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ANL\FACPYA\FACPYA - 2024.2S\"/>
    </mc:Choice>
  </mc:AlternateContent>
  <xr:revisionPtr revIDLastSave="0" documentId="13_ncr:1_{C09B1B01-17BF-472A-8464-F70C522D7C39}" xr6:coauthVersionLast="47" xr6:coauthVersionMax="47" xr10:uidLastSave="{00000000-0000-0000-0000-000000000000}"/>
  <bookViews>
    <workbookView xWindow="-108" yWindow="-108" windowWidth="23256" windowHeight="12456" xr2:uid="{48E84067-1A55-4B74-8586-4EDEDC3643E1}"/>
  </bookViews>
  <sheets>
    <sheet name="Histórico de Ventas" sheetId="1" r:id="rId1"/>
  </sheets>
  <definedNames>
    <definedName name="GEO">#REF!</definedName>
    <definedName name="VentasMaster">'Histórico de Ventas'!$A$1:$Q$7725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719" i="1" l="1"/>
  <c r="O7709" i="1"/>
  <c r="O7708" i="1"/>
  <c r="O7705" i="1"/>
  <c r="O7702" i="1"/>
  <c r="O7701" i="1"/>
  <c r="O7693" i="1"/>
  <c r="O7690" i="1"/>
  <c r="O7689" i="1"/>
  <c r="O7688" i="1"/>
  <c r="O7687" i="1"/>
  <c r="O7686" i="1"/>
  <c r="O7685" i="1"/>
  <c r="O7684" i="1"/>
  <c r="O7682" i="1"/>
  <c r="O7681" i="1"/>
  <c r="O7680" i="1"/>
  <c r="O7678" i="1"/>
  <c r="O7676" i="1"/>
  <c r="O7675" i="1"/>
  <c r="O7674" i="1"/>
  <c r="O7672" i="1"/>
  <c r="O7668" i="1"/>
  <c r="O7667" i="1"/>
  <c r="O7666" i="1"/>
  <c r="O7665" i="1"/>
  <c r="O7661" i="1"/>
  <c r="O7657" i="1"/>
  <c r="O7656" i="1"/>
  <c r="O7654" i="1"/>
  <c r="O7653" i="1"/>
  <c r="O7648" i="1"/>
  <c r="O7643" i="1"/>
  <c r="O7642" i="1"/>
  <c r="O7640" i="1"/>
  <c r="O7635" i="1"/>
  <c r="O7632" i="1"/>
  <c r="O7631" i="1"/>
  <c r="O7628" i="1"/>
  <c r="O7627" i="1"/>
  <c r="O7626" i="1"/>
  <c r="O7622" i="1"/>
  <c r="O7621" i="1"/>
  <c r="O7619" i="1"/>
  <c r="O7618" i="1"/>
  <c r="O7616" i="1"/>
  <c r="O7613" i="1"/>
  <c r="O7610" i="1"/>
  <c r="O7608" i="1"/>
  <c r="O7607" i="1"/>
  <c r="O7606" i="1"/>
  <c r="O7601" i="1"/>
  <c r="O7600" i="1"/>
  <c r="O7594" i="1"/>
  <c r="O7592" i="1"/>
  <c r="O7590" i="1"/>
  <c r="O7588" i="1"/>
  <c r="O7585" i="1"/>
  <c r="O7584" i="1"/>
  <c r="O7578" i="1"/>
  <c r="O7577" i="1"/>
  <c r="O7576" i="1"/>
  <c r="O7575" i="1"/>
  <c r="O7574" i="1"/>
  <c r="O7572" i="1"/>
  <c r="O7567" i="1"/>
  <c r="O7564" i="1"/>
  <c r="O7559" i="1"/>
  <c r="O7554" i="1"/>
  <c r="O7550" i="1"/>
  <c r="O7545" i="1"/>
  <c r="O7540" i="1"/>
  <c r="O7539" i="1"/>
  <c r="O7538" i="1"/>
  <c r="O7536" i="1"/>
  <c r="O7535" i="1"/>
  <c r="O7532" i="1"/>
  <c r="O7529" i="1"/>
  <c r="O7528" i="1"/>
  <c r="O7523" i="1"/>
  <c r="O7510" i="1"/>
  <c r="O7508" i="1"/>
  <c r="O7504" i="1"/>
  <c r="O7503" i="1"/>
  <c r="O7502" i="1"/>
  <c r="O7500" i="1"/>
  <c r="O7496" i="1"/>
  <c r="O7495" i="1"/>
  <c r="O7492" i="1"/>
  <c r="O7490" i="1"/>
  <c r="O7488" i="1"/>
  <c r="O7487" i="1"/>
  <c r="O7486" i="1"/>
  <c r="O7481" i="1"/>
  <c r="O7474" i="1"/>
  <c r="O7469" i="1"/>
  <c r="O7464" i="1"/>
  <c r="O7463" i="1"/>
  <c r="O7460" i="1"/>
  <c r="O7457" i="1"/>
  <c r="O7455" i="1"/>
  <c r="O7453" i="1"/>
  <c r="O7452" i="1"/>
  <c r="O7451" i="1"/>
  <c r="O7450" i="1"/>
  <c r="O7449" i="1"/>
  <c r="O7448" i="1"/>
  <c r="O7446" i="1"/>
  <c r="O7444" i="1"/>
  <c r="O7443" i="1"/>
  <c r="O7441" i="1"/>
  <c r="O7438" i="1"/>
  <c r="O7437" i="1"/>
  <c r="O7434" i="1"/>
  <c r="O7431" i="1"/>
  <c r="O7430" i="1"/>
  <c r="O7427" i="1"/>
  <c r="O7426" i="1"/>
  <c r="O7424" i="1"/>
  <c r="O7423" i="1"/>
  <c r="O7422" i="1"/>
  <c r="O7421" i="1"/>
  <c r="O7418" i="1"/>
  <c r="O7417" i="1"/>
  <c r="O7416" i="1"/>
  <c r="O7413" i="1"/>
  <c r="O7412" i="1"/>
  <c r="O7411" i="1"/>
  <c r="O7408" i="1"/>
  <c r="O7407" i="1"/>
  <c r="O7405" i="1"/>
  <c r="O7403" i="1"/>
  <c r="O7401" i="1"/>
  <c r="O7399" i="1"/>
  <c r="O7396" i="1"/>
  <c r="O7393" i="1"/>
  <c r="O7384" i="1"/>
  <c r="O7381" i="1"/>
  <c r="O7380" i="1"/>
  <c r="O7379" i="1"/>
  <c r="O7377" i="1"/>
  <c r="O7371" i="1"/>
  <c r="O7370" i="1"/>
  <c r="O7365" i="1"/>
  <c r="O7364" i="1"/>
  <c r="O7362" i="1"/>
  <c r="O7358" i="1"/>
  <c r="O7355" i="1"/>
  <c r="O7354" i="1"/>
  <c r="O7353" i="1"/>
  <c r="O7352" i="1"/>
  <c r="O7350" i="1"/>
  <c r="O7348" i="1"/>
  <c r="O7346" i="1"/>
  <c r="O7345" i="1"/>
  <c r="O7343" i="1"/>
  <c r="O7340" i="1"/>
  <c r="O7338" i="1"/>
  <c r="O7332" i="1"/>
  <c r="O7330" i="1"/>
  <c r="O7328" i="1"/>
  <c r="O7327" i="1"/>
  <c r="O7320" i="1"/>
  <c r="O7318" i="1"/>
  <c r="O7317" i="1"/>
  <c r="O7316" i="1"/>
  <c r="O7313" i="1"/>
  <c r="O7312" i="1"/>
  <c r="O7310" i="1"/>
  <c r="O7303" i="1"/>
  <c r="O7301" i="1"/>
  <c r="O7299" i="1"/>
  <c r="O7296" i="1"/>
  <c r="O7295" i="1"/>
  <c r="O7290" i="1"/>
  <c r="O7289" i="1"/>
  <c r="O7288" i="1"/>
  <c r="O7286" i="1"/>
  <c r="O7284" i="1"/>
  <c r="O7282" i="1"/>
  <c r="O7280" i="1"/>
  <c r="O7279" i="1"/>
  <c r="O7278" i="1"/>
  <c r="O7276" i="1"/>
  <c r="O7273" i="1"/>
  <c r="O7270" i="1"/>
  <c r="O7268" i="1"/>
  <c r="O7265" i="1"/>
  <c r="O7259" i="1"/>
  <c r="O7258" i="1"/>
  <c r="O7256" i="1"/>
  <c r="O7251" i="1"/>
  <c r="O7248" i="1"/>
  <c r="O7246" i="1"/>
  <c r="O7245" i="1"/>
  <c r="O7242" i="1"/>
  <c r="O7237" i="1"/>
  <c r="O7236" i="1"/>
  <c r="O7231" i="1"/>
  <c r="O7230" i="1"/>
  <c r="O7229" i="1"/>
  <c r="O7228" i="1"/>
  <c r="O7227" i="1"/>
  <c r="O7224" i="1"/>
  <c r="O7222" i="1"/>
  <c r="O7216" i="1"/>
  <c r="O7215" i="1"/>
  <c r="O7214" i="1"/>
  <c r="O7213" i="1"/>
  <c r="O7210" i="1"/>
  <c r="O7208" i="1"/>
  <c r="O7207" i="1"/>
  <c r="O7204" i="1"/>
  <c r="O7199" i="1"/>
  <c r="O7196" i="1"/>
  <c r="O7195" i="1"/>
  <c r="O7194" i="1"/>
  <c r="O7191" i="1"/>
  <c r="O7186" i="1"/>
  <c r="O7185" i="1"/>
  <c r="O7183" i="1"/>
  <c r="O7178" i="1"/>
  <c r="O7173" i="1"/>
  <c r="O7172" i="1"/>
  <c r="O7169" i="1"/>
  <c r="O7168" i="1"/>
  <c r="O7166" i="1"/>
  <c r="O7165" i="1"/>
  <c r="O7162" i="1"/>
  <c r="O7161" i="1"/>
  <c r="O7160" i="1"/>
  <c r="O7155" i="1"/>
  <c r="O7154" i="1"/>
  <c r="O7151" i="1"/>
  <c r="O7148" i="1"/>
  <c r="O7145" i="1"/>
  <c r="O7137" i="1"/>
  <c r="O7136" i="1"/>
  <c r="O7131" i="1"/>
  <c r="O7126" i="1"/>
  <c r="O7124" i="1"/>
  <c r="O7115" i="1"/>
  <c r="O7111" i="1"/>
  <c r="O7110" i="1"/>
  <c r="O7105" i="1"/>
  <c r="O7104" i="1"/>
  <c r="O7103" i="1"/>
  <c r="O7102" i="1"/>
  <c r="O7098" i="1"/>
  <c r="O7096" i="1"/>
  <c r="O7089" i="1"/>
  <c r="O7088" i="1"/>
  <c r="O7087" i="1"/>
  <c r="O7085" i="1"/>
  <c r="O7084" i="1"/>
  <c r="O7083" i="1"/>
  <c r="O7082" i="1"/>
  <c r="O7079" i="1"/>
  <c r="O7073" i="1"/>
  <c r="O7072" i="1"/>
  <c r="O7071" i="1"/>
  <c r="O7070" i="1"/>
  <c r="O7069" i="1"/>
  <c r="O7061" i="1"/>
  <c r="O7060" i="1"/>
  <c r="O7058" i="1"/>
  <c r="O7054" i="1"/>
  <c r="O7053" i="1"/>
  <c r="O7052" i="1"/>
  <c r="O7049" i="1"/>
  <c r="O7048" i="1"/>
  <c r="O7046" i="1"/>
  <c r="O7043" i="1"/>
  <c r="O7041" i="1"/>
  <c r="O7036" i="1"/>
  <c r="O7035" i="1"/>
  <c r="O7028" i="1"/>
  <c r="O7025" i="1"/>
  <c r="O7023" i="1"/>
  <c r="O7021" i="1"/>
  <c r="O7020" i="1"/>
  <c r="O7019" i="1"/>
  <c r="O7017" i="1"/>
  <c r="O7016" i="1"/>
  <c r="O7012" i="1"/>
  <c r="O7010" i="1"/>
  <c r="O7007" i="1"/>
  <c r="O7004" i="1"/>
  <c r="O7001" i="1"/>
  <c r="O7000" i="1"/>
  <c r="O6998" i="1"/>
  <c r="O6997" i="1"/>
  <c r="O6996" i="1"/>
  <c r="O6995" i="1"/>
  <c r="O6994" i="1"/>
  <c r="O6993" i="1"/>
  <c r="O6991" i="1"/>
  <c r="O6990" i="1"/>
  <c r="O6987" i="1"/>
  <c r="O6984" i="1"/>
  <c r="O6982" i="1"/>
  <c r="O6981" i="1"/>
  <c r="O6980" i="1"/>
  <c r="O6971" i="1"/>
  <c r="O6970" i="1"/>
  <c r="O6969" i="1"/>
  <c r="O6968" i="1"/>
  <c r="O6963" i="1"/>
  <c r="O6962" i="1"/>
  <c r="O6960" i="1"/>
  <c r="O6959" i="1"/>
  <c r="O6958" i="1"/>
  <c r="O6957" i="1"/>
  <c r="O6953" i="1"/>
  <c r="O6950" i="1"/>
  <c r="O6949" i="1"/>
  <c r="O6948" i="1"/>
  <c r="O6946" i="1"/>
  <c r="O6943" i="1"/>
  <c r="O6941" i="1"/>
  <c r="O6940" i="1"/>
  <c r="O6939" i="1"/>
  <c r="O6935" i="1"/>
  <c r="O6933" i="1"/>
  <c r="O6932" i="1"/>
  <c r="O6931" i="1"/>
  <c r="O6926" i="1"/>
  <c r="O6924" i="1"/>
  <c r="O6921" i="1"/>
  <c r="O6919" i="1"/>
  <c r="O6914" i="1"/>
  <c r="O6913" i="1"/>
  <c r="O6909" i="1"/>
  <c r="O6908" i="1"/>
  <c r="O6904" i="1"/>
  <c r="O6901" i="1"/>
  <c r="O6900" i="1"/>
  <c r="O6898" i="1"/>
  <c r="O6897" i="1"/>
  <c r="O6896" i="1"/>
  <c r="O6894" i="1"/>
  <c r="O6891" i="1"/>
  <c r="O6890" i="1"/>
  <c r="O6888" i="1"/>
  <c r="O6885" i="1"/>
  <c r="O6883" i="1"/>
  <c r="O6882" i="1"/>
  <c r="O6880" i="1"/>
  <c r="O6877" i="1"/>
  <c r="O6876" i="1"/>
  <c r="O6874" i="1"/>
  <c r="O6873" i="1"/>
  <c r="O6870" i="1"/>
  <c r="O6869" i="1"/>
  <c r="O6868" i="1"/>
  <c r="O6864" i="1"/>
  <c r="O6863" i="1"/>
  <c r="O6862" i="1"/>
  <c r="O6861" i="1"/>
  <c r="O6858" i="1"/>
  <c r="O6851" i="1"/>
  <c r="O6844" i="1"/>
  <c r="O6843" i="1"/>
  <c r="O6842" i="1"/>
  <c r="O6839" i="1"/>
  <c r="O6833" i="1"/>
  <c r="O6830" i="1"/>
  <c r="O6827" i="1"/>
  <c r="O6824" i="1"/>
  <c r="O6823" i="1"/>
  <c r="O6821" i="1"/>
  <c r="O6820" i="1"/>
  <c r="O6819" i="1"/>
  <c r="O6814" i="1"/>
  <c r="O6813" i="1"/>
  <c r="O6812" i="1"/>
  <c r="O6811" i="1"/>
  <c r="O6808" i="1"/>
  <c r="O6804" i="1"/>
  <c r="O6802" i="1"/>
  <c r="O6799" i="1"/>
  <c r="O6798" i="1"/>
  <c r="O6795" i="1"/>
  <c r="O6785" i="1"/>
  <c r="O6783" i="1"/>
  <c r="O6782" i="1"/>
  <c r="O6778" i="1"/>
  <c r="O6776" i="1"/>
  <c r="O6775" i="1"/>
  <c r="O6774" i="1"/>
  <c r="O6773" i="1"/>
  <c r="O6772" i="1"/>
  <c r="O6770" i="1"/>
  <c r="O6769" i="1"/>
  <c r="O6766" i="1"/>
  <c r="O6763" i="1"/>
  <c r="O6761" i="1"/>
  <c r="N7719" i="1"/>
  <c r="N7709" i="1"/>
  <c r="N7708" i="1"/>
  <c r="N7705" i="1"/>
  <c r="N7702" i="1"/>
  <c r="N7701" i="1"/>
  <c r="N7693" i="1"/>
  <c r="N7690" i="1"/>
  <c r="N7689" i="1"/>
  <c r="N7688" i="1"/>
  <c r="N7687" i="1"/>
  <c r="N7686" i="1"/>
  <c r="N7685" i="1"/>
  <c r="N7684" i="1"/>
  <c r="N7682" i="1"/>
  <c r="N7681" i="1"/>
  <c r="N7680" i="1"/>
  <c r="N7678" i="1"/>
  <c r="N7676" i="1"/>
  <c r="N7675" i="1"/>
  <c r="N7674" i="1"/>
  <c r="N7672" i="1"/>
  <c r="N7668" i="1"/>
  <c r="N7667" i="1"/>
  <c r="N7666" i="1"/>
  <c r="N7665" i="1"/>
  <c r="N7661" i="1"/>
  <c r="N7657" i="1"/>
  <c r="N7656" i="1"/>
  <c r="N7654" i="1"/>
  <c r="N7653" i="1"/>
  <c r="N7648" i="1"/>
  <c r="N7643" i="1"/>
  <c r="N7642" i="1"/>
  <c r="N7640" i="1"/>
  <c r="N7635" i="1"/>
  <c r="N7632" i="1"/>
  <c r="N7631" i="1"/>
  <c r="N7628" i="1"/>
  <c r="N7627" i="1"/>
  <c r="N7626" i="1"/>
  <c r="N7622" i="1"/>
  <c r="N7621" i="1"/>
  <c r="N7619" i="1"/>
  <c r="N7618" i="1"/>
  <c r="N7616" i="1"/>
  <c r="N7613" i="1"/>
  <c r="N7610" i="1"/>
  <c r="N7608" i="1"/>
  <c r="N7607" i="1"/>
  <c r="N7606" i="1"/>
  <c r="N7601" i="1"/>
  <c r="N7600" i="1"/>
  <c r="N7594" i="1"/>
  <c r="N7592" i="1"/>
  <c r="N7590" i="1"/>
  <c r="N7588" i="1"/>
  <c r="N7585" i="1"/>
  <c r="N7584" i="1"/>
  <c r="N7578" i="1"/>
  <c r="N7577" i="1"/>
  <c r="N7576" i="1"/>
  <c r="N7575" i="1"/>
  <c r="N7574" i="1"/>
  <c r="N7572" i="1"/>
  <c r="N7567" i="1"/>
  <c r="N7564" i="1"/>
  <c r="N7559" i="1"/>
  <c r="N7554" i="1"/>
  <c r="N7550" i="1"/>
  <c r="N7545" i="1"/>
  <c r="N7540" i="1"/>
  <c r="N7539" i="1"/>
  <c r="N7538" i="1"/>
  <c r="N7536" i="1"/>
  <c r="N7535" i="1"/>
  <c r="N7532" i="1"/>
  <c r="N7529" i="1"/>
  <c r="N7528" i="1"/>
  <c r="N7523" i="1"/>
  <c r="N7510" i="1"/>
  <c r="N7508" i="1"/>
  <c r="N7504" i="1"/>
  <c r="N7503" i="1"/>
  <c r="N7502" i="1"/>
  <c r="N7500" i="1"/>
  <c r="N7496" i="1"/>
  <c r="N7495" i="1"/>
  <c r="N7492" i="1"/>
  <c r="N7490" i="1"/>
  <c r="N7488" i="1"/>
  <c r="N7487" i="1"/>
  <c r="N7486" i="1"/>
  <c r="N7481" i="1"/>
  <c r="N7474" i="1"/>
  <c r="N7469" i="1"/>
  <c r="N7464" i="1"/>
  <c r="N7463" i="1"/>
  <c r="N7460" i="1"/>
  <c r="N7457" i="1"/>
  <c r="N7455" i="1"/>
  <c r="N7453" i="1"/>
  <c r="N7452" i="1"/>
  <c r="N7451" i="1"/>
  <c r="N7450" i="1"/>
  <c r="N7449" i="1"/>
  <c r="N7448" i="1"/>
  <c r="N7446" i="1"/>
  <c r="N7444" i="1"/>
  <c r="N7443" i="1"/>
  <c r="N7441" i="1"/>
  <c r="N7438" i="1"/>
  <c r="N7437" i="1"/>
  <c r="N7434" i="1"/>
  <c r="N7431" i="1"/>
  <c r="N7430" i="1"/>
  <c r="N7427" i="1"/>
  <c r="N7426" i="1"/>
  <c r="N7424" i="1"/>
  <c r="N7423" i="1"/>
  <c r="N7422" i="1"/>
  <c r="N7421" i="1"/>
  <c r="N7418" i="1"/>
  <c r="N7417" i="1"/>
  <c r="N7416" i="1"/>
  <c r="N7413" i="1"/>
  <c r="N7412" i="1"/>
  <c r="N7411" i="1"/>
  <c r="N7408" i="1"/>
  <c r="N7407" i="1"/>
  <c r="N7405" i="1"/>
  <c r="N7403" i="1"/>
  <c r="N7401" i="1"/>
  <c r="N7399" i="1"/>
  <c r="N7396" i="1"/>
  <c r="N7393" i="1"/>
  <c r="N7384" i="1"/>
  <c r="N7381" i="1"/>
  <c r="N7380" i="1"/>
  <c r="N7379" i="1"/>
  <c r="N7377" i="1"/>
  <c r="N7371" i="1"/>
  <c r="N7370" i="1"/>
  <c r="N7365" i="1"/>
  <c r="N7364" i="1"/>
  <c r="N7362" i="1"/>
  <c r="N7358" i="1"/>
  <c r="N7355" i="1"/>
  <c r="N7354" i="1"/>
  <c r="N7353" i="1"/>
  <c r="N7352" i="1"/>
  <c r="N7350" i="1"/>
  <c r="N7348" i="1"/>
  <c r="N7346" i="1"/>
  <c r="N7345" i="1"/>
  <c r="N7343" i="1"/>
  <c r="N7340" i="1"/>
  <c r="N7338" i="1"/>
  <c r="N7332" i="1"/>
  <c r="N7330" i="1"/>
  <c r="N7328" i="1"/>
  <c r="N7327" i="1"/>
  <c r="N7320" i="1"/>
  <c r="N7318" i="1"/>
  <c r="N7317" i="1"/>
  <c r="N7316" i="1"/>
  <c r="N7313" i="1"/>
  <c r="N7312" i="1"/>
  <c r="N7310" i="1"/>
  <c r="N7303" i="1"/>
  <c r="N7301" i="1"/>
  <c r="N7299" i="1"/>
  <c r="N7296" i="1"/>
  <c r="N7295" i="1"/>
  <c r="N7290" i="1"/>
  <c r="N7289" i="1"/>
  <c r="N7288" i="1"/>
  <c r="N7286" i="1"/>
  <c r="N7284" i="1"/>
  <c r="N7282" i="1"/>
  <c r="N7280" i="1"/>
  <c r="N7279" i="1"/>
  <c r="N7278" i="1"/>
  <c r="N7276" i="1"/>
  <c r="N7273" i="1"/>
  <c r="N7270" i="1"/>
  <c r="N7268" i="1"/>
  <c r="N7265" i="1"/>
  <c r="N7259" i="1"/>
  <c r="N7258" i="1"/>
  <c r="N7256" i="1"/>
  <c r="N7251" i="1"/>
  <c r="N7248" i="1"/>
  <c r="N7246" i="1"/>
  <c r="N7245" i="1"/>
  <c r="N7242" i="1"/>
  <c r="N7237" i="1"/>
  <c r="N7236" i="1"/>
  <c r="N7231" i="1"/>
  <c r="N7230" i="1"/>
  <c r="N7229" i="1"/>
  <c r="N7228" i="1"/>
  <c r="N7227" i="1"/>
  <c r="N7224" i="1"/>
  <c r="N7222" i="1"/>
  <c r="N7216" i="1"/>
  <c r="N7215" i="1"/>
  <c r="N7214" i="1"/>
  <c r="N7213" i="1"/>
  <c r="N7210" i="1"/>
  <c r="N7208" i="1"/>
  <c r="N7207" i="1"/>
  <c r="N7204" i="1"/>
  <c r="N7199" i="1"/>
  <c r="N7196" i="1"/>
  <c r="N7195" i="1"/>
  <c r="N7194" i="1"/>
  <c r="N7191" i="1"/>
  <c r="N7186" i="1"/>
  <c r="N7185" i="1"/>
  <c r="N7183" i="1"/>
  <c r="N7178" i="1"/>
  <c r="N7173" i="1"/>
  <c r="N7172" i="1"/>
  <c r="N7169" i="1"/>
  <c r="N7168" i="1"/>
  <c r="N7166" i="1"/>
  <c r="N7165" i="1"/>
  <c r="N7162" i="1"/>
  <c r="N7161" i="1"/>
  <c r="N7160" i="1"/>
  <c r="N7155" i="1"/>
  <c r="N7154" i="1"/>
  <c r="N7151" i="1"/>
  <c r="N7148" i="1"/>
  <c r="N7145" i="1"/>
  <c r="N7137" i="1"/>
  <c r="N7136" i="1"/>
  <c r="N7131" i="1"/>
  <c r="N7126" i="1"/>
  <c r="N7124" i="1"/>
  <c r="N7115" i="1"/>
  <c r="N7111" i="1"/>
  <c r="N7110" i="1"/>
  <c r="N7105" i="1"/>
  <c r="N7104" i="1"/>
  <c r="N7103" i="1"/>
  <c r="N7102" i="1"/>
  <c r="N7098" i="1"/>
  <c r="N7096" i="1"/>
  <c r="N7089" i="1"/>
  <c r="N7088" i="1"/>
  <c r="N7087" i="1"/>
  <c r="N7085" i="1"/>
  <c r="N7084" i="1"/>
  <c r="N7083" i="1"/>
  <c r="N7082" i="1"/>
  <c r="N7079" i="1"/>
  <c r="N7073" i="1"/>
  <c r="N7072" i="1"/>
  <c r="N7071" i="1"/>
  <c r="N7070" i="1"/>
  <c r="N7069" i="1"/>
  <c r="N7061" i="1"/>
  <c r="N7060" i="1"/>
  <c r="N7058" i="1"/>
  <c r="N7054" i="1"/>
  <c r="N7053" i="1"/>
  <c r="N7052" i="1"/>
  <c r="N7049" i="1"/>
  <c r="N7048" i="1"/>
  <c r="N7046" i="1"/>
  <c r="N7043" i="1"/>
  <c r="N7041" i="1"/>
  <c r="N7036" i="1"/>
  <c r="N7035" i="1"/>
  <c r="N7028" i="1"/>
  <c r="N7025" i="1"/>
  <c r="N7023" i="1"/>
  <c r="N7021" i="1"/>
  <c r="N7020" i="1"/>
  <c r="N7019" i="1"/>
  <c r="N7017" i="1"/>
  <c r="N7016" i="1"/>
  <c r="N7012" i="1"/>
  <c r="N7010" i="1"/>
  <c r="N7007" i="1"/>
  <c r="N7004" i="1"/>
  <c r="N7001" i="1"/>
  <c r="N7000" i="1"/>
  <c r="N6998" i="1"/>
  <c r="N6997" i="1"/>
  <c r="N6996" i="1"/>
  <c r="N6995" i="1"/>
  <c r="N6994" i="1"/>
  <c r="N6993" i="1"/>
  <c r="N6991" i="1"/>
  <c r="N6990" i="1"/>
  <c r="N6987" i="1"/>
  <c r="N6984" i="1"/>
  <c r="N6982" i="1"/>
  <c r="N6981" i="1"/>
  <c r="N6980" i="1"/>
  <c r="N6971" i="1"/>
  <c r="N6970" i="1"/>
  <c r="N6969" i="1"/>
  <c r="N6968" i="1"/>
  <c r="N6963" i="1"/>
  <c r="N6962" i="1"/>
  <c r="N6960" i="1"/>
  <c r="N6959" i="1"/>
  <c r="N6958" i="1"/>
  <c r="N6957" i="1"/>
  <c r="N6953" i="1"/>
  <c r="N6950" i="1"/>
  <c r="N6949" i="1"/>
  <c r="N6948" i="1"/>
  <c r="N6946" i="1"/>
  <c r="N6943" i="1"/>
  <c r="N6941" i="1"/>
  <c r="N6940" i="1"/>
  <c r="N6939" i="1"/>
  <c r="N6935" i="1"/>
  <c r="N6933" i="1"/>
  <c r="N6932" i="1"/>
  <c r="N6931" i="1"/>
  <c r="N6926" i="1"/>
  <c r="N6924" i="1"/>
  <c r="N6921" i="1"/>
  <c r="N6919" i="1"/>
  <c r="N6914" i="1"/>
  <c r="N6913" i="1"/>
  <c r="N6909" i="1"/>
  <c r="N6908" i="1"/>
  <c r="N6904" i="1"/>
  <c r="N6901" i="1"/>
  <c r="N6900" i="1"/>
  <c r="N6898" i="1"/>
  <c r="N6897" i="1"/>
  <c r="N6896" i="1"/>
  <c r="N6894" i="1"/>
  <c r="N6891" i="1"/>
  <c r="N6890" i="1"/>
  <c r="N6888" i="1"/>
  <c r="N6885" i="1"/>
  <c r="N6883" i="1"/>
  <c r="N6882" i="1"/>
  <c r="N6880" i="1"/>
  <c r="N6877" i="1"/>
  <c r="N6876" i="1"/>
  <c r="N6874" i="1"/>
  <c r="N6873" i="1"/>
  <c r="N6870" i="1"/>
  <c r="N6869" i="1"/>
  <c r="N6868" i="1"/>
  <c r="N6864" i="1"/>
  <c r="N6863" i="1"/>
  <c r="N6862" i="1"/>
  <c r="N6861" i="1"/>
  <c r="N6858" i="1"/>
  <c r="N6851" i="1"/>
  <c r="N6844" i="1"/>
  <c r="N6843" i="1"/>
  <c r="N6842" i="1"/>
  <c r="N6839" i="1"/>
  <c r="N6833" i="1"/>
  <c r="N6830" i="1"/>
  <c r="N6827" i="1"/>
  <c r="N6824" i="1"/>
  <c r="N6823" i="1"/>
  <c r="N6821" i="1"/>
  <c r="N6820" i="1"/>
  <c r="N6819" i="1"/>
  <c r="N6814" i="1"/>
  <c r="N6813" i="1"/>
  <c r="N6812" i="1"/>
  <c r="N6811" i="1"/>
  <c r="N6808" i="1"/>
  <c r="N6804" i="1"/>
  <c r="N6802" i="1"/>
  <c r="N6799" i="1"/>
  <c r="N6798" i="1"/>
  <c r="N6795" i="1"/>
  <c r="N6785" i="1"/>
  <c r="N6783" i="1"/>
  <c r="N6782" i="1"/>
  <c r="N6778" i="1"/>
  <c r="N6776" i="1"/>
  <c r="N6775" i="1"/>
  <c r="N6774" i="1"/>
  <c r="N6773" i="1"/>
  <c r="N6772" i="1"/>
  <c r="N6770" i="1"/>
  <c r="N6769" i="1"/>
  <c r="N6766" i="1"/>
  <c r="N6763" i="1"/>
  <c r="N6761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U6761" i="1"/>
  <c r="V6761" i="1" s="1"/>
  <c r="U6762" i="1"/>
  <c r="U6763" i="1"/>
  <c r="U6764" i="1"/>
  <c r="U6765" i="1"/>
  <c r="U6766" i="1"/>
  <c r="U6767" i="1"/>
  <c r="V6767" i="1" s="1"/>
  <c r="U6768" i="1"/>
  <c r="U6769" i="1"/>
  <c r="V6769" i="1" s="1"/>
  <c r="U6770" i="1"/>
  <c r="U6771" i="1"/>
  <c r="U6772" i="1"/>
  <c r="U6773" i="1"/>
  <c r="U6774" i="1"/>
  <c r="U6775" i="1"/>
  <c r="V6775" i="1" s="1"/>
  <c r="U6776" i="1"/>
  <c r="U6777" i="1"/>
  <c r="V6777" i="1" s="1"/>
  <c r="U6778" i="1"/>
  <c r="U6779" i="1"/>
  <c r="U6780" i="1"/>
  <c r="U6781" i="1"/>
  <c r="U6782" i="1"/>
  <c r="U6783" i="1"/>
  <c r="V6783" i="1" s="1"/>
  <c r="U6784" i="1"/>
  <c r="U6785" i="1"/>
  <c r="V6785" i="1" s="1"/>
  <c r="U6786" i="1"/>
  <c r="U6787" i="1"/>
  <c r="U6788" i="1"/>
  <c r="U6789" i="1"/>
  <c r="U6790" i="1"/>
  <c r="U6791" i="1"/>
  <c r="V6791" i="1" s="1"/>
  <c r="U6792" i="1"/>
  <c r="U6793" i="1"/>
  <c r="V6793" i="1" s="1"/>
  <c r="U6794" i="1"/>
  <c r="U6795" i="1"/>
  <c r="U6796" i="1"/>
  <c r="U6797" i="1"/>
  <c r="U6798" i="1"/>
  <c r="U6799" i="1"/>
  <c r="V6799" i="1" s="1"/>
  <c r="U6800" i="1"/>
  <c r="U6801" i="1"/>
  <c r="V6801" i="1" s="1"/>
  <c r="U6802" i="1"/>
  <c r="U6803" i="1"/>
  <c r="U6804" i="1"/>
  <c r="U6805" i="1"/>
  <c r="U6806" i="1"/>
  <c r="U6807" i="1"/>
  <c r="V6807" i="1" s="1"/>
  <c r="U6808" i="1"/>
  <c r="U6809" i="1"/>
  <c r="V6809" i="1" s="1"/>
  <c r="U6810" i="1"/>
  <c r="U6811" i="1"/>
  <c r="U6812" i="1"/>
  <c r="U6813" i="1"/>
  <c r="U6814" i="1"/>
  <c r="U6815" i="1"/>
  <c r="V6815" i="1" s="1"/>
  <c r="U6816" i="1"/>
  <c r="U6817" i="1"/>
  <c r="V6817" i="1" s="1"/>
  <c r="U6818" i="1"/>
  <c r="U6819" i="1"/>
  <c r="U6820" i="1"/>
  <c r="U6821" i="1"/>
  <c r="U6822" i="1"/>
  <c r="U6823" i="1"/>
  <c r="V6823" i="1" s="1"/>
  <c r="U6824" i="1"/>
  <c r="U6825" i="1"/>
  <c r="V6825" i="1" s="1"/>
  <c r="U6826" i="1"/>
  <c r="U6827" i="1"/>
  <c r="U6828" i="1"/>
  <c r="U6829" i="1"/>
  <c r="U6830" i="1"/>
  <c r="U6831" i="1"/>
  <c r="V6831" i="1" s="1"/>
  <c r="U6832" i="1"/>
  <c r="U6833" i="1"/>
  <c r="V6833" i="1" s="1"/>
  <c r="U6834" i="1"/>
  <c r="U6835" i="1"/>
  <c r="U6836" i="1"/>
  <c r="U6837" i="1"/>
  <c r="U6838" i="1"/>
  <c r="U6839" i="1"/>
  <c r="V6839" i="1" s="1"/>
  <c r="U6840" i="1"/>
  <c r="U6841" i="1"/>
  <c r="V6841" i="1" s="1"/>
  <c r="U6842" i="1"/>
  <c r="U6843" i="1"/>
  <c r="U6844" i="1"/>
  <c r="U6845" i="1"/>
  <c r="U6846" i="1"/>
  <c r="U6847" i="1"/>
  <c r="V6847" i="1" s="1"/>
  <c r="U6848" i="1"/>
  <c r="U6849" i="1"/>
  <c r="V6849" i="1" s="1"/>
  <c r="U6850" i="1"/>
  <c r="U6851" i="1"/>
  <c r="U6852" i="1"/>
  <c r="U6853" i="1"/>
  <c r="U6854" i="1"/>
  <c r="U6855" i="1"/>
  <c r="V6855" i="1" s="1"/>
  <c r="U6856" i="1"/>
  <c r="U6857" i="1"/>
  <c r="V6857" i="1" s="1"/>
  <c r="U6858" i="1"/>
  <c r="U6859" i="1"/>
  <c r="U6860" i="1"/>
  <c r="U6861" i="1"/>
  <c r="U6862" i="1"/>
  <c r="U6863" i="1"/>
  <c r="V6863" i="1" s="1"/>
  <c r="U6864" i="1"/>
  <c r="U6865" i="1"/>
  <c r="V6865" i="1" s="1"/>
  <c r="U6866" i="1"/>
  <c r="U6867" i="1"/>
  <c r="U6868" i="1"/>
  <c r="U6869" i="1"/>
  <c r="U6870" i="1"/>
  <c r="U6871" i="1"/>
  <c r="V6871" i="1" s="1"/>
  <c r="U6872" i="1"/>
  <c r="U6873" i="1"/>
  <c r="V6873" i="1" s="1"/>
  <c r="U6874" i="1"/>
  <c r="U6875" i="1"/>
  <c r="U6876" i="1"/>
  <c r="U6877" i="1"/>
  <c r="U6878" i="1"/>
  <c r="U6879" i="1"/>
  <c r="V6879" i="1" s="1"/>
  <c r="U6880" i="1"/>
  <c r="U6881" i="1"/>
  <c r="V6881" i="1" s="1"/>
  <c r="U6882" i="1"/>
  <c r="U6883" i="1"/>
  <c r="U6884" i="1"/>
  <c r="U6885" i="1"/>
  <c r="U6886" i="1"/>
  <c r="U6887" i="1"/>
  <c r="V6887" i="1" s="1"/>
  <c r="U6888" i="1"/>
  <c r="U6889" i="1"/>
  <c r="V6889" i="1" s="1"/>
  <c r="U6890" i="1"/>
  <c r="U6891" i="1"/>
  <c r="U6892" i="1"/>
  <c r="U6893" i="1"/>
  <c r="U6894" i="1"/>
  <c r="U6895" i="1"/>
  <c r="V6895" i="1" s="1"/>
  <c r="U6896" i="1"/>
  <c r="U6897" i="1"/>
  <c r="V6897" i="1" s="1"/>
  <c r="U6898" i="1"/>
  <c r="U6899" i="1"/>
  <c r="U6900" i="1"/>
  <c r="U6901" i="1"/>
  <c r="U6902" i="1"/>
  <c r="U6903" i="1"/>
  <c r="V6903" i="1" s="1"/>
  <c r="U6904" i="1"/>
  <c r="U6905" i="1"/>
  <c r="V6905" i="1" s="1"/>
  <c r="U6906" i="1"/>
  <c r="U6907" i="1"/>
  <c r="U6908" i="1"/>
  <c r="U6909" i="1"/>
  <c r="U6910" i="1"/>
  <c r="U6911" i="1"/>
  <c r="V6911" i="1" s="1"/>
  <c r="U6912" i="1"/>
  <c r="U6913" i="1"/>
  <c r="V6913" i="1" s="1"/>
  <c r="U6914" i="1"/>
  <c r="U6915" i="1"/>
  <c r="U6916" i="1"/>
  <c r="U6917" i="1"/>
  <c r="U6918" i="1"/>
  <c r="U6919" i="1"/>
  <c r="V6919" i="1" s="1"/>
  <c r="U6920" i="1"/>
  <c r="U6921" i="1"/>
  <c r="V6921" i="1" s="1"/>
  <c r="U6922" i="1"/>
  <c r="U6923" i="1"/>
  <c r="U6924" i="1"/>
  <c r="U6925" i="1"/>
  <c r="U6926" i="1"/>
  <c r="U6927" i="1"/>
  <c r="V6927" i="1" s="1"/>
  <c r="U6928" i="1"/>
  <c r="U6929" i="1"/>
  <c r="V6929" i="1" s="1"/>
  <c r="U6930" i="1"/>
  <c r="U6931" i="1"/>
  <c r="U6932" i="1"/>
  <c r="U6933" i="1"/>
  <c r="U6934" i="1"/>
  <c r="U6935" i="1"/>
  <c r="V6935" i="1" s="1"/>
  <c r="U6936" i="1"/>
  <c r="U6937" i="1"/>
  <c r="V6937" i="1" s="1"/>
  <c r="U6938" i="1"/>
  <c r="U6939" i="1"/>
  <c r="U6940" i="1"/>
  <c r="U6941" i="1"/>
  <c r="U6942" i="1"/>
  <c r="U6943" i="1"/>
  <c r="V6943" i="1" s="1"/>
  <c r="U6944" i="1"/>
  <c r="U6945" i="1"/>
  <c r="V6945" i="1" s="1"/>
  <c r="U6946" i="1"/>
  <c r="U6947" i="1"/>
  <c r="U6948" i="1"/>
  <c r="U6949" i="1"/>
  <c r="U6950" i="1"/>
  <c r="U6951" i="1"/>
  <c r="V6951" i="1" s="1"/>
  <c r="U6952" i="1"/>
  <c r="U6953" i="1"/>
  <c r="V6953" i="1" s="1"/>
  <c r="U6954" i="1"/>
  <c r="U6955" i="1"/>
  <c r="U6956" i="1"/>
  <c r="U6957" i="1"/>
  <c r="U6958" i="1"/>
  <c r="U6959" i="1"/>
  <c r="V6959" i="1" s="1"/>
  <c r="U6960" i="1"/>
  <c r="U6961" i="1"/>
  <c r="V6961" i="1" s="1"/>
  <c r="U6962" i="1"/>
  <c r="U6963" i="1"/>
  <c r="U6964" i="1"/>
  <c r="U6965" i="1"/>
  <c r="U6966" i="1"/>
  <c r="U6967" i="1"/>
  <c r="V6967" i="1" s="1"/>
  <c r="U6968" i="1"/>
  <c r="U6969" i="1"/>
  <c r="V6969" i="1" s="1"/>
  <c r="U6970" i="1"/>
  <c r="U6971" i="1"/>
  <c r="U6972" i="1"/>
  <c r="U6973" i="1"/>
  <c r="U6974" i="1"/>
  <c r="U6975" i="1"/>
  <c r="V6975" i="1" s="1"/>
  <c r="U6976" i="1"/>
  <c r="U6977" i="1"/>
  <c r="V6977" i="1" s="1"/>
  <c r="U6978" i="1"/>
  <c r="U6979" i="1"/>
  <c r="U6980" i="1"/>
  <c r="U6981" i="1"/>
  <c r="U6982" i="1"/>
  <c r="U6983" i="1"/>
  <c r="V6983" i="1" s="1"/>
  <c r="U6984" i="1"/>
  <c r="U6985" i="1"/>
  <c r="V6985" i="1" s="1"/>
  <c r="U6986" i="1"/>
  <c r="U6987" i="1"/>
  <c r="U6988" i="1"/>
  <c r="U6989" i="1"/>
  <c r="U6990" i="1"/>
  <c r="U6991" i="1"/>
  <c r="V6991" i="1" s="1"/>
  <c r="U6992" i="1"/>
  <c r="U6993" i="1"/>
  <c r="V6993" i="1" s="1"/>
  <c r="U6994" i="1"/>
  <c r="U6995" i="1"/>
  <c r="U6996" i="1"/>
  <c r="U6997" i="1"/>
  <c r="U6998" i="1"/>
  <c r="U6999" i="1"/>
  <c r="V6999" i="1" s="1"/>
  <c r="U7000" i="1"/>
  <c r="U7001" i="1"/>
  <c r="V7001" i="1" s="1"/>
  <c r="U7002" i="1"/>
  <c r="U7003" i="1"/>
  <c r="U7004" i="1"/>
  <c r="U7005" i="1"/>
  <c r="U7006" i="1"/>
  <c r="U7007" i="1"/>
  <c r="V7007" i="1" s="1"/>
  <c r="U7008" i="1"/>
  <c r="U7009" i="1"/>
  <c r="V7009" i="1" s="1"/>
  <c r="U7010" i="1"/>
  <c r="U7011" i="1"/>
  <c r="U7012" i="1"/>
  <c r="U7013" i="1"/>
  <c r="U7014" i="1"/>
  <c r="U7015" i="1"/>
  <c r="V7015" i="1" s="1"/>
  <c r="U7016" i="1"/>
  <c r="U7017" i="1"/>
  <c r="V7017" i="1" s="1"/>
  <c r="U7018" i="1"/>
  <c r="U7019" i="1"/>
  <c r="U7020" i="1"/>
  <c r="U7021" i="1"/>
  <c r="U7022" i="1"/>
  <c r="U7023" i="1"/>
  <c r="V7023" i="1" s="1"/>
  <c r="U7024" i="1"/>
  <c r="U7025" i="1"/>
  <c r="V7025" i="1" s="1"/>
  <c r="U7026" i="1"/>
  <c r="U7027" i="1"/>
  <c r="U7028" i="1"/>
  <c r="U7029" i="1"/>
  <c r="U7030" i="1"/>
  <c r="U7031" i="1"/>
  <c r="V7031" i="1" s="1"/>
  <c r="U7032" i="1"/>
  <c r="U7033" i="1"/>
  <c r="V7033" i="1" s="1"/>
  <c r="U7034" i="1"/>
  <c r="U7035" i="1"/>
  <c r="U7036" i="1"/>
  <c r="U7037" i="1"/>
  <c r="U7038" i="1"/>
  <c r="U7039" i="1"/>
  <c r="V7039" i="1" s="1"/>
  <c r="U7040" i="1"/>
  <c r="U7041" i="1"/>
  <c r="V7041" i="1" s="1"/>
  <c r="U7042" i="1"/>
  <c r="U7043" i="1"/>
  <c r="U7044" i="1"/>
  <c r="U7045" i="1"/>
  <c r="U7046" i="1"/>
  <c r="U7047" i="1"/>
  <c r="V7047" i="1" s="1"/>
  <c r="U7048" i="1"/>
  <c r="U7049" i="1"/>
  <c r="V7049" i="1" s="1"/>
  <c r="U7050" i="1"/>
  <c r="U7051" i="1"/>
  <c r="U7052" i="1"/>
  <c r="U7053" i="1"/>
  <c r="U7054" i="1"/>
  <c r="U7055" i="1"/>
  <c r="V7055" i="1" s="1"/>
  <c r="U7056" i="1"/>
  <c r="U7057" i="1"/>
  <c r="V7057" i="1" s="1"/>
  <c r="U7058" i="1"/>
  <c r="U7059" i="1"/>
  <c r="U7060" i="1"/>
  <c r="U7061" i="1"/>
  <c r="U7062" i="1"/>
  <c r="U7063" i="1"/>
  <c r="V7063" i="1" s="1"/>
  <c r="U7064" i="1"/>
  <c r="U7065" i="1"/>
  <c r="V7065" i="1" s="1"/>
  <c r="U7066" i="1"/>
  <c r="U7067" i="1"/>
  <c r="U7068" i="1"/>
  <c r="U7069" i="1"/>
  <c r="U7070" i="1"/>
  <c r="U7071" i="1"/>
  <c r="V7071" i="1" s="1"/>
  <c r="U7072" i="1"/>
  <c r="U7073" i="1"/>
  <c r="V7073" i="1" s="1"/>
  <c r="U7074" i="1"/>
  <c r="U7075" i="1"/>
  <c r="U7076" i="1"/>
  <c r="U7077" i="1"/>
  <c r="U7078" i="1"/>
  <c r="U7079" i="1"/>
  <c r="V7079" i="1" s="1"/>
  <c r="U7080" i="1"/>
  <c r="U7081" i="1"/>
  <c r="V7081" i="1" s="1"/>
  <c r="U7082" i="1"/>
  <c r="U7083" i="1"/>
  <c r="U7084" i="1"/>
  <c r="U7085" i="1"/>
  <c r="U7086" i="1"/>
  <c r="U7087" i="1"/>
  <c r="V7087" i="1" s="1"/>
  <c r="U7088" i="1"/>
  <c r="U7089" i="1"/>
  <c r="V7089" i="1" s="1"/>
  <c r="U7090" i="1"/>
  <c r="U7091" i="1"/>
  <c r="U7092" i="1"/>
  <c r="U7093" i="1"/>
  <c r="U7094" i="1"/>
  <c r="U7095" i="1"/>
  <c r="V7095" i="1" s="1"/>
  <c r="U7096" i="1"/>
  <c r="U7097" i="1"/>
  <c r="V7097" i="1" s="1"/>
  <c r="U7098" i="1"/>
  <c r="U7099" i="1"/>
  <c r="U7100" i="1"/>
  <c r="U7101" i="1"/>
  <c r="U7102" i="1"/>
  <c r="U7103" i="1"/>
  <c r="V7103" i="1" s="1"/>
  <c r="U7104" i="1"/>
  <c r="U7105" i="1"/>
  <c r="V7105" i="1" s="1"/>
  <c r="U7106" i="1"/>
  <c r="U7107" i="1"/>
  <c r="U7108" i="1"/>
  <c r="U7109" i="1"/>
  <c r="V7109" i="1" s="1"/>
  <c r="U7110" i="1"/>
  <c r="U7111" i="1"/>
  <c r="V7111" i="1" s="1"/>
  <c r="U7112" i="1"/>
  <c r="U7113" i="1"/>
  <c r="V7113" i="1" s="1"/>
  <c r="U7114" i="1"/>
  <c r="U7115" i="1"/>
  <c r="U7116" i="1"/>
  <c r="U7117" i="1"/>
  <c r="V7117" i="1" s="1"/>
  <c r="U7118" i="1"/>
  <c r="U7119" i="1"/>
  <c r="V7119" i="1" s="1"/>
  <c r="U7120" i="1"/>
  <c r="U7121" i="1"/>
  <c r="V7121" i="1" s="1"/>
  <c r="U7122" i="1"/>
  <c r="U7123" i="1"/>
  <c r="U7124" i="1"/>
  <c r="U7125" i="1"/>
  <c r="V7125" i="1" s="1"/>
  <c r="U7126" i="1"/>
  <c r="U7127" i="1"/>
  <c r="V7127" i="1" s="1"/>
  <c r="U7128" i="1"/>
  <c r="U7129" i="1"/>
  <c r="V7129" i="1" s="1"/>
  <c r="U7130" i="1"/>
  <c r="U7131" i="1"/>
  <c r="U7132" i="1"/>
  <c r="U7133" i="1"/>
  <c r="V7133" i="1" s="1"/>
  <c r="U7134" i="1"/>
  <c r="U7135" i="1"/>
  <c r="V7135" i="1" s="1"/>
  <c r="U7136" i="1"/>
  <c r="U7137" i="1"/>
  <c r="V7137" i="1" s="1"/>
  <c r="U7138" i="1"/>
  <c r="U7139" i="1"/>
  <c r="U7140" i="1"/>
  <c r="U7141" i="1"/>
  <c r="V7141" i="1" s="1"/>
  <c r="U7142" i="1"/>
  <c r="U7143" i="1"/>
  <c r="V7143" i="1" s="1"/>
  <c r="U7144" i="1"/>
  <c r="U7145" i="1"/>
  <c r="V7145" i="1" s="1"/>
  <c r="U7146" i="1"/>
  <c r="U7147" i="1"/>
  <c r="U7148" i="1"/>
  <c r="U7149" i="1"/>
  <c r="V7149" i="1" s="1"/>
  <c r="U7150" i="1"/>
  <c r="U7151" i="1"/>
  <c r="V7151" i="1" s="1"/>
  <c r="U7152" i="1"/>
  <c r="U7153" i="1"/>
  <c r="V7153" i="1" s="1"/>
  <c r="U7154" i="1"/>
  <c r="U7155" i="1"/>
  <c r="U7156" i="1"/>
  <c r="U7157" i="1"/>
  <c r="V7157" i="1" s="1"/>
  <c r="U7158" i="1"/>
  <c r="U7159" i="1"/>
  <c r="V7159" i="1" s="1"/>
  <c r="U7160" i="1"/>
  <c r="U7161" i="1"/>
  <c r="V7161" i="1" s="1"/>
  <c r="U7162" i="1"/>
  <c r="U7163" i="1"/>
  <c r="U7164" i="1"/>
  <c r="U7165" i="1"/>
  <c r="V7165" i="1" s="1"/>
  <c r="U7166" i="1"/>
  <c r="U7167" i="1"/>
  <c r="V7167" i="1" s="1"/>
  <c r="U7168" i="1"/>
  <c r="U7169" i="1"/>
  <c r="V7169" i="1" s="1"/>
  <c r="U7170" i="1"/>
  <c r="U7171" i="1"/>
  <c r="U7172" i="1"/>
  <c r="U7173" i="1"/>
  <c r="V7173" i="1" s="1"/>
  <c r="U7174" i="1"/>
  <c r="U7175" i="1"/>
  <c r="V7175" i="1" s="1"/>
  <c r="U7176" i="1"/>
  <c r="U7177" i="1"/>
  <c r="V7177" i="1" s="1"/>
  <c r="U7178" i="1"/>
  <c r="U7179" i="1"/>
  <c r="U7180" i="1"/>
  <c r="U7181" i="1"/>
  <c r="V7181" i="1" s="1"/>
  <c r="U7182" i="1"/>
  <c r="U7183" i="1"/>
  <c r="V7183" i="1" s="1"/>
  <c r="U7184" i="1"/>
  <c r="U7185" i="1"/>
  <c r="V7185" i="1" s="1"/>
  <c r="U7186" i="1"/>
  <c r="U7187" i="1"/>
  <c r="U7188" i="1"/>
  <c r="U7189" i="1"/>
  <c r="V7189" i="1" s="1"/>
  <c r="U7190" i="1"/>
  <c r="U7191" i="1"/>
  <c r="V7191" i="1" s="1"/>
  <c r="U7192" i="1"/>
  <c r="U7193" i="1"/>
  <c r="V7193" i="1" s="1"/>
  <c r="U7194" i="1"/>
  <c r="U7195" i="1"/>
  <c r="U7196" i="1"/>
  <c r="U7197" i="1"/>
  <c r="V7197" i="1" s="1"/>
  <c r="U7198" i="1"/>
  <c r="U7199" i="1"/>
  <c r="V7199" i="1" s="1"/>
  <c r="U7200" i="1"/>
  <c r="U7201" i="1"/>
  <c r="V7201" i="1" s="1"/>
  <c r="U7202" i="1"/>
  <c r="U7203" i="1"/>
  <c r="U7204" i="1"/>
  <c r="U7205" i="1"/>
  <c r="V7205" i="1" s="1"/>
  <c r="U7206" i="1"/>
  <c r="U7207" i="1"/>
  <c r="V7207" i="1" s="1"/>
  <c r="U7208" i="1"/>
  <c r="U7209" i="1"/>
  <c r="V7209" i="1" s="1"/>
  <c r="U7210" i="1"/>
  <c r="U7211" i="1"/>
  <c r="U7212" i="1"/>
  <c r="U7213" i="1"/>
  <c r="V7213" i="1" s="1"/>
  <c r="U7214" i="1"/>
  <c r="U7215" i="1"/>
  <c r="V7215" i="1" s="1"/>
  <c r="U7216" i="1"/>
  <c r="U7217" i="1"/>
  <c r="V7217" i="1" s="1"/>
  <c r="U7218" i="1"/>
  <c r="U7219" i="1"/>
  <c r="U7220" i="1"/>
  <c r="U7221" i="1"/>
  <c r="U7222" i="1"/>
  <c r="U7223" i="1"/>
  <c r="V7223" i="1" s="1"/>
  <c r="U7224" i="1"/>
  <c r="U7225" i="1"/>
  <c r="V7225" i="1" s="1"/>
  <c r="U7226" i="1"/>
  <c r="U7227" i="1"/>
  <c r="U7228" i="1"/>
  <c r="U7229" i="1"/>
  <c r="U7230" i="1"/>
  <c r="U7231" i="1"/>
  <c r="V7231" i="1" s="1"/>
  <c r="U7232" i="1"/>
  <c r="U7233" i="1"/>
  <c r="V7233" i="1" s="1"/>
  <c r="U7234" i="1"/>
  <c r="U7235" i="1"/>
  <c r="U7236" i="1"/>
  <c r="U7237" i="1"/>
  <c r="U7238" i="1"/>
  <c r="U7239" i="1"/>
  <c r="V7239" i="1" s="1"/>
  <c r="U7240" i="1"/>
  <c r="U7241" i="1"/>
  <c r="V7241" i="1" s="1"/>
  <c r="U7242" i="1"/>
  <c r="U7243" i="1"/>
  <c r="U7244" i="1"/>
  <c r="U7245" i="1"/>
  <c r="U7246" i="1"/>
  <c r="U7247" i="1"/>
  <c r="V7247" i="1" s="1"/>
  <c r="U7248" i="1"/>
  <c r="U7249" i="1"/>
  <c r="V7249" i="1" s="1"/>
  <c r="U7250" i="1"/>
  <c r="U7251" i="1"/>
  <c r="U7252" i="1"/>
  <c r="U7253" i="1"/>
  <c r="U7254" i="1"/>
  <c r="U7255" i="1"/>
  <c r="V7255" i="1" s="1"/>
  <c r="U7256" i="1"/>
  <c r="U7257" i="1"/>
  <c r="V7257" i="1" s="1"/>
  <c r="U7258" i="1"/>
  <c r="U7259" i="1"/>
  <c r="U7260" i="1"/>
  <c r="U7261" i="1"/>
  <c r="U7262" i="1"/>
  <c r="U7263" i="1"/>
  <c r="V7263" i="1" s="1"/>
  <c r="U7264" i="1"/>
  <c r="U7265" i="1"/>
  <c r="V7265" i="1" s="1"/>
  <c r="U7266" i="1"/>
  <c r="U7267" i="1"/>
  <c r="U7268" i="1"/>
  <c r="U7269" i="1"/>
  <c r="U7270" i="1"/>
  <c r="U7271" i="1"/>
  <c r="V7271" i="1" s="1"/>
  <c r="U7272" i="1"/>
  <c r="U7273" i="1"/>
  <c r="V7273" i="1" s="1"/>
  <c r="U7274" i="1"/>
  <c r="U7275" i="1"/>
  <c r="U7276" i="1"/>
  <c r="U7277" i="1"/>
  <c r="U7278" i="1"/>
  <c r="U7279" i="1"/>
  <c r="V7279" i="1" s="1"/>
  <c r="U7280" i="1"/>
  <c r="U7281" i="1"/>
  <c r="V7281" i="1" s="1"/>
  <c r="U7282" i="1"/>
  <c r="U7283" i="1"/>
  <c r="U7284" i="1"/>
  <c r="U7285" i="1"/>
  <c r="U7286" i="1"/>
  <c r="U7287" i="1"/>
  <c r="V7287" i="1" s="1"/>
  <c r="U7288" i="1"/>
  <c r="U7289" i="1"/>
  <c r="V7289" i="1" s="1"/>
  <c r="U7290" i="1"/>
  <c r="U7291" i="1"/>
  <c r="U7292" i="1"/>
  <c r="U7293" i="1"/>
  <c r="U7294" i="1"/>
  <c r="U7295" i="1"/>
  <c r="V7295" i="1" s="1"/>
  <c r="U7296" i="1"/>
  <c r="U7297" i="1"/>
  <c r="V7297" i="1" s="1"/>
  <c r="U7298" i="1"/>
  <c r="U7299" i="1"/>
  <c r="U7300" i="1"/>
  <c r="U7301" i="1"/>
  <c r="U7302" i="1"/>
  <c r="U7303" i="1"/>
  <c r="V7303" i="1" s="1"/>
  <c r="U7304" i="1"/>
  <c r="U7305" i="1"/>
  <c r="V7305" i="1" s="1"/>
  <c r="U7306" i="1"/>
  <c r="U7307" i="1"/>
  <c r="U7308" i="1"/>
  <c r="U7309" i="1"/>
  <c r="U7310" i="1"/>
  <c r="U7311" i="1"/>
  <c r="V7311" i="1" s="1"/>
  <c r="U7312" i="1"/>
  <c r="U7313" i="1"/>
  <c r="V7313" i="1" s="1"/>
  <c r="U7314" i="1"/>
  <c r="U7315" i="1"/>
  <c r="U7316" i="1"/>
  <c r="U7317" i="1"/>
  <c r="U7318" i="1"/>
  <c r="U7319" i="1"/>
  <c r="V7319" i="1" s="1"/>
  <c r="U7320" i="1"/>
  <c r="U7321" i="1"/>
  <c r="V7321" i="1" s="1"/>
  <c r="U7322" i="1"/>
  <c r="U7323" i="1"/>
  <c r="U7324" i="1"/>
  <c r="U7325" i="1"/>
  <c r="U7326" i="1"/>
  <c r="U7327" i="1"/>
  <c r="V7327" i="1" s="1"/>
  <c r="U7328" i="1"/>
  <c r="U7329" i="1"/>
  <c r="V7329" i="1" s="1"/>
  <c r="U7330" i="1"/>
  <c r="U7331" i="1"/>
  <c r="U7332" i="1"/>
  <c r="U7333" i="1"/>
  <c r="U7334" i="1"/>
  <c r="U7335" i="1"/>
  <c r="V7335" i="1" s="1"/>
  <c r="U7336" i="1"/>
  <c r="U7337" i="1"/>
  <c r="V7337" i="1" s="1"/>
  <c r="U7338" i="1"/>
  <c r="U7339" i="1"/>
  <c r="U7340" i="1"/>
  <c r="U7341" i="1"/>
  <c r="U7342" i="1"/>
  <c r="U7343" i="1"/>
  <c r="V7343" i="1" s="1"/>
  <c r="U7344" i="1"/>
  <c r="U7345" i="1"/>
  <c r="V7345" i="1" s="1"/>
  <c r="U7346" i="1"/>
  <c r="U7347" i="1"/>
  <c r="U7348" i="1"/>
  <c r="U7349" i="1"/>
  <c r="U7350" i="1"/>
  <c r="U7351" i="1"/>
  <c r="V7351" i="1" s="1"/>
  <c r="U7352" i="1"/>
  <c r="U7353" i="1"/>
  <c r="V7353" i="1" s="1"/>
  <c r="U7354" i="1"/>
  <c r="U7355" i="1"/>
  <c r="U7356" i="1"/>
  <c r="U7357" i="1"/>
  <c r="U7358" i="1"/>
  <c r="U7359" i="1"/>
  <c r="V7359" i="1" s="1"/>
  <c r="U7360" i="1"/>
  <c r="U7361" i="1"/>
  <c r="V7361" i="1" s="1"/>
  <c r="U7362" i="1"/>
  <c r="U7363" i="1"/>
  <c r="U7364" i="1"/>
  <c r="U7365" i="1"/>
  <c r="U7366" i="1"/>
  <c r="U7367" i="1"/>
  <c r="V7367" i="1" s="1"/>
  <c r="U7368" i="1"/>
  <c r="U7369" i="1"/>
  <c r="V7369" i="1" s="1"/>
  <c r="U7370" i="1"/>
  <c r="U7371" i="1"/>
  <c r="U7372" i="1"/>
  <c r="U7373" i="1"/>
  <c r="U7374" i="1"/>
  <c r="U7375" i="1"/>
  <c r="V7375" i="1" s="1"/>
  <c r="U7376" i="1"/>
  <c r="U7377" i="1"/>
  <c r="V7377" i="1" s="1"/>
  <c r="U7378" i="1"/>
  <c r="U7379" i="1"/>
  <c r="U7380" i="1"/>
  <c r="U7381" i="1"/>
  <c r="U7382" i="1"/>
  <c r="U7383" i="1"/>
  <c r="V7383" i="1" s="1"/>
  <c r="U7384" i="1"/>
  <c r="U7385" i="1"/>
  <c r="V7385" i="1" s="1"/>
  <c r="U7386" i="1"/>
  <c r="U7387" i="1"/>
  <c r="U7388" i="1"/>
  <c r="U7389" i="1"/>
  <c r="U7390" i="1"/>
  <c r="U7391" i="1"/>
  <c r="V7391" i="1" s="1"/>
  <c r="U7392" i="1"/>
  <c r="U7393" i="1"/>
  <c r="V7393" i="1" s="1"/>
  <c r="U7394" i="1"/>
  <c r="U7395" i="1"/>
  <c r="U7396" i="1"/>
  <c r="U7397" i="1"/>
  <c r="U7398" i="1"/>
  <c r="U7399" i="1"/>
  <c r="V7399" i="1" s="1"/>
  <c r="U7400" i="1"/>
  <c r="U7401" i="1"/>
  <c r="V7401" i="1" s="1"/>
  <c r="U7402" i="1"/>
  <c r="U7403" i="1"/>
  <c r="U7404" i="1"/>
  <c r="U7405" i="1"/>
  <c r="U7406" i="1"/>
  <c r="U7407" i="1"/>
  <c r="V7407" i="1" s="1"/>
  <c r="U7408" i="1"/>
  <c r="U7409" i="1"/>
  <c r="V7409" i="1" s="1"/>
  <c r="U7410" i="1"/>
  <c r="U7411" i="1"/>
  <c r="U7412" i="1"/>
  <c r="U7413" i="1"/>
  <c r="U7414" i="1"/>
  <c r="U7415" i="1"/>
  <c r="V7415" i="1" s="1"/>
  <c r="U7416" i="1"/>
  <c r="U7417" i="1"/>
  <c r="V7417" i="1" s="1"/>
  <c r="U7418" i="1"/>
  <c r="U7419" i="1"/>
  <c r="U7420" i="1"/>
  <c r="U7421" i="1"/>
  <c r="U7422" i="1"/>
  <c r="U7423" i="1"/>
  <c r="V7423" i="1" s="1"/>
  <c r="U7424" i="1"/>
  <c r="U7425" i="1"/>
  <c r="V7425" i="1" s="1"/>
  <c r="U7426" i="1"/>
  <c r="U7427" i="1"/>
  <c r="U7428" i="1"/>
  <c r="U7429" i="1"/>
  <c r="U7430" i="1"/>
  <c r="U7431" i="1"/>
  <c r="V7431" i="1" s="1"/>
  <c r="U7432" i="1"/>
  <c r="U7433" i="1"/>
  <c r="V7433" i="1" s="1"/>
  <c r="U7434" i="1"/>
  <c r="U7435" i="1"/>
  <c r="U7436" i="1"/>
  <c r="U7437" i="1"/>
  <c r="U7438" i="1"/>
  <c r="U7439" i="1"/>
  <c r="V7439" i="1" s="1"/>
  <c r="U7440" i="1"/>
  <c r="U7441" i="1"/>
  <c r="V7441" i="1" s="1"/>
  <c r="U7442" i="1"/>
  <c r="U7443" i="1"/>
  <c r="U7444" i="1"/>
  <c r="U7445" i="1"/>
  <c r="U7446" i="1"/>
  <c r="U7447" i="1"/>
  <c r="V7447" i="1" s="1"/>
  <c r="U7448" i="1"/>
  <c r="U7449" i="1"/>
  <c r="V7449" i="1" s="1"/>
  <c r="U7450" i="1"/>
  <c r="U7451" i="1"/>
  <c r="U7452" i="1"/>
  <c r="U7453" i="1"/>
  <c r="U7454" i="1"/>
  <c r="U7455" i="1"/>
  <c r="V7455" i="1" s="1"/>
  <c r="U7456" i="1"/>
  <c r="U7457" i="1"/>
  <c r="V7457" i="1" s="1"/>
  <c r="U7458" i="1"/>
  <c r="U7459" i="1"/>
  <c r="U7460" i="1"/>
  <c r="U7461" i="1"/>
  <c r="U7462" i="1"/>
  <c r="U7463" i="1"/>
  <c r="V7463" i="1" s="1"/>
  <c r="U7464" i="1"/>
  <c r="U7465" i="1"/>
  <c r="V7465" i="1" s="1"/>
  <c r="U7466" i="1"/>
  <c r="U7467" i="1"/>
  <c r="U7468" i="1"/>
  <c r="U7469" i="1"/>
  <c r="U7470" i="1"/>
  <c r="U7471" i="1"/>
  <c r="V7471" i="1" s="1"/>
  <c r="U7472" i="1"/>
  <c r="U7473" i="1"/>
  <c r="V7473" i="1" s="1"/>
  <c r="U7474" i="1"/>
  <c r="U7475" i="1"/>
  <c r="U7476" i="1"/>
  <c r="U7477" i="1"/>
  <c r="U7478" i="1"/>
  <c r="U7479" i="1"/>
  <c r="V7479" i="1" s="1"/>
  <c r="U7480" i="1"/>
  <c r="U7481" i="1"/>
  <c r="V7481" i="1" s="1"/>
  <c r="U7482" i="1"/>
  <c r="U7483" i="1"/>
  <c r="U7484" i="1"/>
  <c r="U7485" i="1"/>
  <c r="U7486" i="1"/>
  <c r="U7487" i="1"/>
  <c r="V7487" i="1" s="1"/>
  <c r="U7488" i="1"/>
  <c r="U7489" i="1"/>
  <c r="V7489" i="1" s="1"/>
  <c r="U7490" i="1"/>
  <c r="U7491" i="1"/>
  <c r="U7492" i="1"/>
  <c r="U7493" i="1"/>
  <c r="U7494" i="1"/>
  <c r="U7495" i="1"/>
  <c r="V7495" i="1" s="1"/>
  <c r="U7496" i="1"/>
  <c r="U7497" i="1"/>
  <c r="V7497" i="1" s="1"/>
  <c r="U7498" i="1"/>
  <c r="U7499" i="1"/>
  <c r="U7500" i="1"/>
  <c r="U7501" i="1"/>
  <c r="U7502" i="1"/>
  <c r="U7503" i="1"/>
  <c r="V7503" i="1" s="1"/>
  <c r="U7504" i="1"/>
  <c r="U7505" i="1"/>
  <c r="V7505" i="1" s="1"/>
  <c r="U7506" i="1"/>
  <c r="U7507" i="1"/>
  <c r="U7508" i="1"/>
  <c r="U7509" i="1"/>
  <c r="U7510" i="1"/>
  <c r="U7511" i="1"/>
  <c r="V7511" i="1" s="1"/>
  <c r="U7512" i="1"/>
  <c r="U7513" i="1"/>
  <c r="V7513" i="1" s="1"/>
  <c r="U7514" i="1"/>
  <c r="U7515" i="1"/>
  <c r="U7516" i="1"/>
  <c r="U7517" i="1"/>
  <c r="U7518" i="1"/>
  <c r="U7519" i="1"/>
  <c r="V7519" i="1" s="1"/>
  <c r="U7520" i="1"/>
  <c r="U7521" i="1"/>
  <c r="V7521" i="1" s="1"/>
  <c r="U7522" i="1"/>
  <c r="U7523" i="1"/>
  <c r="U7524" i="1"/>
  <c r="U7525" i="1"/>
  <c r="U7526" i="1"/>
  <c r="U7527" i="1"/>
  <c r="V7527" i="1" s="1"/>
  <c r="U7528" i="1"/>
  <c r="U7529" i="1"/>
  <c r="V7529" i="1" s="1"/>
  <c r="U7530" i="1"/>
  <c r="U7531" i="1"/>
  <c r="U7532" i="1"/>
  <c r="U7533" i="1"/>
  <c r="U7534" i="1"/>
  <c r="U7535" i="1"/>
  <c r="V7535" i="1" s="1"/>
  <c r="U7536" i="1"/>
  <c r="U7537" i="1"/>
  <c r="V7537" i="1" s="1"/>
  <c r="U7538" i="1"/>
  <c r="U7539" i="1"/>
  <c r="U7540" i="1"/>
  <c r="U7541" i="1"/>
  <c r="U7542" i="1"/>
  <c r="U7543" i="1"/>
  <c r="V7543" i="1" s="1"/>
  <c r="U7544" i="1"/>
  <c r="U7545" i="1"/>
  <c r="V7545" i="1" s="1"/>
  <c r="U7546" i="1"/>
  <c r="U7547" i="1"/>
  <c r="U7548" i="1"/>
  <c r="U7549" i="1"/>
  <c r="U7550" i="1"/>
  <c r="U7551" i="1"/>
  <c r="V7551" i="1" s="1"/>
  <c r="U7552" i="1"/>
  <c r="U7553" i="1"/>
  <c r="V7553" i="1" s="1"/>
  <c r="U7554" i="1"/>
  <c r="U7555" i="1"/>
  <c r="U7556" i="1"/>
  <c r="U7557" i="1"/>
  <c r="U7558" i="1"/>
  <c r="U7559" i="1"/>
  <c r="V7559" i="1" s="1"/>
  <c r="U7560" i="1"/>
  <c r="U7561" i="1"/>
  <c r="V7561" i="1" s="1"/>
  <c r="U7562" i="1"/>
  <c r="U7563" i="1"/>
  <c r="U7564" i="1"/>
  <c r="U7565" i="1"/>
  <c r="U7566" i="1"/>
  <c r="U7567" i="1"/>
  <c r="V7567" i="1" s="1"/>
  <c r="U7568" i="1"/>
  <c r="U7569" i="1"/>
  <c r="V7569" i="1" s="1"/>
  <c r="U7570" i="1"/>
  <c r="U7571" i="1"/>
  <c r="U7572" i="1"/>
  <c r="U7573" i="1"/>
  <c r="U7574" i="1"/>
  <c r="U7575" i="1"/>
  <c r="V7575" i="1" s="1"/>
  <c r="U7576" i="1"/>
  <c r="U7577" i="1"/>
  <c r="V7577" i="1" s="1"/>
  <c r="U7578" i="1"/>
  <c r="U7579" i="1"/>
  <c r="U7580" i="1"/>
  <c r="U7581" i="1"/>
  <c r="U7582" i="1"/>
  <c r="U7583" i="1"/>
  <c r="V7583" i="1" s="1"/>
  <c r="U7584" i="1"/>
  <c r="U7585" i="1"/>
  <c r="V7585" i="1" s="1"/>
  <c r="U7586" i="1"/>
  <c r="U7587" i="1"/>
  <c r="U7588" i="1"/>
  <c r="U7589" i="1"/>
  <c r="U7590" i="1"/>
  <c r="U7591" i="1"/>
  <c r="V7591" i="1" s="1"/>
  <c r="U7592" i="1"/>
  <c r="U7593" i="1"/>
  <c r="V7593" i="1" s="1"/>
  <c r="U7594" i="1"/>
  <c r="U7595" i="1"/>
  <c r="U7596" i="1"/>
  <c r="U7597" i="1"/>
  <c r="U7598" i="1"/>
  <c r="U7599" i="1"/>
  <c r="V7599" i="1" s="1"/>
  <c r="U7600" i="1"/>
  <c r="U7601" i="1"/>
  <c r="V7601" i="1" s="1"/>
  <c r="U7602" i="1"/>
  <c r="U7603" i="1"/>
  <c r="U7604" i="1"/>
  <c r="U7605" i="1"/>
  <c r="U7606" i="1"/>
  <c r="U7607" i="1"/>
  <c r="V7607" i="1" s="1"/>
  <c r="U7608" i="1"/>
  <c r="U7609" i="1"/>
  <c r="V7609" i="1" s="1"/>
  <c r="U7610" i="1"/>
  <c r="U7611" i="1"/>
  <c r="U7612" i="1"/>
  <c r="U7613" i="1"/>
  <c r="U7614" i="1"/>
  <c r="U7615" i="1"/>
  <c r="V7615" i="1" s="1"/>
  <c r="U7616" i="1"/>
  <c r="U7617" i="1"/>
  <c r="V7617" i="1" s="1"/>
  <c r="U7618" i="1"/>
  <c r="U7619" i="1"/>
  <c r="U7620" i="1"/>
  <c r="U7621" i="1"/>
  <c r="U7622" i="1"/>
  <c r="U7623" i="1"/>
  <c r="V7623" i="1" s="1"/>
  <c r="U7624" i="1"/>
  <c r="U7625" i="1"/>
  <c r="V7625" i="1" s="1"/>
  <c r="U7626" i="1"/>
  <c r="U7627" i="1"/>
  <c r="U7628" i="1"/>
  <c r="U7629" i="1"/>
  <c r="U7630" i="1"/>
  <c r="U7631" i="1"/>
  <c r="V7631" i="1" s="1"/>
  <c r="U7632" i="1"/>
  <c r="U7633" i="1"/>
  <c r="V7633" i="1" s="1"/>
  <c r="U7634" i="1"/>
  <c r="U7635" i="1"/>
  <c r="U7636" i="1"/>
  <c r="U7637" i="1"/>
  <c r="U7638" i="1"/>
  <c r="U7639" i="1"/>
  <c r="V7639" i="1" s="1"/>
  <c r="U7640" i="1"/>
  <c r="U7641" i="1"/>
  <c r="V7641" i="1" s="1"/>
  <c r="U7642" i="1"/>
  <c r="U7643" i="1"/>
  <c r="U7644" i="1"/>
  <c r="U7645" i="1"/>
  <c r="U7646" i="1"/>
  <c r="U7647" i="1"/>
  <c r="V7647" i="1" s="1"/>
  <c r="U7648" i="1"/>
  <c r="U7649" i="1"/>
  <c r="V7649" i="1" s="1"/>
  <c r="U7650" i="1"/>
  <c r="U7651" i="1"/>
  <c r="U7652" i="1"/>
  <c r="U7653" i="1"/>
  <c r="U7654" i="1"/>
  <c r="U7655" i="1"/>
  <c r="V7655" i="1" s="1"/>
  <c r="U7656" i="1"/>
  <c r="U7657" i="1"/>
  <c r="V7657" i="1" s="1"/>
  <c r="U7658" i="1"/>
  <c r="V7658" i="1" s="1"/>
  <c r="U7659" i="1"/>
  <c r="U7660" i="1"/>
  <c r="U7661" i="1"/>
  <c r="V7661" i="1" s="1"/>
  <c r="U7662" i="1"/>
  <c r="U7663" i="1"/>
  <c r="V7663" i="1" s="1"/>
  <c r="U7664" i="1"/>
  <c r="U7665" i="1"/>
  <c r="V7665" i="1" s="1"/>
  <c r="U7666" i="1"/>
  <c r="V7666" i="1" s="1"/>
  <c r="U7667" i="1"/>
  <c r="U7668" i="1"/>
  <c r="U7669" i="1"/>
  <c r="U7670" i="1"/>
  <c r="U7671" i="1"/>
  <c r="V7671" i="1" s="1"/>
  <c r="U7672" i="1"/>
  <c r="U7673" i="1"/>
  <c r="V7673" i="1" s="1"/>
  <c r="U7674" i="1"/>
  <c r="U7675" i="1"/>
  <c r="U7676" i="1"/>
  <c r="U7677" i="1"/>
  <c r="U7678" i="1"/>
  <c r="U7679" i="1"/>
  <c r="V7679" i="1" s="1"/>
  <c r="U7680" i="1"/>
  <c r="U7681" i="1"/>
  <c r="V7681" i="1" s="1"/>
  <c r="U7682" i="1"/>
  <c r="V7682" i="1" s="1"/>
  <c r="U7683" i="1"/>
  <c r="U7684" i="1"/>
  <c r="U7685" i="1"/>
  <c r="V7685" i="1" s="1"/>
  <c r="U7686" i="1"/>
  <c r="U7687" i="1"/>
  <c r="V7687" i="1" s="1"/>
  <c r="U7688" i="1"/>
  <c r="U7689" i="1"/>
  <c r="V7689" i="1" s="1"/>
  <c r="U7690" i="1"/>
  <c r="U7691" i="1"/>
  <c r="U7692" i="1"/>
  <c r="U7693" i="1"/>
  <c r="V7693" i="1" s="1"/>
  <c r="U7694" i="1"/>
  <c r="U7695" i="1"/>
  <c r="V7695" i="1" s="1"/>
  <c r="U7696" i="1"/>
  <c r="U7697" i="1"/>
  <c r="V7697" i="1" s="1"/>
  <c r="U7698" i="1"/>
  <c r="V7698" i="1" s="1"/>
  <c r="U7699" i="1"/>
  <c r="U7700" i="1"/>
  <c r="U7701" i="1"/>
  <c r="U7702" i="1"/>
  <c r="U7703" i="1"/>
  <c r="V7703" i="1" s="1"/>
  <c r="U7704" i="1"/>
  <c r="U7705" i="1"/>
  <c r="V7705" i="1" s="1"/>
  <c r="U7706" i="1"/>
  <c r="U7707" i="1"/>
  <c r="U7708" i="1"/>
  <c r="U7709" i="1"/>
  <c r="U7710" i="1"/>
  <c r="U7711" i="1"/>
  <c r="V7711" i="1" s="1"/>
  <c r="U7712" i="1"/>
  <c r="U7713" i="1"/>
  <c r="V7713" i="1" s="1"/>
  <c r="U7714" i="1"/>
  <c r="V7714" i="1" s="1"/>
  <c r="U7715" i="1"/>
  <c r="U7716" i="1"/>
  <c r="U7717" i="1"/>
  <c r="V7717" i="1" s="1"/>
  <c r="U7718" i="1"/>
  <c r="U7719" i="1"/>
  <c r="V7719" i="1" s="1"/>
  <c r="U7720" i="1"/>
  <c r="U7721" i="1"/>
  <c r="V7721" i="1" s="1"/>
  <c r="U7722" i="1"/>
  <c r="U7723" i="1"/>
  <c r="U7724" i="1"/>
  <c r="U7725" i="1"/>
  <c r="V7725" i="1" s="1"/>
  <c r="V6762" i="1"/>
  <c r="V6764" i="1"/>
  <c r="V6765" i="1"/>
  <c r="V6766" i="1"/>
  <c r="V6770" i="1"/>
  <c r="V6773" i="1"/>
  <c r="V6778" i="1"/>
  <c r="V6781" i="1"/>
  <c r="V6786" i="1"/>
  <c r="V6789" i="1"/>
  <c r="V6794" i="1"/>
  <c r="V6797" i="1"/>
  <c r="V6802" i="1"/>
  <c r="V6805" i="1"/>
  <c r="V6810" i="1"/>
  <c r="V6813" i="1"/>
  <c r="V6818" i="1"/>
  <c r="V6821" i="1"/>
  <c r="V6826" i="1"/>
  <c r="V6829" i="1"/>
  <c r="V6834" i="1"/>
  <c r="V6837" i="1"/>
  <c r="V6842" i="1"/>
  <c r="V6845" i="1"/>
  <c r="V6850" i="1"/>
  <c r="V6852" i="1"/>
  <c r="V6853" i="1"/>
  <c r="V6858" i="1"/>
  <c r="V6861" i="1"/>
  <c r="V6866" i="1"/>
  <c r="V6869" i="1"/>
  <c r="V6874" i="1"/>
  <c r="V6877" i="1"/>
  <c r="V6882" i="1"/>
  <c r="V6885" i="1"/>
  <c r="V6890" i="1"/>
  <c r="V6893" i="1"/>
  <c r="V6898" i="1"/>
  <c r="V6901" i="1"/>
  <c r="V6906" i="1"/>
  <c r="V6909" i="1"/>
  <c r="V6914" i="1"/>
  <c r="V6917" i="1"/>
  <c r="V6922" i="1"/>
  <c r="V6925" i="1"/>
  <c r="V6930" i="1"/>
  <c r="V6933" i="1"/>
  <c r="V6938" i="1"/>
  <c r="V6941" i="1"/>
  <c r="V6946" i="1"/>
  <c r="V6949" i="1"/>
  <c r="V6954" i="1"/>
  <c r="V6957" i="1"/>
  <c r="V6962" i="1"/>
  <c r="V6965" i="1"/>
  <c r="V6970" i="1"/>
  <c r="V6973" i="1"/>
  <c r="V6978" i="1"/>
  <c r="V6981" i="1"/>
  <c r="V6986" i="1"/>
  <c r="V6989" i="1"/>
  <c r="V6994" i="1"/>
  <c r="V6997" i="1"/>
  <c r="V7002" i="1"/>
  <c r="V7005" i="1"/>
  <c r="V7010" i="1"/>
  <c r="V7013" i="1"/>
  <c r="V7018" i="1"/>
  <c r="V7021" i="1"/>
  <c r="V7026" i="1"/>
  <c r="V7029" i="1"/>
  <c r="V7034" i="1"/>
  <c r="V7037" i="1"/>
  <c r="V7042" i="1"/>
  <c r="V7045" i="1"/>
  <c r="V7050" i="1"/>
  <c r="V7053" i="1"/>
  <c r="V7058" i="1"/>
  <c r="V7061" i="1"/>
  <c r="V7066" i="1"/>
  <c r="V7069" i="1"/>
  <c r="V7074" i="1"/>
  <c r="V7077" i="1"/>
  <c r="V7082" i="1"/>
  <c r="V7085" i="1"/>
  <c r="V7090" i="1"/>
  <c r="V7093" i="1"/>
  <c r="V7098" i="1"/>
  <c r="V7101" i="1"/>
  <c r="V7106" i="1"/>
  <c r="V7114" i="1"/>
  <c r="V7122" i="1"/>
  <c r="V7130" i="1"/>
  <c r="V7138" i="1"/>
  <c r="V7146" i="1"/>
  <c r="V7154" i="1"/>
  <c r="V7162" i="1"/>
  <c r="V7170" i="1"/>
  <c r="V7178" i="1"/>
  <c r="V7186" i="1"/>
  <c r="V7194" i="1"/>
  <c r="V7202" i="1"/>
  <c r="V7210" i="1"/>
  <c r="V7218" i="1"/>
  <c r="V7221" i="1"/>
  <c r="V7226" i="1"/>
  <c r="V7229" i="1"/>
  <c r="V7234" i="1"/>
  <c r="V7237" i="1"/>
  <c r="V7242" i="1"/>
  <c r="V7245" i="1"/>
  <c r="V7250" i="1"/>
  <c r="V7253" i="1"/>
  <c r="V7258" i="1"/>
  <c r="V7261" i="1"/>
  <c r="V7266" i="1"/>
  <c r="V7269" i="1"/>
  <c r="V7274" i="1"/>
  <c r="V7277" i="1"/>
  <c r="V7282" i="1"/>
  <c r="V7285" i="1"/>
  <c r="V7290" i="1"/>
  <c r="V7293" i="1"/>
  <c r="V7298" i="1"/>
  <c r="V7301" i="1"/>
  <c r="V7306" i="1"/>
  <c r="V7309" i="1"/>
  <c r="V7314" i="1"/>
  <c r="V7317" i="1"/>
  <c r="V7322" i="1"/>
  <c r="V7325" i="1"/>
  <c r="V7330" i="1"/>
  <c r="V7333" i="1"/>
  <c r="V7338" i="1"/>
  <c r="V7341" i="1"/>
  <c r="V7346" i="1"/>
  <c r="V7349" i="1"/>
  <c r="V7354" i="1"/>
  <c r="V7357" i="1"/>
  <c r="V7362" i="1"/>
  <c r="V7365" i="1"/>
  <c r="V7370" i="1"/>
  <c r="V7373" i="1"/>
  <c r="V7378" i="1"/>
  <c r="V7381" i="1"/>
  <c r="V7386" i="1"/>
  <c r="V7389" i="1"/>
  <c r="V7394" i="1"/>
  <c r="V7397" i="1"/>
  <c r="V7402" i="1"/>
  <c r="V7405" i="1"/>
  <c r="V7410" i="1"/>
  <c r="V7413" i="1"/>
  <c r="V7418" i="1"/>
  <c r="V7421" i="1"/>
  <c r="V7426" i="1"/>
  <c r="V7429" i="1"/>
  <c r="V7434" i="1"/>
  <c r="V7437" i="1"/>
  <c r="V7442" i="1"/>
  <c r="V7445" i="1"/>
  <c r="V7450" i="1"/>
  <c r="V7453" i="1"/>
  <c r="V7458" i="1"/>
  <c r="V7461" i="1"/>
  <c r="V7466" i="1"/>
  <c r="V7469" i="1"/>
  <c r="V7474" i="1"/>
  <c r="V7477" i="1"/>
  <c r="V7482" i="1"/>
  <c r="V7485" i="1"/>
  <c r="V7490" i="1"/>
  <c r="V7493" i="1"/>
  <c r="V7498" i="1"/>
  <c r="V7501" i="1"/>
  <c r="V7506" i="1"/>
  <c r="V7509" i="1"/>
  <c r="V7514" i="1"/>
  <c r="V7517" i="1"/>
  <c r="V7522" i="1"/>
  <c r="V7525" i="1"/>
  <c r="V7530" i="1"/>
  <c r="V7533" i="1"/>
  <c r="V7538" i="1"/>
  <c r="V7541" i="1"/>
  <c r="V7546" i="1"/>
  <c r="V7549" i="1"/>
  <c r="V7554" i="1"/>
  <c r="V7557" i="1"/>
  <c r="V7562" i="1"/>
  <c r="V7565" i="1"/>
  <c r="V7570" i="1"/>
  <c r="V7573" i="1"/>
  <c r="V7578" i="1"/>
  <c r="V7581" i="1"/>
  <c r="V7586" i="1"/>
  <c r="V7589" i="1"/>
  <c r="V7594" i="1"/>
  <c r="V7597" i="1"/>
  <c r="V7602" i="1"/>
  <c r="V7605" i="1"/>
  <c r="V7610" i="1"/>
  <c r="V7613" i="1"/>
  <c r="V7618" i="1"/>
  <c r="V7621" i="1"/>
  <c r="V7626" i="1"/>
  <c r="V7629" i="1"/>
  <c r="V7634" i="1"/>
  <c r="V7637" i="1"/>
  <c r="V7642" i="1"/>
  <c r="V7645" i="1"/>
  <c r="V7650" i="1"/>
  <c r="V7653" i="1"/>
  <c r="V7669" i="1"/>
  <c r="V7674" i="1"/>
  <c r="V7677" i="1"/>
  <c r="V7690" i="1"/>
  <c r="V7701" i="1"/>
  <c r="V7706" i="1"/>
  <c r="V7709" i="1"/>
  <c r="V7722" i="1"/>
  <c r="T6685" i="1"/>
  <c r="T611" i="1"/>
  <c r="T952" i="1"/>
  <c r="T1389" i="1"/>
  <c r="T1515" i="1"/>
  <c r="T1847" i="1"/>
  <c r="T2556" i="1"/>
  <c r="T2846" i="1"/>
  <c r="T3201" i="1"/>
  <c r="T3594" i="1"/>
  <c r="T3799" i="1"/>
  <c r="T3982" i="1"/>
  <c r="T4662" i="1"/>
  <c r="T4883" i="1"/>
  <c r="T5301" i="1"/>
  <c r="T5738" i="1"/>
  <c r="T5948" i="1"/>
  <c r="T6143" i="1"/>
  <c r="T6687" i="1"/>
  <c r="T522" i="1"/>
  <c r="T1084" i="1"/>
  <c r="T2007" i="1"/>
  <c r="T2392" i="1"/>
  <c r="T2922" i="1"/>
  <c r="T3944" i="1"/>
  <c r="T4587" i="1"/>
  <c r="T4950" i="1"/>
  <c r="T5794" i="1"/>
  <c r="T6279" i="1"/>
  <c r="T6751" i="1"/>
  <c r="T714" i="1"/>
  <c r="T1356" i="1"/>
  <c r="T1870" i="1"/>
  <c r="T2444" i="1"/>
  <c r="T2752" i="1"/>
  <c r="T3119" i="1"/>
  <c r="T3489" i="1"/>
  <c r="T3939" i="1"/>
  <c r="T4428" i="1"/>
  <c r="T5091" i="1"/>
  <c r="T5613" i="1"/>
  <c r="T5900" i="1"/>
  <c r="T140" i="1"/>
  <c r="T382" i="1"/>
  <c r="T695" i="1"/>
  <c r="T1088" i="1"/>
  <c r="T1249" i="1"/>
  <c r="T1469" i="1"/>
  <c r="T1960" i="1"/>
  <c r="T2229" i="1"/>
  <c r="T2447" i="1"/>
  <c r="T2876" i="1"/>
  <c r="T3181" i="1"/>
  <c r="T3492" i="1"/>
  <c r="T4031" i="1"/>
  <c r="T4477" i="1"/>
  <c r="T4665" i="1"/>
  <c r="T5323" i="1"/>
  <c r="T5622" i="1"/>
  <c r="T5921" i="1"/>
  <c r="T6313" i="1"/>
  <c r="T158" i="1"/>
  <c r="T652" i="1"/>
  <c r="T1933" i="1"/>
  <c r="T2453" i="1"/>
  <c r="T2738" i="1"/>
  <c r="T4417" i="1"/>
  <c r="T4729" i="1"/>
  <c r="T5231" i="1"/>
  <c r="T6555" i="1"/>
  <c r="T74" i="1"/>
  <c r="T409" i="1"/>
  <c r="T1201" i="1"/>
  <c r="T1598" i="1"/>
  <c r="T2057" i="1"/>
  <c r="T2972" i="1"/>
  <c r="T3267" i="1"/>
  <c r="T3583" i="1"/>
  <c r="T4208" i="1"/>
  <c r="T4427" i="1"/>
  <c r="T4760" i="1"/>
  <c r="T5808" i="1"/>
  <c r="T6335" i="1"/>
  <c r="T6600" i="1"/>
  <c r="T421" i="1"/>
  <c r="T829" i="1"/>
  <c r="T1124" i="1"/>
  <c r="T1640" i="1"/>
  <c r="T2151" i="1"/>
  <c r="T2414" i="1"/>
  <c r="T3251" i="1"/>
  <c r="T3573" i="1"/>
  <c r="T3846" i="1"/>
  <c r="T4245" i="1"/>
  <c r="T4628" i="1"/>
  <c r="T4958" i="1"/>
  <c r="T5664" i="1"/>
  <c r="T5788" i="1"/>
  <c r="T6086" i="1"/>
  <c r="T6566" i="1"/>
  <c r="T275" i="1"/>
  <c r="T1294" i="1"/>
  <c r="T2743" i="1"/>
  <c r="T3049" i="1"/>
  <c r="T3656" i="1"/>
  <c r="T5290" i="1"/>
  <c r="T5865" i="1"/>
  <c r="T6128" i="1"/>
  <c r="T204" i="1"/>
  <c r="T447" i="1"/>
  <c r="T793" i="1"/>
  <c r="T1691" i="1"/>
  <c r="T1931" i="1"/>
  <c r="T2327" i="1"/>
  <c r="T3220" i="1"/>
  <c r="T3645" i="1"/>
  <c r="T4224" i="1"/>
  <c r="T4808" i="1"/>
  <c r="T5095" i="1"/>
  <c r="T5317" i="1"/>
  <c r="T6051" i="1"/>
  <c r="T6534" i="1"/>
  <c r="T182" i="1"/>
  <c r="T663" i="1"/>
  <c r="T980" i="1"/>
  <c r="T1883" i="1"/>
  <c r="T2242" i="1"/>
  <c r="T3214" i="1"/>
  <c r="T3550" i="1"/>
  <c r="T4275" i="1"/>
  <c r="T4714" i="1"/>
  <c r="T5696" i="1"/>
  <c r="T6012" i="1"/>
  <c r="T6145" i="1"/>
  <c r="T6370" i="1"/>
  <c r="T453" i="1"/>
  <c r="T1113" i="1"/>
  <c r="T1829" i="1"/>
  <c r="T2697" i="1"/>
  <c r="T3163" i="1"/>
  <c r="T4172" i="1"/>
  <c r="T5752" i="1"/>
  <c r="T6364" i="1"/>
  <c r="T298" i="1"/>
  <c r="T979" i="1"/>
  <c r="T1166" i="1"/>
  <c r="T1551" i="1"/>
  <c r="T1786" i="1"/>
  <c r="T2135" i="1"/>
  <c r="T2706" i="1"/>
  <c r="T2961" i="1"/>
  <c r="T3782" i="1"/>
  <c r="T4265" i="1"/>
  <c r="T4718" i="1"/>
  <c r="T5269" i="1"/>
  <c r="T5658" i="1"/>
  <c r="T6242" i="1"/>
  <c r="T6658" i="1"/>
  <c r="T491" i="1"/>
  <c r="T636" i="1"/>
  <c r="T1015" i="1"/>
  <c r="U1308" i="1"/>
  <c r="T1528" i="1"/>
  <c r="T1821" i="1"/>
  <c r="T2109" i="1"/>
  <c r="T2425" i="1"/>
  <c r="T2634" i="1"/>
  <c r="T2980" i="1"/>
  <c r="T3316" i="1"/>
  <c r="U3468" i="1"/>
  <c r="T3885" i="1"/>
  <c r="T4034" i="1"/>
  <c r="T4168" i="1"/>
  <c r="T4571" i="1"/>
  <c r="T4679" i="1"/>
  <c r="T5053" i="1"/>
  <c r="T5528" i="1"/>
  <c r="T6009" i="1"/>
  <c r="T6343" i="1"/>
  <c r="T23" i="1"/>
  <c r="T499" i="1"/>
  <c r="T880" i="1"/>
  <c r="T1344" i="1"/>
  <c r="T2083" i="1"/>
  <c r="U2698" i="1"/>
  <c r="T2943" i="1"/>
  <c r="T3562" i="1"/>
  <c r="T4222" i="1"/>
  <c r="U5244" i="1"/>
  <c r="T6402" i="1"/>
  <c r="T294" i="1"/>
  <c r="T821" i="1"/>
  <c r="T1068" i="1"/>
  <c r="U1705" i="1"/>
  <c r="T1961" i="1"/>
  <c r="T2274" i="1"/>
  <c r="T2544" i="1"/>
  <c r="T3368" i="1"/>
  <c r="T3822" i="1"/>
  <c r="T4044" i="1"/>
  <c r="U4442" i="1"/>
  <c r="T4622" i="1"/>
  <c r="T4937" i="1"/>
  <c r="T5391" i="1"/>
  <c r="T5636" i="1"/>
  <c r="T6120" i="1"/>
  <c r="T6570" i="1"/>
  <c r="T6617" i="1"/>
  <c r="U171" i="1"/>
  <c r="T334" i="1"/>
  <c r="T746" i="1"/>
  <c r="T983" i="1"/>
  <c r="T1430" i="1"/>
  <c r="T1783" i="1"/>
  <c r="T2015" i="1"/>
  <c r="T2176" i="1"/>
  <c r="U2398" i="1"/>
  <c r="T2566" i="1"/>
  <c r="T2935" i="1"/>
  <c r="T3171" i="1"/>
  <c r="T3513" i="1"/>
  <c r="T3956" i="1"/>
  <c r="T4066" i="1"/>
  <c r="T4298" i="1"/>
  <c r="U4544" i="1"/>
  <c r="T4812" i="1"/>
  <c r="T4946" i="1"/>
  <c r="T5268" i="1"/>
  <c r="T6198" i="1"/>
  <c r="T6374" i="1"/>
  <c r="T6530" i="1"/>
  <c r="T493" i="1"/>
  <c r="T941" i="1"/>
  <c r="T1826" i="1"/>
  <c r="T2630" i="1"/>
  <c r="U3397" i="1"/>
  <c r="T3817" i="1"/>
  <c r="T4678" i="1"/>
  <c r="T5330" i="1"/>
  <c r="T6116" i="1"/>
  <c r="T481" i="1"/>
  <c r="T866" i="1"/>
  <c r="U1471" i="1"/>
  <c r="T2041" i="1"/>
  <c r="T2429" i="1"/>
  <c r="T3010" i="1"/>
  <c r="U3556" i="1"/>
  <c r="T4060" i="1"/>
  <c r="T5148" i="1"/>
  <c r="T5390" i="1"/>
  <c r="T6018" i="1"/>
  <c r="T6502" i="1"/>
  <c r="U17" i="1"/>
  <c r="T249" i="1"/>
  <c r="T513" i="1"/>
  <c r="U731" i="1"/>
  <c r="T1051" i="1"/>
  <c r="T1188" i="1"/>
  <c r="T1656" i="1"/>
  <c r="T1934" i="1"/>
  <c r="T2498" i="1"/>
  <c r="T2832" i="1"/>
  <c r="T3079" i="1"/>
  <c r="T3877" i="1"/>
  <c r="U4171" i="1"/>
  <c r="T4552" i="1"/>
  <c r="T5210" i="1"/>
  <c r="T5549" i="1"/>
  <c r="T6078" i="1"/>
  <c r="U6458" i="1"/>
  <c r="T6745" i="1"/>
  <c r="T466" i="1"/>
  <c r="T547" i="1"/>
  <c r="T1135" i="1"/>
  <c r="T1136" i="1"/>
  <c r="T1423" i="1"/>
  <c r="T1459" i="1"/>
  <c r="T2332" i="1"/>
  <c r="T3256" i="1"/>
  <c r="T3585" i="1"/>
  <c r="T4197" i="1"/>
  <c r="T4764" i="1"/>
  <c r="T5061" i="1"/>
  <c r="T5128" i="1"/>
  <c r="T5433" i="1"/>
  <c r="T5509" i="1"/>
  <c r="T5699" i="1"/>
  <c r="T5802" i="1"/>
  <c r="T6586" i="1"/>
  <c r="T386" i="1"/>
  <c r="T708" i="1"/>
  <c r="T1033" i="1"/>
  <c r="T1414" i="1"/>
  <c r="T1932" i="1"/>
  <c r="T1995" i="1"/>
  <c r="T2361" i="1"/>
  <c r="T2373" i="1"/>
  <c r="T2735" i="1"/>
  <c r="T2839" i="1"/>
  <c r="T3143" i="1"/>
  <c r="T3500" i="1"/>
  <c r="T3595" i="1"/>
  <c r="T3966" i="1"/>
  <c r="T4345" i="1"/>
  <c r="T4514" i="1"/>
  <c r="T4724" i="1"/>
  <c r="T4753" i="1"/>
  <c r="T5220" i="1"/>
  <c r="T5292" i="1"/>
  <c r="T5537" i="1"/>
  <c r="T5547" i="1"/>
  <c r="T6117" i="1"/>
  <c r="T6529" i="1"/>
  <c r="T6546" i="1"/>
  <c r="T6664" i="1"/>
  <c r="T229" i="1"/>
  <c r="T516" i="1"/>
  <c r="T668" i="1"/>
  <c r="T723" i="1"/>
  <c r="T854" i="1"/>
  <c r="T898" i="1"/>
  <c r="T1157" i="1"/>
  <c r="T1183" i="1"/>
  <c r="T1508" i="1"/>
  <c r="T1566" i="1"/>
  <c r="T1576" i="1"/>
  <c r="T1774" i="1"/>
  <c r="T2071" i="1"/>
  <c r="T2364" i="1"/>
  <c r="T2396" i="1"/>
  <c r="T2593" i="1"/>
  <c r="T2629" i="1"/>
  <c r="T2932" i="1"/>
  <c r="T2942" i="1"/>
  <c r="T3070" i="1"/>
  <c r="T3071" i="1"/>
  <c r="T3307" i="1"/>
  <c r="T3324" i="1"/>
  <c r="T3560" i="1"/>
  <c r="T3574" i="1"/>
  <c r="T3778" i="1"/>
  <c r="T3975" i="1"/>
  <c r="T4214" i="1"/>
  <c r="T4309" i="1"/>
  <c r="T4511" i="1"/>
  <c r="T4512" i="1"/>
  <c r="T4864" i="1"/>
  <c r="T4869" i="1"/>
  <c r="T5114" i="1"/>
  <c r="T5115" i="1"/>
  <c r="T5383" i="1"/>
  <c r="T5406" i="1"/>
  <c r="T5575" i="1"/>
  <c r="T5604" i="1"/>
  <c r="T5760" i="1"/>
  <c r="T6079" i="1"/>
  <c r="T6339" i="1"/>
  <c r="T6362" i="1"/>
  <c r="T6582" i="1"/>
  <c r="T6584" i="1"/>
  <c r="T6755" i="1"/>
  <c r="T6753" i="1"/>
  <c r="T261" i="1"/>
  <c r="T345" i="1"/>
  <c r="T886" i="1"/>
  <c r="T1142" i="1"/>
  <c r="T1638" i="1"/>
  <c r="T1704" i="1"/>
  <c r="T2278" i="1"/>
  <c r="T3120" i="1"/>
  <c r="T3531" i="1"/>
  <c r="T3610" i="1"/>
  <c r="T3930" i="1"/>
  <c r="T3942" i="1"/>
  <c r="T4719" i="1"/>
  <c r="T4874" i="1"/>
  <c r="T6024" i="1"/>
  <c r="T6087" i="1"/>
  <c r="T6733" i="1"/>
  <c r="T6665" i="1"/>
  <c r="T721" i="1"/>
  <c r="T726" i="1"/>
  <c r="T933" i="1"/>
  <c r="T1309" i="1"/>
  <c r="T1450" i="1"/>
  <c r="T1454" i="1"/>
  <c r="T1974" i="1"/>
  <c r="T2008" i="1"/>
  <c r="T2883" i="1"/>
  <c r="T2934" i="1"/>
  <c r="T3198" i="1"/>
  <c r="T3233" i="1"/>
  <c r="T3523" i="1"/>
  <c r="T3596" i="1"/>
  <c r="T3780" i="1"/>
  <c r="T3790" i="1"/>
  <c r="T4098" i="1"/>
  <c r="T4121" i="1"/>
  <c r="T4576" i="1"/>
  <c r="T5073" i="1"/>
  <c r="T5121" i="1"/>
  <c r="T5355" i="1"/>
  <c r="T5534" i="1"/>
  <c r="T5743" i="1"/>
  <c r="T5769" i="1"/>
  <c r="T6089" i="1"/>
  <c r="T6136" i="1"/>
  <c r="T6531" i="1"/>
  <c r="T6551" i="1"/>
  <c r="T37" i="1"/>
  <c r="T83" i="1"/>
  <c r="T263" i="1"/>
  <c r="T273" i="1"/>
  <c r="T641" i="1"/>
  <c r="T999" i="1"/>
  <c r="T1025" i="1"/>
  <c r="T1442" i="1"/>
  <c r="T1600" i="1"/>
  <c r="T1801" i="1"/>
  <c r="T1807" i="1"/>
  <c r="T1964" i="1"/>
  <c r="T2038" i="1"/>
  <c r="T2138" i="1"/>
  <c r="T2170" i="1"/>
  <c r="T2315" i="1"/>
  <c r="T2318" i="1"/>
  <c r="T2622" i="1"/>
  <c r="T2659" i="1"/>
  <c r="T2937" i="1"/>
  <c r="T3330" i="1"/>
  <c r="T3353" i="1"/>
  <c r="T3710" i="1"/>
  <c r="T3728" i="1"/>
  <c r="T3907" i="1"/>
  <c r="T3915" i="1"/>
  <c r="T4116" i="1"/>
  <c r="T4154" i="1"/>
  <c r="T4318" i="1"/>
  <c r="T4406" i="1"/>
  <c r="T4796" i="1"/>
  <c r="T4811" i="1"/>
  <c r="T5081" i="1"/>
  <c r="T5086" i="1"/>
  <c r="T5566" i="1"/>
  <c r="T5667" i="1"/>
  <c r="T5718" i="1"/>
  <c r="T5982" i="1"/>
  <c r="T5986" i="1"/>
  <c r="T6269" i="1"/>
  <c r="T6275" i="1"/>
  <c r="T6500" i="1"/>
  <c r="T6509" i="1"/>
  <c r="T303" i="1"/>
  <c r="T378" i="1"/>
  <c r="T670" i="1"/>
  <c r="T712" i="1"/>
  <c r="T1230" i="1"/>
  <c r="T1271" i="1"/>
  <c r="T1864" i="1"/>
  <c r="T2237" i="1"/>
  <c r="T2264" i="1"/>
  <c r="T2775" i="1"/>
  <c r="T2906" i="1"/>
  <c r="T3329" i="1"/>
  <c r="T3383" i="1"/>
  <c r="T4201" i="1"/>
  <c r="T4303" i="1"/>
  <c r="T4751" i="1"/>
  <c r="T4765" i="1"/>
  <c r="T5533" i="1"/>
  <c r="T5644" i="1"/>
  <c r="T5859" i="1"/>
  <c r="T5896" i="1"/>
  <c r="T6455" i="1"/>
  <c r="T50" i="1"/>
  <c r="T256" i="1"/>
  <c r="T605" i="1"/>
  <c r="T637" i="1"/>
  <c r="T986" i="1"/>
  <c r="T1009" i="1"/>
  <c r="T1399" i="1"/>
  <c r="T1493" i="1"/>
  <c r="T1748" i="1"/>
  <c r="T1759" i="1"/>
  <c r="T2352" i="1"/>
  <c r="T2481" i="1"/>
  <c r="T3098" i="1"/>
  <c r="T3123" i="1"/>
  <c r="T3670" i="1"/>
  <c r="T4183" i="1"/>
  <c r="T4198" i="1"/>
  <c r="T4524" i="1"/>
  <c r="T4538" i="1"/>
  <c r="T4786" i="1"/>
  <c r="T4816" i="1"/>
  <c r="T4932" i="1"/>
  <c r="T4978" i="1"/>
  <c r="T5176" i="1"/>
  <c r="T5186" i="1"/>
  <c r="T5783" i="1"/>
  <c r="T5952" i="1"/>
  <c r="T6265" i="1"/>
  <c r="T6316" i="1"/>
  <c r="T6636" i="1"/>
  <c r="T179" i="1"/>
  <c r="T236" i="1"/>
  <c r="T618" i="1"/>
  <c r="T649" i="1"/>
  <c r="T804" i="1"/>
  <c r="T951" i="1"/>
  <c r="T1226" i="1"/>
  <c r="T1254" i="1"/>
  <c r="T1613" i="1"/>
  <c r="T1637" i="1"/>
  <c r="T1820" i="1"/>
  <c r="T1865" i="1"/>
  <c r="T1966" i="1"/>
  <c r="T1980" i="1"/>
  <c r="T2370" i="1"/>
  <c r="T2433" i="1"/>
  <c r="T2440" i="1"/>
  <c r="T2736" i="1"/>
  <c r="T2788" i="1"/>
  <c r="T2982" i="1"/>
  <c r="T2993" i="1"/>
  <c r="T3264" i="1"/>
  <c r="T3270" i="1"/>
  <c r="T3444" i="1"/>
  <c r="T3534" i="1"/>
  <c r="T3809" i="1"/>
  <c r="T3853" i="1"/>
  <c r="T4253" i="1"/>
  <c r="T4280" i="1"/>
  <c r="T4502" i="1"/>
  <c r="T4738" i="1"/>
  <c r="T4801" i="1"/>
  <c r="T4989" i="1"/>
  <c r="T5017" i="1"/>
  <c r="T5326" i="1"/>
  <c r="T5328" i="1"/>
  <c r="T5589" i="1"/>
  <c r="T5621" i="1"/>
  <c r="T5799" i="1"/>
  <c r="T5821" i="1"/>
  <c r="T6084" i="1"/>
  <c r="T6229" i="1"/>
  <c r="T6429" i="1"/>
  <c r="T6490" i="1"/>
  <c r="T6605" i="1"/>
  <c r="T885" i="1"/>
  <c r="T888" i="1"/>
  <c r="T1178" i="1"/>
  <c r="T1208" i="1"/>
  <c r="T1743" i="1"/>
  <c r="T1924" i="1"/>
  <c r="T2174" i="1"/>
  <c r="T2243" i="1"/>
  <c r="T2742" i="1"/>
  <c r="T2745" i="1"/>
  <c r="T3087" i="1"/>
  <c r="T3093" i="1"/>
  <c r="T3953" i="1"/>
  <c r="T4036" i="1"/>
  <c r="T4754" i="1"/>
  <c r="T5791" i="1"/>
  <c r="T6137" i="1"/>
  <c r="T6721" i="1"/>
  <c r="T6648" i="1"/>
  <c r="T327" i="1"/>
  <c r="T380" i="1"/>
  <c r="T711" i="1"/>
  <c r="T738" i="1"/>
  <c r="T940" i="1"/>
  <c r="T943" i="1"/>
  <c r="T1149" i="1"/>
  <c r="T1171" i="1"/>
  <c r="T1612" i="1"/>
  <c r="T1629" i="1"/>
  <c r="T1939" i="1"/>
  <c r="T2085" i="1"/>
  <c r="T2100" i="1"/>
  <c r="T2477" i="1"/>
  <c r="T2502" i="1"/>
  <c r="T2918" i="1"/>
  <c r="T2921" i="1"/>
  <c r="T3271" i="1"/>
  <c r="T3320" i="1"/>
  <c r="T3737" i="1"/>
  <c r="T3830" i="1"/>
  <c r="T4300" i="1"/>
  <c r="T4328" i="1"/>
  <c r="T4465" i="1"/>
  <c r="T4489" i="1"/>
  <c r="T4880" i="1"/>
  <c r="T5120" i="1"/>
  <c r="T5190" i="1"/>
  <c r="T5502" i="1"/>
  <c r="T5561" i="1"/>
  <c r="T6092" i="1"/>
  <c r="T6104" i="1"/>
  <c r="T6449" i="1"/>
  <c r="T6491" i="1"/>
  <c r="T6750" i="1"/>
  <c r="T6705" i="1"/>
  <c r="T103" i="1"/>
  <c r="T113" i="1"/>
  <c r="T355" i="1"/>
  <c r="T369" i="1"/>
  <c r="T584" i="1"/>
  <c r="T1010" i="1"/>
  <c r="T1037" i="1"/>
  <c r="T1204" i="1"/>
  <c r="T1251" i="1"/>
  <c r="T1429" i="1"/>
  <c r="T1462" i="1"/>
  <c r="T1590" i="1"/>
  <c r="T1602" i="1"/>
  <c r="T1678" i="1"/>
  <c r="T1770" i="1"/>
  <c r="T1955" i="1"/>
  <c r="T2020" i="1"/>
  <c r="T2323" i="1"/>
  <c r="T2366" i="1"/>
  <c r="T2548" i="1"/>
  <c r="T2604" i="1"/>
  <c r="T2621" i="1"/>
  <c r="T2759" i="1"/>
  <c r="T2761" i="1"/>
  <c r="T2957" i="1"/>
  <c r="T2971" i="1"/>
  <c r="T3140" i="1"/>
  <c r="T3180" i="1"/>
  <c r="T3385" i="1"/>
  <c r="T3391" i="1"/>
  <c r="T3662" i="1"/>
  <c r="T3693" i="1"/>
  <c r="T4085" i="1"/>
  <c r="T4099" i="1"/>
  <c r="T4304" i="1"/>
  <c r="T4558" i="1"/>
  <c r="T4613" i="1"/>
  <c r="T4896" i="1"/>
  <c r="T4898" i="1"/>
  <c r="T5219" i="1"/>
  <c r="T5221" i="1"/>
  <c r="T5392" i="1"/>
  <c r="T5408" i="1"/>
  <c r="T5774" i="1"/>
  <c r="T5780" i="1"/>
  <c r="T5988" i="1"/>
  <c r="T6042" i="1"/>
  <c r="T6331" i="1"/>
  <c r="T6366" i="1"/>
  <c r="T304" i="1"/>
  <c r="T657" i="1"/>
  <c r="T667" i="1"/>
  <c r="T998" i="1"/>
  <c r="T1140" i="1"/>
  <c r="T2017" i="1"/>
  <c r="T2028" i="1"/>
  <c r="T2422" i="1"/>
  <c r="T2470" i="1"/>
  <c r="T3027" i="1"/>
  <c r="T3138" i="1"/>
  <c r="T3491" i="1"/>
  <c r="T3547" i="1"/>
  <c r="T4126" i="1"/>
  <c r="T4147" i="1"/>
  <c r="T4927" i="1"/>
  <c r="T4936" i="1"/>
  <c r="T5506" i="1"/>
  <c r="T5576" i="1"/>
  <c r="T5938" i="1"/>
  <c r="T5951" i="1"/>
  <c r="T6312" i="1"/>
  <c r="T6329" i="1"/>
  <c r="T44" i="1"/>
  <c r="T145" i="1"/>
  <c r="T554" i="1"/>
  <c r="T589" i="1"/>
  <c r="T754" i="1"/>
  <c r="T814" i="1"/>
  <c r="T953" i="1"/>
  <c r="T1058" i="1"/>
  <c r="T1331" i="1"/>
  <c r="T1418" i="1"/>
  <c r="T1681" i="1"/>
  <c r="T1726" i="1"/>
  <c r="T2165" i="1"/>
  <c r="T2263" i="1"/>
  <c r="T2587" i="1"/>
  <c r="T2599" i="1"/>
  <c r="T2869" i="1"/>
  <c r="T2878" i="1"/>
  <c r="T3265" i="1"/>
  <c r="T3310" i="1"/>
  <c r="T3592" i="1"/>
  <c r="T3624" i="1"/>
  <c r="T3972" i="1"/>
  <c r="T4105" i="1"/>
  <c r="T4545" i="1"/>
  <c r="T4893" i="1"/>
  <c r="T4959" i="1"/>
  <c r="T5242" i="1"/>
  <c r="T5271" i="1"/>
  <c r="T5541" i="1"/>
  <c r="T5557" i="1"/>
  <c r="T6067" i="1"/>
  <c r="T6106" i="1"/>
  <c r="T6348" i="1"/>
  <c r="T6351" i="1"/>
  <c r="T115" i="1"/>
  <c r="T117" i="1"/>
  <c r="T361" i="1"/>
  <c r="T383" i="1"/>
  <c r="T654" i="1"/>
  <c r="T887" i="1"/>
  <c r="T924" i="1"/>
  <c r="T1218" i="1"/>
  <c r="T1260" i="1"/>
  <c r="T1366" i="1"/>
  <c r="T1367" i="1"/>
  <c r="T1542" i="1"/>
  <c r="T1606" i="1"/>
  <c r="T1943" i="1"/>
  <c r="T1970" i="1"/>
  <c r="T2150" i="1"/>
  <c r="T2168" i="1"/>
  <c r="T2428" i="1"/>
  <c r="T2462" i="1"/>
  <c r="T2696" i="1"/>
  <c r="T2717" i="1"/>
  <c r="T2945" i="1"/>
  <c r="T2988" i="1"/>
  <c r="T3174" i="1"/>
  <c r="T3199" i="1"/>
  <c r="T3475" i="1"/>
  <c r="T3485" i="1"/>
  <c r="T3643" i="1"/>
  <c r="T3678" i="1"/>
  <c r="T3751" i="1"/>
  <c r="T3804" i="1"/>
  <c r="T4088" i="1"/>
  <c r="T4120" i="1"/>
  <c r="T4430" i="1"/>
  <c r="T4444" i="1"/>
  <c r="T4661" i="1"/>
  <c r="T4667" i="1"/>
  <c r="T5058" i="1"/>
  <c r="T5071" i="1"/>
  <c r="T5342" i="1"/>
  <c r="T5410" i="1"/>
  <c r="T5680" i="1"/>
  <c r="T5685" i="1"/>
  <c r="T5796" i="1"/>
  <c r="T5839" i="1"/>
  <c r="T6109" i="1"/>
  <c r="T6168" i="1"/>
  <c r="T6540" i="1"/>
  <c r="T6541" i="1"/>
  <c r="T317" i="1"/>
  <c r="T344" i="1"/>
  <c r="T937" i="1"/>
  <c r="T1662" i="1"/>
  <c r="T1710" i="1"/>
  <c r="T2266" i="1"/>
  <c r="T2311" i="1"/>
  <c r="T2563" i="1"/>
  <c r="T2605" i="1"/>
  <c r="T3196" i="1"/>
  <c r="T3208" i="1"/>
  <c r="T3767" i="1"/>
  <c r="T3826" i="1"/>
  <c r="T4284" i="1"/>
  <c r="T4353" i="1"/>
  <c r="T5047" i="1"/>
  <c r="T5049" i="1"/>
  <c r="T5389" i="1"/>
  <c r="T5977" i="1"/>
  <c r="T6040" i="1"/>
  <c r="T6708" i="1"/>
  <c r="T180" i="1"/>
  <c r="T680" i="1"/>
  <c r="T686" i="1"/>
  <c r="T955" i="1"/>
  <c r="T965" i="1"/>
  <c r="T1282" i="1"/>
  <c r="T1310" i="1"/>
  <c r="T1799" i="1"/>
  <c r="T1888" i="1"/>
  <c r="T2173" i="1"/>
  <c r="T2313" i="1"/>
  <c r="T2751" i="1"/>
  <c r="T2789" i="1"/>
  <c r="T3231" i="1"/>
  <c r="T3282" i="1"/>
  <c r="T3603" i="1"/>
  <c r="T3676" i="1"/>
  <c r="T4069" i="1"/>
  <c r="T4104" i="1"/>
  <c r="T4420" i="1"/>
  <c r="T4437" i="1"/>
  <c r="T4836" i="1"/>
  <c r="T4888" i="1"/>
  <c r="T5234" i="1"/>
  <c r="T5375" i="1"/>
  <c r="T5851" i="1"/>
  <c r="T5935" i="1"/>
  <c r="T6133" i="1"/>
  <c r="T6162" i="1"/>
  <c r="T6553" i="1"/>
  <c r="T6588" i="1"/>
  <c r="T59" i="1"/>
  <c r="T98" i="1"/>
  <c r="T413" i="1"/>
  <c r="T459" i="1"/>
  <c r="T703" i="1"/>
  <c r="T737" i="1"/>
  <c r="T1128" i="1"/>
  <c r="T1145" i="1"/>
  <c r="T1371" i="1"/>
  <c r="T1372" i="1"/>
  <c r="T1498" i="1"/>
  <c r="T1518" i="1"/>
  <c r="T1789" i="1"/>
  <c r="T1967" i="1"/>
  <c r="T1979" i="1"/>
  <c r="T2126" i="1"/>
  <c r="T2156" i="1"/>
  <c r="T2267" i="1"/>
  <c r="T2269" i="1"/>
  <c r="T2533" i="1"/>
  <c r="T2538" i="1"/>
  <c r="T2734" i="1"/>
  <c r="T2754" i="1"/>
  <c r="T2963" i="1"/>
  <c r="T2996" i="1"/>
  <c r="T3227" i="1"/>
  <c r="T3291" i="1"/>
  <c r="T3685" i="1"/>
  <c r="T4091" i="1"/>
  <c r="T4117" i="1"/>
  <c r="T4308" i="1"/>
  <c r="T4311" i="1"/>
  <c r="T4446" i="1"/>
  <c r="T4464" i="1"/>
  <c r="T4747" i="1"/>
  <c r="T4749" i="1"/>
  <c r="T5166" i="1"/>
  <c r="T5218" i="1"/>
  <c r="T5334" i="1"/>
  <c r="T5358" i="1"/>
  <c r="T5447" i="1"/>
  <c r="T5452" i="1"/>
  <c r="T5753" i="1"/>
  <c r="T5772" i="1"/>
  <c r="T5999" i="1"/>
  <c r="T6004" i="1"/>
  <c r="T6274" i="1"/>
  <c r="T6283" i="1"/>
  <c r="T6484" i="1"/>
  <c r="T6498" i="1"/>
  <c r="T6742" i="1"/>
  <c r="T6652" i="1"/>
  <c r="T125" i="1"/>
  <c r="T226" i="1"/>
  <c r="T543" i="1"/>
  <c r="T559" i="1"/>
  <c r="T798" i="1"/>
  <c r="T920" i="1"/>
  <c r="T1472" i="1"/>
  <c r="T1538" i="1"/>
  <c r="T2572" i="1"/>
  <c r="T2683" i="1"/>
  <c r="T3187" i="1"/>
  <c r="T3326" i="1"/>
  <c r="T4132" i="1"/>
  <c r="T4148" i="1"/>
  <c r="T4454" i="1"/>
  <c r="T4513" i="1"/>
  <c r="T5090" i="1"/>
  <c r="T5119" i="1"/>
  <c r="T5479" i="1"/>
  <c r="T5484" i="1"/>
  <c r="T6029" i="1"/>
  <c r="T6059" i="1"/>
  <c r="T6545" i="1"/>
  <c r="T6562" i="1"/>
  <c r="T329" i="1"/>
  <c r="T733" i="1"/>
  <c r="T740" i="1"/>
  <c r="T1214" i="1"/>
  <c r="T1393" i="1"/>
  <c r="T1897" i="1"/>
  <c r="T1996" i="1"/>
  <c r="T2346" i="1"/>
  <c r="T2381" i="1"/>
  <c r="T2804" i="1"/>
  <c r="T2844" i="1"/>
  <c r="T3100" i="1"/>
  <c r="T3146" i="1"/>
  <c r="T3593" i="1"/>
  <c r="T3605" i="1"/>
  <c r="T3911" i="1"/>
  <c r="T4388" i="1"/>
  <c r="T4846" i="1"/>
  <c r="T4854" i="1"/>
  <c r="T5110" i="1"/>
  <c r="T5123" i="1"/>
  <c r="T5373" i="1"/>
  <c r="T5426" i="1"/>
  <c r="T5759" i="1"/>
  <c r="T5820" i="1"/>
  <c r="T6263" i="1"/>
  <c r="T6300" i="1"/>
  <c r="T6697" i="1"/>
  <c r="T130" i="1"/>
  <c r="T214" i="1"/>
  <c r="T596" i="1"/>
  <c r="T631" i="1"/>
  <c r="T767" i="1"/>
  <c r="T812" i="1"/>
  <c r="T1070" i="1"/>
  <c r="T1076" i="1"/>
  <c r="T1481" i="1"/>
  <c r="T1490" i="1"/>
  <c r="T1808" i="1"/>
  <c r="T1836" i="1"/>
  <c r="T2238" i="1"/>
  <c r="T2268" i="1"/>
  <c r="T2615" i="1"/>
  <c r="T2620" i="1"/>
  <c r="T2819" i="1"/>
  <c r="T2890" i="1"/>
  <c r="T3041" i="1"/>
  <c r="T3134" i="1"/>
  <c r="T3395" i="1"/>
  <c r="T3441" i="1"/>
  <c r="T3639" i="1"/>
  <c r="T3669" i="1"/>
  <c r="T3775" i="1"/>
  <c r="T3793" i="1"/>
  <c r="T3967" i="1"/>
  <c r="T3995" i="1"/>
  <c r="T4226" i="1"/>
  <c r="T4243" i="1"/>
  <c r="T4495" i="1"/>
  <c r="T4858" i="1"/>
  <c r="T4867" i="1"/>
  <c r="T4990" i="1"/>
  <c r="T5043" i="1"/>
  <c r="T5183" i="1"/>
  <c r="T5222" i="1"/>
  <c r="T5450" i="1"/>
  <c r="T5456" i="1"/>
  <c r="T5741" i="1"/>
  <c r="T5761" i="1"/>
  <c r="T6015" i="1"/>
  <c r="T6022" i="1"/>
  <c r="T6193" i="1"/>
  <c r="T6353" i="1"/>
  <c r="T6516" i="1"/>
  <c r="T6522" i="1"/>
  <c r="T307" i="1"/>
  <c r="T489" i="1"/>
  <c r="T520" i="1"/>
  <c r="T958" i="1"/>
  <c r="T1069" i="1"/>
  <c r="T1479" i="1"/>
  <c r="T1495" i="1"/>
  <c r="T2258" i="1"/>
  <c r="T2309" i="1"/>
  <c r="T2602" i="1"/>
  <c r="T2606" i="1"/>
  <c r="T3075" i="1"/>
  <c r="T3236" i="1"/>
  <c r="T3713" i="1"/>
  <c r="T3720" i="1"/>
  <c r="T4490" i="1"/>
  <c r="T4518" i="1"/>
  <c r="T5170" i="1"/>
  <c r="T5199" i="1"/>
  <c r="T5911" i="1"/>
  <c r="T6008" i="1"/>
  <c r="T6576" i="1"/>
  <c r="T6688" i="1"/>
  <c r="T418" i="1"/>
  <c r="T488" i="1"/>
  <c r="T967" i="1"/>
  <c r="T1089" i="1"/>
  <c r="T1651" i="1"/>
  <c r="T1828" i="1"/>
  <c r="T2273" i="1"/>
  <c r="T2285" i="1"/>
  <c r="T2643" i="1"/>
  <c r="T2667" i="1"/>
  <c r="T3064" i="1"/>
  <c r="T3099" i="1"/>
  <c r="T3432" i="1"/>
  <c r="T3447" i="1"/>
  <c r="T3871" i="1"/>
  <c r="T3899" i="1"/>
  <c r="T4042" i="1"/>
  <c r="T4109" i="1"/>
  <c r="T4366" i="1"/>
  <c r="T4404" i="1"/>
  <c r="T4789" i="1"/>
  <c r="T4859" i="1"/>
  <c r="T5079" i="1"/>
  <c r="T5113" i="1"/>
  <c r="T5279" i="1"/>
  <c r="T5321" i="1"/>
  <c r="T5597" i="1"/>
  <c r="T5602" i="1"/>
  <c r="T5881" i="1"/>
  <c r="T5904" i="1"/>
  <c r="T6163" i="1"/>
  <c r="T6171" i="1"/>
  <c r="T6451" i="1"/>
  <c r="T6492" i="1"/>
  <c r="T95" i="1"/>
  <c r="T384" i="1"/>
  <c r="T904" i="1"/>
  <c r="T938" i="1"/>
  <c r="T1023" i="1"/>
  <c r="T1026" i="1"/>
  <c r="T1179" i="1"/>
  <c r="T1375" i="1"/>
  <c r="T1378" i="1"/>
  <c r="T1712" i="1"/>
  <c r="T1806" i="1"/>
  <c r="T2194" i="1"/>
  <c r="T2199" i="1"/>
  <c r="T2493" i="1"/>
  <c r="T2534" i="1"/>
  <c r="T2801" i="1"/>
  <c r="T2857" i="1"/>
  <c r="T3009" i="1"/>
  <c r="T3286" i="1"/>
  <c r="T3453" i="1"/>
  <c r="T3721" i="1"/>
  <c r="T3760" i="1"/>
  <c r="T3910" i="1"/>
  <c r="T4205" i="1"/>
  <c r="T4775" i="1"/>
  <c r="T5030" i="1"/>
  <c r="T5153" i="1"/>
  <c r="T5189" i="1"/>
  <c r="T5486" i="1"/>
  <c r="T5836" i="1"/>
  <c r="T6062" i="1"/>
  <c r="T6095" i="1"/>
  <c r="T6266" i="1"/>
  <c r="T6403" i="1"/>
  <c r="T6752" i="1"/>
  <c r="T6758" i="1"/>
  <c r="T24" i="1"/>
  <c r="T462" i="1"/>
  <c r="T1567" i="1"/>
  <c r="T2209" i="1"/>
  <c r="T2241" i="1"/>
  <c r="T2651" i="1"/>
  <c r="U2729" i="1"/>
  <c r="T5352" i="1"/>
  <c r="T5749" i="1"/>
  <c r="T5827" i="1"/>
  <c r="T161" i="1"/>
  <c r="T217" i="1"/>
  <c r="T742" i="1"/>
  <c r="T820" i="1"/>
  <c r="T1416" i="1"/>
  <c r="T1780" i="1"/>
  <c r="T2494" i="1"/>
  <c r="T3213" i="1"/>
  <c r="T3706" i="1"/>
  <c r="T4306" i="1"/>
  <c r="T4902" i="1"/>
  <c r="T4952" i="1"/>
  <c r="T5348" i="1"/>
  <c r="T5394" i="1"/>
  <c r="T5844" i="1"/>
  <c r="T6575" i="1"/>
  <c r="T47" i="1"/>
  <c r="T619" i="1"/>
  <c r="T900" i="1"/>
  <c r="T1287" i="1"/>
  <c r="T2434" i="1"/>
  <c r="T3410" i="1"/>
  <c r="T3664" i="1"/>
  <c r="T3919" i="1"/>
  <c r="T4915" i="1"/>
  <c r="T5087" i="1"/>
  <c r="T6622" i="1"/>
  <c r="T468" i="1"/>
  <c r="T2349" i="1"/>
  <c r="T3139" i="1"/>
  <c r="T3535" i="1"/>
  <c r="T3587" i="1"/>
  <c r="T5615" i="1"/>
  <c r="T1264" i="1"/>
  <c r="T1529" i="1"/>
  <c r="T1856" i="1"/>
  <c r="T3434" i="1"/>
  <c r="T4966" i="1"/>
  <c r="T5418" i="1"/>
  <c r="T5891" i="1"/>
  <c r="T6373" i="1"/>
  <c r="T1191" i="1"/>
  <c r="T1875" i="1"/>
  <c r="T2217" i="1"/>
  <c r="T2571" i="1"/>
  <c r="T2863" i="1"/>
  <c r="T3431" i="1"/>
  <c r="T3600" i="1"/>
  <c r="T3806" i="1"/>
  <c r="T4003" i="1"/>
  <c r="T4463" i="1"/>
  <c r="T4666" i="1"/>
  <c r="T4917" i="1"/>
  <c r="T5307" i="1"/>
  <c r="U5495" i="1"/>
  <c r="T5777" i="1"/>
  <c r="T6179" i="1"/>
  <c r="T538" i="1"/>
  <c r="T1259" i="1"/>
  <c r="T3033" i="1"/>
  <c r="T4050" i="1"/>
  <c r="T4618" i="1"/>
  <c r="T5041" i="1"/>
  <c r="T5384" i="1"/>
  <c r="T323" i="1"/>
  <c r="T969" i="1"/>
  <c r="T1396" i="1"/>
  <c r="T1871" i="1"/>
  <c r="T2196" i="1"/>
  <c r="T2758" i="1"/>
  <c r="T3183" i="1"/>
  <c r="T3371" i="1"/>
  <c r="T4551" i="1"/>
  <c r="T4951" i="1"/>
  <c r="T4995" i="1"/>
  <c r="T5098" i="1"/>
  <c r="T6470" i="1"/>
  <c r="T696" i="1"/>
  <c r="T949" i="1"/>
  <c r="T972" i="1"/>
  <c r="T1106" i="1"/>
  <c r="T2517" i="1"/>
  <c r="T2644" i="1"/>
  <c r="T2893" i="1"/>
  <c r="T3193" i="1"/>
  <c r="T4107" i="1"/>
  <c r="T4499" i="1"/>
  <c r="T4690" i="1"/>
  <c r="T4998" i="1"/>
  <c r="T5376" i="1"/>
  <c r="T5700" i="1"/>
  <c r="T5923" i="1"/>
  <c r="T6083" i="1"/>
  <c r="T6340" i="1"/>
  <c r="T779" i="1"/>
  <c r="T1322" i="1"/>
  <c r="T2030" i="1"/>
  <c r="T3868" i="1"/>
  <c r="T4439" i="1"/>
  <c r="T4460" i="1"/>
  <c r="T4800" i="1"/>
  <c r="T143" i="1"/>
  <c r="T1227" i="1"/>
  <c r="T1688" i="1"/>
  <c r="T2178" i="1"/>
  <c r="U3129" i="1"/>
  <c r="T3584" i="1"/>
  <c r="T4431" i="1"/>
  <c r="T4866" i="1"/>
  <c r="T5032" i="1"/>
  <c r="T497" i="1"/>
  <c r="T843" i="1"/>
  <c r="U1683" i="1"/>
  <c r="T2154" i="1"/>
  <c r="T3252" i="1"/>
  <c r="T4018" i="1"/>
  <c r="T4987" i="1"/>
  <c r="T5529" i="1"/>
  <c r="T5818" i="1"/>
  <c r="U6624" i="1"/>
  <c r="T452" i="1"/>
  <c r="T3165" i="1"/>
  <c r="T3802" i="1"/>
  <c r="T2032" i="1"/>
  <c r="T2449" i="1"/>
  <c r="T3646" i="1"/>
  <c r="U4834" i="1"/>
  <c r="T5112" i="1"/>
  <c r="T5335" i="1"/>
  <c r="T6538" i="1"/>
  <c r="T193" i="1"/>
  <c r="T390" i="1"/>
  <c r="U691" i="1"/>
  <c r="U1064" i="1"/>
  <c r="T1571" i="1"/>
  <c r="T2291" i="1"/>
  <c r="T3558" i="1"/>
  <c r="T5060" i="1"/>
  <c r="T5304" i="1"/>
  <c r="T5724" i="1"/>
  <c r="U6031" i="1"/>
  <c r="T1239" i="1"/>
  <c r="T1848" i="1"/>
  <c r="U2286" i="1"/>
  <c r="T6453" i="1"/>
  <c r="T727" i="1"/>
  <c r="U1004" i="1"/>
  <c r="T2166" i="1"/>
  <c r="T2744" i="1"/>
  <c r="T5395" i="1"/>
  <c r="U510" i="1"/>
  <c r="T768" i="1"/>
  <c r="T2129" i="1"/>
  <c r="U2441" i="1"/>
  <c r="U4575" i="1"/>
  <c r="U4681" i="1"/>
  <c r="T5459" i="1"/>
  <c r="U6651" i="1"/>
  <c r="U2558" i="1"/>
  <c r="T3515" i="1"/>
  <c r="T3824" i="1"/>
  <c r="U5416" i="1"/>
  <c r="U5659" i="1"/>
  <c r="U3520" i="1"/>
  <c r="T3958" i="1"/>
  <c r="U5339" i="1"/>
  <c r="T6231" i="1"/>
  <c r="T6400" i="1"/>
  <c r="T2090" i="1"/>
  <c r="T1060" i="1"/>
  <c r="T626" i="1"/>
  <c r="T1190" i="1"/>
  <c r="T1460" i="1"/>
  <c r="T2386" i="1"/>
  <c r="T3279" i="1"/>
  <c r="T3785" i="1"/>
  <c r="T4248" i="1"/>
  <c r="T4780" i="1"/>
  <c r="T5130" i="1"/>
  <c r="T5531" i="1"/>
  <c r="T5934" i="1"/>
  <c r="T6749" i="1"/>
  <c r="T431" i="1"/>
  <c r="T730" i="1"/>
  <c r="T1043" i="1"/>
  <c r="T1434" i="1"/>
  <c r="T2034" i="1"/>
  <c r="T2424" i="1"/>
  <c r="T2954" i="1"/>
  <c r="T3169" i="1"/>
  <c r="T3672" i="1"/>
  <c r="T3999" i="1"/>
  <c r="T4374" i="1"/>
  <c r="T4546" i="1"/>
  <c r="T4781" i="1"/>
  <c r="T5346" i="1"/>
  <c r="T5587" i="1"/>
  <c r="T6230" i="1"/>
  <c r="T6563" i="1"/>
  <c r="T40" i="1"/>
  <c r="T257" i="1"/>
  <c r="T526" i="1"/>
  <c r="T734" i="1"/>
  <c r="T946" i="1"/>
  <c r="T1184" i="1"/>
  <c r="T1524" i="1"/>
  <c r="T1593" i="1"/>
  <c r="T1862" i="1"/>
  <c r="T2132" i="1"/>
  <c r="T2409" i="1"/>
  <c r="T2655" i="1"/>
  <c r="T3012" i="1"/>
  <c r="T3091" i="1"/>
  <c r="T3359" i="1"/>
  <c r="T3626" i="1"/>
  <c r="T3845" i="1"/>
  <c r="T3984" i="1"/>
  <c r="T4321" i="1"/>
  <c r="T4564" i="1"/>
  <c r="T4877" i="1"/>
  <c r="T5204" i="1"/>
  <c r="T5431" i="1"/>
  <c r="T5641" i="1"/>
  <c r="T5832" i="1"/>
  <c r="T6088" i="1"/>
  <c r="T6379" i="1"/>
  <c r="T6669" i="1"/>
  <c r="T6722" i="1"/>
  <c r="T442" i="1"/>
  <c r="T1195" i="1"/>
  <c r="T1784" i="1"/>
  <c r="T2678" i="1"/>
  <c r="T139" i="1"/>
  <c r="T728" i="1"/>
  <c r="T1321" i="1"/>
  <c r="T4185" i="1"/>
  <c r="T328" i="1"/>
  <c r="T2040" i="1"/>
  <c r="T3462" i="1"/>
  <c r="T3452" i="1"/>
  <c r="T4773" i="1"/>
  <c r="T4259" i="1"/>
  <c r="T4817" i="1"/>
  <c r="T5325" i="1"/>
  <c r="T961" i="1"/>
  <c r="T4827" i="1"/>
  <c r="T1298" i="1"/>
  <c r="T6699" i="1"/>
  <c r="T128" i="1"/>
  <c r="T2066" i="1"/>
  <c r="T2979" i="1"/>
  <c r="T3437" i="1"/>
  <c r="T6390" i="1"/>
  <c r="T592" i="1"/>
  <c r="T3377" i="1"/>
  <c r="T4111" i="1"/>
  <c r="T6140" i="1"/>
  <c r="T150" i="1"/>
  <c r="T2543" i="1"/>
  <c r="T3680" i="1"/>
  <c r="T4146" i="1"/>
  <c r="T719" i="1"/>
  <c r="T1318" i="1"/>
  <c r="T2316" i="1"/>
  <c r="T3283" i="1"/>
  <c r="T4119" i="1"/>
  <c r="T739" i="1"/>
  <c r="T2542" i="1"/>
  <c r="T3753" i="1"/>
  <c r="T1812" i="1"/>
  <c r="T326" i="1"/>
  <c r="T535" i="1"/>
  <c r="T1181" i="1"/>
  <c r="T2865" i="1"/>
  <c r="U6425" i="1"/>
  <c r="U63" i="1"/>
  <c r="U320" i="1"/>
  <c r="U717" i="1"/>
  <c r="U891" i="1"/>
  <c r="U1017" i="1"/>
  <c r="U1240" i="1"/>
  <c r="U1443" i="1"/>
  <c r="U1578" i="1"/>
  <c r="U1920" i="1"/>
  <c r="U2261" i="1"/>
  <c r="U2691" i="1"/>
  <c r="U2894" i="1"/>
  <c r="U3262" i="1"/>
  <c r="U3472" i="1"/>
  <c r="U3653" i="1"/>
  <c r="U3866" i="1"/>
  <c r="U4135" i="1"/>
  <c r="U4531" i="1"/>
  <c r="U4750" i="1"/>
  <c r="U4983" i="1"/>
  <c r="U5313" i="1"/>
  <c r="U5514" i="1"/>
  <c r="U5870" i="1"/>
  <c r="U6053" i="1"/>
  <c r="U6220" i="1"/>
  <c r="U6738" i="1"/>
  <c r="U133" i="1"/>
  <c r="U659" i="1"/>
  <c r="U1288" i="1"/>
  <c r="U1832" i="1"/>
  <c r="U2189" i="1"/>
  <c r="U2626" i="1"/>
  <c r="U3319" i="1"/>
  <c r="U3569" i="1"/>
  <c r="U4134" i="1"/>
  <c r="U4682" i="1"/>
  <c r="U5135" i="1"/>
  <c r="U5564" i="1"/>
  <c r="U5955" i="1"/>
  <c r="U6341" i="1"/>
  <c r="U27" i="1"/>
  <c r="U463" i="1"/>
  <c r="U1053" i="1"/>
  <c r="U1507" i="1"/>
  <c r="U2074" i="1"/>
  <c r="U2198" i="1"/>
  <c r="U2499" i="1"/>
  <c r="U2835" i="1"/>
  <c r="U3263" i="1"/>
  <c r="U3414" i="1"/>
  <c r="U3589" i="1"/>
  <c r="U4081" i="1"/>
  <c r="U4591" i="1"/>
  <c r="U5018" i="1"/>
  <c r="U5223" i="1"/>
  <c r="U5732" i="1"/>
  <c r="U6276" i="1"/>
  <c r="U6524" i="1"/>
  <c r="U207" i="1"/>
  <c r="U509" i="1"/>
  <c r="U772" i="1"/>
  <c r="U973" i="1"/>
  <c r="U1119" i="1"/>
  <c r="U1302" i="1"/>
  <c r="U1586" i="1"/>
  <c r="U1838" i="1"/>
  <c r="U2062" i="1"/>
  <c r="U2259" i="1"/>
  <c r="U2535" i="1"/>
  <c r="U2661" i="1"/>
  <c r="U2908" i="1"/>
  <c r="U3216" i="1"/>
  <c r="U3616" i="1"/>
  <c r="U3781" i="1"/>
  <c r="U4153" i="1"/>
  <c r="U4526" i="1"/>
  <c r="U4763" i="1"/>
  <c r="U5093" i="1"/>
  <c r="U5424" i="1"/>
  <c r="U5775" i="1"/>
  <c r="U5931" i="1"/>
  <c r="U6135" i="1"/>
  <c r="U6488" i="1"/>
  <c r="U247" i="1"/>
  <c r="U930" i="1"/>
  <c r="U1531" i="1"/>
  <c r="U2180" i="1"/>
  <c r="U2524" i="1"/>
  <c r="U3014" i="1"/>
  <c r="U3936" i="1"/>
  <c r="U4549" i="1"/>
  <c r="U4852" i="1"/>
  <c r="U5297" i="1"/>
  <c r="U6147" i="1"/>
  <c r="U6635" i="1"/>
  <c r="U172" i="1"/>
  <c r="U574" i="1"/>
  <c r="U1050" i="1"/>
  <c r="U1385" i="1"/>
  <c r="U1833" i="1"/>
  <c r="U2282" i="1"/>
  <c r="U2642" i="1"/>
  <c r="U3145" i="1"/>
  <c r="U3388" i="1"/>
  <c r="U3688" i="1"/>
  <c r="U3973" i="1"/>
  <c r="U4368" i="1"/>
  <c r="U4488" i="1"/>
  <c r="U4908" i="1"/>
  <c r="U5280" i="1"/>
  <c r="U5890" i="1"/>
  <c r="U6459" i="1"/>
  <c r="U43" i="1"/>
  <c r="U242" i="1"/>
  <c r="U623" i="1"/>
  <c r="U869" i="1"/>
  <c r="U1276" i="1"/>
  <c r="U1534" i="1"/>
  <c r="U1720" i="1"/>
  <c r="U2299" i="1"/>
  <c r="U2640" i="1"/>
  <c r="U2974" i="1"/>
  <c r="U3427" i="1"/>
  <c r="U3608" i="1"/>
  <c r="U3925" i="1"/>
  <c r="U4092" i="1"/>
  <c r="U4384" i="1"/>
  <c r="U4733" i="1"/>
  <c r="U5020" i="1"/>
  <c r="U5591" i="1"/>
  <c r="U5722" i="1"/>
  <c r="U5866" i="1"/>
  <c r="U6212" i="1"/>
  <c r="U6399" i="1"/>
  <c r="U6649" i="1"/>
  <c r="U706" i="1"/>
  <c r="U1458" i="1"/>
  <c r="U2276" i="1"/>
  <c r="U2868" i="1"/>
  <c r="U3238" i="1"/>
  <c r="U3891" i="1"/>
  <c r="U4452" i="1"/>
  <c r="U5501" i="1"/>
  <c r="U5946" i="1"/>
  <c r="U6355" i="1"/>
  <c r="U35" i="1"/>
  <c r="U228" i="1"/>
  <c r="U586" i="1"/>
  <c r="U875" i="1"/>
  <c r="U1484" i="1"/>
  <c r="U1739" i="1"/>
  <c r="U2064" i="1"/>
  <c r="U2520" i="1"/>
  <c r="U3104" i="1"/>
  <c r="U3338" i="1"/>
  <c r="U3874" i="1"/>
  <c r="U4301" i="1"/>
  <c r="U4623" i="1"/>
  <c r="U4941" i="1"/>
  <c r="U5152" i="1"/>
  <c r="U5445" i="1"/>
  <c r="U5907" i="1"/>
  <c r="U6232" i="1"/>
  <c r="U6670" i="1"/>
  <c r="U239" i="1"/>
  <c r="U414" i="1"/>
  <c r="U787" i="1"/>
  <c r="U1122" i="1"/>
  <c r="U1379" i="1"/>
  <c r="U1648" i="1"/>
  <c r="U1963" i="1"/>
  <c r="U2360" i="1"/>
  <c r="U2726" i="1"/>
  <c r="U2981" i="1"/>
  <c r="U3467" i="1"/>
  <c r="U3604" i="1"/>
  <c r="U3825" i="1"/>
  <c r="U4176" i="1"/>
  <c r="U4305" i="1"/>
  <c r="U4820" i="1"/>
  <c r="U5105" i="1"/>
  <c r="U5423" i="1"/>
  <c r="U5778" i="1"/>
  <c r="U6107" i="1"/>
  <c r="U6189" i="1"/>
  <c r="U6443" i="1"/>
  <c r="U153" i="1"/>
  <c r="U697" i="1"/>
  <c r="U1343" i="1"/>
  <c r="U1876" i="1"/>
  <c r="U2376" i="1"/>
  <c r="U2861" i="1"/>
  <c r="U3424" i="1"/>
  <c r="U4814" i="1"/>
  <c r="U5353" i="1"/>
  <c r="U6159" i="1"/>
  <c r="U6504" i="1"/>
  <c r="U356" i="1"/>
  <c r="U778" i="1"/>
  <c r="U1030" i="1"/>
  <c r="U1336" i="1"/>
  <c r="U1673" i="1"/>
  <c r="U1935" i="1"/>
  <c r="U2633" i="1"/>
  <c r="U2829" i="1"/>
  <c r="U3061" i="1"/>
  <c r="U3565" i="1"/>
  <c r="U3964" i="1"/>
  <c r="U4483" i="1"/>
  <c r="U4798" i="1"/>
  <c r="U5440" i="1"/>
  <c r="U5800" i="1"/>
  <c r="U6393" i="1"/>
  <c r="U48" i="1"/>
  <c r="U285" i="1"/>
  <c r="U572" i="1"/>
  <c r="U902" i="1"/>
  <c r="U1148" i="1"/>
  <c r="U1411" i="1"/>
  <c r="U1715" i="1"/>
  <c r="U1976" i="1"/>
  <c r="U2207" i="1"/>
  <c r="U2480" i="1"/>
  <c r="U2794" i="1"/>
  <c r="U3062" i="1"/>
  <c r="U3396" i="1"/>
  <c r="U3687" i="1"/>
  <c r="U3931" i="1"/>
  <c r="U4089" i="1"/>
  <c r="U4274" i="1"/>
  <c r="U4583" i="1"/>
  <c r="U4745" i="1"/>
  <c r="U5187" i="1"/>
  <c r="U5350" i="1"/>
  <c r="U5584" i="1"/>
  <c r="U6172" i="1"/>
  <c r="U6411" i="1"/>
  <c r="U291" i="1"/>
  <c r="U534" i="1"/>
  <c r="U1125" i="1"/>
  <c r="U1626" i="1"/>
  <c r="U2249" i="1"/>
  <c r="U3008" i="1"/>
  <c r="U3786" i="1"/>
  <c r="U4693" i="1"/>
  <c r="U5496" i="1"/>
  <c r="U6118" i="1"/>
  <c r="U111" i="1"/>
  <c r="U396" i="1"/>
  <c r="U918" i="1"/>
  <c r="U1211" i="1"/>
  <c r="U1755" i="1"/>
  <c r="U2070" i="1"/>
  <c r="U2359" i="1"/>
  <c r="U2650" i="1"/>
  <c r="U3221" i="1"/>
  <c r="U3625" i="1"/>
  <c r="U3883" i="1"/>
  <c r="U4273" i="1"/>
  <c r="U4522" i="1"/>
  <c r="U4713" i="1"/>
  <c r="U5067" i="1"/>
  <c r="U5463" i="1"/>
  <c r="U5695" i="1"/>
  <c r="U6382" i="1"/>
  <c r="U6675" i="1"/>
  <c r="U41" i="1"/>
  <c r="U235" i="1"/>
  <c r="U448" i="1"/>
  <c r="U810" i="1"/>
  <c r="U1151" i="1"/>
  <c r="U1652" i="1"/>
  <c r="U1903" i="1"/>
  <c r="U2065" i="1"/>
  <c r="U2317" i="1"/>
  <c r="U2463" i="1"/>
  <c r="U2710" i="1"/>
  <c r="U3060" i="1"/>
  <c r="U3342" i="1"/>
  <c r="U3611" i="1"/>
  <c r="U3992" i="1"/>
  <c r="U4219" i="1"/>
  <c r="U4414" i="1"/>
  <c r="U4739" i="1"/>
  <c r="U4876" i="1"/>
  <c r="U5127" i="1"/>
  <c r="U5403" i="1"/>
  <c r="U6028" i="1"/>
  <c r="U6246" i="1"/>
  <c r="U6438" i="1"/>
  <c r="U6668" i="1"/>
  <c r="U518" i="1"/>
  <c r="U1160" i="1"/>
  <c r="U1978" i="1"/>
  <c r="U2853" i="1"/>
  <c r="U3564" i="1"/>
  <c r="U4218" i="1"/>
  <c r="U4784" i="1"/>
  <c r="U5654" i="1"/>
  <c r="U6260" i="1"/>
  <c r="U91" i="1"/>
  <c r="U662" i="1"/>
  <c r="U1133" i="1"/>
  <c r="U1611" i="1"/>
  <c r="U2254" i="1"/>
  <c r="U2570" i="1"/>
  <c r="U3148" i="1"/>
  <c r="U3870" i="1"/>
  <c r="U4136" i="1"/>
  <c r="U4706" i="1"/>
  <c r="U5233" i="1"/>
  <c r="U5519" i="1"/>
  <c r="U5823" i="1"/>
  <c r="U6085" i="1"/>
  <c r="U6729" i="1"/>
  <c r="U176" i="1"/>
  <c r="U279" i="1"/>
  <c r="U433" i="1"/>
  <c r="U648" i="1"/>
  <c r="U796" i="1"/>
  <c r="U1132" i="1"/>
  <c r="U1304" i="1"/>
  <c r="U1558" i="1"/>
  <c r="U1791" i="1"/>
  <c r="U1998" i="1"/>
  <c r="U2365" i="1"/>
  <c r="U2585" i="1"/>
  <c r="U2958" i="1"/>
  <c r="U3298" i="1"/>
  <c r="U3674" i="1"/>
  <c r="U4026" i="1"/>
  <c r="U4289" i="1"/>
  <c r="U4614" i="1"/>
  <c r="U4832" i="1"/>
  <c r="U5085" i="1"/>
  <c r="U5377" i="1"/>
  <c r="U5573" i="1"/>
  <c r="U5888" i="1"/>
  <c r="U6245" i="1"/>
  <c r="U6483" i="1"/>
  <c r="T52" i="1"/>
  <c r="T85" i="1"/>
  <c r="T92" i="1"/>
  <c r="T137" i="1"/>
  <c r="T406" i="1"/>
  <c r="T450" i="1"/>
  <c r="T630" i="1"/>
  <c r="T807" i="1"/>
  <c r="T934" i="1"/>
  <c r="T1039" i="1"/>
  <c r="T1083" i="1"/>
  <c r="T1228" i="1"/>
  <c r="T1316" i="1"/>
  <c r="T1324" i="1"/>
  <c r="T1330" i="1"/>
  <c r="T1400" i="1"/>
  <c r="T1597" i="1"/>
  <c r="T1634" i="1"/>
  <c r="T2053" i="1"/>
  <c r="T2056" i="1"/>
  <c r="T2092" i="1"/>
  <c r="T2257" i="1"/>
  <c r="T2610" i="1"/>
  <c r="T2647" i="1"/>
  <c r="T2712" i="1"/>
  <c r="T2884" i="1"/>
  <c r="T3125" i="1"/>
  <c r="T3141" i="1"/>
  <c r="T3287" i="1"/>
  <c r="T3332" i="1"/>
  <c r="T3340" i="1"/>
  <c r="T3476" i="1"/>
  <c r="T3570" i="1"/>
  <c r="T3755" i="1"/>
  <c r="T3876" i="1"/>
  <c r="T3993" i="1"/>
  <c r="T4029" i="1"/>
  <c r="T4074" i="1"/>
  <c r="T4097" i="1"/>
  <c r="T4138" i="1"/>
  <c r="T4324" i="1"/>
  <c r="T4364" i="1"/>
  <c r="T4475" i="1"/>
  <c r="T4605" i="1"/>
  <c r="T4612" i="1"/>
  <c r="T4631" i="1"/>
  <c r="T4785" i="1"/>
  <c r="T4810" i="1"/>
  <c r="T4890" i="1"/>
  <c r="T4895" i="1"/>
  <c r="T4992" i="1"/>
  <c r="T5248" i="1"/>
  <c r="T5286" i="1"/>
  <c r="T5331" i="1"/>
  <c r="T5398" i="1"/>
  <c r="T5411" i="1"/>
  <c r="T5558" i="1"/>
  <c r="T5579" i="1"/>
  <c r="T5660" i="1"/>
  <c r="T5669" i="1"/>
  <c r="T5681" i="1"/>
  <c r="T6050" i="1"/>
  <c r="T6187" i="1"/>
  <c r="T6417" i="1"/>
  <c r="T6457" i="1"/>
  <c r="T6467" i="1"/>
  <c r="T6536" i="1"/>
  <c r="T6633" i="1"/>
  <c r="T72" i="1"/>
  <c r="T162" i="1"/>
  <c r="T191" i="1"/>
  <c r="T192" i="1"/>
  <c r="T348" i="1"/>
  <c r="T455" i="1"/>
  <c r="T456" i="1"/>
  <c r="T470" i="1"/>
  <c r="T544" i="1"/>
  <c r="T679" i="1"/>
  <c r="T713" i="1"/>
  <c r="T736" i="1"/>
  <c r="T748" i="1"/>
  <c r="T758" i="1"/>
  <c r="T765" i="1"/>
  <c r="T783" i="1"/>
  <c r="T895" i="1"/>
  <c r="T1091" i="1"/>
  <c r="T1212" i="1"/>
  <c r="T1286" i="1"/>
  <c r="T1341" i="1"/>
  <c r="T1350" i="1"/>
  <c r="T1392" i="1"/>
  <c r="T1589" i="1"/>
  <c r="T1716" i="1"/>
  <c r="T1745" i="1"/>
  <c r="T1747" i="1"/>
  <c r="T1818" i="1"/>
  <c r="T2107" i="1"/>
  <c r="T2172" i="1"/>
  <c r="T2190" i="1"/>
  <c r="T2262" i="1"/>
  <c r="T2328" i="1"/>
  <c r="T2457" i="1"/>
  <c r="T2562" i="1"/>
  <c r="T2665" i="1"/>
  <c r="T2694" i="1"/>
  <c r="T2716" i="1"/>
  <c r="T3004" i="1"/>
  <c r="T3013" i="1"/>
  <c r="T3052" i="1"/>
  <c r="T3081" i="1"/>
  <c r="T3128" i="1"/>
  <c r="T3130" i="1"/>
  <c r="T3284" i="1"/>
  <c r="T3339" i="1"/>
  <c r="T3372" i="1"/>
  <c r="T3448" i="1"/>
  <c r="T3465" i="1"/>
  <c r="T3718" i="1"/>
  <c r="T3740" i="1"/>
  <c r="T3777" i="1"/>
  <c r="T3788" i="1"/>
  <c r="T3960" i="1"/>
  <c r="T3988" i="1"/>
  <c r="T4071" i="1"/>
  <c r="T4188" i="1"/>
  <c r="T4215" i="1"/>
  <c r="T4231" i="1"/>
  <c r="T4319" i="1"/>
  <c r="T4323" i="1"/>
  <c r="T4426" i="1"/>
  <c r="T4440" i="1"/>
  <c r="T4455" i="1"/>
  <c r="T4484" i="1"/>
  <c r="T4485" i="1"/>
  <c r="T4497" i="1"/>
  <c r="T4579" i="1"/>
  <c r="T4639" i="1"/>
  <c r="T4647" i="1"/>
  <c r="T4668" i="1"/>
  <c r="T4722" i="1"/>
  <c r="T4809" i="1"/>
  <c r="T4868" i="1"/>
  <c r="T4944" i="1"/>
  <c r="T5040" i="1"/>
  <c r="T5054" i="1"/>
  <c r="T5422" i="1"/>
  <c r="T5430" i="1"/>
  <c r="T5468" i="1"/>
  <c r="T5478" i="1"/>
  <c r="T5505" i="1"/>
  <c r="T5635" i="1"/>
  <c r="T5655" i="1"/>
  <c r="T5822" i="1"/>
  <c r="T5917" i="1"/>
  <c r="T6041" i="1"/>
  <c r="T6061" i="1"/>
  <c r="T6285" i="1"/>
  <c r="T6349" i="1"/>
  <c r="T6375" i="1"/>
  <c r="T6380" i="1"/>
  <c r="T6454" i="1"/>
  <c r="T6610" i="1"/>
  <c r="T6656" i="1"/>
  <c r="T6686" i="1"/>
  <c r="T6696" i="1"/>
  <c r="T6667" i="1"/>
  <c r="T6616" i="1"/>
  <c r="T97" i="1"/>
  <c r="T101" i="1"/>
  <c r="T107" i="1"/>
  <c r="T127" i="1"/>
  <c r="T142" i="1"/>
  <c r="T156" i="1"/>
  <c r="T301" i="1"/>
  <c r="T349" i="1"/>
  <c r="T374" i="1"/>
  <c r="T420" i="1"/>
  <c r="T486" i="1"/>
  <c r="T492" i="1"/>
  <c r="T545" i="1"/>
  <c r="T610" i="1"/>
  <c r="T622" i="1"/>
  <c r="T651" i="1"/>
  <c r="T658" i="1"/>
  <c r="T760" i="1"/>
  <c r="T784" i="1"/>
  <c r="T805" i="1"/>
  <c r="T817" i="1"/>
  <c r="T840" i="1"/>
  <c r="T1024" i="1"/>
  <c r="T1027" i="1"/>
  <c r="T1112" i="1"/>
  <c r="T1121" i="1"/>
  <c r="T1144" i="1"/>
  <c r="T1194" i="1"/>
  <c r="T1203" i="1"/>
  <c r="T1209" i="1"/>
  <c r="T1300" i="1"/>
  <c r="T1314" i="1"/>
  <c r="T1362" i="1"/>
  <c r="T1526" i="1"/>
  <c r="T1545" i="1"/>
  <c r="T1548" i="1"/>
  <c r="T1560" i="1"/>
  <c r="T1562" i="1"/>
  <c r="T1631" i="1"/>
  <c r="T1674" i="1"/>
  <c r="T1707" i="1"/>
  <c r="T1717" i="1"/>
  <c r="T1725" i="1"/>
  <c r="T1841" i="1"/>
  <c r="T1877" i="1"/>
  <c r="T1899" i="1"/>
  <c r="T1951" i="1"/>
  <c r="T1983" i="1"/>
  <c r="T2023" i="1"/>
  <c r="T2026" i="1"/>
  <c r="T2142" i="1"/>
  <c r="T2219" i="1"/>
  <c r="T2231" i="1"/>
  <c r="T2281" i="1"/>
  <c r="T2363" i="1"/>
  <c r="T2412" i="1"/>
  <c r="T2430" i="1"/>
  <c r="T2432" i="1"/>
  <c r="T2476" i="1"/>
  <c r="T2561" i="1"/>
  <c r="T2763" i="1"/>
  <c r="T2817" i="1"/>
  <c r="T2856" i="1"/>
  <c r="T2892" i="1"/>
  <c r="T2912" i="1"/>
  <c r="T3030" i="1"/>
  <c r="T3034" i="1"/>
  <c r="T3045" i="1"/>
  <c r="T3048" i="1"/>
  <c r="T3053" i="1"/>
  <c r="T3111" i="1"/>
  <c r="T3112" i="1"/>
  <c r="T3115" i="1"/>
  <c r="T3156" i="1"/>
  <c r="T3157" i="1"/>
  <c r="T3376" i="1"/>
  <c r="T3380" i="1"/>
  <c r="T3384" i="1"/>
  <c r="T3423" i="1"/>
  <c r="T3438" i="1"/>
  <c r="T3638" i="1"/>
  <c r="T3661" i="1"/>
  <c r="T3717" i="1"/>
  <c r="T3730" i="1"/>
  <c r="T3776" i="1"/>
  <c r="T3827" i="1"/>
  <c r="T3851" i="1"/>
  <c r="T3854" i="1"/>
  <c r="T3900" i="1"/>
  <c r="T3908" i="1"/>
  <c r="T3929" i="1"/>
  <c r="T3947" i="1"/>
  <c r="T4090" i="1"/>
  <c r="T4113" i="1"/>
  <c r="T4145" i="1"/>
  <c r="T4149" i="1"/>
  <c r="T4193" i="1"/>
  <c r="T4351" i="1"/>
  <c r="T4362" i="1"/>
  <c r="T4399" i="1"/>
  <c r="T4416" i="1"/>
  <c r="T4498" i="1"/>
  <c r="T4606" i="1"/>
  <c r="T4748" i="1"/>
  <c r="T4777" i="1"/>
  <c r="T4830" i="1"/>
  <c r="T4862" i="1"/>
  <c r="T4889" i="1"/>
  <c r="T4947" i="1"/>
  <c r="T4986" i="1"/>
  <c r="T4996" i="1"/>
  <c r="T5028" i="1"/>
  <c r="T5257" i="1"/>
  <c r="T5261" i="1"/>
  <c r="T5322" i="1"/>
  <c r="T5340" i="1"/>
  <c r="T5361" i="1"/>
  <c r="T5442" i="1"/>
  <c r="T5477" i="1"/>
  <c r="T5485" i="1"/>
  <c r="T5555" i="1"/>
  <c r="T5568" i="1"/>
  <c r="T5673" i="1"/>
  <c r="T5693" i="1"/>
  <c r="T5711" i="1"/>
  <c r="T5721" i="1"/>
  <c r="T5746" i="1"/>
  <c r="T5826" i="1"/>
  <c r="T5910" i="1"/>
  <c r="T5916" i="1"/>
  <c r="T5922" i="1"/>
  <c r="T5962" i="1"/>
  <c r="T5966" i="1"/>
  <c r="T6075" i="1"/>
  <c r="T6157" i="1"/>
  <c r="T6203" i="1"/>
  <c r="T6219" i="1"/>
  <c r="T6228" i="1"/>
  <c r="T6302" i="1"/>
  <c r="T6427" i="1"/>
  <c r="T6456" i="1"/>
  <c r="T6465" i="1"/>
  <c r="T6544" i="1"/>
  <c r="T6577" i="1"/>
  <c r="T6692" i="1"/>
  <c r="T6615" i="1"/>
  <c r="T6643" i="1"/>
  <c r="T6715" i="1"/>
  <c r="T6639" i="1"/>
  <c r="T6740" i="1"/>
  <c r="T6735" i="1"/>
  <c r="T38" i="1"/>
  <c r="T67" i="1"/>
  <c r="T135" i="1"/>
  <c r="T591" i="1"/>
  <c r="T645" i="1"/>
  <c r="T699" i="1"/>
  <c r="T834" i="1"/>
  <c r="T870" i="1"/>
  <c r="T1207" i="1"/>
  <c r="T1307" i="1"/>
  <c r="T1358" i="1"/>
  <c r="T1523" i="1"/>
  <c r="T1579" i="1"/>
  <c r="T1915" i="1"/>
  <c r="T1954" i="1"/>
  <c r="T2068" i="1"/>
  <c r="T2211" i="1"/>
  <c r="T2260" i="1"/>
  <c r="T2657" i="1"/>
  <c r="T2680" i="1"/>
  <c r="T2737" i="1"/>
  <c r="T2814" i="1"/>
  <c r="T2920" i="1"/>
  <c r="T2924" i="1"/>
  <c r="T2947" i="1"/>
  <c r="T3228" i="1"/>
  <c r="T3363" i="1"/>
  <c r="T3413" i="1"/>
  <c r="T3445" i="1"/>
  <c r="T3496" i="1"/>
  <c r="T3774" i="1"/>
  <c r="T3831" i="1"/>
  <c r="T3844" i="1"/>
  <c r="T3881" i="1"/>
  <c r="T3920" i="1"/>
  <c r="T4326" i="1"/>
  <c r="T4359" i="1"/>
  <c r="T4479" i="1"/>
  <c r="T4563" i="1"/>
  <c r="T4703" i="1"/>
  <c r="T5109" i="1"/>
  <c r="T5400" i="1"/>
  <c r="T5413" i="1"/>
  <c r="T5990" i="1"/>
  <c r="T5994" i="1"/>
  <c r="T6138" i="1"/>
  <c r="T6199" i="1"/>
  <c r="T6202" i="1"/>
  <c r="T6466" i="1"/>
  <c r="T6627" i="1"/>
  <c r="T209" i="1"/>
  <c r="T260" i="1"/>
  <c r="T293" i="1"/>
  <c r="T440" i="1"/>
  <c r="T536" i="1"/>
  <c r="T741" i="1"/>
  <c r="T797" i="1"/>
  <c r="T851" i="1"/>
  <c r="T852" i="1"/>
  <c r="T853" i="1"/>
  <c r="T1022" i="1"/>
  <c r="T1116" i="1"/>
  <c r="T1236" i="1"/>
  <c r="T1258" i="1"/>
  <c r="T1279" i="1"/>
  <c r="T1289" i="1"/>
  <c r="T1296" i="1"/>
  <c r="T1339" i="1"/>
  <c r="T1352" i="1"/>
  <c r="T1370" i="1"/>
  <c r="T1436" i="1"/>
  <c r="T1449" i="1"/>
  <c r="T1669" i="1"/>
  <c r="T1686" i="1"/>
  <c r="T1779" i="1"/>
  <c r="T1785" i="1"/>
  <c r="T1891" i="1"/>
  <c r="T2220" i="1"/>
  <c r="T2455" i="1"/>
  <c r="T2460" i="1"/>
  <c r="T2588" i="1"/>
  <c r="T2774" i="1"/>
  <c r="T3011" i="1"/>
  <c r="T3016" i="1"/>
  <c r="T3076" i="1"/>
  <c r="T3097" i="1"/>
  <c r="T3170" i="1"/>
  <c r="T3274" i="1"/>
  <c r="T3392" i="1"/>
  <c r="T3394" i="1"/>
  <c r="T3430" i="1"/>
  <c r="T3450" i="1"/>
  <c r="T3631" i="1"/>
  <c r="T3703" i="1"/>
  <c r="T3742" i="1"/>
  <c r="T3759" i="1"/>
  <c r="T3779" i="1"/>
  <c r="T3856" i="1"/>
  <c r="T3905" i="1"/>
  <c r="T3938" i="1"/>
  <c r="T4062" i="1"/>
  <c r="T4083" i="1"/>
  <c r="T4237" i="1"/>
  <c r="T4269" i="1"/>
  <c r="T4360" i="1"/>
  <c r="T4408" i="1"/>
  <c r="T4553" i="1"/>
  <c r="T4559" i="1"/>
  <c r="T4686" i="1"/>
  <c r="T4701" i="1"/>
  <c r="T4873" i="1"/>
  <c r="T5033" i="1"/>
  <c r="T5044" i="1"/>
  <c r="T5159" i="1"/>
  <c r="T5161" i="1"/>
  <c r="T5164" i="1"/>
  <c r="T5198" i="1"/>
  <c r="T5214" i="1"/>
  <c r="T5572" i="1"/>
  <c r="T5651" i="1"/>
  <c r="T5686" i="1"/>
  <c r="T5691" i="1"/>
  <c r="T5706" i="1"/>
  <c r="T5975" i="1"/>
  <c r="T6010" i="1"/>
  <c r="T6036" i="1"/>
  <c r="T6048" i="1"/>
  <c r="T6068" i="1"/>
  <c r="T6205" i="1"/>
  <c r="T6280" i="1"/>
  <c r="T6282" i="1"/>
  <c r="T6371" i="1"/>
  <c r="T6452" i="1"/>
  <c r="T6594" i="1"/>
  <c r="T6601" i="1"/>
  <c r="T6632" i="1"/>
  <c r="T7" i="1"/>
  <c r="T15" i="1"/>
  <c r="T108" i="1"/>
  <c r="T138" i="1"/>
  <c r="T155" i="1"/>
  <c r="T206" i="1"/>
  <c r="T233" i="1"/>
  <c r="T332" i="1"/>
  <c r="T353" i="1"/>
  <c r="T389" i="1"/>
  <c r="T439" i="1"/>
  <c r="T564" i="1"/>
  <c r="T576" i="1"/>
  <c r="T818" i="1"/>
  <c r="T824" i="1"/>
  <c r="T837" i="1"/>
  <c r="T861" i="1"/>
  <c r="T968" i="1"/>
  <c r="T1244" i="1"/>
  <c r="T1293" i="1"/>
  <c r="T1368" i="1"/>
  <c r="T1380" i="1"/>
  <c r="T1386" i="1"/>
  <c r="T1699" i="1"/>
  <c r="T1708" i="1"/>
  <c r="T1753" i="1"/>
  <c r="T1771" i="1"/>
  <c r="T1781" i="1"/>
  <c r="T1822" i="1"/>
  <c r="T1834" i="1"/>
  <c r="T1852" i="1"/>
  <c r="T1857" i="1"/>
  <c r="T1885" i="1"/>
  <c r="T2049" i="1"/>
  <c r="T2079" i="1"/>
  <c r="T2097" i="1"/>
  <c r="T2115" i="1"/>
  <c r="T2123" i="1"/>
  <c r="T2212" i="1"/>
  <c r="T2222" i="1"/>
  <c r="T2235" i="1"/>
  <c r="T2247" i="1"/>
  <c r="T2296" i="1"/>
  <c r="T2402" i="1"/>
  <c r="T2446" i="1"/>
  <c r="T2565" i="1"/>
  <c r="T2573" i="1"/>
  <c r="T2603" i="1"/>
  <c r="T2766" i="1"/>
  <c r="T2768" i="1"/>
  <c r="T2778" i="1"/>
  <c r="T2850" i="1"/>
  <c r="T2896" i="1"/>
  <c r="T2929" i="1"/>
  <c r="T3102" i="1"/>
  <c r="T3110" i="1"/>
  <c r="T3195" i="1"/>
  <c r="T3304" i="1"/>
  <c r="T3327" i="1"/>
  <c r="T3471" i="1"/>
  <c r="T3480" i="1"/>
  <c r="T3554" i="1"/>
  <c r="T3561" i="1"/>
  <c r="T3632" i="1"/>
  <c r="T3808" i="1"/>
  <c r="T3810" i="1"/>
  <c r="T3847" i="1"/>
  <c r="T3858" i="1"/>
  <c r="T3880" i="1"/>
  <c r="T3998" i="1"/>
  <c r="T4028" i="1"/>
  <c r="T4035" i="1"/>
  <c r="T4076" i="1"/>
  <c r="T4101" i="1"/>
  <c r="T4167" i="1"/>
  <c r="T4190" i="1"/>
  <c r="T4192" i="1"/>
  <c r="T4255" i="1"/>
  <c r="T4260" i="1"/>
  <c r="T4459" i="1"/>
  <c r="T4535" i="1"/>
  <c r="T4548" i="1"/>
  <c r="T4728" i="1"/>
  <c r="T4734" i="1"/>
  <c r="T4901" i="1"/>
  <c r="T4957" i="1"/>
  <c r="T4975" i="1"/>
  <c r="T4999" i="1"/>
  <c r="T5037" i="1"/>
  <c r="T5347" i="1"/>
  <c r="T5372" i="1"/>
  <c r="T5439" i="1"/>
  <c r="T5475" i="1"/>
  <c r="T5510" i="1"/>
  <c r="T5530" i="1"/>
  <c r="T5617" i="1"/>
  <c r="T5634" i="1"/>
  <c r="T5638" i="1"/>
  <c r="T5653" i="1"/>
  <c r="T5656" i="1"/>
  <c r="T5779" i="1"/>
  <c r="T5838" i="1"/>
  <c r="T5863" i="1"/>
  <c r="T5887" i="1"/>
  <c r="T5929" i="1"/>
  <c r="T6076" i="1"/>
  <c r="T6146" i="1"/>
  <c r="T6175" i="1"/>
  <c r="T6210" i="1"/>
  <c r="T6233" i="1"/>
  <c r="T6307" i="1"/>
  <c r="T6323" i="1"/>
  <c r="T6328" i="1"/>
  <c r="T6369" i="1"/>
  <c r="T6431" i="1"/>
  <c r="T6741" i="1"/>
  <c r="T6736" i="1"/>
  <c r="T6645" i="1"/>
  <c r="T231" i="1"/>
  <c r="T289" i="1"/>
  <c r="T474" i="1"/>
  <c r="T485" i="1"/>
  <c r="T502" i="1"/>
  <c r="T558" i="1"/>
  <c r="T621" i="1"/>
  <c r="T815" i="1"/>
  <c r="T1011" i="1"/>
  <c r="T1052" i="1"/>
  <c r="T1169" i="1"/>
  <c r="T1192" i="1"/>
  <c r="T1487" i="1"/>
  <c r="T1607" i="1"/>
  <c r="T1630" i="1"/>
  <c r="T1649" i="1"/>
  <c r="T1697" i="1"/>
  <c r="T1844" i="1"/>
  <c r="T2063" i="1"/>
  <c r="T2122" i="1"/>
  <c r="T2149" i="1"/>
  <c r="T2162" i="1"/>
  <c r="T2214" i="1"/>
  <c r="T2333" i="1"/>
  <c r="T2439" i="1"/>
  <c r="T2609" i="1"/>
  <c r="T2689" i="1"/>
  <c r="T2765" i="1"/>
  <c r="T2999" i="1"/>
  <c r="T3094" i="1"/>
  <c r="T3194" i="1"/>
  <c r="T3212" i="1"/>
  <c r="T3246" i="1"/>
  <c r="T3505" i="1"/>
  <c r="T3731" i="1"/>
  <c r="T3733" i="1"/>
  <c r="T3769" i="1"/>
  <c r="T4077" i="1"/>
  <c r="T4377" i="1"/>
  <c r="T4433" i="1"/>
  <c r="T4436" i="1"/>
  <c r="T4570" i="1"/>
  <c r="T4652" i="1"/>
  <c r="T4799" i="1"/>
  <c r="T4865" i="1"/>
  <c r="T5050" i="1"/>
  <c r="T5100" i="1"/>
  <c r="T5310" i="1"/>
  <c r="T5708" i="1"/>
  <c r="T5719" i="1"/>
  <c r="T5736" i="1"/>
  <c r="T5843" i="1"/>
  <c r="T5858" i="1"/>
  <c r="T5947" i="1"/>
  <c r="T6197" i="1"/>
  <c r="T6225" i="1"/>
  <c r="T6310" i="1"/>
  <c r="T6327" i="1"/>
  <c r="T6434" i="1"/>
  <c r="T6510" i="1"/>
  <c r="T6512" i="1"/>
  <c r="T6518" i="1"/>
  <c r="T6533" i="1"/>
  <c r="T33" i="1"/>
  <c r="T276" i="1"/>
  <c r="T277" i="1"/>
  <c r="T338" i="1"/>
  <c r="T342" i="1"/>
  <c r="T436" i="1"/>
  <c r="T795" i="1"/>
  <c r="T819" i="1"/>
  <c r="T883" i="1"/>
  <c r="T890" i="1"/>
  <c r="T981" i="1"/>
  <c r="T1013" i="1"/>
  <c r="T1071" i="1"/>
  <c r="T1111" i="1"/>
  <c r="T1193" i="1"/>
  <c r="T1220" i="1"/>
  <c r="T1668" i="1"/>
  <c r="T1670" i="1"/>
  <c r="T1722" i="1"/>
  <c r="T1728" i="1"/>
  <c r="T1731" i="1"/>
  <c r="T1814" i="1"/>
  <c r="T1843" i="1"/>
  <c r="T1886" i="1"/>
  <c r="T2033" i="1"/>
  <c r="T2035" i="1"/>
  <c r="T2798" i="1"/>
  <c r="T2833" i="1"/>
  <c r="T2848" i="1"/>
  <c r="T2870" i="1"/>
  <c r="T2985" i="1"/>
  <c r="T3204" i="1"/>
  <c r="T3356" i="1"/>
  <c r="T3379" i="1"/>
  <c r="T3484" i="1"/>
  <c r="T3655" i="1"/>
  <c r="T3666" i="1"/>
  <c r="T3839" i="1"/>
  <c r="T3850" i="1"/>
  <c r="T3895" i="1"/>
  <c r="T3932" i="1"/>
  <c r="T4080" i="1"/>
  <c r="T4282" i="1"/>
  <c r="T4330" i="1"/>
  <c r="T4379" i="1"/>
  <c r="T4441" i="1"/>
  <c r="T4449" i="1"/>
  <c r="T4725" i="1"/>
  <c r="T4743" i="1"/>
  <c r="T4759" i="1"/>
  <c r="T4778" i="1"/>
  <c r="T4783" i="1"/>
  <c r="T4819" i="1"/>
  <c r="T4843" i="1"/>
  <c r="T4913" i="1"/>
  <c r="T4920" i="1"/>
  <c r="T4924" i="1"/>
  <c r="T5048" i="1"/>
  <c r="T5111" i="1"/>
  <c r="T5145" i="1"/>
  <c r="T5149" i="1"/>
  <c r="T5150" i="1"/>
  <c r="T5367" i="1"/>
  <c r="T5504" i="1"/>
  <c r="T5517" i="1"/>
  <c r="T5520" i="1"/>
  <c r="T5725" i="1"/>
  <c r="T5985" i="1"/>
  <c r="T6025" i="1"/>
  <c r="T6097" i="1"/>
  <c r="T6192" i="1"/>
  <c r="T6248" i="1"/>
  <c r="T6352" i="1"/>
  <c r="T6381" i="1"/>
  <c r="T6481" i="1"/>
  <c r="T6528" i="1"/>
  <c r="T6578" i="1"/>
  <c r="T6579" i="1"/>
  <c r="T6655" i="1"/>
  <c r="T5" i="1"/>
  <c r="T18" i="1"/>
  <c r="T126" i="1"/>
  <c r="T165" i="1"/>
  <c r="T290" i="1"/>
  <c r="T321" i="1"/>
  <c r="T362" i="1"/>
  <c r="T407" i="1"/>
  <c r="T464" i="1"/>
  <c r="T684" i="1"/>
  <c r="T685" i="1"/>
  <c r="T698" i="1"/>
  <c r="T709" i="1"/>
  <c r="T720" i="1"/>
  <c r="T989" i="1"/>
  <c r="T1036" i="1"/>
  <c r="T1038" i="1"/>
  <c r="T1186" i="1"/>
  <c r="T1219" i="1"/>
  <c r="T1395" i="1"/>
  <c r="T1500" i="1"/>
  <c r="T1509" i="1"/>
  <c r="T1572" i="1"/>
  <c r="T1588" i="1"/>
  <c r="T1709" i="1"/>
  <c r="T1729" i="1"/>
  <c r="T1730" i="1"/>
  <c r="T1767" i="1"/>
  <c r="T1778" i="1"/>
  <c r="T1902" i="1"/>
  <c r="T1910" i="1"/>
  <c r="T1923" i="1"/>
  <c r="T1927" i="1"/>
  <c r="T1965" i="1"/>
  <c r="T2052" i="1"/>
  <c r="T2157" i="1"/>
  <c r="T2227" i="1"/>
  <c r="T2236" i="1"/>
  <c r="T2239" i="1"/>
  <c r="T2355" i="1"/>
  <c r="T2379" i="1"/>
  <c r="T2395" i="1"/>
  <c r="T2410" i="1"/>
  <c r="T2416" i="1"/>
  <c r="T2423" i="1"/>
  <c r="T2482" i="1"/>
  <c r="T2537" i="1"/>
  <c r="T2596" i="1"/>
  <c r="T2668" i="1"/>
  <c r="T2700" i="1"/>
  <c r="T2821" i="1"/>
  <c r="T2860" i="1"/>
  <c r="T2882" i="1"/>
  <c r="T2955" i="1"/>
  <c r="T2970" i="1"/>
  <c r="T3084" i="1"/>
  <c r="T3152" i="1"/>
  <c r="T3210" i="1"/>
  <c r="T3211" i="1"/>
  <c r="T3223" i="1"/>
  <c r="T3348" i="1"/>
  <c r="T3373" i="1"/>
  <c r="T3425" i="1"/>
  <c r="T3429" i="1"/>
  <c r="T3443" i="1"/>
  <c r="T3622" i="1"/>
  <c r="T3629" i="1"/>
  <c r="T3681" i="1"/>
  <c r="T3719" i="1"/>
  <c r="T3729" i="1"/>
  <c r="T3978" i="1"/>
  <c r="T4061" i="1"/>
  <c r="T4063" i="1"/>
  <c r="T4095" i="1"/>
  <c r="T4141" i="1"/>
  <c r="T4294" i="1"/>
  <c r="T4313" i="1"/>
  <c r="T4363" i="1"/>
  <c r="T4393" i="1"/>
  <c r="T4456" i="1"/>
  <c r="T4457" i="1"/>
  <c r="T4619" i="1"/>
  <c r="T4683" i="1"/>
  <c r="T4688" i="1"/>
  <c r="T4715" i="1"/>
  <c r="T4735" i="1"/>
  <c r="T4842" i="1"/>
  <c r="T4894" i="1"/>
  <c r="T4943" i="1"/>
  <c r="T4945" i="1"/>
  <c r="T4963" i="1"/>
  <c r="T5200" i="1"/>
  <c r="T5216" i="1"/>
  <c r="T5262" i="1"/>
  <c r="T5283" i="1"/>
  <c r="T5284" i="1"/>
  <c r="T5421" i="1"/>
  <c r="T5435" i="1"/>
  <c r="T5489" i="1"/>
  <c r="T5513" i="1"/>
  <c r="T5586" i="1"/>
  <c r="T5688" i="1"/>
  <c r="T5694" i="1"/>
  <c r="T5717" i="1"/>
  <c r="T5731" i="1"/>
  <c r="T5792" i="1"/>
  <c r="T5901" i="1"/>
  <c r="T5974" i="1"/>
  <c r="T5978" i="1"/>
  <c r="T5991" i="1"/>
  <c r="T6074" i="1"/>
  <c r="T6236" i="1"/>
  <c r="T6251" i="1"/>
  <c r="T6289" i="1"/>
  <c r="T6295" i="1"/>
  <c r="T6309" i="1"/>
  <c r="T6599" i="1"/>
  <c r="T6703" i="1"/>
  <c r="T6644" i="1"/>
  <c r="T6726" i="1"/>
  <c r="T6714" i="1"/>
  <c r="T6680" i="1"/>
  <c r="T333" i="1"/>
  <c r="T354" i="1"/>
  <c r="T385" i="1"/>
  <c r="T643" i="1"/>
  <c r="T790" i="1"/>
  <c r="T971" i="1"/>
  <c r="T1000" i="1"/>
  <c r="T1048" i="1"/>
  <c r="T1097" i="1"/>
  <c r="T1099" i="1"/>
  <c r="T1489" i="1"/>
  <c r="T1623" i="1"/>
  <c r="T1632" i="1"/>
  <c r="T1703" i="1"/>
  <c r="T1719" i="1"/>
  <c r="T1940" i="1"/>
  <c r="T1972" i="1"/>
  <c r="T2072" i="1"/>
  <c r="T2121" i="1"/>
  <c r="T2145" i="1"/>
  <c r="T2426" i="1"/>
  <c r="T2516" i="1"/>
  <c r="T2684" i="1"/>
  <c r="T2725" i="1"/>
  <c r="T2733" i="1"/>
  <c r="T2823" i="1"/>
  <c r="T2880" i="1"/>
  <c r="T3044" i="1"/>
  <c r="T3074" i="1"/>
  <c r="T3086" i="1"/>
  <c r="T3309" i="1"/>
  <c r="T3346" i="1"/>
  <c r="T3715" i="1"/>
  <c r="T3724" i="1"/>
  <c r="T3924" i="1"/>
  <c r="T4229" i="1"/>
  <c r="T4238" i="1"/>
  <c r="T4271" i="1"/>
  <c r="T4434" i="1"/>
  <c r="T4698" i="1"/>
  <c r="T4736" i="1"/>
  <c r="T4826" i="1"/>
  <c r="T5181" i="1"/>
  <c r="T5308" i="1"/>
  <c r="T5399" i="1"/>
  <c r="T5525" i="1"/>
  <c r="T6183" i="1"/>
  <c r="T6207" i="1"/>
  <c r="T6360" i="1"/>
  <c r="T6503" i="1"/>
  <c r="T6521" i="1"/>
  <c r="T6689" i="1"/>
  <c r="T51" i="1"/>
  <c r="T136" i="1"/>
  <c r="T169" i="1"/>
  <c r="T318" i="1"/>
  <c r="T445" i="1"/>
  <c r="T446" i="1"/>
  <c r="T460" i="1"/>
  <c r="T587" i="1"/>
  <c r="T603" i="1"/>
  <c r="T825" i="1"/>
  <c r="T832" i="1"/>
  <c r="T850" i="1"/>
  <c r="T913" i="1"/>
  <c r="T932" i="1"/>
  <c r="T982" i="1"/>
  <c r="T1001" i="1"/>
  <c r="T1018" i="1"/>
  <c r="T1117" i="1"/>
  <c r="T1147" i="1"/>
  <c r="T1245" i="1"/>
  <c r="T1246" i="1"/>
  <c r="T1427" i="1"/>
  <c r="T1470" i="1"/>
  <c r="T1564" i="1"/>
  <c r="T1665" i="1"/>
  <c r="T1711" i="1"/>
  <c r="T1718" i="1"/>
  <c r="T1811" i="1"/>
  <c r="T1816" i="1"/>
  <c r="T1827" i="1"/>
  <c r="T2012" i="1"/>
  <c r="T2014" i="1"/>
  <c r="T2031" i="1"/>
  <c r="T2050" i="1"/>
  <c r="T2058" i="1"/>
  <c r="T2321" i="1"/>
  <c r="T2389" i="1"/>
  <c r="T2421" i="1"/>
  <c r="T2464" i="1"/>
  <c r="T2468" i="1"/>
  <c r="T2627" i="1"/>
  <c r="T2708" i="1"/>
  <c r="T2721" i="1"/>
  <c r="T2723" i="1"/>
  <c r="T2841" i="1"/>
  <c r="T3184" i="1"/>
  <c r="T3217" i="1"/>
  <c r="T3241" i="1"/>
  <c r="T3242" i="1"/>
  <c r="T3255" i="1"/>
  <c r="T3328" i="1"/>
  <c r="T3533" i="1"/>
  <c r="T3567" i="1"/>
  <c r="T3667" i="1"/>
  <c r="T3686" i="1"/>
  <c r="T4010" i="1"/>
  <c r="T4021" i="1"/>
  <c r="T4040" i="1"/>
  <c r="T4170" i="1"/>
  <c r="T4235" i="1"/>
  <c r="T4341" i="1"/>
  <c r="T4370" i="1"/>
  <c r="T4373" i="1"/>
  <c r="T4378" i="1"/>
  <c r="T4443" i="1"/>
  <c r="T4507" i="1"/>
  <c r="T4607" i="1"/>
  <c r="T4632" i="1"/>
  <c r="T4633" i="1"/>
  <c r="T4707" i="1"/>
  <c r="T4726" i="1"/>
  <c r="T4914" i="1"/>
  <c r="T4928" i="1"/>
  <c r="T4942" i="1"/>
  <c r="T5010" i="1"/>
  <c r="T5092" i="1"/>
  <c r="T5228" i="1"/>
  <c r="T5243" i="1"/>
  <c r="T5276" i="1"/>
  <c r="T5381" i="1"/>
  <c r="T5480" i="1"/>
  <c r="T5646" i="1"/>
  <c r="T5649" i="1"/>
  <c r="T5698" i="1"/>
  <c r="T5807" i="1"/>
  <c r="T5872" i="1"/>
  <c r="T6240" i="1"/>
  <c r="T6268" i="1"/>
  <c r="T6293" i="1"/>
  <c r="T6301" i="1"/>
  <c r="T6332" i="1"/>
  <c r="T6602" i="1"/>
  <c r="T6677" i="1"/>
  <c r="T6671" i="1"/>
  <c r="T6629" i="1"/>
  <c r="T6702" i="1"/>
  <c r="T14" i="1"/>
  <c r="T20" i="1"/>
  <c r="T64" i="1"/>
  <c r="T90" i="1"/>
  <c r="T100" i="1"/>
  <c r="T132" i="1"/>
  <c r="T187" i="1"/>
  <c r="T225" i="1"/>
  <c r="T272" i="1"/>
  <c r="T287" i="1"/>
  <c r="T483" i="1"/>
  <c r="T504" i="1"/>
  <c r="T507" i="1"/>
  <c r="T523" i="1"/>
  <c r="T561" i="1"/>
  <c r="T580" i="1"/>
  <c r="T617" i="1"/>
  <c r="T625" i="1"/>
  <c r="T700" i="1"/>
  <c r="T816" i="1"/>
  <c r="T894" i="1"/>
  <c r="T1055" i="1"/>
  <c r="T1062" i="1"/>
  <c r="T1115" i="1"/>
  <c r="T1118" i="1"/>
  <c r="T1173" i="1"/>
  <c r="T1261" i="1"/>
  <c r="T1273" i="1"/>
  <c r="T1297" i="1"/>
  <c r="T1325" i="1"/>
  <c r="T1405" i="1"/>
  <c r="T1474" i="1"/>
  <c r="T1512" i="1"/>
  <c r="T1519" i="1"/>
  <c r="T1532" i="1"/>
  <c r="T1581" i="1"/>
  <c r="T1622" i="1"/>
  <c r="T1628" i="1"/>
  <c r="T1653" i="1"/>
  <c r="T1663" i="1"/>
  <c r="T1676" i="1"/>
  <c r="T1790" i="1"/>
  <c r="T1794" i="1"/>
  <c r="T1815" i="1"/>
  <c r="T1845" i="1"/>
  <c r="T1942" i="1"/>
  <c r="T2110" i="1"/>
  <c r="T2112" i="1"/>
  <c r="T2225" i="1"/>
  <c r="T2246" i="1"/>
  <c r="T2293" i="1"/>
  <c r="T2420" i="1"/>
  <c r="T2459" i="1"/>
  <c r="T2474" i="1"/>
  <c r="T2487" i="1"/>
  <c r="T2500" i="1"/>
  <c r="T2501" i="1"/>
  <c r="T2577" i="1"/>
  <c r="T2579" i="1"/>
  <c r="T2589" i="1"/>
  <c r="T2598" i="1"/>
  <c r="T2600" i="1"/>
  <c r="T2675" i="1"/>
  <c r="T2693" i="1"/>
  <c r="T2699" i="1"/>
  <c r="T2705" i="1"/>
  <c r="T2709" i="1"/>
  <c r="T2826" i="1"/>
  <c r="T2840" i="1"/>
  <c r="T2885" i="1"/>
  <c r="T2902" i="1"/>
  <c r="T2936" i="1"/>
  <c r="T3028" i="1"/>
  <c r="T3058" i="1"/>
  <c r="T3059" i="1"/>
  <c r="T3085" i="1"/>
  <c r="T3109" i="1"/>
  <c r="T3240" i="1"/>
  <c r="T3273" i="1"/>
  <c r="T3314" i="1"/>
  <c r="T3343" i="1"/>
  <c r="T3381" i="1"/>
  <c r="T3439" i="1"/>
  <c r="T3507" i="1"/>
  <c r="T3578" i="1"/>
  <c r="T3621" i="1"/>
  <c r="T3628" i="1"/>
  <c r="T3763" i="1"/>
  <c r="T3807" i="1"/>
  <c r="T3840" i="1"/>
  <c r="T3927" i="1"/>
  <c r="T4027" i="1"/>
  <c r="T4174" i="1"/>
  <c r="T4175" i="1"/>
  <c r="T4180" i="1"/>
  <c r="T4203" i="1"/>
  <c r="T4204" i="1"/>
  <c r="T4266" i="1"/>
  <c r="T4371" i="1"/>
  <c r="T4383" i="1"/>
  <c r="T4411" i="1"/>
  <c r="T4529" i="1"/>
  <c r="T4536" i="1"/>
  <c r="T4670" i="1"/>
  <c r="T4691" i="1"/>
  <c r="T4804" i="1"/>
  <c r="T4821" i="1"/>
  <c r="T4845" i="1"/>
  <c r="T5022" i="1"/>
  <c r="T5078" i="1"/>
  <c r="T5132" i="1"/>
  <c r="T5140" i="1"/>
  <c r="T5215" i="1"/>
  <c r="T5295" i="1"/>
  <c r="T5296" i="1"/>
  <c r="T5351" i="1"/>
  <c r="T5354" i="1"/>
  <c r="T5386" i="1"/>
  <c r="T5553" i="1"/>
  <c r="T5578" i="1"/>
  <c r="T5611" i="1"/>
  <c r="T5626" i="1"/>
  <c r="T5766" i="1"/>
  <c r="T5831" i="1"/>
  <c r="T5848" i="1"/>
  <c r="T5862" i="1"/>
  <c r="T5874" i="1"/>
  <c r="T5906" i="1"/>
  <c r="T6142" i="1"/>
  <c r="T6153" i="1"/>
  <c r="T6182" i="1"/>
  <c r="T6224" i="1"/>
  <c r="T6321" i="1"/>
  <c r="T6684" i="1"/>
  <c r="T6623" i="1"/>
  <c r="T6691" i="1"/>
  <c r="T6711" i="1"/>
  <c r="T6673" i="1"/>
  <c r="T157" i="1"/>
  <c r="T548" i="1"/>
  <c r="T562" i="1"/>
  <c r="T614" i="1"/>
  <c r="T628" i="1"/>
  <c r="T653" i="1"/>
  <c r="T856" i="1"/>
  <c r="T858" i="1"/>
  <c r="T901" i="1"/>
  <c r="T956" i="1"/>
  <c r="T987" i="1"/>
  <c r="T1554" i="1"/>
  <c r="T1658" i="1"/>
  <c r="T1837" i="1"/>
  <c r="T1916" i="1"/>
  <c r="T1925" i="1"/>
  <c r="T2117" i="1"/>
  <c r="T2124" i="1"/>
  <c r="T2158" i="1"/>
  <c r="T2297" i="1"/>
  <c r="T2326" i="1"/>
  <c r="T2654" i="1"/>
  <c r="T2781" i="1"/>
  <c r="T2809" i="1"/>
  <c r="T2895" i="1"/>
  <c r="T2986" i="1"/>
  <c r="T3200" i="1"/>
  <c r="T3218" i="1"/>
  <c r="T3249" i="1"/>
  <c r="T3355" i="1"/>
  <c r="T3374" i="1"/>
  <c r="T3699" i="1"/>
  <c r="T3800" i="1"/>
  <c r="T3841" i="1"/>
  <c r="T3985" i="1"/>
  <c r="T3989" i="1"/>
  <c r="T4296" i="1"/>
  <c r="T4461" i="1"/>
  <c r="T4519" i="1"/>
  <c r="T4574" i="1"/>
  <c r="T4616" i="1"/>
  <c r="T5101" i="1"/>
  <c r="T5108" i="1"/>
  <c r="T5184" i="1"/>
  <c r="T5196" i="1"/>
  <c r="T5473" i="1"/>
  <c r="T5758" i="1"/>
  <c r="T5801" i="1"/>
  <c r="T5813" i="1"/>
  <c r="T5830" i="1"/>
  <c r="T5889" i="1"/>
  <c r="T6006" i="1"/>
  <c r="T6019" i="1"/>
  <c r="T6111" i="1"/>
  <c r="T6132" i="1"/>
  <c r="T6298" i="1"/>
  <c r="T6505" i="1"/>
  <c r="T6557" i="1"/>
  <c r="T6672" i="1"/>
  <c r="T10" i="1"/>
  <c r="T32" i="1"/>
  <c r="T174" i="1"/>
  <c r="T188" i="1"/>
  <c r="T426" i="1"/>
  <c r="T437" i="1"/>
  <c r="T484" i="1"/>
  <c r="T597" i="1"/>
  <c r="T640" i="1"/>
  <c r="T669" i="1"/>
  <c r="T674" i="1"/>
  <c r="T688" i="1"/>
  <c r="T831" i="1"/>
  <c r="T884" i="1"/>
  <c r="T897" i="1"/>
  <c r="T905" i="1"/>
  <c r="T939" i="1"/>
  <c r="T1081" i="1"/>
  <c r="T1092" i="1"/>
  <c r="T1213" i="1"/>
  <c r="T1225" i="1"/>
  <c r="T1269" i="1"/>
  <c r="T1535" i="1"/>
  <c r="T1603" i="1"/>
  <c r="T1619" i="1"/>
  <c r="T1641" i="1"/>
  <c r="T1647" i="1"/>
  <c r="T1835" i="1"/>
  <c r="T1873" i="1"/>
  <c r="T2046" i="1"/>
  <c r="T2078" i="1"/>
  <c r="T2147" i="1"/>
  <c r="T2310" i="1"/>
  <c r="T2371" i="1"/>
  <c r="T2528" i="1"/>
  <c r="T2540" i="1"/>
  <c r="T2559" i="1"/>
  <c r="T2641" i="1"/>
  <c r="T2646" i="1"/>
  <c r="T2748" i="1"/>
  <c r="T2773" i="1"/>
  <c r="T2845" i="1"/>
  <c r="T3017" i="1"/>
  <c r="T3051" i="1"/>
  <c r="T3067" i="1"/>
  <c r="T3164" i="1"/>
  <c r="T3247" i="1"/>
  <c r="T3398" i="1"/>
  <c r="T3406" i="1"/>
  <c r="T3463" i="1"/>
  <c r="T3530" i="1"/>
  <c r="T3540" i="1"/>
  <c r="T3758" i="1"/>
  <c r="T3798" i="1"/>
  <c r="T3836" i="1"/>
  <c r="T3916" i="1"/>
  <c r="T3954" i="1"/>
  <c r="T4177" i="1"/>
  <c r="T4184" i="1"/>
  <c r="T4302" i="1"/>
  <c r="T4405" i="1"/>
  <c r="T4469" i="1"/>
  <c r="T4481" i="1"/>
  <c r="T4638" i="1"/>
  <c r="T4675" i="1"/>
  <c r="T4697" i="1"/>
  <c r="T4744" i="1"/>
  <c r="T4878" i="1"/>
  <c r="T4979" i="1"/>
  <c r="T4994" i="1"/>
  <c r="T5004" i="1"/>
  <c r="T5168" i="1"/>
  <c r="T5240" i="1"/>
  <c r="T5379" i="1"/>
  <c r="T5446" i="1"/>
  <c r="T5476" i="1"/>
  <c r="T5512" i="1"/>
  <c r="T5518" i="1"/>
  <c r="T5652" i="1"/>
  <c r="T5751" i="1"/>
  <c r="T5964" i="1"/>
  <c r="T6039" i="1"/>
  <c r="T6045" i="1"/>
  <c r="T6165" i="1"/>
  <c r="T6226" i="1"/>
  <c r="T6243" i="1"/>
  <c r="T6254" i="1"/>
  <c r="T6255" i="1"/>
  <c r="T6559" i="1"/>
  <c r="T6724" i="1"/>
  <c r="T21" i="1"/>
  <c r="T46" i="1"/>
  <c r="T81" i="1"/>
  <c r="T194" i="1"/>
  <c r="T196" i="1"/>
  <c r="T203" i="1"/>
  <c r="T258" i="1"/>
  <c r="T296" i="1"/>
  <c r="T457" i="1"/>
  <c r="T524" i="1"/>
  <c r="T565" i="1"/>
  <c r="T571" i="1"/>
  <c r="T581" i="1"/>
  <c r="T598" i="1"/>
  <c r="T751" i="1"/>
  <c r="T775" i="1"/>
  <c r="T802" i="1"/>
  <c r="T809" i="1"/>
  <c r="T882" i="1"/>
  <c r="T959" i="1"/>
  <c r="T995" i="1"/>
  <c r="T1167" i="1"/>
  <c r="T1205" i="1"/>
  <c r="T1216" i="1"/>
  <c r="T1292" i="1"/>
  <c r="T1299" i="1"/>
  <c r="T1334" i="1"/>
  <c r="T1347" i="1"/>
  <c r="T1357" i="1"/>
  <c r="T1383" i="1"/>
  <c r="T1388" i="1"/>
  <c r="T1390" i="1"/>
  <c r="T1478" i="1"/>
  <c r="T1539" i="1"/>
  <c r="T1655" i="1"/>
  <c r="T1860" i="1"/>
  <c r="T1874" i="1"/>
  <c r="T1906" i="1"/>
  <c r="T1936" i="1"/>
  <c r="T1999" i="1"/>
  <c r="T2086" i="1"/>
  <c r="T2113" i="1"/>
  <c r="T2127" i="1"/>
  <c r="T2148" i="1"/>
  <c r="T2213" i="1"/>
  <c r="T2265" i="1"/>
  <c r="T2345" i="1"/>
  <c r="T2347" i="1"/>
  <c r="T2401" i="1"/>
  <c r="T2586" i="1"/>
  <c r="T2601" i="1"/>
  <c r="T2608" i="1"/>
  <c r="T2645" i="1"/>
  <c r="T2664" i="1"/>
  <c r="T2771" i="1"/>
  <c r="T2772" i="1"/>
  <c r="T2793" i="1"/>
  <c r="T2834" i="1"/>
  <c r="T2851" i="1"/>
  <c r="T3047" i="1"/>
  <c r="T3073" i="1"/>
  <c r="T3080" i="1"/>
  <c r="T3089" i="1"/>
  <c r="T3101" i="1"/>
  <c r="T3244" i="1"/>
  <c r="T3250" i="1"/>
  <c r="T3322" i="1"/>
  <c r="T3333" i="1"/>
  <c r="T3400" i="1"/>
  <c r="T3509" i="1"/>
  <c r="T3522" i="1"/>
  <c r="T3532" i="1"/>
  <c r="T3552" i="1"/>
  <c r="T3620" i="1"/>
  <c r="T3682" i="1"/>
  <c r="T3689" i="1"/>
  <c r="T3704" i="1"/>
  <c r="T3709" i="1"/>
  <c r="T3734" i="1"/>
  <c r="T3843" i="1"/>
  <c r="T3940" i="1"/>
  <c r="T3965" i="1"/>
  <c r="T4019" i="1"/>
  <c r="T4055" i="1"/>
  <c r="T4254" i="1"/>
  <c r="T4299" i="1"/>
  <c r="T4316" i="1"/>
  <c r="T4375" i="1"/>
  <c r="T4396" i="1"/>
  <c r="T4501" i="1"/>
  <c r="T4590" i="1"/>
  <c r="T4594" i="1"/>
  <c r="T4626" i="1"/>
  <c r="T4634" i="1"/>
  <c r="T4705" i="1"/>
  <c r="T4918" i="1"/>
  <c r="T4922" i="1"/>
  <c r="T5026" i="1"/>
  <c r="T5031" i="1"/>
  <c r="T5151" i="1"/>
  <c r="T5175" i="1"/>
  <c r="T5226" i="1"/>
  <c r="T5300" i="1"/>
  <c r="T5324" i="1"/>
  <c r="T5434" i="1"/>
  <c r="T5458" i="1"/>
  <c r="T5491" i="1"/>
  <c r="T5498" i="1"/>
  <c r="T5606" i="1"/>
  <c r="T5745" i="1"/>
  <c r="T5755" i="1"/>
  <c r="T5768" i="1"/>
  <c r="T5790" i="1"/>
  <c r="T5795" i="1"/>
  <c r="T5919" i="1"/>
  <c r="T5980" i="1"/>
  <c r="T6035" i="1"/>
  <c r="T6038" i="1"/>
  <c r="T6064" i="1"/>
  <c r="T6324" i="1"/>
  <c r="T6413" i="1"/>
  <c r="T6482" i="1"/>
  <c r="T6487" i="1"/>
  <c r="T6513" i="1"/>
  <c r="T6574" i="1"/>
  <c r="T6591" i="1"/>
  <c r="T6625" i="1"/>
  <c r="T6746" i="1"/>
  <c r="T280" i="1"/>
  <c r="T405" i="1"/>
  <c r="T412" i="1"/>
  <c r="T461" i="1"/>
  <c r="T476" i="1"/>
  <c r="T689" i="1"/>
  <c r="T921" i="1"/>
  <c r="T966" i="1"/>
  <c r="T1029" i="1"/>
  <c r="T1067" i="1"/>
  <c r="T1198" i="1"/>
  <c r="T1501" i="1"/>
  <c r="T1751" i="1"/>
  <c r="T1880" i="1"/>
  <c r="T1990" i="1"/>
  <c r="T1994" i="1"/>
  <c r="T2141" i="1"/>
  <c r="T2399" i="1"/>
  <c r="T2508" i="1"/>
  <c r="T2521" i="1"/>
  <c r="T2539" i="1"/>
  <c r="T2554" i="1"/>
  <c r="T2666" i="1"/>
  <c r="T2777" i="1"/>
  <c r="T2780" i="1"/>
  <c r="T2858" i="1"/>
  <c r="T3018" i="1"/>
  <c r="T3295" i="1"/>
  <c r="T3341" i="1"/>
  <c r="T3514" i="1"/>
  <c r="T3544" i="1"/>
  <c r="T3581" i="1"/>
  <c r="T3901" i="1"/>
  <c r="T3959" i="1"/>
  <c r="T4230" i="1"/>
  <c r="T4234" i="1"/>
  <c r="T4261" i="1"/>
  <c r="T4523" i="1"/>
  <c r="T4629" i="1"/>
  <c r="T4660" i="1"/>
  <c r="T4835" i="1"/>
  <c r="T4872" i="1"/>
  <c r="T5144" i="1"/>
  <c r="T5235" i="1"/>
  <c r="T5274" i="1"/>
  <c r="T5316" i="1"/>
  <c r="T5356" i="1"/>
  <c r="T5388" i="1"/>
  <c r="T5599" i="1"/>
  <c r="T5810" i="1"/>
  <c r="T5811" i="1"/>
  <c r="T5868" i="1"/>
  <c r="T5924" i="1"/>
  <c r="T6221" i="1"/>
  <c r="T6256" i="1"/>
  <c r="T6471" i="1"/>
  <c r="T6508" i="1"/>
  <c r="T6565" i="1"/>
  <c r="T339" i="1"/>
  <c r="T340" i="1"/>
  <c r="T498" i="1"/>
  <c r="T569" i="1"/>
  <c r="T646" i="1"/>
  <c r="T725" i="1"/>
  <c r="T838" i="1"/>
  <c r="T847" i="1"/>
  <c r="T871" i="1"/>
  <c r="T892" i="1"/>
  <c r="T1056" i="1"/>
  <c r="T1057" i="1"/>
  <c r="T1087" i="1"/>
  <c r="T1222" i="1"/>
  <c r="T1262" i="1"/>
  <c r="T1348" i="1"/>
  <c r="T1394" i="1"/>
  <c r="T1398" i="1"/>
  <c r="T1437" i="1"/>
  <c r="T1792" i="1"/>
  <c r="T1937" i="1"/>
  <c r="T1946" i="1"/>
  <c r="T2039" i="1"/>
  <c r="T2047" i="1"/>
  <c r="T2069" i="1"/>
  <c r="T2445" i="1"/>
  <c r="T2461" i="1"/>
  <c r="T2491" i="1"/>
  <c r="T2513" i="1"/>
  <c r="T2624" i="1"/>
  <c r="T2877" i="1"/>
  <c r="T2978" i="1"/>
  <c r="T3107" i="1"/>
  <c r="T3135" i="1"/>
  <c r="T3154" i="1"/>
  <c r="T3290" i="1"/>
  <c r="T3393" i="1"/>
  <c r="T3405" i="1"/>
  <c r="T3446" i="1"/>
  <c r="T3599" i="1"/>
  <c r="T3771" i="1"/>
  <c r="T3783" i="1"/>
  <c r="T3797" i="1"/>
  <c r="T4032" i="1"/>
  <c r="T4054" i="1"/>
  <c r="T4130" i="1"/>
  <c r="T4187" i="1"/>
  <c r="T4217" i="1"/>
  <c r="T4372" i="1"/>
  <c r="T4380" i="1"/>
  <c r="T4476" i="1"/>
  <c r="T4617" i="1"/>
  <c r="T4648" i="1"/>
  <c r="T4687" i="1"/>
  <c r="T4710" i="1"/>
  <c r="T5116" i="1"/>
  <c r="T5154" i="1"/>
  <c r="T5172" i="1"/>
  <c r="T5203" i="1"/>
  <c r="T5229" i="1"/>
  <c r="T5571" i="1"/>
  <c r="T5614" i="1"/>
  <c r="T5657" i="1"/>
  <c r="T5672" i="1"/>
  <c r="T5715" i="1"/>
  <c r="T5961" i="1"/>
  <c r="T5968" i="1"/>
  <c r="T6044" i="1"/>
  <c r="T6110" i="1"/>
  <c r="T6121" i="1"/>
  <c r="T6326" i="1"/>
  <c r="T6392" i="1"/>
  <c r="T6401" i="1"/>
  <c r="T6405" i="1"/>
  <c r="T6526" i="1"/>
  <c r="T6607" i="1"/>
  <c r="T6725" i="1"/>
  <c r="T6653" i="1"/>
  <c r="T6662" i="1"/>
  <c r="T58" i="1"/>
  <c r="T160" i="1"/>
  <c r="T246" i="1"/>
  <c r="T312" i="1"/>
  <c r="T391" i="1"/>
  <c r="T393" i="1"/>
  <c r="T540" i="1"/>
  <c r="T585" i="1"/>
  <c r="T595" i="1"/>
  <c r="T671" i="1"/>
  <c r="T690" i="1"/>
  <c r="T808" i="1"/>
  <c r="T916" i="1"/>
  <c r="T985" i="1"/>
  <c r="T1104" i="1"/>
  <c r="T1114" i="1"/>
  <c r="T1285" i="1"/>
  <c r="T1326" i="1"/>
  <c r="T1328" i="1"/>
  <c r="T1346" i="1"/>
  <c r="T1359" i="1"/>
  <c r="T1397" i="1"/>
  <c r="T1407" i="1"/>
  <c r="T1413" i="1"/>
  <c r="T1421" i="1"/>
  <c r="T1424" i="1"/>
  <c r="T1645" i="1"/>
  <c r="T1684" i="1"/>
  <c r="T1714" i="1"/>
  <c r="T1736" i="1"/>
  <c r="T1758" i="1"/>
  <c r="T1782" i="1"/>
  <c r="T1802" i="1"/>
  <c r="T1866" i="1"/>
  <c r="T1907" i="1"/>
  <c r="T1926" i="1"/>
  <c r="T1944" i="1"/>
  <c r="T2011" i="1"/>
  <c r="T2067" i="1"/>
  <c r="T2104" i="1"/>
  <c r="T2106" i="1"/>
  <c r="T2125" i="1"/>
  <c r="T2205" i="1"/>
  <c r="T2244" i="1"/>
  <c r="T2245" i="1"/>
  <c r="T2248" i="1"/>
  <c r="T2251" i="1"/>
  <c r="T2294" i="1"/>
  <c r="T2308" i="1"/>
  <c r="T2362" i="1"/>
  <c r="T2475" i="1"/>
  <c r="T2505" i="1"/>
  <c r="T2569" i="1"/>
  <c r="T2595" i="1"/>
  <c r="T2658" i="1"/>
  <c r="T2715" i="1"/>
  <c r="T2724" i="1"/>
  <c r="T2779" i="1"/>
  <c r="T2872" i="1"/>
  <c r="T2887" i="1"/>
  <c r="T2905" i="1"/>
  <c r="T2944" i="1"/>
  <c r="T3025" i="1"/>
  <c r="T3037" i="1"/>
  <c r="T3055" i="1"/>
  <c r="T3078" i="1"/>
  <c r="T3103" i="1"/>
  <c r="T3331" i="1"/>
  <c r="T3350" i="1"/>
  <c r="T3493" i="1"/>
  <c r="T3551" i="1"/>
  <c r="T3586" i="1"/>
  <c r="T3615" i="1"/>
  <c r="T3857" i="1"/>
  <c r="T3888" i="1"/>
  <c r="T3977" i="1"/>
  <c r="T3994" i="1"/>
  <c r="T4022" i="1"/>
  <c r="T4142" i="1"/>
  <c r="T4181" i="1"/>
  <c r="T4195" i="1"/>
  <c r="T4292" i="1"/>
  <c r="T4295" i="1"/>
  <c r="T4333" i="1"/>
  <c r="T4361" i="1"/>
  <c r="T4391" i="1"/>
  <c r="T4410" i="1"/>
  <c r="T4418" i="1"/>
  <c r="T4520" i="1"/>
  <c r="T4547" i="1"/>
  <c r="T4588" i="1"/>
  <c r="T4599" i="1"/>
  <c r="T4653" i="1"/>
  <c r="T4875" i="1"/>
  <c r="T4909" i="1"/>
  <c r="T4940" i="1"/>
  <c r="T4977" i="1"/>
  <c r="T5046" i="1"/>
  <c r="T5246" i="1"/>
  <c r="T5277" i="1"/>
  <c r="T5288" i="1"/>
  <c r="T5309" i="1"/>
  <c r="T5311" i="1"/>
  <c r="T5374" i="1"/>
  <c r="T5387" i="1"/>
  <c r="T5393" i="1"/>
  <c r="T5415" i="1"/>
  <c r="T5443" i="1"/>
  <c r="T5567" i="1"/>
  <c r="T5601" i="1"/>
  <c r="T5625" i="1"/>
  <c r="T5690" i="1"/>
  <c r="T5747" i="1"/>
  <c r="T5847" i="1"/>
  <c r="T5899" i="1"/>
  <c r="T5930" i="1"/>
  <c r="T5950" i="1"/>
  <c r="T5992" i="1"/>
  <c r="T6094" i="1"/>
  <c r="T6101" i="1"/>
  <c r="T6206" i="1"/>
  <c r="T6244" i="1"/>
  <c r="T6258" i="1"/>
  <c r="T6308" i="1"/>
  <c r="T6354" i="1"/>
  <c r="T6433" i="1"/>
  <c r="T6440" i="1"/>
  <c r="T6478" i="1"/>
  <c r="T6539" i="1"/>
  <c r="T6567" i="1"/>
  <c r="T6587" i="1"/>
  <c r="T6592" i="1"/>
  <c r="T6712" i="1"/>
  <c r="T6641" i="1"/>
  <c r="T6661" i="1"/>
  <c r="T6642" i="1"/>
  <c r="T94" i="1"/>
  <c r="T124" i="1"/>
  <c r="T330" i="1"/>
  <c r="T335" i="1"/>
  <c r="T479" i="1"/>
  <c r="T496" i="1"/>
  <c r="T521" i="1"/>
  <c r="T578" i="1"/>
  <c r="T579" i="1"/>
  <c r="T604" i="1"/>
  <c r="T620" i="1"/>
  <c r="T752" i="1"/>
  <c r="T1109" i="1"/>
  <c r="T1277" i="1"/>
  <c r="T1426" i="1"/>
  <c r="T1455" i="1"/>
  <c r="T1466" i="1"/>
  <c r="T1846" i="1"/>
  <c r="T1867" i="1"/>
  <c r="T1882" i="1"/>
  <c r="T2004" i="1"/>
  <c r="T2197" i="1"/>
  <c r="T2904" i="1"/>
  <c r="T2984" i="1"/>
  <c r="T3113" i="1"/>
  <c r="T3131" i="1"/>
  <c r="T3167" i="1"/>
  <c r="T3525" i="1"/>
  <c r="T3712" i="1"/>
  <c r="T3842" i="1"/>
  <c r="T3867" i="1"/>
  <c r="T3875" i="1"/>
  <c r="T4315" i="1"/>
  <c r="T4317" i="1"/>
  <c r="T4337" i="1"/>
  <c r="T4338" i="1"/>
  <c r="T4389" i="1"/>
  <c r="T4704" i="1"/>
  <c r="T4730" i="1"/>
  <c r="T4788" i="1"/>
  <c r="T4856" i="1"/>
  <c r="T4948" i="1"/>
  <c r="T5192" i="1"/>
  <c r="T5245" i="1"/>
  <c r="T5265" i="1"/>
  <c r="T5267" i="1"/>
  <c r="T5306" i="1"/>
  <c r="T5767" i="1"/>
  <c r="T5854" i="1"/>
  <c r="T5856" i="1"/>
  <c r="T5918" i="1"/>
  <c r="T5984" i="1"/>
  <c r="T6123" i="1"/>
  <c r="T6222" i="1"/>
  <c r="T6253" i="1"/>
  <c r="T6261" i="1"/>
  <c r="T6372" i="1"/>
  <c r="T13" i="1"/>
  <c r="T96" i="1"/>
  <c r="T148" i="1"/>
  <c r="T151" i="1"/>
  <c r="T195" i="1"/>
  <c r="T211" i="1"/>
  <c r="T443" i="1"/>
  <c r="T527" i="1"/>
  <c r="T563" i="1"/>
  <c r="T633" i="1"/>
  <c r="T675" i="1"/>
  <c r="T996" i="1"/>
  <c r="T1059" i="1"/>
  <c r="T1079" i="1"/>
  <c r="T1108" i="1"/>
  <c r="T1123" i="1"/>
  <c r="T1644" i="1"/>
  <c r="T1659" i="1"/>
  <c r="T1689" i="1"/>
  <c r="T1825" i="1"/>
  <c r="T1849" i="1"/>
  <c r="T2167" i="1"/>
  <c r="T2186" i="1"/>
  <c r="T2208" i="1"/>
  <c r="T2280" i="1"/>
  <c r="T2331" i="1"/>
  <c r="T2437" i="1"/>
  <c r="T2451" i="1"/>
  <c r="T2591" i="1"/>
  <c r="T2635" i="1"/>
  <c r="T2663" i="1"/>
  <c r="T2938" i="1"/>
  <c r="T2960" i="1"/>
  <c r="T2994" i="1"/>
  <c r="T3026" i="1"/>
  <c r="T3036" i="1"/>
  <c r="T3225" i="1"/>
  <c r="T3280" i="1"/>
  <c r="T3344" i="1"/>
  <c r="T3375" i="1"/>
  <c r="T3411" i="1"/>
  <c r="T3691" i="1"/>
  <c r="T3692" i="1"/>
  <c r="T3748" i="1"/>
  <c r="T3815" i="1"/>
  <c r="T3887" i="1"/>
  <c r="T3897" i="1"/>
  <c r="T4014" i="1"/>
  <c r="T4078" i="1"/>
  <c r="T4155" i="1"/>
  <c r="T4241" i="1"/>
  <c r="T4348" i="1"/>
  <c r="T4355" i="1"/>
  <c r="T4482" i="1"/>
  <c r="T4508" i="1"/>
  <c r="T4692" i="1"/>
  <c r="T4699" i="1"/>
  <c r="T4791" i="1"/>
  <c r="T4935" i="1"/>
  <c r="T4938" i="1"/>
  <c r="T5055" i="1"/>
  <c r="T5063" i="1"/>
  <c r="T5084" i="1"/>
  <c r="T5158" i="1"/>
  <c r="T5178" i="1"/>
  <c r="T5212" i="1"/>
  <c r="T5247" i="1"/>
  <c r="T5318" i="1"/>
  <c r="T5449" i="1"/>
  <c r="T5492" i="1"/>
  <c r="T5581" i="1"/>
  <c r="T5689" i="1"/>
  <c r="T5757" i="1"/>
  <c r="T5909" i="1"/>
  <c r="T5932" i="1"/>
  <c r="T5971" i="1"/>
  <c r="T6151" i="1"/>
  <c r="T6250" i="1"/>
  <c r="T6330" i="1"/>
  <c r="T6385" i="1"/>
  <c r="T6387" i="1"/>
  <c r="T6388" i="1"/>
  <c r="T6423" i="1"/>
  <c r="T6432" i="1"/>
  <c r="T6739" i="1"/>
  <c r="T6619" i="1"/>
  <c r="T30" i="1"/>
  <c r="T42" i="1"/>
  <c r="T118" i="1"/>
  <c r="T397" i="1"/>
  <c r="T400" i="1"/>
  <c r="T415" i="1"/>
  <c r="T416" i="1"/>
  <c r="T515" i="1"/>
  <c r="T638" i="1"/>
  <c r="T749" i="1"/>
  <c r="T759" i="1"/>
  <c r="T762" i="1"/>
  <c r="T764" i="1"/>
  <c r="T863" i="1"/>
  <c r="T867" i="1"/>
  <c r="T960" i="1"/>
  <c r="T977" i="1"/>
  <c r="T1016" i="1"/>
  <c r="T1170" i="1"/>
  <c r="T1215" i="1"/>
  <c r="T1233" i="1"/>
  <c r="T1280" i="1"/>
  <c r="T1382" i="1"/>
  <c r="T1592" i="1"/>
  <c r="T1625" i="1"/>
  <c r="T1680" i="1"/>
  <c r="T1682" i="1"/>
  <c r="T1744" i="1"/>
  <c r="T1982" i="1"/>
  <c r="T2024" i="1"/>
  <c r="T2076" i="1"/>
  <c r="T2128" i="1"/>
  <c r="T2182" i="1"/>
  <c r="T2448" i="1"/>
  <c r="T2552" i="1"/>
  <c r="T2582" i="1"/>
  <c r="T2584" i="1"/>
  <c r="T2612" i="1"/>
  <c r="T2720" i="1"/>
  <c r="T2762" i="1"/>
  <c r="T2783" i="1"/>
  <c r="T2800" i="1"/>
  <c r="T2802" i="1"/>
  <c r="T2948" i="1"/>
  <c r="T2962" i="1"/>
  <c r="T2975" i="1"/>
  <c r="T3005" i="1"/>
  <c r="T3040" i="1"/>
  <c r="T3190" i="1"/>
  <c r="T3229" i="1"/>
  <c r="T3321" i="1"/>
  <c r="T3345" i="1"/>
  <c r="T3347" i="1"/>
  <c r="T3460" i="1"/>
  <c r="T3487" i="1"/>
  <c r="T3498" i="1"/>
  <c r="T3542" i="1"/>
  <c r="T3572" i="1"/>
  <c r="T3683" i="1"/>
  <c r="T3684" i="1"/>
  <c r="T3698" i="1"/>
  <c r="T3725" i="1"/>
  <c r="T3745" i="1"/>
  <c r="T3805" i="1"/>
  <c r="T3892" i="1"/>
  <c r="T3903" i="1"/>
  <c r="T3935" i="1"/>
  <c r="T3949" i="1"/>
  <c r="T4047" i="1"/>
  <c r="T4158" i="1"/>
  <c r="T4163" i="1"/>
  <c r="T4178" i="1"/>
  <c r="T4212" i="1"/>
  <c r="T4310" i="1"/>
  <c r="T4346" i="1"/>
  <c r="T4356" i="1"/>
  <c r="T4395" i="1"/>
  <c r="T4400" i="1"/>
  <c r="T4480" i="1"/>
  <c r="T4530" i="1"/>
  <c r="T4604" i="1"/>
  <c r="T4676" i="1"/>
  <c r="T4767" i="1"/>
  <c r="T4857" i="1"/>
  <c r="T4882" i="1"/>
  <c r="T4972" i="1"/>
  <c r="T4973" i="1"/>
  <c r="T4984" i="1"/>
  <c r="T4988" i="1"/>
  <c r="T5074" i="1"/>
  <c r="T5077" i="1"/>
  <c r="T5104" i="1"/>
  <c r="T5167" i="1"/>
  <c r="T5180" i="1"/>
  <c r="T5282" i="1"/>
  <c r="T5380" i="1"/>
  <c r="T5382" i="1"/>
  <c r="T5407" i="1"/>
  <c r="T5427" i="1"/>
  <c r="T5560" i="1"/>
  <c r="T5577" i="1"/>
  <c r="T5603" i="1"/>
  <c r="T5632" i="1"/>
  <c r="T5728" i="1"/>
  <c r="T5814" i="1"/>
  <c r="T5933" i="1"/>
  <c r="T5949" i="1"/>
  <c r="T5983" i="1"/>
  <c r="T5998" i="1"/>
  <c r="T6081" i="1"/>
  <c r="T6122" i="1"/>
  <c r="T6125" i="1"/>
  <c r="T6166" i="1"/>
  <c r="T6174" i="1"/>
  <c r="T6376" i="1"/>
  <c r="T6445" i="1"/>
  <c r="T6448" i="1"/>
  <c r="T6468" i="1"/>
  <c r="T6473" i="1"/>
  <c r="T6730" i="1"/>
  <c r="T6620" i="1"/>
  <c r="T6698" i="1"/>
  <c r="T49" i="1"/>
  <c r="T109" i="1"/>
  <c r="T154" i="1"/>
  <c r="T352" i="1"/>
  <c r="T368" i="1"/>
  <c r="T404" i="1"/>
  <c r="T435" i="1"/>
  <c r="T449" i="1"/>
  <c r="T655" i="1"/>
  <c r="T661" i="1"/>
  <c r="T769" i="1"/>
  <c r="T770" i="1"/>
  <c r="T864" i="1"/>
  <c r="T1175" i="1"/>
  <c r="T1263" i="1"/>
  <c r="T1332" i="1"/>
  <c r="T1431" i="1"/>
  <c r="T1441" i="1"/>
  <c r="T1667" i="1"/>
  <c r="T1749" i="1"/>
  <c r="T1764" i="1"/>
  <c r="T1768" i="1"/>
  <c r="T2095" i="1"/>
  <c r="T2407" i="1"/>
  <c r="T2483" i="1"/>
  <c r="T2506" i="1"/>
  <c r="T2526" i="1"/>
  <c r="T2551" i="1"/>
  <c r="T2782" i="1"/>
  <c r="T2899" i="1"/>
  <c r="T2931" i="1"/>
  <c r="T3003" i="1"/>
  <c r="T3021" i="1"/>
  <c r="T3436" i="1"/>
  <c r="T3576" i="1"/>
  <c r="T3582" i="1"/>
  <c r="T3588" i="1"/>
  <c r="T3623" i="1"/>
  <c r="T4045" i="1"/>
  <c r="T4156" i="1"/>
  <c r="T4216" i="1"/>
  <c r="T4286" i="1"/>
  <c r="T4451" i="1"/>
  <c r="T4768" i="1"/>
  <c r="T4776" i="1"/>
  <c r="T4822" i="1"/>
  <c r="T5006" i="1"/>
  <c r="T5069" i="1"/>
  <c r="T5298" i="1"/>
  <c r="T5429" i="1"/>
  <c r="T5605" i="1"/>
  <c r="T5674" i="1"/>
  <c r="T5734" i="1"/>
  <c r="T6170" i="1"/>
  <c r="T6259" i="1"/>
  <c r="T6272" i="1"/>
  <c r="T6416" i="1"/>
  <c r="T6420" i="1"/>
  <c r="T53" i="1"/>
  <c r="T62" i="1"/>
  <c r="T89" i="1"/>
  <c r="T152" i="1"/>
  <c r="T322" i="1"/>
  <c r="T702" i="1"/>
  <c r="T750" i="1"/>
  <c r="T780" i="1"/>
  <c r="T877" i="1"/>
  <c r="T923" i="1"/>
  <c r="T1349" i="1"/>
  <c r="T1387" i="1"/>
  <c r="T1408" i="1"/>
  <c r="T1527" i="1"/>
  <c r="T1547" i="1"/>
  <c r="T2009" i="1"/>
  <c r="T2018" i="1"/>
  <c r="T2073" i="1"/>
  <c r="T2096" i="1"/>
  <c r="T2181" i="1"/>
  <c r="T2303" i="1"/>
  <c r="T2490" i="1"/>
  <c r="T2536" i="1"/>
  <c r="T2578" i="1"/>
  <c r="T2580" i="1"/>
  <c r="T2727" i="1"/>
  <c r="T2790" i="1"/>
  <c r="T2808" i="1"/>
  <c r="T2919" i="1"/>
  <c r="T2925" i="1"/>
  <c r="T3118" i="1"/>
  <c r="T3137" i="1"/>
  <c r="T3175" i="1"/>
  <c r="T3178" i="1"/>
  <c r="T3357" i="1"/>
  <c r="T3521" i="1"/>
  <c r="T3568" i="1"/>
  <c r="T3660" i="1"/>
  <c r="T3744" i="1"/>
  <c r="T3860" i="1"/>
  <c r="T3912" i="1"/>
  <c r="T3937" i="1"/>
  <c r="T3945" i="1"/>
  <c r="T3946" i="1"/>
  <c r="T3955" i="1"/>
  <c r="T4159" i="1"/>
  <c r="T4164" i="1"/>
  <c r="T4169" i="1"/>
  <c r="T4207" i="1"/>
  <c r="T4246" i="1"/>
  <c r="T4445" i="1"/>
  <c r="T4492" i="1"/>
  <c r="T4509" i="1"/>
  <c r="T4643" i="1"/>
  <c r="T4732" i="1"/>
  <c r="T4899" i="1"/>
  <c r="T5019" i="1"/>
  <c r="T5045" i="1"/>
  <c r="T5057" i="1"/>
  <c r="T5066" i="1"/>
  <c r="T5202" i="1"/>
  <c r="T5207" i="1"/>
  <c r="T5224" i="1"/>
  <c r="T5236" i="1"/>
  <c r="T5241" i="1"/>
  <c r="T5420" i="1"/>
  <c r="T5453" i="1"/>
  <c r="T5460" i="1"/>
  <c r="T5543" i="1"/>
  <c r="T5596" i="1"/>
  <c r="T5730" i="1"/>
  <c r="T5756" i="1"/>
  <c r="T5837" i="1"/>
  <c r="T5841" i="1"/>
  <c r="T5857" i="1"/>
  <c r="T5981" i="1"/>
  <c r="T6047" i="1"/>
  <c r="T6119" i="1"/>
  <c r="T6130" i="1"/>
  <c r="T6149" i="1"/>
  <c r="T6201" i="1"/>
  <c r="T6273" i="1"/>
  <c r="T6367" i="1"/>
  <c r="T6395" i="1"/>
  <c r="T6419" i="1"/>
  <c r="T6707" i="1"/>
  <c r="T6717" i="1"/>
  <c r="T8" i="1"/>
  <c r="T75" i="1"/>
  <c r="T76" i="1"/>
  <c r="T269" i="1"/>
  <c r="T274" i="1"/>
  <c r="T314" i="1"/>
  <c r="T336" i="1"/>
  <c r="T337" i="1"/>
  <c r="T566" i="1"/>
  <c r="T660" i="1"/>
  <c r="T835" i="1"/>
  <c r="T845" i="1"/>
  <c r="T899" i="1"/>
  <c r="T957" i="1"/>
  <c r="T978" i="1"/>
  <c r="T994" i="1"/>
  <c r="T1005" i="1"/>
  <c r="T1007" i="1"/>
  <c r="T1072" i="1"/>
  <c r="T1103" i="1"/>
  <c r="T1134" i="1"/>
  <c r="T1164" i="1"/>
  <c r="T1168" i="1"/>
  <c r="T1174" i="1"/>
  <c r="T1185" i="1"/>
  <c r="T1221" i="1"/>
  <c r="T1224" i="1"/>
  <c r="T1320" i="1"/>
  <c r="T1373" i="1"/>
  <c r="T1468" i="1"/>
  <c r="T1550" i="1"/>
  <c r="T1657" i="1"/>
  <c r="T1695" i="1"/>
  <c r="T1696" i="1"/>
  <c r="T2036" i="1"/>
  <c r="T2048" i="1"/>
  <c r="T2143" i="1"/>
  <c r="T2185" i="1"/>
  <c r="T2188" i="1"/>
  <c r="T2224" i="1"/>
  <c r="T2298" i="1"/>
  <c r="T2367" i="1"/>
  <c r="T2388" i="1"/>
  <c r="T2450" i="1"/>
  <c r="T2687" i="1"/>
  <c r="T2701" i="1"/>
  <c r="T2718" i="1"/>
  <c r="T2755" i="1"/>
  <c r="T2760" i="1"/>
  <c r="T2886" i="1"/>
  <c r="T2888" i="1"/>
  <c r="T2914" i="1"/>
  <c r="T2917" i="1"/>
  <c r="T2991" i="1"/>
  <c r="T2995" i="1"/>
  <c r="T3063" i="1"/>
  <c r="T3161" i="1"/>
  <c r="T3224" i="1"/>
  <c r="T3253" i="1"/>
  <c r="T3266" i="1"/>
  <c r="T3312" i="1"/>
  <c r="T3315" i="1"/>
  <c r="T3378" i="1"/>
  <c r="T3407" i="1"/>
  <c r="T3433" i="1"/>
  <c r="T3477" i="1"/>
  <c r="T3502" i="1"/>
  <c r="T3563" i="1"/>
  <c r="T3607" i="1"/>
  <c r="T3659" i="1"/>
  <c r="T3792" i="1"/>
  <c r="T3829" i="1"/>
  <c r="T3863" i="1"/>
  <c r="T3896" i="1"/>
  <c r="T3902" i="1"/>
  <c r="T4048" i="1"/>
  <c r="T4073" i="1"/>
  <c r="T4106" i="1"/>
  <c r="T4161" i="1"/>
  <c r="T4199" i="1"/>
  <c r="T4293" i="1"/>
  <c r="T4343" i="1"/>
  <c r="T4390" i="1"/>
  <c r="T4450" i="1"/>
  <c r="T4595" i="1"/>
  <c r="T4900" i="1"/>
  <c r="T4903" i="1"/>
  <c r="T4964" i="1"/>
  <c r="T4981" i="1"/>
  <c r="T4991" i="1"/>
  <c r="T5122" i="1"/>
  <c r="T5126" i="1"/>
  <c r="T5129" i="1"/>
  <c r="T5142" i="1"/>
  <c r="T5143" i="1"/>
  <c r="T5293" i="1"/>
  <c r="T5314" i="1"/>
  <c r="T5338" i="1"/>
  <c r="T5363" i="1"/>
  <c r="T5368" i="1"/>
  <c r="T5687" i="1"/>
  <c r="T5754" i="1"/>
  <c r="T5784" i="1"/>
  <c r="T5789" i="1"/>
  <c r="T5812" i="1"/>
  <c r="T5879" i="1"/>
  <c r="T5884" i="1"/>
  <c r="T5903" i="1"/>
  <c r="T5970" i="1"/>
  <c r="T5976" i="1"/>
  <c r="T6208" i="1"/>
  <c r="T6216" i="1"/>
  <c r="T6235" i="1"/>
  <c r="T6238" i="1"/>
  <c r="T6257" i="1"/>
  <c r="T6442" i="1"/>
  <c r="T6446" i="1"/>
  <c r="T6463" i="1"/>
  <c r="T6496" i="1"/>
  <c r="T6497" i="1"/>
  <c r="T6690" i="1"/>
  <c r="T6759" i="1"/>
  <c r="T6723" i="1"/>
  <c r="T6611" i="1"/>
  <c r="T6748" i="1"/>
  <c r="T178" i="1"/>
  <c r="T186" i="1"/>
  <c r="T201" i="1"/>
  <c r="T250" i="1"/>
  <c r="T451" i="1"/>
  <c r="T642" i="1"/>
  <c r="T782" i="1"/>
  <c r="T865" i="1"/>
  <c r="T881" i="1"/>
  <c r="T909" i="1"/>
  <c r="T931" i="1"/>
  <c r="T988" i="1"/>
  <c r="T1075" i="1"/>
  <c r="T1267" i="1"/>
  <c r="T1480" i="1"/>
  <c r="T1517" i="1"/>
  <c r="T1896" i="1"/>
  <c r="T1941" i="1"/>
  <c r="T1957" i="1"/>
  <c r="T2114" i="1"/>
  <c r="T2184" i="1"/>
  <c r="T2380" i="1"/>
  <c r="T2504" i="1"/>
  <c r="T2509" i="1"/>
  <c r="T2515" i="1"/>
  <c r="T2619" i="1"/>
  <c r="T2815" i="1"/>
  <c r="T2827" i="1"/>
  <c r="T2866" i="1"/>
  <c r="T2871" i="1"/>
  <c r="T3072" i="1"/>
  <c r="T3408" i="1"/>
  <c r="T3428" i="1"/>
  <c r="T3647" i="1"/>
  <c r="T3671" i="1"/>
  <c r="T3741" i="1"/>
  <c r="T4094" i="1"/>
  <c r="T4247" i="1"/>
  <c r="T4270" i="1"/>
  <c r="T4385" i="1"/>
  <c r="T4435" i="1"/>
  <c r="T4695" i="1"/>
  <c r="T5001" i="1"/>
  <c r="T5179" i="1"/>
  <c r="T5211" i="1"/>
  <c r="T5332" i="1"/>
  <c r="T5661" i="1"/>
  <c r="T5665" i="1"/>
  <c r="T5684" i="1"/>
  <c r="T5710" i="1"/>
  <c r="T5723" i="1"/>
  <c r="T6057" i="1"/>
  <c r="T6150" i="1"/>
  <c r="T6297" i="1"/>
  <c r="T6409" i="1"/>
  <c r="T4" i="1"/>
  <c r="T424" i="1"/>
  <c r="T478" i="1"/>
  <c r="T503" i="1"/>
  <c r="T532" i="1"/>
  <c r="T594" i="1"/>
  <c r="T917" i="1"/>
  <c r="T1044" i="1"/>
  <c r="T1065" i="1"/>
  <c r="T1369" i="1"/>
  <c r="T1403" i="1"/>
  <c r="T1485" i="1"/>
  <c r="T1497" i="1"/>
  <c r="T1594" i="1"/>
  <c r="T1633" i="1"/>
  <c r="T1642" i="1"/>
  <c r="T1992" i="1"/>
  <c r="T2043" i="1"/>
  <c r="T2060" i="1"/>
  <c r="T2081" i="1"/>
  <c r="T2111" i="1"/>
  <c r="T2369" i="1"/>
  <c r="T2374" i="1"/>
  <c r="T2400" i="1"/>
  <c r="T2408" i="1"/>
  <c r="T2431" i="1"/>
  <c r="T2849" i="1"/>
  <c r="T3057" i="1"/>
  <c r="T3108" i="1"/>
  <c r="T3155" i="1"/>
  <c r="T3162" i="1"/>
  <c r="T3358" i="1"/>
  <c r="T3390" i="1"/>
  <c r="T3527" i="1"/>
  <c r="T3559" i="1"/>
  <c r="T3657" i="1"/>
  <c r="T3735" i="1"/>
  <c r="T3738" i="1"/>
  <c r="T3816" i="1"/>
  <c r="T3862" i="1"/>
  <c r="T3894" i="1"/>
  <c r="T4140" i="1"/>
  <c r="T4240" i="1"/>
  <c r="T4256" i="1"/>
  <c r="T4281" i="1"/>
  <c r="T4290" i="1"/>
  <c r="T4468" i="1"/>
  <c r="T4630" i="1"/>
  <c r="T4644" i="1"/>
  <c r="T4806" i="1"/>
  <c r="T4839" i="1"/>
  <c r="T5082" i="1"/>
  <c r="T5089" i="1"/>
  <c r="T5177" i="1"/>
  <c r="T5213" i="1"/>
  <c r="T5275" i="1"/>
  <c r="T5488" i="1"/>
  <c r="T5503" i="1"/>
  <c r="T5609" i="1"/>
  <c r="T5631" i="1"/>
  <c r="T5762" i="1"/>
  <c r="T5941" i="1"/>
  <c r="T5987" i="1"/>
  <c r="T6023" i="1"/>
  <c r="T6071" i="1"/>
  <c r="T6158" i="1"/>
  <c r="T6318" i="1"/>
  <c r="T6469" i="1"/>
  <c r="T6517" i="1"/>
  <c r="T6532" i="1"/>
  <c r="T6564" i="1"/>
  <c r="T6701" i="1"/>
  <c r="T6613" i="1"/>
  <c r="T6621" i="1"/>
  <c r="T6" i="1"/>
  <c r="T12" i="1"/>
  <c r="T104" i="1"/>
  <c r="T122" i="1"/>
  <c r="T177" i="1"/>
  <c r="T331" i="1"/>
  <c r="T359" i="1"/>
  <c r="T508" i="1"/>
  <c r="T528" i="1"/>
  <c r="T541" i="1"/>
  <c r="T560" i="1"/>
  <c r="T600" i="1"/>
  <c r="T693" i="1"/>
  <c r="T701" i="1"/>
  <c r="T732" i="1"/>
  <c r="T763" i="1"/>
  <c r="T827" i="1"/>
  <c r="T1102" i="1"/>
  <c r="T1120" i="1"/>
  <c r="T1163" i="1"/>
  <c r="T1200" i="1"/>
  <c r="T1206" i="1"/>
  <c r="T1338" i="1"/>
  <c r="T1381" i="1"/>
  <c r="T1464" i="1"/>
  <c r="T1465" i="1"/>
  <c r="T1467" i="1"/>
  <c r="T1601" i="1"/>
  <c r="T1615" i="1"/>
  <c r="T1636" i="1"/>
  <c r="T1750" i="1"/>
  <c r="T1765" i="1"/>
  <c r="T1898" i="1"/>
  <c r="T1905" i="1"/>
  <c r="T1908" i="1"/>
  <c r="T1917" i="1"/>
  <c r="T1947" i="1"/>
  <c r="T1993" i="1"/>
  <c r="T2001" i="1"/>
  <c r="T2003" i="1"/>
  <c r="T2005" i="1"/>
  <c r="T2134" i="1"/>
  <c r="T2329" i="1"/>
  <c r="T2341" i="1"/>
  <c r="T2358" i="1"/>
  <c r="T2397" i="1"/>
  <c r="T2419" i="1"/>
  <c r="T2590" i="1"/>
  <c r="T2669" i="1"/>
  <c r="T2681" i="1"/>
  <c r="T2714" i="1"/>
  <c r="T2770" i="1"/>
  <c r="T2964" i="1"/>
  <c r="T2998" i="1"/>
  <c r="T3022" i="1"/>
  <c r="T3032" i="1"/>
  <c r="T3092" i="1"/>
  <c r="T3168" i="1"/>
  <c r="T3185" i="1"/>
  <c r="T3239" i="1"/>
  <c r="T3261" i="1"/>
  <c r="T3297" i="1"/>
  <c r="T3451" i="1"/>
  <c r="T3479" i="1"/>
  <c r="T3557" i="1"/>
  <c r="T3619" i="1"/>
  <c r="T3648" i="1"/>
  <c r="T3749" i="1"/>
  <c r="T3770" i="1"/>
  <c r="T3811" i="1"/>
  <c r="T3814" i="1"/>
  <c r="T3838" i="1"/>
  <c r="T4139" i="1"/>
  <c r="T4162" i="1"/>
  <c r="T4166" i="1"/>
  <c r="T4179" i="1"/>
  <c r="T4189" i="1"/>
  <c r="T4403" i="1"/>
  <c r="T4429" i="1"/>
  <c r="T4432" i="1"/>
  <c r="T4472" i="1"/>
  <c r="T4573" i="1"/>
  <c r="T4602" i="1"/>
  <c r="T4672" i="1"/>
  <c r="T4700" i="1"/>
  <c r="T4805" i="1"/>
  <c r="T4841" i="1"/>
  <c r="T5000" i="1"/>
  <c r="T5009" i="1"/>
  <c r="T5023" i="1"/>
  <c r="T5024" i="1"/>
  <c r="T5029" i="1"/>
  <c r="T5299" i="1"/>
  <c r="T5360" i="1"/>
  <c r="T5371" i="1"/>
  <c r="T5385" i="1"/>
  <c r="T5471" i="1"/>
  <c r="T5546" i="1"/>
  <c r="T5552" i="1"/>
  <c r="T5559" i="1"/>
  <c r="T5620" i="1"/>
  <c r="T5692" i="1"/>
  <c r="T5834" i="1"/>
  <c r="T5873" i="1"/>
  <c r="T5912" i="1"/>
  <c r="T5926" i="1"/>
  <c r="T5927" i="1"/>
  <c r="T6134" i="1"/>
  <c r="T6211" i="1"/>
  <c r="T6290" i="1"/>
  <c r="T6334" i="1"/>
  <c r="T6346" i="1"/>
  <c r="T6506" i="1"/>
  <c r="T6537" i="1"/>
  <c r="T6542" i="1"/>
  <c r="T6719" i="1"/>
  <c r="T6637" i="1"/>
  <c r="T6695" i="1"/>
  <c r="T26" i="1"/>
  <c r="T168" i="1"/>
  <c r="T237" i="1"/>
  <c r="T343" i="1"/>
  <c r="T555" i="1"/>
  <c r="T613" i="1"/>
  <c r="T794" i="1"/>
  <c r="T997" i="1"/>
  <c r="T1049" i="1"/>
  <c r="T1504" i="1"/>
  <c r="T1513" i="1"/>
  <c r="T1552" i="1"/>
  <c r="T1585" i="1"/>
  <c r="T1627" i="1"/>
  <c r="T1952" i="1"/>
  <c r="T2140" i="1"/>
  <c r="T2152" i="1"/>
  <c r="T2195" i="1"/>
  <c r="T2312" i="1"/>
  <c r="T2485" i="1"/>
  <c r="T2703" i="1"/>
  <c r="T2719" i="1"/>
  <c r="T2816" i="1"/>
  <c r="T2873" i="1"/>
  <c r="T3418" i="1"/>
  <c r="T3419" i="1"/>
  <c r="T3459" i="1"/>
  <c r="T3464" i="1"/>
  <c r="T3524" i="1"/>
  <c r="T3794" i="1"/>
  <c r="T4002" i="1"/>
  <c r="T4072" i="1"/>
  <c r="T4108" i="1"/>
  <c r="T4242" i="1"/>
  <c r="T4505" i="1"/>
  <c r="T4541" i="1"/>
  <c r="T4685" i="1"/>
  <c r="T4708" i="1"/>
  <c r="T4721" i="1"/>
  <c r="T4790" i="1"/>
  <c r="T4794" i="1"/>
  <c r="T5052" i="1"/>
  <c r="T5106" i="1"/>
  <c r="T5194" i="1"/>
  <c r="T5438" i="1"/>
  <c r="T5508" i="1"/>
  <c r="T5548" i="1"/>
  <c r="T5585" i="1"/>
  <c r="T5595" i="1"/>
  <c r="T5703" i="1"/>
  <c r="T5709" i="1"/>
  <c r="T5714" i="1"/>
  <c r="T5739" i="1"/>
  <c r="T5787" i="1"/>
  <c r="T6063" i="1"/>
  <c r="T6184" i="1"/>
  <c r="T6561" i="1"/>
  <c r="T2" i="1"/>
  <c r="T3" i="1"/>
  <c r="T215" i="1"/>
  <c r="T227" i="1"/>
  <c r="T288" i="1"/>
  <c r="T297" i="1"/>
  <c r="T438" i="1"/>
  <c r="T842" i="1"/>
  <c r="T922" i="1"/>
  <c r="T1078" i="1"/>
  <c r="T1100" i="1"/>
  <c r="T1250" i="1"/>
  <c r="T1329" i="1"/>
  <c r="T1415" i="1"/>
  <c r="T1417" i="1"/>
  <c r="T1432" i="1"/>
  <c r="T1444" i="1"/>
  <c r="T1621" i="1"/>
  <c r="T1660" i="1"/>
  <c r="T1713" i="1"/>
  <c r="T1727" i="1"/>
  <c r="T1762" i="1"/>
  <c r="T2216" i="1"/>
  <c r="T2226" i="1"/>
  <c r="T2233" i="1"/>
  <c r="T2288" i="1"/>
  <c r="T2343" i="1"/>
  <c r="T2728" i="1"/>
  <c r="T2812" i="1"/>
  <c r="T2828" i="1"/>
  <c r="T2916" i="1"/>
  <c r="T2959" i="1"/>
  <c r="T3254" i="1"/>
  <c r="T3335" i="1"/>
  <c r="T3369" i="1"/>
  <c r="T3382" i="1"/>
  <c r="T3404" i="1"/>
  <c r="T3516" i="1"/>
  <c r="T3617" i="1"/>
  <c r="T3690" i="1"/>
  <c r="T3702" i="1"/>
  <c r="T3707" i="1"/>
  <c r="T3952" i="1"/>
  <c r="T4070" i="1"/>
  <c r="T4087" i="1"/>
  <c r="T4125" i="1"/>
  <c r="T4128" i="1"/>
  <c r="T4358" i="1"/>
  <c r="T4387" i="1"/>
  <c r="T4510" i="1"/>
  <c r="T4521" i="1"/>
  <c r="T4561" i="1"/>
  <c r="T4792" i="1"/>
  <c r="T4793" i="1"/>
  <c r="T4848" i="1"/>
  <c r="T4929" i="1"/>
  <c r="T4953" i="1"/>
  <c r="T5125" i="1"/>
  <c r="T5191" i="1"/>
  <c r="T5287" i="1"/>
  <c r="T5319" i="1"/>
  <c r="T5378" i="1"/>
  <c r="T5593" i="1"/>
  <c r="T5610" i="1"/>
  <c r="T5642" i="1"/>
  <c r="T5804" i="1"/>
  <c r="T5867" i="1"/>
  <c r="T6196" i="1"/>
  <c r="T6209" i="1"/>
  <c r="T6218" i="1"/>
  <c r="T6223" i="1"/>
  <c r="T6296" i="1"/>
  <c r="T6425" i="1"/>
  <c r="T6480" i="1"/>
  <c r="T6547" i="1"/>
  <c r="T6580" i="1"/>
  <c r="T6597" i="1"/>
  <c r="T63" i="1"/>
  <c r="V63" i="1" s="1"/>
  <c r="T84" i="1"/>
  <c r="T105" i="1"/>
  <c r="T129" i="1"/>
  <c r="T159" i="1"/>
  <c r="T173" i="1"/>
  <c r="T320" i="1"/>
  <c r="T364" i="1"/>
  <c r="T375" i="1"/>
  <c r="T482" i="1"/>
  <c r="T590" i="1"/>
  <c r="T717" i="1"/>
  <c r="T718" i="1"/>
  <c r="T724" i="1"/>
  <c r="T777" i="1"/>
  <c r="T803" i="1"/>
  <c r="T857" i="1"/>
  <c r="T891" i="1"/>
  <c r="T896" i="1"/>
  <c r="T914" i="1"/>
  <c r="T925" i="1"/>
  <c r="T935" i="1"/>
  <c r="T1017" i="1"/>
  <c r="T1045" i="1"/>
  <c r="T1085" i="1"/>
  <c r="T1129" i="1"/>
  <c r="T1154" i="1"/>
  <c r="T1159" i="1"/>
  <c r="T1240" i="1"/>
  <c r="T1270" i="1"/>
  <c r="T1272" i="1"/>
  <c r="T1317" i="1"/>
  <c r="T1364" i="1"/>
  <c r="T1443" i="1"/>
  <c r="T1445" i="1"/>
  <c r="T1461" i="1"/>
  <c r="T1505" i="1"/>
  <c r="T1511" i="1"/>
  <c r="T1578" i="1"/>
  <c r="T1599" i="1"/>
  <c r="T1616" i="1"/>
  <c r="T1677" i="1"/>
  <c r="T1752" i="1"/>
  <c r="T1920" i="1"/>
  <c r="T2006" i="1"/>
  <c r="T2089" i="1"/>
  <c r="T2099" i="1"/>
  <c r="T2108" i="1"/>
  <c r="T2136" i="1"/>
  <c r="T2261" i="1"/>
  <c r="V2261" i="1" s="1"/>
  <c r="T2324" i="1"/>
  <c r="T2405" i="1"/>
  <c r="T2427" i="1"/>
  <c r="T2466" i="1"/>
  <c r="T2691" i="1"/>
  <c r="T2711" i="1"/>
  <c r="T2753" i="1"/>
  <c r="T2764" i="1"/>
  <c r="T2799" i="1"/>
  <c r="T2894" i="1"/>
  <c r="V2894" i="1" s="1"/>
  <c r="T2953" i="1"/>
  <c r="T2965" i="1"/>
  <c r="T2983" i="1"/>
  <c r="T3077" i="1"/>
  <c r="T3262" i="1"/>
  <c r="T3292" i="1"/>
  <c r="T3294" i="1"/>
  <c r="T3302" i="1"/>
  <c r="T3354" i="1"/>
  <c r="T3426" i="1"/>
  <c r="T3472" i="1"/>
  <c r="T3495" i="1"/>
  <c r="T3503" i="1"/>
  <c r="T3545" i="1"/>
  <c r="T3549" i="1"/>
  <c r="T3653" i="1"/>
  <c r="T3695" i="1"/>
  <c r="T3754" i="1"/>
  <c r="T3762" i="1"/>
  <c r="T3789" i="1"/>
  <c r="T3866" i="1"/>
  <c r="T3872" i="1"/>
  <c r="T3898" i="1"/>
  <c r="T3926" i="1"/>
  <c r="T3950" i="1"/>
  <c r="T4135" i="1"/>
  <c r="T4223" i="1"/>
  <c r="T4322" i="1"/>
  <c r="T4340" i="1"/>
  <c r="T4352" i="1"/>
  <c r="T4394" i="1"/>
  <c r="T4531" i="1"/>
  <c r="T4534" i="1"/>
  <c r="T4543" i="1"/>
  <c r="T4598" i="1"/>
  <c r="T4651" i="1"/>
  <c r="T4750" i="1"/>
  <c r="T4802" i="1"/>
  <c r="T4833" i="1"/>
  <c r="T4847" i="1"/>
  <c r="T4863" i="1"/>
  <c r="T4983" i="1"/>
  <c r="T5034" i="1"/>
  <c r="T5096" i="1"/>
  <c r="T5171" i="1"/>
  <c r="T5270" i="1"/>
  <c r="T5313" i="1"/>
  <c r="T5320" i="1"/>
  <c r="T5362" i="1"/>
  <c r="T5364" i="1"/>
  <c r="T5469" i="1"/>
  <c r="T5490" i="1"/>
  <c r="T5514" i="1"/>
  <c r="T5583" i="1"/>
  <c r="T5608" i="1"/>
  <c r="T5662" i="1"/>
  <c r="T5716" i="1"/>
  <c r="T5870" i="1"/>
  <c r="T5894" i="1"/>
  <c r="T5895" i="1"/>
  <c r="T5902" i="1"/>
  <c r="T5940" i="1"/>
  <c r="T6053" i="1"/>
  <c r="T6054" i="1"/>
  <c r="T6060" i="1"/>
  <c r="T6077" i="1"/>
  <c r="T6098" i="1"/>
  <c r="T6220" i="1"/>
  <c r="T6252" i="1"/>
  <c r="T6306" i="1"/>
  <c r="T6428" i="1"/>
  <c r="T6430" i="1"/>
  <c r="T6462" i="1"/>
  <c r="T6738" i="1"/>
  <c r="T6608" i="1"/>
  <c r="T6650" i="1"/>
  <c r="T6732" i="1"/>
  <c r="T6646" i="1"/>
  <c r="T133" i="1"/>
  <c r="V133" i="1" s="1"/>
  <c r="T267" i="1"/>
  <c r="T310" i="1"/>
  <c r="T441" i="1"/>
  <c r="T490" i="1"/>
  <c r="T659" i="1"/>
  <c r="T761" i="1"/>
  <c r="T781" i="1"/>
  <c r="T910" i="1"/>
  <c r="T1073" i="1"/>
  <c r="T1288" i="1"/>
  <c r="V1288" i="1" s="1"/>
  <c r="T1295" i="1"/>
  <c r="T1520" i="1"/>
  <c r="T1549" i="1"/>
  <c r="T1624" i="1"/>
  <c r="T1639" i="1"/>
  <c r="T1832" i="1"/>
  <c r="T1858" i="1"/>
  <c r="T1872" i="1"/>
  <c r="T1929" i="1"/>
  <c r="T1985" i="1"/>
  <c r="T2189" i="1"/>
  <c r="T2201" i="1"/>
  <c r="T2306" i="1"/>
  <c r="T2307" i="1"/>
  <c r="T2334" i="1"/>
  <c r="T2626" i="1"/>
  <c r="T2638" i="1"/>
  <c r="T2784" i="1"/>
  <c r="T2797" i="1"/>
  <c r="T2837" i="1"/>
  <c r="T3319" i="1"/>
  <c r="T3403" i="1"/>
  <c r="T3409" i="1"/>
  <c r="T3478" i="1"/>
  <c r="T3497" i="1"/>
  <c r="T3518" i="1"/>
  <c r="T3569" i="1"/>
  <c r="T3640" i="1"/>
  <c r="T3705" i="1"/>
  <c r="T3812" i="1"/>
  <c r="T3852" i="1"/>
  <c r="T4134" i="1"/>
  <c r="T4137" i="1"/>
  <c r="T4409" i="1"/>
  <c r="T4560" i="1"/>
  <c r="T4567" i="1"/>
  <c r="T4682" i="1"/>
  <c r="T4766" i="1"/>
  <c r="T4823" i="1"/>
  <c r="T4838" i="1"/>
  <c r="T4934" i="1"/>
  <c r="T5135" i="1"/>
  <c r="T5139" i="1"/>
  <c r="T5188" i="1"/>
  <c r="T5239" i="1"/>
  <c r="T5263" i="1"/>
  <c r="T5343" i="1"/>
  <c r="T5564" i="1"/>
  <c r="T5570" i="1"/>
  <c r="T5618" i="1"/>
  <c r="T5633" i="1"/>
  <c r="T5713" i="1"/>
  <c r="T5955" i="1"/>
  <c r="T6001" i="1"/>
  <c r="T6049" i="1"/>
  <c r="T6096" i="1"/>
  <c r="T6169" i="1"/>
  <c r="T6341" i="1"/>
  <c r="T6359" i="1"/>
  <c r="T6363" i="1"/>
  <c r="T6706" i="1"/>
  <c r="T6737" i="1"/>
  <c r="T27" i="1"/>
  <c r="T86" i="1"/>
  <c r="T197" i="1"/>
  <c r="T208" i="1"/>
  <c r="T218" i="1"/>
  <c r="T271" i="1"/>
  <c r="T463" i="1"/>
  <c r="T472" i="1"/>
  <c r="T607" i="1"/>
  <c r="T644" i="1"/>
  <c r="T665" i="1"/>
  <c r="T1053" i="1"/>
  <c r="T1152" i="1"/>
  <c r="T1232" i="1"/>
  <c r="T1248" i="1"/>
  <c r="T1333" i="1"/>
  <c r="T1507" i="1"/>
  <c r="V1507" i="1" s="1"/>
  <c r="T1568" i="1"/>
  <c r="T1666" i="1"/>
  <c r="T1788" i="1"/>
  <c r="T1824" i="1"/>
  <c r="T2074" i="1"/>
  <c r="T2118" i="1"/>
  <c r="T2119" i="1"/>
  <c r="T2131" i="1"/>
  <c r="T2139" i="1"/>
  <c r="T2177" i="1"/>
  <c r="T2198" i="1"/>
  <c r="T2319" i="1"/>
  <c r="T2356" i="1"/>
  <c r="T2385" i="1"/>
  <c r="T2418" i="1"/>
  <c r="T2499" i="1"/>
  <c r="T2575" i="1"/>
  <c r="T2592" i="1"/>
  <c r="T2707" i="1"/>
  <c r="T2749" i="1"/>
  <c r="T2835" i="1"/>
  <c r="T2854" i="1"/>
  <c r="T2928" i="1"/>
  <c r="T2941" i="1"/>
  <c r="T3002" i="1"/>
  <c r="T3263" i="1"/>
  <c r="T3306" i="1"/>
  <c r="T3325" i="1"/>
  <c r="T3351" i="1"/>
  <c r="T3360" i="1"/>
  <c r="T3370" i="1"/>
  <c r="T3414" i="1"/>
  <c r="T3420" i="1"/>
  <c r="T3442" i="1"/>
  <c r="T3481" i="1"/>
  <c r="T3482" i="1"/>
  <c r="T3589" i="1"/>
  <c r="T3644" i="1"/>
  <c r="T3743" i="1"/>
  <c r="T3906" i="1"/>
  <c r="T3933" i="1"/>
  <c r="T4081" i="1"/>
  <c r="T4114" i="1"/>
  <c r="T4225" i="1"/>
  <c r="T4257" i="1"/>
  <c r="T4424" i="1"/>
  <c r="T4591" i="1"/>
  <c r="T4608" i="1"/>
  <c r="T4645" i="1"/>
  <c r="T4664" i="1"/>
  <c r="T4772" i="1"/>
  <c r="T4795" i="1"/>
  <c r="T5018" i="1"/>
  <c r="T5027" i="1"/>
  <c r="T5035" i="1"/>
  <c r="T5051" i="1"/>
  <c r="T5064" i="1"/>
  <c r="T5223" i="1"/>
  <c r="T5467" i="1"/>
  <c r="T5522" i="1"/>
  <c r="T5569" i="1"/>
  <c r="T5600" i="1"/>
  <c r="T5732" i="1"/>
  <c r="T5782" i="1"/>
  <c r="T5817" i="1"/>
  <c r="T5849" i="1"/>
  <c r="T5882" i="1"/>
  <c r="T6276" i="1"/>
  <c r="T6397" i="1"/>
  <c r="T6406" i="1"/>
  <c r="T6415" i="1"/>
  <c r="T6422" i="1"/>
  <c r="T6424" i="1"/>
  <c r="T6524" i="1"/>
  <c r="T6569" i="1"/>
  <c r="T6728" i="1"/>
  <c r="T6682" i="1"/>
  <c r="T6743" i="1"/>
  <c r="T207" i="1"/>
  <c r="V207" i="1" s="1"/>
  <c r="T305" i="1"/>
  <c r="T325" i="1"/>
  <c r="T346" i="1"/>
  <c r="T365" i="1"/>
  <c r="T509" i="1"/>
  <c r="T533" i="1"/>
  <c r="T615" i="1"/>
  <c r="T634" i="1"/>
  <c r="T694" i="1"/>
  <c r="T772" i="1"/>
  <c r="V772" i="1" s="1"/>
  <c r="T792" i="1"/>
  <c r="T836" i="1"/>
  <c r="T839" i="1"/>
  <c r="T874" i="1"/>
  <c r="T908" i="1"/>
  <c r="T973" i="1"/>
  <c r="T1003" i="1"/>
  <c r="T1008" i="1"/>
  <c r="T1040" i="1"/>
  <c r="T1086" i="1"/>
  <c r="T1119" i="1"/>
  <c r="T1130" i="1"/>
  <c r="T1162" i="1"/>
  <c r="T1238" i="1"/>
  <c r="T1242" i="1"/>
  <c r="T1302" i="1"/>
  <c r="T1327" i="1"/>
  <c r="T1363" i="1"/>
  <c r="T1446" i="1"/>
  <c r="T1456" i="1"/>
  <c r="T1586" i="1"/>
  <c r="T1604" i="1"/>
  <c r="T1643" i="1"/>
  <c r="T1700" i="1"/>
  <c r="T1754" i="1"/>
  <c r="T1766" i="1"/>
  <c r="T1838" i="1"/>
  <c r="T1854" i="1"/>
  <c r="T1894" i="1"/>
  <c r="T1895" i="1"/>
  <c r="T1949" i="1"/>
  <c r="T2062" i="1"/>
  <c r="T2102" i="1"/>
  <c r="T2116" i="1"/>
  <c r="T2137" i="1"/>
  <c r="T2159" i="1"/>
  <c r="T2259" i="1"/>
  <c r="T2283" i="1"/>
  <c r="T2289" i="1"/>
  <c r="T2300" i="1"/>
  <c r="T2387" i="1"/>
  <c r="T2535" i="1"/>
  <c r="T2541" i="1"/>
  <c r="T2568" i="1"/>
  <c r="T2576" i="1"/>
  <c r="T2583" i="1"/>
  <c r="T2613" i="1"/>
  <c r="T2661" i="1"/>
  <c r="T2682" i="1"/>
  <c r="T2741" i="1"/>
  <c r="T2776" i="1"/>
  <c r="T2875" i="1"/>
  <c r="T2908" i="1"/>
  <c r="T2923" i="1"/>
  <c r="T3056" i="1"/>
  <c r="T3068" i="1"/>
  <c r="T3144" i="1"/>
  <c r="T3216" i="1"/>
  <c r="T3243" i="1"/>
  <c r="T3336" i="1"/>
  <c r="T3461" i="1"/>
  <c r="T3474" i="1"/>
  <c r="T3616" i="1"/>
  <c r="T3635" i="1"/>
  <c r="T3651" i="1"/>
  <c r="T3665" i="1"/>
  <c r="T3668" i="1"/>
  <c r="T3722" i="1"/>
  <c r="T3781" i="1"/>
  <c r="V3781" i="1" s="1"/>
  <c r="T3803" i="1"/>
  <c r="T3813" i="1"/>
  <c r="T3941" i="1"/>
  <c r="T4009" i="1"/>
  <c r="T4153" i="1"/>
  <c r="T4194" i="1"/>
  <c r="T4291" i="1"/>
  <c r="T4325" i="1"/>
  <c r="T4466" i="1"/>
  <c r="T4526" i="1"/>
  <c r="T4527" i="1"/>
  <c r="T4550" i="1"/>
  <c r="T4593" i="1"/>
  <c r="T4597" i="1"/>
  <c r="T4763" i="1"/>
  <c r="T4797" i="1"/>
  <c r="T4837" i="1"/>
  <c r="T4884" i="1"/>
  <c r="T4961" i="1"/>
  <c r="T4976" i="1"/>
  <c r="T5093" i="1"/>
  <c r="T5146" i="1"/>
  <c r="T5206" i="1"/>
  <c r="T5266" i="1"/>
  <c r="T5302" i="1"/>
  <c r="T5424" i="1"/>
  <c r="T5428" i="1"/>
  <c r="T5448" i="1"/>
  <c r="T5455" i="1"/>
  <c r="T5536" i="1"/>
  <c r="T5775" i="1"/>
  <c r="T5871" i="1"/>
  <c r="T5880" i="1"/>
  <c r="T5892" i="1"/>
  <c r="T5893" i="1"/>
  <c r="T5931" i="1"/>
  <c r="T5957" i="1"/>
  <c r="T5958" i="1"/>
  <c r="T6005" i="1"/>
  <c r="T6011" i="1"/>
  <c r="T6021" i="1"/>
  <c r="T6135" i="1"/>
  <c r="T6156" i="1"/>
  <c r="T6204" i="1"/>
  <c r="T6215" i="1"/>
  <c r="T6278" i="1"/>
  <c r="T6488" i="1"/>
  <c r="T6604" i="1"/>
  <c r="T6747" i="1"/>
  <c r="T88" i="1"/>
  <c r="T120" i="1"/>
  <c r="T247" i="1"/>
  <c r="T281" i="1"/>
  <c r="T401" i="1"/>
  <c r="T419" i="1"/>
  <c r="T458" i="1"/>
  <c r="T930" i="1"/>
  <c r="T993" i="1"/>
  <c r="T1041" i="1"/>
  <c r="T1090" i="1"/>
  <c r="T1158" i="1"/>
  <c r="T1274" i="1"/>
  <c r="T1531" i="1"/>
  <c r="T1553" i="1"/>
  <c r="T1577" i="1"/>
  <c r="T1840" i="1"/>
  <c r="T1890" i="1"/>
  <c r="T2180" i="1"/>
  <c r="T2253" i="1"/>
  <c r="T2275" i="1"/>
  <c r="T2314" i="1"/>
  <c r="T2394" i="1"/>
  <c r="T2524" i="1"/>
  <c r="T2532" i="1"/>
  <c r="T2625" i="1"/>
  <c r="T2671" i="1"/>
  <c r="T2690" i="1"/>
  <c r="T3014" i="1"/>
  <c r="T3019" i="1"/>
  <c r="T3105" i="1"/>
  <c r="T3764" i="1"/>
  <c r="T3765" i="1"/>
  <c r="T3818" i="1"/>
  <c r="T3936" i="1"/>
  <c r="T4196" i="1"/>
  <c r="T4210" i="1"/>
  <c r="T4232" i="1"/>
  <c r="T4327" i="1"/>
  <c r="T4549" i="1"/>
  <c r="T4582" i="1"/>
  <c r="T4625" i="1"/>
  <c r="T4637" i="1"/>
  <c r="T4696" i="1"/>
  <c r="T4852" i="1"/>
  <c r="T4911" i="1"/>
  <c r="T4967" i="1"/>
  <c r="T5070" i="1"/>
  <c r="T5165" i="1"/>
  <c r="T5297" i="1"/>
  <c r="V5297" i="1" s="1"/>
  <c r="T5451" i="1"/>
  <c r="T5474" i="1"/>
  <c r="T5550" i="1"/>
  <c r="T5594" i="1"/>
  <c r="T5645" i="1"/>
  <c r="T6147" i="1"/>
  <c r="T6190" i="1"/>
  <c r="T6358" i="1"/>
  <c r="T6414" i="1"/>
  <c r="T6514" i="1"/>
  <c r="T6635" i="1"/>
  <c r="T6647" i="1"/>
  <c r="T31" i="1"/>
  <c r="T68" i="1"/>
  <c r="T69" i="1"/>
  <c r="T172" i="1"/>
  <c r="T222" i="1"/>
  <c r="T308" i="1"/>
  <c r="T371" i="1"/>
  <c r="T379" i="1"/>
  <c r="T574" i="1"/>
  <c r="T588" i="1"/>
  <c r="T593" i="1"/>
  <c r="T599" i="1"/>
  <c r="T602" i="1"/>
  <c r="T612" i="1"/>
  <c r="T1050" i="1"/>
  <c r="T1105" i="1"/>
  <c r="T1143" i="1"/>
  <c r="T1153" i="1"/>
  <c r="T1197" i="1"/>
  <c r="T1385" i="1"/>
  <c r="T1492" i="1"/>
  <c r="T1494" i="1"/>
  <c r="T1559" i="1"/>
  <c r="T1595" i="1"/>
  <c r="T1833" i="1"/>
  <c r="T1853" i="1"/>
  <c r="T1904" i="1"/>
  <c r="T1922" i="1"/>
  <c r="T1930" i="1"/>
  <c r="T2282" i="1"/>
  <c r="T2378" i="1"/>
  <c r="T2384" i="1"/>
  <c r="T2503" i="1"/>
  <c r="T2511" i="1"/>
  <c r="T2512" i="1"/>
  <c r="T2642" i="1"/>
  <c r="T2674" i="1"/>
  <c r="T2838" i="1"/>
  <c r="T2859" i="1"/>
  <c r="T2915" i="1"/>
  <c r="T3145" i="1"/>
  <c r="T3234" i="1"/>
  <c r="T3235" i="1"/>
  <c r="T3237" i="1"/>
  <c r="T3248" i="1"/>
  <c r="T3388" i="1"/>
  <c r="T3466" i="1"/>
  <c r="T3528" i="1"/>
  <c r="T3537" i="1"/>
  <c r="T3577" i="1"/>
  <c r="T3688" i="1"/>
  <c r="T3723" i="1"/>
  <c r="T3732" i="1"/>
  <c r="T3736" i="1"/>
  <c r="T3787" i="1"/>
  <c r="T3913" i="1"/>
  <c r="T3973" i="1"/>
  <c r="T3983" i="1"/>
  <c r="T4023" i="1"/>
  <c r="T4079" i="1"/>
  <c r="T4144" i="1"/>
  <c r="T4368" i="1"/>
  <c r="T4381" i="1"/>
  <c r="T4382" i="1"/>
  <c r="T4412" i="1"/>
  <c r="T4425" i="1"/>
  <c r="T4488" i="1"/>
  <c r="T4504" i="1"/>
  <c r="T4584" i="1"/>
  <c r="T4649" i="1"/>
  <c r="T4689" i="1"/>
  <c r="T4908" i="1"/>
  <c r="T4921" i="1"/>
  <c r="T4923" i="1"/>
  <c r="T4925" i="1"/>
  <c r="T5013" i="1"/>
  <c r="T5014" i="1"/>
  <c r="T5280" i="1"/>
  <c r="T5305" i="1"/>
  <c r="T5436" i="1"/>
  <c r="T5465" i="1"/>
  <c r="T5588" i="1"/>
  <c r="T5890" i="1"/>
  <c r="T5937" i="1"/>
  <c r="T5967" i="1"/>
  <c r="T5979" i="1"/>
  <c r="T6003" i="1"/>
  <c r="T6459" i="1"/>
  <c r="T6472" i="1"/>
  <c r="T6486" i="1"/>
  <c r="T6572" i="1"/>
  <c r="T6595" i="1"/>
  <c r="T43" i="1"/>
  <c r="T93" i="1"/>
  <c r="T106" i="1"/>
  <c r="T114" i="1"/>
  <c r="T123" i="1"/>
  <c r="T144" i="1"/>
  <c r="T242" i="1"/>
  <c r="T255" i="1"/>
  <c r="T319" i="1"/>
  <c r="T366" i="1"/>
  <c r="T402" i="1"/>
  <c r="T623" i="1"/>
  <c r="T687" i="1"/>
  <c r="T692" i="1"/>
  <c r="T776" i="1"/>
  <c r="T800" i="1"/>
  <c r="T869" i="1"/>
  <c r="T893" i="1"/>
  <c r="T927" i="1"/>
  <c r="T1031" i="1"/>
  <c r="T1063" i="1"/>
  <c r="T1276" i="1"/>
  <c r="T1283" i="1"/>
  <c r="T1313" i="1"/>
  <c r="T1391" i="1"/>
  <c r="T1406" i="1"/>
  <c r="T1448" i="1"/>
  <c r="T1534" i="1"/>
  <c r="T1541" i="1"/>
  <c r="T1544" i="1"/>
  <c r="T1584" i="1"/>
  <c r="T1609" i="1"/>
  <c r="T1720" i="1"/>
  <c r="T1735" i="1"/>
  <c r="T1795" i="1"/>
  <c r="T2022" i="1"/>
  <c r="T2101" i="1"/>
  <c r="T2299" i="1"/>
  <c r="T2337" i="1"/>
  <c r="T2368" i="1"/>
  <c r="T2393" i="1"/>
  <c r="T2413" i="1"/>
  <c r="T2640" i="1"/>
  <c r="T2746" i="1"/>
  <c r="T2785" i="1"/>
  <c r="T2843" i="1"/>
  <c r="T2874" i="1"/>
  <c r="T2889" i="1"/>
  <c r="T2974" i="1"/>
  <c r="T3015" i="1"/>
  <c r="T3191" i="1"/>
  <c r="T3209" i="1"/>
  <c r="T3232" i="1"/>
  <c r="T3427" i="1"/>
  <c r="T3435" i="1"/>
  <c r="T3470" i="1"/>
  <c r="T3543" i="1"/>
  <c r="T3566" i="1"/>
  <c r="T3608" i="1"/>
  <c r="T3641" i="1"/>
  <c r="T3649" i="1"/>
  <c r="T3833" i="1"/>
  <c r="T3837" i="1"/>
  <c r="T3925" i="1"/>
  <c r="T3962" i="1"/>
  <c r="T3976" i="1"/>
  <c r="T3987" i="1"/>
  <c r="T3990" i="1"/>
  <c r="T3991" i="1"/>
  <c r="T4092" i="1"/>
  <c r="T4143" i="1"/>
  <c r="T4182" i="1"/>
  <c r="T4186" i="1"/>
  <c r="T4244" i="1"/>
  <c r="T4384" i="1"/>
  <c r="T4491" i="1"/>
  <c r="T4533" i="1"/>
  <c r="T4592" i="1"/>
  <c r="T4615" i="1"/>
  <c r="T4733" i="1"/>
  <c r="T4813" i="1"/>
  <c r="T4818" i="1"/>
  <c r="T4825" i="1"/>
  <c r="T4840" i="1"/>
  <c r="T5020" i="1"/>
  <c r="T5294" i="1"/>
  <c r="T5303" i="1"/>
  <c r="T5432" i="1"/>
  <c r="T5493" i="1"/>
  <c r="T5524" i="1"/>
  <c r="T5591" i="1"/>
  <c r="T5616" i="1"/>
  <c r="T5630" i="1"/>
  <c r="T5648" i="1"/>
  <c r="T5650" i="1"/>
  <c r="T5722" i="1"/>
  <c r="T5726" i="1"/>
  <c r="T5770" i="1"/>
  <c r="T5773" i="1"/>
  <c r="T5776" i="1"/>
  <c r="T5866" i="1"/>
  <c r="T5993" i="1"/>
  <c r="T5996" i="1"/>
  <c r="T6017" i="1"/>
  <c r="T6037" i="1"/>
  <c r="T6212" i="1"/>
  <c r="T6217" i="1"/>
  <c r="T6239" i="1"/>
  <c r="T6284" i="1"/>
  <c r="T6291" i="1"/>
  <c r="T6299" i="1"/>
  <c r="T6399" i="1"/>
  <c r="T6493" i="1"/>
  <c r="T6499" i="1"/>
  <c r="T6507" i="1"/>
  <c r="T6525" i="1"/>
  <c r="T6649" i="1"/>
  <c r="T65" i="1"/>
  <c r="T134" i="1"/>
  <c r="T210" i="1"/>
  <c r="T265" i="1"/>
  <c r="T706" i="1"/>
  <c r="T745" i="1"/>
  <c r="T928" i="1"/>
  <c r="T976" i="1"/>
  <c r="T1042" i="1"/>
  <c r="T1458" i="1"/>
  <c r="T1483" i="1"/>
  <c r="T1839" i="1"/>
  <c r="T1914" i="1"/>
  <c r="T1938" i="1"/>
  <c r="T2153" i="1"/>
  <c r="T2276" i="1"/>
  <c r="T2325" i="1"/>
  <c r="T2357" i="1"/>
  <c r="T2546" i="1"/>
  <c r="T2631" i="1"/>
  <c r="T2868" i="1"/>
  <c r="T2910" i="1"/>
  <c r="T2933" i="1"/>
  <c r="T3007" i="1"/>
  <c r="T3042" i="1"/>
  <c r="T3238" i="1"/>
  <c r="V3238" i="1" s="1"/>
  <c r="T3269" i="1"/>
  <c r="T3313" i="1"/>
  <c r="T3317" i="1"/>
  <c r="T3634" i="1"/>
  <c r="T3891" i="1"/>
  <c r="T3914" i="1"/>
  <c r="T4004" i="1"/>
  <c r="T4049" i="1"/>
  <c r="T4264" i="1"/>
  <c r="T4320" i="1"/>
  <c r="T4452" i="1"/>
  <c r="T4471" i="1"/>
  <c r="T4831" i="1"/>
  <c r="T5083" i="1"/>
  <c r="T5136" i="1"/>
  <c r="T5501" i="1"/>
  <c r="T5627" i="1"/>
  <c r="T5707" i="1"/>
  <c r="T5825" i="1"/>
  <c r="T5828" i="1"/>
  <c r="T5946" i="1"/>
  <c r="T6043" i="1"/>
  <c r="T6114" i="1"/>
  <c r="T6115" i="1"/>
  <c r="T6126" i="1"/>
  <c r="T6355" i="1"/>
  <c r="T6398" i="1"/>
  <c r="T6439" i="1"/>
  <c r="T6552" i="1"/>
  <c r="T6581" i="1"/>
  <c r="T6612" i="1"/>
  <c r="T35" i="1"/>
  <c r="T55" i="1"/>
  <c r="T60" i="1"/>
  <c r="T131" i="1"/>
  <c r="T167" i="1"/>
  <c r="T228" i="1"/>
  <c r="T230" i="1"/>
  <c r="T232" i="1"/>
  <c r="T284" i="1"/>
  <c r="T422" i="1"/>
  <c r="T586" i="1"/>
  <c r="T629" i="1"/>
  <c r="T729" i="1"/>
  <c r="T747" i="1"/>
  <c r="T788" i="1"/>
  <c r="T875" i="1"/>
  <c r="T911" i="1"/>
  <c r="T964" i="1"/>
  <c r="T991" i="1"/>
  <c r="T1182" i="1"/>
  <c r="T1196" i="1"/>
  <c r="T1484" i="1"/>
  <c r="T1543" i="1"/>
  <c r="T1556" i="1"/>
  <c r="T1617" i="1"/>
  <c r="T1661" i="1"/>
  <c r="T1739" i="1"/>
  <c r="T1760" i="1"/>
  <c r="T1855" i="1"/>
  <c r="T1881" i="1"/>
  <c r="T1893" i="1"/>
  <c r="T2064" i="1"/>
  <c r="T2094" i="1"/>
  <c r="T2144" i="1"/>
  <c r="T2161" i="1"/>
  <c r="T2204" i="1"/>
  <c r="T2520" i="1"/>
  <c r="T2581" i="1"/>
  <c r="T2628" i="1"/>
  <c r="T2695" i="1"/>
  <c r="T2805" i="1"/>
  <c r="T2976" i="1"/>
  <c r="T3104" i="1"/>
  <c r="T3106" i="1"/>
  <c r="T3122" i="1"/>
  <c r="T3173" i="1"/>
  <c r="T3179" i="1"/>
  <c r="T3338" i="1"/>
  <c r="V3338" i="1" s="1"/>
  <c r="T3389" i="1"/>
  <c r="T3508" i="1"/>
  <c r="T3546" i="1"/>
  <c r="T3609" i="1"/>
  <c r="T3874" i="1"/>
  <c r="T3961" i="1"/>
  <c r="T4043" i="1"/>
  <c r="T4046" i="1"/>
  <c r="T4131" i="1"/>
  <c r="T4301" i="1"/>
  <c r="T4307" i="1"/>
  <c r="T4332" i="1"/>
  <c r="T4334" i="1"/>
  <c r="T4397" i="1"/>
  <c r="T4413" i="1"/>
  <c r="T4623" i="1"/>
  <c r="T4680" i="1"/>
  <c r="T4684" i="1"/>
  <c r="T4711" i="1"/>
  <c r="T4720" i="1"/>
  <c r="T4941" i="1"/>
  <c r="T4969" i="1"/>
  <c r="T4970" i="1"/>
  <c r="T5036" i="1"/>
  <c r="T5065" i="1"/>
  <c r="T5152" i="1"/>
  <c r="T5185" i="1"/>
  <c r="T5253" i="1"/>
  <c r="T5260" i="1"/>
  <c r="T5281" i="1"/>
  <c r="T5445" i="1"/>
  <c r="T5663" i="1"/>
  <c r="T5701" i="1"/>
  <c r="T5712" i="1"/>
  <c r="T5729" i="1"/>
  <c r="T5733" i="1"/>
  <c r="T5907" i="1"/>
  <c r="T5908" i="1"/>
  <c r="T5920" i="1"/>
  <c r="T5939" i="1"/>
  <c r="T6000" i="1"/>
  <c r="T6232" i="1"/>
  <c r="T6267" i="1"/>
  <c r="T6288" i="1"/>
  <c r="T6314" i="1"/>
  <c r="T6441" i="1"/>
  <c r="T6670" i="1"/>
  <c r="T56" i="1"/>
  <c r="T87" i="1"/>
  <c r="T116" i="1"/>
  <c r="T147" i="1"/>
  <c r="T239" i="1"/>
  <c r="T240" i="1"/>
  <c r="T259" i="1"/>
  <c r="T283" i="1"/>
  <c r="T302" i="1"/>
  <c r="T377" i="1"/>
  <c r="T414" i="1"/>
  <c r="T427" i="1"/>
  <c r="T473" i="1"/>
  <c r="T500" i="1"/>
  <c r="T573" i="1"/>
  <c r="T691" i="1"/>
  <c r="T787" i="1"/>
  <c r="T811" i="1"/>
  <c r="T948" i="1"/>
  <c r="T974" i="1"/>
  <c r="T975" i="1"/>
  <c r="T1122" i="1"/>
  <c r="T1210" i="1"/>
  <c r="T1223" i="1"/>
  <c r="T1231" i="1"/>
  <c r="T1301" i="1"/>
  <c r="T1311" i="1"/>
  <c r="T1379" i="1"/>
  <c r="T1422" i="1"/>
  <c r="T1428" i="1"/>
  <c r="T1475" i="1"/>
  <c r="T1521" i="1"/>
  <c r="T1530" i="1"/>
  <c r="T1648" i="1"/>
  <c r="T1692" i="1"/>
  <c r="T1773" i="1"/>
  <c r="T1830" i="1"/>
  <c r="T1868" i="1"/>
  <c r="T1963" i="1"/>
  <c r="T2013" i="1"/>
  <c r="T2087" i="1"/>
  <c r="T2160" i="1"/>
  <c r="T2164" i="1"/>
  <c r="T2360" i="1"/>
  <c r="T2454" i="1"/>
  <c r="T2456" i="1"/>
  <c r="T2458" i="1"/>
  <c r="T2472" i="1"/>
  <c r="T2507" i="1"/>
  <c r="T2726" i="1"/>
  <c r="T2730" i="1"/>
  <c r="T2740" i="1"/>
  <c r="T2803" i="1"/>
  <c r="T2813" i="1"/>
  <c r="T2824" i="1"/>
  <c r="T2981" i="1"/>
  <c r="T2990" i="1"/>
  <c r="T3000" i="1"/>
  <c r="T3024" i="1"/>
  <c r="T3069" i="1"/>
  <c r="T3467" i="1"/>
  <c r="T3473" i="1"/>
  <c r="T3510" i="1"/>
  <c r="T3526" i="1"/>
  <c r="T3539" i="1"/>
  <c r="T3604" i="1"/>
  <c r="T3652" i="1"/>
  <c r="T3654" i="1"/>
  <c r="T3675" i="1"/>
  <c r="T3697" i="1"/>
  <c r="T3700" i="1"/>
  <c r="T3825" i="1"/>
  <c r="T3855" i="1"/>
  <c r="T3997" i="1"/>
  <c r="T4005" i="1"/>
  <c r="T4015" i="1"/>
  <c r="T4058" i="1"/>
  <c r="T4176" i="1"/>
  <c r="T4191" i="1"/>
  <c r="T4209" i="1"/>
  <c r="T4221" i="1"/>
  <c r="T4236" i="1"/>
  <c r="T4305" i="1"/>
  <c r="T4474" i="1"/>
  <c r="T4565" i="1"/>
  <c r="T4596" i="1"/>
  <c r="T4609" i="1"/>
  <c r="T4820" i="1"/>
  <c r="T4828" i="1"/>
  <c r="T4933" i="1"/>
  <c r="T4956" i="1"/>
  <c r="T4993" i="1"/>
  <c r="T5011" i="1"/>
  <c r="T5105" i="1"/>
  <c r="T5162" i="1"/>
  <c r="T5173" i="1"/>
  <c r="T5249" i="1"/>
  <c r="T5252" i="1"/>
  <c r="T5289" i="1"/>
  <c r="T5423" i="1"/>
  <c r="T5532" i="1"/>
  <c r="T5538" i="1"/>
  <c r="T5562" i="1"/>
  <c r="T5683" i="1"/>
  <c r="T5778" i="1"/>
  <c r="T5845" i="1"/>
  <c r="T5864" i="1"/>
  <c r="T5883" i="1"/>
  <c r="T5925" i="1"/>
  <c r="T6031" i="1"/>
  <c r="T6107" i="1"/>
  <c r="T6108" i="1"/>
  <c r="T6131" i="1"/>
  <c r="T6141" i="1"/>
  <c r="T6144" i="1"/>
  <c r="T6189" i="1"/>
  <c r="T6191" i="1"/>
  <c r="T6214" i="1"/>
  <c r="T6271" i="1"/>
  <c r="T6294" i="1"/>
  <c r="T6443" i="1"/>
  <c r="T6523" i="1"/>
  <c r="T6679" i="1"/>
  <c r="T6678" i="1"/>
  <c r="T6609" i="1"/>
  <c r="T6718" i="1"/>
  <c r="T153" i="1"/>
  <c r="T238" i="1"/>
  <c r="T268" i="1"/>
  <c r="T351" i="1"/>
  <c r="T373" i="1"/>
  <c r="T697" i="1"/>
  <c r="T826" i="1"/>
  <c r="T889" i="1"/>
  <c r="T1019" i="1"/>
  <c r="T1094" i="1"/>
  <c r="T1343" i="1"/>
  <c r="T1354" i="1"/>
  <c r="T1451" i="1"/>
  <c r="T1737" i="1"/>
  <c r="T1761" i="1"/>
  <c r="T1876" i="1"/>
  <c r="T1950" i="1"/>
  <c r="T2044" i="1"/>
  <c r="T2054" i="1"/>
  <c r="T2082" i="1"/>
  <c r="T2228" i="1"/>
  <c r="T2376" i="1"/>
  <c r="T2382" i="1"/>
  <c r="T2484" i="1"/>
  <c r="T2525" i="1"/>
  <c r="T2527" i="1"/>
  <c r="T2861" i="1"/>
  <c r="T2891" i="1"/>
  <c r="T2949" i="1"/>
  <c r="T3029" i="1"/>
  <c r="T3149" i="1"/>
  <c r="T3424" i="1"/>
  <c r="T3548" i="1"/>
  <c r="T3823" i="1"/>
  <c r="T3849" i="1"/>
  <c r="T4110" i="1"/>
  <c r="T4814" i="1"/>
  <c r="T4907" i="1"/>
  <c r="T5008" i="1"/>
  <c r="T5042" i="1"/>
  <c r="T5072" i="1"/>
  <c r="T5080" i="1"/>
  <c r="T5353" i="1"/>
  <c r="T5409" i="1"/>
  <c r="T5554" i="1"/>
  <c r="T5628" i="1"/>
  <c r="T5675" i="1"/>
  <c r="T6159" i="1"/>
  <c r="T6311" i="1"/>
  <c r="T6325" i="1"/>
  <c r="T6345" i="1"/>
  <c r="T6356" i="1"/>
  <c r="T6504" i="1"/>
  <c r="T6734" i="1"/>
  <c r="T57" i="1"/>
  <c r="T71" i="1"/>
  <c r="T282" i="1"/>
  <c r="T356" i="1"/>
  <c r="T399" i="1"/>
  <c r="T501" i="1"/>
  <c r="T570" i="1"/>
  <c r="T666" i="1"/>
  <c r="T722" i="1"/>
  <c r="T778" i="1"/>
  <c r="T841" i="1"/>
  <c r="T878" i="1"/>
  <c r="T879" i="1"/>
  <c r="T942" i="1"/>
  <c r="T1030" i="1"/>
  <c r="T1110" i="1"/>
  <c r="T1138" i="1"/>
  <c r="T1139" i="1"/>
  <c r="T1161" i="1"/>
  <c r="T1336" i="1"/>
  <c r="T1410" i="1"/>
  <c r="T1439" i="1"/>
  <c r="T1486" i="1"/>
  <c r="T1546" i="1"/>
  <c r="T1673" i="1"/>
  <c r="T1675" i="1"/>
  <c r="T1687" i="1"/>
  <c r="T1724" i="1"/>
  <c r="T1734" i="1"/>
  <c r="T1935" i="1"/>
  <c r="T1956" i="1"/>
  <c r="T1981" i="1"/>
  <c r="T1997" i="1"/>
  <c r="T2105" i="1"/>
  <c r="T2633" i="1"/>
  <c r="T2637" i="1"/>
  <c r="T2639" i="1"/>
  <c r="T2648" i="1"/>
  <c r="T2685" i="1"/>
  <c r="T2829" i="1"/>
  <c r="T2830" i="1"/>
  <c r="T2926" i="1"/>
  <c r="T2951" i="1"/>
  <c r="T2956" i="1"/>
  <c r="T3061" i="1"/>
  <c r="T3095" i="1"/>
  <c r="T3153" i="1"/>
  <c r="T3172" i="1"/>
  <c r="T3205" i="1"/>
  <c r="T3219" i="1"/>
  <c r="T3565" i="1"/>
  <c r="T3575" i="1"/>
  <c r="T3627" i="1"/>
  <c r="T3630" i="1"/>
  <c r="T3727" i="1"/>
  <c r="T3964" i="1"/>
  <c r="T4068" i="1"/>
  <c r="T4075" i="1"/>
  <c r="T4152" i="1"/>
  <c r="T4213" i="1"/>
  <c r="T4483" i="1"/>
  <c r="T4486" i="1"/>
  <c r="T4562" i="1"/>
  <c r="T4663" i="1"/>
  <c r="T4716" i="1"/>
  <c r="T4798" i="1"/>
  <c r="T4926" i="1"/>
  <c r="T4962" i="1"/>
  <c r="T4965" i="1"/>
  <c r="T5195" i="1"/>
  <c r="T5440" i="1"/>
  <c r="T5515" i="1"/>
  <c r="T5516" i="1"/>
  <c r="T5523" i="1"/>
  <c r="T5526" i="1"/>
  <c r="T5800" i="1"/>
  <c r="T5840" i="1"/>
  <c r="T5914" i="1"/>
  <c r="T6002" i="1"/>
  <c r="T6080" i="1"/>
  <c r="T6393" i="1"/>
  <c r="T6412" i="1"/>
  <c r="T6444" i="1"/>
  <c r="T6450" i="1"/>
  <c r="T6593" i="1"/>
  <c r="T48" i="1"/>
  <c r="T54" i="1"/>
  <c r="T78" i="1"/>
  <c r="T82" i="1"/>
  <c r="T166" i="1"/>
  <c r="T190" i="1"/>
  <c r="T285" i="1"/>
  <c r="T358" i="1"/>
  <c r="T411" i="1"/>
  <c r="T444" i="1"/>
  <c r="T471" i="1"/>
  <c r="T572" i="1"/>
  <c r="T582" i="1"/>
  <c r="T583" i="1"/>
  <c r="T601" i="1"/>
  <c r="T624" i="1"/>
  <c r="T902" i="1"/>
  <c r="T903" i="1"/>
  <c r="T907" i="1"/>
  <c r="T915" i="1"/>
  <c r="T970" i="1"/>
  <c r="T1148" i="1"/>
  <c r="T1177" i="1"/>
  <c r="T1235" i="1"/>
  <c r="T1268" i="1"/>
  <c r="T1290" i="1"/>
  <c r="T1308" i="1"/>
  <c r="T1411" i="1"/>
  <c r="T1440" i="1"/>
  <c r="T1447" i="1"/>
  <c r="T1499" i="1"/>
  <c r="T1502" i="1"/>
  <c r="T1715" i="1"/>
  <c r="T1740" i="1"/>
  <c r="T1757" i="1"/>
  <c r="T1769" i="1"/>
  <c r="T1805" i="1"/>
  <c r="T1976" i="1"/>
  <c r="T2037" i="1"/>
  <c r="T2042" i="1"/>
  <c r="T2075" i="1"/>
  <c r="T2088" i="1"/>
  <c r="T2207" i="1"/>
  <c r="V2207" i="1" s="1"/>
  <c r="T2271" i="1"/>
  <c r="T2277" i="1"/>
  <c r="T2348" i="1"/>
  <c r="T2353" i="1"/>
  <c r="T2480" i="1"/>
  <c r="T2510" i="1"/>
  <c r="T2529" i="1"/>
  <c r="T2545" i="1"/>
  <c r="T2597" i="1"/>
  <c r="T2794" i="1"/>
  <c r="T2810" i="1"/>
  <c r="T2825" i="1"/>
  <c r="T2901" i="1"/>
  <c r="T2946" i="1"/>
  <c r="T3062" i="1"/>
  <c r="T3066" i="1"/>
  <c r="T3096" i="1"/>
  <c r="T3176" i="1"/>
  <c r="T3300" i="1"/>
  <c r="T3396" i="1"/>
  <c r="V3396" i="1" s="1"/>
  <c r="T3399" i="1"/>
  <c r="T3401" i="1"/>
  <c r="T3455" i="1"/>
  <c r="T3456" i="1"/>
  <c r="T3687" i="1"/>
  <c r="T3701" i="1"/>
  <c r="T3739" i="1"/>
  <c r="T3795" i="1"/>
  <c r="T3835" i="1"/>
  <c r="T3931" i="1"/>
  <c r="V3931" i="1" s="1"/>
  <c r="T3934" i="1"/>
  <c r="T3971" i="1"/>
  <c r="T3981" i="1"/>
  <c r="T4020" i="1"/>
  <c r="T4089" i="1"/>
  <c r="T4096" i="1"/>
  <c r="T4122" i="1"/>
  <c r="T4151" i="1"/>
  <c r="T4165" i="1"/>
  <c r="T4274" i="1"/>
  <c r="V4274" i="1" s="1"/>
  <c r="T4448" i="1"/>
  <c r="T4467" i="1"/>
  <c r="T4537" i="1"/>
  <c r="T4557" i="1"/>
  <c r="T4575" i="1"/>
  <c r="T4583" i="1"/>
  <c r="T4627" i="1"/>
  <c r="T4654" i="1"/>
  <c r="T4658" i="1"/>
  <c r="T4677" i="1"/>
  <c r="T4745" i="1"/>
  <c r="T4844" i="1"/>
  <c r="T4851" i="1"/>
  <c r="T4853" i="1"/>
  <c r="T4930" i="1"/>
  <c r="T5187" i="1"/>
  <c r="T5209" i="1"/>
  <c r="T5217" i="1"/>
  <c r="T5232" i="1"/>
  <c r="T5272" i="1"/>
  <c r="T5329" i="1"/>
  <c r="T5350" i="1"/>
  <c r="T5359" i="1"/>
  <c r="T5402" i="1"/>
  <c r="T5470" i="1"/>
  <c r="T5497" i="1"/>
  <c r="T5584" i="1"/>
  <c r="T5677" i="1"/>
  <c r="T5764" i="1"/>
  <c r="T5805" i="1"/>
  <c r="T5824" i="1"/>
  <c r="T6172" i="1"/>
  <c r="T6241" i="1"/>
  <c r="T6277" i="1"/>
  <c r="T6315" i="1"/>
  <c r="T6320" i="1"/>
  <c r="T6411" i="1"/>
  <c r="T6461" i="1"/>
  <c r="T6494" i="1"/>
  <c r="T6634" i="1"/>
  <c r="T6744" i="1"/>
  <c r="T291" i="1"/>
  <c r="T306" i="1"/>
  <c r="T313" i="1"/>
  <c r="T370" i="1"/>
  <c r="T432" i="1"/>
  <c r="T534" i="1"/>
  <c r="T546" i="1"/>
  <c r="T635" i="1"/>
  <c r="T743" i="1"/>
  <c r="T766" i="1"/>
  <c r="T1125" i="1"/>
  <c r="T1131" i="1"/>
  <c r="T1155" i="1"/>
  <c r="T1275" i="1"/>
  <c r="T1340" i="1"/>
  <c r="T1626" i="1"/>
  <c r="T1721" i="1"/>
  <c r="T1746" i="1"/>
  <c r="T1912" i="1"/>
  <c r="T1973" i="1"/>
  <c r="T2249" i="1"/>
  <c r="T2302" i="1"/>
  <c r="T2338" i="1"/>
  <c r="T2632" i="1"/>
  <c r="T2676" i="1"/>
  <c r="T3008" i="1"/>
  <c r="T3023" i="1"/>
  <c r="T3133" i="1"/>
  <c r="T3142" i="1"/>
  <c r="T3422" i="1"/>
  <c r="T3786" i="1"/>
  <c r="T3796" i="1"/>
  <c r="T4033" i="1"/>
  <c r="T4051" i="1"/>
  <c r="T4086" i="1"/>
  <c r="T4693" i="1"/>
  <c r="T4741" i="1"/>
  <c r="T4742" i="1"/>
  <c r="T4912" i="1"/>
  <c r="T4919" i="1"/>
  <c r="T5496" i="1"/>
  <c r="T5619" i="1"/>
  <c r="T5869" i="1"/>
  <c r="T5943" i="1"/>
  <c r="T6016" i="1"/>
  <c r="T6020" i="1"/>
  <c r="T6118" i="1"/>
  <c r="T6227" i="1"/>
  <c r="T6247" i="1"/>
  <c r="T6350" i="1"/>
  <c r="T6389" i="1"/>
  <c r="T6651" i="1"/>
  <c r="T111" i="1"/>
  <c r="T170" i="1"/>
  <c r="T219" i="1"/>
  <c r="T253" i="1"/>
  <c r="T292" i="1"/>
  <c r="T396" i="1"/>
  <c r="V396" i="1" s="1"/>
  <c r="T517" i="1"/>
  <c r="T550" i="1"/>
  <c r="T707" i="1"/>
  <c r="T756" i="1"/>
  <c r="T918" i="1"/>
  <c r="T929" i="1"/>
  <c r="T963" i="1"/>
  <c r="T990" i="1"/>
  <c r="T1035" i="1"/>
  <c r="T1211" i="1"/>
  <c r="V1211" i="1" s="1"/>
  <c r="T1306" i="1"/>
  <c r="T1355" i="1"/>
  <c r="T1583" i="1"/>
  <c r="T1608" i="1"/>
  <c r="T1705" i="1"/>
  <c r="T1755" i="1"/>
  <c r="T1798" i="1"/>
  <c r="T1804" i="1"/>
  <c r="T1842" i="1"/>
  <c r="T1892" i="1"/>
  <c r="T2070" i="1"/>
  <c r="T2169" i="1"/>
  <c r="T2218" i="1"/>
  <c r="T2221" i="1"/>
  <c r="T2272" i="1"/>
  <c r="T2359" i="1"/>
  <c r="T2375" i="1"/>
  <c r="T2435" i="1"/>
  <c r="T2495" i="1"/>
  <c r="T2523" i="1"/>
  <c r="T2650" i="1"/>
  <c r="T2739" i="1"/>
  <c r="T2750" i="1"/>
  <c r="T2898" i="1"/>
  <c r="T2927" i="1"/>
  <c r="T2992" i="1"/>
  <c r="T3221" i="1"/>
  <c r="T3230" i="1"/>
  <c r="T3276" i="1"/>
  <c r="T3334" i="1"/>
  <c r="T3362" i="1"/>
  <c r="T3625" i="1"/>
  <c r="T3636" i="1"/>
  <c r="T3658" i="1"/>
  <c r="T3716" i="1"/>
  <c r="T3821" i="1"/>
  <c r="T3883" i="1"/>
  <c r="T3970" i="1"/>
  <c r="T3980" i="1"/>
  <c r="T4007" i="1"/>
  <c r="T4041" i="1"/>
  <c r="T4273" i="1"/>
  <c r="T4276" i="1"/>
  <c r="T4283" i="1"/>
  <c r="T4312" i="1"/>
  <c r="T4329" i="1"/>
  <c r="T4522" i="1"/>
  <c r="T4542" i="1"/>
  <c r="T4569" i="1"/>
  <c r="T4572" i="1"/>
  <c r="T4621" i="1"/>
  <c r="T4713" i="1"/>
  <c r="T4723" i="1"/>
  <c r="T4861" i="1"/>
  <c r="T4885" i="1"/>
  <c r="T4916" i="1"/>
  <c r="T5067" i="1"/>
  <c r="T5160" i="1"/>
  <c r="T5208" i="1"/>
  <c r="T5291" i="1"/>
  <c r="T5345" i="1"/>
  <c r="T5463" i="1"/>
  <c r="T5507" i="1"/>
  <c r="T5563" i="1"/>
  <c r="T5592" i="1"/>
  <c r="T5607" i="1"/>
  <c r="T5695" i="1"/>
  <c r="T5740" i="1"/>
  <c r="T6046" i="1"/>
  <c r="T6090" i="1"/>
  <c r="T6100" i="1"/>
  <c r="T6382" i="1"/>
  <c r="T6408" i="1"/>
  <c r="T6426" i="1"/>
  <c r="T6515" i="1"/>
  <c r="T6548" i="1"/>
  <c r="T6675" i="1"/>
  <c r="T6603" i="1"/>
  <c r="T6654" i="1"/>
  <c r="T6760" i="1"/>
  <c r="T6666" i="1"/>
  <c r="T41" i="1"/>
  <c r="T61" i="1"/>
  <c r="T73" i="1"/>
  <c r="T110" i="1"/>
  <c r="T119" i="1"/>
  <c r="T235" i="1"/>
  <c r="T241" i="1"/>
  <c r="T245" i="1"/>
  <c r="T270" i="1"/>
  <c r="T299" i="1"/>
  <c r="T448" i="1"/>
  <c r="T529" i="1"/>
  <c r="T682" i="1"/>
  <c r="T683" i="1"/>
  <c r="T744" i="1"/>
  <c r="T810" i="1"/>
  <c r="T846" i="1"/>
  <c r="T860" i="1"/>
  <c r="T919" i="1"/>
  <c r="T954" i="1"/>
  <c r="T1151" i="1"/>
  <c r="T1247" i="1"/>
  <c r="T1303" i="1"/>
  <c r="T1335" i="1"/>
  <c r="T1412" i="1"/>
  <c r="T1652" i="1"/>
  <c r="T1671" i="1"/>
  <c r="T1679" i="1"/>
  <c r="T1694" i="1"/>
  <c r="T1701" i="1"/>
  <c r="T1903" i="1"/>
  <c r="T1909" i="1"/>
  <c r="T1971" i="1"/>
  <c r="T1989" i="1"/>
  <c r="T2002" i="1"/>
  <c r="T2065" i="1"/>
  <c r="T2077" i="1"/>
  <c r="T2091" i="1"/>
  <c r="T2120" i="1"/>
  <c r="T2146" i="1"/>
  <c r="T2317" i="1"/>
  <c r="T2336" i="1"/>
  <c r="T2354" i="1"/>
  <c r="T2383" i="1"/>
  <c r="T2390" i="1"/>
  <c r="T2398" i="1"/>
  <c r="T2463" i="1"/>
  <c r="T2518" i="1"/>
  <c r="T2547" i="1"/>
  <c r="T2555" i="1"/>
  <c r="T2560" i="1"/>
  <c r="T2710" i="1"/>
  <c r="T2731" i="1"/>
  <c r="T2732" i="1"/>
  <c r="T2822" i="1"/>
  <c r="T2847" i="1"/>
  <c r="T3060" i="1"/>
  <c r="T3114" i="1"/>
  <c r="T3121" i="1"/>
  <c r="T3126" i="1"/>
  <c r="T3150" i="1"/>
  <c r="T3342" i="1"/>
  <c r="T3364" i="1"/>
  <c r="T3469" i="1"/>
  <c r="T3483" i="1"/>
  <c r="T3486" i="1"/>
  <c r="T3611" i="1"/>
  <c r="T3819" i="1"/>
  <c r="T3889" i="1"/>
  <c r="T3893" i="1"/>
  <c r="T3923" i="1"/>
  <c r="T3992" i="1"/>
  <c r="T4006" i="1"/>
  <c r="T4008" i="1"/>
  <c r="T4016" i="1"/>
  <c r="T4037" i="1"/>
  <c r="T4219" i="1"/>
  <c r="T4227" i="1"/>
  <c r="T4239" i="1"/>
  <c r="T4279" i="1"/>
  <c r="T4285" i="1"/>
  <c r="T4414" i="1"/>
  <c r="T4419" i="1"/>
  <c r="T4453" i="1"/>
  <c r="T4506" i="1"/>
  <c r="T4528" i="1"/>
  <c r="T4544" i="1"/>
  <c r="T4739" i="1"/>
  <c r="V4739" i="1" s="1"/>
  <c r="T4740" i="1"/>
  <c r="T4761" i="1"/>
  <c r="T4762" i="1"/>
  <c r="T4774" i="1"/>
  <c r="T4876" i="1"/>
  <c r="T4887" i="1"/>
  <c r="T4892" i="1"/>
  <c r="T4904" i="1"/>
  <c r="T4906" i="1"/>
  <c r="T5127" i="1"/>
  <c r="V5127" i="1" s="1"/>
  <c r="T5133" i="1"/>
  <c r="T5174" i="1"/>
  <c r="T5205" i="1"/>
  <c r="T5251" i="1"/>
  <c r="T5403" i="1"/>
  <c r="T5405" i="1"/>
  <c r="T5466" i="1"/>
  <c r="T5535" i="1"/>
  <c r="T5624" i="1"/>
  <c r="T5737" i="1"/>
  <c r="T6028" i="1"/>
  <c r="T6056" i="1"/>
  <c r="T6091" i="1"/>
  <c r="T6099" i="1"/>
  <c r="T6113" i="1"/>
  <c r="T6246" i="1"/>
  <c r="T6262" i="1"/>
  <c r="T6319" i="1"/>
  <c r="T6342" i="1"/>
  <c r="T6368" i="1"/>
  <c r="T6438" i="1"/>
  <c r="T6460" i="1"/>
  <c r="T6489" i="1"/>
  <c r="T6495" i="1"/>
  <c r="T6519" i="1"/>
  <c r="T6668" i="1"/>
  <c r="T243" i="1"/>
  <c r="T316" i="1"/>
  <c r="T434" i="1"/>
  <c r="T454" i="1"/>
  <c r="T518" i="1"/>
  <c r="T530" i="1"/>
  <c r="T537" i="1"/>
  <c r="T542" i="1"/>
  <c r="T773" i="1"/>
  <c r="T1160" i="1"/>
  <c r="T1351" i="1"/>
  <c r="T1374" i="1"/>
  <c r="T1401" i="1"/>
  <c r="T1810" i="1"/>
  <c r="T1978" i="1"/>
  <c r="T2255" i="1"/>
  <c r="T2287" i="1"/>
  <c r="T2330" i="1"/>
  <c r="T2488" i="1"/>
  <c r="T2853" i="1"/>
  <c r="T2855" i="1"/>
  <c r="T2939" i="1"/>
  <c r="T3039" i="1"/>
  <c r="T3366" i="1"/>
  <c r="T3564" i="1"/>
  <c r="T3602" i="1"/>
  <c r="T3650" i="1"/>
  <c r="T3673" i="1"/>
  <c r="T3714" i="1"/>
  <c r="T4218" i="1"/>
  <c r="T4347" i="1"/>
  <c r="T4603" i="1"/>
  <c r="T4611" i="1"/>
  <c r="T4641" i="1"/>
  <c r="T4784" i="1"/>
  <c r="T4829" i="1"/>
  <c r="T5007" i="1"/>
  <c r="T5068" i="1"/>
  <c r="T5156" i="1"/>
  <c r="T5654" i="1"/>
  <c r="T5886" i="1"/>
  <c r="T6058" i="1"/>
  <c r="T6070" i="1"/>
  <c r="T6082" i="1"/>
  <c r="T6260" i="1"/>
  <c r="T6377" i="1"/>
  <c r="T6378" i="1"/>
  <c r="T6447" i="1"/>
  <c r="T6476" i="1"/>
  <c r="T91" i="1"/>
  <c r="T244" i="1"/>
  <c r="T254" i="1"/>
  <c r="T363" i="1"/>
  <c r="T388" i="1"/>
  <c r="T662" i="1"/>
  <c r="T704" i="1"/>
  <c r="T716" i="1"/>
  <c r="T799" i="1"/>
  <c r="T822" i="1"/>
  <c r="T1133" i="1"/>
  <c r="T1165" i="1"/>
  <c r="T1189" i="1"/>
  <c r="T1253" i="1"/>
  <c r="T1435" i="1"/>
  <c r="T1611" i="1"/>
  <c r="T1614" i="1"/>
  <c r="T1776" i="1"/>
  <c r="T1777" i="1"/>
  <c r="T2010" i="1"/>
  <c r="T2254" i="1"/>
  <c r="T2340" i="1"/>
  <c r="T2342" i="1"/>
  <c r="T2372" i="1"/>
  <c r="T2406" i="1"/>
  <c r="T2570" i="1"/>
  <c r="T2574" i="1"/>
  <c r="T2881" i="1"/>
  <c r="T2911" i="1"/>
  <c r="T2952" i="1"/>
  <c r="T3148" i="1"/>
  <c r="T3160" i="1"/>
  <c r="T3192" i="1"/>
  <c r="T3352" i="1"/>
  <c r="T3417" i="1"/>
  <c r="T3556" i="1"/>
  <c r="T3870" i="1"/>
  <c r="T3918" i="1"/>
  <c r="T3928" i="1"/>
  <c r="T3957" i="1"/>
  <c r="T4025" i="1"/>
  <c r="T4136" i="1"/>
  <c r="T4150" i="1"/>
  <c r="T4350" i="1"/>
  <c r="T4496" i="1"/>
  <c r="T4585" i="1"/>
  <c r="T4706" i="1"/>
  <c r="T4755" i="1"/>
  <c r="T4758" i="1"/>
  <c r="T4960" i="1"/>
  <c r="T5015" i="1"/>
  <c r="T5233" i="1"/>
  <c r="T5250" i="1"/>
  <c r="T5255" i="1"/>
  <c r="T5258" i="1"/>
  <c r="T5285" i="1"/>
  <c r="T5519" i="1"/>
  <c r="T5521" i="1"/>
  <c r="T5565" i="1"/>
  <c r="T5598" i="1"/>
  <c r="T5647" i="1"/>
  <c r="T5823" i="1"/>
  <c r="T5855" i="1"/>
  <c r="T5963" i="1"/>
  <c r="T5965" i="1"/>
  <c r="T5969" i="1"/>
  <c r="T6085" i="1"/>
  <c r="T6180" i="1"/>
  <c r="T6344" i="1"/>
  <c r="T6383" i="1"/>
  <c r="T6421" i="1"/>
  <c r="T6729" i="1"/>
  <c r="T6676" i="1"/>
  <c r="T6700" i="1"/>
  <c r="T9" i="1"/>
  <c r="T16" i="1"/>
  <c r="T17" i="1"/>
  <c r="T176" i="1"/>
  <c r="T184" i="1"/>
  <c r="T212" i="1"/>
  <c r="T216" i="1"/>
  <c r="T220" i="1"/>
  <c r="T279" i="1"/>
  <c r="T311" i="1"/>
  <c r="T315" i="1"/>
  <c r="T367" i="1"/>
  <c r="T394" i="1"/>
  <c r="T433" i="1"/>
  <c r="T465" i="1"/>
  <c r="T467" i="1"/>
  <c r="T469" i="1"/>
  <c r="T475" i="1"/>
  <c r="T648" i="1"/>
  <c r="T650" i="1"/>
  <c r="T664" i="1"/>
  <c r="T672" i="1"/>
  <c r="T715" i="1"/>
  <c r="T796" i="1"/>
  <c r="T823" i="1"/>
  <c r="T876" i="1"/>
  <c r="T944" i="1"/>
  <c r="T1034" i="1"/>
  <c r="T1132" i="1"/>
  <c r="T1150" i="1"/>
  <c r="T1156" i="1"/>
  <c r="T1176" i="1"/>
  <c r="T1187" i="1"/>
  <c r="T1304" i="1"/>
  <c r="T1402" i="1"/>
  <c r="T1457" i="1"/>
  <c r="T1488" i="1"/>
  <c r="T1491" i="1"/>
  <c r="T1558" i="1"/>
  <c r="T1561" i="1"/>
  <c r="T1587" i="1"/>
  <c r="T1620" i="1"/>
  <c r="T1646" i="1"/>
  <c r="T1791" i="1"/>
  <c r="T1851" i="1"/>
  <c r="T1861" i="1"/>
  <c r="T1863" i="1"/>
  <c r="T1887" i="1"/>
  <c r="T1998" i="1"/>
  <c r="T2055" i="1"/>
  <c r="T2080" i="1"/>
  <c r="T2130" i="1"/>
  <c r="T2171" i="1"/>
  <c r="T2365" i="1"/>
  <c r="T2391" i="1"/>
  <c r="T2442" i="1"/>
  <c r="T2479" i="1"/>
  <c r="T2496" i="1"/>
  <c r="T2585" i="1"/>
  <c r="T2607" i="1"/>
  <c r="T2702" i="1"/>
  <c r="T2806" i="1"/>
  <c r="T2831" i="1"/>
  <c r="T2958" i="1"/>
  <c r="T2967" i="1"/>
  <c r="T3001" i="1"/>
  <c r="T3035" i="1"/>
  <c r="T3043" i="1"/>
  <c r="T3298" i="1"/>
  <c r="T3303" i="1"/>
  <c r="T3365" i="1"/>
  <c r="T3402" i="1"/>
  <c r="T3504" i="1"/>
  <c r="T3674" i="1"/>
  <c r="T3726" i="1"/>
  <c r="T3828" i="1"/>
  <c r="T3834" i="1"/>
  <c r="T3873" i="1"/>
  <c r="T4026" i="1"/>
  <c r="T4065" i="1"/>
  <c r="T4093" i="1"/>
  <c r="T4102" i="1"/>
  <c r="T4103" i="1"/>
  <c r="T4289" i="1"/>
  <c r="T4365" i="1"/>
  <c r="T4369" i="1"/>
  <c r="T4407" i="1"/>
  <c r="T4515" i="1"/>
  <c r="T4614" i="1"/>
  <c r="T4620" i="1"/>
  <c r="T4673" i="1"/>
  <c r="T4727" i="1"/>
  <c r="T4752" i="1"/>
  <c r="T4832" i="1"/>
  <c r="T4910" i="1"/>
  <c r="T4939" i="1"/>
  <c r="T4974" i="1"/>
  <c r="T4980" i="1"/>
  <c r="T5085" i="1"/>
  <c r="T5097" i="1"/>
  <c r="T5107" i="1"/>
  <c r="T5169" i="1"/>
  <c r="T5197" i="1"/>
  <c r="T5377" i="1"/>
  <c r="T5417" i="1"/>
  <c r="T5454" i="1"/>
  <c r="T5472" i="1"/>
  <c r="T5540" i="1"/>
  <c r="T5573" i="1"/>
  <c r="T5582" i="1"/>
  <c r="T5623" i="1"/>
  <c r="T5637" i="1"/>
  <c r="T5676" i="1"/>
  <c r="T5888" i="1"/>
  <c r="T5897" i="1"/>
  <c r="T5959" i="1"/>
  <c r="T5973" i="1"/>
  <c r="T6065" i="1"/>
  <c r="T6245" i="1"/>
  <c r="T6249" i="1"/>
  <c r="T6264" i="1"/>
  <c r="T6336" i="1"/>
  <c r="T6338" i="1"/>
  <c r="T6458" i="1"/>
  <c r="T6483" i="1"/>
  <c r="T6511" i="1"/>
  <c r="T6549" i="1"/>
  <c r="T6585" i="1"/>
  <c r="T6596" i="1"/>
  <c r="U6596" i="1"/>
  <c r="U6585" i="1"/>
  <c r="U6549" i="1"/>
  <c r="U6511" i="1"/>
  <c r="U6338" i="1"/>
  <c r="U6336" i="1"/>
  <c r="U6264" i="1"/>
  <c r="U6249" i="1"/>
  <c r="U6065" i="1"/>
  <c r="U5973" i="1"/>
  <c r="U5959" i="1"/>
  <c r="U5897" i="1"/>
  <c r="U5676" i="1"/>
  <c r="U5637" i="1"/>
  <c r="U5623" i="1"/>
  <c r="U5582" i="1"/>
  <c r="U5549" i="1"/>
  <c r="U5540" i="1"/>
  <c r="U5472" i="1"/>
  <c r="U5454" i="1"/>
  <c r="U5417" i="1"/>
  <c r="U5197" i="1"/>
  <c r="U5169" i="1"/>
  <c r="U5107" i="1"/>
  <c r="U5097" i="1"/>
  <c r="U4980" i="1"/>
  <c r="U4974" i="1"/>
  <c r="U4939" i="1"/>
  <c r="U4910" i="1"/>
  <c r="U4752" i="1"/>
  <c r="U4727" i="1"/>
  <c r="U4673" i="1"/>
  <c r="U4620" i="1"/>
  <c r="U4552" i="1"/>
  <c r="U4515" i="1"/>
  <c r="U4407" i="1"/>
  <c r="U4369" i="1"/>
  <c r="U4365" i="1"/>
  <c r="U4103" i="1"/>
  <c r="U4102" i="1"/>
  <c r="U4093" i="1"/>
  <c r="U4065" i="1"/>
  <c r="U3873" i="1"/>
  <c r="U3834" i="1"/>
  <c r="U3828" i="1"/>
  <c r="U3726" i="1"/>
  <c r="U3504" i="1"/>
  <c r="U3402" i="1"/>
  <c r="U3365" i="1"/>
  <c r="U3303" i="1"/>
  <c r="U3043" i="1"/>
  <c r="U3035" i="1"/>
  <c r="U3001" i="1"/>
  <c r="U2967" i="1"/>
  <c r="U2831" i="1"/>
  <c r="U2806" i="1"/>
  <c r="U2702" i="1"/>
  <c r="U2607" i="1"/>
  <c r="U2496" i="1"/>
  <c r="U2479" i="1"/>
  <c r="U2442" i="1"/>
  <c r="U2391" i="1"/>
  <c r="U2171" i="1"/>
  <c r="U2130" i="1"/>
  <c r="U2080" i="1"/>
  <c r="U2055" i="1"/>
  <c r="U1887" i="1"/>
  <c r="U1863" i="1"/>
  <c r="U1861" i="1"/>
  <c r="U1851" i="1"/>
  <c r="U1646" i="1"/>
  <c r="U1620" i="1"/>
  <c r="U1587" i="1"/>
  <c r="U1561" i="1"/>
  <c r="U1491" i="1"/>
  <c r="U1488" i="1"/>
  <c r="U1457" i="1"/>
  <c r="U1402" i="1"/>
  <c r="U1187" i="1"/>
  <c r="U1176" i="1"/>
  <c r="U1156" i="1"/>
  <c r="U1150" i="1"/>
  <c r="U1060" i="1"/>
  <c r="U1034" i="1"/>
  <c r="U944" i="1"/>
  <c r="U876" i="1"/>
  <c r="U823" i="1"/>
  <c r="U715" i="1"/>
  <c r="U672" i="1"/>
  <c r="U664" i="1"/>
  <c r="U650" i="1"/>
  <c r="U475" i="1"/>
  <c r="U469" i="1"/>
  <c r="U467" i="1"/>
  <c r="U465" i="1"/>
  <c r="U394" i="1"/>
  <c r="U367" i="1"/>
  <c r="U315" i="1"/>
  <c r="U311" i="1"/>
  <c r="U220" i="1"/>
  <c r="U216" i="1"/>
  <c r="U212" i="1"/>
  <c r="U184" i="1"/>
  <c r="U16" i="1"/>
  <c r="U9" i="1"/>
  <c r="U6700" i="1"/>
  <c r="U6676" i="1"/>
  <c r="U6421" i="1"/>
  <c r="U6383" i="1"/>
  <c r="U6344" i="1"/>
  <c r="U6180" i="1"/>
  <c r="U5969" i="1"/>
  <c r="U5965" i="1"/>
  <c r="U5963" i="1"/>
  <c r="U5855" i="1"/>
  <c r="U5647" i="1"/>
  <c r="U5598" i="1"/>
  <c r="U5565" i="1"/>
  <c r="U5521" i="1"/>
  <c r="V5521" i="1" s="1"/>
  <c r="U5285" i="1"/>
  <c r="U5258" i="1"/>
  <c r="U5255" i="1"/>
  <c r="U5250" i="1"/>
  <c r="U5148" i="1"/>
  <c r="U5015" i="1"/>
  <c r="U4960" i="1"/>
  <c r="U4758" i="1"/>
  <c r="U4755" i="1"/>
  <c r="U4585" i="1"/>
  <c r="U4496" i="1"/>
  <c r="V4496" i="1" s="1"/>
  <c r="U4350" i="1"/>
  <c r="U4150" i="1"/>
  <c r="U4025" i="1"/>
  <c r="U3957" i="1"/>
  <c r="U3928" i="1"/>
  <c r="U3918" i="1"/>
  <c r="U3417" i="1"/>
  <c r="U3352" i="1"/>
  <c r="U3192" i="1"/>
  <c r="U3160" i="1"/>
  <c r="U3010" i="1"/>
  <c r="U2952" i="1"/>
  <c r="U2911" i="1"/>
  <c r="U2881" i="1"/>
  <c r="U2574" i="1"/>
  <c r="U2406" i="1"/>
  <c r="U2372" i="1"/>
  <c r="U2342" i="1"/>
  <c r="U2340" i="1"/>
  <c r="U2010" i="1"/>
  <c r="U1777" i="1"/>
  <c r="U1776" i="1"/>
  <c r="U1614" i="1"/>
  <c r="U1435" i="1"/>
  <c r="U1253" i="1"/>
  <c r="U1189" i="1"/>
  <c r="U1165" i="1"/>
  <c r="U866" i="1"/>
  <c r="U822" i="1"/>
  <c r="U799" i="1"/>
  <c r="U716" i="1"/>
  <c r="U704" i="1"/>
  <c r="U481" i="1"/>
  <c r="U388" i="1"/>
  <c r="U363" i="1"/>
  <c r="U254" i="1"/>
  <c r="U244" i="1"/>
  <c r="U6476" i="1"/>
  <c r="U6447" i="1"/>
  <c r="U6378" i="1"/>
  <c r="U6377" i="1"/>
  <c r="U6082" i="1"/>
  <c r="U6070" i="1"/>
  <c r="U6058" i="1"/>
  <c r="U5886" i="1"/>
  <c r="U5156" i="1"/>
  <c r="U5068" i="1"/>
  <c r="U5007" i="1"/>
  <c r="U4829" i="1"/>
  <c r="U4641" i="1"/>
  <c r="U4611" i="1"/>
  <c r="U4603" i="1"/>
  <c r="U4347" i="1"/>
  <c r="U3817" i="1"/>
  <c r="U3714" i="1"/>
  <c r="V3714" i="1" s="1"/>
  <c r="U3673" i="1"/>
  <c r="U3650" i="1"/>
  <c r="U3602" i="1"/>
  <c r="U3366" i="1"/>
  <c r="U3039" i="1"/>
  <c r="U2939" i="1"/>
  <c r="U2855" i="1"/>
  <c r="U2488" i="1"/>
  <c r="U2330" i="1"/>
  <c r="U2287" i="1"/>
  <c r="U2255" i="1"/>
  <c r="U1826" i="1"/>
  <c r="U1810" i="1"/>
  <c r="U1401" i="1"/>
  <c r="U1374" i="1"/>
  <c r="U1351" i="1"/>
  <c r="U773" i="1"/>
  <c r="U542" i="1"/>
  <c r="U537" i="1"/>
  <c r="U530" i="1"/>
  <c r="U493" i="1"/>
  <c r="U454" i="1"/>
  <c r="U434" i="1"/>
  <c r="U316" i="1"/>
  <c r="U243" i="1"/>
  <c r="U6530" i="1"/>
  <c r="U6519" i="1"/>
  <c r="U6495" i="1"/>
  <c r="U6489" i="1"/>
  <c r="U6460" i="1"/>
  <c r="U6368" i="1"/>
  <c r="U6342" i="1"/>
  <c r="U6319" i="1"/>
  <c r="U6262" i="1"/>
  <c r="U6198" i="1"/>
  <c r="U6113" i="1"/>
  <c r="U6099" i="1"/>
  <c r="U6091" i="1"/>
  <c r="U6056" i="1"/>
  <c r="U5737" i="1"/>
  <c r="U5624" i="1"/>
  <c r="U5535" i="1"/>
  <c r="U5466" i="1"/>
  <c r="U5405" i="1"/>
  <c r="U5251" i="1"/>
  <c r="U5205" i="1"/>
  <c r="U5174" i="1"/>
  <c r="U5133" i="1"/>
  <c r="U4906" i="1"/>
  <c r="U4904" i="1"/>
  <c r="U4892" i="1"/>
  <c r="U4887" i="1"/>
  <c r="U4774" i="1"/>
  <c r="U4762" i="1"/>
  <c r="U4761" i="1"/>
  <c r="U4740" i="1"/>
  <c r="U4528" i="1"/>
  <c r="U4506" i="1"/>
  <c r="U4453" i="1"/>
  <c r="U4419" i="1"/>
  <c r="U4298" i="1"/>
  <c r="U4285" i="1"/>
  <c r="U4279" i="1"/>
  <c r="U4239" i="1"/>
  <c r="U4227" i="1"/>
  <c r="U4037" i="1"/>
  <c r="U4016" i="1"/>
  <c r="U4008" i="1"/>
  <c r="U4006" i="1"/>
  <c r="U3956" i="1"/>
  <c r="U3923" i="1"/>
  <c r="U3893" i="1"/>
  <c r="U3889" i="1"/>
  <c r="U3819" i="1"/>
  <c r="U3513" i="1"/>
  <c r="U3486" i="1"/>
  <c r="U3483" i="1"/>
  <c r="U3469" i="1"/>
  <c r="U3364" i="1"/>
  <c r="U3150" i="1"/>
  <c r="U3126" i="1"/>
  <c r="U3121" i="1"/>
  <c r="U3114" i="1"/>
  <c r="U2847" i="1"/>
  <c r="U2822" i="1"/>
  <c r="U2732" i="1"/>
  <c r="U2731" i="1"/>
  <c r="U2560" i="1"/>
  <c r="U2555" i="1"/>
  <c r="U2547" i="1"/>
  <c r="U2518" i="1"/>
  <c r="U2390" i="1"/>
  <c r="U2383" i="1"/>
  <c r="U2354" i="1"/>
  <c r="U2336" i="1"/>
  <c r="U2176" i="1"/>
  <c r="U2146" i="1"/>
  <c r="U2120" i="1"/>
  <c r="U2091" i="1"/>
  <c r="U2077" i="1"/>
  <c r="U2002" i="1"/>
  <c r="U1989" i="1"/>
  <c r="U1971" i="1"/>
  <c r="U1909" i="1"/>
  <c r="U1783" i="1"/>
  <c r="U1701" i="1"/>
  <c r="U1694" i="1"/>
  <c r="U1679" i="1"/>
  <c r="U1671" i="1"/>
  <c r="U1430" i="1"/>
  <c r="U1412" i="1"/>
  <c r="U1335" i="1"/>
  <c r="U1303" i="1"/>
  <c r="U1247" i="1"/>
  <c r="U954" i="1"/>
  <c r="U919" i="1"/>
  <c r="U860" i="1"/>
  <c r="U846" i="1"/>
  <c r="U744" i="1"/>
  <c r="U683" i="1"/>
  <c r="U682" i="1"/>
  <c r="U529" i="1"/>
  <c r="U299" i="1"/>
  <c r="U270" i="1"/>
  <c r="U245" i="1"/>
  <c r="U241" i="1"/>
  <c r="U119" i="1"/>
  <c r="U110" i="1"/>
  <c r="U73" i="1"/>
  <c r="U61" i="1"/>
  <c r="U6617" i="1"/>
  <c r="U6666" i="1"/>
  <c r="U6760" i="1"/>
  <c r="U6654" i="1"/>
  <c r="U6603" i="1"/>
  <c r="U6548" i="1"/>
  <c r="U6515" i="1"/>
  <c r="U6426" i="1"/>
  <c r="U6408" i="1"/>
  <c r="U6120" i="1"/>
  <c r="U6100" i="1"/>
  <c r="U6090" i="1"/>
  <c r="U6046" i="1"/>
  <c r="U5740" i="1"/>
  <c r="U5636" i="1"/>
  <c r="U5607" i="1"/>
  <c r="U5592" i="1"/>
  <c r="U5563" i="1"/>
  <c r="U5507" i="1"/>
  <c r="U5345" i="1"/>
  <c r="U5291" i="1"/>
  <c r="U5208" i="1"/>
  <c r="U5160" i="1"/>
  <c r="U4916" i="1"/>
  <c r="U4885" i="1"/>
  <c r="U4861" i="1"/>
  <c r="U4723" i="1"/>
  <c r="U4621" i="1"/>
  <c r="U4572" i="1"/>
  <c r="U4569" i="1"/>
  <c r="U4542" i="1"/>
  <c r="U4329" i="1"/>
  <c r="U4312" i="1"/>
  <c r="U4283" i="1"/>
  <c r="U4276" i="1"/>
  <c r="U4044" i="1"/>
  <c r="U4041" i="1"/>
  <c r="U4007" i="1"/>
  <c r="U3980" i="1"/>
  <c r="U3970" i="1"/>
  <c r="U3824" i="1"/>
  <c r="U3822" i="1"/>
  <c r="U3821" i="1"/>
  <c r="U3716" i="1"/>
  <c r="U3658" i="1"/>
  <c r="U3636" i="1"/>
  <c r="U3515" i="1"/>
  <c r="U3362" i="1"/>
  <c r="U3334" i="1"/>
  <c r="U3276" i="1"/>
  <c r="U3230" i="1"/>
  <c r="U2992" i="1"/>
  <c r="U2927" i="1"/>
  <c r="U2898" i="1"/>
  <c r="U2750" i="1"/>
  <c r="U2739" i="1"/>
  <c r="U2544" i="1"/>
  <c r="U2523" i="1"/>
  <c r="U2495" i="1"/>
  <c r="U2435" i="1"/>
  <c r="U2375" i="1"/>
  <c r="U2272" i="1"/>
  <c r="U2221" i="1"/>
  <c r="U2218" i="1"/>
  <c r="U2169" i="1"/>
  <c r="U1892" i="1"/>
  <c r="U1842" i="1"/>
  <c r="U1804" i="1"/>
  <c r="U1798" i="1"/>
  <c r="U1608" i="1"/>
  <c r="U1583" i="1"/>
  <c r="U1355" i="1"/>
  <c r="U1306" i="1"/>
  <c r="U1035" i="1"/>
  <c r="U990" i="1"/>
  <c r="U963" i="1"/>
  <c r="U929" i="1"/>
  <c r="U821" i="1"/>
  <c r="U756" i="1"/>
  <c r="U707" i="1"/>
  <c r="U550" i="1"/>
  <c r="U517" i="1"/>
  <c r="U292" i="1"/>
  <c r="U253" i="1"/>
  <c r="U219" i="1"/>
  <c r="U170" i="1"/>
  <c r="U6402" i="1"/>
  <c r="U6389" i="1"/>
  <c r="U6350" i="1"/>
  <c r="U6247" i="1"/>
  <c r="U6227" i="1"/>
  <c r="U6020" i="1"/>
  <c r="U6016" i="1"/>
  <c r="U5943" i="1"/>
  <c r="U5869" i="1"/>
  <c r="U5619" i="1"/>
  <c r="U5459" i="1"/>
  <c r="U4919" i="1"/>
  <c r="U4912" i="1"/>
  <c r="U4742" i="1"/>
  <c r="U4741" i="1"/>
  <c r="U4222" i="1"/>
  <c r="U4086" i="1"/>
  <c r="U4051" i="1"/>
  <c r="U4033" i="1"/>
  <c r="U3796" i="1"/>
  <c r="U3562" i="1"/>
  <c r="U3422" i="1"/>
  <c r="U3142" i="1"/>
  <c r="U3133" i="1"/>
  <c r="U3023" i="1"/>
  <c r="U2676" i="1"/>
  <c r="U2632" i="1"/>
  <c r="U2338" i="1"/>
  <c r="U2302" i="1"/>
  <c r="U1973" i="1"/>
  <c r="U1912" i="1"/>
  <c r="U1746" i="1"/>
  <c r="U1721" i="1"/>
  <c r="U1340" i="1"/>
  <c r="U1275" i="1"/>
  <c r="U1155" i="1"/>
  <c r="U1131" i="1"/>
  <c r="U766" i="1"/>
  <c r="U743" i="1"/>
  <c r="U635" i="1"/>
  <c r="U546" i="1"/>
  <c r="U499" i="1"/>
  <c r="U432" i="1"/>
  <c r="U370" i="1"/>
  <c r="U313" i="1"/>
  <c r="U306" i="1"/>
  <c r="U6744" i="1"/>
  <c r="U6634" i="1"/>
  <c r="U6494" i="1"/>
  <c r="U6461" i="1"/>
  <c r="U6343" i="1"/>
  <c r="U6320" i="1"/>
  <c r="U6315" i="1"/>
  <c r="U6277" i="1"/>
  <c r="U6241" i="1"/>
  <c r="U6009" i="1"/>
  <c r="U5824" i="1"/>
  <c r="U5805" i="1"/>
  <c r="U5764" i="1"/>
  <c r="U5677" i="1"/>
  <c r="U5497" i="1"/>
  <c r="U5470" i="1"/>
  <c r="U5402" i="1"/>
  <c r="U5359" i="1"/>
  <c r="U5329" i="1"/>
  <c r="U5272" i="1"/>
  <c r="U5232" i="1"/>
  <c r="U5217" i="1"/>
  <c r="U5209" i="1"/>
  <c r="U5053" i="1"/>
  <c r="U4930" i="1"/>
  <c r="U4853" i="1"/>
  <c r="U4851" i="1"/>
  <c r="U4844" i="1"/>
  <c r="U4677" i="1"/>
  <c r="U4658" i="1"/>
  <c r="U4654" i="1"/>
  <c r="U4627" i="1"/>
  <c r="U4557" i="1"/>
  <c r="U4537" i="1"/>
  <c r="U4467" i="1"/>
  <c r="U4448" i="1"/>
  <c r="U4165" i="1"/>
  <c r="U4151" i="1"/>
  <c r="U4122" i="1"/>
  <c r="U4096" i="1"/>
  <c r="U4020" i="1"/>
  <c r="U3981" i="1"/>
  <c r="U3971" i="1"/>
  <c r="U3934" i="1"/>
  <c r="U3885" i="1"/>
  <c r="U3835" i="1"/>
  <c r="U3795" i="1"/>
  <c r="U3739" i="1"/>
  <c r="U3701" i="1"/>
  <c r="U3456" i="1"/>
  <c r="U3455" i="1"/>
  <c r="U3401" i="1"/>
  <c r="U3399" i="1"/>
  <c r="U3300" i="1"/>
  <c r="U3176" i="1"/>
  <c r="U3096" i="1"/>
  <c r="U3066" i="1"/>
  <c r="U2980" i="1"/>
  <c r="U2946" i="1"/>
  <c r="U2901" i="1"/>
  <c r="U2825" i="1"/>
  <c r="U2810" i="1"/>
  <c r="U2597" i="1"/>
  <c r="U2545" i="1"/>
  <c r="U2529" i="1"/>
  <c r="U2510" i="1"/>
  <c r="U2425" i="1"/>
  <c r="U2353" i="1"/>
  <c r="U2348" i="1"/>
  <c r="U2277" i="1"/>
  <c r="U2271" i="1"/>
  <c r="U2109" i="1"/>
  <c r="U2088" i="1"/>
  <c r="U2075" i="1"/>
  <c r="U2042" i="1"/>
  <c r="U2037" i="1"/>
  <c r="U1805" i="1"/>
  <c r="U1769" i="1"/>
  <c r="U1757" i="1"/>
  <c r="U1740" i="1"/>
  <c r="U1528" i="1"/>
  <c r="U1502" i="1"/>
  <c r="U1499" i="1"/>
  <c r="U1447" i="1"/>
  <c r="U1440" i="1"/>
  <c r="U1290" i="1"/>
  <c r="U1268" i="1"/>
  <c r="U1235" i="1"/>
  <c r="U1177" i="1"/>
  <c r="U1015" i="1"/>
  <c r="U970" i="1"/>
  <c r="U915" i="1"/>
  <c r="U907" i="1"/>
  <c r="U903" i="1"/>
  <c r="U768" i="1"/>
  <c r="U636" i="1"/>
  <c r="U624" i="1"/>
  <c r="U601" i="1"/>
  <c r="U583" i="1"/>
  <c r="U582" i="1"/>
  <c r="U491" i="1"/>
  <c r="U471" i="1"/>
  <c r="U444" i="1"/>
  <c r="U411" i="1"/>
  <c r="U358" i="1"/>
  <c r="U190" i="1"/>
  <c r="U166" i="1"/>
  <c r="U82" i="1"/>
  <c r="U78" i="1"/>
  <c r="U54" i="1"/>
  <c r="U6658" i="1"/>
  <c r="U6593" i="1"/>
  <c r="U6450" i="1"/>
  <c r="U6444" i="1"/>
  <c r="U6412" i="1"/>
  <c r="U6242" i="1"/>
  <c r="U6080" i="1"/>
  <c r="U6002" i="1"/>
  <c r="U5914" i="1"/>
  <c r="U5840" i="1"/>
  <c r="U5658" i="1"/>
  <c r="U5526" i="1"/>
  <c r="U5523" i="1"/>
  <c r="U5516" i="1"/>
  <c r="U5515" i="1"/>
  <c r="U5269" i="1"/>
  <c r="U5195" i="1"/>
  <c r="U4965" i="1"/>
  <c r="U4962" i="1"/>
  <c r="U4926" i="1"/>
  <c r="U4718" i="1"/>
  <c r="U4716" i="1"/>
  <c r="U4663" i="1"/>
  <c r="U4562" i="1"/>
  <c r="U4486" i="1"/>
  <c r="U4265" i="1"/>
  <c r="U4213" i="1"/>
  <c r="U4152" i="1"/>
  <c r="U4075" i="1"/>
  <c r="U4068" i="1"/>
  <c r="U3782" i="1"/>
  <c r="U3727" i="1"/>
  <c r="U3630" i="1"/>
  <c r="U3627" i="1"/>
  <c r="U3575" i="1"/>
  <c r="U3219" i="1"/>
  <c r="U3205" i="1"/>
  <c r="U3172" i="1"/>
  <c r="U3153" i="1"/>
  <c r="U3095" i="1"/>
  <c r="U2961" i="1"/>
  <c r="U2956" i="1"/>
  <c r="U2951" i="1"/>
  <c r="U2926" i="1"/>
  <c r="U2830" i="1"/>
  <c r="U2706" i="1"/>
  <c r="U2685" i="1"/>
  <c r="U2648" i="1"/>
  <c r="U2639" i="1"/>
  <c r="U2637" i="1"/>
  <c r="U2135" i="1"/>
  <c r="U2105" i="1"/>
  <c r="U1997" i="1"/>
  <c r="U1981" i="1"/>
  <c r="U1956" i="1"/>
  <c r="U1786" i="1"/>
  <c r="U1734" i="1"/>
  <c r="U1724" i="1"/>
  <c r="U1687" i="1"/>
  <c r="U1675" i="1"/>
  <c r="U1551" i="1"/>
  <c r="V1551" i="1" s="1"/>
  <c r="U1546" i="1"/>
  <c r="U1486" i="1"/>
  <c r="U1439" i="1"/>
  <c r="U1410" i="1"/>
  <c r="U1166" i="1"/>
  <c r="U1161" i="1"/>
  <c r="U1139" i="1"/>
  <c r="U1138" i="1"/>
  <c r="U1110" i="1"/>
  <c r="U979" i="1"/>
  <c r="U942" i="1"/>
  <c r="U879" i="1"/>
  <c r="U878" i="1"/>
  <c r="U841" i="1"/>
  <c r="U727" i="1"/>
  <c r="U722" i="1"/>
  <c r="U666" i="1"/>
  <c r="U570" i="1"/>
  <c r="U501" i="1"/>
  <c r="U399" i="1"/>
  <c r="U298" i="1"/>
  <c r="U282" i="1"/>
  <c r="U71" i="1"/>
  <c r="U57" i="1"/>
  <c r="U6734" i="1"/>
  <c r="U6364" i="1"/>
  <c r="U6356" i="1"/>
  <c r="U6345" i="1"/>
  <c r="U6325" i="1"/>
  <c r="U6311" i="1"/>
  <c r="U5752" i="1"/>
  <c r="U5675" i="1"/>
  <c r="U5628" i="1"/>
  <c r="U5554" i="1"/>
  <c r="U5409" i="1"/>
  <c r="U5080" i="1"/>
  <c r="U5072" i="1"/>
  <c r="U5042" i="1"/>
  <c r="U5008" i="1"/>
  <c r="U4907" i="1"/>
  <c r="U4172" i="1"/>
  <c r="U4110" i="1"/>
  <c r="U3849" i="1"/>
  <c r="U3823" i="1"/>
  <c r="U3548" i="1"/>
  <c r="U3163" i="1"/>
  <c r="U3149" i="1"/>
  <c r="U3029" i="1"/>
  <c r="U2949" i="1"/>
  <c r="U2891" i="1"/>
  <c r="U2697" i="1"/>
  <c r="U2527" i="1"/>
  <c r="U2525" i="1"/>
  <c r="U2484" i="1"/>
  <c r="U2382" i="1"/>
  <c r="U2228" i="1"/>
  <c r="U2082" i="1"/>
  <c r="U2054" i="1"/>
  <c r="U2044" i="1"/>
  <c r="U1950" i="1"/>
  <c r="U1848" i="1"/>
  <c r="U1829" i="1"/>
  <c r="U1761" i="1"/>
  <c r="U1737" i="1"/>
  <c r="U1451" i="1"/>
  <c r="U1354" i="1"/>
  <c r="U1239" i="1"/>
  <c r="U1113" i="1"/>
  <c r="U1094" i="1"/>
  <c r="U1019" i="1"/>
  <c r="U889" i="1"/>
  <c r="U826" i="1"/>
  <c r="U453" i="1"/>
  <c r="U373" i="1"/>
  <c r="U351" i="1"/>
  <c r="U268" i="1"/>
  <c r="U238" i="1"/>
  <c r="U6718" i="1"/>
  <c r="U6609" i="1"/>
  <c r="U6678" i="1"/>
  <c r="U6679" i="1"/>
  <c r="U6523" i="1"/>
  <c r="U6370" i="1"/>
  <c r="U6294" i="1"/>
  <c r="U6271" i="1"/>
  <c r="U6214" i="1"/>
  <c r="U6191" i="1"/>
  <c r="U6145" i="1"/>
  <c r="U6144" i="1"/>
  <c r="U6141" i="1"/>
  <c r="U6131" i="1"/>
  <c r="U6108" i="1"/>
  <c r="U6012" i="1"/>
  <c r="U5925" i="1"/>
  <c r="U5883" i="1"/>
  <c r="U5864" i="1"/>
  <c r="U5845" i="1"/>
  <c r="U5724" i="1"/>
  <c r="U5696" i="1"/>
  <c r="U5683" i="1"/>
  <c r="U5562" i="1"/>
  <c r="U5538" i="1"/>
  <c r="U5532" i="1"/>
  <c r="U5304" i="1"/>
  <c r="U5289" i="1"/>
  <c r="U5252" i="1"/>
  <c r="U5249" i="1"/>
  <c r="U5173" i="1"/>
  <c r="U5162" i="1"/>
  <c r="U5011" i="1"/>
  <c r="U4993" i="1"/>
  <c r="U4956" i="1"/>
  <c r="U4933" i="1"/>
  <c r="U4828" i="1"/>
  <c r="U4714" i="1"/>
  <c r="U4609" i="1"/>
  <c r="U4596" i="1"/>
  <c r="U4565" i="1"/>
  <c r="U4474" i="1"/>
  <c r="U4275" i="1"/>
  <c r="U4236" i="1"/>
  <c r="U4221" i="1"/>
  <c r="U4209" i="1"/>
  <c r="U4191" i="1"/>
  <c r="U4058" i="1"/>
  <c r="U4015" i="1"/>
  <c r="U4005" i="1"/>
  <c r="V4005" i="1" s="1"/>
  <c r="U3997" i="1"/>
  <c r="U3855" i="1"/>
  <c r="U3700" i="1"/>
  <c r="U3697" i="1"/>
  <c r="U3675" i="1"/>
  <c r="U3654" i="1"/>
  <c r="U3652" i="1"/>
  <c r="U3558" i="1"/>
  <c r="U3550" i="1"/>
  <c r="U3539" i="1"/>
  <c r="U3526" i="1"/>
  <c r="U3510" i="1"/>
  <c r="U3473" i="1"/>
  <c r="U3214" i="1"/>
  <c r="U3069" i="1"/>
  <c r="U3024" i="1"/>
  <c r="V3024" i="1" s="1"/>
  <c r="U3000" i="1"/>
  <c r="U2990" i="1"/>
  <c r="U2824" i="1"/>
  <c r="U2813" i="1"/>
  <c r="U2803" i="1"/>
  <c r="U2740" i="1"/>
  <c r="U2730" i="1"/>
  <c r="U2507" i="1"/>
  <c r="U2472" i="1"/>
  <c r="U2458" i="1"/>
  <c r="U2456" i="1"/>
  <c r="U2454" i="1"/>
  <c r="U2242" i="1"/>
  <c r="V2242" i="1" s="1"/>
  <c r="U2164" i="1"/>
  <c r="U2160" i="1"/>
  <c r="U2087" i="1"/>
  <c r="U2013" i="1"/>
  <c r="U1883" i="1"/>
  <c r="U1868" i="1"/>
  <c r="U1830" i="1"/>
  <c r="U1773" i="1"/>
  <c r="U1692" i="1"/>
  <c r="U1571" i="1"/>
  <c r="U1530" i="1"/>
  <c r="U1521" i="1"/>
  <c r="U1475" i="1"/>
  <c r="U1428" i="1"/>
  <c r="U1422" i="1"/>
  <c r="U1311" i="1"/>
  <c r="U1301" i="1"/>
  <c r="U1231" i="1"/>
  <c r="U1223" i="1"/>
  <c r="U1210" i="1"/>
  <c r="U980" i="1"/>
  <c r="U975" i="1"/>
  <c r="U974" i="1"/>
  <c r="U948" i="1"/>
  <c r="U811" i="1"/>
  <c r="U663" i="1"/>
  <c r="U573" i="1"/>
  <c r="U500" i="1"/>
  <c r="U473" i="1"/>
  <c r="U427" i="1"/>
  <c r="U390" i="1"/>
  <c r="U377" i="1"/>
  <c r="U302" i="1"/>
  <c r="U283" i="1"/>
  <c r="U259" i="1"/>
  <c r="U240" i="1"/>
  <c r="U182" i="1"/>
  <c r="U147" i="1"/>
  <c r="U116" i="1"/>
  <c r="U87" i="1"/>
  <c r="U56" i="1"/>
  <c r="U6534" i="1"/>
  <c r="U6441" i="1"/>
  <c r="U6314" i="1"/>
  <c r="U6288" i="1"/>
  <c r="U6267" i="1"/>
  <c r="U6051" i="1"/>
  <c r="U6000" i="1"/>
  <c r="U5939" i="1"/>
  <c r="U5920" i="1"/>
  <c r="U5908" i="1"/>
  <c r="U5733" i="1"/>
  <c r="U5729" i="1"/>
  <c r="U5712" i="1"/>
  <c r="U5701" i="1"/>
  <c r="U5663" i="1"/>
  <c r="U5317" i="1"/>
  <c r="U5281" i="1"/>
  <c r="U5260" i="1"/>
  <c r="U5253" i="1"/>
  <c r="U5185" i="1"/>
  <c r="U5095" i="1"/>
  <c r="U5065" i="1"/>
  <c r="U5036" i="1"/>
  <c r="U4970" i="1"/>
  <c r="U4969" i="1"/>
  <c r="U4808" i="1"/>
  <c r="U4720" i="1"/>
  <c r="U4711" i="1"/>
  <c r="U4684" i="1"/>
  <c r="U4680" i="1"/>
  <c r="U4413" i="1"/>
  <c r="U4397" i="1"/>
  <c r="U4334" i="1"/>
  <c r="U4332" i="1"/>
  <c r="U4307" i="1"/>
  <c r="U4224" i="1"/>
  <c r="U4131" i="1"/>
  <c r="U4046" i="1"/>
  <c r="U4043" i="1"/>
  <c r="U3961" i="1"/>
  <c r="U3645" i="1"/>
  <c r="U3609" i="1"/>
  <c r="U3546" i="1"/>
  <c r="U3508" i="1"/>
  <c r="U3389" i="1"/>
  <c r="U3220" i="1"/>
  <c r="U3179" i="1"/>
  <c r="U3173" i="1"/>
  <c r="U3122" i="1"/>
  <c r="U3106" i="1"/>
  <c r="U2976" i="1"/>
  <c r="U2805" i="1"/>
  <c r="U2695" i="1"/>
  <c r="U2628" i="1"/>
  <c r="U2581" i="1"/>
  <c r="U2327" i="1"/>
  <c r="U2204" i="1"/>
  <c r="U2161" i="1"/>
  <c r="U2144" i="1"/>
  <c r="U2094" i="1"/>
  <c r="U1931" i="1"/>
  <c r="U1893" i="1"/>
  <c r="U1881" i="1"/>
  <c r="U1855" i="1"/>
  <c r="U1760" i="1"/>
  <c r="U1691" i="1"/>
  <c r="U1661" i="1"/>
  <c r="U1617" i="1"/>
  <c r="U1556" i="1"/>
  <c r="U1543" i="1"/>
  <c r="U1196" i="1"/>
  <c r="U1182" i="1"/>
  <c r="U991" i="1"/>
  <c r="U964" i="1"/>
  <c r="U911" i="1"/>
  <c r="U793" i="1"/>
  <c r="U788" i="1"/>
  <c r="U747" i="1"/>
  <c r="U729" i="1"/>
  <c r="U629" i="1"/>
  <c r="U447" i="1"/>
  <c r="U422" i="1"/>
  <c r="V422" i="1" s="1"/>
  <c r="U284" i="1"/>
  <c r="U232" i="1"/>
  <c r="U230" i="1"/>
  <c r="U204" i="1"/>
  <c r="U167" i="1"/>
  <c r="U131" i="1"/>
  <c r="U60" i="1"/>
  <c r="U55" i="1"/>
  <c r="U6612" i="1"/>
  <c r="U6581" i="1"/>
  <c r="U6552" i="1"/>
  <c r="U6439" i="1"/>
  <c r="U6398" i="1"/>
  <c r="U6128" i="1"/>
  <c r="U6126" i="1"/>
  <c r="U6115" i="1"/>
  <c r="U6114" i="1"/>
  <c r="U6043" i="1"/>
  <c r="U5865" i="1"/>
  <c r="U5828" i="1"/>
  <c r="U5825" i="1"/>
  <c r="U5707" i="1"/>
  <c r="U5627" i="1"/>
  <c r="U5290" i="1"/>
  <c r="U5136" i="1"/>
  <c r="U5083" i="1"/>
  <c r="U4831" i="1"/>
  <c r="U4471" i="1"/>
  <c r="U4320" i="1"/>
  <c r="U4264" i="1"/>
  <c r="U4049" i="1"/>
  <c r="U4004" i="1"/>
  <c r="U3914" i="1"/>
  <c r="U3802" i="1"/>
  <c r="U3656" i="1"/>
  <c r="U3634" i="1"/>
  <c r="U3317" i="1"/>
  <c r="U3313" i="1"/>
  <c r="U3269" i="1"/>
  <c r="U3165" i="1"/>
  <c r="U3049" i="1"/>
  <c r="U3042" i="1"/>
  <c r="U3007" i="1"/>
  <c r="U2933" i="1"/>
  <c r="U2910" i="1"/>
  <c r="U2743" i="1"/>
  <c r="U2631" i="1"/>
  <c r="U2546" i="1"/>
  <c r="V2546" i="1" s="1"/>
  <c r="U2357" i="1"/>
  <c r="U2325" i="1"/>
  <c r="U2153" i="1"/>
  <c r="U1938" i="1"/>
  <c r="U1914" i="1"/>
  <c r="U1839" i="1"/>
  <c r="U1483" i="1"/>
  <c r="U1294" i="1"/>
  <c r="U1042" i="1"/>
  <c r="U976" i="1"/>
  <c r="U928" i="1"/>
  <c r="U745" i="1"/>
  <c r="U275" i="1"/>
  <c r="U265" i="1"/>
  <c r="U210" i="1"/>
  <c r="U134" i="1"/>
  <c r="U65" i="1"/>
  <c r="U6566" i="1"/>
  <c r="U6525" i="1"/>
  <c r="U6507" i="1"/>
  <c r="U6499" i="1"/>
  <c r="U6493" i="1"/>
  <c r="U6299" i="1"/>
  <c r="U6291" i="1"/>
  <c r="U6284" i="1"/>
  <c r="U6239" i="1"/>
  <c r="U6217" i="1"/>
  <c r="U6086" i="1"/>
  <c r="U6037" i="1"/>
  <c r="U6017" i="1"/>
  <c r="U5996" i="1"/>
  <c r="U5993" i="1"/>
  <c r="U5788" i="1"/>
  <c r="U5776" i="1"/>
  <c r="U5773" i="1"/>
  <c r="V5773" i="1" s="1"/>
  <c r="U5770" i="1"/>
  <c r="U5726" i="1"/>
  <c r="U5664" i="1"/>
  <c r="U5650" i="1"/>
  <c r="U5648" i="1"/>
  <c r="U5630" i="1"/>
  <c r="U5616" i="1"/>
  <c r="U5524" i="1"/>
  <c r="U5493" i="1"/>
  <c r="U5432" i="1"/>
  <c r="U5303" i="1"/>
  <c r="U5294" i="1"/>
  <c r="U4958" i="1"/>
  <c r="U4840" i="1"/>
  <c r="U4825" i="1"/>
  <c r="U4818" i="1"/>
  <c r="U4813" i="1"/>
  <c r="U4628" i="1"/>
  <c r="U4615" i="1"/>
  <c r="U4592" i="1"/>
  <c r="U4533" i="1"/>
  <c r="U4491" i="1"/>
  <c r="U4245" i="1"/>
  <c r="U4244" i="1"/>
  <c r="U4186" i="1"/>
  <c r="U4182" i="1"/>
  <c r="U4143" i="1"/>
  <c r="U4018" i="1"/>
  <c r="U3991" i="1"/>
  <c r="U3990" i="1"/>
  <c r="U3987" i="1"/>
  <c r="U3976" i="1"/>
  <c r="U3962" i="1"/>
  <c r="U3846" i="1"/>
  <c r="U3837" i="1"/>
  <c r="U3833" i="1"/>
  <c r="U3649" i="1"/>
  <c r="U3641" i="1"/>
  <c r="U3573" i="1"/>
  <c r="U3566" i="1"/>
  <c r="U3543" i="1"/>
  <c r="U3470" i="1"/>
  <c r="U3435" i="1"/>
  <c r="U3252" i="1"/>
  <c r="U3251" i="1"/>
  <c r="U3232" i="1"/>
  <c r="U3209" i="1"/>
  <c r="U3191" i="1"/>
  <c r="U3015" i="1"/>
  <c r="U2889" i="1"/>
  <c r="U2874" i="1"/>
  <c r="U2843" i="1"/>
  <c r="U2785" i="1"/>
  <c r="U2746" i="1"/>
  <c r="U2414" i="1"/>
  <c r="U2413" i="1"/>
  <c r="U2393" i="1"/>
  <c r="U2368" i="1"/>
  <c r="U2337" i="1"/>
  <c r="U2151" i="1"/>
  <c r="U2101" i="1"/>
  <c r="U2022" i="1"/>
  <c r="U1795" i="1"/>
  <c r="U1735" i="1"/>
  <c r="U1640" i="1"/>
  <c r="U1609" i="1"/>
  <c r="U1584" i="1"/>
  <c r="U1544" i="1"/>
  <c r="U1541" i="1"/>
  <c r="U1448" i="1"/>
  <c r="U1406" i="1"/>
  <c r="U1391" i="1"/>
  <c r="U1313" i="1"/>
  <c r="U1283" i="1"/>
  <c r="U1124" i="1"/>
  <c r="U1063" i="1"/>
  <c r="U1031" i="1"/>
  <c r="U927" i="1"/>
  <c r="U893" i="1"/>
  <c r="U829" i="1"/>
  <c r="U800" i="1"/>
  <c r="U776" i="1"/>
  <c r="U692" i="1"/>
  <c r="U687" i="1"/>
  <c r="U497" i="1"/>
  <c r="U421" i="1"/>
  <c r="U402" i="1"/>
  <c r="U366" i="1"/>
  <c r="U319" i="1"/>
  <c r="U255" i="1"/>
  <c r="U144" i="1"/>
  <c r="U123" i="1"/>
  <c r="U114" i="1"/>
  <c r="U106" i="1"/>
  <c r="U93" i="1"/>
  <c r="U6600" i="1"/>
  <c r="U6595" i="1"/>
  <c r="U6572" i="1"/>
  <c r="U6486" i="1"/>
  <c r="U6472" i="1"/>
  <c r="U6335" i="1"/>
  <c r="U6003" i="1"/>
  <c r="U5979" i="1"/>
  <c r="U5967" i="1"/>
  <c r="U5937" i="1"/>
  <c r="U5808" i="1"/>
  <c r="U5588" i="1"/>
  <c r="U5465" i="1"/>
  <c r="U5436" i="1"/>
  <c r="U5305" i="1"/>
  <c r="U5014" i="1"/>
  <c r="U5013" i="1"/>
  <c r="U4925" i="1"/>
  <c r="U4923" i="1"/>
  <c r="U4921" i="1"/>
  <c r="U4760" i="1"/>
  <c r="U4689" i="1"/>
  <c r="U4649" i="1"/>
  <c r="U4584" i="1"/>
  <c r="U4504" i="1"/>
  <c r="U4427" i="1"/>
  <c r="U4425" i="1"/>
  <c r="U4412" i="1"/>
  <c r="U4382" i="1"/>
  <c r="U4381" i="1"/>
  <c r="U4208" i="1"/>
  <c r="U4144" i="1"/>
  <c r="U4079" i="1"/>
  <c r="U4023" i="1"/>
  <c r="U3983" i="1"/>
  <c r="U3913" i="1"/>
  <c r="U3787" i="1"/>
  <c r="U3736" i="1"/>
  <c r="U3732" i="1"/>
  <c r="U3723" i="1"/>
  <c r="U3583" i="1"/>
  <c r="U3577" i="1"/>
  <c r="U3537" i="1"/>
  <c r="V3537" i="1" s="1"/>
  <c r="U3528" i="1"/>
  <c r="U3466" i="1"/>
  <c r="U3267" i="1"/>
  <c r="U3248" i="1"/>
  <c r="U3237" i="1"/>
  <c r="U3235" i="1"/>
  <c r="U3234" i="1"/>
  <c r="U2972" i="1"/>
  <c r="U2915" i="1"/>
  <c r="U2859" i="1"/>
  <c r="U2838" i="1"/>
  <c r="U2674" i="1"/>
  <c r="U2512" i="1"/>
  <c r="U2511" i="1"/>
  <c r="U2503" i="1"/>
  <c r="U2384" i="1"/>
  <c r="U2378" i="1"/>
  <c r="U2057" i="1"/>
  <c r="U1930" i="1"/>
  <c r="U1922" i="1"/>
  <c r="U1904" i="1"/>
  <c r="U1853" i="1"/>
  <c r="U1598" i="1"/>
  <c r="U1595" i="1"/>
  <c r="U1559" i="1"/>
  <c r="U1494" i="1"/>
  <c r="U1492" i="1"/>
  <c r="U1201" i="1"/>
  <c r="U1197" i="1"/>
  <c r="U1153" i="1"/>
  <c r="U1143" i="1"/>
  <c r="U1105" i="1"/>
  <c r="U612" i="1"/>
  <c r="U602" i="1"/>
  <c r="U599" i="1"/>
  <c r="V599" i="1" s="1"/>
  <c r="U593" i="1"/>
  <c r="U588" i="1"/>
  <c r="U409" i="1"/>
  <c r="U379" i="1"/>
  <c r="U371" i="1"/>
  <c r="U308" i="1"/>
  <c r="U222" i="1"/>
  <c r="U74" i="1"/>
  <c r="U69" i="1"/>
  <c r="U68" i="1"/>
  <c r="U31" i="1"/>
  <c r="U6647" i="1"/>
  <c r="U6555" i="1"/>
  <c r="U6514" i="1"/>
  <c r="U6414" i="1"/>
  <c r="U6358" i="1"/>
  <c r="U6190" i="1"/>
  <c r="U5645" i="1"/>
  <c r="U5594" i="1"/>
  <c r="U5550" i="1"/>
  <c r="U5474" i="1"/>
  <c r="U5451" i="1"/>
  <c r="U5231" i="1"/>
  <c r="U5165" i="1"/>
  <c r="U5070" i="1"/>
  <c r="U4967" i="1"/>
  <c r="U4911" i="1"/>
  <c r="U4729" i="1"/>
  <c r="U4696" i="1"/>
  <c r="U4637" i="1"/>
  <c r="U4625" i="1"/>
  <c r="U4582" i="1"/>
  <c r="U4460" i="1"/>
  <c r="U4417" i="1"/>
  <c r="U4327" i="1"/>
  <c r="U4232" i="1"/>
  <c r="U4210" i="1"/>
  <c r="U4196" i="1"/>
  <c r="U3868" i="1"/>
  <c r="U3818" i="1"/>
  <c r="V3818" i="1" s="1"/>
  <c r="U3765" i="1"/>
  <c r="U3764" i="1"/>
  <c r="U3105" i="1"/>
  <c r="U3019" i="1"/>
  <c r="U2738" i="1"/>
  <c r="U2690" i="1"/>
  <c r="U2671" i="1"/>
  <c r="U2625" i="1"/>
  <c r="U2532" i="1"/>
  <c r="U2453" i="1"/>
  <c r="U2394" i="1"/>
  <c r="U2314" i="1"/>
  <c r="U2275" i="1"/>
  <c r="U2253" i="1"/>
  <c r="U1933" i="1"/>
  <c r="U1890" i="1"/>
  <c r="V1890" i="1" s="1"/>
  <c r="U1840" i="1"/>
  <c r="U1577" i="1"/>
  <c r="U1553" i="1"/>
  <c r="U1274" i="1"/>
  <c r="U1158" i="1"/>
  <c r="U1090" i="1"/>
  <c r="U1041" i="1"/>
  <c r="U993" i="1"/>
  <c r="U652" i="1"/>
  <c r="U458" i="1"/>
  <c r="U419" i="1"/>
  <c r="U401" i="1"/>
  <c r="U281" i="1"/>
  <c r="U158" i="1"/>
  <c r="U120" i="1"/>
  <c r="U88" i="1"/>
  <c r="U6747" i="1"/>
  <c r="U6604" i="1"/>
  <c r="U6313" i="1"/>
  <c r="V6313" i="1" s="1"/>
  <c r="U6278" i="1"/>
  <c r="U6215" i="1"/>
  <c r="U6204" i="1"/>
  <c r="U6156" i="1"/>
  <c r="U6083" i="1"/>
  <c r="U6021" i="1"/>
  <c r="U6011" i="1"/>
  <c r="U6005" i="1"/>
  <c r="U5958" i="1"/>
  <c r="U5957" i="1"/>
  <c r="U5921" i="1"/>
  <c r="U5893" i="1"/>
  <c r="U5892" i="1"/>
  <c r="U5880" i="1"/>
  <c r="U5871" i="1"/>
  <c r="U5622" i="1"/>
  <c r="U5536" i="1"/>
  <c r="U5455" i="1"/>
  <c r="U5448" i="1"/>
  <c r="U5428" i="1"/>
  <c r="U5323" i="1"/>
  <c r="V5323" i="1" s="1"/>
  <c r="U5302" i="1"/>
  <c r="U5266" i="1"/>
  <c r="U5206" i="1"/>
  <c r="U5146" i="1"/>
  <c r="U4976" i="1"/>
  <c r="U4961" i="1"/>
  <c r="U4884" i="1"/>
  <c r="U4837" i="1"/>
  <c r="U4797" i="1"/>
  <c r="U4665" i="1"/>
  <c r="U4597" i="1"/>
  <c r="U4593" i="1"/>
  <c r="U4550" i="1"/>
  <c r="U4527" i="1"/>
  <c r="U4499" i="1"/>
  <c r="U4477" i="1"/>
  <c r="U4466" i="1"/>
  <c r="U4325" i="1"/>
  <c r="U4291" i="1"/>
  <c r="U4194" i="1"/>
  <c r="U4107" i="1"/>
  <c r="U4031" i="1"/>
  <c r="U4009" i="1"/>
  <c r="U3941" i="1"/>
  <c r="V3941" i="1" s="1"/>
  <c r="U3813" i="1"/>
  <c r="U3803" i="1"/>
  <c r="U3722" i="1"/>
  <c r="U3668" i="1"/>
  <c r="U3665" i="1"/>
  <c r="U3651" i="1"/>
  <c r="U3635" i="1"/>
  <c r="U3492" i="1"/>
  <c r="U3474" i="1"/>
  <c r="U3461" i="1"/>
  <c r="U3336" i="1"/>
  <c r="U3243" i="1"/>
  <c r="U3193" i="1"/>
  <c r="U3181" i="1"/>
  <c r="U3144" i="1"/>
  <c r="U3068" i="1"/>
  <c r="V3068" i="1" s="1"/>
  <c r="U3056" i="1"/>
  <c r="U2923" i="1"/>
  <c r="U2876" i="1"/>
  <c r="U2875" i="1"/>
  <c r="U2776" i="1"/>
  <c r="U2741" i="1"/>
  <c r="U2682" i="1"/>
  <c r="U2613" i="1"/>
  <c r="U2583" i="1"/>
  <c r="U2576" i="1"/>
  <c r="U2568" i="1"/>
  <c r="U2541" i="1"/>
  <c r="U2447" i="1"/>
  <c r="U2387" i="1"/>
  <c r="U2300" i="1"/>
  <c r="U2289" i="1"/>
  <c r="U2283" i="1"/>
  <c r="U2229" i="1"/>
  <c r="U2159" i="1"/>
  <c r="U2137" i="1"/>
  <c r="U2116" i="1"/>
  <c r="U2102" i="1"/>
  <c r="U1960" i="1"/>
  <c r="U1949" i="1"/>
  <c r="U1895" i="1"/>
  <c r="U1894" i="1"/>
  <c r="U1854" i="1"/>
  <c r="U1766" i="1"/>
  <c r="U1754" i="1"/>
  <c r="U1700" i="1"/>
  <c r="U1643" i="1"/>
  <c r="U1604" i="1"/>
  <c r="U1469" i="1"/>
  <c r="U1456" i="1"/>
  <c r="U1446" i="1"/>
  <c r="V1446" i="1" s="1"/>
  <c r="U1363" i="1"/>
  <c r="U1327" i="1"/>
  <c r="U1249" i="1"/>
  <c r="U1242" i="1"/>
  <c r="U1238" i="1"/>
  <c r="U1162" i="1"/>
  <c r="U1130" i="1"/>
  <c r="U1088" i="1"/>
  <c r="U1086" i="1"/>
  <c r="U1040" i="1"/>
  <c r="U1008" i="1"/>
  <c r="U1003" i="1"/>
  <c r="U908" i="1"/>
  <c r="U874" i="1"/>
  <c r="U839" i="1"/>
  <c r="U836" i="1"/>
  <c r="U792" i="1"/>
  <c r="U696" i="1"/>
  <c r="U695" i="1"/>
  <c r="U694" i="1"/>
  <c r="U634" i="1"/>
  <c r="U615" i="1"/>
  <c r="U533" i="1"/>
  <c r="U382" i="1"/>
  <c r="U365" i="1"/>
  <c r="U346" i="1"/>
  <c r="U325" i="1"/>
  <c r="U305" i="1"/>
  <c r="U140" i="1"/>
  <c r="U6743" i="1"/>
  <c r="U6682" i="1"/>
  <c r="U6728" i="1"/>
  <c r="U6569" i="1"/>
  <c r="U6470" i="1"/>
  <c r="V6470" i="1" s="1"/>
  <c r="U6424" i="1"/>
  <c r="U6422" i="1"/>
  <c r="U6415" i="1"/>
  <c r="U6406" i="1"/>
  <c r="U6397" i="1"/>
  <c r="U5900" i="1"/>
  <c r="U5882" i="1"/>
  <c r="U5849" i="1"/>
  <c r="U5817" i="1"/>
  <c r="U5782" i="1"/>
  <c r="U5613" i="1"/>
  <c r="U5600" i="1"/>
  <c r="U5569" i="1"/>
  <c r="U5522" i="1"/>
  <c r="U5467" i="1"/>
  <c r="U5091" i="1"/>
  <c r="U5064" i="1"/>
  <c r="U5051" i="1"/>
  <c r="U5035" i="1"/>
  <c r="U5027" i="1"/>
  <c r="U4795" i="1"/>
  <c r="U4772" i="1"/>
  <c r="U4664" i="1"/>
  <c r="U4645" i="1"/>
  <c r="U4608" i="1"/>
  <c r="U4551" i="1"/>
  <c r="U4428" i="1"/>
  <c r="U4424" i="1"/>
  <c r="U4257" i="1"/>
  <c r="U4225" i="1"/>
  <c r="U4114" i="1"/>
  <c r="U3939" i="1"/>
  <c r="U3933" i="1"/>
  <c r="U3906" i="1"/>
  <c r="U3743" i="1"/>
  <c r="U3644" i="1"/>
  <c r="U3489" i="1"/>
  <c r="U3482" i="1"/>
  <c r="V3482" i="1" s="1"/>
  <c r="U3481" i="1"/>
  <c r="U3442" i="1"/>
  <c r="U3420" i="1"/>
  <c r="U3371" i="1"/>
  <c r="U3370" i="1"/>
  <c r="U3360" i="1"/>
  <c r="U3351" i="1"/>
  <c r="U3325" i="1"/>
  <c r="U3306" i="1"/>
  <c r="U3119" i="1"/>
  <c r="U3002" i="1"/>
  <c r="U2941" i="1"/>
  <c r="U2928" i="1"/>
  <c r="U2854" i="1"/>
  <c r="U2752" i="1"/>
  <c r="U2749" i="1"/>
  <c r="U2707" i="1"/>
  <c r="U2592" i="1"/>
  <c r="U2575" i="1"/>
  <c r="U2444" i="1"/>
  <c r="U2418" i="1"/>
  <c r="U2385" i="1"/>
  <c r="U2356" i="1"/>
  <c r="U2319" i="1"/>
  <c r="U2177" i="1"/>
  <c r="U2139" i="1"/>
  <c r="U2131" i="1"/>
  <c r="U2119" i="1"/>
  <c r="U2118" i="1"/>
  <c r="U1871" i="1"/>
  <c r="U1870" i="1"/>
  <c r="U1824" i="1"/>
  <c r="U1788" i="1"/>
  <c r="U1666" i="1"/>
  <c r="U1568" i="1"/>
  <c r="U1356" i="1"/>
  <c r="U1333" i="1"/>
  <c r="U1248" i="1"/>
  <c r="U1232" i="1"/>
  <c r="U1152" i="1"/>
  <c r="U714" i="1"/>
  <c r="U665" i="1"/>
  <c r="U644" i="1"/>
  <c r="U607" i="1"/>
  <c r="U472" i="1"/>
  <c r="U271" i="1"/>
  <c r="U218" i="1"/>
  <c r="U208" i="1"/>
  <c r="U197" i="1"/>
  <c r="U86" i="1"/>
  <c r="U6751" i="1"/>
  <c r="U6737" i="1"/>
  <c r="U6706" i="1"/>
  <c r="U6363" i="1"/>
  <c r="U6359" i="1"/>
  <c r="U6279" i="1"/>
  <c r="V6279" i="1" s="1"/>
  <c r="U6169" i="1"/>
  <c r="U6096" i="1"/>
  <c r="U6049" i="1"/>
  <c r="U6001" i="1"/>
  <c r="U5794" i="1"/>
  <c r="U5713" i="1"/>
  <c r="U5633" i="1"/>
  <c r="U5618" i="1"/>
  <c r="U5570" i="1"/>
  <c r="U5384" i="1"/>
  <c r="U5343" i="1"/>
  <c r="U5263" i="1"/>
  <c r="U5239" i="1"/>
  <c r="U5188" i="1"/>
  <c r="U5139" i="1"/>
  <c r="U5041" i="1"/>
  <c r="U4950" i="1"/>
  <c r="U4934" i="1"/>
  <c r="U4838" i="1"/>
  <c r="U4823" i="1"/>
  <c r="U4766" i="1"/>
  <c r="U4587" i="1"/>
  <c r="U4567" i="1"/>
  <c r="U4560" i="1"/>
  <c r="V4560" i="1" s="1"/>
  <c r="U4409" i="1"/>
  <c r="U4137" i="1"/>
  <c r="U3944" i="1"/>
  <c r="U3852" i="1"/>
  <c r="U3812" i="1"/>
  <c r="U3705" i="1"/>
  <c r="U3640" i="1"/>
  <c r="U3518" i="1"/>
  <c r="U3497" i="1"/>
  <c r="U3478" i="1"/>
  <c r="U3409" i="1"/>
  <c r="U3403" i="1"/>
  <c r="U3033" i="1"/>
  <c r="U2922" i="1"/>
  <c r="U2837" i="1"/>
  <c r="U2797" i="1"/>
  <c r="V2797" i="1" s="1"/>
  <c r="U2784" i="1"/>
  <c r="U2638" i="1"/>
  <c r="U2392" i="1"/>
  <c r="U2334" i="1"/>
  <c r="U2307" i="1"/>
  <c r="U2306" i="1"/>
  <c r="U2201" i="1"/>
  <c r="U2007" i="1"/>
  <c r="U1985" i="1"/>
  <c r="U1929" i="1"/>
  <c r="U1872" i="1"/>
  <c r="U1858" i="1"/>
  <c r="U1639" i="1"/>
  <c r="U1624" i="1"/>
  <c r="U1549" i="1"/>
  <c r="U1520" i="1"/>
  <c r="U1295" i="1"/>
  <c r="U1084" i="1"/>
  <c r="U1073" i="1"/>
  <c r="U910" i="1"/>
  <c r="U781" i="1"/>
  <c r="U761" i="1"/>
  <c r="U522" i="1"/>
  <c r="U490" i="1"/>
  <c r="U441" i="1"/>
  <c r="U310" i="1"/>
  <c r="U267" i="1"/>
  <c r="U6687" i="1"/>
  <c r="U6646" i="1"/>
  <c r="U6732" i="1"/>
  <c r="U6650" i="1"/>
  <c r="U6608" i="1"/>
  <c r="U6462" i="1"/>
  <c r="U6430" i="1"/>
  <c r="U6428" i="1"/>
  <c r="U6306" i="1"/>
  <c r="U6252" i="1"/>
  <c r="U6179" i="1"/>
  <c r="U6143" i="1"/>
  <c r="U6098" i="1"/>
  <c r="U6077" i="1"/>
  <c r="U6060" i="1"/>
  <c r="U6054" i="1"/>
  <c r="U5948" i="1"/>
  <c r="U5940" i="1"/>
  <c r="U5902" i="1"/>
  <c r="U5895" i="1"/>
  <c r="U5894" i="1"/>
  <c r="U5738" i="1"/>
  <c r="U5716" i="1"/>
  <c r="U5662" i="1"/>
  <c r="U5608" i="1"/>
  <c r="U5583" i="1"/>
  <c r="U5490" i="1"/>
  <c r="U5469" i="1"/>
  <c r="U5364" i="1"/>
  <c r="U5362" i="1"/>
  <c r="U5320" i="1"/>
  <c r="U5301" i="1"/>
  <c r="U5270" i="1"/>
  <c r="U5171" i="1"/>
  <c r="U5096" i="1"/>
  <c r="U5034" i="1"/>
  <c r="U4883" i="1"/>
  <c r="U4863" i="1"/>
  <c r="U4847" i="1"/>
  <c r="U4833" i="1"/>
  <c r="U4802" i="1"/>
  <c r="U4662" i="1"/>
  <c r="U4651" i="1"/>
  <c r="U4598" i="1"/>
  <c r="U4543" i="1"/>
  <c r="U4534" i="1"/>
  <c r="U4394" i="1"/>
  <c r="U4352" i="1"/>
  <c r="U4340" i="1"/>
  <c r="U4322" i="1"/>
  <c r="U4223" i="1"/>
  <c r="U3982" i="1"/>
  <c r="U3950" i="1"/>
  <c r="U3926" i="1"/>
  <c r="U3898" i="1"/>
  <c r="U3872" i="1"/>
  <c r="U3799" i="1"/>
  <c r="U3789" i="1"/>
  <c r="U3762" i="1"/>
  <c r="U3754" i="1"/>
  <c r="U3695" i="1"/>
  <c r="U3600" i="1"/>
  <c r="U3594" i="1"/>
  <c r="U3549" i="1"/>
  <c r="U3545" i="1"/>
  <c r="U3503" i="1"/>
  <c r="U3495" i="1"/>
  <c r="U3426" i="1"/>
  <c r="U3354" i="1"/>
  <c r="U3302" i="1"/>
  <c r="U3294" i="1"/>
  <c r="U3292" i="1"/>
  <c r="U3201" i="1"/>
  <c r="U3077" i="1"/>
  <c r="U2983" i="1"/>
  <c r="U2965" i="1"/>
  <c r="U2953" i="1"/>
  <c r="U2846" i="1"/>
  <c r="U2799" i="1"/>
  <c r="U2764" i="1"/>
  <c r="U2753" i="1"/>
  <c r="U2711" i="1"/>
  <c r="U2556" i="1"/>
  <c r="U2466" i="1"/>
  <c r="U2427" i="1"/>
  <c r="U2405" i="1"/>
  <c r="U2324" i="1"/>
  <c r="U2136" i="1"/>
  <c r="U2108" i="1"/>
  <c r="U2099" i="1"/>
  <c r="U2089" i="1"/>
  <c r="U2006" i="1"/>
  <c r="U1875" i="1"/>
  <c r="V1875" i="1" s="1"/>
  <c r="U1847" i="1"/>
  <c r="U1752" i="1"/>
  <c r="U1677" i="1"/>
  <c r="U1616" i="1"/>
  <c r="U1599" i="1"/>
  <c r="U1515" i="1"/>
  <c r="U1511" i="1"/>
  <c r="U1505" i="1"/>
  <c r="U1461" i="1"/>
  <c r="U1445" i="1"/>
  <c r="U1389" i="1"/>
  <c r="U1364" i="1"/>
  <c r="U1317" i="1"/>
  <c r="U1272" i="1"/>
  <c r="U1270" i="1"/>
  <c r="U1159" i="1"/>
  <c r="U1154" i="1"/>
  <c r="U1129" i="1"/>
  <c r="V1129" i="1" s="1"/>
  <c r="U1085" i="1"/>
  <c r="U1045" i="1"/>
  <c r="U952" i="1"/>
  <c r="V952" i="1" s="1"/>
  <c r="U935" i="1"/>
  <c r="U925" i="1"/>
  <c r="U914" i="1"/>
  <c r="U896" i="1"/>
  <c r="U857" i="1"/>
  <c r="U803" i="1"/>
  <c r="U777" i="1"/>
  <c r="U724" i="1"/>
  <c r="U718" i="1"/>
  <c r="U611" i="1"/>
  <c r="U590" i="1"/>
  <c r="U482" i="1"/>
  <c r="U375" i="1"/>
  <c r="U364" i="1"/>
  <c r="U173" i="1"/>
  <c r="U159" i="1"/>
  <c r="U129" i="1"/>
  <c r="U105" i="1"/>
  <c r="U84" i="1"/>
  <c r="U6685" i="1"/>
  <c r="U6597" i="1"/>
  <c r="U6580" i="1"/>
  <c r="U6547" i="1"/>
  <c r="U6480" i="1"/>
  <c r="U6296" i="1"/>
  <c r="U6223" i="1"/>
  <c r="U6218" i="1"/>
  <c r="U6209" i="1"/>
  <c r="U6196" i="1"/>
  <c r="U5867" i="1"/>
  <c r="U5804" i="1"/>
  <c r="U5642" i="1"/>
  <c r="U5610" i="1"/>
  <c r="U5593" i="1"/>
  <c r="U5378" i="1"/>
  <c r="U5319" i="1"/>
  <c r="U5287" i="1"/>
  <c r="U5191" i="1"/>
  <c r="U5125" i="1"/>
  <c r="U4966" i="1"/>
  <c r="U4953" i="1"/>
  <c r="U4929" i="1"/>
  <c r="U4848" i="1"/>
  <c r="U4793" i="1"/>
  <c r="U4792" i="1"/>
  <c r="U4561" i="1"/>
  <c r="U4521" i="1"/>
  <c r="U4510" i="1"/>
  <c r="U4387" i="1"/>
  <c r="U4358" i="1"/>
  <c r="U4128" i="1"/>
  <c r="U4125" i="1"/>
  <c r="U4087" i="1"/>
  <c r="U4070" i="1"/>
  <c r="U3952" i="1"/>
  <c r="U3707" i="1"/>
  <c r="V3707" i="1" s="1"/>
  <c r="U3702" i="1"/>
  <c r="U3690" i="1"/>
  <c r="U3617" i="1"/>
  <c r="U3516" i="1"/>
  <c r="U3404" i="1"/>
  <c r="U3382" i="1"/>
  <c r="U3369" i="1"/>
  <c r="U3335" i="1"/>
  <c r="U3254" i="1"/>
  <c r="U2959" i="1"/>
  <c r="U2916" i="1"/>
  <c r="U2828" i="1"/>
  <c r="U2812" i="1"/>
  <c r="U2728" i="1"/>
  <c r="U2343" i="1"/>
  <c r="U2288" i="1"/>
  <c r="V2288" i="1" s="1"/>
  <c r="U2233" i="1"/>
  <c r="U2226" i="1"/>
  <c r="U2216" i="1"/>
  <c r="U1762" i="1"/>
  <c r="U1727" i="1"/>
  <c r="U1713" i="1"/>
  <c r="U1660" i="1"/>
  <c r="U1621" i="1"/>
  <c r="V1621" i="1" s="1"/>
  <c r="U1444" i="1"/>
  <c r="U1432" i="1"/>
  <c r="U1417" i="1"/>
  <c r="U1415" i="1"/>
  <c r="U1329" i="1"/>
  <c r="U1250" i="1"/>
  <c r="U1100" i="1"/>
  <c r="U1078" i="1"/>
  <c r="V1078" i="1" s="1"/>
  <c r="U922" i="1"/>
  <c r="U842" i="1"/>
  <c r="U438" i="1"/>
  <c r="U297" i="1"/>
  <c r="U288" i="1"/>
  <c r="U227" i="1"/>
  <c r="U215" i="1"/>
  <c r="U3" i="1"/>
  <c r="V3" i="1" s="1"/>
  <c r="U2" i="1"/>
  <c r="U6561" i="1"/>
  <c r="U6184" i="1"/>
  <c r="U6063" i="1"/>
  <c r="U5787" i="1"/>
  <c r="U5739" i="1"/>
  <c r="U5714" i="1"/>
  <c r="U5709" i="1"/>
  <c r="U5703" i="1"/>
  <c r="U5615" i="1"/>
  <c r="U5595" i="1"/>
  <c r="U5585" i="1"/>
  <c r="U5548" i="1"/>
  <c r="U5508" i="1"/>
  <c r="U5438" i="1"/>
  <c r="U5194" i="1"/>
  <c r="U5106" i="1"/>
  <c r="U5052" i="1"/>
  <c r="U4794" i="1"/>
  <c r="U4790" i="1"/>
  <c r="U4721" i="1"/>
  <c r="U4708" i="1"/>
  <c r="U4685" i="1"/>
  <c r="U4541" i="1"/>
  <c r="U4505" i="1"/>
  <c r="U4242" i="1"/>
  <c r="U4108" i="1"/>
  <c r="U4072" i="1"/>
  <c r="U4002" i="1"/>
  <c r="U3794" i="1"/>
  <c r="U3524" i="1"/>
  <c r="U3464" i="1"/>
  <c r="U3459" i="1"/>
  <c r="U3419" i="1"/>
  <c r="U3418" i="1"/>
  <c r="U3139" i="1"/>
  <c r="U2873" i="1"/>
  <c r="U2816" i="1"/>
  <c r="U2719" i="1"/>
  <c r="U2703" i="1"/>
  <c r="U2485" i="1"/>
  <c r="U2312" i="1"/>
  <c r="U2195" i="1"/>
  <c r="U2152" i="1"/>
  <c r="U2140" i="1"/>
  <c r="V2140" i="1" s="1"/>
  <c r="U1952" i="1"/>
  <c r="U1627" i="1"/>
  <c r="U1585" i="1"/>
  <c r="U1552" i="1"/>
  <c r="U1513" i="1"/>
  <c r="U1504" i="1"/>
  <c r="U1049" i="1"/>
  <c r="U997" i="1"/>
  <c r="V997" i="1" s="1"/>
  <c r="U794" i="1"/>
  <c r="U613" i="1"/>
  <c r="U555" i="1"/>
  <c r="U343" i="1"/>
  <c r="U237" i="1"/>
  <c r="U168" i="1"/>
  <c r="U26" i="1"/>
  <c r="U6695" i="1"/>
  <c r="U6637" i="1"/>
  <c r="U6719" i="1"/>
  <c r="U6542" i="1"/>
  <c r="U6537" i="1"/>
  <c r="V6537" i="1" s="1"/>
  <c r="U6506" i="1"/>
  <c r="U6346" i="1"/>
  <c r="U6334" i="1"/>
  <c r="U6290" i="1"/>
  <c r="V6290" i="1" s="1"/>
  <c r="U6211" i="1"/>
  <c r="U6134" i="1"/>
  <c r="U5927" i="1"/>
  <c r="U5926" i="1"/>
  <c r="U5912" i="1"/>
  <c r="U5873" i="1"/>
  <c r="U5834" i="1"/>
  <c r="U5692" i="1"/>
  <c r="U5620" i="1"/>
  <c r="U5559" i="1"/>
  <c r="U5552" i="1"/>
  <c r="U5546" i="1"/>
  <c r="V5546" i="1" s="1"/>
  <c r="U5471" i="1"/>
  <c r="U5385" i="1"/>
  <c r="U5371" i="1"/>
  <c r="U5360" i="1"/>
  <c r="V5360" i="1" s="1"/>
  <c r="U5299" i="1"/>
  <c r="U5029" i="1"/>
  <c r="U5024" i="1"/>
  <c r="U5023" i="1"/>
  <c r="U5009" i="1"/>
  <c r="U5000" i="1"/>
  <c r="U4841" i="1"/>
  <c r="U4805" i="1"/>
  <c r="V4805" i="1" s="1"/>
  <c r="U4700" i="1"/>
  <c r="U4672" i="1"/>
  <c r="U4602" i="1"/>
  <c r="U4573" i="1"/>
  <c r="V4573" i="1" s="1"/>
  <c r="U4472" i="1"/>
  <c r="U4432" i="1"/>
  <c r="U4429" i="1"/>
  <c r="U4403" i="1"/>
  <c r="U4189" i="1"/>
  <c r="U4179" i="1"/>
  <c r="U4166" i="1"/>
  <c r="U4162" i="1"/>
  <c r="V4162" i="1" s="1"/>
  <c r="U4139" i="1"/>
  <c r="U3838" i="1"/>
  <c r="U3814" i="1"/>
  <c r="U3811" i="1"/>
  <c r="V3811" i="1" s="1"/>
  <c r="U3770" i="1"/>
  <c r="U3749" i="1"/>
  <c r="U3664" i="1"/>
  <c r="U3648" i="1"/>
  <c r="U3619" i="1"/>
  <c r="U3557" i="1"/>
  <c r="U3479" i="1"/>
  <c r="U3451" i="1"/>
  <c r="U3410" i="1"/>
  <c r="U3297" i="1"/>
  <c r="U3261" i="1"/>
  <c r="U3239" i="1"/>
  <c r="U3185" i="1"/>
  <c r="U3168" i="1"/>
  <c r="U3092" i="1"/>
  <c r="U3032" i="1"/>
  <c r="U3022" i="1"/>
  <c r="U2998" i="1"/>
  <c r="U2964" i="1"/>
  <c r="U2770" i="1"/>
  <c r="U2714" i="1"/>
  <c r="U2681" i="1"/>
  <c r="U2669" i="1"/>
  <c r="U2590" i="1"/>
  <c r="U2419" i="1"/>
  <c r="U2397" i="1"/>
  <c r="U2358" i="1"/>
  <c r="U2341" i="1"/>
  <c r="U2329" i="1"/>
  <c r="U2134" i="1"/>
  <c r="U2005" i="1"/>
  <c r="U2003" i="1"/>
  <c r="U2001" i="1"/>
  <c r="U1993" i="1"/>
  <c r="U1947" i="1"/>
  <c r="U1917" i="1"/>
  <c r="U1908" i="1"/>
  <c r="U1905" i="1"/>
  <c r="U1898" i="1"/>
  <c r="U1765" i="1"/>
  <c r="U1750" i="1"/>
  <c r="U1636" i="1"/>
  <c r="U1615" i="1"/>
  <c r="U1601" i="1"/>
  <c r="U1467" i="1"/>
  <c r="U1465" i="1"/>
  <c r="U1464" i="1"/>
  <c r="U1381" i="1"/>
  <c r="U1338" i="1"/>
  <c r="U1287" i="1"/>
  <c r="U1206" i="1"/>
  <c r="U1200" i="1"/>
  <c r="U1163" i="1"/>
  <c r="U1120" i="1"/>
  <c r="U1102" i="1"/>
  <c r="U900" i="1"/>
  <c r="U827" i="1"/>
  <c r="U763" i="1"/>
  <c r="U732" i="1"/>
  <c r="U701" i="1"/>
  <c r="U693" i="1"/>
  <c r="U600" i="1"/>
  <c r="V600" i="1" s="1"/>
  <c r="U560" i="1"/>
  <c r="U541" i="1"/>
  <c r="U528" i="1"/>
  <c r="U508" i="1"/>
  <c r="U359" i="1"/>
  <c r="U331" i="1"/>
  <c r="U177" i="1"/>
  <c r="U122" i="1"/>
  <c r="U104" i="1"/>
  <c r="U12" i="1"/>
  <c r="U6" i="1"/>
  <c r="U6621" i="1"/>
  <c r="U6613" i="1"/>
  <c r="U6701" i="1"/>
  <c r="U6564" i="1"/>
  <c r="U6532" i="1"/>
  <c r="V6532" i="1" s="1"/>
  <c r="U6517" i="1"/>
  <c r="U6469" i="1"/>
  <c r="U6318" i="1"/>
  <c r="U6158" i="1"/>
  <c r="U6071" i="1"/>
  <c r="U6023" i="1"/>
  <c r="U5987" i="1"/>
  <c r="U5941" i="1"/>
  <c r="V5941" i="1" s="1"/>
  <c r="U5762" i="1"/>
  <c r="U5631" i="1"/>
  <c r="U5609" i="1"/>
  <c r="U5503" i="1"/>
  <c r="U5488" i="1"/>
  <c r="U5348" i="1"/>
  <c r="U5275" i="1"/>
  <c r="U5213" i="1"/>
  <c r="U5177" i="1"/>
  <c r="U5089" i="1"/>
  <c r="U5082" i="1"/>
  <c r="U4902" i="1"/>
  <c r="U4839" i="1"/>
  <c r="V4839" i="1" s="1"/>
  <c r="U4806" i="1"/>
  <c r="U4644" i="1"/>
  <c r="U4630" i="1"/>
  <c r="U4468" i="1"/>
  <c r="U4290" i="1"/>
  <c r="U4281" i="1"/>
  <c r="U4256" i="1"/>
  <c r="U4240" i="1"/>
  <c r="U4140" i="1"/>
  <c r="U3894" i="1"/>
  <c r="U3862" i="1"/>
  <c r="U3816" i="1"/>
  <c r="U3738" i="1"/>
  <c r="U3735" i="1"/>
  <c r="U3706" i="1"/>
  <c r="U3657" i="1"/>
  <c r="U3559" i="1"/>
  <c r="U3527" i="1"/>
  <c r="U3390" i="1"/>
  <c r="U3358" i="1"/>
  <c r="U3162" i="1"/>
  <c r="U3155" i="1"/>
  <c r="U3108" i="1"/>
  <c r="U3057" i="1"/>
  <c r="U2849" i="1"/>
  <c r="U2431" i="1"/>
  <c r="U2408" i="1"/>
  <c r="U2400" i="1"/>
  <c r="U2374" i="1"/>
  <c r="U2369" i="1"/>
  <c r="U2111" i="1"/>
  <c r="U2081" i="1"/>
  <c r="U2060" i="1"/>
  <c r="U2043" i="1"/>
  <c r="U1992" i="1"/>
  <c r="U1642" i="1"/>
  <c r="U1633" i="1"/>
  <c r="U1594" i="1"/>
  <c r="U1497" i="1"/>
  <c r="U1485" i="1"/>
  <c r="U1403" i="1"/>
  <c r="U1369" i="1"/>
  <c r="U1065" i="1"/>
  <c r="U1044" i="1"/>
  <c r="U917" i="1"/>
  <c r="U594" i="1"/>
  <c r="U532" i="1"/>
  <c r="U503" i="1"/>
  <c r="U478" i="1"/>
  <c r="U424" i="1"/>
  <c r="U4" i="1"/>
  <c r="U6409" i="1"/>
  <c r="U6297" i="1"/>
  <c r="U6150" i="1"/>
  <c r="U6057" i="1"/>
  <c r="U5749" i="1"/>
  <c r="U5723" i="1"/>
  <c r="V5723" i="1" s="1"/>
  <c r="U5710" i="1"/>
  <c r="U5684" i="1"/>
  <c r="U5665" i="1"/>
  <c r="U5661" i="1"/>
  <c r="U5352" i="1"/>
  <c r="U5332" i="1"/>
  <c r="U5211" i="1"/>
  <c r="U5179" i="1"/>
  <c r="U5001" i="1"/>
  <c r="U4695" i="1"/>
  <c r="U4435" i="1"/>
  <c r="U4385" i="1"/>
  <c r="U4270" i="1"/>
  <c r="U4247" i="1"/>
  <c r="U4094" i="1"/>
  <c r="U3741" i="1"/>
  <c r="U3671" i="1"/>
  <c r="U3647" i="1"/>
  <c r="U3428" i="1"/>
  <c r="U3408" i="1"/>
  <c r="U3072" i="1"/>
  <c r="U2871" i="1"/>
  <c r="U2866" i="1"/>
  <c r="U2827" i="1"/>
  <c r="U2815" i="1"/>
  <c r="U2651" i="1"/>
  <c r="U2619" i="1"/>
  <c r="U2515" i="1"/>
  <c r="U2509" i="1"/>
  <c r="U2504" i="1"/>
  <c r="U2380" i="1"/>
  <c r="U2209" i="1"/>
  <c r="U2184" i="1"/>
  <c r="U2114" i="1"/>
  <c r="U1957" i="1"/>
  <c r="U1941" i="1"/>
  <c r="U1896" i="1"/>
  <c r="U1567" i="1"/>
  <c r="U1517" i="1"/>
  <c r="U1480" i="1"/>
  <c r="U1267" i="1"/>
  <c r="U1075" i="1"/>
  <c r="V1075" i="1" s="1"/>
  <c r="U988" i="1"/>
  <c r="U931" i="1"/>
  <c r="U909" i="1"/>
  <c r="U881" i="1"/>
  <c r="U865" i="1"/>
  <c r="U782" i="1"/>
  <c r="U642" i="1"/>
  <c r="U462" i="1"/>
  <c r="U451" i="1"/>
  <c r="U250" i="1"/>
  <c r="U201" i="1"/>
  <c r="U186" i="1"/>
  <c r="U178" i="1"/>
  <c r="U24" i="1"/>
  <c r="U6748" i="1"/>
  <c r="U6611" i="1"/>
  <c r="U6723" i="1"/>
  <c r="U6759" i="1"/>
  <c r="U6690" i="1"/>
  <c r="U6752" i="1"/>
  <c r="U6497" i="1"/>
  <c r="U6496" i="1"/>
  <c r="U6463" i="1"/>
  <c r="U6446" i="1"/>
  <c r="U6442" i="1"/>
  <c r="U6266" i="1"/>
  <c r="U6257" i="1"/>
  <c r="U6238" i="1"/>
  <c r="U6235" i="1"/>
  <c r="U6216" i="1"/>
  <c r="U6208" i="1"/>
  <c r="U6062" i="1"/>
  <c r="U5976" i="1"/>
  <c r="U5970" i="1"/>
  <c r="U5903" i="1"/>
  <c r="U5884" i="1"/>
  <c r="U5879" i="1"/>
  <c r="U5836" i="1"/>
  <c r="U5812" i="1"/>
  <c r="U5789" i="1"/>
  <c r="U5784" i="1"/>
  <c r="U5754" i="1"/>
  <c r="U5687" i="1"/>
  <c r="U5486" i="1"/>
  <c r="U5368" i="1"/>
  <c r="U5363" i="1"/>
  <c r="U5338" i="1"/>
  <c r="U5314" i="1"/>
  <c r="U5293" i="1"/>
  <c r="U5153" i="1"/>
  <c r="V5153" i="1" s="1"/>
  <c r="U5143" i="1"/>
  <c r="U5142" i="1"/>
  <c r="U5129" i="1"/>
  <c r="U5126" i="1"/>
  <c r="U5122" i="1"/>
  <c r="U5030" i="1"/>
  <c r="U4991" i="1"/>
  <c r="U4981" i="1"/>
  <c r="U4964" i="1"/>
  <c r="U4903" i="1"/>
  <c r="U4900" i="1"/>
  <c r="U4775" i="1"/>
  <c r="U4595" i="1"/>
  <c r="U4450" i="1"/>
  <c r="U4390" i="1"/>
  <c r="U4343" i="1"/>
  <c r="U4293" i="1"/>
  <c r="U4205" i="1"/>
  <c r="U4199" i="1"/>
  <c r="U4161" i="1"/>
  <c r="U4106" i="1"/>
  <c r="U4073" i="1"/>
  <c r="U4048" i="1"/>
  <c r="U3910" i="1"/>
  <c r="U3902" i="1"/>
  <c r="U3896" i="1"/>
  <c r="U3863" i="1"/>
  <c r="U3829" i="1"/>
  <c r="U3792" i="1"/>
  <c r="U3721" i="1"/>
  <c r="U3659" i="1"/>
  <c r="U3607" i="1"/>
  <c r="U3563" i="1"/>
  <c r="U3502" i="1"/>
  <c r="U3477" i="1"/>
  <c r="U3453" i="1"/>
  <c r="U3433" i="1"/>
  <c r="U3407" i="1"/>
  <c r="U3378" i="1"/>
  <c r="U3315" i="1"/>
  <c r="U3312" i="1"/>
  <c r="U3286" i="1"/>
  <c r="U3266" i="1"/>
  <c r="U3253" i="1"/>
  <c r="U3224" i="1"/>
  <c r="U3161" i="1"/>
  <c r="U3063" i="1"/>
  <c r="U2995" i="1"/>
  <c r="U2991" i="1"/>
  <c r="U2917" i="1"/>
  <c r="U2914" i="1"/>
  <c r="U2888" i="1"/>
  <c r="U2886" i="1"/>
  <c r="U2801" i="1"/>
  <c r="U2760" i="1"/>
  <c r="U2755" i="1"/>
  <c r="U2718" i="1"/>
  <c r="U2701" i="1"/>
  <c r="U2687" i="1"/>
  <c r="U2493" i="1"/>
  <c r="U2450" i="1"/>
  <c r="U2388" i="1"/>
  <c r="U2367" i="1"/>
  <c r="U2298" i="1"/>
  <c r="U2224" i="1"/>
  <c r="U2194" i="1"/>
  <c r="U2188" i="1"/>
  <c r="V2188" i="1" s="1"/>
  <c r="U2185" i="1"/>
  <c r="U2143" i="1"/>
  <c r="U2048" i="1"/>
  <c r="U2036" i="1"/>
  <c r="U1712" i="1"/>
  <c r="U1696" i="1"/>
  <c r="U1695" i="1"/>
  <c r="U1657" i="1"/>
  <c r="U1550" i="1"/>
  <c r="U1468" i="1"/>
  <c r="U1375" i="1"/>
  <c r="U1373" i="1"/>
  <c r="U1320" i="1"/>
  <c r="V1320" i="1" s="1"/>
  <c r="U1224" i="1"/>
  <c r="U1221" i="1"/>
  <c r="U1185" i="1"/>
  <c r="U1179" i="1"/>
  <c r="U1174" i="1"/>
  <c r="U1168" i="1"/>
  <c r="U1164" i="1"/>
  <c r="U1134" i="1"/>
  <c r="U1103" i="1"/>
  <c r="U1072" i="1"/>
  <c r="U1026" i="1"/>
  <c r="U1023" i="1"/>
  <c r="U1007" i="1"/>
  <c r="U1005" i="1"/>
  <c r="U994" i="1"/>
  <c r="U978" i="1"/>
  <c r="U957" i="1"/>
  <c r="U938" i="1"/>
  <c r="U904" i="1"/>
  <c r="U899" i="1"/>
  <c r="U845" i="1"/>
  <c r="U835" i="1"/>
  <c r="U660" i="1"/>
  <c r="U566" i="1"/>
  <c r="U384" i="1"/>
  <c r="U337" i="1"/>
  <c r="U336" i="1"/>
  <c r="V336" i="1" s="1"/>
  <c r="U314" i="1"/>
  <c r="U274" i="1"/>
  <c r="U269" i="1"/>
  <c r="U95" i="1"/>
  <c r="U76" i="1"/>
  <c r="U75" i="1"/>
  <c r="U8" i="1"/>
  <c r="U6717" i="1"/>
  <c r="U6707" i="1"/>
  <c r="U6451" i="1"/>
  <c r="U6419" i="1"/>
  <c r="U6395" i="1"/>
  <c r="U6367" i="1"/>
  <c r="V6367" i="1" s="1"/>
  <c r="U6273" i="1"/>
  <c r="U6201" i="1"/>
  <c r="U6163" i="1"/>
  <c r="U6149" i="1"/>
  <c r="U6130" i="1"/>
  <c r="U6119" i="1"/>
  <c r="U6047" i="1"/>
  <c r="U5981" i="1"/>
  <c r="U5881" i="1"/>
  <c r="U5857" i="1"/>
  <c r="U5841" i="1"/>
  <c r="U5837" i="1"/>
  <c r="U5756" i="1"/>
  <c r="U5730" i="1"/>
  <c r="U5597" i="1"/>
  <c r="U5596" i="1"/>
  <c r="U5543" i="1"/>
  <c r="U5460" i="1"/>
  <c r="U5453" i="1"/>
  <c r="U5420" i="1"/>
  <c r="U5279" i="1"/>
  <c r="U5241" i="1"/>
  <c r="V5241" i="1" s="1"/>
  <c r="U5236" i="1"/>
  <c r="U5224" i="1"/>
  <c r="U5207" i="1"/>
  <c r="U5202" i="1"/>
  <c r="U5113" i="1"/>
  <c r="U5079" i="1"/>
  <c r="U5066" i="1"/>
  <c r="U5057" i="1"/>
  <c r="U5045" i="1"/>
  <c r="U5019" i="1"/>
  <c r="U4899" i="1"/>
  <c r="U4789" i="1"/>
  <c r="U4732" i="1"/>
  <c r="U4643" i="1"/>
  <c r="U4509" i="1"/>
  <c r="U4492" i="1"/>
  <c r="U4445" i="1"/>
  <c r="U4366" i="1"/>
  <c r="U4246" i="1"/>
  <c r="U4207" i="1"/>
  <c r="U4169" i="1"/>
  <c r="U4164" i="1"/>
  <c r="U4159" i="1"/>
  <c r="U4042" i="1"/>
  <c r="U3955" i="1"/>
  <c r="U3946" i="1"/>
  <c r="U3945" i="1"/>
  <c r="U3937" i="1"/>
  <c r="U3912" i="1"/>
  <c r="U3871" i="1"/>
  <c r="U3860" i="1"/>
  <c r="U3744" i="1"/>
  <c r="U3660" i="1"/>
  <c r="U3568" i="1"/>
  <c r="U3521" i="1"/>
  <c r="U3432" i="1"/>
  <c r="U3357" i="1"/>
  <c r="U3178" i="1"/>
  <c r="U3175" i="1"/>
  <c r="U3137" i="1"/>
  <c r="U3118" i="1"/>
  <c r="U3064" i="1"/>
  <c r="U2925" i="1"/>
  <c r="U2919" i="1"/>
  <c r="U2808" i="1"/>
  <c r="U2790" i="1"/>
  <c r="U2727" i="1"/>
  <c r="U2643" i="1"/>
  <c r="U2580" i="1"/>
  <c r="U2578" i="1"/>
  <c r="U2536" i="1"/>
  <c r="U2490" i="1"/>
  <c r="U2303" i="1"/>
  <c r="U2273" i="1"/>
  <c r="U2181" i="1"/>
  <c r="U2096" i="1"/>
  <c r="U2073" i="1"/>
  <c r="U2018" i="1"/>
  <c r="U2009" i="1"/>
  <c r="U1651" i="1"/>
  <c r="U1547" i="1"/>
  <c r="U1527" i="1"/>
  <c r="U1408" i="1"/>
  <c r="U1387" i="1"/>
  <c r="U1349" i="1"/>
  <c r="U967" i="1"/>
  <c r="U923" i="1"/>
  <c r="U877" i="1"/>
  <c r="U780" i="1"/>
  <c r="U750" i="1"/>
  <c r="U702" i="1"/>
  <c r="U418" i="1"/>
  <c r="U322" i="1"/>
  <c r="U152" i="1"/>
  <c r="U89" i="1"/>
  <c r="U62" i="1"/>
  <c r="U53" i="1"/>
  <c r="U6576" i="1"/>
  <c r="U6420" i="1"/>
  <c r="U6416" i="1"/>
  <c r="U6272" i="1"/>
  <c r="U6259" i="1"/>
  <c r="U6170" i="1"/>
  <c r="U5911" i="1"/>
  <c r="U5734" i="1"/>
  <c r="U5674" i="1"/>
  <c r="U5605" i="1"/>
  <c r="U5429" i="1"/>
  <c r="U5298" i="1"/>
  <c r="U5170" i="1"/>
  <c r="U5069" i="1"/>
  <c r="U5006" i="1"/>
  <c r="U4822" i="1"/>
  <c r="U4776" i="1"/>
  <c r="U4768" i="1"/>
  <c r="U4490" i="1"/>
  <c r="U4451" i="1"/>
  <c r="U4286" i="1"/>
  <c r="U4216" i="1"/>
  <c r="U4156" i="1"/>
  <c r="U4045" i="1"/>
  <c r="U3713" i="1"/>
  <c r="U3623" i="1"/>
  <c r="U3588" i="1"/>
  <c r="U3582" i="1"/>
  <c r="U3576" i="1"/>
  <c r="U3436" i="1"/>
  <c r="U3075" i="1"/>
  <c r="U3021" i="1"/>
  <c r="U3003" i="1"/>
  <c r="U2931" i="1"/>
  <c r="U2899" i="1"/>
  <c r="U2782" i="1"/>
  <c r="U2606" i="1"/>
  <c r="U2602" i="1"/>
  <c r="U2551" i="1"/>
  <c r="U2526" i="1"/>
  <c r="U2506" i="1"/>
  <c r="U2483" i="1"/>
  <c r="U2407" i="1"/>
  <c r="U2309" i="1"/>
  <c r="U2258" i="1"/>
  <c r="V2258" i="1" s="1"/>
  <c r="U2095" i="1"/>
  <c r="U1768" i="1"/>
  <c r="U1764" i="1"/>
  <c r="U1749" i="1"/>
  <c r="U1667" i="1"/>
  <c r="U1479" i="1"/>
  <c r="U1441" i="1"/>
  <c r="U1431" i="1"/>
  <c r="U1332" i="1"/>
  <c r="U1263" i="1"/>
  <c r="U1175" i="1"/>
  <c r="U958" i="1"/>
  <c r="U864" i="1"/>
  <c r="U770" i="1"/>
  <c r="U769" i="1"/>
  <c r="U661" i="1"/>
  <c r="U655" i="1"/>
  <c r="U489" i="1"/>
  <c r="U449" i="1"/>
  <c r="U435" i="1"/>
  <c r="U404" i="1"/>
  <c r="U368" i="1"/>
  <c r="U352" i="1"/>
  <c r="U154" i="1"/>
  <c r="U109" i="1"/>
  <c r="U49" i="1"/>
  <c r="U6698" i="1"/>
  <c r="V6698" i="1" s="1"/>
  <c r="U6620" i="1"/>
  <c r="U6730" i="1"/>
  <c r="U6516" i="1"/>
  <c r="U6473" i="1"/>
  <c r="U6468" i="1"/>
  <c r="U6448" i="1"/>
  <c r="U6445" i="1"/>
  <c r="U6376" i="1"/>
  <c r="V6376" i="1" s="1"/>
  <c r="U6193" i="1"/>
  <c r="U6174" i="1"/>
  <c r="U6166" i="1"/>
  <c r="U6125" i="1"/>
  <c r="U6122" i="1"/>
  <c r="U6081" i="1"/>
  <c r="U6015" i="1"/>
  <c r="U5998" i="1"/>
  <c r="U5983" i="1"/>
  <c r="U5949" i="1"/>
  <c r="U5933" i="1"/>
  <c r="U5814" i="1"/>
  <c r="U5741" i="1"/>
  <c r="U5728" i="1"/>
  <c r="U5632" i="1"/>
  <c r="U5603" i="1"/>
  <c r="U5577" i="1"/>
  <c r="U5560" i="1"/>
  <c r="U5450" i="1"/>
  <c r="U5427" i="1"/>
  <c r="U5407" i="1"/>
  <c r="U5382" i="1"/>
  <c r="U5380" i="1"/>
  <c r="U5282" i="1"/>
  <c r="U5183" i="1"/>
  <c r="U5180" i="1"/>
  <c r="U5167" i="1"/>
  <c r="V5167" i="1" s="1"/>
  <c r="U5104" i="1"/>
  <c r="U5077" i="1"/>
  <c r="U5074" i="1"/>
  <c r="U4990" i="1"/>
  <c r="U4988" i="1"/>
  <c r="U4984" i="1"/>
  <c r="U4973" i="1"/>
  <c r="U4972" i="1"/>
  <c r="U4882" i="1"/>
  <c r="U4867" i="1"/>
  <c r="U4858" i="1"/>
  <c r="U4857" i="1"/>
  <c r="U4767" i="1"/>
  <c r="U4676" i="1"/>
  <c r="U4604" i="1"/>
  <c r="U4530" i="1"/>
  <c r="U4480" i="1"/>
  <c r="U4400" i="1"/>
  <c r="U4395" i="1"/>
  <c r="U4356" i="1"/>
  <c r="U4346" i="1"/>
  <c r="U4310" i="1"/>
  <c r="U4226" i="1"/>
  <c r="U4212" i="1"/>
  <c r="U4178" i="1"/>
  <c r="U4163" i="1"/>
  <c r="V4163" i="1" s="1"/>
  <c r="U4158" i="1"/>
  <c r="U4047" i="1"/>
  <c r="U3967" i="1"/>
  <c r="U3949" i="1"/>
  <c r="U3935" i="1"/>
  <c r="U3903" i="1"/>
  <c r="U3892" i="1"/>
  <c r="U3805" i="1"/>
  <c r="U3775" i="1"/>
  <c r="U3745" i="1"/>
  <c r="U3725" i="1"/>
  <c r="U3698" i="1"/>
  <c r="U3684" i="1"/>
  <c r="U3683" i="1"/>
  <c r="U3639" i="1"/>
  <c r="V3639" i="1" s="1"/>
  <c r="U3572" i="1"/>
  <c r="U3542" i="1"/>
  <c r="U3498" i="1"/>
  <c r="U3487" i="1"/>
  <c r="U3460" i="1"/>
  <c r="U3395" i="1"/>
  <c r="U3347" i="1"/>
  <c r="U3345" i="1"/>
  <c r="U3321" i="1"/>
  <c r="U3229" i="1"/>
  <c r="U3190" i="1"/>
  <c r="U3041" i="1"/>
  <c r="U3040" i="1"/>
  <c r="U3005" i="1"/>
  <c r="U2975" i="1"/>
  <c r="U2962" i="1"/>
  <c r="U2948" i="1"/>
  <c r="U2819" i="1"/>
  <c r="U2802" i="1"/>
  <c r="U2800" i="1"/>
  <c r="U2783" i="1"/>
  <c r="U2762" i="1"/>
  <c r="U2720" i="1"/>
  <c r="U2620" i="1"/>
  <c r="U2615" i="1"/>
  <c r="U2612" i="1"/>
  <c r="U2584" i="1"/>
  <c r="U2582" i="1"/>
  <c r="U2552" i="1"/>
  <c r="U2448" i="1"/>
  <c r="U2238" i="1"/>
  <c r="U2182" i="1"/>
  <c r="U2128" i="1"/>
  <c r="U2076" i="1"/>
  <c r="U2024" i="1"/>
  <c r="U1982" i="1"/>
  <c r="U1808" i="1"/>
  <c r="U1744" i="1"/>
  <c r="U1682" i="1"/>
  <c r="U1680" i="1"/>
  <c r="U1625" i="1"/>
  <c r="U1592" i="1"/>
  <c r="U1481" i="1"/>
  <c r="U1382" i="1"/>
  <c r="U1280" i="1"/>
  <c r="U1233" i="1"/>
  <c r="U1215" i="1"/>
  <c r="U1170" i="1"/>
  <c r="U1070" i="1"/>
  <c r="U1016" i="1"/>
  <c r="U977" i="1"/>
  <c r="U960" i="1"/>
  <c r="U867" i="1"/>
  <c r="U863" i="1"/>
  <c r="U767" i="1"/>
  <c r="U764" i="1"/>
  <c r="U762" i="1"/>
  <c r="U759" i="1"/>
  <c r="U749" i="1"/>
  <c r="U638" i="1"/>
  <c r="U596" i="1"/>
  <c r="U515" i="1"/>
  <c r="U416" i="1"/>
  <c r="U415" i="1"/>
  <c r="U400" i="1"/>
  <c r="U397" i="1"/>
  <c r="U130" i="1"/>
  <c r="U118" i="1"/>
  <c r="V118" i="1" s="1"/>
  <c r="U42" i="1"/>
  <c r="U30" i="1"/>
  <c r="U6619" i="1"/>
  <c r="U6739" i="1"/>
  <c r="U6697" i="1"/>
  <c r="U6432" i="1"/>
  <c r="U6423" i="1"/>
  <c r="U6388" i="1"/>
  <c r="U6387" i="1"/>
  <c r="U6385" i="1"/>
  <c r="U6330" i="1"/>
  <c r="U6300" i="1"/>
  <c r="U6263" i="1"/>
  <c r="U6250" i="1"/>
  <c r="U6151" i="1"/>
  <c r="U5971" i="1"/>
  <c r="U5932" i="1"/>
  <c r="U5909" i="1"/>
  <c r="U5759" i="1"/>
  <c r="U5757" i="1"/>
  <c r="U5689" i="1"/>
  <c r="U5581" i="1"/>
  <c r="U5492" i="1"/>
  <c r="U5449" i="1"/>
  <c r="U5373" i="1"/>
  <c r="U5318" i="1"/>
  <c r="U5247" i="1"/>
  <c r="V5247" i="1" s="1"/>
  <c r="U5212" i="1"/>
  <c r="U5178" i="1"/>
  <c r="U5158" i="1"/>
  <c r="U5110" i="1"/>
  <c r="U5084" i="1"/>
  <c r="U5063" i="1"/>
  <c r="U5055" i="1"/>
  <c r="U4938" i="1"/>
  <c r="U4935" i="1"/>
  <c r="U4846" i="1"/>
  <c r="U4791" i="1"/>
  <c r="U4699" i="1"/>
  <c r="U4692" i="1"/>
  <c r="U4508" i="1"/>
  <c r="U4482" i="1"/>
  <c r="U4355" i="1"/>
  <c r="U4348" i="1"/>
  <c r="U4241" i="1"/>
  <c r="U4155" i="1"/>
  <c r="U4078" i="1"/>
  <c r="U4014" i="1"/>
  <c r="V4014" i="1" s="1"/>
  <c r="U3897" i="1"/>
  <c r="U3887" i="1"/>
  <c r="U3815" i="1"/>
  <c r="U3748" i="1"/>
  <c r="U3692" i="1"/>
  <c r="U3691" i="1"/>
  <c r="U3593" i="1"/>
  <c r="U3411" i="1"/>
  <c r="V3411" i="1" s="1"/>
  <c r="U3375" i="1"/>
  <c r="U3344" i="1"/>
  <c r="U3280" i="1"/>
  <c r="U3225" i="1"/>
  <c r="U3100" i="1"/>
  <c r="U3036" i="1"/>
  <c r="U3026" i="1"/>
  <c r="U2994" i="1"/>
  <c r="U2960" i="1"/>
  <c r="U2938" i="1"/>
  <c r="U2804" i="1"/>
  <c r="U2663" i="1"/>
  <c r="U2635" i="1"/>
  <c r="U2591" i="1"/>
  <c r="U2451" i="1"/>
  <c r="U2437" i="1"/>
  <c r="U2381" i="1"/>
  <c r="U2346" i="1"/>
  <c r="U2331" i="1"/>
  <c r="U2280" i="1"/>
  <c r="U2208" i="1"/>
  <c r="U2186" i="1"/>
  <c r="U2167" i="1"/>
  <c r="U1897" i="1"/>
  <c r="U1849" i="1"/>
  <c r="U1825" i="1"/>
  <c r="U1689" i="1"/>
  <c r="V1689" i="1" s="1"/>
  <c r="U1659" i="1"/>
  <c r="U1644" i="1"/>
  <c r="U1214" i="1"/>
  <c r="U1123" i="1"/>
  <c r="U1108" i="1"/>
  <c r="U1079" i="1"/>
  <c r="U1059" i="1"/>
  <c r="U996" i="1"/>
  <c r="U733" i="1"/>
  <c r="U675" i="1"/>
  <c r="U633" i="1"/>
  <c r="U563" i="1"/>
  <c r="U527" i="1"/>
  <c r="U443" i="1"/>
  <c r="U329" i="1"/>
  <c r="U211" i="1"/>
  <c r="U195" i="1"/>
  <c r="U151" i="1"/>
  <c r="U148" i="1"/>
  <c r="U96" i="1"/>
  <c r="U13" i="1"/>
  <c r="U6562" i="1"/>
  <c r="U6545" i="1"/>
  <c r="U6372" i="1"/>
  <c r="U6261" i="1"/>
  <c r="U6253" i="1"/>
  <c r="U6222" i="1"/>
  <c r="U6123" i="1"/>
  <c r="U6059" i="1"/>
  <c r="U6029" i="1"/>
  <c r="U5984" i="1"/>
  <c r="U5918" i="1"/>
  <c r="U5856" i="1"/>
  <c r="U5854" i="1"/>
  <c r="U5767" i="1"/>
  <c r="U5479" i="1"/>
  <c r="U5306" i="1"/>
  <c r="U5267" i="1"/>
  <c r="U5265" i="1"/>
  <c r="U5245" i="1"/>
  <c r="U5192" i="1"/>
  <c r="U5090" i="1"/>
  <c r="U4948" i="1"/>
  <c r="U4856" i="1"/>
  <c r="U4788" i="1"/>
  <c r="U4730" i="1"/>
  <c r="U4704" i="1"/>
  <c r="U4454" i="1"/>
  <c r="U4389" i="1"/>
  <c r="U4338" i="1"/>
  <c r="U4337" i="1"/>
  <c r="U4317" i="1"/>
  <c r="U4315" i="1"/>
  <c r="V4315" i="1" s="1"/>
  <c r="U4132" i="1"/>
  <c r="U3875" i="1"/>
  <c r="U3867" i="1"/>
  <c r="U3842" i="1"/>
  <c r="U3712" i="1"/>
  <c r="U3525" i="1"/>
  <c r="U3187" i="1"/>
  <c r="U3167" i="1"/>
  <c r="U3131" i="1"/>
  <c r="U3113" i="1"/>
  <c r="U2984" i="1"/>
  <c r="U2904" i="1"/>
  <c r="U2572" i="1"/>
  <c r="U2197" i="1"/>
  <c r="U2004" i="1"/>
  <c r="U1882" i="1"/>
  <c r="U1867" i="1"/>
  <c r="U1846" i="1"/>
  <c r="U1472" i="1"/>
  <c r="U1466" i="1"/>
  <c r="U1455" i="1"/>
  <c r="U1426" i="1"/>
  <c r="U1277" i="1"/>
  <c r="U1109" i="1"/>
  <c r="U798" i="1"/>
  <c r="U752" i="1"/>
  <c r="U620" i="1"/>
  <c r="U604" i="1"/>
  <c r="U579" i="1"/>
  <c r="U578" i="1"/>
  <c r="U543" i="1"/>
  <c r="U521" i="1"/>
  <c r="U496" i="1"/>
  <c r="U479" i="1"/>
  <c r="U335" i="1"/>
  <c r="U330" i="1"/>
  <c r="U226" i="1"/>
  <c r="U125" i="1"/>
  <c r="U124" i="1"/>
  <c r="U94" i="1"/>
  <c r="U6642" i="1"/>
  <c r="U6661" i="1"/>
  <c r="U6641" i="1"/>
  <c r="U6652" i="1"/>
  <c r="U6742" i="1"/>
  <c r="U6712" i="1"/>
  <c r="U6592" i="1"/>
  <c r="U6587" i="1"/>
  <c r="U6567" i="1"/>
  <c r="U6539" i="1"/>
  <c r="U6498" i="1"/>
  <c r="U6484" i="1"/>
  <c r="U6478" i="1"/>
  <c r="U6440" i="1"/>
  <c r="U6433" i="1"/>
  <c r="U6354" i="1"/>
  <c r="U6308" i="1"/>
  <c r="U6274" i="1"/>
  <c r="U6258" i="1"/>
  <c r="U6244" i="1"/>
  <c r="U6206" i="1"/>
  <c r="U6101" i="1"/>
  <c r="U6094" i="1"/>
  <c r="U5999" i="1"/>
  <c r="U5992" i="1"/>
  <c r="U5950" i="1"/>
  <c r="U5930" i="1"/>
  <c r="U5899" i="1"/>
  <c r="U5847" i="1"/>
  <c r="U5753" i="1"/>
  <c r="U5747" i="1"/>
  <c r="U5690" i="1"/>
  <c r="U5625" i="1"/>
  <c r="U5601" i="1"/>
  <c r="U5567" i="1"/>
  <c r="U5447" i="1"/>
  <c r="U5443" i="1"/>
  <c r="U5415" i="1"/>
  <c r="U5393" i="1"/>
  <c r="U5387" i="1"/>
  <c r="U5374" i="1"/>
  <c r="U5334" i="1"/>
  <c r="U5311" i="1"/>
  <c r="U5309" i="1"/>
  <c r="U5288" i="1"/>
  <c r="U5277" i="1"/>
  <c r="U5246" i="1"/>
  <c r="U5166" i="1"/>
  <c r="U5046" i="1"/>
  <c r="U4977" i="1"/>
  <c r="U4940" i="1"/>
  <c r="U4909" i="1"/>
  <c r="U4875" i="1"/>
  <c r="V4875" i="1" s="1"/>
  <c r="U4747" i="1"/>
  <c r="U4653" i="1"/>
  <c r="U4599" i="1"/>
  <c r="U4588" i="1"/>
  <c r="U4547" i="1"/>
  <c r="U4520" i="1"/>
  <c r="U4446" i="1"/>
  <c r="U4418" i="1"/>
  <c r="U4410" i="1"/>
  <c r="U4391" i="1"/>
  <c r="U4361" i="1"/>
  <c r="U4333" i="1"/>
  <c r="U4308" i="1"/>
  <c r="U4295" i="1"/>
  <c r="U4292" i="1"/>
  <c r="U4195" i="1"/>
  <c r="U4181" i="1"/>
  <c r="U4142" i="1"/>
  <c r="U4117" i="1"/>
  <c r="U4091" i="1"/>
  <c r="U4022" i="1"/>
  <c r="U3994" i="1"/>
  <c r="U3977" i="1"/>
  <c r="U3888" i="1"/>
  <c r="U3857" i="1"/>
  <c r="U3615" i="1"/>
  <c r="U3586" i="1"/>
  <c r="U3551" i="1"/>
  <c r="U3493" i="1"/>
  <c r="U3350" i="1"/>
  <c r="U3331" i="1"/>
  <c r="U3227" i="1"/>
  <c r="U3103" i="1"/>
  <c r="U3078" i="1"/>
  <c r="U3055" i="1"/>
  <c r="V3055" i="1" s="1"/>
  <c r="U3037" i="1"/>
  <c r="U3025" i="1"/>
  <c r="U2963" i="1"/>
  <c r="U2944" i="1"/>
  <c r="U2905" i="1"/>
  <c r="U2887" i="1"/>
  <c r="U2872" i="1"/>
  <c r="U2779" i="1"/>
  <c r="V2779" i="1" s="1"/>
  <c r="U2734" i="1"/>
  <c r="U2724" i="1"/>
  <c r="U2715" i="1"/>
  <c r="U2658" i="1"/>
  <c r="U2595" i="1"/>
  <c r="V2595" i="1" s="1"/>
  <c r="U2569" i="1"/>
  <c r="U2533" i="1"/>
  <c r="U2505" i="1"/>
  <c r="U2475" i="1"/>
  <c r="U2362" i="1"/>
  <c r="U2308" i="1"/>
  <c r="U2294" i="1"/>
  <c r="U2267" i="1"/>
  <c r="U2251" i="1"/>
  <c r="U2248" i="1"/>
  <c r="U2245" i="1"/>
  <c r="U2244" i="1"/>
  <c r="U2205" i="1"/>
  <c r="U2126" i="1"/>
  <c r="U2125" i="1"/>
  <c r="U2106" i="1"/>
  <c r="U2104" i="1"/>
  <c r="U2067" i="1"/>
  <c r="U2011" i="1"/>
  <c r="U1967" i="1"/>
  <c r="U1944" i="1"/>
  <c r="U1926" i="1"/>
  <c r="V1926" i="1" s="1"/>
  <c r="U1907" i="1"/>
  <c r="U1866" i="1"/>
  <c r="V1866" i="1" s="1"/>
  <c r="U1802" i="1"/>
  <c r="U1782" i="1"/>
  <c r="U1758" i="1"/>
  <c r="U1736" i="1"/>
  <c r="U1714" i="1"/>
  <c r="U1684" i="1"/>
  <c r="U1645" i="1"/>
  <c r="U1518" i="1"/>
  <c r="U1498" i="1"/>
  <c r="U1424" i="1"/>
  <c r="U1421" i="1"/>
  <c r="U1413" i="1"/>
  <c r="U1407" i="1"/>
  <c r="U1397" i="1"/>
  <c r="U1371" i="1"/>
  <c r="U1359" i="1"/>
  <c r="U1346" i="1"/>
  <c r="U1328" i="1"/>
  <c r="U1326" i="1"/>
  <c r="U1285" i="1"/>
  <c r="U1128" i="1"/>
  <c r="U1114" i="1"/>
  <c r="U1104" i="1"/>
  <c r="U985" i="1"/>
  <c r="U916" i="1"/>
  <c r="U808" i="1"/>
  <c r="U703" i="1"/>
  <c r="U690" i="1"/>
  <c r="U671" i="1"/>
  <c r="U595" i="1"/>
  <c r="U585" i="1"/>
  <c r="U540" i="1"/>
  <c r="U413" i="1"/>
  <c r="U393" i="1"/>
  <c r="U391" i="1"/>
  <c r="U312" i="1"/>
  <c r="U246" i="1"/>
  <c r="U160" i="1"/>
  <c r="U59" i="1"/>
  <c r="U58" i="1"/>
  <c r="U6662" i="1"/>
  <c r="U6653" i="1"/>
  <c r="U6725" i="1"/>
  <c r="U6607" i="1"/>
  <c r="U6553" i="1"/>
  <c r="U6526" i="1"/>
  <c r="V6526" i="1" s="1"/>
  <c r="U6405" i="1"/>
  <c r="U6401" i="1"/>
  <c r="U6392" i="1"/>
  <c r="U6326" i="1"/>
  <c r="U6133" i="1"/>
  <c r="U6121" i="1"/>
  <c r="U6110" i="1"/>
  <c r="U6044" i="1"/>
  <c r="U5968" i="1"/>
  <c r="U5961" i="1"/>
  <c r="U5851" i="1"/>
  <c r="U5715" i="1"/>
  <c r="U5672" i="1"/>
  <c r="U5657" i="1"/>
  <c r="U5614" i="1"/>
  <c r="U5571" i="1"/>
  <c r="U5234" i="1"/>
  <c r="U5229" i="1"/>
  <c r="U5203" i="1"/>
  <c r="U5172" i="1"/>
  <c r="U5154" i="1"/>
  <c r="U5116" i="1"/>
  <c r="U4836" i="1"/>
  <c r="U4710" i="1"/>
  <c r="U4687" i="1"/>
  <c r="U4648" i="1"/>
  <c r="U4617" i="1"/>
  <c r="U4476" i="1"/>
  <c r="U4420" i="1"/>
  <c r="U4380" i="1"/>
  <c r="U4372" i="1"/>
  <c r="U4217" i="1"/>
  <c r="U4187" i="1"/>
  <c r="U4130" i="1"/>
  <c r="U4069" i="1"/>
  <c r="U4054" i="1"/>
  <c r="U4032" i="1"/>
  <c r="U3797" i="1"/>
  <c r="U3783" i="1"/>
  <c r="U3771" i="1"/>
  <c r="U3603" i="1"/>
  <c r="U3599" i="1"/>
  <c r="U3446" i="1"/>
  <c r="U3405" i="1"/>
  <c r="U3393" i="1"/>
  <c r="U3290" i="1"/>
  <c r="U3231" i="1"/>
  <c r="U3154" i="1"/>
  <c r="V3154" i="1" s="1"/>
  <c r="U3135" i="1"/>
  <c r="U3107" i="1"/>
  <c r="U2978" i="1"/>
  <c r="U2877" i="1"/>
  <c r="U2789" i="1"/>
  <c r="U2751" i="1"/>
  <c r="U2624" i="1"/>
  <c r="U2513" i="1"/>
  <c r="U2491" i="1"/>
  <c r="U2461" i="1"/>
  <c r="U2445" i="1"/>
  <c r="U2173" i="1"/>
  <c r="U2069" i="1"/>
  <c r="V2069" i="1" s="1"/>
  <c r="U2047" i="1"/>
  <c r="U2039" i="1"/>
  <c r="U1946" i="1"/>
  <c r="U1937" i="1"/>
  <c r="U1888" i="1"/>
  <c r="U1799" i="1"/>
  <c r="U1792" i="1"/>
  <c r="U1437" i="1"/>
  <c r="U1398" i="1"/>
  <c r="U1394" i="1"/>
  <c r="U1348" i="1"/>
  <c r="U1282" i="1"/>
  <c r="V1282" i="1" s="1"/>
  <c r="U1262" i="1"/>
  <c r="U1222" i="1"/>
  <c r="U1087" i="1"/>
  <c r="U1057" i="1"/>
  <c r="U1056" i="1"/>
  <c r="U955" i="1"/>
  <c r="U892" i="1"/>
  <c r="U871" i="1"/>
  <c r="U847" i="1"/>
  <c r="U838" i="1"/>
  <c r="U725" i="1"/>
  <c r="U680" i="1"/>
  <c r="U646" i="1"/>
  <c r="U569" i="1"/>
  <c r="U498" i="1"/>
  <c r="U340" i="1"/>
  <c r="U339" i="1"/>
  <c r="V339" i="1" s="1"/>
  <c r="U6708" i="1"/>
  <c r="U6565" i="1"/>
  <c r="U6508" i="1"/>
  <c r="U6471" i="1"/>
  <c r="U6256" i="1"/>
  <c r="U6221" i="1"/>
  <c r="U5977" i="1"/>
  <c r="V5977" i="1" s="1"/>
  <c r="U5924" i="1"/>
  <c r="U5868" i="1"/>
  <c r="U5811" i="1"/>
  <c r="U5810" i="1"/>
  <c r="V5810" i="1" s="1"/>
  <c r="U5599" i="1"/>
  <c r="U5388" i="1"/>
  <c r="U5356" i="1"/>
  <c r="U5316" i="1"/>
  <c r="U5274" i="1"/>
  <c r="U5235" i="1"/>
  <c r="U5144" i="1"/>
  <c r="U5047" i="1"/>
  <c r="U4872" i="1"/>
  <c r="U4835" i="1"/>
  <c r="U4660" i="1"/>
  <c r="U4629" i="1"/>
  <c r="U4523" i="1"/>
  <c r="U4284" i="1"/>
  <c r="U4261" i="1"/>
  <c r="U4234" i="1"/>
  <c r="U4230" i="1"/>
  <c r="U3959" i="1"/>
  <c r="U3901" i="1"/>
  <c r="U3767" i="1"/>
  <c r="U3581" i="1"/>
  <c r="U3544" i="1"/>
  <c r="U3514" i="1"/>
  <c r="U3341" i="1"/>
  <c r="U3295" i="1"/>
  <c r="U3196" i="1"/>
  <c r="U3018" i="1"/>
  <c r="U2858" i="1"/>
  <c r="U2780" i="1"/>
  <c r="U2777" i="1"/>
  <c r="U2666" i="1"/>
  <c r="U2563" i="1"/>
  <c r="U2554" i="1"/>
  <c r="U2539" i="1"/>
  <c r="U2521" i="1"/>
  <c r="U2508" i="1"/>
  <c r="U2399" i="1"/>
  <c r="U2266" i="1"/>
  <c r="U2141" i="1"/>
  <c r="U1994" i="1"/>
  <c r="U1990" i="1"/>
  <c r="U1880" i="1"/>
  <c r="U1751" i="1"/>
  <c r="V1751" i="1" s="1"/>
  <c r="U1662" i="1"/>
  <c r="U1501" i="1"/>
  <c r="U1198" i="1"/>
  <c r="U1067" i="1"/>
  <c r="U1029" i="1"/>
  <c r="U966" i="1"/>
  <c r="U921" i="1"/>
  <c r="U689" i="1"/>
  <c r="U476" i="1"/>
  <c r="U461" i="1"/>
  <c r="U412" i="1"/>
  <c r="U405" i="1"/>
  <c r="U344" i="1"/>
  <c r="U317" i="1"/>
  <c r="U280" i="1"/>
  <c r="U6746" i="1"/>
  <c r="U6625" i="1"/>
  <c r="U6591" i="1"/>
  <c r="U6574" i="1"/>
  <c r="U6540" i="1"/>
  <c r="U6513" i="1"/>
  <c r="U6487" i="1"/>
  <c r="U6482" i="1"/>
  <c r="U6413" i="1"/>
  <c r="U6324" i="1"/>
  <c r="U6109" i="1"/>
  <c r="U6064" i="1"/>
  <c r="U6038" i="1"/>
  <c r="U6035" i="1"/>
  <c r="U5980" i="1"/>
  <c r="U5919" i="1"/>
  <c r="U5796" i="1"/>
  <c r="U5795" i="1"/>
  <c r="U5790" i="1"/>
  <c r="U5768" i="1"/>
  <c r="U5755" i="1"/>
  <c r="U5745" i="1"/>
  <c r="U5680" i="1"/>
  <c r="U5606" i="1"/>
  <c r="U5498" i="1"/>
  <c r="U5491" i="1"/>
  <c r="U5458" i="1"/>
  <c r="U5434" i="1"/>
  <c r="U5342" i="1"/>
  <c r="U5324" i="1"/>
  <c r="U5300" i="1"/>
  <c r="U5226" i="1"/>
  <c r="U5175" i="1"/>
  <c r="U5151" i="1"/>
  <c r="U5058" i="1"/>
  <c r="U5031" i="1"/>
  <c r="U5026" i="1"/>
  <c r="U4922" i="1"/>
  <c r="U4918" i="1"/>
  <c r="U4705" i="1"/>
  <c r="U4661" i="1"/>
  <c r="U4634" i="1"/>
  <c r="U4626" i="1"/>
  <c r="U4594" i="1"/>
  <c r="U4590" i="1"/>
  <c r="U4501" i="1"/>
  <c r="V4501" i="1" s="1"/>
  <c r="U4430" i="1"/>
  <c r="U4396" i="1"/>
  <c r="U4375" i="1"/>
  <c r="U4316" i="1"/>
  <c r="U4299" i="1"/>
  <c r="U4254" i="1"/>
  <c r="U4088" i="1"/>
  <c r="U4055" i="1"/>
  <c r="U4019" i="1"/>
  <c r="U3965" i="1"/>
  <c r="U3940" i="1"/>
  <c r="U3843" i="1"/>
  <c r="U3751" i="1"/>
  <c r="U3734" i="1"/>
  <c r="U3709" i="1"/>
  <c r="U3704" i="1"/>
  <c r="U3689" i="1"/>
  <c r="U3682" i="1"/>
  <c r="U3643" i="1"/>
  <c r="U3620" i="1"/>
  <c r="U3552" i="1"/>
  <c r="U3532" i="1"/>
  <c r="U3522" i="1"/>
  <c r="U3509" i="1"/>
  <c r="U3485" i="1"/>
  <c r="U3475" i="1"/>
  <c r="U3400" i="1"/>
  <c r="U3333" i="1"/>
  <c r="U3322" i="1"/>
  <c r="U3250" i="1"/>
  <c r="U3244" i="1"/>
  <c r="U3174" i="1"/>
  <c r="U3101" i="1"/>
  <c r="U3089" i="1"/>
  <c r="U3080" i="1"/>
  <c r="U3073" i="1"/>
  <c r="U3047" i="1"/>
  <c r="U2945" i="1"/>
  <c r="U2851" i="1"/>
  <c r="U2834" i="1"/>
  <c r="V2834" i="1" s="1"/>
  <c r="U2793" i="1"/>
  <c r="U2772" i="1"/>
  <c r="U2771" i="1"/>
  <c r="U2696" i="1"/>
  <c r="U2664" i="1"/>
  <c r="U2645" i="1"/>
  <c r="U2608" i="1"/>
  <c r="U2601" i="1"/>
  <c r="V2601" i="1" s="1"/>
  <c r="U2586" i="1"/>
  <c r="U2428" i="1"/>
  <c r="U2401" i="1"/>
  <c r="U2347" i="1"/>
  <c r="U2345" i="1"/>
  <c r="U2265" i="1"/>
  <c r="U2213" i="1"/>
  <c r="U2150" i="1"/>
  <c r="U2148" i="1"/>
  <c r="U2127" i="1"/>
  <c r="U2113" i="1"/>
  <c r="U2086" i="1"/>
  <c r="U1999" i="1"/>
  <c r="U1943" i="1"/>
  <c r="U1936" i="1"/>
  <c r="U1906" i="1"/>
  <c r="U1874" i="1"/>
  <c r="U1860" i="1"/>
  <c r="U1655" i="1"/>
  <c r="U1542" i="1"/>
  <c r="V1542" i="1" s="1"/>
  <c r="U1539" i="1"/>
  <c r="U1478" i="1"/>
  <c r="U1390" i="1"/>
  <c r="U1388" i="1"/>
  <c r="U1383" i="1"/>
  <c r="U1366" i="1"/>
  <c r="U1357" i="1"/>
  <c r="U1347" i="1"/>
  <c r="U1334" i="1"/>
  <c r="U1299" i="1"/>
  <c r="U1292" i="1"/>
  <c r="U1218" i="1"/>
  <c r="U1216" i="1"/>
  <c r="U1205" i="1"/>
  <c r="U1167" i="1"/>
  <c r="U995" i="1"/>
  <c r="U959" i="1"/>
  <c r="U924" i="1"/>
  <c r="U887" i="1"/>
  <c r="U882" i="1"/>
  <c r="U809" i="1"/>
  <c r="U802" i="1"/>
  <c r="U775" i="1"/>
  <c r="U751" i="1"/>
  <c r="U598" i="1"/>
  <c r="U581" i="1"/>
  <c r="U571" i="1"/>
  <c r="U565" i="1"/>
  <c r="U524" i="1"/>
  <c r="U457" i="1"/>
  <c r="U361" i="1"/>
  <c r="U296" i="1"/>
  <c r="U258" i="1"/>
  <c r="U203" i="1"/>
  <c r="U196" i="1"/>
  <c r="U194" i="1"/>
  <c r="U115" i="1"/>
  <c r="U81" i="1"/>
  <c r="U46" i="1"/>
  <c r="U21" i="1"/>
  <c r="U6724" i="1"/>
  <c r="U6559" i="1"/>
  <c r="U6348" i="1"/>
  <c r="U6255" i="1"/>
  <c r="U6254" i="1"/>
  <c r="U6243" i="1"/>
  <c r="U6226" i="1"/>
  <c r="U6165" i="1"/>
  <c r="U6067" i="1"/>
  <c r="U6045" i="1"/>
  <c r="U6039" i="1"/>
  <c r="U5964" i="1"/>
  <c r="U5751" i="1"/>
  <c r="U5652" i="1"/>
  <c r="U5541" i="1"/>
  <c r="U5518" i="1"/>
  <c r="U5512" i="1"/>
  <c r="V5512" i="1" s="1"/>
  <c r="U5476" i="1"/>
  <c r="U5446" i="1"/>
  <c r="U5379" i="1"/>
  <c r="U5242" i="1"/>
  <c r="U5240" i="1"/>
  <c r="U5168" i="1"/>
  <c r="U5004" i="1"/>
  <c r="U4994" i="1"/>
  <c r="U4979" i="1"/>
  <c r="U4893" i="1"/>
  <c r="U4878" i="1"/>
  <c r="U4744" i="1"/>
  <c r="U4697" i="1"/>
  <c r="U4675" i="1"/>
  <c r="U4638" i="1"/>
  <c r="U4481" i="1"/>
  <c r="U4469" i="1"/>
  <c r="U4405" i="1"/>
  <c r="U4302" i="1"/>
  <c r="U4184" i="1"/>
  <c r="U4177" i="1"/>
  <c r="U4111" i="1"/>
  <c r="U3972" i="1"/>
  <c r="U3954" i="1"/>
  <c r="U3916" i="1"/>
  <c r="U3836" i="1"/>
  <c r="U3798" i="1"/>
  <c r="U3758" i="1"/>
  <c r="U3624" i="1"/>
  <c r="U3592" i="1"/>
  <c r="U3540" i="1"/>
  <c r="U3530" i="1"/>
  <c r="U3463" i="1"/>
  <c r="U3406" i="1"/>
  <c r="U3398" i="1"/>
  <c r="U3265" i="1"/>
  <c r="U3247" i="1"/>
  <c r="U3164" i="1"/>
  <c r="U3067" i="1"/>
  <c r="U3051" i="1"/>
  <c r="U3017" i="1"/>
  <c r="U2869" i="1"/>
  <c r="U2845" i="1"/>
  <c r="U2773" i="1"/>
  <c r="U2748" i="1"/>
  <c r="U2646" i="1"/>
  <c r="V2646" i="1" s="1"/>
  <c r="U2641" i="1"/>
  <c r="U2587" i="1"/>
  <c r="V2587" i="1" s="1"/>
  <c r="U2559" i="1"/>
  <c r="U2540" i="1"/>
  <c r="U2528" i="1"/>
  <c r="U2371" i="1"/>
  <c r="U2310" i="1"/>
  <c r="U2165" i="1"/>
  <c r="U2147" i="1"/>
  <c r="U2078" i="1"/>
  <c r="U2046" i="1"/>
  <c r="U1873" i="1"/>
  <c r="U1835" i="1"/>
  <c r="V1835" i="1" s="1"/>
  <c r="U1681" i="1"/>
  <c r="U1647" i="1"/>
  <c r="U1641" i="1"/>
  <c r="U1619" i="1"/>
  <c r="U1603" i="1"/>
  <c r="U1535" i="1"/>
  <c r="U1331" i="1"/>
  <c r="U1269" i="1"/>
  <c r="U1225" i="1"/>
  <c r="U1213" i="1"/>
  <c r="U1092" i="1"/>
  <c r="U1081" i="1"/>
  <c r="U953" i="1"/>
  <c r="V953" i="1" s="1"/>
  <c r="U939" i="1"/>
  <c r="U905" i="1"/>
  <c r="U897" i="1"/>
  <c r="U884" i="1"/>
  <c r="U831" i="1"/>
  <c r="U754" i="1"/>
  <c r="U688" i="1"/>
  <c r="U674" i="1"/>
  <c r="U669" i="1"/>
  <c r="U640" i="1"/>
  <c r="U597" i="1"/>
  <c r="U554" i="1"/>
  <c r="U484" i="1"/>
  <c r="U437" i="1"/>
  <c r="U426" i="1"/>
  <c r="U188" i="1"/>
  <c r="U174" i="1"/>
  <c r="U145" i="1"/>
  <c r="U44" i="1"/>
  <c r="U32" i="1"/>
  <c r="U10" i="1"/>
  <c r="U6672" i="1"/>
  <c r="U6557" i="1"/>
  <c r="U6505" i="1"/>
  <c r="U6329" i="1"/>
  <c r="U6312" i="1"/>
  <c r="U6298" i="1"/>
  <c r="U6132" i="1"/>
  <c r="U6111" i="1"/>
  <c r="U6019" i="1"/>
  <c r="U6006" i="1"/>
  <c r="U5938" i="1"/>
  <c r="U5889" i="1"/>
  <c r="U5830" i="1"/>
  <c r="U5813" i="1"/>
  <c r="U5801" i="1"/>
  <c r="V5801" i="1" s="1"/>
  <c r="U5758" i="1"/>
  <c r="U5506" i="1"/>
  <c r="U5473" i="1"/>
  <c r="U5196" i="1"/>
  <c r="U5184" i="1"/>
  <c r="U5108" i="1"/>
  <c r="U5101" i="1"/>
  <c r="U4927" i="1"/>
  <c r="U4616" i="1"/>
  <c r="U4574" i="1"/>
  <c r="U4519" i="1"/>
  <c r="U4461" i="1"/>
  <c r="U4296" i="1"/>
  <c r="U4126" i="1"/>
  <c r="U3989" i="1"/>
  <c r="U3985" i="1"/>
  <c r="U3841" i="1"/>
  <c r="U3800" i="1"/>
  <c r="U3699" i="1"/>
  <c r="V3699" i="1" s="1"/>
  <c r="U3491" i="1"/>
  <c r="U3374" i="1"/>
  <c r="U3355" i="1"/>
  <c r="U3249" i="1"/>
  <c r="U3218" i="1"/>
  <c r="U3200" i="1"/>
  <c r="U3027" i="1"/>
  <c r="U2986" i="1"/>
  <c r="U2895" i="1"/>
  <c r="U2809" i="1"/>
  <c r="U2781" i="1"/>
  <c r="U2654" i="1"/>
  <c r="U2422" i="1"/>
  <c r="U2326" i="1"/>
  <c r="U2297" i="1"/>
  <c r="U2158" i="1"/>
  <c r="U2124" i="1"/>
  <c r="U2117" i="1"/>
  <c r="U2017" i="1"/>
  <c r="U1925" i="1"/>
  <c r="U1916" i="1"/>
  <c r="U1837" i="1"/>
  <c r="U1658" i="1"/>
  <c r="U1554" i="1"/>
  <c r="U1140" i="1"/>
  <c r="U998" i="1"/>
  <c r="U987" i="1"/>
  <c r="U956" i="1"/>
  <c r="U901" i="1"/>
  <c r="U858" i="1"/>
  <c r="U856" i="1"/>
  <c r="U657" i="1"/>
  <c r="U653" i="1"/>
  <c r="U628" i="1"/>
  <c r="U614" i="1"/>
  <c r="U562" i="1"/>
  <c r="U548" i="1"/>
  <c r="U157" i="1"/>
  <c r="U6673" i="1"/>
  <c r="U6711" i="1"/>
  <c r="U6691" i="1"/>
  <c r="U6623" i="1"/>
  <c r="U6684" i="1"/>
  <c r="U6390" i="1"/>
  <c r="U6331" i="1"/>
  <c r="U6321" i="1"/>
  <c r="U6224" i="1"/>
  <c r="V6224" i="1" s="1"/>
  <c r="U6182" i="1"/>
  <c r="U6153" i="1"/>
  <c r="V6153" i="1" s="1"/>
  <c r="U6142" i="1"/>
  <c r="U5988" i="1"/>
  <c r="U5906" i="1"/>
  <c r="U5874" i="1"/>
  <c r="U5862" i="1"/>
  <c r="U5848" i="1"/>
  <c r="U5831" i="1"/>
  <c r="U5774" i="1"/>
  <c r="U5766" i="1"/>
  <c r="U5626" i="1"/>
  <c r="U5611" i="1"/>
  <c r="U5578" i="1"/>
  <c r="U5553" i="1"/>
  <c r="U5392" i="1"/>
  <c r="U5386" i="1"/>
  <c r="U5354" i="1"/>
  <c r="U5351" i="1"/>
  <c r="U5296" i="1"/>
  <c r="U5295" i="1"/>
  <c r="V5295" i="1" s="1"/>
  <c r="U5219" i="1"/>
  <c r="U5215" i="1"/>
  <c r="U5140" i="1"/>
  <c r="U5132" i="1"/>
  <c r="U5078" i="1"/>
  <c r="U5022" i="1"/>
  <c r="U4896" i="1"/>
  <c r="U4845" i="1"/>
  <c r="U4821" i="1"/>
  <c r="U4804" i="1"/>
  <c r="U4691" i="1"/>
  <c r="U4670" i="1"/>
  <c r="U4558" i="1"/>
  <c r="U4536" i="1"/>
  <c r="U4529" i="1"/>
  <c r="U4411" i="1"/>
  <c r="U4383" i="1"/>
  <c r="U4371" i="1"/>
  <c r="U4304" i="1"/>
  <c r="U4266" i="1"/>
  <c r="V4266" i="1" s="1"/>
  <c r="U4204" i="1"/>
  <c r="U4203" i="1"/>
  <c r="U4180" i="1"/>
  <c r="U4175" i="1"/>
  <c r="U4174" i="1"/>
  <c r="U4099" i="1"/>
  <c r="U4085" i="1"/>
  <c r="U4027" i="1"/>
  <c r="U3927" i="1"/>
  <c r="U3840" i="1"/>
  <c r="U3807" i="1"/>
  <c r="U3763" i="1"/>
  <c r="U3662" i="1"/>
  <c r="U3628" i="1"/>
  <c r="U3621" i="1"/>
  <c r="U3578" i="1"/>
  <c r="U3507" i="1"/>
  <c r="U3439" i="1"/>
  <c r="U3385" i="1"/>
  <c r="U3381" i="1"/>
  <c r="U3343" i="1"/>
  <c r="U3314" i="1"/>
  <c r="U3273" i="1"/>
  <c r="U3240" i="1"/>
  <c r="U3140" i="1"/>
  <c r="V3140" i="1" s="1"/>
  <c r="U3109" i="1"/>
  <c r="U3085" i="1"/>
  <c r="U3059" i="1"/>
  <c r="U3058" i="1"/>
  <c r="U3028" i="1"/>
  <c r="U2957" i="1"/>
  <c r="V2957" i="1" s="1"/>
  <c r="U2936" i="1"/>
  <c r="U2902" i="1"/>
  <c r="U2885" i="1"/>
  <c r="U2840" i="1"/>
  <c r="U2826" i="1"/>
  <c r="U2759" i="1"/>
  <c r="V2759" i="1" s="1"/>
  <c r="U2709" i="1"/>
  <c r="U2705" i="1"/>
  <c r="U2699" i="1"/>
  <c r="U2693" i="1"/>
  <c r="U2675" i="1"/>
  <c r="U2604" i="1"/>
  <c r="U2600" i="1"/>
  <c r="U2598" i="1"/>
  <c r="U2589" i="1"/>
  <c r="U2579" i="1"/>
  <c r="U2577" i="1"/>
  <c r="U2501" i="1"/>
  <c r="U2500" i="1"/>
  <c r="U2487" i="1"/>
  <c r="U2474" i="1"/>
  <c r="U2459" i="1"/>
  <c r="U2420" i="1"/>
  <c r="U2323" i="1"/>
  <c r="U2293" i="1"/>
  <c r="U2246" i="1"/>
  <c r="V2246" i="1" s="1"/>
  <c r="U2225" i="1"/>
  <c r="U2112" i="1"/>
  <c r="U2110" i="1"/>
  <c r="U2066" i="1"/>
  <c r="U1955" i="1"/>
  <c r="U1942" i="1"/>
  <c r="U1845" i="1"/>
  <c r="U1815" i="1"/>
  <c r="U1794" i="1"/>
  <c r="U1790" i="1"/>
  <c r="U1678" i="1"/>
  <c r="V1678" i="1" s="1"/>
  <c r="U1676" i="1"/>
  <c r="U1663" i="1"/>
  <c r="U1653" i="1"/>
  <c r="U1628" i="1"/>
  <c r="U1622" i="1"/>
  <c r="U1590" i="1"/>
  <c r="U1581" i="1"/>
  <c r="U1532" i="1"/>
  <c r="U1519" i="1"/>
  <c r="U1512" i="1"/>
  <c r="U1474" i="1"/>
  <c r="U1429" i="1"/>
  <c r="U1405" i="1"/>
  <c r="U1325" i="1"/>
  <c r="U1297" i="1"/>
  <c r="U1273" i="1"/>
  <c r="U1261" i="1"/>
  <c r="U1251" i="1"/>
  <c r="U1204" i="1"/>
  <c r="U1173" i="1"/>
  <c r="V1173" i="1" s="1"/>
  <c r="U1118" i="1"/>
  <c r="U1115" i="1"/>
  <c r="U1062" i="1"/>
  <c r="U1055" i="1"/>
  <c r="U1010" i="1"/>
  <c r="U894" i="1"/>
  <c r="U816" i="1"/>
  <c r="U700" i="1"/>
  <c r="U625" i="1"/>
  <c r="V625" i="1" s="1"/>
  <c r="U617" i="1"/>
  <c r="U580" i="1"/>
  <c r="U561" i="1"/>
  <c r="U523" i="1"/>
  <c r="U507" i="1"/>
  <c r="U504" i="1"/>
  <c r="V504" i="1" s="1"/>
  <c r="U483" i="1"/>
  <c r="U355" i="1"/>
  <c r="V355" i="1" s="1"/>
  <c r="U287" i="1"/>
  <c r="U272" i="1"/>
  <c r="U225" i="1"/>
  <c r="U187" i="1"/>
  <c r="U132" i="1"/>
  <c r="U103" i="1"/>
  <c r="U100" i="1"/>
  <c r="U90" i="1"/>
  <c r="U64" i="1"/>
  <c r="U20" i="1"/>
  <c r="U14" i="1"/>
  <c r="U6750" i="1"/>
  <c r="V6750" i="1" s="1"/>
  <c r="U6702" i="1"/>
  <c r="U6629" i="1"/>
  <c r="U6671" i="1"/>
  <c r="U6677" i="1"/>
  <c r="U6602" i="1"/>
  <c r="U6449" i="1"/>
  <c r="U6332" i="1"/>
  <c r="U6301" i="1"/>
  <c r="U6293" i="1"/>
  <c r="U6268" i="1"/>
  <c r="U6240" i="1"/>
  <c r="U6092" i="1"/>
  <c r="U5872" i="1"/>
  <c r="U5807" i="1"/>
  <c r="U5698" i="1"/>
  <c r="U5649" i="1"/>
  <c r="U5646" i="1"/>
  <c r="U5502" i="1"/>
  <c r="U5480" i="1"/>
  <c r="U5381" i="1"/>
  <c r="U5276" i="1"/>
  <c r="U5243" i="1"/>
  <c r="U5228" i="1"/>
  <c r="U5190" i="1"/>
  <c r="U5120" i="1"/>
  <c r="U5092" i="1"/>
  <c r="U5010" i="1"/>
  <c r="U4942" i="1"/>
  <c r="V4942" i="1" s="1"/>
  <c r="U4928" i="1"/>
  <c r="U4914" i="1"/>
  <c r="U4726" i="1"/>
  <c r="U4707" i="1"/>
  <c r="U4633" i="1"/>
  <c r="U4632" i="1"/>
  <c r="V4632" i="1" s="1"/>
  <c r="U4607" i="1"/>
  <c r="U4507" i="1"/>
  <c r="V4507" i="1" s="1"/>
  <c r="U4465" i="1"/>
  <c r="U4443" i="1"/>
  <c r="U4378" i="1"/>
  <c r="U4373" i="1"/>
  <c r="U4370" i="1"/>
  <c r="U4341" i="1"/>
  <c r="U4300" i="1"/>
  <c r="U4235" i="1"/>
  <c r="U4170" i="1"/>
  <c r="U4040" i="1"/>
  <c r="U4021" i="1"/>
  <c r="V4021" i="1" s="1"/>
  <c r="U4010" i="1"/>
  <c r="U3830" i="1"/>
  <c r="U3737" i="1"/>
  <c r="U3686" i="1"/>
  <c r="U3667" i="1"/>
  <c r="V3667" i="1" s="1"/>
  <c r="U3567" i="1"/>
  <c r="U3533" i="1"/>
  <c r="U3328" i="1"/>
  <c r="U3320" i="1"/>
  <c r="U3271" i="1"/>
  <c r="U3255" i="1"/>
  <c r="U3242" i="1"/>
  <c r="U3241" i="1"/>
  <c r="U3217" i="1"/>
  <c r="U3184" i="1"/>
  <c r="U2918" i="1"/>
  <c r="U2841" i="1"/>
  <c r="U2723" i="1"/>
  <c r="U2721" i="1"/>
  <c r="U2708" i="1"/>
  <c r="V2708" i="1" s="1"/>
  <c r="U2627" i="1"/>
  <c r="U2477" i="1"/>
  <c r="U2468" i="1"/>
  <c r="U2464" i="1"/>
  <c r="U2421" i="1"/>
  <c r="U2389" i="1"/>
  <c r="U2321" i="1"/>
  <c r="V2321" i="1" s="1"/>
  <c r="U2100" i="1"/>
  <c r="U2085" i="1"/>
  <c r="U2058" i="1"/>
  <c r="U2050" i="1"/>
  <c r="U2031" i="1"/>
  <c r="V2031" i="1" s="1"/>
  <c r="U2014" i="1"/>
  <c r="U2012" i="1"/>
  <c r="U1827" i="1"/>
  <c r="U1816" i="1"/>
  <c r="U1811" i="1"/>
  <c r="U1718" i="1"/>
  <c r="U1711" i="1"/>
  <c r="U1665" i="1"/>
  <c r="V1665" i="1" s="1"/>
  <c r="U1612" i="1"/>
  <c r="U1564" i="1"/>
  <c r="U1470" i="1"/>
  <c r="U1427" i="1"/>
  <c r="U1246" i="1"/>
  <c r="U1245" i="1"/>
  <c r="U1149" i="1"/>
  <c r="U1147" i="1"/>
  <c r="U1117" i="1"/>
  <c r="V1117" i="1" s="1"/>
  <c r="U1018" i="1"/>
  <c r="U1001" i="1"/>
  <c r="U982" i="1"/>
  <c r="U940" i="1"/>
  <c r="U932" i="1"/>
  <c r="U913" i="1"/>
  <c r="U850" i="1"/>
  <c r="U832" i="1"/>
  <c r="U825" i="1"/>
  <c r="U711" i="1"/>
  <c r="U603" i="1"/>
  <c r="U587" i="1"/>
  <c r="U460" i="1"/>
  <c r="U446" i="1"/>
  <c r="U445" i="1"/>
  <c r="U327" i="1"/>
  <c r="U318" i="1"/>
  <c r="U169" i="1"/>
  <c r="U136" i="1"/>
  <c r="U51" i="1"/>
  <c r="U6689" i="1"/>
  <c r="U6721" i="1"/>
  <c r="U6521" i="1"/>
  <c r="U6503" i="1"/>
  <c r="U6360" i="1"/>
  <c r="U6207" i="1"/>
  <c r="U6183" i="1"/>
  <c r="U5791" i="1"/>
  <c r="U5525" i="1"/>
  <c r="U5399" i="1"/>
  <c r="U5308" i="1"/>
  <c r="U5181" i="1"/>
  <c r="U4826" i="1"/>
  <c r="U4736" i="1"/>
  <c r="U4698" i="1"/>
  <c r="U4434" i="1"/>
  <c r="U4271" i="1"/>
  <c r="U4238" i="1"/>
  <c r="U4229" i="1"/>
  <c r="U4036" i="1"/>
  <c r="U3953" i="1"/>
  <c r="U3924" i="1"/>
  <c r="U3724" i="1"/>
  <c r="U3715" i="1"/>
  <c r="U3346" i="1"/>
  <c r="U3309" i="1"/>
  <c r="U3087" i="1"/>
  <c r="U3086" i="1"/>
  <c r="U3074" i="1"/>
  <c r="U3044" i="1"/>
  <c r="U2880" i="1"/>
  <c r="U2823" i="1"/>
  <c r="U2742" i="1"/>
  <c r="U2733" i="1"/>
  <c r="U2725" i="1"/>
  <c r="U2684" i="1"/>
  <c r="U2516" i="1"/>
  <c r="U2426" i="1"/>
  <c r="U2174" i="1"/>
  <c r="U2145" i="1"/>
  <c r="U2121" i="1"/>
  <c r="U2072" i="1"/>
  <c r="U1972" i="1"/>
  <c r="U1940" i="1"/>
  <c r="U1743" i="1"/>
  <c r="U1719" i="1"/>
  <c r="U1703" i="1"/>
  <c r="V1703" i="1" s="1"/>
  <c r="U1632" i="1"/>
  <c r="U1623" i="1"/>
  <c r="U1489" i="1"/>
  <c r="U1178" i="1"/>
  <c r="U1099" i="1"/>
  <c r="U1097" i="1"/>
  <c r="U1048" i="1"/>
  <c r="V1048" i="1" s="1"/>
  <c r="U1000" i="1"/>
  <c r="U971" i="1"/>
  <c r="U885" i="1"/>
  <c r="U790" i="1"/>
  <c r="U643" i="1"/>
  <c r="U385" i="1"/>
  <c r="V385" i="1" s="1"/>
  <c r="U354" i="1"/>
  <c r="U333" i="1"/>
  <c r="U6680" i="1"/>
  <c r="U6714" i="1"/>
  <c r="U6726" i="1"/>
  <c r="U6644" i="1"/>
  <c r="U6703" i="1"/>
  <c r="U6599" i="1"/>
  <c r="V6599" i="1" s="1"/>
  <c r="U6429" i="1"/>
  <c r="U6309" i="1"/>
  <c r="U6295" i="1"/>
  <c r="U6289" i="1"/>
  <c r="U6251" i="1"/>
  <c r="U6236" i="1"/>
  <c r="U6084" i="1"/>
  <c r="U6074" i="1"/>
  <c r="U5991" i="1"/>
  <c r="U5978" i="1"/>
  <c r="U5974" i="1"/>
  <c r="U5901" i="1"/>
  <c r="U5799" i="1"/>
  <c r="U5792" i="1"/>
  <c r="U5731" i="1"/>
  <c r="U5717" i="1"/>
  <c r="V5717" i="1" s="1"/>
  <c r="U5694" i="1"/>
  <c r="U5688" i="1"/>
  <c r="U5589" i="1"/>
  <c r="U5586" i="1"/>
  <c r="U5513" i="1"/>
  <c r="U5489" i="1"/>
  <c r="U5435" i="1"/>
  <c r="U5421" i="1"/>
  <c r="U5326" i="1"/>
  <c r="U5284" i="1"/>
  <c r="U5283" i="1"/>
  <c r="U5262" i="1"/>
  <c r="U5216" i="1"/>
  <c r="U5200" i="1"/>
  <c r="U5017" i="1"/>
  <c r="U4989" i="1"/>
  <c r="U4963" i="1"/>
  <c r="U4945" i="1"/>
  <c r="U4943" i="1"/>
  <c r="U4894" i="1"/>
  <c r="V4894" i="1" s="1"/>
  <c r="U4842" i="1"/>
  <c r="U4801" i="1"/>
  <c r="U4738" i="1"/>
  <c r="U4735" i="1"/>
  <c r="U4715" i="1"/>
  <c r="U4688" i="1"/>
  <c r="U4683" i="1"/>
  <c r="U4619" i="1"/>
  <c r="U4457" i="1"/>
  <c r="U4456" i="1"/>
  <c r="U4393" i="1"/>
  <c r="U4363" i="1"/>
  <c r="U4313" i="1"/>
  <c r="U4294" i="1"/>
  <c r="U4253" i="1"/>
  <c r="U4141" i="1"/>
  <c r="U4095" i="1"/>
  <c r="U4063" i="1"/>
  <c r="U4061" i="1"/>
  <c r="V4061" i="1" s="1"/>
  <c r="U3978" i="1"/>
  <c r="U3809" i="1"/>
  <c r="U3729" i="1"/>
  <c r="U3719" i="1"/>
  <c r="U3681" i="1"/>
  <c r="V3681" i="1" s="1"/>
  <c r="U3629" i="1"/>
  <c r="U3622" i="1"/>
  <c r="U3444" i="1"/>
  <c r="U3443" i="1"/>
  <c r="U3429" i="1"/>
  <c r="U3425" i="1"/>
  <c r="U3373" i="1"/>
  <c r="U3348" i="1"/>
  <c r="U3264" i="1"/>
  <c r="U3223" i="1"/>
  <c r="U3211" i="1"/>
  <c r="U3210" i="1"/>
  <c r="U3152" i="1"/>
  <c r="U3084" i="1"/>
  <c r="U2982" i="1"/>
  <c r="U2970" i="1"/>
  <c r="U2955" i="1"/>
  <c r="U2882" i="1"/>
  <c r="U2860" i="1"/>
  <c r="U2821" i="1"/>
  <c r="U2736" i="1"/>
  <c r="U2700" i="1"/>
  <c r="V2700" i="1" s="1"/>
  <c r="U2668" i="1"/>
  <c r="U2596" i="1"/>
  <c r="V2596" i="1" s="1"/>
  <c r="U2537" i="1"/>
  <c r="U2482" i="1"/>
  <c r="U2433" i="1"/>
  <c r="U2423" i="1"/>
  <c r="U2416" i="1"/>
  <c r="U2410" i="1"/>
  <c r="U2395" i="1"/>
  <c r="U2379" i="1"/>
  <c r="U2355" i="1"/>
  <c r="U2239" i="1"/>
  <c r="U2236" i="1"/>
  <c r="U2227" i="1"/>
  <c r="U2157" i="1"/>
  <c r="U2052" i="1"/>
  <c r="U1966" i="1"/>
  <c r="U1965" i="1"/>
  <c r="U1927" i="1"/>
  <c r="U1923" i="1"/>
  <c r="U1910" i="1"/>
  <c r="U1902" i="1"/>
  <c r="U1820" i="1"/>
  <c r="U1778" i="1"/>
  <c r="U1767" i="1"/>
  <c r="U1730" i="1"/>
  <c r="U1729" i="1"/>
  <c r="U1709" i="1"/>
  <c r="U1637" i="1"/>
  <c r="U1613" i="1"/>
  <c r="U1588" i="1"/>
  <c r="U1572" i="1"/>
  <c r="U1509" i="1"/>
  <c r="U1500" i="1"/>
  <c r="U1395" i="1"/>
  <c r="U1254" i="1"/>
  <c r="U1226" i="1"/>
  <c r="U1219" i="1"/>
  <c r="U1186" i="1"/>
  <c r="U1038" i="1"/>
  <c r="U1036" i="1"/>
  <c r="V1036" i="1" s="1"/>
  <c r="U989" i="1"/>
  <c r="U804" i="1"/>
  <c r="U720" i="1"/>
  <c r="U709" i="1"/>
  <c r="U698" i="1"/>
  <c r="U685" i="1"/>
  <c r="U684" i="1"/>
  <c r="V684" i="1" s="1"/>
  <c r="U618" i="1"/>
  <c r="U464" i="1"/>
  <c r="U407" i="1"/>
  <c r="U362" i="1"/>
  <c r="U321" i="1"/>
  <c r="U290" i="1"/>
  <c r="U179" i="1"/>
  <c r="U165" i="1"/>
  <c r="U126" i="1"/>
  <c r="U18" i="1"/>
  <c r="U5" i="1"/>
  <c r="U6655" i="1"/>
  <c r="U6636" i="1"/>
  <c r="U6579" i="1"/>
  <c r="U6578" i="1"/>
  <c r="U6528" i="1"/>
  <c r="U6481" i="1"/>
  <c r="U6381" i="1"/>
  <c r="U6352" i="1"/>
  <c r="U6265" i="1"/>
  <c r="U6248" i="1"/>
  <c r="U6192" i="1"/>
  <c r="V6192" i="1" s="1"/>
  <c r="U6097" i="1"/>
  <c r="U6025" i="1"/>
  <c r="U5985" i="1"/>
  <c r="U5783" i="1"/>
  <c r="U5725" i="1"/>
  <c r="U5520" i="1"/>
  <c r="U5517" i="1"/>
  <c r="U5504" i="1"/>
  <c r="U5367" i="1"/>
  <c r="U5176" i="1"/>
  <c r="U5150" i="1"/>
  <c r="U5149" i="1"/>
  <c r="U5145" i="1"/>
  <c r="U5111" i="1"/>
  <c r="U5048" i="1"/>
  <c r="U4932" i="1"/>
  <c r="U4924" i="1"/>
  <c r="U4920" i="1"/>
  <c r="U4913" i="1"/>
  <c r="V4913" i="1" s="1"/>
  <c r="U4843" i="1"/>
  <c r="U4819" i="1"/>
  <c r="U4786" i="1"/>
  <c r="U4783" i="1"/>
  <c r="U4778" i="1"/>
  <c r="U4759" i="1"/>
  <c r="U4743" i="1"/>
  <c r="V4743" i="1" s="1"/>
  <c r="U4725" i="1"/>
  <c r="U4524" i="1"/>
  <c r="U4449" i="1"/>
  <c r="U4441" i="1"/>
  <c r="U4379" i="1"/>
  <c r="U4330" i="1"/>
  <c r="U4282" i="1"/>
  <c r="U4183" i="1"/>
  <c r="U4080" i="1"/>
  <c r="U3932" i="1"/>
  <c r="U3895" i="1"/>
  <c r="U3850" i="1"/>
  <c r="U3839" i="1"/>
  <c r="U3666" i="1"/>
  <c r="U3655" i="1"/>
  <c r="U3484" i="1"/>
  <c r="U3379" i="1"/>
  <c r="U3356" i="1"/>
  <c r="U3204" i="1"/>
  <c r="U3098" i="1"/>
  <c r="U2985" i="1"/>
  <c r="U2870" i="1"/>
  <c r="U2848" i="1"/>
  <c r="U2833" i="1"/>
  <c r="U2798" i="1"/>
  <c r="U2352" i="1"/>
  <c r="U2035" i="1"/>
  <c r="U2033" i="1"/>
  <c r="U1886" i="1"/>
  <c r="U1843" i="1"/>
  <c r="V1843" i="1" s="1"/>
  <c r="U1814" i="1"/>
  <c r="U1759" i="1"/>
  <c r="U1748" i="1"/>
  <c r="V1748" i="1" s="1"/>
  <c r="U1731" i="1"/>
  <c r="U1728" i="1"/>
  <c r="U1722" i="1"/>
  <c r="U1670" i="1"/>
  <c r="U1668" i="1"/>
  <c r="U1399" i="1"/>
  <c r="U1220" i="1"/>
  <c r="U1193" i="1"/>
  <c r="U1111" i="1"/>
  <c r="U1071" i="1"/>
  <c r="U1013" i="1"/>
  <c r="U986" i="1"/>
  <c r="U981" i="1"/>
  <c r="U890" i="1"/>
  <c r="U883" i="1"/>
  <c r="U819" i="1"/>
  <c r="U795" i="1"/>
  <c r="U605" i="1"/>
  <c r="U436" i="1"/>
  <c r="U342" i="1"/>
  <c r="U338" i="1"/>
  <c r="U277" i="1"/>
  <c r="U276" i="1"/>
  <c r="U50" i="1"/>
  <c r="U33" i="1"/>
  <c r="U6533" i="1"/>
  <c r="U6518" i="1"/>
  <c r="U6512" i="1"/>
  <c r="V6512" i="1" s="1"/>
  <c r="U6510" i="1"/>
  <c r="U6434" i="1"/>
  <c r="U6327" i="1"/>
  <c r="U6310" i="1"/>
  <c r="U6225" i="1"/>
  <c r="U6197" i="1"/>
  <c r="U5947" i="1"/>
  <c r="U5859" i="1"/>
  <c r="U5858" i="1"/>
  <c r="U5843" i="1"/>
  <c r="U5736" i="1"/>
  <c r="U5719" i="1"/>
  <c r="U5708" i="1"/>
  <c r="U5533" i="1"/>
  <c r="U5310" i="1"/>
  <c r="U5100" i="1"/>
  <c r="U5050" i="1"/>
  <c r="U4865" i="1"/>
  <c r="U4799" i="1"/>
  <c r="U4751" i="1"/>
  <c r="U4652" i="1"/>
  <c r="U4570" i="1"/>
  <c r="U4436" i="1"/>
  <c r="U4433" i="1"/>
  <c r="U4377" i="1"/>
  <c r="U4201" i="1"/>
  <c r="U4077" i="1"/>
  <c r="U3769" i="1"/>
  <c r="U3733" i="1"/>
  <c r="U3731" i="1"/>
  <c r="U3505" i="1"/>
  <c r="U3329" i="1"/>
  <c r="U3246" i="1"/>
  <c r="U3212" i="1"/>
  <c r="U3194" i="1"/>
  <c r="U3094" i="1"/>
  <c r="V3094" i="1" s="1"/>
  <c r="U2999" i="1"/>
  <c r="U2775" i="1"/>
  <c r="U2765" i="1"/>
  <c r="U2689" i="1"/>
  <c r="U2609" i="1"/>
  <c r="U2439" i="1"/>
  <c r="U2333" i="1"/>
  <c r="U2264" i="1"/>
  <c r="U2237" i="1"/>
  <c r="U2214" i="1"/>
  <c r="U2162" i="1"/>
  <c r="U2149" i="1"/>
  <c r="V2149" i="1" s="1"/>
  <c r="U2122" i="1"/>
  <c r="U2063" i="1"/>
  <c r="U1864" i="1"/>
  <c r="U1844" i="1"/>
  <c r="U1697" i="1"/>
  <c r="U1649" i="1"/>
  <c r="U1630" i="1"/>
  <c r="U1607" i="1"/>
  <c r="V1607" i="1" s="1"/>
  <c r="U1487" i="1"/>
  <c r="U1230" i="1"/>
  <c r="U1192" i="1"/>
  <c r="U1169" i="1"/>
  <c r="U1052" i="1"/>
  <c r="V1052" i="1" s="1"/>
  <c r="U1011" i="1"/>
  <c r="U815" i="1"/>
  <c r="U670" i="1"/>
  <c r="U621" i="1"/>
  <c r="U558" i="1"/>
  <c r="U502" i="1"/>
  <c r="U485" i="1"/>
  <c r="U474" i="1"/>
  <c r="U303" i="1"/>
  <c r="U289" i="1"/>
  <c r="U231" i="1"/>
  <c r="U6645" i="1"/>
  <c r="U6736" i="1"/>
  <c r="U6741" i="1"/>
  <c r="U6500" i="1"/>
  <c r="V6500" i="1" s="1"/>
  <c r="U6431" i="1"/>
  <c r="U6369" i="1"/>
  <c r="U6328" i="1"/>
  <c r="U6323" i="1"/>
  <c r="U6307" i="1"/>
  <c r="U6269" i="1"/>
  <c r="U6233" i="1"/>
  <c r="V6233" i="1" s="1"/>
  <c r="U6210" i="1"/>
  <c r="U6175" i="1"/>
  <c r="U6146" i="1"/>
  <c r="U6076" i="1"/>
  <c r="U5982" i="1"/>
  <c r="U5929" i="1"/>
  <c r="U5887" i="1"/>
  <c r="U5863" i="1"/>
  <c r="U5838" i="1"/>
  <c r="U5779" i="1"/>
  <c r="U5667" i="1"/>
  <c r="U5656" i="1"/>
  <c r="U5653" i="1"/>
  <c r="U5638" i="1"/>
  <c r="U5634" i="1"/>
  <c r="U5617" i="1"/>
  <c r="U5530" i="1"/>
  <c r="U5510" i="1"/>
  <c r="U5475" i="1"/>
  <c r="U5439" i="1"/>
  <c r="U5372" i="1"/>
  <c r="V5372" i="1" s="1"/>
  <c r="U5347" i="1"/>
  <c r="U5081" i="1"/>
  <c r="U5037" i="1"/>
  <c r="U4999" i="1"/>
  <c r="U4975" i="1"/>
  <c r="U4957" i="1"/>
  <c r="U4901" i="1"/>
  <c r="U4796" i="1"/>
  <c r="U4734" i="1"/>
  <c r="U4728" i="1"/>
  <c r="U4548" i="1"/>
  <c r="U4535" i="1"/>
  <c r="U4459" i="1"/>
  <c r="U4318" i="1"/>
  <c r="U4260" i="1"/>
  <c r="U4255" i="1"/>
  <c r="U4192" i="1"/>
  <c r="U4190" i="1"/>
  <c r="U4167" i="1"/>
  <c r="U4154" i="1"/>
  <c r="U4116" i="1"/>
  <c r="U4101" i="1"/>
  <c r="U4076" i="1"/>
  <c r="U4035" i="1"/>
  <c r="U4028" i="1"/>
  <c r="U3998" i="1"/>
  <c r="U3907" i="1"/>
  <c r="U3880" i="1"/>
  <c r="U3858" i="1"/>
  <c r="V3858" i="1" s="1"/>
  <c r="U3847" i="1"/>
  <c r="U3810" i="1"/>
  <c r="U3808" i="1"/>
  <c r="U3710" i="1"/>
  <c r="U3632" i="1"/>
  <c r="U3561" i="1"/>
  <c r="U3554" i="1"/>
  <c r="U3480" i="1"/>
  <c r="U3471" i="1"/>
  <c r="U3330" i="1"/>
  <c r="U3327" i="1"/>
  <c r="U3304" i="1"/>
  <c r="U3195" i="1"/>
  <c r="U3110" i="1"/>
  <c r="U3102" i="1"/>
  <c r="U2929" i="1"/>
  <c r="U2896" i="1"/>
  <c r="U2850" i="1"/>
  <c r="U2778" i="1"/>
  <c r="V2778" i="1" s="1"/>
  <c r="U2768" i="1"/>
  <c r="U2766" i="1"/>
  <c r="U2622" i="1"/>
  <c r="U2603" i="1"/>
  <c r="U2573" i="1"/>
  <c r="U2565" i="1"/>
  <c r="U2446" i="1"/>
  <c r="U2402" i="1"/>
  <c r="V2402" i="1" s="1"/>
  <c r="U2315" i="1"/>
  <c r="U2296" i="1"/>
  <c r="U2247" i="1"/>
  <c r="U2235" i="1"/>
  <c r="U2222" i="1"/>
  <c r="V2222" i="1" s="1"/>
  <c r="U2212" i="1"/>
  <c r="U2138" i="1"/>
  <c r="U2123" i="1"/>
  <c r="U2115" i="1"/>
  <c r="U2097" i="1"/>
  <c r="U2079" i="1"/>
  <c r="U2049" i="1"/>
  <c r="U1964" i="1"/>
  <c r="U1885" i="1"/>
  <c r="U1857" i="1"/>
  <c r="U1852" i="1"/>
  <c r="U1834" i="1"/>
  <c r="U1822" i="1"/>
  <c r="U1801" i="1"/>
  <c r="U1781" i="1"/>
  <c r="U1771" i="1"/>
  <c r="U1753" i="1"/>
  <c r="U1708" i="1"/>
  <c r="U1699" i="1"/>
  <c r="U1442" i="1"/>
  <c r="U1386" i="1"/>
  <c r="U1380" i="1"/>
  <c r="V1380" i="1" s="1"/>
  <c r="U1368" i="1"/>
  <c r="U1293" i="1"/>
  <c r="U1244" i="1"/>
  <c r="U999" i="1"/>
  <c r="U968" i="1"/>
  <c r="U861" i="1"/>
  <c r="U837" i="1"/>
  <c r="U824" i="1"/>
  <c r="U818" i="1"/>
  <c r="U576" i="1"/>
  <c r="U564" i="1"/>
  <c r="U439" i="1"/>
  <c r="U389" i="1"/>
  <c r="U353" i="1"/>
  <c r="U332" i="1"/>
  <c r="U263" i="1"/>
  <c r="U233" i="1"/>
  <c r="U206" i="1"/>
  <c r="U155" i="1"/>
  <c r="U138" i="1"/>
  <c r="U108" i="1"/>
  <c r="V108" i="1" s="1"/>
  <c r="U37" i="1"/>
  <c r="U15" i="1"/>
  <c r="U7" i="1"/>
  <c r="U6632" i="1"/>
  <c r="U6601" i="1"/>
  <c r="U6594" i="1"/>
  <c r="U6551" i="1"/>
  <c r="U6531" i="1"/>
  <c r="U6452" i="1"/>
  <c r="U6371" i="1"/>
  <c r="U6282" i="1"/>
  <c r="U6280" i="1"/>
  <c r="U6205" i="1"/>
  <c r="U6089" i="1"/>
  <c r="U6068" i="1"/>
  <c r="U6048" i="1"/>
  <c r="U6036" i="1"/>
  <c r="U6010" i="1"/>
  <c r="U5975" i="1"/>
  <c r="U5743" i="1"/>
  <c r="U5706" i="1"/>
  <c r="U5691" i="1"/>
  <c r="U5686" i="1"/>
  <c r="U5651" i="1"/>
  <c r="U5572" i="1"/>
  <c r="U5355" i="1"/>
  <c r="U5214" i="1"/>
  <c r="U5198" i="1"/>
  <c r="U5164" i="1"/>
  <c r="V5164" i="1" s="1"/>
  <c r="U5161" i="1"/>
  <c r="U5159" i="1"/>
  <c r="U5073" i="1"/>
  <c r="U5044" i="1"/>
  <c r="U5033" i="1"/>
  <c r="U4873" i="1"/>
  <c r="U4701" i="1"/>
  <c r="U4686" i="1"/>
  <c r="U4559" i="1"/>
  <c r="U4553" i="1"/>
  <c r="U4408" i="1"/>
  <c r="U4360" i="1"/>
  <c r="U4269" i="1"/>
  <c r="U4237" i="1"/>
  <c r="U4098" i="1"/>
  <c r="U4083" i="1"/>
  <c r="U4062" i="1"/>
  <c r="U3938" i="1"/>
  <c r="U3905" i="1"/>
  <c r="U3856" i="1"/>
  <c r="U3780" i="1"/>
  <c r="U3779" i="1"/>
  <c r="U3759" i="1"/>
  <c r="U3742" i="1"/>
  <c r="U3703" i="1"/>
  <c r="U3631" i="1"/>
  <c r="U3523" i="1"/>
  <c r="U3450" i="1"/>
  <c r="U3430" i="1"/>
  <c r="U3394" i="1"/>
  <c r="U3392" i="1"/>
  <c r="U3274" i="1"/>
  <c r="U3198" i="1"/>
  <c r="U3170" i="1"/>
  <c r="U3097" i="1"/>
  <c r="U3076" i="1"/>
  <c r="U3016" i="1"/>
  <c r="U3011" i="1"/>
  <c r="U2883" i="1"/>
  <c r="U2774" i="1"/>
  <c r="U2588" i="1"/>
  <c r="U2460" i="1"/>
  <c r="U2455" i="1"/>
  <c r="U2220" i="1"/>
  <c r="U1974" i="1"/>
  <c r="U1891" i="1"/>
  <c r="U1785" i="1"/>
  <c r="V1785" i="1" s="1"/>
  <c r="U1779" i="1"/>
  <c r="U1686" i="1"/>
  <c r="U1669" i="1"/>
  <c r="U1454" i="1"/>
  <c r="V1454" i="1" s="1"/>
  <c r="U1450" i="1"/>
  <c r="U1449" i="1"/>
  <c r="U1436" i="1"/>
  <c r="U1370" i="1"/>
  <c r="U1352" i="1"/>
  <c r="U1339" i="1"/>
  <c r="U1309" i="1"/>
  <c r="U1296" i="1"/>
  <c r="U1289" i="1"/>
  <c r="U1279" i="1"/>
  <c r="U1258" i="1"/>
  <c r="U1236" i="1"/>
  <c r="U1116" i="1"/>
  <c r="U1022" i="1"/>
  <c r="U933" i="1"/>
  <c r="U853" i="1"/>
  <c r="V853" i="1" s="1"/>
  <c r="U852" i="1"/>
  <c r="U851" i="1"/>
  <c r="U797" i="1"/>
  <c r="U741" i="1"/>
  <c r="U726" i="1"/>
  <c r="U721" i="1"/>
  <c r="U536" i="1"/>
  <c r="U440" i="1"/>
  <c r="U293" i="1"/>
  <c r="U260" i="1"/>
  <c r="U209" i="1"/>
  <c r="U6665" i="1"/>
  <c r="U6733" i="1"/>
  <c r="U6627" i="1"/>
  <c r="U6466" i="1"/>
  <c r="U6202" i="1"/>
  <c r="U6199" i="1"/>
  <c r="U6138" i="1"/>
  <c r="U6087" i="1"/>
  <c r="U6024" i="1"/>
  <c r="U5994" i="1"/>
  <c r="U5990" i="1"/>
  <c r="U5413" i="1"/>
  <c r="U5400" i="1"/>
  <c r="U5109" i="1"/>
  <c r="U4874" i="1"/>
  <c r="U4719" i="1"/>
  <c r="U4703" i="1"/>
  <c r="U4563" i="1"/>
  <c r="U4479" i="1"/>
  <c r="U4359" i="1"/>
  <c r="U4326" i="1"/>
  <c r="V4326" i="1" s="1"/>
  <c r="U3942" i="1"/>
  <c r="U3930" i="1"/>
  <c r="U3920" i="1"/>
  <c r="U3881" i="1"/>
  <c r="U3844" i="1"/>
  <c r="U3831" i="1"/>
  <c r="U3774" i="1"/>
  <c r="U3610" i="1"/>
  <c r="U3531" i="1"/>
  <c r="V3531" i="1" s="1"/>
  <c r="U3496" i="1"/>
  <c r="U3445" i="1"/>
  <c r="U3413" i="1"/>
  <c r="V3413" i="1" s="1"/>
  <c r="U3363" i="1"/>
  <c r="U3228" i="1"/>
  <c r="U3120" i="1"/>
  <c r="U2947" i="1"/>
  <c r="U2924" i="1"/>
  <c r="U2920" i="1"/>
  <c r="U2814" i="1"/>
  <c r="V2814" i="1" s="1"/>
  <c r="U2737" i="1"/>
  <c r="U2680" i="1"/>
  <c r="V2680" i="1" s="1"/>
  <c r="U2657" i="1"/>
  <c r="U2278" i="1"/>
  <c r="U2260" i="1"/>
  <c r="U2211" i="1"/>
  <c r="U2068" i="1"/>
  <c r="U1954" i="1"/>
  <c r="U1915" i="1"/>
  <c r="U1704" i="1"/>
  <c r="U1638" i="1"/>
  <c r="U1579" i="1"/>
  <c r="U1523" i="1"/>
  <c r="V1523" i="1" s="1"/>
  <c r="U1358" i="1"/>
  <c r="U1307" i="1"/>
  <c r="U1207" i="1"/>
  <c r="U1142" i="1"/>
  <c r="U886" i="1"/>
  <c r="U870" i="1"/>
  <c r="U834" i="1"/>
  <c r="U699" i="1"/>
  <c r="U645" i="1"/>
  <c r="U591" i="1"/>
  <c r="U442" i="1"/>
  <c r="U345" i="1"/>
  <c r="U261" i="1"/>
  <c r="U135" i="1"/>
  <c r="U67" i="1"/>
  <c r="U38" i="1"/>
  <c r="U6735" i="1"/>
  <c r="U6740" i="1"/>
  <c r="U6753" i="1"/>
  <c r="U6755" i="1"/>
  <c r="U6639" i="1"/>
  <c r="U6715" i="1"/>
  <c r="U6643" i="1"/>
  <c r="U6615" i="1"/>
  <c r="V6615" i="1" s="1"/>
  <c r="U6692" i="1"/>
  <c r="U6584" i="1"/>
  <c r="U6582" i="1"/>
  <c r="U6577" i="1"/>
  <c r="U6544" i="1"/>
  <c r="V6544" i="1" s="1"/>
  <c r="U6465" i="1"/>
  <c r="U6456" i="1"/>
  <c r="U6427" i="1"/>
  <c r="U6362" i="1"/>
  <c r="U6339" i="1"/>
  <c r="U6302" i="1"/>
  <c r="U6228" i="1"/>
  <c r="U6219" i="1"/>
  <c r="U6203" i="1"/>
  <c r="U6157" i="1"/>
  <c r="U6079" i="1"/>
  <c r="U6075" i="1"/>
  <c r="U5966" i="1"/>
  <c r="U5962" i="1"/>
  <c r="U5922" i="1"/>
  <c r="V5922" i="1" s="1"/>
  <c r="U5916" i="1"/>
  <c r="U5910" i="1"/>
  <c r="U5826" i="1"/>
  <c r="U5760" i="1"/>
  <c r="U5746" i="1"/>
  <c r="U5721" i="1"/>
  <c r="U5711" i="1"/>
  <c r="V5711" i="1" s="1"/>
  <c r="U5693" i="1"/>
  <c r="U5673" i="1"/>
  <c r="V5673" i="1" s="1"/>
  <c r="U5604" i="1"/>
  <c r="U5575" i="1"/>
  <c r="U5568" i="1"/>
  <c r="V5568" i="1" s="1"/>
  <c r="U5555" i="1"/>
  <c r="U5485" i="1"/>
  <c r="U5477" i="1"/>
  <c r="U5442" i="1"/>
  <c r="U5406" i="1"/>
  <c r="U5383" i="1"/>
  <c r="U5361" i="1"/>
  <c r="U5340" i="1"/>
  <c r="U5322" i="1"/>
  <c r="U5261" i="1"/>
  <c r="U5257" i="1"/>
  <c r="U5115" i="1"/>
  <c r="U5114" i="1"/>
  <c r="U5028" i="1"/>
  <c r="U4996" i="1"/>
  <c r="U4986" i="1"/>
  <c r="U4947" i="1"/>
  <c r="U4889" i="1"/>
  <c r="U4869" i="1"/>
  <c r="U4864" i="1"/>
  <c r="V4864" i="1" s="1"/>
  <c r="U4862" i="1"/>
  <c r="V4862" i="1" s="1"/>
  <c r="U4830" i="1"/>
  <c r="U4777" i="1"/>
  <c r="U4748" i="1"/>
  <c r="U4606" i="1"/>
  <c r="U4512" i="1"/>
  <c r="U4511" i="1"/>
  <c r="U4498" i="1"/>
  <c r="U4416" i="1"/>
  <c r="U4399" i="1"/>
  <c r="U4362" i="1"/>
  <c r="U4351" i="1"/>
  <c r="U4321" i="1"/>
  <c r="U4309" i="1"/>
  <c r="U4214" i="1"/>
  <c r="U4193" i="1"/>
  <c r="U4149" i="1"/>
  <c r="U4145" i="1"/>
  <c r="U4113" i="1"/>
  <c r="U4090" i="1"/>
  <c r="U3975" i="1"/>
  <c r="U3947" i="1"/>
  <c r="U3929" i="1"/>
  <c r="U3908" i="1"/>
  <c r="U3900" i="1"/>
  <c r="U3854" i="1"/>
  <c r="U3851" i="1"/>
  <c r="U3827" i="1"/>
  <c r="U3778" i="1"/>
  <c r="U3776" i="1"/>
  <c r="U3730" i="1"/>
  <c r="U3717" i="1"/>
  <c r="U3661" i="1"/>
  <c r="U3638" i="1"/>
  <c r="U3574" i="1"/>
  <c r="U3560" i="1"/>
  <c r="U3438" i="1"/>
  <c r="U3423" i="1"/>
  <c r="U3384" i="1"/>
  <c r="U3380" i="1"/>
  <c r="U3376" i="1"/>
  <c r="U3324" i="1"/>
  <c r="U3307" i="1"/>
  <c r="U3157" i="1"/>
  <c r="V3157" i="1" s="1"/>
  <c r="U3156" i="1"/>
  <c r="U3115" i="1"/>
  <c r="U3112" i="1"/>
  <c r="U3111" i="1"/>
  <c r="U3071" i="1"/>
  <c r="U3070" i="1"/>
  <c r="U3053" i="1"/>
  <c r="U3048" i="1"/>
  <c r="U3045" i="1"/>
  <c r="U3034" i="1"/>
  <c r="U3030" i="1"/>
  <c r="U2942" i="1"/>
  <c r="U2932" i="1"/>
  <c r="U2912" i="1"/>
  <c r="U2892" i="1"/>
  <c r="U2856" i="1"/>
  <c r="U2817" i="1"/>
  <c r="U2763" i="1"/>
  <c r="U2629" i="1"/>
  <c r="U2593" i="1"/>
  <c r="V2593" i="1" s="1"/>
  <c r="U2561" i="1"/>
  <c r="U2476" i="1"/>
  <c r="U2432" i="1"/>
  <c r="U2430" i="1"/>
  <c r="U2412" i="1"/>
  <c r="U2396" i="1"/>
  <c r="U2364" i="1"/>
  <c r="U2363" i="1"/>
  <c r="U2281" i="1"/>
  <c r="U2231" i="1"/>
  <c r="U2219" i="1"/>
  <c r="U2142" i="1"/>
  <c r="V2142" i="1" s="1"/>
  <c r="U2132" i="1"/>
  <c r="U2071" i="1"/>
  <c r="U2026" i="1"/>
  <c r="U2023" i="1"/>
  <c r="U1983" i="1"/>
  <c r="U1951" i="1"/>
  <c r="U1899" i="1"/>
  <c r="U1877" i="1"/>
  <c r="U1841" i="1"/>
  <c r="U1774" i="1"/>
  <c r="U1725" i="1"/>
  <c r="U1717" i="1"/>
  <c r="U1707" i="1"/>
  <c r="U1674" i="1"/>
  <c r="U1631" i="1"/>
  <c r="U1576" i="1"/>
  <c r="U1566" i="1"/>
  <c r="U1562" i="1"/>
  <c r="U1560" i="1"/>
  <c r="U1548" i="1"/>
  <c r="U1545" i="1"/>
  <c r="V1545" i="1" s="1"/>
  <c r="U1526" i="1"/>
  <c r="U1508" i="1"/>
  <c r="U1362" i="1"/>
  <c r="U1314" i="1"/>
  <c r="U1300" i="1"/>
  <c r="U1209" i="1"/>
  <c r="U1203" i="1"/>
  <c r="U1194" i="1"/>
  <c r="U1183" i="1"/>
  <c r="U1157" i="1"/>
  <c r="U1144" i="1"/>
  <c r="V1144" i="1" s="1"/>
  <c r="U1121" i="1"/>
  <c r="U1112" i="1"/>
  <c r="U1027" i="1"/>
  <c r="U1024" i="1"/>
  <c r="U898" i="1"/>
  <c r="U854" i="1"/>
  <c r="U840" i="1"/>
  <c r="U817" i="1"/>
  <c r="U805" i="1"/>
  <c r="U784" i="1"/>
  <c r="U760" i="1"/>
  <c r="U723" i="1"/>
  <c r="U668" i="1"/>
  <c r="U658" i="1"/>
  <c r="U651" i="1"/>
  <c r="U622" i="1"/>
  <c r="U610" i="1"/>
  <c r="U545" i="1"/>
  <c r="U526" i="1"/>
  <c r="U516" i="1"/>
  <c r="U492" i="1"/>
  <c r="U486" i="1"/>
  <c r="V486" i="1" s="1"/>
  <c r="U420" i="1"/>
  <c r="U374" i="1"/>
  <c r="U349" i="1"/>
  <c r="U301" i="1"/>
  <c r="U229" i="1"/>
  <c r="U156" i="1"/>
  <c r="U142" i="1"/>
  <c r="U127" i="1"/>
  <c r="U107" i="1"/>
  <c r="U101" i="1"/>
  <c r="V101" i="1" s="1"/>
  <c r="U97" i="1"/>
  <c r="U6616" i="1"/>
  <c r="U6664" i="1"/>
  <c r="U6667" i="1"/>
  <c r="U6696" i="1"/>
  <c r="U6686" i="1"/>
  <c r="U6656" i="1"/>
  <c r="U6610" i="1"/>
  <c r="V6610" i="1" s="1"/>
  <c r="U6563" i="1"/>
  <c r="U6546" i="1"/>
  <c r="U6529" i="1"/>
  <c r="U6454" i="1"/>
  <c r="U6380" i="1"/>
  <c r="U6375" i="1"/>
  <c r="U6349" i="1"/>
  <c r="U6285" i="1"/>
  <c r="U6230" i="1"/>
  <c r="U6117" i="1"/>
  <c r="U6061" i="1"/>
  <c r="V6061" i="1" s="1"/>
  <c r="U6041" i="1"/>
  <c r="U5917" i="1"/>
  <c r="V5917" i="1" s="1"/>
  <c r="U5822" i="1"/>
  <c r="U5655" i="1"/>
  <c r="U5635" i="1"/>
  <c r="V5635" i="1" s="1"/>
  <c r="U5547" i="1"/>
  <c r="U5537" i="1"/>
  <c r="U5505" i="1"/>
  <c r="U5478" i="1"/>
  <c r="U5468" i="1"/>
  <c r="U5430" i="1"/>
  <c r="U5422" i="1"/>
  <c r="U5292" i="1"/>
  <c r="U5220" i="1"/>
  <c r="U5054" i="1"/>
  <c r="U5040" i="1"/>
  <c r="U4944" i="1"/>
  <c r="U4868" i="1"/>
  <c r="U4809" i="1"/>
  <c r="U4753" i="1"/>
  <c r="U4724" i="1"/>
  <c r="V4724" i="1" s="1"/>
  <c r="U4722" i="1"/>
  <c r="U4668" i="1"/>
  <c r="U4647" i="1"/>
  <c r="U4639" i="1"/>
  <c r="U4579" i="1"/>
  <c r="U4514" i="1"/>
  <c r="U4497" i="1"/>
  <c r="U4485" i="1"/>
  <c r="U4484" i="1"/>
  <c r="U4455" i="1"/>
  <c r="U4440" i="1"/>
  <c r="U4426" i="1"/>
  <c r="U4345" i="1"/>
  <c r="U4323" i="1"/>
  <c r="U4319" i="1"/>
  <c r="U4231" i="1"/>
  <c r="V4231" i="1" s="1"/>
  <c r="U4215" i="1"/>
  <c r="U4188" i="1"/>
  <c r="U4071" i="1"/>
  <c r="V4071" i="1" s="1"/>
  <c r="U3988" i="1"/>
  <c r="U3966" i="1"/>
  <c r="V3966" i="1" s="1"/>
  <c r="U3960" i="1"/>
  <c r="V3960" i="1" s="1"/>
  <c r="U3788" i="1"/>
  <c r="U3777" i="1"/>
  <c r="U3740" i="1"/>
  <c r="U3718" i="1"/>
  <c r="U3595" i="1"/>
  <c r="U3500" i="1"/>
  <c r="U3465" i="1"/>
  <c r="U3448" i="1"/>
  <c r="U3372" i="1"/>
  <c r="U3339" i="1"/>
  <c r="V3339" i="1" s="1"/>
  <c r="U3284" i="1"/>
  <c r="U3143" i="1"/>
  <c r="U3130" i="1"/>
  <c r="U3128" i="1"/>
  <c r="U3081" i="1"/>
  <c r="V3081" i="1" s="1"/>
  <c r="U3052" i="1"/>
  <c r="U3013" i="1"/>
  <c r="U3004" i="1"/>
  <c r="U2839" i="1"/>
  <c r="V2839" i="1" s="1"/>
  <c r="U2735" i="1"/>
  <c r="U2716" i="1"/>
  <c r="U2694" i="1"/>
  <c r="U2665" i="1"/>
  <c r="U2562" i="1"/>
  <c r="U2457" i="1"/>
  <c r="U2373" i="1"/>
  <c r="U2361" i="1"/>
  <c r="U2328" i="1"/>
  <c r="U2262" i="1"/>
  <c r="U2190" i="1"/>
  <c r="U2172" i="1"/>
  <c r="U2107" i="1"/>
  <c r="U1995" i="1"/>
  <c r="U1932" i="1"/>
  <c r="U1818" i="1"/>
  <c r="U1747" i="1"/>
  <c r="U1745" i="1"/>
  <c r="U1716" i="1"/>
  <c r="U1589" i="1"/>
  <c r="U1414" i="1"/>
  <c r="U1392" i="1"/>
  <c r="U1350" i="1"/>
  <c r="V1350" i="1" s="1"/>
  <c r="U1341" i="1"/>
  <c r="U1286" i="1"/>
  <c r="U1212" i="1"/>
  <c r="U1091" i="1"/>
  <c r="U1033" i="1"/>
  <c r="U895" i="1"/>
  <c r="U783" i="1"/>
  <c r="U765" i="1"/>
  <c r="U758" i="1"/>
  <c r="V758" i="1" s="1"/>
  <c r="U748" i="1"/>
  <c r="U736" i="1"/>
  <c r="U713" i="1"/>
  <c r="U708" i="1"/>
  <c r="V708" i="1" s="1"/>
  <c r="U679" i="1"/>
  <c r="U544" i="1"/>
  <c r="U470" i="1"/>
  <c r="U456" i="1"/>
  <c r="U455" i="1"/>
  <c r="U431" i="1"/>
  <c r="U386" i="1"/>
  <c r="U348" i="1"/>
  <c r="U192" i="1"/>
  <c r="U191" i="1"/>
  <c r="U162" i="1"/>
  <c r="U72" i="1"/>
  <c r="U6633" i="1"/>
  <c r="U6749" i="1"/>
  <c r="U6586" i="1"/>
  <c r="U6536" i="1"/>
  <c r="U6467" i="1"/>
  <c r="U6457" i="1"/>
  <c r="U6417" i="1"/>
  <c r="U6187" i="1"/>
  <c r="U6050" i="1"/>
  <c r="U5802" i="1"/>
  <c r="U5699" i="1"/>
  <c r="U5681" i="1"/>
  <c r="U5669" i="1"/>
  <c r="U5660" i="1"/>
  <c r="U5579" i="1"/>
  <c r="V5579" i="1" s="1"/>
  <c r="U5558" i="1"/>
  <c r="U5509" i="1"/>
  <c r="U5433" i="1"/>
  <c r="V5433" i="1" s="1"/>
  <c r="U5411" i="1"/>
  <c r="U5398" i="1"/>
  <c r="U5331" i="1"/>
  <c r="U5286" i="1"/>
  <c r="U5248" i="1"/>
  <c r="U5128" i="1"/>
  <c r="U5061" i="1"/>
  <c r="U4992" i="1"/>
  <c r="U4895" i="1"/>
  <c r="V4895" i="1" s="1"/>
  <c r="U4890" i="1"/>
  <c r="U4810" i="1"/>
  <c r="U4785" i="1"/>
  <c r="U4764" i="1"/>
  <c r="V4764" i="1" s="1"/>
  <c r="U4631" i="1"/>
  <c r="U4612" i="1"/>
  <c r="U4605" i="1"/>
  <c r="V4605" i="1" s="1"/>
  <c r="U4475" i="1"/>
  <c r="U4364" i="1"/>
  <c r="U4324" i="1"/>
  <c r="U4197" i="1"/>
  <c r="U4138" i="1"/>
  <c r="U4097" i="1"/>
  <c r="U4074" i="1"/>
  <c r="U4029" i="1"/>
  <c r="U3993" i="1"/>
  <c r="U3876" i="1"/>
  <c r="U3755" i="1"/>
  <c r="V3755" i="1" s="1"/>
  <c r="U3585" i="1"/>
  <c r="U3570" i="1"/>
  <c r="V3570" i="1" s="1"/>
  <c r="U3476" i="1"/>
  <c r="U3340" i="1"/>
  <c r="U3332" i="1"/>
  <c r="U3287" i="1"/>
  <c r="U3256" i="1"/>
  <c r="U3141" i="1"/>
  <c r="U3125" i="1"/>
  <c r="U2884" i="1"/>
  <c r="V2884" i="1" s="1"/>
  <c r="U2712" i="1"/>
  <c r="U2647" i="1"/>
  <c r="U2610" i="1"/>
  <c r="U2332" i="1"/>
  <c r="U2257" i="1"/>
  <c r="V2257" i="1" s="1"/>
  <c r="U2092" i="1"/>
  <c r="U2056" i="1"/>
  <c r="U2053" i="1"/>
  <c r="U1634" i="1"/>
  <c r="U1597" i="1"/>
  <c r="U1459" i="1"/>
  <c r="V1459" i="1" s="1"/>
  <c r="U1423" i="1"/>
  <c r="U1400" i="1"/>
  <c r="U1330" i="1"/>
  <c r="U1324" i="1"/>
  <c r="U1316" i="1"/>
  <c r="U1228" i="1"/>
  <c r="U1136" i="1"/>
  <c r="U1135" i="1"/>
  <c r="U1083" i="1"/>
  <c r="U1039" i="1"/>
  <c r="V1039" i="1" s="1"/>
  <c r="U934" i="1"/>
  <c r="U807" i="1"/>
  <c r="U630" i="1"/>
  <c r="U547" i="1"/>
  <c r="U466" i="1"/>
  <c r="U450" i="1"/>
  <c r="U406" i="1"/>
  <c r="U137" i="1"/>
  <c r="U92" i="1"/>
  <c r="U85" i="1"/>
  <c r="U52" i="1"/>
  <c r="V6910" i="1" l="1"/>
  <c r="V6846" i="1"/>
  <c r="V6830" i="1"/>
  <c r="V7220" i="1"/>
  <c r="V7108" i="1"/>
  <c r="V7068" i="1"/>
  <c r="V6087" i="1"/>
  <c r="V1135" i="1"/>
  <c r="V6753" i="1"/>
  <c r="V3907" i="1"/>
  <c r="V5176" i="1"/>
  <c r="V7720" i="1"/>
  <c r="V7712" i="1"/>
  <c r="V7704" i="1"/>
  <c r="V7696" i="1"/>
  <c r="V7688" i="1"/>
  <c r="V7680" i="1"/>
  <c r="V4947" i="1"/>
  <c r="V2220" i="1"/>
  <c r="V3778" i="1"/>
  <c r="V4722" i="1"/>
  <c r="V1228" i="1"/>
  <c r="V1566" i="1"/>
  <c r="V5128" i="1"/>
  <c r="V5220" i="1"/>
  <c r="V3045" i="1"/>
  <c r="V293" i="1"/>
  <c r="V6452" i="1"/>
  <c r="V2115" i="1"/>
  <c r="V4192" i="1"/>
  <c r="V5504" i="1"/>
  <c r="V2684" i="1"/>
  <c r="V832" i="1"/>
  <c r="V5190" i="1"/>
  <c r="V5649" i="1"/>
  <c r="V1261" i="1"/>
  <c r="V5219" i="1"/>
  <c r="V901" i="1"/>
  <c r="V884" i="1"/>
  <c r="V3689" i="1"/>
  <c r="V5980" i="1"/>
  <c r="V3295" i="1"/>
  <c r="V690" i="1"/>
  <c r="V1867" i="1"/>
  <c r="V3949" i="1"/>
  <c r="V5983" i="1"/>
  <c r="V2506" i="1"/>
  <c r="V6149" i="1"/>
  <c r="V2209" i="1"/>
  <c r="V2827" i="1"/>
  <c r="V5179" i="1"/>
  <c r="V2983" i="1"/>
  <c r="V4649" i="1"/>
  <c r="V4720" i="1"/>
  <c r="V5733" i="1"/>
  <c r="V5675" i="1"/>
  <c r="V5624" i="1"/>
  <c r="V5430" i="1"/>
  <c r="V7672" i="1"/>
  <c r="V7664" i="1"/>
  <c r="V7656" i="1"/>
  <c r="V7648" i="1"/>
  <c r="V7640" i="1"/>
  <c r="V7632" i="1"/>
  <c r="V7624" i="1"/>
  <c r="V7616" i="1"/>
  <c r="V7608" i="1"/>
  <c r="V7600" i="1"/>
  <c r="V7592" i="1"/>
  <c r="V7584" i="1"/>
  <c r="V7576" i="1"/>
  <c r="V7568" i="1"/>
  <c r="V7560" i="1"/>
  <c r="V7552" i="1"/>
  <c r="V7544" i="1"/>
  <c r="V7536" i="1"/>
  <c r="V7528" i="1"/>
  <c r="V7520" i="1"/>
  <c r="V7512" i="1"/>
  <c r="V7504" i="1"/>
  <c r="V7496" i="1"/>
  <c r="V7488" i="1"/>
  <c r="V7480" i="1"/>
  <c r="V7472" i="1"/>
  <c r="V7464" i="1"/>
  <c r="V7456" i="1"/>
  <c r="V7448" i="1"/>
  <c r="V7440" i="1"/>
  <c r="V7432" i="1"/>
  <c r="V7424" i="1"/>
  <c r="V7416" i="1"/>
  <c r="V7408" i="1"/>
  <c r="V7400" i="1"/>
  <c r="V7392" i="1"/>
  <c r="V7384" i="1"/>
  <c r="V7376" i="1"/>
  <c r="V7368" i="1"/>
  <c r="V7360" i="1"/>
  <c r="V7352" i="1"/>
  <c r="V7344" i="1"/>
  <c r="V7336" i="1"/>
  <c r="V7328" i="1"/>
  <c r="V7320" i="1"/>
  <c r="V7312" i="1"/>
  <c r="V7304" i="1"/>
  <c r="V7296" i="1"/>
  <c r="V7288" i="1"/>
  <c r="V7280" i="1"/>
  <c r="V7272" i="1"/>
  <c r="V7264" i="1"/>
  <c r="V7256" i="1"/>
  <c r="V7248" i="1"/>
  <c r="V7240" i="1"/>
  <c r="V7232" i="1"/>
  <c r="V7224" i="1"/>
  <c r="V7216" i="1"/>
  <c r="V7208" i="1"/>
  <c r="V7200" i="1"/>
  <c r="V7192" i="1"/>
  <c r="V7184" i="1"/>
  <c r="V7176" i="1"/>
  <c r="V7168" i="1"/>
  <c r="V7160" i="1"/>
  <c r="V7152" i="1"/>
  <c r="V7144" i="1"/>
  <c r="V7136" i="1"/>
  <c r="V7128" i="1"/>
  <c r="V7120" i="1"/>
  <c r="V7112" i="1"/>
  <c r="V7104" i="1"/>
  <c r="V7096" i="1"/>
  <c r="V7088" i="1"/>
  <c r="V7080" i="1"/>
  <c r="V7072" i="1"/>
  <c r="V7064" i="1"/>
  <c r="V7056" i="1"/>
  <c r="V7048" i="1"/>
  <c r="V7040" i="1"/>
  <c r="V7032" i="1"/>
  <c r="V7024" i="1"/>
  <c r="V7016" i="1"/>
  <c r="V7008" i="1"/>
  <c r="V7000" i="1"/>
  <c r="V6992" i="1"/>
  <c r="V6984" i="1"/>
  <c r="V6976" i="1"/>
  <c r="V6968" i="1"/>
  <c r="V6960" i="1"/>
  <c r="V6952" i="1"/>
  <c r="V6944" i="1"/>
  <c r="V6936" i="1"/>
  <c r="V6928" i="1"/>
  <c r="V6920" i="1"/>
  <c r="V6912" i="1"/>
  <c r="V6904" i="1"/>
  <c r="V6896" i="1"/>
  <c r="V6888" i="1"/>
  <c r="V6880" i="1"/>
  <c r="V6872" i="1"/>
  <c r="V6864" i="1"/>
  <c r="V6856" i="1"/>
  <c r="V6848" i="1"/>
  <c r="V6840" i="1"/>
  <c r="V6832" i="1"/>
  <c r="V6824" i="1"/>
  <c r="V6816" i="1"/>
  <c r="V6808" i="1"/>
  <c r="V6800" i="1"/>
  <c r="V6792" i="1"/>
  <c r="V6784" i="1"/>
  <c r="V6776" i="1"/>
  <c r="V6768" i="1"/>
  <c r="V7702" i="1"/>
  <c r="V7694" i="1"/>
  <c r="V7724" i="1"/>
  <c r="V7716" i="1"/>
  <c r="V7708" i="1"/>
  <c r="V7700" i="1"/>
  <c r="V7692" i="1"/>
  <c r="V7684" i="1"/>
  <c r="V7676" i="1"/>
  <c r="V7668" i="1"/>
  <c r="V7660" i="1"/>
  <c r="V7652" i="1"/>
  <c r="V7644" i="1"/>
  <c r="V7636" i="1"/>
  <c r="V7628" i="1"/>
  <c r="V7620" i="1"/>
  <c r="V7612" i="1"/>
  <c r="V7604" i="1"/>
  <c r="V7596" i="1"/>
  <c r="V7588" i="1"/>
  <c r="V7580" i="1"/>
  <c r="V7572" i="1"/>
  <c r="V7564" i="1"/>
  <c r="V7556" i="1"/>
  <c r="V7548" i="1"/>
  <c r="V7540" i="1"/>
  <c r="V5331" i="1"/>
  <c r="V679" i="1"/>
  <c r="V4629" i="1"/>
  <c r="V1044" i="1"/>
  <c r="V2503" i="1"/>
  <c r="V1091" i="1"/>
  <c r="V3111" i="1"/>
  <c r="V6481" i="1"/>
  <c r="V1767" i="1"/>
  <c r="V1642" i="1"/>
  <c r="V4072" i="1"/>
  <c r="V482" i="1"/>
  <c r="V714" i="1"/>
  <c r="V3130" i="1"/>
  <c r="V2364" i="1"/>
  <c r="V4548" i="1"/>
  <c r="V6025" i="1"/>
  <c r="V3044" i="1"/>
  <c r="V1001" i="1"/>
  <c r="V6268" i="1"/>
  <c r="V1474" i="1"/>
  <c r="V1092" i="1"/>
  <c r="V3940" i="1"/>
  <c r="V6413" i="1"/>
  <c r="V3901" i="1"/>
  <c r="V2715" i="1"/>
  <c r="V6330" i="1"/>
  <c r="V4212" i="1"/>
  <c r="V1479" i="1"/>
  <c r="V3721" i="1"/>
  <c r="V1931" i="1"/>
  <c r="V7532" i="1"/>
  <c r="V7524" i="1"/>
  <c r="V7516" i="1"/>
  <c r="V7508" i="1"/>
  <c r="V7500" i="1"/>
  <c r="V7492" i="1"/>
  <c r="V7484" i="1"/>
  <c r="V3759" i="1"/>
  <c r="V4999" i="1"/>
  <c r="V5974" i="1"/>
  <c r="V3240" i="1"/>
  <c r="V1937" i="1"/>
  <c r="V3225" i="1"/>
  <c r="V2400" i="1"/>
  <c r="V5585" i="1"/>
  <c r="V5040" i="1"/>
  <c r="V4511" i="1"/>
  <c r="V5257" i="1"/>
  <c r="V3394" i="1"/>
  <c r="V2247" i="1"/>
  <c r="V320" i="1"/>
  <c r="V5699" i="1"/>
  <c r="V2363" i="1"/>
  <c r="V6632" i="1"/>
  <c r="V6671" i="1"/>
  <c r="V1628" i="1"/>
  <c r="V657" i="1"/>
  <c r="V6006" i="1"/>
  <c r="V5309" i="1"/>
  <c r="V6473" i="1"/>
  <c r="V6409" i="1"/>
  <c r="V736" i="1"/>
  <c r="V4215" i="1"/>
  <c r="V5547" i="1"/>
  <c r="V4606" i="1"/>
  <c r="V6735" i="1"/>
  <c r="V2609" i="1"/>
  <c r="V981" i="1"/>
  <c r="V4778" i="1"/>
  <c r="V1099" i="1"/>
  <c r="V2421" i="1"/>
  <c r="V3218" i="1"/>
  <c r="V554" i="1"/>
  <c r="V5300" i="1"/>
  <c r="V1990" i="1"/>
  <c r="V646" i="1"/>
  <c r="V1736" i="1"/>
  <c r="V5992" i="1"/>
  <c r="V5267" i="1"/>
  <c r="V596" i="1"/>
  <c r="V867" i="1"/>
  <c r="V1808" i="1"/>
  <c r="V958" i="1"/>
  <c r="V5348" i="1"/>
  <c r="V6023" i="1"/>
  <c r="V331" i="1"/>
  <c r="V701" i="1"/>
  <c r="V2556" i="1"/>
  <c r="V1248" i="1"/>
  <c r="V2385" i="1"/>
  <c r="V3360" i="1"/>
  <c r="V4424" i="1"/>
  <c r="V5600" i="1"/>
  <c r="V6743" i="1"/>
  <c r="V652" i="1"/>
  <c r="V4208" i="1"/>
  <c r="V918" i="1"/>
  <c r="V3104" i="1"/>
  <c r="V6667" i="1"/>
  <c r="V4703" i="1"/>
  <c r="V1844" i="1"/>
  <c r="V5719" i="1"/>
  <c r="V3724" i="1"/>
  <c r="V1554" i="1"/>
  <c r="V195" i="1"/>
  <c r="V4631" i="1"/>
  <c r="V162" i="1"/>
  <c r="V4485" i="1"/>
  <c r="V622" i="1"/>
  <c r="V6202" i="1"/>
  <c r="V5651" i="1"/>
  <c r="V1699" i="1"/>
  <c r="V4035" i="1"/>
  <c r="V6323" i="1"/>
  <c r="V1226" i="1"/>
  <c r="V2860" i="1"/>
  <c r="V2474" i="1"/>
  <c r="V2600" i="1"/>
  <c r="V1388" i="1"/>
  <c r="V6725" i="1"/>
  <c r="V2011" i="1"/>
  <c r="V5449" i="1"/>
  <c r="V3041" i="1"/>
  <c r="V1764" i="1"/>
  <c r="V2914" i="1"/>
  <c r="V3266" i="1"/>
  <c r="V5368" i="1"/>
  <c r="V5940" i="1"/>
  <c r="V6646" i="1"/>
  <c r="V1639" i="1"/>
  <c r="V5239" i="1"/>
  <c r="V6706" i="1"/>
  <c r="V4428" i="1"/>
  <c r="V908" i="1"/>
  <c r="V6083" i="1"/>
  <c r="V74" i="1"/>
  <c r="V7638" i="1"/>
  <c r="V7630" i="1"/>
  <c r="V7574" i="1"/>
  <c r="V7566" i="1"/>
  <c r="V7510" i="1"/>
  <c r="V7502" i="1"/>
  <c r="V7446" i="1"/>
  <c r="V7438" i="1"/>
  <c r="V7382" i="1"/>
  <c r="V7374" i="1"/>
  <c r="V7350" i="1"/>
  <c r="V7294" i="1"/>
  <c r="V7286" i="1"/>
  <c r="V7230" i="1"/>
  <c r="V7222" i="1"/>
  <c r="V7166" i="1"/>
  <c r="V7158" i="1"/>
  <c r="V7118" i="1"/>
  <c r="V7102" i="1"/>
  <c r="V7094" i="1"/>
  <c r="V7086" i="1"/>
  <c r="V7070" i="1"/>
  <c r="V7062" i="1"/>
  <c r="V7054" i="1"/>
  <c r="V7038" i="1"/>
  <c r="V7030" i="1"/>
  <c r="V7022" i="1"/>
  <c r="V7006" i="1"/>
  <c r="V6998" i="1"/>
  <c r="V6990" i="1"/>
  <c r="V6982" i="1"/>
  <c r="V6974" i="1"/>
  <c r="V6966" i="1"/>
  <c r="V6958" i="1"/>
  <c r="V6950" i="1"/>
  <c r="V6942" i="1"/>
  <c r="V6934" i="1"/>
  <c r="V6926" i="1"/>
  <c r="V6918" i="1"/>
  <c r="V6902" i="1"/>
  <c r="V6894" i="1"/>
  <c r="V6886" i="1"/>
  <c r="V6878" i="1"/>
  <c r="V6870" i="1"/>
  <c r="V6862" i="1"/>
  <c r="V6854" i="1"/>
  <c r="V6838" i="1"/>
  <c r="V6822" i="1"/>
  <c r="V6814" i="1"/>
  <c r="V6806" i="1"/>
  <c r="V6798" i="1"/>
  <c r="V6790" i="1"/>
  <c r="V6782" i="1"/>
  <c r="V6774" i="1"/>
  <c r="V7476" i="1"/>
  <c r="V7468" i="1"/>
  <c r="V7460" i="1"/>
  <c r="V7452" i="1"/>
  <c r="V7444" i="1"/>
  <c r="V7436" i="1"/>
  <c r="V7428" i="1"/>
  <c r="V7420" i="1"/>
  <c r="V7412" i="1"/>
  <c r="V7404" i="1"/>
  <c r="V7396" i="1"/>
  <c r="V7388" i="1"/>
  <c r="V7380" i="1"/>
  <c r="V7372" i="1"/>
  <c r="V7364" i="1"/>
  <c r="V7356" i="1"/>
  <c r="V7348" i="1"/>
  <c r="V7340" i="1"/>
  <c r="V7332" i="1"/>
  <c r="V7324" i="1"/>
  <c r="V7316" i="1"/>
  <c r="V7308" i="1"/>
  <c r="V7300" i="1"/>
  <c r="V7292" i="1"/>
  <c r="V7284" i="1"/>
  <c r="V7276" i="1"/>
  <c r="V7268" i="1"/>
  <c r="V7260" i="1"/>
  <c r="V7252" i="1"/>
  <c r="V7244" i="1"/>
  <c r="V7236" i="1"/>
  <c r="V7228" i="1"/>
  <c r="V7212" i="1"/>
  <c r="V7204" i="1"/>
  <c r="V7196" i="1"/>
  <c r="V7188" i="1"/>
  <c r="V7180" i="1"/>
  <c r="V7172" i="1"/>
  <c r="V7164" i="1"/>
  <c r="V7156" i="1"/>
  <c r="V7148" i="1"/>
  <c r="V7140" i="1"/>
  <c r="V7132" i="1"/>
  <c r="V7124" i="1"/>
  <c r="V7116" i="1"/>
  <c r="V7100" i="1"/>
  <c r="V7092" i="1"/>
  <c r="V7084" i="1"/>
  <c r="V7076" i="1"/>
  <c r="V7060" i="1"/>
  <c r="V7052" i="1"/>
  <c r="V7044" i="1"/>
  <c r="V7036" i="1"/>
  <c r="V7028" i="1"/>
  <c r="V7020" i="1"/>
  <c r="V7012" i="1"/>
  <c r="V7004" i="1"/>
  <c r="V6996" i="1"/>
  <c r="V6988" i="1"/>
  <c r="V6980" i="1"/>
  <c r="V6972" i="1"/>
  <c r="V6964" i="1"/>
  <c r="V6956" i="1"/>
  <c r="V6948" i="1"/>
  <c r="V6940" i="1"/>
  <c r="V6932" i="1"/>
  <c r="V6924" i="1"/>
  <c r="V6916" i="1"/>
  <c r="V6908" i="1"/>
  <c r="V6900" i="1"/>
  <c r="V6892" i="1"/>
  <c r="V6884" i="1"/>
  <c r="V6876" i="1"/>
  <c r="V6868" i="1"/>
  <c r="V6860" i="1"/>
  <c r="V6844" i="1"/>
  <c r="V6836" i="1"/>
  <c r="V6828" i="1"/>
  <c r="V6820" i="1"/>
  <c r="V6812" i="1"/>
  <c r="V6804" i="1"/>
  <c r="V6796" i="1"/>
  <c r="V6788" i="1"/>
  <c r="V6780" i="1"/>
  <c r="V6772" i="1"/>
  <c r="V5248" i="1"/>
  <c r="V470" i="1"/>
  <c r="V5292" i="1"/>
  <c r="V3097" i="1"/>
  <c r="V4255" i="1"/>
  <c r="V4433" i="1"/>
  <c r="V5517" i="1"/>
  <c r="V5435" i="1"/>
  <c r="V850" i="1"/>
  <c r="V1273" i="1"/>
  <c r="V2826" i="1"/>
  <c r="V2056" i="1"/>
  <c r="V783" i="1"/>
  <c r="V2033" i="1"/>
  <c r="V1581" i="1"/>
  <c r="V1331" i="1"/>
  <c r="V887" i="1"/>
  <c r="V2213" i="1"/>
  <c r="V489" i="1"/>
  <c r="V3533" i="1"/>
  <c r="V3085" i="1"/>
  <c r="V4476" i="1"/>
  <c r="V130" i="1"/>
  <c r="V5231" i="1"/>
  <c r="V5361" i="1"/>
  <c r="V196" i="1"/>
  <c r="V808" i="1"/>
  <c r="V4902" i="1"/>
  <c r="V44" i="1"/>
  <c r="V3341" i="1"/>
  <c r="V1437" i="1"/>
  <c r="V2437" i="1"/>
  <c r="V5998" i="1"/>
  <c r="V2526" i="1"/>
  <c r="V2866" i="1"/>
  <c r="V5211" i="1"/>
  <c r="V1317" i="1"/>
  <c r="V3077" i="1"/>
  <c r="V3789" i="1"/>
  <c r="V3267" i="1"/>
  <c r="V5260" i="1"/>
  <c r="V7718" i="1"/>
  <c r="V7710" i="1"/>
  <c r="V7686" i="1"/>
  <c r="V7678" i="1"/>
  <c r="V7670" i="1"/>
  <c r="V7662" i="1"/>
  <c r="V7654" i="1"/>
  <c r="V7646" i="1"/>
  <c r="V7622" i="1"/>
  <c r="V7614" i="1"/>
  <c r="V7606" i="1"/>
  <c r="V7598" i="1"/>
  <c r="V7590" i="1"/>
  <c r="V7582" i="1"/>
  <c r="V7558" i="1"/>
  <c r="V7550" i="1"/>
  <c r="V7542" i="1"/>
  <c r="V7534" i="1"/>
  <c r="V7526" i="1"/>
  <c r="V7518" i="1"/>
  <c r="V7494" i="1"/>
  <c r="V7486" i="1"/>
  <c r="V7478" i="1"/>
  <c r="V7470" i="1"/>
  <c r="V7462" i="1"/>
  <c r="V7454" i="1"/>
  <c r="V7430" i="1"/>
  <c r="V7422" i="1"/>
  <c r="V7414" i="1"/>
  <c r="V7406" i="1"/>
  <c r="V7398" i="1"/>
  <c r="V7390" i="1"/>
  <c r="V7366" i="1"/>
  <c r="V7358" i="1"/>
  <c r="V7342" i="1"/>
  <c r="V7334" i="1"/>
  <c r="V7326" i="1"/>
  <c r="V7318" i="1"/>
  <c r="V7310" i="1"/>
  <c r="V7302" i="1"/>
  <c r="V7278" i="1"/>
  <c r="V7270" i="1"/>
  <c r="V7262" i="1"/>
  <c r="V7254" i="1"/>
  <c r="V7246" i="1"/>
  <c r="V7238" i="1"/>
  <c r="V7214" i="1"/>
  <c r="V7206" i="1"/>
  <c r="V7198" i="1"/>
  <c r="V7190" i="1"/>
  <c r="V7182" i="1"/>
  <c r="V7174" i="1"/>
  <c r="V7150" i="1"/>
  <c r="V7142" i="1"/>
  <c r="V7134" i="1"/>
  <c r="V7126" i="1"/>
  <c r="V7110" i="1"/>
  <c r="V7078" i="1"/>
  <c r="V7046" i="1"/>
  <c r="V7014" i="1"/>
  <c r="V5669" i="1"/>
  <c r="V6686" i="1"/>
  <c r="V3703" i="1"/>
  <c r="V2565" i="1"/>
  <c r="V4957" i="1"/>
  <c r="V303" i="1"/>
  <c r="V6352" i="1"/>
  <c r="V1729" i="1"/>
  <c r="V4095" i="1"/>
  <c r="V1943" i="1"/>
  <c r="V2945" i="1"/>
  <c r="V6708" i="1"/>
  <c r="V2819" i="1"/>
  <c r="V3775" i="1"/>
  <c r="V695" i="1"/>
  <c r="V3181" i="1"/>
  <c r="V2570" i="1"/>
  <c r="V4784" i="1"/>
  <c r="V6438" i="1"/>
  <c r="V6443" i="1"/>
  <c r="V7723" i="1"/>
  <c r="V7715" i="1"/>
  <c r="V7707" i="1"/>
  <c r="V7699" i="1"/>
  <c r="V7691" i="1"/>
  <c r="V7683" i="1"/>
  <c r="V7675" i="1"/>
  <c r="V7667" i="1"/>
  <c r="V7659" i="1"/>
  <c r="V7651" i="1"/>
  <c r="V7643" i="1"/>
  <c r="V7635" i="1"/>
  <c r="V7627" i="1"/>
  <c r="V7619" i="1"/>
  <c r="V7611" i="1"/>
  <c r="V7603" i="1"/>
  <c r="V7595" i="1"/>
  <c r="V7587" i="1"/>
  <c r="V7579" i="1"/>
  <c r="V7571" i="1"/>
  <c r="V7563" i="1"/>
  <c r="V7555" i="1"/>
  <c r="V7547" i="1"/>
  <c r="V7539" i="1"/>
  <c r="V7531" i="1"/>
  <c r="V7523" i="1"/>
  <c r="V7515" i="1"/>
  <c r="V7507" i="1"/>
  <c r="V7499" i="1"/>
  <c r="V7491" i="1"/>
  <c r="V7483" i="1"/>
  <c r="V7475" i="1"/>
  <c r="V7467" i="1"/>
  <c r="V7459" i="1"/>
  <c r="V7451" i="1"/>
  <c r="V7443" i="1"/>
  <c r="V6524" i="1"/>
  <c r="V6738" i="1"/>
  <c r="V7435" i="1"/>
  <c r="V7427" i="1"/>
  <c r="V7419" i="1"/>
  <c r="V7411" i="1"/>
  <c r="V7403" i="1"/>
  <c r="V7395" i="1"/>
  <c r="V7387" i="1"/>
  <c r="V7379" i="1"/>
  <c r="V7371" i="1"/>
  <c r="V7363" i="1"/>
  <c r="V7355" i="1"/>
  <c r="V7347" i="1"/>
  <c r="V7339" i="1"/>
  <c r="V7331" i="1"/>
  <c r="V7323" i="1"/>
  <c r="V7315" i="1"/>
  <c r="V7307" i="1"/>
  <c r="V7299" i="1"/>
  <c r="V7291" i="1"/>
  <c r="V7283" i="1"/>
  <c r="V7275" i="1"/>
  <c r="V7267" i="1"/>
  <c r="V7259" i="1"/>
  <c r="V7251" i="1"/>
  <c r="V7243" i="1"/>
  <c r="V7235" i="1"/>
  <c r="V7227" i="1"/>
  <c r="V7219" i="1"/>
  <c r="V7211" i="1"/>
  <c r="V7203" i="1"/>
  <c r="V7195" i="1"/>
  <c r="V7187" i="1"/>
  <c r="V7179" i="1"/>
  <c r="V7171" i="1"/>
  <c r="V7163" i="1"/>
  <c r="V7155" i="1"/>
  <c r="V7147" i="1"/>
  <c r="V7139" i="1"/>
  <c r="V7131" i="1"/>
  <c r="V7123" i="1"/>
  <c r="V7115" i="1"/>
  <c r="V7107" i="1"/>
  <c r="V7099" i="1"/>
  <c r="V7091" i="1"/>
  <c r="V7083" i="1"/>
  <c r="V7075" i="1"/>
  <c r="V7067" i="1"/>
  <c r="V7059" i="1"/>
  <c r="V7051" i="1"/>
  <c r="V7043" i="1"/>
  <c r="V7035" i="1"/>
  <c r="V7027" i="1"/>
  <c r="V7019" i="1"/>
  <c r="V7011" i="1"/>
  <c r="V7003" i="1"/>
  <c r="V6995" i="1"/>
  <c r="V6987" i="1"/>
  <c r="V6979" i="1"/>
  <c r="V6971" i="1"/>
  <c r="V6963" i="1"/>
  <c r="V6955" i="1"/>
  <c r="V6947" i="1"/>
  <c r="V6939" i="1"/>
  <c r="V6931" i="1"/>
  <c r="V6923" i="1"/>
  <c r="V6915" i="1"/>
  <c r="V6907" i="1"/>
  <c r="V6899" i="1"/>
  <c r="V6891" i="1"/>
  <c r="V6883" i="1"/>
  <c r="V6875" i="1"/>
  <c r="V6867" i="1"/>
  <c r="V6859" i="1"/>
  <c r="V6851" i="1"/>
  <c r="V6843" i="1"/>
  <c r="V6835" i="1"/>
  <c r="V6827" i="1"/>
  <c r="V6819" i="1"/>
  <c r="V6811" i="1"/>
  <c r="V6803" i="1"/>
  <c r="V6795" i="1"/>
  <c r="V6787" i="1"/>
  <c r="V6779" i="1"/>
  <c r="V6771" i="1"/>
  <c r="V6763" i="1"/>
  <c r="V877" i="1"/>
  <c r="V4207" i="1"/>
  <c r="V1221" i="1"/>
  <c r="V581" i="1"/>
  <c r="V2645" i="1"/>
  <c r="V4254" i="1"/>
  <c r="V6574" i="1"/>
  <c r="V1346" i="1"/>
  <c r="V6448" i="1"/>
  <c r="V75" i="1"/>
  <c r="V1696" i="1"/>
  <c r="V6150" i="1"/>
  <c r="V1594" i="1"/>
  <c r="V3155" i="1"/>
  <c r="V3794" i="1"/>
  <c r="V4708" i="1"/>
  <c r="V803" i="1"/>
  <c r="V1559" i="1"/>
  <c r="V934" i="1"/>
  <c r="V2107" i="1"/>
  <c r="V2026" i="1"/>
  <c r="V3011" i="1"/>
  <c r="V2079" i="1"/>
  <c r="V760" i="1"/>
  <c r="V209" i="1"/>
  <c r="V6282" i="1"/>
  <c r="V4167" i="1"/>
  <c r="V2225" i="1"/>
  <c r="V6142" i="1"/>
  <c r="V6392" i="1"/>
  <c r="V5158" i="1"/>
  <c r="V1016" i="1"/>
  <c r="V5207" i="1"/>
  <c r="V2718" i="1"/>
  <c r="V5143" i="1"/>
  <c r="V909" i="1"/>
  <c r="V6" i="1"/>
  <c r="V827" i="1"/>
  <c r="V3002" i="1"/>
  <c r="V5064" i="1"/>
  <c r="V6424" i="1"/>
  <c r="V4961" i="1"/>
  <c r="V4264" i="1"/>
  <c r="V2327" i="1"/>
  <c r="V1779" i="1"/>
  <c r="V1964" i="1"/>
  <c r="V2929" i="1"/>
  <c r="V18" i="1"/>
  <c r="V2970" i="1"/>
  <c r="V4619" i="1"/>
  <c r="V6289" i="1"/>
  <c r="V940" i="1"/>
  <c r="V1118" i="1"/>
  <c r="V1815" i="1"/>
  <c r="V2501" i="1"/>
  <c r="V3507" i="1"/>
  <c r="V3051" i="1"/>
  <c r="V4481" i="1"/>
  <c r="V1539" i="1"/>
  <c r="V3751" i="1"/>
  <c r="V4626" i="1"/>
  <c r="V5058" i="1"/>
  <c r="V5458" i="1"/>
  <c r="V6109" i="1"/>
  <c r="V2399" i="1"/>
  <c r="V5274" i="1"/>
  <c r="V5924" i="1"/>
  <c r="V847" i="1"/>
  <c r="V3599" i="1"/>
  <c r="V58" i="1"/>
  <c r="V5443" i="1"/>
  <c r="V675" i="1"/>
  <c r="V3692" i="1"/>
  <c r="V5689" i="1"/>
  <c r="V3572" i="1"/>
  <c r="V4867" i="1"/>
  <c r="V154" i="1"/>
  <c r="V5170" i="1"/>
  <c r="V3064" i="1"/>
  <c r="V978" i="1"/>
  <c r="V2995" i="1"/>
  <c r="V4343" i="1"/>
  <c r="V6266" i="1"/>
  <c r="V6759" i="1"/>
  <c r="V3738" i="1"/>
  <c r="V4290" i="1"/>
  <c r="V900" i="1"/>
  <c r="V5787" i="1"/>
  <c r="V1727" i="1"/>
  <c r="V6597" i="1"/>
  <c r="V5716" i="1"/>
  <c r="V5384" i="1"/>
  <c r="V6096" i="1"/>
  <c r="V2139" i="1"/>
  <c r="V2776" i="1"/>
  <c r="V2738" i="1"/>
  <c r="V371" i="1"/>
  <c r="V5808" i="1"/>
  <c r="V1609" i="1"/>
  <c r="V5432" i="1"/>
  <c r="V275" i="1"/>
  <c r="V1311" i="1"/>
  <c r="V444" i="1"/>
  <c r="V4323" i="1"/>
  <c r="V5822" i="1"/>
  <c r="V3324" i="1"/>
  <c r="V4830" i="1"/>
  <c r="V2657" i="1"/>
  <c r="V3847" i="1"/>
  <c r="V6146" i="1"/>
  <c r="V4928" i="1"/>
  <c r="V617" i="1"/>
  <c r="V3250" i="1"/>
  <c r="V2978" i="1"/>
  <c r="V1332" i="1"/>
  <c r="V4838" i="1"/>
  <c r="V644" i="1"/>
  <c r="V3933" i="1"/>
  <c r="V6017" i="1"/>
  <c r="V4890" i="1"/>
  <c r="V5468" i="1"/>
  <c r="V142" i="1"/>
  <c r="V2932" i="1"/>
  <c r="V4416" i="1"/>
  <c r="V5114" i="1"/>
  <c r="V5916" i="1"/>
  <c r="V6639" i="1"/>
  <c r="V886" i="1"/>
  <c r="V3363" i="1"/>
  <c r="V206" i="1"/>
  <c r="V1771" i="1"/>
  <c r="V6431" i="1"/>
  <c r="V6225" i="1"/>
  <c r="V1111" i="1"/>
  <c r="V2352" i="1"/>
  <c r="V4843" i="1"/>
  <c r="V989" i="1"/>
  <c r="V1632" i="1"/>
  <c r="V90" i="1"/>
  <c r="V3993" i="1"/>
  <c r="V3500" i="1"/>
  <c r="V4639" i="1"/>
  <c r="V6454" i="1"/>
  <c r="V1717" i="1"/>
  <c r="V3380" i="1"/>
  <c r="V3908" i="1"/>
  <c r="V6228" i="1"/>
  <c r="V1915" i="1"/>
  <c r="V1370" i="1"/>
  <c r="V2883" i="1"/>
  <c r="V4701" i="1"/>
  <c r="V818" i="1"/>
  <c r="V3554" i="1"/>
  <c r="V2395" i="1"/>
  <c r="V5283" i="1"/>
  <c r="V5589" i="1"/>
  <c r="V603" i="1"/>
  <c r="V5480" i="1"/>
  <c r="V2699" i="1"/>
  <c r="V4027" i="1"/>
  <c r="V5831" i="1"/>
  <c r="V6711" i="1"/>
  <c r="V6557" i="1"/>
  <c r="V3620" i="1"/>
  <c r="V5795" i="1"/>
  <c r="V3603" i="1"/>
  <c r="V59" i="1"/>
  <c r="V3331" i="1"/>
  <c r="V1466" i="1"/>
  <c r="V733" i="1"/>
  <c r="V4935" i="1"/>
  <c r="V764" i="1"/>
  <c r="V1680" i="1"/>
  <c r="V2962" i="1"/>
  <c r="V4451" i="1"/>
  <c r="V6272" i="1"/>
  <c r="V2580" i="1"/>
  <c r="V3660" i="1"/>
  <c r="V5597" i="1"/>
  <c r="V2367" i="1"/>
  <c r="V3378" i="1"/>
  <c r="V4991" i="1"/>
  <c r="V5784" i="1"/>
  <c r="V451" i="1"/>
  <c r="V5177" i="1"/>
  <c r="V2005" i="1"/>
  <c r="V3092" i="1"/>
  <c r="V5541" i="1"/>
  <c r="V4217" i="1"/>
  <c r="V595" i="1"/>
  <c r="V4520" i="1"/>
  <c r="V5933" i="1"/>
  <c r="V6119" i="1"/>
  <c r="V1505" i="1"/>
  <c r="V2427" i="1"/>
  <c r="V5900" i="1"/>
  <c r="V5013" i="1"/>
  <c r="V5712" i="1"/>
  <c r="V570" i="1"/>
  <c r="V856" i="1"/>
  <c r="V46" i="1"/>
  <c r="V1348" i="1"/>
  <c r="V5450" i="1"/>
  <c r="V2685" i="1"/>
  <c r="V2710" i="1"/>
  <c r="V1597" i="1"/>
  <c r="V6633" i="1"/>
  <c r="V748" i="1"/>
  <c r="V2735" i="1"/>
  <c r="V4455" i="1"/>
  <c r="V5054" i="1"/>
  <c r="V6546" i="1"/>
  <c r="V2763" i="1"/>
  <c r="V5966" i="1"/>
  <c r="V6138" i="1"/>
  <c r="V4728" i="1"/>
  <c r="V3212" i="1"/>
  <c r="V4201" i="1"/>
  <c r="V4865" i="1"/>
  <c r="V4924" i="1"/>
  <c r="V6097" i="1"/>
  <c r="V3809" i="1"/>
  <c r="V5694" i="1"/>
  <c r="V3074" i="1"/>
  <c r="V318" i="1"/>
  <c r="V1018" i="1"/>
  <c r="V2723" i="1"/>
  <c r="V3271" i="1"/>
  <c r="V1512" i="1"/>
  <c r="V2420" i="1"/>
  <c r="V3028" i="1"/>
  <c r="V5758" i="1"/>
  <c r="V1213" i="1"/>
  <c r="V5652" i="1"/>
  <c r="V6482" i="1"/>
  <c r="V2539" i="1"/>
  <c r="V3196" i="1"/>
  <c r="V3959" i="1"/>
  <c r="V4977" i="1"/>
  <c r="V6539" i="1"/>
  <c r="V752" i="1"/>
  <c r="V5984" i="1"/>
  <c r="V2448" i="1"/>
  <c r="V1007" i="1"/>
  <c r="V3224" i="1"/>
  <c r="V5338" i="1"/>
  <c r="V1163" i="1"/>
  <c r="V4472" i="1"/>
  <c r="V5471" i="1"/>
  <c r="V237" i="1"/>
  <c r="V2312" i="1"/>
  <c r="V3425" i="1"/>
  <c r="V3903" i="1"/>
  <c r="V6516" i="1"/>
  <c r="V4079" i="1"/>
  <c r="V373" i="1"/>
  <c r="V2712" i="1"/>
  <c r="V5558" i="1"/>
  <c r="V1341" i="1"/>
  <c r="V3284" i="1"/>
  <c r="V3156" i="1"/>
  <c r="V1358" i="1"/>
  <c r="V852" i="1"/>
  <c r="V1834" i="1"/>
  <c r="V6645" i="1"/>
  <c r="V1487" i="1"/>
  <c r="V2870" i="1"/>
  <c r="V6579" i="1"/>
  <c r="V3343" i="1"/>
  <c r="V4383" i="1"/>
  <c r="V2422" i="1"/>
  <c r="V6132" i="1"/>
  <c r="V524" i="1"/>
  <c r="V809" i="1"/>
  <c r="V2586" i="1"/>
  <c r="V1056" i="1"/>
  <c r="V3797" i="1"/>
  <c r="V5116" i="1"/>
  <c r="V1285" i="1"/>
  <c r="V1967" i="1"/>
  <c r="V2734" i="1"/>
  <c r="V6308" i="1"/>
  <c r="V3375" i="1"/>
  <c r="V42" i="1"/>
  <c r="V4310" i="1"/>
  <c r="V4676" i="1"/>
  <c r="V5577" i="1"/>
  <c r="V3003" i="1"/>
  <c r="V1527" i="1"/>
  <c r="V4643" i="1"/>
  <c r="V1550" i="1"/>
  <c r="V4161" i="1"/>
  <c r="V5836" i="1"/>
  <c r="V6496" i="1"/>
  <c r="V1403" i="1"/>
  <c r="V2849" i="1"/>
  <c r="V3559" i="1"/>
  <c r="V1601" i="1"/>
  <c r="V1917" i="1"/>
  <c r="V2770" i="1"/>
  <c r="V3239" i="1"/>
  <c r="V5106" i="1"/>
  <c r="V4651" i="1"/>
  <c r="V5490" i="1"/>
  <c r="V6457" i="1"/>
  <c r="V3788" i="1"/>
  <c r="V420" i="1"/>
  <c r="V1157" i="1"/>
  <c r="V2432" i="1"/>
  <c r="V3120" i="1"/>
  <c r="V439" i="1"/>
  <c r="V436" i="1"/>
  <c r="V362" i="1"/>
  <c r="V6644" i="1"/>
  <c r="V272" i="1"/>
  <c r="V3807" i="1"/>
  <c r="V4896" i="1"/>
  <c r="V2781" i="1"/>
  <c r="V5026" i="1"/>
  <c r="V405" i="1"/>
  <c r="V6565" i="1"/>
  <c r="V1123" i="1"/>
  <c r="V4156" i="1"/>
  <c r="V2490" i="1"/>
  <c r="V3749" i="1"/>
  <c r="V4179" i="1"/>
  <c r="V5029" i="1"/>
  <c r="V6134" i="1"/>
  <c r="V6719" i="1"/>
  <c r="V1627" i="1"/>
  <c r="V5125" i="1"/>
  <c r="V5804" i="1"/>
  <c r="V2300" i="1"/>
  <c r="V5893" i="1"/>
  <c r="V120" i="1"/>
  <c r="V3787" i="1"/>
  <c r="V210" i="1"/>
  <c r="V6126" i="1"/>
  <c r="V6534" i="1"/>
  <c r="V1829" i="1"/>
  <c r="V2088" i="1"/>
  <c r="V4930" i="1"/>
  <c r="V4572" i="1"/>
  <c r="V16" i="1"/>
  <c r="V4102" i="1"/>
  <c r="V4614" i="1"/>
  <c r="V1998" i="1"/>
  <c r="V3417" i="1"/>
  <c r="V2164" i="1"/>
  <c r="V6012" i="1"/>
  <c r="V3422" i="1"/>
  <c r="V4136" i="1"/>
  <c r="V875" i="1"/>
  <c r="V930" i="1"/>
  <c r="V4591" i="1"/>
  <c r="V3483" i="1"/>
  <c r="V866" i="1"/>
  <c r="V2010" i="1"/>
  <c r="V91" i="1"/>
  <c r="V1160" i="1"/>
  <c r="V5319" i="1"/>
  <c r="V6209" i="1"/>
  <c r="V3600" i="1"/>
  <c r="V4863" i="1"/>
  <c r="V6462" i="1"/>
  <c r="V2137" i="1"/>
  <c r="V3668" i="1"/>
  <c r="V6278" i="1"/>
  <c r="V1598" i="1"/>
  <c r="V800" i="1"/>
  <c r="V204" i="1"/>
  <c r="V116" i="1"/>
  <c r="V3727" i="1"/>
  <c r="V1892" i="1"/>
  <c r="V363" i="1"/>
  <c r="V5598" i="1"/>
  <c r="V4876" i="1"/>
  <c r="V1976" i="1"/>
  <c r="V2633" i="1"/>
  <c r="V3891" i="1"/>
  <c r="V4908" i="1"/>
  <c r="V2074" i="1"/>
  <c r="V3262" i="1"/>
  <c r="V611" i="1"/>
  <c r="V1549" i="1"/>
  <c r="V5633" i="1"/>
  <c r="V218" i="1"/>
  <c r="V3489" i="1"/>
  <c r="V839" i="1"/>
  <c r="V2229" i="1"/>
  <c r="V3237" i="1"/>
  <c r="V2414" i="1"/>
  <c r="V3987" i="1"/>
  <c r="V4825" i="1"/>
  <c r="V3802" i="1"/>
  <c r="V4224" i="1"/>
  <c r="V980" i="1"/>
  <c r="V448" i="1"/>
  <c r="V6393" i="1"/>
  <c r="V6212" i="1"/>
  <c r="V2282" i="1"/>
  <c r="V2535" i="1"/>
  <c r="V5135" i="1"/>
  <c r="V1922" i="1"/>
  <c r="V421" i="1"/>
  <c r="V2976" i="1"/>
  <c r="V4275" i="1"/>
  <c r="V4956" i="1"/>
  <c r="V2228" i="1"/>
  <c r="V3455" i="1"/>
  <c r="V5824" i="1"/>
  <c r="V3515" i="1"/>
  <c r="V4906" i="1"/>
  <c r="V2070" i="1"/>
  <c r="V4029" i="1"/>
  <c r="V3384" i="1"/>
  <c r="V4237" i="1"/>
  <c r="V276" i="1"/>
  <c r="V2323" i="1"/>
  <c r="V5684" i="1"/>
  <c r="V4432" i="1"/>
  <c r="V6346" i="1"/>
  <c r="V1159" i="1"/>
  <c r="V829" i="1"/>
  <c r="V6141" i="1"/>
  <c r="V5509" i="1"/>
  <c r="V1286" i="1"/>
  <c r="V4188" i="1"/>
  <c r="V5537" i="1"/>
  <c r="V1562" i="1"/>
  <c r="V6740" i="1"/>
  <c r="V2920" i="1"/>
  <c r="V851" i="1"/>
  <c r="V5843" i="1"/>
  <c r="V1399" i="1"/>
  <c r="V1663" i="1"/>
  <c r="V280" i="1"/>
  <c r="V2039" i="1"/>
  <c r="V4604" i="1"/>
  <c r="V1436" i="1"/>
  <c r="V824" i="1"/>
  <c r="V3561" i="1"/>
  <c r="V5863" i="1"/>
  <c r="V5392" i="1"/>
  <c r="V6166" i="1"/>
  <c r="V3838" i="1"/>
  <c r="V168" i="1"/>
  <c r="V2007" i="1"/>
  <c r="V1088" i="1"/>
  <c r="V2647" i="1"/>
  <c r="V4612" i="1"/>
  <c r="V2328" i="1"/>
  <c r="V1112" i="1"/>
  <c r="V1307" i="1"/>
  <c r="V890" i="1"/>
  <c r="V5991" i="1"/>
  <c r="V457" i="1"/>
  <c r="V1366" i="1"/>
  <c r="V2428" i="1"/>
  <c r="V3475" i="1"/>
  <c r="V3875" i="1"/>
  <c r="V3395" i="1"/>
  <c r="V1316" i="1"/>
  <c r="V4138" i="1"/>
  <c r="V6417" i="1"/>
  <c r="V1932" i="1"/>
  <c r="V2373" i="1"/>
  <c r="V3777" i="1"/>
  <c r="V6285" i="1"/>
  <c r="V1362" i="1"/>
  <c r="V2430" i="1"/>
  <c r="V5662" i="1"/>
  <c r="V1073" i="1"/>
  <c r="V2874" i="1"/>
  <c r="V4615" i="1"/>
  <c r="V5664" i="1"/>
  <c r="V454" i="1"/>
  <c r="V1777" i="1"/>
  <c r="V2092" i="1"/>
  <c r="V192" i="1"/>
  <c r="V895" i="1"/>
  <c r="V3052" i="1"/>
  <c r="V4809" i="1"/>
  <c r="V658" i="1"/>
  <c r="V2912" i="1"/>
  <c r="V3638" i="1"/>
  <c r="V6465" i="1"/>
  <c r="V1686" i="1"/>
  <c r="V5691" i="1"/>
  <c r="V6089" i="1"/>
  <c r="V4318" i="1"/>
  <c r="V1011" i="1"/>
  <c r="V1071" i="1"/>
  <c r="V3264" i="1"/>
  <c r="V2742" i="1"/>
  <c r="V1115" i="1"/>
  <c r="V4203" i="1"/>
  <c r="V998" i="1"/>
  <c r="V174" i="1"/>
  <c r="V3017" i="1"/>
  <c r="V6045" i="1"/>
  <c r="V838" i="1"/>
  <c r="V125" i="1"/>
  <c r="V5767" i="1"/>
  <c r="V2186" i="1"/>
  <c r="V5382" i="1"/>
  <c r="V5543" i="1"/>
  <c r="V2991" i="1"/>
  <c r="V1896" i="1"/>
  <c r="V2131" i="1"/>
  <c r="V1584" i="1"/>
  <c r="V3837" i="1"/>
  <c r="V4106" i="1"/>
  <c r="V2431" i="1"/>
  <c r="V3419" i="1"/>
  <c r="V4242" i="1"/>
  <c r="V5052" i="1"/>
  <c r="V1870" i="1"/>
  <c r="V3351" i="1"/>
  <c r="V5569" i="1"/>
  <c r="V6682" i="1"/>
  <c r="V1130" i="1"/>
  <c r="V4665" i="1"/>
  <c r="V2453" i="1"/>
  <c r="V3209" i="1"/>
  <c r="V1617" i="1"/>
  <c r="V1475" i="1"/>
  <c r="V2458" i="1"/>
  <c r="V4236" i="1"/>
  <c r="V5805" i="1"/>
  <c r="V707" i="1"/>
  <c r="V481" i="1"/>
  <c r="V509" i="1"/>
  <c r="V659" i="1"/>
  <c r="V2931" i="1"/>
  <c r="V1408" i="1"/>
  <c r="V4509" i="1"/>
  <c r="V6463" i="1"/>
  <c r="V3476" i="1"/>
  <c r="V72" i="1"/>
  <c r="V1818" i="1"/>
  <c r="V4484" i="1"/>
  <c r="V3975" i="1"/>
  <c r="V5555" i="1"/>
  <c r="V6692" i="1"/>
  <c r="V6199" i="1"/>
  <c r="V3856" i="1"/>
  <c r="V5572" i="1"/>
  <c r="V1442" i="1"/>
  <c r="V2315" i="1"/>
  <c r="V2768" i="1"/>
  <c r="V3304" i="1"/>
  <c r="V4028" i="1"/>
  <c r="V5638" i="1"/>
  <c r="V6307" i="1"/>
  <c r="V2122" i="1"/>
  <c r="V3246" i="1"/>
  <c r="V3666" i="1"/>
  <c r="V1219" i="1"/>
  <c r="V1613" i="1"/>
  <c r="V2821" i="1"/>
  <c r="V4363" i="1"/>
  <c r="V2014" i="1"/>
  <c r="V2841" i="1"/>
  <c r="V2459" i="1"/>
  <c r="V4174" i="1"/>
  <c r="V5578" i="1"/>
  <c r="V3985" i="1"/>
  <c r="V4184" i="1"/>
  <c r="V4744" i="1"/>
  <c r="V5751" i="1"/>
  <c r="V1383" i="1"/>
  <c r="V4430" i="1"/>
  <c r="V5680" i="1"/>
  <c r="V2554" i="1"/>
  <c r="V3290" i="1"/>
  <c r="V5657" i="1"/>
  <c r="V6607" i="1"/>
  <c r="V1413" i="1"/>
  <c r="V4091" i="1"/>
  <c r="V5374" i="1"/>
  <c r="V443" i="1"/>
  <c r="V3897" i="1"/>
  <c r="V5373" i="1"/>
  <c r="V2783" i="1"/>
  <c r="V6620" i="1"/>
  <c r="V435" i="1"/>
  <c r="V3713" i="1"/>
  <c r="V6576" i="1"/>
  <c r="V3871" i="1"/>
  <c r="V5079" i="1"/>
  <c r="V314" i="1"/>
  <c r="V1023" i="1"/>
  <c r="V2185" i="1"/>
  <c r="V24" i="1"/>
  <c r="V4140" i="1"/>
  <c r="V4806" i="1"/>
  <c r="V2233" i="1"/>
  <c r="V4387" i="1"/>
  <c r="V129" i="1"/>
  <c r="V1840" i="1"/>
  <c r="V3765" i="1"/>
  <c r="V6190" i="1"/>
  <c r="V69" i="1"/>
  <c r="V1201" i="1"/>
  <c r="V284" i="1"/>
  <c r="V3550" i="1"/>
  <c r="V2946" i="1"/>
  <c r="V3673" i="1"/>
  <c r="V4289" i="1"/>
  <c r="V1791" i="1"/>
  <c r="V176" i="1"/>
  <c r="V4986" i="1"/>
  <c r="V5400" i="1"/>
  <c r="V389" i="1"/>
  <c r="V1670" i="1"/>
  <c r="V4379" i="1"/>
  <c r="V321" i="1"/>
  <c r="V6703" i="1"/>
  <c r="V1972" i="1"/>
  <c r="V4229" i="1"/>
  <c r="V5308" i="1"/>
  <c r="V4378" i="1"/>
  <c r="V225" i="1"/>
  <c r="V3763" i="1"/>
  <c r="V562" i="1"/>
  <c r="V2654" i="1"/>
  <c r="V597" i="1"/>
  <c r="V3398" i="1"/>
  <c r="V3509" i="1"/>
  <c r="V5745" i="1"/>
  <c r="V1029" i="1"/>
  <c r="V6508" i="1"/>
  <c r="V1057" i="1"/>
  <c r="V2245" i="1"/>
  <c r="V3586" i="1"/>
  <c r="V5166" i="1"/>
  <c r="V5690" i="1"/>
  <c r="V5999" i="1"/>
  <c r="V1109" i="1"/>
  <c r="V5084" i="1"/>
  <c r="V638" i="1"/>
  <c r="V5841" i="1"/>
  <c r="V6163" i="1"/>
  <c r="V178" i="1"/>
  <c r="V5749" i="1"/>
  <c r="V1947" i="1"/>
  <c r="V5642" i="1"/>
  <c r="V5613" i="1"/>
  <c r="V1949" i="1"/>
  <c r="V2613" i="1"/>
  <c r="V5892" i="1"/>
  <c r="V88" i="1"/>
  <c r="V5165" i="1"/>
  <c r="V497" i="1"/>
  <c r="V6115" i="1"/>
  <c r="V1015" i="1"/>
  <c r="V3870" i="1"/>
  <c r="V3786" i="1"/>
  <c r="V4081" i="1"/>
  <c r="V2260" i="1"/>
  <c r="V2455" i="1"/>
  <c r="V3523" i="1"/>
  <c r="V4408" i="1"/>
  <c r="V968" i="1"/>
  <c r="V1852" i="1"/>
  <c r="V231" i="1"/>
  <c r="V4197" i="1"/>
  <c r="V544" i="1"/>
  <c r="V4319" i="1"/>
  <c r="V840" i="1"/>
  <c r="V1899" i="1"/>
  <c r="V3053" i="1"/>
  <c r="V3307" i="1"/>
  <c r="V834" i="1"/>
  <c r="V6551" i="1"/>
  <c r="V3330" i="1"/>
  <c r="V3810" i="1"/>
  <c r="V2765" i="1"/>
  <c r="V4436" i="1"/>
  <c r="V720" i="1"/>
  <c r="V2482" i="1"/>
  <c r="V2468" i="1"/>
  <c r="V6449" i="1"/>
  <c r="V580" i="1"/>
  <c r="V2112" i="1"/>
  <c r="V3355" i="1"/>
  <c r="V4893" i="1"/>
  <c r="V5446" i="1"/>
  <c r="V6348" i="1"/>
  <c r="V2141" i="1"/>
  <c r="V2877" i="1"/>
  <c r="V1263" i="1"/>
  <c r="V5006" i="1"/>
  <c r="V2919" i="1"/>
  <c r="V5486" i="1"/>
  <c r="V5503" i="1"/>
  <c r="V6158" i="1"/>
  <c r="V6621" i="1"/>
  <c r="V508" i="1"/>
  <c r="V5948" i="1"/>
  <c r="V2334" i="1"/>
  <c r="V2941" i="1"/>
  <c r="V3906" i="1"/>
  <c r="V5051" i="1"/>
  <c r="V6422" i="1"/>
  <c r="V694" i="1"/>
  <c r="V1242" i="1"/>
  <c r="V1960" i="1"/>
  <c r="V4884" i="1"/>
  <c r="V4760" i="1"/>
  <c r="V2151" i="1"/>
  <c r="V5650" i="1"/>
  <c r="V6299" i="1"/>
  <c r="V2160" i="1"/>
  <c r="V3142" i="1"/>
  <c r="V6016" i="1"/>
  <c r="V2927" i="1"/>
  <c r="V518" i="1"/>
  <c r="V1400" i="1"/>
  <c r="V5681" i="1"/>
  <c r="V2665" i="1"/>
  <c r="V3465" i="1"/>
  <c r="V6380" i="1"/>
  <c r="V6696" i="1"/>
  <c r="V668" i="1"/>
  <c r="V898" i="1"/>
  <c r="V2281" i="1"/>
  <c r="V3900" i="1"/>
  <c r="V4563" i="1"/>
  <c r="V3742" i="1"/>
  <c r="V6601" i="1"/>
  <c r="V2573" i="1"/>
  <c r="V4975" i="1"/>
  <c r="V3733" i="1"/>
  <c r="V5149" i="1"/>
  <c r="V6381" i="1"/>
  <c r="V1730" i="1"/>
  <c r="V2145" i="1"/>
  <c r="V3715" i="1"/>
  <c r="V1246" i="1"/>
  <c r="V5381" i="1"/>
  <c r="V6677" i="1"/>
  <c r="V653" i="1"/>
  <c r="V4461" i="1"/>
  <c r="V674" i="1"/>
  <c r="V1603" i="1"/>
  <c r="V2664" i="1"/>
  <c r="V4299" i="1"/>
  <c r="V6591" i="1"/>
  <c r="V2780" i="1"/>
  <c r="V4523" i="1"/>
  <c r="V4418" i="1"/>
  <c r="V6478" i="1"/>
  <c r="V1455" i="1"/>
  <c r="V2572" i="1"/>
  <c r="V5090" i="1"/>
  <c r="V151" i="1"/>
  <c r="V6259" i="1"/>
  <c r="V3568" i="1"/>
  <c r="V1712" i="1"/>
  <c r="V2515" i="1"/>
  <c r="V1381" i="1"/>
  <c r="V1765" i="1"/>
  <c r="V2003" i="1"/>
  <c r="V2590" i="1"/>
  <c r="V4847" i="1"/>
  <c r="V6430" i="1"/>
  <c r="V6572" i="1"/>
  <c r="V776" i="1"/>
  <c r="V167" i="1"/>
  <c r="V1196" i="1"/>
  <c r="V6000" i="1"/>
  <c r="V1113" i="1"/>
  <c r="V5195" i="1"/>
  <c r="V1842" i="1"/>
  <c r="V2463" i="1"/>
  <c r="V406" i="1"/>
  <c r="V2332" i="1"/>
  <c r="V3287" i="1"/>
  <c r="V5411" i="1"/>
  <c r="V6586" i="1"/>
  <c r="V5478" i="1"/>
  <c r="V156" i="1"/>
  <c r="V2023" i="1"/>
  <c r="V2942" i="1"/>
  <c r="V4193" i="1"/>
  <c r="V4498" i="1"/>
  <c r="V5115" i="1"/>
  <c r="V1142" i="1"/>
  <c r="V3881" i="1"/>
  <c r="V1236" i="1"/>
  <c r="V6280" i="1"/>
  <c r="V233" i="1"/>
  <c r="V2049" i="1"/>
  <c r="V5530" i="1"/>
  <c r="V485" i="1"/>
  <c r="V1509" i="1"/>
  <c r="V3373" i="1"/>
  <c r="V4300" i="1"/>
  <c r="V5473" i="1"/>
  <c r="V2086" i="1"/>
  <c r="V4187" i="1"/>
  <c r="V585" i="1"/>
  <c r="V2294" i="1"/>
  <c r="V6261" i="1"/>
  <c r="V2663" i="1"/>
  <c r="V2182" i="1"/>
  <c r="V3955" i="1"/>
  <c r="V6047" i="1"/>
  <c r="V1164" i="1"/>
  <c r="V3428" i="1"/>
  <c r="V4435" i="1"/>
  <c r="V3479" i="1"/>
  <c r="V6685" i="1"/>
  <c r="V3302" i="1"/>
  <c r="V3926" i="1"/>
  <c r="V6507" i="1"/>
  <c r="V1938" i="1"/>
  <c r="V6051" i="1"/>
  <c r="V351" i="1"/>
  <c r="V6356" i="1"/>
  <c r="V942" i="1"/>
  <c r="V235" i="1"/>
  <c r="V5800" i="1"/>
  <c r="V6670" i="1"/>
  <c r="V891" i="1"/>
  <c r="V3480" i="1"/>
  <c r="V1501" i="1"/>
  <c r="V6215" i="1"/>
  <c r="V5825" i="1"/>
  <c r="V2803" i="1"/>
  <c r="V127" i="1"/>
  <c r="V6536" i="1"/>
  <c r="V1033" i="1"/>
  <c r="V1194" i="1"/>
  <c r="V464" i="1"/>
  <c r="V3927" i="1"/>
  <c r="V6505" i="1"/>
  <c r="V5741" i="1"/>
  <c r="V2298" i="1"/>
  <c r="V3119" i="1"/>
  <c r="V5455" i="1"/>
  <c r="V2972" i="1"/>
  <c r="V1914" i="1"/>
  <c r="V2597" i="1"/>
  <c r="V1423" i="1"/>
  <c r="V4475" i="1"/>
  <c r="V2190" i="1"/>
  <c r="V6041" i="1"/>
  <c r="V1548" i="1"/>
  <c r="V5693" i="1"/>
  <c r="V345" i="1"/>
  <c r="V2737" i="1"/>
  <c r="V6665" i="1"/>
  <c r="V5743" i="1"/>
  <c r="V6210" i="1"/>
  <c r="V4751" i="1"/>
  <c r="V819" i="1"/>
  <c r="V4253" i="1"/>
  <c r="V2174" i="1"/>
  <c r="V4607" i="1"/>
  <c r="V483" i="1"/>
  <c r="V2641" i="1"/>
  <c r="V1347" i="1"/>
  <c r="V3333" i="1"/>
  <c r="V3135" i="1"/>
  <c r="V6405" i="1"/>
  <c r="V1645" i="1"/>
  <c r="V5899" i="1"/>
  <c r="V330" i="1"/>
  <c r="V5192" i="1"/>
  <c r="V3345" i="1"/>
  <c r="V6517" i="1"/>
  <c r="V1985" i="1"/>
  <c r="V3481" i="1"/>
  <c r="V365" i="1"/>
  <c r="V1830" i="1"/>
  <c r="V2523" i="1"/>
  <c r="V450" i="1"/>
  <c r="V4992" i="1"/>
  <c r="V1745" i="1"/>
  <c r="V2716" i="1"/>
  <c r="V6664" i="1"/>
  <c r="V1725" i="1"/>
  <c r="V3730" i="1"/>
  <c r="V3929" i="1"/>
  <c r="V4214" i="1"/>
  <c r="V4869" i="1"/>
  <c r="V5477" i="1"/>
  <c r="V3876" i="1"/>
  <c r="V492" i="1"/>
  <c r="V2561" i="1"/>
  <c r="V4116" i="1"/>
  <c r="V5779" i="1"/>
  <c r="V6067" i="1"/>
  <c r="V3047" i="1"/>
  <c r="V461" i="1"/>
  <c r="V5961" i="1"/>
  <c r="V3888" i="1"/>
  <c r="V4981" i="1"/>
  <c r="V250" i="1"/>
  <c r="V5089" i="1"/>
  <c r="V5287" i="1"/>
  <c r="V1158" i="1"/>
  <c r="V3317" i="1"/>
  <c r="V3675" i="1"/>
  <c r="V2002" i="1"/>
  <c r="V4727" i="1"/>
  <c r="V1083" i="1"/>
  <c r="V5198" i="1"/>
  <c r="V1368" i="1"/>
  <c r="V4943" i="1"/>
  <c r="V700" i="1"/>
  <c r="V5151" i="1"/>
  <c r="V340" i="1"/>
  <c r="V1659" i="1"/>
  <c r="V2620" i="1"/>
  <c r="V2760" i="1"/>
  <c r="V560" i="1"/>
  <c r="V1788" i="1"/>
  <c r="V2707" i="1"/>
  <c r="V5882" i="1"/>
  <c r="V1086" i="1"/>
  <c r="V4593" i="1"/>
  <c r="V4919" i="1"/>
  <c r="V4647" i="1"/>
  <c r="V5505" i="1"/>
  <c r="V229" i="1"/>
  <c r="V1136" i="1"/>
  <c r="V4074" i="1"/>
  <c r="V5061" i="1"/>
  <c r="V6050" i="1"/>
  <c r="V455" i="1"/>
  <c r="V3143" i="1"/>
  <c r="V3718" i="1"/>
  <c r="V4668" i="1"/>
  <c r="V301" i="1"/>
  <c r="V5340" i="1"/>
  <c r="V5813" i="1"/>
  <c r="V2582" i="1"/>
  <c r="V780" i="1"/>
  <c r="V6235" i="1"/>
  <c r="V5552" i="1"/>
  <c r="V1585" i="1"/>
  <c r="V6609" i="1"/>
  <c r="V4222" i="1"/>
  <c r="V765" i="1"/>
  <c r="V3004" i="1"/>
  <c r="V6079" i="1"/>
  <c r="V6332" i="1"/>
  <c r="V3798" i="1"/>
  <c r="V194" i="1"/>
  <c r="V3167" i="1"/>
  <c r="V6388" i="1"/>
  <c r="V4169" i="1"/>
  <c r="V3863" i="1"/>
  <c r="V4166" i="1"/>
  <c r="V5024" i="1"/>
  <c r="V2099" i="1"/>
  <c r="V3736" i="1"/>
  <c r="V3609" i="1"/>
  <c r="V1608" i="1"/>
  <c r="V1324" i="1"/>
  <c r="V3125" i="1"/>
  <c r="V5660" i="1"/>
  <c r="V1392" i="1"/>
  <c r="V2457" i="1"/>
  <c r="V3372" i="1"/>
  <c r="V5422" i="1"/>
  <c r="V6349" i="1"/>
  <c r="V107" i="1"/>
  <c r="V1508" i="1"/>
  <c r="V1631" i="1"/>
  <c r="V4362" i="1"/>
  <c r="V4996" i="1"/>
  <c r="V933" i="1"/>
  <c r="V2460" i="1"/>
  <c r="V3938" i="1"/>
  <c r="V138" i="1"/>
  <c r="V999" i="1"/>
  <c r="V2138" i="1"/>
  <c r="V2446" i="1"/>
  <c r="V4901" i="1"/>
  <c r="V5439" i="1"/>
  <c r="V1630" i="1"/>
  <c r="V5947" i="1"/>
  <c r="V6518" i="1"/>
  <c r="V1722" i="1"/>
  <c r="V3850" i="1"/>
  <c r="V5111" i="1"/>
  <c r="V6655" i="1"/>
  <c r="V1923" i="1"/>
  <c r="V3223" i="1"/>
  <c r="V446" i="1"/>
  <c r="V1711" i="1"/>
  <c r="V4040" i="1"/>
  <c r="V20" i="1"/>
  <c r="V6684" i="1"/>
  <c r="V2017" i="1"/>
  <c r="V640" i="1"/>
  <c r="V4405" i="1"/>
  <c r="V571" i="1"/>
  <c r="V3522" i="1"/>
  <c r="V5755" i="1"/>
  <c r="V2666" i="1"/>
  <c r="V4054" i="1"/>
  <c r="V393" i="1"/>
  <c r="V5246" i="1"/>
  <c r="V3187" i="1"/>
  <c r="V96" i="1"/>
  <c r="V4356" i="1"/>
  <c r="V4857" i="1"/>
  <c r="V5911" i="1"/>
  <c r="V3432" i="1"/>
  <c r="V8" i="1"/>
  <c r="V337" i="1"/>
  <c r="V3286" i="1"/>
  <c r="V4205" i="1"/>
  <c r="V6752" i="1"/>
  <c r="V1567" i="1"/>
  <c r="V532" i="1"/>
  <c r="V3108" i="1"/>
  <c r="V1636" i="1"/>
  <c r="V2397" i="1"/>
  <c r="V2998" i="1"/>
  <c r="V4685" i="1"/>
  <c r="V3545" i="1"/>
  <c r="V5270" i="1"/>
  <c r="V6687" i="1"/>
  <c r="V123" i="1"/>
  <c r="V3645" i="1"/>
  <c r="V5011" i="1"/>
  <c r="V3163" i="1"/>
  <c r="V6744" i="1"/>
  <c r="V1304" i="1"/>
  <c r="V4814" i="1"/>
  <c r="V1183" i="1"/>
  <c r="V1951" i="1"/>
  <c r="V2476" i="1"/>
  <c r="V3070" i="1"/>
  <c r="V5383" i="1"/>
  <c r="V870" i="1"/>
  <c r="V4062" i="1"/>
  <c r="V4559" i="1"/>
  <c r="V155" i="1"/>
  <c r="V4570" i="1"/>
  <c r="V6197" i="1"/>
  <c r="V3204" i="1"/>
  <c r="V3895" i="1"/>
  <c r="V4449" i="1"/>
  <c r="V5" i="1"/>
  <c r="V1927" i="1"/>
  <c r="V2355" i="1"/>
  <c r="V5799" i="1"/>
  <c r="V6251" i="1"/>
  <c r="V4271" i="1"/>
  <c r="V1718" i="1"/>
  <c r="V4170" i="1"/>
  <c r="V5872" i="1"/>
  <c r="V64" i="1"/>
  <c r="V1794" i="1"/>
  <c r="V3439" i="1"/>
  <c r="V2117" i="1"/>
  <c r="V939" i="1"/>
  <c r="V2559" i="1"/>
  <c r="V4469" i="1"/>
  <c r="V6559" i="1"/>
  <c r="V412" i="1"/>
  <c r="V1198" i="1"/>
  <c r="V3544" i="1"/>
  <c r="V5235" i="1"/>
  <c r="V2445" i="1"/>
  <c r="V5851" i="1"/>
  <c r="V3103" i="1"/>
  <c r="V2197" i="1"/>
  <c r="V4791" i="1"/>
  <c r="V397" i="1"/>
  <c r="V2076" i="1"/>
  <c r="V4858" i="1"/>
  <c r="V109" i="1"/>
  <c r="V3436" i="1"/>
  <c r="V4216" i="1"/>
  <c r="V89" i="1"/>
  <c r="V2536" i="1"/>
  <c r="V5881" i="1"/>
  <c r="V5903" i="1"/>
  <c r="V3072" i="1"/>
  <c r="V4270" i="1"/>
  <c r="V4281" i="1"/>
  <c r="V5739" i="1"/>
  <c r="V227" i="1"/>
  <c r="V1713" i="1"/>
  <c r="V3382" i="1"/>
  <c r="V1389" i="1"/>
  <c r="V1677" i="1"/>
  <c r="V2764" i="1"/>
  <c r="V4352" i="1"/>
  <c r="V1249" i="1"/>
  <c r="V4031" i="1"/>
  <c r="V5921" i="1"/>
  <c r="V1090" i="1"/>
  <c r="V2690" i="1"/>
  <c r="V4637" i="1"/>
  <c r="V6514" i="1"/>
  <c r="V612" i="1"/>
  <c r="V4412" i="1"/>
  <c r="V1124" i="1"/>
  <c r="V6128" i="1"/>
  <c r="V131" i="1"/>
  <c r="V4058" i="1"/>
  <c r="V5470" i="1"/>
  <c r="V2130" i="1"/>
  <c r="V6085" i="1"/>
  <c r="V2249" i="1"/>
  <c r="V5350" i="1"/>
  <c r="V35" i="1"/>
  <c r="V242" i="1"/>
  <c r="V5962" i="1"/>
  <c r="V6302" i="1"/>
  <c r="V6582" i="1"/>
  <c r="V3445" i="1"/>
  <c r="V4719" i="1"/>
  <c r="V1258" i="1"/>
  <c r="V1801" i="1"/>
  <c r="V3110" i="1"/>
  <c r="V4077" i="1"/>
  <c r="V1220" i="1"/>
  <c r="V1038" i="1"/>
  <c r="V3084" i="1"/>
  <c r="V4294" i="1"/>
  <c r="V4688" i="1"/>
  <c r="V5284" i="1"/>
  <c r="V1719" i="1"/>
  <c r="V169" i="1"/>
  <c r="V711" i="1"/>
  <c r="V1827" i="1"/>
  <c r="V3255" i="1"/>
  <c r="V3737" i="1"/>
  <c r="V1942" i="1"/>
  <c r="V2579" i="1"/>
  <c r="V3621" i="1"/>
  <c r="V3800" i="1"/>
  <c r="V4574" i="1"/>
  <c r="V4675" i="1"/>
  <c r="V2771" i="1"/>
  <c r="V3643" i="1"/>
  <c r="V5498" i="1"/>
  <c r="V5796" i="1"/>
  <c r="V2513" i="1"/>
  <c r="V5571" i="1"/>
  <c r="V1397" i="1"/>
  <c r="V2126" i="1"/>
  <c r="V4295" i="1"/>
  <c r="V6258" i="1"/>
  <c r="V6641" i="1"/>
  <c r="V3815" i="1"/>
  <c r="V4355" i="1"/>
  <c r="V1215" i="1"/>
  <c r="V2720" i="1"/>
  <c r="V4490" i="1"/>
  <c r="V5429" i="1"/>
  <c r="V418" i="1"/>
  <c r="V2643" i="1"/>
  <c r="V4042" i="1"/>
  <c r="V1375" i="1"/>
  <c r="V2048" i="1"/>
  <c r="V3161" i="1"/>
  <c r="V4450" i="1"/>
  <c r="V5314" i="1"/>
  <c r="V6062" i="1"/>
  <c r="V6611" i="1"/>
  <c r="V2114" i="1"/>
  <c r="V1120" i="1"/>
  <c r="V2916" i="1"/>
  <c r="V490" i="1"/>
  <c r="V3518" i="1"/>
  <c r="V208" i="1"/>
  <c r="V4772" i="1"/>
  <c r="V382" i="1"/>
  <c r="V2876" i="1"/>
  <c r="V5622" i="1"/>
  <c r="V2394" i="1"/>
  <c r="V6600" i="1"/>
  <c r="V366" i="1"/>
  <c r="V3566" i="1"/>
  <c r="V5524" i="1"/>
  <c r="V5095" i="1"/>
  <c r="V3526" i="1"/>
  <c r="V6364" i="1"/>
  <c r="V2632" i="1"/>
  <c r="V5459" i="1"/>
  <c r="V4016" i="1"/>
  <c r="V3602" i="1"/>
  <c r="V4219" i="1"/>
  <c r="V1148" i="1"/>
  <c r="V1300" i="1"/>
  <c r="V1774" i="1"/>
  <c r="V3034" i="1"/>
  <c r="V3423" i="1"/>
  <c r="V2068" i="1"/>
  <c r="V260" i="1"/>
  <c r="V1449" i="1"/>
  <c r="V3016" i="1"/>
  <c r="V4269" i="1"/>
  <c r="V5033" i="1"/>
  <c r="V6010" i="1"/>
  <c r="V837" i="1"/>
  <c r="V2097" i="1"/>
  <c r="V4190" i="1"/>
  <c r="V6736" i="1"/>
  <c r="V558" i="1"/>
  <c r="V4282" i="1"/>
  <c r="V2157" i="1"/>
  <c r="V3152" i="1"/>
  <c r="V354" i="1"/>
  <c r="V2516" i="1"/>
  <c r="V4370" i="1"/>
  <c r="V5646" i="1"/>
  <c r="V4804" i="1"/>
  <c r="V5862" i="1"/>
  <c r="V157" i="1"/>
  <c r="V831" i="1"/>
  <c r="V2310" i="1"/>
  <c r="V5240" i="1"/>
  <c r="V1205" i="1"/>
  <c r="V1860" i="1"/>
  <c r="V3089" i="1"/>
  <c r="V921" i="1"/>
  <c r="V3231" i="1"/>
  <c r="V4836" i="1"/>
  <c r="V6110" i="1"/>
  <c r="V6553" i="1"/>
  <c r="V1128" i="1"/>
  <c r="V2205" i="1"/>
  <c r="V4022" i="1"/>
  <c r="V4308" i="1"/>
  <c r="V6274" i="1"/>
  <c r="V4704" i="1"/>
  <c r="V5909" i="1"/>
  <c r="V1744" i="1"/>
  <c r="V3005" i="1"/>
  <c r="V4973" i="1"/>
  <c r="V6420" i="1"/>
  <c r="V3860" i="1"/>
  <c r="V5279" i="1"/>
  <c r="V5756" i="1"/>
  <c r="V6451" i="1"/>
  <c r="V5275" i="1"/>
  <c r="V2714" i="1"/>
  <c r="V3185" i="1"/>
  <c r="V1432" i="1"/>
  <c r="V2959" i="1"/>
  <c r="V4358" i="1"/>
  <c r="V4929" i="1"/>
  <c r="V6223" i="1"/>
  <c r="V4598" i="1"/>
  <c r="V5034" i="1"/>
  <c r="V5469" i="1"/>
  <c r="V522" i="1"/>
  <c r="V2752" i="1"/>
  <c r="V2576" i="1"/>
  <c r="V3461" i="1"/>
  <c r="V4325" i="1"/>
  <c r="V5266" i="1"/>
  <c r="V6011" i="1"/>
  <c r="V5645" i="1"/>
  <c r="V5979" i="1"/>
  <c r="V1406" i="1"/>
  <c r="V3573" i="1"/>
  <c r="V976" i="1"/>
  <c r="V5083" i="1"/>
  <c r="V793" i="1"/>
  <c r="V4706" i="1"/>
  <c r="V6675" i="1"/>
  <c r="V3883" i="1"/>
  <c r="V5496" i="1"/>
  <c r="V291" i="1"/>
  <c r="V4798" i="1"/>
  <c r="V4176" i="1"/>
  <c r="V5907" i="1"/>
  <c r="V1050" i="1"/>
  <c r="V3569" i="1"/>
  <c r="V6637" i="1"/>
  <c r="V685" i="1"/>
  <c r="V4963" i="1"/>
  <c r="V6360" i="1"/>
  <c r="V507" i="1"/>
  <c r="V6321" i="1"/>
  <c r="V3200" i="1"/>
  <c r="V569" i="1"/>
  <c r="V1944" i="1"/>
  <c r="V5950" i="1"/>
  <c r="V863" i="1"/>
  <c r="V1267" i="1"/>
  <c r="V6564" i="1"/>
  <c r="V5378" i="1"/>
  <c r="V2875" i="1"/>
  <c r="V2314" i="1"/>
  <c r="V4232" i="1"/>
  <c r="V379" i="1"/>
  <c r="V747" i="1"/>
  <c r="V6320" i="1"/>
  <c r="V1035" i="1"/>
  <c r="V2390" i="1"/>
  <c r="V4611" i="1"/>
  <c r="V1903" i="1"/>
  <c r="V6382" i="1"/>
  <c r="V3625" i="1"/>
  <c r="V1280" i="1"/>
  <c r="V1749" i="1"/>
  <c r="V5674" i="1"/>
  <c r="V3178" i="1"/>
  <c r="V5420" i="1"/>
  <c r="V3722" i="1"/>
  <c r="V6005" i="1"/>
  <c r="V419" i="1"/>
  <c r="V5594" i="1"/>
  <c r="V6525" i="1"/>
  <c r="V6552" i="1"/>
  <c r="V5724" i="1"/>
  <c r="V5232" i="1"/>
  <c r="V3957" i="1"/>
  <c r="V3825" i="1"/>
  <c r="V5445" i="1"/>
  <c r="V5020" i="1"/>
  <c r="V3319" i="1"/>
  <c r="V5520" i="1"/>
  <c r="V913" i="1"/>
  <c r="V1297" i="1"/>
  <c r="V2840" i="1"/>
  <c r="V5108" i="1"/>
  <c r="V905" i="1"/>
  <c r="V6038" i="1"/>
  <c r="V4653" i="1"/>
  <c r="V2004" i="1"/>
  <c r="V6123" i="1"/>
  <c r="V4990" i="1"/>
  <c r="V62" i="1"/>
  <c r="V3937" i="1"/>
  <c r="V1072" i="1"/>
  <c r="V5884" i="1"/>
  <c r="V4247" i="1"/>
  <c r="V5332" i="1"/>
  <c r="V1287" i="1"/>
  <c r="V5902" i="1"/>
  <c r="V6732" i="1"/>
  <c r="V1624" i="1"/>
  <c r="V5713" i="1"/>
  <c r="V874" i="1"/>
  <c r="V2022" i="1"/>
  <c r="V3232" i="1"/>
  <c r="V6284" i="1"/>
  <c r="V6145" i="1"/>
  <c r="V2221" i="1"/>
  <c r="V2372" i="1"/>
  <c r="V3298" i="1"/>
  <c r="V3424" i="1"/>
  <c r="V2520" i="1"/>
  <c r="V2640" i="1"/>
  <c r="V6276" i="1"/>
  <c r="V3629" i="1"/>
  <c r="V3567" i="1"/>
  <c r="V5022" i="1"/>
  <c r="V2265" i="1"/>
  <c r="V4617" i="1"/>
  <c r="V916" i="1"/>
  <c r="V2569" i="1"/>
  <c r="V3036" i="1"/>
  <c r="V2612" i="1"/>
  <c r="V4246" i="1"/>
  <c r="V6273" i="1"/>
  <c r="V3902" i="1"/>
  <c r="V6257" i="1"/>
  <c r="V4189" i="1"/>
  <c r="V5171" i="1"/>
  <c r="V3492" i="1"/>
  <c r="V114" i="1"/>
  <c r="V1031" i="1"/>
  <c r="V2101" i="1"/>
  <c r="V1294" i="1"/>
  <c r="V4808" i="1"/>
  <c r="V573" i="1"/>
  <c r="V5752" i="1"/>
  <c r="V4152" i="1"/>
  <c r="V5526" i="1"/>
  <c r="V5823" i="1"/>
  <c r="V1626" i="1"/>
  <c r="V4400" i="1"/>
  <c r="V76" i="1"/>
  <c r="V6297" i="1"/>
  <c r="V2374" i="1"/>
  <c r="V3162" i="1"/>
  <c r="V4340" i="1"/>
  <c r="V4018" i="1"/>
  <c r="V447" i="1"/>
  <c r="V1019" i="1"/>
  <c r="V1161" i="1"/>
  <c r="V4557" i="1"/>
  <c r="V1912" i="1"/>
  <c r="V6476" i="1"/>
  <c r="V2254" i="1"/>
  <c r="V6246" i="1"/>
  <c r="V5187" i="1"/>
  <c r="V1737" i="1"/>
  <c r="V6189" i="1"/>
  <c r="V1379" i="1"/>
  <c r="V5931" i="1"/>
  <c r="V3263" i="1"/>
  <c r="V3671" i="1"/>
  <c r="V4732" i="1"/>
  <c r="V3379" i="1"/>
  <c r="V4683" i="1"/>
  <c r="V6295" i="1"/>
  <c r="V100" i="1"/>
  <c r="V1845" i="1"/>
  <c r="V3578" i="1"/>
  <c r="V4634" i="1"/>
  <c r="V4389" i="1"/>
  <c r="V4348" i="1"/>
  <c r="V3582" i="1"/>
  <c r="V2073" i="1"/>
  <c r="V5045" i="1"/>
  <c r="V4390" i="1"/>
  <c r="V6723" i="1"/>
  <c r="V4721" i="1"/>
  <c r="V2136" i="1"/>
  <c r="V6751" i="1"/>
  <c r="V158" i="1"/>
  <c r="V3173" i="1"/>
  <c r="V5562" i="1"/>
  <c r="V1094" i="1"/>
  <c r="V2525" i="1"/>
  <c r="V5072" i="1"/>
  <c r="V766" i="1"/>
  <c r="V3062" i="1"/>
  <c r="V2052" i="1"/>
  <c r="V2410" i="1"/>
  <c r="V5848" i="1"/>
  <c r="V5168" i="1"/>
  <c r="V689" i="1"/>
  <c r="V6221" i="1"/>
  <c r="V3994" i="1"/>
  <c r="V5567" i="1"/>
  <c r="V996" i="1"/>
  <c r="V4938" i="1"/>
  <c r="V2975" i="1"/>
  <c r="V770" i="1"/>
  <c r="V835" i="1"/>
  <c r="V2388" i="1"/>
  <c r="V6063" i="1"/>
  <c r="V1415" i="1"/>
  <c r="V1762" i="1"/>
  <c r="V2828" i="1"/>
  <c r="V3516" i="1"/>
  <c r="V4793" i="1"/>
  <c r="V857" i="1"/>
  <c r="V3939" i="1"/>
  <c r="V6555" i="1"/>
  <c r="V1881" i="1"/>
  <c r="V4413" i="1"/>
  <c r="V4609" i="1"/>
  <c r="V990" i="1"/>
  <c r="V5285" i="1"/>
  <c r="V2806" i="1"/>
  <c r="V3992" i="1"/>
  <c r="V902" i="1"/>
  <c r="V3688" i="1"/>
  <c r="V3616" i="1"/>
  <c r="V27" i="1"/>
  <c r="V1920" i="1"/>
  <c r="V3946" i="1"/>
  <c r="V453" i="1"/>
  <c r="V2054" i="1"/>
  <c r="V4687" i="1"/>
  <c r="V1104" i="1"/>
  <c r="V4909" i="1"/>
  <c r="V4178" i="1"/>
  <c r="V6125" i="1"/>
  <c r="V6389" i="1"/>
  <c r="V3362" i="1"/>
  <c r="V4025" i="1"/>
  <c r="V1658" i="1"/>
  <c r="V6019" i="1"/>
  <c r="V775" i="1"/>
  <c r="V6746" i="1"/>
  <c r="V4958" i="1"/>
  <c r="V5648" i="1"/>
  <c r="V6291" i="1"/>
  <c r="V1691" i="1"/>
  <c r="V4993" i="1"/>
  <c r="V5883" i="1"/>
  <c r="V1499" i="1"/>
  <c r="V4086" i="1"/>
  <c r="V4528" i="1"/>
  <c r="V5647" i="1"/>
  <c r="V1863" i="1"/>
  <c r="V3035" i="1"/>
  <c r="V2071" i="1"/>
  <c r="V4309" i="1"/>
  <c r="V5553" i="1"/>
  <c r="V1933" i="1"/>
  <c r="V991" i="1"/>
  <c r="V283" i="1"/>
  <c r="V2406" i="1"/>
  <c r="V1391" i="1"/>
  <c r="V3585" i="1"/>
  <c r="V191" i="1"/>
  <c r="V2689" i="1"/>
  <c r="V4783" i="1"/>
  <c r="V709" i="1"/>
  <c r="V3444" i="1"/>
  <c r="V3021" i="1"/>
  <c r="V1547" i="1"/>
  <c r="V3829" i="1"/>
  <c r="V1465" i="1"/>
  <c r="V1905" i="1"/>
  <c r="V2134" i="1"/>
  <c r="V3168" i="1"/>
  <c r="V696" i="1"/>
  <c r="V5965" i="1"/>
  <c r="V6077" i="1"/>
  <c r="V441" i="1"/>
  <c r="V3497" i="1"/>
  <c r="V6169" i="1"/>
  <c r="V4664" i="1"/>
  <c r="V3795" i="1"/>
  <c r="V715" i="1"/>
  <c r="V6226" i="1"/>
  <c r="V3018" i="1"/>
  <c r="V3771" i="1"/>
  <c r="V160" i="1"/>
  <c r="V994" i="1"/>
  <c r="V1957" i="1"/>
  <c r="V2343" i="1"/>
  <c r="V3952" i="1"/>
  <c r="V173" i="1"/>
  <c r="V6179" i="1"/>
  <c r="V3248" i="1"/>
  <c r="V4711" i="1"/>
  <c r="V182" i="1"/>
  <c r="V1868" i="1"/>
  <c r="V2697" i="1"/>
  <c r="V3486" i="1"/>
  <c r="V3366" i="1"/>
  <c r="V4103" i="1"/>
  <c r="V2359" i="1"/>
  <c r="V3061" i="1"/>
  <c r="V4092" i="1"/>
  <c r="V6147" i="1"/>
  <c r="V973" i="1"/>
  <c r="V1832" i="1"/>
  <c r="V1469" i="1"/>
  <c r="V2127" i="1"/>
  <c r="V5919" i="1"/>
  <c r="V2362" i="1"/>
  <c r="V1846" i="1"/>
  <c r="V3935" i="1"/>
  <c r="V5949" i="1"/>
  <c r="V2483" i="1"/>
  <c r="V3407" i="1"/>
  <c r="V5789" i="1"/>
  <c r="V5631" i="1"/>
  <c r="V6469" i="1"/>
  <c r="V12" i="1"/>
  <c r="V5867" i="1"/>
  <c r="V140" i="1"/>
  <c r="V1930" i="1"/>
  <c r="V6314" i="1"/>
  <c r="V500" i="1"/>
  <c r="V1805" i="1"/>
  <c r="V3885" i="1"/>
  <c r="V4677" i="1"/>
  <c r="V6343" i="1"/>
  <c r="V3824" i="1"/>
  <c r="V4020" i="1"/>
  <c r="V3758" i="1"/>
  <c r="V4019" i="1"/>
  <c r="V6487" i="1"/>
  <c r="V4230" i="1"/>
  <c r="V750" i="1"/>
  <c r="V4164" i="1"/>
  <c r="V1174" i="1"/>
  <c r="V1102" i="1"/>
  <c r="V3144" i="1"/>
  <c r="V4009" i="1"/>
  <c r="V2671" i="1"/>
  <c r="V6414" i="1"/>
  <c r="V602" i="1"/>
  <c r="V2057" i="1"/>
  <c r="V3251" i="1"/>
  <c r="V2161" i="1"/>
  <c r="V6678" i="1"/>
  <c r="V5628" i="1"/>
  <c r="V1546" i="1"/>
  <c r="V1340" i="1"/>
  <c r="V388" i="1"/>
  <c r="V944" i="1"/>
  <c r="V2365" i="1"/>
  <c r="V433" i="1"/>
  <c r="V1534" i="1"/>
  <c r="V4590" i="1"/>
  <c r="V5144" i="1"/>
  <c r="V5811" i="1"/>
  <c r="V5715" i="1"/>
  <c r="V1424" i="1"/>
  <c r="V5393" i="1"/>
  <c r="V4317" i="1"/>
  <c r="V2802" i="1"/>
  <c r="V6717" i="1"/>
  <c r="V1657" i="1"/>
  <c r="V3619" i="1"/>
  <c r="V4934" i="1"/>
  <c r="V665" i="1"/>
  <c r="V5849" i="1"/>
  <c r="V346" i="1"/>
  <c r="V1040" i="1"/>
  <c r="V2447" i="1"/>
  <c r="V4976" i="1"/>
  <c r="V265" i="1"/>
  <c r="V1139" i="1"/>
  <c r="V2105" i="1"/>
  <c r="V3456" i="1"/>
  <c r="V5737" i="1"/>
  <c r="V5068" i="1"/>
  <c r="V1435" i="1"/>
  <c r="V5250" i="1"/>
  <c r="V1978" i="1"/>
  <c r="V4452" i="1"/>
  <c r="V5280" i="1"/>
  <c r="V5093" i="1"/>
  <c r="V5973" i="1"/>
  <c r="V1644" i="1"/>
  <c r="V5178" i="1"/>
  <c r="V4964" i="1"/>
  <c r="V201" i="1"/>
  <c r="V1485" i="1"/>
  <c r="V2081" i="1"/>
  <c r="V3657" i="1"/>
  <c r="V343" i="1"/>
  <c r="V2485" i="1"/>
  <c r="V1511" i="1"/>
  <c r="V5364" i="1"/>
  <c r="V2393" i="1"/>
  <c r="V3543" i="1"/>
  <c r="V4186" i="1"/>
  <c r="V5493" i="1"/>
  <c r="V3220" i="1"/>
  <c r="V2642" i="1"/>
  <c r="V1240" i="1"/>
  <c r="V5042" i="1"/>
  <c r="V2508" i="1"/>
  <c r="V2125" i="1"/>
  <c r="V2280" i="1"/>
  <c r="V5757" i="1"/>
  <c r="V1170" i="1"/>
  <c r="V5427" i="1"/>
  <c r="V5224" i="1"/>
  <c r="V2755" i="1"/>
  <c r="V3910" i="1"/>
  <c r="V4256" i="1"/>
  <c r="V4541" i="1"/>
  <c r="V5194" i="1"/>
  <c r="V935" i="1"/>
  <c r="V3426" i="1"/>
  <c r="V4417" i="1"/>
  <c r="V5014" i="1"/>
  <c r="V147" i="1"/>
  <c r="V974" i="1"/>
  <c r="V4714" i="1"/>
  <c r="V5497" i="1"/>
  <c r="V3562" i="1"/>
  <c r="V292" i="1"/>
  <c r="V1810" i="1"/>
  <c r="V2911" i="1"/>
  <c r="V394" i="1"/>
  <c r="V810" i="1"/>
  <c r="V5067" i="1"/>
  <c r="V48" i="1"/>
  <c r="V4497" i="1"/>
  <c r="V3438" i="1"/>
  <c r="V5485" i="1"/>
  <c r="V7" i="1"/>
  <c r="V2235" i="1"/>
  <c r="V4535" i="1"/>
  <c r="V5181" i="1"/>
  <c r="V4373" i="1"/>
  <c r="V187" i="1"/>
  <c r="V4177" i="1"/>
  <c r="V2772" i="1"/>
  <c r="V4660" i="1"/>
  <c r="V211" i="1"/>
  <c r="V3280" i="1"/>
  <c r="V6619" i="1"/>
  <c r="V1134" i="1"/>
  <c r="V3312" i="1"/>
  <c r="V5687" i="1"/>
  <c r="V6613" i="1"/>
  <c r="V359" i="1"/>
  <c r="V6296" i="1"/>
  <c r="V5738" i="1"/>
  <c r="V5588" i="1"/>
  <c r="V144" i="1"/>
  <c r="V2843" i="1"/>
  <c r="V3833" i="1"/>
  <c r="V4592" i="1"/>
  <c r="V4960" i="1"/>
  <c r="V6245" i="1"/>
  <c r="V4026" i="1"/>
  <c r="V6375" i="1"/>
  <c r="V651" i="1"/>
  <c r="V6584" i="1"/>
  <c r="V4874" i="1"/>
  <c r="V1279" i="1"/>
  <c r="V3731" i="1"/>
  <c r="V1728" i="1"/>
  <c r="V5145" i="1"/>
  <c r="V6521" i="1"/>
  <c r="V2464" i="1"/>
  <c r="V4726" i="1"/>
  <c r="V5874" i="1"/>
  <c r="V2371" i="1"/>
  <c r="V1216" i="1"/>
  <c r="V3101" i="1"/>
  <c r="V4918" i="1"/>
  <c r="V6661" i="1"/>
  <c r="V2346" i="1"/>
  <c r="V3887" i="1"/>
  <c r="V515" i="1"/>
  <c r="V404" i="1"/>
  <c r="V3623" i="1"/>
  <c r="V6395" i="1"/>
  <c r="V3607" i="1"/>
  <c r="V5970" i="1"/>
  <c r="V5317" i="1"/>
  <c r="V5939" i="1"/>
  <c r="V3008" i="1"/>
  <c r="V5584" i="1"/>
  <c r="V3589" i="1"/>
  <c r="V4345" i="1"/>
  <c r="V854" i="1"/>
  <c r="V2892" i="1"/>
  <c r="V2211" i="1"/>
  <c r="V4360" i="1"/>
  <c r="V353" i="1"/>
  <c r="V861" i="1"/>
  <c r="V3195" i="1"/>
  <c r="V1500" i="1"/>
  <c r="V5216" i="1"/>
  <c r="V3249" i="1"/>
  <c r="V5324" i="1"/>
  <c r="V6121" i="1"/>
  <c r="V3551" i="1"/>
  <c r="V4730" i="1"/>
  <c r="V4984" i="1"/>
  <c r="V5183" i="1"/>
  <c r="V2181" i="1"/>
  <c r="V1338" i="1"/>
  <c r="V1750" i="1"/>
  <c r="V2001" i="1"/>
  <c r="V2419" i="1"/>
  <c r="V3410" i="1"/>
  <c r="V4427" i="1"/>
  <c r="V5036" i="1"/>
  <c r="V220" i="1"/>
  <c r="V5654" i="1"/>
  <c r="V6668" i="1"/>
  <c r="V2610" i="1"/>
  <c r="V5802" i="1"/>
  <c r="V3854" i="1"/>
  <c r="V5073" i="1"/>
  <c r="V6531" i="1"/>
  <c r="V3710" i="1"/>
  <c r="V5634" i="1"/>
  <c r="V1169" i="1"/>
  <c r="V3719" i="1"/>
  <c r="V5586" i="1"/>
  <c r="V2121" i="1"/>
  <c r="V3217" i="1"/>
  <c r="V4465" i="1"/>
  <c r="V5276" i="1"/>
  <c r="V1590" i="1"/>
  <c r="V2675" i="1"/>
  <c r="V4536" i="1"/>
  <c r="V6039" i="1"/>
  <c r="V960" i="1"/>
  <c r="V4822" i="1"/>
  <c r="V5066" i="1"/>
  <c r="V4073" i="1"/>
  <c r="V6446" i="1"/>
  <c r="V4385" i="1"/>
  <c r="V3451" i="1"/>
  <c r="V409" i="1"/>
  <c r="V1153" i="1"/>
  <c r="V2511" i="1"/>
  <c r="V1640" i="1"/>
  <c r="V4046" i="1"/>
  <c r="V624" i="1"/>
  <c r="V3687" i="1"/>
  <c r="V1411" i="1"/>
  <c r="V2868" i="1"/>
  <c r="V1053" i="1"/>
  <c r="V3340" i="1"/>
  <c r="V1983" i="1"/>
  <c r="V3071" i="1"/>
  <c r="V4149" i="1"/>
  <c r="V5028" i="1"/>
  <c r="V1309" i="1"/>
  <c r="V1708" i="1"/>
  <c r="V3808" i="1"/>
  <c r="V4796" i="1"/>
  <c r="V5929" i="1"/>
  <c r="V5736" i="1"/>
  <c r="V1405" i="1"/>
  <c r="V4296" i="1"/>
  <c r="V5768" i="1"/>
  <c r="V725" i="1"/>
  <c r="V4142" i="1"/>
  <c r="V6094" i="1"/>
  <c r="V2167" i="1"/>
  <c r="V3498" i="1"/>
  <c r="V2808" i="1"/>
  <c r="V899" i="1"/>
  <c r="V4595" i="1"/>
  <c r="V4429" i="1"/>
  <c r="V4841" i="1"/>
  <c r="V5834" i="1"/>
  <c r="V6334" i="1"/>
  <c r="V2307" i="1"/>
  <c r="V3812" i="1"/>
  <c r="V1333" i="1"/>
  <c r="V2418" i="1"/>
  <c r="V6415" i="1"/>
  <c r="V634" i="1"/>
  <c r="V1238" i="1"/>
  <c r="V1895" i="1"/>
  <c r="V2583" i="1"/>
  <c r="V3764" i="1"/>
  <c r="V68" i="1"/>
  <c r="V5249" i="1"/>
  <c r="V298" i="1"/>
  <c r="V744" i="1"/>
  <c r="V466" i="1"/>
  <c r="V4097" i="1"/>
  <c r="V1747" i="1"/>
  <c r="V6117" i="1"/>
  <c r="V1027" i="1"/>
  <c r="V5406" i="1"/>
  <c r="V2588" i="1"/>
  <c r="V2063" i="1"/>
  <c r="V6434" i="1"/>
  <c r="V4313" i="1"/>
  <c r="V5978" i="1"/>
  <c r="V2880" i="1"/>
  <c r="V6240" i="1"/>
  <c r="V6724" i="1"/>
  <c r="V1999" i="1"/>
  <c r="V2777" i="1"/>
  <c r="V1222" i="1"/>
  <c r="V2251" i="1"/>
  <c r="V6250" i="1"/>
  <c r="V3453" i="1"/>
  <c r="V1992" i="1"/>
  <c r="V2408" i="1"/>
  <c r="V3390" i="1"/>
  <c r="V26" i="1"/>
  <c r="V1049" i="1"/>
  <c r="V3139" i="1"/>
  <c r="V910" i="1"/>
  <c r="V1356" i="1"/>
  <c r="V1604" i="1"/>
  <c r="V6021" i="1"/>
  <c r="V5070" i="1"/>
  <c r="V4221" i="1"/>
  <c r="V6345" i="1"/>
  <c r="V1973" i="1"/>
  <c r="V2317" i="1"/>
  <c r="V41" i="1"/>
  <c r="V4273" i="1"/>
  <c r="V5722" i="1"/>
  <c r="V2062" i="1"/>
  <c r="V5398" i="1"/>
  <c r="V2562" i="1"/>
  <c r="V630" i="1"/>
  <c r="V2361" i="1"/>
  <c r="V3844" i="1"/>
  <c r="V6205" i="1"/>
  <c r="V6328" i="1"/>
  <c r="V338" i="1"/>
  <c r="V4932" i="1"/>
  <c r="V290" i="1"/>
  <c r="V2227" i="1"/>
  <c r="V1470" i="1"/>
  <c r="V6629" i="1"/>
  <c r="V1653" i="1"/>
  <c r="V3273" i="1"/>
  <c r="V1081" i="1"/>
  <c r="V3843" i="1"/>
  <c r="V6324" i="1"/>
  <c r="V4130" i="1"/>
  <c r="V540" i="1"/>
  <c r="V2128" i="1"/>
  <c r="V152" i="1"/>
  <c r="V5460" i="1"/>
  <c r="V2194" i="1"/>
  <c r="V5129" i="1"/>
  <c r="V865" i="1"/>
  <c r="V1517" i="1"/>
  <c r="V3894" i="1"/>
  <c r="V3418" i="1"/>
  <c r="V4794" i="1"/>
  <c r="V590" i="1"/>
  <c r="V6428" i="1"/>
  <c r="V4477" i="1"/>
  <c r="V1042" i="1"/>
  <c r="V3049" i="1"/>
  <c r="V5136" i="1"/>
  <c r="V6612" i="1"/>
  <c r="V3835" i="1"/>
  <c r="V2822" i="1"/>
  <c r="V717" i="1"/>
  <c r="V6549" i="1"/>
  <c r="V6368" i="1"/>
  <c r="V3822" i="1"/>
  <c r="V3828" i="1"/>
  <c r="V4673" i="1"/>
  <c r="V1705" i="1"/>
  <c r="V493" i="1"/>
  <c r="V2651" i="1"/>
  <c r="V5536" i="1"/>
  <c r="V1595" i="1"/>
  <c r="V3700" i="1"/>
  <c r="U4571" i="1"/>
  <c r="V432" i="1"/>
  <c r="U2083" i="1"/>
  <c r="V2083" i="1" s="1"/>
  <c r="V756" i="1"/>
  <c r="U1961" i="1"/>
  <c r="V1961" i="1" s="1"/>
  <c r="V2495" i="1"/>
  <c r="U4937" i="1"/>
  <c r="V4937" i="1" s="1"/>
  <c r="U746" i="1"/>
  <c r="V746" i="1" s="1"/>
  <c r="U2935" i="1"/>
  <c r="U4946" i="1"/>
  <c r="V4946" i="1" s="1"/>
  <c r="U6116" i="1"/>
  <c r="V6116" i="1" s="1"/>
  <c r="U2041" i="1"/>
  <c r="V2041" i="1" s="1"/>
  <c r="U2832" i="1"/>
  <c r="V2832" i="1" s="1"/>
  <c r="V2442" i="1"/>
  <c r="T3397" i="1"/>
  <c r="V3397" i="1" s="1"/>
  <c r="T5244" i="1"/>
  <c r="V5244" i="1" s="1"/>
  <c r="T2698" i="1"/>
  <c r="T3468" i="1"/>
  <c r="V3468" i="1" s="1"/>
  <c r="V2799" i="1"/>
  <c r="V2479" i="1"/>
  <c r="V2606" i="1"/>
  <c r="T5735" i="1"/>
  <c r="U5735" i="1"/>
  <c r="U4997" i="1"/>
  <c r="T4997" i="1"/>
  <c r="T4757" i="1"/>
  <c r="U4757" i="1"/>
  <c r="T3511" i="1"/>
  <c r="U3511" i="1"/>
  <c r="T2187" i="1"/>
  <c r="U2187" i="1"/>
  <c r="T1503" i="1"/>
  <c r="U1503" i="1"/>
  <c r="T410" i="1"/>
  <c r="U410" i="1"/>
  <c r="T5720" i="1"/>
  <c r="U5720" i="1"/>
  <c r="T4600" i="1"/>
  <c r="U4600" i="1"/>
  <c r="T6520" i="1"/>
  <c r="U6520" i="1"/>
  <c r="V3474" i="1"/>
  <c r="V4466" i="1"/>
  <c r="V3577" i="1"/>
  <c r="V3849" i="1"/>
  <c r="V1786" i="1"/>
  <c r="V4165" i="1"/>
  <c r="V4347" i="1"/>
  <c r="V4585" i="1"/>
  <c r="U1934" i="1"/>
  <c r="V1934" i="1" s="1"/>
  <c r="U6078" i="1"/>
  <c r="V6078" i="1" s="1"/>
  <c r="T731" i="1"/>
  <c r="V731" i="1" s="1"/>
  <c r="V4090" i="1"/>
  <c r="V2837" i="1"/>
  <c r="V4567" i="1"/>
  <c r="V1530" i="1"/>
  <c r="V2507" i="1"/>
  <c r="V6080" i="1"/>
  <c r="U4168" i="1"/>
  <c r="V4168" i="1" s="1"/>
  <c r="U1344" i="1"/>
  <c r="V1344" i="1" s="1"/>
  <c r="U4622" i="1"/>
  <c r="V4622" i="1" s="1"/>
  <c r="U334" i="1"/>
  <c r="V334" i="1" s="1"/>
  <c r="U2566" i="1"/>
  <c r="V2566" i="1" s="1"/>
  <c r="V4037" i="1"/>
  <c r="U4812" i="1"/>
  <c r="U5330" i="1"/>
  <c r="V5330" i="1" s="1"/>
  <c r="U6502" i="1"/>
  <c r="V6502" i="1" s="1"/>
  <c r="V1187" i="1"/>
  <c r="U2498" i="1"/>
  <c r="V2498" i="1" s="1"/>
  <c r="U6745" i="1"/>
  <c r="V6745" i="1" s="1"/>
  <c r="T4171" i="1"/>
  <c r="V4171" i="1" s="1"/>
  <c r="T171" i="1"/>
  <c r="V171" i="1" s="1"/>
  <c r="V1824" i="1"/>
  <c r="V2749" i="1"/>
  <c r="V5828" i="1"/>
  <c r="V4716" i="1"/>
  <c r="U2634" i="1"/>
  <c r="V2634" i="1" s="1"/>
  <c r="V3176" i="1"/>
  <c r="U5528" i="1"/>
  <c r="V5528" i="1" s="1"/>
  <c r="U23" i="1"/>
  <c r="V23" i="1" s="1"/>
  <c r="V2676" i="1"/>
  <c r="U294" i="1"/>
  <c r="V294" i="1" s="1"/>
  <c r="U3368" i="1"/>
  <c r="V3368" i="1" s="1"/>
  <c r="U6570" i="1"/>
  <c r="V6570" i="1" s="1"/>
  <c r="U2015" i="1"/>
  <c r="V2015" i="1" s="1"/>
  <c r="U4066" i="1"/>
  <c r="V4066" i="1" s="1"/>
  <c r="U941" i="1"/>
  <c r="V941" i="1" s="1"/>
  <c r="U5390" i="1"/>
  <c r="V5390" i="1" s="1"/>
  <c r="U249" i="1"/>
  <c r="U1188" i="1"/>
  <c r="V1188" i="1" s="1"/>
  <c r="U5210" i="1"/>
  <c r="V5210" i="1" s="1"/>
  <c r="V2266" i="1"/>
  <c r="V6003" i="1"/>
  <c r="V4596" i="1"/>
  <c r="U1821" i="1"/>
  <c r="V1821" i="1" s="1"/>
  <c r="U4679" i="1"/>
  <c r="V4679" i="1" s="1"/>
  <c r="U2274" i="1"/>
  <c r="U5391" i="1"/>
  <c r="V5391" i="1" s="1"/>
  <c r="U983" i="1"/>
  <c r="V983" i="1" s="1"/>
  <c r="U3171" i="1"/>
  <c r="V3171" i="1" s="1"/>
  <c r="U5268" i="1"/>
  <c r="V5268" i="1" s="1"/>
  <c r="U6374" i="1"/>
  <c r="V6374" i="1" s="1"/>
  <c r="U2429" i="1"/>
  <c r="V2429" i="1" s="1"/>
  <c r="U4060" i="1"/>
  <c r="V4060" i="1" s="1"/>
  <c r="U513" i="1"/>
  <c r="U1656" i="1"/>
  <c r="V1656" i="1" s="1"/>
  <c r="U3079" i="1"/>
  <c r="V3079" i="1" s="1"/>
  <c r="T4442" i="1"/>
  <c r="V4442" i="1" s="1"/>
  <c r="V3227" i="1"/>
  <c r="V6737" i="1"/>
  <c r="V1456" i="1"/>
  <c r="V2159" i="1"/>
  <c r="V5776" i="1"/>
  <c r="V71" i="1"/>
  <c r="U3316" i="1"/>
  <c r="V3316" i="1" s="1"/>
  <c r="U4034" i="1"/>
  <c r="V4034" i="1" s="1"/>
  <c r="U880" i="1"/>
  <c r="V880" i="1" s="1"/>
  <c r="U1068" i="1"/>
  <c r="V1068" i="1" s="1"/>
  <c r="U2630" i="1"/>
  <c r="V2630" i="1" s="1"/>
  <c r="U4678" i="1"/>
  <c r="V4678" i="1" s="1"/>
  <c r="V4150" i="1"/>
  <c r="U6018" i="1"/>
  <c r="V6018" i="1" s="1"/>
  <c r="U1051" i="1"/>
  <c r="V1051" i="1" s="1"/>
  <c r="U3877" i="1"/>
  <c r="V3877" i="1" s="1"/>
  <c r="V6383" i="1"/>
  <c r="T1471" i="1"/>
  <c r="V1471" i="1" s="1"/>
  <c r="V1704" i="1"/>
  <c r="V5969" i="1"/>
  <c r="V3194" i="1"/>
  <c r="V5873" i="1"/>
  <c r="V216" i="1"/>
  <c r="U6173" i="1"/>
  <c r="T6173" i="1"/>
  <c r="T4610" i="1"/>
  <c r="U4610" i="1"/>
  <c r="U2530" i="1"/>
  <c r="T2530" i="1"/>
  <c r="U1093" i="1"/>
  <c r="T1093" i="1"/>
  <c r="U6573" i="1"/>
  <c r="T6573" i="1"/>
  <c r="U3865" i="1"/>
  <c r="T3865" i="1"/>
  <c r="U6213" i="1"/>
  <c r="T6213" i="1"/>
  <c r="U1137" i="1"/>
  <c r="T1137" i="1"/>
  <c r="T5117" i="1"/>
  <c r="U5117" i="1"/>
  <c r="T4202" i="1"/>
  <c r="U4202" i="1"/>
  <c r="T2061" i="1"/>
  <c r="U2061" i="1"/>
  <c r="T34" i="1"/>
  <c r="U34" i="1"/>
  <c r="U4968" i="1"/>
  <c r="T4968" i="1"/>
  <c r="T2649" i="1"/>
  <c r="U2649" i="1"/>
  <c r="U102" i="1"/>
  <c r="T102" i="1"/>
  <c r="T1596" i="1"/>
  <c r="U1596" i="1"/>
  <c r="T5336" i="1"/>
  <c r="U5336" i="1"/>
  <c r="T3367" i="1"/>
  <c r="U3367" i="1"/>
  <c r="T1061" i="1"/>
  <c r="U1061" i="1"/>
  <c r="U5397" i="1"/>
  <c r="T5397" i="1"/>
  <c r="T3415" i="1"/>
  <c r="U3415" i="1"/>
  <c r="T1021" i="1"/>
  <c r="U1021" i="1"/>
  <c r="U3197" i="1"/>
  <c r="T3197" i="1"/>
  <c r="T656" i="1"/>
  <c r="U656" i="1"/>
  <c r="T5370" i="1"/>
  <c r="U5370" i="1"/>
  <c r="T3440" i="1"/>
  <c r="U3440" i="1"/>
  <c r="T735" i="1"/>
  <c r="U735" i="1"/>
  <c r="T5816" i="1"/>
  <c r="U5816" i="1"/>
  <c r="T3288" i="1"/>
  <c r="U3288" i="1"/>
  <c r="T872" i="1"/>
  <c r="U872" i="1"/>
  <c r="T5437" i="1"/>
  <c r="U5437" i="1"/>
  <c r="T494" i="1"/>
  <c r="U494" i="1"/>
  <c r="T6188" i="1"/>
  <c r="U6188" i="1"/>
  <c r="T4052" i="1"/>
  <c r="U4052" i="1"/>
  <c r="T1473" i="1"/>
  <c r="U1473" i="1"/>
  <c r="T5885" i="1"/>
  <c r="U5885" i="1"/>
  <c r="T3387" i="1"/>
  <c r="U3387" i="1"/>
  <c r="T514" i="1"/>
  <c r="U514" i="1"/>
  <c r="T5928" i="1"/>
  <c r="U5928" i="1"/>
  <c r="T4133" i="1"/>
  <c r="U4133" i="1"/>
  <c r="T2256" i="1"/>
  <c r="U2256" i="1"/>
  <c r="T755" i="1"/>
  <c r="U755" i="1"/>
  <c r="T5157" i="1"/>
  <c r="U5157" i="1"/>
  <c r="T3257" i="1"/>
  <c r="U3257" i="1"/>
  <c r="T428" i="1"/>
  <c r="U428" i="1"/>
  <c r="T5099" i="1"/>
  <c r="U5099" i="1"/>
  <c r="T2027" i="1"/>
  <c r="U2027" i="1"/>
  <c r="T6007" i="1"/>
  <c r="U6007" i="1"/>
  <c r="T4669" i="1"/>
  <c r="U4669" i="1"/>
  <c r="T3245" i="1"/>
  <c r="U3245" i="1"/>
  <c r="T1237" i="1"/>
  <c r="U1237" i="1"/>
  <c r="T6396" i="1"/>
  <c r="U6396" i="1"/>
  <c r="T3494" i="1"/>
  <c r="U3494" i="1"/>
  <c r="T606" i="1"/>
  <c r="U606" i="1"/>
  <c r="T4756" i="1"/>
  <c r="U4756" i="1"/>
  <c r="T1291" i="1"/>
  <c r="U1291" i="1"/>
  <c r="T5499" i="1"/>
  <c r="U5499" i="1"/>
  <c r="T2867" i="1"/>
  <c r="U2867" i="1"/>
  <c r="T1082" i="1"/>
  <c r="U1082" i="1"/>
  <c r="U3587" i="1"/>
  <c r="V3587" i="1" s="1"/>
  <c r="U5877" i="1"/>
  <c r="T5877" i="1"/>
  <c r="U2909" i="1"/>
  <c r="T2909" i="1"/>
  <c r="U568" i="1"/>
  <c r="T568" i="1"/>
  <c r="U5201" i="1"/>
  <c r="T5201" i="1"/>
  <c r="U2443" i="1"/>
  <c r="T2443" i="1"/>
  <c r="U4030" i="1"/>
  <c r="T4030" i="1"/>
  <c r="T6404" i="1"/>
  <c r="U6404" i="1"/>
  <c r="T3337" i="1"/>
  <c r="U3337" i="1"/>
  <c r="T791" i="1"/>
  <c r="U791" i="1"/>
  <c r="T5441" i="1"/>
  <c r="U5441" i="1"/>
  <c r="T3189" i="1"/>
  <c r="U3189" i="1"/>
  <c r="T5574" i="1"/>
  <c r="U5574" i="1"/>
  <c r="T3614" i="1"/>
  <c r="U3614" i="1"/>
  <c r="T1376" i="1"/>
  <c r="U1376" i="1"/>
  <c r="T4779" i="1"/>
  <c r="U4779" i="1"/>
  <c r="T1618" i="1"/>
  <c r="U1618" i="1"/>
  <c r="T4568" i="1"/>
  <c r="U4568" i="1"/>
  <c r="T6160" i="1"/>
  <c r="U6160" i="1"/>
  <c r="T4118" i="1"/>
  <c r="U4118" i="1"/>
  <c r="T1591" i="1"/>
  <c r="U1591" i="1"/>
  <c r="T6167" i="1"/>
  <c r="U6167" i="1"/>
  <c r="T3694" i="1"/>
  <c r="U3694" i="1"/>
  <c r="T221" i="1"/>
  <c r="U221" i="1"/>
  <c r="T2250" i="1"/>
  <c r="U2250" i="1"/>
  <c r="T5003" i="1"/>
  <c r="U5003" i="1"/>
  <c r="T2623" i="1"/>
  <c r="U2623" i="1"/>
  <c r="V2623" i="1" s="1"/>
  <c r="T6683" i="1"/>
  <c r="U6683" i="1"/>
  <c r="T3132" i="1"/>
  <c r="U3132" i="1"/>
  <c r="T163" i="1"/>
  <c r="U163" i="1"/>
  <c r="T3761" i="1"/>
  <c r="U3761" i="1"/>
  <c r="T2029" i="1"/>
  <c r="U2029" i="1"/>
  <c r="T198" i="1"/>
  <c r="U198" i="1"/>
  <c r="T3571" i="1"/>
  <c r="U3571" i="1"/>
  <c r="T1420" i="1"/>
  <c r="U1420" i="1"/>
  <c r="T4059" i="1"/>
  <c r="U4059" i="1"/>
  <c r="T608" i="1"/>
  <c r="U608" i="1"/>
  <c r="T5312" i="1"/>
  <c r="U5312" i="1"/>
  <c r="T3606" i="1"/>
  <c r="U3606" i="1"/>
  <c r="T1901" i="1"/>
  <c r="U1901" i="1"/>
  <c r="T681" i="1"/>
  <c r="U681" i="1"/>
  <c r="T4985" i="1"/>
  <c r="U4985" i="1"/>
  <c r="T2098" i="1"/>
  <c r="U2098" i="1"/>
  <c r="T5278" i="1"/>
  <c r="U5278" i="1"/>
  <c r="T1756" i="1"/>
  <c r="U1756" i="1"/>
  <c r="T4954" i="1"/>
  <c r="U4954" i="1"/>
  <c r="T1968" i="1"/>
  <c r="U1968" i="1"/>
  <c r="T403" i="1"/>
  <c r="U403" i="1"/>
  <c r="U972" i="1"/>
  <c r="U2030" i="1"/>
  <c r="V2030" i="1" s="1"/>
  <c r="U5529" i="1"/>
  <c r="V5529" i="1" s="1"/>
  <c r="U6477" i="1"/>
  <c r="T6477" i="1"/>
  <c r="U4268" i="1"/>
  <c r="T4268" i="1"/>
  <c r="U1984" i="1"/>
  <c r="T1984" i="1"/>
  <c r="U425" i="1"/>
  <c r="T425" i="1"/>
  <c r="U5819" i="1"/>
  <c r="T5819" i="1"/>
  <c r="U1514" i="1"/>
  <c r="T1514" i="1"/>
  <c r="U5461" i="1"/>
  <c r="T5461" i="1"/>
  <c r="U505" i="1"/>
  <c r="T505" i="1"/>
  <c r="T4870" i="1"/>
  <c r="U4870" i="1"/>
  <c r="T2969" i="1"/>
  <c r="U2969" i="1"/>
  <c r="T1565" i="1"/>
  <c r="U1565" i="1"/>
  <c r="T5670" i="1"/>
  <c r="U5670" i="1"/>
  <c r="U3597" i="1"/>
  <c r="T3597" i="1"/>
  <c r="T848" i="1"/>
  <c r="U848" i="1"/>
  <c r="U3757" i="1"/>
  <c r="T3757" i="1"/>
  <c r="T6391" i="1"/>
  <c r="U6391" i="1"/>
  <c r="T4272" i="1"/>
  <c r="U4272" i="1"/>
  <c r="T2469" i="1"/>
  <c r="U2469" i="1"/>
  <c r="T551" i="1"/>
  <c r="U551" i="1"/>
  <c r="T5798" i="1"/>
  <c r="U5798" i="1"/>
  <c r="T2786" i="1"/>
  <c r="U2786" i="1"/>
  <c r="T6479" i="1"/>
  <c r="U6479" i="1"/>
  <c r="T1859" i="1"/>
  <c r="U1859" i="1"/>
  <c r="T5763" i="1"/>
  <c r="U5763" i="1"/>
  <c r="T4297" i="1"/>
  <c r="U4297" i="1"/>
  <c r="T2351" i="1"/>
  <c r="U2351" i="1"/>
  <c r="T200" i="1"/>
  <c r="U200" i="1"/>
  <c r="T4288" i="1"/>
  <c r="U4288" i="1"/>
  <c r="T1477" i="1"/>
  <c r="U1477" i="1"/>
  <c r="T4415" i="1"/>
  <c r="U4415" i="1"/>
  <c r="T3268" i="1"/>
  <c r="U3268" i="1"/>
  <c r="T859" i="1"/>
  <c r="U859" i="1"/>
  <c r="T4881" i="1"/>
  <c r="U4881" i="1"/>
  <c r="T2550" i="1"/>
  <c r="U2550" i="1"/>
  <c r="T1342" i="1"/>
  <c r="U1342" i="1"/>
  <c r="T5412" i="1"/>
  <c r="U5412" i="1"/>
  <c r="T3215" i="1"/>
  <c r="U3215" i="1"/>
  <c r="T1574" i="1"/>
  <c r="U1574" i="1"/>
  <c r="T2787" i="1"/>
  <c r="U2787" i="1"/>
  <c r="T19" i="1"/>
  <c r="U19" i="1"/>
  <c r="T3541" i="1"/>
  <c r="U3541" i="1"/>
  <c r="T1741" i="1"/>
  <c r="U1741" i="1"/>
  <c r="T5809" i="1"/>
  <c r="U5809" i="1"/>
  <c r="T3861" i="1"/>
  <c r="U3861" i="1"/>
  <c r="T2230" i="1"/>
  <c r="U2230" i="1"/>
  <c r="T868" i="1"/>
  <c r="U868" i="1"/>
  <c r="T5457" i="1"/>
  <c r="U5457" i="1"/>
  <c r="T2670" i="1"/>
  <c r="U2670" i="1"/>
  <c r="T66" i="1"/>
  <c r="U66" i="1"/>
  <c r="T4392" i="1"/>
  <c r="U4392" i="1"/>
  <c r="T6716" i="1"/>
  <c r="U6716" i="1"/>
  <c r="T4589" i="1"/>
  <c r="U4589" i="1"/>
  <c r="T2486" i="1"/>
  <c r="U2486" i="1"/>
  <c r="T1315" i="1"/>
  <c r="U1315" i="1"/>
  <c r="U2196" i="1"/>
  <c r="V2196" i="1" s="1"/>
  <c r="U2943" i="1"/>
  <c r="U5556" i="1"/>
  <c r="T5556" i="1"/>
  <c r="U4011" i="1"/>
  <c r="T4011" i="1"/>
  <c r="U1763" i="1"/>
  <c r="T1763" i="1"/>
  <c r="U112" i="1"/>
  <c r="T112" i="1"/>
  <c r="U4112" i="1"/>
  <c r="T4112" i="1"/>
  <c r="U627" i="1"/>
  <c r="T627" i="1"/>
  <c r="U2791" i="1"/>
  <c r="T2791" i="1"/>
  <c r="U5365" i="1"/>
  <c r="T5365" i="1"/>
  <c r="T3555" i="1"/>
  <c r="U3555" i="1"/>
  <c r="U2284" i="1"/>
  <c r="T2284" i="1"/>
  <c r="T189" i="1"/>
  <c r="U189" i="1"/>
  <c r="T4487" i="1"/>
  <c r="U4487" i="1"/>
  <c r="U1742" i="1"/>
  <c r="T1742" i="1"/>
  <c r="T5487" i="1"/>
  <c r="U5487" i="1"/>
  <c r="T525" i="1"/>
  <c r="U525" i="1"/>
  <c r="T4717" i="1"/>
  <c r="U4717" i="1"/>
  <c r="T3031" i="1"/>
  <c r="U3031" i="1"/>
  <c r="T801" i="1"/>
  <c r="U801" i="1"/>
  <c r="T4421" i="1"/>
  <c r="U4421" i="1"/>
  <c r="U1850" i="1"/>
  <c r="T1850" i="1"/>
  <c r="T5995" i="1"/>
  <c r="U5995" i="1"/>
  <c r="T1243" i="1"/>
  <c r="U1243" i="1"/>
  <c r="T5103" i="1"/>
  <c r="U5103" i="1"/>
  <c r="T2688" i="1"/>
  <c r="U2688" i="1"/>
  <c r="T1360" i="1"/>
  <c r="U1360" i="1"/>
  <c r="T5337" i="1"/>
  <c r="U5337" i="1"/>
  <c r="T3088" i="1"/>
  <c r="U3088" i="1"/>
  <c r="T552" i="1"/>
  <c r="U552" i="1"/>
  <c r="T3203" i="1"/>
  <c r="U3203" i="1"/>
  <c r="T6394" i="1"/>
  <c r="U6394" i="1"/>
  <c r="T4357" i="1"/>
  <c r="U4357" i="1"/>
  <c r="T2192" i="1"/>
  <c r="U2192" i="1"/>
  <c r="T183" i="1"/>
  <c r="U183" i="1"/>
  <c r="T4354" i="1"/>
  <c r="U4354" i="1"/>
  <c r="T2191" i="1"/>
  <c r="U2191" i="1"/>
  <c r="T6754" i="1"/>
  <c r="U6754" i="1"/>
  <c r="T3921" i="1"/>
  <c r="U3921" i="1"/>
  <c r="T223" i="1"/>
  <c r="U223" i="1"/>
  <c r="T4746" i="1"/>
  <c r="U4746" i="1"/>
  <c r="T2656" i="1"/>
  <c r="U2656" i="1"/>
  <c r="T1278" i="1"/>
  <c r="U1278" i="1"/>
  <c r="T6485" i="1"/>
  <c r="U6485" i="1"/>
  <c r="T5852" i="1"/>
  <c r="U5852" i="1"/>
  <c r="T2567" i="1"/>
  <c r="U2567" i="1"/>
  <c r="T6598" i="1"/>
  <c r="U6598" i="1"/>
  <c r="T4516" i="1"/>
  <c r="U4516" i="1"/>
  <c r="T2879" i="1"/>
  <c r="U2879" i="1"/>
  <c r="T1575" i="1"/>
  <c r="U1575" i="1"/>
  <c r="T6638" i="1"/>
  <c r="U6638" i="1"/>
  <c r="T3878" i="1"/>
  <c r="U3878" i="1"/>
  <c r="T5972" i="1"/>
  <c r="U5972" i="1"/>
  <c r="T3301" i="1"/>
  <c r="U3301" i="1"/>
  <c r="T5797" i="1"/>
  <c r="U5797" i="1"/>
  <c r="T3979" i="1"/>
  <c r="U3979" i="1"/>
  <c r="T2240" i="1"/>
  <c r="U2240" i="1"/>
  <c r="T1823" i="1"/>
  <c r="U1823" i="1"/>
  <c r="U6340" i="1"/>
  <c r="V6340" i="1" s="1"/>
  <c r="U4824" i="1"/>
  <c r="T4824" i="1"/>
  <c r="U2305" i="1"/>
  <c r="T2305" i="1"/>
  <c r="U785" i="1"/>
  <c r="T785" i="1"/>
  <c r="U5511" i="1"/>
  <c r="T5511" i="1"/>
  <c r="U2223" i="1"/>
  <c r="T2223" i="1"/>
  <c r="U4737" i="1"/>
  <c r="T4737" i="1"/>
  <c r="T6757" i="1"/>
  <c r="U6757" i="1"/>
  <c r="T4659" i="1"/>
  <c r="U4659" i="1"/>
  <c r="T2704" i="1"/>
  <c r="U2704" i="1"/>
  <c r="U1046" i="1"/>
  <c r="T1046" i="1"/>
  <c r="T6286" i="1"/>
  <c r="U6286" i="1"/>
  <c r="U3864" i="1"/>
  <c r="T3864" i="1"/>
  <c r="T1180" i="1"/>
  <c r="U1180" i="1"/>
  <c r="T4657" i="1"/>
  <c r="U4657" i="1"/>
  <c r="U205" i="1"/>
  <c r="T205" i="1"/>
  <c r="T4577" i="1"/>
  <c r="U4577" i="1"/>
  <c r="T2792" i="1"/>
  <c r="U2792" i="1"/>
  <c r="T1685" i="1"/>
  <c r="U1685" i="1"/>
  <c r="T45" i="1"/>
  <c r="U45" i="1"/>
  <c r="T2183" i="1"/>
  <c r="U2183" i="1"/>
  <c r="T309" i="1"/>
  <c r="U309" i="1"/>
  <c r="T2339" i="1"/>
  <c r="U2339" i="1"/>
  <c r="T6105" i="1"/>
  <c r="U6105" i="1"/>
  <c r="T3820" i="1"/>
  <c r="U3820" i="1"/>
  <c r="T1911" i="1"/>
  <c r="U1911" i="1"/>
  <c r="T6693" i="1"/>
  <c r="U6693" i="1"/>
  <c r="T4555" i="1"/>
  <c r="U4555" i="1"/>
  <c r="T1738" i="1"/>
  <c r="U1738" i="1"/>
  <c r="T5915" i="1"/>
  <c r="U5915" i="1"/>
  <c r="T1438" i="1"/>
  <c r="U1438" i="1"/>
  <c r="T5702" i="1"/>
  <c r="U5702" i="1"/>
  <c r="T3601" i="1"/>
  <c r="U3601" i="1"/>
  <c r="T1217" i="1"/>
  <c r="U1217" i="1"/>
  <c r="T5141" i="1"/>
  <c r="U5141" i="1"/>
  <c r="T3618" i="1"/>
  <c r="U3618" i="1"/>
  <c r="T786" i="1"/>
  <c r="U786" i="1"/>
  <c r="T4807" i="1"/>
  <c r="U4807" i="1"/>
  <c r="T844" i="1"/>
  <c r="U844" i="1"/>
  <c r="T5075" i="1"/>
  <c r="U5075" i="1"/>
  <c r="T2897" i="1"/>
  <c r="U2897" i="1"/>
  <c r="T1809" i="1"/>
  <c r="U1809" i="1"/>
  <c r="T430" i="1"/>
  <c r="U430" i="1"/>
  <c r="T4556" i="1"/>
  <c r="U4556" i="1"/>
  <c r="T2497" i="1"/>
  <c r="U2497" i="1"/>
  <c r="T6304" i="1"/>
  <c r="U6304" i="1"/>
  <c r="T5500" i="1"/>
  <c r="U5500" i="1"/>
  <c r="T4082" i="1"/>
  <c r="U4082" i="1"/>
  <c r="T2653" i="1"/>
  <c r="U2653" i="1"/>
  <c r="T1006" i="1"/>
  <c r="U1006" i="1"/>
  <c r="T5945" i="1"/>
  <c r="U5945" i="1"/>
  <c r="T3147" i="1"/>
  <c r="U3147" i="1"/>
  <c r="T6014" i="1"/>
  <c r="U6014" i="1"/>
  <c r="T4211" i="1"/>
  <c r="U4211" i="1"/>
  <c r="T3416" i="1"/>
  <c r="U3416" i="1"/>
  <c r="T1533" i="1"/>
  <c r="U1533" i="1"/>
  <c r="U47" i="1"/>
  <c r="U468" i="1"/>
  <c r="V468" i="1" s="1"/>
  <c r="U1259" i="1"/>
  <c r="V1259" i="1" s="1"/>
  <c r="U5327" i="1"/>
  <c r="T5327" i="1"/>
  <c r="U3637" i="1"/>
  <c r="T3637" i="1"/>
  <c r="U1522" i="1"/>
  <c r="T1522" i="1"/>
  <c r="U266" i="1"/>
  <c r="T266" i="1"/>
  <c r="U4702" i="1"/>
  <c r="T4702" i="1"/>
  <c r="U1096" i="1"/>
  <c r="T1096" i="1"/>
  <c r="U3501" i="1"/>
  <c r="T3501" i="1"/>
  <c r="T6237" i="1"/>
  <c r="U6237" i="1"/>
  <c r="U4402" i="1"/>
  <c r="T4402" i="1"/>
  <c r="U2417" i="1"/>
  <c r="T2417" i="1"/>
  <c r="T360" i="1"/>
  <c r="U360" i="1"/>
  <c r="T4709" i="1"/>
  <c r="U4709" i="1"/>
  <c r="T2350" i="1"/>
  <c r="U2350" i="1"/>
  <c r="T387" i="1"/>
  <c r="U387" i="1"/>
  <c r="T2103" i="1"/>
  <c r="U2103" i="1"/>
  <c r="T6034" i="1"/>
  <c r="U6034" i="1"/>
  <c r="U4084" i="1"/>
  <c r="T4084" i="1"/>
  <c r="U2133" i="1"/>
  <c r="T2133" i="1"/>
  <c r="T248" i="1"/>
  <c r="U248" i="1"/>
  <c r="T3943" i="1"/>
  <c r="U3943" i="1"/>
  <c r="T1252" i="1"/>
  <c r="U1252" i="1"/>
  <c r="T5138" i="1"/>
  <c r="U5138" i="1"/>
  <c r="T6660" i="1"/>
  <c r="U6660" i="1"/>
  <c r="T4782" i="1"/>
  <c r="U4782" i="1"/>
  <c r="T2977" i="1"/>
  <c r="U2977" i="1"/>
  <c r="T398" i="1"/>
  <c r="U398" i="1"/>
  <c r="T4850" i="1"/>
  <c r="U4850" i="1"/>
  <c r="T2059" i="1"/>
  <c r="U2059" i="1"/>
  <c r="T6161" i="1"/>
  <c r="U6161" i="1"/>
  <c r="T2820" i="1"/>
  <c r="U2820" i="1"/>
  <c r="T5860" i="1"/>
  <c r="U5860" i="1"/>
  <c r="T3859" i="1"/>
  <c r="U3859" i="1"/>
  <c r="T1690" i="1"/>
  <c r="U1690" i="1"/>
  <c r="T6437" i="1"/>
  <c r="U6437" i="1"/>
  <c r="T3948" i="1"/>
  <c r="U3948" i="1"/>
  <c r="T1256" i="1"/>
  <c r="U1256" i="1"/>
  <c r="T5273" i="1"/>
  <c r="U5273" i="1"/>
  <c r="T2987" i="1"/>
  <c r="U2987" i="1"/>
  <c r="T6102" i="1"/>
  <c r="U6102" i="1"/>
  <c r="T3538" i="1"/>
  <c r="U3538" i="1"/>
  <c r="T5679" i="1"/>
  <c r="U5679" i="1"/>
  <c r="T3412" i="1"/>
  <c r="U3412" i="1"/>
  <c r="T1028" i="1"/>
  <c r="U1028" i="1"/>
  <c r="T4640" i="1"/>
  <c r="U4640" i="1"/>
  <c r="T6194" i="1"/>
  <c r="U6194" i="1"/>
  <c r="T4220" i="1"/>
  <c r="U4220" i="1"/>
  <c r="T1266" i="1"/>
  <c r="U1266" i="1"/>
  <c r="T5163" i="1"/>
  <c r="U5163" i="1"/>
  <c r="T3136" i="1"/>
  <c r="U3136" i="1"/>
  <c r="T639" i="1"/>
  <c r="U639" i="1"/>
  <c r="U5076" i="1"/>
  <c r="T5076" i="1"/>
  <c r="U3177" i="1"/>
  <c r="T3177" i="1"/>
  <c r="T1281" i="1"/>
  <c r="U1281" i="1"/>
  <c r="U6073" i="1"/>
  <c r="T6073" i="1"/>
  <c r="U3065" i="1"/>
  <c r="T3065" i="1"/>
  <c r="U6631" i="1"/>
  <c r="T6631" i="1"/>
  <c r="U1959" i="1"/>
  <c r="T1959" i="1"/>
  <c r="T5942" i="1"/>
  <c r="U5942" i="1"/>
  <c r="T3986" i="1"/>
  <c r="U3986" i="1"/>
  <c r="T1831" i="1"/>
  <c r="U1831" i="1"/>
  <c r="U6659" i="1"/>
  <c r="T6659" i="1"/>
  <c r="T4250" i="1"/>
  <c r="U4250" i="1"/>
  <c r="T2016" i="1"/>
  <c r="U2016" i="1"/>
  <c r="T6112" i="1"/>
  <c r="U6112" i="1"/>
  <c r="T1080" i="1"/>
  <c r="U1080" i="1"/>
  <c r="U5134" i="1"/>
  <c r="T5134" i="1"/>
  <c r="T3890" i="1"/>
  <c r="U3890" i="1"/>
  <c r="T1921" i="1"/>
  <c r="U1921" i="1"/>
  <c r="T6384" i="1"/>
  <c r="U6384" i="1"/>
  <c r="T3038" i="1"/>
  <c r="U3038" i="1"/>
  <c r="T757" i="1"/>
  <c r="U757" i="1"/>
  <c r="T2756" i="1"/>
  <c r="U2756" i="1"/>
  <c r="T6436" i="1"/>
  <c r="U6436" i="1"/>
  <c r="T1098" i="1"/>
  <c r="U1098" i="1"/>
  <c r="T5124" i="1"/>
  <c r="U5124" i="1"/>
  <c r="T2519" i="1"/>
  <c r="U2519" i="1"/>
  <c r="T11" i="1"/>
  <c r="U11" i="1"/>
  <c r="T3869" i="1"/>
  <c r="U3869" i="1"/>
  <c r="T6681" i="1"/>
  <c r="U6681" i="1"/>
  <c r="T4674" i="1"/>
  <c r="U4674" i="1"/>
  <c r="T2930" i="1"/>
  <c r="U2930" i="1"/>
  <c r="T512" i="1"/>
  <c r="U512" i="1"/>
  <c r="T4458" i="1"/>
  <c r="U4458" i="1"/>
  <c r="T1813" i="1"/>
  <c r="U1813" i="1"/>
  <c r="T5989" i="1"/>
  <c r="U5989" i="1"/>
  <c r="T2492" i="1"/>
  <c r="U2492" i="1"/>
  <c r="T5727" i="1"/>
  <c r="U5727" i="1"/>
  <c r="T4503" i="1"/>
  <c r="U4503" i="1"/>
  <c r="T2531" i="1"/>
  <c r="U2531" i="1"/>
  <c r="T1107" i="1"/>
  <c r="U1107" i="1"/>
  <c r="T6027" i="1"/>
  <c r="U6027" i="1"/>
  <c r="T4067" i="1"/>
  <c r="U4067" i="1"/>
  <c r="T1969" i="1"/>
  <c r="U1969" i="1"/>
  <c r="T5404" i="1"/>
  <c r="U5404" i="1"/>
  <c r="T3299" i="1"/>
  <c r="U3299" i="1"/>
  <c r="T80" i="1"/>
  <c r="U80" i="1"/>
  <c r="T4931" i="1"/>
  <c r="U4931" i="1"/>
  <c r="T3449" i="1"/>
  <c r="U3449" i="1"/>
  <c r="T1433" i="1"/>
  <c r="U1433" i="1"/>
  <c r="T295" i="1"/>
  <c r="U295" i="1"/>
  <c r="T4624" i="1"/>
  <c r="U4624" i="1"/>
  <c r="T1555" i="1"/>
  <c r="U1555" i="1"/>
  <c r="T5639" i="1"/>
  <c r="U5639" i="1"/>
  <c r="T2465" i="1"/>
  <c r="U2465" i="1"/>
  <c r="T6357" i="1"/>
  <c r="U6357" i="1"/>
  <c r="T3708" i="1"/>
  <c r="U3708" i="1"/>
  <c r="U4995" i="1"/>
  <c r="V4995" i="1" s="1"/>
  <c r="T3289" i="1"/>
  <c r="U3289" i="1"/>
  <c r="U4502" i="1"/>
  <c r="V4502" i="1" s="1"/>
  <c r="U3199" i="1"/>
  <c r="V3199" i="1" s="1"/>
  <c r="U6283" i="1"/>
  <c r="V6283" i="1" s="1"/>
  <c r="U1996" i="1"/>
  <c r="V1996" i="1" s="1"/>
  <c r="U4495" i="1"/>
  <c r="V4495" i="1" s="1"/>
  <c r="U4109" i="1"/>
  <c r="V4109" i="1" s="1"/>
  <c r="U5394" i="1"/>
  <c r="T6618" i="1"/>
  <c r="U6618" i="1"/>
  <c r="U5551" i="1"/>
  <c r="T5551" i="1"/>
  <c r="U4581" i="1"/>
  <c r="T4581" i="1"/>
  <c r="U2842" i="1"/>
  <c r="T2842" i="1"/>
  <c r="U6527" i="1"/>
  <c r="T6527" i="1"/>
  <c r="T5155" i="1"/>
  <c r="U5155" i="1"/>
  <c r="U3046" i="1"/>
  <c r="T3046" i="1"/>
  <c r="U873" i="1"/>
  <c r="T873" i="1"/>
  <c r="U5341" i="1"/>
  <c r="T5341" i="1"/>
  <c r="U2757" i="1"/>
  <c r="T2757" i="1"/>
  <c r="U4815" i="1"/>
  <c r="T4815" i="1"/>
  <c r="U4129" i="1"/>
  <c r="T4129" i="1"/>
  <c r="T2950" i="1"/>
  <c r="U2950" i="1"/>
  <c r="U2200" i="1"/>
  <c r="T2200" i="1"/>
  <c r="U1482" i="1"/>
  <c r="T1482" i="1"/>
  <c r="U185" i="1"/>
  <c r="T185" i="1"/>
  <c r="U4173" i="1"/>
  <c r="T4173" i="1"/>
  <c r="U3124" i="1"/>
  <c r="T3124" i="1"/>
  <c r="V6651" i="1"/>
  <c r="U3590" i="1"/>
  <c r="T3590" i="1"/>
  <c r="U164" i="1"/>
  <c r="T164" i="1"/>
  <c r="U3886" i="1"/>
  <c r="T3886" i="1"/>
  <c r="U1345" i="1"/>
  <c r="T1345" i="1"/>
  <c r="U234" i="1"/>
  <c r="T234" i="1"/>
  <c r="U5697" i="1"/>
  <c r="T5697" i="1"/>
  <c r="U3259" i="1"/>
  <c r="T3259" i="1"/>
  <c r="T5785" i="1"/>
  <c r="U5785" i="1"/>
  <c r="V6031" i="1"/>
  <c r="T4277" i="1"/>
  <c r="U4277" i="1"/>
  <c r="V691" i="1"/>
  <c r="U3272" i="1"/>
  <c r="T3272" i="1"/>
  <c r="T1733" i="1"/>
  <c r="U1733" i="1"/>
  <c r="T213" i="1"/>
  <c r="U213" i="1"/>
  <c r="U5315" i="1"/>
  <c r="T5315" i="1"/>
  <c r="T2215" i="1"/>
  <c r="U2215" i="1"/>
  <c r="T3917" i="1"/>
  <c r="U3917" i="1"/>
  <c r="T2549" i="1"/>
  <c r="U2549" i="1"/>
  <c r="T3529" i="1"/>
  <c r="U3529" i="1"/>
  <c r="T181" i="1"/>
  <c r="U181" i="1"/>
  <c r="T3512" i="1"/>
  <c r="U3512" i="1"/>
  <c r="T6713" i="1"/>
  <c r="U6713" i="1"/>
  <c r="T3519" i="1"/>
  <c r="U3519" i="1"/>
  <c r="U1009" i="1"/>
  <c r="V1009" i="1" s="1"/>
  <c r="U5186" i="1"/>
  <c r="V5186" i="1" s="1"/>
  <c r="U2993" i="1"/>
  <c r="V2993" i="1" s="1"/>
  <c r="U888" i="1"/>
  <c r="V888" i="1" s="1"/>
  <c r="U2745" i="1"/>
  <c r="V2745" i="1" s="1"/>
  <c r="U1171" i="1"/>
  <c r="V1171" i="1" s="1"/>
  <c r="U369" i="1"/>
  <c r="V369" i="1" s="1"/>
  <c r="U2971" i="1"/>
  <c r="V2971" i="1" s="1"/>
  <c r="U3391" i="1"/>
  <c r="V3391" i="1" s="1"/>
  <c r="U6366" i="1"/>
  <c r="V6366" i="1" s="1"/>
  <c r="U304" i="1"/>
  <c r="V304" i="1" s="1"/>
  <c r="U4936" i="1"/>
  <c r="V4936" i="1" s="1"/>
  <c r="U2878" i="1"/>
  <c r="V2878" i="1" s="1"/>
  <c r="U117" i="1"/>
  <c r="V117" i="1" s="1"/>
  <c r="U2988" i="1"/>
  <c r="V2988" i="1" s="1"/>
  <c r="U6168" i="1"/>
  <c r="V6168" i="1" s="1"/>
  <c r="U5049" i="1"/>
  <c r="V5049" i="1" s="1"/>
  <c r="U180" i="1"/>
  <c r="V180" i="1" s="1"/>
  <c r="U686" i="1"/>
  <c r="V686" i="1" s="1"/>
  <c r="U965" i="1"/>
  <c r="V965" i="1" s="1"/>
  <c r="U5935" i="1"/>
  <c r="V5935" i="1" s="1"/>
  <c r="U6162" i="1"/>
  <c r="V6162" i="1" s="1"/>
  <c r="U6588" i="1"/>
  <c r="V6588" i="1" s="1"/>
  <c r="U1145" i="1"/>
  <c r="V1145" i="1" s="1"/>
  <c r="U3291" i="1"/>
  <c r="V3291" i="1" s="1"/>
  <c r="U5452" i="1"/>
  <c r="V5452" i="1" s="1"/>
  <c r="U5772" i="1"/>
  <c r="V5772" i="1" s="1"/>
  <c r="U6004" i="1"/>
  <c r="V6004" i="1" s="1"/>
  <c r="U5119" i="1"/>
  <c r="V5119" i="1" s="1"/>
  <c r="U4854" i="1"/>
  <c r="V4854" i="1" s="1"/>
  <c r="U1836" i="1"/>
  <c r="V1836" i="1" s="1"/>
  <c r="U4243" i="1"/>
  <c r="V4243" i="1" s="1"/>
  <c r="U520" i="1"/>
  <c r="V520" i="1" s="1"/>
  <c r="U1069" i="1"/>
  <c r="V1069" i="1" s="1"/>
  <c r="U3099" i="1"/>
  <c r="V3099" i="1" s="1"/>
  <c r="U5189" i="1"/>
  <c r="V5189" i="1" s="1"/>
  <c r="U2241" i="1"/>
  <c r="V2241" i="1" s="1"/>
  <c r="U3213" i="1"/>
  <c r="V3213" i="1" s="1"/>
  <c r="U4952" i="1"/>
  <c r="V4952" i="1" s="1"/>
  <c r="U6575" i="1"/>
  <c r="V6575" i="1" s="1"/>
  <c r="U6622" i="1"/>
  <c r="V6622" i="1" s="1"/>
  <c r="U2349" i="1"/>
  <c r="V2349" i="1" s="1"/>
  <c r="U3431" i="1"/>
  <c r="V3431" i="1" s="1"/>
  <c r="U5777" i="1"/>
  <c r="V5777" i="1" s="1"/>
  <c r="U538" i="1"/>
  <c r="V538" i="1" s="1"/>
  <c r="U1396" i="1"/>
  <c r="V1396" i="1" s="1"/>
  <c r="U3183" i="1"/>
  <c r="V3183" i="1" s="1"/>
  <c r="U2893" i="1"/>
  <c r="V2893" i="1" s="1"/>
  <c r="U5923" i="1"/>
  <c r="V5923" i="1" s="1"/>
  <c r="U1322" i="1"/>
  <c r="V1322" i="1" s="1"/>
  <c r="U5032" i="1"/>
  <c r="V5032" i="1" s="1"/>
  <c r="U4987" i="1"/>
  <c r="V4987" i="1" s="1"/>
  <c r="U5335" i="1"/>
  <c r="V5335" i="1" s="1"/>
  <c r="U193" i="1"/>
  <c r="V193" i="1" s="1"/>
  <c r="U5060" i="1"/>
  <c r="U2744" i="1"/>
  <c r="V2744" i="1" s="1"/>
  <c r="U5395" i="1"/>
  <c r="V5395" i="1" s="1"/>
  <c r="T5339" i="1"/>
  <c r="T4681" i="1"/>
  <c r="V4681" i="1" s="1"/>
  <c r="T2441" i="1"/>
  <c r="V2441" i="1" s="1"/>
  <c r="T1064" i="1"/>
  <c r="V1064" i="1" s="1"/>
  <c r="T4834" i="1"/>
  <c r="V4834" i="1" s="1"/>
  <c r="T2729" i="1"/>
  <c r="V2729" i="1" s="1"/>
  <c r="T4342" i="1"/>
  <c r="U4342" i="1"/>
  <c r="T2514" i="1"/>
  <c r="U2514" i="1"/>
  <c r="T4539" i="1"/>
  <c r="U4539" i="1"/>
  <c r="T25" i="1"/>
  <c r="U25" i="1"/>
  <c r="T4262" i="1"/>
  <c r="U4262" i="1"/>
  <c r="T539" i="1"/>
  <c r="U539" i="1"/>
  <c r="V3574" i="1"/>
  <c r="V4512" i="1"/>
  <c r="U6136" i="1"/>
  <c r="V6136" i="1" s="1"/>
  <c r="U3728" i="1"/>
  <c r="V3728" i="1" s="1"/>
  <c r="U3915" i="1"/>
  <c r="V3915" i="1" s="1"/>
  <c r="U712" i="1"/>
  <c r="V712" i="1" s="1"/>
  <c r="U1493" i="1"/>
  <c r="V1493" i="1" s="1"/>
  <c r="U649" i="1"/>
  <c r="V649" i="1" s="1"/>
  <c r="U1939" i="1"/>
  <c r="V1939" i="1" s="1"/>
  <c r="U3693" i="1"/>
  <c r="V3693" i="1" s="1"/>
  <c r="U667" i="1"/>
  <c r="V667" i="1" s="1"/>
  <c r="U5951" i="1"/>
  <c r="V5951" i="1" s="1"/>
  <c r="U654" i="1"/>
  <c r="V654" i="1" s="1"/>
  <c r="U5426" i="1"/>
  <c r="V5426" i="1" s="1"/>
  <c r="U1495" i="1"/>
  <c r="V1495" i="1" s="1"/>
  <c r="U4404" i="1"/>
  <c r="V4404" i="1" s="1"/>
  <c r="U6124" i="1"/>
  <c r="T6124" i="1"/>
  <c r="U5021" i="1"/>
  <c r="T5021" i="1"/>
  <c r="U3963" i="1"/>
  <c r="T3963" i="1"/>
  <c r="U2301" i="1"/>
  <c r="T2301" i="1"/>
  <c r="U1516" i="1"/>
  <c r="T1516" i="1"/>
  <c r="U553" i="1"/>
  <c r="T553" i="1"/>
  <c r="U79" i="1"/>
  <c r="T79" i="1"/>
  <c r="T5401" i="1"/>
  <c r="U5401" i="1"/>
  <c r="U575" i="1"/>
  <c r="T575" i="1"/>
  <c r="U3909" i="1"/>
  <c r="T3909" i="1"/>
  <c r="U495" i="1"/>
  <c r="T495" i="1"/>
  <c r="V5339" i="1"/>
  <c r="U28" i="1"/>
  <c r="T28" i="1"/>
  <c r="U6270" i="1"/>
  <c r="T6270" i="1"/>
  <c r="U4650" i="1"/>
  <c r="T4650" i="1"/>
  <c r="T1706" i="1"/>
  <c r="U1706" i="1"/>
  <c r="U324" i="1"/>
  <c r="T324" i="1"/>
  <c r="U4251" i="1"/>
  <c r="T4251" i="1"/>
  <c r="U1570" i="1"/>
  <c r="T1570" i="1"/>
  <c r="U6386" i="1"/>
  <c r="T6386" i="1"/>
  <c r="V4575" i="1"/>
  <c r="U3361" i="1"/>
  <c r="T3361" i="1"/>
  <c r="U2660" i="1"/>
  <c r="T2660" i="1"/>
  <c r="V768" i="1"/>
  <c r="U3784" i="1"/>
  <c r="T3784" i="1"/>
  <c r="T2989" i="1"/>
  <c r="U2989" i="1"/>
  <c r="U1610" i="1"/>
  <c r="T1610" i="1"/>
  <c r="U4386" i="1"/>
  <c r="T4386" i="1"/>
  <c r="U2713" i="1"/>
  <c r="T2713" i="1"/>
  <c r="T549" i="1"/>
  <c r="U549" i="1"/>
  <c r="U6155" i="1"/>
  <c r="T6155" i="1"/>
  <c r="U3750" i="1"/>
  <c r="T3750" i="1"/>
  <c r="T2836" i="1"/>
  <c r="U2836" i="1"/>
  <c r="U6139" i="1"/>
  <c r="T6139" i="1"/>
  <c r="U5803" i="1"/>
  <c r="T5803" i="1"/>
  <c r="T511" i="1"/>
  <c r="U511" i="1"/>
  <c r="U5913" i="1"/>
  <c r="T5913" i="1"/>
  <c r="T4367" i="1"/>
  <c r="U4367" i="1"/>
  <c r="T2767" i="1"/>
  <c r="U2767" i="1"/>
  <c r="T6185" i="1"/>
  <c r="U6185" i="1"/>
  <c r="T5671" i="1"/>
  <c r="U5671" i="1"/>
  <c r="T4314" i="1"/>
  <c r="U4314" i="1"/>
  <c r="T3580" i="1"/>
  <c r="U3580" i="1"/>
  <c r="T2903" i="1"/>
  <c r="U2903" i="1"/>
  <c r="T1453" i="1"/>
  <c r="U1453" i="1"/>
  <c r="T175" i="1"/>
  <c r="U175" i="1"/>
  <c r="T4336" i="1"/>
  <c r="U4336" i="1"/>
  <c r="T3281" i="1"/>
  <c r="U3281" i="1"/>
  <c r="T429" i="1"/>
  <c r="U429" i="1"/>
  <c r="T3756" i="1"/>
  <c r="U3756" i="1"/>
  <c r="T1775" i="1"/>
  <c r="U1775" i="1"/>
  <c r="T1257" i="1"/>
  <c r="U1257" i="1"/>
  <c r="T5668" i="1"/>
  <c r="U5668" i="1"/>
  <c r="V3371" i="1"/>
  <c r="T2452" i="1"/>
  <c r="U2452" i="1"/>
  <c r="T6281" i="1"/>
  <c r="U6281" i="1"/>
  <c r="T2564" i="1"/>
  <c r="U2564" i="1"/>
  <c r="T3207" i="1"/>
  <c r="U3207" i="1"/>
  <c r="T677" i="1"/>
  <c r="U677" i="1"/>
  <c r="T3773" i="1"/>
  <c r="U3773" i="1"/>
  <c r="T567" i="1"/>
  <c r="U567" i="1"/>
  <c r="T5960" i="1"/>
  <c r="U5960" i="1"/>
  <c r="T4731" i="1"/>
  <c r="U4731" i="1"/>
  <c r="T1229" i="1"/>
  <c r="U1229" i="1"/>
  <c r="T6347" i="1"/>
  <c r="U6347" i="1"/>
  <c r="T4206" i="1"/>
  <c r="U4206" i="1"/>
  <c r="T2864" i="1"/>
  <c r="U2864" i="1"/>
  <c r="T1948" i="1"/>
  <c r="U1948" i="1"/>
  <c r="T4500" i="1"/>
  <c r="U4500" i="1"/>
  <c r="V699" i="1"/>
  <c r="U2170" i="1"/>
  <c r="V2170" i="1" s="1"/>
  <c r="U2937" i="1"/>
  <c r="V2937" i="1" s="1"/>
  <c r="U3353" i="1"/>
  <c r="V3353" i="1" s="1"/>
  <c r="U378" i="1"/>
  <c r="V378" i="1" s="1"/>
  <c r="U5952" i="1"/>
  <c r="V5952" i="1" s="1"/>
  <c r="U4280" i="1"/>
  <c r="V4280" i="1" s="1"/>
  <c r="V4753" i="1"/>
  <c r="V817" i="1"/>
  <c r="U4121" i="1"/>
  <c r="V4121" i="1" s="1"/>
  <c r="U5121" i="1"/>
  <c r="V5121" i="1" s="1"/>
  <c r="U1807" i="1"/>
  <c r="V1807" i="1" s="1"/>
  <c r="U2038" i="1"/>
  <c r="V2038" i="1" s="1"/>
  <c r="U2318" i="1"/>
  <c r="V2318" i="1" s="1"/>
  <c r="U6275" i="1"/>
  <c r="V6275" i="1" s="1"/>
  <c r="U6509" i="1"/>
  <c r="V6509" i="1" s="1"/>
  <c r="U256" i="1"/>
  <c r="V256" i="1" s="1"/>
  <c r="U637" i="1"/>
  <c r="V637" i="1" s="1"/>
  <c r="U4538" i="1"/>
  <c r="V4538" i="1" s="1"/>
  <c r="U2788" i="1"/>
  <c r="V2788" i="1" s="1"/>
  <c r="U3270" i="1"/>
  <c r="V3270" i="1" s="1"/>
  <c r="U3534" i="1"/>
  <c r="V3534" i="1" s="1"/>
  <c r="U3853" i="1"/>
  <c r="V3853" i="1" s="1"/>
  <c r="U6605" i="1"/>
  <c r="V6605" i="1" s="1"/>
  <c r="U1208" i="1"/>
  <c r="V1208" i="1" s="1"/>
  <c r="U1924" i="1"/>
  <c r="V1924" i="1" s="1"/>
  <c r="U2243" i="1"/>
  <c r="V2243" i="1" s="1"/>
  <c r="U738" i="1"/>
  <c r="V738" i="1" s="1"/>
  <c r="U943" i="1"/>
  <c r="V943" i="1" s="1"/>
  <c r="U113" i="1"/>
  <c r="V113" i="1" s="1"/>
  <c r="U2761" i="1"/>
  <c r="V2761" i="1" s="1"/>
  <c r="U5780" i="1"/>
  <c r="V5780" i="1" s="1"/>
  <c r="U6042" i="1"/>
  <c r="V6042" i="1" s="1"/>
  <c r="U4147" i="1"/>
  <c r="V4147" i="1" s="1"/>
  <c r="U2263" i="1"/>
  <c r="V2263" i="1" s="1"/>
  <c r="U2599" i="1"/>
  <c r="V2599" i="1" s="1"/>
  <c r="U6351" i="1"/>
  <c r="V6351" i="1" s="1"/>
  <c r="U2717" i="1"/>
  <c r="V2717" i="1" s="1"/>
  <c r="U5410" i="1"/>
  <c r="V5410" i="1" s="1"/>
  <c r="U5685" i="1"/>
  <c r="V5685" i="1" s="1"/>
  <c r="U5839" i="1"/>
  <c r="V5839" i="1" s="1"/>
  <c r="U4353" i="1"/>
  <c r="V4353" i="1" s="1"/>
  <c r="U6040" i="1"/>
  <c r="V6040" i="1" s="1"/>
  <c r="U5375" i="1"/>
  <c r="V5375" i="1" s="1"/>
  <c r="U737" i="1"/>
  <c r="V737" i="1" s="1"/>
  <c r="U2996" i="1"/>
  <c r="U5358" i="1"/>
  <c r="V5358" i="1" s="1"/>
  <c r="U4513" i="1"/>
  <c r="V4513" i="1" s="1"/>
  <c r="U4388" i="1"/>
  <c r="V4388" i="1" s="1"/>
  <c r="U1490" i="1"/>
  <c r="V1490" i="1" s="1"/>
  <c r="U3995" i="1"/>
  <c r="V3995" i="1" s="1"/>
  <c r="U307" i="1"/>
  <c r="V307" i="1" s="1"/>
  <c r="U2285" i="1"/>
  <c r="V2285" i="1" s="1"/>
  <c r="U2667" i="1"/>
  <c r="U2857" i="1"/>
  <c r="V2857" i="1" s="1"/>
  <c r="U3009" i="1"/>
  <c r="V3009" i="1" s="1"/>
  <c r="U6758" i="1"/>
  <c r="V6758" i="1" s="1"/>
  <c r="U1416" i="1"/>
  <c r="V1416" i="1" s="1"/>
  <c r="U4306" i="1"/>
  <c r="V4306" i="1" s="1"/>
  <c r="U619" i="1"/>
  <c r="V619" i="1" s="1"/>
  <c r="U6373" i="1"/>
  <c r="V6373" i="1" s="1"/>
  <c r="U5307" i="1"/>
  <c r="V5307" i="1" s="1"/>
  <c r="U4618" i="1"/>
  <c r="V4618" i="1" s="1"/>
  <c r="U969" i="1"/>
  <c r="V969" i="1" s="1"/>
  <c r="U2758" i="1"/>
  <c r="V2758" i="1" s="1"/>
  <c r="U2644" i="1"/>
  <c r="V2644" i="1" s="1"/>
  <c r="U5700" i="1"/>
  <c r="V5700" i="1" s="1"/>
  <c r="U779" i="1"/>
  <c r="V779" i="1" s="1"/>
  <c r="U4866" i="1"/>
  <c r="V4866" i="1" s="1"/>
  <c r="U5818" i="1"/>
  <c r="V5818" i="1" s="1"/>
  <c r="U452" i="1"/>
  <c r="V452" i="1" s="1"/>
  <c r="U5112" i="1"/>
  <c r="V5112" i="1" s="1"/>
  <c r="U6538" i="1"/>
  <c r="V6538" i="1" s="1"/>
  <c r="U2291" i="1"/>
  <c r="V2291" i="1" s="1"/>
  <c r="U2166" i="1"/>
  <c r="V2166" i="1" s="1"/>
  <c r="U2129" i="1"/>
  <c r="V2129" i="1" s="1"/>
  <c r="U2090" i="1"/>
  <c r="V2090" i="1" s="1"/>
  <c r="T6727" i="1"/>
  <c r="U6727" i="1"/>
  <c r="T3278" i="1"/>
  <c r="U3278" i="1"/>
  <c r="T5462" i="1"/>
  <c r="U5462" i="1"/>
  <c r="T3296" i="1"/>
  <c r="U3296" i="1"/>
  <c r="T936" i="1"/>
  <c r="U936" i="1"/>
  <c r="T5666" i="1"/>
  <c r="U5666" i="1"/>
  <c r="V2262" i="1"/>
  <c r="V5604" i="1"/>
  <c r="U5769" i="1"/>
  <c r="V5769" i="1" s="1"/>
  <c r="U951" i="1"/>
  <c r="V951" i="1" s="1"/>
  <c r="U3093" i="1"/>
  <c r="V3093" i="1" s="1"/>
  <c r="U1629" i="1"/>
  <c r="V1629" i="1" s="1"/>
  <c r="U584" i="1"/>
  <c r="V584" i="1" s="1"/>
  <c r="U3180" i="1"/>
  <c r="V3180" i="1" s="1"/>
  <c r="U3310" i="1"/>
  <c r="V3310" i="1" s="1"/>
  <c r="U383" i="1"/>
  <c r="V383" i="1" s="1"/>
  <c r="U6541" i="1"/>
  <c r="V6541" i="1" s="1"/>
  <c r="U1310" i="1"/>
  <c r="V1310" i="1" s="1"/>
  <c r="U3685" i="1"/>
  <c r="V3685" i="1" s="1"/>
  <c r="U5484" i="1"/>
  <c r="V5484" i="1" s="1"/>
  <c r="U740" i="1"/>
  <c r="V740" i="1" s="1"/>
  <c r="U3899" i="1"/>
  <c r="V3899" i="1" s="1"/>
  <c r="U1780" i="1"/>
  <c r="V1780" i="1" s="1"/>
  <c r="T6464" i="1"/>
  <c r="U6464" i="1"/>
  <c r="U5227" i="1"/>
  <c r="T5227" i="1"/>
  <c r="U4252" i="1"/>
  <c r="T4252" i="1"/>
  <c r="U3090" i="1"/>
  <c r="T3090" i="1"/>
  <c r="U1953" i="1"/>
  <c r="T1953" i="1"/>
  <c r="U1241" i="1"/>
  <c r="T1241" i="1"/>
  <c r="U423" i="1"/>
  <c r="T423" i="1"/>
  <c r="T5806" i="1"/>
  <c r="U5806" i="1"/>
  <c r="U4064" i="1"/>
  <c r="T4064" i="1"/>
  <c r="U2438" i="1"/>
  <c r="T2438" i="1"/>
  <c r="U6550" i="1"/>
  <c r="T6550" i="1"/>
  <c r="U4712" i="1"/>
  <c r="T4712" i="1"/>
  <c r="T1945" i="1"/>
  <c r="U1945" i="1"/>
  <c r="U5016" i="1"/>
  <c r="T5016" i="1"/>
  <c r="U2652" i="1"/>
  <c r="T2652" i="1"/>
  <c r="U2045" i="1"/>
  <c r="T2045" i="1"/>
  <c r="T1014" i="1"/>
  <c r="U1014" i="1"/>
  <c r="T357" i="1"/>
  <c r="U357" i="1"/>
  <c r="U6583" i="1"/>
  <c r="T6583" i="1"/>
  <c r="U4955" i="1"/>
  <c r="T4955" i="1"/>
  <c r="U2344" i="1"/>
  <c r="T2344" i="1"/>
  <c r="U1095" i="1"/>
  <c r="T1095" i="1"/>
  <c r="T2093" i="1"/>
  <c r="U2093" i="1"/>
  <c r="U519" i="1"/>
  <c r="T519" i="1"/>
  <c r="U5544" i="1"/>
  <c r="T5544" i="1"/>
  <c r="T5088" i="1"/>
  <c r="U5088" i="1"/>
  <c r="T4056" i="1"/>
  <c r="U4056" i="1"/>
  <c r="U1573" i="1"/>
  <c r="T1573" i="1"/>
  <c r="U1032" i="1"/>
  <c r="T1032" i="1"/>
  <c r="T6361" i="1"/>
  <c r="U6361" i="1"/>
  <c r="U4398" i="1"/>
  <c r="T4398" i="1"/>
  <c r="T1803" i="1"/>
  <c r="U1803" i="1"/>
  <c r="U3166" i="1"/>
  <c r="T3166" i="1"/>
  <c r="U6410" i="1"/>
  <c r="T6410" i="1"/>
  <c r="T4100" i="1"/>
  <c r="U4100" i="1"/>
  <c r="U3318" i="1"/>
  <c r="T3318" i="1"/>
  <c r="T1900" i="1"/>
  <c r="U1900" i="1"/>
  <c r="U1353" i="1"/>
  <c r="T1353" i="1"/>
  <c r="T4263" i="1"/>
  <c r="U4263" i="1"/>
  <c r="U3083" i="1"/>
  <c r="T3083" i="1"/>
  <c r="T1312" i="1"/>
  <c r="U1312" i="1"/>
  <c r="U6657" i="1"/>
  <c r="T6657" i="1"/>
  <c r="T2611" i="1"/>
  <c r="U2611" i="1"/>
  <c r="T6407" i="1"/>
  <c r="U6407" i="1"/>
  <c r="T5835" i="1"/>
  <c r="U5835" i="1"/>
  <c r="T647" i="1"/>
  <c r="U647" i="1"/>
  <c r="T5793" i="1"/>
  <c r="U5793" i="1"/>
  <c r="U1975" i="1"/>
  <c r="T1975" i="1"/>
  <c r="T6333" i="1"/>
  <c r="U6333" i="1"/>
  <c r="T2025" i="1"/>
  <c r="U2025" i="1"/>
  <c r="T408" i="1"/>
  <c r="U408" i="1"/>
  <c r="T4039" i="1"/>
  <c r="U4039" i="1"/>
  <c r="T2019" i="1"/>
  <c r="U2019" i="1"/>
  <c r="T1126" i="1"/>
  <c r="U1126" i="1"/>
  <c r="T6590" i="1"/>
  <c r="U6590" i="1"/>
  <c r="T1419" i="1"/>
  <c r="U1419" i="1"/>
  <c r="T862" i="1"/>
  <c r="U862" i="1"/>
  <c r="T6606" i="1"/>
  <c r="U6606" i="1"/>
  <c r="T4200" i="1"/>
  <c r="U4200" i="1"/>
  <c r="T2614" i="1"/>
  <c r="U2614" i="1"/>
  <c r="T39" i="1"/>
  <c r="U39" i="1"/>
  <c r="T5237" i="1"/>
  <c r="U5237" i="1"/>
  <c r="T1672" i="1"/>
  <c r="U1672" i="1"/>
  <c r="T376" i="1"/>
  <c r="U376" i="1"/>
  <c r="T5750" i="1"/>
  <c r="U5750" i="1"/>
  <c r="T5481" i="1"/>
  <c r="U5481" i="1"/>
  <c r="T4586" i="1"/>
  <c r="U4586" i="1"/>
  <c r="T3117" i="1"/>
  <c r="U3117" i="1"/>
  <c r="T2234" i="1"/>
  <c r="U2234" i="1"/>
  <c r="T1496" i="1"/>
  <c r="U1496" i="1"/>
  <c r="T36" i="1"/>
  <c r="U36" i="1"/>
  <c r="T5829" i="1"/>
  <c r="U5829" i="1"/>
  <c r="T1732" i="1"/>
  <c r="U1732" i="1"/>
  <c r="T3996" i="1"/>
  <c r="U3996" i="1"/>
  <c r="V547" i="1"/>
  <c r="V2053" i="1"/>
  <c r="V3595" i="1"/>
  <c r="V4514" i="1"/>
  <c r="V2629" i="1"/>
  <c r="V6715" i="1"/>
  <c r="U3790" i="1"/>
  <c r="V3790" i="1" s="1"/>
  <c r="U4576" i="1"/>
  <c r="V4576" i="1" s="1"/>
  <c r="U1600" i="1"/>
  <c r="V1600" i="1" s="1"/>
  <c r="U5986" i="1"/>
  <c r="V5986" i="1" s="1"/>
  <c r="U6455" i="1"/>
  <c r="V6455" i="1" s="1"/>
  <c r="U4198" i="1"/>
  <c r="V4198" i="1" s="1"/>
  <c r="U2440" i="1"/>
  <c r="V2440" i="1" s="1"/>
  <c r="U6490" i="1"/>
  <c r="V6490" i="1" s="1"/>
  <c r="U380" i="1"/>
  <c r="V380" i="1" s="1"/>
  <c r="U6705" i="1"/>
  <c r="V6705" i="1" s="1"/>
  <c r="U2621" i="1"/>
  <c r="V2621" i="1" s="1"/>
  <c r="U5408" i="1"/>
  <c r="V5408" i="1" s="1"/>
  <c r="U3547" i="1"/>
  <c r="V3547" i="1" s="1"/>
  <c r="U1726" i="1"/>
  <c r="V1726" i="1" s="1"/>
  <c r="U5557" i="1"/>
  <c r="V5557" i="1" s="1"/>
  <c r="U6106" i="1"/>
  <c r="V6106" i="1" s="1"/>
  <c r="U2462" i="1"/>
  <c r="V2462" i="1" s="1"/>
  <c r="U5071" i="1"/>
  <c r="V5071" i="1" s="1"/>
  <c r="U3826" i="1"/>
  <c r="V3826" i="1" s="1"/>
  <c r="U5389" i="1"/>
  <c r="V5389" i="1" s="1"/>
  <c r="U4888" i="1"/>
  <c r="V4888" i="1" s="1"/>
  <c r="U459" i="1"/>
  <c r="V459" i="1" s="1"/>
  <c r="U2754" i="1"/>
  <c r="V2754" i="1" s="1"/>
  <c r="U5218" i="1"/>
  <c r="V5218" i="1" s="1"/>
  <c r="U4148" i="1"/>
  <c r="V4148" i="1" s="1"/>
  <c r="U3911" i="1"/>
  <c r="V3911" i="1" s="1"/>
  <c r="U1076" i="1"/>
  <c r="V1076" i="1" s="1"/>
  <c r="U3793" i="1"/>
  <c r="V3793" i="1" s="1"/>
  <c r="U5761" i="1"/>
  <c r="V5761" i="1" s="1"/>
  <c r="U6522" i="1"/>
  <c r="V6522" i="1" s="1"/>
  <c r="U488" i="1"/>
  <c r="V488" i="1" s="1"/>
  <c r="U1089" i="1"/>
  <c r="V1089" i="1" s="1"/>
  <c r="U1828" i="1"/>
  <c r="V1828" i="1" s="1"/>
  <c r="U6492" i="1"/>
  <c r="V6492" i="1" s="1"/>
  <c r="U2534" i="1"/>
  <c r="V2534" i="1" s="1"/>
  <c r="U6403" i="1"/>
  <c r="V6403" i="1" s="1"/>
  <c r="U742" i="1"/>
  <c r="V742" i="1" s="1"/>
  <c r="U2494" i="1"/>
  <c r="V2494" i="1" s="1"/>
  <c r="U1856" i="1"/>
  <c r="V1856" i="1" s="1"/>
  <c r="U5418" i="1"/>
  <c r="V5418" i="1" s="1"/>
  <c r="U5891" i="1"/>
  <c r="V5891" i="1" s="1"/>
  <c r="U4917" i="1"/>
  <c r="V4917" i="1" s="1"/>
  <c r="U323" i="1"/>
  <c r="V323" i="1" s="1"/>
  <c r="U2517" i="1"/>
  <c r="V2517" i="1" s="1"/>
  <c r="U5376" i="1"/>
  <c r="V5376" i="1" s="1"/>
  <c r="U2178" i="1"/>
  <c r="V2178" i="1" s="1"/>
  <c r="U3584" i="1"/>
  <c r="V3584" i="1" s="1"/>
  <c r="U2449" i="1"/>
  <c r="V2449" i="1" s="1"/>
  <c r="T6195" i="1"/>
  <c r="U6195" i="1"/>
  <c r="T2175" i="1"/>
  <c r="U2175" i="1"/>
  <c r="T477" i="1"/>
  <c r="U477" i="1"/>
  <c r="T5039" i="1"/>
  <c r="U5039" i="1"/>
  <c r="T4001" i="1"/>
  <c r="U4001" i="1"/>
  <c r="T121" i="1"/>
  <c r="U121" i="1"/>
  <c r="V344" i="1"/>
  <c r="V3256" i="1"/>
  <c r="V4083" i="1"/>
  <c r="U1271" i="1"/>
  <c r="V1271" i="1" s="1"/>
  <c r="U4978" i="1"/>
  <c r="V4978" i="1" s="1"/>
  <c r="U6316" i="1"/>
  <c r="V6316" i="1" s="1"/>
  <c r="U236" i="1"/>
  <c r="V236" i="1" s="1"/>
  <c r="U1037" i="1"/>
  <c r="V1037" i="1" s="1"/>
  <c r="U5576" i="1"/>
  <c r="V5576" i="1" s="1"/>
  <c r="U1372" i="1"/>
  <c r="V1372" i="1" s="1"/>
  <c r="U1393" i="1"/>
  <c r="V1393" i="1" s="1"/>
  <c r="U5123" i="1"/>
  <c r="V5123" i="1" s="1"/>
  <c r="U5820" i="1"/>
  <c r="V5820" i="1" s="1"/>
  <c r="U2268" i="1"/>
  <c r="V2268" i="1" s="1"/>
  <c r="U3447" i="1"/>
  <c r="V3447" i="1" s="1"/>
  <c r="U4859" i="1"/>
  <c r="V4859" i="1" s="1"/>
  <c r="V4551" i="1"/>
  <c r="V727" i="1"/>
  <c r="U5765" i="1"/>
  <c r="T5765" i="1"/>
  <c r="U4787" i="1"/>
  <c r="T4787" i="1"/>
  <c r="U3591" i="1"/>
  <c r="T3591" i="1"/>
  <c r="U2522" i="1"/>
  <c r="T2522" i="1"/>
  <c r="U1702" i="1"/>
  <c r="T1702" i="1"/>
  <c r="U771" i="1"/>
  <c r="T771" i="1"/>
  <c r="U264" i="1"/>
  <c r="T264" i="1"/>
  <c r="U6072" i="1"/>
  <c r="T6072" i="1"/>
  <c r="U4635" i="1"/>
  <c r="T4635" i="1"/>
  <c r="U3612" i="1"/>
  <c r="T3612" i="1"/>
  <c r="U1506" i="1"/>
  <c r="T1506" i="1"/>
  <c r="T6186" i="1"/>
  <c r="U6186" i="1"/>
  <c r="U3490" i="1"/>
  <c r="T3490" i="1"/>
  <c r="U1127" i="1"/>
  <c r="T1127" i="1"/>
  <c r="U6568" i="1"/>
  <c r="T6568" i="1"/>
  <c r="U5861" i="1"/>
  <c r="T5861" i="1"/>
  <c r="T4554" i="1"/>
  <c r="U4554" i="1"/>
  <c r="U4401" i="1"/>
  <c r="T4401" i="1"/>
  <c r="U3258" i="1"/>
  <c r="T3258" i="1"/>
  <c r="T2411" i="1"/>
  <c r="U2411" i="1"/>
  <c r="U1793" i="1"/>
  <c r="T1793" i="1"/>
  <c r="U753" i="1"/>
  <c r="T753" i="1"/>
  <c r="U4462" i="1"/>
  <c r="T4462" i="1"/>
  <c r="T1987" i="1"/>
  <c r="U1987" i="1"/>
  <c r="T830" i="1"/>
  <c r="U830" i="1"/>
  <c r="U6032" i="1"/>
  <c r="T6032" i="1"/>
  <c r="U2852" i="1"/>
  <c r="T2852" i="1"/>
  <c r="U1020" i="1"/>
  <c r="T1020" i="1"/>
  <c r="U6030" i="1"/>
  <c r="T6030" i="1"/>
  <c r="U5333" i="1"/>
  <c r="T5333" i="1"/>
  <c r="U4228" i="1"/>
  <c r="T4228" i="1"/>
  <c r="U3579" i="1"/>
  <c r="T3579" i="1"/>
  <c r="U3020" i="1"/>
  <c r="T3020" i="1"/>
  <c r="U1884" i="1"/>
  <c r="T1884" i="1"/>
  <c r="T6614" i="1"/>
  <c r="U6614" i="1"/>
  <c r="U4771" i="1"/>
  <c r="T4771" i="1"/>
  <c r="U1172" i="1"/>
  <c r="T1172" i="1"/>
  <c r="T300" i="1"/>
  <c r="U300" i="1"/>
  <c r="T5118" i="1"/>
  <c r="U5118" i="1"/>
  <c r="T6709" i="1"/>
  <c r="U6709" i="1"/>
  <c r="T4770" i="1"/>
  <c r="U4770" i="1"/>
  <c r="U3553" i="1"/>
  <c r="T3553" i="1"/>
  <c r="U2673" i="1"/>
  <c r="T2673" i="1"/>
  <c r="T4423" i="1"/>
  <c r="U4423" i="1"/>
  <c r="T855" i="1"/>
  <c r="U855" i="1"/>
  <c r="U6152" i="1"/>
  <c r="T6152" i="1"/>
  <c r="T1365" i="1"/>
  <c r="U1365" i="1"/>
  <c r="T6337" i="1"/>
  <c r="U6337" i="1"/>
  <c r="T5527" i="1"/>
  <c r="U5527" i="1"/>
  <c r="T4656" i="1"/>
  <c r="U4656" i="1"/>
  <c r="T3848" i="1"/>
  <c r="U3848" i="1"/>
  <c r="T1141" i="1"/>
  <c r="U1141" i="1"/>
  <c r="T6628" i="1"/>
  <c r="U6628" i="1"/>
  <c r="T6589" i="1"/>
  <c r="U6589" i="1"/>
  <c r="T5238" i="1"/>
  <c r="U5238" i="1"/>
  <c r="T2818" i="1"/>
  <c r="U2818" i="1"/>
  <c r="T2467" i="1"/>
  <c r="U2467" i="1"/>
  <c r="T202" i="1"/>
  <c r="U202" i="1"/>
  <c r="T2232" i="1"/>
  <c r="U2232" i="1"/>
  <c r="T1476" i="1"/>
  <c r="U1476" i="1"/>
  <c r="T6013" i="1"/>
  <c r="U6013" i="1"/>
  <c r="T2179" i="1"/>
  <c r="U2179" i="1"/>
  <c r="T5815" i="1"/>
  <c r="U5815" i="1"/>
  <c r="V3033" i="1"/>
  <c r="T1654" i="1"/>
  <c r="U1654" i="1"/>
  <c r="T22" i="1"/>
  <c r="U22" i="1"/>
  <c r="T5997" i="1"/>
  <c r="U5997" i="1"/>
  <c r="T1569" i="1"/>
  <c r="U1569" i="1"/>
  <c r="T1002" i="1"/>
  <c r="U1002" i="1"/>
  <c r="T199" i="1"/>
  <c r="U199" i="1"/>
  <c r="T4578" i="1"/>
  <c r="U4578" i="1"/>
  <c r="T3127" i="1"/>
  <c r="U3127" i="1"/>
  <c r="T4344" i="1"/>
  <c r="U4344" i="1"/>
  <c r="T5936" i="1"/>
  <c r="U5936" i="1"/>
  <c r="T1772" i="1"/>
  <c r="U1772" i="1"/>
  <c r="T372" i="1"/>
  <c r="U372" i="1"/>
  <c r="T6181" i="1"/>
  <c r="U6181" i="1"/>
  <c r="T3951" i="1"/>
  <c r="U3951" i="1"/>
  <c r="T3663" i="1"/>
  <c r="U3663" i="1"/>
  <c r="T2163" i="1"/>
  <c r="U2163" i="1"/>
  <c r="T1409" i="1"/>
  <c r="U1409" i="1"/>
  <c r="T3285" i="1"/>
  <c r="U3285" i="1"/>
  <c r="V1560" i="1"/>
  <c r="V726" i="1"/>
  <c r="U5534" i="1"/>
  <c r="V5534" i="1" s="1"/>
  <c r="U2659" i="1"/>
  <c r="V2659" i="1" s="1"/>
  <c r="V5100" i="1"/>
  <c r="U4816" i="1"/>
  <c r="V4816" i="1" s="1"/>
  <c r="V92" i="1"/>
  <c r="V1995" i="1"/>
  <c r="V1576" i="1"/>
  <c r="V2396" i="1"/>
  <c r="V4399" i="1"/>
  <c r="V3942" i="1"/>
  <c r="U3233" i="1"/>
  <c r="V3233" i="1" s="1"/>
  <c r="U3596" i="1"/>
  <c r="V3596" i="1" s="1"/>
  <c r="U641" i="1"/>
  <c r="V641" i="1" s="1"/>
  <c r="U1025" i="1"/>
  <c r="V1025" i="1" s="1"/>
  <c r="U5718" i="1"/>
  <c r="V5718" i="1" s="1"/>
  <c r="U5644" i="1"/>
  <c r="V5644" i="1" s="1"/>
  <c r="U5896" i="1"/>
  <c r="V5896" i="1" s="1"/>
  <c r="U3670" i="1"/>
  <c r="V3670" i="1" s="1"/>
  <c r="U2370" i="1"/>
  <c r="V2370" i="1" s="1"/>
  <c r="U6229" i="1"/>
  <c r="V6229" i="1" s="1"/>
  <c r="U6648" i="1"/>
  <c r="V6648" i="1" s="1"/>
  <c r="U6491" i="1"/>
  <c r="V6491" i="1" s="1"/>
  <c r="U1770" i="1"/>
  <c r="V1770" i="1" s="1"/>
  <c r="U2020" i="1"/>
  <c r="V2020" i="1" s="1"/>
  <c r="U2366" i="1"/>
  <c r="V2366" i="1" s="1"/>
  <c r="U2548" i="1"/>
  <c r="V2548" i="1" s="1"/>
  <c r="U5221" i="1"/>
  <c r="V5221" i="1" s="1"/>
  <c r="U3138" i="1"/>
  <c r="V3138" i="1" s="1"/>
  <c r="U1418" i="1"/>
  <c r="V1418" i="1" s="1"/>
  <c r="U5271" i="1"/>
  <c r="V5271" i="1" s="1"/>
  <c r="U2168" i="1"/>
  <c r="U4444" i="1"/>
  <c r="V4444" i="1" s="1"/>
  <c r="U4667" i="1"/>
  <c r="V4667" i="1" s="1"/>
  <c r="U3208" i="1"/>
  <c r="V3208" i="1" s="1"/>
  <c r="U4104" i="1"/>
  <c r="V4104" i="1" s="1"/>
  <c r="U4437" i="1"/>
  <c r="V4437" i="1" s="1"/>
  <c r="U98" i="1"/>
  <c r="V98" i="1" s="1"/>
  <c r="U2538" i="1"/>
  <c r="V2538" i="1" s="1"/>
  <c r="U4749" i="1"/>
  <c r="V4749" i="1" s="1"/>
  <c r="U1538" i="1"/>
  <c r="V1538" i="1" s="1"/>
  <c r="U3326" i="1"/>
  <c r="V3326" i="1" s="1"/>
  <c r="U3605" i="1"/>
  <c r="V3605" i="1" s="1"/>
  <c r="U812" i="1"/>
  <c r="V812" i="1" s="1"/>
  <c r="U3669" i="1"/>
  <c r="V3669" i="1" s="1"/>
  <c r="U5456" i="1"/>
  <c r="V5456" i="1" s="1"/>
  <c r="U6022" i="1"/>
  <c r="V6022" i="1" s="1"/>
  <c r="U6353" i="1"/>
  <c r="V6353" i="1" s="1"/>
  <c r="U6688" i="1"/>
  <c r="V6688" i="1" s="1"/>
  <c r="U6171" i="1"/>
  <c r="V6171" i="1" s="1"/>
  <c r="U2199" i="1"/>
  <c r="V2199" i="1" s="1"/>
  <c r="U6095" i="1"/>
  <c r="V6095" i="1" s="1"/>
  <c r="U161" i="1"/>
  <c r="V161" i="1" s="1"/>
  <c r="U820" i="1"/>
  <c r="V820" i="1" s="1"/>
  <c r="U3919" i="1"/>
  <c r="V3919" i="1" s="1"/>
  <c r="U5087" i="1"/>
  <c r="V5087" i="1" s="1"/>
  <c r="U1529" i="1"/>
  <c r="V1529" i="1" s="1"/>
  <c r="U2571" i="1"/>
  <c r="V2571" i="1" s="1"/>
  <c r="U2863" i="1"/>
  <c r="V2863" i="1" s="1"/>
  <c r="U4003" i="1"/>
  <c r="V4003" i="1" s="1"/>
  <c r="U4463" i="1"/>
  <c r="V4463" i="1" s="1"/>
  <c r="U4050" i="1"/>
  <c r="V4050" i="1" s="1"/>
  <c r="U4998" i="1"/>
  <c r="V4998" i="1" s="1"/>
  <c r="U1688" i="1"/>
  <c r="U4431" i="1"/>
  <c r="V4431" i="1" s="1"/>
  <c r="U2032" i="1"/>
  <c r="V2032" i="1" s="1"/>
  <c r="U3646" i="1"/>
  <c r="V3646" i="1" s="1"/>
  <c r="V2824" i="1"/>
  <c r="U3958" i="1"/>
  <c r="V3958" i="1" s="1"/>
  <c r="U6400" i="1"/>
  <c r="V6400" i="1" s="1"/>
  <c r="T3520" i="1"/>
  <c r="V3520" i="1" s="1"/>
  <c r="T5416" i="1"/>
  <c r="T510" i="1"/>
  <c r="V510" i="1" s="1"/>
  <c r="T6624" i="1"/>
  <c r="V6624" i="1" s="1"/>
  <c r="V137" i="1"/>
  <c r="U273" i="1"/>
  <c r="V273" i="1" s="1"/>
  <c r="U3123" i="1"/>
  <c r="V3123" i="1" s="1"/>
  <c r="U920" i="1"/>
  <c r="V920" i="1" s="1"/>
  <c r="U217" i="1"/>
  <c r="V217" i="1" s="1"/>
  <c r="T1683" i="1"/>
  <c r="U4000" i="1"/>
  <c r="T4000" i="1"/>
  <c r="T4024" i="1"/>
  <c r="U4024" i="1"/>
  <c r="T1650" i="1"/>
  <c r="U1650" i="1"/>
  <c r="T5842" i="1"/>
  <c r="U5842" i="1"/>
  <c r="T4849" i="1"/>
  <c r="U4849" i="1"/>
  <c r="T3457" i="1"/>
  <c r="U3457" i="1"/>
  <c r="V6059" i="1"/>
  <c r="V3448" i="1"/>
  <c r="V1414" i="1"/>
  <c r="V3610" i="1"/>
  <c r="U2934" i="1"/>
  <c r="V2934" i="1" s="1"/>
  <c r="U5566" i="1"/>
  <c r="V5566" i="1" s="1"/>
  <c r="U4765" i="1"/>
  <c r="V4765" i="1" s="1"/>
  <c r="U1980" i="1"/>
  <c r="V1980" i="1" s="1"/>
  <c r="U5821" i="1"/>
  <c r="V5821" i="1" s="1"/>
  <c r="U6137" i="1"/>
  <c r="V6137" i="1" s="1"/>
  <c r="U4489" i="1"/>
  <c r="V4489" i="1" s="1"/>
  <c r="U6104" i="1"/>
  <c r="V6104" i="1" s="1"/>
  <c r="U1602" i="1"/>
  <c r="V1602" i="1" s="1"/>
  <c r="U4898" i="1"/>
  <c r="V4898" i="1" s="1"/>
  <c r="U2470" i="1"/>
  <c r="V2470" i="1" s="1"/>
  <c r="U814" i="1"/>
  <c r="V814" i="1" s="1"/>
  <c r="U1058" i="1"/>
  <c r="V1058" i="1" s="1"/>
  <c r="U4959" i="1"/>
  <c r="V4959" i="1" s="1"/>
  <c r="U1367" i="1"/>
  <c r="V1367" i="1" s="1"/>
  <c r="U1606" i="1"/>
  <c r="V1606" i="1" s="1"/>
  <c r="U1970" i="1"/>
  <c r="V1970" i="1" s="1"/>
  <c r="U3804" i="1"/>
  <c r="V3804" i="1" s="1"/>
  <c r="U4120" i="1"/>
  <c r="V4120" i="1" s="1"/>
  <c r="U1710" i="1"/>
  <c r="V1710" i="1" s="1"/>
  <c r="U2311" i="1"/>
  <c r="V2311" i="1" s="1"/>
  <c r="U2605" i="1"/>
  <c r="V2605" i="1" s="1"/>
  <c r="U3676" i="1"/>
  <c r="V3676" i="1" s="1"/>
  <c r="U2269" i="1"/>
  <c r="V2269" i="1" s="1"/>
  <c r="U4464" i="1"/>
  <c r="V4464" i="1" s="1"/>
  <c r="U2683" i="1"/>
  <c r="V2683" i="1" s="1"/>
  <c r="U3146" i="1"/>
  <c r="V3146" i="1" s="1"/>
  <c r="U631" i="1"/>
  <c r="V631" i="1" s="1"/>
  <c r="U3441" i="1"/>
  <c r="V3441" i="1" s="1"/>
  <c r="U5222" i="1"/>
  <c r="V5222" i="1" s="1"/>
  <c r="U6008" i="1"/>
  <c r="V6008" i="1" s="1"/>
  <c r="U5602" i="1"/>
  <c r="V5602" i="1" s="1"/>
  <c r="U5904" i="1"/>
  <c r="V5904" i="1" s="1"/>
  <c r="U1806" i="1"/>
  <c r="V1806" i="1" s="1"/>
  <c r="U3760" i="1"/>
  <c r="V3760" i="1" s="1"/>
  <c r="U3434" i="1"/>
  <c r="V3434" i="1" s="1"/>
  <c r="U3806" i="1"/>
  <c r="V3806" i="1" s="1"/>
  <c r="U4666" i="1"/>
  <c r="V4666" i="1" s="1"/>
  <c r="U5098" i="1"/>
  <c r="V5098" i="1" s="1"/>
  <c r="U1106" i="1"/>
  <c r="V1106" i="1" s="1"/>
  <c r="U4690" i="1"/>
  <c r="V4690" i="1" s="1"/>
  <c r="U4800" i="1"/>
  <c r="V4800" i="1" s="1"/>
  <c r="U143" i="1"/>
  <c r="V143" i="1" s="1"/>
  <c r="U6453" i="1"/>
  <c r="V6453" i="1" s="1"/>
  <c r="U6231" i="1"/>
  <c r="V6231" i="1" s="1"/>
  <c r="T5659" i="1"/>
  <c r="V5659" i="1" s="1"/>
  <c r="T2558" i="1"/>
  <c r="V2558" i="1" s="1"/>
  <c r="T1004" i="1"/>
  <c r="V1004" i="1" s="1"/>
  <c r="T2286" i="1"/>
  <c r="V2286" i="1" s="1"/>
  <c r="V386" i="1"/>
  <c r="V516" i="1"/>
  <c r="V723" i="1"/>
  <c r="V3776" i="1"/>
  <c r="V3947" i="1"/>
  <c r="V6362" i="1"/>
  <c r="V440" i="1"/>
  <c r="U2008" i="1"/>
  <c r="V2008" i="1" s="1"/>
  <c r="U83" i="1"/>
  <c r="V83" i="1" s="1"/>
  <c r="U4406" i="1"/>
  <c r="V4406" i="1" s="1"/>
  <c r="U4811" i="1"/>
  <c r="V4811" i="1" s="1"/>
  <c r="U5086" i="1"/>
  <c r="V5086" i="1" s="1"/>
  <c r="U2906" i="1"/>
  <c r="V2906" i="1" s="1"/>
  <c r="U3383" i="1"/>
  <c r="V3383" i="1" s="1"/>
  <c r="U4303" i="1"/>
  <c r="V4303" i="1" s="1"/>
  <c r="U2481" i="1"/>
  <c r="V2481" i="1" s="1"/>
  <c r="U1865" i="1"/>
  <c r="V1865" i="1" s="1"/>
  <c r="U5328" i="1"/>
  <c r="V5328" i="1" s="1"/>
  <c r="U5621" i="1"/>
  <c r="V5621" i="1" s="1"/>
  <c r="U4754" i="1"/>
  <c r="V4754" i="1" s="1"/>
  <c r="U2502" i="1"/>
  <c r="V2502" i="1" s="1"/>
  <c r="U2921" i="1"/>
  <c r="V2921" i="1" s="1"/>
  <c r="U4328" i="1"/>
  <c r="V4328" i="1" s="1"/>
  <c r="U4880" i="1"/>
  <c r="V4880" i="1" s="1"/>
  <c r="U5561" i="1"/>
  <c r="V5561" i="1" s="1"/>
  <c r="U1462" i="1"/>
  <c r="V1462" i="1" s="1"/>
  <c r="U4613" i="1"/>
  <c r="V4613" i="1" s="1"/>
  <c r="U2028" i="1"/>
  <c r="V2028" i="1" s="1"/>
  <c r="U589" i="1"/>
  <c r="V589" i="1" s="1"/>
  <c r="U4105" i="1"/>
  <c r="V4105" i="1" s="1"/>
  <c r="U4545" i="1"/>
  <c r="V4545" i="1" s="1"/>
  <c r="U1260" i="1"/>
  <c r="V1260" i="1" s="1"/>
  <c r="U3678" i="1"/>
  <c r="V3678" i="1" s="1"/>
  <c r="U937" i="1"/>
  <c r="V937" i="1" s="1"/>
  <c r="U2313" i="1"/>
  <c r="V2313" i="1" s="1"/>
  <c r="U3282" i="1"/>
  <c r="V3282" i="1" s="1"/>
  <c r="U1789" i="1"/>
  <c r="V1789" i="1" s="1"/>
  <c r="U1979" i="1"/>
  <c r="V1979" i="1" s="1"/>
  <c r="U2156" i="1"/>
  <c r="V2156" i="1" s="1"/>
  <c r="U4311" i="1"/>
  <c r="V4311" i="1" s="1"/>
  <c r="U559" i="1"/>
  <c r="V559" i="1" s="1"/>
  <c r="U2844" i="1"/>
  <c r="V2844" i="1" s="1"/>
  <c r="U214" i="1"/>
  <c r="V214" i="1" s="1"/>
  <c r="U2890" i="1"/>
  <c r="V2890" i="1" s="1"/>
  <c r="U3134" i="1"/>
  <c r="V3134" i="1" s="1"/>
  <c r="U5043" i="1"/>
  <c r="V5043" i="1" s="1"/>
  <c r="U3236" i="1"/>
  <c r="V3236" i="1" s="1"/>
  <c r="U3720" i="1"/>
  <c r="V3720" i="1" s="1"/>
  <c r="U4518" i="1"/>
  <c r="V4518" i="1" s="1"/>
  <c r="U5199" i="1"/>
  <c r="V5199" i="1" s="1"/>
  <c r="U5321" i="1"/>
  <c r="V5321" i="1" s="1"/>
  <c r="U1378" i="1"/>
  <c r="V1378" i="1" s="1"/>
  <c r="U5827" i="1"/>
  <c r="V5827" i="1" s="1"/>
  <c r="U5844" i="1"/>
  <c r="V5844" i="1" s="1"/>
  <c r="U2434" i="1"/>
  <c r="V2434" i="1" s="1"/>
  <c r="U4915" i="1"/>
  <c r="V4915" i="1" s="1"/>
  <c r="U3535" i="1"/>
  <c r="V3535" i="1" s="1"/>
  <c r="U1264" i="1"/>
  <c r="V1264" i="1" s="1"/>
  <c r="U1191" i="1"/>
  <c r="V1191" i="1" s="1"/>
  <c r="U2217" i="1"/>
  <c r="V2217" i="1" s="1"/>
  <c r="U4951" i="1"/>
  <c r="V4951" i="1" s="1"/>
  <c r="U949" i="1"/>
  <c r="V949" i="1" s="1"/>
  <c r="U4439" i="1"/>
  <c r="U1227" i="1"/>
  <c r="V1227" i="1" s="1"/>
  <c r="U843" i="1"/>
  <c r="V843" i="1" s="1"/>
  <c r="U2154" i="1"/>
  <c r="V2154" i="1" s="1"/>
  <c r="T3129" i="1"/>
  <c r="V3129" i="1" s="1"/>
  <c r="T5495" i="1"/>
  <c r="V5495" i="1" s="1"/>
  <c r="V6216" i="1"/>
  <c r="V1274" i="1"/>
  <c r="V2109" i="1"/>
  <c r="V2512" i="1"/>
  <c r="V1448" i="1"/>
  <c r="V5710" i="1"/>
  <c r="V4729" i="1"/>
  <c r="V2992" i="1"/>
  <c r="V377" i="1"/>
  <c r="V663" i="1"/>
  <c r="V3214" i="1"/>
  <c r="V6658" i="1"/>
  <c r="V6617" i="1"/>
  <c r="V5289" i="1"/>
  <c r="V5696" i="1"/>
  <c r="V722" i="1"/>
  <c r="V5959" i="1"/>
  <c r="V4775" i="1"/>
  <c r="V2602" i="1"/>
  <c r="V4552" i="1"/>
  <c r="V2698" i="1"/>
  <c r="V6120" i="1"/>
  <c r="V6530" i="1"/>
  <c r="V6009" i="1"/>
  <c r="V2274" i="1"/>
  <c r="V5636" i="1"/>
  <c r="V4812" i="1"/>
  <c r="V17" i="1"/>
  <c r="V2958" i="1"/>
  <c r="V796" i="1"/>
  <c r="V5519" i="1"/>
  <c r="V6561" i="1"/>
  <c r="V5175" i="1"/>
  <c r="V2882" i="1"/>
  <c r="V3513" i="1"/>
  <c r="V3956" i="1"/>
  <c r="V6198" i="1"/>
  <c r="V3817" i="1"/>
  <c r="V4759" i="1"/>
  <c r="V2804" i="1"/>
  <c r="V5234" i="1"/>
  <c r="V1799" i="1"/>
  <c r="V6540" i="1"/>
  <c r="V1149" i="1"/>
  <c r="V6529" i="1"/>
  <c r="V1488" i="1"/>
  <c r="V4705" i="1"/>
  <c r="V4994" i="1"/>
  <c r="V2577" i="1"/>
  <c r="V2389" i="1"/>
  <c r="V1753" i="1"/>
  <c r="V6643" i="1"/>
  <c r="V1826" i="1"/>
  <c r="V469" i="1"/>
  <c r="V3402" i="1"/>
  <c r="V6065" i="1"/>
  <c r="V6511" i="1"/>
  <c r="V5897" i="1"/>
  <c r="V3726" i="1"/>
  <c r="V1851" i="1"/>
  <c r="V1561" i="1"/>
  <c r="V650" i="1"/>
  <c r="V5855" i="1"/>
  <c r="V1165" i="1"/>
  <c r="V5886" i="1"/>
  <c r="V2255" i="1"/>
  <c r="V5405" i="1"/>
  <c r="V4887" i="1"/>
  <c r="V4448" i="1"/>
  <c r="V1740" i="1"/>
  <c r="V1956" i="1"/>
  <c r="V4828" i="1"/>
  <c r="V4474" i="1"/>
  <c r="V5908" i="1"/>
  <c r="V2581" i="1"/>
  <c r="V6398" i="1"/>
  <c r="V5627" i="1"/>
  <c r="V2910" i="1"/>
  <c r="V4813" i="1"/>
  <c r="V4491" i="1"/>
  <c r="V4143" i="1"/>
  <c r="V3641" i="1"/>
  <c r="V1541" i="1"/>
  <c r="V687" i="1"/>
  <c r="V93" i="1"/>
  <c r="V3234" i="1"/>
  <c r="V588" i="1"/>
  <c r="V4194" i="1"/>
  <c r="V3243" i="1"/>
  <c r="V3306" i="1"/>
  <c r="V2575" i="1"/>
  <c r="V2319" i="1"/>
  <c r="V86" i="1"/>
  <c r="V5139" i="1"/>
  <c r="V3640" i="1"/>
  <c r="V3403" i="1"/>
  <c r="V6252" i="1"/>
  <c r="V1270" i="1"/>
  <c r="V4944" i="1"/>
  <c r="V1611" i="1"/>
  <c r="V3564" i="1"/>
  <c r="V6028" i="1"/>
  <c r="V3611" i="1"/>
  <c r="V1652" i="1"/>
  <c r="V5695" i="1"/>
  <c r="V1125" i="1"/>
  <c r="V4745" i="1"/>
  <c r="V2794" i="1"/>
  <c r="V3964" i="1"/>
  <c r="V1030" i="1"/>
  <c r="V2861" i="1"/>
  <c r="V6107" i="1"/>
  <c r="V3604" i="1"/>
  <c r="V1122" i="1"/>
  <c r="V5152" i="1"/>
  <c r="V5946" i="1"/>
  <c r="V2299" i="1"/>
  <c r="V6459" i="1"/>
  <c r="V3388" i="1"/>
  <c r="V2524" i="1"/>
  <c r="V5775" i="1"/>
  <c r="V3216" i="1"/>
  <c r="V1302" i="1"/>
  <c r="V5732" i="1"/>
  <c r="V2835" i="1"/>
  <c r="V6341" i="1"/>
  <c r="V3073" i="1"/>
  <c r="V751" i="1"/>
  <c r="V4330" i="1"/>
  <c r="V6510" i="1"/>
  <c r="V1716" i="1"/>
  <c r="V6592" i="1"/>
  <c r="V67" i="1"/>
  <c r="V4644" i="1"/>
  <c r="V5754" i="1"/>
  <c r="V5837" i="1"/>
  <c r="V2790" i="1"/>
  <c r="V2303" i="1"/>
  <c r="V322" i="1"/>
  <c r="V6416" i="1"/>
  <c r="V5728" i="1"/>
  <c r="V3542" i="1"/>
  <c r="V1314" i="1"/>
  <c r="V6053" i="1"/>
  <c r="V1695" i="1"/>
  <c r="V1330" i="1"/>
  <c r="V4426" i="1"/>
  <c r="V6616" i="1"/>
  <c r="V3048" i="1"/>
  <c r="V5826" i="1"/>
  <c r="V6157" i="1"/>
  <c r="V6456" i="1"/>
  <c r="V3450" i="1"/>
  <c r="V2439" i="1"/>
  <c r="V3839" i="1"/>
  <c r="V1820" i="1"/>
  <c r="V2379" i="1"/>
  <c r="V2537" i="1"/>
  <c r="V2012" i="1"/>
  <c r="V1062" i="1"/>
  <c r="V115" i="1"/>
  <c r="V966" i="1"/>
  <c r="V1880" i="1"/>
  <c r="V5599" i="1"/>
  <c r="V6256" i="1"/>
  <c r="V2963" i="1"/>
  <c r="V3857" i="1"/>
  <c r="V4181" i="1"/>
  <c r="V4391" i="1"/>
  <c r="V4599" i="1"/>
  <c r="V5046" i="1"/>
  <c r="V5334" i="1"/>
  <c r="V3745" i="1"/>
  <c r="V3967" i="1"/>
  <c r="V4972" i="1"/>
  <c r="V5104" i="1"/>
  <c r="V5407" i="1"/>
  <c r="V4366" i="1"/>
  <c r="V2493" i="1"/>
  <c r="V1200" i="1"/>
  <c r="V2006" i="1"/>
  <c r="V2324" i="1"/>
  <c r="V2711" i="1"/>
  <c r="V2953" i="1"/>
  <c r="V3695" i="1"/>
  <c r="V472" i="1"/>
  <c r="V1152" i="1"/>
  <c r="V1568" i="1"/>
  <c r="V1003" i="1"/>
  <c r="V4911" i="1"/>
  <c r="V2378" i="1"/>
  <c r="V2746" i="1"/>
  <c r="V5409" i="1"/>
  <c r="V2077" i="1"/>
  <c r="V3918" i="1"/>
  <c r="V2391" i="1"/>
  <c r="V4372" i="1"/>
  <c r="V4776" i="1"/>
  <c r="V4766" i="1"/>
  <c r="V6467" i="1"/>
  <c r="V2694" i="1"/>
  <c r="V1293" i="1"/>
  <c r="V3769" i="1"/>
  <c r="V5533" i="1"/>
  <c r="V3087" i="1"/>
  <c r="V4826" i="1"/>
  <c r="V6207" i="1"/>
  <c r="V136" i="1"/>
  <c r="V587" i="1"/>
  <c r="V4914" i="1"/>
  <c r="V1535" i="1"/>
  <c r="V1873" i="1"/>
  <c r="V4710" i="1"/>
  <c r="V312" i="1"/>
  <c r="V5847" i="1"/>
  <c r="V2331" i="1"/>
  <c r="V2871" i="1"/>
  <c r="V2329" i="1"/>
  <c r="V4602" i="1"/>
  <c r="V533" i="1"/>
  <c r="V4527" i="1"/>
  <c r="V3914" i="1"/>
  <c r="V1671" i="1"/>
  <c r="V2340" i="1"/>
  <c r="V5605" i="1"/>
  <c r="V1909" i="1"/>
  <c r="V4620" i="1"/>
  <c r="V3141" i="1"/>
  <c r="V1841" i="1"/>
  <c r="V3560" i="1"/>
  <c r="V3831" i="1"/>
  <c r="V4479" i="1"/>
  <c r="V5990" i="1"/>
  <c r="V3102" i="1"/>
  <c r="V5617" i="1"/>
  <c r="V5838" i="1"/>
  <c r="V4920" i="1"/>
  <c r="V2721" i="1"/>
  <c r="V2773" i="1"/>
  <c r="V995" i="1"/>
  <c r="V1478" i="1"/>
  <c r="V3552" i="1"/>
  <c r="V5790" i="1"/>
  <c r="V3581" i="1"/>
  <c r="V4284" i="1"/>
  <c r="V671" i="1"/>
  <c r="V1114" i="1"/>
  <c r="V1371" i="1"/>
  <c r="V1802" i="1"/>
  <c r="V13" i="1"/>
  <c r="V3691" i="1"/>
  <c r="V4078" i="1"/>
  <c r="V4692" i="1"/>
  <c r="V967" i="1"/>
  <c r="V3741" i="1"/>
  <c r="V364" i="1"/>
  <c r="V1045" i="1"/>
  <c r="V1295" i="1"/>
  <c r="V1858" i="1"/>
  <c r="V2201" i="1"/>
  <c r="V3803" i="1"/>
  <c r="V1105" i="1"/>
  <c r="V5294" i="1"/>
  <c r="V2013" i="1"/>
  <c r="V530" i="1"/>
  <c r="V704" i="1"/>
  <c r="V1825" i="1"/>
  <c r="V4137" i="1"/>
  <c r="V348" i="1"/>
  <c r="V3128" i="1"/>
  <c r="V610" i="1"/>
  <c r="V1121" i="1"/>
  <c r="V3827" i="1"/>
  <c r="V1022" i="1"/>
  <c r="V6175" i="1"/>
  <c r="V277" i="1"/>
  <c r="V698" i="1"/>
  <c r="V3242" i="1"/>
  <c r="V5243" i="1"/>
  <c r="V5698" i="1"/>
  <c r="V1955" i="1"/>
  <c r="V4371" i="1"/>
  <c r="V548" i="1"/>
  <c r="V3592" i="1"/>
  <c r="V4088" i="1"/>
  <c r="V1262" i="1"/>
  <c r="V6326" i="1"/>
  <c r="V5318" i="1"/>
  <c r="V368" i="1"/>
  <c r="V769" i="1"/>
  <c r="V957" i="1"/>
  <c r="V297" i="1"/>
  <c r="V1250" i="1"/>
  <c r="V3420" i="1"/>
  <c r="V2253" i="1"/>
  <c r="V2325" i="1"/>
  <c r="V3023" i="1"/>
  <c r="V1306" i="1"/>
  <c r="V243" i="1"/>
  <c r="V1339" i="1"/>
  <c r="V5161" i="1"/>
  <c r="V1186" i="1"/>
  <c r="V5513" i="1"/>
  <c r="V103" i="1"/>
  <c r="V6064" i="1"/>
  <c r="V124" i="1"/>
  <c r="V4125" i="1"/>
  <c r="V267" i="1"/>
  <c r="V2283" i="1"/>
  <c r="V993" i="1"/>
  <c r="V1553" i="1"/>
  <c r="V222" i="1"/>
  <c r="V3723" i="1"/>
  <c r="V3962" i="1"/>
  <c r="V4680" i="1"/>
  <c r="V4191" i="1"/>
  <c r="V841" i="1"/>
  <c r="V4627" i="1"/>
  <c r="V529" i="1"/>
  <c r="V4006" i="1"/>
  <c r="V3872" i="1"/>
  <c r="V5262" i="1"/>
  <c r="V4638" i="1"/>
  <c r="V4324" i="1"/>
  <c r="V4810" i="1"/>
  <c r="V713" i="1"/>
  <c r="V3988" i="1"/>
  <c r="V5686" i="1"/>
  <c r="V670" i="1"/>
  <c r="V883" i="1"/>
  <c r="V1193" i="1"/>
  <c r="V5783" i="1"/>
  <c r="V6084" i="1"/>
  <c r="V333" i="1"/>
  <c r="V1000" i="1"/>
  <c r="V2297" i="1"/>
  <c r="V5101" i="1"/>
  <c r="V2150" i="1"/>
  <c r="V543" i="1"/>
  <c r="V2111" i="1"/>
  <c r="V5894" i="1"/>
  <c r="V6054" i="1"/>
  <c r="V6359" i="1"/>
  <c r="V6647" i="1"/>
  <c r="V4096" i="1"/>
  <c r="V4276" i="1"/>
  <c r="V3321" i="1"/>
  <c r="V6015" i="1"/>
  <c r="V6419" i="1"/>
  <c r="V95" i="1"/>
  <c r="V6497" i="1"/>
  <c r="V555" i="1"/>
  <c r="V84" i="1"/>
  <c r="V6608" i="1"/>
  <c r="V5570" i="1"/>
  <c r="V6001" i="1"/>
  <c r="V792" i="1"/>
  <c r="V3635" i="1"/>
  <c r="V4797" i="1"/>
  <c r="V5146" i="1"/>
  <c r="V5428" i="1"/>
  <c r="V5871" i="1"/>
  <c r="V5957" i="1"/>
  <c r="V6156" i="1"/>
  <c r="V6604" i="1"/>
  <c r="V281" i="1"/>
  <c r="V5451" i="1"/>
  <c r="V2674" i="1"/>
  <c r="V3466" i="1"/>
  <c r="V3015" i="1"/>
  <c r="V3269" i="1"/>
  <c r="V6043" i="1"/>
  <c r="V55" i="1"/>
  <c r="V1422" i="1"/>
  <c r="V1692" i="1"/>
  <c r="V6311" i="1"/>
  <c r="V5515" i="1"/>
  <c r="V4542" i="1"/>
  <c r="V1247" i="1"/>
  <c r="V1351" i="1"/>
  <c r="V2855" i="1"/>
  <c r="V1614" i="1"/>
  <c r="V4755" i="1"/>
  <c r="V4910" i="1"/>
  <c r="V2585" i="1"/>
  <c r="V2853" i="1"/>
  <c r="V5403" i="1"/>
  <c r="V3342" i="1"/>
  <c r="V6433" i="1"/>
  <c r="V2984" i="1"/>
  <c r="V3842" i="1"/>
  <c r="V4338" i="1"/>
  <c r="V4948" i="1"/>
  <c r="V5759" i="1"/>
  <c r="V1431" i="1"/>
  <c r="V2095" i="1"/>
  <c r="V1103" i="1"/>
  <c r="V3735" i="1"/>
  <c r="V1467" i="1"/>
  <c r="V5620" i="1"/>
  <c r="V2816" i="1"/>
  <c r="V3335" i="1"/>
  <c r="V5027" i="1"/>
  <c r="V5467" i="1"/>
  <c r="V5782" i="1"/>
  <c r="V6397" i="1"/>
  <c r="V6569" i="1"/>
  <c r="V305" i="1"/>
  <c r="V2532" i="1"/>
  <c r="V3019" i="1"/>
  <c r="V4196" i="1"/>
  <c r="V2337" i="1"/>
  <c r="V1483" i="1"/>
  <c r="V56" i="1"/>
  <c r="V427" i="1"/>
  <c r="V4907" i="1"/>
  <c r="V4068" i="1"/>
  <c r="V2510" i="1"/>
  <c r="V2302" i="1"/>
  <c r="V3796" i="1"/>
  <c r="V3636" i="1"/>
  <c r="V3970" i="1"/>
  <c r="V241" i="1"/>
  <c r="V6262" i="1"/>
  <c r="V6460" i="1"/>
  <c r="V4365" i="1"/>
  <c r="V2475" i="1"/>
  <c r="V2724" i="1"/>
  <c r="V5479" i="1"/>
  <c r="V1079" i="1"/>
  <c r="V3175" i="1"/>
  <c r="V5453" i="1"/>
  <c r="V3315" i="1"/>
  <c r="V3563" i="1"/>
  <c r="V988" i="1"/>
  <c r="V1941" i="1"/>
  <c r="V5927" i="1"/>
  <c r="V3690" i="1"/>
  <c r="V2854" i="1"/>
  <c r="V6472" i="1"/>
  <c r="V255" i="1"/>
  <c r="V1283" i="1"/>
  <c r="V1735" i="1"/>
  <c r="V6267" i="1"/>
  <c r="V582" i="1"/>
  <c r="V546" i="1"/>
  <c r="V5133" i="1"/>
  <c r="V6056" i="1"/>
  <c r="V6180" i="1"/>
  <c r="V6676" i="1"/>
  <c r="V184" i="1"/>
  <c r="V465" i="1"/>
  <c r="V4065" i="1"/>
  <c r="V6739" i="1"/>
  <c r="V400" i="1"/>
  <c r="V759" i="1"/>
  <c r="V4530" i="1"/>
  <c r="V3744" i="1"/>
  <c r="V1224" i="1"/>
  <c r="V3896" i="1"/>
  <c r="V5293" i="1"/>
  <c r="V2509" i="1"/>
  <c r="V1633" i="1"/>
  <c r="V3644" i="1"/>
  <c r="V4114" i="1"/>
  <c r="V2541" i="1"/>
  <c r="V5937" i="1"/>
  <c r="V893" i="1"/>
  <c r="V6217" i="1"/>
  <c r="V6493" i="1"/>
  <c r="V65" i="1"/>
  <c r="V306" i="1"/>
  <c r="V6408" i="1"/>
  <c r="V311" i="1"/>
  <c r="V3303" i="1"/>
  <c r="V4381" i="1"/>
  <c r="V4921" i="1"/>
  <c r="V5305" i="1"/>
  <c r="V5993" i="1"/>
  <c r="V911" i="1"/>
  <c r="V238" i="1"/>
  <c r="V826" i="1"/>
  <c r="V6461" i="1"/>
  <c r="V2169" i="1"/>
  <c r="V5740" i="1"/>
  <c r="V4419" i="1"/>
  <c r="V244" i="1"/>
  <c r="V5063" i="1"/>
  <c r="V4199" i="1"/>
  <c r="V5213" i="1"/>
  <c r="V5762" i="1"/>
  <c r="V104" i="1"/>
  <c r="V3261" i="1"/>
  <c r="V3648" i="1"/>
  <c r="V5438" i="1"/>
  <c r="V5709" i="1"/>
  <c r="V4561" i="1"/>
  <c r="V1445" i="1"/>
  <c r="V1599" i="1"/>
  <c r="V3292" i="1"/>
  <c r="V5320" i="1"/>
  <c r="V5583" i="1"/>
  <c r="V2638" i="1"/>
  <c r="V1327" i="1"/>
  <c r="V1854" i="1"/>
  <c r="V2102" i="1"/>
  <c r="V2682" i="1"/>
  <c r="V2923" i="1"/>
  <c r="V3983" i="1"/>
  <c r="V5726" i="1"/>
  <c r="V4471" i="1"/>
  <c r="V6523" i="1"/>
  <c r="V517" i="1"/>
  <c r="V1798" i="1"/>
  <c r="V2336" i="1"/>
  <c r="V3364" i="1"/>
  <c r="V4227" i="1"/>
  <c r="V4829" i="1"/>
  <c r="V6377" i="1"/>
  <c r="V2574" i="1"/>
  <c r="V3160" i="1"/>
  <c r="V2080" i="1"/>
  <c r="V1587" i="1"/>
  <c r="V315" i="1"/>
  <c r="V5565" i="1"/>
  <c r="V5255" i="1"/>
  <c r="V4350" i="1"/>
  <c r="V5463" i="1"/>
  <c r="V2650" i="1"/>
  <c r="V6118" i="1"/>
  <c r="V534" i="1"/>
  <c r="V4583" i="1"/>
  <c r="V2480" i="1"/>
  <c r="V285" i="1"/>
  <c r="V778" i="1"/>
  <c r="V4384" i="1"/>
  <c r="V1720" i="1"/>
  <c r="V5890" i="1"/>
  <c r="V6635" i="1"/>
  <c r="V2180" i="1"/>
  <c r="V5424" i="1"/>
  <c r="V1119" i="1"/>
  <c r="V2189" i="1"/>
  <c r="V3653" i="1"/>
  <c r="V1443" i="1"/>
  <c r="V2967" i="1"/>
  <c r="V823" i="1"/>
  <c r="V1150" i="1"/>
  <c r="V1402" i="1"/>
  <c r="V2607" i="1"/>
  <c r="V5582" i="1"/>
  <c r="V6249" i="1"/>
  <c r="V5417" i="1"/>
  <c r="V2055" i="1"/>
  <c r="V5097" i="1"/>
  <c r="V3928" i="1"/>
  <c r="V1189" i="1"/>
  <c r="V716" i="1"/>
  <c r="V6378" i="1"/>
  <c r="V3650" i="1"/>
  <c r="V2939" i="1"/>
  <c r="V1374" i="1"/>
  <c r="V5466" i="1"/>
  <c r="V4239" i="1"/>
  <c r="V4008" i="1"/>
  <c r="V3889" i="1"/>
  <c r="V2732" i="1"/>
  <c r="V2547" i="1"/>
  <c r="V2091" i="1"/>
  <c r="V1679" i="1"/>
  <c r="V1303" i="1"/>
  <c r="V860" i="1"/>
  <c r="V245" i="1"/>
  <c r="V6654" i="1"/>
  <c r="V5563" i="1"/>
  <c r="V4861" i="1"/>
  <c r="V3980" i="1"/>
  <c r="V3658" i="1"/>
  <c r="V963" i="1"/>
  <c r="V6247" i="1"/>
  <c r="V1746" i="1"/>
  <c r="V2529" i="1"/>
  <c r="V1235" i="1"/>
  <c r="V3627" i="1"/>
  <c r="V1439" i="1"/>
  <c r="V501" i="1"/>
  <c r="V57" i="1"/>
  <c r="V6325" i="1"/>
  <c r="V5008" i="1"/>
  <c r="V2949" i="1"/>
  <c r="V889" i="1"/>
  <c r="V6679" i="1"/>
  <c r="V6214" i="1"/>
  <c r="V5538" i="1"/>
  <c r="V4933" i="1"/>
  <c r="V1773" i="1"/>
  <c r="V6288" i="1"/>
  <c r="V5701" i="1"/>
  <c r="V4684" i="1"/>
  <c r="V4043" i="1"/>
  <c r="V3508" i="1"/>
  <c r="V3122" i="1"/>
  <c r="V2628" i="1"/>
  <c r="V2144" i="1"/>
  <c r="V1556" i="1"/>
  <c r="V964" i="1"/>
  <c r="V4831" i="1"/>
  <c r="V3313" i="1"/>
  <c r="V2357" i="1"/>
  <c r="V1839" i="1"/>
  <c r="V3976" i="1"/>
  <c r="V106" i="1"/>
  <c r="V6486" i="1"/>
  <c r="V5967" i="1"/>
  <c r="V3732" i="1"/>
  <c r="V3528" i="1"/>
  <c r="V3235" i="1"/>
  <c r="V31" i="1"/>
  <c r="V4967" i="1"/>
  <c r="V3105" i="1"/>
  <c r="V2625" i="1"/>
  <c r="V401" i="1"/>
  <c r="V6204" i="1"/>
  <c r="V5958" i="1"/>
  <c r="V4291" i="1"/>
  <c r="V2741" i="1"/>
  <c r="V2568" i="1"/>
  <c r="V1643" i="1"/>
  <c r="V5608" i="1"/>
  <c r="V2405" i="1"/>
  <c r="V1616" i="1"/>
  <c r="V724" i="1"/>
  <c r="V438" i="1"/>
  <c r="V2" i="1"/>
  <c r="V5385" i="1"/>
  <c r="V5023" i="1"/>
  <c r="V4672" i="1"/>
  <c r="V4403" i="1"/>
  <c r="V763" i="1"/>
  <c r="V6701" i="1"/>
  <c r="V2341" i="1"/>
  <c r="V2681" i="1"/>
  <c r="V122" i="1"/>
  <c r="V541" i="1"/>
  <c r="V197" i="1"/>
  <c r="V6131" i="1"/>
  <c r="V5914" i="1"/>
  <c r="V6695" i="1"/>
  <c r="V3654" i="1"/>
  <c r="V1552" i="1"/>
  <c r="V5362" i="1"/>
  <c r="V5692" i="1"/>
  <c r="V914" i="1"/>
  <c r="V1206" i="1"/>
  <c r="V3032" i="1"/>
  <c r="V613" i="1"/>
  <c r="V4128" i="1"/>
  <c r="V5096" i="1"/>
  <c r="V5035" i="1"/>
  <c r="V5448" i="1"/>
  <c r="V4565" i="1"/>
  <c r="V316" i="1"/>
  <c r="V2287" i="1"/>
  <c r="V3297" i="1"/>
  <c r="V4790" i="1"/>
  <c r="V3649" i="1"/>
  <c r="V6091" i="1"/>
  <c r="V2195" i="1"/>
  <c r="V2812" i="1"/>
  <c r="V550" i="1"/>
  <c r="V4453" i="1"/>
  <c r="V5508" i="1"/>
  <c r="V2965" i="1"/>
  <c r="V2740" i="1"/>
  <c r="V3469" i="1"/>
  <c r="V2702" i="1"/>
  <c r="V5623" i="1"/>
  <c r="V1993" i="1"/>
  <c r="V2873" i="1"/>
  <c r="V5593" i="1"/>
  <c r="V3898" i="1"/>
  <c r="V2456" i="1"/>
  <c r="V1155" i="1"/>
  <c r="V1861" i="1"/>
  <c r="V6547" i="1"/>
  <c r="V3705" i="1"/>
  <c r="V4409" i="1"/>
  <c r="V2087" i="1"/>
  <c r="V635" i="1"/>
  <c r="V1894" i="1"/>
  <c r="V1494" i="1"/>
  <c r="V4584" i="1"/>
  <c r="V1795" i="1"/>
  <c r="V1855" i="1"/>
  <c r="V3510" i="1"/>
  <c r="V78" i="1"/>
  <c r="V6319" i="1"/>
  <c r="V6489" i="1"/>
  <c r="V537" i="1"/>
  <c r="V3192" i="1"/>
  <c r="V4093" i="1"/>
  <c r="V4521" i="1"/>
  <c r="V4087" i="1"/>
  <c r="V3464" i="1"/>
  <c r="V2719" i="1"/>
  <c r="V1504" i="1"/>
  <c r="V5926" i="1"/>
  <c r="V5559" i="1"/>
  <c r="V5000" i="1"/>
  <c r="V3706" i="1"/>
  <c r="V5352" i="1"/>
  <c r="V462" i="1"/>
  <c r="V5030" i="1"/>
  <c r="V2801" i="1"/>
  <c r="V384" i="1"/>
  <c r="V3813" i="1"/>
  <c r="V4332" i="1"/>
  <c r="V268" i="1"/>
  <c r="V1451" i="1"/>
  <c r="V2044" i="1"/>
  <c r="V5516" i="1"/>
  <c r="V2825" i="1"/>
  <c r="V219" i="1"/>
  <c r="V3121" i="1"/>
  <c r="V467" i="1"/>
  <c r="V4369" i="1"/>
  <c r="V5107" i="1"/>
  <c r="V5454" i="1"/>
  <c r="V1272" i="1"/>
  <c r="V3294" i="1"/>
  <c r="V6060" i="1"/>
  <c r="V781" i="1"/>
  <c r="V3325" i="1"/>
  <c r="V4818" i="1"/>
  <c r="V5303" i="1"/>
  <c r="V5253" i="1"/>
  <c r="V2484" i="1"/>
  <c r="V3153" i="1"/>
  <c r="V4075" i="1"/>
  <c r="V3096" i="1"/>
  <c r="V6426" i="1"/>
  <c r="V73" i="1"/>
  <c r="V5963" i="1"/>
  <c r="V664" i="1"/>
  <c r="V4939" i="1"/>
  <c r="V6306" i="1"/>
  <c r="V4823" i="1"/>
  <c r="V5188" i="1"/>
  <c r="V5618" i="1"/>
  <c r="V729" i="1"/>
  <c r="V4970" i="1"/>
  <c r="V5920" i="1"/>
  <c r="V3823" i="1"/>
  <c r="V5217" i="1"/>
  <c r="V4569" i="1"/>
  <c r="V5208" i="1"/>
  <c r="V5007" i="1"/>
  <c r="V6058" i="1"/>
  <c r="V6344" i="1"/>
  <c r="V876" i="1"/>
  <c r="V2306" i="1"/>
  <c r="V2119" i="1"/>
  <c r="V4645" i="1"/>
  <c r="V308" i="1"/>
  <c r="V692" i="1"/>
  <c r="V87" i="1"/>
  <c r="V473" i="1"/>
  <c r="V1428" i="1"/>
  <c r="V5173" i="1"/>
  <c r="V5554" i="1"/>
  <c r="V2639" i="1"/>
  <c r="V4654" i="1"/>
  <c r="V4851" i="1"/>
  <c r="V3276" i="1"/>
  <c r="V4283" i="1"/>
  <c r="V1971" i="1"/>
  <c r="V4603" i="1"/>
  <c r="V1776" i="1"/>
  <c r="V2342" i="1"/>
  <c r="V4758" i="1"/>
  <c r="V6700" i="1"/>
  <c r="V1156" i="1"/>
  <c r="V1457" i="1"/>
  <c r="V3365" i="1"/>
  <c r="V5549" i="1"/>
  <c r="V2356" i="1"/>
  <c r="V6499" i="1"/>
  <c r="V948" i="1"/>
  <c r="V1223" i="1"/>
  <c r="V3000" i="1"/>
  <c r="V5864" i="1"/>
  <c r="V4761" i="1"/>
  <c r="V4892" i="1"/>
  <c r="V5174" i="1"/>
  <c r="V254" i="1"/>
  <c r="V2881" i="1"/>
  <c r="V212" i="1"/>
  <c r="V3001" i="1"/>
  <c r="V6585" i="1"/>
  <c r="V4789" i="1"/>
  <c r="V1651" i="1"/>
  <c r="V3075" i="1"/>
  <c r="V6193" i="1"/>
  <c r="V4226" i="1"/>
  <c r="V2238" i="1"/>
  <c r="V6263" i="1"/>
  <c r="V3100" i="1"/>
  <c r="V6029" i="1"/>
  <c r="V5306" i="1"/>
  <c r="V4856" i="1"/>
  <c r="V2904" i="1"/>
  <c r="V798" i="1"/>
  <c r="V521" i="1"/>
  <c r="V94" i="1"/>
  <c r="V6587" i="1"/>
  <c r="V5447" i="1"/>
  <c r="V5311" i="1"/>
  <c r="V2944" i="1"/>
  <c r="V1359" i="1"/>
  <c r="V5229" i="1"/>
  <c r="V1792" i="1"/>
  <c r="V6513" i="1"/>
  <c r="V4055" i="1"/>
  <c r="V2148" i="1"/>
  <c r="V1299" i="1"/>
  <c r="V959" i="1"/>
  <c r="V361" i="1"/>
  <c r="V81" i="1"/>
  <c r="V4979" i="1"/>
  <c r="V3972" i="1"/>
  <c r="V3164" i="1"/>
  <c r="V2748" i="1"/>
  <c r="V6672" i="1"/>
  <c r="V2158" i="1"/>
  <c r="V5351" i="1"/>
  <c r="V3059" i="1"/>
  <c r="V1519" i="1"/>
  <c r="V6293" i="1"/>
  <c r="V3241" i="1"/>
  <c r="V460" i="1"/>
  <c r="V51" i="1"/>
  <c r="V6183" i="1"/>
  <c r="V2072" i="1"/>
  <c r="V1623" i="1"/>
  <c r="V971" i="1"/>
  <c r="V5489" i="1"/>
  <c r="V4842" i="1"/>
  <c r="V3210" i="1"/>
  <c r="V1966" i="1"/>
  <c r="V6636" i="1"/>
  <c r="V6265" i="1"/>
  <c r="V3098" i="1"/>
  <c r="V5859" i="1"/>
  <c r="V1230" i="1"/>
  <c r="V5081" i="1"/>
  <c r="V2622" i="1"/>
  <c r="V263" i="1"/>
  <c r="V6371" i="1"/>
  <c r="V6036" i="1"/>
  <c r="V5159" i="1"/>
  <c r="V3430" i="1"/>
  <c r="V3076" i="1"/>
  <c r="V1669" i="1"/>
  <c r="V5413" i="1"/>
  <c r="V3774" i="1"/>
  <c r="V38" i="1"/>
  <c r="V4579" i="1"/>
  <c r="V1589" i="1"/>
  <c r="V4785" i="1"/>
  <c r="V85" i="1"/>
  <c r="V2132" i="1"/>
  <c r="V6563" i="1"/>
  <c r="V431" i="1"/>
  <c r="V1755" i="1"/>
  <c r="V4693" i="1"/>
  <c r="V4089" i="1"/>
  <c r="V1715" i="1"/>
  <c r="T6026" i="1"/>
  <c r="U6026" i="1"/>
  <c r="T3151" i="1"/>
  <c r="U3151" i="1"/>
  <c r="T6033" i="1"/>
  <c r="U6033" i="1"/>
  <c r="T3386" i="1"/>
  <c r="U3386" i="1"/>
  <c r="T6474" i="1"/>
  <c r="U6474" i="1"/>
  <c r="T4249" i="1"/>
  <c r="U4249" i="1"/>
  <c r="T2304" i="1"/>
  <c r="U2304" i="1"/>
  <c r="T506" i="1"/>
  <c r="U506" i="1"/>
  <c r="T5012" i="1"/>
  <c r="U5012" i="1"/>
  <c r="T1878" i="1"/>
  <c r="U1878" i="1"/>
  <c r="T4038" i="1"/>
  <c r="U4038" i="1"/>
  <c r="T77" i="1"/>
  <c r="U77" i="1"/>
  <c r="T5056" i="1"/>
  <c r="U5056" i="1"/>
  <c r="T5705" i="1"/>
  <c r="U5705" i="1"/>
  <c r="T3488" i="1"/>
  <c r="U3488" i="1"/>
  <c r="T6154" i="1"/>
  <c r="U6154" i="1"/>
  <c r="T2403" i="1"/>
  <c r="U2403" i="1"/>
  <c r="T6365" i="1"/>
  <c r="U6365" i="1"/>
  <c r="T4525" i="1"/>
  <c r="U4525" i="1"/>
  <c r="T2940" i="1"/>
  <c r="U2940" i="1"/>
  <c r="T849" i="1"/>
  <c r="U849" i="1"/>
  <c r="T5444" i="1"/>
  <c r="U5444" i="1"/>
  <c r="T2913" i="1"/>
  <c r="U2913" i="1"/>
  <c r="T6640" i="1"/>
  <c r="U6640" i="1"/>
  <c r="T3517" i="1"/>
  <c r="U3517" i="1"/>
  <c r="T286" i="1"/>
  <c r="U286" i="1"/>
  <c r="T5369" i="1"/>
  <c r="U5369" i="1"/>
  <c r="T4124" i="1"/>
  <c r="U4124" i="1"/>
  <c r="T5482" i="1"/>
  <c r="U5482" i="1"/>
  <c r="T2320" i="1"/>
  <c r="U2320" i="1"/>
  <c r="T2997" i="1"/>
  <c r="U2997" i="1"/>
  <c r="T1635" i="1"/>
  <c r="U1635" i="1"/>
  <c r="T395" i="1"/>
  <c r="U395" i="1"/>
  <c r="T5640" i="1"/>
  <c r="U5640" i="1"/>
  <c r="T3642" i="1"/>
  <c r="U3642" i="1"/>
  <c r="T1066" i="1"/>
  <c r="U1066" i="1"/>
  <c r="T5744" i="1"/>
  <c r="U5744" i="1"/>
  <c r="T2051" i="1"/>
  <c r="U2051" i="1"/>
  <c r="T5230" i="1"/>
  <c r="U5230" i="1"/>
  <c r="V2066" i="1"/>
  <c r="T616" i="1"/>
  <c r="U616" i="1"/>
  <c r="T5193" i="1"/>
  <c r="U5193" i="1"/>
  <c r="T3323" i="1"/>
  <c r="U3323" i="1"/>
  <c r="T1202" i="1"/>
  <c r="U1202" i="1"/>
  <c r="T4803" i="1"/>
  <c r="U4803" i="1"/>
  <c r="T906" i="1"/>
  <c r="U906" i="1"/>
  <c r="T5357" i="1"/>
  <c r="U5357" i="1"/>
  <c r="T3536" i="1"/>
  <c r="U3536" i="1"/>
  <c r="T2021" i="1"/>
  <c r="U2021" i="1"/>
  <c r="T252" i="1"/>
  <c r="U252" i="1"/>
  <c r="T4694" i="1"/>
  <c r="U4694" i="1"/>
  <c r="T1540" i="1"/>
  <c r="U1540" i="1"/>
  <c r="T6475" i="1"/>
  <c r="U6475" i="1"/>
  <c r="T2279" i="1"/>
  <c r="U2279" i="1"/>
  <c r="T6287" i="1"/>
  <c r="U6287" i="1"/>
  <c r="T4438" i="1"/>
  <c r="U4438" i="1"/>
  <c r="T2677" i="1"/>
  <c r="U2677" i="1"/>
  <c r="T1199" i="1"/>
  <c r="U1199" i="1"/>
  <c r="T5853" i="1"/>
  <c r="U5853" i="1"/>
  <c r="T3613" i="1"/>
  <c r="U3613" i="1"/>
  <c r="T1536" i="1"/>
  <c r="U1536" i="1"/>
  <c r="T5002" i="1"/>
  <c r="U5002" i="1"/>
  <c r="U3785" i="1"/>
  <c r="V3785" i="1" s="1"/>
  <c r="U4248" i="1"/>
  <c r="V4248" i="1" s="1"/>
  <c r="U3999" i="1"/>
  <c r="V3999" i="1" s="1"/>
  <c r="U4374" i="1"/>
  <c r="V4374" i="1" s="1"/>
  <c r="U1862" i="1"/>
  <c r="V1862" i="1" s="1"/>
  <c r="U3626" i="1"/>
  <c r="V3626" i="1" s="1"/>
  <c r="U5832" i="1"/>
  <c r="V5832" i="1" s="1"/>
  <c r="U6379" i="1"/>
  <c r="V6379" i="1" s="1"/>
  <c r="U1784" i="1"/>
  <c r="V1784" i="1" s="1"/>
  <c r="T3879" i="1"/>
  <c r="U3879" i="1"/>
  <c r="T833" i="1"/>
  <c r="U833" i="1"/>
  <c r="T4473" i="1"/>
  <c r="U4473" i="1"/>
  <c r="T6630" i="1"/>
  <c r="U6630" i="1"/>
  <c r="T4601" i="1"/>
  <c r="U4601" i="1"/>
  <c r="T2489" i="1"/>
  <c r="U2489" i="1"/>
  <c r="T678" i="1"/>
  <c r="U678" i="1"/>
  <c r="T4057" i="1"/>
  <c r="U4057" i="1"/>
  <c r="T224" i="1"/>
  <c r="U224" i="1"/>
  <c r="T2295" i="1"/>
  <c r="U2295" i="1"/>
  <c r="T5875" i="1"/>
  <c r="U5875" i="1"/>
  <c r="T4013" i="1"/>
  <c r="U4013" i="1"/>
  <c r="T2594" i="1"/>
  <c r="U2594" i="1"/>
  <c r="T556" i="1"/>
  <c r="U556" i="1"/>
  <c r="T5137" i="1"/>
  <c r="U5137" i="1"/>
  <c r="T2722" i="1"/>
  <c r="U2722" i="1"/>
  <c r="T5256" i="1"/>
  <c r="U5256" i="1"/>
  <c r="T1525" i="1"/>
  <c r="U1525" i="1"/>
  <c r="T5494" i="1"/>
  <c r="U5494" i="1"/>
  <c r="T3801" i="1"/>
  <c r="U3801" i="1"/>
  <c r="T2404" i="1"/>
  <c r="U2404" i="1"/>
  <c r="T6756" i="1"/>
  <c r="U6756" i="1"/>
  <c r="T3633" i="1"/>
  <c r="U3633" i="1"/>
  <c r="T6305" i="1"/>
  <c r="U6305" i="1"/>
  <c r="T5225" i="1"/>
  <c r="U5225" i="1"/>
  <c r="T3308" i="1"/>
  <c r="U3308" i="1"/>
  <c r="T1988" i="1"/>
  <c r="U1988" i="1"/>
  <c r="T6674" i="1"/>
  <c r="U6674" i="1"/>
  <c r="T4949" i="1"/>
  <c r="U4949" i="1"/>
  <c r="T3747" i="1"/>
  <c r="U3747" i="1"/>
  <c r="T984" i="1"/>
  <c r="U984" i="1"/>
  <c r="T5062" i="1"/>
  <c r="U5062" i="1"/>
  <c r="T347" i="1"/>
  <c r="U347" i="1"/>
  <c r="T5419" i="1"/>
  <c r="U5419" i="1"/>
  <c r="T3832" i="1"/>
  <c r="U3832" i="1"/>
  <c r="T2202" i="1"/>
  <c r="U2202" i="1"/>
  <c r="T926" i="1"/>
  <c r="U926" i="1"/>
  <c r="T5366" i="1"/>
  <c r="U5366" i="1"/>
  <c r="T2966" i="1"/>
  <c r="U2966" i="1"/>
  <c r="T828" i="1"/>
  <c r="U828" i="1"/>
  <c r="T4160" i="1"/>
  <c r="U4160" i="1"/>
  <c r="T1510" i="1"/>
  <c r="U1510" i="1"/>
  <c r="T5786" i="1"/>
  <c r="U5786" i="1"/>
  <c r="T3696" i="1"/>
  <c r="U3696" i="1"/>
  <c r="T2662" i="1"/>
  <c r="U2662" i="1"/>
  <c r="T1463" i="1"/>
  <c r="U1463" i="1"/>
  <c r="T6129" i="1"/>
  <c r="U6129" i="1"/>
  <c r="T2617" i="1"/>
  <c r="U2617" i="1"/>
  <c r="T813" i="1"/>
  <c r="U813" i="1"/>
  <c r="T4053" i="1"/>
  <c r="U4053" i="1"/>
  <c r="T6560" i="1"/>
  <c r="U6560" i="1"/>
  <c r="T3884" i="1"/>
  <c r="U3884" i="1"/>
  <c r="T6317" i="1"/>
  <c r="U6317" i="1"/>
  <c r="T3752" i="1"/>
  <c r="U3752" i="1"/>
  <c r="T673" i="1"/>
  <c r="U673" i="1"/>
  <c r="T4376" i="1"/>
  <c r="U4376" i="1"/>
  <c r="T381" i="1"/>
  <c r="U381" i="1"/>
  <c r="T4891" i="1"/>
  <c r="U4891" i="1"/>
  <c r="T2968" i="1"/>
  <c r="U2968" i="1"/>
  <c r="T1698" i="1"/>
  <c r="U1698" i="1"/>
  <c r="T6178" i="1"/>
  <c r="U6178" i="1"/>
  <c r="T3791" i="1"/>
  <c r="U3791" i="1"/>
  <c r="T2084" i="1"/>
  <c r="U2084" i="1"/>
  <c r="T4115" i="1"/>
  <c r="U4115" i="1"/>
  <c r="U2034" i="1"/>
  <c r="V2034" i="1" s="1"/>
  <c r="U1184" i="1"/>
  <c r="V1184" i="1" s="1"/>
  <c r="U3359" i="1"/>
  <c r="V3359" i="1" s="1"/>
  <c r="U5204" i="1"/>
  <c r="V5204" i="1" s="1"/>
  <c r="U139" i="1"/>
  <c r="V139" i="1" s="1"/>
  <c r="U3462" i="1"/>
  <c r="V3462" i="1" s="1"/>
  <c r="U4259" i="1"/>
  <c r="V4259" i="1" s="1"/>
  <c r="U128" i="1"/>
  <c r="V128" i="1" s="1"/>
  <c r="U592" i="1"/>
  <c r="V592" i="1" s="1"/>
  <c r="U3680" i="1"/>
  <c r="V3680" i="1" s="1"/>
  <c r="U3283" i="1"/>
  <c r="V3283" i="1" s="1"/>
  <c r="V572" i="1"/>
  <c r="T4267" i="1"/>
  <c r="U4267" i="1"/>
  <c r="T1305" i="1"/>
  <c r="U1305" i="1"/>
  <c r="T3679" i="1"/>
  <c r="U3679" i="1"/>
  <c r="T6103" i="1"/>
  <c r="U6103" i="1"/>
  <c r="T3746" i="1"/>
  <c r="U3746" i="1"/>
  <c r="T1879" i="1"/>
  <c r="U1879" i="1"/>
  <c r="T70" i="1"/>
  <c r="U70" i="1"/>
  <c r="T4349" i="1"/>
  <c r="U4349" i="1"/>
  <c r="T1452" i="1"/>
  <c r="U1452" i="1"/>
  <c r="T2795" i="1"/>
  <c r="U2795" i="1"/>
  <c r="T6418" i="1"/>
  <c r="U6418" i="1"/>
  <c r="T4860" i="1"/>
  <c r="U4860" i="1"/>
  <c r="T3293" i="1"/>
  <c r="U3293" i="1"/>
  <c r="T1962" i="1"/>
  <c r="U1962" i="1"/>
  <c r="T6543" i="1"/>
  <c r="U6543" i="1"/>
  <c r="T4123" i="1"/>
  <c r="U4123" i="1"/>
  <c r="T1234" i="1"/>
  <c r="U1234" i="1"/>
  <c r="T3974" i="1"/>
  <c r="U3974" i="1"/>
  <c r="T6720" i="1"/>
  <c r="U6720" i="1"/>
  <c r="T4871" i="1"/>
  <c r="U4871" i="1"/>
  <c r="T3677" i="1"/>
  <c r="U3677" i="1"/>
  <c r="T1919" i="1"/>
  <c r="U1919" i="1"/>
  <c r="T6322" i="1"/>
  <c r="U6322" i="1"/>
  <c r="T4478" i="1"/>
  <c r="U4478" i="1"/>
  <c r="T2000" i="1"/>
  <c r="U2000" i="1"/>
  <c r="T341" i="1"/>
  <c r="U341" i="1"/>
  <c r="T5182" i="1"/>
  <c r="U5182" i="1"/>
  <c r="T992" i="1"/>
  <c r="U992" i="1"/>
  <c r="T6052" i="1"/>
  <c r="U6052" i="1"/>
  <c r="T4855" i="1"/>
  <c r="U4855" i="1"/>
  <c r="T3006" i="1"/>
  <c r="U3006" i="1"/>
  <c r="T2193" i="1"/>
  <c r="U2193" i="1"/>
  <c r="T487" i="1"/>
  <c r="U487" i="1"/>
  <c r="T4470" i="1"/>
  <c r="U4470" i="1"/>
  <c r="T2862" i="1"/>
  <c r="U2862" i="1"/>
  <c r="T6176" i="1"/>
  <c r="U6176" i="1"/>
  <c r="T3275" i="1"/>
  <c r="U3275" i="1"/>
  <c r="T6303" i="1"/>
  <c r="U6303" i="1"/>
  <c r="T5102" i="1"/>
  <c r="U5102" i="1"/>
  <c r="T3226" i="1"/>
  <c r="U3226" i="1"/>
  <c r="T4971" i="1"/>
  <c r="U4971" i="1"/>
  <c r="T1819" i="1"/>
  <c r="U1819" i="1"/>
  <c r="V6390" i="1"/>
  <c r="T4905" i="1"/>
  <c r="U4905" i="1"/>
  <c r="T4127" i="1"/>
  <c r="U4127" i="1"/>
  <c r="T2557" i="1"/>
  <c r="U2557" i="1"/>
  <c r="T1255" i="1"/>
  <c r="U1255" i="1"/>
  <c r="T6626" i="1"/>
  <c r="U6626" i="1"/>
  <c r="T3922" i="1"/>
  <c r="U3922" i="1"/>
  <c r="T1958" i="1"/>
  <c r="U1958" i="1"/>
  <c r="T6148" i="1"/>
  <c r="U6148" i="1"/>
  <c r="T1928" i="1"/>
  <c r="U1928" i="1"/>
  <c r="T5629" i="1"/>
  <c r="U5629" i="1"/>
  <c r="T3311" i="1"/>
  <c r="U3311" i="1"/>
  <c r="T1337" i="1"/>
  <c r="U1337" i="1"/>
  <c r="T1012" i="1"/>
  <c r="U1012" i="1"/>
  <c r="T5905" i="1"/>
  <c r="U5905" i="1"/>
  <c r="T1913" i="1"/>
  <c r="U1913" i="1"/>
  <c r="T5742" i="1"/>
  <c r="U5742" i="1"/>
  <c r="T3968" i="1"/>
  <c r="U3968" i="1"/>
  <c r="T5147" i="1"/>
  <c r="U5147" i="1"/>
  <c r="T2973" i="1"/>
  <c r="U2973" i="1"/>
  <c r="T6127" i="1"/>
  <c r="U6127" i="1"/>
  <c r="U5531" i="1"/>
  <c r="V5531" i="1" s="1"/>
  <c r="U5934" i="1"/>
  <c r="V5934" i="1" s="1"/>
  <c r="U5346" i="1"/>
  <c r="V5346" i="1" s="1"/>
  <c r="U5587" i="1"/>
  <c r="V5587" i="1" s="1"/>
  <c r="U946" i="1"/>
  <c r="V946" i="1" s="1"/>
  <c r="U2655" i="1"/>
  <c r="V2655" i="1" s="1"/>
  <c r="U4877" i="1"/>
  <c r="V4877" i="1" s="1"/>
  <c r="U2678" i="1"/>
  <c r="V2678" i="1" s="1"/>
  <c r="U728" i="1"/>
  <c r="V728" i="1" s="1"/>
  <c r="U2040" i="1"/>
  <c r="V2040" i="1" s="1"/>
  <c r="U4827" i="1"/>
  <c r="V4827" i="1" s="1"/>
  <c r="U2979" i="1"/>
  <c r="V2979" i="1" s="1"/>
  <c r="U6140" i="1"/>
  <c r="V6140" i="1" s="1"/>
  <c r="U4146" i="1"/>
  <c r="V4146" i="1" s="1"/>
  <c r="U719" i="1"/>
  <c r="V719" i="1" s="1"/>
  <c r="U4119" i="1"/>
  <c r="V4119" i="1" s="1"/>
  <c r="V111" i="1"/>
  <c r="V2829" i="1"/>
  <c r="T5580" i="1"/>
  <c r="U5580" i="1"/>
  <c r="T2679" i="1"/>
  <c r="U2679" i="1"/>
  <c r="T5643" i="1"/>
  <c r="U5643" i="1"/>
  <c r="T1800" i="1"/>
  <c r="U1800" i="1"/>
  <c r="T5833" i="1"/>
  <c r="U5833" i="1"/>
  <c r="T3421" i="1"/>
  <c r="U3421" i="1"/>
  <c r="T1537" i="1"/>
  <c r="U1537" i="1"/>
  <c r="T6292" i="1"/>
  <c r="U6292" i="1"/>
  <c r="T3349" i="1"/>
  <c r="U3349" i="1"/>
  <c r="T4646" i="1"/>
  <c r="U4646" i="1"/>
  <c r="T945" i="1"/>
  <c r="U945" i="1"/>
  <c r="T5682" i="1"/>
  <c r="U5682" i="1"/>
  <c r="T3772" i="1"/>
  <c r="U3772" i="1"/>
  <c r="T2206" i="1"/>
  <c r="U2206" i="1"/>
  <c r="T251" i="1"/>
  <c r="U251" i="1"/>
  <c r="T4897" i="1"/>
  <c r="U4897" i="1"/>
  <c r="T2290" i="1"/>
  <c r="U2290" i="1"/>
  <c r="T4532" i="1"/>
  <c r="U4532" i="1"/>
  <c r="T1077" i="1"/>
  <c r="U1077" i="1"/>
  <c r="T5059" i="1"/>
  <c r="U5059" i="1"/>
  <c r="T5542" i="1"/>
  <c r="U5542" i="1"/>
  <c r="T4331" i="1"/>
  <c r="U4331" i="1"/>
  <c r="T2292" i="1"/>
  <c r="U2292" i="1"/>
  <c r="T1384" i="1"/>
  <c r="U1384" i="1"/>
  <c r="T5944" i="1"/>
  <c r="U5944" i="1"/>
  <c r="T3882" i="1"/>
  <c r="U3882" i="1"/>
  <c r="T6556" i="1"/>
  <c r="U6556" i="1"/>
  <c r="T4671" i="1"/>
  <c r="U4671" i="1"/>
  <c r="T3499" i="1"/>
  <c r="U3499" i="1"/>
  <c r="T1986" i="1"/>
  <c r="U1986" i="1"/>
  <c r="T705" i="1"/>
  <c r="U705" i="1"/>
  <c r="T6554" i="1"/>
  <c r="U6554" i="1"/>
  <c r="T4566" i="1"/>
  <c r="U4566" i="1"/>
  <c r="T2618" i="1"/>
  <c r="U2618" i="1"/>
  <c r="T6435" i="1"/>
  <c r="U6435" i="1"/>
  <c r="T2471" i="1"/>
  <c r="U2471" i="1"/>
  <c r="T4886" i="1"/>
  <c r="U4886" i="1"/>
  <c r="T2203" i="1"/>
  <c r="U2203" i="1"/>
  <c r="T392" i="1"/>
  <c r="U392" i="1"/>
  <c r="T2252" i="1"/>
  <c r="U2252" i="1"/>
  <c r="T2473" i="1"/>
  <c r="U2473" i="1"/>
  <c r="T3186" i="1"/>
  <c r="U3186" i="1"/>
  <c r="T6571" i="1"/>
  <c r="U6571" i="1"/>
  <c r="T2210" i="1"/>
  <c r="U2210" i="1"/>
  <c r="T99" i="1"/>
  <c r="U99" i="1"/>
  <c r="T4580" i="1"/>
  <c r="U4580" i="1"/>
  <c r="T3260" i="1"/>
  <c r="U3260" i="1"/>
  <c r="T1074" i="1"/>
  <c r="U1074" i="1"/>
  <c r="T3768" i="1"/>
  <c r="U3768" i="1"/>
  <c r="U1434" i="1"/>
  <c r="V1434" i="1" s="1"/>
  <c r="U2386" i="1"/>
  <c r="V2386" i="1" s="1"/>
  <c r="U3279" i="1"/>
  <c r="V3279" i="1" s="1"/>
  <c r="U3169" i="1"/>
  <c r="V3169" i="1" s="1"/>
  <c r="U3672" i="1"/>
  <c r="V3672" i="1" s="1"/>
  <c r="U257" i="1"/>
  <c r="V257" i="1" s="1"/>
  <c r="U2409" i="1"/>
  <c r="V2409" i="1" s="1"/>
  <c r="U3984" i="1"/>
  <c r="V3984" i="1" s="1"/>
  <c r="U5641" i="1"/>
  <c r="V5641" i="1" s="1"/>
  <c r="U6722" i="1"/>
  <c r="V6722" i="1" s="1"/>
  <c r="U150" i="1"/>
  <c r="V150" i="1" s="1"/>
  <c r="V6425" i="1"/>
  <c r="T3506" i="1"/>
  <c r="U3506" i="1"/>
  <c r="T149" i="1"/>
  <c r="U149" i="1"/>
  <c r="T2478" i="1"/>
  <c r="U2478" i="1"/>
  <c r="T4982" i="1"/>
  <c r="U4982" i="1"/>
  <c r="T2900" i="1"/>
  <c r="U2900" i="1"/>
  <c r="T1101" i="1"/>
  <c r="U1101" i="1"/>
  <c r="T5425" i="1"/>
  <c r="U5425" i="1"/>
  <c r="T2335" i="1"/>
  <c r="U2335" i="1"/>
  <c r="T5850" i="1"/>
  <c r="U5850" i="1"/>
  <c r="T1869" i="1"/>
  <c r="U1869" i="1"/>
  <c r="T6200" i="1"/>
  <c r="U6200" i="1"/>
  <c r="T4278" i="1"/>
  <c r="U4278" i="1"/>
  <c r="T3050" i="1"/>
  <c r="U3050" i="1"/>
  <c r="T1054" i="1"/>
  <c r="U1054" i="1"/>
  <c r="T5954" i="1"/>
  <c r="U5954" i="1"/>
  <c r="T3904" i="1"/>
  <c r="U3904" i="1"/>
  <c r="T557" i="1"/>
  <c r="U557" i="1"/>
  <c r="T3277" i="1"/>
  <c r="U3277" i="1"/>
  <c r="T350" i="1"/>
  <c r="U350" i="1"/>
  <c r="T5259" i="1"/>
  <c r="U5259" i="1"/>
  <c r="T3454" i="1"/>
  <c r="U3454" i="1"/>
  <c r="T1146" i="1"/>
  <c r="U1146" i="1"/>
  <c r="T5131" i="1"/>
  <c r="U5131" i="1"/>
  <c r="T3202" i="1"/>
  <c r="U3202" i="1"/>
  <c r="T806" i="1"/>
  <c r="U806" i="1"/>
  <c r="T4636" i="1"/>
  <c r="U4636" i="1"/>
  <c r="T577" i="1"/>
  <c r="U577" i="1"/>
  <c r="T5781" i="1"/>
  <c r="U5781" i="1"/>
  <c r="T4493" i="1"/>
  <c r="U4493" i="1"/>
  <c r="T2769" i="1"/>
  <c r="U2769" i="1"/>
  <c r="T1284" i="1"/>
  <c r="U1284" i="1"/>
  <c r="T278" i="1"/>
  <c r="U278" i="1"/>
  <c r="T2636" i="1"/>
  <c r="U2636" i="1"/>
  <c r="T5846" i="1"/>
  <c r="U5846" i="1"/>
  <c r="T1265" i="1"/>
  <c r="U1265" i="1"/>
  <c r="T1425" i="1"/>
  <c r="U1425" i="1"/>
  <c r="T5953" i="1"/>
  <c r="U5953" i="1"/>
  <c r="T3182" i="1"/>
  <c r="U3182" i="1"/>
  <c r="T417" i="1"/>
  <c r="U417" i="1"/>
  <c r="T5464" i="1"/>
  <c r="U5464" i="1"/>
  <c r="T4339" i="1"/>
  <c r="U4339" i="1"/>
  <c r="T2807" i="1"/>
  <c r="U2807" i="1"/>
  <c r="T1605" i="1"/>
  <c r="U1605" i="1"/>
  <c r="T5590" i="1"/>
  <c r="U5590" i="1"/>
  <c r="T3082" i="1"/>
  <c r="U3082" i="1"/>
  <c r="T962" i="1"/>
  <c r="U962" i="1"/>
  <c r="T3206" i="1"/>
  <c r="U3206" i="1"/>
  <c r="T6704" i="1"/>
  <c r="U6704" i="1"/>
  <c r="T5038" i="1"/>
  <c r="U5038" i="1"/>
  <c r="T3054" i="1"/>
  <c r="U3054" i="1"/>
  <c r="T1693" i="1"/>
  <c r="U1693" i="1"/>
  <c r="T1797" i="1"/>
  <c r="U1797" i="1"/>
  <c r="T5678" i="1"/>
  <c r="U5678" i="1"/>
  <c r="T1323" i="1"/>
  <c r="U1323" i="1"/>
  <c r="T5344" i="1"/>
  <c r="U5344" i="1"/>
  <c r="T3766" i="1"/>
  <c r="U3766" i="1"/>
  <c r="T1817" i="1"/>
  <c r="U1817" i="1"/>
  <c r="U626" i="1"/>
  <c r="V626" i="1" s="1"/>
  <c r="U730" i="1"/>
  <c r="V730" i="1" s="1"/>
  <c r="U1043" i="1"/>
  <c r="V1043" i="1" s="1"/>
  <c r="U40" i="1"/>
  <c r="V40" i="1" s="1"/>
  <c r="U1593" i="1"/>
  <c r="V1593" i="1" s="1"/>
  <c r="U3845" i="1"/>
  <c r="V3845" i="1" s="1"/>
  <c r="U6088" i="1"/>
  <c r="V6088" i="1" s="1"/>
  <c r="U1321" i="1"/>
  <c r="V1321" i="1" s="1"/>
  <c r="U328" i="1"/>
  <c r="V328" i="1" s="1"/>
  <c r="U3452" i="1"/>
  <c r="V3452" i="1" s="1"/>
  <c r="U4817" i="1"/>
  <c r="V4817" i="1" s="1"/>
  <c r="U1298" i="1"/>
  <c r="V1298" i="1" s="1"/>
  <c r="U3437" i="1"/>
  <c r="V3437" i="1" s="1"/>
  <c r="U2543" i="1"/>
  <c r="V2543" i="1" s="1"/>
  <c r="V6411" i="1"/>
  <c r="T5025" i="1"/>
  <c r="U5025" i="1"/>
  <c r="T2155" i="1"/>
  <c r="U2155" i="1"/>
  <c r="T5349" i="1"/>
  <c r="U5349" i="1"/>
  <c r="T1361" i="1"/>
  <c r="U1361" i="1"/>
  <c r="T5254" i="1"/>
  <c r="U5254" i="1"/>
  <c r="T3158" i="1"/>
  <c r="U3158" i="1"/>
  <c r="T1319" i="1"/>
  <c r="U1319" i="1"/>
  <c r="T5878" i="1"/>
  <c r="U5878" i="1"/>
  <c r="T2692" i="1"/>
  <c r="U2692" i="1"/>
  <c r="T5483" i="1"/>
  <c r="U5483" i="1"/>
  <c r="T609" i="1"/>
  <c r="U609" i="1"/>
  <c r="T950" i="1"/>
  <c r="U950" i="1"/>
  <c r="T5396" i="1"/>
  <c r="U5396" i="1"/>
  <c r="T3116" i="1"/>
  <c r="U3116" i="1"/>
  <c r="T29" i="1"/>
  <c r="U29" i="1"/>
  <c r="T2616" i="1"/>
  <c r="U2616" i="1"/>
  <c r="T6069" i="1"/>
  <c r="U6069" i="1"/>
  <c r="T4258" i="1"/>
  <c r="U4258" i="1"/>
  <c r="T2672" i="1"/>
  <c r="U2672" i="1"/>
  <c r="T632" i="1"/>
  <c r="U632" i="1"/>
  <c r="T4879" i="1"/>
  <c r="U4879" i="1"/>
  <c r="T2436" i="1"/>
  <c r="U2436" i="1"/>
  <c r="T6093" i="1"/>
  <c r="U6093" i="1"/>
  <c r="T4233" i="1"/>
  <c r="U4233" i="1"/>
  <c r="T6663" i="1"/>
  <c r="U6663" i="1"/>
  <c r="T1796" i="1"/>
  <c r="U1796" i="1"/>
  <c r="T141" i="1"/>
  <c r="U141" i="1"/>
  <c r="T1918" i="1"/>
  <c r="U1918" i="1"/>
  <c r="T4517" i="1"/>
  <c r="U4517" i="1"/>
  <c r="T947" i="1"/>
  <c r="U947" i="1"/>
  <c r="T5704" i="1"/>
  <c r="U5704" i="1"/>
  <c r="T4447" i="1"/>
  <c r="U4447" i="1"/>
  <c r="T2747" i="1"/>
  <c r="U2747" i="1"/>
  <c r="T5094" i="1"/>
  <c r="U5094" i="1"/>
  <c r="T710" i="1"/>
  <c r="U710" i="1"/>
  <c r="T1787" i="1"/>
  <c r="U1787" i="1"/>
  <c r="T480" i="1"/>
  <c r="U480" i="1"/>
  <c r="T4494" i="1"/>
  <c r="U4494" i="1"/>
  <c r="T2811" i="1"/>
  <c r="U2811" i="1"/>
  <c r="T6234" i="1"/>
  <c r="U6234" i="1"/>
  <c r="T4540" i="1"/>
  <c r="U4540" i="1"/>
  <c r="T2796" i="1"/>
  <c r="U2796" i="1"/>
  <c r="T1889" i="1"/>
  <c r="U1889" i="1"/>
  <c r="T6710" i="1"/>
  <c r="U6710" i="1"/>
  <c r="T5005" i="1"/>
  <c r="U5005" i="1"/>
  <c r="T2553" i="1"/>
  <c r="U2553" i="1"/>
  <c r="T262" i="1"/>
  <c r="U262" i="1"/>
  <c r="T2907" i="1"/>
  <c r="U2907" i="1"/>
  <c r="T6055" i="1"/>
  <c r="U6055" i="1"/>
  <c r="T6558" i="1"/>
  <c r="U6558" i="1"/>
  <c r="T3188" i="1"/>
  <c r="U3188" i="1"/>
  <c r="U4780" i="1"/>
  <c r="V4780" i="1" s="1"/>
  <c r="U5130" i="1"/>
  <c r="V5130" i="1" s="1"/>
  <c r="U4546" i="1"/>
  <c r="V4546" i="1" s="1"/>
  <c r="U4781" i="1"/>
  <c r="V4781" i="1" s="1"/>
  <c r="U1524" i="1"/>
  <c r="V1524" i="1" s="1"/>
  <c r="U3091" i="1"/>
  <c r="V3091" i="1" s="1"/>
  <c r="U5431" i="1"/>
  <c r="V5431" i="1" s="1"/>
  <c r="U6669" i="1"/>
  <c r="V6669" i="1" s="1"/>
  <c r="U1195" i="1"/>
  <c r="V1195" i="1" s="1"/>
  <c r="U4773" i="1"/>
  <c r="V4773" i="1" s="1"/>
  <c r="U5325" i="1"/>
  <c r="V5325" i="1" s="1"/>
  <c r="U961" i="1"/>
  <c r="V961" i="1" s="1"/>
  <c r="U1318" i="1"/>
  <c r="V1318" i="1" s="1"/>
  <c r="U2542" i="1"/>
  <c r="V2542" i="1" s="1"/>
  <c r="U1812" i="1"/>
  <c r="V1812" i="1" s="1"/>
  <c r="U2865" i="1"/>
  <c r="V2865" i="1" s="1"/>
  <c r="V4218" i="1"/>
  <c r="V4414" i="1"/>
  <c r="T4642" i="1"/>
  <c r="U4642" i="1"/>
  <c r="T1580" i="1"/>
  <c r="U1580" i="1"/>
  <c r="T4769" i="1"/>
  <c r="U4769" i="1"/>
  <c r="T531" i="1"/>
  <c r="U531" i="1"/>
  <c r="T5545" i="1"/>
  <c r="U5545" i="1"/>
  <c r="T4012" i="1"/>
  <c r="U4012" i="1"/>
  <c r="T1991" i="1"/>
  <c r="U1991" i="1"/>
  <c r="T6731" i="1"/>
  <c r="U6731" i="1"/>
  <c r="T3711" i="1"/>
  <c r="U3711" i="1"/>
  <c r="T912" i="1"/>
  <c r="U912" i="1"/>
  <c r="T3305" i="1"/>
  <c r="U3305" i="1"/>
  <c r="T6694" i="1"/>
  <c r="U6694" i="1"/>
  <c r="T5264" i="1"/>
  <c r="U5264" i="1"/>
  <c r="T3458" i="1"/>
  <c r="U3458" i="1"/>
  <c r="T1404" i="1"/>
  <c r="U1404" i="1"/>
  <c r="T6177" i="1"/>
  <c r="U6177" i="1"/>
  <c r="T4422" i="1"/>
  <c r="U4422" i="1"/>
  <c r="T1977" i="1"/>
  <c r="U1977" i="1"/>
  <c r="T5771" i="1"/>
  <c r="U5771" i="1"/>
  <c r="T4017" i="1"/>
  <c r="U4017" i="1"/>
  <c r="T3159" i="1"/>
  <c r="U3159" i="1"/>
  <c r="T1582" i="1"/>
  <c r="U1582" i="1"/>
  <c r="T5876" i="1"/>
  <c r="U5876" i="1"/>
  <c r="T3969" i="1"/>
  <c r="U3969" i="1"/>
  <c r="T1563" i="1"/>
  <c r="U1563" i="1"/>
  <c r="T5748" i="1"/>
  <c r="U5748" i="1"/>
  <c r="T2686" i="1"/>
  <c r="U2686" i="1"/>
  <c r="T6535" i="1"/>
  <c r="U6535" i="1"/>
  <c r="T1557" i="1"/>
  <c r="U1557" i="1"/>
  <c r="T6164" i="1"/>
  <c r="U6164" i="1"/>
  <c r="T5414" i="1"/>
  <c r="U5414" i="1"/>
  <c r="T1723" i="1"/>
  <c r="U1723" i="1"/>
  <c r="T1377" i="1"/>
  <c r="U1377" i="1"/>
  <c r="V4111" i="1"/>
  <c r="T2270" i="1"/>
  <c r="U2270" i="1"/>
  <c r="T146" i="1"/>
  <c r="U146" i="1"/>
  <c r="T3598" i="1"/>
  <c r="U3598" i="1"/>
  <c r="T6066" i="1"/>
  <c r="U6066" i="1"/>
  <c r="T4655" i="1"/>
  <c r="U4655" i="1"/>
  <c r="T3222" i="1"/>
  <c r="U3222" i="1"/>
  <c r="T2415" i="1"/>
  <c r="U2415" i="1"/>
  <c r="T1047" i="1"/>
  <c r="U1047" i="1"/>
  <c r="T6501" i="1"/>
  <c r="U6501" i="1"/>
  <c r="T4335" i="1"/>
  <c r="U4335" i="1"/>
  <c r="T1664" i="1"/>
  <c r="U1664" i="1"/>
  <c r="T5898" i="1"/>
  <c r="U5898" i="1"/>
  <c r="T4287" i="1"/>
  <c r="U4287" i="1"/>
  <c r="T2377" i="1"/>
  <c r="U2377" i="1"/>
  <c r="T676" i="1"/>
  <c r="U676" i="1"/>
  <c r="T5956" i="1"/>
  <c r="U5956" i="1"/>
  <c r="T789" i="1"/>
  <c r="U789" i="1"/>
  <c r="T5612" i="1"/>
  <c r="U5612" i="1"/>
  <c r="T4157" i="1"/>
  <c r="U4157" i="1"/>
  <c r="T2322" i="1"/>
  <c r="U2322" i="1"/>
  <c r="T774" i="1"/>
  <c r="U774" i="1"/>
  <c r="T5539" i="1"/>
  <c r="U5539" i="1"/>
  <c r="U1190" i="1"/>
  <c r="V1190" i="1" s="1"/>
  <c r="U1460" i="1"/>
  <c r="V1460" i="1" s="1"/>
  <c r="U2424" i="1"/>
  <c r="V2424" i="1" s="1"/>
  <c r="U2954" i="1"/>
  <c r="V2954" i="1" s="1"/>
  <c r="U734" i="1"/>
  <c r="V734" i="1" s="1"/>
  <c r="U3012" i="1"/>
  <c r="V3012" i="1" s="1"/>
  <c r="U4564" i="1"/>
  <c r="V4564" i="1" s="1"/>
  <c r="U4185" i="1"/>
  <c r="V4185" i="1" s="1"/>
  <c r="U6699" i="1"/>
  <c r="V6699" i="1" s="1"/>
  <c r="U3377" i="1"/>
  <c r="V3377" i="1" s="1"/>
  <c r="U2316" i="1"/>
  <c r="V2316" i="1" s="1"/>
  <c r="U739" i="1"/>
  <c r="V739" i="1" s="1"/>
  <c r="U3753" i="1"/>
  <c r="V3753" i="1" s="1"/>
  <c r="U326" i="1"/>
  <c r="V326" i="1" s="1"/>
  <c r="U535" i="1"/>
  <c r="V535" i="1" s="1"/>
  <c r="U1181" i="1"/>
  <c r="V1181" i="1" s="1"/>
  <c r="V3429" i="1"/>
  <c r="V5731" i="1"/>
  <c r="V1572" i="1"/>
  <c r="V6466" i="1"/>
  <c r="V2725" i="1"/>
  <c r="V1444" i="1"/>
  <c r="V4953" i="1"/>
  <c r="V1100" i="1"/>
  <c r="V2943" i="1"/>
  <c r="V3558" i="1"/>
  <c r="V972" i="1"/>
  <c r="V5394" i="1"/>
  <c r="V6498" i="1"/>
  <c r="V6652" i="1"/>
  <c r="V1179" i="1"/>
  <c r="V1026" i="1"/>
  <c r="V938" i="1"/>
  <c r="V5113" i="1"/>
  <c r="V2667" i="1"/>
  <c r="V2309" i="1"/>
  <c r="V6697" i="1"/>
  <c r="V329" i="1"/>
  <c r="V6562" i="1"/>
  <c r="V924" i="1"/>
  <c r="V6329" i="1"/>
  <c r="V145" i="1"/>
  <c r="V2789" i="1"/>
  <c r="V3485" i="1"/>
  <c r="V3624" i="1"/>
  <c r="V4801" i="1"/>
  <c r="V5017" i="1"/>
  <c r="V1140" i="1"/>
  <c r="V4304" i="1"/>
  <c r="V4099" i="1"/>
  <c r="V1251" i="1"/>
  <c r="V2100" i="1"/>
  <c r="V1254" i="1"/>
  <c r="V1759" i="1"/>
  <c r="V4036" i="1"/>
  <c r="V2264" i="1"/>
  <c r="V1864" i="1"/>
  <c r="V4154" i="1"/>
  <c r="V1637" i="1"/>
  <c r="V3830" i="1"/>
  <c r="V47" i="1"/>
  <c r="V2168" i="1"/>
  <c r="V97" i="1"/>
  <c r="V374" i="1"/>
  <c r="V545" i="1"/>
  <c r="V805" i="1"/>
  <c r="V1024" i="1"/>
  <c r="V1209" i="1"/>
  <c r="V1526" i="1"/>
  <c r="V1707" i="1"/>
  <c r="V1877" i="1"/>
  <c r="V2231" i="1"/>
  <c r="V2412" i="1"/>
  <c r="V2856" i="1"/>
  <c r="V3030" i="1"/>
  <c r="V3115" i="1"/>
  <c r="V3376" i="1"/>
  <c r="V3717" i="1"/>
  <c r="V3851" i="1"/>
  <c r="V4145" i="1"/>
  <c r="V4351" i="1"/>
  <c r="V4777" i="1"/>
  <c r="V4889" i="1"/>
  <c r="V5322" i="1"/>
  <c r="V5442" i="1"/>
  <c r="V5760" i="1"/>
  <c r="V6219" i="1"/>
  <c r="V6339" i="1"/>
  <c r="V6427" i="1"/>
  <c r="V591" i="1"/>
  <c r="V3496" i="1"/>
  <c r="V4359" i="1"/>
  <c r="V5109" i="1"/>
  <c r="V6733" i="1"/>
  <c r="V3274" i="1"/>
  <c r="V5044" i="1"/>
  <c r="V1886" i="1"/>
  <c r="V2848" i="1"/>
  <c r="V1910" i="1"/>
  <c r="V1954" i="1"/>
  <c r="V3905" i="1"/>
  <c r="V645" i="1"/>
  <c r="V1207" i="1"/>
  <c r="V2278" i="1"/>
  <c r="V741" i="1"/>
  <c r="V2774" i="1"/>
  <c r="V3392" i="1"/>
  <c r="V3631" i="1"/>
  <c r="V4098" i="1"/>
  <c r="V4873" i="1"/>
  <c r="V1857" i="1"/>
  <c r="V2850" i="1"/>
  <c r="V4076" i="1"/>
  <c r="V5475" i="1"/>
  <c r="V502" i="1"/>
  <c r="V4063" i="1"/>
  <c r="V3346" i="1"/>
  <c r="V4238" i="1"/>
  <c r="V5721" i="1"/>
  <c r="V1352" i="1"/>
  <c r="V52" i="1"/>
  <c r="V807" i="1"/>
  <c r="V1634" i="1"/>
  <c r="V3332" i="1"/>
  <c r="V4364" i="1"/>
  <c r="V5286" i="1"/>
  <c r="V6187" i="1"/>
  <c r="V6749" i="1"/>
  <c r="V456" i="1"/>
  <c r="V1212" i="1"/>
  <c r="V2172" i="1"/>
  <c r="V3013" i="1"/>
  <c r="V3740" i="1"/>
  <c r="V4440" i="1"/>
  <c r="V4868" i="1"/>
  <c r="V5655" i="1"/>
  <c r="V6230" i="1"/>
  <c r="V6656" i="1"/>
  <c r="V349" i="1"/>
  <c r="V526" i="1"/>
  <c r="V784" i="1"/>
  <c r="V1203" i="1"/>
  <c r="V1674" i="1"/>
  <c r="V2219" i="1"/>
  <c r="V2817" i="1"/>
  <c r="V3112" i="1"/>
  <c r="V3661" i="1"/>
  <c r="V4113" i="1"/>
  <c r="V4321" i="1"/>
  <c r="V4748" i="1"/>
  <c r="V5261" i="1"/>
  <c r="V5746" i="1"/>
  <c r="V5910" i="1"/>
  <c r="V6203" i="1"/>
  <c r="V6755" i="1"/>
  <c r="V442" i="1"/>
  <c r="V3228" i="1"/>
  <c r="V6627" i="1"/>
  <c r="V797" i="1"/>
  <c r="V1116" i="1"/>
  <c r="V1450" i="1"/>
  <c r="V4686" i="1"/>
  <c r="V5355" i="1"/>
  <c r="V5706" i="1"/>
  <c r="V5975" i="1"/>
  <c r="V6048" i="1"/>
  <c r="V5050" i="1"/>
  <c r="V2833" i="1"/>
  <c r="V3356" i="1"/>
  <c r="V1427" i="1"/>
  <c r="V3320" i="1"/>
  <c r="V37" i="1"/>
  <c r="V576" i="1"/>
  <c r="V5653" i="1"/>
  <c r="V2162" i="1"/>
  <c r="V3505" i="1"/>
  <c r="V6533" i="1"/>
  <c r="V1013" i="1"/>
  <c r="V3932" i="1"/>
  <c r="V4819" i="1"/>
  <c r="V126" i="1"/>
  <c r="V2416" i="1"/>
  <c r="V4457" i="1"/>
  <c r="V4715" i="1"/>
  <c r="V5421" i="1"/>
  <c r="V6680" i="1"/>
  <c r="V643" i="1"/>
  <c r="V1940" i="1"/>
  <c r="V4736" i="1"/>
  <c r="V5399" i="1"/>
  <c r="V445" i="1"/>
  <c r="V2050" i="1"/>
  <c r="V3184" i="1"/>
  <c r="V5010" i="1"/>
  <c r="V816" i="1"/>
  <c r="V6269" i="1"/>
  <c r="V6369" i="1"/>
  <c r="V815" i="1"/>
  <c r="V3329" i="1"/>
  <c r="V5708" i="1"/>
  <c r="V986" i="1"/>
  <c r="V2798" i="1"/>
  <c r="V4786" i="1"/>
  <c r="V5985" i="1"/>
  <c r="V804" i="1"/>
  <c r="V1902" i="1"/>
  <c r="V2982" i="1"/>
  <c r="V3211" i="1"/>
  <c r="V3978" i="1"/>
  <c r="V5326" i="1"/>
  <c r="V6236" i="1"/>
  <c r="V1743" i="1"/>
  <c r="V3309" i="1"/>
  <c r="V327" i="1"/>
  <c r="V1245" i="1"/>
  <c r="V2918" i="1"/>
  <c r="V4341" i="1"/>
  <c r="V6092" i="1"/>
  <c r="V6301" i="1"/>
  <c r="V132" i="1"/>
  <c r="V1429" i="1"/>
  <c r="V1532" i="1"/>
  <c r="V2110" i="1"/>
  <c r="V4175" i="1"/>
  <c r="V4670" i="1"/>
  <c r="V5354" i="1"/>
  <c r="V5379" i="1"/>
  <c r="V6254" i="1"/>
  <c r="V598" i="1"/>
  <c r="V1292" i="1"/>
  <c r="V1906" i="1"/>
  <c r="V2696" i="1"/>
  <c r="V3244" i="1"/>
  <c r="V3709" i="1"/>
  <c r="V4661" i="1"/>
  <c r="V5434" i="1"/>
  <c r="V4333" i="1"/>
  <c r="V1781" i="1"/>
  <c r="V2123" i="1"/>
  <c r="V2603" i="1"/>
  <c r="V3327" i="1"/>
  <c r="V3880" i="1"/>
  <c r="V4260" i="1"/>
  <c r="V5037" i="1"/>
  <c r="V2333" i="1"/>
  <c r="V5228" i="1"/>
  <c r="V1055" i="1"/>
  <c r="V2604" i="1"/>
  <c r="V188" i="1"/>
  <c r="V1225" i="1"/>
  <c r="V3916" i="1"/>
  <c r="V6594" i="1"/>
  <c r="V332" i="1"/>
  <c r="V1244" i="1"/>
  <c r="V1822" i="1"/>
  <c r="V2212" i="1"/>
  <c r="V2766" i="1"/>
  <c r="V3471" i="1"/>
  <c r="V3998" i="1"/>
  <c r="V4459" i="1"/>
  <c r="V5347" i="1"/>
  <c r="V5667" i="1"/>
  <c r="V5887" i="1"/>
  <c r="V6741" i="1"/>
  <c r="V2237" i="1"/>
  <c r="V4377" i="1"/>
  <c r="V50" i="1"/>
  <c r="V342" i="1"/>
  <c r="V1668" i="1"/>
  <c r="V4183" i="1"/>
  <c r="V4441" i="1"/>
  <c r="V5048" i="1"/>
  <c r="V179" i="1"/>
  <c r="V407" i="1"/>
  <c r="V1395" i="1"/>
  <c r="V2433" i="1"/>
  <c r="V2668" i="1"/>
  <c r="V3348" i="1"/>
  <c r="V4738" i="1"/>
  <c r="V4945" i="1"/>
  <c r="V5688" i="1"/>
  <c r="V885" i="1"/>
  <c r="V1097" i="1"/>
  <c r="V2426" i="1"/>
  <c r="V5791" i="1"/>
  <c r="V6503" i="1"/>
  <c r="V825" i="1"/>
  <c r="V2085" i="1"/>
  <c r="V3328" i="1"/>
  <c r="V5120" i="1"/>
  <c r="V6602" i="1"/>
  <c r="V1010" i="1"/>
  <c r="V1622" i="1"/>
  <c r="V4558" i="1"/>
  <c r="V5078" i="1"/>
  <c r="V5626" i="1"/>
  <c r="V4927" i="1"/>
  <c r="V5242" i="1"/>
  <c r="V6165" i="1"/>
  <c r="V258" i="1"/>
  <c r="V1218" i="1"/>
  <c r="V1655" i="1"/>
  <c r="V2347" i="1"/>
  <c r="V3174" i="1"/>
  <c r="V3682" i="1"/>
  <c r="V4375" i="1"/>
  <c r="V5342" i="1"/>
  <c r="V1498" i="1"/>
  <c r="V4482" i="1"/>
  <c r="V6076" i="1"/>
  <c r="V1649" i="1"/>
  <c r="V2999" i="1"/>
  <c r="V6310" i="1"/>
  <c r="V795" i="1"/>
  <c r="V3484" i="1"/>
  <c r="V4725" i="1"/>
  <c r="V6528" i="1"/>
  <c r="V2236" i="1"/>
  <c r="V4393" i="1"/>
  <c r="V5200" i="1"/>
  <c r="V6429" i="1"/>
  <c r="V6726" i="1"/>
  <c r="V1489" i="1"/>
  <c r="V3953" i="1"/>
  <c r="V4434" i="1"/>
  <c r="V6689" i="1"/>
  <c r="V1612" i="1"/>
  <c r="V1811" i="1"/>
  <c r="V2627" i="1"/>
  <c r="V4633" i="1"/>
  <c r="V523" i="1"/>
  <c r="V2487" i="1"/>
  <c r="V6623" i="1"/>
  <c r="V2896" i="1"/>
  <c r="V3632" i="1"/>
  <c r="V4101" i="1"/>
  <c r="V4734" i="1"/>
  <c r="V5510" i="1"/>
  <c r="V5982" i="1"/>
  <c r="V474" i="1"/>
  <c r="V1697" i="1"/>
  <c r="V2775" i="1"/>
  <c r="V4799" i="1"/>
  <c r="V6327" i="1"/>
  <c r="V605" i="1"/>
  <c r="V1814" i="1"/>
  <c r="V3655" i="1"/>
  <c r="V4524" i="1"/>
  <c r="V5367" i="1"/>
  <c r="V6578" i="1"/>
  <c r="V618" i="1"/>
  <c r="V1709" i="1"/>
  <c r="V2239" i="1"/>
  <c r="V2736" i="1"/>
  <c r="V2955" i="1"/>
  <c r="V3622" i="1"/>
  <c r="V4456" i="1"/>
  <c r="V4989" i="1"/>
  <c r="V5901" i="1"/>
  <c r="V6714" i="1"/>
  <c r="V1178" i="1"/>
  <c r="V2823" i="1"/>
  <c r="V4698" i="1"/>
  <c r="V6721" i="1"/>
  <c r="V982" i="1"/>
  <c r="V1816" i="1"/>
  <c r="V2477" i="1"/>
  <c r="V4010" i="1"/>
  <c r="V4707" i="1"/>
  <c r="V5502" i="1"/>
  <c r="V5807" i="1"/>
  <c r="V14" i="1"/>
  <c r="V561" i="1"/>
  <c r="V1204" i="1"/>
  <c r="V1325" i="1"/>
  <c r="V1790" i="1"/>
  <c r="V2500" i="1"/>
  <c r="V2598" i="1"/>
  <c r="V2693" i="1"/>
  <c r="V6298" i="1"/>
  <c r="V3406" i="1"/>
  <c r="V2173" i="1"/>
  <c r="V3525" i="1"/>
  <c r="V3662" i="1"/>
  <c r="V4180" i="1"/>
  <c r="V4821" i="1"/>
  <c r="V5988" i="1"/>
  <c r="V6691" i="1"/>
  <c r="V956" i="1"/>
  <c r="V3491" i="1"/>
  <c r="V4519" i="1"/>
  <c r="V6312" i="1"/>
  <c r="V10" i="1"/>
  <c r="V2540" i="1"/>
  <c r="V2869" i="1"/>
  <c r="V3954" i="1"/>
  <c r="V4302" i="1"/>
  <c r="V4878" i="1"/>
  <c r="V5004" i="1"/>
  <c r="V5518" i="1"/>
  <c r="V5964" i="1"/>
  <c r="V6255" i="1"/>
  <c r="V21" i="1"/>
  <c r="V296" i="1"/>
  <c r="V565" i="1"/>
  <c r="V882" i="1"/>
  <c r="V1167" i="1"/>
  <c r="V1357" i="1"/>
  <c r="V1390" i="1"/>
  <c r="V1936" i="1"/>
  <c r="V2113" i="1"/>
  <c r="V2401" i="1"/>
  <c r="V2608" i="1"/>
  <c r="V2851" i="1"/>
  <c r="V3080" i="1"/>
  <c r="V3400" i="1"/>
  <c r="V3532" i="1"/>
  <c r="V3734" i="1"/>
  <c r="V3965" i="1"/>
  <c r="V4396" i="1"/>
  <c r="V4594" i="1"/>
  <c r="V5031" i="1"/>
  <c r="V5226" i="1"/>
  <c r="V5606" i="1"/>
  <c r="V3025" i="1"/>
  <c r="V4117" i="1"/>
  <c r="V578" i="1"/>
  <c r="V2938" i="1"/>
  <c r="V2615" i="1"/>
  <c r="V3698" i="1"/>
  <c r="V5077" i="1"/>
  <c r="V4045" i="1"/>
  <c r="V923" i="1"/>
  <c r="V3137" i="1"/>
  <c r="V6238" i="1"/>
  <c r="V931" i="1"/>
  <c r="V3647" i="1"/>
  <c r="V4" i="1"/>
  <c r="V594" i="1"/>
  <c r="V6071" i="1"/>
  <c r="V3814" i="1"/>
  <c r="V4108" i="1"/>
  <c r="V2895" i="1"/>
  <c r="V3989" i="1"/>
  <c r="V5506" i="1"/>
  <c r="V5830" i="1"/>
  <c r="V1641" i="1"/>
  <c r="V2165" i="1"/>
  <c r="V3247" i="1"/>
  <c r="V3463" i="1"/>
  <c r="V2902" i="1"/>
  <c r="V3058" i="1"/>
  <c r="V3381" i="1"/>
  <c r="V4085" i="1"/>
  <c r="V5140" i="1"/>
  <c r="V5296" i="1"/>
  <c r="V5766" i="1"/>
  <c r="V6331" i="1"/>
  <c r="V1916" i="1"/>
  <c r="V2124" i="1"/>
  <c r="V2986" i="1"/>
  <c r="V4126" i="1"/>
  <c r="V437" i="1"/>
  <c r="V754" i="1"/>
  <c r="V1647" i="1"/>
  <c r="V2046" i="1"/>
  <c r="V3265" i="1"/>
  <c r="V3530" i="1"/>
  <c r="V3393" i="1"/>
  <c r="V4380" i="1"/>
  <c r="V2067" i="1"/>
  <c r="V2505" i="1"/>
  <c r="V4588" i="1"/>
  <c r="V6101" i="1"/>
  <c r="V6712" i="1"/>
  <c r="V4337" i="1"/>
  <c r="V527" i="1"/>
  <c r="V1849" i="1"/>
  <c r="V5055" i="1"/>
  <c r="V4480" i="1"/>
  <c r="V5603" i="1"/>
  <c r="V661" i="1"/>
  <c r="V2273" i="1"/>
  <c r="V3945" i="1"/>
  <c r="V5202" i="1"/>
  <c r="V2450" i="1"/>
  <c r="V3502" i="1"/>
  <c r="V4240" i="1"/>
  <c r="V1908" i="1"/>
  <c r="V6542" i="1"/>
  <c r="V2936" i="1"/>
  <c r="V3385" i="1"/>
  <c r="V4529" i="1"/>
  <c r="V4691" i="1"/>
  <c r="V5215" i="1"/>
  <c r="V5774" i="1"/>
  <c r="V628" i="1"/>
  <c r="V858" i="1"/>
  <c r="V1925" i="1"/>
  <c r="V3027" i="1"/>
  <c r="V5196" i="1"/>
  <c r="V5938" i="1"/>
  <c r="V484" i="1"/>
  <c r="V669" i="1"/>
  <c r="V1681" i="1"/>
  <c r="V2078" i="1"/>
  <c r="V2624" i="1"/>
  <c r="V5203" i="1"/>
  <c r="V1758" i="1"/>
  <c r="V2905" i="1"/>
  <c r="V5747" i="1"/>
  <c r="V496" i="1"/>
  <c r="V6372" i="1"/>
  <c r="V2635" i="1"/>
  <c r="V6423" i="1"/>
  <c r="V3229" i="1"/>
  <c r="V6730" i="1"/>
  <c r="V2551" i="1"/>
  <c r="V6130" i="1"/>
  <c r="V904" i="1"/>
  <c r="V2143" i="1"/>
  <c r="V3063" i="1"/>
  <c r="V6748" i="1"/>
  <c r="V2504" i="1"/>
  <c r="V2043" i="1"/>
  <c r="V4261" i="1"/>
  <c r="V5356" i="1"/>
  <c r="V5868" i="1"/>
  <c r="V2461" i="1"/>
  <c r="V5968" i="1"/>
  <c r="V1518" i="1"/>
  <c r="V1684" i="1"/>
  <c r="V3350" i="1"/>
  <c r="V5601" i="1"/>
  <c r="V1277" i="1"/>
  <c r="V6222" i="1"/>
  <c r="V6300" i="1"/>
  <c r="V6385" i="1"/>
  <c r="V977" i="1"/>
  <c r="V1481" i="1"/>
  <c r="V1441" i="1"/>
  <c r="V2703" i="1"/>
  <c r="V3524" i="1"/>
  <c r="V842" i="1"/>
  <c r="V4835" i="1"/>
  <c r="V5388" i="1"/>
  <c r="V6471" i="1"/>
  <c r="V871" i="1"/>
  <c r="V1087" i="1"/>
  <c r="V2047" i="1"/>
  <c r="V2751" i="1"/>
  <c r="V3783" i="1"/>
  <c r="V4648" i="1"/>
  <c r="V5672" i="1"/>
  <c r="V6133" i="1"/>
  <c r="V246" i="1"/>
  <c r="V985" i="1"/>
  <c r="V1421" i="1"/>
  <c r="V1782" i="1"/>
  <c r="V2244" i="1"/>
  <c r="V2658" i="1"/>
  <c r="V3078" i="1"/>
  <c r="V3615" i="1"/>
  <c r="V4361" i="1"/>
  <c r="V4940" i="1"/>
  <c r="V5415" i="1"/>
  <c r="V5753" i="1"/>
  <c r="V6354" i="1"/>
  <c r="V6642" i="1"/>
  <c r="V620" i="1"/>
  <c r="V1472" i="1"/>
  <c r="V3712" i="1"/>
  <c r="V4788" i="1"/>
  <c r="V5918" i="1"/>
  <c r="V6545" i="1"/>
  <c r="V1059" i="1"/>
  <c r="V2208" i="1"/>
  <c r="V3026" i="1"/>
  <c r="V3593" i="1"/>
  <c r="V4508" i="1"/>
  <c r="V5212" i="1"/>
  <c r="V6151" i="1"/>
  <c r="V6432" i="1"/>
  <c r="V749" i="1"/>
  <c r="V1233" i="1"/>
  <c r="V2948" i="1"/>
  <c r="V3487" i="1"/>
  <c r="V3725" i="1"/>
  <c r="V4882" i="1"/>
  <c r="V5380" i="1"/>
  <c r="V5632" i="1"/>
  <c r="V6174" i="1"/>
  <c r="V352" i="1"/>
  <c r="V1768" i="1"/>
  <c r="V4768" i="1"/>
  <c r="V2727" i="1"/>
  <c r="V680" i="1"/>
  <c r="V1394" i="1"/>
  <c r="V3446" i="1"/>
  <c r="V4069" i="1"/>
  <c r="V5154" i="1"/>
  <c r="V6662" i="1"/>
  <c r="V413" i="1"/>
  <c r="V1326" i="1"/>
  <c r="V2106" i="1"/>
  <c r="V2267" i="1"/>
  <c r="V2872" i="1"/>
  <c r="V4292" i="1"/>
  <c r="V4446" i="1"/>
  <c r="V5277" i="1"/>
  <c r="V6244" i="1"/>
  <c r="V6484" i="1"/>
  <c r="V226" i="1"/>
  <c r="V335" i="1"/>
  <c r="V3131" i="1"/>
  <c r="V4132" i="1"/>
  <c r="V5245" i="1"/>
  <c r="V633" i="1"/>
  <c r="V1214" i="1"/>
  <c r="V2381" i="1"/>
  <c r="V2451" i="1"/>
  <c r="V4241" i="1"/>
  <c r="V4846" i="1"/>
  <c r="V5492" i="1"/>
  <c r="V416" i="1"/>
  <c r="V767" i="1"/>
  <c r="V2024" i="1"/>
  <c r="V2584" i="1"/>
  <c r="V3040" i="1"/>
  <c r="V3683" i="1"/>
  <c r="V4158" i="1"/>
  <c r="V4395" i="1"/>
  <c r="V4988" i="1"/>
  <c r="V5560" i="1"/>
  <c r="V6122" i="1"/>
  <c r="V6468" i="1"/>
  <c r="V449" i="1"/>
  <c r="V1667" i="1"/>
  <c r="V2899" i="1"/>
  <c r="V3588" i="1"/>
  <c r="V5069" i="1"/>
  <c r="V53" i="1"/>
  <c r="V1387" i="1"/>
  <c r="V2096" i="1"/>
  <c r="V2925" i="1"/>
  <c r="V3912" i="1"/>
  <c r="V4492" i="1"/>
  <c r="V5057" i="1"/>
  <c r="V5596" i="1"/>
  <c r="V6201" i="1"/>
  <c r="V274" i="1"/>
  <c r="V845" i="1"/>
  <c r="V1168" i="1"/>
  <c r="V2036" i="1"/>
  <c r="V2701" i="1"/>
  <c r="V2917" i="1"/>
  <c r="V3433" i="1"/>
  <c r="V4048" i="1"/>
  <c r="V4903" i="1"/>
  <c r="V5142" i="1"/>
  <c r="V5812" i="1"/>
  <c r="V6442" i="1"/>
  <c r="V186" i="1"/>
  <c r="V881" i="1"/>
  <c r="V2184" i="1"/>
  <c r="V3408" i="1"/>
  <c r="V5001" i="1"/>
  <c r="V503" i="1"/>
  <c r="V3358" i="1"/>
  <c r="V3862" i="1"/>
  <c r="V732" i="1"/>
  <c r="V3022" i="1"/>
  <c r="V5371" i="1"/>
  <c r="V2152" i="1"/>
  <c r="V6218" i="1"/>
  <c r="V718" i="1"/>
  <c r="V4872" i="1"/>
  <c r="V892" i="1"/>
  <c r="V2308" i="1"/>
  <c r="V4547" i="1"/>
  <c r="V6567" i="1"/>
  <c r="V5595" i="1"/>
  <c r="V1660" i="1"/>
  <c r="V2216" i="1"/>
  <c r="V3702" i="1"/>
  <c r="V317" i="1"/>
  <c r="V476" i="1"/>
  <c r="V1662" i="1"/>
  <c r="V1994" i="1"/>
  <c r="V2563" i="1"/>
  <c r="V2858" i="1"/>
  <c r="V3767" i="1"/>
  <c r="V4234" i="1"/>
  <c r="V5047" i="1"/>
  <c r="V5316" i="1"/>
  <c r="V955" i="1"/>
  <c r="V1888" i="1"/>
  <c r="V1946" i="1"/>
  <c r="V4032" i="1"/>
  <c r="V4420" i="1"/>
  <c r="V5614" i="1"/>
  <c r="V391" i="1"/>
  <c r="V703" i="1"/>
  <c r="V1407" i="1"/>
  <c r="V2248" i="1"/>
  <c r="V2533" i="1"/>
  <c r="V2996" i="1"/>
  <c r="V3037" i="1"/>
  <c r="V4410" i="1"/>
  <c r="V4747" i="1"/>
  <c r="V5387" i="1"/>
  <c r="V6440" i="1"/>
  <c r="V6742" i="1"/>
  <c r="V579" i="1"/>
  <c r="V3867" i="1"/>
  <c r="V4454" i="1"/>
  <c r="V5854" i="1"/>
  <c r="V1108" i="1"/>
  <c r="V1897" i="1"/>
  <c r="V2960" i="1"/>
  <c r="V4699" i="1"/>
  <c r="V5110" i="1"/>
  <c r="V5932" i="1"/>
  <c r="V762" i="1"/>
  <c r="V1070" i="1"/>
  <c r="V1382" i="1"/>
  <c r="V1682" i="1"/>
  <c r="V2800" i="1"/>
  <c r="V3347" i="1"/>
  <c r="V4346" i="1"/>
  <c r="V4767" i="1"/>
  <c r="V5180" i="1"/>
  <c r="V6445" i="1"/>
  <c r="V49" i="1"/>
  <c r="V864" i="1"/>
  <c r="V3576" i="1"/>
  <c r="V4286" i="1"/>
  <c r="V5734" i="1"/>
  <c r="V2018" i="1"/>
  <c r="V2578" i="1"/>
  <c r="V3357" i="1"/>
  <c r="V5019" i="1"/>
  <c r="V5236" i="1"/>
  <c r="V5857" i="1"/>
  <c r="V660" i="1"/>
  <c r="V1005" i="1"/>
  <c r="V1373" i="1"/>
  <c r="V2888" i="1"/>
  <c r="V3253" i="1"/>
  <c r="V3659" i="1"/>
  <c r="V5126" i="1"/>
  <c r="V5363" i="1"/>
  <c r="V5976" i="1"/>
  <c r="V782" i="1"/>
  <c r="V1480" i="1"/>
  <c r="V2619" i="1"/>
  <c r="V5665" i="1"/>
  <c r="V6057" i="1"/>
  <c r="V1369" i="1"/>
  <c r="V2369" i="1"/>
  <c r="V4468" i="1"/>
  <c r="V3404" i="1"/>
  <c r="V5191" i="1"/>
  <c r="V159" i="1"/>
  <c r="V2753" i="1"/>
  <c r="V5514" i="1"/>
  <c r="V4630" i="1"/>
  <c r="V5609" i="1"/>
  <c r="V5703" i="1"/>
  <c r="V288" i="1"/>
  <c r="V922" i="1"/>
  <c r="V1329" i="1"/>
  <c r="V2226" i="1"/>
  <c r="V3369" i="1"/>
  <c r="V4792" i="1"/>
  <c r="V5610" i="1"/>
  <c r="V6580" i="1"/>
  <c r="V896" i="1"/>
  <c r="V1017" i="1"/>
  <c r="V2466" i="1"/>
  <c r="V3762" i="1"/>
  <c r="V4223" i="1"/>
  <c r="V4534" i="1"/>
  <c r="V4802" i="1"/>
  <c r="V6098" i="1"/>
  <c r="V3478" i="1"/>
  <c r="V5263" i="1"/>
  <c r="V4608" i="1"/>
  <c r="V1497" i="1"/>
  <c r="V3527" i="1"/>
  <c r="V5082" i="1"/>
  <c r="V5987" i="1"/>
  <c r="V6318" i="1"/>
  <c r="V177" i="1"/>
  <c r="V528" i="1"/>
  <c r="V693" i="1"/>
  <c r="V1464" i="1"/>
  <c r="V1615" i="1"/>
  <c r="V1898" i="1"/>
  <c r="V2358" i="1"/>
  <c r="V2669" i="1"/>
  <c r="V2964" i="1"/>
  <c r="V3557" i="1"/>
  <c r="V3664" i="1"/>
  <c r="V3770" i="1"/>
  <c r="V4139" i="1"/>
  <c r="V4700" i="1"/>
  <c r="V5009" i="1"/>
  <c r="V5299" i="1"/>
  <c r="V5912" i="1"/>
  <c r="V6211" i="1"/>
  <c r="V6506" i="1"/>
  <c r="V794" i="1"/>
  <c r="V1513" i="1"/>
  <c r="V1952" i="1"/>
  <c r="V3459" i="1"/>
  <c r="V4002" i="1"/>
  <c r="V4505" i="1"/>
  <c r="V5548" i="1"/>
  <c r="V5615" i="1"/>
  <c r="V2728" i="1"/>
  <c r="V3617" i="1"/>
  <c r="V4510" i="1"/>
  <c r="V6196" i="1"/>
  <c r="V105" i="1"/>
  <c r="V777" i="1"/>
  <c r="V1154" i="1"/>
  <c r="V1461" i="1"/>
  <c r="V1515" i="1"/>
  <c r="V1578" i="1"/>
  <c r="V2089" i="1"/>
  <c r="V2691" i="1"/>
  <c r="V3549" i="1"/>
  <c r="V5313" i="1"/>
  <c r="V5870" i="1"/>
  <c r="V1929" i="1"/>
  <c r="V2784" i="1"/>
  <c r="V2118" i="1"/>
  <c r="V1871" i="1"/>
  <c r="V917" i="1"/>
  <c r="V3057" i="1"/>
  <c r="V3816" i="1"/>
  <c r="V5488" i="1"/>
  <c r="V5714" i="1"/>
  <c r="V6184" i="1"/>
  <c r="V215" i="1"/>
  <c r="V1417" i="1"/>
  <c r="V3254" i="1"/>
  <c r="V4070" i="1"/>
  <c r="V4848" i="1"/>
  <c r="V4966" i="1"/>
  <c r="V6480" i="1"/>
  <c r="V375" i="1"/>
  <c r="V925" i="1"/>
  <c r="V1085" i="1"/>
  <c r="V1364" i="1"/>
  <c r="V1752" i="1"/>
  <c r="V2846" i="1"/>
  <c r="V761" i="1"/>
  <c r="V3852" i="1"/>
  <c r="V5041" i="1"/>
  <c r="V4257" i="1"/>
  <c r="V607" i="1"/>
  <c r="V3442" i="1"/>
  <c r="V1766" i="1"/>
  <c r="V2116" i="1"/>
  <c r="V2387" i="1"/>
  <c r="V5302" i="1"/>
  <c r="V4840" i="1"/>
  <c r="V3354" i="1"/>
  <c r="V3754" i="1"/>
  <c r="V3799" i="1"/>
  <c r="V3866" i="1"/>
  <c r="V4531" i="1"/>
  <c r="V6049" i="1"/>
  <c r="V2592" i="1"/>
  <c r="V5522" i="1"/>
  <c r="V6406" i="1"/>
  <c r="V325" i="1"/>
  <c r="V836" i="1"/>
  <c r="V1162" i="1"/>
  <c r="V3651" i="1"/>
  <c r="V4597" i="1"/>
  <c r="V4763" i="1"/>
  <c r="V5880" i="1"/>
  <c r="V1531" i="1"/>
  <c r="V2275" i="1"/>
  <c r="V1492" i="1"/>
  <c r="V3846" i="1"/>
  <c r="V3007" i="1"/>
  <c r="V2108" i="1"/>
  <c r="V3472" i="1"/>
  <c r="V4322" i="1"/>
  <c r="V4394" i="1"/>
  <c r="V4833" i="1"/>
  <c r="V4883" i="1"/>
  <c r="V4983" i="1"/>
  <c r="V6220" i="1"/>
  <c r="V310" i="1"/>
  <c r="V1872" i="1"/>
  <c r="V3409" i="1"/>
  <c r="V271" i="1"/>
  <c r="V463" i="1"/>
  <c r="V1666" i="1"/>
  <c r="V3370" i="1"/>
  <c r="V3414" i="1"/>
  <c r="V4225" i="1"/>
  <c r="V2289" i="1"/>
  <c r="V4153" i="1"/>
  <c r="V4499" i="1"/>
  <c r="V5206" i="1"/>
  <c r="V247" i="1"/>
  <c r="V1041" i="1"/>
  <c r="V3868" i="1"/>
  <c r="V4696" i="1"/>
  <c r="V5550" i="1"/>
  <c r="V1143" i="1"/>
  <c r="V1853" i="1"/>
  <c r="V4628" i="1"/>
  <c r="V5616" i="1"/>
  <c r="V745" i="1"/>
  <c r="V2631" i="1"/>
  <c r="V4049" i="1"/>
  <c r="V788" i="1"/>
  <c r="V6441" i="1"/>
  <c r="V4587" i="1"/>
  <c r="V4682" i="1"/>
  <c r="V5794" i="1"/>
  <c r="V5955" i="1"/>
  <c r="V2444" i="1"/>
  <c r="V2499" i="1"/>
  <c r="V5091" i="1"/>
  <c r="V5223" i="1"/>
  <c r="V1586" i="1"/>
  <c r="V1700" i="1"/>
  <c r="V2661" i="1"/>
  <c r="V3056" i="1"/>
  <c r="V3665" i="1"/>
  <c r="V4550" i="1"/>
  <c r="V6135" i="1"/>
  <c r="V6747" i="1"/>
  <c r="V3014" i="1"/>
  <c r="V4210" i="1"/>
  <c r="V4582" i="1"/>
  <c r="V2859" i="1"/>
  <c r="V3583" i="1"/>
  <c r="V3913" i="1"/>
  <c r="V4425" i="1"/>
  <c r="V4925" i="1"/>
  <c r="V6335" i="1"/>
  <c r="V4533" i="1"/>
  <c r="V3495" i="1"/>
  <c r="V3594" i="1"/>
  <c r="V3950" i="1"/>
  <c r="V4135" i="1"/>
  <c r="V4750" i="1"/>
  <c r="V5895" i="1"/>
  <c r="V6650" i="1"/>
  <c r="V1520" i="1"/>
  <c r="V1232" i="1"/>
  <c r="V3743" i="1"/>
  <c r="V5817" i="1"/>
  <c r="V6728" i="1"/>
  <c r="V615" i="1"/>
  <c r="V1008" i="1"/>
  <c r="V1363" i="1"/>
  <c r="V3193" i="1"/>
  <c r="V458" i="1"/>
  <c r="V4689" i="1"/>
  <c r="V2153" i="1"/>
  <c r="V3503" i="1"/>
  <c r="V4543" i="1"/>
  <c r="V4662" i="1"/>
  <c r="V2392" i="1"/>
  <c r="V2626" i="1"/>
  <c r="V3944" i="1"/>
  <c r="V4134" i="1"/>
  <c r="V5343" i="1"/>
  <c r="V5564" i="1"/>
  <c r="V6363" i="1"/>
  <c r="V2177" i="1"/>
  <c r="V2198" i="1"/>
  <c r="V2928" i="1"/>
  <c r="V4795" i="1"/>
  <c r="V5018" i="1"/>
  <c r="V1754" i="1"/>
  <c r="V1838" i="1"/>
  <c r="V2908" i="1"/>
  <c r="V3336" i="1"/>
  <c r="V4107" i="1"/>
  <c r="V4526" i="1"/>
  <c r="V4837" i="1"/>
  <c r="V6488" i="1"/>
  <c r="V1577" i="1"/>
  <c r="V3936" i="1"/>
  <c r="V4504" i="1"/>
  <c r="V5465" i="1"/>
  <c r="V2368" i="1"/>
  <c r="V3435" i="1"/>
  <c r="V3990" i="1"/>
  <c r="V232" i="1"/>
  <c r="V1760" i="1"/>
  <c r="V259" i="1"/>
  <c r="V4327" i="1"/>
  <c r="V4549" i="1"/>
  <c r="V6358" i="1"/>
  <c r="V1833" i="1"/>
  <c r="V2384" i="1"/>
  <c r="V4144" i="1"/>
  <c r="V4368" i="1"/>
  <c r="V5436" i="1"/>
  <c r="V1063" i="1"/>
  <c r="V1276" i="1"/>
  <c r="V1544" i="1"/>
  <c r="V2785" i="1"/>
  <c r="V2889" i="1"/>
  <c r="V3427" i="1"/>
  <c r="V5591" i="1"/>
  <c r="V5770" i="1"/>
  <c r="V5788" i="1"/>
  <c r="V6037" i="1"/>
  <c r="V6566" i="1"/>
  <c r="V706" i="1"/>
  <c r="V4004" i="1"/>
  <c r="V4320" i="1"/>
  <c r="V5501" i="1"/>
  <c r="V6114" i="1"/>
  <c r="V6581" i="1"/>
  <c r="V1182" i="1"/>
  <c r="V2204" i="1"/>
  <c r="V2695" i="1"/>
  <c r="V3389" i="1"/>
  <c r="V4941" i="1"/>
  <c r="V5663" i="1"/>
  <c r="V5729" i="1"/>
  <c r="V787" i="1"/>
  <c r="V1883" i="1"/>
  <c r="V2472" i="1"/>
  <c r="V6271" i="1"/>
  <c r="V3029" i="1"/>
  <c r="V1687" i="1"/>
  <c r="V166" i="1"/>
  <c r="V2353" i="1"/>
  <c r="V6172" i="1"/>
  <c r="V172" i="1"/>
  <c r="V593" i="1"/>
  <c r="V2915" i="1"/>
  <c r="V3145" i="1"/>
  <c r="V4023" i="1"/>
  <c r="V402" i="1"/>
  <c r="V623" i="1"/>
  <c r="V927" i="1"/>
  <c r="V1683" i="1"/>
  <c r="V3191" i="1"/>
  <c r="V3608" i="1"/>
  <c r="V3991" i="1"/>
  <c r="V4244" i="1"/>
  <c r="V5996" i="1"/>
  <c r="V6086" i="1"/>
  <c r="V6399" i="1"/>
  <c r="V134" i="1"/>
  <c r="V1458" i="1"/>
  <c r="V2743" i="1"/>
  <c r="V3042" i="1"/>
  <c r="V5290" i="1"/>
  <c r="V6439" i="1"/>
  <c r="V228" i="1"/>
  <c r="V1661" i="1"/>
  <c r="V2805" i="1"/>
  <c r="V3961" i="1"/>
  <c r="V4131" i="1"/>
  <c r="V4334" i="1"/>
  <c r="V4969" i="1"/>
  <c r="V5065" i="1"/>
  <c r="V239" i="1"/>
  <c r="V390" i="1"/>
  <c r="V811" i="1"/>
  <c r="V975" i="1"/>
  <c r="V1231" i="1"/>
  <c r="V1571" i="1"/>
  <c r="V2454" i="1"/>
  <c r="V3205" i="1"/>
  <c r="V4439" i="1"/>
  <c r="V4852" i="1"/>
  <c r="V5474" i="1"/>
  <c r="V1197" i="1"/>
  <c r="V1385" i="1"/>
  <c r="V1688" i="1"/>
  <c r="V2838" i="1"/>
  <c r="V4488" i="1"/>
  <c r="V4923" i="1"/>
  <c r="V6595" i="1"/>
  <c r="V43" i="1"/>
  <c r="V319" i="1"/>
  <c r="V2413" i="1"/>
  <c r="V3252" i="1"/>
  <c r="V3925" i="1"/>
  <c r="V4182" i="1"/>
  <c r="V4245" i="1"/>
  <c r="V4733" i="1"/>
  <c r="V6239" i="1"/>
  <c r="V2276" i="1"/>
  <c r="V2933" i="1"/>
  <c r="V3634" i="1"/>
  <c r="V60" i="1"/>
  <c r="V230" i="1"/>
  <c r="V586" i="1"/>
  <c r="V1739" i="1"/>
  <c r="V4397" i="1"/>
  <c r="V6232" i="1"/>
  <c r="V240" i="1"/>
  <c r="V302" i="1"/>
  <c r="V1301" i="1"/>
  <c r="V6370" i="1"/>
  <c r="V6718" i="1"/>
  <c r="V2926" i="1"/>
  <c r="V4483" i="1"/>
  <c r="V1290" i="1"/>
  <c r="V3300" i="1"/>
  <c r="V4625" i="1"/>
  <c r="V574" i="1"/>
  <c r="V1904" i="1"/>
  <c r="V3973" i="1"/>
  <c r="V4382" i="1"/>
  <c r="V869" i="1"/>
  <c r="V1313" i="1"/>
  <c r="V2974" i="1"/>
  <c r="V3470" i="1"/>
  <c r="V5630" i="1"/>
  <c r="V5866" i="1"/>
  <c r="V6649" i="1"/>
  <c r="V928" i="1"/>
  <c r="V3165" i="1"/>
  <c r="V3656" i="1"/>
  <c r="V5707" i="1"/>
  <c r="V5865" i="1"/>
  <c r="V6355" i="1"/>
  <c r="V1893" i="1"/>
  <c r="V3179" i="1"/>
  <c r="V3546" i="1"/>
  <c r="V4307" i="1"/>
  <c r="V4623" i="1"/>
  <c r="V5185" i="1"/>
  <c r="V5281" i="1"/>
  <c r="V414" i="1"/>
  <c r="V1210" i="1"/>
  <c r="V1521" i="1"/>
  <c r="V1648" i="1"/>
  <c r="V3997" i="1"/>
  <c r="V4209" i="1"/>
  <c r="V4172" i="1"/>
  <c r="V5080" i="1"/>
  <c r="V5272" i="1"/>
  <c r="V2360" i="1"/>
  <c r="V2990" i="1"/>
  <c r="V3069" i="1"/>
  <c r="V4820" i="1"/>
  <c r="V5060" i="1"/>
  <c r="V5532" i="1"/>
  <c r="V5683" i="1"/>
  <c r="V697" i="1"/>
  <c r="V1239" i="1"/>
  <c r="V1950" i="1"/>
  <c r="V2082" i="1"/>
  <c r="V6159" i="1"/>
  <c r="V399" i="1"/>
  <c r="V666" i="1"/>
  <c r="V1138" i="1"/>
  <c r="V3630" i="1"/>
  <c r="V4265" i="1"/>
  <c r="V5440" i="1"/>
  <c r="V54" i="1"/>
  <c r="V1177" i="1"/>
  <c r="V1769" i="1"/>
  <c r="V2271" i="1"/>
  <c r="V3066" i="1"/>
  <c r="V4151" i="1"/>
  <c r="V4571" i="1"/>
  <c r="V5209" i="1"/>
  <c r="V6634" i="1"/>
  <c r="V499" i="1"/>
  <c r="V1721" i="1"/>
  <c r="V4912" i="1"/>
  <c r="V5619" i="1"/>
  <c r="V6020" i="1"/>
  <c r="V2272" i="1"/>
  <c r="V2176" i="1"/>
  <c r="V3060" i="1"/>
  <c r="V3467" i="1"/>
  <c r="V3855" i="1"/>
  <c r="V4015" i="1"/>
  <c r="V5778" i="1"/>
  <c r="V6191" i="1"/>
  <c r="V6294" i="1"/>
  <c r="V2376" i="1"/>
  <c r="V3548" i="1"/>
  <c r="V4110" i="1"/>
  <c r="V1981" i="1"/>
  <c r="V3219" i="1"/>
  <c r="V3565" i="1"/>
  <c r="V4486" i="1"/>
  <c r="V4718" i="1"/>
  <c r="V4926" i="1"/>
  <c r="V190" i="1"/>
  <c r="V471" i="1"/>
  <c r="V1308" i="1"/>
  <c r="V1502" i="1"/>
  <c r="V2425" i="1"/>
  <c r="V3934" i="1"/>
  <c r="V4853" i="1"/>
  <c r="V5329" i="1"/>
  <c r="V6241" i="1"/>
  <c r="V1275" i="1"/>
  <c r="V6046" i="1"/>
  <c r="V1151" i="1"/>
  <c r="V2354" i="1"/>
  <c r="V2731" i="1"/>
  <c r="V2726" i="1"/>
  <c r="V3473" i="1"/>
  <c r="V3539" i="1"/>
  <c r="V5105" i="1"/>
  <c r="V5304" i="1"/>
  <c r="V5845" i="1"/>
  <c r="V5925" i="1"/>
  <c r="V1343" i="1"/>
  <c r="V1848" i="1"/>
  <c r="V2382" i="1"/>
  <c r="V2527" i="1"/>
  <c r="V6504" i="1"/>
  <c r="V1673" i="1"/>
  <c r="V1734" i="1"/>
  <c r="V2956" i="1"/>
  <c r="V4562" i="1"/>
  <c r="V4962" i="1"/>
  <c r="V6450" i="1"/>
  <c r="V491" i="1"/>
  <c r="V915" i="1"/>
  <c r="V1528" i="1"/>
  <c r="V3399" i="1"/>
  <c r="V4537" i="1"/>
  <c r="V5359" i="1"/>
  <c r="V370" i="1"/>
  <c r="V5943" i="1"/>
  <c r="V6227" i="1"/>
  <c r="V6402" i="1"/>
  <c r="V3221" i="1"/>
  <c r="V1963" i="1"/>
  <c r="V2730" i="1"/>
  <c r="V2813" i="1"/>
  <c r="V4305" i="1"/>
  <c r="V5162" i="1"/>
  <c r="V5252" i="1"/>
  <c r="V153" i="1"/>
  <c r="V1354" i="1"/>
  <c r="V1761" i="1"/>
  <c r="V5353" i="1"/>
  <c r="V6734" i="1"/>
  <c r="V282" i="1"/>
  <c r="V979" i="1"/>
  <c r="V1486" i="1"/>
  <c r="V1935" i="1"/>
  <c r="V3782" i="1"/>
  <c r="V4663" i="1"/>
  <c r="V4965" i="1"/>
  <c r="V6593" i="1"/>
  <c r="V636" i="1"/>
  <c r="V970" i="1"/>
  <c r="V2810" i="1"/>
  <c r="V3401" i="1"/>
  <c r="V3981" i="1"/>
  <c r="V4844" i="1"/>
  <c r="V5402" i="1"/>
  <c r="V6315" i="1"/>
  <c r="V1131" i="1"/>
  <c r="V2338" i="1"/>
  <c r="V4051" i="1"/>
  <c r="V4741" i="1"/>
  <c r="V1583" i="1"/>
  <c r="V2739" i="1"/>
  <c r="V4312" i="1"/>
  <c r="V682" i="1"/>
  <c r="V1430" i="1"/>
  <c r="V2065" i="1"/>
  <c r="V2981" i="1"/>
  <c r="V3652" i="1"/>
  <c r="V3697" i="1"/>
  <c r="V5423" i="1"/>
  <c r="V6108" i="1"/>
  <c r="V6144" i="1"/>
  <c r="V1876" i="1"/>
  <c r="V2891" i="1"/>
  <c r="V3149" i="1"/>
  <c r="V356" i="1"/>
  <c r="V878" i="1"/>
  <c r="V1110" i="1"/>
  <c r="V1166" i="1"/>
  <c r="V1336" i="1"/>
  <c r="V4213" i="1"/>
  <c r="V583" i="1"/>
  <c r="V2037" i="1"/>
  <c r="V2980" i="1"/>
  <c r="V3701" i="1"/>
  <c r="V4658" i="1"/>
  <c r="V5053" i="1"/>
  <c r="V5677" i="1"/>
  <c r="V743" i="1"/>
  <c r="V4742" i="1"/>
  <c r="V3126" i="1"/>
  <c r="V4298" i="1"/>
  <c r="V4407" i="1"/>
  <c r="V4980" i="1"/>
  <c r="V5085" i="1"/>
  <c r="V5169" i="1"/>
  <c r="V6483" i="1"/>
  <c r="V929" i="1"/>
  <c r="V2750" i="1"/>
  <c r="V3716" i="1"/>
  <c r="V4044" i="1"/>
  <c r="V4329" i="1"/>
  <c r="V4522" i="1"/>
  <c r="V4885" i="1"/>
  <c r="V5160" i="1"/>
  <c r="V5607" i="1"/>
  <c r="V2555" i="1"/>
  <c r="V2935" i="1"/>
  <c r="V3819" i="1"/>
  <c r="V4762" i="1"/>
  <c r="V5205" i="1"/>
  <c r="V6099" i="1"/>
  <c r="V6495" i="1"/>
  <c r="V542" i="1"/>
  <c r="V2330" i="1"/>
  <c r="V6070" i="1"/>
  <c r="V3010" i="1"/>
  <c r="V5148" i="1"/>
  <c r="V513" i="1"/>
  <c r="V279" i="1"/>
  <c r="V367" i="1"/>
  <c r="V1034" i="1"/>
  <c r="V1132" i="1"/>
  <c r="V1176" i="1"/>
  <c r="V3674" i="1"/>
  <c r="V3834" i="1"/>
  <c r="V4515" i="1"/>
  <c r="V5197" i="1"/>
  <c r="V5377" i="1"/>
  <c r="V5472" i="1"/>
  <c r="V6458" i="1"/>
  <c r="V6350" i="1"/>
  <c r="V170" i="1"/>
  <c r="V2898" i="1"/>
  <c r="V3230" i="1"/>
  <c r="V3821" i="1"/>
  <c r="V4713" i="1"/>
  <c r="V5416" i="1"/>
  <c r="V5507" i="1"/>
  <c r="V6603" i="1"/>
  <c r="V119" i="1"/>
  <c r="V1783" i="1"/>
  <c r="V2398" i="1"/>
  <c r="V3114" i="1"/>
  <c r="V4279" i="1"/>
  <c r="V4544" i="1"/>
  <c r="V662" i="1"/>
  <c r="V799" i="1"/>
  <c r="V3556" i="1"/>
  <c r="V3873" i="1"/>
  <c r="V5540" i="1"/>
  <c r="V5573" i="1"/>
  <c r="V5637" i="1"/>
  <c r="V6264" i="1"/>
  <c r="V2375" i="1"/>
  <c r="V2544" i="1"/>
  <c r="V4723" i="1"/>
  <c r="V61" i="1"/>
  <c r="V846" i="1"/>
  <c r="V1412" i="1"/>
  <c r="V2518" i="1"/>
  <c r="V3893" i="1"/>
  <c r="V4740" i="1"/>
  <c r="V4904" i="1"/>
  <c r="V5535" i="1"/>
  <c r="V6342" i="1"/>
  <c r="V434" i="1"/>
  <c r="V1401" i="1"/>
  <c r="V3039" i="1"/>
  <c r="V6260" i="1"/>
  <c r="V6447" i="1"/>
  <c r="V249" i="1"/>
  <c r="V253" i="1"/>
  <c r="V821" i="1"/>
  <c r="V3334" i="1"/>
  <c r="V4041" i="1"/>
  <c r="V6548" i="1"/>
  <c r="V2383" i="1"/>
  <c r="V2847" i="1"/>
  <c r="V4506" i="1"/>
  <c r="V1133" i="1"/>
  <c r="V1253" i="1"/>
  <c r="V3148" i="1"/>
  <c r="V3352" i="1"/>
  <c r="V5233" i="1"/>
  <c r="V5258" i="1"/>
  <c r="V6729" i="1"/>
  <c r="V9" i="1"/>
  <c r="V648" i="1"/>
  <c r="V672" i="1"/>
  <c r="V1060" i="1"/>
  <c r="V1558" i="1"/>
  <c r="V1620" i="1"/>
  <c r="V4832" i="1"/>
  <c r="V4974" i="1"/>
  <c r="V5888" i="1"/>
  <c r="V6336" i="1"/>
  <c r="V5575" i="1"/>
  <c r="V6577" i="1"/>
  <c r="V289" i="1"/>
  <c r="V4652" i="1"/>
  <c r="V1731" i="1"/>
  <c r="V5150" i="1"/>
  <c r="V1588" i="1"/>
  <c r="V3443" i="1"/>
  <c r="V5792" i="1"/>
  <c r="V2733" i="1"/>
  <c r="V932" i="1"/>
  <c r="V3686" i="1"/>
  <c r="V6702" i="1"/>
  <c r="V1676" i="1"/>
  <c r="V135" i="1"/>
  <c r="V1579" i="1"/>
  <c r="V2924" i="1"/>
  <c r="V3920" i="1"/>
  <c r="V5994" i="1"/>
  <c r="V536" i="1"/>
  <c r="V1289" i="1"/>
  <c r="V1891" i="1"/>
  <c r="V3170" i="1"/>
  <c r="V3779" i="1"/>
  <c r="V4553" i="1"/>
  <c r="V5214" i="1"/>
  <c r="V6068" i="1"/>
  <c r="V15" i="1"/>
  <c r="V564" i="1"/>
  <c r="V1386" i="1"/>
  <c r="V1885" i="1"/>
  <c r="V2296" i="1"/>
  <c r="V261" i="1"/>
  <c r="V1638" i="1"/>
  <c r="V2947" i="1"/>
  <c r="V3930" i="1"/>
  <c r="V6024" i="1"/>
  <c r="V721" i="1"/>
  <c r="V1296" i="1"/>
  <c r="V1974" i="1"/>
  <c r="V3198" i="1"/>
  <c r="V3780" i="1"/>
  <c r="V621" i="1"/>
  <c r="V5310" i="1"/>
  <c r="V2035" i="1"/>
  <c r="V5725" i="1"/>
  <c r="V1778" i="1"/>
  <c r="V3729" i="1"/>
  <c r="V6074" i="1"/>
  <c r="V3086" i="1"/>
  <c r="V1147" i="1"/>
  <c r="V4235" i="1"/>
  <c r="V5656" i="1"/>
  <c r="V2214" i="1"/>
  <c r="V33" i="1"/>
  <c r="V4080" i="1"/>
  <c r="V165" i="1"/>
  <c r="V2423" i="1"/>
  <c r="V4735" i="1"/>
  <c r="V790" i="1"/>
  <c r="V5525" i="1"/>
  <c r="V2058" i="1"/>
  <c r="V5092" i="1"/>
  <c r="V894" i="1"/>
  <c r="V6075" i="1"/>
  <c r="V1192" i="1"/>
  <c r="V5858" i="1"/>
  <c r="V2985" i="1"/>
  <c r="V6248" i="1"/>
  <c r="V1965" i="1"/>
  <c r="V4141" i="1"/>
  <c r="V6309" i="1"/>
  <c r="V3924" i="1"/>
  <c r="V1564" i="1"/>
  <c r="V4443" i="1"/>
  <c r="V287" i="1"/>
  <c r="V2293" i="1"/>
  <c r="V2589" i="1"/>
  <c r="V2709" i="1"/>
  <c r="V2885" i="1"/>
  <c r="V3109" i="1"/>
  <c r="V3314" i="1"/>
  <c r="V3628" i="1"/>
  <c r="V3840" i="1"/>
  <c r="V4204" i="1"/>
  <c r="V4411" i="1"/>
  <c r="V4845" i="1"/>
  <c r="V5132" i="1"/>
  <c r="V5386" i="1"/>
  <c r="V5611" i="1"/>
  <c r="V5906" i="1"/>
  <c r="V6182" i="1"/>
  <c r="V6673" i="1"/>
  <c r="V614" i="1"/>
  <c r="V987" i="1"/>
  <c r="V1837" i="1"/>
  <c r="V2326" i="1"/>
  <c r="V2809" i="1"/>
  <c r="V3374" i="1"/>
  <c r="V3841" i="1"/>
  <c r="V4616" i="1"/>
  <c r="V5184" i="1"/>
  <c r="V5889" i="1"/>
  <c r="V6111" i="1"/>
  <c r="V32" i="1"/>
  <c r="V426" i="1"/>
  <c r="V688" i="1"/>
  <c r="V897" i="1"/>
  <c r="V1269" i="1"/>
  <c r="V1619" i="1"/>
  <c r="V2147" i="1"/>
  <c r="V2528" i="1"/>
  <c r="V2845" i="1"/>
  <c r="V3067" i="1"/>
  <c r="V3540" i="1"/>
  <c r="V3836" i="1"/>
  <c r="V4697" i="1"/>
  <c r="V5476" i="1"/>
  <c r="V6243" i="1"/>
  <c r="V203" i="1"/>
  <c r="V802" i="1"/>
  <c r="V1334" i="1"/>
  <c r="V1874" i="1"/>
  <c r="V2345" i="1"/>
  <c r="V2793" i="1"/>
  <c r="V3322" i="1"/>
  <c r="V3704" i="1"/>
  <c r="V4316" i="1"/>
  <c r="V4922" i="1"/>
  <c r="V5491" i="1"/>
  <c r="V6035" i="1"/>
  <c r="V6625" i="1"/>
  <c r="V1067" i="1"/>
  <c r="V2521" i="1"/>
  <c r="V3514" i="1"/>
  <c r="V604" i="1"/>
  <c r="V5856" i="1"/>
  <c r="V2994" i="1"/>
  <c r="V5971" i="1"/>
  <c r="V3405" i="1"/>
  <c r="V6653" i="1"/>
  <c r="V2104" i="1"/>
  <c r="V4195" i="1"/>
  <c r="V6206" i="1"/>
  <c r="V3113" i="1"/>
  <c r="V563" i="1"/>
  <c r="V4155" i="1"/>
  <c r="V415" i="1"/>
  <c r="V2491" i="1"/>
  <c r="V6044" i="1"/>
  <c r="V1714" i="1"/>
  <c r="V3493" i="1"/>
  <c r="V5625" i="1"/>
  <c r="V1426" i="1"/>
  <c r="V6253" i="1"/>
  <c r="V3344" i="1"/>
  <c r="V6387" i="1"/>
  <c r="V498" i="1"/>
  <c r="V1398" i="1"/>
  <c r="V5172" i="1"/>
  <c r="V1328" i="1"/>
  <c r="V2887" i="1"/>
  <c r="V5288" i="1"/>
  <c r="V479" i="1"/>
  <c r="V5265" i="1"/>
  <c r="V2591" i="1"/>
  <c r="V5581" i="1"/>
  <c r="V2705" i="1"/>
  <c r="V3107" i="1"/>
  <c r="V6401" i="1"/>
  <c r="V1907" i="1"/>
  <c r="V3977" i="1"/>
  <c r="V5930" i="1"/>
  <c r="V1882" i="1"/>
  <c r="V148" i="1"/>
  <c r="V3748" i="1"/>
  <c r="V30" i="1"/>
  <c r="V1625" i="1"/>
  <c r="V3460" i="1"/>
  <c r="V3892" i="1"/>
  <c r="V5282" i="1"/>
  <c r="V1175" i="1"/>
  <c r="V6170" i="1"/>
  <c r="V3521" i="1"/>
  <c r="V5981" i="1"/>
  <c r="V1468" i="1"/>
  <c r="V3792" i="1"/>
  <c r="V6208" i="1"/>
  <c r="V2815" i="1"/>
  <c r="V1982" i="1"/>
  <c r="V2762" i="1"/>
  <c r="V4047" i="1"/>
  <c r="V6081" i="1"/>
  <c r="V2782" i="1"/>
  <c r="V1349" i="1"/>
  <c r="V4445" i="1"/>
  <c r="V269" i="1"/>
  <c r="V2687" i="1"/>
  <c r="V4900" i="1"/>
  <c r="V4695" i="1"/>
  <c r="V2009" i="1"/>
  <c r="V4899" i="1"/>
  <c r="V566" i="1"/>
  <c r="V2886" i="1"/>
  <c r="V5122" i="1"/>
  <c r="V642" i="1"/>
  <c r="V5661" i="1"/>
  <c r="V3190" i="1"/>
  <c r="V3684" i="1"/>
  <c r="V5074" i="1"/>
  <c r="V655" i="1"/>
  <c r="V5298" i="1"/>
  <c r="V3118" i="1"/>
  <c r="V5730" i="1"/>
  <c r="V1185" i="1"/>
  <c r="V3477" i="1"/>
  <c r="V5879" i="1"/>
  <c r="V2380" i="1"/>
  <c r="V1592" i="1"/>
  <c r="V2552" i="1"/>
  <c r="V3805" i="1"/>
  <c r="V5814" i="1"/>
  <c r="V2407" i="1"/>
  <c r="V702" i="1"/>
  <c r="V4159" i="1"/>
  <c r="V6707" i="1"/>
  <c r="V2224" i="1"/>
  <c r="V4293" i="1"/>
  <c r="V6690" i="1"/>
  <c r="V4094" i="1"/>
  <c r="V478" i="1"/>
  <c r="V424" i="1"/>
  <c r="V1065" i="1"/>
  <c r="V2060" i="1"/>
  <c r="V1847" i="1"/>
  <c r="V3201" i="1"/>
  <c r="V3982" i="1"/>
  <c r="V5301" i="1"/>
  <c r="V6143" i="1"/>
  <c r="V1084" i="1"/>
  <c r="V2922" i="1"/>
  <c r="V4950" i="1"/>
  <c r="V2064" i="1"/>
  <c r="V2259" i="1"/>
  <c r="V1484" i="1"/>
  <c r="V4460" i="1"/>
  <c r="V629" i="1"/>
  <c r="V1543" i="1"/>
  <c r="V2094" i="1"/>
  <c r="V3106" i="1"/>
  <c r="V4301" i="1"/>
  <c r="V3874" i="1"/>
  <c r="V1724" i="1"/>
  <c r="V2706" i="1"/>
  <c r="V2951" i="1"/>
  <c r="V3095" i="1"/>
  <c r="V6242" i="1"/>
  <c r="V1757" i="1"/>
  <c r="V2348" i="1"/>
  <c r="V3971" i="1"/>
  <c r="V6277" i="1"/>
  <c r="V4033" i="1"/>
  <c r="V1804" i="1"/>
  <c r="V1675" i="1"/>
  <c r="V2135" i="1"/>
  <c r="V2648" i="1"/>
  <c r="V2830" i="1"/>
  <c r="V5658" i="1"/>
  <c r="V6002" i="1"/>
  <c r="V6412" i="1"/>
  <c r="V82" i="1"/>
  <c r="V358" i="1"/>
  <c r="V601" i="1"/>
  <c r="V903" i="1"/>
  <c r="V1268" i="1"/>
  <c r="V1440" i="1"/>
  <c r="V2042" i="1"/>
  <c r="V2545" i="1"/>
  <c r="V4122" i="1"/>
  <c r="V6494" i="1"/>
  <c r="V2218" i="1"/>
  <c r="V1410" i="1"/>
  <c r="V2961" i="1"/>
  <c r="V3172" i="1"/>
  <c r="V3575" i="1"/>
  <c r="V6444" i="1"/>
  <c r="V411" i="1"/>
  <c r="V907" i="1"/>
  <c r="V1447" i="1"/>
  <c r="V2075" i="1"/>
  <c r="V3739" i="1"/>
  <c r="V5764" i="1"/>
  <c r="V3133" i="1"/>
  <c r="V1355" i="1"/>
  <c r="V879" i="1"/>
  <c r="V1997" i="1"/>
  <c r="V2637" i="1"/>
  <c r="V5269" i="1"/>
  <c r="V5523" i="1"/>
  <c r="V5840" i="1"/>
  <c r="V2277" i="1"/>
  <c r="V2901" i="1"/>
  <c r="V4467" i="1"/>
  <c r="V313" i="1"/>
  <c r="V5869" i="1"/>
  <c r="V2435" i="1"/>
  <c r="V1646" i="1"/>
  <c r="V6338" i="1"/>
  <c r="V4621" i="1"/>
  <c r="V5291" i="1"/>
  <c r="V6090" i="1"/>
  <c r="V6760" i="1"/>
  <c r="V270" i="1"/>
  <c r="V919" i="1"/>
  <c r="V1694" i="1"/>
  <c r="V2120" i="1"/>
  <c r="V4641" i="1"/>
  <c r="V2496" i="1"/>
  <c r="V3504" i="1"/>
  <c r="V6596" i="1"/>
  <c r="V5345" i="1"/>
  <c r="V6100" i="1"/>
  <c r="V6666" i="1"/>
  <c r="V299" i="1"/>
  <c r="V954" i="1"/>
  <c r="V1701" i="1"/>
  <c r="V2146" i="1"/>
  <c r="V2560" i="1"/>
  <c r="V3150" i="1"/>
  <c r="V3923" i="1"/>
  <c r="V4285" i="1"/>
  <c r="V4774" i="1"/>
  <c r="V5251" i="1"/>
  <c r="V6113" i="1"/>
  <c r="V6519" i="1"/>
  <c r="V773" i="1"/>
  <c r="V2488" i="1"/>
  <c r="V6082" i="1"/>
  <c r="V1887" i="1"/>
  <c r="V2831" i="1"/>
  <c r="V4007" i="1"/>
  <c r="V5592" i="1"/>
  <c r="V6515" i="1"/>
  <c r="V110" i="1"/>
  <c r="V683" i="1"/>
  <c r="V1335" i="1"/>
  <c r="V1989" i="1"/>
  <c r="V822" i="1"/>
  <c r="V4752" i="1"/>
  <c r="V4916" i="1"/>
  <c r="V5156" i="1"/>
  <c r="V2952" i="1"/>
  <c r="V5015" i="1"/>
  <c r="V6421" i="1"/>
  <c r="V475" i="1"/>
  <c r="V1491" i="1"/>
  <c r="V2171" i="1"/>
  <c r="V3043" i="1"/>
  <c r="V5676" i="1"/>
  <c r="V6014" i="1" l="1"/>
  <c r="V2653" i="1"/>
  <c r="V786" i="1"/>
  <c r="V2183" i="1"/>
  <c r="V2792" i="1"/>
  <c r="V1002" i="1"/>
  <c r="V2339" i="1"/>
  <c r="V1685" i="1"/>
  <c r="V1046" i="1"/>
  <c r="V1968" i="1"/>
  <c r="V3606" i="1"/>
  <c r="V3694" i="1"/>
  <c r="V2673" i="1"/>
  <c r="V2852" i="1"/>
  <c r="V295" i="1"/>
  <c r="V183" i="1"/>
  <c r="V2670" i="1"/>
  <c r="V5735" i="1"/>
  <c r="V1650" i="1"/>
  <c r="V6628" i="1"/>
  <c r="V5527" i="1"/>
  <c r="V855" i="1"/>
  <c r="V4656" i="1"/>
  <c r="V300" i="1"/>
  <c r="V6606" i="1"/>
  <c r="V1353" i="1"/>
  <c r="V1095" i="1"/>
  <c r="V553" i="1"/>
  <c r="V5639" i="1"/>
  <c r="V1433" i="1"/>
  <c r="V3299" i="1"/>
  <c r="V6027" i="1"/>
  <c r="V5727" i="1"/>
  <c r="V4458" i="1"/>
  <c r="V6681" i="1"/>
  <c r="V5124" i="1"/>
  <c r="V757" i="1"/>
  <c r="V3890" i="1"/>
  <c r="V2016" i="1"/>
  <c r="V3986" i="1"/>
  <c r="V3065" i="1"/>
  <c r="V5076" i="1"/>
  <c r="V1266" i="1"/>
  <c r="V1028" i="1"/>
  <c r="V6102" i="1"/>
  <c r="V3948" i="1"/>
  <c r="V5860" i="1"/>
  <c r="V4850" i="1"/>
  <c r="V6660" i="1"/>
  <c r="V248" i="1"/>
  <c r="V2103" i="1"/>
  <c r="V360" i="1"/>
  <c r="V3501" i="1"/>
  <c r="V1522" i="1"/>
  <c r="V1823" i="1"/>
  <c r="V3301" i="1"/>
  <c r="V2567" i="1"/>
  <c r="V2656" i="1"/>
  <c r="V6754" i="1"/>
  <c r="V2192" i="1"/>
  <c r="V552" i="1"/>
  <c r="V2688" i="1"/>
  <c r="V1850" i="1"/>
  <c r="V4717" i="1"/>
  <c r="V4487" i="1"/>
  <c r="V112" i="1"/>
  <c r="V6716" i="1"/>
  <c r="V5457" i="1"/>
  <c r="V5809" i="1"/>
  <c r="V2787" i="1"/>
  <c r="V1342" i="1"/>
  <c r="V3268" i="1"/>
  <c r="V200" i="1"/>
  <c r="V1859" i="1"/>
  <c r="V551" i="1"/>
  <c r="V3757" i="1"/>
  <c r="V1565" i="1"/>
  <c r="V5461" i="1"/>
  <c r="V1984" i="1"/>
  <c r="V1082" i="1"/>
  <c r="V4756" i="1"/>
  <c r="V1237" i="1"/>
  <c r="V2027" i="1"/>
  <c r="V5157" i="1"/>
  <c r="V5928" i="1"/>
  <c r="V3197" i="1"/>
  <c r="V2530" i="1"/>
  <c r="V6520" i="1"/>
  <c r="V4997" i="1"/>
  <c r="V4770" i="1"/>
  <c r="V3020" i="1"/>
  <c r="V6030" i="1"/>
  <c r="V5765" i="1"/>
  <c r="V5039" i="1"/>
  <c r="V862" i="1"/>
  <c r="V2019" i="1"/>
  <c r="V6333" i="1"/>
  <c r="V5835" i="1"/>
  <c r="V1032" i="1"/>
  <c r="V5544" i="1"/>
  <c r="V1014" i="1"/>
  <c r="V4064" i="1"/>
  <c r="V6464" i="1"/>
  <c r="V4731" i="1"/>
  <c r="V3361" i="1"/>
  <c r="V1516" i="1"/>
  <c r="V4539" i="1"/>
  <c r="V3708" i="1"/>
  <c r="V1555" i="1"/>
  <c r="V3449" i="1"/>
  <c r="V5404" i="1"/>
  <c r="V1107" i="1"/>
  <c r="V2492" i="1"/>
  <c r="V512" i="1"/>
  <c r="V3869" i="1"/>
  <c r="V1098" i="1"/>
  <c r="V3038" i="1"/>
  <c r="V5134" i="1"/>
  <c r="V4250" i="1"/>
  <c r="V5942" i="1"/>
  <c r="V6073" i="1"/>
  <c r="V639" i="1"/>
  <c r="V4220" i="1"/>
  <c r="V3412" i="1"/>
  <c r="V2987" i="1"/>
  <c r="V6437" i="1"/>
  <c r="V2820" i="1"/>
  <c r="V398" i="1"/>
  <c r="V5138" i="1"/>
  <c r="V2133" i="1"/>
  <c r="V387" i="1"/>
  <c r="V2417" i="1"/>
  <c r="V1096" i="1"/>
  <c r="V3637" i="1"/>
  <c r="V2240" i="1"/>
  <c r="V5972" i="1"/>
  <c r="V2879" i="1"/>
  <c r="V5852" i="1"/>
  <c r="V4746" i="1"/>
  <c r="V2191" i="1"/>
  <c r="V4357" i="1"/>
  <c r="V3088" i="1"/>
  <c r="V5103" i="1"/>
  <c r="V4421" i="1"/>
  <c r="V525" i="1"/>
  <c r="V189" i="1"/>
  <c r="V1763" i="1"/>
  <c r="V1315" i="1"/>
  <c r="V4392" i="1"/>
  <c r="V868" i="1"/>
  <c r="V1741" i="1"/>
  <c r="V2550" i="1"/>
  <c r="V4415" i="1"/>
  <c r="V2351" i="1"/>
  <c r="V6479" i="1"/>
  <c r="V2469" i="1"/>
  <c r="V848" i="1"/>
  <c r="V2969" i="1"/>
  <c r="V1514" i="1"/>
  <c r="V4268" i="1"/>
  <c r="V2867" i="1"/>
  <c r="V606" i="1"/>
  <c r="V3245" i="1"/>
  <c r="V755" i="1"/>
  <c r="V514" i="1"/>
  <c r="V4052" i="1"/>
  <c r="V872" i="1"/>
  <c r="V3367" i="1"/>
  <c r="V2649" i="1"/>
  <c r="V4202" i="1"/>
  <c r="V3865" i="1"/>
  <c r="V4610" i="1"/>
  <c r="V4600" i="1"/>
  <c r="V2187" i="1"/>
  <c r="V1452" i="1"/>
  <c r="V4473" i="1"/>
  <c r="V221" i="1"/>
  <c r="V3289" i="1"/>
  <c r="V2497" i="1"/>
  <c r="V2897" i="1"/>
  <c r="V3601" i="1"/>
  <c r="V1738" i="1"/>
  <c r="V3820" i="1"/>
  <c r="V1913" i="1"/>
  <c r="V3677" i="1"/>
  <c r="V2966" i="1"/>
  <c r="V678" i="1"/>
  <c r="V213" i="1"/>
  <c r="V4779" i="1"/>
  <c r="V4258" i="1"/>
  <c r="V5494" i="1"/>
  <c r="V5875" i="1"/>
  <c r="V3296" i="1"/>
  <c r="V3147" i="1"/>
  <c r="V4462" i="1"/>
  <c r="V1506" i="1"/>
  <c r="V264" i="1"/>
  <c r="V3591" i="1"/>
  <c r="V121" i="1"/>
  <c r="V36" i="1"/>
  <c r="V4586" i="1"/>
  <c r="V1672" i="1"/>
  <c r="V4200" i="1"/>
  <c r="V6590" i="1"/>
  <c r="V4500" i="1"/>
  <c r="V5012" i="1"/>
  <c r="V6474" i="1"/>
  <c r="V3457" i="1"/>
  <c r="V4024" i="1"/>
  <c r="V1476" i="1"/>
  <c r="V1141" i="1"/>
  <c r="V4423" i="1"/>
  <c r="V5829" i="1"/>
  <c r="V4206" i="1"/>
  <c r="V5960" i="1"/>
  <c r="V3494" i="1"/>
  <c r="V3415" i="1"/>
  <c r="V4577" i="1"/>
  <c r="V3864" i="1"/>
  <c r="V1756" i="1"/>
  <c r="V5462" i="1"/>
  <c r="V6347" i="1"/>
  <c r="V4659" i="1"/>
  <c r="V5511" i="1"/>
  <c r="V681" i="1"/>
  <c r="V608" i="1"/>
  <c r="V198" i="1"/>
  <c r="V3132" i="1"/>
  <c r="V2250" i="1"/>
  <c r="V1591" i="1"/>
  <c r="V1618" i="1"/>
  <c r="V5574" i="1"/>
  <c r="V3337" i="1"/>
  <c r="V5201" i="1"/>
  <c r="V5936" i="1"/>
  <c r="V1775" i="1"/>
  <c r="V4336" i="1"/>
  <c r="V1610" i="1"/>
  <c r="V234" i="1"/>
  <c r="V3590" i="1"/>
  <c r="V1533" i="1"/>
  <c r="V4082" i="1"/>
  <c r="V4556" i="1"/>
  <c r="V5075" i="1"/>
  <c r="V3618" i="1"/>
  <c r="V5702" i="1"/>
  <c r="V4555" i="1"/>
  <c r="V6105" i="1"/>
  <c r="V45" i="1"/>
  <c r="V205" i="1"/>
  <c r="V6286" i="1"/>
  <c r="V6757" i="1"/>
  <c r="V785" i="1"/>
  <c r="V403" i="1"/>
  <c r="V5278" i="1"/>
  <c r="V1901" i="1"/>
  <c r="V4059" i="1"/>
  <c r="V2029" i="1"/>
  <c r="V6683" i="1"/>
  <c r="V4118" i="1"/>
  <c r="V6404" i="1"/>
  <c r="V568" i="1"/>
  <c r="V1473" i="1"/>
  <c r="V5437" i="1"/>
  <c r="V735" i="1"/>
  <c r="V1061" i="1"/>
  <c r="V102" i="1"/>
  <c r="V2061" i="1"/>
  <c r="V6213" i="1"/>
  <c r="V1503" i="1"/>
  <c r="V5803" i="1"/>
  <c r="V5312" i="1"/>
  <c r="V5798" i="1"/>
  <c r="V5333" i="1"/>
  <c r="V771" i="1"/>
  <c r="V4787" i="1"/>
  <c r="V4001" i="1"/>
  <c r="V6195" i="1"/>
  <c r="V3996" i="1"/>
  <c r="V1496" i="1"/>
  <c r="V5481" i="1"/>
  <c r="V5237" i="1"/>
  <c r="V1126" i="1"/>
  <c r="V2025" i="1"/>
  <c r="V647" i="1"/>
  <c r="V6361" i="1"/>
  <c r="V5088" i="1"/>
  <c r="V357" i="1"/>
  <c r="V5227" i="1"/>
  <c r="V408" i="1"/>
  <c r="V5793" i="1"/>
  <c r="V2611" i="1"/>
  <c r="V4056" i="1"/>
  <c r="V2652" i="1"/>
  <c r="V4252" i="1"/>
  <c r="V567" i="1"/>
  <c r="V6055" i="1"/>
  <c r="V813" i="1"/>
  <c r="V1605" i="1"/>
  <c r="V417" i="1"/>
  <c r="V3421" i="1"/>
  <c r="V3311" i="1"/>
  <c r="V1958" i="1"/>
  <c r="V5002" i="1"/>
  <c r="V1199" i="1"/>
  <c r="V906" i="1"/>
  <c r="V3756" i="1"/>
  <c r="V4314" i="1"/>
  <c r="V372" i="1"/>
  <c r="V5666" i="1"/>
  <c r="V3278" i="1"/>
  <c r="V5668" i="1"/>
  <c r="V429" i="1"/>
  <c r="V1453" i="1"/>
  <c r="V5671" i="1"/>
  <c r="V2836" i="1"/>
  <c r="V1706" i="1"/>
  <c r="V2215" i="1"/>
  <c r="V2704" i="1"/>
  <c r="V2223" i="1"/>
  <c r="V4985" i="1"/>
  <c r="V4568" i="1"/>
  <c r="V5094" i="1"/>
  <c r="V3116" i="1"/>
  <c r="V3275" i="1"/>
  <c r="V673" i="1"/>
  <c r="V6129" i="1"/>
  <c r="V6614" i="1"/>
  <c r="V2175" i="1"/>
  <c r="V4263" i="1"/>
  <c r="V2093" i="1"/>
  <c r="V1948" i="1"/>
  <c r="V6281" i="1"/>
  <c r="V2660" i="1"/>
  <c r="V5021" i="1"/>
  <c r="V25" i="1"/>
  <c r="V4277" i="1"/>
  <c r="V1575" i="1"/>
  <c r="V676" i="1"/>
  <c r="V3488" i="1"/>
  <c r="V2304" i="1"/>
  <c r="V1793" i="1"/>
  <c r="V3490" i="1"/>
  <c r="V1732" i="1"/>
  <c r="V3166" i="1"/>
  <c r="V2344" i="1"/>
  <c r="V1953" i="1"/>
  <c r="V677" i="1"/>
  <c r="V29" i="1"/>
  <c r="V1319" i="1"/>
  <c r="V5349" i="1"/>
  <c r="V6303" i="1"/>
  <c r="V1919" i="1"/>
  <c r="V2795" i="1"/>
  <c r="V1879" i="1"/>
  <c r="V1305" i="1"/>
  <c r="V4115" i="1"/>
  <c r="V4376" i="1"/>
  <c r="V2617" i="1"/>
  <c r="V3696" i="1"/>
  <c r="V828" i="1"/>
  <c r="V5062" i="1"/>
  <c r="V2320" i="1"/>
  <c r="V5551" i="1"/>
  <c r="V5273" i="1"/>
  <c r="V1243" i="1"/>
  <c r="V4881" i="1"/>
  <c r="V1477" i="1"/>
  <c r="V5499" i="1"/>
  <c r="V4669" i="1"/>
  <c r="V428" i="1"/>
  <c r="V2256" i="1"/>
  <c r="V3387" i="1"/>
  <c r="V6188" i="1"/>
  <c r="V3288" i="1"/>
  <c r="V5370" i="1"/>
  <c r="V5336" i="1"/>
  <c r="V4968" i="1"/>
  <c r="V5117" i="1"/>
  <c r="V6573" i="1"/>
  <c r="V6173" i="1"/>
  <c r="V5720" i="1"/>
  <c r="V3511" i="1"/>
  <c r="V79" i="1"/>
  <c r="V80" i="1"/>
  <c r="V4503" i="1"/>
  <c r="V4674" i="1"/>
  <c r="V1921" i="1"/>
  <c r="V1831" i="1"/>
  <c r="V3177" i="1"/>
  <c r="V4640" i="1"/>
  <c r="V1256" i="1"/>
  <c r="V2059" i="1"/>
  <c r="V3943" i="1"/>
  <c r="V4709" i="1"/>
  <c r="V6598" i="1"/>
  <c r="V3921" i="1"/>
  <c r="V1360" i="1"/>
  <c r="V3031" i="1"/>
  <c r="V3555" i="1"/>
  <c r="V5556" i="1"/>
  <c r="V19" i="1"/>
  <c r="V859" i="1"/>
  <c r="V5763" i="1"/>
  <c r="V5670" i="1"/>
  <c r="V425" i="1"/>
  <c r="V1404" i="1"/>
  <c r="V936" i="1"/>
  <c r="V6727" i="1"/>
  <c r="V495" i="1"/>
  <c r="V4342" i="1"/>
  <c r="V2465" i="1"/>
  <c r="V4067" i="1"/>
  <c r="V1813" i="1"/>
  <c r="V2519" i="1"/>
  <c r="V6112" i="1"/>
  <c r="V6631" i="1"/>
  <c r="V3538" i="1"/>
  <c r="V3859" i="1"/>
  <c r="V4782" i="1"/>
  <c r="V6034" i="1"/>
  <c r="V6237" i="1"/>
  <c r="V266" i="1"/>
  <c r="V6638" i="1"/>
  <c r="V1278" i="1"/>
  <c r="V3203" i="1"/>
  <c r="V5995" i="1"/>
  <c r="V1742" i="1"/>
  <c r="V4112" i="1"/>
  <c r="V4589" i="1"/>
  <c r="V3861" i="1"/>
  <c r="V5412" i="1"/>
  <c r="V4288" i="1"/>
  <c r="V6391" i="1"/>
  <c r="V505" i="1"/>
  <c r="V410" i="1"/>
  <c r="V1977" i="1"/>
  <c r="V3458" i="1"/>
  <c r="V4012" i="1"/>
  <c r="V6558" i="1"/>
  <c r="V3285" i="1"/>
  <c r="V3951" i="1"/>
  <c r="V199" i="1"/>
  <c r="V22" i="1"/>
  <c r="V3963" i="1"/>
  <c r="V4262" i="1"/>
  <c r="V2756" i="1"/>
  <c r="V2452" i="1"/>
  <c r="V6124" i="1"/>
  <c r="V5099" i="1"/>
  <c r="V3440" i="1"/>
  <c r="V1021" i="1"/>
  <c r="V2900" i="1"/>
  <c r="V4438" i="1"/>
  <c r="V1540" i="1"/>
  <c r="V4367" i="1"/>
  <c r="V549" i="1"/>
  <c r="V324" i="1"/>
  <c r="V28" i="1"/>
  <c r="V2301" i="1"/>
  <c r="V539" i="1"/>
  <c r="V2514" i="1"/>
  <c r="V5785" i="1"/>
  <c r="V1345" i="1"/>
  <c r="V3416" i="1"/>
  <c r="V5945" i="1"/>
  <c r="V5500" i="1"/>
  <c r="V430" i="1"/>
  <c r="V844" i="1"/>
  <c r="V5141" i="1"/>
  <c r="V1438" i="1"/>
  <c r="V6693" i="1"/>
  <c r="V4657" i="1"/>
  <c r="V4737" i="1"/>
  <c r="V2305" i="1"/>
  <c r="V2098" i="1"/>
  <c r="V3761" i="1"/>
  <c r="V6160" i="1"/>
  <c r="V1376" i="1"/>
  <c r="V5441" i="1"/>
  <c r="V4030" i="1"/>
  <c r="V2909" i="1"/>
  <c r="V181" i="1"/>
  <c r="V4211" i="1"/>
  <c r="V1006" i="1"/>
  <c r="V6304" i="1"/>
  <c r="V1809" i="1"/>
  <c r="V4807" i="1"/>
  <c r="V1217" i="1"/>
  <c r="V5915" i="1"/>
  <c r="V1911" i="1"/>
  <c r="V309" i="1"/>
  <c r="V1180" i="1"/>
  <c r="V4824" i="1"/>
  <c r="V4954" i="1"/>
  <c r="V3571" i="1"/>
  <c r="V163" i="1"/>
  <c r="V5003" i="1"/>
  <c r="V6167" i="1"/>
  <c r="V791" i="1"/>
  <c r="V2443" i="1"/>
  <c r="V6357" i="1"/>
  <c r="V4624" i="1"/>
  <c r="V4931" i="1"/>
  <c r="V1969" i="1"/>
  <c r="V2531" i="1"/>
  <c r="V5989" i="1"/>
  <c r="V2930" i="1"/>
  <c r="V11" i="1"/>
  <c r="V6436" i="1"/>
  <c r="V6384" i="1"/>
  <c r="V1080" i="1"/>
  <c r="V6659" i="1"/>
  <c r="V1959" i="1"/>
  <c r="V1281" i="1"/>
  <c r="V3136" i="1"/>
  <c r="V6194" i="1"/>
  <c r="V5679" i="1"/>
  <c r="V1690" i="1"/>
  <c r="V6161" i="1"/>
  <c r="V2977" i="1"/>
  <c r="V1252" i="1"/>
  <c r="V4084" i="1"/>
  <c r="V4402" i="1"/>
  <c r="V4702" i="1"/>
  <c r="V5327" i="1"/>
  <c r="V3979" i="1"/>
  <c r="V3878" i="1"/>
  <c r="V4516" i="1"/>
  <c r="V6485" i="1"/>
  <c r="V223" i="1"/>
  <c r="V4354" i="1"/>
  <c r="V6394" i="1"/>
  <c r="V5337" i="1"/>
  <c r="V801" i="1"/>
  <c r="V5487" i="1"/>
  <c r="V2284" i="1"/>
  <c r="V627" i="1"/>
  <c r="V4011" i="1"/>
  <c r="V2486" i="1"/>
  <c r="V66" i="1"/>
  <c r="V2230" i="1"/>
  <c r="V3541" i="1"/>
  <c r="V3215" i="1"/>
  <c r="V4297" i="1"/>
  <c r="V4272" i="1"/>
  <c r="V3597" i="1"/>
  <c r="V4870" i="1"/>
  <c r="V5819" i="1"/>
  <c r="V6477" i="1"/>
  <c r="V5877" i="1"/>
  <c r="V6148" i="1"/>
  <c r="V5102" i="1"/>
  <c r="V3006" i="1"/>
  <c r="V5182" i="1"/>
  <c r="V6322" i="1"/>
  <c r="V6720" i="1"/>
  <c r="V6543" i="1"/>
  <c r="V6418" i="1"/>
  <c r="V70" i="1"/>
  <c r="V6178" i="1"/>
  <c r="V381" i="1"/>
  <c r="V6317" i="1"/>
  <c r="V2662" i="1"/>
  <c r="V4160" i="1"/>
  <c r="V926" i="1"/>
  <c r="V347" i="1"/>
  <c r="V4949" i="1"/>
  <c r="V5225" i="1"/>
  <c r="V2404" i="1"/>
  <c r="V5256" i="1"/>
  <c r="V2594" i="1"/>
  <c r="V224" i="1"/>
  <c r="V4601" i="1"/>
  <c r="V3879" i="1"/>
  <c r="V4694" i="1"/>
  <c r="V5230" i="1"/>
  <c r="V3642" i="1"/>
  <c r="V2997" i="1"/>
  <c r="V4000" i="1"/>
  <c r="V3663" i="1"/>
  <c r="V1772" i="1"/>
  <c r="V4578" i="1"/>
  <c r="V2232" i="1"/>
  <c r="V4757" i="1"/>
  <c r="V202" i="1"/>
  <c r="V6589" i="1"/>
  <c r="V5344" i="1"/>
  <c r="V2618" i="1"/>
  <c r="V1986" i="1"/>
  <c r="V3882" i="1"/>
  <c r="V3746" i="1"/>
  <c r="V6013" i="1"/>
  <c r="V1323" i="1"/>
  <c r="V2807" i="1"/>
  <c r="V6181" i="1"/>
  <c r="V2818" i="1"/>
  <c r="V2411" i="1"/>
  <c r="V6186" i="1"/>
  <c r="V477" i="1"/>
  <c r="V3117" i="1"/>
  <c r="V376" i="1"/>
  <c r="V2614" i="1"/>
  <c r="V1419" i="1"/>
  <c r="V4039" i="1"/>
  <c r="V6407" i="1"/>
  <c r="V3083" i="1"/>
  <c r="V1803" i="1"/>
  <c r="V1573" i="1"/>
  <c r="V5806" i="1"/>
  <c r="V3090" i="1"/>
  <c r="V3207" i="1"/>
  <c r="V175" i="1"/>
  <c r="V2989" i="1"/>
  <c r="V3512" i="1"/>
  <c r="V3917" i="1"/>
  <c r="V1420" i="1"/>
  <c r="V1229" i="1"/>
  <c r="V3281" i="1"/>
  <c r="V3750" i="1"/>
  <c r="V4386" i="1"/>
  <c r="V1570" i="1"/>
  <c r="V4650" i="1"/>
  <c r="V3519" i="1"/>
  <c r="V5315" i="1"/>
  <c r="V1409" i="1"/>
  <c r="V1654" i="1"/>
  <c r="V1172" i="1"/>
  <c r="V830" i="1"/>
  <c r="V2864" i="1"/>
  <c r="V3580" i="1"/>
  <c r="V2549" i="1"/>
  <c r="V4129" i="1"/>
  <c r="V873" i="1"/>
  <c r="V2842" i="1"/>
  <c r="V5365" i="1"/>
  <c r="V6704" i="1"/>
  <c r="V5590" i="1"/>
  <c r="V5259" i="1"/>
  <c r="V3904" i="1"/>
  <c r="V3260" i="1"/>
  <c r="V6571" i="1"/>
  <c r="V392" i="1"/>
  <c r="V2292" i="1"/>
  <c r="V1077" i="1"/>
  <c r="V251" i="1"/>
  <c r="V1537" i="1"/>
  <c r="V1337" i="1"/>
  <c r="V1255" i="1"/>
  <c r="V5853" i="1"/>
  <c r="V6287" i="1"/>
  <c r="V5357" i="1"/>
  <c r="V3323" i="1"/>
  <c r="V6337" i="1"/>
  <c r="V575" i="1"/>
  <c r="V2791" i="1"/>
  <c r="V1574" i="1"/>
  <c r="V3848" i="1"/>
  <c r="V1365" i="1"/>
  <c r="V4771" i="1"/>
  <c r="V3579" i="1"/>
  <c r="V1020" i="1"/>
  <c r="V1987" i="1"/>
  <c r="V5401" i="1"/>
  <c r="V5155" i="1"/>
  <c r="V1664" i="1"/>
  <c r="V2415" i="1"/>
  <c r="V3598" i="1"/>
  <c r="V4540" i="1"/>
  <c r="V480" i="1"/>
  <c r="V4228" i="1"/>
  <c r="V4398" i="1"/>
  <c r="V6583" i="1"/>
  <c r="V6550" i="1"/>
  <c r="V2713" i="1"/>
  <c r="V3784" i="1"/>
  <c r="V6386" i="1"/>
  <c r="V3259" i="1"/>
  <c r="V3886" i="1"/>
  <c r="V5163" i="1"/>
  <c r="V5797" i="1"/>
  <c r="V1291" i="1"/>
  <c r="V6396" i="1"/>
  <c r="V6007" i="1"/>
  <c r="V3257" i="1"/>
  <c r="V4133" i="1"/>
  <c r="V5885" i="1"/>
  <c r="V494" i="1"/>
  <c r="V5816" i="1"/>
  <c r="V656" i="1"/>
  <c r="V1596" i="1"/>
  <c r="V34" i="1"/>
  <c r="V1137" i="1"/>
  <c r="V1093" i="1"/>
  <c r="V5704" i="1"/>
  <c r="V141" i="1"/>
  <c r="V6093" i="1"/>
  <c r="V2672" i="1"/>
  <c r="V5842" i="1"/>
  <c r="V5997" i="1"/>
  <c r="V2179" i="1"/>
  <c r="V5118" i="1"/>
  <c r="V5861" i="1"/>
  <c r="V6072" i="1"/>
  <c r="V2522" i="1"/>
  <c r="V1975" i="1"/>
  <c r="V3318" i="1"/>
  <c r="V519" i="1"/>
  <c r="V4955" i="1"/>
  <c r="V2045" i="1"/>
  <c r="V4712" i="1"/>
  <c r="V2767" i="1"/>
  <c r="V3909" i="1"/>
  <c r="V4173" i="1"/>
  <c r="V2950" i="1"/>
  <c r="V5341" i="1"/>
  <c r="V6527" i="1"/>
  <c r="V6618" i="1"/>
  <c r="V3614" i="1"/>
  <c r="V5397" i="1"/>
  <c r="V4100" i="1"/>
  <c r="V6155" i="1"/>
  <c r="V4251" i="1"/>
  <c r="V6270" i="1"/>
  <c r="V6713" i="1"/>
  <c r="V5697" i="1"/>
  <c r="V164" i="1"/>
  <c r="V185" i="1"/>
  <c r="V6152" i="1"/>
  <c r="V3258" i="1"/>
  <c r="V6568" i="1"/>
  <c r="V423" i="1"/>
  <c r="V3054" i="1"/>
  <c r="V962" i="1"/>
  <c r="V3182" i="1"/>
  <c r="V2769" i="1"/>
  <c r="V4636" i="1"/>
  <c r="V1146" i="1"/>
  <c r="V3277" i="1"/>
  <c r="V1054" i="1"/>
  <c r="V1869" i="1"/>
  <c r="V149" i="1"/>
  <c r="V3768" i="1"/>
  <c r="V99" i="1"/>
  <c r="V2473" i="1"/>
  <c r="V3772" i="1"/>
  <c r="V3349" i="1"/>
  <c r="V5833" i="1"/>
  <c r="V5629" i="1"/>
  <c r="V1536" i="1"/>
  <c r="V2467" i="1"/>
  <c r="V3553" i="1"/>
  <c r="V1884" i="1"/>
  <c r="V6032" i="1"/>
  <c r="V6139" i="1"/>
  <c r="V1733" i="1"/>
  <c r="V146" i="1"/>
  <c r="V6535" i="1"/>
  <c r="V3969" i="1"/>
  <c r="V4017" i="1"/>
  <c r="V6177" i="1"/>
  <c r="V6694" i="1"/>
  <c r="V531" i="1"/>
  <c r="V2907" i="1"/>
  <c r="V4344" i="1"/>
  <c r="V753" i="1"/>
  <c r="V4401" i="1"/>
  <c r="V1127" i="1"/>
  <c r="V3612" i="1"/>
  <c r="V6657" i="1"/>
  <c r="V6410" i="1"/>
  <c r="V5016" i="1"/>
  <c r="V2438" i="1"/>
  <c r="V1241" i="1"/>
  <c r="V5913" i="1"/>
  <c r="V1482" i="1"/>
  <c r="V4815" i="1"/>
  <c r="V3046" i="1"/>
  <c r="V4581" i="1"/>
  <c r="V3189" i="1"/>
  <c r="V6501" i="1"/>
  <c r="V2270" i="1"/>
  <c r="V1991" i="1"/>
  <c r="V4769" i="1"/>
  <c r="V2163" i="1"/>
  <c r="V3127" i="1"/>
  <c r="V1569" i="1"/>
  <c r="V4554" i="1"/>
  <c r="V4635" i="1"/>
  <c r="V1702" i="1"/>
  <c r="V2234" i="1"/>
  <c r="V5750" i="1"/>
  <c r="V39" i="1"/>
  <c r="V1312" i="1"/>
  <c r="V1900" i="1"/>
  <c r="V1945" i="1"/>
  <c r="V2564" i="1"/>
  <c r="V3272" i="1"/>
  <c r="V4849" i="1"/>
  <c r="V5815" i="1"/>
  <c r="V5238" i="1"/>
  <c r="V6709" i="1"/>
  <c r="V3773" i="1"/>
  <c r="V1257" i="1"/>
  <c r="V2903" i="1"/>
  <c r="V6185" i="1"/>
  <c r="V511" i="1"/>
  <c r="V3529" i="1"/>
  <c r="V3124" i="1"/>
  <c r="V2200" i="1"/>
  <c r="V2757" i="1"/>
  <c r="V2350" i="1"/>
  <c r="V2786" i="1"/>
  <c r="V774" i="1"/>
  <c r="V6176" i="1"/>
  <c r="V4871" i="1"/>
  <c r="V6103" i="1"/>
  <c r="V4891" i="1"/>
  <c r="V1510" i="1"/>
  <c r="V5419" i="1"/>
  <c r="V3386" i="1"/>
  <c r="V262" i="1"/>
  <c r="V1889" i="1"/>
  <c r="V2811" i="1"/>
  <c r="V5038" i="1"/>
  <c r="V2636" i="1"/>
  <c r="V3454" i="1"/>
  <c r="V2210" i="1"/>
  <c r="V2252" i="1"/>
  <c r="V2193" i="1"/>
  <c r="V4123" i="1"/>
  <c r="V3791" i="1"/>
  <c r="V4053" i="1"/>
  <c r="V5366" i="1"/>
  <c r="V77" i="1"/>
  <c r="V3226" i="1"/>
  <c r="V4478" i="1"/>
  <c r="V3752" i="1"/>
  <c r="V3308" i="1"/>
  <c r="V6154" i="1"/>
  <c r="V5956" i="1"/>
  <c r="V5898" i="1"/>
  <c r="V1047" i="1"/>
  <c r="V6066" i="1"/>
  <c r="V6164" i="1"/>
  <c r="V3766" i="1"/>
  <c r="V1797" i="1"/>
  <c r="V5464" i="1"/>
  <c r="V1425" i="1"/>
  <c r="V3202" i="1"/>
  <c r="V4278" i="1"/>
  <c r="V945" i="1"/>
  <c r="V6127" i="1"/>
  <c r="V5742" i="1"/>
  <c r="V789" i="1"/>
  <c r="V992" i="1"/>
  <c r="V4860" i="1"/>
  <c r="V1463" i="1"/>
  <c r="V3747" i="1"/>
  <c r="V5005" i="1"/>
  <c r="V3222" i="1"/>
  <c r="V5483" i="1"/>
  <c r="V2155" i="1"/>
  <c r="V487" i="1"/>
  <c r="V6052" i="1"/>
  <c r="V2000" i="1"/>
  <c r="V3633" i="1"/>
  <c r="V5137" i="1"/>
  <c r="V5744" i="1"/>
  <c r="V395" i="1"/>
  <c r="V3517" i="1"/>
  <c r="V849" i="1"/>
  <c r="V2403" i="1"/>
  <c r="V5056" i="1"/>
  <c r="V6026" i="1"/>
  <c r="V4157" i="1"/>
  <c r="V1377" i="1"/>
  <c r="V5748" i="1"/>
  <c r="V1582" i="1"/>
  <c r="V912" i="1"/>
  <c r="V1580" i="1"/>
  <c r="V2796" i="1"/>
  <c r="V4494" i="1"/>
  <c r="V710" i="1"/>
  <c r="V4447" i="1"/>
  <c r="V1918" i="1"/>
  <c r="V2471" i="1"/>
  <c r="V6554" i="1"/>
  <c r="V4671" i="1"/>
  <c r="V1384" i="1"/>
  <c r="V5059" i="1"/>
  <c r="V4897" i="1"/>
  <c r="V5682" i="1"/>
  <c r="V6292" i="1"/>
  <c r="V1800" i="1"/>
  <c r="V3968" i="1"/>
  <c r="V1012" i="1"/>
  <c r="V1928" i="1"/>
  <c r="V6626" i="1"/>
  <c r="V4905" i="1"/>
  <c r="V3613" i="1"/>
  <c r="V3536" i="1"/>
  <c r="V1202" i="1"/>
  <c r="V6033" i="1"/>
  <c r="V5612" i="1"/>
  <c r="V1563" i="1"/>
  <c r="V3159" i="1"/>
  <c r="V3711" i="1"/>
  <c r="V5545" i="1"/>
  <c r="V4642" i="1"/>
  <c r="V6435" i="1"/>
  <c r="V2377" i="1"/>
  <c r="V4335" i="1"/>
  <c r="V1723" i="1"/>
  <c r="V1796" i="1"/>
  <c r="V1265" i="1"/>
  <c r="V1284" i="1"/>
  <c r="V577" i="1"/>
  <c r="V5131" i="1"/>
  <c r="V350" i="1"/>
  <c r="V5954" i="1"/>
  <c r="V6200" i="1"/>
  <c r="V5425" i="1"/>
  <c r="V4580" i="1"/>
  <c r="V3186" i="1"/>
  <c r="V1819" i="1"/>
  <c r="V3801" i="1"/>
  <c r="V2722" i="1"/>
  <c r="V4013" i="1"/>
  <c r="V2051" i="1"/>
  <c r="V5640" i="1"/>
  <c r="V286" i="1"/>
  <c r="V5444" i="1"/>
  <c r="V6365" i="1"/>
  <c r="V5705" i="1"/>
  <c r="V1878" i="1"/>
  <c r="V4886" i="1"/>
  <c r="V2747" i="1"/>
  <c r="V4517" i="1"/>
  <c r="V6663" i="1"/>
  <c r="V4879" i="1"/>
  <c r="V6069" i="1"/>
  <c r="V5396" i="1"/>
  <c r="V2692" i="1"/>
  <c r="V5254" i="1"/>
  <c r="V5025" i="1"/>
  <c r="V1817" i="1"/>
  <c r="V3082" i="1"/>
  <c r="V4339" i="1"/>
  <c r="V5542" i="1"/>
  <c r="V2290" i="1"/>
  <c r="V5580" i="1"/>
  <c r="V5147" i="1"/>
  <c r="V5905" i="1"/>
  <c r="V3922" i="1"/>
  <c r="V6756" i="1"/>
  <c r="V1525" i="1"/>
  <c r="V2295" i="1"/>
  <c r="V2489" i="1"/>
  <c r="V833" i="1"/>
  <c r="V2677" i="1"/>
  <c r="V6475" i="1"/>
  <c r="V2021" i="1"/>
  <c r="V4803" i="1"/>
  <c r="V616" i="1"/>
  <c r="V6640" i="1"/>
  <c r="V506" i="1"/>
  <c r="V5539" i="1"/>
  <c r="V4422" i="1"/>
  <c r="V5264" i="1"/>
  <c r="V2553" i="1"/>
  <c r="V4233" i="1"/>
  <c r="V632" i="1"/>
  <c r="V2616" i="1"/>
  <c r="V950" i="1"/>
  <c r="V5878" i="1"/>
  <c r="V1361" i="1"/>
  <c r="V5678" i="1"/>
  <c r="V5953" i="1"/>
  <c r="V5846" i="1"/>
  <c r="V1101" i="1"/>
  <c r="V2203" i="1"/>
  <c r="V705" i="1"/>
  <c r="V6556" i="1"/>
  <c r="V5643" i="1"/>
  <c r="V2862" i="1"/>
  <c r="V3679" i="1"/>
  <c r="V556" i="1"/>
  <c r="V1066" i="1"/>
  <c r="V1635" i="1"/>
  <c r="V5482" i="1"/>
  <c r="V6731" i="1"/>
  <c r="V4287" i="1"/>
  <c r="V4655" i="1"/>
  <c r="V5414" i="1"/>
  <c r="V947" i="1"/>
  <c r="V609" i="1"/>
  <c r="V4493" i="1"/>
  <c r="V806" i="1"/>
  <c r="V557" i="1"/>
  <c r="V3050" i="1"/>
  <c r="V5850" i="1"/>
  <c r="V3506" i="1"/>
  <c r="V1074" i="1"/>
  <c r="V4331" i="1"/>
  <c r="V4532" i="1"/>
  <c r="V2206" i="1"/>
  <c r="V4646" i="1"/>
  <c r="V2679" i="1"/>
  <c r="V2973" i="1"/>
  <c r="V2557" i="1"/>
  <c r="V4470" i="1"/>
  <c r="V4855" i="1"/>
  <c r="V341" i="1"/>
  <c r="V3974" i="1"/>
  <c r="V1962" i="1"/>
  <c r="V1698" i="1"/>
  <c r="V3884" i="1"/>
  <c r="V2202" i="1"/>
  <c r="V6674" i="1"/>
  <c r="V6305" i="1"/>
  <c r="V4057" i="1"/>
  <c r="V6630" i="1"/>
  <c r="V4124" i="1"/>
  <c r="V2940" i="1"/>
  <c r="V2322" i="1"/>
  <c r="V2686" i="1"/>
  <c r="V5876" i="1"/>
  <c r="V5771" i="1"/>
  <c r="V3305" i="1"/>
  <c r="V3188" i="1"/>
  <c r="V6710" i="1"/>
  <c r="V6234" i="1"/>
  <c r="V1787" i="1"/>
  <c r="V2436" i="1"/>
  <c r="V3158" i="1"/>
  <c r="V1693" i="1"/>
  <c r="V3206" i="1"/>
  <c r="V278" i="1"/>
  <c r="V5781" i="1"/>
  <c r="V2335" i="1"/>
  <c r="V4982" i="1"/>
  <c r="V4566" i="1"/>
  <c r="V3499" i="1"/>
  <c r="V5944" i="1"/>
  <c r="V4127" i="1"/>
  <c r="V4971" i="1"/>
  <c r="V1234" i="1"/>
  <c r="V3293" i="1"/>
  <c r="V4267" i="1"/>
  <c r="V2084" i="1"/>
  <c r="V2968" i="1"/>
  <c r="V6560" i="1"/>
  <c r="V5786" i="1"/>
  <c r="V3832" i="1"/>
  <c r="V984" i="1"/>
  <c r="V1988" i="1"/>
  <c r="V2279" i="1"/>
  <c r="V252" i="1"/>
  <c r="V5193" i="1"/>
  <c r="V5369" i="1"/>
  <c r="V2913" i="1"/>
  <c r="V4525" i="1"/>
  <c r="V4038" i="1"/>
  <c r="V1557" i="1"/>
  <c r="V2478" i="1"/>
  <c r="V4349" i="1"/>
  <c r="V4249" i="1"/>
  <c r="V3151" i="1"/>
</calcChain>
</file>

<file path=xl/sharedStrings.xml><?xml version="1.0" encoding="utf-8"?>
<sst xmlns="http://schemas.openxmlformats.org/spreadsheetml/2006/main" count="84192" uniqueCount="151">
  <si>
    <t>ITEM</t>
  </si>
  <si>
    <t>CANTIDAD</t>
  </si>
  <si>
    <t>IDTAMAÑO</t>
  </si>
  <si>
    <t>IDLOCAL</t>
  </si>
  <si>
    <t>IDCIUDAD</t>
  </si>
  <si>
    <t>C001</t>
  </si>
  <si>
    <t>COMFORT VERONA</t>
  </si>
  <si>
    <t>22M</t>
  </si>
  <si>
    <t>22 Y MEDIO</t>
  </si>
  <si>
    <t>CABALLERO</t>
  </si>
  <si>
    <t>ARAGON</t>
  </si>
  <si>
    <t>POPULAR</t>
  </si>
  <si>
    <t>CMX</t>
  </si>
  <si>
    <t>CIUDAD DE MÉXICO</t>
  </si>
  <si>
    <t>CRUZ DEL SUR</t>
  </si>
  <si>
    <t>PUE</t>
  </si>
  <si>
    <t>PUEBLA</t>
  </si>
  <si>
    <t>TLAQUEPAQUE</t>
  </si>
  <si>
    <t>GDL</t>
  </si>
  <si>
    <t>GUADALAJARA</t>
  </si>
  <si>
    <t>24N</t>
  </si>
  <si>
    <t>24 NORMAL</t>
  </si>
  <si>
    <t>18M</t>
  </si>
  <si>
    <t>18 Y MEDIO</t>
  </si>
  <si>
    <t>23N</t>
  </si>
  <si>
    <t>23 NORMAL</t>
  </si>
  <si>
    <t>ERMITA</t>
  </si>
  <si>
    <t>24M</t>
  </si>
  <si>
    <t>24 Y MEDIO</t>
  </si>
  <si>
    <t>18N</t>
  </si>
  <si>
    <t>18 NORMAL</t>
  </si>
  <si>
    <t>30M</t>
  </si>
  <si>
    <t>30 Y MEDIO</t>
  </si>
  <si>
    <t>21N</t>
  </si>
  <si>
    <t>21 NORMAL</t>
  </si>
  <si>
    <t>22N</t>
  </si>
  <si>
    <t>22 NORMAL</t>
  </si>
  <si>
    <t>29N</t>
  </si>
  <si>
    <t>29 NORMAL</t>
  </si>
  <si>
    <t>28N</t>
  </si>
  <si>
    <t>28 NORMAL</t>
  </si>
  <si>
    <t>29M</t>
  </si>
  <si>
    <t>29 Y MEDIO</t>
  </si>
  <si>
    <t>27M</t>
  </si>
  <si>
    <t>27 Y MEDIO</t>
  </si>
  <si>
    <t>26N</t>
  </si>
  <si>
    <t>26 NORMAL</t>
  </si>
  <si>
    <t>25N</t>
  </si>
  <si>
    <t>25 NORMAL</t>
  </si>
  <si>
    <t>27N</t>
  </si>
  <si>
    <t>27 NORMAL</t>
  </si>
  <si>
    <t>20N</t>
  </si>
  <si>
    <t>20 NORMAL</t>
  </si>
  <si>
    <t>26M</t>
  </si>
  <si>
    <t>26 Y MEDIO</t>
  </si>
  <si>
    <t>28M</t>
  </si>
  <si>
    <t>28 Y MEDIO</t>
  </si>
  <si>
    <t>19M</t>
  </si>
  <si>
    <t>19 Y MEDIO</t>
  </si>
  <si>
    <t>21M</t>
  </si>
  <si>
    <t>21 Y MEDIO</t>
  </si>
  <si>
    <t>23M</t>
  </si>
  <si>
    <t>23 Y MEDIO</t>
  </si>
  <si>
    <t>30N</t>
  </si>
  <si>
    <t>30 NORMAL</t>
  </si>
  <si>
    <t>25M</t>
  </si>
  <si>
    <t>25 Y MEDIO</t>
  </si>
  <si>
    <t>20M</t>
  </si>
  <si>
    <t>20 Y MEDIO</t>
  </si>
  <si>
    <t>ESFERA</t>
  </si>
  <si>
    <t>PREMIUM</t>
  </si>
  <si>
    <t>MTY</t>
  </si>
  <si>
    <t>MONTERREY</t>
  </si>
  <si>
    <t>19N</t>
  </si>
  <si>
    <t>19 NORMAL</t>
  </si>
  <si>
    <t>PERISUR</t>
  </si>
  <si>
    <t>PEDREGAL</t>
  </si>
  <si>
    <t>NUEVO SUR</t>
  </si>
  <si>
    <t>ANDARES</t>
  </si>
  <si>
    <t>LORETO</t>
  </si>
  <si>
    <t>BUENAVISTA</t>
  </si>
  <si>
    <t>ESTÁNDAR</t>
  </si>
  <si>
    <t>PLAZA FIESTA</t>
  </si>
  <si>
    <t>IZCALI</t>
  </si>
  <si>
    <t>UNIVERSIDAD</t>
  </si>
  <si>
    <t>COYOACAN</t>
  </si>
  <si>
    <t>CITADEL</t>
  </si>
  <si>
    <t>PABELLON</t>
  </si>
  <si>
    <t>CENTRO MAGNO</t>
  </si>
  <si>
    <t>ANGELOPOLIS</t>
  </si>
  <si>
    <t>C002</t>
  </si>
  <si>
    <t>CONFORT MILAN</t>
  </si>
  <si>
    <t>C003</t>
  </si>
  <si>
    <t>CONFORT NEW YORK</t>
  </si>
  <si>
    <t>C004</t>
  </si>
  <si>
    <t>MIRIDIA</t>
  </si>
  <si>
    <t>D001</t>
  </si>
  <si>
    <t>SPLEND MARNA</t>
  </si>
  <si>
    <t>DAMA</t>
  </si>
  <si>
    <t>D002</t>
  </si>
  <si>
    <t>TANGERINE</t>
  </si>
  <si>
    <t>D003</t>
  </si>
  <si>
    <t>MERLE POINT</t>
  </si>
  <si>
    <t>D004</t>
  </si>
  <si>
    <t>PANAMA</t>
  </si>
  <si>
    <t>D005</t>
  </si>
  <si>
    <t>SERENA STORM</t>
  </si>
  <si>
    <t>D006</t>
  </si>
  <si>
    <t>COLORFUL SPRING</t>
  </si>
  <si>
    <t>D007</t>
  </si>
  <si>
    <t>REFLEXION EDGE</t>
  </si>
  <si>
    <t>S001</t>
  </si>
  <si>
    <t>RAPTOR</t>
  </si>
  <si>
    <t>DEPORTIVO</t>
  </si>
  <si>
    <t>S002</t>
  </si>
  <si>
    <t>CITUAN</t>
  </si>
  <si>
    <t>S003</t>
  </si>
  <si>
    <t>ULTRA-ALIVE</t>
  </si>
  <si>
    <t>U001</t>
  </si>
  <si>
    <t>RELAX UNIVERSE</t>
  </si>
  <si>
    <t>UNISEX</t>
  </si>
  <si>
    <t>U002</t>
  </si>
  <si>
    <t>MINIMAL ECHO</t>
  </si>
  <si>
    <t>NÚMERO DE TICKET</t>
  </si>
  <si>
    <t>FECHA DE VENTA</t>
  </si>
  <si>
    <t>TAMAÑO</t>
  </si>
  <si>
    <t>PRECIO DE VENTA</t>
  </si>
  <si>
    <t>COSTO UNITARIO</t>
  </si>
  <si>
    <t>TIPO DE CALZADO</t>
  </si>
  <si>
    <t>LOCAL</t>
  </si>
  <si>
    <t>TIPO DE LOCAL</t>
  </si>
  <si>
    <t>CIUDAD</t>
  </si>
  <si>
    <t>MONTO VENDIDO</t>
  </si>
  <si>
    <t>PRECIO DE LISTA</t>
  </si>
  <si>
    <t>COSTO DE VENTA</t>
  </si>
  <si>
    <t>UTILIDAD</t>
  </si>
  <si>
    <t>HOU</t>
  </si>
  <si>
    <t>CHI</t>
  </si>
  <si>
    <t>JALISCO</t>
  </si>
  <si>
    <t>NUEVO LEÓN</t>
  </si>
  <si>
    <t>HOUSTON</t>
  </si>
  <si>
    <t>TEXAS</t>
  </si>
  <si>
    <t>CHICAGO</t>
  </si>
  <si>
    <t>ILLINOIS</t>
  </si>
  <si>
    <t>MÉXICO</t>
  </si>
  <si>
    <t>ESTADOS UNIDOS</t>
  </si>
  <si>
    <t>ESTADO</t>
  </si>
  <si>
    <t>PAÍS</t>
  </si>
  <si>
    <t>IDESTILO</t>
  </si>
  <si>
    <t>ESTILO</t>
  </si>
  <si>
    <t>THE GALLERIA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</si>
</sst>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 applyAlignment="1">
      <alignment vertical="center"/>
    </xf>
    <xf numFmtId="44" fontId="0" fillId="0" borderId="0" xfId="1" applyFont="1"/>
    <xf numFmtId="44" fontId="0" fillId="0" borderId="0" xfId="1" applyFont="1" applyAlignment="1">
      <alignment vertical="center"/>
    </xf>
    <xf numFmtId="44" fontId="0" fillId="0" borderId="0" xfId="1" applyFont="1" applyAlignment="1" applyProtection="1">
      <alignment vertical="center"/>
    </xf>
  </cellXfs>
  <cellStyles count="2">
    <cellStyle name="Moneda" xfId="1" builtinId="4"/>
    <cellStyle name="Normal" xfId="0" builtinId="0"/>
  </cellStyles>
  <dxfs count="8">
    <dxf>
      <numFmt numFmtId="34" formatCode="_-&quot;$&quot;* #,##0.00_-;\-&quot;$&quot;* #,##0.00_-;_-&quot;$&quot;* &quot;-&quot;??_-;_-@_-"/>
    </dxf>
    <dxf>
      <numFmt numFmtId="0" formatCode="General"/>
    </dxf>
    <dxf>
      <numFmt numFmtId="0" formatCode="General"/>
    </dxf>
    <dxf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* #,##0.00_-;\-&quot;$&quot;* #,##0.00_-;_-&quot;$&quot;* &quot;-&quot;??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protection locked="1" hidden="0"/>
    </dxf>
    <dxf>
      <numFmt numFmtId="0" formatCode="General"/>
    </dxf>
    <dxf>
      <numFmt numFmtId="19" formatCode="dd/mm/yyyy"/>
      <alignment horizontal="general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43957F-5E90-4AEC-9779-DE54B221A3A0}" name="MASTER" displayName="MASTER" ref="A1:V7725" totalsRowShown="0">
  <autoFilter ref="A1:V7725" xr:uid="{EED34B2A-21E8-4D23-B4CA-AB1606BBE890}"/>
  <sortState xmlns:xlrd2="http://schemas.microsoft.com/office/spreadsheetml/2017/richdata2" ref="A2:V7725">
    <sortCondition ref="A1:A7725"/>
  </sortState>
  <tableColumns count="22">
    <tableColumn id="1" xr3:uid="{9E91B4ED-ED3A-4B51-B632-EA79B2890B21}" name="NÚMERO DE TICKET"/>
    <tableColumn id="2" xr3:uid="{9D481AA2-8251-4C13-859E-8EBA64E9D74D}" name="ITEM"/>
    <tableColumn id="3" xr3:uid="{29895961-C842-4C66-8B91-0FF4C413EFF9}" name="IDESTILO"/>
    <tableColumn id="4" xr3:uid="{5207DC89-76FD-49CE-B2D5-02F47F5BFA5D}" name="ESTILO"/>
    <tableColumn id="5" xr3:uid="{AE669CF0-3109-434C-AD12-4EB3EA7383C0}" name="FECHA DE VENTA" dataDxfId="7"/>
    <tableColumn id="6" xr3:uid="{A8753CB9-F190-40D4-9421-52D20A4289AD}" name="CANTIDAD" dataDxfId="6"/>
    <tableColumn id="7" xr3:uid="{E3E93F21-1155-47FF-B3A8-D5F221AE23C2}" name="IDTAMAÑO"/>
    <tableColumn id="8" xr3:uid="{11BB3DAE-4A3D-4227-9066-AE01C472BCE6}" name="TAMAÑO"/>
    <tableColumn id="9" xr3:uid="{CFFC858E-7029-4A26-904E-6A6979474B3F}" name="PRECIO DE LISTA" dataDxfId="5" dataCellStyle="Moneda"/>
    <tableColumn id="20" xr3:uid="{DC13E069-1D66-4BE0-A333-3671B574236F}" name="PRECIO DE VENTA" dataDxfId="4" dataCellStyle="Moneda"/>
    <tableColumn id="10" xr3:uid="{6C7C1BE1-4FDF-41BB-A771-E851520919DF}" name="COSTO UNITARIO" dataDxfId="3" dataCellStyle="Moneda"/>
    <tableColumn id="11" xr3:uid="{E1294506-D40F-4C7A-BD43-650675C2EFDB}" name="TIPO DE CALZADO"/>
    <tableColumn id="12" xr3:uid="{1E3C9F0F-1A6C-44E1-AF01-D807EE2C5DA8}" name="IDLOCAL"/>
    <tableColumn id="13" xr3:uid="{528302CA-106B-432C-83B6-68EE2E92C2A2}" name="LOCAL"/>
    <tableColumn id="14" xr3:uid="{98D66F5A-62F4-4AF2-8627-8561E37175A8}" name="TIPO DE LOCAL"/>
    <tableColumn id="15" xr3:uid="{0E7B9E80-38FC-4801-B326-36B3F9357631}" name="IDCIUDAD"/>
    <tableColumn id="16" xr3:uid="{10EC1668-0C8B-4F03-9E81-289D449BBA5C}" name="CIUDAD"/>
    <tableColumn id="24" xr3:uid="{E5B2783B-F543-4A18-82E8-11C782682631}" name="ESTADO" dataDxfId="2"/>
    <tableColumn id="25" xr3:uid="{6CB80FB9-7D77-41F3-BDB8-871F52567D25}" name="PAÍS" dataDxfId="1"/>
    <tableColumn id="17" xr3:uid="{19410912-3B77-4986-A273-3C7850E8D7F7}" name="MONTO VENDIDO" dataDxfId="0" dataCellStyle="Moneda">
      <calculatedColumnFormula>MASTER[[#This Row],[CANTIDAD]]*MASTER[[#This Row],[PRECIO DE VENTA]]</calculatedColumnFormula>
    </tableColumn>
    <tableColumn id="18" xr3:uid="{CAA87B97-56CE-4EC6-A4B2-2A78FF4E8EC9}" name="COSTO DE VENTA" dataCellStyle="Moneda">
      <calculatedColumnFormula>MASTER[[#This Row],[CANTIDAD]]*MASTER[[#This Row],[COSTO UNITARIO]]</calculatedColumnFormula>
    </tableColumn>
    <tableColumn id="19" xr3:uid="{AF0B8BC0-C3AF-4827-8A1D-772AB44060A3}" name="UTILIDAD" dataCellStyle="Moneda">
      <calculatedColumnFormula>MASTER[[#This Row],[MONTO VENDIDO]]-MASTER[[#This Row],[COSTO DE VENTA]]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5DF08-DBEE-42F6-9ADF-60693C492DD5}">
  <dimension ref="A1:V7725"/>
  <sheetViews>
    <sheetView tabSelected="1" zoomScale="150" zoomScaleNormal="150" workbookViewId="0">
      <selection activeCell="A2" sqref="A2"/>
    </sheetView>
  </sheetViews>
  <sheetFormatPr baseColWidth="10" defaultColWidth="9.109375" defaultRowHeight="14.4" x14ac:dyDescent="0.3"/>
  <cols>
    <col min="1" max="1" width="20.6640625" bestFit="1" customWidth="1"/>
    <col min="2" max="2" width="7.6640625" bestFit="1" customWidth="1"/>
    <col min="3" max="3" width="15.109375" bestFit="1" customWidth="1"/>
    <col min="4" max="4" width="19.5546875" bestFit="1" customWidth="1"/>
    <col min="5" max="5" width="18.109375" bestFit="1" customWidth="1"/>
    <col min="6" max="6" width="12.5546875" bestFit="1" customWidth="1"/>
    <col min="7" max="7" width="13.44140625" bestFit="1" customWidth="1"/>
    <col min="8" max="8" width="11.5546875" bestFit="1" customWidth="1"/>
    <col min="9" max="9" width="19.109375" bestFit="1" customWidth="1"/>
    <col min="10" max="10" width="19.109375" customWidth="1"/>
    <col min="11" max="11" width="18.6640625" bestFit="1" customWidth="1"/>
    <col min="12" max="12" width="19" bestFit="1" customWidth="1"/>
    <col min="13" max="13" width="10.6640625" bestFit="1" customWidth="1"/>
    <col min="14" max="14" width="15.6640625" bestFit="1" customWidth="1"/>
    <col min="15" max="15" width="16.109375" bestFit="1" customWidth="1"/>
    <col min="16" max="16" width="12.109375" bestFit="1" customWidth="1"/>
    <col min="17" max="17" width="18.109375" bestFit="1" customWidth="1"/>
    <col min="18" max="19" width="18.109375" customWidth="1"/>
    <col min="20" max="21" width="19.33203125" bestFit="1" customWidth="1"/>
    <col min="22" max="22" width="21.44140625" bestFit="1" customWidth="1"/>
  </cols>
  <sheetData>
    <row r="1" spans="1:22" x14ac:dyDescent="0.3">
      <c r="A1" t="s">
        <v>123</v>
      </c>
      <c r="B1" t="s">
        <v>0</v>
      </c>
      <c r="C1" t="s">
        <v>148</v>
      </c>
      <c r="D1" t="s">
        <v>149</v>
      </c>
      <c r="E1" t="s">
        <v>124</v>
      </c>
      <c r="F1" t="s">
        <v>1</v>
      </c>
      <c r="G1" t="s">
        <v>2</v>
      </c>
      <c r="H1" t="s">
        <v>125</v>
      </c>
      <c r="I1" t="s">
        <v>133</v>
      </c>
      <c r="J1" t="s">
        <v>126</v>
      </c>
      <c r="K1" t="s">
        <v>127</v>
      </c>
      <c r="L1" t="s">
        <v>128</v>
      </c>
      <c r="M1" t="s">
        <v>3</v>
      </c>
      <c r="N1" t="s">
        <v>129</v>
      </c>
      <c r="O1" t="s">
        <v>130</v>
      </c>
      <c r="P1" t="s">
        <v>4</v>
      </c>
      <c r="Q1" t="s">
        <v>131</v>
      </c>
      <c r="R1" t="s">
        <v>146</v>
      </c>
      <c r="S1" t="s">
        <v>147</v>
      </c>
      <c r="T1" t="s">
        <v>132</v>
      </c>
      <c r="U1" t="s">
        <v>134</v>
      </c>
      <c r="V1" t="s">
        <v>135</v>
      </c>
    </row>
    <row r="2" spans="1:22" x14ac:dyDescent="0.3">
      <c r="A2">
        <v>10004</v>
      </c>
      <c r="B2">
        <v>1</v>
      </c>
      <c r="C2" t="s">
        <v>107</v>
      </c>
      <c r="D2" t="s">
        <v>108</v>
      </c>
      <c r="E2" s="1">
        <v>43831</v>
      </c>
      <c r="F2">
        <v>1</v>
      </c>
      <c r="G2" t="s">
        <v>67</v>
      </c>
      <c r="H2" t="s">
        <v>68</v>
      </c>
      <c r="I2" s="3">
        <v>1440</v>
      </c>
      <c r="J2" s="3">
        <v>1440</v>
      </c>
      <c r="K2" s="3">
        <v>380</v>
      </c>
      <c r="L2" t="s">
        <v>98</v>
      </c>
      <c r="M2">
        <v>6</v>
      </c>
      <c r="N2" t="s">
        <v>75</v>
      </c>
      <c r="O2" t="s">
        <v>70</v>
      </c>
      <c r="P2" t="s">
        <v>12</v>
      </c>
      <c r="Q2" t="s">
        <v>13</v>
      </c>
      <c r="R2" t="s">
        <v>13</v>
      </c>
      <c r="S2" t="s">
        <v>144</v>
      </c>
      <c r="T2" s="2">
        <f>MASTER[[#This Row],[CANTIDAD]]*MASTER[[#This Row],[PRECIO DE VENTA]]</f>
        <v>1440</v>
      </c>
      <c r="U2" s="2">
        <f>MASTER[[#This Row],[CANTIDAD]]*MASTER[[#This Row],[COSTO UNITARIO]]</f>
        <v>380</v>
      </c>
      <c r="V2" s="2">
        <f>MASTER[[#This Row],[MONTO VENDIDO]]-MASTER[[#This Row],[COSTO DE VENTA]]</f>
        <v>1060</v>
      </c>
    </row>
    <row r="3" spans="1:22" x14ac:dyDescent="0.3">
      <c r="A3">
        <v>10005</v>
      </c>
      <c r="B3">
        <v>1</v>
      </c>
      <c r="C3" t="s">
        <v>107</v>
      </c>
      <c r="D3" t="s">
        <v>108</v>
      </c>
      <c r="E3" s="1">
        <v>43831</v>
      </c>
      <c r="F3">
        <v>1</v>
      </c>
      <c r="G3" t="s">
        <v>73</v>
      </c>
      <c r="H3" t="s">
        <v>74</v>
      </c>
      <c r="I3" s="3">
        <v>1440</v>
      </c>
      <c r="J3" s="3">
        <v>1440</v>
      </c>
      <c r="K3" s="3">
        <v>380</v>
      </c>
      <c r="L3" t="s">
        <v>98</v>
      </c>
      <c r="M3">
        <v>3</v>
      </c>
      <c r="N3" t="s">
        <v>69</v>
      </c>
      <c r="O3" t="s">
        <v>70</v>
      </c>
      <c r="P3" t="s">
        <v>71</v>
      </c>
      <c r="Q3" t="s">
        <v>72</v>
      </c>
      <c r="R3" t="s">
        <v>139</v>
      </c>
      <c r="S3" t="s">
        <v>144</v>
      </c>
      <c r="T3" s="2">
        <f>MASTER[[#This Row],[CANTIDAD]]*MASTER[[#This Row],[PRECIO DE VENTA]]</f>
        <v>1440</v>
      </c>
      <c r="U3" s="2">
        <f>MASTER[[#This Row],[CANTIDAD]]*MASTER[[#This Row],[COSTO UNITARIO]]</f>
        <v>380</v>
      </c>
      <c r="V3" s="2">
        <f>MASTER[[#This Row],[MONTO VENDIDO]]-MASTER[[#This Row],[COSTO DE VENTA]]</f>
        <v>1060</v>
      </c>
    </row>
    <row r="4" spans="1:22" x14ac:dyDescent="0.3">
      <c r="A4">
        <v>10012</v>
      </c>
      <c r="B4">
        <v>1</v>
      </c>
      <c r="C4" t="s">
        <v>105</v>
      </c>
      <c r="D4" t="s">
        <v>106</v>
      </c>
      <c r="E4" s="1">
        <v>43831</v>
      </c>
      <c r="F4">
        <v>1</v>
      </c>
      <c r="G4" t="s">
        <v>51</v>
      </c>
      <c r="H4" t="s">
        <v>52</v>
      </c>
      <c r="I4" s="3">
        <v>2033</v>
      </c>
      <c r="J4" s="3">
        <v>2033</v>
      </c>
      <c r="K4" s="3">
        <v>459</v>
      </c>
      <c r="L4" t="s">
        <v>98</v>
      </c>
      <c r="M4">
        <v>3</v>
      </c>
      <c r="N4" t="s">
        <v>69</v>
      </c>
      <c r="O4" t="s">
        <v>70</v>
      </c>
      <c r="P4" t="s">
        <v>71</v>
      </c>
      <c r="Q4" t="s">
        <v>72</v>
      </c>
      <c r="R4" t="s">
        <v>139</v>
      </c>
      <c r="S4" t="s">
        <v>144</v>
      </c>
      <c r="T4" s="2">
        <f>MASTER[[#This Row],[CANTIDAD]]*MASTER[[#This Row],[PRECIO DE VENTA]]</f>
        <v>2033</v>
      </c>
      <c r="U4" s="2">
        <f>MASTER[[#This Row],[CANTIDAD]]*MASTER[[#This Row],[COSTO UNITARIO]]</f>
        <v>459</v>
      </c>
      <c r="V4" s="2">
        <f>MASTER[[#This Row],[MONTO VENDIDO]]-MASTER[[#This Row],[COSTO DE VENTA]]</f>
        <v>1574</v>
      </c>
    </row>
    <row r="5" spans="1:22" x14ac:dyDescent="0.3">
      <c r="A5">
        <v>10013</v>
      </c>
      <c r="B5">
        <v>1</v>
      </c>
      <c r="C5" t="s">
        <v>92</v>
      </c>
      <c r="D5" t="s">
        <v>93</v>
      </c>
      <c r="E5" s="1">
        <v>43831</v>
      </c>
      <c r="F5">
        <v>1</v>
      </c>
      <c r="G5" t="s">
        <v>20</v>
      </c>
      <c r="H5" t="s">
        <v>21</v>
      </c>
      <c r="I5" s="3">
        <v>1681</v>
      </c>
      <c r="J5" s="3">
        <v>1681</v>
      </c>
      <c r="K5" s="3">
        <v>396</v>
      </c>
      <c r="L5" t="s">
        <v>9</v>
      </c>
      <c r="M5">
        <v>14</v>
      </c>
      <c r="N5" t="s">
        <v>87</v>
      </c>
      <c r="O5" t="s">
        <v>81</v>
      </c>
      <c r="P5" t="s">
        <v>18</v>
      </c>
      <c r="Q5" t="s">
        <v>19</v>
      </c>
      <c r="R5" t="s">
        <v>138</v>
      </c>
      <c r="S5" t="s">
        <v>144</v>
      </c>
      <c r="T5" s="2">
        <f>MASTER[[#This Row],[CANTIDAD]]*MASTER[[#This Row],[PRECIO DE VENTA]]</f>
        <v>1681</v>
      </c>
      <c r="U5" s="2">
        <f>MASTER[[#This Row],[CANTIDAD]]*MASTER[[#This Row],[COSTO UNITARIO]]</f>
        <v>396</v>
      </c>
      <c r="V5" s="2">
        <f>MASTER[[#This Row],[MONTO VENDIDO]]-MASTER[[#This Row],[COSTO DE VENTA]]</f>
        <v>1285</v>
      </c>
    </row>
    <row r="6" spans="1:22" x14ac:dyDescent="0.3">
      <c r="A6">
        <v>10015</v>
      </c>
      <c r="B6">
        <v>1</v>
      </c>
      <c r="C6" t="s">
        <v>105</v>
      </c>
      <c r="D6" t="s">
        <v>106</v>
      </c>
      <c r="E6" s="1">
        <v>43831</v>
      </c>
      <c r="F6">
        <v>1</v>
      </c>
      <c r="G6" t="s">
        <v>47</v>
      </c>
      <c r="H6" t="s">
        <v>48</v>
      </c>
      <c r="I6" s="3">
        <v>1865</v>
      </c>
      <c r="J6" s="3">
        <v>1865</v>
      </c>
      <c r="K6" s="3">
        <v>459</v>
      </c>
      <c r="L6" t="s">
        <v>98</v>
      </c>
      <c r="M6">
        <v>19</v>
      </c>
      <c r="N6" t="s">
        <v>89</v>
      </c>
      <c r="O6" t="s">
        <v>81</v>
      </c>
      <c r="P6" t="s">
        <v>15</v>
      </c>
      <c r="Q6" t="s">
        <v>16</v>
      </c>
      <c r="R6" t="s">
        <v>16</v>
      </c>
      <c r="S6" t="s">
        <v>144</v>
      </c>
      <c r="T6" s="2">
        <f>MASTER[[#This Row],[CANTIDAD]]*MASTER[[#This Row],[PRECIO DE VENTA]]</f>
        <v>1865</v>
      </c>
      <c r="U6" s="2">
        <f>MASTER[[#This Row],[CANTIDAD]]*MASTER[[#This Row],[COSTO UNITARIO]]</f>
        <v>459</v>
      </c>
      <c r="V6" s="2">
        <f>MASTER[[#This Row],[MONTO VENDIDO]]-MASTER[[#This Row],[COSTO DE VENTA]]</f>
        <v>1406</v>
      </c>
    </row>
    <row r="7" spans="1:22" x14ac:dyDescent="0.3">
      <c r="A7">
        <v>10016</v>
      </c>
      <c r="B7">
        <v>1</v>
      </c>
      <c r="C7" t="s">
        <v>90</v>
      </c>
      <c r="D7" t="s">
        <v>91</v>
      </c>
      <c r="E7" s="1">
        <v>43831</v>
      </c>
      <c r="F7">
        <v>1</v>
      </c>
      <c r="G7" t="s">
        <v>29</v>
      </c>
      <c r="H7" t="s">
        <v>30</v>
      </c>
      <c r="I7" s="3">
        <v>1844</v>
      </c>
      <c r="J7" s="3">
        <v>1844</v>
      </c>
      <c r="K7" s="3">
        <v>420</v>
      </c>
      <c r="L7" t="s">
        <v>9</v>
      </c>
      <c r="M7">
        <v>4</v>
      </c>
      <c r="N7" t="s">
        <v>82</v>
      </c>
      <c r="O7" t="s">
        <v>81</v>
      </c>
      <c r="P7" t="s">
        <v>71</v>
      </c>
      <c r="Q7" t="s">
        <v>72</v>
      </c>
      <c r="R7" t="s">
        <v>139</v>
      </c>
      <c r="S7" t="s">
        <v>144</v>
      </c>
      <c r="T7" s="2">
        <f>MASTER[[#This Row],[CANTIDAD]]*MASTER[[#This Row],[PRECIO DE VENTA]]</f>
        <v>1844</v>
      </c>
      <c r="U7" s="2">
        <f>MASTER[[#This Row],[CANTIDAD]]*MASTER[[#This Row],[COSTO UNITARIO]]</f>
        <v>420</v>
      </c>
      <c r="V7" s="2">
        <f>MASTER[[#This Row],[MONTO VENDIDO]]-MASTER[[#This Row],[COSTO DE VENTA]]</f>
        <v>1424</v>
      </c>
    </row>
    <row r="8" spans="1:22" x14ac:dyDescent="0.3">
      <c r="A8">
        <v>10019</v>
      </c>
      <c r="B8">
        <v>1</v>
      </c>
      <c r="C8" t="s">
        <v>103</v>
      </c>
      <c r="D8" t="s">
        <v>104</v>
      </c>
      <c r="E8" s="1">
        <v>43831</v>
      </c>
      <c r="F8">
        <v>1</v>
      </c>
      <c r="G8" t="s">
        <v>27</v>
      </c>
      <c r="H8" t="s">
        <v>28</v>
      </c>
      <c r="I8" s="3">
        <v>1591</v>
      </c>
      <c r="J8" s="3">
        <v>1591</v>
      </c>
      <c r="K8" s="3">
        <v>421</v>
      </c>
      <c r="L8" t="s">
        <v>98</v>
      </c>
      <c r="M8">
        <v>19</v>
      </c>
      <c r="N8" t="s">
        <v>89</v>
      </c>
      <c r="O8" t="s">
        <v>81</v>
      </c>
      <c r="P8" t="s">
        <v>15</v>
      </c>
      <c r="Q8" t="s">
        <v>16</v>
      </c>
      <c r="R8" t="s">
        <v>16</v>
      </c>
      <c r="S8" t="s">
        <v>144</v>
      </c>
      <c r="T8" s="2">
        <f>MASTER[[#This Row],[CANTIDAD]]*MASTER[[#This Row],[PRECIO DE VENTA]]</f>
        <v>1591</v>
      </c>
      <c r="U8" s="2">
        <f>MASTER[[#This Row],[CANTIDAD]]*MASTER[[#This Row],[COSTO UNITARIO]]</f>
        <v>421</v>
      </c>
      <c r="V8" s="2">
        <f>MASTER[[#This Row],[MONTO VENDIDO]]-MASTER[[#This Row],[COSTO DE VENTA]]</f>
        <v>1170</v>
      </c>
    </row>
    <row r="9" spans="1:22" x14ac:dyDescent="0.3">
      <c r="A9">
        <v>10019</v>
      </c>
      <c r="B9">
        <v>2</v>
      </c>
      <c r="C9" t="s">
        <v>121</v>
      </c>
      <c r="D9" t="s">
        <v>122</v>
      </c>
      <c r="E9" s="1">
        <v>43831</v>
      </c>
      <c r="F9">
        <v>1</v>
      </c>
      <c r="G9" t="s">
        <v>41</v>
      </c>
      <c r="H9" t="s">
        <v>42</v>
      </c>
      <c r="I9" s="3">
        <v>1069</v>
      </c>
      <c r="J9" s="3">
        <v>972</v>
      </c>
      <c r="K9" s="3">
        <v>460</v>
      </c>
      <c r="L9" t="s">
        <v>120</v>
      </c>
      <c r="M9">
        <v>19</v>
      </c>
      <c r="N9" t="s">
        <v>89</v>
      </c>
      <c r="O9" t="s">
        <v>81</v>
      </c>
      <c r="P9" t="s">
        <v>15</v>
      </c>
      <c r="Q9" t="s">
        <v>16</v>
      </c>
      <c r="R9" t="s">
        <v>16</v>
      </c>
      <c r="S9" t="s">
        <v>144</v>
      </c>
      <c r="T9" s="2">
        <f>MASTER[[#This Row],[CANTIDAD]]*MASTER[[#This Row],[PRECIO DE VENTA]]</f>
        <v>972</v>
      </c>
      <c r="U9" s="2">
        <f>MASTER[[#This Row],[CANTIDAD]]*MASTER[[#This Row],[COSTO UNITARIO]]</f>
        <v>460</v>
      </c>
      <c r="V9" s="2">
        <f>MASTER[[#This Row],[MONTO VENDIDO]]-MASTER[[#This Row],[COSTO DE VENTA]]</f>
        <v>512</v>
      </c>
    </row>
    <row r="10" spans="1:22" x14ac:dyDescent="0.3">
      <c r="A10">
        <v>10026</v>
      </c>
      <c r="B10">
        <v>1</v>
      </c>
      <c r="C10" t="s">
        <v>96</v>
      </c>
      <c r="D10" t="s">
        <v>97</v>
      </c>
      <c r="E10" s="1">
        <v>43831</v>
      </c>
      <c r="F10">
        <v>1</v>
      </c>
      <c r="G10" t="s">
        <v>51</v>
      </c>
      <c r="H10" t="s">
        <v>52</v>
      </c>
      <c r="I10" s="3">
        <v>1361</v>
      </c>
      <c r="J10" s="3">
        <v>1361</v>
      </c>
      <c r="K10" s="3">
        <v>397</v>
      </c>
      <c r="L10" t="s">
        <v>98</v>
      </c>
      <c r="M10">
        <v>3</v>
      </c>
      <c r="N10" t="s">
        <v>69</v>
      </c>
      <c r="O10" t="s">
        <v>70</v>
      </c>
      <c r="P10" t="s">
        <v>71</v>
      </c>
      <c r="Q10" t="s">
        <v>72</v>
      </c>
      <c r="R10" t="s">
        <v>139</v>
      </c>
      <c r="S10" t="s">
        <v>144</v>
      </c>
      <c r="T10" s="2">
        <f>MASTER[[#This Row],[CANTIDAD]]*MASTER[[#This Row],[PRECIO DE VENTA]]</f>
        <v>1361</v>
      </c>
      <c r="U10" s="2">
        <f>MASTER[[#This Row],[CANTIDAD]]*MASTER[[#This Row],[COSTO UNITARIO]]</f>
        <v>397</v>
      </c>
      <c r="V10" s="2">
        <f>MASTER[[#This Row],[MONTO VENDIDO]]-MASTER[[#This Row],[COSTO DE VENTA]]</f>
        <v>964</v>
      </c>
    </row>
    <row r="11" spans="1:22" x14ac:dyDescent="0.3">
      <c r="A11">
        <v>10035</v>
      </c>
      <c r="B11">
        <v>1</v>
      </c>
      <c r="C11" t="s">
        <v>114</v>
      </c>
      <c r="D11" t="s">
        <v>115</v>
      </c>
      <c r="E11" s="1">
        <v>43832</v>
      </c>
      <c r="F11">
        <v>1</v>
      </c>
      <c r="G11" t="s">
        <v>27</v>
      </c>
      <c r="H11" t="s">
        <v>28</v>
      </c>
      <c r="I11" s="3">
        <v>2030</v>
      </c>
      <c r="J11" s="3">
        <v>2030</v>
      </c>
      <c r="K11" s="3">
        <v>394</v>
      </c>
      <c r="L11" t="s">
        <v>113</v>
      </c>
      <c r="M11">
        <v>3</v>
      </c>
      <c r="N11" t="s">
        <v>69</v>
      </c>
      <c r="O11" t="s">
        <v>70</v>
      </c>
      <c r="P11" t="s">
        <v>71</v>
      </c>
      <c r="Q11" t="s">
        <v>72</v>
      </c>
      <c r="R11" t="s">
        <v>139</v>
      </c>
      <c r="S11" t="s">
        <v>144</v>
      </c>
      <c r="T11" s="2">
        <f>MASTER[[#This Row],[CANTIDAD]]*MASTER[[#This Row],[PRECIO DE VENTA]]</f>
        <v>2030</v>
      </c>
      <c r="U11" s="2">
        <f>MASTER[[#This Row],[CANTIDAD]]*MASTER[[#This Row],[COSTO UNITARIO]]</f>
        <v>394</v>
      </c>
      <c r="V11" s="2">
        <f>MASTER[[#This Row],[MONTO VENDIDO]]-MASTER[[#This Row],[COSTO DE VENTA]]</f>
        <v>1636</v>
      </c>
    </row>
    <row r="12" spans="1:22" x14ac:dyDescent="0.3">
      <c r="A12">
        <v>10047</v>
      </c>
      <c r="B12">
        <v>1</v>
      </c>
      <c r="C12" t="s">
        <v>105</v>
      </c>
      <c r="D12" t="s">
        <v>106</v>
      </c>
      <c r="E12" s="1">
        <v>43832</v>
      </c>
      <c r="F12">
        <v>1</v>
      </c>
      <c r="G12" t="s">
        <v>65</v>
      </c>
      <c r="H12" t="s">
        <v>66</v>
      </c>
      <c r="I12" s="3">
        <v>1865</v>
      </c>
      <c r="J12" s="3">
        <v>1865</v>
      </c>
      <c r="K12" s="3">
        <v>459</v>
      </c>
      <c r="L12" t="s">
        <v>98</v>
      </c>
      <c r="M12">
        <v>10</v>
      </c>
      <c r="N12" t="s">
        <v>83</v>
      </c>
      <c r="O12" t="s">
        <v>81</v>
      </c>
      <c r="P12" t="s">
        <v>12</v>
      </c>
      <c r="Q12" t="s">
        <v>13</v>
      </c>
      <c r="R12" t="s">
        <v>13</v>
      </c>
      <c r="S12" t="s">
        <v>144</v>
      </c>
      <c r="T12" s="2">
        <f>MASTER[[#This Row],[CANTIDAD]]*MASTER[[#This Row],[PRECIO DE VENTA]]</f>
        <v>1865</v>
      </c>
      <c r="U12" s="2">
        <f>MASTER[[#This Row],[CANTIDAD]]*MASTER[[#This Row],[COSTO UNITARIO]]</f>
        <v>459</v>
      </c>
      <c r="V12" s="2">
        <f>MASTER[[#This Row],[MONTO VENDIDO]]-MASTER[[#This Row],[COSTO DE VENTA]]</f>
        <v>1406</v>
      </c>
    </row>
    <row r="13" spans="1:22" x14ac:dyDescent="0.3">
      <c r="A13">
        <v>10068</v>
      </c>
      <c r="B13">
        <v>1</v>
      </c>
      <c r="C13" t="s">
        <v>101</v>
      </c>
      <c r="D13" t="s">
        <v>102</v>
      </c>
      <c r="E13" s="1">
        <v>43832</v>
      </c>
      <c r="F13">
        <v>1</v>
      </c>
      <c r="G13" t="s">
        <v>73</v>
      </c>
      <c r="H13" t="s">
        <v>74</v>
      </c>
      <c r="I13" s="3">
        <v>1357</v>
      </c>
      <c r="J13" s="3">
        <v>1357</v>
      </c>
      <c r="K13" s="3">
        <v>442</v>
      </c>
      <c r="L13" t="s">
        <v>98</v>
      </c>
      <c r="M13">
        <v>3</v>
      </c>
      <c r="N13" t="s">
        <v>69</v>
      </c>
      <c r="O13" t="s">
        <v>70</v>
      </c>
      <c r="P13" t="s">
        <v>71</v>
      </c>
      <c r="Q13" t="s">
        <v>72</v>
      </c>
      <c r="R13" t="s">
        <v>139</v>
      </c>
      <c r="S13" t="s">
        <v>144</v>
      </c>
      <c r="T13" s="2">
        <f>MASTER[[#This Row],[CANTIDAD]]*MASTER[[#This Row],[PRECIO DE VENTA]]</f>
        <v>1357</v>
      </c>
      <c r="U13" s="2">
        <f>MASTER[[#This Row],[CANTIDAD]]*MASTER[[#This Row],[COSTO UNITARIO]]</f>
        <v>442</v>
      </c>
      <c r="V13" s="2">
        <f>MASTER[[#This Row],[MONTO VENDIDO]]-MASTER[[#This Row],[COSTO DE VENTA]]</f>
        <v>915</v>
      </c>
    </row>
    <row r="14" spans="1:22" x14ac:dyDescent="0.3">
      <c r="A14">
        <v>10106</v>
      </c>
      <c r="B14">
        <v>1</v>
      </c>
      <c r="C14" t="s">
        <v>94</v>
      </c>
      <c r="D14" t="s">
        <v>95</v>
      </c>
      <c r="E14" s="1">
        <v>43832</v>
      </c>
      <c r="F14">
        <v>4</v>
      </c>
      <c r="G14" t="s">
        <v>53</v>
      </c>
      <c r="H14" t="s">
        <v>54</v>
      </c>
      <c r="I14" s="3">
        <v>1048</v>
      </c>
      <c r="J14" s="3">
        <v>1048</v>
      </c>
      <c r="K14" s="3">
        <v>392</v>
      </c>
      <c r="L14" t="s">
        <v>9</v>
      </c>
      <c r="M14">
        <v>14</v>
      </c>
      <c r="N14" t="s">
        <v>87</v>
      </c>
      <c r="O14" t="s">
        <v>81</v>
      </c>
      <c r="P14" t="s">
        <v>18</v>
      </c>
      <c r="Q14" t="s">
        <v>19</v>
      </c>
      <c r="R14" t="s">
        <v>138</v>
      </c>
      <c r="S14" t="s">
        <v>144</v>
      </c>
      <c r="T14" s="2">
        <f>MASTER[[#This Row],[CANTIDAD]]*MASTER[[#This Row],[PRECIO DE VENTA]]</f>
        <v>4192</v>
      </c>
      <c r="U14" s="2">
        <f>MASTER[[#This Row],[CANTIDAD]]*MASTER[[#This Row],[COSTO UNITARIO]]</f>
        <v>1568</v>
      </c>
      <c r="V14" s="2">
        <f>MASTER[[#This Row],[MONTO VENDIDO]]-MASTER[[#This Row],[COSTO DE VENTA]]</f>
        <v>2624</v>
      </c>
    </row>
    <row r="15" spans="1:22" x14ac:dyDescent="0.3">
      <c r="A15">
        <v>10108</v>
      </c>
      <c r="B15">
        <v>1</v>
      </c>
      <c r="C15" t="s">
        <v>90</v>
      </c>
      <c r="D15" t="s">
        <v>91</v>
      </c>
      <c r="E15" s="1">
        <v>43832</v>
      </c>
      <c r="F15">
        <v>1</v>
      </c>
      <c r="G15" t="s">
        <v>51</v>
      </c>
      <c r="H15" t="s">
        <v>52</v>
      </c>
      <c r="I15" s="3">
        <v>1844</v>
      </c>
      <c r="J15" s="3">
        <v>1844</v>
      </c>
      <c r="K15" s="3">
        <v>420</v>
      </c>
      <c r="L15" t="s">
        <v>9</v>
      </c>
      <c r="M15">
        <v>8</v>
      </c>
      <c r="N15" t="s">
        <v>80</v>
      </c>
      <c r="O15" t="s">
        <v>81</v>
      </c>
      <c r="P15" t="s">
        <v>12</v>
      </c>
      <c r="Q15" t="s">
        <v>13</v>
      </c>
      <c r="R15" t="s">
        <v>13</v>
      </c>
      <c r="S15" t="s">
        <v>144</v>
      </c>
      <c r="T15" s="2">
        <f>MASTER[[#This Row],[CANTIDAD]]*MASTER[[#This Row],[PRECIO DE VENTA]]</f>
        <v>1844</v>
      </c>
      <c r="U15" s="2">
        <f>MASTER[[#This Row],[CANTIDAD]]*MASTER[[#This Row],[COSTO UNITARIO]]</f>
        <v>420</v>
      </c>
      <c r="V15" s="2">
        <f>MASTER[[#This Row],[MONTO VENDIDO]]-MASTER[[#This Row],[COSTO DE VENTA]]</f>
        <v>1424</v>
      </c>
    </row>
    <row r="16" spans="1:22" x14ac:dyDescent="0.3">
      <c r="A16">
        <v>10111</v>
      </c>
      <c r="B16">
        <v>1</v>
      </c>
      <c r="C16" t="s">
        <v>121</v>
      </c>
      <c r="D16" t="s">
        <v>122</v>
      </c>
      <c r="E16" s="1">
        <v>43833</v>
      </c>
      <c r="F16">
        <v>4</v>
      </c>
      <c r="G16" t="s">
        <v>51</v>
      </c>
      <c r="H16" t="s">
        <v>52</v>
      </c>
      <c r="I16" s="3">
        <v>1069</v>
      </c>
      <c r="J16" s="3">
        <v>1026</v>
      </c>
      <c r="K16" s="3">
        <v>460</v>
      </c>
      <c r="L16" t="s">
        <v>120</v>
      </c>
      <c r="M16">
        <v>5</v>
      </c>
      <c r="N16" t="s">
        <v>85</v>
      </c>
      <c r="O16" t="s">
        <v>81</v>
      </c>
      <c r="P16" t="s">
        <v>12</v>
      </c>
      <c r="Q16" t="s">
        <v>13</v>
      </c>
      <c r="R16" t="s">
        <v>13</v>
      </c>
      <c r="S16" t="s">
        <v>144</v>
      </c>
      <c r="T16" s="2">
        <f>MASTER[[#This Row],[CANTIDAD]]*MASTER[[#This Row],[PRECIO DE VENTA]]</f>
        <v>4104</v>
      </c>
      <c r="U16" s="2">
        <f>MASTER[[#This Row],[CANTIDAD]]*MASTER[[#This Row],[COSTO UNITARIO]]</f>
        <v>1840</v>
      </c>
      <c r="V16" s="2">
        <f>MASTER[[#This Row],[MONTO VENDIDO]]-MASTER[[#This Row],[COSTO DE VENTA]]</f>
        <v>2264</v>
      </c>
    </row>
    <row r="17" spans="1:22" x14ac:dyDescent="0.3">
      <c r="A17">
        <v>10174</v>
      </c>
      <c r="B17">
        <v>1</v>
      </c>
      <c r="C17" t="s">
        <v>121</v>
      </c>
      <c r="D17" t="s">
        <v>122</v>
      </c>
      <c r="E17" s="1">
        <v>43833</v>
      </c>
      <c r="F17">
        <v>1</v>
      </c>
      <c r="G17" t="s">
        <v>24</v>
      </c>
      <c r="H17" t="s">
        <v>25</v>
      </c>
      <c r="I17" s="3">
        <v>1069</v>
      </c>
      <c r="J17" s="3">
        <v>1069</v>
      </c>
      <c r="K17" s="3">
        <v>460</v>
      </c>
      <c r="L17" t="s">
        <v>120</v>
      </c>
      <c r="M17">
        <v>5</v>
      </c>
      <c r="N17" t="s">
        <v>85</v>
      </c>
      <c r="O17" t="s">
        <v>81</v>
      </c>
      <c r="P17" t="s">
        <v>12</v>
      </c>
      <c r="Q17" t="s">
        <v>13</v>
      </c>
      <c r="R17" t="s">
        <v>13</v>
      </c>
      <c r="S17" t="s">
        <v>144</v>
      </c>
      <c r="T17" s="2">
        <f>MASTER[[#This Row],[CANTIDAD]]*MASTER[[#This Row],[PRECIO DE VENTA]]</f>
        <v>1069</v>
      </c>
      <c r="U17" s="2">
        <f>MASTER[[#This Row],[CANTIDAD]]*MASTER[[#This Row],[COSTO UNITARIO]]</f>
        <v>460</v>
      </c>
      <c r="V17" s="2">
        <f>MASTER[[#This Row],[MONTO VENDIDO]]-MASTER[[#This Row],[COSTO DE VENTA]]</f>
        <v>609</v>
      </c>
    </row>
    <row r="18" spans="1:22" x14ac:dyDescent="0.3">
      <c r="A18">
        <v>10178</v>
      </c>
      <c r="B18">
        <v>1</v>
      </c>
      <c r="C18" t="s">
        <v>92</v>
      </c>
      <c r="D18" t="s">
        <v>93</v>
      </c>
      <c r="E18" s="1">
        <v>43833</v>
      </c>
      <c r="F18">
        <v>1</v>
      </c>
      <c r="G18" t="s">
        <v>57</v>
      </c>
      <c r="H18" t="s">
        <v>58</v>
      </c>
      <c r="I18" s="3">
        <v>1681</v>
      </c>
      <c r="J18" s="3">
        <v>1681</v>
      </c>
      <c r="K18" s="3">
        <v>396</v>
      </c>
      <c r="L18" t="s">
        <v>9</v>
      </c>
      <c r="M18">
        <v>5</v>
      </c>
      <c r="N18" t="s">
        <v>85</v>
      </c>
      <c r="O18" t="s">
        <v>81</v>
      </c>
      <c r="P18" t="s">
        <v>12</v>
      </c>
      <c r="Q18" t="s">
        <v>13</v>
      </c>
      <c r="R18" t="s">
        <v>13</v>
      </c>
      <c r="S18" t="s">
        <v>144</v>
      </c>
      <c r="T18" s="2">
        <f>MASTER[[#This Row],[CANTIDAD]]*MASTER[[#This Row],[PRECIO DE VENTA]]</f>
        <v>1681</v>
      </c>
      <c r="U18" s="2">
        <f>MASTER[[#This Row],[CANTIDAD]]*MASTER[[#This Row],[COSTO UNITARIO]]</f>
        <v>396</v>
      </c>
      <c r="V18" s="2">
        <f>MASTER[[#This Row],[MONTO VENDIDO]]-MASTER[[#This Row],[COSTO DE VENTA]]</f>
        <v>1285</v>
      </c>
    </row>
    <row r="19" spans="1:22" x14ac:dyDescent="0.3">
      <c r="A19">
        <v>10208</v>
      </c>
      <c r="B19">
        <v>1</v>
      </c>
      <c r="C19" t="s">
        <v>109</v>
      </c>
      <c r="D19" t="s">
        <v>110</v>
      </c>
      <c r="E19" s="1">
        <v>43833</v>
      </c>
      <c r="F19">
        <v>1</v>
      </c>
      <c r="G19" t="s">
        <v>35</v>
      </c>
      <c r="H19" t="s">
        <v>36</v>
      </c>
      <c r="I19" s="3">
        <v>1128</v>
      </c>
      <c r="J19" s="3">
        <v>1128</v>
      </c>
      <c r="K19" s="3">
        <v>387</v>
      </c>
      <c r="L19" t="s">
        <v>98</v>
      </c>
      <c r="M19">
        <v>9</v>
      </c>
      <c r="N19" t="s">
        <v>76</v>
      </c>
      <c r="O19" t="s">
        <v>70</v>
      </c>
      <c r="P19" t="s">
        <v>12</v>
      </c>
      <c r="Q19" t="s">
        <v>13</v>
      </c>
      <c r="R19" t="s">
        <v>13</v>
      </c>
      <c r="S19" t="s">
        <v>144</v>
      </c>
      <c r="T19" s="2">
        <f>MASTER[[#This Row],[CANTIDAD]]*MASTER[[#This Row],[PRECIO DE VENTA]]</f>
        <v>1128</v>
      </c>
      <c r="U19" s="2">
        <f>MASTER[[#This Row],[CANTIDAD]]*MASTER[[#This Row],[COSTO UNITARIO]]</f>
        <v>387</v>
      </c>
      <c r="V19" s="2">
        <f>MASTER[[#This Row],[MONTO VENDIDO]]-MASTER[[#This Row],[COSTO DE VENTA]]</f>
        <v>741</v>
      </c>
    </row>
    <row r="20" spans="1:22" x14ac:dyDescent="0.3">
      <c r="A20">
        <v>10243</v>
      </c>
      <c r="B20">
        <v>1</v>
      </c>
      <c r="C20" t="s">
        <v>94</v>
      </c>
      <c r="D20" t="s">
        <v>95</v>
      </c>
      <c r="E20" s="1">
        <v>43833</v>
      </c>
      <c r="F20">
        <v>1</v>
      </c>
      <c r="G20" t="s">
        <v>41</v>
      </c>
      <c r="H20" t="s">
        <v>42</v>
      </c>
      <c r="I20" s="3">
        <v>1048</v>
      </c>
      <c r="J20" s="3">
        <v>1048</v>
      </c>
      <c r="K20" s="3">
        <v>392</v>
      </c>
      <c r="L20" t="s">
        <v>9</v>
      </c>
      <c r="M20">
        <v>4</v>
      </c>
      <c r="N20" t="s">
        <v>82</v>
      </c>
      <c r="O20" t="s">
        <v>81</v>
      </c>
      <c r="P20" t="s">
        <v>71</v>
      </c>
      <c r="Q20" t="s">
        <v>72</v>
      </c>
      <c r="R20" t="s">
        <v>139</v>
      </c>
      <c r="S20" t="s">
        <v>144</v>
      </c>
      <c r="T20" s="2">
        <f>MASTER[[#This Row],[CANTIDAD]]*MASTER[[#This Row],[PRECIO DE VENTA]]</f>
        <v>1048</v>
      </c>
      <c r="U20" s="2">
        <f>MASTER[[#This Row],[CANTIDAD]]*MASTER[[#This Row],[COSTO UNITARIO]]</f>
        <v>392</v>
      </c>
      <c r="V20" s="2">
        <f>MASTER[[#This Row],[MONTO VENDIDO]]-MASTER[[#This Row],[COSTO DE VENTA]]</f>
        <v>656</v>
      </c>
    </row>
    <row r="21" spans="1:22" x14ac:dyDescent="0.3">
      <c r="A21">
        <v>10256</v>
      </c>
      <c r="B21">
        <v>1</v>
      </c>
      <c r="C21" t="s">
        <v>96</v>
      </c>
      <c r="D21" t="s">
        <v>97</v>
      </c>
      <c r="E21" s="1">
        <v>43833</v>
      </c>
      <c r="F21">
        <v>1</v>
      </c>
      <c r="G21" t="s">
        <v>24</v>
      </c>
      <c r="H21" t="s">
        <v>25</v>
      </c>
      <c r="I21" s="3">
        <v>1272</v>
      </c>
      <c r="J21" s="3">
        <v>1272</v>
      </c>
      <c r="K21" s="3">
        <v>397</v>
      </c>
      <c r="L21" t="s">
        <v>98</v>
      </c>
      <c r="M21">
        <v>8</v>
      </c>
      <c r="N21" t="s">
        <v>80</v>
      </c>
      <c r="O21" t="s">
        <v>81</v>
      </c>
      <c r="P21" t="s">
        <v>12</v>
      </c>
      <c r="Q21" t="s">
        <v>13</v>
      </c>
      <c r="R21" t="s">
        <v>13</v>
      </c>
      <c r="S21" t="s">
        <v>144</v>
      </c>
      <c r="T21" s="2">
        <f>MASTER[[#This Row],[CANTIDAD]]*MASTER[[#This Row],[PRECIO DE VENTA]]</f>
        <v>1272</v>
      </c>
      <c r="U21" s="2">
        <f>MASTER[[#This Row],[CANTIDAD]]*MASTER[[#This Row],[COSTO UNITARIO]]</f>
        <v>397</v>
      </c>
      <c r="V21" s="2">
        <f>MASTER[[#This Row],[MONTO VENDIDO]]-MASTER[[#This Row],[COSTO DE VENTA]]</f>
        <v>875</v>
      </c>
    </row>
    <row r="22" spans="1:22" x14ac:dyDescent="0.3">
      <c r="A22">
        <v>10258</v>
      </c>
      <c r="B22">
        <v>1</v>
      </c>
      <c r="C22" t="s">
        <v>109</v>
      </c>
      <c r="D22" t="s">
        <v>110</v>
      </c>
      <c r="E22" s="1">
        <v>43833</v>
      </c>
      <c r="F22">
        <v>1</v>
      </c>
      <c r="G22" t="s">
        <v>22</v>
      </c>
      <c r="H22" t="s">
        <v>23</v>
      </c>
      <c r="I22" s="3">
        <v>947</v>
      </c>
      <c r="J22" s="3">
        <v>947</v>
      </c>
      <c r="K22" s="3">
        <v>387</v>
      </c>
      <c r="L22" t="s">
        <v>98</v>
      </c>
      <c r="M22">
        <v>16</v>
      </c>
      <c r="N22" t="s">
        <v>17</v>
      </c>
      <c r="O22" t="s">
        <v>11</v>
      </c>
      <c r="P22" t="s">
        <v>18</v>
      </c>
      <c r="Q22" t="s">
        <v>19</v>
      </c>
      <c r="R22" t="s">
        <v>138</v>
      </c>
      <c r="S22" t="s">
        <v>144</v>
      </c>
      <c r="T22" s="2">
        <f>MASTER[[#This Row],[CANTIDAD]]*MASTER[[#This Row],[PRECIO DE VENTA]]</f>
        <v>947</v>
      </c>
      <c r="U22" s="2">
        <f>MASTER[[#This Row],[CANTIDAD]]*MASTER[[#This Row],[COSTO UNITARIO]]</f>
        <v>387</v>
      </c>
      <c r="V22" s="2">
        <f>MASTER[[#This Row],[MONTO VENDIDO]]-MASTER[[#This Row],[COSTO DE VENTA]]</f>
        <v>560</v>
      </c>
    </row>
    <row r="23" spans="1:22" x14ac:dyDescent="0.3">
      <c r="A23">
        <v>10262</v>
      </c>
      <c r="B23">
        <v>1</v>
      </c>
      <c r="C23" t="s">
        <v>118</v>
      </c>
      <c r="D23" t="s">
        <v>119</v>
      </c>
      <c r="E23" s="1">
        <v>43833</v>
      </c>
      <c r="F23">
        <v>1</v>
      </c>
      <c r="G23" t="s">
        <v>55</v>
      </c>
      <c r="H23" t="s">
        <v>56</v>
      </c>
      <c r="I23" s="3">
        <v>801</v>
      </c>
      <c r="J23" s="3">
        <v>801</v>
      </c>
      <c r="K23" s="3">
        <v>424</v>
      </c>
      <c r="L23" t="s">
        <v>120</v>
      </c>
      <c r="M23">
        <v>11</v>
      </c>
      <c r="N23" t="s">
        <v>10</v>
      </c>
      <c r="O23" t="s">
        <v>11</v>
      </c>
      <c r="P23" t="s">
        <v>12</v>
      </c>
      <c r="Q23" t="s">
        <v>13</v>
      </c>
      <c r="R23" t="s">
        <v>13</v>
      </c>
      <c r="S23" t="s">
        <v>144</v>
      </c>
      <c r="T23" s="2">
        <f>MASTER[[#This Row],[CANTIDAD]]*MASTER[[#This Row],[PRECIO DE VENTA]]</f>
        <v>801</v>
      </c>
      <c r="U23" s="2">
        <f>MASTER[[#This Row],[CANTIDAD]]*MASTER[[#This Row],[COSTO UNITARIO]]</f>
        <v>424</v>
      </c>
      <c r="V23" s="2">
        <f>MASTER[[#This Row],[MONTO VENDIDO]]-MASTER[[#This Row],[COSTO DE VENTA]]</f>
        <v>377</v>
      </c>
    </row>
    <row r="24" spans="1:22" x14ac:dyDescent="0.3">
      <c r="A24">
        <v>10267</v>
      </c>
      <c r="B24">
        <v>1</v>
      </c>
      <c r="C24" t="s">
        <v>105</v>
      </c>
      <c r="D24" t="s">
        <v>106</v>
      </c>
      <c r="E24" s="1">
        <v>43834</v>
      </c>
      <c r="F24">
        <v>1</v>
      </c>
      <c r="G24" t="s">
        <v>51</v>
      </c>
      <c r="H24" t="s">
        <v>52</v>
      </c>
      <c r="I24" s="3">
        <v>1585</v>
      </c>
      <c r="J24" s="3">
        <v>1585</v>
      </c>
      <c r="K24" s="3">
        <v>459</v>
      </c>
      <c r="L24" t="s">
        <v>98</v>
      </c>
      <c r="M24">
        <v>17</v>
      </c>
      <c r="N24" t="s">
        <v>14</v>
      </c>
      <c r="O24" t="s">
        <v>11</v>
      </c>
      <c r="P24" t="s">
        <v>15</v>
      </c>
      <c r="Q24" t="s">
        <v>16</v>
      </c>
      <c r="R24" t="s">
        <v>16</v>
      </c>
      <c r="S24" t="s">
        <v>144</v>
      </c>
      <c r="T24" s="2">
        <f>MASTER[[#This Row],[CANTIDAD]]*MASTER[[#This Row],[PRECIO DE VENTA]]</f>
        <v>1585</v>
      </c>
      <c r="U24" s="2">
        <f>MASTER[[#This Row],[CANTIDAD]]*MASTER[[#This Row],[COSTO UNITARIO]]</f>
        <v>459</v>
      </c>
      <c r="V24" s="2">
        <f>MASTER[[#This Row],[MONTO VENDIDO]]-MASTER[[#This Row],[COSTO DE VENTA]]</f>
        <v>1126</v>
      </c>
    </row>
    <row r="25" spans="1:22" x14ac:dyDescent="0.3">
      <c r="A25">
        <v>10307</v>
      </c>
      <c r="B25">
        <v>2</v>
      </c>
      <c r="C25" t="s">
        <v>105</v>
      </c>
      <c r="D25" t="s">
        <v>106</v>
      </c>
      <c r="E25" s="1">
        <v>43834</v>
      </c>
      <c r="F25">
        <v>1</v>
      </c>
      <c r="G25" t="s">
        <v>20</v>
      </c>
      <c r="H25" t="s">
        <v>21</v>
      </c>
      <c r="I25" s="3">
        <v>1585</v>
      </c>
      <c r="J25" s="3">
        <v>1585</v>
      </c>
      <c r="K25" s="3">
        <v>459</v>
      </c>
      <c r="L25" t="s">
        <v>98</v>
      </c>
      <c r="M25">
        <v>16</v>
      </c>
      <c r="N25" t="s">
        <v>17</v>
      </c>
      <c r="O25" t="s">
        <v>11</v>
      </c>
      <c r="P25" t="s">
        <v>18</v>
      </c>
      <c r="Q25" t="s">
        <v>19</v>
      </c>
      <c r="R25" t="s">
        <v>138</v>
      </c>
      <c r="S25" t="s">
        <v>144</v>
      </c>
      <c r="T25" s="2">
        <f>MASTER[[#This Row],[CANTIDAD]]*MASTER[[#This Row],[PRECIO DE VENTA]]</f>
        <v>1585</v>
      </c>
      <c r="U25" s="2">
        <f>MASTER[[#This Row],[CANTIDAD]]*MASTER[[#This Row],[COSTO UNITARIO]]</f>
        <v>459</v>
      </c>
      <c r="V25" s="2">
        <f>MASTER[[#This Row],[MONTO VENDIDO]]-MASTER[[#This Row],[COSTO DE VENTA]]</f>
        <v>1126</v>
      </c>
    </row>
    <row r="26" spans="1:22" x14ac:dyDescent="0.3">
      <c r="A26">
        <v>10307</v>
      </c>
      <c r="B26">
        <v>1</v>
      </c>
      <c r="C26" t="s">
        <v>107</v>
      </c>
      <c r="D26" t="s">
        <v>108</v>
      </c>
      <c r="E26" s="1">
        <v>43834</v>
      </c>
      <c r="F26">
        <v>1</v>
      </c>
      <c r="G26" t="s">
        <v>33</v>
      </c>
      <c r="H26" t="s">
        <v>34</v>
      </c>
      <c r="I26" s="3">
        <v>1240</v>
      </c>
      <c r="J26" s="3">
        <v>1240</v>
      </c>
      <c r="K26" s="3">
        <v>380</v>
      </c>
      <c r="L26" t="s">
        <v>98</v>
      </c>
      <c r="M26">
        <v>16</v>
      </c>
      <c r="N26" t="s">
        <v>17</v>
      </c>
      <c r="O26" t="s">
        <v>11</v>
      </c>
      <c r="P26" t="s">
        <v>18</v>
      </c>
      <c r="Q26" t="s">
        <v>19</v>
      </c>
      <c r="R26" t="s">
        <v>138</v>
      </c>
      <c r="S26" t="s">
        <v>144</v>
      </c>
      <c r="T26" s="2">
        <f>MASTER[[#This Row],[CANTIDAD]]*MASTER[[#This Row],[PRECIO DE VENTA]]</f>
        <v>1240</v>
      </c>
      <c r="U26" s="2">
        <f>MASTER[[#This Row],[CANTIDAD]]*MASTER[[#This Row],[COSTO UNITARIO]]</f>
        <v>380</v>
      </c>
      <c r="V26" s="2">
        <f>MASTER[[#This Row],[MONTO VENDIDO]]-MASTER[[#This Row],[COSTO DE VENTA]]</f>
        <v>860</v>
      </c>
    </row>
    <row r="27" spans="1:22" x14ac:dyDescent="0.3">
      <c r="A27">
        <v>10319</v>
      </c>
      <c r="B27">
        <v>1</v>
      </c>
      <c r="C27" t="s">
        <v>109</v>
      </c>
      <c r="D27" t="s">
        <v>110</v>
      </c>
      <c r="E27" s="1">
        <v>43834</v>
      </c>
      <c r="F27">
        <v>1</v>
      </c>
      <c r="G27" t="s">
        <v>51</v>
      </c>
      <c r="H27" t="s">
        <v>52</v>
      </c>
      <c r="I27" s="3">
        <v>1128</v>
      </c>
      <c r="J27" s="3">
        <v>1128</v>
      </c>
      <c r="K27" s="3">
        <v>387</v>
      </c>
      <c r="L27" t="s">
        <v>98</v>
      </c>
      <c r="M27">
        <v>6</v>
      </c>
      <c r="N27" t="s">
        <v>75</v>
      </c>
      <c r="O27" t="s">
        <v>70</v>
      </c>
      <c r="P27" t="s">
        <v>12</v>
      </c>
      <c r="Q27" t="s">
        <v>13</v>
      </c>
      <c r="R27" t="s">
        <v>13</v>
      </c>
      <c r="S27" t="s">
        <v>144</v>
      </c>
      <c r="T27" s="2">
        <f>MASTER[[#This Row],[CANTIDAD]]*MASTER[[#This Row],[PRECIO DE VENTA]]</f>
        <v>1128</v>
      </c>
      <c r="U27" s="2">
        <f>MASTER[[#This Row],[CANTIDAD]]*MASTER[[#This Row],[COSTO UNITARIO]]</f>
        <v>387</v>
      </c>
      <c r="V27" s="2">
        <f>MASTER[[#This Row],[MONTO VENDIDO]]-MASTER[[#This Row],[COSTO DE VENTA]]</f>
        <v>741</v>
      </c>
    </row>
    <row r="28" spans="1:22" x14ac:dyDescent="0.3">
      <c r="A28">
        <v>10325</v>
      </c>
      <c r="B28">
        <v>1</v>
      </c>
      <c r="C28" t="s">
        <v>118</v>
      </c>
      <c r="D28" t="s">
        <v>119</v>
      </c>
      <c r="E28" s="1">
        <v>43834</v>
      </c>
      <c r="F28">
        <v>1</v>
      </c>
      <c r="G28" t="s">
        <v>29</v>
      </c>
      <c r="H28" t="s">
        <v>30</v>
      </c>
      <c r="I28" s="3">
        <v>900</v>
      </c>
      <c r="J28" s="3">
        <v>900</v>
      </c>
      <c r="K28" s="3">
        <v>424</v>
      </c>
      <c r="L28" t="s">
        <v>120</v>
      </c>
      <c r="M28">
        <v>8</v>
      </c>
      <c r="N28" t="s">
        <v>80</v>
      </c>
      <c r="O28" t="s">
        <v>81</v>
      </c>
      <c r="P28" t="s">
        <v>12</v>
      </c>
      <c r="Q28" t="s">
        <v>13</v>
      </c>
      <c r="R28" t="s">
        <v>13</v>
      </c>
      <c r="S28" t="s">
        <v>144</v>
      </c>
      <c r="T28" s="2">
        <f>MASTER[[#This Row],[CANTIDAD]]*MASTER[[#This Row],[PRECIO DE VENTA]]</f>
        <v>900</v>
      </c>
      <c r="U28" s="2">
        <f>MASTER[[#This Row],[CANTIDAD]]*MASTER[[#This Row],[COSTO UNITARIO]]</f>
        <v>424</v>
      </c>
      <c r="V28" s="2">
        <f>MASTER[[#This Row],[MONTO VENDIDO]]-MASTER[[#This Row],[COSTO DE VENTA]]</f>
        <v>476</v>
      </c>
    </row>
    <row r="29" spans="1:22" x14ac:dyDescent="0.3">
      <c r="A29">
        <v>10332</v>
      </c>
      <c r="B29">
        <v>1</v>
      </c>
      <c r="C29" t="s">
        <v>103</v>
      </c>
      <c r="D29" t="s">
        <v>104</v>
      </c>
      <c r="E29" s="1">
        <v>43834</v>
      </c>
      <c r="F29">
        <v>1</v>
      </c>
      <c r="G29" t="s">
        <v>65</v>
      </c>
      <c r="H29" t="s">
        <v>66</v>
      </c>
      <c r="I29" s="3">
        <v>1830</v>
      </c>
      <c r="J29" s="3">
        <v>1830</v>
      </c>
      <c r="K29" s="3">
        <v>421</v>
      </c>
      <c r="L29" t="s">
        <v>98</v>
      </c>
      <c r="M29">
        <v>18</v>
      </c>
      <c r="N29" t="s">
        <v>79</v>
      </c>
      <c r="O29" t="s">
        <v>70</v>
      </c>
      <c r="P29" t="s">
        <v>15</v>
      </c>
      <c r="Q29" t="s">
        <v>16</v>
      </c>
      <c r="R29" t="s">
        <v>16</v>
      </c>
      <c r="S29" t="s">
        <v>144</v>
      </c>
      <c r="T29" s="2">
        <f>MASTER[[#This Row],[CANTIDAD]]*MASTER[[#This Row],[PRECIO DE VENTA]]</f>
        <v>1830</v>
      </c>
      <c r="U29" s="2">
        <f>MASTER[[#This Row],[CANTIDAD]]*MASTER[[#This Row],[COSTO UNITARIO]]</f>
        <v>421</v>
      </c>
      <c r="V29" s="2">
        <f>MASTER[[#This Row],[MONTO VENDIDO]]-MASTER[[#This Row],[COSTO DE VENTA]]</f>
        <v>1409</v>
      </c>
    </row>
    <row r="30" spans="1:22" x14ac:dyDescent="0.3">
      <c r="A30">
        <v>10358</v>
      </c>
      <c r="B30">
        <v>1</v>
      </c>
      <c r="C30" t="s">
        <v>101</v>
      </c>
      <c r="D30" t="s">
        <v>102</v>
      </c>
      <c r="E30" s="1">
        <v>43834</v>
      </c>
      <c r="F30">
        <v>1</v>
      </c>
      <c r="G30" t="s">
        <v>59</v>
      </c>
      <c r="H30" t="s">
        <v>60</v>
      </c>
      <c r="I30" s="3">
        <v>1212</v>
      </c>
      <c r="J30" s="3">
        <v>1151</v>
      </c>
      <c r="K30" s="3">
        <v>442</v>
      </c>
      <c r="L30" t="s">
        <v>98</v>
      </c>
      <c r="M30">
        <v>7</v>
      </c>
      <c r="N30" t="s">
        <v>84</v>
      </c>
      <c r="O30" t="s">
        <v>81</v>
      </c>
      <c r="P30" t="s">
        <v>12</v>
      </c>
      <c r="Q30" t="s">
        <v>13</v>
      </c>
      <c r="R30" t="s">
        <v>13</v>
      </c>
      <c r="S30" t="s">
        <v>144</v>
      </c>
      <c r="T30" s="2">
        <f>MASTER[[#This Row],[CANTIDAD]]*MASTER[[#This Row],[PRECIO DE VENTA]]</f>
        <v>1151</v>
      </c>
      <c r="U30" s="2">
        <f>MASTER[[#This Row],[CANTIDAD]]*MASTER[[#This Row],[COSTO UNITARIO]]</f>
        <v>442</v>
      </c>
      <c r="V30" s="2">
        <f>MASTER[[#This Row],[MONTO VENDIDO]]-MASTER[[#This Row],[COSTO DE VENTA]]</f>
        <v>709</v>
      </c>
    </row>
    <row r="31" spans="1:22" x14ac:dyDescent="0.3">
      <c r="A31">
        <v>10371</v>
      </c>
      <c r="B31">
        <v>1</v>
      </c>
      <c r="C31" t="s">
        <v>111</v>
      </c>
      <c r="D31" t="s">
        <v>112</v>
      </c>
      <c r="E31" s="1">
        <v>43834</v>
      </c>
      <c r="F31">
        <v>1</v>
      </c>
      <c r="G31" t="s">
        <v>59</v>
      </c>
      <c r="H31" t="s">
        <v>60</v>
      </c>
      <c r="I31" s="3">
        <v>1799</v>
      </c>
      <c r="J31" s="3">
        <v>1799</v>
      </c>
      <c r="K31" s="3">
        <v>434</v>
      </c>
      <c r="L31" t="s">
        <v>113</v>
      </c>
      <c r="M31">
        <v>13</v>
      </c>
      <c r="N31" t="s">
        <v>78</v>
      </c>
      <c r="O31" t="s">
        <v>70</v>
      </c>
      <c r="P31" t="s">
        <v>18</v>
      </c>
      <c r="Q31" t="s">
        <v>19</v>
      </c>
      <c r="R31" t="s">
        <v>138</v>
      </c>
      <c r="S31" t="s">
        <v>144</v>
      </c>
      <c r="T31" s="2">
        <f>MASTER[[#This Row],[CANTIDAD]]*MASTER[[#This Row],[PRECIO DE VENTA]]</f>
        <v>1799</v>
      </c>
      <c r="U31" s="2">
        <f>MASTER[[#This Row],[CANTIDAD]]*MASTER[[#This Row],[COSTO UNITARIO]]</f>
        <v>434</v>
      </c>
      <c r="V31" s="2">
        <f>MASTER[[#This Row],[MONTO VENDIDO]]-MASTER[[#This Row],[COSTO DE VENTA]]</f>
        <v>1365</v>
      </c>
    </row>
    <row r="32" spans="1:22" x14ac:dyDescent="0.3">
      <c r="A32">
        <v>10378</v>
      </c>
      <c r="B32">
        <v>1</v>
      </c>
      <c r="C32" t="s">
        <v>96</v>
      </c>
      <c r="D32" t="s">
        <v>97</v>
      </c>
      <c r="E32" s="1">
        <v>43834</v>
      </c>
      <c r="F32">
        <v>1</v>
      </c>
      <c r="G32" t="s">
        <v>33</v>
      </c>
      <c r="H32" t="s">
        <v>34</v>
      </c>
      <c r="I32" s="3">
        <v>1361</v>
      </c>
      <c r="J32" s="3">
        <v>1361</v>
      </c>
      <c r="K32" s="3">
        <v>397</v>
      </c>
      <c r="L32" t="s">
        <v>98</v>
      </c>
      <c r="M32">
        <v>13</v>
      </c>
      <c r="N32" t="s">
        <v>78</v>
      </c>
      <c r="O32" t="s">
        <v>70</v>
      </c>
      <c r="P32" t="s">
        <v>18</v>
      </c>
      <c r="Q32" t="s">
        <v>19</v>
      </c>
      <c r="R32" t="s">
        <v>138</v>
      </c>
      <c r="S32" t="s">
        <v>144</v>
      </c>
      <c r="T32" s="2">
        <f>MASTER[[#This Row],[CANTIDAD]]*MASTER[[#This Row],[PRECIO DE VENTA]]</f>
        <v>1361</v>
      </c>
      <c r="U32" s="2">
        <f>MASTER[[#This Row],[CANTIDAD]]*MASTER[[#This Row],[COSTO UNITARIO]]</f>
        <v>397</v>
      </c>
      <c r="V32" s="2">
        <f>MASTER[[#This Row],[MONTO VENDIDO]]-MASTER[[#This Row],[COSTO DE VENTA]]</f>
        <v>964</v>
      </c>
    </row>
    <row r="33" spans="1:22" x14ac:dyDescent="0.3">
      <c r="A33">
        <v>10379</v>
      </c>
      <c r="B33">
        <v>1</v>
      </c>
      <c r="C33" t="s">
        <v>92</v>
      </c>
      <c r="D33" t="s">
        <v>93</v>
      </c>
      <c r="E33" s="1">
        <v>43834</v>
      </c>
      <c r="F33">
        <v>1</v>
      </c>
      <c r="G33" t="s">
        <v>67</v>
      </c>
      <c r="H33" t="s">
        <v>68</v>
      </c>
      <c r="I33" s="3">
        <v>1866</v>
      </c>
      <c r="J33" s="3">
        <v>1866</v>
      </c>
      <c r="K33" s="3">
        <v>396</v>
      </c>
      <c r="L33" t="s">
        <v>9</v>
      </c>
      <c r="M33">
        <v>1</v>
      </c>
      <c r="N33" t="s">
        <v>77</v>
      </c>
      <c r="O33" t="s">
        <v>70</v>
      </c>
      <c r="P33" t="s">
        <v>71</v>
      </c>
      <c r="Q33" t="s">
        <v>72</v>
      </c>
      <c r="R33" t="s">
        <v>139</v>
      </c>
      <c r="S33" t="s">
        <v>144</v>
      </c>
      <c r="T33" s="2">
        <f>MASTER[[#This Row],[CANTIDAD]]*MASTER[[#This Row],[PRECIO DE VENTA]]</f>
        <v>1866</v>
      </c>
      <c r="U33" s="2">
        <f>MASTER[[#This Row],[CANTIDAD]]*MASTER[[#This Row],[COSTO UNITARIO]]</f>
        <v>396</v>
      </c>
      <c r="V33" s="2">
        <f>MASTER[[#This Row],[MONTO VENDIDO]]-MASTER[[#This Row],[COSTO DE VENTA]]</f>
        <v>1470</v>
      </c>
    </row>
    <row r="34" spans="1:22" x14ac:dyDescent="0.3">
      <c r="A34">
        <v>10384</v>
      </c>
      <c r="B34">
        <v>1</v>
      </c>
      <c r="C34" t="s">
        <v>118</v>
      </c>
      <c r="D34" t="s">
        <v>119</v>
      </c>
      <c r="E34" s="1">
        <v>43834</v>
      </c>
      <c r="F34">
        <v>1</v>
      </c>
      <c r="G34" t="s">
        <v>63</v>
      </c>
      <c r="H34" t="s">
        <v>64</v>
      </c>
      <c r="I34" s="3">
        <v>900</v>
      </c>
      <c r="J34" s="3">
        <v>900</v>
      </c>
      <c r="K34" s="3">
        <v>424</v>
      </c>
      <c r="L34" t="s">
        <v>120</v>
      </c>
      <c r="M34">
        <v>5</v>
      </c>
      <c r="N34" t="s">
        <v>85</v>
      </c>
      <c r="O34" t="s">
        <v>81</v>
      </c>
      <c r="P34" t="s">
        <v>12</v>
      </c>
      <c r="Q34" t="s">
        <v>13</v>
      </c>
      <c r="R34" t="s">
        <v>13</v>
      </c>
      <c r="S34" t="s">
        <v>144</v>
      </c>
      <c r="T34" s="2">
        <f>MASTER[[#This Row],[CANTIDAD]]*MASTER[[#This Row],[PRECIO DE VENTA]]</f>
        <v>900</v>
      </c>
      <c r="U34" s="2">
        <f>MASTER[[#This Row],[CANTIDAD]]*MASTER[[#This Row],[COSTO UNITARIO]]</f>
        <v>424</v>
      </c>
      <c r="V34" s="2">
        <f>MASTER[[#This Row],[MONTO VENDIDO]]-MASTER[[#This Row],[COSTO DE VENTA]]</f>
        <v>476</v>
      </c>
    </row>
    <row r="35" spans="1:22" x14ac:dyDescent="0.3">
      <c r="A35">
        <v>10389</v>
      </c>
      <c r="B35">
        <v>1</v>
      </c>
      <c r="C35" t="s">
        <v>114</v>
      </c>
      <c r="D35" t="s">
        <v>115</v>
      </c>
      <c r="E35" s="1">
        <v>43834</v>
      </c>
      <c r="F35">
        <v>1</v>
      </c>
      <c r="G35" t="s">
        <v>45</v>
      </c>
      <c r="H35" t="s">
        <v>46</v>
      </c>
      <c r="I35" s="3">
        <v>2030</v>
      </c>
      <c r="J35" s="3">
        <v>2030</v>
      </c>
      <c r="K35" s="3">
        <v>394</v>
      </c>
      <c r="L35" t="s">
        <v>113</v>
      </c>
      <c r="M35">
        <v>6</v>
      </c>
      <c r="N35" t="s">
        <v>75</v>
      </c>
      <c r="O35" t="s">
        <v>70</v>
      </c>
      <c r="P35" t="s">
        <v>12</v>
      </c>
      <c r="Q35" t="s">
        <v>13</v>
      </c>
      <c r="R35" t="s">
        <v>13</v>
      </c>
      <c r="S35" t="s">
        <v>144</v>
      </c>
      <c r="T35" s="2">
        <f>MASTER[[#This Row],[CANTIDAD]]*MASTER[[#This Row],[PRECIO DE VENTA]]</f>
        <v>2030</v>
      </c>
      <c r="U35" s="2">
        <f>MASTER[[#This Row],[CANTIDAD]]*MASTER[[#This Row],[COSTO UNITARIO]]</f>
        <v>394</v>
      </c>
      <c r="V35" s="2">
        <f>MASTER[[#This Row],[MONTO VENDIDO]]-MASTER[[#This Row],[COSTO DE VENTA]]</f>
        <v>1636</v>
      </c>
    </row>
    <row r="36" spans="1:22" x14ac:dyDescent="0.3">
      <c r="A36">
        <v>10393</v>
      </c>
      <c r="B36">
        <v>1</v>
      </c>
      <c r="C36" t="s">
        <v>105</v>
      </c>
      <c r="D36" t="s">
        <v>106</v>
      </c>
      <c r="E36" s="1">
        <v>43835</v>
      </c>
      <c r="F36">
        <v>1</v>
      </c>
      <c r="G36" t="s">
        <v>47</v>
      </c>
      <c r="H36" t="s">
        <v>48</v>
      </c>
      <c r="I36" s="3">
        <v>1865</v>
      </c>
      <c r="J36" s="3">
        <v>1865</v>
      </c>
      <c r="K36" s="3">
        <v>459</v>
      </c>
      <c r="L36" t="s">
        <v>98</v>
      </c>
      <c r="M36">
        <v>14</v>
      </c>
      <c r="N36" t="s">
        <v>87</v>
      </c>
      <c r="O36" t="s">
        <v>81</v>
      </c>
      <c r="P36" t="s">
        <v>18</v>
      </c>
      <c r="Q36" t="s">
        <v>19</v>
      </c>
      <c r="R36" t="s">
        <v>138</v>
      </c>
      <c r="S36" t="s">
        <v>144</v>
      </c>
      <c r="T36" s="2">
        <f>MASTER[[#This Row],[CANTIDAD]]*MASTER[[#This Row],[PRECIO DE VENTA]]</f>
        <v>1865</v>
      </c>
      <c r="U36" s="2">
        <f>MASTER[[#This Row],[CANTIDAD]]*MASTER[[#This Row],[COSTO UNITARIO]]</f>
        <v>459</v>
      </c>
      <c r="V36" s="2">
        <f>MASTER[[#This Row],[MONTO VENDIDO]]-MASTER[[#This Row],[COSTO DE VENTA]]</f>
        <v>1406</v>
      </c>
    </row>
    <row r="37" spans="1:22" x14ac:dyDescent="0.3">
      <c r="A37">
        <v>10416</v>
      </c>
      <c r="B37">
        <v>1</v>
      </c>
      <c r="C37" t="s">
        <v>90</v>
      </c>
      <c r="D37" t="s">
        <v>91</v>
      </c>
      <c r="E37" s="1">
        <v>43835</v>
      </c>
      <c r="F37">
        <v>1</v>
      </c>
      <c r="G37" t="s">
        <v>7</v>
      </c>
      <c r="H37" t="s">
        <v>8</v>
      </c>
      <c r="I37" s="3">
        <v>1844</v>
      </c>
      <c r="J37" s="3">
        <v>1844</v>
      </c>
      <c r="K37" s="3">
        <v>420</v>
      </c>
      <c r="L37" t="s">
        <v>9</v>
      </c>
      <c r="M37">
        <v>4</v>
      </c>
      <c r="N37" t="s">
        <v>82</v>
      </c>
      <c r="O37" t="s">
        <v>81</v>
      </c>
      <c r="P37" t="s">
        <v>71</v>
      </c>
      <c r="Q37" t="s">
        <v>72</v>
      </c>
      <c r="R37" t="s">
        <v>139</v>
      </c>
      <c r="S37" t="s">
        <v>144</v>
      </c>
      <c r="T37" s="2">
        <f>MASTER[[#This Row],[CANTIDAD]]*MASTER[[#This Row],[PRECIO DE VENTA]]</f>
        <v>1844</v>
      </c>
      <c r="U37" s="2">
        <f>MASTER[[#This Row],[CANTIDAD]]*MASTER[[#This Row],[COSTO UNITARIO]]</f>
        <v>420</v>
      </c>
      <c r="V37" s="2">
        <f>MASTER[[#This Row],[MONTO VENDIDO]]-MASTER[[#This Row],[COSTO DE VENTA]]</f>
        <v>1424</v>
      </c>
    </row>
    <row r="38" spans="1:22" x14ac:dyDescent="0.3">
      <c r="A38">
        <v>10419</v>
      </c>
      <c r="B38">
        <v>1</v>
      </c>
      <c r="C38" t="s">
        <v>90</v>
      </c>
      <c r="D38" t="s">
        <v>91</v>
      </c>
      <c r="E38" s="1">
        <v>43835</v>
      </c>
      <c r="F38">
        <v>1</v>
      </c>
      <c r="G38" t="s">
        <v>65</v>
      </c>
      <c r="H38" t="s">
        <v>66</v>
      </c>
      <c r="I38" s="3">
        <v>1660</v>
      </c>
      <c r="J38" s="3">
        <v>1660</v>
      </c>
      <c r="K38" s="3">
        <v>420</v>
      </c>
      <c r="L38" t="s">
        <v>9</v>
      </c>
      <c r="M38">
        <v>16</v>
      </c>
      <c r="N38" t="s">
        <v>17</v>
      </c>
      <c r="O38" t="s">
        <v>11</v>
      </c>
      <c r="P38" t="s">
        <v>18</v>
      </c>
      <c r="Q38" t="s">
        <v>19</v>
      </c>
      <c r="R38" t="s">
        <v>138</v>
      </c>
      <c r="S38" t="s">
        <v>144</v>
      </c>
      <c r="T38" s="2">
        <f>MASTER[[#This Row],[CANTIDAD]]*MASTER[[#This Row],[PRECIO DE VENTA]]</f>
        <v>1660</v>
      </c>
      <c r="U38" s="2">
        <f>MASTER[[#This Row],[CANTIDAD]]*MASTER[[#This Row],[COSTO UNITARIO]]</f>
        <v>420</v>
      </c>
      <c r="V38" s="2">
        <f>MASTER[[#This Row],[MONTO VENDIDO]]-MASTER[[#This Row],[COSTO DE VENTA]]</f>
        <v>1240</v>
      </c>
    </row>
    <row r="39" spans="1:22" x14ac:dyDescent="0.3">
      <c r="A39">
        <v>10434</v>
      </c>
      <c r="B39">
        <v>1</v>
      </c>
      <c r="C39" t="s">
        <v>107</v>
      </c>
      <c r="D39" t="s">
        <v>108</v>
      </c>
      <c r="E39" s="1">
        <v>43835</v>
      </c>
      <c r="F39">
        <v>1</v>
      </c>
      <c r="G39" t="s">
        <v>45</v>
      </c>
      <c r="H39" t="s">
        <v>46</v>
      </c>
      <c r="I39" s="3">
        <v>1440</v>
      </c>
      <c r="J39" s="3">
        <v>1440</v>
      </c>
      <c r="K39" s="3">
        <v>380</v>
      </c>
      <c r="L39" t="s">
        <v>98</v>
      </c>
      <c r="M39">
        <v>18</v>
      </c>
      <c r="N39" t="s">
        <v>79</v>
      </c>
      <c r="O39" t="s">
        <v>70</v>
      </c>
      <c r="P39" t="s">
        <v>15</v>
      </c>
      <c r="Q39" t="s">
        <v>16</v>
      </c>
      <c r="R39" t="s">
        <v>16</v>
      </c>
      <c r="S39" t="s">
        <v>144</v>
      </c>
      <c r="T39" s="2">
        <f>MASTER[[#This Row],[CANTIDAD]]*MASTER[[#This Row],[PRECIO DE VENTA]]</f>
        <v>1440</v>
      </c>
      <c r="U39" s="2">
        <f>MASTER[[#This Row],[CANTIDAD]]*MASTER[[#This Row],[COSTO UNITARIO]]</f>
        <v>380</v>
      </c>
      <c r="V39" s="2">
        <f>MASTER[[#This Row],[MONTO VENDIDO]]-MASTER[[#This Row],[COSTO DE VENTA]]</f>
        <v>1060</v>
      </c>
    </row>
    <row r="40" spans="1:22" x14ac:dyDescent="0.3">
      <c r="A40">
        <v>10455</v>
      </c>
      <c r="B40">
        <v>2</v>
      </c>
      <c r="C40" t="s">
        <v>5</v>
      </c>
      <c r="D40" t="s">
        <v>6</v>
      </c>
      <c r="E40" s="1">
        <v>43835</v>
      </c>
      <c r="F40">
        <v>1</v>
      </c>
      <c r="G40" t="s">
        <v>43</v>
      </c>
      <c r="H40" t="s">
        <v>44</v>
      </c>
      <c r="I40" s="3">
        <v>1507</v>
      </c>
      <c r="J40" s="3">
        <v>1507</v>
      </c>
      <c r="K40" s="3">
        <v>393</v>
      </c>
      <c r="L40" t="s">
        <v>9</v>
      </c>
      <c r="M40">
        <v>8</v>
      </c>
      <c r="N40" t="s">
        <v>80</v>
      </c>
      <c r="O40" t="s">
        <v>81</v>
      </c>
      <c r="P40" t="s">
        <v>12</v>
      </c>
      <c r="Q40" t="s">
        <v>13</v>
      </c>
      <c r="R40" t="s">
        <v>13</v>
      </c>
      <c r="S40" t="s">
        <v>144</v>
      </c>
      <c r="T40" s="2">
        <f>MASTER[[#This Row],[CANTIDAD]]*MASTER[[#This Row],[PRECIO DE VENTA]]</f>
        <v>1507</v>
      </c>
      <c r="U40" s="2">
        <f>MASTER[[#This Row],[CANTIDAD]]*MASTER[[#This Row],[COSTO UNITARIO]]</f>
        <v>393</v>
      </c>
      <c r="V40" s="2">
        <f>MASTER[[#This Row],[MONTO VENDIDO]]-MASTER[[#This Row],[COSTO DE VENTA]]</f>
        <v>1114</v>
      </c>
    </row>
    <row r="41" spans="1:22" x14ac:dyDescent="0.3">
      <c r="A41">
        <v>10455</v>
      </c>
      <c r="B41">
        <v>1</v>
      </c>
      <c r="C41" t="s">
        <v>118</v>
      </c>
      <c r="D41" t="s">
        <v>119</v>
      </c>
      <c r="E41" s="1">
        <v>43835</v>
      </c>
      <c r="F41">
        <v>1</v>
      </c>
      <c r="G41" t="s">
        <v>35</v>
      </c>
      <c r="H41" t="s">
        <v>36</v>
      </c>
      <c r="I41" s="3">
        <v>900</v>
      </c>
      <c r="J41" s="3">
        <v>900</v>
      </c>
      <c r="K41" s="3">
        <v>424</v>
      </c>
      <c r="L41" t="s">
        <v>120</v>
      </c>
      <c r="M41">
        <v>8</v>
      </c>
      <c r="N41" t="s">
        <v>80</v>
      </c>
      <c r="O41" t="s">
        <v>81</v>
      </c>
      <c r="P41" t="s">
        <v>12</v>
      </c>
      <c r="Q41" t="s">
        <v>13</v>
      </c>
      <c r="R41" t="s">
        <v>13</v>
      </c>
      <c r="S41" t="s">
        <v>144</v>
      </c>
      <c r="T41" s="2">
        <f>MASTER[[#This Row],[CANTIDAD]]*MASTER[[#This Row],[PRECIO DE VENTA]]</f>
        <v>900</v>
      </c>
      <c r="U41" s="2">
        <f>MASTER[[#This Row],[CANTIDAD]]*MASTER[[#This Row],[COSTO UNITARIO]]</f>
        <v>424</v>
      </c>
      <c r="V41" s="2">
        <f>MASTER[[#This Row],[MONTO VENDIDO]]-MASTER[[#This Row],[COSTO DE VENTA]]</f>
        <v>476</v>
      </c>
    </row>
    <row r="42" spans="1:22" x14ac:dyDescent="0.3">
      <c r="A42">
        <v>10477</v>
      </c>
      <c r="B42">
        <v>1</v>
      </c>
      <c r="C42" t="s">
        <v>101</v>
      </c>
      <c r="D42" t="s">
        <v>102</v>
      </c>
      <c r="E42" s="1">
        <v>43835</v>
      </c>
      <c r="F42">
        <v>1</v>
      </c>
      <c r="G42" t="s">
        <v>27</v>
      </c>
      <c r="H42" t="s">
        <v>28</v>
      </c>
      <c r="I42" s="3">
        <v>1212</v>
      </c>
      <c r="J42" s="3">
        <v>1212</v>
      </c>
      <c r="K42" s="3">
        <v>442</v>
      </c>
      <c r="L42" t="s">
        <v>98</v>
      </c>
      <c r="M42">
        <v>2</v>
      </c>
      <c r="N42" t="s">
        <v>86</v>
      </c>
      <c r="O42" t="s">
        <v>81</v>
      </c>
      <c r="P42" t="s">
        <v>71</v>
      </c>
      <c r="Q42" t="s">
        <v>72</v>
      </c>
      <c r="R42" t="s">
        <v>139</v>
      </c>
      <c r="S42" t="s">
        <v>144</v>
      </c>
      <c r="T42" s="2">
        <f>MASTER[[#This Row],[CANTIDAD]]*MASTER[[#This Row],[PRECIO DE VENTA]]</f>
        <v>1212</v>
      </c>
      <c r="U42" s="2">
        <f>MASTER[[#This Row],[CANTIDAD]]*MASTER[[#This Row],[COSTO UNITARIO]]</f>
        <v>442</v>
      </c>
      <c r="V42" s="2">
        <f>MASTER[[#This Row],[MONTO VENDIDO]]-MASTER[[#This Row],[COSTO DE VENTA]]</f>
        <v>770</v>
      </c>
    </row>
    <row r="43" spans="1:22" x14ac:dyDescent="0.3">
      <c r="A43">
        <v>10504</v>
      </c>
      <c r="B43">
        <v>1</v>
      </c>
      <c r="C43" t="s">
        <v>111</v>
      </c>
      <c r="D43" t="s">
        <v>112</v>
      </c>
      <c r="E43" s="1">
        <v>43836</v>
      </c>
      <c r="F43">
        <v>1</v>
      </c>
      <c r="G43" t="s">
        <v>73</v>
      </c>
      <c r="H43" t="s">
        <v>74</v>
      </c>
      <c r="I43" s="3">
        <v>1621</v>
      </c>
      <c r="J43" s="3">
        <v>1621</v>
      </c>
      <c r="K43" s="3">
        <v>434</v>
      </c>
      <c r="L43" t="s">
        <v>113</v>
      </c>
      <c r="M43">
        <v>5</v>
      </c>
      <c r="N43" t="s">
        <v>85</v>
      </c>
      <c r="O43" t="s">
        <v>81</v>
      </c>
      <c r="P43" t="s">
        <v>12</v>
      </c>
      <c r="Q43" t="s">
        <v>13</v>
      </c>
      <c r="R43" t="s">
        <v>13</v>
      </c>
      <c r="S43" t="s">
        <v>144</v>
      </c>
      <c r="T43" s="2">
        <f>MASTER[[#This Row],[CANTIDAD]]*MASTER[[#This Row],[PRECIO DE VENTA]]</f>
        <v>1621</v>
      </c>
      <c r="U43" s="2">
        <f>MASTER[[#This Row],[CANTIDAD]]*MASTER[[#This Row],[COSTO UNITARIO]]</f>
        <v>434</v>
      </c>
      <c r="V43" s="2">
        <f>MASTER[[#This Row],[MONTO VENDIDO]]-MASTER[[#This Row],[COSTO DE VENTA]]</f>
        <v>1187</v>
      </c>
    </row>
    <row r="44" spans="1:22" x14ac:dyDescent="0.3">
      <c r="A44">
        <v>10519</v>
      </c>
      <c r="B44">
        <v>1</v>
      </c>
      <c r="C44" t="s">
        <v>96</v>
      </c>
      <c r="D44" t="s">
        <v>97</v>
      </c>
      <c r="E44" s="1">
        <v>43836</v>
      </c>
      <c r="F44">
        <v>1</v>
      </c>
      <c r="G44" t="s">
        <v>29</v>
      </c>
      <c r="H44" t="s">
        <v>30</v>
      </c>
      <c r="I44" s="3">
        <v>1361</v>
      </c>
      <c r="J44" s="3">
        <v>1361</v>
      </c>
      <c r="K44" s="3">
        <v>397</v>
      </c>
      <c r="L44" t="s">
        <v>98</v>
      </c>
      <c r="M44">
        <v>3</v>
      </c>
      <c r="N44" t="s">
        <v>69</v>
      </c>
      <c r="O44" t="s">
        <v>70</v>
      </c>
      <c r="P44" t="s">
        <v>71</v>
      </c>
      <c r="Q44" t="s">
        <v>72</v>
      </c>
      <c r="R44" t="s">
        <v>139</v>
      </c>
      <c r="S44" t="s">
        <v>144</v>
      </c>
      <c r="T44" s="2">
        <f>MASTER[[#This Row],[CANTIDAD]]*MASTER[[#This Row],[PRECIO DE VENTA]]</f>
        <v>1361</v>
      </c>
      <c r="U44" s="2">
        <f>MASTER[[#This Row],[CANTIDAD]]*MASTER[[#This Row],[COSTO UNITARIO]]</f>
        <v>397</v>
      </c>
      <c r="V44" s="2">
        <f>MASTER[[#This Row],[MONTO VENDIDO]]-MASTER[[#This Row],[COSTO DE VENTA]]</f>
        <v>964</v>
      </c>
    </row>
    <row r="45" spans="1:22" x14ac:dyDescent="0.3">
      <c r="A45">
        <v>10540</v>
      </c>
      <c r="B45">
        <v>1</v>
      </c>
      <c r="C45" t="s">
        <v>116</v>
      </c>
      <c r="D45" t="s">
        <v>117</v>
      </c>
      <c r="E45" s="1">
        <v>43836</v>
      </c>
      <c r="F45">
        <v>1</v>
      </c>
      <c r="G45" t="s">
        <v>55</v>
      </c>
      <c r="H45" t="s">
        <v>56</v>
      </c>
      <c r="I45" s="3">
        <v>1738</v>
      </c>
      <c r="J45" s="3">
        <v>1738</v>
      </c>
      <c r="K45" s="3">
        <v>388</v>
      </c>
      <c r="L45" t="s">
        <v>113</v>
      </c>
      <c r="M45">
        <v>19</v>
      </c>
      <c r="N45" t="s">
        <v>89</v>
      </c>
      <c r="O45" t="s">
        <v>81</v>
      </c>
      <c r="P45" t="s">
        <v>15</v>
      </c>
      <c r="Q45" t="s">
        <v>16</v>
      </c>
      <c r="R45" t="s">
        <v>16</v>
      </c>
      <c r="S45" t="s">
        <v>144</v>
      </c>
      <c r="T45" s="2">
        <f>MASTER[[#This Row],[CANTIDAD]]*MASTER[[#This Row],[PRECIO DE VENTA]]</f>
        <v>1738</v>
      </c>
      <c r="U45" s="2">
        <f>MASTER[[#This Row],[CANTIDAD]]*MASTER[[#This Row],[COSTO UNITARIO]]</f>
        <v>388</v>
      </c>
      <c r="V45" s="2">
        <f>MASTER[[#This Row],[MONTO VENDIDO]]-MASTER[[#This Row],[COSTO DE VENTA]]</f>
        <v>1350</v>
      </c>
    </row>
    <row r="46" spans="1:22" x14ac:dyDescent="0.3">
      <c r="A46">
        <v>10551</v>
      </c>
      <c r="B46">
        <v>1</v>
      </c>
      <c r="C46" t="s">
        <v>96</v>
      </c>
      <c r="D46" t="s">
        <v>97</v>
      </c>
      <c r="E46" s="1">
        <v>43836</v>
      </c>
      <c r="F46">
        <v>1</v>
      </c>
      <c r="G46" t="s">
        <v>47</v>
      </c>
      <c r="H46" t="s">
        <v>48</v>
      </c>
      <c r="I46" s="3">
        <v>1272</v>
      </c>
      <c r="J46" s="3">
        <v>1272</v>
      </c>
      <c r="K46" s="3">
        <v>397</v>
      </c>
      <c r="L46" t="s">
        <v>98</v>
      </c>
      <c r="M46">
        <v>15</v>
      </c>
      <c r="N46" t="s">
        <v>88</v>
      </c>
      <c r="O46" t="s">
        <v>81</v>
      </c>
      <c r="P46" t="s">
        <v>18</v>
      </c>
      <c r="Q46" t="s">
        <v>19</v>
      </c>
      <c r="R46" t="s">
        <v>138</v>
      </c>
      <c r="S46" t="s">
        <v>144</v>
      </c>
      <c r="T46" s="2">
        <f>MASTER[[#This Row],[CANTIDAD]]*MASTER[[#This Row],[PRECIO DE VENTA]]</f>
        <v>1272</v>
      </c>
      <c r="U46" s="2">
        <f>MASTER[[#This Row],[CANTIDAD]]*MASTER[[#This Row],[COSTO UNITARIO]]</f>
        <v>397</v>
      </c>
      <c r="V46" s="2">
        <f>MASTER[[#This Row],[MONTO VENDIDO]]-MASTER[[#This Row],[COSTO DE VENTA]]</f>
        <v>875</v>
      </c>
    </row>
    <row r="47" spans="1:22" x14ac:dyDescent="0.3">
      <c r="A47">
        <v>10564</v>
      </c>
      <c r="B47">
        <v>1</v>
      </c>
      <c r="C47" t="s">
        <v>105</v>
      </c>
      <c r="D47" t="s">
        <v>106</v>
      </c>
      <c r="E47" s="1">
        <v>43836</v>
      </c>
      <c r="F47">
        <v>1</v>
      </c>
      <c r="G47" t="s">
        <v>53</v>
      </c>
      <c r="H47" t="s">
        <v>54</v>
      </c>
      <c r="I47" s="3">
        <v>1865</v>
      </c>
      <c r="J47" s="3">
        <v>1865</v>
      </c>
      <c r="K47" s="3">
        <v>459</v>
      </c>
      <c r="L47" t="s">
        <v>98</v>
      </c>
      <c r="M47">
        <v>10</v>
      </c>
      <c r="N47" t="s">
        <v>83</v>
      </c>
      <c r="O47" t="s">
        <v>81</v>
      </c>
      <c r="P47" t="s">
        <v>12</v>
      </c>
      <c r="Q47" t="s">
        <v>13</v>
      </c>
      <c r="R47" t="s">
        <v>13</v>
      </c>
      <c r="S47" t="s">
        <v>144</v>
      </c>
      <c r="T47" s="2">
        <f>MASTER[[#This Row],[CANTIDAD]]*MASTER[[#This Row],[PRECIO DE VENTA]]</f>
        <v>1865</v>
      </c>
      <c r="U47" s="2">
        <f>MASTER[[#This Row],[CANTIDAD]]*MASTER[[#This Row],[COSTO UNITARIO]]</f>
        <v>459</v>
      </c>
      <c r="V47" s="2">
        <f>MASTER[[#This Row],[MONTO VENDIDO]]-MASTER[[#This Row],[COSTO DE VENTA]]</f>
        <v>1406</v>
      </c>
    </row>
    <row r="48" spans="1:22" x14ac:dyDescent="0.3">
      <c r="A48">
        <v>10569</v>
      </c>
      <c r="B48">
        <v>1</v>
      </c>
      <c r="C48" t="s">
        <v>116</v>
      </c>
      <c r="D48" t="s">
        <v>117</v>
      </c>
      <c r="E48" s="1">
        <v>43837</v>
      </c>
      <c r="F48">
        <v>1</v>
      </c>
      <c r="G48" t="s">
        <v>33</v>
      </c>
      <c r="H48" t="s">
        <v>34</v>
      </c>
      <c r="I48" s="3">
        <v>1738</v>
      </c>
      <c r="J48" s="3">
        <v>1738</v>
      </c>
      <c r="K48" s="3">
        <v>388</v>
      </c>
      <c r="L48" t="s">
        <v>113</v>
      </c>
      <c r="M48">
        <v>2</v>
      </c>
      <c r="N48" t="s">
        <v>86</v>
      </c>
      <c r="O48" t="s">
        <v>81</v>
      </c>
      <c r="P48" t="s">
        <v>71</v>
      </c>
      <c r="Q48" t="s">
        <v>72</v>
      </c>
      <c r="R48" t="s">
        <v>139</v>
      </c>
      <c r="S48" t="s">
        <v>144</v>
      </c>
      <c r="T48" s="2">
        <f>MASTER[[#This Row],[CANTIDAD]]*MASTER[[#This Row],[PRECIO DE VENTA]]</f>
        <v>1738</v>
      </c>
      <c r="U48" s="2">
        <f>MASTER[[#This Row],[CANTIDAD]]*MASTER[[#This Row],[COSTO UNITARIO]]</f>
        <v>388</v>
      </c>
      <c r="V48" s="2">
        <f>MASTER[[#This Row],[MONTO VENDIDO]]-MASTER[[#This Row],[COSTO DE VENTA]]</f>
        <v>1350</v>
      </c>
    </row>
    <row r="49" spans="1:22" x14ac:dyDescent="0.3">
      <c r="A49">
        <v>10620</v>
      </c>
      <c r="B49">
        <v>1</v>
      </c>
      <c r="C49" t="s">
        <v>103</v>
      </c>
      <c r="D49" t="s">
        <v>104</v>
      </c>
      <c r="E49" s="1">
        <v>43837</v>
      </c>
      <c r="F49">
        <v>1</v>
      </c>
      <c r="G49" t="s">
        <v>53</v>
      </c>
      <c r="H49" t="s">
        <v>54</v>
      </c>
      <c r="I49" s="3">
        <v>1448</v>
      </c>
      <c r="J49" s="3">
        <v>1448</v>
      </c>
      <c r="K49" s="3">
        <v>421</v>
      </c>
      <c r="L49" t="s">
        <v>98</v>
      </c>
      <c r="M49">
        <v>16</v>
      </c>
      <c r="N49" t="s">
        <v>17</v>
      </c>
      <c r="O49" t="s">
        <v>11</v>
      </c>
      <c r="P49" t="s">
        <v>18</v>
      </c>
      <c r="Q49" t="s">
        <v>19</v>
      </c>
      <c r="R49" t="s">
        <v>138</v>
      </c>
      <c r="S49" t="s">
        <v>144</v>
      </c>
      <c r="T49" s="2">
        <f>MASTER[[#This Row],[CANTIDAD]]*MASTER[[#This Row],[PRECIO DE VENTA]]</f>
        <v>1448</v>
      </c>
      <c r="U49" s="2">
        <f>MASTER[[#This Row],[CANTIDAD]]*MASTER[[#This Row],[COSTO UNITARIO]]</f>
        <v>421</v>
      </c>
      <c r="V49" s="2">
        <f>MASTER[[#This Row],[MONTO VENDIDO]]-MASTER[[#This Row],[COSTO DE VENTA]]</f>
        <v>1027</v>
      </c>
    </row>
    <row r="50" spans="1:22" x14ac:dyDescent="0.3">
      <c r="A50">
        <v>10628</v>
      </c>
      <c r="B50">
        <v>2</v>
      </c>
      <c r="C50" t="s">
        <v>92</v>
      </c>
      <c r="D50" t="s">
        <v>93</v>
      </c>
      <c r="E50" s="1">
        <v>43837</v>
      </c>
      <c r="F50">
        <v>1</v>
      </c>
      <c r="G50" t="s">
        <v>67</v>
      </c>
      <c r="H50" t="s">
        <v>68</v>
      </c>
      <c r="I50" s="3">
        <v>1866</v>
      </c>
      <c r="J50" s="3">
        <v>1866</v>
      </c>
      <c r="K50" s="3">
        <v>396</v>
      </c>
      <c r="L50" t="s">
        <v>9</v>
      </c>
      <c r="M50">
        <v>18</v>
      </c>
      <c r="N50" t="s">
        <v>79</v>
      </c>
      <c r="O50" t="s">
        <v>70</v>
      </c>
      <c r="P50" t="s">
        <v>15</v>
      </c>
      <c r="Q50" t="s">
        <v>16</v>
      </c>
      <c r="R50" t="s">
        <v>16</v>
      </c>
      <c r="S50" t="s">
        <v>144</v>
      </c>
      <c r="T50" s="2">
        <f>MASTER[[#This Row],[CANTIDAD]]*MASTER[[#This Row],[PRECIO DE VENTA]]</f>
        <v>1866</v>
      </c>
      <c r="U50" s="2">
        <f>MASTER[[#This Row],[CANTIDAD]]*MASTER[[#This Row],[COSTO UNITARIO]]</f>
        <v>396</v>
      </c>
      <c r="V50" s="2">
        <f>MASTER[[#This Row],[MONTO VENDIDO]]-MASTER[[#This Row],[COSTO DE VENTA]]</f>
        <v>1470</v>
      </c>
    </row>
    <row r="51" spans="1:22" x14ac:dyDescent="0.3">
      <c r="A51">
        <v>10628</v>
      </c>
      <c r="B51">
        <v>1</v>
      </c>
      <c r="C51" t="s">
        <v>94</v>
      </c>
      <c r="D51" t="s">
        <v>95</v>
      </c>
      <c r="E51" s="1">
        <v>43837</v>
      </c>
      <c r="F51">
        <v>4</v>
      </c>
      <c r="G51" t="s">
        <v>67</v>
      </c>
      <c r="H51" t="s">
        <v>68</v>
      </c>
      <c r="I51" s="3">
        <v>1153</v>
      </c>
      <c r="J51" s="3">
        <v>1153</v>
      </c>
      <c r="K51" s="3">
        <v>392</v>
      </c>
      <c r="L51" t="s">
        <v>9</v>
      </c>
      <c r="M51">
        <v>18</v>
      </c>
      <c r="N51" t="s">
        <v>79</v>
      </c>
      <c r="O51" t="s">
        <v>70</v>
      </c>
      <c r="P51" t="s">
        <v>15</v>
      </c>
      <c r="Q51" t="s">
        <v>16</v>
      </c>
      <c r="R51" t="s">
        <v>16</v>
      </c>
      <c r="S51" t="s">
        <v>144</v>
      </c>
      <c r="T51" s="2">
        <f>MASTER[[#This Row],[CANTIDAD]]*MASTER[[#This Row],[PRECIO DE VENTA]]</f>
        <v>4612</v>
      </c>
      <c r="U51" s="2">
        <f>MASTER[[#This Row],[CANTIDAD]]*MASTER[[#This Row],[COSTO UNITARIO]]</f>
        <v>1568</v>
      </c>
      <c r="V51" s="2">
        <f>MASTER[[#This Row],[MONTO VENDIDO]]-MASTER[[#This Row],[COSTO DE VENTA]]</f>
        <v>3044</v>
      </c>
    </row>
    <row r="52" spans="1:22" x14ac:dyDescent="0.3">
      <c r="A52">
        <v>10633</v>
      </c>
      <c r="B52">
        <v>1</v>
      </c>
      <c r="C52" t="s">
        <v>5</v>
      </c>
      <c r="D52" t="s">
        <v>6</v>
      </c>
      <c r="E52" s="1">
        <v>43837</v>
      </c>
      <c r="F52">
        <v>1</v>
      </c>
      <c r="G52" t="s">
        <v>7</v>
      </c>
      <c r="H52" t="s">
        <v>8</v>
      </c>
      <c r="I52" s="3">
        <v>1311</v>
      </c>
      <c r="J52" s="3">
        <v>1219</v>
      </c>
      <c r="K52" s="3">
        <v>393</v>
      </c>
      <c r="L52" t="s">
        <v>9</v>
      </c>
      <c r="M52">
        <v>11</v>
      </c>
      <c r="N52" t="s">
        <v>10</v>
      </c>
      <c r="O52" t="s">
        <v>11</v>
      </c>
      <c r="P52" t="s">
        <v>12</v>
      </c>
      <c r="Q52" t="s">
        <v>13</v>
      </c>
      <c r="R52" t="s">
        <v>13</v>
      </c>
      <c r="S52" t="s">
        <v>144</v>
      </c>
      <c r="T52" s="2">
        <f>MASTER[[#This Row],[CANTIDAD]]*MASTER[[#This Row],[PRECIO DE VENTA]]</f>
        <v>1219</v>
      </c>
      <c r="U52" s="2">
        <f>MASTER[[#This Row],[CANTIDAD]]*MASTER[[#This Row],[COSTO UNITARIO]]</f>
        <v>393</v>
      </c>
      <c r="V52" s="2">
        <f>MASTER[[#This Row],[MONTO VENDIDO]]-MASTER[[#This Row],[COSTO DE VENTA]]</f>
        <v>826</v>
      </c>
    </row>
    <row r="53" spans="1:22" x14ac:dyDescent="0.3">
      <c r="A53">
        <v>10646</v>
      </c>
      <c r="B53">
        <v>1</v>
      </c>
      <c r="C53" t="s">
        <v>103</v>
      </c>
      <c r="D53" t="s">
        <v>104</v>
      </c>
      <c r="E53" s="1">
        <v>43837</v>
      </c>
      <c r="F53">
        <v>1</v>
      </c>
      <c r="G53" t="s">
        <v>61</v>
      </c>
      <c r="H53" t="s">
        <v>62</v>
      </c>
      <c r="I53" s="3">
        <v>1830</v>
      </c>
      <c r="J53" s="3">
        <v>1830</v>
      </c>
      <c r="K53" s="3">
        <v>421</v>
      </c>
      <c r="L53" t="s">
        <v>98</v>
      </c>
      <c r="M53">
        <v>18</v>
      </c>
      <c r="N53" t="s">
        <v>79</v>
      </c>
      <c r="O53" t="s">
        <v>70</v>
      </c>
      <c r="P53" t="s">
        <v>15</v>
      </c>
      <c r="Q53" t="s">
        <v>16</v>
      </c>
      <c r="R53" t="s">
        <v>16</v>
      </c>
      <c r="S53" t="s">
        <v>144</v>
      </c>
      <c r="T53" s="2">
        <f>MASTER[[#This Row],[CANTIDAD]]*MASTER[[#This Row],[PRECIO DE VENTA]]</f>
        <v>1830</v>
      </c>
      <c r="U53" s="2">
        <f>MASTER[[#This Row],[CANTIDAD]]*MASTER[[#This Row],[COSTO UNITARIO]]</f>
        <v>421</v>
      </c>
      <c r="V53" s="2">
        <f>MASTER[[#This Row],[MONTO VENDIDO]]-MASTER[[#This Row],[COSTO DE VENTA]]</f>
        <v>1409</v>
      </c>
    </row>
    <row r="54" spans="1:22" x14ac:dyDescent="0.3">
      <c r="A54">
        <v>10647</v>
      </c>
      <c r="B54">
        <v>1</v>
      </c>
      <c r="C54" t="s">
        <v>116</v>
      </c>
      <c r="D54" t="s">
        <v>117</v>
      </c>
      <c r="E54" s="1">
        <v>43838</v>
      </c>
      <c r="F54">
        <v>1</v>
      </c>
      <c r="G54" t="s">
        <v>57</v>
      </c>
      <c r="H54" t="s">
        <v>58</v>
      </c>
      <c r="I54" s="3">
        <v>1738</v>
      </c>
      <c r="J54" s="3">
        <v>1738</v>
      </c>
      <c r="K54" s="3">
        <v>388</v>
      </c>
      <c r="L54" t="s">
        <v>113</v>
      </c>
      <c r="M54">
        <v>4</v>
      </c>
      <c r="N54" t="s">
        <v>82</v>
      </c>
      <c r="O54" t="s">
        <v>81</v>
      </c>
      <c r="P54" t="s">
        <v>71</v>
      </c>
      <c r="Q54" t="s">
        <v>72</v>
      </c>
      <c r="R54" t="s">
        <v>139</v>
      </c>
      <c r="S54" t="s">
        <v>144</v>
      </c>
      <c r="T54" s="2">
        <f>MASTER[[#This Row],[CANTIDAD]]*MASTER[[#This Row],[PRECIO DE VENTA]]</f>
        <v>1738</v>
      </c>
      <c r="U54" s="2">
        <f>MASTER[[#This Row],[CANTIDAD]]*MASTER[[#This Row],[COSTO UNITARIO]]</f>
        <v>388</v>
      </c>
      <c r="V54" s="2">
        <f>MASTER[[#This Row],[MONTO VENDIDO]]-MASTER[[#This Row],[COSTO DE VENTA]]</f>
        <v>1350</v>
      </c>
    </row>
    <row r="55" spans="1:22" x14ac:dyDescent="0.3">
      <c r="A55">
        <v>10649</v>
      </c>
      <c r="B55">
        <v>1</v>
      </c>
      <c r="C55" t="s">
        <v>114</v>
      </c>
      <c r="D55" t="s">
        <v>115</v>
      </c>
      <c r="E55" s="1">
        <v>43838</v>
      </c>
      <c r="F55">
        <v>1</v>
      </c>
      <c r="G55" t="s">
        <v>55</v>
      </c>
      <c r="H55" t="s">
        <v>56</v>
      </c>
      <c r="I55" s="3">
        <v>2030</v>
      </c>
      <c r="J55" s="3">
        <v>1827</v>
      </c>
      <c r="K55" s="3">
        <v>394</v>
      </c>
      <c r="L55" t="s">
        <v>113</v>
      </c>
      <c r="M55">
        <v>13</v>
      </c>
      <c r="N55" t="s">
        <v>78</v>
      </c>
      <c r="O55" t="s">
        <v>70</v>
      </c>
      <c r="P55" t="s">
        <v>18</v>
      </c>
      <c r="Q55" t="s">
        <v>19</v>
      </c>
      <c r="R55" t="s">
        <v>138</v>
      </c>
      <c r="S55" t="s">
        <v>144</v>
      </c>
      <c r="T55" s="2">
        <f>MASTER[[#This Row],[CANTIDAD]]*MASTER[[#This Row],[PRECIO DE VENTA]]</f>
        <v>1827</v>
      </c>
      <c r="U55" s="2">
        <f>MASTER[[#This Row],[CANTIDAD]]*MASTER[[#This Row],[COSTO UNITARIO]]</f>
        <v>394</v>
      </c>
      <c r="V55" s="2">
        <f>MASTER[[#This Row],[MONTO VENDIDO]]-MASTER[[#This Row],[COSTO DE VENTA]]</f>
        <v>1433</v>
      </c>
    </row>
    <row r="56" spans="1:22" x14ac:dyDescent="0.3">
      <c r="A56">
        <v>10657</v>
      </c>
      <c r="B56">
        <v>1</v>
      </c>
      <c r="C56" t="s">
        <v>114</v>
      </c>
      <c r="D56" t="s">
        <v>115</v>
      </c>
      <c r="E56" s="1">
        <v>43838</v>
      </c>
      <c r="F56">
        <v>1</v>
      </c>
      <c r="G56" t="s">
        <v>67</v>
      </c>
      <c r="H56" t="s">
        <v>68</v>
      </c>
      <c r="I56" s="3">
        <v>1862</v>
      </c>
      <c r="J56" s="3">
        <v>1862</v>
      </c>
      <c r="K56" s="3">
        <v>394</v>
      </c>
      <c r="L56" t="s">
        <v>113</v>
      </c>
      <c r="M56">
        <v>8</v>
      </c>
      <c r="N56" t="s">
        <v>80</v>
      </c>
      <c r="O56" t="s">
        <v>81</v>
      </c>
      <c r="P56" t="s">
        <v>12</v>
      </c>
      <c r="Q56" t="s">
        <v>13</v>
      </c>
      <c r="R56" t="s">
        <v>13</v>
      </c>
      <c r="S56" t="s">
        <v>144</v>
      </c>
      <c r="T56" s="2">
        <f>MASTER[[#This Row],[CANTIDAD]]*MASTER[[#This Row],[PRECIO DE VENTA]]</f>
        <v>1862</v>
      </c>
      <c r="U56" s="2">
        <f>MASTER[[#This Row],[CANTIDAD]]*MASTER[[#This Row],[COSTO UNITARIO]]</f>
        <v>394</v>
      </c>
      <c r="V56" s="2">
        <f>MASTER[[#This Row],[MONTO VENDIDO]]-MASTER[[#This Row],[COSTO DE VENTA]]</f>
        <v>1468</v>
      </c>
    </row>
    <row r="57" spans="1:22" x14ac:dyDescent="0.3">
      <c r="A57">
        <v>10665</v>
      </c>
      <c r="B57">
        <v>1</v>
      </c>
      <c r="C57" t="s">
        <v>116</v>
      </c>
      <c r="D57" t="s">
        <v>117</v>
      </c>
      <c r="E57" s="1">
        <v>43838</v>
      </c>
      <c r="F57">
        <v>1</v>
      </c>
      <c r="G57" t="s">
        <v>45</v>
      </c>
      <c r="H57" t="s">
        <v>46</v>
      </c>
      <c r="I57" s="3">
        <v>1999</v>
      </c>
      <c r="J57" s="3">
        <v>1999</v>
      </c>
      <c r="K57" s="3">
        <v>388</v>
      </c>
      <c r="L57" t="s">
        <v>113</v>
      </c>
      <c r="M57">
        <v>1</v>
      </c>
      <c r="N57" t="s">
        <v>77</v>
      </c>
      <c r="O57" t="s">
        <v>70</v>
      </c>
      <c r="P57" t="s">
        <v>71</v>
      </c>
      <c r="Q57" t="s">
        <v>72</v>
      </c>
      <c r="R57" t="s">
        <v>139</v>
      </c>
      <c r="S57" t="s">
        <v>144</v>
      </c>
      <c r="T57" s="2">
        <f>MASTER[[#This Row],[CANTIDAD]]*MASTER[[#This Row],[PRECIO DE VENTA]]</f>
        <v>1999</v>
      </c>
      <c r="U57" s="2">
        <f>MASTER[[#This Row],[CANTIDAD]]*MASTER[[#This Row],[COSTO UNITARIO]]</f>
        <v>388</v>
      </c>
      <c r="V57" s="2">
        <f>MASTER[[#This Row],[MONTO VENDIDO]]-MASTER[[#This Row],[COSTO DE VENTA]]</f>
        <v>1611</v>
      </c>
    </row>
    <row r="58" spans="1:22" x14ac:dyDescent="0.3">
      <c r="A58">
        <v>10676</v>
      </c>
      <c r="B58">
        <v>1</v>
      </c>
      <c r="C58" t="s">
        <v>99</v>
      </c>
      <c r="D58" t="s">
        <v>100</v>
      </c>
      <c r="E58" s="1">
        <v>43838</v>
      </c>
      <c r="F58">
        <v>1</v>
      </c>
      <c r="G58" t="s">
        <v>45</v>
      </c>
      <c r="H58" t="s">
        <v>46</v>
      </c>
      <c r="I58" s="3">
        <v>1459</v>
      </c>
      <c r="J58" s="3">
        <v>1459</v>
      </c>
      <c r="K58" s="3">
        <v>386</v>
      </c>
      <c r="L58" t="s">
        <v>98</v>
      </c>
      <c r="M58">
        <v>7</v>
      </c>
      <c r="N58" t="s">
        <v>84</v>
      </c>
      <c r="O58" t="s">
        <v>81</v>
      </c>
      <c r="P58" t="s">
        <v>12</v>
      </c>
      <c r="Q58" t="s">
        <v>13</v>
      </c>
      <c r="R58" t="s">
        <v>13</v>
      </c>
      <c r="S58" t="s">
        <v>144</v>
      </c>
      <c r="T58" s="2">
        <f>MASTER[[#This Row],[CANTIDAD]]*MASTER[[#This Row],[PRECIO DE VENTA]]</f>
        <v>1459</v>
      </c>
      <c r="U58" s="2">
        <f>MASTER[[#This Row],[CANTIDAD]]*MASTER[[#This Row],[COSTO UNITARIO]]</f>
        <v>386</v>
      </c>
      <c r="V58" s="2">
        <f>MASTER[[#This Row],[MONTO VENDIDO]]-MASTER[[#This Row],[COSTO DE VENTA]]</f>
        <v>1073</v>
      </c>
    </row>
    <row r="59" spans="1:22" x14ac:dyDescent="0.3">
      <c r="A59">
        <v>10685</v>
      </c>
      <c r="B59">
        <v>1</v>
      </c>
      <c r="C59" t="s">
        <v>99</v>
      </c>
      <c r="D59" t="s">
        <v>100</v>
      </c>
      <c r="E59" s="1">
        <v>43838</v>
      </c>
      <c r="F59">
        <v>1</v>
      </c>
      <c r="G59" t="s">
        <v>20</v>
      </c>
      <c r="H59" t="s">
        <v>21</v>
      </c>
      <c r="I59" s="3">
        <v>1459</v>
      </c>
      <c r="J59" s="3">
        <v>1459</v>
      </c>
      <c r="K59" s="3">
        <v>386</v>
      </c>
      <c r="L59" t="s">
        <v>98</v>
      </c>
      <c r="M59">
        <v>7</v>
      </c>
      <c r="N59" t="s">
        <v>84</v>
      </c>
      <c r="O59" t="s">
        <v>81</v>
      </c>
      <c r="P59" t="s">
        <v>12</v>
      </c>
      <c r="Q59" t="s">
        <v>13</v>
      </c>
      <c r="R59" t="s">
        <v>13</v>
      </c>
      <c r="S59" t="s">
        <v>144</v>
      </c>
      <c r="T59" s="2">
        <f>MASTER[[#This Row],[CANTIDAD]]*MASTER[[#This Row],[PRECIO DE VENTA]]</f>
        <v>1459</v>
      </c>
      <c r="U59" s="2">
        <f>MASTER[[#This Row],[CANTIDAD]]*MASTER[[#This Row],[COSTO UNITARIO]]</f>
        <v>386</v>
      </c>
      <c r="V59" s="2">
        <f>MASTER[[#This Row],[MONTO VENDIDO]]-MASTER[[#This Row],[COSTO DE VENTA]]</f>
        <v>1073</v>
      </c>
    </row>
    <row r="60" spans="1:22" x14ac:dyDescent="0.3">
      <c r="A60">
        <v>10746</v>
      </c>
      <c r="B60">
        <v>1</v>
      </c>
      <c r="C60" t="s">
        <v>114</v>
      </c>
      <c r="D60" t="s">
        <v>115</v>
      </c>
      <c r="E60" s="1">
        <v>43838</v>
      </c>
      <c r="F60">
        <v>1</v>
      </c>
      <c r="G60" t="s">
        <v>53</v>
      </c>
      <c r="H60" t="s">
        <v>54</v>
      </c>
      <c r="I60" s="3">
        <v>2030</v>
      </c>
      <c r="J60" s="3">
        <v>2030</v>
      </c>
      <c r="K60" s="3">
        <v>394</v>
      </c>
      <c r="L60" t="s">
        <v>113</v>
      </c>
      <c r="M60">
        <v>18</v>
      </c>
      <c r="N60" t="s">
        <v>79</v>
      </c>
      <c r="O60" t="s">
        <v>70</v>
      </c>
      <c r="P60" t="s">
        <v>15</v>
      </c>
      <c r="Q60" t="s">
        <v>16</v>
      </c>
      <c r="R60" t="s">
        <v>16</v>
      </c>
      <c r="S60" t="s">
        <v>144</v>
      </c>
      <c r="T60" s="2">
        <f>MASTER[[#This Row],[CANTIDAD]]*MASTER[[#This Row],[PRECIO DE VENTA]]</f>
        <v>2030</v>
      </c>
      <c r="U60" s="2">
        <f>MASTER[[#This Row],[CANTIDAD]]*MASTER[[#This Row],[COSTO UNITARIO]]</f>
        <v>394</v>
      </c>
      <c r="V60" s="2">
        <f>MASTER[[#This Row],[MONTO VENDIDO]]-MASTER[[#This Row],[COSTO DE VENTA]]</f>
        <v>1636</v>
      </c>
    </row>
    <row r="61" spans="1:22" x14ac:dyDescent="0.3">
      <c r="A61">
        <v>10755</v>
      </c>
      <c r="B61">
        <v>1</v>
      </c>
      <c r="C61" t="s">
        <v>118</v>
      </c>
      <c r="D61" t="s">
        <v>119</v>
      </c>
      <c r="E61" s="1">
        <v>43838</v>
      </c>
      <c r="F61">
        <v>3</v>
      </c>
      <c r="G61" t="s">
        <v>57</v>
      </c>
      <c r="H61" t="s">
        <v>58</v>
      </c>
      <c r="I61" s="3">
        <v>900</v>
      </c>
      <c r="J61" s="3">
        <v>900</v>
      </c>
      <c r="K61" s="3">
        <v>424</v>
      </c>
      <c r="L61" t="s">
        <v>120</v>
      </c>
      <c r="M61">
        <v>10</v>
      </c>
      <c r="N61" t="s">
        <v>83</v>
      </c>
      <c r="O61" t="s">
        <v>81</v>
      </c>
      <c r="P61" t="s">
        <v>12</v>
      </c>
      <c r="Q61" t="s">
        <v>13</v>
      </c>
      <c r="R61" t="s">
        <v>13</v>
      </c>
      <c r="S61" t="s">
        <v>144</v>
      </c>
      <c r="T61" s="2">
        <f>MASTER[[#This Row],[CANTIDAD]]*MASTER[[#This Row],[PRECIO DE VENTA]]</f>
        <v>2700</v>
      </c>
      <c r="U61" s="2">
        <f>MASTER[[#This Row],[CANTIDAD]]*MASTER[[#This Row],[COSTO UNITARIO]]</f>
        <v>1272</v>
      </c>
      <c r="V61" s="2">
        <f>MASTER[[#This Row],[MONTO VENDIDO]]-MASTER[[#This Row],[COSTO DE VENTA]]</f>
        <v>1428</v>
      </c>
    </row>
    <row r="62" spans="1:22" x14ac:dyDescent="0.3">
      <c r="A62">
        <v>10776</v>
      </c>
      <c r="B62">
        <v>1</v>
      </c>
      <c r="C62" t="s">
        <v>103</v>
      </c>
      <c r="D62" t="s">
        <v>104</v>
      </c>
      <c r="E62" s="1">
        <v>43838</v>
      </c>
      <c r="F62">
        <v>1</v>
      </c>
      <c r="G62" t="s">
        <v>59</v>
      </c>
      <c r="H62" t="s">
        <v>60</v>
      </c>
      <c r="I62" s="3">
        <v>1830</v>
      </c>
      <c r="J62" s="3">
        <v>1830</v>
      </c>
      <c r="K62" s="3">
        <v>421</v>
      </c>
      <c r="L62" t="s">
        <v>98</v>
      </c>
      <c r="M62">
        <v>9</v>
      </c>
      <c r="N62" t="s">
        <v>76</v>
      </c>
      <c r="O62" t="s">
        <v>70</v>
      </c>
      <c r="P62" t="s">
        <v>12</v>
      </c>
      <c r="Q62" t="s">
        <v>13</v>
      </c>
      <c r="R62" t="s">
        <v>13</v>
      </c>
      <c r="S62" t="s">
        <v>144</v>
      </c>
      <c r="T62" s="2">
        <f>MASTER[[#This Row],[CANTIDAD]]*MASTER[[#This Row],[PRECIO DE VENTA]]</f>
        <v>1830</v>
      </c>
      <c r="U62" s="2">
        <f>MASTER[[#This Row],[CANTIDAD]]*MASTER[[#This Row],[COSTO UNITARIO]]</f>
        <v>421</v>
      </c>
      <c r="V62" s="2">
        <f>MASTER[[#This Row],[MONTO VENDIDO]]-MASTER[[#This Row],[COSTO DE VENTA]]</f>
        <v>1409</v>
      </c>
    </row>
    <row r="63" spans="1:22" x14ac:dyDescent="0.3">
      <c r="A63">
        <v>10777</v>
      </c>
      <c r="B63">
        <v>1</v>
      </c>
      <c r="C63" t="s">
        <v>107</v>
      </c>
      <c r="D63" t="s">
        <v>108</v>
      </c>
      <c r="E63" s="1">
        <v>43838</v>
      </c>
      <c r="F63">
        <v>1</v>
      </c>
      <c r="G63" t="s">
        <v>35</v>
      </c>
      <c r="H63" t="s">
        <v>36</v>
      </c>
      <c r="I63" s="3">
        <v>1333</v>
      </c>
      <c r="J63" s="3">
        <v>1333</v>
      </c>
      <c r="K63" s="3">
        <v>380</v>
      </c>
      <c r="L63" t="s">
        <v>98</v>
      </c>
      <c r="M63">
        <v>5</v>
      </c>
      <c r="N63" t="s">
        <v>85</v>
      </c>
      <c r="O63" t="s">
        <v>81</v>
      </c>
      <c r="P63" t="s">
        <v>12</v>
      </c>
      <c r="Q63" t="s">
        <v>13</v>
      </c>
      <c r="R63" t="s">
        <v>13</v>
      </c>
      <c r="S63" t="s">
        <v>144</v>
      </c>
      <c r="T63" s="2">
        <f>MASTER[[#This Row],[CANTIDAD]]*MASTER[[#This Row],[PRECIO DE VENTA]]</f>
        <v>1333</v>
      </c>
      <c r="U63" s="2">
        <f>MASTER[[#This Row],[CANTIDAD]]*MASTER[[#This Row],[COSTO UNITARIO]]</f>
        <v>380</v>
      </c>
      <c r="V63" s="2">
        <f>MASTER[[#This Row],[MONTO VENDIDO]]-MASTER[[#This Row],[COSTO DE VENTA]]</f>
        <v>953</v>
      </c>
    </row>
    <row r="64" spans="1:22" x14ac:dyDescent="0.3">
      <c r="A64">
        <v>10784</v>
      </c>
      <c r="B64">
        <v>1</v>
      </c>
      <c r="C64" t="s">
        <v>94</v>
      </c>
      <c r="D64" t="s">
        <v>95</v>
      </c>
      <c r="E64" s="1">
        <v>43838</v>
      </c>
      <c r="F64">
        <v>1</v>
      </c>
      <c r="G64" t="s">
        <v>7</v>
      </c>
      <c r="H64" t="s">
        <v>8</v>
      </c>
      <c r="I64" s="3">
        <v>1048</v>
      </c>
      <c r="J64" s="3">
        <v>1048</v>
      </c>
      <c r="K64" s="3">
        <v>392</v>
      </c>
      <c r="L64" t="s">
        <v>9</v>
      </c>
      <c r="M64">
        <v>4</v>
      </c>
      <c r="N64" t="s">
        <v>82</v>
      </c>
      <c r="O64" t="s">
        <v>81</v>
      </c>
      <c r="P64" t="s">
        <v>71</v>
      </c>
      <c r="Q64" t="s">
        <v>72</v>
      </c>
      <c r="R64" t="s">
        <v>139</v>
      </c>
      <c r="S64" t="s">
        <v>144</v>
      </c>
      <c r="T64" s="2">
        <f>MASTER[[#This Row],[CANTIDAD]]*MASTER[[#This Row],[PRECIO DE VENTA]]</f>
        <v>1048</v>
      </c>
      <c r="U64" s="2">
        <f>MASTER[[#This Row],[CANTIDAD]]*MASTER[[#This Row],[COSTO UNITARIO]]</f>
        <v>392</v>
      </c>
      <c r="V64" s="2">
        <f>MASTER[[#This Row],[MONTO VENDIDO]]-MASTER[[#This Row],[COSTO DE VENTA]]</f>
        <v>656</v>
      </c>
    </row>
    <row r="65" spans="1:22" x14ac:dyDescent="0.3">
      <c r="A65">
        <v>10793</v>
      </c>
      <c r="B65">
        <v>1</v>
      </c>
      <c r="C65" t="s">
        <v>114</v>
      </c>
      <c r="D65" t="s">
        <v>115</v>
      </c>
      <c r="E65" s="1">
        <v>43838</v>
      </c>
      <c r="F65">
        <v>1</v>
      </c>
      <c r="G65" t="s">
        <v>47</v>
      </c>
      <c r="H65" t="s">
        <v>48</v>
      </c>
      <c r="I65" s="3">
        <v>1583</v>
      </c>
      <c r="J65" s="3">
        <v>1583</v>
      </c>
      <c r="K65" s="3">
        <v>394</v>
      </c>
      <c r="L65" t="s">
        <v>113</v>
      </c>
      <c r="M65">
        <v>11</v>
      </c>
      <c r="N65" t="s">
        <v>10</v>
      </c>
      <c r="O65" t="s">
        <v>11</v>
      </c>
      <c r="P65" t="s">
        <v>12</v>
      </c>
      <c r="Q65" t="s">
        <v>13</v>
      </c>
      <c r="R65" t="s">
        <v>13</v>
      </c>
      <c r="S65" t="s">
        <v>144</v>
      </c>
      <c r="T65" s="2">
        <f>MASTER[[#This Row],[CANTIDAD]]*MASTER[[#This Row],[PRECIO DE VENTA]]</f>
        <v>1583</v>
      </c>
      <c r="U65" s="2">
        <f>MASTER[[#This Row],[CANTIDAD]]*MASTER[[#This Row],[COSTO UNITARIO]]</f>
        <v>394</v>
      </c>
      <c r="V65" s="2">
        <f>MASTER[[#This Row],[MONTO VENDIDO]]-MASTER[[#This Row],[COSTO DE VENTA]]</f>
        <v>1189</v>
      </c>
    </row>
    <row r="66" spans="1:22" x14ac:dyDescent="0.3">
      <c r="A66">
        <v>10800</v>
      </c>
      <c r="B66">
        <v>1</v>
      </c>
      <c r="C66" t="s">
        <v>107</v>
      </c>
      <c r="D66" t="s">
        <v>108</v>
      </c>
      <c r="E66" s="1">
        <v>43838</v>
      </c>
      <c r="F66">
        <v>1</v>
      </c>
      <c r="G66" t="s">
        <v>47</v>
      </c>
      <c r="H66" t="s">
        <v>48</v>
      </c>
      <c r="I66" s="3">
        <v>1440</v>
      </c>
      <c r="J66" s="3">
        <v>1440</v>
      </c>
      <c r="K66" s="3">
        <v>380</v>
      </c>
      <c r="L66" t="s">
        <v>98</v>
      </c>
      <c r="M66">
        <v>13</v>
      </c>
      <c r="N66" t="s">
        <v>78</v>
      </c>
      <c r="O66" t="s">
        <v>70</v>
      </c>
      <c r="P66" t="s">
        <v>18</v>
      </c>
      <c r="Q66" t="s">
        <v>19</v>
      </c>
      <c r="R66" t="s">
        <v>138</v>
      </c>
      <c r="S66" t="s">
        <v>144</v>
      </c>
      <c r="T66" s="2">
        <f>MASTER[[#This Row],[CANTIDAD]]*MASTER[[#This Row],[PRECIO DE VENTA]]</f>
        <v>1440</v>
      </c>
      <c r="U66" s="2">
        <f>MASTER[[#This Row],[CANTIDAD]]*MASTER[[#This Row],[COSTO UNITARIO]]</f>
        <v>380</v>
      </c>
      <c r="V66" s="2">
        <f>MASTER[[#This Row],[MONTO VENDIDO]]-MASTER[[#This Row],[COSTO DE VENTA]]</f>
        <v>1060</v>
      </c>
    </row>
    <row r="67" spans="1:22" x14ac:dyDescent="0.3">
      <c r="A67">
        <v>10812</v>
      </c>
      <c r="B67">
        <v>1</v>
      </c>
      <c r="C67" t="s">
        <v>90</v>
      </c>
      <c r="D67" t="s">
        <v>91</v>
      </c>
      <c r="E67" s="1">
        <v>43839</v>
      </c>
      <c r="F67">
        <v>1</v>
      </c>
      <c r="G67" t="s">
        <v>47</v>
      </c>
      <c r="H67" t="s">
        <v>48</v>
      </c>
      <c r="I67" s="3">
        <v>1660</v>
      </c>
      <c r="J67" s="3">
        <v>1660</v>
      </c>
      <c r="K67" s="3">
        <v>420</v>
      </c>
      <c r="L67" t="s">
        <v>9</v>
      </c>
      <c r="M67">
        <v>16</v>
      </c>
      <c r="N67" t="s">
        <v>17</v>
      </c>
      <c r="O67" t="s">
        <v>11</v>
      </c>
      <c r="P67" t="s">
        <v>18</v>
      </c>
      <c r="Q67" t="s">
        <v>19</v>
      </c>
      <c r="R67" t="s">
        <v>138</v>
      </c>
      <c r="S67" t="s">
        <v>144</v>
      </c>
      <c r="T67" s="2">
        <f>MASTER[[#This Row],[CANTIDAD]]*MASTER[[#This Row],[PRECIO DE VENTA]]</f>
        <v>1660</v>
      </c>
      <c r="U67" s="2">
        <f>MASTER[[#This Row],[CANTIDAD]]*MASTER[[#This Row],[COSTO UNITARIO]]</f>
        <v>420</v>
      </c>
      <c r="V67" s="2">
        <f>MASTER[[#This Row],[MONTO VENDIDO]]-MASTER[[#This Row],[COSTO DE VENTA]]</f>
        <v>1240</v>
      </c>
    </row>
    <row r="68" spans="1:22" x14ac:dyDescent="0.3">
      <c r="A68">
        <v>10851</v>
      </c>
      <c r="B68">
        <v>1</v>
      </c>
      <c r="C68" t="s">
        <v>111</v>
      </c>
      <c r="D68" t="s">
        <v>112</v>
      </c>
      <c r="E68" s="1">
        <v>43839</v>
      </c>
      <c r="F68">
        <v>1</v>
      </c>
      <c r="G68" t="s">
        <v>53</v>
      </c>
      <c r="H68" t="s">
        <v>54</v>
      </c>
      <c r="I68" s="3">
        <v>1799</v>
      </c>
      <c r="J68" s="3">
        <v>1799</v>
      </c>
      <c r="K68" s="3">
        <v>434</v>
      </c>
      <c r="L68" t="s">
        <v>113</v>
      </c>
      <c r="M68">
        <v>13</v>
      </c>
      <c r="N68" t="s">
        <v>78</v>
      </c>
      <c r="O68" t="s">
        <v>70</v>
      </c>
      <c r="P68" t="s">
        <v>18</v>
      </c>
      <c r="Q68" t="s">
        <v>19</v>
      </c>
      <c r="R68" t="s">
        <v>138</v>
      </c>
      <c r="S68" t="s">
        <v>144</v>
      </c>
      <c r="T68" s="2">
        <f>MASTER[[#This Row],[CANTIDAD]]*MASTER[[#This Row],[PRECIO DE VENTA]]</f>
        <v>1799</v>
      </c>
      <c r="U68" s="2">
        <f>MASTER[[#This Row],[CANTIDAD]]*MASTER[[#This Row],[COSTO UNITARIO]]</f>
        <v>434</v>
      </c>
      <c r="V68" s="2">
        <f>MASTER[[#This Row],[MONTO VENDIDO]]-MASTER[[#This Row],[COSTO DE VENTA]]</f>
        <v>1365</v>
      </c>
    </row>
    <row r="69" spans="1:22" x14ac:dyDescent="0.3">
      <c r="A69">
        <v>10851</v>
      </c>
      <c r="B69">
        <v>2</v>
      </c>
      <c r="C69" t="s">
        <v>111</v>
      </c>
      <c r="D69" t="s">
        <v>112</v>
      </c>
      <c r="E69" s="1">
        <v>43839</v>
      </c>
      <c r="F69">
        <v>1</v>
      </c>
      <c r="G69" t="s">
        <v>41</v>
      </c>
      <c r="H69" t="s">
        <v>42</v>
      </c>
      <c r="I69" s="3">
        <v>1799</v>
      </c>
      <c r="J69" s="3">
        <v>1799</v>
      </c>
      <c r="K69" s="3">
        <v>434</v>
      </c>
      <c r="L69" t="s">
        <v>113</v>
      </c>
      <c r="M69">
        <v>13</v>
      </c>
      <c r="N69" t="s">
        <v>78</v>
      </c>
      <c r="O69" t="s">
        <v>70</v>
      </c>
      <c r="P69" t="s">
        <v>18</v>
      </c>
      <c r="Q69" t="s">
        <v>19</v>
      </c>
      <c r="R69" t="s">
        <v>138</v>
      </c>
      <c r="S69" t="s">
        <v>144</v>
      </c>
      <c r="T69" s="2">
        <f>MASTER[[#This Row],[CANTIDAD]]*MASTER[[#This Row],[PRECIO DE VENTA]]</f>
        <v>1799</v>
      </c>
      <c r="U69" s="2">
        <f>MASTER[[#This Row],[CANTIDAD]]*MASTER[[#This Row],[COSTO UNITARIO]]</f>
        <v>434</v>
      </c>
      <c r="V69" s="2">
        <f>MASTER[[#This Row],[MONTO VENDIDO]]-MASTER[[#This Row],[COSTO DE VENTA]]</f>
        <v>1365</v>
      </c>
    </row>
    <row r="70" spans="1:22" x14ac:dyDescent="0.3">
      <c r="A70">
        <v>10880</v>
      </c>
      <c r="B70">
        <v>1</v>
      </c>
      <c r="C70" t="s">
        <v>105</v>
      </c>
      <c r="D70" t="s">
        <v>106</v>
      </c>
      <c r="E70" s="1">
        <v>43839</v>
      </c>
      <c r="F70">
        <v>1</v>
      </c>
      <c r="G70" t="s">
        <v>7</v>
      </c>
      <c r="H70" t="s">
        <v>8</v>
      </c>
      <c r="I70" s="3">
        <v>1865</v>
      </c>
      <c r="J70" s="3">
        <v>1865</v>
      </c>
      <c r="K70" s="3">
        <v>459</v>
      </c>
      <c r="L70" t="s">
        <v>98</v>
      </c>
      <c r="M70">
        <v>4</v>
      </c>
      <c r="N70" t="s">
        <v>82</v>
      </c>
      <c r="O70" t="s">
        <v>81</v>
      </c>
      <c r="P70" t="s">
        <v>71</v>
      </c>
      <c r="Q70" t="s">
        <v>72</v>
      </c>
      <c r="R70" t="s">
        <v>139</v>
      </c>
      <c r="S70" t="s">
        <v>144</v>
      </c>
      <c r="T70" s="2">
        <f>MASTER[[#This Row],[CANTIDAD]]*MASTER[[#This Row],[PRECIO DE VENTA]]</f>
        <v>1865</v>
      </c>
      <c r="U70" s="2">
        <f>MASTER[[#This Row],[CANTIDAD]]*MASTER[[#This Row],[COSTO UNITARIO]]</f>
        <v>459</v>
      </c>
      <c r="V70" s="2">
        <f>MASTER[[#This Row],[MONTO VENDIDO]]-MASTER[[#This Row],[COSTO DE VENTA]]</f>
        <v>1406</v>
      </c>
    </row>
    <row r="71" spans="1:22" x14ac:dyDescent="0.3">
      <c r="A71">
        <v>10885</v>
      </c>
      <c r="B71">
        <v>1</v>
      </c>
      <c r="C71" t="s">
        <v>116</v>
      </c>
      <c r="D71" t="s">
        <v>117</v>
      </c>
      <c r="E71" s="1">
        <v>43839</v>
      </c>
      <c r="F71">
        <v>1</v>
      </c>
      <c r="G71" t="s">
        <v>57</v>
      </c>
      <c r="H71" t="s">
        <v>58</v>
      </c>
      <c r="I71" s="3">
        <v>1999</v>
      </c>
      <c r="J71" s="3">
        <v>1839</v>
      </c>
      <c r="K71" s="3">
        <v>388</v>
      </c>
      <c r="L71" t="s">
        <v>113</v>
      </c>
      <c r="M71">
        <v>6</v>
      </c>
      <c r="N71" t="s">
        <v>75</v>
      </c>
      <c r="O71" t="s">
        <v>70</v>
      </c>
      <c r="P71" t="s">
        <v>12</v>
      </c>
      <c r="Q71" t="s">
        <v>13</v>
      </c>
      <c r="R71" t="s">
        <v>13</v>
      </c>
      <c r="S71" t="s">
        <v>144</v>
      </c>
      <c r="T71" s="2">
        <f>MASTER[[#This Row],[CANTIDAD]]*MASTER[[#This Row],[PRECIO DE VENTA]]</f>
        <v>1839</v>
      </c>
      <c r="U71" s="2">
        <f>MASTER[[#This Row],[CANTIDAD]]*MASTER[[#This Row],[COSTO UNITARIO]]</f>
        <v>388</v>
      </c>
      <c r="V71" s="2">
        <f>MASTER[[#This Row],[MONTO VENDIDO]]-MASTER[[#This Row],[COSTO DE VENTA]]</f>
        <v>1451</v>
      </c>
    </row>
    <row r="72" spans="1:22" x14ac:dyDescent="0.3">
      <c r="A72">
        <v>10893</v>
      </c>
      <c r="B72">
        <v>1</v>
      </c>
      <c r="C72" t="s">
        <v>5</v>
      </c>
      <c r="D72" t="s">
        <v>6</v>
      </c>
      <c r="E72" s="1">
        <v>43839</v>
      </c>
      <c r="F72">
        <v>1</v>
      </c>
      <c r="G72" t="s">
        <v>33</v>
      </c>
      <c r="H72" t="s">
        <v>34</v>
      </c>
      <c r="I72" s="3">
        <v>1296</v>
      </c>
      <c r="J72" s="3">
        <v>1296</v>
      </c>
      <c r="K72" s="3">
        <v>393</v>
      </c>
      <c r="L72" t="s">
        <v>9</v>
      </c>
      <c r="M72">
        <v>3</v>
      </c>
      <c r="N72" t="s">
        <v>69</v>
      </c>
      <c r="O72" t="s">
        <v>70</v>
      </c>
      <c r="P72" t="s">
        <v>71</v>
      </c>
      <c r="Q72" t="s">
        <v>72</v>
      </c>
      <c r="R72" t="s">
        <v>139</v>
      </c>
      <c r="S72" t="s">
        <v>144</v>
      </c>
      <c r="T72" s="2">
        <f>MASTER[[#This Row],[CANTIDAD]]*MASTER[[#This Row],[PRECIO DE VENTA]]</f>
        <v>1296</v>
      </c>
      <c r="U72" s="2">
        <f>MASTER[[#This Row],[CANTIDAD]]*MASTER[[#This Row],[COSTO UNITARIO]]</f>
        <v>393</v>
      </c>
      <c r="V72" s="2">
        <f>MASTER[[#This Row],[MONTO VENDIDO]]-MASTER[[#This Row],[COSTO DE VENTA]]</f>
        <v>903</v>
      </c>
    </row>
    <row r="73" spans="1:22" x14ac:dyDescent="0.3">
      <c r="A73">
        <v>10903</v>
      </c>
      <c r="B73">
        <v>1</v>
      </c>
      <c r="C73" t="s">
        <v>118</v>
      </c>
      <c r="D73" t="s">
        <v>119</v>
      </c>
      <c r="E73" s="1">
        <v>43839</v>
      </c>
      <c r="F73">
        <v>4</v>
      </c>
      <c r="G73" t="s">
        <v>47</v>
      </c>
      <c r="H73" t="s">
        <v>48</v>
      </c>
      <c r="I73" s="3">
        <v>900</v>
      </c>
      <c r="J73" s="3">
        <v>900</v>
      </c>
      <c r="K73" s="3">
        <v>424</v>
      </c>
      <c r="L73" t="s">
        <v>120</v>
      </c>
      <c r="M73">
        <v>10</v>
      </c>
      <c r="N73" t="s">
        <v>83</v>
      </c>
      <c r="O73" t="s">
        <v>81</v>
      </c>
      <c r="P73" t="s">
        <v>12</v>
      </c>
      <c r="Q73" t="s">
        <v>13</v>
      </c>
      <c r="R73" t="s">
        <v>13</v>
      </c>
      <c r="S73" t="s">
        <v>144</v>
      </c>
      <c r="T73" s="2">
        <f>MASTER[[#This Row],[CANTIDAD]]*MASTER[[#This Row],[PRECIO DE VENTA]]</f>
        <v>3600</v>
      </c>
      <c r="U73" s="2">
        <f>MASTER[[#This Row],[CANTIDAD]]*MASTER[[#This Row],[COSTO UNITARIO]]</f>
        <v>1696</v>
      </c>
      <c r="V73" s="2">
        <f>MASTER[[#This Row],[MONTO VENDIDO]]-MASTER[[#This Row],[COSTO DE VENTA]]</f>
        <v>1904</v>
      </c>
    </row>
    <row r="74" spans="1:22" x14ac:dyDescent="0.3">
      <c r="A74">
        <v>10910</v>
      </c>
      <c r="B74">
        <v>1</v>
      </c>
      <c r="C74" t="s">
        <v>111</v>
      </c>
      <c r="D74" t="s">
        <v>112</v>
      </c>
      <c r="E74" s="1">
        <v>43839</v>
      </c>
      <c r="F74">
        <v>1</v>
      </c>
      <c r="G74" t="s">
        <v>31</v>
      </c>
      <c r="H74" t="s">
        <v>32</v>
      </c>
      <c r="I74" s="3">
        <v>1799</v>
      </c>
      <c r="J74" s="3">
        <v>1799</v>
      </c>
      <c r="K74" s="3">
        <v>434</v>
      </c>
      <c r="L74" t="s">
        <v>113</v>
      </c>
      <c r="M74">
        <v>13</v>
      </c>
      <c r="N74" t="s">
        <v>78</v>
      </c>
      <c r="O74" t="s">
        <v>70</v>
      </c>
      <c r="P74" t="s">
        <v>18</v>
      </c>
      <c r="Q74" t="s">
        <v>19</v>
      </c>
      <c r="R74" t="s">
        <v>138</v>
      </c>
      <c r="S74" t="s">
        <v>144</v>
      </c>
      <c r="T74" s="2">
        <f>MASTER[[#This Row],[CANTIDAD]]*MASTER[[#This Row],[PRECIO DE VENTA]]</f>
        <v>1799</v>
      </c>
      <c r="U74" s="2">
        <f>MASTER[[#This Row],[CANTIDAD]]*MASTER[[#This Row],[COSTO UNITARIO]]</f>
        <v>434</v>
      </c>
      <c r="V74" s="2">
        <f>MASTER[[#This Row],[MONTO VENDIDO]]-MASTER[[#This Row],[COSTO DE VENTA]]</f>
        <v>1365</v>
      </c>
    </row>
    <row r="75" spans="1:22" x14ac:dyDescent="0.3">
      <c r="A75">
        <v>10921</v>
      </c>
      <c r="B75">
        <v>1</v>
      </c>
      <c r="C75" t="s">
        <v>103</v>
      </c>
      <c r="D75" t="s">
        <v>104</v>
      </c>
      <c r="E75" s="1">
        <v>43839</v>
      </c>
      <c r="F75">
        <v>1</v>
      </c>
      <c r="G75" t="s">
        <v>67</v>
      </c>
      <c r="H75" t="s">
        <v>68</v>
      </c>
      <c r="I75" s="3">
        <v>1591</v>
      </c>
      <c r="J75" s="3">
        <v>1591</v>
      </c>
      <c r="K75" s="3">
        <v>421</v>
      </c>
      <c r="L75" t="s">
        <v>98</v>
      </c>
      <c r="M75">
        <v>10</v>
      </c>
      <c r="N75" t="s">
        <v>83</v>
      </c>
      <c r="O75" t="s">
        <v>81</v>
      </c>
      <c r="P75" t="s">
        <v>12</v>
      </c>
      <c r="Q75" t="s">
        <v>13</v>
      </c>
      <c r="R75" t="s">
        <v>13</v>
      </c>
      <c r="S75" t="s">
        <v>144</v>
      </c>
      <c r="T75" s="2">
        <f>MASTER[[#This Row],[CANTIDAD]]*MASTER[[#This Row],[PRECIO DE VENTA]]</f>
        <v>1591</v>
      </c>
      <c r="U75" s="2">
        <f>MASTER[[#This Row],[CANTIDAD]]*MASTER[[#This Row],[COSTO UNITARIO]]</f>
        <v>421</v>
      </c>
      <c r="V75" s="2">
        <f>MASTER[[#This Row],[MONTO VENDIDO]]-MASTER[[#This Row],[COSTO DE VENTA]]</f>
        <v>1170</v>
      </c>
    </row>
    <row r="76" spans="1:22" x14ac:dyDescent="0.3">
      <c r="A76">
        <v>10936</v>
      </c>
      <c r="B76">
        <v>1</v>
      </c>
      <c r="C76" t="s">
        <v>103</v>
      </c>
      <c r="D76" t="s">
        <v>104</v>
      </c>
      <c r="E76" s="1">
        <v>43840</v>
      </c>
      <c r="F76">
        <v>1</v>
      </c>
      <c r="G76" t="s">
        <v>65</v>
      </c>
      <c r="H76" t="s">
        <v>66</v>
      </c>
      <c r="I76" s="3">
        <v>1591</v>
      </c>
      <c r="J76" s="3">
        <v>1591</v>
      </c>
      <c r="K76" s="3">
        <v>421</v>
      </c>
      <c r="L76" t="s">
        <v>98</v>
      </c>
      <c r="M76">
        <v>14</v>
      </c>
      <c r="N76" t="s">
        <v>87</v>
      </c>
      <c r="O76" t="s">
        <v>81</v>
      </c>
      <c r="P76" t="s">
        <v>18</v>
      </c>
      <c r="Q76" t="s">
        <v>19</v>
      </c>
      <c r="R76" t="s">
        <v>138</v>
      </c>
      <c r="S76" t="s">
        <v>144</v>
      </c>
      <c r="T76" s="2">
        <f>MASTER[[#This Row],[CANTIDAD]]*MASTER[[#This Row],[PRECIO DE VENTA]]</f>
        <v>1591</v>
      </c>
      <c r="U76" s="2">
        <f>MASTER[[#This Row],[CANTIDAD]]*MASTER[[#This Row],[COSTO UNITARIO]]</f>
        <v>421</v>
      </c>
      <c r="V76" s="2">
        <f>MASTER[[#This Row],[MONTO VENDIDO]]-MASTER[[#This Row],[COSTO DE VENTA]]</f>
        <v>1170</v>
      </c>
    </row>
    <row r="77" spans="1:22" x14ac:dyDescent="0.3">
      <c r="A77">
        <v>10945</v>
      </c>
      <c r="B77">
        <v>1</v>
      </c>
      <c r="C77" t="s">
        <v>105</v>
      </c>
      <c r="D77" t="s">
        <v>106</v>
      </c>
      <c r="E77" s="1">
        <v>43840</v>
      </c>
      <c r="F77">
        <v>1</v>
      </c>
      <c r="G77" t="s">
        <v>61</v>
      </c>
      <c r="H77" t="s">
        <v>62</v>
      </c>
      <c r="I77" s="3">
        <v>1585</v>
      </c>
      <c r="J77" s="3">
        <v>1585</v>
      </c>
      <c r="K77" s="3">
        <v>459</v>
      </c>
      <c r="L77" t="s">
        <v>98</v>
      </c>
      <c r="M77">
        <v>17</v>
      </c>
      <c r="N77" t="s">
        <v>14</v>
      </c>
      <c r="O77" t="s">
        <v>11</v>
      </c>
      <c r="P77" t="s">
        <v>15</v>
      </c>
      <c r="Q77" t="s">
        <v>16</v>
      </c>
      <c r="R77" t="s">
        <v>16</v>
      </c>
      <c r="S77" t="s">
        <v>144</v>
      </c>
      <c r="T77" s="2">
        <f>MASTER[[#This Row],[CANTIDAD]]*MASTER[[#This Row],[PRECIO DE VENTA]]</f>
        <v>1585</v>
      </c>
      <c r="U77" s="2">
        <f>MASTER[[#This Row],[CANTIDAD]]*MASTER[[#This Row],[COSTO UNITARIO]]</f>
        <v>459</v>
      </c>
      <c r="V77" s="2">
        <f>MASTER[[#This Row],[MONTO VENDIDO]]-MASTER[[#This Row],[COSTO DE VENTA]]</f>
        <v>1126</v>
      </c>
    </row>
    <row r="78" spans="1:22" x14ac:dyDescent="0.3">
      <c r="A78">
        <v>10956</v>
      </c>
      <c r="B78">
        <v>1</v>
      </c>
      <c r="C78" t="s">
        <v>116</v>
      </c>
      <c r="D78" t="s">
        <v>117</v>
      </c>
      <c r="E78" s="1">
        <v>43840</v>
      </c>
      <c r="F78">
        <v>1</v>
      </c>
      <c r="G78" t="s">
        <v>29</v>
      </c>
      <c r="H78" t="s">
        <v>30</v>
      </c>
      <c r="I78" s="3">
        <v>1738</v>
      </c>
      <c r="J78" s="3">
        <v>1738</v>
      </c>
      <c r="K78" s="3">
        <v>388</v>
      </c>
      <c r="L78" t="s">
        <v>113</v>
      </c>
      <c r="M78">
        <v>8</v>
      </c>
      <c r="N78" t="s">
        <v>80</v>
      </c>
      <c r="O78" t="s">
        <v>81</v>
      </c>
      <c r="P78" t="s">
        <v>12</v>
      </c>
      <c r="Q78" t="s">
        <v>13</v>
      </c>
      <c r="R78" t="s">
        <v>13</v>
      </c>
      <c r="S78" t="s">
        <v>144</v>
      </c>
      <c r="T78" s="2">
        <f>MASTER[[#This Row],[CANTIDAD]]*MASTER[[#This Row],[PRECIO DE VENTA]]</f>
        <v>1738</v>
      </c>
      <c r="U78" s="2">
        <f>MASTER[[#This Row],[CANTIDAD]]*MASTER[[#This Row],[COSTO UNITARIO]]</f>
        <v>388</v>
      </c>
      <c r="V78" s="2">
        <f>MASTER[[#This Row],[MONTO VENDIDO]]-MASTER[[#This Row],[COSTO DE VENTA]]</f>
        <v>1350</v>
      </c>
    </row>
    <row r="79" spans="1:22" x14ac:dyDescent="0.3">
      <c r="A79">
        <v>10966</v>
      </c>
      <c r="B79">
        <v>1</v>
      </c>
      <c r="C79" t="s">
        <v>121</v>
      </c>
      <c r="D79" t="s">
        <v>122</v>
      </c>
      <c r="E79" s="1">
        <v>43840</v>
      </c>
      <c r="F79">
        <v>1</v>
      </c>
      <c r="G79" t="s">
        <v>20</v>
      </c>
      <c r="H79" t="s">
        <v>21</v>
      </c>
      <c r="I79" s="3">
        <v>1069</v>
      </c>
      <c r="J79" s="3">
        <v>1069</v>
      </c>
      <c r="K79" s="3">
        <v>460</v>
      </c>
      <c r="L79" t="s">
        <v>120</v>
      </c>
      <c r="M79">
        <v>4</v>
      </c>
      <c r="N79" t="s">
        <v>82</v>
      </c>
      <c r="O79" t="s">
        <v>81</v>
      </c>
      <c r="P79" t="s">
        <v>71</v>
      </c>
      <c r="Q79" t="s">
        <v>72</v>
      </c>
      <c r="R79" t="s">
        <v>139</v>
      </c>
      <c r="S79" t="s">
        <v>144</v>
      </c>
      <c r="T79" s="2">
        <f>MASTER[[#This Row],[CANTIDAD]]*MASTER[[#This Row],[PRECIO DE VENTA]]</f>
        <v>1069</v>
      </c>
      <c r="U79" s="2">
        <f>MASTER[[#This Row],[CANTIDAD]]*MASTER[[#This Row],[COSTO UNITARIO]]</f>
        <v>460</v>
      </c>
      <c r="V79" s="2">
        <f>MASTER[[#This Row],[MONTO VENDIDO]]-MASTER[[#This Row],[COSTO DE VENTA]]</f>
        <v>609</v>
      </c>
    </row>
    <row r="80" spans="1:22" x14ac:dyDescent="0.3">
      <c r="A80">
        <v>10971</v>
      </c>
      <c r="B80">
        <v>1</v>
      </c>
      <c r="C80" t="s">
        <v>109</v>
      </c>
      <c r="D80" t="s">
        <v>110</v>
      </c>
      <c r="E80" s="1">
        <v>43840</v>
      </c>
      <c r="F80">
        <v>1</v>
      </c>
      <c r="G80" t="s">
        <v>27</v>
      </c>
      <c r="H80" t="s">
        <v>28</v>
      </c>
      <c r="I80" s="3">
        <v>947</v>
      </c>
      <c r="J80" s="3">
        <v>947</v>
      </c>
      <c r="K80" s="3">
        <v>387</v>
      </c>
      <c r="L80" t="s">
        <v>98</v>
      </c>
      <c r="M80">
        <v>12</v>
      </c>
      <c r="N80" t="s">
        <v>26</v>
      </c>
      <c r="O80" t="s">
        <v>11</v>
      </c>
      <c r="P80" t="s">
        <v>12</v>
      </c>
      <c r="Q80" t="s">
        <v>13</v>
      </c>
      <c r="R80" t="s">
        <v>13</v>
      </c>
      <c r="S80" t="s">
        <v>144</v>
      </c>
      <c r="T80" s="2">
        <f>MASTER[[#This Row],[CANTIDAD]]*MASTER[[#This Row],[PRECIO DE VENTA]]</f>
        <v>947</v>
      </c>
      <c r="U80" s="2">
        <f>MASTER[[#This Row],[CANTIDAD]]*MASTER[[#This Row],[COSTO UNITARIO]]</f>
        <v>387</v>
      </c>
      <c r="V80" s="2">
        <f>MASTER[[#This Row],[MONTO VENDIDO]]-MASTER[[#This Row],[COSTO DE VENTA]]</f>
        <v>560</v>
      </c>
    </row>
    <row r="81" spans="1:22" x14ac:dyDescent="0.3">
      <c r="A81">
        <v>10990</v>
      </c>
      <c r="B81">
        <v>1</v>
      </c>
      <c r="C81" t="s">
        <v>96</v>
      </c>
      <c r="D81" t="s">
        <v>97</v>
      </c>
      <c r="E81" s="1">
        <v>43841</v>
      </c>
      <c r="F81">
        <v>1</v>
      </c>
      <c r="G81" t="s">
        <v>61</v>
      </c>
      <c r="H81" t="s">
        <v>62</v>
      </c>
      <c r="I81" s="3">
        <v>1272</v>
      </c>
      <c r="J81" s="3">
        <v>1272</v>
      </c>
      <c r="K81" s="3">
        <v>397</v>
      </c>
      <c r="L81" t="s">
        <v>98</v>
      </c>
      <c r="M81">
        <v>8</v>
      </c>
      <c r="N81" t="s">
        <v>80</v>
      </c>
      <c r="O81" t="s">
        <v>81</v>
      </c>
      <c r="P81" t="s">
        <v>12</v>
      </c>
      <c r="Q81" t="s">
        <v>13</v>
      </c>
      <c r="R81" t="s">
        <v>13</v>
      </c>
      <c r="S81" t="s">
        <v>144</v>
      </c>
      <c r="T81" s="2">
        <f>MASTER[[#This Row],[CANTIDAD]]*MASTER[[#This Row],[PRECIO DE VENTA]]</f>
        <v>1272</v>
      </c>
      <c r="U81" s="2">
        <f>MASTER[[#This Row],[CANTIDAD]]*MASTER[[#This Row],[COSTO UNITARIO]]</f>
        <v>397</v>
      </c>
      <c r="V81" s="2">
        <f>MASTER[[#This Row],[MONTO VENDIDO]]-MASTER[[#This Row],[COSTO DE VENTA]]</f>
        <v>875</v>
      </c>
    </row>
    <row r="82" spans="1:22" x14ac:dyDescent="0.3">
      <c r="A82">
        <v>10990</v>
      </c>
      <c r="B82">
        <v>2</v>
      </c>
      <c r="C82" t="s">
        <v>116</v>
      </c>
      <c r="D82" t="s">
        <v>117</v>
      </c>
      <c r="E82" s="1">
        <v>43841</v>
      </c>
      <c r="F82">
        <v>1</v>
      </c>
      <c r="G82" t="s">
        <v>45</v>
      </c>
      <c r="H82" t="s">
        <v>46</v>
      </c>
      <c r="I82" s="3">
        <v>1738</v>
      </c>
      <c r="J82" s="3">
        <v>1738</v>
      </c>
      <c r="K82" s="3">
        <v>388</v>
      </c>
      <c r="L82" t="s">
        <v>113</v>
      </c>
      <c r="M82">
        <v>8</v>
      </c>
      <c r="N82" t="s">
        <v>80</v>
      </c>
      <c r="O82" t="s">
        <v>81</v>
      </c>
      <c r="P82" t="s">
        <v>12</v>
      </c>
      <c r="Q82" t="s">
        <v>13</v>
      </c>
      <c r="R82" t="s">
        <v>13</v>
      </c>
      <c r="S82" t="s">
        <v>144</v>
      </c>
      <c r="T82" s="2">
        <f>MASTER[[#This Row],[CANTIDAD]]*MASTER[[#This Row],[PRECIO DE VENTA]]</f>
        <v>1738</v>
      </c>
      <c r="U82" s="2">
        <f>MASTER[[#This Row],[CANTIDAD]]*MASTER[[#This Row],[COSTO UNITARIO]]</f>
        <v>388</v>
      </c>
      <c r="V82" s="2">
        <f>MASTER[[#This Row],[MONTO VENDIDO]]-MASTER[[#This Row],[COSTO DE VENTA]]</f>
        <v>1350</v>
      </c>
    </row>
    <row r="83" spans="1:22" x14ac:dyDescent="0.3">
      <c r="A83">
        <v>11012</v>
      </c>
      <c r="B83">
        <v>1</v>
      </c>
      <c r="C83" t="s">
        <v>90</v>
      </c>
      <c r="D83" t="s">
        <v>91</v>
      </c>
      <c r="E83" s="1">
        <v>43841</v>
      </c>
      <c r="F83">
        <v>1</v>
      </c>
      <c r="G83" t="s">
        <v>67</v>
      </c>
      <c r="H83" t="s">
        <v>68</v>
      </c>
      <c r="I83" s="3">
        <v>1844</v>
      </c>
      <c r="J83" s="3">
        <v>1844</v>
      </c>
      <c r="K83" s="3">
        <v>420</v>
      </c>
      <c r="L83" t="s">
        <v>9</v>
      </c>
      <c r="M83">
        <v>8</v>
      </c>
      <c r="N83" t="s">
        <v>80</v>
      </c>
      <c r="O83" t="s">
        <v>81</v>
      </c>
      <c r="P83" t="s">
        <v>12</v>
      </c>
      <c r="Q83" t="s">
        <v>13</v>
      </c>
      <c r="R83" t="s">
        <v>13</v>
      </c>
      <c r="S83" t="s">
        <v>144</v>
      </c>
      <c r="T83" s="2">
        <f>MASTER[[#This Row],[CANTIDAD]]*MASTER[[#This Row],[PRECIO DE VENTA]]</f>
        <v>1844</v>
      </c>
      <c r="U83" s="2">
        <f>MASTER[[#This Row],[CANTIDAD]]*MASTER[[#This Row],[COSTO UNITARIO]]</f>
        <v>420</v>
      </c>
      <c r="V83" s="2">
        <f>MASTER[[#This Row],[MONTO VENDIDO]]-MASTER[[#This Row],[COSTO DE VENTA]]</f>
        <v>1424</v>
      </c>
    </row>
    <row r="84" spans="1:22" x14ac:dyDescent="0.3">
      <c r="A84">
        <v>11016</v>
      </c>
      <c r="B84">
        <v>1</v>
      </c>
      <c r="C84" t="s">
        <v>107</v>
      </c>
      <c r="D84" t="s">
        <v>108</v>
      </c>
      <c r="E84" s="1">
        <v>43841</v>
      </c>
      <c r="F84">
        <v>1</v>
      </c>
      <c r="G84" t="s">
        <v>27</v>
      </c>
      <c r="H84" t="s">
        <v>28</v>
      </c>
      <c r="I84" s="3">
        <v>1333</v>
      </c>
      <c r="J84" s="3">
        <v>1333</v>
      </c>
      <c r="K84" s="3">
        <v>380</v>
      </c>
      <c r="L84" t="s">
        <v>98</v>
      </c>
      <c r="M84">
        <v>15</v>
      </c>
      <c r="N84" t="s">
        <v>88</v>
      </c>
      <c r="O84" t="s">
        <v>81</v>
      </c>
      <c r="P84" t="s">
        <v>18</v>
      </c>
      <c r="Q84" t="s">
        <v>19</v>
      </c>
      <c r="R84" t="s">
        <v>138</v>
      </c>
      <c r="S84" t="s">
        <v>144</v>
      </c>
      <c r="T84" s="2">
        <f>MASTER[[#This Row],[CANTIDAD]]*MASTER[[#This Row],[PRECIO DE VENTA]]</f>
        <v>1333</v>
      </c>
      <c r="U84" s="2">
        <f>MASTER[[#This Row],[CANTIDAD]]*MASTER[[#This Row],[COSTO UNITARIO]]</f>
        <v>380</v>
      </c>
      <c r="V84" s="2">
        <f>MASTER[[#This Row],[MONTO VENDIDO]]-MASTER[[#This Row],[COSTO DE VENTA]]</f>
        <v>953</v>
      </c>
    </row>
    <row r="85" spans="1:22" x14ac:dyDescent="0.3">
      <c r="A85">
        <v>11031</v>
      </c>
      <c r="B85">
        <v>1</v>
      </c>
      <c r="C85" t="s">
        <v>5</v>
      </c>
      <c r="D85" t="s">
        <v>6</v>
      </c>
      <c r="E85" s="1">
        <v>43841</v>
      </c>
      <c r="F85">
        <v>1</v>
      </c>
      <c r="G85" t="s">
        <v>7</v>
      </c>
      <c r="H85" t="s">
        <v>8</v>
      </c>
      <c r="I85" s="3">
        <v>1311</v>
      </c>
      <c r="J85" s="3">
        <v>1311</v>
      </c>
      <c r="K85" s="3">
        <v>393</v>
      </c>
      <c r="L85" t="s">
        <v>9</v>
      </c>
      <c r="M85">
        <v>17</v>
      </c>
      <c r="N85" t="s">
        <v>14</v>
      </c>
      <c r="O85" t="s">
        <v>11</v>
      </c>
      <c r="P85" t="s">
        <v>15</v>
      </c>
      <c r="Q85" t="s">
        <v>16</v>
      </c>
      <c r="R85" t="s">
        <v>16</v>
      </c>
      <c r="S85" t="s">
        <v>144</v>
      </c>
      <c r="T85" s="2">
        <f>MASTER[[#This Row],[CANTIDAD]]*MASTER[[#This Row],[PRECIO DE VENTA]]</f>
        <v>1311</v>
      </c>
      <c r="U85" s="2">
        <f>MASTER[[#This Row],[CANTIDAD]]*MASTER[[#This Row],[COSTO UNITARIO]]</f>
        <v>393</v>
      </c>
      <c r="V85" s="2">
        <f>MASTER[[#This Row],[MONTO VENDIDO]]-MASTER[[#This Row],[COSTO DE VENTA]]</f>
        <v>918</v>
      </c>
    </row>
    <row r="86" spans="1:22" x14ac:dyDescent="0.3">
      <c r="A86">
        <v>11032</v>
      </c>
      <c r="B86">
        <v>1</v>
      </c>
      <c r="C86" t="s">
        <v>109</v>
      </c>
      <c r="D86" t="s">
        <v>110</v>
      </c>
      <c r="E86" s="1">
        <v>43841</v>
      </c>
      <c r="F86">
        <v>1</v>
      </c>
      <c r="G86" t="s">
        <v>33</v>
      </c>
      <c r="H86" t="s">
        <v>34</v>
      </c>
      <c r="I86" s="3">
        <v>1128</v>
      </c>
      <c r="J86" s="3">
        <v>1128</v>
      </c>
      <c r="K86" s="3">
        <v>387</v>
      </c>
      <c r="L86" t="s">
        <v>98</v>
      </c>
      <c r="M86">
        <v>18</v>
      </c>
      <c r="N86" t="s">
        <v>79</v>
      </c>
      <c r="O86" t="s">
        <v>70</v>
      </c>
      <c r="P86" t="s">
        <v>15</v>
      </c>
      <c r="Q86" t="s">
        <v>16</v>
      </c>
      <c r="R86" t="s">
        <v>16</v>
      </c>
      <c r="S86" t="s">
        <v>144</v>
      </c>
      <c r="T86" s="2">
        <f>MASTER[[#This Row],[CANTIDAD]]*MASTER[[#This Row],[PRECIO DE VENTA]]</f>
        <v>1128</v>
      </c>
      <c r="U86" s="2">
        <f>MASTER[[#This Row],[CANTIDAD]]*MASTER[[#This Row],[COSTO UNITARIO]]</f>
        <v>387</v>
      </c>
      <c r="V86" s="2">
        <f>MASTER[[#This Row],[MONTO VENDIDO]]-MASTER[[#This Row],[COSTO DE VENTA]]</f>
        <v>741</v>
      </c>
    </row>
    <row r="87" spans="1:22" x14ac:dyDescent="0.3">
      <c r="A87">
        <v>11068</v>
      </c>
      <c r="B87">
        <v>1</v>
      </c>
      <c r="C87" t="s">
        <v>114</v>
      </c>
      <c r="D87" t="s">
        <v>115</v>
      </c>
      <c r="E87" s="1">
        <v>43841</v>
      </c>
      <c r="F87">
        <v>1</v>
      </c>
      <c r="G87" t="s">
        <v>20</v>
      </c>
      <c r="H87" t="s">
        <v>21</v>
      </c>
      <c r="I87" s="3">
        <v>1862</v>
      </c>
      <c r="J87" s="3">
        <v>1862</v>
      </c>
      <c r="K87" s="3">
        <v>394</v>
      </c>
      <c r="L87" t="s">
        <v>113</v>
      </c>
      <c r="M87">
        <v>8</v>
      </c>
      <c r="N87" t="s">
        <v>80</v>
      </c>
      <c r="O87" t="s">
        <v>81</v>
      </c>
      <c r="P87" t="s">
        <v>12</v>
      </c>
      <c r="Q87" t="s">
        <v>13</v>
      </c>
      <c r="R87" t="s">
        <v>13</v>
      </c>
      <c r="S87" t="s">
        <v>144</v>
      </c>
      <c r="T87" s="2">
        <f>MASTER[[#This Row],[CANTIDAD]]*MASTER[[#This Row],[PRECIO DE VENTA]]</f>
        <v>1862</v>
      </c>
      <c r="U87" s="2">
        <f>MASTER[[#This Row],[CANTIDAD]]*MASTER[[#This Row],[COSTO UNITARIO]]</f>
        <v>394</v>
      </c>
      <c r="V87" s="2">
        <f>MASTER[[#This Row],[MONTO VENDIDO]]-MASTER[[#This Row],[COSTO DE VENTA]]</f>
        <v>1468</v>
      </c>
    </row>
    <row r="88" spans="1:22" x14ac:dyDescent="0.3">
      <c r="A88">
        <v>11076</v>
      </c>
      <c r="B88">
        <v>1</v>
      </c>
      <c r="C88" t="s">
        <v>111</v>
      </c>
      <c r="D88" t="s">
        <v>112</v>
      </c>
      <c r="E88" s="1">
        <v>43842</v>
      </c>
      <c r="F88">
        <v>1</v>
      </c>
      <c r="G88" t="s">
        <v>67</v>
      </c>
      <c r="H88" t="s">
        <v>68</v>
      </c>
      <c r="I88" s="3">
        <v>1524</v>
      </c>
      <c r="J88" s="3">
        <v>1524</v>
      </c>
      <c r="K88" s="3">
        <v>434</v>
      </c>
      <c r="L88" t="s">
        <v>113</v>
      </c>
      <c r="M88">
        <v>17</v>
      </c>
      <c r="N88" t="s">
        <v>14</v>
      </c>
      <c r="O88" t="s">
        <v>11</v>
      </c>
      <c r="P88" t="s">
        <v>15</v>
      </c>
      <c r="Q88" t="s">
        <v>16</v>
      </c>
      <c r="R88" t="s">
        <v>16</v>
      </c>
      <c r="S88" t="s">
        <v>144</v>
      </c>
      <c r="T88" s="2">
        <f>MASTER[[#This Row],[CANTIDAD]]*MASTER[[#This Row],[PRECIO DE VENTA]]</f>
        <v>1524</v>
      </c>
      <c r="U88" s="2">
        <f>MASTER[[#This Row],[CANTIDAD]]*MASTER[[#This Row],[COSTO UNITARIO]]</f>
        <v>434</v>
      </c>
      <c r="V88" s="2">
        <f>MASTER[[#This Row],[MONTO VENDIDO]]-MASTER[[#This Row],[COSTO DE VENTA]]</f>
        <v>1090</v>
      </c>
    </row>
    <row r="89" spans="1:22" x14ac:dyDescent="0.3">
      <c r="A89">
        <v>11086</v>
      </c>
      <c r="B89">
        <v>1</v>
      </c>
      <c r="C89" t="s">
        <v>103</v>
      </c>
      <c r="D89" t="s">
        <v>104</v>
      </c>
      <c r="E89" s="1">
        <v>43842</v>
      </c>
      <c r="F89">
        <v>1</v>
      </c>
      <c r="G89" t="s">
        <v>65</v>
      </c>
      <c r="H89" t="s">
        <v>66</v>
      </c>
      <c r="I89" s="3">
        <v>1830</v>
      </c>
      <c r="J89" s="3">
        <v>1830</v>
      </c>
      <c r="K89" s="3">
        <v>421</v>
      </c>
      <c r="L89" t="s">
        <v>98</v>
      </c>
      <c r="M89">
        <v>18</v>
      </c>
      <c r="N89" t="s">
        <v>79</v>
      </c>
      <c r="O89" t="s">
        <v>70</v>
      </c>
      <c r="P89" t="s">
        <v>15</v>
      </c>
      <c r="Q89" t="s">
        <v>16</v>
      </c>
      <c r="R89" t="s">
        <v>16</v>
      </c>
      <c r="S89" t="s">
        <v>144</v>
      </c>
      <c r="T89" s="2">
        <f>MASTER[[#This Row],[CANTIDAD]]*MASTER[[#This Row],[PRECIO DE VENTA]]</f>
        <v>1830</v>
      </c>
      <c r="U89" s="2">
        <f>MASTER[[#This Row],[CANTIDAD]]*MASTER[[#This Row],[COSTO UNITARIO]]</f>
        <v>421</v>
      </c>
      <c r="V89" s="2">
        <f>MASTER[[#This Row],[MONTO VENDIDO]]-MASTER[[#This Row],[COSTO DE VENTA]]</f>
        <v>1409</v>
      </c>
    </row>
    <row r="90" spans="1:22" x14ac:dyDescent="0.3">
      <c r="A90">
        <v>11092</v>
      </c>
      <c r="B90">
        <v>1</v>
      </c>
      <c r="C90" t="s">
        <v>94</v>
      </c>
      <c r="D90" t="s">
        <v>95</v>
      </c>
      <c r="E90" s="1">
        <v>43842</v>
      </c>
      <c r="F90">
        <v>1</v>
      </c>
      <c r="G90" t="s">
        <v>33</v>
      </c>
      <c r="H90" t="s">
        <v>34</v>
      </c>
      <c r="I90" s="3">
        <v>1048</v>
      </c>
      <c r="J90" s="3">
        <v>1048</v>
      </c>
      <c r="K90" s="3">
        <v>392</v>
      </c>
      <c r="L90" t="s">
        <v>9</v>
      </c>
      <c r="M90">
        <v>7</v>
      </c>
      <c r="N90" t="s">
        <v>84</v>
      </c>
      <c r="O90" t="s">
        <v>81</v>
      </c>
      <c r="P90" t="s">
        <v>12</v>
      </c>
      <c r="Q90" t="s">
        <v>13</v>
      </c>
      <c r="R90" t="s">
        <v>13</v>
      </c>
      <c r="S90" t="s">
        <v>144</v>
      </c>
      <c r="T90" s="2">
        <f>MASTER[[#This Row],[CANTIDAD]]*MASTER[[#This Row],[PRECIO DE VENTA]]</f>
        <v>1048</v>
      </c>
      <c r="U90" s="2">
        <f>MASTER[[#This Row],[CANTIDAD]]*MASTER[[#This Row],[COSTO UNITARIO]]</f>
        <v>392</v>
      </c>
      <c r="V90" s="2">
        <f>MASTER[[#This Row],[MONTO VENDIDO]]-MASTER[[#This Row],[COSTO DE VENTA]]</f>
        <v>656</v>
      </c>
    </row>
    <row r="91" spans="1:22" x14ac:dyDescent="0.3">
      <c r="A91">
        <v>11101</v>
      </c>
      <c r="B91">
        <v>1</v>
      </c>
      <c r="C91" t="s">
        <v>121</v>
      </c>
      <c r="D91" t="s">
        <v>122</v>
      </c>
      <c r="E91" s="1">
        <v>43842</v>
      </c>
      <c r="F91">
        <v>1</v>
      </c>
      <c r="G91" t="s">
        <v>27</v>
      </c>
      <c r="H91" t="s">
        <v>28</v>
      </c>
      <c r="I91" s="3">
        <v>1144</v>
      </c>
      <c r="J91" s="3">
        <v>1144</v>
      </c>
      <c r="K91" s="3">
        <v>460</v>
      </c>
      <c r="L91" t="s">
        <v>120</v>
      </c>
      <c r="M91">
        <v>18</v>
      </c>
      <c r="N91" t="s">
        <v>79</v>
      </c>
      <c r="O91" t="s">
        <v>70</v>
      </c>
      <c r="P91" t="s">
        <v>15</v>
      </c>
      <c r="Q91" t="s">
        <v>16</v>
      </c>
      <c r="R91" t="s">
        <v>16</v>
      </c>
      <c r="S91" t="s">
        <v>144</v>
      </c>
      <c r="T91" s="2">
        <f>MASTER[[#This Row],[CANTIDAD]]*MASTER[[#This Row],[PRECIO DE VENTA]]</f>
        <v>1144</v>
      </c>
      <c r="U91" s="2">
        <f>MASTER[[#This Row],[CANTIDAD]]*MASTER[[#This Row],[COSTO UNITARIO]]</f>
        <v>460</v>
      </c>
      <c r="V91" s="2">
        <f>MASTER[[#This Row],[MONTO VENDIDO]]-MASTER[[#This Row],[COSTO DE VENTA]]</f>
        <v>684</v>
      </c>
    </row>
    <row r="92" spans="1:22" x14ac:dyDescent="0.3">
      <c r="A92">
        <v>11129</v>
      </c>
      <c r="B92">
        <v>1</v>
      </c>
      <c r="C92" t="s">
        <v>5</v>
      </c>
      <c r="D92" t="s">
        <v>6</v>
      </c>
      <c r="E92" s="1">
        <v>43842</v>
      </c>
      <c r="F92">
        <v>1</v>
      </c>
      <c r="G92" t="s">
        <v>7</v>
      </c>
      <c r="H92" t="s">
        <v>8</v>
      </c>
      <c r="I92" s="3">
        <v>1311</v>
      </c>
      <c r="J92" s="3">
        <v>1311</v>
      </c>
      <c r="K92" s="3">
        <v>393</v>
      </c>
      <c r="L92" t="s">
        <v>9</v>
      </c>
      <c r="M92">
        <v>16</v>
      </c>
      <c r="N92" t="s">
        <v>17</v>
      </c>
      <c r="O92" t="s">
        <v>11</v>
      </c>
      <c r="P92" t="s">
        <v>18</v>
      </c>
      <c r="Q92" t="s">
        <v>19</v>
      </c>
      <c r="R92" t="s">
        <v>138</v>
      </c>
      <c r="S92" t="s">
        <v>144</v>
      </c>
      <c r="T92" s="2">
        <f>MASTER[[#This Row],[CANTIDAD]]*MASTER[[#This Row],[PRECIO DE VENTA]]</f>
        <v>1311</v>
      </c>
      <c r="U92" s="2">
        <f>MASTER[[#This Row],[CANTIDAD]]*MASTER[[#This Row],[COSTO UNITARIO]]</f>
        <v>393</v>
      </c>
      <c r="V92" s="2">
        <f>MASTER[[#This Row],[MONTO VENDIDO]]-MASTER[[#This Row],[COSTO DE VENTA]]</f>
        <v>918</v>
      </c>
    </row>
    <row r="93" spans="1:22" x14ac:dyDescent="0.3">
      <c r="A93">
        <v>11142</v>
      </c>
      <c r="B93">
        <v>1</v>
      </c>
      <c r="C93" t="s">
        <v>111</v>
      </c>
      <c r="D93" t="s">
        <v>112</v>
      </c>
      <c r="E93" s="1">
        <v>43842</v>
      </c>
      <c r="F93">
        <v>1</v>
      </c>
      <c r="G93" t="s">
        <v>53</v>
      </c>
      <c r="H93" t="s">
        <v>54</v>
      </c>
      <c r="I93" s="3">
        <v>1621</v>
      </c>
      <c r="J93" s="3">
        <v>1621</v>
      </c>
      <c r="K93" s="3">
        <v>434</v>
      </c>
      <c r="L93" t="s">
        <v>113</v>
      </c>
      <c r="M93">
        <v>4</v>
      </c>
      <c r="N93" t="s">
        <v>82</v>
      </c>
      <c r="O93" t="s">
        <v>81</v>
      </c>
      <c r="P93" t="s">
        <v>71</v>
      </c>
      <c r="Q93" t="s">
        <v>72</v>
      </c>
      <c r="R93" t="s">
        <v>139</v>
      </c>
      <c r="S93" t="s">
        <v>144</v>
      </c>
      <c r="T93" s="2">
        <f>MASTER[[#This Row],[CANTIDAD]]*MASTER[[#This Row],[PRECIO DE VENTA]]</f>
        <v>1621</v>
      </c>
      <c r="U93" s="2">
        <f>MASTER[[#This Row],[CANTIDAD]]*MASTER[[#This Row],[COSTO UNITARIO]]</f>
        <v>434</v>
      </c>
      <c r="V93" s="2">
        <f>MASTER[[#This Row],[MONTO VENDIDO]]-MASTER[[#This Row],[COSTO DE VENTA]]</f>
        <v>1187</v>
      </c>
    </row>
    <row r="94" spans="1:22" x14ac:dyDescent="0.3">
      <c r="A94">
        <v>11152</v>
      </c>
      <c r="B94">
        <v>1</v>
      </c>
      <c r="C94" t="s">
        <v>101</v>
      </c>
      <c r="D94" t="s">
        <v>102</v>
      </c>
      <c r="E94" s="1">
        <v>43843</v>
      </c>
      <c r="F94">
        <v>4</v>
      </c>
      <c r="G94" t="s">
        <v>47</v>
      </c>
      <c r="H94" t="s">
        <v>48</v>
      </c>
      <c r="I94" s="3">
        <v>1054</v>
      </c>
      <c r="J94" s="3">
        <v>1054</v>
      </c>
      <c r="K94" s="3">
        <v>442</v>
      </c>
      <c r="L94" t="s">
        <v>98</v>
      </c>
      <c r="M94">
        <v>17</v>
      </c>
      <c r="N94" t="s">
        <v>14</v>
      </c>
      <c r="O94" t="s">
        <v>11</v>
      </c>
      <c r="P94" t="s">
        <v>15</v>
      </c>
      <c r="Q94" t="s">
        <v>16</v>
      </c>
      <c r="R94" t="s">
        <v>16</v>
      </c>
      <c r="S94" t="s">
        <v>144</v>
      </c>
      <c r="T94" s="2">
        <f>MASTER[[#This Row],[CANTIDAD]]*MASTER[[#This Row],[PRECIO DE VENTA]]</f>
        <v>4216</v>
      </c>
      <c r="U94" s="2">
        <f>MASTER[[#This Row],[CANTIDAD]]*MASTER[[#This Row],[COSTO UNITARIO]]</f>
        <v>1768</v>
      </c>
      <c r="V94" s="2">
        <f>MASTER[[#This Row],[MONTO VENDIDO]]-MASTER[[#This Row],[COSTO DE VENTA]]</f>
        <v>2448</v>
      </c>
    </row>
    <row r="95" spans="1:22" x14ac:dyDescent="0.3">
      <c r="A95">
        <v>11186</v>
      </c>
      <c r="B95">
        <v>1</v>
      </c>
      <c r="C95" t="s">
        <v>103</v>
      </c>
      <c r="D95" t="s">
        <v>104</v>
      </c>
      <c r="E95" s="1">
        <v>43843</v>
      </c>
      <c r="F95">
        <v>1</v>
      </c>
      <c r="G95" t="s">
        <v>59</v>
      </c>
      <c r="H95" t="s">
        <v>60</v>
      </c>
      <c r="I95" s="3">
        <v>1591</v>
      </c>
      <c r="J95" s="3">
        <v>1591</v>
      </c>
      <c r="K95" s="3">
        <v>421</v>
      </c>
      <c r="L95" t="s">
        <v>98</v>
      </c>
      <c r="M95">
        <v>7</v>
      </c>
      <c r="N95" t="s">
        <v>84</v>
      </c>
      <c r="O95" t="s">
        <v>81</v>
      </c>
      <c r="P95" t="s">
        <v>12</v>
      </c>
      <c r="Q95" t="s">
        <v>13</v>
      </c>
      <c r="R95" t="s">
        <v>13</v>
      </c>
      <c r="S95" t="s">
        <v>144</v>
      </c>
      <c r="T95" s="2">
        <f>MASTER[[#This Row],[CANTIDAD]]*MASTER[[#This Row],[PRECIO DE VENTA]]</f>
        <v>1591</v>
      </c>
      <c r="U95" s="2">
        <f>MASTER[[#This Row],[CANTIDAD]]*MASTER[[#This Row],[COSTO UNITARIO]]</f>
        <v>421</v>
      </c>
      <c r="V95" s="2">
        <f>MASTER[[#This Row],[MONTO VENDIDO]]-MASTER[[#This Row],[COSTO DE VENTA]]</f>
        <v>1170</v>
      </c>
    </row>
    <row r="96" spans="1:22" x14ac:dyDescent="0.3">
      <c r="A96">
        <v>11193</v>
      </c>
      <c r="B96">
        <v>1</v>
      </c>
      <c r="C96" t="s">
        <v>101</v>
      </c>
      <c r="D96" t="s">
        <v>102</v>
      </c>
      <c r="E96" s="1">
        <v>43843</v>
      </c>
      <c r="F96">
        <v>1</v>
      </c>
      <c r="G96" t="s">
        <v>27</v>
      </c>
      <c r="H96" t="s">
        <v>28</v>
      </c>
      <c r="I96" s="3">
        <v>1357</v>
      </c>
      <c r="J96" s="3">
        <v>1357</v>
      </c>
      <c r="K96" s="3">
        <v>442</v>
      </c>
      <c r="L96" t="s">
        <v>98</v>
      </c>
      <c r="M96">
        <v>9</v>
      </c>
      <c r="N96" t="s">
        <v>76</v>
      </c>
      <c r="O96" t="s">
        <v>70</v>
      </c>
      <c r="P96" t="s">
        <v>12</v>
      </c>
      <c r="Q96" t="s">
        <v>13</v>
      </c>
      <c r="R96" t="s">
        <v>13</v>
      </c>
      <c r="S96" t="s">
        <v>144</v>
      </c>
      <c r="T96" s="2">
        <f>MASTER[[#This Row],[CANTIDAD]]*MASTER[[#This Row],[PRECIO DE VENTA]]</f>
        <v>1357</v>
      </c>
      <c r="U96" s="2">
        <f>MASTER[[#This Row],[CANTIDAD]]*MASTER[[#This Row],[COSTO UNITARIO]]</f>
        <v>442</v>
      </c>
      <c r="V96" s="2">
        <f>MASTER[[#This Row],[MONTO VENDIDO]]-MASTER[[#This Row],[COSTO DE VENTA]]</f>
        <v>915</v>
      </c>
    </row>
    <row r="97" spans="1:22" x14ac:dyDescent="0.3">
      <c r="A97">
        <v>11195</v>
      </c>
      <c r="B97">
        <v>1</v>
      </c>
      <c r="C97" t="s">
        <v>5</v>
      </c>
      <c r="D97" t="s">
        <v>6</v>
      </c>
      <c r="E97" s="1">
        <v>43843</v>
      </c>
      <c r="F97">
        <v>1</v>
      </c>
      <c r="G97" t="s">
        <v>47</v>
      </c>
      <c r="H97" t="s">
        <v>48</v>
      </c>
      <c r="I97" s="3">
        <v>1507</v>
      </c>
      <c r="J97" s="3">
        <v>1507</v>
      </c>
      <c r="K97" s="3">
        <v>393</v>
      </c>
      <c r="L97" t="s">
        <v>9</v>
      </c>
      <c r="M97">
        <v>4</v>
      </c>
      <c r="N97" t="s">
        <v>82</v>
      </c>
      <c r="O97" t="s">
        <v>81</v>
      </c>
      <c r="P97" t="s">
        <v>71</v>
      </c>
      <c r="Q97" t="s">
        <v>72</v>
      </c>
      <c r="R97" t="s">
        <v>139</v>
      </c>
      <c r="S97" t="s">
        <v>144</v>
      </c>
      <c r="T97" s="2">
        <f>MASTER[[#This Row],[CANTIDAD]]*MASTER[[#This Row],[PRECIO DE VENTA]]</f>
        <v>1507</v>
      </c>
      <c r="U97" s="2">
        <f>MASTER[[#This Row],[CANTIDAD]]*MASTER[[#This Row],[COSTO UNITARIO]]</f>
        <v>393</v>
      </c>
      <c r="V97" s="2">
        <f>MASTER[[#This Row],[MONTO VENDIDO]]-MASTER[[#This Row],[COSTO DE VENTA]]</f>
        <v>1114</v>
      </c>
    </row>
    <row r="98" spans="1:22" x14ac:dyDescent="0.3">
      <c r="A98">
        <v>11200</v>
      </c>
      <c r="B98">
        <v>1</v>
      </c>
      <c r="C98" t="s">
        <v>99</v>
      </c>
      <c r="D98" t="s">
        <v>100</v>
      </c>
      <c r="E98" s="1">
        <v>43843</v>
      </c>
      <c r="F98">
        <v>1</v>
      </c>
      <c r="G98" t="s">
        <v>7</v>
      </c>
      <c r="H98" t="s">
        <v>8</v>
      </c>
      <c r="I98" s="3">
        <v>1459</v>
      </c>
      <c r="J98" s="3">
        <v>1459</v>
      </c>
      <c r="K98" s="3">
        <v>386</v>
      </c>
      <c r="L98" t="s">
        <v>98</v>
      </c>
      <c r="M98">
        <v>2</v>
      </c>
      <c r="N98" t="s">
        <v>86</v>
      </c>
      <c r="O98" t="s">
        <v>81</v>
      </c>
      <c r="P98" t="s">
        <v>71</v>
      </c>
      <c r="Q98" t="s">
        <v>72</v>
      </c>
      <c r="R98" t="s">
        <v>139</v>
      </c>
      <c r="S98" t="s">
        <v>144</v>
      </c>
      <c r="T98" s="2">
        <f>MASTER[[#This Row],[CANTIDAD]]*MASTER[[#This Row],[PRECIO DE VENTA]]</f>
        <v>1459</v>
      </c>
      <c r="U98" s="2">
        <f>MASTER[[#This Row],[CANTIDAD]]*MASTER[[#This Row],[COSTO UNITARIO]]</f>
        <v>386</v>
      </c>
      <c r="V98" s="2">
        <f>MASTER[[#This Row],[MONTO VENDIDO]]-MASTER[[#This Row],[COSTO DE VENTA]]</f>
        <v>1073</v>
      </c>
    </row>
    <row r="99" spans="1:22" x14ac:dyDescent="0.3">
      <c r="A99">
        <v>11208</v>
      </c>
      <c r="B99">
        <v>1</v>
      </c>
      <c r="C99" t="s">
        <v>90</v>
      </c>
      <c r="D99" t="s">
        <v>91</v>
      </c>
      <c r="E99" s="1">
        <v>43843</v>
      </c>
      <c r="F99">
        <v>1</v>
      </c>
      <c r="G99" t="s">
        <v>63</v>
      </c>
      <c r="H99" t="s">
        <v>64</v>
      </c>
      <c r="I99" s="3">
        <v>1844</v>
      </c>
      <c r="J99" s="3">
        <v>1844</v>
      </c>
      <c r="K99" s="3">
        <v>420</v>
      </c>
      <c r="L99" t="s">
        <v>9</v>
      </c>
      <c r="M99">
        <v>19</v>
      </c>
      <c r="N99" t="s">
        <v>89</v>
      </c>
      <c r="O99" t="s">
        <v>81</v>
      </c>
      <c r="P99" t="s">
        <v>15</v>
      </c>
      <c r="Q99" t="s">
        <v>16</v>
      </c>
      <c r="R99" t="s">
        <v>16</v>
      </c>
      <c r="S99" t="s">
        <v>144</v>
      </c>
      <c r="T99" s="2">
        <f>MASTER[[#This Row],[CANTIDAD]]*MASTER[[#This Row],[PRECIO DE VENTA]]</f>
        <v>1844</v>
      </c>
      <c r="U99" s="2">
        <f>MASTER[[#This Row],[CANTIDAD]]*MASTER[[#This Row],[COSTO UNITARIO]]</f>
        <v>420</v>
      </c>
      <c r="V99" s="2">
        <f>MASTER[[#This Row],[MONTO VENDIDO]]-MASTER[[#This Row],[COSTO DE VENTA]]</f>
        <v>1424</v>
      </c>
    </row>
    <row r="100" spans="1:22" x14ac:dyDescent="0.3">
      <c r="A100">
        <v>11245</v>
      </c>
      <c r="B100">
        <v>1</v>
      </c>
      <c r="C100" t="s">
        <v>94</v>
      </c>
      <c r="D100" t="s">
        <v>95</v>
      </c>
      <c r="E100" s="1">
        <v>43843</v>
      </c>
      <c r="F100">
        <v>1</v>
      </c>
      <c r="G100" t="s">
        <v>29</v>
      </c>
      <c r="H100" t="s">
        <v>30</v>
      </c>
      <c r="I100" s="3">
        <v>1048</v>
      </c>
      <c r="J100" s="3">
        <v>1048</v>
      </c>
      <c r="K100" s="3">
        <v>392</v>
      </c>
      <c r="L100" t="s">
        <v>9</v>
      </c>
      <c r="M100">
        <v>8</v>
      </c>
      <c r="N100" t="s">
        <v>80</v>
      </c>
      <c r="O100" t="s">
        <v>81</v>
      </c>
      <c r="P100" t="s">
        <v>12</v>
      </c>
      <c r="Q100" t="s">
        <v>13</v>
      </c>
      <c r="R100" t="s">
        <v>13</v>
      </c>
      <c r="S100" t="s">
        <v>144</v>
      </c>
      <c r="T100" s="2">
        <f>MASTER[[#This Row],[CANTIDAD]]*MASTER[[#This Row],[PRECIO DE VENTA]]</f>
        <v>1048</v>
      </c>
      <c r="U100" s="2">
        <f>MASTER[[#This Row],[CANTIDAD]]*MASTER[[#This Row],[COSTO UNITARIO]]</f>
        <v>392</v>
      </c>
      <c r="V100" s="2">
        <f>MASTER[[#This Row],[MONTO VENDIDO]]-MASTER[[#This Row],[COSTO DE VENTA]]</f>
        <v>656</v>
      </c>
    </row>
    <row r="101" spans="1:22" x14ac:dyDescent="0.3">
      <c r="A101">
        <v>11247</v>
      </c>
      <c r="B101">
        <v>1</v>
      </c>
      <c r="C101" t="s">
        <v>5</v>
      </c>
      <c r="D101" t="s">
        <v>6</v>
      </c>
      <c r="E101" s="1">
        <v>43843</v>
      </c>
      <c r="F101">
        <v>1</v>
      </c>
      <c r="G101" t="s">
        <v>55</v>
      </c>
      <c r="H101" t="s">
        <v>56</v>
      </c>
      <c r="I101" s="3">
        <v>1507</v>
      </c>
      <c r="J101" s="3">
        <v>1507</v>
      </c>
      <c r="K101" s="3">
        <v>393</v>
      </c>
      <c r="L101" t="s">
        <v>9</v>
      </c>
      <c r="M101">
        <v>10</v>
      </c>
      <c r="N101" t="s">
        <v>83</v>
      </c>
      <c r="O101" t="s">
        <v>81</v>
      </c>
      <c r="P101" t="s">
        <v>12</v>
      </c>
      <c r="Q101" t="s">
        <v>13</v>
      </c>
      <c r="R101" t="s">
        <v>13</v>
      </c>
      <c r="S101" t="s">
        <v>144</v>
      </c>
      <c r="T101" s="2">
        <f>MASTER[[#This Row],[CANTIDAD]]*MASTER[[#This Row],[PRECIO DE VENTA]]</f>
        <v>1507</v>
      </c>
      <c r="U101" s="2">
        <f>MASTER[[#This Row],[CANTIDAD]]*MASTER[[#This Row],[COSTO UNITARIO]]</f>
        <v>393</v>
      </c>
      <c r="V101" s="2">
        <f>MASTER[[#This Row],[MONTO VENDIDO]]-MASTER[[#This Row],[COSTO DE VENTA]]</f>
        <v>1114</v>
      </c>
    </row>
    <row r="102" spans="1:22" x14ac:dyDescent="0.3">
      <c r="A102">
        <v>11263</v>
      </c>
      <c r="B102">
        <v>1</v>
      </c>
      <c r="C102" t="s">
        <v>118</v>
      </c>
      <c r="D102" t="s">
        <v>119</v>
      </c>
      <c r="E102" s="1">
        <v>43843</v>
      </c>
      <c r="F102">
        <v>1</v>
      </c>
      <c r="G102" t="s">
        <v>67</v>
      </c>
      <c r="H102" t="s">
        <v>68</v>
      </c>
      <c r="I102" s="3">
        <v>1026</v>
      </c>
      <c r="J102" s="3">
        <v>1026</v>
      </c>
      <c r="K102" s="3">
        <v>424</v>
      </c>
      <c r="L102" t="s">
        <v>120</v>
      </c>
      <c r="M102">
        <v>9</v>
      </c>
      <c r="N102" t="s">
        <v>76</v>
      </c>
      <c r="O102" t="s">
        <v>70</v>
      </c>
      <c r="P102" t="s">
        <v>12</v>
      </c>
      <c r="Q102" t="s">
        <v>13</v>
      </c>
      <c r="R102" t="s">
        <v>13</v>
      </c>
      <c r="S102" t="s">
        <v>144</v>
      </c>
      <c r="T102" s="2">
        <f>MASTER[[#This Row],[CANTIDAD]]*MASTER[[#This Row],[PRECIO DE VENTA]]</f>
        <v>1026</v>
      </c>
      <c r="U102" s="2">
        <f>MASTER[[#This Row],[CANTIDAD]]*MASTER[[#This Row],[COSTO UNITARIO]]</f>
        <v>424</v>
      </c>
      <c r="V102" s="2">
        <f>MASTER[[#This Row],[MONTO VENDIDO]]-MASTER[[#This Row],[COSTO DE VENTA]]</f>
        <v>602</v>
      </c>
    </row>
    <row r="103" spans="1:22" x14ac:dyDescent="0.3">
      <c r="A103">
        <v>11268</v>
      </c>
      <c r="B103">
        <v>1</v>
      </c>
      <c r="C103" t="s">
        <v>94</v>
      </c>
      <c r="D103" t="s">
        <v>95</v>
      </c>
      <c r="E103" s="1">
        <v>43843</v>
      </c>
      <c r="F103">
        <v>1</v>
      </c>
      <c r="G103" t="s">
        <v>47</v>
      </c>
      <c r="H103" t="s">
        <v>48</v>
      </c>
      <c r="I103" s="3">
        <v>1048</v>
      </c>
      <c r="J103" s="3">
        <v>1048</v>
      </c>
      <c r="K103" s="3">
        <v>392</v>
      </c>
      <c r="L103" t="s">
        <v>9</v>
      </c>
      <c r="M103">
        <v>5</v>
      </c>
      <c r="N103" t="s">
        <v>85</v>
      </c>
      <c r="O103" t="s">
        <v>81</v>
      </c>
      <c r="P103" t="s">
        <v>12</v>
      </c>
      <c r="Q103" t="s">
        <v>13</v>
      </c>
      <c r="R103" t="s">
        <v>13</v>
      </c>
      <c r="S103" t="s">
        <v>144</v>
      </c>
      <c r="T103" s="2">
        <f>MASTER[[#This Row],[CANTIDAD]]*MASTER[[#This Row],[PRECIO DE VENTA]]</f>
        <v>1048</v>
      </c>
      <c r="U103" s="2">
        <f>MASTER[[#This Row],[CANTIDAD]]*MASTER[[#This Row],[COSTO UNITARIO]]</f>
        <v>392</v>
      </c>
      <c r="V103" s="2">
        <f>MASTER[[#This Row],[MONTO VENDIDO]]-MASTER[[#This Row],[COSTO DE VENTA]]</f>
        <v>656</v>
      </c>
    </row>
    <row r="104" spans="1:22" x14ac:dyDescent="0.3">
      <c r="A104">
        <v>11278</v>
      </c>
      <c r="B104">
        <v>3</v>
      </c>
      <c r="C104" t="s">
        <v>105</v>
      </c>
      <c r="D104" t="s">
        <v>106</v>
      </c>
      <c r="E104" s="1">
        <v>43844</v>
      </c>
      <c r="F104">
        <v>1</v>
      </c>
      <c r="G104" t="s">
        <v>47</v>
      </c>
      <c r="H104" t="s">
        <v>48</v>
      </c>
      <c r="I104" s="3">
        <v>1865</v>
      </c>
      <c r="J104" s="3">
        <v>1865</v>
      </c>
      <c r="K104" s="3">
        <v>459</v>
      </c>
      <c r="L104" t="s">
        <v>98</v>
      </c>
      <c r="M104">
        <v>19</v>
      </c>
      <c r="N104" t="s">
        <v>89</v>
      </c>
      <c r="O104" t="s">
        <v>81</v>
      </c>
      <c r="P104" t="s">
        <v>15</v>
      </c>
      <c r="Q104" t="s">
        <v>16</v>
      </c>
      <c r="R104" t="s">
        <v>16</v>
      </c>
      <c r="S104" t="s">
        <v>144</v>
      </c>
      <c r="T104" s="2">
        <f>MASTER[[#This Row],[CANTIDAD]]*MASTER[[#This Row],[PRECIO DE VENTA]]</f>
        <v>1865</v>
      </c>
      <c r="U104" s="2">
        <f>MASTER[[#This Row],[CANTIDAD]]*MASTER[[#This Row],[COSTO UNITARIO]]</f>
        <v>459</v>
      </c>
      <c r="V104" s="2">
        <f>MASTER[[#This Row],[MONTO VENDIDO]]-MASTER[[#This Row],[COSTO DE VENTA]]</f>
        <v>1406</v>
      </c>
    </row>
    <row r="105" spans="1:22" x14ac:dyDescent="0.3">
      <c r="A105">
        <v>11278</v>
      </c>
      <c r="B105">
        <v>2</v>
      </c>
      <c r="C105" t="s">
        <v>107</v>
      </c>
      <c r="D105" t="s">
        <v>108</v>
      </c>
      <c r="E105" s="1">
        <v>43844</v>
      </c>
      <c r="F105">
        <v>1</v>
      </c>
      <c r="G105" t="s">
        <v>29</v>
      </c>
      <c r="H105" t="s">
        <v>30</v>
      </c>
      <c r="I105" s="3">
        <v>1333</v>
      </c>
      <c r="J105" s="3">
        <v>1333</v>
      </c>
      <c r="K105" s="3">
        <v>380</v>
      </c>
      <c r="L105" t="s">
        <v>98</v>
      </c>
      <c r="M105">
        <v>19</v>
      </c>
      <c r="N105" t="s">
        <v>89</v>
      </c>
      <c r="O105" t="s">
        <v>81</v>
      </c>
      <c r="P105" t="s">
        <v>15</v>
      </c>
      <c r="Q105" t="s">
        <v>16</v>
      </c>
      <c r="R105" t="s">
        <v>16</v>
      </c>
      <c r="S105" t="s">
        <v>144</v>
      </c>
      <c r="T105" s="2">
        <f>MASTER[[#This Row],[CANTIDAD]]*MASTER[[#This Row],[PRECIO DE VENTA]]</f>
        <v>1333</v>
      </c>
      <c r="U105" s="2">
        <f>MASTER[[#This Row],[CANTIDAD]]*MASTER[[#This Row],[COSTO UNITARIO]]</f>
        <v>380</v>
      </c>
      <c r="V105" s="2">
        <f>MASTER[[#This Row],[MONTO VENDIDO]]-MASTER[[#This Row],[COSTO DE VENTA]]</f>
        <v>953</v>
      </c>
    </row>
    <row r="106" spans="1:22" x14ac:dyDescent="0.3">
      <c r="A106">
        <v>11278</v>
      </c>
      <c r="B106">
        <v>1</v>
      </c>
      <c r="C106" t="s">
        <v>111</v>
      </c>
      <c r="D106" t="s">
        <v>112</v>
      </c>
      <c r="E106" s="1">
        <v>43844</v>
      </c>
      <c r="F106">
        <v>1</v>
      </c>
      <c r="G106" t="s">
        <v>51</v>
      </c>
      <c r="H106" t="s">
        <v>52</v>
      </c>
      <c r="I106" s="3">
        <v>1621</v>
      </c>
      <c r="J106" s="3">
        <v>1621</v>
      </c>
      <c r="K106" s="3">
        <v>434</v>
      </c>
      <c r="L106" t="s">
        <v>113</v>
      </c>
      <c r="M106">
        <v>19</v>
      </c>
      <c r="N106" t="s">
        <v>89</v>
      </c>
      <c r="O106" t="s">
        <v>81</v>
      </c>
      <c r="P106" t="s">
        <v>15</v>
      </c>
      <c r="Q106" t="s">
        <v>16</v>
      </c>
      <c r="R106" t="s">
        <v>16</v>
      </c>
      <c r="S106" t="s">
        <v>144</v>
      </c>
      <c r="T106" s="2">
        <f>MASTER[[#This Row],[CANTIDAD]]*MASTER[[#This Row],[PRECIO DE VENTA]]</f>
        <v>1621</v>
      </c>
      <c r="U106" s="2">
        <f>MASTER[[#This Row],[CANTIDAD]]*MASTER[[#This Row],[COSTO UNITARIO]]</f>
        <v>434</v>
      </c>
      <c r="V106" s="2">
        <f>MASTER[[#This Row],[MONTO VENDIDO]]-MASTER[[#This Row],[COSTO DE VENTA]]</f>
        <v>1187</v>
      </c>
    </row>
    <row r="107" spans="1:22" x14ac:dyDescent="0.3">
      <c r="A107">
        <v>11331</v>
      </c>
      <c r="B107">
        <v>1</v>
      </c>
      <c r="C107" t="s">
        <v>5</v>
      </c>
      <c r="D107" t="s">
        <v>6</v>
      </c>
      <c r="E107" s="1">
        <v>43844</v>
      </c>
      <c r="F107">
        <v>1</v>
      </c>
      <c r="G107" t="s">
        <v>33</v>
      </c>
      <c r="H107" t="s">
        <v>34</v>
      </c>
      <c r="I107" s="3">
        <v>1507</v>
      </c>
      <c r="J107" s="3">
        <v>1507</v>
      </c>
      <c r="K107" s="3">
        <v>393</v>
      </c>
      <c r="L107" t="s">
        <v>9</v>
      </c>
      <c r="M107">
        <v>7</v>
      </c>
      <c r="N107" t="s">
        <v>84</v>
      </c>
      <c r="O107" t="s">
        <v>81</v>
      </c>
      <c r="P107" t="s">
        <v>12</v>
      </c>
      <c r="Q107" t="s">
        <v>13</v>
      </c>
      <c r="R107" t="s">
        <v>13</v>
      </c>
      <c r="S107" t="s">
        <v>144</v>
      </c>
      <c r="T107" s="2">
        <f>MASTER[[#This Row],[CANTIDAD]]*MASTER[[#This Row],[PRECIO DE VENTA]]</f>
        <v>1507</v>
      </c>
      <c r="U107" s="2">
        <f>MASTER[[#This Row],[CANTIDAD]]*MASTER[[#This Row],[COSTO UNITARIO]]</f>
        <v>393</v>
      </c>
      <c r="V107" s="2">
        <f>MASTER[[#This Row],[MONTO VENDIDO]]-MASTER[[#This Row],[COSTO DE VENTA]]</f>
        <v>1114</v>
      </c>
    </row>
    <row r="108" spans="1:22" x14ac:dyDescent="0.3">
      <c r="A108">
        <v>11347</v>
      </c>
      <c r="B108">
        <v>1</v>
      </c>
      <c r="C108" t="s">
        <v>90</v>
      </c>
      <c r="D108" t="s">
        <v>91</v>
      </c>
      <c r="E108" s="1">
        <v>43844</v>
      </c>
      <c r="F108">
        <v>1</v>
      </c>
      <c r="G108" t="s">
        <v>31</v>
      </c>
      <c r="H108" t="s">
        <v>32</v>
      </c>
      <c r="I108" s="3">
        <v>1844</v>
      </c>
      <c r="J108" s="3">
        <v>1714</v>
      </c>
      <c r="K108" s="3">
        <v>420</v>
      </c>
      <c r="L108" t="s">
        <v>9</v>
      </c>
      <c r="M108">
        <v>19</v>
      </c>
      <c r="N108" t="s">
        <v>89</v>
      </c>
      <c r="O108" t="s">
        <v>81</v>
      </c>
      <c r="P108" t="s">
        <v>15</v>
      </c>
      <c r="Q108" t="s">
        <v>16</v>
      </c>
      <c r="R108" t="s">
        <v>16</v>
      </c>
      <c r="S108" t="s">
        <v>144</v>
      </c>
      <c r="T108" s="2">
        <f>MASTER[[#This Row],[CANTIDAD]]*MASTER[[#This Row],[PRECIO DE VENTA]]</f>
        <v>1714</v>
      </c>
      <c r="U108" s="2">
        <f>MASTER[[#This Row],[CANTIDAD]]*MASTER[[#This Row],[COSTO UNITARIO]]</f>
        <v>420</v>
      </c>
      <c r="V108" s="2">
        <f>MASTER[[#This Row],[MONTO VENDIDO]]-MASTER[[#This Row],[COSTO DE VENTA]]</f>
        <v>1294</v>
      </c>
    </row>
    <row r="109" spans="1:22" x14ac:dyDescent="0.3">
      <c r="A109">
        <v>11356</v>
      </c>
      <c r="B109">
        <v>1</v>
      </c>
      <c r="C109" t="s">
        <v>103</v>
      </c>
      <c r="D109" t="s">
        <v>104</v>
      </c>
      <c r="E109" s="1">
        <v>43844</v>
      </c>
      <c r="F109">
        <v>1</v>
      </c>
      <c r="G109" t="s">
        <v>65</v>
      </c>
      <c r="H109" t="s">
        <v>66</v>
      </c>
      <c r="I109" s="3">
        <v>1448</v>
      </c>
      <c r="J109" s="3">
        <v>1448</v>
      </c>
      <c r="K109" s="3">
        <v>421</v>
      </c>
      <c r="L109" t="s">
        <v>98</v>
      </c>
      <c r="M109">
        <v>11</v>
      </c>
      <c r="N109" t="s">
        <v>10</v>
      </c>
      <c r="O109" t="s">
        <v>11</v>
      </c>
      <c r="P109" t="s">
        <v>12</v>
      </c>
      <c r="Q109" t="s">
        <v>13</v>
      </c>
      <c r="R109" t="s">
        <v>13</v>
      </c>
      <c r="S109" t="s">
        <v>144</v>
      </c>
      <c r="T109" s="2">
        <f>MASTER[[#This Row],[CANTIDAD]]*MASTER[[#This Row],[PRECIO DE VENTA]]</f>
        <v>1448</v>
      </c>
      <c r="U109" s="2">
        <f>MASTER[[#This Row],[CANTIDAD]]*MASTER[[#This Row],[COSTO UNITARIO]]</f>
        <v>421</v>
      </c>
      <c r="V109" s="2">
        <f>MASTER[[#This Row],[MONTO VENDIDO]]-MASTER[[#This Row],[COSTO DE VENTA]]</f>
        <v>1027</v>
      </c>
    </row>
    <row r="110" spans="1:22" x14ac:dyDescent="0.3">
      <c r="A110">
        <v>11363</v>
      </c>
      <c r="B110">
        <v>1</v>
      </c>
      <c r="C110" t="s">
        <v>118</v>
      </c>
      <c r="D110" t="s">
        <v>119</v>
      </c>
      <c r="E110" s="1">
        <v>43844</v>
      </c>
      <c r="F110">
        <v>1</v>
      </c>
      <c r="G110" t="s">
        <v>39</v>
      </c>
      <c r="H110" t="s">
        <v>40</v>
      </c>
      <c r="I110" s="3">
        <v>900</v>
      </c>
      <c r="J110" s="3">
        <v>900</v>
      </c>
      <c r="K110" s="3">
        <v>424</v>
      </c>
      <c r="L110" t="s">
        <v>120</v>
      </c>
      <c r="M110">
        <v>14</v>
      </c>
      <c r="N110" t="s">
        <v>87</v>
      </c>
      <c r="O110" t="s">
        <v>81</v>
      </c>
      <c r="P110" t="s">
        <v>18</v>
      </c>
      <c r="Q110" t="s">
        <v>19</v>
      </c>
      <c r="R110" t="s">
        <v>138</v>
      </c>
      <c r="S110" t="s">
        <v>144</v>
      </c>
      <c r="T110" s="2">
        <f>MASTER[[#This Row],[CANTIDAD]]*MASTER[[#This Row],[PRECIO DE VENTA]]</f>
        <v>900</v>
      </c>
      <c r="U110" s="2">
        <f>MASTER[[#This Row],[CANTIDAD]]*MASTER[[#This Row],[COSTO UNITARIO]]</f>
        <v>424</v>
      </c>
      <c r="V110" s="2">
        <f>MASTER[[#This Row],[MONTO VENDIDO]]-MASTER[[#This Row],[COSTO DE VENTA]]</f>
        <v>476</v>
      </c>
    </row>
    <row r="111" spans="1:22" x14ac:dyDescent="0.3">
      <c r="A111">
        <v>11367</v>
      </c>
      <c r="B111">
        <v>1</v>
      </c>
      <c r="C111" t="s">
        <v>118</v>
      </c>
      <c r="D111" t="s">
        <v>119</v>
      </c>
      <c r="E111" s="1">
        <v>43844</v>
      </c>
      <c r="F111">
        <v>1</v>
      </c>
      <c r="G111" t="s">
        <v>39</v>
      </c>
      <c r="H111" t="s">
        <v>40</v>
      </c>
      <c r="I111" s="3">
        <v>1026</v>
      </c>
      <c r="J111" s="3">
        <v>1026</v>
      </c>
      <c r="K111" s="3">
        <v>424</v>
      </c>
      <c r="L111" t="s">
        <v>120</v>
      </c>
      <c r="M111">
        <v>18</v>
      </c>
      <c r="N111" t="s">
        <v>79</v>
      </c>
      <c r="O111" t="s">
        <v>70</v>
      </c>
      <c r="P111" t="s">
        <v>15</v>
      </c>
      <c r="Q111" t="s">
        <v>16</v>
      </c>
      <c r="R111" t="s">
        <v>16</v>
      </c>
      <c r="S111" t="s">
        <v>144</v>
      </c>
      <c r="T111" s="2">
        <f>MASTER[[#This Row],[CANTIDAD]]*MASTER[[#This Row],[PRECIO DE VENTA]]</f>
        <v>1026</v>
      </c>
      <c r="U111" s="2">
        <f>MASTER[[#This Row],[CANTIDAD]]*MASTER[[#This Row],[COSTO UNITARIO]]</f>
        <v>424</v>
      </c>
      <c r="V111" s="2">
        <f>MASTER[[#This Row],[MONTO VENDIDO]]-MASTER[[#This Row],[COSTO DE VENTA]]</f>
        <v>602</v>
      </c>
    </row>
    <row r="112" spans="1:22" x14ac:dyDescent="0.3">
      <c r="A112">
        <v>11372</v>
      </c>
      <c r="B112">
        <v>1</v>
      </c>
      <c r="C112" t="s">
        <v>121</v>
      </c>
      <c r="D112" t="s">
        <v>122</v>
      </c>
      <c r="E112" s="1">
        <v>43845</v>
      </c>
      <c r="F112">
        <v>1</v>
      </c>
      <c r="G112" t="s">
        <v>49</v>
      </c>
      <c r="H112" t="s">
        <v>50</v>
      </c>
      <c r="I112" s="3">
        <v>1069</v>
      </c>
      <c r="J112" s="3">
        <v>1069</v>
      </c>
      <c r="K112" s="3">
        <v>460</v>
      </c>
      <c r="L112" t="s">
        <v>120</v>
      </c>
      <c r="M112">
        <v>7</v>
      </c>
      <c r="N112" t="s">
        <v>84</v>
      </c>
      <c r="O112" t="s">
        <v>81</v>
      </c>
      <c r="P112" t="s">
        <v>12</v>
      </c>
      <c r="Q112" t="s">
        <v>13</v>
      </c>
      <c r="R112" t="s">
        <v>13</v>
      </c>
      <c r="S112" t="s">
        <v>144</v>
      </c>
      <c r="T112" s="2">
        <f>MASTER[[#This Row],[CANTIDAD]]*MASTER[[#This Row],[PRECIO DE VENTA]]</f>
        <v>1069</v>
      </c>
      <c r="U112" s="2">
        <f>MASTER[[#This Row],[CANTIDAD]]*MASTER[[#This Row],[COSTO UNITARIO]]</f>
        <v>460</v>
      </c>
      <c r="V112" s="2">
        <f>MASTER[[#This Row],[MONTO VENDIDO]]-MASTER[[#This Row],[COSTO DE VENTA]]</f>
        <v>609</v>
      </c>
    </row>
    <row r="113" spans="1:22" x14ac:dyDescent="0.3">
      <c r="A113">
        <v>11376</v>
      </c>
      <c r="B113">
        <v>1</v>
      </c>
      <c r="C113" t="s">
        <v>94</v>
      </c>
      <c r="D113" t="s">
        <v>95</v>
      </c>
      <c r="E113" s="1">
        <v>43845</v>
      </c>
      <c r="F113">
        <v>1</v>
      </c>
      <c r="G113" t="s">
        <v>63</v>
      </c>
      <c r="H113" t="s">
        <v>64</v>
      </c>
      <c r="I113" s="3">
        <v>1048</v>
      </c>
      <c r="J113" s="3">
        <v>1048</v>
      </c>
      <c r="K113" s="3">
        <v>392</v>
      </c>
      <c r="L113" t="s">
        <v>9</v>
      </c>
      <c r="M113">
        <v>14</v>
      </c>
      <c r="N113" t="s">
        <v>87</v>
      </c>
      <c r="O113" t="s">
        <v>81</v>
      </c>
      <c r="P113" t="s">
        <v>18</v>
      </c>
      <c r="Q113" t="s">
        <v>19</v>
      </c>
      <c r="R113" t="s">
        <v>138</v>
      </c>
      <c r="S113" t="s">
        <v>144</v>
      </c>
      <c r="T113" s="2">
        <f>MASTER[[#This Row],[CANTIDAD]]*MASTER[[#This Row],[PRECIO DE VENTA]]</f>
        <v>1048</v>
      </c>
      <c r="U113" s="2">
        <f>MASTER[[#This Row],[CANTIDAD]]*MASTER[[#This Row],[COSTO UNITARIO]]</f>
        <v>392</v>
      </c>
      <c r="V113" s="2">
        <f>MASTER[[#This Row],[MONTO VENDIDO]]-MASTER[[#This Row],[COSTO DE VENTA]]</f>
        <v>656</v>
      </c>
    </row>
    <row r="114" spans="1:22" x14ac:dyDescent="0.3">
      <c r="A114">
        <v>11378</v>
      </c>
      <c r="B114">
        <v>1</v>
      </c>
      <c r="C114" t="s">
        <v>111</v>
      </c>
      <c r="D114" t="s">
        <v>112</v>
      </c>
      <c r="E114" s="1">
        <v>43845</v>
      </c>
      <c r="F114">
        <v>1</v>
      </c>
      <c r="G114" t="s">
        <v>29</v>
      </c>
      <c r="H114" t="s">
        <v>30</v>
      </c>
      <c r="I114" s="3">
        <v>1621</v>
      </c>
      <c r="J114" s="3">
        <v>1539</v>
      </c>
      <c r="K114" s="3">
        <v>434</v>
      </c>
      <c r="L114" t="s">
        <v>113</v>
      </c>
      <c r="M114">
        <v>14</v>
      </c>
      <c r="N114" t="s">
        <v>87</v>
      </c>
      <c r="O114" t="s">
        <v>81</v>
      </c>
      <c r="P114" t="s">
        <v>18</v>
      </c>
      <c r="Q114" t="s">
        <v>19</v>
      </c>
      <c r="R114" t="s">
        <v>138</v>
      </c>
      <c r="S114" t="s">
        <v>144</v>
      </c>
      <c r="T114" s="2">
        <f>MASTER[[#This Row],[CANTIDAD]]*MASTER[[#This Row],[PRECIO DE VENTA]]</f>
        <v>1539</v>
      </c>
      <c r="U114" s="2">
        <f>MASTER[[#This Row],[CANTIDAD]]*MASTER[[#This Row],[COSTO UNITARIO]]</f>
        <v>434</v>
      </c>
      <c r="V114" s="2">
        <f>MASTER[[#This Row],[MONTO VENDIDO]]-MASTER[[#This Row],[COSTO DE VENTA]]</f>
        <v>1105</v>
      </c>
    </row>
    <row r="115" spans="1:22" x14ac:dyDescent="0.3">
      <c r="A115">
        <v>11392</v>
      </c>
      <c r="B115">
        <v>1</v>
      </c>
      <c r="C115" t="s">
        <v>96</v>
      </c>
      <c r="D115" t="s">
        <v>97</v>
      </c>
      <c r="E115" s="1">
        <v>43845</v>
      </c>
      <c r="F115">
        <v>1</v>
      </c>
      <c r="G115" t="s">
        <v>33</v>
      </c>
      <c r="H115" t="s">
        <v>34</v>
      </c>
      <c r="I115" s="3">
        <v>1272</v>
      </c>
      <c r="J115" s="3">
        <v>1272</v>
      </c>
      <c r="K115" s="3">
        <v>397</v>
      </c>
      <c r="L115" t="s">
        <v>98</v>
      </c>
      <c r="M115">
        <v>4</v>
      </c>
      <c r="N115" t="s">
        <v>82</v>
      </c>
      <c r="O115" t="s">
        <v>81</v>
      </c>
      <c r="P115" t="s">
        <v>71</v>
      </c>
      <c r="Q115" t="s">
        <v>72</v>
      </c>
      <c r="R115" t="s">
        <v>139</v>
      </c>
      <c r="S115" t="s">
        <v>144</v>
      </c>
      <c r="T115" s="2">
        <f>MASTER[[#This Row],[CANTIDAD]]*MASTER[[#This Row],[PRECIO DE VENTA]]</f>
        <v>1272</v>
      </c>
      <c r="U115" s="2">
        <f>MASTER[[#This Row],[CANTIDAD]]*MASTER[[#This Row],[COSTO UNITARIO]]</f>
        <v>397</v>
      </c>
      <c r="V115" s="2">
        <f>MASTER[[#This Row],[MONTO VENDIDO]]-MASTER[[#This Row],[COSTO DE VENTA]]</f>
        <v>875</v>
      </c>
    </row>
    <row r="116" spans="1:22" x14ac:dyDescent="0.3">
      <c r="A116">
        <v>11396</v>
      </c>
      <c r="B116">
        <v>1</v>
      </c>
      <c r="C116" t="s">
        <v>114</v>
      </c>
      <c r="D116" t="s">
        <v>115</v>
      </c>
      <c r="E116" s="1">
        <v>43845</v>
      </c>
      <c r="F116">
        <v>1</v>
      </c>
      <c r="G116" t="s">
        <v>29</v>
      </c>
      <c r="H116" t="s">
        <v>30</v>
      </c>
      <c r="I116" s="3">
        <v>1862</v>
      </c>
      <c r="J116" s="3">
        <v>1862</v>
      </c>
      <c r="K116" s="3">
        <v>394</v>
      </c>
      <c r="L116" t="s">
        <v>113</v>
      </c>
      <c r="M116">
        <v>15</v>
      </c>
      <c r="N116" t="s">
        <v>88</v>
      </c>
      <c r="O116" t="s">
        <v>81</v>
      </c>
      <c r="P116" t="s">
        <v>18</v>
      </c>
      <c r="Q116" t="s">
        <v>19</v>
      </c>
      <c r="R116" t="s">
        <v>138</v>
      </c>
      <c r="S116" t="s">
        <v>144</v>
      </c>
      <c r="T116" s="2">
        <f>MASTER[[#This Row],[CANTIDAD]]*MASTER[[#This Row],[PRECIO DE VENTA]]</f>
        <v>1862</v>
      </c>
      <c r="U116" s="2">
        <f>MASTER[[#This Row],[CANTIDAD]]*MASTER[[#This Row],[COSTO UNITARIO]]</f>
        <v>394</v>
      </c>
      <c r="V116" s="2">
        <f>MASTER[[#This Row],[MONTO VENDIDO]]-MASTER[[#This Row],[COSTO DE VENTA]]</f>
        <v>1468</v>
      </c>
    </row>
    <row r="117" spans="1:22" x14ac:dyDescent="0.3">
      <c r="A117">
        <v>11401</v>
      </c>
      <c r="B117">
        <v>2</v>
      </c>
      <c r="C117" t="s">
        <v>96</v>
      </c>
      <c r="D117" t="s">
        <v>97</v>
      </c>
      <c r="E117" s="1">
        <v>43845</v>
      </c>
      <c r="F117">
        <v>1</v>
      </c>
      <c r="G117" t="s">
        <v>65</v>
      </c>
      <c r="H117" t="s">
        <v>66</v>
      </c>
      <c r="I117" s="3">
        <v>1272</v>
      </c>
      <c r="J117" s="3">
        <v>1272</v>
      </c>
      <c r="K117" s="3">
        <v>397</v>
      </c>
      <c r="L117" t="s">
        <v>98</v>
      </c>
      <c r="M117">
        <v>14</v>
      </c>
      <c r="N117" t="s">
        <v>87</v>
      </c>
      <c r="O117" t="s">
        <v>81</v>
      </c>
      <c r="P117" t="s">
        <v>18</v>
      </c>
      <c r="Q117" t="s">
        <v>19</v>
      </c>
      <c r="R117" t="s">
        <v>138</v>
      </c>
      <c r="S117" t="s">
        <v>144</v>
      </c>
      <c r="T117" s="2">
        <f>MASTER[[#This Row],[CANTIDAD]]*MASTER[[#This Row],[PRECIO DE VENTA]]</f>
        <v>1272</v>
      </c>
      <c r="U117" s="2">
        <f>MASTER[[#This Row],[CANTIDAD]]*MASTER[[#This Row],[COSTO UNITARIO]]</f>
        <v>397</v>
      </c>
      <c r="V117" s="2">
        <f>MASTER[[#This Row],[MONTO VENDIDO]]-MASTER[[#This Row],[COSTO DE VENTA]]</f>
        <v>875</v>
      </c>
    </row>
    <row r="118" spans="1:22" x14ac:dyDescent="0.3">
      <c r="A118">
        <v>11401</v>
      </c>
      <c r="B118">
        <v>1</v>
      </c>
      <c r="C118" t="s">
        <v>101</v>
      </c>
      <c r="D118" t="s">
        <v>102</v>
      </c>
      <c r="E118" s="1">
        <v>43845</v>
      </c>
      <c r="F118">
        <v>1</v>
      </c>
      <c r="G118" t="s">
        <v>73</v>
      </c>
      <c r="H118" t="s">
        <v>74</v>
      </c>
      <c r="I118" s="3">
        <v>1212</v>
      </c>
      <c r="J118" s="3">
        <v>1212</v>
      </c>
      <c r="K118" s="3">
        <v>442</v>
      </c>
      <c r="L118" t="s">
        <v>98</v>
      </c>
      <c r="M118">
        <v>14</v>
      </c>
      <c r="N118" t="s">
        <v>87</v>
      </c>
      <c r="O118" t="s">
        <v>81</v>
      </c>
      <c r="P118" t="s">
        <v>18</v>
      </c>
      <c r="Q118" t="s">
        <v>19</v>
      </c>
      <c r="R118" t="s">
        <v>138</v>
      </c>
      <c r="S118" t="s">
        <v>144</v>
      </c>
      <c r="T118" s="2">
        <f>MASTER[[#This Row],[CANTIDAD]]*MASTER[[#This Row],[PRECIO DE VENTA]]</f>
        <v>1212</v>
      </c>
      <c r="U118" s="2">
        <f>MASTER[[#This Row],[CANTIDAD]]*MASTER[[#This Row],[COSTO UNITARIO]]</f>
        <v>442</v>
      </c>
      <c r="V118" s="2">
        <f>MASTER[[#This Row],[MONTO VENDIDO]]-MASTER[[#This Row],[COSTO DE VENTA]]</f>
        <v>770</v>
      </c>
    </row>
    <row r="119" spans="1:22" x14ac:dyDescent="0.3">
      <c r="A119">
        <v>11484</v>
      </c>
      <c r="B119">
        <v>1</v>
      </c>
      <c r="C119" t="s">
        <v>118</v>
      </c>
      <c r="D119" t="s">
        <v>119</v>
      </c>
      <c r="E119" s="1">
        <v>43845</v>
      </c>
      <c r="F119">
        <v>1</v>
      </c>
      <c r="G119" t="s">
        <v>27</v>
      </c>
      <c r="H119" t="s">
        <v>28</v>
      </c>
      <c r="I119" s="3">
        <v>900</v>
      </c>
      <c r="J119" s="3">
        <v>900</v>
      </c>
      <c r="K119" s="3">
        <v>424</v>
      </c>
      <c r="L119" t="s">
        <v>120</v>
      </c>
      <c r="M119">
        <v>5</v>
      </c>
      <c r="N119" t="s">
        <v>85</v>
      </c>
      <c r="O119" t="s">
        <v>81</v>
      </c>
      <c r="P119" t="s">
        <v>12</v>
      </c>
      <c r="Q119" t="s">
        <v>13</v>
      </c>
      <c r="R119" t="s">
        <v>13</v>
      </c>
      <c r="S119" t="s">
        <v>144</v>
      </c>
      <c r="T119" s="2">
        <f>MASTER[[#This Row],[CANTIDAD]]*MASTER[[#This Row],[PRECIO DE VENTA]]</f>
        <v>900</v>
      </c>
      <c r="U119" s="2">
        <f>MASTER[[#This Row],[CANTIDAD]]*MASTER[[#This Row],[COSTO UNITARIO]]</f>
        <v>424</v>
      </c>
      <c r="V119" s="2">
        <f>MASTER[[#This Row],[MONTO VENDIDO]]-MASTER[[#This Row],[COSTO DE VENTA]]</f>
        <v>476</v>
      </c>
    </row>
    <row r="120" spans="1:22" x14ac:dyDescent="0.3">
      <c r="A120">
        <v>11495</v>
      </c>
      <c r="B120">
        <v>1</v>
      </c>
      <c r="C120" t="s">
        <v>111</v>
      </c>
      <c r="D120" t="s">
        <v>112</v>
      </c>
      <c r="E120" s="1">
        <v>43846</v>
      </c>
      <c r="F120">
        <v>1</v>
      </c>
      <c r="G120" t="s">
        <v>47</v>
      </c>
      <c r="H120" t="s">
        <v>48</v>
      </c>
      <c r="I120" s="3">
        <v>1524</v>
      </c>
      <c r="J120" s="3">
        <v>1524</v>
      </c>
      <c r="K120" s="3">
        <v>434</v>
      </c>
      <c r="L120" t="s">
        <v>113</v>
      </c>
      <c r="M120">
        <v>12</v>
      </c>
      <c r="N120" t="s">
        <v>26</v>
      </c>
      <c r="O120" t="s">
        <v>11</v>
      </c>
      <c r="P120" t="s">
        <v>12</v>
      </c>
      <c r="Q120" t="s">
        <v>13</v>
      </c>
      <c r="R120" t="s">
        <v>13</v>
      </c>
      <c r="S120" t="s">
        <v>144</v>
      </c>
      <c r="T120" s="2">
        <f>MASTER[[#This Row],[CANTIDAD]]*MASTER[[#This Row],[PRECIO DE VENTA]]</f>
        <v>1524</v>
      </c>
      <c r="U120" s="2">
        <f>MASTER[[#This Row],[CANTIDAD]]*MASTER[[#This Row],[COSTO UNITARIO]]</f>
        <v>434</v>
      </c>
      <c r="V120" s="2">
        <f>MASTER[[#This Row],[MONTO VENDIDO]]-MASTER[[#This Row],[COSTO DE VENTA]]</f>
        <v>1090</v>
      </c>
    </row>
    <row r="121" spans="1:22" x14ac:dyDescent="0.3">
      <c r="A121">
        <v>11506</v>
      </c>
      <c r="B121">
        <v>1</v>
      </c>
      <c r="C121" t="s">
        <v>103</v>
      </c>
      <c r="D121" t="s">
        <v>104</v>
      </c>
      <c r="E121" s="1">
        <v>43846</v>
      </c>
      <c r="F121">
        <v>1</v>
      </c>
      <c r="G121" t="s">
        <v>61</v>
      </c>
      <c r="H121" t="s">
        <v>62</v>
      </c>
      <c r="I121" s="3">
        <v>1591</v>
      </c>
      <c r="J121" s="3">
        <v>1591</v>
      </c>
      <c r="K121" s="3">
        <v>421</v>
      </c>
      <c r="L121" t="s">
        <v>98</v>
      </c>
      <c r="M121">
        <v>19</v>
      </c>
      <c r="N121" t="s">
        <v>89</v>
      </c>
      <c r="O121" t="s">
        <v>81</v>
      </c>
      <c r="P121" t="s">
        <v>15</v>
      </c>
      <c r="Q121" t="s">
        <v>16</v>
      </c>
      <c r="R121" t="s">
        <v>16</v>
      </c>
      <c r="S121" t="s">
        <v>144</v>
      </c>
      <c r="T121" s="2">
        <f>MASTER[[#This Row],[CANTIDAD]]*MASTER[[#This Row],[PRECIO DE VENTA]]</f>
        <v>1591</v>
      </c>
      <c r="U121" s="2">
        <f>MASTER[[#This Row],[CANTIDAD]]*MASTER[[#This Row],[COSTO UNITARIO]]</f>
        <v>421</v>
      </c>
      <c r="V121" s="2">
        <f>MASTER[[#This Row],[MONTO VENDIDO]]-MASTER[[#This Row],[COSTO DE VENTA]]</f>
        <v>1170</v>
      </c>
    </row>
    <row r="122" spans="1:22" x14ac:dyDescent="0.3">
      <c r="A122">
        <v>11507</v>
      </c>
      <c r="B122">
        <v>1</v>
      </c>
      <c r="C122" t="s">
        <v>105</v>
      </c>
      <c r="D122" t="s">
        <v>106</v>
      </c>
      <c r="E122" s="1">
        <v>43846</v>
      </c>
      <c r="F122">
        <v>1</v>
      </c>
      <c r="G122" t="s">
        <v>53</v>
      </c>
      <c r="H122" t="s">
        <v>54</v>
      </c>
      <c r="I122" s="3">
        <v>1865</v>
      </c>
      <c r="J122" s="3">
        <v>1865</v>
      </c>
      <c r="K122" s="3">
        <v>459</v>
      </c>
      <c r="L122" t="s">
        <v>98</v>
      </c>
      <c r="M122">
        <v>5</v>
      </c>
      <c r="N122" t="s">
        <v>85</v>
      </c>
      <c r="O122" t="s">
        <v>81</v>
      </c>
      <c r="P122" t="s">
        <v>12</v>
      </c>
      <c r="Q122" t="s">
        <v>13</v>
      </c>
      <c r="R122" t="s">
        <v>13</v>
      </c>
      <c r="S122" t="s">
        <v>144</v>
      </c>
      <c r="T122" s="2">
        <f>MASTER[[#This Row],[CANTIDAD]]*MASTER[[#This Row],[PRECIO DE VENTA]]</f>
        <v>1865</v>
      </c>
      <c r="U122" s="2">
        <f>MASTER[[#This Row],[CANTIDAD]]*MASTER[[#This Row],[COSTO UNITARIO]]</f>
        <v>459</v>
      </c>
      <c r="V122" s="2">
        <f>MASTER[[#This Row],[MONTO VENDIDO]]-MASTER[[#This Row],[COSTO DE VENTA]]</f>
        <v>1406</v>
      </c>
    </row>
    <row r="123" spans="1:22" x14ac:dyDescent="0.3">
      <c r="A123">
        <v>11510</v>
      </c>
      <c r="B123">
        <v>1</v>
      </c>
      <c r="C123" t="s">
        <v>111</v>
      </c>
      <c r="D123" t="s">
        <v>112</v>
      </c>
      <c r="E123" s="1">
        <v>43846</v>
      </c>
      <c r="F123">
        <v>1</v>
      </c>
      <c r="G123" t="s">
        <v>20</v>
      </c>
      <c r="H123" t="s">
        <v>21</v>
      </c>
      <c r="I123" s="3">
        <v>1621</v>
      </c>
      <c r="J123" s="3">
        <v>1621</v>
      </c>
      <c r="K123" s="3">
        <v>434</v>
      </c>
      <c r="L123" t="s">
        <v>113</v>
      </c>
      <c r="M123">
        <v>5</v>
      </c>
      <c r="N123" t="s">
        <v>85</v>
      </c>
      <c r="O123" t="s">
        <v>81</v>
      </c>
      <c r="P123" t="s">
        <v>12</v>
      </c>
      <c r="Q123" t="s">
        <v>13</v>
      </c>
      <c r="R123" t="s">
        <v>13</v>
      </c>
      <c r="S123" t="s">
        <v>144</v>
      </c>
      <c r="T123" s="2">
        <f>MASTER[[#This Row],[CANTIDAD]]*MASTER[[#This Row],[PRECIO DE VENTA]]</f>
        <v>1621</v>
      </c>
      <c r="U123" s="2">
        <f>MASTER[[#This Row],[CANTIDAD]]*MASTER[[#This Row],[COSTO UNITARIO]]</f>
        <v>434</v>
      </c>
      <c r="V123" s="2">
        <f>MASTER[[#This Row],[MONTO VENDIDO]]-MASTER[[#This Row],[COSTO DE VENTA]]</f>
        <v>1187</v>
      </c>
    </row>
    <row r="124" spans="1:22" x14ac:dyDescent="0.3">
      <c r="A124">
        <v>11526</v>
      </c>
      <c r="B124">
        <v>1</v>
      </c>
      <c r="C124" t="s">
        <v>101</v>
      </c>
      <c r="D124" t="s">
        <v>102</v>
      </c>
      <c r="E124" s="1">
        <v>43846</v>
      </c>
      <c r="F124">
        <v>1</v>
      </c>
      <c r="G124" t="s">
        <v>35</v>
      </c>
      <c r="H124" t="s">
        <v>36</v>
      </c>
      <c r="I124" s="3">
        <v>1054</v>
      </c>
      <c r="J124" s="3">
        <v>1054</v>
      </c>
      <c r="K124" s="3">
        <v>442</v>
      </c>
      <c r="L124" t="s">
        <v>98</v>
      </c>
      <c r="M124">
        <v>11</v>
      </c>
      <c r="N124" t="s">
        <v>10</v>
      </c>
      <c r="O124" t="s">
        <v>11</v>
      </c>
      <c r="P124" t="s">
        <v>12</v>
      </c>
      <c r="Q124" t="s">
        <v>13</v>
      </c>
      <c r="R124" t="s">
        <v>13</v>
      </c>
      <c r="S124" t="s">
        <v>144</v>
      </c>
      <c r="T124" s="2">
        <f>MASTER[[#This Row],[CANTIDAD]]*MASTER[[#This Row],[PRECIO DE VENTA]]</f>
        <v>1054</v>
      </c>
      <c r="U124" s="2">
        <f>MASTER[[#This Row],[CANTIDAD]]*MASTER[[#This Row],[COSTO UNITARIO]]</f>
        <v>442</v>
      </c>
      <c r="V124" s="2">
        <f>MASTER[[#This Row],[MONTO VENDIDO]]-MASTER[[#This Row],[COSTO DE VENTA]]</f>
        <v>612</v>
      </c>
    </row>
    <row r="125" spans="1:22" x14ac:dyDescent="0.3">
      <c r="A125">
        <v>11553</v>
      </c>
      <c r="B125">
        <v>1</v>
      </c>
      <c r="C125" t="s">
        <v>101</v>
      </c>
      <c r="D125" t="s">
        <v>102</v>
      </c>
      <c r="E125" s="1">
        <v>43846</v>
      </c>
      <c r="F125">
        <v>1</v>
      </c>
      <c r="G125" t="s">
        <v>53</v>
      </c>
      <c r="H125" t="s">
        <v>54</v>
      </c>
      <c r="I125" s="3">
        <v>1054</v>
      </c>
      <c r="J125" s="3">
        <v>1054</v>
      </c>
      <c r="K125" s="3">
        <v>442</v>
      </c>
      <c r="L125" t="s">
        <v>98</v>
      </c>
      <c r="M125">
        <v>17</v>
      </c>
      <c r="N125" t="s">
        <v>14</v>
      </c>
      <c r="O125" t="s">
        <v>11</v>
      </c>
      <c r="P125" t="s">
        <v>15</v>
      </c>
      <c r="Q125" t="s">
        <v>16</v>
      </c>
      <c r="R125" t="s">
        <v>16</v>
      </c>
      <c r="S125" t="s">
        <v>144</v>
      </c>
      <c r="T125" s="2">
        <f>MASTER[[#This Row],[CANTIDAD]]*MASTER[[#This Row],[PRECIO DE VENTA]]</f>
        <v>1054</v>
      </c>
      <c r="U125" s="2">
        <f>MASTER[[#This Row],[CANTIDAD]]*MASTER[[#This Row],[COSTO UNITARIO]]</f>
        <v>442</v>
      </c>
      <c r="V125" s="2">
        <f>MASTER[[#This Row],[MONTO VENDIDO]]-MASTER[[#This Row],[COSTO DE VENTA]]</f>
        <v>612</v>
      </c>
    </row>
    <row r="126" spans="1:22" x14ac:dyDescent="0.3">
      <c r="A126">
        <v>11567</v>
      </c>
      <c r="B126">
        <v>1</v>
      </c>
      <c r="C126" t="s">
        <v>92</v>
      </c>
      <c r="D126" t="s">
        <v>93</v>
      </c>
      <c r="E126" s="1">
        <v>43846</v>
      </c>
      <c r="F126">
        <v>1</v>
      </c>
      <c r="G126" t="s">
        <v>7</v>
      </c>
      <c r="H126" t="s">
        <v>8</v>
      </c>
      <c r="I126" s="3">
        <v>1681</v>
      </c>
      <c r="J126" s="3">
        <v>1546</v>
      </c>
      <c r="K126" s="3">
        <v>396</v>
      </c>
      <c r="L126" t="s">
        <v>9</v>
      </c>
      <c r="M126">
        <v>14</v>
      </c>
      <c r="N126" t="s">
        <v>87</v>
      </c>
      <c r="O126" t="s">
        <v>81</v>
      </c>
      <c r="P126" t="s">
        <v>18</v>
      </c>
      <c r="Q126" t="s">
        <v>19</v>
      </c>
      <c r="R126" t="s">
        <v>138</v>
      </c>
      <c r="S126" t="s">
        <v>144</v>
      </c>
      <c r="T126" s="2">
        <f>MASTER[[#This Row],[CANTIDAD]]*MASTER[[#This Row],[PRECIO DE VENTA]]</f>
        <v>1546</v>
      </c>
      <c r="U126" s="2">
        <f>MASTER[[#This Row],[CANTIDAD]]*MASTER[[#This Row],[COSTO UNITARIO]]</f>
        <v>396</v>
      </c>
      <c r="V126" s="2">
        <f>MASTER[[#This Row],[MONTO VENDIDO]]-MASTER[[#This Row],[COSTO DE VENTA]]</f>
        <v>1150</v>
      </c>
    </row>
    <row r="127" spans="1:22" x14ac:dyDescent="0.3">
      <c r="A127">
        <v>11579</v>
      </c>
      <c r="B127">
        <v>2</v>
      </c>
      <c r="C127" t="s">
        <v>5</v>
      </c>
      <c r="D127" t="s">
        <v>6</v>
      </c>
      <c r="E127" s="1">
        <v>43846</v>
      </c>
      <c r="F127">
        <v>1</v>
      </c>
      <c r="G127" t="s">
        <v>45</v>
      </c>
      <c r="H127" t="s">
        <v>46</v>
      </c>
      <c r="I127" s="3">
        <v>1507</v>
      </c>
      <c r="J127" s="3">
        <v>1507</v>
      </c>
      <c r="K127" s="3">
        <v>393</v>
      </c>
      <c r="L127" t="s">
        <v>9</v>
      </c>
      <c r="M127">
        <v>10</v>
      </c>
      <c r="N127" t="s">
        <v>83</v>
      </c>
      <c r="O127" t="s">
        <v>81</v>
      </c>
      <c r="P127" t="s">
        <v>12</v>
      </c>
      <c r="Q127" t="s">
        <v>13</v>
      </c>
      <c r="R127" t="s">
        <v>13</v>
      </c>
      <c r="S127" t="s">
        <v>144</v>
      </c>
      <c r="T127" s="2">
        <f>MASTER[[#This Row],[CANTIDAD]]*MASTER[[#This Row],[PRECIO DE VENTA]]</f>
        <v>1507</v>
      </c>
      <c r="U127" s="2">
        <f>MASTER[[#This Row],[CANTIDAD]]*MASTER[[#This Row],[COSTO UNITARIO]]</f>
        <v>393</v>
      </c>
      <c r="V127" s="2">
        <f>MASTER[[#This Row],[MONTO VENDIDO]]-MASTER[[#This Row],[COSTO DE VENTA]]</f>
        <v>1114</v>
      </c>
    </row>
    <row r="128" spans="1:22" x14ac:dyDescent="0.3">
      <c r="A128">
        <v>11579</v>
      </c>
      <c r="B128">
        <v>1</v>
      </c>
      <c r="C128" t="s">
        <v>94</v>
      </c>
      <c r="D128" t="s">
        <v>95</v>
      </c>
      <c r="E128" s="1">
        <v>43846</v>
      </c>
      <c r="F128">
        <v>1</v>
      </c>
      <c r="G128" t="s">
        <v>35</v>
      </c>
      <c r="H128" t="s">
        <v>36</v>
      </c>
      <c r="I128" s="3">
        <v>1048</v>
      </c>
      <c r="J128" s="3">
        <v>1048</v>
      </c>
      <c r="K128" s="3">
        <v>392</v>
      </c>
      <c r="L128" t="s">
        <v>9</v>
      </c>
      <c r="M128">
        <v>10</v>
      </c>
      <c r="N128" t="s">
        <v>83</v>
      </c>
      <c r="O128" t="s">
        <v>81</v>
      </c>
      <c r="P128" t="s">
        <v>12</v>
      </c>
      <c r="Q128" t="s">
        <v>13</v>
      </c>
      <c r="R128" t="s">
        <v>13</v>
      </c>
      <c r="S128" t="s">
        <v>144</v>
      </c>
      <c r="T128" s="2">
        <f>MASTER[[#This Row],[CANTIDAD]]*MASTER[[#This Row],[PRECIO DE VENTA]]</f>
        <v>1048</v>
      </c>
      <c r="U128" s="2">
        <f>MASTER[[#This Row],[CANTIDAD]]*MASTER[[#This Row],[COSTO UNITARIO]]</f>
        <v>392</v>
      </c>
      <c r="V128" s="2">
        <f>MASTER[[#This Row],[MONTO VENDIDO]]-MASTER[[#This Row],[COSTO DE VENTA]]</f>
        <v>656</v>
      </c>
    </row>
    <row r="129" spans="1:22" x14ac:dyDescent="0.3">
      <c r="A129">
        <v>11624</v>
      </c>
      <c r="B129">
        <v>1</v>
      </c>
      <c r="C129" t="s">
        <v>107</v>
      </c>
      <c r="D129" t="s">
        <v>108</v>
      </c>
      <c r="E129" s="1">
        <v>43846</v>
      </c>
      <c r="F129">
        <v>1</v>
      </c>
      <c r="G129" t="s">
        <v>45</v>
      </c>
      <c r="H129" t="s">
        <v>46</v>
      </c>
      <c r="I129" s="3">
        <v>1333</v>
      </c>
      <c r="J129" s="3">
        <v>1253</v>
      </c>
      <c r="K129" s="3">
        <v>380</v>
      </c>
      <c r="L129" t="s">
        <v>98</v>
      </c>
      <c r="M129">
        <v>14</v>
      </c>
      <c r="N129" t="s">
        <v>87</v>
      </c>
      <c r="O129" t="s">
        <v>81</v>
      </c>
      <c r="P129" t="s">
        <v>18</v>
      </c>
      <c r="Q129" t="s">
        <v>19</v>
      </c>
      <c r="R129" t="s">
        <v>138</v>
      </c>
      <c r="S129" t="s">
        <v>144</v>
      </c>
      <c r="T129" s="2">
        <f>MASTER[[#This Row],[CANTIDAD]]*MASTER[[#This Row],[PRECIO DE VENTA]]</f>
        <v>1253</v>
      </c>
      <c r="U129" s="2">
        <f>MASTER[[#This Row],[CANTIDAD]]*MASTER[[#This Row],[COSTO UNITARIO]]</f>
        <v>380</v>
      </c>
      <c r="V129" s="2">
        <f>MASTER[[#This Row],[MONTO VENDIDO]]-MASTER[[#This Row],[COSTO DE VENTA]]</f>
        <v>873</v>
      </c>
    </row>
    <row r="130" spans="1:22" x14ac:dyDescent="0.3">
      <c r="A130">
        <v>11660</v>
      </c>
      <c r="B130">
        <v>1</v>
      </c>
      <c r="C130" t="s">
        <v>101</v>
      </c>
      <c r="D130" t="s">
        <v>102</v>
      </c>
      <c r="E130" s="1">
        <v>43846</v>
      </c>
      <c r="F130">
        <v>1</v>
      </c>
      <c r="G130" t="s">
        <v>65</v>
      </c>
      <c r="H130" t="s">
        <v>66</v>
      </c>
      <c r="I130" s="3">
        <v>1212</v>
      </c>
      <c r="J130" s="3">
        <v>1212</v>
      </c>
      <c r="K130" s="3">
        <v>442</v>
      </c>
      <c r="L130" t="s">
        <v>98</v>
      </c>
      <c r="M130">
        <v>10</v>
      </c>
      <c r="N130" t="s">
        <v>83</v>
      </c>
      <c r="O130" t="s">
        <v>81</v>
      </c>
      <c r="P130" t="s">
        <v>12</v>
      </c>
      <c r="Q130" t="s">
        <v>13</v>
      </c>
      <c r="R130" t="s">
        <v>13</v>
      </c>
      <c r="S130" t="s">
        <v>144</v>
      </c>
      <c r="T130" s="2">
        <f>MASTER[[#This Row],[CANTIDAD]]*MASTER[[#This Row],[PRECIO DE VENTA]]</f>
        <v>1212</v>
      </c>
      <c r="U130" s="2">
        <f>MASTER[[#This Row],[CANTIDAD]]*MASTER[[#This Row],[COSTO UNITARIO]]</f>
        <v>442</v>
      </c>
      <c r="V130" s="2">
        <f>MASTER[[#This Row],[MONTO VENDIDO]]-MASTER[[#This Row],[COSTO DE VENTA]]</f>
        <v>770</v>
      </c>
    </row>
    <row r="131" spans="1:22" x14ac:dyDescent="0.3">
      <c r="A131">
        <v>11683</v>
      </c>
      <c r="B131">
        <v>1</v>
      </c>
      <c r="C131" t="s">
        <v>114</v>
      </c>
      <c r="D131" t="s">
        <v>115</v>
      </c>
      <c r="E131" s="1">
        <v>43846</v>
      </c>
      <c r="F131">
        <v>1</v>
      </c>
      <c r="G131" t="s">
        <v>41</v>
      </c>
      <c r="H131" t="s">
        <v>42</v>
      </c>
      <c r="I131" s="3">
        <v>2030</v>
      </c>
      <c r="J131" s="3">
        <v>2030</v>
      </c>
      <c r="K131" s="3">
        <v>394</v>
      </c>
      <c r="L131" t="s">
        <v>113</v>
      </c>
      <c r="M131">
        <v>3</v>
      </c>
      <c r="N131" t="s">
        <v>69</v>
      </c>
      <c r="O131" t="s">
        <v>70</v>
      </c>
      <c r="P131" t="s">
        <v>71</v>
      </c>
      <c r="Q131" t="s">
        <v>72</v>
      </c>
      <c r="R131" t="s">
        <v>139</v>
      </c>
      <c r="S131" t="s">
        <v>144</v>
      </c>
      <c r="T131" s="2">
        <f>MASTER[[#This Row],[CANTIDAD]]*MASTER[[#This Row],[PRECIO DE VENTA]]</f>
        <v>2030</v>
      </c>
      <c r="U131" s="2">
        <f>MASTER[[#This Row],[CANTIDAD]]*MASTER[[#This Row],[COSTO UNITARIO]]</f>
        <v>394</v>
      </c>
      <c r="V131" s="2">
        <f>MASTER[[#This Row],[MONTO VENDIDO]]-MASTER[[#This Row],[COSTO DE VENTA]]</f>
        <v>1636</v>
      </c>
    </row>
    <row r="132" spans="1:22" x14ac:dyDescent="0.3">
      <c r="A132">
        <v>11697</v>
      </c>
      <c r="B132">
        <v>1</v>
      </c>
      <c r="C132" t="s">
        <v>94</v>
      </c>
      <c r="D132" t="s">
        <v>95</v>
      </c>
      <c r="E132" s="1">
        <v>43846</v>
      </c>
      <c r="F132">
        <v>1</v>
      </c>
      <c r="G132" t="s">
        <v>65</v>
      </c>
      <c r="H132" t="s">
        <v>66</v>
      </c>
      <c r="I132" s="3">
        <v>1048</v>
      </c>
      <c r="J132" s="3">
        <v>1048</v>
      </c>
      <c r="K132" s="3">
        <v>392</v>
      </c>
      <c r="L132" t="s">
        <v>9</v>
      </c>
      <c r="M132">
        <v>5</v>
      </c>
      <c r="N132" t="s">
        <v>85</v>
      </c>
      <c r="O132" t="s">
        <v>81</v>
      </c>
      <c r="P132" t="s">
        <v>12</v>
      </c>
      <c r="Q132" t="s">
        <v>13</v>
      </c>
      <c r="R132" t="s">
        <v>13</v>
      </c>
      <c r="S132" t="s">
        <v>144</v>
      </c>
      <c r="T132" s="2">
        <f>MASTER[[#This Row],[CANTIDAD]]*MASTER[[#This Row],[PRECIO DE VENTA]]</f>
        <v>1048</v>
      </c>
      <c r="U132" s="2">
        <f>MASTER[[#This Row],[CANTIDAD]]*MASTER[[#This Row],[COSTO UNITARIO]]</f>
        <v>392</v>
      </c>
      <c r="V132" s="2">
        <f>MASTER[[#This Row],[MONTO VENDIDO]]-MASTER[[#This Row],[COSTO DE VENTA]]</f>
        <v>656</v>
      </c>
    </row>
    <row r="133" spans="1:22" x14ac:dyDescent="0.3">
      <c r="A133">
        <v>11716</v>
      </c>
      <c r="B133">
        <v>2</v>
      </c>
      <c r="C133" t="s">
        <v>109</v>
      </c>
      <c r="D133" t="s">
        <v>110</v>
      </c>
      <c r="E133" s="1">
        <v>43847</v>
      </c>
      <c r="F133">
        <v>1</v>
      </c>
      <c r="G133" t="s">
        <v>65</v>
      </c>
      <c r="H133" t="s">
        <v>66</v>
      </c>
      <c r="I133" s="3">
        <v>947</v>
      </c>
      <c r="J133" s="3">
        <v>947</v>
      </c>
      <c r="K133" s="3">
        <v>387</v>
      </c>
      <c r="L133" t="s">
        <v>98</v>
      </c>
      <c r="M133">
        <v>12</v>
      </c>
      <c r="N133" t="s">
        <v>26</v>
      </c>
      <c r="O133" t="s">
        <v>11</v>
      </c>
      <c r="P133" t="s">
        <v>12</v>
      </c>
      <c r="Q133" t="s">
        <v>13</v>
      </c>
      <c r="R133" t="s">
        <v>13</v>
      </c>
      <c r="S133" t="s">
        <v>144</v>
      </c>
      <c r="T133" s="2">
        <f>MASTER[[#This Row],[CANTIDAD]]*MASTER[[#This Row],[PRECIO DE VENTA]]</f>
        <v>947</v>
      </c>
      <c r="U133" s="2">
        <f>MASTER[[#This Row],[CANTIDAD]]*MASTER[[#This Row],[COSTO UNITARIO]]</f>
        <v>387</v>
      </c>
      <c r="V133" s="2">
        <f>MASTER[[#This Row],[MONTO VENDIDO]]-MASTER[[#This Row],[COSTO DE VENTA]]</f>
        <v>560</v>
      </c>
    </row>
    <row r="134" spans="1:22" x14ac:dyDescent="0.3">
      <c r="A134">
        <v>11716</v>
      </c>
      <c r="B134">
        <v>1</v>
      </c>
      <c r="C134" t="s">
        <v>114</v>
      </c>
      <c r="D134" t="s">
        <v>115</v>
      </c>
      <c r="E134" s="1">
        <v>43847</v>
      </c>
      <c r="F134">
        <v>1</v>
      </c>
      <c r="G134" t="s">
        <v>31</v>
      </c>
      <c r="H134" t="s">
        <v>32</v>
      </c>
      <c r="I134" s="3">
        <v>1583</v>
      </c>
      <c r="J134" s="3">
        <v>1583</v>
      </c>
      <c r="K134" s="3">
        <v>394</v>
      </c>
      <c r="L134" t="s">
        <v>113</v>
      </c>
      <c r="M134">
        <v>12</v>
      </c>
      <c r="N134" t="s">
        <v>26</v>
      </c>
      <c r="O134" t="s">
        <v>11</v>
      </c>
      <c r="P134" t="s">
        <v>12</v>
      </c>
      <c r="Q134" t="s">
        <v>13</v>
      </c>
      <c r="R134" t="s">
        <v>13</v>
      </c>
      <c r="S134" t="s">
        <v>144</v>
      </c>
      <c r="T134" s="2">
        <f>MASTER[[#This Row],[CANTIDAD]]*MASTER[[#This Row],[PRECIO DE VENTA]]</f>
        <v>1583</v>
      </c>
      <c r="U134" s="2">
        <f>MASTER[[#This Row],[CANTIDAD]]*MASTER[[#This Row],[COSTO UNITARIO]]</f>
        <v>394</v>
      </c>
      <c r="V134" s="2">
        <f>MASTER[[#This Row],[MONTO VENDIDO]]-MASTER[[#This Row],[COSTO DE VENTA]]</f>
        <v>1189</v>
      </c>
    </row>
    <row r="135" spans="1:22" x14ac:dyDescent="0.3">
      <c r="A135">
        <v>11779</v>
      </c>
      <c r="B135">
        <v>1</v>
      </c>
      <c r="C135" t="s">
        <v>90</v>
      </c>
      <c r="D135" t="s">
        <v>91</v>
      </c>
      <c r="E135" s="1">
        <v>43847</v>
      </c>
      <c r="F135">
        <v>1</v>
      </c>
      <c r="G135" t="s">
        <v>47</v>
      </c>
      <c r="H135" t="s">
        <v>48</v>
      </c>
      <c r="I135" s="3">
        <v>1660</v>
      </c>
      <c r="J135" s="3">
        <v>1660</v>
      </c>
      <c r="K135" s="3">
        <v>420</v>
      </c>
      <c r="L135" t="s">
        <v>9</v>
      </c>
      <c r="M135">
        <v>17</v>
      </c>
      <c r="N135" t="s">
        <v>14</v>
      </c>
      <c r="O135" t="s">
        <v>11</v>
      </c>
      <c r="P135" t="s">
        <v>15</v>
      </c>
      <c r="Q135" t="s">
        <v>16</v>
      </c>
      <c r="R135" t="s">
        <v>16</v>
      </c>
      <c r="S135" t="s">
        <v>144</v>
      </c>
      <c r="T135" s="2">
        <f>MASTER[[#This Row],[CANTIDAD]]*MASTER[[#This Row],[PRECIO DE VENTA]]</f>
        <v>1660</v>
      </c>
      <c r="U135" s="2">
        <f>MASTER[[#This Row],[CANTIDAD]]*MASTER[[#This Row],[COSTO UNITARIO]]</f>
        <v>420</v>
      </c>
      <c r="V135" s="2">
        <f>MASTER[[#This Row],[MONTO VENDIDO]]-MASTER[[#This Row],[COSTO DE VENTA]]</f>
        <v>1240</v>
      </c>
    </row>
    <row r="136" spans="1:22" x14ac:dyDescent="0.3">
      <c r="A136">
        <v>11792</v>
      </c>
      <c r="B136">
        <v>1</v>
      </c>
      <c r="C136" t="s">
        <v>94</v>
      </c>
      <c r="D136" t="s">
        <v>95</v>
      </c>
      <c r="E136" s="1">
        <v>43848</v>
      </c>
      <c r="F136">
        <v>1</v>
      </c>
      <c r="G136" t="s">
        <v>7</v>
      </c>
      <c r="H136" t="s">
        <v>8</v>
      </c>
      <c r="I136" s="3">
        <v>1153</v>
      </c>
      <c r="J136" s="3">
        <v>1153</v>
      </c>
      <c r="K136" s="3">
        <v>392</v>
      </c>
      <c r="L136" t="s">
        <v>9</v>
      </c>
      <c r="M136">
        <v>9</v>
      </c>
      <c r="N136" t="s">
        <v>76</v>
      </c>
      <c r="O136" t="s">
        <v>70</v>
      </c>
      <c r="P136" t="s">
        <v>12</v>
      </c>
      <c r="Q136" t="s">
        <v>13</v>
      </c>
      <c r="R136" t="s">
        <v>13</v>
      </c>
      <c r="S136" t="s">
        <v>144</v>
      </c>
      <c r="T136" s="2">
        <f>MASTER[[#This Row],[CANTIDAD]]*MASTER[[#This Row],[PRECIO DE VENTA]]</f>
        <v>1153</v>
      </c>
      <c r="U136" s="2">
        <f>MASTER[[#This Row],[CANTIDAD]]*MASTER[[#This Row],[COSTO UNITARIO]]</f>
        <v>392</v>
      </c>
      <c r="V136" s="2">
        <f>MASTER[[#This Row],[MONTO VENDIDO]]-MASTER[[#This Row],[COSTO DE VENTA]]</f>
        <v>761</v>
      </c>
    </row>
    <row r="137" spans="1:22" x14ac:dyDescent="0.3">
      <c r="A137">
        <v>11794</v>
      </c>
      <c r="B137">
        <v>1</v>
      </c>
      <c r="C137" t="s">
        <v>5</v>
      </c>
      <c r="D137" t="s">
        <v>6</v>
      </c>
      <c r="E137" s="1">
        <v>43848</v>
      </c>
      <c r="F137">
        <v>1</v>
      </c>
      <c r="G137" t="s">
        <v>20</v>
      </c>
      <c r="H137" t="s">
        <v>21</v>
      </c>
      <c r="I137" s="3">
        <v>1311</v>
      </c>
      <c r="J137" s="3">
        <v>1311</v>
      </c>
      <c r="K137" s="3">
        <v>393</v>
      </c>
      <c r="L137" t="s">
        <v>9</v>
      </c>
      <c r="M137">
        <v>16</v>
      </c>
      <c r="N137" t="s">
        <v>17</v>
      </c>
      <c r="O137" t="s">
        <v>11</v>
      </c>
      <c r="P137" t="s">
        <v>18</v>
      </c>
      <c r="Q137" t="s">
        <v>19</v>
      </c>
      <c r="R137" t="s">
        <v>138</v>
      </c>
      <c r="S137" t="s">
        <v>144</v>
      </c>
      <c r="T137" s="2">
        <f>MASTER[[#This Row],[CANTIDAD]]*MASTER[[#This Row],[PRECIO DE VENTA]]</f>
        <v>1311</v>
      </c>
      <c r="U137" s="2">
        <f>MASTER[[#This Row],[CANTIDAD]]*MASTER[[#This Row],[COSTO UNITARIO]]</f>
        <v>393</v>
      </c>
      <c r="V137" s="2">
        <f>MASTER[[#This Row],[MONTO VENDIDO]]-MASTER[[#This Row],[COSTO DE VENTA]]</f>
        <v>918</v>
      </c>
    </row>
    <row r="138" spans="1:22" x14ac:dyDescent="0.3">
      <c r="A138">
        <v>11801</v>
      </c>
      <c r="B138">
        <v>1</v>
      </c>
      <c r="C138" t="s">
        <v>90</v>
      </c>
      <c r="D138" t="s">
        <v>91</v>
      </c>
      <c r="E138" s="1">
        <v>43848</v>
      </c>
      <c r="F138">
        <v>1</v>
      </c>
      <c r="G138" t="s">
        <v>31</v>
      </c>
      <c r="H138" t="s">
        <v>32</v>
      </c>
      <c r="I138" s="3">
        <v>1844</v>
      </c>
      <c r="J138" s="3">
        <v>1844</v>
      </c>
      <c r="K138" s="3">
        <v>420</v>
      </c>
      <c r="L138" t="s">
        <v>9</v>
      </c>
      <c r="M138">
        <v>2</v>
      </c>
      <c r="N138" t="s">
        <v>86</v>
      </c>
      <c r="O138" t="s">
        <v>81</v>
      </c>
      <c r="P138" t="s">
        <v>71</v>
      </c>
      <c r="Q138" t="s">
        <v>72</v>
      </c>
      <c r="R138" t="s">
        <v>139</v>
      </c>
      <c r="S138" t="s">
        <v>144</v>
      </c>
      <c r="T138" s="2">
        <f>MASTER[[#This Row],[CANTIDAD]]*MASTER[[#This Row],[PRECIO DE VENTA]]</f>
        <v>1844</v>
      </c>
      <c r="U138" s="2">
        <f>MASTER[[#This Row],[CANTIDAD]]*MASTER[[#This Row],[COSTO UNITARIO]]</f>
        <v>420</v>
      </c>
      <c r="V138" s="2">
        <f>MASTER[[#This Row],[MONTO VENDIDO]]-MASTER[[#This Row],[COSTO DE VENTA]]</f>
        <v>1424</v>
      </c>
    </row>
    <row r="139" spans="1:22" x14ac:dyDescent="0.3">
      <c r="A139">
        <v>11808</v>
      </c>
      <c r="B139">
        <v>1</v>
      </c>
      <c r="C139" t="s">
        <v>90</v>
      </c>
      <c r="D139" t="s">
        <v>91</v>
      </c>
      <c r="E139" s="1">
        <v>43848</v>
      </c>
      <c r="F139">
        <v>1</v>
      </c>
      <c r="G139" t="s">
        <v>51</v>
      </c>
      <c r="H139" t="s">
        <v>52</v>
      </c>
      <c r="I139" s="3">
        <v>2102</v>
      </c>
      <c r="J139" s="3">
        <v>2102</v>
      </c>
      <c r="K139" s="3">
        <v>420</v>
      </c>
      <c r="L139" t="s">
        <v>9</v>
      </c>
      <c r="M139">
        <v>18</v>
      </c>
      <c r="N139" t="s">
        <v>79</v>
      </c>
      <c r="O139" t="s">
        <v>70</v>
      </c>
      <c r="P139" t="s">
        <v>15</v>
      </c>
      <c r="Q139" t="s">
        <v>16</v>
      </c>
      <c r="R139" t="s">
        <v>16</v>
      </c>
      <c r="S139" t="s">
        <v>144</v>
      </c>
      <c r="T139" s="2">
        <f>MASTER[[#This Row],[CANTIDAD]]*MASTER[[#This Row],[PRECIO DE VENTA]]</f>
        <v>2102</v>
      </c>
      <c r="U139" s="2">
        <f>MASTER[[#This Row],[CANTIDAD]]*MASTER[[#This Row],[COSTO UNITARIO]]</f>
        <v>420</v>
      </c>
      <c r="V139" s="2">
        <f>MASTER[[#This Row],[MONTO VENDIDO]]-MASTER[[#This Row],[COSTO DE VENTA]]</f>
        <v>1682</v>
      </c>
    </row>
    <row r="140" spans="1:22" x14ac:dyDescent="0.3">
      <c r="A140">
        <v>11810</v>
      </c>
      <c r="B140">
        <v>1</v>
      </c>
      <c r="C140" t="s">
        <v>109</v>
      </c>
      <c r="D140" t="s">
        <v>110</v>
      </c>
      <c r="E140" s="1">
        <v>43849</v>
      </c>
      <c r="F140">
        <v>1</v>
      </c>
      <c r="G140" t="s">
        <v>73</v>
      </c>
      <c r="H140" t="s">
        <v>74</v>
      </c>
      <c r="I140" s="3">
        <v>1064</v>
      </c>
      <c r="J140" s="3">
        <v>1064</v>
      </c>
      <c r="K140" s="3">
        <v>387</v>
      </c>
      <c r="L140" t="s">
        <v>98</v>
      </c>
      <c r="M140">
        <v>10</v>
      </c>
      <c r="N140" t="s">
        <v>83</v>
      </c>
      <c r="O140" t="s">
        <v>81</v>
      </c>
      <c r="P140" t="s">
        <v>12</v>
      </c>
      <c r="Q140" t="s">
        <v>13</v>
      </c>
      <c r="R140" t="s">
        <v>13</v>
      </c>
      <c r="S140" t="s">
        <v>144</v>
      </c>
      <c r="T140" s="2">
        <f>MASTER[[#This Row],[CANTIDAD]]*MASTER[[#This Row],[PRECIO DE VENTA]]</f>
        <v>1064</v>
      </c>
      <c r="U140" s="2">
        <f>MASTER[[#This Row],[CANTIDAD]]*MASTER[[#This Row],[COSTO UNITARIO]]</f>
        <v>387</v>
      </c>
      <c r="V140" s="2">
        <f>MASTER[[#This Row],[MONTO VENDIDO]]-MASTER[[#This Row],[COSTO DE VENTA]]</f>
        <v>677</v>
      </c>
    </row>
    <row r="141" spans="1:22" x14ac:dyDescent="0.3">
      <c r="A141">
        <v>11815</v>
      </c>
      <c r="B141">
        <v>1</v>
      </c>
      <c r="C141" t="s">
        <v>99</v>
      </c>
      <c r="D141" t="s">
        <v>100</v>
      </c>
      <c r="E141" s="1">
        <v>43849</v>
      </c>
      <c r="F141">
        <v>1</v>
      </c>
      <c r="G141" t="s">
        <v>47</v>
      </c>
      <c r="H141" t="s">
        <v>48</v>
      </c>
      <c r="I141" s="3">
        <v>1459</v>
      </c>
      <c r="J141" s="3">
        <v>1459</v>
      </c>
      <c r="K141" s="3">
        <v>386</v>
      </c>
      <c r="L141" t="s">
        <v>98</v>
      </c>
      <c r="M141">
        <v>8</v>
      </c>
      <c r="N141" t="s">
        <v>80</v>
      </c>
      <c r="O141" t="s">
        <v>81</v>
      </c>
      <c r="P141" t="s">
        <v>12</v>
      </c>
      <c r="Q141" t="s">
        <v>13</v>
      </c>
      <c r="R141" t="s">
        <v>13</v>
      </c>
      <c r="S141" t="s">
        <v>144</v>
      </c>
      <c r="T141" s="2">
        <f>MASTER[[#This Row],[CANTIDAD]]*MASTER[[#This Row],[PRECIO DE VENTA]]</f>
        <v>1459</v>
      </c>
      <c r="U141" s="2">
        <f>MASTER[[#This Row],[CANTIDAD]]*MASTER[[#This Row],[COSTO UNITARIO]]</f>
        <v>386</v>
      </c>
      <c r="V141" s="2">
        <f>MASTER[[#This Row],[MONTO VENDIDO]]-MASTER[[#This Row],[COSTO DE VENTA]]</f>
        <v>1073</v>
      </c>
    </row>
    <row r="142" spans="1:22" x14ac:dyDescent="0.3">
      <c r="A142">
        <v>11821</v>
      </c>
      <c r="B142">
        <v>1</v>
      </c>
      <c r="C142" t="s">
        <v>5</v>
      </c>
      <c r="D142" t="s">
        <v>6</v>
      </c>
      <c r="E142" s="1">
        <v>43849</v>
      </c>
      <c r="F142">
        <v>1</v>
      </c>
      <c r="G142" t="s">
        <v>41</v>
      </c>
      <c r="H142" t="s">
        <v>42</v>
      </c>
      <c r="I142" s="3">
        <v>1507</v>
      </c>
      <c r="J142" s="3">
        <v>1507</v>
      </c>
      <c r="K142" s="3">
        <v>393</v>
      </c>
      <c r="L142" t="s">
        <v>9</v>
      </c>
      <c r="M142">
        <v>4</v>
      </c>
      <c r="N142" t="s">
        <v>82</v>
      </c>
      <c r="O142" t="s">
        <v>81</v>
      </c>
      <c r="P142" t="s">
        <v>71</v>
      </c>
      <c r="Q142" t="s">
        <v>72</v>
      </c>
      <c r="R142" t="s">
        <v>139</v>
      </c>
      <c r="S142" t="s">
        <v>144</v>
      </c>
      <c r="T142" s="2">
        <f>MASTER[[#This Row],[CANTIDAD]]*MASTER[[#This Row],[PRECIO DE VENTA]]</f>
        <v>1507</v>
      </c>
      <c r="U142" s="2">
        <f>MASTER[[#This Row],[CANTIDAD]]*MASTER[[#This Row],[COSTO UNITARIO]]</f>
        <v>393</v>
      </c>
      <c r="V142" s="2">
        <f>MASTER[[#This Row],[MONTO VENDIDO]]-MASTER[[#This Row],[COSTO DE VENTA]]</f>
        <v>1114</v>
      </c>
    </row>
    <row r="143" spans="1:22" x14ac:dyDescent="0.3">
      <c r="A143">
        <v>11830</v>
      </c>
      <c r="B143">
        <v>1</v>
      </c>
      <c r="C143" t="s">
        <v>111</v>
      </c>
      <c r="D143" t="s">
        <v>112</v>
      </c>
      <c r="E143" s="1">
        <v>43849</v>
      </c>
      <c r="F143">
        <v>1</v>
      </c>
      <c r="G143" t="s">
        <v>57</v>
      </c>
      <c r="H143" t="s">
        <v>58</v>
      </c>
      <c r="I143" s="3">
        <v>1799</v>
      </c>
      <c r="J143" s="3">
        <v>1799</v>
      </c>
      <c r="K143" s="3">
        <v>434</v>
      </c>
      <c r="L143" t="s">
        <v>113</v>
      </c>
      <c r="M143">
        <v>3</v>
      </c>
      <c r="N143" t="s">
        <v>69</v>
      </c>
      <c r="O143" t="s">
        <v>70</v>
      </c>
      <c r="P143" t="s">
        <v>71</v>
      </c>
      <c r="Q143" t="s">
        <v>72</v>
      </c>
      <c r="R143" t="s">
        <v>139</v>
      </c>
      <c r="S143" t="s">
        <v>144</v>
      </c>
      <c r="T143" s="2">
        <f>MASTER[[#This Row],[CANTIDAD]]*MASTER[[#This Row],[PRECIO DE VENTA]]</f>
        <v>1799</v>
      </c>
      <c r="U143" s="2">
        <f>MASTER[[#This Row],[CANTIDAD]]*MASTER[[#This Row],[COSTO UNITARIO]]</f>
        <v>434</v>
      </c>
      <c r="V143" s="2">
        <f>MASTER[[#This Row],[MONTO VENDIDO]]-MASTER[[#This Row],[COSTO DE VENTA]]</f>
        <v>1365</v>
      </c>
    </row>
    <row r="144" spans="1:22" x14ac:dyDescent="0.3">
      <c r="A144">
        <v>11837</v>
      </c>
      <c r="B144">
        <v>1</v>
      </c>
      <c r="C144" t="s">
        <v>111</v>
      </c>
      <c r="D144" t="s">
        <v>112</v>
      </c>
      <c r="E144" s="1">
        <v>43849</v>
      </c>
      <c r="F144">
        <v>1</v>
      </c>
      <c r="G144" t="s">
        <v>59</v>
      </c>
      <c r="H144" t="s">
        <v>60</v>
      </c>
      <c r="I144" s="3">
        <v>1621</v>
      </c>
      <c r="J144" s="3">
        <v>1621</v>
      </c>
      <c r="K144" s="3">
        <v>434</v>
      </c>
      <c r="L144" t="s">
        <v>113</v>
      </c>
      <c r="M144">
        <v>10</v>
      </c>
      <c r="N144" t="s">
        <v>83</v>
      </c>
      <c r="O144" t="s">
        <v>81</v>
      </c>
      <c r="P144" t="s">
        <v>12</v>
      </c>
      <c r="Q144" t="s">
        <v>13</v>
      </c>
      <c r="R144" t="s">
        <v>13</v>
      </c>
      <c r="S144" t="s">
        <v>144</v>
      </c>
      <c r="T144" s="2">
        <f>MASTER[[#This Row],[CANTIDAD]]*MASTER[[#This Row],[PRECIO DE VENTA]]</f>
        <v>1621</v>
      </c>
      <c r="U144" s="2">
        <f>MASTER[[#This Row],[CANTIDAD]]*MASTER[[#This Row],[COSTO UNITARIO]]</f>
        <v>434</v>
      </c>
      <c r="V144" s="2">
        <f>MASTER[[#This Row],[MONTO VENDIDO]]-MASTER[[#This Row],[COSTO DE VENTA]]</f>
        <v>1187</v>
      </c>
    </row>
    <row r="145" spans="1:22" x14ac:dyDescent="0.3">
      <c r="A145">
        <v>11847</v>
      </c>
      <c r="B145">
        <v>1</v>
      </c>
      <c r="C145" t="s">
        <v>96</v>
      </c>
      <c r="D145" t="s">
        <v>97</v>
      </c>
      <c r="E145" s="1">
        <v>43849</v>
      </c>
      <c r="F145">
        <v>1</v>
      </c>
      <c r="G145" t="s">
        <v>73</v>
      </c>
      <c r="H145" t="s">
        <v>74</v>
      </c>
      <c r="I145" s="3">
        <v>1361</v>
      </c>
      <c r="J145" s="3">
        <v>1361</v>
      </c>
      <c r="K145" s="3">
        <v>397</v>
      </c>
      <c r="L145" t="s">
        <v>98</v>
      </c>
      <c r="M145">
        <v>6</v>
      </c>
      <c r="N145" t="s">
        <v>75</v>
      </c>
      <c r="O145" t="s">
        <v>70</v>
      </c>
      <c r="P145" t="s">
        <v>12</v>
      </c>
      <c r="Q145" t="s">
        <v>13</v>
      </c>
      <c r="R145" t="s">
        <v>13</v>
      </c>
      <c r="S145" t="s">
        <v>144</v>
      </c>
      <c r="T145" s="2">
        <f>MASTER[[#This Row],[CANTIDAD]]*MASTER[[#This Row],[PRECIO DE VENTA]]</f>
        <v>1361</v>
      </c>
      <c r="U145" s="2">
        <f>MASTER[[#This Row],[CANTIDAD]]*MASTER[[#This Row],[COSTO UNITARIO]]</f>
        <v>397</v>
      </c>
      <c r="V145" s="2">
        <f>MASTER[[#This Row],[MONTO VENDIDO]]-MASTER[[#This Row],[COSTO DE VENTA]]</f>
        <v>964</v>
      </c>
    </row>
    <row r="146" spans="1:22" x14ac:dyDescent="0.3">
      <c r="A146">
        <v>11857</v>
      </c>
      <c r="B146">
        <v>1</v>
      </c>
      <c r="C146" t="s">
        <v>96</v>
      </c>
      <c r="D146" t="s">
        <v>97</v>
      </c>
      <c r="E146" s="1">
        <v>43850</v>
      </c>
      <c r="F146">
        <v>1</v>
      </c>
      <c r="G146" t="s">
        <v>51</v>
      </c>
      <c r="H146" t="s">
        <v>52</v>
      </c>
      <c r="I146" s="3">
        <v>1361</v>
      </c>
      <c r="J146" s="3">
        <v>1361</v>
      </c>
      <c r="K146" s="3">
        <v>397</v>
      </c>
      <c r="L146" t="s">
        <v>98</v>
      </c>
      <c r="M146">
        <v>3</v>
      </c>
      <c r="N146" t="s">
        <v>69</v>
      </c>
      <c r="O146" t="s">
        <v>70</v>
      </c>
      <c r="P146" t="s">
        <v>71</v>
      </c>
      <c r="Q146" t="s">
        <v>72</v>
      </c>
      <c r="R146" t="s">
        <v>139</v>
      </c>
      <c r="S146" t="s">
        <v>144</v>
      </c>
      <c r="T146" s="2">
        <f>MASTER[[#This Row],[CANTIDAD]]*MASTER[[#This Row],[PRECIO DE VENTA]]</f>
        <v>1361</v>
      </c>
      <c r="U146" s="2">
        <f>MASTER[[#This Row],[CANTIDAD]]*MASTER[[#This Row],[COSTO UNITARIO]]</f>
        <v>397</v>
      </c>
      <c r="V146" s="2">
        <f>MASTER[[#This Row],[MONTO VENDIDO]]-MASTER[[#This Row],[COSTO DE VENTA]]</f>
        <v>964</v>
      </c>
    </row>
    <row r="147" spans="1:22" x14ac:dyDescent="0.3">
      <c r="A147">
        <v>11864</v>
      </c>
      <c r="B147">
        <v>1</v>
      </c>
      <c r="C147" t="s">
        <v>114</v>
      </c>
      <c r="D147" t="s">
        <v>115</v>
      </c>
      <c r="E147" s="1">
        <v>43850</v>
      </c>
      <c r="F147">
        <v>1</v>
      </c>
      <c r="G147" t="s">
        <v>55</v>
      </c>
      <c r="H147" t="s">
        <v>56</v>
      </c>
      <c r="I147" s="3">
        <v>1862</v>
      </c>
      <c r="J147" s="3">
        <v>1862</v>
      </c>
      <c r="K147" s="3">
        <v>394</v>
      </c>
      <c r="L147" t="s">
        <v>113</v>
      </c>
      <c r="M147">
        <v>15</v>
      </c>
      <c r="N147" t="s">
        <v>88</v>
      </c>
      <c r="O147" t="s">
        <v>81</v>
      </c>
      <c r="P147" t="s">
        <v>18</v>
      </c>
      <c r="Q147" t="s">
        <v>19</v>
      </c>
      <c r="R147" t="s">
        <v>138</v>
      </c>
      <c r="S147" t="s">
        <v>144</v>
      </c>
      <c r="T147" s="2">
        <f>MASTER[[#This Row],[CANTIDAD]]*MASTER[[#This Row],[PRECIO DE VENTA]]</f>
        <v>1862</v>
      </c>
      <c r="U147" s="2">
        <f>MASTER[[#This Row],[CANTIDAD]]*MASTER[[#This Row],[COSTO UNITARIO]]</f>
        <v>394</v>
      </c>
      <c r="V147" s="2">
        <f>MASTER[[#This Row],[MONTO VENDIDO]]-MASTER[[#This Row],[COSTO DE VENTA]]</f>
        <v>1468</v>
      </c>
    </row>
    <row r="148" spans="1:22" x14ac:dyDescent="0.3">
      <c r="A148">
        <v>11871</v>
      </c>
      <c r="B148">
        <v>1</v>
      </c>
      <c r="C148" t="s">
        <v>101</v>
      </c>
      <c r="D148" t="s">
        <v>102</v>
      </c>
      <c r="E148" s="1">
        <v>43850</v>
      </c>
      <c r="F148">
        <v>2</v>
      </c>
      <c r="G148" t="s">
        <v>51</v>
      </c>
      <c r="H148" t="s">
        <v>52</v>
      </c>
      <c r="I148" s="3">
        <v>1357</v>
      </c>
      <c r="J148" s="3">
        <v>1357</v>
      </c>
      <c r="K148" s="3">
        <v>442</v>
      </c>
      <c r="L148" t="s">
        <v>98</v>
      </c>
      <c r="M148">
        <v>9</v>
      </c>
      <c r="N148" t="s">
        <v>76</v>
      </c>
      <c r="O148" t="s">
        <v>70</v>
      </c>
      <c r="P148" t="s">
        <v>12</v>
      </c>
      <c r="Q148" t="s">
        <v>13</v>
      </c>
      <c r="R148" t="s">
        <v>13</v>
      </c>
      <c r="S148" t="s">
        <v>144</v>
      </c>
      <c r="T148" s="2">
        <f>MASTER[[#This Row],[CANTIDAD]]*MASTER[[#This Row],[PRECIO DE VENTA]]</f>
        <v>2714</v>
      </c>
      <c r="U148" s="2">
        <f>MASTER[[#This Row],[CANTIDAD]]*MASTER[[#This Row],[COSTO UNITARIO]]</f>
        <v>884</v>
      </c>
      <c r="V148" s="2">
        <f>MASTER[[#This Row],[MONTO VENDIDO]]-MASTER[[#This Row],[COSTO DE VENTA]]</f>
        <v>1830</v>
      </c>
    </row>
    <row r="149" spans="1:22" x14ac:dyDescent="0.3">
      <c r="A149">
        <v>11877</v>
      </c>
      <c r="B149">
        <v>1</v>
      </c>
      <c r="C149" t="s">
        <v>107</v>
      </c>
      <c r="D149" t="s">
        <v>108</v>
      </c>
      <c r="E149" s="1">
        <v>43850</v>
      </c>
      <c r="F149">
        <v>1</v>
      </c>
      <c r="G149" t="s">
        <v>51</v>
      </c>
      <c r="H149" t="s">
        <v>52</v>
      </c>
      <c r="I149" s="3">
        <v>1440</v>
      </c>
      <c r="J149" s="3">
        <v>1440</v>
      </c>
      <c r="K149" s="3">
        <v>380</v>
      </c>
      <c r="L149" t="s">
        <v>98</v>
      </c>
      <c r="M149">
        <v>13</v>
      </c>
      <c r="N149" t="s">
        <v>78</v>
      </c>
      <c r="O149" t="s">
        <v>70</v>
      </c>
      <c r="P149" t="s">
        <v>18</v>
      </c>
      <c r="Q149" t="s">
        <v>19</v>
      </c>
      <c r="R149" t="s">
        <v>138</v>
      </c>
      <c r="S149" t="s">
        <v>144</v>
      </c>
      <c r="T149" s="2">
        <f>MASTER[[#This Row],[CANTIDAD]]*MASTER[[#This Row],[PRECIO DE VENTA]]</f>
        <v>1440</v>
      </c>
      <c r="U149" s="2">
        <f>MASTER[[#This Row],[CANTIDAD]]*MASTER[[#This Row],[COSTO UNITARIO]]</f>
        <v>380</v>
      </c>
      <c r="V149" s="2">
        <f>MASTER[[#This Row],[MONTO VENDIDO]]-MASTER[[#This Row],[COSTO DE VENTA]]</f>
        <v>1060</v>
      </c>
    </row>
    <row r="150" spans="1:22" x14ac:dyDescent="0.3">
      <c r="A150">
        <v>11906</v>
      </c>
      <c r="B150">
        <v>1</v>
      </c>
      <c r="C150" t="s">
        <v>96</v>
      </c>
      <c r="D150" t="s">
        <v>97</v>
      </c>
      <c r="E150" s="1">
        <v>43850</v>
      </c>
      <c r="F150">
        <v>1</v>
      </c>
      <c r="G150" t="s">
        <v>51</v>
      </c>
      <c r="H150" t="s">
        <v>52</v>
      </c>
      <c r="I150" s="3">
        <v>1272</v>
      </c>
      <c r="J150" s="3">
        <v>1272</v>
      </c>
      <c r="K150" s="3">
        <v>397</v>
      </c>
      <c r="L150" t="s">
        <v>98</v>
      </c>
      <c r="M150">
        <v>2</v>
      </c>
      <c r="N150" t="s">
        <v>86</v>
      </c>
      <c r="O150" t="s">
        <v>81</v>
      </c>
      <c r="P150" t="s">
        <v>71</v>
      </c>
      <c r="Q150" t="s">
        <v>72</v>
      </c>
      <c r="R150" t="s">
        <v>139</v>
      </c>
      <c r="S150" t="s">
        <v>144</v>
      </c>
      <c r="T150" s="2">
        <f>MASTER[[#This Row],[CANTIDAD]]*MASTER[[#This Row],[PRECIO DE VENTA]]</f>
        <v>1272</v>
      </c>
      <c r="U150" s="2">
        <f>MASTER[[#This Row],[CANTIDAD]]*MASTER[[#This Row],[COSTO UNITARIO]]</f>
        <v>397</v>
      </c>
      <c r="V150" s="2">
        <f>MASTER[[#This Row],[MONTO VENDIDO]]-MASTER[[#This Row],[COSTO DE VENTA]]</f>
        <v>875</v>
      </c>
    </row>
    <row r="151" spans="1:22" x14ac:dyDescent="0.3">
      <c r="A151">
        <v>11926</v>
      </c>
      <c r="B151">
        <v>1</v>
      </c>
      <c r="C151" t="s">
        <v>101</v>
      </c>
      <c r="D151" t="s">
        <v>102</v>
      </c>
      <c r="E151" s="1">
        <v>43850</v>
      </c>
      <c r="F151">
        <v>1</v>
      </c>
      <c r="G151" t="s">
        <v>73</v>
      </c>
      <c r="H151" t="s">
        <v>74</v>
      </c>
      <c r="I151" s="3">
        <v>1357</v>
      </c>
      <c r="J151" s="3">
        <v>1357</v>
      </c>
      <c r="K151" s="3">
        <v>442</v>
      </c>
      <c r="L151" t="s">
        <v>98</v>
      </c>
      <c r="M151">
        <v>13</v>
      </c>
      <c r="N151" t="s">
        <v>78</v>
      </c>
      <c r="O151" t="s">
        <v>70</v>
      </c>
      <c r="P151" t="s">
        <v>18</v>
      </c>
      <c r="Q151" t="s">
        <v>19</v>
      </c>
      <c r="R151" t="s">
        <v>138</v>
      </c>
      <c r="S151" t="s">
        <v>144</v>
      </c>
      <c r="T151" s="2">
        <f>MASTER[[#This Row],[CANTIDAD]]*MASTER[[#This Row],[PRECIO DE VENTA]]</f>
        <v>1357</v>
      </c>
      <c r="U151" s="2">
        <f>MASTER[[#This Row],[CANTIDAD]]*MASTER[[#This Row],[COSTO UNITARIO]]</f>
        <v>442</v>
      </c>
      <c r="V151" s="2">
        <f>MASTER[[#This Row],[MONTO VENDIDO]]-MASTER[[#This Row],[COSTO DE VENTA]]</f>
        <v>915</v>
      </c>
    </row>
    <row r="152" spans="1:22" x14ac:dyDescent="0.3">
      <c r="A152">
        <v>11926</v>
      </c>
      <c r="B152">
        <v>2</v>
      </c>
      <c r="C152" t="s">
        <v>103</v>
      </c>
      <c r="D152" t="s">
        <v>104</v>
      </c>
      <c r="E152" s="1">
        <v>43850</v>
      </c>
      <c r="F152">
        <v>1</v>
      </c>
      <c r="G152" t="s">
        <v>73</v>
      </c>
      <c r="H152" t="s">
        <v>74</v>
      </c>
      <c r="I152" s="3">
        <v>1830</v>
      </c>
      <c r="J152" s="3">
        <v>1830</v>
      </c>
      <c r="K152" s="3">
        <v>421</v>
      </c>
      <c r="L152" t="s">
        <v>98</v>
      </c>
      <c r="M152">
        <v>13</v>
      </c>
      <c r="N152" t="s">
        <v>78</v>
      </c>
      <c r="O152" t="s">
        <v>70</v>
      </c>
      <c r="P152" t="s">
        <v>18</v>
      </c>
      <c r="Q152" t="s">
        <v>19</v>
      </c>
      <c r="R152" t="s">
        <v>138</v>
      </c>
      <c r="S152" t="s">
        <v>144</v>
      </c>
      <c r="T152" s="2">
        <f>MASTER[[#This Row],[CANTIDAD]]*MASTER[[#This Row],[PRECIO DE VENTA]]</f>
        <v>1830</v>
      </c>
      <c r="U152" s="2">
        <f>MASTER[[#This Row],[CANTIDAD]]*MASTER[[#This Row],[COSTO UNITARIO]]</f>
        <v>421</v>
      </c>
      <c r="V152" s="2">
        <f>MASTER[[#This Row],[MONTO VENDIDO]]-MASTER[[#This Row],[COSTO DE VENTA]]</f>
        <v>1409</v>
      </c>
    </row>
    <row r="153" spans="1:22" x14ac:dyDescent="0.3">
      <c r="A153">
        <v>11965</v>
      </c>
      <c r="B153">
        <v>1</v>
      </c>
      <c r="C153" t="s">
        <v>116</v>
      </c>
      <c r="D153" t="s">
        <v>117</v>
      </c>
      <c r="E153" s="1">
        <v>43851</v>
      </c>
      <c r="F153">
        <v>4</v>
      </c>
      <c r="G153" t="s">
        <v>59</v>
      </c>
      <c r="H153" t="s">
        <v>60</v>
      </c>
      <c r="I153" s="3">
        <v>1529</v>
      </c>
      <c r="J153" s="3">
        <v>1529</v>
      </c>
      <c r="K153" s="3">
        <v>388</v>
      </c>
      <c r="L153" t="s">
        <v>113</v>
      </c>
      <c r="M153">
        <v>12</v>
      </c>
      <c r="N153" t="s">
        <v>26</v>
      </c>
      <c r="O153" t="s">
        <v>11</v>
      </c>
      <c r="P153" t="s">
        <v>12</v>
      </c>
      <c r="Q153" t="s">
        <v>13</v>
      </c>
      <c r="R153" t="s">
        <v>13</v>
      </c>
      <c r="S153" t="s">
        <v>144</v>
      </c>
      <c r="T153" s="2">
        <f>MASTER[[#This Row],[CANTIDAD]]*MASTER[[#This Row],[PRECIO DE VENTA]]</f>
        <v>6116</v>
      </c>
      <c r="U153" s="2">
        <f>MASTER[[#This Row],[CANTIDAD]]*MASTER[[#This Row],[COSTO UNITARIO]]</f>
        <v>1552</v>
      </c>
      <c r="V153" s="2">
        <f>MASTER[[#This Row],[MONTO VENDIDO]]-MASTER[[#This Row],[COSTO DE VENTA]]</f>
        <v>4564</v>
      </c>
    </row>
    <row r="154" spans="1:22" x14ac:dyDescent="0.3">
      <c r="A154">
        <v>11966</v>
      </c>
      <c r="B154">
        <v>1</v>
      </c>
      <c r="C154" t="s">
        <v>103</v>
      </c>
      <c r="D154" t="s">
        <v>104</v>
      </c>
      <c r="E154" s="1">
        <v>43851</v>
      </c>
      <c r="F154">
        <v>1</v>
      </c>
      <c r="G154" t="s">
        <v>57</v>
      </c>
      <c r="H154" t="s">
        <v>58</v>
      </c>
      <c r="I154" s="3">
        <v>1448</v>
      </c>
      <c r="J154" s="3">
        <v>1448</v>
      </c>
      <c r="K154" s="3">
        <v>421</v>
      </c>
      <c r="L154" t="s">
        <v>98</v>
      </c>
      <c r="M154">
        <v>17</v>
      </c>
      <c r="N154" t="s">
        <v>14</v>
      </c>
      <c r="O154" t="s">
        <v>11</v>
      </c>
      <c r="P154" t="s">
        <v>15</v>
      </c>
      <c r="Q154" t="s">
        <v>16</v>
      </c>
      <c r="R154" t="s">
        <v>16</v>
      </c>
      <c r="S154" t="s">
        <v>144</v>
      </c>
      <c r="T154" s="2">
        <f>MASTER[[#This Row],[CANTIDAD]]*MASTER[[#This Row],[PRECIO DE VENTA]]</f>
        <v>1448</v>
      </c>
      <c r="U154" s="2">
        <f>MASTER[[#This Row],[CANTIDAD]]*MASTER[[#This Row],[COSTO UNITARIO]]</f>
        <v>421</v>
      </c>
      <c r="V154" s="2">
        <f>MASTER[[#This Row],[MONTO VENDIDO]]-MASTER[[#This Row],[COSTO DE VENTA]]</f>
        <v>1027</v>
      </c>
    </row>
    <row r="155" spans="1:22" x14ac:dyDescent="0.3">
      <c r="A155">
        <v>11968</v>
      </c>
      <c r="B155">
        <v>1</v>
      </c>
      <c r="C155" t="s">
        <v>90</v>
      </c>
      <c r="D155" t="s">
        <v>91</v>
      </c>
      <c r="E155" s="1">
        <v>43851</v>
      </c>
      <c r="F155">
        <v>1</v>
      </c>
      <c r="G155" t="s">
        <v>49</v>
      </c>
      <c r="H155" t="s">
        <v>50</v>
      </c>
      <c r="I155" s="3">
        <v>1844</v>
      </c>
      <c r="J155" s="3">
        <v>1844</v>
      </c>
      <c r="K155" s="3">
        <v>420</v>
      </c>
      <c r="L155" t="s">
        <v>9</v>
      </c>
      <c r="M155">
        <v>8</v>
      </c>
      <c r="N155" t="s">
        <v>80</v>
      </c>
      <c r="O155" t="s">
        <v>81</v>
      </c>
      <c r="P155" t="s">
        <v>12</v>
      </c>
      <c r="Q155" t="s">
        <v>13</v>
      </c>
      <c r="R155" t="s">
        <v>13</v>
      </c>
      <c r="S155" t="s">
        <v>144</v>
      </c>
      <c r="T155" s="2">
        <f>MASTER[[#This Row],[CANTIDAD]]*MASTER[[#This Row],[PRECIO DE VENTA]]</f>
        <v>1844</v>
      </c>
      <c r="U155" s="2">
        <f>MASTER[[#This Row],[CANTIDAD]]*MASTER[[#This Row],[COSTO UNITARIO]]</f>
        <v>420</v>
      </c>
      <c r="V155" s="2">
        <f>MASTER[[#This Row],[MONTO VENDIDO]]-MASTER[[#This Row],[COSTO DE VENTA]]</f>
        <v>1424</v>
      </c>
    </row>
    <row r="156" spans="1:22" x14ac:dyDescent="0.3">
      <c r="A156">
        <v>11975</v>
      </c>
      <c r="B156">
        <v>1</v>
      </c>
      <c r="C156" t="s">
        <v>5</v>
      </c>
      <c r="D156" t="s">
        <v>6</v>
      </c>
      <c r="E156" s="1">
        <v>43851</v>
      </c>
      <c r="F156">
        <v>1</v>
      </c>
      <c r="G156" t="s">
        <v>63</v>
      </c>
      <c r="H156" t="s">
        <v>64</v>
      </c>
      <c r="I156" s="3">
        <v>1507</v>
      </c>
      <c r="J156" s="3">
        <v>1507</v>
      </c>
      <c r="K156" s="3">
        <v>393</v>
      </c>
      <c r="L156" t="s">
        <v>9</v>
      </c>
      <c r="M156">
        <v>8</v>
      </c>
      <c r="N156" t="s">
        <v>80</v>
      </c>
      <c r="O156" t="s">
        <v>81</v>
      </c>
      <c r="P156" t="s">
        <v>12</v>
      </c>
      <c r="Q156" t="s">
        <v>13</v>
      </c>
      <c r="R156" t="s">
        <v>13</v>
      </c>
      <c r="S156" t="s">
        <v>144</v>
      </c>
      <c r="T156" s="2">
        <f>MASTER[[#This Row],[CANTIDAD]]*MASTER[[#This Row],[PRECIO DE VENTA]]</f>
        <v>1507</v>
      </c>
      <c r="U156" s="2">
        <f>MASTER[[#This Row],[CANTIDAD]]*MASTER[[#This Row],[COSTO UNITARIO]]</f>
        <v>393</v>
      </c>
      <c r="V156" s="2">
        <f>MASTER[[#This Row],[MONTO VENDIDO]]-MASTER[[#This Row],[COSTO DE VENTA]]</f>
        <v>1114</v>
      </c>
    </row>
    <row r="157" spans="1:22" x14ac:dyDescent="0.3">
      <c r="A157">
        <v>11983</v>
      </c>
      <c r="B157">
        <v>1</v>
      </c>
      <c r="C157" t="s">
        <v>96</v>
      </c>
      <c r="D157" t="s">
        <v>97</v>
      </c>
      <c r="E157" s="1">
        <v>43851</v>
      </c>
      <c r="F157">
        <v>1</v>
      </c>
      <c r="G157" t="s">
        <v>7</v>
      </c>
      <c r="H157" t="s">
        <v>8</v>
      </c>
      <c r="I157" s="3">
        <v>1196</v>
      </c>
      <c r="J157" s="3">
        <v>1196</v>
      </c>
      <c r="K157" s="3">
        <v>397</v>
      </c>
      <c r="L157" t="s">
        <v>98</v>
      </c>
      <c r="M157">
        <v>12</v>
      </c>
      <c r="N157" t="s">
        <v>26</v>
      </c>
      <c r="O157" t="s">
        <v>11</v>
      </c>
      <c r="P157" t="s">
        <v>12</v>
      </c>
      <c r="Q157" t="s">
        <v>13</v>
      </c>
      <c r="R157" t="s">
        <v>13</v>
      </c>
      <c r="S157" t="s">
        <v>144</v>
      </c>
      <c r="T157" s="2">
        <f>MASTER[[#This Row],[CANTIDAD]]*MASTER[[#This Row],[PRECIO DE VENTA]]</f>
        <v>1196</v>
      </c>
      <c r="U157" s="2">
        <f>MASTER[[#This Row],[CANTIDAD]]*MASTER[[#This Row],[COSTO UNITARIO]]</f>
        <v>397</v>
      </c>
      <c r="V157" s="2">
        <f>MASTER[[#This Row],[MONTO VENDIDO]]-MASTER[[#This Row],[COSTO DE VENTA]]</f>
        <v>799</v>
      </c>
    </row>
    <row r="158" spans="1:22" x14ac:dyDescent="0.3">
      <c r="A158">
        <v>11986</v>
      </c>
      <c r="B158">
        <v>1</v>
      </c>
      <c r="C158" t="s">
        <v>111</v>
      </c>
      <c r="D158" t="s">
        <v>112</v>
      </c>
      <c r="E158" s="1">
        <v>43851</v>
      </c>
      <c r="F158">
        <v>1</v>
      </c>
      <c r="G158" t="s">
        <v>47</v>
      </c>
      <c r="H158" t="s">
        <v>48</v>
      </c>
      <c r="I158" s="3">
        <v>1524</v>
      </c>
      <c r="J158" s="3">
        <v>1524</v>
      </c>
      <c r="K158" s="3">
        <v>434</v>
      </c>
      <c r="L158" t="s">
        <v>113</v>
      </c>
      <c r="M158">
        <v>16</v>
      </c>
      <c r="N158" t="s">
        <v>17</v>
      </c>
      <c r="O158" t="s">
        <v>11</v>
      </c>
      <c r="P158" t="s">
        <v>18</v>
      </c>
      <c r="Q158" t="s">
        <v>19</v>
      </c>
      <c r="R158" t="s">
        <v>138</v>
      </c>
      <c r="S158" t="s">
        <v>144</v>
      </c>
      <c r="T158" s="2">
        <f>MASTER[[#This Row],[CANTIDAD]]*MASTER[[#This Row],[PRECIO DE VENTA]]</f>
        <v>1524</v>
      </c>
      <c r="U158" s="2">
        <f>MASTER[[#This Row],[CANTIDAD]]*MASTER[[#This Row],[COSTO UNITARIO]]</f>
        <v>434</v>
      </c>
      <c r="V158" s="2">
        <f>MASTER[[#This Row],[MONTO VENDIDO]]-MASTER[[#This Row],[COSTO DE VENTA]]</f>
        <v>1090</v>
      </c>
    </row>
    <row r="159" spans="1:22" x14ac:dyDescent="0.3">
      <c r="A159">
        <v>11994</v>
      </c>
      <c r="B159">
        <v>1</v>
      </c>
      <c r="C159" t="s">
        <v>107</v>
      </c>
      <c r="D159" t="s">
        <v>108</v>
      </c>
      <c r="E159" s="1">
        <v>43851</v>
      </c>
      <c r="F159">
        <v>1</v>
      </c>
      <c r="G159" t="s">
        <v>57</v>
      </c>
      <c r="H159" t="s">
        <v>58</v>
      </c>
      <c r="I159" s="3">
        <v>1333</v>
      </c>
      <c r="J159" s="3">
        <v>1333</v>
      </c>
      <c r="K159" s="3">
        <v>380</v>
      </c>
      <c r="L159" t="s">
        <v>98</v>
      </c>
      <c r="M159">
        <v>5</v>
      </c>
      <c r="N159" t="s">
        <v>85</v>
      </c>
      <c r="O159" t="s">
        <v>81</v>
      </c>
      <c r="P159" t="s">
        <v>12</v>
      </c>
      <c r="Q159" t="s">
        <v>13</v>
      </c>
      <c r="R159" t="s">
        <v>13</v>
      </c>
      <c r="S159" t="s">
        <v>144</v>
      </c>
      <c r="T159" s="2">
        <f>MASTER[[#This Row],[CANTIDAD]]*MASTER[[#This Row],[PRECIO DE VENTA]]</f>
        <v>1333</v>
      </c>
      <c r="U159" s="2">
        <f>MASTER[[#This Row],[CANTIDAD]]*MASTER[[#This Row],[COSTO UNITARIO]]</f>
        <v>380</v>
      </c>
      <c r="V159" s="2">
        <f>MASTER[[#This Row],[MONTO VENDIDO]]-MASTER[[#This Row],[COSTO DE VENTA]]</f>
        <v>953</v>
      </c>
    </row>
    <row r="160" spans="1:22" x14ac:dyDescent="0.3">
      <c r="A160">
        <v>12006</v>
      </c>
      <c r="B160">
        <v>1</v>
      </c>
      <c r="C160" t="s">
        <v>99</v>
      </c>
      <c r="D160" t="s">
        <v>100</v>
      </c>
      <c r="E160" s="1">
        <v>43852</v>
      </c>
      <c r="F160">
        <v>1</v>
      </c>
      <c r="G160" t="s">
        <v>51</v>
      </c>
      <c r="H160" t="s">
        <v>52</v>
      </c>
      <c r="I160" s="3">
        <v>1459</v>
      </c>
      <c r="J160" s="3">
        <v>1459</v>
      </c>
      <c r="K160" s="3">
        <v>386</v>
      </c>
      <c r="L160" t="s">
        <v>98</v>
      </c>
      <c r="M160">
        <v>19</v>
      </c>
      <c r="N160" t="s">
        <v>89</v>
      </c>
      <c r="O160" t="s">
        <v>81</v>
      </c>
      <c r="P160" t="s">
        <v>15</v>
      </c>
      <c r="Q160" t="s">
        <v>16</v>
      </c>
      <c r="R160" t="s">
        <v>16</v>
      </c>
      <c r="S160" t="s">
        <v>144</v>
      </c>
      <c r="T160" s="2">
        <f>MASTER[[#This Row],[CANTIDAD]]*MASTER[[#This Row],[PRECIO DE VENTA]]</f>
        <v>1459</v>
      </c>
      <c r="U160" s="2">
        <f>MASTER[[#This Row],[CANTIDAD]]*MASTER[[#This Row],[COSTO UNITARIO]]</f>
        <v>386</v>
      </c>
      <c r="V160" s="2">
        <f>MASTER[[#This Row],[MONTO VENDIDO]]-MASTER[[#This Row],[COSTO DE VENTA]]</f>
        <v>1073</v>
      </c>
    </row>
    <row r="161" spans="1:22" x14ac:dyDescent="0.3">
      <c r="A161">
        <v>12032</v>
      </c>
      <c r="B161">
        <v>1</v>
      </c>
      <c r="C161" t="s">
        <v>105</v>
      </c>
      <c r="D161" t="s">
        <v>106</v>
      </c>
      <c r="E161" s="1">
        <v>43852</v>
      </c>
      <c r="F161">
        <v>1</v>
      </c>
      <c r="G161" t="s">
        <v>73</v>
      </c>
      <c r="H161" t="s">
        <v>74</v>
      </c>
      <c r="I161" s="3">
        <v>2033</v>
      </c>
      <c r="J161" s="3">
        <v>2033</v>
      </c>
      <c r="K161" s="3">
        <v>459</v>
      </c>
      <c r="L161" t="s">
        <v>98</v>
      </c>
      <c r="M161">
        <v>18</v>
      </c>
      <c r="N161" t="s">
        <v>79</v>
      </c>
      <c r="O161" t="s">
        <v>70</v>
      </c>
      <c r="P161" t="s">
        <v>15</v>
      </c>
      <c r="Q161" t="s">
        <v>16</v>
      </c>
      <c r="R161" t="s">
        <v>16</v>
      </c>
      <c r="S161" t="s">
        <v>144</v>
      </c>
      <c r="T161" s="2">
        <f>MASTER[[#This Row],[CANTIDAD]]*MASTER[[#This Row],[PRECIO DE VENTA]]</f>
        <v>2033</v>
      </c>
      <c r="U161" s="2">
        <f>MASTER[[#This Row],[CANTIDAD]]*MASTER[[#This Row],[COSTO UNITARIO]]</f>
        <v>459</v>
      </c>
      <c r="V161" s="2">
        <f>MASTER[[#This Row],[MONTO VENDIDO]]-MASTER[[#This Row],[COSTO DE VENTA]]</f>
        <v>1574</v>
      </c>
    </row>
    <row r="162" spans="1:22" x14ac:dyDescent="0.3">
      <c r="A162">
        <v>12038</v>
      </c>
      <c r="B162">
        <v>1</v>
      </c>
      <c r="C162" t="s">
        <v>5</v>
      </c>
      <c r="D162" t="s">
        <v>6</v>
      </c>
      <c r="E162" s="1">
        <v>43852</v>
      </c>
      <c r="F162">
        <v>1</v>
      </c>
      <c r="G162" t="s">
        <v>73</v>
      </c>
      <c r="H162" t="s">
        <v>74</v>
      </c>
      <c r="I162" s="3">
        <v>1296</v>
      </c>
      <c r="J162" s="3">
        <v>1296</v>
      </c>
      <c r="K162" s="3">
        <v>393</v>
      </c>
      <c r="L162" t="s">
        <v>9</v>
      </c>
      <c r="M162">
        <v>6</v>
      </c>
      <c r="N162" t="s">
        <v>75</v>
      </c>
      <c r="O162" t="s">
        <v>70</v>
      </c>
      <c r="P162" t="s">
        <v>12</v>
      </c>
      <c r="Q162" t="s">
        <v>13</v>
      </c>
      <c r="R162" t="s">
        <v>13</v>
      </c>
      <c r="S162" t="s">
        <v>144</v>
      </c>
      <c r="T162" s="2">
        <f>MASTER[[#This Row],[CANTIDAD]]*MASTER[[#This Row],[PRECIO DE VENTA]]</f>
        <v>1296</v>
      </c>
      <c r="U162" s="2">
        <f>MASTER[[#This Row],[CANTIDAD]]*MASTER[[#This Row],[COSTO UNITARIO]]</f>
        <v>393</v>
      </c>
      <c r="V162" s="2">
        <f>MASTER[[#This Row],[MONTO VENDIDO]]-MASTER[[#This Row],[COSTO DE VENTA]]</f>
        <v>903</v>
      </c>
    </row>
    <row r="163" spans="1:22" x14ac:dyDescent="0.3">
      <c r="A163">
        <v>12038</v>
      </c>
      <c r="B163">
        <v>2</v>
      </c>
      <c r="C163" t="s">
        <v>111</v>
      </c>
      <c r="D163" t="s">
        <v>112</v>
      </c>
      <c r="E163" s="1">
        <v>43852</v>
      </c>
      <c r="F163">
        <v>1</v>
      </c>
      <c r="G163" t="s">
        <v>65</v>
      </c>
      <c r="H163" t="s">
        <v>66</v>
      </c>
      <c r="I163" s="3">
        <v>1799</v>
      </c>
      <c r="J163" s="3">
        <v>1799</v>
      </c>
      <c r="K163" s="3">
        <v>434</v>
      </c>
      <c r="L163" t="s">
        <v>113</v>
      </c>
      <c r="M163">
        <v>6</v>
      </c>
      <c r="N163" t="s">
        <v>75</v>
      </c>
      <c r="O163" t="s">
        <v>70</v>
      </c>
      <c r="P163" t="s">
        <v>12</v>
      </c>
      <c r="Q163" t="s">
        <v>13</v>
      </c>
      <c r="R163" t="s">
        <v>13</v>
      </c>
      <c r="S163" t="s">
        <v>144</v>
      </c>
      <c r="T163" s="2">
        <f>MASTER[[#This Row],[CANTIDAD]]*MASTER[[#This Row],[PRECIO DE VENTA]]</f>
        <v>1799</v>
      </c>
      <c r="U163" s="2">
        <f>MASTER[[#This Row],[CANTIDAD]]*MASTER[[#This Row],[COSTO UNITARIO]]</f>
        <v>434</v>
      </c>
      <c r="V163" s="2">
        <f>MASTER[[#This Row],[MONTO VENDIDO]]-MASTER[[#This Row],[COSTO DE VENTA]]</f>
        <v>1365</v>
      </c>
    </row>
    <row r="164" spans="1:22" x14ac:dyDescent="0.3">
      <c r="A164">
        <v>12046</v>
      </c>
      <c r="B164">
        <v>1</v>
      </c>
      <c r="C164" t="s">
        <v>118</v>
      </c>
      <c r="D164" t="s">
        <v>119</v>
      </c>
      <c r="E164" s="1">
        <v>43852</v>
      </c>
      <c r="F164">
        <v>3</v>
      </c>
      <c r="G164" t="s">
        <v>67</v>
      </c>
      <c r="H164" t="s">
        <v>68</v>
      </c>
      <c r="I164" s="3">
        <v>801</v>
      </c>
      <c r="J164" s="3">
        <v>801</v>
      </c>
      <c r="K164" s="3">
        <v>424</v>
      </c>
      <c r="L164" t="s">
        <v>120</v>
      </c>
      <c r="M164">
        <v>17</v>
      </c>
      <c r="N164" t="s">
        <v>14</v>
      </c>
      <c r="O164" t="s">
        <v>11</v>
      </c>
      <c r="P164" t="s">
        <v>15</v>
      </c>
      <c r="Q164" t="s">
        <v>16</v>
      </c>
      <c r="R164" t="s">
        <v>16</v>
      </c>
      <c r="S164" t="s">
        <v>144</v>
      </c>
      <c r="T164" s="2">
        <f>MASTER[[#This Row],[CANTIDAD]]*MASTER[[#This Row],[PRECIO DE VENTA]]</f>
        <v>2403</v>
      </c>
      <c r="U164" s="2">
        <f>MASTER[[#This Row],[CANTIDAD]]*MASTER[[#This Row],[COSTO UNITARIO]]</f>
        <v>1272</v>
      </c>
      <c r="V164" s="2">
        <f>MASTER[[#This Row],[MONTO VENDIDO]]-MASTER[[#This Row],[COSTO DE VENTA]]</f>
        <v>1131</v>
      </c>
    </row>
    <row r="165" spans="1:22" x14ac:dyDescent="0.3">
      <c r="A165">
        <v>12051</v>
      </c>
      <c r="B165">
        <v>1</v>
      </c>
      <c r="C165" t="s">
        <v>92</v>
      </c>
      <c r="D165" t="s">
        <v>93</v>
      </c>
      <c r="E165" s="1">
        <v>43852</v>
      </c>
      <c r="F165">
        <v>4</v>
      </c>
      <c r="G165" t="s">
        <v>57</v>
      </c>
      <c r="H165" t="s">
        <v>58</v>
      </c>
      <c r="I165" s="3">
        <v>1681</v>
      </c>
      <c r="J165" s="3">
        <v>1681</v>
      </c>
      <c r="K165" s="3">
        <v>396</v>
      </c>
      <c r="L165" t="s">
        <v>9</v>
      </c>
      <c r="M165">
        <v>15</v>
      </c>
      <c r="N165" t="s">
        <v>88</v>
      </c>
      <c r="O165" t="s">
        <v>81</v>
      </c>
      <c r="P165" t="s">
        <v>18</v>
      </c>
      <c r="Q165" t="s">
        <v>19</v>
      </c>
      <c r="R165" t="s">
        <v>138</v>
      </c>
      <c r="S165" t="s">
        <v>144</v>
      </c>
      <c r="T165" s="2">
        <f>MASTER[[#This Row],[CANTIDAD]]*MASTER[[#This Row],[PRECIO DE VENTA]]</f>
        <v>6724</v>
      </c>
      <c r="U165" s="2">
        <f>MASTER[[#This Row],[CANTIDAD]]*MASTER[[#This Row],[COSTO UNITARIO]]</f>
        <v>1584</v>
      </c>
      <c r="V165" s="2">
        <f>MASTER[[#This Row],[MONTO VENDIDO]]-MASTER[[#This Row],[COSTO DE VENTA]]</f>
        <v>5140</v>
      </c>
    </row>
    <row r="166" spans="1:22" x14ac:dyDescent="0.3">
      <c r="A166">
        <v>12073</v>
      </c>
      <c r="B166">
        <v>1</v>
      </c>
      <c r="C166" t="s">
        <v>116</v>
      </c>
      <c r="D166" t="s">
        <v>117</v>
      </c>
      <c r="E166" s="1">
        <v>43852</v>
      </c>
      <c r="F166">
        <v>1</v>
      </c>
      <c r="G166" t="s">
        <v>51</v>
      </c>
      <c r="H166" t="s">
        <v>52</v>
      </c>
      <c r="I166" s="3">
        <v>1738</v>
      </c>
      <c r="J166" s="3">
        <v>1738</v>
      </c>
      <c r="K166" s="3">
        <v>388</v>
      </c>
      <c r="L166" t="s">
        <v>113</v>
      </c>
      <c r="M166">
        <v>15</v>
      </c>
      <c r="N166" t="s">
        <v>88</v>
      </c>
      <c r="O166" t="s">
        <v>81</v>
      </c>
      <c r="P166" t="s">
        <v>18</v>
      </c>
      <c r="Q166" t="s">
        <v>19</v>
      </c>
      <c r="R166" t="s">
        <v>138</v>
      </c>
      <c r="S166" t="s">
        <v>144</v>
      </c>
      <c r="T166" s="2">
        <f>MASTER[[#This Row],[CANTIDAD]]*MASTER[[#This Row],[PRECIO DE VENTA]]</f>
        <v>1738</v>
      </c>
      <c r="U166" s="2">
        <f>MASTER[[#This Row],[CANTIDAD]]*MASTER[[#This Row],[COSTO UNITARIO]]</f>
        <v>388</v>
      </c>
      <c r="V166" s="2">
        <f>MASTER[[#This Row],[MONTO VENDIDO]]-MASTER[[#This Row],[COSTO DE VENTA]]</f>
        <v>1350</v>
      </c>
    </row>
    <row r="167" spans="1:22" x14ac:dyDescent="0.3">
      <c r="A167">
        <v>12077</v>
      </c>
      <c r="B167">
        <v>1</v>
      </c>
      <c r="C167" t="s">
        <v>114</v>
      </c>
      <c r="D167" t="s">
        <v>115</v>
      </c>
      <c r="E167" s="1">
        <v>43852</v>
      </c>
      <c r="F167">
        <v>1</v>
      </c>
      <c r="G167" t="s">
        <v>43</v>
      </c>
      <c r="H167" t="s">
        <v>44</v>
      </c>
      <c r="I167" s="3">
        <v>2030</v>
      </c>
      <c r="J167" s="3">
        <v>2030</v>
      </c>
      <c r="K167" s="3">
        <v>394</v>
      </c>
      <c r="L167" t="s">
        <v>113</v>
      </c>
      <c r="M167">
        <v>9</v>
      </c>
      <c r="N167" t="s">
        <v>76</v>
      </c>
      <c r="O167" t="s">
        <v>70</v>
      </c>
      <c r="P167" t="s">
        <v>12</v>
      </c>
      <c r="Q167" t="s">
        <v>13</v>
      </c>
      <c r="R167" t="s">
        <v>13</v>
      </c>
      <c r="S167" t="s">
        <v>144</v>
      </c>
      <c r="T167" s="2">
        <f>MASTER[[#This Row],[CANTIDAD]]*MASTER[[#This Row],[PRECIO DE VENTA]]</f>
        <v>2030</v>
      </c>
      <c r="U167" s="2">
        <f>MASTER[[#This Row],[CANTIDAD]]*MASTER[[#This Row],[COSTO UNITARIO]]</f>
        <v>394</v>
      </c>
      <c r="V167" s="2">
        <f>MASTER[[#This Row],[MONTO VENDIDO]]-MASTER[[#This Row],[COSTO DE VENTA]]</f>
        <v>1636</v>
      </c>
    </row>
    <row r="168" spans="1:22" x14ac:dyDescent="0.3">
      <c r="A168">
        <v>12083</v>
      </c>
      <c r="B168">
        <v>1</v>
      </c>
      <c r="C168" t="s">
        <v>107</v>
      </c>
      <c r="D168" t="s">
        <v>108</v>
      </c>
      <c r="E168" s="1">
        <v>43852</v>
      </c>
      <c r="F168">
        <v>1</v>
      </c>
      <c r="G168" t="s">
        <v>22</v>
      </c>
      <c r="H168" t="s">
        <v>23</v>
      </c>
      <c r="I168" s="3">
        <v>1240</v>
      </c>
      <c r="J168" s="3">
        <v>1240</v>
      </c>
      <c r="K168" s="3">
        <v>380</v>
      </c>
      <c r="L168" t="s">
        <v>98</v>
      </c>
      <c r="M168">
        <v>16</v>
      </c>
      <c r="N168" t="s">
        <v>17</v>
      </c>
      <c r="O168" t="s">
        <v>11</v>
      </c>
      <c r="P168" t="s">
        <v>18</v>
      </c>
      <c r="Q168" t="s">
        <v>19</v>
      </c>
      <c r="R168" t="s">
        <v>138</v>
      </c>
      <c r="S168" t="s">
        <v>144</v>
      </c>
      <c r="T168" s="2">
        <f>MASTER[[#This Row],[CANTIDAD]]*MASTER[[#This Row],[PRECIO DE VENTA]]</f>
        <v>1240</v>
      </c>
      <c r="U168" s="2">
        <f>MASTER[[#This Row],[CANTIDAD]]*MASTER[[#This Row],[COSTO UNITARIO]]</f>
        <v>380</v>
      </c>
      <c r="V168" s="2">
        <f>MASTER[[#This Row],[MONTO VENDIDO]]-MASTER[[#This Row],[COSTO DE VENTA]]</f>
        <v>860</v>
      </c>
    </row>
    <row r="169" spans="1:22" x14ac:dyDescent="0.3">
      <c r="A169">
        <v>12098</v>
      </c>
      <c r="B169">
        <v>2</v>
      </c>
      <c r="C169" t="s">
        <v>94</v>
      </c>
      <c r="D169" t="s">
        <v>95</v>
      </c>
      <c r="E169" s="1">
        <v>43852</v>
      </c>
      <c r="F169">
        <v>3</v>
      </c>
      <c r="G169" t="s">
        <v>35</v>
      </c>
      <c r="H169" t="s">
        <v>36</v>
      </c>
      <c r="I169" s="3">
        <v>1153</v>
      </c>
      <c r="J169" s="3">
        <v>1153</v>
      </c>
      <c r="K169" s="3">
        <v>392</v>
      </c>
      <c r="L169" t="s">
        <v>9</v>
      </c>
      <c r="M169">
        <v>3</v>
      </c>
      <c r="N169" t="s">
        <v>69</v>
      </c>
      <c r="O169" t="s">
        <v>70</v>
      </c>
      <c r="P169" t="s">
        <v>71</v>
      </c>
      <c r="Q169" t="s">
        <v>72</v>
      </c>
      <c r="R169" t="s">
        <v>139</v>
      </c>
      <c r="S169" t="s">
        <v>144</v>
      </c>
      <c r="T169" s="2">
        <f>MASTER[[#This Row],[CANTIDAD]]*MASTER[[#This Row],[PRECIO DE VENTA]]</f>
        <v>3459</v>
      </c>
      <c r="U169" s="2">
        <f>MASTER[[#This Row],[CANTIDAD]]*MASTER[[#This Row],[COSTO UNITARIO]]</f>
        <v>1176</v>
      </c>
      <c r="V169" s="2">
        <f>MASTER[[#This Row],[MONTO VENDIDO]]-MASTER[[#This Row],[COSTO DE VENTA]]</f>
        <v>2283</v>
      </c>
    </row>
    <row r="170" spans="1:22" x14ac:dyDescent="0.3">
      <c r="A170">
        <v>12098</v>
      </c>
      <c r="B170">
        <v>1</v>
      </c>
      <c r="C170" t="s">
        <v>118</v>
      </c>
      <c r="D170" t="s">
        <v>119</v>
      </c>
      <c r="E170" s="1">
        <v>43852</v>
      </c>
      <c r="F170">
        <v>2</v>
      </c>
      <c r="G170" t="s">
        <v>45</v>
      </c>
      <c r="H170" t="s">
        <v>46</v>
      </c>
      <c r="I170" s="3">
        <v>1026</v>
      </c>
      <c r="J170" s="3">
        <v>1026</v>
      </c>
      <c r="K170" s="3">
        <v>424</v>
      </c>
      <c r="L170" t="s">
        <v>120</v>
      </c>
      <c r="M170">
        <v>3</v>
      </c>
      <c r="N170" t="s">
        <v>69</v>
      </c>
      <c r="O170" t="s">
        <v>70</v>
      </c>
      <c r="P170" t="s">
        <v>71</v>
      </c>
      <c r="Q170" t="s">
        <v>72</v>
      </c>
      <c r="R170" t="s">
        <v>139</v>
      </c>
      <c r="S170" t="s">
        <v>144</v>
      </c>
      <c r="T170" s="2">
        <f>MASTER[[#This Row],[CANTIDAD]]*MASTER[[#This Row],[PRECIO DE VENTA]]</f>
        <v>2052</v>
      </c>
      <c r="U170" s="2">
        <f>MASTER[[#This Row],[CANTIDAD]]*MASTER[[#This Row],[COSTO UNITARIO]]</f>
        <v>848</v>
      </c>
      <c r="V170" s="2">
        <f>MASTER[[#This Row],[MONTO VENDIDO]]-MASTER[[#This Row],[COSTO DE VENTA]]</f>
        <v>1204</v>
      </c>
    </row>
    <row r="171" spans="1:22" x14ac:dyDescent="0.3">
      <c r="A171">
        <v>12136</v>
      </c>
      <c r="B171">
        <v>1</v>
      </c>
      <c r="C171" t="s">
        <v>118</v>
      </c>
      <c r="D171" t="s">
        <v>119</v>
      </c>
      <c r="E171" s="1">
        <v>43853</v>
      </c>
      <c r="F171">
        <v>1</v>
      </c>
      <c r="G171" t="s">
        <v>47</v>
      </c>
      <c r="H171" t="s">
        <v>48</v>
      </c>
      <c r="I171" s="3">
        <v>900</v>
      </c>
      <c r="J171" s="3">
        <v>900</v>
      </c>
      <c r="K171" s="3">
        <v>424</v>
      </c>
      <c r="L171" t="s">
        <v>120</v>
      </c>
      <c r="M171">
        <v>5</v>
      </c>
      <c r="N171" t="s">
        <v>85</v>
      </c>
      <c r="O171" t="s">
        <v>81</v>
      </c>
      <c r="P171" t="s">
        <v>12</v>
      </c>
      <c r="Q171" t="s">
        <v>13</v>
      </c>
      <c r="R171" t="s">
        <v>13</v>
      </c>
      <c r="S171" t="s">
        <v>144</v>
      </c>
      <c r="T171" s="2">
        <f>MASTER[[#This Row],[CANTIDAD]]*MASTER[[#This Row],[PRECIO DE VENTA]]</f>
        <v>900</v>
      </c>
      <c r="U171" s="2">
        <f>MASTER[[#This Row],[CANTIDAD]]*MASTER[[#This Row],[COSTO UNITARIO]]</f>
        <v>424</v>
      </c>
      <c r="V171" s="2">
        <f>MASTER[[#This Row],[MONTO VENDIDO]]-MASTER[[#This Row],[COSTO DE VENTA]]</f>
        <v>476</v>
      </c>
    </row>
    <row r="172" spans="1:22" x14ac:dyDescent="0.3">
      <c r="A172">
        <v>12147</v>
      </c>
      <c r="B172">
        <v>1</v>
      </c>
      <c r="C172" t="s">
        <v>111</v>
      </c>
      <c r="D172" t="s">
        <v>112</v>
      </c>
      <c r="E172" s="1">
        <v>43853</v>
      </c>
      <c r="F172">
        <v>1</v>
      </c>
      <c r="G172" t="s">
        <v>63</v>
      </c>
      <c r="H172" t="s">
        <v>64</v>
      </c>
      <c r="I172" s="3">
        <v>1799</v>
      </c>
      <c r="J172" s="3">
        <v>1799</v>
      </c>
      <c r="K172" s="3">
        <v>434</v>
      </c>
      <c r="L172" t="s">
        <v>113</v>
      </c>
      <c r="M172">
        <v>13</v>
      </c>
      <c r="N172" t="s">
        <v>78</v>
      </c>
      <c r="O172" t="s">
        <v>70</v>
      </c>
      <c r="P172" t="s">
        <v>18</v>
      </c>
      <c r="Q172" t="s">
        <v>19</v>
      </c>
      <c r="R172" t="s">
        <v>138</v>
      </c>
      <c r="S172" t="s">
        <v>144</v>
      </c>
      <c r="T172" s="2">
        <f>MASTER[[#This Row],[CANTIDAD]]*MASTER[[#This Row],[PRECIO DE VENTA]]</f>
        <v>1799</v>
      </c>
      <c r="U172" s="2">
        <f>MASTER[[#This Row],[CANTIDAD]]*MASTER[[#This Row],[COSTO UNITARIO]]</f>
        <v>434</v>
      </c>
      <c r="V172" s="2">
        <f>MASTER[[#This Row],[MONTO VENDIDO]]-MASTER[[#This Row],[COSTO DE VENTA]]</f>
        <v>1365</v>
      </c>
    </row>
    <row r="173" spans="1:22" x14ac:dyDescent="0.3">
      <c r="A173">
        <v>12168</v>
      </c>
      <c r="B173">
        <v>1</v>
      </c>
      <c r="C173" t="s">
        <v>107</v>
      </c>
      <c r="D173" t="s">
        <v>108</v>
      </c>
      <c r="E173" s="1">
        <v>43853</v>
      </c>
      <c r="F173">
        <v>1</v>
      </c>
      <c r="G173" t="s">
        <v>61</v>
      </c>
      <c r="H173" t="s">
        <v>62</v>
      </c>
      <c r="I173" s="3">
        <v>1333</v>
      </c>
      <c r="J173" s="3">
        <v>1333</v>
      </c>
      <c r="K173" s="3">
        <v>380</v>
      </c>
      <c r="L173" t="s">
        <v>98</v>
      </c>
      <c r="M173">
        <v>15</v>
      </c>
      <c r="N173" t="s">
        <v>88</v>
      </c>
      <c r="O173" t="s">
        <v>81</v>
      </c>
      <c r="P173" t="s">
        <v>18</v>
      </c>
      <c r="Q173" t="s">
        <v>19</v>
      </c>
      <c r="R173" t="s">
        <v>138</v>
      </c>
      <c r="S173" t="s">
        <v>144</v>
      </c>
      <c r="T173" s="2">
        <f>MASTER[[#This Row],[CANTIDAD]]*MASTER[[#This Row],[PRECIO DE VENTA]]</f>
        <v>1333</v>
      </c>
      <c r="U173" s="2">
        <f>MASTER[[#This Row],[CANTIDAD]]*MASTER[[#This Row],[COSTO UNITARIO]]</f>
        <v>380</v>
      </c>
      <c r="V173" s="2">
        <f>MASTER[[#This Row],[MONTO VENDIDO]]-MASTER[[#This Row],[COSTO DE VENTA]]</f>
        <v>953</v>
      </c>
    </row>
    <row r="174" spans="1:22" x14ac:dyDescent="0.3">
      <c r="A174">
        <v>12179</v>
      </c>
      <c r="B174">
        <v>1</v>
      </c>
      <c r="C174" t="s">
        <v>96</v>
      </c>
      <c r="D174" t="s">
        <v>97</v>
      </c>
      <c r="E174" s="1">
        <v>43853</v>
      </c>
      <c r="F174">
        <v>1</v>
      </c>
      <c r="G174" t="s">
        <v>27</v>
      </c>
      <c r="H174" t="s">
        <v>28</v>
      </c>
      <c r="I174" s="3">
        <v>1361</v>
      </c>
      <c r="J174" s="3">
        <v>1361</v>
      </c>
      <c r="K174" s="3">
        <v>397</v>
      </c>
      <c r="L174" t="s">
        <v>98</v>
      </c>
      <c r="M174">
        <v>3</v>
      </c>
      <c r="N174" t="s">
        <v>69</v>
      </c>
      <c r="O174" t="s">
        <v>70</v>
      </c>
      <c r="P174" t="s">
        <v>71</v>
      </c>
      <c r="Q174" t="s">
        <v>72</v>
      </c>
      <c r="R174" t="s">
        <v>139</v>
      </c>
      <c r="S174" t="s">
        <v>144</v>
      </c>
      <c r="T174" s="2">
        <f>MASTER[[#This Row],[CANTIDAD]]*MASTER[[#This Row],[PRECIO DE VENTA]]</f>
        <v>1361</v>
      </c>
      <c r="U174" s="2">
        <f>MASTER[[#This Row],[CANTIDAD]]*MASTER[[#This Row],[COSTO UNITARIO]]</f>
        <v>397</v>
      </c>
      <c r="V174" s="2">
        <f>MASTER[[#This Row],[MONTO VENDIDO]]-MASTER[[#This Row],[COSTO DE VENTA]]</f>
        <v>964</v>
      </c>
    </row>
    <row r="175" spans="1:22" x14ac:dyDescent="0.3">
      <c r="A175">
        <v>12182</v>
      </c>
      <c r="B175">
        <v>1</v>
      </c>
      <c r="C175" t="s">
        <v>111</v>
      </c>
      <c r="D175" t="s">
        <v>112</v>
      </c>
      <c r="E175" s="1">
        <v>43853</v>
      </c>
      <c r="F175">
        <v>1</v>
      </c>
      <c r="G175" t="s">
        <v>35</v>
      </c>
      <c r="H175" t="s">
        <v>36</v>
      </c>
      <c r="I175" s="3">
        <v>1621</v>
      </c>
      <c r="J175" s="3">
        <v>1621</v>
      </c>
      <c r="K175" s="3">
        <v>434</v>
      </c>
      <c r="L175" t="s">
        <v>113</v>
      </c>
      <c r="M175">
        <v>15</v>
      </c>
      <c r="N175" t="s">
        <v>88</v>
      </c>
      <c r="O175" t="s">
        <v>81</v>
      </c>
      <c r="P175" t="s">
        <v>18</v>
      </c>
      <c r="Q175" t="s">
        <v>19</v>
      </c>
      <c r="R175" t="s">
        <v>138</v>
      </c>
      <c r="S175" t="s">
        <v>144</v>
      </c>
      <c r="T175" s="2">
        <f>MASTER[[#This Row],[CANTIDAD]]*MASTER[[#This Row],[PRECIO DE VENTA]]</f>
        <v>1621</v>
      </c>
      <c r="U175" s="2">
        <f>MASTER[[#This Row],[CANTIDAD]]*MASTER[[#This Row],[COSTO UNITARIO]]</f>
        <v>434</v>
      </c>
      <c r="V175" s="2">
        <f>MASTER[[#This Row],[MONTO VENDIDO]]-MASTER[[#This Row],[COSTO DE VENTA]]</f>
        <v>1187</v>
      </c>
    </row>
    <row r="176" spans="1:22" x14ac:dyDescent="0.3">
      <c r="A176">
        <v>12188</v>
      </c>
      <c r="B176">
        <v>1</v>
      </c>
      <c r="C176" t="s">
        <v>121</v>
      </c>
      <c r="D176" t="s">
        <v>122</v>
      </c>
      <c r="E176" s="1">
        <v>43854</v>
      </c>
      <c r="F176">
        <v>1</v>
      </c>
      <c r="G176" t="s">
        <v>39</v>
      </c>
      <c r="H176" t="s">
        <v>40</v>
      </c>
      <c r="I176" s="3">
        <v>1069</v>
      </c>
      <c r="J176" s="3">
        <v>1069</v>
      </c>
      <c r="K176" s="3">
        <v>460</v>
      </c>
      <c r="L176" t="s">
        <v>120</v>
      </c>
      <c r="M176">
        <v>7</v>
      </c>
      <c r="N176" t="s">
        <v>84</v>
      </c>
      <c r="O176" t="s">
        <v>81</v>
      </c>
      <c r="P176" t="s">
        <v>12</v>
      </c>
      <c r="Q176" t="s">
        <v>13</v>
      </c>
      <c r="R176" t="s">
        <v>13</v>
      </c>
      <c r="S176" t="s">
        <v>144</v>
      </c>
      <c r="T176" s="2">
        <f>MASTER[[#This Row],[CANTIDAD]]*MASTER[[#This Row],[PRECIO DE VENTA]]</f>
        <v>1069</v>
      </c>
      <c r="U176" s="2">
        <f>MASTER[[#This Row],[CANTIDAD]]*MASTER[[#This Row],[COSTO UNITARIO]]</f>
        <v>460</v>
      </c>
      <c r="V176" s="2">
        <f>MASTER[[#This Row],[MONTO VENDIDO]]-MASTER[[#This Row],[COSTO DE VENTA]]</f>
        <v>609</v>
      </c>
    </row>
    <row r="177" spans="1:22" x14ac:dyDescent="0.3">
      <c r="A177">
        <v>12196</v>
      </c>
      <c r="B177">
        <v>1</v>
      </c>
      <c r="C177" t="s">
        <v>105</v>
      </c>
      <c r="D177" t="s">
        <v>106</v>
      </c>
      <c r="E177" s="1">
        <v>43854</v>
      </c>
      <c r="F177">
        <v>1</v>
      </c>
      <c r="G177" t="s">
        <v>22</v>
      </c>
      <c r="H177" t="s">
        <v>23</v>
      </c>
      <c r="I177" s="3">
        <v>1865</v>
      </c>
      <c r="J177" s="3">
        <v>1865</v>
      </c>
      <c r="K177" s="3">
        <v>459</v>
      </c>
      <c r="L177" t="s">
        <v>98</v>
      </c>
      <c r="M177">
        <v>15</v>
      </c>
      <c r="N177" t="s">
        <v>88</v>
      </c>
      <c r="O177" t="s">
        <v>81</v>
      </c>
      <c r="P177" t="s">
        <v>18</v>
      </c>
      <c r="Q177" t="s">
        <v>19</v>
      </c>
      <c r="R177" t="s">
        <v>138</v>
      </c>
      <c r="S177" t="s">
        <v>144</v>
      </c>
      <c r="T177" s="2">
        <f>MASTER[[#This Row],[CANTIDAD]]*MASTER[[#This Row],[PRECIO DE VENTA]]</f>
        <v>1865</v>
      </c>
      <c r="U177" s="2">
        <f>MASTER[[#This Row],[CANTIDAD]]*MASTER[[#This Row],[COSTO UNITARIO]]</f>
        <v>459</v>
      </c>
      <c r="V177" s="2">
        <f>MASTER[[#This Row],[MONTO VENDIDO]]-MASTER[[#This Row],[COSTO DE VENTA]]</f>
        <v>1406</v>
      </c>
    </row>
    <row r="178" spans="1:22" x14ac:dyDescent="0.3">
      <c r="A178">
        <v>12210</v>
      </c>
      <c r="B178">
        <v>1</v>
      </c>
      <c r="C178" t="s">
        <v>105</v>
      </c>
      <c r="D178" t="s">
        <v>106</v>
      </c>
      <c r="E178" s="1">
        <v>43854</v>
      </c>
      <c r="F178">
        <v>3</v>
      </c>
      <c r="G178" t="s">
        <v>33</v>
      </c>
      <c r="H178" t="s">
        <v>34</v>
      </c>
      <c r="I178" s="3">
        <v>1585</v>
      </c>
      <c r="J178" s="3">
        <v>1585</v>
      </c>
      <c r="K178" s="3">
        <v>459</v>
      </c>
      <c r="L178" t="s">
        <v>98</v>
      </c>
      <c r="M178">
        <v>12</v>
      </c>
      <c r="N178" t="s">
        <v>26</v>
      </c>
      <c r="O178" t="s">
        <v>11</v>
      </c>
      <c r="P178" t="s">
        <v>12</v>
      </c>
      <c r="Q178" t="s">
        <v>13</v>
      </c>
      <c r="R178" t="s">
        <v>13</v>
      </c>
      <c r="S178" t="s">
        <v>144</v>
      </c>
      <c r="T178" s="2">
        <f>MASTER[[#This Row],[CANTIDAD]]*MASTER[[#This Row],[PRECIO DE VENTA]]</f>
        <v>4755</v>
      </c>
      <c r="U178" s="2">
        <f>MASTER[[#This Row],[CANTIDAD]]*MASTER[[#This Row],[COSTO UNITARIO]]</f>
        <v>1377</v>
      </c>
      <c r="V178" s="2">
        <f>MASTER[[#This Row],[MONTO VENDIDO]]-MASTER[[#This Row],[COSTO DE VENTA]]</f>
        <v>3378</v>
      </c>
    </row>
    <row r="179" spans="1:22" x14ac:dyDescent="0.3">
      <c r="A179">
        <v>12235</v>
      </c>
      <c r="B179">
        <v>1</v>
      </c>
      <c r="C179" t="s">
        <v>92</v>
      </c>
      <c r="D179" t="s">
        <v>93</v>
      </c>
      <c r="E179" s="1">
        <v>43854</v>
      </c>
      <c r="F179">
        <v>1</v>
      </c>
      <c r="G179" t="s">
        <v>37</v>
      </c>
      <c r="H179" t="s">
        <v>38</v>
      </c>
      <c r="I179" s="3">
        <v>1681</v>
      </c>
      <c r="J179" s="3">
        <v>1546</v>
      </c>
      <c r="K179" s="3">
        <v>396</v>
      </c>
      <c r="L179" t="s">
        <v>9</v>
      </c>
      <c r="M179">
        <v>8</v>
      </c>
      <c r="N179" t="s">
        <v>80</v>
      </c>
      <c r="O179" t="s">
        <v>81</v>
      </c>
      <c r="P179" t="s">
        <v>12</v>
      </c>
      <c r="Q179" t="s">
        <v>13</v>
      </c>
      <c r="R179" t="s">
        <v>13</v>
      </c>
      <c r="S179" t="s">
        <v>144</v>
      </c>
      <c r="T179" s="2">
        <f>MASTER[[#This Row],[CANTIDAD]]*MASTER[[#This Row],[PRECIO DE VENTA]]</f>
        <v>1546</v>
      </c>
      <c r="U179" s="2">
        <f>MASTER[[#This Row],[CANTIDAD]]*MASTER[[#This Row],[COSTO UNITARIO]]</f>
        <v>396</v>
      </c>
      <c r="V179" s="2">
        <f>MASTER[[#This Row],[MONTO VENDIDO]]-MASTER[[#This Row],[COSTO DE VENTA]]</f>
        <v>1150</v>
      </c>
    </row>
    <row r="180" spans="1:22" x14ac:dyDescent="0.3">
      <c r="A180">
        <v>12244</v>
      </c>
      <c r="B180">
        <v>1</v>
      </c>
      <c r="C180" t="s">
        <v>99</v>
      </c>
      <c r="D180" t="s">
        <v>100</v>
      </c>
      <c r="E180" s="1">
        <v>43854</v>
      </c>
      <c r="F180">
        <v>1</v>
      </c>
      <c r="G180" t="s">
        <v>73</v>
      </c>
      <c r="H180" t="s">
        <v>74</v>
      </c>
      <c r="I180" s="3">
        <v>1678</v>
      </c>
      <c r="J180" s="3">
        <v>1610</v>
      </c>
      <c r="K180" s="3">
        <v>386</v>
      </c>
      <c r="L180" t="s">
        <v>98</v>
      </c>
      <c r="M180">
        <v>6</v>
      </c>
      <c r="N180" t="s">
        <v>75</v>
      </c>
      <c r="O180" t="s">
        <v>70</v>
      </c>
      <c r="P180" t="s">
        <v>12</v>
      </c>
      <c r="Q180" t="s">
        <v>13</v>
      </c>
      <c r="R180" t="s">
        <v>13</v>
      </c>
      <c r="S180" t="s">
        <v>144</v>
      </c>
      <c r="T180" s="2">
        <f>MASTER[[#This Row],[CANTIDAD]]*MASTER[[#This Row],[PRECIO DE VENTA]]</f>
        <v>1610</v>
      </c>
      <c r="U180" s="2">
        <f>MASTER[[#This Row],[CANTIDAD]]*MASTER[[#This Row],[COSTO UNITARIO]]</f>
        <v>386</v>
      </c>
      <c r="V180" s="2">
        <f>MASTER[[#This Row],[MONTO VENDIDO]]-MASTER[[#This Row],[COSTO DE VENTA]]</f>
        <v>1224</v>
      </c>
    </row>
    <row r="181" spans="1:22" x14ac:dyDescent="0.3">
      <c r="A181">
        <v>12263</v>
      </c>
      <c r="B181">
        <v>1</v>
      </c>
      <c r="C181" t="s">
        <v>109</v>
      </c>
      <c r="D181" t="s">
        <v>110</v>
      </c>
      <c r="E181" s="1">
        <v>43854</v>
      </c>
      <c r="F181">
        <v>1</v>
      </c>
      <c r="G181" t="s">
        <v>45</v>
      </c>
      <c r="H181" t="s">
        <v>46</v>
      </c>
      <c r="I181" s="3">
        <v>1064</v>
      </c>
      <c r="J181" s="3">
        <v>1064</v>
      </c>
      <c r="K181" s="3">
        <v>387</v>
      </c>
      <c r="L181" t="s">
        <v>98</v>
      </c>
      <c r="M181">
        <v>2</v>
      </c>
      <c r="N181" t="s">
        <v>86</v>
      </c>
      <c r="O181" t="s">
        <v>81</v>
      </c>
      <c r="P181" t="s">
        <v>71</v>
      </c>
      <c r="Q181" t="s">
        <v>72</v>
      </c>
      <c r="R181" t="s">
        <v>139</v>
      </c>
      <c r="S181" t="s">
        <v>144</v>
      </c>
      <c r="T181" s="2">
        <f>MASTER[[#This Row],[CANTIDAD]]*MASTER[[#This Row],[PRECIO DE VENTA]]</f>
        <v>1064</v>
      </c>
      <c r="U181" s="2">
        <f>MASTER[[#This Row],[CANTIDAD]]*MASTER[[#This Row],[COSTO UNITARIO]]</f>
        <v>387</v>
      </c>
      <c r="V181" s="2">
        <f>MASTER[[#This Row],[MONTO VENDIDO]]-MASTER[[#This Row],[COSTO DE VENTA]]</f>
        <v>677</v>
      </c>
    </row>
    <row r="182" spans="1:22" x14ac:dyDescent="0.3">
      <c r="A182">
        <v>12264</v>
      </c>
      <c r="B182">
        <v>1</v>
      </c>
      <c r="C182" t="s">
        <v>114</v>
      </c>
      <c r="D182" t="s">
        <v>115</v>
      </c>
      <c r="E182" s="1">
        <v>43854</v>
      </c>
      <c r="F182">
        <v>1</v>
      </c>
      <c r="G182" t="s">
        <v>73</v>
      </c>
      <c r="H182" t="s">
        <v>74</v>
      </c>
      <c r="I182" s="3">
        <v>1862</v>
      </c>
      <c r="J182" s="3">
        <v>1862</v>
      </c>
      <c r="K182" s="3">
        <v>394</v>
      </c>
      <c r="L182" t="s">
        <v>113</v>
      </c>
      <c r="M182">
        <v>15</v>
      </c>
      <c r="N182" t="s">
        <v>88</v>
      </c>
      <c r="O182" t="s">
        <v>81</v>
      </c>
      <c r="P182" t="s">
        <v>18</v>
      </c>
      <c r="Q182" t="s">
        <v>19</v>
      </c>
      <c r="R182" t="s">
        <v>138</v>
      </c>
      <c r="S182" t="s">
        <v>144</v>
      </c>
      <c r="T182" s="2">
        <f>MASTER[[#This Row],[CANTIDAD]]*MASTER[[#This Row],[PRECIO DE VENTA]]</f>
        <v>1862</v>
      </c>
      <c r="U182" s="2">
        <f>MASTER[[#This Row],[CANTIDAD]]*MASTER[[#This Row],[COSTO UNITARIO]]</f>
        <v>394</v>
      </c>
      <c r="V182" s="2">
        <f>MASTER[[#This Row],[MONTO VENDIDO]]-MASTER[[#This Row],[COSTO DE VENTA]]</f>
        <v>1468</v>
      </c>
    </row>
    <row r="183" spans="1:22" x14ac:dyDescent="0.3">
      <c r="A183">
        <v>12276</v>
      </c>
      <c r="B183">
        <v>1</v>
      </c>
      <c r="C183" t="s">
        <v>111</v>
      </c>
      <c r="D183" t="s">
        <v>112</v>
      </c>
      <c r="E183" s="1">
        <v>43855</v>
      </c>
      <c r="F183">
        <v>1</v>
      </c>
      <c r="G183" t="s">
        <v>41</v>
      </c>
      <c r="H183" t="s">
        <v>42</v>
      </c>
      <c r="I183" s="3">
        <v>1621</v>
      </c>
      <c r="J183" s="3">
        <v>1475</v>
      </c>
      <c r="K183" s="3">
        <v>434</v>
      </c>
      <c r="L183" t="s">
        <v>113</v>
      </c>
      <c r="M183">
        <v>15</v>
      </c>
      <c r="N183" t="s">
        <v>88</v>
      </c>
      <c r="O183" t="s">
        <v>81</v>
      </c>
      <c r="P183" t="s">
        <v>18</v>
      </c>
      <c r="Q183" t="s">
        <v>19</v>
      </c>
      <c r="R183" t="s">
        <v>138</v>
      </c>
      <c r="S183" t="s">
        <v>144</v>
      </c>
      <c r="T183" s="2">
        <f>MASTER[[#This Row],[CANTIDAD]]*MASTER[[#This Row],[PRECIO DE VENTA]]</f>
        <v>1475</v>
      </c>
      <c r="U183" s="2">
        <f>MASTER[[#This Row],[CANTIDAD]]*MASTER[[#This Row],[COSTO UNITARIO]]</f>
        <v>434</v>
      </c>
      <c r="V183" s="2">
        <f>MASTER[[#This Row],[MONTO VENDIDO]]-MASTER[[#This Row],[COSTO DE VENTA]]</f>
        <v>1041</v>
      </c>
    </row>
    <row r="184" spans="1:22" x14ac:dyDescent="0.3">
      <c r="A184">
        <v>12279</v>
      </c>
      <c r="B184">
        <v>1</v>
      </c>
      <c r="C184" t="s">
        <v>121</v>
      </c>
      <c r="D184" t="s">
        <v>122</v>
      </c>
      <c r="E184" s="1">
        <v>43855</v>
      </c>
      <c r="F184">
        <v>1</v>
      </c>
      <c r="G184" t="s">
        <v>33</v>
      </c>
      <c r="H184" t="s">
        <v>34</v>
      </c>
      <c r="I184" s="3">
        <v>1069</v>
      </c>
      <c r="J184" s="3">
        <v>1069</v>
      </c>
      <c r="K184" s="3">
        <v>460</v>
      </c>
      <c r="L184" t="s">
        <v>120</v>
      </c>
      <c r="M184">
        <v>19</v>
      </c>
      <c r="N184" t="s">
        <v>89</v>
      </c>
      <c r="O184" t="s">
        <v>81</v>
      </c>
      <c r="P184" t="s">
        <v>15</v>
      </c>
      <c r="Q184" t="s">
        <v>16</v>
      </c>
      <c r="R184" t="s">
        <v>16</v>
      </c>
      <c r="S184" t="s">
        <v>144</v>
      </c>
      <c r="T184" s="2">
        <f>MASTER[[#This Row],[CANTIDAD]]*MASTER[[#This Row],[PRECIO DE VENTA]]</f>
        <v>1069</v>
      </c>
      <c r="U184" s="2">
        <f>MASTER[[#This Row],[CANTIDAD]]*MASTER[[#This Row],[COSTO UNITARIO]]</f>
        <v>460</v>
      </c>
      <c r="V184" s="2">
        <f>MASTER[[#This Row],[MONTO VENDIDO]]-MASTER[[#This Row],[COSTO DE VENTA]]</f>
        <v>609</v>
      </c>
    </row>
    <row r="185" spans="1:22" x14ac:dyDescent="0.3">
      <c r="A185">
        <v>12291</v>
      </c>
      <c r="B185">
        <v>1</v>
      </c>
      <c r="C185" t="s">
        <v>118</v>
      </c>
      <c r="D185" t="s">
        <v>119</v>
      </c>
      <c r="E185" s="1">
        <v>43855</v>
      </c>
      <c r="F185">
        <v>1</v>
      </c>
      <c r="G185" t="s">
        <v>67</v>
      </c>
      <c r="H185" t="s">
        <v>68</v>
      </c>
      <c r="I185" s="3">
        <v>900</v>
      </c>
      <c r="J185" s="3">
        <v>900</v>
      </c>
      <c r="K185" s="3">
        <v>424</v>
      </c>
      <c r="L185" t="s">
        <v>120</v>
      </c>
      <c r="M185">
        <v>2</v>
      </c>
      <c r="N185" t="s">
        <v>86</v>
      </c>
      <c r="O185" t="s">
        <v>81</v>
      </c>
      <c r="P185" t="s">
        <v>71</v>
      </c>
      <c r="Q185" t="s">
        <v>72</v>
      </c>
      <c r="R185" t="s">
        <v>139</v>
      </c>
      <c r="S185" t="s">
        <v>144</v>
      </c>
      <c r="T185" s="2">
        <f>MASTER[[#This Row],[CANTIDAD]]*MASTER[[#This Row],[PRECIO DE VENTA]]</f>
        <v>900</v>
      </c>
      <c r="U185" s="2">
        <f>MASTER[[#This Row],[CANTIDAD]]*MASTER[[#This Row],[COSTO UNITARIO]]</f>
        <v>424</v>
      </c>
      <c r="V185" s="2">
        <f>MASTER[[#This Row],[MONTO VENDIDO]]-MASTER[[#This Row],[COSTO DE VENTA]]</f>
        <v>476</v>
      </c>
    </row>
    <row r="186" spans="1:22" x14ac:dyDescent="0.3">
      <c r="A186">
        <v>12302</v>
      </c>
      <c r="B186">
        <v>1</v>
      </c>
      <c r="C186" t="s">
        <v>105</v>
      </c>
      <c r="D186" t="s">
        <v>106</v>
      </c>
      <c r="E186" s="1">
        <v>43855</v>
      </c>
      <c r="F186">
        <v>1</v>
      </c>
      <c r="G186" t="s">
        <v>33</v>
      </c>
      <c r="H186" t="s">
        <v>34</v>
      </c>
      <c r="I186" s="3">
        <v>1585</v>
      </c>
      <c r="J186" s="3">
        <v>1585</v>
      </c>
      <c r="K186" s="3">
        <v>459</v>
      </c>
      <c r="L186" t="s">
        <v>98</v>
      </c>
      <c r="M186">
        <v>17</v>
      </c>
      <c r="N186" t="s">
        <v>14</v>
      </c>
      <c r="O186" t="s">
        <v>11</v>
      </c>
      <c r="P186" t="s">
        <v>15</v>
      </c>
      <c r="Q186" t="s">
        <v>16</v>
      </c>
      <c r="R186" t="s">
        <v>16</v>
      </c>
      <c r="S186" t="s">
        <v>144</v>
      </c>
      <c r="T186" s="2">
        <f>MASTER[[#This Row],[CANTIDAD]]*MASTER[[#This Row],[PRECIO DE VENTA]]</f>
        <v>1585</v>
      </c>
      <c r="U186" s="2">
        <f>MASTER[[#This Row],[CANTIDAD]]*MASTER[[#This Row],[COSTO UNITARIO]]</f>
        <v>459</v>
      </c>
      <c r="V186" s="2">
        <f>MASTER[[#This Row],[MONTO VENDIDO]]-MASTER[[#This Row],[COSTO DE VENTA]]</f>
        <v>1126</v>
      </c>
    </row>
    <row r="187" spans="1:22" x14ac:dyDescent="0.3">
      <c r="A187">
        <v>12312</v>
      </c>
      <c r="B187">
        <v>1</v>
      </c>
      <c r="C187" t="s">
        <v>94</v>
      </c>
      <c r="D187" t="s">
        <v>95</v>
      </c>
      <c r="E187" s="1">
        <v>43855</v>
      </c>
      <c r="F187">
        <v>1</v>
      </c>
      <c r="G187" t="s">
        <v>24</v>
      </c>
      <c r="H187" t="s">
        <v>25</v>
      </c>
      <c r="I187" s="3">
        <v>1048</v>
      </c>
      <c r="J187" s="3">
        <v>1048</v>
      </c>
      <c r="K187" s="3">
        <v>392</v>
      </c>
      <c r="L187" t="s">
        <v>9</v>
      </c>
      <c r="M187">
        <v>2</v>
      </c>
      <c r="N187" t="s">
        <v>86</v>
      </c>
      <c r="O187" t="s">
        <v>81</v>
      </c>
      <c r="P187" t="s">
        <v>71</v>
      </c>
      <c r="Q187" t="s">
        <v>72</v>
      </c>
      <c r="R187" t="s">
        <v>139</v>
      </c>
      <c r="S187" t="s">
        <v>144</v>
      </c>
      <c r="T187" s="2">
        <f>MASTER[[#This Row],[CANTIDAD]]*MASTER[[#This Row],[PRECIO DE VENTA]]</f>
        <v>1048</v>
      </c>
      <c r="U187" s="2">
        <f>MASTER[[#This Row],[CANTIDAD]]*MASTER[[#This Row],[COSTO UNITARIO]]</f>
        <v>392</v>
      </c>
      <c r="V187" s="2">
        <f>MASTER[[#This Row],[MONTO VENDIDO]]-MASTER[[#This Row],[COSTO DE VENTA]]</f>
        <v>656</v>
      </c>
    </row>
    <row r="188" spans="1:22" x14ac:dyDescent="0.3">
      <c r="A188">
        <v>12313</v>
      </c>
      <c r="B188">
        <v>1</v>
      </c>
      <c r="C188" t="s">
        <v>96</v>
      </c>
      <c r="D188" t="s">
        <v>97</v>
      </c>
      <c r="E188" s="1">
        <v>43855</v>
      </c>
      <c r="F188">
        <v>1</v>
      </c>
      <c r="G188" t="s">
        <v>47</v>
      </c>
      <c r="H188" t="s">
        <v>48</v>
      </c>
      <c r="I188" s="3">
        <v>1361</v>
      </c>
      <c r="J188" s="3">
        <v>1361</v>
      </c>
      <c r="K188" s="3">
        <v>397</v>
      </c>
      <c r="L188" t="s">
        <v>98</v>
      </c>
      <c r="M188">
        <v>13</v>
      </c>
      <c r="N188" t="s">
        <v>78</v>
      </c>
      <c r="O188" t="s">
        <v>70</v>
      </c>
      <c r="P188" t="s">
        <v>18</v>
      </c>
      <c r="Q188" t="s">
        <v>19</v>
      </c>
      <c r="R188" t="s">
        <v>138</v>
      </c>
      <c r="S188" t="s">
        <v>144</v>
      </c>
      <c r="T188" s="2">
        <f>MASTER[[#This Row],[CANTIDAD]]*MASTER[[#This Row],[PRECIO DE VENTA]]</f>
        <v>1361</v>
      </c>
      <c r="U188" s="2">
        <f>MASTER[[#This Row],[CANTIDAD]]*MASTER[[#This Row],[COSTO UNITARIO]]</f>
        <v>397</v>
      </c>
      <c r="V188" s="2">
        <f>MASTER[[#This Row],[MONTO VENDIDO]]-MASTER[[#This Row],[COSTO DE VENTA]]</f>
        <v>964</v>
      </c>
    </row>
    <row r="189" spans="1:22" x14ac:dyDescent="0.3">
      <c r="A189">
        <v>12333</v>
      </c>
      <c r="B189">
        <v>1</v>
      </c>
      <c r="C189" t="s">
        <v>118</v>
      </c>
      <c r="D189" t="s">
        <v>119</v>
      </c>
      <c r="E189" s="1">
        <v>43855</v>
      </c>
      <c r="F189">
        <v>1</v>
      </c>
      <c r="G189" t="s">
        <v>29</v>
      </c>
      <c r="H189" t="s">
        <v>30</v>
      </c>
      <c r="I189" s="3">
        <v>900</v>
      </c>
      <c r="J189" s="3">
        <v>900</v>
      </c>
      <c r="K189" s="3">
        <v>424</v>
      </c>
      <c r="L189" t="s">
        <v>120</v>
      </c>
      <c r="M189">
        <v>4</v>
      </c>
      <c r="N189" t="s">
        <v>82</v>
      </c>
      <c r="O189" t="s">
        <v>81</v>
      </c>
      <c r="P189" t="s">
        <v>71</v>
      </c>
      <c r="Q189" t="s">
        <v>72</v>
      </c>
      <c r="R189" t="s">
        <v>139</v>
      </c>
      <c r="S189" t="s">
        <v>144</v>
      </c>
      <c r="T189" s="2">
        <f>MASTER[[#This Row],[CANTIDAD]]*MASTER[[#This Row],[PRECIO DE VENTA]]</f>
        <v>900</v>
      </c>
      <c r="U189" s="2">
        <f>MASTER[[#This Row],[CANTIDAD]]*MASTER[[#This Row],[COSTO UNITARIO]]</f>
        <v>424</v>
      </c>
      <c r="V189" s="2">
        <f>MASTER[[#This Row],[MONTO VENDIDO]]-MASTER[[#This Row],[COSTO DE VENTA]]</f>
        <v>476</v>
      </c>
    </row>
    <row r="190" spans="1:22" x14ac:dyDescent="0.3">
      <c r="A190">
        <v>12350</v>
      </c>
      <c r="B190">
        <v>1</v>
      </c>
      <c r="C190" t="s">
        <v>116</v>
      </c>
      <c r="D190" t="s">
        <v>117</v>
      </c>
      <c r="E190" s="1">
        <v>43855</v>
      </c>
      <c r="F190">
        <v>1</v>
      </c>
      <c r="G190" t="s">
        <v>31</v>
      </c>
      <c r="H190" t="s">
        <v>32</v>
      </c>
      <c r="I190" s="3">
        <v>1738</v>
      </c>
      <c r="J190" s="3">
        <v>1738</v>
      </c>
      <c r="K190" s="3">
        <v>388</v>
      </c>
      <c r="L190" t="s">
        <v>113</v>
      </c>
      <c r="M190">
        <v>14</v>
      </c>
      <c r="N190" t="s">
        <v>87</v>
      </c>
      <c r="O190" t="s">
        <v>81</v>
      </c>
      <c r="P190" t="s">
        <v>18</v>
      </c>
      <c r="Q190" t="s">
        <v>19</v>
      </c>
      <c r="R190" t="s">
        <v>138</v>
      </c>
      <c r="S190" t="s">
        <v>144</v>
      </c>
      <c r="T190" s="2">
        <f>MASTER[[#This Row],[CANTIDAD]]*MASTER[[#This Row],[PRECIO DE VENTA]]</f>
        <v>1738</v>
      </c>
      <c r="U190" s="2">
        <f>MASTER[[#This Row],[CANTIDAD]]*MASTER[[#This Row],[COSTO UNITARIO]]</f>
        <v>388</v>
      </c>
      <c r="V190" s="2">
        <f>MASTER[[#This Row],[MONTO VENDIDO]]-MASTER[[#This Row],[COSTO DE VENTA]]</f>
        <v>1350</v>
      </c>
    </row>
    <row r="191" spans="1:22" x14ac:dyDescent="0.3">
      <c r="A191">
        <v>12354</v>
      </c>
      <c r="B191">
        <v>1</v>
      </c>
      <c r="C191" t="s">
        <v>5</v>
      </c>
      <c r="D191" t="s">
        <v>6</v>
      </c>
      <c r="E191" s="1">
        <v>43856</v>
      </c>
      <c r="F191">
        <v>1</v>
      </c>
      <c r="G191" t="s">
        <v>35</v>
      </c>
      <c r="H191" t="s">
        <v>36</v>
      </c>
      <c r="I191" s="3">
        <v>1296</v>
      </c>
      <c r="J191" s="3">
        <v>1231</v>
      </c>
      <c r="K191" s="3">
        <v>393</v>
      </c>
      <c r="L191" t="s">
        <v>9</v>
      </c>
      <c r="M191">
        <v>9</v>
      </c>
      <c r="N191" t="s">
        <v>76</v>
      </c>
      <c r="O191" t="s">
        <v>70</v>
      </c>
      <c r="P191" t="s">
        <v>12</v>
      </c>
      <c r="Q191" t="s">
        <v>13</v>
      </c>
      <c r="R191" t="s">
        <v>13</v>
      </c>
      <c r="S191" t="s">
        <v>144</v>
      </c>
      <c r="T191" s="2">
        <f>MASTER[[#This Row],[CANTIDAD]]*MASTER[[#This Row],[PRECIO DE VENTA]]</f>
        <v>1231</v>
      </c>
      <c r="U191" s="2">
        <f>MASTER[[#This Row],[CANTIDAD]]*MASTER[[#This Row],[COSTO UNITARIO]]</f>
        <v>393</v>
      </c>
      <c r="V191" s="2">
        <f>MASTER[[#This Row],[MONTO VENDIDO]]-MASTER[[#This Row],[COSTO DE VENTA]]</f>
        <v>838</v>
      </c>
    </row>
    <row r="192" spans="1:22" x14ac:dyDescent="0.3">
      <c r="A192">
        <v>12401</v>
      </c>
      <c r="B192">
        <v>1</v>
      </c>
      <c r="C192" t="s">
        <v>5</v>
      </c>
      <c r="D192" t="s">
        <v>6</v>
      </c>
      <c r="E192" s="1">
        <v>43856</v>
      </c>
      <c r="F192">
        <v>1</v>
      </c>
      <c r="G192" t="s">
        <v>31</v>
      </c>
      <c r="H192" t="s">
        <v>32</v>
      </c>
      <c r="I192" s="3">
        <v>1296</v>
      </c>
      <c r="J192" s="3">
        <v>1296</v>
      </c>
      <c r="K192" s="3">
        <v>393</v>
      </c>
      <c r="L192" t="s">
        <v>9</v>
      </c>
      <c r="M192">
        <v>3</v>
      </c>
      <c r="N192" t="s">
        <v>69</v>
      </c>
      <c r="O192" t="s">
        <v>70</v>
      </c>
      <c r="P192" t="s">
        <v>71</v>
      </c>
      <c r="Q192" t="s">
        <v>72</v>
      </c>
      <c r="R192" t="s">
        <v>139</v>
      </c>
      <c r="S192" t="s">
        <v>144</v>
      </c>
      <c r="T192" s="2">
        <f>MASTER[[#This Row],[CANTIDAD]]*MASTER[[#This Row],[PRECIO DE VENTA]]</f>
        <v>1296</v>
      </c>
      <c r="U192" s="2">
        <f>MASTER[[#This Row],[CANTIDAD]]*MASTER[[#This Row],[COSTO UNITARIO]]</f>
        <v>393</v>
      </c>
      <c r="V192" s="2">
        <f>MASTER[[#This Row],[MONTO VENDIDO]]-MASTER[[#This Row],[COSTO DE VENTA]]</f>
        <v>903</v>
      </c>
    </row>
    <row r="193" spans="1:22" x14ac:dyDescent="0.3">
      <c r="A193">
        <v>12405</v>
      </c>
      <c r="B193">
        <v>1</v>
      </c>
      <c r="C193" t="s">
        <v>114</v>
      </c>
      <c r="D193" t="s">
        <v>115</v>
      </c>
      <c r="E193" s="1">
        <v>43856</v>
      </c>
      <c r="F193">
        <v>1</v>
      </c>
      <c r="G193" t="s">
        <v>37</v>
      </c>
      <c r="H193" t="s">
        <v>38</v>
      </c>
      <c r="I193" s="3">
        <v>1862</v>
      </c>
      <c r="J193" s="3">
        <v>1862</v>
      </c>
      <c r="K193" s="3">
        <v>394</v>
      </c>
      <c r="L193" t="s">
        <v>113</v>
      </c>
      <c r="M193">
        <v>4</v>
      </c>
      <c r="N193" t="s">
        <v>82</v>
      </c>
      <c r="O193" t="s">
        <v>81</v>
      </c>
      <c r="P193" t="s">
        <v>71</v>
      </c>
      <c r="Q193" t="s">
        <v>72</v>
      </c>
      <c r="R193" t="s">
        <v>139</v>
      </c>
      <c r="S193" t="s">
        <v>144</v>
      </c>
      <c r="T193" s="2">
        <f>MASTER[[#This Row],[CANTIDAD]]*MASTER[[#This Row],[PRECIO DE VENTA]]</f>
        <v>1862</v>
      </c>
      <c r="U193" s="2">
        <f>MASTER[[#This Row],[CANTIDAD]]*MASTER[[#This Row],[COSTO UNITARIO]]</f>
        <v>394</v>
      </c>
      <c r="V193" s="2">
        <f>MASTER[[#This Row],[MONTO VENDIDO]]-MASTER[[#This Row],[COSTO DE VENTA]]</f>
        <v>1468</v>
      </c>
    </row>
    <row r="194" spans="1:22" x14ac:dyDescent="0.3">
      <c r="A194">
        <v>12417</v>
      </c>
      <c r="B194">
        <v>1</v>
      </c>
      <c r="C194" t="s">
        <v>96</v>
      </c>
      <c r="D194" t="s">
        <v>97</v>
      </c>
      <c r="E194" s="1">
        <v>43856</v>
      </c>
      <c r="F194">
        <v>1</v>
      </c>
      <c r="G194" t="s">
        <v>45</v>
      </c>
      <c r="H194" t="s">
        <v>46</v>
      </c>
      <c r="I194" s="3">
        <v>1272</v>
      </c>
      <c r="J194" s="3">
        <v>1272</v>
      </c>
      <c r="K194" s="3">
        <v>397</v>
      </c>
      <c r="L194" t="s">
        <v>98</v>
      </c>
      <c r="M194">
        <v>15</v>
      </c>
      <c r="N194" t="s">
        <v>88</v>
      </c>
      <c r="O194" t="s">
        <v>81</v>
      </c>
      <c r="P194" t="s">
        <v>18</v>
      </c>
      <c r="Q194" t="s">
        <v>19</v>
      </c>
      <c r="R194" t="s">
        <v>138</v>
      </c>
      <c r="S194" t="s">
        <v>144</v>
      </c>
      <c r="T194" s="2">
        <f>MASTER[[#This Row],[CANTIDAD]]*MASTER[[#This Row],[PRECIO DE VENTA]]</f>
        <v>1272</v>
      </c>
      <c r="U194" s="2">
        <f>MASTER[[#This Row],[CANTIDAD]]*MASTER[[#This Row],[COSTO UNITARIO]]</f>
        <v>397</v>
      </c>
      <c r="V194" s="2">
        <f>MASTER[[#This Row],[MONTO VENDIDO]]-MASTER[[#This Row],[COSTO DE VENTA]]</f>
        <v>875</v>
      </c>
    </row>
    <row r="195" spans="1:22" x14ac:dyDescent="0.3">
      <c r="A195">
        <v>12432</v>
      </c>
      <c r="B195">
        <v>1</v>
      </c>
      <c r="C195" t="s">
        <v>101</v>
      </c>
      <c r="D195" t="s">
        <v>102</v>
      </c>
      <c r="E195" s="1">
        <v>43856</v>
      </c>
      <c r="F195">
        <v>1</v>
      </c>
      <c r="G195" t="s">
        <v>73</v>
      </c>
      <c r="H195" t="s">
        <v>74</v>
      </c>
      <c r="I195" s="3">
        <v>1357</v>
      </c>
      <c r="J195" s="3">
        <v>1357</v>
      </c>
      <c r="K195" s="3">
        <v>442</v>
      </c>
      <c r="L195" t="s">
        <v>98</v>
      </c>
      <c r="M195">
        <v>6</v>
      </c>
      <c r="N195" t="s">
        <v>75</v>
      </c>
      <c r="O195" t="s">
        <v>70</v>
      </c>
      <c r="P195" t="s">
        <v>12</v>
      </c>
      <c r="Q195" t="s">
        <v>13</v>
      </c>
      <c r="R195" t="s">
        <v>13</v>
      </c>
      <c r="S195" t="s">
        <v>144</v>
      </c>
      <c r="T195" s="2">
        <f>MASTER[[#This Row],[CANTIDAD]]*MASTER[[#This Row],[PRECIO DE VENTA]]</f>
        <v>1357</v>
      </c>
      <c r="U195" s="2">
        <f>MASTER[[#This Row],[CANTIDAD]]*MASTER[[#This Row],[COSTO UNITARIO]]</f>
        <v>442</v>
      </c>
      <c r="V195" s="2">
        <f>MASTER[[#This Row],[MONTO VENDIDO]]-MASTER[[#This Row],[COSTO DE VENTA]]</f>
        <v>915</v>
      </c>
    </row>
    <row r="196" spans="1:22" x14ac:dyDescent="0.3">
      <c r="A196">
        <v>12436</v>
      </c>
      <c r="B196">
        <v>1</v>
      </c>
      <c r="C196" t="s">
        <v>96</v>
      </c>
      <c r="D196" t="s">
        <v>97</v>
      </c>
      <c r="E196" s="1">
        <v>43856</v>
      </c>
      <c r="F196">
        <v>1</v>
      </c>
      <c r="G196" t="s">
        <v>33</v>
      </c>
      <c r="H196" t="s">
        <v>34</v>
      </c>
      <c r="I196" s="3">
        <v>1272</v>
      </c>
      <c r="J196" s="3">
        <v>1272</v>
      </c>
      <c r="K196" s="3">
        <v>397</v>
      </c>
      <c r="L196" t="s">
        <v>98</v>
      </c>
      <c r="M196">
        <v>7</v>
      </c>
      <c r="N196" t="s">
        <v>84</v>
      </c>
      <c r="O196" t="s">
        <v>81</v>
      </c>
      <c r="P196" t="s">
        <v>12</v>
      </c>
      <c r="Q196" t="s">
        <v>13</v>
      </c>
      <c r="R196" t="s">
        <v>13</v>
      </c>
      <c r="S196" t="s">
        <v>144</v>
      </c>
      <c r="T196" s="2">
        <f>MASTER[[#This Row],[CANTIDAD]]*MASTER[[#This Row],[PRECIO DE VENTA]]</f>
        <v>1272</v>
      </c>
      <c r="U196" s="2">
        <f>MASTER[[#This Row],[CANTIDAD]]*MASTER[[#This Row],[COSTO UNITARIO]]</f>
        <v>397</v>
      </c>
      <c r="V196" s="2">
        <f>MASTER[[#This Row],[MONTO VENDIDO]]-MASTER[[#This Row],[COSTO DE VENTA]]</f>
        <v>875</v>
      </c>
    </row>
    <row r="197" spans="1:22" x14ac:dyDescent="0.3">
      <c r="A197">
        <v>12444</v>
      </c>
      <c r="B197">
        <v>1</v>
      </c>
      <c r="C197" t="s">
        <v>109</v>
      </c>
      <c r="D197" t="s">
        <v>110</v>
      </c>
      <c r="E197" s="1">
        <v>43857</v>
      </c>
      <c r="F197">
        <v>1</v>
      </c>
      <c r="G197" t="s">
        <v>29</v>
      </c>
      <c r="H197" t="s">
        <v>30</v>
      </c>
      <c r="I197" s="3">
        <v>1128</v>
      </c>
      <c r="J197" s="3">
        <v>1128</v>
      </c>
      <c r="K197" s="3">
        <v>387</v>
      </c>
      <c r="L197" t="s">
        <v>98</v>
      </c>
      <c r="M197">
        <v>18</v>
      </c>
      <c r="N197" t="s">
        <v>79</v>
      </c>
      <c r="O197" t="s">
        <v>70</v>
      </c>
      <c r="P197" t="s">
        <v>15</v>
      </c>
      <c r="Q197" t="s">
        <v>16</v>
      </c>
      <c r="R197" t="s">
        <v>16</v>
      </c>
      <c r="S197" t="s">
        <v>144</v>
      </c>
      <c r="T197" s="2">
        <f>MASTER[[#This Row],[CANTIDAD]]*MASTER[[#This Row],[PRECIO DE VENTA]]</f>
        <v>1128</v>
      </c>
      <c r="U197" s="2">
        <f>MASTER[[#This Row],[CANTIDAD]]*MASTER[[#This Row],[COSTO UNITARIO]]</f>
        <v>387</v>
      </c>
      <c r="V197" s="2">
        <f>MASTER[[#This Row],[MONTO VENDIDO]]-MASTER[[#This Row],[COSTO DE VENTA]]</f>
        <v>741</v>
      </c>
    </row>
    <row r="198" spans="1:22" x14ac:dyDescent="0.3">
      <c r="A198">
        <v>12451</v>
      </c>
      <c r="B198">
        <v>1</v>
      </c>
      <c r="C198" t="s">
        <v>109</v>
      </c>
      <c r="D198" t="s">
        <v>110</v>
      </c>
      <c r="E198" s="1">
        <v>43857</v>
      </c>
      <c r="F198">
        <v>1</v>
      </c>
      <c r="G198" t="s">
        <v>7</v>
      </c>
      <c r="H198" t="s">
        <v>8</v>
      </c>
      <c r="I198" s="3">
        <v>1064</v>
      </c>
      <c r="J198" s="3">
        <v>1010</v>
      </c>
      <c r="K198" s="3">
        <v>387</v>
      </c>
      <c r="L198" t="s">
        <v>98</v>
      </c>
      <c r="M198">
        <v>8</v>
      </c>
      <c r="N198" t="s">
        <v>80</v>
      </c>
      <c r="O198" t="s">
        <v>81</v>
      </c>
      <c r="P198" t="s">
        <v>12</v>
      </c>
      <c r="Q198" t="s">
        <v>13</v>
      </c>
      <c r="R198" t="s">
        <v>13</v>
      </c>
      <c r="S198" t="s">
        <v>144</v>
      </c>
      <c r="T198" s="2">
        <f>MASTER[[#This Row],[CANTIDAD]]*MASTER[[#This Row],[PRECIO DE VENTA]]</f>
        <v>1010</v>
      </c>
      <c r="U198" s="2">
        <f>MASTER[[#This Row],[CANTIDAD]]*MASTER[[#This Row],[COSTO UNITARIO]]</f>
        <v>387</v>
      </c>
      <c r="V198" s="2">
        <f>MASTER[[#This Row],[MONTO VENDIDO]]-MASTER[[#This Row],[COSTO DE VENTA]]</f>
        <v>623</v>
      </c>
    </row>
    <row r="199" spans="1:22" x14ac:dyDescent="0.3">
      <c r="A199">
        <v>12467</v>
      </c>
      <c r="B199">
        <v>2</v>
      </c>
      <c r="C199" t="s">
        <v>107</v>
      </c>
      <c r="D199" t="s">
        <v>108</v>
      </c>
      <c r="E199" s="1">
        <v>43857</v>
      </c>
      <c r="F199">
        <v>1</v>
      </c>
      <c r="G199" t="s">
        <v>73</v>
      </c>
      <c r="H199" t="s">
        <v>74</v>
      </c>
      <c r="I199" s="3">
        <v>1333</v>
      </c>
      <c r="J199" s="3">
        <v>1333</v>
      </c>
      <c r="K199" s="3">
        <v>380</v>
      </c>
      <c r="L199" t="s">
        <v>98</v>
      </c>
      <c r="M199">
        <v>19</v>
      </c>
      <c r="N199" t="s">
        <v>89</v>
      </c>
      <c r="O199" t="s">
        <v>81</v>
      </c>
      <c r="P199" t="s">
        <v>15</v>
      </c>
      <c r="Q199" t="s">
        <v>16</v>
      </c>
      <c r="R199" t="s">
        <v>16</v>
      </c>
      <c r="S199" t="s">
        <v>144</v>
      </c>
      <c r="T199" s="2">
        <f>MASTER[[#This Row],[CANTIDAD]]*MASTER[[#This Row],[PRECIO DE VENTA]]</f>
        <v>1333</v>
      </c>
      <c r="U199" s="2">
        <f>MASTER[[#This Row],[CANTIDAD]]*MASTER[[#This Row],[COSTO UNITARIO]]</f>
        <v>380</v>
      </c>
      <c r="V199" s="2">
        <f>MASTER[[#This Row],[MONTO VENDIDO]]-MASTER[[#This Row],[COSTO DE VENTA]]</f>
        <v>953</v>
      </c>
    </row>
    <row r="200" spans="1:22" x14ac:dyDescent="0.3">
      <c r="A200">
        <v>12467</v>
      </c>
      <c r="B200">
        <v>1</v>
      </c>
      <c r="C200" t="s">
        <v>114</v>
      </c>
      <c r="D200" t="s">
        <v>115</v>
      </c>
      <c r="E200" s="1">
        <v>43857</v>
      </c>
      <c r="F200">
        <v>1</v>
      </c>
      <c r="G200" t="s">
        <v>37</v>
      </c>
      <c r="H200" t="s">
        <v>38</v>
      </c>
      <c r="I200" s="3">
        <v>1862</v>
      </c>
      <c r="J200" s="3">
        <v>1862</v>
      </c>
      <c r="K200" s="3">
        <v>394</v>
      </c>
      <c r="L200" t="s">
        <v>113</v>
      </c>
      <c r="M200">
        <v>19</v>
      </c>
      <c r="N200" t="s">
        <v>89</v>
      </c>
      <c r="O200" t="s">
        <v>81</v>
      </c>
      <c r="P200" t="s">
        <v>15</v>
      </c>
      <c r="Q200" t="s">
        <v>16</v>
      </c>
      <c r="R200" t="s">
        <v>16</v>
      </c>
      <c r="S200" t="s">
        <v>144</v>
      </c>
      <c r="T200" s="2">
        <f>MASTER[[#This Row],[CANTIDAD]]*MASTER[[#This Row],[PRECIO DE VENTA]]</f>
        <v>1862</v>
      </c>
      <c r="U200" s="2">
        <f>MASTER[[#This Row],[CANTIDAD]]*MASTER[[#This Row],[COSTO UNITARIO]]</f>
        <v>394</v>
      </c>
      <c r="V200" s="2">
        <f>MASTER[[#This Row],[MONTO VENDIDO]]-MASTER[[#This Row],[COSTO DE VENTA]]</f>
        <v>1468</v>
      </c>
    </row>
    <row r="201" spans="1:22" x14ac:dyDescent="0.3">
      <c r="A201">
        <v>12501</v>
      </c>
      <c r="B201">
        <v>1</v>
      </c>
      <c r="C201" t="s">
        <v>105</v>
      </c>
      <c r="D201" t="s">
        <v>106</v>
      </c>
      <c r="E201" s="1">
        <v>43857</v>
      </c>
      <c r="F201">
        <v>1</v>
      </c>
      <c r="G201" t="s">
        <v>61</v>
      </c>
      <c r="H201" t="s">
        <v>62</v>
      </c>
      <c r="I201" s="3">
        <v>1585</v>
      </c>
      <c r="J201" s="3">
        <v>1585</v>
      </c>
      <c r="K201" s="3">
        <v>459</v>
      </c>
      <c r="L201" t="s">
        <v>98</v>
      </c>
      <c r="M201">
        <v>11</v>
      </c>
      <c r="N201" t="s">
        <v>10</v>
      </c>
      <c r="O201" t="s">
        <v>11</v>
      </c>
      <c r="P201" t="s">
        <v>12</v>
      </c>
      <c r="Q201" t="s">
        <v>13</v>
      </c>
      <c r="R201" t="s">
        <v>13</v>
      </c>
      <c r="S201" t="s">
        <v>144</v>
      </c>
      <c r="T201" s="2">
        <f>MASTER[[#This Row],[CANTIDAD]]*MASTER[[#This Row],[PRECIO DE VENTA]]</f>
        <v>1585</v>
      </c>
      <c r="U201" s="2">
        <f>MASTER[[#This Row],[CANTIDAD]]*MASTER[[#This Row],[COSTO UNITARIO]]</f>
        <v>459</v>
      </c>
      <c r="V201" s="2">
        <f>MASTER[[#This Row],[MONTO VENDIDO]]-MASTER[[#This Row],[COSTO DE VENTA]]</f>
        <v>1126</v>
      </c>
    </row>
    <row r="202" spans="1:22" x14ac:dyDescent="0.3">
      <c r="A202">
        <v>12502</v>
      </c>
      <c r="B202">
        <v>1</v>
      </c>
      <c r="C202" t="s">
        <v>111</v>
      </c>
      <c r="D202" t="s">
        <v>112</v>
      </c>
      <c r="E202" s="1">
        <v>43857</v>
      </c>
      <c r="F202">
        <v>1</v>
      </c>
      <c r="G202" t="s">
        <v>35</v>
      </c>
      <c r="H202" t="s">
        <v>36</v>
      </c>
      <c r="I202" s="3">
        <v>1524</v>
      </c>
      <c r="J202" s="3">
        <v>1524</v>
      </c>
      <c r="K202" s="3">
        <v>434</v>
      </c>
      <c r="L202" t="s">
        <v>113</v>
      </c>
      <c r="M202">
        <v>16</v>
      </c>
      <c r="N202" t="s">
        <v>17</v>
      </c>
      <c r="O202" t="s">
        <v>11</v>
      </c>
      <c r="P202" t="s">
        <v>18</v>
      </c>
      <c r="Q202" t="s">
        <v>19</v>
      </c>
      <c r="R202" t="s">
        <v>138</v>
      </c>
      <c r="S202" t="s">
        <v>144</v>
      </c>
      <c r="T202" s="2">
        <f>MASTER[[#This Row],[CANTIDAD]]*MASTER[[#This Row],[PRECIO DE VENTA]]</f>
        <v>1524</v>
      </c>
      <c r="U202" s="2">
        <f>MASTER[[#This Row],[CANTIDAD]]*MASTER[[#This Row],[COSTO UNITARIO]]</f>
        <v>434</v>
      </c>
      <c r="V202" s="2">
        <f>MASTER[[#This Row],[MONTO VENDIDO]]-MASTER[[#This Row],[COSTO DE VENTA]]</f>
        <v>1090</v>
      </c>
    </row>
    <row r="203" spans="1:22" x14ac:dyDescent="0.3">
      <c r="A203">
        <v>12527</v>
      </c>
      <c r="B203">
        <v>1</v>
      </c>
      <c r="C203" t="s">
        <v>96</v>
      </c>
      <c r="D203" t="s">
        <v>97</v>
      </c>
      <c r="E203" s="1">
        <v>43857</v>
      </c>
      <c r="F203">
        <v>1</v>
      </c>
      <c r="G203" t="s">
        <v>47</v>
      </c>
      <c r="H203" t="s">
        <v>48</v>
      </c>
      <c r="I203" s="3">
        <v>1272</v>
      </c>
      <c r="J203" s="3">
        <v>1272</v>
      </c>
      <c r="K203" s="3">
        <v>397</v>
      </c>
      <c r="L203" t="s">
        <v>98</v>
      </c>
      <c r="M203">
        <v>7</v>
      </c>
      <c r="N203" t="s">
        <v>84</v>
      </c>
      <c r="O203" t="s">
        <v>81</v>
      </c>
      <c r="P203" t="s">
        <v>12</v>
      </c>
      <c r="Q203" t="s">
        <v>13</v>
      </c>
      <c r="R203" t="s">
        <v>13</v>
      </c>
      <c r="S203" t="s">
        <v>144</v>
      </c>
      <c r="T203" s="2">
        <f>MASTER[[#This Row],[CANTIDAD]]*MASTER[[#This Row],[PRECIO DE VENTA]]</f>
        <v>1272</v>
      </c>
      <c r="U203" s="2">
        <f>MASTER[[#This Row],[CANTIDAD]]*MASTER[[#This Row],[COSTO UNITARIO]]</f>
        <v>397</v>
      </c>
      <c r="V203" s="2">
        <f>MASTER[[#This Row],[MONTO VENDIDO]]-MASTER[[#This Row],[COSTO DE VENTA]]</f>
        <v>875</v>
      </c>
    </row>
    <row r="204" spans="1:22" x14ac:dyDescent="0.3">
      <c r="A204">
        <v>12531</v>
      </c>
      <c r="B204">
        <v>1</v>
      </c>
      <c r="C204" t="s">
        <v>114</v>
      </c>
      <c r="D204" t="s">
        <v>115</v>
      </c>
      <c r="E204" s="1">
        <v>43857</v>
      </c>
      <c r="F204">
        <v>1</v>
      </c>
      <c r="G204" t="s">
        <v>20</v>
      </c>
      <c r="H204" t="s">
        <v>21</v>
      </c>
      <c r="I204" s="3">
        <v>2030</v>
      </c>
      <c r="J204" s="3">
        <v>2030</v>
      </c>
      <c r="K204" s="3">
        <v>394</v>
      </c>
      <c r="L204" t="s">
        <v>113</v>
      </c>
      <c r="M204">
        <v>13</v>
      </c>
      <c r="N204" t="s">
        <v>78</v>
      </c>
      <c r="O204" t="s">
        <v>70</v>
      </c>
      <c r="P204" t="s">
        <v>18</v>
      </c>
      <c r="Q204" t="s">
        <v>19</v>
      </c>
      <c r="R204" t="s">
        <v>138</v>
      </c>
      <c r="S204" t="s">
        <v>144</v>
      </c>
      <c r="T204" s="2">
        <f>MASTER[[#This Row],[CANTIDAD]]*MASTER[[#This Row],[PRECIO DE VENTA]]</f>
        <v>2030</v>
      </c>
      <c r="U204" s="2">
        <f>MASTER[[#This Row],[CANTIDAD]]*MASTER[[#This Row],[COSTO UNITARIO]]</f>
        <v>394</v>
      </c>
      <c r="V204" s="2">
        <f>MASTER[[#This Row],[MONTO VENDIDO]]-MASTER[[#This Row],[COSTO DE VENTA]]</f>
        <v>1636</v>
      </c>
    </row>
    <row r="205" spans="1:22" x14ac:dyDescent="0.3">
      <c r="A205">
        <v>12545</v>
      </c>
      <c r="B205">
        <v>1</v>
      </c>
      <c r="C205" t="s">
        <v>118</v>
      </c>
      <c r="D205" t="s">
        <v>119</v>
      </c>
      <c r="E205" s="1">
        <v>43857</v>
      </c>
      <c r="F205">
        <v>1</v>
      </c>
      <c r="G205" t="s">
        <v>29</v>
      </c>
      <c r="H205" t="s">
        <v>30</v>
      </c>
      <c r="I205" s="3">
        <v>801</v>
      </c>
      <c r="J205" s="3">
        <v>720</v>
      </c>
      <c r="K205" s="3">
        <v>424</v>
      </c>
      <c r="L205" t="s">
        <v>120</v>
      </c>
      <c r="M205">
        <v>16</v>
      </c>
      <c r="N205" t="s">
        <v>17</v>
      </c>
      <c r="O205" t="s">
        <v>11</v>
      </c>
      <c r="P205" t="s">
        <v>18</v>
      </c>
      <c r="Q205" t="s">
        <v>19</v>
      </c>
      <c r="R205" t="s">
        <v>138</v>
      </c>
      <c r="S205" t="s">
        <v>144</v>
      </c>
      <c r="T205" s="2">
        <f>MASTER[[#This Row],[CANTIDAD]]*MASTER[[#This Row],[PRECIO DE VENTA]]</f>
        <v>720</v>
      </c>
      <c r="U205" s="2">
        <f>MASTER[[#This Row],[CANTIDAD]]*MASTER[[#This Row],[COSTO UNITARIO]]</f>
        <v>424</v>
      </c>
      <c r="V205" s="2">
        <f>MASTER[[#This Row],[MONTO VENDIDO]]-MASTER[[#This Row],[COSTO DE VENTA]]</f>
        <v>296</v>
      </c>
    </row>
    <row r="206" spans="1:22" x14ac:dyDescent="0.3">
      <c r="A206">
        <v>12553</v>
      </c>
      <c r="B206">
        <v>1</v>
      </c>
      <c r="C206" t="s">
        <v>90</v>
      </c>
      <c r="D206" t="s">
        <v>91</v>
      </c>
      <c r="E206" s="1">
        <v>43858</v>
      </c>
      <c r="F206">
        <v>1</v>
      </c>
      <c r="G206" t="s">
        <v>63</v>
      </c>
      <c r="H206" t="s">
        <v>64</v>
      </c>
      <c r="I206" s="3">
        <v>1844</v>
      </c>
      <c r="J206" s="3">
        <v>1844</v>
      </c>
      <c r="K206" s="3">
        <v>420</v>
      </c>
      <c r="L206" t="s">
        <v>9</v>
      </c>
      <c r="M206">
        <v>4</v>
      </c>
      <c r="N206" t="s">
        <v>82</v>
      </c>
      <c r="O206" t="s">
        <v>81</v>
      </c>
      <c r="P206" t="s">
        <v>71</v>
      </c>
      <c r="Q206" t="s">
        <v>72</v>
      </c>
      <c r="R206" t="s">
        <v>139</v>
      </c>
      <c r="S206" t="s">
        <v>144</v>
      </c>
      <c r="T206" s="2">
        <f>MASTER[[#This Row],[CANTIDAD]]*MASTER[[#This Row],[PRECIO DE VENTA]]</f>
        <v>1844</v>
      </c>
      <c r="U206" s="2">
        <f>MASTER[[#This Row],[CANTIDAD]]*MASTER[[#This Row],[COSTO UNITARIO]]</f>
        <v>420</v>
      </c>
      <c r="V206" s="2">
        <f>MASTER[[#This Row],[MONTO VENDIDO]]-MASTER[[#This Row],[COSTO DE VENTA]]</f>
        <v>1424</v>
      </c>
    </row>
    <row r="207" spans="1:22" x14ac:dyDescent="0.3">
      <c r="A207">
        <v>12558</v>
      </c>
      <c r="B207">
        <v>1</v>
      </c>
      <c r="C207" t="s">
        <v>109</v>
      </c>
      <c r="D207" t="s">
        <v>110</v>
      </c>
      <c r="E207" s="1">
        <v>43858</v>
      </c>
      <c r="F207">
        <v>1</v>
      </c>
      <c r="G207" t="s">
        <v>53</v>
      </c>
      <c r="H207" t="s">
        <v>54</v>
      </c>
      <c r="I207" s="3">
        <v>1064</v>
      </c>
      <c r="J207" s="3">
        <v>1064</v>
      </c>
      <c r="K207" s="3">
        <v>387</v>
      </c>
      <c r="L207" t="s">
        <v>98</v>
      </c>
      <c r="M207">
        <v>5</v>
      </c>
      <c r="N207" t="s">
        <v>85</v>
      </c>
      <c r="O207" t="s">
        <v>81</v>
      </c>
      <c r="P207" t="s">
        <v>12</v>
      </c>
      <c r="Q207" t="s">
        <v>13</v>
      </c>
      <c r="R207" t="s">
        <v>13</v>
      </c>
      <c r="S207" t="s">
        <v>144</v>
      </c>
      <c r="T207" s="2">
        <f>MASTER[[#This Row],[CANTIDAD]]*MASTER[[#This Row],[PRECIO DE VENTA]]</f>
        <v>1064</v>
      </c>
      <c r="U207" s="2">
        <f>MASTER[[#This Row],[CANTIDAD]]*MASTER[[#This Row],[COSTO UNITARIO]]</f>
        <v>387</v>
      </c>
      <c r="V207" s="2">
        <f>MASTER[[#This Row],[MONTO VENDIDO]]-MASTER[[#This Row],[COSTO DE VENTA]]</f>
        <v>677</v>
      </c>
    </row>
    <row r="208" spans="1:22" x14ac:dyDescent="0.3">
      <c r="A208">
        <v>12562</v>
      </c>
      <c r="B208">
        <v>1</v>
      </c>
      <c r="C208" t="s">
        <v>109</v>
      </c>
      <c r="D208" t="s">
        <v>110</v>
      </c>
      <c r="E208" s="1">
        <v>43858</v>
      </c>
      <c r="F208">
        <v>1</v>
      </c>
      <c r="G208" t="s">
        <v>59</v>
      </c>
      <c r="H208" t="s">
        <v>60</v>
      </c>
      <c r="I208" s="3">
        <v>1128</v>
      </c>
      <c r="J208" s="3">
        <v>1128</v>
      </c>
      <c r="K208" s="3">
        <v>387</v>
      </c>
      <c r="L208" t="s">
        <v>98</v>
      </c>
      <c r="M208">
        <v>9</v>
      </c>
      <c r="N208" t="s">
        <v>76</v>
      </c>
      <c r="O208" t="s">
        <v>70</v>
      </c>
      <c r="P208" t="s">
        <v>12</v>
      </c>
      <c r="Q208" t="s">
        <v>13</v>
      </c>
      <c r="R208" t="s">
        <v>13</v>
      </c>
      <c r="S208" t="s">
        <v>144</v>
      </c>
      <c r="T208" s="2">
        <f>MASTER[[#This Row],[CANTIDAD]]*MASTER[[#This Row],[PRECIO DE VENTA]]</f>
        <v>1128</v>
      </c>
      <c r="U208" s="2">
        <f>MASTER[[#This Row],[CANTIDAD]]*MASTER[[#This Row],[COSTO UNITARIO]]</f>
        <v>387</v>
      </c>
      <c r="V208" s="2">
        <f>MASTER[[#This Row],[MONTO VENDIDO]]-MASTER[[#This Row],[COSTO DE VENTA]]</f>
        <v>741</v>
      </c>
    </row>
    <row r="209" spans="1:22" x14ac:dyDescent="0.3">
      <c r="A209">
        <v>12564</v>
      </c>
      <c r="B209">
        <v>1</v>
      </c>
      <c r="C209" t="s">
        <v>90</v>
      </c>
      <c r="D209" t="s">
        <v>91</v>
      </c>
      <c r="E209" s="1">
        <v>43858</v>
      </c>
      <c r="F209">
        <v>1</v>
      </c>
      <c r="G209" t="s">
        <v>49</v>
      </c>
      <c r="H209" t="s">
        <v>50</v>
      </c>
      <c r="I209" s="3">
        <v>2102</v>
      </c>
      <c r="J209" s="3">
        <v>2102</v>
      </c>
      <c r="K209" s="3">
        <v>420</v>
      </c>
      <c r="L209" t="s">
        <v>9</v>
      </c>
      <c r="M209">
        <v>6</v>
      </c>
      <c r="N209" t="s">
        <v>75</v>
      </c>
      <c r="O209" t="s">
        <v>70</v>
      </c>
      <c r="P209" t="s">
        <v>12</v>
      </c>
      <c r="Q209" t="s">
        <v>13</v>
      </c>
      <c r="R209" t="s">
        <v>13</v>
      </c>
      <c r="S209" t="s">
        <v>144</v>
      </c>
      <c r="T209" s="2">
        <f>MASTER[[#This Row],[CANTIDAD]]*MASTER[[#This Row],[PRECIO DE VENTA]]</f>
        <v>2102</v>
      </c>
      <c r="U209" s="2">
        <f>MASTER[[#This Row],[CANTIDAD]]*MASTER[[#This Row],[COSTO UNITARIO]]</f>
        <v>420</v>
      </c>
      <c r="V209" s="2">
        <f>MASTER[[#This Row],[MONTO VENDIDO]]-MASTER[[#This Row],[COSTO DE VENTA]]</f>
        <v>1682</v>
      </c>
    </row>
    <row r="210" spans="1:22" x14ac:dyDescent="0.3">
      <c r="A210">
        <v>12568</v>
      </c>
      <c r="B210">
        <v>1</v>
      </c>
      <c r="C210" t="s">
        <v>114</v>
      </c>
      <c r="D210" t="s">
        <v>115</v>
      </c>
      <c r="E210" s="1">
        <v>43858</v>
      </c>
      <c r="F210">
        <v>1</v>
      </c>
      <c r="G210" t="s">
        <v>45</v>
      </c>
      <c r="H210" t="s">
        <v>46</v>
      </c>
      <c r="I210" s="3">
        <v>1583</v>
      </c>
      <c r="J210" s="3">
        <v>1583</v>
      </c>
      <c r="K210" s="3">
        <v>394</v>
      </c>
      <c r="L210" t="s">
        <v>113</v>
      </c>
      <c r="M210">
        <v>17</v>
      </c>
      <c r="N210" t="s">
        <v>14</v>
      </c>
      <c r="O210" t="s">
        <v>11</v>
      </c>
      <c r="P210" t="s">
        <v>15</v>
      </c>
      <c r="Q210" t="s">
        <v>16</v>
      </c>
      <c r="R210" t="s">
        <v>16</v>
      </c>
      <c r="S210" t="s">
        <v>144</v>
      </c>
      <c r="T210" s="2">
        <f>MASTER[[#This Row],[CANTIDAD]]*MASTER[[#This Row],[PRECIO DE VENTA]]</f>
        <v>1583</v>
      </c>
      <c r="U210" s="2">
        <f>MASTER[[#This Row],[CANTIDAD]]*MASTER[[#This Row],[COSTO UNITARIO]]</f>
        <v>394</v>
      </c>
      <c r="V210" s="2">
        <f>MASTER[[#This Row],[MONTO VENDIDO]]-MASTER[[#This Row],[COSTO DE VENTA]]</f>
        <v>1189</v>
      </c>
    </row>
    <row r="211" spans="1:22" x14ac:dyDescent="0.3">
      <c r="A211">
        <v>12578</v>
      </c>
      <c r="B211">
        <v>1</v>
      </c>
      <c r="C211" t="s">
        <v>101</v>
      </c>
      <c r="D211" t="s">
        <v>102</v>
      </c>
      <c r="E211" s="1">
        <v>43858</v>
      </c>
      <c r="F211">
        <v>1</v>
      </c>
      <c r="G211" t="s">
        <v>35</v>
      </c>
      <c r="H211" t="s">
        <v>36</v>
      </c>
      <c r="I211" s="3">
        <v>1357</v>
      </c>
      <c r="J211" s="3">
        <v>1357</v>
      </c>
      <c r="K211" s="3">
        <v>442</v>
      </c>
      <c r="L211" t="s">
        <v>98</v>
      </c>
      <c r="M211">
        <v>3</v>
      </c>
      <c r="N211" t="s">
        <v>69</v>
      </c>
      <c r="O211" t="s">
        <v>70</v>
      </c>
      <c r="P211" t="s">
        <v>71</v>
      </c>
      <c r="Q211" t="s">
        <v>72</v>
      </c>
      <c r="R211" t="s">
        <v>139</v>
      </c>
      <c r="S211" t="s">
        <v>144</v>
      </c>
      <c r="T211" s="2">
        <f>MASTER[[#This Row],[CANTIDAD]]*MASTER[[#This Row],[PRECIO DE VENTA]]</f>
        <v>1357</v>
      </c>
      <c r="U211" s="2">
        <f>MASTER[[#This Row],[CANTIDAD]]*MASTER[[#This Row],[COSTO UNITARIO]]</f>
        <v>442</v>
      </c>
      <c r="V211" s="2">
        <f>MASTER[[#This Row],[MONTO VENDIDO]]-MASTER[[#This Row],[COSTO DE VENTA]]</f>
        <v>915</v>
      </c>
    </row>
    <row r="212" spans="1:22" x14ac:dyDescent="0.3">
      <c r="A212">
        <v>12597</v>
      </c>
      <c r="B212">
        <v>1</v>
      </c>
      <c r="C212" t="s">
        <v>121</v>
      </c>
      <c r="D212" t="s">
        <v>122</v>
      </c>
      <c r="E212" s="1">
        <v>43858</v>
      </c>
      <c r="F212">
        <v>1</v>
      </c>
      <c r="G212" t="s">
        <v>47</v>
      </c>
      <c r="H212" t="s">
        <v>48</v>
      </c>
      <c r="I212" s="3">
        <v>1069</v>
      </c>
      <c r="J212" s="3">
        <v>1069</v>
      </c>
      <c r="K212" s="3">
        <v>460</v>
      </c>
      <c r="L212" t="s">
        <v>120</v>
      </c>
      <c r="M212">
        <v>7</v>
      </c>
      <c r="N212" t="s">
        <v>84</v>
      </c>
      <c r="O212" t="s">
        <v>81</v>
      </c>
      <c r="P212" t="s">
        <v>12</v>
      </c>
      <c r="Q212" t="s">
        <v>13</v>
      </c>
      <c r="R212" t="s">
        <v>13</v>
      </c>
      <c r="S212" t="s">
        <v>144</v>
      </c>
      <c r="T212" s="2">
        <f>MASTER[[#This Row],[CANTIDAD]]*MASTER[[#This Row],[PRECIO DE VENTA]]</f>
        <v>1069</v>
      </c>
      <c r="U212" s="2">
        <f>MASTER[[#This Row],[CANTIDAD]]*MASTER[[#This Row],[COSTO UNITARIO]]</f>
        <v>460</v>
      </c>
      <c r="V212" s="2">
        <f>MASTER[[#This Row],[MONTO VENDIDO]]-MASTER[[#This Row],[COSTO DE VENTA]]</f>
        <v>609</v>
      </c>
    </row>
    <row r="213" spans="1:22" x14ac:dyDescent="0.3">
      <c r="A213">
        <v>12599</v>
      </c>
      <c r="B213">
        <v>1</v>
      </c>
      <c r="C213" t="s">
        <v>114</v>
      </c>
      <c r="D213" t="s">
        <v>115</v>
      </c>
      <c r="E213" s="1">
        <v>43858</v>
      </c>
      <c r="F213">
        <v>1</v>
      </c>
      <c r="G213" t="s">
        <v>55</v>
      </c>
      <c r="H213" t="s">
        <v>56</v>
      </c>
      <c r="I213" s="3">
        <v>2030</v>
      </c>
      <c r="J213" s="3">
        <v>2030</v>
      </c>
      <c r="K213" s="3">
        <v>394</v>
      </c>
      <c r="L213" t="s">
        <v>113</v>
      </c>
      <c r="M213">
        <v>9</v>
      </c>
      <c r="N213" t="s">
        <v>76</v>
      </c>
      <c r="O213" t="s">
        <v>70</v>
      </c>
      <c r="P213" t="s">
        <v>12</v>
      </c>
      <c r="Q213" t="s">
        <v>13</v>
      </c>
      <c r="R213" t="s">
        <v>13</v>
      </c>
      <c r="S213" t="s">
        <v>144</v>
      </c>
      <c r="T213" s="2">
        <f>MASTER[[#This Row],[CANTIDAD]]*MASTER[[#This Row],[PRECIO DE VENTA]]</f>
        <v>2030</v>
      </c>
      <c r="U213" s="2">
        <f>MASTER[[#This Row],[CANTIDAD]]*MASTER[[#This Row],[COSTO UNITARIO]]</f>
        <v>394</v>
      </c>
      <c r="V213" s="2">
        <f>MASTER[[#This Row],[MONTO VENDIDO]]-MASTER[[#This Row],[COSTO DE VENTA]]</f>
        <v>1636</v>
      </c>
    </row>
    <row r="214" spans="1:22" x14ac:dyDescent="0.3">
      <c r="A214">
        <v>12603</v>
      </c>
      <c r="B214">
        <v>1</v>
      </c>
      <c r="C214" t="s">
        <v>101</v>
      </c>
      <c r="D214" t="s">
        <v>102</v>
      </c>
      <c r="E214" s="1">
        <v>43858</v>
      </c>
      <c r="F214">
        <v>1</v>
      </c>
      <c r="G214" t="s">
        <v>67</v>
      </c>
      <c r="H214" t="s">
        <v>68</v>
      </c>
      <c r="I214" s="3">
        <v>1212</v>
      </c>
      <c r="J214" s="3">
        <v>1127</v>
      </c>
      <c r="K214" s="3">
        <v>442</v>
      </c>
      <c r="L214" t="s">
        <v>98</v>
      </c>
      <c r="M214">
        <v>8</v>
      </c>
      <c r="N214" t="s">
        <v>80</v>
      </c>
      <c r="O214" t="s">
        <v>81</v>
      </c>
      <c r="P214" t="s">
        <v>12</v>
      </c>
      <c r="Q214" t="s">
        <v>13</v>
      </c>
      <c r="R214" t="s">
        <v>13</v>
      </c>
      <c r="S214" t="s">
        <v>144</v>
      </c>
      <c r="T214" s="2">
        <f>MASTER[[#This Row],[CANTIDAD]]*MASTER[[#This Row],[PRECIO DE VENTA]]</f>
        <v>1127</v>
      </c>
      <c r="U214" s="2">
        <f>MASTER[[#This Row],[CANTIDAD]]*MASTER[[#This Row],[COSTO UNITARIO]]</f>
        <v>442</v>
      </c>
      <c r="V214" s="2">
        <f>MASTER[[#This Row],[MONTO VENDIDO]]-MASTER[[#This Row],[COSTO DE VENTA]]</f>
        <v>685</v>
      </c>
    </row>
    <row r="215" spans="1:22" x14ac:dyDescent="0.3">
      <c r="A215">
        <v>12628</v>
      </c>
      <c r="B215">
        <v>1</v>
      </c>
      <c r="C215" t="s">
        <v>107</v>
      </c>
      <c r="D215" t="s">
        <v>108</v>
      </c>
      <c r="E215" s="1">
        <v>43858</v>
      </c>
      <c r="F215">
        <v>4</v>
      </c>
      <c r="G215" t="s">
        <v>22</v>
      </c>
      <c r="H215" t="s">
        <v>23</v>
      </c>
      <c r="I215" s="3">
        <v>1440</v>
      </c>
      <c r="J215" s="3">
        <v>1440</v>
      </c>
      <c r="K215" s="3">
        <v>380</v>
      </c>
      <c r="L215" t="s">
        <v>98</v>
      </c>
      <c r="M215">
        <v>6</v>
      </c>
      <c r="N215" t="s">
        <v>75</v>
      </c>
      <c r="O215" t="s">
        <v>70</v>
      </c>
      <c r="P215" t="s">
        <v>12</v>
      </c>
      <c r="Q215" t="s">
        <v>13</v>
      </c>
      <c r="R215" t="s">
        <v>13</v>
      </c>
      <c r="S215" t="s">
        <v>144</v>
      </c>
      <c r="T215" s="2">
        <f>MASTER[[#This Row],[CANTIDAD]]*MASTER[[#This Row],[PRECIO DE VENTA]]</f>
        <v>5760</v>
      </c>
      <c r="U215" s="2">
        <f>MASTER[[#This Row],[CANTIDAD]]*MASTER[[#This Row],[COSTO UNITARIO]]</f>
        <v>1520</v>
      </c>
      <c r="V215" s="2">
        <f>MASTER[[#This Row],[MONTO VENDIDO]]-MASTER[[#This Row],[COSTO DE VENTA]]</f>
        <v>4240</v>
      </c>
    </row>
    <row r="216" spans="1:22" x14ac:dyDescent="0.3">
      <c r="A216">
        <v>12646</v>
      </c>
      <c r="B216">
        <v>1</v>
      </c>
      <c r="C216" t="s">
        <v>121</v>
      </c>
      <c r="D216" t="s">
        <v>122</v>
      </c>
      <c r="E216" s="1">
        <v>43858</v>
      </c>
      <c r="F216">
        <v>1</v>
      </c>
      <c r="G216" t="s">
        <v>49</v>
      </c>
      <c r="H216" t="s">
        <v>50</v>
      </c>
      <c r="I216" s="3">
        <v>1069</v>
      </c>
      <c r="J216" s="3">
        <v>1004</v>
      </c>
      <c r="K216" s="3">
        <v>460</v>
      </c>
      <c r="L216" t="s">
        <v>120</v>
      </c>
      <c r="M216">
        <v>4</v>
      </c>
      <c r="N216" t="s">
        <v>82</v>
      </c>
      <c r="O216" t="s">
        <v>81</v>
      </c>
      <c r="P216" t="s">
        <v>71</v>
      </c>
      <c r="Q216" t="s">
        <v>72</v>
      </c>
      <c r="R216" t="s">
        <v>139</v>
      </c>
      <c r="S216" t="s">
        <v>144</v>
      </c>
      <c r="T216" s="2">
        <f>MASTER[[#This Row],[CANTIDAD]]*MASTER[[#This Row],[PRECIO DE VENTA]]</f>
        <v>1004</v>
      </c>
      <c r="U216" s="2">
        <f>MASTER[[#This Row],[CANTIDAD]]*MASTER[[#This Row],[COSTO UNITARIO]]</f>
        <v>460</v>
      </c>
      <c r="V216" s="2">
        <f>MASTER[[#This Row],[MONTO VENDIDO]]-MASTER[[#This Row],[COSTO DE VENTA]]</f>
        <v>544</v>
      </c>
    </row>
    <row r="217" spans="1:22" x14ac:dyDescent="0.3">
      <c r="A217">
        <v>12648</v>
      </c>
      <c r="B217">
        <v>1</v>
      </c>
      <c r="C217" t="s">
        <v>105</v>
      </c>
      <c r="D217" t="s">
        <v>106</v>
      </c>
      <c r="E217" s="1">
        <v>43858</v>
      </c>
      <c r="F217">
        <v>1</v>
      </c>
      <c r="G217" t="s">
        <v>35</v>
      </c>
      <c r="H217" t="s">
        <v>36</v>
      </c>
      <c r="I217" s="3">
        <v>2033</v>
      </c>
      <c r="J217" s="3">
        <v>2033</v>
      </c>
      <c r="K217" s="3">
        <v>459</v>
      </c>
      <c r="L217" t="s">
        <v>98</v>
      </c>
      <c r="M217">
        <v>9</v>
      </c>
      <c r="N217" t="s">
        <v>76</v>
      </c>
      <c r="O217" t="s">
        <v>70</v>
      </c>
      <c r="P217" t="s">
        <v>12</v>
      </c>
      <c r="Q217" t="s">
        <v>13</v>
      </c>
      <c r="R217" t="s">
        <v>13</v>
      </c>
      <c r="S217" t="s">
        <v>144</v>
      </c>
      <c r="T217" s="2">
        <f>MASTER[[#This Row],[CANTIDAD]]*MASTER[[#This Row],[PRECIO DE VENTA]]</f>
        <v>2033</v>
      </c>
      <c r="U217" s="2">
        <f>MASTER[[#This Row],[CANTIDAD]]*MASTER[[#This Row],[COSTO UNITARIO]]</f>
        <v>459</v>
      </c>
      <c r="V217" s="2">
        <f>MASTER[[#This Row],[MONTO VENDIDO]]-MASTER[[#This Row],[COSTO DE VENTA]]</f>
        <v>1574</v>
      </c>
    </row>
    <row r="218" spans="1:22" x14ac:dyDescent="0.3">
      <c r="A218">
        <v>12683</v>
      </c>
      <c r="B218">
        <v>1</v>
      </c>
      <c r="C218" t="s">
        <v>109</v>
      </c>
      <c r="D218" t="s">
        <v>110</v>
      </c>
      <c r="E218" s="1">
        <v>43859</v>
      </c>
      <c r="F218">
        <v>1</v>
      </c>
      <c r="G218" t="s">
        <v>57</v>
      </c>
      <c r="H218" t="s">
        <v>58</v>
      </c>
      <c r="I218" s="3">
        <v>1128</v>
      </c>
      <c r="J218" s="3">
        <v>1128</v>
      </c>
      <c r="K218" s="3">
        <v>387</v>
      </c>
      <c r="L218" t="s">
        <v>98</v>
      </c>
      <c r="M218">
        <v>13</v>
      </c>
      <c r="N218" t="s">
        <v>78</v>
      </c>
      <c r="O218" t="s">
        <v>70</v>
      </c>
      <c r="P218" t="s">
        <v>18</v>
      </c>
      <c r="Q218" t="s">
        <v>19</v>
      </c>
      <c r="R218" t="s">
        <v>138</v>
      </c>
      <c r="S218" t="s">
        <v>144</v>
      </c>
      <c r="T218" s="2">
        <f>MASTER[[#This Row],[CANTIDAD]]*MASTER[[#This Row],[PRECIO DE VENTA]]</f>
        <v>1128</v>
      </c>
      <c r="U218" s="2">
        <f>MASTER[[#This Row],[CANTIDAD]]*MASTER[[#This Row],[COSTO UNITARIO]]</f>
        <v>387</v>
      </c>
      <c r="V218" s="2">
        <f>MASTER[[#This Row],[MONTO VENDIDO]]-MASTER[[#This Row],[COSTO DE VENTA]]</f>
        <v>741</v>
      </c>
    </row>
    <row r="219" spans="1:22" x14ac:dyDescent="0.3">
      <c r="A219">
        <v>12683</v>
      </c>
      <c r="B219">
        <v>2</v>
      </c>
      <c r="C219" t="s">
        <v>118</v>
      </c>
      <c r="D219" t="s">
        <v>119</v>
      </c>
      <c r="E219" s="1">
        <v>43859</v>
      </c>
      <c r="F219">
        <v>4</v>
      </c>
      <c r="G219" t="s">
        <v>33</v>
      </c>
      <c r="H219" t="s">
        <v>34</v>
      </c>
      <c r="I219" s="3">
        <v>1026</v>
      </c>
      <c r="J219" s="3">
        <v>1026</v>
      </c>
      <c r="K219" s="3">
        <v>424</v>
      </c>
      <c r="L219" t="s">
        <v>120</v>
      </c>
      <c r="M219">
        <v>13</v>
      </c>
      <c r="N219" t="s">
        <v>78</v>
      </c>
      <c r="O219" t="s">
        <v>70</v>
      </c>
      <c r="P219" t="s">
        <v>18</v>
      </c>
      <c r="Q219" t="s">
        <v>19</v>
      </c>
      <c r="R219" t="s">
        <v>138</v>
      </c>
      <c r="S219" t="s">
        <v>144</v>
      </c>
      <c r="T219" s="2">
        <f>MASTER[[#This Row],[CANTIDAD]]*MASTER[[#This Row],[PRECIO DE VENTA]]</f>
        <v>4104</v>
      </c>
      <c r="U219" s="2">
        <f>MASTER[[#This Row],[CANTIDAD]]*MASTER[[#This Row],[COSTO UNITARIO]]</f>
        <v>1696</v>
      </c>
      <c r="V219" s="2">
        <f>MASTER[[#This Row],[MONTO VENDIDO]]-MASTER[[#This Row],[COSTO DE VENTA]]</f>
        <v>2408</v>
      </c>
    </row>
    <row r="220" spans="1:22" x14ac:dyDescent="0.3">
      <c r="A220">
        <v>12708</v>
      </c>
      <c r="B220">
        <v>1</v>
      </c>
      <c r="C220" t="s">
        <v>121</v>
      </c>
      <c r="D220" t="s">
        <v>122</v>
      </c>
      <c r="E220" s="1">
        <v>43859</v>
      </c>
      <c r="F220">
        <v>1</v>
      </c>
      <c r="G220" t="s">
        <v>63</v>
      </c>
      <c r="H220" t="s">
        <v>64</v>
      </c>
      <c r="I220" s="3">
        <v>1069</v>
      </c>
      <c r="J220" s="3">
        <v>1069</v>
      </c>
      <c r="K220" s="3">
        <v>460</v>
      </c>
      <c r="L220" t="s">
        <v>120</v>
      </c>
      <c r="M220">
        <v>4</v>
      </c>
      <c r="N220" t="s">
        <v>82</v>
      </c>
      <c r="O220" t="s">
        <v>81</v>
      </c>
      <c r="P220" t="s">
        <v>71</v>
      </c>
      <c r="Q220" t="s">
        <v>72</v>
      </c>
      <c r="R220" t="s">
        <v>139</v>
      </c>
      <c r="S220" t="s">
        <v>144</v>
      </c>
      <c r="T220" s="2">
        <f>MASTER[[#This Row],[CANTIDAD]]*MASTER[[#This Row],[PRECIO DE VENTA]]</f>
        <v>1069</v>
      </c>
      <c r="U220" s="2">
        <f>MASTER[[#This Row],[CANTIDAD]]*MASTER[[#This Row],[COSTO UNITARIO]]</f>
        <v>460</v>
      </c>
      <c r="V220" s="2">
        <f>MASTER[[#This Row],[MONTO VENDIDO]]-MASTER[[#This Row],[COSTO DE VENTA]]</f>
        <v>609</v>
      </c>
    </row>
    <row r="221" spans="1:22" x14ac:dyDescent="0.3">
      <c r="A221">
        <v>12714</v>
      </c>
      <c r="B221">
        <v>1</v>
      </c>
      <c r="C221" t="s">
        <v>114</v>
      </c>
      <c r="D221" t="s">
        <v>115</v>
      </c>
      <c r="E221" s="1">
        <v>43859</v>
      </c>
      <c r="F221">
        <v>1</v>
      </c>
      <c r="G221" t="s">
        <v>53</v>
      </c>
      <c r="H221" t="s">
        <v>54</v>
      </c>
      <c r="I221" s="3">
        <v>2030</v>
      </c>
      <c r="J221" s="3">
        <v>2030</v>
      </c>
      <c r="K221" s="3">
        <v>394</v>
      </c>
      <c r="L221" t="s">
        <v>113</v>
      </c>
      <c r="M221">
        <v>6</v>
      </c>
      <c r="N221" t="s">
        <v>75</v>
      </c>
      <c r="O221" t="s">
        <v>70</v>
      </c>
      <c r="P221" t="s">
        <v>12</v>
      </c>
      <c r="Q221" t="s">
        <v>13</v>
      </c>
      <c r="R221" t="s">
        <v>13</v>
      </c>
      <c r="S221" t="s">
        <v>144</v>
      </c>
      <c r="T221" s="2">
        <f>MASTER[[#This Row],[CANTIDAD]]*MASTER[[#This Row],[PRECIO DE VENTA]]</f>
        <v>2030</v>
      </c>
      <c r="U221" s="2">
        <f>MASTER[[#This Row],[CANTIDAD]]*MASTER[[#This Row],[COSTO UNITARIO]]</f>
        <v>394</v>
      </c>
      <c r="V221" s="2">
        <f>MASTER[[#This Row],[MONTO VENDIDO]]-MASTER[[#This Row],[COSTO DE VENTA]]</f>
        <v>1636</v>
      </c>
    </row>
    <row r="222" spans="1:22" x14ac:dyDescent="0.3">
      <c r="A222">
        <v>12720</v>
      </c>
      <c r="B222">
        <v>1</v>
      </c>
      <c r="C222" t="s">
        <v>111</v>
      </c>
      <c r="D222" t="s">
        <v>112</v>
      </c>
      <c r="E222" s="1">
        <v>43859</v>
      </c>
      <c r="F222">
        <v>1</v>
      </c>
      <c r="G222" t="s">
        <v>49</v>
      </c>
      <c r="H222" t="s">
        <v>50</v>
      </c>
      <c r="I222" s="3">
        <v>1799</v>
      </c>
      <c r="J222" s="3">
        <v>1799</v>
      </c>
      <c r="K222" s="3">
        <v>434</v>
      </c>
      <c r="L222" t="s">
        <v>113</v>
      </c>
      <c r="M222">
        <v>6</v>
      </c>
      <c r="N222" t="s">
        <v>75</v>
      </c>
      <c r="O222" t="s">
        <v>70</v>
      </c>
      <c r="P222" t="s">
        <v>12</v>
      </c>
      <c r="Q222" t="s">
        <v>13</v>
      </c>
      <c r="R222" t="s">
        <v>13</v>
      </c>
      <c r="S222" t="s">
        <v>144</v>
      </c>
      <c r="T222" s="2">
        <f>MASTER[[#This Row],[CANTIDAD]]*MASTER[[#This Row],[PRECIO DE VENTA]]</f>
        <v>1799</v>
      </c>
      <c r="U222" s="2">
        <f>MASTER[[#This Row],[CANTIDAD]]*MASTER[[#This Row],[COSTO UNITARIO]]</f>
        <v>434</v>
      </c>
      <c r="V222" s="2">
        <f>MASTER[[#This Row],[MONTO VENDIDO]]-MASTER[[#This Row],[COSTO DE VENTA]]</f>
        <v>1365</v>
      </c>
    </row>
    <row r="223" spans="1:22" x14ac:dyDescent="0.3">
      <c r="A223">
        <v>12723</v>
      </c>
      <c r="B223">
        <v>1</v>
      </c>
      <c r="C223" t="s">
        <v>111</v>
      </c>
      <c r="D223" t="s">
        <v>112</v>
      </c>
      <c r="E223" s="1">
        <v>43860</v>
      </c>
      <c r="F223">
        <v>1</v>
      </c>
      <c r="G223" t="s">
        <v>27</v>
      </c>
      <c r="H223" t="s">
        <v>28</v>
      </c>
      <c r="I223" s="3">
        <v>1524</v>
      </c>
      <c r="J223" s="3">
        <v>1524</v>
      </c>
      <c r="K223" s="3">
        <v>434</v>
      </c>
      <c r="L223" t="s">
        <v>113</v>
      </c>
      <c r="M223">
        <v>17</v>
      </c>
      <c r="N223" t="s">
        <v>14</v>
      </c>
      <c r="O223" t="s">
        <v>11</v>
      </c>
      <c r="P223" t="s">
        <v>15</v>
      </c>
      <c r="Q223" t="s">
        <v>16</v>
      </c>
      <c r="R223" t="s">
        <v>16</v>
      </c>
      <c r="S223" t="s">
        <v>144</v>
      </c>
      <c r="T223" s="2">
        <f>MASTER[[#This Row],[CANTIDAD]]*MASTER[[#This Row],[PRECIO DE VENTA]]</f>
        <v>1524</v>
      </c>
      <c r="U223" s="2">
        <f>MASTER[[#This Row],[CANTIDAD]]*MASTER[[#This Row],[COSTO UNITARIO]]</f>
        <v>434</v>
      </c>
      <c r="V223" s="2">
        <f>MASTER[[#This Row],[MONTO VENDIDO]]-MASTER[[#This Row],[COSTO DE VENTA]]</f>
        <v>1090</v>
      </c>
    </row>
    <row r="224" spans="1:22" x14ac:dyDescent="0.3">
      <c r="A224">
        <v>12743</v>
      </c>
      <c r="B224">
        <v>1</v>
      </c>
      <c r="C224" t="s">
        <v>105</v>
      </c>
      <c r="D224" t="s">
        <v>106</v>
      </c>
      <c r="E224" s="1">
        <v>43860</v>
      </c>
      <c r="F224">
        <v>1</v>
      </c>
      <c r="G224" t="s">
        <v>51</v>
      </c>
      <c r="H224" t="s">
        <v>52</v>
      </c>
      <c r="I224" s="3">
        <v>2033</v>
      </c>
      <c r="J224" s="3">
        <v>2033</v>
      </c>
      <c r="K224" s="3">
        <v>459</v>
      </c>
      <c r="L224" t="s">
        <v>98</v>
      </c>
      <c r="M224">
        <v>9</v>
      </c>
      <c r="N224" t="s">
        <v>76</v>
      </c>
      <c r="O224" t="s">
        <v>70</v>
      </c>
      <c r="P224" t="s">
        <v>12</v>
      </c>
      <c r="Q224" t="s">
        <v>13</v>
      </c>
      <c r="R224" t="s">
        <v>13</v>
      </c>
      <c r="S224" t="s">
        <v>144</v>
      </c>
      <c r="T224" s="2">
        <f>MASTER[[#This Row],[CANTIDAD]]*MASTER[[#This Row],[PRECIO DE VENTA]]</f>
        <v>2033</v>
      </c>
      <c r="U224" s="2">
        <f>MASTER[[#This Row],[CANTIDAD]]*MASTER[[#This Row],[COSTO UNITARIO]]</f>
        <v>459</v>
      </c>
      <c r="V224" s="2">
        <f>MASTER[[#This Row],[MONTO VENDIDO]]-MASTER[[#This Row],[COSTO DE VENTA]]</f>
        <v>1574</v>
      </c>
    </row>
    <row r="225" spans="1:22" x14ac:dyDescent="0.3">
      <c r="A225">
        <v>12786</v>
      </c>
      <c r="B225">
        <v>1</v>
      </c>
      <c r="C225" t="s">
        <v>94</v>
      </c>
      <c r="D225" t="s">
        <v>95</v>
      </c>
      <c r="E225" s="1">
        <v>43860</v>
      </c>
      <c r="F225">
        <v>1</v>
      </c>
      <c r="G225" t="s">
        <v>27</v>
      </c>
      <c r="H225" t="s">
        <v>28</v>
      </c>
      <c r="I225" s="3">
        <v>1048</v>
      </c>
      <c r="J225" s="3">
        <v>1048</v>
      </c>
      <c r="K225" s="3">
        <v>392</v>
      </c>
      <c r="L225" t="s">
        <v>9</v>
      </c>
      <c r="M225">
        <v>10</v>
      </c>
      <c r="N225" t="s">
        <v>83</v>
      </c>
      <c r="O225" t="s">
        <v>81</v>
      </c>
      <c r="P225" t="s">
        <v>12</v>
      </c>
      <c r="Q225" t="s">
        <v>13</v>
      </c>
      <c r="R225" t="s">
        <v>13</v>
      </c>
      <c r="S225" t="s">
        <v>144</v>
      </c>
      <c r="T225" s="2">
        <f>MASTER[[#This Row],[CANTIDAD]]*MASTER[[#This Row],[PRECIO DE VENTA]]</f>
        <v>1048</v>
      </c>
      <c r="U225" s="2">
        <f>MASTER[[#This Row],[CANTIDAD]]*MASTER[[#This Row],[COSTO UNITARIO]]</f>
        <v>392</v>
      </c>
      <c r="V225" s="2">
        <f>MASTER[[#This Row],[MONTO VENDIDO]]-MASTER[[#This Row],[COSTO DE VENTA]]</f>
        <v>656</v>
      </c>
    </row>
    <row r="226" spans="1:22" x14ac:dyDescent="0.3">
      <c r="A226">
        <v>12789</v>
      </c>
      <c r="B226">
        <v>1</v>
      </c>
      <c r="C226" t="s">
        <v>101</v>
      </c>
      <c r="D226" t="s">
        <v>102</v>
      </c>
      <c r="E226" s="1">
        <v>43860</v>
      </c>
      <c r="F226">
        <v>1</v>
      </c>
      <c r="G226" t="s">
        <v>24</v>
      </c>
      <c r="H226" t="s">
        <v>25</v>
      </c>
      <c r="I226" s="3">
        <v>1054</v>
      </c>
      <c r="J226" s="3">
        <v>1054</v>
      </c>
      <c r="K226" s="3">
        <v>442</v>
      </c>
      <c r="L226" t="s">
        <v>98</v>
      </c>
      <c r="M226">
        <v>17</v>
      </c>
      <c r="N226" t="s">
        <v>14</v>
      </c>
      <c r="O226" t="s">
        <v>11</v>
      </c>
      <c r="P226" t="s">
        <v>15</v>
      </c>
      <c r="Q226" t="s">
        <v>16</v>
      </c>
      <c r="R226" t="s">
        <v>16</v>
      </c>
      <c r="S226" t="s">
        <v>144</v>
      </c>
      <c r="T226" s="2">
        <f>MASTER[[#This Row],[CANTIDAD]]*MASTER[[#This Row],[PRECIO DE VENTA]]</f>
        <v>1054</v>
      </c>
      <c r="U226" s="2">
        <f>MASTER[[#This Row],[CANTIDAD]]*MASTER[[#This Row],[COSTO UNITARIO]]</f>
        <v>442</v>
      </c>
      <c r="V226" s="2">
        <f>MASTER[[#This Row],[MONTO VENDIDO]]-MASTER[[#This Row],[COSTO DE VENTA]]</f>
        <v>612</v>
      </c>
    </row>
    <row r="227" spans="1:22" x14ac:dyDescent="0.3">
      <c r="A227">
        <v>12791</v>
      </c>
      <c r="B227">
        <v>1</v>
      </c>
      <c r="C227" t="s">
        <v>107</v>
      </c>
      <c r="D227" t="s">
        <v>108</v>
      </c>
      <c r="E227" s="1">
        <v>43860</v>
      </c>
      <c r="F227">
        <v>1</v>
      </c>
      <c r="G227" t="s">
        <v>33</v>
      </c>
      <c r="H227" t="s">
        <v>34</v>
      </c>
      <c r="I227" s="3">
        <v>1440</v>
      </c>
      <c r="J227" s="3">
        <v>1440</v>
      </c>
      <c r="K227" s="3">
        <v>380</v>
      </c>
      <c r="L227" t="s">
        <v>98</v>
      </c>
      <c r="M227">
        <v>6</v>
      </c>
      <c r="N227" t="s">
        <v>75</v>
      </c>
      <c r="O227" t="s">
        <v>70</v>
      </c>
      <c r="P227" t="s">
        <v>12</v>
      </c>
      <c r="Q227" t="s">
        <v>13</v>
      </c>
      <c r="R227" t="s">
        <v>13</v>
      </c>
      <c r="S227" t="s">
        <v>144</v>
      </c>
      <c r="T227" s="2">
        <f>MASTER[[#This Row],[CANTIDAD]]*MASTER[[#This Row],[PRECIO DE VENTA]]</f>
        <v>1440</v>
      </c>
      <c r="U227" s="2">
        <f>MASTER[[#This Row],[CANTIDAD]]*MASTER[[#This Row],[COSTO UNITARIO]]</f>
        <v>380</v>
      </c>
      <c r="V227" s="2">
        <f>MASTER[[#This Row],[MONTO VENDIDO]]-MASTER[[#This Row],[COSTO DE VENTA]]</f>
        <v>1060</v>
      </c>
    </row>
    <row r="228" spans="1:22" x14ac:dyDescent="0.3">
      <c r="A228">
        <v>12802</v>
      </c>
      <c r="B228">
        <v>1</v>
      </c>
      <c r="C228" t="s">
        <v>114</v>
      </c>
      <c r="D228" t="s">
        <v>115</v>
      </c>
      <c r="E228" s="1">
        <v>43860</v>
      </c>
      <c r="F228">
        <v>1</v>
      </c>
      <c r="G228" t="s">
        <v>47</v>
      </c>
      <c r="H228" t="s">
        <v>48</v>
      </c>
      <c r="I228" s="3">
        <v>2030</v>
      </c>
      <c r="J228" s="3">
        <v>2030</v>
      </c>
      <c r="K228" s="3">
        <v>394</v>
      </c>
      <c r="L228" t="s">
        <v>113</v>
      </c>
      <c r="M228">
        <v>13</v>
      </c>
      <c r="N228" t="s">
        <v>78</v>
      </c>
      <c r="O228" t="s">
        <v>70</v>
      </c>
      <c r="P228" t="s">
        <v>18</v>
      </c>
      <c r="Q228" t="s">
        <v>19</v>
      </c>
      <c r="R228" t="s">
        <v>138</v>
      </c>
      <c r="S228" t="s">
        <v>144</v>
      </c>
      <c r="T228" s="2">
        <f>MASTER[[#This Row],[CANTIDAD]]*MASTER[[#This Row],[PRECIO DE VENTA]]</f>
        <v>2030</v>
      </c>
      <c r="U228" s="2">
        <f>MASTER[[#This Row],[CANTIDAD]]*MASTER[[#This Row],[COSTO UNITARIO]]</f>
        <v>394</v>
      </c>
      <c r="V228" s="2">
        <f>MASTER[[#This Row],[MONTO VENDIDO]]-MASTER[[#This Row],[COSTO DE VENTA]]</f>
        <v>1636</v>
      </c>
    </row>
    <row r="229" spans="1:22" x14ac:dyDescent="0.3">
      <c r="A229">
        <v>12804</v>
      </c>
      <c r="B229">
        <v>1</v>
      </c>
      <c r="C229" t="s">
        <v>5</v>
      </c>
      <c r="D229" t="s">
        <v>6</v>
      </c>
      <c r="E229" s="1">
        <v>43860</v>
      </c>
      <c r="F229">
        <v>1</v>
      </c>
      <c r="G229" t="s">
        <v>41</v>
      </c>
      <c r="H229" t="s">
        <v>42</v>
      </c>
      <c r="I229" s="3">
        <v>1507</v>
      </c>
      <c r="J229" s="3">
        <v>1507</v>
      </c>
      <c r="K229" s="3">
        <v>393</v>
      </c>
      <c r="L229" t="s">
        <v>9</v>
      </c>
      <c r="M229">
        <v>5</v>
      </c>
      <c r="N229" t="s">
        <v>85</v>
      </c>
      <c r="O229" t="s">
        <v>81</v>
      </c>
      <c r="P229" t="s">
        <v>12</v>
      </c>
      <c r="Q229" t="s">
        <v>13</v>
      </c>
      <c r="R229" t="s">
        <v>13</v>
      </c>
      <c r="S229" t="s">
        <v>144</v>
      </c>
      <c r="T229" s="2">
        <f>MASTER[[#This Row],[CANTIDAD]]*MASTER[[#This Row],[PRECIO DE VENTA]]</f>
        <v>1507</v>
      </c>
      <c r="U229" s="2">
        <f>MASTER[[#This Row],[CANTIDAD]]*MASTER[[#This Row],[COSTO UNITARIO]]</f>
        <v>393</v>
      </c>
      <c r="V229" s="2">
        <f>MASTER[[#This Row],[MONTO VENDIDO]]-MASTER[[#This Row],[COSTO DE VENTA]]</f>
        <v>1114</v>
      </c>
    </row>
    <row r="230" spans="1:22" x14ac:dyDescent="0.3">
      <c r="A230">
        <v>12831</v>
      </c>
      <c r="B230">
        <v>1</v>
      </c>
      <c r="C230" t="s">
        <v>114</v>
      </c>
      <c r="D230" t="s">
        <v>115</v>
      </c>
      <c r="E230" s="1">
        <v>43861</v>
      </c>
      <c r="F230">
        <v>1</v>
      </c>
      <c r="G230" t="s">
        <v>47</v>
      </c>
      <c r="H230" t="s">
        <v>48</v>
      </c>
      <c r="I230" s="3">
        <v>2030</v>
      </c>
      <c r="J230" s="3">
        <v>2030</v>
      </c>
      <c r="K230" s="3">
        <v>394</v>
      </c>
      <c r="L230" t="s">
        <v>113</v>
      </c>
      <c r="M230">
        <v>3</v>
      </c>
      <c r="N230" t="s">
        <v>69</v>
      </c>
      <c r="O230" t="s">
        <v>70</v>
      </c>
      <c r="P230" t="s">
        <v>71</v>
      </c>
      <c r="Q230" t="s">
        <v>72</v>
      </c>
      <c r="R230" t="s">
        <v>139</v>
      </c>
      <c r="S230" t="s">
        <v>144</v>
      </c>
      <c r="T230" s="2">
        <f>MASTER[[#This Row],[CANTIDAD]]*MASTER[[#This Row],[PRECIO DE VENTA]]</f>
        <v>2030</v>
      </c>
      <c r="U230" s="2">
        <f>MASTER[[#This Row],[CANTIDAD]]*MASTER[[#This Row],[COSTO UNITARIO]]</f>
        <v>394</v>
      </c>
      <c r="V230" s="2">
        <f>MASTER[[#This Row],[MONTO VENDIDO]]-MASTER[[#This Row],[COSTO DE VENTA]]</f>
        <v>1636</v>
      </c>
    </row>
    <row r="231" spans="1:22" x14ac:dyDescent="0.3">
      <c r="A231">
        <v>12844</v>
      </c>
      <c r="B231">
        <v>1</v>
      </c>
      <c r="C231" t="s">
        <v>92</v>
      </c>
      <c r="D231" t="s">
        <v>93</v>
      </c>
      <c r="E231" s="1">
        <v>43861</v>
      </c>
      <c r="F231">
        <v>1</v>
      </c>
      <c r="G231" t="s">
        <v>65</v>
      </c>
      <c r="H231" t="s">
        <v>66</v>
      </c>
      <c r="I231" s="3">
        <v>1479</v>
      </c>
      <c r="J231" s="3">
        <v>1479</v>
      </c>
      <c r="K231" s="3">
        <v>396</v>
      </c>
      <c r="L231" t="s">
        <v>9</v>
      </c>
      <c r="M231">
        <v>11</v>
      </c>
      <c r="N231" t="s">
        <v>10</v>
      </c>
      <c r="O231" t="s">
        <v>11</v>
      </c>
      <c r="P231" t="s">
        <v>12</v>
      </c>
      <c r="Q231" t="s">
        <v>13</v>
      </c>
      <c r="R231" t="s">
        <v>13</v>
      </c>
      <c r="S231" t="s">
        <v>144</v>
      </c>
      <c r="T231" s="2">
        <f>MASTER[[#This Row],[CANTIDAD]]*MASTER[[#This Row],[PRECIO DE VENTA]]</f>
        <v>1479</v>
      </c>
      <c r="U231" s="2">
        <f>MASTER[[#This Row],[CANTIDAD]]*MASTER[[#This Row],[COSTO UNITARIO]]</f>
        <v>396</v>
      </c>
      <c r="V231" s="2">
        <f>MASTER[[#This Row],[MONTO VENDIDO]]-MASTER[[#This Row],[COSTO DE VENTA]]</f>
        <v>1083</v>
      </c>
    </row>
    <row r="232" spans="1:22" x14ac:dyDescent="0.3">
      <c r="A232">
        <v>12851</v>
      </c>
      <c r="B232">
        <v>1</v>
      </c>
      <c r="C232" t="s">
        <v>114</v>
      </c>
      <c r="D232" t="s">
        <v>115</v>
      </c>
      <c r="E232" s="1">
        <v>43861</v>
      </c>
      <c r="F232">
        <v>1</v>
      </c>
      <c r="G232" t="s">
        <v>7</v>
      </c>
      <c r="H232" t="s">
        <v>8</v>
      </c>
      <c r="I232" s="3">
        <v>2030</v>
      </c>
      <c r="J232" s="3">
        <v>2030</v>
      </c>
      <c r="K232" s="3">
        <v>394</v>
      </c>
      <c r="L232" t="s">
        <v>113</v>
      </c>
      <c r="M232">
        <v>1</v>
      </c>
      <c r="N232" t="s">
        <v>77</v>
      </c>
      <c r="O232" t="s">
        <v>70</v>
      </c>
      <c r="P232" t="s">
        <v>71</v>
      </c>
      <c r="Q232" t="s">
        <v>72</v>
      </c>
      <c r="R232" t="s">
        <v>139</v>
      </c>
      <c r="S232" t="s">
        <v>144</v>
      </c>
      <c r="T232" s="2">
        <f>MASTER[[#This Row],[CANTIDAD]]*MASTER[[#This Row],[PRECIO DE VENTA]]</f>
        <v>2030</v>
      </c>
      <c r="U232" s="2">
        <f>MASTER[[#This Row],[CANTIDAD]]*MASTER[[#This Row],[COSTO UNITARIO]]</f>
        <v>394</v>
      </c>
      <c r="V232" s="2">
        <f>MASTER[[#This Row],[MONTO VENDIDO]]-MASTER[[#This Row],[COSTO DE VENTA]]</f>
        <v>1636</v>
      </c>
    </row>
    <row r="233" spans="1:22" x14ac:dyDescent="0.3">
      <c r="A233">
        <v>12858</v>
      </c>
      <c r="B233">
        <v>1</v>
      </c>
      <c r="C233" t="s">
        <v>90</v>
      </c>
      <c r="D233" t="s">
        <v>91</v>
      </c>
      <c r="E233" s="1">
        <v>43861</v>
      </c>
      <c r="F233">
        <v>3</v>
      </c>
      <c r="G233" t="s">
        <v>35</v>
      </c>
      <c r="H233" t="s">
        <v>36</v>
      </c>
      <c r="I233" s="3">
        <v>1844</v>
      </c>
      <c r="J233" s="3">
        <v>1844</v>
      </c>
      <c r="K233" s="3">
        <v>420</v>
      </c>
      <c r="L233" t="s">
        <v>9</v>
      </c>
      <c r="M233">
        <v>7</v>
      </c>
      <c r="N233" t="s">
        <v>84</v>
      </c>
      <c r="O233" t="s">
        <v>81</v>
      </c>
      <c r="P233" t="s">
        <v>12</v>
      </c>
      <c r="Q233" t="s">
        <v>13</v>
      </c>
      <c r="R233" t="s">
        <v>13</v>
      </c>
      <c r="S233" t="s">
        <v>144</v>
      </c>
      <c r="T233" s="2">
        <f>MASTER[[#This Row],[CANTIDAD]]*MASTER[[#This Row],[PRECIO DE VENTA]]</f>
        <v>5532</v>
      </c>
      <c r="U233" s="2">
        <f>MASTER[[#This Row],[CANTIDAD]]*MASTER[[#This Row],[COSTO UNITARIO]]</f>
        <v>1260</v>
      </c>
      <c r="V233" s="2">
        <f>MASTER[[#This Row],[MONTO VENDIDO]]-MASTER[[#This Row],[COSTO DE VENTA]]</f>
        <v>4272</v>
      </c>
    </row>
    <row r="234" spans="1:22" x14ac:dyDescent="0.3">
      <c r="A234">
        <v>12876</v>
      </c>
      <c r="B234">
        <v>1</v>
      </c>
      <c r="C234" t="s">
        <v>116</v>
      </c>
      <c r="D234" t="s">
        <v>117</v>
      </c>
      <c r="E234" s="1">
        <v>43861</v>
      </c>
      <c r="F234">
        <v>1</v>
      </c>
      <c r="G234" t="s">
        <v>39</v>
      </c>
      <c r="H234" t="s">
        <v>40</v>
      </c>
      <c r="I234" s="3">
        <v>1738</v>
      </c>
      <c r="J234" s="3">
        <v>1738</v>
      </c>
      <c r="K234" s="3">
        <v>388</v>
      </c>
      <c r="L234" t="s">
        <v>113</v>
      </c>
      <c r="M234">
        <v>5</v>
      </c>
      <c r="N234" t="s">
        <v>85</v>
      </c>
      <c r="O234" t="s">
        <v>81</v>
      </c>
      <c r="P234" t="s">
        <v>12</v>
      </c>
      <c r="Q234" t="s">
        <v>13</v>
      </c>
      <c r="R234" t="s">
        <v>13</v>
      </c>
      <c r="S234" t="s">
        <v>144</v>
      </c>
      <c r="T234" s="2">
        <f>MASTER[[#This Row],[CANTIDAD]]*MASTER[[#This Row],[PRECIO DE VENTA]]</f>
        <v>1738</v>
      </c>
      <c r="U234" s="2">
        <f>MASTER[[#This Row],[CANTIDAD]]*MASTER[[#This Row],[COSTO UNITARIO]]</f>
        <v>388</v>
      </c>
      <c r="V234" s="2">
        <f>MASTER[[#This Row],[MONTO VENDIDO]]-MASTER[[#This Row],[COSTO DE VENTA]]</f>
        <v>1350</v>
      </c>
    </row>
    <row r="235" spans="1:22" x14ac:dyDescent="0.3">
      <c r="A235">
        <v>12889</v>
      </c>
      <c r="B235">
        <v>1</v>
      </c>
      <c r="C235" t="s">
        <v>118</v>
      </c>
      <c r="D235" t="s">
        <v>119</v>
      </c>
      <c r="E235" s="1">
        <v>43861</v>
      </c>
      <c r="F235">
        <v>1</v>
      </c>
      <c r="G235" t="s">
        <v>37</v>
      </c>
      <c r="H235" t="s">
        <v>38</v>
      </c>
      <c r="I235" s="3">
        <v>900</v>
      </c>
      <c r="J235" s="3">
        <v>900</v>
      </c>
      <c r="K235" s="3">
        <v>424</v>
      </c>
      <c r="L235" t="s">
        <v>120</v>
      </c>
      <c r="M235">
        <v>14</v>
      </c>
      <c r="N235" t="s">
        <v>87</v>
      </c>
      <c r="O235" t="s">
        <v>81</v>
      </c>
      <c r="P235" t="s">
        <v>18</v>
      </c>
      <c r="Q235" t="s">
        <v>19</v>
      </c>
      <c r="R235" t="s">
        <v>138</v>
      </c>
      <c r="S235" t="s">
        <v>144</v>
      </c>
      <c r="T235" s="2">
        <f>MASTER[[#This Row],[CANTIDAD]]*MASTER[[#This Row],[PRECIO DE VENTA]]</f>
        <v>900</v>
      </c>
      <c r="U235" s="2">
        <f>MASTER[[#This Row],[CANTIDAD]]*MASTER[[#This Row],[COSTO UNITARIO]]</f>
        <v>424</v>
      </c>
      <c r="V235" s="2">
        <f>MASTER[[#This Row],[MONTO VENDIDO]]-MASTER[[#This Row],[COSTO DE VENTA]]</f>
        <v>476</v>
      </c>
    </row>
    <row r="236" spans="1:22" x14ac:dyDescent="0.3">
      <c r="A236">
        <v>12944</v>
      </c>
      <c r="B236">
        <v>1</v>
      </c>
      <c r="C236" t="s">
        <v>92</v>
      </c>
      <c r="D236" t="s">
        <v>93</v>
      </c>
      <c r="E236" s="1">
        <v>43861</v>
      </c>
      <c r="F236">
        <v>1</v>
      </c>
      <c r="G236" t="s">
        <v>31</v>
      </c>
      <c r="H236" t="s">
        <v>32</v>
      </c>
      <c r="I236" s="3">
        <v>1681</v>
      </c>
      <c r="J236" s="3">
        <v>1681</v>
      </c>
      <c r="K236" s="3">
        <v>396</v>
      </c>
      <c r="L236" t="s">
        <v>9</v>
      </c>
      <c r="M236">
        <v>5</v>
      </c>
      <c r="N236" t="s">
        <v>85</v>
      </c>
      <c r="O236" t="s">
        <v>81</v>
      </c>
      <c r="P236" t="s">
        <v>12</v>
      </c>
      <c r="Q236" t="s">
        <v>13</v>
      </c>
      <c r="R236" t="s">
        <v>13</v>
      </c>
      <c r="S236" t="s">
        <v>144</v>
      </c>
      <c r="T236" s="2">
        <f>MASTER[[#This Row],[CANTIDAD]]*MASTER[[#This Row],[PRECIO DE VENTA]]</f>
        <v>1681</v>
      </c>
      <c r="U236" s="2">
        <f>MASTER[[#This Row],[CANTIDAD]]*MASTER[[#This Row],[COSTO UNITARIO]]</f>
        <v>396</v>
      </c>
      <c r="V236" s="2">
        <f>MASTER[[#This Row],[MONTO VENDIDO]]-MASTER[[#This Row],[COSTO DE VENTA]]</f>
        <v>1285</v>
      </c>
    </row>
    <row r="237" spans="1:22" x14ac:dyDescent="0.3">
      <c r="A237">
        <v>12950</v>
      </c>
      <c r="B237">
        <v>1</v>
      </c>
      <c r="C237" t="s">
        <v>107</v>
      </c>
      <c r="D237" t="s">
        <v>108</v>
      </c>
      <c r="E237" s="1">
        <v>43861</v>
      </c>
      <c r="F237">
        <v>1</v>
      </c>
      <c r="G237" t="s">
        <v>45</v>
      </c>
      <c r="H237" t="s">
        <v>46</v>
      </c>
      <c r="I237" s="3">
        <v>1240</v>
      </c>
      <c r="J237" s="3">
        <v>1240</v>
      </c>
      <c r="K237" s="3">
        <v>380</v>
      </c>
      <c r="L237" t="s">
        <v>98</v>
      </c>
      <c r="M237">
        <v>12</v>
      </c>
      <c r="N237" t="s">
        <v>26</v>
      </c>
      <c r="O237" t="s">
        <v>11</v>
      </c>
      <c r="P237" t="s">
        <v>12</v>
      </c>
      <c r="Q237" t="s">
        <v>13</v>
      </c>
      <c r="R237" t="s">
        <v>13</v>
      </c>
      <c r="S237" t="s">
        <v>144</v>
      </c>
      <c r="T237" s="2">
        <f>MASTER[[#This Row],[CANTIDAD]]*MASTER[[#This Row],[PRECIO DE VENTA]]</f>
        <v>1240</v>
      </c>
      <c r="U237" s="2">
        <f>MASTER[[#This Row],[CANTIDAD]]*MASTER[[#This Row],[COSTO UNITARIO]]</f>
        <v>380</v>
      </c>
      <c r="V237" s="2">
        <f>MASTER[[#This Row],[MONTO VENDIDO]]-MASTER[[#This Row],[COSTO DE VENTA]]</f>
        <v>860</v>
      </c>
    </row>
    <row r="238" spans="1:22" x14ac:dyDescent="0.3">
      <c r="A238">
        <v>12950</v>
      </c>
      <c r="B238">
        <v>2</v>
      </c>
      <c r="C238" t="s">
        <v>116</v>
      </c>
      <c r="D238" t="s">
        <v>117</v>
      </c>
      <c r="E238" s="1">
        <v>43861</v>
      </c>
      <c r="F238">
        <v>1</v>
      </c>
      <c r="G238" t="s">
        <v>27</v>
      </c>
      <c r="H238" t="s">
        <v>28</v>
      </c>
      <c r="I238" s="3">
        <v>1529</v>
      </c>
      <c r="J238" s="3">
        <v>1529</v>
      </c>
      <c r="K238" s="3">
        <v>388</v>
      </c>
      <c r="L238" t="s">
        <v>113</v>
      </c>
      <c r="M238">
        <v>12</v>
      </c>
      <c r="N238" t="s">
        <v>26</v>
      </c>
      <c r="O238" t="s">
        <v>11</v>
      </c>
      <c r="P238" t="s">
        <v>12</v>
      </c>
      <c r="Q238" t="s">
        <v>13</v>
      </c>
      <c r="R238" t="s">
        <v>13</v>
      </c>
      <c r="S238" t="s">
        <v>144</v>
      </c>
      <c r="T238" s="2">
        <f>MASTER[[#This Row],[CANTIDAD]]*MASTER[[#This Row],[PRECIO DE VENTA]]</f>
        <v>1529</v>
      </c>
      <c r="U238" s="2">
        <f>MASTER[[#This Row],[CANTIDAD]]*MASTER[[#This Row],[COSTO UNITARIO]]</f>
        <v>388</v>
      </c>
      <c r="V238" s="2">
        <f>MASTER[[#This Row],[MONTO VENDIDO]]-MASTER[[#This Row],[COSTO DE VENTA]]</f>
        <v>1141</v>
      </c>
    </row>
    <row r="239" spans="1:22" x14ac:dyDescent="0.3">
      <c r="A239">
        <v>12981</v>
      </c>
      <c r="B239">
        <v>1</v>
      </c>
      <c r="C239" t="s">
        <v>114</v>
      </c>
      <c r="D239" t="s">
        <v>115</v>
      </c>
      <c r="E239" s="1">
        <v>43861</v>
      </c>
      <c r="F239">
        <v>1</v>
      </c>
      <c r="G239" t="s">
        <v>61</v>
      </c>
      <c r="H239" t="s">
        <v>62</v>
      </c>
      <c r="I239" s="3">
        <v>1862</v>
      </c>
      <c r="J239" s="3">
        <v>1862</v>
      </c>
      <c r="K239" s="3">
        <v>394</v>
      </c>
      <c r="L239" t="s">
        <v>113</v>
      </c>
      <c r="M239">
        <v>10</v>
      </c>
      <c r="N239" t="s">
        <v>83</v>
      </c>
      <c r="O239" t="s">
        <v>81</v>
      </c>
      <c r="P239" t="s">
        <v>12</v>
      </c>
      <c r="Q239" t="s">
        <v>13</v>
      </c>
      <c r="R239" t="s">
        <v>13</v>
      </c>
      <c r="S239" t="s">
        <v>144</v>
      </c>
      <c r="T239" s="2">
        <f>MASTER[[#This Row],[CANTIDAD]]*MASTER[[#This Row],[PRECIO DE VENTA]]</f>
        <v>1862</v>
      </c>
      <c r="U239" s="2">
        <f>MASTER[[#This Row],[CANTIDAD]]*MASTER[[#This Row],[COSTO UNITARIO]]</f>
        <v>394</v>
      </c>
      <c r="V239" s="2">
        <f>MASTER[[#This Row],[MONTO VENDIDO]]-MASTER[[#This Row],[COSTO DE VENTA]]</f>
        <v>1468</v>
      </c>
    </row>
    <row r="240" spans="1:22" x14ac:dyDescent="0.3">
      <c r="A240">
        <v>13000</v>
      </c>
      <c r="B240">
        <v>1</v>
      </c>
      <c r="C240" t="s">
        <v>114</v>
      </c>
      <c r="D240" t="s">
        <v>115</v>
      </c>
      <c r="E240" s="1">
        <v>43862</v>
      </c>
      <c r="F240">
        <v>1</v>
      </c>
      <c r="G240" t="s">
        <v>45</v>
      </c>
      <c r="H240" t="s">
        <v>46</v>
      </c>
      <c r="I240" s="3">
        <v>1862</v>
      </c>
      <c r="J240" s="3">
        <v>1862</v>
      </c>
      <c r="K240" s="3">
        <v>394</v>
      </c>
      <c r="L240" t="s">
        <v>113</v>
      </c>
      <c r="M240">
        <v>5</v>
      </c>
      <c r="N240" t="s">
        <v>85</v>
      </c>
      <c r="O240" t="s">
        <v>81</v>
      </c>
      <c r="P240" t="s">
        <v>12</v>
      </c>
      <c r="Q240" t="s">
        <v>13</v>
      </c>
      <c r="R240" t="s">
        <v>13</v>
      </c>
      <c r="S240" t="s">
        <v>144</v>
      </c>
      <c r="T240" s="2">
        <f>MASTER[[#This Row],[CANTIDAD]]*MASTER[[#This Row],[PRECIO DE VENTA]]</f>
        <v>1862</v>
      </c>
      <c r="U240" s="2">
        <f>MASTER[[#This Row],[CANTIDAD]]*MASTER[[#This Row],[COSTO UNITARIO]]</f>
        <v>394</v>
      </c>
      <c r="V240" s="2">
        <f>MASTER[[#This Row],[MONTO VENDIDO]]-MASTER[[#This Row],[COSTO DE VENTA]]</f>
        <v>1468</v>
      </c>
    </row>
    <row r="241" spans="1:22" x14ac:dyDescent="0.3">
      <c r="A241">
        <v>13016</v>
      </c>
      <c r="B241">
        <v>1</v>
      </c>
      <c r="C241" t="s">
        <v>118</v>
      </c>
      <c r="D241" t="s">
        <v>119</v>
      </c>
      <c r="E241" s="1">
        <v>43862</v>
      </c>
      <c r="F241">
        <v>2</v>
      </c>
      <c r="G241" t="s">
        <v>63</v>
      </c>
      <c r="H241" t="s">
        <v>64</v>
      </c>
      <c r="I241" s="3">
        <v>900</v>
      </c>
      <c r="J241" s="3">
        <v>900</v>
      </c>
      <c r="K241" s="3">
        <v>424</v>
      </c>
      <c r="L241" t="s">
        <v>120</v>
      </c>
      <c r="M241">
        <v>7</v>
      </c>
      <c r="N241" t="s">
        <v>84</v>
      </c>
      <c r="O241" t="s">
        <v>81</v>
      </c>
      <c r="P241" t="s">
        <v>12</v>
      </c>
      <c r="Q241" t="s">
        <v>13</v>
      </c>
      <c r="R241" t="s">
        <v>13</v>
      </c>
      <c r="S241" t="s">
        <v>144</v>
      </c>
      <c r="T241" s="2">
        <f>MASTER[[#This Row],[CANTIDAD]]*MASTER[[#This Row],[PRECIO DE VENTA]]</f>
        <v>1800</v>
      </c>
      <c r="U241" s="2">
        <f>MASTER[[#This Row],[CANTIDAD]]*MASTER[[#This Row],[COSTO UNITARIO]]</f>
        <v>848</v>
      </c>
      <c r="V241" s="2">
        <f>MASTER[[#This Row],[MONTO VENDIDO]]-MASTER[[#This Row],[COSTO DE VENTA]]</f>
        <v>952</v>
      </c>
    </row>
    <row r="242" spans="1:22" x14ac:dyDescent="0.3">
      <c r="A242">
        <v>13047</v>
      </c>
      <c r="B242">
        <v>1</v>
      </c>
      <c r="C242" t="s">
        <v>111</v>
      </c>
      <c r="D242" t="s">
        <v>112</v>
      </c>
      <c r="E242" s="1">
        <v>43862</v>
      </c>
      <c r="F242">
        <v>1</v>
      </c>
      <c r="G242" t="s">
        <v>57</v>
      </c>
      <c r="H242" t="s">
        <v>58</v>
      </c>
      <c r="I242" s="3">
        <v>1621</v>
      </c>
      <c r="J242" s="3">
        <v>1621</v>
      </c>
      <c r="K242" s="3">
        <v>434</v>
      </c>
      <c r="L242" t="s">
        <v>113</v>
      </c>
      <c r="M242">
        <v>2</v>
      </c>
      <c r="N242" t="s">
        <v>86</v>
      </c>
      <c r="O242" t="s">
        <v>81</v>
      </c>
      <c r="P242" t="s">
        <v>71</v>
      </c>
      <c r="Q242" t="s">
        <v>72</v>
      </c>
      <c r="R242" t="s">
        <v>139</v>
      </c>
      <c r="S242" t="s">
        <v>144</v>
      </c>
      <c r="T242" s="2">
        <f>MASTER[[#This Row],[CANTIDAD]]*MASTER[[#This Row],[PRECIO DE VENTA]]</f>
        <v>1621</v>
      </c>
      <c r="U242" s="2">
        <f>MASTER[[#This Row],[CANTIDAD]]*MASTER[[#This Row],[COSTO UNITARIO]]</f>
        <v>434</v>
      </c>
      <c r="V242" s="2">
        <f>MASTER[[#This Row],[MONTO VENDIDO]]-MASTER[[#This Row],[COSTO DE VENTA]]</f>
        <v>1187</v>
      </c>
    </row>
    <row r="243" spans="1:22" x14ac:dyDescent="0.3">
      <c r="A243">
        <v>13049</v>
      </c>
      <c r="B243">
        <v>1</v>
      </c>
      <c r="C243" t="s">
        <v>121</v>
      </c>
      <c r="D243" t="s">
        <v>122</v>
      </c>
      <c r="E243" s="1">
        <v>43862</v>
      </c>
      <c r="F243">
        <v>1</v>
      </c>
      <c r="G243" t="s">
        <v>45</v>
      </c>
      <c r="H243" t="s">
        <v>46</v>
      </c>
      <c r="I243" s="3">
        <v>941</v>
      </c>
      <c r="J243" s="3">
        <v>941</v>
      </c>
      <c r="K243" s="3">
        <v>460</v>
      </c>
      <c r="L243" t="s">
        <v>120</v>
      </c>
      <c r="M243">
        <v>17</v>
      </c>
      <c r="N243" t="s">
        <v>14</v>
      </c>
      <c r="O243" t="s">
        <v>11</v>
      </c>
      <c r="P243" t="s">
        <v>15</v>
      </c>
      <c r="Q243" t="s">
        <v>16</v>
      </c>
      <c r="R243" t="s">
        <v>16</v>
      </c>
      <c r="S243" t="s">
        <v>144</v>
      </c>
      <c r="T243" s="2">
        <f>MASTER[[#This Row],[CANTIDAD]]*MASTER[[#This Row],[PRECIO DE VENTA]]</f>
        <v>941</v>
      </c>
      <c r="U243" s="2">
        <f>MASTER[[#This Row],[CANTIDAD]]*MASTER[[#This Row],[COSTO UNITARIO]]</f>
        <v>460</v>
      </c>
      <c r="V243" s="2">
        <f>MASTER[[#This Row],[MONTO VENDIDO]]-MASTER[[#This Row],[COSTO DE VENTA]]</f>
        <v>481</v>
      </c>
    </row>
    <row r="244" spans="1:22" x14ac:dyDescent="0.3">
      <c r="A244">
        <v>13052</v>
      </c>
      <c r="B244">
        <v>1</v>
      </c>
      <c r="C244" t="s">
        <v>121</v>
      </c>
      <c r="D244" t="s">
        <v>122</v>
      </c>
      <c r="E244" s="1">
        <v>43862</v>
      </c>
      <c r="F244">
        <v>1</v>
      </c>
      <c r="G244" t="s">
        <v>27</v>
      </c>
      <c r="H244" t="s">
        <v>28</v>
      </c>
      <c r="I244" s="3">
        <v>1144</v>
      </c>
      <c r="J244" s="3">
        <v>1144</v>
      </c>
      <c r="K244" s="3">
        <v>460</v>
      </c>
      <c r="L244" t="s">
        <v>120</v>
      </c>
      <c r="M244">
        <v>9</v>
      </c>
      <c r="N244" t="s">
        <v>76</v>
      </c>
      <c r="O244" t="s">
        <v>70</v>
      </c>
      <c r="P244" t="s">
        <v>12</v>
      </c>
      <c r="Q244" t="s">
        <v>13</v>
      </c>
      <c r="R244" t="s">
        <v>13</v>
      </c>
      <c r="S244" t="s">
        <v>144</v>
      </c>
      <c r="T244" s="2">
        <f>MASTER[[#This Row],[CANTIDAD]]*MASTER[[#This Row],[PRECIO DE VENTA]]</f>
        <v>1144</v>
      </c>
      <c r="U244" s="2">
        <f>MASTER[[#This Row],[CANTIDAD]]*MASTER[[#This Row],[COSTO UNITARIO]]</f>
        <v>460</v>
      </c>
      <c r="V244" s="2">
        <f>MASTER[[#This Row],[MONTO VENDIDO]]-MASTER[[#This Row],[COSTO DE VENTA]]</f>
        <v>684</v>
      </c>
    </row>
    <row r="245" spans="1:22" x14ac:dyDescent="0.3">
      <c r="A245">
        <v>13053</v>
      </c>
      <c r="B245">
        <v>1</v>
      </c>
      <c r="C245" t="s">
        <v>118</v>
      </c>
      <c r="D245" t="s">
        <v>119</v>
      </c>
      <c r="E245" s="1">
        <v>43862</v>
      </c>
      <c r="F245">
        <v>1</v>
      </c>
      <c r="G245" t="s">
        <v>31</v>
      </c>
      <c r="H245" t="s">
        <v>32</v>
      </c>
      <c r="I245" s="3">
        <v>900</v>
      </c>
      <c r="J245" s="3">
        <v>900</v>
      </c>
      <c r="K245" s="3">
        <v>424</v>
      </c>
      <c r="L245" t="s">
        <v>120</v>
      </c>
      <c r="M245">
        <v>19</v>
      </c>
      <c r="N245" t="s">
        <v>89</v>
      </c>
      <c r="O245" t="s">
        <v>81</v>
      </c>
      <c r="P245" t="s">
        <v>15</v>
      </c>
      <c r="Q245" t="s">
        <v>16</v>
      </c>
      <c r="R245" t="s">
        <v>16</v>
      </c>
      <c r="S245" t="s">
        <v>144</v>
      </c>
      <c r="T245" s="2">
        <f>MASTER[[#This Row],[CANTIDAD]]*MASTER[[#This Row],[PRECIO DE VENTA]]</f>
        <v>900</v>
      </c>
      <c r="U245" s="2">
        <f>MASTER[[#This Row],[CANTIDAD]]*MASTER[[#This Row],[COSTO UNITARIO]]</f>
        <v>424</v>
      </c>
      <c r="V245" s="2">
        <f>MASTER[[#This Row],[MONTO VENDIDO]]-MASTER[[#This Row],[COSTO DE VENTA]]</f>
        <v>476</v>
      </c>
    </row>
    <row r="246" spans="1:22" x14ac:dyDescent="0.3">
      <c r="A246">
        <v>13081</v>
      </c>
      <c r="B246">
        <v>1</v>
      </c>
      <c r="C246" t="s">
        <v>99</v>
      </c>
      <c r="D246" t="s">
        <v>100</v>
      </c>
      <c r="E246" s="1">
        <v>43862</v>
      </c>
      <c r="F246">
        <v>1</v>
      </c>
      <c r="G246" t="s">
        <v>67</v>
      </c>
      <c r="H246" t="s">
        <v>68</v>
      </c>
      <c r="I246" s="3">
        <v>1459</v>
      </c>
      <c r="J246" s="3">
        <v>1459</v>
      </c>
      <c r="K246" s="3">
        <v>386</v>
      </c>
      <c r="L246" t="s">
        <v>98</v>
      </c>
      <c r="M246">
        <v>15</v>
      </c>
      <c r="N246" t="s">
        <v>88</v>
      </c>
      <c r="O246" t="s">
        <v>81</v>
      </c>
      <c r="P246" t="s">
        <v>18</v>
      </c>
      <c r="Q246" t="s">
        <v>19</v>
      </c>
      <c r="R246" t="s">
        <v>138</v>
      </c>
      <c r="S246" t="s">
        <v>144</v>
      </c>
      <c r="T246" s="2">
        <f>MASTER[[#This Row],[CANTIDAD]]*MASTER[[#This Row],[PRECIO DE VENTA]]</f>
        <v>1459</v>
      </c>
      <c r="U246" s="2">
        <f>MASTER[[#This Row],[CANTIDAD]]*MASTER[[#This Row],[COSTO UNITARIO]]</f>
        <v>386</v>
      </c>
      <c r="V246" s="2">
        <f>MASTER[[#This Row],[MONTO VENDIDO]]-MASTER[[#This Row],[COSTO DE VENTA]]</f>
        <v>1073</v>
      </c>
    </row>
    <row r="247" spans="1:22" x14ac:dyDescent="0.3">
      <c r="A247">
        <v>13083</v>
      </c>
      <c r="B247">
        <v>1</v>
      </c>
      <c r="C247" t="s">
        <v>111</v>
      </c>
      <c r="D247" t="s">
        <v>112</v>
      </c>
      <c r="E247" s="1">
        <v>43862</v>
      </c>
      <c r="F247">
        <v>1</v>
      </c>
      <c r="G247" t="s">
        <v>31</v>
      </c>
      <c r="H247" t="s">
        <v>32</v>
      </c>
      <c r="I247" s="3">
        <v>1524</v>
      </c>
      <c r="J247" s="3">
        <v>1524</v>
      </c>
      <c r="K247" s="3">
        <v>434</v>
      </c>
      <c r="L247" t="s">
        <v>113</v>
      </c>
      <c r="M247">
        <v>11</v>
      </c>
      <c r="N247" t="s">
        <v>10</v>
      </c>
      <c r="O247" t="s">
        <v>11</v>
      </c>
      <c r="P247" t="s">
        <v>12</v>
      </c>
      <c r="Q247" t="s">
        <v>13</v>
      </c>
      <c r="R247" t="s">
        <v>13</v>
      </c>
      <c r="S247" t="s">
        <v>144</v>
      </c>
      <c r="T247" s="2">
        <f>MASTER[[#This Row],[CANTIDAD]]*MASTER[[#This Row],[PRECIO DE VENTA]]</f>
        <v>1524</v>
      </c>
      <c r="U247" s="2">
        <f>MASTER[[#This Row],[CANTIDAD]]*MASTER[[#This Row],[COSTO UNITARIO]]</f>
        <v>434</v>
      </c>
      <c r="V247" s="2">
        <f>MASTER[[#This Row],[MONTO VENDIDO]]-MASTER[[#This Row],[COSTO DE VENTA]]</f>
        <v>1090</v>
      </c>
    </row>
    <row r="248" spans="1:22" x14ac:dyDescent="0.3">
      <c r="A248">
        <v>13095</v>
      </c>
      <c r="B248">
        <v>1</v>
      </c>
      <c r="C248" t="s">
        <v>116</v>
      </c>
      <c r="D248" t="s">
        <v>117</v>
      </c>
      <c r="E248" s="1">
        <v>43863</v>
      </c>
      <c r="F248">
        <v>1</v>
      </c>
      <c r="G248" t="s">
        <v>24</v>
      </c>
      <c r="H248" t="s">
        <v>25</v>
      </c>
      <c r="I248" s="3">
        <v>1738</v>
      </c>
      <c r="J248" s="3">
        <v>1738</v>
      </c>
      <c r="K248" s="3">
        <v>388</v>
      </c>
      <c r="L248" t="s">
        <v>113</v>
      </c>
      <c r="M248">
        <v>14</v>
      </c>
      <c r="N248" t="s">
        <v>87</v>
      </c>
      <c r="O248" t="s">
        <v>81</v>
      </c>
      <c r="P248" t="s">
        <v>18</v>
      </c>
      <c r="Q248" t="s">
        <v>19</v>
      </c>
      <c r="R248" t="s">
        <v>138</v>
      </c>
      <c r="S248" t="s">
        <v>144</v>
      </c>
      <c r="T248" s="2">
        <f>MASTER[[#This Row],[CANTIDAD]]*MASTER[[#This Row],[PRECIO DE VENTA]]</f>
        <v>1738</v>
      </c>
      <c r="U248" s="2">
        <f>MASTER[[#This Row],[CANTIDAD]]*MASTER[[#This Row],[COSTO UNITARIO]]</f>
        <v>388</v>
      </c>
      <c r="V248" s="2">
        <f>MASTER[[#This Row],[MONTO VENDIDO]]-MASTER[[#This Row],[COSTO DE VENTA]]</f>
        <v>1350</v>
      </c>
    </row>
    <row r="249" spans="1:22" x14ac:dyDescent="0.3">
      <c r="A249">
        <v>13113</v>
      </c>
      <c r="B249">
        <v>1</v>
      </c>
      <c r="C249" t="s">
        <v>121</v>
      </c>
      <c r="D249" t="s">
        <v>122</v>
      </c>
      <c r="E249" s="1">
        <v>43863</v>
      </c>
      <c r="F249">
        <v>1</v>
      </c>
      <c r="G249" t="s">
        <v>53</v>
      </c>
      <c r="H249" t="s">
        <v>54</v>
      </c>
      <c r="I249" s="3">
        <v>1069</v>
      </c>
      <c r="J249" s="3">
        <v>1069</v>
      </c>
      <c r="K249" s="3">
        <v>460</v>
      </c>
      <c r="L249" t="s">
        <v>120</v>
      </c>
      <c r="M249">
        <v>4</v>
      </c>
      <c r="N249" t="s">
        <v>82</v>
      </c>
      <c r="O249" t="s">
        <v>81</v>
      </c>
      <c r="P249" t="s">
        <v>71</v>
      </c>
      <c r="Q249" t="s">
        <v>72</v>
      </c>
      <c r="R249" t="s">
        <v>139</v>
      </c>
      <c r="S249" t="s">
        <v>144</v>
      </c>
      <c r="T249" s="2">
        <f>MASTER[[#This Row],[CANTIDAD]]*MASTER[[#This Row],[PRECIO DE VENTA]]</f>
        <v>1069</v>
      </c>
      <c r="U249" s="2">
        <f>MASTER[[#This Row],[CANTIDAD]]*MASTER[[#This Row],[COSTO UNITARIO]]</f>
        <v>460</v>
      </c>
      <c r="V249" s="2">
        <f>MASTER[[#This Row],[MONTO VENDIDO]]-MASTER[[#This Row],[COSTO DE VENTA]]</f>
        <v>609</v>
      </c>
    </row>
    <row r="250" spans="1:22" x14ac:dyDescent="0.3">
      <c r="A250">
        <v>13117</v>
      </c>
      <c r="B250">
        <v>1</v>
      </c>
      <c r="C250" t="s">
        <v>105</v>
      </c>
      <c r="D250" t="s">
        <v>106</v>
      </c>
      <c r="E250" s="1">
        <v>43863</v>
      </c>
      <c r="F250">
        <v>1</v>
      </c>
      <c r="G250" t="s">
        <v>67</v>
      </c>
      <c r="H250" t="s">
        <v>68</v>
      </c>
      <c r="I250" s="3">
        <v>1585</v>
      </c>
      <c r="J250" s="3">
        <v>1585</v>
      </c>
      <c r="K250" s="3">
        <v>459</v>
      </c>
      <c r="L250" t="s">
        <v>98</v>
      </c>
      <c r="M250">
        <v>17</v>
      </c>
      <c r="N250" t="s">
        <v>14</v>
      </c>
      <c r="O250" t="s">
        <v>11</v>
      </c>
      <c r="P250" t="s">
        <v>15</v>
      </c>
      <c r="Q250" t="s">
        <v>16</v>
      </c>
      <c r="R250" t="s">
        <v>16</v>
      </c>
      <c r="S250" t="s">
        <v>144</v>
      </c>
      <c r="T250" s="2">
        <f>MASTER[[#This Row],[CANTIDAD]]*MASTER[[#This Row],[PRECIO DE VENTA]]</f>
        <v>1585</v>
      </c>
      <c r="U250" s="2">
        <f>MASTER[[#This Row],[CANTIDAD]]*MASTER[[#This Row],[COSTO UNITARIO]]</f>
        <v>459</v>
      </c>
      <c r="V250" s="2">
        <f>MASTER[[#This Row],[MONTO VENDIDO]]-MASTER[[#This Row],[COSTO DE VENTA]]</f>
        <v>1126</v>
      </c>
    </row>
    <row r="251" spans="1:22" x14ac:dyDescent="0.3">
      <c r="A251">
        <v>13125</v>
      </c>
      <c r="B251">
        <v>1</v>
      </c>
      <c r="C251" t="s">
        <v>103</v>
      </c>
      <c r="D251" t="s">
        <v>104</v>
      </c>
      <c r="E251" s="1">
        <v>43863</v>
      </c>
      <c r="F251">
        <v>1</v>
      </c>
      <c r="G251" t="s">
        <v>7</v>
      </c>
      <c r="H251" t="s">
        <v>8</v>
      </c>
      <c r="I251" s="3">
        <v>1591</v>
      </c>
      <c r="J251" s="3">
        <v>1591</v>
      </c>
      <c r="K251" s="3">
        <v>421</v>
      </c>
      <c r="L251" t="s">
        <v>98</v>
      </c>
      <c r="M251">
        <v>15</v>
      </c>
      <c r="N251" t="s">
        <v>88</v>
      </c>
      <c r="O251" t="s">
        <v>81</v>
      </c>
      <c r="P251" t="s">
        <v>18</v>
      </c>
      <c r="Q251" t="s">
        <v>19</v>
      </c>
      <c r="R251" t="s">
        <v>138</v>
      </c>
      <c r="S251" t="s">
        <v>144</v>
      </c>
      <c r="T251" s="2">
        <f>MASTER[[#This Row],[CANTIDAD]]*MASTER[[#This Row],[PRECIO DE VENTA]]</f>
        <v>1591</v>
      </c>
      <c r="U251" s="2">
        <f>MASTER[[#This Row],[CANTIDAD]]*MASTER[[#This Row],[COSTO UNITARIO]]</f>
        <v>421</v>
      </c>
      <c r="V251" s="2">
        <f>MASTER[[#This Row],[MONTO VENDIDO]]-MASTER[[#This Row],[COSTO DE VENTA]]</f>
        <v>1170</v>
      </c>
    </row>
    <row r="252" spans="1:22" x14ac:dyDescent="0.3">
      <c r="A252">
        <v>13142</v>
      </c>
      <c r="B252">
        <v>1</v>
      </c>
      <c r="C252" t="s">
        <v>92</v>
      </c>
      <c r="D252" t="s">
        <v>93</v>
      </c>
      <c r="E252" s="1">
        <v>43863</v>
      </c>
      <c r="F252">
        <v>1</v>
      </c>
      <c r="G252" t="s">
        <v>47</v>
      </c>
      <c r="H252" t="s">
        <v>48</v>
      </c>
      <c r="I252" s="3">
        <v>1681</v>
      </c>
      <c r="J252" s="3">
        <v>1681</v>
      </c>
      <c r="K252" s="3">
        <v>396</v>
      </c>
      <c r="L252" t="s">
        <v>9</v>
      </c>
      <c r="M252">
        <v>10</v>
      </c>
      <c r="N252" t="s">
        <v>83</v>
      </c>
      <c r="O252" t="s">
        <v>81</v>
      </c>
      <c r="P252" t="s">
        <v>12</v>
      </c>
      <c r="Q252" t="s">
        <v>13</v>
      </c>
      <c r="R252" t="s">
        <v>13</v>
      </c>
      <c r="S252" t="s">
        <v>144</v>
      </c>
      <c r="T252" s="2">
        <f>MASTER[[#This Row],[CANTIDAD]]*MASTER[[#This Row],[PRECIO DE VENTA]]</f>
        <v>1681</v>
      </c>
      <c r="U252" s="2">
        <f>MASTER[[#This Row],[CANTIDAD]]*MASTER[[#This Row],[COSTO UNITARIO]]</f>
        <v>396</v>
      </c>
      <c r="V252" s="2">
        <f>MASTER[[#This Row],[MONTO VENDIDO]]-MASTER[[#This Row],[COSTO DE VENTA]]</f>
        <v>1285</v>
      </c>
    </row>
    <row r="253" spans="1:22" x14ac:dyDescent="0.3">
      <c r="A253">
        <v>13167</v>
      </c>
      <c r="B253">
        <v>1</v>
      </c>
      <c r="C253" t="s">
        <v>118</v>
      </c>
      <c r="D253" t="s">
        <v>119</v>
      </c>
      <c r="E253" s="1">
        <v>43863</v>
      </c>
      <c r="F253">
        <v>1</v>
      </c>
      <c r="G253" t="s">
        <v>33</v>
      </c>
      <c r="H253" t="s">
        <v>34</v>
      </c>
      <c r="I253" s="3">
        <v>1026</v>
      </c>
      <c r="J253" s="3">
        <v>1026</v>
      </c>
      <c r="K253" s="3">
        <v>424</v>
      </c>
      <c r="L253" t="s">
        <v>120</v>
      </c>
      <c r="M253">
        <v>6</v>
      </c>
      <c r="N253" t="s">
        <v>75</v>
      </c>
      <c r="O253" t="s">
        <v>70</v>
      </c>
      <c r="P253" t="s">
        <v>12</v>
      </c>
      <c r="Q253" t="s">
        <v>13</v>
      </c>
      <c r="R253" t="s">
        <v>13</v>
      </c>
      <c r="S253" t="s">
        <v>144</v>
      </c>
      <c r="T253" s="2">
        <f>MASTER[[#This Row],[CANTIDAD]]*MASTER[[#This Row],[PRECIO DE VENTA]]</f>
        <v>1026</v>
      </c>
      <c r="U253" s="2">
        <f>MASTER[[#This Row],[CANTIDAD]]*MASTER[[#This Row],[COSTO UNITARIO]]</f>
        <v>424</v>
      </c>
      <c r="V253" s="2">
        <f>MASTER[[#This Row],[MONTO VENDIDO]]-MASTER[[#This Row],[COSTO DE VENTA]]</f>
        <v>602</v>
      </c>
    </row>
    <row r="254" spans="1:22" x14ac:dyDescent="0.3">
      <c r="A254">
        <v>13173</v>
      </c>
      <c r="B254">
        <v>1</v>
      </c>
      <c r="C254" t="s">
        <v>121</v>
      </c>
      <c r="D254" t="s">
        <v>122</v>
      </c>
      <c r="E254" s="1">
        <v>43863</v>
      </c>
      <c r="F254">
        <v>1</v>
      </c>
      <c r="G254" t="s">
        <v>73</v>
      </c>
      <c r="H254" t="s">
        <v>74</v>
      </c>
      <c r="I254" s="3">
        <v>1144</v>
      </c>
      <c r="J254" s="3">
        <v>1144</v>
      </c>
      <c r="K254" s="3">
        <v>460</v>
      </c>
      <c r="L254" t="s">
        <v>120</v>
      </c>
      <c r="M254">
        <v>1</v>
      </c>
      <c r="N254" t="s">
        <v>77</v>
      </c>
      <c r="O254" t="s">
        <v>70</v>
      </c>
      <c r="P254" t="s">
        <v>71</v>
      </c>
      <c r="Q254" t="s">
        <v>72</v>
      </c>
      <c r="R254" t="s">
        <v>139</v>
      </c>
      <c r="S254" t="s">
        <v>144</v>
      </c>
      <c r="T254" s="2">
        <f>MASTER[[#This Row],[CANTIDAD]]*MASTER[[#This Row],[PRECIO DE VENTA]]</f>
        <v>1144</v>
      </c>
      <c r="U254" s="2">
        <f>MASTER[[#This Row],[CANTIDAD]]*MASTER[[#This Row],[COSTO UNITARIO]]</f>
        <v>460</v>
      </c>
      <c r="V254" s="2">
        <f>MASTER[[#This Row],[MONTO VENDIDO]]-MASTER[[#This Row],[COSTO DE VENTA]]</f>
        <v>684</v>
      </c>
    </row>
    <row r="255" spans="1:22" x14ac:dyDescent="0.3">
      <c r="A255">
        <v>13181</v>
      </c>
      <c r="B255">
        <v>1</v>
      </c>
      <c r="C255" t="s">
        <v>111</v>
      </c>
      <c r="D255" t="s">
        <v>112</v>
      </c>
      <c r="E255" s="1">
        <v>43864</v>
      </c>
      <c r="F255">
        <v>1</v>
      </c>
      <c r="G255" t="s">
        <v>51</v>
      </c>
      <c r="H255" t="s">
        <v>52</v>
      </c>
      <c r="I255" s="3">
        <v>1621</v>
      </c>
      <c r="J255" s="3">
        <v>1621</v>
      </c>
      <c r="K255" s="3">
        <v>434</v>
      </c>
      <c r="L255" t="s">
        <v>113</v>
      </c>
      <c r="M255">
        <v>4</v>
      </c>
      <c r="N255" t="s">
        <v>82</v>
      </c>
      <c r="O255" t="s">
        <v>81</v>
      </c>
      <c r="P255" t="s">
        <v>71</v>
      </c>
      <c r="Q255" t="s">
        <v>72</v>
      </c>
      <c r="R255" t="s">
        <v>139</v>
      </c>
      <c r="S255" t="s">
        <v>144</v>
      </c>
      <c r="T255" s="2">
        <f>MASTER[[#This Row],[CANTIDAD]]*MASTER[[#This Row],[PRECIO DE VENTA]]</f>
        <v>1621</v>
      </c>
      <c r="U255" s="2">
        <f>MASTER[[#This Row],[CANTIDAD]]*MASTER[[#This Row],[COSTO UNITARIO]]</f>
        <v>434</v>
      </c>
      <c r="V255" s="2">
        <f>MASTER[[#This Row],[MONTO VENDIDO]]-MASTER[[#This Row],[COSTO DE VENTA]]</f>
        <v>1187</v>
      </c>
    </row>
    <row r="256" spans="1:22" x14ac:dyDescent="0.3">
      <c r="A256">
        <v>13233</v>
      </c>
      <c r="B256">
        <v>1</v>
      </c>
      <c r="C256" t="s">
        <v>92</v>
      </c>
      <c r="D256" t="s">
        <v>93</v>
      </c>
      <c r="E256" s="1">
        <v>43864</v>
      </c>
      <c r="F256">
        <v>1</v>
      </c>
      <c r="G256" t="s">
        <v>43</v>
      </c>
      <c r="H256" t="s">
        <v>44</v>
      </c>
      <c r="I256" s="3">
        <v>1866</v>
      </c>
      <c r="J256" s="3">
        <v>1866</v>
      </c>
      <c r="K256" s="3">
        <v>396</v>
      </c>
      <c r="L256" t="s">
        <v>9</v>
      </c>
      <c r="M256">
        <v>13</v>
      </c>
      <c r="N256" t="s">
        <v>78</v>
      </c>
      <c r="O256" t="s">
        <v>70</v>
      </c>
      <c r="P256" t="s">
        <v>18</v>
      </c>
      <c r="Q256" t="s">
        <v>19</v>
      </c>
      <c r="R256" t="s">
        <v>138</v>
      </c>
      <c r="S256" t="s">
        <v>144</v>
      </c>
      <c r="T256" s="2">
        <f>MASTER[[#This Row],[CANTIDAD]]*MASTER[[#This Row],[PRECIO DE VENTA]]</f>
        <v>1866</v>
      </c>
      <c r="U256" s="2">
        <f>MASTER[[#This Row],[CANTIDAD]]*MASTER[[#This Row],[COSTO UNITARIO]]</f>
        <v>396</v>
      </c>
      <c r="V256" s="2">
        <f>MASTER[[#This Row],[MONTO VENDIDO]]-MASTER[[#This Row],[COSTO DE VENTA]]</f>
        <v>1470</v>
      </c>
    </row>
    <row r="257" spans="1:22" x14ac:dyDescent="0.3">
      <c r="A257">
        <v>13266</v>
      </c>
      <c r="B257">
        <v>1</v>
      </c>
      <c r="C257" t="s">
        <v>5</v>
      </c>
      <c r="D257" t="s">
        <v>6</v>
      </c>
      <c r="E257" s="1">
        <v>43864</v>
      </c>
      <c r="F257">
        <v>1</v>
      </c>
      <c r="G257" t="s">
        <v>33</v>
      </c>
      <c r="H257" t="s">
        <v>34</v>
      </c>
      <c r="I257" s="3">
        <v>1507</v>
      </c>
      <c r="J257" s="3">
        <v>1507</v>
      </c>
      <c r="K257" s="3">
        <v>393</v>
      </c>
      <c r="L257" t="s">
        <v>9</v>
      </c>
      <c r="M257">
        <v>10</v>
      </c>
      <c r="N257" t="s">
        <v>83</v>
      </c>
      <c r="O257" t="s">
        <v>81</v>
      </c>
      <c r="P257" t="s">
        <v>12</v>
      </c>
      <c r="Q257" t="s">
        <v>13</v>
      </c>
      <c r="R257" t="s">
        <v>13</v>
      </c>
      <c r="S257" t="s">
        <v>144</v>
      </c>
      <c r="T257" s="2">
        <f>MASTER[[#This Row],[CANTIDAD]]*MASTER[[#This Row],[PRECIO DE VENTA]]</f>
        <v>1507</v>
      </c>
      <c r="U257" s="2">
        <f>MASTER[[#This Row],[CANTIDAD]]*MASTER[[#This Row],[COSTO UNITARIO]]</f>
        <v>393</v>
      </c>
      <c r="V257" s="2">
        <f>MASTER[[#This Row],[MONTO VENDIDO]]-MASTER[[#This Row],[COSTO DE VENTA]]</f>
        <v>1114</v>
      </c>
    </row>
    <row r="258" spans="1:22" x14ac:dyDescent="0.3">
      <c r="A258">
        <v>13266</v>
      </c>
      <c r="B258">
        <v>2</v>
      </c>
      <c r="C258" t="s">
        <v>96</v>
      </c>
      <c r="D258" t="s">
        <v>97</v>
      </c>
      <c r="E258" s="1">
        <v>43864</v>
      </c>
      <c r="F258">
        <v>1</v>
      </c>
      <c r="G258" t="s">
        <v>73</v>
      </c>
      <c r="H258" t="s">
        <v>74</v>
      </c>
      <c r="I258" s="3">
        <v>1272</v>
      </c>
      <c r="J258" s="3">
        <v>1272</v>
      </c>
      <c r="K258" s="3">
        <v>397</v>
      </c>
      <c r="L258" t="s">
        <v>98</v>
      </c>
      <c r="M258">
        <v>10</v>
      </c>
      <c r="N258" t="s">
        <v>83</v>
      </c>
      <c r="O258" t="s">
        <v>81</v>
      </c>
      <c r="P258" t="s">
        <v>12</v>
      </c>
      <c r="Q258" t="s">
        <v>13</v>
      </c>
      <c r="R258" t="s">
        <v>13</v>
      </c>
      <c r="S258" t="s">
        <v>144</v>
      </c>
      <c r="T258" s="2">
        <f>MASTER[[#This Row],[CANTIDAD]]*MASTER[[#This Row],[PRECIO DE VENTA]]</f>
        <v>1272</v>
      </c>
      <c r="U258" s="2">
        <f>MASTER[[#This Row],[CANTIDAD]]*MASTER[[#This Row],[COSTO UNITARIO]]</f>
        <v>397</v>
      </c>
      <c r="V258" s="2">
        <f>MASTER[[#This Row],[MONTO VENDIDO]]-MASTER[[#This Row],[COSTO DE VENTA]]</f>
        <v>875</v>
      </c>
    </row>
    <row r="259" spans="1:22" x14ac:dyDescent="0.3">
      <c r="A259">
        <v>13288</v>
      </c>
      <c r="B259">
        <v>1</v>
      </c>
      <c r="C259" t="s">
        <v>114</v>
      </c>
      <c r="D259" t="s">
        <v>115</v>
      </c>
      <c r="E259" s="1">
        <v>43864</v>
      </c>
      <c r="F259">
        <v>1</v>
      </c>
      <c r="G259" t="s">
        <v>37</v>
      </c>
      <c r="H259" t="s">
        <v>38</v>
      </c>
      <c r="I259" s="3">
        <v>1862</v>
      </c>
      <c r="J259" s="3">
        <v>1862</v>
      </c>
      <c r="K259" s="3">
        <v>394</v>
      </c>
      <c r="L259" t="s">
        <v>113</v>
      </c>
      <c r="M259">
        <v>4</v>
      </c>
      <c r="N259" t="s">
        <v>82</v>
      </c>
      <c r="O259" t="s">
        <v>81</v>
      </c>
      <c r="P259" t="s">
        <v>71</v>
      </c>
      <c r="Q259" t="s">
        <v>72</v>
      </c>
      <c r="R259" t="s">
        <v>139</v>
      </c>
      <c r="S259" t="s">
        <v>144</v>
      </c>
      <c r="T259" s="2">
        <f>MASTER[[#This Row],[CANTIDAD]]*MASTER[[#This Row],[PRECIO DE VENTA]]</f>
        <v>1862</v>
      </c>
      <c r="U259" s="2">
        <f>MASTER[[#This Row],[CANTIDAD]]*MASTER[[#This Row],[COSTO UNITARIO]]</f>
        <v>394</v>
      </c>
      <c r="V259" s="2">
        <f>MASTER[[#This Row],[MONTO VENDIDO]]-MASTER[[#This Row],[COSTO DE VENTA]]</f>
        <v>1468</v>
      </c>
    </row>
    <row r="260" spans="1:22" x14ac:dyDescent="0.3">
      <c r="A260">
        <v>13295</v>
      </c>
      <c r="B260">
        <v>1</v>
      </c>
      <c r="C260" t="s">
        <v>90</v>
      </c>
      <c r="D260" t="s">
        <v>91</v>
      </c>
      <c r="E260" s="1">
        <v>43864</v>
      </c>
      <c r="F260">
        <v>1</v>
      </c>
      <c r="G260" t="s">
        <v>39</v>
      </c>
      <c r="H260" t="s">
        <v>40</v>
      </c>
      <c r="I260" s="3">
        <v>2102</v>
      </c>
      <c r="J260" s="3">
        <v>2102</v>
      </c>
      <c r="K260" s="3">
        <v>420</v>
      </c>
      <c r="L260" t="s">
        <v>9</v>
      </c>
      <c r="M260">
        <v>9</v>
      </c>
      <c r="N260" t="s">
        <v>76</v>
      </c>
      <c r="O260" t="s">
        <v>70</v>
      </c>
      <c r="P260" t="s">
        <v>12</v>
      </c>
      <c r="Q260" t="s">
        <v>13</v>
      </c>
      <c r="R260" t="s">
        <v>13</v>
      </c>
      <c r="S260" t="s">
        <v>144</v>
      </c>
      <c r="T260" s="2">
        <f>MASTER[[#This Row],[CANTIDAD]]*MASTER[[#This Row],[PRECIO DE VENTA]]</f>
        <v>2102</v>
      </c>
      <c r="U260" s="2">
        <f>MASTER[[#This Row],[CANTIDAD]]*MASTER[[#This Row],[COSTO UNITARIO]]</f>
        <v>420</v>
      </c>
      <c r="V260" s="2">
        <f>MASTER[[#This Row],[MONTO VENDIDO]]-MASTER[[#This Row],[COSTO DE VENTA]]</f>
        <v>1682</v>
      </c>
    </row>
    <row r="261" spans="1:22" x14ac:dyDescent="0.3">
      <c r="A261">
        <v>13300</v>
      </c>
      <c r="B261">
        <v>1</v>
      </c>
      <c r="C261" t="s">
        <v>90</v>
      </c>
      <c r="D261" t="s">
        <v>91</v>
      </c>
      <c r="E261" s="1">
        <v>43864</v>
      </c>
      <c r="F261">
        <v>1</v>
      </c>
      <c r="G261" t="s">
        <v>24</v>
      </c>
      <c r="H261" t="s">
        <v>25</v>
      </c>
      <c r="I261" s="3">
        <v>1660</v>
      </c>
      <c r="J261" s="3">
        <v>1660</v>
      </c>
      <c r="K261" s="3">
        <v>420</v>
      </c>
      <c r="L261" t="s">
        <v>9</v>
      </c>
      <c r="M261">
        <v>12</v>
      </c>
      <c r="N261" t="s">
        <v>26</v>
      </c>
      <c r="O261" t="s">
        <v>11</v>
      </c>
      <c r="P261" t="s">
        <v>12</v>
      </c>
      <c r="Q261" t="s">
        <v>13</v>
      </c>
      <c r="R261" t="s">
        <v>13</v>
      </c>
      <c r="S261" t="s">
        <v>144</v>
      </c>
      <c r="T261" s="2">
        <f>MASTER[[#This Row],[CANTIDAD]]*MASTER[[#This Row],[PRECIO DE VENTA]]</f>
        <v>1660</v>
      </c>
      <c r="U261" s="2">
        <f>MASTER[[#This Row],[CANTIDAD]]*MASTER[[#This Row],[COSTO UNITARIO]]</f>
        <v>420</v>
      </c>
      <c r="V261" s="2">
        <f>MASTER[[#This Row],[MONTO VENDIDO]]-MASTER[[#This Row],[COSTO DE VENTA]]</f>
        <v>1240</v>
      </c>
    </row>
    <row r="262" spans="1:22" x14ac:dyDescent="0.3">
      <c r="A262">
        <v>13321</v>
      </c>
      <c r="B262">
        <v>1</v>
      </c>
      <c r="C262" t="s">
        <v>92</v>
      </c>
      <c r="D262" t="s">
        <v>93</v>
      </c>
      <c r="E262" s="1">
        <v>43864</v>
      </c>
      <c r="F262">
        <v>1</v>
      </c>
      <c r="G262" t="s">
        <v>27</v>
      </c>
      <c r="H262" t="s">
        <v>28</v>
      </c>
      <c r="I262" s="3">
        <v>1866</v>
      </c>
      <c r="J262" s="3">
        <v>1866</v>
      </c>
      <c r="K262" s="3">
        <v>396</v>
      </c>
      <c r="L262" t="s">
        <v>9</v>
      </c>
      <c r="M262">
        <v>1</v>
      </c>
      <c r="N262" t="s">
        <v>77</v>
      </c>
      <c r="O262" t="s">
        <v>70</v>
      </c>
      <c r="P262" t="s">
        <v>71</v>
      </c>
      <c r="Q262" t="s">
        <v>72</v>
      </c>
      <c r="R262" t="s">
        <v>139</v>
      </c>
      <c r="S262" t="s">
        <v>144</v>
      </c>
      <c r="T262" s="2">
        <f>MASTER[[#This Row],[CANTIDAD]]*MASTER[[#This Row],[PRECIO DE VENTA]]</f>
        <v>1866</v>
      </c>
      <c r="U262" s="2">
        <f>MASTER[[#This Row],[CANTIDAD]]*MASTER[[#This Row],[COSTO UNITARIO]]</f>
        <v>396</v>
      </c>
      <c r="V262" s="2">
        <f>MASTER[[#This Row],[MONTO VENDIDO]]-MASTER[[#This Row],[COSTO DE VENTA]]</f>
        <v>1470</v>
      </c>
    </row>
    <row r="263" spans="1:22" x14ac:dyDescent="0.3">
      <c r="A263">
        <v>13325</v>
      </c>
      <c r="B263">
        <v>1</v>
      </c>
      <c r="C263" t="s">
        <v>90</v>
      </c>
      <c r="D263" t="s">
        <v>91</v>
      </c>
      <c r="E263" s="1">
        <v>43864</v>
      </c>
      <c r="F263">
        <v>3</v>
      </c>
      <c r="G263" t="s">
        <v>7</v>
      </c>
      <c r="H263" t="s">
        <v>8</v>
      </c>
      <c r="I263" s="3">
        <v>1844</v>
      </c>
      <c r="J263" s="3">
        <v>1844</v>
      </c>
      <c r="K263" s="3">
        <v>420</v>
      </c>
      <c r="L263" t="s">
        <v>9</v>
      </c>
      <c r="M263">
        <v>14</v>
      </c>
      <c r="N263" t="s">
        <v>87</v>
      </c>
      <c r="O263" t="s">
        <v>81</v>
      </c>
      <c r="P263" t="s">
        <v>18</v>
      </c>
      <c r="Q263" t="s">
        <v>19</v>
      </c>
      <c r="R263" t="s">
        <v>138</v>
      </c>
      <c r="S263" t="s">
        <v>144</v>
      </c>
      <c r="T263" s="2">
        <f>MASTER[[#This Row],[CANTIDAD]]*MASTER[[#This Row],[PRECIO DE VENTA]]</f>
        <v>5532</v>
      </c>
      <c r="U263" s="2">
        <f>MASTER[[#This Row],[CANTIDAD]]*MASTER[[#This Row],[COSTO UNITARIO]]</f>
        <v>1260</v>
      </c>
      <c r="V263" s="2">
        <f>MASTER[[#This Row],[MONTO VENDIDO]]-MASTER[[#This Row],[COSTO DE VENTA]]</f>
        <v>4272</v>
      </c>
    </row>
    <row r="264" spans="1:22" x14ac:dyDescent="0.3">
      <c r="A264">
        <v>13338</v>
      </c>
      <c r="B264">
        <v>1</v>
      </c>
      <c r="C264" t="s">
        <v>121</v>
      </c>
      <c r="D264" t="s">
        <v>122</v>
      </c>
      <c r="E264" s="1">
        <v>43864</v>
      </c>
      <c r="F264">
        <v>1</v>
      </c>
      <c r="G264" t="s">
        <v>39</v>
      </c>
      <c r="H264" t="s">
        <v>40</v>
      </c>
      <c r="I264" s="3">
        <v>1069</v>
      </c>
      <c r="J264" s="3">
        <v>1069</v>
      </c>
      <c r="K264" s="3">
        <v>460</v>
      </c>
      <c r="L264" t="s">
        <v>120</v>
      </c>
      <c r="M264">
        <v>10</v>
      </c>
      <c r="N264" t="s">
        <v>83</v>
      </c>
      <c r="O264" t="s">
        <v>81</v>
      </c>
      <c r="P264" t="s">
        <v>12</v>
      </c>
      <c r="Q264" t="s">
        <v>13</v>
      </c>
      <c r="R264" t="s">
        <v>13</v>
      </c>
      <c r="S264" t="s">
        <v>144</v>
      </c>
      <c r="T264" s="2">
        <f>MASTER[[#This Row],[CANTIDAD]]*MASTER[[#This Row],[PRECIO DE VENTA]]</f>
        <v>1069</v>
      </c>
      <c r="U264" s="2">
        <f>MASTER[[#This Row],[CANTIDAD]]*MASTER[[#This Row],[COSTO UNITARIO]]</f>
        <v>460</v>
      </c>
      <c r="V264" s="2">
        <f>MASTER[[#This Row],[MONTO VENDIDO]]-MASTER[[#This Row],[COSTO DE VENTA]]</f>
        <v>609</v>
      </c>
    </row>
    <row r="265" spans="1:22" x14ac:dyDescent="0.3">
      <c r="A265">
        <v>13345</v>
      </c>
      <c r="B265">
        <v>1</v>
      </c>
      <c r="C265" t="s">
        <v>114</v>
      </c>
      <c r="D265" t="s">
        <v>115</v>
      </c>
      <c r="E265" s="1">
        <v>43865</v>
      </c>
      <c r="F265">
        <v>1</v>
      </c>
      <c r="G265" t="s">
        <v>35</v>
      </c>
      <c r="H265" t="s">
        <v>36</v>
      </c>
      <c r="I265" s="3">
        <v>1583</v>
      </c>
      <c r="J265" s="3">
        <v>1583</v>
      </c>
      <c r="K265" s="3">
        <v>394</v>
      </c>
      <c r="L265" t="s">
        <v>113</v>
      </c>
      <c r="M265">
        <v>11</v>
      </c>
      <c r="N265" t="s">
        <v>10</v>
      </c>
      <c r="O265" t="s">
        <v>11</v>
      </c>
      <c r="P265" t="s">
        <v>12</v>
      </c>
      <c r="Q265" t="s">
        <v>13</v>
      </c>
      <c r="R265" t="s">
        <v>13</v>
      </c>
      <c r="S265" t="s">
        <v>144</v>
      </c>
      <c r="T265" s="2">
        <f>MASTER[[#This Row],[CANTIDAD]]*MASTER[[#This Row],[PRECIO DE VENTA]]</f>
        <v>1583</v>
      </c>
      <c r="U265" s="2">
        <f>MASTER[[#This Row],[CANTIDAD]]*MASTER[[#This Row],[COSTO UNITARIO]]</f>
        <v>394</v>
      </c>
      <c r="V265" s="2">
        <f>MASTER[[#This Row],[MONTO VENDIDO]]-MASTER[[#This Row],[COSTO DE VENTA]]</f>
        <v>1189</v>
      </c>
    </row>
    <row r="266" spans="1:22" x14ac:dyDescent="0.3">
      <c r="A266">
        <v>13348</v>
      </c>
      <c r="B266">
        <v>1</v>
      </c>
      <c r="C266" t="s">
        <v>121</v>
      </c>
      <c r="D266" t="s">
        <v>122</v>
      </c>
      <c r="E266" s="1">
        <v>43865</v>
      </c>
      <c r="F266">
        <v>1</v>
      </c>
      <c r="G266" t="s">
        <v>27</v>
      </c>
      <c r="H266" t="s">
        <v>28</v>
      </c>
      <c r="I266" s="3">
        <v>1069</v>
      </c>
      <c r="J266" s="3">
        <v>1069</v>
      </c>
      <c r="K266" s="3">
        <v>460</v>
      </c>
      <c r="L266" t="s">
        <v>120</v>
      </c>
      <c r="M266">
        <v>2</v>
      </c>
      <c r="N266" t="s">
        <v>86</v>
      </c>
      <c r="O266" t="s">
        <v>81</v>
      </c>
      <c r="P266" t="s">
        <v>71</v>
      </c>
      <c r="Q266" t="s">
        <v>72</v>
      </c>
      <c r="R266" t="s">
        <v>139</v>
      </c>
      <c r="S266" t="s">
        <v>144</v>
      </c>
      <c r="T266" s="2">
        <f>MASTER[[#This Row],[CANTIDAD]]*MASTER[[#This Row],[PRECIO DE VENTA]]</f>
        <v>1069</v>
      </c>
      <c r="U266" s="2">
        <f>MASTER[[#This Row],[CANTIDAD]]*MASTER[[#This Row],[COSTO UNITARIO]]</f>
        <v>460</v>
      </c>
      <c r="V266" s="2">
        <f>MASTER[[#This Row],[MONTO VENDIDO]]-MASTER[[#This Row],[COSTO DE VENTA]]</f>
        <v>609</v>
      </c>
    </row>
    <row r="267" spans="1:22" x14ac:dyDescent="0.3">
      <c r="A267">
        <v>13356</v>
      </c>
      <c r="B267">
        <v>1</v>
      </c>
      <c r="C267" t="s">
        <v>109</v>
      </c>
      <c r="D267" t="s">
        <v>110</v>
      </c>
      <c r="E267" s="1">
        <v>43865</v>
      </c>
      <c r="F267">
        <v>1</v>
      </c>
      <c r="G267" t="s">
        <v>53</v>
      </c>
      <c r="H267" t="s">
        <v>54</v>
      </c>
      <c r="I267" s="3">
        <v>947</v>
      </c>
      <c r="J267" s="3">
        <v>947</v>
      </c>
      <c r="K267" s="3">
        <v>387</v>
      </c>
      <c r="L267" t="s">
        <v>98</v>
      </c>
      <c r="M267">
        <v>16</v>
      </c>
      <c r="N267" t="s">
        <v>17</v>
      </c>
      <c r="O267" t="s">
        <v>11</v>
      </c>
      <c r="P267" t="s">
        <v>18</v>
      </c>
      <c r="Q267" t="s">
        <v>19</v>
      </c>
      <c r="R267" t="s">
        <v>138</v>
      </c>
      <c r="S267" t="s">
        <v>144</v>
      </c>
      <c r="T267" s="2">
        <f>MASTER[[#This Row],[CANTIDAD]]*MASTER[[#This Row],[PRECIO DE VENTA]]</f>
        <v>947</v>
      </c>
      <c r="U267" s="2">
        <f>MASTER[[#This Row],[CANTIDAD]]*MASTER[[#This Row],[COSTO UNITARIO]]</f>
        <v>387</v>
      </c>
      <c r="V267" s="2">
        <f>MASTER[[#This Row],[MONTO VENDIDO]]-MASTER[[#This Row],[COSTO DE VENTA]]</f>
        <v>560</v>
      </c>
    </row>
    <row r="268" spans="1:22" x14ac:dyDescent="0.3">
      <c r="A268">
        <v>13359</v>
      </c>
      <c r="B268">
        <v>1</v>
      </c>
      <c r="C268" t="s">
        <v>116</v>
      </c>
      <c r="D268" t="s">
        <v>117</v>
      </c>
      <c r="E268" s="1">
        <v>43865</v>
      </c>
      <c r="F268">
        <v>2</v>
      </c>
      <c r="G268" t="s">
        <v>73</v>
      </c>
      <c r="H268" t="s">
        <v>74</v>
      </c>
      <c r="I268" s="3">
        <v>1529</v>
      </c>
      <c r="J268" s="3">
        <v>1529</v>
      </c>
      <c r="K268" s="3">
        <v>388</v>
      </c>
      <c r="L268" t="s">
        <v>113</v>
      </c>
      <c r="M268">
        <v>11</v>
      </c>
      <c r="N268" t="s">
        <v>10</v>
      </c>
      <c r="O268" t="s">
        <v>11</v>
      </c>
      <c r="P268" t="s">
        <v>12</v>
      </c>
      <c r="Q268" t="s">
        <v>13</v>
      </c>
      <c r="R268" t="s">
        <v>13</v>
      </c>
      <c r="S268" t="s">
        <v>144</v>
      </c>
      <c r="T268" s="2">
        <f>MASTER[[#This Row],[CANTIDAD]]*MASTER[[#This Row],[PRECIO DE VENTA]]</f>
        <v>3058</v>
      </c>
      <c r="U268" s="2">
        <f>MASTER[[#This Row],[CANTIDAD]]*MASTER[[#This Row],[COSTO UNITARIO]]</f>
        <v>776</v>
      </c>
      <c r="V268" s="2">
        <f>MASTER[[#This Row],[MONTO VENDIDO]]-MASTER[[#This Row],[COSTO DE VENTA]]</f>
        <v>2282</v>
      </c>
    </row>
    <row r="269" spans="1:22" x14ac:dyDescent="0.3">
      <c r="A269">
        <v>13377</v>
      </c>
      <c r="B269">
        <v>1</v>
      </c>
      <c r="C269" t="s">
        <v>103</v>
      </c>
      <c r="D269" t="s">
        <v>104</v>
      </c>
      <c r="E269" s="1">
        <v>43865</v>
      </c>
      <c r="F269">
        <v>1</v>
      </c>
      <c r="G269" t="s">
        <v>59</v>
      </c>
      <c r="H269" t="s">
        <v>60</v>
      </c>
      <c r="I269" s="3">
        <v>1591</v>
      </c>
      <c r="J269" s="3">
        <v>1591</v>
      </c>
      <c r="K269" s="3">
        <v>421</v>
      </c>
      <c r="L269" t="s">
        <v>98</v>
      </c>
      <c r="M269">
        <v>7</v>
      </c>
      <c r="N269" t="s">
        <v>84</v>
      </c>
      <c r="O269" t="s">
        <v>81</v>
      </c>
      <c r="P269" t="s">
        <v>12</v>
      </c>
      <c r="Q269" t="s">
        <v>13</v>
      </c>
      <c r="R269" t="s">
        <v>13</v>
      </c>
      <c r="S269" t="s">
        <v>144</v>
      </c>
      <c r="T269" s="2">
        <f>MASTER[[#This Row],[CANTIDAD]]*MASTER[[#This Row],[PRECIO DE VENTA]]</f>
        <v>1591</v>
      </c>
      <c r="U269" s="2">
        <f>MASTER[[#This Row],[CANTIDAD]]*MASTER[[#This Row],[COSTO UNITARIO]]</f>
        <v>421</v>
      </c>
      <c r="V269" s="2">
        <f>MASTER[[#This Row],[MONTO VENDIDO]]-MASTER[[#This Row],[COSTO DE VENTA]]</f>
        <v>1170</v>
      </c>
    </row>
    <row r="270" spans="1:22" x14ac:dyDescent="0.3">
      <c r="A270">
        <v>13385</v>
      </c>
      <c r="B270">
        <v>1</v>
      </c>
      <c r="C270" t="s">
        <v>118</v>
      </c>
      <c r="D270" t="s">
        <v>119</v>
      </c>
      <c r="E270" s="1">
        <v>43865</v>
      </c>
      <c r="F270">
        <v>1</v>
      </c>
      <c r="G270" t="s">
        <v>39</v>
      </c>
      <c r="H270" t="s">
        <v>40</v>
      </c>
      <c r="I270" s="3">
        <v>900</v>
      </c>
      <c r="J270" s="3">
        <v>900</v>
      </c>
      <c r="K270" s="3">
        <v>424</v>
      </c>
      <c r="L270" t="s">
        <v>120</v>
      </c>
      <c r="M270">
        <v>14</v>
      </c>
      <c r="N270" t="s">
        <v>87</v>
      </c>
      <c r="O270" t="s">
        <v>81</v>
      </c>
      <c r="P270" t="s">
        <v>18</v>
      </c>
      <c r="Q270" t="s">
        <v>19</v>
      </c>
      <c r="R270" t="s">
        <v>138</v>
      </c>
      <c r="S270" t="s">
        <v>144</v>
      </c>
      <c r="T270" s="2">
        <f>MASTER[[#This Row],[CANTIDAD]]*MASTER[[#This Row],[PRECIO DE VENTA]]</f>
        <v>900</v>
      </c>
      <c r="U270" s="2">
        <f>MASTER[[#This Row],[CANTIDAD]]*MASTER[[#This Row],[COSTO UNITARIO]]</f>
        <v>424</v>
      </c>
      <c r="V270" s="2">
        <f>MASTER[[#This Row],[MONTO VENDIDO]]-MASTER[[#This Row],[COSTO DE VENTA]]</f>
        <v>476</v>
      </c>
    </row>
    <row r="271" spans="1:22" x14ac:dyDescent="0.3">
      <c r="A271">
        <v>13398</v>
      </c>
      <c r="B271">
        <v>1</v>
      </c>
      <c r="C271" t="s">
        <v>109</v>
      </c>
      <c r="D271" t="s">
        <v>110</v>
      </c>
      <c r="E271" s="1">
        <v>43865</v>
      </c>
      <c r="F271">
        <v>1</v>
      </c>
      <c r="G271" t="s">
        <v>22</v>
      </c>
      <c r="H271" t="s">
        <v>23</v>
      </c>
      <c r="I271" s="3">
        <v>1128</v>
      </c>
      <c r="J271" s="3">
        <v>1128</v>
      </c>
      <c r="K271" s="3">
        <v>387</v>
      </c>
      <c r="L271" t="s">
        <v>98</v>
      </c>
      <c r="M271">
        <v>3</v>
      </c>
      <c r="N271" t="s">
        <v>69</v>
      </c>
      <c r="O271" t="s">
        <v>70</v>
      </c>
      <c r="P271" t="s">
        <v>71</v>
      </c>
      <c r="Q271" t="s">
        <v>72</v>
      </c>
      <c r="R271" t="s">
        <v>139</v>
      </c>
      <c r="S271" t="s">
        <v>144</v>
      </c>
      <c r="T271" s="2">
        <f>MASTER[[#This Row],[CANTIDAD]]*MASTER[[#This Row],[PRECIO DE VENTA]]</f>
        <v>1128</v>
      </c>
      <c r="U271" s="2">
        <f>MASTER[[#This Row],[CANTIDAD]]*MASTER[[#This Row],[COSTO UNITARIO]]</f>
        <v>387</v>
      </c>
      <c r="V271" s="2">
        <f>MASTER[[#This Row],[MONTO VENDIDO]]-MASTER[[#This Row],[COSTO DE VENTA]]</f>
        <v>741</v>
      </c>
    </row>
    <row r="272" spans="1:22" x14ac:dyDescent="0.3">
      <c r="A272">
        <v>13404</v>
      </c>
      <c r="B272">
        <v>1</v>
      </c>
      <c r="C272" t="s">
        <v>94</v>
      </c>
      <c r="D272" t="s">
        <v>95</v>
      </c>
      <c r="E272" s="1">
        <v>43865</v>
      </c>
      <c r="F272">
        <v>1</v>
      </c>
      <c r="G272" t="s">
        <v>27</v>
      </c>
      <c r="H272" t="s">
        <v>28</v>
      </c>
      <c r="I272" s="3">
        <v>1048</v>
      </c>
      <c r="J272" s="3">
        <v>1048</v>
      </c>
      <c r="K272" s="3">
        <v>392</v>
      </c>
      <c r="L272" t="s">
        <v>9</v>
      </c>
      <c r="M272">
        <v>5</v>
      </c>
      <c r="N272" t="s">
        <v>85</v>
      </c>
      <c r="O272" t="s">
        <v>81</v>
      </c>
      <c r="P272" t="s">
        <v>12</v>
      </c>
      <c r="Q272" t="s">
        <v>13</v>
      </c>
      <c r="R272" t="s">
        <v>13</v>
      </c>
      <c r="S272" t="s">
        <v>144</v>
      </c>
      <c r="T272" s="2">
        <f>MASTER[[#This Row],[CANTIDAD]]*MASTER[[#This Row],[PRECIO DE VENTA]]</f>
        <v>1048</v>
      </c>
      <c r="U272" s="2">
        <f>MASTER[[#This Row],[CANTIDAD]]*MASTER[[#This Row],[COSTO UNITARIO]]</f>
        <v>392</v>
      </c>
      <c r="V272" s="2">
        <f>MASTER[[#This Row],[MONTO VENDIDO]]-MASTER[[#This Row],[COSTO DE VENTA]]</f>
        <v>656</v>
      </c>
    </row>
    <row r="273" spans="1:22" x14ac:dyDescent="0.3">
      <c r="A273">
        <v>13424</v>
      </c>
      <c r="B273">
        <v>1</v>
      </c>
      <c r="C273" t="s">
        <v>90</v>
      </c>
      <c r="D273" t="s">
        <v>91</v>
      </c>
      <c r="E273" s="1">
        <v>43866</v>
      </c>
      <c r="F273">
        <v>1</v>
      </c>
      <c r="G273" t="s">
        <v>67</v>
      </c>
      <c r="H273" t="s">
        <v>68</v>
      </c>
      <c r="I273" s="3">
        <v>1844</v>
      </c>
      <c r="J273" s="3">
        <v>1844</v>
      </c>
      <c r="K273" s="3">
        <v>420</v>
      </c>
      <c r="L273" t="s">
        <v>9</v>
      </c>
      <c r="M273">
        <v>4</v>
      </c>
      <c r="N273" t="s">
        <v>82</v>
      </c>
      <c r="O273" t="s">
        <v>81</v>
      </c>
      <c r="P273" t="s">
        <v>71</v>
      </c>
      <c r="Q273" t="s">
        <v>72</v>
      </c>
      <c r="R273" t="s">
        <v>139</v>
      </c>
      <c r="S273" t="s">
        <v>144</v>
      </c>
      <c r="T273" s="2">
        <f>MASTER[[#This Row],[CANTIDAD]]*MASTER[[#This Row],[PRECIO DE VENTA]]</f>
        <v>1844</v>
      </c>
      <c r="U273" s="2">
        <f>MASTER[[#This Row],[CANTIDAD]]*MASTER[[#This Row],[COSTO UNITARIO]]</f>
        <v>420</v>
      </c>
      <c r="V273" s="2">
        <f>MASTER[[#This Row],[MONTO VENDIDO]]-MASTER[[#This Row],[COSTO DE VENTA]]</f>
        <v>1424</v>
      </c>
    </row>
    <row r="274" spans="1:22" x14ac:dyDescent="0.3">
      <c r="A274">
        <v>13427</v>
      </c>
      <c r="B274">
        <v>1</v>
      </c>
      <c r="C274" t="s">
        <v>103</v>
      </c>
      <c r="D274" t="s">
        <v>104</v>
      </c>
      <c r="E274" s="1">
        <v>43866</v>
      </c>
      <c r="F274">
        <v>1</v>
      </c>
      <c r="G274" t="s">
        <v>45</v>
      </c>
      <c r="H274" t="s">
        <v>46</v>
      </c>
      <c r="I274" s="3">
        <v>1591</v>
      </c>
      <c r="J274" s="3">
        <v>1591</v>
      </c>
      <c r="K274" s="3">
        <v>421</v>
      </c>
      <c r="L274" t="s">
        <v>98</v>
      </c>
      <c r="M274">
        <v>8</v>
      </c>
      <c r="N274" t="s">
        <v>80</v>
      </c>
      <c r="O274" t="s">
        <v>81</v>
      </c>
      <c r="P274" t="s">
        <v>12</v>
      </c>
      <c r="Q274" t="s">
        <v>13</v>
      </c>
      <c r="R274" t="s">
        <v>13</v>
      </c>
      <c r="S274" t="s">
        <v>144</v>
      </c>
      <c r="T274" s="2">
        <f>MASTER[[#This Row],[CANTIDAD]]*MASTER[[#This Row],[PRECIO DE VENTA]]</f>
        <v>1591</v>
      </c>
      <c r="U274" s="2">
        <f>MASTER[[#This Row],[CANTIDAD]]*MASTER[[#This Row],[COSTO UNITARIO]]</f>
        <v>421</v>
      </c>
      <c r="V274" s="2">
        <f>MASTER[[#This Row],[MONTO VENDIDO]]-MASTER[[#This Row],[COSTO DE VENTA]]</f>
        <v>1170</v>
      </c>
    </row>
    <row r="275" spans="1:22" x14ac:dyDescent="0.3">
      <c r="A275">
        <v>13428</v>
      </c>
      <c r="B275">
        <v>1</v>
      </c>
      <c r="C275" t="s">
        <v>114</v>
      </c>
      <c r="D275" t="s">
        <v>115</v>
      </c>
      <c r="E275" s="1">
        <v>43866</v>
      </c>
      <c r="F275">
        <v>1</v>
      </c>
      <c r="G275" t="s">
        <v>29</v>
      </c>
      <c r="H275" t="s">
        <v>30</v>
      </c>
      <c r="I275" s="3">
        <v>1583</v>
      </c>
      <c r="J275" s="3">
        <v>1583</v>
      </c>
      <c r="K275" s="3">
        <v>394</v>
      </c>
      <c r="L275" t="s">
        <v>113</v>
      </c>
      <c r="M275">
        <v>16</v>
      </c>
      <c r="N275" t="s">
        <v>17</v>
      </c>
      <c r="O275" t="s">
        <v>11</v>
      </c>
      <c r="P275" t="s">
        <v>18</v>
      </c>
      <c r="Q275" t="s">
        <v>19</v>
      </c>
      <c r="R275" t="s">
        <v>138</v>
      </c>
      <c r="S275" t="s">
        <v>144</v>
      </c>
      <c r="T275" s="2">
        <f>MASTER[[#This Row],[CANTIDAD]]*MASTER[[#This Row],[PRECIO DE VENTA]]</f>
        <v>1583</v>
      </c>
      <c r="U275" s="2">
        <f>MASTER[[#This Row],[CANTIDAD]]*MASTER[[#This Row],[COSTO UNITARIO]]</f>
        <v>394</v>
      </c>
      <c r="V275" s="2">
        <f>MASTER[[#This Row],[MONTO VENDIDO]]-MASTER[[#This Row],[COSTO DE VENTA]]</f>
        <v>1189</v>
      </c>
    </row>
    <row r="276" spans="1:22" x14ac:dyDescent="0.3">
      <c r="A276">
        <v>13429</v>
      </c>
      <c r="B276">
        <v>1</v>
      </c>
      <c r="C276" t="s">
        <v>92</v>
      </c>
      <c r="D276" t="s">
        <v>93</v>
      </c>
      <c r="E276" s="1">
        <v>43866</v>
      </c>
      <c r="F276">
        <v>1</v>
      </c>
      <c r="G276" t="s">
        <v>7</v>
      </c>
      <c r="H276" t="s">
        <v>8</v>
      </c>
      <c r="I276" s="3">
        <v>1866</v>
      </c>
      <c r="J276" s="3">
        <v>1866</v>
      </c>
      <c r="K276" s="3">
        <v>396</v>
      </c>
      <c r="L276" t="s">
        <v>9</v>
      </c>
      <c r="M276">
        <v>3</v>
      </c>
      <c r="N276" t="s">
        <v>69</v>
      </c>
      <c r="O276" t="s">
        <v>70</v>
      </c>
      <c r="P276" t="s">
        <v>71</v>
      </c>
      <c r="Q276" t="s">
        <v>72</v>
      </c>
      <c r="R276" t="s">
        <v>139</v>
      </c>
      <c r="S276" t="s">
        <v>144</v>
      </c>
      <c r="T276" s="2">
        <f>MASTER[[#This Row],[CANTIDAD]]*MASTER[[#This Row],[PRECIO DE VENTA]]</f>
        <v>1866</v>
      </c>
      <c r="U276" s="2">
        <f>MASTER[[#This Row],[CANTIDAD]]*MASTER[[#This Row],[COSTO UNITARIO]]</f>
        <v>396</v>
      </c>
      <c r="V276" s="2">
        <f>MASTER[[#This Row],[MONTO VENDIDO]]-MASTER[[#This Row],[COSTO DE VENTA]]</f>
        <v>1470</v>
      </c>
    </row>
    <row r="277" spans="1:22" x14ac:dyDescent="0.3">
      <c r="A277">
        <v>13429</v>
      </c>
      <c r="B277">
        <v>2</v>
      </c>
      <c r="C277" t="s">
        <v>92</v>
      </c>
      <c r="D277" t="s">
        <v>93</v>
      </c>
      <c r="E277" s="1">
        <v>43866</v>
      </c>
      <c r="F277">
        <v>1</v>
      </c>
      <c r="G277" t="s">
        <v>39</v>
      </c>
      <c r="H277" t="s">
        <v>40</v>
      </c>
      <c r="I277" s="3">
        <v>1866</v>
      </c>
      <c r="J277" s="3">
        <v>1866</v>
      </c>
      <c r="K277" s="3">
        <v>396</v>
      </c>
      <c r="L277" t="s">
        <v>9</v>
      </c>
      <c r="M277">
        <v>3</v>
      </c>
      <c r="N277" t="s">
        <v>69</v>
      </c>
      <c r="O277" t="s">
        <v>70</v>
      </c>
      <c r="P277" t="s">
        <v>71</v>
      </c>
      <c r="Q277" t="s">
        <v>72</v>
      </c>
      <c r="R277" t="s">
        <v>139</v>
      </c>
      <c r="S277" t="s">
        <v>144</v>
      </c>
      <c r="T277" s="2">
        <f>MASTER[[#This Row],[CANTIDAD]]*MASTER[[#This Row],[PRECIO DE VENTA]]</f>
        <v>1866</v>
      </c>
      <c r="U277" s="2">
        <f>MASTER[[#This Row],[CANTIDAD]]*MASTER[[#This Row],[COSTO UNITARIO]]</f>
        <v>396</v>
      </c>
      <c r="V277" s="2">
        <f>MASTER[[#This Row],[MONTO VENDIDO]]-MASTER[[#This Row],[COSTO DE VENTA]]</f>
        <v>1470</v>
      </c>
    </row>
    <row r="278" spans="1:22" x14ac:dyDescent="0.3">
      <c r="A278">
        <v>13429</v>
      </c>
      <c r="B278">
        <v>3</v>
      </c>
      <c r="C278" t="s">
        <v>99</v>
      </c>
      <c r="D278" t="s">
        <v>100</v>
      </c>
      <c r="E278" s="1">
        <v>43866</v>
      </c>
      <c r="F278">
        <v>1</v>
      </c>
      <c r="G278" t="s">
        <v>22</v>
      </c>
      <c r="H278" t="s">
        <v>23</v>
      </c>
      <c r="I278" s="3">
        <v>1678</v>
      </c>
      <c r="J278" s="3">
        <v>1577</v>
      </c>
      <c r="K278" s="3">
        <v>386</v>
      </c>
      <c r="L278" t="s">
        <v>98</v>
      </c>
      <c r="M278">
        <v>3</v>
      </c>
      <c r="N278" t="s">
        <v>69</v>
      </c>
      <c r="O278" t="s">
        <v>70</v>
      </c>
      <c r="P278" t="s">
        <v>71</v>
      </c>
      <c r="Q278" t="s">
        <v>72</v>
      </c>
      <c r="R278" t="s">
        <v>139</v>
      </c>
      <c r="S278" t="s">
        <v>144</v>
      </c>
      <c r="T278" s="2">
        <f>MASTER[[#This Row],[CANTIDAD]]*MASTER[[#This Row],[PRECIO DE VENTA]]</f>
        <v>1577</v>
      </c>
      <c r="U278" s="2">
        <f>MASTER[[#This Row],[CANTIDAD]]*MASTER[[#This Row],[COSTO UNITARIO]]</f>
        <v>386</v>
      </c>
      <c r="V278" s="2">
        <f>MASTER[[#This Row],[MONTO VENDIDO]]-MASTER[[#This Row],[COSTO DE VENTA]]</f>
        <v>1191</v>
      </c>
    </row>
    <row r="279" spans="1:22" x14ac:dyDescent="0.3">
      <c r="A279">
        <v>13456</v>
      </c>
      <c r="B279">
        <v>1</v>
      </c>
      <c r="C279" t="s">
        <v>121</v>
      </c>
      <c r="D279" t="s">
        <v>122</v>
      </c>
      <c r="E279" s="1">
        <v>43866</v>
      </c>
      <c r="F279">
        <v>2</v>
      </c>
      <c r="G279" t="s">
        <v>65</v>
      </c>
      <c r="H279" t="s">
        <v>66</v>
      </c>
      <c r="I279" s="3">
        <v>1069</v>
      </c>
      <c r="J279" s="3">
        <v>1069</v>
      </c>
      <c r="K279" s="3">
        <v>460</v>
      </c>
      <c r="L279" t="s">
        <v>120</v>
      </c>
      <c r="M279">
        <v>8</v>
      </c>
      <c r="N279" t="s">
        <v>80</v>
      </c>
      <c r="O279" t="s">
        <v>81</v>
      </c>
      <c r="P279" t="s">
        <v>12</v>
      </c>
      <c r="Q279" t="s">
        <v>13</v>
      </c>
      <c r="R279" t="s">
        <v>13</v>
      </c>
      <c r="S279" t="s">
        <v>144</v>
      </c>
      <c r="T279" s="2">
        <f>MASTER[[#This Row],[CANTIDAD]]*MASTER[[#This Row],[PRECIO DE VENTA]]</f>
        <v>2138</v>
      </c>
      <c r="U279" s="2">
        <f>MASTER[[#This Row],[CANTIDAD]]*MASTER[[#This Row],[COSTO UNITARIO]]</f>
        <v>920</v>
      </c>
      <c r="V279" s="2">
        <f>MASTER[[#This Row],[MONTO VENDIDO]]-MASTER[[#This Row],[COSTO DE VENTA]]</f>
        <v>1218</v>
      </c>
    </row>
    <row r="280" spans="1:22" x14ac:dyDescent="0.3">
      <c r="A280">
        <v>13498</v>
      </c>
      <c r="B280">
        <v>1</v>
      </c>
      <c r="C280" t="s">
        <v>99</v>
      </c>
      <c r="D280" t="s">
        <v>100</v>
      </c>
      <c r="E280" s="1">
        <v>43866</v>
      </c>
      <c r="F280">
        <v>1</v>
      </c>
      <c r="G280" t="s">
        <v>51</v>
      </c>
      <c r="H280" t="s">
        <v>52</v>
      </c>
      <c r="I280" s="3">
        <v>1328</v>
      </c>
      <c r="J280" s="3">
        <v>1328</v>
      </c>
      <c r="K280" s="3">
        <v>386</v>
      </c>
      <c r="L280" t="s">
        <v>98</v>
      </c>
      <c r="M280">
        <v>17</v>
      </c>
      <c r="N280" t="s">
        <v>14</v>
      </c>
      <c r="O280" t="s">
        <v>11</v>
      </c>
      <c r="P280" t="s">
        <v>15</v>
      </c>
      <c r="Q280" t="s">
        <v>16</v>
      </c>
      <c r="R280" t="s">
        <v>16</v>
      </c>
      <c r="S280" t="s">
        <v>144</v>
      </c>
      <c r="T280" s="2">
        <f>MASTER[[#This Row],[CANTIDAD]]*MASTER[[#This Row],[PRECIO DE VENTA]]</f>
        <v>1328</v>
      </c>
      <c r="U280" s="2">
        <f>MASTER[[#This Row],[CANTIDAD]]*MASTER[[#This Row],[COSTO UNITARIO]]</f>
        <v>386</v>
      </c>
      <c r="V280" s="2">
        <f>MASTER[[#This Row],[MONTO VENDIDO]]-MASTER[[#This Row],[COSTO DE VENTA]]</f>
        <v>942</v>
      </c>
    </row>
    <row r="281" spans="1:22" x14ac:dyDescent="0.3">
      <c r="A281">
        <v>13506</v>
      </c>
      <c r="B281">
        <v>1</v>
      </c>
      <c r="C281" t="s">
        <v>111</v>
      </c>
      <c r="D281" t="s">
        <v>112</v>
      </c>
      <c r="E281" s="1">
        <v>43866</v>
      </c>
      <c r="F281">
        <v>1</v>
      </c>
      <c r="G281" t="s">
        <v>41</v>
      </c>
      <c r="H281" t="s">
        <v>42</v>
      </c>
      <c r="I281" s="3">
        <v>1524</v>
      </c>
      <c r="J281" s="3">
        <v>1524</v>
      </c>
      <c r="K281" s="3">
        <v>434</v>
      </c>
      <c r="L281" t="s">
        <v>113</v>
      </c>
      <c r="M281">
        <v>12</v>
      </c>
      <c r="N281" t="s">
        <v>26</v>
      </c>
      <c r="O281" t="s">
        <v>11</v>
      </c>
      <c r="P281" t="s">
        <v>12</v>
      </c>
      <c r="Q281" t="s">
        <v>13</v>
      </c>
      <c r="R281" t="s">
        <v>13</v>
      </c>
      <c r="S281" t="s">
        <v>144</v>
      </c>
      <c r="T281" s="2">
        <f>MASTER[[#This Row],[CANTIDAD]]*MASTER[[#This Row],[PRECIO DE VENTA]]</f>
        <v>1524</v>
      </c>
      <c r="U281" s="2">
        <f>MASTER[[#This Row],[CANTIDAD]]*MASTER[[#This Row],[COSTO UNITARIO]]</f>
        <v>434</v>
      </c>
      <c r="V281" s="2">
        <f>MASTER[[#This Row],[MONTO VENDIDO]]-MASTER[[#This Row],[COSTO DE VENTA]]</f>
        <v>1090</v>
      </c>
    </row>
    <row r="282" spans="1:22" x14ac:dyDescent="0.3">
      <c r="A282">
        <v>13507</v>
      </c>
      <c r="B282">
        <v>1</v>
      </c>
      <c r="C282" t="s">
        <v>116</v>
      </c>
      <c r="D282" t="s">
        <v>117</v>
      </c>
      <c r="E282" s="1">
        <v>43866</v>
      </c>
      <c r="F282">
        <v>1</v>
      </c>
      <c r="G282" t="s">
        <v>35</v>
      </c>
      <c r="H282" t="s">
        <v>36</v>
      </c>
      <c r="I282" s="3">
        <v>1999</v>
      </c>
      <c r="J282" s="3">
        <v>1999</v>
      </c>
      <c r="K282" s="3">
        <v>388</v>
      </c>
      <c r="L282" t="s">
        <v>113</v>
      </c>
      <c r="M282">
        <v>6</v>
      </c>
      <c r="N282" t="s">
        <v>75</v>
      </c>
      <c r="O282" t="s">
        <v>70</v>
      </c>
      <c r="P282" t="s">
        <v>12</v>
      </c>
      <c r="Q282" t="s">
        <v>13</v>
      </c>
      <c r="R282" t="s">
        <v>13</v>
      </c>
      <c r="S282" t="s">
        <v>144</v>
      </c>
      <c r="T282" s="2">
        <f>MASTER[[#This Row],[CANTIDAD]]*MASTER[[#This Row],[PRECIO DE VENTA]]</f>
        <v>1999</v>
      </c>
      <c r="U282" s="2">
        <f>MASTER[[#This Row],[CANTIDAD]]*MASTER[[#This Row],[COSTO UNITARIO]]</f>
        <v>388</v>
      </c>
      <c r="V282" s="2">
        <f>MASTER[[#This Row],[MONTO VENDIDO]]-MASTER[[#This Row],[COSTO DE VENTA]]</f>
        <v>1611</v>
      </c>
    </row>
    <row r="283" spans="1:22" x14ac:dyDescent="0.3">
      <c r="A283">
        <v>13564</v>
      </c>
      <c r="B283">
        <v>1</v>
      </c>
      <c r="C283" t="s">
        <v>114</v>
      </c>
      <c r="D283" t="s">
        <v>115</v>
      </c>
      <c r="E283" s="1">
        <v>43866</v>
      </c>
      <c r="F283">
        <v>1</v>
      </c>
      <c r="G283" t="s">
        <v>22</v>
      </c>
      <c r="H283" t="s">
        <v>23</v>
      </c>
      <c r="I283" s="3">
        <v>1862</v>
      </c>
      <c r="J283" s="3">
        <v>1862</v>
      </c>
      <c r="K283" s="3">
        <v>394</v>
      </c>
      <c r="L283" t="s">
        <v>113</v>
      </c>
      <c r="M283">
        <v>5</v>
      </c>
      <c r="N283" t="s">
        <v>85</v>
      </c>
      <c r="O283" t="s">
        <v>81</v>
      </c>
      <c r="P283" t="s">
        <v>12</v>
      </c>
      <c r="Q283" t="s">
        <v>13</v>
      </c>
      <c r="R283" t="s">
        <v>13</v>
      </c>
      <c r="S283" t="s">
        <v>144</v>
      </c>
      <c r="T283" s="2">
        <f>MASTER[[#This Row],[CANTIDAD]]*MASTER[[#This Row],[PRECIO DE VENTA]]</f>
        <v>1862</v>
      </c>
      <c r="U283" s="2">
        <f>MASTER[[#This Row],[CANTIDAD]]*MASTER[[#This Row],[COSTO UNITARIO]]</f>
        <v>394</v>
      </c>
      <c r="V283" s="2">
        <f>MASTER[[#This Row],[MONTO VENDIDO]]-MASTER[[#This Row],[COSTO DE VENTA]]</f>
        <v>1468</v>
      </c>
    </row>
    <row r="284" spans="1:22" x14ac:dyDescent="0.3">
      <c r="A284">
        <v>13565</v>
      </c>
      <c r="B284">
        <v>1</v>
      </c>
      <c r="C284" t="s">
        <v>114</v>
      </c>
      <c r="D284" t="s">
        <v>115</v>
      </c>
      <c r="E284" s="1">
        <v>43866</v>
      </c>
      <c r="F284">
        <v>1</v>
      </c>
      <c r="G284" t="s">
        <v>39</v>
      </c>
      <c r="H284" t="s">
        <v>40</v>
      </c>
      <c r="I284" s="3">
        <v>2030</v>
      </c>
      <c r="J284" s="3">
        <v>1948</v>
      </c>
      <c r="K284" s="3">
        <v>394</v>
      </c>
      <c r="L284" t="s">
        <v>113</v>
      </c>
      <c r="M284">
        <v>13</v>
      </c>
      <c r="N284" t="s">
        <v>78</v>
      </c>
      <c r="O284" t="s">
        <v>70</v>
      </c>
      <c r="P284" t="s">
        <v>18</v>
      </c>
      <c r="Q284" t="s">
        <v>19</v>
      </c>
      <c r="R284" t="s">
        <v>138</v>
      </c>
      <c r="S284" t="s">
        <v>144</v>
      </c>
      <c r="T284" s="2">
        <f>MASTER[[#This Row],[CANTIDAD]]*MASTER[[#This Row],[PRECIO DE VENTA]]</f>
        <v>1948</v>
      </c>
      <c r="U284" s="2">
        <f>MASTER[[#This Row],[CANTIDAD]]*MASTER[[#This Row],[COSTO UNITARIO]]</f>
        <v>394</v>
      </c>
      <c r="V284" s="2">
        <f>MASTER[[#This Row],[MONTO VENDIDO]]-MASTER[[#This Row],[COSTO DE VENTA]]</f>
        <v>1554</v>
      </c>
    </row>
    <row r="285" spans="1:22" x14ac:dyDescent="0.3">
      <c r="A285">
        <v>13588</v>
      </c>
      <c r="B285">
        <v>1</v>
      </c>
      <c r="C285" t="s">
        <v>116</v>
      </c>
      <c r="D285" t="s">
        <v>117</v>
      </c>
      <c r="E285" s="1">
        <v>43866</v>
      </c>
      <c r="F285">
        <v>1</v>
      </c>
      <c r="G285" t="s">
        <v>33</v>
      </c>
      <c r="H285" t="s">
        <v>34</v>
      </c>
      <c r="I285" s="3">
        <v>1738</v>
      </c>
      <c r="J285" s="3">
        <v>1738</v>
      </c>
      <c r="K285" s="3">
        <v>388</v>
      </c>
      <c r="L285" t="s">
        <v>113</v>
      </c>
      <c r="M285">
        <v>7</v>
      </c>
      <c r="N285" t="s">
        <v>84</v>
      </c>
      <c r="O285" t="s">
        <v>81</v>
      </c>
      <c r="P285" t="s">
        <v>12</v>
      </c>
      <c r="Q285" t="s">
        <v>13</v>
      </c>
      <c r="R285" t="s">
        <v>13</v>
      </c>
      <c r="S285" t="s">
        <v>144</v>
      </c>
      <c r="T285" s="2">
        <f>MASTER[[#This Row],[CANTIDAD]]*MASTER[[#This Row],[PRECIO DE VENTA]]</f>
        <v>1738</v>
      </c>
      <c r="U285" s="2">
        <f>MASTER[[#This Row],[CANTIDAD]]*MASTER[[#This Row],[COSTO UNITARIO]]</f>
        <v>388</v>
      </c>
      <c r="V285" s="2">
        <f>MASTER[[#This Row],[MONTO VENDIDO]]-MASTER[[#This Row],[COSTO DE VENTA]]</f>
        <v>1350</v>
      </c>
    </row>
    <row r="286" spans="1:22" x14ac:dyDescent="0.3">
      <c r="A286">
        <v>13594</v>
      </c>
      <c r="B286">
        <v>1</v>
      </c>
      <c r="C286" t="s">
        <v>101</v>
      </c>
      <c r="D286" t="s">
        <v>102</v>
      </c>
      <c r="E286" s="1">
        <v>43867</v>
      </c>
      <c r="F286">
        <v>1</v>
      </c>
      <c r="G286" t="s">
        <v>51</v>
      </c>
      <c r="H286" t="s">
        <v>52</v>
      </c>
      <c r="I286" s="3">
        <v>1054</v>
      </c>
      <c r="J286" s="3">
        <v>1054</v>
      </c>
      <c r="K286" s="3">
        <v>442</v>
      </c>
      <c r="L286" t="s">
        <v>98</v>
      </c>
      <c r="M286">
        <v>16</v>
      </c>
      <c r="N286" t="s">
        <v>17</v>
      </c>
      <c r="O286" t="s">
        <v>11</v>
      </c>
      <c r="P286" t="s">
        <v>18</v>
      </c>
      <c r="Q286" t="s">
        <v>19</v>
      </c>
      <c r="R286" t="s">
        <v>138</v>
      </c>
      <c r="S286" t="s">
        <v>144</v>
      </c>
      <c r="T286" s="2">
        <f>MASTER[[#This Row],[CANTIDAD]]*MASTER[[#This Row],[PRECIO DE VENTA]]</f>
        <v>1054</v>
      </c>
      <c r="U286" s="2">
        <f>MASTER[[#This Row],[CANTIDAD]]*MASTER[[#This Row],[COSTO UNITARIO]]</f>
        <v>442</v>
      </c>
      <c r="V286" s="2">
        <f>MASTER[[#This Row],[MONTO VENDIDO]]-MASTER[[#This Row],[COSTO DE VENTA]]</f>
        <v>612</v>
      </c>
    </row>
    <row r="287" spans="1:22" x14ac:dyDescent="0.3">
      <c r="A287">
        <v>13614</v>
      </c>
      <c r="B287">
        <v>1</v>
      </c>
      <c r="C287" t="s">
        <v>94</v>
      </c>
      <c r="D287" t="s">
        <v>95</v>
      </c>
      <c r="E287" s="1">
        <v>43867</v>
      </c>
      <c r="F287">
        <v>1</v>
      </c>
      <c r="G287" t="s">
        <v>39</v>
      </c>
      <c r="H287" t="s">
        <v>40</v>
      </c>
      <c r="I287" s="3">
        <v>1048</v>
      </c>
      <c r="J287" s="3">
        <v>1048</v>
      </c>
      <c r="K287" s="3">
        <v>392</v>
      </c>
      <c r="L287" t="s">
        <v>9</v>
      </c>
      <c r="M287">
        <v>8</v>
      </c>
      <c r="N287" t="s">
        <v>80</v>
      </c>
      <c r="O287" t="s">
        <v>81</v>
      </c>
      <c r="P287" t="s">
        <v>12</v>
      </c>
      <c r="Q287" t="s">
        <v>13</v>
      </c>
      <c r="R287" t="s">
        <v>13</v>
      </c>
      <c r="S287" t="s">
        <v>144</v>
      </c>
      <c r="T287" s="2">
        <f>MASTER[[#This Row],[CANTIDAD]]*MASTER[[#This Row],[PRECIO DE VENTA]]</f>
        <v>1048</v>
      </c>
      <c r="U287" s="2">
        <f>MASTER[[#This Row],[CANTIDAD]]*MASTER[[#This Row],[COSTO UNITARIO]]</f>
        <v>392</v>
      </c>
      <c r="V287" s="2">
        <f>MASTER[[#This Row],[MONTO VENDIDO]]-MASTER[[#This Row],[COSTO DE VENTA]]</f>
        <v>656</v>
      </c>
    </row>
    <row r="288" spans="1:22" x14ac:dyDescent="0.3">
      <c r="A288">
        <v>13630</v>
      </c>
      <c r="B288">
        <v>1</v>
      </c>
      <c r="C288" t="s">
        <v>107</v>
      </c>
      <c r="D288" t="s">
        <v>108</v>
      </c>
      <c r="E288" s="1">
        <v>43867</v>
      </c>
      <c r="F288">
        <v>1</v>
      </c>
      <c r="G288" t="s">
        <v>29</v>
      </c>
      <c r="H288" t="s">
        <v>30</v>
      </c>
      <c r="I288" s="3">
        <v>1440</v>
      </c>
      <c r="J288" s="3">
        <v>1440</v>
      </c>
      <c r="K288" s="3">
        <v>380</v>
      </c>
      <c r="L288" t="s">
        <v>98</v>
      </c>
      <c r="M288">
        <v>18</v>
      </c>
      <c r="N288" t="s">
        <v>79</v>
      </c>
      <c r="O288" t="s">
        <v>70</v>
      </c>
      <c r="P288" t="s">
        <v>15</v>
      </c>
      <c r="Q288" t="s">
        <v>16</v>
      </c>
      <c r="R288" t="s">
        <v>16</v>
      </c>
      <c r="S288" t="s">
        <v>144</v>
      </c>
      <c r="T288" s="2">
        <f>MASTER[[#This Row],[CANTIDAD]]*MASTER[[#This Row],[PRECIO DE VENTA]]</f>
        <v>1440</v>
      </c>
      <c r="U288" s="2">
        <f>MASTER[[#This Row],[CANTIDAD]]*MASTER[[#This Row],[COSTO UNITARIO]]</f>
        <v>380</v>
      </c>
      <c r="V288" s="2">
        <f>MASTER[[#This Row],[MONTO VENDIDO]]-MASTER[[#This Row],[COSTO DE VENTA]]</f>
        <v>1060</v>
      </c>
    </row>
    <row r="289" spans="1:22" x14ac:dyDescent="0.3">
      <c r="A289">
        <v>13631</v>
      </c>
      <c r="B289">
        <v>1</v>
      </c>
      <c r="C289" t="s">
        <v>92</v>
      </c>
      <c r="D289" t="s">
        <v>93</v>
      </c>
      <c r="E289" s="1">
        <v>43867</v>
      </c>
      <c r="F289">
        <v>1</v>
      </c>
      <c r="G289" t="s">
        <v>29</v>
      </c>
      <c r="H289" t="s">
        <v>30</v>
      </c>
      <c r="I289" s="3">
        <v>1479</v>
      </c>
      <c r="J289" s="3">
        <v>1405</v>
      </c>
      <c r="K289" s="3">
        <v>396</v>
      </c>
      <c r="L289" t="s">
        <v>9</v>
      </c>
      <c r="M289">
        <v>17</v>
      </c>
      <c r="N289" t="s">
        <v>14</v>
      </c>
      <c r="O289" t="s">
        <v>11</v>
      </c>
      <c r="P289" t="s">
        <v>15</v>
      </c>
      <c r="Q289" t="s">
        <v>16</v>
      </c>
      <c r="R289" t="s">
        <v>16</v>
      </c>
      <c r="S289" t="s">
        <v>144</v>
      </c>
      <c r="T289" s="2">
        <f>MASTER[[#This Row],[CANTIDAD]]*MASTER[[#This Row],[PRECIO DE VENTA]]</f>
        <v>1405</v>
      </c>
      <c r="U289" s="2">
        <f>MASTER[[#This Row],[CANTIDAD]]*MASTER[[#This Row],[COSTO UNITARIO]]</f>
        <v>396</v>
      </c>
      <c r="V289" s="2">
        <f>MASTER[[#This Row],[MONTO VENDIDO]]-MASTER[[#This Row],[COSTO DE VENTA]]</f>
        <v>1009</v>
      </c>
    </row>
    <row r="290" spans="1:22" x14ac:dyDescent="0.3">
      <c r="A290">
        <v>13641</v>
      </c>
      <c r="B290">
        <v>1</v>
      </c>
      <c r="C290" t="s">
        <v>92</v>
      </c>
      <c r="D290" t="s">
        <v>93</v>
      </c>
      <c r="E290" s="1">
        <v>43867</v>
      </c>
      <c r="F290">
        <v>1</v>
      </c>
      <c r="G290" t="s">
        <v>49</v>
      </c>
      <c r="H290" t="s">
        <v>50</v>
      </c>
      <c r="I290" s="3">
        <v>1681</v>
      </c>
      <c r="J290" s="3">
        <v>1681</v>
      </c>
      <c r="K290" s="3">
        <v>396</v>
      </c>
      <c r="L290" t="s">
        <v>9</v>
      </c>
      <c r="M290">
        <v>4</v>
      </c>
      <c r="N290" t="s">
        <v>82</v>
      </c>
      <c r="O290" t="s">
        <v>81</v>
      </c>
      <c r="P290" t="s">
        <v>71</v>
      </c>
      <c r="Q290" t="s">
        <v>72</v>
      </c>
      <c r="R290" t="s">
        <v>139</v>
      </c>
      <c r="S290" t="s">
        <v>144</v>
      </c>
      <c r="T290" s="2">
        <f>MASTER[[#This Row],[CANTIDAD]]*MASTER[[#This Row],[PRECIO DE VENTA]]</f>
        <v>1681</v>
      </c>
      <c r="U290" s="2">
        <f>MASTER[[#This Row],[CANTIDAD]]*MASTER[[#This Row],[COSTO UNITARIO]]</f>
        <v>396</v>
      </c>
      <c r="V290" s="2">
        <f>MASTER[[#This Row],[MONTO VENDIDO]]-MASTER[[#This Row],[COSTO DE VENTA]]</f>
        <v>1285</v>
      </c>
    </row>
    <row r="291" spans="1:22" x14ac:dyDescent="0.3">
      <c r="A291">
        <v>13649</v>
      </c>
      <c r="B291">
        <v>1</v>
      </c>
      <c r="C291" t="s">
        <v>118</v>
      </c>
      <c r="D291" t="s">
        <v>119</v>
      </c>
      <c r="E291" s="1">
        <v>43867</v>
      </c>
      <c r="F291">
        <v>3</v>
      </c>
      <c r="G291" t="s">
        <v>65</v>
      </c>
      <c r="H291" t="s">
        <v>66</v>
      </c>
      <c r="I291" s="3">
        <v>801</v>
      </c>
      <c r="J291" s="3">
        <v>801</v>
      </c>
      <c r="K291" s="3">
        <v>424</v>
      </c>
      <c r="L291" t="s">
        <v>120</v>
      </c>
      <c r="M291">
        <v>17</v>
      </c>
      <c r="N291" t="s">
        <v>14</v>
      </c>
      <c r="O291" t="s">
        <v>11</v>
      </c>
      <c r="P291" t="s">
        <v>15</v>
      </c>
      <c r="Q291" t="s">
        <v>16</v>
      </c>
      <c r="R291" t="s">
        <v>16</v>
      </c>
      <c r="S291" t="s">
        <v>144</v>
      </c>
      <c r="T291" s="2">
        <f>MASTER[[#This Row],[CANTIDAD]]*MASTER[[#This Row],[PRECIO DE VENTA]]</f>
        <v>2403</v>
      </c>
      <c r="U291" s="2">
        <f>MASTER[[#This Row],[CANTIDAD]]*MASTER[[#This Row],[COSTO UNITARIO]]</f>
        <v>1272</v>
      </c>
      <c r="V291" s="2">
        <f>MASTER[[#This Row],[MONTO VENDIDO]]-MASTER[[#This Row],[COSTO DE VENTA]]</f>
        <v>1131</v>
      </c>
    </row>
    <row r="292" spans="1:22" x14ac:dyDescent="0.3">
      <c r="A292">
        <v>13651</v>
      </c>
      <c r="B292">
        <v>1</v>
      </c>
      <c r="C292" t="s">
        <v>118</v>
      </c>
      <c r="D292" t="s">
        <v>119</v>
      </c>
      <c r="E292" s="1">
        <v>43867</v>
      </c>
      <c r="F292">
        <v>1</v>
      </c>
      <c r="G292" t="s">
        <v>20</v>
      </c>
      <c r="H292" t="s">
        <v>21</v>
      </c>
      <c r="I292" s="3">
        <v>1026</v>
      </c>
      <c r="J292" s="3">
        <v>1026</v>
      </c>
      <c r="K292" s="3">
        <v>424</v>
      </c>
      <c r="L292" t="s">
        <v>120</v>
      </c>
      <c r="M292">
        <v>3</v>
      </c>
      <c r="N292" t="s">
        <v>69</v>
      </c>
      <c r="O292" t="s">
        <v>70</v>
      </c>
      <c r="P292" t="s">
        <v>71</v>
      </c>
      <c r="Q292" t="s">
        <v>72</v>
      </c>
      <c r="R292" t="s">
        <v>139</v>
      </c>
      <c r="S292" t="s">
        <v>144</v>
      </c>
      <c r="T292" s="2">
        <f>MASTER[[#This Row],[CANTIDAD]]*MASTER[[#This Row],[PRECIO DE VENTA]]</f>
        <v>1026</v>
      </c>
      <c r="U292" s="2">
        <f>MASTER[[#This Row],[CANTIDAD]]*MASTER[[#This Row],[COSTO UNITARIO]]</f>
        <v>424</v>
      </c>
      <c r="V292" s="2">
        <f>MASTER[[#This Row],[MONTO VENDIDO]]-MASTER[[#This Row],[COSTO DE VENTA]]</f>
        <v>602</v>
      </c>
    </row>
    <row r="293" spans="1:22" x14ac:dyDescent="0.3">
      <c r="A293">
        <v>13659</v>
      </c>
      <c r="B293">
        <v>2</v>
      </c>
      <c r="C293" t="s">
        <v>90</v>
      </c>
      <c r="D293" t="s">
        <v>91</v>
      </c>
      <c r="E293" s="1">
        <v>43867</v>
      </c>
      <c r="F293">
        <v>1</v>
      </c>
      <c r="G293" t="s">
        <v>27</v>
      </c>
      <c r="H293" t="s">
        <v>28</v>
      </c>
      <c r="I293" s="3">
        <v>2102</v>
      </c>
      <c r="J293" s="3">
        <v>2102</v>
      </c>
      <c r="K293" s="3">
        <v>420</v>
      </c>
      <c r="L293" t="s">
        <v>9</v>
      </c>
      <c r="M293">
        <v>1</v>
      </c>
      <c r="N293" t="s">
        <v>77</v>
      </c>
      <c r="O293" t="s">
        <v>70</v>
      </c>
      <c r="P293" t="s">
        <v>71</v>
      </c>
      <c r="Q293" t="s">
        <v>72</v>
      </c>
      <c r="R293" t="s">
        <v>139</v>
      </c>
      <c r="S293" t="s">
        <v>144</v>
      </c>
      <c r="T293" s="2">
        <f>MASTER[[#This Row],[CANTIDAD]]*MASTER[[#This Row],[PRECIO DE VENTA]]</f>
        <v>2102</v>
      </c>
      <c r="U293" s="2">
        <f>MASTER[[#This Row],[CANTIDAD]]*MASTER[[#This Row],[COSTO UNITARIO]]</f>
        <v>420</v>
      </c>
      <c r="V293" s="2">
        <f>MASTER[[#This Row],[MONTO VENDIDO]]-MASTER[[#This Row],[COSTO DE VENTA]]</f>
        <v>1682</v>
      </c>
    </row>
    <row r="294" spans="1:22" x14ac:dyDescent="0.3">
      <c r="A294">
        <v>13659</v>
      </c>
      <c r="B294">
        <v>1</v>
      </c>
      <c r="C294" t="s">
        <v>118</v>
      </c>
      <c r="D294" t="s">
        <v>119</v>
      </c>
      <c r="E294" s="1">
        <v>43867</v>
      </c>
      <c r="F294">
        <v>1</v>
      </c>
      <c r="G294" t="s">
        <v>51</v>
      </c>
      <c r="H294" t="s">
        <v>52</v>
      </c>
      <c r="I294" s="3">
        <v>1026</v>
      </c>
      <c r="J294" s="3">
        <v>1026</v>
      </c>
      <c r="K294" s="3">
        <v>424</v>
      </c>
      <c r="L294" t="s">
        <v>120</v>
      </c>
      <c r="M294">
        <v>1</v>
      </c>
      <c r="N294" t="s">
        <v>77</v>
      </c>
      <c r="O294" t="s">
        <v>70</v>
      </c>
      <c r="P294" t="s">
        <v>71</v>
      </c>
      <c r="Q294" t="s">
        <v>72</v>
      </c>
      <c r="R294" t="s">
        <v>139</v>
      </c>
      <c r="S294" t="s">
        <v>144</v>
      </c>
      <c r="T294" s="2">
        <f>MASTER[[#This Row],[CANTIDAD]]*MASTER[[#This Row],[PRECIO DE VENTA]]</f>
        <v>1026</v>
      </c>
      <c r="U294" s="2">
        <f>MASTER[[#This Row],[CANTIDAD]]*MASTER[[#This Row],[COSTO UNITARIO]]</f>
        <v>424</v>
      </c>
      <c r="V294" s="2">
        <f>MASTER[[#This Row],[MONTO VENDIDO]]-MASTER[[#This Row],[COSTO DE VENTA]]</f>
        <v>602</v>
      </c>
    </row>
    <row r="295" spans="1:22" x14ac:dyDescent="0.3">
      <c r="A295">
        <v>13677</v>
      </c>
      <c r="B295">
        <v>1</v>
      </c>
      <c r="C295" t="s">
        <v>107</v>
      </c>
      <c r="D295" t="s">
        <v>108</v>
      </c>
      <c r="E295" s="1">
        <v>43867</v>
      </c>
      <c r="F295">
        <v>1</v>
      </c>
      <c r="G295" t="s">
        <v>22</v>
      </c>
      <c r="H295" t="s">
        <v>23</v>
      </c>
      <c r="I295" s="3">
        <v>1333</v>
      </c>
      <c r="J295" s="3">
        <v>1279</v>
      </c>
      <c r="K295" s="3">
        <v>380</v>
      </c>
      <c r="L295" t="s">
        <v>98</v>
      </c>
      <c r="M295">
        <v>8</v>
      </c>
      <c r="N295" t="s">
        <v>80</v>
      </c>
      <c r="O295" t="s">
        <v>81</v>
      </c>
      <c r="P295" t="s">
        <v>12</v>
      </c>
      <c r="Q295" t="s">
        <v>13</v>
      </c>
      <c r="R295" t="s">
        <v>13</v>
      </c>
      <c r="S295" t="s">
        <v>144</v>
      </c>
      <c r="T295" s="2">
        <f>MASTER[[#This Row],[CANTIDAD]]*MASTER[[#This Row],[PRECIO DE VENTA]]</f>
        <v>1279</v>
      </c>
      <c r="U295" s="2">
        <f>MASTER[[#This Row],[CANTIDAD]]*MASTER[[#This Row],[COSTO UNITARIO]]</f>
        <v>380</v>
      </c>
      <c r="V295" s="2">
        <f>MASTER[[#This Row],[MONTO VENDIDO]]-MASTER[[#This Row],[COSTO DE VENTA]]</f>
        <v>899</v>
      </c>
    </row>
    <row r="296" spans="1:22" x14ac:dyDescent="0.3">
      <c r="A296">
        <v>13701</v>
      </c>
      <c r="B296">
        <v>1</v>
      </c>
      <c r="C296" t="s">
        <v>96</v>
      </c>
      <c r="D296" t="s">
        <v>97</v>
      </c>
      <c r="E296" s="1">
        <v>43867</v>
      </c>
      <c r="F296">
        <v>3</v>
      </c>
      <c r="G296" t="s">
        <v>57</v>
      </c>
      <c r="H296" t="s">
        <v>58</v>
      </c>
      <c r="I296" s="3">
        <v>1272</v>
      </c>
      <c r="J296" s="3">
        <v>1272</v>
      </c>
      <c r="K296" s="3">
        <v>397</v>
      </c>
      <c r="L296" t="s">
        <v>98</v>
      </c>
      <c r="M296">
        <v>4</v>
      </c>
      <c r="N296" t="s">
        <v>82</v>
      </c>
      <c r="O296" t="s">
        <v>81</v>
      </c>
      <c r="P296" t="s">
        <v>71</v>
      </c>
      <c r="Q296" t="s">
        <v>72</v>
      </c>
      <c r="R296" t="s">
        <v>139</v>
      </c>
      <c r="S296" t="s">
        <v>144</v>
      </c>
      <c r="T296" s="2">
        <f>MASTER[[#This Row],[CANTIDAD]]*MASTER[[#This Row],[PRECIO DE VENTA]]</f>
        <v>3816</v>
      </c>
      <c r="U296" s="2">
        <f>MASTER[[#This Row],[CANTIDAD]]*MASTER[[#This Row],[COSTO UNITARIO]]</f>
        <v>1191</v>
      </c>
      <c r="V296" s="2">
        <f>MASTER[[#This Row],[MONTO VENDIDO]]-MASTER[[#This Row],[COSTO DE VENTA]]</f>
        <v>2625</v>
      </c>
    </row>
    <row r="297" spans="1:22" x14ac:dyDescent="0.3">
      <c r="A297">
        <v>13705</v>
      </c>
      <c r="B297">
        <v>1</v>
      </c>
      <c r="C297" t="s">
        <v>107</v>
      </c>
      <c r="D297" t="s">
        <v>108</v>
      </c>
      <c r="E297" s="1">
        <v>43867</v>
      </c>
      <c r="F297">
        <v>1</v>
      </c>
      <c r="G297" t="s">
        <v>61</v>
      </c>
      <c r="H297" t="s">
        <v>62</v>
      </c>
      <c r="I297" s="3">
        <v>1440</v>
      </c>
      <c r="J297" s="3">
        <v>1440</v>
      </c>
      <c r="K297" s="3">
        <v>380</v>
      </c>
      <c r="L297" t="s">
        <v>98</v>
      </c>
      <c r="M297">
        <v>6</v>
      </c>
      <c r="N297" t="s">
        <v>75</v>
      </c>
      <c r="O297" t="s">
        <v>70</v>
      </c>
      <c r="P297" t="s">
        <v>12</v>
      </c>
      <c r="Q297" t="s">
        <v>13</v>
      </c>
      <c r="R297" t="s">
        <v>13</v>
      </c>
      <c r="S297" t="s">
        <v>144</v>
      </c>
      <c r="T297" s="2">
        <f>MASTER[[#This Row],[CANTIDAD]]*MASTER[[#This Row],[PRECIO DE VENTA]]</f>
        <v>1440</v>
      </c>
      <c r="U297" s="2">
        <f>MASTER[[#This Row],[CANTIDAD]]*MASTER[[#This Row],[COSTO UNITARIO]]</f>
        <v>380</v>
      </c>
      <c r="V297" s="2">
        <f>MASTER[[#This Row],[MONTO VENDIDO]]-MASTER[[#This Row],[COSTO DE VENTA]]</f>
        <v>1060</v>
      </c>
    </row>
    <row r="298" spans="1:22" x14ac:dyDescent="0.3">
      <c r="A298">
        <v>13737</v>
      </c>
      <c r="B298">
        <v>1</v>
      </c>
      <c r="C298" t="s">
        <v>116</v>
      </c>
      <c r="D298" t="s">
        <v>117</v>
      </c>
      <c r="E298" s="1">
        <v>43868</v>
      </c>
      <c r="F298">
        <v>1</v>
      </c>
      <c r="G298" t="s">
        <v>22</v>
      </c>
      <c r="H298" t="s">
        <v>23</v>
      </c>
      <c r="I298" s="3">
        <v>1999</v>
      </c>
      <c r="J298" s="3">
        <v>1999</v>
      </c>
      <c r="K298" s="3">
        <v>388</v>
      </c>
      <c r="L298" t="s">
        <v>113</v>
      </c>
      <c r="M298">
        <v>18</v>
      </c>
      <c r="N298" t="s">
        <v>79</v>
      </c>
      <c r="O298" t="s">
        <v>70</v>
      </c>
      <c r="P298" t="s">
        <v>15</v>
      </c>
      <c r="Q298" t="s">
        <v>16</v>
      </c>
      <c r="R298" t="s">
        <v>16</v>
      </c>
      <c r="S298" t="s">
        <v>144</v>
      </c>
      <c r="T298" s="2">
        <f>MASTER[[#This Row],[CANTIDAD]]*MASTER[[#This Row],[PRECIO DE VENTA]]</f>
        <v>1999</v>
      </c>
      <c r="U298" s="2">
        <f>MASTER[[#This Row],[CANTIDAD]]*MASTER[[#This Row],[COSTO UNITARIO]]</f>
        <v>388</v>
      </c>
      <c r="V298" s="2">
        <f>MASTER[[#This Row],[MONTO VENDIDO]]-MASTER[[#This Row],[COSTO DE VENTA]]</f>
        <v>1611</v>
      </c>
    </row>
    <row r="299" spans="1:22" x14ac:dyDescent="0.3">
      <c r="A299">
        <v>13759</v>
      </c>
      <c r="B299">
        <v>1</v>
      </c>
      <c r="C299" t="s">
        <v>118</v>
      </c>
      <c r="D299" t="s">
        <v>119</v>
      </c>
      <c r="E299" s="1">
        <v>43868</v>
      </c>
      <c r="F299">
        <v>1</v>
      </c>
      <c r="G299" t="s">
        <v>61</v>
      </c>
      <c r="H299" t="s">
        <v>62</v>
      </c>
      <c r="I299" s="3">
        <v>900</v>
      </c>
      <c r="J299" s="3">
        <v>900</v>
      </c>
      <c r="K299" s="3">
        <v>424</v>
      </c>
      <c r="L299" t="s">
        <v>120</v>
      </c>
      <c r="M299">
        <v>2</v>
      </c>
      <c r="N299" t="s">
        <v>86</v>
      </c>
      <c r="O299" t="s">
        <v>81</v>
      </c>
      <c r="P299" t="s">
        <v>71</v>
      </c>
      <c r="Q299" t="s">
        <v>72</v>
      </c>
      <c r="R299" t="s">
        <v>139</v>
      </c>
      <c r="S299" t="s">
        <v>144</v>
      </c>
      <c r="T299" s="2">
        <f>MASTER[[#This Row],[CANTIDAD]]*MASTER[[#This Row],[PRECIO DE VENTA]]</f>
        <v>900</v>
      </c>
      <c r="U299" s="2">
        <f>MASTER[[#This Row],[CANTIDAD]]*MASTER[[#This Row],[COSTO UNITARIO]]</f>
        <v>424</v>
      </c>
      <c r="V299" s="2">
        <f>MASTER[[#This Row],[MONTO VENDIDO]]-MASTER[[#This Row],[COSTO DE VENTA]]</f>
        <v>476</v>
      </c>
    </row>
    <row r="300" spans="1:22" x14ac:dyDescent="0.3">
      <c r="A300">
        <v>13796</v>
      </c>
      <c r="B300">
        <v>1</v>
      </c>
      <c r="C300" t="s">
        <v>116</v>
      </c>
      <c r="D300" t="s">
        <v>117</v>
      </c>
      <c r="E300" s="1">
        <v>43868</v>
      </c>
      <c r="F300">
        <v>1</v>
      </c>
      <c r="G300" t="s">
        <v>20</v>
      </c>
      <c r="H300" t="s">
        <v>21</v>
      </c>
      <c r="I300" s="3">
        <v>1999</v>
      </c>
      <c r="J300" s="3">
        <v>1899</v>
      </c>
      <c r="K300" s="3">
        <v>388</v>
      </c>
      <c r="L300" t="s">
        <v>113</v>
      </c>
      <c r="M300">
        <v>6</v>
      </c>
      <c r="N300" t="s">
        <v>75</v>
      </c>
      <c r="O300" t="s">
        <v>70</v>
      </c>
      <c r="P300" t="s">
        <v>12</v>
      </c>
      <c r="Q300" t="s">
        <v>13</v>
      </c>
      <c r="R300" t="s">
        <v>13</v>
      </c>
      <c r="S300" t="s">
        <v>144</v>
      </c>
      <c r="T300" s="2">
        <f>MASTER[[#This Row],[CANTIDAD]]*MASTER[[#This Row],[PRECIO DE VENTA]]</f>
        <v>1899</v>
      </c>
      <c r="U300" s="2">
        <f>MASTER[[#This Row],[CANTIDAD]]*MASTER[[#This Row],[COSTO UNITARIO]]</f>
        <v>388</v>
      </c>
      <c r="V300" s="2">
        <f>MASTER[[#This Row],[MONTO VENDIDO]]-MASTER[[#This Row],[COSTO DE VENTA]]</f>
        <v>1511</v>
      </c>
    </row>
    <row r="301" spans="1:22" x14ac:dyDescent="0.3">
      <c r="A301">
        <v>13825</v>
      </c>
      <c r="B301">
        <v>1</v>
      </c>
      <c r="C301" t="s">
        <v>5</v>
      </c>
      <c r="D301" t="s">
        <v>6</v>
      </c>
      <c r="E301" s="1">
        <v>43868</v>
      </c>
      <c r="F301">
        <v>2</v>
      </c>
      <c r="G301" t="s">
        <v>41</v>
      </c>
      <c r="H301" t="s">
        <v>42</v>
      </c>
      <c r="I301" s="3">
        <v>1507</v>
      </c>
      <c r="J301" s="3">
        <v>1507</v>
      </c>
      <c r="K301" s="3">
        <v>393</v>
      </c>
      <c r="L301" t="s">
        <v>9</v>
      </c>
      <c r="M301">
        <v>2</v>
      </c>
      <c r="N301" t="s">
        <v>86</v>
      </c>
      <c r="O301" t="s">
        <v>81</v>
      </c>
      <c r="P301" t="s">
        <v>71</v>
      </c>
      <c r="Q301" t="s">
        <v>72</v>
      </c>
      <c r="R301" t="s">
        <v>139</v>
      </c>
      <c r="S301" t="s">
        <v>144</v>
      </c>
      <c r="T301" s="2">
        <f>MASTER[[#This Row],[CANTIDAD]]*MASTER[[#This Row],[PRECIO DE VENTA]]</f>
        <v>3014</v>
      </c>
      <c r="U301" s="2">
        <f>MASTER[[#This Row],[CANTIDAD]]*MASTER[[#This Row],[COSTO UNITARIO]]</f>
        <v>786</v>
      </c>
      <c r="V301" s="2">
        <f>MASTER[[#This Row],[MONTO VENDIDO]]-MASTER[[#This Row],[COSTO DE VENTA]]</f>
        <v>2228</v>
      </c>
    </row>
    <row r="302" spans="1:22" x14ac:dyDescent="0.3">
      <c r="A302">
        <v>13826</v>
      </c>
      <c r="B302">
        <v>1</v>
      </c>
      <c r="C302" t="s">
        <v>114</v>
      </c>
      <c r="D302" t="s">
        <v>115</v>
      </c>
      <c r="E302" s="1">
        <v>43869</v>
      </c>
      <c r="F302">
        <v>1</v>
      </c>
      <c r="G302" t="s">
        <v>35</v>
      </c>
      <c r="H302" t="s">
        <v>36</v>
      </c>
      <c r="I302" s="3">
        <v>1862</v>
      </c>
      <c r="J302" s="3">
        <v>1862</v>
      </c>
      <c r="K302" s="3">
        <v>394</v>
      </c>
      <c r="L302" t="s">
        <v>113</v>
      </c>
      <c r="M302">
        <v>4</v>
      </c>
      <c r="N302" t="s">
        <v>82</v>
      </c>
      <c r="O302" t="s">
        <v>81</v>
      </c>
      <c r="P302" t="s">
        <v>71</v>
      </c>
      <c r="Q302" t="s">
        <v>72</v>
      </c>
      <c r="R302" t="s">
        <v>139</v>
      </c>
      <c r="S302" t="s">
        <v>144</v>
      </c>
      <c r="T302" s="2">
        <f>MASTER[[#This Row],[CANTIDAD]]*MASTER[[#This Row],[PRECIO DE VENTA]]</f>
        <v>1862</v>
      </c>
      <c r="U302" s="2">
        <f>MASTER[[#This Row],[CANTIDAD]]*MASTER[[#This Row],[COSTO UNITARIO]]</f>
        <v>394</v>
      </c>
      <c r="V302" s="2">
        <f>MASTER[[#This Row],[MONTO VENDIDO]]-MASTER[[#This Row],[COSTO DE VENTA]]</f>
        <v>1468</v>
      </c>
    </row>
    <row r="303" spans="1:22" x14ac:dyDescent="0.3">
      <c r="A303">
        <v>13844</v>
      </c>
      <c r="B303">
        <v>1</v>
      </c>
      <c r="C303" t="s">
        <v>92</v>
      </c>
      <c r="D303" t="s">
        <v>93</v>
      </c>
      <c r="E303" s="1">
        <v>43869</v>
      </c>
      <c r="F303">
        <v>1</v>
      </c>
      <c r="G303" t="s">
        <v>24</v>
      </c>
      <c r="H303" t="s">
        <v>25</v>
      </c>
      <c r="I303" s="3">
        <v>1479</v>
      </c>
      <c r="J303" s="3">
        <v>1479</v>
      </c>
      <c r="K303" s="3">
        <v>396</v>
      </c>
      <c r="L303" t="s">
        <v>9</v>
      </c>
      <c r="M303">
        <v>11</v>
      </c>
      <c r="N303" t="s">
        <v>10</v>
      </c>
      <c r="O303" t="s">
        <v>11</v>
      </c>
      <c r="P303" t="s">
        <v>12</v>
      </c>
      <c r="Q303" t="s">
        <v>13</v>
      </c>
      <c r="R303" t="s">
        <v>13</v>
      </c>
      <c r="S303" t="s">
        <v>144</v>
      </c>
      <c r="T303" s="2">
        <f>MASTER[[#This Row],[CANTIDAD]]*MASTER[[#This Row],[PRECIO DE VENTA]]</f>
        <v>1479</v>
      </c>
      <c r="U303" s="2">
        <f>MASTER[[#This Row],[CANTIDAD]]*MASTER[[#This Row],[COSTO UNITARIO]]</f>
        <v>396</v>
      </c>
      <c r="V303" s="2">
        <f>MASTER[[#This Row],[MONTO VENDIDO]]-MASTER[[#This Row],[COSTO DE VENTA]]</f>
        <v>1083</v>
      </c>
    </row>
    <row r="304" spans="1:22" x14ac:dyDescent="0.3">
      <c r="A304">
        <v>13847</v>
      </c>
      <c r="B304">
        <v>1</v>
      </c>
      <c r="C304" t="s">
        <v>96</v>
      </c>
      <c r="D304" t="s">
        <v>97</v>
      </c>
      <c r="E304" s="1">
        <v>43869</v>
      </c>
      <c r="F304">
        <v>2</v>
      </c>
      <c r="G304" t="s">
        <v>51</v>
      </c>
      <c r="H304" t="s">
        <v>52</v>
      </c>
      <c r="I304" s="3">
        <v>1196</v>
      </c>
      <c r="J304" s="3">
        <v>1196</v>
      </c>
      <c r="K304" s="3">
        <v>397</v>
      </c>
      <c r="L304" t="s">
        <v>98</v>
      </c>
      <c r="M304">
        <v>16</v>
      </c>
      <c r="N304" t="s">
        <v>17</v>
      </c>
      <c r="O304" t="s">
        <v>11</v>
      </c>
      <c r="P304" t="s">
        <v>18</v>
      </c>
      <c r="Q304" t="s">
        <v>19</v>
      </c>
      <c r="R304" t="s">
        <v>138</v>
      </c>
      <c r="S304" t="s">
        <v>144</v>
      </c>
      <c r="T304" s="2">
        <f>MASTER[[#This Row],[CANTIDAD]]*MASTER[[#This Row],[PRECIO DE VENTA]]</f>
        <v>2392</v>
      </c>
      <c r="U304" s="2">
        <f>MASTER[[#This Row],[CANTIDAD]]*MASTER[[#This Row],[COSTO UNITARIO]]</f>
        <v>794</v>
      </c>
      <c r="V304" s="2">
        <f>MASTER[[#This Row],[MONTO VENDIDO]]-MASTER[[#This Row],[COSTO DE VENTA]]</f>
        <v>1598</v>
      </c>
    </row>
    <row r="305" spans="1:22" x14ac:dyDescent="0.3">
      <c r="A305">
        <v>13858</v>
      </c>
      <c r="B305">
        <v>1</v>
      </c>
      <c r="C305" t="s">
        <v>109</v>
      </c>
      <c r="D305" t="s">
        <v>110</v>
      </c>
      <c r="E305" s="1">
        <v>43869</v>
      </c>
      <c r="F305">
        <v>1</v>
      </c>
      <c r="G305" t="s">
        <v>67</v>
      </c>
      <c r="H305" t="s">
        <v>68</v>
      </c>
      <c r="I305" s="3">
        <v>1064</v>
      </c>
      <c r="J305" s="3">
        <v>1064</v>
      </c>
      <c r="K305" s="3">
        <v>387</v>
      </c>
      <c r="L305" t="s">
        <v>98</v>
      </c>
      <c r="M305">
        <v>2</v>
      </c>
      <c r="N305" t="s">
        <v>86</v>
      </c>
      <c r="O305" t="s">
        <v>81</v>
      </c>
      <c r="P305" t="s">
        <v>71</v>
      </c>
      <c r="Q305" t="s">
        <v>72</v>
      </c>
      <c r="R305" t="s">
        <v>139</v>
      </c>
      <c r="S305" t="s">
        <v>144</v>
      </c>
      <c r="T305" s="2">
        <f>MASTER[[#This Row],[CANTIDAD]]*MASTER[[#This Row],[PRECIO DE VENTA]]</f>
        <v>1064</v>
      </c>
      <c r="U305" s="2">
        <f>MASTER[[#This Row],[CANTIDAD]]*MASTER[[#This Row],[COSTO UNITARIO]]</f>
        <v>387</v>
      </c>
      <c r="V305" s="2">
        <f>MASTER[[#This Row],[MONTO VENDIDO]]-MASTER[[#This Row],[COSTO DE VENTA]]</f>
        <v>677</v>
      </c>
    </row>
    <row r="306" spans="1:22" x14ac:dyDescent="0.3">
      <c r="A306">
        <v>13871</v>
      </c>
      <c r="B306">
        <v>1</v>
      </c>
      <c r="C306" t="s">
        <v>118</v>
      </c>
      <c r="D306" t="s">
        <v>119</v>
      </c>
      <c r="E306" s="1">
        <v>43869</v>
      </c>
      <c r="F306">
        <v>1</v>
      </c>
      <c r="G306" t="s">
        <v>29</v>
      </c>
      <c r="H306" t="s">
        <v>30</v>
      </c>
      <c r="I306" s="3">
        <v>801</v>
      </c>
      <c r="J306" s="3">
        <v>801</v>
      </c>
      <c r="K306" s="3">
        <v>424</v>
      </c>
      <c r="L306" t="s">
        <v>120</v>
      </c>
      <c r="M306">
        <v>16</v>
      </c>
      <c r="N306" t="s">
        <v>17</v>
      </c>
      <c r="O306" t="s">
        <v>11</v>
      </c>
      <c r="P306" t="s">
        <v>18</v>
      </c>
      <c r="Q306" t="s">
        <v>19</v>
      </c>
      <c r="R306" t="s">
        <v>138</v>
      </c>
      <c r="S306" t="s">
        <v>144</v>
      </c>
      <c r="T306" s="2">
        <f>MASTER[[#This Row],[CANTIDAD]]*MASTER[[#This Row],[PRECIO DE VENTA]]</f>
        <v>801</v>
      </c>
      <c r="U306" s="2">
        <f>MASTER[[#This Row],[CANTIDAD]]*MASTER[[#This Row],[COSTO UNITARIO]]</f>
        <v>424</v>
      </c>
      <c r="V306" s="2">
        <f>MASTER[[#This Row],[MONTO VENDIDO]]-MASTER[[#This Row],[COSTO DE VENTA]]</f>
        <v>377</v>
      </c>
    </row>
    <row r="307" spans="1:22" x14ac:dyDescent="0.3">
      <c r="A307">
        <v>13875</v>
      </c>
      <c r="B307">
        <v>1</v>
      </c>
      <c r="C307" t="s">
        <v>103</v>
      </c>
      <c r="D307" t="s">
        <v>104</v>
      </c>
      <c r="E307" s="1">
        <v>43869</v>
      </c>
      <c r="F307">
        <v>1</v>
      </c>
      <c r="G307" t="s">
        <v>61</v>
      </c>
      <c r="H307" t="s">
        <v>62</v>
      </c>
      <c r="I307" s="3">
        <v>1448</v>
      </c>
      <c r="J307" s="3">
        <v>1448</v>
      </c>
      <c r="K307" s="3">
        <v>421</v>
      </c>
      <c r="L307" t="s">
        <v>98</v>
      </c>
      <c r="M307">
        <v>17</v>
      </c>
      <c r="N307" t="s">
        <v>14</v>
      </c>
      <c r="O307" t="s">
        <v>11</v>
      </c>
      <c r="P307" t="s">
        <v>15</v>
      </c>
      <c r="Q307" t="s">
        <v>16</v>
      </c>
      <c r="R307" t="s">
        <v>16</v>
      </c>
      <c r="S307" t="s">
        <v>144</v>
      </c>
      <c r="T307" s="2">
        <f>MASTER[[#This Row],[CANTIDAD]]*MASTER[[#This Row],[PRECIO DE VENTA]]</f>
        <v>1448</v>
      </c>
      <c r="U307" s="2">
        <f>MASTER[[#This Row],[CANTIDAD]]*MASTER[[#This Row],[COSTO UNITARIO]]</f>
        <v>421</v>
      </c>
      <c r="V307" s="2">
        <f>MASTER[[#This Row],[MONTO VENDIDO]]-MASTER[[#This Row],[COSTO DE VENTA]]</f>
        <v>1027</v>
      </c>
    </row>
    <row r="308" spans="1:22" x14ac:dyDescent="0.3">
      <c r="A308">
        <v>13881</v>
      </c>
      <c r="B308">
        <v>1</v>
      </c>
      <c r="C308" t="s">
        <v>111</v>
      </c>
      <c r="D308" t="s">
        <v>112</v>
      </c>
      <c r="E308" s="1">
        <v>43869</v>
      </c>
      <c r="F308">
        <v>1</v>
      </c>
      <c r="G308" t="s">
        <v>55</v>
      </c>
      <c r="H308" t="s">
        <v>56</v>
      </c>
      <c r="I308" s="3">
        <v>1799</v>
      </c>
      <c r="J308" s="3">
        <v>1799</v>
      </c>
      <c r="K308" s="3">
        <v>434</v>
      </c>
      <c r="L308" t="s">
        <v>113</v>
      </c>
      <c r="M308">
        <v>13</v>
      </c>
      <c r="N308" t="s">
        <v>78</v>
      </c>
      <c r="O308" t="s">
        <v>70</v>
      </c>
      <c r="P308" t="s">
        <v>18</v>
      </c>
      <c r="Q308" t="s">
        <v>19</v>
      </c>
      <c r="R308" t="s">
        <v>138</v>
      </c>
      <c r="S308" t="s">
        <v>144</v>
      </c>
      <c r="T308" s="2">
        <f>MASTER[[#This Row],[CANTIDAD]]*MASTER[[#This Row],[PRECIO DE VENTA]]</f>
        <v>1799</v>
      </c>
      <c r="U308" s="2">
        <f>MASTER[[#This Row],[CANTIDAD]]*MASTER[[#This Row],[COSTO UNITARIO]]</f>
        <v>434</v>
      </c>
      <c r="V308" s="2">
        <f>MASTER[[#This Row],[MONTO VENDIDO]]-MASTER[[#This Row],[COSTO DE VENTA]]</f>
        <v>1365</v>
      </c>
    </row>
    <row r="309" spans="1:22" x14ac:dyDescent="0.3">
      <c r="A309">
        <v>13898</v>
      </c>
      <c r="B309">
        <v>1</v>
      </c>
      <c r="C309" t="s">
        <v>116</v>
      </c>
      <c r="D309" t="s">
        <v>117</v>
      </c>
      <c r="E309" s="1">
        <v>43869</v>
      </c>
      <c r="F309">
        <v>1</v>
      </c>
      <c r="G309" t="s">
        <v>49</v>
      </c>
      <c r="H309" t="s">
        <v>50</v>
      </c>
      <c r="I309" s="3">
        <v>1999</v>
      </c>
      <c r="J309" s="3">
        <v>1999</v>
      </c>
      <c r="K309" s="3">
        <v>388</v>
      </c>
      <c r="L309" t="s">
        <v>113</v>
      </c>
      <c r="M309">
        <v>6</v>
      </c>
      <c r="N309" t="s">
        <v>75</v>
      </c>
      <c r="O309" t="s">
        <v>70</v>
      </c>
      <c r="P309" t="s">
        <v>12</v>
      </c>
      <c r="Q309" t="s">
        <v>13</v>
      </c>
      <c r="R309" t="s">
        <v>13</v>
      </c>
      <c r="S309" t="s">
        <v>144</v>
      </c>
      <c r="T309" s="2">
        <f>MASTER[[#This Row],[CANTIDAD]]*MASTER[[#This Row],[PRECIO DE VENTA]]</f>
        <v>1999</v>
      </c>
      <c r="U309" s="2">
        <f>MASTER[[#This Row],[CANTIDAD]]*MASTER[[#This Row],[COSTO UNITARIO]]</f>
        <v>388</v>
      </c>
      <c r="V309" s="2">
        <f>MASTER[[#This Row],[MONTO VENDIDO]]-MASTER[[#This Row],[COSTO DE VENTA]]</f>
        <v>1611</v>
      </c>
    </row>
    <row r="310" spans="1:22" x14ac:dyDescent="0.3">
      <c r="A310">
        <v>13904</v>
      </c>
      <c r="B310">
        <v>1</v>
      </c>
      <c r="C310" t="s">
        <v>109</v>
      </c>
      <c r="D310" t="s">
        <v>110</v>
      </c>
      <c r="E310" s="1">
        <v>43869</v>
      </c>
      <c r="F310">
        <v>1</v>
      </c>
      <c r="G310" t="s">
        <v>29</v>
      </c>
      <c r="H310" t="s">
        <v>30</v>
      </c>
      <c r="I310" s="3">
        <v>947</v>
      </c>
      <c r="J310" s="3">
        <v>947</v>
      </c>
      <c r="K310" s="3">
        <v>387</v>
      </c>
      <c r="L310" t="s">
        <v>98</v>
      </c>
      <c r="M310">
        <v>17</v>
      </c>
      <c r="N310" t="s">
        <v>14</v>
      </c>
      <c r="O310" t="s">
        <v>11</v>
      </c>
      <c r="P310" t="s">
        <v>15</v>
      </c>
      <c r="Q310" t="s">
        <v>16</v>
      </c>
      <c r="R310" t="s">
        <v>16</v>
      </c>
      <c r="S310" t="s">
        <v>144</v>
      </c>
      <c r="T310" s="2">
        <f>MASTER[[#This Row],[CANTIDAD]]*MASTER[[#This Row],[PRECIO DE VENTA]]</f>
        <v>947</v>
      </c>
      <c r="U310" s="2">
        <f>MASTER[[#This Row],[CANTIDAD]]*MASTER[[#This Row],[COSTO UNITARIO]]</f>
        <v>387</v>
      </c>
      <c r="V310" s="2">
        <f>MASTER[[#This Row],[MONTO VENDIDO]]-MASTER[[#This Row],[COSTO DE VENTA]]</f>
        <v>560</v>
      </c>
    </row>
    <row r="311" spans="1:22" x14ac:dyDescent="0.3">
      <c r="A311">
        <v>13931</v>
      </c>
      <c r="B311">
        <v>1</v>
      </c>
      <c r="C311" t="s">
        <v>121</v>
      </c>
      <c r="D311" t="s">
        <v>122</v>
      </c>
      <c r="E311" s="1">
        <v>43869</v>
      </c>
      <c r="F311">
        <v>1</v>
      </c>
      <c r="G311" t="s">
        <v>33</v>
      </c>
      <c r="H311" t="s">
        <v>34</v>
      </c>
      <c r="I311" s="3">
        <v>1069</v>
      </c>
      <c r="J311" s="3">
        <v>1069</v>
      </c>
      <c r="K311" s="3">
        <v>460</v>
      </c>
      <c r="L311" t="s">
        <v>120</v>
      </c>
      <c r="M311">
        <v>15</v>
      </c>
      <c r="N311" t="s">
        <v>88</v>
      </c>
      <c r="O311" t="s">
        <v>81</v>
      </c>
      <c r="P311" t="s">
        <v>18</v>
      </c>
      <c r="Q311" t="s">
        <v>19</v>
      </c>
      <c r="R311" t="s">
        <v>138</v>
      </c>
      <c r="S311" t="s">
        <v>144</v>
      </c>
      <c r="T311" s="2">
        <f>MASTER[[#This Row],[CANTIDAD]]*MASTER[[#This Row],[PRECIO DE VENTA]]</f>
        <v>1069</v>
      </c>
      <c r="U311" s="2">
        <f>MASTER[[#This Row],[CANTIDAD]]*MASTER[[#This Row],[COSTO UNITARIO]]</f>
        <v>460</v>
      </c>
      <c r="V311" s="2">
        <f>MASTER[[#This Row],[MONTO VENDIDO]]-MASTER[[#This Row],[COSTO DE VENTA]]</f>
        <v>609</v>
      </c>
    </row>
    <row r="312" spans="1:22" x14ac:dyDescent="0.3">
      <c r="A312">
        <v>13939</v>
      </c>
      <c r="B312">
        <v>1</v>
      </c>
      <c r="C312" t="s">
        <v>99</v>
      </c>
      <c r="D312" t="s">
        <v>100</v>
      </c>
      <c r="E312" s="1">
        <v>43869</v>
      </c>
      <c r="F312">
        <v>1</v>
      </c>
      <c r="G312" t="s">
        <v>67</v>
      </c>
      <c r="H312" t="s">
        <v>68</v>
      </c>
      <c r="I312" s="3">
        <v>1459</v>
      </c>
      <c r="J312" s="3">
        <v>1459</v>
      </c>
      <c r="K312" s="3">
        <v>386</v>
      </c>
      <c r="L312" t="s">
        <v>98</v>
      </c>
      <c r="M312">
        <v>10</v>
      </c>
      <c r="N312" t="s">
        <v>83</v>
      </c>
      <c r="O312" t="s">
        <v>81</v>
      </c>
      <c r="P312" t="s">
        <v>12</v>
      </c>
      <c r="Q312" t="s">
        <v>13</v>
      </c>
      <c r="R312" t="s">
        <v>13</v>
      </c>
      <c r="S312" t="s">
        <v>144</v>
      </c>
      <c r="T312" s="2">
        <f>MASTER[[#This Row],[CANTIDAD]]*MASTER[[#This Row],[PRECIO DE VENTA]]</f>
        <v>1459</v>
      </c>
      <c r="U312" s="2">
        <f>MASTER[[#This Row],[CANTIDAD]]*MASTER[[#This Row],[COSTO UNITARIO]]</f>
        <v>386</v>
      </c>
      <c r="V312" s="2">
        <f>MASTER[[#This Row],[MONTO VENDIDO]]-MASTER[[#This Row],[COSTO DE VENTA]]</f>
        <v>1073</v>
      </c>
    </row>
    <row r="313" spans="1:22" x14ac:dyDescent="0.3">
      <c r="A313">
        <v>13949</v>
      </c>
      <c r="B313">
        <v>1</v>
      </c>
      <c r="C313" t="s">
        <v>118</v>
      </c>
      <c r="D313" t="s">
        <v>119</v>
      </c>
      <c r="E313" s="1">
        <v>43869</v>
      </c>
      <c r="F313">
        <v>1</v>
      </c>
      <c r="G313" t="s">
        <v>22</v>
      </c>
      <c r="H313" t="s">
        <v>23</v>
      </c>
      <c r="I313" s="3">
        <v>801</v>
      </c>
      <c r="J313" s="3">
        <v>801</v>
      </c>
      <c r="K313" s="3">
        <v>424</v>
      </c>
      <c r="L313" t="s">
        <v>120</v>
      </c>
      <c r="M313">
        <v>11</v>
      </c>
      <c r="N313" t="s">
        <v>10</v>
      </c>
      <c r="O313" t="s">
        <v>11</v>
      </c>
      <c r="P313" t="s">
        <v>12</v>
      </c>
      <c r="Q313" t="s">
        <v>13</v>
      </c>
      <c r="R313" t="s">
        <v>13</v>
      </c>
      <c r="S313" t="s">
        <v>144</v>
      </c>
      <c r="T313" s="2">
        <f>MASTER[[#This Row],[CANTIDAD]]*MASTER[[#This Row],[PRECIO DE VENTA]]</f>
        <v>801</v>
      </c>
      <c r="U313" s="2">
        <f>MASTER[[#This Row],[CANTIDAD]]*MASTER[[#This Row],[COSTO UNITARIO]]</f>
        <v>424</v>
      </c>
      <c r="V313" s="2">
        <f>MASTER[[#This Row],[MONTO VENDIDO]]-MASTER[[#This Row],[COSTO DE VENTA]]</f>
        <v>377</v>
      </c>
    </row>
    <row r="314" spans="1:22" x14ac:dyDescent="0.3">
      <c r="A314">
        <v>13953</v>
      </c>
      <c r="B314">
        <v>1</v>
      </c>
      <c r="C314" t="s">
        <v>103</v>
      </c>
      <c r="D314" t="s">
        <v>104</v>
      </c>
      <c r="E314" s="1">
        <v>43869</v>
      </c>
      <c r="F314">
        <v>1</v>
      </c>
      <c r="G314" t="s">
        <v>57</v>
      </c>
      <c r="H314" t="s">
        <v>58</v>
      </c>
      <c r="I314" s="3">
        <v>1591</v>
      </c>
      <c r="J314" s="3">
        <v>1591</v>
      </c>
      <c r="K314" s="3">
        <v>421</v>
      </c>
      <c r="L314" t="s">
        <v>98</v>
      </c>
      <c r="M314">
        <v>19</v>
      </c>
      <c r="N314" t="s">
        <v>89</v>
      </c>
      <c r="O314" t="s">
        <v>81</v>
      </c>
      <c r="P314" t="s">
        <v>15</v>
      </c>
      <c r="Q314" t="s">
        <v>16</v>
      </c>
      <c r="R314" t="s">
        <v>16</v>
      </c>
      <c r="S314" t="s">
        <v>144</v>
      </c>
      <c r="T314" s="2">
        <f>MASTER[[#This Row],[CANTIDAD]]*MASTER[[#This Row],[PRECIO DE VENTA]]</f>
        <v>1591</v>
      </c>
      <c r="U314" s="2">
        <f>MASTER[[#This Row],[CANTIDAD]]*MASTER[[#This Row],[COSTO UNITARIO]]</f>
        <v>421</v>
      </c>
      <c r="V314" s="2">
        <f>MASTER[[#This Row],[MONTO VENDIDO]]-MASTER[[#This Row],[COSTO DE VENTA]]</f>
        <v>1170</v>
      </c>
    </row>
    <row r="315" spans="1:22" x14ac:dyDescent="0.3">
      <c r="A315">
        <v>13953</v>
      </c>
      <c r="B315">
        <v>2</v>
      </c>
      <c r="C315" t="s">
        <v>121</v>
      </c>
      <c r="D315" t="s">
        <v>122</v>
      </c>
      <c r="E315" s="1">
        <v>43869</v>
      </c>
      <c r="F315">
        <v>1</v>
      </c>
      <c r="G315" t="s">
        <v>37</v>
      </c>
      <c r="H315" t="s">
        <v>38</v>
      </c>
      <c r="I315" s="3">
        <v>1069</v>
      </c>
      <c r="J315" s="3">
        <v>1069</v>
      </c>
      <c r="K315" s="3">
        <v>460</v>
      </c>
      <c r="L315" t="s">
        <v>120</v>
      </c>
      <c r="M315">
        <v>19</v>
      </c>
      <c r="N315" t="s">
        <v>89</v>
      </c>
      <c r="O315" t="s">
        <v>81</v>
      </c>
      <c r="P315" t="s">
        <v>15</v>
      </c>
      <c r="Q315" t="s">
        <v>16</v>
      </c>
      <c r="R315" t="s">
        <v>16</v>
      </c>
      <c r="S315" t="s">
        <v>144</v>
      </c>
      <c r="T315" s="2">
        <f>MASTER[[#This Row],[CANTIDAD]]*MASTER[[#This Row],[PRECIO DE VENTA]]</f>
        <v>1069</v>
      </c>
      <c r="U315" s="2">
        <f>MASTER[[#This Row],[CANTIDAD]]*MASTER[[#This Row],[COSTO UNITARIO]]</f>
        <v>460</v>
      </c>
      <c r="V315" s="2">
        <f>MASTER[[#This Row],[MONTO VENDIDO]]-MASTER[[#This Row],[COSTO DE VENTA]]</f>
        <v>609</v>
      </c>
    </row>
    <row r="316" spans="1:22" x14ac:dyDescent="0.3">
      <c r="A316">
        <v>13963</v>
      </c>
      <c r="B316">
        <v>1</v>
      </c>
      <c r="C316" t="s">
        <v>121</v>
      </c>
      <c r="D316" t="s">
        <v>122</v>
      </c>
      <c r="E316" s="1">
        <v>43870</v>
      </c>
      <c r="F316">
        <v>1</v>
      </c>
      <c r="G316" t="s">
        <v>20</v>
      </c>
      <c r="H316" t="s">
        <v>21</v>
      </c>
      <c r="I316" s="3">
        <v>941</v>
      </c>
      <c r="J316" s="3">
        <v>941</v>
      </c>
      <c r="K316" s="3">
        <v>460</v>
      </c>
      <c r="L316" t="s">
        <v>120</v>
      </c>
      <c r="M316">
        <v>17</v>
      </c>
      <c r="N316" t="s">
        <v>14</v>
      </c>
      <c r="O316" t="s">
        <v>11</v>
      </c>
      <c r="P316" t="s">
        <v>15</v>
      </c>
      <c r="Q316" t="s">
        <v>16</v>
      </c>
      <c r="R316" t="s">
        <v>16</v>
      </c>
      <c r="S316" t="s">
        <v>144</v>
      </c>
      <c r="T316" s="2">
        <f>MASTER[[#This Row],[CANTIDAD]]*MASTER[[#This Row],[PRECIO DE VENTA]]</f>
        <v>941</v>
      </c>
      <c r="U316" s="2">
        <f>MASTER[[#This Row],[CANTIDAD]]*MASTER[[#This Row],[COSTO UNITARIO]]</f>
        <v>460</v>
      </c>
      <c r="V316" s="2">
        <f>MASTER[[#This Row],[MONTO VENDIDO]]-MASTER[[#This Row],[COSTO DE VENTA]]</f>
        <v>481</v>
      </c>
    </row>
    <row r="317" spans="1:22" x14ac:dyDescent="0.3">
      <c r="A317">
        <v>13967</v>
      </c>
      <c r="B317">
        <v>1</v>
      </c>
      <c r="C317" t="s">
        <v>99</v>
      </c>
      <c r="D317" t="s">
        <v>100</v>
      </c>
      <c r="E317" s="1">
        <v>43870</v>
      </c>
      <c r="F317">
        <v>1</v>
      </c>
      <c r="G317" t="s">
        <v>22</v>
      </c>
      <c r="H317" t="s">
        <v>23</v>
      </c>
      <c r="I317" s="3">
        <v>1328</v>
      </c>
      <c r="J317" s="3">
        <v>1221</v>
      </c>
      <c r="K317" s="3">
        <v>386</v>
      </c>
      <c r="L317" t="s">
        <v>98</v>
      </c>
      <c r="M317">
        <v>11</v>
      </c>
      <c r="N317" t="s">
        <v>10</v>
      </c>
      <c r="O317" t="s">
        <v>11</v>
      </c>
      <c r="P317" t="s">
        <v>12</v>
      </c>
      <c r="Q317" t="s">
        <v>13</v>
      </c>
      <c r="R317" t="s">
        <v>13</v>
      </c>
      <c r="S317" t="s">
        <v>144</v>
      </c>
      <c r="T317" s="2">
        <f>MASTER[[#This Row],[CANTIDAD]]*MASTER[[#This Row],[PRECIO DE VENTA]]</f>
        <v>1221</v>
      </c>
      <c r="U317" s="2">
        <f>MASTER[[#This Row],[CANTIDAD]]*MASTER[[#This Row],[COSTO UNITARIO]]</f>
        <v>386</v>
      </c>
      <c r="V317" s="2">
        <f>MASTER[[#This Row],[MONTO VENDIDO]]-MASTER[[#This Row],[COSTO DE VENTA]]</f>
        <v>835</v>
      </c>
    </row>
    <row r="318" spans="1:22" x14ac:dyDescent="0.3">
      <c r="A318">
        <v>13979</v>
      </c>
      <c r="B318">
        <v>1</v>
      </c>
      <c r="C318" t="s">
        <v>94</v>
      </c>
      <c r="D318" t="s">
        <v>95</v>
      </c>
      <c r="E318" s="1">
        <v>43870</v>
      </c>
      <c r="F318">
        <v>1</v>
      </c>
      <c r="G318" t="s">
        <v>65</v>
      </c>
      <c r="H318" t="s">
        <v>66</v>
      </c>
      <c r="I318" s="3">
        <v>1153</v>
      </c>
      <c r="J318" s="3">
        <v>1153</v>
      </c>
      <c r="K318" s="3">
        <v>392</v>
      </c>
      <c r="L318" t="s">
        <v>9</v>
      </c>
      <c r="M318">
        <v>1</v>
      </c>
      <c r="N318" t="s">
        <v>77</v>
      </c>
      <c r="O318" t="s">
        <v>70</v>
      </c>
      <c r="P318" t="s">
        <v>71</v>
      </c>
      <c r="Q318" t="s">
        <v>72</v>
      </c>
      <c r="R318" t="s">
        <v>139</v>
      </c>
      <c r="S318" t="s">
        <v>144</v>
      </c>
      <c r="T318" s="2">
        <f>MASTER[[#This Row],[CANTIDAD]]*MASTER[[#This Row],[PRECIO DE VENTA]]</f>
        <v>1153</v>
      </c>
      <c r="U318" s="2">
        <f>MASTER[[#This Row],[CANTIDAD]]*MASTER[[#This Row],[COSTO UNITARIO]]</f>
        <v>392</v>
      </c>
      <c r="V318" s="2">
        <f>MASTER[[#This Row],[MONTO VENDIDO]]-MASTER[[#This Row],[COSTO DE VENTA]]</f>
        <v>761</v>
      </c>
    </row>
    <row r="319" spans="1:22" x14ac:dyDescent="0.3">
      <c r="A319">
        <v>13985</v>
      </c>
      <c r="B319">
        <v>1</v>
      </c>
      <c r="C319" t="s">
        <v>111</v>
      </c>
      <c r="D319" t="s">
        <v>112</v>
      </c>
      <c r="E319" s="1">
        <v>43870</v>
      </c>
      <c r="F319">
        <v>1</v>
      </c>
      <c r="G319" t="s">
        <v>45</v>
      </c>
      <c r="H319" t="s">
        <v>46</v>
      </c>
      <c r="I319" s="3">
        <v>1621</v>
      </c>
      <c r="J319" s="3">
        <v>1621</v>
      </c>
      <c r="K319" s="3">
        <v>434</v>
      </c>
      <c r="L319" t="s">
        <v>113</v>
      </c>
      <c r="M319">
        <v>5</v>
      </c>
      <c r="N319" t="s">
        <v>85</v>
      </c>
      <c r="O319" t="s">
        <v>81</v>
      </c>
      <c r="P319" t="s">
        <v>12</v>
      </c>
      <c r="Q319" t="s">
        <v>13</v>
      </c>
      <c r="R319" t="s">
        <v>13</v>
      </c>
      <c r="S319" t="s">
        <v>144</v>
      </c>
      <c r="T319" s="2">
        <f>MASTER[[#This Row],[CANTIDAD]]*MASTER[[#This Row],[PRECIO DE VENTA]]</f>
        <v>1621</v>
      </c>
      <c r="U319" s="2">
        <f>MASTER[[#This Row],[CANTIDAD]]*MASTER[[#This Row],[COSTO UNITARIO]]</f>
        <v>434</v>
      </c>
      <c r="V319" s="2">
        <f>MASTER[[#This Row],[MONTO VENDIDO]]-MASTER[[#This Row],[COSTO DE VENTA]]</f>
        <v>1187</v>
      </c>
    </row>
    <row r="320" spans="1:22" x14ac:dyDescent="0.3">
      <c r="A320">
        <v>13998</v>
      </c>
      <c r="B320">
        <v>1</v>
      </c>
      <c r="C320" t="s">
        <v>107</v>
      </c>
      <c r="D320" t="s">
        <v>108</v>
      </c>
      <c r="E320" s="1">
        <v>43870</v>
      </c>
      <c r="F320">
        <v>1</v>
      </c>
      <c r="G320" t="s">
        <v>65</v>
      </c>
      <c r="H320" t="s">
        <v>66</v>
      </c>
      <c r="I320" s="3">
        <v>1333</v>
      </c>
      <c r="J320" s="3">
        <v>1333</v>
      </c>
      <c r="K320" s="3">
        <v>380</v>
      </c>
      <c r="L320" t="s">
        <v>98</v>
      </c>
      <c r="M320">
        <v>10</v>
      </c>
      <c r="N320" t="s">
        <v>83</v>
      </c>
      <c r="O320" t="s">
        <v>81</v>
      </c>
      <c r="P320" t="s">
        <v>12</v>
      </c>
      <c r="Q320" t="s">
        <v>13</v>
      </c>
      <c r="R320" t="s">
        <v>13</v>
      </c>
      <c r="S320" t="s">
        <v>144</v>
      </c>
      <c r="T320" s="2">
        <f>MASTER[[#This Row],[CANTIDAD]]*MASTER[[#This Row],[PRECIO DE VENTA]]</f>
        <v>1333</v>
      </c>
      <c r="U320" s="2">
        <f>MASTER[[#This Row],[CANTIDAD]]*MASTER[[#This Row],[COSTO UNITARIO]]</f>
        <v>380</v>
      </c>
      <c r="V320" s="2">
        <f>MASTER[[#This Row],[MONTO VENDIDO]]-MASTER[[#This Row],[COSTO DE VENTA]]</f>
        <v>953</v>
      </c>
    </row>
    <row r="321" spans="1:22" x14ac:dyDescent="0.3">
      <c r="A321">
        <v>14023</v>
      </c>
      <c r="B321">
        <v>1</v>
      </c>
      <c r="C321" t="s">
        <v>92</v>
      </c>
      <c r="D321" t="s">
        <v>93</v>
      </c>
      <c r="E321" s="1">
        <v>43870</v>
      </c>
      <c r="F321">
        <v>1</v>
      </c>
      <c r="G321" t="s">
        <v>61</v>
      </c>
      <c r="H321" t="s">
        <v>62</v>
      </c>
      <c r="I321" s="3">
        <v>1681</v>
      </c>
      <c r="J321" s="3">
        <v>1681</v>
      </c>
      <c r="K321" s="3">
        <v>396</v>
      </c>
      <c r="L321" t="s">
        <v>9</v>
      </c>
      <c r="M321">
        <v>7</v>
      </c>
      <c r="N321" t="s">
        <v>84</v>
      </c>
      <c r="O321" t="s">
        <v>81</v>
      </c>
      <c r="P321" t="s">
        <v>12</v>
      </c>
      <c r="Q321" t="s">
        <v>13</v>
      </c>
      <c r="R321" t="s">
        <v>13</v>
      </c>
      <c r="S321" t="s">
        <v>144</v>
      </c>
      <c r="T321" s="2">
        <f>MASTER[[#This Row],[CANTIDAD]]*MASTER[[#This Row],[PRECIO DE VENTA]]</f>
        <v>1681</v>
      </c>
      <c r="U321" s="2">
        <f>MASTER[[#This Row],[CANTIDAD]]*MASTER[[#This Row],[COSTO UNITARIO]]</f>
        <v>396</v>
      </c>
      <c r="V321" s="2">
        <f>MASTER[[#This Row],[MONTO VENDIDO]]-MASTER[[#This Row],[COSTO DE VENTA]]</f>
        <v>1285</v>
      </c>
    </row>
    <row r="322" spans="1:22" x14ac:dyDescent="0.3">
      <c r="A322">
        <v>14026</v>
      </c>
      <c r="B322">
        <v>1</v>
      </c>
      <c r="C322" t="s">
        <v>103</v>
      </c>
      <c r="D322" t="s">
        <v>104</v>
      </c>
      <c r="E322" s="1">
        <v>43870</v>
      </c>
      <c r="F322">
        <v>1</v>
      </c>
      <c r="G322" t="s">
        <v>20</v>
      </c>
      <c r="H322" t="s">
        <v>21</v>
      </c>
      <c r="I322" s="3">
        <v>1830</v>
      </c>
      <c r="J322" s="3">
        <v>1830</v>
      </c>
      <c r="K322" s="3">
        <v>421</v>
      </c>
      <c r="L322" t="s">
        <v>98</v>
      </c>
      <c r="M322">
        <v>18</v>
      </c>
      <c r="N322" t="s">
        <v>79</v>
      </c>
      <c r="O322" t="s">
        <v>70</v>
      </c>
      <c r="P322" t="s">
        <v>15</v>
      </c>
      <c r="Q322" t="s">
        <v>16</v>
      </c>
      <c r="R322" t="s">
        <v>16</v>
      </c>
      <c r="S322" t="s">
        <v>144</v>
      </c>
      <c r="T322" s="2">
        <f>MASTER[[#This Row],[CANTIDAD]]*MASTER[[#This Row],[PRECIO DE VENTA]]</f>
        <v>1830</v>
      </c>
      <c r="U322" s="2">
        <f>MASTER[[#This Row],[CANTIDAD]]*MASTER[[#This Row],[COSTO UNITARIO]]</f>
        <v>421</v>
      </c>
      <c r="V322" s="2">
        <f>MASTER[[#This Row],[MONTO VENDIDO]]-MASTER[[#This Row],[COSTO DE VENTA]]</f>
        <v>1409</v>
      </c>
    </row>
    <row r="323" spans="1:22" x14ac:dyDescent="0.3">
      <c r="A323">
        <v>14030</v>
      </c>
      <c r="B323">
        <v>1</v>
      </c>
      <c r="C323" t="s">
        <v>109</v>
      </c>
      <c r="D323" t="s">
        <v>110</v>
      </c>
      <c r="E323" s="1">
        <v>43871</v>
      </c>
      <c r="F323">
        <v>1</v>
      </c>
      <c r="G323" t="s">
        <v>20</v>
      </c>
      <c r="H323" t="s">
        <v>21</v>
      </c>
      <c r="I323" s="3">
        <v>1128</v>
      </c>
      <c r="J323" s="3">
        <v>1128</v>
      </c>
      <c r="K323" s="3">
        <v>387</v>
      </c>
      <c r="L323" t="s">
        <v>98</v>
      </c>
      <c r="M323">
        <v>18</v>
      </c>
      <c r="N323" t="s">
        <v>79</v>
      </c>
      <c r="O323" t="s">
        <v>70</v>
      </c>
      <c r="P323" t="s">
        <v>15</v>
      </c>
      <c r="Q323" t="s">
        <v>16</v>
      </c>
      <c r="R323" t="s">
        <v>16</v>
      </c>
      <c r="S323" t="s">
        <v>144</v>
      </c>
      <c r="T323" s="2">
        <f>MASTER[[#This Row],[CANTIDAD]]*MASTER[[#This Row],[PRECIO DE VENTA]]</f>
        <v>1128</v>
      </c>
      <c r="U323" s="2">
        <f>MASTER[[#This Row],[CANTIDAD]]*MASTER[[#This Row],[COSTO UNITARIO]]</f>
        <v>387</v>
      </c>
      <c r="V323" s="2">
        <f>MASTER[[#This Row],[MONTO VENDIDO]]-MASTER[[#This Row],[COSTO DE VENTA]]</f>
        <v>741</v>
      </c>
    </row>
    <row r="324" spans="1:22" x14ac:dyDescent="0.3">
      <c r="A324">
        <v>14049</v>
      </c>
      <c r="B324">
        <v>1</v>
      </c>
      <c r="C324" t="s">
        <v>118</v>
      </c>
      <c r="D324" t="s">
        <v>119</v>
      </c>
      <c r="E324" s="1">
        <v>43871</v>
      </c>
      <c r="F324">
        <v>1</v>
      </c>
      <c r="G324" t="s">
        <v>51</v>
      </c>
      <c r="H324" t="s">
        <v>52</v>
      </c>
      <c r="I324" s="3">
        <v>1026</v>
      </c>
      <c r="J324" s="3">
        <v>954</v>
      </c>
      <c r="K324" s="3">
        <v>424</v>
      </c>
      <c r="L324" t="s">
        <v>120</v>
      </c>
      <c r="M324">
        <v>13</v>
      </c>
      <c r="N324" t="s">
        <v>78</v>
      </c>
      <c r="O324" t="s">
        <v>70</v>
      </c>
      <c r="P324" t="s">
        <v>18</v>
      </c>
      <c r="Q324" t="s">
        <v>19</v>
      </c>
      <c r="R324" t="s">
        <v>138</v>
      </c>
      <c r="S324" t="s">
        <v>144</v>
      </c>
      <c r="T324" s="2">
        <f>MASTER[[#This Row],[CANTIDAD]]*MASTER[[#This Row],[PRECIO DE VENTA]]</f>
        <v>954</v>
      </c>
      <c r="U324" s="2">
        <f>MASTER[[#This Row],[CANTIDAD]]*MASTER[[#This Row],[COSTO UNITARIO]]</f>
        <v>424</v>
      </c>
      <c r="V324" s="2">
        <f>MASTER[[#This Row],[MONTO VENDIDO]]-MASTER[[#This Row],[COSTO DE VENTA]]</f>
        <v>530</v>
      </c>
    </row>
    <row r="325" spans="1:22" x14ac:dyDescent="0.3">
      <c r="A325">
        <v>14062</v>
      </c>
      <c r="B325">
        <v>1</v>
      </c>
      <c r="C325" t="s">
        <v>109</v>
      </c>
      <c r="D325" t="s">
        <v>110</v>
      </c>
      <c r="E325" s="1">
        <v>43871</v>
      </c>
      <c r="F325">
        <v>1</v>
      </c>
      <c r="G325" t="s">
        <v>65</v>
      </c>
      <c r="H325" t="s">
        <v>66</v>
      </c>
      <c r="I325" s="3">
        <v>1064</v>
      </c>
      <c r="J325" s="3">
        <v>978</v>
      </c>
      <c r="K325" s="3">
        <v>387</v>
      </c>
      <c r="L325" t="s">
        <v>98</v>
      </c>
      <c r="M325">
        <v>8</v>
      </c>
      <c r="N325" t="s">
        <v>80</v>
      </c>
      <c r="O325" t="s">
        <v>81</v>
      </c>
      <c r="P325" t="s">
        <v>12</v>
      </c>
      <c r="Q325" t="s">
        <v>13</v>
      </c>
      <c r="R325" t="s">
        <v>13</v>
      </c>
      <c r="S325" t="s">
        <v>144</v>
      </c>
      <c r="T325" s="2">
        <f>MASTER[[#This Row],[CANTIDAD]]*MASTER[[#This Row],[PRECIO DE VENTA]]</f>
        <v>978</v>
      </c>
      <c r="U325" s="2">
        <f>MASTER[[#This Row],[CANTIDAD]]*MASTER[[#This Row],[COSTO UNITARIO]]</f>
        <v>387</v>
      </c>
      <c r="V325" s="2">
        <f>MASTER[[#This Row],[MONTO VENDIDO]]-MASTER[[#This Row],[COSTO DE VENTA]]</f>
        <v>591</v>
      </c>
    </row>
    <row r="326" spans="1:22" x14ac:dyDescent="0.3">
      <c r="A326">
        <v>14069</v>
      </c>
      <c r="B326">
        <v>1</v>
      </c>
      <c r="C326" t="s">
        <v>101</v>
      </c>
      <c r="D326" t="s">
        <v>102</v>
      </c>
      <c r="E326" s="1">
        <v>43871</v>
      </c>
      <c r="F326">
        <v>1</v>
      </c>
      <c r="G326" t="s">
        <v>51</v>
      </c>
      <c r="H326" t="s">
        <v>52</v>
      </c>
      <c r="I326" s="3">
        <v>1212</v>
      </c>
      <c r="J326" s="3">
        <v>1212</v>
      </c>
      <c r="K326" s="3">
        <v>442</v>
      </c>
      <c r="L326" t="s">
        <v>98</v>
      </c>
      <c r="M326">
        <v>15</v>
      </c>
      <c r="N326" t="s">
        <v>88</v>
      </c>
      <c r="O326" t="s">
        <v>81</v>
      </c>
      <c r="P326" t="s">
        <v>18</v>
      </c>
      <c r="Q326" t="s">
        <v>19</v>
      </c>
      <c r="R326" t="s">
        <v>138</v>
      </c>
      <c r="S326" t="s">
        <v>144</v>
      </c>
      <c r="T326" s="2">
        <f>MASTER[[#This Row],[CANTIDAD]]*MASTER[[#This Row],[PRECIO DE VENTA]]</f>
        <v>1212</v>
      </c>
      <c r="U326" s="2">
        <f>MASTER[[#This Row],[CANTIDAD]]*MASTER[[#This Row],[COSTO UNITARIO]]</f>
        <v>442</v>
      </c>
      <c r="V326" s="2">
        <f>MASTER[[#This Row],[MONTO VENDIDO]]-MASTER[[#This Row],[COSTO DE VENTA]]</f>
        <v>770</v>
      </c>
    </row>
    <row r="327" spans="1:22" x14ac:dyDescent="0.3">
      <c r="A327">
        <v>14072</v>
      </c>
      <c r="B327">
        <v>1</v>
      </c>
      <c r="C327" t="s">
        <v>94</v>
      </c>
      <c r="D327" t="s">
        <v>95</v>
      </c>
      <c r="E327" s="1">
        <v>43871</v>
      </c>
      <c r="F327">
        <v>1</v>
      </c>
      <c r="G327" t="s">
        <v>24</v>
      </c>
      <c r="H327" t="s">
        <v>25</v>
      </c>
      <c r="I327" s="3">
        <v>1153</v>
      </c>
      <c r="J327" s="3">
        <v>1153</v>
      </c>
      <c r="K327" s="3">
        <v>392</v>
      </c>
      <c r="L327" t="s">
        <v>9</v>
      </c>
      <c r="M327">
        <v>13</v>
      </c>
      <c r="N327" t="s">
        <v>78</v>
      </c>
      <c r="O327" t="s">
        <v>70</v>
      </c>
      <c r="P327" t="s">
        <v>18</v>
      </c>
      <c r="Q327" t="s">
        <v>19</v>
      </c>
      <c r="R327" t="s">
        <v>138</v>
      </c>
      <c r="S327" t="s">
        <v>144</v>
      </c>
      <c r="T327" s="2">
        <f>MASTER[[#This Row],[CANTIDAD]]*MASTER[[#This Row],[PRECIO DE VENTA]]</f>
        <v>1153</v>
      </c>
      <c r="U327" s="2">
        <f>MASTER[[#This Row],[CANTIDAD]]*MASTER[[#This Row],[COSTO UNITARIO]]</f>
        <v>392</v>
      </c>
      <c r="V327" s="2">
        <f>MASTER[[#This Row],[MONTO VENDIDO]]-MASTER[[#This Row],[COSTO DE VENTA]]</f>
        <v>761</v>
      </c>
    </row>
    <row r="328" spans="1:22" x14ac:dyDescent="0.3">
      <c r="A328">
        <v>14089</v>
      </c>
      <c r="B328">
        <v>1</v>
      </c>
      <c r="C328" t="s">
        <v>90</v>
      </c>
      <c r="D328" t="s">
        <v>91</v>
      </c>
      <c r="E328" s="1">
        <v>43871</v>
      </c>
      <c r="F328">
        <v>1</v>
      </c>
      <c r="G328" t="s">
        <v>47</v>
      </c>
      <c r="H328" t="s">
        <v>48</v>
      </c>
      <c r="I328" s="3">
        <v>1844</v>
      </c>
      <c r="J328" s="3">
        <v>1844</v>
      </c>
      <c r="K328" s="3">
        <v>420</v>
      </c>
      <c r="L328" t="s">
        <v>9</v>
      </c>
      <c r="M328">
        <v>14</v>
      </c>
      <c r="N328" t="s">
        <v>87</v>
      </c>
      <c r="O328" t="s">
        <v>81</v>
      </c>
      <c r="P328" t="s">
        <v>18</v>
      </c>
      <c r="Q328" t="s">
        <v>19</v>
      </c>
      <c r="R328" t="s">
        <v>138</v>
      </c>
      <c r="S328" t="s">
        <v>144</v>
      </c>
      <c r="T328" s="2">
        <f>MASTER[[#This Row],[CANTIDAD]]*MASTER[[#This Row],[PRECIO DE VENTA]]</f>
        <v>1844</v>
      </c>
      <c r="U328" s="2">
        <f>MASTER[[#This Row],[CANTIDAD]]*MASTER[[#This Row],[COSTO UNITARIO]]</f>
        <v>420</v>
      </c>
      <c r="V328" s="2">
        <f>MASTER[[#This Row],[MONTO VENDIDO]]-MASTER[[#This Row],[COSTO DE VENTA]]</f>
        <v>1424</v>
      </c>
    </row>
    <row r="329" spans="1:22" x14ac:dyDescent="0.3">
      <c r="A329">
        <v>14090</v>
      </c>
      <c r="B329">
        <v>1</v>
      </c>
      <c r="C329" t="s">
        <v>101</v>
      </c>
      <c r="D329" t="s">
        <v>102</v>
      </c>
      <c r="E329" s="1">
        <v>43871</v>
      </c>
      <c r="F329">
        <v>1</v>
      </c>
      <c r="G329" t="s">
        <v>22</v>
      </c>
      <c r="H329" t="s">
        <v>23</v>
      </c>
      <c r="I329" s="3">
        <v>1357</v>
      </c>
      <c r="J329" s="3">
        <v>1357</v>
      </c>
      <c r="K329" s="3">
        <v>442</v>
      </c>
      <c r="L329" t="s">
        <v>98</v>
      </c>
      <c r="M329">
        <v>6</v>
      </c>
      <c r="N329" t="s">
        <v>75</v>
      </c>
      <c r="O329" t="s">
        <v>70</v>
      </c>
      <c r="P329" t="s">
        <v>12</v>
      </c>
      <c r="Q329" t="s">
        <v>13</v>
      </c>
      <c r="R329" t="s">
        <v>13</v>
      </c>
      <c r="S329" t="s">
        <v>144</v>
      </c>
      <c r="T329" s="2">
        <f>MASTER[[#This Row],[CANTIDAD]]*MASTER[[#This Row],[PRECIO DE VENTA]]</f>
        <v>1357</v>
      </c>
      <c r="U329" s="2">
        <f>MASTER[[#This Row],[CANTIDAD]]*MASTER[[#This Row],[COSTO UNITARIO]]</f>
        <v>442</v>
      </c>
      <c r="V329" s="2">
        <f>MASTER[[#This Row],[MONTO VENDIDO]]-MASTER[[#This Row],[COSTO DE VENTA]]</f>
        <v>915</v>
      </c>
    </row>
    <row r="330" spans="1:22" x14ac:dyDescent="0.3">
      <c r="A330">
        <v>14104</v>
      </c>
      <c r="B330">
        <v>1</v>
      </c>
      <c r="C330" t="s">
        <v>101</v>
      </c>
      <c r="D330" t="s">
        <v>102</v>
      </c>
      <c r="E330" s="1">
        <v>43871</v>
      </c>
      <c r="F330">
        <v>1</v>
      </c>
      <c r="G330" t="s">
        <v>45</v>
      </c>
      <c r="H330" t="s">
        <v>46</v>
      </c>
      <c r="I330" s="3">
        <v>1054</v>
      </c>
      <c r="J330" s="3">
        <v>1054</v>
      </c>
      <c r="K330" s="3">
        <v>442</v>
      </c>
      <c r="L330" t="s">
        <v>98</v>
      </c>
      <c r="M330">
        <v>16</v>
      </c>
      <c r="N330" t="s">
        <v>17</v>
      </c>
      <c r="O330" t="s">
        <v>11</v>
      </c>
      <c r="P330" t="s">
        <v>18</v>
      </c>
      <c r="Q330" t="s">
        <v>19</v>
      </c>
      <c r="R330" t="s">
        <v>138</v>
      </c>
      <c r="S330" t="s">
        <v>144</v>
      </c>
      <c r="T330" s="2">
        <f>MASTER[[#This Row],[CANTIDAD]]*MASTER[[#This Row],[PRECIO DE VENTA]]</f>
        <v>1054</v>
      </c>
      <c r="U330" s="2">
        <f>MASTER[[#This Row],[CANTIDAD]]*MASTER[[#This Row],[COSTO UNITARIO]]</f>
        <v>442</v>
      </c>
      <c r="V330" s="2">
        <f>MASTER[[#This Row],[MONTO VENDIDO]]-MASTER[[#This Row],[COSTO DE VENTA]]</f>
        <v>612</v>
      </c>
    </row>
    <row r="331" spans="1:22" x14ac:dyDescent="0.3">
      <c r="A331">
        <v>14113</v>
      </c>
      <c r="B331">
        <v>1</v>
      </c>
      <c r="C331" t="s">
        <v>105</v>
      </c>
      <c r="D331" t="s">
        <v>106</v>
      </c>
      <c r="E331" s="1">
        <v>43872</v>
      </c>
      <c r="F331">
        <v>1</v>
      </c>
      <c r="G331" t="s">
        <v>51</v>
      </c>
      <c r="H331" t="s">
        <v>52</v>
      </c>
      <c r="I331" s="3">
        <v>1865</v>
      </c>
      <c r="J331" s="3">
        <v>1865</v>
      </c>
      <c r="K331" s="3">
        <v>459</v>
      </c>
      <c r="L331" t="s">
        <v>98</v>
      </c>
      <c r="M331">
        <v>5</v>
      </c>
      <c r="N331" t="s">
        <v>85</v>
      </c>
      <c r="O331" t="s">
        <v>81</v>
      </c>
      <c r="P331" t="s">
        <v>12</v>
      </c>
      <c r="Q331" t="s">
        <v>13</v>
      </c>
      <c r="R331" t="s">
        <v>13</v>
      </c>
      <c r="S331" t="s">
        <v>144</v>
      </c>
      <c r="T331" s="2">
        <f>MASTER[[#This Row],[CANTIDAD]]*MASTER[[#This Row],[PRECIO DE VENTA]]</f>
        <v>1865</v>
      </c>
      <c r="U331" s="2">
        <f>MASTER[[#This Row],[CANTIDAD]]*MASTER[[#This Row],[COSTO UNITARIO]]</f>
        <v>459</v>
      </c>
      <c r="V331" s="2">
        <f>MASTER[[#This Row],[MONTO VENDIDO]]-MASTER[[#This Row],[COSTO DE VENTA]]</f>
        <v>1406</v>
      </c>
    </row>
    <row r="332" spans="1:22" x14ac:dyDescent="0.3">
      <c r="A332">
        <v>14120</v>
      </c>
      <c r="B332">
        <v>1</v>
      </c>
      <c r="C332" t="s">
        <v>90</v>
      </c>
      <c r="D332" t="s">
        <v>91</v>
      </c>
      <c r="E332" s="1">
        <v>43872</v>
      </c>
      <c r="F332">
        <v>1</v>
      </c>
      <c r="G332" t="s">
        <v>55</v>
      </c>
      <c r="H332" t="s">
        <v>56</v>
      </c>
      <c r="I332" s="3">
        <v>1844</v>
      </c>
      <c r="J332" s="3">
        <v>1844</v>
      </c>
      <c r="K332" s="3">
        <v>420</v>
      </c>
      <c r="L332" t="s">
        <v>9</v>
      </c>
      <c r="M332">
        <v>14</v>
      </c>
      <c r="N332" t="s">
        <v>87</v>
      </c>
      <c r="O332" t="s">
        <v>81</v>
      </c>
      <c r="P332" t="s">
        <v>18</v>
      </c>
      <c r="Q332" t="s">
        <v>19</v>
      </c>
      <c r="R332" t="s">
        <v>138</v>
      </c>
      <c r="S332" t="s">
        <v>144</v>
      </c>
      <c r="T332" s="2">
        <f>MASTER[[#This Row],[CANTIDAD]]*MASTER[[#This Row],[PRECIO DE VENTA]]</f>
        <v>1844</v>
      </c>
      <c r="U332" s="2">
        <f>MASTER[[#This Row],[CANTIDAD]]*MASTER[[#This Row],[COSTO UNITARIO]]</f>
        <v>420</v>
      </c>
      <c r="V332" s="2">
        <f>MASTER[[#This Row],[MONTO VENDIDO]]-MASTER[[#This Row],[COSTO DE VENTA]]</f>
        <v>1424</v>
      </c>
    </row>
    <row r="333" spans="1:22" x14ac:dyDescent="0.3">
      <c r="A333">
        <v>14137</v>
      </c>
      <c r="B333">
        <v>1</v>
      </c>
      <c r="C333" t="s">
        <v>94</v>
      </c>
      <c r="D333" t="s">
        <v>95</v>
      </c>
      <c r="E333" s="1">
        <v>43872</v>
      </c>
      <c r="F333">
        <v>1</v>
      </c>
      <c r="G333" t="s">
        <v>29</v>
      </c>
      <c r="H333" t="s">
        <v>30</v>
      </c>
      <c r="I333" s="3">
        <v>901</v>
      </c>
      <c r="J333" s="3">
        <v>901</v>
      </c>
      <c r="K333" s="3">
        <v>392</v>
      </c>
      <c r="L333" t="s">
        <v>9</v>
      </c>
      <c r="M333">
        <v>12</v>
      </c>
      <c r="N333" t="s">
        <v>26</v>
      </c>
      <c r="O333" t="s">
        <v>11</v>
      </c>
      <c r="P333" t="s">
        <v>12</v>
      </c>
      <c r="Q333" t="s">
        <v>13</v>
      </c>
      <c r="R333" t="s">
        <v>13</v>
      </c>
      <c r="S333" t="s">
        <v>144</v>
      </c>
      <c r="T333" s="2">
        <f>MASTER[[#This Row],[CANTIDAD]]*MASTER[[#This Row],[PRECIO DE VENTA]]</f>
        <v>901</v>
      </c>
      <c r="U333" s="2">
        <f>MASTER[[#This Row],[CANTIDAD]]*MASTER[[#This Row],[COSTO UNITARIO]]</f>
        <v>392</v>
      </c>
      <c r="V333" s="2">
        <f>MASTER[[#This Row],[MONTO VENDIDO]]-MASTER[[#This Row],[COSTO DE VENTA]]</f>
        <v>509</v>
      </c>
    </row>
    <row r="334" spans="1:22" x14ac:dyDescent="0.3">
      <c r="A334">
        <v>14151</v>
      </c>
      <c r="B334">
        <v>1</v>
      </c>
      <c r="C334" t="s">
        <v>118</v>
      </c>
      <c r="D334" t="s">
        <v>119</v>
      </c>
      <c r="E334" s="1">
        <v>43872</v>
      </c>
      <c r="F334">
        <v>1</v>
      </c>
      <c r="G334" t="s">
        <v>43</v>
      </c>
      <c r="H334" t="s">
        <v>44</v>
      </c>
      <c r="I334" s="3">
        <v>900</v>
      </c>
      <c r="J334" s="3">
        <v>900</v>
      </c>
      <c r="K334" s="3">
        <v>424</v>
      </c>
      <c r="L334" t="s">
        <v>120</v>
      </c>
      <c r="M334">
        <v>2</v>
      </c>
      <c r="N334" t="s">
        <v>86</v>
      </c>
      <c r="O334" t="s">
        <v>81</v>
      </c>
      <c r="P334" t="s">
        <v>71</v>
      </c>
      <c r="Q334" t="s">
        <v>72</v>
      </c>
      <c r="R334" t="s">
        <v>139</v>
      </c>
      <c r="S334" t="s">
        <v>144</v>
      </c>
      <c r="T334" s="2">
        <f>MASTER[[#This Row],[CANTIDAD]]*MASTER[[#This Row],[PRECIO DE VENTA]]</f>
        <v>900</v>
      </c>
      <c r="U334" s="2">
        <f>MASTER[[#This Row],[CANTIDAD]]*MASTER[[#This Row],[COSTO UNITARIO]]</f>
        <v>424</v>
      </c>
      <c r="V334" s="2">
        <f>MASTER[[#This Row],[MONTO VENDIDO]]-MASTER[[#This Row],[COSTO DE VENTA]]</f>
        <v>476</v>
      </c>
    </row>
    <row r="335" spans="1:22" x14ac:dyDescent="0.3">
      <c r="A335">
        <v>14160</v>
      </c>
      <c r="B335">
        <v>1</v>
      </c>
      <c r="C335" t="s">
        <v>101</v>
      </c>
      <c r="D335" t="s">
        <v>102</v>
      </c>
      <c r="E335" s="1">
        <v>43872</v>
      </c>
      <c r="F335">
        <v>2</v>
      </c>
      <c r="G335" t="s">
        <v>73</v>
      </c>
      <c r="H335" t="s">
        <v>74</v>
      </c>
      <c r="I335" s="3">
        <v>1054</v>
      </c>
      <c r="J335" s="3">
        <v>1054</v>
      </c>
      <c r="K335" s="3">
        <v>442</v>
      </c>
      <c r="L335" t="s">
        <v>98</v>
      </c>
      <c r="M335">
        <v>17</v>
      </c>
      <c r="N335" t="s">
        <v>14</v>
      </c>
      <c r="O335" t="s">
        <v>11</v>
      </c>
      <c r="P335" t="s">
        <v>15</v>
      </c>
      <c r="Q335" t="s">
        <v>16</v>
      </c>
      <c r="R335" t="s">
        <v>16</v>
      </c>
      <c r="S335" t="s">
        <v>144</v>
      </c>
      <c r="T335" s="2">
        <f>MASTER[[#This Row],[CANTIDAD]]*MASTER[[#This Row],[PRECIO DE VENTA]]</f>
        <v>2108</v>
      </c>
      <c r="U335" s="2">
        <f>MASTER[[#This Row],[CANTIDAD]]*MASTER[[#This Row],[COSTO UNITARIO]]</f>
        <v>884</v>
      </c>
      <c r="V335" s="2">
        <f>MASTER[[#This Row],[MONTO VENDIDO]]-MASTER[[#This Row],[COSTO DE VENTA]]</f>
        <v>1224</v>
      </c>
    </row>
    <row r="336" spans="1:22" x14ac:dyDescent="0.3">
      <c r="A336">
        <v>14161</v>
      </c>
      <c r="B336">
        <v>1</v>
      </c>
      <c r="C336" t="s">
        <v>103</v>
      </c>
      <c r="D336" t="s">
        <v>104</v>
      </c>
      <c r="E336" s="1">
        <v>43872</v>
      </c>
      <c r="F336">
        <v>1</v>
      </c>
      <c r="G336" t="s">
        <v>67</v>
      </c>
      <c r="H336" t="s">
        <v>68</v>
      </c>
      <c r="I336" s="3">
        <v>1591</v>
      </c>
      <c r="J336" s="3">
        <v>1591</v>
      </c>
      <c r="K336" s="3">
        <v>421</v>
      </c>
      <c r="L336" t="s">
        <v>98</v>
      </c>
      <c r="M336">
        <v>8</v>
      </c>
      <c r="N336" t="s">
        <v>80</v>
      </c>
      <c r="O336" t="s">
        <v>81</v>
      </c>
      <c r="P336" t="s">
        <v>12</v>
      </c>
      <c r="Q336" t="s">
        <v>13</v>
      </c>
      <c r="R336" t="s">
        <v>13</v>
      </c>
      <c r="S336" t="s">
        <v>144</v>
      </c>
      <c r="T336" s="2">
        <f>MASTER[[#This Row],[CANTIDAD]]*MASTER[[#This Row],[PRECIO DE VENTA]]</f>
        <v>1591</v>
      </c>
      <c r="U336" s="2">
        <f>MASTER[[#This Row],[CANTIDAD]]*MASTER[[#This Row],[COSTO UNITARIO]]</f>
        <v>421</v>
      </c>
      <c r="V336" s="2">
        <f>MASTER[[#This Row],[MONTO VENDIDO]]-MASTER[[#This Row],[COSTO DE VENTA]]</f>
        <v>1170</v>
      </c>
    </row>
    <row r="337" spans="1:22" x14ac:dyDescent="0.3">
      <c r="A337">
        <v>14161</v>
      </c>
      <c r="B337">
        <v>2</v>
      </c>
      <c r="C337" t="s">
        <v>103</v>
      </c>
      <c r="D337" t="s">
        <v>104</v>
      </c>
      <c r="E337" s="1">
        <v>43872</v>
      </c>
      <c r="F337">
        <v>1</v>
      </c>
      <c r="G337" t="s">
        <v>7</v>
      </c>
      <c r="H337" t="s">
        <v>8</v>
      </c>
      <c r="I337" s="3">
        <v>1591</v>
      </c>
      <c r="J337" s="3">
        <v>1591</v>
      </c>
      <c r="K337" s="3">
        <v>421</v>
      </c>
      <c r="L337" t="s">
        <v>98</v>
      </c>
      <c r="M337">
        <v>8</v>
      </c>
      <c r="N337" t="s">
        <v>80</v>
      </c>
      <c r="O337" t="s">
        <v>81</v>
      </c>
      <c r="P337" t="s">
        <v>12</v>
      </c>
      <c r="Q337" t="s">
        <v>13</v>
      </c>
      <c r="R337" t="s">
        <v>13</v>
      </c>
      <c r="S337" t="s">
        <v>144</v>
      </c>
      <c r="T337" s="2">
        <f>MASTER[[#This Row],[CANTIDAD]]*MASTER[[#This Row],[PRECIO DE VENTA]]</f>
        <v>1591</v>
      </c>
      <c r="U337" s="2">
        <f>MASTER[[#This Row],[CANTIDAD]]*MASTER[[#This Row],[COSTO UNITARIO]]</f>
        <v>421</v>
      </c>
      <c r="V337" s="2">
        <f>MASTER[[#This Row],[MONTO VENDIDO]]-MASTER[[#This Row],[COSTO DE VENTA]]</f>
        <v>1170</v>
      </c>
    </row>
    <row r="338" spans="1:22" x14ac:dyDescent="0.3">
      <c r="A338">
        <v>14195</v>
      </c>
      <c r="B338">
        <v>1</v>
      </c>
      <c r="C338" t="s">
        <v>92</v>
      </c>
      <c r="D338" t="s">
        <v>93</v>
      </c>
      <c r="E338" s="1">
        <v>43872</v>
      </c>
      <c r="F338">
        <v>1</v>
      </c>
      <c r="G338" t="s">
        <v>27</v>
      </c>
      <c r="H338" t="s">
        <v>28</v>
      </c>
      <c r="I338" s="3">
        <v>1866</v>
      </c>
      <c r="J338" s="3">
        <v>1866</v>
      </c>
      <c r="K338" s="3">
        <v>396</v>
      </c>
      <c r="L338" t="s">
        <v>9</v>
      </c>
      <c r="M338">
        <v>1</v>
      </c>
      <c r="N338" t="s">
        <v>77</v>
      </c>
      <c r="O338" t="s">
        <v>70</v>
      </c>
      <c r="P338" t="s">
        <v>71</v>
      </c>
      <c r="Q338" t="s">
        <v>72</v>
      </c>
      <c r="R338" t="s">
        <v>139</v>
      </c>
      <c r="S338" t="s">
        <v>144</v>
      </c>
      <c r="T338" s="2">
        <f>MASTER[[#This Row],[CANTIDAD]]*MASTER[[#This Row],[PRECIO DE VENTA]]</f>
        <v>1866</v>
      </c>
      <c r="U338" s="2">
        <f>MASTER[[#This Row],[CANTIDAD]]*MASTER[[#This Row],[COSTO UNITARIO]]</f>
        <v>396</v>
      </c>
      <c r="V338" s="2">
        <f>MASTER[[#This Row],[MONTO VENDIDO]]-MASTER[[#This Row],[COSTO DE VENTA]]</f>
        <v>1470</v>
      </c>
    </row>
    <row r="339" spans="1:22" x14ac:dyDescent="0.3">
      <c r="A339">
        <v>14206</v>
      </c>
      <c r="B339">
        <v>1</v>
      </c>
      <c r="C339" t="s">
        <v>99</v>
      </c>
      <c r="D339" t="s">
        <v>100</v>
      </c>
      <c r="E339" s="1">
        <v>43872</v>
      </c>
      <c r="F339">
        <v>1</v>
      </c>
      <c r="G339" t="s">
        <v>61</v>
      </c>
      <c r="H339" t="s">
        <v>62</v>
      </c>
      <c r="I339" s="3">
        <v>1678</v>
      </c>
      <c r="J339" s="3">
        <v>1678</v>
      </c>
      <c r="K339" s="3">
        <v>386</v>
      </c>
      <c r="L339" t="s">
        <v>98</v>
      </c>
      <c r="M339">
        <v>3</v>
      </c>
      <c r="N339" t="s">
        <v>69</v>
      </c>
      <c r="O339" t="s">
        <v>70</v>
      </c>
      <c r="P339" t="s">
        <v>71</v>
      </c>
      <c r="Q339" t="s">
        <v>72</v>
      </c>
      <c r="R339" t="s">
        <v>139</v>
      </c>
      <c r="S339" t="s">
        <v>144</v>
      </c>
      <c r="T339" s="2">
        <f>MASTER[[#This Row],[CANTIDAD]]*MASTER[[#This Row],[PRECIO DE VENTA]]</f>
        <v>1678</v>
      </c>
      <c r="U339" s="2">
        <f>MASTER[[#This Row],[CANTIDAD]]*MASTER[[#This Row],[COSTO UNITARIO]]</f>
        <v>386</v>
      </c>
      <c r="V339" s="2">
        <f>MASTER[[#This Row],[MONTO VENDIDO]]-MASTER[[#This Row],[COSTO DE VENTA]]</f>
        <v>1292</v>
      </c>
    </row>
    <row r="340" spans="1:22" x14ac:dyDescent="0.3">
      <c r="A340">
        <v>14207</v>
      </c>
      <c r="B340">
        <v>1</v>
      </c>
      <c r="C340" t="s">
        <v>99</v>
      </c>
      <c r="D340" t="s">
        <v>100</v>
      </c>
      <c r="E340" s="1">
        <v>43872</v>
      </c>
      <c r="F340">
        <v>1</v>
      </c>
      <c r="G340" t="s">
        <v>27</v>
      </c>
      <c r="H340" t="s">
        <v>28</v>
      </c>
      <c r="I340" s="3">
        <v>1678</v>
      </c>
      <c r="J340" s="3">
        <v>1678</v>
      </c>
      <c r="K340" s="3">
        <v>386</v>
      </c>
      <c r="L340" t="s">
        <v>98</v>
      </c>
      <c r="M340">
        <v>18</v>
      </c>
      <c r="N340" t="s">
        <v>79</v>
      </c>
      <c r="O340" t="s">
        <v>70</v>
      </c>
      <c r="P340" t="s">
        <v>15</v>
      </c>
      <c r="Q340" t="s">
        <v>16</v>
      </c>
      <c r="R340" t="s">
        <v>16</v>
      </c>
      <c r="S340" t="s">
        <v>144</v>
      </c>
      <c r="T340" s="2">
        <f>MASTER[[#This Row],[CANTIDAD]]*MASTER[[#This Row],[PRECIO DE VENTA]]</f>
        <v>1678</v>
      </c>
      <c r="U340" s="2">
        <f>MASTER[[#This Row],[CANTIDAD]]*MASTER[[#This Row],[COSTO UNITARIO]]</f>
        <v>386</v>
      </c>
      <c r="V340" s="2">
        <f>MASTER[[#This Row],[MONTO VENDIDO]]-MASTER[[#This Row],[COSTO DE VENTA]]</f>
        <v>1292</v>
      </c>
    </row>
    <row r="341" spans="1:22" x14ac:dyDescent="0.3">
      <c r="A341">
        <v>14215</v>
      </c>
      <c r="B341">
        <v>1</v>
      </c>
      <c r="C341" t="s">
        <v>101</v>
      </c>
      <c r="D341" t="s">
        <v>102</v>
      </c>
      <c r="E341" s="1">
        <v>43872</v>
      </c>
      <c r="F341">
        <v>1</v>
      </c>
      <c r="G341" t="s">
        <v>33</v>
      </c>
      <c r="H341" t="s">
        <v>34</v>
      </c>
      <c r="I341" s="3">
        <v>1357</v>
      </c>
      <c r="J341" s="3">
        <v>1357</v>
      </c>
      <c r="K341" s="3">
        <v>442</v>
      </c>
      <c r="L341" t="s">
        <v>98</v>
      </c>
      <c r="M341">
        <v>13</v>
      </c>
      <c r="N341" t="s">
        <v>78</v>
      </c>
      <c r="O341" t="s">
        <v>70</v>
      </c>
      <c r="P341" t="s">
        <v>18</v>
      </c>
      <c r="Q341" t="s">
        <v>19</v>
      </c>
      <c r="R341" t="s">
        <v>138</v>
      </c>
      <c r="S341" t="s">
        <v>144</v>
      </c>
      <c r="T341" s="2">
        <f>MASTER[[#This Row],[CANTIDAD]]*MASTER[[#This Row],[PRECIO DE VENTA]]</f>
        <v>1357</v>
      </c>
      <c r="U341" s="2">
        <f>MASTER[[#This Row],[CANTIDAD]]*MASTER[[#This Row],[COSTO UNITARIO]]</f>
        <v>442</v>
      </c>
      <c r="V341" s="2">
        <f>MASTER[[#This Row],[MONTO VENDIDO]]-MASTER[[#This Row],[COSTO DE VENTA]]</f>
        <v>915</v>
      </c>
    </row>
    <row r="342" spans="1:22" x14ac:dyDescent="0.3">
      <c r="A342">
        <v>14218</v>
      </c>
      <c r="B342">
        <v>1</v>
      </c>
      <c r="C342" t="s">
        <v>92</v>
      </c>
      <c r="D342" t="s">
        <v>93</v>
      </c>
      <c r="E342" s="1">
        <v>43873</v>
      </c>
      <c r="F342">
        <v>1</v>
      </c>
      <c r="G342" t="s">
        <v>20</v>
      </c>
      <c r="H342" t="s">
        <v>21</v>
      </c>
      <c r="I342" s="3">
        <v>1866</v>
      </c>
      <c r="J342" s="3">
        <v>1866</v>
      </c>
      <c r="K342" s="3">
        <v>396</v>
      </c>
      <c r="L342" t="s">
        <v>9</v>
      </c>
      <c r="M342">
        <v>1</v>
      </c>
      <c r="N342" t="s">
        <v>77</v>
      </c>
      <c r="O342" t="s">
        <v>70</v>
      </c>
      <c r="P342" t="s">
        <v>71</v>
      </c>
      <c r="Q342" t="s">
        <v>72</v>
      </c>
      <c r="R342" t="s">
        <v>139</v>
      </c>
      <c r="S342" t="s">
        <v>144</v>
      </c>
      <c r="T342" s="2">
        <f>MASTER[[#This Row],[CANTIDAD]]*MASTER[[#This Row],[PRECIO DE VENTA]]</f>
        <v>1866</v>
      </c>
      <c r="U342" s="2">
        <f>MASTER[[#This Row],[CANTIDAD]]*MASTER[[#This Row],[COSTO UNITARIO]]</f>
        <v>396</v>
      </c>
      <c r="V342" s="2">
        <f>MASTER[[#This Row],[MONTO VENDIDO]]-MASTER[[#This Row],[COSTO DE VENTA]]</f>
        <v>1470</v>
      </c>
    </row>
    <row r="343" spans="1:22" x14ac:dyDescent="0.3">
      <c r="A343">
        <v>14219</v>
      </c>
      <c r="B343">
        <v>1</v>
      </c>
      <c r="C343" t="s">
        <v>107</v>
      </c>
      <c r="D343" t="s">
        <v>108</v>
      </c>
      <c r="E343" s="1">
        <v>43873</v>
      </c>
      <c r="F343">
        <v>1</v>
      </c>
      <c r="G343" t="s">
        <v>22</v>
      </c>
      <c r="H343" t="s">
        <v>23</v>
      </c>
      <c r="I343" s="3">
        <v>1240</v>
      </c>
      <c r="J343" s="3">
        <v>1240</v>
      </c>
      <c r="K343" s="3">
        <v>380</v>
      </c>
      <c r="L343" t="s">
        <v>98</v>
      </c>
      <c r="M343">
        <v>17</v>
      </c>
      <c r="N343" t="s">
        <v>14</v>
      </c>
      <c r="O343" t="s">
        <v>11</v>
      </c>
      <c r="P343" t="s">
        <v>15</v>
      </c>
      <c r="Q343" t="s">
        <v>16</v>
      </c>
      <c r="R343" t="s">
        <v>16</v>
      </c>
      <c r="S343" t="s">
        <v>144</v>
      </c>
      <c r="T343" s="2">
        <f>MASTER[[#This Row],[CANTIDAD]]*MASTER[[#This Row],[PRECIO DE VENTA]]</f>
        <v>1240</v>
      </c>
      <c r="U343" s="2">
        <f>MASTER[[#This Row],[CANTIDAD]]*MASTER[[#This Row],[COSTO UNITARIO]]</f>
        <v>380</v>
      </c>
      <c r="V343" s="2">
        <f>MASTER[[#This Row],[MONTO VENDIDO]]-MASTER[[#This Row],[COSTO DE VENTA]]</f>
        <v>860</v>
      </c>
    </row>
    <row r="344" spans="1:22" x14ac:dyDescent="0.3">
      <c r="A344">
        <v>14229</v>
      </c>
      <c r="B344">
        <v>1</v>
      </c>
      <c r="C344" t="s">
        <v>99</v>
      </c>
      <c r="D344" t="s">
        <v>100</v>
      </c>
      <c r="E344" s="1">
        <v>43874</v>
      </c>
      <c r="F344">
        <v>1</v>
      </c>
      <c r="G344" t="s">
        <v>45</v>
      </c>
      <c r="H344" t="s">
        <v>46</v>
      </c>
      <c r="I344" s="3">
        <v>1328</v>
      </c>
      <c r="J344" s="3">
        <v>1328</v>
      </c>
      <c r="K344" s="3">
        <v>386</v>
      </c>
      <c r="L344" t="s">
        <v>98</v>
      </c>
      <c r="M344">
        <v>11</v>
      </c>
      <c r="N344" t="s">
        <v>10</v>
      </c>
      <c r="O344" t="s">
        <v>11</v>
      </c>
      <c r="P344" t="s">
        <v>12</v>
      </c>
      <c r="Q344" t="s">
        <v>13</v>
      </c>
      <c r="R344" t="s">
        <v>13</v>
      </c>
      <c r="S344" t="s">
        <v>144</v>
      </c>
      <c r="T344" s="2">
        <f>MASTER[[#This Row],[CANTIDAD]]*MASTER[[#This Row],[PRECIO DE VENTA]]</f>
        <v>1328</v>
      </c>
      <c r="U344" s="2">
        <f>MASTER[[#This Row],[CANTIDAD]]*MASTER[[#This Row],[COSTO UNITARIO]]</f>
        <v>386</v>
      </c>
      <c r="V344" s="2">
        <f>MASTER[[#This Row],[MONTO VENDIDO]]-MASTER[[#This Row],[COSTO DE VENTA]]</f>
        <v>942</v>
      </c>
    </row>
    <row r="345" spans="1:22" x14ac:dyDescent="0.3">
      <c r="A345">
        <v>14239</v>
      </c>
      <c r="B345">
        <v>1</v>
      </c>
      <c r="C345" t="s">
        <v>90</v>
      </c>
      <c r="D345" t="s">
        <v>91</v>
      </c>
      <c r="E345" s="1">
        <v>43874</v>
      </c>
      <c r="F345">
        <v>1</v>
      </c>
      <c r="G345" t="s">
        <v>31</v>
      </c>
      <c r="H345" t="s">
        <v>32</v>
      </c>
      <c r="I345" s="3">
        <v>1660</v>
      </c>
      <c r="J345" s="3">
        <v>1660</v>
      </c>
      <c r="K345" s="3">
        <v>420</v>
      </c>
      <c r="L345" t="s">
        <v>9</v>
      </c>
      <c r="M345">
        <v>12</v>
      </c>
      <c r="N345" t="s">
        <v>26</v>
      </c>
      <c r="O345" t="s">
        <v>11</v>
      </c>
      <c r="P345" t="s">
        <v>12</v>
      </c>
      <c r="Q345" t="s">
        <v>13</v>
      </c>
      <c r="R345" t="s">
        <v>13</v>
      </c>
      <c r="S345" t="s">
        <v>144</v>
      </c>
      <c r="T345" s="2">
        <f>MASTER[[#This Row],[CANTIDAD]]*MASTER[[#This Row],[PRECIO DE VENTA]]</f>
        <v>1660</v>
      </c>
      <c r="U345" s="2">
        <f>MASTER[[#This Row],[CANTIDAD]]*MASTER[[#This Row],[COSTO UNITARIO]]</f>
        <v>420</v>
      </c>
      <c r="V345" s="2">
        <f>MASTER[[#This Row],[MONTO VENDIDO]]-MASTER[[#This Row],[COSTO DE VENTA]]</f>
        <v>1240</v>
      </c>
    </row>
    <row r="346" spans="1:22" x14ac:dyDescent="0.3">
      <c r="A346">
        <v>14243</v>
      </c>
      <c r="B346">
        <v>1</v>
      </c>
      <c r="C346" t="s">
        <v>109</v>
      </c>
      <c r="D346" t="s">
        <v>110</v>
      </c>
      <c r="E346" s="1">
        <v>43874</v>
      </c>
      <c r="F346">
        <v>1</v>
      </c>
      <c r="G346" t="s">
        <v>53</v>
      </c>
      <c r="H346" t="s">
        <v>54</v>
      </c>
      <c r="I346" s="3">
        <v>1064</v>
      </c>
      <c r="J346" s="3">
        <v>1064</v>
      </c>
      <c r="K346" s="3">
        <v>387</v>
      </c>
      <c r="L346" t="s">
        <v>98</v>
      </c>
      <c r="M346">
        <v>4</v>
      </c>
      <c r="N346" t="s">
        <v>82</v>
      </c>
      <c r="O346" t="s">
        <v>81</v>
      </c>
      <c r="P346" t="s">
        <v>71</v>
      </c>
      <c r="Q346" t="s">
        <v>72</v>
      </c>
      <c r="R346" t="s">
        <v>139</v>
      </c>
      <c r="S346" t="s">
        <v>144</v>
      </c>
      <c r="T346" s="2">
        <f>MASTER[[#This Row],[CANTIDAD]]*MASTER[[#This Row],[PRECIO DE VENTA]]</f>
        <v>1064</v>
      </c>
      <c r="U346" s="2">
        <f>MASTER[[#This Row],[CANTIDAD]]*MASTER[[#This Row],[COSTO UNITARIO]]</f>
        <v>387</v>
      </c>
      <c r="V346" s="2">
        <f>MASTER[[#This Row],[MONTO VENDIDO]]-MASTER[[#This Row],[COSTO DE VENTA]]</f>
        <v>677</v>
      </c>
    </row>
    <row r="347" spans="1:22" x14ac:dyDescent="0.3">
      <c r="A347">
        <v>14252</v>
      </c>
      <c r="B347">
        <v>1</v>
      </c>
      <c r="C347" t="s">
        <v>99</v>
      </c>
      <c r="D347" t="s">
        <v>100</v>
      </c>
      <c r="E347" s="1">
        <v>43874</v>
      </c>
      <c r="F347">
        <v>3</v>
      </c>
      <c r="G347" t="s">
        <v>33</v>
      </c>
      <c r="H347" t="s">
        <v>34</v>
      </c>
      <c r="I347" s="3">
        <v>1328</v>
      </c>
      <c r="J347" s="3">
        <v>1328</v>
      </c>
      <c r="K347" s="3">
        <v>386</v>
      </c>
      <c r="L347" t="s">
        <v>98</v>
      </c>
      <c r="M347">
        <v>11</v>
      </c>
      <c r="N347" t="s">
        <v>10</v>
      </c>
      <c r="O347" t="s">
        <v>11</v>
      </c>
      <c r="P347" t="s">
        <v>12</v>
      </c>
      <c r="Q347" t="s">
        <v>13</v>
      </c>
      <c r="R347" t="s">
        <v>13</v>
      </c>
      <c r="S347" t="s">
        <v>144</v>
      </c>
      <c r="T347" s="2">
        <f>MASTER[[#This Row],[CANTIDAD]]*MASTER[[#This Row],[PRECIO DE VENTA]]</f>
        <v>3984</v>
      </c>
      <c r="U347" s="2">
        <f>MASTER[[#This Row],[CANTIDAD]]*MASTER[[#This Row],[COSTO UNITARIO]]</f>
        <v>1158</v>
      </c>
      <c r="V347" s="2">
        <f>MASTER[[#This Row],[MONTO VENDIDO]]-MASTER[[#This Row],[COSTO DE VENTA]]</f>
        <v>2826</v>
      </c>
    </row>
    <row r="348" spans="1:22" x14ac:dyDescent="0.3">
      <c r="A348">
        <v>14263</v>
      </c>
      <c r="B348">
        <v>1</v>
      </c>
      <c r="C348" t="s">
        <v>5</v>
      </c>
      <c r="D348" t="s">
        <v>6</v>
      </c>
      <c r="E348" s="1">
        <v>43874</v>
      </c>
      <c r="F348">
        <v>1</v>
      </c>
      <c r="G348" t="s">
        <v>39</v>
      </c>
      <c r="H348" t="s">
        <v>40</v>
      </c>
      <c r="I348" s="3">
        <v>1296</v>
      </c>
      <c r="J348" s="3">
        <v>1296</v>
      </c>
      <c r="K348" s="3">
        <v>393</v>
      </c>
      <c r="L348" t="s">
        <v>9</v>
      </c>
      <c r="M348">
        <v>1</v>
      </c>
      <c r="N348" t="s">
        <v>77</v>
      </c>
      <c r="O348" t="s">
        <v>70</v>
      </c>
      <c r="P348" t="s">
        <v>71</v>
      </c>
      <c r="Q348" t="s">
        <v>72</v>
      </c>
      <c r="R348" t="s">
        <v>139</v>
      </c>
      <c r="S348" t="s">
        <v>144</v>
      </c>
      <c r="T348" s="2">
        <f>MASTER[[#This Row],[CANTIDAD]]*MASTER[[#This Row],[PRECIO DE VENTA]]</f>
        <v>1296</v>
      </c>
      <c r="U348" s="2">
        <f>MASTER[[#This Row],[CANTIDAD]]*MASTER[[#This Row],[COSTO UNITARIO]]</f>
        <v>393</v>
      </c>
      <c r="V348" s="2">
        <f>MASTER[[#This Row],[MONTO VENDIDO]]-MASTER[[#This Row],[COSTO DE VENTA]]</f>
        <v>903</v>
      </c>
    </row>
    <row r="349" spans="1:22" x14ac:dyDescent="0.3">
      <c r="A349">
        <v>14269</v>
      </c>
      <c r="B349">
        <v>1</v>
      </c>
      <c r="C349" t="s">
        <v>5</v>
      </c>
      <c r="D349" t="s">
        <v>6</v>
      </c>
      <c r="E349" s="1">
        <v>43874</v>
      </c>
      <c r="F349">
        <v>1</v>
      </c>
      <c r="G349" t="s">
        <v>63</v>
      </c>
      <c r="H349" t="s">
        <v>64</v>
      </c>
      <c r="I349" s="3">
        <v>1507</v>
      </c>
      <c r="J349" s="3">
        <v>1507</v>
      </c>
      <c r="K349" s="3">
        <v>393</v>
      </c>
      <c r="L349" t="s">
        <v>9</v>
      </c>
      <c r="M349">
        <v>14</v>
      </c>
      <c r="N349" t="s">
        <v>87</v>
      </c>
      <c r="O349" t="s">
        <v>81</v>
      </c>
      <c r="P349" t="s">
        <v>18</v>
      </c>
      <c r="Q349" t="s">
        <v>19</v>
      </c>
      <c r="R349" t="s">
        <v>138</v>
      </c>
      <c r="S349" t="s">
        <v>144</v>
      </c>
      <c r="T349" s="2">
        <f>MASTER[[#This Row],[CANTIDAD]]*MASTER[[#This Row],[PRECIO DE VENTA]]</f>
        <v>1507</v>
      </c>
      <c r="U349" s="2">
        <f>MASTER[[#This Row],[CANTIDAD]]*MASTER[[#This Row],[COSTO UNITARIO]]</f>
        <v>393</v>
      </c>
      <c r="V349" s="2">
        <f>MASTER[[#This Row],[MONTO VENDIDO]]-MASTER[[#This Row],[COSTO DE VENTA]]</f>
        <v>1114</v>
      </c>
    </row>
    <row r="350" spans="1:22" x14ac:dyDescent="0.3">
      <c r="A350">
        <v>14270</v>
      </c>
      <c r="B350">
        <v>1</v>
      </c>
      <c r="C350" t="s">
        <v>103</v>
      </c>
      <c r="D350" t="s">
        <v>104</v>
      </c>
      <c r="E350" s="1">
        <v>43874</v>
      </c>
      <c r="F350">
        <v>1</v>
      </c>
      <c r="G350" t="s">
        <v>45</v>
      </c>
      <c r="H350" t="s">
        <v>46</v>
      </c>
      <c r="I350" s="3">
        <v>1448</v>
      </c>
      <c r="J350" s="3">
        <v>1448</v>
      </c>
      <c r="K350" s="3">
        <v>421</v>
      </c>
      <c r="L350" t="s">
        <v>98</v>
      </c>
      <c r="M350">
        <v>16</v>
      </c>
      <c r="N350" t="s">
        <v>17</v>
      </c>
      <c r="O350" t="s">
        <v>11</v>
      </c>
      <c r="P350" t="s">
        <v>18</v>
      </c>
      <c r="Q350" t="s">
        <v>19</v>
      </c>
      <c r="R350" t="s">
        <v>138</v>
      </c>
      <c r="S350" t="s">
        <v>144</v>
      </c>
      <c r="T350" s="2">
        <f>MASTER[[#This Row],[CANTIDAD]]*MASTER[[#This Row],[PRECIO DE VENTA]]</f>
        <v>1448</v>
      </c>
      <c r="U350" s="2">
        <f>MASTER[[#This Row],[CANTIDAD]]*MASTER[[#This Row],[COSTO UNITARIO]]</f>
        <v>421</v>
      </c>
      <c r="V350" s="2">
        <f>MASTER[[#This Row],[MONTO VENDIDO]]-MASTER[[#This Row],[COSTO DE VENTA]]</f>
        <v>1027</v>
      </c>
    </row>
    <row r="351" spans="1:22" x14ac:dyDescent="0.3">
      <c r="A351">
        <v>14293</v>
      </c>
      <c r="B351">
        <v>1</v>
      </c>
      <c r="C351" t="s">
        <v>116</v>
      </c>
      <c r="D351" t="s">
        <v>117</v>
      </c>
      <c r="E351" s="1">
        <v>43874</v>
      </c>
      <c r="F351">
        <v>1</v>
      </c>
      <c r="G351" t="s">
        <v>35</v>
      </c>
      <c r="H351" t="s">
        <v>36</v>
      </c>
      <c r="I351" s="3">
        <v>1529</v>
      </c>
      <c r="J351" s="3">
        <v>1529</v>
      </c>
      <c r="K351" s="3">
        <v>388</v>
      </c>
      <c r="L351" t="s">
        <v>113</v>
      </c>
      <c r="M351">
        <v>16</v>
      </c>
      <c r="N351" t="s">
        <v>17</v>
      </c>
      <c r="O351" t="s">
        <v>11</v>
      </c>
      <c r="P351" t="s">
        <v>18</v>
      </c>
      <c r="Q351" t="s">
        <v>19</v>
      </c>
      <c r="R351" t="s">
        <v>138</v>
      </c>
      <c r="S351" t="s">
        <v>144</v>
      </c>
      <c r="T351" s="2">
        <f>MASTER[[#This Row],[CANTIDAD]]*MASTER[[#This Row],[PRECIO DE VENTA]]</f>
        <v>1529</v>
      </c>
      <c r="U351" s="2">
        <f>MASTER[[#This Row],[CANTIDAD]]*MASTER[[#This Row],[COSTO UNITARIO]]</f>
        <v>388</v>
      </c>
      <c r="V351" s="2">
        <f>MASTER[[#This Row],[MONTO VENDIDO]]-MASTER[[#This Row],[COSTO DE VENTA]]</f>
        <v>1141</v>
      </c>
    </row>
    <row r="352" spans="1:22" x14ac:dyDescent="0.3">
      <c r="A352">
        <v>14311</v>
      </c>
      <c r="B352">
        <v>1</v>
      </c>
      <c r="C352" t="s">
        <v>103</v>
      </c>
      <c r="D352" t="s">
        <v>104</v>
      </c>
      <c r="E352" s="1">
        <v>43875</v>
      </c>
      <c r="F352">
        <v>1</v>
      </c>
      <c r="G352" t="s">
        <v>7</v>
      </c>
      <c r="H352" t="s">
        <v>8</v>
      </c>
      <c r="I352" s="3">
        <v>1448</v>
      </c>
      <c r="J352" s="3">
        <v>1361</v>
      </c>
      <c r="K352" s="3">
        <v>421</v>
      </c>
      <c r="L352" t="s">
        <v>98</v>
      </c>
      <c r="M352">
        <v>16</v>
      </c>
      <c r="N352" t="s">
        <v>17</v>
      </c>
      <c r="O352" t="s">
        <v>11</v>
      </c>
      <c r="P352" t="s">
        <v>18</v>
      </c>
      <c r="Q352" t="s">
        <v>19</v>
      </c>
      <c r="R352" t="s">
        <v>138</v>
      </c>
      <c r="S352" t="s">
        <v>144</v>
      </c>
      <c r="T352" s="2">
        <f>MASTER[[#This Row],[CANTIDAD]]*MASTER[[#This Row],[PRECIO DE VENTA]]</f>
        <v>1361</v>
      </c>
      <c r="U352" s="2">
        <f>MASTER[[#This Row],[CANTIDAD]]*MASTER[[#This Row],[COSTO UNITARIO]]</f>
        <v>421</v>
      </c>
      <c r="V352" s="2">
        <f>MASTER[[#This Row],[MONTO VENDIDO]]-MASTER[[#This Row],[COSTO DE VENTA]]</f>
        <v>940</v>
      </c>
    </row>
    <row r="353" spans="1:22" x14ac:dyDescent="0.3">
      <c r="A353">
        <v>14317</v>
      </c>
      <c r="B353">
        <v>1</v>
      </c>
      <c r="C353" t="s">
        <v>90</v>
      </c>
      <c r="D353" t="s">
        <v>91</v>
      </c>
      <c r="E353" s="1">
        <v>43875</v>
      </c>
      <c r="F353">
        <v>1</v>
      </c>
      <c r="G353" t="s">
        <v>27</v>
      </c>
      <c r="H353" t="s">
        <v>28</v>
      </c>
      <c r="I353" s="3">
        <v>1844</v>
      </c>
      <c r="J353" s="3">
        <v>1844</v>
      </c>
      <c r="K353" s="3">
        <v>420</v>
      </c>
      <c r="L353" t="s">
        <v>9</v>
      </c>
      <c r="M353">
        <v>2</v>
      </c>
      <c r="N353" t="s">
        <v>86</v>
      </c>
      <c r="O353" t="s">
        <v>81</v>
      </c>
      <c r="P353" t="s">
        <v>71</v>
      </c>
      <c r="Q353" t="s">
        <v>72</v>
      </c>
      <c r="R353" t="s">
        <v>139</v>
      </c>
      <c r="S353" t="s">
        <v>144</v>
      </c>
      <c r="T353" s="2">
        <f>MASTER[[#This Row],[CANTIDAD]]*MASTER[[#This Row],[PRECIO DE VENTA]]</f>
        <v>1844</v>
      </c>
      <c r="U353" s="2">
        <f>MASTER[[#This Row],[CANTIDAD]]*MASTER[[#This Row],[COSTO UNITARIO]]</f>
        <v>420</v>
      </c>
      <c r="V353" s="2">
        <f>MASTER[[#This Row],[MONTO VENDIDO]]-MASTER[[#This Row],[COSTO DE VENTA]]</f>
        <v>1424</v>
      </c>
    </row>
    <row r="354" spans="1:22" x14ac:dyDescent="0.3">
      <c r="A354">
        <v>14330</v>
      </c>
      <c r="B354">
        <v>1</v>
      </c>
      <c r="C354" t="s">
        <v>94</v>
      </c>
      <c r="D354" t="s">
        <v>95</v>
      </c>
      <c r="E354" s="1">
        <v>43875</v>
      </c>
      <c r="F354">
        <v>1</v>
      </c>
      <c r="G354" t="s">
        <v>7</v>
      </c>
      <c r="H354" t="s">
        <v>8</v>
      </c>
      <c r="I354" s="3">
        <v>901</v>
      </c>
      <c r="J354" s="3">
        <v>901</v>
      </c>
      <c r="K354" s="3">
        <v>392</v>
      </c>
      <c r="L354" t="s">
        <v>9</v>
      </c>
      <c r="M354">
        <v>16</v>
      </c>
      <c r="N354" t="s">
        <v>17</v>
      </c>
      <c r="O354" t="s">
        <v>11</v>
      </c>
      <c r="P354" t="s">
        <v>18</v>
      </c>
      <c r="Q354" t="s">
        <v>19</v>
      </c>
      <c r="R354" t="s">
        <v>138</v>
      </c>
      <c r="S354" t="s">
        <v>144</v>
      </c>
      <c r="T354" s="2">
        <f>MASTER[[#This Row],[CANTIDAD]]*MASTER[[#This Row],[PRECIO DE VENTA]]</f>
        <v>901</v>
      </c>
      <c r="U354" s="2">
        <f>MASTER[[#This Row],[CANTIDAD]]*MASTER[[#This Row],[COSTO UNITARIO]]</f>
        <v>392</v>
      </c>
      <c r="V354" s="2">
        <f>MASTER[[#This Row],[MONTO VENDIDO]]-MASTER[[#This Row],[COSTO DE VENTA]]</f>
        <v>509</v>
      </c>
    </row>
    <row r="355" spans="1:22" x14ac:dyDescent="0.3">
      <c r="A355">
        <v>14337</v>
      </c>
      <c r="B355">
        <v>1</v>
      </c>
      <c r="C355" t="s">
        <v>94</v>
      </c>
      <c r="D355" t="s">
        <v>95</v>
      </c>
      <c r="E355" s="1">
        <v>43875</v>
      </c>
      <c r="F355">
        <v>1</v>
      </c>
      <c r="G355" t="s">
        <v>20</v>
      </c>
      <c r="H355" t="s">
        <v>21</v>
      </c>
      <c r="I355" s="3">
        <v>1048</v>
      </c>
      <c r="J355" s="3">
        <v>1048</v>
      </c>
      <c r="K355" s="3">
        <v>392</v>
      </c>
      <c r="L355" t="s">
        <v>9</v>
      </c>
      <c r="M355">
        <v>7</v>
      </c>
      <c r="N355" t="s">
        <v>84</v>
      </c>
      <c r="O355" t="s">
        <v>81</v>
      </c>
      <c r="P355" t="s">
        <v>12</v>
      </c>
      <c r="Q355" t="s">
        <v>13</v>
      </c>
      <c r="R355" t="s">
        <v>13</v>
      </c>
      <c r="S355" t="s">
        <v>144</v>
      </c>
      <c r="T355" s="2">
        <f>MASTER[[#This Row],[CANTIDAD]]*MASTER[[#This Row],[PRECIO DE VENTA]]</f>
        <v>1048</v>
      </c>
      <c r="U355" s="2">
        <f>MASTER[[#This Row],[CANTIDAD]]*MASTER[[#This Row],[COSTO UNITARIO]]</f>
        <v>392</v>
      </c>
      <c r="V355" s="2">
        <f>MASTER[[#This Row],[MONTO VENDIDO]]-MASTER[[#This Row],[COSTO DE VENTA]]</f>
        <v>656</v>
      </c>
    </row>
    <row r="356" spans="1:22" x14ac:dyDescent="0.3">
      <c r="A356">
        <v>14396</v>
      </c>
      <c r="B356">
        <v>1</v>
      </c>
      <c r="C356" t="s">
        <v>116</v>
      </c>
      <c r="D356" t="s">
        <v>117</v>
      </c>
      <c r="E356" s="1">
        <v>43875</v>
      </c>
      <c r="F356">
        <v>1</v>
      </c>
      <c r="G356" t="s">
        <v>24</v>
      </c>
      <c r="H356" t="s">
        <v>25</v>
      </c>
      <c r="I356" s="3">
        <v>1999</v>
      </c>
      <c r="J356" s="3">
        <v>1999</v>
      </c>
      <c r="K356" s="3">
        <v>388</v>
      </c>
      <c r="L356" t="s">
        <v>113</v>
      </c>
      <c r="M356">
        <v>6</v>
      </c>
      <c r="N356" t="s">
        <v>75</v>
      </c>
      <c r="O356" t="s">
        <v>70</v>
      </c>
      <c r="P356" t="s">
        <v>12</v>
      </c>
      <c r="Q356" t="s">
        <v>13</v>
      </c>
      <c r="R356" t="s">
        <v>13</v>
      </c>
      <c r="S356" t="s">
        <v>144</v>
      </c>
      <c r="T356" s="2">
        <f>MASTER[[#This Row],[CANTIDAD]]*MASTER[[#This Row],[PRECIO DE VENTA]]</f>
        <v>1999</v>
      </c>
      <c r="U356" s="2">
        <f>MASTER[[#This Row],[CANTIDAD]]*MASTER[[#This Row],[COSTO UNITARIO]]</f>
        <v>388</v>
      </c>
      <c r="V356" s="2">
        <f>MASTER[[#This Row],[MONTO VENDIDO]]-MASTER[[#This Row],[COSTO DE VENTA]]</f>
        <v>1611</v>
      </c>
    </row>
    <row r="357" spans="1:22" x14ac:dyDescent="0.3">
      <c r="A357">
        <v>14407</v>
      </c>
      <c r="B357">
        <v>1</v>
      </c>
      <c r="C357" t="s">
        <v>118</v>
      </c>
      <c r="D357" t="s">
        <v>119</v>
      </c>
      <c r="E357" s="1">
        <v>43875</v>
      </c>
      <c r="F357">
        <v>1</v>
      </c>
      <c r="G357" t="s">
        <v>51</v>
      </c>
      <c r="H357" t="s">
        <v>52</v>
      </c>
      <c r="I357" s="3">
        <v>900</v>
      </c>
      <c r="J357" s="3">
        <v>900</v>
      </c>
      <c r="K357" s="3">
        <v>424</v>
      </c>
      <c r="L357" t="s">
        <v>120</v>
      </c>
      <c r="M357">
        <v>8</v>
      </c>
      <c r="N357" t="s">
        <v>80</v>
      </c>
      <c r="O357" t="s">
        <v>81</v>
      </c>
      <c r="P357" t="s">
        <v>12</v>
      </c>
      <c r="Q357" t="s">
        <v>13</v>
      </c>
      <c r="R357" t="s">
        <v>13</v>
      </c>
      <c r="S357" t="s">
        <v>144</v>
      </c>
      <c r="T357" s="2">
        <f>MASTER[[#This Row],[CANTIDAD]]*MASTER[[#This Row],[PRECIO DE VENTA]]</f>
        <v>900</v>
      </c>
      <c r="U357" s="2">
        <f>MASTER[[#This Row],[CANTIDAD]]*MASTER[[#This Row],[COSTO UNITARIO]]</f>
        <v>424</v>
      </c>
      <c r="V357" s="2">
        <f>MASTER[[#This Row],[MONTO VENDIDO]]-MASTER[[#This Row],[COSTO DE VENTA]]</f>
        <v>476</v>
      </c>
    </row>
    <row r="358" spans="1:22" x14ac:dyDescent="0.3">
      <c r="A358">
        <v>14421</v>
      </c>
      <c r="B358">
        <v>1</v>
      </c>
      <c r="C358" t="s">
        <v>116</v>
      </c>
      <c r="D358" t="s">
        <v>117</v>
      </c>
      <c r="E358" s="1">
        <v>43875</v>
      </c>
      <c r="F358">
        <v>1</v>
      </c>
      <c r="G358" t="s">
        <v>24</v>
      </c>
      <c r="H358" t="s">
        <v>25</v>
      </c>
      <c r="I358" s="3">
        <v>1738</v>
      </c>
      <c r="J358" s="3">
        <v>1738</v>
      </c>
      <c r="K358" s="3">
        <v>388</v>
      </c>
      <c r="L358" t="s">
        <v>113</v>
      </c>
      <c r="M358">
        <v>15</v>
      </c>
      <c r="N358" t="s">
        <v>88</v>
      </c>
      <c r="O358" t="s">
        <v>81</v>
      </c>
      <c r="P358" t="s">
        <v>18</v>
      </c>
      <c r="Q358" t="s">
        <v>19</v>
      </c>
      <c r="R358" t="s">
        <v>138</v>
      </c>
      <c r="S358" t="s">
        <v>144</v>
      </c>
      <c r="T358" s="2">
        <f>MASTER[[#This Row],[CANTIDAD]]*MASTER[[#This Row],[PRECIO DE VENTA]]</f>
        <v>1738</v>
      </c>
      <c r="U358" s="2">
        <f>MASTER[[#This Row],[CANTIDAD]]*MASTER[[#This Row],[COSTO UNITARIO]]</f>
        <v>388</v>
      </c>
      <c r="V358" s="2">
        <f>MASTER[[#This Row],[MONTO VENDIDO]]-MASTER[[#This Row],[COSTO DE VENTA]]</f>
        <v>1350</v>
      </c>
    </row>
    <row r="359" spans="1:22" x14ac:dyDescent="0.3">
      <c r="A359">
        <v>14436</v>
      </c>
      <c r="B359">
        <v>1</v>
      </c>
      <c r="C359" t="s">
        <v>105</v>
      </c>
      <c r="D359" t="s">
        <v>106</v>
      </c>
      <c r="E359" s="1">
        <v>43875</v>
      </c>
      <c r="F359">
        <v>4</v>
      </c>
      <c r="G359" t="s">
        <v>22</v>
      </c>
      <c r="H359" t="s">
        <v>23</v>
      </c>
      <c r="I359" s="3">
        <v>1865</v>
      </c>
      <c r="J359" s="3">
        <v>1865</v>
      </c>
      <c r="K359" s="3">
        <v>459</v>
      </c>
      <c r="L359" t="s">
        <v>98</v>
      </c>
      <c r="M359">
        <v>4</v>
      </c>
      <c r="N359" t="s">
        <v>82</v>
      </c>
      <c r="O359" t="s">
        <v>81</v>
      </c>
      <c r="P359" t="s">
        <v>71</v>
      </c>
      <c r="Q359" t="s">
        <v>72</v>
      </c>
      <c r="R359" t="s">
        <v>139</v>
      </c>
      <c r="S359" t="s">
        <v>144</v>
      </c>
      <c r="T359" s="2">
        <f>MASTER[[#This Row],[CANTIDAD]]*MASTER[[#This Row],[PRECIO DE VENTA]]</f>
        <v>7460</v>
      </c>
      <c r="U359" s="2">
        <f>MASTER[[#This Row],[CANTIDAD]]*MASTER[[#This Row],[COSTO UNITARIO]]</f>
        <v>1836</v>
      </c>
      <c r="V359" s="2">
        <f>MASTER[[#This Row],[MONTO VENDIDO]]-MASTER[[#This Row],[COSTO DE VENTA]]</f>
        <v>5624</v>
      </c>
    </row>
    <row r="360" spans="1:22" x14ac:dyDescent="0.3">
      <c r="A360">
        <v>14463</v>
      </c>
      <c r="B360">
        <v>1</v>
      </c>
      <c r="C360" t="s">
        <v>118</v>
      </c>
      <c r="D360" t="s">
        <v>119</v>
      </c>
      <c r="E360" s="1">
        <v>43875</v>
      </c>
      <c r="F360">
        <v>1</v>
      </c>
      <c r="G360" t="s">
        <v>39</v>
      </c>
      <c r="H360" t="s">
        <v>40</v>
      </c>
      <c r="I360" s="3">
        <v>900</v>
      </c>
      <c r="J360" s="3">
        <v>900</v>
      </c>
      <c r="K360" s="3">
        <v>424</v>
      </c>
      <c r="L360" t="s">
        <v>120</v>
      </c>
      <c r="M360">
        <v>10</v>
      </c>
      <c r="N360" t="s">
        <v>83</v>
      </c>
      <c r="O360" t="s">
        <v>81</v>
      </c>
      <c r="P360" t="s">
        <v>12</v>
      </c>
      <c r="Q360" t="s">
        <v>13</v>
      </c>
      <c r="R360" t="s">
        <v>13</v>
      </c>
      <c r="S360" t="s">
        <v>144</v>
      </c>
      <c r="T360" s="2">
        <f>MASTER[[#This Row],[CANTIDAD]]*MASTER[[#This Row],[PRECIO DE VENTA]]</f>
        <v>900</v>
      </c>
      <c r="U360" s="2">
        <f>MASTER[[#This Row],[CANTIDAD]]*MASTER[[#This Row],[COSTO UNITARIO]]</f>
        <v>424</v>
      </c>
      <c r="V360" s="2">
        <f>MASTER[[#This Row],[MONTO VENDIDO]]-MASTER[[#This Row],[COSTO DE VENTA]]</f>
        <v>476</v>
      </c>
    </row>
    <row r="361" spans="1:22" x14ac:dyDescent="0.3">
      <c r="A361">
        <v>14476</v>
      </c>
      <c r="B361">
        <v>1</v>
      </c>
      <c r="C361" t="s">
        <v>96</v>
      </c>
      <c r="D361" t="s">
        <v>97</v>
      </c>
      <c r="E361" s="1">
        <v>43875</v>
      </c>
      <c r="F361">
        <v>1</v>
      </c>
      <c r="G361" t="s">
        <v>51</v>
      </c>
      <c r="H361" t="s">
        <v>52</v>
      </c>
      <c r="I361" s="3">
        <v>1272</v>
      </c>
      <c r="J361" s="3">
        <v>1272</v>
      </c>
      <c r="K361" s="3">
        <v>397</v>
      </c>
      <c r="L361" t="s">
        <v>98</v>
      </c>
      <c r="M361">
        <v>4</v>
      </c>
      <c r="N361" t="s">
        <v>82</v>
      </c>
      <c r="O361" t="s">
        <v>81</v>
      </c>
      <c r="P361" t="s">
        <v>71</v>
      </c>
      <c r="Q361" t="s">
        <v>72</v>
      </c>
      <c r="R361" t="s">
        <v>139</v>
      </c>
      <c r="S361" t="s">
        <v>144</v>
      </c>
      <c r="T361" s="2">
        <f>MASTER[[#This Row],[CANTIDAD]]*MASTER[[#This Row],[PRECIO DE VENTA]]</f>
        <v>1272</v>
      </c>
      <c r="U361" s="2">
        <f>MASTER[[#This Row],[CANTIDAD]]*MASTER[[#This Row],[COSTO UNITARIO]]</f>
        <v>397</v>
      </c>
      <c r="V361" s="2">
        <f>MASTER[[#This Row],[MONTO VENDIDO]]-MASTER[[#This Row],[COSTO DE VENTA]]</f>
        <v>875</v>
      </c>
    </row>
    <row r="362" spans="1:22" x14ac:dyDescent="0.3">
      <c r="A362">
        <v>14490</v>
      </c>
      <c r="B362">
        <v>1</v>
      </c>
      <c r="C362" t="s">
        <v>92</v>
      </c>
      <c r="D362" t="s">
        <v>93</v>
      </c>
      <c r="E362" s="1">
        <v>43875</v>
      </c>
      <c r="F362">
        <v>1</v>
      </c>
      <c r="G362" t="s">
        <v>55</v>
      </c>
      <c r="H362" t="s">
        <v>56</v>
      </c>
      <c r="I362" s="3">
        <v>1681</v>
      </c>
      <c r="J362" s="3">
        <v>1596</v>
      </c>
      <c r="K362" s="3">
        <v>396</v>
      </c>
      <c r="L362" t="s">
        <v>9</v>
      </c>
      <c r="M362">
        <v>8</v>
      </c>
      <c r="N362" t="s">
        <v>80</v>
      </c>
      <c r="O362" t="s">
        <v>81</v>
      </c>
      <c r="P362" t="s">
        <v>12</v>
      </c>
      <c r="Q362" t="s">
        <v>13</v>
      </c>
      <c r="R362" t="s">
        <v>13</v>
      </c>
      <c r="S362" t="s">
        <v>144</v>
      </c>
      <c r="T362" s="2">
        <f>MASTER[[#This Row],[CANTIDAD]]*MASTER[[#This Row],[PRECIO DE VENTA]]</f>
        <v>1596</v>
      </c>
      <c r="U362" s="2">
        <f>MASTER[[#This Row],[CANTIDAD]]*MASTER[[#This Row],[COSTO UNITARIO]]</f>
        <v>396</v>
      </c>
      <c r="V362" s="2">
        <f>MASTER[[#This Row],[MONTO VENDIDO]]-MASTER[[#This Row],[COSTO DE VENTA]]</f>
        <v>1200</v>
      </c>
    </row>
    <row r="363" spans="1:22" x14ac:dyDescent="0.3">
      <c r="A363">
        <v>14505</v>
      </c>
      <c r="B363">
        <v>1</v>
      </c>
      <c r="C363" t="s">
        <v>121</v>
      </c>
      <c r="D363" t="s">
        <v>122</v>
      </c>
      <c r="E363" s="1">
        <v>43875</v>
      </c>
      <c r="F363">
        <v>1</v>
      </c>
      <c r="G363" t="s">
        <v>49</v>
      </c>
      <c r="H363" t="s">
        <v>50</v>
      </c>
      <c r="I363" s="3">
        <v>1144</v>
      </c>
      <c r="J363" s="3">
        <v>1144</v>
      </c>
      <c r="K363" s="3">
        <v>460</v>
      </c>
      <c r="L363" t="s">
        <v>120</v>
      </c>
      <c r="M363">
        <v>6</v>
      </c>
      <c r="N363" t="s">
        <v>75</v>
      </c>
      <c r="O363" t="s">
        <v>70</v>
      </c>
      <c r="P363" t="s">
        <v>12</v>
      </c>
      <c r="Q363" t="s">
        <v>13</v>
      </c>
      <c r="R363" t="s">
        <v>13</v>
      </c>
      <c r="S363" t="s">
        <v>144</v>
      </c>
      <c r="T363" s="2">
        <f>MASTER[[#This Row],[CANTIDAD]]*MASTER[[#This Row],[PRECIO DE VENTA]]</f>
        <v>1144</v>
      </c>
      <c r="U363" s="2">
        <f>MASTER[[#This Row],[CANTIDAD]]*MASTER[[#This Row],[COSTO UNITARIO]]</f>
        <v>460</v>
      </c>
      <c r="V363" s="2">
        <f>MASTER[[#This Row],[MONTO VENDIDO]]-MASTER[[#This Row],[COSTO DE VENTA]]</f>
        <v>684</v>
      </c>
    </row>
    <row r="364" spans="1:22" x14ac:dyDescent="0.3">
      <c r="A364">
        <v>14517</v>
      </c>
      <c r="B364">
        <v>1</v>
      </c>
      <c r="C364" t="s">
        <v>107</v>
      </c>
      <c r="D364" t="s">
        <v>108</v>
      </c>
      <c r="E364" s="1">
        <v>43875</v>
      </c>
      <c r="F364">
        <v>1</v>
      </c>
      <c r="G364" t="s">
        <v>27</v>
      </c>
      <c r="H364" t="s">
        <v>28</v>
      </c>
      <c r="I364" s="3">
        <v>1333</v>
      </c>
      <c r="J364" s="3">
        <v>1333</v>
      </c>
      <c r="K364" s="3">
        <v>380</v>
      </c>
      <c r="L364" t="s">
        <v>98</v>
      </c>
      <c r="M364">
        <v>7</v>
      </c>
      <c r="N364" t="s">
        <v>84</v>
      </c>
      <c r="O364" t="s">
        <v>81</v>
      </c>
      <c r="P364" t="s">
        <v>12</v>
      </c>
      <c r="Q364" t="s">
        <v>13</v>
      </c>
      <c r="R364" t="s">
        <v>13</v>
      </c>
      <c r="S364" t="s">
        <v>144</v>
      </c>
      <c r="T364" s="2">
        <f>MASTER[[#This Row],[CANTIDAD]]*MASTER[[#This Row],[PRECIO DE VENTA]]</f>
        <v>1333</v>
      </c>
      <c r="U364" s="2">
        <f>MASTER[[#This Row],[CANTIDAD]]*MASTER[[#This Row],[COSTO UNITARIO]]</f>
        <v>380</v>
      </c>
      <c r="V364" s="2">
        <f>MASTER[[#This Row],[MONTO VENDIDO]]-MASTER[[#This Row],[COSTO DE VENTA]]</f>
        <v>953</v>
      </c>
    </row>
    <row r="365" spans="1:22" x14ac:dyDescent="0.3">
      <c r="A365">
        <v>14517</v>
      </c>
      <c r="B365">
        <v>2</v>
      </c>
      <c r="C365" t="s">
        <v>109</v>
      </c>
      <c r="D365" t="s">
        <v>110</v>
      </c>
      <c r="E365" s="1">
        <v>43875</v>
      </c>
      <c r="F365">
        <v>1</v>
      </c>
      <c r="G365" t="s">
        <v>61</v>
      </c>
      <c r="H365" t="s">
        <v>62</v>
      </c>
      <c r="I365" s="3">
        <v>1064</v>
      </c>
      <c r="J365" s="3">
        <v>1000</v>
      </c>
      <c r="K365" s="3">
        <v>387</v>
      </c>
      <c r="L365" t="s">
        <v>98</v>
      </c>
      <c r="M365">
        <v>7</v>
      </c>
      <c r="N365" t="s">
        <v>84</v>
      </c>
      <c r="O365" t="s">
        <v>81</v>
      </c>
      <c r="P365" t="s">
        <v>12</v>
      </c>
      <c r="Q365" t="s">
        <v>13</v>
      </c>
      <c r="R365" t="s">
        <v>13</v>
      </c>
      <c r="S365" t="s">
        <v>144</v>
      </c>
      <c r="T365" s="2">
        <f>MASTER[[#This Row],[CANTIDAD]]*MASTER[[#This Row],[PRECIO DE VENTA]]</f>
        <v>1000</v>
      </c>
      <c r="U365" s="2">
        <f>MASTER[[#This Row],[CANTIDAD]]*MASTER[[#This Row],[COSTO UNITARIO]]</f>
        <v>387</v>
      </c>
      <c r="V365" s="2">
        <f>MASTER[[#This Row],[MONTO VENDIDO]]-MASTER[[#This Row],[COSTO DE VENTA]]</f>
        <v>613</v>
      </c>
    </row>
    <row r="366" spans="1:22" x14ac:dyDescent="0.3">
      <c r="A366">
        <v>14560</v>
      </c>
      <c r="B366">
        <v>1</v>
      </c>
      <c r="C366" t="s">
        <v>111</v>
      </c>
      <c r="D366" t="s">
        <v>112</v>
      </c>
      <c r="E366" s="1">
        <v>43876</v>
      </c>
      <c r="F366">
        <v>1</v>
      </c>
      <c r="G366" t="s">
        <v>45</v>
      </c>
      <c r="H366" t="s">
        <v>46</v>
      </c>
      <c r="I366" s="3">
        <v>1621</v>
      </c>
      <c r="J366" s="3">
        <v>1621</v>
      </c>
      <c r="K366" s="3">
        <v>434</v>
      </c>
      <c r="L366" t="s">
        <v>113</v>
      </c>
      <c r="M366">
        <v>7</v>
      </c>
      <c r="N366" t="s">
        <v>84</v>
      </c>
      <c r="O366" t="s">
        <v>81</v>
      </c>
      <c r="P366" t="s">
        <v>12</v>
      </c>
      <c r="Q366" t="s">
        <v>13</v>
      </c>
      <c r="R366" t="s">
        <v>13</v>
      </c>
      <c r="S366" t="s">
        <v>144</v>
      </c>
      <c r="T366" s="2">
        <f>MASTER[[#This Row],[CANTIDAD]]*MASTER[[#This Row],[PRECIO DE VENTA]]</f>
        <v>1621</v>
      </c>
      <c r="U366" s="2">
        <f>MASTER[[#This Row],[CANTIDAD]]*MASTER[[#This Row],[COSTO UNITARIO]]</f>
        <v>434</v>
      </c>
      <c r="V366" s="2">
        <f>MASTER[[#This Row],[MONTO VENDIDO]]-MASTER[[#This Row],[COSTO DE VENTA]]</f>
        <v>1187</v>
      </c>
    </row>
    <row r="367" spans="1:22" x14ac:dyDescent="0.3">
      <c r="A367">
        <v>14568</v>
      </c>
      <c r="B367">
        <v>1</v>
      </c>
      <c r="C367" t="s">
        <v>121</v>
      </c>
      <c r="D367" t="s">
        <v>122</v>
      </c>
      <c r="E367" s="1">
        <v>43876</v>
      </c>
      <c r="F367">
        <v>1</v>
      </c>
      <c r="G367" t="s">
        <v>37</v>
      </c>
      <c r="H367" t="s">
        <v>38</v>
      </c>
      <c r="I367" s="3">
        <v>1069</v>
      </c>
      <c r="J367" s="3">
        <v>1069</v>
      </c>
      <c r="K367" s="3">
        <v>460</v>
      </c>
      <c r="L367" t="s">
        <v>120</v>
      </c>
      <c r="M367">
        <v>10</v>
      </c>
      <c r="N367" t="s">
        <v>83</v>
      </c>
      <c r="O367" t="s">
        <v>81</v>
      </c>
      <c r="P367" t="s">
        <v>12</v>
      </c>
      <c r="Q367" t="s">
        <v>13</v>
      </c>
      <c r="R367" t="s">
        <v>13</v>
      </c>
      <c r="S367" t="s">
        <v>144</v>
      </c>
      <c r="T367" s="2">
        <f>MASTER[[#This Row],[CANTIDAD]]*MASTER[[#This Row],[PRECIO DE VENTA]]</f>
        <v>1069</v>
      </c>
      <c r="U367" s="2">
        <f>MASTER[[#This Row],[CANTIDAD]]*MASTER[[#This Row],[COSTO UNITARIO]]</f>
        <v>460</v>
      </c>
      <c r="V367" s="2">
        <f>MASTER[[#This Row],[MONTO VENDIDO]]-MASTER[[#This Row],[COSTO DE VENTA]]</f>
        <v>609</v>
      </c>
    </row>
    <row r="368" spans="1:22" x14ac:dyDescent="0.3">
      <c r="A368">
        <v>14570</v>
      </c>
      <c r="B368">
        <v>1</v>
      </c>
      <c r="C368" t="s">
        <v>103</v>
      </c>
      <c r="D368" t="s">
        <v>104</v>
      </c>
      <c r="E368" s="1">
        <v>43876</v>
      </c>
      <c r="F368">
        <v>1</v>
      </c>
      <c r="G368" t="s">
        <v>24</v>
      </c>
      <c r="H368" t="s">
        <v>25</v>
      </c>
      <c r="I368" s="3">
        <v>1448</v>
      </c>
      <c r="J368" s="3">
        <v>1448</v>
      </c>
      <c r="K368" s="3">
        <v>421</v>
      </c>
      <c r="L368" t="s">
        <v>98</v>
      </c>
      <c r="M368">
        <v>12</v>
      </c>
      <c r="N368" t="s">
        <v>26</v>
      </c>
      <c r="O368" t="s">
        <v>11</v>
      </c>
      <c r="P368" t="s">
        <v>12</v>
      </c>
      <c r="Q368" t="s">
        <v>13</v>
      </c>
      <c r="R368" t="s">
        <v>13</v>
      </c>
      <c r="S368" t="s">
        <v>144</v>
      </c>
      <c r="T368" s="2">
        <f>MASTER[[#This Row],[CANTIDAD]]*MASTER[[#This Row],[PRECIO DE VENTA]]</f>
        <v>1448</v>
      </c>
      <c r="U368" s="2">
        <f>MASTER[[#This Row],[CANTIDAD]]*MASTER[[#This Row],[COSTO UNITARIO]]</f>
        <v>421</v>
      </c>
      <c r="V368" s="2">
        <f>MASTER[[#This Row],[MONTO VENDIDO]]-MASTER[[#This Row],[COSTO DE VENTA]]</f>
        <v>1027</v>
      </c>
    </row>
    <row r="369" spans="1:22" x14ac:dyDescent="0.3">
      <c r="A369">
        <v>14589</v>
      </c>
      <c r="B369">
        <v>1</v>
      </c>
      <c r="C369" t="s">
        <v>94</v>
      </c>
      <c r="D369" t="s">
        <v>95</v>
      </c>
      <c r="E369" s="1">
        <v>43876</v>
      </c>
      <c r="F369">
        <v>1</v>
      </c>
      <c r="G369" t="s">
        <v>65</v>
      </c>
      <c r="H369" t="s">
        <v>66</v>
      </c>
      <c r="I369" s="3">
        <v>1048</v>
      </c>
      <c r="J369" s="3">
        <v>1048</v>
      </c>
      <c r="K369" s="3">
        <v>392</v>
      </c>
      <c r="L369" t="s">
        <v>9</v>
      </c>
      <c r="M369">
        <v>15</v>
      </c>
      <c r="N369" t="s">
        <v>88</v>
      </c>
      <c r="O369" t="s">
        <v>81</v>
      </c>
      <c r="P369" t="s">
        <v>18</v>
      </c>
      <c r="Q369" t="s">
        <v>19</v>
      </c>
      <c r="R369" t="s">
        <v>138</v>
      </c>
      <c r="S369" t="s">
        <v>144</v>
      </c>
      <c r="T369" s="2">
        <f>MASTER[[#This Row],[CANTIDAD]]*MASTER[[#This Row],[PRECIO DE VENTA]]</f>
        <v>1048</v>
      </c>
      <c r="U369" s="2">
        <f>MASTER[[#This Row],[CANTIDAD]]*MASTER[[#This Row],[COSTO UNITARIO]]</f>
        <v>392</v>
      </c>
      <c r="V369" s="2">
        <f>MASTER[[#This Row],[MONTO VENDIDO]]-MASTER[[#This Row],[COSTO DE VENTA]]</f>
        <v>656</v>
      </c>
    </row>
    <row r="370" spans="1:22" x14ac:dyDescent="0.3">
      <c r="A370">
        <v>14618</v>
      </c>
      <c r="B370">
        <v>1</v>
      </c>
      <c r="C370" t="s">
        <v>118</v>
      </c>
      <c r="D370" t="s">
        <v>119</v>
      </c>
      <c r="E370" s="1">
        <v>43876</v>
      </c>
      <c r="F370">
        <v>1</v>
      </c>
      <c r="G370" t="s">
        <v>45</v>
      </c>
      <c r="H370" t="s">
        <v>46</v>
      </c>
      <c r="I370" s="3">
        <v>801</v>
      </c>
      <c r="J370" s="3">
        <v>801</v>
      </c>
      <c r="K370" s="3">
        <v>424</v>
      </c>
      <c r="L370" t="s">
        <v>120</v>
      </c>
      <c r="M370">
        <v>12</v>
      </c>
      <c r="N370" t="s">
        <v>26</v>
      </c>
      <c r="O370" t="s">
        <v>11</v>
      </c>
      <c r="P370" t="s">
        <v>12</v>
      </c>
      <c r="Q370" t="s">
        <v>13</v>
      </c>
      <c r="R370" t="s">
        <v>13</v>
      </c>
      <c r="S370" t="s">
        <v>144</v>
      </c>
      <c r="T370" s="2">
        <f>MASTER[[#This Row],[CANTIDAD]]*MASTER[[#This Row],[PRECIO DE VENTA]]</f>
        <v>801</v>
      </c>
      <c r="U370" s="2">
        <f>MASTER[[#This Row],[CANTIDAD]]*MASTER[[#This Row],[COSTO UNITARIO]]</f>
        <v>424</v>
      </c>
      <c r="V370" s="2">
        <f>MASTER[[#This Row],[MONTO VENDIDO]]-MASTER[[#This Row],[COSTO DE VENTA]]</f>
        <v>377</v>
      </c>
    </row>
    <row r="371" spans="1:22" x14ac:dyDescent="0.3">
      <c r="A371">
        <v>14641</v>
      </c>
      <c r="B371">
        <v>1</v>
      </c>
      <c r="C371" t="s">
        <v>111</v>
      </c>
      <c r="D371" t="s">
        <v>112</v>
      </c>
      <c r="E371" s="1">
        <v>43877</v>
      </c>
      <c r="F371">
        <v>1</v>
      </c>
      <c r="G371" t="s">
        <v>37</v>
      </c>
      <c r="H371" t="s">
        <v>38</v>
      </c>
      <c r="I371" s="3">
        <v>1799</v>
      </c>
      <c r="J371" s="3">
        <v>1799</v>
      </c>
      <c r="K371" s="3">
        <v>434</v>
      </c>
      <c r="L371" t="s">
        <v>113</v>
      </c>
      <c r="M371">
        <v>18</v>
      </c>
      <c r="N371" t="s">
        <v>79</v>
      </c>
      <c r="O371" t="s">
        <v>70</v>
      </c>
      <c r="P371" t="s">
        <v>15</v>
      </c>
      <c r="Q371" t="s">
        <v>16</v>
      </c>
      <c r="R371" t="s">
        <v>16</v>
      </c>
      <c r="S371" t="s">
        <v>144</v>
      </c>
      <c r="T371" s="2">
        <f>MASTER[[#This Row],[CANTIDAD]]*MASTER[[#This Row],[PRECIO DE VENTA]]</f>
        <v>1799</v>
      </c>
      <c r="U371" s="2">
        <f>MASTER[[#This Row],[CANTIDAD]]*MASTER[[#This Row],[COSTO UNITARIO]]</f>
        <v>434</v>
      </c>
      <c r="V371" s="2">
        <f>MASTER[[#This Row],[MONTO VENDIDO]]-MASTER[[#This Row],[COSTO DE VENTA]]</f>
        <v>1365</v>
      </c>
    </row>
    <row r="372" spans="1:22" x14ac:dyDescent="0.3">
      <c r="A372">
        <v>14682</v>
      </c>
      <c r="B372">
        <v>1</v>
      </c>
      <c r="C372" t="s">
        <v>105</v>
      </c>
      <c r="D372" t="s">
        <v>106</v>
      </c>
      <c r="E372" s="1">
        <v>43877</v>
      </c>
      <c r="F372">
        <v>1</v>
      </c>
      <c r="G372" t="s">
        <v>61</v>
      </c>
      <c r="H372" t="s">
        <v>62</v>
      </c>
      <c r="I372" s="3">
        <v>1865</v>
      </c>
      <c r="J372" s="3">
        <v>1865</v>
      </c>
      <c r="K372" s="3">
        <v>459</v>
      </c>
      <c r="L372" t="s">
        <v>98</v>
      </c>
      <c r="M372">
        <v>10</v>
      </c>
      <c r="N372" t="s">
        <v>83</v>
      </c>
      <c r="O372" t="s">
        <v>81</v>
      </c>
      <c r="P372" t="s">
        <v>12</v>
      </c>
      <c r="Q372" t="s">
        <v>13</v>
      </c>
      <c r="R372" t="s">
        <v>13</v>
      </c>
      <c r="S372" t="s">
        <v>144</v>
      </c>
      <c r="T372" s="2">
        <f>MASTER[[#This Row],[CANTIDAD]]*MASTER[[#This Row],[PRECIO DE VENTA]]</f>
        <v>1865</v>
      </c>
      <c r="U372" s="2">
        <f>MASTER[[#This Row],[CANTIDAD]]*MASTER[[#This Row],[COSTO UNITARIO]]</f>
        <v>459</v>
      </c>
      <c r="V372" s="2">
        <f>MASTER[[#This Row],[MONTO VENDIDO]]-MASTER[[#This Row],[COSTO DE VENTA]]</f>
        <v>1406</v>
      </c>
    </row>
    <row r="373" spans="1:22" x14ac:dyDescent="0.3">
      <c r="A373">
        <v>14688</v>
      </c>
      <c r="B373">
        <v>1</v>
      </c>
      <c r="C373" t="s">
        <v>116</v>
      </c>
      <c r="D373" t="s">
        <v>117</v>
      </c>
      <c r="E373" s="1">
        <v>43877</v>
      </c>
      <c r="F373">
        <v>1</v>
      </c>
      <c r="G373" t="s">
        <v>39</v>
      </c>
      <c r="H373" t="s">
        <v>40</v>
      </c>
      <c r="I373" s="3">
        <v>1529</v>
      </c>
      <c r="J373" s="3">
        <v>1529</v>
      </c>
      <c r="K373" s="3">
        <v>388</v>
      </c>
      <c r="L373" t="s">
        <v>113</v>
      </c>
      <c r="M373">
        <v>16</v>
      </c>
      <c r="N373" t="s">
        <v>17</v>
      </c>
      <c r="O373" t="s">
        <v>11</v>
      </c>
      <c r="P373" t="s">
        <v>18</v>
      </c>
      <c r="Q373" t="s">
        <v>19</v>
      </c>
      <c r="R373" t="s">
        <v>138</v>
      </c>
      <c r="S373" t="s">
        <v>144</v>
      </c>
      <c r="T373" s="2">
        <f>MASTER[[#This Row],[CANTIDAD]]*MASTER[[#This Row],[PRECIO DE VENTA]]</f>
        <v>1529</v>
      </c>
      <c r="U373" s="2">
        <f>MASTER[[#This Row],[CANTIDAD]]*MASTER[[#This Row],[COSTO UNITARIO]]</f>
        <v>388</v>
      </c>
      <c r="V373" s="2">
        <f>MASTER[[#This Row],[MONTO VENDIDO]]-MASTER[[#This Row],[COSTO DE VENTA]]</f>
        <v>1141</v>
      </c>
    </row>
    <row r="374" spans="1:22" x14ac:dyDescent="0.3">
      <c r="A374">
        <v>14694</v>
      </c>
      <c r="B374">
        <v>1</v>
      </c>
      <c r="C374" t="s">
        <v>5</v>
      </c>
      <c r="D374" t="s">
        <v>6</v>
      </c>
      <c r="E374" s="1">
        <v>43877</v>
      </c>
      <c r="F374">
        <v>1</v>
      </c>
      <c r="G374" t="s">
        <v>57</v>
      </c>
      <c r="H374" t="s">
        <v>58</v>
      </c>
      <c r="I374" s="3">
        <v>1507</v>
      </c>
      <c r="J374" s="3">
        <v>1416</v>
      </c>
      <c r="K374" s="3">
        <v>393</v>
      </c>
      <c r="L374" t="s">
        <v>9</v>
      </c>
      <c r="M374">
        <v>15</v>
      </c>
      <c r="N374" t="s">
        <v>88</v>
      </c>
      <c r="O374" t="s">
        <v>81</v>
      </c>
      <c r="P374" t="s">
        <v>18</v>
      </c>
      <c r="Q374" t="s">
        <v>19</v>
      </c>
      <c r="R374" t="s">
        <v>138</v>
      </c>
      <c r="S374" t="s">
        <v>144</v>
      </c>
      <c r="T374" s="2">
        <f>MASTER[[#This Row],[CANTIDAD]]*MASTER[[#This Row],[PRECIO DE VENTA]]</f>
        <v>1416</v>
      </c>
      <c r="U374" s="2">
        <f>MASTER[[#This Row],[CANTIDAD]]*MASTER[[#This Row],[COSTO UNITARIO]]</f>
        <v>393</v>
      </c>
      <c r="V374" s="2">
        <f>MASTER[[#This Row],[MONTO VENDIDO]]-MASTER[[#This Row],[COSTO DE VENTA]]</f>
        <v>1023</v>
      </c>
    </row>
    <row r="375" spans="1:22" x14ac:dyDescent="0.3">
      <c r="A375">
        <v>14697</v>
      </c>
      <c r="B375">
        <v>1</v>
      </c>
      <c r="C375" t="s">
        <v>107</v>
      </c>
      <c r="D375" t="s">
        <v>108</v>
      </c>
      <c r="E375" s="1">
        <v>43877</v>
      </c>
      <c r="F375">
        <v>1</v>
      </c>
      <c r="G375" t="s">
        <v>27</v>
      </c>
      <c r="H375" t="s">
        <v>28</v>
      </c>
      <c r="I375" s="3">
        <v>1333</v>
      </c>
      <c r="J375" s="3">
        <v>1333</v>
      </c>
      <c r="K375" s="3">
        <v>380</v>
      </c>
      <c r="L375" t="s">
        <v>98</v>
      </c>
      <c r="M375">
        <v>2</v>
      </c>
      <c r="N375" t="s">
        <v>86</v>
      </c>
      <c r="O375" t="s">
        <v>81</v>
      </c>
      <c r="P375" t="s">
        <v>71</v>
      </c>
      <c r="Q375" t="s">
        <v>72</v>
      </c>
      <c r="R375" t="s">
        <v>139</v>
      </c>
      <c r="S375" t="s">
        <v>144</v>
      </c>
      <c r="T375" s="2">
        <f>MASTER[[#This Row],[CANTIDAD]]*MASTER[[#This Row],[PRECIO DE VENTA]]</f>
        <v>1333</v>
      </c>
      <c r="U375" s="2">
        <f>MASTER[[#This Row],[CANTIDAD]]*MASTER[[#This Row],[COSTO UNITARIO]]</f>
        <v>380</v>
      </c>
      <c r="V375" s="2">
        <f>MASTER[[#This Row],[MONTO VENDIDO]]-MASTER[[#This Row],[COSTO DE VENTA]]</f>
        <v>953</v>
      </c>
    </row>
    <row r="376" spans="1:22" x14ac:dyDescent="0.3">
      <c r="A376">
        <v>14711</v>
      </c>
      <c r="B376">
        <v>1</v>
      </c>
      <c r="C376" t="s">
        <v>107</v>
      </c>
      <c r="D376" t="s">
        <v>108</v>
      </c>
      <c r="E376" s="1">
        <v>43877</v>
      </c>
      <c r="F376">
        <v>1</v>
      </c>
      <c r="G376" t="s">
        <v>20</v>
      </c>
      <c r="H376" t="s">
        <v>21</v>
      </c>
      <c r="I376" s="3">
        <v>1240</v>
      </c>
      <c r="J376" s="3">
        <v>1240</v>
      </c>
      <c r="K376" s="3">
        <v>380</v>
      </c>
      <c r="L376" t="s">
        <v>98</v>
      </c>
      <c r="M376">
        <v>11</v>
      </c>
      <c r="N376" t="s">
        <v>10</v>
      </c>
      <c r="O376" t="s">
        <v>11</v>
      </c>
      <c r="P376" t="s">
        <v>12</v>
      </c>
      <c r="Q376" t="s">
        <v>13</v>
      </c>
      <c r="R376" t="s">
        <v>13</v>
      </c>
      <c r="S376" t="s">
        <v>144</v>
      </c>
      <c r="T376" s="2">
        <f>MASTER[[#This Row],[CANTIDAD]]*MASTER[[#This Row],[PRECIO DE VENTA]]</f>
        <v>1240</v>
      </c>
      <c r="U376" s="2">
        <f>MASTER[[#This Row],[CANTIDAD]]*MASTER[[#This Row],[COSTO UNITARIO]]</f>
        <v>380</v>
      </c>
      <c r="V376" s="2">
        <f>MASTER[[#This Row],[MONTO VENDIDO]]-MASTER[[#This Row],[COSTO DE VENTA]]</f>
        <v>860</v>
      </c>
    </row>
    <row r="377" spans="1:22" x14ac:dyDescent="0.3">
      <c r="A377">
        <v>14715</v>
      </c>
      <c r="B377">
        <v>1</v>
      </c>
      <c r="C377" t="s">
        <v>114</v>
      </c>
      <c r="D377" t="s">
        <v>115</v>
      </c>
      <c r="E377" s="1">
        <v>43877</v>
      </c>
      <c r="F377">
        <v>1</v>
      </c>
      <c r="G377" t="s">
        <v>51</v>
      </c>
      <c r="H377" t="s">
        <v>52</v>
      </c>
      <c r="I377" s="3">
        <v>1862</v>
      </c>
      <c r="J377" s="3">
        <v>1862</v>
      </c>
      <c r="K377" s="3">
        <v>394</v>
      </c>
      <c r="L377" t="s">
        <v>113</v>
      </c>
      <c r="M377">
        <v>7</v>
      </c>
      <c r="N377" t="s">
        <v>84</v>
      </c>
      <c r="O377" t="s">
        <v>81</v>
      </c>
      <c r="P377" t="s">
        <v>12</v>
      </c>
      <c r="Q377" t="s">
        <v>13</v>
      </c>
      <c r="R377" t="s">
        <v>13</v>
      </c>
      <c r="S377" t="s">
        <v>144</v>
      </c>
      <c r="T377" s="2">
        <f>MASTER[[#This Row],[CANTIDAD]]*MASTER[[#This Row],[PRECIO DE VENTA]]</f>
        <v>1862</v>
      </c>
      <c r="U377" s="2">
        <f>MASTER[[#This Row],[CANTIDAD]]*MASTER[[#This Row],[COSTO UNITARIO]]</f>
        <v>394</v>
      </c>
      <c r="V377" s="2">
        <f>MASTER[[#This Row],[MONTO VENDIDO]]-MASTER[[#This Row],[COSTO DE VENTA]]</f>
        <v>1468</v>
      </c>
    </row>
    <row r="378" spans="1:22" x14ac:dyDescent="0.3">
      <c r="A378">
        <v>14721</v>
      </c>
      <c r="B378">
        <v>1</v>
      </c>
      <c r="C378" t="s">
        <v>92</v>
      </c>
      <c r="D378" t="s">
        <v>93</v>
      </c>
      <c r="E378" s="1">
        <v>43877</v>
      </c>
      <c r="F378">
        <v>1</v>
      </c>
      <c r="G378" t="s">
        <v>24</v>
      </c>
      <c r="H378" t="s">
        <v>25</v>
      </c>
      <c r="I378" s="3">
        <v>1479</v>
      </c>
      <c r="J378" s="3">
        <v>1479</v>
      </c>
      <c r="K378" s="3">
        <v>396</v>
      </c>
      <c r="L378" t="s">
        <v>9</v>
      </c>
      <c r="M378">
        <v>12</v>
      </c>
      <c r="N378" t="s">
        <v>26</v>
      </c>
      <c r="O378" t="s">
        <v>11</v>
      </c>
      <c r="P378" t="s">
        <v>12</v>
      </c>
      <c r="Q378" t="s">
        <v>13</v>
      </c>
      <c r="R378" t="s">
        <v>13</v>
      </c>
      <c r="S378" t="s">
        <v>144</v>
      </c>
      <c r="T378" s="2">
        <f>MASTER[[#This Row],[CANTIDAD]]*MASTER[[#This Row],[PRECIO DE VENTA]]</f>
        <v>1479</v>
      </c>
      <c r="U378" s="2">
        <f>MASTER[[#This Row],[CANTIDAD]]*MASTER[[#This Row],[COSTO UNITARIO]]</f>
        <v>396</v>
      </c>
      <c r="V378" s="2">
        <f>MASTER[[#This Row],[MONTO VENDIDO]]-MASTER[[#This Row],[COSTO DE VENTA]]</f>
        <v>1083</v>
      </c>
    </row>
    <row r="379" spans="1:22" x14ac:dyDescent="0.3">
      <c r="A379">
        <v>14742</v>
      </c>
      <c r="B379">
        <v>1</v>
      </c>
      <c r="C379" t="s">
        <v>111</v>
      </c>
      <c r="D379" t="s">
        <v>112</v>
      </c>
      <c r="E379" s="1">
        <v>43877</v>
      </c>
      <c r="F379">
        <v>1</v>
      </c>
      <c r="G379" t="s">
        <v>61</v>
      </c>
      <c r="H379" t="s">
        <v>62</v>
      </c>
      <c r="I379" s="3">
        <v>1799</v>
      </c>
      <c r="J379" s="3">
        <v>1799</v>
      </c>
      <c r="K379" s="3">
        <v>434</v>
      </c>
      <c r="L379" t="s">
        <v>113</v>
      </c>
      <c r="M379">
        <v>9</v>
      </c>
      <c r="N379" t="s">
        <v>76</v>
      </c>
      <c r="O379" t="s">
        <v>70</v>
      </c>
      <c r="P379" t="s">
        <v>12</v>
      </c>
      <c r="Q379" t="s">
        <v>13</v>
      </c>
      <c r="R379" t="s">
        <v>13</v>
      </c>
      <c r="S379" t="s">
        <v>144</v>
      </c>
      <c r="T379" s="2">
        <f>MASTER[[#This Row],[CANTIDAD]]*MASTER[[#This Row],[PRECIO DE VENTA]]</f>
        <v>1799</v>
      </c>
      <c r="U379" s="2">
        <f>MASTER[[#This Row],[CANTIDAD]]*MASTER[[#This Row],[COSTO UNITARIO]]</f>
        <v>434</v>
      </c>
      <c r="V379" s="2">
        <f>MASTER[[#This Row],[MONTO VENDIDO]]-MASTER[[#This Row],[COSTO DE VENTA]]</f>
        <v>1365</v>
      </c>
    </row>
    <row r="380" spans="1:22" x14ac:dyDescent="0.3">
      <c r="A380">
        <v>14748</v>
      </c>
      <c r="B380">
        <v>1</v>
      </c>
      <c r="C380" t="s">
        <v>94</v>
      </c>
      <c r="D380" t="s">
        <v>95</v>
      </c>
      <c r="E380" s="1">
        <v>43878</v>
      </c>
      <c r="F380">
        <v>1</v>
      </c>
      <c r="G380" t="s">
        <v>33</v>
      </c>
      <c r="H380" t="s">
        <v>34</v>
      </c>
      <c r="I380" s="3">
        <v>1153</v>
      </c>
      <c r="J380" s="3">
        <v>1153</v>
      </c>
      <c r="K380" s="3">
        <v>392</v>
      </c>
      <c r="L380" t="s">
        <v>9</v>
      </c>
      <c r="M380">
        <v>9</v>
      </c>
      <c r="N380" t="s">
        <v>76</v>
      </c>
      <c r="O380" t="s">
        <v>70</v>
      </c>
      <c r="P380" t="s">
        <v>12</v>
      </c>
      <c r="Q380" t="s">
        <v>13</v>
      </c>
      <c r="R380" t="s">
        <v>13</v>
      </c>
      <c r="S380" t="s">
        <v>144</v>
      </c>
      <c r="T380" s="2">
        <f>MASTER[[#This Row],[CANTIDAD]]*MASTER[[#This Row],[PRECIO DE VENTA]]</f>
        <v>1153</v>
      </c>
      <c r="U380" s="2">
        <f>MASTER[[#This Row],[CANTIDAD]]*MASTER[[#This Row],[COSTO UNITARIO]]</f>
        <v>392</v>
      </c>
      <c r="V380" s="2">
        <f>MASTER[[#This Row],[MONTO VENDIDO]]-MASTER[[#This Row],[COSTO DE VENTA]]</f>
        <v>761</v>
      </c>
    </row>
    <row r="381" spans="1:22" x14ac:dyDescent="0.3">
      <c r="A381">
        <v>14751</v>
      </c>
      <c r="B381">
        <v>1</v>
      </c>
      <c r="C381" t="s">
        <v>92</v>
      </c>
      <c r="D381" t="s">
        <v>93</v>
      </c>
      <c r="E381" s="1">
        <v>43878</v>
      </c>
      <c r="F381">
        <v>1</v>
      </c>
      <c r="G381" t="s">
        <v>73</v>
      </c>
      <c r="H381" t="s">
        <v>74</v>
      </c>
      <c r="I381" s="3">
        <v>1479</v>
      </c>
      <c r="J381" s="3">
        <v>1419</v>
      </c>
      <c r="K381" s="3">
        <v>396</v>
      </c>
      <c r="L381" t="s">
        <v>9</v>
      </c>
      <c r="M381">
        <v>16</v>
      </c>
      <c r="N381" t="s">
        <v>17</v>
      </c>
      <c r="O381" t="s">
        <v>11</v>
      </c>
      <c r="P381" t="s">
        <v>18</v>
      </c>
      <c r="Q381" t="s">
        <v>19</v>
      </c>
      <c r="R381" t="s">
        <v>138</v>
      </c>
      <c r="S381" t="s">
        <v>144</v>
      </c>
      <c r="T381" s="2">
        <f>MASTER[[#This Row],[CANTIDAD]]*MASTER[[#This Row],[PRECIO DE VENTA]]</f>
        <v>1419</v>
      </c>
      <c r="U381" s="2">
        <f>MASTER[[#This Row],[CANTIDAD]]*MASTER[[#This Row],[COSTO UNITARIO]]</f>
        <v>396</v>
      </c>
      <c r="V381" s="2">
        <f>MASTER[[#This Row],[MONTO VENDIDO]]-MASTER[[#This Row],[COSTO DE VENTA]]</f>
        <v>1023</v>
      </c>
    </row>
    <row r="382" spans="1:22" x14ac:dyDescent="0.3">
      <c r="A382">
        <v>14762</v>
      </c>
      <c r="B382">
        <v>1</v>
      </c>
      <c r="C382" t="s">
        <v>109</v>
      </c>
      <c r="D382" t="s">
        <v>110</v>
      </c>
      <c r="E382" s="1">
        <v>43878</v>
      </c>
      <c r="F382">
        <v>1</v>
      </c>
      <c r="G382" t="s">
        <v>7</v>
      </c>
      <c r="H382" t="s">
        <v>8</v>
      </c>
      <c r="I382" s="3">
        <v>1064</v>
      </c>
      <c r="J382" s="3">
        <v>1064</v>
      </c>
      <c r="K382" s="3">
        <v>387</v>
      </c>
      <c r="L382" t="s">
        <v>98</v>
      </c>
      <c r="M382">
        <v>2</v>
      </c>
      <c r="N382" t="s">
        <v>86</v>
      </c>
      <c r="O382" t="s">
        <v>81</v>
      </c>
      <c r="P382" t="s">
        <v>71</v>
      </c>
      <c r="Q382" t="s">
        <v>72</v>
      </c>
      <c r="R382" t="s">
        <v>139</v>
      </c>
      <c r="S382" t="s">
        <v>144</v>
      </c>
      <c r="T382" s="2">
        <f>MASTER[[#This Row],[CANTIDAD]]*MASTER[[#This Row],[PRECIO DE VENTA]]</f>
        <v>1064</v>
      </c>
      <c r="U382" s="2">
        <f>MASTER[[#This Row],[CANTIDAD]]*MASTER[[#This Row],[COSTO UNITARIO]]</f>
        <v>387</v>
      </c>
      <c r="V382" s="2">
        <f>MASTER[[#This Row],[MONTO VENDIDO]]-MASTER[[#This Row],[COSTO DE VENTA]]</f>
        <v>677</v>
      </c>
    </row>
    <row r="383" spans="1:22" x14ac:dyDescent="0.3">
      <c r="A383">
        <v>14771</v>
      </c>
      <c r="B383">
        <v>1</v>
      </c>
      <c r="C383" t="s">
        <v>96</v>
      </c>
      <c r="D383" t="s">
        <v>97</v>
      </c>
      <c r="E383" s="1">
        <v>43878</v>
      </c>
      <c r="F383">
        <v>1</v>
      </c>
      <c r="G383" t="s">
        <v>53</v>
      </c>
      <c r="H383" t="s">
        <v>54</v>
      </c>
      <c r="I383" s="3">
        <v>1272</v>
      </c>
      <c r="J383" s="3">
        <v>1272</v>
      </c>
      <c r="K383" s="3">
        <v>397</v>
      </c>
      <c r="L383" t="s">
        <v>98</v>
      </c>
      <c r="M383">
        <v>10</v>
      </c>
      <c r="N383" t="s">
        <v>83</v>
      </c>
      <c r="O383" t="s">
        <v>81</v>
      </c>
      <c r="P383" t="s">
        <v>12</v>
      </c>
      <c r="Q383" t="s">
        <v>13</v>
      </c>
      <c r="R383" t="s">
        <v>13</v>
      </c>
      <c r="S383" t="s">
        <v>144</v>
      </c>
      <c r="T383" s="2">
        <f>MASTER[[#This Row],[CANTIDAD]]*MASTER[[#This Row],[PRECIO DE VENTA]]</f>
        <v>1272</v>
      </c>
      <c r="U383" s="2">
        <f>MASTER[[#This Row],[CANTIDAD]]*MASTER[[#This Row],[COSTO UNITARIO]]</f>
        <v>397</v>
      </c>
      <c r="V383" s="2">
        <f>MASTER[[#This Row],[MONTO VENDIDO]]-MASTER[[#This Row],[COSTO DE VENTA]]</f>
        <v>875</v>
      </c>
    </row>
    <row r="384" spans="1:22" x14ac:dyDescent="0.3">
      <c r="A384">
        <v>14799</v>
      </c>
      <c r="B384">
        <v>1</v>
      </c>
      <c r="C384" t="s">
        <v>103</v>
      </c>
      <c r="D384" t="s">
        <v>104</v>
      </c>
      <c r="E384" s="1">
        <v>43878</v>
      </c>
      <c r="F384">
        <v>1</v>
      </c>
      <c r="G384" t="s">
        <v>53</v>
      </c>
      <c r="H384" t="s">
        <v>54</v>
      </c>
      <c r="I384" s="3">
        <v>1591</v>
      </c>
      <c r="J384" s="3">
        <v>1591</v>
      </c>
      <c r="K384" s="3">
        <v>421</v>
      </c>
      <c r="L384" t="s">
        <v>98</v>
      </c>
      <c r="M384">
        <v>8</v>
      </c>
      <c r="N384" t="s">
        <v>80</v>
      </c>
      <c r="O384" t="s">
        <v>81</v>
      </c>
      <c r="P384" t="s">
        <v>12</v>
      </c>
      <c r="Q384" t="s">
        <v>13</v>
      </c>
      <c r="R384" t="s">
        <v>13</v>
      </c>
      <c r="S384" t="s">
        <v>144</v>
      </c>
      <c r="T384" s="2">
        <f>MASTER[[#This Row],[CANTIDAD]]*MASTER[[#This Row],[PRECIO DE VENTA]]</f>
        <v>1591</v>
      </c>
      <c r="U384" s="2">
        <f>MASTER[[#This Row],[CANTIDAD]]*MASTER[[#This Row],[COSTO UNITARIO]]</f>
        <v>421</v>
      </c>
      <c r="V384" s="2">
        <f>MASTER[[#This Row],[MONTO VENDIDO]]-MASTER[[#This Row],[COSTO DE VENTA]]</f>
        <v>1170</v>
      </c>
    </row>
    <row r="385" spans="1:22" x14ac:dyDescent="0.3">
      <c r="A385">
        <v>14815</v>
      </c>
      <c r="B385">
        <v>1</v>
      </c>
      <c r="C385" t="s">
        <v>94</v>
      </c>
      <c r="D385" t="s">
        <v>95</v>
      </c>
      <c r="E385" s="1">
        <v>43878</v>
      </c>
      <c r="F385">
        <v>1</v>
      </c>
      <c r="G385" t="s">
        <v>31</v>
      </c>
      <c r="H385" t="s">
        <v>32</v>
      </c>
      <c r="I385" s="3">
        <v>901</v>
      </c>
      <c r="J385" s="3">
        <v>901</v>
      </c>
      <c r="K385" s="3">
        <v>392</v>
      </c>
      <c r="L385" t="s">
        <v>9</v>
      </c>
      <c r="M385">
        <v>11</v>
      </c>
      <c r="N385" t="s">
        <v>10</v>
      </c>
      <c r="O385" t="s">
        <v>11</v>
      </c>
      <c r="P385" t="s">
        <v>12</v>
      </c>
      <c r="Q385" t="s">
        <v>13</v>
      </c>
      <c r="R385" t="s">
        <v>13</v>
      </c>
      <c r="S385" t="s">
        <v>144</v>
      </c>
      <c r="T385" s="2">
        <f>MASTER[[#This Row],[CANTIDAD]]*MASTER[[#This Row],[PRECIO DE VENTA]]</f>
        <v>901</v>
      </c>
      <c r="U385" s="2">
        <f>MASTER[[#This Row],[CANTIDAD]]*MASTER[[#This Row],[COSTO UNITARIO]]</f>
        <v>392</v>
      </c>
      <c r="V385" s="2">
        <f>MASTER[[#This Row],[MONTO VENDIDO]]-MASTER[[#This Row],[COSTO DE VENTA]]</f>
        <v>509</v>
      </c>
    </row>
    <row r="386" spans="1:22" x14ac:dyDescent="0.3">
      <c r="A386">
        <v>14822</v>
      </c>
      <c r="B386">
        <v>1</v>
      </c>
      <c r="C386" t="s">
        <v>5</v>
      </c>
      <c r="D386" t="s">
        <v>6</v>
      </c>
      <c r="E386" s="1">
        <v>43878</v>
      </c>
      <c r="F386">
        <v>1</v>
      </c>
      <c r="G386" t="s">
        <v>31</v>
      </c>
      <c r="H386" t="s">
        <v>32</v>
      </c>
      <c r="I386" s="3">
        <v>1296</v>
      </c>
      <c r="J386" s="3">
        <v>1296</v>
      </c>
      <c r="K386" s="3">
        <v>393</v>
      </c>
      <c r="L386" t="s">
        <v>9</v>
      </c>
      <c r="M386">
        <v>13</v>
      </c>
      <c r="N386" t="s">
        <v>78</v>
      </c>
      <c r="O386" t="s">
        <v>70</v>
      </c>
      <c r="P386" t="s">
        <v>18</v>
      </c>
      <c r="Q386" t="s">
        <v>19</v>
      </c>
      <c r="R386" t="s">
        <v>138</v>
      </c>
      <c r="S386" t="s">
        <v>144</v>
      </c>
      <c r="T386" s="2">
        <f>MASTER[[#This Row],[CANTIDAD]]*MASTER[[#This Row],[PRECIO DE VENTA]]</f>
        <v>1296</v>
      </c>
      <c r="U386" s="2">
        <f>MASTER[[#This Row],[CANTIDAD]]*MASTER[[#This Row],[COSTO UNITARIO]]</f>
        <v>393</v>
      </c>
      <c r="V386" s="2">
        <f>MASTER[[#This Row],[MONTO VENDIDO]]-MASTER[[#This Row],[COSTO DE VENTA]]</f>
        <v>903</v>
      </c>
    </row>
    <row r="387" spans="1:22" x14ac:dyDescent="0.3">
      <c r="A387">
        <v>14822</v>
      </c>
      <c r="B387">
        <v>2</v>
      </c>
      <c r="C387" t="s">
        <v>118</v>
      </c>
      <c r="D387" t="s">
        <v>119</v>
      </c>
      <c r="E387" s="1">
        <v>43878</v>
      </c>
      <c r="F387">
        <v>1</v>
      </c>
      <c r="G387" t="s">
        <v>20</v>
      </c>
      <c r="H387" t="s">
        <v>21</v>
      </c>
      <c r="I387" s="3">
        <v>1026</v>
      </c>
      <c r="J387" s="3">
        <v>1026</v>
      </c>
      <c r="K387" s="3">
        <v>424</v>
      </c>
      <c r="L387" t="s">
        <v>120</v>
      </c>
      <c r="M387">
        <v>13</v>
      </c>
      <c r="N387" t="s">
        <v>78</v>
      </c>
      <c r="O387" t="s">
        <v>70</v>
      </c>
      <c r="P387" t="s">
        <v>18</v>
      </c>
      <c r="Q387" t="s">
        <v>19</v>
      </c>
      <c r="R387" t="s">
        <v>138</v>
      </c>
      <c r="S387" t="s">
        <v>144</v>
      </c>
      <c r="T387" s="2">
        <f>MASTER[[#This Row],[CANTIDAD]]*MASTER[[#This Row],[PRECIO DE VENTA]]</f>
        <v>1026</v>
      </c>
      <c r="U387" s="2">
        <f>MASTER[[#This Row],[CANTIDAD]]*MASTER[[#This Row],[COSTO UNITARIO]]</f>
        <v>424</v>
      </c>
      <c r="V387" s="2">
        <f>MASTER[[#This Row],[MONTO VENDIDO]]-MASTER[[#This Row],[COSTO DE VENTA]]</f>
        <v>602</v>
      </c>
    </row>
    <row r="388" spans="1:22" x14ac:dyDescent="0.3">
      <c r="A388">
        <v>14865</v>
      </c>
      <c r="B388">
        <v>1</v>
      </c>
      <c r="C388" t="s">
        <v>121</v>
      </c>
      <c r="D388" t="s">
        <v>122</v>
      </c>
      <c r="E388" s="1">
        <v>43879</v>
      </c>
      <c r="F388">
        <v>1</v>
      </c>
      <c r="G388" t="s">
        <v>41</v>
      </c>
      <c r="H388" t="s">
        <v>42</v>
      </c>
      <c r="I388" s="3">
        <v>1144</v>
      </c>
      <c r="J388" s="3">
        <v>1144</v>
      </c>
      <c r="K388" s="3">
        <v>460</v>
      </c>
      <c r="L388" t="s">
        <v>120</v>
      </c>
      <c r="M388">
        <v>9</v>
      </c>
      <c r="N388" t="s">
        <v>76</v>
      </c>
      <c r="O388" t="s">
        <v>70</v>
      </c>
      <c r="P388" t="s">
        <v>12</v>
      </c>
      <c r="Q388" t="s">
        <v>13</v>
      </c>
      <c r="R388" t="s">
        <v>13</v>
      </c>
      <c r="S388" t="s">
        <v>144</v>
      </c>
      <c r="T388" s="2">
        <f>MASTER[[#This Row],[CANTIDAD]]*MASTER[[#This Row],[PRECIO DE VENTA]]</f>
        <v>1144</v>
      </c>
      <c r="U388" s="2">
        <f>MASTER[[#This Row],[CANTIDAD]]*MASTER[[#This Row],[COSTO UNITARIO]]</f>
        <v>460</v>
      </c>
      <c r="V388" s="2">
        <f>MASTER[[#This Row],[MONTO VENDIDO]]-MASTER[[#This Row],[COSTO DE VENTA]]</f>
        <v>684</v>
      </c>
    </row>
    <row r="389" spans="1:22" x14ac:dyDescent="0.3">
      <c r="A389">
        <v>14873</v>
      </c>
      <c r="B389">
        <v>1</v>
      </c>
      <c r="C389" t="s">
        <v>90</v>
      </c>
      <c r="D389" t="s">
        <v>91</v>
      </c>
      <c r="E389" s="1">
        <v>43879</v>
      </c>
      <c r="F389">
        <v>1</v>
      </c>
      <c r="G389" t="s">
        <v>45</v>
      </c>
      <c r="H389" t="s">
        <v>46</v>
      </c>
      <c r="I389" s="3">
        <v>1844</v>
      </c>
      <c r="J389" s="3">
        <v>1844</v>
      </c>
      <c r="K389" s="3">
        <v>420</v>
      </c>
      <c r="L389" t="s">
        <v>9</v>
      </c>
      <c r="M389">
        <v>15</v>
      </c>
      <c r="N389" t="s">
        <v>88</v>
      </c>
      <c r="O389" t="s">
        <v>81</v>
      </c>
      <c r="P389" t="s">
        <v>18</v>
      </c>
      <c r="Q389" t="s">
        <v>19</v>
      </c>
      <c r="R389" t="s">
        <v>138</v>
      </c>
      <c r="S389" t="s">
        <v>144</v>
      </c>
      <c r="T389" s="2">
        <f>MASTER[[#This Row],[CANTIDAD]]*MASTER[[#This Row],[PRECIO DE VENTA]]</f>
        <v>1844</v>
      </c>
      <c r="U389" s="2">
        <f>MASTER[[#This Row],[CANTIDAD]]*MASTER[[#This Row],[COSTO UNITARIO]]</f>
        <v>420</v>
      </c>
      <c r="V389" s="2">
        <f>MASTER[[#This Row],[MONTO VENDIDO]]-MASTER[[#This Row],[COSTO DE VENTA]]</f>
        <v>1424</v>
      </c>
    </row>
    <row r="390" spans="1:22" x14ac:dyDescent="0.3">
      <c r="A390">
        <v>14874</v>
      </c>
      <c r="B390">
        <v>1</v>
      </c>
      <c r="C390" t="s">
        <v>114</v>
      </c>
      <c r="D390" t="s">
        <v>115</v>
      </c>
      <c r="E390" s="1">
        <v>43879</v>
      </c>
      <c r="F390">
        <v>4</v>
      </c>
      <c r="G390" t="s">
        <v>47</v>
      </c>
      <c r="H390" t="s">
        <v>48</v>
      </c>
      <c r="I390" s="3">
        <v>1862</v>
      </c>
      <c r="J390" s="3">
        <v>1862</v>
      </c>
      <c r="K390" s="3">
        <v>394</v>
      </c>
      <c r="L390" t="s">
        <v>113</v>
      </c>
      <c r="M390">
        <v>10</v>
      </c>
      <c r="N390" t="s">
        <v>83</v>
      </c>
      <c r="O390" t="s">
        <v>81</v>
      </c>
      <c r="P390" t="s">
        <v>12</v>
      </c>
      <c r="Q390" t="s">
        <v>13</v>
      </c>
      <c r="R390" t="s">
        <v>13</v>
      </c>
      <c r="S390" t="s">
        <v>144</v>
      </c>
      <c r="T390" s="2">
        <f>MASTER[[#This Row],[CANTIDAD]]*MASTER[[#This Row],[PRECIO DE VENTA]]</f>
        <v>7448</v>
      </c>
      <c r="U390" s="2">
        <f>MASTER[[#This Row],[CANTIDAD]]*MASTER[[#This Row],[COSTO UNITARIO]]</f>
        <v>1576</v>
      </c>
      <c r="V390" s="2">
        <f>MASTER[[#This Row],[MONTO VENDIDO]]-MASTER[[#This Row],[COSTO DE VENTA]]</f>
        <v>5872</v>
      </c>
    </row>
    <row r="391" spans="1:22" x14ac:dyDescent="0.3">
      <c r="A391">
        <v>14924</v>
      </c>
      <c r="B391">
        <v>1</v>
      </c>
      <c r="C391" t="s">
        <v>99</v>
      </c>
      <c r="D391" t="s">
        <v>100</v>
      </c>
      <c r="E391" s="1">
        <v>43880</v>
      </c>
      <c r="F391">
        <v>1</v>
      </c>
      <c r="G391" t="s">
        <v>45</v>
      </c>
      <c r="H391" t="s">
        <v>46</v>
      </c>
      <c r="I391" s="3">
        <v>1459</v>
      </c>
      <c r="J391" s="3">
        <v>1459</v>
      </c>
      <c r="K391" s="3">
        <v>386</v>
      </c>
      <c r="L391" t="s">
        <v>98</v>
      </c>
      <c r="M391">
        <v>15</v>
      </c>
      <c r="N391" t="s">
        <v>88</v>
      </c>
      <c r="O391" t="s">
        <v>81</v>
      </c>
      <c r="P391" t="s">
        <v>18</v>
      </c>
      <c r="Q391" t="s">
        <v>19</v>
      </c>
      <c r="R391" t="s">
        <v>138</v>
      </c>
      <c r="S391" t="s">
        <v>144</v>
      </c>
      <c r="T391" s="2">
        <f>MASTER[[#This Row],[CANTIDAD]]*MASTER[[#This Row],[PRECIO DE VENTA]]</f>
        <v>1459</v>
      </c>
      <c r="U391" s="2">
        <f>MASTER[[#This Row],[CANTIDAD]]*MASTER[[#This Row],[COSTO UNITARIO]]</f>
        <v>386</v>
      </c>
      <c r="V391" s="2">
        <f>MASTER[[#This Row],[MONTO VENDIDO]]-MASTER[[#This Row],[COSTO DE VENTA]]</f>
        <v>1073</v>
      </c>
    </row>
    <row r="392" spans="1:22" x14ac:dyDescent="0.3">
      <c r="A392">
        <v>14937</v>
      </c>
      <c r="B392">
        <v>1</v>
      </c>
      <c r="C392" t="s">
        <v>94</v>
      </c>
      <c r="D392" t="s">
        <v>95</v>
      </c>
      <c r="E392" s="1">
        <v>43880</v>
      </c>
      <c r="F392">
        <v>1</v>
      </c>
      <c r="G392" t="s">
        <v>7</v>
      </c>
      <c r="H392" t="s">
        <v>8</v>
      </c>
      <c r="I392" s="3">
        <v>1153</v>
      </c>
      <c r="J392" s="3">
        <v>1153</v>
      </c>
      <c r="K392" s="3">
        <v>392</v>
      </c>
      <c r="L392" t="s">
        <v>9</v>
      </c>
      <c r="M392">
        <v>3</v>
      </c>
      <c r="N392" t="s">
        <v>69</v>
      </c>
      <c r="O392" t="s">
        <v>70</v>
      </c>
      <c r="P392" t="s">
        <v>71</v>
      </c>
      <c r="Q392" t="s">
        <v>72</v>
      </c>
      <c r="R392" t="s">
        <v>139</v>
      </c>
      <c r="S392" t="s">
        <v>144</v>
      </c>
      <c r="T392" s="2">
        <f>MASTER[[#This Row],[CANTIDAD]]*MASTER[[#This Row],[PRECIO DE VENTA]]</f>
        <v>1153</v>
      </c>
      <c r="U392" s="2">
        <f>MASTER[[#This Row],[CANTIDAD]]*MASTER[[#This Row],[COSTO UNITARIO]]</f>
        <v>392</v>
      </c>
      <c r="V392" s="2">
        <f>MASTER[[#This Row],[MONTO VENDIDO]]-MASTER[[#This Row],[COSTO DE VENTA]]</f>
        <v>761</v>
      </c>
    </row>
    <row r="393" spans="1:22" x14ac:dyDescent="0.3">
      <c r="A393">
        <v>14941</v>
      </c>
      <c r="B393">
        <v>1</v>
      </c>
      <c r="C393" t="s">
        <v>99</v>
      </c>
      <c r="D393" t="s">
        <v>100</v>
      </c>
      <c r="E393" s="1">
        <v>43880</v>
      </c>
      <c r="F393">
        <v>1</v>
      </c>
      <c r="G393" t="s">
        <v>27</v>
      </c>
      <c r="H393" t="s">
        <v>28</v>
      </c>
      <c r="I393" s="3">
        <v>1459</v>
      </c>
      <c r="J393" s="3">
        <v>1459</v>
      </c>
      <c r="K393" s="3">
        <v>386</v>
      </c>
      <c r="L393" t="s">
        <v>98</v>
      </c>
      <c r="M393">
        <v>10</v>
      </c>
      <c r="N393" t="s">
        <v>83</v>
      </c>
      <c r="O393" t="s">
        <v>81</v>
      </c>
      <c r="P393" t="s">
        <v>12</v>
      </c>
      <c r="Q393" t="s">
        <v>13</v>
      </c>
      <c r="R393" t="s">
        <v>13</v>
      </c>
      <c r="S393" t="s">
        <v>144</v>
      </c>
      <c r="T393" s="2">
        <f>MASTER[[#This Row],[CANTIDAD]]*MASTER[[#This Row],[PRECIO DE VENTA]]</f>
        <v>1459</v>
      </c>
      <c r="U393" s="2">
        <f>MASTER[[#This Row],[CANTIDAD]]*MASTER[[#This Row],[COSTO UNITARIO]]</f>
        <v>386</v>
      </c>
      <c r="V393" s="2">
        <f>MASTER[[#This Row],[MONTO VENDIDO]]-MASTER[[#This Row],[COSTO DE VENTA]]</f>
        <v>1073</v>
      </c>
    </row>
    <row r="394" spans="1:22" x14ac:dyDescent="0.3">
      <c r="A394">
        <v>14945</v>
      </c>
      <c r="B394">
        <v>1</v>
      </c>
      <c r="C394" t="s">
        <v>121</v>
      </c>
      <c r="D394" t="s">
        <v>122</v>
      </c>
      <c r="E394" s="1">
        <v>43880</v>
      </c>
      <c r="F394">
        <v>1</v>
      </c>
      <c r="G394" t="s">
        <v>53</v>
      </c>
      <c r="H394" t="s">
        <v>54</v>
      </c>
      <c r="I394" s="3">
        <v>1069</v>
      </c>
      <c r="J394" s="3">
        <v>1069</v>
      </c>
      <c r="K394" s="3">
        <v>460</v>
      </c>
      <c r="L394" t="s">
        <v>120</v>
      </c>
      <c r="M394">
        <v>7</v>
      </c>
      <c r="N394" t="s">
        <v>84</v>
      </c>
      <c r="O394" t="s">
        <v>81</v>
      </c>
      <c r="P394" t="s">
        <v>12</v>
      </c>
      <c r="Q394" t="s">
        <v>13</v>
      </c>
      <c r="R394" t="s">
        <v>13</v>
      </c>
      <c r="S394" t="s">
        <v>144</v>
      </c>
      <c r="T394" s="2">
        <f>MASTER[[#This Row],[CANTIDAD]]*MASTER[[#This Row],[PRECIO DE VENTA]]</f>
        <v>1069</v>
      </c>
      <c r="U394" s="2">
        <f>MASTER[[#This Row],[CANTIDAD]]*MASTER[[#This Row],[COSTO UNITARIO]]</f>
        <v>460</v>
      </c>
      <c r="V394" s="2">
        <f>MASTER[[#This Row],[MONTO VENDIDO]]-MASTER[[#This Row],[COSTO DE VENTA]]</f>
        <v>609</v>
      </c>
    </row>
    <row r="395" spans="1:22" x14ac:dyDescent="0.3">
      <c r="A395">
        <v>14952</v>
      </c>
      <c r="B395">
        <v>1</v>
      </c>
      <c r="C395" t="s">
        <v>96</v>
      </c>
      <c r="D395" t="s">
        <v>97</v>
      </c>
      <c r="E395" s="1">
        <v>43880</v>
      </c>
      <c r="F395">
        <v>1</v>
      </c>
      <c r="G395" t="s">
        <v>24</v>
      </c>
      <c r="H395" t="s">
        <v>25</v>
      </c>
      <c r="I395" s="3">
        <v>1272</v>
      </c>
      <c r="J395" s="3">
        <v>1272</v>
      </c>
      <c r="K395" s="3">
        <v>397</v>
      </c>
      <c r="L395" t="s">
        <v>98</v>
      </c>
      <c r="M395">
        <v>19</v>
      </c>
      <c r="N395" t="s">
        <v>89</v>
      </c>
      <c r="O395" t="s">
        <v>81</v>
      </c>
      <c r="P395" t="s">
        <v>15</v>
      </c>
      <c r="Q395" t="s">
        <v>16</v>
      </c>
      <c r="R395" t="s">
        <v>16</v>
      </c>
      <c r="S395" t="s">
        <v>144</v>
      </c>
      <c r="T395" s="2">
        <f>MASTER[[#This Row],[CANTIDAD]]*MASTER[[#This Row],[PRECIO DE VENTA]]</f>
        <v>1272</v>
      </c>
      <c r="U395" s="2">
        <f>MASTER[[#This Row],[CANTIDAD]]*MASTER[[#This Row],[COSTO UNITARIO]]</f>
        <v>397</v>
      </c>
      <c r="V395" s="2">
        <f>MASTER[[#This Row],[MONTO VENDIDO]]-MASTER[[#This Row],[COSTO DE VENTA]]</f>
        <v>875</v>
      </c>
    </row>
    <row r="396" spans="1:22" x14ac:dyDescent="0.3">
      <c r="A396">
        <v>14953</v>
      </c>
      <c r="B396">
        <v>1</v>
      </c>
      <c r="C396" t="s">
        <v>118</v>
      </c>
      <c r="D396" t="s">
        <v>119</v>
      </c>
      <c r="E396" s="1">
        <v>43880</v>
      </c>
      <c r="F396">
        <v>1</v>
      </c>
      <c r="G396" t="s">
        <v>27</v>
      </c>
      <c r="H396" t="s">
        <v>28</v>
      </c>
      <c r="I396" s="3">
        <v>1026</v>
      </c>
      <c r="J396" s="3">
        <v>1026</v>
      </c>
      <c r="K396" s="3">
        <v>424</v>
      </c>
      <c r="L396" t="s">
        <v>120</v>
      </c>
      <c r="M396">
        <v>18</v>
      </c>
      <c r="N396" t="s">
        <v>79</v>
      </c>
      <c r="O396" t="s">
        <v>70</v>
      </c>
      <c r="P396" t="s">
        <v>15</v>
      </c>
      <c r="Q396" t="s">
        <v>16</v>
      </c>
      <c r="R396" t="s">
        <v>16</v>
      </c>
      <c r="S396" t="s">
        <v>144</v>
      </c>
      <c r="T396" s="2">
        <f>MASTER[[#This Row],[CANTIDAD]]*MASTER[[#This Row],[PRECIO DE VENTA]]</f>
        <v>1026</v>
      </c>
      <c r="U396" s="2">
        <f>MASTER[[#This Row],[CANTIDAD]]*MASTER[[#This Row],[COSTO UNITARIO]]</f>
        <v>424</v>
      </c>
      <c r="V396" s="2">
        <f>MASTER[[#This Row],[MONTO VENDIDO]]-MASTER[[#This Row],[COSTO DE VENTA]]</f>
        <v>602</v>
      </c>
    </row>
    <row r="397" spans="1:22" x14ac:dyDescent="0.3">
      <c r="A397">
        <v>14958</v>
      </c>
      <c r="B397">
        <v>1</v>
      </c>
      <c r="C397" t="s">
        <v>101</v>
      </c>
      <c r="D397" t="s">
        <v>102</v>
      </c>
      <c r="E397" s="1">
        <v>43880</v>
      </c>
      <c r="F397">
        <v>1</v>
      </c>
      <c r="G397" t="s">
        <v>59</v>
      </c>
      <c r="H397" t="s">
        <v>60</v>
      </c>
      <c r="I397" s="3">
        <v>1212</v>
      </c>
      <c r="J397" s="3">
        <v>1212</v>
      </c>
      <c r="K397" s="3">
        <v>442</v>
      </c>
      <c r="L397" t="s">
        <v>98</v>
      </c>
      <c r="M397">
        <v>10</v>
      </c>
      <c r="N397" t="s">
        <v>83</v>
      </c>
      <c r="O397" t="s">
        <v>81</v>
      </c>
      <c r="P397" t="s">
        <v>12</v>
      </c>
      <c r="Q397" t="s">
        <v>13</v>
      </c>
      <c r="R397" t="s">
        <v>13</v>
      </c>
      <c r="S397" t="s">
        <v>144</v>
      </c>
      <c r="T397" s="2">
        <f>MASTER[[#This Row],[CANTIDAD]]*MASTER[[#This Row],[PRECIO DE VENTA]]</f>
        <v>1212</v>
      </c>
      <c r="U397" s="2">
        <f>MASTER[[#This Row],[CANTIDAD]]*MASTER[[#This Row],[COSTO UNITARIO]]</f>
        <v>442</v>
      </c>
      <c r="V397" s="2">
        <f>MASTER[[#This Row],[MONTO VENDIDO]]-MASTER[[#This Row],[COSTO DE VENTA]]</f>
        <v>770</v>
      </c>
    </row>
    <row r="398" spans="1:22" x14ac:dyDescent="0.3">
      <c r="A398">
        <v>14960</v>
      </c>
      <c r="B398">
        <v>1</v>
      </c>
      <c r="C398" t="s">
        <v>114</v>
      </c>
      <c r="D398" t="s">
        <v>115</v>
      </c>
      <c r="E398" s="1">
        <v>43881</v>
      </c>
      <c r="F398">
        <v>1</v>
      </c>
      <c r="G398" t="s">
        <v>65</v>
      </c>
      <c r="H398" t="s">
        <v>66</v>
      </c>
      <c r="I398" s="3">
        <v>1862</v>
      </c>
      <c r="J398" s="3">
        <v>1862</v>
      </c>
      <c r="K398" s="3">
        <v>394</v>
      </c>
      <c r="L398" t="s">
        <v>113</v>
      </c>
      <c r="M398">
        <v>14</v>
      </c>
      <c r="N398" t="s">
        <v>87</v>
      </c>
      <c r="O398" t="s">
        <v>81</v>
      </c>
      <c r="P398" t="s">
        <v>18</v>
      </c>
      <c r="Q398" t="s">
        <v>19</v>
      </c>
      <c r="R398" t="s">
        <v>138</v>
      </c>
      <c r="S398" t="s">
        <v>144</v>
      </c>
      <c r="T398" s="2">
        <f>MASTER[[#This Row],[CANTIDAD]]*MASTER[[#This Row],[PRECIO DE VENTA]]</f>
        <v>1862</v>
      </c>
      <c r="U398" s="2">
        <f>MASTER[[#This Row],[CANTIDAD]]*MASTER[[#This Row],[COSTO UNITARIO]]</f>
        <v>394</v>
      </c>
      <c r="V398" s="2">
        <f>MASTER[[#This Row],[MONTO VENDIDO]]-MASTER[[#This Row],[COSTO DE VENTA]]</f>
        <v>1468</v>
      </c>
    </row>
    <row r="399" spans="1:22" x14ac:dyDescent="0.3">
      <c r="A399">
        <v>14976</v>
      </c>
      <c r="B399">
        <v>1</v>
      </c>
      <c r="C399" t="s">
        <v>116</v>
      </c>
      <c r="D399" t="s">
        <v>117</v>
      </c>
      <c r="E399" s="1">
        <v>43881</v>
      </c>
      <c r="F399">
        <v>1</v>
      </c>
      <c r="G399" t="s">
        <v>57</v>
      </c>
      <c r="H399" t="s">
        <v>58</v>
      </c>
      <c r="I399" s="3">
        <v>1999</v>
      </c>
      <c r="J399" s="3">
        <v>1879</v>
      </c>
      <c r="K399" s="3">
        <v>388</v>
      </c>
      <c r="L399" t="s">
        <v>113</v>
      </c>
      <c r="M399">
        <v>3</v>
      </c>
      <c r="N399" t="s">
        <v>69</v>
      </c>
      <c r="O399" t="s">
        <v>70</v>
      </c>
      <c r="P399" t="s">
        <v>71</v>
      </c>
      <c r="Q399" t="s">
        <v>72</v>
      </c>
      <c r="R399" t="s">
        <v>139</v>
      </c>
      <c r="S399" t="s">
        <v>144</v>
      </c>
      <c r="T399" s="2">
        <f>MASTER[[#This Row],[CANTIDAD]]*MASTER[[#This Row],[PRECIO DE VENTA]]</f>
        <v>1879</v>
      </c>
      <c r="U399" s="2">
        <f>MASTER[[#This Row],[CANTIDAD]]*MASTER[[#This Row],[COSTO UNITARIO]]</f>
        <v>388</v>
      </c>
      <c r="V399" s="2">
        <f>MASTER[[#This Row],[MONTO VENDIDO]]-MASTER[[#This Row],[COSTO DE VENTA]]</f>
        <v>1491</v>
      </c>
    </row>
    <row r="400" spans="1:22" x14ac:dyDescent="0.3">
      <c r="A400">
        <v>14989</v>
      </c>
      <c r="B400">
        <v>1</v>
      </c>
      <c r="C400" t="s">
        <v>101</v>
      </c>
      <c r="D400" t="s">
        <v>102</v>
      </c>
      <c r="E400" s="1">
        <v>43881</v>
      </c>
      <c r="F400">
        <v>1</v>
      </c>
      <c r="G400" t="s">
        <v>45</v>
      </c>
      <c r="H400" t="s">
        <v>46</v>
      </c>
      <c r="I400" s="3">
        <v>1212</v>
      </c>
      <c r="J400" s="3">
        <v>1212</v>
      </c>
      <c r="K400" s="3">
        <v>442</v>
      </c>
      <c r="L400" t="s">
        <v>98</v>
      </c>
      <c r="M400">
        <v>19</v>
      </c>
      <c r="N400" t="s">
        <v>89</v>
      </c>
      <c r="O400" t="s">
        <v>81</v>
      </c>
      <c r="P400" t="s">
        <v>15</v>
      </c>
      <c r="Q400" t="s">
        <v>16</v>
      </c>
      <c r="R400" t="s">
        <v>16</v>
      </c>
      <c r="S400" t="s">
        <v>144</v>
      </c>
      <c r="T400" s="2">
        <f>MASTER[[#This Row],[CANTIDAD]]*MASTER[[#This Row],[PRECIO DE VENTA]]</f>
        <v>1212</v>
      </c>
      <c r="U400" s="2">
        <f>MASTER[[#This Row],[CANTIDAD]]*MASTER[[#This Row],[COSTO UNITARIO]]</f>
        <v>442</v>
      </c>
      <c r="V400" s="2">
        <f>MASTER[[#This Row],[MONTO VENDIDO]]-MASTER[[#This Row],[COSTO DE VENTA]]</f>
        <v>770</v>
      </c>
    </row>
    <row r="401" spans="1:22" x14ac:dyDescent="0.3">
      <c r="A401">
        <v>14991</v>
      </c>
      <c r="B401">
        <v>1</v>
      </c>
      <c r="C401" t="s">
        <v>111</v>
      </c>
      <c r="D401" t="s">
        <v>112</v>
      </c>
      <c r="E401" s="1">
        <v>43881</v>
      </c>
      <c r="F401">
        <v>1</v>
      </c>
      <c r="G401" t="s">
        <v>55</v>
      </c>
      <c r="H401" t="s">
        <v>56</v>
      </c>
      <c r="I401" s="3">
        <v>1524</v>
      </c>
      <c r="J401" s="3">
        <v>1524</v>
      </c>
      <c r="K401" s="3">
        <v>434</v>
      </c>
      <c r="L401" t="s">
        <v>113</v>
      </c>
      <c r="M401">
        <v>17</v>
      </c>
      <c r="N401" t="s">
        <v>14</v>
      </c>
      <c r="O401" t="s">
        <v>11</v>
      </c>
      <c r="P401" t="s">
        <v>15</v>
      </c>
      <c r="Q401" t="s">
        <v>16</v>
      </c>
      <c r="R401" t="s">
        <v>16</v>
      </c>
      <c r="S401" t="s">
        <v>144</v>
      </c>
      <c r="T401" s="2">
        <f>MASTER[[#This Row],[CANTIDAD]]*MASTER[[#This Row],[PRECIO DE VENTA]]</f>
        <v>1524</v>
      </c>
      <c r="U401" s="2">
        <f>MASTER[[#This Row],[CANTIDAD]]*MASTER[[#This Row],[COSTO UNITARIO]]</f>
        <v>434</v>
      </c>
      <c r="V401" s="2">
        <f>MASTER[[#This Row],[MONTO VENDIDO]]-MASTER[[#This Row],[COSTO DE VENTA]]</f>
        <v>1090</v>
      </c>
    </row>
    <row r="402" spans="1:22" x14ac:dyDescent="0.3">
      <c r="A402">
        <v>14996</v>
      </c>
      <c r="B402">
        <v>1</v>
      </c>
      <c r="C402" t="s">
        <v>111</v>
      </c>
      <c r="D402" t="s">
        <v>112</v>
      </c>
      <c r="E402" s="1">
        <v>43881</v>
      </c>
      <c r="F402">
        <v>4</v>
      </c>
      <c r="G402" t="s">
        <v>33</v>
      </c>
      <c r="H402" t="s">
        <v>34</v>
      </c>
      <c r="I402" s="3">
        <v>1621</v>
      </c>
      <c r="J402" s="3">
        <v>1621</v>
      </c>
      <c r="K402" s="3">
        <v>434</v>
      </c>
      <c r="L402" t="s">
        <v>113</v>
      </c>
      <c r="M402">
        <v>5</v>
      </c>
      <c r="N402" t="s">
        <v>85</v>
      </c>
      <c r="O402" t="s">
        <v>81</v>
      </c>
      <c r="P402" t="s">
        <v>12</v>
      </c>
      <c r="Q402" t="s">
        <v>13</v>
      </c>
      <c r="R402" t="s">
        <v>13</v>
      </c>
      <c r="S402" t="s">
        <v>144</v>
      </c>
      <c r="T402" s="2">
        <f>MASTER[[#This Row],[CANTIDAD]]*MASTER[[#This Row],[PRECIO DE VENTA]]</f>
        <v>6484</v>
      </c>
      <c r="U402" s="2">
        <f>MASTER[[#This Row],[CANTIDAD]]*MASTER[[#This Row],[COSTO UNITARIO]]</f>
        <v>1736</v>
      </c>
      <c r="V402" s="2">
        <f>MASTER[[#This Row],[MONTO VENDIDO]]-MASTER[[#This Row],[COSTO DE VENTA]]</f>
        <v>4748</v>
      </c>
    </row>
    <row r="403" spans="1:22" x14ac:dyDescent="0.3">
      <c r="A403">
        <v>15012</v>
      </c>
      <c r="B403">
        <v>1</v>
      </c>
      <c r="C403" t="s">
        <v>105</v>
      </c>
      <c r="D403" t="s">
        <v>106</v>
      </c>
      <c r="E403" s="1">
        <v>43881</v>
      </c>
      <c r="F403">
        <v>1</v>
      </c>
      <c r="G403" t="s">
        <v>67</v>
      </c>
      <c r="H403" t="s">
        <v>68</v>
      </c>
      <c r="I403" s="3">
        <v>1865</v>
      </c>
      <c r="J403" s="3">
        <v>1865</v>
      </c>
      <c r="K403" s="3">
        <v>459</v>
      </c>
      <c r="L403" t="s">
        <v>98</v>
      </c>
      <c r="M403">
        <v>15</v>
      </c>
      <c r="N403" t="s">
        <v>88</v>
      </c>
      <c r="O403" t="s">
        <v>81</v>
      </c>
      <c r="P403" t="s">
        <v>18</v>
      </c>
      <c r="Q403" t="s">
        <v>19</v>
      </c>
      <c r="R403" t="s">
        <v>138</v>
      </c>
      <c r="S403" t="s">
        <v>144</v>
      </c>
      <c r="T403" s="2">
        <f>MASTER[[#This Row],[CANTIDAD]]*MASTER[[#This Row],[PRECIO DE VENTA]]</f>
        <v>1865</v>
      </c>
      <c r="U403" s="2">
        <f>MASTER[[#This Row],[CANTIDAD]]*MASTER[[#This Row],[COSTO UNITARIO]]</f>
        <v>459</v>
      </c>
      <c r="V403" s="2">
        <f>MASTER[[#This Row],[MONTO VENDIDO]]-MASTER[[#This Row],[COSTO DE VENTA]]</f>
        <v>1406</v>
      </c>
    </row>
    <row r="404" spans="1:22" x14ac:dyDescent="0.3">
      <c r="A404">
        <v>15018</v>
      </c>
      <c r="B404">
        <v>1</v>
      </c>
      <c r="C404" t="s">
        <v>103</v>
      </c>
      <c r="D404" t="s">
        <v>104</v>
      </c>
      <c r="E404" s="1">
        <v>43881</v>
      </c>
      <c r="F404">
        <v>1</v>
      </c>
      <c r="G404" t="s">
        <v>59</v>
      </c>
      <c r="H404" t="s">
        <v>60</v>
      </c>
      <c r="I404" s="3">
        <v>1448</v>
      </c>
      <c r="J404" s="3">
        <v>1448</v>
      </c>
      <c r="K404" s="3">
        <v>421</v>
      </c>
      <c r="L404" t="s">
        <v>98</v>
      </c>
      <c r="M404">
        <v>16</v>
      </c>
      <c r="N404" t="s">
        <v>17</v>
      </c>
      <c r="O404" t="s">
        <v>11</v>
      </c>
      <c r="P404" t="s">
        <v>18</v>
      </c>
      <c r="Q404" t="s">
        <v>19</v>
      </c>
      <c r="R404" t="s">
        <v>138</v>
      </c>
      <c r="S404" t="s">
        <v>144</v>
      </c>
      <c r="T404" s="2">
        <f>MASTER[[#This Row],[CANTIDAD]]*MASTER[[#This Row],[PRECIO DE VENTA]]</f>
        <v>1448</v>
      </c>
      <c r="U404" s="2">
        <f>MASTER[[#This Row],[CANTIDAD]]*MASTER[[#This Row],[COSTO UNITARIO]]</f>
        <v>421</v>
      </c>
      <c r="V404" s="2">
        <f>MASTER[[#This Row],[MONTO VENDIDO]]-MASTER[[#This Row],[COSTO DE VENTA]]</f>
        <v>1027</v>
      </c>
    </row>
    <row r="405" spans="1:22" x14ac:dyDescent="0.3">
      <c r="A405">
        <v>15038</v>
      </c>
      <c r="B405">
        <v>1</v>
      </c>
      <c r="C405" t="s">
        <v>99</v>
      </c>
      <c r="D405" t="s">
        <v>100</v>
      </c>
      <c r="E405" s="1">
        <v>43881</v>
      </c>
      <c r="F405">
        <v>1</v>
      </c>
      <c r="G405" t="s">
        <v>61</v>
      </c>
      <c r="H405" t="s">
        <v>62</v>
      </c>
      <c r="I405" s="3">
        <v>1328</v>
      </c>
      <c r="J405" s="3">
        <v>1328</v>
      </c>
      <c r="K405" s="3">
        <v>386</v>
      </c>
      <c r="L405" t="s">
        <v>98</v>
      </c>
      <c r="M405">
        <v>11</v>
      </c>
      <c r="N405" t="s">
        <v>10</v>
      </c>
      <c r="O405" t="s">
        <v>11</v>
      </c>
      <c r="P405" t="s">
        <v>12</v>
      </c>
      <c r="Q405" t="s">
        <v>13</v>
      </c>
      <c r="R405" t="s">
        <v>13</v>
      </c>
      <c r="S405" t="s">
        <v>144</v>
      </c>
      <c r="T405" s="2">
        <f>MASTER[[#This Row],[CANTIDAD]]*MASTER[[#This Row],[PRECIO DE VENTA]]</f>
        <v>1328</v>
      </c>
      <c r="U405" s="2">
        <f>MASTER[[#This Row],[CANTIDAD]]*MASTER[[#This Row],[COSTO UNITARIO]]</f>
        <v>386</v>
      </c>
      <c r="V405" s="2">
        <f>MASTER[[#This Row],[MONTO VENDIDO]]-MASTER[[#This Row],[COSTO DE VENTA]]</f>
        <v>942</v>
      </c>
    </row>
    <row r="406" spans="1:22" x14ac:dyDescent="0.3">
      <c r="A406">
        <v>15046</v>
      </c>
      <c r="B406">
        <v>1</v>
      </c>
      <c r="C406" t="s">
        <v>5</v>
      </c>
      <c r="D406" t="s">
        <v>6</v>
      </c>
      <c r="E406" s="1">
        <v>43881</v>
      </c>
      <c r="F406">
        <v>1</v>
      </c>
      <c r="G406" t="s">
        <v>22</v>
      </c>
      <c r="H406" t="s">
        <v>23</v>
      </c>
      <c r="I406" s="3">
        <v>1311</v>
      </c>
      <c r="J406" s="3">
        <v>1311</v>
      </c>
      <c r="K406" s="3">
        <v>393</v>
      </c>
      <c r="L406" t="s">
        <v>9</v>
      </c>
      <c r="M406">
        <v>16</v>
      </c>
      <c r="N406" t="s">
        <v>17</v>
      </c>
      <c r="O406" t="s">
        <v>11</v>
      </c>
      <c r="P406" t="s">
        <v>18</v>
      </c>
      <c r="Q406" t="s">
        <v>19</v>
      </c>
      <c r="R406" t="s">
        <v>138</v>
      </c>
      <c r="S406" t="s">
        <v>144</v>
      </c>
      <c r="T406" s="2">
        <f>MASTER[[#This Row],[CANTIDAD]]*MASTER[[#This Row],[PRECIO DE VENTA]]</f>
        <v>1311</v>
      </c>
      <c r="U406" s="2">
        <f>MASTER[[#This Row],[CANTIDAD]]*MASTER[[#This Row],[COSTO UNITARIO]]</f>
        <v>393</v>
      </c>
      <c r="V406" s="2">
        <f>MASTER[[#This Row],[MONTO VENDIDO]]-MASTER[[#This Row],[COSTO DE VENTA]]</f>
        <v>918</v>
      </c>
    </row>
    <row r="407" spans="1:22" x14ac:dyDescent="0.3">
      <c r="A407">
        <v>15048</v>
      </c>
      <c r="B407">
        <v>2</v>
      </c>
      <c r="C407" t="s">
        <v>92</v>
      </c>
      <c r="D407" t="s">
        <v>93</v>
      </c>
      <c r="E407" s="1">
        <v>43882</v>
      </c>
      <c r="F407">
        <v>1</v>
      </c>
      <c r="G407" t="s">
        <v>31</v>
      </c>
      <c r="H407" t="s">
        <v>32</v>
      </c>
      <c r="I407" s="3">
        <v>1681</v>
      </c>
      <c r="J407" s="3">
        <v>1681</v>
      </c>
      <c r="K407" s="3">
        <v>396</v>
      </c>
      <c r="L407" t="s">
        <v>9</v>
      </c>
      <c r="M407">
        <v>14</v>
      </c>
      <c r="N407" t="s">
        <v>87</v>
      </c>
      <c r="O407" t="s">
        <v>81</v>
      </c>
      <c r="P407" t="s">
        <v>18</v>
      </c>
      <c r="Q407" t="s">
        <v>19</v>
      </c>
      <c r="R407" t="s">
        <v>138</v>
      </c>
      <c r="S407" t="s">
        <v>144</v>
      </c>
      <c r="T407" s="2">
        <f>MASTER[[#This Row],[CANTIDAD]]*MASTER[[#This Row],[PRECIO DE VENTA]]</f>
        <v>1681</v>
      </c>
      <c r="U407" s="2">
        <f>MASTER[[#This Row],[CANTIDAD]]*MASTER[[#This Row],[COSTO UNITARIO]]</f>
        <v>396</v>
      </c>
      <c r="V407" s="2">
        <f>MASTER[[#This Row],[MONTO VENDIDO]]-MASTER[[#This Row],[COSTO DE VENTA]]</f>
        <v>1285</v>
      </c>
    </row>
    <row r="408" spans="1:22" x14ac:dyDescent="0.3">
      <c r="A408">
        <v>15048</v>
      </c>
      <c r="B408">
        <v>1</v>
      </c>
      <c r="C408" t="s">
        <v>109</v>
      </c>
      <c r="D408" t="s">
        <v>110</v>
      </c>
      <c r="E408" s="1">
        <v>43882</v>
      </c>
      <c r="F408">
        <v>1</v>
      </c>
      <c r="G408" t="s">
        <v>45</v>
      </c>
      <c r="H408" t="s">
        <v>46</v>
      </c>
      <c r="I408" s="3">
        <v>1064</v>
      </c>
      <c r="J408" s="3">
        <v>1064</v>
      </c>
      <c r="K408" s="3">
        <v>387</v>
      </c>
      <c r="L408" t="s">
        <v>98</v>
      </c>
      <c r="M408">
        <v>14</v>
      </c>
      <c r="N408" t="s">
        <v>87</v>
      </c>
      <c r="O408" t="s">
        <v>81</v>
      </c>
      <c r="P408" t="s">
        <v>18</v>
      </c>
      <c r="Q408" t="s">
        <v>19</v>
      </c>
      <c r="R408" t="s">
        <v>138</v>
      </c>
      <c r="S408" t="s">
        <v>144</v>
      </c>
      <c r="T408" s="2">
        <f>MASTER[[#This Row],[CANTIDAD]]*MASTER[[#This Row],[PRECIO DE VENTA]]</f>
        <v>1064</v>
      </c>
      <c r="U408" s="2">
        <f>MASTER[[#This Row],[CANTIDAD]]*MASTER[[#This Row],[COSTO UNITARIO]]</f>
        <v>387</v>
      </c>
      <c r="V408" s="2">
        <f>MASTER[[#This Row],[MONTO VENDIDO]]-MASTER[[#This Row],[COSTO DE VENTA]]</f>
        <v>677</v>
      </c>
    </row>
    <row r="409" spans="1:22" x14ac:dyDescent="0.3">
      <c r="A409">
        <v>15065</v>
      </c>
      <c r="B409">
        <v>1</v>
      </c>
      <c r="C409" t="s">
        <v>111</v>
      </c>
      <c r="D409" t="s">
        <v>112</v>
      </c>
      <c r="E409" s="1">
        <v>43882</v>
      </c>
      <c r="F409">
        <v>1</v>
      </c>
      <c r="G409" t="s">
        <v>65</v>
      </c>
      <c r="H409" t="s">
        <v>66</v>
      </c>
      <c r="I409" s="3">
        <v>1799</v>
      </c>
      <c r="J409" s="3">
        <v>1799</v>
      </c>
      <c r="K409" s="3">
        <v>434</v>
      </c>
      <c r="L409" t="s">
        <v>113</v>
      </c>
      <c r="M409">
        <v>13</v>
      </c>
      <c r="N409" t="s">
        <v>78</v>
      </c>
      <c r="O409" t="s">
        <v>70</v>
      </c>
      <c r="P409" t="s">
        <v>18</v>
      </c>
      <c r="Q409" t="s">
        <v>19</v>
      </c>
      <c r="R409" t="s">
        <v>138</v>
      </c>
      <c r="S409" t="s">
        <v>144</v>
      </c>
      <c r="T409" s="2">
        <f>MASTER[[#This Row],[CANTIDAD]]*MASTER[[#This Row],[PRECIO DE VENTA]]</f>
        <v>1799</v>
      </c>
      <c r="U409" s="2">
        <f>MASTER[[#This Row],[CANTIDAD]]*MASTER[[#This Row],[COSTO UNITARIO]]</f>
        <v>434</v>
      </c>
      <c r="V409" s="2">
        <f>MASTER[[#This Row],[MONTO VENDIDO]]-MASTER[[#This Row],[COSTO DE VENTA]]</f>
        <v>1365</v>
      </c>
    </row>
    <row r="410" spans="1:22" x14ac:dyDescent="0.3">
      <c r="A410">
        <v>15080</v>
      </c>
      <c r="B410">
        <v>1</v>
      </c>
      <c r="C410" t="s">
        <v>121</v>
      </c>
      <c r="D410" t="s">
        <v>122</v>
      </c>
      <c r="E410" s="1">
        <v>43882</v>
      </c>
      <c r="F410">
        <v>4</v>
      </c>
      <c r="G410" t="s">
        <v>61</v>
      </c>
      <c r="H410" t="s">
        <v>62</v>
      </c>
      <c r="I410" s="3">
        <v>1069</v>
      </c>
      <c r="J410" s="3">
        <v>1026</v>
      </c>
      <c r="K410" s="3">
        <v>460</v>
      </c>
      <c r="L410" t="s">
        <v>120</v>
      </c>
      <c r="M410">
        <v>2</v>
      </c>
      <c r="N410" t="s">
        <v>86</v>
      </c>
      <c r="O410" t="s">
        <v>81</v>
      </c>
      <c r="P410" t="s">
        <v>71</v>
      </c>
      <c r="Q410" t="s">
        <v>72</v>
      </c>
      <c r="R410" t="s">
        <v>139</v>
      </c>
      <c r="S410" t="s">
        <v>144</v>
      </c>
      <c r="T410" s="2">
        <f>MASTER[[#This Row],[CANTIDAD]]*MASTER[[#This Row],[PRECIO DE VENTA]]</f>
        <v>4104</v>
      </c>
      <c r="U410" s="2">
        <f>MASTER[[#This Row],[CANTIDAD]]*MASTER[[#This Row],[COSTO UNITARIO]]</f>
        <v>1840</v>
      </c>
      <c r="V410" s="2">
        <f>MASTER[[#This Row],[MONTO VENDIDO]]-MASTER[[#This Row],[COSTO DE VENTA]]</f>
        <v>2264</v>
      </c>
    </row>
    <row r="411" spans="1:22" x14ac:dyDescent="0.3">
      <c r="A411">
        <v>15094</v>
      </c>
      <c r="B411">
        <v>1</v>
      </c>
      <c r="C411" t="s">
        <v>116</v>
      </c>
      <c r="D411" t="s">
        <v>117</v>
      </c>
      <c r="E411" s="1">
        <v>43883</v>
      </c>
      <c r="F411">
        <v>1</v>
      </c>
      <c r="G411" t="s">
        <v>24</v>
      </c>
      <c r="H411" t="s">
        <v>25</v>
      </c>
      <c r="I411" s="3">
        <v>1738</v>
      </c>
      <c r="J411" s="3">
        <v>1738</v>
      </c>
      <c r="K411" s="3">
        <v>388</v>
      </c>
      <c r="L411" t="s">
        <v>113</v>
      </c>
      <c r="M411">
        <v>2</v>
      </c>
      <c r="N411" t="s">
        <v>86</v>
      </c>
      <c r="O411" t="s">
        <v>81</v>
      </c>
      <c r="P411" t="s">
        <v>71</v>
      </c>
      <c r="Q411" t="s">
        <v>72</v>
      </c>
      <c r="R411" t="s">
        <v>139</v>
      </c>
      <c r="S411" t="s">
        <v>144</v>
      </c>
      <c r="T411" s="2">
        <f>MASTER[[#This Row],[CANTIDAD]]*MASTER[[#This Row],[PRECIO DE VENTA]]</f>
        <v>1738</v>
      </c>
      <c r="U411" s="2">
        <f>MASTER[[#This Row],[CANTIDAD]]*MASTER[[#This Row],[COSTO UNITARIO]]</f>
        <v>388</v>
      </c>
      <c r="V411" s="2">
        <f>MASTER[[#This Row],[MONTO VENDIDO]]-MASTER[[#This Row],[COSTO DE VENTA]]</f>
        <v>1350</v>
      </c>
    </row>
    <row r="412" spans="1:22" x14ac:dyDescent="0.3">
      <c r="A412">
        <v>15097</v>
      </c>
      <c r="B412">
        <v>1</v>
      </c>
      <c r="C412" t="s">
        <v>99</v>
      </c>
      <c r="D412" t="s">
        <v>100</v>
      </c>
      <c r="E412" s="1">
        <v>43883</v>
      </c>
      <c r="F412">
        <v>1</v>
      </c>
      <c r="G412" t="s">
        <v>27</v>
      </c>
      <c r="H412" t="s">
        <v>28</v>
      </c>
      <c r="I412" s="3">
        <v>1328</v>
      </c>
      <c r="J412" s="3">
        <v>1328</v>
      </c>
      <c r="K412" s="3">
        <v>386</v>
      </c>
      <c r="L412" t="s">
        <v>98</v>
      </c>
      <c r="M412">
        <v>12</v>
      </c>
      <c r="N412" t="s">
        <v>26</v>
      </c>
      <c r="O412" t="s">
        <v>11</v>
      </c>
      <c r="P412" t="s">
        <v>12</v>
      </c>
      <c r="Q412" t="s">
        <v>13</v>
      </c>
      <c r="R412" t="s">
        <v>13</v>
      </c>
      <c r="S412" t="s">
        <v>144</v>
      </c>
      <c r="T412" s="2">
        <f>MASTER[[#This Row],[CANTIDAD]]*MASTER[[#This Row],[PRECIO DE VENTA]]</f>
        <v>1328</v>
      </c>
      <c r="U412" s="2">
        <f>MASTER[[#This Row],[CANTIDAD]]*MASTER[[#This Row],[COSTO UNITARIO]]</f>
        <v>386</v>
      </c>
      <c r="V412" s="2">
        <f>MASTER[[#This Row],[MONTO VENDIDO]]-MASTER[[#This Row],[COSTO DE VENTA]]</f>
        <v>942</v>
      </c>
    </row>
    <row r="413" spans="1:22" x14ac:dyDescent="0.3">
      <c r="A413">
        <v>15100</v>
      </c>
      <c r="B413">
        <v>1</v>
      </c>
      <c r="C413" t="s">
        <v>99</v>
      </c>
      <c r="D413" t="s">
        <v>100</v>
      </c>
      <c r="E413" s="1">
        <v>43883</v>
      </c>
      <c r="F413">
        <v>1</v>
      </c>
      <c r="G413" t="s">
        <v>20</v>
      </c>
      <c r="H413" t="s">
        <v>21</v>
      </c>
      <c r="I413" s="3">
        <v>1459</v>
      </c>
      <c r="J413" s="3">
        <v>1459</v>
      </c>
      <c r="K413" s="3">
        <v>386</v>
      </c>
      <c r="L413" t="s">
        <v>98</v>
      </c>
      <c r="M413">
        <v>14</v>
      </c>
      <c r="N413" t="s">
        <v>87</v>
      </c>
      <c r="O413" t="s">
        <v>81</v>
      </c>
      <c r="P413" t="s">
        <v>18</v>
      </c>
      <c r="Q413" t="s">
        <v>19</v>
      </c>
      <c r="R413" t="s">
        <v>138</v>
      </c>
      <c r="S413" t="s">
        <v>144</v>
      </c>
      <c r="T413" s="2">
        <f>MASTER[[#This Row],[CANTIDAD]]*MASTER[[#This Row],[PRECIO DE VENTA]]</f>
        <v>1459</v>
      </c>
      <c r="U413" s="2">
        <f>MASTER[[#This Row],[CANTIDAD]]*MASTER[[#This Row],[COSTO UNITARIO]]</f>
        <v>386</v>
      </c>
      <c r="V413" s="2">
        <f>MASTER[[#This Row],[MONTO VENDIDO]]-MASTER[[#This Row],[COSTO DE VENTA]]</f>
        <v>1073</v>
      </c>
    </row>
    <row r="414" spans="1:22" x14ac:dyDescent="0.3">
      <c r="A414">
        <v>15125</v>
      </c>
      <c r="B414">
        <v>1</v>
      </c>
      <c r="C414" t="s">
        <v>114</v>
      </c>
      <c r="D414" t="s">
        <v>115</v>
      </c>
      <c r="E414" s="1">
        <v>43883</v>
      </c>
      <c r="F414">
        <v>4</v>
      </c>
      <c r="G414" t="s">
        <v>24</v>
      </c>
      <c r="H414" t="s">
        <v>25</v>
      </c>
      <c r="I414" s="3">
        <v>1862</v>
      </c>
      <c r="J414" s="3">
        <v>1862</v>
      </c>
      <c r="K414" s="3">
        <v>394</v>
      </c>
      <c r="L414" t="s">
        <v>113</v>
      </c>
      <c r="M414">
        <v>8</v>
      </c>
      <c r="N414" t="s">
        <v>80</v>
      </c>
      <c r="O414" t="s">
        <v>81</v>
      </c>
      <c r="P414" t="s">
        <v>12</v>
      </c>
      <c r="Q414" t="s">
        <v>13</v>
      </c>
      <c r="R414" t="s">
        <v>13</v>
      </c>
      <c r="S414" t="s">
        <v>144</v>
      </c>
      <c r="T414" s="2">
        <f>MASTER[[#This Row],[CANTIDAD]]*MASTER[[#This Row],[PRECIO DE VENTA]]</f>
        <v>7448</v>
      </c>
      <c r="U414" s="2">
        <f>MASTER[[#This Row],[CANTIDAD]]*MASTER[[#This Row],[COSTO UNITARIO]]</f>
        <v>1576</v>
      </c>
      <c r="V414" s="2">
        <f>MASTER[[#This Row],[MONTO VENDIDO]]-MASTER[[#This Row],[COSTO DE VENTA]]</f>
        <v>5872</v>
      </c>
    </row>
    <row r="415" spans="1:22" x14ac:dyDescent="0.3">
      <c r="A415">
        <v>15136</v>
      </c>
      <c r="B415">
        <v>1</v>
      </c>
      <c r="C415" t="s">
        <v>101</v>
      </c>
      <c r="D415" t="s">
        <v>102</v>
      </c>
      <c r="E415" s="1">
        <v>43883</v>
      </c>
      <c r="F415">
        <v>1</v>
      </c>
      <c r="G415" t="s">
        <v>67</v>
      </c>
      <c r="H415" t="s">
        <v>68</v>
      </c>
      <c r="I415" s="3">
        <v>1212</v>
      </c>
      <c r="J415" s="3">
        <v>1212</v>
      </c>
      <c r="K415" s="3">
        <v>442</v>
      </c>
      <c r="L415" t="s">
        <v>98</v>
      </c>
      <c r="M415">
        <v>7</v>
      </c>
      <c r="N415" t="s">
        <v>84</v>
      </c>
      <c r="O415" t="s">
        <v>81</v>
      </c>
      <c r="P415" t="s">
        <v>12</v>
      </c>
      <c r="Q415" t="s">
        <v>13</v>
      </c>
      <c r="R415" t="s">
        <v>13</v>
      </c>
      <c r="S415" t="s">
        <v>144</v>
      </c>
      <c r="T415" s="2">
        <f>MASTER[[#This Row],[CANTIDAD]]*MASTER[[#This Row],[PRECIO DE VENTA]]</f>
        <v>1212</v>
      </c>
      <c r="U415" s="2">
        <f>MASTER[[#This Row],[CANTIDAD]]*MASTER[[#This Row],[COSTO UNITARIO]]</f>
        <v>442</v>
      </c>
      <c r="V415" s="2">
        <f>MASTER[[#This Row],[MONTO VENDIDO]]-MASTER[[#This Row],[COSTO DE VENTA]]</f>
        <v>770</v>
      </c>
    </row>
    <row r="416" spans="1:22" x14ac:dyDescent="0.3">
      <c r="A416">
        <v>15160</v>
      </c>
      <c r="B416">
        <v>1</v>
      </c>
      <c r="C416" t="s">
        <v>101</v>
      </c>
      <c r="D416" t="s">
        <v>102</v>
      </c>
      <c r="E416" s="1">
        <v>43883</v>
      </c>
      <c r="F416">
        <v>1</v>
      </c>
      <c r="G416" t="s">
        <v>53</v>
      </c>
      <c r="H416" t="s">
        <v>54</v>
      </c>
      <c r="I416" s="3">
        <v>1212</v>
      </c>
      <c r="J416" s="3">
        <v>1212</v>
      </c>
      <c r="K416" s="3">
        <v>442</v>
      </c>
      <c r="L416" t="s">
        <v>98</v>
      </c>
      <c r="M416">
        <v>14</v>
      </c>
      <c r="N416" t="s">
        <v>87</v>
      </c>
      <c r="O416" t="s">
        <v>81</v>
      </c>
      <c r="P416" t="s">
        <v>18</v>
      </c>
      <c r="Q416" t="s">
        <v>19</v>
      </c>
      <c r="R416" t="s">
        <v>138</v>
      </c>
      <c r="S416" t="s">
        <v>144</v>
      </c>
      <c r="T416" s="2">
        <f>MASTER[[#This Row],[CANTIDAD]]*MASTER[[#This Row],[PRECIO DE VENTA]]</f>
        <v>1212</v>
      </c>
      <c r="U416" s="2">
        <f>MASTER[[#This Row],[CANTIDAD]]*MASTER[[#This Row],[COSTO UNITARIO]]</f>
        <v>442</v>
      </c>
      <c r="V416" s="2">
        <f>MASTER[[#This Row],[MONTO VENDIDO]]-MASTER[[#This Row],[COSTO DE VENTA]]</f>
        <v>770</v>
      </c>
    </row>
    <row r="417" spans="1:22" x14ac:dyDescent="0.3">
      <c r="A417">
        <v>15210</v>
      </c>
      <c r="B417">
        <v>1</v>
      </c>
      <c r="C417" t="s">
        <v>96</v>
      </c>
      <c r="D417" t="s">
        <v>97</v>
      </c>
      <c r="E417" s="1">
        <v>43883</v>
      </c>
      <c r="F417">
        <v>3</v>
      </c>
      <c r="G417" t="s">
        <v>45</v>
      </c>
      <c r="H417" t="s">
        <v>46</v>
      </c>
      <c r="I417" s="3">
        <v>1196</v>
      </c>
      <c r="J417" s="3">
        <v>1196</v>
      </c>
      <c r="K417" s="3">
        <v>397</v>
      </c>
      <c r="L417" t="s">
        <v>98</v>
      </c>
      <c r="M417">
        <v>16</v>
      </c>
      <c r="N417" t="s">
        <v>17</v>
      </c>
      <c r="O417" t="s">
        <v>11</v>
      </c>
      <c r="P417" t="s">
        <v>18</v>
      </c>
      <c r="Q417" t="s">
        <v>19</v>
      </c>
      <c r="R417" t="s">
        <v>138</v>
      </c>
      <c r="S417" t="s">
        <v>144</v>
      </c>
      <c r="T417" s="2">
        <f>MASTER[[#This Row],[CANTIDAD]]*MASTER[[#This Row],[PRECIO DE VENTA]]</f>
        <v>3588</v>
      </c>
      <c r="U417" s="2">
        <f>MASTER[[#This Row],[CANTIDAD]]*MASTER[[#This Row],[COSTO UNITARIO]]</f>
        <v>1191</v>
      </c>
      <c r="V417" s="2">
        <f>MASTER[[#This Row],[MONTO VENDIDO]]-MASTER[[#This Row],[COSTO DE VENTA]]</f>
        <v>2397</v>
      </c>
    </row>
    <row r="418" spans="1:22" x14ac:dyDescent="0.3">
      <c r="A418">
        <v>15220</v>
      </c>
      <c r="B418">
        <v>1</v>
      </c>
      <c r="C418" t="s">
        <v>103</v>
      </c>
      <c r="D418" t="s">
        <v>104</v>
      </c>
      <c r="E418" s="1">
        <v>43883</v>
      </c>
      <c r="F418">
        <v>1</v>
      </c>
      <c r="G418" t="s">
        <v>67</v>
      </c>
      <c r="H418" t="s">
        <v>68</v>
      </c>
      <c r="I418" s="3">
        <v>1830</v>
      </c>
      <c r="J418" s="3">
        <v>1830</v>
      </c>
      <c r="K418" s="3">
        <v>421</v>
      </c>
      <c r="L418" t="s">
        <v>98</v>
      </c>
      <c r="M418">
        <v>1</v>
      </c>
      <c r="N418" t="s">
        <v>77</v>
      </c>
      <c r="O418" t="s">
        <v>70</v>
      </c>
      <c r="P418" t="s">
        <v>71</v>
      </c>
      <c r="Q418" t="s">
        <v>72</v>
      </c>
      <c r="R418" t="s">
        <v>139</v>
      </c>
      <c r="S418" t="s">
        <v>144</v>
      </c>
      <c r="T418" s="2">
        <f>MASTER[[#This Row],[CANTIDAD]]*MASTER[[#This Row],[PRECIO DE VENTA]]</f>
        <v>1830</v>
      </c>
      <c r="U418" s="2">
        <f>MASTER[[#This Row],[CANTIDAD]]*MASTER[[#This Row],[COSTO UNITARIO]]</f>
        <v>421</v>
      </c>
      <c r="V418" s="2">
        <f>MASTER[[#This Row],[MONTO VENDIDO]]-MASTER[[#This Row],[COSTO DE VENTA]]</f>
        <v>1409</v>
      </c>
    </row>
    <row r="419" spans="1:22" x14ac:dyDescent="0.3">
      <c r="A419">
        <v>15224</v>
      </c>
      <c r="B419">
        <v>1</v>
      </c>
      <c r="C419" t="s">
        <v>111</v>
      </c>
      <c r="D419" t="s">
        <v>112</v>
      </c>
      <c r="E419" s="1">
        <v>43883</v>
      </c>
      <c r="F419">
        <v>1</v>
      </c>
      <c r="G419" t="s">
        <v>67</v>
      </c>
      <c r="H419" t="s">
        <v>68</v>
      </c>
      <c r="I419" s="3">
        <v>1524</v>
      </c>
      <c r="J419" s="3">
        <v>1524</v>
      </c>
      <c r="K419" s="3">
        <v>434</v>
      </c>
      <c r="L419" t="s">
        <v>113</v>
      </c>
      <c r="M419">
        <v>12</v>
      </c>
      <c r="N419" t="s">
        <v>26</v>
      </c>
      <c r="O419" t="s">
        <v>11</v>
      </c>
      <c r="P419" t="s">
        <v>12</v>
      </c>
      <c r="Q419" t="s">
        <v>13</v>
      </c>
      <c r="R419" t="s">
        <v>13</v>
      </c>
      <c r="S419" t="s">
        <v>144</v>
      </c>
      <c r="T419" s="2">
        <f>MASTER[[#This Row],[CANTIDAD]]*MASTER[[#This Row],[PRECIO DE VENTA]]</f>
        <v>1524</v>
      </c>
      <c r="U419" s="2">
        <f>MASTER[[#This Row],[CANTIDAD]]*MASTER[[#This Row],[COSTO UNITARIO]]</f>
        <v>434</v>
      </c>
      <c r="V419" s="2">
        <f>MASTER[[#This Row],[MONTO VENDIDO]]-MASTER[[#This Row],[COSTO DE VENTA]]</f>
        <v>1090</v>
      </c>
    </row>
    <row r="420" spans="1:22" x14ac:dyDescent="0.3">
      <c r="A420">
        <v>15226</v>
      </c>
      <c r="B420">
        <v>1</v>
      </c>
      <c r="C420" t="s">
        <v>5</v>
      </c>
      <c r="D420" t="s">
        <v>6</v>
      </c>
      <c r="E420" s="1">
        <v>43883</v>
      </c>
      <c r="F420">
        <v>1</v>
      </c>
      <c r="G420" t="s">
        <v>27</v>
      </c>
      <c r="H420" t="s">
        <v>28</v>
      </c>
      <c r="I420" s="3">
        <v>1507</v>
      </c>
      <c r="J420" s="3">
        <v>1507</v>
      </c>
      <c r="K420" s="3">
        <v>393</v>
      </c>
      <c r="L420" t="s">
        <v>9</v>
      </c>
      <c r="M420">
        <v>19</v>
      </c>
      <c r="N420" t="s">
        <v>89</v>
      </c>
      <c r="O420" t="s">
        <v>81</v>
      </c>
      <c r="P420" t="s">
        <v>15</v>
      </c>
      <c r="Q420" t="s">
        <v>16</v>
      </c>
      <c r="R420" t="s">
        <v>16</v>
      </c>
      <c r="S420" t="s">
        <v>144</v>
      </c>
      <c r="T420" s="2">
        <f>MASTER[[#This Row],[CANTIDAD]]*MASTER[[#This Row],[PRECIO DE VENTA]]</f>
        <v>1507</v>
      </c>
      <c r="U420" s="2">
        <f>MASTER[[#This Row],[CANTIDAD]]*MASTER[[#This Row],[COSTO UNITARIO]]</f>
        <v>393</v>
      </c>
      <c r="V420" s="2">
        <f>MASTER[[#This Row],[MONTO VENDIDO]]-MASTER[[#This Row],[COSTO DE VENTA]]</f>
        <v>1114</v>
      </c>
    </row>
    <row r="421" spans="1:22" x14ac:dyDescent="0.3">
      <c r="A421">
        <v>15238</v>
      </c>
      <c r="B421">
        <v>1</v>
      </c>
      <c r="C421" t="s">
        <v>111</v>
      </c>
      <c r="D421" t="s">
        <v>112</v>
      </c>
      <c r="E421" s="1">
        <v>43883</v>
      </c>
      <c r="F421">
        <v>1</v>
      </c>
      <c r="G421" t="s">
        <v>41</v>
      </c>
      <c r="H421" t="s">
        <v>42</v>
      </c>
      <c r="I421" s="3">
        <v>1621</v>
      </c>
      <c r="J421" s="3">
        <v>1621</v>
      </c>
      <c r="K421" s="3">
        <v>434</v>
      </c>
      <c r="L421" t="s">
        <v>113</v>
      </c>
      <c r="M421">
        <v>5</v>
      </c>
      <c r="N421" t="s">
        <v>85</v>
      </c>
      <c r="O421" t="s">
        <v>81</v>
      </c>
      <c r="P421" t="s">
        <v>12</v>
      </c>
      <c r="Q421" t="s">
        <v>13</v>
      </c>
      <c r="R421" t="s">
        <v>13</v>
      </c>
      <c r="S421" t="s">
        <v>144</v>
      </c>
      <c r="T421" s="2">
        <f>MASTER[[#This Row],[CANTIDAD]]*MASTER[[#This Row],[PRECIO DE VENTA]]</f>
        <v>1621</v>
      </c>
      <c r="U421" s="2">
        <f>MASTER[[#This Row],[CANTIDAD]]*MASTER[[#This Row],[COSTO UNITARIO]]</f>
        <v>434</v>
      </c>
      <c r="V421" s="2">
        <f>MASTER[[#This Row],[MONTO VENDIDO]]-MASTER[[#This Row],[COSTO DE VENTA]]</f>
        <v>1187</v>
      </c>
    </row>
    <row r="422" spans="1:22" x14ac:dyDescent="0.3">
      <c r="A422">
        <v>15242</v>
      </c>
      <c r="B422">
        <v>1</v>
      </c>
      <c r="C422" t="s">
        <v>114</v>
      </c>
      <c r="D422" t="s">
        <v>115</v>
      </c>
      <c r="E422" s="1">
        <v>43883</v>
      </c>
      <c r="F422">
        <v>1</v>
      </c>
      <c r="G422" t="s">
        <v>20</v>
      </c>
      <c r="H422" t="s">
        <v>21</v>
      </c>
      <c r="I422" s="3">
        <v>2030</v>
      </c>
      <c r="J422" s="3">
        <v>2030</v>
      </c>
      <c r="K422" s="3">
        <v>394</v>
      </c>
      <c r="L422" t="s">
        <v>113</v>
      </c>
      <c r="M422">
        <v>9</v>
      </c>
      <c r="N422" t="s">
        <v>76</v>
      </c>
      <c r="O422" t="s">
        <v>70</v>
      </c>
      <c r="P422" t="s">
        <v>12</v>
      </c>
      <c r="Q422" t="s">
        <v>13</v>
      </c>
      <c r="R422" t="s">
        <v>13</v>
      </c>
      <c r="S422" t="s">
        <v>144</v>
      </c>
      <c r="T422" s="2">
        <f>MASTER[[#This Row],[CANTIDAD]]*MASTER[[#This Row],[PRECIO DE VENTA]]</f>
        <v>2030</v>
      </c>
      <c r="U422" s="2">
        <f>MASTER[[#This Row],[CANTIDAD]]*MASTER[[#This Row],[COSTO UNITARIO]]</f>
        <v>394</v>
      </c>
      <c r="V422" s="2">
        <f>MASTER[[#This Row],[MONTO VENDIDO]]-MASTER[[#This Row],[COSTO DE VENTA]]</f>
        <v>1636</v>
      </c>
    </row>
    <row r="423" spans="1:22" x14ac:dyDescent="0.3">
      <c r="A423">
        <v>15256</v>
      </c>
      <c r="B423">
        <v>1</v>
      </c>
      <c r="C423" t="s">
        <v>121</v>
      </c>
      <c r="D423" t="s">
        <v>122</v>
      </c>
      <c r="E423" s="1">
        <v>43883</v>
      </c>
      <c r="F423">
        <v>1</v>
      </c>
      <c r="G423" t="s">
        <v>45</v>
      </c>
      <c r="H423" t="s">
        <v>46</v>
      </c>
      <c r="I423" s="3">
        <v>1069</v>
      </c>
      <c r="J423" s="3">
        <v>1069</v>
      </c>
      <c r="K423" s="3">
        <v>460</v>
      </c>
      <c r="L423" t="s">
        <v>120</v>
      </c>
      <c r="M423">
        <v>15</v>
      </c>
      <c r="N423" t="s">
        <v>88</v>
      </c>
      <c r="O423" t="s">
        <v>81</v>
      </c>
      <c r="P423" t="s">
        <v>18</v>
      </c>
      <c r="Q423" t="s">
        <v>19</v>
      </c>
      <c r="R423" t="s">
        <v>138</v>
      </c>
      <c r="S423" t="s">
        <v>144</v>
      </c>
      <c r="T423" s="2">
        <f>MASTER[[#This Row],[CANTIDAD]]*MASTER[[#This Row],[PRECIO DE VENTA]]</f>
        <v>1069</v>
      </c>
      <c r="U423" s="2">
        <f>MASTER[[#This Row],[CANTIDAD]]*MASTER[[#This Row],[COSTO UNITARIO]]</f>
        <v>460</v>
      </c>
      <c r="V423" s="2">
        <f>MASTER[[#This Row],[MONTO VENDIDO]]-MASTER[[#This Row],[COSTO DE VENTA]]</f>
        <v>609</v>
      </c>
    </row>
    <row r="424" spans="1:22" x14ac:dyDescent="0.3">
      <c r="A424">
        <v>15257</v>
      </c>
      <c r="B424">
        <v>1</v>
      </c>
      <c r="C424" t="s">
        <v>105</v>
      </c>
      <c r="D424" t="s">
        <v>106</v>
      </c>
      <c r="E424" s="1">
        <v>43883</v>
      </c>
      <c r="F424">
        <v>1</v>
      </c>
      <c r="G424" t="s">
        <v>67</v>
      </c>
      <c r="H424" t="s">
        <v>68</v>
      </c>
      <c r="I424" s="3">
        <v>2033</v>
      </c>
      <c r="J424" s="3">
        <v>2033</v>
      </c>
      <c r="K424" s="3">
        <v>459</v>
      </c>
      <c r="L424" t="s">
        <v>98</v>
      </c>
      <c r="M424">
        <v>6</v>
      </c>
      <c r="N424" t="s">
        <v>75</v>
      </c>
      <c r="O424" t="s">
        <v>70</v>
      </c>
      <c r="P424" t="s">
        <v>12</v>
      </c>
      <c r="Q424" t="s">
        <v>13</v>
      </c>
      <c r="R424" t="s">
        <v>13</v>
      </c>
      <c r="S424" t="s">
        <v>144</v>
      </c>
      <c r="T424" s="2">
        <f>MASTER[[#This Row],[CANTIDAD]]*MASTER[[#This Row],[PRECIO DE VENTA]]</f>
        <v>2033</v>
      </c>
      <c r="U424" s="2">
        <f>MASTER[[#This Row],[CANTIDAD]]*MASTER[[#This Row],[COSTO UNITARIO]]</f>
        <v>459</v>
      </c>
      <c r="V424" s="2">
        <f>MASTER[[#This Row],[MONTO VENDIDO]]-MASTER[[#This Row],[COSTO DE VENTA]]</f>
        <v>1574</v>
      </c>
    </row>
    <row r="425" spans="1:22" x14ac:dyDescent="0.3">
      <c r="A425">
        <v>15262</v>
      </c>
      <c r="B425">
        <v>1</v>
      </c>
      <c r="C425" t="s">
        <v>121</v>
      </c>
      <c r="D425" t="s">
        <v>122</v>
      </c>
      <c r="E425" s="1">
        <v>43883</v>
      </c>
      <c r="F425">
        <v>1</v>
      </c>
      <c r="G425" t="s">
        <v>37</v>
      </c>
      <c r="H425" t="s">
        <v>38</v>
      </c>
      <c r="I425" s="3">
        <v>1069</v>
      </c>
      <c r="J425" s="3">
        <v>1069</v>
      </c>
      <c r="K425" s="3">
        <v>460</v>
      </c>
      <c r="L425" t="s">
        <v>120</v>
      </c>
      <c r="M425">
        <v>19</v>
      </c>
      <c r="N425" t="s">
        <v>89</v>
      </c>
      <c r="O425" t="s">
        <v>81</v>
      </c>
      <c r="P425" t="s">
        <v>15</v>
      </c>
      <c r="Q425" t="s">
        <v>16</v>
      </c>
      <c r="R425" t="s">
        <v>16</v>
      </c>
      <c r="S425" t="s">
        <v>144</v>
      </c>
      <c r="T425" s="2">
        <f>MASTER[[#This Row],[CANTIDAD]]*MASTER[[#This Row],[PRECIO DE VENTA]]</f>
        <v>1069</v>
      </c>
      <c r="U425" s="2">
        <f>MASTER[[#This Row],[CANTIDAD]]*MASTER[[#This Row],[COSTO UNITARIO]]</f>
        <v>460</v>
      </c>
      <c r="V425" s="2">
        <f>MASTER[[#This Row],[MONTO VENDIDO]]-MASTER[[#This Row],[COSTO DE VENTA]]</f>
        <v>609</v>
      </c>
    </row>
    <row r="426" spans="1:22" x14ac:dyDescent="0.3">
      <c r="A426">
        <v>15269</v>
      </c>
      <c r="B426">
        <v>1</v>
      </c>
      <c r="C426" t="s">
        <v>96</v>
      </c>
      <c r="D426" t="s">
        <v>97</v>
      </c>
      <c r="E426" s="1">
        <v>43884</v>
      </c>
      <c r="F426">
        <v>1</v>
      </c>
      <c r="G426" t="s">
        <v>59</v>
      </c>
      <c r="H426" t="s">
        <v>60</v>
      </c>
      <c r="I426" s="3">
        <v>1361</v>
      </c>
      <c r="J426" s="3">
        <v>1361</v>
      </c>
      <c r="K426" s="3">
        <v>397</v>
      </c>
      <c r="L426" t="s">
        <v>98</v>
      </c>
      <c r="M426">
        <v>6</v>
      </c>
      <c r="N426" t="s">
        <v>75</v>
      </c>
      <c r="O426" t="s">
        <v>70</v>
      </c>
      <c r="P426" t="s">
        <v>12</v>
      </c>
      <c r="Q426" t="s">
        <v>13</v>
      </c>
      <c r="R426" t="s">
        <v>13</v>
      </c>
      <c r="S426" t="s">
        <v>144</v>
      </c>
      <c r="T426" s="2">
        <f>MASTER[[#This Row],[CANTIDAD]]*MASTER[[#This Row],[PRECIO DE VENTA]]</f>
        <v>1361</v>
      </c>
      <c r="U426" s="2">
        <f>MASTER[[#This Row],[CANTIDAD]]*MASTER[[#This Row],[COSTO UNITARIO]]</f>
        <v>397</v>
      </c>
      <c r="V426" s="2">
        <f>MASTER[[#This Row],[MONTO VENDIDO]]-MASTER[[#This Row],[COSTO DE VENTA]]</f>
        <v>964</v>
      </c>
    </row>
    <row r="427" spans="1:22" x14ac:dyDescent="0.3">
      <c r="A427">
        <v>15285</v>
      </c>
      <c r="B427">
        <v>1</v>
      </c>
      <c r="C427" t="s">
        <v>114</v>
      </c>
      <c r="D427" t="s">
        <v>115</v>
      </c>
      <c r="E427" s="1">
        <v>43884</v>
      </c>
      <c r="F427">
        <v>1</v>
      </c>
      <c r="G427" t="s">
        <v>27</v>
      </c>
      <c r="H427" t="s">
        <v>28</v>
      </c>
      <c r="I427" s="3">
        <v>1862</v>
      </c>
      <c r="J427" s="3">
        <v>1862</v>
      </c>
      <c r="K427" s="3">
        <v>394</v>
      </c>
      <c r="L427" t="s">
        <v>113</v>
      </c>
      <c r="M427">
        <v>4</v>
      </c>
      <c r="N427" t="s">
        <v>82</v>
      </c>
      <c r="O427" t="s">
        <v>81</v>
      </c>
      <c r="P427" t="s">
        <v>71</v>
      </c>
      <c r="Q427" t="s">
        <v>72</v>
      </c>
      <c r="R427" t="s">
        <v>139</v>
      </c>
      <c r="S427" t="s">
        <v>144</v>
      </c>
      <c r="T427" s="2">
        <f>MASTER[[#This Row],[CANTIDAD]]*MASTER[[#This Row],[PRECIO DE VENTA]]</f>
        <v>1862</v>
      </c>
      <c r="U427" s="2">
        <f>MASTER[[#This Row],[CANTIDAD]]*MASTER[[#This Row],[COSTO UNITARIO]]</f>
        <v>394</v>
      </c>
      <c r="V427" s="2">
        <f>MASTER[[#This Row],[MONTO VENDIDO]]-MASTER[[#This Row],[COSTO DE VENTA]]</f>
        <v>1468</v>
      </c>
    </row>
    <row r="428" spans="1:22" x14ac:dyDescent="0.3">
      <c r="A428">
        <v>15320</v>
      </c>
      <c r="B428">
        <v>1</v>
      </c>
      <c r="C428" t="s">
        <v>109</v>
      </c>
      <c r="D428" t="s">
        <v>110</v>
      </c>
      <c r="E428" s="1">
        <v>43884</v>
      </c>
      <c r="F428">
        <v>1</v>
      </c>
      <c r="G428" t="s">
        <v>61</v>
      </c>
      <c r="H428" t="s">
        <v>62</v>
      </c>
      <c r="I428" s="3">
        <v>1128</v>
      </c>
      <c r="J428" s="3">
        <v>1128</v>
      </c>
      <c r="K428" s="3">
        <v>387</v>
      </c>
      <c r="L428" t="s">
        <v>98</v>
      </c>
      <c r="M428">
        <v>3</v>
      </c>
      <c r="N428" t="s">
        <v>69</v>
      </c>
      <c r="O428" t="s">
        <v>70</v>
      </c>
      <c r="P428" t="s">
        <v>71</v>
      </c>
      <c r="Q428" t="s">
        <v>72</v>
      </c>
      <c r="R428" t="s">
        <v>139</v>
      </c>
      <c r="S428" t="s">
        <v>144</v>
      </c>
      <c r="T428" s="2">
        <f>MASTER[[#This Row],[CANTIDAD]]*MASTER[[#This Row],[PRECIO DE VENTA]]</f>
        <v>1128</v>
      </c>
      <c r="U428" s="2">
        <f>MASTER[[#This Row],[CANTIDAD]]*MASTER[[#This Row],[COSTO UNITARIO]]</f>
        <v>387</v>
      </c>
      <c r="V428" s="2">
        <f>MASTER[[#This Row],[MONTO VENDIDO]]-MASTER[[#This Row],[COSTO DE VENTA]]</f>
        <v>741</v>
      </c>
    </row>
    <row r="429" spans="1:22" x14ac:dyDescent="0.3">
      <c r="A429">
        <v>15320</v>
      </c>
      <c r="B429">
        <v>2</v>
      </c>
      <c r="C429" t="s">
        <v>111</v>
      </c>
      <c r="D429" t="s">
        <v>112</v>
      </c>
      <c r="E429" s="1">
        <v>43884</v>
      </c>
      <c r="F429">
        <v>1</v>
      </c>
      <c r="G429" t="s">
        <v>24</v>
      </c>
      <c r="H429" t="s">
        <v>25</v>
      </c>
      <c r="I429" s="3">
        <v>1799</v>
      </c>
      <c r="J429" s="3">
        <v>1799</v>
      </c>
      <c r="K429" s="3">
        <v>434</v>
      </c>
      <c r="L429" t="s">
        <v>113</v>
      </c>
      <c r="M429">
        <v>3</v>
      </c>
      <c r="N429" t="s">
        <v>69</v>
      </c>
      <c r="O429" t="s">
        <v>70</v>
      </c>
      <c r="P429" t="s">
        <v>71</v>
      </c>
      <c r="Q429" t="s">
        <v>72</v>
      </c>
      <c r="R429" t="s">
        <v>139</v>
      </c>
      <c r="S429" t="s">
        <v>144</v>
      </c>
      <c r="T429" s="2">
        <f>MASTER[[#This Row],[CANTIDAD]]*MASTER[[#This Row],[PRECIO DE VENTA]]</f>
        <v>1799</v>
      </c>
      <c r="U429" s="2">
        <f>MASTER[[#This Row],[CANTIDAD]]*MASTER[[#This Row],[COSTO UNITARIO]]</f>
        <v>434</v>
      </c>
      <c r="V429" s="2">
        <f>MASTER[[#This Row],[MONTO VENDIDO]]-MASTER[[#This Row],[COSTO DE VENTA]]</f>
        <v>1365</v>
      </c>
    </row>
    <row r="430" spans="1:22" x14ac:dyDescent="0.3">
      <c r="A430">
        <v>15353</v>
      </c>
      <c r="B430">
        <v>1</v>
      </c>
      <c r="C430" t="s">
        <v>109</v>
      </c>
      <c r="D430" t="s">
        <v>110</v>
      </c>
      <c r="E430" s="1">
        <v>43884</v>
      </c>
      <c r="F430">
        <v>1</v>
      </c>
      <c r="G430" t="s">
        <v>27</v>
      </c>
      <c r="H430" t="s">
        <v>28</v>
      </c>
      <c r="I430" s="3">
        <v>1064</v>
      </c>
      <c r="J430" s="3">
        <v>1000</v>
      </c>
      <c r="K430" s="3">
        <v>387</v>
      </c>
      <c r="L430" t="s">
        <v>98</v>
      </c>
      <c r="M430">
        <v>5</v>
      </c>
      <c r="N430" t="s">
        <v>85</v>
      </c>
      <c r="O430" t="s">
        <v>81</v>
      </c>
      <c r="P430" t="s">
        <v>12</v>
      </c>
      <c r="Q430" t="s">
        <v>13</v>
      </c>
      <c r="R430" t="s">
        <v>13</v>
      </c>
      <c r="S430" t="s">
        <v>144</v>
      </c>
      <c r="T430" s="2">
        <f>MASTER[[#This Row],[CANTIDAD]]*MASTER[[#This Row],[PRECIO DE VENTA]]</f>
        <v>1000</v>
      </c>
      <c r="U430" s="2">
        <f>MASTER[[#This Row],[CANTIDAD]]*MASTER[[#This Row],[COSTO UNITARIO]]</f>
        <v>387</v>
      </c>
      <c r="V430" s="2">
        <f>MASTER[[#This Row],[MONTO VENDIDO]]-MASTER[[#This Row],[COSTO DE VENTA]]</f>
        <v>613</v>
      </c>
    </row>
    <row r="431" spans="1:22" x14ac:dyDescent="0.3">
      <c r="A431">
        <v>15362</v>
      </c>
      <c r="B431">
        <v>1</v>
      </c>
      <c r="C431" t="s">
        <v>5</v>
      </c>
      <c r="D431" t="s">
        <v>6</v>
      </c>
      <c r="E431" s="1">
        <v>43884</v>
      </c>
      <c r="F431">
        <v>1</v>
      </c>
      <c r="G431" t="s">
        <v>59</v>
      </c>
      <c r="H431" t="s">
        <v>60</v>
      </c>
      <c r="I431" s="3">
        <v>1296</v>
      </c>
      <c r="J431" s="3">
        <v>1296</v>
      </c>
      <c r="K431" s="3">
        <v>393</v>
      </c>
      <c r="L431" t="s">
        <v>9</v>
      </c>
      <c r="M431">
        <v>1</v>
      </c>
      <c r="N431" t="s">
        <v>77</v>
      </c>
      <c r="O431" t="s">
        <v>70</v>
      </c>
      <c r="P431" t="s">
        <v>71</v>
      </c>
      <c r="Q431" t="s">
        <v>72</v>
      </c>
      <c r="R431" t="s">
        <v>139</v>
      </c>
      <c r="S431" t="s">
        <v>144</v>
      </c>
      <c r="T431" s="2">
        <f>MASTER[[#This Row],[CANTIDAD]]*MASTER[[#This Row],[PRECIO DE VENTA]]</f>
        <v>1296</v>
      </c>
      <c r="U431" s="2">
        <f>MASTER[[#This Row],[CANTIDAD]]*MASTER[[#This Row],[COSTO UNITARIO]]</f>
        <v>393</v>
      </c>
      <c r="V431" s="2">
        <f>MASTER[[#This Row],[MONTO VENDIDO]]-MASTER[[#This Row],[COSTO DE VENTA]]</f>
        <v>903</v>
      </c>
    </row>
    <row r="432" spans="1:22" x14ac:dyDescent="0.3">
      <c r="A432">
        <v>15363</v>
      </c>
      <c r="B432">
        <v>1</v>
      </c>
      <c r="C432" t="s">
        <v>118</v>
      </c>
      <c r="D432" t="s">
        <v>119</v>
      </c>
      <c r="E432" s="1">
        <v>43884</v>
      </c>
      <c r="F432">
        <v>1</v>
      </c>
      <c r="G432" t="s">
        <v>39</v>
      </c>
      <c r="H432" t="s">
        <v>40</v>
      </c>
      <c r="I432" s="3">
        <v>801</v>
      </c>
      <c r="J432" s="3">
        <v>801</v>
      </c>
      <c r="K432" s="3">
        <v>424</v>
      </c>
      <c r="L432" t="s">
        <v>120</v>
      </c>
      <c r="M432">
        <v>16</v>
      </c>
      <c r="N432" t="s">
        <v>17</v>
      </c>
      <c r="O432" t="s">
        <v>11</v>
      </c>
      <c r="P432" t="s">
        <v>18</v>
      </c>
      <c r="Q432" t="s">
        <v>19</v>
      </c>
      <c r="R432" t="s">
        <v>138</v>
      </c>
      <c r="S432" t="s">
        <v>144</v>
      </c>
      <c r="T432" s="2">
        <f>MASTER[[#This Row],[CANTIDAD]]*MASTER[[#This Row],[PRECIO DE VENTA]]</f>
        <v>801</v>
      </c>
      <c r="U432" s="2">
        <f>MASTER[[#This Row],[CANTIDAD]]*MASTER[[#This Row],[COSTO UNITARIO]]</f>
        <v>424</v>
      </c>
      <c r="V432" s="2">
        <f>MASTER[[#This Row],[MONTO VENDIDO]]-MASTER[[#This Row],[COSTO DE VENTA]]</f>
        <v>377</v>
      </c>
    </row>
    <row r="433" spans="1:22" x14ac:dyDescent="0.3">
      <c r="A433">
        <v>15390</v>
      </c>
      <c r="B433">
        <v>1</v>
      </c>
      <c r="C433" t="s">
        <v>121</v>
      </c>
      <c r="D433" t="s">
        <v>122</v>
      </c>
      <c r="E433" s="1">
        <v>43884</v>
      </c>
      <c r="F433">
        <v>1</v>
      </c>
      <c r="G433" t="s">
        <v>55</v>
      </c>
      <c r="H433" t="s">
        <v>56</v>
      </c>
      <c r="I433" s="3">
        <v>1069</v>
      </c>
      <c r="J433" s="3">
        <v>1069</v>
      </c>
      <c r="K433" s="3">
        <v>460</v>
      </c>
      <c r="L433" t="s">
        <v>120</v>
      </c>
      <c r="M433">
        <v>15</v>
      </c>
      <c r="N433" t="s">
        <v>88</v>
      </c>
      <c r="O433" t="s">
        <v>81</v>
      </c>
      <c r="P433" t="s">
        <v>18</v>
      </c>
      <c r="Q433" t="s">
        <v>19</v>
      </c>
      <c r="R433" t="s">
        <v>138</v>
      </c>
      <c r="S433" t="s">
        <v>144</v>
      </c>
      <c r="T433" s="2">
        <f>MASTER[[#This Row],[CANTIDAD]]*MASTER[[#This Row],[PRECIO DE VENTA]]</f>
        <v>1069</v>
      </c>
      <c r="U433" s="2">
        <f>MASTER[[#This Row],[CANTIDAD]]*MASTER[[#This Row],[COSTO UNITARIO]]</f>
        <v>460</v>
      </c>
      <c r="V433" s="2">
        <f>MASTER[[#This Row],[MONTO VENDIDO]]-MASTER[[#This Row],[COSTO DE VENTA]]</f>
        <v>609</v>
      </c>
    </row>
    <row r="434" spans="1:22" x14ac:dyDescent="0.3">
      <c r="A434">
        <v>15403</v>
      </c>
      <c r="B434">
        <v>1</v>
      </c>
      <c r="C434" t="s">
        <v>121</v>
      </c>
      <c r="D434" t="s">
        <v>122</v>
      </c>
      <c r="E434" s="1">
        <v>43884</v>
      </c>
      <c r="F434">
        <v>4</v>
      </c>
      <c r="G434" t="s">
        <v>29</v>
      </c>
      <c r="H434" t="s">
        <v>30</v>
      </c>
      <c r="I434" s="3">
        <v>941</v>
      </c>
      <c r="J434" s="3">
        <v>941</v>
      </c>
      <c r="K434" s="3">
        <v>460</v>
      </c>
      <c r="L434" t="s">
        <v>120</v>
      </c>
      <c r="M434">
        <v>12</v>
      </c>
      <c r="N434" t="s">
        <v>26</v>
      </c>
      <c r="O434" t="s">
        <v>11</v>
      </c>
      <c r="P434" t="s">
        <v>12</v>
      </c>
      <c r="Q434" t="s">
        <v>13</v>
      </c>
      <c r="R434" t="s">
        <v>13</v>
      </c>
      <c r="S434" t="s">
        <v>144</v>
      </c>
      <c r="T434" s="2">
        <f>MASTER[[#This Row],[CANTIDAD]]*MASTER[[#This Row],[PRECIO DE VENTA]]</f>
        <v>3764</v>
      </c>
      <c r="U434" s="2">
        <f>MASTER[[#This Row],[CANTIDAD]]*MASTER[[#This Row],[COSTO UNITARIO]]</f>
        <v>1840</v>
      </c>
      <c r="V434" s="2">
        <f>MASTER[[#This Row],[MONTO VENDIDO]]-MASTER[[#This Row],[COSTO DE VENTA]]</f>
        <v>1924</v>
      </c>
    </row>
    <row r="435" spans="1:22" x14ac:dyDescent="0.3">
      <c r="A435">
        <v>15427</v>
      </c>
      <c r="B435">
        <v>1</v>
      </c>
      <c r="C435" t="s">
        <v>103</v>
      </c>
      <c r="D435" t="s">
        <v>104</v>
      </c>
      <c r="E435" s="1">
        <v>43884</v>
      </c>
      <c r="F435">
        <v>2</v>
      </c>
      <c r="G435" t="s">
        <v>24</v>
      </c>
      <c r="H435" t="s">
        <v>25</v>
      </c>
      <c r="I435" s="3">
        <v>1448</v>
      </c>
      <c r="J435" s="3">
        <v>1448</v>
      </c>
      <c r="K435" s="3">
        <v>421</v>
      </c>
      <c r="L435" t="s">
        <v>98</v>
      </c>
      <c r="M435">
        <v>12</v>
      </c>
      <c r="N435" t="s">
        <v>26</v>
      </c>
      <c r="O435" t="s">
        <v>11</v>
      </c>
      <c r="P435" t="s">
        <v>12</v>
      </c>
      <c r="Q435" t="s">
        <v>13</v>
      </c>
      <c r="R435" t="s">
        <v>13</v>
      </c>
      <c r="S435" t="s">
        <v>144</v>
      </c>
      <c r="T435" s="2">
        <f>MASTER[[#This Row],[CANTIDAD]]*MASTER[[#This Row],[PRECIO DE VENTA]]</f>
        <v>2896</v>
      </c>
      <c r="U435" s="2">
        <f>MASTER[[#This Row],[CANTIDAD]]*MASTER[[#This Row],[COSTO UNITARIO]]</f>
        <v>842</v>
      </c>
      <c r="V435" s="2">
        <f>MASTER[[#This Row],[MONTO VENDIDO]]-MASTER[[#This Row],[COSTO DE VENTA]]</f>
        <v>2054</v>
      </c>
    </row>
    <row r="436" spans="1:22" x14ac:dyDescent="0.3">
      <c r="A436">
        <v>15435</v>
      </c>
      <c r="B436">
        <v>1</v>
      </c>
      <c r="C436" t="s">
        <v>92</v>
      </c>
      <c r="D436" t="s">
        <v>93</v>
      </c>
      <c r="E436" s="1">
        <v>43884</v>
      </c>
      <c r="F436">
        <v>1</v>
      </c>
      <c r="G436" t="s">
        <v>45</v>
      </c>
      <c r="H436" t="s">
        <v>46</v>
      </c>
      <c r="I436" s="3">
        <v>1866</v>
      </c>
      <c r="J436" s="3">
        <v>1866</v>
      </c>
      <c r="K436" s="3">
        <v>396</v>
      </c>
      <c r="L436" t="s">
        <v>9</v>
      </c>
      <c r="M436">
        <v>3</v>
      </c>
      <c r="N436" t="s">
        <v>69</v>
      </c>
      <c r="O436" t="s">
        <v>70</v>
      </c>
      <c r="P436" t="s">
        <v>71</v>
      </c>
      <c r="Q436" t="s">
        <v>72</v>
      </c>
      <c r="R436" t="s">
        <v>139</v>
      </c>
      <c r="S436" t="s">
        <v>144</v>
      </c>
      <c r="T436" s="2">
        <f>MASTER[[#This Row],[CANTIDAD]]*MASTER[[#This Row],[PRECIO DE VENTA]]</f>
        <v>1866</v>
      </c>
      <c r="U436" s="2">
        <f>MASTER[[#This Row],[CANTIDAD]]*MASTER[[#This Row],[COSTO UNITARIO]]</f>
        <v>396</v>
      </c>
      <c r="V436" s="2">
        <f>MASTER[[#This Row],[MONTO VENDIDO]]-MASTER[[#This Row],[COSTO DE VENTA]]</f>
        <v>1470</v>
      </c>
    </row>
    <row r="437" spans="1:22" x14ac:dyDescent="0.3">
      <c r="A437">
        <v>15454</v>
      </c>
      <c r="B437">
        <v>1</v>
      </c>
      <c r="C437" t="s">
        <v>96</v>
      </c>
      <c r="D437" t="s">
        <v>97</v>
      </c>
      <c r="E437" s="1">
        <v>43885</v>
      </c>
      <c r="F437">
        <v>1</v>
      </c>
      <c r="G437" t="s">
        <v>45</v>
      </c>
      <c r="H437" t="s">
        <v>46</v>
      </c>
      <c r="I437" s="3">
        <v>1361</v>
      </c>
      <c r="J437" s="3">
        <v>1361</v>
      </c>
      <c r="K437" s="3">
        <v>397</v>
      </c>
      <c r="L437" t="s">
        <v>98</v>
      </c>
      <c r="M437">
        <v>3</v>
      </c>
      <c r="N437" t="s">
        <v>69</v>
      </c>
      <c r="O437" t="s">
        <v>70</v>
      </c>
      <c r="P437" t="s">
        <v>71</v>
      </c>
      <c r="Q437" t="s">
        <v>72</v>
      </c>
      <c r="R437" t="s">
        <v>139</v>
      </c>
      <c r="S437" t="s">
        <v>144</v>
      </c>
      <c r="T437" s="2">
        <f>MASTER[[#This Row],[CANTIDAD]]*MASTER[[#This Row],[PRECIO DE VENTA]]</f>
        <v>1361</v>
      </c>
      <c r="U437" s="2">
        <f>MASTER[[#This Row],[CANTIDAD]]*MASTER[[#This Row],[COSTO UNITARIO]]</f>
        <v>397</v>
      </c>
      <c r="V437" s="2">
        <f>MASTER[[#This Row],[MONTO VENDIDO]]-MASTER[[#This Row],[COSTO DE VENTA]]</f>
        <v>964</v>
      </c>
    </row>
    <row r="438" spans="1:22" x14ac:dyDescent="0.3">
      <c r="A438">
        <v>15473</v>
      </c>
      <c r="B438">
        <v>1</v>
      </c>
      <c r="C438" t="s">
        <v>107</v>
      </c>
      <c r="D438" t="s">
        <v>108</v>
      </c>
      <c r="E438" s="1">
        <v>43885</v>
      </c>
      <c r="F438">
        <v>1</v>
      </c>
      <c r="G438" t="s">
        <v>59</v>
      </c>
      <c r="H438" t="s">
        <v>60</v>
      </c>
      <c r="I438" s="3">
        <v>1440</v>
      </c>
      <c r="J438" s="3">
        <v>1440</v>
      </c>
      <c r="K438" s="3">
        <v>380</v>
      </c>
      <c r="L438" t="s">
        <v>98</v>
      </c>
      <c r="M438">
        <v>1</v>
      </c>
      <c r="N438" t="s">
        <v>77</v>
      </c>
      <c r="O438" t="s">
        <v>70</v>
      </c>
      <c r="P438" t="s">
        <v>71</v>
      </c>
      <c r="Q438" t="s">
        <v>72</v>
      </c>
      <c r="R438" t="s">
        <v>139</v>
      </c>
      <c r="S438" t="s">
        <v>144</v>
      </c>
      <c r="T438" s="2">
        <f>MASTER[[#This Row],[CANTIDAD]]*MASTER[[#This Row],[PRECIO DE VENTA]]</f>
        <v>1440</v>
      </c>
      <c r="U438" s="2">
        <f>MASTER[[#This Row],[CANTIDAD]]*MASTER[[#This Row],[COSTO UNITARIO]]</f>
        <v>380</v>
      </c>
      <c r="V438" s="2">
        <f>MASTER[[#This Row],[MONTO VENDIDO]]-MASTER[[#This Row],[COSTO DE VENTA]]</f>
        <v>1060</v>
      </c>
    </row>
    <row r="439" spans="1:22" x14ac:dyDescent="0.3">
      <c r="A439">
        <v>15477</v>
      </c>
      <c r="B439">
        <v>1</v>
      </c>
      <c r="C439" t="s">
        <v>90</v>
      </c>
      <c r="D439" t="s">
        <v>91</v>
      </c>
      <c r="E439" s="1">
        <v>43885</v>
      </c>
      <c r="F439">
        <v>1</v>
      </c>
      <c r="G439" t="s">
        <v>7</v>
      </c>
      <c r="H439" t="s">
        <v>8</v>
      </c>
      <c r="I439" s="3">
        <v>1844</v>
      </c>
      <c r="J439" s="3">
        <v>1844</v>
      </c>
      <c r="K439" s="3">
        <v>420</v>
      </c>
      <c r="L439" t="s">
        <v>9</v>
      </c>
      <c r="M439">
        <v>8</v>
      </c>
      <c r="N439" t="s">
        <v>80</v>
      </c>
      <c r="O439" t="s">
        <v>81</v>
      </c>
      <c r="P439" t="s">
        <v>12</v>
      </c>
      <c r="Q439" t="s">
        <v>13</v>
      </c>
      <c r="R439" t="s">
        <v>13</v>
      </c>
      <c r="S439" t="s">
        <v>144</v>
      </c>
      <c r="T439" s="2">
        <f>MASTER[[#This Row],[CANTIDAD]]*MASTER[[#This Row],[PRECIO DE VENTA]]</f>
        <v>1844</v>
      </c>
      <c r="U439" s="2">
        <f>MASTER[[#This Row],[CANTIDAD]]*MASTER[[#This Row],[COSTO UNITARIO]]</f>
        <v>420</v>
      </c>
      <c r="V439" s="2">
        <f>MASTER[[#This Row],[MONTO VENDIDO]]-MASTER[[#This Row],[COSTO DE VENTA]]</f>
        <v>1424</v>
      </c>
    </row>
    <row r="440" spans="1:22" x14ac:dyDescent="0.3">
      <c r="A440">
        <v>15491</v>
      </c>
      <c r="B440">
        <v>1</v>
      </c>
      <c r="C440" t="s">
        <v>90</v>
      </c>
      <c r="D440" t="s">
        <v>91</v>
      </c>
      <c r="E440" s="1">
        <v>43885</v>
      </c>
      <c r="F440">
        <v>1</v>
      </c>
      <c r="G440" t="s">
        <v>33</v>
      </c>
      <c r="H440" t="s">
        <v>34</v>
      </c>
      <c r="I440" s="3">
        <v>2102</v>
      </c>
      <c r="J440" s="3">
        <v>2102</v>
      </c>
      <c r="K440" s="3">
        <v>420</v>
      </c>
      <c r="L440" t="s">
        <v>9</v>
      </c>
      <c r="M440">
        <v>9</v>
      </c>
      <c r="N440" t="s">
        <v>76</v>
      </c>
      <c r="O440" t="s">
        <v>70</v>
      </c>
      <c r="P440" t="s">
        <v>12</v>
      </c>
      <c r="Q440" t="s">
        <v>13</v>
      </c>
      <c r="R440" t="s">
        <v>13</v>
      </c>
      <c r="S440" t="s">
        <v>144</v>
      </c>
      <c r="T440" s="2">
        <f>MASTER[[#This Row],[CANTIDAD]]*MASTER[[#This Row],[PRECIO DE VENTA]]</f>
        <v>2102</v>
      </c>
      <c r="U440" s="2">
        <f>MASTER[[#This Row],[CANTIDAD]]*MASTER[[#This Row],[COSTO UNITARIO]]</f>
        <v>420</v>
      </c>
      <c r="V440" s="2">
        <f>MASTER[[#This Row],[MONTO VENDIDO]]-MASTER[[#This Row],[COSTO DE VENTA]]</f>
        <v>1682</v>
      </c>
    </row>
    <row r="441" spans="1:22" x14ac:dyDescent="0.3">
      <c r="A441">
        <v>15504</v>
      </c>
      <c r="B441">
        <v>1</v>
      </c>
      <c r="C441" t="s">
        <v>109</v>
      </c>
      <c r="D441" t="s">
        <v>110</v>
      </c>
      <c r="E441" s="1">
        <v>43885</v>
      </c>
      <c r="F441">
        <v>1</v>
      </c>
      <c r="G441" t="s">
        <v>53</v>
      </c>
      <c r="H441" t="s">
        <v>54</v>
      </c>
      <c r="I441" s="3">
        <v>947</v>
      </c>
      <c r="J441" s="3">
        <v>947</v>
      </c>
      <c r="K441" s="3">
        <v>387</v>
      </c>
      <c r="L441" t="s">
        <v>98</v>
      </c>
      <c r="M441">
        <v>12</v>
      </c>
      <c r="N441" t="s">
        <v>26</v>
      </c>
      <c r="O441" t="s">
        <v>11</v>
      </c>
      <c r="P441" t="s">
        <v>12</v>
      </c>
      <c r="Q441" t="s">
        <v>13</v>
      </c>
      <c r="R441" t="s">
        <v>13</v>
      </c>
      <c r="S441" t="s">
        <v>144</v>
      </c>
      <c r="T441" s="2">
        <f>MASTER[[#This Row],[CANTIDAD]]*MASTER[[#This Row],[PRECIO DE VENTA]]</f>
        <v>947</v>
      </c>
      <c r="U441" s="2">
        <f>MASTER[[#This Row],[CANTIDAD]]*MASTER[[#This Row],[COSTO UNITARIO]]</f>
        <v>387</v>
      </c>
      <c r="V441" s="2">
        <f>MASTER[[#This Row],[MONTO VENDIDO]]-MASTER[[#This Row],[COSTO DE VENTA]]</f>
        <v>560</v>
      </c>
    </row>
    <row r="442" spans="1:22" x14ac:dyDescent="0.3">
      <c r="A442">
        <v>15509</v>
      </c>
      <c r="B442">
        <v>1</v>
      </c>
      <c r="C442" t="s">
        <v>90</v>
      </c>
      <c r="D442" t="s">
        <v>91</v>
      </c>
      <c r="E442" s="1">
        <v>43885</v>
      </c>
      <c r="F442">
        <v>1</v>
      </c>
      <c r="G442" t="s">
        <v>27</v>
      </c>
      <c r="H442" t="s">
        <v>28</v>
      </c>
      <c r="I442" s="3">
        <v>1660</v>
      </c>
      <c r="J442" s="3">
        <v>1577</v>
      </c>
      <c r="K442" s="3">
        <v>420</v>
      </c>
      <c r="L442" t="s">
        <v>9</v>
      </c>
      <c r="M442">
        <v>12</v>
      </c>
      <c r="N442" t="s">
        <v>26</v>
      </c>
      <c r="O442" t="s">
        <v>11</v>
      </c>
      <c r="P442" t="s">
        <v>12</v>
      </c>
      <c r="Q442" t="s">
        <v>13</v>
      </c>
      <c r="R442" t="s">
        <v>13</v>
      </c>
      <c r="S442" t="s">
        <v>144</v>
      </c>
      <c r="T442" s="2">
        <f>MASTER[[#This Row],[CANTIDAD]]*MASTER[[#This Row],[PRECIO DE VENTA]]</f>
        <v>1577</v>
      </c>
      <c r="U442" s="2">
        <f>MASTER[[#This Row],[CANTIDAD]]*MASTER[[#This Row],[COSTO UNITARIO]]</f>
        <v>420</v>
      </c>
      <c r="V442" s="2">
        <f>MASTER[[#This Row],[MONTO VENDIDO]]-MASTER[[#This Row],[COSTO DE VENTA]]</f>
        <v>1157</v>
      </c>
    </row>
    <row r="443" spans="1:22" x14ac:dyDescent="0.3">
      <c r="A443">
        <v>15531</v>
      </c>
      <c r="B443">
        <v>1</v>
      </c>
      <c r="C443" t="s">
        <v>101</v>
      </c>
      <c r="D443" t="s">
        <v>102</v>
      </c>
      <c r="E443" s="1">
        <v>43885</v>
      </c>
      <c r="F443">
        <v>1</v>
      </c>
      <c r="G443" t="s">
        <v>57</v>
      </c>
      <c r="H443" t="s">
        <v>58</v>
      </c>
      <c r="I443" s="3">
        <v>1357</v>
      </c>
      <c r="J443" s="3">
        <v>1357</v>
      </c>
      <c r="K443" s="3">
        <v>442</v>
      </c>
      <c r="L443" t="s">
        <v>98</v>
      </c>
      <c r="M443">
        <v>1</v>
      </c>
      <c r="N443" t="s">
        <v>77</v>
      </c>
      <c r="O443" t="s">
        <v>70</v>
      </c>
      <c r="P443" t="s">
        <v>71</v>
      </c>
      <c r="Q443" t="s">
        <v>72</v>
      </c>
      <c r="R443" t="s">
        <v>139</v>
      </c>
      <c r="S443" t="s">
        <v>144</v>
      </c>
      <c r="T443" s="2">
        <f>MASTER[[#This Row],[CANTIDAD]]*MASTER[[#This Row],[PRECIO DE VENTA]]</f>
        <v>1357</v>
      </c>
      <c r="U443" s="2">
        <f>MASTER[[#This Row],[CANTIDAD]]*MASTER[[#This Row],[COSTO UNITARIO]]</f>
        <v>442</v>
      </c>
      <c r="V443" s="2">
        <f>MASTER[[#This Row],[MONTO VENDIDO]]-MASTER[[#This Row],[COSTO DE VENTA]]</f>
        <v>915</v>
      </c>
    </row>
    <row r="444" spans="1:22" x14ac:dyDescent="0.3">
      <c r="A444">
        <v>15535</v>
      </c>
      <c r="B444">
        <v>1</v>
      </c>
      <c r="C444" t="s">
        <v>116</v>
      </c>
      <c r="D444" t="s">
        <v>117</v>
      </c>
      <c r="E444" s="1">
        <v>43885</v>
      </c>
      <c r="F444">
        <v>1</v>
      </c>
      <c r="G444" t="s">
        <v>63</v>
      </c>
      <c r="H444" t="s">
        <v>64</v>
      </c>
      <c r="I444" s="3">
        <v>1738</v>
      </c>
      <c r="J444" s="3">
        <v>1738</v>
      </c>
      <c r="K444" s="3">
        <v>388</v>
      </c>
      <c r="L444" t="s">
        <v>113</v>
      </c>
      <c r="M444">
        <v>14</v>
      </c>
      <c r="N444" t="s">
        <v>87</v>
      </c>
      <c r="O444" t="s">
        <v>81</v>
      </c>
      <c r="P444" t="s">
        <v>18</v>
      </c>
      <c r="Q444" t="s">
        <v>19</v>
      </c>
      <c r="R444" t="s">
        <v>138</v>
      </c>
      <c r="S444" t="s">
        <v>144</v>
      </c>
      <c r="T444" s="2">
        <f>MASTER[[#This Row],[CANTIDAD]]*MASTER[[#This Row],[PRECIO DE VENTA]]</f>
        <v>1738</v>
      </c>
      <c r="U444" s="2">
        <f>MASTER[[#This Row],[CANTIDAD]]*MASTER[[#This Row],[COSTO UNITARIO]]</f>
        <v>388</v>
      </c>
      <c r="V444" s="2">
        <f>MASTER[[#This Row],[MONTO VENDIDO]]-MASTER[[#This Row],[COSTO DE VENTA]]</f>
        <v>1350</v>
      </c>
    </row>
    <row r="445" spans="1:22" x14ac:dyDescent="0.3">
      <c r="A445">
        <v>15545</v>
      </c>
      <c r="B445">
        <v>1</v>
      </c>
      <c r="C445" t="s">
        <v>94</v>
      </c>
      <c r="D445" t="s">
        <v>95</v>
      </c>
      <c r="E445" s="1">
        <v>43886</v>
      </c>
      <c r="F445">
        <v>1</v>
      </c>
      <c r="G445" t="s">
        <v>61</v>
      </c>
      <c r="H445" t="s">
        <v>62</v>
      </c>
      <c r="I445" s="3">
        <v>1153</v>
      </c>
      <c r="J445" s="3">
        <v>1072</v>
      </c>
      <c r="K445" s="3">
        <v>392</v>
      </c>
      <c r="L445" t="s">
        <v>9</v>
      </c>
      <c r="M445">
        <v>1</v>
      </c>
      <c r="N445" t="s">
        <v>77</v>
      </c>
      <c r="O445" t="s">
        <v>70</v>
      </c>
      <c r="P445" t="s">
        <v>71</v>
      </c>
      <c r="Q445" t="s">
        <v>72</v>
      </c>
      <c r="R445" t="s">
        <v>139</v>
      </c>
      <c r="S445" t="s">
        <v>144</v>
      </c>
      <c r="T445" s="2">
        <f>MASTER[[#This Row],[CANTIDAD]]*MASTER[[#This Row],[PRECIO DE VENTA]]</f>
        <v>1072</v>
      </c>
      <c r="U445" s="2">
        <f>MASTER[[#This Row],[CANTIDAD]]*MASTER[[#This Row],[COSTO UNITARIO]]</f>
        <v>392</v>
      </c>
      <c r="V445" s="2">
        <f>MASTER[[#This Row],[MONTO VENDIDO]]-MASTER[[#This Row],[COSTO DE VENTA]]</f>
        <v>680</v>
      </c>
    </row>
    <row r="446" spans="1:22" x14ac:dyDescent="0.3">
      <c r="A446">
        <v>15582</v>
      </c>
      <c r="B446">
        <v>1</v>
      </c>
      <c r="C446" t="s">
        <v>94</v>
      </c>
      <c r="D446" t="s">
        <v>95</v>
      </c>
      <c r="E446" s="1">
        <v>43886</v>
      </c>
      <c r="F446">
        <v>1</v>
      </c>
      <c r="G446" t="s">
        <v>35</v>
      </c>
      <c r="H446" t="s">
        <v>36</v>
      </c>
      <c r="I446" s="3">
        <v>1153</v>
      </c>
      <c r="J446" s="3">
        <v>1153</v>
      </c>
      <c r="K446" s="3">
        <v>392</v>
      </c>
      <c r="L446" t="s">
        <v>9</v>
      </c>
      <c r="M446">
        <v>1</v>
      </c>
      <c r="N446" t="s">
        <v>77</v>
      </c>
      <c r="O446" t="s">
        <v>70</v>
      </c>
      <c r="P446" t="s">
        <v>71</v>
      </c>
      <c r="Q446" t="s">
        <v>72</v>
      </c>
      <c r="R446" t="s">
        <v>139</v>
      </c>
      <c r="S446" t="s">
        <v>144</v>
      </c>
      <c r="T446" s="2">
        <f>MASTER[[#This Row],[CANTIDAD]]*MASTER[[#This Row],[PRECIO DE VENTA]]</f>
        <v>1153</v>
      </c>
      <c r="U446" s="2">
        <f>MASTER[[#This Row],[CANTIDAD]]*MASTER[[#This Row],[COSTO UNITARIO]]</f>
        <v>392</v>
      </c>
      <c r="V446" s="2">
        <f>MASTER[[#This Row],[MONTO VENDIDO]]-MASTER[[#This Row],[COSTO DE VENTA]]</f>
        <v>761</v>
      </c>
    </row>
    <row r="447" spans="1:22" x14ac:dyDescent="0.3">
      <c r="A447">
        <v>15586</v>
      </c>
      <c r="B447">
        <v>1</v>
      </c>
      <c r="C447" t="s">
        <v>114</v>
      </c>
      <c r="D447" t="s">
        <v>115</v>
      </c>
      <c r="E447" s="1">
        <v>43886</v>
      </c>
      <c r="F447">
        <v>1</v>
      </c>
      <c r="G447" t="s">
        <v>41</v>
      </c>
      <c r="H447" t="s">
        <v>42</v>
      </c>
      <c r="I447" s="3">
        <v>2030</v>
      </c>
      <c r="J447" s="3">
        <v>2030</v>
      </c>
      <c r="K447" s="3">
        <v>394</v>
      </c>
      <c r="L447" t="s">
        <v>113</v>
      </c>
      <c r="M447">
        <v>3</v>
      </c>
      <c r="N447" t="s">
        <v>69</v>
      </c>
      <c r="O447" t="s">
        <v>70</v>
      </c>
      <c r="P447" t="s">
        <v>71</v>
      </c>
      <c r="Q447" t="s">
        <v>72</v>
      </c>
      <c r="R447" t="s">
        <v>139</v>
      </c>
      <c r="S447" t="s">
        <v>144</v>
      </c>
      <c r="T447" s="2">
        <f>MASTER[[#This Row],[CANTIDAD]]*MASTER[[#This Row],[PRECIO DE VENTA]]</f>
        <v>2030</v>
      </c>
      <c r="U447" s="2">
        <f>MASTER[[#This Row],[CANTIDAD]]*MASTER[[#This Row],[COSTO UNITARIO]]</f>
        <v>394</v>
      </c>
      <c r="V447" s="2">
        <f>MASTER[[#This Row],[MONTO VENDIDO]]-MASTER[[#This Row],[COSTO DE VENTA]]</f>
        <v>1636</v>
      </c>
    </row>
    <row r="448" spans="1:22" x14ac:dyDescent="0.3">
      <c r="A448">
        <v>15614</v>
      </c>
      <c r="B448">
        <v>1</v>
      </c>
      <c r="C448" t="s">
        <v>118</v>
      </c>
      <c r="D448" t="s">
        <v>119</v>
      </c>
      <c r="E448" s="1">
        <v>43886</v>
      </c>
      <c r="F448">
        <v>1</v>
      </c>
      <c r="G448" t="s">
        <v>37</v>
      </c>
      <c r="H448" t="s">
        <v>38</v>
      </c>
      <c r="I448" s="3">
        <v>900</v>
      </c>
      <c r="J448" s="3">
        <v>900</v>
      </c>
      <c r="K448" s="3">
        <v>424</v>
      </c>
      <c r="L448" t="s">
        <v>120</v>
      </c>
      <c r="M448">
        <v>2</v>
      </c>
      <c r="N448" t="s">
        <v>86</v>
      </c>
      <c r="O448" t="s">
        <v>81</v>
      </c>
      <c r="P448" t="s">
        <v>71</v>
      </c>
      <c r="Q448" t="s">
        <v>72</v>
      </c>
      <c r="R448" t="s">
        <v>139</v>
      </c>
      <c r="S448" t="s">
        <v>144</v>
      </c>
      <c r="T448" s="2">
        <f>MASTER[[#This Row],[CANTIDAD]]*MASTER[[#This Row],[PRECIO DE VENTA]]</f>
        <v>900</v>
      </c>
      <c r="U448" s="2">
        <f>MASTER[[#This Row],[CANTIDAD]]*MASTER[[#This Row],[COSTO UNITARIO]]</f>
        <v>424</v>
      </c>
      <c r="V448" s="2">
        <f>MASTER[[#This Row],[MONTO VENDIDO]]-MASTER[[#This Row],[COSTO DE VENTA]]</f>
        <v>476</v>
      </c>
    </row>
    <row r="449" spans="1:22" x14ac:dyDescent="0.3">
      <c r="A449">
        <v>15627</v>
      </c>
      <c r="B449">
        <v>1</v>
      </c>
      <c r="C449" t="s">
        <v>103</v>
      </c>
      <c r="D449" t="s">
        <v>104</v>
      </c>
      <c r="E449" s="1">
        <v>43886</v>
      </c>
      <c r="F449">
        <v>1</v>
      </c>
      <c r="G449" t="s">
        <v>73</v>
      </c>
      <c r="H449" t="s">
        <v>74</v>
      </c>
      <c r="I449" s="3">
        <v>1448</v>
      </c>
      <c r="J449" s="3">
        <v>1448</v>
      </c>
      <c r="K449" s="3">
        <v>421</v>
      </c>
      <c r="L449" t="s">
        <v>98</v>
      </c>
      <c r="M449">
        <v>11</v>
      </c>
      <c r="N449" t="s">
        <v>10</v>
      </c>
      <c r="O449" t="s">
        <v>11</v>
      </c>
      <c r="P449" t="s">
        <v>12</v>
      </c>
      <c r="Q449" t="s">
        <v>13</v>
      </c>
      <c r="R449" t="s">
        <v>13</v>
      </c>
      <c r="S449" t="s">
        <v>144</v>
      </c>
      <c r="T449" s="2">
        <f>MASTER[[#This Row],[CANTIDAD]]*MASTER[[#This Row],[PRECIO DE VENTA]]</f>
        <v>1448</v>
      </c>
      <c r="U449" s="2">
        <f>MASTER[[#This Row],[CANTIDAD]]*MASTER[[#This Row],[COSTO UNITARIO]]</f>
        <v>421</v>
      </c>
      <c r="V449" s="2">
        <f>MASTER[[#This Row],[MONTO VENDIDO]]-MASTER[[#This Row],[COSTO DE VENTA]]</f>
        <v>1027</v>
      </c>
    </row>
    <row r="450" spans="1:22" x14ac:dyDescent="0.3">
      <c r="A450">
        <v>15655</v>
      </c>
      <c r="B450">
        <v>2</v>
      </c>
      <c r="C450" t="s">
        <v>5</v>
      </c>
      <c r="D450" t="s">
        <v>6</v>
      </c>
      <c r="E450" s="1">
        <v>43886</v>
      </c>
      <c r="F450">
        <v>1</v>
      </c>
      <c r="G450" t="s">
        <v>24</v>
      </c>
      <c r="H450" t="s">
        <v>25</v>
      </c>
      <c r="I450" s="3">
        <v>1311</v>
      </c>
      <c r="J450" s="3">
        <v>1311</v>
      </c>
      <c r="K450" s="3">
        <v>393</v>
      </c>
      <c r="L450" t="s">
        <v>9</v>
      </c>
      <c r="M450">
        <v>12</v>
      </c>
      <c r="N450" t="s">
        <v>26</v>
      </c>
      <c r="O450" t="s">
        <v>11</v>
      </c>
      <c r="P450" t="s">
        <v>12</v>
      </c>
      <c r="Q450" t="s">
        <v>13</v>
      </c>
      <c r="R450" t="s">
        <v>13</v>
      </c>
      <c r="S450" t="s">
        <v>144</v>
      </c>
      <c r="T450" s="2">
        <f>MASTER[[#This Row],[CANTIDAD]]*MASTER[[#This Row],[PRECIO DE VENTA]]</f>
        <v>1311</v>
      </c>
      <c r="U450" s="2">
        <f>MASTER[[#This Row],[CANTIDAD]]*MASTER[[#This Row],[COSTO UNITARIO]]</f>
        <v>393</v>
      </c>
      <c r="V450" s="2">
        <f>MASTER[[#This Row],[MONTO VENDIDO]]-MASTER[[#This Row],[COSTO DE VENTA]]</f>
        <v>918</v>
      </c>
    </row>
    <row r="451" spans="1:22" x14ac:dyDescent="0.3">
      <c r="A451">
        <v>15655</v>
      </c>
      <c r="B451">
        <v>1</v>
      </c>
      <c r="C451" t="s">
        <v>105</v>
      </c>
      <c r="D451" t="s">
        <v>106</v>
      </c>
      <c r="E451" s="1">
        <v>43886</v>
      </c>
      <c r="F451">
        <v>1</v>
      </c>
      <c r="G451" t="s">
        <v>57</v>
      </c>
      <c r="H451" t="s">
        <v>58</v>
      </c>
      <c r="I451" s="3">
        <v>1585</v>
      </c>
      <c r="J451" s="3">
        <v>1585</v>
      </c>
      <c r="K451" s="3">
        <v>459</v>
      </c>
      <c r="L451" t="s">
        <v>98</v>
      </c>
      <c r="M451">
        <v>12</v>
      </c>
      <c r="N451" t="s">
        <v>26</v>
      </c>
      <c r="O451" t="s">
        <v>11</v>
      </c>
      <c r="P451" t="s">
        <v>12</v>
      </c>
      <c r="Q451" t="s">
        <v>13</v>
      </c>
      <c r="R451" t="s">
        <v>13</v>
      </c>
      <c r="S451" t="s">
        <v>144</v>
      </c>
      <c r="T451" s="2">
        <f>MASTER[[#This Row],[CANTIDAD]]*MASTER[[#This Row],[PRECIO DE VENTA]]</f>
        <v>1585</v>
      </c>
      <c r="U451" s="2">
        <f>MASTER[[#This Row],[CANTIDAD]]*MASTER[[#This Row],[COSTO UNITARIO]]</f>
        <v>459</v>
      </c>
      <c r="V451" s="2">
        <f>MASTER[[#This Row],[MONTO VENDIDO]]-MASTER[[#This Row],[COSTO DE VENTA]]</f>
        <v>1126</v>
      </c>
    </row>
    <row r="452" spans="1:22" x14ac:dyDescent="0.3">
      <c r="A452">
        <v>15655</v>
      </c>
      <c r="B452">
        <v>3</v>
      </c>
      <c r="C452" t="s">
        <v>114</v>
      </c>
      <c r="D452" t="s">
        <v>115</v>
      </c>
      <c r="E452" s="1">
        <v>43886</v>
      </c>
      <c r="F452">
        <v>3</v>
      </c>
      <c r="G452" t="s">
        <v>67</v>
      </c>
      <c r="H452" t="s">
        <v>68</v>
      </c>
      <c r="I452" s="3">
        <v>1583</v>
      </c>
      <c r="J452" s="3">
        <v>1583</v>
      </c>
      <c r="K452" s="3">
        <v>394</v>
      </c>
      <c r="L452" t="s">
        <v>113</v>
      </c>
      <c r="M452">
        <v>12</v>
      </c>
      <c r="N452" t="s">
        <v>26</v>
      </c>
      <c r="O452" t="s">
        <v>11</v>
      </c>
      <c r="P452" t="s">
        <v>12</v>
      </c>
      <c r="Q452" t="s">
        <v>13</v>
      </c>
      <c r="R452" t="s">
        <v>13</v>
      </c>
      <c r="S452" t="s">
        <v>144</v>
      </c>
      <c r="T452" s="2">
        <f>MASTER[[#This Row],[CANTIDAD]]*MASTER[[#This Row],[PRECIO DE VENTA]]</f>
        <v>4749</v>
      </c>
      <c r="U452" s="2">
        <f>MASTER[[#This Row],[CANTIDAD]]*MASTER[[#This Row],[COSTO UNITARIO]]</f>
        <v>1182</v>
      </c>
      <c r="V452" s="2">
        <f>MASTER[[#This Row],[MONTO VENDIDO]]-MASTER[[#This Row],[COSTO DE VENTA]]</f>
        <v>3567</v>
      </c>
    </row>
    <row r="453" spans="1:22" x14ac:dyDescent="0.3">
      <c r="A453">
        <v>15664</v>
      </c>
      <c r="B453">
        <v>1</v>
      </c>
      <c r="C453" t="s">
        <v>116</v>
      </c>
      <c r="D453" t="s">
        <v>117</v>
      </c>
      <c r="E453" s="1">
        <v>43886</v>
      </c>
      <c r="F453">
        <v>1</v>
      </c>
      <c r="G453" t="s">
        <v>27</v>
      </c>
      <c r="H453" t="s">
        <v>28</v>
      </c>
      <c r="I453" s="3">
        <v>1529</v>
      </c>
      <c r="J453" s="3">
        <v>1529</v>
      </c>
      <c r="K453" s="3">
        <v>388</v>
      </c>
      <c r="L453" t="s">
        <v>113</v>
      </c>
      <c r="M453">
        <v>12</v>
      </c>
      <c r="N453" t="s">
        <v>26</v>
      </c>
      <c r="O453" t="s">
        <v>11</v>
      </c>
      <c r="P453" t="s">
        <v>12</v>
      </c>
      <c r="Q453" t="s">
        <v>13</v>
      </c>
      <c r="R453" t="s">
        <v>13</v>
      </c>
      <c r="S453" t="s">
        <v>144</v>
      </c>
      <c r="T453" s="2">
        <f>MASTER[[#This Row],[CANTIDAD]]*MASTER[[#This Row],[PRECIO DE VENTA]]</f>
        <v>1529</v>
      </c>
      <c r="U453" s="2">
        <f>MASTER[[#This Row],[CANTIDAD]]*MASTER[[#This Row],[COSTO UNITARIO]]</f>
        <v>388</v>
      </c>
      <c r="V453" s="2">
        <f>MASTER[[#This Row],[MONTO VENDIDO]]-MASTER[[#This Row],[COSTO DE VENTA]]</f>
        <v>1141</v>
      </c>
    </row>
    <row r="454" spans="1:22" x14ac:dyDescent="0.3">
      <c r="A454">
        <v>15683</v>
      </c>
      <c r="B454">
        <v>1</v>
      </c>
      <c r="C454" t="s">
        <v>121</v>
      </c>
      <c r="D454" t="s">
        <v>122</v>
      </c>
      <c r="E454" s="1">
        <v>43886</v>
      </c>
      <c r="F454">
        <v>1</v>
      </c>
      <c r="G454" t="s">
        <v>43</v>
      </c>
      <c r="H454" t="s">
        <v>44</v>
      </c>
      <c r="I454" s="3">
        <v>941</v>
      </c>
      <c r="J454" s="3">
        <v>865</v>
      </c>
      <c r="K454" s="3">
        <v>460</v>
      </c>
      <c r="L454" t="s">
        <v>120</v>
      </c>
      <c r="M454">
        <v>11</v>
      </c>
      <c r="N454" t="s">
        <v>10</v>
      </c>
      <c r="O454" t="s">
        <v>11</v>
      </c>
      <c r="P454" t="s">
        <v>12</v>
      </c>
      <c r="Q454" t="s">
        <v>13</v>
      </c>
      <c r="R454" t="s">
        <v>13</v>
      </c>
      <c r="S454" t="s">
        <v>144</v>
      </c>
      <c r="T454" s="2">
        <f>MASTER[[#This Row],[CANTIDAD]]*MASTER[[#This Row],[PRECIO DE VENTA]]</f>
        <v>865</v>
      </c>
      <c r="U454" s="2">
        <f>MASTER[[#This Row],[CANTIDAD]]*MASTER[[#This Row],[COSTO UNITARIO]]</f>
        <v>460</v>
      </c>
      <c r="V454" s="2">
        <f>MASTER[[#This Row],[MONTO VENDIDO]]-MASTER[[#This Row],[COSTO DE VENTA]]</f>
        <v>405</v>
      </c>
    </row>
    <row r="455" spans="1:22" x14ac:dyDescent="0.3">
      <c r="A455">
        <v>15705</v>
      </c>
      <c r="B455">
        <v>1</v>
      </c>
      <c r="C455" t="s">
        <v>5</v>
      </c>
      <c r="D455" t="s">
        <v>6</v>
      </c>
      <c r="E455" s="1">
        <v>43886</v>
      </c>
      <c r="F455">
        <v>1</v>
      </c>
      <c r="G455" t="s">
        <v>53</v>
      </c>
      <c r="H455" t="s">
        <v>54</v>
      </c>
      <c r="I455" s="3">
        <v>1296</v>
      </c>
      <c r="J455" s="3">
        <v>1296</v>
      </c>
      <c r="K455" s="3">
        <v>393</v>
      </c>
      <c r="L455" t="s">
        <v>9</v>
      </c>
      <c r="M455">
        <v>6</v>
      </c>
      <c r="N455" t="s">
        <v>75</v>
      </c>
      <c r="O455" t="s">
        <v>70</v>
      </c>
      <c r="P455" t="s">
        <v>12</v>
      </c>
      <c r="Q455" t="s">
        <v>13</v>
      </c>
      <c r="R455" t="s">
        <v>13</v>
      </c>
      <c r="S455" t="s">
        <v>144</v>
      </c>
      <c r="T455" s="2">
        <f>MASTER[[#This Row],[CANTIDAD]]*MASTER[[#This Row],[PRECIO DE VENTA]]</f>
        <v>1296</v>
      </c>
      <c r="U455" s="2">
        <f>MASTER[[#This Row],[CANTIDAD]]*MASTER[[#This Row],[COSTO UNITARIO]]</f>
        <v>393</v>
      </c>
      <c r="V455" s="2">
        <f>MASTER[[#This Row],[MONTO VENDIDO]]-MASTER[[#This Row],[COSTO DE VENTA]]</f>
        <v>903</v>
      </c>
    </row>
    <row r="456" spans="1:22" x14ac:dyDescent="0.3">
      <c r="A456">
        <v>15718</v>
      </c>
      <c r="B456">
        <v>1</v>
      </c>
      <c r="C456" t="s">
        <v>5</v>
      </c>
      <c r="D456" t="s">
        <v>6</v>
      </c>
      <c r="E456" s="1">
        <v>43886</v>
      </c>
      <c r="F456">
        <v>1</v>
      </c>
      <c r="G456" t="s">
        <v>63</v>
      </c>
      <c r="H456" t="s">
        <v>64</v>
      </c>
      <c r="I456" s="3">
        <v>1296</v>
      </c>
      <c r="J456" s="3">
        <v>1296</v>
      </c>
      <c r="K456" s="3">
        <v>393</v>
      </c>
      <c r="L456" t="s">
        <v>9</v>
      </c>
      <c r="M456">
        <v>13</v>
      </c>
      <c r="N456" t="s">
        <v>78</v>
      </c>
      <c r="O456" t="s">
        <v>70</v>
      </c>
      <c r="P456" t="s">
        <v>18</v>
      </c>
      <c r="Q456" t="s">
        <v>19</v>
      </c>
      <c r="R456" t="s">
        <v>138</v>
      </c>
      <c r="S456" t="s">
        <v>144</v>
      </c>
      <c r="T456" s="2">
        <f>MASTER[[#This Row],[CANTIDAD]]*MASTER[[#This Row],[PRECIO DE VENTA]]</f>
        <v>1296</v>
      </c>
      <c r="U456" s="2">
        <f>MASTER[[#This Row],[CANTIDAD]]*MASTER[[#This Row],[COSTO UNITARIO]]</f>
        <v>393</v>
      </c>
      <c r="V456" s="2">
        <f>MASTER[[#This Row],[MONTO VENDIDO]]-MASTER[[#This Row],[COSTO DE VENTA]]</f>
        <v>903</v>
      </c>
    </row>
    <row r="457" spans="1:22" x14ac:dyDescent="0.3">
      <c r="A457">
        <v>15731</v>
      </c>
      <c r="B457">
        <v>1</v>
      </c>
      <c r="C457" t="s">
        <v>96</v>
      </c>
      <c r="D457" t="s">
        <v>97</v>
      </c>
      <c r="E457" s="1">
        <v>43886</v>
      </c>
      <c r="F457">
        <v>1</v>
      </c>
      <c r="G457" t="s">
        <v>29</v>
      </c>
      <c r="H457" t="s">
        <v>30</v>
      </c>
      <c r="I457" s="3">
        <v>1272</v>
      </c>
      <c r="J457" s="3">
        <v>1272</v>
      </c>
      <c r="K457" s="3">
        <v>397</v>
      </c>
      <c r="L457" t="s">
        <v>98</v>
      </c>
      <c r="M457">
        <v>15</v>
      </c>
      <c r="N457" t="s">
        <v>88</v>
      </c>
      <c r="O457" t="s">
        <v>81</v>
      </c>
      <c r="P457" t="s">
        <v>18</v>
      </c>
      <c r="Q457" t="s">
        <v>19</v>
      </c>
      <c r="R457" t="s">
        <v>138</v>
      </c>
      <c r="S457" t="s">
        <v>144</v>
      </c>
      <c r="T457" s="2">
        <f>MASTER[[#This Row],[CANTIDAD]]*MASTER[[#This Row],[PRECIO DE VENTA]]</f>
        <v>1272</v>
      </c>
      <c r="U457" s="2">
        <f>MASTER[[#This Row],[CANTIDAD]]*MASTER[[#This Row],[COSTO UNITARIO]]</f>
        <v>397</v>
      </c>
      <c r="V457" s="2">
        <f>MASTER[[#This Row],[MONTO VENDIDO]]-MASTER[[#This Row],[COSTO DE VENTA]]</f>
        <v>875</v>
      </c>
    </row>
    <row r="458" spans="1:22" x14ac:dyDescent="0.3">
      <c r="A458">
        <v>15735</v>
      </c>
      <c r="B458">
        <v>1</v>
      </c>
      <c r="C458" t="s">
        <v>111</v>
      </c>
      <c r="D458" t="s">
        <v>112</v>
      </c>
      <c r="E458" s="1">
        <v>43886</v>
      </c>
      <c r="F458">
        <v>1</v>
      </c>
      <c r="G458" t="s">
        <v>49</v>
      </c>
      <c r="H458" t="s">
        <v>50</v>
      </c>
      <c r="I458" s="3">
        <v>1524</v>
      </c>
      <c r="J458" s="3">
        <v>1524</v>
      </c>
      <c r="K458" s="3">
        <v>434</v>
      </c>
      <c r="L458" t="s">
        <v>113</v>
      </c>
      <c r="M458">
        <v>17</v>
      </c>
      <c r="N458" t="s">
        <v>14</v>
      </c>
      <c r="O458" t="s">
        <v>11</v>
      </c>
      <c r="P458" t="s">
        <v>15</v>
      </c>
      <c r="Q458" t="s">
        <v>16</v>
      </c>
      <c r="R458" t="s">
        <v>16</v>
      </c>
      <c r="S458" t="s">
        <v>144</v>
      </c>
      <c r="T458" s="2">
        <f>MASTER[[#This Row],[CANTIDAD]]*MASTER[[#This Row],[PRECIO DE VENTA]]</f>
        <v>1524</v>
      </c>
      <c r="U458" s="2">
        <f>MASTER[[#This Row],[CANTIDAD]]*MASTER[[#This Row],[COSTO UNITARIO]]</f>
        <v>434</v>
      </c>
      <c r="V458" s="2">
        <f>MASTER[[#This Row],[MONTO VENDIDO]]-MASTER[[#This Row],[COSTO DE VENTA]]</f>
        <v>1090</v>
      </c>
    </row>
    <row r="459" spans="1:22" x14ac:dyDescent="0.3">
      <c r="A459">
        <v>15737</v>
      </c>
      <c r="B459">
        <v>1</v>
      </c>
      <c r="C459" t="s">
        <v>99</v>
      </c>
      <c r="D459" t="s">
        <v>100</v>
      </c>
      <c r="E459" s="1">
        <v>43886</v>
      </c>
      <c r="F459">
        <v>1</v>
      </c>
      <c r="G459" t="s">
        <v>24</v>
      </c>
      <c r="H459" t="s">
        <v>25</v>
      </c>
      <c r="I459" s="3">
        <v>1459</v>
      </c>
      <c r="J459" s="3">
        <v>1459</v>
      </c>
      <c r="K459" s="3">
        <v>386</v>
      </c>
      <c r="L459" t="s">
        <v>98</v>
      </c>
      <c r="M459">
        <v>2</v>
      </c>
      <c r="N459" t="s">
        <v>86</v>
      </c>
      <c r="O459" t="s">
        <v>81</v>
      </c>
      <c r="P459" t="s">
        <v>71</v>
      </c>
      <c r="Q459" t="s">
        <v>72</v>
      </c>
      <c r="R459" t="s">
        <v>139</v>
      </c>
      <c r="S459" t="s">
        <v>144</v>
      </c>
      <c r="T459" s="2">
        <f>MASTER[[#This Row],[CANTIDAD]]*MASTER[[#This Row],[PRECIO DE VENTA]]</f>
        <v>1459</v>
      </c>
      <c r="U459" s="2">
        <f>MASTER[[#This Row],[CANTIDAD]]*MASTER[[#This Row],[COSTO UNITARIO]]</f>
        <v>386</v>
      </c>
      <c r="V459" s="2">
        <f>MASTER[[#This Row],[MONTO VENDIDO]]-MASTER[[#This Row],[COSTO DE VENTA]]</f>
        <v>1073</v>
      </c>
    </row>
    <row r="460" spans="1:22" x14ac:dyDescent="0.3">
      <c r="A460">
        <v>15759</v>
      </c>
      <c r="B460">
        <v>1</v>
      </c>
      <c r="C460" t="s">
        <v>94</v>
      </c>
      <c r="D460" t="s">
        <v>95</v>
      </c>
      <c r="E460" s="1">
        <v>43887</v>
      </c>
      <c r="F460">
        <v>1</v>
      </c>
      <c r="G460" t="s">
        <v>35</v>
      </c>
      <c r="H460" t="s">
        <v>36</v>
      </c>
      <c r="I460" s="3">
        <v>1153</v>
      </c>
      <c r="J460" s="3">
        <v>1153</v>
      </c>
      <c r="K460" s="3">
        <v>392</v>
      </c>
      <c r="L460" t="s">
        <v>9</v>
      </c>
      <c r="M460">
        <v>9</v>
      </c>
      <c r="N460" t="s">
        <v>76</v>
      </c>
      <c r="O460" t="s">
        <v>70</v>
      </c>
      <c r="P460" t="s">
        <v>12</v>
      </c>
      <c r="Q460" t="s">
        <v>13</v>
      </c>
      <c r="R460" t="s">
        <v>13</v>
      </c>
      <c r="S460" t="s">
        <v>144</v>
      </c>
      <c r="T460" s="2">
        <f>MASTER[[#This Row],[CANTIDAD]]*MASTER[[#This Row],[PRECIO DE VENTA]]</f>
        <v>1153</v>
      </c>
      <c r="U460" s="2">
        <f>MASTER[[#This Row],[CANTIDAD]]*MASTER[[#This Row],[COSTO UNITARIO]]</f>
        <v>392</v>
      </c>
      <c r="V460" s="2">
        <f>MASTER[[#This Row],[MONTO VENDIDO]]-MASTER[[#This Row],[COSTO DE VENTA]]</f>
        <v>761</v>
      </c>
    </row>
    <row r="461" spans="1:22" x14ac:dyDescent="0.3">
      <c r="A461">
        <v>15775</v>
      </c>
      <c r="B461">
        <v>1</v>
      </c>
      <c r="C461" t="s">
        <v>99</v>
      </c>
      <c r="D461" t="s">
        <v>100</v>
      </c>
      <c r="E461" s="1">
        <v>43887</v>
      </c>
      <c r="F461">
        <v>1</v>
      </c>
      <c r="G461" t="s">
        <v>20</v>
      </c>
      <c r="H461" t="s">
        <v>21</v>
      </c>
      <c r="I461" s="3">
        <v>1328</v>
      </c>
      <c r="J461" s="3">
        <v>1328</v>
      </c>
      <c r="K461" s="3">
        <v>386</v>
      </c>
      <c r="L461" t="s">
        <v>98</v>
      </c>
      <c r="M461">
        <v>12</v>
      </c>
      <c r="N461" t="s">
        <v>26</v>
      </c>
      <c r="O461" t="s">
        <v>11</v>
      </c>
      <c r="P461" t="s">
        <v>12</v>
      </c>
      <c r="Q461" t="s">
        <v>13</v>
      </c>
      <c r="R461" t="s">
        <v>13</v>
      </c>
      <c r="S461" t="s">
        <v>144</v>
      </c>
      <c r="T461" s="2">
        <f>MASTER[[#This Row],[CANTIDAD]]*MASTER[[#This Row],[PRECIO DE VENTA]]</f>
        <v>1328</v>
      </c>
      <c r="U461" s="2">
        <f>MASTER[[#This Row],[CANTIDAD]]*MASTER[[#This Row],[COSTO UNITARIO]]</f>
        <v>386</v>
      </c>
      <c r="V461" s="2">
        <f>MASTER[[#This Row],[MONTO VENDIDO]]-MASTER[[#This Row],[COSTO DE VENTA]]</f>
        <v>942</v>
      </c>
    </row>
    <row r="462" spans="1:22" x14ac:dyDescent="0.3">
      <c r="A462">
        <v>15793</v>
      </c>
      <c r="B462">
        <v>1</v>
      </c>
      <c r="C462" t="s">
        <v>105</v>
      </c>
      <c r="D462" t="s">
        <v>106</v>
      </c>
      <c r="E462" s="1">
        <v>43887</v>
      </c>
      <c r="F462">
        <v>4</v>
      </c>
      <c r="G462" t="s">
        <v>57</v>
      </c>
      <c r="H462" t="s">
        <v>58</v>
      </c>
      <c r="I462" s="3">
        <v>1585</v>
      </c>
      <c r="J462" s="3">
        <v>1585</v>
      </c>
      <c r="K462" s="3">
        <v>459</v>
      </c>
      <c r="L462" t="s">
        <v>98</v>
      </c>
      <c r="M462">
        <v>16</v>
      </c>
      <c r="N462" t="s">
        <v>17</v>
      </c>
      <c r="O462" t="s">
        <v>11</v>
      </c>
      <c r="P462" t="s">
        <v>18</v>
      </c>
      <c r="Q462" t="s">
        <v>19</v>
      </c>
      <c r="R462" t="s">
        <v>138</v>
      </c>
      <c r="S462" t="s">
        <v>144</v>
      </c>
      <c r="T462" s="2">
        <f>MASTER[[#This Row],[CANTIDAD]]*MASTER[[#This Row],[PRECIO DE VENTA]]</f>
        <v>6340</v>
      </c>
      <c r="U462" s="2">
        <f>MASTER[[#This Row],[CANTIDAD]]*MASTER[[#This Row],[COSTO UNITARIO]]</f>
        <v>1836</v>
      </c>
      <c r="V462" s="2">
        <f>MASTER[[#This Row],[MONTO VENDIDO]]-MASTER[[#This Row],[COSTO DE VENTA]]</f>
        <v>4504</v>
      </c>
    </row>
    <row r="463" spans="1:22" x14ac:dyDescent="0.3">
      <c r="A463">
        <v>15807</v>
      </c>
      <c r="B463">
        <v>1</v>
      </c>
      <c r="C463" t="s">
        <v>109</v>
      </c>
      <c r="D463" t="s">
        <v>110</v>
      </c>
      <c r="E463" s="1">
        <v>43887</v>
      </c>
      <c r="F463">
        <v>2</v>
      </c>
      <c r="G463" t="s">
        <v>67</v>
      </c>
      <c r="H463" t="s">
        <v>68</v>
      </c>
      <c r="I463" s="3">
        <v>1128</v>
      </c>
      <c r="J463" s="3">
        <v>1128</v>
      </c>
      <c r="K463" s="3">
        <v>387</v>
      </c>
      <c r="L463" t="s">
        <v>98</v>
      </c>
      <c r="M463">
        <v>13</v>
      </c>
      <c r="N463" t="s">
        <v>78</v>
      </c>
      <c r="O463" t="s">
        <v>70</v>
      </c>
      <c r="P463" t="s">
        <v>18</v>
      </c>
      <c r="Q463" t="s">
        <v>19</v>
      </c>
      <c r="R463" t="s">
        <v>138</v>
      </c>
      <c r="S463" t="s">
        <v>144</v>
      </c>
      <c r="T463" s="2">
        <f>MASTER[[#This Row],[CANTIDAD]]*MASTER[[#This Row],[PRECIO DE VENTA]]</f>
        <v>2256</v>
      </c>
      <c r="U463" s="2">
        <f>MASTER[[#This Row],[CANTIDAD]]*MASTER[[#This Row],[COSTO UNITARIO]]</f>
        <v>774</v>
      </c>
      <c r="V463" s="2">
        <f>MASTER[[#This Row],[MONTO VENDIDO]]-MASTER[[#This Row],[COSTO DE VENTA]]</f>
        <v>1482</v>
      </c>
    </row>
    <row r="464" spans="1:22" x14ac:dyDescent="0.3">
      <c r="A464">
        <v>15836</v>
      </c>
      <c r="B464">
        <v>1</v>
      </c>
      <c r="C464" t="s">
        <v>92</v>
      </c>
      <c r="D464" t="s">
        <v>93</v>
      </c>
      <c r="E464" s="1">
        <v>43887</v>
      </c>
      <c r="F464">
        <v>1</v>
      </c>
      <c r="G464" t="s">
        <v>35</v>
      </c>
      <c r="H464" t="s">
        <v>36</v>
      </c>
      <c r="I464" s="3">
        <v>1681</v>
      </c>
      <c r="J464" s="3">
        <v>1681</v>
      </c>
      <c r="K464" s="3">
        <v>396</v>
      </c>
      <c r="L464" t="s">
        <v>9</v>
      </c>
      <c r="M464">
        <v>10</v>
      </c>
      <c r="N464" t="s">
        <v>83</v>
      </c>
      <c r="O464" t="s">
        <v>81</v>
      </c>
      <c r="P464" t="s">
        <v>12</v>
      </c>
      <c r="Q464" t="s">
        <v>13</v>
      </c>
      <c r="R464" t="s">
        <v>13</v>
      </c>
      <c r="S464" t="s">
        <v>144</v>
      </c>
      <c r="T464" s="2">
        <f>MASTER[[#This Row],[CANTIDAD]]*MASTER[[#This Row],[PRECIO DE VENTA]]</f>
        <v>1681</v>
      </c>
      <c r="U464" s="2">
        <f>MASTER[[#This Row],[CANTIDAD]]*MASTER[[#This Row],[COSTO UNITARIO]]</f>
        <v>396</v>
      </c>
      <c r="V464" s="2">
        <f>MASTER[[#This Row],[MONTO VENDIDO]]-MASTER[[#This Row],[COSTO DE VENTA]]</f>
        <v>1285</v>
      </c>
    </row>
    <row r="465" spans="1:22" x14ac:dyDescent="0.3">
      <c r="A465">
        <v>15851</v>
      </c>
      <c r="B465">
        <v>1</v>
      </c>
      <c r="C465" t="s">
        <v>121</v>
      </c>
      <c r="D465" t="s">
        <v>122</v>
      </c>
      <c r="E465" s="1">
        <v>43887</v>
      </c>
      <c r="F465">
        <v>1</v>
      </c>
      <c r="G465" t="s">
        <v>24</v>
      </c>
      <c r="H465" t="s">
        <v>25</v>
      </c>
      <c r="I465" s="3">
        <v>1069</v>
      </c>
      <c r="J465" s="3">
        <v>1069</v>
      </c>
      <c r="K465" s="3">
        <v>460</v>
      </c>
      <c r="L465" t="s">
        <v>120</v>
      </c>
      <c r="M465">
        <v>10</v>
      </c>
      <c r="N465" t="s">
        <v>83</v>
      </c>
      <c r="O465" t="s">
        <v>81</v>
      </c>
      <c r="P465" t="s">
        <v>12</v>
      </c>
      <c r="Q465" t="s">
        <v>13</v>
      </c>
      <c r="R465" t="s">
        <v>13</v>
      </c>
      <c r="S465" t="s">
        <v>144</v>
      </c>
      <c r="T465" s="2">
        <f>MASTER[[#This Row],[CANTIDAD]]*MASTER[[#This Row],[PRECIO DE VENTA]]</f>
        <v>1069</v>
      </c>
      <c r="U465" s="2">
        <f>MASTER[[#This Row],[CANTIDAD]]*MASTER[[#This Row],[COSTO UNITARIO]]</f>
        <v>460</v>
      </c>
      <c r="V465" s="2">
        <f>MASTER[[#This Row],[MONTO VENDIDO]]-MASTER[[#This Row],[COSTO DE VENTA]]</f>
        <v>609</v>
      </c>
    </row>
    <row r="466" spans="1:22" x14ac:dyDescent="0.3">
      <c r="A466">
        <v>15859</v>
      </c>
      <c r="B466">
        <v>1</v>
      </c>
      <c r="C466" t="s">
        <v>5</v>
      </c>
      <c r="D466" t="s">
        <v>6</v>
      </c>
      <c r="E466" s="1">
        <v>43887</v>
      </c>
      <c r="F466">
        <v>1</v>
      </c>
      <c r="G466" t="s">
        <v>27</v>
      </c>
      <c r="H466" t="s">
        <v>28</v>
      </c>
      <c r="I466" s="3">
        <v>1311</v>
      </c>
      <c r="J466" s="3">
        <v>1311</v>
      </c>
      <c r="K466" s="3">
        <v>393</v>
      </c>
      <c r="L466" t="s">
        <v>9</v>
      </c>
      <c r="M466">
        <v>12</v>
      </c>
      <c r="N466" t="s">
        <v>26</v>
      </c>
      <c r="O466" t="s">
        <v>11</v>
      </c>
      <c r="P466" t="s">
        <v>12</v>
      </c>
      <c r="Q466" t="s">
        <v>13</v>
      </c>
      <c r="R466" t="s">
        <v>13</v>
      </c>
      <c r="S466" t="s">
        <v>144</v>
      </c>
      <c r="T466" s="2">
        <f>MASTER[[#This Row],[CANTIDAD]]*MASTER[[#This Row],[PRECIO DE VENTA]]</f>
        <v>1311</v>
      </c>
      <c r="U466" s="2">
        <f>MASTER[[#This Row],[CANTIDAD]]*MASTER[[#This Row],[COSTO UNITARIO]]</f>
        <v>393</v>
      </c>
      <c r="V466" s="2">
        <f>MASTER[[#This Row],[MONTO VENDIDO]]-MASTER[[#This Row],[COSTO DE VENTA]]</f>
        <v>918</v>
      </c>
    </row>
    <row r="467" spans="1:22" x14ac:dyDescent="0.3">
      <c r="A467">
        <v>15877</v>
      </c>
      <c r="B467">
        <v>1</v>
      </c>
      <c r="C467" t="s">
        <v>121</v>
      </c>
      <c r="D467" t="s">
        <v>122</v>
      </c>
      <c r="E467" s="1">
        <v>43887</v>
      </c>
      <c r="F467">
        <v>1</v>
      </c>
      <c r="G467" t="s">
        <v>51</v>
      </c>
      <c r="H467" t="s">
        <v>52</v>
      </c>
      <c r="I467" s="3">
        <v>1069</v>
      </c>
      <c r="J467" s="3">
        <v>1069</v>
      </c>
      <c r="K467" s="3">
        <v>460</v>
      </c>
      <c r="L467" t="s">
        <v>120</v>
      </c>
      <c r="M467">
        <v>14</v>
      </c>
      <c r="N467" t="s">
        <v>87</v>
      </c>
      <c r="O467" t="s">
        <v>81</v>
      </c>
      <c r="P467" t="s">
        <v>18</v>
      </c>
      <c r="Q467" t="s">
        <v>19</v>
      </c>
      <c r="R467" t="s">
        <v>138</v>
      </c>
      <c r="S467" t="s">
        <v>144</v>
      </c>
      <c r="T467" s="2">
        <f>MASTER[[#This Row],[CANTIDAD]]*MASTER[[#This Row],[PRECIO DE VENTA]]</f>
        <v>1069</v>
      </c>
      <c r="U467" s="2">
        <f>MASTER[[#This Row],[CANTIDAD]]*MASTER[[#This Row],[COSTO UNITARIO]]</f>
        <v>460</v>
      </c>
      <c r="V467" s="2">
        <f>MASTER[[#This Row],[MONTO VENDIDO]]-MASTER[[#This Row],[COSTO DE VENTA]]</f>
        <v>609</v>
      </c>
    </row>
    <row r="468" spans="1:22" x14ac:dyDescent="0.3">
      <c r="A468">
        <v>15889</v>
      </c>
      <c r="B468">
        <v>1</v>
      </c>
      <c r="C468" t="s">
        <v>107</v>
      </c>
      <c r="D468" t="s">
        <v>108</v>
      </c>
      <c r="E468" s="1">
        <v>43888</v>
      </c>
      <c r="F468">
        <v>1</v>
      </c>
      <c r="G468" t="s">
        <v>24</v>
      </c>
      <c r="H468" t="s">
        <v>25</v>
      </c>
      <c r="I468" s="3">
        <v>1240</v>
      </c>
      <c r="J468" s="3">
        <v>1240</v>
      </c>
      <c r="K468" s="3">
        <v>380</v>
      </c>
      <c r="L468" t="s">
        <v>98</v>
      </c>
      <c r="M468">
        <v>12</v>
      </c>
      <c r="N468" t="s">
        <v>26</v>
      </c>
      <c r="O468" t="s">
        <v>11</v>
      </c>
      <c r="P468" t="s">
        <v>12</v>
      </c>
      <c r="Q468" t="s">
        <v>13</v>
      </c>
      <c r="R468" t="s">
        <v>13</v>
      </c>
      <c r="S468" t="s">
        <v>144</v>
      </c>
      <c r="T468" s="2">
        <f>MASTER[[#This Row],[CANTIDAD]]*MASTER[[#This Row],[PRECIO DE VENTA]]</f>
        <v>1240</v>
      </c>
      <c r="U468" s="2">
        <f>MASTER[[#This Row],[CANTIDAD]]*MASTER[[#This Row],[COSTO UNITARIO]]</f>
        <v>380</v>
      </c>
      <c r="V468" s="2">
        <f>MASTER[[#This Row],[MONTO VENDIDO]]-MASTER[[#This Row],[COSTO DE VENTA]]</f>
        <v>860</v>
      </c>
    </row>
    <row r="469" spans="1:22" x14ac:dyDescent="0.3">
      <c r="A469">
        <v>15890</v>
      </c>
      <c r="B469">
        <v>1</v>
      </c>
      <c r="C469" t="s">
        <v>121</v>
      </c>
      <c r="D469" t="s">
        <v>122</v>
      </c>
      <c r="E469" s="1">
        <v>43888</v>
      </c>
      <c r="F469">
        <v>1</v>
      </c>
      <c r="G469" t="s">
        <v>29</v>
      </c>
      <c r="H469" t="s">
        <v>30</v>
      </c>
      <c r="I469" s="3">
        <v>1069</v>
      </c>
      <c r="J469" s="3">
        <v>1069</v>
      </c>
      <c r="K469" s="3">
        <v>460</v>
      </c>
      <c r="L469" t="s">
        <v>120</v>
      </c>
      <c r="M469">
        <v>4</v>
      </c>
      <c r="N469" t="s">
        <v>82</v>
      </c>
      <c r="O469" t="s">
        <v>81</v>
      </c>
      <c r="P469" t="s">
        <v>71</v>
      </c>
      <c r="Q469" t="s">
        <v>72</v>
      </c>
      <c r="R469" t="s">
        <v>139</v>
      </c>
      <c r="S469" t="s">
        <v>144</v>
      </c>
      <c r="T469" s="2">
        <f>MASTER[[#This Row],[CANTIDAD]]*MASTER[[#This Row],[PRECIO DE VENTA]]</f>
        <v>1069</v>
      </c>
      <c r="U469" s="2">
        <f>MASTER[[#This Row],[CANTIDAD]]*MASTER[[#This Row],[COSTO UNITARIO]]</f>
        <v>460</v>
      </c>
      <c r="V469" s="2">
        <f>MASTER[[#This Row],[MONTO VENDIDO]]-MASTER[[#This Row],[COSTO DE VENTA]]</f>
        <v>609</v>
      </c>
    </row>
    <row r="470" spans="1:22" x14ac:dyDescent="0.3">
      <c r="A470">
        <v>15898</v>
      </c>
      <c r="B470">
        <v>1</v>
      </c>
      <c r="C470" t="s">
        <v>5</v>
      </c>
      <c r="D470" t="s">
        <v>6</v>
      </c>
      <c r="E470" s="1">
        <v>43888</v>
      </c>
      <c r="F470">
        <v>1</v>
      </c>
      <c r="G470" t="s">
        <v>49</v>
      </c>
      <c r="H470" t="s">
        <v>50</v>
      </c>
      <c r="I470" s="3">
        <v>1296</v>
      </c>
      <c r="J470" s="3">
        <v>1296</v>
      </c>
      <c r="K470" s="3">
        <v>393</v>
      </c>
      <c r="L470" t="s">
        <v>9</v>
      </c>
      <c r="M470">
        <v>3</v>
      </c>
      <c r="N470" t="s">
        <v>69</v>
      </c>
      <c r="O470" t="s">
        <v>70</v>
      </c>
      <c r="P470" t="s">
        <v>71</v>
      </c>
      <c r="Q470" t="s">
        <v>72</v>
      </c>
      <c r="R470" t="s">
        <v>139</v>
      </c>
      <c r="S470" t="s">
        <v>144</v>
      </c>
      <c r="T470" s="2">
        <f>MASTER[[#This Row],[CANTIDAD]]*MASTER[[#This Row],[PRECIO DE VENTA]]</f>
        <v>1296</v>
      </c>
      <c r="U470" s="2">
        <f>MASTER[[#This Row],[CANTIDAD]]*MASTER[[#This Row],[COSTO UNITARIO]]</f>
        <v>393</v>
      </c>
      <c r="V470" s="2">
        <f>MASTER[[#This Row],[MONTO VENDIDO]]-MASTER[[#This Row],[COSTO DE VENTA]]</f>
        <v>903</v>
      </c>
    </row>
    <row r="471" spans="1:22" x14ac:dyDescent="0.3">
      <c r="A471">
        <v>15900</v>
      </c>
      <c r="B471">
        <v>1</v>
      </c>
      <c r="C471" t="s">
        <v>116</v>
      </c>
      <c r="D471" t="s">
        <v>117</v>
      </c>
      <c r="E471" s="1">
        <v>43888</v>
      </c>
      <c r="F471">
        <v>1</v>
      </c>
      <c r="G471" t="s">
        <v>47</v>
      </c>
      <c r="H471" t="s">
        <v>48</v>
      </c>
      <c r="I471" s="3">
        <v>1738</v>
      </c>
      <c r="J471" s="3">
        <v>1738</v>
      </c>
      <c r="K471" s="3">
        <v>388</v>
      </c>
      <c r="L471" t="s">
        <v>113</v>
      </c>
      <c r="M471">
        <v>7</v>
      </c>
      <c r="N471" t="s">
        <v>84</v>
      </c>
      <c r="O471" t="s">
        <v>81</v>
      </c>
      <c r="P471" t="s">
        <v>12</v>
      </c>
      <c r="Q471" t="s">
        <v>13</v>
      </c>
      <c r="R471" t="s">
        <v>13</v>
      </c>
      <c r="S471" t="s">
        <v>144</v>
      </c>
      <c r="T471" s="2">
        <f>MASTER[[#This Row],[CANTIDAD]]*MASTER[[#This Row],[PRECIO DE VENTA]]</f>
        <v>1738</v>
      </c>
      <c r="U471" s="2">
        <f>MASTER[[#This Row],[CANTIDAD]]*MASTER[[#This Row],[COSTO UNITARIO]]</f>
        <v>388</v>
      </c>
      <c r="V471" s="2">
        <f>MASTER[[#This Row],[MONTO VENDIDO]]-MASTER[[#This Row],[COSTO DE VENTA]]</f>
        <v>1350</v>
      </c>
    </row>
    <row r="472" spans="1:22" x14ac:dyDescent="0.3">
      <c r="A472">
        <v>15921</v>
      </c>
      <c r="B472">
        <v>1</v>
      </c>
      <c r="C472" t="s">
        <v>109</v>
      </c>
      <c r="D472" t="s">
        <v>110</v>
      </c>
      <c r="E472" s="1">
        <v>43888</v>
      </c>
      <c r="F472">
        <v>1</v>
      </c>
      <c r="G472" t="s">
        <v>20</v>
      </c>
      <c r="H472" t="s">
        <v>21</v>
      </c>
      <c r="I472" s="3">
        <v>1128</v>
      </c>
      <c r="J472" s="3">
        <v>1128</v>
      </c>
      <c r="K472" s="3">
        <v>387</v>
      </c>
      <c r="L472" t="s">
        <v>98</v>
      </c>
      <c r="M472">
        <v>1</v>
      </c>
      <c r="N472" t="s">
        <v>77</v>
      </c>
      <c r="O472" t="s">
        <v>70</v>
      </c>
      <c r="P472" t="s">
        <v>71</v>
      </c>
      <c r="Q472" t="s">
        <v>72</v>
      </c>
      <c r="R472" t="s">
        <v>139</v>
      </c>
      <c r="S472" t="s">
        <v>144</v>
      </c>
      <c r="T472" s="2">
        <f>MASTER[[#This Row],[CANTIDAD]]*MASTER[[#This Row],[PRECIO DE VENTA]]</f>
        <v>1128</v>
      </c>
      <c r="U472" s="2">
        <f>MASTER[[#This Row],[CANTIDAD]]*MASTER[[#This Row],[COSTO UNITARIO]]</f>
        <v>387</v>
      </c>
      <c r="V472" s="2">
        <f>MASTER[[#This Row],[MONTO VENDIDO]]-MASTER[[#This Row],[COSTO DE VENTA]]</f>
        <v>741</v>
      </c>
    </row>
    <row r="473" spans="1:22" x14ac:dyDescent="0.3">
      <c r="A473">
        <v>15932</v>
      </c>
      <c r="B473">
        <v>1</v>
      </c>
      <c r="C473" t="s">
        <v>114</v>
      </c>
      <c r="D473" t="s">
        <v>115</v>
      </c>
      <c r="E473" s="1">
        <v>43888</v>
      </c>
      <c r="F473">
        <v>1</v>
      </c>
      <c r="G473" t="s">
        <v>22</v>
      </c>
      <c r="H473" t="s">
        <v>23</v>
      </c>
      <c r="I473" s="3">
        <v>1862</v>
      </c>
      <c r="J473" s="3">
        <v>1862</v>
      </c>
      <c r="K473" s="3">
        <v>394</v>
      </c>
      <c r="L473" t="s">
        <v>113</v>
      </c>
      <c r="M473">
        <v>15</v>
      </c>
      <c r="N473" t="s">
        <v>88</v>
      </c>
      <c r="O473" t="s">
        <v>81</v>
      </c>
      <c r="P473" t="s">
        <v>18</v>
      </c>
      <c r="Q473" t="s">
        <v>19</v>
      </c>
      <c r="R473" t="s">
        <v>138</v>
      </c>
      <c r="S473" t="s">
        <v>144</v>
      </c>
      <c r="T473" s="2">
        <f>MASTER[[#This Row],[CANTIDAD]]*MASTER[[#This Row],[PRECIO DE VENTA]]</f>
        <v>1862</v>
      </c>
      <c r="U473" s="2">
        <f>MASTER[[#This Row],[CANTIDAD]]*MASTER[[#This Row],[COSTO UNITARIO]]</f>
        <v>394</v>
      </c>
      <c r="V473" s="2">
        <f>MASTER[[#This Row],[MONTO VENDIDO]]-MASTER[[#This Row],[COSTO DE VENTA]]</f>
        <v>1468</v>
      </c>
    </row>
    <row r="474" spans="1:22" x14ac:dyDescent="0.3">
      <c r="A474">
        <v>15934</v>
      </c>
      <c r="B474">
        <v>1</v>
      </c>
      <c r="C474" t="s">
        <v>92</v>
      </c>
      <c r="D474" t="s">
        <v>93</v>
      </c>
      <c r="E474" s="1">
        <v>43889</v>
      </c>
      <c r="F474">
        <v>1</v>
      </c>
      <c r="G474" t="s">
        <v>35</v>
      </c>
      <c r="H474" t="s">
        <v>36</v>
      </c>
      <c r="I474" s="3">
        <v>1479</v>
      </c>
      <c r="J474" s="3">
        <v>1479</v>
      </c>
      <c r="K474" s="3">
        <v>396</v>
      </c>
      <c r="L474" t="s">
        <v>9</v>
      </c>
      <c r="M474">
        <v>16</v>
      </c>
      <c r="N474" t="s">
        <v>17</v>
      </c>
      <c r="O474" t="s">
        <v>11</v>
      </c>
      <c r="P474" t="s">
        <v>18</v>
      </c>
      <c r="Q474" t="s">
        <v>19</v>
      </c>
      <c r="R474" t="s">
        <v>138</v>
      </c>
      <c r="S474" t="s">
        <v>144</v>
      </c>
      <c r="T474" s="2">
        <f>MASTER[[#This Row],[CANTIDAD]]*MASTER[[#This Row],[PRECIO DE VENTA]]</f>
        <v>1479</v>
      </c>
      <c r="U474" s="2">
        <f>MASTER[[#This Row],[CANTIDAD]]*MASTER[[#This Row],[COSTO UNITARIO]]</f>
        <v>396</v>
      </c>
      <c r="V474" s="2">
        <f>MASTER[[#This Row],[MONTO VENDIDO]]-MASTER[[#This Row],[COSTO DE VENTA]]</f>
        <v>1083</v>
      </c>
    </row>
    <row r="475" spans="1:22" x14ac:dyDescent="0.3">
      <c r="A475">
        <v>15936</v>
      </c>
      <c r="B475">
        <v>1</v>
      </c>
      <c r="C475" t="s">
        <v>121</v>
      </c>
      <c r="D475" t="s">
        <v>122</v>
      </c>
      <c r="E475" s="1">
        <v>43889</v>
      </c>
      <c r="F475">
        <v>1</v>
      </c>
      <c r="G475" t="s">
        <v>41</v>
      </c>
      <c r="H475" t="s">
        <v>42</v>
      </c>
      <c r="I475" s="3">
        <v>1069</v>
      </c>
      <c r="J475" s="3">
        <v>983</v>
      </c>
      <c r="K475" s="3">
        <v>460</v>
      </c>
      <c r="L475" t="s">
        <v>120</v>
      </c>
      <c r="M475">
        <v>19</v>
      </c>
      <c r="N475" t="s">
        <v>89</v>
      </c>
      <c r="O475" t="s">
        <v>81</v>
      </c>
      <c r="P475" t="s">
        <v>15</v>
      </c>
      <c r="Q475" t="s">
        <v>16</v>
      </c>
      <c r="R475" t="s">
        <v>16</v>
      </c>
      <c r="S475" t="s">
        <v>144</v>
      </c>
      <c r="T475" s="2">
        <f>MASTER[[#This Row],[CANTIDAD]]*MASTER[[#This Row],[PRECIO DE VENTA]]</f>
        <v>983</v>
      </c>
      <c r="U475" s="2">
        <f>MASTER[[#This Row],[CANTIDAD]]*MASTER[[#This Row],[COSTO UNITARIO]]</f>
        <v>460</v>
      </c>
      <c r="V475" s="2">
        <f>MASTER[[#This Row],[MONTO VENDIDO]]-MASTER[[#This Row],[COSTO DE VENTA]]</f>
        <v>523</v>
      </c>
    </row>
    <row r="476" spans="1:22" x14ac:dyDescent="0.3">
      <c r="A476">
        <v>15946</v>
      </c>
      <c r="B476">
        <v>1</v>
      </c>
      <c r="C476" t="s">
        <v>99</v>
      </c>
      <c r="D476" t="s">
        <v>100</v>
      </c>
      <c r="E476" s="1">
        <v>43889</v>
      </c>
      <c r="F476">
        <v>1</v>
      </c>
      <c r="G476" t="s">
        <v>45</v>
      </c>
      <c r="H476" t="s">
        <v>46</v>
      </c>
      <c r="I476" s="3">
        <v>1328</v>
      </c>
      <c r="J476" s="3">
        <v>1328</v>
      </c>
      <c r="K476" s="3">
        <v>386</v>
      </c>
      <c r="L476" t="s">
        <v>98</v>
      </c>
      <c r="M476">
        <v>11</v>
      </c>
      <c r="N476" t="s">
        <v>10</v>
      </c>
      <c r="O476" t="s">
        <v>11</v>
      </c>
      <c r="P476" t="s">
        <v>12</v>
      </c>
      <c r="Q476" t="s">
        <v>13</v>
      </c>
      <c r="R476" t="s">
        <v>13</v>
      </c>
      <c r="S476" t="s">
        <v>144</v>
      </c>
      <c r="T476" s="2">
        <f>MASTER[[#This Row],[CANTIDAD]]*MASTER[[#This Row],[PRECIO DE VENTA]]</f>
        <v>1328</v>
      </c>
      <c r="U476" s="2">
        <f>MASTER[[#This Row],[CANTIDAD]]*MASTER[[#This Row],[COSTO UNITARIO]]</f>
        <v>386</v>
      </c>
      <c r="V476" s="2">
        <f>MASTER[[#This Row],[MONTO VENDIDO]]-MASTER[[#This Row],[COSTO DE VENTA]]</f>
        <v>942</v>
      </c>
    </row>
    <row r="477" spans="1:22" x14ac:dyDescent="0.3">
      <c r="A477">
        <v>15962</v>
      </c>
      <c r="B477">
        <v>1</v>
      </c>
      <c r="C477" t="s">
        <v>105</v>
      </c>
      <c r="D477" t="s">
        <v>106</v>
      </c>
      <c r="E477" s="1">
        <v>43889</v>
      </c>
      <c r="F477">
        <v>1</v>
      </c>
      <c r="G477" t="s">
        <v>27</v>
      </c>
      <c r="H477" t="s">
        <v>28</v>
      </c>
      <c r="I477" s="3">
        <v>1585</v>
      </c>
      <c r="J477" s="3">
        <v>1585</v>
      </c>
      <c r="K477" s="3">
        <v>459</v>
      </c>
      <c r="L477" t="s">
        <v>98</v>
      </c>
      <c r="M477">
        <v>12</v>
      </c>
      <c r="N477" t="s">
        <v>26</v>
      </c>
      <c r="O477" t="s">
        <v>11</v>
      </c>
      <c r="P477" t="s">
        <v>12</v>
      </c>
      <c r="Q477" t="s">
        <v>13</v>
      </c>
      <c r="R477" t="s">
        <v>13</v>
      </c>
      <c r="S477" t="s">
        <v>144</v>
      </c>
      <c r="T477" s="2">
        <f>MASTER[[#This Row],[CANTIDAD]]*MASTER[[#This Row],[PRECIO DE VENTA]]</f>
        <v>1585</v>
      </c>
      <c r="U477" s="2">
        <f>MASTER[[#This Row],[CANTIDAD]]*MASTER[[#This Row],[COSTO UNITARIO]]</f>
        <v>459</v>
      </c>
      <c r="V477" s="2">
        <f>MASTER[[#This Row],[MONTO VENDIDO]]-MASTER[[#This Row],[COSTO DE VENTA]]</f>
        <v>1126</v>
      </c>
    </row>
    <row r="478" spans="1:22" x14ac:dyDescent="0.3">
      <c r="A478">
        <v>15972</v>
      </c>
      <c r="B478">
        <v>1</v>
      </c>
      <c r="C478" t="s">
        <v>105</v>
      </c>
      <c r="D478" t="s">
        <v>106</v>
      </c>
      <c r="E478" s="1">
        <v>43889</v>
      </c>
      <c r="F478">
        <v>1</v>
      </c>
      <c r="G478" t="s">
        <v>29</v>
      </c>
      <c r="H478" t="s">
        <v>30</v>
      </c>
      <c r="I478" s="3">
        <v>2033</v>
      </c>
      <c r="J478" s="3">
        <v>2033</v>
      </c>
      <c r="K478" s="3">
        <v>459</v>
      </c>
      <c r="L478" t="s">
        <v>98</v>
      </c>
      <c r="M478">
        <v>6</v>
      </c>
      <c r="N478" t="s">
        <v>75</v>
      </c>
      <c r="O478" t="s">
        <v>70</v>
      </c>
      <c r="P478" t="s">
        <v>12</v>
      </c>
      <c r="Q478" t="s">
        <v>13</v>
      </c>
      <c r="R478" t="s">
        <v>13</v>
      </c>
      <c r="S478" t="s">
        <v>144</v>
      </c>
      <c r="T478" s="2">
        <f>MASTER[[#This Row],[CANTIDAD]]*MASTER[[#This Row],[PRECIO DE VENTA]]</f>
        <v>2033</v>
      </c>
      <c r="U478" s="2">
        <f>MASTER[[#This Row],[CANTIDAD]]*MASTER[[#This Row],[COSTO UNITARIO]]</f>
        <v>459</v>
      </c>
      <c r="V478" s="2">
        <f>MASTER[[#This Row],[MONTO VENDIDO]]-MASTER[[#This Row],[COSTO DE VENTA]]</f>
        <v>1574</v>
      </c>
    </row>
    <row r="479" spans="1:22" x14ac:dyDescent="0.3">
      <c r="A479">
        <v>15979</v>
      </c>
      <c r="B479">
        <v>1</v>
      </c>
      <c r="C479" t="s">
        <v>101</v>
      </c>
      <c r="D479" t="s">
        <v>102</v>
      </c>
      <c r="E479" s="1">
        <v>43889</v>
      </c>
      <c r="F479">
        <v>2</v>
      </c>
      <c r="G479" t="s">
        <v>24</v>
      </c>
      <c r="H479" t="s">
        <v>25</v>
      </c>
      <c r="I479" s="3">
        <v>1054</v>
      </c>
      <c r="J479" s="3">
        <v>1054</v>
      </c>
      <c r="K479" s="3">
        <v>442</v>
      </c>
      <c r="L479" t="s">
        <v>98</v>
      </c>
      <c r="M479">
        <v>12</v>
      </c>
      <c r="N479" t="s">
        <v>26</v>
      </c>
      <c r="O479" t="s">
        <v>11</v>
      </c>
      <c r="P479" t="s">
        <v>12</v>
      </c>
      <c r="Q479" t="s">
        <v>13</v>
      </c>
      <c r="R479" t="s">
        <v>13</v>
      </c>
      <c r="S479" t="s">
        <v>144</v>
      </c>
      <c r="T479" s="2">
        <f>MASTER[[#This Row],[CANTIDAD]]*MASTER[[#This Row],[PRECIO DE VENTA]]</f>
        <v>2108</v>
      </c>
      <c r="U479" s="2">
        <f>MASTER[[#This Row],[CANTIDAD]]*MASTER[[#This Row],[COSTO UNITARIO]]</f>
        <v>884</v>
      </c>
      <c r="V479" s="2">
        <f>MASTER[[#This Row],[MONTO VENDIDO]]-MASTER[[#This Row],[COSTO DE VENTA]]</f>
        <v>1224</v>
      </c>
    </row>
    <row r="480" spans="1:22" x14ac:dyDescent="0.3">
      <c r="A480">
        <v>16050</v>
      </c>
      <c r="B480">
        <v>1</v>
      </c>
      <c r="C480" t="s">
        <v>94</v>
      </c>
      <c r="D480" t="s">
        <v>95</v>
      </c>
      <c r="E480" s="1">
        <v>43889</v>
      </c>
      <c r="F480">
        <v>1</v>
      </c>
      <c r="G480" t="s">
        <v>22</v>
      </c>
      <c r="H480" t="s">
        <v>23</v>
      </c>
      <c r="I480" s="3">
        <v>1048</v>
      </c>
      <c r="J480" s="3">
        <v>1048</v>
      </c>
      <c r="K480" s="3">
        <v>392</v>
      </c>
      <c r="L480" t="s">
        <v>9</v>
      </c>
      <c r="M480">
        <v>7</v>
      </c>
      <c r="N480" t="s">
        <v>84</v>
      </c>
      <c r="O480" t="s">
        <v>81</v>
      </c>
      <c r="P480" t="s">
        <v>12</v>
      </c>
      <c r="Q480" t="s">
        <v>13</v>
      </c>
      <c r="R480" t="s">
        <v>13</v>
      </c>
      <c r="S480" t="s">
        <v>144</v>
      </c>
      <c r="T480" s="2">
        <f>MASTER[[#This Row],[CANTIDAD]]*MASTER[[#This Row],[PRECIO DE VENTA]]</f>
        <v>1048</v>
      </c>
      <c r="U480" s="2">
        <f>MASTER[[#This Row],[CANTIDAD]]*MASTER[[#This Row],[COSTO UNITARIO]]</f>
        <v>392</v>
      </c>
      <c r="V480" s="2">
        <f>MASTER[[#This Row],[MONTO VENDIDO]]-MASTER[[#This Row],[COSTO DE VENTA]]</f>
        <v>656</v>
      </c>
    </row>
    <row r="481" spans="1:22" x14ac:dyDescent="0.3">
      <c r="A481">
        <v>16054</v>
      </c>
      <c r="B481">
        <v>1</v>
      </c>
      <c r="C481" t="s">
        <v>121</v>
      </c>
      <c r="D481" t="s">
        <v>122</v>
      </c>
      <c r="E481" s="1">
        <v>43889</v>
      </c>
      <c r="F481">
        <v>1</v>
      </c>
      <c r="G481" t="s">
        <v>55</v>
      </c>
      <c r="H481" t="s">
        <v>56</v>
      </c>
      <c r="I481" s="3">
        <v>1144</v>
      </c>
      <c r="J481" s="3">
        <v>1144</v>
      </c>
      <c r="K481" s="3">
        <v>460</v>
      </c>
      <c r="L481" t="s">
        <v>120</v>
      </c>
      <c r="M481">
        <v>6</v>
      </c>
      <c r="N481" t="s">
        <v>75</v>
      </c>
      <c r="O481" t="s">
        <v>70</v>
      </c>
      <c r="P481" t="s">
        <v>12</v>
      </c>
      <c r="Q481" t="s">
        <v>13</v>
      </c>
      <c r="R481" t="s">
        <v>13</v>
      </c>
      <c r="S481" t="s">
        <v>144</v>
      </c>
      <c r="T481" s="2">
        <f>MASTER[[#This Row],[CANTIDAD]]*MASTER[[#This Row],[PRECIO DE VENTA]]</f>
        <v>1144</v>
      </c>
      <c r="U481" s="2">
        <f>MASTER[[#This Row],[CANTIDAD]]*MASTER[[#This Row],[COSTO UNITARIO]]</f>
        <v>460</v>
      </c>
      <c r="V481" s="2">
        <f>MASTER[[#This Row],[MONTO VENDIDO]]-MASTER[[#This Row],[COSTO DE VENTA]]</f>
        <v>684</v>
      </c>
    </row>
    <row r="482" spans="1:22" x14ac:dyDescent="0.3">
      <c r="A482">
        <v>16076</v>
      </c>
      <c r="B482">
        <v>1</v>
      </c>
      <c r="C482" t="s">
        <v>107</v>
      </c>
      <c r="D482" t="s">
        <v>108</v>
      </c>
      <c r="E482" s="1">
        <v>43889</v>
      </c>
      <c r="F482">
        <v>1</v>
      </c>
      <c r="G482" t="s">
        <v>51</v>
      </c>
      <c r="H482" t="s">
        <v>52</v>
      </c>
      <c r="I482" s="3">
        <v>1333</v>
      </c>
      <c r="J482" s="3">
        <v>1333</v>
      </c>
      <c r="K482" s="3">
        <v>380</v>
      </c>
      <c r="L482" t="s">
        <v>98</v>
      </c>
      <c r="M482">
        <v>15</v>
      </c>
      <c r="N482" t="s">
        <v>88</v>
      </c>
      <c r="O482" t="s">
        <v>81</v>
      </c>
      <c r="P482" t="s">
        <v>18</v>
      </c>
      <c r="Q482" t="s">
        <v>19</v>
      </c>
      <c r="R482" t="s">
        <v>138</v>
      </c>
      <c r="S482" t="s">
        <v>144</v>
      </c>
      <c r="T482" s="2">
        <f>MASTER[[#This Row],[CANTIDAD]]*MASTER[[#This Row],[PRECIO DE VENTA]]</f>
        <v>1333</v>
      </c>
      <c r="U482" s="2">
        <f>MASTER[[#This Row],[CANTIDAD]]*MASTER[[#This Row],[COSTO UNITARIO]]</f>
        <v>380</v>
      </c>
      <c r="V482" s="2">
        <f>MASTER[[#This Row],[MONTO VENDIDO]]-MASTER[[#This Row],[COSTO DE VENTA]]</f>
        <v>953</v>
      </c>
    </row>
    <row r="483" spans="1:22" x14ac:dyDescent="0.3">
      <c r="A483">
        <v>16089</v>
      </c>
      <c r="B483">
        <v>1</v>
      </c>
      <c r="C483" t="s">
        <v>94</v>
      </c>
      <c r="D483" t="s">
        <v>95</v>
      </c>
      <c r="E483" s="1">
        <v>43890</v>
      </c>
      <c r="F483">
        <v>1</v>
      </c>
      <c r="G483" t="s">
        <v>7</v>
      </c>
      <c r="H483" t="s">
        <v>8</v>
      </c>
      <c r="I483" s="3">
        <v>1048</v>
      </c>
      <c r="J483" s="3">
        <v>1048</v>
      </c>
      <c r="K483" s="3">
        <v>392</v>
      </c>
      <c r="L483" t="s">
        <v>9</v>
      </c>
      <c r="M483">
        <v>19</v>
      </c>
      <c r="N483" t="s">
        <v>89</v>
      </c>
      <c r="O483" t="s">
        <v>81</v>
      </c>
      <c r="P483" t="s">
        <v>15</v>
      </c>
      <c r="Q483" t="s">
        <v>16</v>
      </c>
      <c r="R483" t="s">
        <v>16</v>
      </c>
      <c r="S483" t="s">
        <v>144</v>
      </c>
      <c r="T483" s="2">
        <f>MASTER[[#This Row],[CANTIDAD]]*MASTER[[#This Row],[PRECIO DE VENTA]]</f>
        <v>1048</v>
      </c>
      <c r="U483" s="2">
        <f>MASTER[[#This Row],[CANTIDAD]]*MASTER[[#This Row],[COSTO UNITARIO]]</f>
        <v>392</v>
      </c>
      <c r="V483" s="2">
        <f>MASTER[[#This Row],[MONTO VENDIDO]]-MASTER[[#This Row],[COSTO DE VENTA]]</f>
        <v>656</v>
      </c>
    </row>
    <row r="484" spans="1:22" x14ac:dyDescent="0.3">
      <c r="A484">
        <v>16095</v>
      </c>
      <c r="B484">
        <v>1</v>
      </c>
      <c r="C484" t="s">
        <v>96</v>
      </c>
      <c r="D484" t="s">
        <v>97</v>
      </c>
      <c r="E484" s="1">
        <v>43890</v>
      </c>
      <c r="F484">
        <v>1</v>
      </c>
      <c r="G484" t="s">
        <v>24</v>
      </c>
      <c r="H484" t="s">
        <v>25</v>
      </c>
      <c r="I484" s="3">
        <v>1361</v>
      </c>
      <c r="J484" s="3">
        <v>1361</v>
      </c>
      <c r="K484" s="3">
        <v>397</v>
      </c>
      <c r="L484" t="s">
        <v>98</v>
      </c>
      <c r="M484">
        <v>18</v>
      </c>
      <c r="N484" t="s">
        <v>79</v>
      </c>
      <c r="O484" t="s">
        <v>70</v>
      </c>
      <c r="P484" t="s">
        <v>15</v>
      </c>
      <c r="Q484" t="s">
        <v>16</v>
      </c>
      <c r="R484" t="s">
        <v>16</v>
      </c>
      <c r="S484" t="s">
        <v>144</v>
      </c>
      <c r="T484" s="2">
        <f>MASTER[[#This Row],[CANTIDAD]]*MASTER[[#This Row],[PRECIO DE VENTA]]</f>
        <v>1361</v>
      </c>
      <c r="U484" s="2">
        <f>MASTER[[#This Row],[CANTIDAD]]*MASTER[[#This Row],[COSTO UNITARIO]]</f>
        <v>397</v>
      </c>
      <c r="V484" s="2">
        <f>MASTER[[#This Row],[MONTO VENDIDO]]-MASTER[[#This Row],[COSTO DE VENTA]]</f>
        <v>964</v>
      </c>
    </row>
    <row r="485" spans="1:22" x14ac:dyDescent="0.3">
      <c r="A485">
        <v>16107</v>
      </c>
      <c r="B485">
        <v>1</v>
      </c>
      <c r="C485" t="s">
        <v>92</v>
      </c>
      <c r="D485" t="s">
        <v>93</v>
      </c>
      <c r="E485" s="1">
        <v>43890</v>
      </c>
      <c r="F485">
        <v>1</v>
      </c>
      <c r="G485" t="s">
        <v>29</v>
      </c>
      <c r="H485" t="s">
        <v>30</v>
      </c>
      <c r="I485" s="3">
        <v>1479</v>
      </c>
      <c r="J485" s="3">
        <v>1479</v>
      </c>
      <c r="K485" s="3">
        <v>396</v>
      </c>
      <c r="L485" t="s">
        <v>9</v>
      </c>
      <c r="M485">
        <v>16</v>
      </c>
      <c r="N485" t="s">
        <v>17</v>
      </c>
      <c r="O485" t="s">
        <v>11</v>
      </c>
      <c r="P485" t="s">
        <v>18</v>
      </c>
      <c r="Q485" t="s">
        <v>19</v>
      </c>
      <c r="R485" t="s">
        <v>138</v>
      </c>
      <c r="S485" t="s">
        <v>144</v>
      </c>
      <c r="T485" s="2">
        <f>MASTER[[#This Row],[CANTIDAD]]*MASTER[[#This Row],[PRECIO DE VENTA]]</f>
        <v>1479</v>
      </c>
      <c r="U485" s="2">
        <f>MASTER[[#This Row],[CANTIDAD]]*MASTER[[#This Row],[COSTO UNITARIO]]</f>
        <v>396</v>
      </c>
      <c r="V485" s="2">
        <f>MASTER[[#This Row],[MONTO VENDIDO]]-MASTER[[#This Row],[COSTO DE VENTA]]</f>
        <v>1083</v>
      </c>
    </row>
    <row r="486" spans="1:22" x14ac:dyDescent="0.3">
      <c r="A486">
        <v>16129</v>
      </c>
      <c r="B486">
        <v>2</v>
      </c>
      <c r="C486" t="s">
        <v>5</v>
      </c>
      <c r="D486" t="s">
        <v>6</v>
      </c>
      <c r="E486" s="1">
        <v>43890</v>
      </c>
      <c r="F486">
        <v>1</v>
      </c>
      <c r="G486" t="s">
        <v>63</v>
      </c>
      <c r="H486" t="s">
        <v>64</v>
      </c>
      <c r="I486" s="3">
        <v>1507</v>
      </c>
      <c r="J486" s="3">
        <v>1507</v>
      </c>
      <c r="K486" s="3">
        <v>393</v>
      </c>
      <c r="L486" t="s">
        <v>9</v>
      </c>
      <c r="M486">
        <v>14</v>
      </c>
      <c r="N486" t="s">
        <v>87</v>
      </c>
      <c r="O486" t="s">
        <v>81</v>
      </c>
      <c r="P486" t="s">
        <v>18</v>
      </c>
      <c r="Q486" t="s">
        <v>19</v>
      </c>
      <c r="R486" t="s">
        <v>138</v>
      </c>
      <c r="S486" t="s">
        <v>144</v>
      </c>
      <c r="T486" s="2">
        <f>MASTER[[#This Row],[CANTIDAD]]*MASTER[[#This Row],[PRECIO DE VENTA]]</f>
        <v>1507</v>
      </c>
      <c r="U486" s="2">
        <f>MASTER[[#This Row],[CANTIDAD]]*MASTER[[#This Row],[COSTO UNITARIO]]</f>
        <v>393</v>
      </c>
      <c r="V486" s="2">
        <f>MASTER[[#This Row],[MONTO VENDIDO]]-MASTER[[#This Row],[COSTO DE VENTA]]</f>
        <v>1114</v>
      </c>
    </row>
    <row r="487" spans="1:22" x14ac:dyDescent="0.3">
      <c r="A487">
        <v>16129</v>
      </c>
      <c r="B487">
        <v>1</v>
      </c>
      <c r="C487" t="s">
        <v>99</v>
      </c>
      <c r="D487" t="s">
        <v>100</v>
      </c>
      <c r="E487" s="1">
        <v>43890</v>
      </c>
      <c r="F487">
        <v>1</v>
      </c>
      <c r="G487" t="s">
        <v>29</v>
      </c>
      <c r="H487" t="s">
        <v>30</v>
      </c>
      <c r="I487" s="3">
        <v>1459</v>
      </c>
      <c r="J487" s="3">
        <v>1459</v>
      </c>
      <c r="K487" s="3">
        <v>386</v>
      </c>
      <c r="L487" t="s">
        <v>98</v>
      </c>
      <c r="M487">
        <v>14</v>
      </c>
      <c r="N487" t="s">
        <v>87</v>
      </c>
      <c r="O487" t="s">
        <v>81</v>
      </c>
      <c r="P487" t="s">
        <v>18</v>
      </c>
      <c r="Q487" t="s">
        <v>19</v>
      </c>
      <c r="R487" t="s">
        <v>138</v>
      </c>
      <c r="S487" t="s">
        <v>144</v>
      </c>
      <c r="T487" s="2">
        <f>MASTER[[#This Row],[CANTIDAD]]*MASTER[[#This Row],[PRECIO DE VENTA]]</f>
        <v>1459</v>
      </c>
      <c r="U487" s="2">
        <f>MASTER[[#This Row],[CANTIDAD]]*MASTER[[#This Row],[COSTO UNITARIO]]</f>
        <v>386</v>
      </c>
      <c r="V487" s="2">
        <f>MASTER[[#This Row],[MONTO VENDIDO]]-MASTER[[#This Row],[COSTO DE VENTA]]</f>
        <v>1073</v>
      </c>
    </row>
    <row r="488" spans="1:22" x14ac:dyDescent="0.3">
      <c r="A488">
        <v>16144</v>
      </c>
      <c r="B488">
        <v>1</v>
      </c>
      <c r="C488" t="s">
        <v>103</v>
      </c>
      <c r="D488" t="s">
        <v>104</v>
      </c>
      <c r="E488" s="1">
        <v>43890</v>
      </c>
      <c r="F488">
        <v>1</v>
      </c>
      <c r="G488" t="s">
        <v>7</v>
      </c>
      <c r="H488" t="s">
        <v>8</v>
      </c>
      <c r="I488" s="3">
        <v>1830</v>
      </c>
      <c r="J488" s="3">
        <v>1756</v>
      </c>
      <c r="K488" s="3">
        <v>421</v>
      </c>
      <c r="L488" t="s">
        <v>98</v>
      </c>
      <c r="M488">
        <v>6</v>
      </c>
      <c r="N488" t="s">
        <v>75</v>
      </c>
      <c r="O488" t="s">
        <v>70</v>
      </c>
      <c r="P488" t="s">
        <v>12</v>
      </c>
      <c r="Q488" t="s">
        <v>13</v>
      </c>
      <c r="R488" t="s">
        <v>13</v>
      </c>
      <c r="S488" t="s">
        <v>144</v>
      </c>
      <c r="T488" s="2">
        <f>MASTER[[#This Row],[CANTIDAD]]*MASTER[[#This Row],[PRECIO DE VENTA]]</f>
        <v>1756</v>
      </c>
      <c r="U488" s="2">
        <f>MASTER[[#This Row],[CANTIDAD]]*MASTER[[#This Row],[COSTO UNITARIO]]</f>
        <v>421</v>
      </c>
      <c r="V488" s="2">
        <f>MASTER[[#This Row],[MONTO VENDIDO]]-MASTER[[#This Row],[COSTO DE VENTA]]</f>
        <v>1335</v>
      </c>
    </row>
    <row r="489" spans="1:22" x14ac:dyDescent="0.3">
      <c r="A489">
        <v>16167</v>
      </c>
      <c r="B489">
        <v>1</v>
      </c>
      <c r="C489" t="s">
        <v>103</v>
      </c>
      <c r="D489" t="s">
        <v>104</v>
      </c>
      <c r="E489" s="1">
        <v>43891</v>
      </c>
      <c r="F489">
        <v>1</v>
      </c>
      <c r="G489" t="s">
        <v>73</v>
      </c>
      <c r="H489" t="s">
        <v>74</v>
      </c>
      <c r="I489" s="3">
        <v>1448</v>
      </c>
      <c r="J489" s="3">
        <v>1448</v>
      </c>
      <c r="K489" s="3">
        <v>421</v>
      </c>
      <c r="L489" t="s">
        <v>98</v>
      </c>
      <c r="M489">
        <v>11</v>
      </c>
      <c r="N489" t="s">
        <v>10</v>
      </c>
      <c r="O489" t="s">
        <v>11</v>
      </c>
      <c r="P489" t="s">
        <v>12</v>
      </c>
      <c r="Q489" t="s">
        <v>13</v>
      </c>
      <c r="R489" t="s">
        <v>13</v>
      </c>
      <c r="S489" t="s">
        <v>144</v>
      </c>
      <c r="T489" s="2">
        <f>MASTER[[#This Row],[CANTIDAD]]*MASTER[[#This Row],[PRECIO DE VENTA]]</f>
        <v>1448</v>
      </c>
      <c r="U489" s="2">
        <f>MASTER[[#This Row],[CANTIDAD]]*MASTER[[#This Row],[COSTO UNITARIO]]</f>
        <v>421</v>
      </c>
      <c r="V489" s="2">
        <f>MASTER[[#This Row],[MONTO VENDIDO]]-MASTER[[#This Row],[COSTO DE VENTA]]</f>
        <v>1027</v>
      </c>
    </row>
    <row r="490" spans="1:22" x14ac:dyDescent="0.3">
      <c r="A490">
        <v>16191</v>
      </c>
      <c r="B490">
        <v>1</v>
      </c>
      <c r="C490" t="s">
        <v>109</v>
      </c>
      <c r="D490" t="s">
        <v>110</v>
      </c>
      <c r="E490" s="1">
        <v>43891</v>
      </c>
      <c r="F490">
        <v>4</v>
      </c>
      <c r="G490" t="s">
        <v>27</v>
      </c>
      <c r="H490" t="s">
        <v>28</v>
      </c>
      <c r="I490" s="3">
        <v>947</v>
      </c>
      <c r="J490" s="3">
        <v>852</v>
      </c>
      <c r="K490" s="3">
        <v>387</v>
      </c>
      <c r="L490" t="s">
        <v>98</v>
      </c>
      <c r="M490">
        <v>17</v>
      </c>
      <c r="N490" t="s">
        <v>14</v>
      </c>
      <c r="O490" t="s">
        <v>11</v>
      </c>
      <c r="P490" t="s">
        <v>15</v>
      </c>
      <c r="Q490" t="s">
        <v>16</v>
      </c>
      <c r="R490" t="s">
        <v>16</v>
      </c>
      <c r="S490" t="s">
        <v>144</v>
      </c>
      <c r="T490" s="2">
        <f>MASTER[[#This Row],[CANTIDAD]]*MASTER[[#This Row],[PRECIO DE VENTA]]</f>
        <v>3408</v>
      </c>
      <c r="U490" s="2">
        <f>MASTER[[#This Row],[CANTIDAD]]*MASTER[[#This Row],[COSTO UNITARIO]]</f>
        <v>1548</v>
      </c>
      <c r="V490" s="2">
        <f>MASTER[[#This Row],[MONTO VENDIDO]]-MASTER[[#This Row],[COSTO DE VENTA]]</f>
        <v>1860</v>
      </c>
    </row>
    <row r="491" spans="1:22" x14ac:dyDescent="0.3">
      <c r="A491">
        <v>16206</v>
      </c>
      <c r="B491">
        <v>1</v>
      </c>
      <c r="C491" t="s">
        <v>116</v>
      </c>
      <c r="D491" t="s">
        <v>117</v>
      </c>
      <c r="E491" s="1">
        <v>43891</v>
      </c>
      <c r="F491">
        <v>1</v>
      </c>
      <c r="G491" t="s">
        <v>29</v>
      </c>
      <c r="H491" t="s">
        <v>30</v>
      </c>
      <c r="I491" s="3">
        <v>1738</v>
      </c>
      <c r="J491" s="3">
        <v>1581</v>
      </c>
      <c r="K491" s="3">
        <v>388</v>
      </c>
      <c r="L491" t="s">
        <v>113</v>
      </c>
      <c r="M491">
        <v>4</v>
      </c>
      <c r="N491" t="s">
        <v>82</v>
      </c>
      <c r="O491" t="s">
        <v>81</v>
      </c>
      <c r="P491" t="s">
        <v>71</v>
      </c>
      <c r="Q491" t="s">
        <v>72</v>
      </c>
      <c r="R491" t="s">
        <v>139</v>
      </c>
      <c r="S491" t="s">
        <v>144</v>
      </c>
      <c r="T491" s="2">
        <f>MASTER[[#This Row],[CANTIDAD]]*MASTER[[#This Row],[PRECIO DE VENTA]]</f>
        <v>1581</v>
      </c>
      <c r="U491" s="2">
        <f>MASTER[[#This Row],[CANTIDAD]]*MASTER[[#This Row],[COSTO UNITARIO]]</f>
        <v>388</v>
      </c>
      <c r="V491" s="2">
        <f>MASTER[[#This Row],[MONTO VENDIDO]]-MASTER[[#This Row],[COSTO DE VENTA]]</f>
        <v>1193</v>
      </c>
    </row>
    <row r="492" spans="1:22" x14ac:dyDescent="0.3">
      <c r="A492">
        <v>16209</v>
      </c>
      <c r="B492">
        <v>1</v>
      </c>
      <c r="C492" t="s">
        <v>5</v>
      </c>
      <c r="D492" t="s">
        <v>6</v>
      </c>
      <c r="E492" s="1">
        <v>43891</v>
      </c>
      <c r="F492">
        <v>1</v>
      </c>
      <c r="G492" t="s">
        <v>67</v>
      </c>
      <c r="H492" t="s">
        <v>68</v>
      </c>
      <c r="I492" s="3">
        <v>1507</v>
      </c>
      <c r="J492" s="3">
        <v>1507</v>
      </c>
      <c r="K492" s="3">
        <v>393</v>
      </c>
      <c r="L492" t="s">
        <v>9</v>
      </c>
      <c r="M492">
        <v>2</v>
      </c>
      <c r="N492" t="s">
        <v>86</v>
      </c>
      <c r="O492" t="s">
        <v>81</v>
      </c>
      <c r="P492" t="s">
        <v>71</v>
      </c>
      <c r="Q492" t="s">
        <v>72</v>
      </c>
      <c r="R492" t="s">
        <v>139</v>
      </c>
      <c r="S492" t="s">
        <v>144</v>
      </c>
      <c r="T492" s="2">
        <f>MASTER[[#This Row],[CANTIDAD]]*MASTER[[#This Row],[PRECIO DE VENTA]]</f>
        <v>1507</v>
      </c>
      <c r="U492" s="2">
        <f>MASTER[[#This Row],[CANTIDAD]]*MASTER[[#This Row],[COSTO UNITARIO]]</f>
        <v>393</v>
      </c>
      <c r="V492" s="2">
        <f>MASTER[[#This Row],[MONTO VENDIDO]]-MASTER[[#This Row],[COSTO DE VENTA]]</f>
        <v>1114</v>
      </c>
    </row>
    <row r="493" spans="1:22" x14ac:dyDescent="0.3">
      <c r="A493">
        <v>16214</v>
      </c>
      <c r="B493">
        <v>1</v>
      </c>
      <c r="C493" t="s">
        <v>121</v>
      </c>
      <c r="D493" t="s">
        <v>122</v>
      </c>
      <c r="E493" s="1">
        <v>43891</v>
      </c>
      <c r="F493">
        <v>1</v>
      </c>
      <c r="G493" t="s">
        <v>33</v>
      </c>
      <c r="H493" t="s">
        <v>34</v>
      </c>
      <c r="I493" s="3">
        <v>941</v>
      </c>
      <c r="J493" s="3">
        <v>941</v>
      </c>
      <c r="K493" s="3">
        <v>460</v>
      </c>
      <c r="L493" t="s">
        <v>120</v>
      </c>
      <c r="M493">
        <v>11</v>
      </c>
      <c r="N493" t="s">
        <v>10</v>
      </c>
      <c r="O493" t="s">
        <v>11</v>
      </c>
      <c r="P493" t="s">
        <v>12</v>
      </c>
      <c r="Q493" t="s">
        <v>13</v>
      </c>
      <c r="R493" t="s">
        <v>13</v>
      </c>
      <c r="S493" t="s">
        <v>144</v>
      </c>
      <c r="T493" s="2">
        <f>MASTER[[#This Row],[CANTIDAD]]*MASTER[[#This Row],[PRECIO DE VENTA]]</f>
        <v>941</v>
      </c>
      <c r="U493" s="2">
        <f>MASTER[[#This Row],[CANTIDAD]]*MASTER[[#This Row],[COSTO UNITARIO]]</f>
        <v>460</v>
      </c>
      <c r="V493" s="2">
        <f>MASTER[[#This Row],[MONTO VENDIDO]]-MASTER[[#This Row],[COSTO DE VENTA]]</f>
        <v>481</v>
      </c>
    </row>
    <row r="494" spans="1:22" x14ac:dyDescent="0.3">
      <c r="A494">
        <v>16313</v>
      </c>
      <c r="B494">
        <v>1</v>
      </c>
      <c r="C494" t="s">
        <v>114</v>
      </c>
      <c r="D494" t="s">
        <v>115</v>
      </c>
      <c r="E494" s="1">
        <v>43891</v>
      </c>
      <c r="F494">
        <v>1</v>
      </c>
      <c r="G494" t="s">
        <v>27</v>
      </c>
      <c r="H494" t="s">
        <v>28</v>
      </c>
      <c r="I494" s="3">
        <v>1583</v>
      </c>
      <c r="J494" s="3">
        <v>1583</v>
      </c>
      <c r="K494" s="3">
        <v>394</v>
      </c>
      <c r="L494" t="s">
        <v>113</v>
      </c>
      <c r="M494">
        <v>12</v>
      </c>
      <c r="N494" t="s">
        <v>26</v>
      </c>
      <c r="O494" t="s">
        <v>11</v>
      </c>
      <c r="P494" t="s">
        <v>12</v>
      </c>
      <c r="Q494" t="s">
        <v>13</v>
      </c>
      <c r="R494" t="s">
        <v>13</v>
      </c>
      <c r="S494" t="s">
        <v>144</v>
      </c>
      <c r="T494" s="2">
        <f>MASTER[[#This Row],[CANTIDAD]]*MASTER[[#This Row],[PRECIO DE VENTA]]</f>
        <v>1583</v>
      </c>
      <c r="U494" s="2">
        <f>MASTER[[#This Row],[CANTIDAD]]*MASTER[[#This Row],[COSTO UNITARIO]]</f>
        <v>394</v>
      </c>
      <c r="V494" s="2">
        <f>MASTER[[#This Row],[MONTO VENDIDO]]-MASTER[[#This Row],[COSTO DE VENTA]]</f>
        <v>1189</v>
      </c>
    </row>
    <row r="495" spans="1:22" x14ac:dyDescent="0.3">
      <c r="A495">
        <v>16326</v>
      </c>
      <c r="B495">
        <v>1</v>
      </c>
      <c r="C495" t="s">
        <v>121</v>
      </c>
      <c r="D495" t="s">
        <v>122</v>
      </c>
      <c r="E495" s="1">
        <v>43891</v>
      </c>
      <c r="F495">
        <v>1</v>
      </c>
      <c r="G495" t="s">
        <v>55</v>
      </c>
      <c r="H495" t="s">
        <v>56</v>
      </c>
      <c r="I495" s="3">
        <v>941</v>
      </c>
      <c r="J495" s="3">
        <v>941</v>
      </c>
      <c r="K495" s="3">
        <v>460</v>
      </c>
      <c r="L495" t="s">
        <v>120</v>
      </c>
      <c r="M495">
        <v>11</v>
      </c>
      <c r="N495" t="s">
        <v>10</v>
      </c>
      <c r="O495" t="s">
        <v>11</v>
      </c>
      <c r="P495" t="s">
        <v>12</v>
      </c>
      <c r="Q495" t="s">
        <v>13</v>
      </c>
      <c r="R495" t="s">
        <v>13</v>
      </c>
      <c r="S495" t="s">
        <v>144</v>
      </c>
      <c r="T495" s="2">
        <f>MASTER[[#This Row],[CANTIDAD]]*MASTER[[#This Row],[PRECIO DE VENTA]]</f>
        <v>941</v>
      </c>
      <c r="U495" s="2">
        <f>MASTER[[#This Row],[CANTIDAD]]*MASTER[[#This Row],[COSTO UNITARIO]]</f>
        <v>460</v>
      </c>
      <c r="V495" s="2">
        <f>MASTER[[#This Row],[MONTO VENDIDO]]-MASTER[[#This Row],[COSTO DE VENTA]]</f>
        <v>481</v>
      </c>
    </row>
    <row r="496" spans="1:22" x14ac:dyDescent="0.3">
      <c r="A496">
        <v>16353</v>
      </c>
      <c r="B496">
        <v>1</v>
      </c>
      <c r="C496" t="s">
        <v>101</v>
      </c>
      <c r="D496" t="s">
        <v>102</v>
      </c>
      <c r="E496" s="1">
        <v>43891</v>
      </c>
      <c r="F496">
        <v>1</v>
      </c>
      <c r="G496" t="s">
        <v>53</v>
      </c>
      <c r="H496" t="s">
        <v>54</v>
      </c>
      <c r="I496" s="3">
        <v>1054</v>
      </c>
      <c r="J496" s="3">
        <v>1054</v>
      </c>
      <c r="K496" s="3">
        <v>442</v>
      </c>
      <c r="L496" t="s">
        <v>98</v>
      </c>
      <c r="M496">
        <v>17</v>
      </c>
      <c r="N496" t="s">
        <v>14</v>
      </c>
      <c r="O496" t="s">
        <v>11</v>
      </c>
      <c r="P496" t="s">
        <v>15</v>
      </c>
      <c r="Q496" t="s">
        <v>16</v>
      </c>
      <c r="R496" t="s">
        <v>16</v>
      </c>
      <c r="S496" t="s">
        <v>144</v>
      </c>
      <c r="T496" s="2">
        <f>MASTER[[#This Row],[CANTIDAD]]*MASTER[[#This Row],[PRECIO DE VENTA]]</f>
        <v>1054</v>
      </c>
      <c r="U496" s="2">
        <f>MASTER[[#This Row],[CANTIDAD]]*MASTER[[#This Row],[COSTO UNITARIO]]</f>
        <v>442</v>
      </c>
      <c r="V496" s="2">
        <f>MASTER[[#This Row],[MONTO VENDIDO]]-MASTER[[#This Row],[COSTO DE VENTA]]</f>
        <v>612</v>
      </c>
    </row>
    <row r="497" spans="1:22" x14ac:dyDescent="0.3">
      <c r="A497">
        <v>16361</v>
      </c>
      <c r="B497">
        <v>1</v>
      </c>
      <c r="C497" t="s">
        <v>111</v>
      </c>
      <c r="D497" t="s">
        <v>112</v>
      </c>
      <c r="E497" s="1">
        <v>43891</v>
      </c>
      <c r="F497">
        <v>1</v>
      </c>
      <c r="G497" t="s">
        <v>39</v>
      </c>
      <c r="H497" t="s">
        <v>40</v>
      </c>
      <c r="I497" s="3">
        <v>1621</v>
      </c>
      <c r="J497" s="3">
        <v>1539</v>
      </c>
      <c r="K497" s="3">
        <v>434</v>
      </c>
      <c r="L497" t="s">
        <v>113</v>
      </c>
      <c r="M497">
        <v>14</v>
      </c>
      <c r="N497" t="s">
        <v>87</v>
      </c>
      <c r="O497" t="s">
        <v>81</v>
      </c>
      <c r="P497" t="s">
        <v>18</v>
      </c>
      <c r="Q497" t="s">
        <v>19</v>
      </c>
      <c r="R497" t="s">
        <v>138</v>
      </c>
      <c r="S497" t="s">
        <v>144</v>
      </c>
      <c r="T497" s="2">
        <f>MASTER[[#This Row],[CANTIDAD]]*MASTER[[#This Row],[PRECIO DE VENTA]]</f>
        <v>1539</v>
      </c>
      <c r="U497" s="2">
        <f>MASTER[[#This Row],[CANTIDAD]]*MASTER[[#This Row],[COSTO UNITARIO]]</f>
        <v>434</v>
      </c>
      <c r="V497" s="2">
        <f>MASTER[[#This Row],[MONTO VENDIDO]]-MASTER[[#This Row],[COSTO DE VENTA]]</f>
        <v>1105</v>
      </c>
    </row>
    <row r="498" spans="1:22" x14ac:dyDescent="0.3">
      <c r="A498">
        <v>16381</v>
      </c>
      <c r="B498">
        <v>1</v>
      </c>
      <c r="C498" t="s">
        <v>99</v>
      </c>
      <c r="D498" t="s">
        <v>100</v>
      </c>
      <c r="E498" s="1">
        <v>43891</v>
      </c>
      <c r="F498">
        <v>1</v>
      </c>
      <c r="G498" t="s">
        <v>73</v>
      </c>
      <c r="H498" t="s">
        <v>74</v>
      </c>
      <c r="I498" s="3">
        <v>1678</v>
      </c>
      <c r="J498" s="3">
        <v>1678</v>
      </c>
      <c r="K498" s="3">
        <v>386</v>
      </c>
      <c r="L498" t="s">
        <v>98</v>
      </c>
      <c r="M498">
        <v>1</v>
      </c>
      <c r="N498" t="s">
        <v>77</v>
      </c>
      <c r="O498" t="s">
        <v>70</v>
      </c>
      <c r="P498" t="s">
        <v>71</v>
      </c>
      <c r="Q498" t="s">
        <v>72</v>
      </c>
      <c r="R498" t="s">
        <v>139</v>
      </c>
      <c r="S498" t="s">
        <v>144</v>
      </c>
      <c r="T498" s="2">
        <f>MASTER[[#This Row],[CANTIDAD]]*MASTER[[#This Row],[PRECIO DE VENTA]]</f>
        <v>1678</v>
      </c>
      <c r="U498" s="2">
        <f>MASTER[[#This Row],[CANTIDAD]]*MASTER[[#This Row],[COSTO UNITARIO]]</f>
        <v>386</v>
      </c>
      <c r="V498" s="2">
        <f>MASTER[[#This Row],[MONTO VENDIDO]]-MASTER[[#This Row],[COSTO DE VENTA]]</f>
        <v>1292</v>
      </c>
    </row>
    <row r="499" spans="1:22" x14ac:dyDescent="0.3">
      <c r="A499">
        <v>16385</v>
      </c>
      <c r="B499">
        <v>1</v>
      </c>
      <c r="C499" t="s">
        <v>118</v>
      </c>
      <c r="D499" t="s">
        <v>119</v>
      </c>
      <c r="E499" s="1">
        <v>43891</v>
      </c>
      <c r="F499">
        <v>1</v>
      </c>
      <c r="G499" t="s">
        <v>65</v>
      </c>
      <c r="H499" t="s">
        <v>66</v>
      </c>
      <c r="I499" s="3">
        <v>801</v>
      </c>
      <c r="J499" s="3">
        <v>801</v>
      </c>
      <c r="K499" s="3">
        <v>424</v>
      </c>
      <c r="L499" t="s">
        <v>120</v>
      </c>
      <c r="M499">
        <v>16</v>
      </c>
      <c r="N499" t="s">
        <v>17</v>
      </c>
      <c r="O499" t="s">
        <v>11</v>
      </c>
      <c r="P499" t="s">
        <v>18</v>
      </c>
      <c r="Q499" t="s">
        <v>19</v>
      </c>
      <c r="R499" t="s">
        <v>138</v>
      </c>
      <c r="S499" t="s">
        <v>144</v>
      </c>
      <c r="T499" s="2">
        <f>MASTER[[#This Row],[CANTIDAD]]*MASTER[[#This Row],[PRECIO DE VENTA]]</f>
        <v>801</v>
      </c>
      <c r="U499" s="2">
        <f>MASTER[[#This Row],[CANTIDAD]]*MASTER[[#This Row],[COSTO UNITARIO]]</f>
        <v>424</v>
      </c>
      <c r="V499" s="2">
        <f>MASTER[[#This Row],[MONTO VENDIDO]]-MASTER[[#This Row],[COSTO DE VENTA]]</f>
        <v>377</v>
      </c>
    </row>
    <row r="500" spans="1:22" x14ac:dyDescent="0.3">
      <c r="A500">
        <v>16398</v>
      </c>
      <c r="B500">
        <v>1</v>
      </c>
      <c r="C500" t="s">
        <v>114</v>
      </c>
      <c r="D500" t="s">
        <v>115</v>
      </c>
      <c r="E500" s="1">
        <v>43891</v>
      </c>
      <c r="F500">
        <v>1</v>
      </c>
      <c r="G500" t="s">
        <v>53</v>
      </c>
      <c r="H500" t="s">
        <v>54</v>
      </c>
      <c r="I500" s="3">
        <v>1862</v>
      </c>
      <c r="J500" s="3">
        <v>1862</v>
      </c>
      <c r="K500" s="3">
        <v>394</v>
      </c>
      <c r="L500" t="s">
        <v>113</v>
      </c>
      <c r="M500">
        <v>19</v>
      </c>
      <c r="N500" t="s">
        <v>89</v>
      </c>
      <c r="O500" t="s">
        <v>81</v>
      </c>
      <c r="P500" t="s">
        <v>15</v>
      </c>
      <c r="Q500" t="s">
        <v>16</v>
      </c>
      <c r="R500" t="s">
        <v>16</v>
      </c>
      <c r="S500" t="s">
        <v>144</v>
      </c>
      <c r="T500" s="2">
        <f>MASTER[[#This Row],[CANTIDAD]]*MASTER[[#This Row],[PRECIO DE VENTA]]</f>
        <v>1862</v>
      </c>
      <c r="U500" s="2">
        <f>MASTER[[#This Row],[CANTIDAD]]*MASTER[[#This Row],[COSTO UNITARIO]]</f>
        <v>394</v>
      </c>
      <c r="V500" s="2">
        <f>MASTER[[#This Row],[MONTO VENDIDO]]-MASTER[[#This Row],[COSTO DE VENTA]]</f>
        <v>1468</v>
      </c>
    </row>
    <row r="501" spans="1:22" x14ac:dyDescent="0.3">
      <c r="A501">
        <v>16406</v>
      </c>
      <c r="B501">
        <v>1</v>
      </c>
      <c r="C501" t="s">
        <v>116</v>
      </c>
      <c r="D501" t="s">
        <v>117</v>
      </c>
      <c r="E501" s="1">
        <v>43892</v>
      </c>
      <c r="F501">
        <v>1</v>
      </c>
      <c r="G501" t="s">
        <v>20</v>
      </c>
      <c r="H501" t="s">
        <v>21</v>
      </c>
      <c r="I501" s="3">
        <v>1999</v>
      </c>
      <c r="J501" s="3">
        <v>1999</v>
      </c>
      <c r="K501" s="3">
        <v>388</v>
      </c>
      <c r="L501" t="s">
        <v>113</v>
      </c>
      <c r="M501">
        <v>3</v>
      </c>
      <c r="N501" t="s">
        <v>69</v>
      </c>
      <c r="O501" t="s">
        <v>70</v>
      </c>
      <c r="P501" t="s">
        <v>71</v>
      </c>
      <c r="Q501" t="s">
        <v>72</v>
      </c>
      <c r="R501" t="s">
        <v>139</v>
      </c>
      <c r="S501" t="s">
        <v>144</v>
      </c>
      <c r="T501" s="2">
        <f>MASTER[[#This Row],[CANTIDAD]]*MASTER[[#This Row],[PRECIO DE VENTA]]</f>
        <v>1999</v>
      </c>
      <c r="U501" s="2">
        <f>MASTER[[#This Row],[CANTIDAD]]*MASTER[[#This Row],[COSTO UNITARIO]]</f>
        <v>388</v>
      </c>
      <c r="V501" s="2">
        <f>MASTER[[#This Row],[MONTO VENDIDO]]-MASTER[[#This Row],[COSTO DE VENTA]]</f>
        <v>1611</v>
      </c>
    </row>
    <row r="502" spans="1:22" x14ac:dyDescent="0.3">
      <c r="A502">
        <v>16412</v>
      </c>
      <c r="B502">
        <v>1</v>
      </c>
      <c r="C502" t="s">
        <v>92</v>
      </c>
      <c r="D502" t="s">
        <v>93</v>
      </c>
      <c r="E502" s="1">
        <v>43892</v>
      </c>
      <c r="F502">
        <v>1</v>
      </c>
      <c r="G502" t="s">
        <v>51</v>
      </c>
      <c r="H502" t="s">
        <v>52</v>
      </c>
      <c r="I502" s="3">
        <v>1479</v>
      </c>
      <c r="J502" s="3">
        <v>1345</v>
      </c>
      <c r="K502" s="3">
        <v>396</v>
      </c>
      <c r="L502" t="s">
        <v>9</v>
      </c>
      <c r="M502">
        <v>12</v>
      </c>
      <c r="N502" t="s">
        <v>26</v>
      </c>
      <c r="O502" t="s">
        <v>11</v>
      </c>
      <c r="P502" t="s">
        <v>12</v>
      </c>
      <c r="Q502" t="s">
        <v>13</v>
      </c>
      <c r="R502" t="s">
        <v>13</v>
      </c>
      <c r="S502" t="s">
        <v>144</v>
      </c>
      <c r="T502" s="2">
        <f>MASTER[[#This Row],[CANTIDAD]]*MASTER[[#This Row],[PRECIO DE VENTA]]</f>
        <v>1345</v>
      </c>
      <c r="U502" s="2">
        <f>MASTER[[#This Row],[CANTIDAD]]*MASTER[[#This Row],[COSTO UNITARIO]]</f>
        <v>396</v>
      </c>
      <c r="V502" s="2">
        <f>MASTER[[#This Row],[MONTO VENDIDO]]-MASTER[[#This Row],[COSTO DE VENTA]]</f>
        <v>949</v>
      </c>
    </row>
    <row r="503" spans="1:22" x14ac:dyDescent="0.3">
      <c r="A503">
        <v>16418</v>
      </c>
      <c r="B503">
        <v>1</v>
      </c>
      <c r="C503" t="s">
        <v>105</v>
      </c>
      <c r="D503" t="s">
        <v>106</v>
      </c>
      <c r="E503" s="1">
        <v>43892</v>
      </c>
      <c r="F503">
        <v>1</v>
      </c>
      <c r="G503" t="s">
        <v>45</v>
      </c>
      <c r="H503" t="s">
        <v>46</v>
      </c>
      <c r="I503" s="3">
        <v>2033</v>
      </c>
      <c r="J503" s="3">
        <v>2033</v>
      </c>
      <c r="K503" s="3">
        <v>459</v>
      </c>
      <c r="L503" t="s">
        <v>98</v>
      </c>
      <c r="M503">
        <v>18</v>
      </c>
      <c r="N503" t="s">
        <v>79</v>
      </c>
      <c r="O503" t="s">
        <v>70</v>
      </c>
      <c r="P503" t="s">
        <v>15</v>
      </c>
      <c r="Q503" t="s">
        <v>16</v>
      </c>
      <c r="R503" t="s">
        <v>16</v>
      </c>
      <c r="S503" t="s">
        <v>144</v>
      </c>
      <c r="T503" s="2">
        <f>MASTER[[#This Row],[CANTIDAD]]*MASTER[[#This Row],[PRECIO DE VENTA]]</f>
        <v>2033</v>
      </c>
      <c r="U503" s="2">
        <f>MASTER[[#This Row],[CANTIDAD]]*MASTER[[#This Row],[COSTO UNITARIO]]</f>
        <v>459</v>
      </c>
      <c r="V503" s="2">
        <f>MASTER[[#This Row],[MONTO VENDIDO]]-MASTER[[#This Row],[COSTO DE VENTA]]</f>
        <v>1574</v>
      </c>
    </row>
    <row r="504" spans="1:22" x14ac:dyDescent="0.3">
      <c r="A504">
        <v>16440</v>
      </c>
      <c r="B504">
        <v>1</v>
      </c>
      <c r="C504" t="s">
        <v>94</v>
      </c>
      <c r="D504" t="s">
        <v>95</v>
      </c>
      <c r="E504" s="1">
        <v>43892</v>
      </c>
      <c r="F504">
        <v>4</v>
      </c>
      <c r="G504" t="s">
        <v>7</v>
      </c>
      <c r="H504" t="s">
        <v>8</v>
      </c>
      <c r="I504" s="3">
        <v>1048</v>
      </c>
      <c r="J504" s="3">
        <v>1048</v>
      </c>
      <c r="K504" s="3">
        <v>392</v>
      </c>
      <c r="L504" t="s">
        <v>9</v>
      </c>
      <c r="M504">
        <v>2</v>
      </c>
      <c r="N504" t="s">
        <v>86</v>
      </c>
      <c r="O504" t="s">
        <v>81</v>
      </c>
      <c r="P504" t="s">
        <v>71</v>
      </c>
      <c r="Q504" t="s">
        <v>72</v>
      </c>
      <c r="R504" t="s">
        <v>139</v>
      </c>
      <c r="S504" t="s">
        <v>144</v>
      </c>
      <c r="T504" s="2">
        <f>MASTER[[#This Row],[CANTIDAD]]*MASTER[[#This Row],[PRECIO DE VENTA]]</f>
        <v>4192</v>
      </c>
      <c r="U504" s="2">
        <f>MASTER[[#This Row],[CANTIDAD]]*MASTER[[#This Row],[COSTO UNITARIO]]</f>
        <v>1568</v>
      </c>
      <c r="V504" s="2">
        <f>MASTER[[#This Row],[MONTO VENDIDO]]-MASTER[[#This Row],[COSTO DE VENTA]]</f>
        <v>2624</v>
      </c>
    </row>
    <row r="505" spans="1:22" x14ac:dyDescent="0.3">
      <c r="A505">
        <v>16458</v>
      </c>
      <c r="B505">
        <v>1</v>
      </c>
      <c r="C505" t="s">
        <v>121</v>
      </c>
      <c r="D505" t="s">
        <v>122</v>
      </c>
      <c r="E505" s="1">
        <v>43892</v>
      </c>
      <c r="F505">
        <v>1</v>
      </c>
      <c r="G505" t="s">
        <v>43</v>
      </c>
      <c r="H505" t="s">
        <v>44</v>
      </c>
      <c r="I505" s="3">
        <v>941</v>
      </c>
      <c r="J505" s="3">
        <v>941</v>
      </c>
      <c r="K505" s="3">
        <v>460</v>
      </c>
      <c r="L505" t="s">
        <v>120</v>
      </c>
      <c r="M505">
        <v>17</v>
      </c>
      <c r="N505" t="s">
        <v>14</v>
      </c>
      <c r="O505" t="s">
        <v>11</v>
      </c>
      <c r="P505" t="s">
        <v>15</v>
      </c>
      <c r="Q505" t="s">
        <v>16</v>
      </c>
      <c r="R505" t="s">
        <v>16</v>
      </c>
      <c r="S505" t="s">
        <v>144</v>
      </c>
      <c r="T505" s="2">
        <f>MASTER[[#This Row],[CANTIDAD]]*MASTER[[#This Row],[PRECIO DE VENTA]]</f>
        <v>941</v>
      </c>
      <c r="U505" s="2">
        <f>MASTER[[#This Row],[CANTIDAD]]*MASTER[[#This Row],[COSTO UNITARIO]]</f>
        <v>460</v>
      </c>
      <c r="V505" s="2">
        <f>MASTER[[#This Row],[MONTO VENDIDO]]-MASTER[[#This Row],[COSTO DE VENTA]]</f>
        <v>481</v>
      </c>
    </row>
    <row r="506" spans="1:22" x14ac:dyDescent="0.3">
      <c r="A506">
        <v>16459</v>
      </c>
      <c r="B506">
        <v>1</v>
      </c>
      <c r="C506" t="s">
        <v>105</v>
      </c>
      <c r="D506" t="s">
        <v>106</v>
      </c>
      <c r="E506" s="1">
        <v>43892</v>
      </c>
      <c r="F506">
        <v>1</v>
      </c>
      <c r="G506" t="s">
        <v>20</v>
      </c>
      <c r="H506" t="s">
        <v>21</v>
      </c>
      <c r="I506" s="3">
        <v>1865</v>
      </c>
      <c r="J506" s="3">
        <v>1865</v>
      </c>
      <c r="K506" s="3">
        <v>459</v>
      </c>
      <c r="L506" t="s">
        <v>98</v>
      </c>
      <c r="M506">
        <v>19</v>
      </c>
      <c r="N506" t="s">
        <v>89</v>
      </c>
      <c r="O506" t="s">
        <v>81</v>
      </c>
      <c r="P506" t="s">
        <v>15</v>
      </c>
      <c r="Q506" t="s">
        <v>16</v>
      </c>
      <c r="R506" t="s">
        <v>16</v>
      </c>
      <c r="S506" t="s">
        <v>144</v>
      </c>
      <c r="T506" s="2">
        <f>MASTER[[#This Row],[CANTIDAD]]*MASTER[[#This Row],[PRECIO DE VENTA]]</f>
        <v>1865</v>
      </c>
      <c r="U506" s="2">
        <f>MASTER[[#This Row],[CANTIDAD]]*MASTER[[#This Row],[COSTO UNITARIO]]</f>
        <v>459</v>
      </c>
      <c r="V506" s="2">
        <f>MASTER[[#This Row],[MONTO VENDIDO]]-MASTER[[#This Row],[COSTO DE VENTA]]</f>
        <v>1406</v>
      </c>
    </row>
    <row r="507" spans="1:22" x14ac:dyDescent="0.3">
      <c r="A507">
        <v>16464</v>
      </c>
      <c r="B507">
        <v>1</v>
      </c>
      <c r="C507" t="s">
        <v>94</v>
      </c>
      <c r="D507" t="s">
        <v>95</v>
      </c>
      <c r="E507" s="1">
        <v>43893</v>
      </c>
      <c r="F507">
        <v>1</v>
      </c>
      <c r="G507" t="s">
        <v>57</v>
      </c>
      <c r="H507" t="s">
        <v>58</v>
      </c>
      <c r="I507" s="3">
        <v>1048</v>
      </c>
      <c r="J507" s="3">
        <v>1048</v>
      </c>
      <c r="K507" s="3">
        <v>392</v>
      </c>
      <c r="L507" t="s">
        <v>9</v>
      </c>
      <c r="M507">
        <v>5</v>
      </c>
      <c r="N507" t="s">
        <v>85</v>
      </c>
      <c r="O507" t="s">
        <v>81</v>
      </c>
      <c r="P507" t="s">
        <v>12</v>
      </c>
      <c r="Q507" t="s">
        <v>13</v>
      </c>
      <c r="R507" t="s">
        <v>13</v>
      </c>
      <c r="S507" t="s">
        <v>144</v>
      </c>
      <c r="T507" s="2">
        <f>MASTER[[#This Row],[CANTIDAD]]*MASTER[[#This Row],[PRECIO DE VENTA]]</f>
        <v>1048</v>
      </c>
      <c r="U507" s="2">
        <f>MASTER[[#This Row],[CANTIDAD]]*MASTER[[#This Row],[COSTO UNITARIO]]</f>
        <v>392</v>
      </c>
      <c r="V507" s="2">
        <f>MASTER[[#This Row],[MONTO VENDIDO]]-MASTER[[#This Row],[COSTO DE VENTA]]</f>
        <v>656</v>
      </c>
    </row>
    <row r="508" spans="1:22" x14ac:dyDescent="0.3">
      <c r="A508">
        <v>16473</v>
      </c>
      <c r="B508">
        <v>1</v>
      </c>
      <c r="C508" t="s">
        <v>105</v>
      </c>
      <c r="D508" t="s">
        <v>106</v>
      </c>
      <c r="E508" s="1">
        <v>43893</v>
      </c>
      <c r="F508">
        <v>1</v>
      </c>
      <c r="G508" t="s">
        <v>65</v>
      </c>
      <c r="H508" t="s">
        <v>66</v>
      </c>
      <c r="I508" s="3">
        <v>1865</v>
      </c>
      <c r="J508" s="3">
        <v>1865</v>
      </c>
      <c r="K508" s="3">
        <v>459</v>
      </c>
      <c r="L508" t="s">
        <v>98</v>
      </c>
      <c r="M508">
        <v>14</v>
      </c>
      <c r="N508" t="s">
        <v>87</v>
      </c>
      <c r="O508" t="s">
        <v>81</v>
      </c>
      <c r="P508" t="s">
        <v>18</v>
      </c>
      <c r="Q508" t="s">
        <v>19</v>
      </c>
      <c r="R508" t="s">
        <v>138</v>
      </c>
      <c r="S508" t="s">
        <v>144</v>
      </c>
      <c r="T508" s="2">
        <f>MASTER[[#This Row],[CANTIDAD]]*MASTER[[#This Row],[PRECIO DE VENTA]]</f>
        <v>1865</v>
      </c>
      <c r="U508" s="2">
        <f>MASTER[[#This Row],[CANTIDAD]]*MASTER[[#This Row],[COSTO UNITARIO]]</f>
        <v>459</v>
      </c>
      <c r="V508" s="2">
        <f>MASTER[[#This Row],[MONTO VENDIDO]]-MASTER[[#This Row],[COSTO DE VENTA]]</f>
        <v>1406</v>
      </c>
    </row>
    <row r="509" spans="1:22" x14ac:dyDescent="0.3">
      <c r="A509">
        <v>16491</v>
      </c>
      <c r="B509">
        <v>1</v>
      </c>
      <c r="C509" t="s">
        <v>109</v>
      </c>
      <c r="D509" t="s">
        <v>110</v>
      </c>
      <c r="E509" s="1">
        <v>43893</v>
      </c>
      <c r="F509">
        <v>1</v>
      </c>
      <c r="G509" t="s">
        <v>35</v>
      </c>
      <c r="H509" t="s">
        <v>36</v>
      </c>
      <c r="I509" s="3">
        <v>1064</v>
      </c>
      <c r="J509" s="3">
        <v>1064</v>
      </c>
      <c r="K509" s="3">
        <v>387</v>
      </c>
      <c r="L509" t="s">
        <v>98</v>
      </c>
      <c r="M509">
        <v>2</v>
      </c>
      <c r="N509" t="s">
        <v>86</v>
      </c>
      <c r="O509" t="s">
        <v>81</v>
      </c>
      <c r="P509" t="s">
        <v>71</v>
      </c>
      <c r="Q509" t="s">
        <v>72</v>
      </c>
      <c r="R509" t="s">
        <v>139</v>
      </c>
      <c r="S509" t="s">
        <v>144</v>
      </c>
      <c r="T509" s="2">
        <f>MASTER[[#This Row],[CANTIDAD]]*MASTER[[#This Row],[PRECIO DE VENTA]]</f>
        <v>1064</v>
      </c>
      <c r="U509" s="2">
        <f>MASTER[[#This Row],[CANTIDAD]]*MASTER[[#This Row],[COSTO UNITARIO]]</f>
        <v>387</v>
      </c>
      <c r="V509" s="2">
        <f>MASTER[[#This Row],[MONTO VENDIDO]]-MASTER[[#This Row],[COSTO DE VENTA]]</f>
        <v>677</v>
      </c>
    </row>
    <row r="510" spans="1:22" x14ac:dyDescent="0.3">
      <c r="A510">
        <v>16507</v>
      </c>
      <c r="B510">
        <v>1</v>
      </c>
      <c r="C510" t="s">
        <v>116</v>
      </c>
      <c r="D510" t="s">
        <v>117</v>
      </c>
      <c r="E510" s="1">
        <v>43893</v>
      </c>
      <c r="F510">
        <v>4</v>
      </c>
      <c r="G510" t="s">
        <v>33</v>
      </c>
      <c r="H510" t="s">
        <v>34</v>
      </c>
      <c r="I510" s="3">
        <v>1738</v>
      </c>
      <c r="J510" s="3">
        <v>1738</v>
      </c>
      <c r="K510" s="3">
        <v>388</v>
      </c>
      <c r="L510" t="s">
        <v>113</v>
      </c>
      <c r="M510">
        <v>7</v>
      </c>
      <c r="N510" t="s">
        <v>84</v>
      </c>
      <c r="O510" t="s">
        <v>81</v>
      </c>
      <c r="P510" t="s">
        <v>12</v>
      </c>
      <c r="Q510" t="s">
        <v>13</v>
      </c>
      <c r="R510" t="s">
        <v>13</v>
      </c>
      <c r="S510" t="s">
        <v>144</v>
      </c>
      <c r="T510" s="2">
        <f>MASTER[[#This Row],[CANTIDAD]]*MASTER[[#This Row],[PRECIO DE VENTA]]</f>
        <v>6952</v>
      </c>
      <c r="U510" s="2">
        <f>MASTER[[#This Row],[CANTIDAD]]*MASTER[[#This Row],[COSTO UNITARIO]]</f>
        <v>1552</v>
      </c>
      <c r="V510" s="2">
        <f>MASTER[[#This Row],[MONTO VENDIDO]]-MASTER[[#This Row],[COSTO DE VENTA]]</f>
        <v>5400</v>
      </c>
    </row>
    <row r="511" spans="1:22" x14ac:dyDescent="0.3">
      <c r="A511">
        <v>16529</v>
      </c>
      <c r="B511">
        <v>1</v>
      </c>
      <c r="C511" t="s">
        <v>114</v>
      </c>
      <c r="D511" t="s">
        <v>115</v>
      </c>
      <c r="E511" s="1">
        <v>43893</v>
      </c>
      <c r="F511">
        <v>1</v>
      </c>
      <c r="G511" t="s">
        <v>67</v>
      </c>
      <c r="H511" t="s">
        <v>68</v>
      </c>
      <c r="I511" s="3">
        <v>2030</v>
      </c>
      <c r="J511" s="3">
        <v>2030</v>
      </c>
      <c r="K511" s="3">
        <v>394</v>
      </c>
      <c r="L511" t="s">
        <v>113</v>
      </c>
      <c r="M511">
        <v>1</v>
      </c>
      <c r="N511" t="s">
        <v>77</v>
      </c>
      <c r="O511" t="s">
        <v>70</v>
      </c>
      <c r="P511" t="s">
        <v>71</v>
      </c>
      <c r="Q511" t="s">
        <v>72</v>
      </c>
      <c r="R511" t="s">
        <v>139</v>
      </c>
      <c r="S511" t="s">
        <v>144</v>
      </c>
      <c r="T511" s="2">
        <f>MASTER[[#This Row],[CANTIDAD]]*MASTER[[#This Row],[PRECIO DE VENTA]]</f>
        <v>2030</v>
      </c>
      <c r="U511" s="2">
        <f>MASTER[[#This Row],[CANTIDAD]]*MASTER[[#This Row],[COSTO UNITARIO]]</f>
        <v>394</v>
      </c>
      <c r="V511" s="2">
        <f>MASTER[[#This Row],[MONTO VENDIDO]]-MASTER[[#This Row],[COSTO DE VENTA]]</f>
        <v>1636</v>
      </c>
    </row>
    <row r="512" spans="1:22" x14ac:dyDescent="0.3">
      <c r="A512">
        <v>16540</v>
      </c>
      <c r="B512">
        <v>1</v>
      </c>
      <c r="C512" t="s">
        <v>111</v>
      </c>
      <c r="D512" t="s">
        <v>112</v>
      </c>
      <c r="E512" s="1">
        <v>43893</v>
      </c>
      <c r="F512">
        <v>1</v>
      </c>
      <c r="G512" t="s">
        <v>45</v>
      </c>
      <c r="H512" t="s">
        <v>46</v>
      </c>
      <c r="I512" s="3">
        <v>1621</v>
      </c>
      <c r="J512" s="3">
        <v>1621</v>
      </c>
      <c r="K512" s="3">
        <v>434</v>
      </c>
      <c r="L512" t="s">
        <v>113</v>
      </c>
      <c r="M512">
        <v>15</v>
      </c>
      <c r="N512" t="s">
        <v>88</v>
      </c>
      <c r="O512" t="s">
        <v>81</v>
      </c>
      <c r="P512" t="s">
        <v>18</v>
      </c>
      <c r="Q512" t="s">
        <v>19</v>
      </c>
      <c r="R512" t="s">
        <v>138</v>
      </c>
      <c r="S512" t="s">
        <v>144</v>
      </c>
      <c r="T512" s="2">
        <f>MASTER[[#This Row],[CANTIDAD]]*MASTER[[#This Row],[PRECIO DE VENTA]]</f>
        <v>1621</v>
      </c>
      <c r="U512" s="2">
        <f>MASTER[[#This Row],[CANTIDAD]]*MASTER[[#This Row],[COSTO UNITARIO]]</f>
        <v>434</v>
      </c>
      <c r="V512" s="2">
        <f>MASTER[[#This Row],[MONTO VENDIDO]]-MASTER[[#This Row],[COSTO DE VENTA]]</f>
        <v>1187</v>
      </c>
    </row>
    <row r="513" spans="1:22" x14ac:dyDescent="0.3">
      <c r="A513">
        <v>16567</v>
      </c>
      <c r="B513">
        <v>1</v>
      </c>
      <c r="C513" t="s">
        <v>121</v>
      </c>
      <c r="D513" t="s">
        <v>122</v>
      </c>
      <c r="E513" s="1">
        <v>43893</v>
      </c>
      <c r="F513">
        <v>1</v>
      </c>
      <c r="G513" t="s">
        <v>37</v>
      </c>
      <c r="H513" t="s">
        <v>38</v>
      </c>
      <c r="I513" s="3">
        <v>1069</v>
      </c>
      <c r="J513" s="3">
        <v>1069</v>
      </c>
      <c r="K513" s="3">
        <v>460</v>
      </c>
      <c r="L513" t="s">
        <v>120</v>
      </c>
      <c r="M513">
        <v>19</v>
      </c>
      <c r="N513" t="s">
        <v>89</v>
      </c>
      <c r="O513" t="s">
        <v>81</v>
      </c>
      <c r="P513" t="s">
        <v>15</v>
      </c>
      <c r="Q513" t="s">
        <v>16</v>
      </c>
      <c r="R513" t="s">
        <v>16</v>
      </c>
      <c r="S513" t="s">
        <v>144</v>
      </c>
      <c r="T513" s="2">
        <f>MASTER[[#This Row],[CANTIDAD]]*MASTER[[#This Row],[PRECIO DE VENTA]]</f>
        <v>1069</v>
      </c>
      <c r="U513" s="2">
        <f>MASTER[[#This Row],[CANTIDAD]]*MASTER[[#This Row],[COSTO UNITARIO]]</f>
        <v>460</v>
      </c>
      <c r="V513" s="2">
        <f>MASTER[[#This Row],[MONTO VENDIDO]]-MASTER[[#This Row],[COSTO DE VENTA]]</f>
        <v>609</v>
      </c>
    </row>
    <row r="514" spans="1:22" x14ac:dyDescent="0.3">
      <c r="A514">
        <v>16568</v>
      </c>
      <c r="B514">
        <v>1</v>
      </c>
      <c r="C514" t="s">
        <v>111</v>
      </c>
      <c r="D514" t="s">
        <v>112</v>
      </c>
      <c r="E514" s="1">
        <v>43893</v>
      </c>
      <c r="F514">
        <v>1</v>
      </c>
      <c r="G514" t="s">
        <v>31</v>
      </c>
      <c r="H514" t="s">
        <v>32</v>
      </c>
      <c r="I514" s="3">
        <v>1799</v>
      </c>
      <c r="J514" s="3">
        <v>1799</v>
      </c>
      <c r="K514" s="3">
        <v>434</v>
      </c>
      <c r="L514" t="s">
        <v>113</v>
      </c>
      <c r="M514">
        <v>18</v>
      </c>
      <c r="N514" t="s">
        <v>79</v>
      </c>
      <c r="O514" t="s">
        <v>70</v>
      </c>
      <c r="P514" t="s">
        <v>15</v>
      </c>
      <c r="Q514" t="s">
        <v>16</v>
      </c>
      <c r="R514" t="s">
        <v>16</v>
      </c>
      <c r="S514" t="s">
        <v>144</v>
      </c>
      <c r="T514" s="2">
        <f>MASTER[[#This Row],[CANTIDAD]]*MASTER[[#This Row],[PRECIO DE VENTA]]</f>
        <v>1799</v>
      </c>
      <c r="U514" s="2">
        <f>MASTER[[#This Row],[CANTIDAD]]*MASTER[[#This Row],[COSTO UNITARIO]]</f>
        <v>434</v>
      </c>
      <c r="V514" s="2">
        <f>MASTER[[#This Row],[MONTO VENDIDO]]-MASTER[[#This Row],[COSTO DE VENTA]]</f>
        <v>1365</v>
      </c>
    </row>
    <row r="515" spans="1:22" x14ac:dyDescent="0.3">
      <c r="A515">
        <v>16594</v>
      </c>
      <c r="B515">
        <v>1</v>
      </c>
      <c r="C515" t="s">
        <v>101</v>
      </c>
      <c r="D515" t="s">
        <v>102</v>
      </c>
      <c r="E515" s="1">
        <v>43893</v>
      </c>
      <c r="F515">
        <v>4</v>
      </c>
      <c r="G515" t="s">
        <v>20</v>
      </c>
      <c r="H515" t="s">
        <v>21</v>
      </c>
      <c r="I515" s="3">
        <v>1212</v>
      </c>
      <c r="J515" s="3">
        <v>1212</v>
      </c>
      <c r="K515" s="3">
        <v>442</v>
      </c>
      <c r="L515" t="s">
        <v>98</v>
      </c>
      <c r="M515">
        <v>15</v>
      </c>
      <c r="N515" t="s">
        <v>88</v>
      </c>
      <c r="O515" t="s">
        <v>81</v>
      </c>
      <c r="P515" t="s">
        <v>18</v>
      </c>
      <c r="Q515" t="s">
        <v>19</v>
      </c>
      <c r="R515" t="s">
        <v>138</v>
      </c>
      <c r="S515" t="s">
        <v>144</v>
      </c>
      <c r="T515" s="2">
        <f>MASTER[[#This Row],[CANTIDAD]]*MASTER[[#This Row],[PRECIO DE VENTA]]</f>
        <v>4848</v>
      </c>
      <c r="U515" s="2">
        <f>MASTER[[#This Row],[CANTIDAD]]*MASTER[[#This Row],[COSTO UNITARIO]]</f>
        <v>1768</v>
      </c>
      <c r="V515" s="2">
        <f>MASTER[[#This Row],[MONTO VENDIDO]]-MASTER[[#This Row],[COSTO DE VENTA]]</f>
        <v>3080</v>
      </c>
    </row>
    <row r="516" spans="1:22" x14ac:dyDescent="0.3">
      <c r="A516">
        <v>16595</v>
      </c>
      <c r="B516">
        <v>1</v>
      </c>
      <c r="C516" t="s">
        <v>5</v>
      </c>
      <c r="D516" t="s">
        <v>6</v>
      </c>
      <c r="E516" s="1">
        <v>43893</v>
      </c>
      <c r="F516">
        <v>1</v>
      </c>
      <c r="G516" t="s">
        <v>55</v>
      </c>
      <c r="H516" t="s">
        <v>56</v>
      </c>
      <c r="I516" s="3">
        <v>1507</v>
      </c>
      <c r="J516" s="3">
        <v>1507</v>
      </c>
      <c r="K516" s="3">
        <v>393</v>
      </c>
      <c r="L516" t="s">
        <v>9</v>
      </c>
      <c r="M516">
        <v>14</v>
      </c>
      <c r="N516" t="s">
        <v>87</v>
      </c>
      <c r="O516" t="s">
        <v>81</v>
      </c>
      <c r="P516" t="s">
        <v>18</v>
      </c>
      <c r="Q516" t="s">
        <v>19</v>
      </c>
      <c r="R516" t="s">
        <v>138</v>
      </c>
      <c r="S516" t="s">
        <v>144</v>
      </c>
      <c r="T516" s="2">
        <f>MASTER[[#This Row],[CANTIDAD]]*MASTER[[#This Row],[PRECIO DE VENTA]]</f>
        <v>1507</v>
      </c>
      <c r="U516" s="2">
        <f>MASTER[[#This Row],[CANTIDAD]]*MASTER[[#This Row],[COSTO UNITARIO]]</f>
        <v>393</v>
      </c>
      <c r="V516" s="2">
        <f>MASTER[[#This Row],[MONTO VENDIDO]]-MASTER[[#This Row],[COSTO DE VENTA]]</f>
        <v>1114</v>
      </c>
    </row>
    <row r="517" spans="1:22" x14ac:dyDescent="0.3">
      <c r="A517">
        <v>16597</v>
      </c>
      <c r="B517">
        <v>1</v>
      </c>
      <c r="C517" t="s">
        <v>118</v>
      </c>
      <c r="D517" t="s">
        <v>119</v>
      </c>
      <c r="E517" s="1">
        <v>43893</v>
      </c>
      <c r="F517">
        <v>1</v>
      </c>
      <c r="G517" t="s">
        <v>59</v>
      </c>
      <c r="H517" t="s">
        <v>60</v>
      </c>
      <c r="I517" s="3">
        <v>1026</v>
      </c>
      <c r="J517" s="3">
        <v>1026</v>
      </c>
      <c r="K517" s="3">
        <v>424</v>
      </c>
      <c r="L517" t="s">
        <v>120</v>
      </c>
      <c r="M517">
        <v>3</v>
      </c>
      <c r="N517" t="s">
        <v>69</v>
      </c>
      <c r="O517" t="s">
        <v>70</v>
      </c>
      <c r="P517" t="s">
        <v>71</v>
      </c>
      <c r="Q517" t="s">
        <v>72</v>
      </c>
      <c r="R517" t="s">
        <v>139</v>
      </c>
      <c r="S517" t="s">
        <v>144</v>
      </c>
      <c r="T517" s="2">
        <f>MASTER[[#This Row],[CANTIDAD]]*MASTER[[#This Row],[PRECIO DE VENTA]]</f>
        <v>1026</v>
      </c>
      <c r="U517" s="2">
        <f>MASTER[[#This Row],[CANTIDAD]]*MASTER[[#This Row],[COSTO UNITARIO]]</f>
        <v>424</v>
      </c>
      <c r="V517" s="2">
        <f>MASTER[[#This Row],[MONTO VENDIDO]]-MASTER[[#This Row],[COSTO DE VENTA]]</f>
        <v>602</v>
      </c>
    </row>
    <row r="518" spans="1:22" x14ac:dyDescent="0.3">
      <c r="A518">
        <v>16599</v>
      </c>
      <c r="B518">
        <v>1</v>
      </c>
      <c r="C518" t="s">
        <v>121</v>
      </c>
      <c r="D518" t="s">
        <v>122</v>
      </c>
      <c r="E518" s="1">
        <v>43894</v>
      </c>
      <c r="F518">
        <v>1</v>
      </c>
      <c r="G518" t="s">
        <v>31</v>
      </c>
      <c r="H518" t="s">
        <v>32</v>
      </c>
      <c r="I518" s="3">
        <v>941</v>
      </c>
      <c r="J518" s="3">
        <v>941</v>
      </c>
      <c r="K518" s="3">
        <v>460</v>
      </c>
      <c r="L518" t="s">
        <v>120</v>
      </c>
      <c r="M518">
        <v>16</v>
      </c>
      <c r="N518" t="s">
        <v>17</v>
      </c>
      <c r="O518" t="s">
        <v>11</v>
      </c>
      <c r="P518" t="s">
        <v>18</v>
      </c>
      <c r="Q518" t="s">
        <v>19</v>
      </c>
      <c r="R518" t="s">
        <v>138</v>
      </c>
      <c r="S518" t="s">
        <v>144</v>
      </c>
      <c r="T518" s="2">
        <f>MASTER[[#This Row],[CANTIDAD]]*MASTER[[#This Row],[PRECIO DE VENTA]]</f>
        <v>941</v>
      </c>
      <c r="U518" s="2">
        <f>MASTER[[#This Row],[CANTIDAD]]*MASTER[[#This Row],[COSTO UNITARIO]]</f>
        <v>460</v>
      </c>
      <c r="V518" s="2">
        <f>MASTER[[#This Row],[MONTO VENDIDO]]-MASTER[[#This Row],[COSTO DE VENTA]]</f>
        <v>481</v>
      </c>
    </row>
    <row r="519" spans="1:22" x14ac:dyDescent="0.3">
      <c r="A519">
        <v>16617</v>
      </c>
      <c r="B519">
        <v>1</v>
      </c>
      <c r="C519" t="s">
        <v>118</v>
      </c>
      <c r="D519" t="s">
        <v>119</v>
      </c>
      <c r="E519" s="1">
        <v>43894</v>
      </c>
      <c r="F519">
        <v>1</v>
      </c>
      <c r="G519" t="s">
        <v>7</v>
      </c>
      <c r="H519" t="s">
        <v>8</v>
      </c>
      <c r="I519" s="3">
        <v>801</v>
      </c>
      <c r="J519" s="3">
        <v>768</v>
      </c>
      <c r="K519" s="3">
        <v>424</v>
      </c>
      <c r="L519" t="s">
        <v>120</v>
      </c>
      <c r="M519">
        <v>11</v>
      </c>
      <c r="N519" t="s">
        <v>10</v>
      </c>
      <c r="O519" t="s">
        <v>11</v>
      </c>
      <c r="P519" t="s">
        <v>12</v>
      </c>
      <c r="Q519" t="s">
        <v>13</v>
      </c>
      <c r="R519" t="s">
        <v>13</v>
      </c>
      <c r="S519" t="s">
        <v>144</v>
      </c>
      <c r="T519" s="2">
        <f>MASTER[[#This Row],[CANTIDAD]]*MASTER[[#This Row],[PRECIO DE VENTA]]</f>
        <v>768</v>
      </c>
      <c r="U519" s="2">
        <f>MASTER[[#This Row],[CANTIDAD]]*MASTER[[#This Row],[COSTO UNITARIO]]</f>
        <v>424</v>
      </c>
      <c r="V519" s="2">
        <f>MASTER[[#This Row],[MONTO VENDIDO]]-MASTER[[#This Row],[COSTO DE VENTA]]</f>
        <v>344</v>
      </c>
    </row>
    <row r="520" spans="1:22" x14ac:dyDescent="0.3">
      <c r="A520">
        <v>16638</v>
      </c>
      <c r="B520">
        <v>1</v>
      </c>
      <c r="C520" t="s">
        <v>103</v>
      </c>
      <c r="D520" t="s">
        <v>104</v>
      </c>
      <c r="E520" s="1">
        <v>43894</v>
      </c>
      <c r="F520">
        <v>1</v>
      </c>
      <c r="G520" t="s">
        <v>61</v>
      </c>
      <c r="H520" t="s">
        <v>62</v>
      </c>
      <c r="I520" s="3">
        <v>1448</v>
      </c>
      <c r="J520" s="3">
        <v>1448</v>
      </c>
      <c r="K520" s="3">
        <v>421</v>
      </c>
      <c r="L520" t="s">
        <v>98</v>
      </c>
      <c r="M520">
        <v>17</v>
      </c>
      <c r="N520" t="s">
        <v>14</v>
      </c>
      <c r="O520" t="s">
        <v>11</v>
      </c>
      <c r="P520" t="s">
        <v>15</v>
      </c>
      <c r="Q520" t="s">
        <v>16</v>
      </c>
      <c r="R520" t="s">
        <v>16</v>
      </c>
      <c r="S520" t="s">
        <v>144</v>
      </c>
      <c r="T520" s="2">
        <f>MASTER[[#This Row],[CANTIDAD]]*MASTER[[#This Row],[PRECIO DE VENTA]]</f>
        <v>1448</v>
      </c>
      <c r="U520" s="2">
        <f>MASTER[[#This Row],[CANTIDAD]]*MASTER[[#This Row],[COSTO UNITARIO]]</f>
        <v>421</v>
      </c>
      <c r="V520" s="2">
        <f>MASTER[[#This Row],[MONTO VENDIDO]]-MASTER[[#This Row],[COSTO DE VENTA]]</f>
        <v>1027</v>
      </c>
    </row>
    <row r="521" spans="1:22" x14ac:dyDescent="0.3">
      <c r="A521">
        <v>16651</v>
      </c>
      <c r="B521">
        <v>1</v>
      </c>
      <c r="C521" t="s">
        <v>101</v>
      </c>
      <c r="D521" t="s">
        <v>102</v>
      </c>
      <c r="E521" s="1">
        <v>43894</v>
      </c>
      <c r="F521">
        <v>1</v>
      </c>
      <c r="G521" t="s">
        <v>45</v>
      </c>
      <c r="H521" t="s">
        <v>46</v>
      </c>
      <c r="I521" s="3">
        <v>1054</v>
      </c>
      <c r="J521" s="3">
        <v>1054</v>
      </c>
      <c r="K521" s="3">
        <v>442</v>
      </c>
      <c r="L521" t="s">
        <v>98</v>
      </c>
      <c r="M521">
        <v>12</v>
      </c>
      <c r="N521" t="s">
        <v>26</v>
      </c>
      <c r="O521" t="s">
        <v>11</v>
      </c>
      <c r="P521" t="s">
        <v>12</v>
      </c>
      <c r="Q521" t="s">
        <v>13</v>
      </c>
      <c r="R521" t="s">
        <v>13</v>
      </c>
      <c r="S521" t="s">
        <v>144</v>
      </c>
      <c r="T521" s="2">
        <f>MASTER[[#This Row],[CANTIDAD]]*MASTER[[#This Row],[PRECIO DE VENTA]]</f>
        <v>1054</v>
      </c>
      <c r="U521" s="2">
        <f>MASTER[[#This Row],[CANTIDAD]]*MASTER[[#This Row],[COSTO UNITARIO]]</f>
        <v>442</v>
      </c>
      <c r="V521" s="2">
        <f>MASTER[[#This Row],[MONTO VENDIDO]]-MASTER[[#This Row],[COSTO DE VENTA]]</f>
        <v>612</v>
      </c>
    </row>
    <row r="522" spans="1:22" x14ac:dyDescent="0.3">
      <c r="A522">
        <v>16655</v>
      </c>
      <c r="B522">
        <v>1</v>
      </c>
      <c r="C522" t="s">
        <v>109</v>
      </c>
      <c r="D522" t="s">
        <v>110</v>
      </c>
      <c r="E522" s="1">
        <v>43894</v>
      </c>
      <c r="F522">
        <v>1</v>
      </c>
      <c r="G522" t="s">
        <v>35</v>
      </c>
      <c r="H522" t="s">
        <v>36</v>
      </c>
      <c r="I522" s="3">
        <v>947</v>
      </c>
      <c r="J522" s="3">
        <v>947</v>
      </c>
      <c r="K522" s="3">
        <v>387</v>
      </c>
      <c r="L522" t="s">
        <v>98</v>
      </c>
      <c r="M522">
        <v>12</v>
      </c>
      <c r="N522" t="s">
        <v>26</v>
      </c>
      <c r="O522" t="s">
        <v>11</v>
      </c>
      <c r="P522" t="s">
        <v>12</v>
      </c>
      <c r="Q522" t="s">
        <v>13</v>
      </c>
      <c r="R522" t="s">
        <v>13</v>
      </c>
      <c r="S522" t="s">
        <v>144</v>
      </c>
      <c r="T522" s="2">
        <f>MASTER[[#This Row],[CANTIDAD]]*MASTER[[#This Row],[PRECIO DE VENTA]]</f>
        <v>947</v>
      </c>
      <c r="U522" s="2">
        <f>MASTER[[#This Row],[CANTIDAD]]*MASTER[[#This Row],[COSTO UNITARIO]]</f>
        <v>387</v>
      </c>
      <c r="V522" s="2">
        <f>MASTER[[#This Row],[MONTO VENDIDO]]-MASTER[[#This Row],[COSTO DE VENTA]]</f>
        <v>560</v>
      </c>
    </row>
    <row r="523" spans="1:22" x14ac:dyDescent="0.3">
      <c r="A523">
        <v>16669</v>
      </c>
      <c r="B523">
        <v>1</v>
      </c>
      <c r="C523" t="s">
        <v>94</v>
      </c>
      <c r="D523" t="s">
        <v>95</v>
      </c>
      <c r="E523" s="1">
        <v>43894</v>
      </c>
      <c r="F523">
        <v>1</v>
      </c>
      <c r="G523" t="s">
        <v>20</v>
      </c>
      <c r="H523" t="s">
        <v>21</v>
      </c>
      <c r="I523" s="3">
        <v>1048</v>
      </c>
      <c r="J523" s="3">
        <v>1048</v>
      </c>
      <c r="K523" s="3">
        <v>392</v>
      </c>
      <c r="L523" t="s">
        <v>9</v>
      </c>
      <c r="M523">
        <v>10</v>
      </c>
      <c r="N523" t="s">
        <v>83</v>
      </c>
      <c r="O523" t="s">
        <v>81</v>
      </c>
      <c r="P523" t="s">
        <v>12</v>
      </c>
      <c r="Q523" t="s">
        <v>13</v>
      </c>
      <c r="R523" t="s">
        <v>13</v>
      </c>
      <c r="S523" t="s">
        <v>144</v>
      </c>
      <c r="T523" s="2">
        <f>MASTER[[#This Row],[CANTIDAD]]*MASTER[[#This Row],[PRECIO DE VENTA]]</f>
        <v>1048</v>
      </c>
      <c r="U523" s="2">
        <f>MASTER[[#This Row],[CANTIDAD]]*MASTER[[#This Row],[COSTO UNITARIO]]</f>
        <v>392</v>
      </c>
      <c r="V523" s="2">
        <f>MASTER[[#This Row],[MONTO VENDIDO]]-MASTER[[#This Row],[COSTO DE VENTA]]</f>
        <v>656</v>
      </c>
    </row>
    <row r="524" spans="1:22" x14ac:dyDescent="0.3">
      <c r="A524">
        <v>16682</v>
      </c>
      <c r="B524">
        <v>1</v>
      </c>
      <c r="C524" t="s">
        <v>96</v>
      </c>
      <c r="D524" t="s">
        <v>97</v>
      </c>
      <c r="E524" s="1">
        <v>43894</v>
      </c>
      <c r="F524">
        <v>1</v>
      </c>
      <c r="G524" t="s">
        <v>51</v>
      </c>
      <c r="H524" t="s">
        <v>52</v>
      </c>
      <c r="I524" s="3">
        <v>1272</v>
      </c>
      <c r="J524" s="3">
        <v>1272</v>
      </c>
      <c r="K524" s="3">
        <v>397</v>
      </c>
      <c r="L524" t="s">
        <v>98</v>
      </c>
      <c r="M524">
        <v>19</v>
      </c>
      <c r="N524" t="s">
        <v>89</v>
      </c>
      <c r="O524" t="s">
        <v>81</v>
      </c>
      <c r="P524" t="s">
        <v>15</v>
      </c>
      <c r="Q524" t="s">
        <v>16</v>
      </c>
      <c r="R524" t="s">
        <v>16</v>
      </c>
      <c r="S524" t="s">
        <v>144</v>
      </c>
      <c r="T524" s="2">
        <f>MASTER[[#This Row],[CANTIDAD]]*MASTER[[#This Row],[PRECIO DE VENTA]]</f>
        <v>1272</v>
      </c>
      <c r="U524" s="2">
        <f>MASTER[[#This Row],[CANTIDAD]]*MASTER[[#This Row],[COSTO UNITARIO]]</f>
        <v>397</v>
      </c>
      <c r="V524" s="2">
        <f>MASTER[[#This Row],[MONTO VENDIDO]]-MASTER[[#This Row],[COSTO DE VENTA]]</f>
        <v>875</v>
      </c>
    </row>
    <row r="525" spans="1:22" x14ac:dyDescent="0.3">
      <c r="A525">
        <v>16730</v>
      </c>
      <c r="B525">
        <v>1</v>
      </c>
      <c r="C525" t="s">
        <v>118</v>
      </c>
      <c r="D525" t="s">
        <v>119</v>
      </c>
      <c r="E525" s="1">
        <v>43895</v>
      </c>
      <c r="F525">
        <v>1</v>
      </c>
      <c r="G525" t="s">
        <v>67</v>
      </c>
      <c r="H525" t="s">
        <v>68</v>
      </c>
      <c r="I525" s="3">
        <v>801</v>
      </c>
      <c r="J525" s="3">
        <v>801</v>
      </c>
      <c r="K525" s="3">
        <v>424</v>
      </c>
      <c r="L525" t="s">
        <v>120</v>
      </c>
      <c r="M525">
        <v>12</v>
      </c>
      <c r="N525" t="s">
        <v>26</v>
      </c>
      <c r="O525" t="s">
        <v>11</v>
      </c>
      <c r="P525" t="s">
        <v>12</v>
      </c>
      <c r="Q525" t="s">
        <v>13</v>
      </c>
      <c r="R525" t="s">
        <v>13</v>
      </c>
      <c r="S525" t="s">
        <v>144</v>
      </c>
      <c r="T525" s="2">
        <f>MASTER[[#This Row],[CANTIDAD]]*MASTER[[#This Row],[PRECIO DE VENTA]]</f>
        <v>801</v>
      </c>
      <c r="U525" s="2">
        <f>MASTER[[#This Row],[CANTIDAD]]*MASTER[[#This Row],[COSTO UNITARIO]]</f>
        <v>424</v>
      </c>
      <c r="V525" s="2">
        <f>MASTER[[#This Row],[MONTO VENDIDO]]-MASTER[[#This Row],[COSTO DE VENTA]]</f>
        <v>377</v>
      </c>
    </row>
    <row r="526" spans="1:22" x14ac:dyDescent="0.3">
      <c r="A526">
        <v>16744</v>
      </c>
      <c r="B526">
        <v>1</v>
      </c>
      <c r="C526" t="s">
        <v>5</v>
      </c>
      <c r="D526" t="s">
        <v>6</v>
      </c>
      <c r="E526" s="1">
        <v>43895</v>
      </c>
      <c r="F526">
        <v>1</v>
      </c>
      <c r="G526" t="s">
        <v>33</v>
      </c>
      <c r="H526" t="s">
        <v>34</v>
      </c>
      <c r="I526" s="3">
        <v>1507</v>
      </c>
      <c r="J526" s="3">
        <v>1507</v>
      </c>
      <c r="K526" s="3">
        <v>393</v>
      </c>
      <c r="L526" t="s">
        <v>9</v>
      </c>
      <c r="M526">
        <v>4</v>
      </c>
      <c r="N526" t="s">
        <v>82</v>
      </c>
      <c r="O526" t="s">
        <v>81</v>
      </c>
      <c r="P526" t="s">
        <v>71</v>
      </c>
      <c r="Q526" t="s">
        <v>72</v>
      </c>
      <c r="R526" t="s">
        <v>139</v>
      </c>
      <c r="S526" t="s">
        <v>144</v>
      </c>
      <c r="T526" s="2">
        <f>MASTER[[#This Row],[CANTIDAD]]*MASTER[[#This Row],[PRECIO DE VENTA]]</f>
        <v>1507</v>
      </c>
      <c r="U526" s="2">
        <f>MASTER[[#This Row],[CANTIDAD]]*MASTER[[#This Row],[COSTO UNITARIO]]</f>
        <v>393</v>
      </c>
      <c r="V526" s="2">
        <f>MASTER[[#This Row],[MONTO VENDIDO]]-MASTER[[#This Row],[COSTO DE VENTA]]</f>
        <v>1114</v>
      </c>
    </row>
    <row r="527" spans="1:22" x14ac:dyDescent="0.3">
      <c r="A527">
        <v>16746</v>
      </c>
      <c r="B527">
        <v>1</v>
      </c>
      <c r="C527" t="s">
        <v>101</v>
      </c>
      <c r="D527" t="s">
        <v>102</v>
      </c>
      <c r="E527" s="1">
        <v>43895</v>
      </c>
      <c r="F527">
        <v>1</v>
      </c>
      <c r="G527" t="s">
        <v>57</v>
      </c>
      <c r="H527" t="s">
        <v>58</v>
      </c>
      <c r="I527" s="3">
        <v>1357</v>
      </c>
      <c r="J527" s="3">
        <v>1357</v>
      </c>
      <c r="K527" s="3">
        <v>442</v>
      </c>
      <c r="L527" t="s">
        <v>98</v>
      </c>
      <c r="M527">
        <v>13</v>
      </c>
      <c r="N527" t="s">
        <v>78</v>
      </c>
      <c r="O527" t="s">
        <v>70</v>
      </c>
      <c r="P527" t="s">
        <v>18</v>
      </c>
      <c r="Q527" t="s">
        <v>19</v>
      </c>
      <c r="R527" t="s">
        <v>138</v>
      </c>
      <c r="S527" t="s">
        <v>144</v>
      </c>
      <c r="T527" s="2">
        <f>MASTER[[#This Row],[CANTIDAD]]*MASTER[[#This Row],[PRECIO DE VENTA]]</f>
        <v>1357</v>
      </c>
      <c r="U527" s="2">
        <f>MASTER[[#This Row],[CANTIDAD]]*MASTER[[#This Row],[COSTO UNITARIO]]</f>
        <v>442</v>
      </c>
      <c r="V527" s="2">
        <f>MASTER[[#This Row],[MONTO VENDIDO]]-MASTER[[#This Row],[COSTO DE VENTA]]</f>
        <v>915</v>
      </c>
    </row>
    <row r="528" spans="1:22" x14ac:dyDescent="0.3">
      <c r="A528">
        <v>16779</v>
      </c>
      <c r="B528">
        <v>1</v>
      </c>
      <c r="C528" t="s">
        <v>105</v>
      </c>
      <c r="D528" t="s">
        <v>106</v>
      </c>
      <c r="E528" s="1">
        <v>43895</v>
      </c>
      <c r="F528">
        <v>1</v>
      </c>
      <c r="G528" t="s">
        <v>35</v>
      </c>
      <c r="H528" t="s">
        <v>36</v>
      </c>
      <c r="I528" s="3">
        <v>1865</v>
      </c>
      <c r="J528" s="3">
        <v>1865</v>
      </c>
      <c r="K528" s="3">
        <v>459</v>
      </c>
      <c r="L528" t="s">
        <v>98</v>
      </c>
      <c r="M528">
        <v>10</v>
      </c>
      <c r="N528" t="s">
        <v>83</v>
      </c>
      <c r="O528" t="s">
        <v>81</v>
      </c>
      <c r="P528" t="s">
        <v>12</v>
      </c>
      <c r="Q528" t="s">
        <v>13</v>
      </c>
      <c r="R528" t="s">
        <v>13</v>
      </c>
      <c r="S528" t="s">
        <v>144</v>
      </c>
      <c r="T528" s="2">
        <f>MASTER[[#This Row],[CANTIDAD]]*MASTER[[#This Row],[PRECIO DE VENTA]]</f>
        <v>1865</v>
      </c>
      <c r="U528" s="2">
        <f>MASTER[[#This Row],[CANTIDAD]]*MASTER[[#This Row],[COSTO UNITARIO]]</f>
        <v>459</v>
      </c>
      <c r="V528" s="2">
        <f>MASTER[[#This Row],[MONTO VENDIDO]]-MASTER[[#This Row],[COSTO DE VENTA]]</f>
        <v>1406</v>
      </c>
    </row>
    <row r="529" spans="1:22" x14ac:dyDescent="0.3">
      <c r="A529">
        <v>16783</v>
      </c>
      <c r="B529">
        <v>1</v>
      </c>
      <c r="C529" t="s">
        <v>118</v>
      </c>
      <c r="D529" t="s">
        <v>119</v>
      </c>
      <c r="E529" s="1">
        <v>43895</v>
      </c>
      <c r="F529">
        <v>1</v>
      </c>
      <c r="G529" t="s">
        <v>57</v>
      </c>
      <c r="H529" t="s">
        <v>58</v>
      </c>
      <c r="I529" s="3">
        <v>900</v>
      </c>
      <c r="J529" s="3">
        <v>900</v>
      </c>
      <c r="K529" s="3">
        <v>424</v>
      </c>
      <c r="L529" t="s">
        <v>120</v>
      </c>
      <c r="M529">
        <v>5</v>
      </c>
      <c r="N529" t="s">
        <v>85</v>
      </c>
      <c r="O529" t="s">
        <v>81</v>
      </c>
      <c r="P529" t="s">
        <v>12</v>
      </c>
      <c r="Q529" t="s">
        <v>13</v>
      </c>
      <c r="R529" t="s">
        <v>13</v>
      </c>
      <c r="S529" t="s">
        <v>144</v>
      </c>
      <c r="T529" s="2">
        <f>MASTER[[#This Row],[CANTIDAD]]*MASTER[[#This Row],[PRECIO DE VENTA]]</f>
        <v>900</v>
      </c>
      <c r="U529" s="2">
        <f>MASTER[[#This Row],[CANTIDAD]]*MASTER[[#This Row],[COSTO UNITARIO]]</f>
        <v>424</v>
      </c>
      <c r="V529" s="2">
        <f>MASTER[[#This Row],[MONTO VENDIDO]]-MASTER[[#This Row],[COSTO DE VENTA]]</f>
        <v>476</v>
      </c>
    </row>
    <row r="530" spans="1:22" x14ac:dyDescent="0.3">
      <c r="A530">
        <v>16787</v>
      </c>
      <c r="B530">
        <v>1</v>
      </c>
      <c r="C530" t="s">
        <v>121</v>
      </c>
      <c r="D530" t="s">
        <v>122</v>
      </c>
      <c r="E530" s="1">
        <v>43895</v>
      </c>
      <c r="F530">
        <v>1</v>
      </c>
      <c r="G530" t="s">
        <v>29</v>
      </c>
      <c r="H530" t="s">
        <v>30</v>
      </c>
      <c r="I530" s="3">
        <v>941</v>
      </c>
      <c r="J530" s="3">
        <v>941</v>
      </c>
      <c r="K530" s="3">
        <v>460</v>
      </c>
      <c r="L530" t="s">
        <v>120</v>
      </c>
      <c r="M530">
        <v>17</v>
      </c>
      <c r="N530" t="s">
        <v>14</v>
      </c>
      <c r="O530" t="s">
        <v>11</v>
      </c>
      <c r="P530" t="s">
        <v>15</v>
      </c>
      <c r="Q530" t="s">
        <v>16</v>
      </c>
      <c r="R530" t="s">
        <v>16</v>
      </c>
      <c r="S530" t="s">
        <v>144</v>
      </c>
      <c r="T530" s="2">
        <f>MASTER[[#This Row],[CANTIDAD]]*MASTER[[#This Row],[PRECIO DE VENTA]]</f>
        <v>941</v>
      </c>
      <c r="U530" s="2">
        <f>MASTER[[#This Row],[CANTIDAD]]*MASTER[[#This Row],[COSTO UNITARIO]]</f>
        <v>460</v>
      </c>
      <c r="V530" s="2">
        <f>MASTER[[#This Row],[MONTO VENDIDO]]-MASTER[[#This Row],[COSTO DE VENTA]]</f>
        <v>481</v>
      </c>
    </row>
    <row r="531" spans="1:22" x14ac:dyDescent="0.3">
      <c r="A531">
        <v>16798</v>
      </c>
      <c r="B531">
        <v>1</v>
      </c>
      <c r="C531" t="s">
        <v>107</v>
      </c>
      <c r="D531" t="s">
        <v>108</v>
      </c>
      <c r="E531" s="1">
        <v>43895</v>
      </c>
      <c r="F531">
        <v>1</v>
      </c>
      <c r="G531" t="s">
        <v>22</v>
      </c>
      <c r="H531" t="s">
        <v>23</v>
      </c>
      <c r="I531" s="3">
        <v>1240</v>
      </c>
      <c r="J531" s="3">
        <v>1240</v>
      </c>
      <c r="K531" s="3">
        <v>380</v>
      </c>
      <c r="L531" t="s">
        <v>98</v>
      </c>
      <c r="M531">
        <v>17</v>
      </c>
      <c r="N531" t="s">
        <v>14</v>
      </c>
      <c r="O531" t="s">
        <v>11</v>
      </c>
      <c r="P531" t="s">
        <v>15</v>
      </c>
      <c r="Q531" t="s">
        <v>16</v>
      </c>
      <c r="R531" t="s">
        <v>16</v>
      </c>
      <c r="S531" t="s">
        <v>144</v>
      </c>
      <c r="T531" s="2">
        <f>MASTER[[#This Row],[CANTIDAD]]*MASTER[[#This Row],[PRECIO DE VENTA]]</f>
        <v>1240</v>
      </c>
      <c r="U531" s="2">
        <f>MASTER[[#This Row],[CANTIDAD]]*MASTER[[#This Row],[COSTO UNITARIO]]</f>
        <v>380</v>
      </c>
      <c r="V531" s="2">
        <f>MASTER[[#This Row],[MONTO VENDIDO]]-MASTER[[#This Row],[COSTO DE VENTA]]</f>
        <v>860</v>
      </c>
    </row>
    <row r="532" spans="1:22" x14ac:dyDescent="0.3">
      <c r="A532">
        <v>16803</v>
      </c>
      <c r="B532">
        <v>1</v>
      </c>
      <c r="C532" t="s">
        <v>105</v>
      </c>
      <c r="D532" t="s">
        <v>106</v>
      </c>
      <c r="E532" s="1">
        <v>43895</v>
      </c>
      <c r="F532">
        <v>1</v>
      </c>
      <c r="G532" t="s">
        <v>20</v>
      </c>
      <c r="H532" t="s">
        <v>21</v>
      </c>
      <c r="I532" s="3">
        <v>2033</v>
      </c>
      <c r="J532" s="3">
        <v>2033</v>
      </c>
      <c r="K532" s="3">
        <v>459</v>
      </c>
      <c r="L532" t="s">
        <v>98</v>
      </c>
      <c r="M532">
        <v>1</v>
      </c>
      <c r="N532" t="s">
        <v>77</v>
      </c>
      <c r="O532" t="s">
        <v>70</v>
      </c>
      <c r="P532" t="s">
        <v>71</v>
      </c>
      <c r="Q532" t="s">
        <v>72</v>
      </c>
      <c r="R532" t="s">
        <v>139</v>
      </c>
      <c r="S532" t="s">
        <v>144</v>
      </c>
      <c r="T532" s="2">
        <f>MASTER[[#This Row],[CANTIDAD]]*MASTER[[#This Row],[PRECIO DE VENTA]]</f>
        <v>2033</v>
      </c>
      <c r="U532" s="2">
        <f>MASTER[[#This Row],[CANTIDAD]]*MASTER[[#This Row],[COSTO UNITARIO]]</f>
        <v>459</v>
      </c>
      <c r="V532" s="2">
        <f>MASTER[[#This Row],[MONTO VENDIDO]]-MASTER[[#This Row],[COSTO DE VENTA]]</f>
        <v>1574</v>
      </c>
    </row>
    <row r="533" spans="1:22" x14ac:dyDescent="0.3">
      <c r="A533">
        <v>16822</v>
      </c>
      <c r="B533">
        <v>1</v>
      </c>
      <c r="C533" t="s">
        <v>109</v>
      </c>
      <c r="D533" t="s">
        <v>110</v>
      </c>
      <c r="E533" s="1">
        <v>43895</v>
      </c>
      <c r="F533">
        <v>1</v>
      </c>
      <c r="G533" t="s">
        <v>27</v>
      </c>
      <c r="H533" t="s">
        <v>28</v>
      </c>
      <c r="I533" s="3">
        <v>1064</v>
      </c>
      <c r="J533" s="3">
        <v>1064</v>
      </c>
      <c r="K533" s="3">
        <v>387</v>
      </c>
      <c r="L533" t="s">
        <v>98</v>
      </c>
      <c r="M533">
        <v>5</v>
      </c>
      <c r="N533" t="s">
        <v>85</v>
      </c>
      <c r="O533" t="s">
        <v>81</v>
      </c>
      <c r="P533" t="s">
        <v>12</v>
      </c>
      <c r="Q533" t="s">
        <v>13</v>
      </c>
      <c r="R533" t="s">
        <v>13</v>
      </c>
      <c r="S533" t="s">
        <v>144</v>
      </c>
      <c r="T533" s="2">
        <f>MASTER[[#This Row],[CANTIDAD]]*MASTER[[#This Row],[PRECIO DE VENTA]]</f>
        <v>1064</v>
      </c>
      <c r="U533" s="2">
        <f>MASTER[[#This Row],[CANTIDAD]]*MASTER[[#This Row],[COSTO UNITARIO]]</f>
        <v>387</v>
      </c>
      <c r="V533" s="2">
        <f>MASTER[[#This Row],[MONTO VENDIDO]]-MASTER[[#This Row],[COSTO DE VENTA]]</f>
        <v>677</v>
      </c>
    </row>
    <row r="534" spans="1:22" x14ac:dyDescent="0.3">
      <c r="A534">
        <v>16849</v>
      </c>
      <c r="B534">
        <v>1</v>
      </c>
      <c r="C534" t="s">
        <v>118</v>
      </c>
      <c r="D534" t="s">
        <v>119</v>
      </c>
      <c r="E534" s="1">
        <v>43896</v>
      </c>
      <c r="F534">
        <v>1</v>
      </c>
      <c r="G534" t="s">
        <v>33</v>
      </c>
      <c r="H534" t="s">
        <v>34</v>
      </c>
      <c r="I534" s="3">
        <v>801</v>
      </c>
      <c r="J534" s="3">
        <v>801</v>
      </c>
      <c r="K534" s="3">
        <v>424</v>
      </c>
      <c r="L534" t="s">
        <v>120</v>
      </c>
      <c r="M534">
        <v>17</v>
      </c>
      <c r="N534" t="s">
        <v>14</v>
      </c>
      <c r="O534" t="s">
        <v>11</v>
      </c>
      <c r="P534" t="s">
        <v>15</v>
      </c>
      <c r="Q534" t="s">
        <v>16</v>
      </c>
      <c r="R534" t="s">
        <v>16</v>
      </c>
      <c r="S534" t="s">
        <v>144</v>
      </c>
      <c r="T534" s="2">
        <f>MASTER[[#This Row],[CANTIDAD]]*MASTER[[#This Row],[PRECIO DE VENTA]]</f>
        <v>801</v>
      </c>
      <c r="U534" s="2">
        <f>MASTER[[#This Row],[CANTIDAD]]*MASTER[[#This Row],[COSTO UNITARIO]]</f>
        <v>424</v>
      </c>
      <c r="V534" s="2">
        <f>MASTER[[#This Row],[MONTO VENDIDO]]-MASTER[[#This Row],[COSTO DE VENTA]]</f>
        <v>377</v>
      </c>
    </row>
    <row r="535" spans="1:22" x14ac:dyDescent="0.3">
      <c r="A535">
        <v>16851</v>
      </c>
      <c r="B535">
        <v>1</v>
      </c>
      <c r="C535" t="s">
        <v>103</v>
      </c>
      <c r="D535" t="s">
        <v>104</v>
      </c>
      <c r="E535" s="1">
        <v>43896</v>
      </c>
      <c r="F535">
        <v>1</v>
      </c>
      <c r="G535" t="s">
        <v>65</v>
      </c>
      <c r="H535" t="s">
        <v>66</v>
      </c>
      <c r="I535" s="3">
        <v>1448</v>
      </c>
      <c r="J535" s="3">
        <v>1448</v>
      </c>
      <c r="K535" s="3">
        <v>421</v>
      </c>
      <c r="L535" t="s">
        <v>98</v>
      </c>
      <c r="M535">
        <v>16</v>
      </c>
      <c r="N535" t="s">
        <v>17</v>
      </c>
      <c r="O535" t="s">
        <v>11</v>
      </c>
      <c r="P535" t="s">
        <v>18</v>
      </c>
      <c r="Q535" t="s">
        <v>19</v>
      </c>
      <c r="R535" t="s">
        <v>138</v>
      </c>
      <c r="S535" t="s">
        <v>144</v>
      </c>
      <c r="T535" s="2">
        <f>MASTER[[#This Row],[CANTIDAD]]*MASTER[[#This Row],[PRECIO DE VENTA]]</f>
        <v>1448</v>
      </c>
      <c r="U535" s="2">
        <f>MASTER[[#This Row],[CANTIDAD]]*MASTER[[#This Row],[COSTO UNITARIO]]</f>
        <v>421</v>
      </c>
      <c r="V535" s="2">
        <f>MASTER[[#This Row],[MONTO VENDIDO]]-MASTER[[#This Row],[COSTO DE VENTA]]</f>
        <v>1027</v>
      </c>
    </row>
    <row r="536" spans="1:22" x14ac:dyDescent="0.3">
      <c r="A536">
        <v>16852</v>
      </c>
      <c r="B536">
        <v>1</v>
      </c>
      <c r="C536" t="s">
        <v>90</v>
      </c>
      <c r="D536" t="s">
        <v>91</v>
      </c>
      <c r="E536" s="1">
        <v>43896</v>
      </c>
      <c r="F536">
        <v>4</v>
      </c>
      <c r="G536" t="s">
        <v>59</v>
      </c>
      <c r="H536" t="s">
        <v>60</v>
      </c>
      <c r="I536" s="3">
        <v>2102</v>
      </c>
      <c r="J536" s="3">
        <v>2102</v>
      </c>
      <c r="K536" s="3">
        <v>420</v>
      </c>
      <c r="L536" t="s">
        <v>9</v>
      </c>
      <c r="M536">
        <v>18</v>
      </c>
      <c r="N536" t="s">
        <v>79</v>
      </c>
      <c r="O536" t="s">
        <v>70</v>
      </c>
      <c r="P536" t="s">
        <v>15</v>
      </c>
      <c r="Q536" t="s">
        <v>16</v>
      </c>
      <c r="R536" t="s">
        <v>16</v>
      </c>
      <c r="S536" t="s">
        <v>144</v>
      </c>
      <c r="T536" s="2">
        <f>MASTER[[#This Row],[CANTIDAD]]*MASTER[[#This Row],[PRECIO DE VENTA]]</f>
        <v>8408</v>
      </c>
      <c r="U536" s="2">
        <f>MASTER[[#This Row],[CANTIDAD]]*MASTER[[#This Row],[COSTO UNITARIO]]</f>
        <v>1680</v>
      </c>
      <c r="V536" s="2">
        <f>MASTER[[#This Row],[MONTO VENDIDO]]-MASTER[[#This Row],[COSTO DE VENTA]]</f>
        <v>6728</v>
      </c>
    </row>
    <row r="537" spans="1:22" x14ac:dyDescent="0.3">
      <c r="A537">
        <v>16861</v>
      </c>
      <c r="B537">
        <v>1</v>
      </c>
      <c r="C537" t="s">
        <v>121</v>
      </c>
      <c r="D537" t="s">
        <v>122</v>
      </c>
      <c r="E537" s="1">
        <v>43896</v>
      </c>
      <c r="F537">
        <v>1</v>
      </c>
      <c r="G537" t="s">
        <v>37</v>
      </c>
      <c r="H537" t="s">
        <v>38</v>
      </c>
      <c r="I537" s="3">
        <v>941</v>
      </c>
      <c r="J537" s="3">
        <v>941</v>
      </c>
      <c r="K537" s="3">
        <v>460</v>
      </c>
      <c r="L537" t="s">
        <v>120</v>
      </c>
      <c r="M537">
        <v>12</v>
      </c>
      <c r="N537" t="s">
        <v>26</v>
      </c>
      <c r="O537" t="s">
        <v>11</v>
      </c>
      <c r="P537" t="s">
        <v>12</v>
      </c>
      <c r="Q537" t="s">
        <v>13</v>
      </c>
      <c r="R537" t="s">
        <v>13</v>
      </c>
      <c r="S537" t="s">
        <v>144</v>
      </c>
      <c r="T537" s="2">
        <f>MASTER[[#This Row],[CANTIDAD]]*MASTER[[#This Row],[PRECIO DE VENTA]]</f>
        <v>941</v>
      </c>
      <c r="U537" s="2">
        <f>MASTER[[#This Row],[CANTIDAD]]*MASTER[[#This Row],[COSTO UNITARIO]]</f>
        <v>460</v>
      </c>
      <c r="V537" s="2">
        <f>MASTER[[#This Row],[MONTO VENDIDO]]-MASTER[[#This Row],[COSTO DE VENTA]]</f>
        <v>481</v>
      </c>
    </row>
    <row r="538" spans="1:22" x14ac:dyDescent="0.3">
      <c r="A538">
        <v>16893</v>
      </c>
      <c r="B538">
        <v>1</v>
      </c>
      <c r="C538" t="s">
        <v>109</v>
      </c>
      <c r="D538" t="s">
        <v>110</v>
      </c>
      <c r="E538" s="1">
        <v>43896</v>
      </c>
      <c r="F538">
        <v>1</v>
      </c>
      <c r="G538" t="s">
        <v>67</v>
      </c>
      <c r="H538" t="s">
        <v>68</v>
      </c>
      <c r="I538" s="3">
        <v>947</v>
      </c>
      <c r="J538" s="3">
        <v>947</v>
      </c>
      <c r="K538" s="3">
        <v>387</v>
      </c>
      <c r="L538" t="s">
        <v>98</v>
      </c>
      <c r="M538">
        <v>17</v>
      </c>
      <c r="N538" t="s">
        <v>14</v>
      </c>
      <c r="O538" t="s">
        <v>11</v>
      </c>
      <c r="P538" t="s">
        <v>15</v>
      </c>
      <c r="Q538" t="s">
        <v>16</v>
      </c>
      <c r="R538" t="s">
        <v>16</v>
      </c>
      <c r="S538" t="s">
        <v>144</v>
      </c>
      <c r="T538" s="2">
        <f>MASTER[[#This Row],[CANTIDAD]]*MASTER[[#This Row],[PRECIO DE VENTA]]</f>
        <v>947</v>
      </c>
      <c r="U538" s="2">
        <f>MASTER[[#This Row],[CANTIDAD]]*MASTER[[#This Row],[COSTO UNITARIO]]</f>
        <v>387</v>
      </c>
      <c r="V538" s="2">
        <f>MASTER[[#This Row],[MONTO VENDIDO]]-MASTER[[#This Row],[COSTO DE VENTA]]</f>
        <v>560</v>
      </c>
    </row>
    <row r="539" spans="1:22" x14ac:dyDescent="0.3">
      <c r="A539">
        <v>16904</v>
      </c>
      <c r="B539">
        <v>1</v>
      </c>
      <c r="C539" t="s">
        <v>103</v>
      </c>
      <c r="D539" t="s">
        <v>104</v>
      </c>
      <c r="E539" s="1">
        <v>43896</v>
      </c>
      <c r="F539">
        <v>1</v>
      </c>
      <c r="G539" t="s">
        <v>47</v>
      </c>
      <c r="H539" t="s">
        <v>48</v>
      </c>
      <c r="I539" s="3">
        <v>1591</v>
      </c>
      <c r="J539" s="3">
        <v>1591</v>
      </c>
      <c r="K539" s="3">
        <v>421</v>
      </c>
      <c r="L539" t="s">
        <v>98</v>
      </c>
      <c r="M539">
        <v>7</v>
      </c>
      <c r="N539" t="s">
        <v>84</v>
      </c>
      <c r="O539" t="s">
        <v>81</v>
      </c>
      <c r="P539" t="s">
        <v>12</v>
      </c>
      <c r="Q539" t="s">
        <v>13</v>
      </c>
      <c r="R539" t="s">
        <v>13</v>
      </c>
      <c r="S539" t="s">
        <v>144</v>
      </c>
      <c r="T539" s="2">
        <f>MASTER[[#This Row],[CANTIDAD]]*MASTER[[#This Row],[PRECIO DE VENTA]]</f>
        <v>1591</v>
      </c>
      <c r="U539" s="2">
        <f>MASTER[[#This Row],[CANTIDAD]]*MASTER[[#This Row],[COSTO UNITARIO]]</f>
        <v>421</v>
      </c>
      <c r="V539" s="2">
        <f>MASTER[[#This Row],[MONTO VENDIDO]]-MASTER[[#This Row],[COSTO DE VENTA]]</f>
        <v>1170</v>
      </c>
    </row>
    <row r="540" spans="1:22" x14ac:dyDescent="0.3">
      <c r="A540">
        <v>16958</v>
      </c>
      <c r="B540">
        <v>1</v>
      </c>
      <c r="C540" t="s">
        <v>99</v>
      </c>
      <c r="D540" t="s">
        <v>100</v>
      </c>
      <c r="E540" s="1">
        <v>43896</v>
      </c>
      <c r="F540">
        <v>1</v>
      </c>
      <c r="G540" t="s">
        <v>20</v>
      </c>
      <c r="H540" t="s">
        <v>21</v>
      </c>
      <c r="I540" s="3">
        <v>1459</v>
      </c>
      <c r="J540" s="3">
        <v>1459</v>
      </c>
      <c r="K540" s="3">
        <v>386</v>
      </c>
      <c r="L540" t="s">
        <v>98</v>
      </c>
      <c r="M540">
        <v>14</v>
      </c>
      <c r="N540" t="s">
        <v>87</v>
      </c>
      <c r="O540" t="s">
        <v>81</v>
      </c>
      <c r="P540" t="s">
        <v>18</v>
      </c>
      <c r="Q540" t="s">
        <v>19</v>
      </c>
      <c r="R540" t="s">
        <v>138</v>
      </c>
      <c r="S540" t="s">
        <v>144</v>
      </c>
      <c r="T540" s="2">
        <f>MASTER[[#This Row],[CANTIDAD]]*MASTER[[#This Row],[PRECIO DE VENTA]]</f>
        <v>1459</v>
      </c>
      <c r="U540" s="2">
        <f>MASTER[[#This Row],[CANTIDAD]]*MASTER[[#This Row],[COSTO UNITARIO]]</f>
        <v>386</v>
      </c>
      <c r="V540" s="2">
        <f>MASTER[[#This Row],[MONTO VENDIDO]]-MASTER[[#This Row],[COSTO DE VENTA]]</f>
        <v>1073</v>
      </c>
    </row>
    <row r="541" spans="1:22" x14ac:dyDescent="0.3">
      <c r="A541">
        <v>16972</v>
      </c>
      <c r="B541">
        <v>1</v>
      </c>
      <c r="C541" t="s">
        <v>105</v>
      </c>
      <c r="D541" t="s">
        <v>106</v>
      </c>
      <c r="E541" s="1">
        <v>43896</v>
      </c>
      <c r="F541">
        <v>4</v>
      </c>
      <c r="G541" t="s">
        <v>7</v>
      </c>
      <c r="H541" t="s">
        <v>8</v>
      </c>
      <c r="I541" s="3">
        <v>1865</v>
      </c>
      <c r="J541" s="3">
        <v>1865</v>
      </c>
      <c r="K541" s="3">
        <v>459</v>
      </c>
      <c r="L541" t="s">
        <v>98</v>
      </c>
      <c r="M541">
        <v>8</v>
      </c>
      <c r="N541" t="s">
        <v>80</v>
      </c>
      <c r="O541" t="s">
        <v>81</v>
      </c>
      <c r="P541" t="s">
        <v>12</v>
      </c>
      <c r="Q541" t="s">
        <v>13</v>
      </c>
      <c r="R541" t="s">
        <v>13</v>
      </c>
      <c r="S541" t="s">
        <v>144</v>
      </c>
      <c r="T541" s="2">
        <f>MASTER[[#This Row],[CANTIDAD]]*MASTER[[#This Row],[PRECIO DE VENTA]]</f>
        <v>7460</v>
      </c>
      <c r="U541" s="2">
        <f>MASTER[[#This Row],[CANTIDAD]]*MASTER[[#This Row],[COSTO UNITARIO]]</f>
        <v>1836</v>
      </c>
      <c r="V541" s="2">
        <f>MASTER[[#This Row],[MONTO VENDIDO]]-MASTER[[#This Row],[COSTO DE VENTA]]</f>
        <v>5624</v>
      </c>
    </row>
    <row r="542" spans="1:22" x14ac:dyDescent="0.3">
      <c r="A542">
        <v>16977</v>
      </c>
      <c r="B542">
        <v>1</v>
      </c>
      <c r="C542" t="s">
        <v>121</v>
      </c>
      <c r="D542" t="s">
        <v>122</v>
      </c>
      <c r="E542" s="1">
        <v>43896</v>
      </c>
      <c r="F542">
        <v>1</v>
      </c>
      <c r="G542" t="s">
        <v>29</v>
      </c>
      <c r="H542" t="s">
        <v>30</v>
      </c>
      <c r="I542" s="3">
        <v>941</v>
      </c>
      <c r="J542" s="3">
        <v>941</v>
      </c>
      <c r="K542" s="3">
        <v>460</v>
      </c>
      <c r="L542" t="s">
        <v>120</v>
      </c>
      <c r="M542">
        <v>11</v>
      </c>
      <c r="N542" t="s">
        <v>10</v>
      </c>
      <c r="O542" t="s">
        <v>11</v>
      </c>
      <c r="P542" t="s">
        <v>12</v>
      </c>
      <c r="Q542" t="s">
        <v>13</v>
      </c>
      <c r="R542" t="s">
        <v>13</v>
      </c>
      <c r="S542" t="s">
        <v>144</v>
      </c>
      <c r="T542" s="2">
        <f>MASTER[[#This Row],[CANTIDAD]]*MASTER[[#This Row],[PRECIO DE VENTA]]</f>
        <v>941</v>
      </c>
      <c r="U542" s="2">
        <f>MASTER[[#This Row],[CANTIDAD]]*MASTER[[#This Row],[COSTO UNITARIO]]</f>
        <v>460</v>
      </c>
      <c r="V542" s="2">
        <f>MASTER[[#This Row],[MONTO VENDIDO]]-MASTER[[#This Row],[COSTO DE VENTA]]</f>
        <v>481</v>
      </c>
    </row>
    <row r="543" spans="1:22" x14ac:dyDescent="0.3">
      <c r="A543">
        <v>16987</v>
      </c>
      <c r="B543">
        <v>1</v>
      </c>
      <c r="C543" t="s">
        <v>101</v>
      </c>
      <c r="D543" t="s">
        <v>102</v>
      </c>
      <c r="E543" s="1">
        <v>43896</v>
      </c>
      <c r="F543">
        <v>1</v>
      </c>
      <c r="G543" t="s">
        <v>53</v>
      </c>
      <c r="H543" t="s">
        <v>54</v>
      </c>
      <c r="I543" s="3">
        <v>1054</v>
      </c>
      <c r="J543" s="3">
        <v>1054</v>
      </c>
      <c r="K543" s="3">
        <v>442</v>
      </c>
      <c r="L543" t="s">
        <v>98</v>
      </c>
      <c r="M543">
        <v>17</v>
      </c>
      <c r="N543" t="s">
        <v>14</v>
      </c>
      <c r="O543" t="s">
        <v>11</v>
      </c>
      <c r="P543" t="s">
        <v>15</v>
      </c>
      <c r="Q543" t="s">
        <v>16</v>
      </c>
      <c r="R543" t="s">
        <v>16</v>
      </c>
      <c r="S543" t="s">
        <v>144</v>
      </c>
      <c r="T543" s="2">
        <f>MASTER[[#This Row],[CANTIDAD]]*MASTER[[#This Row],[PRECIO DE VENTA]]</f>
        <v>1054</v>
      </c>
      <c r="U543" s="2">
        <f>MASTER[[#This Row],[CANTIDAD]]*MASTER[[#This Row],[COSTO UNITARIO]]</f>
        <v>442</v>
      </c>
      <c r="V543" s="2">
        <f>MASTER[[#This Row],[MONTO VENDIDO]]-MASTER[[#This Row],[COSTO DE VENTA]]</f>
        <v>612</v>
      </c>
    </row>
    <row r="544" spans="1:22" x14ac:dyDescent="0.3">
      <c r="A544">
        <v>16996</v>
      </c>
      <c r="B544">
        <v>1</v>
      </c>
      <c r="C544" t="s">
        <v>5</v>
      </c>
      <c r="D544" t="s">
        <v>6</v>
      </c>
      <c r="E544" s="1">
        <v>43896</v>
      </c>
      <c r="F544">
        <v>1</v>
      </c>
      <c r="G544" t="s">
        <v>41</v>
      </c>
      <c r="H544" t="s">
        <v>42</v>
      </c>
      <c r="I544" s="3">
        <v>1296</v>
      </c>
      <c r="J544" s="3">
        <v>1296</v>
      </c>
      <c r="K544" s="3">
        <v>393</v>
      </c>
      <c r="L544" t="s">
        <v>9</v>
      </c>
      <c r="M544">
        <v>9</v>
      </c>
      <c r="N544" t="s">
        <v>76</v>
      </c>
      <c r="O544" t="s">
        <v>70</v>
      </c>
      <c r="P544" t="s">
        <v>12</v>
      </c>
      <c r="Q544" t="s">
        <v>13</v>
      </c>
      <c r="R544" t="s">
        <v>13</v>
      </c>
      <c r="S544" t="s">
        <v>144</v>
      </c>
      <c r="T544" s="2">
        <f>MASTER[[#This Row],[CANTIDAD]]*MASTER[[#This Row],[PRECIO DE VENTA]]</f>
        <v>1296</v>
      </c>
      <c r="U544" s="2">
        <f>MASTER[[#This Row],[CANTIDAD]]*MASTER[[#This Row],[COSTO UNITARIO]]</f>
        <v>393</v>
      </c>
      <c r="V544" s="2">
        <f>MASTER[[#This Row],[MONTO VENDIDO]]-MASTER[[#This Row],[COSTO DE VENTA]]</f>
        <v>903</v>
      </c>
    </row>
    <row r="545" spans="1:22" x14ac:dyDescent="0.3">
      <c r="A545">
        <v>16999</v>
      </c>
      <c r="B545">
        <v>1</v>
      </c>
      <c r="C545" t="s">
        <v>5</v>
      </c>
      <c r="D545" t="s">
        <v>6</v>
      </c>
      <c r="E545" s="1">
        <v>43896</v>
      </c>
      <c r="F545">
        <v>1</v>
      </c>
      <c r="G545" t="s">
        <v>39</v>
      </c>
      <c r="H545" t="s">
        <v>40</v>
      </c>
      <c r="I545" s="3">
        <v>1507</v>
      </c>
      <c r="J545" s="3">
        <v>1507</v>
      </c>
      <c r="K545" s="3">
        <v>393</v>
      </c>
      <c r="L545" t="s">
        <v>9</v>
      </c>
      <c r="M545">
        <v>14</v>
      </c>
      <c r="N545" t="s">
        <v>87</v>
      </c>
      <c r="O545" t="s">
        <v>81</v>
      </c>
      <c r="P545" t="s">
        <v>18</v>
      </c>
      <c r="Q545" t="s">
        <v>19</v>
      </c>
      <c r="R545" t="s">
        <v>138</v>
      </c>
      <c r="S545" t="s">
        <v>144</v>
      </c>
      <c r="T545" s="2">
        <f>MASTER[[#This Row],[CANTIDAD]]*MASTER[[#This Row],[PRECIO DE VENTA]]</f>
        <v>1507</v>
      </c>
      <c r="U545" s="2">
        <f>MASTER[[#This Row],[CANTIDAD]]*MASTER[[#This Row],[COSTO UNITARIO]]</f>
        <v>393</v>
      </c>
      <c r="V545" s="2">
        <f>MASTER[[#This Row],[MONTO VENDIDO]]-MASTER[[#This Row],[COSTO DE VENTA]]</f>
        <v>1114</v>
      </c>
    </row>
    <row r="546" spans="1:22" x14ac:dyDescent="0.3">
      <c r="A546">
        <v>17002</v>
      </c>
      <c r="B546">
        <v>1</v>
      </c>
      <c r="C546" t="s">
        <v>118</v>
      </c>
      <c r="D546" t="s">
        <v>119</v>
      </c>
      <c r="E546" s="1">
        <v>43897</v>
      </c>
      <c r="F546">
        <v>1</v>
      </c>
      <c r="G546" t="s">
        <v>61</v>
      </c>
      <c r="H546" t="s">
        <v>62</v>
      </c>
      <c r="I546" s="3">
        <v>801</v>
      </c>
      <c r="J546" s="3">
        <v>801</v>
      </c>
      <c r="K546" s="3">
        <v>424</v>
      </c>
      <c r="L546" t="s">
        <v>120</v>
      </c>
      <c r="M546">
        <v>17</v>
      </c>
      <c r="N546" t="s">
        <v>14</v>
      </c>
      <c r="O546" t="s">
        <v>11</v>
      </c>
      <c r="P546" t="s">
        <v>15</v>
      </c>
      <c r="Q546" t="s">
        <v>16</v>
      </c>
      <c r="R546" t="s">
        <v>16</v>
      </c>
      <c r="S546" t="s">
        <v>144</v>
      </c>
      <c r="T546" s="2">
        <f>MASTER[[#This Row],[CANTIDAD]]*MASTER[[#This Row],[PRECIO DE VENTA]]</f>
        <v>801</v>
      </c>
      <c r="U546" s="2">
        <f>MASTER[[#This Row],[CANTIDAD]]*MASTER[[#This Row],[COSTO UNITARIO]]</f>
        <v>424</v>
      </c>
      <c r="V546" s="2">
        <f>MASTER[[#This Row],[MONTO VENDIDO]]-MASTER[[#This Row],[COSTO DE VENTA]]</f>
        <v>377</v>
      </c>
    </row>
    <row r="547" spans="1:22" x14ac:dyDescent="0.3">
      <c r="A547">
        <v>17013</v>
      </c>
      <c r="B547">
        <v>1</v>
      </c>
      <c r="C547" t="s">
        <v>5</v>
      </c>
      <c r="D547" t="s">
        <v>6</v>
      </c>
      <c r="E547" s="1">
        <v>43897</v>
      </c>
      <c r="F547">
        <v>1</v>
      </c>
      <c r="G547" t="s">
        <v>29</v>
      </c>
      <c r="H547" t="s">
        <v>30</v>
      </c>
      <c r="I547" s="3">
        <v>1311</v>
      </c>
      <c r="J547" s="3">
        <v>1311</v>
      </c>
      <c r="K547" s="3">
        <v>393</v>
      </c>
      <c r="L547" t="s">
        <v>9</v>
      </c>
      <c r="M547">
        <v>12</v>
      </c>
      <c r="N547" t="s">
        <v>26</v>
      </c>
      <c r="O547" t="s">
        <v>11</v>
      </c>
      <c r="P547" t="s">
        <v>12</v>
      </c>
      <c r="Q547" t="s">
        <v>13</v>
      </c>
      <c r="R547" t="s">
        <v>13</v>
      </c>
      <c r="S547" t="s">
        <v>144</v>
      </c>
      <c r="T547" s="2">
        <f>MASTER[[#This Row],[CANTIDAD]]*MASTER[[#This Row],[PRECIO DE VENTA]]</f>
        <v>1311</v>
      </c>
      <c r="U547" s="2">
        <f>MASTER[[#This Row],[CANTIDAD]]*MASTER[[#This Row],[COSTO UNITARIO]]</f>
        <v>393</v>
      </c>
      <c r="V547" s="2">
        <f>MASTER[[#This Row],[MONTO VENDIDO]]-MASTER[[#This Row],[COSTO DE VENTA]]</f>
        <v>918</v>
      </c>
    </row>
    <row r="548" spans="1:22" x14ac:dyDescent="0.3">
      <c r="A548">
        <v>17018</v>
      </c>
      <c r="B548">
        <v>2</v>
      </c>
      <c r="C548" t="s">
        <v>96</v>
      </c>
      <c r="D548" t="s">
        <v>97</v>
      </c>
      <c r="E548" s="1">
        <v>43897</v>
      </c>
      <c r="F548">
        <v>2</v>
      </c>
      <c r="G548" t="s">
        <v>7</v>
      </c>
      <c r="H548" t="s">
        <v>8</v>
      </c>
      <c r="I548" s="3">
        <v>1196</v>
      </c>
      <c r="J548" s="3">
        <v>1196</v>
      </c>
      <c r="K548" s="3">
        <v>397</v>
      </c>
      <c r="L548" t="s">
        <v>98</v>
      </c>
      <c r="M548">
        <v>12</v>
      </c>
      <c r="N548" t="s">
        <v>26</v>
      </c>
      <c r="O548" t="s">
        <v>11</v>
      </c>
      <c r="P548" t="s">
        <v>12</v>
      </c>
      <c r="Q548" t="s">
        <v>13</v>
      </c>
      <c r="R548" t="s">
        <v>13</v>
      </c>
      <c r="S548" t="s">
        <v>144</v>
      </c>
      <c r="T548" s="2">
        <f>MASTER[[#This Row],[CANTIDAD]]*MASTER[[#This Row],[PRECIO DE VENTA]]</f>
        <v>2392</v>
      </c>
      <c r="U548" s="2">
        <f>MASTER[[#This Row],[CANTIDAD]]*MASTER[[#This Row],[COSTO UNITARIO]]</f>
        <v>794</v>
      </c>
      <c r="V548" s="2">
        <f>MASTER[[#This Row],[MONTO VENDIDO]]-MASTER[[#This Row],[COSTO DE VENTA]]</f>
        <v>1598</v>
      </c>
    </row>
    <row r="549" spans="1:22" x14ac:dyDescent="0.3">
      <c r="A549">
        <v>17018</v>
      </c>
      <c r="B549">
        <v>1</v>
      </c>
      <c r="C549" t="s">
        <v>116</v>
      </c>
      <c r="D549" t="s">
        <v>117</v>
      </c>
      <c r="E549" s="1">
        <v>43897</v>
      </c>
      <c r="F549">
        <v>1</v>
      </c>
      <c r="G549" t="s">
        <v>51</v>
      </c>
      <c r="H549" t="s">
        <v>52</v>
      </c>
      <c r="I549" s="3">
        <v>1529</v>
      </c>
      <c r="J549" s="3">
        <v>1467</v>
      </c>
      <c r="K549" s="3">
        <v>388</v>
      </c>
      <c r="L549" t="s">
        <v>113</v>
      </c>
      <c r="M549">
        <v>12</v>
      </c>
      <c r="N549" t="s">
        <v>26</v>
      </c>
      <c r="O549" t="s">
        <v>11</v>
      </c>
      <c r="P549" t="s">
        <v>12</v>
      </c>
      <c r="Q549" t="s">
        <v>13</v>
      </c>
      <c r="R549" t="s">
        <v>13</v>
      </c>
      <c r="S549" t="s">
        <v>144</v>
      </c>
      <c r="T549" s="2">
        <f>MASTER[[#This Row],[CANTIDAD]]*MASTER[[#This Row],[PRECIO DE VENTA]]</f>
        <v>1467</v>
      </c>
      <c r="U549" s="2">
        <f>MASTER[[#This Row],[CANTIDAD]]*MASTER[[#This Row],[COSTO UNITARIO]]</f>
        <v>388</v>
      </c>
      <c r="V549" s="2">
        <f>MASTER[[#This Row],[MONTO VENDIDO]]-MASTER[[#This Row],[COSTO DE VENTA]]</f>
        <v>1079</v>
      </c>
    </row>
    <row r="550" spans="1:22" x14ac:dyDescent="0.3">
      <c r="A550">
        <v>17048</v>
      </c>
      <c r="B550">
        <v>1</v>
      </c>
      <c r="C550" t="s">
        <v>118</v>
      </c>
      <c r="D550" t="s">
        <v>119</v>
      </c>
      <c r="E550" s="1">
        <v>43897</v>
      </c>
      <c r="F550">
        <v>1</v>
      </c>
      <c r="G550" t="s">
        <v>51</v>
      </c>
      <c r="H550" t="s">
        <v>52</v>
      </c>
      <c r="I550" s="3">
        <v>1026</v>
      </c>
      <c r="J550" s="3">
        <v>1026</v>
      </c>
      <c r="K550" s="3">
        <v>424</v>
      </c>
      <c r="L550" t="s">
        <v>120</v>
      </c>
      <c r="M550">
        <v>6</v>
      </c>
      <c r="N550" t="s">
        <v>75</v>
      </c>
      <c r="O550" t="s">
        <v>70</v>
      </c>
      <c r="P550" t="s">
        <v>12</v>
      </c>
      <c r="Q550" t="s">
        <v>13</v>
      </c>
      <c r="R550" t="s">
        <v>13</v>
      </c>
      <c r="S550" t="s">
        <v>144</v>
      </c>
      <c r="T550" s="2">
        <f>MASTER[[#This Row],[CANTIDAD]]*MASTER[[#This Row],[PRECIO DE VENTA]]</f>
        <v>1026</v>
      </c>
      <c r="U550" s="2">
        <f>MASTER[[#This Row],[CANTIDAD]]*MASTER[[#This Row],[COSTO UNITARIO]]</f>
        <v>424</v>
      </c>
      <c r="V550" s="2">
        <f>MASTER[[#This Row],[MONTO VENDIDO]]-MASTER[[#This Row],[COSTO DE VENTA]]</f>
        <v>602</v>
      </c>
    </row>
    <row r="551" spans="1:22" x14ac:dyDescent="0.3">
      <c r="A551">
        <v>17054</v>
      </c>
      <c r="B551">
        <v>1</v>
      </c>
      <c r="C551" t="s">
        <v>116</v>
      </c>
      <c r="D551" t="s">
        <v>117</v>
      </c>
      <c r="E551" s="1">
        <v>43898</v>
      </c>
      <c r="F551">
        <v>1</v>
      </c>
      <c r="G551" t="s">
        <v>24</v>
      </c>
      <c r="H551" t="s">
        <v>25</v>
      </c>
      <c r="I551" s="3">
        <v>1738</v>
      </c>
      <c r="J551" s="3">
        <v>1738</v>
      </c>
      <c r="K551" s="3">
        <v>388</v>
      </c>
      <c r="L551" t="s">
        <v>113</v>
      </c>
      <c r="M551">
        <v>19</v>
      </c>
      <c r="N551" t="s">
        <v>89</v>
      </c>
      <c r="O551" t="s">
        <v>81</v>
      </c>
      <c r="P551" t="s">
        <v>15</v>
      </c>
      <c r="Q551" t="s">
        <v>16</v>
      </c>
      <c r="R551" t="s">
        <v>16</v>
      </c>
      <c r="S551" t="s">
        <v>144</v>
      </c>
      <c r="T551" s="2">
        <f>MASTER[[#This Row],[CANTIDAD]]*MASTER[[#This Row],[PRECIO DE VENTA]]</f>
        <v>1738</v>
      </c>
      <c r="U551" s="2">
        <f>MASTER[[#This Row],[CANTIDAD]]*MASTER[[#This Row],[COSTO UNITARIO]]</f>
        <v>388</v>
      </c>
      <c r="V551" s="2">
        <f>MASTER[[#This Row],[MONTO VENDIDO]]-MASTER[[#This Row],[COSTO DE VENTA]]</f>
        <v>1350</v>
      </c>
    </row>
    <row r="552" spans="1:22" x14ac:dyDescent="0.3">
      <c r="A552">
        <v>17100</v>
      </c>
      <c r="B552">
        <v>1</v>
      </c>
      <c r="C552" t="s">
        <v>114</v>
      </c>
      <c r="D552" t="s">
        <v>115</v>
      </c>
      <c r="E552" s="1">
        <v>43898</v>
      </c>
      <c r="F552">
        <v>1</v>
      </c>
      <c r="G552" t="s">
        <v>63</v>
      </c>
      <c r="H552" t="s">
        <v>64</v>
      </c>
      <c r="I552" s="3">
        <v>2030</v>
      </c>
      <c r="J552" s="3">
        <v>2030</v>
      </c>
      <c r="K552" s="3">
        <v>394</v>
      </c>
      <c r="L552" t="s">
        <v>113</v>
      </c>
      <c r="M552">
        <v>3</v>
      </c>
      <c r="N552" t="s">
        <v>69</v>
      </c>
      <c r="O552" t="s">
        <v>70</v>
      </c>
      <c r="P552" t="s">
        <v>71</v>
      </c>
      <c r="Q552" t="s">
        <v>72</v>
      </c>
      <c r="R552" t="s">
        <v>139</v>
      </c>
      <c r="S552" t="s">
        <v>144</v>
      </c>
      <c r="T552" s="2">
        <f>MASTER[[#This Row],[CANTIDAD]]*MASTER[[#This Row],[PRECIO DE VENTA]]</f>
        <v>2030</v>
      </c>
      <c r="U552" s="2">
        <f>MASTER[[#This Row],[CANTIDAD]]*MASTER[[#This Row],[COSTO UNITARIO]]</f>
        <v>394</v>
      </c>
      <c r="V552" s="2">
        <f>MASTER[[#This Row],[MONTO VENDIDO]]-MASTER[[#This Row],[COSTO DE VENTA]]</f>
        <v>1636</v>
      </c>
    </row>
    <row r="553" spans="1:22" x14ac:dyDescent="0.3">
      <c r="A553">
        <v>17116</v>
      </c>
      <c r="B553">
        <v>1</v>
      </c>
      <c r="C553" t="s">
        <v>121</v>
      </c>
      <c r="D553" t="s">
        <v>122</v>
      </c>
      <c r="E553" s="1">
        <v>43898</v>
      </c>
      <c r="F553">
        <v>1</v>
      </c>
      <c r="G553" t="s">
        <v>73</v>
      </c>
      <c r="H553" t="s">
        <v>74</v>
      </c>
      <c r="I553" s="3">
        <v>1069</v>
      </c>
      <c r="J553" s="3">
        <v>1015</v>
      </c>
      <c r="K553" s="3">
        <v>460</v>
      </c>
      <c r="L553" t="s">
        <v>120</v>
      </c>
      <c r="M553">
        <v>15</v>
      </c>
      <c r="N553" t="s">
        <v>88</v>
      </c>
      <c r="O553" t="s">
        <v>81</v>
      </c>
      <c r="P553" t="s">
        <v>18</v>
      </c>
      <c r="Q553" t="s">
        <v>19</v>
      </c>
      <c r="R553" t="s">
        <v>138</v>
      </c>
      <c r="S553" t="s">
        <v>144</v>
      </c>
      <c r="T553" s="2">
        <f>MASTER[[#This Row],[CANTIDAD]]*MASTER[[#This Row],[PRECIO DE VENTA]]</f>
        <v>1015</v>
      </c>
      <c r="U553" s="2">
        <f>MASTER[[#This Row],[CANTIDAD]]*MASTER[[#This Row],[COSTO UNITARIO]]</f>
        <v>460</v>
      </c>
      <c r="V553" s="2">
        <f>MASTER[[#This Row],[MONTO VENDIDO]]-MASTER[[#This Row],[COSTO DE VENTA]]</f>
        <v>555</v>
      </c>
    </row>
    <row r="554" spans="1:22" x14ac:dyDescent="0.3">
      <c r="A554">
        <v>17124</v>
      </c>
      <c r="B554">
        <v>1</v>
      </c>
      <c r="C554" t="s">
        <v>96</v>
      </c>
      <c r="D554" t="s">
        <v>97</v>
      </c>
      <c r="E554" s="1">
        <v>43898</v>
      </c>
      <c r="F554">
        <v>1</v>
      </c>
      <c r="G554" t="s">
        <v>57</v>
      </c>
      <c r="H554" t="s">
        <v>58</v>
      </c>
      <c r="I554" s="3">
        <v>1361</v>
      </c>
      <c r="J554" s="3">
        <v>1292</v>
      </c>
      <c r="K554" s="3">
        <v>397</v>
      </c>
      <c r="L554" t="s">
        <v>98</v>
      </c>
      <c r="M554">
        <v>1</v>
      </c>
      <c r="N554" t="s">
        <v>77</v>
      </c>
      <c r="O554" t="s">
        <v>70</v>
      </c>
      <c r="P554" t="s">
        <v>71</v>
      </c>
      <c r="Q554" t="s">
        <v>72</v>
      </c>
      <c r="R554" t="s">
        <v>139</v>
      </c>
      <c r="S554" t="s">
        <v>144</v>
      </c>
      <c r="T554" s="2">
        <f>MASTER[[#This Row],[CANTIDAD]]*MASTER[[#This Row],[PRECIO DE VENTA]]</f>
        <v>1292</v>
      </c>
      <c r="U554" s="2">
        <f>MASTER[[#This Row],[CANTIDAD]]*MASTER[[#This Row],[COSTO UNITARIO]]</f>
        <v>397</v>
      </c>
      <c r="V554" s="2">
        <f>MASTER[[#This Row],[MONTO VENDIDO]]-MASTER[[#This Row],[COSTO DE VENTA]]</f>
        <v>895</v>
      </c>
    </row>
    <row r="555" spans="1:22" x14ac:dyDescent="0.3">
      <c r="A555">
        <v>17135</v>
      </c>
      <c r="B555">
        <v>1</v>
      </c>
      <c r="C555" t="s">
        <v>107</v>
      </c>
      <c r="D555" t="s">
        <v>108</v>
      </c>
      <c r="E555" s="1">
        <v>43898</v>
      </c>
      <c r="F555">
        <v>1</v>
      </c>
      <c r="G555" t="s">
        <v>24</v>
      </c>
      <c r="H555" t="s">
        <v>25</v>
      </c>
      <c r="I555" s="3">
        <v>1240</v>
      </c>
      <c r="J555" s="3">
        <v>1240</v>
      </c>
      <c r="K555" s="3">
        <v>380</v>
      </c>
      <c r="L555" t="s">
        <v>98</v>
      </c>
      <c r="M555">
        <v>12</v>
      </c>
      <c r="N555" t="s">
        <v>26</v>
      </c>
      <c r="O555" t="s">
        <v>11</v>
      </c>
      <c r="P555" t="s">
        <v>12</v>
      </c>
      <c r="Q555" t="s">
        <v>13</v>
      </c>
      <c r="R555" t="s">
        <v>13</v>
      </c>
      <c r="S555" t="s">
        <v>144</v>
      </c>
      <c r="T555" s="2">
        <f>MASTER[[#This Row],[CANTIDAD]]*MASTER[[#This Row],[PRECIO DE VENTA]]</f>
        <v>1240</v>
      </c>
      <c r="U555" s="2">
        <f>MASTER[[#This Row],[CANTIDAD]]*MASTER[[#This Row],[COSTO UNITARIO]]</f>
        <v>380</v>
      </c>
      <c r="V555" s="2">
        <f>MASTER[[#This Row],[MONTO VENDIDO]]-MASTER[[#This Row],[COSTO DE VENTA]]</f>
        <v>860</v>
      </c>
    </row>
    <row r="556" spans="1:22" x14ac:dyDescent="0.3">
      <c r="A556">
        <v>17147</v>
      </c>
      <c r="B556">
        <v>1</v>
      </c>
      <c r="C556" t="s">
        <v>103</v>
      </c>
      <c r="D556" t="s">
        <v>104</v>
      </c>
      <c r="E556" s="1">
        <v>43898</v>
      </c>
      <c r="F556">
        <v>1</v>
      </c>
      <c r="G556" t="s">
        <v>35</v>
      </c>
      <c r="H556" t="s">
        <v>36</v>
      </c>
      <c r="I556" s="3">
        <v>1591</v>
      </c>
      <c r="J556" s="3">
        <v>1591</v>
      </c>
      <c r="K556" s="3">
        <v>421</v>
      </c>
      <c r="L556" t="s">
        <v>98</v>
      </c>
      <c r="M556">
        <v>19</v>
      </c>
      <c r="N556" t="s">
        <v>89</v>
      </c>
      <c r="O556" t="s">
        <v>81</v>
      </c>
      <c r="P556" t="s">
        <v>15</v>
      </c>
      <c r="Q556" t="s">
        <v>16</v>
      </c>
      <c r="R556" t="s">
        <v>16</v>
      </c>
      <c r="S556" t="s">
        <v>144</v>
      </c>
      <c r="T556" s="2">
        <f>MASTER[[#This Row],[CANTIDAD]]*MASTER[[#This Row],[PRECIO DE VENTA]]</f>
        <v>1591</v>
      </c>
      <c r="U556" s="2">
        <f>MASTER[[#This Row],[CANTIDAD]]*MASTER[[#This Row],[COSTO UNITARIO]]</f>
        <v>421</v>
      </c>
      <c r="V556" s="2">
        <f>MASTER[[#This Row],[MONTO VENDIDO]]-MASTER[[#This Row],[COSTO DE VENTA]]</f>
        <v>1170</v>
      </c>
    </row>
    <row r="557" spans="1:22" x14ac:dyDescent="0.3">
      <c r="A557">
        <v>17212</v>
      </c>
      <c r="B557">
        <v>1</v>
      </c>
      <c r="C557" t="s">
        <v>103</v>
      </c>
      <c r="D557" t="s">
        <v>104</v>
      </c>
      <c r="E557" s="1">
        <v>43898</v>
      </c>
      <c r="F557">
        <v>1</v>
      </c>
      <c r="G557" t="s">
        <v>47</v>
      </c>
      <c r="H557" t="s">
        <v>48</v>
      </c>
      <c r="I557" s="3">
        <v>1830</v>
      </c>
      <c r="J557" s="3">
        <v>1830</v>
      </c>
      <c r="K557" s="3">
        <v>421</v>
      </c>
      <c r="L557" t="s">
        <v>98</v>
      </c>
      <c r="M557">
        <v>3</v>
      </c>
      <c r="N557" t="s">
        <v>69</v>
      </c>
      <c r="O557" t="s">
        <v>70</v>
      </c>
      <c r="P557" t="s">
        <v>71</v>
      </c>
      <c r="Q557" t="s">
        <v>72</v>
      </c>
      <c r="R557" t="s">
        <v>139</v>
      </c>
      <c r="S557" t="s">
        <v>144</v>
      </c>
      <c r="T557" s="2">
        <f>MASTER[[#This Row],[CANTIDAD]]*MASTER[[#This Row],[PRECIO DE VENTA]]</f>
        <v>1830</v>
      </c>
      <c r="U557" s="2">
        <f>MASTER[[#This Row],[CANTIDAD]]*MASTER[[#This Row],[COSTO UNITARIO]]</f>
        <v>421</v>
      </c>
      <c r="V557" s="2">
        <f>MASTER[[#This Row],[MONTO VENDIDO]]-MASTER[[#This Row],[COSTO DE VENTA]]</f>
        <v>1409</v>
      </c>
    </row>
    <row r="558" spans="1:22" x14ac:dyDescent="0.3">
      <c r="A558">
        <v>17216</v>
      </c>
      <c r="B558">
        <v>1</v>
      </c>
      <c r="C558" t="s">
        <v>92</v>
      </c>
      <c r="D558" t="s">
        <v>93</v>
      </c>
      <c r="E558" s="1">
        <v>43898</v>
      </c>
      <c r="F558">
        <v>1</v>
      </c>
      <c r="G558" t="s">
        <v>27</v>
      </c>
      <c r="H558" t="s">
        <v>28</v>
      </c>
      <c r="I558" s="3">
        <v>1479</v>
      </c>
      <c r="J558" s="3">
        <v>1479</v>
      </c>
      <c r="K558" s="3">
        <v>396</v>
      </c>
      <c r="L558" t="s">
        <v>9</v>
      </c>
      <c r="M558">
        <v>12</v>
      </c>
      <c r="N558" t="s">
        <v>26</v>
      </c>
      <c r="O558" t="s">
        <v>11</v>
      </c>
      <c r="P558" t="s">
        <v>12</v>
      </c>
      <c r="Q558" t="s">
        <v>13</v>
      </c>
      <c r="R558" t="s">
        <v>13</v>
      </c>
      <c r="S558" t="s">
        <v>144</v>
      </c>
      <c r="T558" s="2">
        <f>MASTER[[#This Row],[CANTIDAD]]*MASTER[[#This Row],[PRECIO DE VENTA]]</f>
        <v>1479</v>
      </c>
      <c r="U558" s="2">
        <f>MASTER[[#This Row],[CANTIDAD]]*MASTER[[#This Row],[COSTO UNITARIO]]</f>
        <v>396</v>
      </c>
      <c r="V558" s="2">
        <f>MASTER[[#This Row],[MONTO VENDIDO]]-MASTER[[#This Row],[COSTO DE VENTA]]</f>
        <v>1083</v>
      </c>
    </row>
    <row r="559" spans="1:22" x14ac:dyDescent="0.3">
      <c r="A559">
        <v>17226</v>
      </c>
      <c r="B559">
        <v>1</v>
      </c>
      <c r="C559" t="s">
        <v>101</v>
      </c>
      <c r="D559" t="s">
        <v>102</v>
      </c>
      <c r="E559" s="1">
        <v>43898</v>
      </c>
      <c r="F559">
        <v>1</v>
      </c>
      <c r="G559" t="s">
        <v>51</v>
      </c>
      <c r="H559" t="s">
        <v>52</v>
      </c>
      <c r="I559" s="3">
        <v>1054</v>
      </c>
      <c r="J559" s="3">
        <v>1054</v>
      </c>
      <c r="K559" s="3">
        <v>442</v>
      </c>
      <c r="L559" t="s">
        <v>98</v>
      </c>
      <c r="M559">
        <v>17</v>
      </c>
      <c r="N559" t="s">
        <v>14</v>
      </c>
      <c r="O559" t="s">
        <v>11</v>
      </c>
      <c r="P559" t="s">
        <v>15</v>
      </c>
      <c r="Q559" t="s">
        <v>16</v>
      </c>
      <c r="R559" t="s">
        <v>16</v>
      </c>
      <c r="S559" t="s">
        <v>144</v>
      </c>
      <c r="T559" s="2">
        <f>MASTER[[#This Row],[CANTIDAD]]*MASTER[[#This Row],[PRECIO DE VENTA]]</f>
        <v>1054</v>
      </c>
      <c r="U559" s="2">
        <f>MASTER[[#This Row],[CANTIDAD]]*MASTER[[#This Row],[COSTO UNITARIO]]</f>
        <v>442</v>
      </c>
      <c r="V559" s="2">
        <f>MASTER[[#This Row],[MONTO VENDIDO]]-MASTER[[#This Row],[COSTO DE VENTA]]</f>
        <v>612</v>
      </c>
    </row>
    <row r="560" spans="1:22" x14ac:dyDescent="0.3">
      <c r="A560">
        <v>17227</v>
      </c>
      <c r="B560">
        <v>1</v>
      </c>
      <c r="C560" t="s">
        <v>105</v>
      </c>
      <c r="D560" t="s">
        <v>106</v>
      </c>
      <c r="E560" s="1">
        <v>43899</v>
      </c>
      <c r="F560">
        <v>1</v>
      </c>
      <c r="G560" t="s">
        <v>61</v>
      </c>
      <c r="H560" t="s">
        <v>62</v>
      </c>
      <c r="I560" s="3">
        <v>1865</v>
      </c>
      <c r="J560" s="3">
        <v>1865</v>
      </c>
      <c r="K560" s="3">
        <v>459</v>
      </c>
      <c r="L560" t="s">
        <v>98</v>
      </c>
      <c r="M560">
        <v>5</v>
      </c>
      <c r="N560" t="s">
        <v>85</v>
      </c>
      <c r="O560" t="s">
        <v>81</v>
      </c>
      <c r="P560" t="s">
        <v>12</v>
      </c>
      <c r="Q560" t="s">
        <v>13</v>
      </c>
      <c r="R560" t="s">
        <v>13</v>
      </c>
      <c r="S560" t="s">
        <v>144</v>
      </c>
      <c r="T560" s="2">
        <f>MASTER[[#This Row],[CANTIDAD]]*MASTER[[#This Row],[PRECIO DE VENTA]]</f>
        <v>1865</v>
      </c>
      <c r="U560" s="2">
        <f>MASTER[[#This Row],[CANTIDAD]]*MASTER[[#This Row],[COSTO UNITARIO]]</f>
        <v>459</v>
      </c>
      <c r="V560" s="2">
        <f>MASTER[[#This Row],[MONTO VENDIDO]]-MASTER[[#This Row],[COSTO DE VENTA]]</f>
        <v>1406</v>
      </c>
    </row>
    <row r="561" spans="1:22" x14ac:dyDescent="0.3">
      <c r="A561">
        <v>17235</v>
      </c>
      <c r="B561">
        <v>1</v>
      </c>
      <c r="C561" t="s">
        <v>94</v>
      </c>
      <c r="D561" t="s">
        <v>95</v>
      </c>
      <c r="E561" s="1">
        <v>43899</v>
      </c>
      <c r="F561">
        <v>1</v>
      </c>
      <c r="G561" t="s">
        <v>53</v>
      </c>
      <c r="H561" t="s">
        <v>54</v>
      </c>
      <c r="I561" s="3">
        <v>1048</v>
      </c>
      <c r="J561" s="3">
        <v>1048</v>
      </c>
      <c r="K561" s="3">
        <v>392</v>
      </c>
      <c r="L561" t="s">
        <v>9</v>
      </c>
      <c r="M561">
        <v>5</v>
      </c>
      <c r="N561" t="s">
        <v>85</v>
      </c>
      <c r="O561" t="s">
        <v>81</v>
      </c>
      <c r="P561" t="s">
        <v>12</v>
      </c>
      <c r="Q561" t="s">
        <v>13</v>
      </c>
      <c r="R561" t="s">
        <v>13</v>
      </c>
      <c r="S561" t="s">
        <v>144</v>
      </c>
      <c r="T561" s="2">
        <f>MASTER[[#This Row],[CANTIDAD]]*MASTER[[#This Row],[PRECIO DE VENTA]]</f>
        <v>1048</v>
      </c>
      <c r="U561" s="2">
        <f>MASTER[[#This Row],[CANTIDAD]]*MASTER[[#This Row],[COSTO UNITARIO]]</f>
        <v>392</v>
      </c>
      <c r="V561" s="2">
        <f>MASTER[[#This Row],[MONTO VENDIDO]]-MASTER[[#This Row],[COSTO DE VENTA]]</f>
        <v>656</v>
      </c>
    </row>
    <row r="562" spans="1:22" x14ac:dyDescent="0.3">
      <c r="A562">
        <v>17256</v>
      </c>
      <c r="B562">
        <v>1</v>
      </c>
      <c r="C562" t="s">
        <v>96</v>
      </c>
      <c r="D562" t="s">
        <v>97</v>
      </c>
      <c r="E562" s="1">
        <v>43899</v>
      </c>
      <c r="F562">
        <v>1</v>
      </c>
      <c r="G562" t="s">
        <v>51</v>
      </c>
      <c r="H562" t="s">
        <v>52</v>
      </c>
      <c r="I562" s="3">
        <v>1196</v>
      </c>
      <c r="J562" s="3">
        <v>1196</v>
      </c>
      <c r="K562" s="3">
        <v>397</v>
      </c>
      <c r="L562" t="s">
        <v>98</v>
      </c>
      <c r="M562">
        <v>16</v>
      </c>
      <c r="N562" t="s">
        <v>17</v>
      </c>
      <c r="O562" t="s">
        <v>11</v>
      </c>
      <c r="P562" t="s">
        <v>18</v>
      </c>
      <c r="Q562" t="s">
        <v>19</v>
      </c>
      <c r="R562" t="s">
        <v>138</v>
      </c>
      <c r="S562" t="s">
        <v>144</v>
      </c>
      <c r="T562" s="2">
        <f>MASTER[[#This Row],[CANTIDAD]]*MASTER[[#This Row],[PRECIO DE VENTA]]</f>
        <v>1196</v>
      </c>
      <c r="U562" s="2">
        <f>MASTER[[#This Row],[CANTIDAD]]*MASTER[[#This Row],[COSTO UNITARIO]]</f>
        <v>397</v>
      </c>
      <c r="V562" s="2">
        <f>MASTER[[#This Row],[MONTO VENDIDO]]-MASTER[[#This Row],[COSTO DE VENTA]]</f>
        <v>799</v>
      </c>
    </row>
    <row r="563" spans="1:22" x14ac:dyDescent="0.3">
      <c r="A563">
        <v>17315</v>
      </c>
      <c r="B563">
        <v>1</v>
      </c>
      <c r="C563" t="s">
        <v>101</v>
      </c>
      <c r="D563" t="s">
        <v>102</v>
      </c>
      <c r="E563" s="1">
        <v>43899</v>
      </c>
      <c r="F563">
        <v>1</v>
      </c>
      <c r="G563" t="s">
        <v>53</v>
      </c>
      <c r="H563" t="s">
        <v>54</v>
      </c>
      <c r="I563" s="3">
        <v>1357</v>
      </c>
      <c r="J563" s="3">
        <v>1357</v>
      </c>
      <c r="K563" s="3">
        <v>442</v>
      </c>
      <c r="L563" t="s">
        <v>98</v>
      </c>
      <c r="M563">
        <v>13</v>
      </c>
      <c r="N563" t="s">
        <v>78</v>
      </c>
      <c r="O563" t="s">
        <v>70</v>
      </c>
      <c r="P563" t="s">
        <v>18</v>
      </c>
      <c r="Q563" t="s">
        <v>19</v>
      </c>
      <c r="R563" t="s">
        <v>138</v>
      </c>
      <c r="S563" t="s">
        <v>144</v>
      </c>
      <c r="T563" s="2">
        <f>MASTER[[#This Row],[CANTIDAD]]*MASTER[[#This Row],[PRECIO DE VENTA]]</f>
        <v>1357</v>
      </c>
      <c r="U563" s="2">
        <f>MASTER[[#This Row],[CANTIDAD]]*MASTER[[#This Row],[COSTO UNITARIO]]</f>
        <v>442</v>
      </c>
      <c r="V563" s="2">
        <f>MASTER[[#This Row],[MONTO VENDIDO]]-MASTER[[#This Row],[COSTO DE VENTA]]</f>
        <v>915</v>
      </c>
    </row>
    <row r="564" spans="1:22" x14ac:dyDescent="0.3">
      <c r="A564">
        <v>17332</v>
      </c>
      <c r="B564">
        <v>1</v>
      </c>
      <c r="C564" t="s">
        <v>90</v>
      </c>
      <c r="D564" t="s">
        <v>91</v>
      </c>
      <c r="E564" s="1">
        <v>43899</v>
      </c>
      <c r="F564">
        <v>1</v>
      </c>
      <c r="G564" t="s">
        <v>27</v>
      </c>
      <c r="H564" t="s">
        <v>28</v>
      </c>
      <c r="I564" s="3">
        <v>1844</v>
      </c>
      <c r="J564" s="3">
        <v>1844</v>
      </c>
      <c r="K564" s="3">
        <v>420</v>
      </c>
      <c r="L564" t="s">
        <v>9</v>
      </c>
      <c r="M564">
        <v>5</v>
      </c>
      <c r="N564" t="s">
        <v>85</v>
      </c>
      <c r="O564" t="s">
        <v>81</v>
      </c>
      <c r="P564" t="s">
        <v>12</v>
      </c>
      <c r="Q564" t="s">
        <v>13</v>
      </c>
      <c r="R564" t="s">
        <v>13</v>
      </c>
      <c r="S564" t="s">
        <v>144</v>
      </c>
      <c r="T564" s="2">
        <f>MASTER[[#This Row],[CANTIDAD]]*MASTER[[#This Row],[PRECIO DE VENTA]]</f>
        <v>1844</v>
      </c>
      <c r="U564" s="2">
        <f>MASTER[[#This Row],[CANTIDAD]]*MASTER[[#This Row],[COSTO UNITARIO]]</f>
        <v>420</v>
      </c>
      <c r="V564" s="2">
        <f>MASTER[[#This Row],[MONTO VENDIDO]]-MASTER[[#This Row],[COSTO DE VENTA]]</f>
        <v>1424</v>
      </c>
    </row>
    <row r="565" spans="1:22" x14ac:dyDescent="0.3">
      <c r="A565">
        <v>17336</v>
      </c>
      <c r="B565">
        <v>1</v>
      </c>
      <c r="C565" t="s">
        <v>96</v>
      </c>
      <c r="D565" t="s">
        <v>97</v>
      </c>
      <c r="E565" s="1">
        <v>43899</v>
      </c>
      <c r="F565">
        <v>1</v>
      </c>
      <c r="G565" t="s">
        <v>20</v>
      </c>
      <c r="H565" t="s">
        <v>21</v>
      </c>
      <c r="I565" s="3">
        <v>1272</v>
      </c>
      <c r="J565" s="3">
        <v>1272</v>
      </c>
      <c r="K565" s="3">
        <v>397</v>
      </c>
      <c r="L565" t="s">
        <v>98</v>
      </c>
      <c r="M565">
        <v>5</v>
      </c>
      <c r="N565" t="s">
        <v>85</v>
      </c>
      <c r="O565" t="s">
        <v>81</v>
      </c>
      <c r="P565" t="s">
        <v>12</v>
      </c>
      <c r="Q565" t="s">
        <v>13</v>
      </c>
      <c r="R565" t="s">
        <v>13</v>
      </c>
      <c r="S565" t="s">
        <v>144</v>
      </c>
      <c r="T565" s="2">
        <f>MASTER[[#This Row],[CANTIDAD]]*MASTER[[#This Row],[PRECIO DE VENTA]]</f>
        <v>1272</v>
      </c>
      <c r="U565" s="2">
        <f>MASTER[[#This Row],[CANTIDAD]]*MASTER[[#This Row],[COSTO UNITARIO]]</f>
        <v>397</v>
      </c>
      <c r="V565" s="2">
        <f>MASTER[[#This Row],[MONTO VENDIDO]]-MASTER[[#This Row],[COSTO DE VENTA]]</f>
        <v>875</v>
      </c>
    </row>
    <row r="566" spans="1:22" x14ac:dyDescent="0.3">
      <c r="A566">
        <v>17357</v>
      </c>
      <c r="B566">
        <v>1</v>
      </c>
      <c r="C566" t="s">
        <v>103</v>
      </c>
      <c r="D566" t="s">
        <v>104</v>
      </c>
      <c r="E566" s="1">
        <v>43899</v>
      </c>
      <c r="F566">
        <v>1</v>
      </c>
      <c r="G566" t="s">
        <v>51</v>
      </c>
      <c r="H566" t="s">
        <v>52</v>
      </c>
      <c r="I566" s="3">
        <v>1591</v>
      </c>
      <c r="J566" s="3">
        <v>1591</v>
      </c>
      <c r="K566" s="3">
        <v>421</v>
      </c>
      <c r="L566" t="s">
        <v>98</v>
      </c>
      <c r="M566">
        <v>8</v>
      </c>
      <c r="N566" t="s">
        <v>80</v>
      </c>
      <c r="O566" t="s">
        <v>81</v>
      </c>
      <c r="P566" t="s">
        <v>12</v>
      </c>
      <c r="Q566" t="s">
        <v>13</v>
      </c>
      <c r="R566" t="s">
        <v>13</v>
      </c>
      <c r="S566" t="s">
        <v>144</v>
      </c>
      <c r="T566" s="2">
        <f>MASTER[[#This Row],[CANTIDAD]]*MASTER[[#This Row],[PRECIO DE VENTA]]</f>
        <v>1591</v>
      </c>
      <c r="U566" s="2">
        <f>MASTER[[#This Row],[CANTIDAD]]*MASTER[[#This Row],[COSTO UNITARIO]]</f>
        <v>421</v>
      </c>
      <c r="V566" s="2">
        <f>MASTER[[#This Row],[MONTO VENDIDO]]-MASTER[[#This Row],[COSTO DE VENTA]]</f>
        <v>1170</v>
      </c>
    </row>
    <row r="567" spans="1:22" x14ac:dyDescent="0.3">
      <c r="A567">
        <v>17365</v>
      </c>
      <c r="B567">
        <v>1</v>
      </c>
      <c r="C567" t="s">
        <v>107</v>
      </c>
      <c r="D567" t="s">
        <v>108</v>
      </c>
      <c r="E567" s="1">
        <v>43899</v>
      </c>
      <c r="F567">
        <v>1</v>
      </c>
      <c r="G567" t="s">
        <v>45</v>
      </c>
      <c r="H567" t="s">
        <v>46</v>
      </c>
      <c r="I567" s="3">
        <v>1440</v>
      </c>
      <c r="J567" s="3">
        <v>1440</v>
      </c>
      <c r="K567" s="3">
        <v>380</v>
      </c>
      <c r="L567" t="s">
        <v>98</v>
      </c>
      <c r="M567">
        <v>9</v>
      </c>
      <c r="N567" t="s">
        <v>76</v>
      </c>
      <c r="O567" t="s">
        <v>70</v>
      </c>
      <c r="P567" t="s">
        <v>12</v>
      </c>
      <c r="Q567" t="s">
        <v>13</v>
      </c>
      <c r="R567" t="s">
        <v>13</v>
      </c>
      <c r="S567" t="s">
        <v>144</v>
      </c>
      <c r="T567" s="2">
        <f>MASTER[[#This Row],[CANTIDAD]]*MASTER[[#This Row],[PRECIO DE VENTA]]</f>
        <v>1440</v>
      </c>
      <c r="U567" s="2">
        <f>MASTER[[#This Row],[CANTIDAD]]*MASTER[[#This Row],[COSTO UNITARIO]]</f>
        <v>380</v>
      </c>
      <c r="V567" s="2">
        <f>MASTER[[#This Row],[MONTO VENDIDO]]-MASTER[[#This Row],[COSTO DE VENTA]]</f>
        <v>1060</v>
      </c>
    </row>
    <row r="568" spans="1:22" x14ac:dyDescent="0.3">
      <c r="A568">
        <v>17379</v>
      </c>
      <c r="B568">
        <v>1</v>
      </c>
      <c r="C568" t="s">
        <v>121</v>
      </c>
      <c r="D568" t="s">
        <v>122</v>
      </c>
      <c r="E568" s="1">
        <v>43899</v>
      </c>
      <c r="F568">
        <v>1</v>
      </c>
      <c r="G568" t="s">
        <v>7</v>
      </c>
      <c r="H568" t="s">
        <v>8</v>
      </c>
      <c r="I568" s="3">
        <v>1069</v>
      </c>
      <c r="J568" s="3">
        <v>1069</v>
      </c>
      <c r="K568" s="3">
        <v>460</v>
      </c>
      <c r="L568" t="s">
        <v>120</v>
      </c>
      <c r="M568">
        <v>14</v>
      </c>
      <c r="N568" t="s">
        <v>87</v>
      </c>
      <c r="O568" t="s">
        <v>81</v>
      </c>
      <c r="P568" t="s">
        <v>18</v>
      </c>
      <c r="Q568" t="s">
        <v>19</v>
      </c>
      <c r="R568" t="s">
        <v>138</v>
      </c>
      <c r="S568" t="s">
        <v>144</v>
      </c>
      <c r="T568" s="2">
        <f>MASTER[[#This Row],[CANTIDAD]]*MASTER[[#This Row],[PRECIO DE VENTA]]</f>
        <v>1069</v>
      </c>
      <c r="U568" s="2">
        <f>MASTER[[#This Row],[CANTIDAD]]*MASTER[[#This Row],[COSTO UNITARIO]]</f>
        <v>460</v>
      </c>
      <c r="V568" s="2">
        <f>MASTER[[#This Row],[MONTO VENDIDO]]-MASTER[[#This Row],[COSTO DE VENTA]]</f>
        <v>609</v>
      </c>
    </row>
    <row r="569" spans="1:22" x14ac:dyDescent="0.3">
      <c r="A569">
        <v>17404</v>
      </c>
      <c r="B569">
        <v>1</v>
      </c>
      <c r="C569" t="s">
        <v>99</v>
      </c>
      <c r="D569" t="s">
        <v>100</v>
      </c>
      <c r="E569" s="1">
        <v>43899</v>
      </c>
      <c r="F569">
        <v>1</v>
      </c>
      <c r="G569" t="s">
        <v>29</v>
      </c>
      <c r="H569" t="s">
        <v>30</v>
      </c>
      <c r="I569" s="3">
        <v>1678</v>
      </c>
      <c r="J569" s="3">
        <v>1678</v>
      </c>
      <c r="K569" s="3">
        <v>386</v>
      </c>
      <c r="L569" t="s">
        <v>98</v>
      </c>
      <c r="M569">
        <v>13</v>
      </c>
      <c r="N569" t="s">
        <v>78</v>
      </c>
      <c r="O569" t="s">
        <v>70</v>
      </c>
      <c r="P569" t="s">
        <v>18</v>
      </c>
      <c r="Q569" t="s">
        <v>19</v>
      </c>
      <c r="R569" t="s">
        <v>138</v>
      </c>
      <c r="S569" t="s">
        <v>144</v>
      </c>
      <c r="T569" s="2">
        <f>MASTER[[#This Row],[CANTIDAD]]*MASTER[[#This Row],[PRECIO DE VENTA]]</f>
        <v>1678</v>
      </c>
      <c r="U569" s="2">
        <f>MASTER[[#This Row],[CANTIDAD]]*MASTER[[#This Row],[COSTO UNITARIO]]</f>
        <v>386</v>
      </c>
      <c r="V569" s="2">
        <f>MASTER[[#This Row],[MONTO VENDIDO]]-MASTER[[#This Row],[COSTO DE VENTA]]</f>
        <v>1292</v>
      </c>
    </row>
    <row r="570" spans="1:22" x14ac:dyDescent="0.3">
      <c r="A570">
        <v>17404</v>
      </c>
      <c r="B570">
        <v>2</v>
      </c>
      <c r="C570" t="s">
        <v>116</v>
      </c>
      <c r="D570" t="s">
        <v>117</v>
      </c>
      <c r="E570" s="1">
        <v>43899</v>
      </c>
      <c r="F570">
        <v>1</v>
      </c>
      <c r="G570" t="s">
        <v>53</v>
      </c>
      <c r="H570" t="s">
        <v>54</v>
      </c>
      <c r="I570" s="3">
        <v>1999</v>
      </c>
      <c r="J570" s="3">
        <v>1999</v>
      </c>
      <c r="K570" s="3">
        <v>388</v>
      </c>
      <c r="L570" t="s">
        <v>113</v>
      </c>
      <c r="M570">
        <v>13</v>
      </c>
      <c r="N570" t="s">
        <v>78</v>
      </c>
      <c r="O570" t="s">
        <v>70</v>
      </c>
      <c r="P570" t="s">
        <v>18</v>
      </c>
      <c r="Q570" t="s">
        <v>19</v>
      </c>
      <c r="R570" t="s">
        <v>138</v>
      </c>
      <c r="S570" t="s">
        <v>144</v>
      </c>
      <c r="T570" s="2">
        <f>MASTER[[#This Row],[CANTIDAD]]*MASTER[[#This Row],[PRECIO DE VENTA]]</f>
        <v>1999</v>
      </c>
      <c r="U570" s="2">
        <f>MASTER[[#This Row],[CANTIDAD]]*MASTER[[#This Row],[COSTO UNITARIO]]</f>
        <v>388</v>
      </c>
      <c r="V570" s="2">
        <f>MASTER[[#This Row],[MONTO VENDIDO]]-MASTER[[#This Row],[COSTO DE VENTA]]</f>
        <v>1611</v>
      </c>
    </row>
    <row r="571" spans="1:22" x14ac:dyDescent="0.3">
      <c r="A571">
        <v>17447</v>
      </c>
      <c r="B571">
        <v>1</v>
      </c>
      <c r="C571" t="s">
        <v>96</v>
      </c>
      <c r="D571" t="s">
        <v>97</v>
      </c>
      <c r="E571" s="1">
        <v>43900</v>
      </c>
      <c r="F571">
        <v>1</v>
      </c>
      <c r="G571" t="s">
        <v>65</v>
      </c>
      <c r="H571" t="s">
        <v>66</v>
      </c>
      <c r="I571" s="3">
        <v>1272</v>
      </c>
      <c r="J571" s="3">
        <v>1272</v>
      </c>
      <c r="K571" s="3">
        <v>397</v>
      </c>
      <c r="L571" t="s">
        <v>98</v>
      </c>
      <c r="M571">
        <v>19</v>
      </c>
      <c r="N571" t="s">
        <v>89</v>
      </c>
      <c r="O571" t="s">
        <v>81</v>
      </c>
      <c r="P571" t="s">
        <v>15</v>
      </c>
      <c r="Q571" t="s">
        <v>16</v>
      </c>
      <c r="R571" t="s">
        <v>16</v>
      </c>
      <c r="S571" t="s">
        <v>144</v>
      </c>
      <c r="T571" s="2">
        <f>MASTER[[#This Row],[CANTIDAD]]*MASTER[[#This Row],[PRECIO DE VENTA]]</f>
        <v>1272</v>
      </c>
      <c r="U571" s="2">
        <f>MASTER[[#This Row],[CANTIDAD]]*MASTER[[#This Row],[COSTO UNITARIO]]</f>
        <v>397</v>
      </c>
      <c r="V571" s="2">
        <f>MASTER[[#This Row],[MONTO VENDIDO]]-MASTER[[#This Row],[COSTO DE VENTA]]</f>
        <v>875</v>
      </c>
    </row>
    <row r="572" spans="1:22" x14ac:dyDescent="0.3">
      <c r="A572">
        <v>17448</v>
      </c>
      <c r="B572">
        <v>1</v>
      </c>
      <c r="C572" t="s">
        <v>116</v>
      </c>
      <c r="D572" t="s">
        <v>117</v>
      </c>
      <c r="E572" s="1">
        <v>43900</v>
      </c>
      <c r="F572">
        <v>1</v>
      </c>
      <c r="G572" t="s">
        <v>29</v>
      </c>
      <c r="H572" t="s">
        <v>30</v>
      </c>
      <c r="I572" s="3">
        <v>1738</v>
      </c>
      <c r="J572" s="3">
        <v>1738</v>
      </c>
      <c r="K572" s="3">
        <v>388</v>
      </c>
      <c r="L572" t="s">
        <v>113</v>
      </c>
      <c r="M572">
        <v>10</v>
      </c>
      <c r="N572" t="s">
        <v>83</v>
      </c>
      <c r="O572" t="s">
        <v>81</v>
      </c>
      <c r="P572" t="s">
        <v>12</v>
      </c>
      <c r="Q572" t="s">
        <v>13</v>
      </c>
      <c r="R572" t="s">
        <v>13</v>
      </c>
      <c r="S572" t="s">
        <v>144</v>
      </c>
      <c r="T572" s="2">
        <f>MASTER[[#This Row],[CANTIDAD]]*MASTER[[#This Row],[PRECIO DE VENTA]]</f>
        <v>1738</v>
      </c>
      <c r="U572" s="2">
        <f>MASTER[[#This Row],[CANTIDAD]]*MASTER[[#This Row],[COSTO UNITARIO]]</f>
        <v>388</v>
      </c>
      <c r="V572" s="2">
        <f>MASTER[[#This Row],[MONTO VENDIDO]]-MASTER[[#This Row],[COSTO DE VENTA]]</f>
        <v>1350</v>
      </c>
    </row>
    <row r="573" spans="1:22" x14ac:dyDescent="0.3">
      <c r="A573">
        <v>17482</v>
      </c>
      <c r="B573">
        <v>1</v>
      </c>
      <c r="C573" t="s">
        <v>114</v>
      </c>
      <c r="D573" t="s">
        <v>115</v>
      </c>
      <c r="E573" s="1">
        <v>43900</v>
      </c>
      <c r="F573">
        <v>1</v>
      </c>
      <c r="G573" t="s">
        <v>29</v>
      </c>
      <c r="H573" t="s">
        <v>30</v>
      </c>
      <c r="I573" s="3">
        <v>1862</v>
      </c>
      <c r="J573" s="3">
        <v>1862</v>
      </c>
      <c r="K573" s="3">
        <v>394</v>
      </c>
      <c r="L573" t="s">
        <v>113</v>
      </c>
      <c r="M573">
        <v>4</v>
      </c>
      <c r="N573" t="s">
        <v>82</v>
      </c>
      <c r="O573" t="s">
        <v>81</v>
      </c>
      <c r="P573" t="s">
        <v>71</v>
      </c>
      <c r="Q573" t="s">
        <v>72</v>
      </c>
      <c r="R573" t="s">
        <v>139</v>
      </c>
      <c r="S573" t="s">
        <v>144</v>
      </c>
      <c r="T573" s="2">
        <f>MASTER[[#This Row],[CANTIDAD]]*MASTER[[#This Row],[PRECIO DE VENTA]]</f>
        <v>1862</v>
      </c>
      <c r="U573" s="2">
        <f>MASTER[[#This Row],[CANTIDAD]]*MASTER[[#This Row],[COSTO UNITARIO]]</f>
        <v>394</v>
      </c>
      <c r="V573" s="2">
        <f>MASTER[[#This Row],[MONTO VENDIDO]]-MASTER[[#This Row],[COSTO DE VENTA]]</f>
        <v>1468</v>
      </c>
    </row>
    <row r="574" spans="1:22" x14ac:dyDescent="0.3">
      <c r="A574">
        <v>17491</v>
      </c>
      <c r="B574">
        <v>1</v>
      </c>
      <c r="C574" t="s">
        <v>111</v>
      </c>
      <c r="D574" t="s">
        <v>112</v>
      </c>
      <c r="E574" s="1">
        <v>43900</v>
      </c>
      <c r="F574">
        <v>1</v>
      </c>
      <c r="G574" t="s">
        <v>29</v>
      </c>
      <c r="H574" t="s">
        <v>30</v>
      </c>
      <c r="I574" s="3">
        <v>1799</v>
      </c>
      <c r="J574" s="3">
        <v>1799</v>
      </c>
      <c r="K574" s="3">
        <v>434</v>
      </c>
      <c r="L574" t="s">
        <v>113</v>
      </c>
      <c r="M574">
        <v>6</v>
      </c>
      <c r="N574" t="s">
        <v>75</v>
      </c>
      <c r="O574" t="s">
        <v>70</v>
      </c>
      <c r="P574" t="s">
        <v>12</v>
      </c>
      <c r="Q574" t="s">
        <v>13</v>
      </c>
      <c r="R574" t="s">
        <v>13</v>
      </c>
      <c r="S574" t="s">
        <v>144</v>
      </c>
      <c r="T574" s="2">
        <f>MASTER[[#This Row],[CANTIDAD]]*MASTER[[#This Row],[PRECIO DE VENTA]]</f>
        <v>1799</v>
      </c>
      <c r="U574" s="2">
        <f>MASTER[[#This Row],[CANTIDAD]]*MASTER[[#This Row],[COSTO UNITARIO]]</f>
        <v>434</v>
      </c>
      <c r="V574" s="2">
        <f>MASTER[[#This Row],[MONTO VENDIDO]]-MASTER[[#This Row],[COSTO DE VENTA]]</f>
        <v>1365</v>
      </c>
    </row>
    <row r="575" spans="1:22" x14ac:dyDescent="0.3">
      <c r="A575">
        <v>17493</v>
      </c>
      <c r="B575">
        <v>1</v>
      </c>
      <c r="C575" t="s">
        <v>121</v>
      </c>
      <c r="D575" t="s">
        <v>122</v>
      </c>
      <c r="E575" s="1">
        <v>43900</v>
      </c>
      <c r="F575">
        <v>1</v>
      </c>
      <c r="G575" t="s">
        <v>33</v>
      </c>
      <c r="H575" t="s">
        <v>34</v>
      </c>
      <c r="I575" s="3">
        <v>1144</v>
      </c>
      <c r="J575" s="3">
        <v>1144</v>
      </c>
      <c r="K575" s="3">
        <v>460</v>
      </c>
      <c r="L575" t="s">
        <v>120</v>
      </c>
      <c r="M575">
        <v>3</v>
      </c>
      <c r="N575" t="s">
        <v>69</v>
      </c>
      <c r="O575" t="s">
        <v>70</v>
      </c>
      <c r="P575" t="s">
        <v>71</v>
      </c>
      <c r="Q575" t="s">
        <v>72</v>
      </c>
      <c r="R575" t="s">
        <v>139</v>
      </c>
      <c r="S575" t="s">
        <v>144</v>
      </c>
      <c r="T575" s="2">
        <f>MASTER[[#This Row],[CANTIDAD]]*MASTER[[#This Row],[PRECIO DE VENTA]]</f>
        <v>1144</v>
      </c>
      <c r="U575" s="2">
        <f>MASTER[[#This Row],[CANTIDAD]]*MASTER[[#This Row],[COSTO UNITARIO]]</f>
        <v>460</v>
      </c>
      <c r="V575" s="2">
        <f>MASTER[[#This Row],[MONTO VENDIDO]]-MASTER[[#This Row],[COSTO DE VENTA]]</f>
        <v>684</v>
      </c>
    </row>
    <row r="576" spans="1:22" x14ac:dyDescent="0.3">
      <c r="A576">
        <v>17500</v>
      </c>
      <c r="B576">
        <v>1</v>
      </c>
      <c r="C576" t="s">
        <v>90</v>
      </c>
      <c r="D576" t="s">
        <v>91</v>
      </c>
      <c r="E576" s="1">
        <v>43900</v>
      </c>
      <c r="F576">
        <v>1</v>
      </c>
      <c r="G576" t="s">
        <v>53</v>
      </c>
      <c r="H576" t="s">
        <v>54</v>
      </c>
      <c r="I576" s="3">
        <v>1844</v>
      </c>
      <c r="J576" s="3">
        <v>1844</v>
      </c>
      <c r="K576" s="3">
        <v>420</v>
      </c>
      <c r="L576" t="s">
        <v>9</v>
      </c>
      <c r="M576">
        <v>5</v>
      </c>
      <c r="N576" t="s">
        <v>85</v>
      </c>
      <c r="O576" t="s">
        <v>81</v>
      </c>
      <c r="P576" t="s">
        <v>12</v>
      </c>
      <c r="Q576" t="s">
        <v>13</v>
      </c>
      <c r="R576" t="s">
        <v>13</v>
      </c>
      <c r="S576" t="s">
        <v>144</v>
      </c>
      <c r="T576" s="2">
        <f>MASTER[[#This Row],[CANTIDAD]]*MASTER[[#This Row],[PRECIO DE VENTA]]</f>
        <v>1844</v>
      </c>
      <c r="U576" s="2">
        <f>MASTER[[#This Row],[CANTIDAD]]*MASTER[[#This Row],[COSTO UNITARIO]]</f>
        <v>420</v>
      </c>
      <c r="V576" s="2">
        <f>MASTER[[#This Row],[MONTO VENDIDO]]-MASTER[[#This Row],[COSTO DE VENTA]]</f>
        <v>1424</v>
      </c>
    </row>
    <row r="577" spans="1:22" x14ac:dyDescent="0.3">
      <c r="A577">
        <v>17505</v>
      </c>
      <c r="B577">
        <v>1</v>
      </c>
      <c r="C577" t="s">
        <v>101</v>
      </c>
      <c r="D577" t="s">
        <v>102</v>
      </c>
      <c r="E577" s="1">
        <v>43900</v>
      </c>
      <c r="F577">
        <v>1</v>
      </c>
      <c r="G577" t="s">
        <v>45</v>
      </c>
      <c r="H577" t="s">
        <v>46</v>
      </c>
      <c r="I577" s="3">
        <v>1054</v>
      </c>
      <c r="J577" s="3">
        <v>1054</v>
      </c>
      <c r="K577" s="3">
        <v>442</v>
      </c>
      <c r="L577" t="s">
        <v>98</v>
      </c>
      <c r="M577">
        <v>16</v>
      </c>
      <c r="N577" t="s">
        <v>17</v>
      </c>
      <c r="O577" t="s">
        <v>11</v>
      </c>
      <c r="P577" t="s">
        <v>18</v>
      </c>
      <c r="Q577" t="s">
        <v>19</v>
      </c>
      <c r="R577" t="s">
        <v>138</v>
      </c>
      <c r="S577" t="s">
        <v>144</v>
      </c>
      <c r="T577" s="2">
        <f>MASTER[[#This Row],[CANTIDAD]]*MASTER[[#This Row],[PRECIO DE VENTA]]</f>
        <v>1054</v>
      </c>
      <c r="U577" s="2">
        <f>MASTER[[#This Row],[CANTIDAD]]*MASTER[[#This Row],[COSTO UNITARIO]]</f>
        <v>442</v>
      </c>
      <c r="V577" s="2">
        <f>MASTER[[#This Row],[MONTO VENDIDO]]-MASTER[[#This Row],[COSTO DE VENTA]]</f>
        <v>612</v>
      </c>
    </row>
    <row r="578" spans="1:22" x14ac:dyDescent="0.3">
      <c r="A578">
        <v>17540</v>
      </c>
      <c r="B578">
        <v>1</v>
      </c>
      <c r="C578" t="s">
        <v>101</v>
      </c>
      <c r="D578" t="s">
        <v>102</v>
      </c>
      <c r="E578" s="1">
        <v>43900</v>
      </c>
      <c r="F578">
        <v>1</v>
      </c>
      <c r="G578" t="s">
        <v>45</v>
      </c>
      <c r="H578" t="s">
        <v>46</v>
      </c>
      <c r="I578" s="3">
        <v>1054</v>
      </c>
      <c r="J578" s="3">
        <v>1054</v>
      </c>
      <c r="K578" s="3">
        <v>442</v>
      </c>
      <c r="L578" t="s">
        <v>98</v>
      </c>
      <c r="M578">
        <v>17</v>
      </c>
      <c r="N578" t="s">
        <v>14</v>
      </c>
      <c r="O578" t="s">
        <v>11</v>
      </c>
      <c r="P578" t="s">
        <v>15</v>
      </c>
      <c r="Q578" t="s">
        <v>16</v>
      </c>
      <c r="R578" t="s">
        <v>16</v>
      </c>
      <c r="S578" t="s">
        <v>144</v>
      </c>
      <c r="T578" s="2">
        <f>MASTER[[#This Row],[CANTIDAD]]*MASTER[[#This Row],[PRECIO DE VENTA]]</f>
        <v>1054</v>
      </c>
      <c r="U578" s="2">
        <f>MASTER[[#This Row],[CANTIDAD]]*MASTER[[#This Row],[COSTO UNITARIO]]</f>
        <v>442</v>
      </c>
      <c r="V578" s="2">
        <f>MASTER[[#This Row],[MONTO VENDIDO]]-MASTER[[#This Row],[COSTO DE VENTA]]</f>
        <v>612</v>
      </c>
    </row>
    <row r="579" spans="1:22" x14ac:dyDescent="0.3">
      <c r="A579">
        <v>17540</v>
      </c>
      <c r="B579">
        <v>2</v>
      </c>
      <c r="C579" t="s">
        <v>101</v>
      </c>
      <c r="D579" t="s">
        <v>102</v>
      </c>
      <c r="E579" s="1">
        <v>43900</v>
      </c>
      <c r="F579">
        <v>1</v>
      </c>
      <c r="G579" t="s">
        <v>59</v>
      </c>
      <c r="H579" t="s">
        <v>60</v>
      </c>
      <c r="I579" s="3">
        <v>1054</v>
      </c>
      <c r="J579" s="3">
        <v>1054</v>
      </c>
      <c r="K579" s="3">
        <v>442</v>
      </c>
      <c r="L579" t="s">
        <v>98</v>
      </c>
      <c r="M579">
        <v>17</v>
      </c>
      <c r="N579" t="s">
        <v>14</v>
      </c>
      <c r="O579" t="s">
        <v>11</v>
      </c>
      <c r="P579" t="s">
        <v>15</v>
      </c>
      <c r="Q579" t="s">
        <v>16</v>
      </c>
      <c r="R579" t="s">
        <v>16</v>
      </c>
      <c r="S579" t="s">
        <v>144</v>
      </c>
      <c r="T579" s="2">
        <f>MASTER[[#This Row],[CANTIDAD]]*MASTER[[#This Row],[PRECIO DE VENTA]]</f>
        <v>1054</v>
      </c>
      <c r="U579" s="2">
        <f>MASTER[[#This Row],[CANTIDAD]]*MASTER[[#This Row],[COSTO UNITARIO]]</f>
        <v>442</v>
      </c>
      <c r="V579" s="2">
        <f>MASTER[[#This Row],[MONTO VENDIDO]]-MASTER[[#This Row],[COSTO DE VENTA]]</f>
        <v>612</v>
      </c>
    </row>
    <row r="580" spans="1:22" x14ac:dyDescent="0.3">
      <c r="A580">
        <v>17561</v>
      </c>
      <c r="B580">
        <v>1</v>
      </c>
      <c r="C580" t="s">
        <v>94</v>
      </c>
      <c r="D580" t="s">
        <v>95</v>
      </c>
      <c r="E580" s="1">
        <v>43900</v>
      </c>
      <c r="F580">
        <v>1</v>
      </c>
      <c r="G580" t="s">
        <v>20</v>
      </c>
      <c r="H580" t="s">
        <v>21</v>
      </c>
      <c r="I580" s="3">
        <v>1048</v>
      </c>
      <c r="J580" s="3">
        <v>1048</v>
      </c>
      <c r="K580" s="3">
        <v>392</v>
      </c>
      <c r="L580" t="s">
        <v>9</v>
      </c>
      <c r="M580">
        <v>10</v>
      </c>
      <c r="N580" t="s">
        <v>83</v>
      </c>
      <c r="O580" t="s">
        <v>81</v>
      </c>
      <c r="P580" t="s">
        <v>12</v>
      </c>
      <c r="Q580" t="s">
        <v>13</v>
      </c>
      <c r="R580" t="s">
        <v>13</v>
      </c>
      <c r="S580" t="s">
        <v>144</v>
      </c>
      <c r="T580" s="2">
        <f>MASTER[[#This Row],[CANTIDAD]]*MASTER[[#This Row],[PRECIO DE VENTA]]</f>
        <v>1048</v>
      </c>
      <c r="U580" s="2">
        <f>MASTER[[#This Row],[CANTIDAD]]*MASTER[[#This Row],[COSTO UNITARIO]]</f>
        <v>392</v>
      </c>
      <c r="V580" s="2">
        <f>MASTER[[#This Row],[MONTO VENDIDO]]-MASTER[[#This Row],[COSTO DE VENTA]]</f>
        <v>656</v>
      </c>
    </row>
    <row r="581" spans="1:22" x14ac:dyDescent="0.3">
      <c r="A581">
        <v>17596</v>
      </c>
      <c r="B581">
        <v>1</v>
      </c>
      <c r="C581" t="s">
        <v>96</v>
      </c>
      <c r="D581" t="s">
        <v>97</v>
      </c>
      <c r="E581" s="1">
        <v>43900</v>
      </c>
      <c r="F581">
        <v>1</v>
      </c>
      <c r="G581" t="s">
        <v>22</v>
      </c>
      <c r="H581" t="s">
        <v>23</v>
      </c>
      <c r="I581" s="3">
        <v>1272</v>
      </c>
      <c r="J581" s="3">
        <v>1182</v>
      </c>
      <c r="K581" s="3">
        <v>397</v>
      </c>
      <c r="L581" t="s">
        <v>98</v>
      </c>
      <c r="M581">
        <v>15</v>
      </c>
      <c r="N581" t="s">
        <v>88</v>
      </c>
      <c r="O581" t="s">
        <v>81</v>
      </c>
      <c r="P581" t="s">
        <v>18</v>
      </c>
      <c r="Q581" t="s">
        <v>19</v>
      </c>
      <c r="R581" t="s">
        <v>138</v>
      </c>
      <c r="S581" t="s">
        <v>144</v>
      </c>
      <c r="T581" s="2">
        <f>MASTER[[#This Row],[CANTIDAD]]*MASTER[[#This Row],[PRECIO DE VENTA]]</f>
        <v>1182</v>
      </c>
      <c r="U581" s="2">
        <f>MASTER[[#This Row],[CANTIDAD]]*MASTER[[#This Row],[COSTO UNITARIO]]</f>
        <v>397</v>
      </c>
      <c r="V581" s="2">
        <f>MASTER[[#This Row],[MONTO VENDIDO]]-MASTER[[#This Row],[COSTO DE VENTA]]</f>
        <v>785</v>
      </c>
    </row>
    <row r="582" spans="1:22" x14ac:dyDescent="0.3">
      <c r="A582">
        <v>17603</v>
      </c>
      <c r="B582">
        <v>1</v>
      </c>
      <c r="C582" t="s">
        <v>116</v>
      </c>
      <c r="D582" t="s">
        <v>117</v>
      </c>
      <c r="E582" s="1">
        <v>43900</v>
      </c>
      <c r="F582">
        <v>1</v>
      </c>
      <c r="G582" t="s">
        <v>73</v>
      </c>
      <c r="H582" t="s">
        <v>74</v>
      </c>
      <c r="I582" s="3">
        <v>1738</v>
      </c>
      <c r="J582" s="3">
        <v>1738</v>
      </c>
      <c r="K582" s="3">
        <v>388</v>
      </c>
      <c r="L582" t="s">
        <v>113</v>
      </c>
      <c r="M582">
        <v>10</v>
      </c>
      <c r="N582" t="s">
        <v>83</v>
      </c>
      <c r="O582" t="s">
        <v>81</v>
      </c>
      <c r="P582" t="s">
        <v>12</v>
      </c>
      <c r="Q582" t="s">
        <v>13</v>
      </c>
      <c r="R582" t="s">
        <v>13</v>
      </c>
      <c r="S582" t="s">
        <v>144</v>
      </c>
      <c r="T582" s="2">
        <f>MASTER[[#This Row],[CANTIDAD]]*MASTER[[#This Row],[PRECIO DE VENTA]]</f>
        <v>1738</v>
      </c>
      <c r="U582" s="2">
        <f>MASTER[[#This Row],[CANTIDAD]]*MASTER[[#This Row],[COSTO UNITARIO]]</f>
        <v>388</v>
      </c>
      <c r="V582" s="2">
        <f>MASTER[[#This Row],[MONTO VENDIDO]]-MASTER[[#This Row],[COSTO DE VENTA]]</f>
        <v>1350</v>
      </c>
    </row>
    <row r="583" spans="1:22" x14ac:dyDescent="0.3">
      <c r="A583">
        <v>17616</v>
      </c>
      <c r="B583">
        <v>1</v>
      </c>
      <c r="C583" t="s">
        <v>116</v>
      </c>
      <c r="D583" t="s">
        <v>117</v>
      </c>
      <c r="E583" s="1">
        <v>43900</v>
      </c>
      <c r="F583">
        <v>1</v>
      </c>
      <c r="G583" t="s">
        <v>37</v>
      </c>
      <c r="H583" t="s">
        <v>38</v>
      </c>
      <c r="I583" s="3">
        <v>1738</v>
      </c>
      <c r="J583" s="3">
        <v>1738</v>
      </c>
      <c r="K583" s="3">
        <v>388</v>
      </c>
      <c r="L583" t="s">
        <v>113</v>
      </c>
      <c r="M583">
        <v>4</v>
      </c>
      <c r="N583" t="s">
        <v>82</v>
      </c>
      <c r="O583" t="s">
        <v>81</v>
      </c>
      <c r="P583" t="s">
        <v>71</v>
      </c>
      <c r="Q583" t="s">
        <v>72</v>
      </c>
      <c r="R583" t="s">
        <v>139</v>
      </c>
      <c r="S583" t="s">
        <v>144</v>
      </c>
      <c r="T583" s="2">
        <f>MASTER[[#This Row],[CANTIDAD]]*MASTER[[#This Row],[PRECIO DE VENTA]]</f>
        <v>1738</v>
      </c>
      <c r="U583" s="2">
        <f>MASTER[[#This Row],[CANTIDAD]]*MASTER[[#This Row],[COSTO UNITARIO]]</f>
        <v>388</v>
      </c>
      <c r="V583" s="2">
        <f>MASTER[[#This Row],[MONTO VENDIDO]]-MASTER[[#This Row],[COSTO DE VENTA]]</f>
        <v>1350</v>
      </c>
    </row>
    <row r="584" spans="1:22" x14ac:dyDescent="0.3">
      <c r="A584">
        <v>17648</v>
      </c>
      <c r="B584">
        <v>1</v>
      </c>
      <c r="C584" t="s">
        <v>94</v>
      </c>
      <c r="D584" t="s">
        <v>95</v>
      </c>
      <c r="E584" s="1">
        <v>43901</v>
      </c>
      <c r="F584">
        <v>1</v>
      </c>
      <c r="G584" t="s">
        <v>67</v>
      </c>
      <c r="H584" t="s">
        <v>68</v>
      </c>
      <c r="I584" s="3">
        <v>1048</v>
      </c>
      <c r="J584" s="3">
        <v>1048</v>
      </c>
      <c r="K584" s="3">
        <v>392</v>
      </c>
      <c r="L584" t="s">
        <v>9</v>
      </c>
      <c r="M584">
        <v>19</v>
      </c>
      <c r="N584" t="s">
        <v>89</v>
      </c>
      <c r="O584" t="s">
        <v>81</v>
      </c>
      <c r="P584" t="s">
        <v>15</v>
      </c>
      <c r="Q584" t="s">
        <v>16</v>
      </c>
      <c r="R584" t="s">
        <v>16</v>
      </c>
      <c r="S584" t="s">
        <v>144</v>
      </c>
      <c r="T584" s="2">
        <f>MASTER[[#This Row],[CANTIDAD]]*MASTER[[#This Row],[PRECIO DE VENTA]]</f>
        <v>1048</v>
      </c>
      <c r="U584" s="2">
        <f>MASTER[[#This Row],[CANTIDAD]]*MASTER[[#This Row],[COSTO UNITARIO]]</f>
        <v>392</v>
      </c>
      <c r="V584" s="2">
        <f>MASTER[[#This Row],[MONTO VENDIDO]]-MASTER[[#This Row],[COSTO DE VENTA]]</f>
        <v>656</v>
      </c>
    </row>
    <row r="585" spans="1:22" x14ac:dyDescent="0.3">
      <c r="A585">
        <v>17649</v>
      </c>
      <c r="B585">
        <v>1</v>
      </c>
      <c r="C585" t="s">
        <v>99</v>
      </c>
      <c r="D585" t="s">
        <v>100</v>
      </c>
      <c r="E585" s="1">
        <v>43901</v>
      </c>
      <c r="F585">
        <v>1</v>
      </c>
      <c r="G585" t="s">
        <v>35</v>
      </c>
      <c r="H585" t="s">
        <v>36</v>
      </c>
      <c r="I585" s="3">
        <v>1459</v>
      </c>
      <c r="J585" s="3">
        <v>1459</v>
      </c>
      <c r="K585" s="3">
        <v>386</v>
      </c>
      <c r="L585" t="s">
        <v>98</v>
      </c>
      <c r="M585">
        <v>2</v>
      </c>
      <c r="N585" t="s">
        <v>86</v>
      </c>
      <c r="O585" t="s">
        <v>81</v>
      </c>
      <c r="P585" t="s">
        <v>71</v>
      </c>
      <c r="Q585" t="s">
        <v>72</v>
      </c>
      <c r="R585" t="s">
        <v>139</v>
      </c>
      <c r="S585" t="s">
        <v>144</v>
      </c>
      <c r="T585" s="2">
        <f>MASTER[[#This Row],[CANTIDAD]]*MASTER[[#This Row],[PRECIO DE VENTA]]</f>
        <v>1459</v>
      </c>
      <c r="U585" s="2">
        <f>MASTER[[#This Row],[CANTIDAD]]*MASTER[[#This Row],[COSTO UNITARIO]]</f>
        <v>386</v>
      </c>
      <c r="V585" s="2">
        <f>MASTER[[#This Row],[MONTO VENDIDO]]-MASTER[[#This Row],[COSTO DE VENTA]]</f>
        <v>1073</v>
      </c>
    </row>
    <row r="586" spans="1:22" x14ac:dyDescent="0.3">
      <c r="A586">
        <v>17666</v>
      </c>
      <c r="B586">
        <v>1</v>
      </c>
      <c r="C586" t="s">
        <v>114</v>
      </c>
      <c r="D586" t="s">
        <v>115</v>
      </c>
      <c r="E586" s="1">
        <v>43901</v>
      </c>
      <c r="F586">
        <v>4</v>
      </c>
      <c r="G586" t="s">
        <v>39</v>
      </c>
      <c r="H586" t="s">
        <v>40</v>
      </c>
      <c r="I586" s="3">
        <v>2030</v>
      </c>
      <c r="J586" s="3">
        <v>2030</v>
      </c>
      <c r="K586" s="3">
        <v>394</v>
      </c>
      <c r="L586" t="s">
        <v>113</v>
      </c>
      <c r="M586">
        <v>1</v>
      </c>
      <c r="N586" t="s">
        <v>77</v>
      </c>
      <c r="O586" t="s">
        <v>70</v>
      </c>
      <c r="P586" t="s">
        <v>71</v>
      </c>
      <c r="Q586" t="s">
        <v>72</v>
      </c>
      <c r="R586" t="s">
        <v>139</v>
      </c>
      <c r="S586" t="s">
        <v>144</v>
      </c>
      <c r="T586" s="2">
        <f>MASTER[[#This Row],[CANTIDAD]]*MASTER[[#This Row],[PRECIO DE VENTA]]</f>
        <v>8120</v>
      </c>
      <c r="U586" s="2">
        <f>MASTER[[#This Row],[CANTIDAD]]*MASTER[[#This Row],[COSTO UNITARIO]]</f>
        <v>1576</v>
      </c>
      <c r="V586" s="2">
        <f>MASTER[[#This Row],[MONTO VENDIDO]]-MASTER[[#This Row],[COSTO DE VENTA]]</f>
        <v>6544</v>
      </c>
    </row>
    <row r="587" spans="1:22" x14ac:dyDescent="0.3">
      <c r="A587">
        <v>17670</v>
      </c>
      <c r="B587">
        <v>2</v>
      </c>
      <c r="C587" t="s">
        <v>94</v>
      </c>
      <c r="D587" t="s">
        <v>95</v>
      </c>
      <c r="E587" s="1">
        <v>43901</v>
      </c>
      <c r="F587">
        <v>1</v>
      </c>
      <c r="G587" t="s">
        <v>31</v>
      </c>
      <c r="H587" t="s">
        <v>32</v>
      </c>
      <c r="I587" s="3">
        <v>1153</v>
      </c>
      <c r="J587" s="3">
        <v>1153</v>
      </c>
      <c r="K587" s="3">
        <v>392</v>
      </c>
      <c r="L587" t="s">
        <v>9</v>
      </c>
      <c r="M587">
        <v>1</v>
      </c>
      <c r="N587" t="s">
        <v>77</v>
      </c>
      <c r="O587" t="s">
        <v>70</v>
      </c>
      <c r="P587" t="s">
        <v>71</v>
      </c>
      <c r="Q587" t="s">
        <v>72</v>
      </c>
      <c r="R587" t="s">
        <v>139</v>
      </c>
      <c r="S587" t="s">
        <v>144</v>
      </c>
      <c r="T587" s="2">
        <f>MASTER[[#This Row],[CANTIDAD]]*MASTER[[#This Row],[PRECIO DE VENTA]]</f>
        <v>1153</v>
      </c>
      <c r="U587" s="2">
        <f>MASTER[[#This Row],[CANTIDAD]]*MASTER[[#This Row],[COSTO UNITARIO]]</f>
        <v>392</v>
      </c>
      <c r="V587" s="2">
        <f>MASTER[[#This Row],[MONTO VENDIDO]]-MASTER[[#This Row],[COSTO DE VENTA]]</f>
        <v>761</v>
      </c>
    </row>
    <row r="588" spans="1:22" x14ac:dyDescent="0.3">
      <c r="A588">
        <v>17670</v>
      </c>
      <c r="B588">
        <v>1</v>
      </c>
      <c r="C588" t="s">
        <v>111</v>
      </c>
      <c r="D588" t="s">
        <v>112</v>
      </c>
      <c r="E588" s="1">
        <v>43901</v>
      </c>
      <c r="F588">
        <v>1</v>
      </c>
      <c r="G588" t="s">
        <v>7</v>
      </c>
      <c r="H588" t="s">
        <v>8</v>
      </c>
      <c r="I588" s="3">
        <v>1799</v>
      </c>
      <c r="J588" s="3">
        <v>1799</v>
      </c>
      <c r="K588" s="3">
        <v>434</v>
      </c>
      <c r="L588" t="s">
        <v>113</v>
      </c>
      <c r="M588">
        <v>1</v>
      </c>
      <c r="N588" t="s">
        <v>77</v>
      </c>
      <c r="O588" t="s">
        <v>70</v>
      </c>
      <c r="P588" t="s">
        <v>71</v>
      </c>
      <c r="Q588" t="s">
        <v>72</v>
      </c>
      <c r="R588" t="s">
        <v>139</v>
      </c>
      <c r="S588" t="s">
        <v>144</v>
      </c>
      <c r="T588" s="2">
        <f>MASTER[[#This Row],[CANTIDAD]]*MASTER[[#This Row],[PRECIO DE VENTA]]</f>
        <v>1799</v>
      </c>
      <c r="U588" s="2">
        <f>MASTER[[#This Row],[CANTIDAD]]*MASTER[[#This Row],[COSTO UNITARIO]]</f>
        <v>434</v>
      </c>
      <c r="V588" s="2">
        <f>MASTER[[#This Row],[MONTO VENDIDO]]-MASTER[[#This Row],[COSTO DE VENTA]]</f>
        <v>1365</v>
      </c>
    </row>
    <row r="589" spans="1:22" x14ac:dyDescent="0.3">
      <c r="A589">
        <v>17699</v>
      </c>
      <c r="B589">
        <v>1</v>
      </c>
      <c r="C589" t="s">
        <v>96</v>
      </c>
      <c r="D589" t="s">
        <v>97</v>
      </c>
      <c r="E589" s="1">
        <v>43901</v>
      </c>
      <c r="F589">
        <v>1</v>
      </c>
      <c r="G589" t="s">
        <v>67</v>
      </c>
      <c r="H589" t="s">
        <v>68</v>
      </c>
      <c r="I589" s="3">
        <v>1361</v>
      </c>
      <c r="J589" s="3">
        <v>1361</v>
      </c>
      <c r="K589" s="3">
        <v>397</v>
      </c>
      <c r="L589" t="s">
        <v>98</v>
      </c>
      <c r="M589">
        <v>6</v>
      </c>
      <c r="N589" t="s">
        <v>75</v>
      </c>
      <c r="O589" t="s">
        <v>70</v>
      </c>
      <c r="P589" t="s">
        <v>12</v>
      </c>
      <c r="Q589" t="s">
        <v>13</v>
      </c>
      <c r="R589" t="s">
        <v>13</v>
      </c>
      <c r="S589" t="s">
        <v>144</v>
      </c>
      <c r="T589" s="2">
        <f>MASTER[[#This Row],[CANTIDAD]]*MASTER[[#This Row],[PRECIO DE VENTA]]</f>
        <v>1361</v>
      </c>
      <c r="U589" s="2">
        <f>MASTER[[#This Row],[CANTIDAD]]*MASTER[[#This Row],[COSTO UNITARIO]]</f>
        <v>397</v>
      </c>
      <c r="V589" s="2">
        <f>MASTER[[#This Row],[MONTO VENDIDO]]-MASTER[[#This Row],[COSTO DE VENTA]]</f>
        <v>964</v>
      </c>
    </row>
    <row r="590" spans="1:22" x14ac:dyDescent="0.3">
      <c r="A590">
        <v>17711</v>
      </c>
      <c r="B590">
        <v>1</v>
      </c>
      <c r="C590" t="s">
        <v>107</v>
      </c>
      <c r="D590" t="s">
        <v>108</v>
      </c>
      <c r="E590" s="1">
        <v>43901</v>
      </c>
      <c r="F590">
        <v>1</v>
      </c>
      <c r="G590" t="s">
        <v>73</v>
      </c>
      <c r="H590" t="s">
        <v>74</v>
      </c>
      <c r="I590" s="3">
        <v>1333</v>
      </c>
      <c r="J590" s="3">
        <v>1333</v>
      </c>
      <c r="K590" s="3">
        <v>380</v>
      </c>
      <c r="L590" t="s">
        <v>98</v>
      </c>
      <c r="M590">
        <v>5</v>
      </c>
      <c r="N590" t="s">
        <v>85</v>
      </c>
      <c r="O590" t="s">
        <v>81</v>
      </c>
      <c r="P590" t="s">
        <v>12</v>
      </c>
      <c r="Q590" t="s">
        <v>13</v>
      </c>
      <c r="R590" t="s">
        <v>13</v>
      </c>
      <c r="S590" t="s">
        <v>144</v>
      </c>
      <c r="T590" s="2">
        <f>MASTER[[#This Row],[CANTIDAD]]*MASTER[[#This Row],[PRECIO DE VENTA]]</f>
        <v>1333</v>
      </c>
      <c r="U590" s="2">
        <f>MASTER[[#This Row],[CANTIDAD]]*MASTER[[#This Row],[COSTO UNITARIO]]</f>
        <v>380</v>
      </c>
      <c r="V590" s="2">
        <f>MASTER[[#This Row],[MONTO VENDIDO]]-MASTER[[#This Row],[COSTO DE VENTA]]</f>
        <v>953</v>
      </c>
    </row>
    <row r="591" spans="1:22" x14ac:dyDescent="0.3">
      <c r="A591">
        <v>17736</v>
      </c>
      <c r="B591">
        <v>1</v>
      </c>
      <c r="C591" t="s">
        <v>90</v>
      </c>
      <c r="D591" t="s">
        <v>91</v>
      </c>
      <c r="E591" s="1">
        <v>43901</v>
      </c>
      <c r="F591">
        <v>1</v>
      </c>
      <c r="G591" t="s">
        <v>61</v>
      </c>
      <c r="H591" t="s">
        <v>62</v>
      </c>
      <c r="I591" s="3">
        <v>1660</v>
      </c>
      <c r="J591" s="3">
        <v>1660</v>
      </c>
      <c r="K591" s="3">
        <v>420</v>
      </c>
      <c r="L591" t="s">
        <v>9</v>
      </c>
      <c r="M591">
        <v>16</v>
      </c>
      <c r="N591" t="s">
        <v>17</v>
      </c>
      <c r="O591" t="s">
        <v>11</v>
      </c>
      <c r="P591" t="s">
        <v>18</v>
      </c>
      <c r="Q591" t="s">
        <v>19</v>
      </c>
      <c r="R591" t="s">
        <v>138</v>
      </c>
      <c r="S591" t="s">
        <v>144</v>
      </c>
      <c r="T591" s="2">
        <f>MASTER[[#This Row],[CANTIDAD]]*MASTER[[#This Row],[PRECIO DE VENTA]]</f>
        <v>1660</v>
      </c>
      <c r="U591" s="2">
        <f>MASTER[[#This Row],[CANTIDAD]]*MASTER[[#This Row],[COSTO UNITARIO]]</f>
        <v>420</v>
      </c>
      <c r="V591" s="2">
        <f>MASTER[[#This Row],[MONTO VENDIDO]]-MASTER[[#This Row],[COSTO DE VENTA]]</f>
        <v>1240</v>
      </c>
    </row>
    <row r="592" spans="1:22" x14ac:dyDescent="0.3">
      <c r="A592">
        <v>17754</v>
      </c>
      <c r="B592">
        <v>1</v>
      </c>
      <c r="C592" t="s">
        <v>96</v>
      </c>
      <c r="D592" t="s">
        <v>97</v>
      </c>
      <c r="E592" s="1">
        <v>43901</v>
      </c>
      <c r="F592">
        <v>1</v>
      </c>
      <c r="G592" t="s">
        <v>7</v>
      </c>
      <c r="H592" t="s">
        <v>8</v>
      </c>
      <c r="I592" s="3">
        <v>1361</v>
      </c>
      <c r="J592" s="3">
        <v>1361</v>
      </c>
      <c r="K592" s="3">
        <v>397</v>
      </c>
      <c r="L592" t="s">
        <v>98</v>
      </c>
      <c r="M592">
        <v>18</v>
      </c>
      <c r="N592" t="s">
        <v>79</v>
      </c>
      <c r="O592" t="s">
        <v>70</v>
      </c>
      <c r="P592" t="s">
        <v>15</v>
      </c>
      <c r="Q592" t="s">
        <v>16</v>
      </c>
      <c r="R592" t="s">
        <v>16</v>
      </c>
      <c r="S592" t="s">
        <v>144</v>
      </c>
      <c r="T592" s="2">
        <f>MASTER[[#This Row],[CANTIDAD]]*MASTER[[#This Row],[PRECIO DE VENTA]]</f>
        <v>1361</v>
      </c>
      <c r="U592" s="2">
        <f>MASTER[[#This Row],[CANTIDAD]]*MASTER[[#This Row],[COSTO UNITARIO]]</f>
        <v>397</v>
      </c>
      <c r="V592" s="2">
        <f>MASTER[[#This Row],[MONTO VENDIDO]]-MASTER[[#This Row],[COSTO DE VENTA]]</f>
        <v>964</v>
      </c>
    </row>
    <row r="593" spans="1:22" x14ac:dyDescent="0.3">
      <c r="A593">
        <v>17776</v>
      </c>
      <c r="B593">
        <v>1</v>
      </c>
      <c r="C593" t="s">
        <v>111</v>
      </c>
      <c r="D593" t="s">
        <v>112</v>
      </c>
      <c r="E593" s="1">
        <v>43902</v>
      </c>
      <c r="F593">
        <v>1</v>
      </c>
      <c r="G593" t="s">
        <v>24</v>
      </c>
      <c r="H593" t="s">
        <v>25</v>
      </c>
      <c r="I593" s="3">
        <v>1799</v>
      </c>
      <c r="J593" s="3">
        <v>1799</v>
      </c>
      <c r="K593" s="3">
        <v>434</v>
      </c>
      <c r="L593" t="s">
        <v>113</v>
      </c>
      <c r="M593">
        <v>13</v>
      </c>
      <c r="N593" t="s">
        <v>78</v>
      </c>
      <c r="O593" t="s">
        <v>70</v>
      </c>
      <c r="P593" t="s">
        <v>18</v>
      </c>
      <c r="Q593" t="s">
        <v>19</v>
      </c>
      <c r="R593" t="s">
        <v>138</v>
      </c>
      <c r="S593" t="s">
        <v>144</v>
      </c>
      <c r="T593" s="2">
        <f>MASTER[[#This Row],[CANTIDAD]]*MASTER[[#This Row],[PRECIO DE VENTA]]</f>
        <v>1799</v>
      </c>
      <c r="U593" s="2">
        <f>MASTER[[#This Row],[CANTIDAD]]*MASTER[[#This Row],[COSTO UNITARIO]]</f>
        <v>434</v>
      </c>
      <c r="V593" s="2">
        <f>MASTER[[#This Row],[MONTO VENDIDO]]-MASTER[[#This Row],[COSTO DE VENTA]]</f>
        <v>1365</v>
      </c>
    </row>
    <row r="594" spans="1:22" x14ac:dyDescent="0.3">
      <c r="A594">
        <v>17779</v>
      </c>
      <c r="B594">
        <v>1</v>
      </c>
      <c r="C594" t="s">
        <v>105</v>
      </c>
      <c r="D594" t="s">
        <v>106</v>
      </c>
      <c r="E594" s="1">
        <v>43902</v>
      </c>
      <c r="F594">
        <v>2</v>
      </c>
      <c r="G594" t="s">
        <v>29</v>
      </c>
      <c r="H594" t="s">
        <v>30</v>
      </c>
      <c r="I594" s="3">
        <v>2033</v>
      </c>
      <c r="J594" s="3">
        <v>2033</v>
      </c>
      <c r="K594" s="3">
        <v>459</v>
      </c>
      <c r="L594" t="s">
        <v>98</v>
      </c>
      <c r="M594">
        <v>18</v>
      </c>
      <c r="N594" t="s">
        <v>79</v>
      </c>
      <c r="O594" t="s">
        <v>70</v>
      </c>
      <c r="P594" t="s">
        <v>15</v>
      </c>
      <c r="Q594" t="s">
        <v>16</v>
      </c>
      <c r="R594" t="s">
        <v>16</v>
      </c>
      <c r="S594" t="s">
        <v>144</v>
      </c>
      <c r="T594" s="2">
        <f>MASTER[[#This Row],[CANTIDAD]]*MASTER[[#This Row],[PRECIO DE VENTA]]</f>
        <v>4066</v>
      </c>
      <c r="U594" s="2">
        <f>MASTER[[#This Row],[CANTIDAD]]*MASTER[[#This Row],[COSTO UNITARIO]]</f>
        <v>918</v>
      </c>
      <c r="V594" s="2">
        <f>MASTER[[#This Row],[MONTO VENDIDO]]-MASTER[[#This Row],[COSTO DE VENTA]]</f>
        <v>3148</v>
      </c>
    </row>
    <row r="595" spans="1:22" x14ac:dyDescent="0.3">
      <c r="A595">
        <v>17783</v>
      </c>
      <c r="B595">
        <v>1</v>
      </c>
      <c r="C595" t="s">
        <v>99</v>
      </c>
      <c r="D595" t="s">
        <v>100</v>
      </c>
      <c r="E595" s="1">
        <v>43902</v>
      </c>
      <c r="F595">
        <v>1</v>
      </c>
      <c r="G595" t="s">
        <v>59</v>
      </c>
      <c r="H595" t="s">
        <v>60</v>
      </c>
      <c r="I595" s="3">
        <v>1459</v>
      </c>
      <c r="J595" s="3">
        <v>1459</v>
      </c>
      <c r="K595" s="3">
        <v>386</v>
      </c>
      <c r="L595" t="s">
        <v>98</v>
      </c>
      <c r="M595">
        <v>4</v>
      </c>
      <c r="N595" t="s">
        <v>82</v>
      </c>
      <c r="O595" t="s">
        <v>81</v>
      </c>
      <c r="P595" t="s">
        <v>71</v>
      </c>
      <c r="Q595" t="s">
        <v>72</v>
      </c>
      <c r="R595" t="s">
        <v>139</v>
      </c>
      <c r="S595" t="s">
        <v>144</v>
      </c>
      <c r="T595" s="2">
        <f>MASTER[[#This Row],[CANTIDAD]]*MASTER[[#This Row],[PRECIO DE VENTA]]</f>
        <v>1459</v>
      </c>
      <c r="U595" s="2">
        <f>MASTER[[#This Row],[CANTIDAD]]*MASTER[[#This Row],[COSTO UNITARIO]]</f>
        <v>386</v>
      </c>
      <c r="V595" s="2">
        <f>MASTER[[#This Row],[MONTO VENDIDO]]-MASTER[[#This Row],[COSTO DE VENTA]]</f>
        <v>1073</v>
      </c>
    </row>
    <row r="596" spans="1:22" x14ac:dyDescent="0.3">
      <c r="A596">
        <v>17786</v>
      </c>
      <c r="B596">
        <v>1</v>
      </c>
      <c r="C596" t="s">
        <v>101</v>
      </c>
      <c r="D596" t="s">
        <v>102</v>
      </c>
      <c r="E596" s="1">
        <v>43902</v>
      </c>
      <c r="F596">
        <v>1</v>
      </c>
      <c r="G596" t="s">
        <v>29</v>
      </c>
      <c r="H596" t="s">
        <v>30</v>
      </c>
      <c r="I596" s="3">
        <v>1212</v>
      </c>
      <c r="J596" s="3">
        <v>1212</v>
      </c>
      <c r="K596" s="3">
        <v>442</v>
      </c>
      <c r="L596" t="s">
        <v>98</v>
      </c>
      <c r="M596">
        <v>7</v>
      </c>
      <c r="N596" t="s">
        <v>84</v>
      </c>
      <c r="O596" t="s">
        <v>81</v>
      </c>
      <c r="P596" t="s">
        <v>12</v>
      </c>
      <c r="Q596" t="s">
        <v>13</v>
      </c>
      <c r="R596" t="s">
        <v>13</v>
      </c>
      <c r="S596" t="s">
        <v>144</v>
      </c>
      <c r="T596" s="2">
        <f>MASTER[[#This Row],[CANTIDAD]]*MASTER[[#This Row],[PRECIO DE VENTA]]</f>
        <v>1212</v>
      </c>
      <c r="U596" s="2">
        <f>MASTER[[#This Row],[CANTIDAD]]*MASTER[[#This Row],[COSTO UNITARIO]]</f>
        <v>442</v>
      </c>
      <c r="V596" s="2">
        <f>MASTER[[#This Row],[MONTO VENDIDO]]-MASTER[[#This Row],[COSTO DE VENTA]]</f>
        <v>770</v>
      </c>
    </row>
    <row r="597" spans="1:22" x14ac:dyDescent="0.3">
      <c r="A597">
        <v>17807</v>
      </c>
      <c r="B597">
        <v>1</v>
      </c>
      <c r="C597" t="s">
        <v>96</v>
      </c>
      <c r="D597" t="s">
        <v>97</v>
      </c>
      <c r="E597" s="1">
        <v>43902</v>
      </c>
      <c r="F597">
        <v>1</v>
      </c>
      <c r="G597" t="s">
        <v>45</v>
      </c>
      <c r="H597" t="s">
        <v>46</v>
      </c>
      <c r="I597" s="3">
        <v>1361</v>
      </c>
      <c r="J597" s="3">
        <v>1361</v>
      </c>
      <c r="K597" s="3">
        <v>397</v>
      </c>
      <c r="L597" t="s">
        <v>98</v>
      </c>
      <c r="M597">
        <v>6</v>
      </c>
      <c r="N597" t="s">
        <v>75</v>
      </c>
      <c r="O597" t="s">
        <v>70</v>
      </c>
      <c r="P597" t="s">
        <v>12</v>
      </c>
      <c r="Q597" t="s">
        <v>13</v>
      </c>
      <c r="R597" t="s">
        <v>13</v>
      </c>
      <c r="S597" t="s">
        <v>144</v>
      </c>
      <c r="T597" s="2">
        <f>MASTER[[#This Row],[CANTIDAD]]*MASTER[[#This Row],[PRECIO DE VENTA]]</f>
        <v>1361</v>
      </c>
      <c r="U597" s="2">
        <f>MASTER[[#This Row],[CANTIDAD]]*MASTER[[#This Row],[COSTO UNITARIO]]</f>
        <v>397</v>
      </c>
      <c r="V597" s="2">
        <f>MASTER[[#This Row],[MONTO VENDIDO]]-MASTER[[#This Row],[COSTO DE VENTA]]</f>
        <v>964</v>
      </c>
    </row>
    <row r="598" spans="1:22" x14ac:dyDescent="0.3">
      <c r="A598">
        <v>17808</v>
      </c>
      <c r="B598">
        <v>1</v>
      </c>
      <c r="C598" t="s">
        <v>96</v>
      </c>
      <c r="D598" t="s">
        <v>97</v>
      </c>
      <c r="E598" s="1">
        <v>43902</v>
      </c>
      <c r="F598">
        <v>1</v>
      </c>
      <c r="G598" t="s">
        <v>61</v>
      </c>
      <c r="H598" t="s">
        <v>62</v>
      </c>
      <c r="I598" s="3">
        <v>1272</v>
      </c>
      <c r="J598" s="3">
        <v>1272</v>
      </c>
      <c r="K598" s="3">
        <v>397</v>
      </c>
      <c r="L598" t="s">
        <v>98</v>
      </c>
      <c r="M598">
        <v>15</v>
      </c>
      <c r="N598" t="s">
        <v>88</v>
      </c>
      <c r="O598" t="s">
        <v>81</v>
      </c>
      <c r="P598" t="s">
        <v>18</v>
      </c>
      <c r="Q598" t="s">
        <v>19</v>
      </c>
      <c r="R598" t="s">
        <v>138</v>
      </c>
      <c r="S598" t="s">
        <v>144</v>
      </c>
      <c r="T598" s="2">
        <f>MASTER[[#This Row],[CANTIDAD]]*MASTER[[#This Row],[PRECIO DE VENTA]]</f>
        <v>1272</v>
      </c>
      <c r="U598" s="2">
        <f>MASTER[[#This Row],[CANTIDAD]]*MASTER[[#This Row],[COSTO UNITARIO]]</f>
        <v>397</v>
      </c>
      <c r="V598" s="2">
        <f>MASTER[[#This Row],[MONTO VENDIDO]]-MASTER[[#This Row],[COSTO DE VENTA]]</f>
        <v>875</v>
      </c>
    </row>
    <row r="599" spans="1:22" x14ac:dyDescent="0.3">
      <c r="A599">
        <v>17811</v>
      </c>
      <c r="B599">
        <v>1</v>
      </c>
      <c r="C599" t="s">
        <v>111</v>
      </c>
      <c r="D599" t="s">
        <v>112</v>
      </c>
      <c r="E599" s="1">
        <v>43902</v>
      </c>
      <c r="F599">
        <v>1</v>
      </c>
      <c r="G599" t="s">
        <v>7</v>
      </c>
      <c r="H599" t="s">
        <v>8</v>
      </c>
      <c r="I599" s="3">
        <v>1799</v>
      </c>
      <c r="J599" s="3">
        <v>1799</v>
      </c>
      <c r="K599" s="3">
        <v>434</v>
      </c>
      <c r="L599" t="s">
        <v>113</v>
      </c>
      <c r="M599">
        <v>3</v>
      </c>
      <c r="N599" t="s">
        <v>69</v>
      </c>
      <c r="O599" t="s">
        <v>70</v>
      </c>
      <c r="P599" t="s">
        <v>71</v>
      </c>
      <c r="Q599" t="s">
        <v>72</v>
      </c>
      <c r="R599" t="s">
        <v>139</v>
      </c>
      <c r="S599" t="s">
        <v>144</v>
      </c>
      <c r="T599" s="2">
        <f>MASTER[[#This Row],[CANTIDAD]]*MASTER[[#This Row],[PRECIO DE VENTA]]</f>
        <v>1799</v>
      </c>
      <c r="U599" s="2">
        <f>MASTER[[#This Row],[CANTIDAD]]*MASTER[[#This Row],[COSTO UNITARIO]]</f>
        <v>434</v>
      </c>
      <c r="V599" s="2">
        <f>MASTER[[#This Row],[MONTO VENDIDO]]-MASTER[[#This Row],[COSTO DE VENTA]]</f>
        <v>1365</v>
      </c>
    </row>
    <row r="600" spans="1:22" x14ac:dyDescent="0.3">
      <c r="A600">
        <v>17836</v>
      </c>
      <c r="B600">
        <v>1</v>
      </c>
      <c r="C600" t="s">
        <v>105</v>
      </c>
      <c r="D600" t="s">
        <v>106</v>
      </c>
      <c r="E600" s="1">
        <v>43902</v>
      </c>
      <c r="F600">
        <v>2</v>
      </c>
      <c r="G600" t="s">
        <v>7</v>
      </c>
      <c r="H600" t="s">
        <v>8</v>
      </c>
      <c r="I600" s="3">
        <v>1865</v>
      </c>
      <c r="J600" s="3">
        <v>1865</v>
      </c>
      <c r="K600" s="3">
        <v>459</v>
      </c>
      <c r="L600" t="s">
        <v>98</v>
      </c>
      <c r="M600">
        <v>10</v>
      </c>
      <c r="N600" t="s">
        <v>83</v>
      </c>
      <c r="O600" t="s">
        <v>81</v>
      </c>
      <c r="P600" t="s">
        <v>12</v>
      </c>
      <c r="Q600" t="s">
        <v>13</v>
      </c>
      <c r="R600" t="s">
        <v>13</v>
      </c>
      <c r="S600" t="s">
        <v>144</v>
      </c>
      <c r="T600" s="2">
        <f>MASTER[[#This Row],[CANTIDAD]]*MASTER[[#This Row],[PRECIO DE VENTA]]</f>
        <v>3730</v>
      </c>
      <c r="U600" s="2">
        <f>MASTER[[#This Row],[CANTIDAD]]*MASTER[[#This Row],[COSTO UNITARIO]]</f>
        <v>918</v>
      </c>
      <c r="V600" s="2">
        <f>MASTER[[#This Row],[MONTO VENDIDO]]-MASTER[[#This Row],[COSTO DE VENTA]]</f>
        <v>2812</v>
      </c>
    </row>
    <row r="601" spans="1:22" x14ac:dyDescent="0.3">
      <c r="A601">
        <v>17839</v>
      </c>
      <c r="B601">
        <v>1</v>
      </c>
      <c r="C601" t="s">
        <v>116</v>
      </c>
      <c r="D601" t="s">
        <v>117</v>
      </c>
      <c r="E601" s="1">
        <v>43902</v>
      </c>
      <c r="F601">
        <v>1</v>
      </c>
      <c r="G601" t="s">
        <v>59</v>
      </c>
      <c r="H601" t="s">
        <v>60</v>
      </c>
      <c r="I601" s="3">
        <v>1738</v>
      </c>
      <c r="J601" s="3">
        <v>1738</v>
      </c>
      <c r="K601" s="3">
        <v>388</v>
      </c>
      <c r="L601" t="s">
        <v>113</v>
      </c>
      <c r="M601">
        <v>10</v>
      </c>
      <c r="N601" t="s">
        <v>83</v>
      </c>
      <c r="O601" t="s">
        <v>81</v>
      </c>
      <c r="P601" t="s">
        <v>12</v>
      </c>
      <c r="Q601" t="s">
        <v>13</v>
      </c>
      <c r="R601" t="s">
        <v>13</v>
      </c>
      <c r="S601" t="s">
        <v>144</v>
      </c>
      <c r="T601" s="2">
        <f>MASTER[[#This Row],[CANTIDAD]]*MASTER[[#This Row],[PRECIO DE VENTA]]</f>
        <v>1738</v>
      </c>
      <c r="U601" s="2">
        <f>MASTER[[#This Row],[CANTIDAD]]*MASTER[[#This Row],[COSTO UNITARIO]]</f>
        <v>388</v>
      </c>
      <c r="V601" s="2">
        <f>MASTER[[#This Row],[MONTO VENDIDO]]-MASTER[[#This Row],[COSTO DE VENTA]]</f>
        <v>1350</v>
      </c>
    </row>
    <row r="602" spans="1:22" x14ac:dyDescent="0.3">
      <c r="A602">
        <v>17845</v>
      </c>
      <c r="B602">
        <v>1</v>
      </c>
      <c r="C602" t="s">
        <v>111</v>
      </c>
      <c r="D602" t="s">
        <v>112</v>
      </c>
      <c r="E602" s="1">
        <v>43902</v>
      </c>
      <c r="F602">
        <v>1</v>
      </c>
      <c r="G602" t="s">
        <v>57</v>
      </c>
      <c r="H602" t="s">
        <v>58</v>
      </c>
      <c r="I602" s="3">
        <v>1799</v>
      </c>
      <c r="J602" s="3">
        <v>1709</v>
      </c>
      <c r="K602" s="3">
        <v>434</v>
      </c>
      <c r="L602" t="s">
        <v>113</v>
      </c>
      <c r="M602">
        <v>9</v>
      </c>
      <c r="N602" t="s">
        <v>76</v>
      </c>
      <c r="O602" t="s">
        <v>70</v>
      </c>
      <c r="P602" t="s">
        <v>12</v>
      </c>
      <c r="Q602" t="s">
        <v>13</v>
      </c>
      <c r="R602" t="s">
        <v>13</v>
      </c>
      <c r="S602" t="s">
        <v>144</v>
      </c>
      <c r="T602" s="2">
        <f>MASTER[[#This Row],[CANTIDAD]]*MASTER[[#This Row],[PRECIO DE VENTA]]</f>
        <v>1709</v>
      </c>
      <c r="U602" s="2">
        <f>MASTER[[#This Row],[CANTIDAD]]*MASTER[[#This Row],[COSTO UNITARIO]]</f>
        <v>434</v>
      </c>
      <c r="V602" s="2">
        <f>MASTER[[#This Row],[MONTO VENDIDO]]-MASTER[[#This Row],[COSTO DE VENTA]]</f>
        <v>1275</v>
      </c>
    </row>
    <row r="603" spans="1:22" x14ac:dyDescent="0.3">
      <c r="A603">
        <v>17853</v>
      </c>
      <c r="B603">
        <v>1</v>
      </c>
      <c r="C603" t="s">
        <v>94</v>
      </c>
      <c r="D603" t="s">
        <v>95</v>
      </c>
      <c r="E603" s="1">
        <v>43902</v>
      </c>
      <c r="F603">
        <v>1</v>
      </c>
      <c r="G603" t="s">
        <v>67</v>
      </c>
      <c r="H603" t="s">
        <v>68</v>
      </c>
      <c r="I603" s="3">
        <v>1153</v>
      </c>
      <c r="J603" s="3">
        <v>1153</v>
      </c>
      <c r="K603" s="3">
        <v>392</v>
      </c>
      <c r="L603" t="s">
        <v>9</v>
      </c>
      <c r="M603">
        <v>1</v>
      </c>
      <c r="N603" t="s">
        <v>77</v>
      </c>
      <c r="O603" t="s">
        <v>70</v>
      </c>
      <c r="P603" t="s">
        <v>71</v>
      </c>
      <c r="Q603" t="s">
        <v>72</v>
      </c>
      <c r="R603" t="s">
        <v>139</v>
      </c>
      <c r="S603" t="s">
        <v>144</v>
      </c>
      <c r="T603" s="2">
        <f>MASTER[[#This Row],[CANTIDAD]]*MASTER[[#This Row],[PRECIO DE VENTA]]</f>
        <v>1153</v>
      </c>
      <c r="U603" s="2">
        <f>MASTER[[#This Row],[CANTIDAD]]*MASTER[[#This Row],[COSTO UNITARIO]]</f>
        <v>392</v>
      </c>
      <c r="V603" s="2">
        <f>MASTER[[#This Row],[MONTO VENDIDO]]-MASTER[[#This Row],[COSTO DE VENTA]]</f>
        <v>761</v>
      </c>
    </row>
    <row r="604" spans="1:22" x14ac:dyDescent="0.3">
      <c r="A604">
        <v>17860</v>
      </c>
      <c r="B604">
        <v>1</v>
      </c>
      <c r="C604" t="s">
        <v>101</v>
      </c>
      <c r="D604" t="s">
        <v>102</v>
      </c>
      <c r="E604" s="1">
        <v>43903</v>
      </c>
      <c r="F604">
        <v>1</v>
      </c>
      <c r="G604" t="s">
        <v>35</v>
      </c>
      <c r="H604" t="s">
        <v>36</v>
      </c>
      <c r="I604" s="3">
        <v>1054</v>
      </c>
      <c r="J604" s="3">
        <v>1054</v>
      </c>
      <c r="K604" s="3">
        <v>442</v>
      </c>
      <c r="L604" t="s">
        <v>98</v>
      </c>
      <c r="M604">
        <v>12</v>
      </c>
      <c r="N604" t="s">
        <v>26</v>
      </c>
      <c r="O604" t="s">
        <v>11</v>
      </c>
      <c r="P604" t="s">
        <v>12</v>
      </c>
      <c r="Q604" t="s">
        <v>13</v>
      </c>
      <c r="R604" t="s">
        <v>13</v>
      </c>
      <c r="S604" t="s">
        <v>144</v>
      </c>
      <c r="T604" s="2">
        <f>MASTER[[#This Row],[CANTIDAD]]*MASTER[[#This Row],[PRECIO DE VENTA]]</f>
        <v>1054</v>
      </c>
      <c r="U604" s="2">
        <f>MASTER[[#This Row],[CANTIDAD]]*MASTER[[#This Row],[COSTO UNITARIO]]</f>
        <v>442</v>
      </c>
      <c r="V604" s="2">
        <f>MASTER[[#This Row],[MONTO VENDIDO]]-MASTER[[#This Row],[COSTO DE VENTA]]</f>
        <v>612</v>
      </c>
    </row>
    <row r="605" spans="1:22" x14ac:dyDescent="0.3">
      <c r="A605">
        <v>17886</v>
      </c>
      <c r="B605">
        <v>1</v>
      </c>
      <c r="C605" t="s">
        <v>92</v>
      </c>
      <c r="D605" t="s">
        <v>93</v>
      </c>
      <c r="E605" s="1">
        <v>43903</v>
      </c>
      <c r="F605">
        <v>1</v>
      </c>
      <c r="G605" t="s">
        <v>37</v>
      </c>
      <c r="H605" t="s">
        <v>38</v>
      </c>
      <c r="I605" s="3">
        <v>1866</v>
      </c>
      <c r="J605" s="3">
        <v>1866</v>
      </c>
      <c r="K605" s="3">
        <v>396</v>
      </c>
      <c r="L605" t="s">
        <v>9</v>
      </c>
      <c r="M605">
        <v>13</v>
      </c>
      <c r="N605" t="s">
        <v>78</v>
      </c>
      <c r="O605" t="s">
        <v>70</v>
      </c>
      <c r="P605" t="s">
        <v>18</v>
      </c>
      <c r="Q605" t="s">
        <v>19</v>
      </c>
      <c r="R605" t="s">
        <v>138</v>
      </c>
      <c r="S605" t="s">
        <v>144</v>
      </c>
      <c r="T605" s="2">
        <f>MASTER[[#This Row],[CANTIDAD]]*MASTER[[#This Row],[PRECIO DE VENTA]]</f>
        <v>1866</v>
      </c>
      <c r="U605" s="2">
        <f>MASTER[[#This Row],[CANTIDAD]]*MASTER[[#This Row],[COSTO UNITARIO]]</f>
        <v>396</v>
      </c>
      <c r="V605" s="2">
        <f>MASTER[[#This Row],[MONTO VENDIDO]]-MASTER[[#This Row],[COSTO DE VENTA]]</f>
        <v>1470</v>
      </c>
    </row>
    <row r="606" spans="1:22" x14ac:dyDescent="0.3">
      <c r="A606">
        <v>17887</v>
      </c>
      <c r="B606">
        <v>1</v>
      </c>
      <c r="C606" t="s">
        <v>107</v>
      </c>
      <c r="D606" t="s">
        <v>108</v>
      </c>
      <c r="E606" s="1">
        <v>43903</v>
      </c>
      <c r="F606">
        <v>1</v>
      </c>
      <c r="G606" t="s">
        <v>22</v>
      </c>
      <c r="H606" t="s">
        <v>23</v>
      </c>
      <c r="I606" s="3">
        <v>1440</v>
      </c>
      <c r="J606" s="3">
        <v>1440</v>
      </c>
      <c r="K606" s="3">
        <v>380</v>
      </c>
      <c r="L606" t="s">
        <v>98</v>
      </c>
      <c r="M606">
        <v>1</v>
      </c>
      <c r="N606" t="s">
        <v>77</v>
      </c>
      <c r="O606" t="s">
        <v>70</v>
      </c>
      <c r="P606" t="s">
        <v>71</v>
      </c>
      <c r="Q606" t="s">
        <v>72</v>
      </c>
      <c r="R606" t="s">
        <v>139</v>
      </c>
      <c r="S606" t="s">
        <v>144</v>
      </c>
      <c r="T606" s="2">
        <f>MASTER[[#This Row],[CANTIDAD]]*MASTER[[#This Row],[PRECIO DE VENTA]]</f>
        <v>1440</v>
      </c>
      <c r="U606" s="2">
        <f>MASTER[[#This Row],[CANTIDAD]]*MASTER[[#This Row],[COSTO UNITARIO]]</f>
        <v>380</v>
      </c>
      <c r="V606" s="2">
        <f>MASTER[[#This Row],[MONTO VENDIDO]]-MASTER[[#This Row],[COSTO DE VENTA]]</f>
        <v>1060</v>
      </c>
    </row>
    <row r="607" spans="1:22" x14ac:dyDescent="0.3">
      <c r="A607">
        <v>17916</v>
      </c>
      <c r="B607">
        <v>1</v>
      </c>
      <c r="C607" t="s">
        <v>109</v>
      </c>
      <c r="D607" t="s">
        <v>110</v>
      </c>
      <c r="E607" s="1">
        <v>43903</v>
      </c>
      <c r="F607">
        <v>1</v>
      </c>
      <c r="G607" t="s">
        <v>57</v>
      </c>
      <c r="H607" t="s">
        <v>58</v>
      </c>
      <c r="I607" s="3">
        <v>1128</v>
      </c>
      <c r="J607" s="3">
        <v>1128</v>
      </c>
      <c r="K607" s="3">
        <v>387</v>
      </c>
      <c r="L607" t="s">
        <v>98</v>
      </c>
      <c r="M607">
        <v>18</v>
      </c>
      <c r="N607" t="s">
        <v>79</v>
      </c>
      <c r="O607" t="s">
        <v>70</v>
      </c>
      <c r="P607" t="s">
        <v>15</v>
      </c>
      <c r="Q607" t="s">
        <v>16</v>
      </c>
      <c r="R607" t="s">
        <v>16</v>
      </c>
      <c r="S607" t="s">
        <v>144</v>
      </c>
      <c r="T607" s="2">
        <f>MASTER[[#This Row],[CANTIDAD]]*MASTER[[#This Row],[PRECIO DE VENTA]]</f>
        <v>1128</v>
      </c>
      <c r="U607" s="2">
        <f>MASTER[[#This Row],[CANTIDAD]]*MASTER[[#This Row],[COSTO UNITARIO]]</f>
        <v>387</v>
      </c>
      <c r="V607" s="2">
        <f>MASTER[[#This Row],[MONTO VENDIDO]]-MASTER[[#This Row],[COSTO DE VENTA]]</f>
        <v>741</v>
      </c>
    </row>
    <row r="608" spans="1:22" x14ac:dyDescent="0.3">
      <c r="A608">
        <v>17921</v>
      </c>
      <c r="B608">
        <v>1</v>
      </c>
      <c r="C608" t="s">
        <v>109</v>
      </c>
      <c r="D608" t="s">
        <v>110</v>
      </c>
      <c r="E608" s="1">
        <v>43903</v>
      </c>
      <c r="F608">
        <v>1</v>
      </c>
      <c r="G608" t="s">
        <v>45</v>
      </c>
      <c r="H608" t="s">
        <v>46</v>
      </c>
      <c r="I608" s="3">
        <v>947</v>
      </c>
      <c r="J608" s="3">
        <v>947</v>
      </c>
      <c r="K608" s="3">
        <v>387</v>
      </c>
      <c r="L608" t="s">
        <v>98</v>
      </c>
      <c r="M608">
        <v>11</v>
      </c>
      <c r="N608" t="s">
        <v>10</v>
      </c>
      <c r="O608" t="s">
        <v>11</v>
      </c>
      <c r="P608" t="s">
        <v>12</v>
      </c>
      <c r="Q608" t="s">
        <v>13</v>
      </c>
      <c r="R608" t="s">
        <v>13</v>
      </c>
      <c r="S608" t="s">
        <v>144</v>
      </c>
      <c r="T608" s="2">
        <f>MASTER[[#This Row],[CANTIDAD]]*MASTER[[#This Row],[PRECIO DE VENTA]]</f>
        <v>947</v>
      </c>
      <c r="U608" s="2">
        <f>MASTER[[#This Row],[CANTIDAD]]*MASTER[[#This Row],[COSTO UNITARIO]]</f>
        <v>387</v>
      </c>
      <c r="V608" s="2">
        <f>MASTER[[#This Row],[MONTO VENDIDO]]-MASTER[[#This Row],[COSTO DE VENTA]]</f>
        <v>560</v>
      </c>
    </row>
    <row r="609" spans="1:22" x14ac:dyDescent="0.3">
      <c r="A609">
        <v>17927</v>
      </c>
      <c r="B609">
        <v>1</v>
      </c>
      <c r="C609" t="s">
        <v>105</v>
      </c>
      <c r="D609" t="s">
        <v>106</v>
      </c>
      <c r="E609" s="1">
        <v>43903</v>
      </c>
      <c r="F609">
        <v>1</v>
      </c>
      <c r="G609" t="s">
        <v>33</v>
      </c>
      <c r="H609" t="s">
        <v>34</v>
      </c>
      <c r="I609" s="3">
        <v>1585</v>
      </c>
      <c r="J609" s="3">
        <v>1585</v>
      </c>
      <c r="K609" s="3">
        <v>459</v>
      </c>
      <c r="L609" t="s">
        <v>98</v>
      </c>
      <c r="M609">
        <v>16</v>
      </c>
      <c r="N609" t="s">
        <v>17</v>
      </c>
      <c r="O609" t="s">
        <v>11</v>
      </c>
      <c r="P609" t="s">
        <v>18</v>
      </c>
      <c r="Q609" t="s">
        <v>19</v>
      </c>
      <c r="R609" t="s">
        <v>138</v>
      </c>
      <c r="S609" t="s">
        <v>144</v>
      </c>
      <c r="T609" s="2">
        <f>MASTER[[#This Row],[CANTIDAD]]*MASTER[[#This Row],[PRECIO DE VENTA]]</f>
        <v>1585</v>
      </c>
      <c r="U609" s="2">
        <f>MASTER[[#This Row],[CANTIDAD]]*MASTER[[#This Row],[COSTO UNITARIO]]</f>
        <v>459</v>
      </c>
      <c r="V609" s="2">
        <f>MASTER[[#This Row],[MONTO VENDIDO]]-MASTER[[#This Row],[COSTO DE VENTA]]</f>
        <v>1126</v>
      </c>
    </row>
    <row r="610" spans="1:22" x14ac:dyDescent="0.3">
      <c r="A610">
        <v>17961</v>
      </c>
      <c r="B610">
        <v>2</v>
      </c>
      <c r="C610" t="s">
        <v>5</v>
      </c>
      <c r="D610" t="s">
        <v>6</v>
      </c>
      <c r="E610" s="1">
        <v>43903</v>
      </c>
      <c r="F610">
        <v>1</v>
      </c>
      <c r="G610" t="s">
        <v>63</v>
      </c>
      <c r="H610" t="s">
        <v>64</v>
      </c>
      <c r="I610" s="3">
        <v>1507</v>
      </c>
      <c r="J610" s="3">
        <v>1507</v>
      </c>
      <c r="K610" s="3">
        <v>393</v>
      </c>
      <c r="L610" t="s">
        <v>9</v>
      </c>
      <c r="M610">
        <v>7</v>
      </c>
      <c r="N610" t="s">
        <v>84</v>
      </c>
      <c r="O610" t="s">
        <v>81</v>
      </c>
      <c r="P610" t="s">
        <v>12</v>
      </c>
      <c r="Q610" t="s">
        <v>13</v>
      </c>
      <c r="R610" t="s">
        <v>13</v>
      </c>
      <c r="S610" t="s">
        <v>144</v>
      </c>
      <c r="T610" s="2">
        <f>MASTER[[#This Row],[CANTIDAD]]*MASTER[[#This Row],[PRECIO DE VENTA]]</f>
        <v>1507</v>
      </c>
      <c r="U610" s="2">
        <f>MASTER[[#This Row],[CANTIDAD]]*MASTER[[#This Row],[COSTO UNITARIO]]</f>
        <v>393</v>
      </c>
      <c r="V610" s="2">
        <f>MASTER[[#This Row],[MONTO VENDIDO]]-MASTER[[#This Row],[COSTO DE VENTA]]</f>
        <v>1114</v>
      </c>
    </row>
    <row r="611" spans="1:22" x14ac:dyDescent="0.3">
      <c r="A611">
        <v>17961</v>
      </c>
      <c r="B611">
        <v>1</v>
      </c>
      <c r="C611" t="s">
        <v>107</v>
      </c>
      <c r="D611" t="s">
        <v>108</v>
      </c>
      <c r="E611" s="1">
        <v>43903</v>
      </c>
      <c r="F611">
        <v>1</v>
      </c>
      <c r="G611" t="s">
        <v>65</v>
      </c>
      <c r="H611" t="s">
        <v>66</v>
      </c>
      <c r="I611" s="3">
        <v>1333</v>
      </c>
      <c r="J611" s="3">
        <v>1333</v>
      </c>
      <c r="K611" s="3">
        <v>380</v>
      </c>
      <c r="L611" t="s">
        <v>98</v>
      </c>
      <c r="M611">
        <v>7</v>
      </c>
      <c r="N611" t="s">
        <v>84</v>
      </c>
      <c r="O611" t="s">
        <v>81</v>
      </c>
      <c r="P611" t="s">
        <v>12</v>
      </c>
      <c r="Q611" t="s">
        <v>13</v>
      </c>
      <c r="R611" t="s">
        <v>13</v>
      </c>
      <c r="S611" t="s">
        <v>144</v>
      </c>
      <c r="T611" s="2">
        <f>MASTER[[#This Row],[CANTIDAD]]*MASTER[[#This Row],[PRECIO DE VENTA]]</f>
        <v>1333</v>
      </c>
      <c r="U611" s="2">
        <f>MASTER[[#This Row],[CANTIDAD]]*MASTER[[#This Row],[COSTO UNITARIO]]</f>
        <v>380</v>
      </c>
      <c r="V611" s="2">
        <f>MASTER[[#This Row],[MONTO VENDIDO]]-MASTER[[#This Row],[COSTO DE VENTA]]</f>
        <v>953</v>
      </c>
    </row>
    <row r="612" spans="1:22" x14ac:dyDescent="0.3">
      <c r="A612">
        <v>17985</v>
      </c>
      <c r="B612">
        <v>1</v>
      </c>
      <c r="C612" t="s">
        <v>111</v>
      </c>
      <c r="D612" t="s">
        <v>112</v>
      </c>
      <c r="E612" s="1">
        <v>43903</v>
      </c>
      <c r="F612">
        <v>3</v>
      </c>
      <c r="G612" t="s">
        <v>27</v>
      </c>
      <c r="H612" t="s">
        <v>28</v>
      </c>
      <c r="I612" s="3">
        <v>1799</v>
      </c>
      <c r="J612" s="3">
        <v>1799</v>
      </c>
      <c r="K612" s="3">
        <v>434</v>
      </c>
      <c r="L612" t="s">
        <v>113</v>
      </c>
      <c r="M612">
        <v>13</v>
      </c>
      <c r="N612" t="s">
        <v>78</v>
      </c>
      <c r="O612" t="s">
        <v>70</v>
      </c>
      <c r="P612" t="s">
        <v>18</v>
      </c>
      <c r="Q612" t="s">
        <v>19</v>
      </c>
      <c r="R612" t="s">
        <v>138</v>
      </c>
      <c r="S612" t="s">
        <v>144</v>
      </c>
      <c r="T612" s="2">
        <f>MASTER[[#This Row],[CANTIDAD]]*MASTER[[#This Row],[PRECIO DE VENTA]]</f>
        <v>5397</v>
      </c>
      <c r="U612" s="2">
        <f>MASTER[[#This Row],[CANTIDAD]]*MASTER[[#This Row],[COSTO UNITARIO]]</f>
        <v>1302</v>
      </c>
      <c r="V612" s="2">
        <f>MASTER[[#This Row],[MONTO VENDIDO]]-MASTER[[#This Row],[COSTO DE VENTA]]</f>
        <v>4095</v>
      </c>
    </row>
    <row r="613" spans="1:22" x14ac:dyDescent="0.3">
      <c r="A613">
        <v>17998</v>
      </c>
      <c r="B613">
        <v>1</v>
      </c>
      <c r="C613" t="s">
        <v>107</v>
      </c>
      <c r="D613" t="s">
        <v>108</v>
      </c>
      <c r="E613" s="1">
        <v>43903</v>
      </c>
      <c r="F613">
        <v>1</v>
      </c>
      <c r="G613" t="s">
        <v>57</v>
      </c>
      <c r="H613" t="s">
        <v>58</v>
      </c>
      <c r="I613" s="3">
        <v>1240</v>
      </c>
      <c r="J613" s="3">
        <v>1240</v>
      </c>
      <c r="K613" s="3">
        <v>380</v>
      </c>
      <c r="L613" t="s">
        <v>98</v>
      </c>
      <c r="M613">
        <v>17</v>
      </c>
      <c r="N613" t="s">
        <v>14</v>
      </c>
      <c r="O613" t="s">
        <v>11</v>
      </c>
      <c r="P613" t="s">
        <v>15</v>
      </c>
      <c r="Q613" t="s">
        <v>16</v>
      </c>
      <c r="R613" t="s">
        <v>16</v>
      </c>
      <c r="S613" t="s">
        <v>144</v>
      </c>
      <c r="T613" s="2">
        <f>MASTER[[#This Row],[CANTIDAD]]*MASTER[[#This Row],[PRECIO DE VENTA]]</f>
        <v>1240</v>
      </c>
      <c r="U613" s="2">
        <f>MASTER[[#This Row],[CANTIDAD]]*MASTER[[#This Row],[COSTO UNITARIO]]</f>
        <v>380</v>
      </c>
      <c r="V613" s="2">
        <f>MASTER[[#This Row],[MONTO VENDIDO]]-MASTER[[#This Row],[COSTO DE VENTA]]</f>
        <v>860</v>
      </c>
    </row>
    <row r="614" spans="1:22" x14ac:dyDescent="0.3">
      <c r="A614">
        <v>18006</v>
      </c>
      <c r="B614">
        <v>1</v>
      </c>
      <c r="C614" t="s">
        <v>96</v>
      </c>
      <c r="D614" t="s">
        <v>97</v>
      </c>
      <c r="E614" s="1">
        <v>43904</v>
      </c>
      <c r="F614">
        <v>1</v>
      </c>
      <c r="G614" t="s">
        <v>7</v>
      </c>
      <c r="H614" t="s">
        <v>8</v>
      </c>
      <c r="I614" s="3">
        <v>1196</v>
      </c>
      <c r="J614" s="3">
        <v>1196</v>
      </c>
      <c r="K614" s="3">
        <v>397</v>
      </c>
      <c r="L614" t="s">
        <v>98</v>
      </c>
      <c r="M614">
        <v>16</v>
      </c>
      <c r="N614" t="s">
        <v>17</v>
      </c>
      <c r="O614" t="s">
        <v>11</v>
      </c>
      <c r="P614" t="s">
        <v>18</v>
      </c>
      <c r="Q614" t="s">
        <v>19</v>
      </c>
      <c r="R614" t="s">
        <v>138</v>
      </c>
      <c r="S614" t="s">
        <v>144</v>
      </c>
      <c r="T614" s="2">
        <f>MASTER[[#This Row],[CANTIDAD]]*MASTER[[#This Row],[PRECIO DE VENTA]]</f>
        <v>1196</v>
      </c>
      <c r="U614" s="2">
        <f>MASTER[[#This Row],[CANTIDAD]]*MASTER[[#This Row],[COSTO UNITARIO]]</f>
        <v>397</v>
      </c>
      <c r="V614" s="2">
        <f>MASTER[[#This Row],[MONTO VENDIDO]]-MASTER[[#This Row],[COSTO DE VENTA]]</f>
        <v>799</v>
      </c>
    </row>
    <row r="615" spans="1:22" x14ac:dyDescent="0.3">
      <c r="A615">
        <v>18014</v>
      </c>
      <c r="B615">
        <v>1</v>
      </c>
      <c r="C615" t="s">
        <v>109</v>
      </c>
      <c r="D615" t="s">
        <v>110</v>
      </c>
      <c r="E615" s="1">
        <v>43904</v>
      </c>
      <c r="F615">
        <v>1</v>
      </c>
      <c r="G615" t="s">
        <v>24</v>
      </c>
      <c r="H615" t="s">
        <v>25</v>
      </c>
      <c r="I615" s="3">
        <v>1064</v>
      </c>
      <c r="J615" s="3">
        <v>1000</v>
      </c>
      <c r="K615" s="3">
        <v>387</v>
      </c>
      <c r="L615" t="s">
        <v>98</v>
      </c>
      <c r="M615">
        <v>7</v>
      </c>
      <c r="N615" t="s">
        <v>84</v>
      </c>
      <c r="O615" t="s">
        <v>81</v>
      </c>
      <c r="P615" t="s">
        <v>12</v>
      </c>
      <c r="Q615" t="s">
        <v>13</v>
      </c>
      <c r="R615" t="s">
        <v>13</v>
      </c>
      <c r="S615" t="s">
        <v>144</v>
      </c>
      <c r="T615" s="2">
        <f>MASTER[[#This Row],[CANTIDAD]]*MASTER[[#This Row],[PRECIO DE VENTA]]</f>
        <v>1000</v>
      </c>
      <c r="U615" s="2">
        <f>MASTER[[#This Row],[CANTIDAD]]*MASTER[[#This Row],[COSTO UNITARIO]]</f>
        <v>387</v>
      </c>
      <c r="V615" s="2">
        <f>MASTER[[#This Row],[MONTO VENDIDO]]-MASTER[[#This Row],[COSTO DE VENTA]]</f>
        <v>613</v>
      </c>
    </row>
    <row r="616" spans="1:22" x14ac:dyDescent="0.3">
      <c r="A616">
        <v>18016</v>
      </c>
      <c r="B616">
        <v>1</v>
      </c>
      <c r="C616" t="s">
        <v>94</v>
      </c>
      <c r="D616" t="s">
        <v>95</v>
      </c>
      <c r="E616" s="1">
        <v>43904</v>
      </c>
      <c r="F616">
        <v>1</v>
      </c>
      <c r="G616" t="s">
        <v>20</v>
      </c>
      <c r="H616" t="s">
        <v>21</v>
      </c>
      <c r="I616" s="3">
        <v>1048</v>
      </c>
      <c r="J616" s="3">
        <v>1048</v>
      </c>
      <c r="K616" s="3">
        <v>392</v>
      </c>
      <c r="L616" t="s">
        <v>9</v>
      </c>
      <c r="M616">
        <v>4</v>
      </c>
      <c r="N616" t="s">
        <v>82</v>
      </c>
      <c r="O616" t="s">
        <v>81</v>
      </c>
      <c r="P616" t="s">
        <v>71</v>
      </c>
      <c r="Q616" t="s">
        <v>72</v>
      </c>
      <c r="R616" t="s">
        <v>139</v>
      </c>
      <c r="S616" t="s">
        <v>144</v>
      </c>
      <c r="T616" s="2">
        <f>MASTER[[#This Row],[CANTIDAD]]*MASTER[[#This Row],[PRECIO DE VENTA]]</f>
        <v>1048</v>
      </c>
      <c r="U616" s="2">
        <f>MASTER[[#This Row],[CANTIDAD]]*MASTER[[#This Row],[COSTO UNITARIO]]</f>
        <v>392</v>
      </c>
      <c r="V616" s="2">
        <f>MASTER[[#This Row],[MONTO VENDIDO]]-MASTER[[#This Row],[COSTO DE VENTA]]</f>
        <v>656</v>
      </c>
    </row>
    <row r="617" spans="1:22" x14ac:dyDescent="0.3">
      <c r="A617">
        <v>18020</v>
      </c>
      <c r="B617">
        <v>1</v>
      </c>
      <c r="C617" t="s">
        <v>94</v>
      </c>
      <c r="D617" t="s">
        <v>95</v>
      </c>
      <c r="E617" s="1">
        <v>43904</v>
      </c>
      <c r="F617">
        <v>1</v>
      </c>
      <c r="G617" t="s">
        <v>59</v>
      </c>
      <c r="H617" t="s">
        <v>60</v>
      </c>
      <c r="I617" s="3">
        <v>1048</v>
      </c>
      <c r="J617" s="3">
        <v>1048</v>
      </c>
      <c r="K617" s="3">
        <v>392</v>
      </c>
      <c r="L617" t="s">
        <v>9</v>
      </c>
      <c r="M617">
        <v>5</v>
      </c>
      <c r="N617" t="s">
        <v>85</v>
      </c>
      <c r="O617" t="s">
        <v>81</v>
      </c>
      <c r="P617" t="s">
        <v>12</v>
      </c>
      <c r="Q617" t="s">
        <v>13</v>
      </c>
      <c r="R617" t="s">
        <v>13</v>
      </c>
      <c r="S617" t="s">
        <v>144</v>
      </c>
      <c r="T617" s="2">
        <f>MASTER[[#This Row],[CANTIDAD]]*MASTER[[#This Row],[PRECIO DE VENTA]]</f>
        <v>1048</v>
      </c>
      <c r="U617" s="2">
        <f>MASTER[[#This Row],[CANTIDAD]]*MASTER[[#This Row],[COSTO UNITARIO]]</f>
        <v>392</v>
      </c>
      <c r="V617" s="2">
        <f>MASTER[[#This Row],[MONTO VENDIDO]]-MASTER[[#This Row],[COSTO DE VENTA]]</f>
        <v>656</v>
      </c>
    </row>
    <row r="618" spans="1:22" x14ac:dyDescent="0.3">
      <c r="A618">
        <v>18045</v>
      </c>
      <c r="B618">
        <v>1</v>
      </c>
      <c r="C618" t="s">
        <v>92</v>
      </c>
      <c r="D618" t="s">
        <v>93</v>
      </c>
      <c r="E618" s="1">
        <v>43905</v>
      </c>
      <c r="F618">
        <v>1</v>
      </c>
      <c r="G618" t="s">
        <v>22</v>
      </c>
      <c r="H618" t="s">
        <v>23</v>
      </c>
      <c r="I618" s="3">
        <v>1681</v>
      </c>
      <c r="J618" s="3">
        <v>1681</v>
      </c>
      <c r="K618" s="3">
        <v>396</v>
      </c>
      <c r="L618" t="s">
        <v>9</v>
      </c>
      <c r="M618">
        <v>5</v>
      </c>
      <c r="N618" t="s">
        <v>85</v>
      </c>
      <c r="O618" t="s">
        <v>81</v>
      </c>
      <c r="P618" t="s">
        <v>12</v>
      </c>
      <c r="Q618" t="s">
        <v>13</v>
      </c>
      <c r="R618" t="s">
        <v>13</v>
      </c>
      <c r="S618" t="s">
        <v>144</v>
      </c>
      <c r="T618" s="2">
        <f>MASTER[[#This Row],[CANTIDAD]]*MASTER[[#This Row],[PRECIO DE VENTA]]</f>
        <v>1681</v>
      </c>
      <c r="U618" s="2">
        <f>MASTER[[#This Row],[CANTIDAD]]*MASTER[[#This Row],[COSTO UNITARIO]]</f>
        <v>396</v>
      </c>
      <c r="V618" s="2">
        <f>MASTER[[#This Row],[MONTO VENDIDO]]-MASTER[[#This Row],[COSTO DE VENTA]]</f>
        <v>1285</v>
      </c>
    </row>
    <row r="619" spans="1:22" x14ac:dyDescent="0.3">
      <c r="A619">
        <v>18060</v>
      </c>
      <c r="B619">
        <v>1</v>
      </c>
      <c r="C619" t="s">
        <v>105</v>
      </c>
      <c r="D619" t="s">
        <v>106</v>
      </c>
      <c r="E619" s="1">
        <v>43905</v>
      </c>
      <c r="F619">
        <v>1</v>
      </c>
      <c r="G619" t="s">
        <v>51</v>
      </c>
      <c r="H619" t="s">
        <v>52</v>
      </c>
      <c r="I619" s="3">
        <v>1865</v>
      </c>
      <c r="J619" s="3">
        <v>1865</v>
      </c>
      <c r="K619" s="3">
        <v>459</v>
      </c>
      <c r="L619" t="s">
        <v>98</v>
      </c>
      <c r="M619">
        <v>2</v>
      </c>
      <c r="N619" t="s">
        <v>86</v>
      </c>
      <c r="O619" t="s">
        <v>81</v>
      </c>
      <c r="P619" t="s">
        <v>71</v>
      </c>
      <c r="Q619" t="s">
        <v>72</v>
      </c>
      <c r="R619" t="s">
        <v>139</v>
      </c>
      <c r="S619" t="s">
        <v>144</v>
      </c>
      <c r="T619" s="2">
        <f>MASTER[[#This Row],[CANTIDAD]]*MASTER[[#This Row],[PRECIO DE VENTA]]</f>
        <v>1865</v>
      </c>
      <c r="U619" s="2">
        <f>MASTER[[#This Row],[CANTIDAD]]*MASTER[[#This Row],[COSTO UNITARIO]]</f>
        <v>459</v>
      </c>
      <c r="V619" s="2">
        <f>MASTER[[#This Row],[MONTO VENDIDO]]-MASTER[[#This Row],[COSTO DE VENTA]]</f>
        <v>1406</v>
      </c>
    </row>
    <row r="620" spans="1:22" x14ac:dyDescent="0.3">
      <c r="A620">
        <v>18065</v>
      </c>
      <c r="B620">
        <v>1</v>
      </c>
      <c r="C620" t="s">
        <v>101</v>
      </c>
      <c r="D620" t="s">
        <v>102</v>
      </c>
      <c r="E620" s="1">
        <v>43905</v>
      </c>
      <c r="F620">
        <v>1</v>
      </c>
      <c r="G620" t="s">
        <v>65</v>
      </c>
      <c r="H620" t="s">
        <v>66</v>
      </c>
      <c r="I620" s="3">
        <v>1054</v>
      </c>
      <c r="J620" s="3">
        <v>1054</v>
      </c>
      <c r="K620" s="3">
        <v>442</v>
      </c>
      <c r="L620" t="s">
        <v>98</v>
      </c>
      <c r="M620">
        <v>17</v>
      </c>
      <c r="N620" t="s">
        <v>14</v>
      </c>
      <c r="O620" t="s">
        <v>11</v>
      </c>
      <c r="P620" t="s">
        <v>15</v>
      </c>
      <c r="Q620" t="s">
        <v>16</v>
      </c>
      <c r="R620" t="s">
        <v>16</v>
      </c>
      <c r="S620" t="s">
        <v>144</v>
      </c>
      <c r="T620" s="2">
        <f>MASTER[[#This Row],[CANTIDAD]]*MASTER[[#This Row],[PRECIO DE VENTA]]</f>
        <v>1054</v>
      </c>
      <c r="U620" s="2">
        <f>MASTER[[#This Row],[CANTIDAD]]*MASTER[[#This Row],[COSTO UNITARIO]]</f>
        <v>442</v>
      </c>
      <c r="V620" s="2">
        <f>MASTER[[#This Row],[MONTO VENDIDO]]-MASTER[[#This Row],[COSTO DE VENTA]]</f>
        <v>612</v>
      </c>
    </row>
    <row r="621" spans="1:22" x14ac:dyDescent="0.3">
      <c r="A621">
        <v>18076</v>
      </c>
      <c r="B621">
        <v>1</v>
      </c>
      <c r="C621" t="s">
        <v>92</v>
      </c>
      <c r="D621" t="s">
        <v>93</v>
      </c>
      <c r="E621" s="1">
        <v>43905</v>
      </c>
      <c r="F621">
        <v>1</v>
      </c>
      <c r="G621" t="s">
        <v>27</v>
      </c>
      <c r="H621" t="s">
        <v>28</v>
      </c>
      <c r="I621" s="3">
        <v>1479</v>
      </c>
      <c r="J621" s="3">
        <v>1479</v>
      </c>
      <c r="K621" s="3">
        <v>396</v>
      </c>
      <c r="L621" t="s">
        <v>9</v>
      </c>
      <c r="M621">
        <v>11</v>
      </c>
      <c r="N621" t="s">
        <v>10</v>
      </c>
      <c r="O621" t="s">
        <v>11</v>
      </c>
      <c r="P621" t="s">
        <v>12</v>
      </c>
      <c r="Q621" t="s">
        <v>13</v>
      </c>
      <c r="R621" t="s">
        <v>13</v>
      </c>
      <c r="S621" t="s">
        <v>144</v>
      </c>
      <c r="T621" s="2">
        <f>MASTER[[#This Row],[CANTIDAD]]*MASTER[[#This Row],[PRECIO DE VENTA]]</f>
        <v>1479</v>
      </c>
      <c r="U621" s="2">
        <f>MASTER[[#This Row],[CANTIDAD]]*MASTER[[#This Row],[COSTO UNITARIO]]</f>
        <v>396</v>
      </c>
      <c r="V621" s="2">
        <f>MASTER[[#This Row],[MONTO VENDIDO]]-MASTER[[#This Row],[COSTO DE VENTA]]</f>
        <v>1083</v>
      </c>
    </row>
    <row r="622" spans="1:22" x14ac:dyDescent="0.3">
      <c r="A622">
        <v>18111</v>
      </c>
      <c r="B622">
        <v>1</v>
      </c>
      <c r="C622" t="s">
        <v>5</v>
      </c>
      <c r="D622" t="s">
        <v>6</v>
      </c>
      <c r="E622" s="1">
        <v>43905</v>
      </c>
      <c r="F622">
        <v>1</v>
      </c>
      <c r="G622" t="s">
        <v>67</v>
      </c>
      <c r="H622" t="s">
        <v>68</v>
      </c>
      <c r="I622" s="3">
        <v>1507</v>
      </c>
      <c r="J622" s="3">
        <v>1507</v>
      </c>
      <c r="K622" s="3">
        <v>393</v>
      </c>
      <c r="L622" t="s">
        <v>9</v>
      </c>
      <c r="M622">
        <v>14</v>
      </c>
      <c r="N622" t="s">
        <v>87</v>
      </c>
      <c r="O622" t="s">
        <v>81</v>
      </c>
      <c r="P622" t="s">
        <v>18</v>
      </c>
      <c r="Q622" t="s">
        <v>19</v>
      </c>
      <c r="R622" t="s">
        <v>138</v>
      </c>
      <c r="S622" t="s">
        <v>144</v>
      </c>
      <c r="T622" s="2">
        <f>MASTER[[#This Row],[CANTIDAD]]*MASTER[[#This Row],[PRECIO DE VENTA]]</f>
        <v>1507</v>
      </c>
      <c r="U622" s="2">
        <f>MASTER[[#This Row],[CANTIDAD]]*MASTER[[#This Row],[COSTO UNITARIO]]</f>
        <v>393</v>
      </c>
      <c r="V622" s="2">
        <f>MASTER[[#This Row],[MONTO VENDIDO]]-MASTER[[#This Row],[COSTO DE VENTA]]</f>
        <v>1114</v>
      </c>
    </row>
    <row r="623" spans="1:22" x14ac:dyDescent="0.3">
      <c r="A623">
        <v>18187</v>
      </c>
      <c r="B623">
        <v>1</v>
      </c>
      <c r="C623" t="s">
        <v>111</v>
      </c>
      <c r="D623" t="s">
        <v>112</v>
      </c>
      <c r="E623" s="1">
        <v>43905</v>
      </c>
      <c r="F623">
        <v>1</v>
      </c>
      <c r="G623" t="s">
        <v>31</v>
      </c>
      <c r="H623" t="s">
        <v>32</v>
      </c>
      <c r="I623" s="3">
        <v>1621</v>
      </c>
      <c r="J623" s="3">
        <v>1621</v>
      </c>
      <c r="K623" s="3">
        <v>434</v>
      </c>
      <c r="L623" t="s">
        <v>113</v>
      </c>
      <c r="M623">
        <v>5</v>
      </c>
      <c r="N623" t="s">
        <v>85</v>
      </c>
      <c r="O623" t="s">
        <v>81</v>
      </c>
      <c r="P623" t="s">
        <v>12</v>
      </c>
      <c r="Q623" t="s">
        <v>13</v>
      </c>
      <c r="R623" t="s">
        <v>13</v>
      </c>
      <c r="S623" t="s">
        <v>144</v>
      </c>
      <c r="T623" s="2">
        <f>MASTER[[#This Row],[CANTIDAD]]*MASTER[[#This Row],[PRECIO DE VENTA]]</f>
        <v>1621</v>
      </c>
      <c r="U623" s="2">
        <f>MASTER[[#This Row],[CANTIDAD]]*MASTER[[#This Row],[COSTO UNITARIO]]</f>
        <v>434</v>
      </c>
      <c r="V623" s="2">
        <f>MASTER[[#This Row],[MONTO VENDIDO]]-MASTER[[#This Row],[COSTO DE VENTA]]</f>
        <v>1187</v>
      </c>
    </row>
    <row r="624" spans="1:22" x14ac:dyDescent="0.3">
      <c r="A624">
        <v>18196</v>
      </c>
      <c r="B624">
        <v>1</v>
      </c>
      <c r="C624" t="s">
        <v>116</v>
      </c>
      <c r="D624" t="s">
        <v>117</v>
      </c>
      <c r="E624" s="1">
        <v>43905</v>
      </c>
      <c r="F624">
        <v>1</v>
      </c>
      <c r="G624" t="s">
        <v>37</v>
      </c>
      <c r="H624" t="s">
        <v>38</v>
      </c>
      <c r="I624" s="3">
        <v>1738</v>
      </c>
      <c r="J624" s="3">
        <v>1738</v>
      </c>
      <c r="K624" s="3">
        <v>388</v>
      </c>
      <c r="L624" t="s">
        <v>113</v>
      </c>
      <c r="M624">
        <v>7</v>
      </c>
      <c r="N624" t="s">
        <v>84</v>
      </c>
      <c r="O624" t="s">
        <v>81</v>
      </c>
      <c r="P624" t="s">
        <v>12</v>
      </c>
      <c r="Q624" t="s">
        <v>13</v>
      </c>
      <c r="R624" t="s">
        <v>13</v>
      </c>
      <c r="S624" t="s">
        <v>144</v>
      </c>
      <c r="T624" s="2">
        <f>MASTER[[#This Row],[CANTIDAD]]*MASTER[[#This Row],[PRECIO DE VENTA]]</f>
        <v>1738</v>
      </c>
      <c r="U624" s="2">
        <f>MASTER[[#This Row],[CANTIDAD]]*MASTER[[#This Row],[COSTO UNITARIO]]</f>
        <v>388</v>
      </c>
      <c r="V624" s="2">
        <f>MASTER[[#This Row],[MONTO VENDIDO]]-MASTER[[#This Row],[COSTO DE VENTA]]</f>
        <v>1350</v>
      </c>
    </row>
    <row r="625" spans="1:22" x14ac:dyDescent="0.3">
      <c r="A625">
        <v>18213</v>
      </c>
      <c r="B625">
        <v>1</v>
      </c>
      <c r="C625" t="s">
        <v>94</v>
      </c>
      <c r="D625" t="s">
        <v>95</v>
      </c>
      <c r="E625" s="1">
        <v>43905</v>
      </c>
      <c r="F625">
        <v>1</v>
      </c>
      <c r="G625" t="s">
        <v>24</v>
      </c>
      <c r="H625" t="s">
        <v>25</v>
      </c>
      <c r="I625" s="3">
        <v>1048</v>
      </c>
      <c r="J625" s="3">
        <v>995</v>
      </c>
      <c r="K625" s="3">
        <v>392</v>
      </c>
      <c r="L625" t="s">
        <v>9</v>
      </c>
      <c r="M625">
        <v>7</v>
      </c>
      <c r="N625" t="s">
        <v>84</v>
      </c>
      <c r="O625" t="s">
        <v>81</v>
      </c>
      <c r="P625" t="s">
        <v>12</v>
      </c>
      <c r="Q625" t="s">
        <v>13</v>
      </c>
      <c r="R625" t="s">
        <v>13</v>
      </c>
      <c r="S625" t="s">
        <v>144</v>
      </c>
      <c r="T625" s="2">
        <f>MASTER[[#This Row],[CANTIDAD]]*MASTER[[#This Row],[PRECIO DE VENTA]]</f>
        <v>995</v>
      </c>
      <c r="U625" s="2">
        <f>MASTER[[#This Row],[CANTIDAD]]*MASTER[[#This Row],[COSTO UNITARIO]]</f>
        <v>392</v>
      </c>
      <c r="V625" s="2">
        <f>MASTER[[#This Row],[MONTO VENDIDO]]-MASTER[[#This Row],[COSTO DE VENTA]]</f>
        <v>603</v>
      </c>
    </row>
    <row r="626" spans="1:22" x14ac:dyDescent="0.3">
      <c r="A626">
        <v>18222</v>
      </c>
      <c r="B626">
        <v>1</v>
      </c>
      <c r="C626" t="s">
        <v>5</v>
      </c>
      <c r="D626" t="s">
        <v>6</v>
      </c>
      <c r="E626" s="1">
        <v>43905</v>
      </c>
      <c r="F626">
        <v>1</v>
      </c>
      <c r="G626" t="s">
        <v>31</v>
      </c>
      <c r="H626" t="s">
        <v>32</v>
      </c>
      <c r="I626" s="3">
        <v>1311</v>
      </c>
      <c r="J626" s="3">
        <v>1311</v>
      </c>
      <c r="K626" s="3">
        <v>393</v>
      </c>
      <c r="L626" t="s">
        <v>9</v>
      </c>
      <c r="M626">
        <v>11</v>
      </c>
      <c r="N626" t="s">
        <v>10</v>
      </c>
      <c r="O626" t="s">
        <v>11</v>
      </c>
      <c r="P626" t="s">
        <v>12</v>
      </c>
      <c r="Q626" t="s">
        <v>13</v>
      </c>
      <c r="R626" t="s">
        <v>13</v>
      </c>
      <c r="S626" t="s">
        <v>144</v>
      </c>
      <c r="T626" s="2">
        <f>MASTER[[#This Row],[CANTIDAD]]*MASTER[[#This Row],[PRECIO DE VENTA]]</f>
        <v>1311</v>
      </c>
      <c r="U626" s="2">
        <f>MASTER[[#This Row],[CANTIDAD]]*MASTER[[#This Row],[COSTO UNITARIO]]</f>
        <v>393</v>
      </c>
      <c r="V626" s="2">
        <f>MASTER[[#This Row],[MONTO VENDIDO]]-MASTER[[#This Row],[COSTO DE VENTA]]</f>
        <v>918</v>
      </c>
    </row>
    <row r="627" spans="1:22" x14ac:dyDescent="0.3">
      <c r="A627">
        <v>18223</v>
      </c>
      <c r="B627">
        <v>1</v>
      </c>
      <c r="C627" t="s">
        <v>121</v>
      </c>
      <c r="D627" t="s">
        <v>122</v>
      </c>
      <c r="E627" s="1">
        <v>43906</v>
      </c>
      <c r="F627">
        <v>1</v>
      </c>
      <c r="G627" t="s">
        <v>61</v>
      </c>
      <c r="H627" t="s">
        <v>62</v>
      </c>
      <c r="I627" s="3">
        <v>1144</v>
      </c>
      <c r="J627" s="3">
        <v>1144</v>
      </c>
      <c r="K627" s="3">
        <v>460</v>
      </c>
      <c r="L627" t="s">
        <v>120</v>
      </c>
      <c r="M627">
        <v>9</v>
      </c>
      <c r="N627" t="s">
        <v>76</v>
      </c>
      <c r="O627" t="s">
        <v>70</v>
      </c>
      <c r="P627" t="s">
        <v>12</v>
      </c>
      <c r="Q627" t="s">
        <v>13</v>
      </c>
      <c r="R627" t="s">
        <v>13</v>
      </c>
      <c r="S627" t="s">
        <v>144</v>
      </c>
      <c r="T627" s="2">
        <f>MASTER[[#This Row],[CANTIDAD]]*MASTER[[#This Row],[PRECIO DE VENTA]]</f>
        <v>1144</v>
      </c>
      <c r="U627" s="2">
        <f>MASTER[[#This Row],[CANTIDAD]]*MASTER[[#This Row],[COSTO UNITARIO]]</f>
        <v>460</v>
      </c>
      <c r="V627" s="2">
        <f>MASTER[[#This Row],[MONTO VENDIDO]]-MASTER[[#This Row],[COSTO DE VENTA]]</f>
        <v>684</v>
      </c>
    </row>
    <row r="628" spans="1:22" x14ac:dyDescent="0.3">
      <c r="A628">
        <v>18234</v>
      </c>
      <c r="B628">
        <v>1</v>
      </c>
      <c r="C628" t="s">
        <v>96</v>
      </c>
      <c r="D628" t="s">
        <v>97</v>
      </c>
      <c r="E628" s="1">
        <v>43906</v>
      </c>
      <c r="F628">
        <v>1</v>
      </c>
      <c r="G628" t="s">
        <v>22</v>
      </c>
      <c r="H628" t="s">
        <v>23</v>
      </c>
      <c r="I628" s="3">
        <v>1196</v>
      </c>
      <c r="J628" s="3">
        <v>1196</v>
      </c>
      <c r="K628" s="3">
        <v>397</v>
      </c>
      <c r="L628" t="s">
        <v>98</v>
      </c>
      <c r="M628">
        <v>17</v>
      </c>
      <c r="N628" t="s">
        <v>14</v>
      </c>
      <c r="O628" t="s">
        <v>11</v>
      </c>
      <c r="P628" t="s">
        <v>15</v>
      </c>
      <c r="Q628" t="s">
        <v>16</v>
      </c>
      <c r="R628" t="s">
        <v>16</v>
      </c>
      <c r="S628" t="s">
        <v>144</v>
      </c>
      <c r="T628" s="2">
        <f>MASTER[[#This Row],[CANTIDAD]]*MASTER[[#This Row],[PRECIO DE VENTA]]</f>
        <v>1196</v>
      </c>
      <c r="U628" s="2">
        <f>MASTER[[#This Row],[CANTIDAD]]*MASTER[[#This Row],[COSTO UNITARIO]]</f>
        <v>397</v>
      </c>
      <c r="V628" s="2">
        <f>MASTER[[#This Row],[MONTO VENDIDO]]-MASTER[[#This Row],[COSTO DE VENTA]]</f>
        <v>799</v>
      </c>
    </row>
    <row r="629" spans="1:22" x14ac:dyDescent="0.3">
      <c r="A629">
        <v>18247</v>
      </c>
      <c r="B629">
        <v>1</v>
      </c>
      <c r="C629" t="s">
        <v>114</v>
      </c>
      <c r="D629" t="s">
        <v>115</v>
      </c>
      <c r="E629" s="1">
        <v>43906</v>
      </c>
      <c r="F629">
        <v>1</v>
      </c>
      <c r="G629" t="s">
        <v>39</v>
      </c>
      <c r="H629" t="s">
        <v>40</v>
      </c>
      <c r="I629" s="3">
        <v>2030</v>
      </c>
      <c r="J629" s="3">
        <v>2030</v>
      </c>
      <c r="K629" s="3">
        <v>394</v>
      </c>
      <c r="L629" t="s">
        <v>113</v>
      </c>
      <c r="M629">
        <v>13</v>
      </c>
      <c r="N629" t="s">
        <v>78</v>
      </c>
      <c r="O629" t="s">
        <v>70</v>
      </c>
      <c r="P629" t="s">
        <v>18</v>
      </c>
      <c r="Q629" t="s">
        <v>19</v>
      </c>
      <c r="R629" t="s">
        <v>138</v>
      </c>
      <c r="S629" t="s">
        <v>144</v>
      </c>
      <c r="T629" s="2">
        <f>MASTER[[#This Row],[CANTIDAD]]*MASTER[[#This Row],[PRECIO DE VENTA]]</f>
        <v>2030</v>
      </c>
      <c r="U629" s="2">
        <f>MASTER[[#This Row],[CANTIDAD]]*MASTER[[#This Row],[COSTO UNITARIO]]</f>
        <v>394</v>
      </c>
      <c r="V629" s="2">
        <f>MASTER[[#This Row],[MONTO VENDIDO]]-MASTER[[#This Row],[COSTO DE VENTA]]</f>
        <v>1636</v>
      </c>
    </row>
    <row r="630" spans="1:22" x14ac:dyDescent="0.3">
      <c r="A630">
        <v>18248</v>
      </c>
      <c r="B630">
        <v>1</v>
      </c>
      <c r="C630" t="s">
        <v>5</v>
      </c>
      <c r="D630" t="s">
        <v>6</v>
      </c>
      <c r="E630" s="1">
        <v>43906</v>
      </c>
      <c r="F630">
        <v>1</v>
      </c>
      <c r="G630" t="s">
        <v>29</v>
      </c>
      <c r="H630" t="s">
        <v>30</v>
      </c>
      <c r="I630" s="3">
        <v>1311</v>
      </c>
      <c r="J630" s="3">
        <v>1311</v>
      </c>
      <c r="K630" s="3">
        <v>393</v>
      </c>
      <c r="L630" t="s">
        <v>9</v>
      </c>
      <c r="M630">
        <v>17</v>
      </c>
      <c r="N630" t="s">
        <v>14</v>
      </c>
      <c r="O630" t="s">
        <v>11</v>
      </c>
      <c r="P630" t="s">
        <v>15</v>
      </c>
      <c r="Q630" t="s">
        <v>16</v>
      </c>
      <c r="R630" t="s">
        <v>16</v>
      </c>
      <c r="S630" t="s">
        <v>144</v>
      </c>
      <c r="T630" s="2">
        <f>MASTER[[#This Row],[CANTIDAD]]*MASTER[[#This Row],[PRECIO DE VENTA]]</f>
        <v>1311</v>
      </c>
      <c r="U630" s="2">
        <f>MASTER[[#This Row],[CANTIDAD]]*MASTER[[#This Row],[COSTO UNITARIO]]</f>
        <v>393</v>
      </c>
      <c r="V630" s="2">
        <f>MASTER[[#This Row],[MONTO VENDIDO]]-MASTER[[#This Row],[COSTO DE VENTA]]</f>
        <v>918</v>
      </c>
    </row>
    <row r="631" spans="1:22" x14ac:dyDescent="0.3">
      <c r="A631">
        <v>18249</v>
      </c>
      <c r="B631">
        <v>1</v>
      </c>
      <c r="C631" t="s">
        <v>101</v>
      </c>
      <c r="D631" t="s">
        <v>102</v>
      </c>
      <c r="E631" s="1">
        <v>43906</v>
      </c>
      <c r="F631">
        <v>1</v>
      </c>
      <c r="G631" t="s">
        <v>29</v>
      </c>
      <c r="H631" t="s">
        <v>30</v>
      </c>
      <c r="I631" s="3">
        <v>1212</v>
      </c>
      <c r="J631" s="3">
        <v>1212</v>
      </c>
      <c r="K631" s="3">
        <v>442</v>
      </c>
      <c r="L631" t="s">
        <v>98</v>
      </c>
      <c r="M631">
        <v>15</v>
      </c>
      <c r="N631" t="s">
        <v>88</v>
      </c>
      <c r="O631" t="s">
        <v>81</v>
      </c>
      <c r="P631" t="s">
        <v>18</v>
      </c>
      <c r="Q631" t="s">
        <v>19</v>
      </c>
      <c r="R631" t="s">
        <v>138</v>
      </c>
      <c r="S631" t="s">
        <v>144</v>
      </c>
      <c r="T631" s="2">
        <f>MASTER[[#This Row],[CANTIDAD]]*MASTER[[#This Row],[PRECIO DE VENTA]]</f>
        <v>1212</v>
      </c>
      <c r="U631" s="2">
        <f>MASTER[[#This Row],[CANTIDAD]]*MASTER[[#This Row],[COSTO UNITARIO]]</f>
        <v>442</v>
      </c>
      <c r="V631" s="2">
        <f>MASTER[[#This Row],[MONTO VENDIDO]]-MASTER[[#This Row],[COSTO DE VENTA]]</f>
        <v>770</v>
      </c>
    </row>
    <row r="632" spans="1:22" x14ac:dyDescent="0.3">
      <c r="A632">
        <v>18287</v>
      </c>
      <c r="B632">
        <v>1</v>
      </c>
      <c r="C632" t="s">
        <v>101</v>
      </c>
      <c r="D632" t="s">
        <v>102</v>
      </c>
      <c r="E632" s="1">
        <v>43906</v>
      </c>
      <c r="F632">
        <v>2</v>
      </c>
      <c r="G632" t="s">
        <v>7</v>
      </c>
      <c r="H632" t="s">
        <v>8</v>
      </c>
      <c r="I632" s="3">
        <v>1212</v>
      </c>
      <c r="J632" s="3">
        <v>1212</v>
      </c>
      <c r="K632" s="3">
        <v>442</v>
      </c>
      <c r="L632" t="s">
        <v>98</v>
      </c>
      <c r="M632">
        <v>7</v>
      </c>
      <c r="N632" t="s">
        <v>84</v>
      </c>
      <c r="O632" t="s">
        <v>81</v>
      </c>
      <c r="P632" t="s">
        <v>12</v>
      </c>
      <c r="Q632" t="s">
        <v>13</v>
      </c>
      <c r="R632" t="s">
        <v>13</v>
      </c>
      <c r="S632" t="s">
        <v>144</v>
      </c>
      <c r="T632" s="2">
        <f>MASTER[[#This Row],[CANTIDAD]]*MASTER[[#This Row],[PRECIO DE VENTA]]</f>
        <v>2424</v>
      </c>
      <c r="U632" s="2">
        <f>MASTER[[#This Row],[CANTIDAD]]*MASTER[[#This Row],[COSTO UNITARIO]]</f>
        <v>884</v>
      </c>
      <c r="V632" s="2">
        <f>MASTER[[#This Row],[MONTO VENDIDO]]-MASTER[[#This Row],[COSTO DE VENTA]]</f>
        <v>1540</v>
      </c>
    </row>
    <row r="633" spans="1:22" x14ac:dyDescent="0.3">
      <c r="A633">
        <v>18301</v>
      </c>
      <c r="B633">
        <v>1</v>
      </c>
      <c r="C633" t="s">
        <v>101</v>
      </c>
      <c r="D633" t="s">
        <v>102</v>
      </c>
      <c r="E633" s="1">
        <v>43906</v>
      </c>
      <c r="F633">
        <v>1</v>
      </c>
      <c r="G633" t="s">
        <v>73</v>
      </c>
      <c r="H633" t="s">
        <v>74</v>
      </c>
      <c r="I633" s="3">
        <v>1357</v>
      </c>
      <c r="J633" s="3">
        <v>1357</v>
      </c>
      <c r="K633" s="3">
        <v>442</v>
      </c>
      <c r="L633" t="s">
        <v>98</v>
      </c>
      <c r="M633">
        <v>3</v>
      </c>
      <c r="N633" t="s">
        <v>69</v>
      </c>
      <c r="O633" t="s">
        <v>70</v>
      </c>
      <c r="P633" t="s">
        <v>71</v>
      </c>
      <c r="Q633" t="s">
        <v>72</v>
      </c>
      <c r="R633" t="s">
        <v>139</v>
      </c>
      <c r="S633" t="s">
        <v>144</v>
      </c>
      <c r="T633" s="2">
        <f>MASTER[[#This Row],[CANTIDAD]]*MASTER[[#This Row],[PRECIO DE VENTA]]</f>
        <v>1357</v>
      </c>
      <c r="U633" s="2">
        <f>MASTER[[#This Row],[CANTIDAD]]*MASTER[[#This Row],[COSTO UNITARIO]]</f>
        <v>442</v>
      </c>
      <c r="V633" s="2">
        <f>MASTER[[#This Row],[MONTO VENDIDO]]-MASTER[[#This Row],[COSTO DE VENTA]]</f>
        <v>915</v>
      </c>
    </row>
    <row r="634" spans="1:22" x14ac:dyDescent="0.3">
      <c r="A634">
        <v>18327</v>
      </c>
      <c r="B634">
        <v>1</v>
      </c>
      <c r="C634" t="s">
        <v>109</v>
      </c>
      <c r="D634" t="s">
        <v>110</v>
      </c>
      <c r="E634" s="1">
        <v>43906</v>
      </c>
      <c r="F634">
        <v>1</v>
      </c>
      <c r="G634" t="s">
        <v>53</v>
      </c>
      <c r="H634" t="s">
        <v>54</v>
      </c>
      <c r="I634" s="3">
        <v>1064</v>
      </c>
      <c r="J634" s="3">
        <v>1064</v>
      </c>
      <c r="K634" s="3">
        <v>387</v>
      </c>
      <c r="L634" t="s">
        <v>98</v>
      </c>
      <c r="M634">
        <v>14</v>
      </c>
      <c r="N634" t="s">
        <v>87</v>
      </c>
      <c r="O634" t="s">
        <v>81</v>
      </c>
      <c r="P634" t="s">
        <v>18</v>
      </c>
      <c r="Q634" t="s">
        <v>19</v>
      </c>
      <c r="R634" t="s">
        <v>138</v>
      </c>
      <c r="S634" t="s">
        <v>144</v>
      </c>
      <c r="T634" s="2">
        <f>MASTER[[#This Row],[CANTIDAD]]*MASTER[[#This Row],[PRECIO DE VENTA]]</f>
        <v>1064</v>
      </c>
      <c r="U634" s="2">
        <f>MASTER[[#This Row],[CANTIDAD]]*MASTER[[#This Row],[COSTO UNITARIO]]</f>
        <v>387</v>
      </c>
      <c r="V634" s="2">
        <f>MASTER[[#This Row],[MONTO VENDIDO]]-MASTER[[#This Row],[COSTO DE VENTA]]</f>
        <v>677</v>
      </c>
    </row>
    <row r="635" spans="1:22" x14ac:dyDescent="0.3">
      <c r="A635">
        <v>18333</v>
      </c>
      <c r="B635">
        <v>1</v>
      </c>
      <c r="C635" t="s">
        <v>118</v>
      </c>
      <c r="D635" t="s">
        <v>119</v>
      </c>
      <c r="E635" s="1">
        <v>43907</v>
      </c>
      <c r="F635">
        <v>1</v>
      </c>
      <c r="G635" t="s">
        <v>35</v>
      </c>
      <c r="H635" t="s">
        <v>36</v>
      </c>
      <c r="I635" s="3">
        <v>801</v>
      </c>
      <c r="J635" s="3">
        <v>801</v>
      </c>
      <c r="K635" s="3">
        <v>424</v>
      </c>
      <c r="L635" t="s">
        <v>120</v>
      </c>
      <c r="M635">
        <v>17</v>
      </c>
      <c r="N635" t="s">
        <v>14</v>
      </c>
      <c r="O635" t="s">
        <v>11</v>
      </c>
      <c r="P635" t="s">
        <v>15</v>
      </c>
      <c r="Q635" t="s">
        <v>16</v>
      </c>
      <c r="R635" t="s">
        <v>16</v>
      </c>
      <c r="S635" t="s">
        <v>144</v>
      </c>
      <c r="T635" s="2">
        <f>MASTER[[#This Row],[CANTIDAD]]*MASTER[[#This Row],[PRECIO DE VENTA]]</f>
        <v>801</v>
      </c>
      <c r="U635" s="2">
        <f>MASTER[[#This Row],[CANTIDAD]]*MASTER[[#This Row],[COSTO UNITARIO]]</f>
        <v>424</v>
      </c>
      <c r="V635" s="2">
        <f>MASTER[[#This Row],[MONTO VENDIDO]]-MASTER[[#This Row],[COSTO DE VENTA]]</f>
        <v>377</v>
      </c>
    </row>
    <row r="636" spans="1:22" x14ac:dyDescent="0.3">
      <c r="A636">
        <v>18340</v>
      </c>
      <c r="B636">
        <v>1</v>
      </c>
      <c r="C636" t="s">
        <v>116</v>
      </c>
      <c r="D636" t="s">
        <v>117</v>
      </c>
      <c r="E636" s="1">
        <v>43907</v>
      </c>
      <c r="F636">
        <v>1</v>
      </c>
      <c r="G636" t="s">
        <v>33</v>
      </c>
      <c r="H636" t="s">
        <v>34</v>
      </c>
      <c r="I636" s="3">
        <v>1738</v>
      </c>
      <c r="J636" s="3">
        <v>1738</v>
      </c>
      <c r="K636" s="3">
        <v>388</v>
      </c>
      <c r="L636" t="s">
        <v>113</v>
      </c>
      <c r="M636">
        <v>19</v>
      </c>
      <c r="N636" t="s">
        <v>89</v>
      </c>
      <c r="O636" t="s">
        <v>81</v>
      </c>
      <c r="P636" t="s">
        <v>15</v>
      </c>
      <c r="Q636" t="s">
        <v>16</v>
      </c>
      <c r="R636" t="s">
        <v>16</v>
      </c>
      <c r="S636" t="s">
        <v>144</v>
      </c>
      <c r="T636" s="2">
        <f>MASTER[[#This Row],[CANTIDAD]]*MASTER[[#This Row],[PRECIO DE VENTA]]</f>
        <v>1738</v>
      </c>
      <c r="U636" s="2">
        <f>MASTER[[#This Row],[CANTIDAD]]*MASTER[[#This Row],[COSTO UNITARIO]]</f>
        <v>388</v>
      </c>
      <c r="V636" s="2">
        <f>MASTER[[#This Row],[MONTO VENDIDO]]-MASTER[[#This Row],[COSTO DE VENTA]]</f>
        <v>1350</v>
      </c>
    </row>
    <row r="637" spans="1:22" x14ac:dyDescent="0.3">
      <c r="A637">
        <v>18364</v>
      </c>
      <c r="B637">
        <v>1</v>
      </c>
      <c r="C637" t="s">
        <v>92</v>
      </c>
      <c r="D637" t="s">
        <v>93</v>
      </c>
      <c r="E637" s="1">
        <v>43907</v>
      </c>
      <c r="F637">
        <v>1</v>
      </c>
      <c r="G637" t="s">
        <v>67</v>
      </c>
      <c r="H637" t="s">
        <v>68</v>
      </c>
      <c r="I637" s="3">
        <v>1866</v>
      </c>
      <c r="J637" s="3">
        <v>1866</v>
      </c>
      <c r="K637" s="3">
        <v>396</v>
      </c>
      <c r="L637" t="s">
        <v>9</v>
      </c>
      <c r="M637">
        <v>9</v>
      </c>
      <c r="N637" t="s">
        <v>76</v>
      </c>
      <c r="O637" t="s">
        <v>70</v>
      </c>
      <c r="P637" t="s">
        <v>12</v>
      </c>
      <c r="Q637" t="s">
        <v>13</v>
      </c>
      <c r="R637" t="s">
        <v>13</v>
      </c>
      <c r="S637" t="s">
        <v>144</v>
      </c>
      <c r="T637" s="2">
        <f>MASTER[[#This Row],[CANTIDAD]]*MASTER[[#This Row],[PRECIO DE VENTA]]</f>
        <v>1866</v>
      </c>
      <c r="U637" s="2">
        <f>MASTER[[#This Row],[CANTIDAD]]*MASTER[[#This Row],[COSTO UNITARIO]]</f>
        <v>396</v>
      </c>
      <c r="V637" s="2">
        <f>MASTER[[#This Row],[MONTO VENDIDO]]-MASTER[[#This Row],[COSTO DE VENTA]]</f>
        <v>1470</v>
      </c>
    </row>
    <row r="638" spans="1:22" x14ac:dyDescent="0.3">
      <c r="A638">
        <v>18386</v>
      </c>
      <c r="B638">
        <v>1</v>
      </c>
      <c r="C638" t="s">
        <v>101</v>
      </c>
      <c r="D638" t="s">
        <v>102</v>
      </c>
      <c r="E638" s="1">
        <v>43907</v>
      </c>
      <c r="F638">
        <v>1</v>
      </c>
      <c r="G638" t="s">
        <v>47</v>
      </c>
      <c r="H638" t="s">
        <v>48</v>
      </c>
      <c r="I638" s="3">
        <v>1212</v>
      </c>
      <c r="J638" s="3">
        <v>1212</v>
      </c>
      <c r="K638" s="3">
        <v>442</v>
      </c>
      <c r="L638" t="s">
        <v>98</v>
      </c>
      <c r="M638">
        <v>4</v>
      </c>
      <c r="N638" t="s">
        <v>82</v>
      </c>
      <c r="O638" t="s">
        <v>81</v>
      </c>
      <c r="P638" t="s">
        <v>71</v>
      </c>
      <c r="Q638" t="s">
        <v>72</v>
      </c>
      <c r="R638" t="s">
        <v>139</v>
      </c>
      <c r="S638" t="s">
        <v>144</v>
      </c>
      <c r="T638" s="2">
        <f>MASTER[[#This Row],[CANTIDAD]]*MASTER[[#This Row],[PRECIO DE VENTA]]</f>
        <v>1212</v>
      </c>
      <c r="U638" s="2">
        <f>MASTER[[#This Row],[CANTIDAD]]*MASTER[[#This Row],[COSTO UNITARIO]]</f>
        <v>442</v>
      </c>
      <c r="V638" s="2">
        <f>MASTER[[#This Row],[MONTO VENDIDO]]-MASTER[[#This Row],[COSTO DE VENTA]]</f>
        <v>770</v>
      </c>
    </row>
    <row r="639" spans="1:22" x14ac:dyDescent="0.3">
      <c r="A639">
        <v>18393</v>
      </c>
      <c r="B639">
        <v>1</v>
      </c>
      <c r="C639" t="s">
        <v>105</v>
      </c>
      <c r="D639" t="s">
        <v>106</v>
      </c>
      <c r="E639" s="1">
        <v>43907</v>
      </c>
      <c r="F639">
        <v>1</v>
      </c>
      <c r="G639" t="s">
        <v>51</v>
      </c>
      <c r="H639" t="s">
        <v>52</v>
      </c>
      <c r="I639" s="3">
        <v>1865</v>
      </c>
      <c r="J639" s="3">
        <v>1865</v>
      </c>
      <c r="K639" s="3">
        <v>459</v>
      </c>
      <c r="L639" t="s">
        <v>98</v>
      </c>
      <c r="M639">
        <v>8</v>
      </c>
      <c r="N639" t="s">
        <v>80</v>
      </c>
      <c r="O639" t="s">
        <v>81</v>
      </c>
      <c r="P639" t="s">
        <v>12</v>
      </c>
      <c r="Q639" t="s">
        <v>13</v>
      </c>
      <c r="R639" t="s">
        <v>13</v>
      </c>
      <c r="S639" t="s">
        <v>144</v>
      </c>
      <c r="T639" s="2">
        <f>MASTER[[#This Row],[CANTIDAD]]*MASTER[[#This Row],[PRECIO DE VENTA]]</f>
        <v>1865</v>
      </c>
      <c r="U639" s="2">
        <f>MASTER[[#This Row],[CANTIDAD]]*MASTER[[#This Row],[COSTO UNITARIO]]</f>
        <v>459</v>
      </c>
      <c r="V639" s="2">
        <f>MASTER[[#This Row],[MONTO VENDIDO]]-MASTER[[#This Row],[COSTO DE VENTA]]</f>
        <v>1406</v>
      </c>
    </row>
    <row r="640" spans="1:22" x14ac:dyDescent="0.3">
      <c r="A640">
        <v>18404</v>
      </c>
      <c r="B640">
        <v>1</v>
      </c>
      <c r="C640" t="s">
        <v>96</v>
      </c>
      <c r="D640" t="s">
        <v>97</v>
      </c>
      <c r="E640" s="1">
        <v>43907</v>
      </c>
      <c r="F640">
        <v>1</v>
      </c>
      <c r="G640" t="s">
        <v>29</v>
      </c>
      <c r="H640" t="s">
        <v>30</v>
      </c>
      <c r="I640" s="3">
        <v>1361</v>
      </c>
      <c r="J640" s="3">
        <v>1361</v>
      </c>
      <c r="K640" s="3">
        <v>397</v>
      </c>
      <c r="L640" t="s">
        <v>98</v>
      </c>
      <c r="M640">
        <v>3</v>
      </c>
      <c r="N640" t="s">
        <v>69</v>
      </c>
      <c r="O640" t="s">
        <v>70</v>
      </c>
      <c r="P640" t="s">
        <v>71</v>
      </c>
      <c r="Q640" t="s">
        <v>72</v>
      </c>
      <c r="R640" t="s">
        <v>139</v>
      </c>
      <c r="S640" t="s">
        <v>144</v>
      </c>
      <c r="T640" s="2">
        <f>MASTER[[#This Row],[CANTIDAD]]*MASTER[[#This Row],[PRECIO DE VENTA]]</f>
        <v>1361</v>
      </c>
      <c r="U640" s="2">
        <f>MASTER[[#This Row],[CANTIDAD]]*MASTER[[#This Row],[COSTO UNITARIO]]</f>
        <v>397</v>
      </c>
      <c r="V640" s="2">
        <f>MASTER[[#This Row],[MONTO VENDIDO]]-MASTER[[#This Row],[COSTO DE VENTA]]</f>
        <v>964</v>
      </c>
    </row>
    <row r="641" spans="1:22" x14ac:dyDescent="0.3">
      <c r="A641">
        <v>18413</v>
      </c>
      <c r="B641">
        <v>1</v>
      </c>
      <c r="C641" t="s">
        <v>90</v>
      </c>
      <c r="D641" t="s">
        <v>91</v>
      </c>
      <c r="E641" s="1">
        <v>43907</v>
      </c>
      <c r="F641">
        <v>1</v>
      </c>
      <c r="G641" t="s">
        <v>65</v>
      </c>
      <c r="H641" t="s">
        <v>66</v>
      </c>
      <c r="I641" s="3">
        <v>1844</v>
      </c>
      <c r="J641" s="3">
        <v>1844</v>
      </c>
      <c r="K641" s="3">
        <v>420</v>
      </c>
      <c r="L641" t="s">
        <v>9</v>
      </c>
      <c r="M641">
        <v>2</v>
      </c>
      <c r="N641" t="s">
        <v>86</v>
      </c>
      <c r="O641" t="s">
        <v>81</v>
      </c>
      <c r="P641" t="s">
        <v>71</v>
      </c>
      <c r="Q641" t="s">
        <v>72</v>
      </c>
      <c r="R641" t="s">
        <v>139</v>
      </c>
      <c r="S641" t="s">
        <v>144</v>
      </c>
      <c r="T641" s="2">
        <f>MASTER[[#This Row],[CANTIDAD]]*MASTER[[#This Row],[PRECIO DE VENTA]]</f>
        <v>1844</v>
      </c>
      <c r="U641" s="2">
        <f>MASTER[[#This Row],[CANTIDAD]]*MASTER[[#This Row],[COSTO UNITARIO]]</f>
        <v>420</v>
      </c>
      <c r="V641" s="2">
        <f>MASTER[[#This Row],[MONTO VENDIDO]]-MASTER[[#This Row],[COSTO DE VENTA]]</f>
        <v>1424</v>
      </c>
    </row>
    <row r="642" spans="1:22" x14ac:dyDescent="0.3">
      <c r="A642">
        <v>18451</v>
      </c>
      <c r="B642">
        <v>1</v>
      </c>
      <c r="C642" t="s">
        <v>105</v>
      </c>
      <c r="D642" t="s">
        <v>106</v>
      </c>
      <c r="E642" s="1">
        <v>43907</v>
      </c>
      <c r="F642">
        <v>1</v>
      </c>
      <c r="G642" t="s">
        <v>20</v>
      </c>
      <c r="H642" t="s">
        <v>21</v>
      </c>
      <c r="I642" s="3">
        <v>1585</v>
      </c>
      <c r="J642" s="3">
        <v>1585</v>
      </c>
      <c r="K642" s="3">
        <v>459</v>
      </c>
      <c r="L642" t="s">
        <v>98</v>
      </c>
      <c r="M642">
        <v>17</v>
      </c>
      <c r="N642" t="s">
        <v>14</v>
      </c>
      <c r="O642" t="s">
        <v>11</v>
      </c>
      <c r="P642" t="s">
        <v>15</v>
      </c>
      <c r="Q642" t="s">
        <v>16</v>
      </c>
      <c r="R642" t="s">
        <v>16</v>
      </c>
      <c r="S642" t="s">
        <v>144</v>
      </c>
      <c r="T642" s="2">
        <f>MASTER[[#This Row],[CANTIDAD]]*MASTER[[#This Row],[PRECIO DE VENTA]]</f>
        <v>1585</v>
      </c>
      <c r="U642" s="2">
        <f>MASTER[[#This Row],[CANTIDAD]]*MASTER[[#This Row],[COSTO UNITARIO]]</f>
        <v>459</v>
      </c>
      <c r="V642" s="2">
        <f>MASTER[[#This Row],[MONTO VENDIDO]]-MASTER[[#This Row],[COSTO DE VENTA]]</f>
        <v>1126</v>
      </c>
    </row>
    <row r="643" spans="1:22" x14ac:dyDescent="0.3">
      <c r="A643">
        <v>18464</v>
      </c>
      <c r="B643">
        <v>1</v>
      </c>
      <c r="C643" t="s">
        <v>94</v>
      </c>
      <c r="D643" t="s">
        <v>95</v>
      </c>
      <c r="E643" s="1">
        <v>43907</v>
      </c>
      <c r="F643">
        <v>1</v>
      </c>
      <c r="G643" t="s">
        <v>51</v>
      </c>
      <c r="H643" t="s">
        <v>52</v>
      </c>
      <c r="I643" s="3">
        <v>901</v>
      </c>
      <c r="J643" s="3">
        <v>901</v>
      </c>
      <c r="K643" s="3">
        <v>392</v>
      </c>
      <c r="L643" t="s">
        <v>9</v>
      </c>
      <c r="M643">
        <v>16</v>
      </c>
      <c r="N643" t="s">
        <v>17</v>
      </c>
      <c r="O643" t="s">
        <v>11</v>
      </c>
      <c r="P643" t="s">
        <v>18</v>
      </c>
      <c r="Q643" t="s">
        <v>19</v>
      </c>
      <c r="R643" t="s">
        <v>138</v>
      </c>
      <c r="S643" t="s">
        <v>144</v>
      </c>
      <c r="T643" s="2">
        <f>MASTER[[#This Row],[CANTIDAD]]*MASTER[[#This Row],[PRECIO DE VENTA]]</f>
        <v>901</v>
      </c>
      <c r="U643" s="2">
        <f>MASTER[[#This Row],[CANTIDAD]]*MASTER[[#This Row],[COSTO UNITARIO]]</f>
        <v>392</v>
      </c>
      <c r="V643" s="2">
        <f>MASTER[[#This Row],[MONTO VENDIDO]]-MASTER[[#This Row],[COSTO DE VENTA]]</f>
        <v>509</v>
      </c>
    </row>
    <row r="644" spans="1:22" x14ac:dyDescent="0.3">
      <c r="A644">
        <v>18483</v>
      </c>
      <c r="B644">
        <v>1</v>
      </c>
      <c r="C644" t="s">
        <v>109</v>
      </c>
      <c r="D644" t="s">
        <v>110</v>
      </c>
      <c r="E644" s="1">
        <v>43907</v>
      </c>
      <c r="F644">
        <v>1</v>
      </c>
      <c r="G644" t="s">
        <v>20</v>
      </c>
      <c r="H644" t="s">
        <v>21</v>
      </c>
      <c r="I644" s="3">
        <v>1128</v>
      </c>
      <c r="J644" s="3">
        <v>1037</v>
      </c>
      <c r="K644" s="3">
        <v>387</v>
      </c>
      <c r="L644" t="s">
        <v>98</v>
      </c>
      <c r="M644">
        <v>3</v>
      </c>
      <c r="N644" t="s">
        <v>69</v>
      </c>
      <c r="O644" t="s">
        <v>70</v>
      </c>
      <c r="P644" t="s">
        <v>71</v>
      </c>
      <c r="Q644" t="s">
        <v>72</v>
      </c>
      <c r="R644" t="s">
        <v>139</v>
      </c>
      <c r="S644" t="s">
        <v>144</v>
      </c>
      <c r="T644" s="2">
        <f>MASTER[[#This Row],[CANTIDAD]]*MASTER[[#This Row],[PRECIO DE VENTA]]</f>
        <v>1037</v>
      </c>
      <c r="U644" s="2">
        <f>MASTER[[#This Row],[CANTIDAD]]*MASTER[[#This Row],[COSTO UNITARIO]]</f>
        <v>387</v>
      </c>
      <c r="V644" s="2">
        <f>MASTER[[#This Row],[MONTO VENDIDO]]-MASTER[[#This Row],[COSTO DE VENTA]]</f>
        <v>650</v>
      </c>
    </row>
    <row r="645" spans="1:22" x14ac:dyDescent="0.3">
      <c r="A645">
        <v>18485</v>
      </c>
      <c r="B645">
        <v>1</v>
      </c>
      <c r="C645" t="s">
        <v>90</v>
      </c>
      <c r="D645" t="s">
        <v>91</v>
      </c>
      <c r="E645" s="1">
        <v>43907</v>
      </c>
      <c r="F645">
        <v>1</v>
      </c>
      <c r="G645" t="s">
        <v>27</v>
      </c>
      <c r="H645" t="s">
        <v>28</v>
      </c>
      <c r="I645" s="3">
        <v>1660</v>
      </c>
      <c r="J645" s="3">
        <v>1660</v>
      </c>
      <c r="K645" s="3">
        <v>420</v>
      </c>
      <c r="L645" t="s">
        <v>9</v>
      </c>
      <c r="M645">
        <v>12</v>
      </c>
      <c r="N645" t="s">
        <v>26</v>
      </c>
      <c r="O645" t="s">
        <v>11</v>
      </c>
      <c r="P645" t="s">
        <v>12</v>
      </c>
      <c r="Q645" t="s">
        <v>13</v>
      </c>
      <c r="R645" t="s">
        <v>13</v>
      </c>
      <c r="S645" t="s">
        <v>144</v>
      </c>
      <c r="T645" s="2">
        <f>MASTER[[#This Row],[CANTIDAD]]*MASTER[[#This Row],[PRECIO DE VENTA]]</f>
        <v>1660</v>
      </c>
      <c r="U645" s="2">
        <f>MASTER[[#This Row],[CANTIDAD]]*MASTER[[#This Row],[COSTO UNITARIO]]</f>
        <v>420</v>
      </c>
      <c r="V645" s="2">
        <f>MASTER[[#This Row],[MONTO VENDIDO]]-MASTER[[#This Row],[COSTO DE VENTA]]</f>
        <v>1240</v>
      </c>
    </row>
    <row r="646" spans="1:22" x14ac:dyDescent="0.3">
      <c r="A646">
        <v>18506</v>
      </c>
      <c r="B646">
        <v>1</v>
      </c>
      <c r="C646" t="s">
        <v>99</v>
      </c>
      <c r="D646" t="s">
        <v>100</v>
      </c>
      <c r="E646" s="1">
        <v>43908</v>
      </c>
      <c r="F646">
        <v>1</v>
      </c>
      <c r="G646" t="s">
        <v>7</v>
      </c>
      <c r="H646" t="s">
        <v>8</v>
      </c>
      <c r="I646" s="3">
        <v>1678</v>
      </c>
      <c r="J646" s="3">
        <v>1678</v>
      </c>
      <c r="K646" s="3">
        <v>386</v>
      </c>
      <c r="L646" t="s">
        <v>98</v>
      </c>
      <c r="M646">
        <v>6</v>
      </c>
      <c r="N646" t="s">
        <v>75</v>
      </c>
      <c r="O646" t="s">
        <v>70</v>
      </c>
      <c r="P646" t="s">
        <v>12</v>
      </c>
      <c r="Q646" t="s">
        <v>13</v>
      </c>
      <c r="R646" t="s">
        <v>13</v>
      </c>
      <c r="S646" t="s">
        <v>144</v>
      </c>
      <c r="T646" s="2">
        <f>MASTER[[#This Row],[CANTIDAD]]*MASTER[[#This Row],[PRECIO DE VENTA]]</f>
        <v>1678</v>
      </c>
      <c r="U646" s="2">
        <f>MASTER[[#This Row],[CANTIDAD]]*MASTER[[#This Row],[COSTO UNITARIO]]</f>
        <v>386</v>
      </c>
      <c r="V646" s="2">
        <f>MASTER[[#This Row],[MONTO VENDIDO]]-MASTER[[#This Row],[COSTO DE VENTA]]</f>
        <v>1292</v>
      </c>
    </row>
    <row r="647" spans="1:22" x14ac:dyDescent="0.3">
      <c r="A647">
        <v>18513</v>
      </c>
      <c r="B647">
        <v>1</v>
      </c>
      <c r="C647" t="s">
        <v>111</v>
      </c>
      <c r="D647" t="s">
        <v>112</v>
      </c>
      <c r="E647" s="1">
        <v>43908</v>
      </c>
      <c r="F647">
        <v>1</v>
      </c>
      <c r="G647" t="s">
        <v>33</v>
      </c>
      <c r="H647" t="s">
        <v>34</v>
      </c>
      <c r="I647" s="3">
        <v>1799</v>
      </c>
      <c r="J647" s="3">
        <v>1709</v>
      </c>
      <c r="K647" s="3">
        <v>434</v>
      </c>
      <c r="L647" t="s">
        <v>113</v>
      </c>
      <c r="M647">
        <v>13</v>
      </c>
      <c r="N647" t="s">
        <v>78</v>
      </c>
      <c r="O647" t="s">
        <v>70</v>
      </c>
      <c r="P647" t="s">
        <v>18</v>
      </c>
      <c r="Q647" t="s">
        <v>19</v>
      </c>
      <c r="R647" t="s">
        <v>138</v>
      </c>
      <c r="S647" t="s">
        <v>144</v>
      </c>
      <c r="T647" s="2">
        <f>MASTER[[#This Row],[CANTIDAD]]*MASTER[[#This Row],[PRECIO DE VENTA]]</f>
        <v>1709</v>
      </c>
      <c r="U647" s="2">
        <f>MASTER[[#This Row],[CANTIDAD]]*MASTER[[#This Row],[COSTO UNITARIO]]</f>
        <v>434</v>
      </c>
      <c r="V647" s="2">
        <f>MASTER[[#This Row],[MONTO VENDIDO]]-MASTER[[#This Row],[COSTO DE VENTA]]</f>
        <v>1275</v>
      </c>
    </row>
    <row r="648" spans="1:22" x14ac:dyDescent="0.3">
      <c r="A648">
        <v>18531</v>
      </c>
      <c r="B648">
        <v>1</v>
      </c>
      <c r="C648" t="s">
        <v>121</v>
      </c>
      <c r="D648" t="s">
        <v>122</v>
      </c>
      <c r="E648" s="1">
        <v>43908</v>
      </c>
      <c r="F648">
        <v>1</v>
      </c>
      <c r="G648" t="s">
        <v>27</v>
      </c>
      <c r="H648" t="s">
        <v>28</v>
      </c>
      <c r="I648" s="3">
        <v>1069</v>
      </c>
      <c r="J648" s="3">
        <v>1069</v>
      </c>
      <c r="K648" s="3">
        <v>460</v>
      </c>
      <c r="L648" t="s">
        <v>120</v>
      </c>
      <c r="M648">
        <v>2</v>
      </c>
      <c r="N648" t="s">
        <v>86</v>
      </c>
      <c r="O648" t="s">
        <v>81</v>
      </c>
      <c r="P648" t="s">
        <v>71</v>
      </c>
      <c r="Q648" t="s">
        <v>72</v>
      </c>
      <c r="R648" t="s">
        <v>139</v>
      </c>
      <c r="S648" t="s">
        <v>144</v>
      </c>
      <c r="T648" s="2">
        <f>MASTER[[#This Row],[CANTIDAD]]*MASTER[[#This Row],[PRECIO DE VENTA]]</f>
        <v>1069</v>
      </c>
      <c r="U648" s="2">
        <f>MASTER[[#This Row],[CANTIDAD]]*MASTER[[#This Row],[COSTO UNITARIO]]</f>
        <v>460</v>
      </c>
      <c r="V648" s="2">
        <f>MASTER[[#This Row],[MONTO VENDIDO]]-MASTER[[#This Row],[COSTO DE VENTA]]</f>
        <v>609</v>
      </c>
    </row>
    <row r="649" spans="1:22" x14ac:dyDescent="0.3">
      <c r="A649">
        <v>18536</v>
      </c>
      <c r="B649">
        <v>2</v>
      </c>
      <c r="C649" t="s">
        <v>92</v>
      </c>
      <c r="D649" t="s">
        <v>93</v>
      </c>
      <c r="E649" s="1">
        <v>43908</v>
      </c>
      <c r="F649">
        <v>1</v>
      </c>
      <c r="G649" t="s">
        <v>63</v>
      </c>
      <c r="H649" t="s">
        <v>64</v>
      </c>
      <c r="I649" s="3">
        <v>1681</v>
      </c>
      <c r="J649" s="3">
        <v>1681</v>
      </c>
      <c r="K649" s="3">
        <v>396</v>
      </c>
      <c r="L649" t="s">
        <v>9</v>
      </c>
      <c r="M649">
        <v>8</v>
      </c>
      <c r="N649" t="s">
        <v>80</v>
      </c>
      <c r="O649" t="s">
        <v>81</v>
      </c>
      <c r="P649" t="s">
        <v>12</v>
      </c>
      <c r="Q649" t="s">
        <v>13</v>
      </c>
      <c r="R649" t="s">
        <v>13</v>
      </c>
      <c r="S649" t="s">
        <v>144</v>
      </c>
      <c r="T649" s="2">
        <f>MASTER[[#This Row],[CANTIDAD]]*MASTER[[#This Row],[PRECIO DE VENTA]]</f>
        <v>1681</v>
      </c>
      <c r="U649" s="2">
        <f>MASTER[[#This Row],[CANTIDAD]]*MASTER[[#This Row],[COSTO UNITARIO]]</f>
        <v>396</v>
      </c>
      <c r="V649" s="2">
        <f>MASTER[[#This Row],[MONTO VENDIDO]]-MASTER[[#This Row],[COSTO DE VENTA]]</f>
        <v>1285</v>
      </c>
    </row>
    <row r="650" spans="1:22" x14ac:dyDescent="0.3">
      <c r="A650">
        <v>18536</v>
      </c>
      <c r="B650">
        <v>1</v>
      </c>
      <c r="C650" t="s">
        <v>121</v>
      </c>
      <c r="D650" t="s">
        <v>122</v>
      </c>
      <c r="E650" s="1">
        <v>43908</v>
      </c>
      <c r="F650">
        <v>1</v>
      </c>
      <c r="G650" t="s">
        <v>7</v>
      </c>
      <c r="H650" t="s">
        <v>8</v>
      </c>
      <c r="I650" s="3">
        <v>1069</v>
      </c>
      <c r="J650" s="3">
        <v>1069</v>
      </c>
      <c r="K650" s="3">
        <v>460</v>
      </c>
      <c r="L650" t="s">
        <v>120</v>
      </c>
      <c r="M650">
        <v>8</v>
      </c>
      <c r="N650" t="s">
        <v>80</v>
      </c>
      <c r="O650" t="s">
        <v>81</v>
      </c>
      <c r="P650" t="s">
        <v>12</v>
      </c>
      <c r="Q650" t="s">
        <v>13</v>
      </c>
      <c r="R650" t="s">
        <v>13</v>
      </c>
      <c r="S650" t="s">
        <v>144</v>
      </c>
      <c r="T650" s="2">
        <f>MASTER[[#This Row],[CANTIDAD]]*MASTER[[#This Row],[PRECIO DE VENTA]]</f>
        <v>1069</v>
      </c>
      <c r="U650" s="2">
        <f>MASTER[[#This Row],[CANTIDAD]]*MASTER[[#This Row],[COSTO UNITARIO]]</f>
        <v>460</v>
      </c>
      <c r="V650" s="2">
        <f>MASTER[[#This Row],[MONTO VENDIDO]]-MASTER[[#This Row],[COSTO DE VENTA]]</f>
        <v>609</v>
      </c>
    </row>
    <row r="651" spans="1:22" x14ac:dyDescent="0.3">
      <c r="A651">
        <v>18550</v>
      </c>
      <c r="B651">
        <v>1</v>
      </c>
      <c r="C651" t="s">
        <v>5</v>
      </c>
      <c r="D651" t="s">
        <v>6</v>
      </c>
      <c r="E651" s="1">
        <v>43908</v>
      </c>
      <c r="F651">
        <v>1</v>
      </c>
      <c r="G651" t="s">
        <v>49</v>
      </c>
      <c r="H651" t="s">
        <v>50</v>
      </c>
      <c r="I651" s="3">
        <v>1507</v>
      </c>
      <c r="J651" s="3">
        <v>1507</v>
      </c>
      <c r="K651" s="3">
        <v>393</v>
      </c>
      <c r="L651" t="s">
        <v>9</v>
      </c>
      <c r="M651">
        <v>10</v>
      </c>
      <c r="N651" t="s">
        <v>83</v>
      </c>
      <c r="O651" t="s">
        <v>81</v>
      </c>
      <c r="P651" t="s">
        <v>12</v>
      </c>
      <c r="Q651" t="s">
        <v>13</v>
      </c>
      <c r="R651" t="s">
        <v>13</v>
      </c>
      <c r="S651" t="s">
        <v>144</v>
      </c>
      <c r="T651" s="2">
        <f>MASTER[[#This Row],[CANTIDAD]]*MASTER[[#This Row],[PRECIO DE VENTA]]</f>
        <v>1507</v>
      </c>
      <c r="U651" s="2">
        <f>MASTER[[#This Row],[CANTIDAD]]*MASTER[[#This Row],[COSTO UNITARIO]]</f>
        <v>393</v>
      </c>
      <c r="V651" s="2">
        <f>MASTER[[#This Row],[MONTO VENDIDO]]-MASTER[[#This Row],[COSTO DE VENTA]]</f>
        <v>1114</v>
      </c>
    </row>
    <row r="652" spans="1:22" x14ac:dyDescent="0.3">
      <c r="A652">
        <v>18581</v>
      </c>
      <c r="B652">
        <v>1</v>
      </c>
      <c r="C652" t="s">
        <v>111</v>
      </c>
      <c r="D652" t="s">
        <v>112</v>
      </c>
      <c r="E652" s="1">
        <v>43908</v>
      </c>
      <c r="F652">
        <v>1</v>
      </c>
      <c r="G652" t="s">
        <v>59</v>
      </c>
      <c r="H652" t="s">
        <v>60</v>
      </c>
      <c r="I652" s="3">
        <v>1524</v>
      </c>
      <c r="J652" s="3">
        <v>1524</v>
      </c>
      <c r="K652" s="3">
        <v>434</v>
      </c>
      <c r="L652" t="s">
        <v>113</v>
      </c>
      <c r="M652">
        <v>11</v>
      </c>
      <c r="N652" t="s">
        <v>10</v>
      </c>
      <c r="O652" t="s">
        <v>11</v>
      </c>
      <c r="P652" t="s">
        <v>12</v>
      </c>
      <c r="Q652" t="s">
        <v>13</v>
      </c>
      <c r="R652" t="s">
        <v>13</v>
      </c>
      <c r="S652" t="s">
        <v>144</v>
      </c>
      <c r="T652" s="2">
        <f>MASTER[[#This Row],[CANTIDAD]]*MASTER[[#This Row],[PRECIO DE VENTA]]</f>
        <v>1524</v>
      </c>
      <c r="U652" s="2">
        <f>MASTER[[#This Row],[CANTIDAD]]*MASTER[[#This Row],[COSTO UNITARIO]]</f>
        <v>434</v>
      </c>
      <c r="V652" s="2">
        <f>MASTER[[#This Row],[MONTO VENDIDO]]-MASTER[[#This Row],[COSTO DE VENTA]]</f>
        <v>1090</v>
      </c>
    </row>
    <row r="653" spans="1:22" x14ac:dyDescent="0.3">
      <c r="A653">
        <v>18582</v>
      </c>
      <c r="B653">
        <v>1</v>
      </c>
      <c r="C653" t="s">
        <v>96</v>
      </c>
      <c r="D653" t="s">
        <v>97</v>
      </c>
      <c r="E653" s="1">
        <v>43908</v>
      </c>
      <c r="F653">
        <v>1</v>
      </c>
      <c r="G653" t="s">
        <v>27</v>
      </c>
      <c r="H653" t="s">
        <v>28</v>
      </c>
      <c r="I653" s="3">
        <v>1196</v>
      </c>
      <c r="J653" s="3">
        <v>1196</v>
      </c>
      <c r="K653" s="3">
        <v>397</v>
      </c>
      <c r="L653" t="s">
        <v>98</v>
      </c>
      <c r="M653">
        <v>11</v>
      </c>
      <c r="N653" t="s">
        <v>10</v>
      </c>
      <c r="O653" t="s">
        <v>11</v>
      </c>
      <c r="P653" t="s">
        <v>12</v>
      </c>
      <c r="Q653" t="s">
        <v>13</v>
      </c>
      <c r="R653" t="s">
        <v>13</v>
      </c>
      <c r="S653" t="s">
        <v>144</v>
      </c>
      <c r="T653" s="2">
        <f>MASTER[[#This Row],[CANTIDAD]]*MASTER[[#This Row],[PRECIO DE VENTA]]</f>
        <v>1196</v>
      </c>
      <c r="U653" s="2">
        <f>MASTER[[#This Row],[CANTIDAD]]*MASTER[[#This Row],[COSTO UNITARIO]]</f>
        <v>397</v>
      </c>
      <c r="V653" s="2">
        <f>MASTER[[#This Row],[MONTO VENDIDO]]-MASTER[[#This Row],[COSTO DE VENTA]]</f>
        <v>799</v>
      </c>
    </row>
    <row r="654" spans="1:22" x14ac:dyDescent="0.3">
      <c r="A654">
        <v>18607</v>
      </c>
      <c r="B654">
        <v>1</v>
      </c>
      <c r="C654" t="s">
        <v>96</v>
      </c>
      <c r="D654" t="s">
        <v>97</v>
      </c>
      <c r="E654" s="1">
        <v>43909</v>
      </c>
      <c r="F654">
        <v>1</v>
      </c>
      <c r="G654" t="s">
        <v>73</v>
      </c>
      <c r="H654" t="s">
        <v>74</v>
      </c>
      <c r="I654" s="3">
        <v>1272</v>
      </c>
      <c r="J654" s="3">
        <v>1272</v>
      </c>
      <c r="K654" s="3">
        <v>397</v>
      </c>
      <c r="L654" t="s">
        <v>98</v>
      </c>
      <c r="M654">
        <v>19</v>
      </c>
      <c r="N654" t="s">
        <v>89</v>
      </c>
      <c r="O654" t="s">
        <v>81</v>
      </c>
      <c r="P654" t="s">
        <v>15</v>
      </c>
      <c r="Q654" t="s">
        <v>16</v>
      </c>
      <c r="R654" t="s">
        <v>16</v>
      </c>
      <c r="S654" t="s">
        <v>144</v>
      </c>
      <c r="T654" s="2">
        <f>MASTER[[#This Row],[CANTIDAD]]*MASTER[[#This Row],[PRECIO DE VENTA]]</f>
        <v>1272</v>
      </c>
      <c r="U654" s="2">
        <f>MASTER[[#This Row],[CANTIDAD]]*MASTER[[#This Row],[COSTO UNITARIO]]</f>
        <v>397</v>
      </c>
      <c r="V654" s="2">
        <f>MASTER[[#This Row],[MONTO VENDIDO]]-MASTER[[#This Row],[COSTO DE VENTA]]</f>
        <v>875</v>
      </c>
    </row>
    <row r="655" spans="1:22" x14ac:dyDescent="0.3">
      <c r="A655">
        <v>18647</v>
      </c>
      <c r="B655">
        <v>1</v>
      </c>
      <c r="C655" t="s">
        <v>103</v>
      </c>
      <c r="D655" t="s">
        <v>104</v>
      </c>
      <c r="E655" s="1">
        <v>43909</v>
      </c>
      <c r="F655">
        <v>4</v>
      </c>
      <c r="G655" t="s">
        <v>33</v>
      </c>
      <c r="H655" t="s">
        <v>34</v>
      </c>
      <c r="I655" s="3">
        <v>1448</v>
      </c>
      <c r="J655" s="3">
        <v>1448</v>
      </c>
      <c r="K655" s="3">
        <v>421</v>
      </c>
      <c r="L655" t="s">
        <v>98</v>
      </c>
      <c r="M655">
        <v>16</v>
      </c>
      <c r="N655" t="s">
        <v>17</v>
      </c>
      <c r="O655" t="s">
        <v>11</v>
      </c>
      <c r="P655" t="s">
        <v>18</v>
      </c>
      <c r="Q655" t="s">
        <v>19</v>
      </c>
      <c r="R655" t="s">
        <v>138</v>
      </c>
      <c r="S655" t="s">
        <v>144</v>
      </c>
      <c r="T655" s="2">
        <f>MASTER[[#This Row],[CANTIDAD]]*MASTER[[#This Row],[PRECIO DE VENTA]]</f>
        <v>5792</v>
      </c>
      <c r="U655" s="2">
        <f>MASTER[[#This Row],[CANTIDAD]]*MASTER[[#This Row],[COSTO UNITARIO]]</f>
        <v>1684</v>
      </c>
      <c r="V655" s="2">
        <f>MASTER[[#This Row],[MONTO VENDIDO]]-MASTER[[#This Row],[COSTO DE VENTA]]</f>
        <v>4108</v>
      </c>
    </row>
    <row r="656" spans="1:22" x14ac:dyDescent="0.3">
      <c r="A656">
        <v>18671</v>
      </c>
      <c r="B656">
        <v>1</v>
      </c>
      <c r="C656" t="s">
        <v>116</v>
      </c>
      <c r="D656" t="s">
        <v>117</v>
      </c>
      <c r="E656" s="1">
        <v>43909</v>
      </c>
      <c r="F656">
        <v>1</v>
      </c>
      <c r="G656" t="s">
        <v>57</v>
      </c>
      <c r="H656" t="s">
        <v>58</v>
      </c>
      <c r="I656" s="3">
        <v>1529</v>
      </c>
      <c r="J656" s="3">
        <v>1529</v>
      </c>
      <c r="K656" s="3">
        <v>388</v>
      </c>
      <c r="L656" t="s">
        <v>113</v>
      </c>
      <c r="M656">
        <v>12</v>
      </c>
      <c r="N656" t="s">
        <v>26</v>
      </c>
      <c r="O656" t="s">
        <v>11</v>
      </c>
      <c r="P656" t="s">
        <v>12</v>
      </c>
      <c r="Q656" t="s">
        <v>13</v>
      </c>
      <c r="R656" t="s">
        <v>13</v>
      </c>
      <c r="S656" t="s">
        <v>144</v>
      </c>
      <c r="T656" s="2">
        <f>MASTER[[#This Row],[CANTIDAD]]*MASTER[[#This Row],[PRECIO DE VENTA]]</f>
        <v>1529</v>
      </c>
      <c r="U656" s="2">
        <f>MASTER[[#This Row],[CANTIDAD]]*MASTER[[#This Row],[COSTO UNITARIO]]</f>
        <v>388</v>
      </c>
      <c r="V656" s="2">
        <f>MASTER[[#This Row],[MONTO VENDIDO]]-MASTER[[#This Row],[COSTO DE VENTA]]</f>
        <v>1141</v>
      </c>
    </row>
    <row r="657" spans="1:22" x14ac:dyDescent="0.3">
      <c r="A657">
        <v>18685</v>
      </c>
      <c r="B657">
        <v>1</v>
      </c>
      <c r="C657" t="s">
        <v>96</v>
      </c>
      <c r="D657" t="s">
        <v>97</v>
      </c>
      <c r="E657" s="1">
        <v>43909</v>
      </c>
      <c r="F657">
        <v>1</v>
      </c>
      <c r="G657" t="s">
        <v>20</v>
      </c>
      <c r="H657" t="s">
        <v>21</v>
      </c>
      <c r="I657" s="3">
        <v>1196</v>
      </c>
      <c r="J657" s="3">
        <v>1196</v>
      </c>
      <c r="K657" s="3">
        <v>397</v>
      </c>
      <c r="L657" t="s">
        <v>98</v>
      </c>
      <c r="M657">
        <v>11</v>
      </c>
      <c r="N657" t="s">
        <v>10</v>
      </c>
      <c r="O657" t="s">
        <v>11</v>
      </c>
      <c r="P657" t="s">
        <v>12</v>
      </c>
      <c r="Q657" t="s">
        <v>13</v>
      </c>
      <c r="R657" t="s">
        <v>13</v>
      </c>
      <c r="S657" t="s">
        <v>144</v>
      </c>
      <c r="T657" s="2">
        <f>MASTER[[#This Row],[CANTIDAD]]*MASTER[[#This Row],[PRECIO DE VENTA]]</f>
        <v>1196</v>
      </c>
      <c r="U657" s="2">
        <f>MASTER[[#This Row],[CANTIDAD]]*MASTER[[#This Row],[COSTO UNITARIO]]</f>
        <v>397</v>
      </c>
      <c r="V657" s="2">
        <f>MASTER[[#This Row],[MONTO VENDIDO]]-MASTER[[#This Row],[COSTO DE VENTA]]</f>
        <v>799</v>
      </c>
    </row>
    <row r="658" spans="1:22" x14ac:dyDescent="0.3">
      <c r="A658">
        <v>18688</v>
      </c>
      <c r="B658">
        <v>1</v>
      </c>
      <c r="C658" t="s">
        <v>5</v>
      </c>
      <c r="D658" t="s">
        <v>6</v>
      </c>
      <c r="E658" s="1">
        <v>43909</v>
      </c>
      <c r="F658">
        <v>1</v>
      </c>
      <c r="G658" t="s">
        <v>29</v>
      </c>
      <c r="H658" t="s">
        <v>30</v>
      </c>
      <c r="I658" s="3">
        <v>1507</v>
      </c>
      <c r="J658" s="3">
        <v>1386</v>
      </c>
      <c r="K658" s="3">
        <v>393</v>
      </c>
      <c r="L658" t="s">
        <v>9</v>
      </c>
      <c r="M658">
        <v>4</v>
      </c>
      <c r="N658" t="s">
        <v>82</v>
      </c>
      <c r="O658" t="s">
        <v>81</v>
      </c>
      <c r="P658" t="s">
        <v>71</v>
      </c>
      <c r="Q658" t="s">
        <v>72</v>
      </c>
      <c r="R658" t="s">
        <v>139</v>
      </c>
      <c r="S658" t="s">
        <v>144</v>
      </c>
      <c r="T658" s="2">
        <f>MASTER[[#This Row],[CANTIDAD]]*MASTER[[#This Row],[PRECIO DE VENTA]]</f>
        <v>1386</v>
      </c>
      <c r="U658" s="2">
        <f>MASTER[[#This Row],[CANTIDAD]]*MASTER[[#This Row],[COSTO UNITARIO]]</f>
        <v>393</v>
      </c>
      <c r="V658" s="2">
        <f>MASTER[[#This Row],[MONTO VENDIDO]]-MASTER[[#This Row],[COSTO DE VENTA]]</f>
        <v>993</v>
      </c>
    </row>
    <row r="659" spans="1:22" x14ac:dyDescent="0.3">
      <c r="A659">
        <v>18697</v>
      </c>
      <c r="B659">
        <v>1</v>
      </c>
      <c r="C659" t="s">
        <v>109</v>
      </c>
      <c r="D659" t="s">
        <v>110</v>
      </c>
      <c r="E659" s="1">
        <v>43909</v>
      </c>
      <c r="F659">
        <v>1</v>
      </c>
      <c r="G659" t="s">
        <v>61</v>
      </c>
      <c r="H659" t="s">
        <v>62</v>
      </c>
      <c r="I659" s="3">
        <v>947</v>
      </c>
      <c r="J659" s="3">
        <v>947</v>
      </c>
      <c r="K659" s="3">
        <v>387</v>
      </c>
      <c r="L659" t="s">
        <v>98</v>
      </c>
      <c r="M659">
        <v>16</v>
      </c>
      <c r="N659" t="s">
        <v>17</v>
      </c>
      <c r="O659" t="s">
        <v>11</v>
      </c>
      <c r="P659" t="s">
        <v>18</v>
      </c>
      <c r="Q659" t="s">
        <v>19</v>
      </c>
      <c r="R659" t="s">
        <v>138</v>
      </c>
      <c r="S659" t="s">
        <v>144</v>
      </c>
      <c r="T659" s="2">
        <f>MASTER[[#This Row],[CANTIDAD]]*MASTER[[#This Row],[PRECIO DE VENTA]]</f>
        <v>947</v>
      </c>
      <c r="U659" s="2">
        <f>MASTER[[#This Row],[CANTIDAD]]*MASTER[[#This Row],[COSTO UNITARIO]]</f>
        <v>387</v>
      </c>
      <c r="V659" s="2">
        <f>MASTER[[#This Row],[MONTO VENDIDO]]-MASTER[[#This Row],[COSTO DE VENTA]]</f>
        <v>560</v>
      </c>
    </row>
    <row r="660" spans="1:22" x14ac:dyDescent="0.3">
      <c r="A660">
        <v>18725</v>
      </c>
      <c r="B660">
        <v>1</v>
      </c>
      <c r="C660" t="s">
        <v>103</v>
      </c>
      <c r="D660" t="s">
        <v>104</v>
      </c>
      <c r="E660" s="1">
        <v>43909</v>
      </c>
      <c r="F660">
        <v>1</v>
      </c>
      <c r="G660" t="s">
        <v>59</v>
      </c>
      <c r="H660" t="s">
        <v>60</v>
      </c>
      <c r="I660" s="3">
        <v>1591</v>
      </c>
      <c r="J660" s="3">
        <v>1591</v>
      </c>
      <c r="K660" s="3">
        <v>421</v>
      </c>
      <c r="L660" t="s">
        <v>98</v>
      </c>
      <c r="M660">
        <v>8</v>
      </c>
      <c r="N660" t="s">
        <v>80</v>
      </c>
      <c r="O660" t="s">
        <v>81</v>
      </c>
      <c r="P660" t="s">
        <v>12</v>
      </c>
      <c r="Q660" t="s">
        <v>13</v>
      </c>
      <c r="R660" t="s">
        <v>13</v>
      </c>
      <c r="S660" t="s">
        <v>144</v>
      </c>
      <c r="T660" s="2">
        <f>MASTER[[#This Row],[CANTIDAD]]*MASTER[[#This Row],[PRECIO DE VENTA]]</f>
        <v>1591</v>
      </c>
      <c r="U660" s="2">
        <f>MASTER[[#This Row],[CANTIDAD]]*MASTER[[#This Row],[COSTO UNITARIO]]</f>
        <v>421</v>
      </c>
      <c r="V660" s="2">
        <f>MASTER[[#This Row],[MONTO VENDIDO]]-MASTER[[#This Row],[COSTO DE VENTA]]</f>
        <v>1170</v>
      </c>
    </row>
    <row r="661" spans="1:22" x14ac:dyDescent="0.3">
      <c r="A661">
        <v>18733</v>
      </c>
      <c r="B661">
        <v>1</v>
      </c>
      <c r="C661" t="s">
        <v>103</v>
      </c>
      <c r="D661" t="s">
        <v>104</v>
      </c>
      <c r="E661" s="1">
        <v>43909</v>
      </c>
      <c r="F661">
        <v>1</v>
      </c>
      <c r="G661" t="s">
        <v>27</v>
      </c>
      <c r="H661" t="s">
        <v>28</v>
      </c>
      <c r="I661" s="3">
        <v>1448</v>
      </c>
      <c r="J661" s="3">
        <v>1448</v>
      </c>
      <c r="K661" s="3">
        <v>421</v>
      </c>
      <c r="L661" t="s">
        <v>98</v>
      </c>
      <c r="M661">
        <v>11</v>
      </c>
      <c r="N661" t="s">
        <v>10</v>
      </c>
      <c r="O661" t="s">
        <v>11</v>
      </c>
      <c r="P661" t="s">
        <v>12</v>
      </c>
      <c r="Q661" t="s">
        <v>13</v>
      </c>
      <c r="R661" t="s">
        <v>13</v>
      </c>
      <c r="S661" t="s">
        <v>144</v>
      </c>
      <c r="T661" s="2">
        <f>MASTER[[#This Row],[CANTIDAD]]*MASTER[[#This Row],[PRECIO DE VENTA]]</f>
        <v>1448</v>
      </c>
      <c r="U661" s="2">
        <f>MASTER[[#This Row],[CANTIDAD]]*MASTER[[#This Row],[COSTO UNITARIO]]</f>
        <v>421</v>
      </c>
      <c r="V661" s="2">
        <f>MASTER[[#This Row],[MONTO VENDIDO]]-MASTER[[#This Row],[COSTO DE VENTA]]</f>
        <v>1027</v>
      </c>
    </row>
    <row r="662" spans="1:22" x14ac:dyDescent="0.3">
      <c r="A662">
        <v>18770</v>
      </c>
      <c r="B662">
        <v>1</v>
      </c>
      <c r="C662" t="s">
        <v>121</v>
      </c>
      <c r="D662" t="s">
        <v>122</v>
      </c>
      <c r="E662" s="1">
        <v>43909</v>
      </c>
      <c r="F662">
        <v>2</v>
      </c>
      <c r="G662" t="s">
        <v>55</v>
      </c>
      <c r="H662" t="s">
        <v>56</v>
      </c>
      <c r="I662" s="3">
        <v>1144</v>
      </c>
      <c r="J662" s="3">
        <v>1144</v>
      </c>
      <c r="K662" s="3">
        <v>460</v>
      </c>
      <c r="L662" t="s">
        <v>120</v>
      </c>
      <c r="M662">
        <v>13</v>
      </c>
      <c r="N662" t="s">
        <v>78</v>
      </c>
      <c r="O662" t="s">
        <v>70</v>
      </c>
      <c r="P662" t="s">
        <v>18</v>
      </c>
      <c r="Q662" t="s">
        <v>19</v>
      </c>
      <c r="R662" t="s">
        <v>138</v>
      </c>
      <c r="S662" t="s">
        <v>144</v>
      </c>
      <c r="T662" s="2">
        <f>MASTER[[#This Row],[CANTIDAD]]*MASTER[[#This Row],[PRECIO DE VENTA]]</f>
        <v>2288</v>
      </c>
      <c r="U662" s="2">
        <f>MASTER[[#This Row],[CANTIDAD]]*MASTER[[#This Row],[COSTO UNITARIO]]</f>
        <v>920</v>
      </c>
      <c r="V662" s="2">
        <f>MASTER[[#This Row],[MONTO VENDIDO]]-MASTER[[#This Row],[COSTO DE VENTA]]</f>
        <v>1368</v>
      </c>
    </row>
    <row r="663" spans="1:22" x14ac:dyDescent="0.3">
      <c r="A663">
        <v>18784</v>
      </c>
      <c r="B663">
        <v>1</v>
      </c>
      <c r="C663" t="s">
        <v>114</v>
      </c>
      <c r="D663" t="s">
        <v>115</v>
      </c>
      <c r="E663" s="1">
        <v>43909</v>
      </c>
      <c r="F663">
        <v>1</v>
      </c>
      <c r="G663" t="s">
        <v>53</v>
      </c>
      <c r="H663" t="s">
        <v>54</v>
      </c>
      <c r="I663" s="3">
        <v>1862</v>
      </c>
      <c r="J663" s="3">
        <v>1862</v>
      </c>
      <c r="K663" s="3">
        <v>394</v>
      </c>
      <c r="L663" t="s">
        <v>113</v>
      </c>
      <c r="M663">
        <v>19</v>
      </c>
      <c r="N663" t="s">
        <v>89</v>
      </c>
      <c r="O663" t="s">
        <v>81</v>
      </c>
      <c r="P663" t="s">
        <v>15</v>
      </c>
      <c r="Q663" t="s">
        <v>16</v>
      </c>
      <c r="R663" t="s">
        <v>16</v>
      </c>
      <c r="S663" t="s">
        <v>144</v>
      </c>
      <c r="T663" s="2">
        <f>MASTER[[#This Row],[CANTIDAD]]*MASTER[[#This Row],[PRECIO DE VENTA]]</f>
        <v>1862</v>
      </c>
      <c r="U663" s="2">
        <f>MASTER[[#This Row],[CANTIDAD]]*MASTER[[#This Row],[COSTO UNITARIO]]</f>
        <v>394</v>
      </c>
      <c r="V663" s="2">
        <f>MASTER[[#This Row],[MONTO VENDIDO]]-MASTER[[#This Row],[COSTO DE VENTA]]</f>
        <v>1468</v>
      </c>
    </row>
    <row r="664" spans="1:22" x14ac:dyDescent="0.3">
      <c r="A664">
        <v>18784</v>
      </c>
      <c r="B664">
        <v>2</v>
      </c>
      <c r="C664" t="s">
        <v>121</v>
      </c>
      <c r="D664" t="s">
        <v>122</v>
      </c>
      <c r="E664" s="1">
        <v>43909</v>
      </c>
      <c r="F664">
        <v>1</v>
      </c>
      <c r="G664" t="s">
        <v>53</v>
      </c>
      <c r="H664" t="s">
        <v>54</v>
      </c>
      <c r="I664" s="3">
        <v>1069</v>
      </c>
      <c r="J664" s="3">
        <v>1069</v>
      </c>
      <c r="K664" s="3">
        <v>460</v>
      </c>
      <c r="L664" t="s">
        <v>120</v>
      </c>
      <c r="M664">
        <v>19</v>
      </c>
      <c r="N664" t="s">
        <v>89</v>
      </c>
      <c r="O664" t="s">
        <v>81</v>
      </c>
      <c r="P664" t="s">
        <v>15</v>
      </c>
      <c r="Q664" t="s">
        <v>16</v>
      </c>
      <c r="R664" t="s">
        <v>16</v>
      </c>
      <c r="S664" t="s">
        <v>144</v>
      </c>
      <c r="T664" s="2">
        <f>MASTER[[#This Row],[CANTIDAD]]*MASTER[[#This Row],[PRECIO DE VENTA]]</f>
        <v>1069</v>
      </c>
      <c r="U664" s="2">
        <f>MASTER[[#This Row],[CANTIDAD]]*MASTER[[#This Row],[COSTO UNITARIO]]</f>
        <v>460</v>
      </c>
      <c r="V664" s="2">
        <f>MASTER[[#This Row],[MONTO VENDIDO]]-MASTER[[#This Row],[COSTO DE VENTA]]</f>
        <v>609</v>
      </c>
    </row>
    <row r="665" spans="1:22" x14ac:dyDescent="0.3">
      <c r="A665">
        <v>18796</v>
      </c>
      <c r="B665">
        <v>1</v>
      </c>
      <c r="C665" t="s">
        <v>109</v>
      </c>
      <c r="D665" t="s">
        <v>110</v>
      </c>
      <c r="E665" s="1">
        <v>43909</v>
      </c>
      <c r="F665">
        <v>1</v>
      </c>
      <c r="G665" t="s">
        <v>20</v>
      </c>
      <c r="H665" t="s">
        <v>21</v>
      </c>
      <c r="I665" s="3">
        <v>1128</v>
      </c>
      <c r="J665" s="3">
        <v>1128</v>
      </c>
      <c r="K665" s="3">
        <v>387</v>
      </c>
      <c r="L665" t="s">
        <v>98</v>
      </c>
      <c r="M665">
        <v>13</v>
      </c>
      <c r="N665" t="s">
        <v>78</v>
      </c>
      <c r="O665" t="s">
        <v>70</v>
      </c>
      <c r="P665" t="s">
        <v>18</v>
      </c>
      <c r="Q665" t="s">
        <v>19</v>
      </c>
      <c r="R665" t="s">
        <v>138</v>
      </c>
      <c r="S665" t="s">
        <v>144</v>
      </c>
      <c r="T665" s="2">
        <f>MASTER[[#This Row],[CANTIDAD]]*MASTER[[#This Row],[PRECIO DE VENTA]]</f>
        <v>1128</v>
      </c>
      <c r="U665" s="2">
        <f>MASTER[[#This Row],[CANTIDAD]]*MASTER[[#This Row],[COSTO UNITARIO]]</f>
        <v>387</v>
      </c>
      <c r="V665" s="2">
        <f>MASTER[[#This Row],[MONTO VENDIDO]]-MASTER[[#This Row],[COSTO DE VENTA]]</f>
        <v>741</v>
      </c>
    </row>
    <row r="666" spans="1:22" x14ac:dyDescent="0.3">
      <c r="A666">
        <v>18831</v>
      </c>
      <c r="B666">
        <v>1</v>
      </c>
      <c r="C666" t="s">
        <v>116</v>
      </c>
      <c r="D666" t="s">
        <v>117</v>
      </c>
      <c r="E666" s="1">
        <v>43910</v>
      </c>
      <c r="F666">
        <v>1</v>
      </c>
      <c r="G666" t="s">
        <v>43</v>
      </c>
      <c r="H666" t="s">
        <v>44</v>
      </c>
      <c r="I666" s="3">
        <v>1999</v>
      </c>
      <c r="J666" s="3">
        <v>1999</v>
      </c>
      <c r="K666" s="3">
        <v>388</v>
      </c>
      <c r="L666" t="s">
        <v>113</v>
      </c>
      <c r="M666">
        <v>9</v>
      </c>
      <c r="N666" t="s">
        <v>76</v>
      </c>
      <c r="O666" t="s">
        <v>70</v>
      </c>
      <c r="P666" t="s">
        <v>12</v>
      </c>
      <c r="Q666" t="s">
        <v>13</v>
      </c>
      <c r="R666" t="s">
        <v>13</v>
      </c>
      <c r="S666" t="s">
        <v>144</v>
      </c>
      <c r="T666" s="2">
        <f>MASTER[[#This Row],[CANTIDAD]]*MASTER[[#This Row],[PRECIO DE VENTA]]</f>
        <v>1999</v>
      </c>
      <c r="U666" s="2">
        <f>MASTER[[#This Row],[CANTIDAD]]*MASTER[[#This Row],[COSTO UNITARIO]]</f>
        <v>388</v>
      </c>
      <c r="V666" s="2">
        <f>MASTER[[#This Row],[MONTO VENDIDO]]-MASTER[[#This Row],[COSTO DE VENTA]]</f>
        <v>1611</v>
      </c>
    </row>
    <row r="667" spans="1:22" x14ac:dyDescent="0.3">
      <c r="A667">
        <v>18835</v>
      </c>
      <c r="B667">
        <v>1</v>
      </c>
      <c r="C667" t="s">
        <v>96</v>
      </c>
      <c r="D667" t="s">
        <v>97</v>
      </c>
      <c r="E667" s="1">
        <v>43910</v>
      </c>
      <c r="F667">
        <v>1</v>
      </c>
      <c r="G667" t="s">
        <v>24</v>
      </c>
      <c r="H667" t="s">
        <v>25</v>
      </c>
      <c r="I667" s="3">
        <v>1196</v>
      </c>
      <c r="J667" s="3">
        <v>1196</v>
      </c>
      <c r="K667" s="3">
        <v>397</v>
      </c>
      <c r="L667" t="s">
        <v>98</v>
      </c>
      <c r="M667">
        <v>17</v>
      </c>
      <c r="N667" t="s">
        <v>14</v>
      </c>
      <c r="O667" t="s">
        <v>11</v>
      </c>
      <c r="P667" t="s">
        <v>15</v>
      </c>
      <c r="Q667" t="s">
        <v>16</v>
      </c>
      <c r="R667" t="s">
        <v>16</v>
      </c>
      <c r="S667" t="s">
        <v>144</v>
      </c>
      <c r="T667" s="2">
        <f>MASTER[[#This Row],[CANTIDAD]]*MASTER[[#This Row],[PRECIO DE VENTA]]</f>
        <v>1196</v>
      </c>
      <c r="U667" s="2">
        <f>MASTER[[#This Row],[CANTIDAD]]*MASTER[[#This Row],[COSTO UNITARIO]]</f>
        <v>397</v>
      </c>
      <c r="V667" s="2">
        <f>MASTER[[#This Row],[MONTO VENDIDO]]-MASTER[[#This Row],[COSTO DE VENTA]]</f>
        <v>799</v>
      </c>
    </row>
    <row r="668" spans="1:22" x14ac:dyDescent="0.3">
      <c r="A668">
        <v>18874</v>
      </c>
      <c r="B668">
        <v>1</v>
      </c>
      <c r="C668" t="s">
        <v>5</v>
      </c>
      <c r="D668" t="s">
        <v>6</v>
      </c>
      <c r="E668" s="1">
        <v>43910</v>
      </c>
      <c r="F668">
        <v>1</v>
      </c>
      <c r="G668" t="s">
        <v>27</v>
      </c>
      <c r="H668" t="s">
        <v>28</v>
      </c>
      <c r="I668" s="3">
        <v>1507</v>
      </c>
      <c r="J668" s="3">
        <v>1507</v>
      </c>
      <c r="K668" s="3">
        <v>393</v>
      </c>
      <c r="L668" t="s">
        <v>9</v>
      </c>
      <c r="M668">
        <v>4</v>
      </c>
      <c r="N668" t="s">
        <v>82</v>
      </c>
      <c r="O668" t="s">
        <v>81</v>
      </c>
      <c r="P668" t="s">
        <v>71</v>
      </c>
      <c r="Q668" t="s">
        <v>72</v>
      </c>
      <c r="R668" t="s">
        <v>139</v>
      </c>
      <c r="S668" t="s">
        <v>144</v>
      </c>
      <c r="T668" s="2">
        <f>MASTER[[#This Row],[CANTIDAD]]*MASTER[[#This Row],[PRECIO DE VENTA]]</f>
        <v>1507</v>
      </c>
      <c r="U668" s="2">
        <f>MASTER[[#This Row],[CANTIDAD]]*MASTER[[#This Row],[COSTO UNITARIO]]</f>
        <v>393</v>
      </c>
      <c r="V668" s="2">
        <f>MASTER[[#This Row],[MONTO VENDIDO]]-MASTER[[#This Row],[COSTO DE VENTA]]</f>
        <v>1114</v>
      </c>
    </row>
    <row r="669" spans="1:22" x14ac:dyDescent="0.3">
      <c r="A669">
        <v>18884</v>
      </c>
      <c r="B669">
        <v>1</v>
      </c>
      <c r="C669" t="s">
        <v>96</v>
      </c>
      <c r="D669" t="s">
        <v>97</v>
      </c>
      <c r="E669" s="1">
        <v>43910</v>
      </c>
      <c r="F669">
        <v>1</v>
      </c>
      <c r="G669" t="s">
        <v>33</v>
      </c>
      <c r="H669" t="s">
        <v>34</v>
      </c>
      <c r="I669" s="3">
        <v>1361</v>
      </c>
      <c r="J669" s="3">
        <v>1361</v>
      </c>
      <c r="K669" s="3">
        <v>397</v>
      </c>
      <c r="L669" t="s">
        <v>98</v>
      </c>
      <c r="M669">
        <v>6</v>
      </c>
      <c r="N669" t="s">
        <v>75</v>
      </c>
      <c r="O669" t="s">
        <v>70</v>
      </c>
      <c r="P669" t="s">
        <v>12</v>
      </c>
      <c r="Q669" t="s">
        <v>13</v>
      </c>
      <c r="R669" t="s">
        <v>13</v>
      </c>
      <c r="S669" t="s">
        <v>144</v>
      </c>
      <c r="T669" s="2">
        <f>MASTER[[#This Row],[CANTIDAD]]*MASTER[[#This Row],[PRECIO DE VENTA]]</f>
        <v>1361</v>
      </c>
      <c r="U669" s="2">
        <f>MASTER[[#This Row],[CANTIDAD]]*MASTER[[#This Row],[COSTO UNITARIO]]</f>
        <v>397</v>
      </c>
      <c r="V669" s="2">
        <f>MASTER[[#This Row],[MONTO VENDIDO]]-MASTER[[#This Row],[COSTO DE VENTA]]</f>
        <v>964</v>
      </c>
    </row>
    <row r="670" spans="1:22" x14ac:dyDescent="0.3">
      <c r="A670">
        <v>18888</v>
      </c>
      <c r="B670">
        <v>1</v>
      </c>
      <c r="C670" t="s">
        <v>92</v>
      </c>
      <c r="D670" t="s">
        <v>93</v>
      </c>
      <c r="E670" s="1">
        <v>43910</v>
      </c>
      <c r="F670">
        <v>1</v>
      </c>
      <c r="G670" t="s">
        <v>39</v>
      </c>
      <c r="H670" t="s">
        <v>40</v>
      </c>
      <c r="I670" s="3">
        <v>1479</v>
      </c>
      <c r="J670" s="3">
        <v>1479</v>
      </c>
      <c r="K670" s="3">
        <v>396</v>
      </c>
      <c r="L670" t="s">
        <v>9</v>
      </c>
      <c r="M670">
        <v>17</v>
      </c>
      <c r="N670" t="s">
        <v>14</v>
      </c>
      <c r="O670" t="s">
        <v>11</v>
      </c>
      <c r="P670" t="s">
        <v>15</v>
      </c>
      <c r="Q670" t="s">
        <v>16</v>
      </c>
      <c r="R670" t="s">
        <v>16</v>
      </c>
      <c r="S670" t="s">
        <v>144</v>
      </c>
      <c r="T670" s="2">
        <f>MASTER[[#This Row],[CANTIDAD]]*MASTER[[#This Row],[PRECIO DE VENTA]]</f>
        <v>1479</v>
      </c>
      <c r="U670" s="2">
        <f>MASTER[[#This Row],[CANTIDAD]]*MASTER[[#This Row],[COSTO UNITARIO]]</f>
        <v>396</v>
      </c>
      <c r="V670" s="2">
        <f>MASTER[[#This Row],[MONTO VENDIDO]]-MASTER[[#This Row],[COSTO DE VENTA]]</f>
        <v>1083</v>
      </c>
    </row>
    <row r="671" spans="1:22" x14ac:dyDescent="0.3">
      <c r="A671">
        <v>18890</v>
      </c>
      <c r="B671">
        <v>1</v>
      </c>
      <c r="C671" t="s">
        <v>99</v>
      </c>
      <c r="D671" t="s">
        <v>100</v>
      </c>
      <c r="E671" s="1">
        <v>43910</v>
      </c>
      <c r="F671">
        <v>1</v>
      </c>
      <c r="G671" t="s">
        <v>53</v>
      </c>
      <c r="H671" t="s">
        <v>54</v>
      </c>
      <c r="I671" s="3">
        <v>1459</v>
      </c>
      <c r="J671" s="3">
        <v>1459</v>
      </c>
      <c r="K671" s="3">
        <v>386</v>
      </c>
      <c r="L671" t="s">
        <v>98</v>
      </c>
      <c r="M671">
        <v>19</v>
      </c>
      <c r="N671" t="s">
        <v>89</v>
      </c>
      <c r="O671" t="s">
        <v>81</v>
      </c>
      <c r="P671" t="s">
        <v>15</v>
      </c>
      <c r="Q671" t="s">
        <v>16</v>
      </c>
      <c r="R671" t="s">
        <v>16</v>
      </c>
      <c r="S671" t="s">
        <v>144</v>
      </c>
      <c r="T671" s="2">
        <f>MASTER[[#This Row],[CANTIDAD]]*MASTER[[#This Row],[PRECIO DE VENTA]]</f>
        <v>1459</v>
      </c>
      <c r="U671" s="2">
        <f>MASTER[[#This Row],[CANTIDAD]]*MASTER[[#This Row],[COSTO UNITARIO]]</f>
        <v>386</v>
      </c>
      <c r="V671" s="2">
        <f>MASTER[[#This Row],[MONTO VENDIDO]]-MASTER[[#This Row],[COSTO DE VENTA]]</f>
        <v>1073</v>
      </c>
    </row>
    <row r="672" spans="1:22" x14ac:dyDescent="0.3">
      <c r="A672">
        <v>18898</v>
      </c>
      <c r="B672">
        <v>1</v>
      </c>
      <c r="C672" t="s">
        <v>121</v>
      </c>
      <c r="D672" t="s">
        <v>122</v>
      </c>
      <c r="E672" s="1">
        <v>43911</v>
      </c>
      <c r="F672">
        <v>1</v>
      </c>
      <c r="G672" t="s">
        <v>31</v>
      </c>
      <c r="H672" t="s">
        <v>32</v>
      </c>
      <c r="I672" s="3">
        <v>1069</v>
      </c>
      <c r="J672" s="3">
        <v>1069</v>
      </c>
      <c r="K672" s="3">
        <v>460</v>
      </c>
      <c r="L672" t="s">
        <v>120</v>
      </c>
      <c r="M672">
        <v>10</v>
      </c>
      <c r="N672" t="s">
        <v>83</v>
      </c>
      <c r="O672" t="s">
        <v>81</v>
      </c>
      <c r="P672" t="s">
        <v>12</v>
      </c>
      <c r="Q672" t="s">
        <v>13</v>
      </c>
      <c r="R672" t="s">
        <v>13</v>
      </c>
      <c r="S672" t="s">
        <v>144</v>
      </c>
      <c r="T672" s="2">
        <f>MASTER[[#This Row],[CANTIDAD]]*MASTER[[#This Row],[PRECIO DE VENTA]]</f>
        <v>1069</v>
      </c>
      <c r="U672" s="2">
        <f>MASTER[[#This Row],[CANTIDAD]]*MASTER[[#This Row],[COSTO UNITARIO]]</f>
        <v>460</v>
      </c>
      <c r="V672" s="2">
        <f>MASTER[[#This Row],[MONTO VENDIDO]]-MASTER[[#This Row],[COSTO DE VENTA]]</f>
        <v>609</v>
      </c>
    </row>
    <row r="673" spans="1:22" x14ac:dyDescent="0.3">
      <c r="A673">
        <v>18927</v>
      </c>
      <c r="B673">
        <v>1</v>
      </c>
      <c r="C673" t="s">
        <v>92</v>
      </c>
      <c r="D673" t="s">
        <v>93</v>
      </c>
      <c r="E673" s="1">
        <v>43911</v>
      </c>
      <c r="F673">
        <v>1</v>
      </c>
      <c r="G673" t="s">
        <v>35</v>
      </c>
      <c r="H673" t="s">
        <v>36</v>
      </c>
      <c r="I673" s="3">
        <v>1866</v>
      </c>
      <c r="J673" s="3">
        <v>1866</v>
      </c>
      <c r="K673" s="3">
        <v>396</v>
      </c>
      <c r="L673" t="s">
        <v>9</v>
      </c>
      <c r="M673">
        <v>13</v>
      </c>
      <c r="N673" t="s">
        <v>78</v>
      </c>
      <c r="O673" t="s">
        <v>70</v>
      </c>
      <c r="P673" t="s">
        <v>18</v>
      </c>
      <c r="Q673" t="s">
        <v>19</v>
      </c>
      <c r="R673" t="s">
        <v>138</v>
      </c>
      <c r="S673" t="s">
        <v>144</v>
      </c>
      <c r="T673" s="2">
        <f>MASTER[[#This Row],[CANTIDAD]]*MASTER[[#This Row],[PRECIO DE VENTA]]</f>
        <v>1866</v>
      </c>
      <c r="U673" s="2">
        <f>MASTER[[#This Row],[CANTIDAD]]*MASTER[[#This Row],[COSTO UNITARIO]]</f>
        <v>396</v>
      </c>
      <c r="V673" s="2">
        <f>MASTER[[#This Row],[MONTO VENDIDO]]-MASTER[[#This Row],[COSTO DE VENTA]]</f>
        <v>1470</v>
      </c>
    </row>
    <row r="674" spans="1:22" x14ac:dyDescent="0.3">
      <c r="A674">
        <v>18929</v>
      </c>
      <c r="B674">
        <v>1</v>
      </c>
      <c r="C674" t="s">
        <v>96</v>
      </c>
      <c r="D674" t="s">
        <v>97</v>
      </c>
      <c r="E674" s="1">
        <v>43911</v>
      </c>
      <c r="F674">
        <v>1</v>
      </c>
      <c r="G674" t="s">
        <v>27</v>
      </c>
      <c r="H674" t="s">
        <v>28</v>
      </c>
      <c r="I674" s="3">
        <v>1361</v>
      </c>
      <c r="J674" s="3">
        <v>1361</v>
      </c>
      <c r="K674" s="3">
        <v>397</v>
      </c>
      <c r="L674" t="s">
        <v>98</v>
      </c>
      <c r="M674">
        <v>9</v>
      </c>
      <c r="N674" t="s">
        <v>76</v>
      </c>
      <c r="O674" t="s">
        <v>70</v>
      </c>
      <c r="P674" t="s">
        <v>12</v>
      </c>
      <c r="Q674" t="s">
        <v>13</v>
      </c>
      <c r="R674" t="s">
        <v>13</v>
      </c>
      <c r="S674" t="s">
        <v>144</v>
      </c>
      <c r="T674" s="2">
        <f>MASTER[[#This Row],[CANTIDAD]]*MASTER[[#This Row],[PRECIO DE VENTA]]</f>
        <v>1361</v>
      </c>
      <c r="U674" s="2">
        <f>MASTER[[#This Row],[CANTIDAD]]*MASTER[[#This Row],[COSTO UNITARIO]]</f>
        <v>397</v>
      </c>
      <c r="V674" s="2">
        <f>MASTER[[#This Row],[MONTO VENDIDO]]-MASTER[[#This Row],[COSTO DE VENTA]]</f>
        <v>964</v>
      </c>
    </row>
    <row r="675" spans="1:22" x14ac:dyDescent="0.3">
      <c r="A675">
        <v>18948</v>
      </c>
      <c r="B675">
        <v>1</v>
      </c>
      <c r="C675" t="s">
        <v>101</v>
      </c>
      <c r="D675" t="s">
        <v>102</v>
      </c>
      <c r="E675" s="1">
        <v>43911</v>
      </c>
      <c r="F675">
        <v>4</v>
      </c>
      <c r="G675" t="s">
        <v>22</v>
      </c>
      <c r="H675" t="s">
        <v>23</v>
      </c>
      <c r="I675" s="3">
        <v>1357</v>
      </c>
      <c r="J675" s="3">
        <v>1357</v>
      </c>
      <c r="K675" s="3">
        <v>442</v>
      </c>
      <c r="L675" t="s">
        <v>98</v>
      </c>
      <c r="M675">
        <v>3</v>
      </c>
      <c r="N675" t="s">
        <v>69</v>
      </c>
      <c r="O675" t="s">
        <v>70</v>
      </c>
      <c r="P675" t="s">
        <v>71</v>
      </c>
      <c r="Q675" t="s">
        <v>72</v>
      </c>
      <c r="R675" t="s">
        <v>139</v>
      </c>
      <c r="S675" t="s">
        <v>144</v>
      </c>
      <c r="T675" s="2">
        <f>MASTER[[#This Row],[CANTIDAD]]*MASTER[[#This Row],[PRECIO DE VENTA]]</f>
        <v>5428</v>
      </c>
      <c r="U675" s="2">
        <f>MASTER[[#This Row],[CANTIDAD]]*MASTER[[#This Row],[COSTO UNITARIO]]</f>
        <v>1768</v>
      </c>
      <c r="V675" s="2">
        <f>MASTER[[#This Row],[MONTO VENDIDO]]-MASTER[[#This Row],[COSTO DE VENTA]]</f>
        <v>3660</v>
      </c>
    </row>
    <row r="676" spans="1:22" x14ac:dyDescent="0.3">
      <c r="A676">
        <v>18961</v>
      </c>
      <c r="B676">
        <v>1</v>
      </c>
      <c r="C676" t="s">
        <v>92</v>
      </c>
      <c r="D676" t="s">
        <v>93</v>
      </c>
      <c r="E676" s="1">
        <v>43911</v>
      </c>
      <c r="F676">
        <v>1</v>
      </c>
      <c r="G676" t="s">
        <v>45</v>
      </c>
      <c r="H676" t="s">
        <v>46</v>
      </c>
      <c r="I676" s="3">
        <v>1681</v>
      </c>
      <c r="J676" s="3">
        <v>1681</v>
      </c>
      <c r="K676" s="3">
        <v>396</v>
      </c>
      <c r="L676" t="s">
        <v>9</v>
      </c>
      <c r="M676">
        <v>2</v>
      </c>
      <c r="N676" t="s">
        <v>86</v>
      </c>
      <c r="O676" t="s">
        <v>81</v>
      </c>
      <c r="P676" t="s">
        <v>71</v>
      </c>
      <c r="Q676" t="s">
        <v>72</v>
      </c>
      <c r="R676" t="s">
        <v>139</v>
      </c>
      <c r="S676" t="s">
        <v>144</v>
      </c>
      <c r="T676" s="2">
        <f>MASTER[[#This Row],[CANTIDAD]]*MASTER[[#This Row],[PRECIO DE VENTA]]</f>
        <v>1681</v>
      </c>
      <c r="U676" s="2">
        <f>MASTER[[#This Row],[CANTIDAD]]*MASTER[[#This Row],[COSTO UNITARIO]]</f>
        <v>396</v>
      </c>
      <c r="V676" s="2">
        <f>MASTER[[#This Row],[MONTO VENDIDO]]-MASTER[[#This Row],[COSTO DE VENTA]]</f>
        <v>1285</v>
      </c>
    </row>
    <row r="677" spans="1:22" x14ac:dyDescent="0.3">
      <c r="A677">
        <v>18970</v>
      </c>
      <c r="B677">
        <v>1</v>
      </c>
      <c r="C677" t="s">
        <v>107</v>
      </c>
      <c r="D677" t="s">
        <v>108</v>
      </c>
      <c r="E677" s="1">
        <v>43912</v>
      </c>
      <c r="F677">
        <v>1</v>
      </c>
      <c r="G677" t="s">
        <v>53</v>
      </c>
      <c r="H677" t="s">
        <v>54</v>
      </c>
      <c r="I677" s="3">
        <v>1333</v>
      </c>
      <c r="J677" s="3">
        <v>1333</v>
      </c>
      <c r="K677" s="3">
        <v>380</v>
      </c>
      <c r="L677" t="s">
        <v>98</v>
      </c>
      <c r="M677">
        <v>10</v>
      </c>
      <c r="N677" t="s">
        <v>83</v>
      </c>
      <c r="O677" t="s">
        <v>81</v>
      </c>
      <c r="P677" t="s">
        <v>12</v>
      </c>
      <c r="Q677" t="s">
        <v>13</v>
      </c>
      <c r="R677" t="s">
        <v>13</v>
      </c>
      <c r="S677" t="s">
        <v>144</v>
      </c>
      <c r="T677" s="2">
        <f>MASTER[[#This Row],[CANTIDAD]]*MASTER[[#This Row],[PRECIO DE VENTA]]</f>
        <v>1333</v>
      </c>
      <c r="U677" s="2">
        <f>MASTER[[#This Row],[CANTIDAD]]*MASTER[[#This Row],[COSTO UNITARIO]]</f>
        <v>380</v>
      </c>
      <c r="V677" s="2">
        <f>MASTER[[#This Row],[MONTO VENDIDO]]-MASTER[[#This Row],[COSTO DE VENTA]]</f>
        <v>953</v>
      </c>
    </row>
    <row r="678" spans="1:22" x14ac:dyDescent="0.3">
      <c r="A678">
        <v>18978</v>
      </c>
      <c r="B678">
        <v>1</v>
      </c>
      <c r="C678" t="s">
        <v>105</v>
      </c>
      <c r="D678" t="s">
        <v>106</v>
      </c>
      <c r="E678" s="1">
        <v>43912</v>
      </c>
      <c r="F678">
        <v>1</v>
      </c>
      <c r="G678" t="s">
        <v>45</v>
      </c>
      <c r="H678" t="s">
        <v>46</v>
      </c>
      <c r="I678" s="3">
        <v>1865</v>
      </c>
      <c r="J678" s="3">
        <v>1865</v>
      </c>
      <c r="K678" s="3">
        <v>459</v>
      </c>
      <c r="L678" t="s">
        <v>98</v>
      </c>
      <c r="M678">
        <v>8</v>
      </c>
      <c r="N678" t="s">
        <v>80</v>
      </c>
      <c r="O678" t="s">
        <v>81</v>
      </c>
      <c r="P678" t="s">
        <v>12</v>
      </c>
      <c r="Q678" t="s">
        <v>13</v>
      </c>
      <c r="R678" t="s">
        <v>13</v>
      </c>
      <c r="S678" t="s">
        <v>144</v>
      </c>
      <c r="T678" s="2">
        <f>MASTER[[#This Row],[CANTIDAD]]*MASTER[[#This Row],[PRECIO DE VENTA]]</f>
        <v>1865</v>
      </c>
      <c r="U678" s="2">
        <f>MASTER[[#This Row],[CANTIDAD]]*MASTER[[#This Row],[COSTO UNITARIO]]</f>
        <v>459</v>
      </c>
      <c r="V678" s="2">
        <f>MASTER[[#This Row],[MONTO VENDIDO]]-MASTER[[#This Row],[COSTO DE VENTA]]</f>
        <v>1406</v>
      </c>
    </row>
    <row r="679" spans="1:22" x14ac:dyDescent="0.3">
      <c r="A679">
        <v>18994</v>
      </c>
      <c r="B679">
        <v>1</v>
      </c>
      <c r="C679" t="s">
        <v>5</v>
      </c>
      <c r="D679" t="s">
        <v>6</v>
      </c>
      <c r="E679" s="1">
        <v>43912</v>
      </c>
      <c r="F679">
        <v>1</v>
      </c>
      <c r="G679" t="s">
        <v>24</v>
      </c>
      <c r="H679" t="s">
        <v>25</v>
      </c>
      <c r="I679" s="3">
        <v>1296</v>
      </c>
      <c r="J679" s="3">
        <v>1296</v>
      </c>
      <c r="K679" s="3">
        <v>393</v>
      </c>
      <c r="L679" t="s">
        <v>9</v>
      </c>
      <c r="M679">
        <v>1</v>
      </c>
      <c r="N679" t="s">
        <v>77</v>
      </c>
      <c r="O679" t="s">
        <v>70</v>
      </c>
      <c r="P679" t="s">
        <v>71</v>
      </c>
      <c r="Q679" t="s">
        <v>72</v>
      </c>
      <c r="R679" t="s">
        <v>139</v>
      </c>
      <c r="S679" t="s">
        <v>144</v>
      </c>
      <c r="T679" s="2">
        <f>MASTER[[#This Row],[CANTIDAD]]*MASTER[[#This Row],[PRECIO DE VENTA]]</f>
        <v>1296</v>
      </c>
      <c r="U679" s="2">
        <f>MASTER[[#This Row],[CANTIDAD]]*MASTER[[#This Row],[COSTO UNITARIO]]</f>
        <v>393</v>
      </c>
      <c r="V679" s="2">
        <f>MASTER[[#This Row],[MONTO VENDIDO]]-MASTER[[#This Row],[COSTO DE VENTA]]</f>
        <v>903</v>
      </c>
    </row>
    <row r="680" spans="1:22" x14ac:dyDescent="0.3">
      <c r="A680">
        <v>19001</v>
      </c>
      <c r="B680">
        <v>1</v>
      </c>
      <c r="C680" t="s">
        <v>99</v>
      </c>
      <c r="D680" t="s">
        <v>100</v>
      </c>
      <c r="E680" s="1">
        <v>43912</v>
      </c>
      <c r="F680">
        <v>1</v>
      </c>
      <c r="G680" t="s">
        <v>7</v>
      </c>
      <c r="H680" t="s">
        <v>8</v>
      </c>
      <c r="I680" s="3">
        <v>1678</v>
      </c>
      <c r="J680" s="3">
        <v>1678</v>
      </c>
      <c r="K680" s="3">
        <v>386</v>
      </c>
      <c r="L680" t="s">
        <v>98</v>
      </c>
      <c r="M680">
        <v>9</v>
      </c>
      <c r="N680" t="s">
        <v>76</v>
      </c>
      <c r="O680" t="s">
        <v>70</v>
      </c>
      <c r="P680" t="s">
        <v>12</v>
      </c>
      <c r="Q680" t="s">
        <v>13</v>
      </c>
      <c r="R680" t="s">
        <v>13</v>
      </c>
      <c r="S680" t="s">
        <v>144</v>
      </c>
      <c r="T680" s="2">
        <f>MASTER[[#This Row],[CANTIDAD]]*MASTER[[#This Row],[PRECIO DE VENTA]]</f>
        <v>1678</v>
      </c>
      <c r="U680" s="2">
        <f>MASTER[[#This Row],[CANTIDAD]]*MASTER[[#This Row],[COSTO UNITARIO]]</f>
        <v>386</v>
      </c>
      <c r="V680" s="2">
        <f>MASTER[[#This Row],[MONTO VENDIDO]]-MASTER[[#This Row],[COSTO DE VENTA]]</f>
        <v>1292</v>
      </c>
    </row>
    <row r="681" spans="1:22" x14ac:dyDescent="0.3">
      <c r="A681">
        <v>19002</v>
      </c>
      <c r="B681">
        <v>1</v>
      </c>
      <c r="C681" t="s">
        <v>107</v>
      </c>
      <c r="D681" t="s">
        <v>108</v>
      </c>
      <c r="E681" s="1">
        <v>43912</v>
      </c>
      <c r="F681">
        <v>1</v>
      </c>
      <c r="G681" t="s">
        <v>20</v>
      </c>
      <c r="H681" t="s">
        <v>21</v>
      </c>
      <c r="I681" s="3">
        <v>1333</v>
      </c>
      <c r="J681" s="3">
        <v>1213</v>
      </c>
      <c r="K681" s="3">
        <v>380</v>
      </c>
      <c r="L681" t="s">
        <v>98</v>
      </c>
      <c r="M681">
        <v>14</v>
      </c>
      <c r="N681" t="s">
        <v>87</v>
      </c>
      <c r="O681" t="s">
        <v>81</v>
      </c>
      <c r="P681" t="s">
        <v>18</v>
      </c>
      <c r="Q681" t="s">
        <v>19</v>
      </c>
      <c r="R681" t="s">
        <v>138</v>
      </c>
      <c r="S681" t="s">
        <v>144</v>
      </c>
      <c r="T681" s="2">
        <f>MASTER[[#This Row],[CANTIDAD]]*MASTER[[#This Row],[PRECIO DE VENTA]]</f>
        <v>1213</v>
      </c>
      <c r="U681" s="2">
        <f>MASTER[[#This Row],[CANTIDAD]]*MASTER[[#This Row],[COSTO UNITARIO]]</f>
        <v>380</v>
      </c>
      <c r="V681" s="2">
        <f>MASTER[[#This Row],[MONTO VENDIDO]]-MASTER[[#This Row],[COSTO DE VENTA]]</f>
        <v>833</v>
      </c>
    </row>
    <row r="682" spans="1:22" x14ac:dyDescent="0.3">
      <c r="A682">
        <v>19035</v>
      </c>
      <c r="B682">
        <v>1</v>
      </c>
      <c r="C682" t="s">
        <v>118</v>
      </c>
      <c r="D682" t="s">
        <v>119</v>
      </c>
      <c r="E682" s="1">
        <v>43912</v>
      </c>
      <c r="F682">
        <v>1</v>
      </c>
      <c r="G682" t="s">
        <v>35</v>
      </c>
      <c r="H682" t="s">
        <v>36</v>
      </c>
      <c r="I682" s="3">
        <v>900</v>
      </c>
      <c r="J682" s="3">
        <v>900</v>
      </c>
      <c r="K682" s="3">
        <v>424</v>
      </c>
      <c r="L682" t="s">
        <v>120</v>
      </c>
      <c r="M682">
        <v>5</v>
      </c>
      <c r="N682" t="s">
        <v>85</v>
      </c>
      <c r="O682" t="s">
        <v>81</v>
      </c>
      <c r="P682" t="s">
        <v>12</v>
      </c>
      <c r="Q682" t="s">
        <v>13</v>
      </c>
      <c r="R682" t="s">
        <v>13</v>
      </c>
      <c r="S682" t="s">
        <v>144</v>
      </c>
      <c r="T682" s="2">
        <f>MASTER[[#This Row],[CANTIDAD]]*MASTER[[#This Row],[PRECIO DE VENTA]]</f>
        <v>900</v>
      </c>
      <c r="U682" s="2">
        <f>MASTER[[#This Row],[CANTIDAD]]*MASTER[[#This Row],[COSTO UNITARIO]]</f>
        <v>424</v>
      </c>
      <c r="V682" s="2">
        <f>MASTER[[#This Row],[MONTO VENDIDO]]-MASTER[[#This Row],[COSTO DE VENTA]]</f>
        <v>476</v>
      </c>
    </row>
    <row r="683" spans="1:22" x14ac:dyDescent="0.3">
      <c r="A683">
        <v>19035</v>
      </c>
      <c r="B683">
        <v>2</v>
      </c>
      <c r="C683" t="s">
        <v>118</v>
      </c>
      <c r="D683" t="s">
        <v>119</v>
      </c>
      <c r="E683" s="1">
        <v>43912</v>
      </c>
      <c r="F683">
        <v>1</v>
      </c>
      <c r="G683" t="s">
        <v>51</v>
      </c>
      <c r="H683" t="s">
        <v>52</v>
      </c>
      <c r="I683" s="3">
        <v>900</v>
      </c>
      <c r="J683" s="3">
        <v>900</v>
      </c>
      <c r="K683" s="3">
        <v>424</v>
      </c>
      <c r="L683" t="s">
        <v>120</v>
      </c>
      <c r="M683">
        <v>5</v>
      </c>
      <c r="N683" t="s">
        <v>85</v>
      </c>
      <c r="O683" t="s">
        <v>81</v>
      </c>
      <c r="P683" t="s">
        <v>12</v>
      </c>
      <c r="Q683" t="s">
        <v>13</v>
      </c>
      <c r="R683" t="s">
        <v>13</v>
      </c>
      <c r="S683" t="s">
        <v>144</v>
      </c>
      <c r="T683" s="2">
        <f>MASTER[[#This Row],[CANTIDAD]]*MASTER[[#This Row],[PRECIO DE VENTA]]</f>
        <v>900</v>
      </c>
      <c r="U683" s="2">
        <f>MASTER[[#This Row],[CANTIDAD]]*MASTER[[#This Row],[COSTO UNITARIO]]</f>
        <v>424</v>
      </c>
      <c r="V683" s="2">
        <f>MASTER[[#This Row],[MONTO VENDIDO]]-MASTER[[#This Row],[COSTO DE VENTA]]</f>
        <v>476</v>
      </c>
    </row>
    <row r="684" spans="1:22" x14ac:dyDescent="0.3">
      <c r="A684">
        <v>19094</v>
      </c>
      <c r="B684">
        <v>1</v>
      </c>
      <c r="C684" t="s">
        <v>92</v>
      </c>
      <c r="D684" t="s">
        <v>93</v>
      </c>
      <c r="E684" s="1">
        <v>43912</v>
      </c>
      <c r="F684">
        <v>1</v>
      </c>
      <c r="G684" t="s">
        <v>47</v>
      </c>
      <c r="H684" t="s">
        <v>48</v>
      </c>
      <c r="I684" s="3">
        <v>1681</v>
      </c>
      <c r="J684" s="3">
        <v>1681</v>
      </c>
      <c r="K684" s="3">
        <v>396</v>
      </c>
      <c r="L684" t="s">
        <v>9</v>
      </c>
      <c r="M684">
        <v>8</v>
      </c>
      <c r="N684" t="s">
        <v>80</v>
      </c>
      <c r="O684" t="s">
        <v>81</v>
      </c>
      <c r="P684" t="s">
        <v>12</v>
      </c>
      <c r="Q684" t="s">
        <v>13</v>
      </c>
      <c r="R684" t="s">
        <v>13</v>
      </c>
      <c r="S684" t="s">
        <v>144</v>
      </c>
      <c r="T684" s="2">
        <f>MASTER[[#This Row],[CANTIDAD]]*MASTER[[#This Row],[PRECIO DE VENTA]]</f>
        <v>1681</v>
      </c>
      <c r="U684" s="2">
        <f>MASTER[[#This Row],[CANTIDAD]]*MASTER[[#This Row],[COSTO UNITARIO]]</f>
        <v>396</v>
      </c>
      <c r="V684" s="2">
        <f>MASTER[[#This Row],[MONTO VENDIDO]]-MASTER[[#This Row],[COSTO DE VENTA]]</f>
        <v>1285</v>
      </c>
    </row>
    <row r="685" spans="1:22" x14ac:dyDescent="0.3">
      <c r="A685">
        <v>19101</v>
      </c>
      <c r="B685">
        <v>1</v>
      </c>
      <c r="C685" t="s">
        <v>92</v>
      </c>
      <c r="D685" t="s">
        <v>93</v>
      </c>
      <c r="E685" s="1">
        <v>43912</v>
      </c>
      <c r="F685">
        <v>1</v>
      </c>
      <c r="G685" t="s">
        <v>49</v>
      </c>
      <c r="H685" t="s">
        <v>50</v>
      </c>
      <c r="I685" s="3">
        <v>1681</v>
      </c>
      <c r="J685" s="3">
        <v>1681</v>
      </c>
      <c r="K685" s="3">
        <v>396</v>
      </c>
      <c r="L685" t="s">
        <v>9</v>
      </c>
      <c r="M685">
        <v>19</v>
      </c>
      <c r="N685" t="s">
        <v>89</v>
      </c>
      <c r="O685" t="s">
        <v>81</v>
      </c>
      <c r="P685" t="s">
        <v>15</v>
      </c>
      <c r="Q685" t="s">
        <v>16</v>
      </c>
      <c r="R685" t="s">
        <v>16</v>
      </c>
      <c r="S685" t="s">
        <v>144</v>
      </c>
      <c r="T685" s="2">
        <f>MASTER[[#This Row],[CANTIDAD]]*MASTER[[#This Row],[PRECIO DE VENTA]]</f>
        <v>1681</v>
      </c>
      <c r="U685" s="2">
        <f>MASTER[[#This Row],[CANTIDAD]]*MASTER[[#This Row],[COSTO UNITARIO]]</f>
        <v>396</v>
      </c>
      <c r="V685" s="2">
        <f>MASTER[[#This Row],[MONTO VENDIDO]]-MASTER[[#This Row],[COSTO DE VENTA]]</f>
        <v>1285</v>
      </c>
    </row>
    <row r="686" spans="1:22" x14ac:dyDescent="0.3">
      <c r="A686">
        <v>19121</v>
      </c>
      <c r="B686">
        <v>1</v>
      </c>
      <c r="C686" t="s">
        <v>99</v>
      </c>
      <c r="D686" t="s">
        <v>100</v>
      </c>
      <c r="E686" s="1">
        <v>43912</v>
      </c>
      <c r="F686">
        <v>1</v>
      </c>
      <c r="G686" t="s">
        <v>59</v>
      </c>
      <c r="H686" t="s">
        <v>60</v>
      </c>
      <c r="I686" s="3">
        <v>1678</v>
      </c>
      <c r="J686" s="3">
        <v>1678</v>
      </c>
      <c r="K686" s="3">
        <v>386</v>
      </c>
      <c r="L686" t="s">
        <v>98</v>
      </c>
      <c r="M686">
        <v>6</v>
      </c>
      <c r="N686" t="s">
        <v>75</v>
      </c>
      <c r="O686" t="s">
        <v>70</v>
      </c>
      <c r="P686" t="s">
        <v>12</v>
      </c>
      <c r="Q686" t="s">
        <v>13</v>
      </c>
      <c r="R686" t="s">
        <v>13</v>
      </c>
      <c r="S686" t="s">
        <v>144</v>
      </c>
      <c r="T686" s="2">
        <f>MASTER[[#This Row],[CANTIDAD]]*MASTER[[#This Row],[PRECIO DE VENTA]]</f>
        <v>1678</v>
      </c>
      <c r="U686" s="2">
        <f>MASTER[[#This Row],[CANTIDAD]]*MASTER[[#This Row],[COSTO UNITARIO]]</f>
        <v>386</v>
      </c>
      <c r="V686" s="2">
        <f>MASTER[[#This Row],[MONTO VENDIDO]]-MASTER[[#This Row],[COSTO DE VENTA]]</f>
        <v>1292</v>
      </c>
    </row>
    <row r="687" spans="1:22" x14ac:dyDescent="0.3">
      <c r="A687">
        <v>19125</v>
      </c>
      <c r="B687">
        <v>1</v>
      </c>
      <c r="C687" t="s">
        <v>111</v>
      </c>
      <c r="D687" t="s">
        <v>112</v>
      </c>
      <c r="E687" s="1">
        <v>43913</v>
      </c>
      <c r="F687">
        <v>1</v>
      </c>
      <c r="G687" t="s">
        <v>47</v>
      </c>
      <c r="H687" t="s">
        <v>48</v>
      </c>
      <c r="I687" s="3">
        <v>1621</v>
      </c>
      <c r="J687" s="3">
        <v>1621</v>
      </c>
      <c r="K687" s="3">
        <v>434</v>
      </c>
      <c r="L687" t="s">
        <v>113</v>
      </c>
      <c r="M687">
        <v>5</v>
      </c>
      <c r="N687" t="s">
        <v>85</v>
      </c>
      <c r="O687" t="s">
        <v>81</v>
      </c>
      <c r="P687" t="s">
        <v>12</v>
      </c>
      <c r="Q687" t="s">
        <v>13</v>
      </c>
      <c r="R687" t="s">
        <v>13</v>
      </c>
      <c r="S687" t="s">
        <v>144</v>
      </c>
      <c r="T687" s="2">
        <f>MASTER[[#This Row],[CANTIDAD]]*MASTER[[#This Row],[PRECIO DE VENTA]]</f>
        <v>1621</v>
      </c>
      <c r="U687" s="2">
        <f>MASTER[[#This Row],[CANTIDAD]]*MASTER[[#This Row],[COSTO UNITARIO]]</f>
        <v>434</v>
      </c>
      <c r="V687" s="2">
        <f>MASTER[[#This Row],[MONTO VENDIDO]]-MASTER[[#This Row],[COSTO DE VENTA]]</f>
        <v>1187</v>
      </c>
    </row>
    <row r="688" spans="1:22" x14ac:dyDescent="0.3">
      <c r="A688">
        <v>19149</v>
      </c>
      <c r="B688">
        <v>1</v>
      </c>
      <c r="C688" t="s">
        <v>96</v>
      </c>
      <c r="D688" t="s">
        <v>97</v>
      </c>
      <c r="E688" s="1">
        <v>43913</v>
      </c>
      <c r="F688">
        <v>1</v>
      </c>
      <c r="G688" t="s">
        <v>47</v>
      </c>
      <c r="H688" t="s">
        <v>48</v>
      </c>
      <c r="I688" s="3">
        <v>1361</v>
      </c>
      <c r="J688" s="3">
        <v>1361</v>
      </c>
      <c r="K688" s="3">
        <v>397</v>
      </c>
      <c r="L688" t="s">
        <v>98</v>
      </c>
      <c r="M688">
        <v>18</v>
      </c>
      <c r="N688" t="s">
        <v>79</v>
      </c>
      <c r="O688" t="s">
        <v>70</v>
      </c>
      <c r="P688" t="s">
        <v>15</v>
      </c>
      <c r="Q688" t="s">
        <v>16</v>
      </c>
      <c r="R688" t="s">
        <v>16</v>
      </c>
      <c r="S688" t="s">
        <v>144</v>
      </c>
      <c r="T688" s="2">
        <f>MASTER[[#This Row],[CANTIDAD]]*MASTER[[#This Row],[PRECIO DE VENTA]]</f>
        <v>1361</v>
      </c>
      <c r="U688" s="2">
        <f>MASTER[[#This Row],[CANTIDAD]]*MASTER[[#This Row],[COSTO UNITARIO]]</f>
        <v>397</v>
      </c>
      <c r="V688" s="2">
        <f>MASTER[[#This Row],[MONTO VENDIDO]]-MASTER[[#This Row],[COSTO DE VENTA]]</f>
        <v>964</v>
      </c>
    </row>
    <row r="689" spans="1:22" x14ac:dyDescent="0.3">
      <c r="A689">
        <v>19154</v>
      </c>
      <c r="B689">
        <v>1</v>
      </c>
      <c r="C689" t="s">
        <v>99</v>
      </c>
      <c r="D689" t="s">
        <v>100</v>
      </c>
      <c r="E689" s="1">
        <v>43913</v>
      </c>
      <c r="F689">
        <v>1</v>
      </c>
      <c r="G689" t="s">
        <v>7</v>
      </c>
      <c r="H689" t="s">
        <v>8</v>
      </c>
      <c r="I689" s="3">
        <v>1328</v>
      </c>
      <c r="J689" s="3">
        <v>1328</v>
      </c>
      <c r="K689" s="3">
        <v>386</v>
      </c>
      <c r="L689" t="s">
        <v>98</v>
      </c>
      <c r="M689">
        <v>16</v>
      </c>
      <c r="N689" t="s">
        <v>17</v>
      </c>
      <c r="O689" t="s">
        <v>11</v>
      </c>
      <c r="P689" t="s">
        <v>18</v>
      </c>
      <c r="Q689" t="s">
        <v>19</v>
      </c>
      <c r="R689" t="s">
        <v>138</v>
      </c>
      <c r="S689" t="s">
        <v>144</v>
      </c>
      <c r="T689" s="2">
        <f>MASTER[[#This Row],[CANTIDAD]]*MASTER[[#This Row],[PRECIO DE VENTA]]</f>
        <v>1328</v>
      </c>
      <c r="U689" s="2">
        <f>MASTER[[#This Row],[CANTIDAD]]*MASTER[[#This Row],[COSTO UNITARIO]]</f>
        <v>386</v>
      </c>
      <c r="V689" s="2">
        <f>MASTER[[#This Row],[MONTO VENDIDO]]-MASTER[[#This Row],[COSTO DE VENTA]]</f>
        <v>942</v>
      </c>
    </row>
    <row r="690" spans="1:22" x14ac:dyDescent="0.3">
      <c r="A690">
        <v>19156</v>
      </c>
      <c r="B690">
        <v>1</v>
      </c>
      <c r="C690" t="s">
        <v>99</v>
      </c>
      <c r="D690" t="s">
        <v>100</v>
      </c>
      <c r="E690" s="1">
        <v>43913</v>
      </c>
      <c r="F690">
        <v>1</v>
      </c>
      <c r="G690" t="s">
        <v>51</v>
      </c>
      <c r="H690" t="s">
        <v>52</v>
      </c>
      <c r="I690" s="3">
        <v>1459</v>
      </c>
      <c r="J690" s="3">
        <v>1459</v>
      </c>
      <c r="K690" s="3">
        <v>386</v>
      </c>
      <c r="L690" t="s">
        <v>98</v>
      </c>
      <c r="M690">
        <v>5</v>
      </c>
      <c r="N690" t="s">
        <v>85</v>
      </c>
      <c r="O690" t="s">
        <v>81</v>
      </c>
      <c r="P690" t="s">
        <v>12</v>
      </c>
      <c r="Q690" t="s">
        <v>13</v>
      </c>
      <c r="R690" t="s">
        <v>13</v>
      </c>
      <c r="S690" t="s">
        <v>144</v>
      </c>
      <c r="T690" s="2">
        <f>MASTER[[#This Row],[CANTIDAD]]*MASTER[[#This Row],[PRECIO DE VENTA]]</f>
        <v>1459</v>
      </c>
      <c r="U690" s="2">
        <f>MASTER[[#This Row],[CANTIDAD]]*MASTER[[#This Row],[COSTO UNITARIO]]</f>
        <v>386</v>
      </c>
      <c r="V690" s="2">
        <f>MASTER[[#This Row],[MONTO VENDIDO]]-MASTER[[#This Row],[COSTO DE VENTA]]</f>
        <v>1073</v>
      </c>
    </row>
    <row r="691" spans="1:22" x14ac:dyDescent="0.3">
      <c r="A691">
        <v>19173</v>
      </c>
      <c r="B691">
        <v>1</v>
      </c>
      <c r="C691" t="s">
        <v>114</v>
      </c>
      <c r="D691" t="s">
        <v>115</v>
      </c>
      <c r="E691" s="1">
        <v>43913</v>
      </c>
      <c r="F691">
        <v>1</v>
      </c>
      <c r="G691" t="s">
        <v>53</v>
      </c>
      <c r="H691" t="s">
        <v>54</v>
      </c>
      <c r="I691" s="3">
        <v>1862</v>
      </c>
      <c r="J691" s="3">
        <v>1862</v>
      </c>
      <c r="K691" s="3">
        <v>394</v>
      </c>
      <c r="L691" t="s">
        <v>113</v>
      </c>
      <c r="M691">
        <v>15</v>
      </c>
      <c r="N691" t="s">
        <v>88</v>
      </c>
      <c r="O691" t="s">
        <v>81</v>
      </c>
      <c r="P691" t="s">
        <v>18</v>
      </c>
      <c r="Q691" t="s">
        <v>19</v>
      </c>
      <c r="R691" t="s">
        <v>138</v>
      </c>
      <c r="S691" t="s">
        <v>144</v>
      </c>
      <c r="T691" s="2">
        <f>MASTER[[#This Row],[CANTIDAD]]*MASTER[[#This Row],[PRECIO DE VENTA]]</f>
        <v>1862</v>
      </c>
      <c r="U691" s="2">
        <f>MASTER[[#This Row],[CANTIDAD]]*MASTER[[#This Row],[COSTO UNITARIO]]</f>
        <v>394</v>
      </c>
      <c r="V691" s="2">
        <f>MASTER[[#This Row],[MONTO VENDIDO]]-MASTER[[#This Row],[COSTO DE VENTA]]</f>
        <v>1468</v>
      </c>
    </row>
    <row r="692" spans="1:22" x14ac:dyDescent="0.3">
      <c r="A692">
        <v>19184</v>
      </c>
      <c r="B692">
        <v>1</v>
      </c>
      <c r="C692" t="s">
        <v>111</v>
      </c>
      <c r="D692" t="s">
        <v>112</v>
      </c>
      <c r="E692" s="1">
        <v>43914</v>
      </c>
      <c r="F692">
        <v>1</v>
      </c>
      <c r="G692" t="s">
        <v>59</v>
      </c>
      <c r="H692" t="s">
        <v>60</v>
      </c>
      <c r="I692" s="3">
        <v>1621</v>
      </c>
      <c r="J692" s="3">
        <v>1621</v>
      </c>
      <c r="K692" s="3">
        <v>434</v>
      </c>
      <c r="L692" t="s">
        <v>113</v>
      </c>
      <c r="M692">
        <v>14</v>
      </c>
      <c r="N692" t="s">
        <v>87</v>
      </c>
      <c r="O692" t="s">
        <v>81</v>
      </c>
      <c r="P692" t="s">
        <v>18</v>
      </c>
      <c r="Q692" t="s">
        <v>19</v>
      </c>
      <c r="R692" t="s">
        <v>138</v>
      </c>
      <c r="S692" t="s">
        <v>144</v>
      </c>
      <c r="T692" s="2">
        <f>MASTER[[#This Row],[CANTIDAD]]*MASTER[[#This Row],[PRECIO DE VENTA]]</f>
        <v>1621</v>
      </c>
      <c r="U692" s="2">
        <f>MASTER[[#This Row],[CANTIDAD]]*MASTER[[#This Row],[COSTO UNITARIO]]</f>
        <v>434</v>
      </c>
      <c r="V692" s="2">
        <f>MASTER[[#This Row],[MONTO VENDIDO]]-MASTER[[#This Row],[COSTO DE VENTA]]</f>
        <v>1187</v>
      </c>
    </row>
    <row r="693" spans="1:22" x14ac:dyDescent="0.3">
      <c r="A693">
        <v>19196</v>
      </c>
      <c r="B693">
        <v>1</v>
      </c>
      <c r="C693" t="s">
        <v>105</v>
      </c>
      <c r="D693" t="s">
        <v>106</v>
      </c>
      <c r="E693" s="1">
        <v>43914</v>
      </c>
      <c r="F693">
        <v>1</v>
      </c>
      <c r="G693" t="s">
        <v>51</v>
      </c>
      <c r="H693" t="s">
        <v>52</v>
      </c>
      <c r="I693" s="3">
        <v>1865</v>
      </c>
      <c r="J693" s="3">
        <v>1865</v>
      </c>
      <c r="K693" s="3">
        <v>459</v>
      </c>
      <c r="L693" t="s">
        <v>98</v>
      </c>
      <c r="M693">
        <v>2</v>
      </c>
      <c r="N693" t="s">
        <v>86</v>
      </c>
      <c r="O693" t="s">
        <v>81</v>
      </c>
      <c r="P693" t="s">
        <v>71</v>
      </c>
      <c r="Q693" t="s">
        <v>72</v>
      </c>
      <c r="R693" t="s">
        <v>139</v>
      </c>
      <c r="S693" t="s">
        <v>144</v>
      </c>
      <c r="T693" s="2">
        <f>MASTER[[#This Row],[CANTIDAD]]*MASTER[[#This Row],[PRECIO DE VENTA]]</f>
        <v>1865</v>
      </c>
      <c r="U693" s="2">
        <f>MASTER[[#This Row],[CANTIDAD]]*MASTER[[#This Row],[COSTO UNITARIO]]</f>
        <v>459</v>
      </c>
      <c r="V693" s="2">
        <f>MASTER[[#This Row],[MONTO VENDIDO]]-MASTER[[#This Row],[COSTO DE VENTA]]</f>
        <v>1406</v>
      </c>
    </row>
    <row r="694" spans="1:22" x14ac:dyDescent="0.3">
      <c r="A694">
        <v>19207</v>
      </c>
      <c r="B694">
        <v>1</v>
      </c>
      <c r="C694" t="s">
        <v>109</v>
      </c>
      <c r="D694" t="s">
        <v>110</v>
      </c>
      <c r="E694" s="1">
        <v>43914</v>
      </c>
      <c r="F694">
        <v>1</v>
      </c>
      <c r="G694" t="s">
        <v>57</v>
      </c>
      <c r="H694" t="s">
        <v>58</v>
      </c>
      <c r="I694" s="3">
        <v>1064</v>
      </c>
      <c r="J694" s="3">
        <v>1064</v>
      </c>
      <c r="K694" s="3">
        <v>387</v>
      </c>
      <c r="L694" t="s">
        <v>98</v>
      </c>
      <c r="M694">
        <v>7</v>
      </c>
      <c r="N694" t="s">
        <v>84</v>
      </c>
      <c r="O694" t="s">
        <v>81</v>
      </c>
      <c r="P694" t="s">
        <v>12</v>
      </c>
      <c r="Q694" t="s">
        <v>13</v>
      </c>
      <c r="R694" t="s">
        <v>13</v>
      </c>
      <c r="S694" t="s">
        <v>144</v>
      </c>
      <c r="T694" s="2">
        <f>MASTER[[#This Row],[CANTIDAD]]*MASTER[[#This Row],[PRECIO DE VENTA]]</f>
        <v>1064</v>
      </c>
      <c r="U694" s="2">
        <f>MASTER[[#This Row],[CANTIDAD]]*MASTER[[#This Row],[COSTO UNITARIO]]</f>
        <v>387</v>
      </c>
      <c r="V694" s="2">
        <f>MASTER[[#This Row],[MONTO VENDIDO]]-MASTER[[#This Row],[COSTO DE VENTA]]</f>
        <v>677</v>
      </c>
    </row>
    <row r="695" spans="1:22" x14ac:dyDescent="0.3">
      <c r="A695">
        <v>19207</v>
      </c>
      <c r="B695">
        <v>2</v>
      </c>
      <c r="C695" t="s">
        <v>109</v>
      </c>
      <c r="D695" t="s">
        <v>110</v>
      </c>
      <c r="E695" s="1">
        <v>43914</v>
      </c>
      <c r="F695">
        <v>1</v>
      </c>
      <c r="G695" t="s">
        <v>7</v>
      </c>
      <c r="H695" t="s">
        <v>8</v>
      </c>
      <c r="I695" s="3">
        <v>1064</v>
      </c>
      <c r="J695" s="3">
        <v>1064</v>
      </c>
      <c r="K695" s="3">
        <v>387</v>
      </c>
      <c r="L695" t="s">
        <v>98</v>
      </c>
      <c r="M695">
        <v>7</v>
      </c>
      <c r="N695" t="s">
        <v>84</v>
      </c>
      <c r="O695" t="s">
        <v>81</v>
      </c>
      <c r="P695" t="s">
        <v>12</v>
      </c>
      <c r="Q695" t="s">
        <v>13</v>
      </c>
      <c r="R695" t="s">
        <v>13</v>
      </c>
      <c r="S695" t="s">
        <v>144</v>
      </c>
      <c r="T695" s="2">
        <f>MASTER[[#This Row],[CANTIDAD]]*MASTER[[#This Row],[PRECIO DE VENTA]]</f>
        <v>1064</v>
      </c>
      <c r="U695" s="2">
        <f>MASTER[[#This Row],[CANTIDAD]]*MASTER[[#This Row],[COSTO UNITARIO]]</f>
        <v>387</v>
      </c>
      <c r="V695" s="2">
        <f>MASTER[[#This Row],[MONTO VENDIDO]]-MASTER[[#This Row],[COSTO DE VENTA]]</f>
        <v>677</v>
      </c>
    </row>
    <row r="696" spans="1:22" x14ac:dyDescent="0.3">
      <c r="A696">
        <v>19243</v>
      </c>
      <c r="B696">
        <v>1</v>
      </c>
      <c r="C696" t="s">
        <v>109</v>
      </c>
      <c r="D696" t="s">
        <v>110</v>
      </c>
      <c r="E696" s="1">
        <v>43914</v>
      </c>
      <c r="F696">
        <v>1</v>
      </c>
      <c r="G696" t="s">
        <v>57</v>
      </c>
      <c r="H696" t="s">
        <v>58</v>
      </c>
      <c r="I696" s="3">
        <v>1064</v>
      </c>
      <c r="J696" s="3">
        <v>1064</v>
      </c>
      <c r="K696" s="3">
        <v>387</v>
      </c>
      <c r="L696" t="s">
        <v>98</v>
      </c>
      <c r="M696">
        <v>7</v>
      </c>
      <c r="N696" t="s">
        <v>84</v>
      </c>
      <c r="O696" t="s">
        <v>81</v>
      </c>
      <c r="P696" t="s">
        <v>12</v>
      </c>
      <c r="Q696" t="s">
        <v>13</v>
      </c>
      <c r="R696" t="s">
        <v>13</v>
      </c>
      <c r="S696" t="s">
        <v>144</v>
      </c>
      <c r="T696" s="2">
        <f>MASTER[[#This Row],[CANTIDAD]]*MASTER[[#This Row],[PRECIO DE VENTA]]</f>
        <v>1064</v>
      </c>
      <c r="U696" s="2">
        <f>MASTER[[#This Row],[CANTIDAD]]*MASTER[[#This Row],[COSTO UNITARIO]]</f>
        <v>387</v>
      </c>
      <c r="V696" s="2">
        <f>MASTER[[#This Row],[MONTO VENDIDO]]-MASTER[[#This Row],[COSTO DE VENTA]]</f>
        <v>677</v>
      </c>
    </row>
    <row r="697" spans="1:22" x14ac:dyDescent="0.3">
      <c r="A697">
        <v>19244</v>
      </c>
      <c r="B697">
        <v>1</v>
      </c>
      <c r="C697" t="s">
        <v>116</v>
      </c>
      <c r="D697" t="s">
        <v>117</v>
      </c>
      <c r="E697" s="1">
        <v>43914</v>
      </c>
      <c r="F697">
        <v>1</v>
      </c>
      <c r="G697" t="s">
        <v>20</v>
      </c>
      <c r="H697" t="s">
        <v>21</v>
      </c>
      <c r="I697" s="3">
        <v>1529</v>
      </c>
      <c r="J697" s="3">
        <v>1529</v>
      </c>
      <c r="K697" s="3">
        <v>388</v>
      </c>
      <c r="L697" t="s">
        <v>113</v>
      </c>
      <c r="M697">
        <v>16</v>
      </c>
      <c r="N697" t="s">
        <v>17</v>
      </c>
      <c r="O697" t="s">
        <v>11</v>
      </c>
      <c r="P697" t="s">
        <v>18</v>
      </c>
      <c r="Q697" t="s">
        <v>19</v>
      </c>
      <c r="R697" t="s">
        <v>138</v>
      </c>
      <c r="S697" t="s">
        <v>144</v>
      </c>
      <c r="T697" s="2">
        <f>MASTER[[#This Row],[CANTIDAD]]*MASTER[[#This Row],[PRECIO DE VENTA]]</f>
        <v>1529</v>
      </c>
      <c r="U697" s="2">
        <f>MASTER[[#This Row],[CANTIDAD]]*MASTER[[#This Row],[COSTO UNITARIO]]</f>
        <v>388</v>
      </c>
      <c r="V697" s="2">
        <f>MASTER[[#This Row],[MONTO VENDIDO]]-MASTER[[#This Row],[COSTO DE VENTA]]</f>
        <v>1141</v>
      </c>
    </row>
    <row r="698" spans="1:22" x14ac:dyDescent="0.3">
      <c r="A698">
        <v>19264</v>
      </c>
      <c r="B698">
        <v>1</v>
      </c>
      <c r="C698" t="s">
        <v>92</v>
      </c>
      <c r="D698" t="s">
        <v>93</v>
      </c>
      <c r="E698" s="1">
        <v>43914</v>
      </c>
      <c r="F698">
        <v>1</v>
      </c>
      <c r="G698" t="s">
        <v>29</v>
      </c>
      <c r="H698" t="s">
        <v>30</v>
      </c>
      <c r="I698" s="3">
        <v>1681</v>
      </c>
      <c r="J698" s="3">
        <v>1681</v>
      </c>
      <c r="K698" s="3">
        <v>396</v>
      </c>
      <c r="L698" t="s">
        <v>9</v>
      </c>
      <c r="M698">
        <v>2</v>
      </c>
      <c r="N698" t="s">
        <v>86</v>
      </c>
      <c r="O698" t="s">
        <v>81</v>
      </c>
      <c r="P698" t="s">
        <v>71</v>
      </c>
      <c r="Q698" t="s">
        <v>72</v>
      </c>
      <c r="R698" t="s">
        <v>139</v>
      </c>
      <c r="S698" t="s">
        <v>144</v>
      </c>
      <c r="T698" s="2">
        <f>MASTER[[#This Row],[CANTIDAD]]*MASTER[[#This Row],[PRECIO DE VENTA]]</f>
        <v>1681</v>
      </c>
      <c r="U698" s="2">
        <f>MASTER[[#This Row],[CANTIDAD]]*MASTER[[#This Row],[COSTO UNITARIO]]</f>
        <v>396</v>
      </c>
      <c r="V698" s="2">
        <f>MASTER[[#This Row],[MONTO VENDIDO]]-MASTER[[#This Row],[COSTO DE VENTA]]</f>
        <v>1285</v>
      </c>
    </row>
    <row r="699" spans="1:22" x14ac:dyDescent="0.3">
      <c r="A699">
        <v>19270</v>
      </c>
      <c r="B699">
        <v>1</v>
      </c>
      <c r="C699" t="s">
        <v>90</v>
      </c>
      <c r="D699" t="s">
        <v>91</v>
      </c>
      <c r="E699" s="1">
        <v>43914</v>
      </c>
      <c r="F699">
        <v>1</v>
      </c>
      <c r="G699" t="s">
        <v>31</v>
      </c>
      <c r="H699" t="s">
        <v>32</v>
      </c>
      <c r="I699" s="3">
        <v>1660</v>
      </c>
      <c r="J699" s="3">
        <v>1660</v>
      </c>
      <c r="K699" s="3">
        <v>420</v>
      </c>
      <c r="L699" t="s">
        <v>9</v>
      </c>
      <c r="M699">
        <v>12</v>
      </c>
      <c r="N699" t="s">
        <v>26</v>
      </c>
      <c r="O699" t="s">
        <v>11</v>
      </c>
      <c r="P699" t="s">
        <v>12</v>
      </c>
      <c r="Q699" t="s">
        <v>13</v>
      </c>
      <c r="R699" t="s">
        <v>13</v>
      </c>
      <c r="S699" t="s">
        <v>144</v>
      </c>
      <c r="T699" s="2">
        <f>MASTER[[#This Row],[CANTIDAD]]*MASTER[[#This Row],[PRECIO DE VENTA]]</f>
        <v>1660</v>
      </c>
      <c r="U699" s="2">
        <f>MASTER[[#This Row],[CANTIDAD]]*MASTER[[#This Row],[COSTO UNITARIO]]</f>
        <v>420</v>
      </c>
      <c r="V699" s="2">
        <f>MASTER[[#This Row],[MONTO VENDIDO]]-MASTER[[#This Row],[COSTO DE VENTA]]</f>
        <v>1240</v>
      </c>
    </row>
    <row r="700" spans="1:22" x14ac:dyDescent="0.3">
      <c r="A700">
        <v>19280</v>
      </c>
      <c r="B700">
        <v>2</v>
      </c>
      <c r="C700" t="s">
        <v>94</v>
      </c>
      <c r="D700" t="s">
        <v>95</v>
      </c>
      <c r="E700" s="1">
        <v>43914</v>
      </c>
      <c r="F700">
        <v>1</v>
      </c>
      <c r="G700" t="s">
        <v>39</v>
      </c>
      <c r="H700" t="s">
        <v>40</v>
      </c>
      <c r="I700" s="3">
        <v>1048</v>
      </c>
      <c r="J700" s="3">
        <v>1048</v>
      </c>
      <c r="K700" s="3">
        <v>392</v>
      </c>
      <c r="L700" t="s">
        <v>9</v>
      </c>
      <c r="M700">
        <v>8</v>
      </c>
      <c r="N700" t="s">
        <v>80</v>
      </c>
      <c r="O700" t="s">
        <v>81</v>
      </c>
      <c r="P700" t="s">
        <v>12</v>
      </c>
      <c r="Q700" t="s">
        <v>13</v>
      </c>
      <c r="R700" t="s">
        <v>13</v>
      </c>
      <c r="S700" t="s">
        <v>144</v>
      </c>
      <c r="T700" s="2">
        <f>MASTER[[#This Row],[CANTIDAD]]*MASTER[[#This Row],[PRECIO DE VENTA]]</f>
        <v>1048</v>
      </c>
      <c r="U700" s="2">
        <f>MASTER[[#This Row],[CANTIDAD]]*MASTER[[#This Row],[COSTO UNITARIO]]</f>
        <v>392</v>
      </c>
      <c r="V700" s="2">
        <f>MASTER[[#This Row],[MONTO VENDIDO]]-MASTER[[#This Row],[COSTO DE VENTA]]</f>
        <v>656</v>
      </c>
    </row>
    <row r="701" spans="1:22" x14ac:dyDescent="0.3">
      <c r="A701">
        <v>19280</v>
      </c>
      <c r="B701">
        <v>1</v>
      </c>
      <c r="C701" t="s">
        <v>105</v>
      </c>
      <c r="D701" t="s">
        <v>106</v>
      </c>
      <c r="E701" s="1">
        <v>43914</v>
      </c>
      <c r="F701">
        <v>1</v>
      </c>
      <c r="G701" t="s">
        <v>51</v>
      </c>
      <c r="H701" t="s">
        <v>52</v>
      </c>
      <c r="I701" s="3">
        <v>1865</v>
      </c>
      <c r="J701" s="3">
        <v>1865</v>
      </c>
      <c r="K701" s="3">
        <v>459</v>
      </c>
      <c r="L701" t="s">
        <v>98</v>
      </c>
      <c r="M701">
        <v>8</v>
      </c>
      <c r="N701" t="s">
        <v>80</v>
      </c>
      <c r="O701" t="s">
        <v>81</v>
      </c>
      <c r="P701" t="s">
        <v>12</v>
      </c>
      <c r="Q701" t="s">
        <v>13</v>
      </c>
      <c r="R701" t="s">
        <v>13</v>
      </c>
      <c r="S701" t="s">
        <v>144</v>
      </c>
      <c r="T701" s="2">
        <f>MASTER[[#This Row],[CANTIDAD]]*MASTER[[#This Row],[PRECIO DE VENTA]]</f>
        <v>1865</v>
      </c>
      <c r="U701" s="2">
        <f>MASTER[[#This Row],[CANTIDAD]]*MASTER[[#This Row],[COSTO UNITARIO]]</f>
        <v>459</v>
      </c>
      <c r="V701" s="2">
        <f>MASTER[[#This Row],[MONTO VENDIDO]]-MASTER[[#This Row],[COSTO DE VENTA]]</f>
        <v>1406</v>
      </c>
    </row>
    <row r="702" spans="1:22" x14ac:dyDescent="0.3">
      <c r="A702">
        <v>19303</v>
      </c>
      <c r="B702">
        <v>1</v>
      </c>
      <c r="C702" t="s">
        <v>103</v>
      </c>
      <c r="D702" t="s">
        <v>104</v>
      </c>
      <c r="E702" s="1">
        <v>43915</v>
      </c>
      <c r="F702">
        <v>1</v>
      </c>
      <c r="G702" t="s">
        <v>73</v>
      </c>
      <c r="H702" t="s">
        <v>74</v>
      </c>
      <c r="I702" s="3">
        <v>1830</v>
      </c>
      <c r="J702" s="3">
        <v>1830</v>
      </c>
      <c r="K702" s="3">
        <v>421</v>
      </c>
      <c r="L702" t="s">
        <v>98</v>
      </c>
      <c r="M702">
        <v>3</v>
      </c>
      <c r="N702" t="s">
        <v>69</v>
      </c>
      <c r="O702" t="s">
        <v>70</v>
      </c>
      <c r="P702" t="s">
        <v>71</v>
      </c>
      <c r="Q702" t="s">
        <v>72</v>
      </c>
      <c r="R702" t="s">
        <v>139</v>
      </c>
      <c r="S702" t="s">
        <v>144</v>
      </c>
      <c r="T702" s="2">
        <f>MASTER[[#This Row],[CANTIDAD]]*MASTER[[#This Row],[PRECIO DE VENTA]]</f>
        <v>1830</v>
      </c>
      <c r="U702" s="2">
        <f>MASTER[[#This Row],[CANTIDAD]]*MASTER[[#This Row],[COSTO UNITARIO]]</f>
        <v>421</v>
      </c>
      <c r="V702" s="2">
        <f>MASTER[[#This Row],[MONTO VENDIDO]]-MASTER[[#This Row],[COSTO DE VENTA]]</f>
        <v>1409</v>
      </c>
    </row>
    <row r="703" spans="1:22" x14ac:dyDescent="0.3">
      <c r="A703">
        <v>19308</v>
      </c>
      <c r="B703">
        <v>1</v>
      </c>
      <c r="C703" t="s">
        <v>99</v>
      </c>
      <c r="D703" t="s">
        <v>100</v>
      </c>
      <c r="E703" s="1">
        <v>43915</v>
      </c>
      <c r="F703">
        <v>1</v>
      </c>
      <c r="G703" t="s">
        <v>27</v>
      </c>
      <c r="H703" t="s">
        <v>28</v>
      </c>
      <c r="I703" s="3">
        <v>1459</v>
      </c>
      <c r="J703" s="3">
        <v>1459</v>
      </c>
      <c r="K703" s="3">
        <v>386</v>
      </c>
      <c r="L703" t="s">
        <v>98</v>
      </c>
      <c r="M703">
        <v>8</v>
      </c>
      <c r="N703" t="s">
        <v>80</v>
      </c>
      <c r="O703" t="s">
        <v>81</v>
      </c>
      <c r="P703" t="s">
        <v>12</v>
      </c>
      <c r="Q703" t="s">
        <v>13</v>
      </c>
      <c r="R703" t="s">
        <v>13</v>
      </c>
      <c r="S703" t="s">
        <v>144</v>
      </c>
      <c r="T703" s="2">
        <f>MASTER[[#This Row],[CANTIDAD]]*MASTER[[#This Row],[PRECIO DE VENTA]]</f>
        <v>1459</v>
      </c>
      <c r="U703" s="2">
        <f>MASTER[[#This Row],[CANTIDAD]]*MASTER[[#This Row],[COSTO UNITARIO]]</f>
        <v>386</v>
      </c>
      <c r="V703" s="2">
        <f>MASTER[[#This Row],[MONTO VENDIDO]]-MASTER[[#This Row],[COSTO DE VENTA]]</f>
        <v>1073</v>
      </c>
    </row>
    <row r="704" spans="1:22" x14ac:dyDescent="0.3">
      <c r="A704">
        <v>19324</v>
      </c>
      <c r="B704">
        <v>1</v>
      </c>
      <c r="C704" t="s">
        <v>121</v>
      </c>
      <c r="D704" t="s">
        <v>122</v>
      </c>
      <c r="E704" s="1">
        <v>43915</v>
      </c>
      <c r="F704">
        <v>1</v>
      </c>
      <c r="G704" t="s">
        <v>55</v>
      </c>
      <c r="H704" t="s">
        <v>56</v>
      </c>
      <c r="I704" s="3">
        <v>1144</v>
      </c>
      <c r="J704" s="3">
        <v>1144</v>
      </c>
      <c r="K704" s="3">
        <v>460</v>
      </c>
      <c r="L704" t="s">
        <v>120</v>
      </c>
      <c r="M704">
        <v>1</v>
      </c>
      <c r="N704" t="s">
        <v>77</v>
      </c>
      <c r="O704" t="s">
        <v>70</v>
      </c>
      <c r="P704" t="s">
        <v>71</v>
      </c>
      <c r="Q704" t="s">
        <v>72</v>
      </c>
      <c r="R704" t="s">
        <v>139</v>
      </c>
      <c r="S704" t="s">
        <v>144</v>
      </c>
      <c r="T704" s="2">
        <f>MASTER[[#This Row],[CANTIDAD]]*MASTER[[#This Row],[PRECIO DE VENTA]]</f>
        <v>1144</v>
      </c>
      <c r="U704" s="2">
        <f>MASTER[[#This Row],[CANTIDAD]]*MASTER[[#This Row],[COSTO UNITARIO]]</f>
        <v>460</v>
      </c>
      <c r="V704" s="2">
        <f>MASTER[[#This Row],[MONTO VENDIDO]]-MASTER[[#This Row],[COSTO DE VENTA]]</f>
        <v>684</v>
      </c>
    </row>
    <row r="705" spans="1:22" x14ac:dyDescent="0.3">
      <c r="A705">
        <v>19325</v>
      </c>
      <c r="B705">
        <v>1</v>
      </c>
      <c r="C705" t="s">
        <v>96</v>
      </c>
      <c r="D705" t="s">
        <v>97</v>
      </c>
      <c r="E705" s="1">
        <v>43915</v>
      </c>
      <c r="F705">
        <v>1</v>
      </c>
      <c r="G705" t="s">
        <v>22</v>
      </c>
      <c r="H705" t="s">
        <v>23</v>
      </c>
      <c r="I705" s="3">
        <v>1272</v>
      </c>
      <c r="J705" s="3">
        <v>1272</v>
      </c>
      <c r="K705" s="3">
        <v>397</v>
      </c>
      <c r="L705" t="s">
        <v>98</v>
      </c>
      <c r="M705">
        <v>5</v>
      </c>
      <c r="N705" t="s">
        <v>85</v>
      </c>
      <c r="O705" t="s">
        <v>81</v>
      </c>
      <c r="P705" t="s">
        <v>12</v>
      </c>
      <c r="Q705" t="s">
        <v>13</v>
      </c>
      <c r="R705" t="s">
        <v>13</v>
      </c>
      <c r="S705" t="s">
        <v>144</v>
      </c>
      <c r="T705" s="2">
        <f>MASTER[[#This Row],[CANTIDAD]]*MASTER[[#This Row],[PRECIO DE VENTA]]</f>
        <v>1272</v>
      </c>
      <c r="U705" s="2">
        <f>MASTER[[#This Row],[CANTIDAD]]*MASTER[[#This Row],[COSTO UNITARIO]]</f>
        <v>397</v>
      </c>
      <c r="V705" s="2">
        <f>MASTER[[#This Row],[MONTO VENDIDO]]-MASTER[[#This Row],[COSTO DE VENTA]]</f>
        <v>875</v>
      </c>
    </row>
    <row r="706" spans="1:22" x14ac:dyDescent="0.3">
      <c r="A706">
        <v>19326</v>
      </c>
      <c r="B706">
        <v>1</v>
      </c>
      <c r="C706" t="s">
        <v>114</v>
      </c>
      <c r="D706" t="s">
        <v>115</v>
      </c>
      <c r="E706" s="1">
        <v>43915</v>
      </c>
      <c r="F706">
        <v>1</v>
      </c>
      <c r="G706" t="s">
        <v>37</v>
      </c>
      <c r="H706" t="s">
        <v>38</v>
      </c>
      <c r="I706" s="3">
        <v>1583</v>
      </c>
      <c r="J706" s="3">
        <v>1583</v>
      </c>
      <c r="K706" s="3">
        <v>394</v>
      </c>
      <c r="L706" t="s">
        <v>113</v>
      </c>
      <c r="M706">
        <v>17</v>
      </c>
      <c r="N706" t="s">
        <v>14</v>
      </c>
      <c r="O706" t="s">
        <v>11</v>
      </c>
      <c r="P706" t="s">
        <v>15</v>
      </c>
      <c r="Q706" t="s">
        <v>16</v>
      </c>
      <c r="R706" t="s">
        <v>16</v>
      </c>
      <c r="S706" t="s">
        <v>144</v>
      </c>
      <c r="T706" s="2">
        <f>MASTER[[#This Row],[CANTIDAD]]*MASTER[[#This Row],[PRECIO DE VENTA]]</f>
        <v>1583</v>
      </c>
      <c r="U706" s="2">
        <f>MASTER[[#This Row],[CANTIDAD]]*MASTER[[#This Row],[COSTO UNITARIO]]</f>
        <v>394</v>
      </c>
      <c r="V706" s="2">
        <f>MASTER[[#This Row],[MONTO VENDIDO]]-MASTER[[#This Row],[COSTO DE VENTA]]</f>
        <v>1189</v>
      </c>
    </row>
    <row r="707" spans="1:22" x14ac:dyDescent="0.3">
      <c r="A707">
        <v>19346</v>
      </c>
      <c r="B707">
        <v>1</v>
      </c>
      <c r="C707" t="s">
        <v>118</v>
      </c>
      <c r="D707" t="s">
        <v>119</v>
      </c>
      <c r="E707" s="1">
        <v>43915</v>
      </c>
      <c r="F707">
        <v>1</v>
      </c>
      <c r="G707" t="s">
        <v>29</v>
      </c>
      <c r="H707" t="s">
        <v>30</v>
      </c>
      <c r="I707" s="3">
        <v>1026</v>
      </c>
      <c r="J707" s="3">
        <v>1026</v>
      </c>
      <c r="K707" s="3">
        <v>424</v>
      </c>
      <c r="L707" t="s">
        <v>120</v>
      </c>
      <c r="M707">
        <v>13</v>
      </c>
      <c r="N707" t="s">
        <v>78</v>
      </c>
      <c r="O707" t="s">
        <v>70</v>
      </c>
      <c r="P707" t="s">
        <v>18</v>
      </c>
      <c r="Q707" t="s">
        <v>19</v>
      </c>
      <c r="R707" t="s">
        <v>138</v>
      </c>
      <c r="S707" t="s">
        <v>144</v>
      </c>
      <c r="T707" s="2">
        <f>MASTER[[#This Row],[CANTIDAD]]*MASTER[[#This Row],[PRECIO DE VENTA]]</f>
        <v>1026</v>
      </c>
      <c r="U707" s="2">
        <f>MASTER[[#This Row],[CANTIDAD]]*MASTER[[#This Row],[COSTO UNITARIO]]</f>
        <v>424</v>
      </c>
      <c r="V707" s="2">
        <f>MASTER[[#This Row],[MONTO VENDIDO]]-MASTER[[#This Row],[COSTO DE VENTA]]</f>
        <v>602</v>
      </c>
    </row>
    <row r="708" spans="1:22" x14ac:dyDescent="0.3">
      <c r="A708">
        <v>19370</v>
      </c>
      <c r="B708">
        <v>1</v>
      </c>
      <c r="C708" t="s">
        <v>5</v>
      </c>
      <c r="D708" t="s">
        <v>6</v>
      </c>
      <c r="E708" s="1">
        <v>43915</v>
      </c>
      <c r="F708">
        <v>1</v>
      </c>
      <c r="G708" t="s">
        <v>47</v>
      </c>
      <c r="H708" t="s">
        <v>48</v>
      </c>
      <c r="I708" s="3">
        <v>1296</v>
      </c>
      <c r="J708" s="3">
        <v>1296</v>
      </c>
      <c r="K708" s="3">
        <v>393</v>
      </c>
      <c r="L708" t="s">
        <v>9</v>
      </c>
      <c r="M708">
        <v>6</v>
      </c>
      <c r="N708" t="s">
        <v>75</v>
      </c>
      <c r="O708" t="s">
        <v>70</v>
      </c>
      <c r="P708" t="s">
        <v>12</v>
      </c>
      <c r="Q708" t="s">
        <v>13</v>
      </c>
      <c r="R708" t="s">
        <v>13</v>
      </c>
      <c r="S708" t="s">
        <v>144</v>
      </c>
      <c r="T708" s="2">
        <f>MASTER[[#This Row],[CANTIDAD]]*MASTER[[#This Row],[PRECIO DE VENTA]]</f>
        <v>1296</v>
      </c>
      <c r="U708" s="2">
        <f>MASTER[[#This Row],[CANTIDAD]]*MASTER[[#This Row],[COSTO UNITARIO]]</f>
        <v>393</v>
      </c>
      <c r="V708" s="2">
        <f>MASTER[[#This Row],[MONTO VENDIDO]]-MASTER[[#This Row],[COSTO DE VENTA]]</f>
        <v>903</v>
      </c>
    </row>
    <row r="709" spans="1:22" x14ac:dyDescent="0.3">
      <c r="A709">
        <v>19387</v>
      </c>
      <c r="B709">
        <v>1</v>
      </c>
      <c r="C709" t="s">
        <v>92</v>
      </c>
      <c r="D709" t="s">
        <v>93</v>
      </c>
      <c r="E709" s="1">
        <v>43915</v>
      </c>
      <c r="F709">
        <v>1</v>
      </c>
      <c r="G709" t="s">
        <v>33</v>
      </c>
      <c r="H709" t="s">
        <v>34</v>
      </c>
      <c r="I709" s="3">
        <v>1681</v>
      </c>
      <c r="J709" s="3">
        <v>1681</v>
      </c>
      <c r="K709" s="3">
        <v>396</v>
      </c>
      <c r="L709" t="s">
        <v>9</v>
      </c>
      <c r="M709">
        <v>14</v>
      </c>
      <c r="N709" t="s">
        <v>87</v>
      </c>
      <c r="O709" t="s">
        <v>81</v>
      </c>
      <c r="P709" t="s">
        <v>18</v>
      </c>
      <c r="Q709" t="s">
        <v>19</v>
      </c>
      <c r="R709" t="s">
        <v>138</v>
      </c>
      <c r="S709" t="s">
        <v>144</v>
      </c>
      <c r="T709" s="2">
        <f>MASTER[[#This Row],[CANTIDAD]]*MASTER[[#This Row],[PRECIO DE VENTA]]</f>
        <v>1681</v>
      </c>
      <c r="U709" s="2">
        <f>MASTER[[#This Row],[CANTIDAD]]*MASTER[[#This Row],[COSTO UNITARIO]]</f>
        <v>396</v>
      </c>
      <c r="V709" s="2">
        <f>MASTER[[#This Row],[MONTO VENDIDO]]-MASTER[[#This Row],[COSTO DE VENTA]]</f>
        <v>1285</v>
      </c>
    </row>
    <row r="710" spans="1:22" x14ac:dyDescent="0.3">
      <c r="A710">
        <v>19398</v>
      </c>
      <c r="B710">
        <v>1</v>
      </c>
      <c r="C710" t="s">
        <v>96</v>
      </c>
      <c r="D710" t="s">
        <v>97</v>
      </c>
      <c r="E710" s="1">
        <v>43915</v>
      </c>
      <c r="F710">
        <v>1</v>
      </c>
      <c r="G710" t="s">
        <v>33</v>
      </c>
      <c r="H710" t="s">
        <v>34</v>
      </c>
      <c r="I710" s="3">
        <v>1196</v>
      </c>
      <c r="J710" s="3">
        <v>1196</v>
      </c>
      <c r="K710" s="3">
        <v>397</v>
      </c>
      <c r="L710" t="s">
        <v>98</v>
      </c>
      <c r="M710">
        <v>12</v>
      </c>
      <c r="N710" t="s">
        <v>26</v>
      </c>
      <c r="O710" t="s">
        <v>11</v>
      </c>
      <c r="P710" t="s">
        <v>12</v>
      </c>
      <c r="Q710" t="s">
        <v>13</v>
      </c>
      <c r="R710" t="s">
        <v>13</v>
      </c>
      <c r="S710" t="s">
        <v>144</v>
      </c>
      <c r="T710" s="2">
        <f>MASTER[[#This Row],[CANTIDAD]]*MASTER[[#This Row],[PRECIO DE VENTA]]</f>
        <v>1196</v>
      </c>
      <c r="U710" s="2">
        <f>MASTER[[#This Row],[CANTIDAD]]*MASTER[[#This Row],[COSTO UNITARIO]]</f>
        <v>397</v>
      </c>
      <c r="V710" s="2">
        <f>MASTER[[#This Row],[MONTO VENDIDO]]-MASTER[[#This Row],[COSTO DE VENTA]]</f>
        <v>799</v>
      </c>
    </row>
    <row r="711" spans="1:22" x14ac:dyDescent="0.3">
      <c r="A711">
        <v>19400</v>
      </c>
      <c r="B711">
        <v>1</v>
      </c>
      <c r="C711" t="s">
        <v>94</v>
      </c>
      <c r="D711" t="s">
        <v>95</v>
      </c>
      <c r="E711" s="1">
        <v>43915</v>
      </c>
      <c r="F711">
        <v>1</v>
      </c>
      <c r="G711" t="s">
        <v>41</v>
      </c>
      <c r="H711" t="s">
        <v>42</v>
      </c>
      <c r="I711" s="3">
        <v>1153</v>
      </c>
      <c r="J711" s="3">
        <v>1153</v>
      </c>
      <c r="K711" s="3">
        <v>392</v>
      </c>
      <c r="L711" t="s">
        <v>9</v>
      </c>
      <c r="M711">
        <v>9</v>
      </c>
      <c r="N711" t="s">
        <v>76</v>
      </c>
      <c r="O711" t="s">
        <v>70</v>
      </c>
      <c r="P711" t="s">
        <v>12</v>
      </c>
      <c r="Q711" t="s">
        <v>13</v>
      </c>
      <c r="R711" t="s">
        <v>13</v>
      </c>
      <c r="S711" t="s">
        <v>144</v>
      </c>
      <c r="T711" s="2">
        <f>MASTER[[#This Row],[CANTIDAD]]*MASTER[[#This Row],[PRECIO DE VENTA]]</f>
        <v>1153</v>
      </c>
      <c r="U711" s="2">
        <f>MASTER[[#This Row],[CANTIDAD]]*MASTER[[#This Row],[COSTO UNITARIO]]</f>
        <v>392</v>
      </c>
      <c r="V711" s="2">
        <f>MASTER[[#This Row],[MONTO VENDIDO]]-MASTER[[#This Row],[COSTO DE VENTA]]</f>
        <v>761</v>
      </c>
    </row>
    <row r="712" spans="1:22" x14ac:dyDescent="0.3">
      <c r="A712">
        <v>19411</v>
      </c>
      <c r="B712">
        <v>1</v>
      </c>
      <c r="C712" t="s">
        <v>92</v>
      </c>
      <c r="D712" t="s">
        <v>93</v>
      </c>
      <c r="E712" s="1">
        <v>43915</v>
      </c>
      <c r="F712">
        <v>1</v>
      </c>
      <c r="G712" t="s">
        <v>41</v>
      </c>
      <c r="H712" t="s">
        <v>42</v>
      </c>
      <c r="I712" s="3">
        <v>1479</v>
      </c>
      <c r="J712" s="3">
        <v>1479</v>
      </c>
      <c r="K712" s="3">
        <v>396</v>
      </c>
      <c r="L712" t="s">
        <v>9</v>
      </c>
      <c r="M712">
        <v>12</v>
      </c>
      <c r="N712" t="s">
        <v>26</v>
      </c>
      <c r="O712" t="s">
        <v>11</v>
      </c>
      <c r="P712" t="s">
        <v>12</v>
      </c>
      <c r="Q712" t="s">
        <v>13</v>
      </c>
      <c r="R712" t="s">
        <v>13</v>
      </c>
      <c r="S712" t="s">
        <v>144</v>
      </c>
      <c r="T712" s="2">
        <f>MASTER[[#This Row],[CANTIDAD]]*MASTER[[#This Row],[PRECIO DE VENTA]]</f>
        <v>1479</v>
      </c>
      <c r="U712" s="2">
        <f>MASTER[[#This Row],[CANTIDAD]]*MASTER[[#This Row],[COSTO UNITARIO]]</f>
        <v>396</v>
      </c>
      <c r="V712" s="2">
        <f>MASTER[[#This Row],[MONTO VENDIDO]]-MASTER[[#This Row],[COSTO DE VENTA]]</f>
        <v>1083</v>
      </c>
    </row>
    <row r="713" spans="1:22" x14ac:dyDescent="0.3">
      <c r="A713">
        <v>19412</v>
      </c>
      <c r="B713">
        <v>1</v>
      </c>
      <c r="C713" t="s">
        <v>5</v>
      </c>
      <c r="D713" t="s">
        <v>6</v>
      </c>
      <c r="E713" s="1">
        <v>43915</v>
      </c>
      <c r="F713">
        <v>1</v>
      </c>
      <c r="G713" t="s">
        <v>7</v>
      </c>
      <c r="H713" t="s">
        <v>8</v>
      </c>
      <c r="I713" s="3">
        <v>1296</v>
      </c>
      <c r="J713" s="3">
        <v>1296</v>
      </c>
      <c r="K713" s="3">
        <v>393</v>
      </c>
      <c r="L713" t="s">
        <v>9</v>
      </c>
      <c r="M713">
        <v>9</v>
      </c>
      <c r="N713" t="s">
        <v>76</v>
      </c>
      <c r="O713" t="s">
        <v>70</v>
      </c>
      <c r="P713" t="s">
        <v>12</v>
      </c>
      <c r="Q713" t="s">
        <v>13</v>
      </c>
      <c r="R713" t="s">
        <v>13</v>
      </c>
      <c r="S713" t="s">
        <v>144</v>
      </c>
      <c r="T713" s="2">
        <f>MASTER[[#This Row],[CANTIDAD]]*MASTER[[#This Row],[PRECIO DE VENTA]]</f>
        <v>1296</v>
      </c>
      <c r="U713" s="2">
        <f>MASTER[[#This Row],[CANTIDAD]]*MASTER[[#This Row],[COSTO UNITARIO]]</f>
        <v>393</v>
      </c>
      <c r="V713" s="2">
        <f>MASTER[[#This Row],[MONTO VENDIDO]]-MASTER[[#This Row],[COSTO DE VENTA]]</f>
        <v>903</v>
      </c>
    </row>
    <row r="714" spans="1:22" x14ac:dyDescent="0.3">
      <c r="A714">
        <v>19421</v>
      </c>
      <c r="B714">
        <v>1</v>
      </c>
      <c r="C714" t="s">
        <v>109</v>
      </c>
      <c r="D714" t="s">
        <v>110</v>
      </c>
      <c r="E714" s="1">
        <v>43915</v>
      </c>
      <c r="F714">
        <v>1</v>
      </c>
      <c r="G714" t="s">
        <v>24</v>
      </c>
      <c r="H714" t="s">
        <v>25</v>
      </c>
      <c r="I714" s="3">
        <v>1128</v>
      </c>
      <c r="J714" s="3">
        <v>1037</v>
      </c>
      <c r="K714" s="3">
        <v>387</v>
      </c>
      <c r="L714" t="s">
        <v>98</v>
      </c>
      <c r="M714">
        <v>3</v>
      </c>
      <c r="N714" t="s">
        <v>69</v>
      </c>
      <c r="O714" t="s">
        <v>70</v>
      </c>
      <c r="P714" t="s">
        <v>71</v>
      </c>
      <c r="Q714" t="s">
        <v>72</v>
      </c>
      <c r="R714" t="s">
        <v>139</v>
      </c>
      <c r="S714" t="s">
        <v>144</v>
      </c>
      <c r="T714" s="2">
        <f>MASTER[[#This Row],[CANTIDAD]]*MASTER[[#This Row],[PRECIO DE VENTA]]</f>
        <v>1037</v>
      </c>
      <c r="U714" s="2">
        <f>MASTER[[#This Row],[CANTIDAD]]*MASTER[[#This Row],[COSTO UNITARIO]]</f>
        <v>387</v>
      </c>
      <c r="V714" s="2">
        <f>MASTER[[#This Row],[MONTO VENDIDO]]-MASTER[[#This Row],[COSTO DE VENTA]]</f>
        <v>650</v>
      </c>
    </row>
    <row r="715" spans="1:22" x14ac:dyDescent="0.3">
      <c r="A715">
        <v>19430</v>
      </c>
      <c r="B715">
        <v>1</v>
      </c>
      <c r="C715" t="s">
        <v>121</v>
      </c>
      <c r="D715" t="s">
        <v>122</v>
      </c>
      <c r="E715" s="1">
        <v>43916</v>
      </c>
      <c r="F715">
        <v>1</v>
      </c>
      <c r="G715" t="s">
        <v>55</v>
      </c>
      <c r="H715" t="s">
        <v>56</v>
      </c>
      <c r="I715" s="3">
        <v>1069</v>
      </c>
      <c r="J715" s="3">
        <v>1069</v>
      </c>
      <c r="K715" s="3">
        <v>460</v>
      </c>
      <c r="L715" t="s">
        <v>120</v>
      </c>
      <c r="M715">
        <v>5</v>
      </c>
      <c r="N715" t="s">
        <v>85</v>
      </c>
      <c r="O715" t="s">
        <v>81</v>
      </c>
      <c r="P715" t="s">
        <v>12</v>
      </c>
      <c r="Q715" t="s">
        <v>13</v>
      </c>
      <c r="R715" t="s">
        <v>13</v>
      </c>
      <c r="S715" t="s">
        <v>144</v>
      </c>
      <c r="T715" s="2">
        <f>MASTER[[#This Row],[CANTIDAD]]*MASTER[[#This Row],[PRECIO DE VENTA]]</f>
        <v>1069</v>
      </c>
      <c r="U715" s="2">
        <f>MASTER[[#This Row],[CANTIDAD]]*MASTER[[#This Row],[COSTO UNITARIO]]</f>
        <v>460</v>
      </c>
      <c r="V715" s="2">
        <f>MASTER[[#This Row],[MONTO VENDIDO]]-MASTER[[#This Row],[COSTO DE VENTA]]</f>
        <v>609</v>
      </c>
    </row>
    <row r="716" spans="1:22" x14ac:dyDescent="0.3">
      <c r="A716">
        <v>19441</v>
      </c>
      <c r="B716">
        <v>1</v>
      </c>
      <c r="C716" t="s">
        <v>121</v>
      </c>
      <c r="D716" t="s">
        <v>122</v>
      </c>
      <c r="E716" s="1">
        <v>43916</v>
      </c>
      <c r="F716">
        <v>1</v>
      </c>
      <c r="G716" t="s">
        <v>53</v>
      </c>
      <c r="H716" t="s">
        <v>54</v>
      </c>
      <c r="I716" s="3">
        <v>1144</v>
      </c>
      <c r="J716" s="3">
        <v>1144</v>
      </c>
      <c r="K716" s="3">
        <v>460</v>
      </c>
      <c r="L716" t="s">
        <v>120</v>
      </c>
      <c r="M716">
        <v>13</v>
      </c>
      <c r="N716" t="s">
        <v>78</v>
      </c>
      <c r="O716" t="s">
        <v>70</v>
      </c>
      <c r="P716" t="s">
        <v>18</v>
      </c>
      <c r="Q716" t="s">
        <v>19</v>
      </c>
      <c r="R716" t="s">
        <v>138</v>
      </c>
      <c r="S716" t="s">
        <v>144</v>
      </c>
      <c r="T716" s="2">
        <f>MASTER[[#This Row],[CANTIDAD]]*MASTER[[#This Row],[PRECIO DE VENTA]]</f>
        <v>1144</v>
      </c>
      <c r="U716" s="2">
        <f>MASTER[[#This Row],[CANTIDAD]]*MASTER[[#This Row],[COSTO UNITARIO]]</f>
        <v>460</v>
      </c>
      <c r="V716" s="2">
        <f>MASTER[[#This Row],[MONTO VENDIDO]]-MASTER[[#This Row],[COSTO DE VENTA]]</f>
        <v>684</v>
      </c>
    </row>
    <row r="717" spans="1:22" x14ac:dyDescent="0.3">
      <c r="A717">
        <v>19445</v>
      </c>
      <c r="B717">
        <v>1</v>
      </c>
      <c r="C717" t="s">
        <v>107</v>
      </c>
      <c r="D717" t="s">
        <v>108</v>
      </c>
      <c r="E717" s="1">
        <v>43916</v>
      </c>
      <c r="F717">
        <v>1</v>
      </c>
      <c r="G717" t="s">
        <v>61</v>
      </c>
      <c r="H717" t="s">
        <v>62</v>
      </c>
      <c r="I717" s="3">
        <v>1333</v>
      </c>
      <c r="J717" s="3">
        <v>1333</v>
      </c>
      <c r="K717" s="3">
        <v>380</v>
      </c>
      <c r="L717" t="s">
        <v>98</v>
      </c>
      <c r="M717">
        <v>19</v>
      </c>
      <c r="N717" t="s">
        <v>89</v>
      </c>
      <c r="O717" t="s">
        <v>81</v>
      </c>
      <c r="P717" t="s">
        <v>15</v>
      </c>
      <c r="Q717" t="s">
        <v>16</v>
      </c>
      <c r="R717" t="s">
        <v>16</v>
      </c>
      <c r="S717" t="s">
        <v>144</v>
      </c>
      <c r="T717" s="2">
        <f>MASTER[[#This Row],[CANTIDAD]]*MASTER[[#This Row],[PRECIO DE VENTA]]</f>
        <v>1333</v>
      </c>
      <c r="U717" s="2">
        <f>MASTER[[#This Row],[CANTIDAD]]*MASTER[[#This Row],[COSTO UNITARIO]]</f>
        <v>380</v>
      </c>
      <c r="V717" s="2">
        <f>MASTER[[#This Row],[MONTO VENDIDO]]-MASTER[[#This Row],[COSTO DE VENTA]]</f>
        <v>953</v>
      </c>
    </row>
    <row r="718" spans="1:22" x14ac:dyDescent="0.3">
      <c r="A718">
        <v>19447</v>
      </c>
      <c r="B718">
        <v>1</v>
      </c>
      <c r="C718" t="s">
        <v>107</v>
      </c>
      <c r="D718" t="s">
        <v>108</v>
      </c>
      <c r="E718" s="1">
        <v>43916</v>
      </c>
      <c r="F718">
        <v>1</v>
      </c>
      <c r="G718" t="s">
        <v>53</v>
      </c>
      <c r="H718" t="s">
        <v>54</v>
      </c>
      <c r="I718" s="3">
        <v>1333</v>
      </c>
      <c r="J718" s="3">
        <v>1333</v>
      </c>
      <c r="K718" s="3">
        <v>380</v>
      </c>
      <c r="L718" t="s">
        <v>98</v>
      </c>
      <c r="M718">
        <v>8</v>
      </c>
      <c r="N718" t="s">
        <v>80</v>
      </c>
      <c r="O718" t="s">
        <v>81</v>
      </c>
      <c r="P718" t="s">
        <v>12</v>
      </c>
      <c r="Q718" t="s">
        <v>13</v>
      </c>
      <c r="R718" t="s">
        <v>13</v>
      </c>
      <c r="S718" t="s">
        <v>144</v>
      </c>
      <c r="T718" s="2">
        <f>MASTER[[#This Row],[CANTIDAD]]*MASTER[[#This Row],[PRECIO DE VENTA]]</f>
        <v>1333</v>
      </c>
      <c r="U718" s="2">
        <f>MASTER[[#This Row],[CANTIDAD]]*MASTER[[#This Row],[COSTO UNITARIO]]</f>
        <v>380</v>
      </c>
      <c r="V718" s="2">
        <f>MASTER[[#This Row],[MONTO VENDIDO]]-MASTER[[#This Row],[COSTO DE VENTA]]</f>
        <v>953</v>
      </c>
    </row>
    <row r="719" spans="1:22" x14ac:dyDescent="0.3">
      <c r="A719">
        <v>19452</v>
      </c>
      <c r="B719">
        <v>1</v>
      </c>
      <c r="C719" t="s">
        <v>99</v>
      </c>
      <c r="D719" t="s">
        <v>100</v>
      </c>
      <c r="E719" s="1">
        <v>43916</v>
      </c>
      <c r="F719">
        <v>1</v>
      </c>
      <c r="G719" t="s">
        <v>57</v>
      </c>
      <c r="H719" t="s">
        <v>58</v>
      </c>
      <c r="I719" s="3">
        <v>1678</v>
      </c>
      <c r="J719" s="3">
        <v>1678</v>
      </c>
      <c r="K719" s="3">
        <v>386</v>
      </c>
      <c r="L719" t="s">
        <v>98</v>
      </c>
      <c r="M719">
        <v>9</v>
      </c>
      <c r="N719" t="s">
        <v>76</v>
      </c>
      <c r="O719" t="s">
        <v>70</v>
      </c>
      <c r="P719" t="s">
        <v>12</v>
      </c>
      <c r="Q719" t="s">
        <v>13</v>
      </c>
      <c r="R719" t="s">
        <v>13</v>
      </c>
      <c r="S719" t="s">
        <v>144</v>
      </c>
      <c r="T719" s="2">
        <f>MASTER[[#This Row],[CANTIDAD]]*MASTER[[#This Row],[PRECIO DE VENTA]]</f>
        <v>1678</v>
      </c>
      <c r="U719" s="2">
        <f>MASTER[[#This Row],[CANTIDAD]]*MASTER[[#This Row],[COSTO UNITARIO]]</f>
        <v>386</v>
      </c>
      <c r="V719" s="2">
        <f>MASTER[[#This Row],[MONTO VENDIDO]]-MASTER[[#This Row],[COSTO DE VENTA]]</f>
        <v>1292</v>
      </c>
    </row>
    <row r="720" spans="1:22" x14ac:dyDescent="0.3">
      <c r="A720">
        <v>19462</v>
      </c>
      <c r="B720">
        <v>1</v>
      </c>
      <c r="C720" t="s">
        <v>92</v>
      </c>
      <c r="D720" t="s">
        <v>93</v>
      </c>
      <c r="E720" s="1">
        <v>43916</v>
      </c>
      <c r="F720">
        <v>1</v>
      </c>
      <c r="G720" t="s">
        <v>61</v>
      </c>
      <c r="H720" t="s">
        <v>62</v>
      </c>
      <c r="I720" s="3">
        <v>1681</v>
      </c>
      <c r="J720" s="3">
        <v>1546</v>
      </c>
      <c r="K720" s="3">
        <v>396</v>
      </c>
      <c r="L720" t="s">
        <v>9</v>
      </c>
      <c r="M720">
        <v>7</v>
      </c>
      <c r="N720" t="s">
        <v>84</v>
      </c>
      <c r="O720" t="s">
        <v>81</v>
      </c>
      <c r="P720" t="s">
        <v>12</v>
      </c>
      <c r="Q720" t="s">
        <v>13</v>
      </c>
      <c r="R720" t="s">
        <v>13</v>
      </c>
      <c r="S720" t="s">
        <v>144</v>
      </c>
      <c r="T720" s="2">
        <f>MASTER[[#This Row],[CANTIDAD]]*MASTER[[#This Row],[PRECIO DE VENTA]]</f>
        <v>1546</v>
      </c>
      <c r="U720" s="2">
        <f>MASTER[[#This Row],[CANTIDAD]]*MASTER[[#This Row],[COSTO UNITARIO]]</f>
        <v>396</v>
      </c>
      <c r="V720" s="2">
        <f>MASTER[[#This Row],[MONTO VENDIDO]]-MASTER[[#This Row],[COSTO DE VENTA]]</f>
        <v>1150</v>
      </c>
    </row>
    <row r="721" spans="1:22" x14ac:dyDescent="0.3">
      <c r="A721">
        <v>19476</v>
      </c>
      <c r="B721">
        <v>1</v>
      </c>
      <c r="C721" t="s">
        <v>90</v>
      </c>
      <c r="D721" t="s">
        <v>91</v>
      </c>
      <c r="E721" s="1">
        <v>43916</v>
      </c>
      <c r="F721">
        <v>1</v>
      </c>
      <c r="G721" t="s">
        <v>45</v>
      </c>
      <c r="H721" t="s">
        <v>46</v>
      </c>
      <c r="I721" s="3">
        <v>2102</v>
      </c>
      <c r="J721" s="3">
        <v>2102</v>
      </c>
      <c r="K721" s="3">
        <v>420</v>
      </c>
      <c r="L721" t="s">
        <v>9</v>
      </c>
      <c r="M721">
        <v>9</v>
      </c>
      <c r="N721" t="s">
        <v>76</v>
      </c>
      <c r="O721" t="s">
        <v>70</v>
      </c>
      <c r="P721" t="s">
        <v>12</v>
      </c>
      <c r="Q721" t="s">
        <v>13</v>
      </c>
      <c r="R721" t="s">
        <v>13</v>
      </c>
      <c r="S721" t="s">
        <v>144</v>
      </c>
      <c r="T721" s="2">
        <f>MASTER[[#This Row],[CANTIDAD]]*MASTER[[#This Row],[PRECIO DE VENTA]]</f>
        <v>2102</v>
      </c>
      <c r="U721" s="2">
        <f>MASTER[[#This Row],[CANTIDAD]]*MASTER[[#This Row],[COSTO UNITARIO]]</f>
        <v>420</v>
      </c>
      <c r="V721" s="2">
        <f>MASTER[[#This Row],[MONTO VENDIDO]]-MASTER[[#This Row],[COSTO DE VENTA]]</f>
        <v>1682</v>
      </c>
    </row>
    <row r="722" spans="1:22" x14ac:dyDescent="0.3">
      <c r="A722">
        <v>19479</v>
      </c>
      <c r="B722">
        <v>1</v>
      </c>
      <c r="C722" t="s">
        <v>116</v>
      </c>
      <c r="D722" t="s">
        <v>117</v>
      </c>
      <c r="E722" s="1">
        <v>43916</v>
      </c>
      <c r="F722">
        <v>1</v>
      </c>
      <c r="G722" t="s">
        <v>27</v>
      </c>
      <c r="H722" t="s">
        <v>28</v>
      </c>
      <c r="I722" s="3">
        <v>1999</v>
      </c>
      <c r="J722" s="3">
        <v>1999</v>
      </c>
      <c r="K722" s="3">
        <v>388</v>
      </c>
      <c r="L722" t="s">
        <v>113</v>
      </c>
      <c r="M722">
        <v>1</v>
      </c>
      <c r="N722" t="s">
        <v>77</v>
      </c>
      <c r="O722" t="s">
        <v>70</v>
      </c>
      <c r="P722" t="s">
        <v>71</v>
      </c>
      <c r="Q722" t="s">
        <v>72</v>
      </c>
      <c r="R722" t="s">
        <v>139</v>
      </c>
      <c r="S722" t="s">
        <v>144</v>
      </c>
      <c r="T722" s="2">
        <f>MASTER[[#This Row],[CANTIDAD]]*MASTER[[#This Row],[PRECIO DE VENTA]]</f>
        <v>1999</v>
      </c>
      <c r="U722" s="2">
        <f>MASTER[[#This Row],[CANTIDAD]]*MASTER[[#This Row],[COSTO UNITARIO]]</f>
        <v>388</v>
      </c>
      <c r="V722" s="2">
        <f>MASTER[[#This Row],[MONTO VENDIDO]]-MASTER[[#This Row],[COSTO DE VENTA]]</f>
        <v>1611</v>
      </c>
    </row>
    <row r="723" spans="1:22" x14ac:dyDescent="0.3">
      <c r="A723">
        <v>19491</v>
      </c>
      <c r="B723">
        <v>1</v>
      </c>
      <c r="C723" t="s">
        <v>5</v>
      </c>
      <c r="D723" t="s">
        <v>6</v>
      </c>
      <c r="E723" s="1">
        <v>43917</v>
      </c>
      <c r="F723">
        <v>1</v>
      </c>
      <c r="G723" t="s">
        <v>53</v>
      </c>
      <c r="H723" t="s">
        <v>54</v>
      </c>
      <c r="I723" s="3">
        <v>1507</v>
      </c>
      <c r="J723" s="3">
        <v>1507</v>
      </c>
      <c r="K723" s="3">
        <v>393</v>
      </c>
      <c r="L723" t="s">
        <v>9</v>
      </c>
      <c r="M723">
        <v>14</v>
      </c>
      <c r="N723" t="s">
        <v>87</v>
      </c>
      <c r="O723" t="s">
        <v>81</v>
      </c>
      <c r="P723" t="s">
        <v>18</v>
      </c>
      <c r="Q723" t="s">
        <v>19</v>
      </c>
      <c r="R723" t="s">
        <v>138</v>
      </c>
      <c r="S723" t="s">
        <v>144</v>
      </c>
      <c r="T723" s="2">
        <f>MASTER[[#This Row],[CANTIDAD]]*MASTER[[#This Row],[PRECIO DE VENTA]]</f>
        <v>1507</v>
      </c>
      <c r="U723" s="2">
        <f>MASTER[[#This Row],[CANTIDAD]]*MASTER[[#This Row],[COSTO UNITARIO]]</f>
        <v>393</v>
      </c>
      <c r="V723" s="2">
        <f>MASTER[[#This Row],[MONTO VENDIDO]]-MASTER[[#This Row],[COSTO DE VENTA]]</f>
        <v>1114</v>
      </c>
    </row>
    <row r="724" spans="1:22" x14ac:dyDescent="0.3">
      <c r="A724">
        <v>19497</v>
      </c>
      <c r="B724">
        <v>1</v>
      </c>
      <c r="C724" t="s">
        <v>107</v>
      </c>
      <c r="D724" t="s">
        <v>108</v>
      </c>
      <c r="E724" s="1">
        <v>43917</v>
      </c>
      <c r="F724">
        <v>1</v>
      </c>
      <c r="G724" t="s">
        <v>73</v>
      </c>
      <c r="H724" t="s">
        <v>74</v>
      </c>
      <c r="I724" s="3">
        <v>1333</v>
      </c>
      <c r="J724" s="3">
        <v>1333</v>
      </c>
      <c r="K724" s="3">
        <v>380</v>
      </c>
      <c r="L724" t="s">
        <v>98</v>
      </c>
      <c r="M724">
        <v>19</v>
      </c>
      <c r="N724" t="s">
        <v>89</v>
      </c>
      <c r="O724" t="s">
        <v>81</v>
      </c>
      <c r="P724" t="s">
        <v>15</v>
      </c>
      <c r="Q724" t="s">
        <v>16</v>
      </c>
      <c r="R724" t="s">
        <v>16</v>
      </c>
      <c r="S724" t="s">
        <v>144</v>
      </c>
      <c r="T724" s="2">
        <f>MASTER[[#This Row],[CANTIDAD]]*MASTER[[#This Row],[PRECIO DE VENTA]]</f>
        <v>1333</v>
      </c>
      <c r="U724" s="2">
        <f>MASTER[[#This Row],[CANTIDAD]]*MASTER[[#This Row],[COSTO UNITARIO]]</f>
        <v>380</v>
      </c>
      <c r="V724" s="2">
        <f>MASTER[[#This Row],[MONTO VENDIDO]]-MASTER[[#This Row],[COSTO DE VENTA]]</f>
        <v>953</v>
      </c>
    </row>
    <row r="725" spans="1:22" x14ac:dyDescent="0.3">
      <c r="A725">
        <v>19498</v>
      </c>
      <c r="B725">
        <v>1</v>
      </c>
      <c r="C725" t="s">
        <v>99</v>
      </c>
      <c r="D725" t="s">
        <v>100</v>
      </c>
      <c r="E725" s="1">
        <v>43917</v>
      </c>
      <c r="F725">
        <v>1</v>
      </c>
      <c r="G725" t="s">
        <v>53</v>
      </c>
      <c r="H725" t="s">
        <v>54</v>
      </c>
      <c r="I725" s="3">
        <v>1678</v>
      </c>
      <c r="J725" s="3">
        <v>1678</v>
      </c>
      <c r="K725" s="3">
        <v>386</v>
      </c>
      <c r="L725" t="s">
        <v>98</v>
      </c>
      <c r="M725">
        <v>3</v>
      </c>
      <c r="N725" t="s">
        <v>69</v>
      </c>
      <c r="O725" t="s">
        <v>70</v>
      </c>
      <c r="P725" t="s">
        <v>71</v>
      </c>
      <c r="Q725" t="s">
        <v>72</v>
      </c>
      <c r="R725" t="s">
        <v>139</v>
      </c>
      <c r="S725" t="s">
        <v>144</v>
      </c>
      <c r="T725" s="2">
        <f>MASTER[[#This Row],[CANTIDAD]]*MASTER[[#This Row],[PRECIO DE VENTA]]</f>
        <v>1678</v>
      </c>
      <c r="U725" s="2">
        <f>MASTER[[#This Row],[CANTIDAD]]*MASTER[[#This Row],[COSTO UNITARIO]]</f>
        <v>386</v>
      </c>
      <c r="V725" s="2">
        <f>MASTER[[#This Row],[MONTO VENDIDO]]-MASTER[[#This Row],[COSTO DE VENTA]]</f>
        <v>1292</v>
      </c>
    </row>
    <row r="726" spans="1:22" x14ac:dyDescent="0.3">
      <c r="A726">
        <v>19499</v>
      </c>
      <c r="B726">
        <v>1</v>
      </c>
      <c r="C726" t="s">
        <v>90</v>
      </c>
      <c r="D726" t="s">
        <v>91</v>
      </c>
      <c r="E726" s="1">
        <v>43917</v>
      </c>
      <c r="F726">
        <v>1</v>
      </c>
      <c r="G726" t="s">
        <v>22</v>
      </c>
      <c r="H726" t="s">
        <v>23</v>
      </c>
      <c r="I726" s="3">
        <v>2102</v>
      </c>
      <c r="J726" s="3">
        <v>2102</v>
      </c>
      <c r="K726" s="3">
        <v>420</v>
      </c>
      <c r="L726" t="s">
        <v>9</v>
      </c>
      <c r="M726">
        <v>9</v>
      </c>
      <c r="N726" t="s">
        <v>76</v>
      </c>
      <c r="O726" t="s">
        <v>70</v>
      </c>
      <c r="P726" t="s">
        <v>12</v>
      </c>
      <c r="Q726" t="s">
        <v>13</v>
      </c>
      <c r="R726" t="s">
        <v>13</v>
      </c>
      <c r="S726" t="s">
        <v>144</v>
      </c>
      <c r="T726" s="2">
        <f>MASTER[[#This Row],[CANTIDAD]]*MASTER[[#This Row],[PRECIO DE VENTA]]</f>
        <v>2102</v>
      </c>
      <c r="U726" s="2">
        <f>MASTER[[#This Row],[CANTIDAD]]*MASTER[[#This Row],[COSTO UNITARIO]]</f>
        <v>420</v>
      </c>
      <c r="V726" s="2">
        <f>MASTER[[#This Row],[MONTO VENDIDO]]-MASTER[[#This Row],[COSTO DE VENTA]]</f>
        <v>1682</v>
      </c>
    </row>
    <row r="727" spans="1:22" x14ac:dyDescent="0.3">
      <c r="A727">
        <v>19505</v>
      </c>
      <c r="B727">
        <v>1</v>
      </c>
      <c r="C727" t="s">
        <v>116</v>
      </c>
      <c r="D727" t="s">
        <v>117</v>
      </c>
      <c r="E727" s="1">
        <v>43917</v>
      </c>
      <c r="F727">
        <v>1</v>
      </c>
      <c r="G727" t="s">
        <v>47</v>
      </c>
      <c r="H727" t="s">
        <v>48</v>
      </c>
      <c r="I727" s="3">
        <v>1999</v>
      </c>
      <c r="J727" s="3">
        <v>1999</v>
      </c>
      <c r="K727" s="3">
        <v>388</v>
      </c>
      <c r="L727" t="s">
        <v>113</v>
      </c>
      <c r="M727">
        <v>1</v>
      </c>
      <c r="N727" t="s">
        <v>77</v>
      </c>
      <c r="O727" t="s">
        <v>70</v>
      </c>
      <c r="P727" t="s">
        <v>71</v>
      </c>
      <c r="Q727" t="s">
        <v>72</v>
      </c>
      <c r="R727" t="s">
        <v>139</v>
      </c>
      <c r="S727" t="s">
        <v>144</v>
      </c>
      <c r="T727" s="2">
        <f>MASTER[[#This Row],[CANTIDAD]]*MASTER[[#This Row],[PRECIO DE VENTA]]</f>
        <v>1999</v>
      </c>
      <c r="U727" s="2">
        <f>MASTER[[#This Row],[CANTIDAD]]*MASTER[[#This Row],[COSTO UNITARIO]]</f>
        <v>388</v>
      </c>
      <c r="V727" s="2">
        <f>MASTER[[#This Row],[MONTO VENDIDO]]-MASTER[[#This Row],[COSTO DE VENTA]]</f>
        <v>1611</v>
      </c>
    </row>
    <row r="728" spans="1:22" x14ac:dyDescent="0.3">
      <c r="A728">
        <v>19511</v>
      </c>
      <c r="B728">
        <v>1</v>
      </c>
      <c r="C728" t="s">
        <v>90</v>
      </c>
      <c r="D728" t="s">
        <v>91</v>
      </c>
      <c r="E728" s="1">
        <v>43917</v>
      </c>
      <c r="F728">
        <v>1</v>
      </c>
      <c r="G728" t="s">
        <v>24</v>
      </c>
      <c r="H728" t="s">
        <v>25</v>
      </c>
      <c r="I728" s="3">
        <v>2102</v>
      </c>
      <c r="J728" s="3">
        <v>2102</v>
      </c>
      <c r="K728" s="3">
        <v>420</v>
      </c>
      <c r="L728" t="s">
        <v>9</v>
      </c>
      <c r="M728">
        <v>3</v>
      </c>
      <c r="N728" t="s">
        <v>69</v>
      </c>
      <c r="O728" t="s">
        <v>70</v>
      </c>
      <c r="P728" t="s">
        <v>71</v>
      </c>
      <c r="Q728" t="s">
        <v>72</v>
      </c>
      <c r="R728" t="s">
        <v>139</v>
      </c>
      <c r="S728" t="s">
        <v>144</v>
      </c>
      <c r="T728" s="2">
        <f>MASTER[[#This Row],[CANTIDAD]]*MASTER[[#This Row],[PRECIO DE VENTA]]</f>
        <v>2102</v>
      </c>
      <c r="U728" s="2">
        <f>MASTER[[#This Row],[CANTIDAD]]*MASTER[[#This Row],[COSTO UNITARIO]]</f>
        <v>420</v>
      </c>
      <c r="V728" s="2">
        <f>MASTER[[#This Row],[MONTO VENDIDO]]-MASTER[[#This Row],[COSTO DE VENTA]]</f>
        <v>1682</v>
      </c>
    </row>
    <row r="729" spans="1:22" x14ac:dyDescent="0.3">
      <c r="A729">
        <v>19520</v>
      </c>
      <c r="B729">
        <v>1</v>
      </c>
      <c r="C729" t="s">
        <v>114</v>
      </c>
      <c r="D729" t="s">
        <v>115</v>
      </c>
      <c r="E729" s="1">
        <v>43917</v>
      </c>
      <c r="F729">
        <v>1</v>
      </c>
      <c r="G729" t="s">
        <v>37</v>
      </c>
      <c r="H729" t="s">
        <v>38</v>
      </c>
      <c r="I729" s="3">
        <v>2030</v>
      </c>
      <c r="J729" s="3">
        <v>2030</v>
      </c>
      <c r="K729" s="3">
        <v>394</v>
      </c>
      <c r="L729" t="s">
        <v>113</v>
      </c>
      <c r="M729">
        <v>1</v>
      </c>
      <c r="N729" t="s">
        <v>77</v>
      </c>
      <c r="O729" t="s">
        <v>70</v>
      </c>
      <c r="P729" t="s">
        <v>71</v>
      </c>
      <c r="Q729" t="s">
        <v>72</v>
      </c>
      <c r="R729" t="s">
        <v>139</v>
      </c>
      <c r="S729" t="s">
        <v>144</v>
      </c>
      <c r="T729" s="2">
        <f>MASTER[[#This Row],[CANTIDAD]]*MASTER[[#This Row],[PRECIO DE VENTA]]</f>
        <v>2030</v>
      </c>
      <c r="U729" s="2">
        <f>MASTER[[#This Row],[CANTIDAD]]*MASTER[[#This Row],[COSTO UNITARIO]]</f>
        <v>394</v>
      </c>
      <c r="V729" s="2">
        <f>MASTER[[#This Row],[MONTO VENDIDO]]-MASTER[[#This Row],[COSTO DE VENTA]]</f>
        <v>1636</v>
      </c>
    </row>
    <row r="730" spans="1:22" x14ac:dyDescent="0.3">
      <c r="A730">
        <v>19523</v>
      </c>
      <c r="B730">
        <v>1</v>
      </c>
      <c r="C730" t="s">
        <v>5</v>
      </c>
      <c r="D730" t="s">
        <v>6</v>
      </c>
      <c r="E730" s="1">
        <v>43917</v>
      </c>
      <c r="F730">
        <v>1</v>
      </c>
      <c r="G730" t="s">
        <v>37</v>
      </c>
      <c r="H730" t="s">
        <v>38</v>
      </c>
      <c r="I730" s="3">
        <v>1296</v>
      </c>
      <c r="J730" s="3">
        <v>1296</v>
      </c>
      <c r="K730" s="3">
        <v>393</v>
      </c>
      <c r="L730" t="s">
        <v>9</v>
      </c>
      <c r="M730">
        <v>9</v>
      </c>
      <c r="N730" t="s">
        <v>76</v>
      </c>
      <c r="O730" t="s">
        <v>70</v>
      </c>
      <c r="P730" t="s">
        <v>12</v>
      </c>
      <c r="Q730" t="s">
        <v>13</v>
      </c>
      <c r="R730" t="s">
        <v>13</v>
      </c>
      <c r="S730" t="s">
        <v>144</v>
      </c>
      <c r="T730" s="2">
        <f>MASTER[[#This Row],[CANTIDAD]]*MASTER[[#This Row],[PRECIO DE VENTA]]</f>
        <v>1296</v>
      </c>
      <c r="U730" s="2">
        <f>MASTER[[#This Row],[CANTIDAD]]*MASTER[[#This Row],[COSTO UNITARIO]]</f>
        <v>393</v>
      </c>
      <c r="V730" s="2">
        <f>MASTER[[#This Row],[MONTO VENDIDO]]-MASTER[[#This Row],[COSTO DE VENTA]]</f>
        <v>903</v>
      </c>
    </row>
    <row r="731" spans="1:22" x14ac:dyDescent="0.3">
      <c r="A731">
        <v>19543</v>
      </c>
      <c r="B731">
        <v>1</v>
      </c>
      <c r="C731" t="s">
        <v>121</v>
      </c>
      <c r="D731" t="s">
        <v>122</v>
      </c>
      <c r="E731" s="1">
        <v>43917</v>
      </c>
      <c r="F731">
        <v>2</v>
      </c>
      <c r="G731" t="s">
        <v>43</v>
      </c>
      <c r="H731" t="s">
        <v>44</v>
      </c>
      <c r="I731" s="3">
        <v>1069</v>
      </c>
      <c r="J731" s="3">
        <v>1069</v>
      </c>
      <c r="K731" s="3">
        <v>460</v>
      </c>
      <c r="L731" t="s">
        <v>120</v>
      </c>
      <c r="M731">
        <v>19</v>
      </c>
      <c r="N731" t="s">
        <v>89</v>
      </c>
      <c r="O731" t="s">
        <v>81</v>
      </c>
      <c r="P731" t="s">
        <v>15</v>
      </c>
      <c r="Q731" t="s">
        <v>16</v>
      </c>
      <c r="R731" t="s">
        <v>16</v>
      </c>
      <c r="S731" t="s">
        <v>144</v>
      </c>
      <c r="T731" s="2">
        <f>MASTER[[#This Row],[CANTIDAD]]*MASTER[[#This Row],[PRECIO DE VENTA]]</f>
        <v>2138</v>
      </c>
      <c r="U731" s="2">
        <f>MASTER[[#This Row],[CANTIDAD]]*MASTER[[#This Row],[COSTO UNITARIO]]</f>
        <v>920</v>
      </c>
      <c r="V731" s="2">
        <f>MASTER[[#This Row],[MONTO VENDIDO]]-MASTER[[#This Row],[COSTO DE VENTA]]</f>
        <v>1218</v>
      </c>
    </row>
    <row r="732" spans="1:22" x14ac:dyDescent="0.3">
      <c r="A732">
        <v>19545</v>
      </c>
      <c r="B732">
        <v>1</v>
      </c>
      <c r="C732" t="s">
        <v>105</v>
      </c>
      <c r="D732" t="s">
        <v>106</v>
      </c>
      <c r="E732" s="1">
        <v>43918</v>
      </c>
      <c r="F732">
        <v>1</v>
      </c>
      <c r="G732" t="s">
        <v>24</v>
      </c>
      <c r="H732" t="s">
        <v>25</v>
      </c>
      <c r="I732" s="3">
        <v>1865</v>
      </c>
      <c r="J732" s="3">
        <v>1865</v>
      </c>
      <c r="K732" s="3">
        <v>459</v>
      </c>
      <c r="L732" t="s">
        <v>98</v>
      </c>
      <c r="M732">
        <v>19</v>
      </c>
      <c r="N732" t="s">
        <v>89</v>
      </c>
      <c r="O732" t="s">
        <v>81</v>
      </c>
      <c r="P732" t="s">
        <v>15</v>
      </c>
      <c r="Q732" t="s">
        <v>16</v>
      </c>
      <c r="R732" t="s">
        <v>16</v>
      </c>
      <c r="S732" t="s">
        <v>144</v>
      </c>
      <c r="T732" s="2">
        <f>MASTER[[#This Row],[CANTIDAD]]*MASTER[[#This Row],[PRECIO DE VENTA]]</f>
        <v>1865</v>
      </c>
      <c r="U732" s="2">
        <f>MASTER[[#This Row],[CANTIDAD]]*MASTER[[#This Row],[COSTO UNITARIO]]</f>
        <v>459</v>
      </c>
      <c r="V732" s="2">
        <f>MASTER[[#This Row],[MONTO VENDIDO]]-MASTER[[#This Row],[COSTO DE VENTA]]</f>
        <v>1406</v>
      </c>
    </row>
    <row r="733" spans="1:22" x14ac:dyDescent="0.3">
      <c r="A733">
        <v>19550</v>
      </c>
      <c r="B733">
        <v>1</v>
      </c>
      <c r="C733" t="s">
        <v>101</v>
      </c>
      <c r="D733" t="s">
        <v>102</v>
      </c>
      <c r="E733" s="1">
        <v>43918</v>
      </c>
      <c r="F733">
        <v>1</v>
      </c>
      <c r="G733" t="s">
        <v>20</v>
      </c>
      <c r="H733" t="s">
        <v>21</v>
      </c>
      <c r="I733" s="3">
        <v>1357</v>
      </c>
      <c r="J733" s="3">
        <v>1302</v>
      </c>
      <c r="K733" s="3">
        <v>442</v>
      </c>
      <c r="L733" t="s">
        <v>98</v>
      </c>
      <c r="M733">
        <v>13</v>
      </c>
      <c r="N733" t="s">
        <v>78</v>
      </c>
      <c r="O733" t="s">
        <v>70</v>
      </c>
      <c r="P733" t="s">
        <v>18</v>
      </c>
      <c r="Q733" t="s">
        <v>19</v>
      </c>
      <c r="R733" t="s">
        <v>138</v>
      </c>
      <c r="S733" t="s">
        <v>144</v>
      </c>
      <c r="T733" s="2">
        <f>MASTER[[#This Row],[CANTIDAD]]*MASTER[[#This Row],[PRECIO DE VENTA]]</f>
        <v>1302</v>
      </c>
      <c r="U733" s="2">
        <f>MASTER[[#This Row],[CANTIDAD]]*MASTER[[#This Row],[COSTO UNITARIO]]</f>
        <v>442</v>
      </c>
      <c r="V733" s="2">
        <f>MASTER[[#This Row],[MONTO VENDIDO]]-MASTER[[#This Row],[COSTO DE VENTA]]</f>
        <v>860</v>
      </c>
    </row>
    <row r="734" spans="1:22" x14ac:dyDescent="0.3">
      <c r="A734">
        <v>19582</v>
      </c>
      <c r="B734">
        <v>1</v>
      </c>
      <c r="C734" t="s">
        <v>5</v>
      </c>
      <c r="D734" t="s">
        <v>6</v>
      </c>
      <c r="E734" s="1">
        <v>43918</v>
      </c>
      <c r="F734">
        <v>1</v>
      </c>
      <c r="G734" t="s">
        <v>43</v>
      </c>
      <c r="H734" t="s">
        <v>44</v>
      </c>
      <c r="I734" s="3">
        <v>1507</v>
      </c>
      <c r="J734" s="3">
        <v>1507</v>
      </c>
      <c r="K734" s="3">
        <v>393</v>
      </c>
      <c r="L734" t="s">
        <v>9</v>
      </c>
      <c r="M734">
        <v>8</v>
      </c>
      <c r="N734" t="s">
        <v>80</v>
      </c>
      <c r="O734" t="s">
        <v>81</v>
      </c>
      <c r="P734" t="s">
        <v>12</v>
      </c>
      <c r="Q734" t="s">
        <v>13</v>
      </c>
      <c r="R734" t="s">
        <v>13</v>
      </c>
      <c r="S734" t="s">
        <v>144</v>
      </c>
      <c r="T734" s="2">
        <f>MASTER[[#This Row],[CANTIDAD]]*MASTER[[#This Row],[PRECIO DE VENTA]]</f>
        <v>1507</v>
      </c>
      <c r="U734" s="2">
        <f>MASTER[[#This Row],[CANTIDAD]]*MASTER[[#This Row],[COSTO UNITARIO]]</f>
        <v>393</v>
      </c>
      <c r="V734" s="2">
        <f>MASTER[[#This Row],[MONTO VENDIDO]]-MASTER[[#This Row],[COSTO DE VENTA]]</f>
        <v>1114</v>
      </c>
    </row>
    <row r="735" spans="1:22" x14ac:dyDescent="0.3">
      <c r="A735">
        <v>19582</v>
      </c>
      <c r="B735">
        <v>2</v>
      </c>
      <c r="C735" t="s">
        <v>114</v>
      </c>
      <c r="D735" t="s">
        <v>115</v>
      </c>
      <c r="E735" s="1">
        <v>43918</v>
      </c>
      <c r="F735">
        <v>3</v>
      </c>
      <c r="G735" t="s">
        <v>27</v>
      </c>
      <c r="H735" t="s">
        <v>28</v>
      </c>
      <c r="I735" s="3">
        <v>1862</v>
      </c>
      <c r="J735" s="3">
        <v>1675</v>
      </c>
      <c r="K735" s="3">
        <v>394</v>
      </c>
      <c r="L735" t="s">
        <v>113</v>
      </c>
      <c r="M735">
        <v>8</v>
      </c>
      <c r="N735" t="s">
        <v>80</v>
      </c>
      <c r="O735" t="s">
        <v>81</v>
      </c>
      <c r="P735" t="s">
        <v>12</v>
      </c>
      <c r="Q735" t="s">
        <v>13</v>
      </c>
      <c r="R735" t="s">
        <v>13</v>
      </c>
      <c r="S735" t="s">
        <v>144</v>
      </c>
      <c r="T735" s="2">
        <f>MASTER[[#This Row],[CANTIDAD]]*MASTER[[#This Row],[PRECIO DE VENTA]]</f>
        <v>5025</v>
      </c>
      <c r="U735" s="2">
        <f>MASTER[[#This Row],[CANTIDAD]]*MASTER[[#This Row],[COSTO UNITARIO]]</f>
        <v>1182</v>
      </c>
      <c r="V735" s="2">
        <f>MASTER[[#This Row],[MONTO VENDIDO]]-MASTER[[#This Row],[COSTO DE VENTA]]</f>
        <v>3843</v>
      </c>
    </row>
    <row r="736" spans="1:22" x14ac:dyDescent="0.3">
      <c r="A736">
        <v>19614</v>
      </c>
      <c r="B736">
        <v>1</v>
      </c>
      <c r="C736" t="s">
        <v>5</v>
      </c>
      <c r="D736" t="s">
        <v>6</v>
      </c>
      <c r="E736" s="1">
        <v>43918</v>
      </c>
      <c r="F736">
        <v>1</v>
      </c>
      <c r="G736" t="s">
        <v>55</v>
      </c>
      <c r="H736" t="s">
        <v>56</v>
      </c>
      <c r="I736" s="3">
        <v>1296</v>
      </c>
      <c r="J736" s="3">
        <v>1296</v>
      </c>
      <c r="K736" s="3">
        <v>393</v>
      </c>
      <c r="L736" t="s">
        <v>9</v>
      </c>
      <c r="M736">
        <v>18</v>
      </c>
      <c r="N736" t="s">
        <v>79</v>
      </c>
      <c r="O736" t="s">
        <v>70</v>
      </c>
      <c r="P736" t="s">
        <v>15</v>
      </c>
      <c r="Q736" t="s">
        <v>16</v>
      </c>
      <c r="R736" t="s">
        <v>16</v>
      </c>
      <c r="S736" t="s">
        <v>144</v>
      </c>
      <c r="T736" s="2">
        <f>MASTER[[#This Row],[CANTIDAD]]*MASTER[[#This Row],[PRECIO DE VENTA]]</f>
        <v>1296</v>
      </c>
      <c r="U736" s="2">
        <f>MASTER[[#This Row],[CANTIDAD]]*MASTER[[#This Row],[COSTO UNITARIO]]</f>
        <v>393</v>
      </c>
      <c r="V736" s="2">
        <f>MASTER[[#This Row],[MONTO VENDIDO]]-MASTER[[#This Row],[COSTO DE VENTA]]</f>
        <v>903</v>
      </c>
    </row>
    <row r="737" spans="1:22" x14ac:dyDescent="0.3">
      <c r="A737">
        <v>19641</v>
      </c>
      <c r="B737">
        <v>1</v>
      </c>
      <c r="C737" t="s">
        <v>99</v>
      </c>
      <c r="D737" t="s">
        <v>100</v>
      </c>
      <c r="E737" s="1">
        <v>43918</v>
      </c>
      <c r="F737">
        <v>1</v>
      </c>
      <c r="G737" t="s">
        <v>67</v>
      </c>
      <c r="H737" t="s">
        <v>68</v>
      </c>
      <c r="I737" s="3">
        <v>1459</v>
      </c>
      <c r="J737" s="3">
        <v>1459</v>
      </c>
      <c r="K737" s="3">
        <v>386</v>
      </c>
      <c r="L737" t="s">
        <v>98</v>
      </c>
      <c r="M737">
        <v>7</v>
      </c>
      <c r="N737" t="s">
        <v>84</v>
      </c>
      <c r="O737" t="s">
        <v>81</v>
      </c>
      <c r="P737" t="s">
        <v>12</v>
      </c>
      <c r="Q737" t="s">
        <v>13</v>
      </c>
      <c r="R737" t="s">
        <v>13</v>
      </c>
      <c r="S737" t="s">
        <v>144</v>
      </c>
      <c r="T737" s="2">
        <f>MASTER[[#This Row],[CANTIDAD]]*MASTER[[#This Row],[PRECIO DE VENTA]]</f>
        <v>1459</v>
      </c>
      <c r="U737" s="2">
        <f>MASTER[[#This Row],[CANTIDAD]]*MASTER[[#This Row],[COSTO UNITARIO]]</f>
        <v>386</v>
      </c>
      <c r="V737" s="2">
        <f>MASTER[[#This Row],[MONTO VENDIDO]]-MASTER[[#This Row],[COSTO DE VENTA]]</f>
        <v>1073</v>
      </c>
    </row>
    <row r="738" spans="1:22" x14ac:dyDescent="0.3">
      <c r="A738">
        <v>19645</v>
      </c>
      <c r="B738">
        <v>1</v>
      </c>
      <c r="C738" t="s">
        <v>94</v>
      </c>
      <c r="D738" t="s">
        <v>95</v>
      </c>
      <c r="E738" s="1">
        <v>43918</v>
      </c>
      <c r="F738">
        <v>1</v>
      </c>
      <c r="G738" t="s">
        <v>24</v>
      </c>
      <c r="H738" t="s">
        <v>25</v>
      </c>
      <c r="I738" s="3">
        <v>1153</v>
      </c>
      <c r="J738" s="3">
        <v>1153</v>
      </c>
      <c r="K738" s="3">
        <v>392</v>
      </c>
      <c r="L738" t="s">
        <v>9</v>
      </c>
      <c r="M738">
        <v>18</v>
      </c>
      <c r="N738" t="s">
        <v>79</v>
      </c>
      <c r="O738" t="s">
        <v>70</v>
      </c>
      <c r="P738" t="s">
        <v>15</v>
      </c>
      <c r="Q738" t="s">
        <v>16</v>
      </c>
      <c r="R738" t="s">
        <v>16</v>
      </c>
      <c r="S738" t="s">
        <v>144</v>
      </c>
      <c r="T738" s="2">
        <f>MASTER[[#This Row],[CANTIDAD]]*MASTER[[#This Row],[PRECIO DE VENTA]]</f>
        <v>1153</v>
      </c>
      <c r="U738" s="2">
        <f>MASTER[[#This Row],[CANTIDAD]]*MASTER[[#This Row],[COSTO UNITARIO]]</f>
        <v>392</v>
      </c>
      <c r="V738" s="2">
        <f>MASTER[[#This Row],[MONTO VENDIDO]]-MASTER[[#This Row],[COSTO DE VENTA]]</f>
        <v>761</v>
      </c>
    </row>
    <row r="739" spans="1:22" x14ac:dyDescent="0.3">
      <c r="A739">
        <v>19690</v>
      </c>
      <c r="B739">
        <v>1</v>
      </c>
      <c r="C739" t="s">
        <v>99</v>
      </c>
      <c r="D739" t="s">
        <v>100</v>
      </c>
      <c r="E739" s="1">
        <v>43918</v>
      </c>
      <c r="F739">
        <v>1</v>
      </c>
      <c r="G739" t="s">
        <v>51</v>
      </c>
      <c r="H739" t="s">
        <v>52</v>
      </c>
      <c r="I739" s="3">
        <v>1459</v>
      </c>
      <c r="J739" s="3">
        <v>1459</v>
      </c>
      <c r="K739" s="3">
        <v>386</v>
      </c>
      <c r="L739" t="s">
        <v>98</v>
      </c>
      <c r="M739">
        <v>10</v>
      </c>
      <c r="N739" t="s">
        <v>83</v>
      </c>
      <c r="O739" t="s">
        <v>81</v>
      </c>
      <c r="P739" t="s">
        <v>12</v>
      </c>
      <c r="Q739" t="s">
        <v>13</v>
      </c>
      <c r="R739" t="s">
        <v>13</v>
      </c>
      <c r="S739" t="s">
        <v>144</v>
      </c>
      <c r="T739" s="2">
        <f>MASTER[[#This Row],[CANTIDAD]]*MASTER[[#This Row],[PRECIO DE VENTA]]</f>
        <v>1459</v>
      </c>
      <c r="U739" s="2">
        <f>MASTER[[#This Row],[CANTIDAD]]*MASTER[[#This Row],[COSTO UNITARIO]]</f>
        <v>386</v>
      </c>
      <c r="V739" s="2">
        <f>MASTER[[#This Row],[MONTO VENDIDO]]-MASTER[[#This Row],[COSTO DE VENTA]]</f>
        <v>1073</v>
      </c>
    </row>
    <row r="740" spans="1:22" x14ac:dyDescent="0.3">
      <c r="A740">
        <v>19695</v>
      </c>
      <c r="B740">
        <v>1</v>
      </c>
      <c r="C740" t="s">
        <v>101</v>
      </c>
      <c r="D740" t="s">
        <v>102</v>
      </c>
      <c r="E740" s="1">
        <v>43919</v>
      </c>
      <c r="F740">
        <v>1</v>
      </c>
      <c r="G740" t="s">
        <v>27</v>
      </c>
      <c r="H740" t="s">
        <v>28</v>
      </c>
      <c r="I740" s="3">
        <v>1357</v>
      </c>
      <c r="J740" s="3">
        <v>1357</v>
      </c>
      <c r="K740" s="3">
        <v>442</v>
      </c>
      <c r="L740" t="s">
        <v>98</v>
      </c>
      <c r="M740">
        <v>3</v>
      </c>
      <c r="N740" t="s">
        <v>69</v>
      </c>
      <c r="O740" t="s">
        <v>70</v>
      </c>
      <c r="P740" t="s">
        <v>71</v>
      </c>
      <c r="Q740" t="s">
        <v>72</v>
      </c>
      <c r="R740" t="s">
        <v>139</v>
      </c>
      <c r="S740" t="s">
        <v>144</v>
      </c>
      <c r="T740" s="2">
        <f>MASTER[[#This Row],[CANTIDAD]]*MASTER[[#This Row],[PRECIO DE VENTA]]</f>
        <v>1357</v>
      </c>
      <c r="U740" s="2">
        <f>MASTER[[#This Row],[CANTIDAD]]*MASTER[[#This Row],[COSTO UNITARIO]]</f>
        <v>442</v>
      </c>
      <c r="V740" s="2">
        <f>MASTER[[#This Row],[MONTO VENDIDO]]-MASTER[[#This Row],[COSTO DE VENTA]]</f>
        <v>915</v>
      </c>
    </row>
    <row r="741" spans="1:22" x14ac:dyDescent="0.3">
      <c r="A741">
        <v>19696</v>
      </c>
      <c r="B741">
        <v>1</v>
      </c>
      <c r="C741" t="s">
        <v>90</v>
      </c>
      <c r="D741" t="s">
        <v>91</v>
      </c>
      <c r="E741" s="1">
        <v>43919</v>
      </c>
      <c r="F741">
        <v>1</v>
      </c>
      <c r="G741" t="s">
        <v>39</v>
      </c>
      <c r="H741" t="s">
        <v>40</v>
      </c>
      <c r="I741" s="3">
        <v>2102</v>
      </c>
      <c r="J741" s="3">
        <v>2102</v>
      </c>
      <c r="K741" s="3">
        <v>420</v>
      </c>
      <c r="L741" t="s">
        <v>9</v>
      </c>
      <c r="M741">
        <v>6</v>
      </c>
      <c r="N741" t="s">
        <v>75</v>
      </c>
      <c r="O741" t="s">
        <v>70</v>
      </c>
      <c r="P741" t="s">
        <v>12</v>
      </c>
      <c r="Q741" t="s">
        <v>13</v>
      </c>
      <c r="R741" t="s">
        <v>13</v>
      </c>
      <c r="S741" t="s">
        <v>144</v>
      </c>
      <c r="T741" s="2">
        <f>MASTER[[#This Row],[CANTIDAD]]*MASTER[[#This Row],[PRECIO DE VENTA]]</f>
        <v>2102</v>
      </c>
      <c r="U741" s="2">
        <f>MASTER[[#This Row],[CANTIDAD]]*MASTER[[#This Row],[COSTO UNITARIO]]</f>
        <v>420</v>
      </c>
      <c r="V741" s="2">
        <f>MASTER[[#This Row],[MONTO VENDIDO]]-MASTER[[#This Row],[COSTO DE VENTA]]</f>
        <v>1682</v>
      </c>
    </row>
    <row r="742" spans="1:22" x14ac:dyDescent="0.3">
      <c r="A742">
        <v>19698</v>
      </c>
      <c r="B742">
        <v>1</v>
      </c>
      <c r="C742" t="s">
        <v>105</v>
      </c>
      <c r="D742" t="s">
        <v>106</v>
      </c>
      <c r="E742" s="1">
        <v>43919</v>
      </c>
      <c r="F742">
        <v>1</v>
      </c>
      <c r="G742" t="s">
        <v>20</v>
      </c>
      <c r="H742" t="s">
        <v>21</v>
      </c>
      <c r="I742" s="3">
        <v>2033</v>
      </c>
      <c r="J742" s="3">
        <v>1870</v>
      </c>
      <c r="K742" s="3">
        <v>459</v>
      </c>
      <c r="L742" t="s">
        <v>98</v>
      </c>
      <c r="M742">
        <v>13</v>
      </c>
      <c r="N742" t="s">
        <v>78</v>
      </c>
      <c r="O742" t="s">
        <v>70</v>
      </c>
      <c r="P742" t="s">
        <v>18</v>
      </c>
      <c r="Q742" t="s">
        <v>19</v>
      </c>
      <c r="R742" t="s">
        <v>138</v>
      </c>
      <c r="S742" t="s">
        <v>144</v>
      </c>
      <c r="T742" s="2">
        <f>MASTER[[#This Row],[CANTIDAD]]*MASTER[[#This Row],[PRECIO DE VENTA]]</f>
        <v>1870</v>
      </c>
      <c r="U742" s="2">
        <f>MASTER[[#This Row],[CANTIDAD]]*MASTER[[#This Row],[COSTO UNITARIO]]</f>
        <v>459</v>
      </c>
      <c r="V742" s="2">
        <f>MASTER[[#This Row],[MONTO VENDIDO]]-MASTER[[#This Row],[COSTO DE VENTA]]</f>
        <v>1411</v>
      </c>
    </row>
    <row r="743" spans="1:22" x14ac:dyDescent="0.3">
      <c r="A743">
        <v>19709</v>
      </c>
      <c r="B743">
        <v>1</v>
      </c>
      <c r="C743" t="s">
        <v>118</v>
      </c>
      <c r="D743" t="s">
        <v>119</v>
      </c>
      <c r="E743" s="1">
        <v>43919</v>
      </c>
      <c r="F743">
        <v>1</v>
      </c>
      <c r="G743" t="s">
        <v>49</v>
      </c>
      <c r="H743" t="s">
        <v>50</v>
      </c>
      <c r="I743" s="3">
        <v>801</v>
      </c>
      <c r="J743" s="3">
        <v>801</v>
      </c>
      <c r="K743" s="3">
        <v>424</v>
      </c>
      <c r="L743" t="s">
        <v>120</v>
      </c>
      <c r="M743">
        <v>16</v>
      </c>
      <c r="N743" t="s">
        <v>17</v>
      </c>
      <c r="O743" t="s">
        <v>11</v>
      </c>
      <c r="P743" t="s">
        <v>18</v>
      </c>
      <c r="Q743" t="s">
        <v>19</v>
      </c>
      <c r="R743" t="s">
        <v>138</v>
      </c>
      <c r="S743" t="s">
        <v>144</v>
      </c>
      <c r="T743" s="2">
        <f>MASTER[[#This Row],[CANTIDAD]]*MASTER[[#This Row],[PRECIO DE VENTA]]</f>
        <v>801</v>
      </c>
      <c r="U743" s="2">
        <f>MASTER[[#This Row],[CANTIDAD]]*MASTER[[#This Row],[COSTO UNITARIO]]</f>
        <v>424</v>
      </c>
      <c r="V743" s="2">
        <f>MASTER[[#This Row],[MONTO VENDIDO]]-MASTER[[#This Row],[COSTO DE VENTA]]</f>
        <v>377</v>
      </c>
    </row>
    <row r="744" spans="1:22" x14ac:dyDescent="0.3">
      <c r="A744">
        <v>19717</v>
      </c>
      <c r="B744">
        <v>1</v>
      </c>
      <c r="C744" t="s">
        <v>118</v>
      </c>
      <c r="D744" t="s">
        <v>119</v>
      </c>
      <c r="E744" s="1">
        <v>43919</v>
      </c>
      <c r="F744">
        <v>1</v>
      </c>
      <c r="G744" t="s">
        <v>20</v>
      </c>
      <c r="H744" t="s">
        <v>21</v>
      </c>
      <c r="I744" s="3">
        <v>900</v>
      </c>
      <c r="J744" s="3">
        <v>900</v>
      </c>
      <c r="K744" s="3">
        <v>424</v>
      </c>
      <c r="L744" t="s">
        <v>120</v>
      </c>
      <c r="M744">
        <v>4</v>
      </c>
      <c r="N744" t="s">
        <v>82</v>
      </c>
      <c r="O744" t="s">
        <v>81</v>
      </c>
      <c r="P744" t="s">
        <v>71</v>
      </c>
      <c r="Q744" t="s">
        <v>72</v>
      </c>
      <c r="R744" t="s">
        <v>139</v>
      </c>
      <c r="S744" t="s">
        <v>144</v>
      </c>
      <c r="T744" s="2">
        <f>MASTER[[#This Row],[CANTIDAD]]*MASTER[[#This Row],[PRECIO DE VENTA]]</f>
        <v>900</v>
      </c>
      <c r="U744" s="2">
        <f>MASTER[[#This Row],[CANTIDAD]]*MASTER[[#This Row],[COSTO UNITARIO]]</f>
        <v>424</v>
      </c>
      <c r="V744" s="2">
        <f>MASTER[[#This Row],[MONTO VENDIDO]]-MASTER[[#This Row],[COSTO DE VENTA]]</f>
        <v>476</v>
      </c>
    </row>
    <row r="745" spans="1:22" x14ac:dyDescent="0.3">
      <c r="A745">
        <v>19746</v>
      </c>
      <c r="B745">
        <v>1</v>
      </c>
      <c r="C745" t="s">
        <v>114</v>
      </c>
      <c r="D745" t="s">
        <v>115</v>
      </c>
      <c r="E745" s="1">
        <v>43919</v>
      </c>
      <c r="F745">
        <v>1</v>
      </c>
      <c r="G745" t="s">
        <v>41</v>
      </c>
      <c r="H745" t="s">
        <v>42</v>
      </c>
      <c r="I745" s="3">
        <v>1583</v>
      </c>
      <c r="J745" s="3">
        <v>1583</v>
      </c>
      <c r="K745" s="3">
        <v>394</v>
      </c>
      <c r="L745" t="s">
        <v>113</v>
      </c>
      <c r="M745">
        <v>16</v>
      </c>
      <c r="N745" t="s">
        <v>17</v>
      </c>
      <c r="O745" t="s">
        <v>11</v>
      </c>
      <c r="P745" t="s">
        <v>18</v>
      </c>
      <c r="Q745" t="s">
        <v>19</v>
      </c>
      <c r="R745" t="s">
        <v>138</v>
      </c>
      <c r="S745" t="s">
        <v>144</v>
      </c>
      <c r="T745" s="2">
        <f>MASTER[[#This Row],[CANTIDAD]]*MASTER[[#This Row],[PRECIO DE VENTA]]</f>
        <v>1583</v>
      </c>
      <c r="U745" s="2">
        <f>MASTER[[#This Row],[CANTIDAD]]*MASTER[[#This Row],[COSTO UNITARIO]]</f>
        <v>394</v>
      </c>
      <c r="V745" s="2">
        <f>MASTER[[#This Row],[MONTO VENDIDO]]-MASTER[[#This Row],[COSTO DE VENTA]]</f>
        <v>1189</v>
      </c>
    </row>
    <row r="746" spans="1:22" x14ac:dyDescent="0.3">
      <c r="A746">
        <v>19748</v>
      </c>
      <c r="B746">
        <v>1</v>
      </c>
      <c r="C746" t="s">
        <v>118</v>
      </c>
      <c r="D746" t="s">
        <v>119</v>
      </c>
      <c r="E746" s="1">
        <v>43920</v>
      </c>
      <c r="F746">
        <v>1</v>
      </c>
      <c r="G746" t="s">
        <v>33</v>
      </c>
      <c r="H746" t="s">
        <v>34</v>
      </c>
      <c r="I746" s="3">
        <v>900</v>
      </c>
      <c r="J746" s="3">
        <v>900</v>
      </c>
      <c r="K746" s="3">
        <v>424</v>
      </c>
      <c r="L746" t="s">
        <v>120</v>
      </c>
      <c r="M746">
        <v>19</v>
      </c>
      <c r="N746" t="s">
        <v>89</v>
      </c>
      <c r="O746" t="s">
        <v>81</v>
      </c>
      <c r="P746" t="s">
        <v>15</v>
      </c>
      <c r="Q746" t="s">
        <v>16</v>
      </c>
      <c r="R746" t="s">
        <v>16</v>
      </c>
      <c r="S746" t="s">
        <v>144</v>
      </c>
      <c r="T746" s="2">
        <f>MASTER[[#This Row],[CANTIDAD]]*MASTER[[#This Row],[PRECIO DE VENTA]]</f>
        <v>900</v>
      </c>
      <c r="U746" s="2">
        <f>MASTER[[#This Row],[CANTIDAD]]*MASTER[[#This Row],[COSTO UNITARIO]]</f>
        <v>424</v>
      </c>
      <c r="V746" s="2">
        <f>MASTER[[#This Row],[MONTO VENDIDO]]-MASTER[[#This Row],[COSTO DE VENTA]]</f>
        <v>476</v>
      </c>
    </row>
    <row r="747" spans="1:22" x14ac:dyDescent="0.3">
      <c r="A747">
        <v>19755</v>
      </c>
      <c r="B747">
        <v>1</v>
      </c>
      <c r="C747" t="s">
        <v>114</v>
      </c>
      <c r="D747" t="s">
        <v>115</v>
      </c>
      <c r="E747" s="1">
        <v>43920</v>
      </c>
      <c r="F747">
        <v>1</v>
      </c>
      <c r="G747" t="s">
        <v>33</v>
      </c>
      <c r="H747" t="s">
        <v>34</v>
      </c>
      <c r="I747" s="3">
        <v>2030</v>
      </c>
      <c r="J747" s="3">
        <v>2030</v>
      </c>
      <c r="K747" s="3">
        <v>394</v>
      </c>
      <c r="L747" t="s">
        <v>113</v>
      </c>
      <c r="M747">
        <v>1</v>
      </c>
      <c r="N747" t="s">
        <v>77</v>
      </c>
      <c r="O747" t="s">
        <v>70</v>
      </c>
      <c r="P747" t="s">
        <v>71</v>
      </c>
      <c r="Q747" t="s">
        <v>72</v>
      </c>
      <c r="R747" t="s">
        <v>139</v>
      </c>
      <c r="S747" t="s">
        <v>144</v>
      </c>
      <c r="T747" s="2">
        <f>MASTER[[#This Row],[CANTIDAD]]*MASTER[[#This Row],[PRECIO DE VENTA]]</f>
        <v>2030</v>
      </c>
      <c r="U747" s="2">
        <f>MASTER[[#This Row],[CANTIDAD]]*MASTER[[#This Row],[COSTO UNITARIO]]</f>
        <v>394</v>
      </c>
      <c r="V747" s="2">
        <f>MASTER[[#This Row],[MONTO VENDIDO]]-MASTER[[#This Row],[COSTO DE VENTA]]</f>
        <v>1636</v>
      </c>
    </row>
    <row r="748" spans="1:22" x14ac:dyDescent="0.3">
      <c r="A748">
        <v>19760</v>
      </c>
      <c r="B748">
        <v>1</v>
      </c>
      <c r="C748" t="s">
        <v>5</v>
      </c>
      <c r="D748" t="s">
        <v>6</v>
      </c>
      <c r="E748" s="1">
        <v>43920</v>
      </c>
      <c r="F748">
        <v>1</v>
      </c>
      <c r="G748" t="s">
        <v>65</v>
      </c>
      <c r="H748" t="s">
        <v>66</v>
      </c>
      <c r="I748" s="3">
        <v>1296</v>
      </c>
      <c r="J748" s="3">
        <v>1296</v>
      </c>
      <c r="K748" s="3">
        <v>393</v>
      </c>
      <c r="L748" t="s">
        <v>9</v>
      </c>
      <c r="M748">
        <v>13</v>
      </c>
      <c r="N748" t="s">
        <v>78</v>
      </c>
      <c r="O748" t="s">
        <v>70</v>
      </c>
      <c r="P748" t="s">
        <v>18</v>
      </c>
      <c r="Q748" t="s">
        <v>19</v>
      </c>
      <c r="R748" t="s">
        <v>138</v>
      </c>
      <c r="S748" t="s">
        <v>144</v>
      </c>
      <c r="T748" s="2">
        <f>MASTER[[#This Row],[CANTIDAD]]*MASTER[[#This Row],[PRECIO DE VENTA]]</f>
        <v>1296</v>
      </c>
      <c r="U748" s="2">
        <f>MASTER[[#This Row],[CANTIDAD]]*MASTER[[#This Row],[COSTO UNITARIO]]</f>
        <v>393</v>
      </c>
      <c r="V748" s="2">
        <f>MASTER[[#This Row],[MONTO VENDIDO]]-MASTER[[#This Row],[COSTO DE VENTA]]</f>
        <v>903</v>
      </c>
    </row>
    <row r="749" spans="1:22" x14ac:dyDescent="0.3">
      <c r="A749">
        <v>19764</v>
      </c>
      <c r="B749">
        <v>1</v>
      </c>
      <c r="C749" t="s">
        <v>101</v>
      </c>
      <c r="D749" t="s">
        <v>102</v>
      </c>
      <c r="E749" s="1">
        <v>43920</v>
      </c>
      <c r="F749">
        <v>1</v>
      </c>
      <c r="G749" t="s">
        <v>33</v>
      </c>
      <c r="H749" t="s">
        <v>34</v>
      </c>
      <c r="I749" s="3">
        <v>1212</v>
      </c>
      <c r="J749" s="3">
        <v>1139</v>
      </c>
      <c r="K749" s="3">
        <v>442</v>
      </c>
      <c r="L749" t="s">
        <v>98</v>
      </c>
      <c r="M749">
        <v>8</v>
      </c>
      <c r="N749" t="s">
        <v>80</v>
      </c>
      <c r="O749" t="s">
        <v>81</v>
      </c>
      <c r="P749" t="s">
        <v>12</v>
      </c>
      <c r="Q749" t="s">
        <v>13</v>
      </c>
      <c r="R749" t="s">
        <v>13</v>
      </c>
      <c r="S749" t="s">
        <v>144</v>
      </c>
      <c r="T749" s="2">
        <f>MASTER[[#This Row],[CANTIDAD]]*MASTER[[#This Row],[PRECIO DE VENTA]]</f>
        <v>1139</v>
      </c>
      <c r="U749" s="2">
        <f>MASTER[[#This Row],[CANTIDAD]]*MASTER[[#This Row],[COSTO UNITARIO]]</f>
        <v>442</v>
      </c>
      <c r="V749" s="2">
        <f>MASTER[[#This Row],[MONTO VENDIDO]]-MASTER[[#This Row],[COSTO DE VENTA]]</f>
        <v>697</v>
      </c>
    </row>
    <row r="750" spans="1:22" x14ac:dyDescent="0.3">
      <c r="A750">
        <v>19774</v>
      </c>
      <c r="B750">
        <v>1</v>
      </c>
      <c r="C750" t="s">
        <v>103</v>
      </c>
      <c r="D750" t="s">
        <v>104</v>
      </c>
      <c r="E750" s="1">
        <v>43920</v>
      </c>
      <c r="F750">
        <v>1</v>
      </c>
      <c r="G750" t="s">
        <v>67</v>
      </c>
      <c r="H750" t="s">
        <v>68</v>
      </c>
      <c r="I750" s="3">
        <v>1830</v>
      </c>
      <c r="J750" s="3">
        <v>1830</v>
      </c>
      <c r="K750" s="3">
        <v>421</v>
      </c>
      <c r="L750" t="s">
        <v>98</v>
      </c>
      <c r="M750">
        <v>13</v>
      </c>
      <c r="N750" t="s">
        <v>78</v>
      </c>
      <c r="O750" t="s">
        <v>70</v>
      </c>
      <c r="P750" t="s">
        <v>18</v>
      </c>
      <c r="Q750" t="s">
        <v>19</v>
      </c>
      <c r="R750" t="s">
        <v>138</v>
      </c>
      <c r="S750" t="s">
        <v>144</v>
      </c>
      <c r="T750" s="2">
        <f>MASTER[[#This Row],[CANTIDAD]]*MASTER[[#This Row],[PRECIO DE VENTA]]</f>
        <v>1830</v>
      </c>
      <c r="U750" s="2">
        <f>MASTER[[#This Row],[CANTIDAD]]*MASTER[[#This Row],[COSTO UNITARIO]]</f>
        <v>421</v>
      </c>
      <c r="V750" s="2">
        <f>MASTER[[#This Row],[MONTO VENDIDO]]-MASTER[[#This Row],[COSTO DE VENTA]]</f>
        <v>1409</v>
      </c>
    </row>
    <row r="751" spans="1:22" x14ac:dyDescent="0.3">
      <c r="A751">
        <v>19797</v>
      </c>
      <c r="B751">
        <v>1</v>
      </c>
      <c r="C751" t="s">
        <v>96</v>
      </c>
      <c r="D751" t="s">
        <v>97</v>
      </c>
      <c r="E751" s="1">
        <v>43920</v>
      </c>
      <c r="F751">
        <v>1</v>
      </c>
      <c r="G751" t="s">
        <v>67</v>
      </c>
      <c r="H751" t="s">
        <v>68</v>
      </c>
      <c r="I751" s="3">
        <v>1272</v>
      </c>
      <c r="J751" s="3">
        <v>1272</v>
      </c>
      <c r="K751" s="3">
        <v>397</v>
      </c>
      <c r="L751" t="s">
        <v>98</v>
      </c>
      <c r="M751">
        <v>10</v>
      </c>
      <c r="N751" t="s">
        <v>83</v>
      </c>
      <c r="O751" t="s">
        <v>81</v>
      </c>
      <c r="P751" t="s">
        <v>12</v>
      </c>
      <c r="Q751" t="s">
        <v>13</v>
      </c>
      <c r="R751" t="s">
        <v>13</v>
      </c>
      <c r="S751" t="s">
        <v>144</v>
      </c>
      <c r="T751" s="2">
        <f>MASTER[[#This Row],[CANTIDAD]]*MASTER[[#This Row],[PRECIO DE VENTA]]</f>
        <v>1272</v>
      </c>
      <c r="U751" s="2">
        <f>MASTER[[#This Row],[CANTIDAD]]*MASTER[[#This Row],[COSTO UNITARIO]]</f>
        <v>397</v>
      </c>
      <c r="V751" s="2">
        <f>MASTER[[#This Row],[MONTO VENDIDO]]-MASTER[[#This Row],[COSTO DE VENTA]]</f>
        <v>875</v>
      </c>
    </row>
    <row r="752" spans="1:22" x14ac:dyDescent="0.3">
      <c r="A752">
        <v>19799</v>
      </c>
      <c r="B752">
        <v>1</v>
      </c>
      <c r="C752" t="s">
        <v>101</v>
      </c>
      <c r="D752" t="s">
        <v>102</v>
      </c>
      <c r="E752" s="1">
        <v>43920</v>
      </c>
      <c r="F752">
        <v>1</v>
      </c>
      <c r="G752" t="s">
        <v>7</v>
      </c>
      <c r="H752" t="s">
        <v>8</v>
      </c>
      <c r="I752" s="3">
        <v>1054</v>
      </c>
      <c r="J752" s="3">
        <v>1054</v>
      </c>
      <c r="K752" s="3">
        <v>442</v>
      </c>
      <c r="L752" t="s">
        <v>98</v>
      </c>
      <c r="M752">
        <v>16</v>
      </c>
      <c r="N752" t="s">
        <v>17</v>
      </c>
      <c r="O752" t="s">
        <v>11</v>
      </c>
      <c r="P752" t="s">
        <v>18</v>
      </c>
      <c r="Q752" t="s">
        <v>19</v>
      </c>
      <c r="R752" t="s">
        <v>138</v>
      </c>
      <c r="S752" t="s">
        <v>144</v>
      </c>
      <c r="T752" s="2">
        <f>MASTER[[#This Row],[CANTIDAD]]*MASTER[[#This Row],[PRECIO DE VENTA]]</f>
        <v>1054</v>
      </c>
      <c r="U752" s="2">
        <f>MASTER[[#This Row],[CANTIDAD]]*MASTER[[#This Row],[COSTO UNITARIO]]</f>
        <v>442</v>
      </c>
      <c r="V752" s="2">
        <f>MASTER[[#This Row],[MONTO VENDIDO]]-MASTER[[#This Row],[COSTO DE VENTA]]</f>
        <v>612</v>
      </c>
    </row>
    <row r="753" spans="1:22" x14ac:dyDescent="0.3">
      <c r="A753">
        <v>19814</v>
      </c>
      <c r="B753">
        <v>1</v>
      </c>
      <c r="C753" t="s">
        <v>118</v>
      </c>
      <c r="D753" t="s">
        <v>119</v>
      </c>
      <c r="E753" s="1">
        <v>43920</v>
      </c>
      <c r="F753">
        <v>2</v>
      </c>
      <c r="G753" t="s">
        <v>45</v>
      </c>
      <c r="H753" t="s">
        <v>46</v>
      </c>
      <c r="I753" s="3">
        <v>900</v>
      </c>
      <c r="J753" s="3">
        <v>900</v>
      </c>
      <c r="K753" s="3">
        <v>424</v>
      </c>
      <c r="L753" t="s">
        <v>120</v>
      </c>
      <c r="M753">
        <v>2</v>
      </c>
      <c r="N753" t="s">
        <v>86</v>
      </c>
      <c r="O753" t="s">
        <v>81</v>
      </c>
      <c r="P753" t="s">
        <v>71</v>
      </c>
      <c r="Q753" t="s">
        <v>72</v>
      </c>
      <c r="R753" t="s">
        <v>139</v>
      </c>
      <c r="S753" t="s">
        <v>144</v>
      </c>
      <c r="T753" s="2">
        <f>MASTER[[#This Row],[CANTIDAD]]*MASTER[[#This Row],[PRECIO DE VENTA]]</f>
        <v>1800</v>
      </c>
      <c r="U753" s="2">
        <f>MASTER[[#This Row],[CANTIDAD]]*MASTER[[#This Row],[COSTO UNITARIO]]</f>
        <v>848</v>
      </c>
      <c r="V753" s="2">
        <f>MASTER[[#This Row],[MONTO VENDIDO]]-MASTER[[#This Row],[COSTO DE VENTA]]</f>
        <v>952</v>
      </c>
    </row>
    <row r="754" spans="1:22" x14ac:dyDescent="0.3">
      <c r="A754">
        <v>19832</v>
      </c>
      <c r="B754">
        <v>1</v>
      </c>
      <c r="C754" t="s">
        <v>96</v>
      </c>
      <c r="D754" t="s">
        <v>97</v>
      </c>
      <c r="E754" s="1">
        <v>43920</v>
      </c>
      <c r="F754">
        <v>1</v>
      </c>
      <c r="G754" t="s">
        <v>29</v>
      </c>
      <c r="H754" t="s">
        <v>30</v>
      </c>
      <c r="I754" s="3">
        <v>1361</v>
      </c>
      <c r="J754" s="3">
        <v>1361</v>
      </c>
      <c r="K754" s="3">
        <v>397</v>
      </c>
      <c r="L754" t="s">
        <v>98</v>
      </c>
      <c r="M754">
        <v>3</v>
      </c>
      <c r="N754" t="s">
        <v>69</v>
      </c>
      <c r="O754" t="s">
        <v>70</v>
      </c>
      <c r="P754" t="s">
        <v>71</v>
      </c>
      <c r="Q754" t="s">
        <v>72</v>
      </c>
      <c r="R754" t="s">
        <v>139</v>
      </c>
      <c r="S754" t="s">
        <v>144</v>
      </c>
      <c r="T754" s="2">
        <f>MASTER[[#This Row],[CANTIDAD]]*MASTER[[#This Row],[PRECIO DE VENTA]]</f>
        <v>1361</v>
      </c>
      <c r="U754" s="2">
        <f>MASTER[[#This Row],[CANTIDAD]]*MASTER[[#This Row],[COSTO UNITARIO]]</f>
        <v>397</v>
      </c>
      <c r="V754" s="2">
        <f>MASTER[[#This Row],[MONTO VENDIDO]]-MASTER[[#This Row],[COSTO DE VENTA]]</f>
        <v>964</v>
      </c>
    </row>
    <row r="755" spans="1:22" x14ac:dyDescent="0.3">
      <c r="A755">
        <v>19833</v>
      </c>
      <c r="B755">
        <v>1</v>
      </c>
      <c r="C755" t="s">
        <v>109</v>
      </c>
      <c r="D755" t="s">
        <v>110</v>
      </c>
      <c r="E755" s="1">
        <v>43921</v>
      </c>
      <c r="F755">
        <v>1</v>
      </c>
      <c r="G755" t="s">
        <v>57</v>
      </c>
      <c r="H755" t="s">
        <v>58</v>
      </c>
      <c r="I755" s="3">
        <v>1064</v>
      </c>
      <c r="J755" s="3">
        <v>1064</v>
      </c>
      <c r="K755" s="3">
        <v>387</v>
      </c>
      <c r="L755" t="s">
        <v>98</v>
      </c>
      <c r="M755">
        <v>7</v>
      </c>
      <c r="N755" t="s">
        <v>84</v>
      </c>
      <c r="O755" t="s">
        <v>81</v>
      </c>
      <c r="P755" t="s">
        <v>12</v>
      </c>
      <c r="Q755" t="s">
        <v>13</v>
      </c>
      <c r="R755" t="s">
        <v>13</v>
      </c>
      <c r="S755" t="s">
        <v>144</v>
      </c>
      <c r="T755" s="2">
        <f>MASTER[[#This Row],[CANTIDAD]]*MASTER[[#This Row],[PRECIO DE VENTA]]</f>
        <v>1064</v>
      </c>
      <c r="U755" s="2">
        <f>MASTER[[#This Row],[CANTIDAD]]*MASTER[[#This Row],[COSTO UNITARIO]]</f>
        <v>387</v>
      </c>
      <c r="V755" s="2">
        <f>MASTER[[#This Row],[MONTO VENDIDO]]-MASTER[[#This Row],[COSTO DE VENTA]]</f>
        <v>677</v>
      </c>
    </row>
    <row r="756" spans="1:22" x14ac:dyDescent="0.3">
      <c r="A756">
        <v>19838</v>
      </c>
      <c r="B756">
        <v>1</v>
      </c>
      <c r="C756" t="s">
        <v>118</v>
      </c>
      <c r="D756" t="s">
        <v>119</v>
      </c>
      <c r="E756" s="1">
        <v>43921</v>
      </c>
      <c r="F756">
        <v>1</v>
      </c>
      <c r="G756" t="s">
        <v>35</v>
      </c>
      <c r="H756" t="s">
        <v>36</v>
      </c>
      <c r="I756" s="3">
        <v>1026</v>
      </c>
      <c r="J756" s="3">
        <v>1026</v>
      </c>
      <c r="K756" s="3">
        <v>424</v>
      </c>
      <c r="L756" t="s">
        <v>120</v>
      </c>
      <c r="M756">
        <v>9</v>
      </c>
      <c r="N756" t="s">
        <v>76</v>
      </c>
      <c r="O756" t="s">
        <v>70</v>
      </c>
      <c r="P756" t="s">
        <v>12</v>
      </c>
      <c r="Q756" t="s">
        <v>13</v>
      </c>
      <c r="R756" t="s">
        <v>13</v>
      </c>
      <c r="S756" t="s">
        <v>144</v>
      </c>
      <c r="T756" s="2">
        <f>MASTER[[#This Row],[CANTIDAD]]*MASTER[[#This Row],[PRECIO DE VENTA]]</f>
        <v>1026</v>
      </c>
      <c r="U756" s="2">
        <f>MASTER[[#This Row],[CANTIDAD]]*MASTER[[#This Row],[COSTO UNITARIO]]</f>
        <v>424</v>
      </c>
      <c r="V756" s="2">
        <f>MASTER[[#This Row],[MONTO VENDIDO]]-MASTER[[#This Row],[COSTO DE VENTA]]</f>
        <v>602</v>
      </c>
    </row>
    <row r="757" spans="1:22" x14ac:dyDescent="0.3">
      <c r="A757">
        <v>19839</v>
      </c>
      <c r="B757">
        <v>1</v>
      </c>
      <c r="C757" t="s">
        <v>116</v>
      </c>
      <c r="D757" t="s">
        <v>117</v>
      </c>
      <c r="E757" s="1">
        <v>43921</v>
      </c>
      <c r="F757">
        <v>1</v>
      </c>
      <c r="G757" t="s">
        <v>59</v>
      </c>
      <c r="H757" t="s">
        <v>60</v>
      </c>
      <c r="I757" s="3">
        <v>1999</v>
      </c>
      <c r="J757" s="3">
        <v>1999</v>
      </c>
      <c r="K757" s="3">
        <v>388</v>
      </c>
      <c r="L757" t="s">
        <v>113</v>
      </c>
      <c r="M757">
        <v>1</v>
      </c>
      <c r="N757" t="s">
        <v>77</v>
      </c>
      <c r="O757" t="s">
        <v>70</v>
      </c>
      <c r="P757" t="s">
        <v>71</v>
      </c>
      <c r="Q757" t="s">
        <v>72</v>
      </c>
      <c r="R757" t="s">
        <v>139</v>
      </c>
      <c r="S757" t="s">
        <v>144</v>
      </c>
      <c r="T757" s="2">
        <f>MASTER[[#This Row],[CANTIDAD]]*MASTER[[#This Row],[PRECIO DE VENTA]]</f>
        <v>1999</v>
      </c>
      <c r="U757" s="2">
        <f>MASTER[[#This Row],[CANTIDAD]]*MASTER[[#This Row],[COSTO UNITARIO]]</f>
        <v>388</v>
      </c>
      <c r="V757" s="2">
        <f>MASTER[[#This Row],[MONTO VENDIDO]]-MASTER[[#This Row],[COSTO DE VENTA]]</f>
        <v>1611</v>
      </c>
    </row>
    <row r="758" spans="1:22" x14ac:dyDescent="0.3">
      <c r="A758">
        <v>19846</v>
      </c>
      <c r="B758">
        <v>1</v>
      </c>
      <c r="C758" t="s">
        <v>5</v>
      </c>
      <c r="D758" t="s">
        <v>6</v>
      </c>
      <c r="E758" s="1">
        <v>43921</v>
      </c>
      <c r="F758">
        <v>1</v>
      </c>
      <c r="G758" t="s">
        <v>63</v>
      </c>
      <c r="H758" t="s">
        <v>64</v>
      </c>
      <c r="I758" s="3">
        <v>1296</v>
      </c>
      <c r="J758" s="3">
        <v>1296</v>
      </c>
      <c r="K758" s="3">
        <v>393</v>
      </c>
      <c r="L758" t="s">
        <v>9</v>
      </c>
      <c r="M758">
        <v>18</v>
      </c>
      <c r="N758" t="s">
        <v>79</v>
      </c>
      <c r="O758" t="s">
        <v>70</v>
      </c>
      <c r="P758" t="s">
        <v>15</v>
      </c>
      <c r="Q758" t="s">
        <v>16</v>
      </c>
      <c r="R758" t="s">
        <v>16</v>
      </c>
      <c r="S758" t="s">
        <v>144</v>
      </c>
      <c r="T758" s="2">
        <f>MASTER[[#This Row],[CANTIDAD]]*MASTER[[#This Row],[PRECIO DE VENTA]]</f>
        <v>1296</v>
      </c>
      <c r="U758" s="2">
        <f>MASTER[[#This Row],[CANTIDAD]]*MASTER[[#This Row],[COSTO UNITARIO]]</f>
        <v>393</v>
      </c>
      <c r="V758" s="2">
        <f>MASTER[[#This Row],[MONTO VENDIDO]]-MASTER[[#This Row],[COSTO DE VENTA]]</f>
        <v>903</v>
      </c>
    </row>
    <row r="759" spans="1:22" x14ac:dyDescent="0.3">
      <c r="A759">
        <v>19857</v>
      </c>
      <c r="B759">
        <v>1</v>
      </c>
      <c r="C759" t="s">
        <v>101</v>
      </c>
      <c r="D759" t="s">
        <v>102</v>
      </c>
      <c r="E759" s="1">
        <v>43921</v>
      </c>
      <c r="F759">
        <v>1</v>
      </c>
      <c r="G759" t="s">
        <v>53</v>
      </c>
      <c r="H759" t="s">
        <v>54</v>
      </c>
      <c r="I759" s="3">
        <v>1212</v>
      </c>
      <c r="J759" s="3">
        <v>1212</v>
      </c>
      <c r="K759" s="3">
        <v>442</v>
      </c>
      <c r="L759" t="s">
        <v>98</v>
      </c>
      <c r="M759">
        <v>15</v>
      </c>
      <c r="N759" t="s">
        <v>88</v>
      </c>
      <c r="O759" t="s">
        <v>81</v>
      </c>
      <c r="P759" t="s">
        <v>18</v>
      </c>
      <c r="Q759" t="s">
        <v>19</v>
      </c>
      <c r="R759" t="s">
        <v>138</v>
      </c>
      <c r="S759" t="s">
        <v>144</v>
      </c>
      <c r="T759" s="2">
        <f>MASTER[[#This Row],[CANTIDAD]]*MASTER[[#This Row],[PRECIO DE VENTA]]</f>
        <v>1212</v>
      </c>
      <c r="U759" s="2">
        <f>MASTER[[#This Row],[CANTIDAD]]*MASTER[[#This Row],[COSTO UNITARIO]]</f>
        <v>442</v>
      </c>
      <c r="V759" s="2">
        <f>MASTER[[#This Row],[MONTO VENDIDO]]-MASTER[[#This Row],[COSTO DE VENTA]]</f>
        <v>770</v>
      </c>
    </row>
    <row r="760" spans="1:22" x14ac:dyDescent="0.3">
      <c r="A760">
        <v>19892</v>
      </c>
      <c r="B760">
        <v>1</v>
      </c>
      <c r="C760" t="s">
        <v>5</v>
      </c>
      <c r="D760" t="s">
        <v>6</v>
      </c>
      <c r="E760" s="1">
        <v>43922</v>
      </c>
      <c r="F760">
        <v>1</v>
      </c>
      <c r="G760" t="s">
        <v>35</v>
      </c>
      <c r="H760" t="s">
        <v>36</v>
      </c>
      <c r="I760" s="3">
        <v>1507</v>
      </c>
      <c r="J760" s="3">
        <v>1507</v>
      </c>
      <c r="K760" s="3">
        <v>393</v>
      </c>
      <c r="L760" t="s">
        <v>9</v>
      </c>
      <c r="M760">
        <v>15</v>
      </c>
      <c r="N760" t="s">
        <v>88</v>
      </c>
      <c r="O760" t="s">
        <v>81</v>
      </c>
      <c r="P760" t="s">
        <v>18</v>
      </c>
      <c r="Q760" t="s">
        <v>19</v>
      </c>
      <c r="R760" t="s">
        <v>138</v>
      </c>
      <c r="S760" t="s">
        <v>144</v>
      </c>
      <c r="T760" s="2">
        <f>MASTER[[#This Row],[CANTIDAD]]*MASTER[[#This Row],[PRECIO DE VENTA]]</f>
        <v>1507</v>
      </c>
      <c r="U760" s="2">
        <f>MASTER[[#This Row],[CANTIDAD]]*MASTER[[#This Row],[COSTO UNITARIO]]</f>
        <v>393</v>
      </c>
      <c r="V760" s="2">
        <f>MASTER[[#This Row],[MONTO VENDIDO]]-MASTER[[#This Row],[COSTO DE VENTA]]</f>
        <v>1114</v>
      </c>
    </row>
    <row r="761" spans="1:22" x14ac:dyDescent="0.3">
      <c r="A761">
        <v>19902</v>
      </c>
      <c r="B761">
        <v>1</v>
      </c>
      <c r="C761" t="s">
        <v>109</v>
      </c>
      <c r="D761" t="s">
        <v>110</v>
      </c>
      <c r="E761" s="1">
        <v>43922</v>
      </c>
      <c r="F761">
        <v>1</v>
      </c>
      <c r="G761" t="s">
        <v>22</v>
      </c>
      <c r="H761" t="s">
        <v>23</v>
      </c>
      <c r="I761" s="3">
        <v>947</v>
      </c>
      <c r="J761" s="3">
        <v>861</v>
      </c>
      <c r="K761" s="3">
        <v>387</v>
      </c>
      <c r="L761" t="s">
        <v>98</v>
      </c>
      <c r="M761">
        <v>12</v>
      </c>
      <c r="N761" t="s">
        <v>26</v>
      </c>
      <c r="O761" t="s">
        <v>11</v>
      </c>
      <c r="P761" t="s">
        <v>12</v>
      </c>
      <c r="Q761" t="s">
        <v>13</v>
      </c>
      <c r="R761" t="s">
        <v>13</v>
      </c>
      <c r="S761" t="s">
        <v>144</v>
      </c>
      <c r="T761" s="2">
        <f>MASTER[[#This Row],[CANTIDAD]]*MASTER[[#This Row],[PRECIO DE VENTA]]</f>
        <v>861</v>
      </c>
      <c r="U761" s="2">
        <f>MASTER[[#This Row],[CANTIDAD]]*MASTER[[#This Row],[COSTO UNITARIO]]</f>
        <v>387</v>
      </c>
      <c r="V761" s="2">
        <f>MASTER[[#This Row],[MONTO VENDIDO]]-MASTER[[#This Row],[COSTO DE VENTA]]</f>
        <v>474</v>
      </c>
    </row>
    <row r="762" spans="1:22" x14ac:dyDescent="0.3">
      <c r="A762">
        <v>19909</v>
      </c>
      <c r="B762">
        <v>1</v>
      </c>
      <c r="C762" t="s">
        <v>101</v>
      </c>
      <c r="D762" t="s">
        <v>102</v>
      </c>
      <c r="E762" s="1">
        <v>43922</v>
      </c>
      <c r="F762">
        <v>1</v>
      </c>
      <c r="G762" t="s">
        <v>29</v>
      </c>
      <c r="H762" t="s">
        <v>30</v>
      </c>
      <c r="I762" s="3">
        <v>1212</v>
      </c>
      <c r="J762" s="3">
        <v>1212</v>
      </c>
      <c r="K762" s="3">
        <v>442</v>
      </c>
      <c r="L762" t="s">
        <v>98</v>
      </c>
      <c r="M762">
        <v>4</v>
      </c>
      <c r="N762" t="s">
        <v>82</v>
      </c>
      <c r="O762" t="s">
        <v>81</v>
      </c>
      <c r="P762" t="s">
        <v>71</v>
      </c>
      <c r="Q762" t="s">
        <v>72</v>
      </c>
      <c r="R762" t="s">
        <v>139</v>
      </c>
      <c r="S762" t="s">
        <v>144</v>
      </c>
      <c r="T762" s="2">
        <f>MASTER[[#This Row],[CANTIDAD]]*MASTER[[#This Row],[PRECIO DE VENTA]]</f>
        <v>1212</v>
      </c>
      <c r="U762" s="2">
        <f>MASTER[[#This Row],[CANTIDAD]]*MASTER[[#This Row],[COSTO UNITARIO]]</f>
        <v>442</v>
      </c>
      <c r="V762" s="2">
        <f>MASTER[[#This Row],[MONTO VENDIDO]]-MASTER[[#This Row],[COSTO DE VENTA]]</f>
        <v>770</v>
      </c>
    </row>
    <row r="763" spans="1:22" x14ac:dyDescent="0.3">
      <c r="A763">
        <v>19923</v>
      </c>
      <c r="B763">
        <v>1</v>
      </c>
      <c r="C763" t="s">
        <v>105</v>
      </c>
      <c r="D763" t="s">
        <v>106</v>
      </c>
      <c r="E763" s="1">
        <v>43922</v>
      </c>
      <c r="F763">
        <v>1</v>
      </c>
      <c r="G763" t="s">
        <v>67</v>
      </c>
      <c r="H763" t="s">
        <v>68</v>
      </c>
      <c r="I763" s="3">
        <v>1865</v>
      </c>
      <c r="J763" s="3">
        <v>1865</v>
      </c>
      <c r="K763" s="3">
        <v>459</v>
      </c>
      <c r="L763" t="s">
        <v>98</v>
      </c>
      <c r="M763">
        <v>7</v>
      </c>
      <c r="N763" t="s">
        <v>84</v>
      </c>
      <c r="O763" t="s">
        <v>81</v>
      </c>
      <c r="P763" t="s">
        <v>12</v>
      </c>
      <c r="Q763" t="s">
        <v>13</v>
      </c>
      <c r="R763" t="s">
        <v>13</v>
      </c>
      <c r="S763" t="s">
        <v>144</v>
      </c>
      <c r="T763" s="2">
        <f>MASTER[[#This Row],[CANTIDAD]]*MASTER[[#This Row],[PRECIO DE VENTA]]</f>
        <v>1865</v>
      </c>
      <c r="U763" s="2">
        <f>MASTER[[#This Row],[CANTIDAD]]*MASTER[[#This Row],[COSTO UNITARIO]]</f>
        <v>459</v>
      </c>
      <c r="V763" s="2">
        <f>MASTER[[#This Row],[MONTO VENDIDO]]-MASTER[[#This Row],[COSTO DE VENTA]]</f>
        <v>1406</v>
      </c>
    </row>
    <row r="764" spans="1:22" x14ac:dyDescent="0.3">
      <c r="A764">
        <v>19928</v>
      </c>
      <c r="B764">
        <v>1</v>
      </c>
      <c r="C764" t="s">
        <v>101</v>
      </c>
      <c r="D764" t="s">
        <v>102</v>
      </c>
      <c r="E764" s="1">
        <v>43922</v>
      </c>
      <c r="F764">
        <v>1</v>
      </c>
      <c r="G764" t="s">
        <v>29</v>
      </c>
      <c r="H764" t="s">
        <v>30</v>
      </c>
      <c r="I764" s="3">
        <v>1212</v>
      </c>
      <c r="J764" s="3">
        <v>1212</v>
      </c>
      <c r="K764" s="3">
        <v>442</v>
      </c>
      <c r="L764" t="s">
        <v>98</v>
      </c>
      <c r="M764">
        <v>10</v>
      </c>
      <c r="N764" t="s">
        <v>83</v>
      </c>
      <c r="O764" t="s">
        <v>81</v>
      </c>
      <c r="P764" t="s">
        <v>12</v>
      </c>
      <c r="Q764" t="s">
        <v>13</v>
      </c>
      <c r="R764" t="s">
        <v>13</v>
      </c>
      <c r="S764" t="s">
        <v>144</v>
      </c>
      <c r="T764" s="2">
        <f>MASTER[[#This Row],[CANTIDAD]]*MASTER[[#This Row],[PRECIO DE VENTA]]</f>
        <v>1212</v>
      </c>
      <c r="U764" s="2">
        <f>MASTER[[#This Row],[CANTIDAD]]*MASTER[[#This Row],[COSTO UNITARIO]]</f>
        <v>442</v>
      </c>
      <c r="V764" s="2">
        <f>MASTER[[#This Row],[MONTO VENDIDO]]-MASTER[[#This Row],[COSTO DE VENTA]]</f>
        <v>770</v>
      </c>
    </row>
    <row r="765" spans="1:22" x14ac:dyDescent="0.3">
      <c r="A765">
        <v>19946</v>
      </c>
      <c r="B765">
        <v>1</v>
      </c>
      <c r="C765" t="s">
        <v>5</v>
      </c>
      <c r="D765" t="s">
        <v>6</v>
      </c>
      <c r="E765" s="1">
        <v>43922</v>
      </c>
      <c r="F765">
        <v>1</v>
      </c>
      <c r="G765" t="s">
        <v>35</v>
      </c>
      <c r="H765" t="s">
        <v>36</v>
      </c>
      <c r="I765" s="3">
        <v>1296</v>
      </c>
      <c r="J765" s="3">
        <v>1296</v>
      </c>
      <c r="K765" s="3">
        <v>393</v>
      </c>
      <c r="L765" t="s">
        <v>9</v>
      </c>
      <c r="M765">
        <v>9</v>
      </c>
      <c r="N765" t="s">
        <v>76</v>
      </c>
      <c r="O765" t="s">
        <v>70</v>
      </c>
      <c r="P765" t="s">
        <v>12</v>
      </c>
      <c r="Q765" t="s">
        <v>13</v>
      </c>
      <c r="R765" t="s">
        <v>13</v>
      </c>
      <c r="S765" t="s">
        <v>144</v>
      </c>
      <c r="T765" s="2">
        <f>MASTER[[#This Row],[CANTIDAD]]*MASTER[[#This Row],[PRECIO DE VENTA]]</f>
        <v>1296</v>
      </c>
      <c r="U765" s="2">
        <f>MASTER[[#This Row],[CANTIDAD]]*MASTER[[#This Row],[COSTO UNITARIO]]</f>
        <v>393</v>
      </c>
      <c r="V765" s="2">
        <f>MASTER[[#This Row],[MONTO VENDIDO]]-MASTER[[#This Row],[COSTO DE VENTA]]</f>
        <v>903</v>
      </c>
    </row>
    <row r="766" spans="1:22" x14ac:dyDescent="0.3">
      <c r="A766">
        <v>19953</v>
      </c>
      <c r="B766">
        <v>1</v>
      </c>
      <c r="C766" t="s">
        <v>118</v>
      </c>
      <c r="D766" t="s">
        <v>119</v>
      </c>
      <c r="E766" s="1">
        <v>43922</v>
      </c>
      <c r="F766">
        <v>1</v>
      </c>
      <c r="G766" t="s">
        <v>37</v>
      </c>
      <c r="H766" t="s">
        <v>38</v>
      </c>
      <c r="I766" s="3">
        <v>801</v>
      </c>
      <c r="J766" s="3">
        <v>801</v>
      </c>
      <c r="K766" s="3">
        <v>424</v>
      </c>
      <c r="L766" t="s">
        <v>120</v>
      </c>
      <c r="M766">
        <v>16</v>
      </c>
      <c r="N766" t="s">
        <v>17</v>
      </c>
      <c r="O766" t="s">
        <v>11</v>
      </c>
      <c r="P766" t="s">
        <v>18</v>
      </c>
      <c r="Q766" t="s">
        <v>19</v>
      </c>
      <c r="R766" t="s">
        <v>138</v>
      </c>
      <c r="S766" t="s">
        <v>144</v>
      </c>
      <c r="T766" s="2">
        <f>MASTER[[#This Row],[CANTIDAD]]*MASTER[[#This Row],[PRECIO DE VENTA]]</f>
        <v>801</v>
      </c>
      <c r="U766" s="2">
        <f>MASTER[[#This Row],[CANTIDAD]]*MASTER[[#This Row],[COSTO UNITARIO]]</f>
        <v>424</v>
      </c>
      <c r="V766" s="2">
        <f>MASTER[[#This Row],[MONTO VENDIDO]]-MASTER[[#This Row],[COSTO DE VENTA]]</f>
        <v>377</v>
      </c>
    </row>
    <row r="767" spans="1:22" x14ac:dyDescent="0.3">
      <c r="A767">
        <v>19963</v>
      </c>
      <c r="B767">
        <v>1</v>
      </c>
      <c r="C767" t="s">
        <v>101</v>
      </c>
      <c r="D767" t="s">
        <v>102</v>
      </c>
      <c r="E767" s="1">
        <v>43922</v>
      </c>
      <c r="F767">
        <v>1</v>
      </c>
      <c r="G767" t="s">
        <v>33</v>
      </c>
      <c r="H767" t="s">
        <v>34</v>
      </c>
      <c r="I767" s="3">
        <v>1212</v>
      </c>
      <c r="J767" s="3">
        <v>1212</v>
      </c>
      <c r="K767" s="3">
        <v>442</v>
      </c>
      <c r="L767" t="s">
        <v>98</v>
      </c>
      <c r="M767">
        <v>8</v>
      </c>
      <c r="N767" t="s">
        <v>80</v>
      </c>
      <c r="O767" t="s">
        <v>81</v>
      </c>
      <c r="P767" t="s">
        <v>12</v>
      </c>
      <c r="Q767" t="s">
        <v>13</v>
      </c>
      <c r="R767" t="s">
        <v>13</v>
      </c>
      <c r="S767" t="s">
        <v>144</v>
      </c>
      <c r="T767" s="2">
        <f>MASTER[[#This Row],[CANTIDAD]]*MASTER[[#This Row],[PRECIO DE VENTA]]</f>
        <v>1212</v>
      </c>
      <c r="U767" s="2">
        <f>MASTER[[#This Row],[CANTIDAD]]*MASTER[[#This Row],[COSTO UNITARIO]]</f>
        <v>442</v>
      </c>
      <c r="V767" s="2">
        <f>MASTER[[#This Row],[MONTO VENDIDO]]-MASTER[[#This Row],[COSTO DE VENTA]]</f>
        <v>770</v>
      </c>
    </row>
    <row r="768" spans="1:22" x14ac:dyDescent="0.3">
      <c r="A768">
        <v>20008</v>
      </c>
      <c r="B768">
        <v>1</v>
      </c>
      <c r="C768" t="s">
        <v>116</v>
      </c>
      <c r="D768" t="s">
        <v>117</v>
      </c>
      <c r="E768" s="1">
        <v>43922</v>
      </c>
      <c r="F768">
        <v>1</v>
      </c>
      <c r="G768" t="s">
        <v>59</v>
      </c>
      <c r="H768" t="s">
        <v>60</v>
      </c>
      <c r="I768" s="3">
        <v>1738</v>
      </c>
      <c r="J768" s="3">
        <v>1738</v>
      </c>
      <c r="K768" s="3">
        <v>388</v>
      </c>
      <c r="L768" t="s">
        <v>113</v>
      </c>
      <c r="M768">
        <v>7</v>
      </c>
      <c r="N768" t="s">
        <v>84</v>
      </c>
      <c r="O768" t="s">
        <v>81</v>
      </c>
      <c r="P768" t="s">
        <v>12</v>
      </c>
      <c r="Q768" t="s">
        <v>13</v>
      </c>
      <c r="R768" t="s">
        <v>13</v>
      </c>
      <c r="S768" t="s">
        <v>144</v>
      </c>
      <c r="T768" s="2">
        <f>MASTER[[#This Row],[CANTIDAD]]*MASTER[[#This Row],[PRECIO DE VENTA]]</f>
        <v>1738</v>
      </c>
      <c r="U768" s="2">
        <f>MASTER[[#This Row],[CANTIDAD]]*MASTER[[#This Row],[COSTO UNITARIO]]</f>
        <v>388</v>
      </c>
      <c r="V768" s="2">
        <f>MASTER[[#This Row],[MONTO VENDIDO]]-MASTER[[#This Row],[COSTO DE VENTA]]</f>
        <v>1350</v>
      </c>
    </row>
    <row r="769" spans="1:22" x14ac:dyDescent="0.3">
      <c r="A769">
        <v>20012</v>
      </c>
      <c r="B769">
        <v>1</v>
      </c>
      <c r="C769" t="s">
        <v>103</v>
      </c>
      <c r="D769" t="s">
        <v>104</v>
      </c>
      <c r="E769" s="1">
        <v>43922</v>
      </c>
      <c r="F769">
        <v>1</v>
      </c>
      <c r="G769" t="s">
        <v>61</v>
      </c>
      <c r="H769" t="s">
        <v>62</v>
      </c>
      <c r="I769" s="3">
        <v>1448</v>
      </c>
      <c r="J769" s="3">
        <v>1448</v>
      </c>
      <c r="K769" s="3">
        <v>421</v>
      </c>
      <c r="L769" t="s">
        <v>98</v>
      </c>
      <c r="M769">
        <v>16</v>
      </c>
      <c r="N769" t="s">
        <v>17</v>
      </c>
      <c r="O769" t="s">
        <v>11</v>
      </c>
      <c r="P769" t="s">
        <v>18</v>
      </c>
      <c r="Q769" t="s">
        <v>19</v>
      </c>
      <c r="R769" t="s">
        <v>138</v>
      </c>
      <c r="S769" t="s">
        <v>144</v>
      </c>
      <c r="T769" s="2">
        <f>MASTER[[#This Row],[CANTIDAD]]*MASTER[[#This Row],[PRECIO DE VENTA]]</f>
        <v>1448</v>
      </c>
      <c r="U769" s="2">
        <f>MASTER[[#This Row],[CANTIDAD]]*MASTER[[#This Row],[COSTO UNITARIO]]</f>
        <v>421</v>
      </c>
      <c r="V769" s="2">
        <f>MASTER[[#This Row],[MONTO VENDIDO]]-MASTER[[#This Row],[COSTO DE VENTA]]</f>
        <v>1027</v>
      </c>
    </row>
    <row r="770" spans="1:22" x14ac:dyDescent="0.3">
      <c r="A770">
        <v>20014</v>
      </c>
      <c r="B770">
        <v>1</v>
      </c>
      <c r="C770" t="s">
        <v>103</v>
      </c>
      <c r="D770" t="s">
        <v>104</v>
      </c>
      <c r="E770" s="1">
        <v>43923</v>
      </c>
      <c r="F770">
        <v>1</v>
      </c>
      <c r="G770" t="s">
        <v>45</v>
      </c>
      <c r="H770" t="s">
        <v>46</v>
      </c>
      <c r="I770" s="3">
        <v>1448</v>
      </c>
      <c r="J770" s="3">
        <v>1448</v>
      </c>
      <c r="K770" s="3">
        <v>421</v>
      </c>
      <c r="L770" t="s">
        <v>98</v>
      </c>
      <c r="M770">
        <v>17</v>
      </c>
      <c r="N770" t="s">
        <v>14</v>
      </c>
      <c r="O770" t="s">
        <v>11</v>
      </c>
      <c r="P770" t="s">
        <v>15</v>
      </c>
      <c r="Q770" t="s">
        <v>16</v>
      </c>
      <c r="R770" t="s">
        <v>16</v>
      </c>
      <c r="S770" t="s">
        <v>144</v>
      </c>
      <c r="T770" s="2">
        <f>MASTER[[#This Row],[CANTIDAD]]*MASTER[[#This Row],[PRECIO DE VENTA]]</f>
        <v>1448</v>
      </c>
      <c r="U770" s="2">
        <f>MASTER[[#This Row],[CANTIDAD]]*MASTER[[#This Row],[COSTO UNITARIO]]</f>
        <v>421</v>
      </c>
      <c r="V770" s="2">
        <f>MASTER[[#This Row],[MONTO VENDIDO]]-MASTER[[#This Row],[COSTO DE VENTA]]</f>
        <v>1027</v>
      </c>
    </row>
    <row r="771" spans="1:22" x14ac:dyDescent="0.3">
      <c r="A771">
        <v>20025</v>
      </c>
      <c r="B771">
        <v>1</v>
      </c>
      <c r="C771" t="s">
        <v>121</v>
      </c>
      <c r="D771" t="s">
        <v>122</v>
      </c>
      <c r="E771" s="1">
        <v>43923</v>
      </c>
      <c r="F771">
        <v>1</v>
      </c>
      <c r="G771" t="s">
        <v>61</v>
      </c>
      <c r="H771" t="s">
        <v>62</v>
      </c>
      <c r="I771" s="3">
        <v>1069</v>
      </c>
      <c r="J771" s="3">
        <v>1069</v>
      </c>
      <c r="K771" s="3">
        <v>460</v>
      </c>
      <c r="L771" t="s">
        <v>120</v>
      </c>
      <c r="M771">
        <v>2</v>
      </c>
      <c r="N771" t="s">
        <v>86</v>
      </c>
      <c r="O771" t="s">
        <v>81</v>
      </c>
      <c r="P771" t="s">
        <v>71</v>
      </c>
      <c r="Q771" t="s">
        <v>72</v>
      </c>
      <c r="R771" t="s">
        <v>139</v>
      </c>
      <c r="S771" t="s">
        <v>144</v>
      </c>
      <c r="T771" s="2">
        <f>MASTER[[#This Row],[CANTIDAD]]*MASTER[[#This Row],[PRECIO DE VENTA]]</f>
        <v>1069</v>
      </c>
      <c r="U771" s="2">
        <f>MASTER[[#This Row],[CANTIDAD]]*MASTER[[#This Row],[COSTO UNITARIO]]</f>
        <v>460</v>
      </c>
      <c r="V771" s="2">
        <f>MASTER[[#This Row],[MONTO VENDIDO]]-MASTER[[#This Row],[COSTO DE VENTA]]</f>
        <v>609</v>
      </c>
    </row>
    <row r="772" spans="1:22" x14ac:dyDescent="0.3">
      <c r="A772">
        <v>20027</v>
      </c>
      <c r="B772">
        <v>1</v>
      </c>
      <c r="C772" t="s">
        <v>109</v>
      </c>
      <c r="D772" t="s">
        <v>110</v>
      </c>
      <c r="E772" s="1">
        <v>43923</v>
      </c>
      <c r="F772">
        <v>1</v>
      </c>
      <c r="G772" t="s">
        <v>24</v>
      </c>
      <c r="H772" t="s">
        <v>25</v>
      </c>
      <c r="I772" s="3">
        <v>1064</v>
      </c>
      <c r="J772" s="3">
        <v>1064</v>
      </c>
      <c r="K772" s="3">
        <v>387</v>
      </c>
      <c r="L772" t="s">
        <v>98</v>
      </c>
      <c r="M772">
        <v>15</v>
      </c>
      <c r="N772" t="s">
        <v>88</v>
      </c>
      <c r="O772" t="s">
        <v>81</v>
      </c>
      <c r="P772" t="s">
        <v>18</v>
      </c>
      <c r="Q772" t="s">
        <v>19</v>
      </c>
      <c r="R772" t="s">
        <v>138</v>
      </c>
      <c r="S772" t="s">
        <v>144</v>
      </c>
      <c r="T772" s="2">
        <f>MASTER[[#This Row],[CANTIDAD]]*MASTER[[#This Row],[PRECIO DE VENTA]]</f>
        <v>1064</v>
      </c>
      <c r="U772" s="2">
        <f>MASTER[[#This Row],[CANTIDAD]]*MASTER[[#This Row],[COSTO UNITARIO]]</f>
        <v>387</v>
      </c>
      <c r="V772" s="2">
        <f>MASTER[[#This Row],[MONTO VENDIDO]]-MASTER[[#This Row],[COSTO DE VENTA]]</f>
        <v>677</v>
      </c>
    </row>
    <row r="773" spans="1:22" x14ac:dyDescent="0.3">
      <c r="A773">
        <v>20029</v>
      </c>
      <c r="B773">
        <v>1</v>
      </c>
      <c r="C773" t="s">
        <v>121</v>
      </c>
      <c r="D773" t="s">
        <v>122</v>
      </c>
      <c r="E773" s="1">
        <v>43923</v>
      </c>
      <c r="F773">
        <v>1</v>
      </c>
      <c r="G773" t="s">
        <v>53</v>
      </c>
      <c r="H773" t="s">
        <v>54</v>
      </c>
      <c r="I773" s="3">
        <v>941</v>
      </c>
      <c r="J773" s="3">
        <v>941</v>
      </c>
      <c r="K773" s="3">
        <v>460</v>
      </c>
      <c r="L773" t="s">
        <v>120</v>
      </c>
      <c r="M773">
        <v>12</v>
      </c>
      <c r="N773" t="s">
        <v>26</v>
      </c>
      <c r="O773" t="s">
        <v>11</v>
      </c>
      <c r="P773" t="s">
        <v>12</v>
      </c>
      <c r="Q773" t="s">
        <v>13</v>
      </c>
      <c r="R773" t="s">
        <v>13</v>
      </c>
      <c r="S773" t="s">
        <v>144</v>
      </c>
      <c r="T773" s="2">
        <f>MASTER[[#This Row],[CANTIDAD]]*MASTER[[#This Row],[PRECIO DE VENTA]]</f>
        <v>941</v>
      </c>
      <c r="U773" s="2">
        <f>MASTER[[#This Row],[CANTIDAD]]*MASTER[[#This Row],[COSTO UNITARIO]]</f>
        <v>460</v>
      </c>
      <c r="V773" s="2">
        <f>MASTER[[#This Row],[MONTO VENDIDO]]-MASTER[[#This Row],[COSTO DE VENTA]]</f>
        <v>481</v>
      </c>
    </row>
    <row r="774" spans="1:22" x14ac:dyDescent="0.3">
      <c r="A774">
        <v>20048</v>
      </c>
      <c r="B774">
        <v>3</v>
      </c>
      <c r="C774" t="s">
        <v>90</v>
      </c>
      <c r="D774" t="s">
        <v>91</v>
      </c>
      <c r="E774" s="1">
        <v>43923</v>
      </c>
      <c r="F774">
        <v>1</v>
      </c>
      <c r="G774" t="s">
        <v>61</v>
      </c>
      <c r="H774" t="s">
        <v>62</v>
      </c>
      <c r="I774" s="3">
        <v>1844</v>
      </c>
      <c r="J774" s="3">
        <v>1844</v>
      </c>
      <c r="K774" s="3">
        <v>420</v>
      </c>
      <c r="L774" t="s">
        <v>9</v>
      </c>
      <c r="M774">
        <v>5</v>
      </c>
      <c r="N774" t="s">
        <v>85</v>
      </c>
      <c r="O774" t="s">
        <v>81</v>
      </c>
      <c r="P774" t="s">
        <v>12</v>
      </c>
      <c r="Q774" t="s">
        <v>13</v>
      </c>
      <c r="R774" t="s">
        <v>13</v>
      </c>
      <c r="S774" t="s">
        <v>144</v>
      </c>
      <c r="T774" s="2">
        <f>MASTER[[#This Row],[CANTIDAD]]*MASTER[[#This Row],[PRECIO DE VENTA]]</f>
        <v>1844</v>
      </c>
      <c r="U774" s="2">
        <f>MASTER[[#This Row],[CANTIDAD]]*MASTER[[#This Row],[COSTO UNITARIO]]</f>
        <v>420</v>
      </c>
      <c r="V774" s="2">
        <f>MASTER[[#This Row],[MONTO VENDIDO]]-MASTER[[#This Row],[COSTO DE VENTA]]</f>
        <v>1424</v>
      </c>
    </row>
    <row r="775" spans="1:22" x14ac:dyDescent="0.3">
      <c r="A775">
        <v>20048</v>
      </c>
      <c r="B775">
        <v>2</v>
      </c>
      <c r="C775" t="s">
        <v>96</v>
      </c>
      <c r="D775" t="s">
        <v>97</v>
      </c>
      <c r="E775" s="1">
        <v>43923</v>
      </c>
      <c r="F775">
        <v>1</v>
      </c>
      <c r="G775" t="s">
        <v>20</v>
      </c>
      <c r="H775" t="s">
        <v>21</v>
      </c>
      <c r="I775" s="3">
        <v>1272</v>
      </c>
      <c r="J775" s="3">
        <v>1272</v>
      </c>
      <c r="K775" s="3">
        <v>397</v>
      </c>
      <c r="L775" t="s">
        <v>98</v>
      </c>
      <c r="M775">
        <v>5</v>
      </c>
      <c r="N775" t="s">
        <v>85</v>
      </c>
      <c r="O775" t="s">
        <v>81</v>
      </c>
      <c r="P775" t="s">
        <v>12</v>
      </c>
      <c r="Q775" t="s">
        <v>13</v>
      </c>
      <c r="R775" t="s">
        <v>13</v>
      </c>
      <c r="S775" t="s">
        <v>144</v>
      </c>
      <c r="T775" s="2">
        <f>MASTER[[#This Row],[CANTIDAD]]*MASTER[[#This Row],[PRECIO DE VENTA]]</f>
        <v>1272</v>
      </c>
      <c r="U775" s="2">
        <f>MASTER[[#This Row],[CANTIDAD]]*MASTER[[#This Row],[COSTO UNITARIO]]</f>
        <v>397</v>
      </c>
      <c r="V775" s="2">
        <f>MASTER[[#This Row],[MONTO VENDIDO]]-MASTER[[#This Row],[COSTO DE VENTA]]</f>
        <v>875</v>
      </c>
    </row>
    <row r="776" spans="1:22" x14ac:dyDescent="0.3">
      <c r="A776">
        <v>20048</v>
      </c>
      <c r="B776">
        <v>1</v>
      </c>
      <c r="C776" t="s">
        <v>111</v>
      </c>
      <c r="D776" t="s">
        <v>112</v>
      </c>
      <c r="E776" s="1">
        <v>43923</v>
      </c>
      <c r="F776">
        <v>1</v>
      </c>
      <c r="G776" t="s">
        <v>39</v>
      </c>
      <c r="H776" t="s">
        <v>40</v>
      </c>
      <c r="I776" s="3">
        <v>1621</v>
      </c>
      <c r="J776" s="3">
        <v>1621</v>
      </c>
      <c r="K776" s="3">
        <v>434</v>
      </c>
      <c r="L776" t="s">
        <v>113</v>
      </c>
      <c r="M776">
        <v>5</v>
      </c>
      <c r="N776" t="s">
        <v>85</v>
      </c>
      <c r="O776" t="s">
        <v>81</v>
      </c>
      <c r="P776" t="s">
        <v>12</v>
      </c>
      <c r="Q776" t="s">
        <v>13</v>
      </c>
      <c r="R776" t="s">
        <v>13</v>
      </c>
      <c r="S776" t="s">
        <v>144</v>
      </c>
      <c r="T776" s="2">
        <f>MASTER[[#This Row],[CANTIDAD]]*MASTER[[#This Row],[PRECIO DE VENTA]]</f>
        <v>1621</v>
      </c>
      <c r="U776" s="2">
        <f>MASTER[[#This Row],[CANTIDAD]]*MASTER[[#This Row],[COSTO UNITARIO]]</f>
        <v>434</v>
      </c>
      <c r="V776" s="2">
        <f>MASTER[[#This Row],[MONTO VENDIDO]]-MASTER[[#This Row],[COSTO DE VENTA]]</f>
        <v>1187</v>
      </c>
    </row>
    <row r="777" spans="1:22" x14ac:dyDescent="0.3">
      <c r="A777">
        <v>20061</v>
      </c>
      <c r="B777">
        <v>1</v>
      </c>
      <c r="C777" t="s">
        <v>107</v>
      </c>
      <c r="D777" t="s">
        <v>108</v>
      </c>
      <c r="E777" s="1">
        <v>43924</v>
      </c>
      <c r="F777">
        <v>1</v>
      </c>
      <c r="G777" t="s">
        <v>57</v>
      </c>
      <c r="H777" t="s">
        <v>58</v>
      </c>
      <c r="I777" s="3">
        <v>1333</v>
      </c>
      <c r="J777" s="3">
        <v>1333</v>
      </c>
      <c r="K777" s="3">
        <v>380</v>
      </c>
      <c r="L777" t="s">
        <v>98</v>
      </c>
      <c r="M777">
        <v>2</v>
      </c>
      <c r="N777" t="s">
        <v>86</v>
      </c>
      <c r="O777" t="s">
        <v>81</v>
      </c>
      <c r="P777" t="s">
        <v>71</v>
      </c>
      <c r="Q777" t="s">
        <v>72</v>
      </c>
      <c r="R777" t="s">
        <v>139</v>
      </c>
      <c r="S777" t="s">
        <v>144</v>
      </c>
      <c r="T777" s="2">
        <f>MASTER[[#This Row],[CANTIDAD]]*MASTER[[#This Row],[PRECIO DE VENTA]]</f>
        <v>1333</v>
      </c>
      <c r="U777" s="2">
        <f>MASTER[[#This Row],[CANTIDAD]]*MASTER[[#This Row],[COSTO UNITARIO]]</f>
        <v>380</v>
      </c>
      <c r="V777" s="2">
        <f>MASTER[[#This Row],[MONTO VENDIDO]]-MASTER[[#This Row],[COSTO DE VENTA]]</f>
        <v>953</v>
      </c>
    </row>
    <row r="778" spans="1:22" x14ac:dyDescent="0.3">
      <c r="A778">
        <v>20066</v>
      </c>
      <c r="B778">
        <v>1</v>
      </c>
      <c r="C778" t="s">
        <v>116</v>
      </c>
      <c r="D778" t="s">
        <v>117</v>
      </c>
      <c r="E778" s="1">
        <v>43924</v>
      </c>
      <c r="F778">
        <v>1</v>
      </c>
      <c r="G778" t="s">
        <v>59</v>
      </c>
      <c r="H778" t="s">
        <v>60</v>
      </c>
      <c r="I778" s="3">
        <v>1999</v>
      </c>
      <c r="J778" s="3">
        <v>1999</v>
      </c>
      <c r="K778" s="3">
        <v>388</v>
      </c>
      <c r="L778" t="s">
        <v>113</v>
      </c>
      <c r="M778">
        <v>6</v>
      </c>
      <c r="N778" t="s">
        <v>75</v>
      </c>
      <c r="O778" t="s">
        <v>70</v>
      </c>
      <c r="P778" t="s">
        <v>12</v>
      </c>
      <c r="Q778" t="s">
        <v>13</v>
      </c>
      <c r="R778" t="s">
        <v>13</v>
      </c>
      <c r="S778" t="s">
        <v>144</v>
      </c>
      <c r="T778" s="2">
        <f>MASTER[[#This Row],[CANTIDAD]]*MASTER[[#This Row],[PRECIO DE VENTA]]</f>
        <v>1999</v>
      </c>
      <c r="U778" s="2">
        <f>MASTER[[#This Row],[CANTIDAD]]*MASTER[[#This Row],[COSTO UNITARIO]]</f>
        <v>388</v>
      </c>
      <c r="V778" s="2">
        <f>MASTER[[#This Row],[MONTO VENDIDO]]-MASTER[[#This Row],[COSTO DE VENTA]]</f>
        <v>1611</v>
      </c>
    </row>
    <row r="779" spans="1:22" x14ac:dyDescent="0.3">
      <c r="A779">
        <v>20079</v>
      </c>
      <c r="B779">
        <v>1</v>
      </c>
      <c r="C779" t="s">
        <v>111</v>
      </c>
      <c r="D779" t="s">
        <v>112</v>
      </c>
      <c r="E779" s="1">
        <v>43924</v>
      </c>
      <c r="F779">
        <v>1</v>
      </c>
      <c r="G779" t="s">
        <v>63</v>
      </c>
      <c r="H779" t="s">
        <v>64</v>
      </c>
      <c r="I779" s="3">
        <v>1524</v>
      </c>
      <c r="J779" s="3">
        <v>1524</v>
      </c>
      <c r="K779" s="3">
        <v>434</v>
      </c>
      <c r="L779" t="s">
        <v>113</v>
      </c>
      <c r="M779">
        <v>16</v>
      </c>
      <c r="N779" t="s">
        <v>17</v>
      </c>
      <c r="O779" t="s">
        <v>11</v>
      </c>
      <c r="P779" t="s">
        <v>18</v>
      </c>
      <c r="Q779" t="s">
        <v>19</v>
      </c>
      <c r="R779" t="s">
        <v>138</v>
      </c>
      <c r="S779" t="s">
        <v>144</v>
      </c>
      <c r="T779" s="2">
        <f>MASTER[[#This Row],[CANTIDAD]]*MASTER[[#This Row],[PRECIO DE VENTA]]</f>
        <v>1524</v>
      </c>
      <c r="U779" s="2">
        <f>MASTER[[#This Row],[CANTIDAD]]*MASTER[[#This Row],[COSTO UNITARIO]]</f>
        <v>434</v>
      </c>
      <c r="V779" s="2">
        <f>MASTER[[#This Row],[MONTO VENDIDO]]-MASTER[[#This Row],[COSTO DE VENTA]]</f>
        <v>1090</v>
      </c>
    </row>
    <row r="780" spans="1:22" x14ac:dyDescent="0.3">
      <c r="A780">
        <v>20108</v>
      </c>
      <c r="B780">
        <v>1</v>
      </c>
      <c r="C780" t="s">
        <v>103</v>
      </c>
      <c r="D780" t="s">
        <v>104</v>
      </c>
      <c r="E780" s="1">
        <v>43924</v>
      </c>
      <c r="F780">
        <v>1</v>
      </c>
      <c r="G780" t="s">
        <v>53</v>
      </c>
      <c r="H780" t="s">
        <v>54</v>
      </c>
      <c r="I780" s="3">
        <v>1830</v>
      </c>
      <c r="J780" s="3">
        <v>1830</v>
      </c>
      <c r="K780" s="3">
        <v>421</v>
      </c>
      <c r="L780" t="s">
        <v>98</v>
      </c>
      <c r="M780">
        <v>6</v>
      </c>
      <c r="N780" t="s">
        <v>75</v>
      </c>
      <c r="O780" t="s">
        <v>70</v>
      </c>
      <c r="P780" t="s">
        <v>12</v>
      </c>
      <c r="Q780" t="s">
        <v>13</v>
      </c>
      <c r="R780" t="s">
        <v>13</v>
      </c>
      <c r="S780" t="s">
        <v>144</v>
      </c>
      <c r="T780" s="2">
        <f>MASTER[[#This Row],[CANTIDAD]]*MASTER[[#This Row],[PRECIO DE VENTA]]</f>
        <v>1830</v>
      </c>
      <c r="U780" s="2">
        <f>MASTER[[#This Row],[CANTIDAD]]*MASTER[[#This Row],[COSTO UNITARIO]]</f>
        <v>421</v>
      </c>
      <c r="V780" s="2">
        <f>MASTER[[#This Row],[MONTO VENDIDO]]-MASTER[[#This Row],[COSTO DE VENTA]]</f>
        <v>1409</v>
      </c>
    </row>
    <row r="781" spans="1:22" x14ac:dyDescent="0.3">
      <c r="A781">
        <v>20112</v>
      </c>
      <c r="B781">
        <v>1</v>
      </c>
      <c r="C781" t="s">
        <v>109</v>
      </c>
      <c r="D781" t="s">
        <v>110</v>
      </c>
      <c r="E781" s="1">
        <v>43924</v>
      </c>
      <c r="F781">
        <v>1</v>
      </c>
      <c r="G781" t="s">
        <v>24</v>
      </c>
      <c r="H781" t="s">
        <v>25</v>
      </c>
      <c r="I781" s="3">
        <v>947</v>
      </c>
      <c r="J781" s="3">
        <v>947</v>
      </c>
      <c r="K781" s="3">
        <v>387</v>
      </c>
      <c r="L781" t="s">
        <v>98</v>
      </c>
      <c r="M781">
        <v>17</v>
      </c>
      <c r="N781" t="s">
        <v>14</v>
      </c>
      <c r="O781" t="s">
        <v>11</v>
      </c>
      <c r="P781" t="s">
        <v>15</v>
      </c>
      <c r="Q781" t="s">
        <v>16</v>
      </c>
      <c r="R781" t="s">
        <v>16</v>
      </c>
      <c r="S781" t="s">
        <v>144</v>
      </c>
      <c r="T781" s="2">
        <f>MASTER[[#This Row],[CANTIDAD]]*MASTER[[#This Row],[PRECIO DE VENTA]]</f>
        <v>947</v>
      </c>
      <c r="U781" s="2">
        <f>MASTER[[#This Row],[CANTIDAD]]*MASTER[[#This Row],[COSTO UNITARIO]]</f>
        <v>387</v>
      </c>
      <c r="V781" s="2">
        <f>MASTER[[#This Row],[MONTO VENDIDO]]-MASTER[[#This Row],[COSTO DE VENTA]]</f>
        <v>560</v>
      </c>
    </row>
    <row r="782" spans="1:22" x14ac:dyDescent="0.3">
      <c r="A782">
        <v>20120</v>
      </c>
      <c r="B782">
        <v>1</v>
      </c>
      <c r="C782" t="s">
        <v>105</v>
      </c>
      <c r="D782" t="s">
        <v>106</v>
      </c>
      <c r="E782" s="1">
        <v>43924</v>
      </c>
      <c r="F782">
        <v>1</v>
      </c>
      <c r="G782" t="s">
        <v>65</v>
      </c>
      <c r="H782" t="s">
        <v>66</v>
      </c>
      <c r="I782" s="3">
        <v>1585</v>
      </c>
      <c r="J782" s="3">
        <v>1585</v>
      </c>
      <c r="K782" s="3">
        <v>459</v>
      </c>
      <c r="L782" t="s">
        <v>98</v>
      </c>
      <c r="M782">
        <v>17</v>
      </c>
      <c r="N782" t="s">
        <v>14</v>
      </c>
      <c r="O782" t="s">
        <v>11</v>
      </c>
      <c r="P782" t="s">
        <v>15</v>
      </c>
      <c r="Q782" t="s">
        <v>16</v>
      </c>
      <c r="R782" t="s">
        <v>16</v>
      </c>
      <c r="S782" t="s">
        <v>144</v>
      </c>
      <c r="T782" s="2">
        <f>MASTER[[#This Row],[CANTIDAD]]*MASTER[[#This Row],[PRECIO DE VENTA]]</f>
        <v>1585</v>
      </c>
      <c r="U782" s="2">
        <f>MASTER[[#This Row],[CANTIDAD]]*MASTER[[#This Row],[COSTO UNITARIO]]</f>
        <v>459</v>
      </c>
      <c r="V782" s="2">
        <f>MASTER[[#This Row],[MONTO VENDIDO]]-MASTER[[#This Row],[COSTO DE VENTA]]</f>
        <v>1126</v>
      </c>
    </row>
    <row r="783" spans="1:22" x14ac:dyDescent="0.3">
      <c r="A783">
        <v>20154</v>
      </c>
      <c r="B783">
        <v>1</v>
      </c>
      <c r="C783" t="s">
        <v>5</v>
      </c>
      <c r="D783" t="s">
        <v>6</v>
      </c>
      <c r="E783" s="1">
        <v>43924</v>
      </c>
      <c r="F783">
        <v>1</v>
      </c>
      <c r="G783" t="s">
        <v>22</v>
      </c>
      <c r="H783" t="s">
        <v>23</v>
      </c>
      <c r="I783" s="3">
        <v>1296</v>
      </c>
      <c r="J783" s="3">
        <v>1296</v>
      </c>
      <c r="K783" s="3">
        <v>393</v>
      </c>
      <c r="L783" t="s">
        <v>9</v>
      </c>
      <c r="M783">
        <v>18</v>
      </c>
      <c r="N783" t="s">
        <v>79</v>
      </c>
      <c r="O783" t="s">
        <v>70</v>
      </c>
      <c r="P783" t="s">
        <v>15</v>
      </c>
      <c r="Q783" t="s">
        <v>16</v>
      </c>
      <c r="R783" t="s">
        <v>16</v>
      </c>
      <c r="S783" t="s">
        <v>144</v>
      </c>
      <c r="T783" s="2">
        <f>MASTER[[#This Row],[CANTIDAD]]*MASTER[[#This Row],[PRECIO DE VENTA]]</f>
        <v>1296</v>
      </c>
      <c r="U783" s="2">
        <f>MASTER[[#This Row],[CANTIDAD]]*MASTER[[#This Row],[COSTO UNITARIO]]</f>
        <v>393</v>
      </c>
      <c r="V783" s="2">
        <f>MASTER[[#This Row],[MONTO VENDIDO]]-MASTER[[#This Row],[COSTO DE VENTA]]</f>
        <v>903</v>
      </c>
    </row>
    <row r="784" spans="1:22" x14ac:dyDescent="0.3">
      <c r="A784">
        <v>20181</v>
      </c>
      <c r="B784">
        <v>1</v>
      </c>
      <c r="C784" t="s">
        <v>5</v>
      </c>
      <c r="D784" t="s">
        <v>6</v>
      </c>
      <c r="E784" s="1">
        <v>43924</v>
      </c>
      <c r="F784">
        <v>1</v>
      </c>
      <c r="G784" t="s">
        <v>43</v>
      </c>
      <c r="H784" t="s">
        <v>44</v>
      </c>
      <c r="I784" s="3">
        <v>1507</v>
      </c>
      <c r="J784" s="3">
        <v>1507</v>
      </c>
      <c r="K784" s="3">
        <v>393</v>
      </c>
      <c r="L784" t="s">
        <v>9</v>
      </c>
      <c r="M784">
        <v>5</v>
      </c>
      <c r="N784" t="s">
        <v>85</v>
      </c>
      <c r="O784" t="s">
        <v>81</v>
      </c>
      <c r="P784" t="s">
        <v>12</v>
      </c>
      <c r="Q784" t="s">
        <v>13</v>
      </c>
      <c r="R784" t="s">
        <v>13</v>
      </c>
      <c r="S784" t="s">
        <v>144</v>
      </c>
      <c r="T784" s="2">
        <f>MASTER[[#This Row],[CANTIDAD]]*MASTER[[#This Row],[PRECIO DE VENTA]]</f>
        <v>1507</v>
      </c>
      <c r="U784" s="2">
        <f>MASTER[[#This Row],[CANTIDAD]]*MASTER[[#This Row],[COSTO UNITARIO]]</f>
        <v>393</v>
      </c>
      <c r="V784" s="2">
        <f>MASTER[[#This Row],[MONTO VENDIDO]]-MASTER[[#This Row],[COSTO DE VENTA]]</f>
        <v>1114</v>
      </c>
    </row>
    <row r="785" spans="1:22" x14ac:dyDescent="0.3">
      <c r="A785">
        <v>20184</v>
      </c>
      <c r="B785">
        <v>1</v>
      </c>
      <c r="C785" t="s">
        <v>121</v>
      </c>
      <c r="D785" t="s">
        <v>122</v>
      </c>
      <c r="E785" s="1">
        <v>43924</v>
      </c>
      <c r="F785">
        <v>1</v>
      </c>
      <c r="G785" t="s">
        <v>47</v>
      </c>
      <c r="H785" t="s">
        <v>48</v>
      </c>
      <c r="I785" s="3">
        <v>1069</v>
      </c>
      <c r="J785" s="3">
        <v>1069</v>
      </c>
      <c r="K785" s="3">
        <v>460</v>
      </c>
      <c r="L785" t="s">
        <v>120</v>
      </c>
      <c r="M785">
        <v>8</v>
      </c>
      <c r="N785" t="s">
        <v>80</v>
      </c>
      <c r="O785" t="s">
        <v>81</v>
      </c>
      <c r="P785" t="s">
        <v>12</v>
      </c>
      <c r="Q785" t="s">
        <v>13</v>
      </c>
      <c r="R785" t="s">
        <v>13</v>
      </c>
      <c r="S785" t="s">
        <v>144</v>
      </c>
      <c r="T785" s="2">
        <f>MASTER[[#This Row],[CANTIDAD]]*MASTER[[#This Row],[PRECIO DE VENTA]]</f>
        <v>1069</v>
      </c>
      <c r="U785" s="2">
        <f>MASTER[[#This Row],[CANTIDAD]]*MASTER[[#This Row],[COSTO UNITARIO]]</f>
        <v>460</v>
      </c>
      <c r="V785" s="2">
        <f>MASTER[[#This Row],[MONTO VENDIDO]]-MASTER[[#This Row],[COSTO DE VENTA]]</f>
        <v>609</v>
      </c>
    </row>
    <row r="786" spans="1:22" x14ac:dyDescent="0.3">
      <c r="A786">
        <v>20203</v>
      </c>
      <c r="B786">
        <v>1</v>
      </c>
      <c r="C786" t="s">
        <v>111</v>
      </c>
      <c r="D786" t="s">
        <v>112</v>
      </c>
      <c r="E786" s="1">
        <v>43924</v>
      </c>
      <c r="F786">
        <v>1</v>
      </c>
      <c r="G786" t="s">
        <v>59</v>
      </c>
      <c r="H786" t="s">
        <v>60</v>
      </c>
      <c r="I786" s="3">
        <v>1799</v>
      </c>
      <c r="J786" s="3">
        <v>1799</v>
      </c>
      <c r="K786" s="3">
        <v>434</v>
      </c>
      <c r="L786" t="s">
        <v>113</v>
      </c>
      <c r="M786">
        <v>13</v>
      </c>
      <c r="N786" t="s">
        <v>78</v>
      </c>
      <c r="O786" t="s">
        <v>70</v>
      </c>
      <c r="P786" t="s">
        <v>18</v>
      </c>
      <c r="Q786" t="s">
        <v>19</v>
      </c>
      <c r="R786" t="s">
        <v>138</v>
      </c>
      <c r="S786" t="s">
        <v>144</v>
      </c>
      <c r="T786" s="2">
        <f>MASTER[[#This Row],[CANTIDAD]]*MASTER[[#This Row],[PRECIO DE VENTA]]</f>
        <v>1799</v>
      </c>
      <c r="U786" s="2">
        <f>MASTER[[#This Row],[CANTIDAD]]*MASTER[[#This Row],[COSTO UNITARIO]]</f>
        <v>434</v>
      </c>
      <c r="V786" s="2">
        <f>MASTER[[#This Row],[MONTO VENDIDO]]-MASTER[[#This Row],[COSTO DE VENTA]]</f>
        <v>1365</v>
      </c>
    </row>
    <row r="787" spans="1:22" x14ac:dyDescent="0.3">
      <c r="A787">
        <v>20205</v>
      </c>
      <c r="B787">
        <v>1</v>
      </c>
      <c r="C787" t="s">
        <v>114</v>
      </c>
      <c r="D787" t="s">
        <v>115</v>
      </c>
      <c r="E787" s="1">
        <v>43924</v>
      </c>
      <c r="F787">
        <v>1</v>
      </c>
      <c r="G787" t="s">
        <v>61</v>
      </c>
      <c r="H787" t="s">
        <v>62</v>
      </c>
      <c r="I787" s="3">
        <v>1862</v>
      </c>
      <c r="J787" s="3">
        <v>1862</v>
      </c>
      <c r="K787" s="3">
        <v>394</v>
      </c>
      <c r="L787" t="s">
        <v>113</v>
      </c>
      <c r="M787">
        <v>10</v>
      </c>
      <c r="N787" t="s">
        <v>83</v>
      </c>
      <c r="O787" t="s">
        <v>81</v>
      </c>
      <c r="P787" t="s">
        <v>12</v>
      </c>
      <c r="Q787" t="s">
        <v>13</v>
      </c>
      <c r="R787" t="s">
        <v>13</v>
      </c>
      <c r="S787" t="s">
        <v>144</v>
      </c>
      <c r="T787" s="2">
        <f>MASTER[[#This Row],[CANTIDAD]]*MASTER[[#This Row],[PRECIO DE VENTA]]</f>
        <v>1862</v>
      </c>
      <c r="U787" s="2">
        <f>MASTER[[#This Row],[CANTIDAD]]*MASTER[[#This Row],[COSTO UNITARIO]]</f>
        <v>394</v>
      </c>
      <c r="V787" s="2">
        <f>MASTER[[#This Row],[MONTO VENDIDO]]-MASTER[[#This Row],[COSTO DE VENTA]]</f>
        <v>1468</v>
      </c>
    </row>
    <row r="788" spans="1:22" x14ac:dyDescent="0.3">
      <c r="A788">
        <v>20211</v>
      </c>
      <c r="B788">
        <v>1</v>
      </c>
      <c r="C788" t="s">
        <v>114</v>
      </c>
      <c r="D788" t="s">
        <v>115</v>
      </c>
      <c r="E788" s="1">
        <v>43925</v>
      </c>
      <c r="F788">
        <v>1</v>
      </c>
      <c r="G788" t="s">
        <v>7</v>
      </c>
      <c r="H788" t="s">
        <v>8</v>
      </c>
      <c r="I788" s="3">
        <v>2030</v>
      </c>
      <c r="J788" s="3">
        <v>1847</v>
      </c>
      <c r="K788" s="3">
        <v>394</v>
      </c>
      <c r="L788" t="s">
        <v>113</v>
      </c>
      <c r="M788">
        <v>1</v>
      </c>
      <c r="N788" t="s">
        <v>77</v>
      </c>
      <c r="O788" t="s">
        <v>70</v>
      </c>
      <c r="P788" t="s">
        <v>71</v>
      </c>
      <c r="Q788" t="s">
        <v>72</v>
      </c>
      <c r="R788" t="s">
        <v>139</v>
      </c>
      <c r="S788" t="s">
        <v>144</v>
      </c>
      <c r="T788" s="2">
        <f>MASTER[[#This Row],[CANTIDAD]]*MASTER[[#This Row],[PRECIO DE VENTA]]</f>
        <v>1847</v>
      </c>
      <c r="U788" s="2">
        <f>MASTER[[#This Row],[CANTIDAD]]*MASTER[[#This Row],[COSTO UNITARIO]]</f>
        <v>394</v>
      </c>
      <c r="V788" s="2">
        <f>MASTER[[#This Row],[MONTO VENDIDO]]-MASTER[[#This Row],[COSTO DE VENTA]]</f>
        <v>1453</v>
      </c>
    </row>
    <row r="789" spans="1:22" x14ac:dyDescent="0.3">
      <c r="A789">
        <v>20225</v>
      </c>
      <c r="B789">
        <v>1</v>
      </c>
      <c r="C789" t="s">
        <v>92</v>
      </c>
      <c r="D789" t="s">
        <v>93</v>
      </c>
      <c r="E789" s="1">
        <v>43925</v>
      </c>
      <c r="F789">
        <v>1</v>
      </c>
      <c r="G789" t="s">
        <v>65</v>
      </c>
      <c r="H789" t="s">
        <v>66</v>
      </c>
      <c r="I789" s="3">
        <v>1479</v>
      </c>
      <c r="J789" s="3">
        <v>1479</v>
      </c>
      <c r="K789" s="3">
        <v>396</v>
      </c>
      <c r="L789" t="s">
        <v>9</v>
      </c>
      <c r="M789">
        <v>12</v>
      </c>
      <c r="N789" t="s">
        <v>26</v>
      </c>
      <c r="O789" t="s">
        <v>11</v>
      </c>
      <c r="P789" t="s">
        <v>12</v>
      </c>
      <c r="Q789" t="s">
        <v>13</v>
      </c>
      <c r="R789" t="s">
        <v>13</v>
      </c>
      <c r="S789" t="s">
        <v>144</v>
      </c>
      <c r="T789" s="2">
        <f>MASTER[[#This Row],[CANTIDAD]]*MASTER[[#This Row],[PRECIO DE VENTA]]</f>
        <v>1479</v>
      </c>
      <c r="U789" s="2">
        <f>MASTER[[#This Row],[CANTIDAD]]*MASTER[[#This Row],[COSTO UNITARIO]]</f>
        <v>396</v>
      </c>
      <c r="V789" s="2">
        <f>MASTER[[#This Row],[MONTO VENDIDO]]-MASTER[[#This Row],[COSTO DE VENTA]]</f>
        <v>1083</v>
      </c>
    </row>
    <row r="790" spans="1:22" x14ac:dyDescent="0.3">
      <c r="A790">
        <v>20254</v>
      </c>
      <c r="B790">
        <v>1</v>
      </c>
      <c r="C790" t="s">
        <v>94</v>
      </c>
      <c r="D790" t="s">
        <v>95</v>
      </c>
      <c r="E790" s="1">
        <v>43925</v>
      </c>
      <c r="F790">
        <v>1</v>
      </c>
      <c r="G790" t="s">
        <v>33</v>
      </c>
      <c r="H790" t="s">
        <v>34</v>
      </c>
      <c r="I790" s="3">
        <v>901</v>
      </c>
      <c r="J790" s="3">
        <v>901</v>
      </c>
      <c r="K790" s="3">
        <v>392</v>
      </c>
      <c r="L790" t="s">
        <v>9</v>
      </c>
      <c r="M790">
        <v>17</v>
      </c>
      <c r="N790" t="s">
        <v>14</v>
      </c>
      <c r="O790" t="s">
        <v>11</v>
      </c>
      <c r="P790" t="s">
        <v>15</v>
      </c>
      <c r="Q790" t="s">
        <v>16</v>
      </c>
      <c r="R790" t="s">
        <v>16</v>
      </c>
      <c r="S790" t="s">
        <v>144</v>
      </c>
      <c r="T790" s="2">
        <f>MASTER[[#This Row],[CANTIDAD]]*MASTER[[#This Row],[PRECIO DE VENTA]]</f>
        <v>901</v>
      </c>
      <c r="U790" s="2">
        <f>MASTER[[#This Row],[CANTIDAD]]*MASTER[[#This Row],[COSTO UNITARIO]]</f>
        <v>392</v>
      </c>
      <c r="V790" s="2">
        <f>MASTER[[#This Row],[MONTO VENDIDO]]-MASTER[[#This Row],[COSTO DE VENTA]]</f>
        <v>509</v>
      </c>
    </row>
    <row r="791" spans="1:22" x14ac:dyDescent="0.3">
      <c r="A791">
        <v>20275</v>
      </c>
      <c r="B791">
        <v>1</v>
      </c>
      <c r="C791" t="s">
        <v>118</v>
      </c>
      <c r="D791" t="s">
        <v>119</v>
      </c>
      <c r="E791" s="1">
        <v>43925</v>
      </c>
      <c r="F791">
        <v>1</v>
      </c>
      <c r="G791" t="s">
        <v>41</v>
      </c>
      <c r="H791" t="s">
        <v>42</v>
      </c>
      <c r="I791" s="3">
        <v>900</v>
      </c>
      <c r="J791" s="3">
        <v>900</v>
      </c>
      <c r="K791" s="3">
        <v>424</v>
      </c>
      <c r="L791" t="s">
        <v>120</v>
      </c>
      <c r="M791">
        <v>4</v>
      </c>
      <c r="N791" t="s">
        <v>82</v>
      </c>
      <c r="O791" t="s">
        <v>81</v>
      </c>
      <c r="P791" t="s">
        <v>71</v>
      </c>
      <c r="Q791" t="s">
        <v>72</v>
      </c>
      <c r="R791" t="s">
        <v>139</v>
      </c>
      <c r="S791" t="s">
        <v>144</v>
      </c>
      <c r="T791" s="2">
        <f>MASTER[[#This Row],[CANTIDAD]]*MASTER[[#This Row],[PRECIO DE VENTA]]</f>
        <v>900</v>
      </c>
      <c r="U791" s="2">
        <f>MASTER[[#This Row],[CANTIDAD]]*MASTER[[#This Row],[COSTO UNITARIO]]</f>
        <v>424</v>
      </c>
      <c r="V791" s="2">
        <f>MASTER[[#This Row],[MONTO VENDIDO]]-MASTER[[#This Row],[COSTO DE VENTA]]</f>
        <v>476</v>
      </c>
    </row>
    <row r="792" spans="1:22" x14ac:dyDescent="0.3">
      <c r="A792">
        <v>20285</v>
      </c>
      <c r="B792">
        <v>1</v>
      </c>
      <c r="C792" t="s">
        <v>109</v>
      </c>
      <c r="D792" t="s">
        <v>110</v>
      </c>
      <c r="E792" s="1">
        <v>43925</v>
      </c>
      <c r="F792">
        <v>1</v>
      </c>
      <c r="G792" t="s">
        <v>73</v>
      </c>
      <c r="H792" t="s">
        <v>74</v>
      </c>
      <c r="I792" s="3">
        <v>1064</v>
      </c>
      <c r="J792" s="3">
        <v>1064</v>
      </c>
      <c r="K792" s="3">
        <v>387</v>
      </c>
      <c r="L792" t="s">
        <v>98</v>
      </c>
      <c r="M792">
        <v>15</v>
      </c>
      <c r="N792" t="s">
        <v>88</v>
      </c>
      <c r="O792" t="s">
        <v>81</v>
      </c>
      <c r="P792" t="s">
        <v>18</v>
      </c>
      <c r="Q792" t="s">
        <v>19</v>
      </c>
      <c r="R792" t="s">
        <v>138</v>
      </c>
      <c r="S792" t="s">
        <v>144</v>
      </c>
      <c r="T792" s="2">
        <f>MASTER[[#This Row],[CANTIDAD]]*MASTER[[#This Row],[PRECIO DE VENTA]]</f>
        <v>1064</v>
      </c>
      <c r="U792" s="2">
        <f>MASTER[[#This Row],[CANTIDAD]]*MASTER[[#This Row],[COSTO UNITARIO]]</f>
        <v>387</v>
      </c>
      <c r="V792" s="2">
        <f>MASTER[[#This Row],[MONTO VENDIDO]]-MASTER[[#This Row],[COSTO DE VENTA]]</f>
        <v>677</v>
      </c>
    </row>
    <row r="793" spans="1:22" x14ac:dyDescent="0.3">
      <c r="A793">
        <v>20291</v>
      </c>
      <c r="B793">
        <v>1</v>
      </c>
      <c r="C793" t="s">
        <v>114</v>
      </c>
      <c r="D793" t="s">
        <v>115</v>
      </c>
      <c r="E793" s="1">
        <v>43925</v>
      </c>
      <c r="F793">
        <v>1</v>
      </c>
      <c r="G793" t="s">
        <v>51</v>
      </c>
      <c r="H793" t="s">
        <v>52</v>
      </c>
      <c r="I793" s="3">
        <v>2030</v>
      </c>
      <c r="J793" s="3">
        <v>2030</v>
      </c>
      <c r="K793" s="3">
        <v>394</v>
      </c>
      <c r="L793" t="s">
        <v>113</v>
      </c>
      <c r="M793">
        <v>1</v>
      </c>
      <c r="N793" t="s">
        <v>77</v>
      </c>
      <c r="O793" t="s">
        <v>70</v>
      </c>
      <c r="P793" t="s">
        <v>71</v>
      </c>
      <c r="Q793" t="s">
        <v>72</v>
      </c>
      <c r="R793" t="s">
        <v>139</v>
      </c>
      <c r="S793" t="s">
        <v>144</v>
      </c>
      <c r="T793" s="2">
        <f>MASTER[[#This Row],[CANTIDAD]]*MASTER[[#This Row],[PRECIO DE VENTA]]</f>
        <v>2030</v>
      </c>
      <c r="U793" s="2">
        <f>MASTER[[#This Row],[CANTIDAD]]*MASTER[[#This Row],[COSTO UNITARIO]]</f>
        <v>394</v>
      </c>
      <c r="V793" s="2">
        <f>MASTER[[#This Row],[MONTO VENDIDO]]-MASTER[[#This Row],[COSTO DE VENTA]]</f>
        <v>1636</v>
      </c>
    </row>
    <row r="794" spans="1:22" x14ac:dyDescent="0.3">
      <c r="A794">
        <v>20301</v>
      </c>
      <c r="B794">
        <v>1</v>
      </c>
      <c r="C794" t="s">
        <v>107</v>
      </c>
      <c r="D794" t="s">
        <v>108</v>
      </c>
      <c r="E794" s="1">
        <v>43925</v>
      </c>
      <c r="F794">
        <v>1</v>
      </c>
      <c r="G794" t="s">
        <v>22</v>
      </c>
      <c r="H794" t="s">
        <v>23</v>
      </c>
      <c r="I794" s="3">
        <v>1240</v>
      </c>
      <c r="J794" s="3">
        <v>1240</v>
      </c>
      <c r="K794" s="3">
        <v>380</v>
      </c>
      <c r="L794" t="s">
        <v>98</v>
      </c>
      <c r="M794">
        <v>11</v>
      </c>
      <c r="N794" t="s">
        <v>10</v>
      </c>
      <c r="O794" t="s">
        <v>11</v>
      </c>
      <c r="P794" t="s">
        <v>12</v>
      </c>
      <c r="Q794" t="s">
        <v>13</v>
      </c>
      <c r="R794" t="s">
        <v>13</v>
      </c>
      <c r="S794" t="s">
        <v>144</v>
      </c>
      <c r="T794" s="2">
        <f>MASTER[[#This Row],[CANTIDAD]]*MASTER[[#This Row],[PRECIO DE VENTA]]</f>
        <v>1240</v>
      </c>
      <c r="U794" s="2">
        <f>MASTER[[#This Row],[CANTIDAD]]*MASTER[[#This Row],[COSTO UNITARIO]]</f>
        <v>380</v>
      </c>
      <c r="V794" s="2">
        <f>MASTER[[#This Row],[MONTO VENDIDO]]-MASTER[[#This Row],[COSTO DE VENTA]]</f>
        <v>860</v>
      </c>
    </row>
    <row r="795" spans="1:22" x14ac:dyDescent="0.3">
      <c r="A795">
        <v>20304</v>
      </c>
      <c r="B795">
        <v>1</v>
      </c>
      <c r="C795" t="s">
        <v>92</v>
      </c>
      <c r="D795" t="s">
        <v>93</v>
      </c>
      <c r="E795" s="1">
        <v>43925</v>
      </c>
      <c r="F795">
        <v>1</v>
      </c>
      <c r="G795" t="s">
        <v>37</v>
      </c>
      <c r="H795" t="s">
        <v>38</v>
      </c>
      <c r="I795" s="3">
        <v>1866</v>
      </c>
      <c r="J795" s="3">
        <v>1735</v>
      </c>
      <c r="K795" s="3">
        <v>396</v>
      </c>
      <c r="L795" t="s">
        <v>9</v>
      </c>
      <c r="M795">
        <v>1</v>
      </c>
      <c r="N795" t="s">
        <v>77</v>
      </c>
      <c r="O795" t="s">
        <v>70</v>
      </c>
      <c r="P795" t="s">
        <v>71</v>
      </c>
      <c r="Q795" t="s">
        <v>72</v>
      </c>
      <c r="R795" t="s">
        <v>139</v>
      </c>
      <c r="S795" t="s">
        <v>144</v>
      </c>
      <c r="T795" s="2">
        <f>MASTER[[#This Row],[CANTIDAD]]*MASTER[[#This Row],[PRECIO DE VENTA]]</f>
        <v>1735</v>
      </c>
      <c r="U795" s="2">
        <f>MASTER[[#This Row],[CANTIDAD]]*MASTER[[#This Row],[COSTO UNITARIO]]</f>
        <v>396</v>
      </c>
      <c r="V795" s="2">
        <f>MASTER[[#This Row],[MONTO VENDIDO]]-MASTER[[#This Row],[COSTO DE VENTA]]</f>
        <v>1339</v>
      </c>
    </row>
    <row r="796" spans="1:22" x14ac:dyDescent="0.3">
      <c r="A796">
        <v>20310</v>
      </c>
      <c r="B796">
        <v>1</v>
      </c>
      <c r="C796" t="s">
        <v>121</v>
      </c>
      <c r="D796" t="s">
        <v>122</v>
      </c>
      <c r="E796" s="1">
        <v>43926</v>
      </c>
      <c r="F796">
        <v>1</v>
      </c>
      <c r="G796" t="s">
        <v>49</v>
      </c>
      <c r="H796" t="s">
        <v>50</v>
      </c>
      <c r="I796" s="3">
        <v>1069</v>
      </c>
      <c r="J796" s="3">
        <v>972</v>
      </c>
      <c r="K796" s="3">
        <v>460</v>
      </c>
      <c r="L796" t="s">
        <v>120</v>
      </c>
      <c r="M796">
        <v>15</v>
      </c>
      <c r="N796" t="s">
        <v>88</v>
      </c>
      <c r="O796" t="s">
        <v>81</v>
      </c>
      <c r="P796" t="s">
        <v>18</v>
      </c>
      <c r="Q796" t="s">
        <v>19</v>
      </c>
      <c r="R796" t="s">
        <v>138</v>
      </c>
      <c r="S796" t="s">
        <v>144</v>
      </c>
      <c r="T796" s="2">
        <f>MASTER[[#This Row],[CANTIDAD]]*MASTER[[#This Row],[PRECIO DE VENTA]]</f>
        <v>972</v>
      </c>
      <c r="U796" s="2">
        <f>MASTER[[#This Row],[CANTIDAD]]*MASTER[[#This Row],[COSTO UNITARIO]]</f>
        <v>460</v>
      </c>
      <c r="V796" s="2">
        <f>MASTER[[#This Row],[MONTO VENDIDO]]-MASTER[[#This Row],[COSTO DE VENTA]]</f>
        <v>512</v>
      </c>
    </row>
    <row r="797" spans="1:22" x14ac:dyDescent="0.3">
      <c r="A797">
        <v>20325</v>
      </c>
      <c r="B797">
        <v>1</v>
      </c>
      <c r="C797" t="s">
        <v>90</v>
      </c>
      <c r="D797" t="s">
        <v>91</v>
      </c>
      <c r="E797" s="1">
        <v>43926</v>
      </c>
      <c r="F797">
        <v>1</v>
      </c>
      <c r="G797" t="s">
        <v>7</v>
      </c>
      <c r="H797" t="s">
        <v>8</v>
      </c>
      <c r="I797" s="3">
        <v>2102</v>
      </c>
      <c r="J797" s="3">
        <v>2102</v>
      </c>
      <c r="K797" s="3">
        <v>420</v>
      </c>
      <c r="L797" t="s">
        <v>9</v>
      </c>
      <c r="M797">
        <v>1</v>
      </c>
      <c r="N797" t="s">
        <v>77</v>
      </c>
      <c r="O797" t="s">
        <v>70</v>
      </c>
      <c r="P797" t="s">
        <v>71</v>
      </c>
      <c r="Q797" t="s">
        <v>72</v>
      </c>
      <c r="R797" t="s">
        <v>139</v>
      </c>
      <c r="S797" t="s">
        <v>144</v>
      </c>
      <c r="T797" s="2">
        <f>MASTER[[#This Row],[CANTIDAD]]*MASTER[[#This Row],[PRECIO DE VENTA]]</f>
        <v>2102</v>
      </c>
      <c r="U797" s="2">
        <f>MASTER[[#This Row],[CANTIDAD]]*MASTER[[#This Row],[COSTO UNITARIO]]</f>
        <v>420</v>
      </c>
      <c r="V797" s="2">
        <f>MASTER[[#This Row],[MONTO VENDIDO]]-MASTER[[#This Row],[COSTO DE VENTA]]</f>
        <v>1682</v>
      </c>
    </row>
    <row r="798" spans="1:22" x14ac:dyDescent="0.3">
      <c r="A798">
        <v>20332</v>
      </c>
      <c r="B798">
        <v>1</v>
      </c>
      <c r="C798" t="s">
        <v>101</v>
      </c>
      <c r="D798" t="s">
        <v>102</v>
      </c>
      <c r="E798" s="1">
        <v>43926</v>
      </c>
      <c r="F798">
        <v>1</v>
      </c>
      <c r="G798" t="s">
        <v>61</v>
      </c>
      <c r="H798" t="s">
        <v>62</v>
      </c>
      <c r="I798" s="3">
        <v>1054</v>
      </c>
      <c r="J798" s="3">
        <v>1054</v>
      </c>
      <c r="K798" s="3">
        <v>442</v>
      </c>
      <c r="L798" t="s">
        <v>98</v>
      </c>
      <c r="M798">
        <v>17</v>
      </c>
      <c r="N798" t="s">
        <v>14</v>
      </c>
      <c r="O798" t="s">
        <v>11</v>
      </c>
      <c r="P798" t="s">
        <v>15</v>
      </c>
      <c r="Q798" t="s">
        <v>16</v>
      </c>
      <c r="R798" t="s">
        <v>16</v>
      </c>
      <c r="S798" t="s">
        <v>144</v>
      </c>
      <c r="T798" s="2">
        <f>MASTER[[#This Row],[CANTIDAD]]*MASTER[[#This Row],[PRECIO DE VENTA]]</f>
        <v>1054</v>
      </c>
      <c r="U798" s="2">
        <f>MASTER[[#This Row],[CANTIDAD]]*MASTER[[#This Row],[COSTO UNITARIO]]</f>
        <v>442</v>
      </c>
      <c r="V798" s="2">
        <f>MASTER[[#This Row],[MONTO VENDIDO]]-MASTER[[#This Row],[COSTO DE VENTA]]</f>
        <v>612</v>
      </c>
    </row>
    <row r="799" spans="1:22" x14ac:dyDescent="0.3">
      <c r="A799">
        <v>20339</v>
      </c>
      <c r="B799">
        <v>1</v>
      </c>
      <c r="C799" t="s">
        <v>121</v>
      </c>
      <c r="D799" t="s">
        <v>122</v>
      </c>
      <c r="E799" s="1">
        <v>43926</v>
      </c>
      <c r="F799">
        <v>1</v>
      </c>
      <c r="G799" t="s">
        <v>39</v>
      </c>
      <c r="H799" t="s">
        <v>40</v>
      </c>
      <c r="I799" s="3">
        <v>1144</v>
      </c>
      <c r="J799" s="3">
        <v>1144</v>
      </c>
      <c r="K799" s="3">
        <v>460</v>
      </c>
      <c r="L799" t="s">
        <v>120</v>
      </c>
      <c r="M799">
        <v>18</v>
      </c>
      <c r="N799" t="s">
        <v>79</v>
      </c>
      <c r="O799" t="s">
        <v>70</v>
      </c>
      <c r="P799" t="s">
        <v>15</v>
      </c>
      <c r="Q799" t="s">
        <v>16</v>
      </c>
      <c r="R799" t="s">
        <v>16</v>
      </c>
      <c r="S799" t="s">
        <v>144</v>
      </c>
      <c r="T799" s="2">
        <f>MASTER[[#This Row],[CANTIDAD]]*MASTER[[#This Row],[PRECIO DE VENTA]]</f>
        <v>1144</v>
      </c>
      <c r="U799" s="2">
        <f>MASTER[[#This Row],[CANTIDAD]]*MASTER[[#This Row],[COSTO UNITARIO]]</f>
        <v>460</v>
      </c>
      <c r="V799" s="2">
        <f>MASTER[[#This Row],[MONTO VENDIDO]]-MASTER[[#This Row],[COSTO DE VENTA]]</f>
        <v>684</v>
      </c>
    </row>
    <row r="800" spans="1:22" x14ac:dyDescent="0.3">
      <c r="A800">
        <v>20348</v>
      </c>
      <c r="B800">
        <v>1</v>
      </c>
      <c r="C800" t="s">
        <v>111</v>
      </c>
      <c r="D800" t="s">
        <v>112</v>
      </c>
      <c r="E800" s="1">
        <v>43926</v>
      </c>
      <c r="F800">
        <v>1</v>
      </c>
      <c r="G800" t="s">
        <v>55</v>
      </c>
      <c r="H800" t="s">
        <v>56</v>
      </c>
      <c r="I800" s="3">
        <v>1621</v>
      </c>
      <c r="J800" s="3">
        <v>1621</v>
      </c>
      <c r="K800" s="3">
        <v>434</v>
      </c>
      <c r="L800" t="s">
        <v>113</v>
      </c>
      <c r="M800">
        <v>7</v>
      </c>
      <c r="N800" t="s">
        <v>84</v>
      </c>
      <c r="O800" t="s">
        <v>81</v>
      </c>
      <c r="P800" t="s">
        <v>12</v>
      </c>
      <c r="Q800" t="s">
        <v>13</v>
      </c>
      <c r="R800" t="s">
        <v>13</v>
      </c>
      <c r="S800" t="s">
        <v>144</v>
      </c>
      <c r="T800" s="2">
        <f>MASTER[[#This Row],[CANTIDAD]]*MASTER[[#This Row],[PRECIO DE VENTA]]</f>
        <v>1621</v>
      </c>
      <c r="U800" s="2">
        <f>MASTER[[#This Row],[CANTIDAD]]*MASTER[[#This Row],[COSTO UNITARIO]]</f>
        <v>434</v>
      </c>
      <c r="V800" s="2">
        <f>MASTER[[#This Row],[MONTO VENDIDO]]-MASTER[[#This Row],[COSTO DE VENTA]]</f>
        <v>1187</v>
      </c>
    </row>
    <row r="801" spans="1:22" x14ac:dyDescent="0.3">
      <c r="A801">
        <v>20355</v>
      </c>
      <c r="B801">
        <v>1</v>
      </c>
      <c r="C801" t="s">
        <v>116</v>
      </c>
      <c r="D801" t="s">
        <v>117</v>
      </c>
      <c r="E801" s="1">
        <v>43926</v>
      </c>
      <c r="F801">
        <v>1</v>
      </c>
      <c r="G801" t="s">
        <v>59</v>
      </c>
      <c r="H801" t="s">
        <v>60</v>
      </c>
      <c r="I801" s="3">
        <v>1738</v>
      </c>
      <c r="J801" s="3">
        <v>1651</v>
      </c>
      <c r="K801" s="3">
        <v>388</v>
      </c>
      <c r="L801" t="s">
        <v>113</v>
      </c>
      <c r="M801">
        <v>7</v>
      </c>
      <c r="N801" t="s">
        <v>84</v>
      </c>
      <c r="O801" t="s">
        <v>81</v>
      </c>
      <c r="P801" t="s">
        <v>12</v>
      </c>
      <c r="Q801" t="s">
        <v>13</v>
      </c>
      <c r="R801" t="s">
        <v>13</v>
      </c>
      <c r="S801" t="s">
        <v>144</v>
      </c>
      <c r="T801" s="2">
        <f>MASTER[[#This Row],[CANTIDAD]]*MASTER[[#This Row],[PRECIO DE VENTA]]</f>
        <v>1651</v>
      </c>
      <c r="U801" s="2">
        <f>MASTER[[#This Row],[CANTIDAD]]*MASTER[[#This Row],[COSTO UNITARIO]]</f>
        <v>388</v>
      </c>
      <c r="V801" s="2">
        <f>MASTER[[#This Row],[MONTO VENDIDO]]-MASTER[[#This Row],[COSTO DE VENTA]]</f>
        <v>1263</v>
      </c>
    </row>
    <row r="802" spans="1:22" x14ac:dyDescent="0.3">
      <c r="A802">
        <v>20357</v>
      </c>
      <c r="B802">
        <v>1</v>
      </c>
      <c r="C802" t="s">
        <v>96</v>
      </c>
      <c r="D802" t="s">
        <v>97</v>
      </c>
      <c r="E802" s="1">
        <v>43926</v>
      </c>
      <c r="F802">
        <v>1</v>
      </c>
      <c r="G802" t="s">
        <v>22</v>
      </c>
      <c r="H802" t="s">
        <v>23</v>
      </c>
      <c r="I802" s="3">
        <v>1272</v>
      </c>
      <c r="J802" s="3">
        <v>1272</v>
      </c>
      <c r="K802" s="3">
        <v>397</v>
      </c>
      <c r="L802" t="s">
        <v>98</v>
      </c>
      <c r="M802">
        <v>10</v>
      </c>
      <c r="N802" t="s">
        <v>83</v>
      </c>
      <c r="O802" t="s">
        <v>81</v>
      </c>
      <c r="P802" t="s">
        <v>12</v>
      </c>
      <c r="Q802" t="s">
        <v>13</v>
      </c>
      <c r="R802" t="s">
        <v>13</v>
      </c>
      <c r="S802" t="s">
        <v>144</v>
      </c>
      <c r="T802" s="2">
        <f>MASTER[[#This Row],[CANTIDAD]]*MASTER[[#This Row],[PRECIO DE VENTA]]</f>
        <v>1272</v>
      </c>
      <c r="U802" s="2">
        <f>MASTER[[#This Row],[CANTIDAD]]*MASTER[[#This Row],[COSTO UNITARIO]]</f>
        <v>397</v>
      </c>
      <c r="V802" s="2">
        <f>MASTER[[#This Row],[MONTO VENDIDO]]-MASTER[[#This Row],[COSTO DE VENTA]]</f>
        <v>875</v>
      </c>
    </row>
    <row r="803" spans="1:22" x14ac:dyDescent="0.3">
      <c r="A803">
        <v>20357</v>
      </c>
      <c r="B803">
        <v>2</v>
      </c>
      <c r="C803" t="s">
        <v>107</v>
      </c>
      <c r="D803" t="s">
        <v>108</v>
      </c>
      <c r="E803" s="1">
        <v>43926</v>
      </c>
      <c r="F803">
        <v>1</v>
      </c>
      <c r="G803" t="s">
        <v>33</v>
      </c>
      <c r="H803" t="s">
        <v>34</v>
      </c>
      <c r="I803" s="3">
        <v>1333</v>
      </c>
      <c r="J803" s="3">
        <v>1279</v>
      </c>
      <c r="K803" s="3">
        <v>380</v>
      </c>
      <c r="L803" t="s">
        <v>98</v>
      </c>
      <c r="M803">
        <v>10</v>
      </c>
      <c r="N803" t="s">
        <v>83</v>
      </c>
      <c r="O803" t="s">
        <v>81</v>
      </c>
      <c r="P803" t="s">
        <v>12</v>
      </c>
      <c r="Q803" t="s">
        <v>13</v>
      </c>
      <c r="R803" t="s">
        <v>13</v>
      </c>
      <c r="S803" t="s">
        <v>144</v>
      </c>
      <c r="T803" s="2">
        <f>MASTER[[#This Row],[CANTIDAD]]*MASTER[[#This Row],[PRECIO DE VENTA]]</f>
        <v>1279</v>
      </c>
      <c r="U803" s="2">
        <f>MASTER[[#This Row],[CANTIDAD]]*MASTER[[#This Row],[COSTO UNITARIO]]</f>
        <v>380</v>
      </c>
      <c r="V803" s="2">
        <f>MASTER[[#This Row],[MONTO VENDIDO]]-MASTER[[#This Row],[COSTO DE VENTA]]</f>
        <v>899</v>
      </c>
    </row>
    <row r="804" spans="1:22" x14ac:dyDescent="0.3">
      <c r="A804">
        <v>20367</v>
      </c>
      <c r="B804">
        <v>1</v>
      </c>
      <c r="C804" t="s">
        <v>92</v>
      </c>
      <c r="D804" t="s">
        <v>93</v>
      </c>
      <c r="E804" s="1">
        <v>43926</v>
      </c>
      <c r="F804">
        <v>1</v>
      </c>
      <c r="G804" t="s">
        <v>7</v>
      </c>
      <c r="H804" t="s">
        <v>8</v>
      </c>
      <c r="I804" s="3">
        <v>1681</v>
      </c>
      <c r="J804" s="3">
        <v>1681</v>
      </c>
      <c r="K804" s="3">
        <v>396</v>
      </c>
      <c r="L804" t="s">
        <v>9</v>
      </c>
      <c r="M804">
        <v>7</v>
      </c>
      <c r="N804" t="s">
        <v>84</v>
      </c>
      <c r="O804" t="s">
        <v>81</v>
      </c>
      <c r="P804" t="s">
        <v>12</v>
      </c>
      <c r="Q804" t="s">
        <v>13</v>
      </c>
      <c r="R804" t="s">
        <v>13</v>
      </c>
      <c r="S804" t="s">
        <v>144</v>
      </c>
      <c r="T804" s="2">
        <f>MASTER[[#This Row],[CANTIDAD]]*MASTER[[#This Row],[PRECIO DE VENTA]]</f>
        <v>1681</v>
      </c>
      <c r="U804" s="2">
        <f>MASTER[[#This Row],[CANTIDAD]]*MASTER[[#This Row],[COSTO UNITARIO]]</f>
        <v>396</v>
      </c>
      <c r="V804" s="2">
        <f>MASTER[[#This Row],[MONTO VENDIDO]]-MASTER[[#This Row],[COSTO DE VENTA]]</f>
        <v>1285</v>
      </c>
    </row>
    <row r="805" spans="1:22" x14ac:dyDescent="0.3">
      <c r="A805">
        <v>20371</v>
      </c>
      <c r="B805">
        <v>1</v>
      </c>
      <c r="C805" t="s">
        <v>5</v>
      </c>
      <c r="D805" t="s">
        <v>6</v>
      </c>
      <c r="E805" s="1">
        <v>43926</v>
      </c>
      <c r="F805">
        <v>1</v>
      </c>
      <c r="G805" t="s">
        <v>31</v>
      </c>
      <c r="H805" t="s">
        <v>32</v>
      </c>
      <c r="I805" s="3">
        <v>1507</v>
      </c>
      <c r="J805" s="3">
        <v>1507</v>
      </c>
      <c r="K805" s="3">
        <v>393</v>
      </c>
      <c r="L805" t="s">
        <v>9</v>
      </c>
      <c r="M805">
        <v>7</v>
      </c>
      <c r="N805" t="s">
        <v>84</v>
      </c>
      <c r="O805" t="s">
        <v>81</v>
      </c>
      <c r="P805" t="s">
        <v>12</v>
      </c>
      <c r="Q805" t="s">
        <v>13</v>
      </c>
      <c r="R805" t="s">
        <v>13</v>
      </c>
      <c r="S805" t="s">
        <v>144</v>
      </c>
      <c r="T805" s="2">
        <f>MASTER[[#This Row],[CANTIDAD]]*MASTER[[#This Row],[PRECIO DE VENTA]]</f>
        <v>1507</v>
      </c>
      <c r="U805" s="2">
        <f>MASTER[[#This Row],[CANTIDAD]]*MASTER[[#This Row],[COSTO UNITARIO]]</f>
        <v>393</v>
      </c>
      <c r="V805" s="2">
        <f>MASTER[[#This Row],[MONTO VENDIDO]]-MASTER[[#This Row],[COSTO DE VENTA]]</f>
        <v>1114</v>
      </c>
    </row>
    <row r="806" spans="1:22" x14ac:dyDescent="0.3">
      <c r="A806">
        <v>20399</v>
      </c>
      <c r="B806">
        <v>1</v>
      </c>
      <c r="C806" t="s">
        <v>101</v>
      </c>
      <c r="D806" t="s">
        <v>102</v>
      </c>
      <c r="E806" s="1">
        <v>43926</v>
      </c>
      <c r="F806">
        <v>1</v>
      </c>
      <c r="G806" t="s">
        <v>59</v>
      </c>
      <c r="H806" t="s">
        <v>60</v>
      </c>
      <c r="I806" s="3">
        <v>1357</v>
      </c>
      <c r="J806" s="3">
        <v>1357</v>
      </c>
      <c r="K806" s="3">
        <v>442</v>
      </c>
      <c r="L806" t="s">
        <v>98</v>
      </c>
      <c r="M806">
        <v>18</v>
      </c>
      <c r="N806" t="s">
        <v>79</v>
      </c>
      <c r="O806" t="s">
        <v>70</v>
      </c>
      <c r="P806" t="s">
        <v>15</v>
      </c>
      <c r="Q806" t="s">
        <v>16</v>
      </c>
      <c r="R806" t="s">
        <v>16</v>
      </c>
      <c r="S806" t="s">
        <v>144</v>
      </c>
      <c r="T806" s="2">
        <f>MASTER[[#This Row],[CANTIDAD]]*MASTER[[#This Row],[PRECIO DE VENTA]]</f>
        <v>1357</v>
      </c>
      <c r="U806" s="2">
        <f>MASTER[[#This Row],[CANTIDAD]]*MASTER[[#This Row],[COSTO UNITARIO]]</f>
        <v>442</v>
      </c>
      <c r="V806" s="2">
        <f>MASTER[[#This Row],[MONTO VENDIDO]]-MASTER[[#This Row],[COSTO DE VENTA]]</f>
        <v>915</v>
      </c>
    </row>
    <row r="807" spans="1:22" x14ac:dyDescent="0.3">
      <c r="A807">
        <v>20403</v>
      </c>
      <c r="B807">
        <v>1</v>
      </c>
      <c r="C807" t="s">
        <v>5</v>
      </c>
      <c r="D807" t="s">
        <v>6</v>
      </c>
      <c r="E807" s="1">
        <v>43926</v>
      </c>
      <c r="F807">
        <v>1</v>
      </c>
      <c r="G807" t="s">
        <v>33</v>
      </c>
      <c r="H807" t="s">
        <v>34</v>
      </c>
      <c r="I807" s="3">
        <v>1311</v>
      </c>
      <c r="J807" s="3">
        <v>1311</v>
      </c>
      <c r="K807" s="3">
        <v>393</v>
      </c>
      <c r="L807" t="s">
        <v>9</v>
      </c>
      <c r="M807">
        <v>11</v>
      </c>
      <c r="N807" t="s">
        <v>10</v>
      </c>
      <c r="O807" t="s">
        <v>11</v>
      </c>
      <c r="P807" t="s">
        <v>12</v>
      </c>
      <c r="Q807" t="s">
        <v>13</v>
      </c>
      <c r="R807" t="s">
        <v>13</v>
      </c>
      <c r="S807" t="s">
        <v>144</v>
      </c>
      <c r="T807" s="2">
        <f>MASTER[[#This Row],[CANTIDAD]]*MASTER[[#This Row],[PRECIO DE VENTA]]</f>
        <v>1311</v>
      </c>
      <c r="U807" s="2">
        <f>MASTER[[#This Row],[CANTIDAD]]*MASTER[[#This Row],[COSTO UNITARIO]]</f>
        <v>393</v>
      </c>
      <c r="V807" s="2">
        <f>MASTER[[#This Row],[MONTO VENDIDO]]-MASTER[[#This Row],[COSTO DE VENTA]]</f>
        <v>918</v>
      </c>
    </row>
    <row r="808" spans="1:22" x14ac:dyDescent="0.3">
      <c r="A808">
        <v>20411</v>
      </c>
      <c r="B808">
        <v>1</v>
      </c>
      <c r="C808" t="s">
        <v>99</v>
      </c>
      <c r="D808" t="s">
        <v>100</v>
      </c>
      <c r="E808" s="1">
        <v>43927</v>
      </c>
      <c r="F808">
        <v>1</v>
      </c>
      <c r="G808" t="s">
        <v>57</v>
      </c>
      <c r="H808" t="s">
        <v>58</v>
      </c>
      <c r="I808" s="3">
        <v>1459</v>
      </c>
      <c r="J808" s="3">
        <v>1459</v>
      </c>
      <c r="K808" s="3">
        <v>386</v>
      </c>
      <c r="L808" t="s">
        <v>98</v>
      </c>
      <c r="M808">
        <v>5</v>
      </c>
      <c r="N808" t="s">
        <v>85</v>
      </c>
      <c r="O808" t="s">
        <v>81</v>
      </c>
      <c r="P808" t="s">
        <v>12</v>
      </c>
      <c r="Q808" t="s">
        <v>13</v>
      </c>
      <c r="R808" t="s">
        <v>13</v>
      </c>
      <c r="S808" t="s">
        <v>144</v>
      </c>
      <c r="T808" s="2">
        <f>MASTER[[#This Row],[CANTIDAD]]*MASTER[[#This Row],[PRECIO DE VENTA]]</f>
        <v>1459</v>
      </c>
      <c r="U808" s="2">
        <f>MASTER[[#This Row],[CANTIDAD]]*MASTER[[#This Row],[COSTO UNITARIO]]</f>
        <v>386</v>
      </c>
      <c r="V808" s="2">
        <f>MASTER[[#This Row],[MONTO VENDIDO]]-MASTER[[#This Row],[COSTO DE VENTA]]</f>
        <v>1073</v>
      </c>
    </row>
    <row r="809" spans="1:22" x14ac:dyDescent="0.3">
      <c r="A809">
        <v>20421</v>
      </c>
      <c r="B809">
        <v>1</v>
      </c>
      <c r="C809" t="s">
        <v>96</v>
      </c>
      <c r="D809" t="s">
        <v>97</v>
      </c>
      <c r="E809" s="1">
        <v>43927</v>
      </c>
      <c r="F809">
        <v>1</v>
      </c>
      <c r="G809" t="s">
        <v>73</v>
      </c>
      <c r="H809" t="s">
        <v>74</v>
      </c>
      <c r="I809" s="3">
        <v>1272</v>
      </c>
      <c r="J809" s="3">
        <v>1272</v>
      </c>
      <c r="K809" s="3">
        <v>397</v>
      </c>
      <c r="L809" t="s">
        <v>98</v>
      </c>
      <c r="M809">
        <v>2</v>
      </c>
      <c r="N809" t="s">
        <v>86</v>
      </c>
      <c r="O809" t="s">
        <v>81</v>
      </c>
      <c r="P809" t="s">
        <v>71</v>
      </c>
      <c r="Q809" t="s">
        <v>72</v>
      </c>
      <c r="R809" t="s">
        <v>139</v>
      </c>
      <c r="S809" t="s">
        <v>144</v>
      </c>
      <c r="T809" s="2">
        <f>MASTER[[#This Row],[CANTIDAD]]*MASTER[[#This Row],[PRECIO DE VENTA]]</f>
        <v>1272</v>
      </c>
      <c r="U809" s="2">
        <f>MASTER[[#This Row],[CANTIDAD]]*MASTER[[#This Row],[COSTO UNITARIO]]</f>
        <v>397</v>
      </c>
      <c r="V809" s="2">
        <f>MASTER[[#This Row],[MONTO VENDIDO]]-MASTER[[#This Row],[COSTO DE VENTA]]</f>
        <v>875</v>
      </c>
    </row>
    <row r="810" spans="1:22" x14ac:dyDescent="0.3">
      <c r="A810">
        <v>20425</v>
      </c>
      <c r="B810">
        <v>1</v>
      </c>
      <c r="C810" t="s">
        <v>118</v>
      </c>
      <c r="D810" t="s">
        <v>119</v>
      </c>
      <c r="E810" s="1">
        <v>43927</v>
      </c>
      <c r="F810">
        <v>1</v>
      </c>
      <c r="G810" t="s">
        <v>43</v>
      </c>
      <c r="H810" t="s">
        <v>44</v>
      </c>
      <c r="I810" s="3">
        <v>900</v>
      </c>
      <c r="J810" s="3">
        <v>900</v>
      </c>
      <c r="K810" s="3">
        <v>424</v>
      </c>
      <c r="L810" t="s">
        <v>120</v>
      </c>
      <c r="M810">
        <v>8</v>
      </c>
      <c r="N810" t="s">
        <v>80</v>
      </c>
      <c r="O810" t="s">
        <v>81</v>
      </c>
      <c r="P810" t="s">
        <v>12</v>
      </c>
      <c r="Q810" t="s">
        <v>13</v>
      </c>
      <c r="R810" t="s">
        <v>13</v>
      </c>
      <c r="S810" t="s">
        <v>144</v>
      </c>
      <c r="T810" s="2">
        <f>MASTER[[#This Row],[CANTIDAD]]*MASTER[[#This Row],[PRECIO DE VENTA]]</f>
        <v>900</v>
      </c>
      <c r="U810" s="2">
        <f>MASTER[[#This Row],[CANTIDAD]]*MASTER[[#This Row],[COSTO UNITARIO]]</f>
        <v>424</v>
      </c>
      <c r="V810" s="2">
        <f>MASTER[[#This Row],[MONTO VENDIDO]]-MASTER[[#This Row],[COSTO DE VENTA]]</f>
        <v>476</v>
      </c>
    </row>
    <row r="811" spans="1:22" x14ac:dyDescent="0.3">
      <c r="A811">
        <v>20460</v>
      </c>
      <c r="B811">
        <v>1</v>
      </c>
      <c r="C811" t="s">
        <v>114</v>
      </c>
      <c r="D811" t="s">
        <v>115</v>
      </c>
      <c r="E811" s="1">
        <v>43927</v>
      </c>
      <c r="F811">
        <v>1</v>
      </c>
      <c r="G811" t="s">
        <v>65</v>
      </c>
      <c r="H811" t="s">
        <v>66</v>
      </c>
      <c r="I811" s="3">
        <v>1862</v>
      </c>
      <c r="J811" s="3">
        <v>1862</v>
      </c>
      <c r="K811" s="3">
        <v>394</v>
      </c>
      <c r="L811" t="s">
        <v>113</v>
      </c>
      <c r="M811">
        <v>14</v>
      </c>
      <c r="N811" t="s">
        <v>87</v>
      </c>
      <c r="O811" t="s">
        <v>81</v>
      </c>
      <c r="P811" t="s">
        <v>18</v>
      </c>
      <c r="Q811" t="s">
        <v>19</v>
      </c>
      <c r="R811" t="s">
        <v>138</v>
      </c>
      <c r="S811" t="s">
        <v>144</v>
      </c>
      <c r="T811" s="2">
        <f>MASTER[[#This Row],[CANTIDAD]]*MASTER[[#This Row],[PRECIO DE VENTA]]</f>
        <v>1862</v>
      </c>
      <c r="U811" s="2">
        <f>MASTER[[#This Row],[CANTIDAD]]*MASTER[[#This Row],[COSTO UNITARIO]]</f>
        <v>394</v>
      </c>
      <c r="V811" s="2">
        <f>MASTER[[#This Row],[MONTO VENDIDO]]-MASTER[[#This Row],[COSTO DE VENTA]]</f>
        <v>1468</v>
      </c>
    </row>
    <row r="812" spans="1:22" x14ac:dyDescent="0.3">
      <c r="A812">
        <v>20499</v>
      </c>
      <c r="B812">
        <v>1</v>
      </c>
      <c r="C812" t="s">
        <v>101</v>
      </c>
      <c r="D812" t="s">
        <v>102</v>
      </c>
      <c r="E812" s="1">
        <v>43927</v>
      </c>
      <c r="F812">
        <v>1</v>
      </c>
      <c r="G812" t="s">
        <v>67</v>
      </c>
      <c r="H812" t="s">
        <v>68</v>
      </c>
      <c r="I812" s="3">
        <v>1212</v>
      </c>
      <c r="J812" s="3">
        <v>1212</v>
      </c>
      <c r="K812" s="3">
        <v>442</v>
      </c>
      <c r="L812" t="s">
        <v>98</v>
      </c>
      <c r="M812">
        <v>8</v>
      </c>
      <c r="N812" t="s">
        <v>80</v>
      </c>
      <c r="O812" t="s">
        <v>81</v>
      </c>
      <c r="P812" t="s">
        <v>12</v>
      </c>
      <c r="Q812" t="s">
        <v>13</v>
      </c>
      <c r="R812" t="s">
        <v>13</v>
      </c>
      <c r="S812" t="s">
        <v>144</v>
      </c>
      <c r="T812" s="2">
        <f>MASTER[[#This Row],[CANTIDAD]]*MASTER[[#This Row],[PRECIO DE VENTA]]</f>
        <v>1212</v>
      </c>
      <c r="U812" s="2">
        <f>MASTER[[#This Row],[CANTIDAD]]*MASTER[[#This Row],[COSTO UNITARIO]]</f>
        <v>442</v>
      </c>
      <c r="V812" s="2">
        <f>MASTER[[#This Row],[MONTO VENDIDO]]-MASTER[[#This Row],[COSTO DE VENTA]]</f>
        <v>770</v>
      </c>
    </row>
    <row r="813" spans="1:22" x14ac:dyDescent="0.3">
      <c r="A813">
        <v>20507</v>
      </c>
      <c r="B813">
        <v>1</v>
      </c>
      <c r="C813" t="s">
        <v>94</v>
      </c>
      <c r="D813" t="s">
        <v>95</v>
      </c>
      <c r="E813" s="1">
        <v>43927</v>
      </c>
      <c r="F813">
        <v>1</v>
      </c>
      <c r="G813" t="s">
        <v>57</v>
      </c>
      <c r="H813" t="s">
        <v>58</v>
      </c>
      <c r="I813" s="3">
        <v>1153</v>
      </c>
      <c r="J813" s="3">
        <v>1153</v>
      </c>
      <c r="K813" s="3">
        <v>392</v>
      </c>
      <c r="L813" t="s">
        <v>9</v>
      </c>
      <c r="M813">
        <v>6</v>
      </c>
      <c r="N813" t="s">
        <v>75</v>
      </c>
      <c r="O813" t="s">
        <v>70</v>
      </c>
      <c r="P813" t="s">
        <v>12</v>
      </c>
      <c r="Q813" t="s">
        <v>13</v>
      </c>
      <c r="R813" t="s">
        <v>13</v>
      </c>
      <c r="S813" t="s">
        <v>144</v>
      </c>
      <c r="T813" s="2">
        <f>MASTER[[#This Row],[CANTIDAD]]*MASTER[[#This Row],[PRECIO DE VENTA]]</f>
        <v>1153</v>
      </c>
      <c r="U813" s="2">
        <f>MASTER[[#This Row],[CANTIDAD]]*MASTER[[#This Row],[COSTO UNITARIO]]</f>
        <v>392</v>
      </c>
      <c r="V813" s="2">
        <f>MASTER[[#This Row],[MONTO VENDIDO]]-MASTER[[#This Row],[COSTO DE VENTA]]</f>
        <v>761</v>
      </c>
    </row>
    <row r="814" spans="1:22" x14ac:dyDescent="0.3">
      <c r="A814">
        <v>20514</v>
      </c>
      <c r="B814">
        <v>1</v>
      </c>
      <c r="C814" t="s">
        <v>96</v>
      </c>
      <c r="D814" t="s">
        <v>97</v>
      </c>
      <c r="E814" s="1">
        <v>43927</v>
      </c>
      <c r="F814">
        <v>1</v>
      </c>
      <c r="G814" t="s">
        <v>67</v>
      </c>
      <c r="H814" t="s">
        <v>68</v>
      </c>
      <c r="I814" s="3">
        <v>1361</v>
      </c>
      <c r="J814" s="3">
        <v>1361</v>
      </c>
      <c r="K814" s="3">
        <v>397</v>
      </c>
      <c r="L814" t="s">
        <v>98</v>
      </c>
      <c r="M814">
        <v>3</v>
      </c>
      <c r="N814" t="s">
        <v>69</v>
      </c>
      <c r="O814" t="s">
        <v>70</v>
      </c>
      <c r="P814" t="s">
        <v>71</v>
      </c>
      <c r="Q814" t="s">
        <v>72</v>
      </c>
      <c r="R814" t="s">
        <v>139</v>
      </c>
      <c r="S814" t="s">
        <v>144</v>
      </c>
      <c r="T814" s="2">
        <f>MASTER[[#This Row],[CANTIDAD]]*MASTER[[#This Row],[PRECIO DE VENTA]]</f>
        <v>1361</v>
      </c>
      <c r="U814" s="2">
        <f>MASTER[[#This Row],[CANTIDAD]]*MASTER[[#This Row],[COSTO UNITARIO]]</f>
        <v>397</v>
      </c>
      <c r="V814" s="2">
        <f>MASTER[[#This Row],[MONTO VENDIDO]]-MASTER[[#This Row],[COSTO DE VENTA]]</f>
        <v>964</v>
      </c>
    </row>
    <row r="815" spans="1:22" x14ac:dyDescent="0.3">
      <c r="A815">
        <v>20518</v>
      </c>
      <c r="B815">
        <v>1</v>
      </c>
      <c r="C815" t="s">
        <v>92</v>
      </c>
      <c r="D815" t="s">
        <v>93</v>
      </c>
      <c r="E815" s="1">
        <v>43927</v>
      </c>
      <c r="F815">
        <v>1</v>
      </c>
      <c r="G815" t="s">
        <v>61</v>
      </c>
      <c r="H815" t="s">
        <v>62</v>
      </c>
      <c r="I815" s="3">
        <v>1479</v>
      </c>
      <c r="J815" s="3">
        <v>1479</v>
      </c>
      <c r="K815" s="3">
        <v>396</v>
      </c>
      <c r="L815" t="s">
        <v>9</v>
      </c>
      <c r="M815">
        <v>16</v>
      </c>
      <c r="N815" t="s">
        <v>17</v>
      </c>
      <c r="O815" t="s">
        <v>11</v>
      </c>
      <c r="P815" t="s">
        <v>18</v>
      </c>
      <c r="Q815" t="s">
        <v>19</v>
      </c>
      <c r="R815" t="s">
        <v>138</v>
      </c>
      <c r="S815" t="s">
        <v>144</v>
      </c>
      <c r="T815" s="2">
        <f>MASTER[[#This Row],[CANTIDAD]]*MASTER[[#This Row],[PRECIO DE VENTA]]</f>
        <v>1479</v>
      </c>
      <c r="U815" s="2">
        <f>MASTER[[#This Row],[CANTIDAD]]*MASTER[[#This Row],[COSTO UNITARIO]]</f>
        <v>396</v>
      </c>
      <c r="V815" s="2">
        <f>MASTER[[#This Row],[MONTO VENDIDO]]-MASTER[[#This Row],[COSTO DE VENTA]]</f>
        <v>1083</v>
      </c>
    </row>
    <row r="816" spans="1:22" x14ac:dyDescent="0.3">
      <c r="A816">
        <v>20532</v>
      </c>
      <c r="B816">
        <v>1</v>
      </c>
      <c r="C816" t="s">
        <v>94</v>
      </c>
      <c r="D816" t="s">
        <v>95</v>
      </c>
      <c r="E816" s="1">
        <v>43927</v>
      </c>
      <c r="F816">
        <v>1</v>
      </c>
      <c r="G816" t="s">
        <v>59</v>
      </c>
      <c r="H816" t="s">
        <v>60</v>
      </c>
      <c r="I816" s="3">
        <v>1048</v>
      </c>
      <c r="J816" s="3">
        <v>1048</v>
      </c>
      <c r="K816" s="3">
        <v>392</v>
      </c>
      <c r="L816" t="s">
        <v>9</v>
      </c>
      <c r="M816">
        <v>14</v>
      </c>
      <c r="N816" t="s">
        <v>87</v>
      </c>
      <c r="O816" t="s">
        <v>81</v>
      </c>
      <c r="P816" t="s">
        <v>18</v>
      </c>
      <c r="Q816" t="s">
        <v>19</v>
      </c>
      <c r="R816" t="s">
        <v>138</v>
      </c>
      <c r="S816" t="s">
        <v>144</v>
      </c>
      <c r="T816" s="2">
        <f>MASTER[[#This Row],[CANTIDAD]]*MASTER[[#This Row],[PRECIO DE VENTA]]</f>
        <v>1048</v>
      </c>
      <c r="U816" s="2">
        <f>MASTER[[#This Row],[CANTIDAD]]*MASTER[[#This Row],[COSTO UNITARIO]]</f>
        <v>392</v>
      </c>
      <c r="V816" s="2">
        <f>MASTER[[#This Row],[MONTO VENDIDO]]-MASTER[[#This Row],[COSTO DE VENTA]]</f>
        <v>656</v>
      </c>
    </row>
    <row r="817" spans="1:22" x14ac:dyDescent="0.3">
      <c r="A817">
        <v>20535</v>
      </c>
      <c r="B817">
        <v>1</v>
      </c>
      <c r="C817" t="s">
        <v>5</v>
      </c>
      <c r="D817" t="s">
        <v>6</v>
      </c>
      <c r="E817" s="1">
        <v>43927</v>
      </c>
      <c r="F817">
        <v>1</v>
      </c>
      <c r="G817" t="s">
        <v>27</v>
      </c>
      <c r="H817" t="s">
        <v>28</v>
      </c>
      <c r="I817" s="3">
        <v>1507</v>
      </c>
      <c r="J817" s="3">
        <v>1507</v>
      </c>
      <c r="K817" s="3">
        <v>393</v>
      </c>
      <c r="L817" t="s">
        <v>9</v>
      </c>
      <c r="M817">
        <v>4</v>
      </c>
      <c r="N817" t="s">
        <v>82</v>
      </c>
      <c r="O817" t="s">
        <v>81</v>
      </c>
      <c r="P817" t="s">
        <v>71</v>
      </c>
      <c r="Q817" t="s">
        <v>72</v>
      </c>
      <c r="R817" t="s">
        <v>139</v>
      </c>
      <c r="S817" t="s">
        <v>144</v>
      </c>
      <c r="T817" s="2">
        <f>MASTER[[#This Row],[CANTIDAD]]*MASTER[[#This Row],[PRECIO DE VENTA]]</f>
        <v>1507</v>
      </c>
      <c r="U817" s="2">
        <f>MASTER[[#This Row],[CANTIDAD]]*MASTER[[#This Row],[COSTO UNITARIO]]</f>
        <v>393</v>
      </c>
      <c r="V817" s="2">
        <f>MASTER[[#This Row],[MONTO VENDIDO]]-MASTER[[#This Row],[COSTO DE VENTA]]</f>
        <v>1114</v>
      </c>
    </row>
    <row r="818" spans="1:22" x14ac:dyDescent="0.3">
      <c r="A818">
        <v>20542</v>
      </c>
      <c r="B818">
        <v>1</v>
      </c>
      <c r="C818" t="s">
        <v>90</v>
      </c>
      <c r="D818" t="s">
        <v>91</v>
      </c>
      <c r="E818" s="1">
        <v>43927</v>
      </c>
      <c r="F818">
        <v>1</v>
      </c>
      <c r="G818" t="s">
        <v>31</v>
      </c>
      <c r="H818" t="s">
        <v>32</v>
      </c>
      <c r="I818" s="3">
        <v>1844</v>
      </c>
      <c r="J818" s="3">
        <v>1844</v>
      </c>
      <c r="K818" s="3">
        <v>420</v>
      </c>
      <c r="L818" t="s">
        <v>9</v>
      </c>
      <c r="M818">
        <v>4</v>
      </c>
      <c r="N818" t="s">
        <v>82</v>
      </c>
      <c r="O818" t="s">
        <v>81</v>
      </c>
      <c r="P818" t="s">
        <v>71</v>
      </c>
      <c r="Q818" t="s">
        <v>72</v>
      </c>
      <c r="R818" t="s">
        <v>139</v>
      </c>
      <c r="S818" t="s">
        <v>144</v>
      </c>
      <c r="T818" s="2">
        <f>MASTER[[#This Row],[CANTIDAD]]*MASTER[[#This Row],[PRECIO DE VENTA]]</f>
        <v>1844</v>
      </c>
      <c r="U818" s="2">
        <f>MASTER[[#This Row],[CANTIDAD]]*MASTER[[#This Row],[COSTO UNITARIO]]</f>
        <v>420</v>
      </c>
      <c r="V818" s="2">
        <f>MASTER[[#This Row],[MONTO VENDIDO]]-MASTER[[#This Row],[COSTO DE VENTA]]</f>
        <v>1424</v>
      </c>
    </row>
    <row r="819" spans="1:22" x14ac:dyDescent="0.3">
      <c r="A819">
        <v>20543</v>
      </c>
      <c r="B819">
        <v>1</v>
      </c>
      <c r="C819" t="s">
        <v>92</v>
      </c>
      <c r="D819" t="s">
        <v>93</v>
      </c>
      <c r="E819" s="1">
        <v>43927</v>
      </c>
      <c r="F819">
        <v>1</v>
      </c>
      <c r="G819" t="s">
        <v>37</v>
      </c>
      <c r="H819" t="s">
        <v>38</v>
      </c>
      <c r="I819" s="3">
        <v>1866</v>
      </c>
      <c r="J819" s="3">
        <v>1866</v>
      </c>
      <c r="K819" s="3">
        <v>396</v>
      </c>
      <c r="L819" t="s">
        <v>9</v>
      </c>
      <c r="M819">
        <v>1</v>
      </c>
      <c r="N819" t="s">
        <v>77</v>
      </c>
      <c r="O819" t="s">
        <v>70</v>
      </c>
      <c r="P819" t="s">
        <v>71</v>
      </c>
      <c r="Q819" t="s">
        <v>72</v>
      </c>
      <c r="R819" t="s">
        <v>139</v>
      </c>
      <c r="S819" t="s">
        <v>144</v>
      </c>
      <c r="T819" s="2">
        <f>MASTER[[#This Row],[CANTIDAD]]*MASTER[[#This Row],[PRECIO DE VENTA]]</f>
        <v>1866</v>
      </c>
      <c r="U819" s="2">
        <f>MASTER[[#This Row],[CANTIDAD]]*MASTER[[#This Row],[COSTO UNITARIO]]</f>
        <v>396</v>
      </c>
      <c r="V819" s="2">
        <f>MASTER[[#This Row],[MONTO VENDIDO]]-MASTER[[#This Row],[COSTO DE VENTA]]</f>
        <v>1470</v>
      </c>
    </row>
    <row r="820" spans="1:22" x14ac:dyDescent="0.3">
      <c r="A820">
        <v>20552</v>
      </c>
      <c r="B820">
        <v>1</v>
      </c>
      <c r="C820" t="s">
        <v>105</v>
      </c>
      <c r="D820" t="s">
        <v>106</v>
      </c>
      <c r="E820" s="1">
        <v>43928</v>
      </c>
      <c r="F820">
        <v>1</v>
      </c>
      <c r="G820" t="s">
        <v>7</v>
      </c>
      <c r="H820" t="s">
        <v>8</v>
      </c>
      <c r="I820" s="3">
        <v>2033</v>
      </c>
      <c r="J820" s="3">
        <v>2033</v>
      </c>
      <c r="K820" s="3">
        <v>459</v>
      </c>
      <c r="L820" t="s">
        <v>98</v>
      </c>
      <c r="M820">
        <v>9</v>
      </c>
      <c r="N820" t="s">
        <v>76</v>
      </c>
      <c r="O820" t="s">
        <v>70</v>
      </c>
      <c r="P820" t="s">
        <v>12</v>
      </c>
      <c r="Q820" t="s">
        <v>13</v>
      </c>
      <c r="R820" t="s">
        <v>13</v>
      </c>
      <c r="S820" t="s">
        <v>144</v>
      </c>
      <c r="T820" s="2">
        <f>MASTER[[#This Row],[CANTIDAD]]*MASTER[[#This Row],[PRECIO DE VENTA]]</f>
        <v>2033</v>
      </c>
      <c r="U820" s="2">
        <f>MASTER[[#This Row],[CANTIDAD]]*MASTER[[#This Row],[COSTO UNITARIO]]</f>
        <v>459</v>
      </c>
      <c r="V820" s="2">
        <f>MASTER[[#This Row],[MONTO VENDIDO]]-MASTER[[#This Row],[COSTO DE VENTA]]</f>
        <v>1574</v>
      </c>
    </row>
    <row r="821" spans="1:22" x14ac:dyDescent="0.3">
      <c r="A821">
        <v>20564</v>
      </c>
      <c r="B821">
        <v>1</v>
      </c>
      <c r="C821" t="s">
        <v>118</v>
      </c>
      <c r="D821" t="s">
        <v>119</v>
      </c>
      <c r="E821" s="1">
        <v>43928</v>
      </c>
      <c r="F821">
        <v>2</v>
      </c>
      <c r="G821" t="s">
        <v>51</v>
      </c>
      <c r="H821" t="s">
        <v>52</v>
      </c>
      <c r="I821" s="3">
        <v>1026</v>
      </c>
      <c r="J821" s="3">
        <v>1026</v>
      </c>
      <c r="K821" s="3">
        <v>424</v>
      </c>
      <c r="L821" t="s">
        <v>120</v>
      </c>
      <c r="M821">
        <v>3</v>
      </c>
      <c r="N821" t="s">
        <v>69</v>
      </c>
      <c r="O821" t="s">
        <v>70</v>
      </c>
      <c r="P821" t="s">
        <v>71</v>
      </c>
      <c r="Q821" t="s">
        <v>72</v>
      </c>
      <c r="R821" t="s">
        <v>139</v>
      </c>
      <c r="S821" t="s">
        <v>144</v>
      </c>
      <c r="T821" s="2">
        <f>MASTER[[#This Row],[CANTIDAD]]*MASTER[[#This Row],[PRECIO DE VENTA]]</f>
        <v>2052</v>
      </c>
      <c r="U821" s="2">
        <f>MASTER[[#This Row],[CANTIDAD]]*MASTER[[#This Row],[COSTO UNITARIO]]</f>
        <v>848</v>
      </c>
      <c r="V821" s="2">
        <f>MASTER[[#This Row],[MONTO VENDIDO]]-MASTER[[#This Row],[COSTO DE VENTA]]</f>
        <v>1204</v>
      </c>
    </row>
    <row r="822" spans="1:22" x14ac:dyDescent="0.3">
      <c r="A822">
        <v>20570</v>
      </c>
      <c r="B822">
        <v>1</v>
      </c>
      <c r="C822" t="s">
        <v>121</v>
      </c>
      <c r="D822" t="s">
        <v>122</v>
      </c>
      <c r="E822" s="1">
        <v>43928</v>
      </c>
      <c r="F822">
        <v>1</v>
      </c>
      <c r="G822" t="s">
        <v>41</v>
      </c>
      <c r="H822" t="s">
        <v>42</v>
      </c>
      <c r="I822" s="3">
        <v>1144</v>
      </c>
      <c r="J822" s="3">
        <v>1144</v>
      </c>
      <c r="K822" s="3">
        <v>460</v>
      </c>
      <c r="L822" t="s">
        <v>120</v>
      </c>
      <c r="M822">
        <v>9</v>
      </c>
      <c r="N822" t="s">
        <v>76</v>
      </c>
      <c r="O822" t="s">
        <v>70</v>
      </c>
      <c r="P822" t="s">
        <v>12</v>
      </c>
      <c r="Q822" t="s">
        <v>13</v>
      </c>
      <c r="R822" t="s">
        <v>13</v>
      </c>
      <c r="S822" t="s">
        <v>144</v>
      </c>
      <c r="T822" s="2">
        <f>MASTER[[#This Row],[CANTIDAD]]*MASTER[[#This Row],[PRECIO DE VENTA]]</f>
        <v>1144</v>
      </c>
      <c r="U822" s="2">
        <f>MASTER[[#This Row],[CANTIDAD]]*MASTER[[#This Row],[COSTO UNITARIO]]</f>
        <v>460</v>
      </c>
      <c r="V822" s="2">
        <f>MASTER[[#This Row],[MONTO VENDIDO]]-MASTER[[#This Row],[COSTO DE VENTA]]</f>
        <v>684</v>
      </c>
    </row>
    <row r="823" spans="1:22" x14ac:dyDescent="0.3">
      <c r="A823">
        <v>20573</v>
      </c>
      <c r="B823">
        <v>1</v>
      </c>
      <c r="C823" t="s">
        <v>121</v>
      </c>
      <c r="D823" t="s">
        <v>122</v>
      </c>
      <c r="E823" s="1">
        <v>43928</v>
      </c>
      <c r="F823">
        <v>1</v>
      </c>
      <c r="G823" t="s">
        <v>7</v>
      </c>
      <c r="H823" t="s">
        <v>8</v>
      </c>
      <c r="I823" s="3">
        <v>1069</v>
      </c>
      <c r="J823" s="3">
        <v>1069</v>
      </c>
      <c r="K823" s="3">
        <v>460</v>
      </c>
      <c r="L823" t="s">
        <v>120</v>
      </c>
      <c r="M823">
        <v>15</v>
      </c>
      <c r="N823" t="s">
        <v>88</v>
      </c>
      <c r="O823" t="s">
        <v>81</v>
      </c>
      <c r="P823" t="s">
        <v>18</v>
      </c>
      <c r="Q823" t="s">
        <v>19</v>
      </c>
      <c r="R823" t="s">
        <v>138</v>
      </c>
      <c r="S823" t="s">
        <v>144</v>
      </c>
      <c r="T823" s="2">
        <f>MASTER[[#This Row],[CANTIDAD]]*MASTER[[#This Row],[PRECIO DE VENTA]]</f>
        <v>1069</v>
      </c>
      <c r="U823" s="2">
        <f>MASTER[[#This Row],[CANTIDAD]]*MASTER[[#This Row],[COSTO UNITARIO]]</f>
        <v>460</v>
      </c>
      <c r="V823" s="2">
        <f>MASTER[[#This Row],[MONTO VENDIDO]]-MASTER[[#This Row],[COSTO DE VENTA]]</f>
        <v>609</v>
      </c>
    </row>
    <row r="824" spans="1:22" x14ac:dyDescent="0.3">
      <c r="A824">
        <v>20575</v>
      </c>
      <c r="B824">
        <v>1</v>
      </c>
      <c r="C824" t="s">
        <v>90</v>
      </c>
      <c r="D824" t="s">
        <v>91</v>
      </c>
      <c r="E824" s="1">
        <v>43928</v>
      </c>
      <c r="F824">
        <v>1</v>
      </c>
      <c r="G824" t="s">
        <v>63</v>
      </c>
      <c r="H824" t="s">
        <v>64</v>
      </c>
      <c r="I824" s="3">
        <v>1844</v>
      </c>
      <c r="J824" s="3">
        <v>1844</v>
      </c>
      <c r="K824" s="3">
        <v>420</v>
      </c>
      <c r="L824" t="s">
        <v>9</v>
      </c>
      <c r="M824">
        <v>19</v>
      </c>
      <c r="N824" t="s">
        <v>89</v>
      </c>
      <c r="O824" t="s">
        <v>81</v>
      </c>
      <c r="P824" t="s">
        <v>15</v>
      </c>
      <c r="Q824" t="s">
        <v>16</v>
      </c>
      <c r="R824" t="s">
        <v>16</v>
      </c>
      <c r="S824" t="s">
        <v>144</v>
      </c>
      <c r="T824" s="2">
        <f>MASTER[[#This Row],[CANTIDAD]]*MASTER[[#This Row],[PRECIO DE VENTA]]</f>
        <v>1844</v>
      </c>
      <c r="U824" s="2">
        <f>MASTER[[#This Row],[CANTIDAD]]*MASTER[[#This Row],[COSTO UNITARIO]]</f>
        <v>420</v>
      </c>
      <c r="V824" s="2">
        <f>MASTER[[#This Row],[MONTO VENDIDO]]-MASTER[[#This Row],[COSTO DE VENTA]]</f>
        <v>1424</v>
      </c>
    </row>
    <row r="825" spans="1:22" x14ac:dyDescent="0.3">
      <c r="A825">
        <v>20581</v>
      </c>
      <c r="B825">
        <v>1</v>
      </c>
      <c r="C825" t="s">
        <v>94</v>
      </c>
      <c r="D825" t="s">
        <v>95</v>
      </c>
      <c r="E825" s="1">
        <v>43928</v>
      </c>
      <c r="F825">
        <v>1</v>
      </c>
      <c r="G825" t="s">
        <v>61</v>
      </c>
      <c r="H825" t="s">
        <v>62</v>
      </c>
      <c r="I825" s="3">
        <v>1153</v>
      </c>
      <c r="J825" s="3">
        <v>1095</v>
      </c>
      <c r="K825" s="3">
        <v>392</v>
      </c>
      <c r="L825" t="s">
        <v>9</v>
      </c>
      <c r="M825">
        <v>9</v>
      </c>
      <c r="N825" t="s">
        <v>76</v>
      </c>
      <c r="O825" t="s">
        <v>70</v>
      </c>
      <c r="P825" t="s">
        <v>12</v>
      </c>
      <c r="Q825" t="s">
        <v>13</v>
      </c>
      <c r="R825" t="s">
        <v>13</v>
      </c>
      <c r="S825" t="s">
        <v>144</v>
      </c>
      <c r="T825" s="2">
        <f>MASTER[[#This Row],[CANTIDAD]]*MASTER[[#This Row],[PRECIO DE VENTA]]</f>
        <v>1095</v>
      </c>
      <c r="U825" s="2">
        <f>MASTER[[#This Row],[CANTIDAD]]*MASTER[[#This Row],[COSTO UNITARIO]]</f>
        <v>392</v>
      </c>
      <c r="V825" s="2">
        <f>MASTER[[#This Row],[MONTO VENDIDO]]-MASTER[[#This Row],[COSTO DE VENTA]]</f>
        <v>703</v>
      </c>
    </row>
    <row r="826" spans="1:22" x14ac:dyDescent="0.3">
      <c r="A826">
        <v>20583</v>
      </c>
      <c r="B826">
        <v>1</v>
      </c>
      <c r="C826" t="s">
        <v>116</v>
      </c>
      <c r="D826" t="s">
        <v>117</v>
      </c>
      <c r="E826" s="1">
        <v>43928</v>
      </c>
      <c r="F826">
        <v>1</v>
      </c>
      <c r="G826" t="s">
        <v>61</v>
      </c>
      <c r="H826" t="s">
        <v>62</v>
      </c>
      <c r="I826" s="3">
        <v>1529</v>
      </c>
      <c r="J826" s="3">
        <v>1529</v>
      </c>
      <c r="K826" s="3">
        <v>388</v>
      </c>
      <c r="L826" t="s">
        <v>113</v>
      </c>
      <c r="M826">
        <v>16</v>
      </c>
      <c r="N826" t="s">
        <v>17</v>
      </c>
      <c r="O826" t="s">
        <v>11</v>
      </c>
      <c r="P826" t="s">
        <v>18</v>
      </c>
      <c r="Q826" t="s">
        <v>19</v>
      </c>
      <c r="R826" t="s">
        <v>138</v>
      </c>
      <c r="S826" t="s">
        <v>144</v>
      </c>
      <c r="T826" s="2">
        <f>MASTER[[#This Row],[CANTIDAD]]*MASTER[[#This Row],[PRECIO DE VENTA]]</f>
        <v>1529</v>
      </c>
      <c r="U826" s="2">
        <f>MASTER[[#This Row],[CANTIDAD]]*MASTER[[#This Row],[COSTO UNITARIO]]</f>
        <v>388</v>
      </c>
      <c r="V826" s="2">
        <f>MASTER[[#This Row],[MONTO VENDIDO]]-MASTER[[#This Row],[COSTO DE VENTA]]</f>
        <v>1141</v>
      </c>
    </row>
    <row r="827" spans="1:22" x14ac:dyDescent="0.3">
      <c r="A827">
        <v>20601</v>
      </c>
      <c r="B827">
        <v>1</v>
      </c>
      <c r="C827" t="s">
        <v>105</v>
      </c>
      <c r="D827" t="s">
        <v>106</v>
      </c>
      <c r="E827" s="1">
        <v>43928</v>
      </c>
      <c r="F827">
        <v>1</v>
      </c>
      <c r="G827" t="s">
        <v>47</v>
      </c>
      <c r="H827" t="s">
        <v>48</v>
      </c>
      <c r="I827" s="3">
        <v>1865</v>
      </c>
      <c r="J827" s="3">
        <v>1865</v>
      </c>
      <c r="K827" s="3">
        <v>459</v>
      </c>
      <c r="L827" t="s">
        <v>98</v>
      </c>
      <c r="M827">
        <v>8</v>
      </c>
      <c r="N827" t="s">
        <v>80</v>
      </c>
      <c r="O827" t="s">
        <v>81</v>
      </c>
      <c r="P827" t="s">
        <v>12</v>
      </c>
      <c r="Q827" t="s">
        <v>13</v>
      </c>
      <c r="R827" t="s">
        <v>13</v>
      </c>
      <c r="S827" t="s">
        <v>144</v>
      </c>
      <c r="T827" s="2">
        <f>MASTER[[#This Row],[CANTIDAD]]*MASTER[[#This Row],[PRECIO DE VENTA]]</f>
        <v>1865</v>
      </c>
      <c r="U827" s="2">
        <f>MASTER[[#This Row],[CANTIDAD]]*MASTER[[#This Row],[COSTO UNITARIO]]</f>
        <v>459</v>
      </c>
      <c r="V827" s="2">
        <f>MASTER[[#This Row],[MONTO VENDIDO]]-MASTER[[#This Row],[COSTO DE VENTA]]</f>
        <v>1406</v>
      </c>
    </row>
    <row r="828" spans="1:22" x14ac:dyDescent="0.3">
      <c r="A828">
        <v>20616</v>
      </c>
      <c r="B828">
        <v>1</v>
      </c>
      <c r="C828" t="s">
        <v>96</v>
      </c>
      <c r="D828" t="s">
        <v>97</v>
      </c>
      <c r="E828" s="1">
        <v>43929</v>
      </c>
      <c r="F828">
        <v>1</v>
      </c>
      <c r="G828" t="s">
        <v>35</v>
      </c>
      <c r="H828" t="s">
        <v>36</v>
      </c>
      <c r="I828" s="3">
        <v>1361</v>
      </c>
      <c r="J828" s="3">
        <v>1361</v>
      </c>
      <c r="K828" s="3">
        <v>397</v>
      </c>
      <c r="L828" t="s">
        <v>98</v>
      </c>
      <c r="M828">
        <v>18</v>
      </c>
      <c r="N828" t="s">
        <v>79</v>
      </c>
      <c r="O828" t="s">
        <v>70</v>
      </c>
      <c r="P828" t="s">
        <v>15</v>
      </c>
      <c r="Q828" t="s">
        <v>16</v>
      </c>
      <c r="R828" t="s">
        <v>16</v>
      </c>
      <c r="S828" t="s">
        <v>144</v>
      </c>
      <c r="T828" s="2">
        <f>MASTER[[#This Row],[CANTIDAD]]*MASTER[[#This Row],[PRECIO DE VENTA]]</f>
        <v>1361</v>
      </c>
      <c r="U828" s="2">
        <f>MASTER[[#This Row],[CANTIDAD]]*MASTER[[#This Row],[COSTO UNITARIO]]</f>
        <v>397</v>
      </c>
      <c r="V828" s="2">
        <f>MASTER[[#This Row],[MONTO VENDIDO]]-MASTER[[#This Row],[COSTO DE VENTA]]</f>
        <v>964</v>
      </c>
    </row>
    <row r="829" spans="1:22" x14ac:dyDescent="0.3">
      <c r="A829">
        <v>20625</v>
      </c>
      <c r="B829">
        <v>1</v>
      </c>
      <c r="C829" t="s">
        <v>111</v>
      </c>
      <c r="D829" t="s">
        <v>112</v>
      </c>
      <c r="E829" s="1">
        <v>43929</v>
      </c>
      <c r="F829">
        <v>1</v>
      </c>
      <c r="G829" t="s">
        <v>31</v>
      </c>
      <c r="H829" t="s">
        <v>32</v>
      </c>
      <c r="I829" s="3">
        <v>1621</v>
      </c>
      <c r="J829" s="3">
        <v>1556</v>
      </c>
      <c r="K829" s="3">
        <v>434</v>
      </c>
      <c r="L829" t="s">
        <v>113</v>
      </c>
      <c r="M829">
        <v>15</v>
      </c>
      <c r="N829" t="s">
        <v>88</v>
      </c>
      <c r="O829" t="s">
        <v>81</v>
      </c>
      <c r="P829" t="s">
        <v>18</v>
      </c>
      <c r="Q829" t="s">
        <v>19</v>
      </c>
      <c r="R829" t="s">
        <v>138</v>
      </c>
      <c r="S829" t="s">
        <v>144</v>
      </c>
      <c r="T829" s="2">
        <f>MASTER[[#This Row],[CANTIDAD]]*MASTER[[#This Row],[PRECIO DE VENTA]]</f>
        <v>1556</v>
      </c>
      <c r="U829" s="2">
        <f>MASTER[[#This Row],[CANTIDAD]]*MASTER[[#This Row],[COSTO UNITARIO]]</f>
        <v>434</v>
      </c>
      <c r="V829" s="2">
        <f>MASTER[[#This Row],[MONTO VENDIDO]]-MASTER[[#This Row],[COSTO DE VENTA]]</f>
        <v>1122</v>
      </c>
    </row>
    <row r="830" spans="1:22" x14ac:dyDescent="0.3">
      <c r="A830">
        <v>20669</v>
      </c>
      <c r="B830">
        <v>1</v>
      </c>
      <c r="C830" t="s">
        <v>118</v>
      </c>
      <c r="D830" t="s">
        <v>119</v>
      </c>
      <c r="E830" s="1">
        <v>43929</v>
      </c>
      <c r="F830">
        <v>1</v>
      </c>
      <c r="G830" t="s">
        <v>35</v>
      </c>
      <c r="H830" t="s">
        <v>36</v>
      </c>
      <c r="I830" s="3">
        <v>1026</v>
      </c>
      <c r="J830" s="3">
        <v>1026</v>
      </c>
      <c r="K830" s="3">
        <v>424</v>
      </c>
      <c r="L830" t="s">
        <v>120</v>
      </c>
      <c r="M830">
        <v>9</v>
      </c>
      <c r="N830" t="s">
        <v>76</v>
      </c>
      <c r="O830" t="s">
        <v>70</v>
      </c>
      <c r="P830" t="s">
        <v>12</v>
      </c>
      <c r="Q830" t="s">
        <v>13</v>
      </c>
      <c r="R830" t="s">
        <v>13</v>
      </c>
      <c r="S830" t="s">
        <v>144</v>
      </c>
      <c r="T830" s="2">
        <f>MASTER[[#This Row],[CANTIDAD]]*MASTER[[#This Row],[PRECIO DE VENTA]]</f>
        <v>1026</v>
      </c>
      <c r="U830" s="2">
        <f>MASTER[[#This Row],[CANTIDAD]]*MASTER[[#This Row],[COSTO UNITARIO]]</f>
        <v>424</v>
      </c>
      <c r="V830" s="2">
        <f>MASTER[[#This Row],[MONTO VENDIDO]]-MASTER[[#This Row],[COSTO DE VENTA]]</f>
        <v>602</v>
      </c>
    </row>
    <row r="831" spans="1:22" x14ac:dyDescent="0.3">
      <c r="A831">
        <v>20684</v>
      </c>
      <c r="B831">
        <v>1</v>
      </c>
      <c r="C831" t="s">
        <v>96</v>
      </c>
      <c r="D831" t="s">
        <v>97</v>
      </c>
      <c r="E831" s="1">
        <v>43929</v>
      </c>
      <c r="F831">
        <v>1</v>
      </c>
      <c r="G831" t="s">
        <v>61</v>
      </c>
      <c r="H831" t="s">
        <v>62</v>
      </c>
      <c r="I831" s="3">
        <v>1361</v>
      </c>
      <c r="J831" s="3">
        <v>1361</v>
      </c>
      <c r="K831" s="3">
        <v>397</v>
      </c>
      <c r="L831" t="s">
        <v>98</v>
      </c>
      <c r="M831">
        <v>18</v>
      </c>
      <c r="N831" t="s">
        <v>79</v>
      </c>
      <c r="O831" t="s">
        <v>70</v>
      </c>
      <c r="P831" t="s">
        <v>15</v>
      </c>
      <c r="Q831" t="s">
        <v>16</v>
      </c>
      <c r="R831" t="s">
        <v>16</v>
      </c>
      <c r="S831" t="s">
        <v>144</v>
      </c>
      <c r="T831" s="2">
        <f>MASTER[[#This Row],[CANTIDAD]]*MASTER[[#This Row],[PRECIO DE VENTA]]</f>
        <v>1361</v>
      </c>
      <c r="U831" s="2">
        <f>MASTER[[#This Row],[CANTIDAD]]*MASTER[[#This Row],[COSTO UNITARIO]]</f>
        <v>397</v>
      </c>
      <c r="V831" s="2">
        <f>MASTER[[#This Row],[MONTO VENDIDO]]-MASTER[[#This Row],[COSTO DE VENTA]]</f>
        <v>964</v>
      </c>
    </row>
    <row r="832" spans="1:22" x14ac:dyDescent="0.3">
      <c r="A832">
        <v>20689</v>
      </c>
      <c r="B832">
        <v>1</v>
      </c>
      <c r="C832" t="s">
        <v>94</v>
      </c>
      <c r="D832" t="s">
        <v>95</v>
      </c>
      <c r="E832" s="1">
        <v>43929</v>
      </c>
      <c r="F832">
        <v>1</v>
      </c>
      <c r="G832" t="s">
        <v>31</v>
      </c>
      <c r="H832" t="s">
        <v>32</v>
      </c>
      <c r="I832" s="3">
        <v>1153</v>
      </c>
      <c r="J832" s="3">
        <v>1153</v>
      </c>
      <c r="K832" s="3">
        <v>392</v>
      </c>
      <c r="L832" t="s">
        <v>9</v>
      </c>
      <c r="M832">
        <v>9</v>
      </c>
      <c r="N832" t="s">
        <v>76</v>
      </c>
      <c r="O832" t="s">
        <v>70</v>
      </c>
      <c r="P832" t="s">
        <v>12</v>
      </c>
      <c r="Q832" t="s">
        <v>13</v>
      </c>
      <c r="R832" t="s">
        <v>13</v>
      </c>
      <c r="S832" t="s">
        <v>144</v>
      </c>
      <c r="T832" s="2">
        <f>MASTER[[#This Row],[CANTIDAD]]*MASTER[[#This Row],[PRECIO DE VENTA]]</f>
        <v>1153</v>
      </c>
      <c r="U832" s="2">
        <f>MASTER[[#This Row],[CANTIDAD]]*MASTER[[#This Row],[COSTO UNITARIO]]</f>
        <v>392</v>
      </c>
      <c r="V832" s="2">
        <f>MASTER[[#This Row],[MONTO VENDIDO]]-MASTER[[#This Row],[COSTO DE VENTA]]</f>
        <v>761</v>
      </c>
    </row>
    <row r="833" spans="1:22" x14ac:dyDescent="0.3">
      <c r="A833">
        <v>20691</v>
      </c>
      <c r="B833">
        <v>1</v>
      </c>
      <c r="C833" t="s">
        <v>107</v>
      </c>
      <c r="D833" t="s">
        <v>108</v>
      </c>
      <c r="E833" s="1">
        <v>43929</v>
      </c>
      <c r="F833">
        <v>1</v>
      </c>
      <c r="G833" t="s">
        <v>24</v>
      </c>
      <c r="H833" t="s">
        <v>25</v>
      </c>
      <c r="I833" s="3">
        <v>1440</v>
      </c>
      <c r="J833" s="3">
        <v>1440</v>
      </c>
      <c r="K833" s="3">
        <v>380</v>
      </c>
      <c r="L833" t="s">
        <v>98</v>
      </c>
      <c r="M833">
        <v>3</v>
      </c>
      <c r="N833" t="s">
        <v>69</v>
      </c>
      <c r="O833" t="s">
        <v>70</v>
      </c>
      <c r="P833" t="s">
        <v>71</v>
      </c>
      <c r="Q833" t="s">
        <v>72</v>
      </c>
      <c r="R833" t="s">
        <v>139</v>
      </c>
      <c r="S833" t="s">
        <v>144</v>
      </c>
      <c r="T833" s="2">
        <f>MASTER[[#This Row],[CANTIDAD]]*MASTER[[#This Row],[PRECIO DE VENTA]]</f>
        <v>1440</v>
      </c>
      <c r="U833" s="2">
        <f>MASTER[[#This Row],[CANTIDAD]]*MASTER[[#This Row],[COSTO UNITARIO]]</f>
        <v>380</v>
      </c>
      <c r="V833" s="2">
        <f>MASTER[[#This Row],[MONTO VENDIDO]]-MASTER[[#This Row],[COSTO DE VENTA]]</f>
        <v>1060</v>
      </c>
    </row>
    <row r="834" spans="1:22" x14ac:dyDescent="0.3">
      <c r="A834">
        <v>20697</v>
      </c>
      <c r="B834">
        <v>1</v>
      </c>
      <c r="C834" t="s">
        <v>90</v>
      </c>
      <c r="D834" t="s">
        <v>91</v>
      </c>
      <c r="E834" s="1">
        <v>43930</v>
      </c>
      <c r="F834">
        <v>1</v>
      </c>
      <c r="G834" t="s">
        <v>63</v>
      </c>
      <c r="H834" t="s">
        <v>64</v>
      </c>
      <c r="I834" s="3">
        <v>1660</v>
      </c>
      <c r="J834" s="3">
        <v>1494</v>
      </c>
      <c r="K834" s="3">
        <v>420</v>
      </c>
      <c r="L834" t="s">
        <v>9</v>
      </c>
      <c r="M834">
        <v>17</v>
      </c>
      <c r="N834" t="s">
        <v>14</v>
      </c>
      <c r="O834" t="s">
        <v>11</v>
      </c>
      <c r="P834" t="s">
        <v>15</v>
      </c>
      <c r="Q834" t="s">
        <v>16</v>
      </c>
      <c r="R834" t="s">
        <v>16</v>
      </c>
      <c r="S834" t="s">
        <v>144</v>
      </c>
      <c r="T834" s="2">
        <f>MASTER[[#This Row],[CANTIDAD]]*MASTER[[#This Row],[PRECIO DE VENTA]]</f>
        <v>1494</v>
      </c>
      <c r="U834" s="2">
        <f>MASTER[[#This Row],[CANTIDAD]]*MASTER[[#This Row],[COSTO UNITARIO]]</f>
        <v>420</v>
      </c>
      <c r="V834" s="2">
        <f>MASTER[[#This Row],[MONTO VENDIDO]]-MASTER[[#This Row],[COSTO DE VENTA]]</f>
        <v>1074</v>
      </c>
    </row>
    <row r="835" spans="1:22" x14ac:dyDescent="0.3">
      <c r="A835">
        <v>20698</v>
      </c>
      <c r="B835">
        <v>1</v>
      </c>
      <c r="C835" t="s">
        <v>103</v>
      </c>
      <c r="D835" t="s">
        <v>104</v>
      </c>
      <c r="E835" s="1">
        <v>43930</v>
      </c>
      <c r="F835">
        <v>4</v>
      </c>
      <c r="G835" t="s">
        <v>29</v>
      </c>
      <c r="H835" t="s">
        <v>30</v>
      </c>
      <c r="I835" s="3">
        <v>1591</v>
      </c>
      <c r="J835" s="3">
        <v>1511</v>
      </c>
      <c r="K835" s="3">
        <v>421</v>
      </c>
      <c r="L835" t="s">
        <v>98</v>
      </c>
      <c r="M835">
        <v>7</v>
      </c>
      <c r="N835" t="s">
        <v>84</v>
      </c>
      <c r="O835" t="s">
        <v>81</v>
      </c>
      <c r="P835" t="s">
        <v>12</v>
      </c>
      <c r="Q835" t="s">
        <v>13</v>
      </c>
      <c r="R835" t="s">
        <v>13</v>
      </c>
      <c r="S835" t="s">
        <v>144</v>
      </c>
      <c r="T835" s="2">
        <f>MASTER[[#This Row],[CANTIDAD]]*MASTER[[#This Row],[PRECIO DE VENTA]]</f>
        <v>6044</v>
      </c>
      <c r="U835" s="2">
        <f>MASTER[[#This Row],[CANTIDAD]]*MASTER[[#This Row],[COSTO UNITARIO]]</f>
        <v>1684</v>
      </c>
      <c r="V835" s="2">
        <f>MASTER[[#This Row],[MONTO VENDIDO]]-MASTER[[#This Row],[COSTO DE VENTA]]</f>
        <v>4360</v>
      </c>
    </row>
    <row r="836" spans="1:22" x14ac:dyDescent="0.3">
      <c r="A836">
        <v>20733</v>
      </c>
      <c r="B836">
        <v>1</v>
      </c>
      <c r="C836" t="s">
        <v>109</v>
      </c>
      <c r="D836" t="s">
        <v>110</v>
      </c>
      <c r="E836" s="1">
        <v>43930</v>
      </c>
      <c r="F836">
        <v>1</v>
      </c>
      <c r="G836" t="s">
        <v>65</v>
      </c>
      <c r="H836" t="s">
        <v>66</v>
      </c>
      <c r="I836" s="3">
        <v>1064</v>
      </c>
      <c r="J836" s="3">
        <v>1064</v>
      </c>
      <c r="K836" s="3">
        <v>387</v>
      </c>
      <c r="L836" t="s">
        <v>98</v>
      </c>
      <c r="M836">
        <v>2</v>
      </c>
      <c r="N836" t="s">
        <v>86</v>
      </c>
      <c r="O836" t="s">
        <v>81</v>
      </c>
      <c r="P836" t="s">
        <v>71</v>
      </c>
      <c r="Q836" t="s">
        <v>72</v>
      </c>
      <c r="R836" t="s">
        <v>139</v>
      </c>
      <c r="S836" t="s">
        <v>144</v>
      </c>
      <c r="T836" s="2">
        <f>MASTER[[#This Row],[CANTIDAD]]*MASTER[[#This Row],[PRECIO DE VENTA]]</f>
        <v>1064</v>
      </c>
      <c r="U836" s="2">
        <f>MASTER[[#This Row],[CANTIDAD]]*MASTER[[#This Row],[COSTO UNITARIO]]</f>
        <v>387</v>
      </c>
      <c r="V836" s="2">
        <f>MASTER[[#This Row],[MONTO VENDIDO]]-MASTER[[#This Row],[COSTO DE VENTA]]</f>
        <v>677</v>
      </c>
    </row>
    <row r="837" spans="1:22" x14ac:dyDescent="0.3">
      <c r="A837">
        <v>20751</v>
      </c>
      <c r="B837">
        <v>1</v>
      </c>
      <c r="C837" t="s">
        <v>90</v>
      </c>
      <c r="D837" t="s">
        <v>91</v>
      </c>
      <c r="E837" s="1">
        <v>43930</v>
      </c>
      <c r="F837">
        <v>1</v>
      </c>
      <c r="G837" t="s">
        <v>51</v>
      </c>
      <c r="H837" t="s">
        <v>52</v>
      </c>
      <c r="I837" s="3">
        <v>1844</v>
      </c>
      <c r="J837" s="3">
        <v>1844</v>
      </c>
      <c r="K837" s="3">
        <v>420</v>
      </c>
      <c r="L837" t="s">
        <v>9</v>
      </c>
      <c r="M837">
        <v>14</v>
      </c>
      <c r="N837" t="s">
        <v>87</v>
      </c>
      <c r="O837" t="s">
        <v>81</v>
      </c>
      <c r="P837" t="s">
        <v>18</v>
      </c>
      <c r="Q837" t="s">
        <v>19</v>
      </c>
      <c r="R837" t="s">
        <v>138</v>
      </c>
      <c r="S837" t="s">
        <v>144</v>
      </c>
      <c r="T837" s="2">
        <f>MASTER[[#This Row],[CANTIDAD]]*MASTER[[#This Row],[PRECIO DE VENTA]]</f>
        <v>1844</v>
      </c>
      <c r="U837" s="2">
        <f>MASTER[[#This Row],[CANTIDAD]]*MASTER[[#This Row],[COSTO UNITARIO]]</f>
        <v>420</v>
      </c>
      <c r="V837" s="2">
        <f>MASTER[[#This Row],[MONTO VENDIDO]]-MASTER[[#This Row],[COSTO DE VENTA]]</f>
        <v>1424</v>
      </c>
    </row>
    <row r="838" spans="1:22" x14ac:dyDescent="0.3">
      <c r="A838">
        <v>20780</v>
      </c>
      <c r="B838">
        <v>1</v>
      </c>
      <c r="C838" t="s">
        <v>99</v>
      </c>
      <c r="D838" t="s">
        <v>100</v>
      </c>
      <c r="E838" s="1">
        <v>43930</v>
      </c>
      <c r="F838">
        <v>1</v>
      </c>
      <c r="G838" t="s">
        <v>45</v>
      </c>
      <c r="H838" t="s">
        <v>46</v>
      </c>
      <c r="I838" s="3">
        <v>1678</v>
      </c>
      <c r="J838" s="3">
        <v>1610</v>
      </c>
      <c r="K838" s="3">
        <v>386</v>
      </c>
      <c r="L838" t="s">
        <v>98</v>
      </c>
      <c r="M838">
        <v>13</v>
      </c>
      <c r="N838" t="s">
        <v>78</v>
      </c>
      <c r="O838" t="s">
        <v>70</v>
      </c>
      <c r="P838" t="s">
        <v>18</v>
      </c>
      <c r="Q838" t="s">
        <v>19</v>
      </c>
      <c r="R838" t="s">
        <v>138</v>
      </c>
      <c r="S838" t="s">
        <v>144</v>
      </c>
      <c r="T838" s="2">
        <f>MASTER[[#This Row],[CANTIDAD]]*MASTER[[#This Row],[PRECIO DE VENTA]]</f>
        <v>1610</v>
      </c>
      <c r="U838" s="2">
        <f>MASTER[[#This Row],[CANTIDAD]]*MASTER[[#This Row],[COSTO UNITARIO]]</f>
        <v>386</v>
      </c>
      <c r="V838" s="2">
        <f>MASTER[[#This Row],[MONTO VENDIDO]]-MASTER[[#This Row],[COSTO DE VENTA]]</f>
        <v>1224</v>
      </c>
    </row>
    <row r="839" spans="1:22" x14ac:dyDescent="0.3">
      <c r="A839">
        <v>20796</v>
      </c>
      <c r="B839">
        <v>1</v>
      </c>
      <c r="C839" t="s">
        <v>109</v>
      </c>
      <c r="D839" t="s">
        <v>110</v>
      </c>
      <c r="E839" s="1">
        <v>43930</v>
      </c>
      <c r="F839">
        <v>4</v>
      </c>
      <c r="G839" t="s">
        <v>53</v>
      </c>
      <c r="H839" t="s">
        <v>54</v>
      </c>
      <c r="I839" s="3">
        <v>1064</v>
      </c>
      <c r="J839" s="3">
        <v>1064</v>
      </c>
      <c r="K839" s="3">
        <v>387</v>
      </c>
      <c r="L839" t="s">
        <v>98</v>
      </c>
      <c r="M839">
        <v>19</v>
      </c>
      <c r="N839" t="s">
        <v>89</v>
      </c>
      <c r="O839" t="s">
        <v>81</v>
      </c>
      <c r="P839" t="s">
        <v>15</v>
      </c>
      <c r="Q839" t="s">
        <v>16</v>
      </c>
      <c r="R839" t="s">
        <v>16</v>
      </c>
      <c r="S839" t="s">
        <v>144</v>
      </c>
      <c r="T839" s="2">
        <f>MASTER[[#This Row],[CANTIDAD]]*MASTER[[#This Row],[PRECIO DE VENTA]]</f>
        <v>4256</v>
      </c>
      <c r="U839" s="2">
        <f>MASTER[[#This Row],[CANTIDAD]]*MASTER[[#This Row],[COSTO UNITARIO]]</f>
        <v>1548</v>
      </c>
      <c r="V839" s="2">
        <f>MASTER[[#This Row],[MONTO VENDIDO]]-MASTER[[#This Row],[COSTO DE VENTA]]</f>
        <v>2708</v>
      </c>
    </row>
    <row r="840" spans="1:22" x14ac:dyDescent="0.3">
      <c r="A840">
        <v>20806</v>
      </c>
      <c r="B840">
        <v>1</v>
      </c>
      <c r="C840" t="s">
        <v>5</v>
      </c>
      <c r="D840" t="s">
        <v>6</v>
      </c>
      <c r="E840" s="1">
        <v>43930</v>
      </c>
      <c r="F840">
        <v>1</v>
      </c>
      <c r="G840" t="s">
        <v>55</v>
      </c>
      <c r="H840" t="s">
        <v>56</v>
      </c>
      <c r="I840" s="3">
        <v>1507</v>
      </c>
      <c r="J840" s="3">
        <v>1507</v>
      </c>
      <c r="K840" s="3">
        <v>393</v>
      </c>
      <c r="L840" t="s">
        <v>9</v>
      </c>
      <c r="M840">
        <v>14</v>
      </c>
      <c r="N840" t="s">
        <v>87</v>
      </c>
      <c r="O840" t="s">
        <v>81</v>
      </c>
      <c r="P840" t="s">
        <v>18</v>
      </c>
      <c r="Q840" t="s">
        <v>19</v>
      </c>
      <c r="R840" t="s">
        <v>138</v>
      </c>
      <c r="S840" t="s">
        <v>144</v>
      </c>
      <c r="T840" s="2">
        <f>MASTER[[#This Row],[CANTIDAD]]*MASTER[[#This Row],[PRECIO DE VENTA]]</f>
        <v>1507</v>
      </c>
      <c r="U840" s="2">
        <f>MASTER[[#This Row],[CANTIDAD]]*MASTER[[#This Row],[COSTO UNITARIO]]</f>
        <v>393</v>
      </c>
      <c r="V840" s="2">
        <f>MASTER[[#This Row],[MONTO VENDIDO]]-MASTER[[#This Row],[COSTO DE VENTA]]</f>
        <v>1114</v>
      </c>
    </row>
    <row r="841" spans="1:22" x14ac:dyDescent="0.3">
      <c r="A841">
        <v>20820</v>
      </c>
      <c r="B841">
        <v>1</v>
      </c>
      <c r="C841" t="s">
        <v>116</v>
      </c>
      <c r="D841" t="s">
        <v>117</v>
      </c>
      <c r="E841" s="1">
        <v>43930</v>
      </c>
      <c r="F841">
        <v>1</v>
      </c>
      <c r="G841" t="s">
        <v>29</v>
      </c>
      <c r="H841" t="s">
        <v>30</v>
      </c>
      <c r="I841" s="3">
        <v>1999</v>
      </c>
      <c r="J841" s="3">
        <v>1999</v>
      </c>
      <c r="K841" s="3">
        <v>388</v>
      </c>
      <c r="L841" t="s">
        <v>113</v>
      </c>
      <c r="M841">
        <v>18</v>
      </c>
      <c r="N841" t="s">
        <v>79</v>
      </c>
      <c r="O841" t="s">
        <v>70</v>
      </c>
      <c r="P841" t="s">
        <v>15</v>
      </c>
      <c r="Q841" t="s">
        <v>16</v>
      </c>
      <c r="R841" t="s">
        <v>16</v>
      </c>
      <c r="S841" t="s">
        <v>144</v>
      </c>
      <c r="T841" s="2">
        <f>MASTER[[#This Row],[CANTIDAD]]*MASTER[[#This Row],[PRECIO DE VENTA]]</f>
        <v>1999</v>
      </c>
      <c r="U841" s="2">
        <f>MASTER[[#This Row],[CANTIDAD]]*MASTER[[#This Row],[COSTO UNITARIO]]</f>
        <v>388</v>
      </c>
      <c r="V841" s="2">
        <f>MASTER[[#This Row],[MONTO VENDIDO]]-MASTER[[#This Row],[COSTO DE VENTA]]</f>
        <v>1611</v>
      </c>
    </row>
    <row r="842" spans="1:22" x14ac:dyDescent="0.3">
      <c r="A842">
        <v>20836</v>
      </c>
      <c r="B842">
        <v>1</v>
      </c>
      <c r="C842" t="s">
        <v>107</v>
      </c>
      <c r="D842" t="s">
        <v>108</v>
      </c>
      <c r="E842" s="1">
        <v>43930</v>
      </c>
      <c r="F842">
        <v>1</v>
      </c>
      <c r="G842" t="s">
        <v>51</v>
      </c>
      <c r="H842" t="s">
        <v>52</v>
      </c>
      <c r="I842" s="3">
        <v>1440</v>
      </c>
      <c r="J842" s="3">
        <v>1440</v>
      </c>
      <c r="K842" s="3">
        <v>380</v>
      </c>
      <c r="L842" t="s">
        <v>98</v>
      </c>
      <c r="M842">
        <v>9</v>
      </c>
      <c r="N842" t="s">
        <v>76</v>
      </c>
      <c r="O842" t="s">
        <v>70</v>
      </c>
      <c r="P842" t="s">
        <v>12</v>
      </c>
      <c r="Q842" t="s">
        <v>13</v>
      </c>
      <c r="R842" t="s">
        <v>13</v>
      </c>
      <c r="S842" t="s">
        <v>144</v>
      </c>
      <c r="T842" s="2">
        <f>MASTER[[#This Row],[CANTIDAD]]*MASTER[[#This Row],[PRECIO DE VENTA]]</f>
        <v>1440</v>
      </c>
      <c r="U842" s="2">
        <f>MASTER[[#This Row],[CANTIDAD]]*MASTER[[#This Row],[COSTO UNITARIO]]</f>
        <v>380</v>
      </c>
      <c r="V842" s="2">
        <f>MASTER[[#This Row],[MONTO VENDIDO]]-MASTER[[#This Row],[COSTO DE VENTA]]</f>
        <v>1060</v>
      </c>
    </row>
    <row r="843" spans="1:22" x14ac:dyDescent="0.3">
      <c r="A843">
        <v>20881</v>
      </c>
      <c r="B843">
        <v>1</v>
      </c>
      <c r="C843" t="s">
        <v>111</v>
      </c>
      <c r="D843" t="s">
        <v>112</v>
      </c>
      <c r="E843" s="1">
        <v>43931</v>
      </c>
      <c r="F843">
        <v>1</v>
      </c>
      <c r="G843" t="s">
        <v>33</v>
      </c>
      <c r="H843" t="s">
        <v>34</v>
      </c>
      <c r="I843" s="3">
        <v>1621</v>
      </c>
      <c r="J843" s="3">
        <v>1621</v>
      </c>
      <c r="K843" s="3">
        <v>434</v>
      </c>
      <c r="L843" t="s">
        <v>113</v>
      </c>
      <c r="M843">
        <v>19</v>
      </c>
      <c r="N843" t="s">
        <v>89</v>
      </c>
      <c r="O843" t="s">
        <v>81</v>
      </c>
      <c r="P843" t="s">
        <v>15</v>
      </c>
      <c r="Q843" t="s">
        <v>16</v>
      </c>
      <c r="R843" t="s">
        <v>16</v>
      </c>
      <c r="S843" t="s">
        <v>144</v>
      </c>
      <c r="T843" s="2">
        <f>MASTER[[#This Row],[CANTIDAD]]*MASTER[[#This Row],[PRECIO DE VENTA]]</f>
        <v>1621</v>
      </c>
      <c r="U843" s="2">
        <f>MASTER[[#This Row],[CANTIDAD]]*MASTER[[#This Row],[COSTO UNITARIO]]</f>
        <v>434</v>
      </c>
      <c r="V843" s="2">
        <f>MASTER[[#This Row],[MONTO VENDIDO]]-MASTER[[#This Row],[COSTO DE VENTA]]</f>
        <v>1187</v>
      </c>
    </row>
    <row r="844" spans="1:22" x14ac:dyDescent="0.3">
      <c r="A844">
        <v>20895</v>
      </c>
      <c r="B844">
        <v>1</v>
      </c>
      <c r="C844" t="s">
        <v>111</v>
      </c>
      <c r="D844" t="s">
        <v>112</v>
      </c>
      <c r="E844" s="1">
        <v>43931</v>
      </c>
      <c r="F844">
        <v>1</v>
      </c>
      <c r="G844" t="s">
        <v>35</v>
      </c>
      <c r="H844" t="s">
        <v>36</v>
      </c>
      <c r="I844" s="3">
        <v>1524</v>
      </c>
      <c r="J844" s="3">
        <v>1432</v>
      </c>
      <c r="K844" s="3">
        <v>434</v>
      </c>
      <c r="L844" t="s">
        <v>113</v>
      </c>
      <c r="M844">
        <v>11</v>
      </c>
      <c r="N844" t="s">
        <v>10</v>
      </c>
      <c r="O844" t="s">
        <v>11</v>
      </c>
      <c r="P844" t="s">
        <v>12</v>
      </c>
      <c r="Q844" t="s">
        <v>13</v>
      </c>
      <c r="R844" t="s">
        <v>13</v>
      </c>
      <c r="S844" t="s">
        <v>144</v>
      </c>
      <c r="T844" s="2">
        <f>MASTER[[#This Row],[CANTIDAD]]*MASTER[[#This Row],[PRECIO DE VENTA]]</f>
        <v>1432</v>
      </c>
      <c r="U844" s="2">
        <f>MASTER[[#This Row],[CANTIDAD]]*MASTER[[#This Row],[COSTO UNITARIO]]</f>
        <v>434</v>
      </c>
      <c r="V844" s="2">
        <f>MASTER[[#This Row],[MONTO VENDIDO]]-MASTER[[#This Row],[COSTO DE VENTA]]</f>
        <v>998</v>
      </c>
    </row>
    <row r="845" spans="1:22" x14ac:dyDescent="0.3">
      <c r="A845">
        <v>20909</v>
      </c>
      <c r="B845">
        <v>1</v>
      </c>
      <c r="C845" t="s">
        <v>103</v>
      </c>
      <c r="D845" t="s">
        <v>104</v>
      </c>
      <c r="E845" s="1">
        <v>43931</v>
      </c>
      <c r="F845">
        <v>1</v>
      </c>
      <c r="G845" t="s">
        <v>27</v>
      </c>
      <c r="H845" t="s">
        <v>28</v>
      </c>
      <c r="I845" s="3">
        <v>1591</v>
      </c>
      <c r="J845" s="3">
        <v>1591</v>
      </c>
      <c r="K845" s="3">
        <v>421</v>
      </c>
      <c r="L845" t="s">
        <v>98</v>
      </c>
      <c r="M845">
        <v>15</v>
      </c>
      <c r="N845" t="s">
        <v>88</v>
      </c>
      <c r="O845" t="s">
        <v>81</v>
      </c>
      <c r="P845" t="s">
        <v>18</v>
      </c>
      <c r="Q845" t="s">
        <v>19</v>
      </c>
      <c r="R845" t="s">
        <v>138</v>
      </c>
      <c r="S845" t="s">
        <v>144</v>
      </c>
      <c r="T845" s="2">
        <f>MASTER[[#This Row],[CANTIDAD]]*MASTER[[#This Row],[PRECIO DE VENTA]]</f>
        <v>1591</v>
      </c>
      <c r="U845" s="2">
        <f>MASTER[[#This Row],[CANTIDAD]]*MASTER[[#This Row],[COSTO UNITARIO]]</f>
        <v>421</v>
      </c>
      <c r="V845" s="2">
        <f>MASTER[[#This Row],[MONTO VENDIDO]]-MASTER[[#This Row],[COSTO DE VENTA]]</f>
        <v>1170</v>
      </c>
    </row>
    <row r="846" spans="1:22" x14ac:dyDescent="0.3">
      <c r="A846">
        <v>20911</v>
      </c>
      <c r="B846">
        <v>1</v>
      </c>
      <c r="C846" t="s">
        <v>118</v>
      </c>
      <c r="D846" t="s">
        <v>119</v>
      </c>
      <c r="E846" s="1">
        <v>43931</v>
      </c>
      <c r="F846">
        <v>1</v>
      </c>
      <c r="G846" t="s">
        <v>24</v>
      </c>
      <c r="H846" t="s">
        <v>25</v>
      </c>
      <c r="I846" s="3">
        <v>900</v>
      </c>
      <c r="J846" s="3">
        <v>900</v>
      </c>
      <c r="K846" s="3">
        <v>424</v>
      </c>
      <c r="L846" t="s">
        <v>120</v>
      </c>
      <c r="M846">
        <v>7</v>
      </c>
      <c r="N846" t="s">
        <v>84</v>
      </c>
      <c r="O846" t="s">
        <v>81</v>
      </c>
      <c r="P846" t="s">
        <v>12</v>
      </c>
      <c r="Q846" t="s">
        <v>13</v>
      </c>
      <c r="R846" t="s">
        <v>13</v>
      </c>
      <c r="S846" t="s">
        <v>144</v>
      </c>
      <c r="T846" s="2">
        <f>MASTER[[#This Row],[CANTIDAD]]*MASTER[[#This Row],[PRECIO DE VENTA]]</f>
        <v>900</v>
      </c>
      <c r="U846" s="2">
        <f>MASTER[[#This Row],[CANTIDAD]]*MASTER[[#This Row],[COSTO UNITARIO]]</f>
        <v>424</v>
      </c>
      <c r="V846" s="2">
        <f>MASTER[[#This Row],[MONTO VENDIDO]]-MASTER[[#This Row],[COSTO DE VENTA]]</f>
        <v>476</v>
      </c>
    </row>
    <row r="847" spans="1:22" x14ac:dyDescent="0.3">
      <c r="A847">
        <v>20921</v>
      </c>
      <c r="B847">
        <v>1</v>
      </c>
      <c r="C847" t="s">
        <v>99</v>
      </c>
      <c r="D847" t="s">
        <v>100</v>
      </c>
      <c r="E847" s="1">
        <v>43931</v>
      </c>
      <c r="F847">
        <v>1</v>
      </c>
      <c r="G847" t="s">
        <v>27</v>
      </c>
      <c r="H847" t="s">
        <v>28</v>
      </c>
      <c r="I847" s="3">
        <v>1678</v>
      </c>
      <c r="J847" s="3">
        <v>1678</v>
      </c>
      <c r="K847" s="3">
        <v>386</v>
      </c>
      <c r="L847" t="s">
        <v>98</v>
      </c>
      <c r="M847">
        <v>9</v>
      </c>
      <c r="N847" t="s">
        <v>76</v>
      </c>
      <c r="O847" t="s">
        <v>70</v>
      </c>
      <c r="P847" t="s">
        <v>12</v>
      </c>
      <c r="Q847" t="s">
        <v>13</v>
      </c>
      <c r="R847" t="s">
        <v>13</v>
      </c>
      <c r="S847" t="s">
        <v>144</v>
      </c>
      <c r="T847" s="2">
        <f>MASTER[[#This Row],[CANTIDAD]]*MASTER[[#This Row],[PRECIO DE VENTA]]</f>
        <v>1678</v>
      </c>
      <c r="U847" s="2">
        <f>MASTER[[#This Row],[CANTIDAD]]*MASTER[[#This Row],[COSTO UNITARIO]]</f>
        <v>386</v>
      </c>
      <c r="V847" s="2">
        <f>MASTER[[#This Row],[MONTO VENDIDO]]-MASTER[[#This Row],[COSTO DE VENTA]]</f>
        <v>1292</v>
      </c>
    </row>
    <row r="848" spans="1:22" x14ac:dyDescent="0.3">
      <c r="A848">
        <v>20931</v>
      </c>
      <c r="B848">
        <v>1</v>
      </c>
      <c r="C848" t="s">
        <v>118</v>
      </c>
      <c r="D848" t="s">
        <v>119</v>
      </c>
      <c r="E848" s="1">
        <v>43932</v>
      </c>
      <c r="F848">
        <v>1</v>
      </c>
      <c r="G848" t="s">
        <v>7</v>
      </c>
      <c r="H848" t="s">
        <v>8</v>
      </c>
      <c r="I848" s="3">
        <v>1026</v>
      </c>
      <c r="J848" s="3">
        <v>933</v>
      </c>
      <c r="K848" s="3">
        <v>424</v>
      </c>
      <c r="L848" t="s">
        <v>120</v>
      </c>
      <c r="M848">
        <v>3</v>
      </c>
      <c r="N848" t="s">
        <v>69</v>
      </c>
      <c r="O848" t="s">
        <v>70</v>
      </c>
      <c r="P848" t="s">
        <v>71</v>
      </c>
      <c r="Q848" t="s">
        <v>72</v>
      </c>
      <c r="R848" t="s">
        <v>139</v>
      </c>
      <c r="S848" t="s">
        <v>144</v>
      </c>
      <c r="T848" s="2">
        <f>MASTER[[#This Row],[CANTIDAD]]*MASTER[[#This Row],[PRECIO DE VENTA]]</f>
        <v>933</v>
      </c>
      <c r="U848" s="2">
        <f>MASTER[[#This Row],[CANTIDAD]]*MASTER[[#This Row],[COSTO UNITARIO]]</f>
        <v>424</v>
      </c>
      <c r="V848" s="2">
        <f>MASTER[[#This Row],[MONTO VENDIDO]]-MASTER[[#This Row],[COSTO DE VENTA]]</f>
        <v>509</v>
      </c>
    </row>
    <row r="849" spans="1:22" x14ac:dyDescent="0.3">
      <c r="A849">
        <v>20948</v>
      </c>
      <c r="B849">
        <v>1</v>
      </c>
      <c r="C849" t="s">
        <v>101</v>
      </c>
      <c r="D849" t="s">
        <v>102</v>
      </c>
      <c r="E849" s="1">
        <v>43932</v>
      </c>
      <c r="F849">
        <v>1</v>
      </c>
      <c r="G849" t="s">
        <v>47</v>
      </c>
      <c r="H849" t="s">
        <v>48</v>
      </c>
      <c r="I849" s="3">
        <v>1212</v>
      </c>
      <c r="J849" s="3">
        <v>1212</v>
      </c>
      <c r="K849" s="3">
        <v>442</v>
      </c>
      <c r="L849" t="s">
        <v>98</v>
      </c>
      <c r="M849">
        <v>4</v>
      </c>
      <c r="N849" t="s">
        <v>82</v>
      </c>
      <c r="O849" t="s">
        <v>81</v>
      </c>
      <c r="P849" t="s">
        <v>71</v>
      </c>
      <c r="Q849" t="s">
        <v>72</v>
      </c>
      <c r="R849" t="s">
        <v>139</v>
      </c>
      <c r="S849" t="s">
        <v>144</v>
      </c>
      <c r="T849" s="2">
        <f>MASTER[[#This Row],[CANTIDAD]]*MASTER[[#This Row],[PRECIO DE VENTA]]</f>
        <v>1212</v>
      </c>
      <c r="U849" s="2">
        <f>MASTER[[#This Row],[CANTIDAD]]*MASTER[[#This Row],[COSTO UNITARIO]]</f>
        <v>442</v>
      </c>
      <c r="V849" s="2">
        <f>MASTER[[#This Row],[MONTO VENDIDO]]-MASTER[[#This Row],[COSTO DE VENTA]]</f>
        <v>770</v>
      </c>
    </row>
    <row r="850" spans="1:22" x14ac:dyDescent="0.3">
      <c r="A850">
        <v>20963</v>
      </c>
      <c r="B850">
        <v>1</v>
      </c>
      <c r="C850" t="s">
        <v>94</v>
      </c>
      <c r="D850" t="s">
        <v>95</v>
      </c>
      <c r="E850" s="1">
        <v>43932</v>
      </c>
      <c r="F850">
        <v>1</v>
      </c>
      <c r="G850" t="s">
        <v>63</v>
      </c>
      <c r="H850" t="s">
        <v>64</v>
      </c>
      <c r="I850" s="3">
        <v>1153</v>
      </c>
      <c r="J850" s="3">
        <v>1095</v>
      </c>
      <c r="K850" s="3">
        <v>392</v>
      </c>
      <c r="L850" t="s">
        <v>9</v>
      </c>
      <c r="M850">
        <v>13</v>
      </c>
      <c r="N850" t="s">
        <v>78</v>
      </c>
      <c r="O850" t="s">
        <v>70</v>
      </c>
      <c r="P850" t="s">
        <v>18</v>
      </c>
      <c r="Q850" t="s">
        <v>19</v>
      </c>
      <c r="R850" t="s">
        <v>138</v>
      </c>
      <c r="S850" t="s">
        <v>144</v>
      </c>
      <c r="T850" s="2">
        <f>MASTER[[#This Row],[CANTIDAD]]*MASTER[[#This Row],[PRECIO DE VENTA]]</f>
        <v>1095</v>
      </c>
      <c r="U850" s="2">
        <f>MASTER[[#This Row],[CANTIDAD]]*MASTER[[#This Row],[COSTO UNITARIO]]</f>
        <v>392</v>
      </c>
      <c r="V850" s="2">
        <f>MASTER[[#This Row],[MONTO VENDIDO]]-MASTER[[#This Row],[COSTO DE VENTA]]</f>
        <v>703</v>
      </c>
    </row>
    <row r="851" spans="1:22" x14ac:dyDescent="0.3">
      <c r="A851">
        <v>20964</v>
      </c>
      <c r="B851">
        <v>1</v>
      </c>
      <c r="C851" t="s">
        <v>90</v>
      </c>
      <c r="D851" t="s">
        <v>91</v>
      </c>
      <c r="E851" s="1">
        <v>43932</v>
      </c>
      <c r="F851">
        <v>1</v>
      </c>
      <c r="G851" t="s">
        <v>43</v>
      </c>
      <c r="H851" t="s">
        <v>44</v>
      </c>
      <c r="I851" s="3">
        <v>2102</v>
      </c>
      <c r="J851" s="3">
        <v>2102</v>
      </c>
      <c r="K851" s="3">
        <v>420</v>
      </c>
      <c r="L851" t="s">
        <v>9</v>
      </c>
      <c r="M851">
        <v>1</v>
      </c>
      <c r="N851" t="s">
        <v>77</v>
      </c>
      <c r="O851" t="s">
        <v>70</v>
      </c>
      <c r="P851" t="s">
        <v>71</v>
      </c>
      <c r="Q851" t="s">
        <v>72</v>
      </c>
      <c r="R851" t="s">
        <v>139</v>
      </c>
      <c r="S851" t="s">
        <v>144</v>
      </c>
      <c r="T851" s="2">
        <f>MASTER[[#This Row],[CANTIDAD]]*MASTER[[#This Row],[PRECIO DE VENTA]]</f>
        <v>2102</v>
      </c>
      <c r="U851" s="2">
        <f>MASTER[[#This Row],[CANTIDAD]]*MASTER[[#This Row],[COSTO UNITARIO]]</f>
        <v>420</v>
      </c>
      <c r="V851" s="2">
        <f>MASTER[[#This Row],[MONTO VENDIDO]]-MASTER[[#This Row],[COSTO DE VENTA]]</f>
        <v>1682</v>
      </c>
    </row>
    <row r="852" spans="1:22" x14ac:dyDescent="0.3">
      <c r="A852">
        <v>20964</v>
      </c>
      <c r="B852">
        <v>2</v>
      </c>
      <c r="C852" t="s">
        <v>90</v>
      </c>
      <c r="D852" t="s">
        <v>91</v>
      </c>
      <c r="E852" s="1">
        <v>43932</v>
      </c>
      <c r="F852">
        <v>1</v>
      </c>
      <c r="G852" t="s">
        <v>49</v>
      </c>
      <c r="H852" t="s">
        <v>50</v>
      </c>
      <c r="I852" s="3">
        <v>2102</v>
      </c>
      <c r="J852" s="3">
        <v>2102</v>
      </c>
      <c r="K852" s="3">
        <v>420</v>
      </c>
      <c r="L852" t="s">
        <v>9</v>
      </c>
      <c r="M852">
        <v>1</v>
      </c>
      <c r="N852" t="s">
        <v>77</v>
      </c>
      <c r="O852" t="s">
        <v>70</v>
      </c>
      <c r="P852" t="s">
        <v>71</v>
      </c>
      <c r="Q852" t="s">
        <v>72</v>
      </c>
      <c r="R852" t="s">
        <v>139</v>
      </c>
      <c r="S852" t="s">
        <v>144</v>
      </c>
      <c r="T852" s="2">
        <f>MASTER[[#This Row],[CANTIDAD]]*MASTER[[#This Row],[PRECIO DE VENTA]]</f>
        <v>2102</v>
      </c>
      <c r="U852" s="2">
        <f>MASTER[[#This Row],[CANTIDAD]]*MASTER[[#This Row],[COSTO UNITARIO]]</f>
        <v>420</v>
      </c>
      <c r="V852" s="2">
        <f>MASTER[[#This Row],[MONTO VENDIDO]]-MASTER[[#This Row],[COSTO DE VENTA]]</f>
        <v>1682</v>
      </c>
    </row>
    <row r="853" spans="1:22" x14ac:dyDescent="0.3">
      <c r="A853">
        <v>20966</v>
      </c>
      <c r="B853">
        <v>1</v>
      </c>
      <c r="C853" t="s">
        <v>90</v>
      </c>
      <c r="D853" t="s">
        <v>91</v>
      </c>
      <c r="E853" s="1">
        <v>43932</v>
      </c>
      <c r="F853">
        <v>1</v>
      </c>
      <c r="G853" t="s">
        <v>47</v>
      </c>
      <c r="H853" t="s">
        <v>48</v>
      </c>
      <c r="I853" s="3">
        <v>2102</v>
      </c>
      <c r="J853" s="3">
        <v>2102</v>
      </c>
      <c r="K853" s="3">
        <v>420</v>
      </c>
      <c r="L853" t="s">
        <v>9</v>
      </c>
      <c r="M853">
        <v>18</v>
      </c>
      <c r="N853" t="s">
        <v>79</v>
      </c>
      <c r="O853" t="s">
        <v>70</v>
      </c>
      <c r="P853" t="s">
        <v>15</v>
      </c>
      <c r="Q853" t="s">
        <v>16</v>
      </c>
      <c r="R853" t="s">
        <v>16</v>
      </c>
      <c r="S853" t="s">
        <v>144</v>
      </c>
      <c r="T853" s="2">
        <f>MASTER[[#This Row],[CANTIDAD]]*MASTER[[#This Row],[PRECIO DE VENTA]]</f>
        <v>2102</v>
      </c>
      <c r="U853" s="2">
        <f>MASTER[[#This Row],[CANTIDAD]]*MASTER[[#This Row],[COSTO UNITARIO]]</f>
        <v>420</v>
      </c>
      <c r="V853" s="2">
        <f>MASTER[[#This Row],[MONTO VENDIDO]]-MASTER[[#This Row],[COSTO DE VENTA]]</f>
        <v>1682</v>
      </c>
    </row>
    <row r="854" spans="1:22" x14ac:dyDescent="0.3">
      <c r="A854">
        <v>20978</v>
      </c>
      <c r="B854">
        <v>1</v>
      </c>
      <c r="C854" t="s">
        <v>5</v>
      </c>
      <c r="D854" t="s">
        <v>6</v>
      </c>
      <c r="E854" s="1">
        <v>43933</v>
      </c>
      <c r="F854">
        <v>1</v>
      </c>
      <c r="G854" t="s">
        <v>59</v>
      </c>
      <c r="H854" t="s">
        <v>60</v>
      </c>
      <c r="I854" s="3">
        <v>1507</v>
      </c>
      <c r="J854" s="3">
        <v>1507</v>
      </c>
      <c r="K854" s="3">
        <v>393</v>
      </c>
      <c r="L854" t="s">
        <v>9</v>
      </c>
      <c r="M854">
        <v>8</v>
      </c>
      <c r="N854" t="s">
        <v>80</v>
      </c>
      <c r="O854" t="s">
        <v>81</v>
      </c>
      <c r="P854" t="s">
        <v>12</v>
      </c>
      <c r="Q854" t="s">
        <v>13</v>
      </c>
      <c r="R854" t="s">
        <v>13</v>
      </c>
      <c r="S854" t="s">
        <v>144</v>
      </c>
      <c r="T854" s="2">
        <f>MASTER[[#This Row],[CANTIDAD]]*MASTER[[#This Row],[PRECIO DE VENTA]]</f>
        <v>1507</v>
      </c>
      <c r="U854" s="2">
        <f>MASTER[[#This Row],[CANTIDAD]]*MASTER[[#This Row],[COSTO UNITARIO]]</f>
        <v>393</v>
      </c>
      <c r="V854" s="2">
        <f>MASTER[[#This Row],[MONTO VENDIDO]]-MASTER[[#This Row],[COSTO DE VENTA]]</f>
        <v>1114</v>
      </c>
    </row>
    <row r="855" spans="1:22" x14ac:dyDescent="0.3">
      <c r="A855">
        <v>20985</v>
      </c>
      <c r="B855">
        <v>1</v>
      </c>
      <c r="C855" t="s">
        <v>114</v>
      </c>
      <c r="D855" t="s">
        <v>115</v>
      </c>
      <c r="E855" s="1">
        <v>43933</v>
      </c>
      <c r="F855">
        <v>1</v>
      </c>
      <c r="G855" t="s">
        <v>65</v>
      </c>
      <c r="H855" t="s">
        <v>66</v>
      </c>
      <c r="I855" s="3">
        <v>2030</v>
      </c>
      <c r="J855" s="3">
        <v>2030</v>
      </c>
      <c r="K855" s="3">
        <v>394</v>
      </c>
      <c r="L855" t="s">
        <v>113</v>
      </c>
      <c r="M855">
        <v>6</v>
      </c>
      <c r="N855" t="s">
        <v>75</v>
      </c>
      <c r="O855" t="s">
        <v>70</v>
      </c>
      <c r="P855" t="s">
        <v>12</v>
      </c>
      <c r="Q855" t="s">
        <v>13</v>
      </c>
      <c r="R855" t="s">
        <v>13</v>
      </c>
      <c r="S855" t="s">
        <v>144</v>
      </c>
      <c r="T855" s="2">
        <f>MASTER[[#This Row],[CANTIDAD]]*MASTER[[#This Row],[PRECIO DE VENTA]]</f>
        <v>2030</v>
      </c>
      <c r="U855" s="2">
        <f>MASTER[[#This Row],[CANTIDAD]]*MASTER[[#This Row],[COSTO UNITARIO]]</f>
        <v>394</v>
      </c>
      <c r="V855" s="2">
        <f>MASTER[[#This Row],[MONTO VENDIDO]]-MASTER[[#This Row],[COSTO DE VENTA]]</f>
        <v>1636</v>
      </c>
    </row>
    <row r="856" spans="1:22" x14ac:dyDescent="0.3">
      <c r="A856">
        <v>20986</v>
      </c>
      <c r="B856">
        <v>1</v>
      </c>
      <c r="C856" t="s">
        <v>96</v>
      </c>
      <c r="D856" t="s">
        <v>97</v>
      </c>
      <c r="E856" s="1">
        <v>43933</v>
      </c>
      <c r="F856">
        <v>3</v>
      </c>
      <c r="G856" t="s">
        <v>65</v>
      </c>
      <c r="H856" t="s">
        <v>66</v>
      </c>
      <c r="I856" s="3">
        <v>1196</v>
      </c>
      <c r="J856" s="3">
        <v>1196</v>
      </c>
      <c r="K856" s="3">
        <v>397</v>
      </c>
      <c r="L856" t="s">
        <v>98</v>
      </c>
      <c r="M856">
        <v>17</v>
      </c>
      <c r="N856" t="s">
        <v>14</v>
      </c>
      <c r="O856" t="s">
        <v>11</v>
      </c>
      <c r="P856" t="s">
        <v>15</v>
      </c>
      <c r="Q856" t="s">
        <v>16</v>
      </c>
      <c r="R856" t="s">
        <v>16</v>
      </c>
      <c r="S856" t="s">
        <v>144</v>
      </c>
      <c r="T856" s="2">
        <f>MASTER[[#This Row],[CANTIDAD]]*MASTER[[#This Row],[PRECIO DE VENTA]]</f>
        <v>3588</v>
      </c>
      <c r="U856" s="2">
        <f>MASTER[[#This Row],[CANTIDAD]]*MASTER[[#This Row],[COSTO UNITARIO]]</f>
        <v>1191</v>
      </c>
      <c r="V856" s="2">
        <f>MASTER[[#This Row],[MONTO VENDIDO]]-MASTER[[#This Row],[COSTO DE VENTA]]</f>
        <v>2397</v>
      </c>
    </row>
    <row r="857" spans="1:22" x14ac:dyDescent="0.3">
      <c r="A857">
        <v>21003</v>
      </c>
      <c r="B857">
        <v>1</v>
      </c>
      <c r="C857" t="s">
        <v>107</v>
      </c>
      <c r="D857" t="s">
        <v>108</v>
      </c>
      <c r="E857" s="1">
        <v>43933</v>
      </c>
      <c r="F857">
        <v>1</v>
      </c>
      <c r="G857" t="s">
        <v>45</v>
      </c>
      <c r="H857" t="s">
        <v>46</v>
      </c>
      <c r="I857" s="3">
        <v>1333</v>
      </c>
      <c r="J857" s="3">
        <v>1333</v>
      </c>
      <c r="K857" s="3">
        <v>380</v>
      </c>
      <c r="L857" t="s">
        <v>98</v>
      </c>
      <c r="M857">
        <v>2</v>
      </c>
      <c r="N857" t="s">
        <v>86</v>
      </c>
      <c r="O857" t="s">
        <v>81</v>
      </c>
      <c r="P857" t="s">
        <v>71</v>
      </c>
      <c r="Q857" t="s">
        <v>72</v>
      </c>
      <c r="R857" t="s">
        <v>139</v>
      </c>
      <c r="S857" t="s">
        <v>144</v>
      </c>
      <c r="T857" s="2">
        <f>MASTER[[#This Row],[CANTIDAD]]*MASTER[[#This Row],[PRECIO DE VENTA]]</f>
        <v>1333</v>
      </c>
      <c r="U857" s="2">
        <f>MASTER[[#This Row],[CANTIDAD]]*MASTER[[#This Row],[COSTO UNITARIO]]</f>
        <v>380</v>
      </c>
      <c r="V857" s="2">
        <f>MASTER[[#This Row],[MONTO VENDIDO]]-MASTER[[#This Row],[COSTO DE VENTA]]</f>
        <v>953</v>
      </c>
    </row>
    <row r="858" spans="1:22" x14ac:dyDescent="0.3">
      <c r="A858">
        <v>21016</v>
      </c>
      <c r="B858">
        <v>1</v>
      </c>
      <c r="C858" t="s">
        <v>96</v>
      </c>
      <c r="D858" t="s">
        <v>97</v>
      </c>
      <c r="E858" s="1">
        <v>43933</v>
      </c>
      <c r="F858">
        <v>1</v>
      </c>
      <c r="G858" t="s">
        <v>35</v>
      </c>
      <c r="H858" t="s">
        <v>36</v>
      </c>
      <c r="I858" s="3">
        <v>1196</v>
      </c>
      <c r="J858" s="3">
        <v>1148</v>
      </c>
      <c r="K858" s="3">
        <v>397</v>
      </c>
      <c r="L858" t="s">
        <v>98</v>
      </c>
      <c r="M858">
        <v>16</v>
      </c>
      <c r="N858" t="s">
        <v>17</v>
      </c>
      <c r="O858" t="s">
        <v>11</v>
      </c>
      <c r="P858" t="s">
        <v>18</v>
      </c>
      <c r="Q858" t="s">
        <v>19</v>
      </c>
      <c r="R858" t="s">
        <v>138</v>
      </c>
      <c r="S858" t="s">
        <v>144</v>
      </c>
      <c r="T858" s="2">
        <f>MASTER[[#This Row],[CANTIDAD]]*MASTER[[#This Row],[PRECIO DE VENTA]]</f>
        <v>1148</v>
      </c>
      <c r="U858" s="2">
        <f>MASTER[[#This Row],[CANTIDAD]]*MASTER[[#This Row],[COSTO UNITARIO]]</f>
        <v>397</v>
      </c>
      <c r="V858" s="2">
        <f>MASTER[[#This Row],[MONTO VENDIDO]]-MASTER[[#This Row],[COSTO DE VENTA]]</f>
        <v>751</v>
      </c>
    </row>
    <row r="859" spans="1:22" x14ac:dyDescent="0.3">
      <c r="A859">
        <v>21023</v>
      </c>
      <c r="B859">
        <v>1</v>
      </c>
      <c r="C859" t="s">
        <v>111</v>
      </c>
      <c r="D859" t="s">
        <v>112</v>
      </c>
      <c r="E859" s="1">
        <v>43933</v>
      </c>
      <c r="F859">
        <v>1</v>
      </c>
      <c r="G859" t="s">
        <v>22</v>
      </c>
      <c r="H859" t="s">
        <v>23</v>
      </c>
      <c r="I859" s="3">
        <v>1621</v>
      </c>
      <c r="J859" s="3">
        <v>1621</v>
      </c>
      <c r="K859" s="3">
        <v>434</v>
      </c>
      <c r="L859" t="s">
        <v>113</v>
      </c>
      <c r="M859">
        <v>19</v>
      </c>
      <c r="N859" t="s">
        <v>89</v>
      </c>
      <c r="O859" t="s">
        <v>81</v>
      </c>
      <c r="P859" t="s">
        <v>15</v>
      </c>
      <c r="Q859" t="s">
        <v>16</v>
      </c>
      <c r="R859" t="s">
        <v>16</v>
      </c>
      <c r="S859" t="s">
        <v>144</v>
      </c>
      <c r="T859" s="2">
        <f>MASTER[[#This Row],[CANTIDAD]]*MASTER[[#This Row],[PRECIO DE VENTA]]</f>
        <v>1621</v>
      </c>
      <c r="U859" s="2">
        <f>MASTER[[#This Row],[CANTIDAD]]*MASTER[[#This Row],[COSTO UNITARIO]]</f>
        <v>434</v>
      </c>
      <c r="V859" s="2">
        <f>MASTER[[#This Row],[MONTO VENDIDO]]-MASTER[[#This Row],[COSTO DE VENTA]]</f>
        <v>1187</v>
      </c>
    </row>
    <row r="860" spans="1:22" x14ac:dyDescent="0.3">
      <c r="A860">
        <v>21047</v>
      </c>
      <c r="B860">
        <v>1</v>
      </c>
      <c r="C860" t="s">
        <v>118</v>
      </c>
      <c r="D860" t="s">
        <v>119</v>
      </c>
      <c r="E860" s="1">
        <v>43933</v>
      </c>
      <c r="F860">
        <v>1</v>
      </c>
      <c r="G860" t="s">
        <v>51</v>
      </c>
      <c r="H860" t="s">
        <v>52</v>
      </c>
      <c r="I860" s="3">
        <v>900</v>
      </c>
      <c r="J860" s="3">
        <v>900</v>
      </c>
      <c r="K860" s="3">
        <v>424</v>
      </c>
      <c r="L860" t="s">
        <v>120</v>
      </c>
      <c r="M860">
        <v>15</v>
      </c>
      <c r="N860" t="s">
        <v>88</v>
      </c>
      <c r="O860" t="s">
        <v>81</v>
      </c>
      <c r="P860" t="s">
        <v>18</v>
      </c>
      <c r="Q860" t="s">
        <v>19</v>
      </c>
      <c r="R860" t="s">
        <v>138</v>
      </c>
      <c r="S860" t="s">
        <v>144</v>
      </c>
      <c r="T860" s="2">
        <f>MASTER[[#This Row],[CANTIDAD]]*MASTER[[#This Row],[PRECIO DE VENTA]]</f>
        <v>900</v>
      </c>
      <c r="U860" s="2">
        <f>MASTER[[#This Row],[CANTIDAD]]*MASTER[[#This Row],[COSTO UNITARIO]]</f>
        <v>424</v>
      </c>
      <c r="V860" s="2">
        <f>MASTER[[#This Row],[MONTO VENDIDO]]-MASTER[[#This Row],[COSTO DE VENTA]]</f>
        <v>476</v>
      </c>
    </row>
    <row r="861" spans="1:22" x14ac:dyDescent="0.3">
      <c r="A861">
        <v>21050</v>
      </c>
      <c r="B861">
        <v>1</v>
      </c>
      <c r="C861" t="s">
        <v>90</v>
      </c>
      <c r="D861" t="s">
        <v>91</v>
      </c>
      <c r="E861" s="1">
        <v>43933</v>
      </c>
      <c r="F861">
        <v>1</v>
      </c>
      <c r="G861" t="s">
        <v>55</v>
      </c>
      <c r="H861" t="s">
        <v>56</v>
      </c>
      <c r="I861" s="3">
        <v>1844</v>
      </c>
      <c r="J861" s="3">
        <v>1844</v>
      </c>
      <c r="K861" s="3">
        <v>420</v>
      </c>
      <c r="L861" t="s">
        <v>9</v>
      </c>
      <c r="M861">
        <v>15</v>
      </c>
      <c r="N861" t="s">
        <v>88</v>
      </c>
      <c r="O861" t="s">
        <v>81</v>
      </c>
      <c r="P861" t="s">
        <v>18</v>
      </c>
      <c r="Q861" t="s">
        <v>19</v>
      </c>
      <c r="R861" t="s">
        <v>138</v>
      </c>
      <c r="S861" t="s">
        <v>144</v>
      </c>
      <c r="T861" s="2">
        <f>MASTER[[#This Row],[CANTIDAD]]*MASTER[[#This Row],[PRECIO DE VENTA]]</f>
        <v>1844</v>
      </c>
      <c r="U861" s="2">
        <f>MASTER[[#This Row],[CANTIDAD]]*MASTER[[#This Row],[COSTO UNITARIO]]</f>
        <v>420</v>
      </c>
      <c r="V861" s="2">
        <f>MASTER[[#This Row],[MONTO VENDIDO]]-MASTER[[#This Row],[COSTO DE VENTA]]</f>
        <v>1424</v>
      </c>
    </row>
    <row r="862" spans="1:22" x14ac:dyDescent="0.3">
      <c r="A862">
        <v>21057</v>
      </c>
      <c r="B862">
        <v>1</v>
      </c>
      <c r="C862" t="s">
        <v>107</v>
      </c>
      <c r="D862" t="s">
        <v>108</v>
      </c>
      <c r="E862" s="1">
        <v>43933</v>
      </c>
      <c r="F862">
        <v>1</v>
      </c>
      <c r="G862" t="s">
        <v>57</v>
      </c>
      <c r="H862" t="s">
        <v>58</v>
      </c>
      <c r="I862" s="3">
        <v>1333</v>
      </c>
      <c r="J862" s="3">
        <v>1333</v>
      </c>
      <c r="K862" s="3">
        <v>380</v>
      </c>
      <c r="L862" t="s">
        <v>98</v>
      </c>
      <c r="M862">
        <v>5</v>
      </c>
      <c r="N862" t="s">
        <v>85</v>
      </c>
      <c r="O862" t="s">
        <v>81</v>
      </c>
      <c r="P862" t="s">
        <v>12</v>
      </c>
      <c r="Q862" t="s">
        <v>13</v>
      </c>
      <c r="R862" t="s">
        <v>13</v>
      </c>
      <c r="S862" t="s">
        <v>144</v>
      </c>
      <c r="T862" s="2">
        <f>MASTER[[#This Row],[CANTIDAD]]*MASTER[[#This Row],[PRECIO DE VENTA]]</f>
        <v>1333</v>
      </c>
      <c r="U862" s="2">
        <f>MASTER[[#This Row],[CANTIDAD]]*MASTER[[#This Row],[COSTO UNITARIO]]</f>
        <v>380</v>
      </c>
      <c r="V862" s="2">
        <f>MASTER[[#This Row],[MONTO VENDIDO]]-MASTER[[#This Row],[COSTO DE VENTA]]</f>
        <v>953</v>
      </c>
    </row>
    <row r="863" spans="1:22" x14ac:dyDescent="0.3">
      <c r="A863">
        <v>21079</v>
      </c>
      <c r="B863">
        <v>1</v>
      </c>
      <c r="C863" t="s">
        <v>101</v>
      </c>
      <c r="D863" t="s">
        <v>102</v>
      </c>
      <c r="E863" s="1">
        <v>43933</v>
      </c>
      <c r="F863">
        <v>1</v>
      </c>
      <c r="G863" t="s">
        <v>35</v>
      </c>
      <c r="H863" t="s">
        <v>36</v>
      </c>
      <c r="I863" s="3">
        <v>1212</v>
      </c>
      <c r="J863" s="3">
        <v>1212</v>
      </c>
      <c r="K863" s="3">
        <v>442</v>
      </c>
      <c r="L863" t="s">
        <v>98</v>
      </c>
      <c r="M863">
        <v>10</v>
      </c>
      <c r="N863" t="s">
        <v>83</v>
      </c>
      <c r="O863" t="s">
        <v>81</v>
      </c>
      <c r="P863" t="s">
        <v>12</v>
      </c>
      <c r="Q863" t="s">
        <v>13</v>
      </c>
      <c r="R863" t="s">
        <v>13</v>
      </c>
      <c r="S863" t="s">
        <v>144</v>
      </c>
      <c r="T863" s="2">
        <f>MASTER[[#This Row],[CANTIDAD]]*MASTER[[#This Row],[PRECIO DE VENTA]]</f>
        <v>1212</v>
      </c>
      <c r="U863" s="2">
        <f>MASTER[[#This Row],[CANTIDAD]]*MASTER[[#This Row],[COSTO UNITARIO]]</f>
        <v>442</v>
      </c>
      <c r="V863" s="2">
        <f>MASTER[[#This Row],[MONTO VENDIDO]]-MASTER[[#This Row],[COSTO DE VENTA]]</f>
        <v>770</v>
      </c>
    </row>
    <row r="864" spans="1:22" x14ac:dyDescent="0.3">
      <c r="A864">
        <v>21081</v>
      </c>
      <c r="B864">
        <v>1</v>
      </c>
      <c r="C864" t="s">
        <v>103</v>
      </c>
      <c r="D864" t="s">
        <v>104</v>
      </c>
      <c r="E864" s="1">
        <v>43933</v>
      </c>
      <c r="F864">
        <v>3</v>
      </c>
      <c r="G864" t="s">
        <v>53</v>
      </c>
      <c r="H864" t="s">
        <v>54</v>
      </c>
      <c r="I864" s="3">
        <v>1448</v>
      </c>
      <c r="J864" s="3">
        <v>1448</v>
      </c>
      <c r="K864" s="3">
        <v>421</v>
      </c>
      <c r="L864" t="s">
        <v>98</v>
      </c>
      <c r="M864">
        <v>16</v>
      </c>
      <c r="N864" t="s">
        <v>17</v>
      </c>
      <c r="O864" t="s">
        <v>11</v>
      </c>
      <c r="P864" t="s">
        <v>18</v>
      </c>
      <c r="Q864" t="s">
        <v>19</v>
      </c>
      <c r="R864" t="s">
        <v>138</v>
      </c>
      <c r="S864" t="s">
        <v>144</v>
      </c>
      <c r="T864" s="2">
        <f>MASTER[[#This Row],[CANTIDAD]]*MASTER[[#This Row],[PRECIO DE VENTA]]</f>
        <v>4344</v>
      </c>
      <c r="U864" s="2">
        <f>MASTER[[#This Row],[CANTIDAD]]*MASTER[[#This Row],[COSTO UNITARIO]]</f>
        <v>1263</v>
      </c>
      <c r="V864" s="2">
        <f>MASTER[[#This Row],[MONTO VENDIDO]]-MASTER[[#This Row],[COSTO DE VENTA]]</f>
        <v>3081</v>
      </c>
    </row>
    <row r="865" spans="1:22" x14ac:dyDescent="0.3">
      <c r="A865">
        <v>21085</v>
      </c>
      <c r="B865">
        <v>1</v>
      </c>
      <c r="C865" t="s">
        <v>105</v>
      </c>
      <c r="D865" t="s">
        <v>106</v>
      </c>
      <c r="E865" s="1">
        <v>43933</v>
      </c>
      <c r="F865">
        <v>1</v>
      </c>
      <c r="G865" t="s">
        <v>61</v>
      </c>
      <c r="H865" t="s">
        <v>62</v>
      </c>
      <c r="I865" s="3">
        <v>1585</v>
      </c>
      <c r="J865" s="3">
        <v>1442</v>
      </c>
      <c r="K865" s="3">
        <v>459</v>
      </c>
      <c r="L865" t="s">
        <v>98</v>
      </c>
      <c r="M865">
        <v>17</v>
      </c>
      <c r="N865" t="s">
        <v>14</v>
      </c>
      <c r="O865" t="s">
        <v>11</v>
      </c>
      <c r="P865" t="s">
        <v>15</v>
      </c>
      <c r="Q865" t="s">
        <v>16</v>
      </c>
      <c r="R865" t="s">
        <v>16</v>
      </c>
      <c r="S865" t="s">
        <v>144</v>
      </c>
      <c r="T865" s="2">
        <f>MASTER[[#This Row],[CANTIDAD]]*MASTER[[#This Row],[PRECIO DE VENTA]]</f>
        <v>1442</v>
      </c>
      <c r="U865" s="2">
        <f>MASTER[[#This Row],[CANTIDAD]]*MASTER[[#This Row],[COSTO UNITARIO]]</f>
        <v>459</v>
      </c>
      <c r="V865" s="2">
        <f>MASTER[[#This Row],[MONTO VENDIDO]]-MASTER[[#This Row],[COSTO DE VENTA]]</f>
        <v>983</v>
      </c>
    </row>
    <row r="866" spans="1:22" x14ac:dyDescent="0.3">
      <c r="A866">
        <v>21094</v>
      </c>
      <c r="B866">
        <v>1</v>
      </c>
      <c r="C866" t="s">
        <v>121</v>
      </c>
      <c r="D866" t="s">
        <v>122</v>
      </c>
      <c r="E866" s="1">
        <v>43934</v>
      </c>
      <c r="F866">
        <v>1</v>
      </c>
      <c r="G866" t="s">
        <v>51</v>
      </c>
      <c r="H866" t="s">
        <v>52</v>
      </c>
      <c r="I866" s="3">
        <v>1144</v>
      </c>
      <c r="J866" s="3">
        <v>1144</v>
      </c>
      <c r="K866" s="3">
        <v>460</v>
      </c>
      <c r="L866" t="s">
        <v>120</v>
      </c>
      <c r="M866">
        <v>1</v>
      </c>
      <c r="N866" t="s">
        <v>77</v>
      </c>
      <c r="O866" t="s">
        <v>70</v>
      </c>
      <c r="P866" t="s">
        <v>71</v>
      </c>
      <c r="Q866" t="s">
        <v>72</v>
      </c>
      <c r="R866" t="s">
        <v>139</v>
      </c>
      <c r="S866" t="s">
        <v>144</v>
      </c>
      <c r="T866" s="2">
        <f>MASTER[[#This Row],[CANTIDAD]]*MASTER[[#This Row],[PRECIO DE VENTA]]</f>
        <v>1144</v>
      </c>
      <c r="U866" s="2">
        <f>MASTER[[#This Row],[CANTIDAD]]*MASTER[[#This Row],[COSTO UNITARIO]]</f>
        <v>460</v>
      </c>
      <c r="V866" s="2">
        <f>MASTER[[#This Row],[MONTO VENDIDO]]-MASTER[[#This Row],[COSTO DE VENTA]]</f>
        <v>684</v>
      </c>
    </row>
    <row r="867" spans="1:22" x14ac:dyDescent="0.3">
      <c r="A867">
        <v>21098</v>
      </c>
      <c r="B867">
        <v>1</v>
      </c>
      <c r="C867" t="s">
        <v>101</v>
      </c>
      <c r="D867" t="s">
        <v>102</v>
      </c>
      <c r="E867" s="1">
        <v>43934</v>
      </c>
      <c r="F867">
        <v>1</v>
      </c>
      <c r="G867" t="s">
        <v>29</v>
      </c>
      <c r="H867" t="s">
        <v>30</v>
      </c>
      <c r="I867" s="3">
        <v>1212</v>
      </c>
      <c r="J867" s="3">
        <v>1090</v>
      </c>
      <c r="K867" s="3">
        <v>442</v>
      </c>
      <c r="L867" t="s">
        <v>98</v>
      </c>
      <c r="M867">
        <v>5</v>
      </c>
      <c r="N867" t="s">
        <v>85</v>
      </c>
      <c r="O867" t="s">
        <v>81</v>
      </c>
      <c r="P867" t="s">
        <v>12</v>
      </c>
      <c r="Q867" t="s">
        <v>13</v>
      </c>
      <c r="R867" t="s">
        <v>13</v>
      </c>
      <c r="S867" t="s">
        <v>144</v>
      </c>
      <c r="T867" s="2">
        <f>MASTER[[#This Row],[CANTIDAD]]*MASTER[[#This Row],[PRECIO DE VENTA]]</f>
        <v>1090</v>
      </c>
      <c r="U867" s="2">
        <f>MASTER[[#This Row],[CANTIDAD]]*MASTER[[#This Row],[COSTO UNITARIO]]</f>
        <v>442</v>
      </c>
      <c r="V867" s="2">
        <f>MASTER[[#This Row],[MONTO VENDIDO]]-MASTER[[#This Row],[COSTO DE VENTA]]</f>
        <v>648</v>
      </c>
    </row>
    <row r="868" spans="1:22" x14ac:dyDescent="0.3">
      <c r="A868">
        <v>21112</v>
      </c>
      <c r="B868">
        <v>1</v>
      </c>
      <c r="C868" t="s">
        <v>107</v>
      </c>
      <c r="D868" t="s">
        <v>108</v>
      </c>
      <c r="E868" s="1">
        <v>43934</v>
      </c>
      <c r="F868">
        <v>1</v>
      </c>
      <c r="G868" t="s">
        <v>33</v>
      </c>
      <c r="H868" t="s">
        <v>34</v>
      </c>
      <c r="I868" s="3">
        <v>1333</v>
      </c>
      <c r="J868" s="3">
        <v>1333</v>
      </c>
      <c r="K868" s="3">
        <v>380</v>
      </c>
      <c r="L868" t="s">
        <v>98</v>
      </c>
      <c r="M868">
        <v>19</v>
      </c>
      <c r="N868" t="s">
        <v>89</v>
      </c>
      <c r="O868" t="s">
        <v>81</v>
      </c>
      <c r="P868" t="s">
        <v>15</v>
      </c>
      <c r="Q868" t="s">
        <v>16</v>
      </c>
      <c r="R868" t="s">
        <v>16</v>
      </c>
      <c r="S868" t="s">
        <v>144</v>
      </c>
      <c r="T868" s="2">
        <f>MASTER[[#This Row],[CANTIDAD]]*MASTER[[#This Row],[PRECIO DE VENTA]]</f>
        <v>1333</v>
      </c>
      <c r="U868" s="2">
        <f>MASTER[[#This Row],[CANTIDAD]]*MASTER[[#This Row],[COSTO UNITARIO]]</f>
        <v>380</v>
      </c>
      <c r="V868" s="2">
        <f>MASTER[[#This Row],[MONTO VENDIDO]]-MASTER[[#This Row],[COSTO DE VENTA]]</f>
        <v>953</v>
      </c>
    </row>
    <row r="869" spans="1:22" x14ac:dyDescent="0.3">
      <c r="A869">
        <v>21119</v>
      </c>
      <c r="B869">
        <v>1</v>
      </c>
      <c r="C869" t="s">
        <v>111</v>
      </c>
      <c r="D869" t="s">
        <v>112</v>
      </c>
      <c r="E869" s="1">
        <v>43934</v>
      </c>
      <c r="F869">
        <v>1</v>
      </c>
      <c r="G869" t="s">
        <v>57</v>
      </c>
      <c r="H869" t="s">
        <v>58</v>
      </c>
      <c r="I869" s="3">
        <v>1621</v>
      </c>
      <c r="J869" s="3">
        <v>1621</v>
      </c>
      <c r="K869" s="3">
        <v>434</v>
      </c>
      <c r="L869" t="s">
        <v>113</v>
      </c>
      <c r="M869">
        <v>4</v>
      </c>
      <c r="N869" t="s">
        <v>82</v>
      </c>
      <c r="O869" t="s">
        <v>81</v>
      </c>
      <c r="P869" t="s">
        <v>71</v>
      </c>
      <c r="Q869" t="s">
        <v>72</v>
      </c>
      <c r="R869" t="s">
        <v>139</v>
      </c>
      <c r="S869" t="s">
        <v>144</v>
      </c>
      <c r="T869" s="2">
        <f>MASTER[[#This Row],[CANTIDAD]]*MASTER[[#This Row],[PRECIO DE VENTA]]</f>
        <v>1621</v>
      </c>
      <c r="U869" s="2">
        <f>MASTER[[#This Row],[CANTIDAD]]*MASTER[[#This Row],[COSTO UNITARIO]]</f>
        <v>434</v>
      </c>
      <c r="V869" s="2">
        <f>MASTER[[#This Row],[MONTO VENDIDO]]-MASTER[[#This Row],[COSTO DE VENTA]]</f>
        <v>1187</v>
      </c>
    </row>
    <row r="870" spans="1:22" x14ac:dyDescent="0.3">
      <c r="A870">
        <v>21122</v>
      </c>
      <c r="B870">
        <v>1</v>
      </c>
      <c r="C870" t="s">
        <v>90</v>
      </c>
      <c r="D870" t="s">
        <v>91</v>
      </c>
      <c r="E870" s="1">
        <v>43934</v>
      </c>
      <c r="F870">
        <v>1</v>
      </c>
      <c r="G870" t="s">
        <v>51</v>
      </c>
      <c r="H870" t="s">
        <v>52</v>
      </c>
      <c r="I870" s="3">
        <v>1660</v>
      </c>
      <c r="J870" s="3">
        <v>1560</v>
      </c>
      <c r="K870" s="3">
        <v>420</v>
      </c>
      <c r="L870" t="s">
        <v>9</v>
      </c>
      <c r="M870">
        <v>11</v>
      </c>
      <c r="N870" t="s">
        <v>10</v>
      </c>
      <c r="O870" t="s">
        <v>11</v>
      </c>
      <c r="P870" t="s">
        <v>12</v>
      </c>
      <c r="Q870" t="s">
        <v>13</v>
      </c>
      <c r="R870" t="s">
        <v>13</v>
      </c>
      <c r="S870" t="s">
        <v>144</v>
      </c>
      <c r="T870" s="2">
        <f>MASTER[[#This Row],[CANTIDAD]]*MASTER[[#This Row],[PRECIO DE VENTA]]</f>
        <v>1560</v>
      </c>
      <c r="U870" s="2">
        <f>MASTER[[#This Row],[CANTIDAD]]*MASTER[[#This Row],[COSTO UNITARIO]]</f>
        <v>420</v>
      </c>
      <c r="V870" s="2">
        <f>MASTER[[#This Row],[MONTO VENDIDO]]-MASTER[[#This Row],[COSTO DE VENTA]]</f>
        <v>1140</v>
      </c>
    </row>
    <row r="871" spans="1:22" x14ac:dyDescent="0.3">
      <c r="A871">
        <v>21123</v>
      </c>
      <c r="B871">
        <v>1</v>
      </c>
      <c r="C871" t="s">
        <v>99</v>
      </c>
      <c r="D871" t="s">
        <v>100</v>
      </c>
      <c r="E871" s="1">
        <v>43934</v>
      </c>
      <c r="F871">
        <v>1</v>
      </c>
      <c r="G871" t="s">
        <v>24</v>
      </c>
      <c r="H871" t="s">
        <v>25</v>
      </c>
      <c r="I871" s="3">
        <v>1678</v>
      </c>
      <c r="J871" s="3">
        <v>1678</v>
      </c>
      <c r="K871" s="3">
        <v>386</v>
      </c>
      <c r="L871" t="s">
        <v>98</v>
      </c>
      <c r="M871">
        <v>9</v>
      </c>
      <c r="N871" t="s">
        <v>76</v>
      </c>
      <c r="O871" t="s">
        <v>70</v>
      </c>
      <c r="P871" t="s">
        <v>12</v>
      </c>
      <c r="Q871" t="s">
        <v>13</v>
      </c>
      <c r="R871" t="s">
        <v>13</v>
      </c>
      <c r="S871" t="s">
        <v>144</v>
      </c>
      <c r="T871" s="2">
        <f>MASTER[[#This Row],[CANTIDAD]]*MASTER[[#This Row],[PRECIO DE VENTA]]</f>
        <v>1678</v>
      </c>
      <c r="U871" s="2">
        <f>MASTER[[#This Row],[CANTIDAD]]*MASTER[[#This Row],[COSTO UNITARIO]]</f>
        <v>386</v>
      </c>
      <c r="V871" s="2">
        <f>MASTER[[#This Row],[MONTO VENDIDO]]-MASTER[[#This Row],[COSTO DE VENTA]]</f>
        <v>1292</v>
      </c>
    </row>
    <row r="872" spans="1:22" x14ac:dyDescent="0.3">
      <c r="A872">
        <v>21126</v>
      </c>
      <c r="B872">
        <v>1</v>
      </c>
      <c r="C872" t="s">
        <v>114</v>
      </c>
      <c r="D872" t="s">
        <v>115</v>
      </c>
      <c r="E872" s="1">
        <v>43934</v>
      </c>
      <c r="F872">
        <v>1</v>
      </c>
      <c r="G872" t="s">
        <v>45</v>
      </c>
      <c r="H872" t="s">
        <v>46</v>
      </c>
      <c r="I872" s="3">
        <v>2030</v>
      </c>
      <c r="J872" s="3">
        <v>2030</v>
      </c>
      <c r="K872" s="3">
        <v>394</v>
      </c>
      <c r="L872" t="s">
        <v>113</v>
      </c>
      <c r="M872">
        <v>13</v>
      </c>
      <c r="N872" t="s">
        <v>78</v>
      </c>
      <c r="O872" t="s">
        <v>70</v>
      </c>
      <c r="P872" t="s">
        <v>18</v>
      </c>
      <c r="Q872" t="s">
        <v>19</v>
      </c>
      <c r="R872" t="s">
        <v>138</v>
      </c>
      <c r="S872" t="s">
        <v>144</v>
      </c>
      <c r="T872" s="2">
        <f>MASTER[[#This Row],[CANTIDAD]]*MASTER[[#This Row],[PRECIO DE VENTA]]</f>
        <v>2030</v>
      </c>
      <c r="U872" s="2">
        <f>MASTER[[#This Row],[CANTIDAD]]*MASTER[[#This Row],[COSTO UNITARIO]]</f>
        <v>394</v>
      </c>
      <c r="V872" s="2">
        <f>MASTER[[#This Row],[MONTO VENDIDO]]-MASTER[[#This Row],[COSTO DE VENTA]]</f>
        <v>1636</v>
      </c>
    </row>
    <row r="873" spans="1:22" x14ac:dyDescent="0.3">
      <c r="A873">
        <v>21135</v>
      </c>
      <c r="B873">
        <v>1</v>
      </c>
      <c r="C873" t="s">
        <v>121</v>
      </c>
      <c r="D873" t="s">
        <v>122</v>
      </c>
      <c r="E873" s="1">
        <v>43934</v>
      </c>
      <c r="F873">
        <v>1</v>
      </c>
      <c r="G873" t="s">
        <v>22</v>
      </c>
      <c r="H873" t="s">
        <v>23</v>
      </c>
      <c r="I873" s="3">
        <v>1144</v>
      </c>
      <c r="J873" s="3">
        <v>1144</v>
      </c>
      <c r="K873" s="3">
        <v>460</v>
      </c>
      <c r="L873" t="s">
        <v>120</v>
      </c>
      <c r="M873">
        <v>6</v>
      </c>
      <c r="N873" t="s">
        <v>75</v>
      </c>
      <c r="O873" t="s">
        <v>70</v>
      </c>
      <c r="P873" t="s">
        <v>12</v>
      </c>
      <c r="Q873" t="s">
        <v>13</v>
      </c>
      <c r="R873" t="s">
        <v>13</v>
      </c>
      <c r="S873" t="s">
        <v>144</v>
      </c>
      <c r="T873" s="2">
        <f>MASTER[[#This Row],[CANTIDAD]]*MASTER[[#This Row],[PRECIO DE VENTA]]</f>
        <v>1144</v>
      </c>
      <c r="U873" s="2">
        <f>MASTER[[#This Row],[CANTIDAD]]*MASTER[[#This Row],[COSTO UNITARIO]]</f>
        <v>460</v>
      </c>
      <c r="V873" s="2">
        <f>MASTER[[#This Row],[MONTO VENDIDO]]-MASTER[[#This Row],[COSTO DE VENTA]]</f>
        <v>684</v>
      </c>
    </row>
    <row r="874" spans="1:22" x14ac:dyDescent="0.3">
      <c r="A874">
        <v>21144</v>
      </c>
      <c r="B874">
        <v>1</v>
      </c>
      <c r="C874" t="s">
        <v>109</v>
      </c>
      <c r="D874" t="s">
        <v>110</v>
      </c>
      <c r="E874" s="1">
        <v>43934</v>
      </c>
      <c r="F874">
        <v>1</v>
      </c>
      <c r="G874" t="s">
        <v>29</v>
      </c>
      <c r="H874" t="s">
        <v>30</v>
      </c>
      <c r="I874" s="3">
        <v>1064</v>
      </c>
      <c r="J874" s="3">
        <v>968</v>
      </c>
      <c r="K874" s="3">
        <v>387</v>
      </c>
      <c r="L874" t="s">
        <v>98</v>
      </c>
      <c r="M874">
        <v>14</v>
      </c>
      <c r="N874" t="s">
        <v>87</v>
      </c>
      <c r="O874" t="s">
        <v>81</v>
      </c>
      <c r="P874" t="s">
        <v>18</v>
      </c>
      <c r="Q874" t="s">
        <v>19</v>
      </c>
      <c r="R874" t="s">
        <v>138</v>
      </c>
      <c r="S874" t="s">
        <v>144</v>
      </c>
      <c r="T874" s="2">
        <f>MASTER[[#This Row],[CANTIDAD]]*MASTER[[#This Row],[PRECIO DE VENTA]]</f>
        <v>968</v>
      </c>
      <c r="U874" s="2">
        <f>MASTER[[#This Row],[CANTIDAD]]*MASTER[[#This Row],[COSTO UNITARIO]]</f>
        <v>387</v>
      </c>
      <c r="V874" s="2">
        <f>MASTER[[#This Row],[MONTO VENDIDO]]-MASTER[[#This Row],[COSTO DE VENTA]]</f>
        <v>581</v>
      </c>
    </row>
    <row r="875" spans="1:22" x14ac:dyDescent="0.3">
      <c r="A875">
        <v>21149</v>
      </c>
      <c r="B875">
        <v>1</v>
      </c>
      <c r="C875" t="s">
        <v>114</v>
      </c>
      <c r="D875" t="s">
        <v>115</v>
      </c>
      <c r="E875" s="1">
        <v>43934</v>
      </c>
      <c r="F875">
        <v>1</v>
      </c>
      <c r="G875" t="s">
        <v>33</v>
      </c>
      <c r="H875" t="s">
        <v>34</v>
      </c>
      <c r="I875" s="3">
        <v>2030</v>
      </c>
      <c r="J875" s="3">
        <v>2030</v>
      </c>
      <c r="K875" s="3">
        <v>394</v>
      </c>
      <c r="L875" t="s">
        <v>113</v>
      </c>
      <c r="M875">
        <v>18</v>
      </c>
      <c r="N875" t="s">
        <v>79</v>
      </c>
      <c r="O875" t="s">
        <v>70</v>
      </c>
      <c r="P875" t="s">
        <v>15</v>
      </c>
      <c r="Q875" t="s">
        <v>16</v>
      </c>
      <c r="R875" t="s">
        <v>16</v>
      </c>
      <c r="S875" t="s">
        <v>144</v>
      </c>
      <c r="T875" s="2">
        <f>MASTER[[#This Row],[CANTIDAD]]*MASTER[[#This Row],[PRECIO DE VENTA]]</f>
        <v>2030</v>
      </c>
      <c r="U875" s="2">
        <f>MASTER[[#This Row],[CANTIDAD]]*MASTER[[#This Row],[COSTO UNITARIO]]</f>
        <v>394</v>
      </c>
      <c r="V875" s="2">
        <f>MASTER[[#This Row],[MONTO VENDIDO]]-MASTER[[#This Row],[COSTO DE VENTA]]</f>
        <v>1636</v>
      </c>
    </row>
    <row r="876" spans="1:22" x14ac:dyDescent="0.3">
      <c r="A876">
        <v>21151</v>
      </c>
      <c r="B876">
        <v>1</v>
      </c>
      <c r="C876" t="s">
        <v>121</v>
      </c>
      <c r="D876" t="s">
        <v>122</v>
      </c>
      <c r="E876" s="1">
        <v>43934</v>
      </c>
      <c r="F876">
        <v>1</v>
      </c>
      <c r="G876" t="s">
        <v>33</v>
      </c>
      <c r="H876" t="s">
        <v>34</v>
      </c>
      <c r="I876" s="3">
        <v>1069</v>
      </c>
      <c r="J876" s="3">
        <v>1069</v>
      </c>
      <c r="K876" s="3">
        <v>460</v>
      </c>
      <c r="L876" t="s">
        <v>120</v>
      </c>
      <c r="M876">
        <v>10</v>
      </c>
      <c r="N876" t="s">
        <v>83</v>
      </c>
      <c r="O876" t="s">
        <v>81</v>
      </c>
      <c r="P876" t="s">
        <v>12</v>
      </c>
      <c r="Q876" t="s">
        <v>13</v>
      </c>
      <c r="R876" t="s">
        <v>13</v>
      </c>
      <c r="S876" t="s">
        <v>144</v>
      </c>
      <c r="T876" s="2">
        <f>MASTER[[#This Row],[CANTIDAD]]*MASTER[[#This Row],[PRECIO DE VENTA]]</f>
        <v>1069</v>
      </c>
      <c r="U876" s="2">
        <f>MASTER[[#This Row],[CANTIDAD]]*MASTER[[#This Row],[COSTO UNITARIO]]</f>
        <v>460</v>
      </c>
      <c r="V876" s="2">
        <f>MASTER[[#This Row],[MONTO VENDIDO]]-MASTER[[#This Row],[COSTO DE VENTA]]</f>
        <v>609</v>
      </c>
    </row>
    <row r="877" spans="1:22" x14ac:dyDescent="0.3">
      <c r="A877">
        <v>21154</v>
      </c>
      <c r="B877">
        <v>1</v>
      </c>
      <c r="C877" t="s">
        <v>103</v>
      </c>
      <c r="D877" t="s">
        <v>104</v>
      </c>
      <c r="E877" s="1">
        <v>43934</v>
      </c>
      <c r="F877">
        <v>1</v>
      </c>
      <c r="G877" t="s">
        <v>24</v>
      </c>
      <c r="H877" t="s">
        <v>25</v>
      </c>
      <c r="I877" s="3">
        <v>1830</v>
      </c>
      <c r="J877" s="3">
        <v>1830</v>
      </c>
      <c r="K877" s="3">
        <v>421</v>
      </c>
      <c r="L877" t="s">
        <v>98</v>
      </c>
      <c r="M877">
        <v>9</v>
      </c>
      <c r="N877" t="s">
        <v>76</v>
      </c>
      <c r="O877" t="s">
        <v>70</v>
      </c>
      <c r="P877" t="s">
        <v>12</v>
      </c>
      <c r="Q877" t="s">
        <v>13</v>
      </c>
      <c r="R877" t="s">
        <v>13</v>
      </c>
      <c r="S877" t="s">
        <v>144</v>
      </c>
      <c r="T877" s="2">
        <f>MASTER[[#This Row],[CANTIDAD]]*MASTER[[#This Row],[PRECIO DE VENTA]]</f>
        <v>1830</v>
      </c>
      <c r="U877" s="2">
        <f>MASTER[[#This Row],[CANTIDAD]]*MASTER[[#This Row],[COSTO UNITARIO]]</f>
        <v>421</v>
      </c>
      <c r="V877" s="2">
        <f>MASTER[[#This Row],[MONTO VENDIDO]]-MASTER[[#This Row],[COSTO DE VENTA]]</f>
        <v>1409</v>
      </c>
    </row>
    <row r="878" spans="1:22" x14ac:dyDescent="0.3">
      <c r="A878">
        <v>21170</v>
      </c>
      <c r="B878">
        <v>1</v>
      </c>
      <c r="C878" t="s">
        <v>116</v>
      </c>
      <c r="D878" t="s">
        <v>117</v>
      </c>
      <c r="E878" s="1">
        <v>43934</v>
      </c>
      <c r="F878">
        <v>1</v>
      </c>
      <c r="G878" t="s">
        <v>20</v>
      </c>
      <c r="H878" t="s">
        <v>21</v>
      </c>
      <c r="I878" s="3">
        <v>1999</v>
      </c>
      <c r="J878" s="3">
        <v>1999</v>
      </c>
      <c r="K878" s="3">
        <v>388</v>
      </c>
      <c r="L878" t="s">
        <v>113</v>
      </c>
      <c r="M878">
        <v>3</v>
      </c>
      <c r="N878" t="s">
        <v>69</v>
      </c>
      <c r="O878" t="s">
        <v>70</v>
      </c>
      <c r="P878" t="s">
        <v>71</v>
      </c>
      <c r="Q878" t="s">
        <v>72</v>
      </c>
      <c r="R878" t="s">
        <v>139</v>
      </c>
      <c r="S878" t="s">
        <v>144</v>
      </c>
      <c r="T878" s="2">
        <f>MASTER[[#This Row],[CANTIDAD]]*MASTER[[#This Row],[PRECIO DE VENTA]]</f>
        <v>1999</v>
      </c>
      <c r="U878" s="2">
        <f>MASTER[[#This Row],[CANTIDAD]]*MASTER[[#This Row],[COSTO UNITARIO]]</f>
        <v>388</v>
      </c>
      <c r="V878" s="2">
        <f>MASTER[[#This Row],[MONTO VENDIDO]]-MASTER[[#This Row],[COSTO DE VENTA]]</f>
        <v>1611</v>
      </c>
    </row>
    <row r="879" spans="1:22" x14ac:dyDescent="0.3">
      <c r="A879">
        <v>21176</v>
      </c>
      <c r="B879">
        <v>1</v>
      </c>
      <c r="C879" t="s">
        <v>116</v>
      </c>
      <c r="D879" t="s">
        <v>117</v>
      </c>
      <c r="E879" s="1">
        <v>43934</v>
      </c>
      <c r="F879">
        <v>1</v>
      </c>
      <c r="G879" t="s">
        <v>20</v>
      </c>
      <c r="H879" t="s">
        <v>21</v>
      </c>
      <c r="I879" s="3">
        <v>1999</v>
      </c>
      <c r="J879" s="3">
        <v>1999</v>
      </c>
      <c r="K879" s="3">
        <v>388</v>
      </c>
      <c r="L879" t="s">
        <v>113</v>
      </c>
      <c r="M879">
        <v>1</v>
      </c>
      <c r="N879" t="s">
        <v>77</v>
      </c>
      <c r="O879" t="s">
        <v>70</v>
      </c>
      <c r="P879" t="s">
        <v>71</v>
      </c>
      <c r="Q879" t="s">
        <v>72</v>
      </c>
      <c r="R879" t="s">
        <v>139</v>
      </c>
      <c r="S879" t="s">
        <v>144</v>
      </c>
      <c r="T879" s="2">
        <f>MASTER[[#This Row],[CANTIDAD]]*MASTER[[#This Row],[PRECIO DE VENTA]]</f>
        <v>1999</v>
      </c>
      <c r="U879" s="2">
        <f>MASTER[[#This Row],[CANTIDAD]]*MASTER[[#This Row],[COSTO UNITARIO]]</f>
        <v>388</v>
      </c>
      <c r="V879" s="2">
        <f>MASTER[[#This Row],[MONTO VENDIDO]]-MASTER[[#This Row],[COSTO DE VENTA]]</f>
        <v>1611</v>
      </c>
    </row>
    <row r="880" spans="1:22" x14ac:dyDescent="0.3">
      <c r="A880">
        <v>21191</v>
      </c>
      <c r="B880">
        <v>1</v>
      </c>
      <c r="C880" t="s">
        <v>118</v>
      </c>
      <c r="D880" t="s">
        <v>119</v>
      </c>
      <c r="E880" s="1">
        <v>43934</v>
      </c>
      <c r="F880">
        <v>1</v>
      </c>
      <c r="G880" t="s">
        <v>65</v>
      </c>
      <c r="H880" t="s">
        <v>66</v>
      </c>
      <c r="I880" s="3">
        <v>801</v>
      </c>
      <c r="J880" s="3">
        <v>801</v>
      </c>
      <c r="K880" s="3">
        <v>424</v>
      </c>
      <c r="L880" t="s">
        <v>120</v>
      </c>
      <c r="M880">
        <v>12</v>
      </c>
      <c r="N880" t="s">
        <v>26</v>
      </c>
      <c r="O880" t="s">
        <v>11</v>
      </c>
      <c r="P880" t="s">
        <v>12</v>
      </c>
      <c r="Q880" t="s">
        <v>13</v>
      </c>
      <c r="R880" t="s">
        <v>13</v>
      </c>
      <c r="S880" t="s">
        <v>144</v>
      </c>
      <c r="T880" s="2">
        <f>MASTER[[#This Row],[CANTIDAD]]*MASTER[[#This Row],[PRECIO DE VENTA]]</f>
        <v>801</v>
      </c>
      <c r="U880" s="2">
        <f>MASTER[[#This Row],[CANTIDAD]]*MASTER[[#This Row],[COSTO UNITARIO]]</f>
        <v>424</v>
      </c>
      <c r="V880" s="2">
        <f>MASTER[[#This Row],[MONTO VENDIDO]]-MASTER[[#This Row],[COSTO DE VENTA]]</f>
        <v>377</v>
      </c>
    </row>
    <row r="881" spans="1:22" x14ac:dyDescent="0.3">
      <c r="A881">
        <v>21219</v>
      </c>
      <c r="B881">
        <v>1</v>
      </c>
      <c r="C881" t="s">
        <v>105</v>
      </c>
      <c r="D881" t="s">
        <v>106</v>
      </c>
      <c r="E881" s="1">
        <v>43934</v>
      </c>
      <c r="F881">
        <v>1</v>
      </c>
      <c r="G881" t="s">
        <v>20</v>
      </c>
      <c r="H881" t="s">
        <v>21</v>
      </c>
      <c r="I881" s="3">
        <v>1585</v>
      </c>
      <c r="J881" s="3">
        <v>1585</v>
      </c>
      <c r="K881" s="3">
        <v>459</v>
      </c>
      <c r="L881" t="s">
        <v>98</v>
      </c>
      <c r="M881">
        <v>16</v>
      </c>
      <c r="N881" t="s">
        <v>17</v>
      </c>
      <c r="O881" t="s">
        <v>11</v>
      </c>
      <c r="P881" t="s">
        <v>18</v>
      </c>
      <c r="Q881" t="s">
        <v>19</v>
      </c>
      <c r="R881" t="s">
        <v>138</v>
      </c>
      <c r="S881" t="s">
        <v>144</v>
      </c>
      <c r="T881" s="2">
        <f>MASTER[[#This Row],[CANTIDAD]]*MASTER[[#This Row],[PRECIO DE VENTA]]</f>
        <v>1585</v>
      </c>
      <c r="U881" s="2">
        <f>MASTER[[#This Row],[CANTIDAD]]*MASTER[[#This Row],[COSTO UNITARIO]]</f>
        <v>459</v>
      </c>
      <c r="V881" s="2">
        <f>MASTER[[#This Row],[MONTO VENDIDO]]-MASTER[[#This Row],[COSTO DE VENTA]]</f>
        <v>1126</v>
      </c>
    </row>
    <row r="882" spans="1:22" x14ac:dyDescent="0.3">
      <c r="A882">
        <v>21223</v>
      </c>
      <c r="B882">
        <v>1</v>
      </c>
      <c r="C882" t="s">
        <v>96</v>
      </c>
      <c r="D882" t="s">
        <v>97</v>
      </c>
      <c r="E882" s="1">
        <v>43934</v>
      </c>
      <c r="F882">
        <v>1</v>
      </c>
      <c r="G882" t="s">
        <v>27</v>
      </c>
      <c r="H882" t="s">
        <v>28</v>
      </c>
      <c r="I882" s="3">
        <v>1272</v>
      </c>
      <c r="J882" s="3">
        <v>1272</v>
      </c>
      <c r="K882" s="3">
        <v>397</v>
      </c>
      <c r="L882" t="s">
        <v>98</v>
      </c>
      <c r="M882">
        <v>8</v>
      </c>
      <c r="N882" t="s">
        <v>80</v>
      </c>
      <c r="O882" t="s">
        <v>81</v>
      </c>
      <c r="P882" t="s">
        <v>12</v>
      </c>
      <c r="Q882" t="s">
        <v>13</v>
      </c>
      <c r="R882" t="s">
        <v>13</v>
      </c>
      <c r="S882" t="s">
        <v>144</v>
      </c>
      <c r="T882" s="2">
        <f>MASTER[[#This Row],[CANTIDAD]]*MASTER[[#This Row],[PRECIO DE VENTA]]</f>
        <v>1272</v>
      </c>
      <c r="U882" s="2">
        <f>MASTER[[#This Row],[CANTIDAD]]*MASTER[[#This Row],[COSTO UNITARIO]]</f>
        <v>397</v>
      </c>
      <c r="V882" s="2">
        <f>MASTER[[#This Row],[MONTO VENDIDO]]-MASTER[[#This Row],[COSTO DE VENTA]]</f>
        <v>875</v>
      </c>
    </row>
    <row r="883" spans="1:22" x14ac:dyDescent="0.3">
      <c r="A883">
        <v>21237</v>
      </c>
      <c r="B883">
        <v>2</v>
      </c>
      <c r="C883" t="s">
        <v>92</v>
      </c>
      <c r="D883" t="s">
        <v>93</v>
      </c>
      <c r="E883" s="1">
        <v>43934</v>
      </c>
      <c r="F883">
        <v>1</v>
      </c>
      <c r="G883" t="s">
        <v>55</v>
      </c>
      <c r="H883" t="s">
        <v>56</v>
      </c>
      <c r="I883" s="3">
        <v>1866</v>
      </c>
      <c r="J883" s="3">
        <v>1866</v>
      </c>
      <c r="K883" s="3">
        <v>396</v>
      </c>
      <c r="L883" t="s">
        <v>9</v>
      </c>
      <c r="M883">
        <v>3</v>
      </c>
      <c r="N883" t="s">
        <v>69</v>
      </c>
      <c r="O883" t="s">
        <v>70</v>
      </c>
      <c r="P883" t="s">
        <v>71</v>
      </c>
      <c r="Q883" t="s">
        <v>72</v>
      </c>
      <c r="R883" t="s">
        <v>139</v>
      </c>
      <c r="S883" t="s">
        <v>144</v>
      </c>
      <c r="T883" s="2">
        <f>MASTER[[#This Row],[CANTIDAD]]*MASTER[[#This Row],[PRECIO DE VENTA]]</f>
        <v>1866</v>
      </c>
      <c r="U883" s="2">
        <f>MASTER[[#This Row],[CANTIDAD]]*MASTER[[#This Row],[COSTO UNITARIO]]</f>
        <v>396</v>
      </c>
      <c r="V883" s="2">
        <f>MASTER[[#This Row],[MONTO VENDIDO]]-MASTER[[#This Row],[COSTO DE VENTA]]</f>
        <v>1470</v>
      </c>
    </row>
    <row r="884" spans="1:22" x14ac:dyDescent="0.3">
      <c r="A884">
        <v>21237</v>
      </c>
      <c r="B884">
        <v>1</v>
      </c>
      <c r="C884" t="s">
        <v>96</v>
      </c>
      <c r="D884" t="s">
        <v>97</v>
      </c>
      <c r="E884" s="1">
        <v>43934</v>
      </c>
      <c r="F884">
        <v>1</v>
      </c>
      <c r="G884" t="s">
        <v>7</v>
      </c>
      <c r="H884" t="s">
        <v>8</v>
      </c>
      <c r="I884" s="3">
        <v>1361</v>
      </c>
      <c r="J884" s="3">
        <v>1361</v>
      </c>
      <c r="K884" s="3">
        <v>397</v>
      </c>
      <c r="L884" t="s">
        <v>98</v>
      </c>
      <c r="M884">
        <v>3</v>
      </c>
      <c r="N884" t="s">
        <v>69</v>
      </c>
      <c r="O884" t="s">
        <v>70</v>
      </c>
      <c r="P884" t="s">
        <v>71</v>
      </c>
      <c r="Q884" t="s">
        <v>72</v>
      </c>
      <c r="R884" t="s">
        <v>139</v>
      </c>
      <c r="S884" t="s">
        <v>144</v>
      </c>
      <c r="T884" s="2">
        <f>MASTER[[#This Row],[CANTIDAD]]*MASTER[[#This Row],[PRECIO DE VENTA]]</f>
        <v>1361</v>
      </c>
      <c r="U884" s="2">
        <f>MASTER[[#This Row],[CANTIDAD]]*MASTER[[#This Row],[COSTO UNITARIO]]</f>
        <v>397</v>
      </c>
      <c r="V884" s="2">
        <f>MASTER[[#This Row],[MONTO VENDIDO]]-MASTER[[#This Row],[COSTO DE VENTA]]</f>
        <v>964</v>
      </c>
    </row>
    <row r="885" spans="1:22" x14ac:dyDescent="0.3">
      <c r="A885">
        <v>21243</v>
      </c>
      <c r="B885">
        <v>1</v>
      </c>
      <c r="C885" t="s">
        <v>94</v>
      </c>
      <c r="D885" t="s">
        <v>95</v>
      </c>
      <c r="E885" s="1">
        <v>43935</v>
      </c>
      <c r="F885">
        <v>1</v>
      </c>
      <c r="G885" t="s">
        <v>63</v>
      </c>
      <c r="H885" t="s">
        <v>64</v>
      </c>
      <c r="I885" s="3">
        <v>901</v>
      </c>
      <c r="J885" s="3">
        <v>810</v>
      </c>
      <c r="K885" s="3">
        <v>392</v>
      </c>
      <c r="L885" t="s">
        <v>9</v>
      </c>
      <c r="M885">
        <v>11</v>
      </c>
      <c r="N885" t="s">
        <v>10</v>
      </c>
      <c r="O885" t="s">
        <v>11</v>
      </c>
      <c r="P885" t="s">
        <v>12</v>
      </c>
      <c r="Q885" t="s">
        <v>13</v>
      </c>
      <c r="R885" t="s">
        <v>13</v>
      </c>
      <c r="S885" t="s">
        <v>144</v>
      </c>
      <c r="T885" s="2">
        <f>MASTER[[#This Row],[CANTIDAD]]*MASTER[[#This Row],[PRECIO DE VENTA]]</f>
        <v>810</v>
      </c>
      <c r="U885" s="2">
        <f>MASTER[[#This Row],[CANTIDAD]]*MASTER[[#This Row],[COSTO UNITARIO]]</f>
        <v>392</v>
      </c>
      <c r="V885" s="2">
        <f>MASTER[[#This Row],[MONTO VENDIDO]]-MASTER[[#This Row],[COSTO DE VENTA]]</f>
        <v>418</v>
      </c>
    </row>
    <row r="886" spans="1:22" x14ac:dyDescent="0.3">
      <c r="A886">
        <v>21287</v>
      </c>
      <c r="B886">
        <v>1</v>
      </c>
      <c r="C886" t="s">
        <v>90</v>
      </c>
      <c r="D886" t="s">
        <v>91</v>
      </c>
      <c r="E886" s="1">
        <v>43935</v>
      </c>
      <c r="F886">
        <v>1</v>
      </c>
      <c r="G886" t="s">
        <v>63</v>
      </c>
      <c r="H886" t="s">
        <v>64</v>
      </c>
      <c r="I886" s="3">
        <v>1660</v>
      </c>
      <c r="J886" s="3">
        <v>1660</v>
      </c>
      <c r="K886" s="3">
        <v>420</v>
      </c>
      <c r="L886" t="s">
        <v>9</v>
      </c>
      <c r="M886">
        <v>17</v>
      </c>
      <c r="N886" t="s">
        <v>14</v>
      </c>
      <c r="O886" t="s">
        <v>11</v>
      </c>
      <c r="P886" t="s">
        <v>15</v>
      </c>
      <c r="Q886" t="s">
        <v>16</v>
      </c>
      <c r="R886" t="s">
        <v>16</v>
      </c>
      <c r="S886" t="s">
        <v>144</v>
      </c>
      <c r="T886" s="2">
        <f>MASTER[[#This Row],[CANTIDAD]]*MASTER[[#This Row],[PRECIO DE VENTA]]</f>
        <v>1660</v>
      </c>
      <c r="U886" s="2">
        <f>MASTER[[#This Row],[CANTIDAD]]*MASTER[[#This Row],[COSTO UNITARIO]]</f>
        <v>420</v>
      </c>
      <c r="V886" s="2">
        <f>MASTER[[#This Row],[MONTO VENDIDO]]-MASTER[[#This Row],[COSTO DE VENTA]]</f>
        <v>1240</v>
      </c>
    </row>
    <row r="887" spans="1:22" x14ac:dyDescent="0.3">
      <c r="A887">
        <v>21296</v>
      </c>
      <c r="B887">
        <v>1</v>
      </c>
      <c r="C887" t="s">
        <v>96</v>
      </c>
      <c r="D887" t="s">
        <v>97</v>
      </c>
      <c r="E887" s="1">
        <v>43935</v>
      </c>
      <c r="F887">
        <v>1</v>
      </c>
      <c r="G887" t="s">
        <v>33</v>
      </c>
      <c r="H887" t="s">
        <v>34</v>
      </c>
      <c r="I887" s="3">
        <v>1272</v>
      </c>
      <c r="J887" s="3">
        <v>1272</v>
      </c>
      <c r="K887" s="3">
        <v>397</v>
      </c>
      <c r="L887" t="s">
        <v>98</v>
      </c>
      <c r="M887">
        <v>8</v>
      </c>
      <c r="N887" t="s">
        <v>80</v>
      </c>
      <c r="O887" t="s">
        <v>81</v>
      </c>
      <c r="P887" t="s">
        <v>12</v>
      </c>
      <c r="Q887" t="s">
        <v>13</v>
      </c>
      <c r="R887" t="s">
        <v>13</v>
      </c>
      <c r="S887" t="s">
        <v>144</v>
      </c>
      <c r="T887" s="2">
        <f>MASTER[[#This Row],[CANTIDAD]]*MASTER[[#This Row],[PRECIO DE VENTA]]</f>
        <v>1272</v>
      </c>
      <c r="U887" s="2">
        <f>MASTER[[#This Row],[CANTIDAD]]*MASTER[[#This Row],[COSTO UNITARIO]]</f>
        <v>397</v>
      </c>
      <c r="V887" s="2">
        <f>MASTER[[#This Row],[MONTO VENDIDO]]-MASTER[[#This Row],[COSTO DE VENTA]]</f>
        <v>875</v>
      </c>
    </row>
    <row r="888" spans="1:22" x14ac:dyDescent="0.3">
      <c r="A888">
        <v>21298</v>
      </c>
      <c r="B888">
        <v>1</v>
      </c>
      <c r="C888" t="s">
        <v>94</v>
      </c>
      <c r="D888" t="s">
        <v>95</v>
      </c>
      <c r="E888" s="1">
        <v>43936</v>
      </c>
      <c r="F888">
        <v>1</v>
      </c>
      <c r="G888" t="s">
        <v>55</v>
      </c>
      <c r="H888" t="s">
        <v>56</v>
      </c>
      <c r="I888" s="3">
        <v>901</v>
      </c>
      <c r="J888" s="3">
        <v>901</v>
      </c>
      <c r="K888" s="3">
        <v>392</v>
      </c>
      <c r="L888" t="s">
        <v>9</v>
      </c>
      <c r="M888">
        <v>11</v>
      </c>
      <c r="N888" t="s">
        <v>10</v>
      </c>
      <c r="O888" t="s">
        <v>11</v>
      </c>
      <c r="P888" t="s">
        <v>12</v>
      </c>
      <c r="Q888" t="s">
        <v>13</v>
      </c>
      <c r="R888" t="s">
        <v>13</v>
      </c>
      <c r="S888" t="s">
        <v>144</v>
      </c>
      <c r="T888" s="2">
        <f>MASTER[[#This Row],[CANTIDAD]]*MASTER[[#This Row],[PRECIO DE VENTA]]</f>
        <v>901</v>
      </c>
      <c r="U888" s="2">
        <f>MASTER[[#This Row],[CANTIDAD]]*MASTER[[#This Row],[COSTO UNITARIO]]</f>
        <v>392</v>
      </c>
      <c r="V888" s="2">
        <f>MASTER[[#This Row],[MONTO VENDIDO]]-MASTER[[#This Row],[COSTO DE VENTA]]</f>
        <v>509</v>
      </c>
    </row>
    <row r="889" spans="1:22" x14ac:dyDescent="0.3">
      <c r="A889">
        <v>21308</v>
      </c>
      <c r="B889">
        <v>1</v>
      </c>
      <c r="C889" t="s">
        <v>116</v>
      </c>
      <c r="D889" t="s">
        <v>117</v>
      </c>
      <c r="E889" s="1">
        <v>43936</v>
      </c>
      <c r="F889">
        <v>1</v>
      </c>
      <c r="G889" t="s">
        <v>63</v>
      </c>
      <c r="H889" t="s">
        <v>64</v>
      </c>
      <c r="I889" s="3">
        <v>1529</v>
      </c>
      <c r="J889" s="3">
        <v>1529</v>
      </c>
      <c r="K889" s="3">
        <v>388</v>
      </c>
      <c r="L889" t="s">
        <v>113</v>
      </c>
      <c r="M889">
        <v>17</v>
      </c>
      <c r="N889" t="s">
        <v>14</v>
      </c>
      <c r="O889" t="s">
        <v>11</v>
      </c>
      <c r="P889" t="s">
        <v>15</v>
      </c>
      <c r="Q889" t="s">
        <v>16</v>
      </c>
      <c r="R889" t="s">
        <v>16</v>
      </c>
      <c r="S889" t="s">
        <v>144</v>
      </c>
      <c r="T889" s="2">
        <f>MASTER[[#This Row],[CANTIDAD]]*MASTER[[#This Row],[PRECIO DE VENTA]]</f>
        <v>1529</v>
      </c>
      <c r="U889" s="2">
        <f>MASTER[[#This Row],[CANTIDAD]]*MASTER[[#This Row],[COSTO UNITARIO]]</f>
        <v>388</v>
      </c>
      <c r="V889" s="2">
        <f>MASTER[[#This Row],[MONTO VENDIDO]]-MASTER[[#This Row],[COSTO DE VENTA]]</f>
        <v>1141</v>
      </c>
    </row>
    <row r="890" spans="1:22" x14ac:dyDescent="0.3">
      <c r="A890">
        <v>21312</v>
      </c>
      <c r="B890">
        <v>1</v>
      </c>
      <c r="C890" t="s">
        <v>92</v>
      </c>
      <c r="D890" t="s">
        <v>93</v>
      </c>
      <c r="E890" s="1">
        <v>43936</v>
      </c>
      <c r="F890">
        <v>1</v>
      </c>
      <c r="G890" t="s">
        <v>37</v>
      </c>
      <c r="H890" t="s">
        <v>38</v>
      </c>
      <c r="I890" s="3">
        <v>1866</v>
      </c>
      <c r="J890" s="3">
        <v>1698</v>
      </c>
      <c r="K890" s="3">
        <v>396</v>
      </c>
      <c r="L890" t="s">
        <v>9</v>
      </c>
      <c r="M890">
        <v>6</v>
      </c>
      <c r="N890" t="s">
        <v>75</v>
      </c>
      <c r="O890" t="s">
        <v>70</v>
      </c>
      <c r="P890" t="s">
        <v>12</v>
      </c>
      <c r="Q890" t="s">
        <v>13</v>
      </c>
      <c r="R890" t="s">
        <v>13</v>
      </c>
      <c r="S890" t="s">
        <v>144</v>
      </c>
      <c r="T890" s="2">
        <f>MASTER[[#This Row],[CANTIDAD]]*MASTER[[#This Row],[PRECIO DE VENTA]]</f>
        <v>1698</v>
      </c>
      <c r="U890" s="2">
        <f>MASTER[[#This Row],[CANTIDAD]]*MASTER[[#This Row],[COSTO UNITARIO]]</f>
        <v>396</v>
      </c>
      <c r="V890" s="2">
        <f>MASTER[[#This Row],[MONTO VENDIDO]]-MASTER[[#This Row],[COSTO DE VENTA]]</f>
        <v>1302</v>
      </c>
    </row>
    <row r="891" spans="1:22" x14ac:dyDescent="0.3">
      <c r="A891">
        <v>21314</v>
      </c>
      <c r="B891">
        <v>1</v>
      </c>
      <c r="C891" t="s">
        <v>107</v>
      </c>
      <c r="D891" t="s">
        <v>108</v>
      </c>
      <c r="E891" s="1">
        <v>43936</v>
      </c>
      <c r="F891">
        <v>1</v>
      </c>
      <c r="G891" t="s">
        <v>24</v>
      </c>
      <c r="H891" t="s">
        <v>25</v>
      </c>
      <c r="I891" s="3">
        <v>1333</v>
      </c>
      <c r="J891" s="3">
        <v>1333</v>
      </c>
      <c r="K891" s="3">
        <v>380</v>
      </c>
      <c r="L891" t="s">
        <v>98</v>
      </c>
      <c r="M891">
        <v>4</v>
      </c>
      <c r="N891" t="s">
        <v>82</v>
      </c>
      <c r="O891" t="s">
        <v>81</v>
      </c>
      <c r="P891" t="s">
        <v>71</v>
      </c>
      <c r="Q891" t="s">
        <v>72</v>
      </c>
      <c r="R891" t="s">
        <v>139</v>
      </c>
      <c r="S891" t="s">
        <v>144</v>
      </c>
      <c r="T891" s="2">
        <f>MASTER[[#This Row],[CANTIDAD]]*MASTER[[#This Row],[PRECIO DE VENTA]]</f>
        <v>1333</v>
      </c>
      <c r="U891" s="2">
        <f>MASTER[[#This Row],[CANTIDAD]]*MASTER[[#This Row],[COSTO UNITARIO]]</f>
        <v>380</v>
      </c>
      <c r="V891" s="2">
        <f>MASTER[[#This Row],[MONTO VENDIDO]]-MASTER[[#This Row],[COSTO DE VENTA]]</f>
        <v>953</v>
      </c>
    </row>
    <row r="892" spans="1:22" x14ac:dyDescent="0.3">
      <c r="A892">
        <v>21321</v>
      </c>
      <c r="B892">
        <v>1</v>
      </c>
      <c r="C892" t="s">
        <v>99</v>
      </c>
      <c r="D892" t="s">
        <v>100</v>
      </c>
      <c r="E892" s="1">
        <v>43936</v>
      </c>
      <c r="F892">
        <v>1</v>
      </c>
      <c r="G892" t="s">
        <v>53</v>
      </c>
      <c r="H892" t="s">
        <v>54</v>
      </c>
      <c r="I892" s="3">
        <v>1678</v>
      </c>
      <c r="J892" s="3">
        <v>1678</v>
      </c>
      <c r="K892" s="3">
        <v>386</v>
      </c>
      <c r="L892" t="s">
        <v>98</v>
      </c>
      <c r="M892">
        <v>3</v>
      </c>
      <c r="N892" t="s">
        <v>69</v>
      </c>
      <c r="O892" t="s">
        <v>70</v>
      </c>
      <c r="P892" t="s">
        <v>71</v>
      </c>
      <c r="Q892" t="s">
        <v>72</v>
      </c>
      <c r="R892" t="s">
        <v>139</v>
      </c>
      <c r="S892" t="s">
        <v>144</v>
      </c>
      <c r="T892" s="2">
        <f>MASTER[[#This Row],[CANTIDAD]]*MASTER[[#This Row],[PRECIO DE VENTA]]</f>
        <v>1678</v>
      </c>
      <c r="U892" s="2">
        <f>MASTER[[#This Row],[CANTIDAD]]*MASTER[[#This Row],[COSTO UNITARIO]]</f>
        <v>386</v>
      </c>
      <c r="V892" s="2">
        <f>MASTER[[#This Row],[MONTO VENDIDO]]-MASTER[[#This Row],[COSTO DE VENTA]]</f>
        <v>1292</v>
      </c>
    </row>
    <row r="893" spans="1:22" x14ac:dyDescent="0.3">
      <c r="A893">
        <v>21330</v>
      </c>
      <c r="B893">
        <v>1</v>
      </c>
      <c r="C893" t="s">
        <v>111</v>
      </c>
      <c r="D893" t="s">
        <v>112</v>
      </c>
      <c r="E893" s="1">
        <v>43936</v>
      </c>
      <c r="F893">
        <v>1</v>
      </c>
      <c r="G893" t="s">
        <v>49</v>
      </c>
      <c r="H893" t="s">
        <v>50</v>
      </c>
      <c r="I893" s="3">
        <v>1621</v>
      </c>
      <c r="J893" s="3">
        <v>1621</v>
      </c>
      <c r="K893" s="3">
        <v>434</v>
      </c>
      <c r="L893" t="s">
        <v>113</v>
      </c>
      <c r="M893">
        <v>19</v>
      </c>
      <c r="N893" t="s">
        <v>89</v>
      </c>
      <c r="O893" t="s">
        <v>81</v>
      </c>
      <c r="P893" t="s">
        <v>15</v>
      </c>
      <c r="Q893" t="s">
        <v>16</v>
      </c>
      <c r="R893" t="s">
        <v>16</v>
      </c>
      <c r="S893" t="s">
        <v>144</v>
      </c>
      <c r="T893" s="2">
        <f>MASTER[[#This Row],[CANTIDAD]]*MASTER[[#This Row],[PRECIO DE VENTA]]</f>
        <v>1621</v>
      </c>
      <c r="U893" s="2">
        <f>MASTER[[#This Row],[CANTIDAD]]*MASTER[[#This Row],[COSTO UNITARIO]]</f>
        <v>434</v>
      </c>
      <c r="V893" s="2">
        <f>MASTER[[#This Row],[MONTO VENDIDO]]-MASTER[[#This Row],[COSTO DE VENTA]]</f>
        <v>1187</v>
      </c>
    </row>
    <row r="894" spans="1:22" x14ac:dyDescent="0.3">
      <c r="A894">
        <v>21353</v>
      </c>
      <c r="B894">
        <v>1</v>
      </c>
      <c r="C894" t="s">
        <v>94</v>
      </c>
      <c r="D894" t="s">
        <v>95</v>
      </c>
      <c r="E894" s="1">
        <v>43936</v>
      </c>
      <c r="F894">
        <v>1</v>
      </c>
      <c r="G894" t="s">
        <v>37</v>
      </c>
      <c r="H894" t="s">
        <v>38</v>
      </c>
      <c r="I894" s="3">
        <v>1048</v>
      </c>
      <c r="J894" s="3">
        <v>974</v>
      </c>
      <c r="K894" s="3">
        <v>392</v>
      </c>
      <c r="L894" t="s">
        <v>9</v>
      </c>
      <c r="M894">
        <v>7</v>
      </c>
      <c r="N894" t="s">
        <v>84</v>
      </c>
      <c r="O894" t="s">
        <v>81</v>
      </c>
      <c r="P894" t="s">
        <v>12</v>
      </c>
      <c r="Q894" t="s">
        <v>13</v>
      </c>
      <c r="R894" t="s">
        <v>13</v>
      </c>
      <c r="S894" t="s">
        <v>144</v>
      </c>
      <c r="T894" s="2">
        <f>MASTER[[#This Row],[CANTIDAD]]*MASTER[[#This Row],[PRECIO DE VENTA]]</f>
        <v>974</v>
      </c>
      <c r="U894" s="2">
        <f>MASTER[[#This Row],[CANTIDAD]]*MASTER[[#This Row],[COSTO UNITARIO]]</f>
        <v>392</v>
      </c>
      <c r="V894" s="2">
        <f>MASTER[[#This Row],[MONTO VENDIDO]]-MASTER[[#This Row],[COSTO DE VENTA]]</f>
        <v>582</v>
      </c>
    </row>
    <row r="895" spans="1:22" x14ac:dyDescent="0.3">
      <c r="A895">
        <v>21365</v>
      </c>
      <c r="B895">
        <v>1</v>
      </c>
      <c r="C895" t="s">
        <v>5</v>
      </c>
      <c r="D895" t="s">
        <v>6</v>
      </c>
      <c r="E895" s="1">
        <v>43936</v>
      </c>
      <c r="F895">
        <v>1</v>
      </c>
      <c r="G895" t="s">
        <v>47</v>
      </c>
      <c r="H895" t="s">
        <v>48</v>
      </c>
      <c r="I895" s="3">
        <v>1296</v>
      </c>
      <c r="J895" s="3">
        <v>1218</v>
      </c>
      <c r="K895" s="3">
        <v>393</v>
      </c>
      <c r="L895" t="s">
        <v>9</v>
      </c>
      <c r="M895">
        <v>13</v>
      </c>
      <c r="N895" t="s">
        <v>78</v>
      </c>
      <c r="O895" t="s">
        <v>70</v>
      </c>
      <c r="P895" t="s">
        <v>18</v>
      </c>
      <c r="Q895" t="s">
        <v>19</v>
      </c>
      <c r="R895" t="s">
        <v>138</v>
      </c>
      <c r="S895" t="s">
        <v>144</v>
      </c>
      <c r="T895" s="2">
        <f>MASTER[[#This Row],[CANTIDAD]]*MASTER[[#This Row],[PRECIO DE VENTA]]</f>
        <v>1218</v>
      </c>
      <c r="U895" s="2">
        <f>MASTER[[#This Row],[CANTIDAD]]*MASTER[[#This Row],[COSTO UNITARIO]]</f>
        <v>393</v>
      </c>
      <c r="V895" s="2">
        <f>MASTER[[#This Row],[MONTO VENDIDO]]-MASTER[[#This Row],[COSTO DE VENTA]]</f>
        <v>825</v>
      </c>
    </row>
    <row r="896" spans="1:22" x14ac:dyDescent="0.3">
      <c r="A896">
        <v>21392</v>
      </c>
      <c r="B896">
        <v>1</v>
      </c>
      <c r="C896" t="s">
        <v>107</v>
      </c>
      <c r="D896" t="s">
        <v>108</v>
      </c>
      <c r="E896" s="1">
        <v>43937</v>
      </c>
      <c r="F896">
        <v>1</v>
      </c>
      <c r="G896" t="s">
        <v>45</v>
      </c>
      <c r="H896" t="s">
        <v>46</v>
      </c>
      <c r="I896" s="3">
        <v>1333</v>
      </c>
      <c r="J896" s="3">
        <v>1333</v>
      </c>
      <c r="K896" s="3">
        <v>380</v>
      </c>
      <c r="L896" t="s">
        <v>98</v>
      </c>
      <c r="M896">
        <v>2</v>
      </c>
      <c r="N896" t="s">
        <v>86</v>
      </c>
      <c r="O896" t="s">
        <v>81</v>
      </c>
      <c r="P896" t="s">
        <v>71</v>
      </c>
      <c r="Q896" t="s">
        <v>72</v>
      </c>
      <c r="R896" t="s">
        <v>139</v>
      </c>
      <c r="S896" t="s">
        <v>144</v>
      </c>
      <c r="T896" s="2">
        <f>MASTER[[#This Row],[CANTIDAD]]*MASTER[[#This Row],[PRECIO DE VENTA]]</f>
        <v>1333</v>
      </c>
      <c r="U896" s="2">
        <f>MASTER[[#This Row],[CANTIDAD]]*MASTER[[#This Row],[COSTO UNITARIO]]</f>
        <v>380</v>
      </c>
      <c r="V896" s="2">
        <f>MASTER[[#This Row],[MONTO VENDIDO]]-MASTER[[#This Row],[COSTO DE VENTA]]</f>
        <v>953</v>
      </c>
    </row>
    <row r="897" spans="1:22" x14ac:dyDescent="0.3">
      <c r="A897">
        <v>21424</v>
      </c>
      <c r="B897">
        <v>1</v>
      </c>
      <c r="C897" t="s">
        <v>96</v>
      </c>
      <c r="D897" t="s">
        <v>97</v>
      </c>
      <c r="E897" s="1">
        <v>43937</v>
      </c>
      <c r="F897">
        <v>1</v>
      </c>
      <c r="G897" t="s">
        <v>73</v>
      </c>
      <c r="H897" t="s">
        <v>74</v>
      </c>
      <c r="I897" s="3">
        <v>1361</v>
      </c>
      <c r="J897" s="3">
        <v>1361</v>
      </c>
      <c r="K897" s="3">
        <v>397</v>
      </c>
      <c r="L897" t="s">
        <v>98</v>
      </c>
      <c r="M897">
        <v>1</v>
      </c>
      <c r="N897" t="s">
        <v>77</v>
      </c>
      <c r="O897" t="s">
        <v>70</v>
      </c>
      <c r="P897" t="s">
        <v>71</v>
      </c>
      <c r="Q897" t="s">
        <v>72</v>
      </c>
      <c r="R897" t="s">
        <v>139</v>
      </c>
      <c r="S897" t="s">
        <v>144</v>
      </c>
      <c r="T897" s="2">
        <f>MASTER[[#This Row],[CANTIDAD]]*MASTER[[#This Row],[PRECIO DE VENTA]]</f>
        <v>1361</v>
      </c>
      <c r="U897" s="2">
        <f>MASTER[[#This Row],[CANTIDAD]]*MASTER[[#This Row],[COSTO UNITARIO]]</f>
        <v>397</v>
      </c>
      <c r="V897" s="2">
        <f>MASTER[[#This Row],[MONTO VENDIDO]]-MASTER[[#This Row],[COSTO DE VENTA]]</f>
        <v>964</v>
      </c>
    </row>
    <row r="898" spans="1:22" x14ac:dyDescent="0.3">
      <c r="A898">
        <v>21446</v>
      </c>
      <c r="B898">
        <v>1</v>
      </c>
      <c r="C898" t="s">
        <v>5</v>
      </c>
      <c r="D898" t="s">
        <v>6</v>
      </c>
      <c r="E898" s="1">
        <v>43937</v>
      </c>
      <c r="F898">
        <v>1</v>
      </c>
      <c r="G898" t="s">
        <v>33</v>
      </c>
      <c r="H898" t="s">
        <v>34</v>
      </c>
      <c r="I898" s="3">
        <v>1507</v>
      </c>
      <c r="J898" s="3">
        <v>1507</v>
      </c>
      <c r="K898" s="3">
        <v>393</v>
      </c>
      <c r="L898" t="s">
        <v>9</v>
      </c>
      <c r="M898">
        <v>5</v>
      </c>
      <c r="N898" t="s">
        <v>85</v>
      </c>
      <c r="O898" t="s">
        <v>81</v>
      </c>
      <c r="P898" t="s">
        <v>12</v>
      </c>
      <c r="Q898" t="s">
        <v>13</v>
      </c>
      <c r="R898" t="s">
        <v>13</v>
      </c>
      <c r="S898" t="s">
        <v>144</v>
      </c>
      <c r="T898" s="2">
        <f>MASTER[[#This Row],[CANTIDAD]]*MASTER[[#This Row],[PRECIO DE VENTA]]</f>
        <v>1507</v>
      </c>
      <c r="U898" s="2">
        <f>MASTER[[#This Row],[CANTIDAD]]*MASTER[[#This Row],[COSTO UNITARIO]]</f>
        <v>393</v>
      </c>
      <c r="V898" s="2">
        <f>MASTER[[#This Row],[MONTO VENDIDO]]-MASTER[[#This Row],[COSTO DE VENTA]]</f>
        <v>1114</v>
      </c>
    </row>
    <row r="899" spans="1:22" x14ac:dyDescent="0.3">
      <c r="A899">
        <v>21480</v>
      </c>
      <c r="B899">
        <v>1</v>
      </c>
      <c r="C899" t="s">
        <v>103</v>
      </c>
      <c r="D899" t="s">
        <v>104</v>
      </c>
      <c r="E899" s="1">
        <v>43937</v>
      </c>
      <c r="F899">
        <v>1</v>
      </c>
      <c r="G899" t="s">
        <v>27</v>
      </c>
      <c r="H899" t="s">
        <v>28</v>
      </c>
      <c r="I899" s="3">
        <v>1591</v>
      </c>
      <c r="J899" s="3">
        <v>1591</v>
      </c>
      <c r="K899" s="3">
        <v>421</v>
      </c>
      <c r="L899" t="s">
        <v>98</v>
      </c>
      <c r="M899">
        <v>19</v>
      </c>
      <c r="N899" t="s">
        <v>89</v>
      </c>
      <c r="O899" t="s">
        <v>81</v>
      </c>
      <c r="P899" t="s">
        <v>15</v>
      </c>
      <c r="Q899" t="s">
        <v>16</v>
      </c>
      <c r="R899" t="s">
        <v>16</v>
      </c>
      <c r="S899" t="s">
        <v>144</v>
      </c>
      <c r="T899" s="2">
        <f>MASTER[[#This Row],[CANTIDAD]]*MASTER[[#This Row],[PRECIO DE VENTA]]</f>
        <v>1591</v>
      </c>
      <c r="U899" s="2">
        <f>MASTER[[#This Row],[CANTIDAD]]*MASTER[[#This Row],[COSTO UNITARIO]]</f>
        <v>421</v>
      </c>
      <c r="V899" s="2">
        <f>MASTER[[#This Row],[MONTO VENDIDO]]-MASTER[[#This Row],[COSTO DE VENTA]]</f>
        <v>1170</v>
      </c>
    </row>
    <row r="900" spans="1:22" x14ac:dyDescent="0.3">
      <c r="A900">
        <v>21490</v>
      </c>
      <c r="B900">
        <v>1</v>
      </c>
      <c r="C900" t="s">
        <v>105</v>
      </c>
      <c r="D900" t="s">
        <v>106</v>
      </c>
      <c r="E900" s="1">
        <v>43937</v>
      </c>
      <c r="F900">
        <v>1</v>
      </c>
      <c r="G900" t="s">
        <v>22</v>
      </c>
      <c r="H900" t="s">
        <v>23</v>
      </c>
      <c r="I900" s="3">
        <v>1865</v>
      </c>
      <c r="J900" s="3">
        <v>1865</v>
      </c>
      <c r="K900" s="3">
        <v>459</v>
      </c>
      <c r="L900" t="s">
        <v>98</v>
      </c>
      <c r="M900">
        <v>19</v>
      </c>
      <c r="N900" t="s">
        <v>89</v>
      </c>
      <c r="O900" t="s">
        <v>81</v>
      </c>
      <c r="P900" t="s">
        <v>15</v>
      </c>
      <c r="Q900" t="s">
        <v>16</v>
      </c>
      <c r="R900" t="s">
        <v>16</v>
      </c>
      <c r="S900" t="s">
        <v>144</v>
      </c>
      <c r="T900" s="2">
        <f>MASTER[[#This Row],[CANTIDAD]]*MASTER[[#This Row],[PRECIO DE VENTA]]</f>
        <v>1865</v>
      </c>
      <c r="U900" s="2">
        <f>MASTER[[#This Row],[CANTIDAD]]*MASTER[[#This Row],[COSTO UNITARIO]]</f>
        <v>459</v>
      </c>
      <c r="V900" s="2">
        <f>MASTER[[#This Row],[MONTO VENDIDO]]-MASTER[[#This Row],[COSTO DE VENTA]]</f>
        <v>1406</v>
      </c>
    </row>
    <row r="901" spans="1:22" x14ac:dyDescent="0.3">
      <c r="A901">
        <v>21492</v>
      </c>
      <c r="B901">
        <v>1</v>
      </c>
      <c r="C901" t="s">
        <v>96</v>
      </c>
      <c r="D901" t="s">
        <v>97</v>
      </c>
      <c r="E901" s="1">
        <v>43937</v>
      </c>
      <c r="F901">
        <v>2</v>
      </c>
      <c r="G901" t="s">
        <v>27</v>
      </c>
      <c r="H901" t="s">
        <v>28</v>
      </c>
      <c r="I901" s="3">
        <v>1196</v>
      </c>
      <c r="J901" s="3">
        <v>1196</v>
      </c>
      <c r="K901" s="3">
        <v>397</v>
      </c>
      <c r="L901" t="s">
        <v>98</v>
      </c>
      <c r="M901">
        <v>11</v>
      </c>
      <c r="N901" t="s">
        <v>10</v>
      </c>
      <c r="O901" t="s">
        <v>11</v>
      </c>
      <c r="P901" t="s">
        <v>12</v>
      </c>
      <c r="Q901" t="s">
        <v>13</v>
      </c>
      <c r="R901" t="s">
        <v>13</v>
      </c>
      <c r="S901" t="s">
        <v>144</v>
      </c>
      <c r="T901" s="2">
        <f>MASTER[[#This Row],[CANTIDAD]]*MASTER[[#This Row],[PRECIO DE VENTA]]</f>
        <v>2392</v>
      </c>
      <c r="U901" s="2">
        <f>MASTER[[#This Row],[CANTIDAD]]*MASTER[[#This Row],[COSTO UNITARIO]]</f>
        <v>794</v>
      </c>
      <c r="V901" s="2">
        <f>MASTER[[#This Row],[MONTO VENDIDO]]-MASTER[[#This Row],[COSTO DE VENTA]]</f>
        <v>1598</v>
      </c>
    </row>
    <row r="902" spans="1:22" x14ac:dyDescent="0.3">
      <c r="A902">
        <v>21494</v>
      </c>
      <c r="B902">
        <v>1</v>
      </c>
      <c r="C902" t="s">
        <v>116</v>
      </c>
      <c r="D902" t="s">
        <v>117</v>
      </c>
      <c r="E902" s="1">
        <v>43937</v>
      </c>
      <c r="F902">
        <v>4</v>
      </c>
      <c r="G902" t="s">
        <v>41</v>
      </c>
      <c r="H902" t="s">
        <v>42</v>
      </c>
      <c r="I902" s="3">
        <v>1738</v>
      </c>
      <c r="J902" s="3">
        <v>1738</v>
      </c>
      <c r="K902" s="3">
        <v>388</v>
      </c>
      <c r="L902" t="s">
        <v>113</v>
      </c>
      <c r="M902">
        <v>4</v>
      </c>
      <c r="N902" t="s">
        <v>82</v>
      </c>
      <c r="O902" t="s">
        <v>81</v>
      </c>
      <c r="P902" t="s">
        <v>71</v>
      </c>
      <c r="Q902" t="s">
        <v>72</v>
      </c>
      <c r="R902" t="s">
        <v>139</v>
      </c>
      <c r="S902" t="s">
        <v>144</v>
      </c>
      <c r="T902" s="2">
        <f>MASTER[[#This Row],[CANTIDAD]]*MASTER[[#This Row],[PRECIO DE VENTA]]</f>
        <v>6952</v>
      </c>
      <c r="U902" s="2">
        <f>MASTER[[#This Row],[CANTIDAD]]*MASTER[[#This Row],[COSTO UNITARIO]]</f>
        <v>1552</v>
      </c>
      <c r="V902" s="2">
        <f>MASTER[[#This Row],[MONTO VENDIDO]]-MASTER[[#This Row],[COSTO DE VENTA]]</f>
        <v>5400</v>
      </c>
    </row>
    <row r="903" spans="1:22" x14ac:dyDescent="0.3">
      <c r="A903">
        <v>21507</v>
      </c>
      <c r="B903">
        <v>1</v>
      </c>
      <c r="C903" t="s">
        <v>116</v>
      </c>
      <c r="D903" t="s">
        <v>117</v>
      </c>
      <c r="E903" s="1">
        <v>43937</v>
      </c>
      <c r="F903">
        <v>1</v>
      </c>
      <c r="G903" t="s">
        <v>73</v>
      </c>
      <c r="H903" t="s">
        <v>74</v>
      </c>
      <c r="I903" s="3">
        <v>1738</v>
      </c>
      <c r="J903" s="3">
        <v>1738</v>
      </c>
      <c r="K903" s="3">
        <v>388</v>
      </c>
      <c r="L903" t="s">
        <v>113</v>
      </c>
      <c r="M903">
        <v>8</v>
      </c>
      <c r="N903" t="s">
        <v>80</v>
      </c>
      <c r="O903" t="s">
        <v>81</v>
      </c>
      <c r="P903" t="s">
        <v>12</v>
      </c>
      <c r="Q903" t="s">
        <v>13</v>
      </c>
      <c r="R903" t="s">
        <v>13</v>
      </c>
      <c r="S903" t="s">
        <v>144</v>
      </c>
      <c r="T903" s="2">
        <f>MASTER[[#This Row],[CANTIDAD]]*MASTER[[#This Row],[PRECIO DE VENTA]]</f>
        <v>1738</v>
      </c>
      <c r="U903" s="2">
        <f>MASTER[[#This Row],[CANTIDAD]]*MASTER[[#This Row],[COSTO UNITARIO]]</f>
        <v>388</v>
      </c>
      <c r="V903" s="2">
        <f>MASTER[[#This Row],[MONTO VENDIDO]]-MASTER[[#This Row],[COSTO DE VENTA]]</f>
        <v>1350</v>
      </c>
    </row>
    <row r="904" spans="1:22" x14ac:dyDescent="0.3">
      <c r="A904">
        <v>21510</v>
      </c>
      <c r="B904">
        <v>1</v>
      </c>
      <c r="C904" t="s">
        <v>103</v>
      </c>
      <c r="D904" t="s">
        <v>104</v>
      </c>
      <c r="E904" s="1">
        <v>43937</v>
      </c>
      <c r="F904">
        <v>1</v>
      </c>
      <c r="G904" t="s">
        <v>45</v>
      </c>
      <c r="H904" t="s">
        <v>46</v>
      </c>
      <c r="I904" s="3">
        <v>1591</v>
      </c>
      <c r="J904" s="3">
        <v>1591</v>
      </c>
      <c r="K904" s="3">
        <v>421</v>
      </c>
      <c r="L904" t="s">
        <v>98</v>
      </c>
      <c r="M904">
        <v>15</v>
      </c>
      <c r="N904" t="s">
        <v>88</v>
      </c>
      <c r="O904" t="s">
        <v>81</v>
      </c>
      <c r="P904" t="s">
        <v>18</v>
      </c>
      <c r="Q904" t="s">
        <v>19</v>
      </c>
      <c r="R904" t="s">
        <v>138</v>
      </c>
      <c r="S904" t="s">
        <v>144</v>
      </c>
      <c r="T904" s="2">
        <f>MASTER[[#This Row],[CANTIDAD]]*MASTER[[#This Row],[PRECIO DE VENTA]]</f>
        <v>1591</v>
      </c>
      <c r="U904" s="2">
        <f>MASTER[[#This Row],[CANTIDAD]]*MASTER[[#This Row],[COSTO UNITARIO]]</f>
        <v>421</v>
      </c>
      <c r="V904" s="2">
        <f>MASTER[[#This Row],[MONTO VENDIDO]]-MASTER[[#This Row],[COSTO DE VENTA]]</f>
        <v>1170</v>
      </c>
    </row>
    <row r="905" spans="1:22" x14ac:dyDescent="0.3">
      <c r="A905">
        <v>21546</v>
      </c>
      <c r="B905">
        <v>1</v>
      </c>
      <c r="C905" t="s">
        <v>96</v>
      </c>
      <c r="D905" t="s">
        <v>97</v>
      </c>
      <c r="E905" s="1">
        <v>43937</v>
      </c>
      <c r="F905">
        <v>2</v>
      </c>
      <c r="G905" t="s">
        <v>59</v>
      </c>
      <c r="H905" t="s">
        <v>60</v>
      </c>
      <c r="I905" s="3">
        <v>1361</v>
      </c>
      <c r="J905" s="3">
        <v>1361</v>
      </c>
      <c r="K905" s="3">
        <v>397</v>
      </c>
      <c r="L905" t="s">
        <v>98</v>
      </c>
      <c r="M905">
        <v>3</v>
      </c>
      <c r="N905" t="s">
        <v>69</v>
      </c>
      <c r="O905" t="s">
        <v>70</v>
      </c>
      <c r="P905" t="s">
        <v>71</v>
      </c>
      <c r="Q905" t="s">
        <v>72</v>
      </c>
      <c r="R905" t="s">
        <v>139</v>
      </c>
      <c r="S905" t="s">
        <v>144</v>
      </c>
      <c r="T905" s="2">
        <f>MASTER[[#This Row],[CANTIDAD]]*MASTER[[#This Row],[PRECIO DE VENTA]]</f>
        <v>2722</v>
      </c>
      <c r="U905" s="2">
        <f>MASTER[[#This Row],[CANTIDAD]]*MASTER[[#This Row],[COSTO UNITARIO]]</f>
        <v>794</v>
      </c>
      <c r="V905" s="2">
        <f>MASTER[[#This Row],[MONTO VENDIDO]]-MASTER[[#This Row],[COSTO DE VENTA]]</f>
        <v>1928</v>
      </c>
    </row>
    <row r="906" spans="1:22" x14ac:dyDescent="0.3">
      <c r="A906">
        <v>21551</v>
      </c>
      <c r="B906">
        <v>1</v>
      </c>
      <c r="C906" t="s">
        <v>94</v>
      </c>
      <c r="D906" t="s">
        <v>95</v>
      </c>
      <c r="E906" s="1">
        <v>43937</v>
      </c>
      <c r="F906">
        <v>1</v>
      </c>
      <c r="G906" t="s">
        <v>51</v>
      </c>
      <c r="H906" t="s">
        <v>52</v>
      </c>
      <c r="I906" s="3">
        <v>901</v>
      </c>
      <c r="J906" s="3">
        <v>901</v>
      </c>
      <c r="K906" s="3">
        <v>392</v>
      </c>
      <c r="L906" t="s">
        <v>9</v>
      </c>
      <c r="M906">
        <v>17</v>
      </c>
      <c r="N906" t="s">
        <v>14</v>
      </c>
      <c r="O906" t="s">
        <v>11</v>
      </c>
      <c r="P906" t="s">
        <v>15</v>
      </c>
      <c r="Q906" t="s">
        <v>16</v>
      </c>
      <c r="R906" t="s">
        <v>16</v>
      </c>
      <c r="S906" t="s">
        <v>144</v>
      </c>
      <c r="T906" s="2">
        <f>MASTER[[#This Row],[CANTIDAD]]*MASTER[[#This Row],[PRECIO DE VENTA]]</f>
        <v>901</v>
      </c>
      <c r="U906" s="2">
        <f>MASTER[[#This Row],[CANTIDAD]]*MASTER[[#This Row],[COSTO UNITARIO]]</f>
        <v>392</v>
      </c>
      <c r="V906" s="2">
        <f>MASTER[[#This Row],[MONTO VENDIDO]]-MASTER[[#This Row],[COSTO DE VENTA]]</f>
        <v>509</v>
      </c>
    </row>
    <row r="907" spans="1:22" x14ac:dyDescent="0.3">
      <c r="A907">
        <v>21557</v>
      </c>
      <c r="B907">
        <v>1</v>
      </c>
      <c r="C907" t="s">
        <v>116</v>
      </c>
      <c r="D907" t="s">
        <v>117</v>
      </c>
      <c r="E907" s="1">
        <v>43937</v>
      </c>
      <c r="F907">
        <v>2</v>
      </c>
      <c r="G907" t="s">
        <v>59</v>
      </c>
      <c r="H907" t="s">
        <v>60</v>
      </c>
      <c r="I907" s="3">
        <v>1738</v>
      </c>
      <c r="J907" s="3">
        <v>1738</v>
      </c>
      <c r="K907" s="3">
        <v>388</v>
      </c>
      <c r="L907" t="s">
        <v>113</v>
      </c>
      <c r="M907">
        <v>2</v>
      </c>
      <c r="N907" t="s">
        <v>86</v>
      </c>
      <c r="O907" t="s">
        <v>81</v>
      </c>
      <c r="P907" t="s">
        <v>71</v>
      </c>
      <c r="Q907" t="s">
        <v>72</v>
      </c>
      <c r="R907" t="s">
        <v>139</v>
      </c>
      <c r="S907" t="s">
        <v>144</v>
      </c>
      <c r="T907" s="2">
        <f>MASTER[[#This Row],[CANTIDAD]]*MASTER[[#This Row],[PRECIO DE VENTA]]</f>
        <v>3476</v>
      </c>
      <c r="U907" s="2">
        <f>MASTER[[#This Row],[CANTIDAD]]*MASTER[[#This Row],[COSTO UNITARIO]]</f>
        <v>776</v>
      </c>
      <c r="V907" s="2">
        <f>MASTER[[#This Row],[MONTO VENDIDO]]-MASTER[[#This Row],[COSTO DE VENTA]]</f>
        <v>2700</v>
      </c>
    </row>
    <row r="908" spans="1:22" x14ac:dyDescent="0.3">
      <c r="A908">
        <v>21565</v>
      </c>
      <c r="B908">
        <v>1</v>
      </c>
      <c r="C908" t="s">
        <v>109</v>
      </c>
      <c r="D908" t="s">
        <v>110</v>
      </c>
      <c r="E908" s="1">
        <v>43938</v>
      </c>
      <c r="F908">
        <v>1</v>
      </c>
      <c r="G908" t="s">
        <v>59</v>
      </c>
      <c r="H908" t="s">
        <v>60</v>
      </c>
      <c r="I908" s="3">
        <v>1064</v>
      </c>
      <c r="J908" s="3">
        <v>1064</v>
      </c>
      <c r="K908" s="3">
        <v>387</v>
      </c>
      <c r="L908" t="s">
        <v>98</v>
      </c>
      <c r="M908">
        <v>7</v>
      </c>
      <c r="N908" t="s">
        <v>84</v>
      </c>
      <c r="O908" t="s">
        <v>81</v>
      </c>
      <c r="P908" t="s">
        <v>12</v>
      </c>
      <c r="Q908" t="s">
        <v>13</v>
      </c>
      <c r="R908" t="s">
        <v>13</v>
      </c>
      <c r="S908" t="s">
        <v>144</v>
      </c>
      <c r="T908" s="2">
        <f>MASTER[[#This Row],[CANTIDAD]]*MASTER[[#This Row],[PRECIO DE VENTA]]</f>
        <v>1064</v>
      </c>
      <c r="U908" s="2">
        <f>MASTER[[#This Row],[CANTIDAD]]*MASTER[[#This Row],[COSTO UNITARIO]]</f>
        <v>387</v>
      </c>
      <c r="V908" s="2">
        <f>MASTER[[#This Row],[MONTO VENDIDO]]-MASTER[[#This Row],[COSTO DE VENTA]]</f>
        <v>677</v>
      </c>
    </row>
    <row r="909" spans="1:22" x14ac:dyDescent="0.3">
      <c r="A909">
        <v>21595</v>
      </c>
      <c r="B909">
        <v>1</v>
      </c>
      <c r="C909" t="s">
        <v>105</v>
      </c>
      <c r="D909" t="s">
        <v>106</v>
      </c>
      <c r="E909" s="1">
        <v>43938</v>
      </c>
      <c r="F909">
        <v>1</v>
      </c>
      <c r="G909" t="s">
        <v>27</v>
      </c>
      <c r="H909" t="s">
        <v>28</v>
      </c>
      <c r="I909" s="3">
        <v>1585</v>
      </c>
      <c r="J909" s="3">
        <v>1585</v>
      </c>
      <c r="K909" s="3">
        <v>459</v>
      </c>
      <c r="L909" t="s">
        <v>98</v>
      </c>
      <c r="M909">
        <v>12</v>
      </c>
      <c r="N909" t="s">
        <v>26</v>
      </c>
      <c r="O909" t="s">
        <v>11</v>
      </c>
      <c r="P909" t="s">
        <v>12</v>
      </c>
      <c r="Q909" t="s">
        <v>13</v>
      </c>
      <c r="R909" t="s">
        <v>13</v>
      </c>
      <c r="S909" t="s">
        <v>144</v>
      </c>
      <c r="T909" s="2">
        <f>MASTER[[#This Row],[CANTIDAD]]*MASTER[[#This Row],[PRECIO DE VENTA]]</f>
        <v>1585</v>
      </c>
      <c r="U909" s="2">
        <f>MASTER[[#This Row],[CANTIDAD]]*MASTER[[#This Row],[COSTO UNITARIO]]</f>
        <v>459</v>
      </c>
      <c r="V909" s="2">
        <f>MASTER[[#This Row],[MONTO VENDIDO]]-MASTER[[#This Row],[COSTO DE VENTA]]</f>
        <v>1126</v>
      </c>
    </row>
    <row r="910" spans="1:22" x14ac:dyDescent="0.3">
      <c r="A910">
        <v>21595</v>
      </c>
      <c r="B910">
        <v>2</v>
      </c>
      <c r="C910" t="s">
        <v>109</v>
      </c>
      <c r="D910" t="s">
        <v>110</v>
      </c>
      <c r="E910" s="1">
        <v>43938</v>
      </c>
      <c r="F910">
        <v>1</v>
      </c>
      <c r="G910" t="s">
        <v>65</v>
      </c>
      <c r="H910" t="s">
        <v>66</v>
      </c>
      <c r="I910" s="3">
        <v>947</v>
      </c>
      <c r="J910" s="3">
        <v>947</v>
      </c>
      <c r="K910" s="3">
        <v>387</v>
      </c>
      <c r="L910" t="s">
        <v>98</v>
      </c>
      <c r="M910">
        <v>12</v>
      </c>
      <c r="N910" t="s">
        <v>26</v>
      </c>
      <c r="O910" t="s">
        <v>11</v>
      </c>
      <c r="P910" t="s">
        <v>12</v>
      </c>
      <c r="Q910" t="s">
        <v>13</v>
      </c>
      <c r="R910" t="s">
        <v>13</v>
      </c>
      <c r="S910" t="s">
        <v>144</v>
      </c>
      <c r="T910" s="2">
        <f>MASTER[[#This Row],[CANTIDAD]]*MASTER[[#This Row],[PRECIO DE VENTA]]</f>
        <v>947</v>
      </c>
      <c r="U910" s="2">
        <f>MASTER[[#This Row],[CANTIDAD]]*MASTER[[#This Row],[COSTO UNITARIO]]</f>
        <v>387</v>
      </c>
      <c r="V910" s="2">
        <f>MASTER[[#This Row],[MONTO VENDIDO]]-MASTER[[#This Row],[COSTO DE VENTA]]</f>
        <v>560</v>
      </c>
    </row>
    <row r="911" spans="1:22" x14ac:dyDescent="0.3">
      <c r="A911">
        <v>21647</v>
      </c>
      <c r="B911">
        <v>1</v>
      </c>
      <c r="C911" t="s">
        <v>114</v>
      </c>
      <c r="D911" t="s">
        <v>115</v>
      </c>
      <c r="E911" s="1">
        <v>43938</v>
      </c>
      <c r="F911">
        <v>1</v>
      </c>
      <c r="G911" t="s">
        <v>43</v>
      </c>
      <c r="H911" t="s">
        <v>44</v>
      </c>
      <c r="I911" s="3">
        <v>2030</v>
      </c>
      <c r="J911" s="3">
        <v>1928</v>
      </c>
      <c r="K911" s="3">
        <v>394</v>
      </c>
      <c r="L911" t="s">
        <v>113</v>
      </c>
      <c r="M911">
        <v>1</v>
      </c>
      <c r="N911" t="s">
        <v>77</v>
      </c>
      <c r="O911" t="s">
        <v>70</v>
      </c>
      <c r="P911" t="s">
        <v>71</v>
      </c>
      <c r="Q911" t="s">
        <v>72</v>
      </c>
      <c r="R911" t="s">
        <v>139</v>
      </c>
      <c r="S911" t="s">
        <v>144</v>
      </c>
      <c r="T911" s="2">
        <f>MASTER[[#This Row],[CANTIDAD]]*MASTER[[#This Row],[PRECIO DE VENTA]]</f>
        <v>1928</v>
      </c>
      <c r="U911" s="2">
        <f>MASTER[[#This Row],[CANTIDAD]]*MASTER[[#This Row],[COSTO UNITARIO]]</f>
        <v>394</v>
      </c>
      <c r="V911" s="2">
        <f>MASTER[[#This Row],[MONTO VENDIDO]]-MASTER[[#This Row],[COSTO DE VENTA]]</f>
        <v>1534</v>
      </c>
    </row>
    <row r="912" spans="1:22" x14ac:dyDescent="0.3">
      <c r="A912">
        <v>21648</v>
      </c>
      <c r="B912">
        <v>1</v>
      </c>
      <c r="C912" t="s">
        <v>105</v>
      </c>
      <c r="D912" t="s">
        <v>106</v>
      </c>
      <c r="E912" s="1">
        <v>43938</v>
      </c>
      <c r="F912">
        <v>1</v>
      </c>
      <c r="G912" t="s">
        <v>45</v>
      </c>
      <c r="H912" t="s">
        <v>46</v>
      </c>
      <c r="I912" s="3">
        <v>2033</v>
      </c>
      <c r="J912" s="3">
        <v>2033</v>
      </c>
      <c r="K912" s="3">
        <v>459</v>
      </c>
      <c r="L912" t="s">
        <v>98</v>
      </c>
      <c r="M912">
        <v>6</v>
      </c>
      <c r="N912" t="s">
        <v>75</v>
      </c>
      <c r="O912" t="s">
        <v>70</v>
      </c>
      <c r="P912" t="s">
        <v>12</v>
      </c>
      <c r="Q912" t="s">
        <v>13</v>
      </c>
      <c r="R912" t="s">
        <v>13</v>
      </c>
      <c r="S912" t="s">
        <v>144</v>
      </c>
      <c r="T912" s="2">
        <f>MASTER[[#This Row],[CANTIDAD]]*MASTER[[#This Row],[PRECIO DE VENTA]]</f>
        <v>2033</v>
      </c>
      <c r="U912" s="2">
        <f>MASTER[[#This Row],[CANTIDAD]]*MASTER[[#This Row],[COSTO UNITARIO]]</f>
        <v>459</v>
      </c>
      <c r="V912" s="2">
        <f>MASTER[[#This Row],[MONTO VENDIDO]]-MASTER[[#This Row],[COSTO DE VENTA]]</f>
        <v>1574</v>
      </c>
    </row>
    <row r="913" spans="1:22" x14ac:dyDescent="0.3">
      <c r="A913">
        <v>21656</v>
      </c>
      <c r="B913">
        <v>1</v>
      </c>
      <c r="C913" t="s">
        <v>94</v>
      </c>
      <c r="D913" t="s">
        <v>95</v>
      </c>
      <c r="E913" s="1">
        <v>43938</v>
      </c>
      <c r="F913">
        <v>1</v>
      </c>
      <c r="G913" t="s">
        <v>67</v>
      </c>
      <c r="H913" t="s">
        <v>68</v>
      </c>
      <c r="I913" s="3">
        <v>1153</v>
      </c>
      <c r="J913" s="3">
        <v>1153</v>
      </c>
      <c r="K913" s="3">
        <v>392</v>
      </c>
      <c r="L913" t="s">
        <v>9</v>
      </c>
      <c r="M913">
        <v>3</v>
      </c>
      <c r="N913" t="s">
        <v>69</v>
      </c>
      <c r="O913" t="s">
        <v>70</v>
      </c>
      <c r="P913" t="s">
        <v>71</v>
      </c>
      <c r="Q913" t="s">
        <v>72</v>
      </c>
      <c r="R913" t="s">
        <v>139</v>
      </c>
      <c r="S913" t="s">
        <v>144</v>
      </c>
      <c r="T913" s="2">
        <f>MASTER[[#This Row],[CANTIDAD]]*MASTER[[#This Row],[PRECIO DE VENTA]]</f>
        <v>1153</v>
      </c>
      <c r="U913" s="2">
        <f>MASTER[[#This Row],[CANTIDAD]]*MASTER[[#This Row],[COSTO UNITARIO]]</f>
        <v>392</v>
      </c>
      <c r="V913" s="2">
        <f>MASTER[[#This Row],[MONTO VENDIDO]]-MASTER[[#This Row],[COSTO DE VENTA]]</f>
        <v>761</v>
      </c>
    </row>
    <row r="914" spans="1:22" x14ac:dyDescent="0.3">
      <c r="A914">
        <v>21663</v>
      </c>
      <c r="B914">
        <v>1</v>
      </c>
      <c r="C914" t="s">
        <v>107</v>
      </c>
      <c r="D914" t="s">
        <v>108</v>
      </c>
      <c r="E914" s="1">
        <v>43938</v>
      </c>
      <c r="F914">
        <v>4</v>
      </c>
      <c r="G914" t="s">
        <v>7</v>
      </c>
      <c r="H914" t="s">
        <v>8</v>
      </c>
      <c r="I914" s="3">
        <v>1333</v>
      </c>
      <c r="J914" s="3">
        <v>1333</v>
      </c>
      <c r="K914" s="3">
        <v>380</v>
      </c>
      <c r="L914" t="s">
        <v>98</v>
      </c>
      <c r="M914">
        <v>10</v>
      </c>
      <c r="N914" t="s">
        <v>83</v>
      </c>
      <c r="O914" t="s">
        <v>81</v>
      </c>
      <c r="P914" t="s">
        <v>12</v>
      </c>
      <c r="Q914" t="s">
        <v>13</v>
      </c>
      <c r="R914" t="s">
        <v>13</v>
      </c>
      <c r="S914" t="s">
        <v>144</v>
      </c>
      <c r="T914" s="2">
        <f>MASTER[[#This Row],[CANTIDAD]]*MASTER[[#This Row],[PRECIO DE VENTA]]</f>
        <v>5332</v>
      </c>
      <c r="U914" s="2">
        <f>MASTER[[#This Row],[CANTIDAD]]*MASTER[[#This Row],[COSTO UNITARIO]]</f>
        <v>1520</v>
      </c>
      <c r="V914" s="2">
        <f>MASTER[[#This Row],[MONTO VENDIDO]]-MASTER[[#This Row],[COSTO DE VENTA]]</f>
        <v>3812</v>
      </c>
    </row>
    <row r="915" spans="1:22" x14ac:dyDescent="0.3">
      <c r="A915">
        <v>21672</v>
      </c>
      <c r="B915">
        <v>1</v>
      </c>
      <c r="C915" t="s">
        <v>116</v>
      </c>
      <c r="D915" t="s">
        <v>117</v>
      </c>
      <c r="E915" s="1">
        <v>43939</v>
      </c>
      <c r="F915">
        <v>1</v>
      </c>
      <c r="G915" t="s">
        <v>59</v>
      </c>
      <c r="H915" t="s">
        <v>60</v>
      </c>
      <c r="I915" s="3">
        <v>1738</v>
      </c>
      <c r="J915" s="3">
        <v>1738</v>
      </c>
      <c r="K915" s="3">
        <v>388</v>
      </c>
      <c r="L915" t="s">
        <v>113</v>
      </c>
      <c r="M915">
        <v>7</v>
      </c>
      <c r="N915" t="s">
        <v>84</v>
      </c>
      <c r="O915" t="s">
        <v>81</v>
      </c>
      <c r="P915" t="s">
        <v>12</v>
      </c>
      <c r="Q915" t="s">
        <v>13</v>
      </c>
      <c r="R915" t="s">
        <v>13</v>
      </c>
      <c r="S915" t="s">
        <v>144</v>
      </c>
      <c r="T915" s="2">
        <f>MASTER[[#This Row],[CANTIDAD]]*MASTER[[#This Row],[PRECIO DE VENTA]]</f>
        <v>1738</v>
      </c>
      <c r="U915" s="2">
        <f>MASTER[[#This Row],[CANTIDAD]]*MASTER[[#This Row],[COSTO UNITARIO]]</f>
        <v>388</v>
      </c>
      <c r="V915" s="2">
        <f>MASTER[[#This Row],[MONTO VENDIDO]]-MASTER[[#This Row],[COSTO DE VENTA]]</f>
        <v>1350</v>
      </c>
    </row>
    <row r="916" spans="1:22" x14ac:dyDescent="0.3">
      <c r="A916">
        <v>21680</v>
      </c>
      <c r="B916">
        <v>1</v>
      </c>
      <c r="C916" t="s">
        <v>99</v>
      </c>
      <c r="D916" t="s">
        <v>100</v>
      </c>
      <c r="E916" s="1">
        <v>43939</v>
      </c>
      <c r="F916">
        <v>1</v>
      </c>
      <c r="G916" t="s">
        <v>73</v>
      </c>
      <c r="H916" t="s">
        <v>74</v>
      </c>
      <c r="I916" s="3">
        <v>1459</v>
      </c>
      <c r="J916" s="3">
        <v>1459</v>
      </c>
      <c r="K916" s="3">
        <v>386</v>
      </c>
      <c r="L916" t="s">
        <v>98</v>
      </c>
      <c r="M916">
        <v>4</v>
      </c>
      <c r="N916" t="s">
        <v>82</v>
      </c>
      <c r="O916" t="s">
        <v>81</v>
      </c>
      <c r="P916" t="s">
        <v>71</v>
      </c>
      <c r="Q916" t="s">
        <v>72</v>
      </c>
      <c r="R916" t="s">
        <v>139</v>
      </c>
      <c r="S916" t="s">
        <v>144</v>
      </c>
      <c r="T916" s="2">
        <f>MASTER[[#This Row],[CANTIDAD]]*MASTER[[#This Row],[PRECIO DE VENTA]]</f>
        <v>1459</v>
      </c>
      <c r="U916" s="2">
        <f>MASTER[[#This Row],[CANTIDAD]]*MASTER[[#This Row],[COSTO UNITARIO]]</f>
        <v>386</v>
      </c>
      <c r="V916" s="2">
        <f>MASTER[[#This Row],[MONTO VENDIDO]]-MASTER[[#This Row],[COSTO DE VENTA]]</f>
        <v>1073</v>
      </c>
    </row>
    <row r="917" spans="1:22" x14ac:dyDescent="0.3">
      <c r="A917">
        <v>21688</v>
      </c>
      <c r="B917">
        <v>1</v>
      </c>
      <c r="C917" t="s">
        <v>105</v>
      </c>
      <c r="D917" t="s">
        <v>106</v>
      </c>
      <c r="E917" s="1">
        <v>43939</v>
      </c>
      <c r="F917">
        <v>1</v>
      </c>
      <c r="G917" t="s">
        <v>65</v>
      </c>
      <c r="H917" t="s">
        <v>66</v>
      </c>
      <c r="I917" s="3">
        <v>2033</v>
      </c>
      <c r="J917" s="3">
        <v>2033</v>
      </c>
      <c r="K917" s="3">
        <v>459</v>
      </c>
      <c r="L917" t="s">
        <v>98</v>
      </c>
      <c r="M917">
        <v>9</v>
      </c>
      <c r="N917" t="s">
        <v>76</v>
      </c>
      <c r="O917" t="s">
        <v>70</v>
      </c>
      <c r="P917" t="s">
        <v>12</v>
      </c>
      <c r="Q917" t="s">
        <v>13</v>
      </c>
      <c r="R917" t="s">
        <v>13</v>
      </c>
      <c r="S917" t="s">
        <v>144</v>
      </c>
      <c r="T917" s="2">
        <f>MASTER[[#This Row],[CANTIDAD]]*MASTER[[#This Row],[PRECIO DE VENTA]]</f>
        <v>2033</v>
      </c>
      <c r="U917" s="2">
        <f>MASTER[[#This Row],[CANTIDAD]]*MASTER[[#This Row],[COSTO UNITARIO]]</f>
        <v>459</v>
      </c>
      <c r="V917" s="2">
        <f>MASTER[[#This Row],[MONTO VENDIDO]]-MASTER[[#This Row],[COSTO DE VENTA]]</f>
        <v>1574</v>
      </c>
    </row>
    <row r="918" spans="1:22" x14ac:dyDescent="0.3">
      <c r="A918">
        <v>21699</v>
      </c>
      <c r="B918">
        <v>1</v>
      </c>
      <c r="C918" t="s">
        <v>118</v>
      </c>
      <c r="D918" t="s">
        <v>119</v>
      </c>
      <c r="E918" s="1">
        <v>43939</v>
      </c>
      <c r="F918">
        <v>1</v>
      </c>
      <c r="G918" t="s">
        <v>67</v>
      </c>
      <c r="H918" t="s">
        <v>68</v>
      </c>
      <c r="I918" s="3">
        <v>1026</v>
      </c>
      <c r="J918" s="3">
        <v>1026</v>
      </c>
      <c r="K918" s="3">
        <v>424</v>
      </c>
      <c r="L918" t="s">
        <v>120</v>
      </c>
      <c r="M918">
        <v>13</v>
      </c>
      <c r="N918" t="s">
        <v>78</v>
      </c>
      <c r="O918" t="s">
        <v>70</v>
      </c>
      <c r="P918" t="s">
        <v>18</v>
      </c>
      <c r="Q918" t="s">
        <v>19</v>
      </c>
      <c r="R918" t="s">
        <v>138</v>
      </c>
      <c r="S918" t="s">
        <v>144</v>
      </c>
      <c r="T918" s="2">
        <f>MASTER[[#This Row],[CANTIDAD]]*MASTER[[#This Row],[PRECIO DE VENTA]]</f>
        <v>1026</v>
      </c>
      <c r="U918" s="2">
        <f>MASTER[[#This Row],[CANTIDAD]]*MASTER[[#This Row],[COSTO UNITARIO]]</f>
        <v>424</v>
      </c>
      <c r="V918" s="2">
        <f>MASTER[[#This Row],[MONTO VENDIDO]]-MASTER[[#This Row],[COSTO DE VENTA]]</f>
        <v>602</v>
      </c>
    </row>
    <row r="919" spans="1:22" x14ac:dyDescent="0.3">
      <c r="A919">
        <v>21705</v>
      </c>
      <c r="B919">
        <v>1</v>
      </c>
      <c r="C919" t="s">
        <v>118</v>
      </c>
      <c r="D919" t="s">
        <v>119</v>
      </c>
      <c r="E919" s="1">
        <v>43939</v>
      </c>
      <c r="F919">
        <v>1</v>
      </c>
      <c r="G919" t="s">
        <v>59</v>
      </c>
      <c r="H919" t="s">
        <v>60</v>
      </c>
      <c r="I919" s="3">
        <v>900</v>
      </c>
      <c r="J919" s="3">
        <v>900</v>
      </c>
      <c r="K919" s="3">
        <v>424</v>
      </c>
      <c r="L919" t="s">
        <v>120</v>
      </c>
      <c r="M919">
        <v>10</v>
      </c>
      <c r="N919" t="s">
        <v>83</v>
      </c>
      <c r="O919" t="s">
        <v>81</v>
      </c>
      <c r="P919" t="s">
        <v>12</v>
      </c>
      <c r="Q919" t="s">
        <v>13</v>
      </c>
      <c r="R919" t="s">
        <v>13</v>
      </c>
      <c r="S919" t="s">
        <v>144</v>
      </c>
      <c r="T919" s="2">
        <f>MASTER[[#This Row],[CANTIDAD]]*MASTER[[#This Row],[PRECIO DE VENTA]]</f>
        <v>900</v>
      </c>
      <c r="U919" s="2">
        <f>MASTER[[#This Row],[CANTIDAD]]*MASTER[[#This Row],[COSTO UNITARIO]]</f>
        <v>424</v>
      </c>
      <c r="V919" s="2">
        <f>MASTER[[#This Row],[MONTO VENDIDO]]-MASTER[[#This Row],[COSTO DE VENTA]]</f>
        <v>476</v>
      </c>
    </row>
    <row r="920" spans="1:22" x14ac:dyDescent="0.3">
      <c r="A920">
        <v>21730</v>
      </c>
      <c r="B920">
        <v>1</v>
      </c>
      <c r="C920" t="s">
        <v>101</v>
      </c>
      <c r="D920" t="s">
        <v>102</v>
      </c>
      <c r="E920" s="1">
        <v>43939</v>
      </c>
      <c r="F920">
        <v>1</v>
      </c>
      <c r="G920" t="s">
        <v>65</v>
      </c>
      <c r="H920" t="s">
        <v>66</v>
      </c>
      <c r="I920" s="3">
        <v>1054</v>
      </c>
      <c r="J920" s="3">
        <v>969</v>
      </c>
      <c r="K920" s="3">
        <v>442</v>
      </c>
      <c r="L920" t="s">
        <v>98</v>
      </c>
      <c r="M920">
        <v>12</v>
      </c>
      <c r="N920" t="s">
        <v>26</v>
      </c>
      <c r="O920" t="s">
        <v>11</v>
      </c>
      <c r="P920" t="s">
        <v>12</v>
      </c>
      <c r="Q920" t="s">
        <v>13</v>
      </c>
      <c r="R920" t="s">
        <v>13</v>
      </c>
      <c r="S920" t="s">
        <v>144</v>
      </c>
      <c r="T920" s="2">
        <f>MASTER[[#This Row],[CANTIDAD]]*MASTER[[#This Row],[PRECIO DE VENTA]]</f>
        <v>969</v>
      </c>
      <c r="U920" s="2">
        <f>MASTER[[#This Row],[CANTIDAD]]*MASTER[[#This Row],[COSTO UNITARIO]]</f>
        <v>442</v>
      </c>
      <c r="V920" s="2">
        <f>MASTER[[#This Row],[MONTO VENDIDO]]-MASTER[[#This Row],[COSTO DE VENTA]]</f>
        <v>527</v>
      </c>
    </row>
    <row r="921" spans="1:22" x14ac:dyDescent="0.3">
      <c r="A921">
        <v>21780</v>
      </c>
      <c r="B921">
        <v>1</v>
      </c>
      <c r="C921" t="s">
        <v>99</v>
      </c>
      <c r="D921" t="s">
        <v>100</v>
      </c>
      <c r="E921" s="1">
        <v>43939</v>
      </c>
      <c r="F921">
        <v>1</v>
      </c>
      <c r="G921" t="s">
        <v>45</v>
      </c>
      <c r="H921" t="s">
        <v>46</v>
      </c>
      <c r="I921" s="3">
        <v>1328</v>
      </c>
      <c r="J921" s="3">
        <v>1328</v>
      </c>
      <c r="K921" s="3">
        <v>386</v>
      </c>
      <c r="L921" t="s">
        <v>98</v>
      </c>
      <c r="M921">
        <v>16</v>
      </c>
      <c r="N921" t="s">
        <v>17</v>
      </c>
      <c r="O921" t="s">
        <v>11</v>
      </c>
      <c r="P921" t="s">
        <v>18</v>
      </c>
      <c r="Q921" t="s">
        <v>19</v>
      </c>
      <c r="R921" t="s">
        <v>138</v>
      </c>
      <c r="S921" t="s">
        <v>144</v>
      </c>
      <c r="T921" s="2">
        <f>MASTER[[#This Row],[CANTIDAD]]*MASTER[[#This Row],[PRECIO DE VENTA]]</f>
        <v>1328</v>
      </c>
      <c r="U921" s="2">
        <f>MASTER[[#This Row],[CANTIDAD]]*MASTER[[#This Row],[COSTO UNITARIO]]</f>
        <v>386</v>
      </c>
      <c r="V921" s="2">
        <f>MASTER[[#This Row],[MONTO VENDIDO]]-MASTER[[#This Row],[COSTO DE VENTA]]</f>
        <v>942</v>
      </c>
    </row>
    <row r="922" spans="1:22" x14ac:dyDescent="0.3">
      <c r="A922">
        <v>21781</v>
      </c>
      <c r="B922">
        <v>1</v>
      </c>
      <c r="C922" t="s">
        <v>107</v>
      </c>
      <c r="D922" t="s">
        <v>108</v>
      </c>
      <c r="E922" s="1">
        <v>43939</v>
      </c>
      <c r="F922">
        <v>1</v>
      </c>
      <c r="G922" t="s">
        <v>20</v>
      </c>
      <c r="H922" t="s">
        <v>21</v>
      </c>
      <c r="I922" s="3">
        <v>1440</v>
      </c>
      <c r="J922" s="3">
        <v>1440</v>
      </c>
      <c r="K922" s="3">
        <v>380</v>
      </c>
      <c r="L922" t="s">
        <v>98</v>
      </c>
      <c r="M922">
        <v>3</v>
      </c>
      <c r="N922" t="s">
        <v>69</v>
      </c>
      <c r="O922" t="s">
        <v>70</v>
      </c>
      <c r="P922" t="s">
        <v>71</v>
      </c>
      <c r="Q922" t="s">
        <v>72</v>
      </c>
      <c r="R922" t="s">
        <v>139</v>
      </c>
      <c r="S922" t="s">
        <v>144</v>
      </c>
      <c r="T922" s="2">
        <f>MASTER[[#This Row],[CANTIDAD]]*MASTER[[#This Row],[PRECIO DE VENTA]]</f>
        <v>1440</v>
      </c>
      <c r="U922" s="2">
        <f>MASTER[[#This Row],[CANTIDAD]]*MASTER[[#This Row],[COSTO UNITARIO]]</f>
        <v>380</v>
      </c>
      <c r="V922" s="2">
        <f>MASTER[[#This Row],[MONTO VENDIDO]]-MASTER[[#This Row],[COSTO DE VENTA]]</f>
        <v>1060</v>
      </c>
    </row>
    <row r="923" spans="1:22" x14ac:dyDescent="0.3">
      <c r="A923">
        <v>21785</v>
      </c>
      <c r="B923">
        <v>1</v>
      </c>
      <c r="C923" t="s">
        <v>103</v>
      </c>
      <c r="D923" t="s">
        <v>104</v>
      </c>
      <c r="E923" s="1">
        <v>43940</v>
      </c>
      <c r="F923">
        <v>1</v>
      </c>
      <c r="G923" t="s">
        <v>45</v>
      </c>
      <c r="H923" t="s">
        <v>46</v>
      </c>
      <c r="I923" s="3">
        <v>1830</v>
      </c>
      <c r="J923" s="3">
        <v>1830</v>
      </c>
      <c r="K923" s="3">
        <v>421</v>
      </c>
      <c r="L923" t="s">
        <v>98</v>
      </c>
      <c r="M923">
        <v>6</v>
      </c>
      <c r="N923" t="s">
        <v>75</v>
      </c>
      <c r="O923" t="s">
        <v>70</v>
      </c>
      <c r="P923" t="s">
        <v>12</v>
      </c>
      <c r="Q923" t="s">
        <v>13</v>
      </c>
      <c r="R923" t="s">
        <v>13</v>
      </c>
      <c r="S923" t="s">
        <v>144</v>
      </c>
      <c r="T923" s="2">
        <f>MASTER[[#This Row],[CANTIDAD]]*MASTER[[#This Row],[PRECIO DE VENTA]]</f>
        <v>1830</v>
      </c>
      <c r="U923" s="2">
        <f>MASTER[[#This Row],[CANTIDAD]]*MASTER[[#This Row],[COSTO UNITARIO]]</f>
        <v>421</v>
      </c>
      <c r="V923" s="2">
        <f>MASTER[[#This Row],[MONTO VENDIDO]]-MASTER[[#This Row],[COSTO DE VENTA]]</f>
        <v>1409</v>
      </c>
    </row>
    <row r="924" spans="1:22" x14ac:dyDescent="0.3">
      <c r="A924">
        <v>21792</v>
      </c>
      <c r="B924">
        <v>1</v>
      </c>
      <c r="C924" t="s">
        <v>96</v>
      </c>
      <c r="D924" t="s">
        <v>97</v>
      </c>
      <c r="E924" s="1">
        <v>43940</v>
      </c>
      <c r="F924">
        <v>1</v>
      </c>
      <c r="G924" t="s">
        <v>65</v>
      </c>
      <c r="H924" t="s">
        <v>66</v>
      </c>
      <c r="I924" s="3">
        <v>1272</v>
      </c>
      <c r="J924" s="3">
        <v>1272</v>
      </c>
      <c r="K924" s="3">
        <v>397</v>
      </c>
      <c r="L924" t="s">
        <v>98</v>
      </c>
      <c r="M924">
        <v>19</v>
      </c>
      <c r="N924" t="s">
        <v>89</v>
      </c>
      <c r="O924" t="s">
        <v>81</v>
      </c>
      <c r="P924" t="s">
        <v>15</v>
      </c>
      <c r="Q924" t="s">
        <v>16</v>
      </c>
      <c r="R924" t="s">
        <v>16</v>
      </c>
      <c r="S924" t="s">
        <v>144</v>
      </c>
      <c r="T924" s="2">
        <f>MASTER[[#This Row],[CANTIDAD]]*MASTER[[#This Row],[PRECIO DE VENTA]]</f>
        <v>1272</v>
      </c>
      <c r="U924" s="2">
        <f>MASTER[[#This Row],[CANTIDAD]]*MASTER[[#This Row],[COSTO UNITARIO]]</f>
        <v>397</v>
      </c>
      <c r="V924" s="2">
        <f>MASTER[[#This Row],[MONTO VENDIDO]]-MASTER[[#This Row],[COSTO DE VENTA]]</f>
        <v>875</v>
      </c>
    </row>
    <row r="925" spans="1:22" x14ac:dyDescent="0.3">
      <c r="A925">
        <v>21800</v>
      </c>
      <c r="B925">
        <v>1</v>
      </c>
      <c r="C925" t="s">
        <v>107</v>
      </c>
      <c r="D925" t="s">
        <v>108</v>
      </c>
      <c r="E925" s="1">
        <v>43940</v>
      </c>
      <c r="F925">
        <v>1</v>
      </c>
      <c r="G925" t="s">
        <v>65</v>
      </c>
      <c r="H925" t="s">
        <v>66</v>
      </c>
      <c r="I925" s="3">
        <v>1333</v>
      </c>
      <c r="J925" s="3">
        <v>1333</v>
      </c>
      <c r="K925" s="3">
        <v>380</v>
      </c>
      <c r="L925" t="s">
        <v>98</v>
      </c>
      <c r="M925">
        <v>15</v>
      </c>
      <c r="N925" t="s">
        <v>88</v>
      </c>
      <c r="O925" t="s">
        <v>81</v>
      </c>
      <c r="P925" t="s">
        <v>18</v>
      </c>
      <c r="Q925" t="s">
        <v>19</v>
      </c>
      <c r="R925" t="s">
        <v>138</v>
      </c>
      <c r="S925" t="s">
        <v>144</v>
      </c>
      <c r="T925" s="2">
        <f>MASTER[[#This Row],[CANTIDAD]]*MASTER[[#This Row],[PRECIO DE VENTA]]</f>
        <v>1333</v>
      </c>
      <c r="U925" s="2">
        <f>MASTER[[#This Row],[CANTIDAD]]*MASTER[[#This Row],[COSTO UNITARIO]]</f>
        <v>380</v>
      </c>
      <c r="V925" s="2">
        <f>MASTER[[#This Row],[MONTO VENDIDO]]-MASTER[[#This Row],[COSTO DE VENTA]]</f>
        <v>953</v>
      </c>
    </row>
    <row r="926" spans="1:22" x14ac:dyDescent="0.3">
      <c r="A926">
        <v>21804</v>
      </c>
      <c r="B926">
        <v>1</v>
      </c>
      <c r="C926" t="s">
        <v>96</v>
      </c>
      <c r="D926" t="s">
        <v>97</v>
      </c>
      <c r="E926" s="1">
        <v>43940</v>
      </c>
      <c r="F926">
        <v>1</v>
      </c>
      <c r="G926" t="s">
        <v>59</v>
      </c>
      <c r="H926" t="s">
        <v>60</v>
      </c>
      <c r="I926" s="3">
        <v>1272</v>
      </c>
      <c r="J926" s="3">
        <v>1272</v>
      </c>
      <c r="K926" s="3">
        <v>397</v>
      </c>
      <c r="L926" t="s">
        <v>98</v>
      </c>
      <c r="M926">
        <v>15</v>
      </c>
      <c r="N926" t="s">
        <v>88</v>
      </c>
      <c r="O926" t="s">
        <v>81</v>
      </c>
      <c r="P926" t="s">
        <v>18</v>
      </c>
      <c r="Q926" t="s">
        <v>19</v>
      </c>
      <c r="R926" t="s">
        <v>138</v>
      </c>
      <c r="S926" t="s">
        <v>144</v>
      </c>
      <c r="T926" s="2">
        <f>MASTER[[#This Row],[CANTIDAD]]*MASTER[[#This Row],[PRECIO DE VENTA]]</f>
        <v>1272</v>
      </c>
      <c r="U926" s="2">
        <f>MASTER[[#This Row],[CANTIDAD]]*MASTER[[#This Row],[COSTO UNITARIO]]</f>
        <v>397</v>
      </c>
      <c r="V926" s="2">
        <f>MASTER[[#This Row],[MONTO VENDIDO]]-MASTER[[#This Row],[COSTO DE VENTA]]</f>
        <v>875</v>
      </c>
    </row>
    <row r="927" spans="1:22" x14ac:dyDescent="0.3">
      <c r="A927">
        <v>21810</v>
      </c>
      <c r="B927">
        <v>1</v>
      </c>
      <c r="C927" t="s">
        <v>111</v>
      </c>
      <c r="D927" t="s">
        <v>112</v>
      </c>
      <c r="E927" s="1">
        <v>43940</v>
      </c>
      <c r="F927">
        <v>1</v>
      </c>
      <c r="G927" t="s">
        <v>73</v>
      </c>
      <c r="H927" t="s">
        <v>74</v>
      </c>
      <c r="I927" s="3">
        <v>1621</v>
      </c>
      <c r="J927" s="3">
        <v>1621</v>
      </c>
      <c r="K927" s="3">
        <v>434</v>
      </c>
      <c r="L927" t="s">
        <v>113</v>
      </c>
      <c r="M927">
        <v>14</v>
      </c>
      <c r="N927" t="s">
        <v>87</v>
      </c>
      <c r="O927" t="s">
        <v>81</v>
      </c>
      <c r="P927" t="s">
        <v>18</v>
      </c>
      <c r="Q927" t="s">
        <v>19</v>
      </c>
      <c r="R927" t="s">
        <v>138</v>
      </c>
      <c r="S927" t="s">
        <v>144</v>
      </c>
      <c r="T927" s="2">
        <f>MASTER[[#This Row],[CANTIDAD]]*MASTER[[#This Row],[PRECIO DE VENTA]]</f>
        <v>1621</v>
      </c>
      <c r="U927" s="2">
        <f>MASTER[[#This Row],[CANTIDAD]]*MASTER[[#This Row],[COSTO UNITARIO]]</f>
        <v>434</v>
      </c>
      <c r="V927" s="2">
        <f>MASTER[[#This Row],[MONTO VENDIDO]]-MASTER[[#This Row],[COSTO DE VENTA]]</f>
        <v>1187</v>
      </c>
    </row>
    <row r="928" spans="1:22" x14ac:dyDescent="0.3">
      <c r="A928">
        <v>21813</v>
      </c>
      <c r="B928">
        <v>1</v>
      </c>
      <c r="C928" t="s">
        <v>114</v>
      </c>
      <c r="D928" t="s">
        <v>115</v>
      </c>
      <c r="E928" s="1">
        <v>43940</v>
      </c>
      <c r="F928">
        <v>1</v>
      </c>
      <c r="G928" t="s">
        <v>67</v>
      </c>
      <c r="H928" t="s">
        <v>68</v>
      </c>
      <c r="I928" s="3">
        <v>1583</v>
      </c>
      <c r="J928" s="3">
        <v>1583</v>
      </c>
      <c r="K928" s="3">
        <v>394</v>
      </c>
      <c r="L928" t="s">
        <v>113</v>
      </c>
      <c r="M928">
        <v>11</v>
      </c>
      <c r="N928" t="s">
        <v>10</v>
      </c>
      <c r="O928" t="s">
        <v>11</v>
      </c>
      <c r="P928" t="s">
        <v>12</v>
      </c>
      <c r="Q928" t="s">
        <v>13</v>
      </c>
      <c r="R928" t="s">
        <v>13</v>
      </c>
      <c r="S928" t="s">
        <v>144</v>
      </c>
      <c r="T928" s="2">
        <f>MASTER[[#This Row],[CANTIDAD]]*MASTER[[#This Row],[PRECIO DE VENTA]]</f>
        <v>1583</v>
      </c>
      <c r="U928" s="2">
        <f>MASTER[[#This Row],[CANTIDAD]]*MASTER[[#This Row],[COSTO UNITARIO]]</f>
        <v>394</v>
      </c>
      <c r="V928" s="2">
        <f>MASTER[[#This Row],[MONTO VENDIDO]]-MASTER[[#This Row],[COSTO DE VENTA]]</f>
        <v>1189</v>
      </c>
    </row>
    <row r="929" spans="1:22" x14ac:dyDescent="0.3">
      <c r="A929">
        <v>21814</v>
      </c>
      <c r="B929">
        <v>1</v>
      </c>
      <c r="C929" t="s">
        <v>118</v>
      </c>
      <c r="D929" t="s">
        <v>119</v>
      </c>
      <c r="E929" s="1">
        <v>43940</v>
      </c>
      <c r="F929">
        <v>1</v>
      </c>
      <c r="G929" t="s">
        <v>20</v>
      </c>
      <c r="H929" t="s">
        <v>21</v>
      </c>
      <c r="I929" s="3">
        <v>1026</v>
      </c>
      <c r="J929" s="3">
        <v>1026</v>
      </c>
      <c r="K929" s="3">
        <v>424</v>
      </c>
      <c r="L929" t="s">
        <v>120</v>
      </c>
      <c r="M929">
        <v>13</v>
      </c>
      <c r="N929" t="s">
        <v>78</v>
      </c>
      <c r="O929" t="s">
        <v>70</v>
      </c>
      <c r="P929" t="s">
        <v>18</v>
      </c>
      <c r="Q929" t="s">
        <v>19</v>
      </c>
      <c r="R929" t="s">
        <v>138</v>
      </c>
      <c r="S929" t="s">
        <v>144</v>
      </c>
      <c r="T929" s="2">
        <f>MASTER[[#This Row],[CANTIDAD]]*MASTER[[#This Row],[PRECIO DE VENTA]]</f>
        <v>1026</v>
      </c>
      <c r="U929" s="2">
        <f>MASTER[[#This Row],[CANTIDAD]]*MASTER[[#This Row],[COSTO UNITARIO]]</f>
        <v>424</v>
      </c>
      <c r="V929" s="2">
        <f>MASTER[[#This Row],[MONTO VENDIDO]]-MASTER[[#This Row],[COSTO DE VENTA]]</f>
        <v>602</v>
      </c>
    </row>
    <row r="930" spans="1:22" x14ac:dyDescent="0.3">
      <c r="A930">
        <v>21816</v>
      </c>
      <c r="B930">
        <v>1</v>
      </c>
      <c r="C930" t="s">
        <v>111</v>
      </c>
      <c r="D930" t="s">
        <v>112</v>
      </c>
      <c r="E930" s="1">
        <v>43940</v>
      </c>
      <c r="F930">
        <v>4</v>
      </c>
      <c r="G930" t="s">
        <v>20</v>
      </c>
      <c r="H930" t="s">
        <v>21</v>
      </c>
      <c r="I930" s="3">
        <v>1524</v>
      </c>
      <c r="J930" s="3">
        <v>1524</v>
      </c>
      <c r="K930" s="3">
        <v>434</v>
      </c>
      <c r="L930" t="s">
        <v>113</v>
      </c>
      <c r="M930">
        <v>16</v>
      </c>
      <c r="N930" t="s">
        <v>17</v>
      </c>
      <c r="O930" t="s">
        <v>11</v>
      </c>
      <c r="P930" t="s">
        <v>18</v>
      </c>
      <c r="Q930" t="s">
        <v>19</v>
      </c>
      <c r="R930" t="s">
        <v>138</v>
      </c>
      <c r="S930" t="s">
        <v>144</v>
      </c>
      <c r="T930" s="2">
        <f>MASTER[[#This Row],[CANTIDAD]]*MASTER[[#This Row],[PRECIO DE VENTA]]</f>
        <v>6096</v>
      </c>
      <c r="U930" s="2">
        <f>MASTER[[#This Row],[CANTIDAD]]*MASTER[[#This Row],[COSTO UNITARIO]]</f>
        <v>1736</v>
      </c>
      <c r="V930" s="2">
        <f>MASTER[[#This Row],[MONTO VENDIDO]]-MASTER[[#This Row],[COSTO DE VENTA]]</f>
        <v>4360</v>
      </c>
    </row>
    <row r="931" spans="1:22" x14ac:dyDescent="0.3">
      <c r="A931">
        <v>21838</v>
      </c>
      <c r="B931">
        <v>1</v>
      </c>
      <c r="C931" t="s">
        <v>105</v>
      </c>
      <c r="D931" t="s">
        <v>106</v>
      </c>
      <c r="E931" s="1">
        <v>43940</v>
      </c>
      <c r="F931">
        <v>1</v>
      </c>
      <c r="G931" t="s">
        <v>67</v>
      </c>
      <c r="H931" t="s">
        <v>68</v>
      </c>
      <c r="I931" s="3">
        <v>1585</v>
      </c>
      <c r="J931" s="3">
        <v>1585</v>
      </c>
      <c r="K931" s="3">
        <v>459</v>
      </c>
      <c r="L931" t="s">
        <v>98</v>
      </c>
      <c r="M931">
        <v>11</v>
      </c>
      <c r="N931" t="s">
        <v>10</v>
      </c>
      <c r="O931" t="s">
        <v>11</v>
      </c>
      <c r="P931" t="s">
        <v>12</v>
      </c>
      <c r="Q931" t="s">
        <v>13</v>
      </c>
      <c r="R931" t="s">
        <v>13</v>
      </c>
      <c r="S931" t="s">
        <v>144</v>
      </c>
      <c r="T931" s="2">
        <f>MASTER[[#This Row],[CANTIDAD]]*MASTER[[#This Row],[PRECIO DE VENTA]]</f>
        <v>1585</v>
      </c>
      <c r="U931" s="2">
        <f>MASTER[[#This Row],[CANTIDAD]]*MASTER[[#This Row],[COSTO UNITARIO]]</f>
        <v>459</v>
      </c>
      <c r="V931" s="2">
        <f>MASTER[[#This Row],[MONTO VENDIDO]]-MASTER[[#This Row],[COSTO DE VENTA]]</f>
        <v>1126</v>
      </c>
    </row>
    <row r="932" spans="1:22" x14ac:dyDescent="0.3">
      <c r="A932">
        <v>21840</v>
      </c>
      <c r="B932">
        <v>1</v>
      </c>
      <c r="C932" t="s">
        <v>94</v>
      </c>
      <c r="D932" t="s">
        <v>95</v>
      </c>
      <c r="E932" s="1">
        <v>43940</v>
      </c>
      <c r="F932">
        <v>1</v>
      </c>
      <c r="G932" t="s">
        <v>73</v>
      </c>
      <c r="H932" t="s">
        <v>74</v>
      </c>
      <c r="I932" s="3">
        <v>1153</v>
      </c>
      <c r="J932" s="3">
        <v>1153</v>
      </c>
      <c r="K932" s="3">
        <v>392</v>
      </c>
      <c r="L932" t="s">
        <v>9</v>
      </c>
      <c r="M932">
        <v>1</v>
      </c>
      <c r="N932" t="s">
        <v>77</v>
      </c>
      <c r="O932" t="s">
        <v>70</v>
      </c>
      <c r="P932" t="s">
        <v>71</v>
      </c>
      <c r="Q932" t="s">
        <v>72</v>
      </c>
      <c r="R932" t="s">
        <v>139</v>
      </c>
      <c r="S932" t="s">
        <v>144</v>
      </c>
      <c r="T932" s="2">
        <f>MASTER[[#This Row],[CANTIDAD]]*MASTER[[#This Row],[PRECIO DE VENTA]]</f>
        <v>1153</v>
      </c>
      <c r="U932" s="2">
        <f>MASTER[[#This Row],[CANTIDAD]]*MASTER[[#This Row],[COSTO UNITARIO]]</f>
        <v>392</v>
      </c>
      <c r="V932" s="2">
        <f>MASTER[[#This Row],[MONTO VENDIDO]]-MASTER[[#This Row],[COSTO DE VENTA]]</f>
        <v>761</v>
      </c>
    </row>
    <row r="933" spans="1:22" x14ac:dyDescent="0.3">
      <c r="A933">
        <v>21850</v>
      </c>
      <c r="B933">
        <v>1</v>
      </c>
      <c r="C933" t="s">
        <v>90</v>
      </c>
      <c r="D933" t="s">
        <v>91</v>
      </c>
      <c r="E933" s="1">
        <v>43940</v>
      </c>
      <c r="F933">
        <v>1</v>
      </c>
      <c r="G933" t="s">
        <v>39</v>
      </c>
      <c r="H933" t="s">
        <v>40</v>
      </c>
      <c r="I933" s="3">
        <v>2102</v>
      </c>
      <c r="J933" s="3">
        <v>2102</v>
      </c>
      <c r="K933" s="3">
        <v>420</v>
      </c>
      <c r="L933" t="s">
        <v>9</v>
      </c>
      <c r="M933">
        <v>18</v>
      </c>
      <c r="N933" t="s">
        <v>79</v>
      </c>
      <c r="O933" t="s">
        <v>70</v>
      </c>
      <c r="P933" t="s">
        <v>15</v>
      </c>
      <c r="Q933" t="s">
        <v>16</v>
      </c>
      <c r="R933" t="s">
        <v>16</v>
      </c>
      <c r="S933" t="s">
        <v>144</v>
      </c>
      <c r="T933" s="2">
        <f>MASTER[[#This Row],[CANTIDAD]]*MASTER[[#This Row],[PRECIO DE VENTA]]</f>
        <v>2102</v>
      </c>
      <c r="U933" s="2">
        <f>MASTER[[#This Row],[CANTIDAD]]*MASTER[[#This Row],[COSTO UNITARIO]]</f>
        <v>420</v>
      </c>
      <c r="V933" s="2">
        <f>MASTER[[#This Row],[MONTO VENDIDO]]-MASTER[[#This Row],[COSTO DE VENTA]]</f>
        <v>1682</v>
      </c>
    </row>
    <row r="934" spans="1:22" x14ac:dyDescent="0.3">
      <c r="A934">
        <v>21862</v>
      </c>
      <c r="B934">
        <v>1</v>
      </c>
      <c r="C934" t="s">
        <v>5</v>
      </c>
      <c r="D934" t="s">
        <v>6</v>
      </c>
      <c r="E934" s="1">
        <v>43941</v>
      </c>
      <c r="F934">
        <v>1</v>
      </c>
      <c r="G934" t="s">
        <v>35</v>
      </c>
      <c r="H934" t="s">
        <v>36</v>
      </c>
      <c r="I934" s="3">
        <v>1311</v>
      </c>
      <c r="J934" s="3">
        <v>1311</v>
      </c>
      <c r="K934" s="3">
        <v>393</v>
      </c>
      <c r="L934" t="s">
        <v>9</v>
      </c>
      <c r="M934">
        <v>12</v>
      </c>
      <c r="N934" t="s">
        <v>26</v>
      </c>
      <c r="O934" t="s">
        <v>11</v>
      </c>
      <c r="P934" t="s">
        <v>12</v>
      </c>
      <c r="Q934" t="s">
        <v>13</v>
      </c>
      <c r="R934" t="s">
        <v>13</v>
      </c>
      <c r="S934" t="s">
        <v>144</v>
      </c>
      <c r="T934" s="2">
        <f>MASTER[[#This Row],[CANTIDAD]]*MASTER[[#This Row],[PRECIO DE VENTA]]</f>
        <v>1311</v>
      </c>
      <c r="U934" s="2">
        <f>MASTER[[#This Row],[CANTIDAD]]*MASTER[[#This Row],[COSTO UNITARIO]]</f>
        <v>393</v>
      </c>
      <c r="V934" s="2">
        <f>MASTER[[#This Row],[MONTO VENDIDO]]-MASTER[[#This Row],[COSTO DE VENTA]]</f>
        <v>918</v>
      </c>
    </row>
    <row r="935" spans="1:22" x14ac:dyDescent="0.3">
      <c r="A935">
        <v>21871</v>
      </c>
      <c r="B935">
        <v>1</v>
      </c>
      <c r="C935" t="s">
        <v>107</v>
      </c>
      <c r="D935" t="s">
        <v>108</v>
      </c>
      <c r="E935" s="1">
        <v>43941</v>
      </c>
      <c r="F935">
        <v>1</v>
      </c>
      <c r="G935" t="s">
        <v>20</v>
      </c>
      <c r="H935" t="s">
        <v>21</v>
      </c>
      <c r="I935" s="3">
        <v>1333</v>
      </c>
      <c r="J935" s="3">
        <v>1333</v>
      </c>
      <c r="K935" s="3">
        <v>380</v>
      </c>
      <c r="L935" t="s">
        <v>98</v>
      </c>
      <c r="M935">
        <v>4</v>
      </c>
      <c r="N935" t="s">
        <v>82</v>
      </c>
      <c r="O935" t="s">
        <v>81</v>
      </c>
      <c r="P935" t="s">
        <v>71</v>
      </c>
      <c r="Q935" t="s">
        <v>72</v>
      </c>
      <c r="R935" t="s">
        <v>139</v>
      </c>
      <c r="S935" t="s">
        <v>144</v>
      </c>
      <c r="T935" s="2">
        <f>MASTER[[#This Row],[CANTIDAD]]*MASTER[[#This Row],[PRECIO DE VENTA]]</f>
        <v>1333</v>
      </c>
      <c r="U935" s="2">
        <f>MASTER[[#This Row],[CANTIDAD]]*MASTER[[#This Row],[COSTO UNITARIO]]</f>
        <v>380</v>
      </c>
      <c r="V935" s="2">
        <f>MASTER[[#This Row],[MONTO VENDIDO]]-MASTER[[#This Row],[COSTO DE VENTA]]</f>
        <v>953</v>
      </c>
    </row>
    <row r="936" spans="1:22" x14ac:dyDescent="0.3">
      <c r="A936">
        <v>21895</v>
      </c>
      <c r="B936">
        <v>1</v>
      </c>
      <c r="C936" t="s">
        <v>105</v>
      </c>
      <c r="D936" t="s">
        <v>106</v>
      </c>
      <c r="E936" s="1">
        <v>43941</v>
      </c>
      <c r="F936">
        <v>1</v>
      </c>
      <c r="G936" t="s">
        <v>33</v>
      </c>
      <c r="H936" t="s">
        <v>34</v>
      </c>
      <c r="I936" s="3">
        <v>1585</v>
      </c>
      <c r="J936" s="3">
        <v>1585</v>
      </c>
      <c r="K936" s="3">
        <v>459</v>
      </c>
      <c r="L936" t="s">
        <v>98</v>
      </c>
      <c r="M936">
        <v>17</v>
      </c>
      <c r="N936" t="s">
        <v>14</v>
      </c>
      <c r="O936" t="s">
        <v>11</v>
      </c>
      <c r="P936" t="s">
        <v>15</v>
      </c>
      <c r="Q936" t="s">
        <v>16</v>
      </c>
      <c r="R936" t="s">
        <v>16</v>
      </c>
      <c r="S936" t="s">
        <v>144</v>
      </c>
      <c r="T936" s="2">
        <f>MASTER[[#This Row],[CANTIDAD]]*MASTER[[#This Row],[PRECIO DE VENTA]]</f>
        <v>1585</v>
      </c>
      <c r="U936" s="2">
        <f>MASTER[[#This Row],[CANTIDAD]]*MASTER[[#This Row],[COSTO UNITARIO]]</f>
        <v>459</v>
      </c>
      <c r="V936" s="2">
        <f>MASTER[[#This Row],[MONTO VENDIDO]]-MASTER[[#This Row],[COSTO DE VENTA]]</f>
        <v>1126</v>
      </c>
    </row>
    <row r="937" spans="1:22" x14ac:dyDescent="0.3">
      <c r="A937">
        <v>21899</v>
      </c>
      <c r="B937">
        <v>1</v>
      </c>
      <c r="C937" t="s">
        <v>99</v>
      </c>
      <c r="D937" t="s">
        <v>100</v>
      </c>
      <c r="E937" s="1">
        <v>43941</v>
      </c>
      <c r="F937">
        <v>1</v>
      </c>
      <c r="G937" t="s">
        <v>65</v>
      </c>
      <c r="H937" t="s">
        <v>66</v>
      </c>
      <c r="I937" s="3">
        <v>1328</v>
      </c>
      <c r="J937" s="3">
        <v>1328</v>
      </c>
      <c r="K937" s="3">
        <v>386</v>
      </c>
      <c r="L937" t="s">
        <v>98</v>
      </c>
      <c r="M937">
        <v>17</v>
      </c>
      <c r="N937" t="s">
        <v>14</v>
      </c>
      <c r="O937" t="s">
        <v>11</v>
      </c>
      <c r="P937" t="s">
        <v>15</v>
      </c>
      <c r="Q937" t="s">
        <v>16</v>
      </c>
      <c r="R937" t="s">
        <v>16</v>
      </c>
      <c r="S937" t="s">
        <v>144</v>
      </c>
      <c r="T937" s="2">
        <f>MASTER[[#This Row],[CANTIDAD]]*MASTER[[#This Row],[PRECIO DE VENTA]]</f>
        <v>1328</v>
      </c>
      <c r="U937" s="2">
        <f>MASTER[[#This Row],[CANTIDAD]]*MASTER[[#This Row],[COSTO UNITARIO]]</f>
        <v>386</v>
      </c>
      <c r="V937" s="2">
        <f>MASTER[[#This Row],[MONTO VENDIDO]]-MASTER[[#This Row],[COSTO DE VENTA]]</f>
        <v>942</v>
      </c>
    </row>
    <row r="938" spans="1:22" x14ac:dyDescent="0.3">
      <c r="A938">
        <v>21900</v>
      </c>
      <c r="B938">
        <v>1</v>
      </c>
      <c r="C938" t="s">
        <v>103</v>
      </c>
      <c r="D938" t="s">
        <v>104</v>
      </c>
      <c r="E938" s="1">
        <v>43941</v>
      </c>
      <c r="F938">
        <v>1</v>
      </c>
      <c r="G938" t="s">
        <v>73</v>
      </c>
      <c r="H938" t="s">
        <v>74</v>
      </c>
      <c r="I938" s="3">
        <v>1591</v>
      </c>
      <c r="J938" s="3">
        <v>1527</v>
      </c>
      <c r="K938" s="3">
        <v>421</v>
      </c>
      <c r="L938" t="s">
        <v>98</v>
      </c>
      <c r="M938">
        <v>15</v>
      </c>
      <c r="N938" t="s">
        <v>88</v>
      </c>
      <c r="O938" t="s">
        <v>81</v>
      </c>
      <c r="P938" t="s">
        <v>18</v>
      </c>
      <c r="Q938" t="s">
        <v>19</v>
      </c>
      <c r="R938" t="s">
        <v>138</v>
      </c>
      <c r="S938" t="s">
        <v>144</v>
      </c>
      <c r="T938" s="2">
        <f>MASTER[[#This Row],[CANTIDAD]]*MASTER[[#This Row],[PRECIO DE VENTA]]</f>
        <v>1527</v>
      </c>
      <c r="U938" s="2">
        <f>MASTER[[#This Row],[CANTIDAD]]*MASTER[[#This Row],[COSTO UNITARIO]]</f>
        <v>421</v>
      </c>
      <c r="V938" s="2">
        <f>MASTER[[#This Row],[MONTO VENDIDO]]-MASTER[[#This Row],[COSTO DE VENTA]]</f>
        <v>1106</v>
      </c>
    </row>
    <row r="939" spans="1:22" x14ac:dyDescent="0.3">
      <c r="A939">
        <v>21910</v>
      </c>
      <c r="B939">
        <v>1</v>
      </c>
      <c r="C939" t="s">
        <v>96</v>
      </c>
      <c r="D939" t="s">
        <v>97</v>
      </c>
      <c r="E939" s="1">
        <v>43941</v>
      </c>
      <c r="F939">
        <v>1</v>
      </c>
      <c r="G939" t="s">
        <v>59</v>
      </c>
      <c r="H939" t="s">
        <v>60</v>
      </c>
      <c r="I939" s="3">
        <v>1361</v>
      </c>
      <c r="J939" s="3">
        <v>1361</v>
      </c>
      <c r="K939" s="3">
        <v>397</v>
      </c>
      <c r="L939" t="s">
        <v>98</v>
      </c>
      <c r="M939">
        <v>9</v>
      </c>
      <c r="N939" t="s">
        <v>76</v>
      </c>
      <c r="O939" t="s">
        <v>70</v>
      </c>
      <c r="P939" t="s">
        <v>12</v>
      </c>
      <c r="Q939" t="s">
        <v>13</v>
      </c>
      <c r="R939" t="s">
        <v>13</v>
      </c>
      <c r="S939" t="s">
        <v>144</v>
      </c>
      <c r="T939" s="2">
        <f>MASTER[[#This Row],[CANTIDAD]]*MASTER[[#This Row],[PRECIO DE VENTA]]</f>
        <v>1361</v>
      </c>
      <c r="U939" s="2">
        <f>MASTER[[#This Row],[CANTIDAD]]*MASTER[[#This Row],[COSTO UNITARIO]]</f>
        <v>397</v>
      </c>
      <c r="V939" s="2">
        <f>MASTER[[#This Row],[MONTO VENDIDO]]-MASTER[[#This Row],[COSTO DE VENTA]]</f>
        <v>964</v>
      </c>
    </row>
    <row r="940" spans="1:22" x14ac:dyDescent="0.3">
      <c r="A940">
        <v>21911</v>
      </c>
      <c r="B940">
        <v>1</v>
      </c>
      <c r="C940" t="s">
        <v>94</v>
      </c>
      <c r="D940" t="s">
        <v>95</v>
      </c>
      <c r="E940" s="1">
        <v>43942</v>
      </c>
      <c r="F940">
        <v>1</v>
      </c>
      <c r="G940" t="s">
        <v>31</v>
      </c>
      <c r="H940" t="s">
        <v>32</v>
      </c>
      <c r="I940" s="3">
        <v>1153</v>
      </c>
      <c r="J940" s="3">
        <v>1153</v>
      </c>
      <c r="K940" s="3">
        <v>392</v>
      </c>
      <c r="L940" t="s">
        <v>9</v>
      </c>
      <c r="M940">
        <v>1</v>
      </c>
      <c r="N940" t="s">
        <v>77</v>
      </c>
      <c r="O940" t="s">
        <v>70</v>
      </c>
      <c r="P940" t="s">
        <v>71</v>
      </c>
      <c r="Q940" t="s">
        <v>72</v>
      </c>
      <c r="R940" t="s">
        <v>139</v>
      </c>
      <c r="S940" t="s">
        <v>144</v>
      </c>
      <c r="T940" s="2">
        <f>MASTER[[#This Row],[CANTIDAD]]*MASTER[[#This Row],[PRECIO DE VENTA]]</f>
        <v>1153</v>
      </c>
      <c r="U940" s="2">
        <f>MASTER[[#This Row],[CANTIDAD]]*MASTER[[#This Row],[COSTO UNITARIO]]</f>
        <v>392</v>
      </c>
      <c r="V940" s="2">
        <f>MASTER[[#This Row],[MONTO VENDIDO]]-MASTER[[#This Row],[COSTO DE VENTA]]</f>
        <v>761</v>
      </c>
    </row>
    <row r="941" spans="1:22" x14ac:dyDescent="0.3">
      <c r="A941">
        <v>21914</v>
      </c>
      <c r="B941">
        <v>1</v>
      </c>
      <c r="C941" t="s">
        <v>121</v>
      </c>
      <c r="D941" t="s">
        <v>122</v>
      </c>
      <c r="E941" s="1">
        <v>43942</v>
      </c>
      <c r="F941">
        <v>1</v>
      </c>
      <c r="G941" t="s">
        <v>27</v>
      </c>
      <c r="H941" t="s">
        <v>28</v>
      </c>
      <c r="I941" s="3">
        <v>941</v>
      </c>
      <c r="J941" s="3">
        <v>941</v>
      </c>
      <c r="K941" s="3">
        <v>460</v>
      </c>
      <c r="L941" t="s">
        <v>120</v>
      </c>
      <c r="M941">
        <v>11</v>
      </c>
      <c r="N941" t="s">
        <v>10</v>
      </c>
      <c r="O941" t="s">
        <v>11</v>
      </c>
      <c r="P941" t="s">
        <v>12</v>
      </c>
      <c r="Q941" t="s">
        <v>13</v>
      </c>
      <c r="R941" t="s">
        <v>13</v>
      </c>
      <c r="S941" t="s">
        <v>144</v>
      </c>
      <c r="T941" s="2">
        <f>MASTER[[#This Row],[CANTIDAD]]*MASTER[[#This Row],[PRECIO DE VENTA]]</f>
        <v>941</v>
      </c>
      <c r="U941" s="2">
        <f>MASTER[[#This Row],[CANTIDAD]]*MASTER[[#This Row],[COSTO UNITARIO]]</f>
        <v>460</v>
      </c>
      <c r="V941" s="2">
        <f>MASTER[[#This Row],[MONTO VENDIDO]]-MASTER[[#This Row],[COSTO DE VENTA]]</f>
        <v>481</v>
      </c>
    </row>
    <row r="942" spans="1:22" x14ac:dyDescent="0.3">
      <c r="A942">
        <v>21921</v>
      </c>
      <c r="B942">
        <v>1</v>
      </c>
      <c r="C942" t="s">
        <v>116</v>
      </c>
      <c r="D942" t="s">
        <v>117</v>
      </c>
      <c r="E942" s="1">
        <v>43942</v>
      </c>
      <c r="F942">
        <v>1</v>
      </c>
      <c r="G942" t="s">
        <v>47</v>
      </c>
      <c r="H942" t="s">
        <v>48</v>
      </c>
      <c r="I942" s="3">
        <v>1999</v>
      </c>
      <c r="J942" s="3">
        <v>1999</v>
      </c>
      <c r="K942" s="3">
        <v>388</v>
      </c>
      <c r="L942" t="s">
        <v>113</v>
      </c>
      <c r="M942">
        <v>9</v>
      </c>
      <c r="N942" t="s">
        <v>76</v>
      </c>
      <c r="O942" t="s">
        <v>70</v>
      </c>
      <c r="P942" t="s">
        <v>12</v>
      </c>
      <c r="Q942" t="s">
        <v>13</v>
      </c>
      <c r="R942" t="s">
        <v>13</v>
      </c>
      <c r="S942" t="s">
        <v>144</v>
      </c>
      <c r="T942" s="2">
        <f>MASTER[[#This Row],[CANTIDAD]]*MASTER[[#This Row],[PRECIO DE VENTA]]</f>
        <v>1999</v>
      </c>
      <c r="U942" s="2">
        <f>MASTER[[#This Row],[CANTIDAD]]*MASTER[[#This Row],[COSTO UNITARIO]]</f>
        <v>388</v>
      </c>
      <c r="V942" s="2">
        <f>MASTER[[#This Row],[MONTO VENDIDO]]-MASTER[[#This Row],[COSTO DE VENTA]]</f>
        <v>1611</v>
      </c>
    </row>
    <row r="943" spans="1:22" x14ac:dyDescent="0.3">
      <c r="A943">
        <v>21947</v>
      </c>
      <c r="B943">
        <v>1</v>
      </c>
      <c r="C943" t="s">
        <v>94</v>
      </c>
      <c r="D943" t="s">
        <v>95</v>
      </c>
      <c r="E943" s="1">
        <v>43942</v>
      </c>
      <c r="F943">
        <v>1</v>
      </c>
      <c r="G943" t="s">
        <v>47</v>
      </c>
      <c r="H943" t="s">
        <v>48</v>
      </c>
      <c r="I943" s="3">
        <v>1153</v>
      </c>
      <c r="J943" s="3">
        <v>1153</v>
      </c>
      <c r="K943" s="3">
        <v>392</v>
      </c>
      <c r="L943" t="s">
        <v>9</v>
      </c>
      <c r="M943">
        <v>6</v>
      </c>
      <c r="N943" t="s">
        <v>75</v>
      </c>
      <c r="O943" t="s">
        <v>70</v>
      </c>
      <c r="P943" t="s">
        <v>12</v>
      </c>
      <c r="Q943" t="s">
        <v>13</v>
      </c>
      <c r="R943" t="s">
        <v>13</v>
      </c>
      <c r="S943" t="s">
        <v>144</v>
      </c>
      <c r="T943" s="2">
        <f>MASTER[[#This Row],[CANTIDAD]]*MASTER[[#This Row],[PRECIO DE VENTA]]</f>
        <v>1153</v>
      </c>
      <c r="U943" s="2">
        <f>MASTER[[#This Row],[CANTIDAD]]*MASTER[[#This Row],[COSTO UNITARIO]]</f>
        <v>392</v>
      </c>
      <c r="V943" s="2">
        <f>MASTER[[#This Row],[MONTO VENDIDO]]-MASTER[[#This Row],[COSTO DE VENTA]]</f>
        <v>761</v>
      </c>
    </row>
    <row r="944" spans="1:22" x14ac:dyDescent="0.3">
      <c r="A944">
        <v>21957</v>
      </c>
      <c r="B944">
        <v>1</v>
      </c>
      <c r="C944" t="s">
        <v>121</v>
      </c>
      <c r="D944" t="s">
        <v>122</v>
      </c>
      <c r="E944" s="1">
        <v>43942</v>
      </c>
      <c r="F944">
        <v>1</v>
      </c>
      <c r="G944" t="s">
        <v>41</v>
      </c>
      <c r="H944" t="s">
        <v>42</v>
      </c>
      <c r="I944" s="3">
        <v>1069</v>
      </c>
      <c r="J944" s="3">
        <v>1069</v>
      </c>
      <c r="K944" s="3">
        <v>460</v>
      </c>
      <c r="L944" t="s">
        <v>120</v>
      </c>
      <c r="M944">
        <v>7</v>
      </c>
      <c r="N944" t="s">
        <v>84</v>
      </c>
      <c r="O944" t="s">
        <v>81</v>
      </c>
      <c r="P944" t="s">
        <v>12</v>
      </c>
      <c r="Q944" t="s">
        <v>13</v>
      </c>
      <c r="R944" t="s">
        <v>13</v>
      </c>
      <c r="S944" t="s">
        <v>144</v>
      </c>
      <c r="T944" s="2">
        <f>MASTER[[#This Row],[CANTIDAD]]*MASTER[[#This Row],[PRECIO DE VENTA]]</f>
        <v>1069</v>
      </c>
      <c r="U944" s="2">
        <f>MASTER[[#This Row],[CANTIDAD]]*MASTER[[#This Row],[COSTO UNITARIO]]</f>
        <v>460</v>
      </c>
      <c r="V944" s="2">
        <f>MASTER[[#This Row],[MONTO VENDIDO]]-MASTER[[#This Row],[COSTO DE VENTA]]</f>
        <v>609</v>
      </c>
    </row>
    <row r="945" spans="1:22" x14ac:dyDescent="0.3">
      <c r="A945">
        <v>21959</v>
      </c>
      <c r="B945">
        <v>1</v>
      </c>
      <c r="C945" t="s">
        <v>105</v>
      </c>
      <c r="D945" t="s">
        <v>106</v>
      </c>
      <c r="E945" s="1">
        <v>43942</v>
      </c>
      <c r="F945">
        <v>1</v>
      </c>
      <c r="G945" t="s">
        <v>24</v>
      </c>
      <c r="H945" t="s">
        <v>25</v>
      </c>
      <c r="I945" s="3">
        <v>1585</v>
      </c>
      <c r="J945" s="3">
        <v>1585</v>
      </c>
      <c r="K945" s="3">
        <v>459</v>
      </c>
      <c r="L945" t="s">
        <v>98</v>
      </c>
      <c r="M945">
        <v>17</v>
      </c>
      <c r="N945" t="s">
        <v>14</v>
      </c>
      <c r="O945" t="s">
        <v>11</v>
      </c>
      <c r="P945" t="s">
        <v>15</v>
      </c>
      <c r="Q945" t="s">
        <v>16</v>
      </c>
      <c r="R945" t="s">
        <v>16</v>
      </c>
      <c r="S945" t="s">
        <v>144</v>
      </c>
      <c r="T945" s="2">
        <f>MASTER[[#This Row],[CANTIDAD]]*MASTER[[#This Row],[PRECIO DE VENTA]]</f>
        <v>1585</v>
      </c>
      <c r="U945" s="2">
        <f>MASTER[[#This Row],[CANTIDAD]]*MASTER[[#This Row],[COSTO UNITARIO]]</f>
        <v>459</v>
      </c>
      <c r="V945" s="2">
        <f>MASTER[[#This Row],[MONTO VENDIDO]]-MASTER[[#This Row],[COSTO DE VENTA]]</f>
        <v>1126</v>
      </c>
    </row>
    <row r="946" spans="1:22" x14ac:dyDescent="0.3">
      <c r="A946">
        <v>21970</v>
      </c>
      <c r="B946">
        <v>1</v>
      </c>
      <c r="C946" t="s">
        <v>5</v>
      </c>
      <c r="D946" t="s">
        <v>6</v>
      </c>
      <c r="E946" s="1">
        <v>43943</v>
      </c>
      <c r="F946">
        <v>1</v>
      </c>
      <c r="G946" t="s">
        <v>41</v>
      </c>
      <c r="H946" t="s">
        <v>42</v>
      </c>
      <c r="I946" s="3">
        <v>1507</v>
      </c>
      <c r="J946" s="3">
        <v>1507</v>
      </c>
      <c r="K946" s="3">
        <v>393</v>
      </c>
      <c r="L946" t="s">
        <v>9</v>
      </c>
      <c r="M946">
        <v>14</v>
      </c>
      <c r="N946" t="s">
        <v>87</v>
      </c>
      <c r="O946" t="s">
        <v>81</v>
      </c>
      <c r="P946" t="s">
        <v>18</v>
      </c>
      <c r="Q946" t="s">
        <v>19</v>
      </c>
      <c r="R946" t="s">
        <v>138</v>
      </c>
      <c r="S946" t="s">
        <v>144</v>
      </c>
      <c r="T946" s="2">
        <f>MASTER[[#This Row],[CANTIDAD]]*MASTER[[#This Row],[PRECIO DE VENTA]]</f>
        <v>1507</v>
      </c>
      <c r="U946" s="2">
        <f>MASTER[[#This Row],[CANTIDAD]]*MASTER[[#This Row],[COSTO UNITARIO]]</f>
        <v>393</v>
      </c>
      <c r="V946" s="2">
        <f>MASTER[[#This Row],[MONTO VENDIDO]]-MASTER[[#This Row],[COSTO DE VENTA]]</f>
        <v>1114</v>
      </c>
    </row>
    <row r="947" spans="1:22" x14ac:dyDescent="0.3">
      <c r="A947">
        <v>21981</v>
      </c>
      <c r="B947">
        <v>1</v>
      </c>
      <c r="C947" t="s">
        <v>99</v>
      </c>
      <c r="D947" t="s">
        <v>100</v>
      </c>
      <c r="E947" s="1">
        <v>43943</v>
      </c>
      <c r="F947">
        <v>1</v>
      </c>
      <c r="G947" t="s">
        <v>61</v>
      </c>
      <c r="H947" t="s">
        <v>62</v>
      </c>
      <c r="I947" s="3">
        <v>1328</v>
      </c>
      <c r="J947" s="3">
        <v>1328</v>
      </c>
      <c r="K947" s="3">
        <v>386</v>
      </c>
      <c r="L947" t="s">
        <v>98</v>
      </c>
      <c r="M947">
        <v>12</v>
      </c>
      <c r="N947" t="s">
        <v>26</v>
      </c>
      <c r="O947" t="s">
        <v>11</v>
      </c>
      <c r="P947" t="s">
        <v>12</v>
      </c>
      <c r="Q947" t="s">
        <v>13</v>
      </c>
      <c r="R947" t="s">
        <v>13</v>
      </c>
      <c r="S947" t="s">
        <v>144</v>
      </c>
      <c r="T947" s="2">
        <f>MASTER[[#This Row],[CANTIDAD]]*MASTER[[#This Row],[PRECIO DE VENTA]]</f>
        <v>1328</v>
      </c>
      <c r="U947" s="2">
        <f>MASTER[[#This Row],[CANTIDAD]]*MASTER[[#This Row],[COSTO UNITARIO]]</f>
        <v>386</v>
      </c>
      <c r="V947" s="2">
        <f>MASTER[[#This Row],[MONTO VENDIDO]]-MASTER[[#This Row],[COSTO DE VENTA]]</f>
        <v>942</v>
      </c>
    </row>
    <row r="948" spans="1:22" x14ac:dyDescent="0.3">
      <c r="A948">
        <v>22013</v>
      </c>
      <c r="B948">
        <v>1</v>
      </c>
      <c r="C948" t="s">
        <v>114</v>
      </c>
      <c r="D948" t="s">
        <v>115</v>
      </c>
      <c r="E948" s="1">
        <v>43943</v>
      </c>
      <c r="F948">
        <v>1</v>
      </c>
      <c r="G948" t="s">
        <v>7</v>
      </c>
      <c r="H948" t="s">
        <v>8</v>
      </c>
      <c r="I948" s="3">
        <v>1862</v>
      </c>
      <c r="J948" s="3">
        <v>1731</v>
      </c>
      <c r="K948" s="3">
        <v>394</v>
      </c>
      <c r="L948" t="s">
        <v>113</v>
      </c>
      <c r="M948">
        <v>14</v>
      </c>
      <c r="N948" t="s">
        <v>87</v>
      </c>
      <c r="O948" t="s">
        <v>81</v>
      </c>
      <c r="P948" t="s">
        <v>18</v>
      </c>
      <c r="Q948" t="s">
        <v>19</v>
      </c>
      <c r="R948" t="s">
        <v>138</v>
      </c>
      <c r="S948" t="s">
        <v>144</v>
      </c>
      <c r="T948" s="2">
        <f>MASTER[[#This Row],[CANTIDAD]]*MASTER[[#This Row],[PRECIO DE VENTA]]</f>
        <v>1731</v>
      </c>
      <c r="U948" s="2">
        <f>MASTER[[#This Row],[CANTIDAD]]*MASTER[[#This Row],[COSTO UNITARIO]]</f>
        <v>394</v>
      </c>
      <c r="V948" s="2">
        <f>MASTER[[#This Row],[MONTO VENDIDO]]-MASTER[[#This Row],[COSTO DE VENTA]]</f>
        <v>1337</v>
      </c>
    </row>
    <row r="949" spans="1:22" x14ac:dyDescent="0.3">
      <c r="A949">
        <v>22021</v>
      </c>
      <c r="B949">
        <v>1</v>
      </c>
      <c r="C949" t="s">
        <v>109</v>
      </c>
      <c r="D949" t="s">
        <v>110</v>
      </c>
      <c r="E949" s="1">
        <v>43943</v>
      </c>
      <c r="F949">
        <v>1</v>
      </c>
      <c r="G949" t="s">
        <v>7</v>
      </c>
      <c r="H949" t="s">
        <v>8</v>
      </c>
      <c r="I949" s="3">
        <v>1064</v>
      </c>
      <c r="J949" s="3">
        <v>1064</v>
      </c>
      <c r="K949" s="3">
        <v>387</v>
      </c>
      <c r="L949" t="s">
        <v>98</v>
      </c>
      <c r="M949">
        <v>14</v>
      </c>
      <c r="N949" t="s">
        <v>87</v>
      </c>
      <c r="O949" t="s">
        <v>81</v>
      </c>
      <c r="P949" t="s">
        <v>18</v>
      </c>
      <c r="Q949" t="s">
        <v>19</v>
      </c>
      <c r="R949" t="s">
        <v>138</v>
      </c>
      <c r="S949" t="s">
        <v>144</v>
      </c>
      <c r="T949" s="2">
        <f>MASTER[[#This Row],[CANTIDAD]]*MASTER[[#This Row],[PRECIO DE VENTA]]</f>
        <v>1064</v>
      </c>
      <c r="U949" s="2">
        <f>MASTER[[#This Row],[CANTIDAD]]*MASTER[[#This Row],[COSTO UNITARIO]]</f>
        <v>387</v>
      </c>
      <c r="V949" s="2">
        <f>MASTER[[#This Row],[MONTO VENDIDO]]-MASTER[[#This Row],[COSTO DE VENTA]]</f>
        <v>677</v>
      </c>
    </row>
    <row r="950" spans="1:22" x14ac:dyDescent="0.3">
      <c r="A950">
        <v>22039</v>
      </c>
      <c r="B950">
        <v>1</v>
      </c>
      <c r="C950" t="s">
        <v>103</v>
      </c>
      <c r="D950" t="s">
        <v>104</v>
      </c>
      <c r="E950" s="1">
        <v>43943</v>
      </c>
      <c r="F950">
        <v>1</v>
      </c>
      <c r="G950" t="s">
        <v>73</v>
      </c>
      <c r="H950" t="s">
        <v>74</v>
      </c>
      <c r="I950" s="3">
        <v>1591</v>
      </c>
      <c r="J950" s="3">
        <v>1591</v>
      </c>
      <c r="K950" s="3">
        <v>421</v>
      </c>
      <c r="L950" t="s">
        <v>98</v>
      </c>
      <c r="M950">
        <v>19</v>
      </c>
      <c r="N950" t="s">
        <v>89</v>
      </c>
      <c r="O950" t="s">
        <v>81</v>
      </c>
      <c r="P950" t="s">
        <v>15</v>
      </c>
      <c r="Q950" t="s">
        <v>16</v>
      </c>
      <c r="R950" t="s">
        <v>16</v>
      </c>
      <c r="S950" t="s">
        <v>144</v>
      </c>
      <c r="T950" s="2">
        <f>MASTER[[#This Row],[CANTIDAD]]*MASTER[[#This Row],[PRECIO DE VENTA]]</f>
        <v>1591</v>
      </c>
      <c r="U950" s="2">
        <f>MASTER[[#This Row],[CANTIDAD]]*MASTER[[#This Row],[COSTO UNITARIO]]</f>
        <v>421</v>
      </c>
      <c r="V950" s="2">
        <f>MASTER[[#This Row],[MONTO VENDIDO]]-MASTER[[#This Row],[COSTO DE VENTA]]</f>
        <v>1170</v>
      </c>
    </row>
    <row r="951" spans="1:22" x14ac:dyDescent="0.3">
      <c r="A951">
        <v>22043</v>
      </c>
      <c r="B951">
        <v>1</v>
      </c>
      <c r="C951" t="s">
        <v>92</v>
      </c>
      <c r="D951" t="s">
        <v>93</v>
      </c>
      <c r="E951" s="1">
        <v>43943</v>
      </c>
      <c r="F951">
        <v>1</v>
      </c>
      <c r="G951" t="s">
        <v>43</v>
      </c>
      <c r="H951" t="s">
        <v>44</v>
      </c>
      <c r="I951" s="3">
        <v>1681</v>
      </c>
      <c r="J951" s="3">
        <v>1681</v>
      </c>
      <c r="K951" s="3">
        <v>396</v>
      </c>
      <c r="L951" t="s">
        <v>9</v>
      </c>
      <c r="M951">
        <v>10</v>
      </c>
      <c r="N951" t="s">
        <v>83</v>
      </c>
      <c r="O951" t="s">
        <v>81</v>
      </c>
      <c r="P951" t="s">
        <v>12</v>
      </c>
      <c r="Q951" t="s">
        <v>13</v>
      </c>
      <c r="R951" t="s">
        <v>13</v>
      </c>
      <c r="S951" t="s">
        <v>144</v>
      </c>
      <c r="T951" s="2">
        <f>MASTER[[#This Row],[CANTIDAD]]*MASTER[[#This Row],[PRECIO DE VENTA]]</f>
        <v>1681</v>
      </c>
      <c r="U951" s="2">
        <f>MASTER[[#This Row],[CANTIDAD]]*MASTER[[#This Row],[COSTO UNITARIO]]</f>
        <v>396</v>
      </c>
      <c r="V951" s="2">
        <f>MASTER[[#This Row],[MONTO VENDIDO]]-MASTER[[#This Row],[COSTO DE VENTA]]</f>
        <v>1285</v>
      </c>
    </row>
    <row r="952" spans="1:22" x14ac:dyDescent="0.3">
      <c r="A952">
        <v>22044</v>
      </c>
      <c r="B952">
        <v>1</v>
      </c>
      <c r="C952" t="s">
        <v>107</v>
      </c>
      <c r="D952" t="s">
        <v>108</v>
      </c>
      <c r="E952" s="1">
        <v>43943</v>
      </c>
      <c r="F952">
        <v>1</v>
      </c>
      <c r="G952" t="s">
        <v>47</v>
      </c>
      <c r="H952" t="s">
        <v>48</v>
      </c>
      <c r="I952" s="3">
        <v>1333</v>
      </c>
      <c r="J952" s="3">
        <v>1266</v>
      </c>
      <c r="K952" s="3">
        <v>380</v>
      </c>
      <c r="L952" t="s">
        <v>98</v>
      </c>
      <c r="M952">
        <v>2</v>
      </c>
      <c r="N952" t="s">
        <v>86</v>
      </c>
      <c r="O952" t="s">
        <v>81</v>
      </c>
      <c r="P952" t="s">
        <v>71</v>
      </c>
      <c r="Q952" t="s">
        <v>72</v>
      </c>
      <c r="R952" t="s">
        <v>139</v>
      </c>
      <c r="S952" t="s">
        <v>144</v>
      </c>
      <c r="T952" s="2">
        <f>MASTER[[#This Row],[CANTIDAD]]*MASTER[[#This Row],[PRECIO DE VENTA]]</f>
        <v>1266</v>
      </c>
      <c r="U952" s="2">
        <f>MASTER[[#This Row],[CANTIDAD]]*MASTER[[#This Row],[COSTO UNITARIO]]</f>
        <v>380</v>
      </c>
      <c r="V952" s="2">
        <f>MASTER[[#This Row],[MONTO VENDIDO]]-MASTER[[#This Row],[COSTO DE VENTA]]</f>
        <v>886</v>
      </c>
    </row>
    <row r="953" spans="1:22" x14ac:dyDescent="0.3">
      <c r="A953">
        <v>22052</v>
      </c>
      <c r="B953">
        <v>1</v>
      </c>
      <c r="C953" t="s">
        <v>96</v>
      </c>
      <c r="D953" t="s">
        <v>97</v>
      </c>
      <c r="E953" s="1">
        <v>43943</v>
      </c>
      <c r="F953">
        <v>1</v>
      </c>
      <c r="G953" t="s">
        <v>35</v>
      </c>
      <c r="H953" t="s">
        <v>36</v>
      </c>
      <c r="I953" s="3">
        <v>1361</v>
      </c>
      <c r="J953" s="3">
        <v>1361</v>
      </c>
      <c r="K953" s="3">
        <v>397</v>
      </c>
      <c r="L953" t="s">
        <v>98</v>
      </c>
      <c r="M953">
        <v>13</v>
      </c>
      <c r="N953" t="s">
        <v>78</v>
      </c>
      <c r="O953" t="s">
        <v>70</v>
      </c>
      <c r="P953" t="s">
        <v>18</v>
      </c>
      <c r="Q953" t="s">
        <v>19</v>
      </c>
      <c r="R953" t="s">
        <v>138</v>
      </c>
      <c r="S953" t="s">
        <v>144</v>
      </c>
      <c r="T953" s="2">
        <f>MASTER[[#This Row],[CANTIDAD]]*MASTER[[#This Row],[PRECIO DE VENTA]]</f>
        <v>1361</v>
      </c>
      <c r="U953" s="2">
        <f>MASTER[[#This Row],[CANTIDAD]]*MASTER[[#This Row],[COSTO UNITARIO]]</f>
        <v>397</v>
      </c>
      <c r="V953" s="2">
        <f>MASTER[[#This Row],[MONTO VENDIDO]]-MASTER[[#This Row],[COSTO DE VENTA]]</f>
        <v>964</v>
      </c>
    </row>
    <row r="954" spans="1:22" x14ac:dyDescent="0.3">
      <c r="A954">
        <v>22053</v>
      </c>
      <c r="B954">
        <v>1</v>
      </c>
      <c r="C954" t="s">
        <v>118</v>
      </c>
      <c r="D954" t="s">
        <v>119</v>
      </c>
      <c r="E954" s="1">
        <v>43943</v>
      </c>
      <c r="F954">
        <v>1</v>
      </c>
      <c r="G954" t="s">
        <v>67</v>
      </c>
      <c r="H954" t="s">
        <v>68</v>
      </c>
      <c r="I954" s="3">
        <v>900</v>
      </c>
      <c r="J954" s="3">
        <v>900</v>
      </c>
      <c r="K954" s="3">
        <v>424</v>
      </c>
      <c r="L954" t="s">
        <v>120</v>
      </c>
      <c r="M954">
        <v>15</v>
      </c>
      <c r="N954" t="s">
        <v>88</v>
      </c>
      <c r="O954" t="s">
        <v>81</v>
      </c>
      <c r="P954" t="s">
        <v>18</v>
      </c>
      <c r="Q954" t="s">
        <v>19</v>
      </c>
      <c r="R954" t="s">
        <v>138</v>
      </c>
      <c r="S954" t="s">
        <v>144</v>
      </c>
      <c r="T954" s="2">
        <f>MASTER[[#This Row],[CANTIDAD]]*MASTER[[#This Row],[PRECIO DE VENTA]]</f>
        <v>900</v>
      </c>
      <c r="U954" s="2">
        <f>MASTER[[#This Row],[CANTIDAD]]*MASTER[[#This Row],[COSTO UNITARIO]]</f>
        <v>424</v>
      </c>
      <c r="V954" s="2">
        <f>MASTER[[#This Row],[MONTO VENDIDO]]-MASTER[[#This Row],[COSTO DE VENTA]]</f>
        <v>476</v>
      </c>
    </row>
    <row r="955" spans="1:22" x14ac:dyDescent="0.3">
      <c r="A955">
        <v>22069</v>
      </c>
      <c r="B955">
        <v>1</v>
      </c>
      <c r="C955" t="s">
        <v>99</v>
      </c>
      <c r="D955" t="s">
        <v>100</v>
      </c>
      <c r="E955" s="1">
        <v>43943</v>
      </c>
      <c r="F955">
        <v>1</v>
      </c>
      <c r="G955" t="s">
        <v>27</v>
      </c>
      <c r="H955" t="s">
        <v>28</v>
      </c>
      <c r="I955" s="3">
        <v>1678</v>
      </c>
      <c r="J955" s="3">
        <v>1678</v>
      </c>
      <c r="K955" s="3">
        <v>386</v>
      </c>
      <c r="L955" t="s">
        <v>98</v>
      </c>
      <c r="M955">
        <v>3</v>
      </c>
      <c r="N955" t="s">
        <v>69</v>
      </c>
      <c r="O955" t="s">
        <v>70</v>
      </c>
      <c r="P955" t="s">
        <v>71</v>
      </c>
      <c r="Q955" t="s">
        <v>72</v>
      </c>
      <c r="R955" t="s">
        <v>139</v>
      </c>
      <c r="S955" t="s">
        <v>144</v>
      </c>
      <c r="T955" s="2">
        <f>MASTER[[#This Row],[CANTIDAD]]*MASTER[[#This Row],[PRECIO DE VENTA]]</f>
        <v>1678</v>
      </c>
      <c r="U955" s="2">
        <f>MASTER[[#This Row],[CANTIDAD]]*MASTER[[#This Row],[COSTO UNITARIO]]</f>
        <v>386</v>
      </c>
      <c r="V955" s="2">
        <f>MASTER[[#This Row],[MONTO VENDIDO]]-MASTER[[#This Row],[COSTO DE VENTA]]</f>
        <v>1292</v>
      </c>
    </row>
    <row r="956" spans="1:22" x14ac:dyDescent="0.3">
      <c r="A956">
        <v>22098</v>
      </c>
      <c r="B956">
        <v>1</v>
      </c>
      <c r="C956" t="s">
        <v>96</v>
      </c>
      <c r="D956" t="s">
        <v>97</v>
      </c>
      <c r="E956" s="1">
        <v>43944</v>
      </c>
      <c r="F956">
        <v>1</v>
      </c>
      <c r="G956" t="s">
        <v>59</v>
      </c>
      <c r="H956" t="s">
        <v>60</v>
      </c>
      <c r="I956" s="3">
        <v>1196</v>
      </c>
      <c r="J956" s="3">
        <v>1196</v>
      </c>
      <c r="K956" s="3">
        <v>397</v>
      </c>
      <c r="L956" t="s">
        <v>98</v>
      </c>
      <c r="M956">
        <v>16</v>
      </c>
      <c r="N956" t="s">
        <v>17</v>
      </c>
      <c r="O956" t="s">
        <v>11</v>
      </c>
      <c r="P956" t="s">
        <v>18</v>
      </c>
      <c r="Q956" t="s">
        <v>19</v>
      </c>
      <c r="R956" t="s">
        <v>138</v>
      </c>
      <c r="S956" t="s">
        <v>144</v>
      </c>
      <c r="T956" s="2">
        <f>MASTER[[#This Row],[CANTIDAD]]*MASTER[[#This Row],[PRECIO DE VENTA]]</f>
        <v>1196</v>
      </c>
      <c r="U956" s="2">
        <f>MASTER[[#This Row],[CANTIDAD]]*MASTER[[#This Row],[COSTO UNITARIO]]</f>
        <v>397</v>
      </c>
      <c r="V956" s="2">
        <f>MASTER[[#This Row],[MONTO VENDIDO]]-MASTER[[#This Row],[COSTO DE VENTA]]</f>
        <v>799</v>
      </c>
    </row>
    <row r="957" spans="1:22" x14ac:dyDescent="0.3">
      <c r="A957">
        <v>22101</v>
      </c>
      <c r="B957">
        <v>1</v>
      </c>
      <c r="C957" t="s">
        <v>103</v>
      </c>
      <c r="D957" t="s">
        <v>104</v>
      </c>
      <c r="E957" s="1">
        <v>43944</v>
      </c>
      <c r="F957">
        <v>1</v>
      </c>
      <c r="G957" t="s">
        <v>47</v>
      </c>
      <c r="H957" t="s">
        <v>48</v>
      </c>
      <c r="I957" s="3">
        <v>1591</v>
      </c>
      <c r="J957" s="3">
        <v>1591</v>
      </c>
      <c r="K957" s="3">
        <v>421</v>
      </c>
      <c r="L957" t="s">
        <v>98</v>
      </c>
      <c r="M957">
        <v>15</v>
      </c>
      <c r="N957" t="s">
        <v>88</v>
      </c>
      <c r="O957" t="s">
        <v>81</v>
      </c>
      <c r="P957" t="s">
        <v>18</v>
      </c>
      <c r="Q957" t="s">
        <v>19</v>
      </c>
      <c r="R957" t="s">
        <v>138</v>
      </c>
      <c r="S957" t="s">
        <v>144</v>
      </c>
      <c r="T957" s="2">
        <f>MASTER[[#This Row],[CANTIDAD]]*MASTER[[#This Row],[PRECIO DE VENTA]]</f>
        <v>1591</v>
      </c>
      <c r="U957" s="2">
        <f>MASTER[[#This Row],[CANTIDAD]]*MASTER[[#This Row],[COSTO UNITARIO]]</f>
        <v>421</v>
      </c>
      <c r="V957" s="2">
        <f>MASTER[[#This Row],[MONTO VENDIDO]]-MASTER[[#This Row],[COSTO DE VENTA]]</f>
        <v>1170</v>
      </c>
    </row>
    <row r="958" spans="1:22" x14ac:dyDescent="0.3">
      <c r="A958">
        <v>22139</v>
      </c>
      <c r="B958">
        <v>1</v>
      </c>
      <c r="C958" t="s">
        <v>103</v>
      </c>
      <c r="D958" t="s">
        <v>104</v>
      </c>
      <c r="E958" s="1">
        <v>43944</v>
      </c>
      <c r="F958">
        <v>1</v>
      </c>
      <c r="G958" t="s">
        <v>57</v>
      </c>
      <c r="H958" t="s">
        <v>58</v>
      </c>
      <c r="I958" s="3">
        <v>1448</v>
      </c>
      <c r="J958" s="3">
        <v>1448</v>
      </c>
      <c r="K958" s="3">
        <v>421</v>
      </c>
      <c r="L958" t="s">
        <v>98</v>
      </c>
      <c r="M958">
        <v>11</v>
      </c>
      <c r="N958" t="s">
        <v>10</v>
      </c>
      <c r="O958" t="s">
        <v>11</v>
      </c>
      <c r="P958" t="s">
        <v>12</v>
      </c>
      <c r="Q958" t="s">
        <v>13</v>
      </c>
      <c r="R958" t="s">
        <v>13</v>
      </c>
      <c r="S958" t="s">
        <v>144</v>
      </c>
      <c r="T958" s="2">
        <f>MASTER[[#This Row],[CANTIDAD]]*MASTER[[#This Row],[PRECIO DE VENTA]]</f>
        <v>1448</v>
      </c>
      <c r="U958" s="2">
        <f>MASTER[[#This Row],[CANTIDAD]]*MASTER[[#This Row],[COSTO UNITARIO]]</f>
        <v>421</v>
      </c>
      <c r="V958" s="2">
        <f>MASTER[[#This Row],[MONTO VENDIDO]]-MASTER[[#This Row],[COSTO DE VENTA]]</f>
        <v>1027</v>
      </c>
    </row>
    <row r="959" spans="1:22" x14ac:dyDescent="0.3">
      <c r="A959">
        <v>22147</v>
      </c>
      <c r="B959">
        <v>1</v>
      </c>
      <c r="C959" t="s">
        <v>96</v>
      </c>
      <c r="D959" t="s">
        <v>97</v>
      </c>
      <c r="E959" s="1">
        <v>43944</v>
      </c>
      <c r="F959">
        <v>1</v>
      </c>
      <c r="G959" t="s">
        <v>35</v>
      </c>
      <c r="H959" t="s">
        <v>36</v>
      </c>
      <c r="I959" s="3">
        <v>1272</v>
      </c>
      <c r="J959" s="3">
        <v>1272</v>
      </c>
      <c r="K959" s="3">
        <v>397</v>
      </c>
      <c r="L959" t="s">
        <v>98</v>
      </c>
      <c r="M959">
        <v>2</v>
      </c>
      <c r="N959" t="s">
        <v>86</v>
      </c>
      <c r="O959" t="s">
        <v>81</v>
      </c>
      <c r="P959" t="s">
        <v>71</v>
      </c>
      <c r="Q959" t="s">
        <v>72</v>
      </c>
      <c r="R959" t="s">
        <v>139</v>
      </c>
      <c r="S959" t="s">
        <v>144</v>
      </c>
      <c r="T959" s="2">
        <f>MASTER[[#This Row],[CANTIDAD]]*MASTER[[#This Row],[PRECIO DE VENTA]]</f>
        <v>1272</v>
      </c>
      <c r="U959" s="2">
        <f>MASTER[[#This Row],[CANTIDAD]]*MASTER[[#This Row],[COSTO UNITARIO]]</f>
        <v>397</v>
      </c>
      <c r="V959" s="2">
        <f>MASTER[[#This Row],[MONTO VENDIDO]]-MASTER[[#This Row],[COSTO DE VENTA]]</f>
        <v>875</v>
      </c>
    </row>
    <row r="960" spans="1:22" x14ac:dyDescent="0.3">
      <c r="A960">
        <v>22156</v>
      </c>
      <c r="B960">
        <v>1</v>
      </c>
      <c r="C960" t="s">
        <v>101</v>
      </c>
      <c r="D960" t="s">
        <v>102</v>
      </c>
      <c r="E960" s="1">
        <v>43944</v>
      </c>
      <c r="F960">
        <v>3</v>
      </c>
      <c r="G960" t="s">
        <v>59</v>
      </c>
      <c r="H960" t="s">
        <v>60</v>
      </c>
      <c r="I960" s="3">
        <v>1212</v>
      </c>
      <c r="J960" s="3">
        <v>1212</v>
      </c>
      <c r="K960" s="3">
        <v>442</v>
      </c>
      <c r="L960" t="s">
        <v>98</v>
      </c>
      <c r="M960">
        <v>8</v>
      </c>
      <c r="N960" t="s">
        <v>80</v>
      </c>
      <c r="O960" t="s">
        <v>81</v>
      </c>
      <c r="P960" t="s">
        <v>12</v>
      </c>
      <c r="Q960" t="s">
        <v>13</v>
      </c>
      <c r="R960" t="s">
        <v>13</v>
      </c>
      <c r="S960" t="s">
        <v>144</v>
      </c>
      <c r="T960" s="2">
        <f>MASTER[[#This Row],[CANTIDAD]]*MASTER[[#This Row],[PRECIO DE VENTA]]</f>
        <v>3636</v>
      </c>
      <c r="U960" s="2">
        <f>MASTER[[#This Row],[CANTIDAD]]*MASTER[[#This Row],[COSTO UNITARIO]]</f>
        <v>1326</v>
      </c>
      <c r="V960" s="2">
        <f>MASTER[[#This Row],[MONTO VENDIDO]]-MASTER[[#This Row],[COSTO DE VENTA]]</f>
        <v>2310</v>
      </c>
    </row>
    <row r="961" spans="1:22" x14ac:dyDescent="0.3">
      <c r="A961">
        <v>22157</v>
      </c>
      <c r="B961">
        <v>1</v>
      </c>
      <c r="C961" t="s">
        <v>92</v>
      </c>
      <c r="D961" t="s">
        <v>93</v>
      </c>
      <c r="E961" s="1">
        <v>43944</v>
      </c>
      <c r="F961">
        <v>1</v>
      </c>
      <c r="G961" t="s">
        <v>41</v>
      </c>
      <c r="H961" t="s">
        <v>42</v>
      </c>
      <c r="I961" s="3">
        <v>1681</v>
      </c>
      <c r="J961" s="3">
        <v>1681</v>
      </c>
      <c r="K961" s="3">
        <v>396</v>
      </c>
      <c r="L961" t="s">
        <v>9</v>
      </c>
      <c r="M961">
        <v>14</v>
      </c>
      <c r="N961" t="s">
        <v>87</v>
      </c>
      <c r="O961" t="s">
        <v>81</v>
      </c>
      <c r="P961" t="s">
        <v>18</v>
      </c>
      <c r="Q961" t="s">
        <v>19</v>
      </c>
      <c r="R961" t="s">
        <v>138</v>
      </c>
      <c r="S961" t="s">
        <v>144</v>
      </c>
      <c r="T961" s="2">
        <f>MASTER[[#This Row],[CANTIDAD]]*MASTER[[#This Row],[PRECIO DE VENTA]]</f>
        <v>1681</v>
      </c>
      <c r="U961" s="2">
        <f>MASTER[[#This Row],[CANTIDAD]]*MASTER[[#This Row],[COSTO UNITARIO]]</f>
        <v>396</v>
      </c>
      <c r="V961" s="2">
        <f>MASTER[[#This Row],[MONTO VENDIDO]]-MASTER[[#This Row],[COSTO DE VENTA]]</f>
        <v>1285</v>
      </c>
    </row>
    <row r="962" spans="1:22" x14ac:dyDescent="0.3">
      <c r="A962">
        <v>22162</v>
      </c>
      <c r="B962">
        <v>1</v>
      </c>
      <c r="C962" t="s">
        <v>94</v>
      </c>
      <c r="D962" t="s">
        <v>95</v>
      </c>
      <c r="E962" s="1">
        <v>43944</v>
      </c>
      <c r="F962">
        <v>1</v>
      </c>
      <c r="G962" t="s">
        <v>47</v>
      </c>
      <c r="H962" t="s">
        <v>48</v>
      </c>
      <c r="I962" s="3">
        <v>1153</v>
      </c>
      <c r="J962" s="3">
        <v>1153</v>
      </c>
      <c r="K962" s="3">
        <v>392</v>
      </c>
      <c r="L962" t="s">
        <v>9</v>
      </c>
      <c r="M962">
        <v>6</v>
      </c>
      <c r="N962" t="s">
        <v>75</v>
      </c>
      <c r="O962" t="s">
        <v>70</v>
      </c>
      <c r="P962" t="s">
        <v>12</v>
      </c>
      <c r="Q962" t="s">
        <v>13</v>
      </c>
      <c r="R962" t="s">
        <v>13</v>
      </c>
      <c r="S962" t="s">
        <v>144</v>
      </c>
      <c r="T962" s="2">
        <f>MASTER[[#This Row],[CANTIDAD]]*MASTER[[#This Row],[PRECIO DE VENTA]]</f>
        <v>1153</v>
      </c>
      <c r="U962" s="2">
        <f>MASTER[[#This Row],[CANTIDAD]]*MASTER[[#This Row],[COSTO UNITARIO]]</f>
        <v>392</v>
      </c>
      <c r="V962" s="2">
        <f>MASTER[[#This Row],[MONTO VENDIDO]]-MASTER[[#This Row],[COSTO DE VENTA]]</f>
        <v>761</v>
      </c>
    </row>
    <row r="963" spans="1:22" x14ac:dyDescent="0.3">
      <c r="A963">
        <v>22162</v>
      </c>
      <c r="B963">
        <v>2</v>
      </c>
      <c r="C963" t="s">
        <v>118</v>
      </c>
      <c r="D963" t="s">
        <v>119</v>
      </c>
      <c r="E963" s="1">
        <v>43944</v>
      </c>
      <c r="F963">
        <v>1</v>
      </c>
      <c r="G963" t="s">
        <v>45</v>
      </c>
      <c r="H963" t="s">
        <v>46</v>
      </c>
      <c r="I963" s="3">
        <v>1026</v>
      </c>
      <c r="J963" s="3">
        <v>1026</v>
      </c>
      <c r="K963" s="3">
        <v>424</v>
      </c>
      <c r="L963" t="s">
        <v>120</v>
      </c>
      <c r="M963">
        <v>6</v>
      </c>
      <c r="N963" t="s">
        <v>75</v>
      </c>
      <c r="O963" t="s">
        <v>70</v>
      </c>
      <c r="P963" t="s">
        <v>12</v>
      </c>
      <c r="Q963" t="s">
        <v>13</v>
      </c>
      <c r="R963" t="s">
        <v>13</v>
      </c>
      <c r="S963" t="s">
        <v>144</v>
      </c>
      <c r="T963" s="2">
        <f>MASTER[[#This Row],[CANTIDAD]]*MASTER[[#This Row],[PRECIO DE VENTA]]</f>
        <v>1026</v>
      </c>
      <c r="U963" s="2">
        <f>MASTER[[#This Row],[CANTIDAD]]*MASTER[[#This Row],[COSTO UNITARIO]]</f>
        <v>424</v>
      </c>
      <c r="V963" s="2">
        <f>MASTER[[#This Row],[MONTO VENDIDO]]-MASTER[[#This Row],[COSTO DE VENTA]]</f>
        <v>602</v>
      </c>
    </row>
    <row r="964" spans="1:22" x14ac:dyDescent="0.3">
      <c r="A964">
        <v>22201</v>
      </c>
      <c r="B964">
        <v>1</v>
      </c>
      <c r="C964" t="s">
        <v>114</v>
      </c>
      <c r="D964" t="s">
        <v>115</v>
      </c>
      <c r="E964" s="1">
        <v>43945</v>
      </c>
      <c r="F964">
        <v>1</v>
      </c>
      <c r="G964" t="s">
        <v>45</v>
      </c>
      <c r="H964" t="s">
        <v>46</v>
      </c>
      <c r="I964" s="3">
        <v>2030</v>
      </c>
      <c r="J964" s="3">
        <v>2030</v>
      </c>
      <c r="K964" s="3">
        <v>394</v>
      </c>
      <c r="L964" t="s">
        <v>113</v>
      </c>
      <c r="M964">
        <v>6</v>
      </c>
      <c r="N964" t="s">
        <v>75</v>
      </c>
      <c r="O964" t="s">
        <v>70</v>
      </c>
      <c r="P964" t="s">
        <v>12</v>
      </c>
      <c r="Q964" t="s">
        <v>13</v>
      </c>
      <c r="R964" t="s">
        <v>13</v>
      </c>
      <c r="S964" t="s">
        <v>144</v>
      </c>
      <c r="T964" s="2">
        <f>MASTER[[#This Row],[CANTIDAD]]*MASTER[[#This Row],[PRECIO DE VENTA]]</f>
        <v>2030</v>
      </c>
      <c r="U964" s="2">
        <f>MASTER[[#This Row],[CANTIDAD]]*MASTER[[#This Row],[COSTO UNITARIO]]</f>
        <v>394</v>
      </c>
      <c r="V964" s="2">
        <f>MASTER[[#This Row],[MONTO VENDIDO]]-MASTER[[#This Row],[COSTO DE VENTA]]</f>
        <v>1636</v>
      </c>
    </row>
    <row r="965" spans="1:22" x14ac:dyDescent="0.3">
      <c r="A965">
        <v>22215</v>
      </c>
      <c r="B965">
        <v>1</v>
      </c>
      <c r="C965" t="s">
        <v>99</v>
      </c>
      <c r="D965" t="s">
        <v>100</v>
      </c>
      <c r="E965" s="1">
        <v>43945</v>
      </c>
      <c r="F965">
        <v>1</v>
      </c>
      <c r="G965" t="s">
        <v>57</v>
      </c>
      <c r="H965" t="s">
        <v>58</v>
      </c>
      <c r="I965" s="3">
        <v>1678</v>
      </c>
      <c r="J965" s="3">
        <v>1678</v>
      </c>
      <c r="K965" s="3">
        <v>386</v>
      </c>
      <c r="L965" t="s">
        <v>98</v>
      </c>
      <c r="M965">
        <v>13</v>
      </c>
      <c r="N965" t="s">
        <v>78</v>
      </c>
      <c r="O965" t="s">
        <v>70</v>
      </c>
      <c r="P965" t="s">
        <v>18</v>
      </c>
      <c r="Q965" t="s">
        <v>19</v>
      </c>
      <c r="R965" t="s">
        <v>138</v>
      </c>
      <c r="S965" t="s">
        <v>144</v>
      </c>
      <c r="T965" s="2">
        <f>MASTER[[#This Row],[CANTIDAD]]*MASTER[[#This Row],[PRECIO DE VENTA]]</f>
        <v>1678</v>
      </c>
      <c r="U965" s="2">
        <f>MASTER[[#This Row],[CANTIDAD]]*MASTER[[#This Row],[COSTO UNITARIO]]</f>
        <v>386</v>
      </c>
      <c r="V965" s="2">
        <f>MASTER[[#This Row],[MONTO VENDIDO]]-MASTER[[#This Row],[COSTO DE VENTA]]</f>
        <v>1292</v>
      </c>
    </row>
    <row r="966" spans="1:22" x14ac:dyDescent="0.3">
      <c r="A966">
        <v>22226</v>
      </c>
      <c r="B966">
        <v>1</v>
      </c>
      <c r="C966" t="s">
        <v>99</v>
      </c>
      <c r="D966" t="s">
        <v>100</v>
      </c>
      <c r="E966" s="1">
        <v>43945</v>
      </c>
      <c r="F966">
        <v>1</v>
      </c>
      <c r="G966" t="s">
        <v>29</v>
      </c>
      <c r="H966" t="s">
        <v>30</v>
      </c>
      <c r="I966" s="3">
        <v>1328</v>
      </c>
      <c r="J966" s="3">
        <v>1274</v>
      </c>
      <c r="K966" s="3">
        <v>386</v>
      </c>
      <c r="L966" t="s">
        <v>98</v>
      </c>
      <c r="M966">
        <v>11</v>
      </c>
      <c r="N966" t="s">
        <v>10</v>
      </c>
      <c r="O966" t="s">
        <v>11</v>
      </c>
      <c r="P966" t="s">
        <v>12</v>
      </c>
      <c r="Q966" t="s">
        <v>13</v>
      </c>
      <c r="R966" t="s">
        <v>13</v>
      </c>
      <c r="S966" t="s">
        <v>144</v>
      </c>
      <c r="T966" s="2">
        <f>MASTER[[#This Row],[CANTIDAD]]*MASTER[[#This Row],[PRECIO DE VENTA]]</f>
        <v>1274</v>
      </c>
      <c r="U966" s="2">
        <f>MASTER[[#This Row],[CANTIDAD]]*MASTER[[#This Row],[COSTO UNITARIO]]</f>
        <v>386</v>
      </c>
      <c r="V966" s="2">
        <f>MASTER[[#This Row],[MONTO VENDIDO]]-MASTER[[#This Row],[COSTO DE VENTA]]</f>
        <v>888</v>
      </c>
    </row>
    <row r="967" spans="1:22" x14ac:dyDescent="0.3">
      <c r="A967">
        <v>22238</v>
      </c>
      <c r="B967">
        <v>1</v>
      </c>
      <c r="C967" t="s">
        <v>103</v>
      </c>
      <c r="D967" t="s">
        <v>104</v>
      </c>
      <c r="E967" s="1">
        <v>43945</v>
      </c>
      <c r="F967">
        <v>1</v>
      </c>
      <c r="G967" t="s">
        <v>59</v>
      </c>
      <c r="H967" t="s">
        <v>60</v>
      </c>
      <c r="I967" s="3">
        <v>1830</v>
      </c>
      <c r="J967" s="3">
        <v>1830</v>
      </c>
      <c r="K967" s="3">
        <v>421</v>
      </c>
      <c r="L967" t="s">
        <v>98</v>
      </c>
      <c r="M967">
        <v>18</v>
      </c>
      <c r="N967" t="s">
        <v>79</v>
      </c>
      <c r="O967" t="s">
        <v>70</v>
      </c>
      <c r="P967" t="s">
        <v>15</v>
      </c>
      <c r="Q967" t="s">
        <v>16</v>
      </c>
      <c r="R967" t="s">
        <v>16</v>
      </c>
      <c r="S967" t="s">
        <v>144</v>
      </c>
      <c r="T967" s="2">
        <f>MASTER[[#This Row],[CANTIDAD]]*MASTER[[#This Row],[PRECIO DE VENTA]]</f>
        <v>1830</v>
      </c>
      <c r="U967" s="2">
        <f>MASTER[[#This Row],[CANTIDAD]]*MASTER[[#This Row],[COSTO UNITARIO]]</f>
        <v>421</v>
      </c>
      <c r="V967" s="2">
        <f>MASTER[[#This Row],[MONTO VENDIDO]]-MASTER[[#This Row],[COSTO DE VENTA]]</f>
        <v>1409</v>
      </c>
    </row>
    <row r="968" spans="1:22" x14ac:dyDescent="0.3">
      <c r="A968">
        <v>22240</v>
      </c>
      <c r="B968">
        <v>1</v>
      </c>
      <c r="C968" t="s">
        <v>90</v>
      </c>
      <c r="D968" t="s">
        <v>91</v>
      </c>
      <c r="E968" s="1">
        <v>43945</v>
      </c>
      <c r="F968">
        <v>1</v>
      </c>
      <c r="G968" t="s">
        <v>27</v>
      </c>
      <c r="H968" t="s">
        <v>28</v>
      </c>
      <c r="I968" s="3">
        <v>1844</v>
      </c>
      <c r="J968" s="3">
        <v>1844</v>
      </c>
      <c r="K968" s="3">
        <v>420</v>
      </c>
      <c r="L968" t="s">
        <v>9</v>
      </c>
      <c r="M968">
        <v>4</v>
      </c>
      <c r="N968" t="s">
        <v>82</v>
      </c>
      <c r="O968" t="s">
        <v>81</v>
      </c>
      <c r="P968" t="s">
        <v>71</v>
      </c>
      <c r="Q968" t="s">
        <v>72</v>
      </c>
      <c r="R968" t="s">
        <v>139</v>
      </c>
      <c r="S968" t="s">
        <v>144</v>
      </c>
      <c r="T968" s="2">
        <f>MASTER[[#This Row],[CANTIDAD]]*MASTER[[#This Row],[PRECIO DE VENTA]]</f>
        <v>1844</v>
      </c>
      <c r="U968" s="2">
        <f>MASTER[[#This Row],[CANTIDAD]]*MASTER[[#This Row],[COSTO UNITARIO]]</f>
        <v>420</v>
      </c>
      <c r="V968" s="2">
        <f>MASTER[[#This Row],[MONTO VENDIDO]]-MASTER[[#This Row],[COSTO DE VENTA]]</f>
        <v>1424</v>
      </c>
    </row>
    <row r="969" spans="1:22" x14ac:dyDescent="0.3">
      <c r="A969">
        <v>22248</v>
      </c>
      <c r="B969">
        <v>1</v>
      </c>
      <c r="C969" t="s">
        <v>109</v>
      </c>
      <c r="D969" t="s">
        <v>110</v>
      </c>
      <c r="E969" s="1">
        <v>43945</v>
      </c>
      <c r="F969">
        <v>1</v>
      </c>
      <c r="G969" t="s">
        <v>53</v>
      </c>
      <c r="H969" t="s">
        <v>54</v>
      </c>
      <c r="I969" s="3">
        <v>1128</v>
      </c>
      <c r="J969" s="3">
        <v>1128</v>
      </c>
      <c r="K969" s="3">
        <v>387</v>
      </c>
      <c r="L969" t="s">
        <v>98</v>
      </c>
      <c r="M969">
        <v>1</v>
      </c>
      <c r="N969" t="s">
        <v>77</v>
      </c>
      <c r="O969" t="s">
        <v>70</v>
      </c>
      <c r="P969" t="s">
        <v>71</v>
      </c>
      <c r="Q969" t="s">
        <v>72</v>
      </c>
      <c r="R969" t="s">
        <v>139</v>
      </c>
      <c r="S969" t="s">
        <v>144</v>
      </c>
      <c r="T969" s="2">
        <f>MASTER[[#This Row],[CANTIDAD]]*MASTER[[#This Row],[PRECIO DE VENTA]]</f>
        <v>1128</v>
      </c>
      <c r="U969" s="2">
        <f>MASTER[[#This Row],[CANTIDAD]]*MASTER[[#This Row],[COSTO UNITARIO]]</f>
        <v>387</v>
      </c>
      <c r="V969" s="2">
        <f>MASTER[[#This Row],[MONTO VENDIDO]]-MASTER[[#This Row],[COSTO DE VENTA]]</f>
        <v>741</v>
      </c>
    </row>
    <row r="970" spans="1:22" x14ac:dyDescent="0.3">
      <c r="A970">
        <v>22255</v>
      </c>
      <c r="B970">
        <v>1</v>
      </c>
      <c r="C970" t="s">
        <v>116</v>
      </c>
      <c r="D970" t="s">
        <v>117</v>
      </c>
      <c r="E970" s="1">
        <v>43945</v>
      </c>
      <c r="F970">
        <v>3</v>
      </c>
      <c r="G970" t="s">
        <v>24</v>
      </c>
      <c r="H970" t="s">
        <v>25</v>
      </c>
      <c r="I970" s="3">
        <v>1738</v>
      </c>
      <c r="J970" s="3">
        <v>1738</v>
      </c>
      <c r="K970" s="3">
        <v>388</v>
      </c>
      <c r="L970" t="s">
        <v>113</v>
      </c>
      <c r="M970">
        <v>15</v>
      </c>
      <c r="N970" t="s">
        <v>88</v>
      </c>
      <c r="O970" t="s">
        <v>81</v>
      </c>
      <c r="P970" t="s">
        <v>18</v>
      </c>
      <c r="Q970" t="s">
        <v>19</v>
      </c>
      <c r="R970" t="s">
        <v>138</v>
      </c>
      <c r="S970" t="s">
        <v>144</v>
      </c>
      <c r="T970" s="2">
        <f>MASTER[[#This Row],[CANTIDAD]]*MASTER[[#This Row],[PRECIO DE VENTA]]</f>
        <v>5214</v>
      </c>
      <c r="U970" s="2">
        <f>MASTER[[#This Row],[CANTIDAD]]*MASTER[[#This Row],[COSTO UNITARIO]]</f>
        <v>1164</v>
      </c>
      <c r="V970" s="2">
        <f>MASTER[[#This Row],[MONTO VENDIDO]]-MASTER[[#This Row],[COSTO DE VENTA]]</f>
        <v>4050</v>
      </c>
    </row>
    <row r="971" spans="1:22" x14ac:dyDescent="0.3">
      <c r="A971">
        <v>22258</v>
      </c>
      <c r="B971">
        <v>1</v>
      </c>
      <c r="C971" t="s">
        <v>94</v>
      </c>
      <c r="D971" t="s">
        <v>95</v>
      </c>
      <c r="E971" s="1">
        <v>43945</v>
      </c>
      <c r="F971">
        <v>1</v>
      </c>
      <c r="G971" t="s">
        <v>55</v>
      </c>
      <c r="H971" t="s">
        <v>56</v>
      </c>
      <c r="I971" s="3">
        <v>901</v>
      </c>
      <c r="J971" s="3">
        <v>901</v>
      </c>
      <c r="K971" s="3">
        <v>392</v>
      </c>
      <c r="L971" t="s">
        <v>9</v>
      </c>
      <c r="M971">
        <v>12</v>
      </c>
      <c r="N971" t="s">
        <v>26</v>
      </c>
      <c r="O971" t="s">
        <v>11</v>
      </c>
      <c r="P971" t="s">
        <v>12</v>
      </c>
      <c r="Q971" t="s">
        <v>13</v>
      </c>
      <c r="R971" t="s">
        <v>13</v>
      </c>
      <c r="S971" t="s">
        <v>144</v>
      </c>
      <c r="T971" s="2">
        <f>MASTER[[#This Row],[CANTIDAD]]*MASTER[[#This Row],[PRECIO DE VENTA]]</f>
        <v>901</v>
      </c>
      <c r="U971" s="2">
        <f>MASTER[[#This Row],[CANTIDAD]]*MASTER[[#This Row],[COSTO UNITARIO]]</f>
        <v>392</v>
      </c>
      <c r="V971" s="2">
        <f>MASTER[[#This Row],[MONTO VENDIDO]]-MASTER[[#This Row],[COSTO DE VENTA]]</f>
        <v>509</v>
      </c>
    </row>
    <row r="972" spans="1:22" x14ac:dyDescent="0.3">
      <c r="A972">
        <v>22262</v>
      </c>
      <c r="B972">
        <v>1</v>
      </c>
      <c r="C972" t="s">
        <v>109</v>
      </c>
      <c r="D972" t="s">
        <v>110</v>
      </c>
      <c r="E972" s="1">
        <v>43945</v>
      </c>
      <c r="F972">
        <v>1</v>
      </c>
      <c r="G972" t="s">
        <v>51</v>
      </c>
      <c r="H972" t="s">
        <v>52</v>
      </c>
      <c r="I972" s="3">
        <v>1064</v>
      </c>
      <c r="J972" s="3">
        <v>1064</v>
      </c>
      <c r="K972" s="3">
        <v>387</v>
      </c>
      <c r="L972" t="s">
        <v>98</v>
      </c>
      <c r="M972">
        <v>4</v>
      </c>
      <c r="N972" t="s">
        <v>82</v>
      </c>
      <c r="O972" t="s">
        <v>81</v>
      </c>
      <c r="P972" t="s">
        <v>71</v>
      </c>
      <c r="Q972" t="s">
        <v>72</v>
      </c>
      <c r="R972" t="s">
        <v>139</v>
      </c>
      <c r="S972" t="s">
        <v>144</v>
      </c>
      <c r="T972" s="2">
        <f>MASTER[[#This Row],[CANTIDAD]]*MASTER[[#This Row],[PRECIO DE VENTA]]</f>
        <v>1064</v>
      </c>
      <c r="U972" s="2">
        <f>MASTER[[#This Row],[CANTIDAD]]*MASTER[[#This Row],[COSTO UNITARIO]]</f>
        <v>387</v>
      </c>
      <c r="V972" s="2">
        <f>MASTER[[#This Row],[MONTO VENDIDO]]-MASTER[[#This Row],[COSTO DE VENTA]]</f>
        <v>677</v>
      </c>
    </row>
    <row r="973" spans="1:22" x14ac:dyDescent="0.3">
      <c r="A973">
        <v>22262</v>
      </c>
      <c r="B973">
        <v>3</v>
      </c>
      <c r="C973" t="s">
        <v>109</v>
      </c>
      <c r="D973" t="s">
        <v>110</v>
      </c>
      <c r="E973" s="1">
        <v>43945</v>
      </c>
      <c r="F973">
        <v>1</v>
      </c>
      <c r="G973" t="s">
        <v>61</v>
      </c>
      <c r="H973" t="s">
        <v>62</v>
      </c>
      <c r="I973" s="3">
        <v>1064</v>
      </c>
      <c r="J973" s="3">
        <v>1000</v>
      </c>
      <c r="K973" s="3">
        <v>387</v>
      </c>
      <c r="L973" t="s">
        <v>98</v>
      </c>
      <c r="M973">
        <v>4</v>
      </c>
      <c r="N973" t="s">
        <v>82</v>
      </c>
      <c r="O973" t="s">
        <v>81</v>
      </c>
      <c r="P973" t="s">
        <v>71</v>
      </c>
      <c r="Q973" t="s">
        <v>72</v>
      </c>
      <c r="R973" t="s">
        <v>139</v>
      </c>
      <c r="S973" t="s">
        <v>144</v>
      </c>
      <c r="T973" s="2">
        <f>MASTER[[#This Row],[CANTIDAD]]*MASTER[[#This Row],[PRECIO DE VENTA]]</f>
        <v>1000</v>
      </c>
      <c r="U973" s="2">
        <f>MASTER[[#This Row],[CANTIDAD]]*MASTER[[#This Row],[COSTO UNITARIO]]</f>
        <v>387</v>
      </c>
      <c r="V973" s="2">
        <f>MASTER[[#This Row],[MONTO VENDIDO]]-MASTER[[#This Row],[COSTO DE VENTA]]</f>
        <v>613</v>
      </c>
    </row>
    <row r="974" spans="1:22" x14ac:dyDescent="0.3">
      <c r="A974">
        <v>22262</v>
      </c>
      <c r="B974">
        <v>2</v>
      </c>
      <c r="C974" t="s">
        <v>114</v>
      </c>
      <c r="D974" t="s">
        <v>115</v>
      </c>
      <c r="E974" s="1">
        <v>43945</v>
      </c>
      <c r="F974">
        <v>1</v>
      </c>
      <c r="G974" t="s">
        <v>37</v>
      </c>
      <c r="H974" t="s">
        <v>38</v>
      </c>
      <c r="I974" s="3">
        <v>1862</v>
      </c>
      <c r="J974" s="3">
        <v>1862</v>
      </c>
      <c r="K974" s="3">
        <v>394</v>
      </c>
      <c r="L974" t="s">
        <v>113</v>
      </c>
      <c r="M974">
        <v>4</v>
      </c>
      <c r="N974" t="s">
        <v>82</v>
      </c>
      <c r="O974" t="s">
        <v>81</v>
      </c>
      <c r="P974" t="s">
        <v>71</v>
      </c>
      <c r="Q974" t="s">
        <v>72</v>
      </c>
      <c r="R974" t="s">
        <v>139</v>
      </c>
      <c r="S974" t="s">
        <v>144</v>
      </c>
      <c r="T974" s="2">
        <f>MASTER[[#This Row],[CANTIDAD]]*MASTER[[#This Row],[PRECIO DE VENTA]]</f>
        <v>1862</v>
      </c>
      <c r="U974" s="2">
        <f>MASTER[[#This Row],[CANTIDAD]]*MASTER[[#This Row],[COSTO UNITARIO]]</f>
        <v>394</v>
      </c>
      <c r="V974" s="2">
        <f>MASTER[[#This Row],[MONTO VENDIDO]]-MASTER[[#This Row],[COSTO DE VENTA]]</f>
        <v>1468</v>
      </c>
    </row>
    <row r="975" spans="1:22" x14ac:dyDescent="0.3">
      <c r="A975">
        <v>22273</v>
      </c>
      <c r="B975">
        <v>1</v>
      </c>
      <c r="C975" t="s">
        <v>114</v>
      </c>
      <c r="D975" t="s">
        <v>115</v>
      </c>
      <c r="E975" s="1">
        <v>43946</v>
      </c>
      <c r="F975">
        <v>1</v>
      </c>
      <c r="G975" t="s">
        <v>33</v>
      </c>
      <c r="H975" t="s">
        <v>34</v>
      </c>
      <c r="I975" s="3">
        <v>1862</v>
      </c>
      <c r="J975" s="3">
        <v>1862</v>
      </c>
      <c r="K975" s="3">
        <v>394</v>
      </c>
      <c r="L975" t="s">
        <v>113</v>
      </c>
      <c r="M975">
        <v>2</v>
      </c>
      <c r="N975" t="s">
        <v>86</v>
      </c>
      <c r="O975" t="s">
        <v>81</v>
      </c>
      <c r="P975" t="s">
        <v>71</v>
      </c>
      <c r="Q975" t="s">
        <v>72</v>
      </c>
      <c r="R975" t="s">
        <v>139</v>
      </c>
      <c r="S975" t="s">
        <v>144</v>
      </c>
      <c r="T975" s="2">
        <f>MASTER[[#This Row],[CANTIDAD]]*MASTER[[#This Row],[PRECIO DE VENTA]]</f>
        <v>1862</v>
      </c>
      <c r="U975" s="2">
        <f>MASTER[[#This Row],[CANTIDAD]]*MASTER[[#This Row],[COSTO UNITARIO]]</f>
        <v>394</v>
      </c>
      <c r="V975" s="2">
        <f>MASTER[[#This Row],[MONTO VENDIDO]]-MASTER[[#This Row],[COSTO DE VENTA]]</f>
        <v>1468</v>
      </c>
    </row>
    <row r="976" spans="1:22" x14ac:dyDescent="0.3">
      <c r="A976">
        <v>22276</v>
      </c>
      <c r="B976">
        <v>1</v>
      </c>
      <c r="C976" t="s">
        <v>114</v>
      </c>
      <c r="D976" t="s">
        <v>115</v>
      </c>
      <c r="E976" s="1">
        <v>43946</v>
      </c>
      <c r="F976">
        <v>1</v>
      </c>
      <c r="G976" t="s">
        <v>53</v>
      </c>
      <c r="H976" t="s">
        <v>54</v>
      </c>
      <c r="I976" s="3">
        <v>1583</v>
      </c>
      <c r="J976" s="3">
        <v>1583</v>
      </c>
      <c r="K976" s="3">
        <v>394</v>
      </c>
      <c r="L976" t="s">
        <v>113</v>
      </c>
      <c r="M976">
        <v>17</v>
      </c>
      <c r="N976" t="s">
        <v>14</v>
      </c>
      <c r="O976" t="s">
        <v>11</v>
      </c>
      <c r="P976" t="s">
        <v>15</v>
      </c>
      <c r="Q976" t="s">
        <v>16</v>
      </c>
      <c r="R976" t="s">
        <v>16</v>
      </c>
      <c r="S976" t="s">
        <v>144</v>
      </c>
      <c r="T976" s="2">
        <f>MASTER[[#This Row],[CANTIDAD]]*MASTER[[#This Row],[PRECIO DE VENTA]]</f>
        <v>1583</v>
      </c>
      <c r="U976" s="2">
        <f>MASTER[[#This Row],[CANTIDAD]]*MASTER[[#This Row],[COSTO UNITARIO]]</f>
        <v>394</v>
      </c>
      <c r="V976" s="2">
        <f>MASTER[[#This Row],[MONTO VENDIDO]]-MASTER[[#This Row],[COSTO DE VENTA]]</f>
        <v>1189</v>
      </c>
    </row>
    <row r="977" spans="1:22" x14ac:dyDescent="0.3">
      <c r="A977">
        <v>22285</v>
      </c>
      <c r="B977">
        <v>1</v>
      </c>
      <c r="C977" t="s">
        <v>101</v>
      </c>
      <c r="D977" t="s">
        <v>102</v>
      </c>
      <c r="E977" s="1">
        <v>43946</v>
      </c>
      <c r="F977">
        <v>1</v>
      </c>
      <c r="G977" t="s">
        <v>22</v>
      </c>
      <c r="H977" t="s">
        <v>23</v>
      </c>
      <c r="I977" s="3">
        <v>1212</v>
      </c>
      <c r="J977" s="3">
        <v>1115</v>
      </c>
      <c r="K977" s="3">
        <v>442</v>
      </c>
      <c r="L977" t="s">
        <v>98</v>
      </c>
      <c r="M977">
        <v>15</v>
      </c>
      <c r="N977" t="s">
        <v>88</v>
      </c>
      <c r="O977" t="s">
        <v>81</v>
      </c>
      <c r="P977" t="s">
        <v>18</v>
      </c>
      <c r="Q977" t="s">
        <v>19</v>
      </c>
      <c r="R977" t="s">
        <v>138</v>
      </c>
      <c r="S977" t="s">
        <v>144</v>
      </c>
      <c r="T977" s="2">
        <f>MASTER[[#This Row],[CANTIDAD]]*MASTER[[#This Row],[PRECIO DE VENTA]]</f>
        <v>1115</v>
      </c>
      <c r="U977" s="2">
        <f>MASTER[[#This Row],[CANTIDAD]]*MASTER[[#This Row],[COSTO UNITARIO]]</f>
        <v>442</v>
      </c>
      <c r="V977" s="2">
        <f>MASTER[[#This Row],[MONTO VENDIDO]]-MASTER[[#This Row],[COSTO DE VENTA]]</f>
        <v>673</v>
      </c>
    </row>
    <row r="978" spans="1:22" x14ac:dyDescent="0.3">
      <c r="A978">
        <v>22287</v>
      </c>
      <c r="B978">
        <v>1</v>
      </c>
      <c r="C978" t="s">
        <v>103</v>
      </c>
      <c r="D978" t="s">
        <v>104</v>
      </c>
      <c r="E978" s="1">
        <v>43946</v>
      </c>
      <c r="F978">
        <v>1</v>
      </c>
      <c r="G978" t="s">
        <v>45</v>
      </c>
      <c r="H978" t="s">
        <v>46</v>
      </c>
      <c r="I978" s="3">
        <v>1591</v>
      </c>
      <c r="J978" s="3">
        <v>1463</v>
      </c>
      <c r="K978" s="3">
        <v>421</v>
      </c>
      <c r="L978" t="s">
        <v>98</v>
      </c>
      <c r="M978">
        <v>4</v>
      </c>
      <c r="N978" t="s">
        <v>82</v>
      </c>
      <c r="O978" t="s">
        <v>81</v>
      </c>
      <c r="P978" t="s">
        <v>71</v>
      </c>
      <c r="Q978" t="s">
        <v>72</v>
      </c>
      <c r="R978" t="s">
        <v>139</v>
      </c>
      <c r="S978" t="s">
        <v>144</v>
      </c>
      <c r="T978" s="2">
        <f>MASTER[[#This Row],[CANTIDAD]]*MASTER[[#This Row],[PRECIO DE VENTA]]</f>
        <v>1463</v>
      </c>
      <c r="U978" s="2">
        <f>MASTER[[#This Row],[CANTIDAD]]*MASTER[[#This Row],[COSTO UNITARIO]]</f>
        <v>421</v>
      </c>
      <c r="V978" s="2">
        <f>MASTER[[#This Row],[MONTO VENDIDO]]-MASTER[[#This Row],[COSTO DE VENTA]]</f>
        <v>1042</v>
      </c>
    </row>
    <row r="979" spans="1:22" x14ac:dyDescent="0.3">
      <c r="A979">
        <v>22296</v>
      </c>
      <c r="B979">
        <v>1</v>
      </c>
      <c r="C979" t="s">
        <v>116</v>
      </c>
      <c r="D979" t="s">
        <v>117</v>
      </c>
      <c r="E979" s="1">
        <v>43946</v>
      </c>
      <c r="F979">
        <v>1</v>
      </c>
      <c r="G979" t="s">
        <v>59</v>
      </c>
      <c r="H979" t="s">
        <v>60</v>
      </c>
      <c r="I979" s="3">
        <v>1999</v>
      </c>
      <c r="J979" s="3">
        <v>1999</v>
      </c>
      <c r="K979" s="3">
        <v>388</v>
      </c>
      <c r="L979" t="s">
        <v>113</v>
      </c>
      <c r="M979">
        <v>9</v>
      </c>
      <c r="N979" t="s">
        <v>76</v>
      </c>
      <c r="O979" t="s">
        <v>70</v>
      </c>
      <c r="P979" t="s">
        <v>12</v>
      </c>
      <c r="Q979" t="s">
        <v>13</v>
      </c>
      <c r="R979" t="s">
        <v>13</v>
      </c>
      <c r="S979" t="s">
        <v>144</v>
      </c>
      <c r="T979" s="2">
        <f>MASTER[[#This Row],[CANTIDAD]]*MASTER[[#This Row],[PRECIO DE VENTA]]</f>
        <v>1999</v>
      </c>
      <c r="U979" s="2">
        <f>MASTER[[#This Row],[CANTIDAD]]*MASTER[[#This Row],[COSTO UNITARIO]]</f>
        <v>388</v>
      </c>
      <c r="V979" s="2">
        <f>MASTER[[#This Row],[MONTO VENDIDO]]-MASTER[[#This Row],[COSTO DE VENTA]]</f>
        <v>1611</v>
      </c>
    </row>
    <row r="980" spans="1:22" x14ac:dyDescent="0.3">
      <c r="A980">
        <v>22309</v>
      </c>
      <c r="B980">
        <v>1</v>
      </c>
      <c r="C980" t="s">
        <v>114</v>
      </c>
      <c r="D980" t="s">
        <v>115</v>
      </c>
      <c r="E980" s="1">
        <v>43946</v>
      </c>
      <c r="F980">
        <v>1</v>
      </c>
      <c r="G980" t="s">
        <v>24</v>
      </c>
      <c r="H980" t="s">
        <v>25</v>
      </c>
      <c r="I980" s="3">
        <v>1862</v>
      </c>
      <c r="J980" s="3">
        <v>1731</v>
      </c>
      <c r="K980" s="3">
        <v>394</v>
      </c>
      <c r="L980" t="s">
        <v>113</v>
      </c>
      <c r="M980">
        <v>19</v>
      </c>
      <c r="N980" t="s">
        <v>89</v>
      </c>
      <c r="O980" t="s">
        <v>81</v>
      </c>
      <c r="P980" t="s">
        <v>15</v>
      </c>
      <c r="Q980" t="s">
        <v>16</v>
      </c>
      <c r="R980" t="s">
        <v>16</v>
      </c>
      <c r="S980" t="s">
        <v>144</v>
      </c>
      <c r="T980" s="2">
        <f>MASTER[[#This Row],[CANTIDAD]]*MASTER[[#This Row],[PRECIO DE VENTA]]</f>
        <v>1731</v>
      </c>
      <c r="U980" s="2">
        <f>MASTER[[#This Row],[CANTIDAD]]*MASTER[[#This Row],[COSTO UNITARIO]]</f>
        <v>394</v>
      </c>
      <c r="V980" s="2">
        <f>MASTER[[#This Row],[MONTO VENDIDO]]-MASTER[[#This Row],[COSTO DE VENTA]]</f>
        <v>1337</v>
      </c>
    </row>
    <row r="981" spans="1:22" x14ac:dyDescent="0.3">
      <c r="A981">
        <v>22311</v>
      </c>
      <c r="B981">
        <v>1</v>
      </c>
      <c r="C981" t="s">
        <v>92</v>
      </c>
      <c r="D981" t="s">
        <v>93</v>
      </c>
      <c r="E981" s="1">
        <v>43946</v>
      </c>
      <c r="F981">
        <v>1</v>
      </c>
      <c r="G981" t="s">
        <v>59</v>
      </c>
      <c r="H981" t="s">
        <v>60</v>
      </c>
      <c r="I981" s="3">
        <v>1866</v>
      </c>
      <c r="J981" s="3">
        <v>1866</v>
      </c>
      <c r="K981" s="3">
        <v>396</v>
      </c>
      <c r="L981" t="s">
        <v>9</v>
      </c>
      <c r="M981">
        <v>1</v>
      </c>
      <c r="N981" t="s">
        <v>77</v>
      </c>
      <c r="O981" t="s">
        <v>70</v>
      </c>
      <c r="P981" t="s">
        <v>71</v>
      </c>
      <c r="Q981" t="s">
        <v>72</v>
      </c>
      <c r="R981" t="s">
        <v>139</v>
      </c>
      <c r="S981" t="s">
        <v>144</v>
      </c>
      <c r="T981" s="2">
        <f>MASTER[[#This Row],[CANTIDAD]]*MASTER[[#This Row],[PRECIO DE VENTA]]</f>
        <v>1866</v>
      </c>
      <c r="U981" s="2">
        <f>MASTER[[#This Row],[CANTIDAD]]*MASTER[[#This Row],[COSTO UNITARIO]]</f>
        <v>396</v>
      </c>
      <c r="V981" s="2">
        <f>MASTER[[#This Row],[MONTO VENDIDO]]-MASTER[[#This Row],[COSTO DE VENTA]]</f>
        <v>1470</v>
      </c>
    </row>
    <row r="982" spans="1:22" x14ac:dyDescent="0.3">
      <c r="A982">
        <v>22326</v>
      </c>
      <c r="B982">
        <v>1</v>
      </c>
      <c r="C982" t="s">
        <v>94</v>
      </c>
      <c r="D982" t="s">
        <v>95</v>
      </c>
      <c r="E982" s="1">
        <v>43946</v>
      </c>
      <c r="F982">
        <v>1</v>
      </c>
      <c r="G982" t="s">
        <v>29</v>
      </c>
      <c r="H982" t="s">
        <v>30</v>
      </c>
      <c r="I982" s="3">
        <v>1153</v>
      </c>
      <c r="J982" s="3">
        <v>1153</v>
      </c>
      <c r="K982" s="3">
        <v>392</v>
      </c>
      <c r="L982" t="s">
        <v>9</v>
      </c>
      <c r="M982">
        <v>3</v>
      </c>
      <c r="N982" t="s">
        <v>69</v>
      </c>
      <c r="O982" t="s">
        <v>70</v>
      </c>
      <c r="P982" t="s">
        <v>71</v>
      </c>
      <c r="Q982" t="s">
        <v>72</v>
      </c>
      <c r="R982" t="s">
        <v>139</v>
      </c>
      <c r="S982" t="s">
        <v>144</v>
      </c>
      <c r="T982" s="2">
        <f>MASTER[[#This Row],[CANTIDAD]]*MASTER[[#This Row],[PRECIO DE VENTA]]</f>
        <v>1153</v>
      </c>
      <c r="U982" s="2">
        <f>MASTER[[#This Row],[CANTIDAD]]*MASTER[[#This Row],[COSTO UNITARIO]]</f>
        <v>392</v>
      </c>
      <c r="V982" s="2">
        <f>MASTER[[#This Row],[MONTO VENDIDO]]-MASTER[[#This Row],[COSTO DE VENTA]]</f>
        <v>761</v>
      </c>
    </row>
    <row r="983" spans="1:22" x14ac:dyDescent="0.3">
      <c r="A983">
        <v>22330</v>
      </c>
      <c r="B983">
        <v>1</v>
      </c>
      <c r="C983" t="s">
        <v>118</v>
      </c>
      <c r="D983" t="s">
        <v>119</v>
      </c>
      <c r="E983" s="1">
        <v>43946</v>
      </c>
      <c r="F983">
        <v>1</v>
      </c>
      <c r="G983" t="s">
        <v>39</v>
      </c>
      <c r="H983" t="s">
        <v>40</v>
      </c>
      <c r="I983" s="3">
        <v>900</v>
      </c>
      <c r="J983" s="3">
        <v>837</v>
      </c>
      <c r="K983" s="3">
        <v>424</v>
      </c>
      <c r="L983" t="s">
        <v>120</v>
      </c>
      <c r="M983">
        <v>5</v>
      </c>
      <c r="N983" t="s">
        <v>85</v>
      </c>
      <c r="O983" t="s">
        <v>81</v>
      </c>
      <c r="P983" t="s">
        <v>12</v>
      </c>
      <c r="Q983" t="s">
        <v>13</v>
      </c>
      <c r="R983" t="s">
        <v>13</v>
      </c>
      <c r="S983" t="s">
        <v>144</v>
      </c>
      <c r="T983" s="2">
        <f>MASTER[[#This Row],[CANTIDAD]]*MASTER[[#This Row],[PRECIO DE VENTA]]</f>
        <v>837</v>
      </c>
      <c r="U983" s="2">
        <f>MASTER[[#This Row],[CANTIDAD]]*MASTER[[#This Row],[COSTO UNITARIO]]</f>
        <v>424</v>
      </c>
      <c r="V983" s="2">
        <f>MASTER[[#This Row],[MONTO VENDIDO]]-MASTER[[#This Row],[COSTO DE VENTA]]</f>
        <v>413</v>
      </c>
    </row>
    <row r="984" spans="1:22" x14ac:dyDescent="0.3">
      <c r="A984">
        <v>22351</v>
      </c>
      <c r="B984">
        <v>1</v>
      </c>
      <c r="C984" t="s">
        <v>99</v>
      </c>
      <c r="D984" t="s">
        <v>100</v>
      </c>
      <c r="E984" s="1">
        <v>43947</v>
      </c>
      <c r="F984">
        <v>1</v>
      </c>
      <c r="G984" t="s">
        <v>7</v>
      </c>
      <c r="H984" t="s">
        <v>8</v>
      </c>
      <c r="I984" s="3">
        <v>1678</v>
      </c>
      <c r="J984" s="3">
        <v>1678</v>
      </c>
      <c r="K984" s="3">
        <v>386</v>
      </c>
      <c r="L984" t="s">
        <v>98</v>
      </c>
      <c r="M984">
        <v>18</v>
      </c>
      <c r="N984" t="s">
        <v>79</v>
      </c>
      <c r="O984" t="s">
        <v>70</v>
      </c>
      <c r="P984" t="s">
        <v>15</v>
      </c>
      <c r="Q984" t="s">
        <v>16</v>
      </c>
      <c r="R984" t="s">
        <v>16</v>
      </c>
      <c r="S984" t="s">
        <v>144</v>
      </c>
      <c r="T984" s="2">
        <f>MASTER[[#This Row],[CANTIDAD]]*MASTER[[#This Row],[PRECIO DE VENTA]]</f>
        <v>1678</v>
      </c>
      <c r="U984" s="2">
        <f>MASTER[[#This Row],[CANTIDAD]]*MASTER[[#This Row],[COSTO UNITARIO]]</f>
        <v>386</v>
      </c>
      <c r="V984" s="2">
        <f>MASTER[[#This Row],[MONTO VENDIDO]]-MASTER[[#This Row],[COSTO DE VENTA]]</f>
        <v>1292</v>
      </c>
    </row>
    <row r="985" spans="1:22" x14ac:dyDescent="0.3">
      <c r="A985">
        <v>22359</v>
      </c>
      <c r="B985">
        <v>1</v>
      </c>
      <c r="C985" t="s">
        <v>99</v>
      </c>
      <c r="D985" t="s">
        <v>100</v>
      </c>
      <c r="E985" s="1">
        <v>43947</v>
      </c>
      <c r="F985">
        <v>1</v>
      </c>
      <c r="G985" t="s">
        <v>73</v>
      </c>
      <c r="H985" t="s">
        <v>74</v>
      </c>
      <c r="I985" s="3">
        <v>1459</v>
      </c>
      <c r="J985" s="3">
        <v>1459</v>
      </c>
      <c r="K985" s="3">
        <v>386</v>
      </c>
      <c r="L985" t="s">
        <v>98</v>
      </c>
      <c r="M985">
        <v>5</v>
      </c>
      <c r="N985" t="s">
        <v>85</v>
      </c>
      <c r="O985" t="s">
        <v>81</v>
      </c>
      <c r="P985" t="s">
        <v>12</v>
      </c>
      <c r="Q985" t="s">
        <v>13</v>
      </c>
      <c r="R985" t="s">
        <v>13</v>
      </c>
      <c r="S985" t="s">
        <v>144</v>
      </c>
      <c r="T985" s="2">
        <f>MASTER[[#This Row],[CANTIDAD]]*MASTER[[#This Row],[PRECIO DE VENTA]]</f>
        <v>1459</v>
      </c>
      <c r="U985" s="2">
        <f>MASTER[[#This Row],[CANTIDAD]]*MASTER[[#This Row],[COSTO UNITARIO]]</f>
        <v>386</v>
      </c>
      <c r="V985" s="2">
        <f>MASTER[[#This Row],[MONTO VENDIDO]]-MASTER[[#This Row],[COSTO DE VENTA]]</f>
        <v>1073</v>
      </c>
    </row>
    <row r="986" spans="1:22" x14ac:dyDescent="0.3">
      <c r="A986">
        <v>22370</v>
      </c>
      <c r="B986">
        <v>1</v>
      </c>
      <c r="C986" t="s">
        <v>92</v>
      </c>
      <c r="D986" t="s">
        <v>93</v>
      </c>
      <c r="E986" s="1">
        <v>43947</v>
      </c>
      <c r="F986">
        <v>1</v>
      </c>
      <c r="G986" t="s">
        <v>20</v>
      </c>
      <c r="H986" t="s">
        <v>21</v>
      </c>
      <c r="I986" s="3">
        <v>1866</v>
      </c>
      <c r="J986" s="3">
        <v>1866</v>
      </c>
      <c r="K986" s="3">
        <v>396</v>
      </c>
      <c r="L986" t="s">
        <v>9</v>
      </c>
      <c r="M986">
        <v>3</v>
      </c>
      <c r="N986" t="s">
        <v>69</v>
      </c>
      <c r="O986" t="s">
        <v>70</v>
      </c>
      <c r="P986" t="s">
        <v>71</v>
      </c>
      <c r="Q986" t="s">
        <v>72</v>
      </c>
      <c r="R986" t="s">
        <v>139</v>
      </c>
      <c r="S986" t="s">
        <v>144</v>
      </c>
      <c r="T986" s="2">
        <f>MASTER[[#This Row],[CANTIDAD]]*MASTER[[#This Row],[PRECIO DE VENTA]]</f>
        <v>1866</v>
      </c>
      <c r="U986" s="2">
        <f>MASTER[[#This Row],[CANTIDAD]]*MASTER[[#This Row],[COSTO UNITARIO]]</f>
        <v>396</v>
      </c>
      <c r="V986" s="2">
        <f>MASTER[[#This Row],[MONTO VENDIDO]]-MASTER[[#This Row],[COSTO DE VENTA]]</f>
        <v>1470</v>
      </c>
    </row>
    <row r="987" spans="1:22" x14ac:dyDescent="0.3">
      <c r="A987">
        <v>22381</v>
      </c>
      <c r="B987">
        <v>1</v>
      </c>
      <c r="C987" t="s">
        <v>96</v>
      </c>
      <c r="D987" t="s">
        <v>97</v>
      </c>
      <c r="E987" s="1">
        <v>43947</v>
      </c>
      <c r="F987">
        <v>1</v>
      </c>
      <c r="G987" t="s">
        <v>27</v>
      </c>
      <c r="H987" t="s">
        <v>28</v>
      </c>
      <c r="I987" s="3">
        <v>1196</v>
      </c>
      <c r="J987" s="3">
        <v>1196</v>
      </c>
      <c r="K987" s="3">
        <v>397</v>
      </c>
      <c r="L987" t="s">
        <v>98</v>
      </c>
      <c r="M987">
        <v>11</v>
      </c>
      <c r="N987" t="s">
        <v>10</v>
      </c>
      <c r="O987" t="s">
        <v>11</v>
      </c>
      <c r="P987" t="s">
        <v>12</v>
      </c>
      <c r="Q987" t="s">
        <v>13</v>
      </c>
      <c r="R987" t="s">
        <v>13</v>
      </c>
      <c r="S987" t="s">
        <v>144</v>
      </c>
      <c r="T987" s="2">
        <f>MASTER[[#This Row],[CANTIDAD]]*MASTER[[#This Row],[PRECIO DE VENTA]]</f>
        <v>1196</v>
      </c>
      <c r="U987" s="2">
        <f>MASTER[[#This Row],[CANTIDAD]]*MASTER[[#This Row],[COSTO UNITARIO]]</f>
        <v>397</v>
      </c>
      <c r="V987" s="2">
        <f>MASTER[[#This Row],[MONTO VENDIDO]]-MASTER[[#This Row],[COSTO DE VENTA]]</f>
        <v>799</v>
      </c>
    </row>
    <row r="988" spans="1:22" x14ac:dyDescent="0.3">
      <c r="A988">
        <v>22399</v>
      </c>
      <c r="B988">
        <v>1</v>
      </c>
      <c r="C988" t="s">
        <v>105</v>
      </c>
      <c r="D988" t="s">
        <v>106</v>
      </c>
      <c r="E988" s="1">
        <v>43947</v>
      </c>
      <c r="F988">
        <v>1</v>
      </c>
      <c r="G988" t="s">
        <v>24</v>
      </c>
      <c r="H988" t="s">
        <v>25</v>
      </c>
      <c r="I988" s="3">
        <v>1585</v>
      </c>
      <c r="J988" s="3">
        <v>1585</v>
      </c>
      <c r="K988" s="3">
        <v>459</v>
      </c>
      <c r="L988" t="s">
        <v>98</v>
      </c>
      <c r="M988">
        <v>11</v>
      </c>
      <c r="N988" t="s">
        <v>10</v>
      </c>
      <c r="O988" t="s">
        <v>11</v>
      </c>
      <c r="P988" t="s">
        <v>12</v>
      </c>
      <c r="Q988" t="s">
        <v>13</v>
      </c>
      <c r="R988" t="s">
        <v>13</v>
      </c>
      <c r="S988" t="s">
        <v>144</v>
      </c>
      <c r="T988" s="2">
        <f>MASTER[[#This Row],[CANTIDAD]]*MASTER[[#This Row],[PRECIO DE VENTA]]</f>
        <v>1585</v>
      </c>
      <c r="U988" s="2">
        <f>MASTER[[#This Row],[CANTIDAD]]*MASTER[[#This Row],[COSTO UNITARIO]]</f>
        <v>459</v>
      </c>
      <c r="V988" s="2">
        <f>MASTER[[#This Row],[MONTO VENDIDO]]-MASTER[[#This Row],[COSTO DE VENTA]]</f>
        <v>1126</v>
      </c>
    </row>
    <row r="989" spans="1:22" x14ac:dyDescent="0.3">
      <c r="A989">
        <v>22400</v>
      </c>
      <c r="B989">
        <v>1</v>
      </c>
      <c r="C989" t="s">
        <v>92</v>
      </c>
      <c r="D989" t="s">
        <v>93</v>
      </c>
      <c r="E989" s="1">
        <v>43947</v>
      </c>
      <c r="F989">
        <v>1</v>
      </c>
      <c r="G989" t="s">
        <v>57</v>
      </c>
      <c r="H989" t="s">
        <v>58</v>
      </c>
      <c r="I989" s="3">
        <v>1681</v>
      </c>
      <c r="J989" s="3">
        <v>1681</v>
      </c>
      <c r="K989" s="3">
        <v>396</v>
      </c>
      <c r="L989" t="s">
        <v>9</v>
      </c>
      <c r="M989">
        <v>7</v>
      </c>
      <c r="N989" t="s">
        <v>84</v>
      </c>
      <c r="O989" t="s">
        <v>81</v>
      </c>
      <c r="P989" t="s">
        <v>12</v>
      </c>
      <c r="Q989" t="s">
        <v>13</v>
      </c>
      <c r="R989" t="s">
        <v>13</v>
      </c>
      <c r="S989" t="s">
        <v>144</v>
      </c>
      <c r="T989" s="2">
        <f>MASTER[[#This Row],[CANTIDAD]]*MASTER[[#This Row],[PRECIO DE VENTA]]</f>
        <v>1681</v>
      </c>
      <c r="U989" s="2">
        <f>MASTER[[#This Row],[CANTIDAD]]*MASTER[[#This Row],[COSTO UNITARIO]]</f>
        <v>396</v>
      </c>
      <c r="V989" s="2">
        <f>MASTER[[#This Row],[MONTO VENDIDO]]-MASTER[[#This Row],[COSTO DE VENTA]]</f>
        <v>1285</v>
      </c>
    </row>
    <row r="990" spans="1:22" x14ac:dyDescent="0.3">
      <c r="A990">
        <v>22402</v>
      </c>
      <c r="B990">
        <v>1</v>
      </c>
      <c r="C990" t="s">
        <v>118</v>
      </c>
      <c r="D990" t="s">
        <v>119</v>
      </c>
      <c r="E990" s="1">
        <v>43947</v>
      </c>
      <c r="F990">
        <v>2</v>
      </c>
      <c r="G990" t="s">
        <v>22</v>
      </c>
      <c r="H990" t="s">
        <v>23</v>
      </c>
      <c r="I990" s="3">
        <v>1026</v>
      </c>
      <c r="J990" s="3">
        <v>1026</v>
      </c>
      <c r="K990" s="3">
        <v>424</v>
      </c>
      <c r="L990" t="s">
        <v>120</v>
      </c>
      <c r="M990">
        <v>9</v>
      </c>
      <c r="N990" t="s">
        <v>76</v>
      </c>
      <c r="O990" t="s">
        <v>70</v>
      </c>
      <c r="P990" t="s">
        <v>12</v>
      </c>
      <c r="Q990" t="s">
        <v>13</v>
      </c>
      <c r="R990" t="s">
        <v>13</v>
      </c>
      <c r="S990" t="s">
        <v>144</v>
      </c>
      <c r="T990" s="2">
        <f>MASTER[[#This Row],[CANTIDAD]]*MASTER[[#This Row],[PRECIO DE VENTA]]</f>
        <v>2052</v>
      </c>
      <c r="U990" s="2">
        <f>MASTER[[#This Row],[CANTIDAD]]*MASTER[[#This Row],[COSTO UNITARIO]]</f>
        <v>848</v>
      </c>
      <c r="V990" s="2">
        <f>MASTER[[#This Row],[MONTO VENDIDO]]-MASTER[[#This Row],[COSTO DE VENTA]]</f>
        <v>1204</v>
      </c>
    </row>
    <row r="991" spans="1:22" x14ac:dyDescent="0.3">
      <c r="A991">
        <v>22405</v>
      </c>
      <c r="B991">
        <v>1</v>
      </c>
      <c r="C991" t="s">
        <v>114</v>
      </c>
      <c r="D991" t="s">
        <v>115</v>
      </c>
      <c r="E991" s="1">
        <v>43947</v>
      </c>
      <c r="F991">
        <v>2</v>
      </c>
      <c r="G991" t="s">
        <v>24</v>
      </c>
      <c r="H991" t="s">
        <v>25</v>
      </c>
      <c r="I991" s="3">
        <v>2030</v>
      </c>
      <c r="J991" s="3">
        <v>2030</v>
      </c>
      <c r="K991" s="3">
        <v>394</v>
      </c>
      <c r="L991" t="s">
        <v>113</v>
      </c>
      <c r="M991">
        <v>1</v>
      </c>
      <c r="N991" t="s">
        <v>77</v>
      </c>
      <c r="O991" t="s">
        <v>70</v>
      </c>
      <c r="P991" t="s">
        <v>71</v>
      </c>
      <c r="Q991" t="s">
        <v>72</v>
      </c>
      <c r="R991" t="s">
        <v>139</v>
      </c>
      <c r="S991" t="s">
        <v>144</v>
      </c>
      <c r="T991" s="2">
        <f>MASTER[[#This Row],[CANTIDAD]]*MASTER[[#This Row],[PRECIO DE VENTA]]</f>
        <v>4060</v>
      </c>
      <c r="U991" s="2">
        <f>MASTER[[#This Row],[CANTIDAD]]*MASTER[[#This Row],[COSTO UNITARIO]]</f>
        <v>788</v>
      </c>
      <c r="V991" s="2">
        <f>MASTER[[#This Row],[MONTO VENDIDO]]-MASTER[[#This Row],[COSTO DE VENTA]]</f>
        <v>3272</v>
      </c>
    </row>
    <row r="992" spans="1:22" x14ac:dyDescent="0.3">
      <c r="A992">
        <v>22412</v>
      </c>
      <c r="B992">
        <v>1</v>
      </c>
      <c r="C992" t="s">
        <v>101</v>
      </c>
      <c r="D992" t="s">
        <v>102</v>
      </c>
      <c r="E992" s="1">
        <v>43947</v>
      </c>
      <c r="F992">
        <v>1</v>
      </c>
      <c r="G992" t="s">
        <v>65</v>
      </c>
      <c r="H992" t="s">
        <v>66</v>
      </c>
      <c r="I992" s="3">
        <v>1054</v>
      </c>
      <c r="J992" s="3">
        <v>1054</v>
      </c>
      <c r="K992" s="3">
        <v>442</v>
      </c>
      <c r="L992" t="s">
        <v>98</v>
      </c>
      <c r="M992">
        <v>17</v>
      </c>
      <c r="N992" t="s">
        <v>14</v>
      </c>
      <c r="O992" t="s">
        <v>11</v>
      </c>
      <c r="P992" t="s">
        <v>15</v>
      </c>
      <c r="Q992" t="s">
        <v>16</v>
      </c>
      <c r="R992" t="s">
        <v>16</v>
      </c>
      <c r="S992" t="s">
        <v>144</v>
      </c>
      <c r="T992" s="2">
        <f>MASTER[[#This Row],[CANTIDAD]]*MASTER[[#This Row],[PRECIO DE VENTA]]</f>
        <v>1054</v>
      </c>
      <c r="U992" s="2">
        <f>MASTER[[#This Row],[CANTIDAD]]*MASTER[[#This Row],[COSTO UNITARIO]]</f>
        <v>442</v>
      </c>
      <c r="V992" s="2">
        <f>MASTER[[#This Row],[MONTO VENDIDO]]-MASTER[[#This Row],[COSTO DE VENTA]]</f>
        <v>612</v>
      </c>
    </row>
    <row r="993" spans="1:22" x14ac:dyDescent="0.3">
      <c r="A993">
        <v>22417</v>
      </c>
      <c r="B993">
        <v>1</v>
      </c>
      <c r="C993" t="s">
        <v>111</v>
      </c>
      <c r="D993" t="s">
        <v>112</v>
      </c>
      <c r="E993" s="1">
        <v>43947</v>
      </c>
      <c r="F993">
        <v>1</v>
      </c>
      <c r="G993" t="s">
        <v>45</v>
      </c>
      <c r="H993" t="s">
        <v>46</v>
      </c>
      <c r="I993" s="3">
        <v>1524</v>
      </c>
      <c r="J993" s="3">
        <v>1524</v>
      </c>
      <c r="K993" s="3">
        <v>434</v>
      </c>
      <c r="L993" t="s">
        <v>113</v>
      </c>
      <c r="M993">
        <v>16</v>
      </c>
      <c r="N993" t="s">
        <v>17</v>
      </c>
      <c r="O993" t="s">
        <v>11</v>
      </c>
      <c r="P993" t="s">
        <v>18</v>
      </c>
      <c r="Q993" t="s">
        <v>19</v>
      </c>
      <c r="R993" t="s">
        <v>138</v>
      </c>
      <c r="S993" t="s">
        <v>144</v>
      </c>
      <c r="T993" s="2">
        <f>MASTER[[#This Row],[CANTIDAD]]*MASTER[[#This Row],[PRECIO DE VENTA]]</f>
        <v>1524</v>
      </c>
      <c r="U993" s="2">
        <f>MASTER[[#This Row],[CANTIDAD]]*MASTER[[#This Row],[COSTO UNITARIO]]</f>
        <v>434</v>
      </c>
      <c r="V993" s="2">
        <f>MASTER[[#This Row],[MONTO VENDIDO]]-MASTER[[#This Row],[COSTO DE VENTA]]</f>
        <v>1090</v>
      </c>
    </row>
    <row r="994" spans="1:22" x14ac:dyDescent="0.3">
      <c r="A994">
        <v>22418</v>
      </c>
      <c r="B994">
        <v>1</v>
      </c>
      <c r="C994" t="s">
        <v>103</v>
      </c>
      <c r="D994" t="s">
        <v>104</v>
      </c>
      <c r="E994" s="1">
        <v>43947</v>
      </c>
      <c r="F994">
        <v>1</v>
      </c>
      <c r="G994" t="s">
        <v>65</v>
      </c>
      <c r="H994" t="s">
        <v>66</v>
      </c>
      <c r="I994" s="3">
        <v>1591</v>
      </c>
      <c r="J994" s="3">
        <v>1591</v>
      </c>
      <c r="K994" s="3">
        <v>421</v>
      </c>
      <c r="L994" t="s">
        <v>98</v>
      </c>
      <c r="M994">
        <v>5</v>
      </c>
      <c r="N994" t="s">
        <v>85</v>
      </c>
      <c r="O994" t="s">
        <v>81</v>
      </c>
      <c r="P994" t="s">
        <v>12</v>
      </c>
      <c r="Q994" t="s">
        <v>13</v>
      </c>
      <c r="R994" t="s">
        <v>13</v>
      </c>
      <c r="S994" t="s">
        <v>144</v>
      </c>
      <c r="T994" s="2">
        <f>MASTER[[#This Row],[CANTIDAD]]*MASTER[[#This Row],[PRECIO DE VENTA]]</f>
        <v>1591</v>
      </c>
      <c r="U994" s="2">
        <f>MASTER[[#This Row],[CANTIDAD]]*MASTER[[#This Row],[COSTO UNITARIO]]</f>
        <v>421</v>
      </c>
      <c r="V994" s="2">
        <f>MASTER[[#This Row],[MONTO VENDIDO]]-MASTER[[#This Row],[COSTO DE VENTA]]</f>
        <v>1170</v>
      </c>
    </row>
    <row r="995" spans="1:22" x14ac:dyDescent="0.3">
      <c r="A995">
        <v>22422</v>
      </c>
      <c r="B995">
        <v>1</v>
      </c>
      <c r="C995" t="s">
        <v>96</v>
      </c>
      <c r="D995" t="s">
        <v>97</v>
      </c>
      <c r="E995" s="1">
        <v>43948</v>
      </c>
      <c r="F995">
        <v>1</v>
      </c>
      <c r="G995" t="s">
        <v>35</v>
      </c>
      <c r="H995" t="s">
        <v>36</v>
      </c>
      <c r="I995" s="3">
        <v>1272</v>
      </c>
      <c r="J995" s="3">
        <v>1272</v>
      </c>
      <c r="K995" s="3">
        <v>397</v>
      </c>
      <c r="L995" t="s">
        <v>98</v>
      </c>
      <c r="M995">
        <v>2</v>
      </c>
      <c r="N995" t="s">
        <v>86</v>
      </c>
      <c r="O995" t="s">
        <v>81</v>
      </c>
      <c r="P995" t="s">
        <v>71</v>
      </c>
      <c r="Q995" t="s">
        <v>72</v>
      </c>
      <c r="R995" t="s">
        <v>139</v>
      </c>
      <c r="S995" t="s">
        <v>144</v>
      </c>
      <c r="T995" s="2">
        <f>MASTER[[#This Row],[CANTIDAD]]*MASTER[[#This Row],[PRECIO DE VENTA]]</f>
        <v>1272</v>
      </c>
      <c r="U995" s="2">
        <f>MASTER[[#This Row],[CANTIDAD]]*MASTER[[#This Row],[COSTO UNITARIO]]</f>
        <v>397</v>
      </c>
      <c r="V995" s="2">
        <f>MASTER[[#This Row],[MONTO VENDIDO]]-MASTER[[#This Row],[COSTO DE VENTA]]</f>
        <v>875</v>
      </c>
    </row>
    <row r="996" spans="1:22" x14ac:dyDescent="0.3">
      <c r="A996">
        <v>22438</v>
      </c>
      <c r="B996">
        <v>1</v>
      </c>
      <c r="C996" t="s">
        <v>101</v>
      </c>
      <c r="D996" t="s">
        <v>102</v>
      </c>
      <c r="E996" s="1">
        <v>43948</v>
      </c>
      <c r="F996">
        <v>1</v>
      </c>
      <c r="G996" t="s">
        <v>57</v>
      </c>
      <c r="H996" t="s">
        <v>58</v>
      </c>
      <c r="I996" s="3">
        <v>1357</v>
      </c>
      <c r="J996" s="3">
        <v>1357</v>
      </c>
      <c r="K996" s="3">
        <v>442</v>
      </c>
      <c r="L996" t="s">
        <v>98</v>
      </c>
      <c r="M996">
        <v>18</v>
      </c>
      <c r="N996" t="s">
        <v>79</v>
      </c>
      <c r="O996" t="s">
        <v>70</v>
      </c>
      <c r="P996" t="s">
        <v>15</v>
      </c>
      <c r="Q996" t="s">
        <v>16</v>
      </c>
      <c r="R996" t="s">
        <v>16</v>
      </c>
      <c r="S996" t="s">
        <v>144</v>
      </c>
      <c r="T996" s="2">
        <f>MASTER[[#This Row],[CANTIDAD]]*MASTER[[#This Row],[PRECIO DE VENTA]]</f>
        <v>1357</v>
      </c>
      <c r="U996" s="2">
        <f>MASTER[[#This Row],[CANTIDAD]]*MASTER[[#This Row],[COSTO UNITARIO]]</f>
        <v>442</v>
      </c>
      <c r="V996" s="2">
        <f>MASTER[[#This Row],[MONTO VENDIDO]]-MASTER[[#This Row],[COSTO DE VENTA]]</f>
        <v>915</v>
      </c>
    </row>
    <row r="997" spans="1:22" x14ac:dyDescent="0.3">
      <c r="A997">
        <v>22446</v>
      </c>
      <c r="B997">
        <v>1</v>
      </c>
      <c r="C997" t="s">
        <v>107</v>
      </c>
      <c r="D997" t="s">
        <v>108</v>
      </c>
      <c r="E997" s="1">
        <v>43948</v>
      </c>
      <c r="F997">
        <v>1</v>
      </c>
      <c r="G997" t="s">
        <v>61</v>
      </c>
      <c r="H997" t="s">
        <v>62</v>
      </c>
      <c r="I997" s="3">
        <v>1240</v>
      </c>
      <c r="J997" s="3">
        <v>1240</v>
      </c>
      <c r="K997" s="3">
        <v>380</v>
      </c>
      <c r="L997" t="s">
        <v>98</v>
      </c>
      <c r="M997">
        <v>11</v>
      </c>
      <c r="N997" t="s">
        <v>10</v>
      </c>
      <c r="O997" t="s">
        <v>11</v>
      </c>
      <c r="P997" t="s">
        <v>12</v>
      </c>
      <c r="Q997" t="s">
        <v>13</v>
      </c>
      <c r="R997" t="s">
        <v>13</v>
      </c>
      <c r="S997" t="s">
        <v>144</v>
      </c>
      <c r="T997" s="2">
        <f>MASTER[[#This Row],[CANTIDAD]]*MASTER[[#This Row],[PRECIO DE VENTA]]</f>
        <v>1240</v>
      </c>
      <c r="U997" s="2">
        <f>MASTER[[#This Row],[CANTIDAD]]*MASTER[[#This Row],[COSTO UNITARIO]]</f>
        <v>380</v>
      </c>
      <c r="V997" s="2">
        <f>MASTER[[#This Row],[MONTO VENDIDO]]-MASTER[[#This Row],[COSTO DE VENTA]]</f>
        <v>860</v>
      </c>
    </row>
    <row r="998" spans="1:22" x14ac:dyDescent="0.3">
      <c r="A998">
        <v>22456</v>
      </c>
      <c r="B998">
        <v>1</v>
      </c>
      <c r="C998" t="s">
        <v>96</v>
      </c>
      <c r="D998" t="s">
        <v>97</v>
      </c>
      <c r="E998" s="1">
        <v>43948</v>
      </c>
      <c r="F998">
        <v>1</v>
      </c>
      <c r="G998" t="s">
        <v>35</v>
      </c>
      <c r="H998" t="s">
        <v>36</v>
      </c>
      <c r="I998" s="3">
        <v>1196</v>
      </c>
      <c r="J998" s="3">
        <v>1196</v>
      </c>
      <c r="K998" s="3">
        <v>397</v>
      </c>
      <c r="L998" t="s">
        <v>98</v>
      </c>
      <c r="M998">
        <v>16</v>
      </c>
      <c r="N998" t="s">
        <v>17</v>
      </c>
      <c r="O998" t="s">
        <v>11</v>
      </c>
      <c r="P998" t="s">
        <v>18</v>
      </c>
      <c r="Q998" t="s">
        <v>19</v>
      </c>
      <c r="R998" t="s">
        <v>138</v>
      </c>
      <c r="S998" t="s">
        <v>144</v>
      </c>
      <c r="T998" s="2">
        <f>MASTER[[#This Row],[CANTIDAD]]*MASTER[[#This Row],[PRECIO DE VENTA]]</f>
        <v>1196</v>
      </c>
      <c r="U998" s="2">
        <f>MASTER[[#This Row],[CANTIDAD]]*MASTER[[#This Row],[COSTO UNITARIO]]</f>
        <v>397</v>
      </c>
      <c r="V998" s="2">
        <f>MASTER[[#This Row],[MONTO VENDIDO]]-MASTER[[#This Row],[COSTO DE VENTA]]</f>
        <v>799</v>
      </c>
    </row>
    <row r="999" spans="1:22" x14ac:dyDescent="0.3">
      <c r="A999">
        <v>22465</v>
      </c>
      <c r="B999">
        <v>1</v>
      </c>
      <c r="C999" t="s">
        <v>90</v>
      </c>
      <c r="D999" t="s">
        <v>91</v>
      </c>
      <c r="E999" s="1">
        <v>43948</v>
      </c>
      <c r="F999">
        <v>1</v>
      </c>
      <c r="G999" t="s">
        <v>29</v>
      </c>
      <c r="H999" t="s">
        <v>30</v>
      </c>
      <c r="I999" s="3">
        <v>1844</v>
      </c>
      <c r="J999" s="3">
        <v>1844</v>
      </c>
      <c r="K999" s="3">
        <v>420</v>
      </c>
      <c r="L999" t="s">
        <v>9</v>
      </c>
      <c r="M999">
        <v>5</v>
      </c>
      <c r="N999" t="s">
        <v>85</v>
      </c>
      <c r="O999" t="s">
        <v>81</v>
      </c>
      <c r="P999" t="s">
        <v>12</v>
      </c>
      <c r="Q999" t="s">
        <v>13</v>
      </c>
      <c r="R999" t="s">
        <v>13</v>
      </c>
      <c r="S999" t="s">
        <v>144</v>
      </c>
      <c r="T999" s="2">
        <f>MASTER[[#This Row],[CANTIDAD]]*MASTER[[#This Row],[PRECIO DE VENTA]]</f>
        <v>1844</v>
      </c>
      <c r="U999" s="2">
        <f>MASTER[[#This Row],[CANTIDAD]]*MASTER[[#This Row],[COSTO UNITARIO]]</f>
        <v>420</v>
      </c>
      <c r="V999" s="2">
        <f>MASTER[[#This Row],[MONTO VENDIDO]]-MASTER[[#This Row],[COSTO DE VENTA]]</f>
        <v>1424</v>
      </c>
    </row>
    <row r="1000" spans="1:22" x14ac:dyDescent="0.3">
      <c r="A1000">
        <v>22488</v>
      </c>
      <c r="B1000">
        <v>1</v>
      </c>
      <c r="C1000" t="s">
        <v>94</v>
      </c>
      <c r="D1000" t="s">
        <v>95</v>
      </c>
      <c r="E1000" s="1">
        <v>43948</v>
      </c>
      <c r="F1000">
        <v>4</v>
      </c>
      <c r="G1000" t="s">
        <v>55</v>
      </c>
      <c r="H1000" t="s">
        <v>56</v>
      </c>
      <c r="I1000" s="3">
        <v>901</v>
      </c>
      <c r="J1000" s="3">
        <v>901</v>
      </c>
      <c r="K1000" s="3">
        <v>392</v>
      </c>
      <c r="L1000" t="s">
        <v>9</v>
      </c>
      <c r="M1000">
        <v>16</v>
      </c>
      <c r="N1000" t="s">
        <v>17</v>
      </c>
      <c r="O1000" t="s">
        <v>11</v>
      </c>
      <c r="P1000" t="s">
        <v>18</v>
      </c>
      <c r="Q1000" t="s">
        <v>19</v>
      </c>
      <c r="R1000" t="s">
        <v>138</v>
      </c>
      <c r="S1000" t="s">
        <v>144</v>
      </c>
      <c r="T1000" s="2">
        <f>MASTER[[#This Row],[CANTIDAD]]*MASTER[[#This Row],[PRECIO DE VENTA]]</f>
        <v>3604</v>
      </c>
      <c r="U1000" s="2">
        <f>MASTER[[#This Row],[CANTIDAD]]*MASTER[[#This Row],[COSTO UNITARIO]]</f>
        <v>1568</v>
      </c>
      <c r="V1000" s="2">
        <f>MASTER[[#This Row],[MONTO VENDIDO]]-MASTER[[#This Row],[COSTO DE VENTA]]</f>
        <v>2036</v>
      </c>
    </row>
    <row r="1001" spans="1:22" x14ac:dyDescent="0.3">
      <c r="A1001">
        <v>22492</v>
      </c>
      <c r="B1001">
        <v>1</v>
      </c>
      <c r="C1001" t="s">
        <v>94</v>
      </c>
      <c r="D1001" t="s">
        <v>95</v>
      </c>
      <c r="E1001" s="1">
        <v>43948</v>
      </c>
      <c r="F1001">
        <v>1</v>
      </c>
      <c r="G1001" t="s">
        <v>43</v>
      </c>
      <c r="H1001" t="s">
        <v>44</v>
      </c>
      <c r="I1001" s="3">
        <v>1153</v>
      </c>
      <c r="J1001" s="3">
        <v>1153</v>
      </c>
      <c r="K1001" s="3">
        <v>392</v>
      </c>
      <c r="L1001" t="s">
        <v>9</v>
      </c>
      <c r="M1001">
        <v>3</v>
      </c>
      <c r="N1001" t="s">
        <v>69</v>
      </c>
      <c r="O1001" t="s">
        <v>70</v>
      </c>
      <c r="P1001" t="s">
        <v>71</v>
      </c>
      <c r="Q1001" t="s">
        <v>72</v>
      </c>
      <c r="R1001" t="s">
        <v>139</v>
      </c>
      <c r="S1001" t="s">
        <v>144</v>
      </c>
      <c r="T1001" s="2">
        <f>MASTER[[#This Row],[CANTIDAD]]*MASTER[[#This Row],[PRECIO DE VENTA]]</f>
        <v>1153</v>
      </c>
      <c r="U1001" s="2">
        <f>MASTER[[#This Row],[CANTIDAD]]*MASTER[[#This Row],[COSTO UNITARIO]]</f>
        <v>392</v>
      </c>
      <c r="V1001" s="2">
        <f>MASTER[[#This Row],[MONTO VENDIDO]]-MASTER[[#This Row],[COSTO DE VENTA]]</f>
        <v>761</v>
      </c>
    </row>
    <row r="1002" spans="1:22" x14ac:dyDescent="0.3">
      <c r="A1002">
        <v>22502</v>
      </c>
      <c r="B1002">
        <v>1</v>
      </c>
      <c r="C1002" t="s">
        <v>107</v>
      </c>
      <c r="D1002" t="s">
        <v>108</v>
      </c>
      <c r="E1002" s="1">
        <v>43949</v>
      </c>
      <c r="F1002">
        <v>1</v>
      </c>
      <c r="G1002" t="s">
        <v>45</v>
      </c>
      <c r="H1002" t="s">
        <v>46</v>
      </c>
      <c r="I1002" s="3">
        <v>1333</v>
      </c>
      <c r="J1002" s="3">
        <v>1333</v>
      </c>
      <c r="K1002" s="3">
        <v>380</v>
      </c>
      <c r="L1002" t="s">
        <v>98</v>
      </c>
      <c r="M1002">
        <v>15</v>
      </c>
      <c r="N1002" t="s">
        <v>88</v>
      </c>
      <c r="O1002" t="s">
        <v>81</v>
      </c>
      <c r="P1002" t="s">
        <v>18</v>
      </c>
      <c r="Q1002" t="s">
        <v>19</v>
      </c>
      <c r="R1002" t="s">
        <v>138</v>
      </c>
      <c r="S1002" t="s">
        <v>144</v>
      </c>
      <c r="T1002" s="2">
        <f>MASTER[[#This Row],[CANTIDAD]]*MASTER[[#This Row],[PRECIO DE VENTA]]</f>
        <v>1333</v>
      </c>
      <c r="U1002" s="2">
        <f>MASTER[[#This Row],[CANTIDAD]]*MASTER[[#This Row],[COSTO UNITARIO]]</f>
        <v>380</v>
      </c>
      <c r="V1002" s="2">
        <f>MASTER[[#This Row],[MONTO VENDIDO]]-MASTER[[#This Row],[COSTO DE VENTA]]</f>
        <v>953</v>
      </c>
    </row>
    <row r="1003" spans="1:22" x14ac:dyDescent="0.3">
      <c r="A1003">
        <v>22529</v>
      </c>
      <c r="B1003">
        <v>1</v>
      </c>
      <c r="C1003" t="s">
        <v>109</v>
      </c>
      <c r="D1003" t="s">
        <v>110</v>
      </c>
      <c r="E1003" s="1">
        <v>43949</v>
      </c>
      <c r="F1003">
        <v>1</v>
      </c>
      <c r="G1003" t="s">
        <v>65</v>
      </c>
      <c r="H1003" t="s">
        <v>66</v>
      </c>
      <c r="I1003" s="3">
        <v>1064</v>
      </c>
      <c r="J1003" s="3">
        <v>1064</v>
      </c>
      <c r="K1003" s="3">
        <v>387</v>
      </c>
      <c r="L1003" t="s">
        <v>98</v>
      </c>
      <c r="M1003">
        <v>19</v>
      </c>
      <c r="N1003" t="s">
        <v>89</v>
      </c>
      <c r="O1003" t="s">
        <v>81</v>
      </c>
      <c r="P1003" t="s">
        <v>15</v>
      </c>
      <c r="Q1003" t="s">
        <v>16</v>
      </c>
      <c r="R1003" t="s">
        <v>16</v>
      </c>
      <c r="S1003" t="s">
        <v>144</v>
      </c>
      <c r="T1003" s="2">
        <f>MASTER[[#This Row],[CANTIDAD]]*MASTER[[#This Row],[PRECIO DE VENTA]]</f>
        <v>1064</v>
      </c>
      <c r="U1003" s="2">
        <f>MASTER[[#This Row],[CANTIDAD]]*MASTER[[#This Row],[COSTO UNITARIO]]</f>
        <v>387</v>
      </c>
      <c r="V1003" s="2">
        <f>MASTER[[#This Row],[MONTO VENDIDO]]-MASTER[[#This Row],[COSTO DE VENTA]]</f>
        <v>677</v>
      </c>
    </row>
    <row r="1004" spans="1:22" x14ac:dyDescent="0.3">
      <c r="A1004">
        <v>22542</v>
      </c>
      <c r="B1004">
        <v>1</v>
      </c>
      <c r="C1004" t="s">
        <v>116</v>
      </c>
      <c r="D1004" t="s">
        <v>117</v>
      </c>
      <c r="E1004" s="1">
        <v>43949</v>
      </c>
      <c r="F1004">
        <v>1</v>
      </c>
      <c r="G1004" t="s">
        <v>59</v>
      </c>
      <c r="H1004" t="s">
        <v>60</v>
      </c>
      <c r="I1004" s="3">
        <v>1999</v>
      </c>
      <c r="J1004" s="3">
        <v>1999</v>
      </c>
      <c r="K1004" s="3">
        <v>388</v>
      </c>
      <c r="L1004" t="s">
        <v>113</v>
      </c>
      <c r="M1004">
        <v>3</v>
      </c>
      <c r="N1004" t="s">
        <v>69</v>
      </c>
      <c r="O1004" t="s">
        <v>70</v>
      </c>
      <c r="P1004" t="s">
        <v>71</v>
      </c>
      <c r="Q1004" t="s">
        <v>72</v>
      </c>
      <c r="R1004" t="s">
        <v>139</v>
      </c>
      <c r="S1004" t="s">
        <v>144</v>
      </c>
      <c r="T1004" s="2">
        <f>MASTER[[#This Row],[CANTIDAD]]*MASTER[[#This Row],[PRECIO DE VENTA]]</f>
        <v>1999</v>
      </c>
      <c r="U1004" s="2">
        <f>MASTER[[#This Row],[CANTIDAD]]*MASTER[[#This Row],[COSTO UNITARIO]]</f>
        <v>388</v>
      </c>
      <c r="V1004" s="2">
        <f>MASTER[[#This Row],[MONTO VENDIDO]]-MASTER[[#This Row],[COSTO DE VENTA]]</f>
        <v>1611</v>
      </c>
    </row>
    <row r="1005" spans="1:22" x14ac:dyDescent="0.3">
      <c r="A1005">
        <v>22545</v>
      </c>
      <c r="B1005">
        <v>1</v>
      </c>
      <c r="C1005" t="s">
        <v>103</v>
      </c>
      <c r="D1005" t="s">
        <v>104</v>
      </c>
      <c r="E1005" s="1">
        <v>43949</v>
      </c>
      <c r="F1005">
        <v>1</v>
      </c>
      <c r="G1005" t="s">
        <v>22</v>
      </c>
      <c r="H1005" t="s">
        <v>23</v>
      </c>
      <c r="I1005" s="3">
        <v>1591</v>
      </c>
      <c r="J1005" s="3">
        <v>1591</v>
      </c>
      <c r="K1005" s="3">
        <v>421</v>
      </c>
      <c r="L1005" t="s">
        <v>98</v>
      </c>
      <c r="M1005">
        <v>15</v>
      </c>
      <c r="N1005" t="s">
        <v>88</v>
      </c>
      <c r="O1005" t="s">
        <v>81</v>
      </c>
      <c r="P1005" t="s">
        <v>18</v>
      </c>
      <c r="Q1005" t="s">
        <v>19</v>
      </c>
      <c r="R1005" t="s">
        <v>138</v>
      </c>
      <c r="S1005" t="s">
        <v>144</v>
      </c>
      <c r="T1005" s="2">
        <f>MASTER[[#This Row],[CANTIDAD]]*MASTER[[#This Row],[PRECIO DE VENTA]]</f>
        <v>1591</v>
      </c>
      <c r="U1005" s="2">
        <f>MASTER[[#This Row],[CANTIDAD]]*MASTER[[#This Row],[COSTO UNITARIO]]</f>
        <v>421</v>
      </c>
      <c r="V1005" s="2">
        <f>MASTER[[#This Row],[MONTO VENDIDO]]-MASTER[[#This Row],[COSTO DE VENTA]]</f>
        <v>1170</v>
      </c>
    </row>
    <row r="1006" spans="1:22" x14ac:dyDescent="0.3">
      <c r="A1006">
        <v>22591</v>
      </c>
      <c r="B1006">
        <v>1</v>
      </c>
      <c r="C1006" t="s">
        <v>107</v>
      </c>
      <c r="D1006" t="s">
        <v>108</v>
      </c>
      <c r="E1006" s="1">
        <v>43949</v>
      </c>
      <c r="F1006">
        <v>1</v>
      </c>
      <c r="G1006" t="s">
        <v>33</v>
      </c>
      <c r="H1006" t="s">
        <v>34</v>
      </c>
      <c r="I1006" s="3">
        <v>1333</v>
      </c>
      <c r="J1006" s="3">
        <v>1213</v>
      </c>
      <c r="K1006" s="3">
        <v>380</v>
      </c>
      <c r="L1006" t="s">
        <v>98</v>
      </c>
      <c r="M1006">
        <v>2</v>
      </c>
      <c r="N1006" t="s">
        <v>86</v>
      </c>
      <c r="O1006" t="s">
        <v>81</v>
      </c>
      <c r="P1006" t="s">
        <v>71</v>
      </c>
      <c r="Q1006" t="s">
        <v>72</v>
      </c>
      <c r="R1006" t="s">
        <v>139</v>
      </c>
      <c r="S1006" t="s">
        <v>144</v>
      </c>
      <c r="T1006" s="2">
        <f>MASTER[[#This Row],[CANTIDAD]]*MASTER[[#This Row],[PRECIO DE VENTA]]</f>
        <v>1213</v>
      </c>
      <c r="U1006" s="2">
        <f>MASTER[[#This Row],[CANTIDAD]]*MASTER[[#This Row],[COSTO UNITARIO]]</f>
        <v>380</v>
      </c>
      <c r="V1006" s="2">
        <f>MASTER[[#This Row],[MONTO VENDIDO]]-MASTER[[#This Row],[COSTO DE VENTA]]</f>
        <v>833</v>
      </c>
    </row>
    <row r="1007" spans="1:22" x14ac:dyDescent="0.3">
      <c r="A1007">
        <v>22597</v>
      </c>
      <c r="B1007">
        <v>1</v>
      </c>
      <c r="C1007" t="s">
        <v>103</v>
      </c>
      <c r="D1007" t="s">
        <v>104</v>
      </c>
      <c r="E1007" s="1">
        <v>43949</v>
      </c>
      <c r="F1007">
        <v>1</v>
      </c>
      <c r="G1007" t="s">
        <v>57</v>
      </c>
      <c r="H1007" t="s">
        <v>58</v>
      </c>
      <c r="I1007" s="3">
        <v>1591</v>
      </c>
      <c r="J1007" s="3">
        <v>1591</v>
      </c>
      <c r="K1007" s="3">
        <v>421</v>
      </c>
      <c r="L1007" t="s">
        <v>98</v>
      </c>
      <c r="M1007">
        <v>8</v>
      </c>
      <c r="N1007" t="s">
        <v>80</v>
      </c>
      <c r="O1007" t="s">
        <v>81</v>
      </c>
      <c r="P1007" t="s">
        <v>12</v>
      </c>
      <c r="Q1007" t="s">
        <v>13</v>
      </c>
      <c r="R1007" t="s">
        <v>13</v>
      </c>
      <c r="S1007" t="s">
        <v>144</v>
      </c>
      <c r="T1007" s="2">
        <f>MASTER[[#This Row],[CANTIDAD]]*MASTER[[#This Row],[PRECIO DE VENTA]]</f>
        <v>1591</v>
      </c>
      <c r="U1007" s="2">
        <f>MASTER[[#This Row],[CANTIDAD]]*MASTER[[#This Row],[COSTO UNITARIO]]</f>
        <v>421</v>
      </c>
      <c r="V1007" s="2">
        <f>MASTER[[#This Row],[MONTO VENDIDO]]-MASTER[[#This Row],[COSTO DE VENTA]]</f>
        <v>1170</v>
      </c>
    </row>
    <row r="1008" spans="1:22" x14ac:dyDescent="0.3">
      <c r="A1008">
        <v>22618</v>
      </c>
      <c r="B1008">
        <v>1</v>
      </c>
      <c r="C1008" t="s">
        <v>109</v>
      </c>
      <c r="D1008" t="s">
        <v>110</v>
      </c>
      <c r="E1008" s="1">
        <v>43950</v>
      </c>
      <c r="F1008">
        <v>1</v>
      </c>
      <c r="G1008" t="s">
        <v>29</v>
      </c>
      <c r="H1008" t="s">
        <v>30</v>
      </c>
      <c r="I1008" s="3">
        <v>1064</v>
      </c>
      <c r="J1008" s="3">
        <v>1064</v>
      </c>
      <c r="K1008" s="3">
        <v>387</v>
      </c>
      <c r="L1008" t="s">
        <v>98</v>
      </c>
      <c r="M1008">
        <v>4</v>
      </c>
      <c r="N1008" t="s">
        <v>82</v>
      </c>
      <c r="O1008" t="s">
        <v>81</v>
      </c>
      <c r="P1008" t="s">
        <v>71</v>
      </c>
      <c r="Q1008" t="s">
        <v>72</v>
      </c>
      <c r="R1008" t="s">
        <v>139</v>
      </c>
      <c r="S1008" t="s">
        <v>144</v>
      </c>
      <c r="T1008" s="2">
        <f>MASTER[[#This Row],[CANTIDAD]]*MASTER[[#This Row],[PRECIO DE VENTA]]</f>
        <v>1064</v>
      </c>
      <c r="U1008" s="2">
        <f>MASTER[[#This Row],[CANTIDAD]]*MASTER[[#This Row],[COSTO UNITARIO]]</f>
        <v>387</v>
      </c>
      <c r="V1008" s="2">
        <f>MASTER[[#This Row],[MONTO VENDIDO]]-MASTER[[#This Row],[COSTO DE VENTA]]</f>
        <v>677</v>
      </c>
    </row>
    <row r="1009" spans="1:22" x14ac:dyDescent="0.3">
      <c r="A1009">
        <v>22633</v>
      </c>
      <c r="B1009">
        <v>1</v>
      </c>
      <c r="C1009" t="s">
        <v>92</v>
      </c>
      <c r="D1009" t="s">
        <v>93</v>
      </c>
      <c r="E1009" s="1">
        <v>43950</v>
      </c>
      <c r="F1009">
        <v>1</v>
      </c>
      <c r="G1009" t="s">
        <v>51</v>
      </c>
      <c r="H1009" t="s">
        <v>52</v>
      </c>
      <c r="I1009" s="3">
        <v>1866</v>
      </c>
      <c r="J1009" s="3">
        <v>1866</v>
      </c>
      <c r="K1009" s="3">
        <v>396</v>
      </c>
      <c r="L1009" t="s">
        <v>9</v>
      </c>
      <c r="M1009">
        <v>9</v>
      </c>
      <c r="N1009" t="s">
        <v>76</v>
      </c>
      <c r="O1009" t="s">
        <v>70</v>
      </c>
      <c r="P1009" t="s">
        <v>12</v>
      </c>
      <c r="Q1009" t="s">
        <v>13</v>
      </c>
      <c r="R1009" t="s">
        <v>13</v>
      </c>
      <c r="S1009" t="s">
        <v>144</v>
      </c>
      <c r="T1009" s="2">
        <f>MASTER[[#This Row],[CANTIDAD]]*MASTER[[#This Row],[PRECIO DE VENTA]]</f>
        <v>1866</v>
      </c>
      <c r="U1009" s="2">
        <f>MASTER[[#This Row],[CANTIDAD]]*MASTER[[#This Row],[COSTO UNITARIO]]</f>
        <v>396</v>
      </c>
      <c r="V1009" s="2">
        <f>MASTER[[#This Row],[MONTO VENDIDO]]-MASTER[[#This Row],[COSTO DE VENTA]]</f>
        <v>1470</v>
      </c>
    </row>
    <row r="1010" spans="1:22" x14ac:dyDescent="0.3">
      <c r="A1010">
        <v>22639</v>
      </c>
      <c r="B1010">
        <v>1</v>
      </c>
      <c r="C1010" t="s">
        <v>94</v>
      </c>
      <c r="D1010" t="s">
        <v>95</v>
      </c>
      <c r="E1010" s="1">
        <v>43950</v>
      </c>
      <c r="F1010">
        <v>1</v>
      </c>
      <c r="G1010" t="s">
        <v>24</v>
      </c>
      <c r="H1010" t="s">
        <v>25</v>
      </c>
      <c r="I1010" s="3">
        <v>1048</v>
      </c>
      <c r="J1010" s="3">
        <v>1048</v>
      </c>
      <c r="K1010" s="3">
        <v>392</v>
      </c>
      <c r="L1010" t="s">
        <v>9</v>
      </c>
      <c r="M1010">
        <v>7</v>
      </c>
      <c r="N1010" t="s">
        <v>84</v>
      </c>
      <c r="O1010" t="s">
        <v>81</v>
      </c>
      <c r="P1010" t="s">
        <v>12</v>
      </c>
      <c r="Q1010" t="s">
        <v>13</v>
      </c>
      <c r="R1010" t="s">
        <v>13</v>
      </c>
      <c r="S1010" t="s">
        <v>144</v>
      </c>
      <c r="T1010" s="2">
        <f>MASTER[[#This Row],[CANTIDAD]]*MASTER[[#This Row],[PRECIO DE VENTA]]</f>
        <v>1048</v>
      </c>
      <c r="U1010" s="2">
        <f>MASTER[[#This Row],[CANTIDAD]]*MASTER[[#This Row],[COSTO UNITARIO]]</f>
        <v>392</v>
      </c>
      <c r="V1010" s="2">
        <f>MASTER[[#This Row],[MONTO VENDIDO]]-MASTER[[#This Row],[COSTO DE VENTA]]</f>
        <v>656</v>
      </c>
    </row>
    <row r="1011" spans="1:22" x14ac:dyDescent="0.3">
      <c r="A1011">
        <v>22668</v>
      </c>
      <c r="B1011">
        <v>1</v>
      </c>
      <c r="C1011" t="s">
        <v>92</v>
      </c>
      <c r="D1011" t="s">
        <v>93</v>
      </c>
      <c r="E1011" s="1">
        <v>43950</v>
      </c>
      <c r="F1011">
        <v>1</v>
      </c>
      <c r="G1011" t="s">
        <v>61</v>
      </c>
      <c r="H1011" t="s">
        <v>62</v>
      </c>
      <c r="I1011" s="3">
        <v>1479</v>
      </c>
      <c r="J1011" s="3">
        <v>1479</v>
      </c>
      <c r="K1011" s="3">
        <v>396</v>
      </c>
      <c r="L1011" t="s">
        <v>9</v>
      </c>
      <c r="M1011">
        <v>11</v>
      </c>
      <c r="N1011" t="s">
        <v>10</v>
      </c>
      <c r="O1011" t="s">
        <v>11</v>
      </c>
      <c r="P1011" t="s">
        <v>12</v>
      </c>
      <c r="Q1011" t="s">
        <v>13</v>
      </c>
      <c r="R1011" t="s">
        <v>13</v>
      </c>
      <c r="S1011" t="s">
        <v>144</v>
      </c>
      <c r="T1011" s="2">
        <f>MASTER[[#This Row],[CANTIDAD]]*MASTER[[#This Row],[PRECIO DE VENTA]]</f>
        <v>1479</v>
      </c>
      <c r="U1011" s="2">
        <f>MASTER[[#This Row],[CANTIDAD]]*MASTER[[#This Row],[COSTO UNITARIO]]</f>
        <v>396</v>
      </c>
      <c r="V1011" s="2">
        <f>MASTER[[#This Row],[MONTO VENDIDO]]-MASTER[[#This Row],[COSTO DE VENTA]]</f>
        <v>1083</v>
      </c>
    </row>
    <row r="1012" spans="1:22" x14ac:dyDescent="0.3">
      <c r="A1012">
        <v>22685</v>
      </c>
      <c r="B1012">
        <v>1</v>
      </c>
      <c r="C1012" t="s">
        <v>92</v>
      </c>
      <c r="D1012" t="s">
        <v>93</v>
      </c>
      <c r="E1012" s="1">
        <v>43950</v>
      </c>
      <c r="F1012">
        <v>1</v>
      </c>
      <c r="G1012" t="s">
        <v>49</v>
      </c>
      <c r="H1012" t="s">
        <v>50</v>
      </c>
      <c r="I1012" s="3">
        <v>1866</v>
      </c>
      <c r="J1012" s="3">
        <v>1866</v>
      </c>
      <c r="K1012" s="3">
        <v>396</v>
      </c>
      <c r="L1012" t="s">
        <v>9</v>
      </c>
      <c r="M1012">
        <v>1</v>
      </c>
      <c r="N1012" t="s">
        <v>77</v>
      </c>
      <c r="O1012" t="s">
        <v>70</v>
      </c>
      <c r="P1012" t="s">
        <v>71</v>
      </c>
      <c r="Q1012" t="s">
        <v>72</v>
      </c>
      <c r="R1012" t="s">
        <v>139</v>
      </c>
      <c r="S1012" t="s">
        <v>144</v>
      </c>
      <c r="T1012" s="2">
        <f>MASTER[[#This Row],[CANTIDAD]]*MASTER[[#This Row],[PRECIO DE VENTA]]</f>
        <v>1866</v>
      </c>
      <c r="U1012" s="2">
        <f>MASTER[[#This Row],[CANTIDAD]]*MASTER[[#This Row],[COSTO UNITARIO]]</f>
        <v>396</v>
      </c>
      <c r="V1012" s="2">
        <f>MASTER[[#This Row],[MONTO VENDIDO]]-MASTER[[#This Row],[COSTO DE VENTA]]</f>
        <v>1470</v>
      </c>
    </row>
    <row r="1013" spans="1:22" x14ac:dyDescent="0.3">
      <c r="A1013">
        <v>22697</v>
      </c>
      <c r="B1013">
        <v>1</v>
      </c>
      <c r="C1013" t="s">
        <v>92</v>
      </c>
      <c r="D1013" t="s">
        <v>93</v>
      </c>
      <c r="E1013" s="1">
        <v>43950</v>
      </c>
      <c r="F1013">
        <v>1</v>
      </c>
      <c r="G1013" t="s">
        <v>37</v>
      </c>
      <c r="H1013" t="s">
        <v>38</v>
      </c>
      <c r="I1013" s="3">
        <v>1866</v>
      </c>
      <c r="J1013" s="3">
        <v>1866</v>
      </c>
      <c r="K1013" s="3">
        <v>396</v>
      </c>
      <c r="L1013" t="s">
        <v>9</v>
      </c>
      <c r="M1013">
        <v>9</v>
      </c>
      <c r="N1013" t="s">
        <v>76</v>
      </c>
      <c r="O1013" t="s">
        <v>70</v>
      </c>
      <c r="P1013" t="s">
        <v>12</v>
      </c>
      <c r="Q1013" t="s">
        <v>13</v>
      </c>
      <c r="R1013" t="s">
        <v>13</v>
      </c>
      <c r="S1013" t="s">
        <v>144</v>
      </c>
      <c r="T1013" s="2">
        <f>MASTER[[#This Row],[CANTIDAD]]*MASTER[[#This Row],[PRECIO DE VENTA]]</f>
        <v>1866</v>
      </c>
      <c r="U1013" s="2">
        <f>MASTER[[#This Row],[CANTIDAD]]*MASTER[[#This Row],[COSTO UNITARIO]]</f>
        <v>396</v>
      </c>
      <c r="V1013" s="2">
        <f>MASTER[[#This Row],[MONTO VENDIDO]]-MASTER[[#This Row],[COSTO DE VENTA]]</f>
        <v>1470</v>
      </c>
    </row>
    <row r="1014" spans="1:22" x14ac:dyDescent="0.3">
      <c r="A1014">
        <v>22704</v>
      </c>
      <c r="B1014">
        <v>1</v>
      </c>
      <c r="C1014" t="s">
        <v>118</v>
      </c>
      <c r="D1014" t="s">
        <v>119</v>
      </c>
      <c r="E1014" s="1">
        <v>43951</v>
      </c>
      <c r="F1014">
        <v>1</v>
      </c>
      <c r="G1014" t="s">
        <v>63</v>
      </c>
      <c r="H1014" t="s">
        <v>64</v>
      </c>
      <c r="I1014" s="3">
        <v>900</v>
      </c>
      <c r="J1014" s="3">
        <v>900</v>
      </c>
      <c r="K1014" s="3">
        <v>424</v>
      </c>
      <c r="L1014" t="s">
        <v>120</v>
      </c>
      <c r="M1014">
        <v>2</v>
      </c>
      <c r="N1014" t="s">
        <v>86</v>
      </c>
      <c r="O1014" t="s">
        <v>81</v>
      </c>
      <c r="P1014" t="s">
        <v>71</v>
      </c>
      <c r="Q1014" t="s">
        <v>72</v>
      </c>
      <c r="R1014" t="s">
        <v>139</v>
      </c>
      <c r="S1014" t="s">
        <v>144</v>
      </c>
      <c r="T1014" s="2">
        <f>MASTER[[#This Row],[CANTIDAD]]*MASTER[[#This Row],[PRECIO DE VENTA]]</f>
        <v>900</v>
      </c>
      <c r="U1014" s="2">
        <f>MASTER[[#This Row],[CANTIDAD]]*MASTER[[#This Row],[COSTO UNITARIO]]</f>
        <v>424</v>
      </c>
      <c r="V1014" s="2">
        <f>MASTER[[#This Row],[MONTO VENDIDO]]-MASTER[[#This Row],[COSTO DE VENTA]]</f>
        <v>476</v>
      </c>
    </row>
    <row r="1015" spans="1:22" x14ac:dyDescent="0.3">
      <c r="A1015">
        <v>22705</v>
      </c>
      <c r="B1015">
        <v>1</v>
      </c>
      <c r="C1015" t="s">
        <v>116</v>
      </c>
      <c r="D1015" t="s">
        <v>117</v>
      </c>
      <c r="E1015" s="1">
        <v>43951</v>
      </c>
      <c r="F1015">
        <v>1</v>
      </c>
      <c r="G1015" t="s">
        <v>61</v>
      </c>
      <c r="H1015" t="s">
        <v>62</v>
      </c>
      <c r="I1015" s="3">
        <v>1738</v>
      </c>
      <c r="J1015" s="3">
        <v>1738</v>
      </c>
      <c r="K1015" s="3">
        <v>388</v>
      </c>
      <c r="L1015" t="s">
        <v>113</v>
      </c>
      <c r="M1015">
        <v>15</v>
      </c>
      <c r="N1015" t="s">
        <v>88</v>
      </c>
      <c r="O1015" t="s">
        <v>81</v>
      </c>
      <c r="P1015" t="s">
        <v>18</v>
      </c>
      <c r="Q1015" t="s">
        <v>19</v>
      </c>
      <c r="R1015" t="s">
        <v>138</v>
      </c>
      <c r="S1015" t="s">
        <v>144</v>
      </c>
      <c r="T1015" s="2">
        <f>MASTER[[#This Row],[CANTIDAD]]*MASTER[[#This Row],[PRECIO DE VENTA]]</f>
        <v>1738</v>
      </c>
      <c r="U1015" s="2">
        <f>MASTER[[#This Row],[CANTIDAD]]*MASTER[[#This Row],[COSTO UNITARIO]]</f>
        <v>388</v>
      </c>
      <c r="V1015" s="2">
        <f>MASTER[[#This Row],[MONTO VENDIDO]]-MASTER[[#This Row],[COSTO DE VENTA]]</f>
        <v>1350</v>
      </c>
    </row>
    <row r="1016" spans="1:22" x14ac:dyDescent="0.3">
      <c r="A1016">
        <v>22711</v>
      </c>
      <c r="B1016">
        <v>1</v>
      </c>
      <c r="C1016" t="s">
        <v>101</v>
      </c>
      <c r="D1016" t="s">
        <v>102</v>
      </c>
      <c r="E1016" s="1">
        <v>43951</v>
      </c>
      <c r="F1016">
        <v>1</v>
      </c>
      <c r="G1016" t="s">
        <v>45</v>
      </c>
      <c r="H1016" t="s">
        <v>46</v>
      </c>
      <c r="I1016" s="3">
        <v>1212</v>
      </c>
      <c r="J1016" s="3">
        <v>1115</v>
      </c>
      <c r="K1016" s="3">
        <v>442</v>
      </c>
      <c r="L1016" t="s">
        <v>98</v>
      </c>
      <c r="M1016">
        <v>8</v>
      </c>
      <c r="N1016" t="s">
        <v>80</v>
      </c>
      <c r="O1016" t="s">
        <v>81</v>
      </c>
      <c r="P1016" t="s">
        <v>12</v>
      </c>
      <c r="Q1016" t="s">
        <v>13</v>
      </c>
      <c r="R1016" t="s">
        <v>13</v>
      </c>
      <c r="S1016" t="s">
        <v>144</v>
      </c>
      <c r="T1016" s="2">
        <f>MASTER[[#This Row],[CANTIDAD]]*MASTER[[#This Row],[PRECIO DE VENTA]]</f>
        <v>1115</v>
      </c>
      <c r="U1016" s="2">
        <f>MASTER[[#This Row],[CANTIDAD]]*MASTER[[#This Row],[COSTO UNITARIO]]</f>
        <v>442</v>
      </c>
      <c r="V1016" s="2">
        <f>MASTER[[#This Row],[MONTO VENDIDO]]-MASTER[[#This Row],[COSTO DE VENTA]]</f>
        <v>673</v>
      </c>
    </row>
    <row r="1017" spans="1:22" x14ac:dyDescent="0.3">
      <c r="A1017">
        <v>22715</v>
      </c>
      <c r="B1017">
        <v>1</v>
      </c>
      <c r="C1017" t="s">
        <v>107</v>
      </c>
      <c r="D1017" t="s">
        <v>108</v>
      </c>
      <c r="E1017" s="1">
        <v>43951</v>
      </c>
      <c r="F1017">
        <v>1</v>
      </c>
      <c r="G1017" t="s">
        <v>67</v>
      </c>
      <c r="H1017" t="s">
        <v>68</v>
      </c>
      <c r="I1017" s="3">
        <v>1333</v>
      </c>
      <c r="J1017" s="3">
        <v>1213</v>
      </c>
      <c r="K1017" s="3">
        <v>380</v>
      </c>
      <c r="L1017" t="s">
        <v>98</v>
      </c>
      <c r="M1017">
        <v>7</v>
      </c>
      <c r="N1017" t="s">
        <v>84</v>
      </c>
      <c r="O1017" t="s">
        <v>81</v>
      </c>
      <c r="P1017" t="s">
        <v>12</v>
      </c>
      <c r="Q1017" t="s">
        <v>13</v>
      </c>
      <c r="R1017" t="s">
        <v>13</v>
      </c>
      <c r="S1017" t="s">
        <v>144</v>
      </c>
      <c r="T1017" s="2">
        <f>MASTER[[#This Row],[CANTIDAD]]*MASTER[[#This Row],[PRECIO DE VENTA]]</f>
        <v>1213</v>
      </c>
      <c r="U1017" s="2">
        <f>MASTER[[#This Row],[CANTIDAD]]*MASTER[[#This Row],[COSTO UNITARIO]]</f>
        <v>380</v>
      </c>
      <c r="V1017" s="2">
        <f>MASTER[[#This Row],[MONTO VENDIDO]]-MASTER[[#This Row],[COSTO DE VENTA]]</f>
        <v>833</v>
      </c>
    </row>
    <row r="1018" spans="1:22" x14ac:dyDescent="0.3">
      <c r="A1018">
        <v>22732</v>
      </c>
      <c r="B1018">
        <v>1</v>
      </c>
      <c r="C1018" t="s">
        <v>94</v>
      </c>
      <c r="D1018" t="s">
        <v>95</v>
      </c>
      <c r="E1018" s="1">
        <v>43951</v>
      </c>
      <c r="F1018">
        <v>1</v>
      </c>
      <c r="G1018" t="s">
        <v>27</v>
      </c>
      <c r="H1018" t="s">
        <v>28</v>
      </c>
      <c r="I1018" s="3">
        <v>1153</v>
      </c>
      <c r="J1018" s="3">
        <v>1153</v>
      </c>
      <c r="K1018" s="3">
        <v>392</v>
      </c>
      <c r="L1018" t="s">
        <v>9</v>
      </c>
      <c r="M1018">
        <v>9</v>
      </c>
      <c r="N1018" t="s">
        <v>76</v>
      </c>
      <c r="O1018" t="s">
        <v>70</v>
      </c>
      <c r="P1018" t="s">
        <v>12</v>
      </c>
      <c r="Q1018" t="s">
        <v>13</v>
      </c>
      <c r="R1018" t="s">
        <v>13</v>
      </c>
      <c r="S1018" t="s">
        <v>144</v>
      </c>
      <c r="T1018" s="2">
        <f>MASTER[[#This Row],[CANTIDAD]]*MASTER[[#This Row],[PRECIO DE VENTA]]</f>
        <v>1153</v>
      </c>
      <c r="U1018" s="2">
        <f>MASTER[[#This Row],[CANTIDAD]]*MASTER[[#This Row],[COSTO UNITARIO]]</f>
        <v>392</v>
      </c>
      <c r="V1018" s="2">
        <f>MASTER[[#This Row],[MONTO VENDIDO]]-MASTER[[#This Row],[COSTO DE VENTA]]</f>
        <v>761</v>
      </c>
    </row>
    <row r="1019" spans="1:22" x14ac:dyDescent="0.3">
      <c r="A1019">
        <v>22751</v>
      </c>
      <c r="B1019">
        <v>2</v>
      </c>
      <c r="C1019" t="s">
        <v>116</v>
      </c>
      <c r="D1019" t="s">
        <v>117</v>
      </c>
      <c r="E1019" s="1">
        <v>43952</v>
      </c>
      <c r="F1019">
        <v>1</v>
      </c>
      <c r="G1019" t="s">
        <v>39</v>
      </c>
      <c r="H1019" t="s">
        <v>40</v>
      </c>
      <c r="I1019" s="3">
        <v>1529</v>
      </c>
      <c r="J1019" s="3">
        <v>1529</v>
      </c>
      <c r="K1019" s="3">
        <v>388</v>
      </c>
      <c r="L1019" t="s">
        <v>113</v>
      </c>
      <c r="M1019">
        <v>12</v>
      </c>
      <c r="N1019" t="s">
        <v>26</v>
      </c>
      <c r="O1019" t="s">
        <v>11</v>
      </c>
      <c r="P1019" t="s">
        <v>12</v>
      </c>
      <c r="Q1019" t="s">
        <v>13</v>
      </c>
      <c r="R1019" t="s">
        <v>13</v>
      </c>
      <c r="S1019" t="s">
        <v>144</v>
      </c>
      <c r="T1019" s="2">
        <f>MASTER[[#This Row],[CANTIDAD]]*MASTER[[#This Row],[PRECIO DE VENTA]]</f>
        <v>1529</v>
      </c>
      <c r="U1019" s="2">
        <f>MASTER[[#This Row],[CANTIDAD]]*MASTER[[#This Row],[COSTO UNITARIO]]</f>
        <v>388</v>
      </c>
      <c r="V1019" s="2">
        <f>MASTER[[#This Row],[MONTO VENDIDO]]-MASTER[[#This Row],[COSTO DE VENTA]]</f>
        <v>1141</v>
      </c>
    </row>
    <row r="1020" spans="1:22" x14ac:dyDescent="0.3">
      <c r="A1020">
        <v>22751</v>
      </c>
      <c r="B1020">
        <v>1</v>
      </c>
      <c r="C1020" t="s">
        <v>118</v>
      </c>
      <c r="D1020" t="s">
        <v>119</v>
      </c>
      <c r="E1020" s="1">
        <v>43952</v>
      </c>
      <c r="F1020">
        <v>1</v>
      </c>
      <c r="G1020" t="s">
        <v>35</v>
      </c>
      <c r="H1020" t="s">
        <v>36</v>
      </c>
      <c r="I1020" s="3">
        <v>801</v>
      </c>
      <c r="J1020" s="3">
        <v>801</v>
      </c>
      <c r="K1020" s="3">
        <v>424</v>
      </c>
      <c r="L1020" t="s">
        <v>120</v>
      </c>
      <c r="M1020">
        <v>12</v>
      </c>
      <c r="N1020" t="s">
        <v>26</v>
      </c>
      <c r="O1020" t="s">
        <v>11</v>
      </c>
      <c r="P1020" t="s">
        <v>12</v>
      </c>
      <c r="Q1020" t="s">
        <v>13</v>
      </c>
      <c r="R1020" t="s">
        <v>13</v>
      </c>
      <c r="S1020" t="s">
        <v>144</v>
      </c>
      <c r="T1020" s="2">
        <f>MASTER[[#This Row],[CANTIDAD]]*MASTER[[#This Row],[PRECIO DE VENTA]]</f>
        <v>801</v>
      </c>
      <c r="U1020" s="2">
        <f>MASTER[[#This Row],[CANTIDAD]]*MASTER[[#This Row],[COSTO UNITARIO]]</f>
        <v>424</v>
      </c>
      <c r="V1020" s="2">
        <f>MASTER[[#This Row],[MONTO VENDIDO]]-MASTER[[#This Row],[COSTO DE VENTA]]</f>
        <v>377</v>
      </c>
    </row>
    <row r="1021" spans="1:22" x14ac:dyDescent="0.3">
      <c r="A1021">
        <v>22762</v>
      </c>
      <c r="B1021">
        <v>1</v>
      </c>
      <c r="C1021" t="s">
        <v>116</v>
      </c>
      <c r="D1021" t="s">
        <v>117</v>
      </c>
      <c r="E1021" s="1">
        <v>43952</v>
      </c>
      <c r="F1021">
        <v>1</v>
      </c>
      <c r="G1021" t="s">
        <v>65</v>
      </c>
      <c r="H1021" t="s">
        <v>66</v>
      </c>
      <c r="I1021" s="3">
        <v>1999</v>
      </c>
      <c r="J1021" s="3">
        <v>1999</v>
      </c>
      <c r="K1021" s="3">
        <v>388</v>
      </c>
      <c r="L1021" t="s">
        <v>113</v>
      </c>
      <c r="M1021">
        <v>6</v>
      </c>
      <c r="N1021" t="s">
        <v>75</v>
      </c>
      <c r="O1021" t="s">
        <v>70</v>
      </c>
      <c r="P1021" t="s">
        <v>12</v>
      </c>
      <c r="Q1021" t="s">
        <v>13</v>
      </c>
      <c r="R1021" t="s">
        <v>13</v>
      </c>
      <c r="S1021" t="s">
        <v>144</v>
      </c>
      <c r="T1021" s="2">
        <f>MASTER[[#This Row],[CANTIDAD]]*MASTER[[#This Row],[PRECIO DE VENTA]]</f>
        <v>1999</v>
      </c>
      <c r="U1021" s="2">
        <f>MASTER[[#This Row],[CANTIDAD]]*MASTER[[#This Row],[COSTO UNITARIO]]</f>
        <v>388</v>
      </c>
      <c r="V1021" s="2">
        <f>MASTER[[#This Row],[MONTO VENDIDO]]-MASTER[[#This Row],[COSTO DE VENTA]]</f>
        <v>1611</v>
      </c>
    </row>
    <row r="1022" spans="1:22" x14ac:dyDescent="0.3">
      <c r="A1022">
        <v>22773</v>
      </c>
      <c r="B1022">
        <v>1</v>
      </c>
      <c r="C1022" t="s">
        <v>90</v>
      </c>
      <c r="D1022" t="s">
        <v>91</v>
      </c>
      <c r="E1022" s="1">
        <v>43952</v>
      </c>
      <c r="F1022">
        <v>1</v>
      </c>
      <c r="G1022" t="s">
        <v>49</v>
      </c>
      <c r="H1022" t="s">
        <v>50</v>
      </c>
      <c r="I1022" s="3">
        <v>2102</v>
      </c>
      <c r="J1022" s="3">
        <v>1996</v>
      </c>
      <c r="K1022" s="3">
        <v>420</v>
      </c>
      <c r="L1022" t="s">
        <v>9</v>
      </c>
      <c r="M1022">
        <v>18</v>
      </c>
      <c r="N1022" t="s">
        <v>79</v>
      </c>
      <c r="O1022" t="s">
        <v>70</v>
      </c>
      <c r="P1022" t="s">
        <v>15</v>
      </c>
      <c r="Q1022" t="s">
        <v>16</v>
      </c>
      <c r="R1022" t="s">
        <v>16</v>
      </c>
      <c r="S1022" t="s">
        <v>144</v>
      </c>
      <c r="T1022" s="2">
        <f>MASTER[[#This Row],[CANTIDAD]]*MASTER[[#This Row],[PRECIO DE VENTA]]</f>
        <v>1996</v>
      </c>
      <c r="U1022" s="2">
        <f>MASTER[[#This Row],[CANTIDAD]]*MASTER[[#This Row],[COSTO UNITARIO]]</f>
        <v>420</v>
      </c>
      <c r="V1022" s="2">
        <f>MASTER[[#This Row],[MONTO VENDIDO]]-MASTER[[#This Row],[COSTO DE VENTA]]</f>
        <v>1576</v>
      </c>
    </row>
    <row r="1023" spans="1:22" x14ac:dyDescent="0.3">
      <c r="A1023">
        <v>22806</v>
      </c>
      <c r="B1023">
        <v>1</v>
      </c>
      <c r="C1023" t="s">
        <v>103</v>
      </c>
      <c r="D1023" t="s">
        <v>104</v>
      </c>
      <c r="E1023" s="1">
        <v>43953</v>
      </c>
      <c r="F1023">
        <v>1</v>
      </c>
      <c r="G1023" t="s">
        <v>22</v>
      </c>
      <c r="H1023" t="s">
        <v>23</v>
      </c>
      <c r="I1023" s="3">
        <v>1591</v>
      </c>
      <c r="J1023" s="3">
        <v>1591</v>
      </c>
      <c r="K1023" s="3">
        <v>421</v>
      </c>
      <c r="L1023" t="s">
        <v>98</v>
      </c>
      <c r="M1023">
        <v>10</v>
      </c>
      <c r="N1023" t="s">
        <v>83</v>
      </c>
      <c r="O1023" t="s">
        <v>81</v>
      </c>
      <c r="P1023" t="s">
        <v>12</v>
      </c>
      <c r="Q1023" t="s">
        <v>13</v>
      </c>
      <c r="R1023" t="s">
        <v>13</v>
      </c>
      <c r="S1023" t="s">
        <v>144</v>
      </c>
      <c r="T1023" s="2">
        <f>MASTER[[#This Row],[CANTIDAD]]*MASTER[[#This Row],[PRECIO DE VENTA]]</f>
        <v>1591</v>
      </c>
      <c r="U1023" s="2">
        <f>MASTER[[#This Row],[CANTIDAD]]*MASTER[[#This Row],[COSTO UNITARIO]]</f>
        <v>421</v>
      </c>
      <c r="V1023" s="2">
        <f>MASTER[[#This Row],[MONTO VENDIDO]]-MASTER[[#This Row],[COSTO DE VENTA]]</f>
        <v>1170</v>
      </c>
    </row>
    <row r="1024" spans="1:22" x14ac:dyDescent="0.3">
      <c r="A1024">
        <v>22817</v>
      </c>
      <c r="B1024">
        <v>1</v>
      </c>
      <c r="C1024" t="s">
        <v>5</v>
      </c>
      <c r="D1024" t="s">
        <v>6</v>
      </c>
      <c r="E1024" s="1">
        <v>43953</v>
      </c>
      <c r="F1024">
        <v>1</v>
      </c>
      <c r="G1024" t="s">
        <v>55</v>
      </c>
      <c r="H1024" t="s">
        <v>56</v>
      </c>
      <c r="I1024" s="3">
        <v>1507</v>
      </c>
      <c r="J1024" s="3">
        <v>1507</v>
      </c>
      <c r="K1024" s="3">
        <v>393</v>
      </c>
      <c r="L1024" t="s">
        <v>9</v>
      </c>
      <c r="M1024">
        <v>15</v>
      </c>
      <c r="N1024" t="s">
        <v>88</v>
      </c>
      <c r="O1024" t="s">
        <v>81</v>
      </c>
      <c r="P1024" t="s">
        <v>18</v>
      </c>
      <c r="Q1024" t="s">
        <v>19</v>
      </c>
      <c r="R1024" t="s">
        <v>138</v>
      </c>
      <c r="S1024" t="s">
        <v>144</v>
      </c>
      <c r="T1024" s="2">
        <f>MASTER[[#This Row],[CANTIDAD]]*MASTER[[#This Row],[PRECIO DE VENTA]]</f>
        <v>1507</v>
      </c>
      <c r="U1024" s="2">
        <f>MASTER[[#This Row],[CANTIDAD]]*MASTER[[#This Row],[COSTO UNITARIO]]</f>
        <v>393</v>
      </c>
      <c r="V1024" s="2">
        <f>MASTER[[#This Row],[MONTO VENDIDO]]-MASTER[[#This Row],[COSTO DE VENTA]]</f>
        <v>1114</v>
      </c>
    </row>
    <row r="1025" spans="1:22" x14ac:dyDescent="0.3">
      <c r="A1025">
        <v>22841</v>
      </c>
      <c r="B1025">
        <v>1</v>
      </c>
      <c r="C1025" t="s">
        <v>90</v>
      </c>
      <c r="D1025" t="s">
        <v>91</v>
      </c>
      <c r="E1025" s="1">
        <v>43953</v>
      </c>
      <c r="F1025">
        <v>2</v>
      </c>
      <c r="G1025" t="s">
        <v>47</v>
      </c>
      <c r="H1025" t="s">
        <v>48</v>
      </c>
      <c r="I1025" s="3">
        <v>1844</v>
      </c>
      <c r="J1025" s="3">
        <v>1844</v>
      </c>
      <c r="K1025" s="3">
        <v>420</v>
      </c>
      <c r="L1025" t="s">
        <v>9</v>
      </c>
      <c r="M1025">
        <v>19</v>
      </c>
      <c r="N1025" t="s">
        <v>89</v>
      </c>
      <c r="O1025" t="s">
        <v>81</v>
      </c>
      <c r="P1025" t="s">
        <v>15</v>
      </c>
      <c r="Q1025" t="s">
        <v>16</v>
      </c>
      <c r="R1025" t="s">
        <v>16</v>
      </c>
      <c r="S1025" t="s">
        <v>144</v>
      </c>
      <c r="T1025" s="2">
        <f>MASTER[[#This Row],[CANTIDAD]]*MASTER[[#This Row],[PRECIO DE VENTA]]</f>
        <v>3688</v>
      </c>
      <c r="U1025" s="2">
        <f>MASTER[[#This Row],[CANTIDAD]]*MASTER[[#This Row],[COSTO UNITARIO]]</f>
        <v>840</v>
      </c>
      <c r="V1025" s="2">
        <f>MASTER[[#This Row],[MONTO VENDIDO]]-MASTER[[#This Row],[COSTO DE VENTA]]</f>
        <v>2848</v>
      </c>
    </row>
    <row r="1026" spans="1:22" x14ac:dyDescent="0.3">
      <c r="A1026">
        <v>22850</v>
      </c>
      <c r="B1026">
        <v>1</v>
      </c>
      <c r="C1026" t="s">
        <v>103</v>
      </c>
      <c r="D1026" t="s">
        <v>104</v>
      </c>
      <c r="E1026" s="1">
        <v>43953</v>
      </c>
      <c r="F1026">
        <v>1</v>
      </c>
      <c r="G1026" t="s">
        <v>35</v>
      </c>
      <c r="H1026" t="s">
        <v>36</v>
      </c>
      <c r="I1026" s="3">
        <v>1591</v>
      </c>
      <c r="J1026" s="3">
        <v>1479</v>
      </c>
      <c r="K1026" s="3">
        <v>421</v>
      </c>
      <c r="L1026" t="s">
        <v>98</v>
      </c>
      <c r="M1026">
        <v>4</v>
      </c>
      <c r="N1026" t="s">
        <v>82</v>
      </c>
      <c r="O1026" t="s">
        <v>81</v>
      </c>
      <c r="P1026" t="s">
        <v>71</v>
      </c>
      <c r="Q1026" t="s">
        <v>72</v>
      </c>
      <c r="R1026" t="s">
        <v>139</v>
      </c>
      <c r="S1026" t="s">
        <v>144</v>
      </c>
      <c r="T1026" s="2">
        <f>MASTER[[#This Row],[CANTIDAD]]*MASTER[[#This Row],[PRECIO DE VENTA]]</f>
        <v>1479</v>
      </c>
      <c r="U1026" s="2">
        <f>MASTER[[#This Row],[CANTIDAD]]*MASTER[[#This Row],[COSTO UNITARIO]]</f>
        <v>421</v>
      </c>
      <c r="V1026" s="2">
        <f>MASTER[[#This Row],[MONTO VENDIDO]]-MASTER[[#This Row],[COSTO DE VENTA]]</f>
        <v>1058</v>
      </c>
    </row>
    <row r="1027" spans="1:22" x14ac:dyDescent="0.3">
      <c r="A1027">
        <v>22853</v>
      </c>
      <c r="B1027">
        <v>1</v>
      </c>
      <c r="C1027" t="s">
        <v>5</v>
      </c>
      <c r="D1027" t="s">
        <v>6</v>
      </c>
      <c r="E1027" s="1">
        <v>43953</v>
      </c>
      <c r="F1027">
        <v>1</v>
      </c>
      <c r="G1027" t="s">
        <v>35</v>
      </c>
      <c r="H1027" t="s">
        <v>36</v>
      </c>
      <c r="I1027" s="3">
        <v>1507</v>
      </c>
      <c r="J1027" s="3">
        <v>1507</v>
      </c>
      <c r="K1027" s="3">
        <v>393</v>
      </c>
      <c r="L1027" t="s">
        <v>9</v>
      </c>
      <c r="M1027">
        <v>10</v>
      </c>
      <c r="N1027" t="s">
        <v>83</v>
      </c>
      <c r="O1027" t="s">
        <v>81</v>
      </c>
      <c r="P1027" t="s">
        <v>12</v>
      </c>
      <c r="Q1027" t="s">
        <v>13</v>
      </c>
      <c r="R1027" t="s">
        <v>13</v>
      </c>
      <c r="S1027" t="s">
        <v>144</v>
      </c>
      <c r="T1027" s="2">
        <f>MASTER[[#This Row],[CANTIDAD]]*MASTER[[#This Row],[PRECIO DE VENTA]]</f>
        <v>1507</v>
      </c>
      <c r="U1027" s="2">
        <f>MASTER[[#This Row],[CANTIDAD]]*MASTER[[#This Row],[COSTO UNITARIO]]</f>
        <v>393</v>
      </c>
      <c r="V1027" s="2">
        <f>MASTER[[#This Row],[MONTO VENDIDO]]-MASTER[[#This Row],[COSTO DE VENTA]]</f>
        <v>1114</v>
      </c>
    </row>
    <row r="1028" spans="1:22" x14ac:dyDescent="0.3">
      <c r="A1028">
        <v>22854</v>
      </c>
      <c r="B1028">
        <v>1</v>
      </c>
      <c r="C1028" t="s">
        <v>109</v>
      </c>
      <c r="D1028" t="s">
        <v>110</v>
      </c>
      <c r="E1028" s="1">
        <v>43953</v>
      </c>
      <c r="F1028">
        <v>1</v>
      </c>
      <c r="G1028" t="s">
        <v>73</v>
      </c>
      <c r="H1028" t="s">
        <v>74</v>
      </c>
      <c r="I1028" s="3">
        <v>1128</v>
      </c>
      <c r="J1028" s="3">
        <v>1128</v>
      </c>
      <c r="K1028" s="3">
        <v>387</v>
      </c>
      <c r="L1028" t="s">
        <v>98</v>
      </c>
      <c r="M1028">
        <v>18</v>
      </c>
      <c r="N1028" t="s">
        <v>79</v>
      </c>
      <c r="O1028" t="s">
        <v>70</v>
      </c>
      <c r="P1028" t="s">
        <v>15</v>
      </c>
      <c r="Q1028" t="s">
        <v>16</v>
      </c>
      <c r="R1028" t="s">
        <v>16</v>
      </c>
      <c r="S1028" t="s">
        <v>144</v>
      </c>
      <c r="T1028" s="2">
        <f>MASTER[[#This Row],[CANTIDAD]]*MASTER[[#This Row],[PRECIO DE VENTA]]</f>
        <v>1128</v>
      </c>
      <c r="U1028" s="2">
        <f>MASTER[[#This Row],[CANTIDAD]]*MASTER[[#This Row],[COSTO UNITARIO]]</f>
        <v>387</v>
      </c>
      <c r="V1028" s="2">
        <f>MASTER[[#This Row],[MONTO VENDIDO]]-MASTER[[#This Row],[COSTO DE VENTA]]</f>
        <v>741</v>
      </c>
    </row>
    <row r="1029" spans="1:22" x14ac:dyDescent="0.3">
      <c r="A1029">
        <v>22858</v>
      </c>
      <c r="B1029">
        <v>1</v>
      </c>
      <c r="C1029" t="s">
        <v>99</v>
      </c>
      <c r="D1029" t="s">
        <v>100</v>
      </c>
      <c r="E1029" s="1">
        <v>43953</v>
      </c>
      <c r="F1029">
        <v>1</v>
      </c>
      <c r="G1029" t="s">
        <v>45</v>
      </c>
      <c r="H1029" t="s">
        <v>46</v>
      </c>
      <c r="I1029" s="3">
        <v>1328</v>
      </c>
      <c r="J1029" s="3">
        <v>1328</v>
      </c>
      <c r="K1029" s="3">
        <v>386</v>
      </c>
      <c r="L1029" t="s">
        <v>98</v>
      </c>
      <c r="M1029">
        <v>12</v>
      </c>
      <c r="N1029" t="s">
        <v>26</v>
      </c>
      <c r="O1029" t="s">
        <v>11</v>
      </c>
      <c r="P1029" t="s">
        <v>12</v>
      </c>
      <c r="Q1029" t="s">
        <v>13</v>
      </c>
      <c r="R1029" t="s">
        <v>13</v>
      </c>
      <c r="S1029" t="s">
        <v>144</v>
      </c>
      <c r="T1029" s="2">
        <f>MASTER[[#This Row],[CANTIDAD]]*MASTER[[#This Row],[PRECIO DE VENTA]]</f>
        <v>1328</v>
      </c>
      <c r="U1029" s="2">
        <f>MASTER[[#This Row],[CANTIDAD]]*MASTER[[#This Row],[COSTO UNITARIO]]</f>
        <v>386</v>
      </c>
      <c r="V1029" s="2">
        <f>MASTER[[#This Row],[MONTO VENDIDO]]-MASTER[[#This Row],[COSTO DE VENTA]]</f>
        <v>942</v>
      </c>
    </row>
    <row r="1030" spans="1:22" x14ac:dyDescent="0.3">
      <c r="A1030">
        <v>22859</v>
      </c>
      <c r="B1030">
        <v>1</v>
      </c>
      <c r="C1030" t="s">
        <v>116</v>
      </c>
      <c r="D1030" t="s">
        <v>117</v>
      </c>
      <c r="E1030" s="1">
        <v>43953</v>
      </c>
      <c r="F1030">
        <v>1</v>
      </c>
      <c r="G1030" t="s">
        <v>37</v>
      </c>
      <c r="H1030" t="s">
        <v>38</v>
      </c>
      <c r="I1030" s="3">
        <v>1999</v>
      </c>
      <c r="J1030" s="3">
        <v>1999</v>
      </c>
      <c r="K1030" s="3">
        <v>388</v>
      </c>
      <c r="L1030" t="s">
        <v>113</v>
      </c>
      <c r="M1030">
        <v>18</v>
      </c>
      <c r="N1030" t="s">
        <v>79</v>
      </c>
      <c r="O1030" t="s">
        <v>70</v>
      </c>
      <c r="P1030" t="s">
        <v>15</v>
      </c>
      <c r="Q1030" t="s">
        <v>16</v>
      </c>
      <c r="R1030" t="s">
        <v>16</v>
      </c>
      <c r="S1030" t="s">
        <v>144</v>
      </c>
      <c r="T1030" s="2">
        <f>MASTER[[#This Row],[CANTIDAD]]*MASTER[[#This Row],[PRECIO DE VENTA]]</f>
        <v>1999</v>
      </c>
      <c r="U1030" s="2">
        <f>MASTER[[#This Row],[CANTIDAD]]*MASTER[[#This Row],[COSTO UNITARIO]]</f>
        <v>388</v>
      </c>
      <c r="V1030" s="2">
        <f>MASTER[[#This Row],[MONTO VENDIDO]]-MASTER[[#This Row],[COSTO DE VENTA]]</f>
        <v>1611</v>
      </c>
    </row>
    <row r="1031" spans="1:22" x14ac:dyDescent="0.3">
      <c r="A1031">
        <v>22868</v>
      </c>
      <c r="B1031">
        <v>1</v>
      </c>
      <c r="C1031" t="s">
        <v>111</v>
      </c>
      <c r="D1031" t="s">
        <v>112</v>
      </c>
      <c r="E1031" s="1">
        <v>43953</v>
      </c>
      <c r="F1031">
        <v>1</v>
      </c>
      <c r="G1031" t="s">
        <v>7</v>
      </c>
      <c r="H1031" t="s">
        <v>8</v>
      </c>
      <c r="I1031" s="3">
        <v>1621</v>
      </c>
      <c r="J1031" s="3">
        <v>1621</v>
      </c>
      <c r="K1031" s="3">
        <v>434</v>
      </c>
      <c r="L1031" t="s">
        <v>113</v>
      </c>
      <c r="M1031">
        <v>4</v>
      </c>
      <c r="N1031" t="s">
        <v>82</v>
      </c>
      <c r="O1031" t="s">
        <v>81</v>
      </c>
      <c r="P1031" t="s">
        <v>71</v>
      </c>
      <c r="Q1031" t="s">
        <v>72</v>
      </c>
      <c r="R1031" t="s">
        <v>139</v>
      </c>
      <c r="S1031" t="s">
        <v>144</v>
      </c>
      <c r="T1031" s="2">
        <f>MASTER[[#This Row],[CANTIDAD]]*MASTER[[#This Row],[PRECIO DE VENTA]]</f>
        <v>1621</v>
      </c>
      <c r="U1031" s="2">
        <f>MASTER[[#This Row],[CANTIDAD]]*MASTER[[#This Row],[COSTO UNITARIO]]</f>
        <v>434</v>
      </c>
      <c r="V1031" s="2">
        <f>MASTER[[#This Row],[MONTO VENDIDO]]-MASTER[[#This Row],[COSTO DE VENTA]]</f>
        <v>1187</v>
      </c>
    </row>
    <row r="1032" spans="1:22" x14ac:dyDescent="0.3">
      <c r="A1032">
        <v>22871</v>
      </c>
      <c r="B1032">
        <v>1</v>
      </c>
      <c r="C1032" t="s">
        <v>116</v>
      </c>
      <c r="D1032" t="s">
        <v>117</v>
      </c>
      <c r="E1032" s="1">
        <v>43954</v>
      </c>
      <c r="F1032">
        <v>1</v>
      </c>
      <c r="G1032" t="s">
        <v>43</v>
      </c>
      <c r="H1032" t="s">
        <v>44</v>
      </c>
      <c r="I1032" s="3">
        <v>1738</v>
      </c>
      <c r="J1032" s="3">
        <v>1738</v>
      </c>
      <c r="K1032" s="3">
        <v>388</v>
      </c>
      <c r="L1032" t="s">
        <v>113</v>
      </c>
      <c r="M1032">
        <v>2</v>
      </c>
      <c r="N1032" t="s">
        <v>86</v>
      </c>
      <c r="O1032" t="s">
        <v>81</v>
      </c>
      <c r="P1032" t="s">
        <v>71</v>
      </c>
      <c r="Q1032" t="s">
        <v>72</v>
      </c>
      <c r="R1032" t="s">
        <v>139</v>
      </c>
      <c r="S1032" t="s">
        <v>144</v>
      </c>
      <c r="T1032" s="2">
        <f>MASTER[[#This Row],[CANTIDAD]]*MASTER[[#This Row],[PRECIO DE VENTA]]</f>
        <v>1738</v>
      </c>
      <c r="U1032" s="2">
        <f>MASTER[[#This Row],[CANTIDAD]]*MASTER[[#This Row],[COSTO UNITARIO]]</f>
        <v>388</v>
      </c>
      <c r="V1032" s="2">
        <f>MASTER[[#This Row],[MONTO VENDIDO]]-MASTER[[#This Row],[COSTO DE VENTA]]</f>
        <v>1350</v>
      </c>
    </row>
    <row r="1033" spans="1:22" x14ac:dyDescent="0.3">
      <c r="A1033">
        <v>22893</v>
      </c>
      <c r="B1033">
        <v>1</v>
      </c>
      <c r="C1033" t="s">
        <v>5</v>
      </c>
      <c r="D1033" t="s">
        <v>6</v>
      </c>
      <c r="E1033" s="1">
        <v>43954</v>
      </c>
      <c r="F1033">
        <v>1</v>
      </c>
      <c r="G1033" t="s">
        <v>47</v>
      </c>
      <c r="H1033" t="s">
        <v>48</v>
      </c>
      <c r="I1033" s="3">
        <v>1296</v>
      </c>
      <c r="J1033" s="3">
        <v>1296</v>
      </c>
      <c r="K1033" s="3">
        <v>393</v>
      </c>
      <c r="L1033" t="s">
        <v>9</v>
      </c>
      <c r="M1033">
        <v>18</v>
      </c>
      <c r="N1033" t="s">
        <v>79</v>
      </c>
      <c r="O1033" t="s">
        <v>70</v>
      </c>
      <c r="P1033" t="s">
        <v>15</v>
      </c>
      <c r="Q1033" t="s">
        <v>16</v>
      </c>
      <c r="R1033" t="s">
        <v>16</v>
      </c>
      <c r="S1033" t="s">
        <v>144</v>
      </c>
      <c r="T1033" s="2">
        <f>MASTER[[#This Row],[CANTIDAD]]*MASTER[[#This Row],[PRECIO DE VENTA]]</f>
        <v>1296</v>
      </c>
      <c r="U1033" s="2">
        <f>MASTER[[#This Row],[CANTIDAD]]*MASTER[[#This Row],[COSTO UNITARIO]]</f>
        <v>393</v>
      </c>
      <c r="V1033" s="2">
        <f>MASTER[[#This Row],[MONTO VENDIDO]]-MASTER[[#This Row],[COSTO DE VENTA]]</f>
        <v>903</v>
      </c>
    </row>
    <row r="1034" spans="1:22" x14ac:dyDescent="0.3">
      <c r="A1034">
        <v>22897</v>
      </c>
      <c r="B1034">
        <v>1</v>
      </c>
      <c r="C1034" t="s">
        <v>121</v>
      </c>
      <c r="D1034" t="s">
        <v>122</v>
      </c>
      <c r="E1034" s="1">
        <v>43954</v>
      </c>
      <c r="F1034">
        <v>1</v>
      </c>
      <c r="G1034" t="s">
        <v>31</v>
      </c>
      <c r="H1034" t="s">
        <v>32</v>
      </c>
      <c r="I1034" s="3">
        <v>1069</v>
      </c>
      <c r="J1034" s="3">
        <v>1069</v>
      </c>
      <c r="K1034" s="3">
        <v>460</v>
      </c>
      <c r="L1034" t="s">
        <v>120</v>
      </c>
      <c r="M1034">
        <v>10</v>
      </c>
      <c r="N1034" t="s">
        <v>83</v>
      </c>
      <c r="O1034" t="s">
        <v>81</v>
      </c>
      <c r="P1034" t="s">
        <v>12</v>
      </c>
      <c r="Q1034" t="s">
        <v>13</v>
      </c>
      <c r="R1034" t="s">
        <v>13</v>
      </c>
      <c r="S1034" t="s">
        <v>144</v>
      </c>
      <c r="T1034" s="2">
        <f>MASTER[[#This Row],[CANTIDAD]]*MASTER[[#This Row],[PRECIO DE VENTA]]</f>
        <v>1069</v>
      </c>
      <c r="U1034" s="2">
        <f>MASTER[[#This Row],[CANTIDAD]]*MASTER[[#This Row],[COSTO UNITARIO]]</f>
        <v>460</v>
      </c>
      <c r="V1034" s="2">
        <f>MASTER[[#This Row],[MONTO VENDIDO]]-MASTER[[#This Row],[COSTO DE VENTA]]</f>
        <v>609</v>
      </c>
    </row>
    <row r="1035" spans="1:22" x14ac:dyDescent="0.3">
      <c r="A1035">
        <v>22928</v>
      </c>
      <c r="B1035">
        <v>1</v>
      </c>
      <c r="C1035" t="s">
        <v>118</v>
      </c>
      <c r="D1035" t="s">
        <v>119</v>
      </c>
      <c r="E1035" s="1">
        <v>43954</v>
      </c>
      <c r="F1035">
        <v>1</v>
      </c>
      <c r="G1035" t="s">
        <v>41</v>
      </c>
      <c r="H1035" t="s">
        <v>42</v>
      </c>
      <c r="I1035" s="3">
        <v>1026</v>
      </c>
      <c r="J1035" s="3">
        <v>1026</v>
      </c>
      <c r="K1035" s="3">
        <v>424</v>
      </c>
      <c r="L1035" t="s">
        <v>120</v>
      </c>
      <c r="M1035">
        <v>3</v>
      </c>
      <c r="N1035" t="s">
        <v>69</v>
      </c>
      <c r="O1035" t="s">
        <v>70</v>
      </c>
      <c r="P1035" t="s">
        <v>71</v>
      </c>
      <c r="Q1035" t="s">
        <v>72</v>
      </c>
      <c r="R1035" t="s">
        <v>139</v>
      </c>
      <c r="S1035" t="s">
        <v>144</v>
      </c>
      <c r="T1035" s="2">
        <f>MASTER[[#This Row],[CANTIDAD]]*MASTER[[#This Row],[PRECIO DE VENTA]]</f>
        <v>1026</v>
      </c>
      <c r="U1035" s="2">
        <f>MASTER[[#This Row],[CANTIDAD]]*MASTER[[#This Row],[COSTO UNITARIO]]</f>
        <v>424</v>
      </c>
      <c r="V1035" s="2">
        <f>MASTER[[#This Row],[MONTO VENDIDO]]-MASTER[[#This Row],[COSTO DE VENTA]]</f>
        <v>602</v>
      </c>
    </row>
    <row r="1036" spans="1:22" x14ac:dyDescent="0.3">
      <c r="A1036">
        <v>22955</v>
      </c>
      <c r="B1036">
        <v>1</v>
      </c>
      <c r="C1036" t="s">
        <v>92</v>
      </c>
      <c r="D1036" t="s">
        <v>93</v>
      </c>
      <c r="E1036" s="1">
        <v>43954</v>
      </c>
      <c r="F1036">
        <v>1</v>
      </c>
      <c r="G1036" t="s">
        <v>51</v>
      </c>
      <c r="H1036" t="s">
        <v>52</v>
      </c>
      <c r="I1036" s="3">
        <v>1681</v>
      </c>
      <c r="J1036" s="3">
        <v>1580</v>
      </c>
      <c r="K1036" s="3">
        <v>396</v>
      </c>
      <c r="L1036" t="s">
        <v>9</v>
      </c>
      <c r="M1036">
        <v>8</v>
      </c>
      <c r="N1036" t="s">
        <v>80</v>
      </c>
      <c r="O1036" t="s">
        <v>81</v>
      </c>
      <c r="P1036" t="s">
        <v>12</v>
      </c>
      <c r="Q1036" t="s">
        <v>13</v>
      </c>
      <c r="R1036" t="s">
        <v>13</v>
      </c>
      <c r="S1036" t="s">
        <v>144</v>
      </c>
      <c r="T1036" s="2">
        <f>MASTER[[#This Row],[CANTIDAD]]*MASTER[[#This Row],[PRECIO DE VENTA]]</f>
        <v>1580</v>
      </c>
      <c r="U1036" s="2">
        <f>MASTER[[#This Row],[CANTIDAD]]*MASTER[[#This Row],[COSTO UNITARIO]]</f>
        <v>396</v>
      </c>
      <c r="V1036" s="2">
        <f>MASTER[[#This Row],[MONTO VENDIDO]]-MASTER[[#This Row],[COSTO DE VENTA]]</f>
        <v>1184</v>
      </c>
    </row>
    <row r="1037" spans="1:22" x14ac:dyDescent="0.3">
      <c r="A1037">
        <v>22961</v>
      </c>
      <c r="B1037">
        <v>1</v>
      </c>
      <c r="C1037" t="s">
        <v>94</v>
      </c>
      <c r="D1037" t="s">
        <v>95</v>
      </c>
      <c r="E1037" s="1">
        <v>43954</v>
      </c>
      <c r="F1037">
        <v>1</v>
      </c>
      <c r="G1037" t="s">
        <v>73</v>
      </c>
      <c r="H1037" t="s">
        <v>74</v>
      </c>
      <c r="I1037" s="3">
        <v>1048</v>
      </c>
      <c r="J1037" s="3">
        <v>1048</v>
      </c>
      <c r="K1037" s="3">
        <v>392</v>
      </c>
      <c r="L1037" t="s">
        <v>9</v>
      </c>
      <c r="M1037">
        <v>8</v>
      </c>
      <c r="N1037" t="s">
        <v>80</v>
      </c>
      <c r="O1037" t="s">
        <v>81</v>
      </c>
      <c r="P1037" t="s">
        <v>12</v>
      </c>
      <c r="Q1037" t="s">
        <v>13</v>
      </c>
      <c r="R1037" t="s">
        <v>13</v>
      </c>
      <c r="S1037" t="s">
        <v>144</v>
      </c>
      <c r="T1037" s="2">
        <f>MASTER[[#This Row],[CANTIDAD]]*MASTER[[#This Row],[PRECIO DE VENTA]]</f>
        <v>1048</v>
      </c>
      <c r="U1037" s="2">
        <f>MASTER[[#This Row],[CANTIDAD]]*MASTER[[#This Row],[COSTO UNITARIO]]</f>
        <v>392</v>
      </c>
      <c r="V1037" s="2">
        <f>MASTER[[#This Row],[MONTO VENDIDO]]-MASTER[[#This Row],[COSTO DE VENTA]]</f>
        <v>656</v>
      </c>
    </row>
    <row r="1038" spans="1:22" x14ac:dyDescent="0.3">
      <c r="A1038">
        <v>22966</v>
      </c>
      <c r="B1038">
        <v>1</v>
      </c>
      <c r="C1038" t="s">
        <v>92</v>
      </c>
      <c r="D1038" t="s">
        <v>93</v>
      </c>
      <c r="E1038" s="1">
        <v>43954</v>
      </c>
      <c r="F1038">
        <v>1</v>
      </c>
      <c r="G1038" t="s">
        <v>33</v>
      </c>
      <c r="H1038" t="s">
        <v>34</v>
      </c>
      <c r="I1038" s="3">
        <v>1681</v>
      </c>
      <c r="J1038" s="3">
        <v>1529</v>
      </c>
      <c r="K1038" s="3">
        <v>396</v>
      </c>
      <c r="L1038" t="s">
        <v>9</v>
      </c>
      <c r="M1038">
        <v>8</v>
      </c>
      <c r="N1038" t="s">
        <v>80</v>
      </c>
      <c r="O1038" t="s">
        <v>81</v>
      </c>
      <c r="P1038" t="s">
        <v>12</v>
      </c>
      <c r="Q1038" t="s">
        <v>13</v>
      </c>
      <c r="R1038" t="s">
        <v>13</v>
      </c>
      <c r="S1038" t="s">
        <v>144</v>
      </c>
      <c r="T1038" s="2">
        <f>MASTER[[#This Row],[CANTIDAD]]*MASTER[[#This Row],[PRECIO DE VENTA]]</f>
        <v>1529</v>
      </c>
      <c r="U1038" s="2">
        <f>MASTER[[#This Row],[CANTIDAD]]*MASTER[[#This Row],[COSTO UNITARIO]]</f>
        <v>396</v>
      </c>
      <c r="V1038" s="2">
        <f>MASTER[[#This Row],[MONTO VENDIDO]]-MASTER[[#This Row],[COSTO DE VENTA]]</f>
        <v>1133</v>
      </c>
    </row>
    <row r="1039" spans="1:22" x14ac:dyDescent="0.3">
      <c r="A1039">
        <v>22970</v>
      </c>
      <c r="B1039">
        <v>1</v>
      </c>
      <c r="C1039" t="s">
        <v>5</v>
      </c>
      <c r="D1039" t="s">
        <v>6</v>
      </c>
      <c r="E1039" s="1">
        <v>43954</v>
      </c>
      <c r="F1039">
        <v>1</v>
      </c>
      <c r="G1039" t="s">
        <v>37</v>
      </c>
      <c r="H1039" t="s">
        <v>38</v>
      </c>
      <c r="I1039" s="3">
        <v>1311</v>
      </c>
      <c r="J1039" s="3">
        <v>1311</v>
      </c>
      <c r="K1039" s="3">
        <v>393</v>
      </c>
      <c r="L1039" t="s">
        <v>9</v>
      </c>
      <c r="M1039">
        <v>16</v>
      </c>
      <c r="N1039" t="s">
        <v>17</v>
      </c>
      <c r="O1039" t="s">
        <v>11</v>
      </c>
      <c r="P1039" t="s">
        <v>18</v>
      </c>
      <c r="Q1039" t="s">
        <v>19</v>
      </c>
      <c r="R1039" t="s">
        <v>138</v>
      </c>
      <c r="S1039" t="s">
        <v>144</v>
      </c>
      <c r="T1039" s="2">
        <f>MASTER[[#This Row],[CANTIDAD]]*MASTER[[#This Row],[PRECIO DE VENTA]]</f>
        <v>1311</v>
      </c>
      <c r="U1039" s="2">
        <f>MASTER[[#This Row],[CANTIDAD]]*MASTER[[#This Row],[COSTO UNITARIO]]</f>
        <v>393</v>
      </c>
      <c r="V1039" s="2">
        <f>MASTER[[#This Row],[MONTO VENDIDO]]-MASTER[[#This Row],[COSTO DE VENTA]]</f>
        <v>918</v>
      </c>
    </row>
    <row r="1040" spans="1:22" x14ac:dyDescent="0.3">
      <c r="A1040">
        <v>23022</v>
      </c>
      <c r="B1040">
        <v>1</v>
      </c>
      <c r="C1040" t="s">
        <v>109</v>
      </c>
      <c r="D1040" t="s">
        <v>110</v>
      </c>
      <c r="E1040" s="1">
        <v>43954</v>
      </c>
      <c r="F1040">
        <v>1</v>
      </c>
      <c r="G1040" t="s">
        <v>27</v>
      </c>
      <c r="H1040" t="s">
        <v>28</v>
      </c>
      <c r="I1040" s="3">
        <v>1064</v>
      </c>
      <c r="J1040" s="3">
        <v>1064</v>
      </c>
      <c r="K1040" s="3">
        <v>387</v>
      </c>
      <c r="L1040" t="s">
        <v>98</v>
      </c>
      <c r="M1040">
        <v>2</v>
      </c>
      <c r="N1040" t="s">
        <v>86</v>
      </c>
      <c r="O1040" t="s">
        <v>81</v>
      </c>
      <c r="P1040" t="s">
        <v>71</v>
      </c>
      <c r="Q1040" t="s">
        <v>72</v>
      </c>
      <c r="R1040" t="s">
        <v>139</v>
      </c>
      <c r="S1040" t="s">
        <v>144</v>
      </c>
      <c r="T1040" s="2">
        <f>MASTER[[#This Row],[CANTIDAD]]*MASTER[[#This Row],[PRECIO DE VENTA]]</f>
        <v>1064</v>
      </c>
      <c r="U1040" s="2">
        <f>MASTER[[#This Row],[CANTIDAD]]*MASTER[[#This Row],[COSTO UNITARIO]]</f>
        <v>387</v>
      </c>
      <c r="V1040" s="2">
        <f>MASTER[[#This Row],[MONTO VENDIDO]]-MASTER[[#This Row],[COSTO DE VENTA]]</f>
        <v>677</v>
      </c>
    </row>
    <row r="1041" spans="1:22" x14ac:dyDescent="0.3">
      <c r="A1041">
        <v>23026</v>
      </c>
      <c r="B1041">
        <v>1</v>
      </c>
      <c r="C1041" t="s">
        <v>111</v>
      </c>
      <c r="D1041" t="s">
        <v>112</v>
      </c>
      <c r="E1041" s="1">
        <v>43954</v>
      </c>
      <c r="F1041">
        <v>1</v>
      </c>
      <c r="G1041" t="s">
        <v>20</v>
      </c>
      <c r="H1041" t="s">
        <v>21</v>
      </c>
      <c r="I1041" s="3">
        <v>1524</v>
      </c>
      <c r="J1041" s="3">
        <v>1524</v>
      </c>
      <c r="K1041" s="3">
        <v>434</v>
      </c>
      <c r="L1041" t="s">
        <v>113</v>
      </c>
      <c r="M1041">
        <v>16</v>
      </c>
      <c r="N1041" t="s">
        <v>17</v>
      </c>
      <c r="O1041" t="s">
        <v>11</v>
      </c>
      <c r="P1041" t="s">
        <v>18</v>
      </c>
      <c r="Q1041" t="s">
        <v>19</v>
      </c>
      <c r="R1041" t="s">
        <v>138</v>
      </c>
      <c r="S1041" t="s">
        <v>144</v>
      </c>
      <c r="T1041" s="2">
        <f>MASTER[[#This Row],[CANTIDAD]]*MASTER[[#This Row],[PRECIO DE VENTA]]</f>
        <v>1524</v>
      </c>
      <c r="U1041" s="2">
        <f>MASTER[[#This Row],[CANTIDAD]]*MASTER[[#This Row],[COSTO UNITARIO]]</f>
        <v>434</v>
      </c>
      <c r="V1041" s="2">
        <f>MASTER[[#This Row],[MONTO VENDIDO]]-MASTER[[#This Row],[COSTO DE VENTA]]</f>
        <v>1090</v>
      </c>
    </row>
    <row r="1042" spans="1:22" x14ac:dyDescent="0.3">
      <c r="A1042">
        <v>23030</v>
      </c>
      <c r="B1042">
        <v>1</v>
      </c>
      <c r="C1042" t="s">
        <v>114</v>
      </c>
      <c r="D1042" t="s">
        <v>115</v>
      </c>
      <c r="E1042" s="1">
        <v>43955</v>
      </c>
      <c r="F1042">
        <v>1</v>
      </c>
      <c r="G1042" t="s">
        <v>57</v>
      </c>
      <c r="H1042" t="s">
        <v>58</v>
      </c>
      <c r="I1042" s="3">
        <v>1583</v>
      </c>
      <c r="J1042" s="3">
        <v>1583</v>
      </c>
      <c r="K1042" s="3">
        <v>394</v>
      </c>
      <c r="L1042" t="s">
        <v>113</v>
      </c>
      <c r="M1042">
        <v>17</v>
      </c>
      <c r="N1042" t="s">
        <v>14</v>
      </c>
      <c r="O1042" t="s">
        <v>11</v>
      </c>
      <c r="P1042" t="s">
        <v>15</v>
      </c>
      <c r="Q1042" t="s">
        <v>16</v>
      </c>
      <c r="R1042" t="s">
        <v>16</v>
      </c>
      <c r="S1042" t="s">
        <v>144</v>
      </c>
      <c r="T1042" s="2">
        <f>MASTER[[#This Row],[CANTIDAD]]*MASTER[[#This Row],[PRECIO DE VENTA]]</f>
        <v>1583</v>
      </c>
      <c r="U1042" s="2">
        <f>MASTER[[#This Row],[CANTIDAD]]*MASTER[[#This Row],[COSTO UNITARIO]]</f>
        <v>394</v>
      </c>
      <c r="V1042" s="2">
        <f>MASTER[[#This Row],[MONTO VENDIDO]]-MASTER[[#This Row],[COSTO DE VENTA]]</f>
        <v>1189</v>
      </c>
    </row>
    <row r="1043" spans="1:22" x14ac:dyDescent="0.3">
      <c r="A1043">
        <v>23050</v>
      </c>
      <c r="B1043">
        <v>1</v>
      </c>
      <c r="C1043" t="s">
        <v>5</v>
      </c>
      <c r="D1043" t="s">
        <v>6</v>
      </c>
      <c r="E1043" s="1">
        <v>43955</v>
      </c>
      <c r="F1043">
        <v>1</v>
      </c>
      <c r="G1043" t="s">
        <v>31</v>
      </c>
      <c r="H1043" t="s">
        <v>32</v>
      </c>
      <c r="I1043" s="3">
        <v>1296</v>
      </c>
      <c r="J1043" s="3">
        <v>1296</v>
      </c>
      <c r="K1043" s="3">
        <v>393</v>
      </c>
      <c r="L1043" t="s">
        <v>9</v>
      </c>
      <c r="M1043">
        <v>9</v>
      </c>
      <c r="N1043" t="s">
        <v>76</v>
      </c>
      <c r="O1043" t="s">
        <v>70</v>
      </c>
      <c r="P1043" t="s">
        <v>12</v>
      </c>
      <c r="Q1043" t="s">
        <v>13</v>
      </c>
      <c r="R1043" t="s">
        <v>13</v>
      </c>
      <c r="S1043" t="s">
        <v>144</v>
      </c>
      <c r="T1043" s="2">
        <f>MASTER[[#This Row],[CANTIDAD]]*MASTER[[#This Row],[PRECIO DE VENTA]]</f>
        <v>1296</v>
      </c>
      <c r="U1043" s="2">
        <f>MASTER[[#This Row],[CANTIDAD]]*MASTER[[#This Row],[COSTO UNITARIO]]</f>
        <v>393</v>
      </c>
      <c r="V1043" s="2">
        <f>MASTER[[#This Row],[MONTO VENDIDO]]-MASTER[[#This Row],[COSTO DE VENTA]]</f>
        <v>903</v>
      </c>
    </row>
    <row r="1044" spans="1:22" x14ac:dyDescent="0.3">
      <c r="A1044">
        <v>23051</v>
      </c>
      <c r="B1044">
        <v>1</v>
      </c>
      <c r="C1044" t="s">
        <v>105</v>
      </c>
      <c r="D1044" t="s">
        <v>106</v>
      </c>
      <c r="E1044" s="1">
        <v>43955</v>
      </c>
      <c r="F1044">
        <v>1</v>
      </c>
      <c r="G1044" t="s">
        <v>51</v>
      </c>
      <c r="H1044" t="s">
        <v>52</v>
      </c>
      <c r="I1044" s="3">
        <v>2033</v>
      </c>
      <c r="J1044" s="3">
        <v>2033</v>
      </c>
      <c r="K1044" s="3">
        <v>459</v>
      </c>
      <c r="L1044" t="s">
        <v>98</v>
      </c>
      <c r="M1044">
        <v>3</v>
      </c>
      <c r="N1044" t="s">
        <v>69</v>
      </c>
      <c r="O1044" t="s">
        <v>70</v>
      </c>
      <c r="P1044" t="s">
        <v>71</v>
      </c>
      <c r="Q1044" t="s">
        <v>72</v>
      </c>
      <c r="R1044" t="s">
        <v>139</v>
      </c>
      <c r="S1044" t="s">
        <v>144</v>
      </c>
      <c r="T1044" s="2">
        <f>MASTER[[#This Row],[CANTIDAD]]*MASTER[[#This Row],[PRECIO DE VENTA]]</f>
        <v>2033</v>
      </c>
      <c r="U1044" s="2">
        <f>MASTER[[#This Row],[CANTIDAD]]*MASTER[[#This Row],[COSTO UNITARIO]]</f>
        <v>459</v>
      </c>
      <c r="V1044" s="2">
        <f>MASTER[[#This Row],[MONTO VENDIDO]]-MASTER[[#This Row],[COSTO DE VENTA]]</f>
        <v>1574</v>
      </c>
    </row>
    <row r="1045" spans="1:22" x14ac:dyDescent="0.3">
      <c r="A1045">
        <v>23066</v>
      </c>
      <c r="B1045">
        <v>1</v>
      </c>
      <c r="C1045" t="s">
        <v>107</v>
      </c>
      <c r="D1045" t="s">
        <v>108</v>
      </c>
      <c r="E1045" s="1">
        <v>43955</v>
      </c>
      <c r="F1045">
        <v>1</v>
      </c>
      <c r="G1045" t="s">
        <v>47</v>
      </c>
      <c r="H1045" t="s">
        <v>48</v>
      </c>
      <c r="I1045" s="3">
        <v>1333</v>
      </c>
      <c r="J1045" s="3">
        <v>1333</v>
      </c>
      <c r="K1045" s="3">
        <v>380</v>
      </c>
      <c r="L1045" t="s">
        <v>98</v>
      </c>
      <c r="M1045">
        <v>15</v>
      </c>
      <c r="N1045" t="s">
        <v>88</v>
      </c>
      <c r="O1045" t="s">
        <v>81</v>
      </c>
      <c r="P1045" t="s">
        <v>18</v>
      </c>
      <c r="Q1045" t="s">
        <v>19</v>
      </c>
      <c r="R1045" t="s">
        <v>138</v>
      </c>
      <c r="S1045" t="s">
        <v>144</v>
      </c>
      <c r="T1045" s="2">
        <f>MASTER[[#This Row],[CANTIDAD]]*MASTER[[#This Row],[PRECIO DE VENTA]]</f>
        <v>1333</v>
      </c>
      <c r="U1045" s="2">
        <f>MASTER[[#This Row],[CANTIDAD]]*MASTER[[#This Row],[COSTO UNITARIO]]</f>
        <v>380</v>
      </c>
      <c r="V1045" s="2">
        <f>MASTER[[#This Row],[MONTO VENDIDO]]-MASTER[[#This Row],[COSTO DE VENTA]]</f>
        <v>953</v>
      </c>
    </row>
    <row r="1046" spans="1:22" x14ac:dyDescent="0.3">
      <c r="A1046">
        <v>23081</v>
      </c>
      <c r="B1046">
        <v>1</v>
      </c>
      <c r="C1046" t="s">
        <v>118</v>
      </c>
      <c r="D1046" t="s">
        <v>119</v>
      </c>
      <c r="E1046" s="1">
        <v>43955</v>
      </c>
      <c r="F1046">
        <v>1</v>
      </c>
      <c r="G1046" t="s">
        <v>59</v>
      </c>
      <c r="H1046" t="s">
        <v>60</v>
      </c>
      <c r="I1046" s="3">
        <v>900</v>
      </c>
      <c r="J1046" s="3">
        <v>900</v>
      </c>
      <c r="K1046" s="3">
        <v>424</v>
      </c>
      <c r="L1046" t="s">
        <v>120</v>
      </c>
      <c r="M1046">
        <v>4</v>
      </c>
      <c r="N1046" t="s">
        <v>82</v>
      </c>
      <c r="O1046" t="s">
        <v>81</v>
      </c>
      <c r="P1046" t="s">
        <v>71</v>
      </c>
      <c r="Q1046" t="s">
        <v>72</v>
      </c>
      <c r="R1046" t="s">
        <v>139</v>
      </c>
      <c r="S1046" t="s">
        <v>144</v>
      </c>
      <c r="T1046" s="2">
        <f>MASTER[[#This Row],[CANTIDAD]]*MASTER[[#This Row],[PRECIO DE VENTA]]</f>
        <v>900</v>
      </c>
      <c r="U1046" s="2">
        <f>MASTER[[#This Row],[CANTIDAD]]*MASTER[[#This Row],[COSTO UNITARIO]]</f>
        <v>424</v>
      </c>
      <c r="V1046" s="2">
        <f>MASTER[[#This Row],[MONTO VENDIDO]]-MASTER[[#This Row],[COSTO DE VENTA]]</f>
        <v>476</v>
      </c>
    </row>
    <row r="1047" spans="1:22" x14ac:dyDescent="0.3">
      <c r="A1047">
        <v>23086</v>
      </c>
      <c r="B1047">
        <v>1</v>
      </c>
      <c r="C1047" t="s">
        <v>94</v>
      </c>
      <c r="D1047" t="s">
        <v>95</v>
      </c>
      <c r="E1047" s="1">
        <v>43955</v>
      </c>
      <c r="F1047">
        <v>4</v>
      </c>
      <c r="G1047" t="s">
        <v>39</v>
      </c>
      <c r="H1047" t="s">
        <v>40</v>
      </c>
      <c r="I1047" s="3">
        <v>1048</v>
      </c>
      <c r="J1047" s="3">
        <v>1048</v>
      </c>
      <c r="K1047" s="3">
        <v>392</v>
      </c>
      <c r="L1047" t="s">
        <v>9</v>
      </c>
      <c r="M1047">
        <v>8</v>
      </c>
      <c r="N1047" t="s">
        <v>80</v>
      </c>
      <c r="O1047" t="s">
        <v>81</v>
      </c>
      <c r="P1047" t="s">
        <v>12</v>
      </c>
      <c r="Q1047" t="s">
        <v>13</v>
      </c>
      <c r="R1047" t="s">
        <v>13</v>
      </c>
      <c r="S1047" t="s">
        <v>144</v>
      </c>
      <c r="T1047" s="2">
        <f>MASTER[[#This Row],[CANTIDAD]]*MASTER[[#This Row],[PRECIO DE VENTA]]</f>
        <v>4192</v>
      </c>
      <c r="U1047" s="2">
        <f>MASTER[[#This Row],[CANTIDAD]]*MASTER[[#This Row],[COSTO UNITARIO]]</f>
        <v>1568</v>
      </c>
      <c r="V1047" s="2">
        <f>MASTER[[#This Row],[MONTO VENDIDO]]-MASTER[[#This Row],[COSTO DE VENTA]]</f>
        <v>2624</v>
      </c>
    </row>
    <row r="1048" spans="1:22" x14ac:dyDescent="0.3">
      <c r="A1048">
        <v>23088</v>
      </c>
      <c r="B1048">
        <v>1</v>
      </c>
      <c r="C1048" t="s">
        <v>94</v>
      </c>
      <c r="D1048" t="s">
        <v>95</v>
      </c>
      <c r="E1048" s="1">
        <v>43955</v>
      </c>
      <c r="F1048">
        <v>1</v>
      </c>
      <c r="G1048" t="s">
        <v>67</v>
      </c>
      <c r="H1048" t="s">
        <v>68</v>
      </c>
      <c r="I1048" s="3">
        <v>901</v>
      </c>
      <c r="J1048" s="3">
        <v>901</v>
      </c>
      <c r="K1048" s="3">
        <v>392</v>
      </c>
      <c r="L1048" t="s">
        <v>9</v>
      </c>
      <c r="M1048">
        <v>12</v>
      </c>
      <c r="N1048" t="s">
        <v>26</v>
      </c>
      <c r="O1048" t="s">
        <v>11</v>
      </c>
      <c r="P1048" t="s">
        <v>12</v>
      </c>
      <c r="Q1048" t="s">
        <v>13</v>
      </c>
      <c r="R1048" t="s">
        <v>13</v>
      </c>
      <c r="S1048" t="s">
        <v>144</v>
      </c>
      <c r="T1048" s="2">
        <f>MASTER[[#This Row],[CANTIDAD]]*MASTER[[#This Row],[PRECIO DE VENTA]]</f>
        <v>901</v>
      </c>
      <c r="U1048" s="2">
        <f>MASTER[[#This Row],[CANTIDAD]]*MASTER[[#This Row],[COSTO UNITARIO]]</f>
        <v>392</v>
      </c>
      <c r="V1048" s="2">
        <f>MASTER[[#This Row],[MONTO VENDIDO]]-MASTER[[#This Row],[COSTO DE VENTA]]</f>
        <v>509</v>
      </c>
    </row>
    <row r="1049" spans="1:22" x14ac:dyDescent="0.3">
      <c r="A1049">
        <v>23090</v>
      </c>
      <c r="B1049">
        <v>1</v>
      </c>
      <c r="C1049" t="s">
        <v>107</v>
      </c>
      <c r="D1049" t="s">
        <v>108</v>
      </c>
      <c r="E1049" s="1">
        <v>43955</v>
      </c>
      <c r="F1049">
        <v>1</v>
      </c>
      <c r="G1049" t="s">
        <v>51</v>
      </c>
      <c r="H1049" t="s">
        <v>52</v>
      </c>
      <c r="I1049" s="3">
        <v>1240</v>
      </c>
      <c r="J1049" s="3">
        <v>1240</v>
      </c>
      <c r="K1049" s="3">
        <v>380</v>
      </c>
      <c r="L1049" t="s">
        <v>98</v>
      </c>
      <c r="M1049">
        <v>17</v>
      </c>
      <c r="N1049" t="s">
        <v>14</v>
      </c>
      <c r="O1049" t="s">
        <v>11</v>
      </c>
      <c r="P1049" t="s">
        <v>15</v>
      </c>
      <c r="Q1049" t="s">
        <v>16</v>
      </c>
      <c r="R1049" t="s">
        <v>16</v>
      </c>
      <c r="S1049" t="s">
        <v>144</v>
      </c>
      <c r="T1049" s="2">
        <f>MASTER[[#This Row],[CANTIDAD]]*MASTER[[#This Row],[PRECIO DE VENTA]]</f>
        <v>1240</v>
      </c>
      <c r="U1049" s="2">
        <f>MASTER[[#This Row],[CANTIDAD]]*MASTER[[#This Row],[COSTO UNITARIO]]</f>
        <v>380</v>
      </c>
      <c r="V1049" s="2">
        <f>MASTER[[#This Row],[MONTO VENDIDO]]-MASTER[[#This Row],[COSTO DE VENTA]]</f>
        <v>860</v>
      </c>
    </row>
    <row r="1050" spans="1:22" x14ac:dyDescent="0.3">
      <c r="A1050">
        <v>23091</v>
      </c>
      <c r="B1050">
        <v>1</v>
      </c>
      <c r="C1050" t="s">
        <v>111</v>
      </c>
      <c r="D1050" t="s">
        <v>112</v>
      </c>
      <c r="E1050" s="1">
        <v>43956</v>
      </c>
      <c r="F1050">
        <v>1</v>
      </c>
      <c r="G1050" t="s">
        <v>63</v>
      </c>
      <c r="H1050" t="s">
        <v>64</v>
      </c>
      <c r="I1050" s="3">
        <v>1799</v>
      </c>
      <c r="J1050" s="3">
        <v>1691</v>
      </c>
      <c r="K1050" s="3">
        <v>434</v>
      </c>
      <c r="L1050" t="s">
        <v>113</v>
      </c>
      <c r="M1050">
        <v>3</v>
      </c>
      <c r="N1050" t="s">
        <v>69</v>
      </c>
      <c r="O1050" t="s">
        <v>70</v>
      </c>
      <c r="P1050" t="s">
        <v>71</v>
      </c>
      <c r="Q1050" t="s">
        <v>72</v>
      </c>
      <c r="R1050" t="s">
        <v>139</v>
      </c>
      <c r="S1050" t="s">
        <v>144</v>
      </c>
      <c r="T1050" s="2">
        <f>MASTER[[#This Row],[CANTIDAD]]*MASTER[[#This Row],[PRECIO DE VENTA]]</f>
        <v>1691</v>
      </c>
      <c r="U1050" s="2">
        <f>MASTER[[#This Row],[CANTIDAD]]*MASTER[[#This Row],[COSTO UNITARIO]]</f>
        <v>434</v>
      </c>
      <c r="V1050" s="2">
        <f>MASTER[[#This Row],[MONTO VENDIDO]]-MASTER[[#This Row],[COSTO DE VENTA]]</f>
        <v>1257</v>
      </c>
    </row>
    <row r="1051" spans="1:22" x14ac:dyDescent="0.3">
      <c r="A1051">
        <v>23158</v>
      </c>
      <c r="B1051">
        <v>1</v>
      </c>
      <c r="C1051" t="s">
        <v>121</v>
      </c>
      <c r="D1051" t="s">
        <v>122</v>
      </c>
      <c r="E1051" s="1">
        <v>43956</v>
      </c>
      <c r="F1051">
        <v>1</v>
      </c>
      <c r="G1051" t="s">
        <v>24</v>
      </c>
      <c r="H1051" t="s">
        <v>25</v>
      </c>
      <c r="I1051" s="3">
        <v>1069</v>
      </c>
      <c r="J1051" s="3">
        <v>1069</v>
      </c>
      <c r="K1051" s="3">
        <v>460</v>
      </c>
      <c r="L1051" t="s">
        <v>120</v>
      </c>
      <c r="M1051">
        <v>7</v>
      </c>
      <c r="N1051" t="s">
        <v>84</v>
      </c>
      <c r="O1051" t="s">
        <v>81</v>
      </c>
      <c r="P1051" t="s">
        <v>12</v>
      </c>
      <c r="Q1051" t="s">
        <v>13</v>
      </c>
      <c r="R1051" t="s">
        <v>13</v>
      </c>
      <c r="S1051" t="s">
        <v>144</v>
      </c>
      <c r="T1051" s="2">
        <f>MASTER[[#This Row],[CANTIDAD]]*MASTER[[#This Row],[PRECIO DE VENTA]]</f>
        <v>1069</v>
      </c>
      <c r="U1051" s="2">
        <f>MASTER[[#This Row],[CANTIDAD]]*MASTER[[#This Row],[COSTO UNITARIO]]</f>
        <v>460</v>
      </c>
      <c r="V1051" s="2">
        <f>MASTER[[#This Row],[MONTO VENDIDO]]-MASTER[[#This Row],[COSTO DE VENTA]]</f>
        <v>609</v>
      </c>
    </row>
    <row r="1052" spans="1:22" x14ac:dyDescent="0.3">
      <c r="A1052">
        <v>23160</v>
      </c>
      <c r="B1052">
        <v>1</v>
      </c>
      <c r="C1052" t="s">
        <v>92</v>
      </c>
      <c r="D1052" t="s">
        <v>93</v>
      </c>
      <c r="E1052" s="1">
        <v>43956</v>
      </c>
      <c r="F1052">
        <v>1</v>
      </c>
      <c r="G1052" t="s">
        <v>53</v>
      </c>
      <c r="H1052" t="s">
        <v>54</v>
      </c>
      <c r="I1052" s="3">
        <v>1479</v>
      </c>
      <c r="J1052" s="3">
        <v>1479</v>
      </c>
      <c r="K1052" s="3">
        <v>396</v>
      </c>
      <c r="L1052" t="s">
        <v>9</v>
      </c>
      <c r="M1052">
        <v>17</v>
      </c>
      <c r="N1052" t="s">
        <v>14</v>
      </c>
      <c r="O1052" t="s">
        <v>11</v>
      </c>
      <c r="P1052" t="s">
        <v>15</v>
      </c>
      <c r="Q1052" t="s">
        <v>16</v>
      </c>
      <c r="R1052" t="s">
        <v>16</v>
      </c>
      <c r="S1052" t="s">
        <v>144</v>
      </c>
      <c r="T1052" s="2">
        <f>MASTER[[#This Row],[CANTIDAD]]*MASTER[[#This Row],[PRECIO DE VENTA]]</f>
        <v>1479</v>
      </c>
      <c r="U1052" s="2">
        <f>MASTER[[#This Row],[CANTIDAD]]*MASTER[[#This Row],[COSTO UNITARIO]]</f>
        <v>396</v>
      </c>
      <c r="V1052" s="2">
        <f>MASTER[[#This Row],[MONTO VENDIDO]]-MASTER[[#This Row],[COSTO DE VENTA]]</f>
        <v>1083</v>
      </c>
    </row>
    <row r="1053" spans="1:22" x14ac:dyDescent="0.3">
      <c r="A1053">
        <v>23161</v>
      </c>
      <c r="B1053">
        <v>1</v>
      </c>
      <c r="C1053" t="s">
        <v>109</v>
      </c>
      <c r="D1053" t="s">
        <v>110</v>
      </c>
      <c r="E1053" s="1">
        <v>43956</v>
      </c>
      <c r="F1053">
        <v>1</v>
      </c>
      <c r="G1053" t="s">
        <v>65</v>
      </c>
      <c r="H1053" t="s">
        <v>66</v>
      </c>
      <c r="I1053" s="3">
        <v>1128</v>
      </c>
      <c r="J1053" s="3">
        <v>1128</v>
      </c>
      <c r="K1053" s="3">
        <v>387</v>
      </c>
      <c r="L1053" t="s">
        <v>98</v>
      </c>
      <c r="M1053">
        <v>13</v>
      </c>
      <c r="N1053" t="s">
        <v>78</v>
      </c>
      <c r="O1053" t="s">
        <v>70</v>
      </c>
      <c r="P1053" t="s">
        <v>18</v>
      </c>
      <c r="Q1053" t="s">
        <v>19</v>
      </c>
      <c r="R1053" t="s">
        <v>138</v>
      </c>
      <c r="S1053" t="s">
        <v>144</v>
      </c>
      <c r="T1053" s="2">
        <f>MASTER[[#This Row],[CANTIDAD]]*MASTER[[#This Row],[PRECIO DE VENTA]]</f>
        <v>1128</v>
      </c>
      <c r="U1053" s="2">
        <f>MASTER[[#This Row],[CANTIDAD]]*MASTER[[#This Row],[COSTO UNITARIO]]</f>
        <v>387</v>
      </c>
      <c r="V1053" s="2">
        <f>MASTER[[#This Row],[MONTO VENDIDO]]-MASTER[[#This Row],[COSTO DE VENTA]]</f>
        <v>741</v>
      </c>
    </row>
    <row r="1054" spans="1:22" x14ac:dyDescent="0.3">
      <c r="A1054">
        <v>23167</v>
      </c>
      <c r="B1054">
        <v>1</v>
      </c>
      <c r="C1054" t="s">
        <v>103</v>
      </c>
      <c r="D1054" t="s">
        <v>104</v>
      </c>
      <c r="E1054" s="1">
        <v>43956</v>
      </c>
      <c r="F1054">
        <v>1</v>
      </c>
      <c r="G1054" t="s">
        <v>7</v>
      </c>
      <c r="H1054" t="s">
        <v>8</v>
      </c>
      <c r="I1054" s="3">
        <v>1591</v>
      </c>
      <c r="J1054" s="3">
        <v>1591</v>
      </c>
      <c r="K1054" s="3">
        <v>421</v>
      </c>
      <c r="L1054" t="s">
        <v>98</v>
      </c>
      <c r="M1054">
        <v>19</v>
      </c>
      <c r="N1054" t="s">
        <v>89</v>
      </c>
      <c r="O1054" t="s">
        <v>81</v>
      </c>
      <c r="P1054" t="s">
        <v>15</v>
      </c>
      <c r="Q1054" t="s">
        <v>16</v>
      </c>
      <c r="R1054" t="s">
        <v>16</v>
      </c>
      <c r="S1054" t="s">
        <v>144</v>
      </c>
      <c r="T1054" s="2">
        <f>MASTER[[#This Row],[CANTIDAD]]*MASTER[[#This Row],[PRECIO DE VENTA]]</f>
        <v>1591</v>
      </c>
      <c r="U1054" s="2">
        <f>MASTER[[#This Row],[CANTIDAD]]*MASTER[[#This Row],[COSTO UNITARIO]]</f>
        <v>421</v>
      </c>
      <c r="V1054" s="2">
        <f>MASTER[[#This Row],[MONTO VENDIDO]]-MASTER[[#This Row],[COSTO DE VENTA]]</f>
        <v>1170</v>
      </c>
    </row>
    <row r="1055" spans="1:22" x14ac:dyDescent="0.3">
      <c r="A1055">
        <v>23169</v>
      </c>
      <c r="B1055">
        <v>1</v>
      </c>
      <c r="C1055" t="s">
        <v>94</v>
      </c>
      <c r="D1055" t="s">
        <v>95</v>
      </c>
      <c r="E1055" s="1">
        <v>43956</v>
      </c>
      <c r="F1055">
        <v>1</v>
      </c>
      <c r="G1055" t="s">
        <v>35</v>
      </c>
      <c r="H1055" t="s">
        <v>36</v>
      </c>
      <c r="I1055" s="3">
        <v>1048</v>
      </c>
      <c r="J1055" s="3">
        <v>1048</v>
      </c>
      <c r="K1055" s="3">
        <v>392</v>
      </c>
      <c r="L1055" t="s">
        <v>9</v>
      </c>
      <c r="M1055">
        <v>4</v>
      </c>
      <c r="N1055" t="s">
        <v>82</v>
      </c>
      <c r="O1055" t="s">
        <v>81</v>
      </c>
      <c r="P1055" t="s">
        <v>71</v>
      </c>
      <c r="Q1055" t="s">
        <v>72</v>
      </c>
      <c r="R1055" t="s">
        <v>139</v>
      </c>
      <c r="S1055" t="s">
        <v>144</v>
      </c>
      <c r="T1055" s="2">
        <f>MASTER[[#This Row],[CANTIDAD]]*MASTER[[#This Row],[PRECIO DE VENTA]]</f>
        <v>1048</v>
      </c>
      <c r="U1055" s="2">
        <f>MASTER[[#This Row],[CANTIDAD]]*MASTER[[#This Row],[COSTO UNITARIO]]</f>
        <v>392</v>
      </c>
      <c r="V1055" s="2">
        <f>MASTER[[#This Row],[MONTO VENDIDO]]-MASTER[[#This Row],[COSTO DE VENTA]]</f>
        <v>656</v>
      </c>
    </row>
    <row r="1056" spans="1:22" x14ac:dyDescent="0.3">
      <c r="A1056">
        <v>23188</v>
      </c>
      <c r="B1056">
        <v>1</v>
      </c>
      <c r="C1056" t="s">
        <v>99</v>
      </c>
      <c r="D1056" t="s">
        <v>100</v>
      </c>
      <c r="E1056" s="1">
        <v>43956</v>
      </c>
      <c r="F1056">
        <v>1</v>
      </c>
      <c r="G1056" t="s">
        <v>61</v>
      </c>
      <c r="H1056" t="s">
        <v>62</v>
      </c>
      <c r="I1056" s="3">
        <v>1678</v>
      </c>
      <c r="J1056" s="3">
        <v>1678</v>
      </c>
      <c r="K1056" s="3">
        <v>386</v>
      </c>
      <c r="L1056" t="s">
        <v>98</v>
      </c>
      <c r="M1056">
        <v>18</v>
      </c>
      <c r="N1056" t="s">
        <v>79</v>
      </c>
      <c r="O1056" t="s">
        <v>70</v>
      </c>
      <c r="P1056" t="s">
        <v>15</v>
      </c>
      <c r="Q1056" t="s">
        <v>16</v>
      </c>
      <c r="R1056" t="s">
        <v>16</v>
      </c>
      <c r="S1056" t="s">
        <v>144</v>
      </c>
      <c r="T1056" s="2">
        <f>MASTER[[#This Row],[CANTIDAD]]*MASTER[[#This Row],[PRECIO DE VENTA]]</f>
        <v>1678</v>
      </c>
      <c r="U1056" s="2">
        <f>MASTER[[#This Row],[CANTIDAD]]*MASTER[[#This Row],[COSTO UNITARIO]]</f>
        <v>386</v>
      </c>
      <c r="V1056" s="2">
        <f>MASTER[[#This Row],[MONTO VENDIDO]]-MASTER[[#This Row],[COSTO DE VENTA]]</f>
        <v>1292</v>
      </c>
    </row>
    <row r="1057" spans="1:22" x14ac:dyDescent="0.3">
      <c r="A1057">
        <v>23194</v>
      </c>
      <c r="B1057">
        <v>1</v>
      </c>
      <c r="C1057" t="s">
        <v>99</v>
      </c>
      <c r="D1057" t="s">
        <v>100</v>
      </c>
      <c r="E1057" s="1">
        <v>43956</v>
      </c>
      <c r="F1057">
        <v>1</v>
      </c>
      <c r="G1057" t="s">
        <v>59</v>
      </c>
      <c r="H1057" t="s">
        <v>60</v>
      </c>
      <c r="I1057" s="3">
        <v>1678</v>
      </c>
      <c r="J1057" s="3">
        <v>1678</v>
      </c>
      <c r="K1057" s="3">
        <v>386</v>
      </c>
      <c r="L1057" t="s">
        <v>98</v>
      </c>
      <c r="M1057">
        <v>9</v>
      </c>
      <c r="N1057" t="s">
        <v>76</v>
      </c>
      <c r="O1057" t="s">
        <v>70</v>
      </c>
      <c r="P1057" t="s">
        <v>12</v>
      </c>
      <c r="Q1057" t="s">
        <v>13</v>
      </c>
      <c r="R1057" t="s">
        <v>13</v>
      </c>
      <c r="S1057" t="s">
        <v>144</v>
      </c>
      <c r="T1057" s="2">
        <f>MASTER[[#This Row],[CANTIDAD]]*MASTER[[#This Row],[PRECIO DE VENTA]]</f>
        <v>1678</v>
      </c>
      <c r="U1057" s="2">
        <f>MASTER[[#This Row],[CANTIDAD]]*MASTER[[#This Row],[COSTO UNITARIO]]</f>
        <v>386</v>
      </c>
      <c r="V1057" s="2">
        <f>MASTER[[#This Row],[MONTO VENDIDO]]-MASTER[[#This Row],[COSTO DE VENTA]]</f>
        <v>1292</v>
      </c>
    </row>
    <row r="1058" spans="1:22" x14ac:dyDescent="0.3">
      <c r="A1058">
        <v>23215</v>
      </c>
      <c r="B1058">
        <v>1</v>
      </c>
      <c r="C1058" t="s">
        <v>96</v>
      </c>
      <c r="D1058" t="s">
        <v>97</v>
      </c>
      <c r="E1058" s="1">
        <v>43956</v>
      </c>
      <c r="F1058">
        <v>1</v>
      </c>
      <c r="G1058" t="s">
        <v>51</v>
      </c>
      <c r="H1058" t="s">
        <v>52</v>
      </c>
      <c r="I1058" s="3">
        <v>1361</v>
      </c>
      <c r="J1058" s="3">
        <v>1361</v>
      </c>
      <c r="K1058" s="3">
        <v>397</v>
      </c>
      <c r="L1058" t="s">
        <v>98</v>
      </c>
      <c r="M1058">
        <v>1</v>
      </c>
      <c r="N1058" t="s">
        <v>77</v>
      </c>
      <c r="O1058" t="s">
        <v>70</v>
      </c>
      <c r="P1058" t="s">
        <v>71</v>
      </c>
      <c r="Q1058" t="s">
        <v>72</v>
      </c>
      <c r="R1058" t="s">
        <v>139</v>
      </c>
      <c r="S1058" t="s">
        <v>144</v>
      </c>
      <c r="T1058" s="2">
        <f>MASTER[[#This Row],[CANTIDAD]]*MASTER[[#This Row],[PRECIO DE VENTA]]</f>
        <v>1361</v>
      </c>
      <c r="U1058" s="2">
        <f>MASTER[[#This Row],[CANTIDAD]]*MASTER[[#This Row],[COSTO UNITARIO]]</f>
        <v>397</v>
      </c>
      <c r="V1058" s="2">
        <f>MASTER[[#This Row],[MONTO VENDIDO]]-MASTER[[#This Row],[COSTO DE VENTA]]</f>
        <v>964</v>
      </c>
    </row>
    <row r="1059" spans="1:22" x14ac:dyDescent="0.3">
      <c r="A1059">
        <v>23224</v>
      </c>
      <c r="B1059">
        <v>1</v>
      </c>
      <c r="C1059" t="s">
        <v>101</v>
      </c>
      <c r="D1059" t="s">
        <v>102</v>
      </c>
      <c r="E1059" s="1">
        <v>43956</v>
      </c>
      <c r="F1059">
        <v>1</v>
      </c>
      <c r="G1059" t="s">
        <v>45</v>
      </c>
      <c r="H1059" t="s">
        <v>46</v>
      </c>
      <c r="I1059" s="3">
        <v>1357</v>
      </c>
      <c r="J1059" s="3">
        <v>1357</v>
      </c>
      <c r="K1059" s="3">
        <v>442</v>
      </c>
      <c r="L1059" t="s">
        <v>98</v>
      </c>
      <c r="M1059">
        <v>6</v>
      </c>
      <c r="N1059" t="s">
        <v>75</v>
      </c>
      <c r="O1059" t="s">
        <v>70</v>
      </c>
      <c r="P1059" t="s">
        <v>12</v>
      </c>
      <c r="Q1059" t="s">
        <v>13</v>
      </c>
      <c r="R1059" t="s">
        <v>13</v>
      </c>
      <c r="S1059" t="s">
        <v>144</v>
      </c>
      <c r="T1059" s="2">
        <f>MASTER[[#This Row],[CANTIDAD]]*MASTER[[#This Row],[PRECIO DE VENTA]]</f>
        <v>1357</v>
      </c>
      <c r="U1059" s="2">
        <f>MASTER[[#This Row],[CANTIDAD]]*MASTER[[#This Row],[COSTO UNITARIO]]</f>
        <v>442</v>
      </c>
      <c r="V1059" s="2">
        <f>MASTER[[#This Row],[MONTO VENDIDO]]-MASTER[[#This Row],[COSTO DE VENTA]]</f>
        <v>915</v>
      </c>
    </row>
    <row r="1060" spans="1:22" x14ac:dyDescent="0.3">
      <c r="A1060">
        <v>23238</v>
      </c>
      <c r="B1060">
        <v>1</v>
      </c>
      <c r="C1060" t="s">
        <v>121</v>
      </c>
      <c r="D1060" t="s">
        <v>122</v>
      </c>
      <c r="E1060" s="1">
        <v>43956</v>
      </c>
      <c r="F1060">
        <v>1</v>
      </c>
      <c r="G1060" t="s">
        <v>45</v>
      </c>
      <c r="H1060" t="s">
        <v>46</v>
      </c>
      <c r="I1060" s="3">
        <v>1069</v>
      </c>
      <c r="J1060" s="3">
        <v>1069</v>
      </c>
      <c r="K1060" s="3">
        <v>460</v>
      </c>
      <c r="L1060" t="s">
        <v>120</v>
      </c>
      <c r="M1060">
        <v>10</v>
      </c>
      <c r="N1060" t="s">
        <v>83</v>
      </c>
      <c r="O1060" t="s">
        <v>81</v>
      </c>
      <c r="P1060" t="s">
        <v>12</v>
      </c>
      <c r="Q1060" t="s">
        <v>13</v>
      </c>
      <c r="R1060" t="s">
        <v>13</v>
      </c>
      <c r="S1060" t="s">
        <v>144</v>
      </c>
      <c r="T1060" s="2">
        <f>MASTER[[#This Row],[CANTIDAD]]*MASTER[[#This Row],[PRECIO DE VENTA]]</f>
        <v>1069</v>
      </c>
      <c r="U1060" s="2">
        <f>MASTER[[#This Row],[CANTIDAD]]*MASTER[[#This Row],[COSTO UNITARIO]]</f>
        <v>460</v>
      </c>
      <c r="V1060" s="2">
        <f>MASTER[[#This Row],[MONTO VENDIDO]]-MASTER[[#This Row],[COSTO DE VENTA]]</f>
        <v>609</v>
      </c>
    </row>
    <row r="1061" spans="1:22" x14ac:dyDescent="0.3">
      <c r="A1061">
        <v>23239</v>
      </c>
      <c r="B1061">
        <v>1</v>
      </c>
      <c r="C1061" t="s">
        <v>116</v>
      </c>
      <c r="D1061" t="s">
        <v>117</v>
      </c>
      <c r="E1061" s="1">
        <v>43956</v>
      </c>
      <c r="F1061">
        <v>1</v>
      </c>
      <c r="G1061" t="s">
        <v>59</v>
      </c>
      <c r="H1061" t="s">
        <v>60</v>
      </c>
      <c r="I1061" s="3">
        <v>1738</v>
      </c>
      <c r="J1061" s="3">
        <v>1738</v>
      </c>
      <c r="K1061" s="3">
        <v>388</v>
      </c>
      <c r="L1061" t="s">
        <v>113</v>
      </c>
      <c r="M1061">
        <v>14</v>
      </c>
      <c r="N1061" t="s">
        <v>87</v>
      </c>
      <c r="O1061" t="s">
        <v>81</v>
      </c>
      <c r="P1061" t="s">
        <v>18</v>
      </c>
      <c r="Q1061" t="s">
        <v>19</v>
      </c>
      <c r="R1061" t="s">
        <v>138</v>
      </c>
      <c r="S1061" t="s">
        <v>144</v>
      </c>
      <c r="T1061" s="2">
        <f>MASTER[[#This Row],[CANTIDAD]]*MASTER[[#This Row],[PRECIO DE VENTA]]</f>
        <v>1738</v>
      </c>
      <c r="U1061" s="2">
        <f>MASTER[[#This Row],[CANTIDAD]]*MASTER[[#This Row],[COSTO UNITARIO]]</f>
        <v>388</v>
      </c>
      <c r="V1061" s="2">
        <f>MASTER[[#This Row],[MONTO VENDIDO]]-MASTER[[#This Row],[COSTO DE VENTA]]</f>
        <v>1350</v>
      </c>
    </row>
    <row r="1062" spans="1:22" x14ac:dyDescent="0.3">
      <c r="A1062">
        <v>23252</v>
      </c>
      <c r="B1062">
        <v>1</v>
      </c>
      <c r="C1062" t="s">
        <v>94</v>
      </c>
      <c r="D1062" t="s">
        <v>95</v>
      </c>
      <c r="E1062" s="1">
        <v>43957</v>
      </c>
      <c r="F1062">
        <v>1</v>
      </c>
      <c r="G1062" t="s">
        <v>39</v>
      </c>
      <c r="H1062" t="s">
        <v>40</v>
      </c>
      <c r="I1062" s="3">
        <v>1048</v>
      </c>
      <c r="J1062" s="3">
        <v>1048</v>
      </c>
      <c r="K1062" s="3">
        <v>392</v>
      </c>
      <c r="L1062" t="s">
        <v>9</v>
      </c>
      <c r="M1062">
        <v>4</v>
      </c>
      <c r="N1062" t="s">
        <v>82</v>
      </c>
      <c r="O1062" t="s">
        <v>81</v>
      </c>
      <c r="P1062" t="s">
        <v>71</v>
      </c>
      <c r="Q1062" t="s">
        <v>72</v>
      </c>
      <c r="R1062" t="s">
        <v>139</v>
      </c>
      <c r="S1062" t="s">
        <v>144</v>
      </c>
      <c r="T1062" s="2">
        <f>MASTER[[#This Row],[CANTIDAD]]*MASTER[[#This Row],[PRECIO DE VENTA]]</f>
        <v>1048</v>
      </c>
      <c r="U1062" s="2">
        <f>MASTER[[#This Row],[CANTIDAD]]*MASTER[[#This Row],[COSTO UNITARIO]]</f>
        <v>392</v>
      </c>
      <c r="V1062" s="2">
        <f>MASTER[[#This Row],[MONTO VENDIDO]]-MASTER[[#This Row],[COSTO DE VENTA]]</f>
        <v>656</v>
      </c>
    </row>
    <row r="1063" spans="1:22" x14ac:dyDescent="0.3">
      <c r="A1063">
        <v>23254</v>
      </c>
      <c r="B1063">
        <v>1</v>
      </c>
      <c r="C1063" t="s">
        <v>111</v>
      </c>
      <c r="D1063" t="s">
        <v>112</v>
      </c>
      <c r="E1063" s="1">
        <v>43957</v>
      </c>
      <c r="F1063">
        <v>1</v>
      </c>
      <c r="G1063" t="s">
        <v>29</v>
      </c>
      <c r="H1063" t="s">
        <v>30</v>
      </c>
      <c r="I1063" s="3">
        <v>1621</v>
      </c>
      <c r="J1063" s="3">
        <v>1621</v>
      </c>
      <c r="K1063" s="3">
        <v>434</v>
      </c>
      <c r="L1063" t="s">
        <v>113</v>
      </c>
      <c r="M1063">
        <v>14</v>
      </c>
      <c r="N1063" t="s">
        <v>87</v>
      </c>
      <c r="O1063" t="s">
        <v>81</v>
      </c>
      <c r="P1063" t="s">
        <v>18</v>
      </c>
      <c r="Q1063" t="s">
        <v>19</v>
      </c>
      <c r="R1063" t="s">
        <v>138</v>
      </c>
      <c r="S1063" t="s">
        <v>144</v>
      </c>
      <c r="T1063" s="2">
        <f>MASTER[[#This Row],[CANTIDAD]]*MASTER[[#This Row],[PRECIO DE VENTA]]</f>
        <v>1621</v>
      </c>
      <c r="U1063" s="2">
        <f>MASTER[[#This Row],[CANTIDAD]]*MASTER[[#This Row],[COSTO UNITARIO]]</f>
        <v>434</v>
      </c>
      <c r="V1063" s="2">
        <f>MASTER[[#This Row],[MONTO VENDIDO]]-MASTER[[#This Row],[COSTO DE VENTA]]</f>
        <v>1187</v>
      </c>
    </row>
    <row r="1064" spans="1:22" x14ac:dyDescent="0.3">
      <c r="A1064">
        <v>23267</v>
      </c>
      <c r="B1064">
        <v>1</v>
      </c>
      <c r="C1064" t="s">
        <v>114</v>
      </c>
      <c r="D1064" t="s">
        <v>115</v>
      </c>
      <c r="E1064" s="1">
        <v>43957</v>
      </c>
      <c r="F1064">
        <v>1</v>
      </c>
      <c r="G1064" t="s">
        <v>27</v>
      </c>
      <c r="H1064" t="s">
        <v>28</v>
      </c>
      <c r="I1064" s="3">
        <v>1862</v>
      </c>
      <c r="J1064" s="3">
        <v>1862</v>
      </c>
      <c r="K1064" s="3">
        <v>394</v>
      </c>
      <c r="L1064" t="s">
        <v>113</v>
      </c>
      <c r="M1064">
        <v>14</v>
      </c>
      <c r="N1064" t="s">
        <v>87</v>
      </c>
      <c r="O1064" t="s">
        <v>81</v>
      </c>
      <c r="P1064" t="s">
        <v>18</v>
      </c>
      <c r="Q1064" t="s">
        <v>19</v>
      </c>
      <c r="R1064" t="s">
        <v>138</v>
      </c>
      <c r="S1064" t="s">
        <v>144</v>
      </c>
      <c r="T1064" s="2">
        <f>MASTER[[#This Row],[CANTIDAD]]*MASTER[[#This Row],[PRECIO DE VENTA]]</f>
        <v>1862</v>
      </c>
      <c r="U1064" s="2">
        <f>MASTER[[#This Row],[CANTIDAD]]*MASTER[[#This Row],[COSTO UNITARIO]]</f>
        <v>394</v>
      </c>
      <c r="V1064" s="2">
        <f>MASTER[[#This Row],[MONTO VENDIDO]]-MASTER[[#This Row],[COSTO DE VENTA]]</f>
        <v>1468</v>
      </c>
    </row>
    <row r="1065" spans="1:22" x14ac:dyDescent="0.3">
      <c r="A1065">
        <v>23277</v>
      </c>
      <c r="B1065">
        <v>1</v>
      </c>
      <c r="C1065" t="s">
        <v>105</v>
      </c>
      <c r="D1065" t="s">
        <v>106</v>
      </c>
      <c r="E1065" s="1">
        <v>43957</v>
      </c>
      <c r="F1065">
        <v>1</v>
      </c>
      <c r="G1065" t="s">
        <v>57</v>
      </c>
      <c r="H1065" t="s">
        <v>58</v>
      </c>
      <c r="I1065" s="3">
        <v>2033</v>
      </c>
      <c r="J1065" s="3">
        <v>2033</v>
      </c>
      <c r="K1065" s="3">
        <v>459</v>
      </c>
      <c r="L1065" t="s">
        <v>98</v>
      </c>
      <c r="M1065">
        <v>6</v>
      </c>
      <c r="N1065" t="s">
        <v>75</v>
      </c>
      <c r="O1065" t="s">
        <v>70</v>
      </c>
      <c r="P1065" t="s">
        <v>12</v>
      </c>
      <c r="Q1065" t="s">
        <v>13</v>
      </c>
      <c r="R1065" t="s">
        <v>13</v>
      </c>
      <c r="S1065" t="s">
        <v>144</v>
      </c>
      <c r="T1065" s="2">
        <f>MASTER[[#This Row],[CANTIDAD]]*MASTER[[#This Row],[PRECIO DE VENTA]]</f>
        <v>2033</v>
      </c>
      <c r="U1065" s="2">
        <f>MASTER[[#This Row],[CANTIDAD]]*MASTER[[#This Row],[COSTO UNITARIO]]</f>
        <v>459</v>
      </c>
      <c r="V1065" s="2">
        <f>MASTER[[#This Row],[MONTO VENDIDO]]-MASTER[[#This Row],[COSTO DE VENTA]]</f>
        <v>1574</v>
      </c>
    </row>
    <row r="1066" spans="1:22" x14ac:dyDescent="0.3">
      <c r="A1066">
        <v>23290</v>
      </c>
      <c r="B1066">
        <v>1</v>
      </c>
      <c r="C1066" t="s">
        <v>96</v>
      </c>
      <c r="D1066" t="s">
        <v>97</v>
      </c>
      <c r="E1066" s="1">
        <v>43957</v>
      </c>
      <c r="F1066">
        <v>3</v>
      </c>
      <c r="G1066" t="s">
        <v>27</v>
      </c>
      <c r="H1066" t="s">
        <v>28</v>
      </c>
      <c r="I1066" s="3">
        <v>1361</v>
      </c>
      <c r="J1066" s="3">
        <v>1224</v>
      </c>
      <c r="K1066" s="3">
        <v>397</v>
      </c>
      <c r="L1066" t="s">
        <v>98</v>
      </c>
      <c r="M1066">
        <v>18</v>
      </c>
      <c r="N1066" t="s">
        <v>79</v>
      </c>
      <c r="O1066" t="s">
        <v>70</v>
      </c>
      <c r="P1066" t="s">
        <v>15</v>
      </c>
      <c r="Q1066" t="s">
        <v>16</v>
      </c>
      <c r="R1066" t="s">
        <v>16</v>
      </c>
      <c r="S1066" t="s">
        <v>144</v>
      </c>
      <c r="T1066" s="2">
        <f>MASTER[[#This Row],[CANTIDAD]]*MASTER[[#This Row],[PRECIO DE VENTA]]</f>
        <v>3672</v>
      </c>
      <c r="U1066" s="2">
        <f>MASTER[[#This Row],[CANTIDAD]]*MASTER[[#This Row],[COSTO UNITARIO]]</f>
        <v>1191</v>
      </c>
      <c r="V1066" s="2">
        <f>MASTER[[#This Row],[MONTO VENDIDO]]-MASTER[[#This Row],[COSTO DE VENTA]]</f>
        <v>2481</v>
      </c>
    </row>
    <row r="1067" spans="1:22" x14ac:dyDescent="0.3">
      <c r="A1067">
        <v>23309</v>
      </c>
      <c r="B1067">
        <v>1</v>
      </c>
      <c r="C1067" t="s">
        <v>99</v>
      </c>
      <c r="D1067" t="s">
        <v>100</v>
      </c>
      <c r="E1067" s="1">
        <v>43957</v>
      </c>
      <c r="F1067">
        <v>1</v>
      </c>
      <c r="G1067" t="s">
        <v>35</v>
      </c>
      <c r="H1067" t="s">
        <v>36</v>
      </c>
      <c r="I1067" s="3">
        <v>1328</v>
      </c>
      <c r="J1067" s="3">
        <v>1221</v>
      </c>
      <c r="K1067" s="3">
        <v>386</v>
      </c>
      <c r="L1067" t="s">
        <v>98</v>
      </c>
      <c r="M1067">
        <v>16</v>
      </c>
      <c r="N1067" t="s">
        <v>17</v>
      </c>
      <c r="O1067" t="s">
        <v>11</v>
      </c>
      <c r="P1067" t="s">
        <v>18</v>
      </c>
      <c r="Q1067" t="s">
        <v>19</v>
      </c>
      <c r="R1067" t="s">
        <v>138</v>
      </c>
      <c r="S1067" t="s">
        <v>144</v>
      </c>
      <c r="T1067" s="2">
        <f>MASTER[[#This Row],[CANTIDAD]]*MASTER[[#This Row],[PRECIO DE VENTA]]</f>
        <v>1221</v>
      </c>
      <c r="U1067" s="2">
        <f>MASTER[[#This Row],[CANTIDAD]]*MASTER[[#This Row],[COSTO UNITARIO]]</f>
        <v>386</v>
      </c>
      <c r="V1067" s="2">
        <f>MASTER[[#This Row],[MONTO VENDIDO]]-MASTER[[#This Row],[COSTO DE VENTA]]</f>
        <v>835</v>
      </c>
    </row>
    <row r="1068" spans="1:22" x14ac:dyDescent="0.3">
      <c r="A1068">
        <v>23319</v>
      </c>
      <c r="B1068">
        <v>1</v>
      </c>
      <c r="C1068" t="s">
        <v>118</v>
      </c>
      <c r="D1068" t="s">
        <v>119</v>
      </c>
      <c r="E1068" s="1">
        <v>43957</v>
      </c>
      <c r="F1068">
        <v>1</v>
      </c>
      <c r="G1068" t="s">
        <v>29</v>
      </c>
      <c r="H1068" t="s">
        <v>30</v>
      </c>
      <c r="I1068" s="3">
        <v>1026</v>
      </c>
      <c r="J1068" s="3">
        <v>1026</v>
      </c>
      <c r="K1068" s="3">
        <v>424</v>
      </c>
      <c r="L1068" t="s">
        <v>120</v>
      </c>
      <c r="M1068">
        <v>3</v>
      </c>
      <c r="N1068" t="s">
        <v>69</v>
      </c>
      <c r="O1068" t="s">
        <v>70</v>
      </c>
      <c r="P1068" t="s">
        <v>71</v>
      </c>
      <c r="Q1068" t="s">
        <v>72</v>
      </c>
      <c r="R1068" t="s">
        <v>139</v>
      </c>
      <c r="S1068" t="s">
        <v>144</v>
      </c>
      <c r="T1068" s="2">
        <f>MASTER[[#This Row],[CANTIDAD]]*MASTER[[#This Row],[PRECIO DE VENTA]]</f>
        <v>1026</v>
      </c>
      <c r="U1068" s="2">
        <f>MASTER[[#This Row],[CANTIDAD]]*MASTER[[#This Row],[COSTO UNITARIO]]</f>
        <v>424</v>
      </c>
      <c r="V1068" s="2">
        <f>MASTER[[#This Row],[MONTO VENDIDO]]-MASTER[[#This Row],[COSTO DE VENTA]]</f>
        <v>602</v>
      </c>
    </row>
    <row r="1069" spans="1:22" x14ac:dyDescent="0.3">
      <c r="A1069">
        <v>23320</v>
      </c>
      <c r="B1069">
        <v>1</v>
      </c>
      <c r="C1069" t="s">
        <v>103</v>
      </c>
      <c r="D1069" t="s">
        <v>104</v>
      </c>
      <c r="E1069" s="1">
        <v>43957</v>
      </c>
      <c r="F1069">
        <v>1</v>
      </c>
      <c r="G1069" t="s">
        <v>45</v>
      </c>
      <c r="H1069" t="s">
        <v>46</v>
      </c>
      <c r="I1069" s="3">
        <v>1448</v>
      </c>
      <c r="J1069" s="3">
        <v>1448</v>
      </c>
      <c r="K1069" s="3">
        <v>421</v>
      </c>
      <c r="L1069" t="s">
        <v>98</v>
      </c>
      <c r="M1069">
        <v>11</v>
      </c>
      <c r="N1069" t="s">
        <v>10</v>
      </c>
      <c r="O1069" t="s">
        <v>11</v>
      </c>
      <c r="P1069" t="s">
        <v>12</v>
      </c>
      <c r="Q1069" t="s">
        <v>13</v>
      </c>
      <c r="R1069" t="s">
        <v>13</v>
      </c>
      <c r="S1069" t="s">
        <v>144</v>
      </c>
      <c r="T1069" s="2">
        <f>MASTER[[#This Row],[CANTIDAD]]*MASTER[[#This Row],[PRECIO DE VENTA]]</f>
        <v>1448</v>
      </c>
      <c r="U1069" s="2">
        <f>MASTER[[#This Row],[CANTIDAD]]*MASTER[[#This Row],[COSTO UNITARIO]]</f>
        <v>421</v>
      </c>
      <c r="V1069" s="2">
        <f>MASTER[[#This Row],[MONTO VENDIDO]]-MASTER[[#This Row],[COSTO DE VENTA]]</f>
        <v>1027</v>
      </c>
    </row>
    <row r="1070" spans="1:22" x14ac:dyDescent="0.3">
      <c r="A1070">
        <v>23325</v>
      </c>
      <c r="B1070">
        <v>1</v>
      </c>
      <c r="C1070" t="s">
        <v>101</v>
      </c>
      <c r="D1070" t="s">
        <v>102</v>
      </c>
      <c r="E1070" s="1">
        <v>43957</v>
      </c>
      <c r="F1070">
        <v>1</v>
      </c>
      <c r="G1070" t="s">
        <v>7</v>
      </c>
      <c r="H1070" t="s">
        <v>8</v>
      </c>
      <c r="I1070" s="3">
        <v>1212</v>
      </c>
      <c r="J1070" s="3">
        <v>1212</v>
      </c>
      <c r="K1070" s="3">
        <v>442</v>
      </c>
      <c r="L1070" t="s">
        <v>98</v>
      </c>
      <c r="M1070">
        <v>10</v>
      </c>
      <c r="N1070" t="s">
        <v>83</v>
      </c>
      <c r="O1070" t="s">
        <v>81</v>
      </c>
      <c r="P1070" t="s">
        <v>12</v>
      </c>
      <c r="Q1070" t="s">
        <v>13</v>
      </c>
      <c r="R1070" t="s">
        <v>13</v>
      </c>
      <c r="S1070" t="s">
        <v>144</v>
      </c>
      <c r="T1070" s="2">
        <f>MASTER[[#This Row],[CANTIDAD]]*MASTER[[#This Row],[PRECIO DE VENTA]]</f>
        <v>1212</v>
      </c>
      <c r="U1070" s="2">
        <f>MASTER[[#This Row],[CANTIDAD]]*MASTER[[#This Row],[COSTO UNITARIO]]</f>
        <v>442</v>
      </c>
      <c r="V1070" s="2">
        <f>MASTER[[#This Row],[MONTO VENDIDO]]-MASTER[[#This Row],[COSTO DE VENTA]]</f>
        <v>770</v>
      </c>
    </row>
    <row r="1071" spans="1:22" x14ac:dyDescent="0.3">
      <c r="A1071">
        <v>23347</v>
      </c>
      <c r="B1071">
        <v>1</v>
      </c>
      <c r="C1071" t="s">
        <v>92</v>
      </c>
      <c r="D1071" t="s">
        <v>93</v>
      </c>
      <c r="E1071" s="1">
        <v>43957</v>
      </c>
      <c r="F1071">
        <v>1</v>
      </c>
      <c r="G1071" t="s">
        <v>7</v>
      </c>
      <c r="H1071" t="s">
        <v>8</v>
      </c>
      <c r="I1071" s="3">
        <v>1866</v>
      </c>
      <c r="J1071" s="3">
        <v>1679</v>
      </c>
      <c r="K1071" s="3">
        <v>396</v>
      </c>
      <c r="L1071" t="s">
        <v>9</v>
      </c>
      <c r="M1071">
        <v>6</v>
      </c>
      <c r="N1071" t="s">
        <v>75</v>
      </c>
      <c r="O1071" t="s">
        <v>70</v>
      </c>
      <c r="P1071" t="s">
        <v>12</v>
      </c>
      <c r="Q1071" t="s">
        <v>13</v>
      </c>
      <c r="R1071" t="s">
        <v>13</v>
      </c>
      <c r="S1071" t="s">
        <v>144</v>
      </c>
      <c r="T1071" s="2">
        <f>MASTER[[#This Row],[CANTIDAD]]*MASTER[[#This Row],[PRECIO DE VENTA]]</f>
        <v>1679</v>
      </c>
      <c r="U1071" s="2">
        <f>MASTER[[#This Row],[CANTIDAD]]*MASTER[[#This Row],[COSTO UNITARIO]]</f>
        <v>396</v>
      </c>
      <c r="V1071" s="2">
        <f>MASTER[[#This Row],[MONTO VENDIDO]]-MASTER[[#This Row],[COSTO DE VENTA]]</f>
        <v>1283</v>
      </c>
    </row>
    <row r="1072" spans="1:22" x14ac:dyDescent="0.3">
      <c r="A1072">
        <v>23348</v>
      </c>
      <c r="B1072">
        <v>1</v>
      </c>
      <c r="C1072" t="s">
        <v>103</v>
      </c>
      <c r="D1072" t="s">
        <v>104</v>
      </c>
      <c r="E1072" s="1">
        <v>43958</v>
      </c>
      <c r="F1072">
        <v>1</v>
      </c>
      <c r="G1072" t="s">
        <v>51</v>
      </c>
      <c r="H1072" t="s">
        <v>52</v>
      </c>
      <c r="I1072" s="3">
        <v>1591</v>
      </c>
      <c r="J1072" s="3">
        <v>1591</v>
      </c>
      <c r="K1072" s="3">
        <v>421</v>
      </c>
      <c r="L1072" t="s">
        <v>98</v>
      </c>
      <c r="M1072">
        <v>15</v>
      </c>
      <c r="N1072" t="s">
        <v>88</v>
      </c>
      <c r="O1072" t="s">
        <v>81</v>
      </c>
      <c r="P1072" t="s">
        <v>18</v>
      </c>
      <c r="Q1072" t="s">
        <v>19</v>
      </c>
      <c r="R1072" t="s">
        <v>138</v>
      </c>
      <c r="S1072" t="s">
        <v>144</v>
      </c>
      <c r="T1072" s="2">
        <f>MASTER[[#This Row],[CANTIDAD]]*MASTER[[#This Row],[PRECIO DE VENTA]]</f>
        <v>1591</v>
      </c>
      <c r="U1072" s="2">
        <f>MASTER[[#This Row],[CANTIDAD]]*MASTER[[#This Row],[COSTO UNITARIO]]</f>
        <v>421</v>
      </c>
      <c r="V1072" s="2">
        <f>MASTER[[#This Row],[MONTO VENDIDO]]-MASTER[[#This Row],[COSTO DE VENTA]]</f>
        <v>1170</v>
      </c>
    </row>
    <row r="1073" spans="1:22" x14ac:dyDescent="0.3">
      <c r="A1073">
        <v>23368</v>
      </c>
      <c r="B1073">
        <v>1</v>
      </c>
      <c r="C1073" t="s">
        <v>109</v>
      </c>
      <c r="D1073" t="s">
        <v>110</v>
      </c>
      <c r="E1073" s="1">
        <v>43958</v>
      </c>
      <c r="F1073">
        <v>4</v>
      </c>
      <c r="G1073" t="s">
        <v>35</v>
      </c>
      <c r="H1073" t="s">
        <v>36</v>
      </c>
      <c r="I1073" s="3">
        <v>947</v>
      </c>
      <c r="J1073" s="3">
        <v>947</v>
      </c>
      <c r="K1073" s="3">
        <v>387</v>
      </c>
      <c r="L1073" t="s">
        <v>98</v>
      </c>
      <c r="M1073">
        <v>12</v>
      </c>
      <c r="N1073" t="s">
        <v>26</v>
      </c>
      <c r="O1073" t="s">
        <v>11</v>
      </c>
      <c r="P1073" t="s">
        <v>12</v>
      </c>
      <c r="Q1073" t="s">
        <v>13</v>
      </c>
      <c r="R1073" t="s">
        <v>13</v>
      </c>
      <c r="S1073" t="s">
        <v>144</v>
      </c>
      <c r="T1073" s="2">
        <f>MASTER[[#This Row],[CANTIDAD]]*MASTER[[#This Row],[PRECIO DE VENTA]]</f>
        <v>3788</v>
      </c>
      <c r="U1073" s="2">
        <f>MASTER[[#This Row],[CANTIDAD]]*MASTER[[#This Row],[COSTO UNITARIO]]</f>
        <v>1548</v>
      </c>
      <c r="V1073" s="2">
        <f>MASTER[[#This Row],[MONTO VENDIDO]]-MASTER[[#This Row],[COSTO DE VENTA]]</f>
        <v>2240</v>
      </c>
    </row>
    <row r="1074" spans="1:22" x14ac:dyDescent="0.3">
      <c r="A1074">
        <v>23379</v>
      </c>
      <c r="B1074">
        <v>1</v>
      </c>
      <c r="C1074" t="s">
        <v>90</v>
      </c>
      <c r="D1074" t="s">
        <v>91</v>
      </c>
      <c r="E1074" s="1">
        <v>43958</v>
      </c>
      <c r="F1074">
        <v>1</v>
      </c>
      <c r="G1074" t="s">
        <v>27</v>
      </c>
      <c r="H1074" t="s">
        <v>28</v>
      </c>
      <c r="I1074" s="3">
        <v>2102</v>
      </c>
      <c r="J1074" s="3">
        <v>2102</v>
      </c>
      <c r="K1074" s="3">
        <v>420</v>
      </c>
      <c r="L1074" t="s">
        <v>9</v>
      </c>
      <c r="M1074">
        <v>13</v>
      </c>
      <c r="N1074" t="s">
        <v>78</v>
      </c>
      <c r="O1074" t="s">
        <v>70</v>
      </c>
      <c r="P1074" t="s">
        <v>18</v>
      </c>
      <c r="Q1074" t="s">
        <v>19</v>
      </c>
      <c r="R1074" t="s">
        <v>138</v>
      </c>
      <c r="S1074" t="s">
        <v>144</v>
      </c>
      <c r="T1074" s="2">
        <f>MASTER[[#This Row],[CANTIDAD]]*MASTER[[#This Row],[PRECIO DE VENTA]]</f>
        <v>2102</v>
      </c>
      <c r="U1074" s="2">
        <f>MASTER[[#This Row],[CANTIDAD]]*MASTER[[#This Row],[COSTO UNITARIO]]</f>
        <v>420</v>
      </c>
      <c r="V1074" s="2">
        <f>MASTER[[#This Row],[MONTO VENDIDO]]-MASTER[[#This Row],[COSTO DE VENTA]]</f>
        <v>1682</v>
      </c>
    </row>
    <row r="1075" spans="1:22" x14ac:dyDescent="0.3">
      <c r="A1075">
        <v>23404</v>
      </c>
      <c r="B1075">
        <v>1</v>
      </c>
      <c r="C1075" t="s">
        <v>105</v>
      </c>
      <c r="D1075" t="s">
        <v>106</v>
      </c>
      <c r="E1075" s="1">
        <v>43958</v>
      </c>
      <c r="F1075">
        <v>1</v>
      </c>
      <c r="G1075" t="s">
        <v>33</v>
      </c>
      <c r="H1075" t="s">
        <v>34</v>
      </c>
      <c r="I1075" s="3">
        <v>1585</v>
      </c>
      <c r="J1075" s="3">
        <v>1585</v>
      </c>
      <c r="K1075" s="3">
        <v>459</v>
      </c>
      <c r="L1075" t="s">
        <v>98</v>
      </c>
      <c r="M1075">
        <v>17</v>
      </c>
      <c r="N1075" t="s">
        <v>14</v>
      </c>
      <c r="O1075" t="s">
        <v>11</v>
      </c>
      <c r="P1075" t="s">
        <v>15</v>
      </c>
      <c r="Q1075" t="s">
        <v>16</v>
      </c>
      <c r="R1075" t="s">
        <v>16</v>
      </c>
      <c r="S1075" t="s">
        <v>144</v>
      </c>
      <c r="T1075" s="2">
        <f>MASTER[[#This Row],[CANTIDAD]]*MASTER[[#This Row],[PRECIO DE VENTA]]</f>
        <v>1585</v>
      </c>
      <c r="U1075" s="2">
        <f>MASTER[[#This Row],[CANTIDAD]]*MASTER[[#This Row],[COSTO UNITARIO]]</f>
        <v>459</v>
      </c>
      <c r="V1075" s="2">
        <f>MASTER[[#This Row],[MONTO VENDIDO]]-MASTER[[#This Row],[COSTO DE VENTA]]</f>
        <v>1126</v>
      </c>
    </row>
    <row r="1076" spans="1:22" x14ac:dyDescent="0.3">
      <c r="A1076">
        <v>23441</v>
      </c>
      <c r="B1076">
        <v>1</v>
      </c>
      <c r="C1076" t="s">
        <v>101</v>
      </c>
      <c r="D1076" t="s">
        <v>102</v>
      </c>
      <c r="E1076" s="1">
        <v>43958</v>
      </c>
      <c r="F1076">
        <v>1</v>
      </c>
      <c r="G1076" t="s">
        <v>29</v>
      </c>
      <c r="H1076" t="s">
        <v>30</v>
      </c>
      <c r="I1076" s="3">
        <v>1212</v>
      </c>
      <c r="J1076" s="3">
        <v>1151</v>
      </c>
      <c r="K1076" s="3">
        <v>442</v>
      </c>
      <c r="L1076" t="s">
        <v>98</v>
      </c>
      <c r="M1076">
        <v>7</v>
      </c>
      <c r="N1076" t="s">
        <v>84</v>
      </c>
      <c r="O1076" t="s">
        <v>81</v>
      </c>
      <c r="P1076" t="s">
        <v>12</v>
      </c>
      <c r="Q1076" t="s">
        <v>13</v>
      </c>
      <c r="R1076" t="s">
        <v>13</v>
      </c>
      <c r="S1076" t="s">
        <v>144</v>
      </c>
      <c r="T1076" s="2">
        <f>MASTER[[#This Row],[CANTIDAD]]*MASTER[[#This Row],[PRECIO DE VENTA]]</f>
        <v>1151</v>
      </c>
      <c r="U1076" s="2">
        <f>MASTER[[#This Row],[CANTIDAD]]*MASTER[[#This Row],[COSTO UNITARIO]]</f>
        <v>442</v>
      </c>
      <c r="V1076" s="2">
        <f>MASTER[[#This Row],[MONTO VENDIDO]]-MASTER[[#This Row],[COSTO DE VENTA]]</f>
        <v>709</v>
      </c>
    </row>
    <row r="1077" spans="1:22" x14ac:dyDescent="0.3">
      <c r="A1077">
        <v>23452</v>
      </c>
      <c r="B1077">
        <v>1</v>
      </c>
      <c r="C1077" t="s">
        <v>103</v>
      </c>
      <c r="D1077" t="s">
        <v>104</v>
      </c>
      <c r="E1077" s="1">
        <v>43958</v>
      </c>
      <c r="F1077">
        <v>1</v>
      </c>
      <c r="G1077" t="s">
        <v>73</v>
      </c>
      <c r="H1077" t="s">
        <v>74</v>
      </c>
      <c r="I1077" s="3">
        <v>1448</v>
      </c>
      <c r="J1077" s="3">
        <v>1448</v>
      </c>
      <c r="K1077" s="3">
        <v>421</v>
      </c>
      <c r="L1077" t="s">
        <v>98</v>
      </c>
      <c r="M1077">
        <v>11</v>
      </c>
      <c r="N1077" t="s">
        <v>10</v>
      </c>
      <c r="O1077" t="s">
        <v>11</v>
      </c>
      <c r="P1077" t="s">
        <v>12</v>
      </c>
      <c r="Q1077" t="s">
        <v>13</v>
      </c>
      <c r="R1077" t="s">
        <v>13</v>
      </c>
      <c r="S1077" t="s">
        <v>144</v>
      </c>
      <c r="T1077" s="2">
        <f>MASTER[[#This Row],[CANTIDAD]]*MASTER[[#This Row],[PRECIO DE VENTA]]</f>
        <v>1448</v>
      </c>
      <c r="U1077" s="2">
        <f>MASTER[[#This Row],[CANTIDAD]]*MASTER[[#This Row],[COSTO UNITARIO]]</f>
        <v>421</v>
      </c>
      <c r="V1077" s="2">
        <f>MASTER[[#This Row],[MONTO VENDIDO]]-MASTER[[#This Row],[COSTO DE VENTA]]</f>
        <v>1027</v>
      </c>
    </row>
    <row r="1078" spans="1:22" x14ac:dyDescent="0.3">
      <c r="A1078">
        <v>23475</v>
      </c>
      <c r="B1078">
        <v>1</v>
      </c>
      <c r="C1078" t="s">
        <v>107</v>
      </c>
      <c r="D1078" t="s">
        <v>108</v>
      </c>
      <c r="E1078" s="1">
        <v>43958</v>
      </c>
      <c r="F1078">
        <v>1</v>
      </c>
      <c r="G1078" t="s">
        <v>29</v>
      </c>
      <c r="H1078" t="s">
        <v>30</v>
      </c>
      <c r="I1078" s="3">
        <v>1440</v>
      </c>
      <c r="J1078" s="3">
        <v>1440</v>
      </c>
      <c r="K1078" s="3">
        <v>380</v>
      </c>
      <c r="L1078" t="s">
        <v>98</v>
      </c>
      <c r="M1078">
        <v>1</v>
      </c>
      <c r="N1078" t="s">
        <v>77</v>
      </c>
      <c r="O1078" t="s">
        <v>70</v>
      </c>
      <c r="P1078" t="s">
        <v>71</v>
      </c>
      <c r="Q1078" t="s">
        <v>72</v>
      </c>
      <c r="R1078" t="s">
        <v>139</v>
      </c>
      <c r="S1078" t="s">
        <v>144</v>
      </c>
      <c r="T1078" s="2">
        <f>MASTER[[#This Row],[CANTIDAD]]*MASTER[[#This Row],[PRECIO DE VENTA]]</f>
        <v>1440</v>
      </c>
      <c r="U1078" s="2">
        <f>MASTER[[#This Row],[CANTIDAD]]*MASTER[[#This Row],[COSTO UNITARIO]]</f>
        <v>380</v>
      </c>
      <c r="V1078" s="2">
        <f>MASTER[[#This Row],[MONTO VENDIDO]]-MASTER[[#This Row],[COSTO DE VENTA]]</f>
        <v>1060</v>
      </c>
    </row>
    <row r="1079" spans="1:22" x14ac:dyDescent="0.3">
      <c r="A1079">
        <v>23480</v>
      </c>
      <c r="B1079">
        <v>1</v>
      </c>
      <c r="C1079" t="s">
        <v>101</v>
      </c>
      <c r="D1079" t="s">
        <v>102</v>
      </c>
      <c r="E1079" s="1">
        <v>43958</v>
      </c>
      <c r="F1079">
        <v>1</v>
      </c>
      <c r="G1079" t="s">
        <v>29</v>
      </c>
      <c r="H1079" t="s">
        <v>30</v>
      </c>
      <c r="I1079" s="3">
        <v>1357</v>
      </c>
      <c r="J1079" s="3">
        <v>1262</v>
      </c>
      <c r="K1079" s="3">
        <v>442</v>
      </c>
      <c r="L1079" t="s">
        <v>98</v>
      </c>
      <c r="M1079">
        <v>1</v>
      </c>
      <c r="N1079" t="s">
        <v>77</v>
      </c>
      <c r="O1079" t="s">
        <v>70</v>
      </c>
      <c r="P1079" t="s">
        <v>71</v>
      </c>
      <c r="Q1079" t="s">
        <v>72</v>
      </c>
      <c r="R1079" t="s">
        <v>139</v>
      </c>
      <c r="S1079" t="s">
        <v>144</v>
      </c>
      <c r="T1079" s="2">
        <f>MASTER[[#This Row],[CANTIDAD]]*MASTER[[#This Row],[PRECIO DE VENTA]]</f>
        <v>1262</v>
      </c>
      <c r="U1079" s="2">
        <f>MASTER[[#This Row],[CANTIDAD]]*MASTER[[#This Row],[COSTO UNITARIO]]</f>
        <v>442</v>
      </c>
      <c r="V1079" s="2">
        <f>MASTER[[#This Row],[MONTO VENDIDO]]-MASTER[[#This Row],[COSTO DE VENTA]]</f>
        <v>820</v>
      </c>
    </row>
    <row r="1080" spans="1:22" x14ac:dyDescent="0.3">
      <c r="A1080">
        <v>23495</v>
      </c>
      <c r="B1080">
        <v>1</v>
      </c>
      <c r="C1080" t="s">
        <v>118</v>
      </c>
      <c r="D1080" t="s">
        <v>119</v>
      </c>
      <c r="E1080" s="1">
        <v>43958</v>
      </c>
      <c r="F1080">
        <v>1</v>
      </c>
      <c r="G1080" t="s">
        <v>35</v>
      </c>
      <c r="H1080" t="s">
        <v>36</v>
      </c>
      <c r="I1080" s="3">
        <v>801</v>
      </c>
      <c r="J1080" s="3">
        <v>801</v>
      </c>
      <c r="K1080" s="3">
        <v>424</v>
      </c>
      <c r="L1080" t="s">
        <v>120</v>
      </c>
      <c r="M1080">
        <v>16</v>
      </c>
      <c r="N1080" t="s">
        <v>17</v>
      </c>
      <c r="O1080" t="s">
        <v>11</v>
      </c>
      <c r="P1080" t="s">
        <v>18</v>
      </c>
      <c r="Q1080" t="s">
        <v>19</v>
      </c>
      <c r="R1080" t="s">
        <v>138</v>
      </c>
      <c r="S1080" t="s">
        <v>144</v>
      </c>
      <c r="T1080" s="2">
        <f>MASTER[[#This Row],[CANTIDAD]]*MASTER[[#This Row],[PRECIO DE VENTA]]</f>
        <v>801</v>
      </c>
      <c r="U1080" s="2">
        <f>MASTER[[#This Row],[CANTIDAD]]*MASTER[[#This Row],[COSTO UNITARIO]]</f>
        <v>424</v>
      </c>
      <c r="V1080" s="2">
        <f>MASTER[[#This Row],[MONTO VENDIDO]]-MASTER[[#This Row],[COSTO DE VENTA]]</f>
        <v>377</v>
      </c>
    </row>
    <row r="1081" spans="1:22" x14ac:dyDescent="0.3">
      <c r="A1081">
        <v>23498</v>
      </c>
      <c r="B1081">
        <v>1</v>
      </c>
      <c r="C1081" t="s">
        <v>96</v>
      </c>
      <c r="D1081" t="s">
        <v>97</v>
      </c>
      <c r="E1081" s="1">
        <v>43958</v>
      </c>
      <c r="F1081">
        <v>2</v>
      </c>
      <c r="G1081" t="s">
        <v>27</v>
      </c>
      <c r="H1081" t="s">
        <v>28</v>
      </c>
      <c r="I1081" s="3">
        <v>1361</v>
      </c>
      <c r="J1081" s="3">
        <v>1361</v>
      </c>
      <c r="K1081" s="3">
        <v>397</v>
      </c>
      <c r="L1081" t="s">
        <v>98</v>
      </c>
      <c r="M1081">
        <v>6</v>
      </c>
      <c r="N1081" t="s">
        <v>75</v>
      </c>
      <c r="O1081" t="s">
        <v>70</v>
      </c>
      <c r="P1081" t="s">
        <v>12</v>
      </c>
      <c r="Q1081" t="s">
        <v>13</v>
      </c>
      <c r="R1081" t="s">
        <v>13</v>
      </c>
      <c r="S1081" t="s">
        <v>144</v>
      </c>
      <c r="T1081" s="2">
        <f>MASTER[[#This Row],[CANTIDAD]]*MASTER[[#This Row],[PRECIO DE VENTA]]</f>
        <v>2722</v>
      </c>
      <c r="U1081" s="2">
        <f>MASTER[[#This Row],[CANTIDAD]]*MASTER[[#This Row],[COSTO UNITARIO]]</f>
        <v>794</v>
      </c>
      <c r="V1081" s="2">
        <f>MASTER[[#This Row],[MONTO VENDIDO]]-MASTER[[#This Row],[COSTO DE VENTA]]</f>
        <v>1928</v>
      </c>
    </row>
    <row r="1082" spans="1:22" x14ac:dyDescent="0.3">
      <c r="A1082">
        <v>23501</v>
      </c>
      <c r="B1082">
        <v>1</v>
      </c>
      <c r="C1082" t="s">
        <v>105</v>
      </c>
      <c r="D1082" t="s">
        <v>106</v>
      </c>
      <c r="E1082" s="1">
        <v>43959</v>
      </c>
      <c r="F1082">
        <v>1</v>
      </c>
      <c r="G1082" t="s">
        <v>24</v>
      </c>
      <c r="H1082" t="s">
        <v>25</v>
      </c>
      <c r="I1082" s="3">
        <v>1865</v>
      </c>
      <c r="J1082" s="3">
        <v>1865</v>
      </c>
      <c r="K1082" s="3">
        <v>459</v>
      </c>
      <c r="L1082" t="s">
        <v>98</v>
      </c>
      <c r="M1082">
        <v>15</v>
      </c>
      <c r="N1082" t="s">
        <v>88</v>
      </c>
      <c r="O1082" t="s">
        <v>81</v>
      </c>
      <c r="P1082" t="s">
        <v>18</v>
      </c>
      <c r="Q1082" t="s">
        <v>19</v>
      </c>
      <c r="R1082" t="s">
        <v>138</v>
      </c>
      <c r="S1082" t="s">
        <v>144</v>
      </c>
      <c r="T1082" s="2">
        <f>MASTER[[#This Row],[CANTIDAD]]*MASTER[[#This Row],[PRECIO DE VENTA]]</f>
        <v>1865</v>
      </c>
      <c r="U1082" s="2">
        <f>MASTER[[#This Row],[CANTIDAD]]*MASTER[[#This Row],[COSTO UNITARIO]]</f>
        <v>459</v>
      </c>
      <c r="V1082" s="2">
        <f>MASTER[[#This Row],[MONTO VENDIDO]]-MASTER[[#This Row],[COSTO DE VENTA]]</f>
        <v>1406</v>
      </c>
    </row>
    <row r="1083" spans="1:22" x14ac:dyDescent="0.3">
      <c r="A1083">
        <v>23521</v>
      </c>
      <c r="B1083">
        <v>1</v>
      </c>
      <c r="C1083" t="s">
        <v>5</v>
      </c>
      <c r="D1083" t="s">
        <v>6</v>
      </c>
      <c r="E1083" s="1">
        <v>43959</v>
      </c>
      <c r="F1083">
        <v>1</v>
      </c>
      <c r="G1083" t="s">
        <v>33</v>
      </c>
      <c r="H1083" t="s">
        <v>34</v>
      </c>
      <c r="I1083" s="3">
        <v>1311</v>
      </c>
      <c r="J1083" s="3">
        <v>1311</v>
      </c>
      <c r="K1083" s="3">
        <v>393</v>
      </c>
      <c r="L1083" t="s">
        <v>9</v>
      </c>
      <c r="M1083">
        <v>16</v>
      </c>
      <c r="N1083" t="s">
        <v>17</v>
      </c>
      <c r="O1083" t="s">
        <v>11</v>
      </c>
      <c r="P1083" t="s">
        <v>18</v>
      </c>
      <c r="Q1083" t="s">
        <v>19</v>
      </c>
      <c r="R1083" t="s">
        <v>138</v>
      </c>
      <c r="S1083" t="s">
        <v>144</v>
      </c>
      <c r="T1083" s="2">
        <f>MASTER[[#This Row],[CANTIDAD]]*MASTER[[#This Row],[PRECIO DE VENTA]]</f>
        <v>1311</v>
      </c>
      <c r="U1083" s="2">
        <f>MASTER[[#This Row],[CANTIDAD]]*MASTER[[#This Row],[COSTO UNITARIO]]</f>
        <v>393</v>
      </c>
      <c r="V1083" s="2">
        <f>MASTER[[#This Row],[MONTO VENDIDO]]-MASTER[[#This Row],[COSTO DE VENTA]]</f>
        <v>918</v>
      </c>
    </row>
    <row r="1084" spans="1:22" x14ac:dyDescent="0.3">
      <c r="A1084">
        <v>23521</v>
      </c>
      <c r="B1084">
        <v>2</v>
      </c>
      <c r="C1084" t="s">
        <v>109</v>
      </c>
      <c r="D1084" t="s">
        <v>110</v>
      </c>
      <c r="E1084" s="1">
        <v>43959</v>
      </c>
      <c r="F1084">
        <v>2</v>
      </c>
      <c r="G1084" t="s">
        <v>35</v>
      </c>
      <c r="H1084" t="s">
        <v>36</v>
      </c>
      <c r="I1084" s="3">
        <v>947</v>
      </c>
      <c r="J1084" s="3">
        <v>947</v>
      </c>
      <c r="K1084" s="3">
        <v>387</v>
      </c>
      <c r="L1084" t="s">
        <v>98</v>
      </c>
      <c r="M1084">
        <v>16</v>
      </c>
      <c r="N1084" t="s">
        <v>17</v>
      </c>
      <c r="O1084" t="s">
        <v>11</v>
      </c>
      <c r="P1084" t="s">
        <v>18</v>
      </c>
      <c r="Q1084" t="s">
        <v>19</v>
      </c>
      <c r="R1084" t="s">
        <v>138</v>
      </c>
      <c r="S1084" t="s">
        <v>144</v>
      </c>
      <c r="T1084" s="2">
        <f>MASTER[[#This Row],[CANTIDAD]]*MASTER[[#This Row],[PRECIO DE VENTA]]</f>
        <v>1894</v>
      </c>
      <c r="U1084" s="2">
        <f>MASTER[[#This Row],[CANTIDAD]]*MASTER[[#This Row],[COSTO UNITARIO]]</f>
        <v>774</v>
      </c>
      <c r="V1084" s="2">
        <f>MASTER[[#This Row],[MONTO VENDIDO]]-MASTER[[#This Row],[COSTO DE VENTA]]</f>
        <v>1120</v>
      </c>
    </row>
    <row r="1085" spans="1:22" x14ac:dyDescent="0.3">
      <c r="A1085">
        <v>23535</v>
      </c>
      <c r="B1085">
        <v>1</v>
      </c>
      <c r="C1085" t="s">
        <v>107</v>
      </c>
      <c r="D1085" t="s">
        <v>108</v>
      </c>
      <c r="E1085" s="1">
        <v>43959</v>
      </c>
      <c r="F1085">
        <v>1</v>
      </c>
      <c r="G1085" t="s">
        <v>57</v>
      </c>
      <c r="H1085" t="s">
        <v>58</v>
      </c>
      <c r="I1085" s="3">
        <v>1333</v>
      </c>
      <c r="J1085" s="3">
        <v>1226</v>
      </c>
      <c r="K1085" s="3">
        <v>380</v>
      </c>
      <c r="L1085" t="s">
        <v>98</v>
      </c>
      <c r="M1085">
        <v>14</v>
      </c>
      <c r="N1085" t="s">
        <v>87</v>
      </c>
      <c r="O1085" t="s">
        <v>81</v>
      </c>
      <c r="P1085" t="s">
        <v>18</v>
      </c>
      <c r="Q1085" t="s">
        <v>19</v>
      </c>
      <c r="R1085" t="s">
        <v>138</v>
      </c>
      <c r="S1085" t="s">
        <v>144</v>
      </c>
      <c r="T1085" s="2">
        <f>MASTER[[#This Row],[CANTIDAD]]*MASTER[[#This Row],[PRECIO DE VENTA]]</f>
        <v>1226</v>
      </c>
      <c r="U1085" s="2">
        <f>MASTER[[#This Row],[CANTIDAD]]*MASTER[[#This Row],[COSTO UNITARIO]]</f>
        <v>380</v>
      </c>
      <c r="V1085" s="2">
        <f>MASTER[[#This Row],[MONTO VENDIDO]]-MASTER[[#This Row],[COSTO DE VENTA]]</f>
        <v>846</v>
      </c>
    </row>
    <row r="1086" spans="1:22" x14ac:dyDescent="0.3">
      <c r="A1086">
        <v>23568</v>
      </c>
      <c r="B1086">
        <v>1</v>
      </c>
      <c r="C1086" t="s">
        <v>109</v>
      </c>
      <c r="D1086" t="s">
        <v>110</v>
      </c>
      <c r="E1086" s="1">
        <v>43959</v>
      </c>
      <c r="F1086">
        <v>2</v>
      </c>
      <c r="G1086" t="s">
        <v>20</v>
      </c>
      <c r="H1086" t="s">
        <v>21</v>
      </c>
      <c r="I1086" s="3">
        <v>1064</v>
      </c>
      <c r="J1086" s="3">
        <v>1010</v>
      </c>
      <c r="K1086" s="3">
        <v>387</v>
      </c>
      <c r="L1086" t="s">
        <v>98</v>
      </c>
      <c r="M1086">
        <v>19</v>
      </c>
      <c r="N1086" t="s">
        <v>89</v>
      </c>
      <c r="O1086" t="s">
        <v>81</v>
      </c>
      <c r="P1086" t="s">
        <v>15</v>
      </c>
      <c r="Q1086" t="s">
        <v>16</v>
      </c>
      <c r="R1086" t="s">
        <v>16</v>
      </c>
      <c r="S1086" t="s">
        <v>144</v>
      </c>
      <c r="T1086" s="2">
        <f>MASTER[[#This Row],[CANTIDAD]]*MASTER[[#This Row],[PRECIO DE VENTA]]</f>
        <v>2020</v>
      </c>
      <c r="U1086" s="2">
        <f>MASTER[[#This Row],[CANTIDAD]]*MASTER[[#This Row],[COSTO UNITARIO]]</f>
        <v>774</v>
      </c>
      <c r="V1086" s="2">
        <f>MASTER[[#This Row],[MONTO VENDIDO]]-MASTER[[#This Row],[COSTO DE VENTA]]</f>
        <v>1246</v>
      </c>
    </row>
    <row r="1087" spans="1:22" x14ac:dyDescent="0.3">
      <c r="A1087">
        <v>23579</v>
      </c>
      <c r="B1087">
        <v>1</v>
      </c>
      <c r="C1087" t="s">
        <v>99</v>
      </c>
      <c r="D1087" t="s">
        <v>100</v>
      </c>
      <c r="E1087" s="1">
        <v>43959</v>
      </c>
      <c r="F1087">
        <v>3</v>
      </c>
      <c r="G1087" t="s">
        <v>47</v>
      </c>
      <c r="H1087" t="s">
        <v>48</v>
      </c>
      <c r="I1087" s="3">
        <v>1678</v>
      </c>
      <c r="J1087" s="3">
        <v>1678</v>
      </c>
      <c r="K1087" s="3">
        <v>386</v>
      </c>
      <c r="L1087" t="s">
        <v>98</v>
      </c>
      <c r="M1087">
        <v>3</v>
      </c>
      <c r="N1087" t="s">
        <v>69</v>
      </c>
      <c r="O1087" t="s">
        <v>70</v>
      </c>
      <c r="P1087" t="s">
        <v>71</v>
      </c>
      <c r="Q1087" t="s">
        <v>72</v>
      </c>
      <c r="R1087" t="s">
        <v>139</v>
      </c>
      <c r="S1087" t="s">
        <v>144</v>
      </c>
      <c r="T1087" s="2">
        <f>MASTER[[#This Row],[CANTIDAD]]*MASTER[[#This Row],[PRECIO DE VENTA]]</f>
        <v>5034</v>
      </c>
      <c r="U1087" s="2">
        <f>MASTER[[#This Row],[CANTIDAD]]*MASTER[[#This Row],[COSTO UNITARIO]]</f>
        <v>1158</v>
      </c>
      <c r="V1087" s="2">
        <f>MASTER[[#This Row],[MONTO VENDIDO]]-MASTER[[#This Row],[COSTO DE VENTA]]</f>
        <v>3876</v>
      </c>
    </row>
    <row r="1088" spans="1:22" x14ac:dyDescent="0.3">
      <c r="A1088">
        <v>23607</v>
      </c>
      <c r="B1088">
        <v>1</v>
      </c>
      <c r="C1088" t="s">
        <v>109</v>
      </c>
      <c r="D1088" t="s">
        <v>110</v>
      </c>
      <c r="E1088" s="1">
        <v>43959</v>
      </c>
      <c r="F1088">
        <v>1</v>
      </c>
      <c r="G1088" t="s">
        <v>33</v>
      </c>
      <c r="H1088" t="s">
        <v>34</v>
      </c>
      <c r="I1088" s="3">
        <v>1064</v>
      </c>
      <c r="J1088" s="3">
        <v>1064</v>
      </c>
      <c r="K1088" s="3">
        <v>387</v>
      </c>
      <c r="L1088" t="s">
        <v>98</v>
      </c>
      <c r="M1088">
        <v>10</v>
      </c>
      <c r="N1088" t="s">
        <v>83</v>
      </c>
      <c r="O1088" t="s">
        <v>81</v>
      </c>
      <c r="P1088" t="s">
        <v>12</v>
      </c>
      <c r="Q1088" t="s">
        <v>13</v>
      </c>
      <c r="R1088" t="s">
        <v>13</v>
      </c>
      <c r="S1088" t="s">
        <v>144</v>
      </c>
      <c r="T1088" s="2">
        <f>MASTER[[#This Row],[CANTIDAD]]*MASTER[[#This Row],[PRECIO DE VENTA]]</f>
        <v>1064</v>
      </c>
      <c r="U1088" s="2">
        <f>MASTER[[#This Row],[CANTIDAD]]*MASTER[[#This Row],[COSTO UNITARIO]]</f>
        <v>387</v>
      </c>
      <c r="V1088" s="2">
        <f>MASTER[[#This Row],[MONTO VENDIDO]]-MASTER[[#This Row],[COSTO DE VENTA]]</f>
        <v>677</v>
      </c>
    </row>
    <row r="1089" spans="1:22" x14ac:dyDescent="0.3">
      <c r="A1089">
        <v>23624</v>
      </c>
      <c r="B1089">
        <v>1</v>
      </c>
      <c r="C1089" t="s">
        <v>103</v>
      </c>
      <c r="D1089" t="s">
        <v>104</v>
      </c>
      <c r="E1089" s="1">
        <v>43959</v>
      </c>
      <c r="F1089">
        <v>1</v>
      </c>
      <c r="G1089" t="s">
        <v>65</v>
      </c>
      <c r="H1089" t="s">
        <v>66</v>
      </c>
      <c r="I1089" s="3">
        <v>1830</v>
      </c>
      <c r="J1089" s="3">
        <v>1830</v>
      </c>
      <c r="K1089" s="3">
        <v>421</v>
      </c>
      <c r="L1089" t="s">
        <v>98</v>
      </c>
      <c r="M1089">
        <v>3</v>
      </c>
      <c r="N1089" t="s">
        <v>69</v>
      </c>
      <c r="O1089" t="s">
        <v>70</v>
      </c>
      <c r="P1089" t="s">
        <v>71</v>
      </c>
      <c r="Q1089" t="s">
        <v>72</v>
      </c>
      <c r="R1089" t="s">
        <v>139</v>
      </c>
      <c r="S1089" t="s">
        <v>144</v>
      </c>
      <c r="T1089" s="2">
        <f>MASTER[[#This Row],[CANTIDAD]]*MASTER[[#This Row],[PRECIO DE VENTA]]</f>
        <v>1830</v>
      </c>
      <c r="U1089" s="2">
        <f>MASTER[[#This Row],[CANTIDAD]]*MASTER[[#This Row],[COSTO UNITARIO]]</f>
        <v>421</v>
      </c>
      <c r="V1089" s="2">
        <f>MASTER[[#This Row],[MONTO VENDIDO]]-MASTER[[#This Row],[COSTO DE VENTA]]</f>
        <v>1409</v>
      </c>
    </row>
    <row r="1090" spans="1:22" x14ac:dyDescent="0.3">
      <c r="A1090">
        <v>23639</v>
      </c>
      <c r="B1090">
        <v>1</v>
      </c>
      <c r="C1090" t="s">
        <v>111</v>
      </c>
      <c r="D1090" t="s">
        <v>112</v>
      </c>
      <c r="E1090" s="1">
        <v>43959</v>
      </c>
      <c r="F1090">
        <v>1</v>
      </c>
      <c r="G1090" t="s">
        <v>43</v>
      </c>
      <c r="H1090" t="s">
        <v>44</v>
      </c>
      <c r="I1090" s="3">
        <v>1524</v>
      </c>
      <c r="J1090" s="3">
        <v>1417</v>
      </c>
      <c r="K1090" s="3">
        <v>434</v>
      </c>
      <c r="L1090" t="s">
        <v>113</v>
      </c>
      <c r="M1090">
        <v>12</v>
      </c>
      <c r="N1090" t="s">
        <v>26</v>
      </c>
      <c r="O1090" t="s">
        <v>11</v>
      </c>
      <c r="P1090" t="s">
        <v>12</v>
      </c>
      <c r="Q1090" t="s">
        <v>13</v>
      </c>
      <c r="R1090" t="s">
        <v>13</v>
      </c>
      <c r="S1090" t="s">
        <v>144</v>
      </c>
      <c r="T1090" s="2">
        <f>MASTER[[#This Row],[CANTIDAD]]*MASTER[[#This Row],[PRECIO DE VENTA]]</f>
        <v>1417</v>
      </c>
      <c r="U1090" s="2">
        <f>MASTER[[#This Row],[CANTIDAD]]*MASTER[[#This Row],[COSTO UNITARIO]]</f>
        <v>434</v>
      </c>
      <c r="V1090" s="2">
        <f>MASTER[[#This Row],[MONTO VENDIDO]]-MASTER[[#This Row],[COSTO DE VENTA]]</f>
        <v>983</v>
      </c>
    </row>
    <row r="1091" spans="1:22" x14ac:dyDescent="0.3">
      <c r="A1091">
        <v>23658</v>
      </c>
      <c r="B1091">
        <v>1</v>
      </c>
      <c r="C1091" t="s">
        <v>5</v>
      </c>
      <c r="D1091" t="s">
        <v>6</v>
      </c>
      <c r="E1091" s="1">
        <v>43959</v>
      </c>
      <c r="F1091">
        <v>1</v>
      </c>
      <c r="G1091" t="s">
        <v>47</v>
      </c>
      <c r="H1091" t="s">
        <v>48</v>
      </c>
      <c r="I1091" s="3">
        <v>1296</v>
      </c>
      <c r="J1091" s="3">
        <v>1296</v>
      </c>
      <c r="K1091" s="3">
        <v>393</v>
      </c>
      <c r="L1091" t="s">
        <v>9</v>
      </c>
      <c r="M1091">
        <v>3</v>
      </c>
      <c r="N1091" t="s">
        <v>69</v>
      </c>
      <c r="O1091" t="s">
        <v>70</v>
      </c>
      <c r="P1091" t="s">
        <v>71</v>
      </c>
      <c r="Q1091" t="s">
        <v>72</v>
      </c>
      <c r="R1091" t="s">
        <v>139</v>
      </c>
      <c r="S1091" t="s">
        <v>144</v>
      </c>
      <c r="T1091" s="2">
        <f>MASTER[[#This Row],[CANTIDAD]]*MASTER[[#This Row],[PRECIO DE VENTA]]</f>
        <v>1296</v>
      </c>
      <c r="U1091" s="2">
        <f>MASTER[[#This Row],[CANTIDAD]]*MASTER[[#This Row],[COSTO UNITARIO]]</f>
        <v>393</v>
      </c>
      <c r="V1091" s="2">
        <f>MASTER[[#This Row],[MONTO VENDIDO]]-MASTER[[#This Row],[COSTO DE VENTA]]</f>
        <v>903</v>
      </c>
    </row>
    <row r="1092" spans="1:22" x14ac:dyDescent="0.3">
      <c r="A1092">
        <v>23661</v>
      </c>
      <c r="B1092">
        <v>1</v>
      </c>
      <c r="C1092" t="s">
        <v>96</v>
      </c>
      <c r="D1092" t="s">
        <v>97</v>
      </c>
      <c r="E1092" s="1">
        <v>43959</v>
      </c>
      <c r="F1092">
        <v>1</v>
      </c>
      <c r="G1092" t="s">
        <v>27</v>
      </c>
      <c r="H1092" t="s">
        <v>28</v>
      </c>
      <c r="I1092" s="3">
        <v>1361</v>
      </c>
      <c r="J1092" s="3">
        <v>1361</v>
      </c>
      <c r="K1092" s="3">
        <v>397</v>
      </c>
      <c r="L1092" t="s">
        <v>98</v>
      </c>
      <c r="M1092">
        <v>6</v>
      </c>
      <c r="N1092" t="s">
        <v>75</v>
      </c>
      <c r="O1092" t="s">
        <v>70</v>
      </c>
      <c r="P1092" t="s">
        <v>12</v>
      </c>
      <c r="Q1092" t="s">
        <v>13</v>
      </c>
      <c r="R1092" t="s">
        <v>13</v>
      </c>
      <c r="S1092" t="s">
        <v>144</v>
      </c>
      <c r="T1092" s="2">
        <f>MASTER[[#This Row],[CANTIDAD]]*MASTER[[#This Row],[PRECIO DE VENTA]]</f>
        <v>1361</v>
      </c>
      <c r="U1092" s="2">
        <f>MASTER[[#This Row],[CANTIDAD]]*MASTER[[#This Row],[COSTO UNITARIO]]</f>
        <v>397</v>
      </c>
      <c r="V1092" s="2">
        <f>MASTER[[#This Row],[MONTO VENDIDO]]-MASTER[[#This Row],[COSTO DE VENTA]]</f>
        <v>964</v>
      </c>
    </row>
    <row r="1093" spans="1:22" x14ac:dyDescent="0.3">
      <c r="A1093">
        <v>23665</v>
      </c>
      <c r="B1093">
        <v>1</v>
      </c>
      <c r="C1093" t="s">
        <v>121</v>
      </c>
      <c r="D1093" t="s">
        <v>122</v>
      </c>
      <c r="E1093" s="1">
        <v>43959</v>
      </c>
      <c r="F1093">
        <v>1</v>
      </c>
      <c r="G1093" t="s">
        <v>24</v>
      </c>
      <c r="H1093" t="s">
        <v>25</v>
      </c>
      <c r="I1093" s="3">
        <v>1069</v>
      </c>
      <c r="J1093" s="3">
        <v>1069</v>
      </c>
      <c r="K1093" s="3">
        <v>460</v>
      </c>
      <c r="L1093" t="s">
        <v>120</v>
      </c>
      <c r="M1093">
        <v>5</v>
      </c>
      <c r="N1093" t="s">
        <v>85</v>
      </c>
      <c r="O1093" t="s">
        <v>81</v>
      </c>
      <c r="P1093" t="s">
        <v>12</v>
      </c>
      <c r="Q1093" t="s">
        <v>13</v>
      </c>
      <c r="R1093" t="s">
        <v>13</v>
      </c>
      <c r="S1093" t="s">
        <v>144</v>
      </c>
      <c r="T1093" s="2">
        <f>MASTER[[#This Row],[CANTIDAD]]*MASTER[[#This Row],[PRECIO DE VENTA]]</f>
        <v>1069</v>
      </c>
      <c r="U1093" s="2">
        <f>MASTER[[#This Row],[CANTIDAD]]*MASTER[[#This Row],[COSTO UNITARIO]]</f>
        <v>460</v>
      </c>
      <c r="V1093" s="2">
        <f>MASTER[[#This Row],[MONTO VENDIDO]]-MASTER[[#This Row],[COSTO DE VENTA]]</f>
        <v>609</v>
      </c>
    </row>
    <row r="1094" spans="1:22" x14ac:dyDescent="0.3">
      <c r="A1094">
        <v>23674</v>
      </c>
      <c r="B1094">
        <v>1</v>
      </c>
      <c r="C1094" t="s">
        <v>116</v>
      </c>
      <c r="D1094" t="s">
        <v>117</v>
      </c>
      <c r="E1094" s="1">
        <v>43959</v>
      </c>
      <c r="F1094">
        <v>1</v>
      </c>
      <c r="G1094" t="s">
        <v>7</v>
      </c>
      <c r="H1094" t="s">
        <v>8</v>
      </c>
      <c r="I1094" s="3">
        <v>1529</v>
      </c>
      <c r="J1094" s="3">
        <v>1529</v>
      </c>
      <c r="K1094" s="3">
        <v>388</v>
      </c>
      <c r="L1094" t="s">
        <v>113</v>
      </c>
      <c r="M1094">
        <v>17</v>
      </c>
      <c r="N1094" t="s">
        <v>14</v>
      </c>
      <c r="O1094" t="s">
        <v>11</v>
      </c>
      <c r="P1094" t="s">
        <v>15</v>
      </c>
      <c r="Q1094" t="s">
        <v>16</v>
      </c>
      <c r="R1094" t="s">
        <v>16</v>
      </c>
      <c r="S1094" t="s">
        <v>144</v>
      </c>
      <c r="T1094" s="2">
        <f>MASTER[[#This Row],[CANTIDAD]]*MASTER[[#This Row],[PRECIO DE VENTA]]</f>
        <v>1529</v>
      </c>
      <c r="U1094" s="2">
        <f>MASTER[[#This Row],[CANTIDAD]]*MASTER[[#This Row],[COSTO UNITARIO]]</f>
        <v>388</v>
      </c>
      <c r="V1094" s="2">
        <f>MASTER[[#This Row],[MONTO VENDIDO]]-MASTER[[#This Row],[COSTO DE VENTA]]</f>
        <v>1141</v>
      </c>
    </row>
    <row r="1095" spans="1:22" x14ac:dyDescent="0.3">
      <c r="A1095">
        <v>23690</v>
      </c>
      <c r="B1095">
        <v>1</v>
      </c>
      <c r="C1095" t="s">
        <v>118</v>
      </c>
      <c r="D1095" t="s">
        <v>119</v>
      </c>
      <c r="E1095" s="1">
        <v>43959</v>
      </c>
      <c r="F1095">
        <v>1</v>
      </c>
      <c r="G1095" t="s">
        <v>27</v>
      </c>
      <c r="H1095" t="s">
        <v>28</v>
      </c>
      <c r="I1095" s="3">
        <v>1026</v>
      </c>
      <c r="J1095" s="3">
        <v>1026</v>
      </c>
      <c r="K1095" s="3">
        <v>424</v>
      </c>
      <c r="L1095" t="s">
        <v>120</v>
      </c>
      <c r="M1095">
        <v>6</v>
      </c>
      <c r="N1095" t="s">
        <v>75</v>
      </c>
      <c r="O1095" t="s">
        <v>70</v>
      </c>
      <c r="P1095" t="s">
        <v>12</v>
      </c>
      <c r="Q1095" t="s">
        <v>13</v>
      </c>
      <c r="R1095" t="s">
        <v>13</v>
      </c>
      <c r="S1095" t="s">
        <v>144</v>
      </c>
      <c r="T1095" s="2">
        <f>MASTER[[#This Row],[CANTIDAD]]*MASTER[[#This Row],[PRECIO DE VENTA]]</f>
        <v>1026</v>
      </c>
      <c r="U1095" s="2">
        <f>MASTER[[#This Row],[CANTIDAD]]*MASTER[[#This Row],[COSTO UNITARIO]]</f>
        <v>424</v>
      </c>
      <c r="V1095" s="2">
        <f>MASTER[[#This Row],[MONTO VENDIDO]]-MASTER[[#This Row],[COSTO DE VENTA]]</f>
        <v>602</v>
      </c>
    </row>
    <row r="1096" spans="1:22" x14ac:dyDescent="0.3">
      <c r="A1096">
        <v>23695</v>
      </c>
      <c r="B1096">
        <v>1</v>
      </c>
      <c r="C1096" t="s">
        <v>121</v>
      </c>
      <c r="D1096" t="s">
        <v>122</v>
      </c>
      <c r="E1096" s="1">
        <v>43960</v>
      </c>
      <c r="F1096">
        <v>1</v>
      </c>
      <c r="G1096" t="s">
        <v>73</v>
      </c>
      <c r="H1096" t="s">
        <v>74</v>
      </c>
      <c r="I1096" s="3">
        <v>1144</v>
      </c>
      <c r="J1096" s="3">
        <v>1144</v>
      </c>
      <c r="K1096" s="3">
        <v>460</v>
      </c>
      <c r="L1096" t="s">
        <v>120</v>
      </c>
      <c r="M1096">
        <v>1</v>
      </c>
      <c r="N1096" t="s">
        <v>77</v>
      </c>
      <c r="O1096" t="s">
        <v>70</v>
      </c>
      <c r="P1096" t="s">
        <v>71</v>
      </c>
      <c r="Q1096" t="s">
        <v>72</v>
      </c>
      <c r="R1096" t="s">
        <v>139</v>
      </c>
      <c r="S1096" t="s">
        <v>144</v>
      </c>
      <c r="T1096" s="2">
        <f>MASTER[[#This Row],[CANTIDAD]]*MASTER[[#This Row],[PRECIO DE VENTA]]</f>
        <v>1144</v>
      </c>
      <c r="U1096" s="2">
        <f>MASTER[[#This Row],[CANTIDAD]]*MASTER[[#This Row],[COSTO UNITARIO]]</f>
        <v>460</v>
      </c>
      <c r="V1096" s="2">
        <f>MASTER[[#This Row],[MONTO VENDIDO]]-MASTER[[#This Row],[COSTO DE VENTA]]</f>
        <v>684</v>
      </c>
    </row>
    <row r="1097" spans="1:22" x14ac:dyDescent="0.3">
      <c r="A1097">
        <v>23730</v>
      </c>
      <c r="B1097">
        <v>1</v>
      </c>
      <c r="C1097" t="s">
        <v>94</v>
      </c>
      <c r="D1097" t="s">
        <v>95</v>
      </c>
      <c r="E1097" s="1">
        <v>43960</v>
      </c>
      <c r="F1097">
        <v>1</v>
      </c>
      <c r="G1097" t="s">
        <v>53</v>
      </c>
      <c r="H1097" t="s">
        <v>54</v>
      </c>
      <c r="I1097" s="3">
        <v>901</v>
      </c>
      <c r="J1097" s="3">
        <v>901</v>
      </c>
      <c r="K1097" s="3">
        <v>392</v>
      </c>
      <c r="L1097" t="s">
        <v>9</v>
      </c>
      <c r="M1097">
        <v>12</v>
      </c>
      <c r="N1097" t="s">
        <v>26</v>
      </c>
      <c r="O1097" t="s">
        <v>11</v>
      </c>
      <c r="P1097" t="s">
        <v>12</v>
      </c>
      <c r="Q1097" t="s">
        <v>13</v>
      </c>
      <c r="R1097" t="s">
        <v>13</v>
      </c>
      <c r="S1097" t="s">
        <v>144</v>
      </c>
      <c r="T1097" s="2">
        <f>MASTER[[#This Row],[CANTIDAD]]*MASTER[[#This Row],[PRECIO DE VENTA]]</f>
        <v>901</v>
      </c>
      <c r="U1097" s="2">
        <f>MASTER[[#This Row],[CANTIDAD]]*MASTER[[#This Row],[COSTO UNITARIO]]</f>
        <v>392</v>
      </c>
      <c r="V1097" s="2">
        <f>MASTER[[#This Row],[MONTO VENDIDO]]-MASTER[[#This Row],[COSTO DE VENTA]]</f>
        <v>509</v>
      </c>
    </row>
    <row r="1098" spans="1:22" x14ac:dyDescent="0.3">
      <c r="A1098">
        <v>23740</v>
      </c>
      <c r="B1098">
        <v>1</v>
      </c>
      <c r="C1098" t="s">
        <v>114</v>
      </c>
      <c r="D1098" t="s">
        <v>115</v>
      </c>
      <c r="E1098" s="1">
        <v>43960</v>
      </c>
      <c r="F1098">
        <v>1</v>
      </c>
      <c r="G1098" t="s">
        <v>33</v>
      </c>
      <c r="H1098" t="s">
        <v>34</v>
      </c>
      <c r="I1098" s="3">
        <v>1862</v>
      </c>
      <c r="J1098" s="3">
        <v>1862</v>
      </c>
      <c r="K1098" s="3">
        <v>394</v>
      </c>
      <c r="L1098" t="s">
        <v>113</v>
      </c>
      <c r="M1098">
        <v>19</v>
      </c>
      <c r="N1098" t="s">
        <v>89</v>
      </c>
      <c r="O1098" t="s">
        <v>81</v>
      </c>
      <c r="P1098" t="s">
        <v>15</v>
      </c>
      <c r="Q1098" t="s">
        <v>16</v>
      </c>
      <c r="R1098" t="s">
        <v>16</v>
      </c>
      <c r="S1098" t="s">
        <v>144</v>
      </c>
      <c r="T1098" s="2">
        <f>MASTER[[#This Row],[CANTIDAD]]*MASTER[[#This Row],[PRECIO DE VENTA]]</f>
        <v>1862</v>
      </c>
      <c r="U1098" s="2">
        <f>MASTER[[#This Row],[CANTIDAD]]*MASTER[[#This Row],[COSTO UNITARIO]]</f>
        <v>394</v>
      </c>
      <c r="V1098" s="2">
        <f>MASTER[[#This Row],[MONTO VENDIDO]]-MASTER[[#This Row],[COSTO DE VENTA]]</f>
        <v>1468</v>
      </c>
    </row>
    <row r="1099" spans="1:22" x14ac:dyDescent="0.3">
      <c r="A1099">
        <v>23744</v>
      </c>
      <c r="B1099">
        <v>1</v>
      </c>
      <c r="C1099" t="s">
        <v>94</v>
      </c>
      <c r="D1099" t="s">
        <v>95</v>
      </c>
      <c r="E1099" s="1">
        <v>43960</v>
      </c>
      <c r="F1099">
        <v>1</v>
      </c>
      <c r="G1099" t="s">
        <v>49</v>
      </c>
      <c r="H1099" t="s">
        <v>50</v>
      </c>
      <c r="I1099" s="3">
        <v>901</v>
      </c>
      <c r="J1099" s="3">
        <v>901</v>
      </c>
      <c r="K1099" s="3">
        <v>392</v>
      </c>
      <c r="L1099" t="s">
        <v>9</v>
      </c>
      <c r="M1099">
        <v>12</v>
      </c>
      <c r="N1099" t="s">
        <v>26</v>
      </c>
      <c r="O1099" t="s">
        <v>11</v>
      </c>
      <c r="P1099" t="s">
        <v>12</v>
      </c>
      <c r="Q1099" t="s">
        <v>13</v>
      </c>
      <c r="R1099" t="s">
        <v>13</v>
      </c>
      <c r="S1099" t="s">
        <v>144</v>
      </c>
      <c r="T1099" s="2">
        <f>MASTER[[#This Row],[CANTIDAD]]*MASTER[[#This Row],[PRECIO DE VENTA]]</f>
        <v>901</v>
      </c>
      <c r="U1099" s="2">
        <f>MASTER[[#This Row],[CANTIDAD]]*MASTER[[#This Row],[COSTO UNITARIO]]</f>
        <v>392</v>
      </c>
      <c r="V1099" s="2">
        <f>MASTER[[#This Row],[MONTO VENDIDO]]-MASTER[[#This Row],[COSTO DE VENTA]]</f>
        <v>509</v>
      </c>
    </row>
    <row r="1100" spans="1:22" x14ac:dyDescent="0.3">
      <c r="A1100">
        <v>23751</v>
      </c>
      <c r="B1100">
        <v>1</v>
      </c>
      <c r="C1100" t="s">
        <v>107</v>
      </c>
      <c r="D1100" t="s">
        <v>108</v>
      </c>
      <c r="E1100" s="1">
        <v>43960</v>
      </c>
      <c r="F1100">
        <v>1</v>
      </c>
      <c r="G1100" t="s">
        <v>67</v>
      </c>
      <c r="H1100" t="s">
        <v>68</v>
      </c>
      <c r="I1100" s="3">
        <v>1440</v>
      </c>
      <c r="J1100" s="3">
        <v>1324</v>
      </c>
      <c r="K1100" s="3">
        <v>380</v>
      </c>
      <c r="L1100" t="s">
        <v>98</v>
      </c>
      <c r="M1100">
        <v>18</v>
      </c>
      <c r="N1100" t="s">
        <v>79</v>
      </c>
      <c r="O1100" t="s">
        <v>70</v>
      </c>
      <c r="P1100" t="s">
        <v>15</v>
      </c>
      <c r="Q1100" t="s">
        <v>16</v>
      </c>
      <c r="R1100" t="s">
        <v>16</v>
      </c>
      <c r="S1100" t="s">
        <v>144</v>
      </c>
      <c r="T1100" s="2">
        <f>MASTER[[#This Row],[CANTIDAD]]*MASTER[[#This Row],[PRECIO DE VENTA]]</f>
        <v>1324</v>
      </c>
      <c r="U1100" s="2">
        <f>MASTER[[#This Row],[CANTIDAD]]*MASTER[[#This Row],[COSTO UNITARIO]]</f>
        <v>380</v>
      </c>
      <c r="V1100" s="2">
        <f>MASTER[[#This Row],[MONTO VENDIDO]]-MASTER[[#This Row],[COSTO DE VENTA]]</f>
        <v>944</v>
      </c>
    </row>
    <row r="1101" spans="1:22" x14ac:dyDescent="0.3">
      <c r="A1101">
        <v>23753</v>
      </c>
      <c r="B1101">
        <v>1</v>
      </c>
      <c r="C1101" t="s">
        <v>105</v>
      </c>
      <c r="D1101" t="s">
        <v>106</v>
      </c>
      <c r="E1101" s="1">
        <v>43961</v>
      </c>
      <c r="F1101">
        <v>1</v>
      </c>
      <c r="G1101" t="s">
        <v>27</v>
      </c>
      <c r="H1101" t="s">
        <v>28</v>
      </c>
      <c r="I1101" s="3">
        <v>1865</v>
      </c>
      <c r="J1101" s="3">
        <v>1865</v>
      </c>
      <c r="K1101" s="3">
        <v>459</v>
      </c>
      <c r="L1101" t="s">
        <v>98</v>
      </c>
      <c r="M1101">
        <v>15</v>
      </c>
      <c r="N1101" t="s">
        <v>88</v>
      </c>
      <c r="O1101" t="s">
        <v>81</v>
      </c>
      <c r="P1101" t="s">
        <v>18</v>
      </c>
      <c r="Q1101" t="s">
        <v>19</v>
      </c>
      <c r="R1101" t="s">
        <v>138</v>
      </c>
      <c r="S1101" t="s">
        <v>144</v>
      </c>
      <c r="T1101" s="2">
        <f>MASTER[[#This Row],[CANTIDAD]]*MASTER[[#This Row],[PRECIO DE VENTA]]</f>
        <v>1865</v>
      </c>
      <c r="U1101" s="2">
        <f>MASTER[[#This Row],[CANTIDAD]]*MASTER[[#This Row],[COSTO UNITARIO]]</f>
        <v>459</v>
      </c>
      <c r="V1101" s="2">
        <f>MASTER[[#This Row],[MONTO VENDIDO]]-MASTER[[#This Row],[COSTO DE VENTA]]</f>
        <v>1406</v>
      </c>
    </row>
    <row r="1102" spans="1:22" x14ac:dyDescent="0.3">
      <c r="A1102">
        <v>23771</v>
      </c>
      <c r="B1102">
        <v>1</v>
      </c>
      <c r="C1102" t="s">
        <v>105</v>
      </c>
      <c r="D1102" t="s">
        <v>106</v>
      </c>
      <c r="E1102" s="1">
        <v>43961</v>
      </c>
      <c r="F1102">
        <v>1</v>
      </c>
      <c r="G1102" t="s">
        <v>65</v>
      </c>
      <c r="H1102" t="s">
        <v>66</v>
      </c>
      <c r="I1102" s="3">
        <v>1865</v>
      </c>
      <c r="J1102" s="3">
        <v>1865</v>
      </c>
      <c r="K1102" s="3">
        <v>459</v>
      </c>
      <c r="L1102" t="s">
        <v>98</v>
      </c>
      <c r="M1102">
        <v>2</v>
      </c>
      <c r="N1102" t="s">
        <v>86</v>
      </c>
      <c r="O1102" t="s">
        <v>81</v>
      </c>
      <c r="P1102" t="s">
        <v>71</v>
      </c>
      <c r="Q1102" t="s">
        <v>72</v>
      </c>
      <c r="R1102" t="s">
        <v>139</v>
      </c>
      <c r="S1102" t="s">
        <v>144</v>
      </c>
      <c r="T1102" s="2">
        <f>MASTER[[#This Row],[CANTIDAD]]*MASTER[[#This Row],[PRECIO DE VENTA]]</f>
        <v>1865</v>
      </c>
      <c r="U1102" s="2">
        <f>MASTER[[#This Row],[CANTIDAD]]*MASTER[[#This Row],[COSTO UNITARIO]]</f>
        <v>459</v>
      </c>
      <c r="V1102" s="2">
        <f>MASTER[[#This Row],[MONTO VENDIDO]]-MASTER[[#This Row],[COSTO DE VENTA]]</f>
        <v>1406</v>
      </c>
    </row>
    <row r="1103" spans="1:22" x14ac:dyDescent="0.3">
      <c r="A1103">
        <v>23777</v>
      </c>
      <c r="B1103">
        <v>1</v>
      </c>
      <c r="C1103" t="s">
        <v>103</v>
      </c>
      <c r="D1103" t="s">
        <v>104</v>
      </c>
      <c r="E1103" s="1">
        <v>43961</v>
      </c>
      <c r="F1103">
        <v>1</v>
      </c>
      <c r="G1103" t="s">
        <v>67</v>
      </c>
      <c r="H1103" t="s">
        <v>68</v>
      </c>
      <c r="I1103" s="3">
        <v>1591</v>
      </c>
      <c r="J1103" s="3">
        <v>1591</v>
      </c>
      <c r="K1103" s="3">
        <v>421</v>
      </c>
      <c r="L1103" t="s">
        <v>98</v>
      </c>
      <c r="M1103">
        <v>8</v>
      </c>
      <c r="N1103" t="s">
        <v>80</v>
      </c>
      <c r="O1103" t="s">
        <v>81</v>
      </c>
      <c r="P1103" t="s">
        <v>12</v>
      </c>
      <c r="Q1103" t="s">
        <v>13</v>
      </c>
      <c r="R1103" t="s">
        <v>13</v>
      </c>
      <c r="S1103" t="s">
        <v>144</v>
      </c>
      <c r="T1103" s="2">
        <f>MASTER[[#This Row],[CANTIDAD]]*MASTER[[#This Row],[PRECIO DE VENTA]]</f>
        <v>1591</v>
      </c>
      <c r="U1103" s="2">
        <f>MASTER[[#This Row],[CANTIDAD]]*MASTER[[#This Row],[COSTO UNITARIO]]</f>
        <v>421</v>
      </c>
      <c r="V1103" s="2">
        <f>MASTER[[#This Row],[MONTO VENDIDO]]-MASTER[[#This Row],[COSTO DE VENTA]]</f>
        <v>1170</v>
      </c>
    </row>
    <row r="1104" spans="1:22" x14ac:dyDescent="0.3">
      <c r="A1104">
        <v>23794</v>
      </c>
      <c r="B1104">
        <v>1</v>
      </c>
      <c r="C1104" t="s">
        <v>99</v>
      </c>
      <c r="D1104" t="s">
        <v>100</v>
      </c>
      <c r="E1104" s="1">
        <v>43961</v>
      </c>
      <c r="F1104">
        <v>1</v>
      </c>
      <c r="G1104" t="s">
        <v>24</v>
      </c>
      <c r="H1104" t="s">
        <v>25</v>
      </c>
      <c r="I1104" s="3">
        <v>1459</v>
      </c>
      <c r="J1104" s="3">
        <v>1459</v>
      </c>
      <c r="K1104" s="3">
        <v>386</v>
      </c>
      <c r="L1104" t="s">
        <v>98</v>
      </c>
      <c r="M1104">
        <v>5</v>
      </c>
      <c r="N1104" t="s">
        <v>85</v>
      </c>
      <c r="O1104" t="s">
        <v>81</v>
      </c>
      <c r="P1104" t="s">
        <v>12</v>
      </c>
      <c r="Q1104" t="s">
        <v>13</v>
      </c>
      <c r="R1104" t="s">
        <v>13</v>
      </c>
      <c r="S1104" t="s">
        <v>144</v>
      </c>
      <c r="T1104" s="2">
        <f>MASTER[[#This Row],[CANTIDAD]]*MASTER[[#This Row],[PRECIO DE VENTA]]</f>
        <v>1459</v>
      </c>
      <c r="U1104" s="2">
        <f>MASTER[[#This Row],[CANTIDAD]]*MASTER[[#This Row],[COSTO UNITARIO]]</f>
        <v>386</v>
      </c>
      <c r="V1104" s="2">
        <f>MASTER[[#This Row],[MONTO VENDIDO]]-MASTER[[#This Row],[COSTO DE VENTA]]</f>
        <v>1073</v>
      </c>
    </row>
    <row r="1105" spans="1:22" x14ac:dyDescent="0.3">
      <c r="A1105">
        <v>23798</v>
      </c>
      <c r="B1105">
        <v>1</v>
      </c>
      <c r="C1105" t="s">
        <v>111</v>
      </c>
      <c r="D1105" t="s">
        <v>112</v>
      </c>
      <c r="E1105" s="1">
        <v>43961</v>
      </c>
      <c r="F1105">
        <v>1</v>
      </c>
      <c r="G1105" t="s">
        <v>65</v>
      </c>
      <c r="H1105" t="s">
        <v>66</v>
      </c>
      <c r="I1105" s="3">
        <v>1799</v>
      </c>
      <c r="J1105" s="3">
        <v>1799</v>
      </c>
      <c r="K1105" s="3">
        <v>434</v>
      </c>
      <c r="L1105" t="s">
        <v>113</v>
      </c>
      <c r="M1105">
        <v>3</v>
      </c>
      <c r="N1105" t="s">
        <v>69</v>
      </c>
      <c r="O1105" t="s">
        <v>70</v>
      </c>
      <c r="P1105" t="s">
        <v>71</v>
      </c>
      <c r="Q1105" t="s">
        <v>72</v>
      </c>
      <c r="R1105" t="s">
        <v>139</v>
      </c>
      <c r="S1105" t="s">
        <v>144</v>
      </c>
      <c r="T1105" s="2">
        <f>MASTER[[#This Row],[CANTIDAD]]*MASTER[[#This Row],[PRECIO DE VENTA]]</f>
        <v>1799</v>
      </c>
      <c r="U1105" s="2">
        <f>MASTER[[#This Row],[CANTIDAD]]*MASTER[[#This Row],[COSTO UNITARIO]]</f>
        <v>434</v>
      </c>
      <c r="V1105" s="2">
        <f>MASTER[[#This Row],[MONTO VENDIDO]]-MASTER[[#This Row],[COSTO DE VENTA]]</f>
        <v>1365</v>
      </c>
    </row>
    <row r="1106" spans="1:22" x14ac:dyDescent="0.3">
      <c r="A1106">
        <v>23817</v>
      </c>
      <c r="B1106">
        <v>1</v>
      </c>
      <c r="C1106" t="s">
        <v>109</v>
      </c>
      <c r="D1106" t="s">
        <v>110</v>
      </c>
      <c r="E1106" s="1">
        <v>43961</v>
      </c>
      <c r="F1106">
        <v>1</v>
      </c>
      <c r="G1106" t="s">
        <v>35</v>
      </c>
      <c r="H1106" t="s">
        <v>36</v>
      </c>
      <c r="I1106" s="3">
        <v>1064</v>
      </c>
      <c r="J1106" s="3">
        <v>1064</v>
      </c>
      <c r="K1106" s="3">
        <v>387</v>
      </c>
      <c r="L1106" t="s">
        <v>98</v>
      </c>
      <c r="M1106">
        <v>8</v>
      </c>
      <c r="N1106" t="s">
        <v>80</v>
      </c>
      <c r="O1106" t="s">
        <v>81</v>
      </c>
      <c r="P1106" t="s">
        <v>12</v>
      </c>
      <c r="Q1106" t="s">
        <v>13</v>
      </c>
      <c r="R1106" t="s">
        <v>13</v>
      </c>
      <c r="S1106" t="s">
        <v>144</v>
      </c>
      <c r="T1106" s="2">
        <f>MASTER[[#This Row],[CANTIDAD]]*MASTER[[#This Row],[PRECIO DE VENTA]]</f>
        <v>1064</v>
      </c>
      <c r="U1106" s="2">
        <f>MASTER[[#This Row],[CANTIDAD]]*MASTER[[#This Row],[COSTO UNITARIO]]</f>
        <v>387</v>
      </c>
      <c r="V1106" s="2">
        <f>MASTER[[#This Row],[MONTO VENDIDO]]-MASTER[[#This Row],[COSTO DE VENTA]]</f>
        <v>677</v>
      </c>
    </row>
    <row r="1107" spans="1:22" x14ac:dyDescent="0.3">
      <c r="A1107">
        <v>23828</v>
      </c>
      <c r="B1107">
        <v>1</v>
      </c>
      <c r="C1107" t="s">
        <v>109</v>
      </c>
      <c r="D1107" t="s">
        <v>110</v>
      </c>
      <c r="E1107" s="1">
        <v>43961</v>
      </c>
      <c r="F1107">
        <v>1</v>
      </c>
      <c r="G1107" t="s">
        <v>35</v>
      </c>
      <c r="H1107" t="s">
        <v>36</v>
      </c>
      <c r="I1107" s="3">
        <v>1064</v>
      </c>
      <c r="J1107" s="3">
        <v>1064</v>
      </c>
      <c r="K1107" s="3">
        <v>387</v>
      </c>
      <c r="L1107" t="s">
        <v>98</v>
      </c>
      <c r="M1107">
        <v>7</v>
      </c>
      <c r="N1107" t="s">
        <v>84</v>
      </c>
      <c r="O1107" t="s">
        <v>81</v>
      </c>
      <c r="P1107" t="s">
        <v>12</v>
      </c>
      <c r="Q1107" t="s">
        <v>13</v>
      </c>
      <c r="R1107" t="s">
        <v>13</v>
      </c>
      <c r="S1107" t="s">
        <v>144</v>
      </c>
      <c r="T1107" s="2">
        <f>MASTER[[#This Row],[CANTIDAD]]*MASTER[[#This Row],[PRECIO DE VENTA]]</f>
        <v>1064</v>
      </c>
      <c r="U1107" s="2">
        <f>MASTER[[#This Row],[CANTIDAD]]*MASTER[[#This Row],[COSTO UNITARIO]]</f>
        <v>387</v>
      </c>
      <c r="V1107" s="2">
        <f>MASTER[[#This Row],[MONTO VENDIDO]]-MASTER[[#This Row],[COSTO DE VENTA]]</f>
        <v>677</v>
      </c>
    </row>
    <row r="1108" spans="1:22" x14ac:dyDescent="0.3">
      <c r="A1108">
        <v>23831</v>
      </c>
      <c r="B1108">
        <v>1</v>
      </c>
      <c r="C1108" t="s">
        <v>101</v>
      </c>
      <c r="D1108" t="s">
        <v>102</v>
      </c>
      <c r="E1108" s="1">
        <v>43961</v>
      </c>
      <c r="F1108">
        <v>1</v>
      </c>
      <c r="G1108" t="s">
        <v>73</v>
      </c>
      <c r="H1108" t="s">
        <v>74</v>
      </c>
      <c r="I1108" s="3">
        <v>1357</v>
      </c>
      <c r="J1108" s="3">
        <v>1357</v>
      </c>
      <c r="K1108" s="3">
        <v>442</v>
      </c>
      <c r="L1108" t="s">
        <v>98</v>
      </c>
      <c r="M1108">
        <v>6</v>
      </c>
      <c r="N1108" t="s">
        <v>75</v>
      </c>
      <c r="O1108" t="s">
        <v>70</v>
      </c>
      <c r="P1108" t="s">
        <v>12</v>
      </c>
      <c r="Q1108" t="s">
        <v>13</v>
      </c>
      <c r="R1108" t="s">
        <v>13</v>
      </c>
      <c r="S1108" t="s">
        <v>144</v>
      </c>
      <c r="T1108" s="2">
        <f>MASTER[[#This Row],[CANTIDAD]]*MASTER[[#This Row],[PRECIO DE VENTA]]</f>
        <v>1357</v>
      </c>
      <c r="U1108" s="2">
        <f>MASTER[[#This Row],[CANTIDAD]]*MASTER[[#This Row],[COSTO UNITARIO]]</f>
        <v>442</v>
      </c>
      <c r="V1108" s="2">
        <f>MASTER[[#This Row],[MONTO VENDIDO]]-MASTER[[#This Row],[COSTO DE VENTA]]</f>
        <v>915</v>
      </c>
    </row>
    <row r="1109" spans="1:22" x14ac:dyDescent="0.3">
      <c r="A1109">
        <v>23838</v>
      </c>
      <c r="B1109">
        <v>1</v>
      </c>
      <c r="C1109" t="s">
        <v>101</v>
      </c>
      <c r="D1109" t="s">
        <v>102</v>
      </c>
      <c r="E1109" s="1">
        <v>43961</v>
      </c>
      <c r="F1109">
        <v>1</v>
      </c>
      <c r="G1109" t="s">
        <v>7</v>
      </c>
      <c r="H1109" t="s">
        <v>8</v>
      </c>
      <c r="I1109" s="3">
        <v>1054</v>
      </c>
      <c r="J1109" s="3">
        <v>1054</v>
      </c>
      <c r="K1109" s="3">
        <v>442</v>
      </c>
      <c r="L1109" t="s">
        <v>98</v>
      </c>
      <c r="M1109">
        <v>16</v>
      </c>
      <c r="N1109" t="s">
        <v>17</v>
      </c>
      <c r="O1109" t="s">
        <v>11</v>
      </c>
      <c r="P1109" t="s">
        <v>18</v>
      </c>
      <c r="Q1109" t="s">
        <v>19</v>
      </c>
      <c r="R1109" t="s">
        <v>138</v>
      </c>
      <c r="S1109" t="s">
        <v>144</v>
      </c>
      <c r="T1109" s="2">
        <f>MASTER[[#This Row],[CANTIDAD]]*MASTER[[#This Row],[PRECIO DE VENTA]]</f>
        <v>1054</v>
      </c>
      <c r="U1109" s="2">
        <f>MASTER[[#This Row],[CANTIDAD]]*MASTER[[#This Row],[COSTO UNITARIO]]</f>
        <v>442</v>
      </c>
      <c r="V1109" s="2">
        <f>MASTER[[#This Row],[MONTO VENDIDO]]-MASTER[[#This Row],[COSTO DE VENTA]]</f>
        <v>612</v>
      </c>
    </row>
    <row r="1110" spans="1:22" x14ac:dyDescent="0.3">
      <c r="A1110">
        <v>23861</v>
      </c>
      <c r="B1110">
        <v>1</v>
      </c>
      <c r="C1110" t="s">
        <v>116</v>
      </c>
      <c r="D1110" t="s">
        <v>117</v>
      </c>
      <c r="E1110" s="1">
        <v>43961</v>
      </c>
      <c r="F1110">
        <v>1</v>
      </c>
      <c r="G1110" t="s">
        <v>29</v>
      </c>
      <c r="H1110" t="s">
        <v>30</v>
      </c>
      <c r="I1110" s="3">
        <v>1999</v>
      </c>
      <c r="J1110" s="3">
        <v>1999</v>
      </c>
      <c r="K1110" s="3">
        <v>388</v>
      </c>
      <c r="L1110" t="s">
        <v>113</v>
      </c>
      <c r="M1110">
        <v>18</v>
      </c>
      <c r="N1110" t="s">
        <v>79</v>
      </c>
      <c r="O1110" t="s">
        <v>70</v>
      </c>
      <c r="P1110" t="s">
        <v>15</v>
      </c>
      <c r="Q1110" t="s">
        <v>16</v>
      </c>
      <c r="R1110" t="s">
        <v>16</v>
      </c>
      <c r="S1110" t="s">
        <v>144</v>
      </c>
      <c r="T1110" s="2">
        <f>MASTER[[#This Row],[CANTIDAD]]*MASTER[[#This Row],[PRECIO DE VENTA]]</f>
        <v>1999</v>
      </c>
      <c r="U1110" s="2">
        <f>MASTER[[#This Row],[CANTIDAD]]*MASTER[[#This Row],[COSTO UNITARIO]]</f>
        <v>388</v>
      </c>
      <c r="V1110" s="2">
        <f>MASTER[[#This Row],[MONTO VENDIDO]]-MASTER[[#This Row],[COSTO DE VENTA]]</f>
        <v>1611</v>
      </c>
    </row>
    <row r="1111" spans="1:22" x14ac:dyDescent="0.3">
      <c r="A1111">
        <v>23867</v>
      </c>
      <c r="B1111">
        <v>1</v>
      </c>
      <c r="C1111" t="s">
        <v>92</v>
      </c>
      <c r="D1111" t="s">
        <v>93</v>
      </c>
      <c r="E1111" s="1">
        <v>43962</v>
      </c>
      <c r="F1111">
        <v>1</v>
      </c>
      <c r="G1111" t="s">
        <v>37</v>
      </c>
      <c r="H1111" t="s">
        <v>38</v>
      </c>
      <c r="I1111" s="3">
        <v>1866</v>
      </c>
      <c r="J1111" s="3">
        <v>1866</v>
      </c>
      <c r="K1111" s="3">
        <v>396</v>
      </c>
      <c r="L1111" t="s">
        <v>9</v>
      </c>
      <c r="M1111">
        <v>9</v>
      </c>
      <c r="N1111" t="s">
        <v>76</v>
      </c>
      <c r="O1111" t="s">
        <v>70</v>
      </c>
      <c r="P1111" t="s">
        <v>12</v>
      </c>
      <c r="Q1111" t="s">
        <v>13</v>
      </c>
      <c r="R1111" t="s">
        <v>13</v>
      </c>
      <c r="S1111" t="s">
        <v>144</v>
      </c>
      <c r="T1111" s="2">
        <f>MASTER[[#This Row],[CANTIDAD]]*MASTER[[#This Row],[PRECIO DE VENTA]]</f>
        <v>1866</v>
      </c>
      <c r="U1111" s="2">
        <f>MASTER[[#This Row],[CANTIDAD]]*MASTER[[#This Row],[COSTO UNITARIO]]</f>
        <v>396</v>
      </c>
      <c r="V1111" s="2">
        <f>MASTER[[#This Row],[MONTO VENDIDO]]-MASTER[[#This Row],[COSTO DE VENTA]]</f>
        <v>1470</v>
      </c>
    </row>
    <row r="1112" spans="1:22" x14ac:dyDescent="0.3">
      <c r="A1112">
        <v>23913</v>
      </c>
      <c r="B1112">
        <v>1</v>
      </c>
      <c r="C1112" t="s">
        <v>5</v>
      </c>
      <c r="D1112" t="s">
        <v>6</v>
      </c>
      <c r="E1112" s="1">
        <v>43962</v>
      </c>
      <c r="F1112">
        <v>1</v>
      </c>
      <c r="G1112" t="s">
        <v>65</v>
      </c>
      <c r="H1112" t="s">
        <v>66</v>
      </c>
      <c r="I1112" s="3">
        <v>1507</v>
      </c>
      <c r="J1112" s="3">
        <v>1446</v>
      </c>
      <c r="K1112" s="3">
        <v>393</v>
      </c>
      <c r="L1112" t="s">
        <v>9</v>
      </c>
      <c r="M1112">
        <v>4</v>
      </c>
      <c r="N1112" t="s">
        <v>82</v>
      </c>
      <c r="O1112" t="s">
        <v>81</v>
      </c>
      <c r="P1112" t="s">
        <v>71</v>
      </c>
      <c r="Q1112" t="s">
        <v>72</v>
      </c>
      <c r="R1112" t="s">
        <v>139</v>
      </c>
      <c r="S1112" t="s">
        <v>144</v>
      </c>
      <c r="T1112" s="2">
        <f>MASTER[[#This Row],[CANTIDAD]]*MASTER[[#This Row],[PRECIO DE VENTA]]</f>
        <v>1446</v>
      </c>
      <c r="U1112" s="2">
        <f>MASTER[[#This Row],[CANTIDAD]]*MASTER[[#This Row],[COSTO UNITARIO]]</f>
        <v>393</v>
      </c>
      <c r="V1112" s="2">
        <f>MASTER[[#This Row],[MONTO VENDIDO]]-MASTER[[#This Row],[COSTO DE VENTA]]</f>
        <v>1053</v>
      </c>
    </row>
    <row r="1113" spans="1:22" x14ac:dyDescent="0.3">
      <c r="A1113">
        <v>23919</v>
      </c>
      <c r="B1113">
        <v>1</v>
      </c>
      <c r="C1113" t="s">
        <v>116</v>
      </c>
      <c r="D1113" t="s">
        <v>117</v>
      </c>
      <c r="E1113" s="1">
        <v>43962</v>
      </c>
      <c r="F1113">
        <v>1</v>
      </c>
      <c r="G1113" t="s">
        <v>61</v>
      </c>
      <c r="H1113" t="s">
        <v>62</v>
      </c>
      <c r="I1113" s="3">
        <v>1529</v>
      </c>
      <c r="J1113" s="3">
        <v>1391</v>
      </c>
      <c r="K1113" s="3">
        <v>388</v>
      </c>
      <c r="L1113" t="s">
        <v>113</v>
      </c>
      <c r="M1113">
        <v>17</v>
      </c>
      <c r="N1113" t="s">
        <v>14</v>
      </c>
      <c r="O1113" t="s">
        <v>11</v>
      </c>
      <c r="P1113" t="s">
        <v>15</v>
      </c>
      <c r="Q1113" t="s">
        <v>16</v>
      </c>
      <c r="R1113" t="s">
        <v>16</v>
      </c>
      <c r="S1113" t="s">
        <v>144</v>
      </c>
      <c r="T1113" s="2">
        <f>MASTER[[#This Row],[CANTIDAD]]*MASTER[[#This Row],[PRECIO DE VENTA]]</f>
        <v>1391</v>
      </c>
      <c r="U1113" s="2">
        <f>MASTER[[#This Row],[CANTIDAD]]*MASTER[[#This Row],[COSTO UNITARIO]]</f>
        <v>388</v>
      </c>
      <c r="V1113" s="2">
        <f>MASTER[[#This Row],[MONTO VENDIDO]]-MASTER[[#This Row],[COSTO DE VENTA]]</f>
        <v>1003</v>
      </c>
    </row>
    <row r="1114" spans="1:22" x14ac:dyDescent="0.3">
      <c r="A1114">
        <v>23923</v>
      </c>
      <c r="B1114">
        <v>1</v>
      </c>
      <c r="C1114" t="s">
        <v>99</v>
      </c>
      <c r="D1114" t="s">
        <v>100</v>
      </c>
      <c r="E1114" s="1">
        <v>43962</v>
      </c>
      <c r="F1114">
        <v>1</v>
      </c>
      <c r="G1114" t="s">
        <v>53</v>
      </c>
      <c r="H1114" t="s">
        <v>54</v>
      </c>
      <c r="I1114" s="3">
        <v>1459</v>
      </c>
      <c r="J1114" s="3">
        <v>1459</v>
      </c>
      <c r="K1114" s="3">
        <v>386</v>
      </c>
      <c r="L1114" t="s">
        <v>98</v>
      </c>
      <c r="M1114">
        <v>8</v>
      </c>
      <c r="N1114" t="s">
        <v>80</v>
      </c>
      <c r="O1114" t="s">
        <v>81</v>
      </c>
      <c r="P1114" t="s">
        <v>12</v>
      </c>
      <c r="Q1114" t="s">
        <v>13</v>
      </c>
      <c r="R1114" t="s">
        <v>13</v>
      </c>
      <c r="S1114" t="s">
        <v>144</v>
      </c>
      <c r="T1114" s="2">
        <f>MASTER[[#This Row],[CANTIDAD]]*MASTER[[#This Row],[PRECIO DE VENTA]]</f>
        <v>1459</v>
      </c>
      <c r="U1114" s="2">
        <f>MASTER[[#This Row],[CANTIDAD]]*MASTER[[#This Row],[COSTO UNITARIO]]</f>
        <v>386</v>
      </c>
      <c r="V1114" s="2">
        <f>MASTER[[#This Row],[MONTO VENDIDO]]-MASTER[[#This Row],[COSTO DE VENTA]]</f>
        <v>1073</v>
      </c>
    </row>
    <row r="1115" spans="1:22" x14ac:dyDescent="0.3">
      <c r="A1115">
        <v>23928</v>
      </c>
      <c r="B1115">
        <v>1</v>
      </c>
      <c r="C1115" t="s">
        <v>94</v>
      </c>
      <c r="D1115" t="s">
        <v>95</v>
      </c>
      <c r="E1115" s="1">
        <v>43962</v>
      </c>
      <c r="F1115">
        <v>1</v>
      </c>
      <c r="G1115" t="s">
        <v>53</v>
      </c>
      <c r="H1115" t="s">
        <v>54</v>
      </c>
      <c r="I1115" s="3">
        <v>1048</v>
      </c>
      <c r="J1115" s="3">
        <v>1048</v>
      </c>
      <c r="K1115" s="3">
        <v>392</v>
      </c>
      <c r="L1115" t="s">
        <v>9</v>
      </c>
      <c r="M1115">
        <v>7</v>
      </c>
      <c r="N1115" t="s">
        <v>84</v>
      </c>
      <c r="O1115" t="s">
        <v>81</v>
      </c>
      <c r="P1115" t="s">
        <v>12</v>
      </c>
      <c r="Q1115" t="s">
        <v>13</v>
      </c>
      <c r="R1115" t="s">
        <v>13</v>
      </c>
      <c r="S1115" t="s">
        <v>144</v>
      </c>
      <c r="T1115" s="2">
        <f>MASTER[[#This Row],[CANTIDAD]]*MASTER[[#This Row],[PRECIO DE VENTA]]</f>
        <v>1048</v>
      </c>
      <c r="U1115" s="2">
        <f>MASTER[[#This Row],[CANTIDAD]]*MASTER[[#This Row],[COSTO UNITARIO]]</f>
        <v>392</v>
      </c>
      <c r="V1115" s="2">
        <f>MASTER[[#This Row],[MONTO VENDIDO]]-MASTER[[#This Row],[COSTO DE VENTA]]</f>
        <v>656</v>
      </c>
    </row>
    <row r="1116" spans="1:22" x14ac:dyDescent="0.3">
      <c r="A1116">
        <v>23939</v>
      </c>
      <c r="B1116">
        <v>1</v>
      </c>
      <c r="C1116" t="s">
        <v>90</v>
      </c>
      <c r="D1116" t="s">
        <v>91</v>
      </c>
      <c r="E1116" s="1">
        <v>43962</v>
      </c>
      <c r="F1116">
        <v>1</v>
      </c>
      <c r="G1116" t="s">
        <v>49</v>
      </c>
      <c r="H1116" t="s">
        <v>50</v>
      </c>
      <c r="I1116" s="3">
        <v>2102</v>
      </c>
      <c r="J1116" s="3">
        <v>2102</v>
      </c>
      <c r="K1116" s="3">
        <v>420</v>
      </c>
      <c r="L1116" t="s">
        <v>9</v>
      </c>
      <c r="M1116">
        <v>6</v>
      </c>
      <c r="N1116" t="s">
        <v>75</v>
      </c>
      <c r="O1116" t="s">
        <v>70</v>
      </c>
      <c r="P1116" t="s">
        <v>12</v>
      </c>
      <c r="Q1116" t="s">
        <v>13</v>
      </c>
      <c r="R1116" t="s">
        <v>13</v>
      </c>
      <c r="S1116" t="s">
        <v>144</v>
      </c>
      <c r="T1116" s="2">
        <f>MASTER[[#This Row],[CANTIDAD]]*MASTER[[#This Row],[PRECIO DE VENTA]]</f>
        <v>2102</v>
      </c>
      <c r="U1116" s="2">
        <f>MASTER[[#This Row],[CANTIDAD]]*MASTER[[#This Row],[COSTO UNITARIO]]</f>
        <v>420</v>
      </c>
      <c r="V1116" s="2">
        <f>MASTER[[#This Row],[MONTO VENDIDO]]-MASTER[[#This Row],[COSTO DE VENTA]]</f>
        <v>1682</v>
      </c>
    </row>
    <row r="1117" spans="1:22" x14ac:dyDescent="0.3">
      <c r="A1117">
        <v>23953</v>
      </c>
      <c r="B1117">
        <v>1</v>
      </c>
      <c r="C1117" t="s">
        <v>94</v>
      </c>
      <c r="D1117" t="s">
        <v>95</v>
      </c>
      <c r="E1117" s="1">
        <v>43962</v>
      </c>
      <c r="F1117">
        <v>1</v>
      </c>
      <c r="G1117" t="s">
        <v>47</v>
      </c>
      <c r="H1117" t="s">
        <v>48</v>
      </c>
      <c r="I1117" s="3">
        <v>1153</v>
      </c>
      <c r="J1117" s="3">
        <v>1153</v>
      </c>
      <c r="K1117" s="3">
        <v>392</v>
      </c>
      <c r="L1117" t="s">
        <v>9</v>
      </c>
      <c r="M1117">
        <v>1</v>
      </c>
      <c r="N1117" t="s">
        <v>77</v>
      </c>
      <c r="O1117" t="s">
        <v>70</v>
      </c>
      <c r="P1117" t="s">
        <v>71</v>
      </c>
      <c r="Q1117" t="s">
        <v>72</v>
      </c>
      <c r="R1117" t="s">
        <v>139</v>
      </c>
      <c r="S1117" t="s">
        <v>144</v>
      </c>
      <c r="T1117" s="2">
        <f>MASTER[[#This Row],[CANTIDAD]]*MASTER[[#This Row],[PRECIO DE VENTA]]</f>
        <v>1153</v>
      </c>
      <c r="U1117" s="2">
        <f>MASTER[[#This Row],[CANTIDAD]]*MASTER[[#This Row],[COSTO UNITARIO]]</f>
        <v>392</v>
      </c>
      <c r="V1117" s="2">
        <f>MASTER[[#This Row],[MONTO VENDIDO]]-MASTER[[#This Row],[COSTO DE VENTA]]</f>
        <v>761</v>
      </c>
    </row>
    <row r="1118" spans="1:22" x14ac:dyDescent="0.3">
      <c r="A1118">
        <v>23962</v>
      </c>
      <c r="B1118">
        <v>1</v>
      </c>
      <c r="C1118" t="s">
        <v>94</v>
      </c>
      <c r="D1118" t="s">
        <v>95</v>
      </c>
      <c r="E1118" s="1">
        <v>43962</v>
      </c>
      <c r="F1118">
        <v>1</v>
      </c>
      <c r="G1118" t="s">
        <v>73</v>
      </c>
      <c r="H1118" t="s">
        <v>74</v>
      </c>
      <c r="I1118" s="3">
        <v>1048</v>
      </c>
      <c r="J1118" s="3">
        <v>1048</v>
      </c>
      <c r="K1118" s="3">
        <v>392</v>
      </c>
      <c r="L1118" t="s">
        <v>9</v>
      </c>
      <c r="M1118">
        <v>5</v>
      </c>
      <c r="N1118" t="s">
        <v>85</v>
      </c>
      <c r="O1118" t="s">
        <v>81</v>
      </c>
      <c r="P1118" t="s">
        <v>12</v>
      </c>
      <c r="Q1118" t="s">
        <v>13</v>
      </c>
      <c r="R1118" t="s">
        <v>13</v>
      </c>
      <c r="S1118" t="s">
        <v>144</v>
      </c>
      <c r="T1118" s="2">
        <f>MASTER[[#This Row],[CANTIDAD]]*MASTER[[#This Row],[PRECIO DE VENTA]]</f>
        <v>1048</v>
      </c>
      <c r="U1118" s="2">
        <f>MASTER[[#This Row],[CANTIDAD]]*MASTER[[#This Row],[COSTO UNITARIO]]</f>
        <v>392</v>
      </c>
      <c r="V1118" s="2">
        <f>MASTER[[#This Row],[MONTO VENDIDO]]-MASTER[[#This Row],[COSTO DE VENTA]]</f>
        <v>656</v>
      </c>
    </row>
    <row r="1119" spans="1:22" x14ac:dyDescent="0.3">
      <c r="A1119">
        <v>23964</v>
      </c>
      <c r="B1119">
        <v>1</v>
      </c>
      <c r="C1119" t="s">
        <v>109</v>
      </c>
      <c r="D1119" t="s">
        <v>110</v>
      </c>
      <c r="E1119" s="1">
        <v>43962</v>
      </c>
      <c r="F1119">
        <v>1</v>
      </c>
      <c r="G1119" t="s">
        <v>35</v>
      </c>
      <c r="H1119" t="s">
        <v>36</v>
      </c>
      <c r="I1119" s="3">
        <v>1064</v>
      </c>
      <c r="J1119" s="3">
        <v>1064</v>
      </c>
      <c r="K1119" s="3">
        <v>387</v>
      </c>
      <c r="L1119" t="s">
        <v>98</v>
      </c>
      <c r="M1119">
        <v>7</v>
      </c>
      <c r="N1119" t="s">
        <v>84</v>
      </c>
      <c r="O1119" t="s">
        <v>81</v>
      </c>
      <c r="P1119" t="s">
        <v>12</v>
      </c>
      <c r="Q1119" t="s">
        <v>13</v>
      </c>
      <c r="R1119" t="s">
        <v>13</v>
      </c>
      <c r="S1119" t="s">
        <v>144</v>
      </c>
      <c r="T1119" s="2">
        <f>MASTER[[#This Row],[CANTIDAD]]*MASTER[[#This Row],[PRECIO DE VENTA]]</f>
        <v>1064</v>
      </c>
      <c r="U1119" s="2">
        <f>MASTER[[#This Row],[CANTIDAD]]*MASTER[[#This Row],[COSTO UNITARIO]]</f>
        <v>387</v>
      </c>
      <c r="V1119" s="2">
        <f>MASTER[[#This Row],[MONTO VENDIDO]]-MASTER[[#This Row],[COSTO DE VENTA]]</f>
        <v>677</v>
      </c>
    </row>
    <row r="1120" spans="1:22" x14ac:dyDescent="0.3">
      <c r="A1120">
        <v>23965</v>
      </c>
      <c r="B1120">
        <v>1</v>
      </c>
      <c r="C1120" t="s">
        <v>105</v>
      </c>
      <c r="D1120" t="s">
        <v>106</v>
      </c>
      <c r="E1120" s="1">
        <v>43962</v>
      </c>
      <c r="F1120">
        <v>1</v>
      </c>
      <c r="G1120" t="s">
        <v>33</v>
      </c>
      <c r="H1120" t="s">
        <v>34</v>
      </c>
      <c r="I1120" s="3">
        <v>1865</v>
      </c>
      <c r="J1120" s="3">
        <v>1865</v>
      </c>
      <c r="K1120" s="3">
        <v>459</v>
      </c>
      <c r="L1120" t="s">
        <v>98</v>
      </c>
      <c r="M1120">
        <v>14</v>
      </c>
      <c r="N1120" t="s">
        <v>87</v>
      </c>
      <c r="O1120" t="s">
        <v>81</v>
      </c>
      <c r="P1120" t="s">
        <v>18</v>
      </c>
      <c r="Q1120" t="s">
        <v>19</v>
      </c>
      <c r="R1120" t="s">
        <v>138</v>
      </c>
      <c r="S1120" t="s">
        <v>144</v>
      </c>
      <c r="T1120" s="2">
        <f>MASTER[[#This Row],[CANTIDAD]]*MASTER[[#This Row],[PRECIO DE VENTA]]</f>
        <v>1865</v>
      </c>
      <c r="U1120" s="2">
        <f>MASTER[[#This Row],[CANTIDAD]]*MASTER[[#This Row],[COSTO UNITARIO]]</f>
        <v>459</v>
      </c>
      <c r="V1120" s="2">
        <f>MASTER[[#This Row],[MONTO VENDIDO]]-MASTER[[#This Row],[COSTO DE VENTA]]</f>
        <v>1406</v>
      </c>
    </row>
    <row r="1121" spans="1:22" x14ac:dyDescent="0.3">
      <c r="A1121">
        <v>23978</v>
      </c>
      <c r="B1121">
        <v>1</v>
      </c>
      <c r="C1121" t="s">
        <v>5</v>
      </c>
      <c r="D1121" t="s">
        <v>6</v>
      </c>
      <c r="E1121" s="1">
        <v>43963</v>
      </c>
      <c r="F1121">
        <v>1</v>
      </c>
      <c r="G1121" t="s">
        <v>47</v>
      </c>
      <c r="H1121" t="s">
        <v>48</v>
      </c>
      <c r="I1121" s="3">
        <v>1507</v>
      </c>
      <c r="J1121" s="3">
        <v>1507</v>
      </c>
      <c r="K1121" s="3">
        <v>393</v>
      </c>
      <c r="L1121" t="s">
        <v>9</v>
      </c>
      <c r="M1121">
        <v>19</v>
      </c>
      <c r="N1121" t="s">
        <v>89</v>
      </c>
      <c r="O1121" t="s">
        <v>81</v>
      </c>
      <c r="P1121" t="s">
        <v>15</v>
      </c>
      <c r="Q1121" t="s">
        <v>16</v>
      </c>
      <c r="R1121" t="s">
        <v>16</v>
      </c>
      <c r="S1121" t="s">
        <v>144</v>
      </c>
      <c r="T1121" s="2">
        <f>MASTER[[#This Row],[CANTIDAD]]*MASTER[[#This Row],[PRECIO DE VENTA]]</f>
        <v>1507</v>
      </c>
      <c r="U1121" s="2">
        <f>MASTER[[#This Row],[CANTIDAD]]*MASTER[[#This Row],[COSTO UNITARIO]]</f>
        <v>393</v>
      </c>
      <c r="V1121" s="2">
        <f>MASTER[[#This Row],[MONTO VENDIDO]]-MASTER[[#This Row],[COSTO DE VENTA]]</f>
        <v>1114</v>
      </c>
    </row>
    <row r="1122" spans="1:22" x14ac:dyDescent="0.3">
      <c r="A1122">
        <v>24003</v>
      </c>
      <c r="B1122">
        <v>1</v>
      </c>
      <c r="C1122" t="s">
        <v>114</v>
      </c>
      <c r="D1122" t="s">
        <v>115</v>
      </c>
      <c r="E1122" s="1">
        <v>43963</v>
      </c>
      <c r="F1122">
        <v>1</v>
      </c>
      <c r="G1122" t="s">
        <v>22</v>
      </c>
      <c r="H1122" t="s">
        <v>23</v>
      </c>
      <c r="I1122" s="3">
        <v>1862</v>
      </c>
      <c r="J1122" s="3">
        <v>1862</v>
      </c>
      <c r="K1122" s="3">
        <v>394</v>
      </c>
      <c r="L1122" t="s">
        <v>113</v>
      </c>
      <c r="M1122">
        <v>14</v>
      </c>
      <c r="N1122" t="s">
        <v>87</v>
      </c>
      <c r="O1122" t="s">
        <v>81</v>
      </c>
      <c r="P1122" t="s">
        <v>18</v>
      </c>
      <c r="Q1122" t="s">
        <v>19</v>
      </c>
      <c r="R1122" t="s">
        <v>138</v>
      </c>
      <c r="S1122" t="s">
        <v>144</v>
      </c>
      <c r="T1122" s="2">
        <f>MASTER[[#This Row],[CANTIDAD]]*MASTER[[#This Row],[PRECIO DE VENTA]]</f>
        <v>1862</v>
      </c>
      <c r="U1122" s="2">
        <f>MASTER[[#This Row],[CANTIDAD]]*MASTER[[#This Row],[COSTO UNITARIO]]</f>
        <v>394</v>
      </c>
      <c r="V1122" s="2">
        <f>MASTER[[#This Row],[MONTO VENDIDO]]-MASTER[[#This Row],[COSTO DE VENTA]]</f>
        <v>1468</v>
      </c>
    </row>
    <row r="1123" spans="1:22" x14ac:dyDescent="0.3">
      <c r="A1123">
        <v>24008</v>
      </c>
      <c r="B1123">
        <v>1</v>
      </c>
      <c r="C1123" t="s">
        <v>101</v>
      </c>
      <c r="D1123" t="s">
        <v>102</v>
      </c>
      <c r="E1123" s="1">
        <v>43963</v>
      </c>
      <c r="F1123">
        <v>1</v>
      </c>
      <c r="G1123" t="s">
        <v>59</v>
      </c>
      <c r="H1123" t="s">
        <v>60</v>
      </c>
      <c r="I1123" s="3">
        <v>1357</v>
      </c>
      <c r="J1123" s="3">
        <v>1357</v>
      </c>
      <c r="K1123" s="3">
        <v>442</v>
      </c>
      <c r="L1123" t="s">
        <v>98</v>
      </c>
      <c r="M1123">
        <v>1</v>
      </c>
      <c r="N1123" t="s">
        <v>77</v>
      </c>
      <c r="O1123" t="s">
        <v>70</v>
      </c>
      <c r="P1123" t="s">
        <v>71</v>
      </c>
      <c r="Q1123" t="s">
        <v>72</v>
      </c>
      <c r="R1123" t="s">
        <v>139</v>
      </c>
      <c r="S1123" t="s">
        <v>144</v>
      </c>
      <c r="T1123" s="2">
        <f>MASTER[[#This Row],[CANTIDAD]]*MASTER[[#This Row],[PRECIO DE VENTA]]</f>
        <v>1357</v>
      </c>
      <c r="U1123" s="2">
        <f>MASTER[[#This Row],[CANTIDAD]]*MASTER[[#This Row],[COSTO UNITARIO]]</f>
        <v>442</v>
      </c>
      <c r="V1123" s="2">
        <f>MASTER[[#This Row],[MONTO VENDIDO]]-MASTER[[#This Row],[COSTO DE VENTA]]</f>
        <v>915</v>
      </c>
    </row>
    <row r="1124" spans="1:22" x14ac:dyDescent="0.3">
      <c r="A1124">
        <v>24014</v>
      </c>
      <c r="B1124">
        <v>1</v>
      </c>
      <c r="C1124" t="s">
        <v>111</v>
      </c>
      <c r="D1124" t="s">
        <v>112</v>
      </c>
      <c r="E1124" s="1">
        <v>43963</v>
      </c>
      <c r="F1124">
        <v>1</v>
      </c>
      <c r="G1124" t="s">
        <v>65</v>
      </c>
      <c r="H1124" t="s">
        <v>66</v>
      </c>
      <c r="I1124" s="3">
        <v>1621</v>
      </c>
      <c r="J1124" s="3">
        <v>1621</v>
      </c>
      <c r="K1124" s="3">
        <v>434</v>
      </c>
      <c r="L1124" t="s">
        <v>113</v>
      </c>
      <c r="M1124">
        <v>7</v>
      </c>
      <c r="N1124" t="s">
        <v>84</v>
      </c>
      <c r="O1124" t="s">
        <v>81</v>
      </c>
      <c r="P1124" t="s">
        <v>12</v>
      </c>
      <c r="Q1124" t="s">
        <v>13</v>
      </c>
      <c r="R1124" t="s">
        <v>13</v>
      </c>
      <c r="S1124" t="s">
        <v>144</v>
      </c>
      <c r="T1124" s="2">
        <f>MASTER[[#This Row],[CANTIDAD]]*MASTER[[#This Row],[PRECIO DE VENTA]]</f>
        <v>1621</v>
      </c>
      <c r="U1124" s="2">
        <f>MASTER[[#This Row],[CANTIDAD]]*MASTER[[#This Row],[COSTO UNITARIO]]</f>
        <v>434</v>
      </c>
      <c r="V1124" s="2">
        <f>MASTER[[#This Row],[MONTO VENDIDO]]-MASTER[[#This Row],[COSTO DE VENTA]]</f>
        <v>1187</v>
      </c>
    </row>
    <row r="1125" spans="1:22" x14ac:dyDescent="0.3">
      <c r="A1125">
        <v>24016</v>
      </c>
      <c r="B1125">
        <v>1</v>
      </c>
      <c r="C1125" t="s">
        <v>118</v>
      </c>
      <c r="D1125" t="s">
        <v>119</v>
      </c>
      <c r="E1125" s="1">
        <v>43963</v>
      </c>
      <c r="F1125">
        <v>2</v>
      </c>
      <c r="G1125" t="s">
        <v>41</v>
      </c>
      <c r="H1125" t="s">
        <v>42</v>
      </c>
      <c r="I1125" s="3">
        <v>801</v>
      </c>
      <c r="J1125" s="3">
        <v>801</v>
      </c>
      <c r="K1125" s="3">
        <v>424</v>
      </c>
      <c r="L1125" t="s">
        <v>120</v>
      </c>
      <c r="M1125">
        <v>11</v>
      </c>
      <c r="N1125" t="s">
        <v>10</v>
      </c>
      <c r="O1125" t="s">
        <v>11</v>
      </c>
      <c r="P1125" t="s">
        <v>12</v>
      </c>
      <c r="Q1125" t="s">
        <v>13</v>
      </c>
      <c r="R1125" t="s">
        <v>13</v>
      </c>
      <c r="S1125" t="s">
        <v>144</v>
      </c>
      <c r="T1125" s="2">
        <f>MASTER[[#This Row],[CANTIDAD]]*MASTER[[#This Row],[PRECIO DE VENTA]]</f>
        <v>1602</v>
      </c>
      <c r="U1125" s="2">
        <f>MASTER[[#This Row],[CANTIDAD]]*MASTER[[#This Row],[COSTO UNITARIO]]</f>
        <v>848</v>
      </c>
      <c r="V1125" s="2">
        <f>MASTER[[#This Row],[MONTO VENDIDO]]-MASTER[[#This Row],[COSTO DE VENTA]]</f>
        <v>754</v>
      </c>
    </row>
    <row r="1126" spans="1:22" x14ac:dyDescent="0.3">
      <c r="A1126">
        <v>24027</v>
      </c>
      <c r="B1126">
        <v>1</v>
      </c>
      <c r="C1126" t="s">
        <v>109</v>
      </c>
      <c r="D1126" t="s">
        <v>110</v>
      </c>
      <c r="E1126" s="1">
        <v>43963</v>
      </c>
      <c r="F1126">
        <v>1</v>
      </c>
      <c r="G1126" t="s">
        <v>7</v>
      </c>
      <c r="H1126" t="s">
        <v>8</v>
      </c>
      <c r="I1126" s="3">
        <v>947</v>
      </c>
      <c r="J1126" s="3">
        <v>947</v>
      </c>
      <c r="K1126" s="3">
        <v>387</v>
      </c>
      <c r="L1126" t="s">
        <v>98</v>
      </c>
      <c r="M1126">
        <v>17</v>
      </c>
      <c r="N1126" t="s">
        <v>14</v>
      </c>
      <c r="O1126" t="s">
        <v>11</v>
      </c>
      <c r="P1126" t="s">
        <v>15</v>
      </c>
      <c r="Q1126" t="s">
        <v>16</v>
      </c>
      <c r="R1126" t="s">
        <v>16</v>
      </c>
      <c r="S1126" t="s">
        <v>144</v>
      </c>
      <c r="T1126" s="2">
        <f>MASTER[[#This Row],[CANTIDAD]]*MASTER[[#This Row],[PRECIO DE VENTA]]</f>
        <v>947</v>
      </c>
      <c r="U1126" s="2">
        <f>MASTER[[#This Row],[CANTIDAD]]*MASTER[[#This Row],[COSTO UNITARIO]]</f>
        <v>387</v>
      </c>
      <c r="V1126" s="2">
        <f>MASTER[[#This Row],[MONTO VENDIDO]]-MASTER[[#This Row],[COSTO DE VENTA]]</f>
        <v>560</v>
      </c>
    </row>
    <row r="1127" spans="1:22" x14ac:dyDescent="0.3">
      <c r="A1127">
        <v>24031</v>
      </c>
      <c r="B1127">
        <v>1</v>
      </c>
      <c r="C1127" t="s">
        <v>121</v>
      </c>
      <c r="D1127" t="s">
        <v>122</v>
      </c>
      <c r="E1127" s="1">
        <v>43963</v>
      </c>
      <c r="F1127">
        <v>1</v>
      </c>
      <c r="G1127" t="s">
        <v>29</v>
      </c>
      <c r="H1127" t="s">
        <v>30</v>
      </c>
      <c r="I1127" s="3">
        <v>941</v>
      </c>
      <c r="J1127" s="3">
        <v>941</v>
      </c>
      <c r="K1127" s="3">
        <v>460</v>
      </c>
      <c r="L1127" t="s">
        <v>120</v>
      </c>
      <c r="M1127">
        <v>16</v>
      </c>
      <c r="N1127" t="s">
        <v>17</v>
      </c>
      <c r="O1127" t="s">
        <v>11</v>
      </c>
      <c r="P1127" t="s">
        <v>18</v>
      </c>
      <c r="Q1127" t="s">
        <v>19</v>
      </c>
      <c r="R1127" t="s">
        <v>138</v>
      </c>
      <c r="S1127" t="s">
        <v>144</v>
      </c>
      <c r="T1127" s="2">
        <f>MASTER[[#This Row],[CANTIDAD]]*MASTER[[#This Row],[PRECIO DE VENTA]]</f>
        <v>941</v>
      </c>
      <c r="U1127" s="2">
        <f>MASTER[[#This Row],[CANTIDAD]]*MASTER[[#This Row],[COSTO UNITARIO]]</f>
        <v>460</v>
      </c>
      <c r="V1127" s="2">
        <f>MASTER[[#This Row],[MONTO VENDIDO]]-MASTER[[#This Row],[COSTO DE VENTA]]</f>
        <v>481</v>
      </c>
    </row>
    <row r="1128" spans="1:22" x14ac:dyDescent="0.3">
      <c r="A1128">
        <v>24034</v>
      </c>
      <c r="B1128">
        <v>1</v>
      </c>
      <c r="C1128" t="s">
        <v>99</v>
      </c>
      <c r="D1128" t="s">
        <v>100</v>
      </c>
      <c r="E1128" s="1">
        <v>43963</v>
      </c>
      <c r="F1128">
        <v>1</v>
      </c>
      <c r="G1128" t="s">
        <v>7</v>
      </c>
      <c r="H1128" t="s">
        <v>8</v>
      </c>
      <c r="I1128" s="3">
        <v>1459</v>
      </c>
      <c r="J1128" s="3">
        <v>1459</v>
      </c>
      <c r="K1128" s="3">
        <v>386</v>
      </c>
      <c r="L1128" t="s">
        <v>98</v>
      </c>
      <c r="M1128">
        <v>10</v>
      </c>
      <c r="N1128" t="s">
        <v>83</v>
      </c>
      <c r="O1128" t="s">
        <v>81</v>
      </c>
      <c r="P1128" t="s">
        <v>12</v>
      </c>
      <c r="Q1128" t="s">
        <v>13</v>
      </c>
      <c r="R1128" t="s">
        <v>13</v>
      </c>
      <c r="S1128" t="s">
        <v>144</v>
      </c>
      <c r="T1128" s="2">
        <f>MASTER[[#This Row],[CANTIDAD]]*MASTER[[#This Row],[PRECIO DE VENTA]]</f>
        <v>1459</v>
      </c>
      <c r="U1128" s="2">
        <f>MASTER[[#This Row],[CANTIDAD]]*MASTER[[#This Row],[COSTO UNITARIO]]</f>
        <v>386</v>
      </c>
      <c r="V1128" s="2">
        <f>MASTER[[#This Row],[MONTO VENDIDO]]-MASTER[[#This Row],[COSTO DE VENTA]]</f>
        <v>1073</v>
      </c>
    </row>
    <row r="1129" spans="1:22" x14ac:dyDescent="0.3">
      <c r="A1129">
        <v>24065</v>
      </c>
      <c r="B1129">
        <v>2</v>
      </c>
      <c r="C1129" t="s">
        <v>107</v>
      </c>
      <c r="D1129" t="s">
        <v>108</v>
      </c>
      <c r="E1129" s="1">
        <v>43963</v>
      </c>
      <c r="F1129">
        <v>4</v>
      </c>
      <c r="G1129" t="s">
        <v>51</v>
      </c>
      <c r="H1129" t="s">
        <v>52</v>
      </c>
      <c r="I1129" s="3">
        <v>1333</v>
      </c>
      <c r="J1129" s="3">
        <v>1333</v>
      </c>
      <c r="K1129" s="3">
        <v>380</v>
      </c>
      <c r="L1129" t="s">
        <v>98</v>
      </c>
      <c r="M1129">
        <v>8</v>
      </c>
      <c r="N1129" t="s">
        <v>80</v>
      </c>
      <c r="O1129" t="s">
        <v>81</v>
      </c>
      <c r="P1129" t="s">
        <v>12</v>
      </c>
      <c r="Q1129" t="s">
        <v>13</v>
      </c>
      <c r="R1129" t="s">
        <v>13</v>
      </c>
      <c r="S1129" t="s">
        <v>144</v>
      </c>
      <c r="T1129" s="2">
        <f>MASTER[[#This Row],[CANTIDAD]]*MASTER[[#This Row],[PRECIO DE VENTA]]</f>
        <v>5332</v>
      </c>
      <c r="U1129" s="2">
        <f>MASTER[[#This Row],[CANTIDAD]]*MASTER[[#This Row],[COSTO UNITARIO]]</f>
        <v>1520</v>
      </c>
      <c r="V1129" s="2">
        <f>MASTER[[#This Row],[MONTO VENDIDO]]-MASTER[[#This Row],[COSTO DE VENTA]]</f>
        <v>3812</v>
      </c>
    </row>
    <row r="1130" spans="1:22" x14ac:dyDescent="0.3">
      <c r="A1130">
        <v>24065</v>
      </c>
      <c r="B1130">
        <v>1</v>
      </c>
      <c r="C1130" t="s">
        <v>109</v>
      </c>
      <c r="D1130" t="s">
        <v>110</v>
      </c>
      <c r="E1130" s="1">
        <v>43963</v>
      </c>
      <c r="F1130">
        <v>1</v>
      </c>
      <c r="G1130" t="s">
        <v>51</v>
      </c>
      <c r="H1130" t="s">
        <v>52</v>
      </c>
      <c r="I1130" s="3">
        <v>1064</v>
      </c>
      <c r="J1130" s="3">
        <v>1064</v>
      </c>
      <c r="K1130" s="3">
        <v>387</v>
      </c>
      <c r="L1130" t="s">
        <v>98</v>
      </c>
      <c r="M1130">
        <v>8</v>
      </c>
      <c r="N1130" t="s">
        <v>80</v>
      </c>
      <c r="O1130" t="s">
        <v>81</v>
      </c>
      <c r="P1130" t="s">
        <v>12</v>
      </c>
      <c r="Q1130" t="s">
        <v>13</v>
      </c>
      <c r="R1130" t="s">
        <v>13</v>
      </c>
      <c r="S1130" t="s">
        <v>144</v>
      </c>
      <c r="T1130" s="2">
        <f>MASTER[[#This Row],[CANTIDAD]]*MASTER[[#This Row],[PRECIO DE VENTA]]</f>
        <v>1064</v>
      </c>
      <c r="U1130" s="2">
        <f>MASTER[[#This Row],[CANTIDAD]]*MASTER[[#This Row],[COSTO UNITARIO]]</f>
        <v>387</v>
      </c>
      <c r="V1130" s="2">
        <f>MASTER[[#This Row],[MONTO VENDIDO]]-MASTER[[#This Row],[COSTO DE VENTA]]</f>
        <v>677</v>
      </c>
    </row>
    <row r="1131" spans="1:22" x14ac:dyDescent="0.3">
      <c r="A1131">
        <v>24071</v>
      </c>
      <c r="B1131">
        <v>1</v>
      </c>
      <c r="C1131" t="s">
        <v>118</v>
      </c>
      <c r="D1131" t="s">
        <v>119</v>
      </c>
      <c r="E1131" s="1">
        <v>43963</v>
      </c>
      <c r="F1131">
        <v>1</v>
      </c>
      <c r="G1131" t="s">
        <v>65</v>
      </c>
      <c r="H1131" t="s">
        <v>66</v>
      </c>
      <c r="I1131" s="3">
        <v>801</v>
      </c>
      <c r="J1131" s="3">
        <v>801</v>
      </c>
      <c r="K1131" s="3">
        <v>424</v>
      </c>
      <c r="L1131" t="s">
        <v>120</v>
      </c>
      <c r="M1131">
        <v>11</v>
      </c>
      <c r="N1131" t="s">
        <v>10</v>
      </c>
      <c r="O1131" t="s">
        <v>11</v>
      </c>
      <c r="P1131" t="s">
        <v>12</v>
      </c>
      <c r="Q1131" t="s">
        <v>13</v>
      </c>
      <c r="R1131" t="s">
        <v>13</v>
      </c>
      <c r="S1131" t="s">
        <v>144</v>
      </c>
      <c r="T1131" s="2">
        <f>MASTER[[#This Row],[CANTIDAD]]*MASTER[[#This Row],[PRECIO DE VENTA]]</f>
        <v>801</v>
      </c>
      <c r="U1131" s="2">
        <f>MASTER[[#This Row],[CANTIDAD]]*MASTER[[#This Row],[COSTO UNITARIO]]</f>
        <v>424</v>
      </c>
      <c r="V1131" s="2">
        <f>MASTER[[#This Row],[MONTO VENDIDO]]-MASTER[[#This Row],[COSTO DE VENTA]]</f>
        <v>377</v>
      </c>
    </row>
    <row r="1132" spans="1:22" x14ac:dyDescent="0.3">
      <c r="A1132">
        <v>24076</v>
      </c>
      <c r="B1132">
        <v>1</v>
      </c>
      <c r="C1132" t="s">
        <v>121</v>
      </c>
      <c r="D1132" t="s">
        <v>122</v>
      </c>
      <c r="E1132" s="1">
        <v>43963</v>
      </c>
      <c r="F1132">
        <v>1</v>
      </c>
      <c r="G1132" t="s">
        <v>47</v>
      </c>
      <c r="H1132" t="s">
        <v>48</v>
      </c>
      <c r="I1132" s="3">
        <v>1069</v>
      </c>
      <c r="J1132" s="3">
        <v>1069</v>
      </c>
      <c r="K1132" s="3">
        <v>460</v>
      </c>
      <c r="L1132" t="s">
        <v>120</v>
      </c>
      <c r="M1132">
        <v>4</v>
      </c>
      <c r="N1132" t="s">
        <v>82</v>
      </c>
      <c r="O1132" t="s">
        <v>81</v>
      </c>
      <c r="P1132" t="s">
        <v>71</v>
      </c>
      <c r="Q1132" t="s">
        <v>72</v>
      </c>
      <c r="R1132" t="s">
        <v>139</v>
      </c>
      <c r="S1132" t="s">
        <v>144</v>
      </c>
      <c r="T1132" s="2">
        <f>MASTER[[#This Row],[CANTIDAD]]*MASTER[[#This Row],[PRECIO DE VENTA]]</f>
        <v>1069</v>
      </c>
      <c r="U1132" s="2">
        <f>MASTER[[#This Row],[CANTIDAD]]*MASTER[[#This Row],[COSTO UNITARIO]]</f>
        <v>460</v>
      </c>
      <c r="V1132" s="2">
        <f>MASTER[[#This Row],[MONTO VENDIDO]]-MASTER[[#This Row],[COSTO DE VENTA]]</f>
        <v>609</v>
      </c>
    </row>
    <row r="1133" spans="1:22" x14ac:dyDescent="0.3">
      <c r="A1133">
        <v>24105</v>
      </c>
      <c r="B1133">
        <v>1</v>
      </c>
      <c r="C1133" t="s">
        <v>121</v>
      </c>
      <c r="D1133" t="s">
        <v>122</v>
      </c>
      <c r="E1133" s="1">
        <v>43963</v>
      </c>
      <c r="F1133">
        <v>1</v>
      </c>
      <c r="G1133" t="s">
        <v>31</v>
      </c>
      <c r="H1133" t="s">
        <v>32</v>
      </c>
      <c r="I1133" s="3">
        <v>1144</v>
      </c>
      <c r="J1133" s="3">
        <v>1144</v>
      </c>
      <c r="K1133" s="3">
        <v>460</v>
      </c>
      <c r="L1133" t="s">
        <v>120</v>
      </c>
      <c r="M1133">
        <v>1</v>
      </c>
      <c r="N1133" t="s">
        <v>77</v>
      </c>
      <c r="O1133" t="s">
        <v>70</v>
      </c>
      <c r="P1133" t="s">
        <v>71</v>
      </c>
      <c r="Q1133" t="s">
        <v>72</v>
      </c>
      <c r="R1133" t="s">
        <v>139</v>
      </c>
      <c r="S1133" t="s">
        <v>144</v>
      </c>
      <c r="T1133" s="2">
        <f>MASTER[[#This Row],[CANTIDAD]]*MASTER[[#This Row],[PRECIO DE VENTA]]</f>
        <v>1144</v>
      </c>
      <c r="U1133" s="2">
        <f>MASTER[[#This Row],[CANTIDAD]]*MASTER[[#This Row],[COSTO UNITARIO]]</f>
        <v>460</v>
      </c>
      <c r="V1133" s="2">
        <f>MASTER[[#This Row],[MONTO VENDIDO]]-MASTER[[#This Row],[COSTO DE VENTA]]</f>
        <v>684</v>
      </c>
    </row>
    <row r="1134" spans="1:22" x14ac:dyDescent="0.3">
      <c r="A1134">
        <v>24111</v>
      </c>
      <c r="B1134">
        <v>1</v>
      </c>
      <c r="C1134" t="s">
        <v>103</v>
      </c>
      <c r="D1134" t="s">
        <v>104</v>
      </c>
      <c r="E1134" s="1">
        <v>43964</v>
      </c>
      <c r="F1134">
        <v>1</v>
      </c>
      <c r="G1134" t="s">
        <v>45</v>
      </c>
      <c r="H1134" t="s">
        <v>46</v>
      </c>
      <c r="I1134" s="3">
        <v>1591</v>
      </c>
      <c r="J1134" s="3">
        <v>1591</v>
      </c>
      <c r="K1134" s="3">
        <v>421</v>
      </c>
      <c r="L1134" t="s">
        <v>98</v>
      </c>
      <c r="M1134">
        <v>10</v>
      </c>
      <c r="N1134" t="s">
        <v>83</v>
      </c>
      <c r="O1134" t="s">
        <v>81</v>
      </c>
      <c r="P1134" t="s">
        <v>12</v>
      </c>
      <c r="Q1134" t="s">
        <v>13</v>
      </c>
      <c r="R1134" t="s">
        <v>13</v>
      </c>
      <c r="S1134" t="s">
        <v>144</v>
      </c>
      <c r="T1134" s="2">
        <f>MASTER[[#This Row],[CANTIDAD]]*MASTER[[#This Row],[PRECIO DE VENTA]]</f>
        <v>1591</v>
      </c>
      <c r="U1134" s="2">
        <f>MASTER[[#This Row],[CANTIDAD]]*MASTER[[#This Row],[COSTO UNITARIO]]</f>
        <v>421</v>
      </c>
      <c r="V1134" s="2">
        <f>MASTER[[#This Row],[MONTO VENDIDO]]-MASTER[[#This Row],[COSTO DE VENTA]]</f>
        <v>1170</v>
      </c>
    </row>
    <row r="1135" spans="1:22" x14ac:dyDescent="0.3">
      <c r="A1135">
        <v>24124</v>
      </c>
      <c r="B1135">
        <v>1</v>
      </c>
      <c r="C1135" t="s">
        <v>5</v>
      </c>
      <c r="D1135" t="s">
        <v>6</v>
      </c>
      <c r="E1135" s="1">
        <v>43964</v>
      </c>
      <c r="F1135">
        <v>1</v>
      </c>
      <c r="G1135" t="s">
        <v>39</v>
      </c>
      <c r="H1135" t="s">
        <v>40</v>
      </c>
      <c r="I1135" s="3">
        <v>1311</v>
      </c>
      <c r="J1135" s="3">
        <v>1311</v>
      </c>
      <c r="K1135" s="3">
        <v>393</v>
      </c>
      <c r="L1135" t="s">
        <v>9</v>
      </c>
      <c r="M1135">
        <v>12</v>
      </c>
      <c r="N1135" t="s">
        <v>26</v>
      </c>
      <c r="O1135" t="s">
        <v>11</v>
      </c>
      <c r="P1135" t="s">
        <v>12</v>
      </c>
      <c r="Q1135" t="s">
        <v>13</v>
      </c>
      <c r="R1135" t="s">
        <v>13</v>
      </c>
      <c r="S1135" t="s">
        <v>144</v>
      </c>
      <c r="T1135" s="2">
        <f>MASTER[[#This Row],[CANTIDAD]]*MASTER[[#This Row],[PRECIO DE VENTA]]</f>
        <v>1311</v>
      </c>
      <c r="U1135" s="2">
        <f>MASTER[[#This Row],[CANTIDAD]]*MASTER[[#This Row],[COSTO UNITARIO]]</f>
        <v>393</v>
      </c>
      <c r="V1135" s="2">
        <f>MASTER[[#This Row],[MONTO VENDIDO]]-MASTER[[#This Row],[COSTO DE VENTA]]</f>
        <v>918</v>
      </c>
    </row>
    <row r="1136" spans="1:22" x14ac:dyDescent="0.3">
      <c r="A1136">
        <v>24140</v>
      </c>
      <c r="B1136">
        <v>1</v>
      </c>
      <c r="C1136" t="s">
        <v>5</v>
      </c>
      <c r="D1136" t="s">
        <v>6</v>
      </c>
      <c r="E1136" s="1">
        <v>43964</v>
      </c>
      <c r="F1136">
        <v>1</v>
      </c>
      <c r="G1136" t="s">
        <v>41</v>
      </c>
      <c r="H1136" t="s">
        <v>42</v>
      </c>
      <c r="I1136" s="3">
        <v>1311</v>
      </c>
      <c r="J1136" s="3">
        <v>1311</v>
      </c>
      <c r="K1136" s="3">
        <v>393</v>
      </c>
      <c r="L1136" t="s">
        <v>9</v>
      </c>
      <c r="M1136">
        <v>16</v>
      </c>
      <c r="N1136" t="s">
        <v>17</v>
      </c>
      <c r="O1136" t="s">
        <v>11</v>
      </c>
      <c r="P1136" t="s">
        <v>18</v>
      </c>
      <c r="Q1136" t="s">
        <v>19</v>
      </c>
      <c r="R1136" t="s">
        <v>138</v>
      </c>
      <c r="S1136" t="s">
        <v>144</v>
      </c>
      <c r="T1136" s="2">
        <f>MASTER[[#This Row],[CANTIDAD]]*MASTER[[#This Row],[PRECIO DE VENTA]]</f>
        <v>1311</v>
      </c>
      <c r="U1136" s="2">
        <f>MASTER[[#This Row],[CANTIDAD]]*MASTER[[#This Row],[COSTO UNITARIO]]</f>
        <v>393</v>
      </c>
      <c r="V1136" s="2">
        <f>MASTER[[#This Row],[MONTO VENDIDO]]-MASTER[[#This Row],[COSTO DE VENTA]]</f>
        <v>918</v>
      </c>
    </row>
    <row r="1137" spans="1:22" x14ac:dyDescent="0.3">
      <c r="A1137">
        <v>24142</v>
      </c>
      <c r="B1137">
        <v>1</v>
      </c>
      <c r="C1137" t="s">
        <v>121</v>
      </c>
      <c r="D1137" t="s">
        <v>122</v>
      </c>
      <c r="E1137" s="1">
        <v>43964</v>
      </c>
      <c r="F1137">
        <v>1</v>
      </c>
      <c r="G1137" t="s">
        <v>59</v>
      </c>
      <c r="H1137" t="s">
        <v>60</v>
      </c>
      <c r="I1137" s="3">
        <v>941</v>
      </c>
      <c r="J1137" s="3">
        <v>903</v>
      </c>
      <c r="K1137" s="3">
        <v>460</v>
      </c>
      <c r="L1137" t="s">
        <v>120</v>
      </c>
      <c r="M1137">
        <v>17</v>
      </c>
      <c r="N1137" t="s">
        <v>14</v>
      </c>
      <c r="O1137" t="s">
        <v>11</v>
      </c>
      <c r="P1137" t="s">
        <v>15</v>
      </c>
      <c r="Q1137" t="s">
        <v>16</v>
      </c>
      <c r="R1137" t="s">
        <v>16</v>
      </c>
      <c r="S1137" t="s">
        <v>144</v>
      </c>
      <c r="T1137" s="2">
        <f>MASTER[[#This Row],[CANTIDAD]]*MASTER[[#This Row],[PRECIO DE VENTA]]</f>
        <v>903</v>
      </c>
      <c r="U1137" s="2">
        <f>MASTER[[#This Row],[CANTIDAD]]*MASTER[[#This Row],[COSTO UNITARIO]]</f>
        <v>460</v>
      </c>
      <c r="V1137" s="2">
        <f>MASTER[[#This Row],[MONTO VENDIDO]]-MASTER[[#This Row],[COSTO DE VENTA]]</f>
        <v>443</v>
      </c>
    </row>
    <row r="1138" spans="1:22" x14ac:dyDescent="0.3">
      <c r="A1138">
        <v>24175</v>
      </c>
      <c r="B1138">
        <v>1</v>
      </c>
      <c r="C1138" t="s">
        <v>116</v>
      </c>
      <c r="D1138" t="s">
        <v>117</v>
      </c>
      <c r="E1138" s="1">
        <v>43964</v>
      </c>
      <c r="F1138">
        <v>1</v>
      </c>
      <c r="G1138" t="s">
        <v>24</v>
      </c>
      <c r="H1138" t="s">
        <v>25</v>
      </c>
      <c r="I1138" s="3">
        <v>1999</v>
      </c>
      <c r="J1138" s="3">
        <v>1999</v>
      </c>
      <c r="K1138" s="3">
        <v>388</v>
      </c>
      <c r="L1138" t="s">
        <v>113</v>
      </c>
      <c r="M1138">
        <v>9</v>
      </c>
      <c r="N1138" t="s">
        <v>76</v>
      </c>
      <c r="O1138" t="s">
        <v>70</v>
      </c>
      <c r="P1138" t="s">
        <v>12</v>
      </c>
      <c r="Q1138" t="s">
        <v>13</v>
      </c>
      <c r="R1138" t="s">
        <v>13</v>
      </c>
      <c r="S1138" t="s">
        <v>144</v>
      </c>
      <c r="T1138" s="2">
        <f>MASTER[[#This Row],[CANTIDAD]]*MASTER[[#This Row],[PRECIO DE VENTA]]</f>
        <v>1999</v>
      </c>
      <c r="U1138" s="2">
        <f>MASTER[[#This Row],[CANTIDAD]]*MASTER[[#This Row],[COSTO UNITARIO]]</f>
        <v>388</v>
      </c>
      <c r="V1138" s="2">
        <f>MASTER[[#This Row],[MONTO VENDIDO]]-MASTER[[#This Row],[COSTO DE VENTA]]</f>
        <v>1611</v>
      </c>
    </row>
    <row r="1139" spans="1:22" x14ac:dyDescent="0.3">
      <c r="A1139">
        <v>24179</v>
      </c>
      <c r="B1139">
        <v>1</v>
      </c>
      <c r="C1139" t="s">
        <v>116</v>
      </c>
      <c r="D1139" t="s">
        <v>117</v>
      </c>
      <c r="E1139" s="1">
        <v>43964</v>
      </c>
      <c r="F1139">
        <v>1</v>
      </c>
      <c r="G1139" t="s">
        <v>39</v>
      </c>
      <c r="H1139" t="s">
        <v>40</v>
      </c>
      <c r="I1139" s="3">
        <v>1999</v>
      </c>
      <c r="J1139" s="3">
        <v>1999</v>
      </c>
      <c r="K1139" s="3">
        <v>388</v>
      </c>
      <c r="L1139" t="s">
        <v>113</v>
      </c>
      <c r="M1139">
        <v>1</v>
      </c>
      <c r="N1139" t="s">
        <v>77</v>
      </c>
      <c r="O1139" t="s">
        <v>70</v>
      </c>
      <c r="P1139" t="s">
        <v>71</v>
      </c>
      <c r="Q1139" t="s">
        <v>72</v>
      </c>
      <c r="R1139" t="s">
        <v>139</v>
      </c>
      <c r="S1139" t="s">
        <v>144</v>
      </c>
      <c r="T1139" s="2">
        <f>MASTER[[#This Row],[CANTIDAD]]*MASTER[[#This Row],[PRECIO DE VENTA]]</f>
        <v>1999</v>
      </c>
      <c r="U1139" s="2">
        <f>MASTER[[#This Row],[CANTIDAD]]*MASTER[[#This Row],[COSTO UNITARIO]]</f>
        <v>388</v>
      </c>
      <c r="V1139" s="2">
        <f>MASTER[[#This Row],[MONTO VENDIDO]]-MASTER[[#This Row],[COSTO DE VENTA]]</f>
        <v>1611</v>
      </c>
    </row>
    <row r="1140" spans="1:22" x14ac:dyDescent="0.3">
      <c r="A1140">
        <v>24189</v>
      </c>
      <c r="B1140">
        <v>1</v>
      </c>
      <c r="C1140" t="s">
        <v>96</v>
      </c>
      <c r="D1140" t="s">
        <v>97</v>
      </c>
      <c r="E1140" s="1">
        <v>43964</v>
      </c>
      <c r="F1140">
        <v>1</v>
      </c>
      <c r="G1140" t="s">
        <v>61</v>
      </c>
      <c r="H1140" t="s">
        <v>62</v>
      </c>
      <c r="I1140" s="3">
        <v>1196</v>
      </c>
      <c r="J1140" s="3">
        <v>1196</v>
      </c>
      <c r="K1140" s="3">
        <v>397</v>
      </c>
      <c r="L1140" t="s">
        <v>98</v>
      </c>
      <c r="M1140">
        <v>11</v>
      </c>
      <c r="N1140" t="s">
        <v>10</v>
      </c>
      <c r="O1140" t="s">
        <v>11</v>
      </c>
      <c r="P1140" t="s">
        <v>12</v>
      </c>
      <c r="Q1140" t="s">
        <v>13</v>
      </c>
      <c r="R1140" t="s">
        <v>13</v>
      </c>
      <c r="S1140" t="s">
        <v>144</v>
      </c>
      <c r="T1140" s="2">
        <f>MASTER[[#This Row],[CANTIDAD]]*MASTER[[#This Row],[PRECIO DE VENTA]]</f>
        <v>1196</v>
      </c>
      <c r="U1140" s="2">
        <f>MASTER[[#This Row],[CANTIDAD]]*MASTER[[#This Row],[COSTO UNITARIO]]</f>
        <v>397</v>
      </c>
      <c r="V1140" s="2">
        <f>MASTER[[#This Row],[MONTO VENDIDO]]-MASTER[[#This Row],[COSTO DE VENTA]]</f>
        <v>799</v>
      </c>
    </row>
    <row r="1141" spans="1:22" x14ac:dyDescent="0.3">
      <c r="A1141">
        <v>24190</v>
      </c>
      <c r="B1141">
        <v>1</v>
      </c>
      <c r="C1141" t="s">
        <v>111</v>
      </c>
      <c r="D1141" t="s">
        <v>112</v>
      </c>
      <c r="E1141" s="1">
        <v>43965</v>
      </c>
      <c r="F1141">
        <v>1</v>
      </c>
      <c r="G1141" t="s">
        <v>7</v>
      </c>
      <c r="H1141" t="s">
        <v>8</v>
      </c>
      <c r="I1141" s="3">
        <v>1621</v>
      </c>
      <c r="J1141" s="3">
        <v>1507</v>
      </c>
      <c r="K1141" s="3">
        <v>434</v>
      </c>
      <c r="L1141" t="s">
        <v>113</v>
      </c>
      <c r="M1141">
        <v>19</v>
      </c>
      <c r="N1141" t="s">
        <v>89</v>
      </c>
      <c r="O1141" t="s">
        <v>81</v>
      </c>
      <c r="P1141" t="s">
        <v>15</v>
      </c>
      <c r="Q1141" t="s">
        <v>16</v>
      </c>
      <c r="R1141" t="s">
        <v>16</v>
      </c>
      <c r="S1141" t="s">
        <v>144</v>
      </c>
      <c r="T1141" s="2">
        <f>MASTER[[#This Row],[CANTIDAD]]*MASTER[[#This Row],[PRECIO DE VENTA]]</f>
        <v>1507</v>
      </c>
      <c r="U1141" s="2">
        <f>MASTER[[#This Row],[CANTIDAD]]*MASTER[[#This Row],[COSTO UNITARIO]]</f>
        <v>434</v>
      </c>
      <c r="V1141" s="2">
        <f>MASTER[[#This Row],[MONTO VENDIDO]]-MASTER[[#This Row],[COSTO DE VENTA]]</f>
        <v>1073</v>
      </c>
    </row>
    <row r="1142" spans="1:22" x14ac:dyDescent="0.3">
      <c r="A1142">
        <v>24206</v>
      </c>
      <c r="B1142">
        <v>1</v>
      </c>
      <c r="C1142" t="s">
        <v>90</v>
      </c>
      <c r="D1142" t="s">
        <v>91</v>
      </c>
      <c r="E1142" s="1">
        <v>43965</v>
      </c>
      <c r="F1142">
        <v>1</v>
      </c>
      <c r="G1142" t="s">
        <v>35</v>
      </c>
      <c r="H1142" t="s">
        <v>36</v>
      </c>
      <c r="I1142" s="3">
        <v>1660</v>
      </c>
      <c r="J1142" s="3">
        <v>1660</v>
      </c>
      <c r="K1142" s="3">
        <v>420</v>
      </c>
      <c r="L1142" t="s">
        <v>9</v>
      </c>
      <c r="M1142">
        <v>16</v>
      </c>
      <c r="N1142" t="s">
        <v>17</v>
      </c>
      <c r="O1142" t="s">
        <v>11</v>
      </c>
      <c r="P1142" t="s">
        <v>18</v>
      </c>
      <c r="Q1142" t="s">
        <v>19</v>
      </c>
      <c r="R1142" t="s">
        <v>138</v>
      </c>
      <c r="S1142" t="s">
        <v>144</v>
      </c>
      <c r="T1142" s="2">
        <f>MASTER[[#This Row],[CANTIDAD]]*MASTER[[#This Row],[PRECIO DE VENTA]]</f>
        <v>1660</v>
      </c>
      <c r="U1142" s="2">
        <f>MASTER[[#This Row],[CANTIDAD]]*MASTER[[#This Row],[COSTO UNITARIO]]</f>
        <v>420</v>
      </c>
      <c r="V1142" s="2">
        <f>MASTER[[#This Row],[MONTO VENDIDO]]-MASTER[[#This Row],[COSTO DE VENTA]]</f>
        <v>1240</v>
      </c>
    </row>
    <row r="1143" spans="1:22" x14ac:dyDescent="0.3">
      <c r="A1143">
        <v>24235</v>
      </c>
      <c r="B1143">
        <v>1</v>
      </c>
      <c r="C1143" t="s">
        <v>111</v>
      </c>
      <c r="D1143" t="s">
        <v>112</v>
      </c>
      <c r="E1143" s="1">
        <v>43965</v>
      </c>
      <c r="F1143">
        <v>1</v>
      </c>
      <c r="G1143" t="s">
        <v>65</v>
      </c>
      <c r="H1143" t="s">
        <v>66</v>
      </c>
      <c r="I1143" s="3">
        <v>1799</v>
      </c>
      <c r="J1143" s="3">
        <v>1799</v>
      </c>
      <c r="K1143" s="3">
        <v>434</v>
      </c>
      <c r="L1143" t="s">
        <v>113</v>
      </c>
      <c r="M1143">
        <v>18</v>
      </c>
      <c r="N1143" t="s">
        <v>79</v>
      </c>
      <c r="O1143" t="s">
        <v>70</v>
      </c>
      <c r="P1143" t="s">
        <v>15</v>
      </c>
      <c r="Q1143" t="s">
        <v>16</v>
      </c>
      <c r="R1143" t="s">
        <v>16</v>
      </c>
      <c r="S1143" t="s">
        <v>144</v>
      </c>
      <c r="T1143" s="2">
        <f>MASTER[[#This Row],[CANTIDAD]]*MASTER[[#This Row],[PRECIO DE VENTA]]</f>
        <v>1799</v>
      </c>
      <c r="U1143" s="2">
        <f>MASTER[[#This Row],[CANTIDAD]]*MASTER[[#This Row],[COSTO UNITARIO]]</f>
        <v>434</v>
      </c>
      <c r="V1143" s="2">
        <f>MASTER[[#This Row],[MONTO VENDIDO]]-MASTER[[#This Row],[COSTO DE VENTA]]</f>
        <v>1365</v>
      </c>
    </row>
    <row r="1144" spans="1:22" x14ac:dyDescent="0.3">
      <c r="A1144">
        <v>24243</v>
      </c>
      <c r="B1144">
        <v>1</v>
      </c>
      <c r="C1144" t="s">
        <v>5</v>
      </c>
      <c r="D1144" t="s">
        <v>6</v>
      </c>
      <c r="E1144" s="1">
        <v>43965</v>
      </c>
      <c r="F1144">
        <v>1</v>
      </c>
      <c r="G1144" t="s">
        <v>47</v>
      </c>
      <c r="H1144" t="s">
        <v>48</v>
      </c>
      <c r="I1144" s="3">
        <v>1507</v>
      </c>
      <c r="J1144" s="3">
        <v>1401</v>
      </c>
      <c r="K1144" s="3">
        <v>393</v>
      </c>
      <c r="L1144" t="s">
        <v>9</v>
      </c>
      <c r="M1144">
        <v>2</v>
      </c>
      <c r="N1144" t="s">
        <v>86</v>
      </c>
      <c r="O1144" t="s">
        <v>81</v>
      </c>
      <c r="P1144" t="s">
        <v>71</v>
      </c>
      <c r="Q1144" t="s">
        <v>72</v>
      </c>
      <c r="R1144" t="s">
        <v>139</v>
      </c>
      <c r="S1144" t="s">
        <v>144</v>
      </c>
      <c r="T1144" s="2">
        <f>MASTER[[#This Row],[CANTIDAD]]*MASTER[[#This Row],[PRECIO DE VENTA]]</f>
        <v>1401</v>
      </c>
      <c r="U1144" s="2">
        <f>MASTER[[#This Row],[CANTIDAD]]*MASTER[[#This Row],[COSTO UNITARIO]]</f>
        <v>393</v>
      </c>
      <c r="V1144" s="2">
        <f>MASTER[[#This Row],[MONTO VENDIDO]]-MASTER[[#This Row],[COSTO DE VENTA]]</f>
        <v>1008</v>
      </c>
    </row>
    <row r="1145" spans="1:22" x14ac:dyDescent="0.3">
      <c r="A1145">
        <v>24250</v>
      </c>
      <c r="B1145">
        <v>1</v>
      </c>
      <c r="C1145" t="s">
        <v>99</v>
      </c>
      <c r="D1145" t="s">
        <v>100</v>
      </c>
      <c r="E1145" s="1">
        <v>43965</v>
      </c>
      <c r="F1145">
        <v>1</v>
      </c>
      <c r="G1145" t="s">
        <v>33</v>
      </c>
      <c r="H1145" t="s">
        <v>34</v>
      </c>
      <c r="I1145" s="3">
        <v>1459</v>
      </c>
      <c r="J1145" s="3">
        <v>1459</v>
      </c>
      <c r="K1145" s="3">
        <v>386</v>
      </c>
      <c r="L1145" t="s">
        <v>98</v>
      </c>
      <c r="M1145">
        <v>4</v>
      </c>
      <c r="N1145" t="s">
        <v>82</v>
      </c>
      <c r="O1145" t="s">
        <v>81</v>
      </c>
      <c r="P1145" t="s">
        <v>71</v>
      </c>
      <c r="Q1145" t="s">
        <v>72</v>
      </c>
      <c r="R1145" t="s">
        <v>139</v>
      </c>
      <c r="S1145" t="s">
        <v>144</v>
      </c>
      <c r="T1145" s="2">
        <f>MASTER[[#This Row],[CANTIDAD]]*MASTER[[#This Row],[PRECIO DE VENTA]]</f>
        <v>1459</v>
      </c>
      <c r="U1145" s="2">
        <f>MASTER[[#This Row],[CANTIDAD]]*MASTER[[#This Row],[COSTO UNITARIO]]</f>
        <v>386</v>
      </c>
      <c r="V1145" s="2">
        <f>MASTER[[#This Row],[MONTO VENDIDO]]-MASTER[[#This Row],[COSTO DE VENTA]]</f>
        <v>1073</v>
      </c>
    </row>
    <row r="1146" spans="1:22" x14ac:dyDescent="0.3">
      <c r="A1146">
        <v>24286</v>
      </c>
      <c r="B1146">
        <v>1</v>
      </c>
      <c r="C1146" t="s">
        <v>101</v>
      </c>
      <c r="D1146" t="s">
        <v>102</v>
      </c>
      <c r="E1146" s="1">
        <v>43965</v>
      </c>
      <c r="F1146">
        <v>1</v>
      </c>
      <c r="G1146" t="s">
        <v>65</v>
      </c>
      <c r="H1146" t="s">
        <v>66</v>
      </c>
      <c r="I1146" s="3">
        <v>1212</v>
      </c>
      <c r="J1146" s="3">
        <v>1212</v>
      </c>
      <c r="K1146" s="3">
        <v>442</v>
      </c>
      <c r="L1146" t="s">
        <v>98</v>
      </c>
      <c r="M1146">
        <v>8</v>
      </c>
      <c r="N1146" t="s">
        <v>80</v>
      </c>
      <c r="O1146" t="s">
        <v>81</v>
      </c>
      <c r="P1146" t="s">
        <v>12</v>
      </c>
      <c r="Q1146" t="s">
        <v>13</v>
      </c>
      <c r="R1146" t="s">
        <v>13</v>
      </c>
      <c r="S1146" t="s">
        <v>144</v>
      </c>
      <c r="T1146" s="2">
        <f>MASTER[[#This Row],[CANTIDAD]]*MASTER[[#This Row],[PRECIO DE VENTA]]</f>
        <v>1212</v>
      </c>
      <c r="U1146" s="2">
        <f>MASTER[[#This Row],[CANTIDAD]]*MASTER[[#This Row],[COSTO UNITARIO]]</f>
        <v>442</v>
      </c>
      <c r="V1146" s="2">
        <f>MASTER[[#This Row],[MONTO VENDIDO]]-MASTER[[#This Row],[COSTO DE VENTA]]</f>
        <v>770</v>
      </c>
    </row>
    <row r="1147" spans="1:22" x14ac:dyDescent="0.3">
      <c r="A1147">
        <v>24313</v>
      </c>
      <c r="B1147">
        <v>1</v>
      </c>
      <c r="C1147" t="s">
        <v>94</v>
      </c>
      <c r="D1147" t="s">
        <v>95</v>
      </c>
      <c r="E1147" s="1">
        <v>43965</v>
      </c>
      <c r="F1147">
        <v>1</v>
      </c>
      <c r="G1147" t="s">
        <v>22</v>
      </c>
      <c r="H1147" t="s">
        <v>23</v>
      </c>
      <c r="I1147" s="3">
        <v>1153</v>
      </c>
      <c r="J1147" s="3">
        <v>1153</v>
      </c>
      <c r="K1147" s="3">
        <v>392</v>
      </c>
      <c r="L1147" t="s">
        <v>9</v>
      </c>
      <c r="M1147">
        <v>18</v>
      </c>
      <c r="N1147" t="s">
        <v>79</v>
      </c>
      <c r="O1147" t="s">
        <v>70</v>
      </c>
      <c r="P1147" t="s">
        <v>15</v>
      </c>
      <c r="Q1147" t="s">
        <v>16</v>
      </c>
      <c r="R1147" t="s">
        <v>16</v>
      </c>
      <c r="S1147" t="s">
        <v>144</v>
      </c>
      <c r="T1147" s="2">
        <f>MASTER[[#This Row],[CANTIDAD]]*MASTER[[#This Row],[PRECIO DE VENTA]]</f>
        <v>1153</v>
      </c>
      <c r="U1147" s="2">
        <f>MASTER[[#This Row],[CANTIDAD]]*MASTER[[#This Row],[COSTO UNITARIO]]</f>
        <v>392</v>
      </c>
      <c r="V1147" s="2">
        <f>MASTER[[#This Row],[MONTO VENDIDO]]-MASTER[[#This Row],[COSTO DE VENTA]]</f>
        <v>761</v>
      </c>
    </row>
    <row r="1148" spans="1:22" x14ac:dyDescent="0.3">
      <c r="A1148">
        <v>24330</v>
      </c>
      <c r="B1148">
        <v>1</v>
      </c>
      <c r="C1148" t="s">
        <v>116</v>
      </c>
      <c r="D1148" t="s">
        <v>117</v>
      </c>
      <c r="E1148" s="1">
        <v>43965</v>
      </c>
      <c r="F1148">
        <v>1</v>
      </c>
      <c r="G1148" t="s">
        <v>51</v>
      </c>
      <c r="H1148" t="s">
        <v>52</v>
      </c>
      <c r="I1148" s="3">
        <v>1738</v>
      </c>
      <c r="J1148" s="3">
        <v>1633</v>
      </c>
      <c r="K1148" s="3">
        <v>388</v>
      </c>
      <c r="L1148" t="s">
        <v>113</v>
      </c>
      <c r="M1148">
        <v>14</v>
      </c>
      <c r="N1148" t="s">
        <v>87</v>
      </c>
      <c r="O1148" t="s">
        <v>81</v>
      </c>
      <c r="P1148" t="s">
        <v>18</v>
      </c>
      <c r="Q1148" t="s">
        <v>19</v>
      </c>
      <c r="R1148" t="s">
        <v>138</v>
      </c>
      <c r="S1148" t="s">
        <v>144</v>
      </c>
      <c r="T1148" s="2">
        <f>MASTER[[#This Row],[CANTIDAD]]*MASTER[[#This Row],[PRECIO DE VENTA]]</f>
        <v>1633</v>
      </c>
      <c r="U1148" s="2">
        <f>MASTER[[#This Row],[CANTIDAD]]*MASTER[[#This Row],[COSTO UNITARIO]]</f>
        <v>388</v>
      </c>
      <c r="V1148" s="2">
        <f>MASTER[[#This Row],[MONTO VENDIDO]]-MASTER[[#This Row],[COSTO DE VENTA]]</f>
        <v>1245</v>
      </c>
    </row>
    <row r="1149" spans="1:22" x14ac:dyDescent="0.3">
      <c r="A1149">
        <v>24334</v>
      </c>
      <c r="B1149">
        <v>1</v>
      </c>
      <c r="C1149" t="s">
        <v>94</v>
      </c>
      <c r="D1149" t="s">
        <v>95</v>
      </c>
      <c r="E1149" s="1">
        <v>43965</v>
      </c>
      <c r="F1149">
        <v>1</v>
      </c>
      <c r="G1149" t="s">
        <v>43</v>
      </c>
      <c r="H1149" t="s">
        <v>44</v>
      </c>
      <c r="I1149" s="3">
        <v>1153</v>
      </c>
      <c r="J1149" s="3">
        <v>1153</v>
      </c>
      <c r="K1149" s="3">
        <v>392</v>
      </c>
      <c r="L1149" t="s">
        <v>9</v>
      </c>
      <c r="M1149">
        <v>13</v>
      </c>
      <c r="N1149" t="s">
        <v>78</v>
      </c>
      <c r="O1149" t="s">
        <v>70</v>
      </c>
      <c r="P1149" t="s">
        <v>18</v>
      </c>
      <c r="Q1149" t="s">
        <v>19</v>
      </c>
      <c r="R1149" t="s">
        <v>138</v>
      </c>
      <c r="S1149" t="s">
        <v>144</v>
      </c>
      <c r="T1149" s="2">
        <f>MASTER[[#This Row],[CANTIDAD]]*MASTER[[#This Row],[PRECIO DE VENTA]]</f>
        <v>1153</v>
      </c>
      <c r="U1149" s="2">
        <f>MASTER[[#This Row],[CANTIDAD]]*MASTER[[#This Row],[COSTO UNITARIO]]</f>
        <v>392</v>
      </c>
      <c r="V1149" s="2">
        <f>MASTER[[#This Row],[MONTO VENDIDO]]-MASTER[[#This Row],[COSTO DE VENTA]]</f>
        <v>761</v>
      </c>
    </row>
    <row r="1150" spans="1:22" x14ac:dyDescent="0.3">
      <c r="A1150">
        <v>24336</v>
      </c>
      <c r="B1150">
        <v>1</v>
      </c>
      <c r="C1150" t="s">
        <v>121</v>
      </c>
      <c r="D1150" t="s">
        <v>122</v>
      </c>
      <c r="E1150" s="1">
        <v>43966</v>
      </c>
      <c r="F1150">
        <v>1</v>
      </c>
      <c r="G1150" t="s">
        <v>20</v>
      </c>
      <c r="H1150" t="s">
        <v>21</v>
      </c>
      <c r="I1150" s="3">
        <v>1069</v>
      </c>
      <c r="J1150" s="3">
        <v>1069</v>
      </c>
      <c r="K1150" s="3">
        <v>460</v>
      </c>
      <c r="L1150" t="s">
        <v>120</v>
      </c>
      <c r="M1150">
        <v>2</v>
      </c>
      <c r="N1150" t="s">
        <v>86</v>
      </c>
      <c r="O1150" t="s">
        <v>81</v>
      </c>
      <c r="P1150" t="s">
        <v>71</v>
      </c>
      <c r="Q1150" t="s">
        <v>72</v>
      </c>
      <c r="R1150" t="s">
        <v>139</v>
      </c>
      <c r="S1150" t="s">
        <v>144</v>
      </c>
      <c r="T1150" s="2">
        <f>MASTER[[#This Row],[CANTIDAD]]*MASTER[[#This Row],[PRECIO DE VENTA]]</f>
        <v>1069</v>
      </c>
      <c r="U1150" s="2">
        <f>MASTER[[#This Row],[CANTIDAD]]*MASTER[[#This Row],[COSTO UNITARIO]]</f>
        <v>460</v>
      </c>
      <c r="V1150" s="2">
        <f>MASTER[[#This Row],[MONTO VENDIDO]]-MASTER[[#This Row],[COSTO DE VENTA]]</f>
        <v>609</v>
      </c>
    </row>
    <row r="1151" spans="1:22" x14ac:dyDescent="0.3">
      <c r="A1151">
        <v>24346</v>
      </c>
      <c r="B1151">
        <v>1</v>
      </c>
      <c r="C1151" t="s">
        <v>118</v>
      </c>
      <c r="D1151" t="s">
        <v>119</v>
      </c>
      <c r="E1151" s="1">
        <v>43966</v>
      </c>
      <c r="F1151">
        <v>1</v>
      </c>
      <c r="G1151" t="s">
        <v>45</v>
      </c>
      <c r="H1151" t="s">
        <v>46</v>
      </c>
      <c r="I1151" s="3">
        <v>900</v>
      </c>
      <c r="J1151" s="3">
        <v>900</v>
      </c>
      <c r="K1151" s="3">
        <v>424</v>
      </c>
      <c r="L1151" t="s">
        <v>120</v>
      </c>
      <c r="M1151">
        <v>4</v>
      </c>
      <c r="N1151" t="s">
        <v>82</v>
      </c>
      <c r="O1151" t="s">
        <v>81</v>
      </c>
      <c r="P1151" t="s">
        <v>71</v>
      </c>
      <c r="Q1151" t="s">
        <v>72</v>
      </c>
      <c r="R1151" t="s">
        <v>139</v>
      </c>
      <c r="S1151" t="s">
        <v>144</v>
      </c>
      <c r="T1151" s="2">
        <f>MASTER[[#This Row],[CANTIDAD]]*MASTER[[#This Row],[PRECIO DE VENTA]]</f>
        <v>900</v>
      </c>
      <c r="U1151" s="2">
        <f>MASTER[[#This Row],[CANTIDAD]]*MASTER[[#This Row],[COSTO UNITARIO]]</f>
        <v>424</v>
      </c>
      <c r="V1151" s="2">
        <f>MASTER[[#This Row],[MONTO VENDIDO]]-MASTER[[#This Row],[COSTO DE VENTA]]</f>
        <v>476</v>
      </c>
    </row>
    <row r="1152" spans="1:22" x14ac:dyDescent="0.3">
      <c r="A1152">
        <v>24353</v>
      </c>
      <c r="B1152">
        <v>1</v>
      </c>
      <c r="C1152" t="s">
        <v>109</v>
      </c>
      <c r="D1152" t="s">
        <v>110</v>
      </c>
      <c r="E1152" s="1">
        <v>43966</v>
      </c>
      <c r="F1152">
        <v>1</v>
      </c>
      <c r="G1152" t="s">
        <v>27</v>
      </c>
      <c r="H1152" t="s">
        <v>28</v>
      </c>
      <c r="I1152" s="3">
        <v>1128</v>
      </c>
      <c r="J1152" s="3">
        <v>1037</v>
      </c>
      <c r="K1152" s="3">
        <v>387</v>
      </c>
      <c r="L1152" t="s">
        <v>98</v>
      </c>
      <c r="M1152">
        <v>18</v>
      </c>
      <c r="N1152" t="s">
        <v>79</v>
      </c>
      <c r="O1152" t="s">
        <v>70</v>
      </c>
      <c r="P1152" t="s">
        <v>15</v>
      </c>
      <c r="Q1152" t="s">
        <v>16</v>
      </c>
      <c r="R1152" t="s">
        <v>16</v>
      </c>
      <c r="S1152" t="s">
        <v>144</v>
      </c>
      <c r="T1152" s="2">
        <f>MASTER[[#This Row],[CANTIDAD]]*MASTER[[#This Row],[PRECIO DE VENTA]]</f>
        <v>1037</v>
      </c>
      <c r="U1152" s="2">
        <f>MASTER[[#This Row],[CANTIDAD]]*MASTER[[#This Row],[COSTO UNITARIO]]</f>
        <v>387</v>
      </c>
      <c r="V1152" s="2">
        <f>MASTER[[#This Row],[MONTO VENDIDO]]-MASTER[[#This Row],[COSTO DE VENTA]]</f>
        <v>650</v>
      </c>
    </row>
    <row r="1153" spans="1:22" x14ac:dyDescent="0.3">
      <c r="A1153">
        <v>24354</v>
      </c>
      <c r="B1153">
        <v>1</v>
      </c>
      <c r="C1153" t="s">
        <v>111</v>
      </c>
      <c r="D1153" t="s">
        <v>112</v>
      </c>
      <c r="E1153" s="1">
        <v>43966</v>
      </c>
      <c r="F1153">
        <v>1</v>
      </c>
      <c r="G1153" t="s">
        <v>39</v>
      </c>
      <c r="H1153" t="s">
        <v>40</v>
      </c>
      <c r="I1153" s="3">
        <v>1799</v>
      </c>
      <c r="J1153" s="3">
        <v>1709</v>
      </c>
      <c r="K1153" s="3">
        <v>434</v>
      </c>
      <c r="L1153" t="s">
        <v>113</v>
      </c>
      <c r="M1153">
        <v>6</v>
      </c>
      <c r="N1153" t="s">
        <v>75</v>
      </c>
      <c r="O1153" t="s">
        <v>70</v>
      </c>
      <c r="P1153" t="s">
        <v>12</v>
      </c>
      <c r="Q1153" t="s">
        <v>13</v>
      </c>
      <c r="R1153" t="s">
        <v>13</v>
      </c>
      <c r="S1153" t="s">
        <v>144</v>
      </c>
      <c r="T1153" s="2">
        <f>MASTER[[#This Row],[CANTIDAD]]*MASTER[[#This Row],[PRECIO DE VENTA]]</f>
        <v>1709</v>
      </c>
      <c r="U1153" s="2">
        <f>MASTER[[#This Row],[CANTIDAD]]*MASTER[[#This Row],[COSTO UNITARIO]]</f>
        <v>434</v>
      </c>
      <c r="V1153" s="2">
        <f>MASTER[[#This Row],[MONTO VENDIDO]]-MASTER[[#This Row],[COSTO DE VENTA]]</f>
        <v>1275</v>
      </c>
    </row>
    <row r="1154" spans="1:22" x14ac:dyDescent="0.3">
      <c r="A1154">
        <v>24361</v>
      </c>
      <c r="B1154">
        <v>1</v>
      </c>
      <c r="C1154" t="s">
        <v>107</v>
      </c>
      <c r="D1154" t="s">
        <v>108</v>
      </c>
      <c r="E1154" s="1">
        <v>43966</v>
      </c>
      <c r="F1154">
        <v>1</v>
      </c>
      <c r="G1154" t="s">
        <v>20</v>
      </c>
      <c r="H1154" t="s">
        <v>21</v>
      </c>
      <c r="I1154" s="3">
        <v>1333</v>
      </c>
      <c r="J1154" s="3">
        <v>1266</v>
      </c>
      <c r="K1154" s="3">
        <v>380</v>
      </c>
      <c r="L1154" t="s">
        <v>98</v>
      </c>
      <c r="M1154">
        <v>10</v>
      </c>
      <c r="N1154" t="s">
        <v>83</v>
      </c>
      <c r="O1154" t="s">
        <v>81</v>
      </c>
      <c r="P1154" t="s">
        <v>12</v>
      </c>
      <c r="Q1154" t="s">
        <v>13</v>
      </c>
      <c r="R1154" t="s">
        <v>13</v>
      </c>
      <c r="S1154" t="s">
        <v>144</v>
      </c>
      <c r="T1154" s="2">
        <f>MASTER[[#This Row],[CANTIDAD]]*MASTER[[#This Row],[PRECIO DE VENTA]]</f>
        <v>1266</v>
      </c>
      <c r="U1154" s="2">
        <f>MASTER[[#This Row],[CANTIDAD]]*MASTER[[#This Row],[COSTO UNITARIO]]</f>
        <v>380</v>
      </c>
      <c r="V1154" s="2">
        <f>MASTER[[#This Row],[MONTO VENDIDO]]-MASTER[[#This Row],[COSTO DE VENTA]]</f>
        <v>886</v>
      </c>
    </row>
    <row r="1155" spans="1:22" x14ac:dyDescent="0.3">
      <c r="A1155">
        <v>24366</v>
      </c>
      <c r="B1155">
        <v>1</v>
      </c>
      <c r="C1155" t="s">
        <v>118</v>
      </c>
      <c r="D1155" t="s">
        <v>119</v>
      </c>
      <c r="E1155" s="1">
        <v>43967</v>
      </c>
      <c r="F1155">
        <v>1</v>
      </c>
      <c r="G1155" t="s">
        <v>41</v>
      </c>
      <c r="H1155" t="s">
        <v>42</v>
      </c>
      <c r="I1155" s="3">
        <v>801</v>
      </c>
      <c r="J1155" s="3">
        <v>801</v>
      </c>
      <c r="K1155" s="3">
        <v>424</v>
      </c>
      <c r="L1155" t="s">
        <v>120</v>
      </c>
      <c r="M1155">
        <v>12</v>
      </c>
      <c r="N1155" t="s">
        <v>26</v>
      </c>
      <c r="O1155" t="s">
        <v>11</v>
      </c>
      <c r="P1155" t="s">
        <v>12</v>
      </c>
      <c r="Q1155" t="s">
        <v>13</v>
      </c>
      <c r="R1155" t="s">
        <v>13</v>
      </c>
      <c r="S1155" t="s">
        <v>144</v>
      </c>
      <c r="T1155" s="2">
        <f>MASTER[[#This Row],[CANTIDAD]]*MASTER[[#This Row],[PRECIO DE VENTA]]</f>
        <v>801</v>
      </c>
      <c r="U1155" s="2">
        <f>MASTER[[#This Row],[CANTIDAD]]*MASTER[[#This Row],[COSTO UNITARIO]]</f>
        <v>424</v>
      </c>
      <c r="V1155" s="2">
        <f>MASTER[[#This Row],[MONTO VENDIDO]]-MASTER[[#This Row],[COSTO DE VENTA]]</f>
        <v>377</v>
      </c>
    </row>
    <row r="1156" spans="1:22" x14ac:dyDescent="0.3">
      <c r="A1156">
        <v>24386</v>
      </c>
      <c r="B1156">
        <v>1</v>
      </c>
      <c r="C1156" t="s">
        <v>121</v>
      </c>
      <c r="D1156" t="s">
        <v>122</v>
      </c>
      <c r="E1156" s="1">
        <v>43967</v>
      </c>
      <c r="F1156">
        <v>1</v>
      </c>
      <c r="G1156" t="s">
        <v>65</v>
      </c>
      <c r="H1156" t="s">
        <v>66</v>
      </c>
      <c r="I1156" s="3">
        <v>1069</v>
      </c>
      <c r="J1156" s="3">
        <v>1069</v>
      </c>
      <c r="K1156" s="3">
        <v>460</v>
      </c>
      <c r="L1156" t="s">
        <v>120</v>
      </c>
      <c r="M1156">
        <v>10</v>
      </c>
      <c r="N1156" t="s">
        <v>83</v>
      </c>
      <c r="O1156" t="s">
        <v>81</v>
      </c>
      <c r="P1156" t="s">
        <v>12</v>
      </c>
      <c r="Q1156" t="s">
        <v>13</v>
      </c>
      <c r="R1156" t="s">
        <v>13</v>
      </c>
      <c r="S1156" t="s">
        <v>144</v>
      </c>
      <c r="T1156" s="2">
        <f>MASTER[[#This Row],[CANTIDAD]]*MASTER[[#This Row],[PRECIO DE VENTA]]</f>
        <v>1069</v>
      </c>
      <c r="U1156" s="2">
        <f>MASTER[[#This Row],[CANTIDAD]]*MASTER[[#This Row],[COSTO UNITARIO]]</f>
        <v>460</v>
      </c>
      <c r="V1156" s="2">
        <f>MASTER[[#This Row],[MONTO VENDIDO]]-MASTER[[#This Row],[COSTO DE VENTA]]</f>
        <v>609</v>
      </c>
    </row>
    <row r="1157" spans="1:22" x14ac:dyDescent="0.3">
      <c r="A1157">
        <v>24390</v>
      </c>
      <c r="B1157">
        <v>1</v>
      </c>
      <c r="C1157" t="s">
        <v>5</v>
      </c>
      <c r="D1157" t="s">
        <v>6</v>
      </c>
      <c r="E1157" s="1">
        <v>43967</v>
      </c>
      <c r="F1157">
        <v>1</v>
      </c>
      <c r="G1157" t="s">
        <v>57</v>
      </c>
      <c r="H1157" t="s">
        <v>58</v>
      </c>
      <c r="I1157" s="3">
        <v>1507</v>
      </c>
      <c r="J1157" s="3">
        <v>1507</v>
      </c>
      <c r="K1157" s="3">
        <v>393</v>
      </c>
      <c r="L1157" t="s">
        <v>9</v>
      </c>
      <c r="M1157">
        <v>15</v>
      </c>
      <c r="N1157" t="s">
        <v>88</v>
      </c>
      <c r="O1157" t="s">
        <v>81</v>
      </c>
      <c r="P1157" t="s">
        <v>18</v>
      </c>
      <c r="Q1157" t="s">
        <v>19</v>
      </c>
      <c r="R1157" t="s">
        <v>138</v>
      </c>
      <c r="S1157" t="s">
        <v>144</v>
      </c>
      <c r="T1157" s="2">
        <f>MASTER[[#This Row],[CANTIDAD]]*MASTER[[#This Row],[PRECIO DE VENTA]]</f>
        <v>1507</v>
      </c>
      <c r="U1157" s="2">
        <f>MASTER[[#This Row],[CANTIDAD]]*MASTER[[#This Row],[COSTO UNITARIO]]</f>
        <v>393</v>
      </c>
      <c r="V1157" s="2">
        <f>MASTER[[#This Row],[MONTO VENDIDO]]-MASTER[[#This Row],[COSTO DE VENTA]]</f>
        <v>1114</v>
      </c>
    </row>
    <row r="1158" spans="1:22" x14ac:dyDescent="0.3">
      <c r="A1158">
        <v>24393</v>
      </c>
      <c r="B1158">
        <v>1</v>
      </c>
      <c r="C1158" t="s">
        <v>111</v>
      </c>
      <c r="D1158" t="s">
        <v>112</v>
      </c>
      <c r="E1158" s="1">
        <v>43967</v>
      </c>
      <c r="F1158">
        <v>1</v>
      </c>
      <c r="G1158" t="s">
        <v>22</v>
      </c>
      <c r="H1158" t="s">
        <v>23</v>
      </c>
      <c r="I1158" s="3">
        <v>1524</v>
      </c>
      <c r="J1158" s="3">
        <v>1524</v>
      </c>
      <c r="K1158" s="3">
        <v>434</v>
      </c>
      <c r="L1158" t="s">
        <v>113</v>
      </c>
      <c r="M1158">
        <v>17</v>
      </c>
      <c r="N1158" t="s">
        <v>14</v>
      </c>
      <c r="O1158" t="s">
        <v>11</v>
      </c>
      <c r="P1158" t="s">
        <v>15</v>
      </c>
      <c r="Q1158" t="s">
        <v>16</v>
      </c>
      <c r="R1158" t="s">
        <v>16</v>
      </c>
      <c r="S1158" t="s">
        <v>144</v>
      </c>
      <c r="T1158" s="2">
        <f>MASTER[[#This Row],[CANTIDAD]]*MASTER[[#This Row],[PRECIO DE VENTA]]</f>
        <v>1524</v>
      </c>
      <c r="U1158" s="2">
        <f>MASTER[[#This Row],[CANTIDAD]]*MASTER[[#This Row],[COSTO UNITARIO]]</f>
        <v>434</v>
      </c>
      <c r="V1158" s="2">
        <f>MASTER[[#This Row],[MONTO VENDIDO]]-MASTER[[#This Row],[COSTO DE VENTA]]</f>
        <v>1090</v>
      </c>
    </row>
    <row r="1159" spans="1:22" x14ac:dyDescent="0.3">
      <c r="A1159">
        <v>24407</v>
      </c>
      <c r="B1159">
        <v>1</v>
      </c>
      <c r="C1159" t="s">
        <v>107</v>
      </c>
      <c r="D1159" t="s">
        <v>108</v>
      </c>
      <c r="E1159" s="1">
        <v>43967</v>
      </c>
      <c r="F1159">
        <v>1</v>
      </c>
      <c r="G1159" t="s">
        <v>51</v>
      </c>
      <c r="H1159" t="s">
        <v>52</v>
      </c>
      <c r="I1159" s="3">
        <v>1333</v>
      </c>
      <c r="J1159" s="3">
        <v>1333</v>
      </c>
      <c r="K1159" s="3">
        <v>380</v>
      </c>
      <c r="L1159" t="s">
        <v>98</v>
      </c>
      <c r="M1159">
        <v>2</v>
      </c>
      <c r="N1159" t="s">
        <v>86</v>
      </c>
      <c r="O1159" t="s">
        <v>81</v>
      </c>
      <c r="P1159" t="s">
        <v>71</v>
      </c>
      <c r="Q1159" t="s">
        <v>72</v>
      </c>
      <c r="R1159" t="s">
        <v>139</v>
      </c>
      <c r="S1159" t="s">
        <v>144</v>
      </c>
      <c r="T1159" s="2">
        <f>MASTER[[#This Row],[CANTIDAD]]*MASTER[[#This Row],[PRECIO DE VENTA]]</f>
        <v>1333</v>
      </c>
      <c r="U1159" s="2">
        <f>MASTER[[#This Row],[CANTIDAD]]*MASTER[[#This Row],[COSTO UNITARIO]]</f>
        <v>380</v>
      </c>
      <c r="V1159" s="2">
        <f>MASTER[[#This Row],[MONTO VENDIDO]]-MASTER[[#This Row],[COSTO DE VENTA]]</f>
        <v>953</v>
      </c>
    </row>
    <row r="1160" spans="1:22" x14ac:dyDescent="0.3">
      <c r="A1160">
        <v>24410</v>
      </c>
      <c r="B1160">
        <v>1</v>
      </c>
      <c r="C1160" t="s">
        <v>121</v>
      </c>
      <c r="D1160" t="s">
        <v>122</v>
      </c>
      <c r="E1160" s="1">
        <v>43967</v>
      </c>
      <c r="F1160">
        <v>1</v>
      </c>
      <c r="G1160" t="s">
        <v>35</v>
      </c>
      <c r="H1160" t="s">
        <v>36</v>
      </c>
      <c r="I1160" s="3">
        <v>941</v>
      </c>
      <c r="J1160" s="3">
        <v>941</v>
      </c>
      <c r="K1160" s="3">
        <v>460</v>
      </c>
      <c r="L1160" t="s">
        <v>120</v>
      </c>
      <c r="M1160">
        <v>16</v>
      </c>
      <c r="N1160" t="s">
        <v>17</v>
      </c>
      <c r="O1160" t="s">
        <v>11</v>
      </c>
      <c r="P1160" t="s">
        <v>18</v>
      </c>
      <c r="Q1160" t="s">
        <v>19</v>
      </c>
      <c r="R1160" t="s">
        <v>138</v>
      </c>
      <c r="S1160" t="s">
        <v>144</v>
      </c>
      <c r="T1160" s="2">
        <f>MASTER[[#This Row],[CANTIDAD]]*MASTER[[#This Row],[PRECIO DE VENTA]]</f>
        <v>941</v>
      </c>
      <c r="U1160" s="2">
        <f>MASTER[[#This Row],[CANTIDAD]]*MASTER[[#This Row],[COSTO UNITARIO]]</f>
        <v>460</v>
      </c>
      <c r="V1160" s="2">
        <f>MASTER[[#This Row],[MONTO VENDIDO]]-MASTER[[#This Row],[COSTO DE VENTA]]</f>
        <v>481</v>
      </c>
    </row>
    <row r="1161" spans="1:22" x14ac:dyDescent="0.3">
      <c r="A1161">
        <v>24432</v>
      </c>
      <c r="B1161">
        <v>1</v>
      </c>
      <c r="C1161" t="s">
        <v>116</v>
      </c>
      <c r="D1161" t="s">
        <v>117</v>
      </c>
      <c r="E1161" s="1">
        <v>43967</v>
      </c>
      <c r="F1161">
        <v>1</v>
      </c>
      <c r="G1161" t="s">
        <v>59</v>
      </c>
      <c r="H1161" t="s">
        <v>60</v>
      </c>
      <c r="I1161" s="3">
        <v>1999</v>
      </c>
      <c r="J1161" s="3">
        <v>1999</v>
      </c>
      <c r="K1161" s="3">
        <v>388</v>
      </c>
      <c r="L1161" t="s">
        <v>113</v>
      </c>
      <c r="M1161">
        <v>6</v>
      </c>
      <c r="N1161" t="s">
        <v>75</v>
      </c>
      <c r="O1161" t="s">
        <v>70</v>
      </c>
      <c r="P1161" t="s">
        <v>12</v>
      </c>
      <c r="Q1161" t="s">
        <v>13</v>
      </c>
      <c r="R1161" t="s">
        <v>13</v>
      </c>
      <c r="S1161" t="s">
        <v>144</v>
      </c>
      <c r="T1161" s="2">
        <f>MASTER[[#This Row],[CANTIDAD]]*MASTER[[#This Row],[PRECIO DE VENTA]]</f>
        <v>1999</v>
      </c>
      <c r="U1161" s="2">
        <f>MASTER[[#This Row],[CANTIDAD]]*MASTER[[#This Row],[COSTO UNITARIO]]</f>
        <v>388</v>
      </c>
      <c r="V1161" s="2">
        <f>MASTER[[#This Row],[MONTO VENDIDO]]-MASTER[[#This Row],[COSTO DE VENTA]]</f>
        <v>1611</v>
      </c>
    </row>
    <row r="1162" spans="1:22" x14ac:dyDescent="0.3">
      <c r="A1162">
        <v>24446</v>
      </c>
      <c r="B1162">
        <v>1</v>
      </c>
      <c r="C1162" t="s">
        <v>109</v>
      </c>
      <c r="D1162" t="s">
        <v>110</v>
      </c>
      <c r="E1162" s="1">
        <v>43968</v>
      </c>
      <c r="F1162">
        <v>1</v>
      </c>
      <c r="G1162" t="s">
        <v>67</v>
      </c>
      <c r="H1162" t="s">
        <v>68</v>
      </c>
      <c r="I1162" s="3">
        <v>1064</v>
      </c>
      <c r="J1162" s="3">
        <v>1064</v>
      </c>
      <c r="K1162" s="3">
        <v>387</v>
      </c>
      <c r="L1162" t="s">
        <v>98</v>
      </c>
      <c r="M1162">
        <v>14</v>
      </c>
      <c r="N1162" t="s">
        <v>87</v>
      </c>
      <c r="O1162" t="s">
        <v>81</v>
      </c>
      <c r="P1162" t="s">
        <v>18</v>
      </c>
      <c r="Q1162" t="s">
        <v>19</v>
      </c>
      <c r="R1162" t="s">
        <v>138</v>
      </c>
      <c r="S1162" t="s">
        <v>144</v>
      </c>
      <c r="T1162" s="2">
        <f>MASTER[[#This Row],[CANTIDAD]]*MASTER[[#This Row],[PRECIO DE VENTA]]</f>
        <v>1064</v>
      </c>
      <c r="U1162" s="2">
        <f>MASTER[[#This Row],[CANTIDAD]]*MASTER[[#This Row],[COSTO UNITARIO]]</f>
        <v>387</v>
      </c>
      <c r="V1162" s="2">
        <f>MASTER[[#This Row],[MONTO VENDIDO]]-MASTER[[#This Row],[COSTO DE VENTA]]</f>
        <v>677</v>
      </c>
    </row>
    <row r="1163" spans="1:22" x14ac:dyDescent="0.3">
      <c r="A1163">
        <v>24452</v>
      </c>
      <c r="B1163">
        <v>1</v>
      </c>
      <c r="C1163" t="s">
        <v>105</v>
      </c>
      <c r="D1163" t="s">
        <v>106</v>
      </c>
      <c r="E1163" s="1">
        <v>43968</v>
      </c>
      <c r="F1163">
        <v>1</v>
      </c>
      <c r="G1163" t="s">
        <v>27</v>
      </c>
      <c r="H1163" t="s">
        <v>28</v>
      </c>
      <c r="I1163" s="3">
        <v>1865</v>
      </c>
      <c r="J1163" s="3">
        <v>1865</v>
      </c>
      <c r="K1163" s="3">
        <v>459</v>
      </c>
      <c r="L1163" t="s">
        <v>98</v>
      </c>
      <c r="M1163">
        <v>8</v>
      </c>
      <c r="N1163" t="s">
        <v>80</v>
      </c>
      <c r="O1163" t="s">
        <v>81</v>
      </c>
      <c r="P1163" t="s">
        <v>12</v>
      </c>
      <c r="Q1163" t="s">
        <v>13</v>
      </c>
      <c r="R1163" t="s">
        <v>13</v>
      </c>
      <c r="S1163" t="s">
        <v>144</v>
      </c>
      <c r="T1163" s="2">
        <f>MASTER[[#This Row],[CANTIDAD]]*MASTER[[#This Row],[PRECIO DE VENTA]]</f>
        <v>1865</v>
      </c>
      <c r="U1163" s="2">
        <f>MASTER[[#This Row],[CANTIDAD]]*MASTER[[#This Row],[COSTO UNITARIO]]</f>
        <v>459</v>
      </c>
      <c r="V1163" s="2">
        <f>MASTER[[#This Row],[MONTO VENDIDO]]-MASTER[[#This Row],[COSTO DE VENTA]]</f>
        <v>1406</v>
      </c>
    </row>
    <row r="1164" spans="1:22" x14ac:dyDescent="0.3">
      <c r="A1164">
        <v>24460</v>
      </c>
      <c r="B1164">
        <v>1</v>
      </c>
      <c r="C1164" t="s">
        <v>103</v>
      </c>
      <c r="D1164" t="s">
        <v>104</v>
      </c>
      <c r="E1164" s="1">
        <v>43968</v>
      </c>
      <c r="F1164">
        <v>1</v>
      </c>
      <c r="G1164" t="s">
        <v>57</v>
      </c>
      <c r="H1164" t="s">
        <v>58</v>
      </c>
      <c r="I1164" s="3">
        <v>1591</v>
      </c>
      <c r="J1164" s="3">
        <v>1591</v>
      </c>
      <c r="K1164" s="3">
        <v>421</v>
      </c>
      <c r="L1164" t="s">
        <v>98</v>
      </c>
      <c r="M1164">
        <v>7</v>
      </c>
      <c r="N1164" t="s">
        <v>84</v>
      </c>
      <c r="O1164" t="s">
        <v>81</v>
      </c>
      <c r="P1164" t="s">
        <v>12</v>
      </c>
      <c r="Q1164" t="s">
        <v>13</v>
      </c>
      <c r="R1164" t="s">
        <v>13</v>
      </c>
      <c r="S1164" t="s">
        <v>144</v>
      </c>
      <c r="T1164" s="2">
        <f>MASTER[[#This Row],[CANTIDAD]]*MASTER[[#This Row],[PRECIO DE VENTA]]</f>
        <v>1591</v>
      </c>
      <c r="U1164" s="2">
        <f>MASTER[[#This Row],[CANTIDAD]]*MASTER[[#This Row],[COSTO UNITARIO]]</f>
        <v>421</v>
      </c>
      <c r="V1164" s="2">
        <f>MASTER[[#This Row],[MONTO VENDIDO]]-MASTER[[#This Row],[COSTO DE VENTA]]</f>
        <v>1170</v>
      </c>
    </row>
    <row r="1165" spans="1:22" x14ac:dyDescent="0.3">
      <c r="A1165">
        <v>24463</v>
      </c>
      <c r="B1165">
        <v>1</v>
      </c>
      <c r="C1165" t="s">
        <v>121</v>
      </c>
      <c r="D1165" t="s">
        <v>122</v>
      </c>
      <c r="E1165" s="1">
        <v>43968</v>
      </c>
      <c r="F1165">
        <v>1</v>
      </c>
      <c r="G1165" t="s">
        <v>39</v>
      </c>
      <c r="H1165" t="s">
        <v>40</v>
      </c>
      <c r="I1165" s="3">
        <v>1144</v>
      </c>
      <c r="J1165" s="3">
        <v>1144</v>
      </c>
      <c r="K1165" s="3">
        <v>460</v>
      </c>
      <c r="L1165" t="s">
        <v>120</v>
      </c>
      <c r="M1165">
        <v>1</v>
      </c>
      <c r="N1165" t="s">
        <v>77</v>
      </c>
      <c r="O1165" t="s">
        <v>70</v>
      </c>
      <c r="P1165" t="s">
        <v>71</v>
      </c>
      <c r="Q1165" t="s">
        <v>72</v>
      </c>
      <c r="R1165" t="s">
        <v>139</v>
      </c>
      <c r="S1165" t="s">
        <v>144</v>
      </c>
      <c r="T1165" s="2">
        <f>MASTER[[#This Row],[CANTIDAD]]*MASTER[[#This Row],[PRECIO DE VENTA]]</f>
        <v>1144</v>
      </c>
      <c r="U1165" s="2">
        <f>MASTER[[#This Row],[CANTIDAD]]*MASTER[[#This Row],[COSTO UNITARIO]]</f>
        <v>460</v>
      </c>
      <c r="V1165" s="2">
        <f>MASTER[[#This Row],[MONTO VENDIDO]]-MASTER[[#This Row],[COSTO DE VENTA]]</f>
        <v>684</v>
      </c>
    </row>
    <row r="1166" spans="1:22" x14ac:dyDescent="0.3">
      <c r="A1166">
        <v>24468</v>
      </c>
      <c r="B1166">
        <v>1</v>
      </c>
      <c r="C1166" t="s">
        <v>116</v>
      </c>
      <c r="D1166" t="s">
        <v>117</v>
      </c>
      <c r="E1166" s="1">
        <v>43968</v>
      </c>
      <c r="F1166">
        <v>1</v>
      </c>
      <c r="G1166" t="s">
        <v>39</v>
      </c>
      <c r="H1166" t="s">
        <v>40</v>
      </c>
      <c r="I1166" s="3">
        <v>1999</v>
      </c>
      <c r="J1166" s="3">
        <v>1999</v>
      </c>
      <c r="K1166" s="3">
        <v>388</v>
      </c>
      <c r="L1166" t="s">
        <v>113</v>
      </c>
      <c r="M1166">
        <v>3</v>
      </c>
      <c r="N1166" t="s">
        <v>69</v>
      </c>
      <c r="O1166" t="s">
        <v>70</v>
      </c>
      <c r="P1166" t="s">
        <v>71</v>
      </c>
      <c r="Q1166" t="s">
        <v>72</v>
      </c>
      <c r="R1166" t="s">
        <v>139</v>
      </c>
      <c r="S1166" t="s">
        <v>144</v>
      </c>
      <c r="T1166" s="2">
        <f>MASTER[[#This Row],[CANTIDAD]]*MASTER[[#This Row],[PRECIO DE VENTA]]</f>
        <v>1999</v>
      </c>
      <c r="U1166" s="2">
        <f>MASTER[[#This Row],[CANTIDAD]]*MASTER[[#This Row],[COSTO UNITARIO]]</f>
        <v>388</v>
      </c>
      <c r="V1166" s="2">
        <f>MASTER[[#This Row],[MONTO VENDIDO]]-MASTER[[#This Row],[COSTO DE VENTA]]</f>
        <v>1611</v>
      </c>
    </row>
    <row r="1167" spans="1:22" x14ac:dyDescent="0.3">
      <c r="A1167">
        <v>24473</v>
      </c>
      <c r="B1167">
        <v>1</v>
      </c>
      <c r="C1167" t="s">
        <v>96</v>
      </c>
      <c r="D1167" t="s">
        <v>97</v>
      </c>
      <c r="E1167" s="1">
        <v>43968</v>
      </c>
      <c r="F1167">
        <v>1</v>
      </c>
      <c r="G1167" t="s">
        <v>7</v>
      </c>
      <c r="H1167" t="s">
        <v>8</v>
      </c>
      <c r="I1167" s="3">
        <v>1272</v>
      </c>
      <c r="J1167" s="3">
        <v>1157</v>
      </c>
      <c r="K1167" s="3">
        <v>397</v>
      </c>
      <c r="L1167" t="s">
        <v>98</v>
      </c>
      <c r="M1167">
        <v>19</v>
      </c>
      <c r="N1167" t="s">
        <v>89</v>
      </c>
      <c r="O1167" t="s">
        <v>81</v>
      </c>
      <c r="P1167" t="s">
        <v>15</v>
      </c>
      <c r="Q1167" t="s">
        <v>16</v>
      </c>
      <c r="R1167" t="s">
        <v>16</v>
      </c>
      <c r="S1167" t="s">
        <v>144</v>
      </c>
      <c r="T1167" s="2">
        <f>MASTER[[#This Row],[CANTIDAD]]*MASTER[[#This Row],[PRECIO DE VENTA]]</f>
        <v>1157</v>
      </c>
      <c r="U1167" s="2">
        <f>MASTER[[#This Row],[CANTIDAD]]*MASTER[[#This Row],[COSTO UNITARIO]]</f>
        <v>397</v>
      </c>
      <c r="V1167" s="2">
        <f>MASTER[[#This Row],[MONTO VENDIDO]]-MASTER[[#This Row],[COSTO DE VENTA]]</f>
        <v>760</v>
      </c>
    </row>
    <row r="1168" spans="1:22" x14ac:dyDescent="0.3">
      <c r="A1168">
        <v>24477</v>
      </c>
      <c r="B1168">
        <v>1</v>
      </c>
      <c r="C1168" t="s">
        <v>103</v>
      </c>
      <c r="D1168" t="s">
        <v>104</v>
      </c>
      <c r="E1168" s="1">
        <v>43968</v>
      </c>
      <c r="F1168">
        <v>1</v>
      </c>
      <c r="G1168" t="s">
        <v>35</v>
      </c>
      <c r="H1168" t="s">
        <v>36</v>
      </c>
      <c r="I1168" s="3">
        <v>1591</v>
      </c>
      <c r="J1168" s="3">
        <v>1591</v>
      </c>
      <c r="K1168" s="3">
        <v>421</v>
      </c>
      <c r="L1168" t="s">
        <v>98</v>
      </c>
      <c r="M1168">
        <v>7</v>
      </c>
      <c r="N1168" t="s">
        <v>84</v>
      </c>
      <c r="O1168" t="s">
        <v>81</v>
      </c>
      <c r="P1168" t="s">
        <v>12</v>
      </c>
      <c r="Q1168" t="s">
        <v>13</v>
      </c>
      <c r="R1168" t="s">
        <v>13</v>
      </c>
      <c r="S1168" t="s">
        <v>144</v>
      </c>
      <c r="T1168" s="2">
        <f>MASTER[[#This Row],[CANTIDAD]]*MASTER[[#This Row],[PRECIO DE VENTA]]</f>
        <v>1591</v>
      </c>
      <c r="U1168" s="2">
        <f>MASTER[[#This Row],[CANTIDAD]]*MASTER[[#This Row],[COSTO UNITARIO]]</f>
        <v>421</v>
      </c>
      <c r="V1168" s="2">
        <f>MASTER[[#This Row],[MONTO VENDIDO]]-MASTER[[#This Row],[COSTO DE VENTA]]</f>
        <v>1170</v>
      </c>
    </row>
    <row r="1169" spans="1:22" x14ac:dyDescent="0.3">
      <c r="A1169">
        <v>24481</v>
      </c>
      <c r="B1169">
        <v>1</v>
      </c>
      <c r="C1169" t="s">
        <v>92</v>
      </c>
      <c r="D1169" t="s">
        <v>93</v>
      </c>
      <c r="E1169" s="1">
        <v>43968</v>
      </c>
      <c r="F1169">
        <v>1</v>
      </c>
      <c r="G1169" t="s">
        <v>51</v>
      </c>
      <c r="H1169" t="s">
        <v>52</v>
      </c>
      <c r="I1169" s="3">
        <v>1479</v>
      </c>
      <c r="J1169" s="3">
        <v>1479</v>
      </c>
      <c r="K1169" s="3">
        <v>396</v>
      </c>
      <c r="L1169" t="s">
        <v>9</v>
      </c>
      <c r="M1169">
        <v>17</v>
      </c>
      <c r="N1169" t="s">
        <v>14</v>
      </c>
      <c r="O1169" t="s">
        <v>11</v>
      </c>
      <c r="P1169" t="s">
        <v>15</v>
      </c>
      <c r="Q1169" t="s">
        <v>16</v>
      </c>
      <c r="R1169" t="s">
        <v>16</v>
      </c>
      <c r="S1169" t="s">
        <v>144</v>
      </c>
      <c r="T1169" s="2">
        <f>MASTER[[#This Row],[CANTIDAD]]*MASTER[[#This Row],[PRECIO DE VENTA]]</f>
        <v>1479</v>
      </c>
      <c r="U1169" s="2">
        <f>MASTER[[#This Row],[CANTIDAD]]*MASTER[[#This Row],[COSTO UNITARIO]]</f>
        <v>396</v>
      </c>
      <c r="V1169" s="2">
        <f>MASTER[[#This Row],[MONTO VENDIDO]]-MASTER[[#This Row],[COSTO DE VENTA]]</f>
        <v>1083</v>
      </c>
    </row>
    <row r="1170" spans="1:22" x14ac:dyDescent="0.3">
      <c r="A1170">
        <v>24503</v>
      </c>
      <c r="B1170">
        <v>1</v>
      </c>
      <c r="C1170" t="s">
        <v>101</v>
      </c>
      <c r="D1170" t="s">
        <v>102</v>
      </c>
      <c r="E1170" s="1">
        <v>43968</v>
      </c>
      <c r="F1170">
        <v>1</v>
      </c>
      <c r="G1170" t="s">
        <v>73</v>
      </c>
      <c r="H1170" t="s">
        <v>74</v>
      </c>
      <c r="I1170" s="3">
        <v>1212</v>
      </c>
      <c r="J1170" s="3">
        <v>1212</v>
      </c>
      <c r="K1170" s="3">
        <v>442</v>
      </c>
      <c r="L1170" t="s">
        <v>98</v>
      </c>
      <c r="M1170">
        <v>14</v>
      </c>
      <c r="N1170" t="s">
        <v>87</v>
      </c>
      <c r="O1170" t="s">
        <v>81</v>
      </c>
      <c r="P1170" t="s">
        <v>18</v>
      </c>
      <c r="Q1170" t="s">
        <v>19</v>
      </c>
      <c r="R1170" t="s">
        <v>138</v>
      </c>
      <c r="S1170" t="s">
        <v>144</v>
      </c>
      <c r="T1170" s="2">
        <f>MASTER[[#This Row],[CANTIDAD]]*MASTER[[#This Row],[PRECIO DE VENTA]]</f>
        <v>1212</v>
      </c>
      <c r="U1170" s="2">
        <f>MASTER[[#This Row],[CANTIDAD]]*MASTER[[#This Row],[COSTO UNITARIO]]</f>
        <v>442</v>
      </c>
      <c r="V1170" s="2">
        <f>MASTER[[#This Row],[MONTO VENDIDO]]-MASTER[[#This Row],[COSTO DE VENTA]]</f>
        <v>770</v>
      </c>
    </row>
    <row r="1171" spans="1:22" x14ac:dyDescent="0.3">
      <c r="A1171">
        <v>24515</v>
      </c>
      <c r="B1171">
        <v>1</v>
      </c>
      <c r="C1171" t="s">
        <v>94</v>
      </c>
      <c r="D1171" t="s">
        <v>95</v>
      </c>
      <c r="E1171" s="1">
        <v>43969</v>
      </c>
      <c r="F1171">
        <v>1</v>
      </c>
      <c r="G1171" t="s">
        <v>43</v>
      </c>
      <c r="H1171" t="s">
        <v>44</v>
      </c>
      <c r="I1171" s="3">
        <v>1153</v>
      </c>
      <c r="J1171" s="3">
        <v>1153</v>
      </c>
      <c r="K1171" s="3">
        <v>392</v>
      </c>
      <c r="L1171" t="s">
        <v>9</v>
      </c>
      <c r="M1171">
        <v>18</v>
      </c>
      <c r="N1171" t="s">
        <v>79</v>
      </c>
      <c r="O1171" t="s">
        <v>70</v>
      </c>
      <c r="P1171" t="s">
        <v>15</v>
      </c>
      <c r="Q1171" t="s">
        <v>16</v>
      </c>
      <c r="R1171" t="s">
        <v>16</v>
      </c>
      <c r="S1171" t="s">
        <v>144</v>
      </c>
      <c r="T1171" s="2">
        <f>MASTER[[#This Row],[CANTIDAD]]*MASTER[[#This Row],[PRECIO DE VENTA]]</f>
        <v>1153</v>
      </c>
      <c r="U1171" s="2">
        <f>MASTER[[#This Row],[CANTIDAD]]*MASTER[[#This Row],[COSTO UNITARIO]]</f>
        <v>392</v>
      </c>
      <c r="V1171" s="2">
        <f>MASTER[[#This Row],[MONTO VENDIDO]]-MASTER[[#This Row],[COSTO DE VENTA]]</f>
        <v>761</v>
      </c>
    </row>
    <row r="1172" spans="1:22" x14ac:dyDescent="0.3">
      <c r="A1172">
        <v>24521</v>
      </c>
      <c r="B1172">
        <v>1</v>
      </c>
      <c r="C1172" t="s">
        <v>116</v>
      </c>
      <c r="D1172" t="s">
        <v>117</v>
      </c>
      <c r="E1172" s="1">
        <v>43969</v>
      </c>
      <c r="F1172">
        <v>1</v>
      </c>
      <c r="G1172" t="s">
        <v>22</v>
      </c>
      <c r="H1172" t="s">
        <v>23</v>
      </c>
      <c r="I1172" s="3">
        <v>1999</v>
      </c>
      <c r="J1172" s="3">
        <v>1999</v>
      </c>
      <c r="K1172" s="3">
        <v>388</v>
      </c>
      <c r="L1172" t="s">
        <v>113</v>
      </c>
      <c r="M1172">
        <v>3</v>
      </c>
      <c r="N1172" t="s">
        <v>69</v>
      </c>
      <c r="O1172" t="s">
        <v>70</v>
      </c>
      <c r="P1172" t="s">
        <v>71</v>
      </c>
      <c r="Q1172" t="s">
        <v>72</v>
      </c>
      <c r="R1172" t="s">
        <v>139</v>
      </c>
      <c r="S1172" t="s">
        <v>144</v>
      </c>
      <c r="T1172" s="2">
        <f>MASTER[[#This Row],[CANTIDAD]]*MASTER[[#This Row],[PRECIO DE VENTA]]</f>
        <v>1999</v>
      </c>
      <c r="U1172" s="2">
        <f>MASTER[[#This Row],[CANTIDAD]]*MASTER[[#This Row],[COSTO UNITARIO]]</f>
        <v>388</v>
      </c>
      <c r="V1172" s="2">
        <f>MASTER[[#This Row],[MONTO VENDIDO]]-MASTER[[#This Row],[COSTO DE VENTA]]</f>
        <v>1611</v>
      </c>
    </row>
    <row r="1173" spans="1:22" x14ac:dyDescent="0.3">
      <c r="A1173">
        <v>24530</v>
      </c>
      <c r="B1173">
        <v>1</v>
      </c>
      <c r="C1173" t="s">
        <v>94</v>
      </c>
      <c r="D1173" t="s">
        <v>95</v>
      </c>
      <c r="E1173" s="1">
        <v>43969</v>
      </c>
      <c r="F1173">
        <v>1</v>
      </c>
      <c r="G1173" t="s">
        <v>57</v>
      </c>
      <c r="H1173" t="s">
        <v>58</v>
      </c>
      <c r="I1173" s="3">
        <v>1048</v>
      </c>
      <c r="J1173" s="3">
        <v>1048</v>
      </c>
      <c r="K1173" s="3">
        <v>392</v>
      </c>
      <c r="L1173" t="s">
        <v>9</v>
      </c>
      <c r="M1173">
        <v>4</v>
      </c>
      <c r="N1173" t="s">
        <v>82</v>
      </c>
      <c r="O1173" t="s">
        <v>81</v>
      </c>
      <c r="P1173" t="s">
        <v>71</v>
      </c>
      <c r="Q1173" t="s">
        <v>72</v>
      </c>
      <c r="R1173" t="s">
        <v>139</v>
      </c>
      <c r="S1173" t="s">
        <v>144</v>
      </c>
      <c r="T1173" s="2">
        <f>MASTER[[#This Row],[CANTIDAD]]*MASTER[[#This Row],[PRECIO DE VENTA]]</f>
        <v>1048</v>
      </c>
      <c r="U1173" s="2">
        <f>MASTER[[#This Row],[CANTIDAD]]*MASTER[[#This Row],[COSTO UNITARIO]]</f>
        <v>392</v>
      </c>
      <c r="V1173" s="2">
        <f>MASTER[[#This Row],[MONTO VENDIDO]]-MASTER[[#This Row],[COSTO DE VENTA]]</f>
        <v>656</v>
      </c>
    </row>
    <row r="1174" spans="1:22" x14ac:dyDescent="0.3">
      <c r="A1174">
        <v>24539</v>
      </c>
      <c r="B1174">
        <v>1</v>
      </c>
      <c r="C1174" t="s">
        <v>103</v>
      </c>
      <c r="D1174" t="s">
        <v>104</v>
      </c>
      <c r="E1174" s="1">
        <v>43969</v>
      </c>
      <c r="F1174">
        <v>1</v>
      </c>
      <c r="G1174" t="s">
        <v>65</v>
      </c>
      <c r="H1174" t="s">
        <v>66</v>
      </c>
      <c r="I1174" s="3">
        <v>1591</v>
      </c>
      <c r="J1174" s="3">
        <v>1591</v>
      </c>
      <c r="K1174" s="3">
        <v>421</v>
      </c>
      <c r="L1174" t="s">
        <v>98</v>
      </c>
      <c r="M1174">
        <v>15</v>
      </c>
      <c r="N1174" t="s">
        <v>88</v>
      </c>
      <c r="O1174" t="s">
        <v>81</v>
      </c>
      <c r="P1174" t="s">
        <v>18</v>
      </c>
      <c r="Q1174" t="s">
        <v>19</v>
      </c>
      <c r="R1174" t="s">
        <v>138</v>
      </c>
      <c r="S1174" t="s">
        <v>144</v>
      </c>
      <c r="T1174" s="2">
        <f>MASTER[[#This Row],[CANTIDAD]]*MASTER[[#This Row],[PRECIO DE VENTA]]</f>
        <v>1591</v>
      </c>
      <c r="U1174" s="2">
        <f>MASTER[[#This Row],[CANTIDAD]]*MASTER[[#This Row],[COSTO UNITARIO]]</f>
        <v>421</v>
      </c>
      <c r="V1174" s="2">
        <f>MASTER[[#This Row],[MONTO VENDIDO]]-MASTER[[#This Row],[COSTO DE VENTA]]</f>
        <v>1170</v>
      </c>
    </row>
    <row r="1175" spans="1:22" x14ac:dyDescent="0.3">
      <c r="A1175">
        <v>24543</v>
      </c>
      <c r="B1175">
        <v>1</v>
      </c>
      <c r="C1175" t="s">
        <v>103</v>
      </c>
      <c r="D1175" t="s">
        <v>104</v>
      </c>
      <c r="E1175" s="1">
        <v>43969</v>
      </c>
      <c r="F1175">
        <v>1</v>
      </c>
      <c r="G1175" t="s">
        <v>29</v>
      </c>
      <c r="H1175" t="s">
        <v>30</v>
      </c>
      <c r="I1175" s="3">
        <v>1448</v>
      </c>
      <c r="J1175" s="3">
        <v>1448</v>
      </c>
      <c r="K1175" s="3">
        <v>421</v>
      </c>
      <c r="L1175" t="s">
        <v>98</v>
      </c>
      <c r="M1175">
        <v>12</v>
      </c>
      <c r="N1175" t="s">
        <v>26</v>
      </c>
      <c r="O1175" t="s">
        <v>11</v>
      </c>
      <c r="P1175" t="s">
        <v>12</v>
      </c>
      <c r="Q1175" t="s">
        <v>13</v>
      </c>
      <c r="R1175" t="s">
        <v>13</v>
      </c>
      <c r="S1175" t="s">
        <v>144</v>
      </c>
      <c r="T1175" s="2">
        <f>MASTER[[#This Row],[CANTIDAD]]*MASTER[[#This Row],[PRECIO DE VENTA]]</f>
        <v>1448</v>
      </c>
      <c r="U1175" s="2">
        <f>MASTER[[#This Row],[CANTIDAD]]*MASTER[[#This Row],[COSTO UNITARIO]]</f>
        <v>421</v>
      </c>
      <c r="V1175" s="2">
        <f>MASTER[[#This Row],[MONTO VENDIDO]]-MASTER[[#This Row],[COSTO DE VENTA]]</f>
        <v>1027</v>
      </c>
    </row>
    <row r="1176" spans="1:22" x14ac:dyDescent="0.3">
      <c r="A1176">
        <v>24549</v>
      </c>
      <c r="B1176">
        <v>1</v>
      </c>
      <c r="C1176" t="s">
        <v>121</v>
      </c>
      <c r="D1176" t="s">
        <v>122</v>
      </c>
      <c r="E1176" s="1">
        <v>43969</v>
      </c>
      <c r="F1176">
        <v>1</v>
      </c>
      <c r="G1176" t="s">
        <v>7</v>
      </c>
      <c r="H1176" t="s">
        <v>8</v>
      </c>
      <c r="I1176" s="3">
        <v>1069</v>
      </c>
      <c r="J1176" s="3">
        <v>1069</v>
      </c>
      <c r="K1176" s="3">
        <v>460</v>
      </c>
      <c r="L1176" t="s">
        <v>120</v>
      </c>
      <c r="M1176">
        <v>7</v>
      </c>
      <c r="N1176" t="s">
        <v>84</v>
      </c>
      <c r="O1176" t="s">
        <v>81</v>
      </c>
      <c r="P1176" t="s">
        <v>12</v>
      </c>
      <c r="Q1176" t="s">
        <v>13</v>
      </c>
      <c r="R1176" t="s">
        <v>13</v>
      </c>
      <c r="S1176" t="s">
        <v>144</v>
      </c>
      <c r="T1176" s="2">
        <f>MASTER[[#This Row],[CANTIDAD]]*MASTER[[#This Row],[PRECIO DE VENTA]]</f>
        <v>1069</v>
      </c>
      <c r="U1176" s="2">
        <f>MASTER[[#This Row],[CANTIDAD]]*MASTER[[#This Row],[COSTO UNITARIO]]</f>
        <v>460</v>
      </c>
      <c r="V1176" s="2">
        <f>MASTER[[#This Row],[MONTO VENDIDO]]-MASTER[[#This Row],[COSTO DE VENTA]]</f>
        <v>609</v>
      </c>
    </row>
    <row r="1177" spans="1:22" x14ac:dyDescent="0.3">
      <c r="A1177">
        <v>24555</v>
      </c>
      <c r="B1177">
        <v>1</v>
      </c>
      <c r="C1177" t="s">
        <v>116</v>
      </c>
      <c r="D1177" t="s">
        <v>117</v>
      </c>
      <c r="E1177" s="1">
        <v>43969</v>
      </c>
      <c r="F1177">
        <v>1</v>
      </c>
      <c r="G1177" t="s">
        <v>39</v>
      </c>
      <c r="H1177" t="s">
        <v>40</v>
      </c>
      <c r="I1177" s="3">
        <v>1738</v>
      </c>
      <c r="J1177" s="3">
        <v>1738</v>
      </c>
      <c r="K1177" s="3">
        <v>388</v>
      </c>
      <c r="L1177" t="s">
        <v>113</v>
      </c>
      <c r="M1177">
        <v>2</v>
      </c>
      <c r="N1177" t="s">
        <v>86</v>
      </c>
      <c r="O1177" t="s">
        <v>81</v>
      </c>
      <c r="P1177" t="s">
        <v>71</v>
      </c>
      <c r="Q1177" t="s">
        <v>72</v>
      </c>
      <c r="R1177" t="s">
        <v>139</v>
      </c>
      <c r="S1177" t="s">
        <v>144</v>
      </c>
      <c r="T1177" s="2">
        <f>MASTER[[#This Row],[CANTIDAD]]*MASTER[[#This Row],[PRECIO DE VENTA]]</f>
        <v>1738</v>
      </c>
      <c r="U1177" s="2">
        <f>MASTER[[#This Row],[CANTIDAD]]*MASTER[[#This Row],[COSTO UNITARIO]]</f>
        <v>388</v>
      </c>
      <c r="V1177" s="2">
        <f>MASTER[[#This Row],[MONTO VENDIDO]]-MASTER[[#This Row],[COSTO DE VENTA]]</f>
        <v>1350</v>
      </c>
    </row>
    <row r="1178" spans="1:22" x14ac:dyDescent="0.3">
      <c r="A1178">
        <v>24556</v>
      </c>
      <c r="B1178">
        <v>1</v>
      </c>
      <c r="C1178" t="s">
        <v>94</v>
      </c>
      <c r="D1178" t="s">
        <v>95</v>
      </c>
      <c r="E1178" s="1">
        <v>43969</v>
      </c>
      <c r="F1178">
        <v>1</v>
      </c>
      <c r="G1178" t="s">
        <v>47</v>
      </c>
      <c r="H1178" t="s">
        <v>48</v>
      </c>
      <c r="I1178" s="3">
        <v>901</v>
      </c>
      <c r="J1178" s="3">
        <v>855</v>
      </c>
      <c r="K1178" s="3">
        <v>392</v>
      </c>
      <c r="L1178" t="s">
        <v>9</v>
      </c>
      <c r="M1178">
        <v>17</v>
      </c>
      <c r="N1178" t="s">
        <v>14</v>
      </c>
      <c r="O1178" t="s">
        <v>11</v>
      </c>
      <c r="P1178" t="s">
        <v>15</v>
      </c>
      <c r="Q1178" t="s">
        <v>16</v>
      </c>
      <c r="R1178" t="s">
        <v>16</v>
      </c>
      <c r="S1178" t="s">
        <v>144</v>
      </c>
      <c r="T1178" s="2">
        <f>MASTER[[#This Row],[CANTIDAD]]*MASTER[[#This Row],[PRECIO DE VENTA]]</f>
        <v>855</v>
      </c>
      <c r="U1178" s="2">
        <f>MASTER[[#This Row],[CANTIDAD]]*MASTER[[#This Row],[COSTO UNITARIO]]</f>
        <v>392</v>
      </c>
      <c r="V1178" s="2">
        <f>MASTER[[#This Row],[MONTO VENDIDO]]-MASTER[[#This Row],[COSTO DE VENTA]]</f>
        <v>463</v>
      </c>
    </row>
    <row r="1179" spans="1:22" x14ac:dyDescent="0.3">
      <c r="A1179">
        <v>24572</v>
      </c>
      <c r="B1179">
        <v>1</v>
      </c>
      <c r="C1179" t="s">
        <v>103</v>
      </c>
      <c r="D1179" t="s">
        <v>104</v>
      </c>
      <c r="E1179" s="1">
        <v>43969</v>
      </c>
      <c r="F1179">
        <v>1</v>
      </c>
      <c r="G1179" t="s">
        <v>65</v>
      </c>
      <c r="H1179" t="s">
        <v>66</v>
      </c>
      <c r="I1179" s="3">
        <v>1591</v>
      </c>
      <c r="J1179" s="3">
        <v>1591</v>
      </c>
      <c r="K1179" s="3">
        <v>421</v>
      </c>
      <c r="L1179" t="s">
        <v>98</v>
      </c>
      <c r="M1179">
        <v>5</v>
      </c>
      <c r="N1179" t="s">
        <v>85</v>
      </c>
      <c r="O1179" t="s">
        <v>81</v>
      </c>
      <c r="P1179" t="s">
        <v>12</v>
      </c>
      <c r="Q1179" t="s">
        <v>13</v>
      </c>
      <c r="R1179" t="s">
        <v>13</v>
      </c>
      <c r="S1179" t="s">
        <v>144</v>
      </c>
      <c r="T1179" s="2">
        <f>MASTER[[#This Row],[CANTIDAD]]*MASTER[[#This Row],[PRECIO DE VENTA]]</f>
        <v>1591</v>
      </c>
      <c r="U1179" s="2">
        <f>MASTER[[#This Row],[CANTIDAD]]*MASTER[[#This Row],[COSTO UNITARIO]]</f>
        <v>421</v>
      </c>
      <c r="V1179" s="2">
        <f>MASTER[[#This Row],[MONTO VENDIDO]]-MASTER[[#This Row],[COSTO DE VENTA]]</f>
        <v>1170</v>
      </c>
    </row>
    <row r="1180" spans="1:22" x14ac:dyDescent="0.3">
      <c r="A1180">
        <v>24581</v>
      </c>
      <c r="B1180">
        <v>1</v>
      </c>
      <c r="C1180" t="s">
        <v>118</v>
      </c>
      <c r="D1180" t="s">
        <v>119</v>
      </c>
      <c r="E1180" s="1">
        <v>43969</v>
      </c>
      <c r="F1180">
        <v>1</v>
      </c>
      <c r="G1180" t="s">
        <v>7</v>
      </c>
      <c r="H1180" t="s">
        <v>8</v>
      </c>
      <c r="I1180" s="3">
        <v>1026</v>
      </c>
      <c r="J1180" s="3">
        <v>1026</v>
      </c>
      <c r="K1180" s="3">
        <v>424</v>
      </c>
      <c r="L1180" t="s">
        <v>120</v>
      </c>
      <c r="M1180">
        <v>1</v>
      </c>
      <c r="N1180" t="s">
        <v>77</v>
      </c>
      <c r="O1180" t="s">
        <v>70</v>
      </c>
      <c r="P1180" t="s">
        <v>71</v>
      </c>
      <c r="Q1180" t="s">
        <v>72</v>
      </c>
      <c r="R1180" t="s">
        <v>139</v>
      </c>
      <c r="S1180" t="s">
        <v>144</v>
      </c>
      <c r="T1180" s="2">
        <f>MASTER[[#This Row],[CANTIDAD]]*MASTER[[#This Row],[PRECIO DE VENTA]]</f>
        <v>1026</v>
      </c>
      <c r="U1180" s="2">
        <f>MASTER[[#This Row],[CANTIDAD]]*MASTER[[#This Row],[COSTO UNITARIO]]</f>
        <v>424</v>
      </c>
      <c r="V1180" s="2">
        <f>MASTER[[#This Row],[MONTO VENDIDO]]-MASTER[[#This Row],[COSTO DE VENTA]]</f>
        <v>602</v>
      </c>
    </row>
    <row r="1181" spans="1:22" x14ac:dyDescent="0.3">
      <c r="A1181">
        <v>24601</v>
      </c>
      <c r="B1181">
        <v>1</v>
      </c>
      <c r="C1181" t="s">
        <v>103</v>
      </c>
      <c r="D1181" t="s">
        <v>104</v>
      </c>
      <c r="E1181" s="1">
        <v>43969</v>
      </c>
      <c r="F1181">
        <v>1</v>
      </c>
      <c r="G1181" t="s">
        <v>33</v>
      </c>
      <c r="H1181" t="s">
        <v>34</v>
      </c>
      <c r="I1181" s="3">
        <v>1591</v>
      </c>
      <c r="J1181" s="3">
        <v>1591</v>
      </c>
      <c r="K1181" s="3">
        <v>421</v>
      </c>
      <c r="L1181" t="s">
        <v>98</v>
      </c>
      <c r="M1181">
        <v>2</v>
      </c>
      <c r="N1181" t="s">
        <v>86</v>
      </c>
      <c r="O1181" t="s">
        <v>81</v>
      </c>
      <c r="P1181" t="s">
        <v>71</v>
      </c>
      <c r="Q1181" t="s">
        <v>72</v>
      </c>
      <c r="R1181" t="s">
        <v>139</v>
      </c>
      <c r="S1181" t="s">
        <v>144</v>
      </c>
      <c r="T1181" s="2">
        <f>MASTER[[#This Row],[CANTIDAD]]*MASTER[[#This Row],[PRECIO DE VENTA]]</f>
        <v>1591</v>
      </c>
      <c r="U1181" s="2">
        <f>MASTER[[#This Row],[CANTIDAD]]*MASTER[[#This Row],[COSTO UNITARIO]]</f>
        <v>421</v>
      </c>
      <c r="V1181" s="2">
        <f>MASTER[[#This Row],[MONTO VENDIDO]]-MASTER[[#This Row],[COSTO DE VENTA]]</f>
        <v>1170</v>
      </c>
    </row>
    <row r="1182" spans="1:22" x14ac:dyDescent="0.3">
      <c r="A1182">
        <v>24620</v>
      </c>
      <c r="B1182">
        <v>1</v>
      </c>
      <c r="C1182" t="s">
        <v>114</v>
      </c>
      <c r="D1182" t="s">
        <v>115</v>
      </c>
      <c r="E1182" s="1">
        <v>43969</v>
      </c>
      <c r="F1182">
        <v>1</v>
      </c>
      <c r="G1182" t="s">
        <v>39</v>
      </c>
      <c r="H1182" t="s">
        <v>40</v>
      </c>
      <c r="I1182" s="3">
        <v>2030</v>
      </c>
      <c r="J1182" s="3">
        <v>2030</v>
      </c>
      <c r="K1182" s="3">
        <v>394</v>
      </c>
      <c r="L1182" t="s">
        <v>113</v>
      </c>
      <c r="M1182">
        <v>6</v>
      </c>
      <c r="N1182" t="s">
        <v>75</v>
      </c>
      <c r="O1182" t="s">
        <v>70</v>
      </c>
      <c r="P1182" t="s">
        <v>12</v>
      </c>
      <c r="Q1182" t="s">
        <v>13</v>
      </c>
      <c r="R1182" t="s">
        <v>13</v>
      </c>
      <c r="S1182" t="s">
        <v>144</v>
      </c>
      <c r="T1182" s="2">
        <f>MASTER[[#This Row],[CANTIDAD]]*MASTER[[#This Row],[PRECIO DE VENTA]]</f>
        <v>2030</v>
      </c>
      <c r="U1182" s="2">
        <f>MASTER[[#This Row],[CANTIDAD]]*MASTER[[#This Row],[COSTO UNITARIO]]</f>
        <v>394</v>
      </c>
      <c r="V1182" s="2">
        <f>MASTER[[#This Row],[MONTO VENDIDO]]-MASTER[[#This Row],[COSTO DE VENTA]]</f>
        <v>1636</v>
      </c>
    </row>
    <row r="1183" spans="1:22" x14ac:dyDescent="0.3">
      <c r="A1183">
        <v>24627</v>
      </c>
      <c r="B1183">
        <v>1</v>
      </c>
      <c r="C1183" t="s">
        <v>5</v>
      </c>
      <c r="D1183" t="s">
        <v>6</v>
      </c>
      <c r="E1183" s="1">
        <v>43970</v>
      </c>
      <c r="F1183">
        <v>1</v>
      </c>
      <c r="G1183" t="s">
        <v>35</v>
      </c>
      <c r="H1183" t="s">
        <v>36</v>
      </c>
      <c r="I1183" s="3">
        <v>1507</v>
      </c>
      <c r="J1183" s="3">
        <v>1507</v>
      </c>
      <c r="K1183" s="3">
        <v>393</v>
      </c>
      <c r="L1183" t="s">
        <v>9</v>
      </c>
      <c r="M1183">
        <v>8</v>
      </c>
      <c r="N1183" t="s">
        <v>80</v>
      </c>
      <c r="O1183" t="s">
        <v>81</v>
      </c>
      <c r="P1183" t="s">
        <v>12</v>
      </c>
      <c r="Q1183" t="s">
        <v>13</v>
      </c>
      <c r="R1183" t="s">
        <v>13</v>
      </c>
      <c r="S1183" t="s">
        <v>144</v>
      </c>
      <c r="T1183" s="2">
        <f>MASTER[[#This Row],[CANTIDAD]]*MASTER[[#This Row],[PRECIO DE VENTA]]</f>
        <v>1507</v>
      </c>
      <c r="U1183" s="2">
        <f>MASTER[[#This Row],[CANTIDAD]]*MASTER[[#This Row],[COSTO UNITARIO]]</f>
        <v>393</v>
      </c>
      <c r="V1183" s="2">
        <f>MASTER[[#This Row],[MONTO VENDIDO]]-MASTER[[#This Row],[COSTO DE VENTA]]</f>
        <v>1114</v>
      </c>
    </row>
    <row r="1184" spans="1:22" x14ac:dyDescent="0.3">
      <c r="A1184">
        <v>24627</v>
      </c>
      <c r="B1184">
        <v>2</v>
      </c>
      <c r="C1184" t="s">
        <v>5</v>
      </c>
      <c r="D1184" t="s">
        <v>6</v>
      </c>
      <c r="E1184" s="1">
        <v>43970</v>
      </c>
      <c r="F1184">
        <v>1</v>
      </c>
      <c r="G1184" t="s">
        <v>41</v>
      </c>
      <c r="H1184" t="s">
        <v>42</v>
      </c>
      <c r="I1184" s="3">
        <v>1507</v>
      </c>
      <c r="J1184" s="3">
        <v>1507</v>
      </c>
      <c r="K1184" s="3">
        <v>393</v>
      </c>
      <c r="L1184" t="s">
        <v>9</v>
      </c>
      <c r="M1184">
        <v>8</v>
      </c>
      <c r="N1184" t="s">
        <v>80</v>
      </c>
      <c r="O1184" t="s">
        <v>81</v>
      </c>
      <c r="P1184" t="s">
        <v>12</v>
      </c>
      <c r="Q1184" t="s">
        <v>13</v>
      </c>
      <c r="R1184" t="s">
        <v>13</v>
      </c>
      <c r="S1184" t="s">
        <v>144</v>
      </c>
      <c r="T1184" s="2">
        <f>MASTER[[#This Row],[CANTIDAD]]*MASTER[[#This Row],[PRECIO DE VENTA]]</f>
        <v>1507</v>
      </c>
      <c r="U1184" s="2">
        <f>MASTER[[#This Row],[CANTIDAD]]*MASTER[[#This Row],[COSTO UNITARIO]]</f>
        <v>393</v>
      </c>
      <c r="V1184" s="2">
        <f>MASTER[[#This Row],[MONTO VENDIDO]]-MASTER[[#This Row],[COSTO DE VENTA]]</f>
        <v>1114</v>
      </c>
    </row>
    <row r="1185" spans="1:22" x14ac:dyDescent="0.3">
      <c r="A1185">
        <v>24634</v>
      </c>
      <c r="B1185">
        <v>1</v>
      </c>
      <c r="C1185" t="s">
        <v>103</v>
      </c>
      <c r="D1185" t="s">
        <v>104</v>
      </c>
      <c r="E1185" s="1">
        <v>43970</v>
      </c>
      <c r="F1185">
        <v>1</v>
      </c>
      <c r="G1185" t="s">
        <v>67</v>
      </c>
      <c r="H1185" t="s">
        <v>68</v>
      </c>
      <c r="I1185" s="3">
        <v>1591</v>
      </c>
      <c r="J1185" s="3">
        <v>1495</v>
      </c>
      <c r="K1185" s="3">
        <v>421</v>
      </c>
      <c r="L1185" t="s">
        <v>98</v>
      </c>
      <c r="M1185">
        <v>8</v>
      </c>
      <c r="N1185" t="s">
        <v>80</v>
      </c>
      <c r="O1185" t="s">
        <v>81</v>
      </c>
      <c r="P1185" t="s">
        <v>12</v>
      </c>
      <c r="Q1185" t="s">
        <v>13</v>
      </c>
      <c r="R1185" t="s">
        <v>13</v>
      </c>
      <c r="S1185" t="s">
        <v>144</v>
      </c>
      <c r="T1185" s="2">
        <f>MASTER[[#This Row],[CANTIDAD]]*MASTER[[#This Row],[PRECIO DE VENTA]]</f>
        <v>1495</v>
      </c>
      <c r="U1185" s="2">
        <f>MASTER[[#This Row],[CANTIDAD]]*MASTER[[#This Row],[COSTO UNITARIO]]</f>
        <v>421</v>
      </c>
      <c r="V1185" s="2">
        <f>MASTER[[#This Row],[MONTO VENDIDO]]-MASTER[[#This Row],[COSTO DE VENTA]]</f>
        <v>1074</v>
      </c>
    </row>
    <row r="1186" spans="1:22" x14ac:dyDescent="0.3">
      <c r="A1186">
        <v>24638</v>
      </c>
      <c r="B1186">
        <v>1</v>
      </c>
      <c r="C1186" t="s">
        <v>92</v>
      </c>
      <c r="D1186" t="s">
        <v>93</v>
      </c>
      <c r="E1186" s="1">
        <v>43970</v>
      </c>
      <c r="F1186">
        <v>1</v>
      </c>
      <c r="G1186" t="s">
        <v>29</v>
      </c>
      <c r="H1186" t="s">
        <v>30</v>
      </c>
      <c r="I1186" s="3">
        <v>1681</v>
      </c>
      <c r="J1186" s="3">
        <v>1681</v>
      </c>
      <c r="K1186" s="3">
        <v>396</v>
      </c>
      <c r="L1186" t="s">
        <v>9</v>
      </c>
      <c r="M1186">
        <v>14</v>
      </c>
      <c r="N1186" t="s">
        <v>87</v>
      </c>
      <c r="O1186" t="s">
        <v>81</v>
      </c>
      <c r="P1186" t="s">
        <v>18</v>
      </c>
      <c r="Q1186" t="s">
        <v>19</v>
      </c>
      <c r="R1186" t="s">
        <v>138</v>
      </c>
      <c r="S1186" t="s">
        <v>144</v>
      </c>
      <c r="T1186" s="2">
        <f>MASTER[[#This Row],[CANTIDAD]]*MASTER[[#This Row],[PRECIO DE VENTA]]</f>
        <v>1681</v>
      </c>
      <c r="U1186" s="2">
        <f>MASTER[[#This Row],[CANTIDAD]]*MASTER[[#This Row],[COSTO UNITARIO]]</f>
        <v>396</v>
      </c>
      <c r="V1186" s="2">
        <f>MASTER[[#This Row],[MONTO VENDIDO]]-MASTER[[#This Row],[COSTO DE VENTA]]</f>
        <v>1285</v>
      </c>
    </row>
    <row r="1187" spans="1:22" x14ac:dyDescent="0.3">
      <c r="A1187">
        <v>24648</v>
      </c>
      <c r="B1187">
        <v>1</v>
      </c>
      <c r="C1187" t="s">
        <v>121</v>
      </c>
      <c r="D1187" t="s">
        <v>122</v>
      </c>
      <c r="E1187" s="1">
        <v>43970</v>
      </c>
      <c r="F1187">
        <v>3</v>
      </c>
      <c r="G1187" t="s">
        <v>22</v>
      </c>
      <c r="H1187" t="s">
        <v>23</v>
      </c>
      <c r="I1187" s="3">
        <v>1069</v>
      </c>
      <c r="J1187" s="3">
        <v>1069</v>
      </c>
      <c r="K1187" s="3">
        <v>460</v>
      </c>
      <c r="L1187" t="s">
        <v>120</v>
      </c>
      <c r="M1187">
        <v>15</v>
      </c>
      <c r="N1187" t="s">
        <v>88</v>
      </c>
      <c r="O1187" t="s">
        <v>81</v>
      </c>
      <c r="P1187" t="s">
        <v>18</v>
      </c>
      <c r="Q1187" t="s">
        <v>19</v>
      </c>
      <c r="R1187" t="s">
        <v>138</v>
      </c>
      <c r="S1187" t="s">
        <v>144</v>
      </c>
      <c r="T1187" s="2">
        <f>MASTER[[#This Row],[CANTIDAD]]*MASTER[[#This Row],[PRECIO DE VENTA]]</f>
        <v>3207</v>
      </c>
      <c r="U1187" s="2">
        <f>MASTER[[#This Row],[CANTIDAD]]*MASTER[[#This Row],[COSTO UNITARIO]]</f>
        <v>1380</v>
      </c>
      <c r="V1187" s="2">
        <f>MASTER[[#This Row],[MONTO VENDIDO]]-MASTER[[#This Row],[COSTO DE VENTA]]</f>
        <v>1827</v>
      </c>
    </row>
    <row r="1188" spans="1:22" x14ac:dyDescent="0.3">
      <c r="A1188">
        <v>24678</v>
      </c>
      <c r="B1188">
        <v>1</v>
      </c>
      <c r="C1188" t="s">
        <v>121</v>
      </c>
      <c r="D1188" t="s">
        <v>122</v>
      </c>
      <c r="E1188" s="1">
        <v>43970</v>
      </c>
      <c r="F1188">
        <v>1</v>
      </c>
      <c r="G1188" t="s">
        <v>37</v>
      </c>
      <c r="H1188" t="s">
        <v>38</v>
      </c>
      <c r="I1188" s="3">
        <v>1069</v>
      </c>
      <c r="J1188" s="3">
        <v>1069</v>
      </c>
      <c r="K1188" s="3">
        <v>460</v>
      </c>
      <c r="L1188" t="s">
        <v>120</v>
      </c>
      <c r="M1188">
        <v>14</v>
      </c>
      <c r="N1188" t="s">
        <v>87</v>
      </c>
      <c r="O1188" t="s">
        <v>81</v>
      </c>
      <c r="P1188" t="s">
        <v>18</v>
      </c>
      <c r="Q1188" t="s">
        <v>19</v>
      </c>
      <c r="R1188" t="s">
        <v>138</v>
      </c>
      <c r="S1188" t="s">
        <v>144</v>
      </c>
      <c r="T1188" s="2">
        <f>MASTER[[#This Row],[CANTIDAD]]*MASTER[[#This Row],[PRECIO DE VENTA]]</f>
        <v>1069</v>
      </c>
      <c r="U1188" s="2">
        <f>MASTER[[#This Row],[CANTIDAD]]*MASTER[[#This Row],[COSTO UNITARIO]]</f>
        <v>460</v>
      </c>
      <c r="V1188" s="2">
        <f>MASTER[[#This Row],[MONTO VENDIDO]]-MASTER[[#This Row],[COSTO DE VENTA]]</f>
        <v>609</v>
      </c>
    </row>
    <row r="1189" spans="1:22" x14ac:dyDescent="0.3">
      <c r="A1189">
        <v>24687</v>
      </c>
      <c r="B1189">
        <v>1</v>
      </c>
      <c r="C1189" t="s">
        <v>121</v>
      </c>
      <c r="D1189" t="s">
        <v>122</v>
      </c>
      <c r="E1189" s="1">
        <v>43970</v>
      </c>
      <c r="F1189">
        <v>1</v>
      </c>
      <c r="G1189" t="s">
        <v>20</v>
      </c>
      <c r="H1189" t="s">
        <v>21</v>
      </c>
      <c r="I1189" s="3">
        <v>1144</v>
      </c>
      <c r="J1189" s="3">
        <v>1144</v>
      </c>
      <c r="K1189" s="3">
        <v>460</v>
      </c>
      <c r="L1189" t="s">
        <v>120</v>
      </c>
      <c r="M1189">
        <v>9</v>
      </c>
      <c r="N1189" t="s">
        <v>76</v>
      </c>
      <c r="O1189" t="s">
        <v>70</v>
      </c>
      <c r="P1189" t="s">
        <v>12</v>
      </c>
      <c r="Q1189" t="s">
        <v>13</v>
      </c>
      <c r="R1189" t="s">
        <v>13</v>
      </c>
      <c r="S1189" t="s">
        <v>144</v>
      </c>
      <c r="T1189" s="2">
        <f>MASTER[[#This Row],[CANTIDAD]]*MASTER[[#This Row],[PRECIO DE VENTA]]</f>
        <v>1144</v>
      </c>
      <c r="U1189" s="2">
        <f>MASTER[[#This Row],[CANTIDAD]]*MASTER[[#This Row],[COSTO UNITARIO]]</f>
        <v>460</v>
      </c>
      <c r="V1189" s="2">
        <f>MASTER[[#This Row],[MONTO VENDIDO]]-MASTER[[#This Row],[COSTO DE VENTA]]</f>
        <v>684</v>
      </c>
    </row>
    <row r="1190" spans="1:22" x14ac:dyDescent="0.3">
      <c r="A1190">
        <v>24705</v>
      </c>
      <c r="B1190">
        <v>1</v>
      </c>
      <c r="C1190" t="s">
        <v>5</v>
      </c>
      <c r="D1190" t="s">
        <v>6</v>
      </c>
      <c r="E1190" s="1">
        <v>43970</v>
      </c>
      <c r="F1190">
        <v>1</v>
      </c>
      <c r="G1190" t="s">
        <v>33</v>
      </c>
      <c r="H1190" t="s">
        <v>34</v>
      </c>
      <c r="I1190" s="3">
        <v>1311</v>
      </c>
      <c r="J1190" s="3">
        <v>1311</v>
      </c>
      <c r="K1190" s="3">
        <v>393</v>
      </c>
      <c r="L1190" t="s">
        <v>9</v>
      </c>
      <c r="M1190">
        <v>11</v>
      </c>
      <c r="N1190" t="s">
        <v>10</v>
      </c>
      <c r="O1190" t="s">
        <v>11</v>
      </c>
      <c r="P1190" t="s">
        <v>12</v>
      </c>
      <c r="Q1190" t="s">
        <v>13</v>
      </c>
      <c r="R1190" t="s">
        <v>13</v>
      </c>
      <c r="S1190" t="s">
        <v>144</v>
      </c>
      <c r="T1190" s="2">
        <f>MASTER[[#This Row],[CANTIDAD]]*MASTER[[#This Row],[PRECIO DE VENTA]]</f>
        <v>1311</v>
      </c>
      <c r="U1190" s="2">
        <f>MASTER[[#This Row],[CANTIDAD]]*MASTER[[#This Row],[COSTO UNITARIO]]</f>
        <v>393</v>
      </c>
      <c r="V1190" s="2">
        <f>MASTER[[#This Row],[MONTO VENDIDO]]-MASTER[[#This Row],[COSTO DE VENTA]]</f>
        <v>918</v>
      </c>
    </row>
    <row r="1191" spans="1:22" x14ac:dyDescent="0.3">
      <c r="A1191">
        <v>24708</v>
      </c>
      <c r="B1191">
        <v>1</v>
      </c>
      <c r="C1191" t="s">
        <v>107</v>
      </c>
      <c r="D1191" t="s">
        <v>108</v>
      </c>
      <c r="E1191" s="1">
        <v>43970</v>
      </c>
      <c r="F1191">
        <v>1</v>
      </c>
      <c r="G1191" t="s">
        <v>29</v>
      </c>
      <c r="H1191" t="s">
        <v>30</v>
      </c>
      <c r="I1191" s="3">
        <v>1333</v>
      </c>
      <c r="J1191" s="3">
        <v>1333</v>
      </c>
      <c r="K1191" s="3">
        <v>380</v>
      </c>
      <c r="L1191" t="s">
        <v>98</v>
      </c>
      <c r="M1191">
        <v>7</v>
      </c>
      <c r="N1191" t="s">
        <v>84</v>
      </c>
      <c r="O1191" t="s">
        <v>81</v>
      </c>
      <c r="P1191" t="s">
        <v>12</v>
      </c>
      <c r="Q1191" t="s">
        <v>13</v>
      </c>
      <c r="R1191" t="s">
        <v>13</v>
      </c>
      <c r="S1191" t="s">
        <v>144</v>
      </c>
      <c r="T1191" s="2">
        <f>MASTER[[#This Row],[CANTIDAD]]*MASTER[[#This Row],[PRECIO DE VENTA]]</f>
        <v>1333</v>
      </c>
      <c r="U1191" s="2">
        <f>MASTER[[#This Row],[CANTIDAD]]*MASTER[[#This Row],[COSTO UNITARIO]]</f>
        <v>380</v>
      </c>
      <c r="V1191" s="2">
        <f>MASTER[[#This Row],[MONTO VENDIDO]]-MASTER[[#This Row],[COSTO DE VENTA]]</f>
        <v>953</v>
      </c>
    </row>
    <row r="1192" spans="1:22" x14ac:dyDescent="0.3">
      <c r="A1192">
        <v>24709</v>
      </c>
      <c r="B1192">
        <v>1</v>
      </c>
      <c r="C1192" t="s">
        <v>92</v>
      </c>
      <c r="D1192" t="s">
        <v>93</v>
      </c>
      <c r="E1192" s="1">
        <v>43971</v>
      </c>
      <c r="F1192">
        <v>1</v>
      </c>
      <c r="G1192" t="s">
        <v>20</v>
      </c>
      <c r="H1192" t="s">
        <v>21</v>
      </c>
      <c r="I1192" s="3">
        <v>1479</v>
      </c>
      <c r="J1192" s="3">
        <v>1479</v>
      </c>
      <c r="K1192" s="3">
        <v>396</v>
      </c>
      <c r="L1192" t="s">
        <v>9</v>
      </c>
      <c r="M1192">
        <v>17</v>
      </c>
      <c r="N1192" t="s">
        <v>14</v>
      </c>
      <c r="O1192" t="s">
        <v>11</v>
      </c>
      <c r="P1192" t="s">
        <v>15</v>
      </c>
      <c r="Q1192" t="s">
        <v>16</v>
      </c>
      <c r="R1192" t="s">
        <v>16</v>
      </c>
      <c r="S1192" t="s">
        <v>144</v>
      </c>
      <c r="T1192" s="2">
        <f>MASTER[[#This Row],[CANTIDAD]]*MASTER[[#This Row],[PRECIO DE VENTA]]</f>
        <v>1479</v>
      </c>
      <c r="U1192" s="2">
        <f>MASTER[[#This Row],[CANTIDAD]]*MASTER[[#This Row],[COSTO UNITARIO]]</f>
        <v>396</v>
      </c>
      <c r="V1192" s="2">
        <f>MASTER[[#This Row],[MONTO VENDIDO]]-MASTER[[#This Row],[COSTO DE VENTA]]</f>
        <v>1083</v>
      </c>
    </row>
    <row r="1193" spans="1:22" x14ac:dyDescent="0.3">
      <c r="A1193">
        <v>24711</v>
      </c>
      <c r="B1193">
        <v>1</v>
      </c>
      <c r="C1193" t="s">
        <v>92</v>
      </c>
      <c r="D1193" t="s">
        <v>93</v>
      </c>
      <c r="E1193" s="1">
        <v>43971</v>
      </c>
      <c r="F1193">
        <v>1</v>
      </c>
      <c r="G1193" t="s">
        <v>33</v>
      </c>
      <c r="H1193" t="s">
        <v>34</v>
      </c>
      <c r="I1193" s="3">
        <v>1866</v>
      </c>
      <c r="J1193" s="3">
        <v>1866</v>
      </c>
      <c r="K1193" s="3">
        <v>396</v>
      </c>
      <c r="L1193" t="s">
        <v>9</v>
      </c>
      <c r="M1193">
        <v>6</v>
      </c>
      <c r="N1193" t="s">
        <v>75</v>
      </c>
      <c r="O1193" t="s">
        <v>70</v>
      </c>
      <c r="P1193" t="s">
        <v>12</v>
      </c>
      <c r="Q1193" t="s">
        <v>13</v>
      </c>
      <c r="R1193" t="s">
        <v>13</v>
      </c>
      <c r="S1193" t="s">
        <v>144</v>
      </c>
      <c r="T1193" s="2">
        <f>MASTER[[#This Row],[CANTIDAD]]*MASTER[[#This Row],[PRECIO DE VENTA]]</f>
        <v>1866</v>
      </c>
      <c r="U1193" s="2">
        <f>MASTER[[#This Row],[CANTIDAD]]*MASTER[[#This Row],[COSTO UNITARIO]]</f>
        <v>396</v>
      </c>
      <c r="V1193" s="2">
        <f>MASTER[[#This Row],[MONTO VENDIDO]]-MASTER[[#This Row],[COSTO DE VENTA]]</f>
        <v>1470</v>
      </c>
    </row>
    <row r="1194" spans="1:22" x14ac:dyDescent="0.3">
      <c r="A1194">
        <v>24716</v>
      </c>
      <c r="B1194">
        <v>1</v>
      </c>
      <c r="C1194" t="s">
        <v>5</v>
      </c>
      <c r="D1194" t="s">
        <v>6</v>
      </c>
      <c r="E1194" s="1">
        <v>43971</v>
      </c>
      <c r="F1194">
        <v>1</v>
      </c>
      <c r="G1194" t="s">
        <v>61</v>
      </c>
      <c r="H1194" t="s">
        <v>62</v>
      </c>
      <c r="I1194" s="3">
        <v>1507</v>
      </c>
      <c r="J1194" s="3">
        <v>1401</v>
      </c>
      <c r="K1194" s="3">
        <v>393</v>
      </c>
      <c r="L1194" t="s">
        <v>9</v>
      </c>
      <c r="M1194">
        <v>2</v>
      </c>
      <c r="N1194" t="s">
        <v>86</v>
      </c>
      <c r="O1194" t="s">
        <v>81</v>
      </c>
      <c r="P1194" t="s">
        <v>71</v>
      </c>
      <c r="Q1194" t="s">
        <v>72</v>
      </c>
      <c r="R1194" t="s">
        <v>139</v>
      </c>
      <c r="S1194" t="s">
        <v>144</v>
      </c>
      <c r="T1194" s="2">
        <f>MASTER[[#This Row],[CANTIDAD]]*MASTER[[#This Row],[PRECIO DE VENTA]]</f>
        <v>1401</v>
      </c>
      <c r="U1194" s="2">
        <f>MASTER[[#This Row],[CANTIDAD]]*MASTER[[#This Row],[COSTO UNITARIO]]</f>
        <v>393</v>
      </c>
      <c r="V1194" s="2">
        <f>MASTER[[#This Row],[MONTO VENDIDO]]-MASTER[[#This Row],[COSTO DE VENTA]]</f>
        <v>1008</v>
      </c>
    </row>
    <row r="1195" spans="1:22" x14ac:dyDescent="0.3">
      <c r="A1195">
        <v>24732</v>
      </c>
      <c r="B1195">
        <v>1</v>
      </c>
      <c r="C1195" t="s">
        <v>90</v>
      </c>
      <c r="D1195" t="s">
        <v>91</v>
      </c>
      <c r="E1195" s="1">
        <v>43971</v>
      </c>
      <c r="F1195">
        <v>1</v>
      </c>
      <c r="G1195" t="s">
        <v>61</v>
      </c>
      <c r="H1195" t="s">
        <v>62</v>
      </c>
      <c r="I1195" s="3">
        <v>1660</v>
      </c>
      <c r="J1195" s="3">
        <v>1660</v>
      </c>
      <c r="K1195" s="3">
        <v>420</v>
      </c>
      <c r="L1195" t="s">
        <v>9</v>
      </c>
      <c r="M1195">
        <v>12</v>
      </c>
      <c r="N1195" t="s">
        <v>26</v>
      </c>
      <c r="O1195" t="s">
        <v>11</v>
      </c>
      <c r="P1195" t="s">
        <v>12</v>
      </c>
      <c r="Q1195" t="s">
        <v>13</v>
      </c>
      <c r="R1195" t="s">
        <v>13</v>
      </c>
      <c r="S1195" t="s">
        <v>144</v>
      </c>
      <c r="T1195" s="2">
        <f>MASTER[[#This Row],[CANTIDAD]]*MASTER[[#This Row],[PRECIO DE VENTA]]</f>
        <v>1660</v>
      </c>
      <c r="U1195" s="2">
        <f>MASTER[[#This Row],[CANTIDAD]]*MASTER[[#This Row],[COSTO UNITARIO]]</f>
        <v>420</v>
      </c>
      <c r="V1195" s="2">
        <f>MASTER[[#This Row],[MONTO VENDIDO]]-MASTER[[#This Row],[COSTO DE VENTA]]</f>
        <v>1240</v>
      </c>
    </row>
    <row r="1196" spans="1:22" x14ac:dyDescent="0.3">
      <c r="A1196">
        <v>24743</v>
      </c>
      <c r="B1196">
        <v>1</v>
      </c>
      <c r="C1196" t="s">
        <v>114</v>
      </c>
      <c r="D1196" t="s">
        <v>115</v>
      </c>
      <c r="E1196" s="1">
        <v>43971</v>
      </c>
      <c r="F1196">
        <v>1</v>
      </c>
      <c r="G1196" t="s">
        <v>65</v>
      </c>
      <c r="H1196" t="s">
        <v>66</v>
      </c>
      <c r="I1196" s="3">
        <v>2030</v>
      </c>
      <c r="J1196" s="3">
        <v>2030</v>
      </c>
      <c r="K1196" s="3">
        <v>394</v>
      </c>
      <c r="L1196" t="s">
        <v>113</v>
      </c>
      <c r="M1196">
        <v>1</v>
      </c>
      <c r="N1196" t="s">
        <v>77</v>
      </c>
      <c r="O1196" t="s">
        <v>70</v>
      </c>
      <c r="P1196" t="s">
        <v>71</v>
      </c>
      <c r="Q1196" t="s">
        <v>72</v>
      </c>
      <c r="R1196" t="s">
        <v>139</v>
      </c>
      <c r="S1196" t="s">
        <v>144</v>
      </c>
      <c r="T1196" s="2">
        <f>MASTER[[#This Row],[CANTIDAD]]*MASTER[[#This Row],[PRECIO DE VENTA]]</f>
        <v>2030</v>
      </c>
      <c r="U1196" s="2">
        <f>MASTER[[#This Row],[CANTIDAD]]*MASTER[[#This Row],[COSTO UNITARIO]]</f>
        <v>394</v>
      </c>
      <c r="V1196" s="2">
        <f>MASTER[[#This Row],[MONTO VENDIDO]]-MASTER[[#This Row],[COSTO DE VENTA]]</f>
        <v>1636</v>
      </c>
    </row>
    <row r="1197" spans="1:22" x14ac:dyDescent="0.3">
      <c r="A1197">
        <v>24747</v>
      </c>
      <c r="B1197">
        <v>1</v>
      </c>
      <c r="C1197" t="s">
        <v>111</v>
      </c>
      <c r="D1197" t="s">
        <v>112</v>
      </c>
      <c r="E1197" s="1">
        <v>43971</v>
      </c>
      <c r="F1197">
        <v>1</v>
      </c>
      <c r="G1197" t="s">
        <v>41</v>
      </c>
      <c r="H1197" t="s">
        <v>42</v>
      </c>
      <c r="I1197" s="3">
        <v>1799</v>
      </c>
      <c r="J1197" s="3">
        <v>1799</v>
      </c>
      <c r="K1197" s="3">
        <v>434</v>
      </c>
      <c r="L1197" t="s">
        <v>113</v>
      </c>
      <c r="M1197">
        <v>1</v>
      </c>
      <c r="N1197" t="s">
        <v>77</v>
      </c>
      <c r="O1197" t="s">
        <v>70</v>
      </c>
      <c r="P1197" t="s">
        <v>71</v>
      </c>
      <c r="Q1197" t="s">
        <v>72</v>
      </c>
      <c r="R1197" t="s">
        <v>139</v>
      </c>
      <c r="S1197" t="s">
        <v>144</v>
      </c>
      <c r="T1197" s="2">
        <f>MASTER[[#This Row],[CANTIDAD]]*MASTER[[#This Row],[PRECIO DE VENTA]]</f>
        <v>1799</v>
      </c>
      <c r="U1197" s="2">
        <f>MASTER[[#This Row],[CANTIDAD]]*MASTER[[#This Row],[COSTO UNITARIO]]</f>
        <v>434</v>
      </c>
      <c r="V1197" s="2">
        <f>MASTER[[#This Row],[MONTO VENDIDO]]-MASTER[[#This Row],[COSTO DE VENTA]]</f>
        <v>1365</v>
      </c>
    </row>
    <row r="1198" spans="1:22" x14ac:dyDescent="0.3">
      <c r="A1198">
        <v>24754</v>
      </c>
      <c r="B1198">
        <v>1</v>
      </c>
      <c r="C1198" t="s">
        <v>99</v>
      </c>
      <c r="D1198" t="s">
        <v>100</v>
      </c>
      <c r="E1198" s="1">
        <v>43971</v>
      </c>
      <c r="F1198">
        <v>1</v>
      </c>
      <c r="G1198" t="s">
        <v>22</v>
      </c>
      <c r="H1198" t="s">
        <v>23</v>
      </c>
      <c r="I1198" s="3">
        <v>1328</v>
      </c>
      <c r="J1198" s="3">
        <v>1328</v>
      </c>
      <c r="K1198" s="3">
        <v>386</v>
      </c>
      <c r="L1198" t="s">
        <v>98</v>
      </c>
      <c r="M1198">
        <v>17</v>
      </c>
      <c r="N1198" t="s">
        <v>14</v>
      </c>
      <c r="O1198" t="s">
        <v>11</v>
      </c>
      <c r="P1198" t="s">
        <v>15</v>
      </c>
      <c r="Q1198" t="s">
        <v>16</v>
      </c>
      <c r="R1198" t="s">
        <v>16</v>
      </c>
      <c r="S1198" t="s">
        <v>144</v>
      </c>
      <c r="T1198" s="2">
        <f>MASTER[[#This Row],[CANTIDAD]]*MASTER[[#This Row],[PRECIO DE VENTA]]</f>
        <v>1328</v>
      </c>
      <c r="U1198" s="2">
        <f>MASTER[[#This Row],[CANTIDAD]]*MASTER[[#This Row],[COSTO UNITARIO]]</f>
        <v>386</v>
      </c>
      <c r="V1198" s="2">
        <f>MASTER[[#This Row],[MONTO VENDIDO]]-MASTER[[#This Row],[COSTO DE VENTA]]</f>
        <v>942</v>
      </c>
    </row>
    <row r="1199" spans="1:22" x14ac:dyDescent="0.3">
      <c r="A1199">
        <v>24759</v>
      </c>
      <c r="B1199">
        <v>1</v>
      </c>
      <c r="C1199" t="s">
        <v>90</v>
      </c>
      <c r="D1199" t="s">
        <v>91</v>
      </c>
      <c r="E1199" s="1">
        <v>43972</v>
      </c>
      <c r="F1199">
        <v>2</v>
      </c>
      <c r="G1199" t="s">
        <v>61</v>
      </c>
      <c r="H1199" t="s">
        <v>62</v>
      </c>
      <c r="I1199" s="3">
        <v>1844</v>
      </c>
      <c r="J1199" s="3">
        <v>1844</v>
      </c>
      <c r="K1199" s="3">
        <v>420</v>
      </c>
      <c r="L1199" t="s">
        <v>9</v>
      </c>
      <c r="M1199">
        <v>10</v>
      </c>
      <c r="N1199" t="s">
        <v>83</v>
      </c>
      <c r="O1199" t="s">
        <v>81</v>
      </c>
      <c r="P1199" t="s">
        <v>12</v>
      </c>
      <c r="Q1199" t="s">
        <v>13</v>
      </c>
      <c r="R1199" t="s">
        <v>13</v>
      </c>
      <c r="S1199" t="s">
        <v>144</v>
      </c>
      <c r="T1199" s="2">
        <f>MASTER[[#This Row],[CANTIDAD]]*MASTER[[#This Row],[PRECIO DE VENTA]]</f>
        <v>3688</v>
      </c>
      <c r="U1199" s="2">
        <f>MASTER[[#This Row],[CANTIDAD]]*MASTER[[#This Row],[COSTO UNITARIO]]</f>
        <v>840</v>
      </c>
      <c r="V1199" s="2">
        <f>MASTER[[#This Row],[MONTO VENDIDO]]-MASTER[[#This Row],[COSTO DE VENTA]]</f>
        <v>2848</v>
      </c>
    </row>
    <row r="1200" spans="1:22" x14ac:dyDescent="0.3">
      <c r="A1200">
        <v>24766</v>
      </c>
      <c r="B1200">
        <v>1</v>
      </c>
      <c r="C1200" t="s">
        <v>105</v>
      </c>
      <c r="D1200" t="s">
        <v>106</v>
      </c>
      <c r="E1200" s="1">
        <v>43972</v>
      </c>
      <c r="F1200">
        <v>4</v>
      </c>
      <c r="G1200" t="s">
        <v>59</v>
      </c>
      <c r="H1200" t="s">
        <v>60</v>
      </c>
      <c r="I1200" s="3">
        <v>1865</v>
      </c>
      <c r="J1200" s="3">
        <v>1865</v>
      </c>
      <c r="K1200" s="3">
        <v>459</v>
      </c>
      <c r="L1200" t="s">
        <v>98</v>
      </c>
      <c r="M1200">
        <v>8</v>
      </c>
      <c r="N1200" t="s">
        <v>80</v>
      </c>
      <c r="O1200" t="s">
        <v>81</v>
      </c>
      <c r="P1200" t="s">
        <v>12</v>
      </c>
      <c r="Q1200" t="s">
        <v>13</v>
      </c>
      <c r="R1200" t="s">
        <v>13</v>
      </c>
      <c r="S1200" t="s">
        <v>144</v>
      </c>
      <c r="T1200" s="2">
        <f>MASTER[[#This Row],[CANTIDAD]]*MASTER[[#This Row],[PRECIO DE VENTA]]</f>
        <v>7460</v>
      </c>
      <c r="U1200" s="2">
        <f>MASTER[[#This Row],[CANTIDAD]]*MASTER[[#This Row],[COSTO UNITARIO]]</f>
        <v>1836</v>
      </c>
      <c r="V1200" s="2">
        <f>MASTER[[#This Row],[MONTO VENDIDO]]-MASTER[[#This Row],[COSTO DE VENTA]]</f>
        <v>5624</v>
      </c>
    </row>
    <row r="1201" spans="1:22" x14ac:dyDescent="0.3">
      <c r="A1201">
        <v>24771</v>
      </c>
      <c r="B1201">
        <v>1</v>
      </c>
      <c r="C1201" t="s">
        <v>111</v>
      </c>
      <c r="D1201" t="s">
        <v>112</v>
      </c>
      <c r="E1201" s="1">
        <v>43972</v>
      </c>
      <c r="F1201">
        <v>1</v>
      </c>
      <c r="G1201" t="s">
        <v>45</v>
      </c>
      <c r="H1201" t="s">
        <v>46</v>
      </c>
      <c r="I1201" s="3">
        <v>1799</v>
      </c>
      <c r="J1201" s="3">
        <v>1799</v>
      </c>
      <c r="K1201" s="3">
        <v>434</v>
      </c>
      <c r="L1201" t="s">
        <v>113</v>
      </c>
      <c r="M1201">
        <v>13</v>
      </c>
      <c r="N1201" t="s">
        <v>78</v>
      </c>
      <c r="O1201" t="s">
        <v>70</v>
      </c>
      <c r="P1201" t="s">
        <v>18</v>
      </c>
      <c r="Q1201" t="s">
        <v>19</v>
      </c>
      <c r="R1201" t="s">
        <v>138</v>
      </c>
      <c r="S1201" t="s">
        <v>144</v>
      </c>
      <c r="T1201" s="2">
        <f>MASTER[[#This Row],[CANTIDAD]]*MASTER[[#This Row],[PRECIO DE VENTA]]</f>
        <v>1799</v>
      </c>
      <c r="U1201" s="2">
        <f>MASTER[[#This Row],[CANTIDAD]]*MASTER[[#This Row],[COSTO UNITARIO]]</f>
        <v>434</v>
      </c>
      <c r="V1201" s="2">
        <f>MASTER[[#This Row],[MONTO VENDIDO]]-MASTER[[#This Row],[COSTO DE VENTA]]</f>
        <v>1365</v>
      </c>
    </row>
    <row r="1202" spans="1:22" x14ac:dyDescent="0.3">
      <c r="A1202">
        <v>24792</v>
      </c>
      <c r="B1202">
        <v>1</v>
      </c>
      <c r="C1202" t="s">
        <v>94</v>
      </c>
      <c r="D1202" t="s">
        <v>95</v>
      </c>
      <c r="E1202" s="1">
        <v>43972</v>
      </c>
      <c r="F1202">
        <v>1</v>
      </c>
      <c r="G1202" t="s">
        <v>33</v>
      </c>
      <c r="H1202" t="s">
        <v>34</v>
      </c>
      <c r="I1202" s="3">
        <v>1153</v>
      </c>
      <c r="J1202" s="3">
        <v>1106</v>
      </c>
      <c r="K1202" s="3">
        <v>392</v>
      </c>
      <c r="L1202" t="s">
        <v>9</v>
      </c>
      <c r="M1202">
        <v>13</v>
      </c>
      <c r="N1202" t="s">
        <v>78</v>
      </c>
      <c r="O1202" t="s">
        <v>70</v>
      </c>
      <c r="P1202" t="s">
        <v>18</v>
      </c>
      <c r="Q1202" t="s">
        <v>19</v>
      </c>
      <c r="R1202" t="s">
        <v>138</v>
      </c>
      <c r="S1202" t="s">
        <v>144</v>
      </c>
      <c r="T1202" s="2">
        <f>MASTER[[#This Row],[CANTIDAD]]*MASTER[[#This Row],[PRECIO DE VENTA]]</f>
        <v>1106</v>
      </c>
      <c r="U1202" s="2">
        <f>MASTER[[#This Row],[CANTIDAD]]*MASTER[[#This Row],[COSTO UNITARIO]]</f>
        <v>392</v>
      </c>
      <c r="V1202" s="2">
        <f>MASTER[[#This Row],[MONTO VENDIDO]]-MASTER[[#This Row],[COSTO DE VENTA]]</f>
        <v>714</v>
      </c>
    </row>
    <row r="1203" spans="1:22" x14ac:dyDescent="0.3">
      <c r="A1203">
        <v>24817</v>
      </c>
      <c r="B1203">
        <v>1</v>
      </c>
      <c r="C1203" t="s">
        <v>5</v>
      </c>
      <c r="D1203" t="s">
        <v>6</v>
      </c>
      <c r="E1203" s="1">
        <v>43972</v>
      </c>
      <c r="F1203">
        <v>1</v>
      </c>
      <c r="G1203" t="s">
        <v>37</v>
      </c>
      <c r="H1203" t="s">
        <v>38</v>
      </c>
      <c r="I1203" s="3">
        <v>1507</v>
      </c>
      <c r="J1203" s="3">
        <v>1507</v>
      </c>
      <c r="K1203" s="3">
        <v>393</v>
      </c>
      <c r="L1203" t="s">
        <v>9</v>
      </c>
      <c r="M1203">
        <v>8</v>
      </c>
      <c r="N1203" t="s">
        <v>80</v>
      </c>
      <c r="O1203" t="s">
        <v>81</v>
      </c>
      <c r="P1203" t="s">
        <v>12</v>
      </c>
      <c r="Q1203" t="s">
        <v>13</v>
      </c>
      <c r="R1203" t="s">
        <v>13</v>
      </c>
      <c r="S1203" t="s">
        <v>144</v>
      </c>
      <c r="T1203" s="2">
        <f>MASTER[[#This Row],[CANTIDAD]]*MASTER[[#This Row],[PRECIO DE VENTA]]</f>
        <v>1507</v>
      </c>
      <c r="U1203" s="2">
        <f>MASTER[[#This Row],[CANTIDAD]]*MASTER[[#This Row],[COSTO UNITARIO]]</f>
        <v>393</v>
      </c>
      <c r="V1203" s="2">
        <f>MASTER[[#This Row],[MONTO VENDIDO]]-MASTER[[#This Row],[COSTO DE VENTA]]</f>
        <v>1114</v>
      </c>
    </row>
    <row r="1204" spans="1:22" x14ac:dyDescent="0.3">
      <c r="A1204">
        <v>24819</v>
      </c>
      <c r="B1204">
        <v>1</v>
      </c>
      <c r="C1204" t="s">
        <v>94</v>
      </c>
      <c r="D1204" t="s">
        <v>95</v>
      </c>
      <c r="E1204" s="1">
        <v>43973</v>
      </c>
      <c r="F1204">
        <v>1</v>
      </c>
      <c r="G1204" t="s">
        <v>73</v>
      </c>
      <c r="H1204" t="s">
        <v>74</v>
      </c>
      <c r="I1204" s="3">
        <v>1048</v>
      </c>
      <c r="J1204" s="3">
        <v>1048</v>
      </c>
      <c r="K1204" s="3">
        <v>392</v>
      </c>
      <c r="L1204" t="s">
        <v>9</v>
      </c>
      <c r="M1204">
        <v>4</v>
      </c>
      <c r="N1204" t="s">
        <v>82</v>
      </c>
      <c r="O1204" t="s">
        <v>81</v>
      </c>
      <c r="P1204" t="s">
        <v>71</v>
      </c>
      <c r="Q1204" t="s">
        <v>72</v>
      </c>
      <c r="R1204" t="s">
        <v>139</v>
      </c>
      <c r="S1204" t="s">
        <v>144</v>
      </c>
      <c r="T1204" s="2">
        <f>MASTER[[#This Row],[CANTIDAD]]*MASTER[[#This Row],[PRECIO DE VENTA]]</f>
        <v>1048</v>
      </c>
      <c r="U1204" s="2">
        <f>MASTER[[#This Row],[CANTIDAD]]*MASTER[[#This Row],[COSTO UNITARIO]]</f>
        <v>392</v>
      </c>
      <c r="V1204" s="2">
        <f>MASTER[[#This Row],[MONTO VENDIDO]]-MASTER[[#This Row],[COSTO DE VENTA]]</f>
        <v>656</v>
      </c>
    </row>
    <row r="1205" spans="1:22" x14ac:dyDescent="0.3">
      <c r="A1205">
        <v>24827</v>
      </c>
      <c r="B1205">
        <v>1</v>
      </c>
      <c r="C1205" t="s">
        <v>96</v>
      </c>
      <c r="D1205" t="s">
        <v>97</v>
      </c>
      <c r="E1205" s="1">
        <v>43973</v>
      </c>
      <c r="F1205">
        <v>1</v>
      </c>
      <c r="G1205" t="s">
        <v>61</v>
      </c>
      <c r="H1205" t="s">
        <v>62</v>
      </c>
      <c r="I1205" s="3">
        <v>1272</v>
      </c>
      <c r="J1205" s="3">
        <v>1272</v>
      </c>
      <c r="K1205" s="3">
        <v>397</v>
      </c>
      <c r="L1205" t="s">
        <v>98</v>
      </c>
      <c r="M1205">
        <v>19</v>
      </c>
      <c r="N1205" t="s">
        <v>89</v>
      </c>
      <c r="O1205" t="s">
        <v>81</v>
      </c>
      <c r="P1205" t="s">
        <v>15</v>
      </c>
      <c r="Q1205" t="s">
        <v>16</v>
      </c>
      <c r="R1205" t="s">
        <v>16</v>
      </c>
      <c r="S1205" t="s">
        <v>144</v>
      </c>
      <c r="T1205" s="2">
        <f>MASTER[[#This Row],[CANTIDAD]]*MASTER[[#This Row],[PRECIO DE VENTA]]</f>
        <v>1272</v>
      </c>
      <c r="U1205" s="2">
        <f>MASTER[[#This Row],[CANTIDAD]]*MASTER[[#This Row],[COSTO UNITARIO]]</f>
        <v>397</v>
      </c>
      <c r="V1205" s="2">
        <f>MASTER[[#This Row],[MONTO VENDIDO]]-MASTER[[#This Row],[COSTO DE VENTA]]</f>
        <v>875</v>
      </c>
    </row>
    <row r="1206" spans="1:22" x14ac:dyDescent="0.3">
      <c r="A1206">
        <v>24836</v>
      </c>
      <c r="B1206">
        <v>1</v>
      </c>
      <c r="C1206" t="s">
        <v>105</v>
      </c>
      <c r="D1206" t="s">
        <v>106</v>
      </c>
      <c r="E1206" s="1">
        <v>43973</v>
      </c>
      <c r="F1206">
        <v>1</v>
      </c>
      <c r="G1206" t="s">
        <v>53</v>
      </c>
      <c r="H1206" t="s">
        <v>54</v>
      </c>
      <c r="I1206" s="3">
        <v>1865</v>
      </c>
      <c r="J1206" s="3">
        <v>1865</v>
      </c>
      <c r="K1206" s="3">
        <v>459</v>
      </c>
      <c r="L1206" t="s">
        <v>98</v>
      </c>
      <c r="M1206">
        <v>7</v>
      </c>
      <c r="N1206" t="s">
        <v>84</v>
      </c>
      <c r="O1206" t="s">
        <v>81</v>
      </c>
      <c r="P1206" t="s">
        <v>12</v>
      </c>
      <c r="Q1206" t="s">
        <v>13</v>
      </c>
      <c r="R1206" t="s">
        <v>13</v>
      </c>
      <c r="S1206" t="s">
        <v>144</v>
      </c>
      <c r="T1206" s="2">
        <f>MASTER[[#This Row],[CANTIDAD]]*MASTER[[#This Row],[PRECIO DE VENTA]]</f>
        <v>1865</v>
      </c>
      <c r="U1206" s="2">
        <f>MASTER[[#This Row],[CANTIDAD]]*MASTER[[#This Row],[COSTO UNITARIO]]</f>
        <v>459</v>
      </c>
      <c r="V1206" s="2">
        <f>MASTER[[#This Row],[MONTO VENDIDO]]-MASTER[[#This Row],[COSTO DE VENTA]]</f>
        <v>1406</v>
      </c>
    </row>
    <row r="1207" spans="1:22" x14ac:dyDescent="0.3">
      <c r="A1207">
        <v>24844</v>
      </c>
      <c r="B1207">
        <v>2</v>
      </c>
      <c r="C1207" t="s">
        <v>90</v>
      </c>
      <c r="D1207" t="s">
        <v>91</v>
      </c>
      <c r="E1207" s="1">
        <v>43973</v>
      </c>
      <c r="F1207">
        <v>1</v>
      </c>
      <c r="G1207" t="s">
        <v>61</v>
      </c>
      <c r="H1207" t="s">
        <v>62</v>
      </c>
      <c r="I1207" s="3">
        <v>1660</v>
      </c>
      <c r="J1207" s="3">
        <v>1660</v>
      </c>
      <c r="K1207" s="3">
        <v>420</v>
      </c>
      <c r="L1207" t="s">
        <v>9</v>
      </c>
      <c r="M1207">
        <v>16</v>
      </c>
      <c r="N1207" t="s">
        <v>17</v>
      </c>
      <c r="O1207" t="s">
        <v>11</v>
      </c>
      <c r="P1207" t="s">
        <v>18</v>
      </c>
      <c r="Q1207" t="s">
        <v>19</v>
      </c>
      <c r="R1207" t="s">
        <v>138</v>
      </c>
      <c r="S1207" t="s">
        <v>144</v>
      </c>
      <c r="T1207" s="2">
        <f>MASTER[[#This Row],[CANTIDAD]]*MASTER[[#This Row],[PRECIO DE VENTA]]</f>
        <v>1660</v>
      </c>
      <c r="U1207" s="2">
        <f>MASTER[[#This Row],[CANTIDAD]]*MASTER[[#This Row],[COSTO UNITARIO]]</f>
        <v>420</v>
      </c>
      <c r="V1207" s="2">
        <f>MASTER[[#This Row],[MONTO VENDIDO]]-MASTER[[#This Row],[COSTO DE VENTA]]</f>
        <v>1240</v>
      </c>
    </row>
    <row r="1208" spans="1:22" x14ac:dyDescent="0.3">
      <c r="A1208">
        <v>24844</v>
      </c>
      <c r="B1208">
        <v>1</v>
      </c>
      <c r="C1208" t="s">
        <v>94</v>
      </c>
      <c r="D1208" t="s">
        <v>95</v>
      </c>
      <c r="E1208" s="1">
        <v>43973</v>
      </c>
      <c r="F1208">
        <v>1</v>
      </c>
      <c r="G1208" t="s">
        <v>63</v>
      </c>
      <c r="H1208" t="s">
        <v>64</v>
      </c>
      <c r="I1208" s="3">
        <v>901</v>
      </c>
      <c r="J1208" s="3">
        <v>901</v>
      </c>
      <c r="K1208" s="3">
        <v>392</v>
      </c>
      <c r="L1208" t="s">
        <v>9</v>
      </c>
      <c r="M1208">
        <v>16</v>
      </c>
      <c r="N1208" t="s">
        <v>17</v>
      </c>
      <c r="O1208" t="s">
        <v>11</v>
      </c>
      <c r="P1208" t="s">
        <v>18</v>
      </c>
      <c r="Q1208" t="s">
        <v>19</v>
      </c>
      <c r="R1208" t="s">
        <v>138</v>
      </c>
      <c r="S1208" t="s">
        <v>144</v>
      </c>
      <c r="T1208" s="2">
        <f>MASTER[[#This Row],[CANTIDAD]]*MASTER[[#This Row],[PRECIO DE VENTA]]</f>
        <v>901</v>
      </c>
      <c r="U1208" s="2">
        <f>MASTER[[#This Row],[CANTIDAD]]*MASTER[[#This Row],[COSTO UNITARIO]]</f>
        <v>392</v>
      </c>
      <c r="V1208" s="2">
        <f>MASTER[[#This Row],[MONTO VENDIDO]]-MASTER[[#This Row],[COSTO DE VENTA]]</f>
        <v>509</v>
      </c>
    </row>
    <row r="1209" spans="1:22" x14ac:dyDescent="0.3">
      <c r="A1209">
        <v>24886</v>
      </c>
      <c r="B1209">
        <v>1</v>
      </c>
      <c r="C1209" t="s">
        <v>5</v>
      </c>
      <c r="D1209" t="s">
        <v>6</v>
      </c>
      <c r="E1209" s="1">
        <v>43973</v>
      </c>
      <c r="F1209">
        <v>1</v>
      </c>
      <c r="G1209" t="s">
        <v>65</v>
      </c>
      <c r="H1209" t="s">
        <v>66</v>
      </c>
      <c r="I1209" s="3">
        <v>1507</v>
      </c>
      <c r="J1209" s="3">
        <v>1507</v>
      </c>
      <c r="K1209" s="3">
        <v>393</v>
      </c>
      <c r="L1209" t="s">
        <v>9</v>
      </c>
      <c r="M1209">
        <v>19</v>
      </c>
      <c r="N1209" t="s">
        <v>89</v>
      </c>
      <c r="O1209" t="s">
        <v>81</v>
      </c>
      <c r="P1209" t="s">
        <v>15</v>
      </c>
      <c r="Q1209" t="s">
        <v>16</v>
      </c>
      <c r="R1209" t="s">
        <v>16</v>
      </c>
      <c r="S1209" t="s">
        <v>144</v>
      </c>
      <c r="T1209" s="2">
        <f>MASTER[[#This Row],[CANTIDAD]]*MASTER[[#This Row],[PRECIO DE VENTA]]</f>
        <v>1507</v>
      </c>
      <c r="U1209" s="2">
        <f>MASTER[[#This Row],[CANTIDAD]]*MASTER[[#This Row],[COSTO UNITARIO]]</f>
        <v>393</v>
      </c>
      <c r="V1209" s="2">
        <f>MASTER[[#This Row],[MONTO VENDIDO]]-MASTER[[#This Row],[COSTO DE VENTA]]</f>
        <v>1114</v>
      </c>
    </row>
    <row r="1210" spans="1:22" x14ac:dyDescent="0.3">
      <c r="A1210">
        <v>24897</v>
      </c>
      <c r="B1210">
        <v>1</v>
      </c>
      <c r="C1210" t="s">
        <v>114</v>
      </c>
      <c r="D1210" t="s">
        <v>115</v>
      </c>
      <c r="E1210" s="1">
        <v>43974</v>
      </c>
      <c r="F1210">
        <v>1</v>
      </c>
      <c r="G1210" t="s">
        <v>43</v>
      </c>
      <c r="H1210" t="s">
        <v>44</v>
      </c>
      <c r="I1210" s="3">
        <v>1862</v>
      </c>
      <c r="J1210" s="3">
        <v>1862</v>
      </c>
      <c r="K1210" s="3">
        <v>394</v>
      </c>
      <c r="L1210" t="s">
        <v>113</v>
      </c>
      <c r="M1210">
        <v>5</v>
      </c>
      <c r="N1210" t="s">
        <v>85</v>
      </c>
      <c r="O1210" t="s">
        <v>81</v>
      </c>
      <c r="P1210" t="s">
        <v>12</v>
      </c>
      <c r="Q1210" t="s">
        <v>13</v>
      </c>
      <c r="R1210" t="s">
        <v>13</v>
      </c>
      <c r="S1210" t="s">
        <v>144</v>
      </c>
      <c r="T1210" s="2">
        <f>MASTER[[#This Row],[CANTIDAD]]*MASTER[[#This Row],[PRECIO DE VENTA]]</f>
        <v>1862</v>
      </c>
      <c r="U1210" s="2">
        <f>MASTER[[#This Row],[CANTIDAD]]*MASTER[[#This Row],[COSTO UNITARIO]]</f>
        <v>394</v>
      </c>
      <c r="V1210" s="2">
        <f>MASTER[[#This Row],[MONTO VENDIDO]]-MASTER[[#This Row],[COSTO DE VENTA]]</f>
        <v>1468</v>
      </c>
    </row>
    <row r="1211" spans="1:22" x14ac:dyDescent="0.3">
      <c r="A1211">
        <v>24898</v>
      </c>
      <c r="B1211">
        <v>1</v>
      </c>
      <c r="C1211" t="s">
        <v>118</v>
      </c>
      <c r="D1211" t="s">
        <v>119</v>
      </c>
      <c r="E1211" s="1">
        <v>43974</v>
      </c>
      <c r="F1211">
        <v>1</v>
      </c>
      <c r="G1211" t="s">
        <v>59</v>
      </c>
      <c r="H1211" t="s">
        <v>60</v>
      </c>
      <c r="I1211" s="3">
        <v>1026</v>
      </c>
      <c r="J1211" s="3">
        <v>1026</v>
      </c>
      <c r="K1211" s="3">
        <v>424</v>
      </c>
      <c r="L1211" t="s">
        <v>120</v>
      </c>
      <c r="M1211">
        <v>1</v>
      </c>
      <c r="N1211" t="s">
        <v>77</v>
      </c>
      <c r="O1211" t="s">
        <v>70</v>
      </c>
      <c r="P1211" t="s">
        <v>71</v>
      </c>
      <c r="Q1211" t="s">
        <v>72</v>
      </c>
      <c r="R1211" t="s">
        <v>139</v>
      </c>
      <c r="S1211" t="s">
        <v>144</v>
      </c>
      <c r="T1211" s="2">
        <f>MASTER[[#This Row],[CANTIDAD]]*MASTER[[#This Row],[PRECIO DE VENTA]]</f>
        <v>1026</v>
      </c>
      <c r="U1211" s="2">
        <f>MASTER[[#This Row],[CANTIDAD]]*MASTER[[#This Row],[COSTO UNITARIO]]</f>
        <v>424</v>
      </c>
      <c r="V1211" s="2">
        <f>MASTER[[#This Row],[MONTO VENDIDO]]-MASTER[[#This Row],[COSTO DE VENTA]]</f>
        <v>602</v>
      </c>
    </row>
    <row r="1212" spans="1:22" x14ac:dyDescent="0.3">
      <c r="A1212">
        <v>24914</v>
      </c>
      <c r="B1212">
        <v>1</v>
      </c>
      <c r="C1212" t="s">
        <v>5</v>
      </c>
      <c r="D1212" t="s">
        <v>6</v>
      </c>
      <c r="E1212" s="1">
        <v>43974</v>
      </c>
      <c r="F1212">
        <v>1</v>
      </c>
      <c r="G1212" t="s">
        <v>41</v>
      </c>
      <c r="H1212" t="s">
        <v>42</v>
      </c>
      <c r="I1212" s="3">
        <v>1296</v>
      </c>
      <c r="J1212" s="3">
        <v>1296</v>
      </c>
      <c r="K1212" s="3">
        <v>393</v>
      </c>
      <c r="L1212" t="s">
        <v>9</v>
      </c>
      <c r="M1212">
        <v>1</v>
      </c>
      <c r="N1212" t="s">
        <v>77</v>
      </c>
      <c r="O1212" t="s">
        <v>70</v>
      </c>
      <c r="P1212" t="s">
        <v>71</v>
      </c>
      <c r="Q1212" t="s">
        <v>72</v>
      </c>
      <c r="R1212" t="s">
        <v>139</v>
      </c>
      <c r="S1212" t="s">
        <v>144</v>
      </c>
      <c r="T1212" s="2">
        <f>MASTER[[#This Row],[CANTIDAD]]*MASTER[[#This Row],[PRECIO DE VENTA]]</f>
        <v>1296</v>
      </c>
      <c r="U1212" s="2">
        <f>MASTER[[#This Row],[CANTIDAD]]*MASTER[[#This Row],[COSTO UNITARIO]]</f>
        <v>393</v>
      </c>
      <c r="V1212" s="2">
        <f>MASTER[[#This Row],[MONTO VENDIDO]]-MASTER[[#This Row],[COSTO DE VENTA]]</f>
        <v>903</v>
      </c>
    </row>
    <row r="1213" spans="1:22" x14ac:dyDescent="0.3">
      <c r="A1213">
        <v>24917</v>
      </c>
      <c r="B1213">
        <v>1</v>
      </c>
      <c r="C1213" t="s">
        <v>96</v>
      </c>
      <c r="D1213" t="s">
        <v>97</v>
      </c>
      <c r="E1213" s="1">
        <v>43974</v>
      </c>
      <c r="F1213">
        <v>1</v>
      </c>
      <c r="G1213" t="s">
        <v>47</v>
      </c>
      <c r="H1213" t="s">
        <v>48</v>
      </c>
      <c r="I1213" s="3">
        <v>1361</v>
      </c>
      <c r="J1213" s="3">
        <v>1361</v>
      </c>
      <c r="K1213" s="3">
        <v>397</v>
      </c>
      <c r="L1213" t="s">
        <v>98</v>
      </c>
      <c r="M1213">
        <v>13</v>
      </c>
      <c r="N1213" t="s">
        <v>78</v>
      </c>
      <c r="O1213" t="s">
        <v>70</v>
      </c>
      <c r="P1213" t="s">
        <v>18</v>
      </c>
      <c r="Q1213" t="s">
        <v>19</v>
      </c>
      <c r="R1213" t="s">
        <v>138</v>
      </c>
      <c r="S1213" t="s">
        <v>144</v>
      </c>
      <c r="T1213" s="2">
        <f>MASTER[[#This Row],[CANTIDAD]]*MASTER[[#This Row],[PRECIO DE VENTA]]</f>
        <v>1361</v>
      </c>
      <c r="U1213" s="2">
        <f>MASTER[[#This Row],[CANTIDAD]]*MASTER[[#This Row],[COSTO UNITARIO]]</f>
        <v>397</v>
      </c>
      <c r="V1213" s="2">
        <f>MASTER[[#This Row],[MONTO VENDIDO]]-MASTER[[#This Row],[COSTO DE VENTA]]</f>
        <v>964</v>
      </c>
    </row>
    <row r="1214" spans="1:22" x14ac:dyDescent="0.3">
      <c r="A1214">
        <v>24932</v>
      </c>
      <c r="B1214">
        <v>1</v>
      </c>
      <c r="C1214" t="s">
        <v>101</v>
      </c>
      <c r="D1214" t="s">
        <v>102</v>
      </c>
      <c r="E1214" s="1">
        <v>43974</v>
      </c>
      <c r="F1214">
        <v>1</v>
      </c>
      <c r="G1214" t="s">
        <v>33</v>
      </c>
      <c r="H1214" t="s">
        <v>34</v>
      </c>
      <c r="I1214" s="3">
        <v>1357</v>
      </c>
      <c r="J1214" s="3">
        <v>1357</v>
      </c>
      <c r="K1214" s="3">
        <v>442</v>
      </c>
      <c r="L1214" t="s">
        <v>98</v>
      </c>
      <c r="M1214">
        <v>3</v>
      </c>
      <c r="N1214" t="s">
        <v>69</v>
      </c>
      <c r="O1214" t="s">
        <v>70</v>
      </c>
      <c r="P1214" t="s">
        <v>71</v>
      </c>
      <c r="Q1214" t="s">
        <v>72</v>
      </c>
      <c r="R1214" t="s">
        <v>139</v>
      </c>
      <c r="S1214" t="s">
        <v>144</v>
      </c>
      <c r="T1214" s="2">
        <f>MASTER[[#This Row],[CANTIDAD]]*MASTER[[#This Row],[PRECIO DE VENTA]]</f>
        <v>1357</v>
      </c>
      <c r="U1214" s="2">
        <f>MASTER[[#This Row],[CANTIDAD]]*MASTER[[#This Row],[COSTO UNITARIO]]</f>
        <v>442</v>
      </c>
      <c r="V1214" s="2">
        <f>MASTER[[#This Row],[MONTO VENDIDO]]-MASTER[[#This Row],[COSTO DE VENTA]]</f>
        <v>915</v>
      </c>
    </row>
    <row r="1215" spans="1:22" x14ac:dyDescent="0.3">
      <c r="A1215">
        <v>24950</v>
      </c>
      <c r="B1215">
        <v>1</v>
      </c>
      <c r="C1215" t="s">
        <v>101</v>
      </c>
      <c r="D1215" t="s">
        <v>102</v>
      </c>
      <c r="E1215" s="1">
        <v>43974</v>
      </c>
      <c r="F1215">
        <v>1</v>
      </c>
      <c r="G1215" t="s">
        <v>24</v>
      </c>
      <c r="H1215" t="s">
        <v>25</v>
      </c>
      <c r="I1215" s="3">
        <v>1212</v>
      </c>
      <c r="J1215" s="3">
        <v>1212</v>
      </c>
      <c r="K1215" s="3">
        <v>442</v>
      </c>
      <c r="L1215" t="s">
        <v>98</v>
      </c>
      <c r="M1215">
        <v>15</v>
      </c>
      <c r="N1215" t="s">
        <v>88</v>
      </c>
      <c r="O1215" t="s">
        <v>81</v>
      </c>
      <c r="P1215" t="s">
        <v>18</v>
      </c>
      <c r="Q1215" t="s">
        <v>19</v>
      </c>
      <c r="R1215" t="s">
        <v>138</v>
      </c>
      <c r="S1215" t="s">
        <v>144</v>
      </c>
      <c r="T1215" s="2">
        <f>MASTER[[#This Row],[CANTIDAD]]*MASTER[[#This Row],[PRECIO DE VENTA]]</f>
        <v>1212</v>
      </c>
      <c r="U1215" s="2">
        <f>MASTER[[#This Row],[CANTIDAD]]*MASTER[[#This Row],[COSTO UNITARIO]]</f>
        <v>442</v>
      </c>
      <c r="V1215" s="2">
        <f>MASTER[[#This Row],[MONTO VENDIDO]]-MASTER[[#This Row],[COSTO DE VENTA]]</f>
        <v>770</v>
      </c>
    </row>
    <row r="1216" spans="1:22" x14ac:dyDescent="0.3">
      <c r="A1216">
        <v>24958</v>
      </c>
      <c r="B1216">
        <v>1</v>
      </c>
      <c r="C1216" t="s">
        <v>96</v>
      </c>
      <c r="D1216" t="s">
        <v>97</v>
      </c>
      <c r="E1216" s="1">
        <v>43974</v>
      </c>
      <c r="F1216">
        <v>1</v>
      </c>
      <c r="G1216" t="s">
        <v>57</v>
      </c>
      <c r="H1216" t="s">
        <v>58</v>
      </c>
      <c r="I1216" s="3">
        <v>1272</v>
      </c>
      <c r="J1216" s="3">
        <v>1272</v>
      </c>
      <c r="K1216" s="3">
        <v>397</v>
      </c>
      <c r="L1216" t="s">
        <v>98</v>
      </c>
      <c r="M1216">
        <v>8</v>
      </c>
      <c r="N1216" t="s">
        <v>80</v>
      </c>
      <c r="O1216" t="s">
        <v>81</v>
      </c>
      <c r="P1216" t="s">
        <v>12</v>
      </c>
      <c r="Q1216" t="s">
        <v>13</v>
      </c>
      <c r="R1216" t="s">
        <v>13</v>
      </c>
      <c r="S1216" t="s">
        <v>144</v>
      </c>
      <c r="T1216" s="2">
        <f>MASTER[[#This Row],[CANTIDAD]]*MASTER[[#This Row],[PRECIO DE VENTA]]</f>
        <v>1272</v>
      </c>
      <c r="U1216" s="2">
        <f>MASTER[[#This Row],[CANTIDAD]]*MASTER[[#This Row],[COSTO UNITARIO]]</f>
        <v>397</v>
      </c>
      <c r="V1216" s="2">
        <f>MASTER[[#This Row],[MONTO VENDIDO]]-MASTER[[#This Row],[COSTO DE VENTA]]</f>
        <v>875</v>
      </c>
    </row>
    <row r="1217" spans="1:22" x14ac:dyDescent="0.3">
      <c r="A1217">
        <v>24986</v>
      </c>
      <c r="B1217">
        <v>1</v>
      </c>
      <c r="C1217" t="s">
        <v>111</v>
      </c>
      <c r="D1217" t="s">
        <v>112</v>
      </c>
      <c r="E1217" s="1">
        <v>43975</v>
      </c>
      <c r="F1217">
        <v>1</v>
      </c>
      <c r="G1217" t="s">
        <v>27</v>
      </c>
      <c r="H1217" t="s">
        <v>28</v>
      </c>
      <c r="I1217" s="3">
        <v>1621</v>
      </c>
      <c r="J1217" s="3">
        <v>1621</v>
      </c>
      <c r="K1217" s="3">
        <v>434</v>
      </c>
      <c r="L1217" t="s">
        <v>113</v>
      </c>
      <c r="M1217">
        <v>15</v>
      </c>
      <c r="N1217" t="s">
        <v>88</v>
      </c>
      <c r="O1217" t="s">
        <v>81</v>
      </c>
      <c r="P1217" t="s">
        <v>18</v>
      </c>
      <c r="Q1217" t="s">
        <v>19</v>
      </c>
      <c r="R1217" t="s">
        <v>138</v>
      </c>
      <c r="S1217" t="s">
        <v>144</v>
      </c>
      <c r="T1217" s="2">
        <f>MASTER[[#This Row],[CANTIDAD]]*MASTER[[#This Row],[PRECIO DE VENTA]]</f>
        <v>1621</v>
      </c>
      <c r="U1217" s="2">
        <f>MASTER[[#This Row],[CANTIDAD]]*MASTER[[#This Row],[COSTO UNITARIO]]</f>
        <v>434</v>
      </c>
      <c r="V1217" s="2">
        <f>MASTER[[#This Row],[MONTO VENDIDO]]-MASTER[[#This Row],[COSTO DE VENTA]]</f>
        <v>1187</v>
      </c>
    </row>
    <row r="1218" spans="1:22" x14ac:dyDescent="0.3">
      <c r="A1218">
        <v>24987</v>
      </c>
      <c r="B1218">
        <v>1</v>
      </c>
      <c r="C1218" t="s">
        <v>96</v>
      </c>
      <c r="D1218" t="s">
        <v>97</v>
      </c>
      <c r="E1218" s="1">
        <v>43975</v>
      </c>
      <c r="F1218">
        <v>1</v>
      </c>
      <c r="G1218" t="s">
        <v>47</v>
      </c>
      <c r="H1218" t="s">
        <v>48</v>
      </c>
      <c r="I1218" s="3">
        <v>1272</v>
      </c>
      <c r="J1218" s="3">
        <v>1272</v>
      </c>
      <c r="K1218" s="3">
        <v>397</v>
      </c>
      <c r="L1218" t="s">
        <v>98</v>
      </c>
      <c r="M1218">
        <v>2</v>
      </c>
      <c r="N1218" t="s">
        <v>86</v>
      </c>
      <c r="O1218" t="s">
        <v>81</v>
      </c>
      <c r="P1218" t="s">
        <v>71</v>
      </c>
      <c r="Q1218" t="s">
        <v>72</v>
      </c>
      <c r="R1218" t="s">
        <v>139</v>
      </c>
      <c r="S1218" t="s">
        <v>144</v>
      </c>
      <c r="T1218" s="2">
        <f>MASTER[[#This Row],[CANTIDAD]]*MASTER[[#This Row],[PRECIO DE VENTA]]</f>
        <v>1272</v>
      </c>
      <c r="U1218" s="2">
        <f>MASTER[[#This Row],[CANTIDAD]]*MASTER[[#This Row],[COSTO UNITARIO]]</f>
        <v>397</v>
      </c>
      <c r="V1218" s="2">
        <f>MASTER[[#This Row],[MONTO VENDIDO]]-MASTER[[#This Row],[COSTO DE VENTA]]</f>
        <v>875</v>
      </c>
    </row>
    <row r="1219" spans="1:22" x14ac:dyDescent="0.3">
      <c r="A1219">
        <v>25011</v>
      </c>
      <c r="B1219">
        <v>1</v>
      </c>
      <c r="C1219" t="s">
        <v>92</v>
      </c>
      <c r="D1219" t="s">
        <v>93</v>
      </c>
      <c r="E1219" s="1">
        <v>43975</v>
      </c>
      <c r="F1219">
        <v>1</v>
      </c>
      <c r="G1219" t="s">
        <v>41</v>
      </c>
      <c r="H1219" t="s">
        <v>42</v>
      </c>
      <c r="I1219" s="3">
        <v>1681</v>
      </c>
      <c r="J1219" s="3">
        <v>1681</v>
      </c>
      <c r="K1219" s="3">
        <v>396</v>
      </c>
      <c r="L1219" t="s">
        <v>9</v>
      </c>
      <c r="M1219">
        <v>2</v>
      </c>
      <c r="N1219" t="s">
        <v>86</v>
      </c>
      <c r="O1219" t="s">
        <v>81</v>
      </c>
      <c r="P1219" t="s">
        <v>71</v>
      </c>
      <c r="Q1219" t="s">
        <v>72</v>
      </c>
      <c r="R1219" t="s">
        <v>139</v>
      </c>
      <c r="S1219" t="s">
        <v>144</v>
      </c>
      <c r="T1219" s="2">
        <f>MASTER[[#This Row],[CANTIDAD]]*MASTER[[#This Row],[PRECIO DE VENTA]]</f>
        <v>1681</v>
      </c>
      <c r="U1219" s="2">
        <f>MASTER[[#This Row],[CANTIDAD]]*MASTER[[#This Row],[COSTO UNITARIO]]</f>
        <v>396</v>
      </c>
      <c r="V1219" s="2">
        <f>MASTER[[#This Row],[MONTO VENDIDO]]-MASTER[[#This Row],[COSTO DE VENTA]]</f>
        <v>1285</v>
      </c>
    </row>
    <row r="1220" spans="1:22" x14ac:dyDescent="0.3">
      <c r="A1220">
        <v>25030</v>
      </c>
      <c r="B1220">
        <v>1</v>
      </c>
      <c r="C1220" t="s">
        <v>92</v>
      </c>
      <c r="D1220" t="s">
        <v>93</v>
      </c>
      <c r="E1220" s="1">
        <v>43975</v>
      </c>
      <c r="F1220">
        <v>1</v>
      </c>
      <c r="G1220" t="s">
        <v>57</v>
      </c>
      <c r="H1220" t="s">
        <v>58</v>
      </c>
      <c r="I1220" s="3">
        <v>1866</v>
      </c>
      <c r="J1220" s="3">
        <v>1866</v>
      </c>
      <c r="K1220" s="3">
        <v>396</v>
      </c>
      <c r="L1220" t="s">
        <v>9</v>
      </c>
      <c r="M1220">
        <v>18</v>
      </c>
      <c r="N1220" t="s">
        <v>79</v>
      </c>
      <c r="O1220" t="s">
        <v>70</v>
      </c>
      <c r="P1220" t="s">
        <v>15</v>
      </c>
      <c r="Q1220" t="s">
        <v>16</v>
      </c>
      <c r="R1220" t="s">
        <v>16</v>
      </c>
      <c r="S1220" t="s">
        <v>144</v>
      </c>
      <c r="T1220" s="2">
        <f>MASTER[[#This Row],[CANTIDAD]]*MASTER[[#This Row],[PRECIO DE VENTA]]</f>
        <v>1866</v>
      </c>
      <c r="U1220" s="2">
        <f>MASTER[[#This Row],[CANTIDAD]]*MASTER[[#This Row],[COSTO UNITARIO]]</f>
        <v>396</v>
      </c>
      <c r="V1220" s="2">
        <f>MASTER[[#This Row],[MONTO VENDIDO]]-MASTER[[#This Row],[COSTO DE VENTA]]</f>
        <v>1470</v>
      </c>
    </row>
    <row r="1221" spans="1:22" x14ac:dyDescent="0.3">
      <c r="A1221">
        <v>25031</v>
      </c>
      <c r="B1221">
        <v>1</v>
      </c>
      <c r="C1221" t="s">
        <v>103</v>
      </c>
      <c r="D1221" t="s">
        <v>104</v>
      </c>
      <c r="E1221" s="1">
        <v>43975</v>
      </c>
      <c r="F1221">
        <v>1</v>
      </c>
      <c r="G1221" t="s">
        <v>45</v>
      </c>
      <c r="H1221" t="s">
        <v>46</v>
      </c>
      <c r="I1221" s="3">
        <v>1591</v>
      </c>
      <c r="J1221" s="3">
        <v>1591</v>
      </c>
      <c r="K1221" s="3">
        <v>421</v>
      </c>
      <c r="L1221" t="s">
        <v>98</v>
      </c>
      <c r="M1221">
        <v>14</v>
      </c>
      <c r="N1221" t="s">
        <v>87</v>
      </c>
      <c r="O1221" t="s">
        <v>81</v>
      </c>
      <c r="P1221" t="s">
        <v>18</v>
      </c>
      <c r="Q1221" t="s">
        <v>19</v>
      </c>
      <c r="R1221" t="s">
        <v>138</v>
      </c>
      <c r="S1221" t="s">
        <v>144</v>
      </c>
      <c r="T1221" s="2">
        <f>MASTER[[#This Row],[CANTIDAD]]*MASTER[[#This Row],[PRECIO DE VENTA]]</f>
        <v>1591</v>
      </c>
      <c r="U1221" s="2">
        <f>MASTER[[#This Row],[CANTIDAD]]*MASTER[[#This Row],[COSTO UNITARIO]]</f>
        <v>421</v>
      </c>
      <c r="V1221" s="2">
        <f>MASTER[[#This Row],[MONTO VENDIDO]]-MASTER[[#This Row],[COSTO DE VENTA]]</f>
        <v>1170</v>
      </c>
    </row>
    <row r="1222" spans="1:22" x14ac:dyDescent="0.3">
      <c r="A1222">
        <v>25061</v>
      </c>
      <c r="B1222">
        <v>1</v>
      </c>
      <c r="C1222" t="s">
        <v>99</v>
      </c>
      <c r="D1222" t="s">
        <v>100</v>
      </c>
      <c r="E1222" s="1">
        <v>43975</v>
      </c>
      <c r="F1222">
        <v>1</v>
      </c>
      <c r="G1222" t="s">
        <v>33</v>
      </c>
      <c r="H1222" t="s">
        <v>34</v>
      </c>
      <c r="I1222" s="3">
        <v>1678</v>
      </c>
      <c r="J1222" s="3">
        <v>1678</v>
      </c>
      <c r="K1222" s="3">
        <v>386</v>
      </c>
      <c r="L1222" t="s">
        <v>98</v>
      </c>
      <c r="M1222">
        <v>3</v>
      </c>
      <c r="N1222" t="s">
        <v>69</v>
      </c>
      <c r="O1222" t="s">
        <v>70</v>
      </c>
      <c r="P1222" t="s">
        <v>71</v>
      </c>
      <c r="Q1222" t="s">
        <v>72</v>
      </c>
      <c r="R1222" t="s">
        <v>139</v>
      </c>
      <c r="S1222" t="s">
        <v>144</v>
      </c>
      <c r="T1222" s="2">
        <f>MASTER[[#This Row],[CANTIDAD]]*MASTER[[#This Row],[PRECIO DE VENTA]]</f>
        <v>1678</v>
      </c>
      <c r="U1222" s="2">
        <f>MASTER[[#This Row],[CANTIDAD]]*MASTER[[#This Row],[COSTO UNITARIO]]</f>
        <v>386</v>
      </c>
      <c r="V1222" s="2">
        <f>MASTER[[#This Row],[MONTO VENDIDO]]-MASTER[[#This Row],[COSTO DE VENTA]]</f>
        <v>1292</v>
      </c>
    </row>
    <row r="1223" spans="1:22" x14ac:dyDescent="0.3">
      <c r="A1223">
        <v>25062</v>
      </c>
      <c r="B1223">
        <v>1</v>
      </c>
      <c r="C1223" t="s">
        <v>114</v>
      </c>
      <c r="D1223" t="s">
        <v>115</v>
      </c>
      <c r="E1223" s="1">
        <v>43975</v>
      </c>
      <c r="F1223">
        <v>1</v>
      </c>
      <c r="G1223" t="s">
        <v>47</v>
      </c>
      <c r="H1223" t="s">
        <v>48</v>
      </c>
      <c r="I1223" s="3">
        <v>1862</v>
      </c>
      <c r="J1223" s="3">
        <v>1862</v>
      </c>
      <c r="K1223" s="3">
        <v>394</v>
      </c>
      <c r="L1223" t="s">
        <v>113</v>
      </c>
      <c r="M1223">
        <v>7</v>
      </c>
      <c r="N1223" t="s">
        <v>84</v>
      </c>
      <c r="O1223" t="s">
        <v>81</v>
      </c>
      <c r="P1223" t="s">
        <v>12</v>
      </c>
      <c r="Q1223" t="s">
        <v>13</v>
      </c>
      <c r="R1223" t="s">
        <v>13</v>
      </c>
      <c r="S1223" t="s">
        <v>144</v>
      </c>
      <c r="T1223" s="2">
        <f>MASTER[[#This Row],[CANTIDAD]]*MASTER[[#This Row],[PRECIO DE VENTA]]</f>
        <v>1862</v>
      </c>
      <c r="U1223" s="2">
        <f>MASTER[[#This Row],[CANTIDAD]]*MASTER[[#This Row],[COSTO UNITARIO]]</f>
        <v>394</v>
      </c>
      <c r="V1223" s="2">
        <f>MASTER[[#This Row],[MONTO VENDIDO]]-MASTER[[#This Row],[COSTO DE VENTA]]</f>
        <v>1468</v>
      </c>
    </row>
    <row r="1224" spans="1:22" x14ac:dyDescent="0.3">
      <c r="A1224">
        <v>25068</v>
      </c>
      <c r="B1224">
        <v>1</v>
      </c>
      <c r="C1224" t="s">
        <v>103</v>
      </c>
      <c r="D1224" t="s">
        <v>104</v>
      </c>
      <c r="E1224" s="1">
        <v>43975</v>
      </c>
      <c r="F1224">
        <v>1</v>
      </c>
      <c r="G1224" t="s">
        <v>59</v>
      </c>
      <c r="H1224" t="s">
        <v>60</v>
      </c>
      <c r="I1224" s="3">
        <v>1591</v>
      </c>
      <c r="J1224" s="3">
        <v>1591</v>
      </c>
      <c r="K1224" s="3">
        <v>421</v>
      </c>
      <c r="L1224" t="s">
        <v>98</v>
      </c>
      <c r="M1224">
        <v>14</v>
      </c>
      <c r="N1224" t="s">
        <v>87</v>
      </c>
      <c r="O1224" t="s">
        <v>81</v>
      </c>
      <c r="P1224" t="s">
        <v>18</v>
      </c>
      <c r="Q1224" t="s">
        <v>19</v>
      </c>
      <c r="R1224" t="s">
        <v>138</v>
      </c>
      <c r="S1224" t="s">
        <v>144</v>
      </c>
      <c r="T1224" s="2">
        <f>MASTER[[#This Row],[CANTIDAD]]*MASTER[[#This Row],[PRECIO DE VENTA]]</f>
        <v>1591</v>
      </c>
      <c r="U1224" s="2">
        <f>MASTER[[#This Row],[CANTIDAD]]*MASTER[[#This Row],[COSTO UNITARIO]]</f>
        <v>421</v>
      </c>
      <c r="V1224" s="2">
        <f>MASTER[[#This Row],[MONTO VENDIDO]]-MASTER[[#This Row],[COSTO DE VENTA]]</f>
        <v>1170</v>
      </c>
    </row>
    <row r="1225" spans="1:22" x14ac:dyDescent="0.3">
      <c r="A1225">
        <v>25092</v>
      </c>
      <c r="B1225">
        <v>1</v>
      </c>
      <c r="C1225" t="s">
        <v>96</v>
      </c>
      <c r="D1225" t="s">
        <v>97</v>
      </c>
      <c r="E1225" s="1">
        <v>43975</v>
      </c>
      <c r="F1225">
        <v>1</v>
      </c>
      <c r="G1225" t="s">
        <v>65</v>
      </c>
      <c r="H1225" t="s">
        <v>66</v>
      </c>
      <c r="I1225" s="3">
        <v>1361</v>
      </c>
      <c r="J1225" s="3">
        <v>1361</v>
      </c>
      <c r="K1225" s="3">
        <v>397</v>
      </c>
      <c r="L1225" t="s">
        <v>98</v>
      </c>
      <c r="M1225">
        <v>13</v>
      </c>
      <c r="N1225" t="s">
        <v>78</v>
      </c>
      <c r="O1225" t="s">
        <v>70</v>
      </c>
      <c r="P1225" t="s">
        <v>18</v>
      </c>
      <c r="Q1225" t="s">
        <v>19</v>
      </c>
      <c r="R1225" t="s">
        <v>138</v>
      </c>
      <c r="S1225" t="s">
        <v>144</v>
      </c>
      <c r="T1225" s="2">
        <f>MASTER[[#This Row],[CANTIDAD]]*MASTER[[#This Row],[PRECIO DE VENTA]]</f>
        <v>1361</v>
      </c>
      <c r="U1225" s="2">
        <f>MASTER[[#This Row],[CANTIDAD]]*MASTER[[#This Row],[COSTO UNITARIO]]</f>
        <v>397</v>
      </c>
      <c r="V1225" s="2">
        <f>MASTER[[#This Row],[MONTO VENDIDO]]-MASTER[[#This Row],[COSTO DE VENTA]]</f>
        <v>964</v>
      </c>
    </row>
    <row r="1226" spans="1:22" x14ac:dyDescent="0.3">
      <c r="A1226">
        <v>25093</v>
      </c>
      <c r="B1226">
        <v>1</v>
      </c>
      <c r="C1226" t="s">
        <v>92</v>
      </c>
      <c r="D1226" t="s">
        <v>93</v>
      </c>
      <c r="E1226" s="1">
        <v>43975</v>
      </c>
      <c r="F1226">
        <v>1</v>
      </c>
      <c r="G1226" t="s">
        <v>35</v>
      </c>
      <c r="H1226" t="s">
        <v>36</v>
      </c>
      <c r="I1226" s="3">
        <v>1681</v>
      </c>
      <c r="J1226" s="3">
        <v>1681</v>
      </c>
      <c r="K1226" s="3">
        <v>396</v>
      </c>
      <c r="L1226" t="s">
        <v>9</v>
      </c>
      <c r="M1226">
        <v>4</v>
      </c>
      <c r="N1226" t="s">
        <v>82</v>
      </c>
      <c r="O1226" t="s">
        <v>81</v>
      </c>
      <c r="P1226" t="s">
        <v>71</v>
      </c>
      <c r="Q1226" t="s">
        <v>72</v>
      </c>
      <c r="R1226" t="s">
        <v>139</v>
      </c>
      <c r="S1226" t="s">
        <v>144</v>
      </c>
      <c r="T1226" s="2">
        <f>MASTER[[#This Row],[CANTIDAD]]*MASTER[[#This Row],[PRECIO DE VENTA]]</f>
        <v>1681</v>
      </c>
      <c r="U1226" s="2">
        <f>MASTER[[#This Row],[CANTIDAD]]*MASTER[[#This Row],[COSTO UNITARIO]]</f>
        <v>396</v>
      </c>
      <c r="V1226" s="2">
        <f>MASTER[[#This Row],[MONTO VENDIDO]]-MASTER[[#This Row],[COSTO DE VENTA]]</f>
        <v>1285</v>
      </c>
    </row>
    <row r="1227" spans="1:22" x14ac:dyDescent="0.3">
      <c r="A1227">
        <v>25125</v>
      </c>
      <c r="B1227">
        <v>1</v>
      </c>
      <c r="C1227" t="s">
        <v>111</v>
      </c>
      <c r="D1227" t="s">
        <v>112</v>
      </c>
      <c r="E1227" s="1">
        <v>43975</v>
      </c>
      <c r="F1227">
        <v>1</v>
      </c>
      <c r="G1227" t="s">
        <v>41</v>
      </c>
      <c r="H1227" t="s">
        <v>42</v>
      </c>
      <c r="I1227" s="3">
        <v>1799</v>
      </c>
      <c r="J1227" s="3">
        <v>1799</v>
      </c>
      <c r="K1227" s="3">
        <v>434</v>
      </c>
      <c r="L1227" t="s">
        <v>113</v>
      </c>
      <c r="M1227">
        <v>9</v>
      </c>
      <c r="N1227" t="s">
        <v>76</v>
      </c>
      <c r="O1227" t="s">
        <v>70</v>
      </c>
      <c r="P1227" t="s">
        <v>12</v>
      </c>
      <c r="Q1227" t="s">
        <v>13</v>
      </c>
      <c r="R1227" t="s">
        <v>13</v>
      </c>
      <c r="S1227" t="s">
        <v>144</v>
      </c>
      <c r="T1227" s="2">
        <f>MASTER[[#This Row],[CANTIDAD]]*MASTER[[#This Row],[PRECIO DE VENTA]]</f>
        <v>1799</v>
      </c>
      <c r="U1227" s="2">
        <f>MASTER[[#This Row],[CANTIDAD]]*MASTER[[#This Row],[COSTO UNITARIO]]</f>
        <v>434</v>
      </c>
      <c r="V1227" s="2">
        <f>MASTER[[#This Row],[MONTO VENDIDO]]-MASTER[[#This Row],[COSTO DE VENTA]]</f>
        <v>1365</v>
      </c>
    </row>
    <row r="1228" spans="1:22" x14ac:dyDescent="0.3">
      <c r="A1228">
        <v>25154</v>
      </c>
      <c r="B1228">
        <v>1</v>
      </c>
      <c r="C1228" t="s">
        <v>5</v>
      </c>
      <c r="D1228" t="s">
        <v>6</v>
      </c>
      <c r="E1228" s="1">
        <v>43976</v>
      </c>
      <c r="F1228">
        <v>1</v>
      </c>
      <c r="G1228" t="s">
        <v>29</v>
      </c>
      <c r="H1228" t="s">
        <v>30</v>
      </c>
      <c r="I1228" s="3">
        <v>1311</v>
      </c>
      <c r="J1228" s="3">
        <v>1311</v>
      </c>
      <c r="K1228" s="3">
        <v>393</v>
      </c>
      <c r="L1228" t="s">
        <v>9</v>
      </c>
      <c r="M1228">
        <v>17</v>
      </c>
      <c r="N1228" t="s">
        <v>14</v>
      </c>
      <c r="O1228" t="s">
        <v>11</v>
      </c>
      <c r="P1228" t="s">
        <v>15</v>
      </c>
      <c r="Q1228" t="s">
        <v>16</v>
      </c>
      <c r="R1228" t="s">
        <v>16</v>
      </c>
      <c r="S1228" t="s">
        <v>144</v>
      </c>
      <c r="T1228" s="2">
        <f>MASTER[[#This Row],[CANTIDAD]]*MASTER[[#This Row],[PRECIO DE VENTA]]</f>
        <v>1311</v>
      </c>
      <c r="U1228" s="2">
        <f>MASTER[[#This Row],[CANTIDAD]]*MASTER[[#This Row],[COSTO UNITARIO]]</f>
        <v>393</v>
      </c>
      <c r="V1228" s="2">
        <f>MASTER[[#This Row],[MONTO VENDIDO]]-MASTER[[#This Row],[COSTO DE VENTA]]</f>
        <v>918</v>
      </c>
    </row>
    <row r="1229" spans="1:22" x14ac:dyDescent="0.3">
      <c r="A1229">
        <v>25157</v>
      </c>
      <c r="B1229">
        <v>1</v>
      </c>
      <c r="C1229" t="s">
        <v>107</v>
      </c>
      <c r="D1229" t="s">
        <v>108</v>
      </c>
      <c r="E1229" s="1">
        <v>43976</v>
      </c>
      <c r="F1229">
        <v>1</v>
      </c>
      <c r="G1229" t="s">
        <v>67</v>
      </c>
      <c r="H1229" t="s">
        <v>68</v>
      </c>
      <c r="I1229" s="3">
        <v>1240</v>
      </c>
      <c r="J1229" s="3">
        <v>1240</v>
      </c>
      <c r="K1229" s="3">
        <v>380</v>
      </c>
      <c r="L1229" t="s">
        <v>98</v>
      </c>
      <c r="M1229">
        <v>16</v>
      </c>
      <c r="N1229" t="s">
        <v>17</v>
      </c>
      <c r="O1229" t="s">
        <v>11</v>
      </c>
      <c r="P1229" t="s">
        <v>18</v>
      </c>
      <c r="Q1229" t="s">
        <v>19</v>
      </c>
      <c r="R1229" t="s">
        <v>138</v>
      </c>
      <c r="S1229" t="s">
        <v>144</v>
      </c>
      <c r="T1229" s="2">
        <f>MASTER[[#This Row],[CANTIDAD]]*MASTER[[#This Row],[PRECIO DE VENTA]]</f>
        <v>1240</v>
      </c>
      <c r="U1229" s="2">
        <f>MASTER[[#This Row],[CANTIDAD]]*MASTER[[#This Row],[COSTO UNITARIO]]</f>
        <v>380</v>
      </c>
      <c r="V1229" s="2">
        <f>MASTER[[#This Row],[MONTO VENDIDO]]-MASTER[[#This Row],[COSTO DE VENTA]]</f>
        <v>860</v>
      </c>
    </row>
    <row r="1230" spans="1:22" x14ac:dyDescent="0.3">
      <c r="A1230">
        <v>25159</v>
      </c>
      <c r="B1230">
        <v>1</v>
      </c>
      <c r="C1230" t="s">
        <v>92</v>
      </c>
      <c r="D1230" t="s">
        <v>93</v>
      </c>
      <c r="E1230" s="1">
        <v>43976</v>
      </c>
      <c r="F1230">
        <v>1</v>
      </c>
      <c r="G1230" t="s">
        <v>20</v>
      </c>
      <c r="H1230" t="s">
        <v>21</v>
      </c>
      <c r="I1230" s="3">
        <v>1479</v>
      </c>
      <c r="J1230" s="3">
        <v>1479</v>
      </c>
      <c r="K1230" s="3">
        <v>396</v>
      </c>
      <c r="L1230" t="s">
        <v>9</v>
      </c>
      <c r="M1230">
        <v>16</v>
      </c>
      <c r="N1230" t="s">
        <v>17</v>
      </c>
      <c r="O1230" t="s">
        <v>11</v>
      </c>
      <c r="P1230" t="s">
        <v>18</v>
      </c>
      <c r="Q1230" t="s">
        <v>19</v>
      </c>
      <c r="R1230" t="s">
        <v>138</v>
      </c>
      <c r="S1230" t="s">
        <v>144</v>
      </c>
      <c r="T1230" s="2">
        <f>MASTER[[#This Row],[CANTIDAD]]*MASTER[[#This Row],[PRECIO DE VENTA]]</f>
        <v>1479</v>
      </c>
      <c r="U1230" s="2">
        <f>MASTER[[#This Row],[CANTIDAD]]*MASTER[[#This Row],[COSTO UNITARIO]]</f>
        <v>396</v>
      </c>
      <c r="V1230" s="2">
        <f>MASTER[[#This Row],[MONTO VENDIDO]]-MASTER[[#This Row],[COSTO DE VENTA]]</f>
        <v>1083</v>
      </c>
    </row>
    <row r="1231" spans="1:22" x14ac:dyDescent="0.3">
      <c r="A1231">
        <v>25185</v>
      </c>
      <c r="B1231">
        <v>1</v>
      </c>
      <c r="C1231" t="s">
        <v>114</v>
      </c>
      <c r="D1231" t="s">
        <v>115</v>
      </c>
      <c r="E1231" s="1">
        <v>43976</v>
      </c>
      <c r="F1231">
        <v>1</v>
      </c>
      <c r="G1231" t="s">
        <v>37</v>
      </c>
      <c r="H1231" t="s">
        <v>38</v>
      </c>
      <c r="I1231" s="3">
        <v>1862</v>
      </c>
      <c r="J1231" s="3">
        <v>1862</v>
      </c>
      <c r="K1231" s="3">
        <v>394</v>
      </c>
      <c r="L1231" t="s">
        <v>113</v>
      </c>
      <c r="M1231">
        <v>7</v>
      </c>
      <c r="N1231" t="s">
        <v>84</v>
      </c>
      <c r="O1231" t="s">
        <v>81</v>
      </c>
      <c r="P1231" t="s">
        <v>12</v>
      </c>
      <c r="Q1231" t="s">
        <v>13</v>
      </c>
      <c r="R1231" t="s">
        <v>13</v>
      </c>
      <c r="S1231" t="s">
        <v>144</v>
      </c>
      <c r="T1231" s="2">
        <f>MASTER[[#This Row],[CANTIDAD]]*MASTER[[#This Row],[PRECIO DE VENTA]]</f>
        <v>1862</v>
      </c>
      <c r="U1231" s="2">
        <f>MASTER[[#This Row],[CANTIDAD]]*MASTER[[#This Row],[COSTO UNITARIO]]</f>
        <v>394</v>
      </c>
      <c r="V1231" s="2">
        <f>MASTER[[#This Row],[MONTO VENDIDO]]-MASTER[[#This Row],[COSTO DE VENTA]]</f>
        <v>1468</v>
      </c>
    </row>
    <row r="1232" spans="1:22" x14ac:dyDescent="0.3">
      <c r="A1232">
        <v>25187</v>
      </c>
      <c r="B1232">
        <v>1</v>
      </c>
      <c r="C1232" t="s">
        <v>109</v>
      </c>
      <c r="D1232" t="s">
        <v>110</v>
      </c>
      <c r="E1232" s="1">
        <v>43976</v>
      </c>
      <c r="F1232">
        <v>1</v>
      </c>
      <c r="G1232" t="s">
        <v>61</v>
      </c>
      <c r="H1232" t="s">
        <v>62</v>
      </c>
      <c r="I1232" s="3">
        <v>1128</v>
      </c>
      <c r="J1232" s="3">
        <v>1128</v>
      </c>
      <c r="K1232" s="3">
        <v>387</v>
      </c>
      <c r="L1232" t="s">
        <v>98</v>
      </c>
      <c r="M1232">
        <v>18</v>
      </c>
      <c r="N1232" t="s">
        <v>79</v>
      </c>
      <c r="O1232" t="s">
        <v>70</v>
      </c>
      <c r="P1232" t="s">
        <v>15</v>
      </c>
      <c r="Q1232" t="s">
        <v>16</v>
      </c>
      <c r="R1232" t="s">
        <v>16</v>
      </c>
      <c r="S1232" t="s">
        <v>144</v>
      </c>
      <c r="T1232" s="2">
        <f>MASTER[[#This Row],[CANTIDAD]]*MASTER[[#This Row],[PRECIO DE VENTA]]</f>
        <v>1128</v>
      </c>
      <c r="U1232" s="2">
        <f>MASTER[[#This Row],[CANTIDAD]]*MASTER[[#This Row],[COSTO UNITARIO]]</f>
        <v>387</v>
      </c>
      <c r="V1232" s="2">
        <f>MASTER[[#This Row],[MONTO VENDIDO]]-MASTER[[#This Row],[COSTO DE VENTA]]</f>
        <v>741</v>
      </c>
    </row>
    <row r="1233" spans="1:22" x14ac:dyDescent="0.3">
      <c r="A1233">
        <v>25190</v>
      </c>
      <c r="B1233">
        <v>1</v>
      </c>
      <c r="C1233" t="s">
        <v>101</v>
      </c>
      <c r="D1233" t="s">
        <v>102</v>
      </c>
      <c r="E1233" s="1">
        <v>43977</v>
      </c>
      <c r="F1233">
        <v>1</v>
      </c>
      <c r="G1233" t="s">
        <v>73</v>
      </c>
      <c r="H1233" t="s">
        <v>74</v>
      </c>
      <c r="I1233" s="3">
        <v>1212</v>
      </c>
      <c r="J1233" s="3">
        <v>1212</v>
      </c>
      <c r="K1233" s="3">
        <v>442</v>
      </c>
      <c r="L1233" t="s">
        <v>98</v>
      </c>
      <c r="M1233">
        <v>5</v>
      </c>
      <c r="N1233" t="s">
        <v>85</v>
      </c>
      <c r="O1233" t="s">
        <v>81</v>
      </c>
      <c r="P1233" t="s">
        <v>12</v>
      </c>
      <c r="Q1233" t="s">
        <v>13</v>
      </c>
      <c r="R1233" t="s">
        <v>13</v>
      </c>
      <c r="S1233" t="s">
        <v>144</v>
      </c>
      <c r="T1233" s="2">
        <f>MASTER[[#This Row],[CANTIDAD]]*MASTER[[#This Row],[PRECIO DE VENTA]]</f>
        <v>1212</v>
      </c>
      <c r="U1233" s="2">
        <f>MASTER[[#This Row],[CANTIDAD]]*MASTER[[#This Row],[COSTO UNITARIO]]</f>
        <v>442</v>
      </c>
      <c r="V1233" s="2">
        <f>MASTER[[#This Row],[MONTO VENDIDO]]-MASTER[[#This Row],[COSTO DE VENTA]]</f>
        <v>770</v>
      </c>
    </row>
    <row r="1234" spans="1:22" x14ac:dyDescent="0.3">
      <c r="A1234">
        <v>25196</v>
      </c>
      <c r="B1234">
        <v>1</v>
      </c>
      <c r="C1234" t="s">
        <v>103</v>
      </c>
      <c r="D1234" t="s">
        <v>104</v>
      </c>
      <c r="E1234" s="1">
        <v>43977</v>
      </c>
      <c r="F1234">
        <v>1</v>
      </c>
      <c r="G1234" t="s">
        <v>45</v>
      </c>
      <c r="H1234" t="s">
        <v>46</v>
      </c>
      <c r="I1234" s="3">
        <v>1830</v>
      </c>
      <c r="J1234" s="3">
        <v>1830</v>
      </c>
      <c r="K1234" s="3">
        <v>421</v>
      </c>
      <c r="L1234" t="s">
        <v>98</v>
      </c>
      <c r="M1234">
        <v>3</v>
      </c>
      <c r="N1234" t="s">
        <v>69</v>
      </c>
      <c r="O1234" t="s">
        <v>70</v>
      </c>
      <c r="P1234" t="s">
        <v>71</v>
      </c>
      <c r="Q1234" t="s">
        <v>72</v>
      </c>
      <c r="R1234" t="s">
        <v>139</v>
      </c>
      <c r="S1234" t="s">
        <v>144</v>
      </c>
      <c r="T1234" s="2">
        <f>MASTER[[#This Row],[CANTIDAD]]*MASTER[[#This Row],[PRECIO DE VENTA]]</f>
        <v>1830</v>
      </c>
      <c r="U1234" s="2">
        <f>MASTER[[#This Row],[CANTIDAD]]*MASTER[[#This Row],[COSTO UNITARIO]]</f>
        <v>421</v>
      </c>
      <c r="V1234" s="2">
        <f>MASTER[[#This Row],[MONTO VENDIDO]]-MASTER[[#This Row],[COSTO DE VENTA]]</f>
        <v>1409</v>
      </c>
    </row>
    <row r="1235" spans="1:22" x14ac:dyDescent="0.3">
      <c r="A1235">
        <v>25220</v>
      </c>
      <c r="B1235">
        <v>1</v>
      </c>
      <c r="C1235" t="s">
        <v>116</v>
      </c>
      <c r="D1235" t="s">
        <v>117</v>
      </c>
      <c r="E1235" s="1">
        <v>43977</v>
      </c>
      <c r="F1235">
        <v>1</v>
      </c>
      <c r="G1235" t="s">
        <v>29</v>
      </c>
      <c r="H1235" t="s">
        <v>30</v>
      </c>
      <c r="I1235" s="3">
        <v>1738</v>
      </c>
      <c r="J1235" s="3">
        <v>1738</v>
      </c>
      <c r="K1235" s="3">
        <v>388</v>
      </c>
      <c r="L1235" t="s">
        <v>113</v>
      </c>
      <c r="M1235">
        <v>2</v>
      </c>
      <c r="N1235" t="s">
        <v>86</v>
      </c>
      <c r="O1235" t="s">
        <v>81</v>
      </c>
      <c r="P1235" t="s">
        <v>71</v>
      </c>
      <c r="Q1235" t="s">
        <v>72</v>
      </c>
      <c r="R1235" t="s">
        <v>139</v>
      </c>
      <c r="S1235" t="s">
        <v>144</v>
      </c>
      <c r="T1235" s="2">
        <f>MASTER[[#This Row],[CANTIDAD]]*MASTER[[#This Row],[PRECIO DE VENTA]]</f>
        <v>1738</v>
      </c>
      <c r="U1235" s="2">
        <f>MASTER[[#This Row],[CANTIDAD]]*MASTER[[#This Row],[COSTO UNITARIO]]</f>
        <v>388</v>
      </c>
      <c r="V1235" s="2">
        <f>MASTER[[#This Row],[MONTO VENDIDO]]-MASTER[[#This Row],[COSTO DE VENTA]]</f>
        <v>1350</v>
      </c>
    </row>
    <row r="1236" spans="1:22" x14ac:dyDescent="0.3">
      <c r="A1236">
        <v>25229</v>
      </c>
      <c r="B1236">
        <v>1</v>
      </c>
      <c r="C1236" t="s">
        <v>90</v>
      </c>
      <c r="D1236" t="s">
        <v>91</v>
      </c>
      <c r="E1236" s="1">
        <v>43977</v>
      </c>
      <c r="F1236">
        <v>1</v>
      </c>
      <c r="G1236" t="s">
        <v>55</v>
      </c>
      <c r="H1236" t="s">
        <v>56</v>
      </c>
      <c r="I1236" s="3">
        <v>2102</v>
      </c>
      <c r="J1236" s="3">
        <v>1996</v>
      </c>
      <c r="K1236" s="3">
        <v>420</v>
      </c>
      <c r="L1236" t="s">
        <v>9</v>
      </c>
      <c r="M1236">
        <v>13</v>
      </c>
      <c r="N1236" t="s">
        <v>78</v>
      </c>
      <c r="O1236" t="s">
        <v>70</v>
      </c>
      <c r="P1236" t="s">
        <v>18</v>
      </c>
      <c r="Q1236" t="s">
        <v>19</v>
      </c>
      <c r="R1236" t="s">
        <v>138</v>
      </c>
      <c r="S1236" t="s">
        <v>144</v>
      </c>
      <c r="T1236" s="2">
        <f>MASTER[[#This Row],[CANTIDAD]]*MASTER[[#This Row],[PRECIO DE VENTA]]</f>
        <v>1996</v>
      </c>
      <c r="U1236" s="2">
        <f>MASTER[[#This Row],[CANTIDAD]]*MASTER[[#This Row],[COSTO UNITARIO]]</f>
        <v>420</v>
      </c>
      <c r="V1236" s="2">
        <f>MASTER[[#This Row],[MONTO VENDIDO]]-MASTER[[#This Row],[COSTO DE VENTA]]</f>
        <v>1576</v>
      </c>
    </row>
    <row r="1237" spans="1:22" x14ac:dyDescent="0.3">
      <c r="A1237">
        <v>25231</v>
      </c>
      <c r="B1237">
        <v>1</v>
      </c>
      <c r="C1237" t="s">
        <v>107</v>
      </c>
      <c r="D1237" t="s">
        <v>108</v>
      </c>
      <c r="E1237" s="1">
        <v>43977</v>
      </c>
      <c r="F1237">
        <v>1</v>
      </c>
      <c r="G1237" t="s">
        <v>53</v>
      </c>
      <c r="H1237" t="s">
        <v>54</v>
      </c>
      <c r="I1237" s="3">
        <v>1333</v>
      </c>
      <c r="J1237" s="3">
        <v>1333</v>
      </c>
      <c r="K1237" s="3">
        <v>380</v>
      </c>
      <c r="L1237" t="s">
        <v>98</v>
      </c>
      <c r="M1237">
        <v>15</v>
      </c>
      <c r="N1237" t="s">
        <v>88</v>
      </c>
      <c r="O1237" t="s">
        <v>81</v>
      </c>
      <c r="P1237" t="s">
        <v>18</v>
      </c>
      <c r="Q1237" t="s">
        <v>19</v>
      </c>
      <c r="R1237" t="s">
        <v>138</v>
      </c>
      <c r="S1237" t="s">
        <v>144</v>
      </c>
      <c r="T1237" s="2">
        <f>MASTER[[#This Row],[CANTIDAD]]*MASTER[[#This Row],[PRECIO DE VENTA]]</f>
        <v>1333</v>
      </c>
      <c r="U1237" s="2">
        <f>MASTER[[#This Row],[CANTIDAD]]*MASTER[[#This Row],[COSTO UNITARIO]]</f>
        <v>380</v>
      </c>
      <c r="V1237" s="2">
        <f>MASTER[[#This Row],[MONTO VENDIDO]]-MASTER[[#This Row],[COSTO DE VENTA]]</f>
        <v>953</v>
      </c>
    </row>
    <row r="1238" spans="1:22" x14ac:dyDescent="0.3">
      <c r="A1238">
        <v>25239</v>
      </c>
      <c r="B1238">
        <v>1</v>
      </c>
      <c r="C1238" t="s">
        <v>109</v>
      </c>
      <c r="D1238" t="s">
        <v>110</v>
      </c>
      <c r="E1238" s="1">
        <v>43978</v>
      </c>
      <c r="F1238">
        <v>1</v>
      </c>
      <c r="G1238" t="s">
        <v>35</v>
      </c>
      <c r="H1238" t="s">
        <v>36</v>
      </c>
      <c r="I1238" s="3">
        <v>1064</v>
      </c>
      <c r="J1238" s="3">
        <v>1010</v>
      </c>
      <c r="K1238" s="3">
        <v>387</v>
      </c>
      <c r="L1238" t="s">
        <v>98</v>
      </c>
      <c r="M1238">
        <v>5</v>
      </c>
      <c r="N1238" t="s">
        <v>85</v>
      </c>
      <c r="O1238" t="s">
        <v>81</v>
      </c>
      <c r="P1238" t="s">
        <v>12</v>
      </c>
      <c r="Q1238" t="s">
        <v>13</v>
      </c>
      <c r="R1238" t="s">
        <v>13</v>
      </c>
      <c r="S1238" t="s">
        <v>144</v>
      </c>
      <c r="T1238" s="2">
        <f>MASTER[[#This Row],[CANTIDAD]]*MASTER[[#This Row],[PRECIO DE VENTA]]</f>
        <v>1010</v>
      </c>
      <c r="U1238" s="2">
        <f>MASTER[[#This Row],[CANTIDAD]]*MASTER[[#This Row],[COSTO UNITARIO]]</f>
        <v>387</v>
      </c>
      <c r="V1238" s="2">
        <f>MASTER[[#This Row],[MONTO VENDIDO]]-MASTER[[#This Row],[COSTO DE VENTA]]</f>
        <v>623</v>
      </c>
    </row>
    <row r="1239" spans="1:22" x14ac:dyDescent="0.3">
      <c r="A1239">
        <v>25245</v>
      </c>
      <c r="B1239">
        <v>1</v>
      </c>
      <c r="C1239" t="s">
        <v>116</v>
      </c>
      <c r="D1239" t="s">
        <v>117</v>
      </c>
      <c r="E1239" s="1">
        <v>43978</v>
      </c>
      <c r="F1239">
        <v>1</v>
      </c>
      <c r="G1239" t="s">
        <v>31</v>
      </c>
      <c r="H1239" t="s">
        <v>32</v>
      </c>
      <c r="I1239" s="3">
        <v>1529</v>
      </c>
      <c r="J1239" s="3">
        <v>1529</v>
      </c>
      <c r="K1239" s="3">
        <v>388</v>
      </c>
      <c r="L1239" t="s">
        <v>113</v>
      </c>
      <c r="M1239">
        <v>11</v>
      </c>
      <c r="N1239" t="s">
        <v>10</v>
      </c>
      <c r="O1239" t="s">
        <v>11</v>
      </c>
      <c r="P1239" t="s">
        <v>12</v>
      </c>
      <c r="Q1239" t="s">
        <v>13</v>
      </c>
      <c r="R1239" t="s">
        <v>13</v>
      </c>
      <c r="S1239" t="s">
        <v>144</v>
      </c>
      <c r="T1239" s="2">
        <f>MASTER[[#This Row],[CANTIDAD]]*MASTER[[#This Row],[PRECIO DE VENTA]]</f>
        <v>1529</v>
      </c>
      <c r="U1239" s="2">
        <f>MASTER[[#This Row],[CANTIDAD]]*MASTER[[#This Row],[COSTO UNITARIO]]</f>
        <v>388</v>
      </c>
      <c r="V1239" s="2">
        <f>MASTER[[#This Row],[MONTO VENDIDO]]-MASTER[[#This Row],[COSTO DE VENTA]]</f>
        <v>1141</v>
      </c>
    </row>
    <row r="1240" spans="1:22" x14ac:dyDescent="0.3">
      <c r="A1240">
        <v>25257</v>
      </c>
      <c r="B1240">
        <v>1</v>
      </c>
      <c r="C1240" t="s">
        <v>107</v>
      </c>
      <c r="D1240" t="s">
        <v>108</v>
      </c>
      <c r="E1240" s="1">
        <v>43978</v>
      </c>
      <c r="F1240">
        <v>1</v>
      </c>
      <c r="G1240" t="s">
        <v>47</v>
      </c>
      <c r="H1240" t="s">
        <v>48</v>
      </c>
      <c r="I1240" s="3">
        <v>1333</v>
      </c>
      <c r="J1240" s="3">
        <v>1333</v>
      </c>
      <c r="K1240" s="3">
        <v>380</v>
      </c>
      <c r="L1240" t="s">
        <v>98</v>
      </c>
      <c r="M1240">
        <v>8</v>
      </c>
      <c r="N1240" t="s">
        <v>80</v>
      </c>
      <c r="O1240" t="s">
        <v>81</v>
      </c>
      <c r="P1240" t="s">
        <v>12</v>
      </c>
      <c r="Q1240" t="s">
        <v>13</v>
      </c>
      <c r="R1240" t="s">
        <v>13</v>
      </c>
      <c r="S1240" t="s">
        <v>144</v>
      </c>
      <c r="T1240" s="2">
        <f>MASTER[[#This Row],[CANTIDAD]]*MASTER[[#This Row],[PRECIO DE VENTA]]</f>
        <v>1333</v>
      </c>
      <c r="U1240" s="2">
        <f>MASTER[[#This Row],[CANTIDAD]]*MASTER[[#This Row],[COSTO UNITARIO]]</f>
        <v>380</v>
      </c>
      <c r="V1240" s="2">
        <f>MASTER[[#This Row],[MONTO VENDIDO]]-MASTER[[#This Row],[COSTO DE VENTA]]</f>
        <v>953</v>
      </c>
    </row>
    <row r="1241" spans="1:22" x14ac:dyDescent="0.3">
      <c r="A1241">
        <v>25271</v>
      </c>
      <c r="B1241">
        <v>1</v>
      </c>
      <c r="C1241" t="s">
        <v>121</v>
      </c>
      <c r="D1241" t="s">
        <v>122</v>
      </c>
      <c r="E1241" s="1">
        <v>43978</v>
      </c>
      <c r="F1241">
        <v>1</v>
      </c>
      <c r="G1241" t="s">
        <v>24</v>
      </c>
      <c r="H1241" t="s">
        <v>25</v>
      </c>
      <c r="I1241" s="3">
        <v>1069</v>
      </c>
      <c r="J1241" s="3">
        <v>1069</v>
      </c>
      <c r="K1241" s="3">
        <v>460</v>
      </c>
      <c r="L1241" t="s">
        <v>120</v>
      </c>
      <c r="M1241">
        <v>2</v>
      </c>
      <c r="N1241" t="s">
        <v>86</v>
      </c>
      <c r="O1241" t="s">
        <v>81</v>
      </c>
      <c r="P1241" t="s">
        <v>71</v>
      </c>
      <c r="Q1241" t="s">
        <v>72</v>
      </c>
      <c r="R1241" t="s">
        <v>139</v>
      </c>
      <c r="S1241" t="s">
        <v>144</v>
      </c>
      <c r="T1241" s="2">
        <f>MASTER[[#This Row],[CANTIDAD]]*MASTER[[#This Row],[PRECIO DE VENTA]]</f>
        <v>1069</v>
      </c>
      <c r="U1241" s="2">
        <f>MASTER[[#This Row],[CANTIDAD]]*MASTER[[#This Row],[COSTO UNITARIO]]</f>
        <v>460</v>
      </c>
      <c r="V1241" s="2">
        <f>MASTER[[#This Row],[MONTO VENDIDO]]-MASTER[[#This Row],[COSTO DE VENTA]]</f>
        <v>609</v>
      </c>
    </row>
    <row r="1242" spans="1:22" x14ac:dyDescent="0.3">
      <c r="A1242">
        <v>25277</v>
      </c>
      <c r="B1242">
        <v>1</v>
      </c>
      <c r="C1242" t="s">
        <v>109</v>
      </c>
      <c r="D1242" t="s">
        <v>110</v>
      </c>
      <c r="E1242" s="1">
        <v>43978</v>
      </c>
      <c r="F1242">
        <v>2</v>
      </c>
      <c r="G1242" t="s">
        <v>7</v>
      </c>
      <c r="H1242" t="s">
        <v>8</v>
      </c>
      <c r="I1242" s="3">
        <v>1064</v>
      </c>
      <c r="J1242" s="3">
        <v>1064</v>
      </c>
      <c r="K1242" s="3">
        <v>387</v>
      </c>
      <c r="L1242" t="s">
        <v>98</v>
      </c>
      <c r="M1242">
        <v>14</v>
      </c>
      <c r="N1242" t="s">
        <v>87</v>
      </c>
      <c r="O1242" t="s">
        <v>81</v>
      </c>
      <c r="P1242" t="s">
        <v>18</v>
      </c>
      <c r="Q1242" t="s">
        <v>19</v>
      </c>
      <c r="R1242" t="s">
        <v>138</v>
      </c>
      <c r="S1242" t="s">
        <v>144</v>
      </c>
      <c r="T1242" s="2">
        <f>MASTER[[#This Row],[CANTIDAD]]*MASTER[[#This Row],[PRECIO DE VENTA]]</f>
        <v>2128</v>
      </c>
      <c r="U1242" s="2">
        <f>MASTER[[#This Row],[CANTIDAD]]*MASTER[[#This Row],[COSTO UNITARIO]]</f>
        <v>774</v>
      </c>
      <c r="V1242" s="2">
        <f>MASTER[[#This Row],[MONTO VENDIDO]]-MASTER[[#This Row],[COSTO DE VENTA]]</f>
        <v>1354</v>
      </c>
    </row>
    <row r="1243" spans="1:22" x14ac:dyDescent="0.3">
      <c r="A1243">
        <v>25286</v>
      </c>
      <c r="B1243">
        <v>1</v>
      </c>
      <c r="C1243" t="s">
        <v>116</v>
      </c>
      <c r="D1243" t="s">
        <v>117</v>
      </c>
      <c r="E1243" s="1">
        <v>43978</v>
      </c>
      <c r="F1243">
        <v>1</v>
      </c>
      <c r="G1243" t="s">
        <v>24</v>
      </c>
      <c r="H1243" t="s">
        <v>25</v>
      </c>
      <c r="I1243" s="3">
        <v>1529</v>
      </c>
      <c r="J1243" s="3">
        <v>1529</v>
      </c>
      <c r="K1243" s="3">
        <v>388</v>
      </c>
      <c r="L1243" t="s">
        <v>113</v>
      </c>
      <c r="M1243">
        <v>12</v>
      </c>
      <c r="N1243" t="s">
        <v>26</v>
      </c>
      <c r="O1243" t="s">
        <v>11</v>
      </c>
      <c r="P1243" t="s">
        <v>12</v>
      </c>
      <c r="Q1243" t="s">
        <v>13</v>
      </c>
      <c r="R1243" t="s">
        <v>13</v>
      </c>
      <c r="S1243" t="s">
        <v>144</v>
      </c>
      <c r="T1243" s="2">
        <f>MASTER[[#This Row],[CANTIDAD]]*MASTER[[#This Row],[PRECIO DE VENTA]]</f>
        <v>1529</v>
      </c>
      <c r="U1243" s="2">
        <f>MASTER[[#This Row],[CANTIDAD]]*MASTER[[#This Row],[COSTO UNITARIO]]</f>
        <v>388</v>
      </c>
      <c r="V1243" s="2">
        <f>MASTER[[#This Row],[MONTO VENDIDO]]-MASTER[[#This Row],[COSTO DE VENTA]]</f>
        <v>1141</v>
      </c>
    </row>
    <row r="1244" spans="1:22" x14ac:dyDescent="0.3">
      <c r="A1244">
        <v>25298</v>
      </c>
      <c r="B1244">
        <v>1</v>
      </c>
      <c r="C1244" t="s">
        <v>90</v>
      </c>
      <c r="D1244" t="s">
        <v>91</v>
      </c>
      <c r="E1244" s="1">
        <v>43978</v>
      </c>
      <c r="F1244">
        <v>1</v>
      </c>
      <c r="G1244" t="s">
        <v>59</v>
      </c>
      <c r="H1244" t="s">
        <v>60</v>
      </c>
      <c r="I1244" s="3">
        <v>1844</v>
      </c>
      <c r="J1244" s="3">
        <v>1844</v>
      </c>
      <c r="K1244" s="3">
        <v>420</v>
      </c>
      <c r="L1244" t="s">
        <v>9</v>
      </c>
      <c r="M1244">
        <v>10</v>
      </c>
      <c r="N1244" t="s">
        <v>83</v>
      </c>
      <c r="O1244" t="s">
        <v>81</v>
      </c>
      <c r="P1244" t="s">
        <v>12</v>
      </c>
      <c r="Q1244" t="s">
        <v>13</v>
      </c>
      <c r="R1244" t="s">
        <v>13</v>
      </c>
      <c r="S1244" t="s">
        <v>144</v>
      </c>
      <c r="T1244" s="2">
        <f>MASTER[[#This Row],[CANTIDAD]]*MASTER[[#This Row],[PRECIO DE VENTA]]</f>
        <v>1844</v>
      </c>
      <c r="U1244" s="2">
        <f>MASTER[[#This Row],[CANTIDAD]]*MASTER[[#This Row],[COSTO UNITARIO]]</f>
        <v>420</v>
      </c>
      <c r="V1244" s="2">
        <f>MASTER[[#This Row],[MONTO VENDIDO]]-MASTER[[#This Row],[COSTO DE VENTA]]</f>
        <v>1424</v>
      </c>
    </row>
    <row r="1245" spans="1:22" x14ac:dyDescent="0.3">
      <c r="A1245">
        <v>25303</v>
      </c>
      <c r="B1245">
        <v>1</v>
      </c>
      <c r="C1245" t="s">
        <v>94</v>
      </c>
      <c r="D1245" t="s">
        <v>95</v>
      </c>
      <c r="E1245" s="1">
        <v>43978</v>
      </c>
      <c r="F1245">
        <v>1</v>
      </c>
      <c r="G1245" t="s">
        <v>31</v>
      </c>
      <c r="H1245" t="s">
        <v>32</v>
      </c>
      <c r="I1245" s="3">
        <v>1153</v>
      </c>
      <c r="J1245" s="3">
        <v>1153</v>
      </c>
      <c r="K1245" s="3">
        <v>392</v>
      </c>
      <c r="L1245" t="s">
        <v>9</v>
      </c>
      <c r="M1245">
        <v>13</v>
      </c>
      <c r="N1245" t="s">
        <v>78</v>
      </c>
      <c r="O1245" t="s">
        <v>70</v>
      </c>
      <c r="P1245" t="s">
        <v>18</v>
      </c>
      <c r="Q1245" t="s">
        <v>19</v>
      </c>
      <c r="R1245" t="s">
        <v>138</v>
      </c>
      <c r="S1245" t="s">
        <v>144</v>
      </c>
      <c r="T1245" s="2">
        <f>MASTER[[#This Row],[CANTIDAD]]*MASTER[[#This Row],[PRECIO DE VENTA]]</f>
        <v>1153</v>
      </c>
      <c r="U1245" s="2">
        <f>MASTER[[#This Row],[CANTIDAD]]*MASTER[[#This Row],[COSTO UNITARIO]]</f>
        <v>392</v>
      </c>
      <c r="V1245" s="2">
        <f>MASTER[[#This Row],[MONTO VENDIDO]]-MASTER[[#This Row],[COSTO DE VENTA]]</f>
        <v>761</v>
      </c>
    </row>
    <row r="1246" spans="1:22" x14ac:dyDescent="0.3">
      <c r="A1246">
        <v>25327</v>
      </c>
      <c r="B1246">
        <v>1</v>
      </c>
      <c r="C1246" t="s">
        <v>94</v>
      </c>
      <c r="D1246" t="s">
        <v>95</v>
      </c>
      <c r="E1246" s="1">
        <v>43978</v>
      </c>
      <c r="F1246">
        <v>1</v>
      </c>
      <c r="G1246" t="s">
        <v>29</v>
      </c>
      <c r="H1246" t="s">
        <v>30</v>
      </c>
      <c r="I1246" s="3">
        <v>1153</v>
      </c>
      <c r="J1246" s="3">
        <v>1153</v>
      </c>
      <c r="K1246" s="3">
        <v>392</v>
      </c>
      <c r="L1246" t="s">
        <v>9</v>
      </c>
      <c r="M1246">
        <v>6</v>
      </c>
      <c r="N1246" t="s">
        <v>75</v>
      </c>
      <c r="O1246" t="s">
        <v>70</v>
      </c>
      <c r="P1246" t="s">
        <v>12</v>
      </c>
      <c r="Q1246" t="s">
        <v>13</v>
      </c>
      <c r="R1246" t="s">
        <v>13</v>
      </c>
      <c r="S1246" t="s">
        <v>144</v>
      </c>
      <c r="T1246" s="2">
        <f>MASTER[[#This Row],[CANTIDAD]]*MASTER[[#This Row],[PRECIO DE VENTA]]</f>
        <v>1153</v>
      </c>
      <c r="U1246" s="2">
        <f>MASTER[[#This Row],[CANTIDAD]]*MASTER[[#This Row],[COSTO UNITARIO]]</f>
        <v>392</v>
      </c>
      <c r="V1246" s="2">
        <f>MASTER[[#This Row],[MONTO VENDIDO]]-MASTER[[#This Row],[COSTO DE VENTA]]</f>
        <v>761</v>
      </c>
    </row>
    <row r="1247" spans="1:22" x14ac:dyDescent="0.3">
      <c r="A1247">
        <v>25344</v>
      </c>
      <c r="B1247">
        <v>1</v>
      </c>
      <c r="C1247" t="s">
        <v>118</v>
      </c>
      <c r="D1247" t="s">
        <v>119</v>
      </c>
      <c r="E1247" s="1">
        <v>43978</v>
      </c>
      <c r="F1247">
        <v>1</v>
      </c>
      <c r="G1247" t="s">
        <v>31</v>
      </c>
      <c r="H1247" t="s">
        <v>32</v>
      </c>
      <c r="I1247" s="3">
        <v>900</v>
      </c>
      <c r="J1247" s="3">
        <v>900</v>
      </c>
      <c r="K1247" s="3">
        <v>424</v>
      </c>
      <c r="L1247" t="s">
        <v>120</v>
      </c>
      <c r="M1247">
        <v>5</v>
      </c>
      <c r="N1247" t="s">
        <v>85</v>
      </c>
      <c r="O1247" t="s">
        <v>81</v>
      </c>
      <c r="P1247" t="s">
        <v>12</v>
      </c>
      <c r="Q1247" t="s">
        <v>13</v>
      </c>
      <c r="R1247" t="s">
        <v>13</v>
      </c>
      <c r="S1247" t="s">
        <v>144</v>
      </c>
      <c r="T1247" s="2">
        <f>MASTER[[#This Row],[CANTIDAD]]*MASTER[[#This Row],[PRECIO DE VENTA]]</f>
        <v>900</v>
      </c>
      <c r="U1247" s="2">
        <f>MASTER[[#This Row],[CANTIDAD]]*MASTER[[#This Row],[COSTO UNITARIO]]</f>
        <v>424</v>
      </c>
      <c r="V1247" s="2">
        <f>MASTER[[#This Row],[MONTO VENDIDO]]-MASTER[[#This Row],[COSTO DE VENTA]]</f>
        <v>476</v>
      </c>
    </row>
    <row r="1248" spans="1:22" x14ac:dyDescent="0.3">
      <c r="A1248">
        <v>25360</v>
      </c>
      <c r="B1248">
        <v>1</v>
      </c>
      <c r="C1248" t="s">
        <v>109</v>
      </c>
      <c r="D1248" t="s">
        <v>110</v>
      </c>
      <c r="E1248" s="1">
        <v>43979</v>
      </c>
      <c r="F1248">
        <v>1</v>
      </c>
      <c r="G1248" t="s">
        <v>22</v>
      </c>
      <c r="H1248" t="s">
        <v>23</v>
      </c>
      <c r="I1248" s="3">
        <v>1128</v>
      </c>
      <c r="J1248" s="3">
        <v>1128</v>
      </c>
      <c r="K1248" s="3">
        <v>387</v>
      </c>
      <c r="L1248" t="s">
        <v>98</v>
      </c>
      <c r="M1248">
        <v>1</v>
      </c>
      <c r="N1248" t="s">
        <v>77</v>
      </c>
      <c r="O1248" t="s">
        <v>70</v>
      </c>
      <c r="P1248" t="s">
        <v>71</v>
      </c>
      <c r="Q1248" t="s">
        <v>72</v>
      </c>
      <c r="R1248" t="s">
        <v>139</v>
      </c>
      <c r="S1248" t="s">
        <v>144</v>
      </c>
      <c r="T1248" s="2">
        <f>MASTER[[#This Row],[CANTIDAD]]*MASTER[[#This Row],[PRECIO DE VENTA]]</f>
        <v>1128</v>
      </c>
      <c r="U1248" s="2">
        <f>MASTER[[#This Row],[CANTIDAD]]*MASTER[[#This Row],[COSTO UNITARIO]]</f>
        <v>387</v>
      </c>
      <c r="V1248" s="2">
        <f>MASTER[[#This Row],[MONTO VENDIDO]]-MASTER[[#This Row],[COSTO DE VENTA]]</f>
        <v>741</v>
      </c>
    </row>
    <row r="1249" spans="1:22" x14ac:dyDescent="0.3">
      <c r="A1249">
        <v>25368</v>
      </c>
      <c r="B1249">
        <v>1</v>
      </c>
      <c r="C1249" t="s">
        <v>109</v>
      </c>
      <c r="D1249" t="s">
        <v>110</v>
      </c>
      <c r="E1249" s="1">
        <v>43979</v>
      </c>
      <c r="F1249">
        <v>1</v>
      </c>
      <c r="G1249" t="s">
        <v>24</v>
      </c>
      <c r="H1249" t="s">
        <v>25</v>
      </c>
      <c r="I1249" s="3">
        <v>1064</v>
      </c>
      <c r="J1249" s="3">
        <v>1064</v>
      </c>
      <c r="K1249" s="3">
        <v>387</v>
      </c>
      <c r="L1249" t="s">
        <v>98</v>
      </c>
      <c r="M1249">
        <v>8</v>
      </c>
      <c r="N1249" t="s">
        <v>80</v>
      </c>
      <c r="O1249" t="s">
        <v>81</v>
      </c>
      <c r="P1249" t="s">
        <v>12</v>
      </c>
      <c r="Q1249" t="s">
        <v>13</v>
      </c>
      <c r="R1249" t="s">
        <v>13</v>
      </c>
      <c r="S1249" t="s">
        <v>144</v>
      </c>
      <c r="T1249" s="2">
        <f>MASTER[[#This Row],[CANTIDAD]]*MASTER[[#This Row],[PRECIO DE VENTA]]</f>
        <v>1064</v>
      </c>
      <c r="U1249" s="2">
        <f>MASTER[[#This Row],[CANTIDAD]]*MASTER[[#This Row],[COSTO UNITARIO]]</f>
        <v>387</v>
      </c>
      <c r="V1249" s="2">
        <f>MASTER[[#This Row],[MONTO VENDIDO]]-MASTER[[#This Row],[COSTO DE VENTA]]</f>
        <v>677</v>
      </c>
    </row>
    <row r="1250" spans="1:22" x14ac:dyDescent="0.3">
      <c r="A1250">
        <v>25370</v>
      </c>
      <c r="B1250">
        <v>1</v>
      </c>
      <c r="C1250" t="s">
        <v>107</v>
      </c>
      <c r="D1250" t="s">
        <v>108</v>
      </c>
      <c r="E1250" s="1">
        <v>43979</v>
      </c>
      <c r="F1250">
        <v>1</v>
      </c>
      <c r="G1250" t="s">
        <v>61</v>
      </c>
      <c r="H1250" t="s">
        <v>62</v>
      </c>
      <c r="I1250" s="3">
        <v>1440</v>
      </c>
      <c r="J1250" s="3">
        <v>1440</v>
      </c>
      <c r="K1250" s="3">
        <v>380</v>
      </c>
      <c r="L1250" t="s">
        <v>98</v>
      </c>
      <c r="M1250">
        <v>1</v>
      </c>
      <c r="N1250" t="s">
        <v>77</v>
      </c>
      <c r="O1250" t="s">
        <v>70</v>
      </c>
      <c r="P1250" t="s">
        <v>71</v>
      </c>
      <c r="Q1250" t="s">
        <v>72</v>
      </c>
      <c r="R1250" t="s">
        <v>139</v>
      </c>
      <c r="S1250" t="s">
        <v>144</v>
      </c>
      <c r="T1250" s="2">
        <f>MASTER[[#This Row],[CANTIDAD]]*MASTER[[#This Row],[PRECIO DE VENTA]]</f>
        <v>1440</v>
      </c>
      <c r="U1250" s="2">
        <f>MASTER[[#This Row],[CANTIDAD]]*MASTER[[#This Row],[COSTO UNITARIO]]</f>
        <v>380</v>
      </c>
      <c r="V1250" s="2">
        <f>MASTER[[#This Row],[MONTO VENDIDO]]-MASTER[[#This Row],[COSTO DE VENTA]]</f>
        <v>1060</v>
      </c>
    </row>
    <row r="1251" spans="1:22" x14ac:dyDescent="0.3">
      <c r="A1251">
        <v>25372</v>
      </c>
      <c r="B1251">
        <v>1</v>
      </c>
      <c r="C1251" t="s">
        <v>94</v>
      </c>
      <c r="D1251" t="s">
        <v>95</v>
      </c>
      <c r="E1251" s="1">
        <v>43979</v>
      </c>
      <c r="F1251">
        <v>1</v>
      </c>
      <c r="G1251" t="s">
        <v>39</v>
      </c>
      <c r="H1251" t="s">
        <v>40</v>
      </c>
      <c r="I1251" s="3">
        <v>1048</v>
      </c>
      <c r="J1251" s="3">
        <v>1048</v>
      </c>
      <c r="K1251" s="3">
        <v>392</v>
      </c>
      <c r="L1251" t="s">
        <v>9</v>
      </c>
      <c r="M1251">
        <v>4</v>
      </c>
      <c r="N1251" t="s">
        <v>82</v>
      </c>
      <c r="O1251" t="s">
        <v>81</v>
      </c>
      <c r="P1251" t="s">
        <v>71</v>
      </c>
      <c r="Q1251" t="s">
        <v>72</v>
      </c>
      <c r="R1251" t="s">
        <v>139</v>
      </c>
      <c r="S1251" t="s">
        <v>144</v>
      </c>
      <c r="T1251" s="2">
        <f>MASTER[[#This Row],[CANTIDAD]]*MASTER[[#This Row],[PRECIO DE VENTA]]</f>
        <v>1048</v>
      </c>
      <c r="U1251" s="2">
        <f>MASTER[[#This Row],[CANTIDAD]]*MASTER[[#This Row],[COSTO UNITARIO]]</f>
        <v>392</v>
      </c>
      <c r="V1251" s="2">
        <f>MASTER[[#This Row],[MONTO VENDIDO]]-MASTER[[#This Row],[COSTO DE VENTA]]</f>
        <v>656</v>
      </c>
    </row>
    <row r="1252" spans="1:22" x14ac:dyDescent="0.3">
      <c r="A1252">
        <v>25393</v>
      </c>
      <c r="B1252">
        <v>1</v>
      </c>
      <c r="C1252" t="s">
        <v>116</v>
      </c>
      <c r="D1252" t="s">
        <v>117</v>
      </c>
      <c r="E1252" s="1">
        <v>43979</v>
      </c>
      <c r="F1252">
        <v>1</v>
      </c>
      <c r="G1252" t="s">
        <v>29</v>
      </c>
      <c r="H1252" t="s">
        <v>30</v>
      </c>
      <c r="I1252" s="3">
        <v>1999</v>
      </c>
      <c r="J1252" s="3">
        <v>1799</v>
      </c>
      <c r="K1252" s="3">
        <v>388</v>
      </c>
      <c r="L1252" t="s">
        <v>113</v>
      </c>
      <c r="M1252">
        <v>1</v>
      </c>
      <c r="N1252" t="s">
        <v>77</v>
      </c>
      <c r="O1252" t="s">
        <v>70</v>
      </c>
      <c r="P1252" t="s">
        <v>71</v>
      </c>
      <c r="Q1252" t="s">
        <v>72</v>
      </c>
      <c r="R1252" t="s">
        <v>139</v>
      </c>
      <c r="S1252" t="s">
        <v>144</v>
      </c>
      <c r="T1252" s="2">
        <f>MASTER[[#This Row],[CANTIDAD]]*MASTER[[#This Row],[PRECIO DE VENTA]]</f>
        <v>1799</v>
      </c>
      <c r="U1252" s="2">
        <f>MASTER[[#This Row],[CANTIDAD]]*MASTER[[#This Row],[COSTO UNITARIO]]</f>
        <v>388</v>
      </c>
      <c r="V1252" s="2">
        <f>MASTER[[#This Row],[MONTO VENDIDO]]-MASTER[[#This Row],[COSTO DE VENTA]]</f>
        <v>1411</v>
      </c>
    </row>
    <row r="1253" spans="1:22" x14ac:dyDescent="0.3">
      <c r="A1253">
        <v>25459</v>
      </c>
      <c r="B1253">
        <v>1</v>
      </c>
      <c r="C1253" t="s">
        <v>121</v>
      </c>
      <c r="D1253" t="s">
        <v>122</v>
      </c>
      <c r="E1253" s="1">
        <v>43979</v>
      </c>
      <c r="F1253">
        <v>1</v>
      </c>
      <c r="G1253" t="s">
        <v>61</v>
      </c>
      <c r="H1253" t="s">
        <v>62</v>
      </c>
      <c r="I1253" s="3">
        <v>1144</v>
      </c>
      <c r="J1253" s="3">
        <v>1144</v>
      </c>
      <c r="K1253" s="3">
        <v>460</v>
      </c>
      <c r="L1253" t="s">
        <v>120</v>
      </c>
      <c r="M1253">
        <v>6</v>
      </c>
      <c r="N1253" t="s">
        <v>75</v>
      </c>
      <c r="O1253" t="s">
        <v>70</v>
      </c>
      <c r="P1253" t="s">
        <v>12</v>
      </c>
      <c r="Q1253" t="s">
        <v>13</v>
      </c>
      <c r="R1253" t="s">
        <v>13</v>
      </c>
      <c r="S1253" t="s">
        <v>144</v>
      </c>
      <c r="T1253" s="2">
        <f>MASTER[[#This Row],[CANTIDAD]]*MASTER[[#This Row],[PRECIO DE VENTA]]</f>
        <v>1144</v>
      </c>
      <c r="U1253" s="2">
        <f>MASTER[[#This Row],[CANTIDAD]]*MASTER[[#This Row],[COSTO UNITARIO]]</f>
        <v>460</v>
      </c>
      <c r="V1253" s="2">
        <f>MASTER[[#This Row],[MONTO VENDIDO]]-MASTER[[#This Row],[COSTO DE VENTA]]</f>
        <v>684</v>
      </c>
    </row>
    <row r="1254" spans="1:22" x14ac:dyDescent="0.3">
      <c r="A1254">
        <v>25477</v>
      </c>
      <c r="B1254">
        <v>1</v>
      </c>
      <c r="C1254" t="s">
        <v>92</v>
      </c>
      <c r="D1254" t="s">
        <v>93</v>
      </c>
      <c r="E1254" s="1">
        <v>43980</v>
      </c>
      <c r="F1254">
        <v>1</v>
      </c>
      <c r="G1254" t="s">
        <v>45</v>
      </c>
      <c r="H1254" t="s">
        <v>46</v>
      </c>
      <c r="I1254" s="3">
        <v>1681</v>
      </c>
      <c r="J1254" s="3">
        <v>1681</v>
      </c>
      <c r="K1254" s="3">
        <v>396</v>
      </c>
      <c r="L1254" t="s">
        <v>9</v>
      </c>
      <c r="M1254">
        <v>2</v>
      </c>
      <c r="N1254" t="s">
        <v>86</v>
      </c>
      <c r="O1254" t="s">
        <v>81</v>
      </c>
      <c r="P1254" t="s">
        <v>71</v>
      </c>
      <c r="Q1254" t="s">
        <v>72</v>
      </c>
      <c r="R1254" t="s">
        <v>139</v>
      </c>
      <c r="S1254" t="s">
        <v>144</v>
      </c>
      <c r="T1254" s="2">
        <f>MASTER[[#This Row],[CANTIDAD]]*MASTER[[#This Row],[PRECIO DE VENTA]]</f>
        <v>1681</v>
      </c>
      <c r="U1254" s="2">
        <f>MASTER[[#This Row],[CANTIDAD]]*MASTER[[#This Row],[COSTO UNITARIO]]</f>
        <v>396</v>
      </c>
      <c r="V1254" s="2">
        <f>MASTER[[#This Row],[MONTO VENDIDO]]-MASTER[[#This Row],[COSTO DE VENTA]]</f>
        <v>1285</v>
      </c>
    </row>
    <row r="1255" spans="1:22" x14ac:dyDescent="0.3">
      <c r="A1255">
        <v>25492</v>
      </c>
      <c r="B1255">
        <v>1</v>
      </c>
      <c r="C1255" t="s">
        <v>94</v>
      </c>
      <c r="D1255" t="s">
        <v>95</v>
      </c>
      <c r="E1255" s="1">
        <v>43980</v>
      </c>
      <c r="F1255">
        <v>1</v>
      </c>
      <c r="G1255" t="s">
        <v>29</v>
      </c>
      <c r="H1255" t="s">
        <v>30</v>
      </c>
      <c r="I1255" s="3">
        <v>1048</v>
      </c>
      <c r="J1255" s="3">
        <v>1006</v>
      </c>
      <c r="K1255" s="3">
        <v>392</v>
      </c>
      <c r="L1255" t="s">
        <v>9</v>
      </c>
      <c r="M1255">
        <v>19</v>
      </c>
      <c r="N1255" t="s">
        <v>89</v>
      </c>
      <c r="O1255" t="s">
        <v>81</v>
      </c>
      <c r="P1255" t="s">
        <v>15</v>
      </c>
      <c r="Q1255" t="s">
        <v>16</v>
      </c>
      <c r="R1255" t="s">
        <v>16</v>
      </c>
      <c r="S1255" t="s">
        <v>144</v>
      </c>
      <c r="T1255" s="2">
        <f>MASTER[[#This Row],[CANTIDAD]]*MASTER[[#This Row],[PRECIO DE VENTA]]</f>
        <v>1006</v>
      </c>
      <c r="U1255" s="2">
        <f>MASTER[[#This Row],[CANTIDAD]]*MASTER[[#This Row],[COSTO UNITARIO]]</f>
        <v>392</v>
      </c>
      <c r="V1255" s="2">
        <f>MASTER[[#This Row],[MONTO VENDIDO]]-MASTER[[#This Row],[COSTO DE VENTA]]</f>
        <v>614</v>
      </c>
    </row>
    <row r="1256" spans="1:22" x14ac:dyDescent="0.3">
      <c r="A1256">
        <v>25496</v>
      </c>
      <c r="B1256">
        <v>1</v>
      </c>
      <c r="C1256" t="s">
        <v>111</v>
      </c>
      <c r="D1256" t="s">
        <v>112</v>
      </c>
      <c r="E1256" s="1">
        <v>43980</v>
      </c>
      <c r="F1256">
        <v>1</v>
      </c>
      <c r="G1256" t="s">
        <v>24</v>
      </c>
      <c r="H1256" t="s">
        <v>25</v>
      </c>
      <c r="I1256" s="3">
        <v>1799</v>
      </c>
      <c r="J1256" s="3">
        <v>1799</v>
      </c>
      <c r="K1256" s="3">
        <v>434</v>
      </c>
      <c r="L1256" t="s">
        <v>113</v>
      </c>
      <c r="M1256">
        <v>3</v>
      </c>
      <c r="N1256" t="s">
        <v>69</v>
      </c>
      <c r="O1256" t="s">
        <v>70</v>
      </c>
      <c r="P1256" t="s">
        <v>71</v>
      </c>
      <c r="Q1256" t="s">
        <v>72</v>
      </c>
      <c r="R1256" t="s">
        <v>139</v>
      </c>
      <c r="S1256" t="s">
        <v>144</v>
      </c>
      <c r="T1256" s="2">
        <f>MASTER[[#This Row],[CANTIDAD]]*MASTER[[#This Row],[PRECIO DE VENTA]]</f>
        <v>1799</v>
      </c>
      <c r="U1256" s="2">
        <f>MASTER[[#This Row],[CANTIDAD]]*MASTER[[#This Row],[COSTO UNITARIO]]</f>
        <v>434</v>
      </c>
      <c r="V1256" s="2">
        <f>MASTER[[#This Row],[MONTO VENDIDO]]-MASTER[[#This Row],[COSTO DE VENTA]]</f>
        <v>1365</v>
      </c>
    </row>
    <row r="1257" spans="1:22" x14ac:dyDescent="0.3">
      <c r="A1257">
        <v>25505</v>
      </c>
      <c r="B1257">
        <v>1</v>
      </c>
      <c r="C1257" t="s">
        <v>109</v>
      </c>
      <c r="D1257" t="s">
        <v>110</v>
      </c>
      <c r="E1257" s="1">
        <v>43981</v>
      </c>
      <c r="F1257">
        <v>1</v>
      </c>
      <c r="G1257" t="s">
        <v>33</v>
      </c>
      <c r="H1257" t="s">
        <v>34</v>
      </c>
      <c r="I1257" s="3">
        <v>1064</v>
      </c>
      <c r="J1257" s="3">
        <v>1064</v>
      </c>
      <c r="K1257" s="3">
        <v>387</v>
      </c>
      <c r="L1257" t="s">
        <v>98</v>
      </c>
      <c r="M1257">
        <v>15</v>
      </c>
      <c r="N1257" t="s">
        <v>88</v>
      </c>
      <c r="O1257" t="s">
        <v>81</v>
      </c>
      <c r="P1257" t="s">
        <v>18</v>
      </c>
      <c r="Q1257" t="s">
        <v>19</v>
      </c>
      <c r="R1257" t="s">
        <v>138</v>
      </c>
      <c r="S1257" t="s">
        <v>144</v>
      </c>
      <c r="T1257" s="2">
        <f>MASTER[[#This Row],[CANTIDAD]]*MASTER[[#This Row],[PRECIO DE VENTA]]</f>
        <v>1064</v>
      </c>
      <c r="U1257" s="2">
        <f>MASTER[[#This Row],[CANTIDAD]]*MASTER[[#This Row],[COSTO UNITARIO]]</f>
        <v>387</v>
      </c>
      <c r="V1257" s="2">
        <f>MASTER[[#This Row],[MONTO VENDIDO]]-MASTER[[#This Row],[COSTO DE VENTA]]</f>
        <v>677</v>
      </c>
    </row>
    <row r="1258" spans="1:22" x14ac:dyDescent="0.3">
      <c r="A1258">
        <v>25521</v>
      </c>
      <c r="B1258">
        <v>1</v>
      </c>
      <c r="C1258" t="s">
        <v>90</v>
      </c>
      <c r="D1258" t="s">
        <v>91</v>
      </c>
      <c r="E1258" s="1">
        <v>43981</v>
      </c>
      <c r="F1258">
        <v>1</v>
      </c>
      <c r="G1258" t="s">
        <v>45</v>
      </c>
      <c r="H1258" t="s">
        <v>46</v>
      </c>
      <c r="I1258" s="3">
        <v>2102</v>
      </c>
      <c r="J1258" s="3">
        <v>2102</v>
      </c>
      <c r="K1258" s="3">
        <v>420</v>
      </c>
      <c r="L1258" t="s">
        <v>9</v>
      </c>
      <c r="M1258">
        <v>13</v>
      </c>
      <c r="N1258" t="s">
        <v>78</v>
      </c>
      <c r="O1258" t="s">
        <v>70</v>
      </c>
      <c r="P1258" t="s">
        <v>18</v>
      </c>
      <c r="Q1258" t="s">
        <v>19</v>
      </c>
      <c r="R1258" t="s">
        <v>138</v>
      </c>
      <c r="S1258" t="s">
        <v>144</v>
      </c>
      <c r="T1258" s="2">
        <f>MASTER[[#This Row],[CANTIDAD]]*MASTER[[#This Row],[PRECIO DE VENTA]]</f>
        <v>2102</v>
      </c>
      <c r="U1258" s="2">
        <f>MASTER[[#This Row],[CANTIDAD]]*MASTER[[#This Row],[COSTO UNITARIO]]</f>
        <v>420</v>
      </c>
      <c r="V1258" s="2">
        <f>MASTER[[#This Row],[MONTO VENDIDO]]-MASTER[[#This Row],[COSTO DE VENTA]]</f>
        <v>1682</v>
      </c>
    </row>
    <row r="1259" spans="1:22" x14ac:dyDescent="0.3">
      <c r="A1259">
        <v>25533</v>
      </c>
      <c r="B1259">
        <v>1</v>
      </c>
      <c r="C1259" t="s">
        <v>109</v>
      </c>
      <c r="D1259" t="s">
        <v>110</v>
      </c>
      <c r="E1259" s="1">
        <v>43981</v>
      </c>
      <c r="F1259">
        <v>1</v>
      </c>
      <c r="G1259" t="s">
        <v>65</v>
      </c>
      <c r="H1259" t="s">
        <v>66</v>
      </c>
      <c r="I1259" s="3">
        <v>947</v>
      </c>
      <c r="J1259" s="3">
        <v>947</v>
      </c>
      <c r="K1259" s="3">
        <v>387</v>
      </c>
      <c r="L1259" t="s">
        <v>98</v>
      </c>
      <c r="M1259">
        <v>16</v>
      </c>
      <c r="N1259" t="s">
        <v>17</v>
      </c>
      <c r="O1259" t="s">
        <v>11</v>
      </c>
      <c r="P1259" t="s">
        <v>18</v>
      </c>
      <c r="Q1259" t="s">
        <v>19</v>
      </c>
      <c r="R1259" t="s">
        <v>138</v>
      </c>
      <c r="S1259" t="s">
        <v>144</v>
      </c>
      <c r="T1259" s="2">
        <f>MASTER[[#This Row],[CANTIDAD]]*MASTER[[#This Row],[PRECIO DE VENTA]]</f>
        <v>947</v>
      </c>
      <c r="U1259" s="2">
        <f>MASTER[[#This Row],[CANTIDAD]]*MASTER[[#This Row],[COSTO UNITARIO]]</f>
        <v>387</v>
      </c>
      <c r="V1259" s="2">
        <f>MASTER[[#This Row],[MONTO VENDIDO]]-MASTER[[#This Row],[COSTO DE VENTA]]</f>
        <v>560</v>
      </c>
    </row>
    <row r="1260" spans="1:22" x14ac:dyDescent="0.3">
      <c r="A1260">
        <v>25564</v>
      </c>
      <c r="B1260">
        <v>1</v>
      </c>
      <c r="C1260" t="s">
        <v>96</v>
      </c>
      <c r="D1260" t="s">
        <v>97</v>
      </c>
      <c r="E1260" s="1">
        <v>43981</v>
      </c>
      <c r="F1260">
        <v>1</v>
      </c>
      <c r="G1260" t="s">
        <v>7</v>
      </c>
      <c r="H1260" t="s">
        <v>8</v>
      </c>
      <c r="I1260" s="3">
        <v>1272</v>
      </c>
      <c r="J1260" s="3">
        <v>1272</v>
      </c>
      <c r="K1260" s="3">
        <v>397</v>
      </c>
      <c r="L1260" t="s">
        <v>98</v>
      </c>
      <c r="M1260">
        <v>15</v>
      </c>
      <c r="N1260" t="s">
        <v>88</v>
      </c>
      <c r="O1260" t="s">
        <v>81</v>
      </c>
      <c r="P1260" t="s">
        <v>18</v>
      </c>
      <c r="Q1260" t="s">
        <v>19</v>
      </c>
      <c r="R1260" t="s">
        <v>138</v>
      </c>
      <c r="S1260" t="s">
        <v>144</v>
      </c>
      <c r="T1260" s="2">
        <f>MASTER[[#This Row],[CANTIDAD]]*MASTER[[#This Row],[PRECIO DE VENTA]]</f>
        <v>1272</v>
      </c>
      <c r="U1260" s="2">
        <f>MASTER[[#This Row],[CANTIDAD]]*MASTER[[#This Row],[COSTO UNITARIO]]</f>
        <v>397</v>
      </c>
      <c r="V1260" s="2">
        <f>MASTER[[#This Row],[MONTO VENDIDO]]-MASTER[[#This Row],[COSTO DE VENTA]]</f>
        <v>875</v>
      </c>
    </row>
    <row r="1261" spans="1:22" x14ac:dyDescent="0.3">
      <c r="A1261">
        <v>25577</v>
      </c>
      <c r="B1261">
        <v>1</v>
      </c>
      <c r="C1261" t="s">
        <v>94</v>
      </c>
      <c r="D1261" t="s">
        <v>95</v>
      </c>
      <c r="E1261" s="1">
        <v>43981</v>
      </c>
      <c r="F1261">
        <v>1</v>
      </c>
      <c r="G1261" t="s">
        <v>55</v>
      </c>
      <c r="H1261" t="s">
        <v>56</v>
      </c>
      <c r="I1261" s="3">
        <v>1048</v>
      </c>
      <c r="J1261" s="3">
        <v>1048</v>
      </c>
      <c r="K1261" s="3">
        <v>392</v>
      </c>
      <c r="L1261" t="s">
        <v>9</v>
      </c>
      <c r="M1261">
        <v>5</v>
      </c>
      <c r="N1261" t="s">
        <v>85</v>
      </c>
      <c r="O1261" t="s">
        <v>81</v>
      </c>
      <c r="P1261" t="s">
        <v>12</v>
      </c>
      <c r="Q1261" t="s">
        <v>13</v>
      </c>
      <c r="R1261" t="s">
        <v>13</v>
      </c>
      <c r="S1261" t="s">
        <v>144</v>
      </c>
      <c r="T1261" s="2">
        <f>MASTER[[#This Row],[CANTIDAD]]*MASTER[[#This Row],[PRECIO DE VENTA]]</f>
        <v>1048</v>
      </c>
      <c r="U1261" s="2">
        <f>MASTER[[#This Row],[CANTIDAD]]*MASTER[[#This Row],[COSTO UNITARIO]]</f>
        <v>392</v>
      </c>
      <c r="V1261" s="2">
        <f>MASTER[[#This Row],[MONTO VENDIDO]]-MASTER[[#This Row],[COSTO DE VENTA]]</f>
        <v>656</v>
      </c>
    </row>
    <row r="1262" spans="1:22" x14ac:dyDescent="0.3">
      <c r="A1262">
        <v>25590</v>
      </c>
      <c r="B1262">
        <v>1</v>
      </c>
      <c r="C1262" t="s">
        <v>99</v>
      </c>
      <c r="D1262" t="s">
        <v>100</v>
      </c>
      <c r="E1262" s="1">
        <v>43981</v>
      </c>
      <c r="F1262">
        <v>1</v>
      </c>
      <c r="G1262" t="s">
        <v>45</v>
      </c>
      <c r="H1262" t="s">
        <v>46</v>
      </c>
      <c r="I1262" s="3">
        <v>1678</v>
      </c>
      <c r="J1262" s="3">
        <v>1678</v>
      </c>
      <c r="K1262" s="3">
        <v>386</v>
      </c>
      <c r="L1262" t="s">
        <v>98</v>
      </c>
      <c r="M1262">
        <v>1</v>
      </c>
      <c r="N1262" t="s">
        <v>77</v>
      </c>
      <c r="O1262" t="s">
        <v>70</v>
      </c>
      <c r="P1262" t="s">
        <v>71</v>
      </c>
      <c r="Q1262" t="s">
        <v>72</v>
      </c>
      <c r="R1262" t="s">
        <v>139</v>
      </c>
      <c r="S1262" t="s">
        <v>144</v>
      </c>
      <c r="T1262" s="2">
        <f>MASTER[[#This Row],[CANTIDAD]]*MASTER[[#This Row],[PRECIO DE VENTA]]</f>
        <v>1678</v>
      </c>
      <c r="U1262" s="2">
        <f>MASTER[[#This Row],[CANTIDAD]]*MASTER[[#This Row],[COSTO UNITARIO]]</f>
        <v>386</v>
      </c>
      <c r="V1262" s="2">
        <f>MASTER[[#This Row],[MONTO VENDIDO]]-MASTER[[#This Row],[COSTO DE VENTA]]</f>
        <v>1292</v>
      </c>
    </row>
    <row r="1263" spans="1:22" x14ac:dyDescent="0.3">
      <c r="A1263">
        <v>25609</v>
      </c>
      <c r="B1263">
        <v>1</v>
      </c>
      <c r="C1263" t="s">
        <v>103</v>
      </c>
      <c r="D1263" t="s">
        <v>104</v>
      </c>
      <c r="E1263" s="1">
        <v>43981</v>
      </c>
      <c r="F1263">
        <v>3</v>
      </c>
      <c r="G1263" t="s">
        <v>35</v>
      </c>
      <c r="H1263" t="s">
        <v>36</v>
      </c>
      <c r="I1263" s="3">
        <v>1448</v>
      </c>
      <c r="J1263" s="3">
        <v>1448</v>
      </c>
      <c r="K1263" s="3">
        <v>421</v>
      </c>
      <c r="L1263" t="s">
        <v>98</v>
      </c>
      <c r="M1263">
        <v>12</v>
      </c>
      <c r="N1263" t="s">
        <v>26</v>
      </c>
      <c r="O1263" t="s">
        <v>11</v>
      </c>
      <c r="P1263" t="s">
        <v>12</v>
      </c>
      <c r="Q1263" t="s">
        <v>13</v>
      </c>
      <c r="R1263" t="s">
        <v>13</v>
      </c>
      <c r="S1263" t="s">
        <v>144</v>
      </c>
      <c r="T1263" s="2">
        <f>MASTER[[#This Row],[CANTIDAD]]*MASTER[[#This Row],[PRECIO DE VENTA]]</f>
        <v>4344</v>
      </c>
      <c r="U1263" s="2">
        <f>MASTER[[#This Row],[CANTIDAD]]*MASTER[[#This Row],[COSTO UNITARIO]]</f>
        <v>1263</v>
      </c>
      <c r="V1263" s="2">
        <f>MASTER[[#This Row],[MONTO VENDIDO]]-MASTER[[#This Row],[COSTO DE VENTA]]</f>
        <v>3081</v>
      </c>
    </row>
    <row r="1264" spans="1:22" x14ac:dyDescent="0.3">
      <c r="A1264">
        <v>25611</v>
      </c>
      <c r="B1264">
        <v>1</v>
      </c>
      <c r="C1264" t="s">
        <v>107</v>
      </c>
      <c r="D1264" t="s">
        <v>108</v>
      </c>
      <c r="E1264" s="1">
        <v>43981</v>
      </c>
      <c r="F1264">
        <v>1</v>
      </c>
      <c r="G1264" t="s">
        <v>73</v>
      </c>
      <c r="H1264" t="s">
        <v>74</v>
      </c>
      <c r="I1264" s="3">
        <v>1440</v>
      </c>
      <c r="J1264" s="3">
        <v>1440</v>
      </c>
      <c r="K1264" s="3">
        <v>380</v>
      </c>
      <c r="L1264" t="s">
        <v>98</v>
      </c>
      <c r="M1264">
        <v>9</v>
      </c>
      <c r="N1264" t="s">
        <v>76</v>
      </c>
      <c r="O1264" t="s">
        <v>70</v>
      </c>
      <c r="P1264" t="s">
        <v>12</v>
      </c>
      <c r="Q1264" t="s">
        <v>13</v>
      </c>
      <c r="R1264" t="s">
        <v>13</v>
      </c>
      <c r="S1264" t="s">
        <v>144</v>
      </c>
      <c r="T1264" s="2">
        <f>MASTER[[#This Row],[CANTIDAD]]*MASTER[[#This Row],[PRECIO DE VENTA]]</f>
        <v>1440</v>
      </c>
      <c r="U1264" s="2">
        <f>MASTER[[#This Row],[CANTIDAD]]*MASTER[[#This Row],[COSTO UNITARIO]]</f>
        <v>380</v>
      </c>
      <c r="V1264" s="2">
        <f>MASTER[[#This Row],[MONTO VENDIDO]]-MASTER[[#This Row],[COSTO DE VENTA]]</f>
        <v>1060</v>
      </c>
    </row>
    <row r="1265" spans="1:22" x14ac:dyDescent="0.3">
      <c r="A1265">
        <v>25631</v>
      </c>
      <c r="B1265">
        <v>1</v>
      </c>
      <c r="C1265" t="s">
        <v>96</v>
      </c>
      <c r="D1265" t="s">
        <v>97</v>
      </c>
      <c r="E1265" s="1">
        <v>43981</v>
      </c>
      <c r="F1265">
        <v>1</v>
      </c>
      <c r="G1265" t="s">
        <v>20</v>
      </c>
      <c r="H1265" t="s">
        <v>21</v>
      </c>
      <c r="I1265" s="3">
        <v>1272</v>
      </c>
      <c r="J1265" s="3">
        <v>1272</v>
      </c>
      <c r="K1265" s="3">
        <v>397</v>
      </c>
      <c r="L1265" t="s">
        <v>98</v>
      </c>
      <c r="M1265">
        <v>5</v>
      </c>
      <c r="N1265" t="s">
        <v>85</v>
      </c>
      <c r="O1265" t="s">
        <v>81</v>
      </c>
      <c r="P1265" t="s">
        <v>12</v>
      </c>
      <c r="Q1265" t="s">
        <v>13</v>
      </c>
      <c r="R1265" t="s">
        <v>13</v>
      </c>
      <c r="S1265" t="s">
        <v>144</v>
      </c>
      <c r="T1265" s="2">
        <f>MASTER[[#This Row],[CANTIDAD]]*MASTER[[#This Row],[PRECIO DE VENTA]]</f>
        <v>1272</v>
      </c>
      <c r="U1265" s="2">
        <f>MASTER[[#This Row],[CANTIDAD]]*MASTER[[#This Row],[COSTO UNITARIO]]</f>
        <v>397</v>
      </c>
      <c r="V1265" s="2">
        <f>MASTER[[#This Row],[MONTO VENDIDO]]-MASTER[[#This Row],[COSTO DE VENTA]]</f>
        <v>875</v>
      </c>
    </row>
    <row r="1266" spans="1:22" x14ac:dyDescent="0.3">
      <c r="A1266">
        <v>25633</v>
      </c>
      <c r="B1266">
        <v>1</v>
      </c>
      <c r="C1266" t="s">
        <v>107</v>
      </c>
      <c r="D1266" t="s">
        <v>108</v>
      </c>
      <c r="E1266" s="1">
        <v>43981</v>
      </c>
      <c r="F1266">
        <v>1</v>
      </c>
      <c r="G1266" t="s">
        <v>22</v>
      </c>
      <c r="H1266" t="s">
        <v>23</v>
      </c>
      <c r="I1266" s="3">
        <v>1440</v>
      </c>
      <c r="J1266" s="3">
        <v>1440</v>
      </c>
      <c r="K1266" s="3">
        <v>380</v>
      </c>
      <c r="L1266" t="s">
        <v>98</v>
      </c>
      <c r="M1266">
        <v>6</v>
      </c>
      <c r="N1266" t="s">
        <v>75</v>
      </c>
      <c r="O1266" t="s">
        <v>70</v>
      </c>
      <c r="P1266" t="s">
        <v>12</v>
      </c>
      <c r="Q1266" t="s">
        <v>13</v>
      </c>
      <c r="R1266" t="s">
        <v>13</v>
      </c>
      <c r="S1266" t="s">
        <v>144</v>
      </c>
      <c r="T1266" s="2">
        <f>MASTER[[#This Row],[CANTIDAD]]*MASTER[[#This Row],[PRECIO DE VENTA]]</f>
        <v>1440</v>
      </c>
      <c r="U1266" s="2">
        <f>MASTER[[#This Row],[CANTIDAD]]*MASTER[[#This Row],[COSTO UNITARIO]]</f>
        <v>380</v>
      </c>
      <c r="V1266" s="2">
        <f>MASTER[[#This Row],[MONTO VENDIDO]]-MASTER[[#This Row],[COSTO DE VENTA]]</f>
        <v>1060</v>
      </c>
    </row>
    <row r="1267" spans="1:22" x14ac:dyDescent="0.3">
      <c r="A1267">
        <v>25636</v>
      </c>
      <c r="B1267">
        <v>1</v>
      </c>
      <c r="C1267" t="s">
        <v>105</v>
      </c>
      <c r="D1267" t="s">
        <v>106</v>
      </c>
      <c r="E1267" s="1">
        <v>43981</v>
      </c>
      <c r="F1267">
        <v>1</v>
      </c>
      <c r="G1267" t="s">
        <v>20</v>
      </c>
      <c r="H1267" t="s">
        <v>21</v>
      </c>
      <c r="I1267" s="3">
        <v>1585</v>
      </c>
      <c r="J1267" s="3">
        <v>1521</v>
      </c>
      <c r="K1267" s="3">
        <v>459</v>
      </c>
      <c r="L1267" t="s">
        <v>98</v>
      </c>
      <c r="M1267">
        <v>11</v>
      </c>
      <c r="N1267" t="s">
        <v>10</v>
      </c>
      <c r="O1267" t="s">
        <v>11</v>
      </c>
      <c r="P1267" t="s">
        <v>12</v>
      </c>
      <c r="Q1267" t="s">
        <v>13</v>
      </c>
      <c r="R1267" t="s">
        <v>13</v>
      </c>
      <c r="S1267" t="s">
        <v>144</v>
      </c>
      <c r="T1267" s="2">
        <f>MASTER[[#This Row],[CANTIDAD]]*MASTER[[#This Row],[PRECIO DE VENTA]]</f>
        <v>1521</v>
      </c>
      <c r="U1267" s="2">
        <f>MASTER[[#This Row],[CANTIDAD]]*MASTER[[#This Row],[COSTO UNITARIO]]</f>
        <v>459</v>
      </c>
      <c r="V1267" s="2">
        <f>MASTER[[#This Row],[MONTO VENDIDO]]-MASTER[[#This Row],[COSTO DE VENTA]]</f>
        <v>1062</v>
      </c>
    </row>
    <row r="1268" spans="1:22" x14ac:dyDescent="0.3">
      <c r="A1268">
        <v>25681</v>
      </c>
      <c r="B1268">
        <v>1</v>
      </c>
      <c r="C1268" t="s">
        <v>116</v>
      </c>
      <c r="D1268" t="s">
        <v>117</v>
      </c>
      <c r="E1268" s="1">
        <v>43981</v>
      </c>
      <c r="F1268">
        <v>1</v>
      </c>
      <c r="G1268" t="s">
        <v>29</v>
      </c>
      <c r="H1268" t="s">
        <v>30</v>
      </c>
      <c r="I1268" s="3">
        <v>1738</v>
      </c>
      <c r="J1268" s="3">
        <v>1651</v>
      </c>
      <c r="K1268" s="3">
        <v>388</v>
      </c>
      <c r="L1268" t="s">
        <v>113</v>
      </c>
      <c r="M1268">
        <v>2</v>
      </c>
      <c r="N1268" t="s">
        <v>86</v>
      </c>
      <c r="O1268" t="s">
        <v>81</v>
      </c>
      <c r="P1268" t="s">
        <v>71</v>
      </c>
      <c r="Q1268" t="s">
        <v>72</v>
      </c>
      <c r="R1268" t="s">
        <v>139</v>
      </c>
      <c r="S1268" t="s">
        <v>144</v>
      </c>
      <c r="T1268" s="2">
        <f>MASTER[[#This Row],[CANTIDAD]]*MASTER[[#This Row],[PRECIO DE VENTA]]</f>
        <v>1651</v>
      </c>
      <c r="U1268" s="2">
        <f>MASTER[[#This Row],[CANTIDAD]]*MASTER[[#This Row],[COSTO UNITARIO]]</f>
        <v>388</v>
      </c>
      <c r="V1268" s="2">
        <f>MASTER[[#This Row],[MONTO VENDIDO]]-MASTER[[#This Row],[COSTO DE VENTA]]</f>
        <v>1263</v>
      </c>
    </row>
    <row r="1269" spans="1:22" x14ac:dyDescent="0.3">
      <c r="A1269">
        <v>25742</v>
      </c>
      <c r="B1269">
        <v>1</v>
      </c>
      <c r="C1269" t="s">
        <v>96</v>
      </c>
      <c r="D1269" t="s">
        <v>97</v>
      </c>
      <c r="E1269" s="1">
        <v>43981</v>
      </c>
      <c r="F1269">
        <v>1</v>
      </c>
      <c r="G1269" t="s">
        <v>59</v>
      </c>
      <c r="H1269" t="s">
        <v>60</v>
      </c>
      <c r="I1269" s="3">
        <v>1361</v>
      </c>
      <c r="J1269" s="3">
        <v>1361</v>
      </c>
      <c r="K1269" s="3">
        <v>397</v>
      </c>
      <c r="L1269" t="s">
        <v>98</v>
      </c>
      <c r="M1269">
        <v>6</v>
      </c>
      <c r="N1269" t="s">
        <v>75</v>
      </c>
      <c r="O1269" t="s">
        <v>70</v>
      </c>
      <c r="P1269" t="s">
        <v>12</v>
      </c>
      <c r="Q1269" t="s">
        <v>13</v>
      </c>
      <c r="R1269" t="s">
        <v>13</v>
      </c>
      <c r="S1269" t="s">
        <v>144</v>
      </c>
      <c r="T1269" s="2">
        <f>MASTER[[#This Row],[CANTIDAD]]*MASTER[[#This Row],[PRECIO DE VENTA]]</f>
        <v>1361</v>
      </c>
      <c r="U1269" s="2">
        <f>MASTER[[#This Row],[CANTIDAD]]*MASTER[[#This Row],[COSTO UNITARIO]]</f>
        <v>397</v>
      </c>
      <c r="V1269" s="2">
        <f>MASTER[[#This Row],[MONTO VENDIDO]]-MASTER[[#This Row],[COSTO DE VENTA]]</f>
        <v>964</v>
      </c>
    </row>
    <row r="1270" spans="1:22" x14ac:dyDescent="0.3">
      <c r="A1270">
        <v>25743</v>
      </c>
      <c r="B1270">
        <v>1</v>
      </c>
      <c r="C1270" t="s">
        <v>107</v>
      </c>
      <c r="D1270" t="s">
        <v>108</v>
      </c>
      <c r="E1270" s="1">
        <v>43981</v>
      </c>
      <c r="F1270">
        <v>1</v>
      </c>
      <c r="G1270" t="s">
        <v>33</v>
      </c>
      <c r="H1270" t="s">
        <v>34</v>
      </c>
      <c r="I1270" s="3">
        <v>1333</v>
      </c>
      <c r="J1270" s="3">
        <v>1333</v>
      </c>
      <c r="K1270" s="3">
        <v>380</v>
      </c>
      <c r="L1270" t="s">
        <v>98</v>
      </c>
      <c r="M1270">
        <v>8</v>
      </c>
      <c r="N1270" t="s">
        <v>80</v>
      </c>
      <c r="O1270" t="s">
        <v>81</v>
      </c>
      <c r="P1270" t="s">
        <v>12</v>
      </c>
      <c r="Q1270" t="s">
        <v>13</v>
      </c>
      <c r="R1270" t="s">
        <v>13</v>
      </c>
      <c r="S1270" t="s">
        <v>144</v>
      </c>
      <c r="T1270" s="2">
        <f>MASTER[[#This Row],[CANTIDAD]]*MASTER[[#This Row],[PRECIO DE VENTA]]</f>
        <v>1333</v>
      </c>
      <c r="U1270" s="2">
        <f>MASTER[[#This Row],[CANTIDAD]]*MASTER[[#This Row],[COSTO UNITARIO]]</f>
        <v>380</v>
      </c>
      <c r="V1270" s="2">
        <f>MASTER[[#This Row],[MONTO VENDIDO]]-MASTER[[#This Row],[COSTO DE VENTA]]</f>
        <v>953</v>
      </c>
    </row>
    <row r="1271" spans="1:22" x14ac:dyDescent="0.3">
      <c r="A1271">
        <v>25756</v>
      </c>
      <c r="B1271">
        <v>1</v>
      </c>
      <c r="C1271" t="s">
        <v>92</v>
      </c>
      <c r="D1271" t="s">
        <v>93</v>
      </c>
      <c r="E1271" s="1">
        <v>43981</v>
      </c>
      <c r="F1271">
        <v>1</v>
      </c>
      <c r="G1271" t="s">
        <v>27</v>
      </c>
      <c r="H1271" t="s">
        <v>28</v>
      </c>
      <c r="I1271" s="3">
        <v>1479</v>
      </c>
      <c r="J1271" s="3">
        <v>1479</v>
      </c>
      <c r="K1271" s="3">
        <v>396</v>
      </c>
      <c r="L1271" t="s">
        <v>9</v>
      </c>
      <c r="M1271">
        <v>11</v>
      </c>
      <c r="N1271" t="s">
        <v>10</v>
      </c>
      <c r="O1271" t="s">
        <v>11</v>
      </c>
      <c r="P1271" t="s">
        <v>12</v>
      </c>
      <c r="Q1271" t="s">
        <v>13</v>
      </c>
      <c r="R1271" t="s">
        <v>13</v>
      </c>
      <c r="S1271" t="s">
        <v>144</v>
      </c>
      <c r="T1271" s="2">
        <f>MASTER[[#This Row],[CANTIDAD]]*MASTER[[#This Row],[PRECIO DE VENTA]]</f>
        <v>1479</v>
      </c>
      <c r="U1271" s="2">
        <f>MASTER[[#This Row],[CANTIDAD]]*MASTER[[#This Row],[COSTO UNITARIO]]</f>
        <v>396</v>
      </c>
      <c r="V1271" s="2">
        <f>MASTER[[#This Row],[MONTO VENDIDO]]-MASTER[[#This Row],[COSTO DE VENTA]]</f>
        <v>1083</v>
      </c>
    </row>
    <row r="1272" spans="1:22" x14ac:dyDescent="0.3">
      <c r="A1272">
        <v>25758</v>
      </c>
      <c r="B1272">
        <v>1</v>
      </c>
      <c r="C1272" t="s">
        <v>107</v>
      </c>
      <c r="D1272" t="s">
        <v>108</v>
      </c>
      <c r="E1272" s="1">
        <v>43981</v>
      </c>
      <c r="F1272">
        <v>1</v>
      </c>
      <c r="G1272" t="s">
        <v>7</v>
      </c>
      <c r="H1272" t="s">
        <v>8</v>
      </c>
      <c r="I1272" s="3">
        <v>1333</v>
      </c>
      <c r="J1272" s="3">
        <v>1333</v>
      </c>
      <c r="K1272" s="3">
        <v>380</v>
      </c>
      <c r="L1272" t="s">
        <v>98</v>
      </c>
      <c r="M1272">
        <v>8</v>
      </c>
      <c r="N1272" t="s">
        <v>80</v>
      </c>
      <c r="O1272" t="s">
        <v>81</v>
      </c>
      <c r="P1272" t="s">
        <v>12</v>
      </c>
      <c r="Q1272" t="s">
        <v>13</v>
      </c>
      <c r="R1272" t="s">
        <v>13</v>
      </c>
      <c r="S1272" t="s">
        <v>144</v>
      </c>
      <c r="T1272" s="2">
        <f>MASTER[[#This Row],[CANTIDAD]]*MASTER[[#This Row],[PRECIO DE VENTA]]</f>
        <v>1333</v>
      </c>
      <c r="U1272" s="2">
        <f>MASTER[[#This Row],[CANTIDAD]]*MASTER[[#This Row],[COSTO UNITARIO]]</f>
        <v>380</v>
      </c>
      <c r="V1272" s="2">
        <f>MASTER[[#This Row],[MONTO VENDIDO]]-MASTER[[#This Row],[COSTO DE VENTA]]</f>
        <v>953</v>
      </c>
    </row>
    <row r="1273" spans="1:22" x14ac:dyDescent="0.3">
      <c r="A1273">
        <v>25784</v>
      </c>
      <c r="B1273">
        <v>1</v>
      </c>
      <c r="C1273" t="s">
        <v>94</v>
      </c>
      <c r="D1273" t="s">
        <v>95</v>
      </c>
      <c r="E1273" s="1">
        <v>43981</v>
      </c>
      <c r="F1273">
        <v>1</v>
      </c>
      <c r="G1273" t="s">
        <v>73</v>
      </c>
      <c r="H1273" t="s">
        <v>74</v>
      </c>
      <c r="I1273" s="3">
        <v>1048</v>
      </c>
      <c r="J1273" s="3">
        <v>1048</v>
      </c>
      <c r="K1273" s="3">
        <v>392</v>
      </c>
      <c r="L1273" t="s">
        <v>9</v>
      </c>
      <c r="M1273">
        <v>14</v>
      </c>
      <c r="N1273" t="s">
        <v>87</v>
      </c>
      <c r="O1273" t="s">
        <v>81</v>
      </c>
      <c r="P1273" t="s">
        <v>18</v>
      </c>
      <c r="Q1273" t="s">
        <v>19</v>
      </c>
      <c r="R1273" t="s">
        <v>138</v>
      </c>
      <c r="S1273" t="s">
        <v>144</v>
      </c>
      <c r="T1273" s="2">
        <f>MASTER[[#This Row],[CANTIDAD]]*MASTER[[#This Row],[PRECIO DE VENTA]]</f>
        <v>1048</v>
      </c>
      <c r="U1273" s="2">
        <f>MASTER[[#This Row],[CANTIDAD]]*MASTER[[#This Row],[COSTO UNITARIO]]</f>
        <v>392</v>
      </c>
      <c r="V1273" s="2">
        <f>MASTER[[#This Row],[MONTO VENDIDO]]-MASTER[[#This Row],[COSTO DE VENTA]]</f>
        <v>656</v>
      </c>
    </row>
    <row r="1274" spans="1:22" x14ac:dyDescent="0.3">
      <c r="A1274">
        <v>25785</v>
      </c>
      <c r="B1274">
        <v>2</v>
      </c>
      <c r="C1274" t="s">
        <v>111</v>
      </c>
      <c r="D1274" t="s">
        <v>112</v>
      </c>
      <c r="E1274" s="1">
        <v>43982</v>
      </c>
      <c r="F1274">
        <v>1</v>
      </c>
      <c r="G1274" t="s">
        <v>33</v>
      </c>
      <c r="H1274" t="s">
        <v>34</v>
      </c>
      <c r="I1274" s="3">
        <v>1524</v>
      </c>
      <c r="J1274" s="3">
        <v>1524</v>
      </c>
      <c r="K1274" s="3">
        <v>434</v>
      </c>
      <c r="L1274" t="s">
        <v>113</v>
      </c>
      <c r="M1274">
        <v>17</v>
      </c>
      <c r="N1274" t="s">
        <v>14</v>
      </c>
      <c r="O1274" t="s">
        <v>11</v>
      </c>
      <c r="P1274" t="s">
        <v>15</v>
      </c>
      <c r="Q1274" t="s">
        <v>16</v>
      </c>
      <c r="R1274" t="s">
        <v>16</v>
      </c>
      <c r="S1274" t="s">
        <v>144</v>
      </c>
      <c r="T1274" s="2">
        <f>MASTER[[#This Row],[CANTIDAD]]*MASTER[[#This Row],[PRECIO DE VENTA]]</f>
        <v>1524</v>
      </c>
      <c r="U1274" s="2">
        <f>MASTER[[#This Row],[CANTIDAD]]*MASTER[[#This Row],[COSTO UNITARIO]]</f>
        <v>434</v>
      </c>
      <c r="V1274" s="2">
        <f>MASTER[[#This Row],[MONTO VENDIDO]]-MASTER[[#This Row],[COSTO DE VENTA]]</f>
        <v>1090</v>
      </c>
    </row>
    <row r="1275" spans="1:22" x14ac:dyDescent="0.3">
      <c r="A1275">
        <v>25785</v>
      </c>
      <c r="B1275">
        <v>1</v>
      </c>
      <c r="C1275" t="s">
        <v>118</v>
      </c>
      <c r="D1275" t="s">
        <v>119</v>
      </c>
      <c r="E1275" s="1">
        <v>43982</v>
      </c>
      <c r="F1275">
        <v>1</v>
      </c>
      <c r="G1275" t="s">
        <v>41</v>
      </c>
      <c r="H1275" t="s">
        <v>42</v>
      </c>
      <c r="I1275" s="3">
        <v>801</v>
      </c>
      <c r="J1275" s="3">
        <v>801</v>
      </c>
      <c r="K1275" s="3">
        <v>424</v>
      </c>
      <c r="L1275" t="s">
        <v>120</v>
      </c>
      <c r="M1275">
        <v>17</v>
      </c>
      <c r="N1275" t="s">
        <v>14</v>
      </c>
      <c r="O1275" t="s">
        <v>11</v>
      </c>
      <c r="P1275" t="s">
        <v>15</v>
      </c>
      <c r="Q1275" t="s">
        <v>16</v>
      </c>
      <c r="R1275" t="s">
        <v>16</v>
      </c>
      <c r="S1275" t="s">
        <v>144</v>
      </c>
      <c r="T1275" s="2">
        <f>MASTER[[#This Row],[CANTIDAD]]*MASTER[[#This Row],[PRECIO DE VENTA]]</f>
        <v>801</v>
      </c>
      <c r="U1275" s="2">
        <f>MASTER[[#This Row],[CANTIDAD]]*MASTER[[#This Row],[COSTO UNITARIO]]</f>
        <v>424</v>
      </c>
      <c r="V1275" s="2">
        <f>MASTER[[#This Row],[MONTO VENDIDO]]-MASTER[[#This Row],[COSTO DE VENTA]]</f>
        <v>377</v>
      </c>
    </row>
    <row r="1276" spans="1:22" x14ac:dyDescent="0.3">
      <c r="A1276">
        <v>25808</v>
      </c>
      <c r="B1276">
        <v>1</v>
      </c>
      <c r="C1276" t="s">
        <v>111</v>
      </c>
      <c r="D1276" t="s">
        <v>112</v>
      </c>
      <c r="E1276" s="1">
        <v>43982</v>
      </c>
      <c r="F1276">
        <v>1</v>
      </c>
      <c r="G1276" t="s">
        <v>47</v>
      </c>
      <c r="H1276" t="s">
        <v>48</v>
      </c>
      <c r="I1276" s="3">
        <v>1621</v>
      </c>
      <c r="J1276" s="3">
        <v>1621</v>
      </c>
      <c r="K1276" s="3">
        <v>434</v>
      </c>
      <c r="L1276" t="s">
        <v>113</v>
      </c>
      <c r="M1276">
        <v>19</v>
      </c>
      <c r="N1276" t="s">
        <v>89</v>
      </c>
      <c r="O1276" t="s">
        <v>81</v>
      </c>
      <c r="P1276" t="s">
        <v>15</v>
      </c>
      <c r="Q1276" t="s">
        <v>16</v>
      </c>
      <c r="R1276" t="s">
        <v>16</v>
      </c>
      <c r="S1276" t="s">
        <v>144</v>
      </c>
      <c r="T1276" s="2">
        <f>MASTER[[#This Row],[CANTIDAD]]*MASTER[[#This Row],[PRECIO DE VENTA]]</f>
        <v>1621</v>
      </c>
      <c r="U1276" s="2">
        <f>MASTER[[#This Row],[CANTIDAD]]*MASTER[[#This Row],[COSTO UNITARIO]]</f>
        <v>434</v>
      </c>
      <c r="V1276" s="2">
        <f>MASTER[[#This Row],[MONTO VENDIDO]]-MASTER[[#This Row],[COSTO DE VENTA]]</f>
        <v>1187</v>
      </c>
    </row>
    <row r="1277" spans="1:22" x14ac:dyDescent="0.3">
      <c r="A1277">
        <v>25822</v>
      </c>
      <c r="B1277">
        <v>1</v>
      </c>
      <c r="C1277" t="s">
        <v>101</v>
      </c>
      <c r="D1277" t="s">
        <v>102</v>
      </c>
      <c r="E1277" s="1">
        <v>43982</v>
      </c>
      <c r="F1277">
        <v>1</v>
      </c>
      <c r="G1277" t="s">
        <v>59</v>
      </c>
      <c r="H1277" t="s">
        <v>60</v>
      </c>
      <c r="I1277" s="3">
        <v>1054</v>
      </c>
      <c r="J1277" s="3">
        <v>1054</v>
      </c>
      <c r="K1277" s="3">
        <v>442</v>
      </c>
      <c r="L1277" t="s">
        <v>98</v>
      </c>
      <c r="M1277">
        <v>16</v>
      </c>
      <c r="N1277" t="s">
        <v>17</v>
      </c>
      <c r="O1277" t="s">
        <v>11</v>
      </c>
      <c r="P1277" t="s">
        <v>18</v>
      </c>
      <c r="Q1277" t="s">
        <v>19</v>
      </c>
      <c r="R1277" t="s">
        <v>138</v>
      </c>
      <c r="S1277" t="s">
        <v>144</v>
      </c>
      <c r="T1277" s="2">
        <f>MASTER[[#This Row],[CANTIDAD]]*MASTER[[#This Row],[PRECIO DE VENTA]]</f>
        <v>1054</v>
      </c>
      <c r="U1277" s="2">
        <f>MASTER[[#This Row],[CANTIDAD]]*MASTER[[#This Row],[COSTO UNITARIO]]</f>
        <v>442</v>
      </c>
      <c r="V1277" s="2">
        <f>MASTER[[#This Row],[MONTO VENDIDO]]-MASTER[[#This Row],[COSTO DE VENTA]]</f>
        <v>612</v>
      </c>
    </row>
    <row r="1278" spans="1:22" x14ac:dyDescent="0.3">
      <c r="A1278">
        <v>25831</v>
      </c>
      <c r="B1278">
        <v>1</v>
      </c>
      <c r="C1278" t="s">
        <v>109</v>
      </c>
      <c r="D1278" t="s">
        <v>110</v>
      </c>
      <c r="E1278" s="1">
        <v>43982</v>
      </c>
      <c r="F1278">
        <v>1</v>
      </c>
      <c r="G1278" t="s">
        <v>7</v>
      </c>
      <c r="H1278" t="s">
        <v>8</v>
      </c>
      <c r="I1278" s="3">
        <v>1064</v>
      </c>
      <c r="J1278" s="3">
        <v>1064</v>
      </c>
      <c r="K1278" s="3">
        <v>387</v>
      </c>
      <c r="L1278" t="s">
        <v>98</v>
      </c>
      <c r="M1278">
        <v>7</v>
      </c>
      <c r="N1278" t="s">
        <v>84</v>
      </c>
      <c r="O1278" t="s">
        <v>81</v>
      </c>
      <c r="P1278" t="s">
        <v>12</v>
      </c>
      <c r="Q1278" t="s">
        <v>13</v>
      </c>
      <c r="R1278" t="s">
        <v>13</v>
      </c>
      <c r="S1278" t="s">
        <v>144</v>
      </c>
      <c r="T1278" s="2">
        <f>MASTER[[#This Row],[CANTIDAD]]*MASTER[[#This Row],[PRECIO DE VENTA]]</f>
        <v>1064</v>
      </c>
      <c r="U1278" s="2">
        <f>MASTER[[#This Row],[CANTIDAD]]*MASTER[[#This Row],[COSTO UNITARIO]]</f>
        <v>387</v>
      </c>
      <c r="V1278" s="2">
        <f>MASTER[[#This Row],[MONTO VENDIDO]]-MASTER[[#This Row],[COSTO DE VENTA]]</f>
        <v>677</v>
      </c>
    </row>
    <row r="1279" spans="1:22" x14ac:dyDescent="0.3">
      <c r="A1279">
        <v>25844</v>
      </c>
      <c r="B1279">
        <v>1</v>
      </c>
      <c r="C1279" t="s">
        <v>90</v>
      </c>
      <c r="D1279" t="s">
        <v>91</v>
      </c>
      <c r="E1279" s="1">
        <v>43982</v>
      </c>
      <c r="F1279">
        <v>1</v>
      </c>
      <c r="G1279" t="s">
        <v>59</v>
      </c>
      <c r="H1279" t="s">
        <v>60</v>
      </c>
      <c r="I1279" s="3">
        <v>2102</v>
      </c>
      <c r="J1279" s="3">
        <v>2102</v>
      </c>
      <c r="K1279" s="3">
        <v>420</v>
      </c>
      <c r="L1279" t="s">
        <v>9</v>
      </c>
      <c r="M1279">
        <v>13</v>
      </c>
      <c r="N1279" t="s">
        <v>78</v>
      </c>
      <c r="O1279" t="s">
        <v>70</v>
      </c>
      <c r="P1279" t="s">
        <v>18</v>
      </c>
      <c r="Q1279" t="s">
        <v>19</v>
      </c>
      <c r="R1279" t="s">
        <v>138</v>
      </c>
      <c r="S1279" t="s">
        <v>144</v>
      </c>
      <c r="T1279" s="2">
        <f>MASTER[[#This Row],[CANTIDAD]]*MASTER[[#This Row],[PRECIO DE VENTA]]</f>
        <v>2102</v>
      </c>
      <c r="U1279" s="2">
        <f>MASTER[[#This Row],[CANTIDAD]]*MASTER[[#This Row],[COSTO UNITARIO]]</f>
        <v>420</v>
      </c>
      <c r="V1279" s="2">
        <f>MASTER[[#This Row],[MONTO VENDIDO]]-MASTER[[#This Row],[COSTO DE VENTA]]</f>
        <v>1682</v>
      </c>
    </row>
    <row r="1280" spans="1:22" x14ac:dyDescent="0.3">
      <c r="A1280">
        <v>25851</v>
      </c>
      <c r="B1280">
        <v>1</v>
      </c>
      <c r="C1280" t="s">
        <v>101</v>
      </c>
      <c r="D1280" t="s">
        <v>102</v>
      </c>
      <c r="E1280" s="1">
        <v>43982</v>
      </c>
      <c r="F1280">
        <v>1</v>
      </c>
      <c r="G1280" t="s">
        <v>33</v>
      </c>
      <c r="H1280" t="s">
        <v>34</v>
      </c>
      <c r="I1280" s="3">
        <v>1212</v>
      </c>
      <c r="J1280" s="3">
        <v>1212</v>
      </c>
      <c r="K1280" s="3">
        <v>442</v>
      </c>
      <c r="L1280" t="s">
        <v>98</v>
      </c>
      <c r="M1280">
        <v>15</v>
      </c>
      <c r="N1280" t="s">
        <v>88</v>
      </c>
      <c r="O1280" t="s">
        <v>81</v>
      </c>
      <c r="P1280" t="s">
        <v>18</v>
      </c>
      <c r="Q1280" t="s">
        <v>19</v>
      </c>
      <c r="R1280" t="s">
        <v>138</v>
      </c>
      <c r="S1280" t="s">
        <v>144</v>
      </c>
      <c r="T1280" s="2">
        <f>MASTER[[#This Row],[CANTIDAD]]*MASTER[[#This Row],[PRECIO DE VENTA]]</f>
        <v>1212</v>
      </c>
      <c r="U1280" s="2">
        <f>MASTER[[#This Row],[CANTIDAD]]*MASTER[[#This Row],[COSTO UNITARIO]]</f>
        <v>442</v>
      </c>
      <c r="V1280" s="2">
        <f>MASTER[[#This Row],[MONTO VENDIDO]]-MASTER[[#This Row],[COSTO DE VENTA]]</f>
        <v>770</v>
      </c>
    </row>
    <row r="1281" spans="1:22" x14ac:dyDescent="0.3">
      <c r="A1281">
        <v>25854</v>
      </c>
      <c r="B1281">
        <v>1</v>
      </c>
      <c r="C1281" t="s">
        <v>121</v>
      </c>
      <c r="D1281" t="s">
        <v>122</v>
      </c>
      <c r="E1281" s="1">
        <v>43982</v>
      </c>
      <c r="F1281">
        <v>1</v>
      </c>
      <c r="G1281" t="s">
        <v>33</v>
      </c>
      <c r="H1281" t="s">
        <v>34</v>
      </c>
      <c r="I1281" s="3">
        <v>1069</v>
      </c>
      <c r="J1281" s="3">
        <v>1069</v>
      </c>
      <c r="K1281" s="3">
        <v>460</v>
      </c>
      <c r="L1281" t="s">
        <v>120</v>
      </c>
      <c r="M1281">
        <v>4</v>
      </c>
      <c r="N1281" t="s">
        <v>82</v>
      </c>
      <c r="O1281" t="s">
        <v>81</v>
      </c>
      <c r="P1281" t="s">
        <v>71</v>
      </c>
      <c r="Q1281" t="s">
        <v>72</v>
      </c>
      <c r="R1281" t="s">
        <v>139</v>
      </c>
      <c r="S1281" t="s">
        <v>144</v>
      </c>
      <c r="T1281" s="2">
        <f>MASTER[[#This Row],[CANTIDAD]]*MASTER[[#This Row],[PRECIO DE VENTA]]</f>
        <v>1069</v>
      </c>
      <c r="U1281" s="2">
        <f>MASTER[[#This Row],[CANTIDAD]]*MASTER[[#This Row],[COSTO UNITARIO]]</f>
        <v>460</v>
      </c>
      <c r="V1281" s="2">
        <f>MASTER[[#This Row],[MONTO VENDIDO]]-MASTER[[#This Row],[COSTO DE VENTA]]</f>
        <v>609</v>
      </c>
    </row>
    <row r="1282" spans="1:22" x14ac:dyDescent="0.3">
      <c r="A1282">
        <v>25925</v>
      </c>
      <c r="B1282">
        <v>1</v>
      </c>
      <c r="C1282" t="s">
        <v>99</v>
      </c>
      <c r="D1282" t="s">
        <v>100</v>
      </c>
      <c r="E1282" s="1">
        <v>43982</v>
      </c>
      <c r="F1282">
        <v>1</v>
      </c>
      <c r="G1282" t="s">
        <v>45</v>
      </c>
      <c r="H1282" t="s">
        <v>46</v>
      </c>
      <c r="I1282" s="3">
        <v>1678</v>
      </c>
      <c r="J1282" s="3">
        <v>1678</v>
      </c>
      <c r="K1282" s="3">
        <v>386</v>
      </c>
      <c r="L1282" t="s">
        <v>98</v>
      </c>
      <c r="M1282">
        <v>6</v>
      </c>
      <c r="N1282" t="s">
        <v>75</v>
      </c>
      <c r="O1282" t="s">
        <v>70</v>
      </c>
      <c r="P1282" t="s">
        <v>12</v>
      </c>
      <c r="Q1282" t="s">
        <v>13</v>
      </c>
      <c r="R1282" t="s">
        <v>13</v>
      </c>
      <c r="S1282" t="s">
        <v>144</v>
      </c>
      <c r="T1282" s="2">
        <f>MASTER[[#This Row],[CANTIDAD]]*MASTER[[#This Row],[PRECIO DE VENTA]]</f>
        <v>1678</v>
      </c>
      <c r="U1282" s="2">
        <f>MASTER[[#This Row],[CANTIDAD]]*MASTER[[#This Row],[COSTO UNITARIO]]</f>
        <v>386</v>
      </c>
      <c r="V1282" s="2">
        <f>MASTER[[#This Row],[MONTO VENDIDO]]-MASTER[[#This Row],[COSTO DE VENTA]]</f>
        <v>1292</v>
      </c>
    </row>
    <row r="1283" spans="1:22" x14ac:dyDescent="0.3">
      <c r="A1283">
        <v>25926</v>
      </c>
      <c r="B1283">
        <v>1</v>
      </c>
      <c r="C1283" t="s">
        <v>111</v>
      </c>
      <c r="D1283" t="s">
        <v>112</v>
      </c>
      <c r="E1283" s="1">
        <v>43982</v>
      </c>
      <c r="F1283">
        <v>2</v>
      </c>
      <c r="G1283" t="s">
        <v>49</v>
      </c>
      <c r="H1283" t="s">
        <v>50</v>
      </c>
      <c r="I1283" s="3">
        <v>1621</v>
      </c>
      <c r="J1283" s="3">
        <v>1621</v>
      </c>
      <c r="K1283" s="3">
        <v>434</v>
      </c>
      <c r="L1283" t="s">
        <v>113</v>
      </c>
      <c r="M1283">
        <v>8</v>
      </c>
      <c r="N1283" t="s">
        <v>80</v>
      </c>
      <c r="O1283" t="s">
        <v>81</v>
      </c>
      <c r="P1283" t="s">
        <v>12</v>
      </c>
      <c r="Q1283" t="s">
        <v>13</v>
      </c>
      <c r="R1283" t="s">
        <v>13</v>
      </c>
      <c r="S1283" t="s">
        <v>144</v>
      </c>
      <c r="T1283" s="2">
        <f>MASTER[[#This Row],[CANTIDAD]]*MASTER[[#This Row],[PRECIO DE VENTA]]</f>
        <v>3242</v>
      </c>
      <c r="U1283" s="2">
        <f>MASTER[[#This Row],[CANTIDAD]]*MASTER[[#This Row],[COSTO UNITARIO]]</f>
        <v>868</v>
      </c>
      <c r="V1283" s="2">
        <f>MASTER[[#This Row],[MONTO VENDIDO]]-MASTER[[#This Row],[COSTO DE VENTA]]</f>
        <v>2374</v>
      </c>
    </row>
    <row r="1284" spans="1:22" x14ac:dyDescent="0.3">
      <c r="A1284">
        <v>25929</v>
      </c>
      <c r="B1284">
        <v>1</v>
      </c>
      <c r="C1284" t="s">
        <v>99</v>
      </c>
      <c r="D1284" t="s">
        <v>100</v>
      </c>
      <c r="E1284" s="1">
        <v>43982</v>
      </c>
      <c r="F1284">
        <v>1</v>
      </c>
      <c r="G1284" t="s">
        <v>29</v>
      </c>
      <c r="H1284" t="s">
        <v>30</v>
      </c>
      <c r="I1284" s="3">
        <v>1459</v>
      </c>
      <c r="J1284" s="3">
        <v>1459</v>
      </c>
      <c r="K1284" s="3">
        <v>386</v>
      </c>
      <c r="L1284" t="s">
        <v>98</v>
      </c>
      <c r="M1284">
        <v>5</v>
      </c>
      <c r="N1284" t="s">
        <v>85</v>
      </c>
      <c r="O1284" t="s">
        <v>81</v>
      </c>
      <c r="P1284" t="s">
        <v>12</v>
      </c>
      <c r="Q1284" t="s">
        <v>13</v>
      </c>
      <c r="R1284" t="s">
        <v>13</v>
      </c>
      <c r="S1284" t="s">
        <v>144</v>
      </c>
      <c r="T1284" s="2">
        <f>MASTER[[#This Row],[CANTIDAD]]*MASTER[[#This Row],[PRECIO DE VENTA]]</f>
        <v>1459</v>
      </c>
      <c r="U1284" s="2">
        <f>MASTER[[#This Row],[CANTIDAD]]*MASTER[[#This Row],[COSTO UNITARIO]]</f>
        <v>386</v>
      </c>
      <c r="V1284" s="2">
        <f>MASTER[[#This Row],[MONTO VENDIDO]]-MASTER[[#This Row],[COSTO DE VENTA]]</f>
        <v>1073</v>
      </c>
    </row>
    <row r="1285" spans="1:22" x14ac:dyDescent="0.3">
      <c r="A1285">
        <v>25934</v>
      </c>
      <c r="B1285">
        <v>1</v>
      </c>
      <c r="C1285" t="s">
        <v>99</v>
      </c>
      <c r="D1285" t="s">
        <v>100</v>
      </c>
      <c r="E1285" s="1">
        <v>43982</v>
      </c>
      <c r="F1285">
        <v>1</v>
      </c>
      <c r="G1285" t="s">
        <v>33</v>
      </c>
      <c r="H1285" t="s">
        <v>34</v>
      </c>
      <c r="I1285" s="3">
        <v>1459</v>
      </c>
      <c r="J1285" s="3">
        <v>1342</v>
      </c>
      <c r="K1285" s="3">
        <v>386</v>
      </c>
      <c r="L1285" t="s">
        <v>98</v>
      </c>
      <c r="M1285">
        <v>7</v>
      </c>
      <c r="N1285" t="s">
        <v>84</v>
      </c>
      <c r="O1285" t="s">
        <v>81</v>
      </c>
      <c r="P1285" t="s">
        <v>12</v>
      </c>
      <c r="Q1285" t="s">
        <v>13</v>
      </c>
      <c r="R1285" t="s">
        <v>13</v>
      </c>
      <c r="S1285" t="s">
        <v>144</v>
      </c>
      <c r="T1285" s="2">
        <f>MASTER[[#This Row],[CANTIDAD]]*MASTER[[#This Row],[PRECIO DE VENTA]]</f>
        <v>1342</v>
      </c>
      <c r="U1285" s="2">
        <f>MASTER[[#This Row],[CANTIDAD]]*MASTER[[#This Row],[COSTO UNITARIO]]</f>
        <v>386</v>
      </c>
      <c r="V1285" s="2">
        <f>MASTER[[#This Row],[MONTO VENDIDO]]-MASTER[[#This Row],[COSTO DE VENTA]]</f>
        <v>956</v>
      </c>
    </row>
    <row r="1286" spans="1:22" x14ac:dyDescent="0.3">
      <c r="A1286">
        <v>25937</v>
      </c>
      <c r="B1286">
        <v>1</v>
      </c>
      <c r="C1286" t="s">
        <v>5</v>
      </c>
      <c r="D1286" t="s">
        <v>6</v>
      </c>
      <c r="E1286" s="1">
        <v>43982</v>
      </c>
      <c r="F1286">
        <v>1</v>
      </c>
      <c r="G1286" t="s">
        <v>29</v>
      </c>
      <c r="H1286" t="s">
        <v>30</v>
      </c>
      <c r="I1286" s="3">
        <v>1296</v>
      </c>
      <c r="J1286" s="3">
        <v>1296</v>
      </c>
      <c r="K1286" s="3">
        <v>393</v>
      </c>
      <c r="L1286" t="s">
        <v>9</v>
      </c>
      <c r="M1286">
        <v>3</v>
      </c>
      <c r="N1286" t="s">
        <v>69</v>
      </c>
      <c r="O1286" t="s">
        <v>70</v>
      </c>
      <c r="P1286" t="s">
        <v>71</v>
      </c>
      <c r="Q1286" t="s">
        <v>72</v>
      </c>
      <c r="R1286" t="s">
        <v>139</v>
      </c>
      <c r="S1286" t="s">
        <v>144</v>
      </c>
      <c r="T1286" s="2">
        <f>MASTER[[#This Row],[CANTIDAD]]*MASTER[[#This Row],[PRECIO DE VENTA]]</f>
        <v>1296</v>
      </c>
      <c r="U1286" s="2">
        <f>MASTER[[#This Row],[CANTIDAD]]*MASTER[[#This Row],[COSTO UNITARIO]]</f>
        <v>393</v>
      </c>
      <c r="V1286" s="2">
        <f>MASTER[[#This Row],[MONTO VENDIDO]]-MASTER[[#This Row],[COSTO DE VENTA]]</f>
        <v>903</v>
      </c>
    </row>
    <row r="1287" spans="1:22" x14ac:dyDescent="0.3">
      <c r="A1287">
        <v>25955</v>
      </c>
      <c r="B1287">
        <v>1</v>
      </c>
      <c r="C1287" t="s">
        <v>105</v>
      </c>
      <c r="D1287" t="s">
        <v>106</v>
      </c>
      <c r="E1287" s="1">
        <v>43982</v>
      </c>
      <c r="F1287">
        <v>1</v>
      </c>
      <c r="G1287" t="s">
        <v>22</v>
      </c>
      <c r="H1287" t="s">
        <v>23</v>
      </c>
      <c r="I1287" s="3">
        <v>1865</v>
      </c>
      <c r="J1287" s="3">
        <v>1865</v>
      </c>
      <c r="K1287" s="3">
        <v>459</v>
      </c>
      <c r="L1287" t="s">
        <v>98</v>
      </c>
      <c r="M1287">
        <v>2</v>
      </c>
      <c r="N1287" t="s">
        <v>86</v>
      </c>
      <c r="O1287" t="s">
        <v>81</v>
      </c>
      <c r="P1287" t="s">
        <v>71</v>
      </c>
      <c r="Q1287" t="s">
        <v>72</v>
      </c>
      <c r="R1287" t="s">
        <v>139</v>
      </c>
      <c r="S1287" t="s">
        <v>144</v>
      </c>
      <c r="T1287" s="2">
        <f>MASTER[[#This Row],[CANTIDAD]]*MASTER[[#This Row],[PRECIO DE VENTA]]</f>
        <v>1865</v>
      </c>
      <c r="U1287" s="2">
        <f>MASTER[[#This Row],[CANTIDAD]]*MASTER[[#This Row],[COSTO UNITARIO]]</f>
        <v>459</v>
      </c>
      <c r="V1287" s="2">
        <f>MASTER[[#This Row],[MONTO VENDIDO]]-MASTER[[#This Row],[COSTO DE VENTA]]</f>
        <v>1406</v>
      </c>
    </row>
    <row r="1288" spans="1:22" x14ac:dyDescent="0.3">
      <c r="A1288">
        <v>25961</v>
      </c>
      <c r="B1288">
        <v>1</v>
      </c>
      <c r="C1288" t="s">
        <v>109</v>
      </c>
      <c r="D1288" t="s">
        <v>110</v>
      </c>
      <c r="E1288" s="1">
        <v>43982</v>
      </c>
      <c r="F1288">
        <v>1</v>
      </c>
      <c r="G1288" t="s">
        <v>7</v>
      </c>
      <c r="H1288" t="s">
        <v>8</v>
      </c>
      <c r="I1288" s="3">
        <v>947</v>
      </c>
      <c r="J1288" s="3">
        <v>947</v>
      </c>
      <c r="K1288" s="3">
        <v>387</v>
      </c>
      <c r="L1288" t="s">
        <v>98</v>
      </c>
      <c r="M1288">
        <v>12</v>
      </c>
      <c r="N1288" t="s">
        <v>26</v>
      </c>
      <c r="O1288" t="s">
        <v>11</v>
      </c>
      <c r="P1288" t="s">
        <v>12</v>
      </c>
      <c r="Q1288" t="s">
        <v>13</v>
      </c>
      <c r="R1288" t="s">
        <v>13</v>
      </c>
      <c r="S1288" t="s">
        <v>144</v>
      </c>
      <c r="T1288" s="2">
        <f>MASTER[[#This Row],[CANTIDAD]]*MASTER[[#This Row],[PRECIO DE VENTA]]</f>
        <v>947</v>
      </c>
      <c r="U1288" s="2">
        <f>MASTER[[#This Row],[CANTIDAD]]*MASTER[[#This Row],[COSTO UNITARIO]]</f>
        <v>387</v>
      </c>
      <c r="V1288" s="2">
        <f>MASTER[[#This Row],[MONTO VENDIDO]]-MASTER[[#This Row],[COSTO DE VENTA]]</f>
        <v>560</v>
      </c>
    </row>
    <row r="1289" spans="1:22" x14ac:dyDescent="0.3">
      <c r="A1289">
        <v>25969</v>
      </c>
      <c r="B1289">
        <v>1</v>
      </c>
      <c r="C1289" t="s">
        <v>90</v>
      </c>
      <c r="D1289" t="s">
        <v>91</v>
      </c>
      <c r="E1289" s="1">
        <v>43982</v>
      </c>
      <c r="F1289">
        <v>1</v>
      </c>
      <c r="G1289" t="s">
        <v>31</v>
      </c>
      <c r="H1289" t="s">
        <v>32</v>
      </c>
      <c r="I1289" s="3">
        <v>2102</v>
      </c>
      <c r="J1289" s="3">
        <v>2102</v>
      </c>
      <c r="K1289" s="3">
        <v>420</v>
      </c>
      <c r="L1289" t="s">
        <v>9</v>
      </c>
      <c r="M1289">
        <v>1</v>
      </c>
      <c r="N1289" t="s">
        <v>77</v>
      </c>
      <c r="O1289" t="s">
        <v>70</v>
      </c>
      <c r="P1289" t="s">
        <v>71</v>
      </c>
      <c r="Q1289" t="s">
        <v>72</v>
      </c>
      <c r="R1289" t="s">
        <v>139</v>
      </c>
      <c r="S1289" t="s">
        <v>144</v>
      </c>
      <c r="T1289" s="2">
        <f>MASTER[[#This Row],[CANTIDAD]]*MASTER[[#This Row],[PRECIO DE VENTA]]</f>
        <v>2102</v>
      </c>
      <c r="U1289" s="2">
        <f>MASTER[[#This Row],[CANTIDAD]]*MASTER[[#This Row],[COSTO UNITARIO]]</f>
        <v>420</v>
      </c>
      <c r="V1289" s="2">
        <f>MASTER[[#This Row],[MONTO VENDIDO]]-MASTER[[#This Row],[COSTO DE VENTA]]</f>
        <v>1682</v>
      </c>
    </row>
    <row r="1290" spans="1:22" x14ac:dyDescent="0.3">
      <c r="A1290">
        <v>25972</v>
      </c>
      <c r="B1290">
        <v>1</v>
      </c>
      <c r="C1290" t="s">
        <v>116</v>
      </c>
      <c r="D1290" t="s">
        <v>117</v>
      </c>
      <c r="E1290" s="1">
        <v>43983</v>
      </c>
      <c r="F1290">
        <v>1</v>
      </c>
      <c r="G1290" t="s">
        <v>39</v>
      </c>
      <c r="H1290" t="s">
        <v>40</v>
      </c>
      <c r="I1290" s="3">
        <v>1738</v>
      </c>
      <c r="J1290" s="3">
        <v>1738</v>
      </c>
      <c r="K1290" s="3">
        <v>388</v>
      </c>
      <c r="L1290" t="s">
        <v>113</v>
      </c>
      <c r="M1290">
        <v>14</v>
      </c>
      <c r="N1290" t="s">
        <v>87</v>
      </c>
      <c r="O1290" t="s">
        <v>81</v>
      </c>
      <c r="P1290" t="s">
        <v>18</v>
      </c>
      <c r="Q1290" t="s">
        <v>19</v>
      </c>
      <c r="R1290" t="s">
        <v>138</v>
      </c>
      <c r="S1290" t="s">
        <v>144</v>
      </c>
      <c r="T1290" s="2">
        <f>MASTER[[#This Row],[CANTIDAD]]*MASTER[[#This Row],[PRECIO DE VENTA]]</f>
        <v>1738</v>
      </c>
      <c r="U1290" s="2">
        <f>MASTER[[#This Row],[CANTIDAD]]*MASTER[[#This Row],[COSTO UNITARIO]]</f>
        <v>388</v>
      </c>
      <c r="V1290" s="2">
        <f>MASTER[[#This Row],[MONTO VENDIDO]]-MASTER[[#This Row],[COSTO DE VENTA]]</f>
        <v>1350</v>
      </c>
    </row>
    <row r="1291" spans="1:22" x14ac:dyDescent="0.3">
      <c r="A1291">
        <v>25981</v>
      </c>
      <c r="B1291">
        <v>1</v>
      </c>
      <c r="C1291" t="s">
        <v>107</v>
      </c>
      <c r="D1291" t="s">
        <v>108</v>
      </c>
      <c r="E1291" s="1">
        <v>43983</v>
      </c>
      <c r="F1291">
        <v>1</v>
      </c>
      <c r="G1291" t="s">
        <v>20</v>
      </c>
      <c r="H1291" t="s">
        <v>21</v>
      </c>
      <c r="I1291" s="3">
        <v>1240</v>
      </c>
      <c r="J1291" s="3">
        <v>1240</v>
      </c>
      <c r="K1291" s="3">
        <v>380</v>
      </c>
      <c r="L1291" t="s">
        <v>98</v>
      </c>
      <c r="M1291">
        <v>12</v>
      </c>
      <c r="N1291" t="s">
        <v>26</v>
      </c>
      <c r="O1291" t="s">
        <v>11</v>
      </c>
      <c r="P1291" t="s">
        <v>12</v>
      </c>
      <c r="Q1291" t="s">
        <v>13</v>
      </c>
      <c r="R1291" t="s">
        <v>13</v>
      </c>
      <c r="S1291" t="s">
        <v>144</v>
      </c>
      <c r="T1291" s="2">
        <f>MASTER[[#This Row],[CANTIDAD]]*MASTER[[#This Row],[PRECIO DE VENTA]]</f>
        <v>1240</v>
      </c>
      <c r="U1291" s="2">
        <f>MASTER[[#This Row],[CANTIDAD]]*MASTER[[#This Row],[COSTO UNITARIO]]</f>
        <v>380</v>
      </c>
      <c r="V1291" s="2">
        <f>MASTER[[#This Row],[MONTO VENDIDO]]-MASTER[[#This Row],[COSTO DE VENTA]]</f>
        <v>860</v>
      </c>
    </row>
    <row r="1292" spans="1:22" x14ac:dyDescent="0.3">
      <c r="A1292">
        <v>25986</v>
      </c>
      <c r="B1292">
        <v>1</v>
      </c>
      <c r="C1292" t="s">
        <v>96</v>
      </c>
      <c r="D1292" t="s">
        <v>97</v>
      </c>
      <c r="E1292" s="1">
        <v>43983</v>
      </c>
      <c r="F1292">
        <v>1</v>
      </c>
      <c r="G1292" t="s">
        <v>47</v>
      </c>
      <c r="H1292" t="s">
        <v>48</v>
      </c>
      <c r="I1292" s="3">
        <v>1272</v>
      </c>
      <c r="J1292" s="3">
        <v>1272</v>
      </c>
      <c r="K1292" s="3">
        <v>397</v>
      </c>
      <c r="L1292" t="s">
        <v>98</v>
      </c>
      <c r="M1292">
        <v>15</v>
      </c>
      <c r="N1292" t="s">
        <v>88</v>
      </c>
      <c r="O1292" t="s">
        <v>81</v>
      </c>
      <c r="P1292" t="s">
        <v>18</v>
      </c>
      <c r="Q1292" t="s">
        <v>19</v>
      </c>
      <c r="R1292" t="s">
        <v>138</v>
      </c>
      <c r="S1292" t="s">
        <v>144</v>
      </c>
      <c r="T1292" s="2">
        <f>MASTER[[#This Row],[CANTIDAD]]*MASTER[[#This Row],[PRECIO DE VENTA]]</f>
        <v>1272</v>
      </c>
      <c r="U1292" s="2">
        <f>MASTER[[#This Row],[CANTIDAD]]*MASTER[[#This Row],[COSTO UNITARIO]]</f>
        <v>397</v>
      </c>
      <c r="V1292" s="2">
        <f>MASTER[[#This Row],[MONTO VENDIDO]]-MASTER[[#This Row],[COSTO DE VENTA]]</f>
        <v>875</v>
      </c>
    </row>
    <row r="1293" spans="1:22" x14ac:dyDescent="0.3">
      <c r="A1293">
        <v>26002</v>
      </c>
      <c r="B1293">
        <v>1</v>
      </c>
      <c r="C1293" t="s">
        <v>90</v>
      </c>
      <c r="D1293" t="s">
        <v>91</v>
      </c>
      <c r="E1293" s="1">
        <v>43983</v>
      </c>
      <c r="F1293">
        <v>1</v>
      </c>
      <c r="G1293" t="s">
        <v>37</v>
      </c>
      <c r="H1293" t="s">
        <v>38</v>
      </c>
      <c r="I1293" s="3">
        <v>1844</v>
      </c>
      <c r="J1293" s="3">
        <v>1844</v>
      </c>
      <c r="K1293" s="3">
        <v>420</v>
      </c>
      <c r="L1293" t="s">
        <v>9</v>
      </c>
      <c r="M1293">
        <v>4</v>
      </c>
      <c r="N1293" t="s">
        <v>82</v>
      </c>
      <c r="O1293" t="s">
        <v>81</v>
      </c>
      <c r="P1293" t="s">
        <v>71</v>
      </c>
      <c r="Q1293" t="s">
        <v>72</v>
      </c>
      <c r="R1293" t="s">
        <v>139</v>
      </c>
      <c r="S1293" t="s">
        <v>144</v>
      </c>
      <c r="T1293" s="2">
        <f>MASTER[[#This Row],[CANTIDAD]]*MASTER[[#This Row],[PRECIO DE VENTA]]</f>
        <v>1844</v>
      </c>
      <c r="U1293" s="2">
        <f>MASTER[[#This Row],[CANTIDAD]]*MASTER[[#This Row],[COSTO UNITARIO]]</f>
        <v>420</v>
      </c>
      <c r="V1293" s="2">
        <f>MASTER[[#This Row],[MONTO VENDIDO]]-MASTER[[#This Row],[COSTO DE VENTA]]</f>
        <v>1424</v>
      </c>
    </row>
    <row r="1294" spans="1:22" x14ac:dyDescent="0.3">
      <c r="A1294">
        <v>26010</v>
      </c>
      <c r="B1294">
        <v>1</v>
      </c>
      <c r="C1294" t="s">
        <v>114</v>
      </c>
      <c r="D1294" t="s">
        <v>115</v>
      </c>
      <c r="E1294" s="1">
        <v>43983</v>
      </c>
      <c r="F1294">
        <v>1</v>
      </c>
      <c r="G1294" t="s">
        <v>24</v>
      </c>
      <c r="H1294" t="s">
        <v>25</v>
      </c>
      <c r="I1294" s="3">
        <v>1583</v>
      </c>
      <c r="J1294" s="3">
        <v>1440</v>
      </c>
      <c r="K1294" s="3">
        <v>394</v>
      </c>
      <c r="L1294" t="s">
        <v>113</v>
      </c>
      <c r="M1294">
        <v>17</v>
      </c>
      <c r="N1294" t="s">
        <v>14</v>
      </c>
      <c r="O1294" t="s">
        <v>11</v>
      </c>
      <c r="P1294" t="s">
        <v>15</v>
      </c>
      <c r="Q1294" t="s">
        <v>16</v>
      </c>
      <c r="R1294" t="s">
        <v>16</v>
      </c>
      <c r="S1294" t="s">
        <v>144</v>
      </c>
      <c r="T1294" s="2">
        <f>MASTER[[#This Row],[CANTIDAD]]*MASTER[[#This Row],[PRECIO DE VENTA]]</f>
        <v>1440</v>
      </c>
      <c r="U1294" s="2">
        <f>MASTER[[#This Row],[CANTIDAD]]*MASTER[[#This Row],[COSTO UNITARIO]]</f>
        <v>394</v>
      </c>
      <c r="V1294" s="2">
        <f>MASTER[[#This Row],[MONTO VENDIDO]]-MASTER[[#This Row],[COSTO DE VENTA]]</f>
        <v>1046</v>
      </c>
    </row>
    <row r="1295" spans="1:22" x14ac:dyDescent="0.3">
      <c r="A1295">
        <v>26035</v>
      </c>
      <c r="B1295">
        <v>1</v>
      </c>
      <c r="C1295" t="s">
        <v>109</v>
      </c>
      <c r="D1295" t="s">
        <v>110</v>
      </c>
      <c r="E1295" s="1">
        <v>43983</v>
      </c>
      <c r="F1295">
        <v>1</v>
      </c>
      <c r="G1295" t="s">
        <v>27</v>
      </c>
      <c r="H1295" t="s">
        <v>28</v>
      </c>
      <c r="I1295" s="3">
        <v>947</v>
      </c>
      <c r="J1295" s="3">
        <v>947</v>
      </c>
      <c r="K1295" s="3">
        <v>387</v>
      </c>
      <c r="L1295" t="s">
        <v>98</v>
      </c>
      <c r="M1295">
        <v>16</v>
      </c>
      <c r="N1295" t="s">
        <v>17</v>
      </c>
      <c r="O1295" t="s">
        <v>11</v>
      </c>
      <c r="P1295" t="s">
        <v>18</v>
      </c>
      <c r="Q1295" t="s">
        <v>19</v>
      </c>
      <c r="R1295" t="s">
        <v>138</v>
      </c>
      <c r="S1295" t="s">
        <v>144</v>
      </c>
      <c r="T1295" s="2">
        <f>MASTER[[#This Row],[CANTIDAD]]*MASTER[[#This Row],[PRECIO DE VENTA]]</f>
        <v>947</v>
      </c>
      <c r="U1295" s="2">
        <f>MASTER[[#This Row],[CANTIDAD]]*MASTER[[#This Row],[COSTO UNITARIO]]</f>
        <v>387</v>
      </c>
      <c r="V1295" s="2">
        <f>MASTER[[#This Row],[MONTO VENDIDO]]-MASTER[[#This Row],[COSTO DE VENTA]]</f>
        <v>560</v>
      </c>
    </row>
    <row r="1296" spans="1:22" x14ac:dyDescent="0.3">
      <c r="A1296">
        <v>26083</v>
      </c>
      <c r="B1296">
        <v>1</v>
      </c>
      <c r="C1296" t="s">
        <v>90</v>
      </c>
      <c r="D1296" t="s">
        <v>91</v>
      </c>
      <c r="E1296" s="1">
        <v>43983</v>
      </c>
      <c r="F1296">
        <v>1</v>
      </c>
      <c r="G1296" t="s">
        <v>49</v>
      </c>
      <c r="H1296" t="s">
        <v>50</v>
      </c>
      <c r="I1296" s="3">
        <v>2102</v>
      </c>
      <c r="J1296" s="3">
        <v>2102</v>
      </c>
      <c r="K1296" s="3">
        <v>420</v>
      </c>
      <c r="L1296" t="s">
        <v>9</v>
      </c>
      <c r="M1296">
        <v>18</v>
      </c>
      <c r="N1296" t="s">
        <v>79</v>
      </c>
      <c r="O1296" t="s">
        <v>70</v>
      </c>
      <c r="P1296" t="s">
        <v>15</v>
      </c>
      <c r="Q1296" t="s">
        <v>16</v>
      </c>
      <c r="R1296" t="s">
        <v>16</v>
      </c>
      <c r="S1296" t="s">
        <v>144</v>
      </c>
      <c r="T1296" s="2">
        <f>MASTER[[#This Row],[CANTIDAD]]*MASTER[[#This Row],[PRECIO DE VENTA]]</f>
        <v>2102</v>
      </c>
      <c r="U1296" s="2">
        <f>MASTER[[#This Row],[CANTIDAD]]*MASTER[[#This Row],[COSTO UNITARIO]]</f>
        <v>420</v>
      </c>
      <c r="V1296" s="2">
        <f>MASTER[[#This Row],[MONTO VENDIDO]]-MASTER[[#This Row],[COSTO DE VENTA]]</f>
        <v>1682</v>
      </c>
    </row>
    <row r="1297" spans="1:22" x14ac:dyDescent="0.3">
      <c r="A1297">
        <v>26096</v>
      </c>
      <c r="B1297">
        <v>1</v>
      </c>
      <c r="C1297" t="s">
        <v>94</v>
      </c>
      <c r="D1297" t="s">
        <v>95</v>
      </c>
      <c r="E1297" s="1">
        <v>43983</v>
      </c>
      <c r="F1297">
        <v>1</v>
      </c>
      <c r="G1297" t="s">
        <v>49</v>
      </c>
      <c r="H1297" t="s">
        <v>50</v>
      </c>
      <c r="I1297" s="3">
        <v>1048</v>
      </c>
      <c r="J1297" s="3">
        <v>1048</v>
      </c>
      <c r="K1297" s="3">
        <v>392</v>
      </c>
      <c r="L1297" t="s">
        <v>9</v>
      </c>
      <c r="M1297">
        <v>7</v>
      </c>
      <c r="N1297" t="s">
        <v>84</v>
      </c>
      <c r="O1297" t="s">
        <v>81</v>
      </c>
      <c r="P1297" t="s">
        <v>12</v>
      </c>
      <c r="Q1297" t="s">
        <v>13</v>
      </c>
      <c r="R1297" t="s">
        <v>13</v>
      </c>
      <c r="S1297" t="s">
        <v>144</v>
      </c>
      <c r="T1297" s="2">
        <f>MASTER[[#This Row],[CANTIDAD]]*MASTER[[#This Row],[PRECIO DE VENTA]]</f>
        <v>1048</v>
      </c>
      <c r="U1297" s="2">
        <f>MASTER[[#This Row],[CANTIDAD]]*MASTER[[#This Row],[COSTO UNITARIO]]</f>
        <v>392</v>
      </c>
      <c r="V1297" s="2">
        <f>MASTER[[#This Row],[MONTO VENDIDO]]-MASTER[[#This Row],[COSTO DE VENTA]]</f>
        <v>656</v>
      </c>
    </row>
    <row r="1298" spans="1:22" x14ac:dyDescent="0.3">
      <c r="A1298">
        <v>26109</v>
      </c>
      <c r="B1298">
        <v>1</v>
      </c>
      <c r="C1298" t="s">
        <v>94</v>
      </c>
      <c r="D1298" t="s">
        <v>95</v>
      </c>
      <c r="E1298" s="1">
        <v>43983</v>
      </c>
      <c r="F1298">
        <v>1</v>
      </c>
      <c r="G1298" t="s">
        <v>7</v>
      </c>
      <c r="H1298" t="s">
        <v>8</v>
      </c>
      <c r="I1298" s="3">
        <v>901</v>
      </c>
      <c r="J1298" s="3">
        <v>901</v>
      </c>
      <c r="K1298" s="3">
        <v>392</v>
      </c>
      <c r="L1298" t="s">
        <v>9</v>
      </c>
      <c r="M1298">
        <v>12</v>
      </c>
      <c r="N1298" t="s">
        <v>26</v>
      </c>
      <c r="O1298" t="s">
        <v>11</v>
      </c>
      <c r="P1298" t="s">
        <v>12</v>
      </c>
      <c r="Q1298" t="s">
        <v>13</v>
      </c>
      <c r="R1298" t="s">
        <v>13</v>
      </c>
      <c r="S1298" t="s">
        <v>144</v>
      </c>
      <c r="T1298" s="2">
        <f>MASTER[[#This Row],[CANTIDAD]]*MASTER[[#This Row],[PRECIO DE VENTA]]</f>
        <v>901</v>
      </c>
      <c r="U1298" s="2">
        <f>MASTER[[#This Row],[CANTIDAD]]*MASTER[[#This Row],[COSTO UNITARIO]]</f>
        <v>392</v>
      </c>
      <c r="V1298" s="2">
        <f>MASTER[[#This Row],[MONTO VENDIDO]]-MASTER[[#This Row],[COSTO DE VENTA]]</f>
        <v>509</v>
      </c>
    </row>
    <row r="1299" spans="1:22" x14ac:dyDescent="0.3">
      <c r="A1299">
        <v>26127</v>
      </c>
      <c r="B1299">
        <v>1</v>
      </c>
      <c r="C1299" t="s">
        <v>96</v>
      </c>
      <c r="D1299" t="s">
        <v>97</v>
      </c>
      <c r="E1299" s="1">
        <v>43983</v>
      </c>
      <c r="F1299">
        <v>1</v>
      </c>
      <c r="G1299" t="s">
        <v>24</v>
      </c>
      <c r="H1299" t="s">
        <v>25</v>
      </c>
      <c r="I1299" s="3">
        <v>1272</v>
      </c>
      <c r="J1299" s="3">
        <v>1272</v>
      </c>
      <c r="K1299" s="3">
        <v>397</v>
      </c>
      <c r="L1299" t="s">
        <v>98</v>
      </c>
      <c r="M1299">
        <v>4</v>
      </c>
      <c r="N1299" t="s">
        <v>82</v>
      </c>
      <c r="O1299" t="s">
        <v>81</v>
      </c>
      <c r="P1299" t="s">
        <v>71</v>
      </c>
      <c r="Q1299" t="s">
        <v>72</v>
      </c>
      <c r="R1299" t="s">
        <v>139</v>
      </c>
      <c r="S1299" t="s">
        <v>144</v>
      </c>
      <c r="T1299" s="2">
        <f>MASTER[[#This Row],[CANTIDAD]]*MASTER[[#This Row],[PRECIO DE VENTA]]</f>
        <v>1272</v>
      </c>
      <c r="U1299" s="2">
        <f>MASTER[[#This Row],[CANTIDAD]]*MASTER[[#This Row],[COSTO UNITARIO]]</f>
        <v>397</v>
      </c>
      <c r="V1299" s="2">
        <f>MASTER[[#This Row],[MONTO VENDIDO]]-MASTER[[#This Row],[COSTO DE VENTA]]</f>
        <v>875</v>
      </c>
    </row>
    <row r="1300" spans="1:22" x14ac:dyDescent="0.3">
      <c r="A1300">
        <v>26159</v>
      </c>
      <c r="B1300">
        <v>1</v>
      </c>
      <c r="C1300" t="s">
        <v>5</v>
      </c>
      <c r="D1300" t="s">
        <v>6</v>
      </c>
      <c r="E1300" s="1">
        <v>43984</v>
      </c>
      <c r="F1300">
        <v>2</v>
      </c>
      <c r="G1300" t="s">
        <v>22</v>
      </c>
      <c r="H1300" t="s">
        <v>23</v>
      </c>
      <c r="I1300" s="3">
        <v>1507</v>
      </c>
      <c r="J1300" s="3">
        <v>1507</v>
      </c>
      <c r="K1300" s="3">
        <v>393</v>
      </c>
      <c r="L1300" t="s">
        <v>9</v>
      </c>
      <c r="M1300">
        <v>2</v>
      </c>
      <c r="N1300" t="s">
        <v>86</v>
      </c>
      <c r="O1300" t="s">
        <v>81</v>
      </c>
      <c r="P1300" t="s">
        <v>71</v>
      </c>
      <c r="Q1300" t="s">
        <v>72</v>
      </c>
      <c r="R1300" t="s">
        <v>139</v>
      </c>
      <c r="S1300" t="s">
        <v>144</v>
      </c>
      <c r="T1300" s="2">
        <f>MASTER[[#This Row],[CANTIDAD]]*MASTER[[#This Row],[PRECIO DE VENTA]]</f>
        <v>3014</v>
      </c>
      <c r="U1300" s="2">
        <f>MASTER[[#This Row],[CANTIDAD]]*MASTER[[#This Row],[COSTO UNITARIO]]</f>
        <v>786</v>
      </c>
      <c r="V1300" s="2">
        <f>MASTER[[#This Row],[MONTO VENDIDO]]-MASTER[[#This Row],[COSTO DE VENTA]]</f>
        <v>2228</v>
      </c>
    </row>
    <row r="1301" spans="1:22" x14ac:dyDescent="0.3">
      <c r="A1301">
        <v>26216</v>
      </c>
      <c r="B1301">
        <v>1</v>
      </c>
      <c r="C1301" t="s">
        <v>114</v>
      </c>
      <c r="D1301" t="s">
        <v>115</v>
      </c>
      <c r="E1301" s="1">
        <v>43984</v>
      </c>
      <c r="F1301">
        <v>1</v>
      </c>
      <c r="G1301" t="s">
        <v>55</v>
      </c>
      <c r="H1301" t="s">
        <v>56</v>
      </c>
      <c r="I1301" s="3">
        <v>1862</v>
      </c>
      <c r="J1301" s="3">
        <v>1862</v>
      </c>
      <c r="K1301" s="3">
        <v>394</v>
      </c>
      <c r="L1301" t="s">
        <v>113</v>
      </c>
      <c r="M1301">
        <v>7</v>
      </c>
      <c r="N1301" t="s">
        <v>84</v>
      </c>
      <c r="O1301" t="s">
        <v>81</v>
      </c>
      <c r="P1301" t="s">
        <v>12</v>
      </c>
      <c r="Q1301" t="s">
        <v>13</v>
      </c>
      <c r="R1301" t="s">
        <v>13</v>
      </c>
      <c r="S1301" t="s">
        <v>144</v>
      </c>
      <c r="T1301" s="2">
        <f>MASTER[[#This Row],[CANTIDAD]]*MASTER[[#This Row],[PRECIO DE VENTA]]</f>
        <v>1862</v>
      </c>
      <c r="U1301" s="2">
        <f>MASTER[[#This Row],[CANTIDAD]]*MASTER[[#This Row],[COSTO UNITARIO]]</f>
        <v>394</v>
      </c>
      <c r="V1301" s="2">
        <f>MASTER[[#This Row],[MONTO VENDIDO]]-MASTER[[#This Row],[COSTO DE VENTA]]</f>
        <v>1468</v>
      </c>
    </row>
    <row r="1302" spans="1:22" x14ac:dyDescent="0.3">
      <c r="A1302">
        <v>26218</v>
      </c>
      <c r="B1302">
        <v>1</v>
      </c>
      <c r="C1302" t="s">
        <v>109</v>
      </c>
      <c r="D1302" t="s">
        <v>110</v>
      </c>
      <c r="E1302" s="1">
        <v>43984</v>
      </c>
      <c r="F1302">
        <v>1</v>
      </c>
      <c r="G1302" t="s">
        <v>61</v>
      </c>
      <c r="H1302" t="s">
        <v>62</v>
      </c>
      <c r="I1302" s="3">
        <v>1064</v>
      </c>
      <c r="J1302" s="3">
        <v>1064</v>
      </c>
      <c r="K1302" s="3">
        <v>387</v>
      </c>
      <c r="L1302" t="s">
        <v>98</v>
      </c>
      <c r="M1302">
        <v>7</v>
      </c>
      <c r="N1302" t="s">
        <v>84</v>
      </c>
      <c r="O1302" t="s">
        <v>81</v>
      </c>
      <c r="P1302" t="s">
        <v>12</v>
      </c>
      <c r="Q1302" t="s">
        <v>13</v>
      </c>
      <c r="R1302" t="s">
        <v>13</v>
      </c>
      <c r="S1302" t="s">
        <v>144</v>
      </c>
      <c r="T1302" s="2">
        <f>MASTER[[#This Row],[CANTIDAD]]*MASTER[[#This Row],[PRECIO DE VENTA]]</f>
        <v>1064</v>
      </c>
      <c r="U1302" s="2">
        <f>MASTER[[#This Row],[CANTIDAD]]*MASTER[[#This Row],[COSTO UNITARIO]]</f>
        <v>387</v>
      </c>
      <c r="V1302" s="2">
        <f>MASTER[[#This Row],[MONTO VENDIDO]]-MASTER[[#This Row],[COSTO DE VENTA]]</f>
        <v>677</v>
      </c>
    </row>
    <row r="1303" spans="1:22" x14ac:dyDescent="0.3">
      <c r="A1303">
        <v>26221</v>
      </c>
      <c r="B1303">
        <v>1</v>
      </c>
      <c r="C1303" t="s">
        <v>118</v>
      </c>
      <c r="D1303" t="s">
        <v>119</v>
      </c>
      <c r="E1303" s="1">
        <v>43984</v>
      </c>
      <c r="F1303">
        <v>1</v>
      </c>
      <c r="G1303" t="s">
        <v>24</v>
      </c>
      <c r="H1303" t="s">
        <v>25</v>
      </c>
      <c r="I1303" s="3">
        <v>900</v>
      </c>
      <c r="J1303" s="3">
        <v>900</v>
      </c>
      <c r="K1303" s="3">
        <v>424</v>
      </c>
      <c r="L1303" t="s">
        <v>120</v>
      </c>
      <c r="M1303">
        <v>19</v>
      </c>
      <c r="N1303" t="s">
        <v>89</v>
      </c>
      <c r="O1303" t="s">
        <v>81</v>
      </c>
      <c r="P1303" t="s">
        <v>15</v>
      </c>
      <c r="Q1303" t="s">
        <v>16</v>
      </c>
      <c r="R1303" t="s">
        <v>16</v>
      </c>
      <c r="S1303" t="s">
        <v>144</v>
      </c>
      <c r="T1303" s="2">
        <f>MASTER[[#This Row],[CANTIDAD]]*MASTER[[#This Row],[PRECIO DE VENTA]]</f>
        <v>900</v>
      </c>
      <c r="U1303" s="2">
        <f>MASTER[[#This Row],[CANTIDAD]]*MASTER[[#This Row],[COSTO UNITARIO]]</f>
        <v>424</v>
      </c>
      <c r="V1303" s="2">
        <f>MASTER[[#This Row],[MONTO VENDIDO]]-MASTER[[#This Row],[COSTO DE VENTA]]</f>
        <v>476</v>
      </c>
    </row>
    <row r="1304" spans="1:22" x14ac:dyDescent="0.3">
      <c r="A1304">
        <v>26228</v>
      </c>
      <c r="B1304">
        <v>1</v>
      </c>
      <c r="C1304" t="s">
        <v>121</v>
      </c>
      <c r="D1304" t="s">
        <v>122</v>
      </c>
      <c r="E1304" s="1">
        <v>43984</v>
      </c>
      <c r="F1304">
        <v>1</v>
      </c>
      <c r="G1304" t="s">
        <v>55</v>
      </c>
      <c r="H1304" t="s">
        <v>56</v>
      </c>
      <c r="I1304" s="3">
        <v>1069</v>
      </c>
      <c r="J1304" s="3">
        <v>1069</v>
      </c>
      <c r="K1304" s="3">
        <v>460</v>
      </c>
      <c r="L1304" t="s">
        <v>120</v>
      </c>
      <c r="M1304">
        <v>7</v>
      </c>
      <c r="N1304" t="s">
        <v>84</v>
      </c>
      <c r="O1304" t="s">
        <v>81</v>
      </c>
      <c r="P1304" t="s">
        <v>12</v>
      </c>
      <c r="Q1304" t="s">
        <v>13</v>
      </c>
      <c r="R1304" t="s">
        <v>13</v>
      </c>
      <c r="S1304" t="s">
        <v>144</v>
      </c>
      <c r="T1304" s="2">
        <f>MASTER[[#This Row],[CANTIDAD]]*MASTER[[#This Row],[PRECIO DE VENTA]]</f>
        <v>1069</v>
      </c>
      <c r="U1304" s="2">
        <f>MASTER[[#This Row],[CANTIDAD]]*MASTER[[#This Row],[COSTO UNITARIO]]</f>
        <v>460</v>
      </c>
      <c r="V1304" s="2">
        <f>MASTER[[#This Row],[MONTO VENDIDO]]-MASTER[[#This Row],[COSTO DE VENTA]]</f>
        <v>609</v>
      </c>
    </row>
    <row r="1305" spans="1:22" x14ac:dyDescent="0.3">
      <c r="A1305">
        <v>26235</v>
      </c>
      <c r="B1305">
        <v>1</v>
      </c>
      <c r="C1305" t="s">
        <v>107</v>
      </c>
      <c r="D1305" t="s">
        <v>108</v>
      </c>
      <c r="E1305" s="1">
        <v>43984</v>
      </c>
      <c r="F1305">
        <v>1</v>
      </c>
      <c r="G1305" t="s">
        <v>27</v>
      </c>
      <c r="H1305" t="s">
        <v>28</v>
      </c>
      <c r="I1305" s="3">
        <v>1440</v>
      </c>
      <c r="J1305" s="3">
        <v>1440</v>
      </c>
      <c r="K1305" s="3">
        <v>380</v>
      </c>
      <c r="L1305" t="s">
        <v>98</v>
      </c>
      <c r="M1305">
        <v>3</v>
      </c>
      <c r="N1305" t="s">
        <v>69</v>
      </c>
      <c r="O1305" t="s">
        <v>70</v>
      </c>
      <c r="P1305" t="s">
        <v>71</v>
      </c>
      <c r="Q1305" t="s">
        <v>72</v>
      </c>
      <c r="R1305" t="s">
        <v>139</v>
      </c>
      <c r="S1305" t="s">
        <v>144</v>
      </c>
      <c r="T1305" s="2">
        <f>MASTER[[#This Row],[CANTIDAD]]*MASTER[[#This Row],[PRECIO DE VENTA]]</f>
        <v>1440</v>
      </c>
      <c r="U1305" s="2">
        <f>MASTER[[#This Row],[CANTIDAD]]*MASTER[[#This Row],[COSTO UNITARIO]]</f>
        <v>380</v>
      </c>
      <c r="V1305" s="2">
        <f>MASTER[[#This Row],[MONTO VENDIDO]]-MASTER[[#This Row],[COSTO DE VENTA]]</f>
        <v>1060</v>
      </c>
    </row>
    <row r="1306" spans="1:22" x14ac:dyDescent="0.3">
      <c r="A1306">
        <v>26247</v>
      </c>
      <c r="B1306">
        <v>1</v>
      </c>
      <c r="C1306" t="s">
        <v>118</v>
      </c>
      <c r="D1306" t="s">
        <v>119</v>
      </c>
      <c r="E1306" s="1">
        <v>43984</v>
      </c>
      <c r="F1306">
        <v>1</v>
      </c>
      <c r="G1306" t="s">
        <v>24</v>
      </c>
      <c r="H1306" t="s">
        <v>25</v>
      </c>
      <c r="I1306" s="3">
        <v>1026</v>
      </c>
      <c r="J1306" s="3">
        <v>1026</v>
      </c>
      <c r="K1306" s="3">
        <v>424</v>
      </c>
      <c r="L1306" t="s">
        <v>120</v>
      </c>
      <c r="M1306">
        <v>6</v>
      </c>
      <c r="N1306" t="s">
        <v>75</v>
      </c>
      <c r="O1306" t="s">
        <v>70</v>
      </c>
      <c r="P1306" t="s">
        <v>12</v>
      </c>
      <c r="Q1306" t="s">
        <v>13</v>
      </c>
      <c r="R1306" t="s">
        <v>13</v>
      </c>
      <c r="S1306" t="s">
        <v>144</v>
      </c>
      <c r="T1306" s="2">
        <f>MASTER[[#This Row],[CANTIDAD]]*MASTER[[#This Row],[PRECIO DE VENTA]]</f>
        <v>1026</v>
      </c>
      <c r="U1306" s="2">
        <f>MASTER[[#This Row],[CANTIDAD]]*MASTER[[#This Row],[COSTO UNITARIO]]</f>
        <v>424</v>
      </c>
      <c r="V1306" s="2">
        <f>MASTER[[#This Row],[MONTO VENDIDO]]-MASTER[[#This Row],[COSTO DE VENTA]]</f>
        <v>602</v>
      </c>
    </row>
    <row r="1307" spans="1:22" x14ac:dyDescent="0.3">
      <c r="A1307">
        <v>26250</v>
      </c>
      <c r="B1307">
        <v>1</v>
      </c>
      <c r="C1307" t="s">
        <v>90</v>
      </c>
      <c r="D1307" t="s">
        <v>91</v>
      </c>
      <c r="E1307" s="1">
        <v>43984</v>
      </c>
      <c r="F1307">
        <v>1</v>
      </c>
      <c r="G1307" t="s">
        <v>22</v>
      </c>
      <c r="H1307" t="s">
        <v>23</v>
      </c>
      <c r="I1307" s="3">
        <v>1660</v>
      </c>
      <c r="J1307" s="3">
        <v>1660</v>
      </c>
      <c r="K1307" s="3">
        <v>420</v>
      </c>
      <c r="L1307" t="s">
        <v>9</v>
      </c>
      <c r="M1307">
        <v>16</v>
      </c>
      <c r="N1307" t="s">
        <v>17</v>
      </c>
      <c r="O1307" t="s">
        <v>11</v>
      </c>
      <c r="P1307" t="s">
        <v>18</v>
      </c>
      <c r="Q1307" t="s">
        <v>19</v>
      </c>
      <c r="R1307" t="s">
        <v>138</v>
      </c>
      <c r="S1307" t="s">
        <v>144</v>
      </c>
      <c r="T1307" s="2">
        <f>MASTER[[#This Row],[CANTIDAD]]*MASTER[[#This Row],[PRECIO DE VENTA]]</f>
        <v>1660</v>
      </c>
      <c r="U1307" s="2">
        <f>MASTER[[#This Row],[CANTIDAD]]*MASTER[[#This Row],[COSTO UNITARIO]]</f>
        <v>420</v>
      </c>
      <c r="V1307" s="2">
        <f>MASTER[[#This Row],[MONTO VENDIDO]]-MASTER[[#This Row],[COSTO DE VENTA]]</f>
        <v>1240</v>
      </c>
    </row>
    <row r="1308" spans="1:22" x14ac:dyDescent="0.3">
      <c r="A1308">
        <v>26274</v>
      </c>
      <c r="B1308">
        <v>1</v>
      </c>
      <c r="C1308" t="s">
        <v>116</v>
      </c>
      <c r="D1308" t="s">
        <v>117</v>
      </c>
      <c r="E1308" s="1">
        <v>43984</v>
      </c>
      <c r="F1308">
        <v>1</v>
      </c>
      <c r="G1308" t="s">
        <v>22</v>
      </c>
      <c r="H1308" t="s">
        <v>23</v>
      </c>
      <c r="I1308" s="3">
        <v>1738</v>
      </c>
      <c r="J1308" s="3">
        <v>1738</v>
      </c>
      <c r="K1308" s="3">
        <v>388</v>
      </c>
      <c r="L1308" t="s">
        <v>113</v>
      </c>
      <c r="M1308">
        <v>8</v>
      </c>
      <c r="N1308" t="s">
        <v>80</v>
      </c>
      <c r="O1308" t="s">
        <v>81</v>
      </c>
      <c r="P1308" t="s">
        <v>12</v>
      </c>
      <c r="Q1308" t="s">
        <v>13</v>
      </c>
      <c r="R1308" t="s">
        <v>13</v>
      </c>
      <c r="S1308" t="s">
        <v>144</v>
      </c>
      <c r="T1308" s="2">
        <f>MASTER[[#This Row],[CANTIDAD]]*MASTER[[#This Row],[PRECIO DE VENTA]]</f>
        <v>1738</v>
      </c>
      <c r="U1308" s="2">
        <f>MASTER[[#This Row],[CANTIDAD]]*MASTER[[#This Row],[COSTO UNITARIO]]</f>
        <v>388</v>
      </c>
      <c r="V1308" s="2">
        <f>MASTER[[#This Row],[MONTO VENDIDO]]-MASTER[[#This Row],[COSTO DE VENTA]]</f>
        <v>1350</v>
      </c>
    </row>
    <row r="1309" spans="1:22" x14ac:dyDescent="0.3">
      <c r="A1309">
        <v>26278</v>
      </c>
      <c r="B1309">
        <v>1</v>
      </c>
      <c r="C1309" t="s">
        <v>90</v>
      </c>
      <c r="D1309" t="s">
        <v>91</v>
      </c>
      <c r="E1309" s="1">
        <v>43985</v>
      </c>
      <c r="F1309">
        <v>1</v>
      </c>
      <c r="G1309" t="s">
        <v>27</v>
      </c>
      <c r="H1309" t="s">
        <v>28</v>
      </c>
      <c r="I1309" s="3">
        <v>2102</v>
      </c>
      <c r="J1309" s="3">
        <v>2102</v>
      </c>
      <c r="K1309" s="3">
        <v>420</v>
      </c>
      <c r="L1309" t="s">
        <v>9</v>
      </c>
      <c r="M1309">
        <v>3</v>
      </c>
      <c r="N1309" t="s">
        <v>69</v>
      </c>
      <c r="O1309" t="s">
        <v>70</v>
      </c>
      <c r="P1309" t="s">
        <v>71</v>
      </c>
      <c r="Q1309" t="s">
        <v>72</v>
      </c>
      <c r="R1309" t="s">
        <v>139</v>
      </c>
      <c r="S1309" t="s">
        <v>144</v>
      </c>
      <c r="T1309" s="2">
        <f>MASTER[[#This Row],[CANTIDAD]]*MASTER[[#This Row],[PRECIO DE VENTA]]</f>
        <v>2102</v>
      </c>
      <c r="U1309" s="2">
        <f>MASTER[[#This Row],[CANTIDAD]]*MASTER[[#This Row],[COSTO UNITARIO]]</f>
        <v>420</v>
      </c>
      <c r="V1309" s="2">
        <f>MASTER[[#This Row],[MONTO VENDIDO]]-MASTER[[#This Row],[COSTO DE VENTA]]</f>
        <v>1682</v>
      </c>
    </row>
    <row r="1310" spans="1:22" x14ac:dyDescent="0.3">
      <c r="A1310">
        <v>26283</v>
      </c>
      <c r="B1310">
        <v>1</v>
      </c>
      <c r="C1310" t="s">
        <v>99</v>
      </c>
      <c r="D1310" t="s">
        <v>100</v>
      </c>
      <c r="E1310" s="1">
        <v>43985</v>
      </c>
      <c r="F1310">
        <v>1</v>
      </c>
      <c r="G1310" t="s">
        <v>53</v>
      </c>
      <c r="H1310" t="s">
        <v>54</v>
      </c>
      <c r="I1310" s="3">
        <v>1678</v>
      </c>
      <c r="J1310" s="3">
        <v>1678</v>
      </c>
      <c r="K1310" s="3">
        <v>386</v>
      </c>
      <c r="L1310" t="s">
        <v>98</v>
      </c>
      <c r="M1310">
        <v>18</v>
      </c>
      <c r="N1310" t="s">
        <v>79</v>
      </c>
      <c r="O1310" t="s">
        <v>70</v>
      </c>
      <c r="P1310" t="s">
        <v>15</v>
      </c>
      <c r="Q1310" t="s">
        <v>16</v>
      </c>
      <c r="R1310" t="s">
        <v>16</v>
      </c>
      <c r="S1310" t="s">
        <v>144</v>
      </c>
      <c r="T1310" s="2">
        <f>MASTER[[#This Row],[CANTIDAD]]*MASTER[[#This Row],[PRECIO DE VENTA]]</f>
        <v>1678</v>
      </c>
      <c r="U1310" s="2">
        <f>MASTER[[#This Row],[CANTIDAD]]*MASTER[[#This Row],[COSTO UNITARIO]]</f>
        <v>386</v>
      </c>
      <c r="V1310" s="2">
        <f>MASTER[[#This Row],[MONTO VENDIDO]]-MASTER[[#This Row],[COSTO DE VENTA]]</f>
        <v>1292</v>
      </c>
    </row>
    <row r="1311" spans="1:22" x14ac:dyDescent="0.3">
      <c r="A1311">
        <v>26289</v>
      </c>
      <c r="B1311">
        <v>1</v>
      </c>
      <c r="C1311" t="s">
        <v>114</v>
      </c>
      <c r="D1311" t="s">
        <v>115</v>
      </c>
      <c r="E1311" s="1">
        <v>43985</v>
      </c>
      <c r="F1311">
        <v>1</v>
      </c>
      <c r="G1311" t="s">
        <v>57</v>
      </c>
      <c r="H1311" t="s">
        <v>58</v>
      </c>
      <c r="I1311" s="3">
        <v>1862</v>
      </c>
      <c r="J1311" s="3">
        <v>1862</v>
      </c>
      <c r="K1311" s="3">
        <v>394</v>
      </c>
      <c r="L1311" t="s">
        <v>113</v>
      </c>
      <c r="M1311">
        <v>8</v>
      </c>
      <c r="N1311" t="s">
        <v>80</v>
      </c>
      <c r="O1311" t="s">
        <v>81</v>
      </c>
      <c r="P1311" t="s">
        <v>12</v>
      </c>
      <c r="Q1311" t="s">
        <v>13</v>
      </c>
      <c r="R1311" t="s">
        <v>13</v>
      </c>
      <c r="S1311" t="s">
        <v>144</v>
      </c>
      <c r="T1311" s="2">
        <f>MASTER[[#This Row],[CANTIDAD]]*MASTER[[#This Row],[PRECIO DE VENTA]]</f>
        <v>1862</v>
      </c>
      <c r="U1311" s="2">
        <f>MASTER[[#This Row],[CANTIDAD]]*MASTER[[#This Row],[COSTO UNITARIO]]</f>
        <v>394</v>
      </c>
      <c r="V1311" s="2">
        <f>MASTER[[#This Row],[MONTO VENDIDO]]-MASTER[[#This Row],[COSTO DE VENTA]]</f>
        <v>1468</v>
      </c>
    </row>
    <row r="1312" spans="1:22" x14ac:dyDescent="0.3">
      <c r="A1312">
        <v>26305</v>
      </c>
      <c r="B1312">
        <v>1</v>
      </c>
      <c r="C1312" t="s">
        <v>114</v>
      </c>
      <c r="D1312" t="s">
        <v>115</v>
      </c>
      <c r="E1312" s="1">
        <v>43985</v>
      </c>
      <c r="F1312">
        <v>1</v>
      </c>
      <c r="G1312" t="s">
        <v>33</v>
      </c>
      <c r="H1312" t="s">
        <v>34</v>
      </c>
      <c r="I1312" s="3">
        <v>2030</v>
      </c>
      <c r="J1312" s="3">
        <v>2030</v>
      </c>
      <c r="K1312" s="3">
        <v>394</v>
      </c>
      <c r="L1312" t="s">
        <v>113</v>
      </c>
      <c r="M1312">
        <v>18</v>
      </c>
      <c r="N1312" t="s">
        <v>79</v>
      </c>
      <c r="O1312" t="s">
        <v>70</v>
      </c>
      <c r="P1312" t="s">
        <v>15</v>
      </c>
      <c r="Q1312" t="s">
        <v>16</v>
      </c>
      <c r="R1312" t="s">
        <v>16</v>
      </c>
      <c r="S1312" t="s">
        <v>144</v>
      </c>
      <c r="T1312" s="2">
        <f>MASTER[[#This Row],[CANTIDAD]]*MASTER[[#This Row],[PRECIO DE VENTA]]</f>
        <v>2030</v>
      </c>
      <c r="U1312" s="2">
        <f>MASTER[[#This Row],[CANTIDAD]]*MASTER[[#This Row],[COSTO UNITARIO]]</f>
        <v>394</v>
      </c>
      <c r="V1312" s="2">
        <f>MASTER[[#This Row],[MONTO VENDIDO]]-MASTER[[#This Row],[COSTO DE VENTA]]</f>
        <v>1636</v>
      </c>
    </row>
    <row r="1313" spans="1:22" x14ac:dyDescent="0.3">
      <c r="A1313">
        <v>26320</v>
      </c>
      <c r="B1313">
        <v>1</v>
      </c>
      <c r="C1313" t="s">
        <v>111</v>
      </c>
      <c r="D1313" t="s">
        <v>112</v>
      </c>
      <c r="E1313" s="1">
        <v>43985</v>
      </c>
      <c r="F1313">
        <v>1</v>
      </c>
      <c r="G1313" t="s">
        <v>27</v>
      </c>
      <c r="H1313" t="s">
        <v>28</v>
      </c>
      <c r="I1313" s="3">
        <v>1621</v>
      </c>
      <c r="J1313" s="3">
        <v>1621</v>
      </c>
      <c r="K1313" s="3">
        <v>434</v>
      </c>
      <c r="L1313" t="s">
        <v>113</v>
      </c>
      <c r="M1313">
        <v>15</v>
      </c>
      <c r="N1313" t="s">
        <v>88</v>
      </c>
      <c r="O1313" t="s">
        <v>81</v>
      </c>
      <c r="P1313" t="s">
        <v>18</v>
      </c>
      <c r="Q1313" t="s">
        <v>19</v>
      </c>
      <c r="R1313" t="s">
        <v>138</v>
      </c>
      <c r="S1313" t="s">
        <v>144</v>
      </c>
      <c r="T1313" s="2">
        <f>MASTER[[#This Row],[CANTIDAD]]*MASTER[[#This Row],[PRECIO DE VENTA]]</f>
        <v>1621</v>
      </c>
      <c r="U1313" s="2">
        <f>MASTER[[#This Row],[CANTIDAD]]*MASTER[[#This Row],[COSTO UNITARIO]]</f>
        <v>434</v>
      </c>
      <c r="V1313" s="2">
        <f>MASTER[[#This Row],[MONTO VENDIDO]]-MASTER[[#This Row],[COSTO DE VENTA]]</f>
        <v>1187</v>
      </c>
    </row>
    <row r="1314" spans="1:22" x14ac:dyDescent="0.3">
      <c r="A1314">
        <v>26330</v>
      </c>
      <c r="B1314">
        <v>1</v>
      </c>
      <c r="C1314" t="s">
        <v>5</v>
      </c>
      <c r="D1314" t="s">
        <v>6</v>
      </c>
      <c r="E1314" s="1">
        <v>43985</v>
      </c>
      <c r="F1314">
        <v>1</v>
      </c>
      <c r="G1314" t="s">
        <v>47</v>
      </c>
      <c r="H1314" t="s">
        <v>48</v>
      </c>
      <c r="I1314" s="3">
        <v>1507</v>
      </c>
      <c r="J1314" s="3">
        <v>1507</v>
      </c>
      <c r="K1314" s="3">
        <v>393</v>
      </c>
      <c r="L1314" t="s">
        <v>9</v>
      </c>
      <c r="M1314">
        <v>8</v>
      </c>
      <c r="N1314" t="s">
        <v>80</v>
      </c>
      <c r="O1314" t="s">
        <v>81</v>
      </c>
      <c r="P1314" t="s">
        <v>12</v>
      </c>
      <c r="Q1314" t="s">
        <v>13</v>
      </c>
      <c r="R1314" t="s">
        <v>13</v>
      </c>
      <c r="S1314" t="s">
        <v>144</v>
      </c>
      <c r="T1314" s="2">
        <f>MASTER[[#This Row],[CANTIDAD]]*MASTER[[#This Row],[PRECIO DE VENTA]]</f>
        <v>1507</v>
      </c>
      <c r="U1314" s="2">
        <f>MASTER[[#This Row],[CANTIDAD]]*MASTER[[#This Row],[COSTO UNITARIO]]</f>
        <v>393</v>
      </c>
      <c r="V1314" s="2">
        <f>MASTER[[#This Row],[MONTO VENDIDO]]-MASTER[[#This Row],[COSTO DE VENTA]]</f>
        <v>1114</v>
      </c>
    </row>
    <row r="1315" spans="1:22" x14ac:dyDescent="0.3">
      <c r="A1315">
        <v>26335</v>
      </c>
      <c r="B1315">
        <v>1</v>
      </c>
      <c r="C1315" t="s">
        <v>105</v>
      </c>
      <c r="D1315" t="s">
        <v>106</v>
      </c>
      <c r="E1315" s="1">
        <v>43985</v>
      </c>
      <c r="F1315">
        <v>1</v>
      </c>
      <c r="G1315" t="s">
        <v>20</v>
      </c>
      <c r="H1315" t="s">
        <v>21</v>
      </c>
      <c r="I1315" s="3">
        <v>1865</v>
      </c>
      <c r="J1315" s="3">
        <v>1865</v>
      </c>
      <c r="K1315" s="3">
        <v>459</v>
      </c>
      <c r="L1315" t="s">
        <v>98</v>
      </c>
      <c r="M1315">
        <v>5</v>
      </c>
      <c r="N1315" t="s">
        <v>85</v>
      </c>
      <c r="O1315" t="s">
        <v>81</v>
      </c>
      <c r="P1315" t="s">
        <v>12</v>
      </c>
      <c r="Q1315" t="s">
        <v>13</v>
      </c>
      <c r="R1315" t="s">
        <v>13</v>
      </c>
      <c r="S1315" t="s">
        <v>144</v>
      </c>
      <c r="T1315" s="2">
        <f>MASTER[[#This Row],[CANTIDAD]]*MASTER[[#This Row],[PRECIO DE VENTA]]</f>
        <v>1865</v>
      </c>
      <c r="U1315" s="2">
        <f>MASTER[[#This Row],[CANTIDAD]]*MASTER[[#This Row],[COSTO UNITARIO]]</f>
        <v>459</v>
      </c>
      <c r="V1315" s="2">
        <f>MASTER[[#This Row],[MONTO VENDIDO]]-MASTER[[#This Row],[COSTO DE VENTA]]</f>
        <v>1406</v>
      </c>
    </row>
    <row r="1316" spans="1:22" x14ac:dyDescent="0.3">
      <c r="A1316">
        <v>26338</v>
      </c>
      <c r="B1316">
        <v>1</v>
      </c>
      <c r="C1316" t="s">
        <v>5</v>
      </c>
      <c r="D1316" t="s">
        <v>6</v>
      </c>
      <c r="E1316" s="1">
        <v>43985</v>
      </c>
      <c r="F1316">
        <v>1</v>
      </c>
      <c r="G1316" t="s">
        <v>43</v>
      </c>
      <c r="H1316" t="s">
        <v>44</v>
      </c>
      <c r="I1316" s="3">
        <v>1311</v>
      </c>
      <c r="J1316" s="3">
        <v>1193</v>
      </c>
      <c r="K1316" s="3">
        <v>393</v>
      </c>
      <c r="L1316" t="s">
        <v>9</v>
      </c>
      <c r="M1316">
        <v>16</v>
      </c>
      <c r="N1316" t="s">
        <v>17</v>
      </c>
      <c r="O1316" t="s">
        <v>11</v>
      </c>
      <c r="P1316" t="s">
        <v>18</v>
      </c>
      <c r="Q1316" t="s">
        <v>19</v>
      </c>
      <c r="R1316" t="s">
        <v>138</v>
      </c>
      <c r="S1316" t="s">
        <v>144</v>
      </c>
      <c r="T1316" s="2">
        <f>MASTER[[#This Row],[CANTIDAD]]*MASTER[[#This Row],[PRECIO DE VENTA]]</f>
        <v>1193</v>
      </c>
      <c r="U1316" s="2">
        <f>MASTER[[#This Row],[CANTIDAD]]*MASTER[[#This Row],[COSTO UNITARIO]]</f>
        <v>393</v>
      </c>
      <c r="V1316" s="2">
        <f>MASTER[[#This Row],[MONTO VENDIDO]]-MASTER[[#This Row],[COSTO DE VENTA]]</f>
        <v>800</v>
      </c>
    </row>
    <row r="1317" spans="1:22" x14ac:dyDescent="0.3">
      <c r="A1317">
        <v>26403</v>
      </c>
      <c r="B1317">
        <v>1</v>
      </c>
      <c r="C1317" t="s">
        <v>107</v>
      </c>
      <c r="D1317" t="s">
        <v>108</v>
      </c>
      <c r="E1317" s="1">
        <v>43985</v>
      </c>
      <c r="F1317">
        <v>1</v>
      </c>
      <c r="G1317" t="s">
        <v>57</v>
      </c>
      <c r="H1317" t="s">
        <v>58</v>
      </c>
      <c r="I1317" s="3">
        <v>1333</v>
      </c>
      <c r="J1317" s="3">
        <v>1333</v>
      </c>
      <c r="K1317" s="3">
        <v>380</v>
      </c>
      <c r="L1317" t="s">
        <v>98</v>
      </c>
      <c r="M1317">
        <v>15</v>
      </c>
      <c r="N1317" t="s">
        <v>88</v>
      </c>
      <c r="O1317" t="s">
        <v>81</v>
      </c>
      <c r="P1317" t="s">
        <v>18</v>
      </c>
      <c r="Q1317" t="s">
        <v>19</v>
      </c>
      <c r="R1317" t="s">
        <v>138</v>
      </c>
      <c r="S1317" t="s">
        <v>144</v>
      </c>
      <c r="T1317" s="2">
        <f>MASTER[[#This Row],[CANTIDAD]]*MASTER[[#This Row],[PRECIO DE VENTA]]</f>
        <v>1333</v>
      </c>
      <c r="U1317" s="2">
        <f>MASTER[[#This Row],[CANTIDAD]]*MASTER[[#This Row],[COSTO UNITARIO]]</f>
        <v>380</v>
      </c>
      <c r="V1317" s="2">
        <f>MASTER[[#This Row],[MONTO VENDIDO]]-MASTER[[#This Row],[COSTO DE VENTA]]</f>
        <v>953</v>
      </c>
    </row>
    <row r="1318" spans="1:22" x14ac:dyDescent="0.3">
      <c r="A1318">
        <v>26415</v>
      </c>
      <c r="B1318">
        <v>1</v>
      </c>
      <c r="C1318" t="s">
        <v>99</v>
      </c>
      <c r="D1318" t="s">
        <v>100</v>
      </c>
      <c r="E1318" s="1">
        <v>43985</v>
      </c>
      <c r="F1318">
        <v>1</v>
      </c>
      <c r="G1318" t="s">
        <v>27</v>
      </c>
      <c r="H1318" t="s">
        <v>28</v>
      </c>
      <c r="I1318" s="3">
        <v>1678</v>
      </c>
      <c r="J1318" s="3">
        <v>1678</v>
      </c>
      <c r="K1318" s="3">
        <v>386</v>
      </c>
      <c r="L1318" t="s">
        <v>98</v>
      </c>
      <c r="M1318">
        <v>1</v>
      </c>
      <c r="N1318" t="s">
        <v>77</v>
      </c>
      <c r="O1318" t="s">
        <v>70</v>
      </c>
      <c r="P1318" t="s">
        <v>71</v>
      </c>
      <c r="Q1318" t="s">
        <v>72</v>
      </c>
      <c r="R1318" t="s">
        <v>139</v>
      </c>
      <c r="S1318" t="s">
        <v>144</v>
      </c>
      <c r="T1318" s="2">
        <f>MASTER[[#This Row],[CANTIDAD]]*MASTER[[#This Row],[PRECIO DE VENTA]]</f>
        <v>1678</v>
      </c>
      <c r="U1318" s="2">
        <f>MASTER[[#This Row],[CANTIDAD]]*MASTER[[#This Row],[COSTO UNITARIO]]</f>
        <v>386</v>
      </c>
      <c r="V1318" s="2">
        <f>MASTER[[#This Row],[MONTO VENDIDO]]-MASTER[[#This Row],[COSTO DE VENTA]]</f>
        <v>1292</v>
      </c>
    </row>
    <row r="1319" spans="1:22" x14ac:dyDescent="0.3">
      <c r="A1319">
        <v>26433</v>
      </c>
      <c r="B1319">
        <v>1</v>
      </c>
      <c r="C1319" t="s">
        <v>105</v>
      </c>
      <c r="D1319" t="s">
        <v>106</v>
      </c>
      <c r="E1319" s="1">
        <v>43985</v>
      </c>
      <c r="F1319">
        <v>1</v>
      </c>
      <c r="G1319" t="s">
        <v>61</v>
      </c>
      <c r="H1319" t="s">
        <v>62</v>
      </c>
      <c r="I1319" s="3">
        <v>1865</v>
      </c>
      <c r="J1319" s="3">
        <v>1865</v>
      </c>
      <c r="K1319" s="3">
        <v>459</v>
      </c>
      <c r="L1319" t="s">
        <v>98</v>
      </c>
      <c r="M1319">
        <v>14</v>
      </c>
      <c r="N1319" t="s">
        <v>87</v>
      </c>
      <c r="O1319" t="s">
        <v>81</v>
      </c>
      <c r="P1319" t="s">
        <v>18</v>
      </c>
      <c r="Q1319" t="s">
        <v>19</v>
      </c>
      <c r="R1319" t="s">
        <v>138</v>
      </c>
      <c r="S1319" t="s">
        <v>144</v>
      </c>
      <c r="T1319" s="2">
        <f>MASTER[[#This Row],[CANTIDAD]]*MASTER[[#This Row],[PRECIO DE VENTA]]</f>
        <v>1865</v>
      </c>
      <c r="U1319" s="2">
        <f>MASTER[[#This Row],[CANTIDAD]]*MASTER[[#This Row],[COSTO UNITARIO]]</f>
        <v>459</v>
      </c>
      <c r="V1319" s="2">
        <f>MASTER[[#This Row],[MONTO VENDIDO]]-MASTER[[#This Row],[COSTO DE VENTA]]</f>
        <v>1406</v>
      </c>
    </row>
    <row r="1320" spans="1:22" x14ac:dyDescent="0.3">
      <c r="A1320">
        <v>26455</v>
      </c>
      <c r="B1320">
        <v>1</v>
      </c>
      <c r="C1320" t="s">
        <v>103</v>
      </c>
      <c r="D1320" t="s">
        <v>104</v>
      </c>
      <c r="E1320" s="1">
        <v>43986</v>
      </c>
      <c r="F1320">
        <v>1</v>
      </c>
      <c r="G1320" t="s">
        <v>22</v>
      </c>
      <c r="H1320" t="s">
        <v>23</v>
      </c>
      <c r="I1320" s="3">
        <v>1591</v>
      </c>
      <c r="J1320" s="3">
        <v>1591</v>
      </c>
      <c r="K1320" s="3">
        <v>421</v>
      </c>
      <c r="L1320" t="s">
        <v>98</v>
      </c>
      <c r="M1320">
        <v>15</v>
      </c>
      <c r="N1320" t="s">
        <v>88</v>
      </c>
      <c r="O1320" t="s">
        <v>81</v>
      </c>
      <c r="P1320" t="s">
        <v>18</v>
      </c>
      <c r="Q1320" t="s">
        <v>19</v>
      </c>
      <c r="R1320" t="s">
        <v>138</v>
      </c>
      <c r="S1320" t="s">
        <v>144</v>
      </c>
      <c r="T1320" s="2">
        <f>MASTER[[#This Row],[CANTIDAD]]*MASTER[[#This Row],[PRECIO DE VENTA]]</f>
        <v>1591</v>
      </c>
      <c r="U1320" s="2">
        <f>MASTER[[#This Row],[CANTIDAD]]*MASTER[[#This Row],[COSTO UNITARIO]]</f>
        <v>421</v>
      </c>
      <c r="V1320" s="2">
        <f>MASTER[[#This Row],[MONTO VENDIDO]]-MASTER[[#This Row],[COSTO DE VENTA]]</f>
        <v>1170</v>
      </c>
    </row>
    <row r="1321" spans="1:22" x14ac:dyDescent="0.3">
      <c r="A1321">
        <v>26503</v>
      </c>
      <c r="B1321">
        <v>1</v>
      </c>
      <c r="C1321" t="s">
        <v>90</v>
      </c>
      <c r="D1321" t="s">
        <v>91</v>
      </c>
      <c r="E1321" s="1">
        <v>43986</v>
      </c>
      <c r="F1321">
        <v>1</v>
      </c>
      <c r="G1321" t="s">
        <v>73</v>
      </c>
      <c r="H1321" t="s">
        <v>74</v>
      </c>
      <c r="I1321" s="3">
        <v>2102</v>
      </c>
      <c r="J1321" s="3">
        <v>2102</v>
      </c>
      <c r="K1321" s="3">
        <v>420</v>
      </c>
      <c r="L1321" t="s">
        <v>9</v>
      </c>
      <c r="M1321">
        <v>6</v>
      </c>
      <c r="N1321" t="s">
        <v>75</v>
      </c>
      <c r="O1321" t="s">
        <v>70</v>
      </c>
      <c r="P1321" t="s">
        <v>12</v>
      </c>
      <c r="Q1321" t="s">
        <v>13</v>
      </c>
      <c r="R1321" t="s">
        <v>13</v>
      </c>
      <c r="S1321" t="s">
        <v>144</v>
      </c>
      <c r="T1321" s="2">
        <f>MASTER[[#This Row],[CANTIDAD]]*MASTER[[#This Row],[PRECIO DE VENTA]]</f>
        <v>2102</v>
      </c>
      <c r="U1321" s="2">
        <f>MASTER[[#This Row],[CANTIDAD]]*MASTER[[#This Row],[COSTO UNITARIO]]</f>
        <v>420</v>
      </c>
      <c r="V1321" s="2">
        <f>MASTER[[#This Row],[MONTO VENDIDO]]-MASTER[[#This Row],[COSTO DE VENTA]]</f>
        <v>1682</v>
      </c>
    </row>
    <row r="1322" spans="1:22" x14ac:dyDescent="0.3">
      <c r="A1322">
        <v>26510</v>
      </c>
      <c r="B1322">
        <v>1</v>
      </c>
      <c r="C1322" t="s">
        <v>111</v>
      </c>
      <c r="D1322" t="s">
        <v>112</v>
      </c>
      <c r="E1322" s="1">
        <v>43986</v>
      </c>
      <c r="F1322">
        <v>1</v>
      </c>
      <c r="G1322" t="s">
        <v>35</v>
      </c>
      <c r="H1322" t="s">
        <v>36</v>
      </c>
      <c r="I1322" s="3">
        <v>1524</v>
      </c>
      <c r="J1322" s="3">
        <v>1524</v>
      </c>
      <c r="K1322" s="3">
        <v>434</v>
      </c>
      <c r="L1322" t="s">
        <v>113</v>
      </c>
      <c r="M1322">
        <v>11</v>
      </c>
      <c r="N1322" t="s">
        <v>10</v>
      </c>
      <c r="O1322" t="s">
        <v>11</v>
      </c>
      <c r="P1322" t="s">
        <v>12</v>
      </c>
      <c r="Q1322" t="s">
        <v>13</v>
      </c>
      <c r="R1322" t="s">
        <v>13</v>
      </c>
      <c r="S1322" t="s">
        <v>144</v>
      </c>
      <c r="T1322" s="2">
        <f>MASTER[[#This Row],[CANTIDAD]]*MASTER[[#This Row],[PRECIO DE VENTA]]</f>
        <v>1524</v>
      </c>
      <c r="U1322" s="2">
        <f>MASTER[[#This Row],[CANTIDAD]]*MASTER[[#This Row],[COSTO UNITARIO]]</f>
        <v>434</v>
      </c>
      <c r="V1322" s="2">
        <f>MASTER[[#This Row],[MONTO VENDIDO]]-MASTER[[#This Row],[COSTO DE VENTA]]</f>
        <v>1090</v>
      </c>
    </row>
    <row r="1323" spans="1:22" x14ac:dyDescent="0.3">
      <c r="A1323">
        <v>26512</v>
      </c>
      <c r="B1323">
        <v>1</v>
      </c>
      <c r="C1323" t="s">
        <v>92</v>
      </c>
      <c r="D1323" t="s">
        <v>93</v>
      </c>
      <c r="E1323" s="1">
        <v>43987</v>
      </c>
      <c r="F1323">
        <v>1</v>
      </c>
      <c r="G1323" t="s">
        <v>31</v>
      </c>
      <c r="H1323" t="s">
        <v>32</v>
      </c>
      <c r="I1323" s="3">
        <v>1479</v>
      </c>
      <c r="J1323" s="3">
        <v>1479</v>
      </c>
      <c r="K1323" s="3">
        <v>396</v>
      </c>
      <c r="L1323" t="s">
        <v>9</v>
      </c>
      <c r="M1323">
        <v>17</v>
      </c>
      <c r="N1323" t="s">
        <v>14</v>
      </c>
      <c r="O1323" t="s">
        <v>11</v>
      </c>
      <c r="P1323" t="s">
        <v>15</v>
      </c>
      <c r="Q1323" t="s">
        <v>16</v>
      </c>
      <c r="R1323" t="s">
        <v>16</v>
      </c>
      <c r="S1323" t="s">
        <v>144</v>
      </c>
      <c r="T1323" s="2">
        <f>MASTER[[#This Row],[CANTIDAD]]*MASTER[[#This Row],[PRECIO DE VENTA]]</f>
        <v>1479</v>
      </c>
      <c r="U1323" s="2">
        <f>MASTER[[#This Row],[CANTIDAD]]*MASTER[[#This Row],[COSTO UNITARIO]]</f>
        <v>396</v>
      </c>
      <c r="V1323" s="2">
        <f>MASTER[[#This Row],[MONTO VENDIDO]]-MASTER[[#This Row],[COSTO DE VENTA]]</f>
        <v>1083</v>
      </c>
    </row>
    <row r="1324" spans="1:22" x14ac:dyDescent="0.3">
      <c r="A1324">
        <v>26519</v>
      </c>
      <c r="B1324">
        <v>1</v>
      </c>
      <c r="C1324" t="s">
        <v>5</v>
      </c>
      <c r="D1324" t="s">
        <v>6</v>
      </c>
      <c r="E1324" s="1">
        <v>43987</v>
      </c>
      <c r="F1324">
        <v>1</v>
      </c>
      <c r="G1324" t="s">
        <v>33</v>
      </c>
      <c r="H1324" t="s">
        <v>34</v>
      </c>
      <c r="I1324" s="3">
        <v>1311</v>
      </c>
      <c r="J1324" s="3">
        <v>1311</v>
      </c>
      <c r="K1324" s="3">
        <v>393</v>
      </c>
      <c r="L1324" t="s">
        <v>9</v>
      </c>
      <c r="M1324">
        <v>17</v>
      </c>
      <c r="N1324" t="s">
        <v>14</v>
      </c>
      <c r="O1324" t="s">
        <v>11</v>
      </c>
      <c r="P1324" t="s">
        <v>15</v>
      </c>
      <c r="Q1324" t="s">
        <v>16</v>
      </c>
      <c r="R1324" t="s">
        <v>16</v>
      </c>
      <c r="S1324" t="s">
        <v>144</v>
      </c>
      <c r="T1324" s="2">
        <f>MASTER[[#This Row],[CANTIDAD]]*MASTER[[#This Row],[PRECIO DE VENTA]]</f>
        <v>1311</v>
      </c>
      <c r="U1324" s="2">
        <f>MASTER[[#This Row],[CANTIDAD]]*MASTER[[#This Row],[COSTO UNITARIO]]</f>
        <v>393</v>
      </c>
      <c r="V1324" s="2">
        <f>MASTER[[#This Row],[MONTO VENDIDO]]-MASTER[[#This Row],[COSTO DE VENTA]]</f>
        <v>918</v>
      </c>
    </row>
    <row r="1325" spans="1:22" x14ac:dyDescent="0.3">
      <c r="A1325">
        <v>26521</v>
      </c>
      <c r="B1325">
        <v>1</v>
      </c>
      <c r="C1325" t="s">
        <v>94</v>
      </c>
      <c r="D1325" t="s">
        <v>95</v>
      </c>
      <c r="E1325" s="1">
        <v>43987</v>
      </c>
      <c r="F1325">
        <v>1</v>
      </c>
      <c r="G1325" t="s">
        <v>35</v>
      </c>
      <c r="H1325" t="s">
        <v>36</v>
      </c>
      <c r="I1325" s="3">
        <v>1048</v>
      </c>
      <c r="J1325" s="3">
        <v>1048</v>
      </c>
      <c r="K1325" s="3">
        <v>392</v>
      </c>
      <c r="L1325" t="s">
        <v>9</v>
      </c>
      <c r="M1325">
        <v>8</v>
      </c>
      <c r="N1325" t="s">
        <v>80</v>
      </c>
      <c r="O1325" t="s">
        <v>81</v>
      </c>
      <c r="P1325" t="s">
        <v>12</v>
      </c>
      <c r="Q1325" t="s">
        <v>13</v>
      </c>
      <c r="R1325" t="s">
        <v>13</v>
      </c>
      <c r="S1325" t="s">
        <v>144</v>
      </c>
      <c r="T1325" s="2">
        <f>MASTER[[#This Row],[CANTIDAD]]*MASTER[[#This Row],[PRECIO DE VENTA]]</f>
        <v>1048</v>
      </c>
      <c r="U1325" s="2">
        <f>MASTER[[#This Row],[CANTIDAD]]*MASTER[[#This Row],[COSTO UNITARIO]]</f>
        <v>392</v>
      </c>
      <c r="V1325" s="2">
        <f>MASTER[[#This Row],[MONTO VENDIDO]]-MASTER[[#This Row],[COSTO DE VENTA]]</f>
        <v>656</v>
      </c>
    </row>
    <row r="1326" spans="1:22" x14ac:dyDescent="0.3">
      <c r="A1326">
        <v>26547</v>
      </c>
      <c r="B1326">
        <v>2</v>
      </c>
      <c r="C1326" t="s">
        <v>99</v>
      </c>
      <c r="D1326" t="s">
        <v>100</v>
      </c>
      <c r="E1326" s="1">
        <v>43987</v>
      </c>
      <c r="F1326">
        <v>1</v>
      </c>
      <c r="G1326" t="s">
        <v>20</v>
      </c>
      <c r="H1326" t="s">
        <v>21</v>
      </c>
      <c r="I1326" s="3">
        <v>1459</v>
      </c>
      <c r="J1326" s="3">
        <v>1459</v>
      </c>
      <c r="K1326" s="3">
        <v>386</v>
      </c>
      <c r="L1326" t="s">
        <v>98</v>
      </c>
      <c r="M1326">
        <v>14</v>
      </c>
      <c r="N1326" t="s">
        <v>87</v>
      </c>
      <c r="O1326" t="s">
        <v>81</v>
      </c>
      <c r="P1326" t="s">
        <v>18</v>
      </c>
      <c r="Q1326" t="s">
        <v>19</v>
      </c>
      <c r="R1326" t="s">
        <v>138</v>
      </c>
      <c r="S1326" t="s">
        <v>144</v>
      </c>
      <c r="T1326" s="2">
        <f>MASTER[[#This Row],[CANTIDAD]]*MASTER[[#This Row],[PRECIO DE VENTA]]</f>
        <v>1459</v>
      </c>
      <c r="U1326" s="2">
        <f>MASTER[[#This Row],[CANTIDAD]]*MASTER[[#This Row],[COSTO UNITARIO]]</f>
        <v>386</v>
      </c>
      <c r="V1326" s="2">
        <f>MASTER[[#This Row],[MONTO VENDIDO]]-MASTER[[#This Row],[COSTO DE VENTA]]</f>
        <v>1073</v>
      </c>
    </row>
    <row r="1327" spans="1:22" x14ac:dyDescent="0.3">
      <c r="A1327">
        <v>26547</v>
      </c>
      <c r="B1327">
        <v>1</v>
      </c>
      <c r="C1327" t="s">
        <v>109</v>
      </c>
      <c r="D1327" t="s">
        <v>110</v>
      </c>
      <c r="E1327" s="1">
        <v>43987</v>
      </c>
      <c r="F1327">
        <v>4</v>
      </c>
      <c r="G1327" t="s">
        <v>27</v>
      </c>
      <c r="H1327" t="s">
        <v>28</v>
      </c>
      <c r="I1327" s="3">
        <v>1064</v>
      </c>
      <c r="J1327" s="3">
        <v>1064</v>
      </c>
      <c r="K1327" s="3">
        <v>387</v>
      </c>
      <c r="L1327" t="s">
        <v>98</v>
      </c>
      <c r="M1327">
        <v>14</v>
      </c>
      <c r="N1327" t="s">
        <v>87</v>
      </c>
      <c r="O1327" t="s">
        <v>81</v>
      </c>
      <c r="P1327" t="s">
        <v>18</v>
      </c>
      <c r="Q1327" t="s">
        <v>19</v>
      </c>
      <c r="R1327" t="s">
        <v>138</v>
      </c>
      <c r="S1327" t="s">
        <v>144</v>
      </c>
      <c r="T1327" s="2">
        <f>MASTER[[#This Row],[CANTIDAD]]*MASTER[[#This Row],[PRECIO DE VENTA]]</f>
        <v>4256</v>
      </c>
      <c r="U1327" s="2">
        <f>MASTER[[#This Row],[CANTIDAD]]*MASTER[[#This Row],[COSTO UNITARIO]]</f>
        <v>1548</v>
      </c>
      <c r="V1327" s="2">
        <f>MASTER[[#This Row],[MONTO VENDIDO]]-MASTER[[#This Row],[COSTO DE VENTA]]</f>
        <v>2708</v>
      </c>
    </row>
    <row r="1328" spans="1:22" x14ac:dyDescent="0.3">
      <c r="A1328">
        <v>26550</v>
      </c>
      <c r="B1328">
        <v>1</v>
      </c>
      <c r="C1328" t="s">
        <v>99</v>
      </c>
      <c r="D1328" t="s">
        <v>100</v>
      </c>
      <c r="E1328" s="1">
        <v>43987</v>
      </c>
      <c r="F1328">
        <v>1</v>
      </c>
      <c r="G1328" t="s">
        <v>45</v>
      </c>
      <c r="H1328" t="s">
        <v>46</v>
      </c>
      <c r="I1328" s="3">
        <v>1459</v>
      </c>
      <c r="J1328" s="3">
        <v>1459</v>
      </c>
      <c r="K1328" s="3">
        <v>386</v>
      </c>
      <c r="L1328" t="s">
        <v>98</v>
      </c>
      <c r="M1328">
        <v>4</v>
      </c>
      <c r="N1328" t="s">
        <v>82</v>
      </c>
      <c r="O1328" t="s">
        <v>81</v>
      </c>
      <c r="P1328" t="s">
        <v>71</v>
      </c>
      <c r="Q1328" t="s">
        <v>72</v>
      </c>
      <c r="R1328" t="s">
        <v>139</v>
      </c>
      <c r="S1328" t="s">
        <v>144</v>
      </c>
      <c r="T1328" s="2">
        <f>MASTER[[#This Row],[CANTIDAD]]*MASTER[[#This Row],[PRECIO DE VENTA]]</f>
        <v>1459</v>
      </c>
      <c r="U1328" s="2">
        <f>MASTER[[#This Row],[CANTIDAD]]*MASTER[[#This Row],[COSTO UNITARIO]]</f>
        <v>386</v>
      </c>
      <c r="V1328" s="2">
        <f>MASTER[[#This Row],[MONTO VENDIDO]]-MASTER[[#This Row],[COSTO DE VENTA]]</f>
        <v>1073</v>
      </c>
    </row>
    <row r="1329" spans="1:22" x14ac:dyDescent="0.3">
      <c r="A1329">
        <v>26552</v>
      </c>
      <c r="B1329">
        <v>1</v>
      </c>
      <c r="C1329" t="s">
        <v>107</v>
      </c>
      <c r="D1329" t="s">
        <v>108</v>
      </c>
      <c r="E1329" s="1">
        <v>43987</v>
      </c>
      <c r="F1329">
        <v>1</v>
      </c>
      <c r="G1329" t="s">
        <v>27</v>
      </c>
      <c r="H1329" t="s">
        <v>28</v>
      </c>
      <c r="I1329" s="3">
        <v>1440</v>
      </c>
      <c r="J1329" s="3">
        <v>1440</v>
      </c>
      <c r="K1329" s="3">
        <v>380</v>
      </c>
      <c r="L1329" t="s">
        <v>98</v>
      </c>
      <c r="M1329">
        <v>1</v>
      </c>
      <c r="N1329" t="s">
        <v>77</v>
      </c>
      <c r="O1329" t="s">
        <v>70</v>
      </c>
      <c r="P1329" t="s">
        <v>71</v>
      </c>
      <c r="Q1329" t="s">
        <v>72</v>
      </c>
      <c r="R1329" t="s">
        <v>139</v>
      </c>
      <c r="S1329" t="s">
        <v>144</v>
      </c>
      <c r="T1329" s="2">
        <f>MASTER[[#This Row],[CANTIDAD]]*MASTER[[#This Row],[PRECIO DE VENTA]]</f>
        <v>1440</v>
      </c>
      <c r="U1329" s="2">
        <f>MASTER[[#This Row],[CANTIDAD]]*MASTER[[#This Row],[COSTO UNITARIO]]</f>
        <v>380</v>
      </c>
      <c r="V1329" s="2">
        <f>MASTER[[#This Row],[MONTO VENDIDO]]-MASTER[[#This Row],[COSTO DE VENTA]]</f>
        <v>1060</v>
      </c>
    </row>
    <row r="1330" spans="1:22" x14ac:dyDescent="0.3">
      <c r="A1330">
        <v>26579</v>
      </c>
      <c r="B1330">
        <v>1</v>
      </c>
      <c r="C1330" t="s">
        <v>5</v>
      </c>
      <c r="D1330" t="s">
        <v>6</v>
      </c>
      <c r="E1330" s="1">
        <v>43987</v>
      </c>
      <c r="F1330">
        <v>2</v>
      </c>
      <c r="G1330" t="s">
        <v>45</v>
      </c>
      <c r="H1330" t="s">
        <v>46</v>
      </c>
      <c r="I1330" s="3">
        <v>1311</v>
      </c>
      <c r="J1330" s="3">
        <v>1193</v>
      </c>
      <c r="K1330" s="3">
        <v>393</v>
      </c>
      <c r="L1330" t="s">
        <v>9</v>
      </c>
      <c r="M1330">
        <v>11</v>
      </c>
      <c r="N1330" t="s">
        <v>10</v>
      </c>
      <c r="O1330" t="s">
        <v>11</v>
      </c>
      <c r="P1330" t="s">
        <v>12</v>
      </c>
      <c r="Q1330" t="s">
        <v>13</v>
      </c>
      <c r="R1330" t="s">
        <v>13</v>
      </c>
      <c r="S1330" t="s">
        <v>144</v>
      </c>
      <c r="T1330" s="2">
        <f>MASTER[[#This Row],[CANTIDAD]]*MASTER[[#This Row],[PRECIO DE VENTA]]</f>
        <v>2386</v>
      </c>
      <c r="U1330" s="2">
        <f>MASTER[[#This Row],[CANTIDAD]]*MASTER[[#This Row],[COSTO UNITARIO]]</f>
        <v>786</v>
      </c>
      <c r="V1330" s="2">
        <f>MASTER[[#This Row],[MONTO VENDIDO]]-MASTER[[#This Row],[COSTO DE VENTA]]</f>
        <v>1600</v>
      </c>
    </row>
    <row r="1331" spans="1:22" x14ac:dyDescent="0.3">
      <c r="A1331">
        <v>26584</v>
      </c>
      <c r="B1331">
        <v>1</v>
      </c>
      <c r="C1331" t="s">
        <v>96</v>
      </c>
      <c r="D1331" t="s">
        <v>97</v>
      </c>
      <c r="E1331" s="1">
        <v>43988</v>
      </c>
      <c r="F1331">
        <v>1</v>
      </c>
      <c r="G1331" t="s">
        <v>27</v>
      </c>
      <c r="H1331" t="s">
        <v>28</v>
      </c>
      <c r="I1331" s="3">
        <v>1361</v>
      </c>
      <c r="J1331" s="3">
        <v>1361</v>
      </c>
      <c r="K1331" s="3">
        <v>397</v>
      </c>
      <c r="L1331" t="s">
        <v>98</v>
      </c>
      <c r="M1331">
        <v>3</v>
      </c>
      <c r="N1331" t="s">
        <v>69</v>
      </c>
      <c r="O1331" t="s">
        <v>70</v>
      </c>
      <c r="P1331" t="s">
        <v>71</v>
      </c>
      <c r="Q1331" t="s">
        <v>72</v>
      </c>
      <c r="R1331" t="s">
        <v>139</v>
      </c>
      <c r="S1331" t="s">
        <v>144</v>
      </c>
      <c r="T1331" s="2">
        <f>MASTER[[#This Row],[CANTIDAD]]*MASTER[[#This Row],[PRECIO DE VENTA]]</f>
        <v>1361</v>
      </c>
      <c r="U1331" s="2">
        <f>MASTER[[#This Row],[CANTIDAD]]*MASTER[[#This Row],[COSTO UNITARIO]]</f>
        <v>397</v>
      </c>
      <c r="V1331" s="2">
        <f>MASTER[[#This Row],[MONTO VENDIDO]]-MASTER[[#This Row],[COSTO DE VENTA]]</f>
        <v>964</v>
      </c>
    </row>
    <row r="1332" spans="1:22" x14ac:dyDescent="0.3">
      <c r="A1332">
        <v>26589</v>
      </c>
      <c r="B1332">
        <v>1</v>
      </c>
      <c r="C1332" t="s">
        <v>103</v>
      </c>
      <c r="D1332" t="s">
        <v>104</v>
      </c>
      <c r="E1332" s="1">
        <v>43988</v>
      </c>
      <c r="F1332">
        <v>1</v>
      </c>
      <c r="G1332" t="s">
        <v>67</v>
      </c>
      <c r="H1332" t="s">
        <v>68</v>
      </c>
      <c r="I1332" s="3">
        <v>1448</v>
      </c>
      <c r="J1332" s="3">
        <v>1448</v>
      </c>
      <c r="K1332" s="3">
        <v>421</v>
      </c>
      <c r="L1332" t="s">
        <v>98</v>
      </c>
      <c r="M1332">
        <v>16</v>
      </c>
      <c r="N1332" t="s">
        <v>17</v>
      </c>
      <c r="O1332" t="s">
        <v>11</v>
      </c>
      <c r="P1332" t="s">
        <v>18</v>
      </c>
      <c r="Q1332" t="s">
        <v>19</v>
      </c>
      <c r="R1332" t="s">
        <v>138</v>
      </c>
      <c r="S1332" t="s">
        <v>144</v>
      </c>
      <c r="T1332" s="2">
        <f>MASTER[[#This Row],[CANTIDAD]]*MASTER[[#This Row],[PRECIO DE VENTA]]</f>
        <v>1448</v>
      </c>
      <c r="U1332" s="2">
        <f>MASTER[[#This Row],[CANTIDAD]]*MASTER[[#This Row],[COSTO UNITARIO]]</f>
        <v>421</v>
      </c>
      <c r="V1332" s="2">
        <f>MASTER[[#This Row],[MONTO VENDIDO]]-MASTER[[#This Row],[COSTO DE VENTA]]</f>
        <v>1027</v>
      </c>
    </row>
    <row r="1333" spans="1:22" x14ac:dyDescent="0.3">
      <c r="A1333">
        <v>26605</v>
      </c>
      <c r="B1333">
        <v>1</v>
      </c>
      <c r="C1333" t="s">
        <v>109</v>
      </c>
      <c r="D1333" t="s">
        <v>110</v>
      </c>
      <c r="E1333" s="1">
        <v>43988</v>
      </c>
      <c r="F1333">
        <v>2</v>
      </c>
      <c r="G1333" t="s">
        <v>61</v>
      </c>
      <c r="H1333" t="s">
        <v>62</v>
      </c>
      <c r="I1333" s="3">
        <v>1128</v>
      </c>
      <c r="J1333" s="3">
        <v>1128</v>
      </c>
      <c r="K1333" s="3">
        <v>387</v>
      </c>
      <c r="L1333" t="s">
        <v>98</v>
      </c>
      <c r="M1333">
        <v>6</v>
      </c>
      <c r="N1333" t="s">
        <v>75</v>
      </c>
      <c r="O1333" t="s">
        <v>70</v>
      </c>
      <c r="P1333" t="s">
        <v>12</v>
      </c>
      <c r="Q1333" t="s">
        <v>13</v>
      </c>
      <c r="R1333" t="s">
        <v>13</v>
      </c>
      <c r="S1333" t="s">
        <v>144</v>
      </c>
      <c r="T1333" s="2">
        <f>MASTER[[#This Row],[CANTIDAD]]*MASTER[[#This Row],[PRECIO DE VENTA]]</f>
        <v>2256</v>
      </c>
      <c r="U1333" s="2">
        <f>MASTER[[#This Row],[CANTIDAD]]*MASTER[[#This Row],[COSTO UNITARIO]]</f>
        <v>774</v>
      </c>
      <c r="V1333" s="2">
        <f>MASTER[[#This Row],[MONTO VENDIDO]]-MASTER[[#This Row],[COSTO DE VENTA]]</f>
        <v>1482</v>
      </c>
    </row>
    <row r="1334" spans="1:22" x14ac:dyDescent="0.3">
      <c r="A1334">
        <v>26607</v>
      </c>
      <c r="B1334">
        <v>1</v>
      </c>
      <c r="C1334" t="s">
        <v>96</v>
      </c>
      <c r="D1334" t="s">
        <v>97</v>
      </c>
      <c r="E1334" s="1">
        <v>43988</v>
      </c>
      <c r="F1334">
        <v>1</v>
      </c>
      <c r="G1334" t="s">
        <v>65</v>
      </c>
      <c r="H1334" t="s">
        <v>66</v>
      </c>
      <c r="I1334" s="3">
        <v>1272</v>
      </c>
      <c r="J1334" s="3">
        <v>1272</v>
      </c>
      <c r="K1334" s="3">
        <v>397</v>
      </c>
      <c r="L1334" t="s">
        <v>98</v>
      </c>
      <c r="M1334">
        <v>15</v>
      </c>
      <c r="N1334" t="s">
        <v>88</v>
      </c>
      <c r="O1334" t="s">
        <v>81</v>
      </c>
      <c r="P1334" t="s">
        <v>18</v>
      </c>
      <c r="Q1334" t="s">
        <v>19</v>
      </c>
      <c r="R1334" t="s">
        <v>138</v>
      </c>
      <c r="S1334" t="s">
        <v>144</v>
      </c>
      <c r="T1334" s="2">
        <f>MASTER[[#This Row],[CANTIDAD]]*MASTER[[#This Row],[PRECIO DE VENTA]]</f>
        <v>1272</v>
      </c>
      <c r="U1334" s="2">
        <f>MASTER[[#This Row],[CANTIDAD]]*MASTER[[#This Row],[COSTO UNITARIO]]</f>
        <v>397</v>
      </c>
      <c r="V1334" s="2">
        <f>MASTER[[#This Row],[MONTO VENDIDO]]-MASTER[[#This Row],[COSTO DE VENTA]]</f>
        <v>875</v>
      </c>
    </row>
    <row r="1335" spans="1:22" x14ac:dyDescent="0.3">
      <c r="A1335">
        <v>26626</v>
      </c>
      <c r="B1335">
        <v>1</v>
      </c>
      <c r="C1335" t="s">
        <v>118</v>
      </c>
      <c r="D1335" t="s">
        <v>119</v>
      </c>
      <c r="E1335" s="1">
        <v>43988</v>
      </c>
      <c r="F1335">
        <v>1</v>
      </c>
      <c r="G1335" t="s">
        <v>27</v>
      </c>
      <c r="H1335" t="s">
        <v>28</v>
      </c>
      <c r="I1335" s="3">
        <v>900</v>
      </c>
      <c r="J1335" s="3">
        <v>900</v>
      </c>
      <c r="K1335" s="3">
        <v>424</v>
      </c>
      <c r="L1335" t="s">
        <v>120</v>
      </c>
      <c r="M1335">
        <v>5</v>
      </c>
      <c r="N1335" t="s">
        <v>85</v>
      </c>
      <c r="O1335" t="s">
        <v>81</v>
      </c>
      <c r="P1335" t="s">
        <v>12</v>
      </c>
      <c r="Q1335" t="s">
        <v>13</v>
      </c>
      <c r="R1335" t="s">
        <v>13</v>
      </c>
      <c r="S1335" t="s">
        <v>144</v>
      </c>
      <c r="T1335" s="2">
        <f>MASTER[[#This Row],[CANTIDAD]]*MASTER[[#This Row],[PRECIO DE VENTA]]</f>
        <v>900</v>
      </c>
      <c r="U1335" s="2">
        <f>MASTER[[#This Row],[CANTIDAD]]*MASTER[[#This Row],[COSTO UNITARIO]]</f>
        <v>424</v>
      </c>
      <c r="V1335" s="2">
        <f>MASTER[[#This Row],[MONTO VENDIDO]]-MASTER[[#This Row],[COSTO DE VENTA]]</f>
        <v>476</v>
      </c>
    </row>
    <row r="1336" spans="1:22" x14ac:dyDescent="0.3">
      <c r="A1336">
        <v>26632</v>
      </c>
      <c r="B1336">
        <v>1</v>
      </c>
      <c r="C1336" t="s">
        <v>116</v>
      </c>
      <c r="D1336" t="s">
        <v>117</v>
      </c>
      <c r="E1336" s="1">
        <v>43988</v>
      </c>
      <c r="F1336">
        <v>1</v>
      </c>
      <c r="G1336" t="s">
        <v>47</v>
      </c>
      <c r="H1336" t="s">
        <v>48</v>
      </c>
      <c r="I1336" s="3">
        <v>1999</v>
      </c>
      <c r="J1336" s="3">
        <v>1999</v>
      </c>
      <c r="K1336" s="3">
        <v>388</v>
      </c>
      <c r="L1336" t="s">
        <v>113</v>
      </c>
      <c r="M1336">
        <v>1</v>
      </c>
      <c r="N1336" t="s">
        <v>77</v>
      </c>
      <c r="O1336" t="s">
        <v>70</v>
      </c>
      <c r="P1336" t="s">
        <v>71</v>
      </c>
      <c r="Q1336" t="s">
        <v>72</v>
      </c>
      <c r="R1336" t="s">
        <v>139</v>
      </c>
      <c r="S1336" t="s">
        <v>144</v>
      </c>
      <c r="T1336" s="2">
        <f>MASTER[[#This Row],[CANTIDAD]]*MASTER[[#This Row],[PRECIO DE VENTA]]</f>
        <v>1999</v>
      </c>
      <c r="U1336" s="2">
        <f>MASTER[[#This Row],[CANTIDAD]]*MASTER[[#This Row],[COSTO UNITARIO]]</f>
        <v>388</v>
      </c>
      <c r="V1336" s="2">
        <f>MASTER[[#This Row],[MONTO VENDIDO]]-MASTER[[#This Row],[COSTO DE VENTA]]</f>
        <v>1611</v>
      </c>
    </row>
    <row r="1337" spans="1:22" x14ac:dyDescent="0.3">
      <c r="A1337">
        <v>26635</v>
      </c>
      <c r="B1337">
        <v>1</v>
      </c>
      <c r="C1337" t="s">
        <v>92</v>
      </c>
      <c r="D1337" t="s">
        <v>93</v>
      </c>
      <c r="E1337" s="1">
        <v>43989</v>
      </c>
      <c r="F1337">
        <v>1</v>
      </c>
      <c r="G1337" t="s">
        <v>65</v>
      </c>
      <c r="H1337" t="s">
        <v>66</v>
      </c>
      <c r="I1337" s="3">
        <v>1681</v>
      </c>
      <c r="J1337" s="3">
        <v>1681</v>
      </c>
      <c r="K1337" s="3">
        <v>396</v>
      </c>
      <c r="L1337" t="s">
        <v>9</v>
      </c>
      <c r="M1337">
        <v>4</v>
      </c>
      <c r="N1337" t="s">
        <v>82</v>
      </c>
      <c r="O1337" t="s">
        <v>81</v>
      </c>
      <c r="P1337" t="s">
        <v>71</v>
      </c>
      <c r="Q1337" t="s">
        <v>72</v>
      </c>
      <c r="R1337" t="s">
        <v>139</v>
      </c>
      <c r="S1337" t="s">
        <v>144</v>
      </c>
      <c r="T1337" s="2">
        <f>MASTER[[#This Row],[CANTIDAD]]*MASTER[[#This Row],[PRECIO DE VENTA]]</f>
        <v>1681</v>
      </c>
      <c r="U1337" s="2">
        <f>MASTER[[#This Row],[CANTIDAD]]*MASTER[[#This Row],[COSTO UNITARIO]]</f>
        <v>396</v>
      </c>
      <c r="V1337" s="2">
        <f>MASTER[[#This Row],[MONTO VENDIDO]]-MASTER[[#This Row],[COSTO DE VENTA]]</f>
        <v>1285</v>
      </c>
    </row>
    <row r="1338" spans="1:22" x14ac:dyDescent="0.3">
      <c r="A1338">
        <v>26635</v>
      </c>
      <c r="B1338">
        <v>2</v>
      </c>
      <c r="C1338" t="s">
        <v>105</v>
      </c>
      <c r="D1338" t="s">
        <v>106</v>
      </c>
      <c r="E1338" s="1">
        <v>43989</v>
      </c>
      <c r="F1338">
        <v>3</v>
      </c>
      <c r="G1338" t="s">
        <v>65</v>
      </c>
      <c r="H1338" t="s">
        <v>66</v>
      </c>
      <c r="I1338" s="3">
        <v>1865</v>
      </c>
      <c r="J1338" s="3">
        <v>1865</v>
      </c>
      <c r="K1338" s="3">
        <v>459</v>
      </c>
      <c r="L1338" t="s">
        <v>98</v>
      </c>
      <c r="M1338">
        <v>4</v>
      </c>
      <c r="N1338" t="s">
        <v>82</v>
      </c>
      <c r="O1338" t="s">
        <v>81</v>
      </c>
      <c r="P1338" t="s">
        <v>71</v>
      </c>
      <c r="Q1338" t="s">
        <v>72</v>
      </c>
      <c r="R1338" t="s">
        <v>139</v>
      </c>
      <c r="S1338" t="s">
        <v>144</v>
      </c>
      <c r="T1338" s="2">
        <f>MASTER[[#This Row],[CANTIDAD]]*MASTER[[#This Row],[PRECIO DE VENTA]]</f>
        <v>5595</v>
      </c>
      <c r="U1338" s="2">
        <f>MASTER[[#This Row],[CANTIDAD]]*MASTER[[#This Row],[COSTO UNITARIO]]</f>
        <v>1377</v>
      </c>
      <c r="V1338" s="2">
        <f>MASTER[[#This Row],[MONTO VENDIDO]]-MASTER[[#This Row],[COSTO DE VENTA]]</f>
        <v>4218</v>
      </c>
    </row>
    <row r="1339" spans="1:22" x14ac:dyDescent="0.3">
      <c r="A1339">
        <v>26647</v>
      </c>
      <c r="B1339">
        <v>1</v>
      </c>
      <c r="C1339" t="s">
        <v>90</v>
      </c>
      <c r="D1339" t="s">
        <v>91</v>
      </c>
      <c r="E1339" s="1">
        <v>43989</v>
      </c>
      <c r="F1339">
        <v>1</v>
      </c>
      <c r="G1339" t="s">
        <v>35</v>
      </c>
      <c r="H1339" t="s">
        <v>36</v>
      </c>
      <c r="I1339" s="3">
        <v>2102</v>
      </c>
      <c r="J1339" s="3">
        <v>1975</v>
      </c>
      <c r="K1339" s="3">
        <v>420</v>
      </c>
      <c r="L1339" t="s">
        <v>9</v>
      </c>
      <c r="M1339">
        <v>18</v>
      </c>
      <c r="N1339" t="s">
        <v>79</v>
      </c>
      <c r="O1339" t="s">
        <v>70</v>
      </c>
      <c r="P1339" t="s">
        <v>15</v>
      </c>
      <c r="Q1339" t="s">
        <v>16</v>
      </c>
      <c r="R1339" t="s">
        <v>16</v>
      </c>
      <c r="S1339" t="s">
        <v>144</v>
      </c>
      <c r="T1339" s="2">
        <f>MASTER[[#This Row],[CANTIDAD]]*MASTER[[#This Row],[PRECIO DE VENTA]]</f>
        <v>1975</v>
      </c>
      <c r="U1339" s="2">
        <f>MASTER[[#This Row],[CANTIDAD]]*MASTER[[#This Row],[COSTO UNITARIO]]</f>
        <v>420</v>
      </c>
      <c r="V1339" s="2">
        <f>MASTER[[#This Row],[MONTO VENDIDO]]-MASTER[[#This Row],[COSTO DE VENTA]]</f>
        <v>1555</v>
      </c>
    </row>
    <row r="1340" spans="1:22" x14ac:dyDescent="0.3">
      <c r="A1340">
        <v>26672</v>
      </c>
      <c r="B1340">
        <v>1</v>
      </c>
      <c r="C1340" t="s">
        <v>118</v>
      </c>
      <c r="D1340" t="s">
        <v>119</v>
      </c>
      <c r="E1340" s="1">
        <v>43989</v>
      </c>
      <c r="F1340">
        <v>3</v>
      </c>
      <c r="G1340" t="s">
        <v>33</v>
      </c>
      <c r="H1340" t="s">
        <v>34</v>
      </c>
      <c r="I1340" s="3">
        <v>801</v>
      </c>
      <c r="J1340" s="3">
        <v>801</v>
      </c>
      <c r="K1340" s="3">
        <v>424</v>
      </c>
      <c r="L1340" t="s">
        <v>120</v>
      </c>
      <c r="M1340">
        <v>17</v>
      </c>
      <c r="N1340" t="s">
        <v>14</v>
      </c>
      <c r="O1340" t="s">
        <v>11</v>
      </c>
      <c r="P1340" t="s">
        <v>15</v>
      </c>
      <c r="Q1340" t="s">
        <v>16</v>
      </c>
      <c r="R1340" t="s">
        <v>16</v>
      </c>
      <c r="S1340" t="s">
        <v>144</v>
      </c>
      <c r="T1340" s="2">
        <f>MASTER[[#This Row],[CANTIDAD]]*MASTER[[#This Row],[PRECIO DE VENTA]]</f>
        <v>2403</v>
      </c>
      <c r="U1340" s="2">
        <f>MASTER[[#This Row],[CANTIDAD]]*MASTER[[#This Row],[COSTO UNITARIO]]</f>
        <v>1272</v>
      </c>
      <c r="V1340" s="2">
        <f>MASTER[[#This Row],[MONTO VENDIDO]]-MASTER[[#This Row],[COSTO DE VENTA]]</f>
        <v>1131</v>
      </c>
    </row>
    <row r="1341" spans="1:22" x14ac:dyDescent="0.3">
      <c r="A1341">
        <v>26696</v>
      </c>
      <c r="B1341">
        <v>1</v>
      </c>
      <c r="C1341" t="s">
        <v>5</v>
      </c>
      <c r="D1341" t="s">
        <v>6</v>
      </c>
      <c r="E1341" s="1">
        <v>43989</v>
      </c>
      <c r="F1341">
        <v>1</v>
      </c>
      <c r="G1341" t="s">
        <v>24</v>
      </c>
      <c r="H1341" t="s">
        <v>25</v>
      </c>
      <c r="I1341" s="3">
        <v>1296</v>
      </c>
      <c r="J1341" s="3">
        <v>1296</v>
      </c>
      <c r="K1341" s="3">
        <v>393</v>
      </c>
      <c r="L1341" t="s">
        <v>9</v>
      </c>
      <c r="M1341">
        <v>3</v>
      </c>
      <c r="N1341" t="s">
        <v>69</v>
      </c>
      <c r="O1341" t="s">
        <v>70</v>
      </c>
      <c r="P1341" t="s">
        <v>71</v>
      </c>
      <c r="Q1341" t="s">
        <v>72</v>
      </c>
      <c r="R1341" t="s">
        <v>139</v>
      </c>
      <c r="S1341" t="s">
        <v>144</v>
      </c>
      <c r="T1341" s="2">
        <f>MASTER[[#This Row],[CANTIDAD]]*MASTER[[#This Row],[PRECIO DE VENTA]]</f>
        <v>1296</v>
      </c>
      <c r="U1341" s="2">
        <f>MASTER[[#This Row],[CANTIDAD]]*MASTER[[#This Row],[COSTO UNITARIO]]</f>
        <v>393</v>
      </c>
      <c r="V1341" s="2">
        <f>MASTER[[#This Row],[MONTO VENDIDO]]-MASTER[[#This Row],[COSTO DE VENTA]]</f>
        <v>903</v>
      </c>
    </row>
    <row r="1342" spans="1:22" x14ac:dyDescent="0.3">
      <c r="A1342">
        <v>26711</v>
      </c>
      <c r="B1342">
        <v>1</v>
      </c>
      <c r="C1342" t="s">
        <v>111</v>
      </c>
      <c r="D1342" t="s">
        <v>112</v>
      </c>
      <c r="E1342" s="1">
        <v>43990</v>
      </c>
      <c r="F1342">
        <v>1</v>
      </c>
      <c r="G1342" t="s">
        <v>67</v>
      </c>
      <c r="H1342" t="s">
        <v>68</v>
      </c>
      <c r="I1342" s="3">
        <v>1524</v>
      </c>
      <c r="J1342" s="3">
        <v>1524</v>
      </c>
      <c r="K1342" s="3">
        <v>434</v>
      </c>
      <c r="L1342" t="s">
        <v>113</v>
      </c>
      <c r="M1342">
        <v>11</v>
      </c>
      <c r="N1342" t="s">
        <v>10</v>
      </c>
      <c r="O1342" t="s">
        <v>11</v>
      </c>
      <c r="P1342" t="s">
        <v>12</v>
      </c>
      <c r="Q1342" t="s">
        <v>13</v>
      </c>
      <c r="R1342" t="s">
        <v>13</v>
      </c>
      <c r="S1342" t="s">
        <v>144</v>
      </c>
      <c r="T1342" s="2">
        <f>MASTER[[#This Row],[CANTIDAD]]*MASTER[[#This Row],[PRECIO DE VENTA]]</f>
        <v>1524</v>
      </c>
      <c r="U1342" s="2">
        <f>MASTER[[#This Row],[CANTIDAD]]*MASTER[[#This Row],[COSTO UNITARIO]]</f>
        <v>434</v>
      </c>
      <c r="V1342" s="2">
        <f>MASTER[[#This Row],[MONTO VENDIDO]]-MASTER[[#This Row],[COSTO DE VENTA]]</f>
        <v>1090</v>
      </c>
    </row>
    <row r="1343" spans="1:22" x14ac:dyDescent="0.3">
      <c r="A1343">
        <v>26727</v>
      </c>
      <c r="B1343">
        <v>1</v>
      </c>
      <c r="C1343" t="s">
        <v>116</v>
      </c>
      <c r="D1343" t="s">
        <v>117</v>
      </c>
      <c r="E1343" s="1">
        <v>43990</v>
      </c>
      <c r="F1343">
        <v>1</v>
      </c>
      <c r="G1343" t="s">
        <v>22</v>
      </c>
      <c r="H1343" t="s">
        <v>23</v>
      </c>
      <c r="I1343" s="3">
        <v>1529</v>
      </c>
      <c r="J1343" s="3">
        <v>1529</v>
      </c>
      <c r="K1343" s="3">
        <v>388</v>
      </c>
      <c r="L1343" t="s">
        <v>113</v>
      </c>
      <c r="M1343">
        <v>17</v>
      </c>
      <c r="N1343" t="s">
        <v>14</v>
      </c>
      <c r="O1343" t="s">
        <v>11</v>
      </c>
      <c r="P1343" t="s">
        <v>15</v>
      </c>
      <c r="Q1343" t="s">
        <v>16</v>
      </c>
      <c r="R1343" t="s">
        <v>16</v>
      </c>
      <c r="S1343" t="s">
        <v>144</v>
      </c>
      <c r="T1343" s="2">
        <f>MASTER[[#This Row],[CANTIDAD]]*MASTER[[#This Row],[PRECIO DE VENTA]]</f>
        <v>1529</v>
      </c>
      <c r="U1343" s="2">
        <f>MASTER[[#This Row],[CANTIDAD]]*MASTER[[#This Row],[COSTO UNITARIO]]</f>
        <v>388</v>
      </c>
      <c r="V1343" s="2">
        <f>MASTER[[#This Row],[MONTO VENDIDO]]-MASTER[[#This Row],[COSTO DE VENTA]]</f>
        <v>1141</v>
      </c>
    </row>
    <row r="1344" spans="1:22" x14ac:dyDescent="0.3">
      <c r="A1344">
        <v>26733</v>
      </c>
      <c r="B1344">
        <v>1</v>
      </c>
      <c r="C1344" t="s">
        <v>118</v>
      </c>
      <c r="D1344" t="s">
        <v>119</v>
      </c>
      <c r="E1344" s="1">
        <v>43990</v>
      </c>
      <c r="F1344">
        <v>1</v>
      </c>
      <c r="G1344" t="s">
        <v>67</v>
      </c>
      <c r="H1344" t="s">
        <v>68</v>
      </c>
      <c r="I1344" s="3">
        <v>801</v>
      </c>
      <c r="J1344" s="3">
        <v>801</v>
      </c>
      <c r="K1344" s="3">
        <v>424</v>
      </c>
      <c r="L1344" t="s">
        <v>120</v>
      </c>
      <c r="M1344">
        <v>16</v>
      </c>
      <c r="N1344" t="s">
        <v>17</v>
      </c>
      <c r="O1344" t="s">
        <v>11</v>
      </c>
      <c r="P1344" t="s">
        <v>18</v>
      </c>
      <c r="Q1344" t="s">
        <v>19</v>
      </c>
      <c r="R1344" t="s">
        <v>138</v>
      </c>
      <c r="S1344" t="s">
        <v>144</v>
      </c>
      <c r="T1344" s="2">
        <f>MASTER[[#This Row],[CANTIDAD]]*MASTER[[#This Row],[PRECIO DE VENTA]]</f>
        <v>801</v>
      </c>
      <c r="U1344" s="2">
        <f>MASTER[[#This Row],[CANTIDAD]]*MASTER[[#This Row],[COSTO UNITARIO]]</f>
        <v>424</v>
      </c>
      <c r="V1344" s="2">
        <f>MASTER[[#This Row],[MONTO VENDIDO]]-MASTER[[#This Row],[COSTO DE VENTA]]</f>
        <v>377</v>
      </c>
    </row>
    <row r="1345" spans="1:22" x14ac:dyDescent="0.3">
      <c r="A1345">
        <v>26814</v>
      </c>
      <c r="B1345">
        <v>1</v>
      </c>
      <c r="C1345" t="s">
        <v>116</v>
      </c>
      <c r="D1345" t="s">
        <v>117</v>
      </c>
      <c r="E1345" s="1">
        <v>43990</v>
      </c>
      <c r="F1345">
        <v>1</v>
      </c>
      <c r="G1345" t="s">
        <v>27</v>
      </c>
      <c r="H1345" t="s">
        <v>28</v>
      </c>
      <c r="I1345" s="3">
        <v>1738</v>
      </c>
      <c r="J1345" s="3">
        <v>1598</v>
      </c>
      <c r="K1345" s="3">
        <v>388</v>
      </c>
      <c r="L1345" t="s">
        <v>113</v>
      </c>
      <c r="M1345">
        <v>8</v>
      </c>
      <c r="N1345" t="s">
        <v>80</v>
      </c>
      <c r="O1345" t="s">
        <v>81</v>
      </c>
      <c r="P1345" t="s">
        <v>12</v>
      </c>
      <c r="Q1345" t="s">
        <v>13</v>
      </c>
      <c r="R1345" t="s">
        <v>13</v>
      </c>
      <c r="S1345" t="s">
        <v>144</v>
      </c>
      <c r="T1345" s="2">
        <f>MASTER[[#This Row],[CANTIDAD]]*MASTER[[#This Row],[PRECIO DE VENTA]]</f>
        <v>1598</v>
      </c>
      <c r="U1345" s="2">
        <f>MASTER[[#This Row],[CANTIDAD]]*MASTER[[#This Row],[COSTO UNITARIO]]</f>
        <v>388</v>
      </c>
      <c r="V1345" s="2">
        <f>MASTER[[#This Row],[MONTO VENDIDO]]-MASTER[[#This Row],[COSTO DE VENTA]]</f>
        <v>1210</v>
      </c>
    </row>
    <row r="1346" spans="1:22" x14ac:dyDescent="0.3">
      <c r="A1346">
        <v>26824</v>
      </c>
      <c r="B1346">
        <v>1</v>
      </c>
      <c r="C1346" t="s">
        <v>99</v>
      </c>
      <c r="D1346" t="s">
        <v>100</v>
      </c>
      <c r="E1346" s="1">
        <v>43990</v>
      </c>
      <c r="F1346">
        <v>1</v>
      </c>
      <c r="G1346" t="s">
        <v>65</v>
      </c>
      <c r="H1346" t="s">
        <v>66</v>
      </c>
      <c r="I1346" s="3">
        <v>1459</v>
      </c>
      <c r="J1346" s="3">
        <v>1459</v>
      </c>
      <c r="K1346" s="3">
        <v>386</v>
      </c>
      <c r="L1346" t="s">
        <v>98</v>
      </c>
      <c r="M1346">
        <v>19</v>
      </c>
      <c r="N1346" t="s">
        <v>89</v>
      </c>
      <c r="O1346" t="s">
        <v>81</v>
      </c>
      <c r="P1346" t="s">
        <v>15</v>
      </c>
      <c r="Q1346" t="s">
        <v>16</v>
      </c>
      <c r="R1346" t="s">
        <v>16</v>
      </c>
      <c r="S1346" t="s">
        <v>144</v>
      </c>
      <c r="T1346" s="2">
        <f>MASTER[[#This Row],[CANTIDAD]]*MASTER[[#This Row],[PRECIO DE VENTA]]</f>
        <v>1459</v>
      </c>
      <c r="U1346" s="2">
        <f>MASTER[[#This Row],[CANTIDAD]]*MASTER[[#This Row],[COSTO UNITARIO]]</f>
        <v>386</v>
      </c>
      <c r="V1346" s="2">
        <f>MASTER[[#This Row],[MONTO VENDIDO]]-MASTER[[#This Row],[COSTO DE VENTA]]</f>
        <v>1073</v>
      </c>
    </row>
    <row r="1347" spans="1:22" x14ac:dyDescent="0.3">
      <c r="A1347">
        <v>26831</v>
      </c>
      <c r="B1347">
        <v>1</v>
      </c>
      <c r="C1347" t="s">
        <v>96</v>
      </c>
      <c r="D1347" t="s">
        <v>97</v>
      </c>
      <c r="E1347" s="1">
        <v>43990</v>
      </c>
      <c r="F1347">
        <v>1</v>
      </c>
      <c r="G1347" t="s">
        <v>45</v>
      </c>
      <c r="H1347" t="s">
        <v>46</v>
      </c>
      <c r="I1347" s="3">
        <v>1272</v>
      </c>
      <c r="J1347" s="3">
        <v>1272</v>
      </c>
      <c r="K1347" s="3">
        <v>397</v>
      </c>
      <c r="L1347" t="s">
        <v>98</v>
      </c>
      <c r="M1347">
        <v>7</v>
      </c>
      <c r="N1347" t="s">
        <v>84</v>
      </c>
      <c r="O1347" t="s">
        <v>81</v>
      </c>
      <c r="P1347" t="s">
        <v>12</v>
      </c>
      <c r="Q1347" t="s">
        <v>13</v>
      </c>
      <c r="R1347" t="s">
        <v>13</v>
      </c>
      <c r="S1347" t="s">
        <v>144</v>
      </c>
      <c r="T1347" s="2">
        <f>MASTER[[#This Row],[CANTIDAD]]*MASTER[[#This Row],[PRECIO DE VENTA]]</f>
        <v>1272</v>
      </c>
      <c r="U1347" s="2">
        <f>MASTER[[#This Row],[CANTIDAD]]*MASTER[[#This Row],[COSTO UNITARIO]]</f>
        <v>397</v>
      </c>
      <c r="V1347" s="2">
        <f>MASTER[[#This Row],[MONTO VENDIDO]]-MASTER[[#This Row],[COSTO DE VENTA]]</f>
        <v>875</v>
      </c>
    </row>
    <row r="1348" spans="1:22" x14ac:dyDescent="0.3">
      <c r="A1348">
        <v>26835</v>
      </c>
      <c r="B1348">
        <v>1</v>
      </c>
      <c r="C1348" t="s">
        <v>99</v>
      </c>
      <c r="D1348" t="s">
        <v>100</v>
      </c>
      <c r="E1348" s="1">
        <v>43990</v>
      </c>
      <c r="F1348">
        <v>1</v>
      </c>
      <c r="G1348" t="s">
        <v>47</v>
      </c>
      <c r="H1348" t="s">
        <v>48</v>
      </c>
      <c r="I1348" s="3">
        <v>1678</v>
      </c>
      <c r="J1348" s="3">
        <v>1678</v>
      </c>
      <c r="K1348" s="3">
        <v>386</v>
      </c>
      <c r="L1348" t="s">
        <v>98</v>
      </c>
      <c r="M1348">
        <v>6</v>
      </c>
      <c r="N1348" t="s">
        <v>75</v>
      </c>
      <c r="O1348" t="s">
        <v>70</v>
      </c>
      <c r="P1348" t="s">
        <v>12</v>
      </c>
      <c r="Q1348" t="s">
        <v>13</v>
      </c>
      <c r="R1348" t="s">
        <v>13</v>
      </c>
      <c r="S1348" t="s">
        <v>144</v>
      </c>
      <c r="T1348" s="2">
        <f>MASTER[[#This Row],[CANTIDAD]]*MASTER[[#This Row],[PRECIO DE VENTA]]</f>
        <v>1678</v>
      </c>
      <c r="U1348" s="2">
        <f>MASTER[[#This Row],[CANTIDAD]]*MASTER[[#This Row],[COSTO UNITARIO]]</f>
        <v>386</v>
      </c>
      <c r="V1348" s="2">
        <f>MASTER[[#This Row],[MONTO VENDIDO]]-MASTER[[#This Row],[COSTO DE VENTA]]</f>
        <v>1292</v>
      </c>
    </row>
    <row r="1349" spans="1:22" x14ac:dyDescent="0.3">
      <c r="A1349">
        <v>26841</v>
      </c>
      <c r="B1349">
        <v>1</v>
      </c>
      <c r="C1349" t="s">
        <v>103</v>
      </c>
      <c r="D1349" t="s">
        <v>104</v>
      </c>
      <c r="E1349" s="1">
        <v>43991</v>
      </c>
      <c r="F1349">
        <v>1</v>
      </c>
      <c r="G1349" t="s">
        <v>51</v>
      </c>
      <c r="H1349" t="s">
        <v>52</v>
      </c>
      <c r="I1349" s="3">
        <v>1830</v>
      </c>
      <c r="J1349" s="3">
        <v>1830</v>
      </c>
      <c r="K1349" s="3">
        <v>421</v>
      </c>
      <c r="L1349" t="s">
        <v>98</v>
      </c>
      <c r="M1349">
        <v>18</v>
      </c>
      <c r="N1349" t="s">
        <v>79</v>
      </c>
      <c r="O1349" t="s">
        <v>70</v>
      </c>
      <c r="P1349" t="s">
        <v>15</v>
      </c>
      <c r="Q1349" t="s">
        <v>16</v>
      </c>
      <c r="R1349" t="s">
        <v>16</v>
      </c>
      <c r="S1349" t="s">
        <v>144</v>
      </c>
      <c r="T1349" s="2">
        <f>MASTER[[#This Row],[CANTIDAD]]*MASTER[[#This Row],[PRECIO DE VENTA]]</f>
        <v>1830</v>
      </c>
      <c r="U1349" s="2">
        <f>MASTER[[#This Row],[CANTIDAD]]*MASTER[[#This Row],[COSTO UNITARIO]]</f>
        <v>421</v>
      </c>
      <c r="V1349" s="2">
        <f>MASTER[[#This Row],[MONTO VENDIDO]]-MASTER[[#This Row],[COSTO DE VENTA]]</f>
        <v>1409</v>
      </c>
    </row>
    <row r="1350" spans="1:22" x14ac:dyDescent="0.3">
      <c r="A1350">
        <v>26842</v>
      </c>
      <c r="B1350">
        <v>1</v>
      </c>
      <c r="C1350" t="s">
        <v>5</v>
      </c>
      <c r="D1350" t="s">
        <v>6</v>
      </c>
      <c r="E1350" s="1">
        <v>43991</v>
      </c>
      <c r="F1350">
        <v>1</v>
      </c>
      <c r="G1350" t="s">
        <v>7</v>
      </c>
      <c r="H1350" t="s">
        <v>8</v>
      </c>
      <c r="I1350" s="3">
        <v>1296</v>
      </c>
      <c r="J1350" s="3">
        <v>1296</v>
      </c>
      <c r="K1350" s="3">
        <v>393</v>
      </c>
      <c r="L1350" t="s">
        <v>9</v>
      </c>
      <c r="M1350">
        <v>18</v>
      </c>
      <c r="N1350" t="s">
        <v>79</v>
      </c>
      <c r="O1350" t="s">
        <v>70</v>
      </c>
      <c r="P1350" t="s">
        <v>15</v>
      </c>
      <c r="Q1350" t="s">
        <v>16</v>
      </c>
      <c r="R1350" t="s">
        <v>16</v>
      </c>
      <c r="S1350" t="s">
        <v>144</v>
      </c>
      <c r="T1350" s="2">
        <f>MASTER[[#This Row],[CANTIDAD]]*MASTER[[#This Row],[PRECIO DE VENTA]]</f>
        <v>1296</v>
      </c>
      <c r="U1350" s="2">
        <f>MASTER[[#This Row],[CANTIDAD]]*MASTER[[#This Row],[COSTO UNITARIO]]</f>
        <v>393</v>
      </c>
      <c r="V1350" s="2">
        <f>MASTER[[#This Row],[MONTO VENDIDO]]-MASTER[[#This Row],[COSTO DE VENTA]]</f>
        <v>903</v>
      </c>
    </row>
    <row r="1351" spans="1:22" x14ac:dyDescent="0.3">
      <c r="A1351">
        <v>26850</v>
      </c>
      <c r="B1351">
        <v>1</v>
      </c>
      <c r="C1351" t="s">
        <v>121</v>
      </c>
      <c r="D1351" t="s">
        <v>122</v>
      </c>
      <c r="E1351" s="1">
        <v>43991</v>
      </c>
      <c r="F1351">
        <v>1</v>
      </c>
      <c r="G1351" t="s">
        <v>53</v>
      </c>
      <c r="H1351" t="s">
        <v>54</v>
      </c>
      <c r="I1351" s="3">
        <v>941</v>
      </c>
      <c r="J1351" s="3">
        <v>941</v>
      </c>
      <c r="K1351" s="3">
        <v>460</v>
      </c>
      <c r="L1351" t="s">
        <v>120</v>
      </c>
      <c r="M1351">
        <v>17</v>
      </c>
      <c r="N1351" t="s">
        <v>14</v>
      </c>
      <c r="O1351" t="s">
        <v>11</v>
      </c>
      <c r="P1351" t="s">
        <v>15</v>
      </c>
      <c r="Q1351" t="s">
        <v>16</v>
      </c>
      <c r="R1351" t="s">
        <v>16</v>
      </c>
      <c r="S1351" t="s">
        <v>144</v>
      </c>
      <c r="T1351" s="2">
        <f>MASTER[[#This Row],[CANTIDAD]]*MASTER[[#This Row],[PRECIO DE VENTA]]</f>
        <v>941</v>
      </c>
      <c r="U1351" s="2">
        <f>MASTER[[#This Row],[CANTIDAD]]*MASTER[[#This Row],[COSTO UNITARIO]]</f>
        <v>460</v>
      </c>
      <c r="V1351" s="2">
        <f>MASTER[[#This Row],[MONTO VENDIDO]]-MASTER[[#This Row],[COSTO DE VENTA]]</f>
        <v>481</v>
      </c>
    </row>
    <row r="1352" spans="1:22" x14ac:dyDescent="0.3">
      <c r="A1352">
        <v>26872</v>
      </c>
      <c r="B1352">
        <v>1</v>
      </c>
      <c r="C1352" t="s">
        <v>90</v>
      </c>
      <c r="D1352" t="s">
        <v>91</v>
      </c>
      <c r="E1352" s="1">
        <v>43991</v>
      </c>
      <c r="F1352">
        <v>3</v>
      </c>
      <c r="G1352" t="s">
        <v>35</v>
      </c>
      <c r="H1352" t="s">
        <v>36</v>
      </c>
      <c r="I1352" s="3">
        <v>2102</v>
      </c>
      <c r="J1352" s="3">
        <v>2102</v>
      </c>
      <c r="K1352" s="3">
        <v>420</v>
      </c>
      <c r="L1352" t="s">
        <v>9</v>
      </c>
      <c r="M1352">
        <v>18</v>
      </c>
      <c r="N1352" t="s">
        <v>79</v>
      </c>
      <c r="O1352" t="s">
        <v>70</v>
      </c>
      <c r="P1352" t="s">
        <v>15</v>
      </c>
      <c r="Q1352" t="s">
        <v>16</v>
      </c>
      <c r="R1352" t="s">
        <v>16</v>
      </c>
      <c r="S1352" t="s">
        <v>144</v>
      </c>
      <c r="T1352" s="2">
        <f>MASTER[[#This Row],[CANTIDAD]]*MASTER[[#This Row],[PRECIO DE VENTA]]</f>
        <v>6306</v>
      </c>
      <c r="U1352" s="2">
        <f>MASTER[[#This Row],[CANTIDAD]]*MASTER[[#This Row],[COSTO UNITARIO]]</f>
        <v>1260</v>
      </c>
      <c r="V1352" s="2">
        <f>MASTER[[#This Row],[MONTO VENDIDO]]-MASTER[[#This Row],[COSTO DE VENTA]]</f>
        <v>5046</v>
      </c>
    </row>
    <row r="1353" spans="1:22" x14ac:dyDescent="0.3">
      <c r="A1353">
        <v>26910</v>
      </c>
      <c r="B1353">
        <v>1</v>
      </c>
      <c r="C1353" t="s">
        <v>114</v>
      </c>
      <c r="D1353" t="s">
        <v>115</v>
      </c>
      <c r="E1353" s="1">
        <v>43991</v>
      </c>
      <c r="F1353">
        <v>1</v>
      </c>
      <c r="G1353" t="s">
        <v>59</v>
      </c>
      <c r="H1353" t="s">
        <v>60</v>
      </c>
      <c r="I1353" s="3">
        <v>1862</v>
      </c>
      <c r="J1353" s="3">
        <v>1862</v>
      </c>
      <c r="K1353" s="3">
        <v>394</v>
      </c>
      <c r="L1353" t="s">
        <v>113</v>
      </c>
      <c r="M1353">
        <v>14</v>
      </c>
      <c r="N1353" t="s">
        <v>87</v>
      </c>
      <c r="O1353" t="s">
        <v>81</v>
      </c>
      <c r="P1353" t="s">
        <v>18</v>
      </c>
      <c r="Q1353" t="s">
        <v>19</v>
      </c>
      <c r="R1353" t="s">
        <v>138</v>
      </c>
      <c r="S1353" t="s">
        <v>144</v>
      </c>
      <c r="T1353" s="2">
        <f>MASTER[[#This Row],[CANTIDAD]]*MASTER[[#This Row],[PRECIO DE VENTA]]</f>
        <v>1862</v>
      </c>
      <c r="U1353" s="2">
        <f>MASTER[[#This Row],[CANTIDAD]]*MASTER[[#This Row],[COSTO UNITARIO]]</f>
        <v>394</v>
      </c>
      <c r="V1353" s="2">
        <f>MASTER[[#This Row],[MONTO VENDIDO]]-MASTER[[#This Row],[COSTO DE VENTA]]</f>
        <v>1468</v>
      </c>
    </row>
    <row r="1354" spans="1:22" x14ac:dyDescent="0.3">
      <c r="A1354">
        <v>26913</v>
      </c>
      <c r="B1354">
        <v>1</v>
      </c>
      <c r="C1354" t="s">
        <v>116</v>
      </c>
      <c r="D1354" t="s">
        <v>117</v>
      </c>
      <c r="E1354" s="1">
        <v>43991</v>
      </c>
      <c r="F1354">
        <v>1</v>
      </c>
      <c r="G1354" t="s">
        <v>47</v>
      </c>
      <c r="H1354" t="s">
        <v>48</v>
      </c>
      <c r="I1354" s="3">
        <v>1529</v>
      </c>
      <c r="J1354" s="3">
        <v>1529</v>
      </c>
      <c r="K1354" s="3">
        <v>388</v>
      </c>
      <c r="L1354" t="s">
        <v>113</v>
      </c>
      <c r="M1354">
        <v>17</v>
      </c>
      <c r="N1354" t="s">
        <v>14</v>
      </c>
      <c r="O1354" t="s">
        <v>11</v>
      </c>
      <c r="P1354" t="s">
        <v>15</v>
      </c>
      <c r="Q1354" t="s">
        <v>16</v>
      </c>
      <c r="R1354" t="s">
        <v>16</v>
      </c>
      <c r="S1354" t="s">
        <v>144</v>
      </c>
      <c r="T1354" s="2">
        <f>MASTER[[#This Row],[CANTIDAD]]*MASTER[[#This Row],[PRECIO DE VENTA]]</f>
        <v>1529</v>
      </c>
      <c r="U1354" s="2">
        <f>MASTER[[#This Row],[CANTIDAD]]*MASTER[[#This Row],[COSTO UNITARIO]]</f>
        <v>388</v>
      </c>
      <c r="V1354" s="2">
        <f>MASTER[[#This Row],[MONTO VENDIDO]]-MASTER[[#This Row],[COSTO DE VENTA]]</f>
        <v>1141</v>
      </c>
    </row>
    <row r="1355" spans="1:22" x14ac:dyDescent="0.3">
      <c r="A1355">
        <v>26945</v>
      </c>
      <c r="B1355">
        <v>1</v>
      </c>
      <c r="C1355" t="s">
        <v>118</v>
      </c>
      <c r="D1355" t="s">
        <v>119</v>
      </c>
      <c r="E1355" s="1">
        <v>43991</v>
      </c>
      <c r="F1355">
        <v>4</v>
      </c>
      <c r="G1355" t="s">
        <v>39</v>
      </c>
      <c r="H1355" t="s">
        <v>40</v>
      </c>
      <c r="I1355" s="3">
        <v>1026</v>
      </c>
      <c r="J1355" s="3">
        <v>1026</v>
      </c>
      <c r="K1355" s="3">
        <v>424</v>
      </c>
      <c r="L1355" t="s">
        <v>120</v>
      </c>
      <c r="M1355">
        <v>13</v>
      </c>
      <c r="N1355" t="s">
        <v>78</v>
      </c>
      <c r="O1355" t="s">
        <v>70</v>
      </c>
      <c r="P1355" t="s">
        <v>18</v>
      </c>
      <c r="Q1355" t="s">
        <v>19</v>
      </c>
      <c r="R1355" t="s">
        <v>138</v>
      </c>
      <c r="S1355" t="s">
        <v>144</v>
      </c>
      <c r="T1355" s="2">
        <f>MASTER[[#This Row],[CANTIDAD]]*MASTER[[#This Row],[PRECIO DE VENTA]]</f>
        <v>4104</v>
      </c>
      <c r="U1355" s="2">
        <f>MASTER[[#This Row],[CANTIDAD]]*MASTER[[#This Row],[COSTO UNITARIO]]</f>
        <v>1696</v>
      </c>
      <c r="V1355" s="2">
        <f>MASTER[[#This Row],[MONTO VENDIDO]]-MASTER[[#This Row],[COSTO DE VENTA]]</f>
        <v>2408</v>
      </c>
    </row>
    <row r="1356" spans="1:22" x14ac:dyDescent="0.3">
      <c r="A1356">
        <v>26955</v>
      </c>
      <c r="B1356">
        <v>1</v>
      </c>
      <c r="C1356" t="s">
        <v>109</v>
      </c>
      <c r="D1356" t="s">
        <v>110</v>
      </c>
      <c r="E1356" s="1">
        <v>43991</v>
      </c>
      <c r="F1356">
        <v>1</v>
      </c>
      <c r="G1356" t="s">
        <v>33</v>
      </c>
      <c r="H1356" t="s">
        <v>34</v>
      </c>
      <c r="I1356" s="3">
        <v>1128</v>
      </c>
      <c r="J1356" s="3">
        <v>1128</v>
      </c>
      <c r="K1356" s="3">
        <v>387</v>
      </c>
      <c r="L1356" t="s">
        <v>98</v>
      </c>
      <c r="M1356">
        <v>18</v>
      </c>
      <c r="N1356" t="s">
        <v>79</v>
      </c>
      <c r="O1356" t="s">
        <v>70</v>
      </c>
      <c r="P1356" t="s">
        <v>15</v>
      </c>
      <c r="Q1356" t="s">
        <v>16</v>
      </c>
      <c r="R1356" t="s">
        <v>16</v>
      </c>
      <c r="S1356" t="s">
        <v>144</v>
      </c>
      <c r="T1356" s="2">
        <f>MASTER[[#This Row],[CANTIDAD]]*MASTER[[#This Row],[PRECIO DE VENTA]]</f>
        <v>1128</v>
      </c>
      <c r="U1356" s="2">
        <f>MASTER[[#This Row],[CANTIDAD]]*MASTER[[#This Row],[COSTO UNITARIO]]</f>
        <v>387</v>
      </c>
      <c r="V1356" s="2">
        <f>MASTER[[#This Row],[MONTO VENDIDO]]-MASTER[[#This Row],[COSTO DE VENTA]]</f>
        <v>741</v>
      </c>
    </row>
    <row r="1357" spans="1:22" x14ac:dyDescent="0.3">
      <c r="A1357">
        <v>26960</v>
      </c>
      <c r="B1357">
        <v>1</v>
      </c>
      <c r="C1357" t="s">
        <v>96</v>
      </c>
      <c r="D1357" t="s">
        <v>97</v>
      </c>
      <c r="E1357" s="1">
        <v>43991</v>
      </c>
      <c r="F1357">
        <v>1</v>
      </c>
      <c r="G1357" t="s">
        <v>27</v>
      </c>
      <c r="H1357" t="s">
        <v>28</v>
      </c>
      <c r="I1357" s="3">
        <v>1272</v>
      </c>
      <c r="J1357" s="3">
        <v>1272</v>
      </c>
      <c r="K1357" s="3">
        <v>397</v>
      </c>
      <c r="L1357" t="s">
        <v>98</v>
      </c>
      <c r="M1357">
        <v>15</v>
      </c>
      <c r="N1357" t="s">
        <v>88</v>
      </c>
      <c r="O1357" t="s">
        <v>81</v>
      </c>
      <c r="P1357" t="s">
        <v>18</v>
      </c>
      <c r="Q1357" t="s">
        <v>19</v>
      </c>
      <c r="R1357" t="s">
        <v>138</v>
      </c>
      <c r="S1357" t="s">
        <v>144</v>
      </c>
      <c r="T1357" s="2">
        <f>MASTER[[#This Row],[CANTIDAD]]*MASTER[[#This Row],[PRECIO DE VENTA]]</f>
        <v>1272</v>
      </c>
      <c r="U1357" s="2">
        <f>MASTER[[#This Row],[CANTIDAD]]*MASTER[[#This Row],[COSTO UNITARIO]]</f>
        <v>397</v>
      </c>
      <c r="V1357" s="2">
        <f>MASTER[[#This Row],[MONTO VENDIDO]]-MASTER[[#This Row],[COSTO DE VENTA]]</f>
        <v>875</v>
      </c>
    </row>
    <row r="1358" spans="1:22" x14ac:dyDescent="0.3">
      <c r="A1358">
        <v>26975</v>
      </c>
      <c r="B1358">
        <v>1</v>
      </c>
      <c r="C1358" t="s">
        <v>90</v>
      </c>
      <c r="D1358" t="s">
        <v>91</v>
      </c>
      <c r="E1358" s="1">
        <v>43991</v>
      </c>
      <c r="F1358">
        <v>1</v>
      </c>
      <c r="G1358" t="s">
        <v>35</v>
      </c>
      <c r="H1358" t="s">
        <v>36</v>
      </c>
      <c r="I1358" s="3">
        <v>1660</v>
      </c>
      <c r="J1358" s="3">
        <v>1660</v>
      </c>
      <c r="K1358" s="3">
        <v>420</v>
      </c>
      <c r="L1358" t="s">
        <v>9</v>
      </c>
      <c r="M1358">
        <v>11</v>
      </c>
      <c r="N1358" t="s">
        <v>10</v>
      </c>
      <c r="O1358" t="s">
        <v>11</v>
      </c>
      <c r="P1358" t="s">
        <v>12</v>
      </c>
      <c r="Q1358" t="s">
        <v>13</v>
      </c>
      <c r="R1358" t="s">
        <v>13</v>
      </c>
      <c r="S1358" t="s">
        <v>144</v>
      </c>
      <c r="T1358" s="2">
        <f>MASTER[[#This Row],[CANTIDAD]]*MASTER[[#This Row],[PRECIO DE VENTA]]</f>
        <v>1660</v>
      </c>
      <c r="U1358" s="2">
        <f>MASTER[[#This Row],[CANTIDAD]]*MASTER[[#This Row],[COSTO UNITARIO]]</f>
        <v>420</v>
      </c>
      <c r="V1358" s="2">
        <f>MASTER[[#This Row],[MONTO VENDIDO]]-MASTER[[#This Row],[COSTO DE VENTA]]</f>
        <v>1240</v>
      </c>
    </row>
    <row r="1359" spans="1:22" x14ac:dyDescent="0.3">
      <c r="A1359">
        <v>26987</v>
      </c>
      <c r="B1359">
        <v>1</v>
      </c>
      <c r="C1359" t="s">
        <v>99</v>
      </c>
      <c r="D1359" t="s">
        <v>100</v>
      </c>
      <c r="E1359" s="1">
        <v>43991</v>
      </c>
      <c r="F1359">
        <v>2</v>
      </c>
      <c r="G1359" t="s">
        <v>67</v>
      </c>
      <c r="H1359" t="s">
        <v>68</v>
      </c>
      <c r="I1359" s="3">
        <v>1459</v>
      </c>
      <c r="J1359" s="3">
        <v>1459</v>
      </c>
      <c r="K1359" s="3">
        <v>386</v>
      </c>
      <c r="L1359" t="s">
        <v>98</v>
      </c>
      <c r="M1359">
        <v>2</v>
      </c>
      <c r="N1359" t="s">
        <v>86</v>
      </c>
      <c r="O1359" t="s">
        <v>81</v>
      </c>
      <c r="P1359" t="s">
        <v>71</v>
      </c>
      <c r="Q1359" t="s">
        <v>72</v>
      </c>
      <c r="R1359" t="s">
        <v>139</v>
      </c>
      <c r="S1359" t="s">
        <v>144</v>
      </c>
      <c r="T1359" s="2">
        <f>MASTER[[#This Row],[CANTIDAD]]*MASTER[[#This Row],[PRECIO DE VENTA]]</f>
        <v>2918</v>
      </c>
      <c r="U1359" s="2">
        <f>MASTER[[#This Row],[CANTIDAD]]*MASTER[[#This Row],[COSTO UNITARIO]]</f>
        <v>772</v>
      </c>
      <c r="V1359" s="2">
        <f>MASTER[[#This Row],[MONTO VENDIDO]]-MASTER[[#This Row],[COSTO DE VENTA]]</f>
        <v>2146</v>
      </c>
    </row>
    <row r="1360" spans="1:22" x14ac:dyDescent="0.3">
      <c r="A1360">
        <v>27008</v>
      </c>
      <c r="B1360">
        <v>1</v>
      </c>
      <c r="C1360" t="s">
        <v>114</v>
      </c>
      <c r="D1360" t="s">
        <v>115</v>
      </c>
      <c r="E1360" s="1">
        <v>43991</v>
      </c>
      <c r="F1360">
        <v>1</v>
      </c>
      <c r="G1360" t="s">
        <v>53</v>
      </c>
      <c r="H1360" t="s">
        <v>54</v>
      </c>
      <c r="I1360" s="3">
        <v>1862</v>
      </c>
      <c r="J1360" s="3">
        <v>1862</v>
      </c>
      <c r="K1360" s="3">
        <v>394</v>
      </c>
      <c r="L1360" t="s">
        <v>113</v>
      </c>
      <c r="M1360">
        <v>19</v>
      </c>
      <c r="N1360" t="s">
        <v>89</v>
      </c>
      <c r="O1360" t="s">
        <v>81</v>
      </c>
      <c r="P1360" t="s">
        <v>15</v>
      </c>
      <c r="Q1360" t="s">
        <v>16</v>
      </c>
      <c r="R1360" t="s">
        <v>16</v>
      </c>
      <c r="S1360" t="s">
        <v>144</v>
      </c>
      <c r="T1360" s="2">
        <f>MASTER[[#This Row],[CANTIDAD]]*MASTER[[#This Row],[PRECIO DE VENTA]]</f>
        <v>1862</v>
      </c>
      <c r="U1360" s="2">
        <f>MASTER[[#This Row],[CANTIDAD]]*MASTER[[#This Row],[COSTO UNITARIO]]</f>
        <v>394</v>
      </c>
      <c r="V1360" s="2">
        <f>MASTER[[#This Row],[MONTO VENDIDO]]-MASTER[[#This Row],[COSTO DE VENTA]]</f>
        <v>1468</v>
      </c>
    </row>
    <row r="1361" spans="1:22" x14ac:dyDescent="0.3">
      <c r="A1361">
        <v>27014</v>
      </c>
      <c r="B1361">
        <v>1</v>
      </c>
      <c r="C1361" t="s">
        <v>107</v>
      </c>
      <c r="D1361" t="s">
        <v>108</v>
      </c>
      <c r="E1361" s="1">
        <v>43992</v>
      </c>
      <c r="F1361">
        <v>1</v>
      </c>
      <c r="G1361" t="s">
        <v>47</v>
      </c>
      <c r="H1361" t="s">
        <v>48</v>
      </c>
      <c r="I1361" s="3">
        <v>1240</v>
      </c>
      <c r="J1361" s="3">
        <v>1240</v>
      </c>
      <c r="K1361" s="3">
        <v>380</v>
      </c>
      <c r="L1361" t="s">
        <v>98</v>
      </c>
      <c r="M1361">
        <v>16</v>
      </c>
      <c r="N1361" t="s">
        <v>17</v>
      </c>
      <c r="O1361" t="s">
        <v>11</v>
      </c>
      <c r="P1361" t="s">
        <v>18</v>
      </c>
      <c r="Q1361" t="s">
        <v>19</v>
      </c>
      <c r="R1361" t="s">
        <v>138</v>
      </c>
      <c r="S1361" t="s">
        <v>144</v>
      </c>
      <c r="T1361" s="2">
        <f>MASTER[[#This Row],[CANTIDAD]]*MASTER[[#This Row],[PRECIO DE VENTA]]</f>
        <v>1240</v>
      </c>
      <c r="U1361" s="2">
        <f>MASTER[[#This Row],[CANTIDAD]]*MASTER[[#This Row],[COSTO UNITARIO]]</f>
        <v>380</v>
      </c>
      <c r="V1361" s="2">
        <f>MASTER[[#This Row],[MONTO VENDIDO]]-MASTER[[#This Row],[COSTO DE VENTA]]</f>
        <v>860</v>
      </c>
    </row>
    <row r="1362" spans="1:22" x14ac:dyDescent="0.3">
      <c r="A1362">
        <v>27047</v>
      </c>
      <c r="B1362">
        <v>1</v>
      </c>
      <c r="C1362" t="s">
        <v>5</v>
      </c>
      <c r="D1362" t="s">
        <v>6</v>
      </c>
      <c r="E1362" s="1">
        <v>43992</v>
      </c>
      <c r="F1362">
        <v>1</v>
      </c>
      <c r="G1362" t="s">
        <v>63</v>
      </c>
      <c r="H1362" t="s">
        <v>64</v>
      </c>
      <c r="I1362" s="3">
        <v>1507</v>
      </c>
      <c r="J1362" s="3">
        <v>1507</v>
      </c>
      <c r="K1362" s="3">
        <v>393</v>
      </c>
      <c r="L1362" t="s">
        <v>9</v>
      </c>
      <c r="M1362">
        <v>2</v>
      </c>
      <c r="N1362" t="s">
        <v>86</v>
      </c>
      <c r="O1362" t="s">
        <v>81</v>
      </c>
      <c r="P1362" t="s">
        <v>71</v>
      </c>
      <c r="Q1362" t="s">
        <v>72</v>
      </c>
      <c r="R1362" t="s">
        <v>139</v>
      </c>
      <c r="S1362" t="s">
        <v>144</v>
      </c>
      <c r="T1362" s="2">
        <f>MASTER[[#This Row],[CANTIDAD]]*MASTER[[#This Row],[PRECIO DE VENTA]]</f>
        <v>1507</v>
      </c>
      <c r="U1362" s="2">
        <f>MASTER[[#This Row],[CANTIDAD]]*MASTER[[#This Row],[COSTO UNITARIO]]</f>
        <v>393</v>
      </c>
      <c r="V1362" s="2">
        <f>MASTER[[#This Row],[MONTO VENDIDO]]-MASTER[[#This Row],[COSTO DE VENTA]]</f>
        <v>1114</v>
      </c>
    </row>
    <row r="1363" spans="1:22" x14ac:dyDescent="0.3">
      <c r="A1363">
        <v>27054</v>
      </c>
      <c r="B1363">
        <v>1</v>
      </c>
      <c r="C1363" t="s">
        <v>109</v>
      </c>
      <c r="D1363" t="s">
        <v>110</v>
      </c>
      <c r="E1363" s="1">
        <v>43992</v>
      </c>
      <c r="F1363">
        <v>1</v>
      </c>
      <c r="G1363" t="s">
        <v>57</v>
      </c>
      <c r="H1363" t="s">
        <v>58</v>
      </c>
      <c r="I1363" s="3">
        <v>1064</v>
      </c>
      <c r="J1363" s="3">
        <v>1064</v>
      </c>
      <c r="K1363" s="3">
        <v>387</v>
      </c>
      <c r="L1363" t="s">
        <v>98</v>
      </c>
      <c r="M1363">
        <v>19</v>
      </c>
      <c r="N1363" t="s">
        <v>89</v>
      </c>
      <c r="O1363" t="s">
        <v>81</v>
      </c>
      <c r="P1363" t="s">
        <v>15</v>
      </c>
      <c r="Q1363" t="s">
        <v>16</v>
      </c>
      <c r="R1363" t="s">
        <v>16</v>
      </c>
      <c r="S1363" t="s">
        <v>144</v>
      </c>
      <c r="T1363" s="2">
        <f>MASTER[[#This Row],[CANTIDAD]]*MASTER[[#This Row],[PRECIO DE VENTA]]</f>
        <v>1064</v>
      </c>
      <c r="U1363" s="2">
        <f>MASTER[[#This Row],[CANTIDAD]]*MASTER[[#This Row],[COSTO UNITARIO]]</f>
        <v>387</v>
      </c>
      <c r="V1363" s="2">
        <f>MASTER[[#This Row],[MONTO VENDIDO]]-MASTER[[#This Row],[COSTO DE VENTA]]</f>
        <v>677</v>
      </c>
    </row>
    <row r="1364" spans="1:22" x14ac:dyDescent="0.3">
      <c r="A1364">
        <v>27066</v>
      </c>
      <c r="B1364">
        <v>1</v>
      </c>
      <c r="C1364" t="s">
        <v>107</v>
      </c>
      <c r="D1364" t="s">
        <v>108</v>
      </c>
      <c r="E1364" s="1">
        <v>43992</v>
      </c>
      <c r="F1364">
        <v>1</v>
      </c>
      <c r="G1364" t="s">
        <v>29</v>
      </c>
      <c r="H1364" t="s">
        <v>30</v>
      </c>
      <c r="I1364" s="3">
        <v>1333</v>
      </c>
      <c r="J1364" s="3">
        <v>1333</v>
      </c>
      <c r="K1364" s="3">
        <v>380</v>
      </c>
      <c r="L1364" t="s">
        <v>98</v>
      </c>
      <c r="M1364">
        <v>19</v>
      </c>
      <c r="N1364" t="s">
        <v>89</v>
      </c>
      <c r="O1364" t="s">
        <v>81</v>
      </c>
      <c r="P1364" t="s">
        <v>15</v>
      </c>
      <c r="Q1364" t="s">
        <v>16</v>
      </c>
      <c r="R1364" t="s">
        <v>16</v>
      </c>
      <c r="S1364" t="s">
        <v>144</v>
      </c>
      <c r="T1364" s="2">
        <f>MASTER[[#This Row],[CANTIDAD]]*MASTER[[#This Row],[PRECIO DE VENTA]]</f>
        <v>1333</v>
      </c>
      <c r="U1364" s="2">
        <f>MASTER[[#This Row],[CANTIDAD]]*MASTER[[#This Row],[COSTO UNITARIO]]</f>
        <v>380</v>
      </c>
      <c r="V1364" s="2">
        <f>MASTER[[#This Row],[MONTO VENDIDO]]-MASTER[[#This Row],[COSTO DE VENTA]]</f>
        <v>953</v>
      </c>
    </row>
    <row r="1365" spans="1:22" x14ac:dyDescent="0.3">
      <c r="A1365">
        <v>27076</v>
      </c>
      <c r="B1365">
        <v>1</v>
      </c>
      <c r="C1365" t="s">
        <v>114</v>
      </c>
      <c r="D1365" t="s">
        <v>115</v>
      </c>
      <c r="E1365" s="1">
        <v>43992</v>
      </c>
      <c r="F1365">
        <v>1</v>
      </c>
      <c r="G1365" t="s">
        <v>61</v>
      </c>
      <c r="H1365" t="s">
        <v>62</v>
      </c>
      <c r="I1365" s="3">
        <v>1583</v>
      </c>
      <c r="J1365" s="3">
        <v>1583</v>
      </c>
      <c r="K1365" s="3">
        <v>394</v>
      </c>
      <c r="L1365" t="s">
        <v>113</v>
      </c>
      <c r="M1365">
        <v>16</v>
      </c>
      <c r="N1365" t="s">
        <v>17</v>
      </c>
      <c r="O1365" t="s">
        <v>11</v>
      </c>
      <c r="P1365" t="s">
        <v>18</v>
      </c>
      <c r="Q1365" t="s">
        <v>19</v>
      </c>
      <c r="R1365" t="s">
        <v>138</v>
      </c>
      <c r="S1365" t="s">
        <v>144</v>
      </c>
      <c r="T1365" s="2">
        <f>MASTER[[#This Row],[CANTIDAD]]*MASTER[[#This Row],[PRECIO DE VENTA]]</f>
        <v>1583</v>
      </c>
      <c r="U1365" s="2">
        <f>MASTER[[#This Row],[CANTIDAD]]*MASTER[[#This Row],[COSTO UNITARIO]]</f>
        <v>394</v>
      </c>
      <c r="V1365" s="2">
        <f>MASTER[[#This Row],[MONTO VENDIDO]]-MASTER[[#This Row],[COSTO DE VENTA]]</f>
        <v>1189</v>
      </c>
    </row>
    <row r="1366" spans="1:22" x14ac:dyDescent="0.3">
      <c r="A1366">
        <v>27080</v>
      </c>
      <c r="B1366">
        <v>1</v>
      </c>
      <c r="C1366" t="s">
        <v>96</v>
      </c>
      <c r="D1366" t="s">
        <v>97</v>
      </c>
      <c r="E1366" s="1">
        <v>43992</v>
      </c>
      <c r="F1366">
        <v>1</v>
      </c>
      <c r="G1366" t="s">
        <v>7</v>
      </c>
      <c r="H1366" t="s">
        <v>8</v>
      </c>
      <c r="I1366" s="3">
        <v>1272</v>
      </c>
      <c r="J1366" s="3">
        <v>1272</v>
      </c>
      <c r="K1366" s="3">
        <v>397</v>
      </c>
      <c r="L1366" t="s">
        <v>98</v>
      </c>
      <c r="M1366">
        <v>4</v>
      </c>
      <c r="N1366" t="s">
        <v>82</v>
      </c>
      <c r="O1366" t="s">
        <v>81</v>
      </c>
      <c r="P1366" t="s">
        <v>71</v>
      </c>
      <c r="Q1366" t="s">
        <v>72</v>
      </c>
      <c r="R1366" t="s">
        <v>139</v>
      </c>
      <c r="S1366" t="s">
        <v>144</v>
      </c>
      <c r="T1366" s="2">
        <f>MASTER[[#This Row],[CANTIDAD]]*MASTER[[#This Row],[PRECIO DE VENTA]]</f>
        <v>1272</v>
      </c>
      <c r="U1366" s="2">
        <f>MASTER[[#This Row],[CANTIDAD]]*MASTER[[#This Row],[COSTO UNITARIO]]</f>
        <v>397</v>
      </c>
      <c r="V1366" s="2">
        <f>MASTER[[#This Row],[MONTO VENDIDO]]-MASTER[[#This Row],[COSTO DE VENTA]]</f>
        <v>875</v>
      </c>
    </row>
    <row r="1367" spans="1:22" x14ac:dyDescent="0.3">
      <c r="A1367">
        <v>27082</v>
      </c>
      <c r="B1367">
        <v>1</v>
      </c>
      <c r="C1367" t="s">
        <v>96</v>
      </c>
      <c r="D1367" t="s">
        <v>97</v>
      </c>
      <c r="E1367" s="1">
        <v>43992</v>
      </c>
      <c r="F1367">
        <v>1</v>
      </c>
      <c r="G1367" t="s">
        <v>29</v>
      </c>
      <c r="H1367" t="s">
        <v>30</v>
      </c>
      <c r="I1367" s="3">
        <v>1272</v>
      </c>
      <c r="J1367" s="3">
        <v>1272</v>
      </c>
      <c r="K1367" s="3">
        <v>397</v>
      </c>
      <c r="L1367" t="s">
        <v>98</v>
      </c>
      <c r="M1367">
        <v>8</v>
      </c>
      <c r="N1367" t="s">
        <v>80</v>
      </c>
      <c r="O1367" t="s">
        <v>81</v>
      </c>
      <c r="P1367" t="s">
        <v>12</v>
      </c>
      <c r="Q1367" t="s">
        <v>13</v>
      </c>
      <c r="R1367" t="s">
        <v>13</v>
      </c>
      <c r="S1367" t="s">
        <v>144</v>
      </c>
      <c r="T1367" s="2">
        <f>MASTER[[#This Row],[CANTIDAD]]*MASTER[[#This Row],[PRECIO DE VENTA]]</f>
        <v>1272</v>
      </c>
      <c r="U1367" s="2">
        <f>MASTER[[#This Row],[CANTIDAD]]*MASTER[[#This Row],[COSTO UNITARIO]]</f>
        <v>397</v>
      </c>
      <c r="V1367" s="2">
        <f>MASTER[[#This Row],[MONTO VENDIDO]]-MASTER[[#This Row],[COSTO DE VENTA]]</f>
        <v>875</v>
      </c>
    </row>
    <row r="1368" spans="1:22" x14ac:dyDescent="0.3">
      <c r="A1368">
        <v>27088</v>
      </c>
      <c r="B1368">
        <v>1</v>
      </c>
      <c r="C1368" t="s">
        <v>90</v>
      </c>
      <c r="D1368" t="s">
        <v>91</v>
      </c>
      <c r="E1368" s="1">
        <v>43992</v>
      </c>
      <c r="F1368">
        <v>1</v>
      </c>
      <c r="G1368" t="s">
        <v>31</v>
      </c>
      <c r="H1368" t="s">
        <v>32</v>
      </c>
      <c r="I1368" s="3">
        <v>1844</v>
      </c>
      <c r="J1368" s="3">
        <v>1844</v>
      </c>
      <c r="K1368" s="3">
        <v>420</v>
      </c>
      <c r="L1368" t="s">
        <v>9</v>
      </c>
      <c r="M1368">
        <v>4</v>
      </c>
      <c r="N1368" t="s">
        <v>82</v>
      </c>
      <c r="O1368" t="s">
        <v>81</v>
      </c>
      <c r="P1368" t="s">
        <v>71</v>
      </c>
      <c r="Q1368" t="s">
        <v>72</v>
      </c>
      <c r="R1368" t="s">
        <v>139</v>
      </c>
      <c r="S1368" t="s">
        <v>144</v>
      </c>
      <c r="T1368" s="2">
        <f>MASTER[[#This Row],[CANTIDAD]]*MASTER[[#This Row],[PRECIO DE VENTA]]</f>
        <v>1844</v>
      </c>
      <c r="U1368" s="2">
        <f>MASTER[[#This Row],[CANTIDAD]]*MASTER[[#This Row],[COSTO UNITARIO]]</f>
        <v>420</v>
      </c>
      <c r="V1368" s="2">
        <f>MASTER[[#This Row],[MONTO VENDIDO]]-MASTER[[#This Row],[COSTO DE VENTA]]</f>
        <v>1424</v>
      </c>
    </row>
    <row r="1369" spans="1:22" x14ac:dyDescent="0.3">
      <c r="A1369">
        <v>27090</v>
      </c>
      <c r="B1369">
        <v>1</v>
      </c>
      <c r="C1369" t="s">
        <v>105</v>
      </c>
      <c r="D1369" t="s">
        <v>106</v>
      </c>
      <c r="E1369" s="1">
        <v>43993</v>
      </c>
      <c r="F1369">
        <v>1</v>
      </c>
      <c r="G1369" t="s">
        <v>65</v>
      </c>
      <c r="H1369" t="s">
        <v>66</v>
      </c>
      <c r="I1369" s="3">
        <v>2033</v>
      </c>
      <c r="J1369" s="3">
        <v>2033</v>
      </c>
      <c r="K1369" s="3">
        <v>459</v>
      </c>
      <c r="L1369" t="s">
        <v>98</v>
      </c>
      <c r="M1369">
        <v>1</v>
      </c>
      <c r="N1369" t="s">
        <v>77</v>
      </c>
      <c r="O1369" t="s">
        <v>70</v>
      </c>
      <c r="P1369" t="s">
        <v>71</v>
      </c>
      <c r="Q1369" t="s">
        <v>72</v>
      </c>
      <c r="R1369" t="s">
        <v>139</v>
      </c>
      <c r="S1369" t="s">
        <v>144</v>
      </c>
      <c r="T1369" s="2">
        <f>MASTER[[#This Row],[CANTIDAD]]*MASTER[[#This Row],[PRECIO DE VENTA]]</f>
        <v>2033</v>
      </c>
      <c r="U1369" s="2">
        <f>MASTER[[#This Row],[CANTIDAD]]*MASTER[[#This Row],[COSTO UNITARIO]]</f>
        <v>459</v>
      </c>
      <c r="V1369" s="2">
        <f>MASTER[[#This Row],[MONTO VENDIDO]]-MASTER[[#This Row],[COSTO DE VENTA]]</f>
        <v>1574</v>
      </c>
    </row>
    <row r="1370" spans="1:22" x14ac:dyDescent="0.3">
      <c r="A1370">
        <v>27130</v>
      </c>
      <c r="B1370">
        <v>1</v>
      </c>
      <c r="C1370" t="s">
        <v>90</v>
      </c>
      <c r="D1370" t="s">
        <v>91</v>
      </c>
      <c r="E1370" s="1">
        <v>43993</v>
      </c>
      <c r="F1370">
        <v>1</v>
      </c>
      <c r="G1370" t="s">
        <v>67</v>
      </c>
      <c r="H1370" t="s">
        <v>68</v>
      </c>
      <c r="I1370" s="3">
        <v>2102</v>
      </c>
      <c r="J1370" s="3">
        <v>2102</v>
      </c>
      <c r="K1370" s="3">
        <v>420</v>
      </c>
      <c r="L1370" t="s">
        <v>9</v>
      </c>
      <c r="M1370">
        <v>1</v>
      </c>
      <c r="N1370" t="s">
        <v>77</v>
      </c>
      <c r="O1370" t="s">
        <v>70</v>
      </c>
      <c r="P1370" t="s">
        <v>71</v>
      </c>
      <c r="Q1370" t="s">
        <v>72</v>
      </c>
      <c r="R1370" t="s">
        <v>139</v>
      </c>
      <c r="S1370" t="s">
        <v>144</v>
      </c>
      <c r="T1370" s="2">
        <f>MASTER[[#This Row],[CANTIDAD]]*MASTER[[#This Row],[PRECIO DE VENTA]]</f>
        <v>2102</v>
      </c>
      <c r="U1370" s="2">
        <f>MASTER[[#This Row],[CANTIDAD]]*MASTER[[#This Row],[COSTO UNITARIO]]</f>
        <v>420</v>
      </c>
      <c r="V1370" s="2">
        <f>MASTER[[#This Row],[MONTO VENDIDO]]-MASTER[[#This Row],[COSTO DE VENTA]]</f>
        <v>1682</v>
      </c>
    </row>
    <row r="1371" spans="1:22" x14ac:dyDescent="0.3">
      <c r="A1371">
        <v>27146</v>
      </c>
      <c r="B1371">
        <v>1</v>
      </c>
      <c r="C1371" t="s">
        <v>99</v>
      </c>
      <c r="D1371" t="s">
        <v>100</v>
      </c>
      <c r="E1371" s="1">
        <v>43993</v>
      </c>
      <c r="F1371">
        <v>1</v>
      </c>
      <c r="G1371" t="s">
        <v>51</v>
      </c>
      <c r="H1371" t="s">
        <v>52</v>
      </c>
      <c r="I1371" s="3">
        <v>1459</v>
      </c>
      <c r="J1371" s="3">
        <v>1459</v>
      </c>
      <c r="K1371" s="3">
        <v>386</v>
      </c>
      <c r="L1371" t="s">
        <v>98</v>
      </c>
      <c r="M1371">
        <v>2</v>
      </c>
      <c r="N1371" t="s">
        <v>86</v>
      </c>
      <c r="O1371" t="s">
        <v>81</v>
      </c>
      <c r="P1371" t="s">
        <v>71</v>
      </c>
      <c r="Q1371" t="s">
        <v>72</v>
      </c>
      <c r="R1371" t="s">
        <v>139</v>
      </c>
      <c r="S1371" t="s">
        <v>144</v>
      </c>
      <c r="T1371" s="2">
        <f>MASTER[[#This Row],[CANTIDAD]]*MASTER[[#This Row],[PRECIO DE VENTA]]</f>
        <v>1459</v>
      </c>
      <c r="U1371" s="2">
        <f>MASTER[[#This Row],[CANTIDAD]]*MASTER[[#This Row],[COSTO UNITARIO]]</f>
        <v>386</v>
      </c>
      <c r="V1371" s="2">
        <f>MASTER[[#This Row],[MONTO VENDIDO]]-MASTER[[#This Row],[COSTO DE VENTA]]</f>
        <v>1073</v>
      </c>
    </row>
    <row r="1372" spans="1:22" x14ac:dyDescent="0.3">
      <c r="A1372">
        <v>27147</v>
      </c>
      <c r="B1372">
        <v>1</v>
      </c>
      <c r="C1372" t="s">
        <v>99</v>
      </c>
      <c r="D1372" t="s">
        <v>100</v>
      </c>
      <c r="E1372" s="1">
        <v>43993</v>
      </c>
      <c r="F1372">
        <v>3</v>
      </c>
      <c r="G1372" t="s">
        <v>51</v>
      </c>
      <c r="H1372" t="s">
        <v>52</v>
      </c>
      <c r="I1372" s="3">
        <v>1459</v>
      </c>
      <c r="J1372" s="3">
        <v>1459</v>
      </c>
      <c r="K1372" s="3">
        <v>386</v>
      </c>
      <c r="L1372" t="s">
        <v>98</v>
      </c>
      <c r="M1372">
        <v>4</v>
      </c>
      <c r="N1372" t="s">
        <v>82</v>
      </c>
      <c r="O1372" t="s">
        <v>81</v>
      </c>
      <c r="P1372" t="s">
        <v>71</v>
      </c>
      <c r="Q1372" t="s">
        <v>72</v>
      </c>
      <c r="R1372" t="s">
        <v>139</v>
      </c>
      <c r="S1372" t="s">
        <v>144</v>
      </c>
      <c r="T1372" s="2">
        <f>MASTER[[#This Row],[CANTIDAD]]*MASTER[[#This Row],[PRECIO DE VENTA]]</f>
        <v>4377</v>
      </c>
      <c r="U1372" s="2">
        <f>MASTER[[#This Row],[CANTIDAD]]*MASTER[[#This Row],[COSTO UNITARIO]]</f>
        <v>1158</v>
      </c>
      <c r="V1372" s="2">
        <f>MASTER[[#This Row],[MONTO VENDIDO]]-MASTER[[#This Row],[COSTO DE VENTA]]</f>
        <v>3219</v>
      </c>
    </row>
    <row r="1373" spans="1:22" x14ac:dyDescent="0.3">
      <c r="A1373">
        <v>27171</v>
      </c>
      <c r="B1373">
        <v>1</v>
      </c>
      <c r="C1373" t="s">
        <v>103</v>
      </c>
      <c r="D1373" t="s">
        <v>104</v>
      </c>
      <c r="E1373" s="1">
        <v>43993</v>
      </c>
      <c r="F1373">
        <v>1</v>
      </c>
      <c r="G1373" t="s">
        <v>7</v>
      </c>
      <c r="H1373" t="s">
        <v>8</v>
      </c>
      <c r="I1373" s="3">
        <v>1591</v>
      </c>
      <c r="J1373" s="3">
        <v>1591</v>
      </c>
      <c r="K1373" s="3">
        <v>421</v>
      </c>
      <c r="L1373" t="s">
        <v>98</v>
      </c>
      <c r="M1373">
        <v>5</v>
      </c>
      <c r="N1373" t="s">
        <v>85</v>
      </c>
      <c r="O1373" t="s">
        <v>81</v>
      </c>
      <c r="P1373" t="s">
        <v>12</v>
      </c>
      <c r="Q1373" t="s">
        <v>13</v>
      </c>
      <c r="R1373" t="s">
        <v>13</v>
      </c>
      <c r="S1373" t="s">
        <v>144</v>
      </c>
      <c r="T1373" s="2">
        <f>MASTER[[#This Row],[CANTIDAD]]*MASTER[[#This Row],[PRECIO DE VENTA]]</f>
        <v>1591</v>
      </c>
      <c r="U1373" s="2">
        <f>MASTER[[#This Row],[CANTIDAD]]*MASTER[[#This Row],[COSTO UNITARIO]]</f>
        <v>421</v>
      </c>
      <c r="V1373" s="2">
        <f>MASTER[[#This Row],[MONTO VENDIDO]]-MASTER[[#This Row],[COSTO DE VENTA]]</f>
        <v>1170</v>
      </c>
    </row>
    <row r="1374" spans="1:22" x14ac:dyDescent="0.3">
      <c r="A1374">
        <v>27185</v>
      </c>
      <c r="B1374">
        <v>1</v>
      </c>
      <c r="C1374" t="s">
        <v>121</v>
      </c>
      <c r="D1374" t="s">
        <v>122</v>
      </c>
      <c r="E1374" s="1">
        <v>43993</v>
      </c>
      <c r="F1374">
        <v>1</v>
      </c>
      <c r="G1374" t="s">
        <v>65</v>
      </c>
      <c r="H1374" t="s">
        <v>66</v>
      </c>
      <c r="I1374" s="3">
        <v>941</v>
      </c>
      <c r="J1374" s="3">
        <v>941</v>
      </c>
      <c r="K1374" s="3">
        <v>460</v>
      </c>
      <c r="L1374" t="s">
        <v>120</v>
      </c>
      <c r="M1374">
        <v>16</v>
      </c>
      <c r="N1374" t="s">
        <v>17</v>
      </c>
      <c r="O1374" t="s">
        <v>11</v>
      </c>
      <c r="P1374" t="s">
        <v>18</v>
      </c>
      <c r="Q1374" t="s">
        <v>19</v>
      </c>
      <c r="R1374" t="s">
        <v>138</v>
      </c>
      <c r="S1374" t="s">
        <v>144</v>
      </c>
      <c r="T1374" s="2">
        <f>MASTER[[#This Row],[CANTIDAD]]*MASTER[[#This Row],[PRECIO DE VENTA]]</f>
        <v>941</v>
      </c>
      <c r="U1374" s="2">
        <f>MASTER[[#This Row],[CANTIDAD]]*MASTER[[#This Row],[COSTO UNITARIO]]</f>
        <v>460</v>
      </c>
      <c r="V1374" s="2">
        <f>MASTER[[#This Row],[MONTO VENDIDO]]-MASTER[[#This Row],[COSTO DE VENTA]]</f>
        <v>481</v>
      </c>
    </row>
    <row r="1375" spans="1:22" x14ac:dyDescent="0.3">
      <c r="A1375">
        <v>27206</v>
      </c>
      <c r="B1375">
        <v>1</v>
      </c>
      <c r="C1375" t="s">
        <v>103</v>
      </c>
      <c r="D1375" t="s">
        <v>104</v>
      </c>
      <c r="E1375" s="1">
        <v>43993</v>
      </c>
      <c r="F1375">
        <v>1</v>
      </c>
      <c r="G1375" t="s">
        <v>27</v>
      </c>
      <c r="H1375" t="s">
        <v>28</v>
      </c>
      <c r="I1375" s="3">
        <v>1591</v>
      </c>
      <c r="J1375" s="3">
        <v>1591</v>
      </c>
      <c r="K1375" s="3">
        <v>421</v>
      </c>
      <c r="L1375" t="s">
        <v>98</v>
      </c>
      <c r="M1375">
        <v>4</v>
      </c>
      <c r="N1375" t="s">
        <v>82</v>
      </c>
      <c r="O1375" t="s">
        <v>81</v>
      </c>
      <c r="P1375" t="s">
        <v>71</v>
      </c>
      <c r="Q1375" t="s">
        <v>72</v>
      </c>
      <c r="R1375" t="s">
        <v>139</v>
      </c>
      <c r="S1375" t="s">
        <v>144</v>
      </c>
      <c r="T1375" s="2">
        <f>MASTER[[#This Row],[CANTIDAD]]*MASTER[[#This Row],[PRECIO DE VENTA]]</f>
        <v>1591</v>
      </c>
      <c r="U1375" s="2">
        <f>MASTER[[#This Row],[CANTIDAD]]*MASTER[[#This Row],[COSTO UNITARIO]]</f>
        <v>421</v>
      </c>
      <c r="V1375" s="2">
        <f>MASTER[[#This Row],[MONTO VENDIDO]]-MASTER[[#This Row],[COSTO DE VENTA]]</f>
        <v>1170</v>
      </c>
    </row>
    <row r="1376" spans="1:22" x14ac:dyDescent="0.3">
      <c r="A1376">
        <v>27220</v>
      </c>
      <c r="B1376">
        <v>1</v>
      </c>
      <c r="C1376" t="s">
        <v>116</v>
      </c>
      <c r="D1376" t="s">
        <v>117</v>
      </c>
      <c r="E1376" s="1">
        <v>43993</v>
      </c>
      <c r="F1376">
        <v>1</v>
      </c>
      <c r="G1376" t="s">
        <v>24</v>
      </c>
      <c r="H1376" t="s">
        <v>25</v>
      </c>
      <c r="I1376" s="3">
        <v>1738</v>
      </c>
      <c r="J1376" s="3">
        <v>1738</v>
      </c>
      <c r="K1376" s="3">
        <v>388</v>
      </c>
      <c r="L1376" t="s">
        <v>113</v>
      </c>
      <c r="M1376">
        <v>2</v>
      </c>
      <c r="N1376" t="s">
        <v>86</v>
      </c>
      <c r="O1376" t="s">
        <v>81</v>
      </c>
      <c r="P1376" t="s">
        <v>71</v>
      </c>
      <c r="Q1376" t="s">
        <v>72</v>
      </c>
      <c r="R1376" t="s">
        <v>139</v>
      </c>
      <c r="S1376" t="s">
        <v>144</v>
      </c>
      <c r="T1376" s="2">
        <f>MASTER[[#This Row],[CANTIDAD]]*MASTER[[#This Row],[PRECIO DE VENTA]]</f>
        <v>1738</v>
      </c>
      <c r="U1376" s="2">
        <f>MASTER[[#This Row],[CANTIDAD]]*MASTER[[#This Row],[COSTO UNITARIO]]</f>
        <v>388</v>
      </c>
      <c r="V1376" s="2">
        <f>MASTER[[#This Row],[MONTO VENDIDO]]-MASTER[[#This Row],[COSTO DE VENTA]]</f>
        <v>1350</v>
      </c>
    </row>
    <row r="1377" spans="1:22" x14ac:dyDescent="0.3">
      <c r="A1377">
        <v>27239</v>
      </c>
      <c r="B1377">
        <v>1</v>
      </c>
      <c r="C1377" t="s">
        <v>96</v>
      </c>
      <c r="D1377" t="s">
        <v>97</v>
      </c>
      <c r="E1377" s="1">
        <v>43993</v>
      </c>
      <c r="F1377">
        <v>1</v>
      </c>
      <c r="G1377" t="s">
        <v>47</v>
      </c>
      <c r="H1377" t="s">
        <v>48</v>
      </c>
      <c r="I1377" s="3">
        <v>1272</v>
      </c>
      <c r="J1377" s="3">
        <v>1272</v>
      </c>
      <c r="K1377" s="3">
        <v>397</v>
      </c>
      <c r="L1377" t="s">
        <v>98</v>
      </c>
      <c r="M1377">
        <v>5</v>
      </c>
      <c r="N1377" t="s">
        <v>85</v>
      </c>
      <c r="O1377" t="s">
        <v>81</v>
      </c>
      <c r="P1377" t="s">
        <v>12</v>
      </c>
      <c r="Q1377" t="s">
        <v>13</v>
      </c>
      <c r="R1377" t="s">
        <v>13</v>
      </c>
      <c r="S1377" t="s">
        <v>144</v>
      </c>
      <c r="T1377" s="2">
        <f>MASTER[[#This Row],[CANTIDAD]]*MASTER[[#This Row],[PRECIO DE VENTA]]</f>
        <v>1272</v>
      </c>
      <c r="U1377" s="2">
        <f>MASTER[[#This Row],[CANTIDAD]]*MASTER[[#This Row],[COSTO UNITARIO]]</f>
        <v>397</v>
      </c>
      <c r="V1377" s="2">
        <f>MASTER[[#This Row],[MONTO VENDIDO]]-MASTER[[#This Row],[COSTO DE VENTA]]</f>
        <v>875</v>
      </c>
    </row>
    <row r="1378" spans="1:22" x14ac:dyDescent="0.3">
      <c r="A1378">
        <v>27259</v>
      </c>
      <c r="B1378">
        <v>1</v>
      </c>
      <c r="C1378" t="s">
        <v>103</v>
      </c>
      <c r="D1378" t="s">
        <v>104</v>
      </c>
      <c r="E1378" s="1">
        <v>43993</v>
      </c>
      <c r="F1378">
        <v>1</v>
      </c>
      <c r="G1378" t="s">
        <v>61</v>
      </c>
      <c r="H1378" t="s">
        <v>62</v>
      </c>
      <c r="I1378" s="3">
        <v>1591</v>
      </c>
      <c r="J1378" s="3">
        <v>1447</v>
      </c>
      <c r="K1378" s="3">
        <v>421</v>
      </c>
      <c r="L1378" t="s">
        <v>98</v>
      </c>
      <c r="M1378">
        <v>5</v>
      </c>
      <c r="N1378" t="s">
        <v>85</v>
      </c>
      <c r="O1378" t="s">
        <v>81</v>
      </c>
      <c r="P1378" t="s">
        <v>12</v>
      </c>
      <c r="Q1378" t="s">
        <v>13</v>
      </c>
      <c r="R1378" t="s">
        <v>13</v>
      </c>
      <c r="S1378" t="s">
        <v>144</v>
      </c>
      <c r="T1378" s="2">
        <f>MASTER[[#This Row],[CANTIDAD]]*MASTER[[#This Row],[PRECIO DE VENTA]]</f>
        <v>1447</v>
      </c>
      <c r="U1378" s="2">
        <f>MASTER[[#This Row],[CANTIDAD]]*MASTER[[#This Row],[COSTO UNITARIO]]</f>
        <v>421</v>
      </c>
      <c r="V1378" s="2">
        <f>MASTER[[#This Row],[MONTO VENDIDO]]-MASTER[[#This Row],[COSTO DE VENTA]]</f>
        <v>1026</v>
      </c>
    </row>
    <row r="1379" spans="1:22" x14ac:dyDescent="0.3">
      <c r="A1379">
        <v>27299</v>
      </c>
      <c r="B1379">
        <v>1</v>
      </c>
      <c r="C1379" t="s">
        <v>114</v>
      </c>
      <c r="D1379" t="s">
        <v>115</v>
      </c>
      <c r="E1379" s="1">
        <v>43994</v>
      </c>
      <c r="F1379">
        <v>1</v>
      </c>
      <c r="G1379" t="s">
        <v>24</v>
      </c>
      <c r="H1379" t="s">
        <v>25</v>
      </c>
      <c r="I1379" s="3">
        <v>1862</v>
      </c>
      <c r="J1379" s="3">
        <v>1862</v>
      </c>
      <c r="K1379" s="3">
        <v>394</v>
      </c>
      <c r="L1379" t="s">
        <v>113</v>
      </c>
      <c r="M1379">
        <v>14</v>
      </c>
      <c r="N1379" t="s">
        <v>87</v>
      </c>
      <c r="O1379" t="s">
        <v>81</v>
      </c>
      <c r="P1379" t="s">
        <v>18</v>
      </c>
      <c r="Q1379" t="s">
        <v>19</v>
      </c>
      <c r="R1379" t="s">
        <v>138</v>
      </c>
      <c r="S1379" t="s">
        <v>144</v>
      </c>
      <c r="T1379" s="2">
        <f>MASTER[[#This Row],[CANTIDAD]]*MASTER[[#This Row],[PRECIO DE VENTA]]</f>
        <v>1862</v>
      </c>
      <c r="U1379" s="2">
        <f>MASTER[[#This Row],[CANTIDAD]]*MASTER[[#This Row],[COSTO UNITARIO]]</f>
        <v>394</v>
      </c>
      <c r="V1379" s="2">
        <f>MASTER[[#This Row],[MONTO VENDIDO]]-MASTER[[#This Row],[COSTO DE VENTA]]</f>
        <v>1468</v>
      </c>
    </row>
    <row r="1380" spans="1:22" x14ac:dyDescent="0.3">
      <c r="A1380">
        <v>27300</v>
      </c>
      <c r="B1380">
        <v>1</v>
      </c>
      <c r="C1380" t="s">
        <v>90</v>
      </c>
      <c r="D1380" t="s">
        <v>91</v>
      </c>
      <c r="E1380" s="1">
        <v>43994</v>
      </c>
      <c r="F1380">
        <v>1</v>
      </c>
      <c r="G1380" t="s">
        <v>51</v>
      </c>
      <c r="H1380" t="s">
        <v>52</v>
      </c>
      <c r="I1380" s="3">
        <v>1844</v>
      </c>
      <c r="J1380" s="3">
        <v>1844</v>
      </c>
      <c r="K1380" s="3">
        <v>420</v>
      </c>
      <c r="L1380" t="s">
        <v>9</v>
      </c>
      <c r="M1380">
        <v>2</v>
      </c>
      <c r="N1380" t="s">
        <v>86</v>
      </c>
      <c r="O1380" t="s">
        <v>81</v>
      </c>
      <c r="P1380" t="s">
        <v>71</v>
      </c>
      <c r="Q1380" t="s">
        <v>72</v>
      </c>
      <c r="R1380" t="s">
        <v>139</v>
      </c>
      <c r="S1380" t="s">
        <v>144</v>
      </c>
      <c r="T1380" s="2">
        <f>MASTER[[#This Row],[CANTIDAD]]*MASTER[[#This Row],[PRECIO DE VENTA]]</f>
        <v>1844</v>
      </c>
      <c r="U1380" s="2">
        <f>MASTER[[#This Row],[CANTIDAD]]*MASTER[[#This Row],[COSTO UNITARIO]]</f>
        <v>420</v>
      </c>
      <c r="V1380" s="2">
        <f>MASTER[[#This Row],[MONTO VENDIDO]]-MASTER[[#This Row],[COSTO DE VENTA]]</f>
        <v>1424</v>
      </c>
    </row>
    <row r="1381" spans="1:22" x14ac:dyDescent="0.3">
      <c r="A1381">
        <v>27301</v>
      </c>
      <c r="B1381">
        <v>1</v>
      </c>
      <c r="C1381" t="s">
        <v>105</v>
      </c>
      <c r="D1381" t="s">
        <v>106</v>
      </c>
      <c r="E1381" s="1">
        <v>43994</v>
      </c>
      <c r="F1381">
        <v>1</v>
      </c>
      <c r="G1381" t="s">
        <v>22</v>
      </c>
      <c r="H1381" t="s">
        <v>23</v>
      </c>
      <c r="I1381" s="3">
        <v>1865</v>
      </c>
      <c r="J1381" s="3">
        <v>1865</v>
      </c>
      <c r="K1381" s="3">
        <v>459</v>
      </c>
      <c r="L1381" t="s">
        <v>98</v>
      </c>
      <c r="M1381">
        <v>7</v>
      </c>
      <c r="N1381" t="s">
        <v>84</v>
      </c>
      <c r="O1381" t="s">
        <v>81</v>
      </c>
      <c r="P1381" t="s">
        <v>12</v>
      </c>
      <c r="Q1381" t="s">
        <v>13</v>
      </c>
      <c r="R1381" t="s">
        <v>13</v>
      </c>
      <c r="S1381" t="s">
        <v>144</v>
      </c>
      <c r="T1381" s="2">
        <f>MASTER[[#This Row],[CANTIDAD]]*MASTER[[#This Row],[PRECIO DE VENTA]]</f>
        <v>1865</v>
      </c>
      <c r="U1381" s="2">
        <f>MASTER[[#This Row],[CANTIDAD]]*MASTER[[#This Row],[COSTO UNITARIO]]</f>
        <v>459</v>
      </c>
      <c r="V1381" s="2">
        <f>MASTER[[#This Row],[MONTO VENDIDO]]-MASTER[[#This Row],[COSTO DE VENTA]]</f>
        <v>1406</v>
      </c>
    </row>
    <row r="1382" spans="1:22" x14ac:dyDescent="0.3">
      <c r="A1382">
        <v>27337</v>
      </c>
      <c r="B1382">
        <v>1</v>
      </c>
      <c r="C1382" t="s">
        <v>101</v>
      </c>
      <c r="D1382" t="s">
        <v>102</v>
      </c>
      <c r="E1382" s="1">
        <v>43994</v>
      </c>
      <c r="F1382">
        <v>1</v>
      </c>
      <c r="G1382" t="s">
        <v>20</v>
      </c>
      <c r="H1382" t="s">
        <v>21</v>
      </c>
      <c r="I1382" s="3">
        <v>1212</v>
      </c>
      <c r="J1382" s="3">
        <v>1212</v>
      </c>
      <c r="K1382" s="3">
        <v>442</v>
      </c>
      <c r="L1382" t="s">
        <v>98</v>
      </c>
      <c r="M1382">
        <v>15</v>
      </c>
      <c r="N1382" t="s">
        <v>88</v>
      </c>
      <c r="O1382" t="s">
        <v>81</v>
      </c>
      <c r="P1382" t="s">
        <v>18</v>
      </c>
      <c r="Q1382" t="s">
        <v>19</v>
      </c>
      <c r="R1382" t="s">
        <v>138</v>
      </c>
      <c r="S1382" t="s">
        <v>144</v>
      </c>
      <c r="T1382" s="2">
        <f>MASTER[[#This Row],[CANTIDAD]]*MASTER[[#This Row],[PRECIO DE VENTA]]</f>
        <v>1212</v>
      </c>
      <c r="U1382" s="2">
        <f>MASTER[[#This Row],[CANTIDAD]]*MASTER[[#This Row],[COSTO UNITARIO]]</f>
        <v>442</v>
      </c>
      <c r="V1382" s="2">
        <f>MASTER[[#This Row],[MONTO VENDIDO]]-MASTER[[#This Row],[COSTO DE VENTA]]</f>
        <v>770</v>
      </c>
    </row>
    <row r="1383" spans="1:22" x14ac:dyDescent="0.3">
      <c r="A1383">
        <v>27349</v>
      </c>
      <c r="B1383">
        <v>1</v>
      </c>
      <c r="C1383" t="s">
        <v>96</v>
      </c>
      <c r="D1383" t="s">
        <v>97</v>
      </c>
      <c r="E1383" s="1">
        <v>43994</v>
      </c>
      <c r="F1383">
        <v>1</v>
      </c>
      <c r="G1383" t="s">
        <v>67</v>
      </c>
      <c r="H1383" t="s">
        <v>68</v>
      </c>
      <c r="I1383" s="3">
        <v>1272</v>
      </c>
      <c r="J1383" s="3">
        <v>1272</v>
      </c>
      <c r="K1383" s="3">
        <v>397</v>
      </c>
      <c r="L1383" t="s">
        <v>98</v>
      </c>
      <c r="M1383">
        <v>14</v>
      </c>
      <c r="N1383" t="s">
        <v>87</v>
      </c>
      <c r="O1383" t="s">
        <v>81</v>
      </c>
      <c r="P1383" t="s">
        <v>18</v>
      </c>
      <c r="Q1383" t="s">
        <v>19</v>
      </c>
      <c r="R1383" t="s">
        <v>138</v>
      </c>
      <c r="S1383" t="s">
        <v>144</v>
      </c>
      <c r="T1383" s="2">
        <f>MASTER[[#This Row],[CANTIDAD]]*MASTER[[#This Row],[PRECIO DE VENTA]]</f>
        <v>1272</v>
      </c>
      <c r="U1383" s="2">
        <f>MASTER[[#This Row],[CANTIDAD]]*MASTER[[#This Row],[COSTO UNITARIO]]</f>
        <v>397</v>
      </c>
      <c r="V1383" s="2">
        <f>MASTER[[#This Row],[MONTO VENDIDO]]-MASTER[[#This Row],[COSTO DE VENTA]]</f>
        <v>875</v>
      </c>
    </row>
    <row r="1384" spans="1:22" x14ac:dyDescent="0.3">
      <c r="A1384">
        <v>27352</v>
      </c>
      <c r="B1384">
        <v>1</v>
      </c>
      <c r="C1384" t="s">
        <v>99</v>
      </c>
      <c r="D1384" t="s">
        <v>100</v>
      </c>
      <c r="E1384" s="1">
        <v>43994</v>
      </c>
      <c r="F1384">
        <v>1</v>
      </c>
      <c r="G1384" t="s">
        <v>51</v>
      </c>
      <c r="H1384" t="s">
        <v>52</v>
      </c>
      <c r="I1384" s="3">
        <v>1459</v>
      </c>
      <c r="J1384" s="3">
        <v>1459</v>
      </c>
      <c r="K1384" s="3">
        <v>386</v>
      </c>
      <c r="L1384" t="s">
        <v>98</v>
      </c>
      <c r="M1384">
        <v>19</v>
      </c>
      <c r="N1384" t="s">
        <v>89</v>
      </c>
      <c r="O1384" t="s">
        <v>81</v>
      </c>
      <c r="P1384" t="s">
        <v>15</v>
      </c>
      <c r="Q1384" t="s">
        <v>16</v>
      </c>
      <c r="R1384" t="s">
        <v>16</v>
      </c>
      <c r="S1384" t="s">
        <v>144</v>
      </c>
      <c r="T1384" s="2">
        <f>MASTER[[#This Row],[CANTIDAD]]*MASTER[[#This Row],[PRECIO DE VENTA]]</f>
        <v>1459</v>
      </c>
      <c r="U1384" s="2">
        <f>MASTER[[#This Row],[CANTIDAD]]*MASTER[[#This Row],[COSTO UNITARIO]]</f>
        <v>386</v>
      </c>
      <c r="V1384" s="2">
        <f>MASTER[[#This Row],[MONTO VENDIDO]]-MASTER[[#This Row],[COSTO DE VENTA]]</f>
        <v>1073</v>
      </c>
    </row>
    <row r="1385" spans="1:22" x14ac:dyDescent="0.3">
      <c r="A1385">
        <v>27362</v>
      </c>
      <c r="B1385">
        <v>1</v>
      </c>
      <c r="C1385" t="s">
        <v>111</v>
      </c>
      <c r="D1385" t="s">
        <v>112</v>
      </c>
      <c r="E1385" s="1">
        <v>43994</v>
      </c>
      <c r="F1385">
        <v>1</v>
      </c>
      <c r="G1385" t="s">
        <v>67</v>
      </c>
      <c r="H1385" t="s">
        <v>68</v>
      </c>
      <c r="I1385" s="3">
        <v>1799</v>
      </c>
      <c r="J1385" s="3">
        <v>1799</v>
      </c>
      <c r="K1385" s="3">
        <v>434</v>
      </c>
      <c r="L1385" t="s">
        <v>113</v>
      </c>
      <c r="M1385">
        <v>6</v>
      </c>
      <c r="N1385" t="s">
        <v>75</v>
      </c>
      <c r="O1385" t="s">
        <v>70</v>
      </c>
      <c r="P1385" t="s">
        <v>12</v>
      </c>
      <c r="Q1385" t="s">
        <v>13</v>
      </c>
      <c r="R1385" t="s">
        <v>13</v>
      </c>
      <c r="S1385" t="s">
        <v>144</v>
      </c>
      <c r="T1385" s="2">
        <f>MASTER[[#This Row],[CANTIDAD]]*MASTER[[#This Row],[PRECIO DE VENTA]]</f>
        <v>1799</v>
      </c>
      <c r="U1385" s="2">
        <f>MASTER[[#This Row],[CANTIDAD]]*MASTER[[#This Row],[COSTO UNITARIO]]</f>
        <v>434</v>
      </c>
      <c r="V1385" s="2">
        <f>MASTER[[#This Row],[MONTO VENDIDO]]-MASTER[[#This Row],[COSTO DE VENTA]]</f>
        <v>1365</v>
      </c>
    </row>
    <row r="1386" spans="1:22" x14ac:dyDescent="0.3">
      <c r="A1386">
        <v>27371</v>
      </c>
      <c r="B1386">
        <v>1</v>
      </c>
      <c r="C1386" t="s">
        <v>90</v>
      </c>
      <c r="D1386" t="s">
        <v>91</v>
      </c>
      <c r="E1386" s="1">
        <v>43995</v>
      </c>
      <c r="F1386">
        <v>1</v>
      </c>
      <c r="G1386" t="s">
        <v>24</v>
      </c>
      <c r="H1386" t="s">
        <v>25</v>
      </c>
      <c r="I1386" s="3">
        <v>1844</v>
      </c>
      <c r="J1386" s="3">
        <v>1844</v>
      </c>
      <c r="K1386" s="3">
        <v>420</v>
      </c>
      <c r="L1386" t="s">
        <v>9</v>
      </c>
      <c r="M1386">
        <v>19</v>
      </c>
      <c r="N1386" t="s">
        <v>89</v>
      </c>
      <c r="O1386" t="s">
        <v>81</v>
      </c>
      <c r="P1386" t="s">
        <v>15</v>
      </c>
      <c r="Q1386" t="s">
        <v>16</v>
      </c>
      <c r="R1386" t="s">
        <v>16</v>
      </c>
      <c r="S1386" t="s">
        <v>144</v>
      </c>
      <c r="T1386" s="2">
        <f>MASTER[[#This Row],[CANTIDAD]]*MASTER[[#This Row],[PRECIO DE VENTA]]</f>
        <v>1844</v>
      </c>
      <c r="U1386" s="2">
        <f>MASTER[[#This Row],[CANTIDAD]]*MASTER[[#This Row],[COSTO UNITARIO]]</f>
        <v>420</v>
      </c>
      <c r="V1386" s="2">
        <f>MASTER[[#This Row],[MONTO VENDIDO]]-MASTER[[#This Row],[COSTO DE VENTA]]</f>
        <v>1424</v>
      </c>
    </row>
    <row r="1387" spans="1:22" x14ac:dyDescent="0.3">
      <c r="A1387">
        <v>27376</v>
      </c>
      <c r="B1387">
        <v>1</v>
      </c>
      <c r="C1387" t="s">
        <v>103</v>
      </c>
      <c r="D1387" t="s">
        <v>104</v>
      </c>
      <c r="E1387" s="1">
        <v>43995</v>
      </c>
      <c r="F1387">
        <v>1</v>
      </c>
      <c r="G1387" t="s">
        <v>59</v>
      </c>
      <c r="H1387" t="s">
        <v>60</v>
      </c>
      <c r="I1387" s="3">
        <v>1830</v>
      </c>
      <c r="J1387" s="3">
        <v>1830</v>
      </c>
      <c r="K1387" s="3">
        <v>421</v>
      </c>
      <c r="L1387" t="s">
        <v>98</v>
      </c>
      <c r="M1387">
        <v>13</v>
      </c>
      <c r="N1387" t="s">
        <v>78</v>
      </c>
      <c r="O1387" t="s">
        <v>70</v>
      </c>
      <c r="P1387" t="s">
        <v>18</v>
      </c>
      <c r="Q1387" t="s">
        <v>19</v>
      </c>
      <c r="R1387" t="s">
        <v>138</v>
      </c>
      <c r="S1387" t="s">
        <v>144</v>
      </c>
      <c r="T1387" s="2">
        <f>MASTER[[#This Row],[CANTIDAD]]*MASTER[[#This Row],[PRECIO DE VENTA]]</f>
        <v>1830</v>
      </c>
      <c r="U1387" s="2">
        <f>MASTER[[#This Row],[CANTIDAD]]*MASTER[[#This Row],[COSTO UNITARIO]]</f>
        <v>421</v>
      </c>
      <c r="V1387" s="2">
        <f>MASTER[[#This Row],[MONTO VENDIDO]]-MASTER[[#This Row],[COSTO DE VENTA]]</f>
        <v>1409</v>
      </c>
    </row>
    <row r="1388" spans="1:22" x14ac:dyDescent="0.3">
      <c r="A1388">
        <v>27377</v>
      </c>
      <c r="B1388">
        <v>1</v>
      </c>
      <c r="C1388" t="s">
        <v>96</v>
      </c>
      <c r="D1388" t="s">
        <v>97</v>
      </c>
      <c r="E1388" s="1">
        <v>43995</v>
      </c>
      <c r="F1388">
        <v>1</v>
      </c>
      <c r="G1388" t="s">
        <v>67</v>
      </c>
      <c r="H1388" t="s">
        <v>68</v>
      </c>
      <c r="I1388" s="3">
        <v>1272</v>
      </c>
      <c r="J1388" s="3">
        <v>1272</v>
      </c>
      <c r="K1388" s="3">
        <v>397</v>
      </c>
      <c r="L1388" t="s">
        <v>98</v>
      </c>
      <c r="M1388">
        <v>19</v>
      </c>
      <c r="N1388" t="s">
        <v>89</v>
      </c>
      <c r="O1388" t="s">
        <v>81</v>
      </c>
      <c r="P1388" t="s">
        <v>15</v>
      </c>
      <c r="Q1388" t="s">
        <v>16</v>
      </c>
      <c r="R1388" t="s">
        <v>16</v>
      </c>
      <c r="S1388" t="s">
        <v>144</v>
      </c>
      <c r="T1388" s="2">
        <f>MASTER[[#This Row],[CANTIDAD]]*MASTER[[#This Row],[PRECIO DE VENTA]]</f>
        <v>1272</v>
      </c>
      <c r="U1388" s="2">
        <f>MASTER[[#This Row],[CANTIDAD]]*MASTER[[#This Row],[COSTO UNITARIO]]</f>
        <v>397</v>
      </c>
      <c r="V1388" s="2">
        <f>MASTER[[#This Row],[MONTO VENDIDO]]-MASTER[[#This Row],[COSTO DE VENTA]]</f>
        <v>875</v>
      </c>
    </row>
    <row r="1389" spans="1:22" x14ac:dyDescent="0.3">
      <c r="A1389">
        <v>27381</v>
      </c>
      <c r="B1389">
        <v>1</v>
      </c>
      <c r="C1389" t="s">
        <v>107</v>
      </c>
      <c r="D1389" t="s">
        <v>108</v>
      </c>
      <c r="E1389" s="1">
        <v>43996</v>
      </c>
      <c r="F1389">
        <v>1</v>
      </c>
      <c r="G1389" t="s">
        <v>73</v>
      </c>
      <c r="H1389" t="s">
        <v>74</v>
      </c>
      <c r="I1389" s="3">
        <v>1333</v>
      </c>
      <c r="J1389" s="3">
        <v>1213</v>
      </c>
      <c r="K1389" s="3">
        <v>380</v>
      </c>
      <c r="L1389" t="s">
        <v>98</v>
      </c>
      <c r="M1389">
        <v>15</v>
      </c>
      <c r="N1389" t="s">
        <v>88</v>
      </c>
      <c r="O1389" t="s">
        <v>81</v>
      </c>
      <c r="P1389" t="s">
        <v>18</v>
      </c>
      <c r="Q1389" t="s">
        <v>19</v>
      </c>
      <c r="R1389" t="s">
        <v>138</v>
      </c>
      <c r="S1389" t="s">
        <v>144</v>
      </c>
      <c r="T1389" s="2">
        <f>MASTER[[#This Row],[CANTIDAD]]*MASTER[[#This Row],[PRECIO DE VENTA]]</f>
        <v>1213</v>
      </c>
      <c r="U1389" s="2">
        <f>MASTER[[#This Row],[CANTIDAD]]*MASTER[[#This Row],[COSTO UNITARIO]]</f>
        <v>380</v>
      </c>
      <c r="V1389" s="2">
        <f>MASTER[[#This Row],[MONTO VENDIDO]]-MASTER[[#This Row],[COSTO DE VENTA]]</f>
        <v>833</v>
      </c>
    </row>
    <row r="1390" spans="1:22" x14ac:dyDescent="0.3">
      <c r="A1390">
        <v>27405</v>
      </c>
      <c r="B1390">
        <v>1</v>
      </c>
      <c r="C1390" t="s">
        <v>96</v>
      </c>
      <c r="D1390" t="s">
        <v>97</v>
      </c>
      <c r="E1390" s="1">
        <v>43996</v>
      </c>
      <c r="F1390">
        <v>1</v>
      </c>
      <c r="G1390" t="s">
        <v>20</v>
      </c>
      <c r="H1390" t="s">
        <v>21</v>
      </c>
      <c r="I1390" s="3">
        <v>1272</v>
      </c>
      <c r="J1390" s="3">
        <v>1272</v>
      </c>
      <c r="K1390" s="3">
        <v>397</v>
      </c>
      <c r="L1390" t="s">
        <v>98</v>
      </c>
      <c r="M1390">
        <v>5</v>
      </c>
      <c r="N1390" t="s">
        <v>85</v>
      </c>
      <c r="O1390" t="s">
        <v>81</v>
      </c>
      <c r="P1390" t="s">
        <v>12</v>
      </c>
      <c r="Q1390" t="s">
        <v>13</v>
      </c>
      <c r="R1390" t="s">
        <v>13</v>
      </c>
      <c r="S1390" t="s">
        <v>144</v>
      </c>
      <c r="T1390" s="2">
        <f>MASTER[[#This Row],[CANTIDAD]]*MASTER[[#This Row],[PRECIO DE VENTA]]</f>
        <v>1272</v>
      </c>
      <c r="U1390" s="2">
        <f>MASTER[[#This Row],[CANTIDAD]]*MASTER[[#This Row],[COSTO UNITARIO]]</f>
        <v>397</v>
      </c>
      <c r="V1390" s="2">
        <f>MASTER[[#This Row],[MONTO VENDIDO]]-MASTER[[#This Row],[COSTO DE VENTA]]</f>
        <v>875</v>
      </c>
    </row>
    <row r="1391" spans="1:22" x14ac:dyDescent="0.3">
      <c r="A1391">
        <v>27411</v>
      </c>
      <c r="B1391">
        <v>1</v>
      </c>
      <c r="C1391" t="s">
        <v>111</v>
      </c>
      <c r="D1391" t="s">
        <v>112</v>
      </c>
      <c r="E1391" s="1">
        <v>43996</v>
      </c>
      <c r="F1391">
        <v>1</v>
      </c>
      <c r="G1391" t="s">
        <v>39</v>
      </c>
      <c r="H1391" t="s">
        <v>40</v>
      </c>
      <c r="I1391" s="3">
        <v>1621</v>
      </c>
      <c r="J1391" s="3">
        <v>1621</v>
      </c>
      <c r="K1391" s="3">
        <v>434</v>
      </c>
      <c r="L1391" t="s">
        <v>113</v>
      </c>
      <c r="M1391">
        <v>8</v>
      </c>
      <c r="N1391" t="s">
        <v>80</v>
      </c>
      <c r="O1391" t="s">
        <v>81</v>
      </c>
      <c r="P1391" t="s">
        <v>12</v>
      </c>
      <c r="Q1391" t="s">
        <v>13</v>
      </c>
      <c r="R1391" t="s">
        <v>13</v>
      </c>
      <c r="S1391" t="s">
        <v>144</v>
      </c>
      <c r="T1391" s="2">
        <f>MASTER[[#This Row],[CANTIDAD]]*MASTER[[#This Row],[PRECIO DE VENTA]]</f>
        <v>1621</v>
      </c>
      <c r="U1391" s="2">
        <f>MASTER[[#This Row],[CANTIDAD]]*MASTER[[#This Row],[COSTO UNITARIO]]</f>
        <v>434</v>
      </c>
      <c r="V1391" s="2">
        <f>MASTER[[#This Row],[MONTO VENDIDO]]-MASTER[[#This Row],[COSTO DE VENTA]]</f>
        <v>1187</v>
      </c>
    </row>
    <row r="1392" spans="1:22" x14ac:dyDescent="0.3">
      <c r="A1392">
        <v>27455</v>
      </c>
      <c r="B1392">
        <v>1</v>
      </c>
      <c r="C1392" t="s">
        <v>5</v>
      </c>
      <c r="D1392" t="s">
        <v>6</v>
      </c>
      <c r="E1392" s="1">
        <v>43996</v>
      </c>
      <c r="F1392">
        <v>1</v>
      </c>
      <c r="G1392" t="s">
        <v>24</v>
      </c>
      <c r="H1392" t="s">
        <v>25</v>
      </c>
      <c r="I1392" s="3">
        <v>1296</v>
      </c>
      <c r="J1392" s="3">
        <v>1296</v>
      </c>
      <c r="K1392" s="3">
        <v>393</v>
      </c>
      <c r="L1392" t="s">
        <v>9</v>
      </c>
      <c r="M1392">
        <v>6</v>
      </c>
      <c r="N1392" t="s">
        <v>75</v>
      </c>
      <c r="O1392" t="s">
        <v>70</v>
      </c>
      <c r="P1392" t="s">
        <v>12</v>
      </c>
      <c r="Q1392" t="s">
        <v>13</v>
      </c>
      <c r="R1392" t="s">
        <v>13</v>
      </c>
      <c r="S1392" t="s">
        <v>144</v>
      </c>
      <c r="T1392" s="2">
        <f>MASTER[[#This Row],[CANTIDAD]]*MASTER[[#This Row],[PRECIO DE VENTA]]</f>
        <v>1296</v>
      </c>
      <c r="U1392" s="2">
        <f>MASTER[[#This Row],[CANTIDAD]]*MASTER[[#This Row],[COSTO UNITARIO]]</f>
        <v>393</v>
      </c>
      <c r="V1392" s="2">
        <f>MASTER[[#This Row],[MONTO VENDIDO]]-MASTER[[#This Row],[COSTO DE VENTA]]</f>
        <v>903</v>
      </c>
    </row>
    <row r="1393" spans="1:22" x14ac:dyDescent="0.3">
      <c r="A1393">
        <v>27459</v>
      </c>
      <c r="B1393">
        <v>1</v>
      </c>
      <c r="C1393" t="s">
        <v>101</v>
      </c>
      <c r="D1393" t="s">
        <v>102</v>
      </c>
      <c r="E1393" s="1">
        <v>43996</v>
      </c>
      <c r="F1393">
        <v>1</v>
      </c>
      <c r="G1393" t="s">
        <v>67</v>
      </c>
      <c r="H1393" t="s">
        <v>68</v>
      </c>
      <c r="I1393" s="3">
        <v>1357</v>
      </c>
      <c r="J1393" s="3">
        <v>1357</v>
      </c>
      <c r="K1393" s="3">
        <v>442</v>
      </c>
      <c r="L1393" t="s">
        <v>98</v>
      </c>
      <c r="M1393">
        <v>3</v>
      </c>
      <c r="N1393" t="s">
        <v>69</v>
      </c>
      <c r="O1393" t="s">
        <v>70</v>
      </c>
      <c r="P1393" t="s">
        <v>71</v>
      </c>
      <c r="Q1393" t="s">
        <v>72</v>
      </c>
      <c r="R1393" t="s">
        <v>139</v>
      </c>
      <c r="S1393" t="s">
        <v>144</v>
      </c>
      <c r="T1393" s="2">
        <f>MASTER[[#This Row],[CANTIDAD]]*MASTER[[#This Row],[PRECIO DE VENTA]]</f>
        <v>1357</v>
      </c>
      <c r="U1393" s="2">
        <f>MASTER[[#This Row],[CANTIDAD]]*MASTER[[#This Row],[COSTO UNITARIO]]</f>
        <v>442</v>
      </c>
      <c r="V1393" s="2">
        <f>MASTER[[#This Row],[MONTO VENDIDO]]-MASTER[[#This Row],[COSTO DE VENTA]]</f>
        <v>915</v>
      </c>
    </row>
    <row r="1394" spans="1:22" x14ac:dyDescent="0.3">
      <c r="A1394">
        <v>27461</v>
      </c>
      <c r="B1394">
        <v>1</v>
      </c>
      <c r="C1394" t="s">
        <v>99</v>
      </c>
      <c r="D1394" t="s">
        <v>100</v>
      </c>
      <c r="E1394" s="1">
        <v>43996</v>
      </c>
      <c r="F1394">
        <v>1</v>
      </c>
      <c r="G1394" t="s">
        <v>45</v>
      </c>
      <c r="H1394" t="s">
        <v>46</v>
      </c>
      <c r="I1394" s="3">
        <v>1678</v>
      </c>
      <c r="J1394" s="3">
        <v>1678</v>
      </c>
      <c r="K1394" s="3">
        <v>386</v>
      </c>
      <c r="L1394" t="s">
        <v>98</v>
      </c>
      <c r="M1394">
        <v>13</v>
      </c>
      <c r="N1394" t="s">
        <v>78</v>
      </c>
      <c r="O1394" t="s">
        <v>70</v>
      </c>
      <c r="P1394" t="s">
        <v>18</v>
      </c>
      <c r="Q1394" t="s">
        <v>19</v>
      </c>
      <c r="R1394" t="s">
        <v>138</v>
      </c>
      <c r="S1394" t="s">
        <v>144</v>
      </c>
      <c r="T1394" s="2">
        <f>MASTER[[#This Row],[CANTIDAD]]*MASTER[[#This Row],[PRECIO DE VENTA]]</f>
        <v>1678</v>
      </c>
      <c r="U1394" s="2">
        <f>MASTER[[#This Row],[CANTIDAD]]*MASTER[[#This Row],[COSTO UNITARIO]]</f>
        <v>386</v>
      </c>
      <c r="V1394" s="2">
        <f>MASTER[[#This Row],[MONTO VENDIDO]]-MASTER[[#This Row],[COSTO DE VENTA]]</f>
        <v>1292</v>
      </c>
    </row>
    <row r="1395" spans="1:22" x14ac:dyDescent="0.3">
      <c r="A1395">
        <v>27475</v>
      </c>
      <c r="B1395">
        <v>1</v>
      </c>
      <c r="C1395" t="s">
        <v>92</v>
      </c>
      <c r="D1395" t="s">
        <v>93</v>
      </c>
      <c r="E1395" s="1">
        <v>43996</v>
      </c>
      <c r="F1395">
        <v>1</v>
      </c>
      <c r="G1395" t="s">
        <v>63</v>
      </c>
      <c r="H1395" t="s">
        <v>64</v>
      </c>
      <c r="I1395" s="3">
        <v>1681</v>
      </c>
      <c r="J1395" s="3">
        <v>1681</v>
      </c>
      <c r="K1395" s="3">
        <v>396</v>
      </c>
      <c r="L1395" t="s">
        <v>9</v>
      </c>
      <c r="M1395">
        <v>2</v>
      </c>
      <c r="N1395" t="s">
        <v>86</v>
      </c>
      <c r="O1395" t="s">
        <v>81</v>
      </c>
      <c r="P1395" t="s">
        <v>71</v>
      </c>
      <c r="Q1395" t="s">
        <v>72</v>
      </c>
      <c r="R1395" t="s">
        <v>139</v>
      </c>
      <c r="S1395" t="s">
        <v>144</v>
      </c>
      <c r="T1395" s="2">
        <f>MASTER[[#This Row],[CANTIDAD]]*MASTER[[#This Row],[PRECIO DE VENTA]]</f>
        <v>1681</v>
      </c>
      <c r="U1395" s="2">
        <f>MASTER[[#This Row],[CANTIDAD]]*MASTER[[#This Row],[COSTO UNITARIO]]</f>
        <v>396</v>
      </c>
      <c r="V1395" s="2">
        <f>MASTER[[#This Row],[MONTO VENDIDO]]-MASTER[[#This Row],[COSTO DE VENTA]]</f>
        <v>1285</v>
      </c>
    </row>
    <row r="1396" spans="1:22" x14ac:dyDescent="0.3">
      <c r="A1396">
        <v>27490</v>
      </c>
      <c r="B1396">
        <v>1</v>
      </c>
      <c r="C1396" t="s">
        <v>109</v>
      </c>
      <c r="D1396" t="s">
        <v>110</v>
      </c>
      <c r="E1396" s="1">
        <v>43996</v>
      </c>
      <c r="F1396">
        <v>1</v>
      </c>
      <c r="G1396" t="s">
        <v>73</v>
      </c>
      <c r="H1396" t="s">
        <v>74</v>
      </c>
      <c r="I1396" s="3">
        <v>1128</v>
      </c>
      <c r="J1396" s="3">
        <v>1128</v>
      </c>
      <c r="K1396" s="3">
        <v>387</v>
      </c>
      <c r="L1396" t="s">
        <v>98</v>
      </c>
      <c r="M1396">
        <v>6</v>
      </c>
      <c r="N1396" t="s">
        <v>75</v>
      </c>
      <c r="O1396" t="s">
        <v>70</v>
      </c>
      <c r="P1396" t="s">
        <v>12</v>
      </c>
      <c r="Q1396" t="s">
        <v>13</v>
      </c>
      <c r="R1396" t="s">
        <v>13</v>
      </c>
      <c r="S1396" t="s">
        <v>144</v>
      </c>
      <c r="T1396" s="2">
        <f>MASTER[[#This Row],[CANTIDAD]]*MASTER[[#This Row],[PRECIO DE VENTA]]</f>
        <v>1128</v>
      </c>
      <c r="U1396" s="2">
        <f>MASTER[[#This Row],[CANTIDAD]]*MASTER[[#This Row],[COSTO UNITARIO]]</f>
        <v>387</v>
      </c>
      <c r="V1396" s="2">
        <f>MASTER[[#This Row],[MONTO VENDIDO]]-MASTER[[#This Row],[COSTO DE VENTA]]</f>
        <v>741</v>
      </c>
    </row>
    <row r="1397" spans="1:22" x14ac:dyDescent="0.3">
      <c r="A1397">
        <v>27507</v>
      </c>
      <c r="B1397">
        <v>1</v>
      </c>
      <c r="C1397" t="s">
        <v>99</v>
      </c>
      <c r="D1397" t="s">
        <v>100</v>
      </c>
      <c r="E1397" s="1">
        <v>43997</v>
      </c>
      <c r="F1397">
        <v>1</v>
      </c>
      <c r="G1397" t="s">
        <v>65</v>
      </c>
      <c r="H1397" t="s">
        <v>66</v>
      </c>
      <c r="I1397" s="3">
        <v>1459</v>
      </c>
      <c r="J1397" s="3">
        <v>1459</v>
      </c>
      <c r="K1397" s="3">
        <v>386</v>
      </c>
      <c r="L1397" t="s">
        <v>98</v>
      </c>
      <c r="M1397">
        <v>15</v>
      </c>
      <c r="N1397" t="s">
        <v>88</v>
      </c>
      <c r="O1397" t="s">
        <v>81</v>
      </c>
      <c r="P1397" t="s">
        <v>18</v>
      </c>
      <c r="Q1397" t="s">
        <v>19</v>
      </c>
      <c r="R1397" t="s">
        <v>138</v>
      </c>
      <c r="S1397" t="s">
        <v>144</v>
      </c>
      <c r="T1397" s="2">
        <f>MASTER[[#This Row],[CANTIDAD]]*MASTER[[#This Row],[PRECIO DE VENTA]]</f>
        <v>1459</v>
      </c>
      <c r="U1397" s="2">
        <f>MASTER[[#This Row],[CANTIDAD]]*MASTER[[#This Row],[COSTO UNITARIO]]</f>
        <v>386</v>
      </c>
      <c r="V1397" s="2">
        <f>MASTER[[#This Row],[MONTO VENDIDO]]-MASTER[[#This Row],[COSTO DE VENTA]]</f>
        <v>1073</v>
      </c>
    </row>
    <row r="1398" spans="1:22" x14ac:dyDescent="0.3">
      <c r="A1398">
        <v>27518</v>
      </c>
      <c r="B1398">
        <v>1</v>
      </c>
      <c r="C1398" t="s">
        <v>99</v>
      </c>
      <c r="D1398" t="s">
        <v>100</v>
      </c>
      <c r="E1398" s="1">
        <v>43997</v>
      </c>
      <c r="F1398">
        <v>1</v>
      </c>
      <c r="G1398" t="s">
        <v>27</v>
      </c>
      <c r="H1398" t="s">
        <v>28</v>
      </c>
      <c r="I1398" s="3">
        <v>1678</v>
      </c>
      <c r="J1398" s="3">
        <v>1678</v>
      </c>
      <c r="K1398" s="3">
        <v>386</v>
      </c>
      <c r="L1398" t="s">
        <v>98</v>
      </c>
      <c r="M1398">
        <v>9</v>
      </c>
      <c r="N1398" t="s">
        <v>76</v>
      </c>
      <c r="O1398" t="s">
        <v>70</v>
      </c>
      <c r="P1398" t="s">
        <v>12</v>
      </c>
      <c r="Q1398" t="s">
        <v>13</v>
      </c>
      <c r="R1398" t="s">
        <v>13</v>
      </c>
      <c r="S1398" t="s">
        <v>144</v>
      </c>
      <c r="T1398" s="2">
        <f>MASTER[[#This Row],[CANTIDAD]]*MASTER[[#This Row],[PRECIO DE VENTA]]</f>
        <v>1678</v>
      </c>
      <c r="U1398" s="2">
        <f>MASTER[[#This Row],[CANTIDAD]]*MASTER[[#This Row],[COSTO UNITARIO]]</f>
        <v>386</v>
      </c>
      <c r="V1398" s="2">
        <f>MASTER[[#This Row],[MONTO VENDIDO]]-MASTER[[#This Row],[COSTO DE VENTA]]</f>
        <v>1292</v>
      </c>
    </row>
    <row r="1399" spans="1:22" x14ac:dyDescent="0.3">
      <c r="A1399">
        <v>27526</v>
      </c>
      <c r="B1399">
        <v>1</v>
      </c>
      <c r="C1399" t="s">
        <v>92</v>
      </c>
      <c r="D1399" t="s">
        <v>93</v>
      </c>
      <c r="E1399" s="1">
        <v>43997</v>
      </c>
      <c r="F1399">
        <v>1</v>
      </c>
      <c r="G1399" t="s">
        <v>65</v>
      </c>
      <c r="H1399" t="s">
        <v>66</v>
      </c>
      <c r="I1399" s="3">
        <v>1866</v>
      </c>
      <c r="J1399" s="3">
        <v>1866</v>
      </c>
      <c r="K1399" s="3">
        <v>396</v>
      </c>
      <c r="L1399" t="s">
        <v>9</v>
      </c>
      <c r="M1399">
        <v>6</v>
      </c>
      <c r="N1399" t="s">
        <v>75</v>
      </c>
      <c r="O1399" t="s">
        <v>70</v>
      </c>
      <c r="P1399" t="s">
        <v>12</v>
      </c>
      <c r="Q1399" t="s">
        <v>13</v>
      </c>
      <c r="R1399" t="s">
        <v>13</v>
      </c>
      <c r="S1399" t="s">
        <v>144</v>
      </c>
      <c r="T1399" s="2">
        <f>MASTER[[#This Row],[CANTIDAD]]*MASTER[[#This Row],[PRECIO DE VENTA]]</f>
        <v>1866</v>
      </c>
      <c r="U1399" s="2">
        <f>MASTER[[#This Row],[CANTIDAD]]*MASTER[[#This Row],[COSTO UNITARIO]]</f>
        <v>396</v>
      </c>
      <c r="V1399" s="2">
        <f>MASTER[[#This Row],[MONTO VENDIDO]]-MASTER[[#This Row],[COSTO DE VENTA]]</f>
        <v>1470</v>
      </c>
    </row>
    <row r="1400" spans="1:22" x14ac:dyDescent="0.3">
      <c r="A1400">
        <v>27546</v>
      </c>
      <c r="B1400">
        <v>2</v>
      </c>
      <c r="C1400" t="s">
        <v>5</v>
      </c>
      <c r="D1400" t="s">
        <v>6</v>
      </c>
      <c r="E1400" s="1">
        <v>43997</v>
      </c>
      <c r="F1400">
        <v>1</v>
      </c>
      <c r="G1400" t="s">
        <v>47</v>
      </c>
      <c r="H1400" t="s">
        <v>48</v>
      </c>
      <c r="I1400" s="3">
        <v>1311</v>
      </c>
      <c r="J1400" s="3">
        <v>1311</v>
      </c>
      <c r="K1400" s="3">
        <v>393</v>
      </c>
      <c r="L1400" t="s">
        <v>9</v>
      </c>
      <c r="M1400">
        <v>11</v>
      </c>
      <c r="N1400" t="s">
        <v>10</v>
      </c>
      <c r="O1400" t="s">
        <v>11</v>
      </c>
      <c r="P1400" t="s">
        <v>12</v>
      </c>
      <c r="Q1400" t="s">
        <v>13</v>
      </c>
      <c r="R1400" t="s">
        <v>13</v>
      </c>
      <c r="S1400" t="s">
        <v>144</v>
      </c>
      <c r="T1400" s="2">
        <f>MASTER[[#This Row],[CANTIDAD]]*MASTER[[#This Row],[PRECIO DE VENTA]]</f>
        <v>1311</v>
      </c>
      <c r="U1400" s="2">
        <f>MASTER[[#This Row],[CANTIDAD]]*MASTER[[#This Row],[COSTO UNITARIO]]</f>
        <v>393</v>
      </c>
      <c r="V1400" s="2">
        <f>MASTER[[#This Row],[MONTO VENDIDO]]-MASTER[[#This Row],[COSTO DE VENTA]]</f>
        <v>918</v>
      </c>
    </row>
    <row r="1401" spans="1:22" x14ac:dyDescent="0.3">
      <c r="A1401">
        <v>27546</v>
      </c>
      <c r="B1401">
        <v>1</v>
      </c>
      <c r="C1401" t="s">
        <v>121</v>
      </c>
      <c r="D1401" t="s">
        <v>122</v>
      </c>
      <c r="E1401" s="1">
        <v>43997</v>
      </c>
      <c r="F1401">
        <v>1</v>
      </c>
      <c r="G1401" t="s">
        <v>20</v>
      </c>
      <c r="H1401" t="s">
        <v>21</v>
      </c>
      <c r="I1401" s="3">
        <v>941</v>
      </c>
      <c r="J1401" s="3">
        <v>941</v>
      </c>
      <c r="K1401" s="3">
        <v>460</v>
      </c>
      <c r="L1401" t="s">
        <v>120</v>
      </c>
      <c r="M1401">
        <v>11</v>
      </c>
      <c r="N1401" t="s">
        <v>10</v>
      </c>
      <c r="O1401" t="s">
        <v>11</v>
      </c>
      <c r="P1401" t="s">
        <v>12</v>
      </c>
      <c r="Q1401" t="s">
        <v>13</v>
      </c>
      <c r="R1401" t="s">
        <v>13</v>
      </c>
      <c r="S1401" t="s">
        <v>144</v>
      </c>
      <c r="T1401" s="2">
        <f>MASTER[[#This Row],[CANTIDAD]]*MASTER[[#This Row],[PRECIO DE VENTA]]</f>
        <v>941</v>
      </c>
      <c r="U1401" s="2">
        <f>MASTER[[#This Row],[CANTIDAD]]*MASTER[[#This Row],[COSTO UNITARIO]]</f>
        <v>460</v>
      </c>
      <c r="V1401" s="2">
        <f>MASTER[[#This Row],[MONTO VENDIDO]]-MASTER[[#This Row],[COSTO DE VENTA]]</f>
        <v>481</v>
      </c>
    </row>
    <row r="1402" spans="1:22" x14ac:dyDescent="0.3">
      <c r="A1402">
        <v>27570</v>
      </c>
      <c r="B1402">
        <v>1</v>
      </c>
      <c r="C1402" t="s">
        <v>121</v>
      </c>
      <c r="D1402" t="s">
        <v>122</v>
      </c>
      <c r="E1402" s="1">
        <v>43997</v>
      </c>
      <c r="F1402">
        <v>1</v>
      </c>
      <c r="G1402" t="s">
        <v>73</v>
      </c>
      <c r="H1402" t="s">
        <v>74</v>
      </c>
      <c r="I1402" s="3">
        <v>1069</v>
      </c>
      <c r="J1402" s="3">
        <v>1026</v>
      </c>
      <c r="K1402" s="3">
        <v>460</v>
      </c>
      <c r="L1402" t="s">
        <v>120</v>
      </c>
      <c r="M1402">
        <v>5</v>
      </c>
      <c r="N1402" t="s">
        <v>85</v>
      </c>
      <c r="O1402" t="s">
        <v>81</v>
      </c>
      <c r="P1402" t="s">
        <v>12</v>
      </c>
      <c r="Q1402" t="s">
        <v>13</v>
      </c>
      <c r="R1402" t="s">
        <v>13</v>
      </c>
      <c r="S1402" t="s">
        <v>144</v>
      </c>
      <c r="T1402" s="2">
        <f>MASTER[[#This Row],[CANTIDAD]]*MASTER[[#This Row],[PRECIO DE VENTA]]</f>
        <v>1026</v>
      </c>
      <c r="U1402" s="2">
        <f>MASTER[[#This Row],[CANTIDAD]]*MASTER[[#This Row],[COSTO UNITARIO]]</f>
        <v>460</v>
      </c>
      <c r="V1402" s="2">
        <f>MASTER[[#This Row],[MONTO VENDIDO]]-MASTER[[#This Row],[COSTO DE VENTA]]</f>
        <v>566</v>
      </c>
    </row>
    <row r="1403" spans="1:22" x14ac:dyDescent="0.3">
      <c r="A1403">
        <v>27581</v>
      </c>
      <c r="B1403">
        <v>1</v>
      </c>
      <c r="C1403" t="s">
        <v>105</v>
      </c>
      <c r="D1403" t="s">
        <v>106</v>
      </c>
      <c r="E1403" s="1">
        <v>43998</v>
      </c>
      <c r="F1403">
        <v>1</v>
      </c>
      <c r="G1403" t="s">
        <v>29</v>
      </c>
      <c r="H1403" t="s">
        <v>30</v>
      </c>
      <c r="I1403" s="3">
        <v>2033</v>
      </c>
      <c r="J1403" s="3">
        <v>2033</v>
      </c>
      <c r="K1403" s="3">
        <v>459</v>
      </c>
      <c r="L1403" t="s">
        <v>98</v>
      </c>
      <c r="M1403">
        <v>1</v>
      </c>
      <c r="N1403" t="s">
        <v>77</v>
      </c>
      <c r="O1403" t="s">
        <v>70</v>
      </c>
      <c r="P1403" t="s">
        <v>71</v>
      </c>
      <c r="Q1403" t="s">
        <v>72</v>
      </c>
      <c r="R1403" t="s">
        <v>139</v>
      </c>
      <c r="S1403" t="s">
        <v>144</v>
      </c>
      <c r="T1403" s="2">
        <f>MASTER[[#This Row],[CANTIDAD]]*MASTER[[#This Row],[PRECIO DE VENTA]]</f>
        <v>2033</v>
      </c>
      <c r="U1403" s="2">
        <f>MASTER[[#This Row],[CANTIDAD]]*MASTER[[#This Row],[COSTO UNITARIO]]</f>
        <v>459</v>
      </c>
      <c r="V1403" s="2">
        <f>MASTER[[#This Row],[MONTO VENDIDO]]-MASTER[[#This Row],[COSTO DE VENTA]]</f>
        <v>1574</v>
      </c>
    </row>
    <row r="1404" spans="1:22" x14ac:dyDescent="0.3">
      <c r="A1404">
        <v>27620</v>
      </c>
      <c r="B1404">
        <v>1</v>
      </c>
      <c r="C1404" t="s">
        <v>103</v>
      </c>
      <c r="D1404" t="s">
        <v>104</v>
      </c>
      <c r="E1404" s="1">
        <v>43998</v>
      </c>
      <c r="F1404">
        <v>4</v>
      </c>
      <c r="G1404" t="s">
        <v>59</v>
      </c>
      <c r="H1404" t="s">
        <v>60</v>
      </c>
      <c r="I1404" s="3">
        <v>1591</v>
      </c>
      <c r="J1404" s="3">
        <v>1591</v>
      </c>
      <c r="K1404" s="3">
        <v>421</v>
      </c>
      <c r="L1404" t="s">
        <v>98</v>
      </c>
      <c r="M1404">
        <v>2</v>
      </c>
      <c r="N1404" t="s">
        <v>86</v>
      </c>
      <c r="O1404" t="s">
        <v>81</v>
      </c>
      <c r="P1404" t="s">
        <v>71</v>
      </c>
      <c r="Q1404" t="s">
        <v>72</v>
      </c>
      <c r="R1404" t="s">
        <v>139</v>
      </c>
      <c r="S1404" t="s">
        <v>144</v>
      </c>
      <c r="T1404" s="2">
        <f>MASTER[[#This Row],[CANTIDAD]]*MASTER[[#This Row],[PRECIO DE VENTA]]</f>
        <v>6364</v>
      </c>
      <c r="U1404" s="2">
        <f>MASTER[[#This Row],[CANTIDAD]]*MASTER[[#This Row],[COSTO UNITARIO]]</f>
        <v>1684</v>
      </c>
      <c r="V1404" s="2">
        <f>MASTER[[#This Row],[MONTO VENDIDO]]-MASTER[[#This Row],[COSTO DE VENTA]]</f>
        <v>4680</v>
      </c>
    </row>
    <row r="1405" spans="1:22" x14ac:dyDescent="0.3">
      <c r="A1405">
        <v>27621</v>
      </c>
      <c r="B1405">
        <v>1</v>
      </c>
      <c r="C1405" t="s">
        <v>94</v>
      </c>
      <c r="D1405" t="s">
        <v>95</v>
      </c>
      <c r="E1405" s="1">
        <v>43998</v>
      </c>
      <c r="F1405">
        <v>1</v>
      </c>
      <c r="G1405" t="s">
        <v>29</v>
      </c>
      <c r="H1405" t="s">
        <v>30</v>
      </c>
      <c r="I1405" s="3">
        <v>1048</v>
      </c>
      <c r="J1405" s="3">
        <v>1048</v>
      </c>
      <c r="K1405" s="3">
        <v>392</v>
      </c>
      <c r="L1405" t="s">
        <v>9</v>
      </c>
      <c r="M1405">
        <v>4</v>
      </c>
      <c r="N1405" t="s">
        <v>82</v>
      </c>
      <c r="O1405" t="s">
        <v>81</v>
      </c>
      <c r="P1405" t="s">
        <v>71</v>
      </c>
      <c r="Q1405" t="s">
        <v>72</v>
      </c>
      <c r="R1405" t="s">
        <v>139</v>
      </c>
      <c r="S1405" t="s">
        <v>144</v>
      </c>
      <c r="T1405" s="2">
        <f>MASTER[[#This Row],[CANTIDAD]]*MASTER[[#This Row],[PRECIO DE VENTA]]</f>
        <v>1048</v>
      </c>
      <c r="U1405" s="2">
        <f>MASTER[[#This Row],[CANTIDAD]]*MASTER[[#This Row],[COSTO UNITARIO]]</f>
        <v>392</v>
      </c>
      <c r="V1405" s="2">
        <f>MASTER[[#This Row],[MONTO VENDIDO]]-MASTER[[#This Row],[COSTO DE VENTA]]</f>
        <v>656</v>
      </c>
    </row>
    <row r="1406" spans="1:22" x14ac:dyDescent="0.3">
      <c r="A1406">
        <v>27625</v>
      </c>
      <c r="B1406">
        <v>1</v>
      </c>
      <c r="C1406" t="s">
        <v>111</v>
      </c>
      <c r="D1406" t="s">
        <v>112</v>
      </c>
      <c r="E1406" s="1">
        <v>43998</v>
      </c>
      <c r="F1406">
        <v>1</v>
      </c>
      <c r="G1406" t="s">
        <v>57</v>
      </c>
      <c r="H1406" t="s">
        <v>58</v>
      </c>
      <c r="I1406" s="3">
        <v>1621</v>
      </c>
      <c r="J1406" s="3">
        <v>1621</v>
      </c>
      <c r="K1406" s="3">
        <v>434</v>
      </c>
      <c r="L1406" t="s">
        <v>113</v>
      </c>
      <c r="M1406">
        <v>4</v>
      </c>
      <c r="N1406" t="s">
        <v>82</v>
      </c>
      <c r="O1406" t="s">
        <v>81</v>
      </c>
      <c r="P1406" t="s">
        <v>71</v>
      </c>
      <c r="Q1406" t="s">
        <v>72</v>
      </c>
      <c r="R1406" t="s">
        <v>139</v>
      </c>
      <c r="S1406" t="s">
        <v>144</v>
      </c>
      <c r="T1406" s="2">
        <f>MASTER[[#This Row],[CANTIDAD]]*MASTER[[#This Row],[PRECIO DE VENTA]]</f>
        <v>1621</v>
      </c>
      <c r="U1406" s="2">
        <f>MASTER[[#This Row],[CANTIDAD]]*MASTER[[#This Row],[COSTO UNITARIO]]</f>
        <v>434</v>
      </c>
      <c r="V1406" s="2">
        <f>MASTER[[#This Row],[MONTO VENDIDO]]-MASTER[[#This Row],[COSTO DE VENTA]]</f>
        <v>1187</v>
      </c>
    </row>
    <row r="1407" spans="1:22" x14ac:dyDescent="0.3">
      <c r="A1407">
        <v>27663</v>
      </c>
      <c r="B1407">
        <v>1</v>
      </c>
      <c r="C1407" t="s">
        <v>99</v>
      </c>
      <c r="D1407" t="s">
        <v>100</v>
      </c>
      <c r="E1407" s="1">
        <v>43998</v>
      </c>
      <c r="F1407">
        <v>1</v>
      </c>
      <c r="G1407" t="s">
        <v>27</v>
      </c>
      <c r="H1407" t="s">
        <v>28</v>
      </c>
      <c r="I1407" s="3">
        <v>1459</v>
      </c>
      <c r="J1407" s="3">
        <v>1459</v>
      </c>
      <c r="K1407" s="3">
        <v>386</v>
      </c>
      <c r="L1407" t="s">
        <v>98</v>
      </c>
      <c r="M1407">
        <v>5</v>
      </c>
      <c r="N1407" t="s">
        <v>85</v>
      </c>
      <c r="O1407" t="s">
        <v>81</v>
      </c>
      <c r="P1407" t="s">
        <v>12</v>
      </c>
      <c r="Q1407" t="s">
        <v>13</v>
      </c>
      <c r="R1407" t="s">
        <v>13</v>
      </c>
      <c r="S1407" t="s">
        <v>144</v>
      </c>
      <c r="T1407" s="2">
        <f>MASTER[[#This Row],[CANTIDAD]]*MASTER[[#This Row],[PRECIO DE VENTA]]</f>
        <v>1459</v>
      </c>
      <c r="U1407" s="2">
        <f>MASTER[[#This Row],[CANTIDAD]]*MASTER[[#This Row],[COSTO UNITARIO]]</f>
        <v>386</v>
      </c>
      <c r="V1407" s="2">
        <f>MASTER[[#This Row],[MONTO VENDIDO]]-MASTER[[#This Row],[COSTO DE VENTA]]</f>
        <v>1073</v>
      </c>
    </row>
    <row r="1408" spans="1:22" x14ac:dyDescent="0.3">
      <c r="A1408">
        <v>27665</v>
      </c>
      <c r="B1408">
        <v>1</v>
      </c>
      <c r="C1408" t="s">
        <v>103</v>
      </c>
      <c r="D1408" t="s">
        <v>104</v>
      </c>
      <c r="E1408" s="1">
        <v>43998</v>
      </c>
      <c r="F1408">
        <v>1</v>
      </c>
      <c r="G1408" t="s">
        <v>33</v>
      </c>
      <c r="H1408" t="s">
        <v>34</v>
      </c>
      <c r="I1408" s="3">
        <v>1830</v>
      </c>
      <c r="J1408" s="3">
        <v>1830</v>
      </c>
      <c r="K1408" s="3">
        <v>421</v>
      </c>
      <c r="L1408" t="s">
        <v>98</v>
      </c>
      <c r="M1408">
        <v>3</v>
      </c>
      <c r="N1408" t="s">
        <v>69</v>
      </c>
      <c r="O1408" t="s">
        <v>70</v>
      </c>
      <c r="P1408" t="s">
        <v>71</v>
      </c>
      <c r="Q1408" t="s">
        <v>72</v>
      </c>
      <c r="R1408" t="s">
        <v>139</v>
      </c>
      <c r="S1408" t="s">
        <v>144</v>
      </c>
      <c r="T1408" s="2">
        <f>MASTER[[#This Row],[CANTIDAD]]*MASTER[[#This Row],[PRECIO DE VENTA]]</f>
        <v>1830</v>
      </c>
      <c r="U1408" s="2">
        <f>MASTER[[#This Row],[CANTIDAD]]*MASTER[[#This Row],[COSTO UNITARIO]]</f>
        <v>421</v>
      </c>
      <c r="V1408" s="2">
        <f>MASTER[[#This Row],[MONTO VENDIDO]]-MASTER[[#This Row],[COSTO DE VENTA]]</f>
        <v>1409</v>
      </c>
    </row>
    <row r="1409" spans="1:22" x14ac:dyDescent="0.3">
      <c r="A1409">
        <v>27691</v>
      </c>
      <c r="B1409">
        <v>1</v>
      </c>
      <c r="C1409" t="s">
        <v>105</v>
      </c>
      <c r="D1409" t="s">
        <v>106</v>
      </c>
      <c r="E1409" s="1">
        <v>43998</v>
      </c>
      <c r="F1409">
        <v>1</v>
      </c>
      <c r="G1409" t="s">
        <v>51</v>
      </c>
      <c r="H1409" t="s">
        <v>52</v>
      </c>
      <c r="I1409" s="3">
        <v>2033</v>
      </c>
      <c r="J1409" s="3">
        <v>2033</v>
      </c>
      <c r="K1409" s="3">
        <v>459</v>
      </c>
      <c r="L1409" t="s">
        <v>98</v>
      </c>
      <c r="M1409">
        <v>18</v>
      </c>
      <c r="N1409" t="s">
        <v>79</v>
      </c>
      <c r="O1409" t="s">
        <v>70</v>
      </c>
      <c r="P1409" t="s">
        <v>15</v>
      </c>
      <c r="Q1409" t="s">
        <v>16</v>
      </c>
      <c r="R1409" t="s">
        <v>16</v>
      </c>
      <c r="S1409" t="s">
        <v>144</v>
      </c>
      <c r="T1409" s="2">
        <f>MASTER[[#This Row],[CANTIDAD]]*MASTER[[#This Row],[PRECIO DE VENTA]]</f>
        <v>2033</v>
      </c>
      <c r="U1409" s="2">
        <f>MASTER[[#This Row],[CANTIDAD]]*MASTER[[#This Row],[COSTO UNITARIO]]</f>
        <v>459</v>
      </c>
      <c r="V1409" s="2">
        <f>MASTER[[#This Row],[MONTO VENDIDO]]-MASTER[[#This Row],[COSTO DE VENTA]]</f>
        <v>1574</v>
      </c>
    </row>
    <row r="1410" spans="1:22" x14ac:dyDescent="0.3">
      <c r="A1410">
        <v>27692</v>
      </c>
      <c r="B1410">
        <v>1</v>
      </c>
      <c r="C1410" t="s">
        <v>116</v>
      </c>
      <c r="D1410" t="s">
        <v>117</v>
      </c>
      <c r="E1410" s="1">
        <v>43998</v>
      </c>
      <c r="F1410">
        <v>1</v>
      </c>
      <c r="G1410" t="s">
        <v>67</v>
      </c>
      <c r="H1410" t="s">
        <v>68</v>
      </c>
      <c r="I1410" s="3">
        <v>1999</v>
      </c>
      <c r="J1410" s="3">
        <v>1999</v>
      </c>
      <c r="K1410" s="3">
        <v>388</v>
      </c>
      <c r="L1410" t="s">
        <v>113</v>
      </c>
      <c r="M1410">
        <v>9</v>
      </c>
      <c r="N1410" t="s">
        <v>76</v>
      </c>
      <c r="O1410" t="s">
        <v>70</v>
      </c>
      <c r="P1410" t="s">
        <v>12</v>
      </c>
      <c r="Q1410" t="s">
        <v>13</v>
      </c>
      <c r="R1410" t="s">
        <v>13</v>
      </c>
      <c r="S1410" t="s">
        <v>144</v>
      </c>
      <c r="T1410" s="2">
        <f>MASTER[[#This Row],[CANTIDAD]]*MASTER[[#This Row],[PRECIO DE VENTA]]</f>
        <v>1999</v>
      </c>
      <c r="U1410" s="2">
        <f>MASTER[[#This Row],[CANTIDAD]]*MASTER[[#This Row],[COSTO UNITARIO]]</f>
        <v>388</v>
      </c>
      <c r="V1410" s="2">
        <f>MASTER[[#This Row],[MONTO VENDIDO]]-MASTER[[#This Row],[COSTO DE VENTA]]</f>
        <v>1611</v>
      </c>
    </row>
    <row r="1411" spans="1:22" x14ac:dyDescent="0.3">
      <c r="A1411">
        <v>27747</v>
      </c>
      <c r="B1411">
        <v>1</v>
      </c>
      <c r="C1411" t="s">
        <v>116</v>
      </c>
      <c r="D1411" t="s">
        <v>117</v>
      </c>
      <c r="E1411" s="1">
        <v>43998</v>
      </c>
      <c r="F1411">
        <v>1</v>
      </c>
      <c r="G1411" t="s">
        <v>7</v>
      </c>
      <c r="H1411" t="s">
        <v>8</v>
      </c>
      <c r="I1411" s="3">
        <v>1738</v>
      </c>
      <c r="J1411" s="3">
        <v>1738</v>
      </c>
      <c r="K1411" s="3">
        <v>388</v>
      </c>
      <c r="L1411" t="s">
        <v>113</v>
      </c>
      <c r="M1411">
        <v>8</v>
      </c>
      <c r="N1411" t="s">
        <v>80</v>
      </c>
      <c r="O1411" t="s">
        <v>81</v>
      </c>
      <c r="P1411" t="s">
        <v>12</v>
      </c>
      <c r="Q1411" t="s">
        <v>13</v>
      </c>
      <c r="R1411" t="s">
        <v>13</v>
      </c>
      <c r="S1411" t="s">
        <v>144</v>
      </c>
      <c r="T1411" s="2">
        <f>MASTER[[#This Row],[CANTIDAD]]*MASTER[[#This Row],[PRECIO DE VENTA]]</f>
        <v>1738</v>
      </c>
      <c r="U1411" s="2">
        <f>MASTER[[#This Row],[CANTIDAD]]*MASTER[[#This Row],[COSTO UNITARIO]]</f>
        <v>388</v>
      </c>
      <c r="V1411" s="2">
        <f>MASTER[[#This Row],[MONTO VENDIDO]]-MASTER[[#This Row],[COSTO DE VENTA]]</f>
        <v>1350</v>
      </c>
    </row>
    <row r="1412" spans="1:22" x14ac:dyDescent="0.3">
      <c r="A1412">
        <v>27750</v>
      </c>
      <c r="B1412">
        <v>1</v>
      </c>
      <c r="C1412" t="s">
        <v>118</v>
      </c>
      <c r="D1412" t="s">
        <v>119</v>
      </c>
      <c r="E1412" s="1">
        <v>43998</v>
      </c>
      <c r="F1412">
        <v>4</v>
      </c>
      <c r="G1412" t="s">
        <v>61</v>
      </c>
      <c r="H1412" t="s">
        <v>62</v>
      </c>
      <c r="I1412" s="3">
        <v>900</v>
      </c>
      <c r="J1412" s="3">
        <v>900</v>
      </c>
      <c r="K1412" s="3">
        <v>424</v>
      </c>
      <c r="L1412" t="s">
        <v>120</v>
      </c>
      <c r="M1412">
        <v>8</v>
      </c>
      <c r="N1412" t="s">
        <v>80</v>
      </c>
      <c r="O1412" t="s">
        <v>81</v>
      </c>
      <c r="P1412" t="s">
        <v>12</v>
      </c>
      <c r="Q1412" t="s">
        <v>13</v>
      </c>
      <c r="R1412" t="s">
        <v>13</v>
      </c>
      <c r="S1412" t="s">
        <v>144</v>
      </c>
      <c r="T1412" s="2">
        <f>MASTER[[#This Row],[CANTIDAD]]*MASTER[[#This Row],[PRECIO DE VENTA]]</f>
        <v>3600</v>
      </c>
      <c r="U1412" s="2">
        <f>MASTER[[#This Row],[CANTIDAD]]*MASTER[[#This Row],[COSTO UNITARIO]]</f>
        <v>1696</v>
      </c>
      <c r="V1412" s="2">
        <f>MASTER[[#This Row],[MONTO VENDIDO]]-MASTER[[#This Row],[COSTO DE VENTA]]</f>
        <v>1904</v>
      </c>
    </row>
    <row r="1413" spans="1:22" x14ac:dyDescent="0.3">
      <c r="A1413">
        <v>27767</v>
      </c>
      <c r="B1413">
        <v>1</v>
      </c>
      <c r="C1413" t="s">
        <v>99</v>
      </c>
      <c r="D1413" t="s">
        <v>100</v>
      </c>
      <c r="E1413" s="1">
        <v>43998</v>
      </c>
      <c r="F1413">
        <v>1</v>
      </c>
      <c r="G1413" t="s">
        <v>7</v>
      </c>
      <c r="H1413" t="s">
        <v>8</v>
      </c>
      <c r="I1413" s="3">
        <v>1459</v>
      </c>
      <c r="J1413" s="3">
        <v>1459</v>
      </c>
      <c r="K1413" s="3">
        <v>386</v>
      </c>
      <c r="L1413" t="s">
        <v>98</v>
      </c>
      <c r="M1413">
        <v>19</v>
      </c>
      <c r="N1413" t="s">
        <v>89</v>
      </c>
      <c r="O1413" t="s">
        <v>81</v>
      </c>
      <c r="P1413" t="s">
        <v>15</v>
      </c>
      <c r="Q1413" t="s">
        <v>16</v>
      </c>
      <c r="R1413" t="s">
        <v>16</v>
      </c>
      <c r="S1413" t="s">
        <v>144</v>
      </c>
      <c r="T1413" s="2">
        <f>MASTER[[#This Row],[CANTIDAD]]*MASTER[[#This Row],[PRECIO DE VENTA]]</f>
        <v>1459</v>
      </c>
      <c r="U1413" s="2">
        <f>MASTER[[#This Row],[CANTIDAD]]*MASTER[[#This Row],[COSTO UNITARIO]]</f>
        <v>386</v>
      </c>
      <c r="V1413" s="2">
        <f>MASTER[[#This Row],[MONTO VENDIDO]]-MASTER[[#This Row],[COSTO DE VENTA]]</f>
        <v>1073</v>
      </c>
    </row>
    <row r="1414" spans="1:22" x14ac:dyDescent="0.3">
      <c r="A1414">
        <v>27778</v>
      </c>
      <c r="B1414">
        <v>1</v>
      </c>
      <c r="C1414" t="s">
        <v>5</v>
      </c>
      <c r="D1414" t="s">
        <v>6</v>
      </c>
      <c r="E1414" s="1">
        <v>43998</v>
      </c>
      <c r="F1414">
        <v>1</v>
      </c>
      <c r="G1414" t="s">
        <v>43</v>
      </c>
      <c r="H1414" t="s">
        <v>44</v>
      </c>
      <c r="I1414" s="3">
        <v>1296</v>
      </c>
      <c r="J1414" s="3">
        <v>1296</v>
      </c>
      <c r="K1414" s="3">
        <v>393</v>
      </c>
      <c r="L1414" t="s">
        <v>9</v>
      </c>
      <c r="M1414">
        <v>6</v>
      </c>
      <c r="N1414" t="s">
        <v>75</v>
      </c>
      <c r="O1414" t="s">
        <v>70</v>
      </c>
      <c r="P1414" t="s">
        <v>12</v>
      </c>
      <c r="Q1414" t="s">
        <v>13</v>
      </c>
      <c r="R1414" t="s">
        <v>13</v>
      </c>
      <c r="S1414" t="s">
        <v>144</v>
      </c>
      <c r="T1414" s="2">
        <f>MASTER[[#This Row],[CANTIDAD]]*MASTER[[#This Row],[PRECIO DE VENTA]]</f>
        <v>1296</v>
      </c>
      <c r="U1414" s="2">
        <f>MASTER[[#This Row],[CANTIDAD]]*MASTER[[#This Row],[COSTO UNITARIO]]</f>
        <v>393</v>
      </c>
      <c r="V1414" s="2">
        <f>MASTER[[#This Row],[MONTO VENDIDO]]-MASTER[[#This Row],[COSTO DE VENTA]]</f>
        <v>903</v>
      </c>
    </row>
    <row r="1415" spans="1:22" x14ac:dyDescent="0.3">
      <c r="A1415">
        <v>27798</v>
      </c>
      <c r="B1415">
        <v>1</v>
      </c>
      <c r="C1415" t="s">
        <v>107</v>
      </c>
      <c r="D1415" t="s">
        <v>108</v>
      </c>
      <c r="E1415" s="1">
        <v>43998</v>
      </c>
      <c r="F1415">
        <v>2</v>
      </c>
      <c r="G1415" t="s">
        <v>24</v>
      </c>
      <c r="H1415" t="s">
        <v>25</v>
      </c>
      <c r="I1415" s="3">
        <v>1440</v>
      </c>
      <c r="J1415" s="3">
        <v>1440</v>
      </c>
      <c r="K1415" s="3">
        <v>380</v>
      </c>
      <c r="L1415" t="s">
        <v>98</v>
      </c>
      <c r="M1415">
        <v>13</v>
      </c>
      <c r="N1415" t="s">
        <v>78</v>
      </c>
      <c r="O1415" t="s">
        <v>70</v>
      </c>
      <c r="P1415" t="s">
        <v>18</v>
      </c>
      <c r="Q1415" t="s">
        <v>19</v>
      </c>
      <c r="R1415" t="s">
        <v>138</v>
      </c>
      <c r="S1415" t="s">
        <v>144</v>
      </c>
      <c r="T1415" s="2">
        <f>MASTER[[#This Row],[CANTIDAD]]*MASTER[[#This Row],[PRECIO DE VENTA]]</f>
        <v>2880</v>
      </c>
      <c r="U1415" s="2">
        <f>MASTER[[#This Row],[CANTIDAD]]*MASTER[[#This Row],[COSTO UNITARIO]]</f>
        <v>760</v>
      </c>
      <c r="V1415" s="2">
        <f>MASTER[[#This Row],[MONTO VENDIDO]]-MASTER[[#This Row],[COSTO DE VENTA]]</f>
        <v>2120</v>
      </c>
    </row>
    <row r="1416" spans="1:22" x14ac:dyDescent="0.3">
      <c r="A1416">
        <v>27843</v>
      </c>
      <c r="B1416">
        <v>1</v>
      </c>
      <c r="C1416" t="s">
        <v>105</v>
      </c>
      <c r="D1416" t="s">
        <v>106</v>
      </c>
      <c r="E1416" s="1">
        <v>43998</v>
      </c>
      <c r="F1416">
        <v>1</v>
      </c>
      <c r="G1416" t="s">
        <v>61</v>
      </c>
      <c r="H1416" t="s">
        <v>62</v>
      </c>
      <c r="I1416" s="3">
        <v>2033</v>
      </c>
      <c r="J1416" s="3">
        <v>2033</v>
      </c>
      <c r="K1416" s="3">
        <v>459</v>
      </c>
      <c r="L1416" t="s">
        <v>98</v>
      </c>
      <c r="M1416">
        <v>1</v>
      </c>
      <c r="N1416" t="s">
        <v>77</v>
      </c>
      <c r="O1416" t="s">
        <v>70</v>
      </c>
      <c r="P1416" t="s">
        <v>71</v>
      </c>
      <c r="Q1416" t="s">
        <v>72</v>
      </c>
      <c r="R1416" t="s">
        <v>139</v>
      </c>
      <c r="S1416" t="s">
        <v>144</v>
      </c>
      <c r="T1416" s="2">
        <f>MASTER[[#This Row],[CANTIDAD]]*MASTER[[#This Row],[PRECIO DE VENTA]]</f>
        <v>2033</v>
      </c>
      <c r="U1416" s="2">
        <f>MASTER[[#This Row],[CANTIDAD]]*MASTER[[#This Row],[COSTO UNITARIO]]</f>
        <v>459</v>
      </c>
      <c r="V1416" s="2">
        <f>MASTER[[#This Row],[MONTO VENDIDO]]-MASTER[[#This Row],[COSTO DE VENTA]]</f>
        <v>1574</v>
      </c>
    </row>
    <row r="1417" spans="1:22" x14ac:dyDescent="0.3">
      <c r="A1417">
        <v>27847</v>
      </c>
      <c r="B1417">
        <v>1</v>
      </c>
      <c r="C1417" t="s">
        <v>107</v>
      </c>
      <c r="D1417" t="s">
        <v>108</v>
      </c>
      <c r="E1417" s="1">
        <v>43999</v>
      </c>
      <c r="F1417">
        <v>1</v>
      </c>
      <c r="G1417" t="s">
        <v>51</v>
      </c>
      <c r="H1417" t="s">
        <v>52</v>
      </c>
      <c r="I1417" s="3">
        <v>1440</v>
      </c>
      <c r="J1417" s="3">
        <v>1440</v>
      </c>
      <c r="K1417" s="3">
        <v>380</v>
      </c>
      <c r="L1417" t="s">
        <v>98</v>
      </c>
      <c r="M1417">
        <v>3</v>
      </c>
      <c r="N1417" t="s">
        <v>69</v>
      </c>
      <c r="O1417" t="s">
        <v>70</v>
      </c>
      <c r="P1417" t="s">
        <v>71</v>
      </c>
      <c r="Q1417" t="s">
        <v>72</v>
      </c>
      <c r="R1417" t="s">
        <v>139</v>
      </c>
      <c r="S1417" t="s">
        <v>144</v>
      </c>
      <c r="T1417" s="2">
        <f>MASTER[[#This Row],[CANTIDAD]]*MASTER[[#This Row],[PRECIO DE VENTA]]</f>
        <v>1440</v>
      </c>
      <c r="U1417" s="2">
        <f>MASTER[[#This Row],[CANTIDAD]]*MASTER[[#This Row],[COSTO UNITARIO]]</f>
        <v>380</v>
      </c>
      <c r="V1417" s="2">
        <f>MASTER[[#This Row],[MONTO VENDIDO]]-MASTER[[#This Row],[COSTO DE VENTA]]</f>
        <v>1060</v>
      </c>
    </row>
    <row r="1418" spans="1:22" x14ac:dyDescent="0.3">
      <c r="A1418">
        <v>27849</v>
      </c>
      <c r="B1418">
        <v>1</v>
      </c>
      <c r="C1418" t="s">
        <v>96</v>
      </c>
      <c r="D1418" t="s">
        <v>97</v>
      </c>
      <c r="E1418" s="1">
        <v>43999</v>
      </c>
      <c r="F1418">
        <v>1</v>
      </c>
      <c r="G1418" t="s">
        <v>33</v>
      </c>
      <c r="H1418" t="s">
        <v>34</v>
      </c>
      <c r="I1418" s="3">
        <v>1361</v>
      </c>
      <c r="J1418" s="3">
        <v>1361</v>
      </c>
      <c r="K1418" s="3">
        <v>397</v>
      </c>
      <c r="L1418" t="s">
        <v>98</v>
      </c>
      <c r="M1418">
        <v>6</v>
      </c>
      <c r="N1418" t="s">
        <v>75</v>
      </c>
      <c r="O1418" t="s">
        <v>70</v>
      </c>
      <c r="P1418" t="s">
        <v>12</v>
      </c>
      <c r="Q1418" t="s">
        <v>13</v>
      </c>
      <c r="R1418" t="s">
        <v>13</v>
      </c>
      <c r="S1418" t="s">
        <v>144</v>
      </c>
      <c r="T1418" s="2">
        <f>MASTER[[#This Row],[CANTIDAD]]*MASTER[[#This Row],[PRECIO DE VENTA]]</f>
        <v>1361</v>
      </c>
      <c r="U1418" s="2">
        <f>MASTER[[#This Row],[CANTIDAD]]*MASTER[[#This Row],[COSTO UNITARIO]]</f>
        <v>397</v>
      </c>
      <c r="V1418" s="2">
        <f>MASTER[[#This Row],[MONTO VENDIDO]]-MASTER[[#This Row],[COSTO DE VENTA]]</f>
        <v>964</v>
      </c>
    </row>
    <row r="1419" spans="1:22" x14ac:dyDescent="0.3">
      <c r="A1419">
        <v>27870</v>
      </c>
      <c r="B1419">
        <v>1</v>
      </c>
      <c r="C1419" t="s">
        <v>107</v>
      </c>
      <c r="D1419" t="s">
        <v>108</v>
      </c>
      <c r="E1419" s="1">
        <v>43999</v>
      </c>
      <c r="F1419">
        <v>1</v>
      </c>
      <c r="G1419" t="s">
        <v>24</v>
      </c>
      <c r="H1419" t="s">
        <v>25</v>
      </c>
      <c r="I1419" s="3">
        <v>1333</v>
      </c>
      <c r="J1419" s="3">
        <v>1333</v>
      </c>
      <c r="K1419" s="3">
        <v>380</v>
      </c>
      <c r="L1419" t="s">
        <v>98</v>
      </c>
      <c r="M1419">
        <v>4</v>
      </c>
      <c r="N1419" t="s">
        <v>82</v>
      </c>
      <c r="O1419" t="s">
        <v>81</v>
      </c>
      <c r="P1419" t="s">
        <v>71</v>
      </c>
      <c r="Q1419" t="s">
        <v>72</v>
      </c>
      <c r="R1419" t="s">
        <v>139</v>
      </c>
      <c r="S1419" t="s">
        <v>144</v>
      </c>
      <c r="T1419" s="2">
        <f>MASTER[[#This Row],[CANTIDAD]]*MASTER[[#This Row],[PRECIO DE VENTA]]</f>
        <v>1333</v>
      </c>
      <c r="U1419" s="2">
        <f>MASTER[[#This Row],[CANTIDAD]]*MASTER[[#This Row],[COSTO UNITARIO]]</f>
        <v>380</v>
      </c>
      <c r="V1419" s="2">
        <f>MASTER[[#This Row],[MONTO VENDIDO]]-MASTER[[#This Row],[COSTO DE VENTA]]</f>
        <v>953</v>
      </c>
    </row>
    <row r="1420" spans="1:22" x14ac:dyDescent="0.3">
      <c r="A1420">
        <v>27872</v>
      </c>
      <c r="B1420">
        <v>1</v>
      </c>
      <c r="C1420" t="s">
        <v>109</v>
      </c>
      <c r="D1420" t="s">
        <v>110</v>
      </c>
      <c r="E1420" s="1">
        <v>43999</v>
      </c>
      <c r="F1420">
        <v>3</v>
      </c>
      <c r="G1420" t="s">
        <v>24</v>
      </c>
      <c r="H1420" t="s">
        <v>25</v>
      </c>
      <c r="I1420" s="3">
        <v>1128</v>
      </c>
      <c r="J1420" s="3">
        <v>1128</v>
      </c>
      <c r="K1420" s="3">
        <v>387</v>
      </c>
      <c r="L1420" t="s">
        <v>98</v>
      </c>
      <c r="M1420">
        <v>18</v>
      </c>
      <c r="N1420" t="s">
        <v>79</v>
      </c>
      <c r="O1420" t="s">
        <v>70</v>
      </c>
      <c r="P1420" t="s">
        <v>15</v>
      </c>
      <c r="Q1420" t="s">
        <v>16</v>
      </c>
      <c r="R1420" t="s">
        <v>16</v>
      </c>
      <c r="S1420" t="s">
        <v>144</v>
      </c>
      <c r="T1420" s="2">
        <f>MASTER[[#This Row],[CANTIDAD]]*MASTER[[#This Row],[PRECIO DE VENTA]]</f>
        <v>3384</v>
      </c>
      <c r="U1420" s="2">
        <f>MASTER[[#This Row],[CANTIDAD]]*MASTER[[#This Row],[COSTO UNITARIO]]</f>
        <v>1161</v>
      </c>
      <c r="V1420" s="2">
        <f>MASTER[[#This Row],[MONTO VENDIDO]]-MASTER[[#This Row],[COSTO DE VENTA]]</f>
        <v>2223</v>
      </c>
    </row>
    <row r="1421" spans="1:22" x14ac:dyDescent="0.3">
      <c r="A1421">
        <v>27884</v>
      </c>
      <c r="B1421">
        <v>1</v>
      </c>
      <c r="C1421" t="s">
        <v>99</v>
      </c>
      <c r="D1421" t="s">
        <v>100</v>
      </c>
      <c r="E1421" s="1">
        <v>43999</v>
      </c>
      <c r="F1421">
        <v>1</v>
      </c>
      <c r="G1421" t="s">
        <v>24</v>
      </c>
      <c r="H1421" t="s">
        <v>25</v>
      </c>
      <c r="I1421" s="3">
        <v>1459</v>
      </c>
      <c r="J1421" s="3">
        <v>1356</v>
      </c>
      <c r="K1421" s="3">
        <v>386</v>
      </c>
      <c r="L1421" t="s">
        <v>98</v>
      </c>
      <c r="M1421">
        <v>5</v>
      </c>
      <c r="N1421" t="s">
        <v>85</v>
      </c>
      <c r="O1421" t="s">
        <v>81</v>
      </c>
      <c r="P1421" t="s">
        <v>12</v>
      </c>
      <c r="Q1421" t="s">
        <v>13</v>
      </c>
      <c r="R1421" t="s">
        <v>13</v>
      </c>
      <c r="S1421" t="s">
        <v>144</v>
      </c>
      <c r="T1421" s="2">
        <f>MASTER[[#This Row],[CANTIDAD]]*MASTER[[#This Row],[PRECIO DE VENTA]]</f>
        <v>1356</v>
      </c>
      <c r="U1421" s="2">
        <f>MASTER[[#This Row],[CANTIDAD]]*MASTER[[#This Row],[COSTO UNITARIO]]</f>
        <v>386</v>
      </c>
      <c r="V1421" s="2">
        <f>MASTER[[#This Row],[MONTO VENDIDO]]-MASTER[[#This Row],[COSTO DE VENTA]]</f>
        <v>970</v>
      </c>
    </row>
    <row r="1422" spans="1:22" x14ac:dyDescent="0.3">
      <c r="A1422">
        <v>27897</v>
      </c>
      <c r="B1422">
        <v>1</v>
      </c>
      <c r="C1422" t="s">
        <v>114</v>
      </c>
      <c r="D1422" t="s">
        <v>115</v>
      </c>
      <c r="E1422" s="1">
        <v>43999</v>
      </c>
      <c r="F1422">
        <v>2</v>
      </c>
      <c r="G1422" t="s">
        <v>39</v>
      </c>
      <c r="H1422" t="s">
        <v>40</v>
      </c>
      <c r="I1422" s="3">
        <v>1862</v>
      </c>
      <c r="J1422" s="3">
        <v>1862</v>
      </c>
      <c r="K1422" s="3">
        <v>394</v>
      </c>
      <c r="L1422" t="s">
        <v>113</v>
      </c>
      <c r="M1422">
        <v>14</v>
      </c>
      <c r="N1422" t="s">
        <v>87</v>
      </c>
      <c r="O1422" t="s">
        <v>81</v>
      </c>
      <c r="P1422" t="s">
        <v>18</v>
      </c>
      <c r="Q1422" t="s">
        <v>19</v>
      </c>
      <c r="R1422" t="s">
        <v>138</v>
      </c>
      <c r="S1422" t="s">
        <v>144</v>
      </c>
      <c r="T1422" s="2">
        <f>MASTER[[#This Row],[CANTIDAD]]*MASTER[[#This Row],[PRECIO DE VENTA]]</f>
        <v>3724</v>
      </c>
      <c r="U1422" s="2">
        <f>MASTER[[#This Row],[CANTIDAD]]*MASTER[[#This Row],[COSTO UNITARIO]]</f>
        <v>788</v>
      </c>
      <c r="V1422" s="2">
        <f>MASTER[[#This Row],[MONTO VENDIDO]]-MASTER[[#This Row],[COSTO DE VENTA]]</f>
        <v>2936</v>
      </c>
    </row>
    <row r="1423" spans="1:22" x14ac:dyDescent="0.3">
      <c r="A1423">
        <v>27922</v>
      </c>
      <c r="B1423">
        <v>1</v>
      </c>
      <c r="C1423" t="s">
        <v>5</v>
      </c>
      <c r="D1423" t="s">
        <v>6</v>
      </c>
      <c r="E1423" s="1">
        <v>43999</v>
      </c>
      <c r="F1423">
        <v>1</v>
      </c>
      <c r="G1423" t="s">
        <v>39</v>
      </c>
      <c r="H1423" t="s">
        <v>40</v>
      </c>
      <c r="I1423" s="3">
        <v>1311</v>
      </c>
      <c r="J1423" s="3">
        <v>1311</v>
      </c>
      <c r="K1423" s="3">
        <v>393</v>
      </c>
      <c r="L1423" t="s">
        <v>9</v>
      </c>
      <c r="M1423">
        <v>12</v>
      </c>
      <c r="N1423" t="s">
        <v>26</v>
      </c>
      <c r="O1423" t="s">
        <v>11</v>
      </c>
      <c r="P1423" t="s">
        <v>12</v>
      </c>
      <c r="Q1423" t="s">
        <v>13</v>
      </c>
      <c r="R1423" t="s">
        <v>13</v>
      </c>
      <c r="S1423" t="s">
        <v>144</v>
      </c>
      <c r="T1423" s="2">
        <f>MASTER[[#This Row],[CANTIDAD]]*MASTER[[#This Row],[PRECIO DE VENTA]]</f>
        <v>1311</v>
      </c>
      <c r="U1423" s="2">
        <f>MASTER[[#This Row],[CANTIDAD]]*MASTER[[#This Row],[COSTO UNITARIO]]</f>
        <v>393</v>
      </c>
      <c r="V1423" s="2">
        <f>MASTER[[#This Row],[MONTO VENDIDO]]-MASTER[[#This Row],[COSTO DE VENTA]]</f>
        <v>918</v>
      </c>
    </row>
    <row r="1424" spans="1:22" x14ac:dyDescent="0.3">
      <c r="A1424">
        <v>27927</v>
      </c>
      <c r="B1424">
        <v>1</v>
      </c>
      <c r="C1424" t="s">
        <v>99</v>
      </c>
      <c r="D1424" t="s">
        <v>100</v>
      </c>
      <c r="E1424" s="1">
        <v>44000</v>
      </c>
      <c r="F1424">
        <v>1</v>
      </c>
      <c r="G1424" t="s">
        <v>67</v>
      </c>
      <c r="H1424" t="s">
        <v>68</v>
      </c>
      <c r="I1424" s="3">
        <v>1459</v>
      </c>
      <c r="J1424" s="3">
        <v>1459</v>
      </c>
      <c r="K1424" s="3">
        <v>386</v>
      </c>
      <c r="L1424" t="s">
        <v>98</v>
      </c>
      <c r="M1424">
        <v>19</v>
      </c>
      <c r="N1424" t="s">
        <v>89</v>
      </c>
      <c r="O1424" t="s">
        <v>81</v>
      </c>
      <c r="P1424" t="s">
        <v>15</v>
      </c>
      <c r="Q1424" t="s">
        <v>16</v>
      </c>
      <c r="R1424" t="s">
        <v>16</v>
      </c>
      <c r="S1424" t="s">
        <v>144</v>
      </c>
      <c r="T1424" s="2">
        <f>MASTER[[#This Row],[CANTIDAD]]*MASTER[[#This Row],[PRECIO DE VENTA]]</f>
        <v>1459</v>
      </c>
      <c r="U1424" s="2">
        <f>MASTER[[#This Row],[CANTIDAD]]*MASTER[[#This Row],[COSTO UNITARIO]]</f>
        <v>386</v>
      </c>
      <c r="V1424" s="2">
        <f>MASTER[[#This Row],[MONTO VENDIDO]]-MASTER[[#This Row],[COSTO DE VENTA]]</f>
        <v>1073</v>
      </c>
    </row>
    <row r="1425" spans="1:22" x14ac:dyDescent="0.3">
      <c r="A1425">
        <v>27935</v>
      </c>
      <c r="B1425">
        <v>1</v>
      </c>
      <c r="C1425" t="s">
        <v>96</v>
      </c>
      <c r="D1425" t="s">
        <v>97</v>
      </c>
      <c r="E1425" s="1">
        <v>44000</v>
      </c>
      <c r="F1425">
        <v>1</v>
      </c>
      <c r="G1425" t="s">
        <v>24</v>
      </c>
      <c r="H1425" t="s">
        <v>25</v>
      </c>
      <c r="I1425" s="3">
        <v>1361</v>
      </c>
      <c r="J1425" s="3">
        <v>1238</v>
      </c>
      <c r="K1425" s="3">
        <v>397</v>
      </c>
      <c r="L1425" t="s">
        <v>98</v>
      </c>
      <c r="M1425">
        <v>18</v>
      </c>
      <c r="N1425" t="s">
        <v>79</v>
      </c>
      <c r="O1425" t="s">
        <v>70</v>
      </c>
      <c r="P1425" t="s">
        <v>15</v>
      </c>
      <c r="Q1425" t="s">
        <v>16</v>
      </c>
      <c r="R1425" t="s">
        <v>16</v>
      </c>
      <c r="S1425" t="s">
        <v>144</v>
      </c>
      <c r="T1425" s="2">
        <f>MASTER[[#This Row],[CANTIDAD]]*MASTER[[#This Row],[PRECIO DE VENTA]]</f>
        <v>1238</v>
      </c>
      <c r="U1425" s="2">
        <f>MASTER[[#This Row],[CANTIDAD]]*MASTER[[#This Row],[COSTO UNITARIO]]</f>
        <v>397</v>
      </c>
      <c r="V1425" s="2">
        <f>MASTER[[#This Row],[MONTO VENDIDO]]-MASTER[[#This Row],[COSTO DE VENTA]]</f>
        <v>841</v>
      </c>
    </row>
    <row r="1426" spans="1:22" x14ac:dyDescent="0.3">
      <c r="A1426">
        <v>27943</v>
      </c>
      <c r="B1426">
        <v>1</v>
      </c>
      <c r="C1426" t="s">
        <v>101</v>
      </c>
      <c r="D1426" t="s">
        <v>102</v>
      </c>
      <c r="E1426" s="1">
        <v>44000</v>
      </c>
      <c r="F1426">
        <v>1</v>
      </c>
      <c r="G1426" t="s">
        <v>27</v>
      </c>
      <c r="H1426" t="s">
        <v>28</v>
      </c>
      <c r="I1426" s="3">
        <v>1054</v>
      </c>
      <c r="J1426" s="3">
        <v>1054</v>
      </c>
      <c r="K1426" s="3">
        <v>442</v>
      </c>
      <c r="L1426" t="s">
        <v>98</v>
      </c>
      <c r="M1426">
        <v>17</v>
      </c>
      <c r="N1426" t="s">
        <v>14</v>
      </c>
      <c r="O1426" t="s">
        <v>11</v>
      </c>
      <c r="P1426" t="s">
        <v>15</v>
      </c>
      <c r="Q1426" t="s">
        <v>16</v>
      </c>
      <c r="R1426" t="s">
        <v>16</v>
      </c>
      <c r="S1426" t="s">
        <v>144</v>
      </c>
      <c r="T1426" s="2">
        <f>MASTER[[#This Row],[CANTIDAD]]*MASTER[[#This Row],[PRECIO DE VENTA]]</f>
        <v>1054</v>
      </c>
      <c r="U1426" s="2">
        <f>MASTER[[#This Row],[CANTIDAD]]*MASTER[[#This Row],[COSTO UNITARIO]]</f>
        <v>442</v>
      </c>
      <c r="V1426" s="2">
        <f>MASTER[[#This Row],[MONTO VENDIDO]]-MASTER[[#This Row],[COSTO DE VENTA]]</f>
        <v>612</v>
      </c>
    </row>
    <row r="1427" spans="1:22" x14ac:dyDescent="0.3">
      <c r="A1427">
        <v>27952</v>
      </c>
      <c r="B1427">
        <v>1</v>
      </c>
      <c r="C1427" t="s">
        <v>94</v>
      </c>
      <c r="D1427" t="s">
        <v>95</v>
      </c>
      <c r="E1427" s="1">
        <v>44000</v>
      </c>
      <c r="F1427">
        <v>1</v>
      </c>
      <c r="G1427" t="s">
        <v>65</v>
      </c>
      <c r="H1427" t="s">
        <v>66</v>
      </c>
      <c r="I1427" s="3">
        <v>1153</v>
      </c>
      <c r="J1427" s="3">
        <v>1153</v>
      </c>
      <c r="K1427" s="3">
        <v>392</v>
      </c>
      <c r="L1427" t="s">
        <v>9</v>
      </c>
      <c r="M1427">
        <v>13</v>
      </c>
      <c r="N1427" t="s">
        <v>78</v>
      </c>
      <c r="O1427" t="s">
        <v>70</v>
      </c>
      <c r="P1427" t="s">
        <v>18</v>
      </c>
      <c r="Q1427" t="s">
        <v>19</v>
      </c>
      <c r="R1427" t="s">
        <v>138</v>
      </c>
      <c r="S1427" t="s">
        <v>144</v>
      </c>
      <c r="T1427" s="2">
        <f>MASTER[[#This Row],[CANTIDAD]]*MASTER[[#This Row],[PRECIO DE VENTA]]</f>
        <v>1153</v>
      </c>
      <c r="U1427" s="2">
        <f>MASTER[[#This Row],[CANTIDAD]]*MASTER[[#This Row],[COSTO UNITARIO]]</f>
        <v>392</v>
      </c>
      <c r="V1427" s="2">
        <f>MASTER[[#This Row],[MONTO VENDIDO]]-MASTER[[#This Row],[COSTO DE VENTA]]</f>
        <v>761</v>
      </c>
    </row>
    <row r="1428" spans="1:22" x14ac:dyDescent="0.3">
      <c r="A1428">
        <v>27960</v>
      </c>
      <c r="B1428">
        <v>1</v>
      </c>
      <c r="C1428" t="s">
        <v>114</v>
      </c>
      <c r="D1428" t="s">
        <v>115</v>
      </c>
      <c r="E1428" s="1">
        <v>44001</v>
      </c>
      <c r="F1428">
        <v>1</v>
      </c>
      <c r="G1428" t="s">
        <v>41</v>
      </c>
      <c r="H1428" t="s">
        <v>42</v>
      </c>
      <c r="I1428" s="3">
        <v>1862</v>
      </c>
      <c r="J1428" s="3">
        <v>1713</v>
      </c>
      <c r="K1428" s="3">
        <v>394</v>
      </c>
      <c r="L1428" t="s">
        <v>113</v>
      </c>
      <c r="M1428">
        <v>2</v>
      </c>
      <c r="N1428" t="s">
        <v>86</v>
      </c>
      <c r="O1428" t="s">
        <v>81</v>
      </c>
      <c r="P1428" t="s">
        <v>71</v>
      </c>
      <c r="Q1428" t="s">
        <v>72</v>
      </c>
      <c r="R1428" t="s">
        <v>139</v>
      </c>
      <c r="S1428" t="s">
        <v>144</v>
      </c>
      <c r="T1428" s="2">
        <f>MASTER[[#This Row],[CANTIDAD]]*MASTER[[#This Row],[PRECIO DE VENTA]]</f>
        <v>1713</v>
      </c>
      <c r="U1428" s="2">
        <f>MASTER[[#This Row],[CANTIDAD]]*MASTER[[#This Row],[COSTO UNITARIO]]</f>
        <v>394</v>
      </c>
      <c r="V1428" s="2">
        <f>MASTER[[#This Row],[MONTO VENDIDO]]-MASTER[[#This Row],[COSTO DE VENTA]]</f>
        <v>1319</v>
      </c>
    </row>
    <row r="1429" spans="1:22" x14ac:dyDescent="0.3">
      <c r="A1429">
        <v>27965</v>
      </c>
      <c r="B1429">
        <v>1</v>
      </c>
      <c r="C1429" t="s">
        <v>94</v>
      </c>
      <c r="D1429" t="s">
        <v>95</v>
      </c>
      <c r="E1429" s="1">
        <v>44001</v>
      </c>
      <c r="F1429">
        <v>1</v>
      </c>
      <c r="G1429" t="s">
        <v>37</v>
      </c>
      <c r="H1429" t="s">
        <v>38</v>
      </c>
      <c r="I1429" s="3">
        <v>1048</v>
      </c>
      <c r="J1429" s="3">
        <v>1048</v>
      </c>
      <c r="K1429" s="3">
        <v>392</v>
      </c>
      <c r="L1429" t="s">
        <v>9</v>
      </c>
      <c r="M1429">
        <v>7</v>
      </c>
      <c r="N1429" t="s">
        <v>84</v>
      </c>
      <c r="O1429" t="s">
        <v>81</v>
      </c>
      <c r="P1429" t="s">
        <v>12</v>
      </c>
      <c r="Q1429" t="s">
        <v>13</v>
      </c>
      <c r="R1429" t="s">
        <v>13</v>
      </c>
      <c r="S1429" t="s">
        <v>144</v>
      </c>
      <c r="T1429" s="2">
        <f>MASTER[[#This Row],[CANTIDAD]]*MASTER[[#This Row],[PRECIO DE VENTA]]</f>
        <v>1048</v>
      </c>
      <c r="U1429" s="2">
        <f>MASTER[[#This Row],[CANTIDAD]]*MASTER[[#This Row],[COSTO UNITARIO]]</f>
        <v>392</v>
      </c>
      <c r="V1429" s="2">
        <f>MASTER[[#This Row],[MONTO VENDIDO]]-MASTER[[#This Row],[COSTO DE VENTA]]</f>
        <v>656</v>
      </c>
    </row>
    <row r="1430" spans="1:22" x14ac:dyDescent="0.3">
      <c r="A1430">
        <v>27970</v>
      </c>
      <c r="B1430">
        <v>1</v>
      </c>
      <c r="C1430" t="s">
        <v>118</v>
      </c>
      <c r="D1430" t="s">
        <v>119</v>
      </c>
      <c r="E1430" s="1">
        <v>44001</v>
      </c>
      <c r="F1430">
        <v>3</v>
      </c>
      <c r="G1430" t="s">
        <v>7</v>
      </c>
      <c r="H1430" t="s">
        <v>8</v>
      </c>
      <c r="I1430" s="3">
        <v>900</v>
      </c>
      <c r="J1430" s="3">
        <v>900</v>
      </c>
      <c r="K1430" s="3">
        <v>424</v>
      </c>
      <c r="L1430" t="s">
        <v>120</v>
      </c>
      <c r="M1430">
        <v>19</v>
      </c>
      <c r="N1430" t="s">
        <v>89</v>
      </c>
      <c r="O1430" t="s">
        <v>81</v>
      </c>
      <c r="P1430" t="s">
        <v>15</v>
      </c>
      <c r="Q1430" t="s">
        <v>16</v>
      </c>
      <c r="R1430" t="s">
        <v>16</v>
      </c>
      <c r="S1430" t="s">
        <v>144</v>
      </c>
      <c r="T1430" s="2">
        <f>MASTER[[#This Row],[CANTIDAD]]*MASTER[[#This Row],[PRECIO DE VENTA]]</f>
        <v>2700</v>
      </c>
      <c r="U1430" s="2">
        <f>MASTER[[#This Row],[CANTIDAD]]*MASTER[[#This Row],[COSTO UNITARIO]]</f>
        <v>1272</v>
      </c>
      <c r="V1430" s="2">
        <f>MASTER[[#This Row],[MONTO VENDIDO]]-MASTER[[#This Row],[COSTO DE VENTA]]</f>
        <v>1428</v>
      </c>
    </row>
    <row r="1431" spans="1:22" x14ac:dyDescent="0.3">
      <c r="A1431">
        <v>27983</v>
      </c>
      <c r="B1431">
        <v>1</v>
      </c>
      <c r="C1431" t="s">
        <v>103</v>
      </c>
      <c r="D1431" t="s">
        <v>104</v>
      </c>
      <c r="E1431" s="1">
        <v>44001</v>
      </c>
      <c r="F1431">
        <v>1</v>
      </c>
      <c r="G1431" t="s">
        <v>67</v>
      </c>
      <c r="H1431" t="s">
        <v>68</v>
      </c>
      <c r="I1431" s="3">
        <v>1448</v>
      </c>
      <c r="J1431" s="3">
        <v>1448</v>
      </c>
      <c r="K1431" s="3">
        <v>421</v>
      </c>
      <c r="L1431" t="s">
        <v>98</v>
      </c>
      <c r="M1431">
        <v>17</v>
      </c>
      <c r="N1431" t="s">
        <v>14</v>
      </c>
      <c r="O1431" t="s">
        <v>11</v>
      </c>
      <c r="P1431" t="s">
        <v>15</v>
      </c>
      <c r="Q1431" t="s">
        <v>16</v>
      </c>
      <c r="R1431" t="s">
        <v>16</v>
      </c>
      <c r="S1431" t="s">
        <v>144</v>
      </c>
      <c r="T1431" s="2">
        <f>MASTER[[#This Row],[CANTIDAD]]*MASTER[[#This Row],[PRECIO DE VENTA]]</f>
        <v>1448</v>
      </c>
      <c r="U1431" s="2">
        <f>MASTER[[#This Row],[CANTIDAD]]*MASTER[[#This Row],[COSTO UNITARIO]]</f>
        <v>421</v>
      </c>
      <c r="V1431" s="2">
        <f>MASTER[[#This Row],[MONTO VENDIDO]]-MASTER[[#This Row],[COSTO DE VENTA]]</f>
        <v>1027</v>
      </c>
    </row>
    <row r="1432" spans="1:22" x14ac:dyDescent="0.3">
      <c r="A1432">
        <v>28030</v>
      </c>
      <c r="B1432">
        <v>1</v>
      </c>
      <c r="C1432" t="s">
        <v>107</v>
      </c>
      <c r="D1432" t="s">
        <v>108</v>
      </c>
      <c r="E1432" s="1">
        <v>44001</v>
      </c>
      <c r="F1432">
        <v>1</v>
      </c>
      <c r="G1432" t="s">
        <v>59</v>
      </c>
      <c r="H1432" t="s">
        <v>60</v>
      </c>
      <c r="I1432" s="3">
        <v>1440</v>
      </c>
      <c r="J1432" s="3">
        <v>1440</v>
      </c>
      <c r="K1432" s="3">
        <v>380</v>
      </c>
      <c r="L1432" t="s">
        <v>98</v>
      </c>
      <c r="M1432">
        <v>9</v>
      </c>
      <c r="N1432" t="s">
        <v>76</v>
      </c>
      <c r="O1432" t="s">
        <v>70</v>
      </c>
      <c r="P1432" t="s">
        <v>12</v>
      </c>
      <c r="Q1432" t="s">
        <v>13</v>
      </c>
      <c r="R1432" t="s">
        <v>13</v>
      </c>
      <c r="S1432" t="s">
        <v>144</v>
      </c>
      <c r="T1432" s="2">
        <f>MASTER[[#This Row],[CANTIDAD]]*MASTER[[#This Row],[PRECIO DE VENTA]]</f>
        <v>1440</v>
      </c>
      <c r="U1432" s="2">
        <f>MASTER[[#This Row],[CANTIDAD]]*MASTER[[#This Row],[COSTO UNITARIO]]</f>
        <v>380</v>
      </c>
      <c r="V1432" s="2">
        <f>MASTER[[#This Row],[MONTO VENDIDO]]-MASTER[[#This Row],[COSTO DE VENTA]]</f>
        <v>1060</v>
      </c>
    </row>
    <row r="1433" spans="1:22" x14ac:dyDescent="0.3">
      <c r="A1433">
        <v>28057</v>
      </c>
      <c r="B1433">
        <v>1</v>
      </c>
      <c r="C1433" t="s">
        <v>107</v>
      </c>
      <c r="D1433" t="s">
        <v>108</v>
      </c>
      <c r="E1433" s="1">
        <v>44002</v>
      </c>
      <c r="F1433">
        <v>1</v>
      </c>
      <c r="G1433" t="s">
        <v>51</v>
      </c>
      <c r="H1433" t="s">
        <v>52</v>
      </c>
      <c r="I1433" s="3">
        <v>1333</v>
      </c>
      <c r="J1433" s="3">
        <v>1253</v>
      </c>
      <c r="K1433" s="3">
        <v>380</v>
      </c>
      <c r="L1433" t="s">
        <v>98</v>
      </c>
      <c r="M1433">
        <v>4</v>
      </c>
      <c r="N1433" t="s">
        <v>82</v>
      </c>
      <c r="O1433" t="s">
        <v>81</v>
      </c>
      <c r="P1433" t="s">
        <v>71</v>
      </c>
      <c r="Q1433" t="s">
        <v>72</v>
      </c>
      <c r="R1433" t="s">
        <v>139</v>
      </c>
      <c r="S1433" t="s">
        <v>144</v>
      </c>
      <c r="T1433" s="2">
        <f>MASTER[[#This Row],[CANTIDAD]]*MASTER[[#This Row],[PRECIO DE VENTA]]</f>
        <v>1253</v>
      </c>
      <c r="U1433" s="2">
        <f>MASTER[[#This Row],[CANTIDAD]]*MASTER[[#This Row],[COSTO UNITARIO]]</f>
        <v>380</v>
      </c>
      <c r="V1433" s="2">
        <f>MASTER[[#This Row],[MONTO VENDIDO]]-MASTER[[#This Row],[COSTO DE VENTA]]</f>
        <v>873</v>
      </c>
    </row>
    <row r="1434" spans="1:22" x14ac:dyDescent="0.3">
      <c r="A1434">
        <v>28060</v>
      </c>
      <c r="B1434">
        <v>1</v>
      </c>
      <c r="C1434" t="s">
        <v>5</v>
      </c>
      <c r="D1434" t="s">
        <v>6</v>
      </c>
      <c r="E1434" s="1">
        <v>44002</v>
      </c>
      <c r="F1434">
        <v>1</v>
      </c>
      <c r="G1434" t="s">
        <v>22</v>
      </c>
      <c r="H1434" t="s">
        <v>23</v>
      </c>
      <c r="I1434" s="3">
        <v>1296</v>
      </c>
      <c r="J1434" s="3">
        <v>1296</v>
      </c>
      <c r="K1434" s="3">
        <v>393</v>
      </c>
      <c r="L1434" t="s">
        <v>9</v>
      </c>
      <c r="M1434">
        <v>13</v>
      </c>
      <c r="N1434" t="s">
        <v>78</v>
      </c>
      <c r="O1434" t="s">
        <v>70</v>
      </c>
      <c r="P1434" t="s">
        <v>18</v>
      </c>
      <c r="Q1434" t="s">
        <v>19</v>
      </c>
      <c r="R1434" t="s">
        <v>138</v>
      </c>
      <c r="S1434" t="s">
        <v>144</v>
      </c>
      <c r="T1434" s="2">
        <f>MASTER[[#This Row],[CANTIDAD]]*MASTER[[#This Row],[PRECIO DE VENTA]]</f>
        <v>1296</v>
      </c>
      <c r="U1434" s="2">
        <f>MASTER[[#This Row],[CANTIDAD]]*MASTER[[#This Row],[COSTO UNITARIO]]</f>
        <v>393</v>
      </c>
      <c r="V1434" s="2">
        <f>MASTER[[#This Row],[MONTO VENDIDO]]-MASTER[[#This Row],[COSTO DE VENTA]]</f>
        <v>903</v>
      </c>
    </row>
    <row r="1435" spans="1:22" x14ac:dyDescent="0.3">
      <c r="A1435">
        <v>28074</v>
      </c>
      <c r="B1435">
        <v>1</v>
      </c>
      <c r="C1435" t="s">
        <v>121</v>
      </c>
      <c r="D1435" t="s">
        <v>122</v>
      </c>
      <c r="E1435" s="1">
        <v>44002</v>
      </c>
      <c r="F1435">
        <v>1</v>
      </c>
      <c r="G1435" t="s">
        <v>20</v>
      </c>
      <c r="H1435" t="s">
        <v>21</v>
      </c>
      <c r="I1435" s="3">
        <v>1144</v>
      </c>
      <c r="J1435" s="3">
        <v>1144</v>
      </c>
      <c r="K1435" s="3">
        <v>460</v>
      </c>
      <c r="L1435" t="s">
        <v>120</v>
      </c>
      <c r="M1435">
        <v>3</v>
      </c>
      <c r="N1435" t="s">
        <v>69</v>
      </c>
      <c r="O1435" t="s">
        <v>70</v>
      </c>
      <c r="P1435" t="s">
        <v>71</v>
      </c>
      <c r="Q1435" t="s">
        <v>72</v>
      </c>
      <c r="R1435" t="s">
        <v>139</v>
      </c>
      <c r="S1435" t="s">
        <v>144</v>
      </c>
      <c r="T1435" s="2">
        <f>MASTER[[#This Row],[CANTIDAD]]*MASTER[[#This Row],[PRECIO DE VENTA]]</f>
        <v>1144</v>
      </c>
      <c r="U1435" s="2">
        <f>MASTER[[#This Row],[CANTIDAD]]*MASTER[[#This Row],[COSTO UNITARIO]]</f>
        <v>460</v>
      </c>
      <c r="V1435" s="2">
        <f>MASTER[[#This Row],[MONTO VENDIDO]]-MASTER[[#This Row],[COSTO DE VENTA]]</f>
        <v>684</v>
      </c>
    </row>
    <row r="1436" spans="1:22" x14ac:dyDescent="0.3">
      <c r="A1436">
        <v>28084</v>
      </c>
      <c r="B1436">
        <v>2</v>
      </c>
      <c r="C1436" t="s">
        <v>90</v>
      </c>
      <c r="D1436" t="s">
        <v>91</v>
      </c>
      <c r="E1436" s="1">
        <v>44002</v>
      </c>
      <c r="F1436">
        <v>1</v>
      </c>
      <c r="G1436" t="s">
        <v>47</v>
      </c>
      <c r="H1436" t="s">
        <v>48</v>
      </c>
      <c r="I1436" s="3">
        <v>2102</v>
      </c>
      <c r="J1436" s="3">
        <v>1975</v>
      </c>
      <c r="K1436" s="3">
        <v>420</v>
      </c>
      <c r="L1436" t="s">
        <v>9</v>
      </c>
      <c r="M1436">
        <v>3</v>
      </c>
      <c r="N1436" t="s">
        <v>69</v>
      </c>
      <c r="O1436" t="s">
        <v>70</v>
      </c>
      <c r="P1436" t="s">
        <v>71</v>
      </c>
      <c r="Q1436" t="s">
        <v>72</v>
      </c>
      <c r="R1436" t="s">
        <v>139</v>
      </c>
      <c r="S1436" t="s">
        <v>144</v>
      </c>
      <c r="T1436" s="2">
        <f>MASTER[[#This Row],[CANTIDAD]]*MASTER[[#This Row],[PRECIO DE VENTA]]</f>
        <v>1975</v>
      </c>
      <c r="U1436" s="2">
        <f>MASTER[[#This Row],[CANTIDAD]]*MASTER[[#This Row],[COSTO UNITARIO]]</f>
        <v>420</v>
      </c>
      <c r="V1436" s="2">
        <f>MASTER[[#This Row],[MONTO VENDIDO]]-MASTER[[#This Row],[COSTO DE VENTA]]</f>
        <v>1555</v>
      </c>
    </row>
    <row r="1437" spans="1:22" x14ac:dyDescent="0.3">
      <c r="A1437">
        <v>28084</v>
      </c>
      <c r="B1437">
        <v>1</v>
      </c>
      <c r="C1437" t="s">
        <v>99</v>
      </c>
      <c r="D1437" t="s">
        <v>100</v>
      </c>
      <c r="E1437" s="1">
        <v>44002</v>
      </c>
      <c r="F1437">
        <v>1</v>
      </c>
      <c r="G1437" t="s">
        <v>24</v>
      </c>
      <c r="H1437" t="s">
        <v>25</v>
      </c>
      <c r="I1437" s="3">
        <v>1678</v>
      </c>
      <c r="J1437" s="3">
        <v>1510</v>
      </c>
      <c r="K1437" s="3">
        <v>386</v>
      </c>
      <c r="L1437" t="s">
        <v>98</v>
      </c>
      <c r="M1437">
        <v>3</v>
      </c>
      <c r="N1437" t="s">
        <v>69</v>
      </c>
      <c r="O1437" t="s">
        <v>70</v>
      </c>
      <c r="P1437" t="s">
        <v>71</v>
      </c>
      <c r="Q1437" t="s">
        <v>72</v>
      </c>
      <c r="R1437" t="s">
        <v>139</v>
      </c>
      <c r="S1437" t="s">
        <v>144</v>
      </c>
      <c r="T1437" s="2">
        <f>MASTER[[#This Row],[CANTIDAD]]*MASTER[[#This Row],[PRECIO DE VENTA]]</f>
        <v>1510</v>
      </c>
      <c r="U1437" s="2">
        <f>MASTER[[#This Row],[CANTIDAD]]*MASTER[[#This Row],[COSTO UNITARIO]]</f>
        <v>386</v>
      </c>
      <c r="V1437" s="2">
        <f>MASTER[[#This Row],[MONTO VENDIDO]]-MASTER[[#This Row],[COSTO DE VENTA]]</f>
        <v>1124</v>
      </c>
    </row>
    <row r="1438" spans="1:22" x14ac:dyDescent="0.3">
      <c r="A1438">
        <v>28124</v>
      </c>
      <c r="B1438">
        <v>1</v>
      </c>
      <c r="C1438" t="s">
        <v>114</v>
      </c>
      <c r="D1438" t="s">
        <v>115</v>
      </c>
      <c r="E1438" s="1">
        <v>44002</v>
      </c>
      <c r="F1438">
        <v>1</v>
      </c>
      <c r="G1438" t="s">
        <v>63</v>
      </c>
      <c r="H1438" t="s">
        <v>64</v>
      </c>
      <c r="I1438" s="3">
        <v>1583</v>
      </c>
      <c r="J1438" s="3">
        <v>1583</v>
      </c>
      <c r="K1438" s="3">
        <v>394</v>
      </c>
      <c r="L1438" t="s">
        <v>113</v>
      </c>
      <c r="M1438">
        <v>12</v>
      </c>
      <c r="N1438" t="s">
        <v>26</v>
      </c>
      <c r="O1438" t="s">
        <v>11</v>
      </c>
      <c r="P1438" t="s">
        <v>12</v>
      </c>
      <c r="Q1438" t="s">
        <v>13</v>
      </c>
      <c r="R1438" t="s">
        <v>13</v>
      </c>
      <c r="S1438" t="s">
        <v>144</v>
      </c>
      <c r="T1438" s="2">
        <f>MASTER[[#This Row],[CANTIDAD]]*MASTER[[#This Row],[PRECIO DE VENTA]]</f>
        <v>1583</v>
      </c>
      <c r="U1438" s="2">
        <f>MASTER[[#This Row],[CANTIDAD]]*MASTER[[#This Row],[COSTO UNITARIO]]</f>
        <v>394</v>
      </c>
      <c r="V1438" s="2">
        <f>MASTER[[#This Row],[MONTO VENDIDO]]-MASTER[[#This Row],[COSTO DE VENTA]]</f>
        <v>1189</v>
      </c>
    </row>
    <row r="1439" spans="1:22" x14ac:dyDescent="0.3">
      <c r="A1439">
        <v>28136</v>
      </c>
      <c r="B1439">
        <v>1</v>
      </c>
      <c r="C1439" t="s">
        <v>116</v>
      </c>
      <c r="D1439" t="s">
        <v>117</v>
      </c>
      <c r="E1439" s="1">
        <v>44002</v>
      </c>
      <c r="F1439">
        <v>1</v>
      </c>
      <c r="G1439" t="s">
        <v>37</v>
      </c>
      <c r="H1439" t="s">
        <v>38</v>
      </c>
      <c r="I1439" s="3">
        <v>1999</v>
      </c>
      <c r="J1439" s="3">
        <v>1899</v>
      </c>
      <c r="K1439" s="3">
        <v>388</v>
      </c>
      <c r="L1439" t="s">
        <v>113</v>
      </c>
      <c r="M1439">
        <v>6</v>
      </c>
      <c r="N1439" t="s">
        <v>75</v>
      </c>
      <c r="O1439" t="s">
        <v>70</v>
      </c>
      <c r="P1439" t="s">
        <v>12</v>
      </c>
      <c r="Q1439" t="s">
        <v>13</v>
      </c>
      <c r="R1439" t="s">
        <v>13</v>
      </c>
      <c r="S1439" t="s">
        <v>144</v>
      </c>
      <c r="T1439" s="2">
        <f>MASTER[[#This Row],[CANTIDAD]]*MASTER[[#This Row],[PRECIO DE VENTA]]</f>
        <v>1899</v>
      </c>
      <c r="U1439" s="2">
        <f>MASTER[[#This Row],[CANTIDAD]]*MASTER[[#This Row],[COSTO UNITARIO]]</f>
        <v>388</v>
      </c>
      <c r="V1439" s="2">
        <f>MASTER[[#This Row],[MONTO VENDIDO]]-MASTER[[#This Row],[COSTO DE VENTA]]</f>
        <v>1511</v>
      </c>
    </row>
    <row r="1440" spans="1:22" x14ac:dyDescent="0.3">
      <c r="A1440">
        <v>28142</v>
      </c>
      <c r="B1440">
        <v>1</v>
      </c>
      <c r="C1440" t="s">
        <v>116</v>
      </c>
      <c r="D1440" t="s">
        <v>117</v>
      </c>
      <c r="E1440" s="1">
        <v>44002</v>
      </c>
      <c r="F1440">
        <v>1</v>
      </c>
      <c r="G1440" t="s">
        <v>39</v>
      </c>
      <c r="H1440" t="s">
        <v>40</v>
      </c>
      <c r="I1440" s="3">
        <v>1738</v>
      </c>
      <c r="J1440" s="3">
        <v>1738</v>
      </c>
      <c r="K1440" s="3">
        <v>388</v>
      </c>
      <c r="L1440" t="s">
        <v>113</v>
      </c>
      <c r="M1440">
        <v>19</v>
      </c>
      <c r="N1440" t="s">
        <v>89</v>
      </c>
      <c r="O1440" t="s">
        <v>81</v>
      </c>
      <c r="P1440" t="s">
        <v>15</v>
      </c>
      <c r="Q1440" t="s">
        <v>16</v>
      </c>
      <c r="R1440" t="s">
        <v>16</v>
      </c>
      <c r="S1440" t="s">
        <v>144</v>
      </c>
      <c r="T1440" s="2">
        <f>MASTER[[#This Row],[CANTIDAD]]*MASTER[[#This Row],[PRECIO DE VENTA]]</f>
        <v>1738</v>
      </c>
      <c r="U1440" s="2">
        <f>MASTER[[#This Row],[CANTIDAD]]*MASTER[[#This Row],[COSTO UNITARIO]]</f>
        <v>388</v>
      </c>
      <c r="V1440" s="2">
        <f>MASTER[[#This Row],[MONTO VENDIDO]]-MASTER[[#This Row],[COSTO DE VENTA]]</f>
        <v>1350</v>
      </c>
    </row>
    <row r="1441" spans="1:22" x14ac:dyDescent="0.3">
      <c r="A1441">
        <v>28167</v>
      </c>
      <c r="B1441">
        <v>1</v>
      </c>
      <c r="C1441" t="s">
        <v>103</v>
      </c>
      <c r="D1441" t="s">
        <v>104</v>
      </c>
      <c r="E1441" s="1">
        <v>44003</v>
      </c>
      <c r="F1441">
        <v>1</v>
      </c>
      <c r="G1441" t="s">
        <v>29</v>
      </c>
      <c r="H1441" t="s">
        <v>30</v>
      </c>
      <c r="I1441" s="3">
        <v>1448</v>
      </c>
      <c r="J1441" s="3">
        <v>1448</v>
      </c>
      <c r="K1441" s="3">
        <v>421</v>
      </c>
      <c r="L1441" t="s">
        <v>98</v>
      </c>
      <c r="M1441">
        <v>16</v>
      </c>
      <c r="N1441" t="s">
        <v>17</v>
      </c>
      <c r="O1441" t="s">
        <v>11</v>
      </c>
      <c r="P1441" t="s">
        <v>18</v>
      </c>
      <c r="Q1441" t="s">
        <v>19</v>
      </c>
      <c r="R1441" t="s">
        <v>138</v>
      </c>
      <c r="S1441" t="s">
        <v>144</v>
      </c>
      <c r="T1441" s="2">
        <f>MASTER[[#This Row],[CANTIDAD]]*MASTER[[#This Row],[PRECIO DE VENTA]]</f>
        <v>1448</v>
      </c>
      <c r="U1441" s="2">
        <f>MASTER[[#This Row],[CANTIDAD]]*MASTER[[#This Row],[COSTO UNITARIO]]</f>
        <v>421</v>
      </c>
      <c r="V1441" s="2">
        <f>MASTER[[#This Row],[MONTO VENDIDO]]-MASTER[[#This Row],[COSTO DE VENTA]]</f>
        <v>1027</v>
      </c>
    </row>
    <row r="1442" spans="1:22" x14ac:dyDescent="0.3">
      <c r="A1442">
        <v>28181</v>
      </c>
      <c r="B1442">
        <v>1</v>
      </c>
      <c r="C1442" t="s">
        <v>90</v>
      </c>
      <c r="D1442" t="s">
        <v>91</v>
      </c>
      <c r="E1442" s="1">
        <v>44003</v>
      </c>
      <c r="F1442">
        <v>1</v>
      </c>
      <c r="G1442" t="s">
        <v>59</v>
      </c>
      <c r="H1442" t="s">
        <v>60</v>
      </c>
      <c r="I1442" s="3">
        <v>1844</v>
      </c>
      <c r="J1442" s="3">
        <v>1659</v>
      </c>
      <c r="K1442" s="3">
        <v>420</v>
      </c>
      <c r="L1442" t="s">
        <v>9</v>
      </c>
      <c r="M1442">
        <v>10</v>
      </c>
      <c r="N1442" t="s">
        <v>83</v>
      </c>
      <c r="O1442" t="s">
        <v>81</v>
      </c>
      <c r="P1442" t="s">
        <v>12</v>
      </c>
      <c r="Q1442" t="s">
        <v>13</v>
      </c>
      <c r="R1442" t="s">
        <v>13</v>
      </c>
      <c r="S1442" t="s">
        <v>144</v>
      </c>
      <c r="T1442" s="2">
        <f>MASTER[[#This Row],[CANTIDAD]]*MASTER[[#This Row],[PRECIO DE VENTA]]</f>
        <v>1659</v>
      </c>
      <c r="U1442" s="2">
        <f>MASTER[[#This Row],[CANTIDAD]]*MASTER[[#This Row],[COSTO UNITARIO]]</f>
        <v>420</v>
      </c>
      <c r="V1442" s="2">
        <f>MASTER[[#This Row],[MONTO VENDIDO]]-MASTER[[#This Row],[COSTO DE VENTA]]</f>
        <v>1239</v>
      </c>
    </row>
    <row r="1443" spans="1:22" x14ac:dyDescent="0.3">
      <c r="A1443">
        <v>28197</v>
      </c>
      <c r="B1443">
        <v>1</v>
      </c>
      <c r="C1443" t="s">
        <v>107</v>
      </c>
      <c r="D1443" t="s">
        <v>108</v>
      </c>
      <c r="E1443" s="1">
        <v>44003</v>
      </c>
      <c r="F1443">
        <v>1</v>
      </c>
      <c r="G1443" t="s">
        <v>24</v>
      </c>
      <c r="H1443" t="s">
        <v>25</v>
      </c>
      <c r="I1443" s="3">
        <v>1333</v>
      </c>
      <c r="J1443" s="3">
        <v>1333</v>
      </c>
      <c r="K1443" s="3">
        <v>380</v>
      </c>
      <c r="L1443" t="s">
        <v>98</v>
      </c>
      <c r="M1443">
        <v>7</v>
      </c>
      <c r="N1443" t="s">
        <v>84</v>
      </c>
      <c r="O1443" t="s">
        <v>81</v>
      </c>
      <c r="P1443" t="s">
        <v>12</v>
      </c>
      <c r="Q1443" t="s">
        <v>13</v>
      </c>
      <c r="R1443" t="s">
        <v>13</v>
      </c>
      <c r="S1443" t="s">
        <v>144</v>
      </c>
      <c r="T1443" s="2">
        <f>MASTER[[#This Row],[CANTIDAD]]*MASTER[[#This Row],[PRECIO DE VENTA]]</f>
        <v>1333</v>
      </c>
      <c r="U1443" s="2">
        <f>MASTER[[#This Row],[CANTIDAD]]*MASTER[[#This Row],[COSTO UNITARIO]]</f>
        <v>380</v>
      </c>
      <c r="V1443" s="2">
        <f>MASTER[[#This Row],[MONTO VENDIDO]]-MASTER[[#This Row],[COSTO DE VENTA]]</f>
        <v>953</v>
      </c>
    </row>
    <row r="1444" spans="1:22" x14ac:dyDescent="0.3">
      <c r="A1444">
        <v>28200</v>
      </c>
      <c r="B1444">
        <v>1</v>
      </c>
      <c r="C1444" t="s">
        <v>107</v>
      </c>
      <c r="D1444" t="s">
        <v>108</v>
      </c>
      <c r="E1444" s="1">
        <v>44003</v>
      </c>
      <c r="F1444">
        <v>1</v>
      </c>
      <c r="G1444" t="s">
        <v>65</v>
      </c>
      <c r="H1444" t="s">
        <v>66</v>
      </c>
      <c r="I1444" s="3">
        <v>1440</v>
      </c>
      <c r="J1444" s="3">
        <v>1440</v>
      </c>
      <c r="K1444" s="3">
        <v>380</v>
      </c>
      <c r="L1444" t="s">
        <v>98</v>
      </c>
      <c r="M1444">
        <v>9</v>
      </c>
      <c r="N1444" t="s">
        <v>76</v>
      </c>
      <c r="O1444" t="s">
        <v>70</v>
      </c>
      <c r="P1444" t="s">
        <v>12</v>
      </c>
      <c r="Q1444" t="s">
        <v>13</v>
      </c>
      <c r="R1444" t="s">
        <v>13</v>
      </c>
      <c r="S1444" t="s">
        <v>144</v>
      </c>
      <c r="T1444" s="2">
        <f>MASTER[[#This Row],[CANTIDAD]]*MASTER[[#This Row],[PRECIO DE VENTA]]</f>
        <v>1440</v>
      </c>
      <c r="U1444" s="2">
        <f>MASTER[[#This Row],[CANTIDAD]]*MASTER[[#This Row],[COSTO UNITARIO]]</f>
        <v>380</v>
      </c>
      <c r="V1444" s="2">
        <f>MASTER[[#This Row],[MONTO VENDIDO]]-MASTER[[#This Row],[COSTO DE VENTA]]</f>
        <v>1060</v>
      </c>
    </row>
    <row r="1445" spans="1:22" x14ac:dyDescent="0.3">
      <c r="A1445">
        <v>28202</v>
      </c>
      <c r="B1445">
        <v>1</v>
      </c>
      <c r="C1445" t="s">
        <v>107</v>
      </c>
      <c r="D1445" t="s">
        <v>108</v>
      </c>
      <c r="E1445" s="1">
        <v>44003</v>
      </c>
      <c r="F1445">
        <v>1</v>
      </c>
      <c r="G1445" t="s">
        <v>35</v>
      </c>
      <c r="H1445" t="s">
        <v>36</v>
      </c>
      <c r="I1445" s="3">
        <v>1333</v>
      </c>
      <c r="J1445" s="3">
        <v>1333</v>
      </c>
      <c r="K1445" s="3">
        <v>380</v>
      </c>
      <c r="L1445" t="s">
        <v>98</v>
      </c>
      <c r="M1445">
        <v>7</v>
      </c>
      <c r="N1445" t="s">
        <v>84</v>
      </c>
      <c r="O1445" t="s">
        <v>81</v>
      </c>
      <c r="P1445" t="s">
        <v>12</v>
      </c>
      <c r="Q1445" t="s">
        <v>13</v>
      </c>
      <c r="R1445" t="s">
        <v>13</v>
      </c>
      <c r="S1445" t="s">
        <v>144</v>
      </c>
      <c r="T1445" s="2">
        <f>MASTER[[#This Row],[CANTIDAD]]*MASTER[[#This Row],[PRECIO DE VENTA]]</f>
        <v>1333</v>
      </c>
      <c r="U1445" s="2">
        <f>MASTER[[#This Row],[CANTIDAD]]*MASTER[[#This Row],[COSTO UNITARIO]]</f>
        <v>380</v>
      </c>
      <c r="V1445" s="2">
        <f>MASTER[[#This Row],[MONTO VENDIDO]]-MASTER[[#This Row],[COSTO DE VENTA]]</f>
        <v>953</v>
      </c>
    </row>
    <row r="1446" spans="1:22" x14ac:dyDescent="0.3">
      <c r="A1446">
        <v>28212</v>
      </c>
      <c r="B1446">
        <v>1</v>
      </c>
      <c r="C1446" t="s">
        <v>109</v>
      </c>
      <c r="D1446" t="s">
        <v>110</v>
      </c>
      <c r="E1446" s="1">
        <v>44003</v>
      </c>
      <c r="F1446">
        <v>1</v>
      </c>
      <c r="G1446" t="s">
        <v>27</v>
      </c>
      <c r="H1446" t="s">
        <v>28</v>
      </c>
      <c r="I1446" s="3">
        <v>1064</v>
      </c>
      <c r="J1446" s="3">
        <v>1064</v>
      </c>
      <c r="K1446" s="3">
        <v>387</v>
      </c>
      <c r="L1446" t="s">
        <v>98</v>
      </c>
      <c r="M1446">
        <v>8</v>
      </c>
      <c r="N1446" t="s">
        <v>80</v>
      </c>
      <c r="O1446" t="s">
        <v>81</v>
      </c>
      <c r="P1446" t="s">
        <v>12</v>
      </c>
      <c r="Q1446" t="s">
        <v>13</v>
      </c>
      <c r="R1446" t="s">
        <v>13</v>
      </c>
      <c r="S1446" t="s">
        <v>144</v>
      </c>
      <c r="T1446" s="2">
        <f>MASTER[[#This Row],[CANTIDAD]]*MASTER[[#This Row],[PRECIO DE VENTA]]</f>
        <v>1064</v>
      </c>
      <c r="U1446" s="2">
        <f>MASTER[[#This Row],[CANTIDAD]]*MASTER[[#This Row],[COSTO UNITARIO]]</f>
        <v>387</v>
      </c>
      <c r="V1446" s="2">
        <f>MASTER[[#This Row],[MONTO VENDIDO]]-MASTER[[#This Row],[COSTO DE VENTA]]</f>
        <v>677</v>
      </c>
    </row>
    <row r="1447" spans="1:22" x14ac:dyDescent="0.3">
      <c r="A1447">
        <v>28223</v>
      </c>
      <c r="B1447">
        <v>1</v>
      </c>
      <c r="C1447" t="s">
        <v>116</v>
      </c>
      <c r="D1447" t="s">
        <v>117</v>
      </c>
      <c r="E1447" s="1">
        <v>44003</v>
      </c>
      <c r="F1447">
        <v>1</v>
      </c>
      <c r="G1447" t="s">
        <v>67</v>
      </c>
      <c r="H1447" t="s">
        <v>68</v>
      </c>
      <c r="I1447" s="3">
        <v>1738</v>
      </c>
      <c r="J1447" s="3">
        <v>1738</v>
      </c>
      <c r="K1447" s="3">
        <v>388</v>
      </c>
      <c r="L1447" t="s">
        <v>113</v>
      </c>
      <c r="M1447">
        <v>10</v>
      </c>
      <c r="N1447" t="s">
        <v>83</v>
      </c>
      <c r="O1447" t="s">
        <v>81</v>
      </c>
      <c r="P1447" t="s">
        <v>12</v>
      </c>
      <c r="Q1447" t="s">
        <v>13</v>
      </c>
      <c r="R1447" t="s">
        <v>13</v>
      </c>
      <c r="S1447" t="s">
        <v>144</v>
      </c>
      <c r="T1447" s="2">
        <f>MASTER[[#This Row],[CANTIDAD]]*MASTER[[#This Row],[PRECIO DE VENTA]]</f>
        <v>1738</v>
      </c>
      <c r="U1447" s="2">
        <f>MASTER[[#This Row],[CANTIDAD]]*MASTER[[#This Row],[COSTO UNITARIO]]</f>
        <v>388</v>
      </c>
      <c r="V1447" s="2">
        <f>MASTER[[#This Row],[MONTO VENDIDO]]-MASTER[[#This Row],[COSTO DE VENTA]]</f>
        <v>1350</v>
      </c>
    </row>
    <row r="1448" spans="1:22" x14ac:dyDescent="0.3">
      <c r="A1448">
        <v>28230</v>
      </c>
      <c r="B1448">
        <v>1</v>
      </c>
      <c r="C1448" t="s">
        <v>111</v>
      </c>
      <c r="D1448" t="s">
        <v>112</v>
      </c>
      <c r="E1448" s="1">
        <v>44003</v>
      </c>
      <c r="F1448">
        <v>1</v>
      </c>
      <c r="G1448" t="s">
        <v>29</v>
      </c>
      <c r="H1448" t="s">
        <v>30</v>
      </c>
      <c r="I1448" s="3">
        <v>1621</v>
      </c>
      <c r="J1448" s="3">
        <v>1621</v>
      </c>
      <c r="K1448" s="3">
        <v>434</v>
      </c>
      <c r="L1448" t="s">
        <v>113</v>
      </c>
      <c r="M1448">
        <v>8</v>
      </c>
      <c r="N1448" t="s">
        <v>80</v>
      </c>
      <c r="O1448" t="s">
        <v>81</v>
      </c>
      <c r="P1448" t="s">
        <v>12</v>
      </c>
      <c r="Q1448" t="s">
        <v>13</v>
      </c>
      <c r="R1448" t="s">
        <v>13</v>
      </c>
      <c r="S1448" t="s">
        <v>144</v>
      </c>
      <c r="T1448" s="2">
        <f>MASTER[[#This Row],[CANTIDAD]]*MASTER[[#This Row],[PRECIO DE VENTA]]</f>
        <v>1621</v>
      </c>
      <c r="U1448" s="2">
        <f>MASTER[[#This Row],[CANTIDAD]]*MASTER[[#This Row],[COSTO UNITARIO]]</f>
        <v>434</v>
      </c>
      <c r="V1448" s="2">
        <f>MASTER[[#This Row],[MONTO VENDIDO]]-MASTER[[#This Row],[COSTO DE VENTA]]</f>
        <v>1187</v>
      </c>
    </row>
    <row r="1449" spans="1:22" x14ac:dyDescent="0.3">
      <c r="A1449">
        <v>28249</v>
      </c>
      <c r="B1449">
        <v>1</v>
      </c>
      <c r="C1449" t="s">
        <v>90</v>
      </c>
      <c r="D1449" t="s">
        <v>91</v>
      </c>
      <c r="E1449" s="1">
        <v>44003</v>
      </c>
      <c r="F1449">
        <v>1</v>
      </c>
      <c r="G1449" t="s">
        <v>43</v>
      </c>
      <c r="H1449" t="s">
        <v>44</v>
      </c>
      <c r="I1449" s="3">
        <v>2102</v>
      </c>
      <c r="J1449" s="3">
        <v>2102</v>
      </c>
      <c r="K1449" s="3">
        <v>420</v>
      </c>
      <c r="L1449" t="s">
        <v>9</v>
      </c>
      <c r="M1449">
        <v>13</v>
      </c>
      <c r="N1449" t="s">
        <v>78</v>
      </c>
      <c r="O1449" t="s">
        <v>70</v>
      </c>
      <c r="P1449" t="s">
        <v>18</v>
      </c>
      <c r="Q1449" t="s">
        <v>19</v>
      </c>
      <c r="R1449" t="s">
        <v>138</v>
      </c>
      <c r="S1449" t="s">
        <v>144</v>
      </c>
      <c r="T1449" s="2">
        <f>MASTER[[#This Row],[CANTIDAD]]*MASTER[[#This Row],[PRECIO DE VENTA]]</f>
        <v>2102</v>
      </c>
      <c r="U1449" s="2">
        <f>MASTER[[#This Row],[CANTIDAD]]*MASTER[[#This Row],[COSTO UNITARIO]]</f>
        <v>420</v>
      </c>
      <c r="V1449" s="2">
        <f>MASTER[[#This Row],[MONTO VENDIDO]]-MASTER[[#This Row],[COSTO DE VENTA]]</f>
        <v>1682</v>
      </c>
    </row>
    <row r="1450" spans="1:22" x14ac:dyDescent="0.3">
      <c r="A1450">
        <v>28259</v>
      </c>
      <c r="B1450">
        <v>1</v>
      </c>
      <c r="C1450" t="s">
        <v>90</v>
      </c>
      <c r="D1450" t="s">
        <v>91</v>
      </c>
      <c r="E1450" s="1">
        <v>44003</v>
      </c>
      <c r="F1450">
        <v>1</v>
      </c>
      <c r="G1450" t="s">
        <v>7</v>
      </c>
      <c r="H1450" t="s">
        <v>8</v>
      </c>
      <c r="I1450" s="3">
        <v>2102</v>
      </c>
      <c r="J1450" s="3">
        <v>2102</v>
      </c>
      <c r="K1450" s="3">
        <v>420</v>
      </c>
      <c r="L1450" t="s">
        <v>9</v>
      </c>
      <c r="M1450">
        <v>1</v>
      </c>
      <c r="N1450" t="s">
        <v>77</v>
      </c>
      <c r="O1450" t="s">
        <v>70</v>
      </c>
      <c r="P1450" t="s">
        <v>71</v>
      </c>
      <c r="Q1450" t="s">
        <v>72</v>
      </c>
      <c r="R1450" t="s">
        <v>139</v>
      </c>
      <c r="S1450" t="s">
        <v>144</v>
      </c>
      <c r="T1450" s="2">
        <f>MASTER[[#This Row],[CANTIDAD]]*MASTER[[#This Row],[PRECIO DE VENTA]]</f>
        <v>2102</v>
      </c>
      <c r="U1450" s="2">
        <f>MASTER[[#This Row],[CANTIDAD]]*MASTER[[#This Row],[COSTO UNITARIO]]</f>
        <v>420</v>
      </c>
      <c r="V1450" s="2">
        <f>MASTER[[#This Row],[MONTO VENDIDO]]-MASTER[[#This Row],[COSTO DE VENTA]]</f>
        <v>1682</v>
      </c>
    </row>
    <row r="1451" spans="1:22" x14ac:dyDescent="0.3">
      <c r="A1451">
        <v>28307</v>
      </c>
      <c r="B1451">
        <v>1</v>
      </c>
      <c r="C1451" t="s">
        <v>116</v>
      </c>
      <c r="D1451" t="s">
        <v>117</v>
      </c>
      <c r="E1451" s="1">
        <v>44004</v>
      </c>
      <c r="F1451">
        <v>1</v>
      </c>
      <c r="G1451" t="s">
        <v>61</v>
      </c>
      <c r="H1451" t="s">
        <v>62</v>
      </c>
      <c r="I1451" s="3">
        <v>1529</v>
      </c>
      <c r="J1451" s="3">
        <v>1529</v>
      </c>
      <c r="K1451" s="3">
        <v>388</v>
      </c>
      <c r="L1451" t="s">
        <v>113</v>
      </c>
      <c r="M1451">
        <v>17</v>
      </c>
      <c r="N1451" t="s">
        <v>14</v>
      </c>
      <c r="O1451" t="s">
        <v>11</v>
      </c>
      <c r="P1451" t="s">
        <v>15</v>
      </c>
      <c r="Q1451" t="s">
        <v>16</v>
      </c>
      <c r="R1451" t="s">
        <v>16</v>
      </c>
      <c r="S1451" t="s">
        <v>144</v>
      </c>
      <c r="T1451" s="2">
        <f>MASTER[[#This Row],[CANTIDAD]]*MASTER[[#This Row],[PRECIO DE VENTA]]</f>
        <v>1529</v>
      </c>
      <c r="U1451" s="2">
        <f>MASTER[[#This Row],[CANTIDAD]]*MASTER[[#This Row],[COSTO UNITARIO]]</f>
        <v>388</v>
      </c>
      <c r="V1451" s="2">
        <f>MASTER[[#This Row],[MONTO VENDIDO]]-MASTER[[#This Row],[COSTO DE VENTA]]</f>
        <v>1141</v>
      </c>
    </row>
    <row r="1452" spans="1:22" x14ac:dyDescent="0.3">
      <c r="A1452">
        <v>28336</v>
      </c>
      <c r="B1452">
        <v>1</v>
      </c>
      <c r="C1452" t="s">
        <v>105</v>
      </c>
      <c r="D1452" t="s">
        <v>106</v>
      </c>
      <c r="E1452" s="1">
        <v>44004</v>
      </c>
      <c r="F1452">
        <v>1</v>
      </c>
      <c r="G1452" t="s">
        <v>65</v>
      </c>
      <c r="H1452" t="s">
        <v>66</v>
      </c>
      <c r="I1452" s="3">
        <v>2033</v>
      </c>
      <c r="J1452" s="3">
        <v>2033</v>
      </c>
      <c r="K1452" s="3">
        <v>459</v>
      </c>
      <c r="L1452" t="s">
        <v>98</v>
      </c>
      <c r="M1452">
        <v>1</v>
      </c>
      <c r="N1452" t="s">
        <v>77</v>
      </c>
      <c r="O1452" t="s">
        <v>70</v>
      </c>
      <c r="P1452" t="s">
        <v>71</v>
      </c>
      <c r="Q1452" t="s">
        <v>72</v>
      </c>
      <c r="R1452" t="s">
        <v>139</v>
      </c>
      <c r="S1452" t="s">
        <v>144</v>
      </c>
      <c r="T1452" s="2">
        <f>MASTER[[#This Row],[CANTIDAD]]*MASTER[[#This Row],[PRECIO DE VENTA]]</f>
        <v>2033</v>
      </c>
      <c r="U1452" s="2">
        <f>MASTER[[#This Row],[CANTIDAD]]*MASTER[[#This Row],[COSTO UNITARIO]]</f>
        <v>459</v>
      </c>
      <c r="V1452" s="2">
        <f>MASTER[[#This Row],[MONTO VENDIDO]]-MASTER[[#This Row],[COSTO DE VENTA]]</f>
        <v>1574</v>
      </c>
    </row>
    <row r="1453" spans="1:22" x14ac:dyDescent="0.3">
      <c r="A1453">
        <v>28352</v>
      </c>
      <c r="B1453">
        <v>1</v>
      </c>
      <c r="C1453" t="s">
        <v>111</v>
      </c>
      <c r="D1453" t="s">
        <v>112</v>
      </c>
      <c r="E1453" s="1">
        <v>44004</v>
      </c>
      <c r="F1453">
        <v>1</v>
      </c>
      <c r="G1453" t="s">
        <v>61</v>
      </c>
      <c r="H1453" t="s">
        <v>62</v>
      </c>
      <c r="I1453" s="3">
        <v>1621</v>
      </c>
      <c r="J1453" s="3">
        <v>1621</v>
      </c>
      <c r="K1453" s="3">
        <v>434</v>
      </c>
      <c r="L1453" t="s">
        <v>113</v>
      </c>
      <c r="M1453">
        <v>2</v>
      </c>
      <c r="N1453" t="s">
        <v>86</v>
      </c>
      <c r="O1453" t="s">
        <v>81</v>
      </c>
      <c r="P1453" t="s">
        <v>71</v>
      </c>
      <c r="Q1453" t="s">
        <v>72</v>
      </c>
      <c r="R1453" t="s">
        <v>139</v>
      </c>
      <c r="S1453" t="s">
        <v>144</v>
      </c>
      <c r="T1453" s="2">
        <f>MASTER[[#This Row],[CANTIDAD]]*MASTER[[#This Row],[PRECIO DE VENTA]]</f>
        <v>1621</v>
      </c>
      <c r="U1453" s="2">
        <f>MASTER[[#This Row],[CANTIDAD]]*MASTER[[#This Row],[COSTO UNITARIO]]</f>
        <v>434</v>
      </c>
      <c r="V1453" s="2">
        <f>MASTER[[#This Row],[MONTO VENDIDO]]-MASTER[[#This Row],[COSTO DE VENTA]]</f>
        <v>1187</v>
      </c>
    </row>
    <row r="1454" spans="1:22" x14ac:dyDescent="0.3">
      <c r="A1454">
        <v>28382</v>
      </c>
      <c r="B1454">
        <v>1</v>
      </c>
      <c r="C1454" t="s">
        <v>90</v>
      </c>
      <c r="D1454" t="s">
        <v>91</v>
      </c>
      <c r="E1454" s="1">
        <v>44004</v>
      </c>
      <c r="F1454">
        <v>1</v>
      </c>
      <c r="G1454" t="s">
        <v>41</v>
      </c>
      <c r="H1454" t="s">
        <v>42</v>
      </c>
      <c r="I1454" s="3">
        <v>2102</v>
      </c>
      <c r="J1454" s="3">
        <v>2102</v>
      </c>
      <c r="K1454" s="3">
        <v>420</v>
      </c>
      <c r="L1454" t="s">
        <v>9</v>
      </c>
      <c r="M1454">
        <v>13</v>
      </c>
      <c r="N1454" t="s">
        <v>78</v>
      </c>
      <c r="O1454" t="s">
        <v>70</v>
      </c>
      <c r="P1454" t="s">
        <v>18</v>
      </c>
      <c r="Q1454" t="s">
        <v>19</v>
      </c>
      <c r="R1454" t="s">
        <v>138</v>
      </c>
      <c r="S1454" t="s">
        <v>144</v>
      </c>
      <c r="T1454" s="2">
        <f>MASTER[[#This Row],[CANTIDAD]]*MASTER[[#This Row],[PRECIO DE VENTA]]</f>
        <v>2102</v>
      </c>
      <c r="U1454" s="2">
        <f>MASTER[[#This Row],[CANTIDAD]]*MASTER[[#This Row],[COSTO UNITARIO]]</f>
        <v>420</v>
      </c>
      <c r="V1454" s="2">
        <f>MASTER[[#This Row],[MONTO VENDIDO]]-MASTER[[#This Row],[COSTO DE VENTA]]</f>
        <v>1682</v>
      </c>
    </row>
    <row r="1455" spans="1:22" x14ac:dyDescent="0.3">
      <c r="A1455">
        <v>28386</v>
      </c>
      <c r="B1455">
        <v>1</v>
      </c>
      <c r="C1455" t="s">
        <v>101</v>
      </c>
      <c r="D1455" t="s">
        <v>102</v>
      </c>
      <c r="E1455" s="1">
        <v>44004</v>
      </c>
      <c r="F1455">
        <v>1</v>
      </c>
      <c r="G1455" t="s">
        <v>51</v>
      </c>
      <c r="H1455" t="s">
        <v>52</v>
      </c>
      <c r="I1455" s="3">
        <v>1054</v>
      </c>
      <c r="J1455" s="3">
        <v>1054</v>
      </c>
      <c r="K1455" s="3">
        <v>442</v>
      </c>
      <c r="L1455" t="s">
        <v>98</v>
      </c>
      <c r="M1455">
        <v>16</v>
      </c>
      <c r="N1455" t="s">
        <v>17</v>
      </c>
      <c r="O1455" t="s">
        <v>11</v>
      </c>
      <c r="P1455" t="s">
        <v>18</v>
      </c>
      <c r="Q1455" t="s">
        <v>19</v>
      </c>
      <c r="R1455" t="s">
        <v>138</v>
      </c>
      <c r="S1455" t="s">
        <v>144</v>
      </c>
      <c r="T1455" s="2">
        <f>MASTER[[#This Row],[CANTIDAD]]*MASTER[[#This Row],[PRECIO DE VENTA]]</f>
        <v>1054</v>
      </c>
      <c r="U1455" s="2">
        <f>MASTER[[#This Row],[CANTIDAD]]*MASTER[[#This Row],[COSTO UNITARIO]]</f>
        <v>442</v>
      </c>
      <c r="V1455" s="2">
        <f>MASTER[[#This Row],[MONTO VENDIDO]]-MASTER[[#This Row],[COSTO DE VENTA]]</f>
        <v>612</v>
      </c>
    </row>
    <row r="1456" spans="1:22" x14ac:dyDescent="0.3">
      <c r="A1456">
        <v>28393</v>
      </c>
      <c r="B1456">
        <v>1</v>
      </c>
      <c r="C1456" t="s">
        <v>109</v>
      </c>
      <c r="D1456" t="s">
        <v>110</v>
      </c>
      <c r="E1456" s="1">
        <v>44004</v>
      </c>
      <c r="F1456">
        <v>4</v>
      </c>
      <c r="G1456" t="s">
        <v>53</v>
      </c>
      <c r="H1456" t="s">
        <v>54</v>
      </c>
      <c r="I1456" s="3">
        <v>1064</v>
      </c>
      <c r="J1456" s="3">
        <v>1010</v>
      </c>
      <c r="K1456" s="3">
        <v>387</v>
      </c>
      <c r="L1456" t="s">
        <v>98</v>
      </c>
      <c r="M1456">
        <v>19</v>
      </c>
      <c r="N1456" t="s">
        <v>89</v>
      </c>
      <c r="O1456" t="s">
        <v>81</v>
      </c>
      <c r="P1456" t="s">
        <v>15</v>
      </c>
      <c r="Q1456" t="s">
        <v>16</v>
      </c>
      <c r="R1456" t="s">
        <v>16</v>
      </c>
      <c r="S1456" t="s">
        <v>144</v>
      </c>
      <c r="T1456" s="2">
        <f>MASTER[[#This Row],[CANTIDAD]]*MASTER[[#This Row],[PRECIO DE VENTA]]</f>
        <v>4040</v>
      </c>
      <c r="U1456" s="2">
        <f>MASTER[[#This Row],[CANTIDAD]]*MASTER[[#This Row],[COSTO UNITARIO]]</f>
        <v>1548</v>
      </c>
      <c r="V1456" s="2">
        <f>MASTER[[#This Row],[MONTO VENDIDO]]-MASTER[[#This Row],[COSTO DE VENTA]]</f>
        <v>2492</v>
      </c>
    </row>
    <row r="1457" spans="1:22" x14ac:dyDescent="0.3">
      <c r="A1457">
        <v>28400</v>
      </c>
      <c r="B1457">
        <v>1</v>
      </c>
      <c r="C1457" t="s">
        <v>121</v>
      </c>
      <c r="D1457" t="s">
        <v>122</v>
      </c>
      <c r="E1457" s="1">
        <v>44004</v>
      </c>
      <c r="F1457">
        <v>1</v>
      </c>
      <c r="G1457" t="s">
        <v>57</v>
      </c>
      <c r="H1457" t="s">
        <v>58</v>
      </c>
      <c r="I1457" s="3">
        <v>1069</v>
      </c>
      <c r="J1457" s="3">
        <v>1069</v>
      </c>
      <c r="K1457" s="3">
        <v>460</v>
      </c>
      <c r="L1457" t="s">
        <v>120</v>
      </c>
      <c r="M1457">
        <v>5</v>
      </c>
      <c r="N1457" t="s">
        <v>85</v>
      </c>
      <c r="O1457" t="s">
        <v>81</v>
      </c>
      <c r="P1457" t="s">
        <v>12</v>
      </c>
      <c r="Q1457" t="s">
        <v>13</v>
      </c>
      <c r="R1457" t="s">
        <v>13</v>
      </c>
      <c r="S1457" t="s">
        <v>144</v>
      </c>
      <c r="T1457" s="2">
        <f>MASTER[[#This Row],[CANTIDAD]]*MASTER[[#This Row],[PRECIO DE VENTA]]</f>
        <v>1069</v>
      </c>
      <c r="U1457" s="2">
        <f>MASTER[[#This Row],[CANTIDAD]]*MASTER[[#This Row],[COSTO UNITARIO]]</f>
        <v>460</v>
      </c>
      <c r="V1457" s="2">
        <f>MASTER[[#This Row],[MONTO VENDIDO]]-MASTER[[#This Row],[COSTO DE VENTA]]</f>
        <v>609</v>
      </c>
    </row>
    <row r="1458" spans="1:22" x14ac:dyDescent="0.3">
      <c r="A1458">
        <v>28420</v>
      </c>
      <c r="B1458">
        <v>1</v>
      </c>
      <c r="C1458" t="s">
        <v>114</v>
      </c>
      <c r="D1458" t="s">
        <v>115</v>
      </c>
      <c r="E1458" s="1">
        <v>44004</v>
      </c>
      <c r="F1458">
        <v>1</v>
      </c>
      <c r="G1458" t="s">
        <v>65</v>
      </c>
      <c r="H1458" t="s">
        <v>66</v>
      </c>
      <c r="I1458" s="3">
        <v>1583</v>
      </c>
      <c r="J1458" s="3">
        <v>1583</v>
      </c>
      <c r="K1458" s="3">
        <v>394</v>
      </c>
      <c r="L1458" t="s">
        <v>113</v>
      </c>
      <c r="M1458">
        <v>16</v>
      </c>
      <c r="N1458" t="s">
        <v>17</v>
      </c>
      <c r="O1458" t="s">
        <v>11</v>
      </c>
      <c r="P1458" t="s">
        <v>18</v>
      </c>
      <c r="Q1458" t="s">
        <v>19</v>
      </c>
      <c r="R1458" t="s">
        <v>138</v>
      </c>
      <c r="S1458" t="s">
        <v>144</v>
      </c>
      <c r="T1458" s="2">
        <f>MASTER[[#This Row],[CANTIDAD]]*MASTER[[#This Row],[PRECIO DE VENTA]]</f>
        <v>1583</v>
      </c>
      <c r="U1458" s="2">
        <f>MASTER[[#This Row],[CANTIDAD]]*MASTER[[#This Row],[COSTO UNITARIO]]</f>
        <v>394</v>
      </c>
      <c r="V1458" s="2">
        <f>MASTER[[#This Row],[MONTO VENDIDO]]-MASTER[[#This Row],[COSTO DE VENTA]]</f>
        <v>1189</v>
      </c>
    </row>
    <row r="1459" spans="1:22" x14ac:dyDescent="0.3">
      <c r="A1459">
        <v>28427</v>
      </c>
      <c r="B1459">
        <v>1</v>
      </c>
      <c r="C1459" t="s">
        <v>5</v>
      </c>
      <c r="D1459" t="s">
        <v>6</v>
      </c>
      <c r="E1459" s="1">
        <v>44004</v>
      </c>
      <c r="F1459">
        <v>1</v>
      </c>
      <c r="G1459" t="s">
        <v>43</v>
      </c>
      <c r="H1459" t="s">
        <v>44</v>
      </c>
      <c r="I1459" s="3">
        <v>1311</v>
      </c>
      <c r="J1459" s="3">
        <v>1311</v>
      </c>
      <c r="K1459" s="3">
        <v>393</v>
      </c>
      <c r="L1459" t="s">
        <v>9</v>
      </c>
      <c r="M1459">
        <v>12</v>
      </c>
      <c r="N1459" t="s">
        <v>26</v>
      </c>
      <c r="O1459" t="s">
        <v>11</v>
      </c>
      <c r="P1459" t="s">
        <v>12</v>
      </c>
      <c r="Q1459" t="s">
        <v>13</v>
      </c>
      <c r="R1459" t="s">
        <v>13</v>
      </c>
      <c r="S1459" t="s">
        <v>144</v>
      </c>
      <c r="T1459" s="2">
        <f>MASTER[[#This Row],[CANTIDAD]]*MASTER[[#This Row],[PRECIO DE VENTA]]</f>
        <v>1311</v>
      </c>
      <c r="U1459" s="2">
        <f>MASTER[[#This Row],[CANTIDAD]]*MASTER[[#This Row],[COSTO UNITARIO]]</f>
        <v>393</v>
      </c>
      <c r="V1459" s="2">
        <f>MASTER[[#This Row],[MONTO VENDIDO]]-MASTER[[#This Row],[COSTO DE VENTA]]</f>
        <v>918</v>
      </c>
    </row>
    <row r="1460" spans="1:22" x14ac:dyDescent="0.3">
      <c r="A1460">
        <v>28434</v>
      </c>
      <c r="B1460">
        <v>1</v>
      </c>
      <c r="C1460" t="s">
        <v>5</v>
      </c>
      <c r="D1460" t="s">
        <v>6</v>
      </c>
      <c r="E1460" s="1">
        <v>44004</v>
      </c>
      <c r="F1460">
        <v>1</v>
      </c>
      <c r="G1460" t="s">
        <v>49</v>
      </c>
      <c r="H1460" t="s">
        <v>50</v>
      </c>
      <c r="I1460" s="3">
        <v>1311</v>
      </c>
      <c r="J1460" s="3">
        <v>1311</v>
      </c>
      <c r="K1460" s="3">
        <v>393</v>
      </c>
      <c r="L1460" t="s">
        <v>9</v>
      </c>
      <c r="M1460">
        <v>12</v>
      </c>
      <c r="N1460" t="s">
        <v>26</v>
      </c>
      <c r="O1460" t="s">
        <v>11</v>
      </c>
      <c r="P1460" t="s">
        <v>12</v>
      </c>
      <c r="Q1460" t="s">
        <v>13</v>
      </c>
      <c r="R1460" t="s">
        <v>13</v>
      </c>
      <c r="S1460" t="s">
        <v>144</v>
      </c>
      <c r="T1460" s="2">
        <f>MASTER[[#This Row],[CANTIDAD]]*MASTER[[#This Row],[PRECIO DE VENTA]]</f>
        <v>1311</v>
      </c>
      <c r="U1460" s="2">
        <f>MASTER[[#This Row],[CANTIDAD]]*MASTER[[#This Row],[COSTO UNITARIO]]</f>
        <v>393</v>
      </c>
      <c r="V1460" s="2">
        <f>MASTER[[#This Row],[MONTO VENDIDO]]-MASTER[[#This Row],[COSTO DE VENTA]]</f>
        <v>918</v>
      </c>
    </row>
    <row r="1461" spans="1:22" x14ac:dyDescent="0.3">
      <c r="A1461">
        <v>28456</v>
      </c>
      <c r="B1461">
        <v>1</v>
      </c>
      <c r="C1461" t="s">
        <v>107</v>
      </c>
      <c r="D1461" t="s">
        <v>108</v>
      </c>
      <c r="E1461" s="1">
        <v>44004</v>
      </c>
      <c r="F1461">
        <v>1</v>
      </c>
      <c r="G1461" t="s">
        <v>51</v>
      </c>
      <c r="H1461" t="s">
        <v>52</v>
      </c>
      <c r="I1461" s="3">
        <v>1333</v>
      </c>
      <c r="J1461" s="3">
        <v>1333</v>
      </c>
      <c r="K1461" s="3">
        <v>380</v>
      </c>
      <c r="L1461" t="s">
        <v>98</v>
      </c>
      <c r="M1461">
        <v>14</v>
      </c>
      <c r="N1461" t="s">
        <v>87</v>
      </c>
      <c r="O1461" t="s">
        <v>81</v>
      </c>
      <c r="P1461" t="s">
        <v>18</v>
      </c>
      <c r="Q1461" t="s">
        <v>19</v>
      </c>
      <c r="R1461" t="s">
        <v>138</v>
      </c>
      <c r="S1461" t="s">
        <v>144</v>
      </c>
      <c r="T1461" s="2">
        <f>MASTER[[#This Row],[CANTIDAD]]*MASTER[[#This Row],[PRECIO DE VENTA]]</f>
        <v>1333</v>
      </c>
      <c r="U1461" s="2">
        <f>MASTER[[#This Row],[CANTIDAD]]*MASTER[[#This Row],[COSTO UNITARIO]]</f>
        <v>380</v>
      </c>
      <c r="V1461" s="2">
        <f>MASTER[[#This Row],[MONTO VENDIDO]]-MASTER[[#This Row],[COSTO DE VENTA]]</f>
        <v>953</v>
      </c>
    </row>
    <row r="1462" spans="1:22" x14ac:dyDescent="0.3">
      <c r="A1462">
        <v>28458</v>
      </c>
      <c r="B1462">
        <v>1</v>
      </c>
      <c r="C1462" t="s">
        <v>94</v>
      </c>
      <c r="D1462" t="s">
        <v>95</v>
      </c>
      <c r="E1462" s="1">
        <v>44004</v>
      </c>
      <c r="F1462">
        <v>1</v>
      </c>
      <c r="G1462" t="s">
        <v>31</v>
      </c>
      <c r="H1462" t="s">
        <v>32</v>
      </c>
      <c r="I1462" s="3">
        <v>1048</v>
      </c>
      <c r="J1462" s="3">
        <v>1048</v>
      </c>
      <c r="K1462" s="3">
        <v>392</v>
      </c>
      <c r="L1462" t="s">
        <v>9</v>
      </c>
      <c r="M1462">
        <v>8</v>
      </c>
      <c r="N1462" t="s">
        <v>80</v>
      </c>
      <c r="O1462" t="s">
        <v>81</v>
      </c>
      <c r="P1462" t="s">
        <v>12</v>
      </c>
      <c r="Q1462" t="s">
        <v>13</v>
      </c>
      <c r="R1462" t="s">
        <v>13</v>
      </c>
      <c r="S1462" t="s">
        <v>144</v>
      </c>
      <c r="T1462" s="2">
        <f>MASTER[[#This Row],[CANTIDAD]]*MASTER[[#This Row],[PRECIO DE VENTA]]</f>
        <v>1048</v>
      </c>
      <c r="U1462" s="2">
        <f>MASTER[[#This Row],[CANTIDAD]]*MASTER[[#This Row],[COSTO UNITARIO]]</f>
        <v>392</v>
      </c>
      <c r="V1462" s="2">
        <f>MASTER[[#This Row],[MONTO VENDIDO]]-MASTER[[#This Row],[COSTO DE VENTA]]</f>
        <v>656</v>
      </c>
    </row>
    <row r="1463" spans="1:22" x14ac:dyDescent="0.3">
      <c r="A1463">
        <v>28465</v>
      </c>
      <c r="B1463">
        <v>1</v>
      </c>
      <c r="C1463" t="s">
        <v>94</v>
      </c>
      <c r="D1463" t="s">
        <v>95</v>
      </c>
      <c r="E1463" s="1">
        <v>44005</v>
      </c>
      <c r="F1463">
        <v>2</v>
      </c>
      <c r="G1463" t="s">
        <v>41</v>
      </c>
      <c r="H1463" t="s">
        <v>42</v>
      </c>
      <c r="I1463" s="3">
        <v>1048</v>
      </c>
      <c r="J1463" s="3">
        <v>943</v>
      </c>
      <c r="K1463" s="3">
        <v>392</v>
      </c>
      <c r="L1463" t="s">
        <v>9</v>
      </c>
      <c r="M1463">
        <v>4</v>
      </c>
      <c r="N1463" t="s">
        <v>82</v>
      </c>
      <c r="O1463" t="s">
        <v>81</v>
      </c>
      <c r="P1463" t="s">
        <v>71</v>
      </c>
      <c r="Q1463" t="s">
        <v>72</v>
      </c>
      <c r="R1463" t="s">
        <v>139</v>
      </c>
      <c r="S1463" t="s">
        <v>144</v>
      </c>
      <c r="T1463" s="2">
        <f>MASTER[[#This Row],[CANTIDAD]]*MASTER[[#This Row],[PRECIO DE VENTA]]</f>
        <v>1886</v>
      </c>
      <c r="U1463" s="2">
        <f>MASTER[[#This Row],[CANTIDAD]]*MASTER[[#This Row],[COSTO UNITARIO]]</f>
        <v>784</v>
      </c>
      <c r="V1463" s="2">
        <f>MASTER[[#This Row],[MONTO VENDIDO]]-MASTER[[#This Row],[COSTO DE VENTA]]</f>
        <v>1102</v>
      </c>
    </row>
    <row r="1464" spans="1:22" x14ac:dyDescent="0.3">
      <c r="A1464">
        <v>28467</v>
      </c>
      <c r="B1464">
        <v>1</v>
      </c>
      <c r="C1464" t="s">
        <v>105</v>
      </c>
      <c r="D1464" t="s">
        <v>106</v>
      </c>
      <c r="E1464" s="1">
        <v>44005</v>
      </c>
      <c r="F1464">
        <v>1</v>
      </c>
      <c r="G1464" t="s">
        <v>22</v>
      </c>
      <c r="H1464" t="s">
        <v>23</v>
      </c>
      <c r="I1464" s="3">
        <v>1865</v>
      </c>
      <c r="J1464" s="3">
        <v>1865</v>
      </c>
      <c r="K1464" s="3">
        <v>459</v>
      </c>
      <c r="L1464" t="s">
        <v>98</v>
      </c>
      <c r="M1464">
        <v>10</v>
      </c>
      <c r="N1464" t="s">
        <v>83</v>
      </c>
      <c r="O1464" t="s">
        <v>81</v>
      </c>
      <c r="P1464" t="s">
        <v>12</v>
      </c>
      <c r="Q1464" t="s">
        <v>13</v>
      </c>
      <c r="R1464" t="s">
        <v>13</v>
      </c>
      <c r="S1464" t="s">
        <v>144</v>
      </c>
      <c r="T1464" s="2">
        <f>MASTER[[#This Row],[CANTIDAD]]*MASTER[[#This Row],[PRECIO DE VENTA]]</f>
        <v>1865</v>
      </c>
      <c r="U1464" s="2">
        <f>MASTER[[#This Row],[CANTIDAD]]*MASTER[[#This Row],[COSTO UNITARIO]]</f>
        <v>459</v>
      </c>
      <c r="V1464" s="2">
        <f>MASTER[[#This Row],[MONTO VENDIDO]]-MASTER[[#This Row],[COSTO DE VENTA]]</f>
        <v>1406</v>
      </c>
    </row>
    <row r="1465" spans="1:22" x14ac:dyDescent="0.3">
      <c r="A1465">
        <v>28490</v>
      </c>
      <c r="B1465">
        <v>1</v>
      </c>
      <c r="C1465" t="s">
        <v>105</v>
      </c>
      <c r="D1465" t="s">
        <v>106</v>
      </c>
      <c r="E1465" s="1">
        <v>44005</v>
      </c>
      <c r="F1465">
        <v>1</v>
      </c>
      <c r="G1465" t="s">
        <v>73</v>
      </c>
      <c r="H1465" t="s">
        <v>74</v>
      </c>
      <c r="I1465" s="3">
        <v>1865</v>
      </c>
      <c r="J1465" s="3">
        <v>1865</v>
      </c>
      <c r="K1465" s="3">
        <v>459</v>
      </c>
      <c r="L1465" t="s">
        <v>98</v>
      </c>
      <c r="M1465">
        <v>19</v>
      </c>
      <c r="N1465" t="s">
        <v>89</v>
      </c>
      <c r="O1465" t="s">
        <v>81</v>
      </c>
      <c r="P1465" t="s">
        <v>15</v>
      </c>
      <c r="Q1465" t="s">
        <v>16</v>
      </c>
      <c r="R1465" t="s">
        <v>16</v>
      </c>
      <c r="S1465" t="s">
        <v>144</v>
      </c>
      <c r="T1465" s="2">
        <f>MASTER[[#This Row],[CANTIDAD]]*MASTER[[#This Row],[PRECIO DE VENTA]]</f>
        <v>1865</v>
      </c>
      <c r="U1465" s="2">
        <f>MASTER[[#This Row],[CANTIDAD]]*MASTER[[#This Row],[COSTO UNITARIO]]</f>
        <v>459</v>
      </c>
      <c r="V1465" s="2">
        <f>MASTER[[#This Row],[MONTO VENDIDO]]-MASTER[[#This Row],[COSTO DE VENTA]]</f>
        <v>1406</v>
      </c>
    </row>
    <row r="1466" spans="1:22" x14ac:dyDescent="0.3">
      <c r="A1466">
        <v>28491</v>
      </c>
      <c r="B1466">
        <v>1</v>
      </c>
      <c r="C1466" t="s">
        <v>101</v>
      </c>
      <c r="D1466" t="s">
        <v>102</v>
      </c>
      <c r="E1466" s="1">
        <v>44005</v>
      </c>
      <c r="F1466">
        <v>1</v>
      </c>
      <c r="G1466" t="s">
        <v>45</v>
      </c>
      <c r="H1466" t="s">
        <v>46</v>
      </c>
      <c r="I1466" s="3">
        <v>1054</v>
      </c>
      <c r="J1466" s="3">
        <v>1054</v>
      </c>
      <c r="K1466" s="3">
        <v>442</v>
      </c>
      <c r="L1466" t="s">
        <v>98</v>
      </c>
      <c r="M1466">
        <v>12</v>
      </c>
      <c r="N1466" t="s">
        <v>26</v>
      </c>
      <c r="O1466" t="s">
        <v>11</v>
      </c>
      <c r="P1466" t="s">
        <v>12</v>
      </c>
      <c r="Q1466" t="s">
        <v>13</v>
      </c>
      <c r="R1466" t="s">
        <v>13</v>
      </c>
      <c r="S1466" t="s">
        <v>144</v>
      </c>
      <c r="T1466" s="2">
        <f>MASTER[[#This Row],[CANTIDAD]]*MASTER[[#This Row],[PRECIO DE VENTA]]</f>
        <v>1054</v>
      </c>
      <c r="U1466" s="2">
        <f>MASTER[[#This Row],[CANTIDAD]]*MASTER[[#This Row],[COSTO UNITARIO]]</f>
        <v>442</v>
      </c>
      <c r="V1466" s="2">
        <f>MASTER[[#This Row],[MONTO VENDIDO]]-MASTER[[#This Row],[COSTO DE VENTA]]</f>
        <v>612</v>
      </c>
    </row>
    <row r="1467" spans="1:22" x14ac:dyDescent="0.3">
      <c r="A1467">
        <v>28500</v>
      </c>
      <c r="B1467">
        <v>1</v>
      </c>
      <c r="C1467" t="s">
        <v>105</v>
      </c>
      <c r="D1467" t="s">
        <v>106</v>
      </c>
      <c r="E1467" s="1">
        <v>44005</v>
      </c>
      <c r="F1467">
        <v>1</v>
      </c>
      <c r="G1467" t="s">
        <v>53</v>
      </c>
      <c r="H1467" t="s">
        <v>54</v>
      </c>
      <c r="I1467" s="3">
        <v>1865</v>
      </c>
      <c r="J1467" s="3">
        <v>1865</v>
      </c>
      <c r="K1467" s="3">
        <v>459</v>
      </c>
      <c r="L1467" t="s">
        <v>98</v>
      </c>
      <c r="M1467">
        <v>10</v>
      </c>
      <c r="N1467" t="s">
        <v>83</v>
      </c>
      <c r="O1467" t="s">
        <v>81</v>
      </c>
      <c r="P1467" t="s">
        <v>12</v>
      </c>
      <c r="Q1467" t="s">
        <v>13</v>
      </c>
      <c r="R1467" t="s">
        <v>13</v>
      </c>
      <c r="S1467" t="s">
        <v>144</v>
      </c>
      <c r="T1467" s="2">
        <f>MASTER[[#This Row],[CANTIDAD]]*MASTER[[#This Row],[PRECIO DE VENTA]]</f>
        <v>1865</v>
      </c>
      <c r="U1467" s="2">
        <f>MASTER[[#This Row],[CANTIDAD]]*MASTER[[#This Row],[COSTO UNITARIO]]</f>
        <v>459</v>
      </c>
      <c r="V1467" s="2">
        <f>MASTER[[#This Row],[MONTO VENDIDO]]-MASTER[[#This Row],[COSTO DE VENTA]]</f>
        <v>1406</v>
      </c>
    </row>
    <row r="1468" spans="1:22" x14ac:dyDescent="0.3">
      <c r="A1468">
        <v>28507</v>
      </c>
      <c r="B1468">
        <v>1</v>
      </c>
      <c r="C1468" t="s">
        <v>103</v>
      </c>
      <c r="D1468" t="s">
        <v>104</v>
      </c>
      <c r="E1468" s="1">
        <v>44005</v>
      </c>
      <c r="F1468">
        <v>1</v>
      </c>
      <c r="G1468" t="s">
        <v>47</v>
      </c>
      <c r="H1468" t="s">
        <v>48</v>
      </c>
      <c r="I1468" s="3">
        <v>1591</v>
      </c>
      <c r="J1468" s="3">
        <v>1591</v>
      </c>
      <c r="K1468" s="3">
        <v>421</v>
      </c>
      <c r="L1468" t="s">
        <v>98</v>
      </c>
      <c r="M1468">
        <v>5</v>
      </c>
      <c r="N1468" t="s">
        <v>85</v>
      </c>
      <c r="O1468" t="s">
        <v>81</v>
      </c>
      <c r="P1468" t="s">
        <v>12</v>
      </c>
      <c r="Q1468" t="s">
        <v>13</v>
      </c>
      <c r="R1468" t="s">
        <v>13</v>
      </c>
      <c r="S1468" t="s">
        <v>144</v>
      </c>
      <c r="T1468" s="2">
        <f>MASTER[[#This Row],[CANTIDAD]]*MASTER[[#This Row],[PRECIO DE VENTA]]</f>
        <v>1591</v>
      </c>
      <c r="U1468" s="2">
        <f>MASTER[[#This Row],[CANTIDAD]]*MASTER[[#This Row],[COSTO UNITARIO]]</f>
        <v>421</v>
      </c>
      <c r="V1468" s="2">
        <f>MASTER[[#This Row],[MONTO VENDIDO]]-MASTER[[#This Row],[COSTO DE VENTA]]</f>
        <v>1170</v>
      </c>
    </row>
    <row r="1469" spans="1:22" x14ac:dyDescent="0.3">
      <c r="A1469">
        <v>28513</v>
      </c>
      <c r="B1469">
        <v>1</v>
      </c>
      <c r="C1469" t="s">
        <v>109</v>
      </c>
      <c r="D1469" t="s">
        <v>110</v>
      </c>
      <c r="E1469" s="1">
        <v>44006</v>
      </c>
      <c r="F1469">
        <v>1</v>
      </c>
      <c r="G1469" t="s">
        <v>20</v>
      </c>
      <c r="H1469" t="s">
        <v>21</v>
      </c>
      <c r="I1469" s="3">
        <v>1064</v>
      </c>
      <c r="J1469" s="3">
        <v>957</v>
      </c>
      <c r="K1469" s="3">
        <v>387</v>
      </c>
      <c r="L1469" t="s">
        <v>98</v>
      </c>
      <c r="M1469">
        <v>8</v>
      </c>
      <c r="N1469" t="s">
        <v>80</v>
      </c>
      <c r="O1469" t="s">
        <v>81</v>
      </c>
      <c r="P1469" t="s">
        <v>12</v>
      </c>
      <c r="Q1469" t="s">
        <v>13</v>
      </c>
      <c r="R1469" t="s">
        <v>13</v>
      </c>
      <c r="S1469" t="s">
        <v>144</v>
      </c>
      <c r="T1469" s="2">
        <f>MASTER[[#This Row],[CANTIDAD]]*MASTER[[#This Row],[PRECIO DE VENTA]]</f>
        <v>957</v>
      </c>
      <c r="U1469" s="2">
        <f>MASTER[[#This Row],[CANTIDAD]]*MASTER[[#This Row],[COSTO UNITARIO]]</f>
        <v>387</v>
      </c>
      <c r="V1469" s="2">
        <f>MASTER[[#This Row],[MONTO VENDIDO]]-MASTER[[#This Row],[COSTO DE VENTA]]</f>
        <v>570</v>
      </c>
    </row>
    <row r="1470" spans="1:22" x14ac:dyDescent="0.3">
      <c r="A1470">
        <v>28522</v>
      </c>
      <c r="B1470">
        <v>1</v>
      </c>
      <c r="C1470" t="s">
        <v>94</v>
      </c>
      <c r="D1470" t="s">
        <v>95</v>
      </c>
      <c r="E1470" s="1">
        <v>44006</v>
      </c>
      <c r="F1470">
        <v>1</v>
      </c>
      <c r="G1470" t="s">
        <v>55</v>
      </c>
      <c r="H1470" t="s">
        <v>56</v>
      </c>
      <c r="I1470" s="3">
        <v>1153</v>
      </c>
      <c r="J1470" s="3">
        <v>1153</v>
      </c>
      <c r="K1470" s="3">
        <v>392</v>
      </c>
      <c r="L1470" t="s">
        <v>9</v>
      </c>
      <c r="M1470">
        <v>1</v>
      </c>
      <c r="N1470" t="s">
        <v>77</v>
      </c>
      <c r="O1470" t="s">
        <v>70</v>
      </c>
      <c r="P1470" t="s">
        <v>71</v>
      </c>
      <c r="Q1470" t="s">
        <v>72</v>
      </c>
      <c r="R1470" t="s">
        <v>139</v>
      </c>
      <c r="S1470" t="s">
        <v>144</v>
      </c>
      <c r="T1470" s="2">
        <f>MASTER[[#This Row],[CANTIDAD]]*MASTER[[#This Row],[PRECIO DE VENTA]]</f>
        <v>1153</v>
      </c>
      <c r="U1470" s="2">
        <f>MASTER[[#This Row],[CANTIDAD]]*MASTER[[#This Row],[COSTO UNITARIO]]</f>
        <v>392</v>
      </c>
      <c r="V1470" s="2">
        <f>MASTER[[#This Row],[MONTO VENDIDO]]-MASTER[[#This Row],[COSTO DE VENTA]]</f>
        <v>761</v>
      </c>
    </row>
    <row r="1471" spans="1:22" x14ac:dyDescent="0.3">
      <c r="A1471">
        <v>28542</v>
      </c>
      <c r="B1471">
        <v>1</v>
      </c>
      <c r="C1471" t="s">
        <v>121</v>
      </c>
      <c r="D1471" t="s">
        <v>122</v>
      </c>
      <c r="E1471" s="1">
        <v>44006</v>
      </c>
      <c r="F1471">
        <v>3</v>
      </c>
      <c r="G1471" t="s">
        <v>27</v>
      </c>
      <c r="H1471" t="s">
        <v>28</v>
      </c>
      <c r="I1471" s="3">
        <v>1144</v>
      </c>
      <c r="J1471" s="3">
        <v>1144</v>
      </c>
      <c r="K1471" s="3">
        <v>460</v>
      </c>
      <c r="L1471" t="s">
        <v>120</v>
      </c>
      <c r="M1471">
        <v>3</v>
      </c>
      <c r="N1471" t="s">
        <v>69</v>
      </c>
      <c r="O1471" t="s">
        <v>70</v>
      </c>
      <c r="P1471" t="s">
        <v>71</v>
      </c>
      <c r="Q1471" t="s">
        <v>72</v>
      </c>
      <c r="R1471" t="s">
        <v>139</v>
      </c>
      <c r="S1471" t="s">
        <v>144</v>
      </c>
      <c r="T1471" s="2">
        <f>MASTER[[#This Row],[CANTIDAD]]*MASTER[[#This Row],[PRECIO DE VENTA]]</f>
        <v>3432</v>
      </c>
      <c r="U1471" s="2">
        <f>MASTER[[#This Row],[CANTIDAD]]*MASTER[[#This Row],[COSTO UNITARIO]]</f>
        <v>1380</v>
      </c>
      <c r="V1471" s="2">
        <f>MASTER[[#This Row],[MONTO VENDIDO]]-MASTER[[#This Row],[COSTO DE VENTA]]</f>
        <v>2052</v>
      </c>
    </row>
    <row r="1472" spans="1:22" x14ac:dyDescent="0.3">
      <c r="A1472">
        <v>28559</v>
      </c>
      <c r="B1472">
        <v>1</v>
      </c>
      <c r="C1472" t="s">
        <v>101</v>
      </c>
      <c r="D1472" t="s">
        <v>102</v>
      </c>
      <c r="E1472" s="1">
        <v>44006</v>
      </c>
      <c r="F1472">
        <v>1</v>
      </c>
      <c r="G1472" t="s">
        <v>67</v>
      </c>
      <c r="H1472" t="s">
        <v>68</v>
      </c>
      <c r="I1472" s="3">
        <v>1054</v>
      </c>
      <c r="J1472" s="3">
        <v>1054</v>
      </c>
      <c r="K1472" s="3">
        <v>442</v>
      </c>
      <c r="L1472" t="s">
        <v>98</v>
      </c>
      <c r="M1472">
        <v>17</v>
      </c>
      <c r="N1472" t="s">
        <v>14</v>
      </c>
      <c r="O1472" t="s">
        <v>11</v>
      </c>
      <c r="P1472" t="s">
        <v>15</v>
      </c>
      <c r="Q1472" t="s">
        <v>16</v>
      </c>
      <c r="R1472" t="s">
        <v>16</v>
      </c>
      <c r="S1472" t="s">
        <v>144</v>
      </c>
      <c r="T1472" s="2">
        <f>MASTER[[#This Row],[CANTIDAD]]*MASTER[[#This Row],[PRECIO DE VENTA]]</f>
        <v>1054</v>
      </c>
      <c r="U1472" s="2">
        <f>MASTER[[#This Row],[CANTIDAD]]*MASTER[[#This Row],[COSTO UNITARIO]]</f>
        <v>442</v>
      </c>
      <c r="V1472" s="2">
        <f>MASTER[[#This Row],[MONTO VENDIDO]]-MASTER[[#This Row],[COSTO DE VENTA]]</f>
        <v>612</v>
      </c>
    </row>
    <row r="1473" spans="1:22" x14ac:dyDescent="0.3">
      <c r="A1473">
        <v>28569</v>
      </c>
      <c r="B1473">
        <v>1</v>
      </c>
      <c r="C1473" t="s">
        <v>111</v>
      </c>
      <c r="D1473" t="s">
        <v>112</v>
      </c>
      <c r="E1473" s="1">
        <v>44006</v>
      </c>
      <c r="F1473">
        <v>1</v>
      </c>
      <c r="G1473" t="s">
        <v>45</v>
      </c>
      <c r="H1473" t="s">
        <v>46</v>
      </c>
      <c r="I1473" s="3">
        <v>1621</v>
      </c>
      <c r="J1473" s="3">
        <v>1621</v>
      </c>
      <c r="K1473" s="3">
        <v>434</v>
      </c>
      <c r="L1473" t="s">
        <v>113</v>
      </c>
      <c r="M1473">
        <v>15</v>
      </c>
      <c r="N1473" t="s">
        <v>88</v>
      </c>
      <c r="O1473" t="s">
        <v>81</v>
      </c>
      <c r="P1473" t="s">
        <v>18</v>
      </c>
      <c r="Q1473" t="s">
        <v>19</v>
      </c>
      <c r="R1473" t="s">
        <v>138</v>
      </c>
      <c r="S1473" t="s">
        <v>144</v>
      </c>
      <c r="T1473" s="2">
        <f>MASTER[[#This Row],[CANTIDAD]]*MASTER[[#This Row],[PRECIO DE VENTA]]</f>
        <v>1621</v>
      </c>
      <c r="U1473" s="2">
        <f>MASTER[[#This Row],[CANTIDAD]]*MASTER[[#This Row],[COSTO UNITARIO]]</f>
        <v>434</v>
      </c>
      <c r="V1473" s="2">
        <f>MASTER[[#This Row],[MONTO VENDIDO]]-MASTER[[#This Row],[COSTO DE VENTA]]</f>
        <v>1187</v>
      </c>
    </row>
    <row r="1474" spans="1:22" x14ac:dyDescent="0.3">
      <c r="A1474">
        <v>28580</v>
      </c>
      <c r="B1474">
        <v>1</v>
      </c>
      <c r="C1474" t="s">
        <v>94</v>
      </c>
      <c r="D1474" t="s">
        <v>95</v>
      </c>
      <c r="E1474" s="1">
        <v>44006</v>
      </c>
      <c r="F1474">
        <v>1</v>
      </c>
      <c r="G1474" t="s">
        <v>59</v>
      </c>
      <c r="H1474" t="s">
        <v>60</v>
      </c>
      <c r="I1474" s="3">
        <v>1048</v>
      </c>
      <c r="J1474" s="3">
        <v>1048</v>
      </c>
      <c r="K1474" s="3">
        <v>392</v>
      </c>
      <c r="L1474" t="s">
        <v>9</v>
      </c>
      <c r="M1474">
        <v>2</v>
      </c>
      <c r="N1474" t="s">
        <v>86</v>
      </c>
      <c r="O1474" t="s">
        <v>81</v>
      </c>
      <c r="P1474" t="s">
        <v>71</v>
      </c>
      <c r="Q1474" t="s">
        <v>72</v>
      </c>
      <c r="R1474" t="s">
        <v>139</v>
      </c>
      <c r="S1474" t="s">
        <v>144</v>
      </c>
      <c r="T1474" s="2">
        <f>MASTER[[#This Row],[CANTIDAD]]*MASTER[[#This Row],[PRECIO DE VENTA]]</f>
        <v>1048</v>
      </c>
      <c r="U1474" s="2">
        <f>MASTER[[#This Row],[CANTIDAD]]*MASTER[[#This Row],[COSTO UNITARIO]]</f>
        <v>392</v>
      </c>
      <c r="V1474" s="2">
        <f>MASTER[[#This Row],[MONTO VENDIDO]]-MASTER[[#This Row],[COSTO DE VENTA]]</f>
        <v>656</v>
      </c>
    </row>
    <row r="1475" spans="1:22" x14ac:dyDescent="0.3">
      <c r="A1475">
        <v>28583</v>
      </c>
      <c r="B1475">
        <v>1</v>
      </c>
      <c r="C1475" t="s">
        <v>114</v>
      </c>
      <c r="D1475" t="s">
        <v>115</v>
      </c>
      <c r="E1475" s="1">
        <v>44006</v>
      </c>
      <c r="F1475">
        <v>1</v>
      </c>
      <c r="G1475" t="s">
        <v>67</v>
      </c>
      <c r="H1475" t="s">
        <v>68</v>
      </c>
      <c r="I1475" s="3">
        <v>1862</v>
      </c>
      <c r="J1475" s="3">
        <v>1713</v>
      </c>
      <c r="K1475" s="3">
        <v>394</v>
      </c>
      <c r="L1475" t="s">
        <v>113</v>
      </c>
      <c r="M1475">
        <v>8</v>
      </c>
      <c r="N1475" t="s">
        <v>80</v>
      </c>
      <c r="O1475" t="s">
        <v>81</v>
      </c>
      <c r="P1475" t="s">
        <v>12</v>
      </c>
      <c r="Q1475" t="s">
        <v>13</v>
      </c>
      <c r="R1475" t="s">
        <v>13</v>
      </c>
      <c r="S1475" t="s">
        <v>144</v>
      </c>
      <c r="T1475" s="2">
        <f>MASTER[[#This Row],[CANTIDAD]]*MASTER[[#This Row],[PRECIO DE VENTA]]</f>
        <v>1713</v>
      </c>
      <c r="U1475" s="2">
        <f>MASTER[[#This Row],[CANTIDAD]]*MASTER[[#This Row],[COSTO UNITARIO]]</f>
        <v>394</v>
      </c>
      <c r="V1475" s="2">
        <f>MASTER[[#This Row],[MONTO VENDIDO]]-MASTER[[#This Row],[COSTO DE VENTA]]</f>
        <v>1319</v>
      </c>
    </row>
    <row r="1476" spans="1:22" x14ac:dyDescent="0.3">
      <c r="A1476">
        <v>28588</v>
      </c>
      <c r="B1476">
        <v>1</v>
      </c>
      <c r="C1476" t="s">
        <v>109</v>
      </c>
      <c r="D1476" t="s">
        <v>110</v>
      </c>
      <c r="E1476" s="1">
        <v>44006</v>
      </c>
      <c r="F1476">
        <v>1</v>
      </c>
      <c r="G1476" t="s">
        <v>59</v>
      </c>
      <c r="H1476" t="s">
        <v>60</v>
      </c>
      <c r="I1476" s="3">
        <v>1064</v>
      </c>
      <c r="J1476" s="3">
        <v>1064</v>
      </c>
      <c r="K1476" s="3">
        <v>387</v>
      </c>
      <c r="L1476" t="s">
        <v>98</v>
      </c>
      <c r="M1476">
        <v>8</v>
      </c>
      <c r="N1476" t="s">
        <v>80</v>
      </c>
      <c r="O1476" t="s">
        <v>81</v>
      </c>
      <c r="P1476" t="s">
        <v>12</v>
      </c>
      <c r="Q1476" t="s">
        <v>13</v>
      </c>
      <c r="R1476" t="s">
        <v>13</v>
      </c>
      <c r="S1476" t="s">
        <v>144</v>
      </c>
      <c r="T1476" s="2">
        <f>MASTER[[#This Row],[CANTIDAD]]*MASTER[[#This Row],[PRECIO DE VENTA]]</f>
        <v>1064</v>
      </c>
      <c r="U1476" s="2">
        <f>MASTER[[#This Row],[CANTIDAD]]*MASTER[[#This Row],[COSTO UNITARIO]]</f>
        <v>387</v>
      </c>
      <c r="V1476" s="2">
        <f>MASTER[[#This Row],[MONTO VENDIDO]]-MASTER[[#This Row],[COSTO DE VENTA]]</f>
        <v>677</v>
      </c>
    </row>
    <row r="1477" spans="1:22" x14ac:dyDescent="0.3">
      <c r="A1477">
        <v>28613</v>
      </c>
      <c r="B1477">
        <v>1</v>
      </c>
      <c r="C1477" t="s">
        <v>114</v>
      </c>
      <c r="D1477" t="s">
        <v>115</v>
      </c>
      <c r="E1477" s="1">
        <v>44006</v>
      </c>
      <c r="F1477">
        <v>1</v>
      </c>
      <c r="G1477" t="s">
        <v>59</v>
      </c>
      <c r="H1477" t="s">
        <v>60</v>
      </c>
      <c r="I1477" s="3">
        <v>2030</v>
      </c>
      <c r="J1477" s="3">
        <v>2030</v>
      </c>
      <c r="K1477" s="3">
        <v>394</v>
      </c>
      <c r="L1477" t="s">
        <v>113</v>
      </c>
      <c r="M1477">
        <v>1</v>
      </c>
      <c r="N1477" t="s">
        <v>77</v>
      </c>
      <c r="O1477" t="s">
        <v>70</v>
      </c>
      <c r="P1477" t="s">
        <v>71</v>
      </c>
      <c r="Q1477" t="s">
        <v>72</v>
      </c>
      <c r="R1477" t="s">
        <v>139</v>
      </c>
      <c r="S1477" t="s">
        <v>144</v>
      </c>
      <c r="T1477" s="2">
        <f>MASTER[[#This Row],[CANTIDAD]]*MASTER[[#This Row],[PRECIO DE VENTA]]</f>
        <v>2030</v>
      </c>
      <c r="U1477" s="2">
        <f>MASTER[[#This Row],[CANTIDAD]]*MASTER[[#This Row],[COSTO UNITARIO]]</f>
        <v>394</v>
      </c>
      <c r="V1477" s="2">
        <f>MASTER[[#This Row],[MONTO VENDIDO]]-MASTER[[#This Row],[COSTO DE VENTA]]</f>
        <v>1636</v>
      </c>
    </row>
    <row r="1478" spans="1:22" x14ac:dyDescent="0.3">
      <c r="A1478">
        <v>28616</v>
      </c>
      <c r="B1478">
        <v>1</v>
      </c>
      <c r="C1478" t="s">
        <v>96</v>
      </c>
      <c r="D1478" t="s">
        <v>97</v>
      </c>
      <c r="E1478" s="1">
        <v>44006</v>
      </c>
      <c r="F1478">
        <v>1</v>
      </c>
      <c r="G1478" t="s">
        <v>29</v>
      </c>
      <c r="H1478" t="s">
        <v>30</v>
      </c>
      <c r="I1478" s="3">
        <v>1272</v>
      </c>
      <c r="J1478" s="3">
        <v>1272</v>
      </c>
      <c r="K1478" s="3">
        <v>397</v>
      </c>
      <c r="L1478" t="s">
        <v>98</v>
      </c>
      <c r="M1478">
        <v>4</v>
      </c>
      <c r="N1478" t="s">
        <v>82</v>
      </c>
      <c r="O1478" t="s">
        <v>81</v>
      </c>
      <c r="P1478" t="s">
        <v>71</v>
      </c>
      <c r="Q1478" t="s">
        <v>72</v>
      </c>
      <c r="R1478" t="s">
        <v>139</v>
      </c>
      <c r="S1478" t="s">
        <v>144</v>
      </c>
      <c r="T1478" s="2">
        <f>MASTER[[#This Row],[CANTIDAD]]*MASTER[[#This Row],[PRECIO DE VENTA]]</f>
        <v>1272</v>
      </c>
      <c r="U1478" s="2">
        <f>MASTER[[#This Row],[CANTIDAD]]*MASTER[[#This Row],[COSTO UNITARIO]]</f>
        <v>397</v>
      </c>
      <c r="V1478" s="2">
        <f>MASTER[[#This Row],[MONTO VENDIDO]]-MASTER[[#This Row],[COSTO DE VENTA]]</f>
        <v>875</v>
      </c>
    </row>
    <row r="1479" spans="1:22" x14ac:dyDescent="0.3">
      <c r="A1479">
        <v>28622</v>
      </c>
      <c r="B1479">
        <v>2</v>
      </c>
      <c r="C1479" t="s">
        <v>103</v>
      </c>
      <c r="D1479" t="s">
        <v>104</v>
      </c>
      <c r="E1479" s="1">
        <v>44006</v>
      </c>
      <c r="F1479">
        <v>1</v>
      </c>
      <c r="G1479" t="s">
        <v>20</v>
      </c>
      <c r="H1479" t="s">
        <v>21</v>
      </c>
      <c r="I1479" s="3">
        <v>1448</v>
      </c>
      <c r="J1479" s="3">
        <v>1448</v>
      </c>
      <c r="K1479" s="3">
        <v>421</v>
      </c>
      <c r="L1479" t="s">
        <v>98</v>
      </c>
      <c r="M1479">
        <v>17</v>
      </c>
      <c r="N1479" t="s">
        <v>14</v>
      </c>
      <c r="O1479" t="s">
        <v>11</v>
      </c>
      <c r="P1479" t="s">
        <v>15</v>
      </c>
      <c r="Q1479" t="s">
        <v>16</v>
      </c>
      <c r="R1479" t="s">
        <v>16</v>
      </c>
      <c r="S1479" t="s">
        <v>144</v>
      </c>
      <c r="T1479" s="2">
        <f>MASTER[[#This Row],[CANTIDAD]]*MASTER[[#This Row],[PRECIO DE VENTA]]</f>
        <v>1448</v>
      </c>
      <c r="U1479" s="2">
        <f>MASTER[[#This Row],[CANTIDAD]]*MASTER[[#This Row],[COSTO UNITARIO]]</f>
        <v>421</v>
      </c>
      <c r="V1479" s="2">
        <f>MASTER[[#This Row],[MONTO VENDIDO]]-MASTER[[#This Row],[COSTO DE VENTA]]</f>
        <v>1027</v>
      </c>
    </row>
    <row r="1480" spans="1:22" x14ac:dyDescent="0.3">
      <c r="A1480">
        <v>28622</v>
      </c>
      <c r="B1480">
        <v>1</v>
      </c>
      <c r="C1480" t="s">
        <v>105</v>
      </c>
      <c r="D1480" t="s">
        <v>106</v>
      </c>
      <c r="E1480" s="1">
        <v>44006</v>
      </c>
      <c r="F1480">
        <v>1</v>
      </c>
      <c r="G1480" t="s">
        <v>24</v>
      </c>
      <c r="H1480" t="s">
        <v>25</v>
      </c>
      <c r="I1480" s="3">
        <v>1585</v>
      </c>
      <c r="J1480" s="3">
        <v>1585</v>
      </c>
      <c r="K1480" s="3">
        <v>459</v>
      </c>
      <c r="L1480" t="s">
        <v>98</v>
      </c>
      <c r="M1480">
        <v>17</v>
      </c>
      <c r="N1480" t="s">
        <v>14</v>
      </c>
      <c r="O1480" t="s">
        <v>11</v>
      </c>
      <c r="P1480" t="s">
        <v>15</v>
      </c>
      <c r="Q1480" t="s">
        <v>16</v>
      </c>
      <c r="R1480" t="s">
        <v>16</v>
      </c>
      <c r="S1480" t="s">
        <v>144</v>
      </c>
      <c r="T1480" s="2">
        <f>MASTER[[#This Row],[CANTIDAD]]*MASTER[[#This Row],[PRECIO DE VENTA]]</f>
        <v>1585</v>
      </c>
      <c r="U1480" s="2">
        <f>MASTER[[#This Row],[CANTIDAD]]*MASTER[[#This Row],[COSTO UNITARIO]]</f>
        <v>459</v>
      </c>
      <c r="V1480" s="2">
        <f>MASTER[[#This Row],[MONTO VENDIDO]]-MASTER[[#This Row],[COSTO DE VENTA]]</f>
        <v>1126</v>
      </c>
    </row>
    <row r="1481" spans="1:22" x14ac:dyDescent="0.3">
      <c r="A1481">
        <v>28634</v>
      </c>
      <c r="B1481">
        <v>1</v>
      </c>
      <c r="C1481" t="s">
        <v>101</v>
      </c>
      <c r="D1481" t="s">
        <v>102</v>
      </c>
      <c r="E1481" s="1">
        <v>44006</v>
      </c>
      <c r="F1481">
        <v>1</v>
      </c>
      <c r="G1481" t="s">
        <v>7</v>
      </c>
      <c r="H1481" t="s">
        <v>8</v>
      </c>
      <c r="I1481" s="3">
        <v>1212</v>
      </c>
      <c r="J1481" s="3">
        <v>1212</v>
      </c>
      <c r="K1481" s="3">
        <v>442</v>
      </c>
      <c r="L1481" t="s">
        <v>98</v>
      </c>
      <c r="M1481">
        <v>10</v>
      </c>
      <c r="N1481" t="s">
        <v>83</v>
      </c>
      <c r="O1481" t="s">
        <v>81</v>
      </c>
      <c r="P1481" t="s">
        <v>12</v>
      </c>
      <c r="Q1481" t="s">
        <v>13</v>
      </c>
      <c r="R1481" t="s">
        <v>13</v>
      </c>
      <c r="S1481" t="s">
        <v>144</v>
      </c>
      <c r="T1481" s="2">
        <f>MASTER[[#This Row],[CANTIDAD]]*MASTER[[#This Row],[PRECIO DE VENTA]]</f>
        <v>1212</v>
      </c>
      <c r="U1481" s="2">
        <f>MASTER[[#This Row],[CANTIDAD]]*MASTER[[#This Row],[COSTO UNITARIO]]</f>
        <v>442</v>
      </c>
      <c r="V1481" s="2">
        <f>MASTER[[#This Row],[MONTO VENDIDO]]-MASTER[[#This Row],[COSTO DE VENTA]]</f>
        <v>770</v>
      </c>
    </row>
    <row r="1482" spans="1:22" x14ac:dyDescent="0.3">
      <c r="A1482">
        <v>28648</v>
      </c>
      <c r="B1482">
        <v>1</v>
      </c>
      <c r="C1482" t="s">
        <v>118</v>
      </c>
      <c r="D1482" t="s">
        <v>119</v>
      </c>
      <c r="E1482" s="1">
        <v>44007</v>
      </c>
      <c r="F1482">
        <v>1</v>
      </c>
      <c r="G1482" t="s">
        <v>57</v>
      </c>
      <c r="H1482" t="s">
        <v>58</v>
      </c>
      <c r="I1482" s="3">
        <v>900</v>
      </c>
      <c r="J1482" s="3">
        <v>900</v>
      </c>
      <c r="K1482" s="3">
        <v>424</v>
      </c>
      <c r="L1482" t="s">
        <v>120</v>
      </c>
      <c r="M1482">
        <v>19</v>
      </c>
      <c r="N1482" t="s">
        <v>89</v>
      </c>
      <c r="O1482" t="s">
        <v>81</v>
      </c>
      <c r="P1482" t="s">
        <v>15</v>
      </c>
      <c r="Q1482" t="s">
        <v>16</v>
      </c>
      <c r="R1482" t="s">
        <v>16</v>
      </c>
      <c r="S1482" t="s">
        <v>144</v>
      </c>
      <c r="T1482" s="2">
        <f>MASTER[[#This Row],[CANTIDAD]]*MASTER[[#This Row],[PRECIO DE VENTA]]</f>
        <v>900</v>
      </c>
      <c r="U1482" s="2">
        <f>MASTER[[#This Row],[CANTIDAD]]*MASTER[[#This Row],[COSTO UNITARIO]]</f>
        <v>424</v>
      </c>
      <c r="V1482" s="2">
        <f>MASTER[[#This Row],[MONTO VENDIDO]]-MASTER[[#This Row],[COSTO DE VENTA]]</f>
        <v>476</v>
      </c>
    </row>
    <row r="1483" spans="1:22" x14ac:dyDescent="0.3">
      <c r="A1483">
        <v>28653</v>
      </c>
      <c r="B1483">
        <v>1</v>
      </c>
      <c r="C1483" t="s">
        <v>114</v>
      </c>
      <c r="D1483" t="s">
        <v>115</v>
      </c>
      <c r="E1483" s="1">
        <v>44007</v>
      </c>
      <c r="F1483">
        <v>1</v>
      </c>
      <c r="G1483" t="s">
        <v>55</v>
      </c>
      <c r="H1483" t="s">
        <v>56</v>
      </c>
      <c r="I1483" s="3">
        <v>1583</v>
      </c>
      <c r="J1483" s="3">
        <v>1583</v>
      </c>
      <c r="K1483" s="3">
        <v>394</v>
      </c>
      <c r="L1483" t="s">
        <v>113</v>
      </c>
      <c r="M1483">
        <v>16</v>
      </c>
      <c r="N1483" t="s">
        <v>17</v>
      </c>
      <c r="O1483" t="s">
        <v>11</v>
      </c>
      <c r="P1483" t="s">
        <v>18</v>
      </c>
      <c r="Q1483" t="s">
        <v>19</v>
      </c>
      <c r="R1483" t="s">
        <v>138</v>
      </c>
      <c r="S1483" t="s">
        <v>144</v>
      </c>
      <c r="T1483" s="2">
        <f>MASTER[[#This Row],[CANTIDAD]]*MASTER[[#This Row],[PRECIO DE VENTA]]</f>
        <v>1583</v>
      </c>
      <c r="U1483" s="2">
        <f>MASTER[[#This Row],[CANTIDAD]]*MASTER[[#This Row],[COSTO UNITARIO]]</f>
        <v>394</v>
      </c>
      <c r="V1483" s="2">
        <f>MASTER[[#This Row],[MONTO VENDIDO]]-MASTER[[#This Row],[COSTO DE VENTA]]</f>
        <v>1189</v>
      </c>
    </row>
    <row r="1484" spans="1:22" x14ac:dyDescent="0.3">
      <c r="A1484">
        <v>28657</v>
      </c>
      <c r="B1484">
        <v>1</v>
      </c>
      <c r="C1484" t="s">
        <v>114</v>
      </c>
      <c r="D1484" t="s">
        <v>115</v>
      </c>
      <c r="E1484" s="1">
        <v>44007</v>
      </c>
      <c r="F1484">
        <v>1</v>
      </c>
      <c r="G1484" t="s">
        <v>73</v>
      </c>
      <c r="H1484" t="s">
        <v>74</v>
      </c>
      <c r="I1484" s="3">
        <v>2030</v>
      </c>
      <c r="J1484" s="3">
        <v>2030</v>
      </c>
      <c r="K1484" s="3">
        <v>394</v>
      </c>
      <c r="L1484" t="s">
        <v>113</v>
      </c>
      <c r="M1484">
        <v>6</v>
      </c>
      <c r="N1484" t="s">
        <v>75</v>
      </c>
      <c r="O1484" t="s">
        <v>70</v>
      </c>
      <c r="P1484" t="s">
        <v>12</v>
      </c>
      <c r="Q1484" t="s">
        <v>13</v>
      </c>
      <c r="R1484" t="s">
        <v>13</v>
      </c>
      <c r="S1484" t="s">
        <v>144</v>
      </c>
      <c r="T1484" s="2">
        <f>MASTER[[#This Row],[CANTIDAD]]*MASTER[[#This Row],[PRECIO DE VENTA]]</f>
        <v>2030</v>
      </c>
      <c r="U1484" s="2">
        <f>MASTER[[#This Row],[CANTIDAD]]*MASTER[[#This Row],[COSTO UNITARIO]]</f>
        <v>394</v>
      </c>
      <c r="V1484" s="2">
        <f>MASTER[[#This Row],[MONTO VENDIDO]]-MASTER[[#This Row],[COSTO DE VENTA]]</f>
        <v>1636</v>
      </c>
    </row>
    <row r="1485" spans="1:22" x14ac:dyDescent="0.3">
      <c r="A1485">
        <v>28709</v>
      </c>
      <c r="B1485">
        <v>1</v>
      </c>
      <c r="C1485" t="s">
        <v>105</v>
      </c>
      <c r="D1485" t="s">
        <v>106</v>
      </c>
      <c r="E1485" s="1">
        <v>44007</v>
      </c>
      <c r="F1485">
        <v>1</v>
      </c>
      <c r="G1485" t="s">
        <v>73</v>
      </c>
      <c r="H1485" t="s">
        <v>74</v>
      </c>
      <c r="I1485" s="3">
        <v>2033</v>
      </c>
      <c r="J1485" s="3">
        <v>2033</v>
      </c>
      <c r="K1485" s="3">
        <v>459</v>
      </c>
      <c r="L1485" t="s">
        <v>98</v>
      </c>
      <c r="M1485">
        <v>13</v>
      </c>
      <c r="N1485" t="s">
        <v>78</v>
      </c>
      <c r="O1485" t="s">
        <v>70</v>
      </c>
      <c r="P1485" t="s">
        <v>18</v>
      </c>
      <c r="Q1485" t="s">
        <v>19</v>
      </c>
      <c r="R1485" t="s">
        <v>138</v>
      </c>
      <c r="S1485" t="s">
        <v>144</v>
      </c>
      <c r="T1485" s="2">
        <f>MASTER[[#This Row],[CANTIDAD]]*MASTER[[#This Row],[PRECIO DE VENTA]]</f>
        <v>2033</v>
      </c>
      <c r="U1485" s="2">
        <f>MASTER[[#This Row],[CANTIDAD]]*MASTER[[#This Row],[COSTO UNITARIO]]</f>
        <v>459</v>
      </c>
      <c r="V1485" s="2">
        <f>MASTER[[#This Row],[MONTO VENDIDO]]-MASTER[[#This Row],[COSTO DE VENTA]]</f>
        <v>1574</v>
      </c>
    </row>
    <row r="1486" spans="1:22" x14ac:dyDescent="0.3">
      <c r="A1486">
        <v>28727</v>
      </c>
      <c r="B1486">
        <v>1</v>
      </c>
      <c r="C1486" t="s">
        <v>116</v>
      </c>
      <c r="D1486" t="s">
        <v>117</v>
      </c>
      <c r="E1486" s="1">
        <v>44007</v>
      </c>
      <c r="F1486">
        <v>2</v>
      </c>
      <c r="G1486" t="s">
        <v>41</v>
      </c>
      <c r="H1486" t="s">
        <v>42</v>
      </c>
      <c r="I1486" s="3">
        <v>1999</v>
      </c>
      <c r="J1486" s="3">
        <v>1999</v>
      </c>
      <c r="K1486" s="3">
        <v>388</v>
      </c>
      <c r="L1486" t="s">
        <v>113</v>
      </c>
      <c r="M1486">
        <v>13</v>
      </c>
      <c r="N1486" t="s">
        <v>78</v>
      </c>
      <c r="O1486" t="s">
        <v>70</v>
      </c>
      <c r="P1486" t="s">
        <v>18</v>
      </c>
      <c r="Q1486" t="s">
        <v>19</v>
      </c>
      <c r="R1486" t="s">
        <v>138</v>
      </c>
      <c r="S1486" t="s">
        <v>144</v>
      </c>
      <c r="T1486" s="2">
        <f>MASTER[[#This Row],[CANTIDAD]]*MASTER[[#This Row],[PRECIO DE VENTA]]</f>
        <v>3998</v>
      </c>
      <c r="U1486" s="2">
        <f>MASTER[[#This Row],[CANTIDAD]]*MASTER[[#This Row],[COSTO UNITARIO]]</f>
        <v>776</v>
      </c>
      <c r="V1486" s="2">
        <f>MASTER[[#This Row],[MONTO VENDIDO]]-MASTER[[#This Row],[COSTO DE VENTA]]</f>
        <v>3222</v>
      </c>
    </row>
    <row r="1487" spans="1:22" x14ac:dyDescent="0.3">
      <c r="A1487">
        <v>28733</v>
      </c>
      <c r="B1487">
        <v>1</v>
      </c>
      <c r="C1487" t="s">
        <v>92</v>
      </c>
      <c r="D1487" t="s">
        <v>93</v>
      </c>
      <c r="E1487" s="1">
        <v>44007</v>
      </c>
      <c r="F1487">
        <v>1</v>
      </c>
      <c r="G1487" t="s">
        <v>35</v>
      </c>
      <c r="H1487" t="s">
        <v>36</v>
      </c>
      <c r="I1487" s="3">
        <v>1479</v>
      </c>
      <c r="J1487" s="3">
        <v>1479</v>
      </c>
      <c r="K1487" s="3">
        <v>396</v>
      </c>
      <c r="L1487" t="s">
        <v>9</v>
      </c>
      <c r="M1487">
        <v>12</v>
      </c>
      <c r="N1487" t="s">
        <v>26</v>
      </c>
      <c r="O1487" t="s">
        <v>11</v>
      </c>
      <c r="P1487" t="s">
        <v>12</v>
      </c>
      <c r="Q1487" t="s">
        <v>13</v>
      </c>
      <c r="R1487" t="s">
        <v>13</v>
      </c>
      <c r="S1487" t="s">
        <v>144</v>
      </c>
      <c r="T1487" s="2">
        <f>MASTER[[#This Row],[CANTIDAD]]*MASTER[[#This Row],[PRECIO DE VENTA]]</f>
        <v>1479</v>
      </c>
      <c r="U1487" s="2">
        <f>MASTER[[#This Row],[CANTIDAD]]*MASTER[[#This Row],[COSTO UNITARIO]]</f>
        <v>396</v>
      </c>
      <c r="V1487" s="2">
        <f>MASTER[[#This Row],[MONTO VENDIDO]]-MASTER[[#This Row],[COSTO DE VENTA]]</f>
        <v>1083</v>
      </c>
    </row>
    <row r="1488" spans="1:22" x14ac:dyDescent="0.3">
      <c r="A1488">
        <v>28767</v>
      </c>
      <c r="B1488">
        <v>1</v>
      </c>
      <c r="C1488" t="s">
        <v>121</v>
      </c>
      <c r="D1488" t="s">
        <v>122</v>
      </c>
      <c r="E1488" s="1">
        <v>44007</v>
      </c>
      <c r="F1488">
        <v>1</v>
      </c>
      <c r="G1488" t="s">
        <v>31</v>
      </c>
      <c r="H1488" t="s">
        <v>32</v>
      </c>
      <c r="I1488" s="3">
        <v>1069</v>
      </c>
      <c r="J1488" s="3">
        <v>1069</v>
      </c>
      <c r="K1488" s="3">
        <v>460</v>
      </c>
      <c r="L1488" t="s">
        <v>120</v>
      </c>
      <c r="M1488">
        <v>8</v>
      </c>
      <c r="N1488" t="s">
        <v>80</v>
      </c>
      <c r="O1488" t="s">
        <v>81</v>
      </c>
      <c r="P1488" t="s">
        <v>12</v>
      </c>
      <c r="Q1488" t="s">
        <v>13</v>
      </c>
      <c r="R1488" t="s">
        <v>13</v>
      </c>
      <c r="S1488" t="s">
        <v>144</v>
      </c>
      <c r="T1488" s="2">
        <f>MASTER[[#This Row],[CANTIDAD]]*MASTER[[#This Row],[PRECIO DE VENTA]]</f>
        <v>1069</v>
      </c>
      <c r="U1488" s="2">
        <f>MASTER[[#This Row],[CANTIDAD]]*MASTER[[#This Row],[COSTO UNITARIO]]</f>
        <v>460</v>
      </c>
      <c r="V1488" s="2">
        <f>MASTER[[#This Row],[MONTO VENDIDO]]-MASTER[[#This Row],[COSTO DE VENTA]]</f>
        <v>609</v>
      </c>
    </row>
    <row r="1489" spans="1:22" x14ac:dyDescent="0.3">
      <c r="A1489">
        <v>28768</v>
      </c>
      <c r="B1489">
        <v>1</v>
      </c>
      <c r="C1489" t="s">
        <v>94</v>
      </c>
      <c r="D1489" t="s">
        <v>95</v>
      </c>
      <c r="E1489" s="1">
        <v>44007</v>
      </c>
      <c r="F1489">
        <v>1</v>
      </c>
      <c r="G1489" t="s">
        <v>47</v>
      </c>
      <c r="H1489" t="s">
        <v>48</v>
      </c>
      <c r="I1489" s="3">
        <v>901</v>
      </c>
      <c r="J1489" s="3">
        <v>901</v>
      </c>
      <c r="K1489" s="3">
        <v>392</v>
      </c>
      <c r="L1489" t="s">
        <v>9</v>
      </c>
      <c r="M1489">
        <v>11</v>
      </c>
      <c r="N1489" t="s">
        <v>10</v>
      </c>
      <c r="O1489" t="s">
        <v>11</v>
      </c>
      <c r="P1489" t="s">
        <v>12</v>
      </c>
      <c r="Q1489" t="s">
        <v>13</v>
      </c>
      <c r="R1489" t="s">
        <v>13</v>
      </c>
      <c r="S1489" t="s">
        <v>144</v>
      </c>
      <c r="T1489" s="2">
        <f>MASTER[[#This Row],[CANTIDAD]]*MASTER[[#This Row],[PRECIO DE VENTA]]</f>
        <v>901</v>
      </c>
      <c r="U1489" s="2">
        <f>MASTER[[#This Row],[CANTIDAD]]*MASTER[[#This Row],[COSTO UNITARIO]]</f>
        <v>392</v>
      </c>
      <c r="V1489" s="2">
        <f>MASTER[[#This Row],[MONTO VENDIDO]]-MASTER[[#This Row],[COSTO DE VENTA]]</f>
        <v>509</v>
      </c>
    </row>
    <row r="1490" spans="1:22" x14ac:dyDescent="0.3">
      <c r="A1490">
        <v>28769</v>
      </c>
      <c r="B1490">
        <v>1</v>
      </c>
      <c r="C1490" t="s">
        <v>101</v>
      </c>
      <c r="D1490" t="s">
        <v>102</v>
      </c>
      <c r="E1490" s="1">
        <v>44008</v>
      </c>
      <c r="F1490">
        <v>1</v>
      </c>
      <c r="G1490" t="s">
        <v>51</v>
      </c>
      <c r="H1490" t="s">
        <v>52</v>
      </c>
      <c r="I1490" s="3">
        <v>1212</v>
      </c>
      <c r="J1490" s="3">
        <v>1212</v>
      </c>
      <c r="K1490" s="3">
        <v>442</v>
      </c>
      <c r="L1490" t="s">
        <v>98</v>
      </c>
      <c r="M1490">
        <v>19</v>
      </c>
      <c r="N1490" t="s">
        <v>89</v>
      </c>
      <c r="O1490" t="s">
        <v>81</v>
      </c>
      <c r="P1490" t="s">
        <v>15</v>
      </c>
      <c r="Q1490" t="s">
        <v>16</v>
      </c>
      <c r="R1490" t="s">
        <v>16</v>
      </c>
      <c r="S1490" t="s">
        <v>144</v>
      </c>
      <c r="T1490" s="2">
        <f>MASTER[[#This Row],[CANTIDAD]]*MASTER[[#This Row],[PRECIO DE VENTA]]</f>
        <v>1212</v>
      </c>
      <c r="U1490" s="2">
        <f>MASTER[[#This Row],[CANTIDAD]]*MASTER[[#This Row],[COSTO UNITARIO]]</f>
        <v>442</v>
      </c>
      <c r="V1490" s="2">
        <f>MASTER[[#This Row],[MONTO VENDIDO]]-MASTER[[#This Row],[COSTO DE VENTA]]</f>
        <v>770</v>
      </c>
    </row>
    <row r="1491" spans="1:22" x14ac:dyDescent="0.3">
      <c r="A1491">
        <v>28772</v>
      </c>
      <c r="B1491">
        <v>1</v>
      </c>
      <c r="C1491" t="s">
        <v>121</v>
      </c>
      <c r="D1491" t="s">
        <v>122</v>
      </c>
      <c r="E1491" s="1">
        <v>44008</v>
      </c>
      <c r="F1491">
        <v>1</v>
      </c>
      <c r="G1491" t="s">
        <v>39</v>
      </c>
      <c r="H1491" t="s">
        <v>40</v>
      </c>
      <c r="I1491" s="3">
        <v>1069</v>
      </c>
      <c r="J1491" s="3">
        <v>1069</v>
      </c>
      <c r="K1491" s="3">
        <v>460</v>
      </c>
      <c r="L1491" t="s">
        <v>120</v>
      </c>
      <c r="M1491">
        <v>8</v>
      </c>
      <c r="N1491" t="s">
        <v>80</v>
      </c>
      <c r="O1491" t="s">
        <v>81</v>
      </c>
      <c r="P1491" t="s">
        <v>12</v>
      </c>
      <c r="Q1491" t="s">
        <v>13</v>
      </c>
      <c r="R1491" t="s">
        <v>13</v>
      </c>
      <c r="S1491" t="s">
        <v>144</v>
      </c>
      <c r="T1491" s="2">
        <f>MASTER[[#This Row],[CANTIDAD]]*MASTER[[#This Row],[PRECIO DE VENTA]]</f>
        <v>1069</v>
      </c>
      <c r="U1491" s="2">
        <f>MASTER[[#This Row],[CANTIDAD]]*MASTER[[#This Row],[COSTO UNITARIO]]</f>
        <v>460</v>
      </c>
      <c r="V1491" s="2">
        <f>MASTER[[#This Row],[MONTO VENDIDO]]-MASTER[[#This Row],[COSTO DE VENTA]]</f>
        <v>609</v>
      </c>
    </row>
    <row r="1492" spans="1:22" x14ac:dyDescent="0.3">
      <c r="A1492">
        <v>28775</v>
      </c>
      <c r="B1492">
        <v>1</v>
      </c>
      <c r="C1492" t="s">
        <v>111</v>
      </c>
      <c r="D1492" t="s">
        <v>112</v>
      </c>
      <c r="E1492" s="1">
        <v>44008</v>
      </c>
      <c r="F1492">
        <v>1</v>
      </c>
      <c r="G1492" t="s">
        <v>59</v>
      </c>
      <c r="H1492" t="s">
        <v>60</v>
      </c>
      <c r="I1492" s="3">
        <v>1799</v>
      </c>
      <c r="J1492" s="3">
        <v>1799</v>
      </c>
      <c r="K1492" s="3">
        <v>434</v>
      </c>
      <c r="L1492" t="s">
        <v>113</v>
      </c>
      <c r="M1492">
        <v>9</v>
      </c>
      <c r="N1492" t="s">
        <v>76</v>
      </c>
      <c r="O1492" t="s">
        <v>70</v>
      </c>
      <c r="P1492" t="s">
        <v>12</v>
      </c>
      <c r="Q1492" t="s">
        <v>13</v>
      </c>
      <c r="R1492" t="s">
        <v>13</v>
      </c>
      <c r="S1492" t="s">
        <v>144</v>
      </c>
      <c r="T1492" s="2">
        <f>MASTER[[#This Row],[CANTIDAD]]*MASTER[[#This Row],[PRECIO DE VENTA]]</f>
        <v>1799</v>
      </c>
      <c r="U1492" s="2">
        <f>MASTER[[#This Row],[CANTIDAD]]*MASTER[[#This Row],[COSTO UNITARIO]]</f>
        <v>434</v>
      </c>
      <c r="V1492" s="2">
        <f>MASTER[[#This Row],[MONTO VENDIDO]]-MASTER[[#This Row],[COSTO DE VENTA]]</f>
        <v>1365</v>
      </c>
    </row>
    <row r="1493" spans="1:22" x14ac:dyDescent="0.3">
      <c r="A1493">
        <v>28786</v>
      </c>
      <c r="B1493">
        <v>1</v>
      </c>
      <c r="C1493" t="s">
        <v>92</v>
      </c>
      <c r="D1493" t="s">
        <v>93</v>
      </c>
      <c r="E1493" s="1">
        <v>44008</v>
      </c>
      <c r="F1493">
        <v>1</v>
      </c>
      <c r="G1493" t="s">
        <v>61</v>
      </c>
      <c r="H1493" t="s">
        <v>62</v>
      </c>
      <c r="I1493" s="3">
        <v>1866</v>
      </c>
      <c r="J1493" s="3">
        <v>1866</v>
      </c>
      <c r="K1493" s="3">
        <v>396</v>
      </c>
      <c r="L1493" t="s">
        <v>9</v>
      </c>
      <c r="M1493">
        <v>3</v>
      </c>
      <c r="N1493" t="s">
        <v>69</v>
      </c>
      <c r="O1493" t="s">
        <v>70</v>
      </c>
      <c r="P1493" t="s">
        <v>71</v>
      </c>
      <c r="Q1493" t="s">
        <v>72</v>
      </c>
      <c r="R1493" t="s">
        <v>139</v>
      </c>
      <c r="S1493" t="s">
        <v>144</v>
      </c>
      <c r="T1493" s="2">
        <f>MASTER[[#This Row],[CANTIDAD]]*MASTER[[#This Row],[PRECIO DE VENTA]]</f>
        <v>1866</v>
      </c>
      <c r="U1493" s="2">
        <f>MASTER[[#This Row],[CANTIDAD]]*MASTER[[#This Row],[COSTO UNITARIO]]</f>
        <v>396</v>
      </c>
      <c r="V1493" s="2">
        <f>MASTER[[#This Row],[MONTO VENDIDO]]-MASTER[[#This Row],[COSTO DE VENTA]]</f>
        <v>1470</v>
      </c>
    </row>
    <row r="1494" spans="1:22" x14ac:dyDescent="0.3">
      <c r="A1494">
        <v>28786</v>
      </c>
      <c r="B1494">
        <v>2</v>
      </c>
      <c r="C1494" t="s">
        <v>111</v>
      </c>
      <c r="D1494" t="s">
        <v>112</v>
      </c>
      <c r="E1494" s="1">
        <v>44008</v>
      </c>
      <c r="F1494">
        <v>1</v>
      </c>
      <c r="G1494" t="s">
        <v>31</v>
      </c>
      <c r="H1494" t="s">
        <v>32</v>
      </c>
      <c r="I1494" s="3">
        <v>1799</v>
      </c>
      <c r="J1494" s="3">
        <v>1799</v>
      </c>
      <c r="K1494" s="3">
        <v>434</v>
      </c>
      <c r="L1494" t="s">
        <v>113</v>
      </c>
      <c r="M1494">
        <v>3</v>
      </c>
      <c r="N1494" t="s">
        <v>69</v>
      </c>
      <c r="O1494" t="s">
        <v>70</v>
      </c>
      <c r="P1494" t="s">
        <v>71</v>
      </c>
      <c r="Q1494" t="s">
        <v>72</v>
      </c>
      <c r="R1494" t="s">
        <v>139</v>
      </c>
      <c r="S1494" t="s">
        <v>144</v>
      </c>
      <c r="T1494" s="2">
        <f>MASTER[[#This Row],[CANTIDAD]]*MASTER[[#This Row],[PRECIO DE VENTA]]</f>
        <v>1799</v>
      </c>
      <c r="U1494" s="2">
        <f>MASTER[[#This Row],[CANTIDAD]]*MASTER[[#This Row],[COSTO UNITARIO]]</f>
        <v>434</v>
      </c>
      <c r="V1494" s="2">
        <f>MASTER[[#This Row],[MONTO VENDIDO]]-MASTER[[#This Row],[COSTO DE VENTA]]</f>
        <v>1365</v>
      </c>
    </row>
    <row r="1495" spans="1:22" x14ac:dyDescent="0.3">
      <c r="A1495">
        <v>28792</v>
      </c>
      <c r="B1495">
        <v>1</v>
      </c>
      <c r="C1495" t="s">
        <v>103</v>
      </c>
      <c r="D1495" t="s">
        <v>104</v>
      </c>
      <c r="E1495" s="1">
        <v>44009</v>
      </c>
      <c r="F1495">
        <v>1</v>
      </c>
      <c r="G1495" t="s">
        <v>51</v>
      </c>
      <c r="H1495" t="s">
        <v>52</v>
      </c>
      <c r="I1495" s="3">
        <v>1448</v>
      </c>
      <c r="J1495" s="3">
        <v>1448</v>
      </c>
      <c r="K1495" s="3">
        <v>421</v>
      </c>
      <c r="L1495" t="s">
        <v>98</v>
      </c>
      <c r="M1495">
        <v>16</v>
      </c>
      <c r="N1495" t="s">
        <v>17</v>
      </c>
      <c r="O1495" t="s">
        <v>11</v>
      </c>
      <c r="P1495" t="s">
        <v>18</v>
      </c>
      <c r="Q1495" t="s">
        <v>19</v>
      </c>
      <c r="R1495" t="s">
        <v>138</v>
      </c>
      <c r="S1495" t="s">
        <v>144</v>
      </c>
      <c r="T1495" s="2">
        <f>MASTER[[#This Row],[CANTIDAD]]*MASTER[[#This Row],[PRECIO DE VENTA]]</f>
        <v>1448</v>
      </c>
      <c r="U1495" s="2">
        <f>MASTER[[#This Row],[CANTIDAD]]*MASTER[[#This Row],[COSTO UNITARIO]]</f>
        <v>421</v>
      </c>
      <c r="V1495" s="2">
        <f>MASTER[[#This Row],[MONTO VENDIDO]]-MASTER[[#This Row],[COSTO DE VENTA]]</f>
        <v>1027</v>
      </c>
    </row>
    <row r="1496" spans="1:22" x14ac:dyDescent="0.3">
      <c r="A1496">
        <v>28793</v>
      </c>
      <c r="B1496">
        <v>1</v>
      </c>
      <c r="C1496" t="s">
        <v>105</v>
      </c>
      <c r="D1496" t="s">
        <v>106</v>
      </c>
      <c r="E1496" s="1">
        <v>44009</v>
      </c>
      <c r="F1496">
        <v>1</v>
      </c>
      <c r="G1496" t="s">
        <v>24</v>
      </c>
      <c r="H1496" t="s">
        <v>25</v>
      </c>
      <c r="I1496" s="3">
        <v>1865</v>
      </c>
      <c r="J1496" s="3">
        <v>1865</v>
      </c>
      <c r="K1496" s="3">
        <v>459</v>
      </c>
      <c r="L1496" t="s">
        <v>98</v>
      </c>
      <c r="M1496">
        <v>7</v>
      </c>
      <c r="N1496" t="s">
        <v>84</v>
      </c>
      <c r="O1496" t="s">
        <v>81</v>
      </c>
      <c r="P1496" t="s">
        <v>12</v>
      </c>
      <c r="Q1496" t="s">
        <v>13</v>
      </c>
      <c r="R1496" t="s">
        <v>13</v>
      </c>
      <c r="S1496" t="s">
        <v>144</v>
      </c>
      <c r="T1496" s="2">
        <f>MASTER[[#This Row],[CANTIDAD]]*MASTER[[#This Row],[PRECIO DE VENTA]]</f>
        <v>1865</v>
      </c>
      <c r="U1496" s="2">
        <f>MASTER[[#This Row],[CANTIDAD]]*MASTER[[#This Row],[COSTO UNITARIO]]</f>
        <v>459</v>
      </c>
      <c r="V1496" s="2">
        <f>MASTER[[#This Row],[MONTO VENDIDO]]-MASTER[[#This Row],[COSTO DE VENTA]]</f>
        <v>1406</v>
      </c>
    </row>
    <row r="1497" spans="1:22" x14ac:dyDescent="0.3">
      <c r="A1497">
        <v>28798</v>
      </c>
      <c r="B1497">
        <v>1</v>
      </c>
      <c r="C1497" t="s">
        <v>105</v>
      </c>
      <c r="D1497" t="s">
        <v>106</v>
      </c>
      <c r="E1497" s="1">
        <v>44009</v>
      </c>
      <c r="F1497">
        <v>1</v>
      </c>
      <c r="G1497" t="s">
        <v>57</v>
      </c>
      <c r="H1497" t="s">
        <v>58</v>
      </c>
      <c r="I1497" s="3">
        <v>2033</v>
      </c>
      <c r="J1497" s="3">
        <v>2033</v>
      </c>
      <c r="K1497" s="3">
        <v>459</v>
      </c>
      <c r="L1497" t="s">
        <v>98</v>
      </c>
      <c r="M1497">
        <v>6</v>
      </c>
      <c r="N1497" t="s">
        <v>75</v>
      </c>
      <c r="O1497" t="s">
        <v>70</v>
      </c>
      <c r="P1497" t="s">
        <v>12</v>
      </c>
      <c r="Q1497" t="s">
        <v>13</v>
      </c>
      <c r="R1497" t="s">
        <v>13</v>
      </c>
      <c r="S1497" t="s">
        <v>144</v>
      </c>
      <c r="T1497" s="2">
        <f>MASTER[[#This Row],[CANTIDAD]]*MASTER[[#This Row],[PRECIO DE VENTA]]</f>
        <v>2033</v>
      </c>
      <c r="U1497" s="2">
        <f>MASTER[[#This Row],[CANTIDAD]]*MASTER[[#This Row],[COSTO UNITARIO]]</f>
        <v>459</v>
      </c>
      <c r="V1497" s="2">
        <f>MASTER[[#This Row],[MONTO VENDIDO]]-MASTER[[#This Row],[COSTO DE VENTA]]</f>
        <v>1574</v>
      </c>
    </row>
    <row r="1498" spans="1:22" x14ac:dyDescent="0.3">
      <c r="A1498">
        <v>28801</v>
      </c>
      <c r="B1498">
        <v>1</v>
      </c>
      <c r="C1498" t="s">
        <v>99</v>
      </c>
      <c r="D1498" t="s">
        <v>100</v>
      </c>
      <c r="E1498" s="1">
        <v>44010</v>
      </c>
      <c r="F1498">
        <v>1</v>
      </c>
      <c r="G1498" t="s">
        <v>59</v>
      </c>
      <c r="H1498" t="s">
        <v>60</v>
      </c>
      <c r="I1498" s="3">
        <v>1459</v>
      </c>
      <c r="J1498" s="3">
        <v>1459</v>
      </c>
      <c r="K1498" s="3">
        <v>386</v>
      </c>
      <c r="L1498" t="s">
        <v>98</v>
      </c>
      <c r="M1498">
        <v>8</v>
      </c>
      <c r="N1498" t="s">
        <v>80</v>
      </c>
      <c r="O1498" t="s">
        <v>81</v>
      </c>
      <c r="P1498" t="s">
        <v>12</v>
      </c>
      <c r="Q1498" t="s">
        <v>13</v>
      </c>
      <c r="R1498" t="s">
        <v>13</v>
      </c>
      <c r="S1498" t="s">
        <v>144</v>
      </c>
      <c r="T1498" s="2">
        <f>MASTER[[#This Row],[CANTIDAD]]*MASTER[[#This Row],[PRECIO DE VENTA]]</f>
        <v>1459</v>
      </c>
      <c r="U1498" s="2">
        <f>MASTER[[#This Row],[CANTIDAD]]*MASTER[[#This Row],[COSTO UNITARIO]]</f>
        <v>386</v>
      </c>
      <c r="V1498" s="2">
        <f>MASTER[[#This Row],[MONTO VENDIDO]]-MASTER[[#This Row],[COSTO DE VENTA]]</f>
        <v>1073</v>
      </c>
    </row>
    <row r="1499" spans="1:22" x14ac:dyDescent="0.3">
      <c r="A1499">
        <v>28845</v>
      </c>
      <c r="B1499">
        <v>1</v>
      </c>
      <c r="C1499" t="s">
        <v>116</v>
      </c>
      <c r="D1499" t="s">
        <v>117</v>
      </c>
      <c r="E1499" s="1">
        <v>44010</v>
      </c>
      <c r="F1499">
        <v>1</v>
      </c>
      <c r="G1499" t="s">
        <v>57</v>
      </c>
      <c r="H1499" t="s">
        <v>58</v>
      </c>
      <c r="I1499" s="3">
        <v>1738</v>
      </c>
      <c r="J1499" s="3">
        <v>1738</v>
      </c>
      <c r="K1499" s="3">
        <v>388</v>
      </c>
      <c r="L1499" t="s">
        <v>113</v>
      </c>
      <c r="M1499">
        <v>14</v>
      </c>
      <c r="N1499" t="s">
        <v>87</v>
      </c>
      <c r="O1499" t="s">
        <v>81</v>
      </c>
      <c r="P1499" t="s">
        <v>18</v>
      </c>
      <c r="Q1499" t="s">
        <v>19</v>
      </c>
      <c r="R1499" t="s">
        <v>138</v>
      </c>
      <c r="S1499" t="s">
        <v>144</v>
      </c>
      <c r="T1499" s="2">
        <f>MASTER[[#This Row],[CANTIDAD]]*MASTER[[#This Row],[PRECIO DE VENTA]]</f>
        <v>1738</v>
      </c>
      <c r="U1499" s="2">
        <f>MASTER[[#This Row],[CANTIDAD]]*MASTER[[#This Row],[COSTO UNITARIO]]</f>
        <v>388</v>
      </c>
      <c r="V1499" s="2">
        <f>MASTER[[#This Row],[MONTO VENDIDO]]-MASTER[[#This Row],[COSTO DE VENTA]]</f>
        <v>1350</v>
      </c>
    </row>
    <row r="1500" spans="1:22" x14ac:dyDescent="0.3">
      <c r="A1500">
        <v>28869</v>
      </c>
      <c r="B1500">
        <v>1</v>
      </c>
      <c r="C1500" t="s">
        <v>92</v>
      </c>
      <c r="D1500" t="s">
        <v>93</v>
      </c>
      <c r="E1500" s="1">
        <v>44010</v>
      </c>
      <c r="F1500">
        <v>3</v>
      </c>
      <c r="G1500" t="s">
        <v>61</v>
      </c>
      <c r="H1500" t="s">
        <v>62</v>
      </c>
      <c r="I1500" s="3">
        <v>1681</v>
      </c>
      <c r="J1500" s="3">
        <v>1681</v>
      </c>
      <c r="K1500" s="3">
        <v>396</v>
      </c>
      <c r="L1500" t="s">
        <v>9</v>
      </c>
      <c r="M1500">
        <v>8</v>
      </c>
      <c r="N1500" t="s">
        <v>80</v>
      </c>
      <c r="O1500" t="s">
        <v>81</v>
      </c>
      <c r="P1500" t="s">
        <v>12</v>
      </c>
      <c r="Q1500" t="s">
        <v>13</v>
      </c>
      <c r="R1500" t="s">
        <v>13</v>
      </c>
      <c r="S1500" t="s">
        <v>144</v>
      </c>
      <c r="T1500" s="2">
        <f>MASTER[[#This Row],[CANTIDAD]]*MASTER[[#This Row],[PRECIO DE VENTA]]</f>
        <v>5043</v>
      </c>
      <c r="U1500" s="2">
        <f>MASTER[[#This Row],[CANTIDAD]]*MASTER[[#This Row],[COSTO UNITARIO]]</f>
        <v>1188</v>
      </c>
      <c r="V1500" s="2">
        <f>MASTER[[#This Row],[MONTO VENDIDO]]-MASTER[[#This Row],[COSTO DE VENTA]]</f>
        <v>3855</v>
      </c>
    </row>
    <row r="1501" spans="1:22" x14ac:dyDescent="0.3">
      <c r="A1501">
        <v>28873</v>
      </c>
      <c r="B1501">
        <v>1</v>
      </c>
      <c r="C1501" t="s">
        <v>99</v>
      </c>
      <c r="D1501" t="s">
        <v>100</v>
      </c>
      <c r="E1501" s="1">
        <v>44010</v>
      </c>
      <c r="F1501">
        <v>1</v>
      </c>
      <c r="G1501" t="s">
        <v>45</v>
      </c>
      <c r="H1501" t="s">
        <v>46</v>
      </c>
      <c r="I1501" s="3">
        <v>1328</v>
      </c>
      <c r="J1501" s="3">
        <v>1328</v>
      </c>
      <c r="K1501" s="3">
        <v>386</v>
      </c>
      <c r="L1501" t="s">
        <v>98</v>
      </c>
      <c r="M1501">
        <v>16</v>
      </c>
      <c r="N1501" t="s">
        <v>17</v>
      </c>
      <c r="O1501" t="s">
        <v>11</v>
      </c>
      <c r="P1501" t="s">
        <v>18</v>
      </c>
      <c r="Q1501" t="s">
        <v>19</v>
      </c>
      <c r="R1501" t="s">
        <v>138</v>
      </c>
      <c r="S1501" t="s">
        <v>144</v>
      </c>
      <c r="T1501" s="2">
        <f>MASTER[[#This Row],[CANTIDAD]]*MASTER[[#This Row],[PRECIO DE VENTA]]</f>
        <v>1328</v>
      </c>
      <c r="U1501" s="2">
        <f>MASTER[[#This Row],[CANTIDAD]]*MASTER[[#This Row],[COSTO UNITARIO]]</f>
        <v>386</v>
      </c>
      <c r="V1501" s="2">
        <f>MASTER[[#This Row],[MONTO VENDIDO]]-MASTER[[#This Row],[COSTO DE VENTA]]</f>
        <v>942</v>
      </c>
    </row>
    <row r="1502" spans="1:22" x14ac:dyDescent="0.3">
      <c r="A1502">
        <v>28890</v>
      </c>
      <c r="B1502">
        <v>1</v>
      </c>
      <c r="C1502" t="s">
        <v>116</v>
      </c>
      <c r="D1502" t="s">
        <v>117</v>
      </c>
      <c r="E1502" s="1">
        <v>44010</v>
      </c>
      <c r="F1502">
        <v>1</v>
      </c>
      <c r="G1502" t="s">
        <v>35</v>
      </c>
      <c r="H1502" t="s">
        <v>36</v>
      </c>
      <c r="I1502" s="3">
        <v>1738</v>
      </c>
      <c r="J1502" s="3">
        <v>1738</v>
      </c>
      <c r="K1502" s="3">
        <v>388</v>
      </c>
      <c r="L1502" t="s">
        <v>113</v>
      </c>
      <c r="M1502">
        <v>19</v>
      </c>
      <c r="N1502" t="s">
        <v>89</v>
      </c>
      <c r="O1502" t="s">
        <v>81</v>
      </c>
      <c r="P1502" t="s">
        <v>15</v>
      </c>
      <c r="Q1502" t="s">
        <v>16</v>
      </c>
      <c r="R1502" t="s">
        <v>16</v>
      </c>
      <c r="S1502" t="s">
        <v>144</v>
      </c>
      <c r="T1502" s="2">
        <f>MASTER[[#This Row],[CANTIDAD]]*MASTER[[#This Row],[PRECIO DE VENTA]]</f>
        <v>1738</v>
      </c>
      <c r="U1502" s="2">
        <f>MASTER[[#This Row],[CANTIDAD]]*MASTER[[#This Row],[COSTO UNITARIO]]</f>
        <v>388</v>
      </c>
      <c r="V1502" s="2">
        <f>MASTER[[#This Row],[MONTO VENDIDO]]-MASTER[[#This Row],[COSTO DE VENTA]]</f>
        <v>1350</v>
      </c>
    </row>
    <row r="1503" spans="1:22" x14ac:dyDescent="0.3">
      <c r="A1503">
        <v>28907</v>
      </c>
      <c r="B1503">
        <v>1</v>
      </c>
      <c r="C1503" t="s">
        <v>121</v>
      </c>
      <c r="D1503" t="s">
        <v>122</v>
      </c>
      <c r="E1503" s="1">
        <v>44010</v>
      </c>
      <c r="F1503">
        <v>1</v>
      </c>
      <c r="G1503" t="s">
        <v>65</v>
      </c>
      <c r="H1503" t="s">
        <v>66</v>
      </c>
      <c r="I1503" s="3">
        <v>1069</v>
      </c>
      <c r="J1503" s="3">
        <v>1069</v>
      </c>
      <c r="K1503" s="3">
        <v>460</v>
      </c>
      <c r="L1503" t="s">
        <v>120</v>
      </c>
      <c r="M1503">
        <v>8</v>
      </c>
      <c r="N1503" t="s">
        <v>80</v>
      </c>
      <c r="O1503" t="s">
        <v>81</v>
      </c>
      <c r="P1503" t="s">
        <v>12</v>
      </c>
      <c r="Q1503" t="s">
        <v>13</v>
      </c>
      <c r="R1503" t="s">
        <v>13</v>
      </c>
      <c r="S1503" t="s">
        <v>144</v>
      </c>
      <c r="T1503" s="2">
        <f>MASTER[[#This Row],[CANTIDAD]]*MASTER[[#This Row],[PRECIO DE VENTA]]</f>
        <v>1069</v>
      </c>
      <c r="U1503" s="2">
        <f>MASTER[[#This Row],[CANTIDAD]]*MASTER[[#This Row],[COSTO UNITARIO]]</f>
        <v>460</v>
      </c>
      <c r="V1503" s="2">
        <f>MASTER[[#This Row],[MONTO VENDIDO]]-MASTER[[#This Row],[COSTO DE VENTA]]</f>
        <v>609</v>
      </c>
    </row>
    <row r="1504" spans="1:22" x14ac:dyDescent="0.3">
      <c r="A1504">
        <v>28908</v>
      </c>
      <c r="B1504">
        <v>1</v>
      </c>
      <c r="C1504" t="s">
        <v>107</v>
      </c>
      <c r="D1504" t="s">
        <v>108</v>
      </c>
      <c r="E1504" s="1">
        <v>44010</v>
      </c>
      <c r="F1504">
        <v>1</v>
      </c>
      <c r="G1504" t="s">
        <v>65</v>
      </c>
      <c r="H1504" t="s">
        <v>66</v>
      </c>
      <c r="I1504" s="3">
        <v>1240</v>
      </c>
      <c r="J1504" s="3">
        <v>1178</v>
      </c>
      <c r="K1504" s="3">
        <v>380</v>
      </c>
      <c r="L1504" t="s">
        <v>98</v>
      </c>
      <c r="M1504">
        <v>11</v>
      </c>
      <c r="N1504" t="s">
        <v>10</v>
      </c>
      <c r="O1504" t="s">
        <v>11</v>
      </c>
      <c r="P1504" t="s">
        <v>12</v>
      </c>
      <c r="Q1504" t="s">
        <v>13</v>
      </c>
      <c r="R1504" t="s">
        <v>13</v>
      </c>
      <c r="S1504" t="s">
        <v>144</v>
      </c>
      <c r="T1504" s="2">
        <f>MASTER[[#This Row],[CANTIDAD]]*MASTER[[#This Row],[PRECIO DE VENTA]]</f>
        <v>1178</v>
      </c>
      <c r="U1504" s="2">
        <f>MASTER[[#This Row],[CANTIDAD]]*MASTER[[#This Row],[COSTO UNITARIO]]</f>
        <v>380</v>
      </c>
      <c r="V1504" s="2">
        <f>MASTER[[#This Row],[MONTO VENDIDO]]-MASTER[[#This Row],[COSTO DE VENTA]]</f>
        <v>798</v>
      </c>
    </row>
    <row r="1505" spans="1:22" x14ac:dyDescent="0.3">
      <c r="A1505">
        <v>28934</v>
      </c>
      <c r="B1505">
        <v>1</v>
      </c>
      <c r="C1505" t="s">
        <v>107</v>
      </c>
      <c r="D1505" t="s">
        <v>108</v>
      </c>
      <c r="E1505" s="1">
        <v>44010</v>
      </c>
      <c r="F1505">
        <v>1</v>
      </c>
      <c r="G1505" t="s">
        <v>24</v>
      </c>
      <c r="H1505" t="s">
        <v>25</v>
      </c>
      <c r="I1505" s="3">
        <v>1333</v>
      </c>
      <c r="J1505" s="3">
        <v>1333</v>
      </c>
      <c r="K1505" s="3">
        <v>380</v>
      </c>
      <c r="L1505" t="s">
        <v>98</v>
      </c>
      <c r="M1505">
        <v>8</v>
      </c>
      <c r="N1505" t="s">
        <v>80</v>
      </c>
      <c r="O1505" t="s">
        <v>81</v>
      </c>
      <c r="P1505" t="s">
        <v>12</v>
      </c>
      <c r="Q1505" t="s">
        <v>13</v>
      </c>
      <c r="R1505" t="s">
        <v>13</v>
      </c>
      <c r="S1505" t="s">
        <v>144</v>
      </c>
      <c r="T1505" s="2">
        <f>MASTER[[#This Row],[CANTIDAD]]*MASTER[[#This Row],[PRECIO DE VENTA]]</f>
        <v>1333</v>
      </c>
      <c r="U1505" s="2">
        <f>MASTER[[#This Row],[CANTIDAD]]*MASTER[[#This Row],[COSTO UNITARIO]]</f>
        <v>380</v>
      </c>
      <c r="V1505" s="2">
        <f>MASTER[[#This Row],[MONTO VENDIDO]]-MASTER[[#This Row],[COSTO DE VENTA]]</f>
        <v>953</v>
      </c>
    </row>
    <row r="1506" spans="1:22" x14ac:dyDescent="0.3">
      <c r="A1506">
        <v>28941</v>
      </c>
      <c r="B1506">
        <v>1</v>
      </c>
      <c r="C1506" t="s">
        <v>121</v>
      </c>
      <c r="D1506" t="s">
        <v>122</v>
      </c>
      <c r="E1506" s="1">
        <v>44010</v>
      </c>
      <c r="F1506">
        <v>1</v>
      </c>
      <c r="G1506" t="s">
        <v>67</v>
      </c>
      <c r="H1506" t="s">
        <v>68</v>
      </c>
      <c r="I1506" s="3">
        <v>1144</v>
      </c>
      <c r="J1506" s="3">
        <v>1144</v>
      </c>
      <c r="K1506" s="3">
        <v>460</v>
      </c>
      <c r="L1506" t="s">
        <v>120</v>
      </c>
      <c r="M1506">
        <v>6</v>
      </c>
      <c r="N1506" t="s">
        <v>75</v>
      </c>
      <c r="O1506" t="s">
        <v>70</v>
      </c>
      <c r="P1506" t="s">
        <v>12</v>
      </c>
      <c r="Q1506" t="s">
        <v>13</v>
      </c>
      <c r="R1506" t="s">
        <v>13</v>
      </c>
      <c r="S1506" t="s">
        <v>144</v>
      </c>
      <c r="T1506" s="2">
        <f>MASTER[[#This Row],[CANTIDAD]]*MASTER[[#This Row],[PRECIO DE VENTA]]</f>
        <v>1144</v>
      </c>
      <c r="U1506" s="2">
        <f>MASTER[[#This Row],[CANTIDAD]]*MASTER[[#This Row],[COSTO UNITARIO]]</f>
        <v>460</v>
      </c>
      <c r="V1506" s="2">
        <f>MASTER[[#This Row],[MONTO VENDIDO]]-MASTER[[#This Row],[COSTO DE VENTA]]</f>
        <v>684</v>
      </c>
    </row>
    <row r="1507" spans="1:22" x14ac:dyDescent="0.3">
      <c r="A1507">
        <v>28942</v>
      </c>
      <c r="B1507">
        <v>1</v>
      </c>
      <c r="C1507" t="s">
        <v>109</v>
      </c>
      <c r="D1507" t="s">
        <v>110</v>
      </c>
      <c r="E1507" s="1">
        <v>44010</v>
      </c>
      <c r="F1507">
        <v>1</v>
      </c>
      <c r="G1507" t="s">
        <v>65</v>
      </c>
      <c r="H1507" t="s">
        <v>66</v>
      </c>
      <c r="I1507" s="3">
        <v>1128</v>
      </c>
      <c r="J1507" s="3">
        <v>1128</v>
      </c>
      <c r="K1507" s="3">
        <v>387</v>
      </c>
      <c r="L1507" t="s">
        <v>98</v>
      </c>
      <c r="M1507">
        <v>18</v>
      </c>
      <c r="N1507" t="s">
        <v>79</v>
      </c>
      <c r="O1507" t="s">
        <v>70</v>
      </c>
      <c r="P1507" t="s">
        <v>15</v>
      </c>
      <c r="Q1507" t="s">
        <v>16</v>
      </c>
      <c r="R1507" t="s">
        <v>16</v>
      </c>
      <c r="S1507" t="s">
        <v>144</v>
      </c>
      <c r="T1507" s="2">
        <f>MASTER[[#This Row],[CANTIDAD]]*MASTER[[#This Row],[PRECIO DE VENTA]]</f>
        <v>1128</v>
      </c>
      <c r="U1507" s="2">
        <f>MASTER[[#This Row],[CANTIDAD]]*MASTER[[#This Row],[COSTO UNITARIO]]</f>
        <v>387</v>
      </c>
      <c r="V1507" s="2">
        <f>MASTER[[#This Row],[MONTO VENDIDO]]-MASTER[[#This Row],[COSTO DE VENTA]]</f>
        <v>741</v>
      </c>
    </row>
    <row r="1508" spans="1:22" x14ac:dyDescent="0.3">
      <c r="A1508">
        <v>28960</v>
      </c>
      <c r="B1508">
        <v>1</v>
      </c>
      <c r="C1508" t="s">
        <v>5</v>
      </c>
      <c r="D1508" t="s">
        <v>6</v>
      </c>
      <c r="E1508" s="1">
        <v>44011</v>
      </c>
      <c r="F1508">
        <v>1</v>
      </c>
      <c r="G1508" t="s">
        <v>43</v>
      </c>
      <c r="H1508" t="s">
        <v>44</v>
      </c>
      <c r="I1508" s="3">
        <v>1507</v>
      </c>
      <c r="J1508" s="3">
        <v>1507</v>
      </c>
      <c r="K1508" s="3">
        <v>393</v>
      </c>
      <c r="L1508" t="s">
        <v>9</v>
      </c>
      <c r="M1508">
        <v>10</v>
      </c>
      <c r="N1508" t="s">
        <v>83</v>
      </c>
      <c r="O1508" t="s">
        <v>81</v>
      </c>
      <c r="P1508" t="s">
        <v>12</v>
      </c>
      <c r="Q1508" t="s">
        <v>13</v>
      </c>
      <c r="R1508" t="s">
        <v>13</v>
      </c>
      <c r="S1508" t="s">
        <v>144</v>
      </c>
      <c r="T1508" s="2">
        <f>MASTER[[#This Row],[CANTIDAD]]*MASTER[[#This Row],[PRECIO DE VENTA]]</f>
        <v>1507</v>
      </c>
      <c r="U1508" s="2">
        <f>MASTER[[#This Row],[CANTIDAD]]*MASTER[[#This Row],[COSTO UNITARIO]]</f>
        <v>393</v>
      </c>
      <c r="V1508" s="2">
        <f>MASTER[[#This Row],[MONTO VENDIDO]]-MASTER[[#This Row],[COSTO DE VENTA]]</f>
        <v>1114</v>
      </c>
    </row>
    <row r="1509" spans="1:22" x14ac:dyDescent="0.3">
      <c r="A1509">
        <v>28975</v>
      </c>
      <c r="B1509">
        <v>1</v>
      </c>
      <c r="C1509" t="s">
        <v>92</v>
      </c>
      <c r="D1509" t="s">
        <v>93</v>
      </c>
      <c r="E1509" s="1">
        <v>44011</v>
      </c>
      <c r="F1509">
        <v>1</v>
      </c>
      <c r="G1509" t="s">
        <v>55</v>
      </c>
      <c r="H1509" t="s">
        <v>56</v>
      </c>
      <c r="I1509" s="3">
        <v>1681</v>
      </c>
      <c r="J1509" s="3">
        <v>1681</v>
      </c>
      <c r="K1509" s="3">
        <v>396</v>
      </c>
      <c r="L1509" t="s">
        <v>9</v>
      </c>
      <c r="M1509">
        <v>7</v>
      </c>
      <c r="N1509" t="s">
        <v>84</v>
      </c>
      <c r="O1509" t="s">
        <v>81</v>
      </c>
      <c r="P1509" t="s">
        <v>12</v>
      </c>
      <c r="Q1509" t="s">
        <v>13</v>
      </c>
      <c r="R1509" t="s">
        <v>13</v>
      </c>
      <c r="S1509" t="s">
        <v>144</v>
      </c>
      <c r="T1509" s="2">
        <f>MASTER[[#This Row],[CANTIDAD]]*MASTER[[#This Row],[PRECIO DE VENTA]]</f>
        <v>1681</v>
      </c>
      <c r="U1509" s="2">
        <f>MASTER[[#This Row],[CANTIDAD]]*MASTER[[#This Row],[COSTO UNITARIO]]</f>
        <v>396</v>
      </c>
      <c r="V1509" s="2">
        <f>MASTER[[#This Row],[MONTO VENDIDO]]-MASTER[[#This Row],[COSTO DE VENTA]]</f>
        <v>1285</v>
      </c>
    </row>
    <row r="1510" spans="1:22" x14ac:dyDescent="0.3">
      <c r="A1510">
        <v>29009</v>
      </c>
      <c r="B1510">
        <v>1</v>
      </c>
      <c r="C1510" t="s">
        <v>96</v>
      </c>
      <c r="D1510" t="s">
        <v>97</v>
      </c>
      <c r="E1510" s="1">
        <v>44011</v>
      </c>
      <c r="F1510">
        <v>1</v>
      </c>
      <c r="G1510" t="s">
        <v>29</v>
      </c>
      <c r="H1510" t="s">
        <v>30</v>
      </c>
      <c r="I1510" s="3">
        <v>1196</v>
      </c>
      <c r="J1510" s="3">
        <v>1196</v>
      </c>
      <c r="K1510" s="3">
        <v>397</v>
      </c>
      <c r="L1510" t="s">
        <v>98</v>
      </c>
      <c r="M1510">
        <v>17</v>
      </c>
      <c r="N1510" t="s">
        <v>14</v>
      </c>
      <c r="O1510" t="s">
        <v>11</v>
      </c>
      <c r="P1510" t="s">
        <v>15</v>
      </c>
      <c r="Q1510" t="s">
        <v>16</v>
      </c>
      <c r="R1510" t="s">
        <v>16</v>
      </c>
      <c r="S1510" t="s">
        <v>144</v>
      </c>
      <c r="T1510" s="2">
        <f>MASTER[[#This Row],[CANTIDAD]]*MASTER[[#This Row],[PRECIO DE VENTA]]</f>
        <v>1196</v>
      </c>
      <c r="U1510" s="2">
        <f>MASTER[[#This Row],[CANTIDAD]]*MASTER[[#This Row],[COSTO UNITARIO]]</f>
        <v>397</v>
      </c>
      <c r="V1510" s="2">
        <f>MASTER[[#This Row],[MONTO VENDIDO]]-MASTER[[#This Row],[COSTO DE VENTA]]</f>
        <v>799</v>
      </c>
    </row>
    <row r="1511" spans="1:22" x14ac:dyDescent="0.3">
      <c r="A1511">
        <v>29014</v>
      </c>
      <c r="B1511">
        <v>1</v>
      </c>
      <c r="C1511" t="s">
        <v>107</v>
      </c>
      <c r="D1511" t="s">
        <v>108</v>
      </c>
      <c r="E1511" s="1">
        <v>44011</v>
      </c>
      <c r="F1511">
        <v>1</v>
      </c>
      <c r="G1511" t="s">
        <v>51</v>
      </c>
      <c r="H1511" t="s">
        <v>52</v>
      </c>
      <c r="I1511" s="3">
        <v>1333</v>
      </c>
      <c r="J1511" s="3">
        <v>1333</v>
      </c>
      <c r="K1511" s="3">
        <v>380</v>
      </c>
      <c r="L1511" t="s">
        <v>98</v>
      </c>
      <c r="M1511">
        <v>14</v>
      </c>
      <c r="N1511" t="s">
        <v>87</v>
      </c>
      <c r="O1511" t="s">
        <v>81</v>
      </c>
      <c r="P1511" t="s">
        <v>18</v>
      </c>
      <c r="Q1511" t="s">
        <v>19</v>
      </c>
      <c r="R1511" t="s">
        <v>138</v>
      </c>
      <c r="S1511" t="s">
        <v>144</v>
      </c>
      <c r="T1511" s="2">
        <f>MASTER[[#This Row],[CANTIDAD]]*MASTER[[#This Row],[PRECIO DE VENTA]]</f>
        <v>1333</v>
      </c>
      <c r="U1511" s="2">
        <f>MASTER[[#This Row],[CANTIDAD]]*MASTER[[#This Row],[COSTO UNITARIO]]</f>
        <v>380</v>
      </c>
      <c r="V1511" s="2">
        <f>MASTER[[#This Row],[MONTO VENDIDO]]-MASTER[[#This Row],[COSTO DE VENTA]]</f>
        <v>953</v>
      </c>
    </row>
    <row r="1512" spans="1:22" x14ac:dyDescent="0.3">
      <c r="A1512">
        <v>29050</v>
      </c>
      <c r="B1512">
        <v>1</v>
      </c>
      <c r="C1512" t="s">
        <v>94</v>
      </c>
      <c r="D1512" t="s">
        <v>95</v>
      </c>
      <c r="E1512" s="1">
        <v>44011</v>
      </c>
      <c r="F1512">
        <v>1</v>
      </c>
      <c r="G1512" t="s">
        <v>7</v>
      </c>
      <c r="H1512" t="s">
        <v>8</v>
      </c>
      <c r="I1512" s="3">
        <v>1048</v>
      </c>
      <c r="J1512" s="3">
        <v>1048</v>
      </c>
      <c r="K1512" s="3">
        <v>392</v>
      </c>
      <c r="L1512" t="s">
        <v>9</v>
      </c>
      <c r="M1512">
        <v>8</v>
      </c>
      <c r="N1512" t="s">
        <v>80</v>
      </c>
      <c r="O1512" t="s">
        <v>81</v>
      </c>
      <c r="P1512" t="s">
        <v>12</v>
      </c>
      <c r="Q1512" t="s">
        <v>13</v>
      </c>
      <c r="R1512" t="s">
        <v>13</v>
      </c>
      <c r="S1512" t="s">
        <v>144</v>
      </c>
      <c r="T1512" s="2">
        <f>MASTER[[#This Row],[CANTIDAD]]*MASTER[[#This Row],[PRECIO DE VENTA]]</f>
        <v>1048</v>
      </c>
      <c r="U1512" s="2">
        <f>MASTER[[#This Row],[CANTIDAD]]*MASTER[[#This Row],[COSTO UNITARIO]]</f>
        <v>392</v>
      </c>
      <c r="V1512" s="2">
        <f>MASTER[[#This Row],[MONTO VENDIDO]]-MASTER[[#This Row],[COSTO DE VENTA]]</f>
        <v>656</v>
      </c>
    </row>
    <row r="1513" spans="1:22" x14ac:dyDescent="0.3">
      <c r="A1513">
        <v>29062</v>
      </c>
      <c r="B1513">
        <v>1</v>
      </c>
      <c r="C1513" t="s">
        <v>107</v>
      </c>
      <c r="D1513" t="s">
        <v>108</v>
      </c>
      <c r="E1513" s="1">
        <v>44011</v>
      </c>
      <c r="F1513">
        <v>1</v>
      </c>
      <c r="G1513" t="s">
        <v>24</v>
      </c>
      <c r="H1513" t="s">
        <v>25</v>
      </c>
      <c r="I1513" s="3">
        <v>1240</v>
      </c>
      <c r="J1513" s="3">
        <v>1240</v>
      </c>
      <c r="K1513" s="3">
        <v>380</v>
      </c>
      <c r="L1513" t="s">
        <v>98</v>
      </c>
      <c r="M1513">
        <v>17</v>
      </c>
      <c r="N1513" t="s">
        <v>14</v>
      </c>
      <c r="O1513" t="s">
        <v>11</v>
      </c>
      <c r="P1513" t="s">
        <v>15</v>
      </c>
      <c r="Q1513" t="s">
        <v>16</v>
      </c>
      <c r="R1513" t="s">
        <v>16</v>
      </c>
      <c r="S1513" t="s">
        <v>144</v>
      </c>
      <c r="T1513" s="2">
        <f>MASTER[[#This Row],[CANTIDAD]]*MASTER[[#This Row],[PRECIO DE VENTA]]</f>
        <v>1240</v>
      </c>
      <c r="U1513" s="2">
        <f>MASTER[[#This Row],[CANTIDAD]]*MASTER[[#This Row],[COSTO UNITARIO]]</f>
        <v>380</v>
      </c>
      <c r="V1513" s="2">
        <f>MASTER[[#This Row],[MONTO VENDIDO]]-MASTER[[#This Row],[COSTO DE VENTA]]</f>
        <v>860</v>
      </c>
    </row>
    <row r="1514" spans="1:22" x14ac:dyDescent="0.3">
      <c r="A1514">
        <v>29068</v>
      </c>
      <c r="B1514">
        <v>1</v>
      </c>
      <c r="C1514" t="s">
        <v>121</v>
      </c>
      <c r="D1514" t="s">
        <v>122</v>
      </c>
      <c r="E1514" s="1">
        <v>44011</v>
      </c>
      <c r="F1514">
        <v>1</v>
      </c>
      <c r="G1514" t="s">
        <v>35</v>
      </c>
      <c r="H1514" t="s">
        <v>36</v>
      </c>
      <c r="I1514" s="3">
        <v>1144</v>
      </c>
      <c r="J1514" s="3">
        <v>1144</v>
      </c>
      <c r="K1514" s="3">
        <v>460</v>
      </c>
      <c r="L1514" t="s">
        <v>120</v>
      </c>
      <c r="M1514">
        <v>6</v>
      </c>
      <c r="N1514" t="s">
        <v>75</v>
      </c>
      <c r="O1514" t="s">
        <v>70</v>
      </c>
      <c r="P1514" t="s">
        <v>12</v>
      </c>
      <c r="Q1514" t="s">
        <v>13</v>
      </c>
      <c r="R1514" t="s">
        <v>13</v>
      </c>
      <c r="S1514" t="s">
        <v>144</v>
      </c>
      <c r="T1514" s="2">
        <f>MASTER[[#This Row],[CANTIDAD]]*MASTER[[#This Row],[PRECIO DE VENTA]]</f>
        <v>1144</v>
      </c>
      <c r="U1514" s="2">
        <f>MASTER[[#This Row],[CANTIDAD]]*MASTER[[#This Row],[COSTO UNITARIO]]</f>
        <v>460</v>
      </c>
      <c r="V1514" s="2">
        <f>MASTER[[#This Row],[MONTO VENDIDO]]-MASTER[[#This Row],[COSTO DE VENTA]]</f>
        <v>684</v>
      </c>
    </row>
    <row r="1515" spans="1:22" x14ac:dyDescent="0.3">
      <c r="A1515">
        <v>29073</v>
      </c>
      <c r="B1515">
        <v>1</v>
      </c>
      <c r="C1515" t="s">
        <v>107</v>
      </c>
      <c r="D1515" t="s">
        <v>108</v>
      </c>
      <c r="E1515" s="1">
        <v>44011</v>
      </c>
      <c r="F1515">
        <v>1</v>
      </c>
      <c r="G1515" t="s">
        <v>61</v>
      </c>
      <c r="H1515" t="s">
        <v>62</v>
      </c>
      <c r="I1515" s="3">
        <v>1333</v>
      </c>
      <c r="J1515" s="3">
        <v>1333</v>
      </c>
      <c r="K1515" s="3">
        <v>380</v>
      </c>
      <c r="L1515" t="s">
        <v>98</v>
      </c>
      <c r="M1515">
        <v>2</v>
      </c>
      <c r="N1515" t="s">
        <v>86</v>
      </c>
      <c r="O1515" t="s">
        <v>81</v>
      </c>
      <c r="P1515" t="s">
        <v>71</v>
      </c>
      <c r="Q1515" t="s">
        <v>72</v>
      </c>
      <c r="R1515" t="s">
        <v>139</v>
      </c>
      <c r="S1515" t="s">
        <v>144</v>
      </c>
      <c r="T1515" s="2">
        <f>MASTER[[#This Row],[CANTIDAD]]*MASTER[[#This Row],[PRECIO DE VENTA]]</f>
        <v>1333</v>
      </c>
      <c r="U1515" s="2">
        <f>MASTER[[#This Row],[CANTIDAD]]*MASTER[[#This Row],[COSTO UNITARIO]]</f>
        <v>380</v>
      </c>
      <c r="V1515" s="2">
        <f>MASTER[[#This Row],[MONTO VENDIDO]]-MASTER[[#This Row],[COSTO DE VENTA]]</f>
        <v>953</v>
      </c>
    </row>
    <row r="1516" spans="1:22" x14ac:dyDescent="0.3">
      <c r="A1516">
        <v>29084</v>
      </c>
      <c r="B1516">
        <v>1</v>
      </c>
      <c r="C1516" t="s">
        <v>121</v>
      </c>
      <c r="D1516" t="s">
        <v>122</v>
      </c>
      <c r="E1516" s="1">
        <v>44011</v>
      </c>
      <c r="F1516">
        <v>1</v>
      </c>
      <c r="G1516" t="s">
        <v>53</v>
      </c>
      <c r="H1516" t="s">
        <v>54</v>
      </c>
      <c r="I1516" s="3">
        <v>1069</v>
      </c>
      <c r="J1516" s="3">
        <v>1069</v>
      </c>
      <c r="K1516" s="3">
        <v>460</v>
      </c>
      <c r="L1516" t="s">
        <v>120</v>
      </c>
      <c r="M1516">
        <v>10</v>
      </c>
      <c r="N1516" t="s">
        <v>83</v>
      </c>
      <c r="O1516" t="s">
        <v>81</v>
      </c>
      <c r="P1516" t="s">
        <v>12</v>
      </c>
      <c r="Q1516" t="s">
        <v>13</v>
      </c>
      <c r="R1516" t="s">
        <v>13</v>
      </c>
      <c r="S1516" t="s">
        <v>144</v>
      </c>
      <c r="T1516" s="2">
        <f>MASTER[[#This Row],[CANTIDAD]]*MASTER[[#This Row],[PRECIO DE VENTA]]</f>
        <v>1069</v>
      </c>
      <c r="U1516" s="2">
        <f>MASTER[[#This Row],[CANTIDAD]]*MASTER[[#This Row],[COSTO UNITARIO]]</f>
        <v>460</v>
      </c>
      <c r="V1516" s="2">
        <f>MASTER[[#This Row],[MONTO VENDIDO]]-MASTER[[#This Row],[COSTO DE VENTA]]</f>
        <v>609</v>
      </c>
    </row>
    <row r="1517" spans="1:22" x14ac:dyDescent="0.3">
      <c r="A1517">
        <v>29110</v>
      </c>
      <c r="B1517">
        <v>1</v>
      </c>
      <c r="C1517" t="s">
        <v>105</v>
      </c>
      <c r="D1517" t="s">
        <v>106</v>
      </c>
      <c r="E1517" s="1">
        <v>44011</v>
      </c>
      <c r="F1517">
        <v>1</v>
      </c>
      <c r="G1517" t="s">
        <v>51</v>
      </c>
      <c r="H1517" t="s">
        <v>52</v>
      </c>
      <c r="I1517" s="3">
        <v>1585</v>
      </c>
      <c r="J1517" s="3">
        <v>1585</v>
      </c>
      <c r="K1517" s="3">
        <v>459</v>
      </c>
      <c r="L1517" t="s">
        <v>98</v>
      </c>
      <c r="M1517">
        <v>11</v>
      </c>
      <c r="N1517" t="s">
        <v>10</v>
      </c>
      <c r="O1517" t="s">
        <v>11</v>
      </c>
      <c r="P1517" t="s">
        <v>12</v>
      </c>
      <c r="Q1517" t="s">
        <v>13</v>
      </c>
      <c r="R1517" t="s">
        <v>13</v>
      </c>
      <c r="S1517" t="s">
        <v>144</v>
      </c>
      <c r="T1517" s="2">
        <f>MASTER[[#This Row],[CANTIDAD]]*MASTER[[#This Row],[PRECIO DE VENTA]]</f>
        <v>1585</v>
      </c>
      <c r="U1517" s="2">
        <f>MASTER[[#This Row],[CANTIDAD]]*MASTER[[#This Row],[COSTO UNITARIO]]</f>
        <v>459</v>
      </c>
      <c r="V1517" s="2">
        <f>MASTER[[#This Row],[MONTO VENDIDO]]-MASTER[[#This Row],[COSTO DE VENTA]]</f>
        <v>1126</v>
      </c>
    </row>
    <row r="1518" spans="1:22" x14ac:dyDescent="0.3">
      <c r="A1518">
        <v>29133</v>
      </c>
      <c r="B1518">
        <v>1</v>
      </c>
      <c r="C1518" t="s">
        <v>99</v>
      </c>
      <c r="D1518" t="s">
        <v>100</v>
      </c>
      <c r="E1518" s="1">
        <v>44012</v>
      </c>
      <c r="F1518">
        <v>1</v>
      </c>
      <c r="G1518" t="s">
        <v>65</v>
      </c>
      <c r="H1518" t="s">
        <v>66</v>
      </c>
      <c r="I1518" s="3">
        <v>1459</v>
      </c>
      <c r="J1518" s="3">
        <v>1459</v>
      </c>
      <c r="K1518" s="3">
        <v>386</v>
      </c>
      <c r="L1518" t="s">
        <v>98</v>
      </c>
      <c r="M1518">
        <v>2</v>
      </c>
      <c r="N1518" t="s">
        <v>86</v>
      </c>
      <c r="O1518" t="s">
        <v>81</v>
      </c>
      <c r="P1518" t="s">
        <v>71</v>
      </c>
      <c r="Q1518" t="s">
        <v>72</v>
      </c>
      <c r="R1518" t="s">
        <v>139</v>
      </c>
      <c r="S1518" t="s">
        <v>144</v>
      </c>
      <c r="T1518" s="2">
        <f>MASTER[[#This Row],[CANTIDAD]]*MASTER[[#This Row],[PRECIO DE VENTA]]</f>
        <v>1459</v>
      </c>
      <c r="U1518" s="2">
        <f>MASTER[[#This Row],[CANTIDAD]]*MASTER[[#This Row],[COSTO UNITARIO]]</f>
        <v>386</v>
      </c>
      <c r="V1518" s="2">
        <f>MASTER[[#This Row],[MONTO VENDIDO]]-MASTER[[#This Row],[COSTO DE VENTA]]</f>
        <v>1073</v>
      </c>
    </row>
    <row r="1519" spans="1:22" x14ac:dyDescent="0.3">
      <c r="A1519">
        <v>29146</v>
      </c>
      <c r="B1519">
        <v>1</v>
      </c>
      <c r="C1519" t="s">
        <v>94</v>
      </c>
      <c r="D1519" t="s">
        <v>95</v>
      </c>
      <c r="E1519" s="1">
        <v>44012</v>
      </c>
      <c r="F1519">
        <v>4</v>
      </c>
      <c r="G1519" t="s">
        <v>73</v>
      </c>
      <c r="H1519" t="s">
        <v>74</v>
      </c>
      <c r="I1519" s="3">
        <v>1048</v>
      </c>
      <c r="J1519" s="3">
        <v>1048</v>
      </c>
      <c r="K1519" s="3">
        <v>392</v>
      </c>
      <c r="L1519" t="s">
        <v>9</v>
      </c>
      <c r="M1519">
        <v>8</v>
      </c>
      <c r="N1519" t="s">
        <v>80</v>
      </c>
      <c r="O1519" t="s">
        <v>81</v>
      </c>
      <c r="P1519" t="s">
        <v>12</v>
      </c>
      <c r="Q1519" t="s">
        <v>13</v>
      </c>
      <c r="R1519" t="s">
        <v>13</v>
      </c>
      <c r="S1519" t="s">
        <v>144</v>
      </c>
      <c r="T1519" s="2">
        <f>MASTER[[#This Row],[CANTIDAD]]*MASTER[[#This Row],[PRECIO DE VENTA]]</f>
        <v>4192</v>
      </c>
      <c r="U1519" s="2">
        <f>MASTER[[#This Row],[CANTIDAD]]*MASTER[[#This Row],[COSTO UNITARIO]]</f>
        <v>1568</v>
      </c>
      <c r="V1519" s="2">
        <f>MASTER[[#This Row],[MONTO VENDIDO]]-MASTER[[#This Row],[COSTO DE VENTA]]</f>
        <v>2624</v>
      </c>
    </row>
    <row r="1520" spans="1:22" x14ac:dyDescent="0.3">
      <c r="A1520">
        <v>29155</v>
      </c>
      <c r="B1520">
        <v>1</v>
      </c>
      <c r="C1520" t="s">
        <v>109</v>
      </c>
      <c r="D1520" t="s">
        <v>110</v>
      </c>
      <c r="E1520" s="1">
        <v>44012</v>
      </c>
      <c r="F1520">
        <v>1</v>
      </c>
      <c r="G1520" t="s">
        <v>73</v>
      </c>
      <c r="H1520" t="s">
        <v>74</v>
      </c>
      <c r="I1520" s="3">
        <v>947</v>
      </c>
      <c r="J1520" s="3">
        <v>947</v>
      </c>
      <c r="K1520" s="3">
        <v>387</v>
      </c>
      <c r="L1520" t="s">
        <v>98</v>
      </c>
      <c r="M1520">
        <v>12</v>
      </c>
      <c r="N1520" t="s">
        <v>26</v>
      </c>
      <c r="O1520" t="s">
        <v>11</v>
      </c>
      <c r="P1520" t="s">
        <v>12</v>
      </c>
      <c r="Q1520" t="s">
        <v>13</v>
      </c>
      <c r="R1520" t="s">
        <v>13</v>
      </c>
      <c r="S1520" t="s">
        <v>144</v>
      </c>
      <c r="T1520" s="2">
        <f>MASTER[[#This Row],[CANTIDAD]]*MASTER[[#This Row],[PRECIO DE VENTA]]</f>
        <v>947</v>
      </c>
      <c r="U1520" s="2">
        <f>MASTER[[#This Row],[CANTIDAD]]*MASTER[[#This Row],[COSTO UNITARIO]]</f>
        <v>387</v>
      </c>
      <c r="V1520" s="2">
        <f>MASTER[[#This Row],[MONTO VENDIDO]]-MASTER[[#This Row],[COSTO DE VENTA]]</f>
        <v>560</v>
      </c>
    </row>
    <row r="1521" spans="1:22" x14ac:dyDescent="0.3">
      <c r="A1521">
        <v>29163</v>
      </c>
      <c r="B1521">
        <v>1</v>
      </c>
      <c r="C1521" t="s">
        <v>114</v>
      </c>
      <c r="D1521" t="s">
        <v>115</v>
      </c>
      <c r="E1521" s="1">
        <v>44012</v>
      </c>
      <c r="F1521">
        <v>1</v>
      </c>
      <c r="G1521" t="s">
        <v>55</v>
      </c>
      <c r="H1521" t="s">
        <v>56</v>
      </c>
      <c r="I1521" s="3">
        <v>1862</v>
      </c>
      <c r="J1521" s="3">
        <v>1862</v>
      </c>
      <c r="K1521" s="3">
        <v>394</v>
      </c>
      <c r="L1521" t="s">
        <v>113</v>
      </c>
      <c r="M1521">
        <v>5</v>
      </c>
      <c r="N1521" t="s">
        <v>85</v>
      </c>
      <c r="O1521" t="s">
        <v>81</v>
      </c>
      <c r="P1521" t="s">
        <v>12</v>
      </c>
      <c r="Q1521" t="s">
        <v>13</v>
      </c>
      <c r="R1521" t="s">
        <v>13</v>
      </c>
      <c r="S1521" t="s">
        <v>144</v>
      </c>
      <c r="T1521" s="2">
        <f>MASTER[[#This Row],[CANTIDAD]]*MASTER[[#This Row],[PRECIO DE VENTA]]</f>
        <v>1862</v>
      </c>
      <c r="U1521" s="2">
        <f>MASTER[[#This Row],[CANTIDAD]]*MASTER[[#This Row],[COSTO UNITARIO]]</f>
        <v>394</v>
      </c>
      <c r="V1521" s="2">
        <f>MASTER[[#This Row],[MONTO VENDIDO]]-MASTER[[#This Row],[COSTO DE VENTA]]</f>
        <v>1468</v>
      </c>
    </row>
    <row r="1522" spans="1:22" x14ac:dyDescent="0.3">
      <c r="A1522">
        <v>29165</v>
      </c>
      <c r="B1522">
        <v>1</v>
      </c>
      <c r="C1522" t="s">
        <v>121</v>
      </c>
      <c r="D1522" t="s">
        <v>122</v>
      </c>
      <c r="E1522" s="1">
        <v>44012</v>
      </c>
      <c r="F1522">
        <v>4</v>
      </c>
      <c r="G1522" t="s">
        <v>27</v>
      </c>
      <c r="H1522" t="s">
        <v>28</v>
      </c>
      <c r="I1522" s="3">
        <v>1069</v>
      </c>
      <c r="J1522" s="3">
        <v>1069</v>
      </c>
      <c r="K1522" s="3">
        <v>460</v>
      </c>
      <c r="L1522" t="s">
        <v>120</v>
      </c>
      <c r="M1522">
        <v>2</v>
      </c>
      <c r="N1522" t="s">
        <v>86</v>
      </c>
      <c r="O1522" t="s">
        <v>81</v>
      </c>
      <c r="P1522" t="s">
        <v>71</v>
      </c>
      <c r="Q1522" t="s">
        <v>72</v>
      </c>
      <c r="R1522" t="s">
        <v>139</v>
      </c>
      <c r="S1522" t="s">
        <v>144</v>
      </c>
      <c r="T1522" s="2">
        <f>MASTER[[#This Row],[CANTIDAD]]*MASTER[[#This Row],[PRECIO DE VENTA]]</f>
        <v>4276</v>
      </c>
      <c r="U1522" s="2">
        <f>MASTER[[#This Row],[CANTIDAD]]*MASTER[[#This Row],[COSTO UNITARIO]]</f>
        <v>1840</v>
      </c>
      <c r="V1522" s="2">
        <f>MASTER[[#This Row],[MONTO VENDIDO]]-MASTER[[#This Row],[COSTO DE VENTA]]</f>
        <v>2436</v>
      </c>
    </row>
    <row r="1523" spans="1:22" x14ac:dyDescent="0.3">
      <c r="A1523">
        <v>29191</v>
      </c>
      <c r="B1523">
        <v>1</v>
      </c>
      <c r="C1523" t="s">
        <v>90</v>
      </c>
      <c r="D1523" t="s">
        <v>91</v>
      </c>
      <c r="E1523" s="1">
        <v>44012</v>
      </c>
      <c r="F1523">
        <v>1</v>
      </c>
      <c r="G1523" t="s">
        <v>73</v>
      </c>
      <c r="H1523" t="s">
        <v>74</v>
      </c>
      <c r="I1523" s="3">
        <v>1660</v>
      </c>
      <c r="J1523" s="3">
        <v>1660</v>
      </c>
      <c r="K1523" s="3">
        <v>420</v>
      </c>
      <c r="L1523" t="s">
        <v>9</v>
      </c>
      <c r="M1523">
        <v>16</v>
      </c>
      <c r="N1523" t="s">
        <v>17</v>
      </c>
      <c r="O1523" t="s">
        <v>11</v>
      </c>
      <c r="P1523" t="s">
        <v>18</v>
      </c>
      <c r="Q1523" t="s">
        <v>19</v>
      </c>
      <c r="R1523" t="s">
        <v>138</v>
      </c>
      <c r="S1523" t="s">
        <v>144</v>
      </c>
      <c r="T1523" s="2">
        <f>MASTER[[#This Row],[CANTIDAD]]*MASTER[[#This Row],[PRECIO DE VENTA]]</f>
        <v>1660</v>
      </c>
      <c r="U1523" s="2">
        <f>MASTER[[#This Row],[CANTIDAD]]*MASTER[[#This Row],[COSTO UNITARIO]]</f>
        <v>420</v>
      </c>
      <c r="V1523" s="2">
        <f>MASTER[[#This Row],[MONTO VENDIDO]]-MASTER[[#This Row],[COSTO DE VENTA]]</f>
        <v>1240</v>
      </c>
    </row>
    <row r="1524" spans="1:22" x14ac:dyDescent="0.3">
      <c r="A1524">
        <v>29192</v>
      </c>
      <c r="B1524">
        <v>1</v>
      </c>
      <c r="C1524" t="s">
        <v>5</v>
      </c>
      <c r="D1524" t="s">
        <v>6</v>
      </c>
      <c r="E1524" s="1">
        <v>44012</v>
      </c>
      <c r="F1524">
        <v>1</v>
      </c>
      <c r="G1524" t="s">
        <v>24</v>
      </c>
      <c r="H1524" t="s">
        <v>25</v>
      </c>
      <c r="I1524" s="3">
        <v>1507</v>
      </c>
      <c r="J1524" s="3">
        <v>1507</v>
      </c>
      <c r="K1524" s="3">
        <v>393</v>
      </c>
      <c r="L1524" t="s">
        <v>9</v>
      </c>
      <c r="M1524">
        <v>2</v>
      </c>
      <c r="N1524" t="s">
        <v>86</v>
      </c>
      <c r="O1524" t="s">
        <v>81</v>
      </c>
      <c r="P1524" t="s">
        <v>71</v>
      </c>
      <c r="Q1524" t="s">
        <v>72</v>
      </c>
      <c r="R1524" t="s">
        <v>139</v>
      </c>
      <c r="S1524" t="s">
        <v>144</v>
      </c>
      <c r="T1524" s="2">
        <f>MASTER[[#This Row],[CANTIDAD]]*MASTER[[#This Row],[PRECIO DE VENTA]]</f>
        <v>1507</v>
      </c>
      <c r="U1524" s="2">
        <f>MASTER[[#This Row],[CANTIDAD]]*MASTER[[#This Row],[COSTO UNITARIO]]</f>
        <v>393</v>
      </c>
      <c r="V1524" s="2">
        <f>MASTER[[#This Row],[MONTO VENDIDO]]-MASTER[[#This Row],[COSTO DE VENTA]]</f>
        <v>1114</v>
      </c>
    </row>
    <row r="1525" spans="1:22" x14ac:dyDescent="0.3">
      <c r="A1525">
        <v>29206</v>
      </c>
      <c r="B1525">
        <v>1</v>
      </c>
      <c r="C1525" t="s">
        <v>103</v>
      </c>
      <c r="D1525" t="s">
        <v>104</v>
      </c>
      <c r="E1525" s="1">
        <v>44012</v>
      </c>
      <c r="F1525">
        <v>1</v>
      </c>
      <c r="G1525" t="s">
        <v>65</v>
      </c>
      <c r="H1525" t="s">
        <v>66</v>
      </c>
      <c r="I1525" s="3">
        <v>1448</v>
      </c>
      <c r="J1525" s="3">
        <v>1448</v>
      </c>
      <c r="K1525" s="3">
        <v>421</v>
      </c>
      <c r="L1525" t="s">
        <v>98</v>
      </c>
      <c r="M1525">
        <v>16</v>
      </c>
      <c r="N1525" t="s">
        <v>17</v>
      </c>
      <c r="O1525" t="s">
        <v>11</v>
      </c>
      <c r="P1525" t="s">
        <v>18</v>
      </c>
      <c r="Q1525" t="s">
        <v>19</v>
      </c>
      <c r="R1525" t="s">
        <v>138</v>
      </c>
      <c r="S1525" t="s">
        <v>144</v>
      </c>
      <c r="T1525" s="2">
        <f>MASTER[[#This Row],[CANTIDAD]]*MASTER[[#This Row],[PRECIO DE VENTA]]</f>
        <v>1448</v>
      </c>
      <c r="U1525" s="2">
        <f>MASTER[[#This Row],[CANTIDAD]]*MASTER[[#This Row],[COSTO UNITARIO]]</f>
        <v>421</v>
      </c>
      <c r="V1525" s="2">
        <f>MASTER[[#This Row],[MONTO VENDIDO]]-MASTER[[#This Row],[COSTO DE VENTA]]</f>
        <v>1027</v>
      </c>
    </row>
    <row r="1526" spans="1:22" x14ac:dyDescent="0.3">
      <c r="A1526">
        <v>29222</v>
      </c>
      <c r="B1526">
        <v>1</v>
      </c>
      <c r="C1526" t="s">
        <v>5</v>
      </c>
      <c r="D1526" t="s">
        <v>6</v>
      </c>
      <c r="E1526" s="1">
        <v>44012</v>
      </c>
      <c r="F1526">
        <v>1</v>
      </c>
      <c r="G1526" t="s">
        <v>39</v>
      </c>
      <c r="H1526" t="s">
        <v>40</v>
      </c>
      <c r="I1526" s="3">
        <v>1507</v>
      </c>
      <c r="J1526" s="3">
        <v>1507</v>
      </c>
      <c r="K1526" s="3">
        <v>393</v>
      </c>
      <c r="L1526" t="s">
        <v>9</v>
      </c>
      <c r="M1526">
        <v>8</v>
      </c>
      <c r="N1526" t="s">
        <v>80</v>
      </c>
      <c r="O1526" t="s">
        <v>81</v>
      </c>
      <c r="P1526" t="s">
        <v>12</v>
      </c>
      <c r="Q1526" t="s">
        <v>13</v>
      </c>
      <c r="R1526" t="s">
        <v>13</v>
      </c>
      <c r="S1526" t="s">
        <v>144</v>
      </c>
      <c r="T1526" s="2">
        <f>MASTER[[#This Row],[CANTIDAD]]*MASTER[[#This Row],[PRECIO DE VENTA]]</f>
        <v>1507</v>
      </c>
      <c r="U1526" s="2">
        <f>MASTER[[#This Row],[CANTIDAD]]*MASTER[[#This Row],[COSTO UNITARIO]]</f>
        <v>393</v>
      </c>
      <c r="V1526" s="2">
        <f>MASTER[[#This Row],[MONTO VENDIDO]]-MASTER[[#This Row],[COSTO DE VENTA]]</f>
        <v>1114</v>
      </c>
    </row>
    <row r="1527" spans="1:22" x14ac:dyDescent="0.3">
      <c r="A1527">
        <v>29236</v>
      </c>
      <c r="B1527">
        <v>1</v>
      </c>
      <c r="C1527" t="s">
        <v>103</v>
      </c>
      <c r="D1527" t="s">
        <v>104</v>
      </c>
      <c r="E1527" s="1">
        <v>44013</v>
      </c>
      <c r="F1527">
        <v>1</v>
      </c>
      <c r="G1527" t="s">
        <v>59</v>
      </c>
      <c r="H1527" t="s">
        <v>60</v>
      </c>
      <c r="I1527" s="3">
        <v>1830</v>
      </c>
      <c r="J1527" s="3">
        <v>1830</v>
      </c>
      <c r="K1527" s="3">
        <v>421</v>
      </c>
      <c r="L1527" t="s">
        <v>98</v>
      </c>
      <c r="M1527">
        <v>13</v>
      </c>
      <c r="N1527" t="s">
        <v>78</v>
      </c>
      <c r="O1527" t="s">
        <v>70</v>
      </c>
      <c r="P1527" t="s">
        <v>18</v>
      </c>
      <c r="Q1527" t="s">
        <v>19</v>
      </c>
      <c r="R1527" t="s">
        <v>138</v>
      </c>
      <c r="S1527" t="s">
        <v>144</v>
      </c>
      <c r="T1527" s="2">
        <f>MASTER[[#This Row],[CANTIDAD]]*MASTER[[#This Row],[PRECIO DE VENTA]]</f>
        <v>1830</v>
      </c>
      <c r="U1527" s="2">
        <f>MASTER[[#This Row],[CANTIDAD]]*MASTER[[#This Row],[COSTO UNITARIO]]</f>
        <v>421</v>
      </c>
      <c r="V1527" s="2">
        <f>MASTER[[#This Row],[MONTO VENDIDO]]-MASTER[[#This Row],[COSTO DE VENTA]]</f>
        <v>1409</v>
      </c>
    </row>
    <row r="1528" spans="1:22" x14ac:dyDescent="0.3">
      <c r="A1528">
        <v>29256</v>
      </c>
      <c r="B1528">
        <v>1</v>
      </c>
      <c r="C1528" t="s">
        <v>116</v>
      </c>
      <c r="D1528" t="s">
        <v>117</v>
      </c>
      <c r="E1528" s="1">
        <v>44013</v>
      </c>
      <c r="F1528">
        <v>1</v>
      </c>
      <c r="G1528" t="s">
        <v>55</v>
      </c>
      <c r="H1528" t="s">
        <v>56</v>
      </c>
      <c r="I1528" s="3">
        <v>1738</v>
      </c>
      <c r="J1528" s="3">
        <v>1738</v>
      </c>
      <c r="K1528" s="3">
        <v>388</v>
      </c>
      <c r="L1528" t="s">
        <v>113</v>
      </c>
      <c r="M1528">
        <v>14</v>
      </c>
      <c r="N1528" t="s">
        <v>87</v>
      </c>
      <c r="O1528" t="s">
        <v>81</v>
      </c>
      <c r="P1528" t="s">
        <v>18</v>
      </c>
      <c r="Q1528" t="s">
        <v>19</v>
      </c>
      <c r="R1528" t="s">
        <v>138</v>
      </c>
      <c r="S1528" t="s">
        <v>144</v>
      </c>
      <c r="T1528" s="2">
        <f>MASTER[[#This Row],[CANTIDAD]]*MASTER[[#This Row],[PRECIO DE VENTA]]</f>
        <v>1738</v>
      </c>
      <c r="U1528" s="2">
        <f>MASTER[[#This Row],[CANTIDAD]]*MASTER[[#This Row],[COSTO UNITARIO]]</f>
        <v>388</v>
      </c>
      <c r="V1528" s="2">
        <f>MASTER[[#This Row],[MONTO VENDIDO]]-MASTER[[#This Row],[COSTO DE VENTA]]</f>
        <v>1350</v>
      </c>
    </row>
    <row r="1529" spans="1:22" x14ac:dyDescent="0.3">
      <c r="A1529">
        <v>29258</v>
      </c>
      <c r="B1529">
        <v>1</v>
      </c>
      <c r="C1529" t="s">
        <v>107</v>
      </c>
      <c r="D1529" t="s">
        <v>108</v>
      </c>
      <c r="E1529" s="1">
        <v>44013</v>
      </c>
      <c r="F1529">
        <v>4</v>
      </c>
      <c r="G1529" t="s">
        <v>24</v>
      </c>
      <c r="H1529" t="s">
        <v>25</v>
      </c>
      <c r="I1529" s="3">
        <v>1440</v>
      </c>
      <c r="J1529" s="3">
        <v>1440</v>
      </c>
      <c r="K1529" s="3">
        <v>380</v>
      </c>
      <c r="L1529" t="s">
        <v>98</v>
      </c>
      <c r="M1529">
        <v>3</v>
      </c>
      <c r="N1529" t="s">
        <v>69</v>
      </c>
      <c r="O1529" t="s">
        <v>70</v>
      </c>
      <c r="P1529" t="s">
        <v>71</v>
      </c>
      <c r="Q1529" t="s">
        <v>72</v>
      </c>
      <c r="R1529" t="s">
        <v>139</v>
      </c>
      <c r="S1529" t="s">
        <v>144</v>
      </c>
      <c r="T1529" s="2">
        <f>MASTER[[#This Row],[CANTIDAD]]*MASTER[[#This Row],[PRECIO DE VENTA]]</f>
        <v>5760</v>
      </c>
      <c r="U1529" s="2">
        <f>MASTER[[#This Row],[CANTIDAD]]*MASTER[[#This Row],[COSTO UNITARIO]]</f>
        <v>1520</v>
      </c>
      <c r="V1529" s="2">
        <f>MASTER[[#This Row],[MONTO VENDIDO]]-MASTER[[#This Row],[COSTO DE VENTA]]</f>
        <v>4240</v>
      </c>
    </row>
    <row r="1530" spans="1:22" x14ac:dyDescent="0.3">
      <c r="A1530">
        <v>29285</v>
      </c>
      <c r="B1530">
        <v>1</v>
      </c>
      <c r="C1530" t="s">
        <v>114</v>
      </c>
      <c r="D1530" t="s">
        <v>115</v>
      </c>
      <c r="E1530" s="1">
        <v>44013</v>
      </c>
      <c r="F1530">
        <v>1</v>
      </c>
      <c r="G1530" t="s">
        <v>31</v>
      </c>
      <c r="H1530" t="s">
        <v>32</v>
      </c>
      <c r="I1530" s="3">
        <v>1862</v>
      </c>
      <c r="J1530" s="3">
        <v>1862</v>
      </c>
      <c r="K1530" s="3">
        <v>394</v>
      </c>
      <c r="L1530" t="s">
        <v>113</v>
      </c>
      <c r="M1530">
        <v>7</v>
      </c>
      <c r="N1530" t="s">
        <v>84</v>
      </c>
      <c r="O1530" t="s">
        <v>81</v>
      </c>
      <c r="P1530" t="s">
        <v>12</v>
      </c>
      <c r="Q1530" t="s">
        <v>13</v>
      </c>
      <c r="R1530" t="s">
        <v>13</v>
      </c>
      <c r="S1530" t="s">
        <v>144</v>
      </c>
      <c r="T1530" s="2">
        <f>MASTER[[#This Row],[CANTIDAD]]*MASTER[[#This Row],[PRECIO DE VENTA]]</f>
        <v>1862</v>
      </c>
      <c r="U1530" s="2">
        <f>MASTER[[#This Row],[CANTIDAD]]*MASTER[[#This Row],[COSTO UNITARIO]]</f>
        <v>394</v>
      </c>
      <c r="V1530" s="2">
        <f>MASTER[[#This Row],[MONTO VENDIDO]]-MASTER[[#This Row],[COSTO DE VENTA]]</f>
        <v>1468</v>
      </c>
    </row>
    <row r="1531" spans="1:22" x14ac:dyDescent="0.3">
      <c r="A1531">
        <v>29289</v>
      </c>
      <c r="B1531">
        <v>1</v>
      </c>
      <c r="C1531" t="s">
        <v>111</v>
      </c>
      <c r="D1531" t="s">
        <v>112</v>
      </c>
      <c r="E1531" s="1">
        <v>44014</v>
      </c>
      <c r="F1531">
        <v>1</v>
      </c>
      <c r="G1531" t="s">
        <v>73</v>
      </c>
      <c r="H1531" t="s">
        <v>74</v>
      </c>
      <c r="I1531" s="3">
        <v>1524</v>
      </c>
      <c r="J1531" s="3">
        <v>1524</v>
      </c>
      <c r="K1531" s="3">
        <v>434</v>
      </c>
      <c r="L1531" t="s">
        <v>113</v>
      </c>
      <c r="M1531">
        <v>16</v>
      </c>
      <c r="N1531" t="s">
        <v>17</v>
      </c>
      <c r="O1531" t="s">
        <v>11</v>
      </c>
      <c r="P1531" t="s">
        <v>18</v>
      </c>
      <c r="Q1531" t="s">
        <v>19</v>
      </c>
      <c r="R1531" t="s">
        <v>138</v>
      </c>
      <c r="S1531" t="s">
        <v>144</v>
      </c>
      <c r="T1531" s="2">
        <f>MASTER[[#This Row],[CANTIDAD]]*MASTER[[#This Row],[PRECIO DE VENTA]]</f>
        <v>1524</v>
      </c>
      <c r="U1531" s="2">
        <f>MASTER[[#This Row],[CANTIDAD]]*MASTER[[#This Row],[COSTO UNITARIO]]</f>
        <v>434</v>
      </c>
      <c r="V1531" s="2">
        <f>MASTER[[#This Row],[MONTO VENDIDO]]-MASTER[[#This Row],[COSTO DE VENTA]]</f>
        <v>1090</v>
      </c>
    </row>
    <row r="1532" spans="1:22" x14ac:dyDescent="0.3">
      <c r="A1532">
        <v>29295</v>
      </c>
      <c r="B1532">
        <v>1</v>
      </c>
      <c r="C1532" t="s">
        <v>94</v>
      </c>
      <c r="D1532" t="s">
        <v>95</v>
      </c>
      <c r="E1532" s="1">
        <v>44014</v>
      </c>
      <c r="F1532">
        <v>1</v>
      </c>
      <c r="G1532" t="s">
        <v>24</v>
      </c>
      <c r="H1532" t="s">
        <v>25</v>
      </c>
      <c r="I1532" s="3">
        <v>1048</v>
      </c>
      <c r="J1532" s="3">
        <v>1048</v>
      </c>
      <c r="K1532" s="3">
        <v>392</v>
      </c>
      <c r="L1532" t="s">
        <v>9</v>
      </c>
      <c r="M1532">
        <v>10</v>
      </c>
      <c r="N1532" t="s">
        <v>83</v>
      </c>
      <c r="O1532" t="s">
        <v>81</v>
      </c>
      <c r="P1532" t="s">
        <v>12</v>
      </c>
      <c r="Q1532" t="s">
        <v>13</v>
      </c>
      <c r="R1532" t="s">
        <v>13</v>
      </c>
      <c r="S1532" t="s">
        <v>144</v>
      </c>
      <c r="T1532" s="2">
        <f>MASTER[[#This Row],[CANTIDAD]]*MASTER[[#This Row],[PRECIO DE VENTA]]</f>
        <v>1048</v>
      </c>
      <c r="U1532" s="2">
        <f>MASTER[[#This Row],[CANTIDAD]]*MASTER[[#This Row],[COSTO UNITARIO]]</f>
        <v>392</v>
      </c>
      <c r="V1532" s="2">
        <f>MASTER[[#This Row],[MONTO VENDIDO]]-MASTER[[#This Row],[COSTO DE VENTA]]</f>
        <v>656</v>
      </c>
    </row>
    <row r="1533" spans="1:22" x14ac:dyDescent="0.3">
      <c r="A1533">
        <v>29298</v>
      </c>
      <c r="B1533">
        <v>1</v>
      </c>
      <c r="C1533" t="s">
        <v>105</v>
      </c>
      <c r="D1533" t="s">
        <v>106</v>
      </c>
      <c r="E1533" s="1">
        <v>44014</v>
      </c>
      <c r="F1533">
        <v>1</v>
      </c>
      <c r="G1533" t="s">
        <v>22</v>
      </c>
      <c r="H1533" t="s">
        <v>23</v>
      </c>
      <c r="I1533" s="3">
        <v>1865</v>
      </c>
      <c r="J1533" s="3">
        <v>1865</v>
      </c>
      <c r="K1533" s="3">
        <v>459</v>
      </c>
      <c r="L1533" t="s">
        <v>98</v>
      </c>
      <c r="M1533">
        <v>4</v>
      </c>
      <c r="N1533" t="s">
        <v>82</v>
      </c>
      <c r="O1533" t="s">
        <v>81</v>
      </c>
      <c r="P1533" t="s">
        <v>71</v>
      </c>
      <c r="Q1533" t="s">
        <v>72</v>
      </c>
      <c r="R1533" t="s">
        <v>139</v>
      </c>
      <c r="S1533" t="s">
        <v>144</v>
      </c>
      <c r="T1533" s="2">
        <f>MASTER[[#This Row],[CANTIDAD]]*MASTER[[#This Row],[PRECIO DE VENTA]]</f>
        <v>1865</v>
      </c>
      <c r="U1533" s="2">
        <f>MASTER[[#This Row],[CANTIDAD]]*MASTER[[#This Row],[COSTO UNITARIO]]</f>
        <v>459</v>
      </c>
      <c r="V1533" s="2">
        <f>MASTER[[#This Row],[MONTO VENDIDO]]-MASTER[[#This Row],[COSTO DE VENTA]]</f>
        <v>1406</v>
      </c>
    </row>
    <row r="1534" spans="1:22" x14ac:dyDescent="0.3">
      <c r="A1534">
        <v>29304</v>
      </c>
      <c r="B1534">
        <v>1</v>
      </c>
      <c r="C1534" t="s">
        <v>111</v>
      </c>
      <c r="D1534" t="s">
        <v>112</v>
      </c>
      <c r="E1534" s="1">
        <v>44014</v>
      </c>
      <c r="F1534">
        <v>1</v>
      </c>
      <c r="G1534" t="s">
        <v>24</v>
      </c>
      <c r="H1534" t="s">
        <v>25</v>
      </c>
      <c r="I1534" s="3">
        <v>1621</v>
      </c>
      <c r="J1534" s="3">
        <v>1621</v>
      </c>
      <c r="K1534" s="3">
        <v>434</v>
      </c>
      <c r="L1534" t="s">
        <v>113</v>
      </c>
      <c r="M1534">
        <v>14</v>
      </c>
      <c r="N1534" t="s">
        <v>87</v>
      </c>
      <c r="O1534" t="s">
        <v>81</v>
      </c>
      <c r="P1534" t="s">
        <v>18</v>
      </c>
      <c r="Q1534" t="s">
        <v>19</v>
      </c>
      <c r="R1534" t="s">
        <v>138</v>
      </c>
      <c r="S1534" t="s">
        <v>144</v>
      </c>
      <c r="T1534" s="2">
        <f>MASTER[[#This Row],[CANTIDAD]]*MASTER[[#This Row],[PRECIO DE VENTA]]</f>
        <v>1621</v>
      </c>
      <c r="U1534" s="2">
        <f>MASTER[[#This Row],[CANTIDAD]]*MASTER[[#This Row],[COSTO UNITARIO]]</f>
        <v>434</v>
      </c>
      <c r="V1534" s="2">
        <f>MASTER[[#This Row],[MONTO VENDIDO]]-MASTER[[#This Row],[COSTO DE VENTA]]</f>
        <v>1187</v>
      </c>
    </row>
    <row r="1535" spans="1:22" x14ac:dyDescent="0.3">
      <c r="A1535">
        <v>29313</v>
      </c>
      <c r="B1535">
        <v>1</v>
      </c>
      <c r="C1535" t="s">
        <v>96</v>
      </c>
      <c r="D1535" t="s">
        <v>97</v>
      </c>
      <c r="E1535" s="1">
        <v>44014</v>
      </c>
      <c r="F1535">
        <v>1</v>
      </c>
      <c r="G1535" t="s">
        <v>7</v>
      </c>
      <c r="H1535" t="s">
        <v>8</v>
      </c>
      <c r="I1535" s="3">
        <v>1361</v>
      </c>
      <c r="J1535" s="3">
        <v>1361</v>
      </c>
      <c r="K1535" s="3">
        <v>397</v>
      </c>
      <c r="L1535" t="s">
        <v>98</v>
      </c>
      <c r="M1535">
        <v>3</v>
      </c>
      <c r="N1535" t="s">
        <v>69</v>
      </c>
      <c r="O1535" t="s">
        <v>70</v>
      </c>
      <c r="P1535" t="s">
        <v>71</v>
      </c>
      <c r="Q1535" t="s">
        <v>72</v>
      </c>
      <c r="R1535" t="s">
        <v>139</v>
      </c>
      <c r="S1535" t="s">
        <v>144</v>
      </c>
      <c r="T1535" s="2">
        <f>MASTER[[#This Row],[CANTIDAD]]*MASTER[[#This Row],[PRECIO DE VENTA]]</f>
        <v>1361</v>
      </c>
      <c r="U1535" s="2">
        <f>MASTER[[#This Row],[CANTIDAD]]*MASTER[[#This Row],[COSTO UNITARIO]]</f>
        <v>397</v>
      </c>
      <c r="V1535" s="2">
        <f>MASTER[[#This Row],[MONTO VENDIDO]]-MASTER[[#This Row],[COSTO DE VENTA]]</f>
        <v>964</v>
      </c>
    </row>
    <row r="1536" spans="1:22" x14ac:dyDescent="0.3">
      <c r="A1536">
        <v>29381</v>
      </c>
      <c r="B1536">
        <v>1</v>
      </c>
      <c r="C1536" t="s">
        <v>90</v>
      </c>
      <c r="D1536" t="s">
        <v>91</v>
      </c>
      <c r="E1536" s="1">
        <v>44014</v>
      </c>
      <c r="F1536">
        <v>1</v>
      </c>
      <c r="G1536" t="s">
        <v>63</v>
      </c>
      <c r="H1536" t="s">
        <v>64</v>
      </c>
      <c r="I1536" s="3">
        <v>2102</v>
      </c>
      <c r="J1536" s="3">
        <v>2102</v>
      </c>
      <c r="K1536" s="3">
        <v>420</v>
      </c>
      <c r="L1536" t="s">
        <v>9</v>
      </c>
      <c r="M1536">
        <v>6</v>
      </c>
      <c r="N1536" t="s">
        <v>75</v>
      </c>
      <c r="O1536" t="s">
        <v>70</v>
      </c>
      <c r="P1536" t="s">
        <v>12</v>
      </c>
      <c r="Q1536" t="s">
        <v>13</v>
      </c>
      <c r="R1536" t="s">
        <v>13</v>
      </c>
      <c r="S1536" t="s">
        <v>144</v>
      </c>
      <c r="T1536" s="2">
        <f>MASTER[[#This Row],[CANTIDAD]]*MASTER[[#This Row],[PRECIO DE VENTA]]</f>
        <v>2102</v>
      </c>
      <c r="U1536" s="2">
        <f>MASTER[[#This Row],[CANTIDAD]]*MASTER[[#This Row],[COSTO UNITARIO]]</f>
        <v>420</v>
      </c>
      <c r="V1536" s="2">
        <f>MASTER[[#This Row],[MONTO VENDIDO]]-MASTER[[#This Row],[COSTO DE VENTA]]</f>
        <v>1682</v>
      </c>
    </row>
    <row r="1537" spans="1:22" x14ac:dyDescent="0.3">
      <c r="A1537">
        <v>29385</v>
      </c>
      <c r="B1537">
        <v>1</v>
      </c>
      <c r="C1537" t="s">
        <v>105</v>
      </c>
      <c r="D1537" t="s">
        <v>106</v>
      </c>
      <c r="E1537" s="1">
        <v>44014</v>
      </c>
      <c r="F1537">
        <v>1</v>
      </c>
      <c r="G1537" t="s">
        <v>27</v>
      </c>
      <c r="H1537" t="s">
        <v>28</v>
      </c>
      <c r="I1537" s="3">
        <v>1865</v>
      </c>
      <c r="J1537" s="3">
        <v>1865</v>
      </c>
      <c r="K1537" s="3">
        <v>459</v>
      </c>
      <c r="L1537" t="s">
        <v>98</v>
      </c>
      <c r="M1537">
        <v>19</v>
      </c>
      <c r="N1537" t="s">
        <v>89</v>
      </c>
      <c r="O1537" t="s">
        <v>81</v>
      </c>
      <c r="P1537" t="s">
        <v>15</v>
      </c>
      <c r="Q1537" t="s">
        <v>16</v>
      </c>
      <c r="R1537" t="s">
        <v>16</v>
      </c>
      <c r="S1537" t="s">
        <v>144</v>
      </c>
      <c r="T1537" s="2">
        <f>MASTER[[#This Row],[CANTIDAD]]*MASTER[[#This Row],[PRECIO DE VENTA]]</f>
        <v>1865</v>
      </c>
      <c r="U1537" s="2">
        <f>MASTER[[#This Row],[CANTIDAD]]*MASTER[[#This Row],[COSTO UNITARIO]]</f>
        <v>459</v>
      </c>
      <c r="V1537" s="2">
        <f>MASTER[[#This Row],[MONTO VENDIDO]]-MASTER[[#This Row],[COSTO DE VENTA]]</f>
        <v>1406</v>
      </c>
    </row>
    <row r="1538" spans="1:22" x14ac:dyDescent="0.3">
      <c r="A1538">
        <v>29389</v>
      </c>
      <c r="B1538">
        <v>1</v>
      </c>
      <c r="C1538" t="s">
        <v>101</v>
      </c>
      <c r="D1538" t="s">
        <v>102</v>
      </c>
      <c r="E1538" s="1">
        <v>44014</v>
      </c>
      <c r="F1538">
        <v>1</v>
      </c>
      <c r="G1538" t="s">
        <v>51</v>
      </c>
      <c r="H1538" t="s">
        <v>52</v>
      </c>
      <c r="I1538" s="3">
        <v>1054</v>
      </c>
      <c r="J1538" s="3">
        <v>1054</v>
      </c>
      <c r="K1538" s="3">
        <v>442</v>
      </c>
      <c r="L1538" t="s">
        <v>98</v>
      </c>
      <c r="M1538">
        <v>16</v>
      </c>
      <c r="N1538" t="s">
        <v>17</v>
      </c>
      <c r="O1538" t="s">
        <v>11</v>
      </c>
      <c r="P1538" t="s">
        <v>18</v>
      </c>
      <c r="Q1538" t="s">
        <v>19</v>
      </c>
      <c r="R1538" t="s">
        <v>138</v>
      </c>
      <c r="S1538" t="s">
        <v>144</v>
      </c>
      <c r="T1538" s="2">
        <f>MASTER[[#This Row],[CANTIDAD]]*MASTER[[#This Row],[PRECIO DE VENTA]]</f>
        <v>1054</v>
      </c>
      <c r="U1538" s="2">
        <f>MASTER[[#This Row],[CANTIDAD]]*MASTER[[#This Row],[COSTO UNITARIO]]</f>
        <v>442</v>
      </c>
      <c r="V1538" s="2">
        <f>MASTER[[#This Row],[MONTO VENDIDO]]-MASTER[[#This Row],[COSTO DE VENTA]]</f>
        <v>612</v>
      </c>
    </row>
    <row r="1539" spans="1:22" x14ac:dyDescent="0.3">
      <c r="A1539">
        <v>29394</v>
      </c>
      <c r="B1539">
        <v>1</v>
      </c>
      <c r="C1539" t="s">
        <v>96</v>
      </c>
      <c r="D1539" t="s">
        <v>97</v>
      </c>
      <c r="E1539" s="1">
        <v>44014</v>
      </c>
      <c r="F1539">
        <v>1</v>
      </c>
      <c r="G1539" t="s">
        <v>47</v>
      </c>
      <c r="H1539" t="s">
        <v>48</v>
      </c>
      <c r="I1539" s="3">
        <v>1272</v>
      </c>
      <c r="J1539" s="3">
        <v>1272</v>
      </c>
      <c r="K1539" s="3">
        <v>397</v>
      </c>
      <c r="L1539" t="s">
        <v>98</v>
      </c>
      <c r="M1539">
        <v>19</v>
      </c>
      <c r="N1539" t="s">
        <v>89</v>
      </c>
      <c r="O1539" t="s">
        <v>81</v>
      </c>
      <c r="P1539" t="s">
        <v>15</v>
      </c>
      <c r="Q1539" t="s">
        <v>16</v>
      </c>
      <c r="R1539" t="s">
        <v>16</v>
      </c>
      <c r="S1539" t="s">
        <v>144</v>
      </c>
      <c r="T1539" s="2">
        <f>MASTER[[#This Row],[CANTIDAD]]*MASTER[[#This Row],[PRECIO DE VENTA]]</f>
        <v>1272</v>
      </c>
      <c r="U1539" s="2">
        <f>MASTER[[#This Row],[CANTIDAD]]*MASTER[[#This Row],[COSTO UNITARIO]]</f>
        <v>397</v>
      </c>
      <c r="V1539" s="2">
        <f>MASTER[[#This Row],[MONTO VENDIDO]]-MASTER[[#This Row],[COSTO DE VENTA]]</f>
        <v>875</v>
      </c>
    </row>
    <row r="1540" spans="1:22" x14ac:dyDescent="0.3">
      <c r="A1540">
        <v>29421</v>
      </c>
      <c r="B1540">
        <v>1</v>
      </c>
      <c r="C1540" t="s">
        <v>92</v>
      </c>
      <c r="D1540" t="s">
        <v>93</v>
      </c>
      <c r="E1540" s="1">
        <v>44014</v>
      </c>
      <c r="F1540">
        <v>1</v>
      </c>
      <c r="G1540" t="s">
        <v>55</v>
      </c>
      <c r="H1540" t="s">
        <v>56</v>
      </c>
      <c r="I1540" s="3">
        <v>1866</v>
      </c>
      <c r="J1540" s="3">
        <v>1866</v>
      </c>
      <c r="K1540" s="3">
        <v>396</v>
      </c>
      <c r="L1540" t="s">
        <v>9</v>
      </c>
      <c r="M1540">
        <v>9</v>
      </c>
      <c r="N1540" t="s">
        <v>76</v>
      </c>
      <c r="O1540" t="s">
        <v>70</v>
      </c>
      <c r="P1540" t="s">
        <v>12</v>
      </c>
      <c r="Q1540" t="s">
        <v>13</v>
      </c>
      <c r="R1540" t="s">
        <v>13</v>
      </c>
      <c r="S1540" t="s">
        <v>144</v>
      </c>
      <c r="T1540" s="2">
        <f>MASTER[[#This Row],[CANTIDAD]]*MASTER[[#This Row],[PRECIO DE VENTA]]</f>
        <v>1866</v>
      </c>
      <c r="U1540" s="2">
        <f>MASTER[[#This Row],[CANTIDAD]]*MASTER[[#This Row],[COSTO UNITARIO]]</f>
        <v>396</v>
      </c>
      <c r="V1540" s="2">
        <f>MASTER[[#This Row],[MONTO VENDIDO]]-MASTER[[#This Row],[COSTO DE VENTA]]</f>
        <v>1470</v>
      </c>
    </row>
    <row r="1541" spans="1:22" x14ac:dyDescent="0.3">
      <c r="A1541">
        <v>29424</v>
      </c>
      <c r="B1541">
        <v>1</v>
      </c>
      <c r="C1541" t="s">
        <v>111</v>
      </c>
      <c r="D1541" t="s">
        <v>112</v>
      </c>
      <c r="E1541" s="1">
        <v>44015</v>
      </c>
      <c r="F1541">
        <v>1</v>
      </c>
      <c r="G1541" t="s">
        <v>41</v>
      </c>
      <c r="H1541" t="s">
        <v>42</v>
      </c>
      <c r="I1541" s="3">
        <v>1621</v>
      </c>
      <c r="J1541" s="3">
        <v>1621</v>
      </c>
      <c r="K1541" s="3">
        <v>434</v>
      </c>
      <c r="L1541" t="s">
        <v>113</v>
      </c>
      <c r="M1541">
        <v>10</v>
      </c>
      <c r="N1541" t="s">
        <v>83</v>
      </c>
      <c r="O1541" t="s">
        <v>81</v>
      </c>
      <c r="P1541" t="s">
        <v>12</v>
      </c>
      <c r="Q1541" t="s">
        <v>13</v>
      </c>
      <c r="R1541" t="s">
        <v>13</v>
      </c>
      <c r="S1541" t="s">
        <v>144</v>
      </c>
      <c r="T1541" s="2">
        <f>MASTER[[#This Row],[CANTIDAD]]*MASTER[[#This Row],[PRECIO DE VENTA]]</f>
        <v>1621</v>
      </c>
      <c r="U1541" s="2">
        <f>MASTER[[#This Row],[CANTIDAD]]*MASTER[[#This Row],[COSTO UNITARIO]]</f>
        <v>434</v>
      </c>
      <c r="V1541" s="2">
        <f>MASTER[[#This Row],[MONTO VENDIDO]]-MASTER[[#This Row],[COSTO DE VENTA]]</f>
        <v>1187</v>
      </c>
    </row>
    <row r="1542" spans="1:22" x14ac:dyDescent="0.3">
      <c r="A1542">
        <v>29425</v>
      </c>
      <c r="B1542">
        <v>1</v>
      </c>
      <c r="C1542" t="s">
        <v>96</v>
      </c>
      <c r="D1542" t="s">
        <v>97</v>
      </c>
      <c r="E1542" s="1">
        <v>44015</v>
      </c>
      <c r="F1542">
        <v>1</v>
      </c>
      <c r="G1542" t="s">
        <v>57</v>
      </c>
      <c r="H1542" t="s">
        <v>58</v>
      </c>
      <c r="I1542" s="3">
        <v>1272</v>
      </c>
      <c r="J1542" s="3">
        <v>1272</v>
      </c>
      <c r="K1542" s="3">
        <v>397</v>
      </c>
      <c r="L1542" t="s">
        <v>98</v>
      </c>
      <c r="M1542">
        <v>2</v>
      </c>
      <c r="N1542" t="s">
        <v>86</v>
      </c>
      <c r="O1542" t="s">
        <v>81</v>
      </c>
      <c r="P1542" t="s">
        <v>71</v>
      </c>
      <c r="Q1542" t="s">
        <v>72</v>
      </c>
      <c r="R1542" t="s">
        <v>139</v>
      </c>
      <c r="S1542" t="s">
        <v>144</v>
      </c>
      <c r="T1542" s="2">
        <f>MASTER[[#This Row],[CANTIDAD]]*MASTER[[#This Row],[PRECIO DE VENTA]]</f>
        <v>1272</v>
      </c>
      <c r="U1542" s="2">
        <f>MASTER[[#This Row],[CANTIDAD]]*MASTER[[#This Row],[COSTO UNITARIO]]</f>
        <v>397</v>
      </c>
      <c r="V1542" s="2">
        <f>MASTER[[#This Row],[MONTO VENDIDO]]-MASTER[[#This Row],[COSTO DE VENTA]]</f>
        <v>875</v>
      </c>
    </row>
    <row r="1543" spans="1:22" x14ac:dyDescent="0.3">
      <c r="A1543">
        <v>29435</v>
      </c>
      <c r="B1543">
        <v>1</v>
      </c>
      <c r="C1543" t="s">
        <v>114</v>
      </c>
      <c r="D1543" t="s">
        <v>115</v>
      </c>
      <c r="E1543" s="1">
        <v>44015</v>
      </c>
      <c r="F1543">
        <v>1</v>
      </c>
      <c r="G1543" t="s">
        <v>24</v>
      </c>
      <c r="H1543" t="s">
        <v>25</v>
      </c>
      <c r="I1543" s="3">
        <v>2030</v>
      </c>
      <c r="J1543" s="3">
        <v>2030</v>
      </c>
      <c r="K1543" s="3">
        <v>394</v>
      </c>
      <c r="L1543" t="s">
        <v>113</v>
      </c>
      <c r="M1543">
        <v>13</v>
      </c>
      <c r="N1543" t="s">
        <v>78</v>
      </c>
      <c r="O1543" t="s">
        <v>70</v>
      </c>
      <c r="P1543" t="s">
        <v>18</v>
      </c>
      <c r="Q1543" t="s">
        <v>19</v>
      </c>
      <c r="R1543" t="s">
        <v>138</v>
      </c>
      <c r="S1543" t="s">
        <v>144</v>
      </c>
      <c r="T1543" s="2">
        <f>MASTER[[#This Row],[CANTIDAD]]*MASTER[[#This Row],[PRECIO DE VENTA]]</f>
        <v>2030</v>
      </c>
      <c r="U1543" s="2">
        <f>MASTER[[#This Row],[CANTIDAD]]*MASTER[[#This Row],[COSTO UNITARIO]]</f>
        <v>394</v>
      </c>
      <c r="V1543" s="2">
        <f>MASTER[[#This Row],[MONTO VENDIDO]]-MASTER[[#This Row],[COSTO DE VENTA]]</f>
        <v>1636</v>
      </c>
    </row>
    <row r="1544" spans="1:22" x14ac:dyDescent="0.3">
      <c r="A1544">
        <v>29468</v>
      </c>
      <c r="B1544">
        <v>1</v>
      </c>
      <c r="C1544" t="s">
        <v>111</v>
      </c>
      <c r="D1544" t="s">
        <v>112</v>
      </c>
      <c r="E1544" s="1">
        <v>44015</v>
      </c>
      <c r="F1544">
        <v>1</v>
      </c>
      <c r="G1544" t="s">
        <v>43</v>
      </c>
      <c r="H1544" t="s">
        <v>44</v>
      </c>
      <c r="I1544" s="3">
        <v>1621</v>
      </c>
      <c r="J1544" s="3">
        <v>1621</v>
      </c>
      <c r="K1544" s="3">
        <v>434</v>
      </c>
      <c r="L1544" t="s">
        <v>113</v>
      </c>
      <c r="M1544">
        <v>7</v>
      </c>
      <c r="N1544" t="s">
        <v>84</v>
      </c>
      <c r="O1544" t="s">
        <v>81</v>
      </c>
      <c r="P1544" t="s">
        <v>12</v>
      </c>
      <c r="Q1544" t="s">
        <v>13</v>
      </c>
      <c r="R1544" t="s">
        <v>13</v>
      </c>
      <c r="S1544" t="s">
        <v>144</v>
      </c>
      <c r="T1544" s="2">
        <f>MASTER[[#This Row],[CANTIDAD]]*MASTER[[#This Row],[PRECIO DE VENTA]]</f>
        <v>1621</v>
      </c>
      <c r="U1544" s="2">
        <f>MASTER[[#This Row],[CANTIDAD]]*MASTER[[#This Row],[COSTO UNITARIO]]</f>
        <v>434</v>
      </c>
      <c r="V1544" s="2">
        <f>MASTER[[#This Row],[MONTO VENDIDO]]-MASTER[[#This Row],[COSTO DE VENTA]]</f>
        <v>1187</v>
      </c>
    </row>
    <row r="1545" spans="1:22" x14ac:dyDescent="0.3">
      <c r="A1545">
        <v>29487</v>
      </c>
      <c r="B1545">
        <v>1</v>
      </c>
      <c r="C1545" t="s">
        <v>5</v>
      </c>
      <c r="D1545" t="s">
        <v>6</v>
      </c>
      <c r="E1545" s="1">
        <v>44015</v>
      </c>
      <c r="F1545">
        <v>1</v>
      </c>
      <c r="G1545" t="s">
        <v>29</v>
      </c>
      <c r="H1545" t="s">
        <v>30</v>
      </c>
      <c r="I1545" s="3">
        <v>1507</v>
      </c>
      <c r="J1545" s="3">
        <v>1507</v>
      </c>
      <c r="K1545" s="3">
        <v>393</v>
      </c>
      <c r="L1545" t="s">
        <v>9</v>
      </c>
      <c r="M1545">
        <v>19</v>
      </c>
      <c r="N1545" t="s">
        <v>89</v>
      </c>
      <c r="O1545" t="s">
        <v>81</v>
      </c>
      <c r="P1545" t="s">
        <v>15</v>
      </c>
      <c r="Q1545" t="s">
        <v>16</v>
      </c>
      <c r="R1545" t="s">
        <v>16</v>
      </c>
      <c r="S1545" t="s">
        <v>144</v>
      </c>
      <c r="T1545" s="2">
        <f>MASTER[[#This Row],[CANTIDAD]]*MASTER[[#This Row],[PRECIO DE VENTA]]</f>
        <v>1507</v>
      </c>
      <c r="U1545" s="2">
        <f>MASTER[[#This Row],[CANTIDAD]]*MASTER[[#This Row],[COSTO UNITARIO]]</f>
        <v>393</v>
      </c>
      <c r="V1545" s="2">
        <f>MASTER[[#This Row],[MONTO VENDIDO]]-MASTER[[#This Row],[COSTO DE VENTA]]</f>
        <v>1114</v>
      </c>
    </row>
    <row r="1546" spans="1:22" x14ac:dyDescent="0.3">
      <c r="A1546">
        <v>29489</v>
      </c>
      <c r="B1546">
        <v>1</v>
      </c>
      <c r="C1546" t="s">
        <v>116</v>
      </c>
      <c r="D1546" t="s">
        <v>117</v>
      </c>
      <c r="E1546" s="1">
        <v>44015</v>
      </c>
      <c r="F1546">
        <v>1</v>
      </c>
      <c r="G1546" t="s">
        <v>61</v>
      </c>
      <c r="H1546" t="s">
        <v>62</v>
      </c>
      <c r="I1546" s="3">
        <v>1999</v>
      </c>
      <c r="J1546" s="3">
        <v>1999</v>
      </c>
      <c r="K1546" s="3">
        <v>388</v>
      </c>
      <c r="L1546" t="s">
        <v>113</v>
      </c>
      <c r="M1546">
        <v>6</v>
      </c>
      <c r="N1546" t="s">
        <v>75</v>
      </c>
      <c r="O1546" t="s">
        <v>70</v>
      </c>
      <c r="P1546" t="s">
        <v>12</v>
      </c>
      <c r="Q1546" t="s">
        <v>13</v>
      </c>
      <c r="R1546" t="s">
        <v>13</v>
      </c>
      <c r="S1546" t="s">
        <v>144</v>
      </c>
      <c r="T1546" s="2">
        <f>MASTER[[#This Row],[CANTIDAD]]*MASTER[[#This Row],[PRECIO DE VENTA]]</f>
        <v>1999</v>
      </c>
      <c r="U1546" s="2">
        <f>MASTER[[#This Row],[CANTIDAD]]*MASTER[[#This Row],[COSTO UNITARIO]]</f>
        <v>388</v>
      </c>
      <c r="V1546" s="2">
        <f>MASTER[[#This Row],[MONTO VENDIDO]]-MASTER[[#This Row],[COSTO DE VENTA]]</f>
        <v>1611</v>
      </c>
    </row>
    <row r="1547" spans="1:22" x14ac:dyDescent="0.3">
      <c r="A1547">
        <v>29501</v>
      </c>
      <c r="B1547">
        <v>1</v>
      </c>
      <c r="C1547" t="s">
        <v>103</v>
      </c>
      <c r="D1547" t="s">
        <v>104</v>
      </c>
      <c r="E1547" s="1">
        <v>44016</v>
      </c>
      <c r="F1547">
        <v>1</v>
      </c>
      <c r="G1547" t="s">
        <v>29</v>
      </c>
      <c r="H1547" t="s">
        <v>30</v>
      </c>
      <c r="I1547" s="3">
        <v>1830</v>
      </c>
      <c r="J1547" s="3">
        <v>1830</v>
      </c>
      <c r="K1547" s="3">
        <v>421</v>
      </c>
      <c r="L1547" t="s">
        <v>98</v>
      </c>
      <c r="M1547">
        <v>1</v>
      </c>
      <c r="N1547" t="s">
        <v>77</v>
      </c>
      <c r="O1547" t="s">
        <v>70</v>
      </c>
      <c r="P1547" t="s">
        <v>71</v>
      </c>
      <c r="Q1547" t="s">
        <v>72</v>
      </c>
      <c r="R1547" t="s">
        <v>139</v>
      </c>
      <c r="S1547" t="s">
        <v>144</v>
      </c>
      <c r="T1547" s="2">
        <f>MASTER[[#This Row],[CANTIDAD]]*MASTER[[#This Row],[PRECIO DE VENTA]]</f>
        <v>1830</v>
      </c>
      <c r="U1547" s="2">
        <f>MASTER[[#This Row],[CANTIDAD]]*MASTER[[#This Row],[COSTO UNITARIO]]</f>
        <v>421</v>
      </c>
      <c r="V1547" s="2">
        <f>MASTER[[#This Row],[MONTO VENDIDO]]-MASTER[[#This Row],[COSTO DE VENTA]]</f>
        <v>1409</v>
      </c>
    </row>
    <row r="1548" spans="1:22" x14ac:dyDescent="0.3">
      <c r="A1548">
        <v>29531</v>
      </c>
      <c r="B1548">
        <v>1</v>
      </c>
      <c r="C1548" t="s">
        <v>5</v>
      </c>
      <c r="D1548" t="s">
        <v>6</v>
      </c>
      <c r="E1548" s="1">
        <v>44016</v>
      </c>
      <c r="F1548">
        <v>1</v>
      </c>
      <c r="G1548" t="s">
        <v>7</v>
      </c>
      <c r="H1548" t="s">
        <v>8</v>
      </c>
      <c r="I1548" s="3">
        <v>1507</v>
      </c>
      <c r="J1548" s="3">
        <v>1507</v>
      </c>
      <c r="K1548" s="3">
        <v>393</v>
      </c>
      <c r="L1548" t="s">
        <v>9</v>
      </c>
      <c r="M1548">
        <v>15</v>
      </c>
      <c r="N1548" t="s">
        <v>88</v>
      </c>
      <c r="O1548" t="s">
        <v>81</v>
      </c>
      <c r="P1548" t="s">
        <v>18</v>
      </c>
      <c r="Q1548" t="s">
        <v>19</v>
      </c>
      <c r="R1548" t="s">
        <v>138</v>
      </c>
      <c r="S1548" t="s">
        <v>144</v>
      </c>
      <c r="T1548" s="2">
        <f>MASTER[[#This Row],[CANTIDAD]]*MASTER[[#This Row],[PRECIO DE VENTA]]</f>
        <v>1507</v>
      </c>
      <c r="U1548" s="2">
        <f>MASTER[[#This Row],[CANTIDAD]]*MASTER[[#This Row],[COSTO UNITARIO]]</f>
        <v>393</v>
      </c>
      <c r="V1548" s="2">
        <f>MASTER[[#This Row],[MONTO VENDIDO]]-MASTER[[#This Row],[COSTO DE VENTA]]</f>
        <v>1114</v>
      </c>
    </row>
    <row r="1549" spans="1:22" x14ac:dyDescent="0.3">
      <c r="A1549">
        <v>29537</v>
      </c>
      <c r="B1549">
        <v>1</v>
      </c>
      <c r="C1549" t="s">
        <v>109</v>
      </c>
      <c r="D1549" t="s">
        <v>110</v>
      </c>
      <c r="E1549" s="1">
        <v>44016</v>
      </c>
      <c r="F1549">
        <v>1</v>
      </c>
      <c r="G1549" t="s">
        <v>59</v>
      </c>
      <c r="H1549" t="s">
        <v>60</v>
      </c>
      <c r="I1549" s="3">
        <v>947</v>
      </c>
      <c r="J1549" s="3">
        <v>947</v>
      </c>
      <c r="K1549" s="3">
        <v>387</v>
      </c>
      <c r="L1549" t="s">
        <v>98</v>
      </c>
      <c r="M1549">
        <v>11</v>
      </c>
      <c r="N1549" t="s">
        <v>10</v>
      </c>
      <c r="O1549" t="s">
        <v>11</v>
      </c>
      <c r="P1549" t="s">
        <v>12</v>
      </c>
      <c r="Q1549" t="s">
        <v>13</v>
      </c>
      <c r="R1549" t="s">
        <v>13</v>
      </c>
      <c r="S1549" t="s">
        <v>144</v>
      </c>
      <c r="T1549" s="2">
        <f>MASTER[[#This Row],[CANTIDAD]]*MASTER[[#This Row],[PRECIO DE VENTA]]</f>
        <v>947</v>
      </c>
      <c r="U1549" s="2">
        <f>MASTER[[#This Row],[CANTIDAD]]*MASTER[[#This Row],[COSTO UNITARIO]]</f>
        <v>387</v>
      </c>
      <c r="V1549" s="2">
        <f>MASTER[[#This Row],[MONTO VENDIDO]]-MASTER[[#This Row],[COSTO DE VENTA]]</f>
        <v>560</v>
      </c>
    </row>
    <row r="1550" spans="1:22" x14ac:dyDescent="0.3">
      <c r="A1550">
        <v>29539</v>
      </c>
      <c r="B1550">
        <v>1</v>
      </c>
      <c r="C1550" t="s">
        <v>103</v>
      </c>
      <c r="D1550" t="s">
        <v>104</v>
      </c>
      <c r="E1550" s="1">
        <v>44016</v>
      </c>
      <c r="F1550">
        <v>1</v>
      </c>
      <c r="G1550" t="s">
        <v>33</v>
      </c>
      <c r="H1550" t="s">
        <v>34</v>
      </c>
      <c r="I1550" s="3">
        <v>1591</v>
      </c>
      <c r="J1550" s="3">
        <v>1591</v>
      </c>
      <c r="K1550" s="3">
        <v>421</v>
      </c>
      <c r="L1550" t="s">
        <v>98</v>
      </c>
      <c r="M1550">
        <v>4</v>
      </c>
      <c r="N1550" t="s">
        <v>82</v>
      </c>
      <c r="O1550" t="s">
        <v>81</v>
      </c>
      <c r="P1550" t="s">
        <v>71</v>
      </c>
      <c r="Q1550" t="s">
        <v>72</v>
      </c>
      <c r="R1550" t="s">
        <v>139</v>
      </c>
      <c r="S1550" t="s">
        <v>144</v>
      </c>
      <c r="T1550" s="2">
        <f>MASTER[[#This Row],[CANTIDAD]]*MASTER[[#This Row],[PRECIO DE VENTA]]</f>
        <v>1591</v>
      </c>
      <c r="U1550" s="2">
        <f>MASTER[[#This Row],[CANTIDAD]]*MASTER[[#This Row],[COSTO UNITARIO]]</f>
        <v>421</v>
      </c>
      <c r="V1550" s="2">
        <f>MASTER[[#This Row],[MONTO VENDIDO]]-MASTER[[#This Row],[COSTO DE VENTA]]</f>
        <v>1170</v>
      </c>
    </row>
    <row r="1551" spans="1:22" x14ac:dyDescent="0.3">
      <c r="A1551">
        <v>29547</v>
      </c>
      <c r="B1551">
        <v>1</v>
      </c>
      <c r="C1551" t="s">
        <v>116</v>
      </c>
      <c r="D1551" t="s">
        <v>117</v>
      </c>
      <c r="E1551" s="1">
        <v>44017</v>
      </c>
      <c r="F1551">
        <v>1</v>
      </c>
      <c r="G1551" t="s">
        <v>57</v>
      </c>
      <c r="H1551" t="s">
        <v>58</v>
      </c>
      <c r="I1551" s="3">
        <v>1999</v>
      </c>
      <c r="J1551" s="3">
        <v>1899</v>
      </c>
      <c r="K1551" s="3">
        <v>388</v>
      </c>
      <c r="L1551" t="s">
        <v>113</v>
      </c>
      <c r="M1551">
        <v>18</v>
      </c>
      <c r="N1551" t="s">
        <v>79</v>
      </c>
      <c r="O1551" t="s">
        <v>70</v>
      </c>
      <c r="P1551" t="s">
        <v>15</v>
      </c>
      <c r="Q1551" t="s">
        <v>16</v>
      </c>
      <c r="R1551" t="s">
        <v>16</v>
      </c>
      <c r="S1551" t="s">
        <v>144</v>
      </c>
      <c r="T1551" s="2">
        <f>MASTER[[#This Row],[CANTIDAD]]*MASTER[[#This Row],[PRECIO DE VENTA]]</f>
        <v>1899</v>
      </c>
      <c r="U1551" s="2">
        <f>MASTER[[#This Row],[CANTIDAD]]*MASTER[[#This Row],[COSTO UNITARIO]]</f>
        <v>388</v>
      </c>
      <c r="V1551" s="2">
        <f>MASTER[[#This Row],[MONTO VENDIDO]]-MASTER[[#This Row],[COSTO DE VENTA]]</f>
        <v>1511</v>
      </c>
    </row>
    <row r="1552" spans="1:22" x14ac:dyDescent="0.3">
      <c r="A1552">
        <v>29562</v>
      </c>
      <c r="B1552">
        <v>1</v>
      </c>
      <c r="C1552" t="s">
        <v>107</v>
      </c>
      <c r="D1552" t="s">
        <v>108</v>
      </c>
      <c r="E1552" s="1">
        <v>44017</v>
      </c>
      <c r="F1552">
        <v>2</v>
      </c>
      <c r="G1552" t="s">
        <v>7</v>
      </c>
      <c r="H1552" t="s">
        <v>8</v>
      </c>
      <c r="I1552" s="3">
        <v>1240</v>
      </c>
      <c r="J1552" s="3">
        <v>1240</v>
      </c>
      <c r="K1552" s="3">
        <v>380</v>
      </c>
      <c r="L1552" t="s">
        <v>98</v>
      </c>
      <c r="M1552">
        <v>17</v>
      </c>
      <c r="N1552" t="s">
        <v>14</v>
      </c>
      <c r="O1552" t="s">
        <v>11</v>
      </c>
      <c r="P1552" t="s">
        <v>15</v>
      </c>
      <c r="Q1552" t="s">
        <v>16</v>
      </c>
      <c r="R1552" t="s">
        <v>16</v>
      </c>
      <c r="S1552" t="s">
        <v>144</v>
      </c>
      <c r="T1552" s="2">
        <f>MASTER[[#This Row],[CANTIDAD]]*MASTER[[#This Row],[PRECIO DE VENTA]]</f>
        <v>2480</v>
      </c>
      <c r="U1552" s="2">
        <f>MASTER[[#This Row],[CANTIDAD]]*MASTER[[#This Row],[COSTO UNITARIO]]</f>
        <v>760</v>
      </c>
      <c r="V1552" s="2">
        <f>MASTER[[#This Row],[MONTO VENDIDO]]-MASTER[[#This Row],[COSTO DE VENTA]]</f>
        <v>1720</v>
      </c>
    </row>
    <row r="1553" spans="1:22" x14ac:dyDescent="0.3">
      <c r="A1553">
        <v>29562</v>
      </c>
      <c r="B1553">
        <v>2</v>
      </c>
      <c r="C1553" t="s">
        <v>111</v>
      </c>
      <c r="D1553" t="s">
        <v>112</v>
      </c>
      <c r="E1553" s="1">
        <v>44017</v>
      </c>
      <c r="F1553">
        <v>1</v>
      </c>
      <c r="G1553" t="s">
        <v>61</v>
      </c>
      <c r="H1553" t="s">
        <v>62</v>
      </c>
      <c r="I1553" s="3">
        <v>1524</v>
      </c>
      <c r="J1553" s="3">
        <v>1524</v>
      </c>
      <c r="K1553" s="3">
        <v>434</v>
      </c>
      <c r="L1553" t="s">
        <v>113</v>
      </c>
      <c r="M1553">
        <v>17</v>
      </c>
      <c r="N1553" t="s">
        <v>14</v>
      </c>
      <c r="O1553" t="s">
        <v>11</v>
      </c>
      <c r="P1553" t="s">
        <v>15</v>
      </c>
      <c r="Q1553" t="s">
        <v>16</v>
      </c>
      <c r="R1553" t="s">
        <v>16</v>
      </c>
      <c r="S1553" t="s">
        <v>144</v>
      </c>
      <c r="T1553" s="2">
        <f>MASTER[[#This Row],[CANTIDAD]]*MASTER[[#This Row],[PRECIO DE VENTA]]</f>
        <v>1524</v>
      </c>
      <c r="U1553" s="2">
        <f>MASTER[[#This Row],[CANTIDAD]]*MASTER[[#This Row],[COSTO UNITARIO]]</f>
        <v>434</v>
      </c>
      <c r="V1553" s="2">
        <f>MASTER[[#This Row],[MONTO VENDIDO]]-MASTER[[#This Row],[COSTO DE VENTA]]</f>
        <v>1090</v>
      </c>
    </row>
    <row r="1554" spans="1:22" x14ac:dyDescent="0.3">
      <c r="A1554">
        <v>29617</v>
      </c>
      <c r="B1554">
        <v>1</v>
      </c>
      <c r="C1554" t="s">
        <v>96</v>
      </c>
      <c r="D1554" t="s">
        <v>97</v>
      </c>
      <c r="E1554" s="1">
        <v>44017</v>
      </c>
      <c r="F1554">
        <v>1</v>
      </c>
      <c r="G1554" t="s">
        <v>27</v>
      </c>
      <c r="H1554" t="s">
        <v>28</v>
      </c>
      <c r="I1554" s="3">
        <v>1196</v>
      </c>
      <c r="J1554" s="3">
        <v>1196</v>
      </c>
      <c r="K1554" s="3">
        <v>397</v>
      </c>
      <c r="L1554" t="s">
        <v>98</v>
      </c>
      <c r="M1554">
        <v>11</v>
      </c>
      <c r="N1554" t="s">
        <v>10</v>
      </c>
      <c r="O1554" t="s">
        <v>11</v>
      </c>
      <c r="P1554" t="s">
        <v>12</v>
      </c>
      <c r="Q1554" t="s">
        <v>13</v>
      </c>
      <c r="R1554" t="s">
        <v>13</v>
      </c>
      <c r="S1554" t="s">
        <v>144</v>
      </c>
      <c r="T1554" s="2">
        <f>MASTER[[#This Row],[CANTIDAD]]*MASTER[[#This Row],[PRECIO DE VENTA]]</f>
        <v>1196</v>
      </c>
      <c r="U1554" s="2">
        <f>MASTER[[#This Row],[CANTIDAD]]*MASTER[[#This Row],[COSTO UNITARIO]]</f>
        <v>397</v>
      </c>
      <c r="V1554" s="2">
        <f>MASTER[[#This Row],[MONTO VENDIDO]]-MASTER[[#This Row],[COSTO DE VENTA]]</f>
        <v>799</v>
      </c>
    </row>
    <row r="1555" spans="1:22" x14ac:dyDescent="0.3">
      <c r="A1555">
        <v>29618</v>
      </c>
      <c r="B1555">
        <v>1</v>
      </c>
      <c r="C1555" t="s">
        <v>107</v>
      </c>
      <c r="D1555" t="s">
        <v>108</v>
      </c>
      <c r="E1555" s="1">
        <v>44017</v>
      </c>
      <c r="F1555">
        <v>1</v>
      </c>
      <c r="G1555" t="s">
        <v>65</v>
      </c>
      <c r="H1555" t="s">
        <v>66</v>
      </c>
      <c r="I1555" s="3">
        <v>1440</v>
      </c>
      <c r="J1555" s="3">
        <v>1440</v>
      </c>
      <c r="K1555" s="3">
        <v>380</v>
      </c>
      <c r="L1555" t="s">
        <v>98</v>
      </c>
      <c r="M1555">
        <v>1</v>
      </c>
      <c r="N1555" t="s">
        <v>77</v>
      </c>
      <c r="O1555" t="s">
        <v>70</v>
      </c>
      <c r="P1555" t="s">
        <v>71</v>
      </c>
      <c r="Q1555" t="s">
        <v>72</v>
      </c>
      <c r="R1555" t="s">
        <v>139</v>
      </c>
      <c r="S1555" t="s">
        <v>144</v>
      </c>
      <c r="T1555" s="2">
        <f>MASTER[[#This Row],[CANTIDAD]]*MASTER[[#This Row],[PRECIO DE VENTA]]</f>
        <v>1440</v>
      </c>
      <c r="U1555" s="2">
        <f>MASTER[[#This Row],[CANTIDAD]]*MASTER[[#This Row],[COSTO UNITARIO]]</f>
        <v>380</v>
      </c>
      <c r="V1555" s="2">
        <f>MASTER[[#This Row],[MONTO VENDIDO]]-MASTER[[#This Row],[COSTO DE VENTA]]</f>
        <v>1060</v>
      </c>
    </row>
    <row r="1556" spans="1:22" x14ac:dyDescent="0.3">
      <c r="A1556">
        <v>29627</v>
      </c>
      <c r="B1556">
        <v>1</v>
      </c>
      <c r="C1556" t="s">
        <v>114</v>
      </c>
      <c r="D1556" t="s">
        <v>115</v>
      </c>
      <c r="E1556" s="1">
        <v>44018</v>
      </c>
      <c r="F1556">
        <v>1</v>
      </c>
      <c r="G1556" t="s">
        <v>22</v>
      </c>
      <c r="H1556" t="s">
        <v>23</v>
      </c>
      <c r="I1556" s="3">
        <v>2030</v>
      </c>
      <c r="J1556" s="3">
        <v>2030</v>
      </c>
      <c r="K1556" s="3">
        <v>394</v>
      </c>
      <c r="L1556" t="s">
        <v>113</v>
      </c>
      <c r="M1556">
        <v>1</v>
      </c>
      <c r="N1556" t="s">
        <v>77</v>
      </c>
      <c r="O1556" t="s">
        <v>70</v>
      </c>
      <c r="P1556" t="s">
        <v>71</v>
      </c>
      <c r="Q1556" t="s">
        <v>72</v>
      </c>
      <c r="R1556" t="s">
        <v>139</v>
      </c>
      <c r="S1556" t="s">
        <v>144</v>
      </c>
      <c r="T1556" s="2">
        <f>MASTER[[#This Row],[CANTIDAD]]*MASTER[[#This Row],[PRECIO DE VENTA]]</f>
        <v>2030</v>
      </c>
      <c r="U1556" s="2">
        <f>MASTER[[#This Row],[CANTIDAD]]*MASTER[[#This Row],[COSTO UNITARIO]]</f>
        <v>394</v>
      </c>
      <c r="V1556" s="2">
        <f>MASTER[[#This Row],[MONTO VENDIDO]]-MASTER[[#This Row],[COSTO DE VENTA]]</f>
        <v>1636</v>
      </c>
    </row>
    <row r="1557" spans="1:22" x14ac:dyDescent="0.3">
      <c r="A1557">
        <v>29635</v>
      </c>
      <c r="B1557">
        <v>1</v>
      </c>
      <c r="C1557" t="s">
        <v>99</v>
      </c>
      <c r="D1557" t="s">
        <v>100</v>
      </c>
      <c r="E1557" s="1">
        <v>44018</v>
      </c>
      <c r="F1557">
        <v>1</v>
      </c>
      <c r="G1557" t="s">
        <v>20</v>
      </c>
      <c r="H1557" t="s">
        <v>21</v>
      </c>
      <c r="I1557" s="3">
        <v>1459</v>
      </c>
      <c r="J1557" s="3">
        <v>1459</v>
      </c>
      <c r="K1557" s="3">
        <v>386</v>
      </c>
      <c r="L1557" t="s">
        <v>98</v>
      </c>
      <c r="M1557">
        <v>10</v>
      </c>
      <c r="N1557" t="s">
        <v>83</v>
      </c>
      <c r="O1557" t="s">
        <v>81</v>
      </c>
      <c r="P1557" t="s">
        <v>12</v>
      </c>
      <c r="Q1557" t="s">
        <v>13</v>
      </c>
      <c r="R1557" t="s">
        <v>13</v>
      </c>
      <c r="S1557" t="s">
        <v>144</v>
      </c>
      <c r="T1557" s="2">
        <f>MASTER[[#This Row],[CANTIDAD]]*MASTER[[#This Row],[PRECIO DE VENTA]]</f>
        <v>1459</v>
      </c>
      <c r="U1557" s="2">
        <f>MASTER[[#This Row],[CANTIDAD]]*MASTER[[#This Row],[COSTO UNITARIO]]</f>
        <v>386</v>
      </c>
      <c r="V1557" s="2">
        <f>MASTER[[#This Row],[MONTO VENDIDO]]-MASTER[[#This Row],[COSTO DE VENTA]]</f>
        <v>1073</v>
      </c>
    </row>
    <row r="1558" spans="1:22" x14ac:dyDescent="0.3">
      <c r="A1558">
        <v>29640</v>
      </c>
      <c r="B1558">
        <v>1</v>
      </c>
      <c r="C1558" t="s">
        <v>121</v>
      </c>
      <c r="D1558" t="s">
        <v>122</v>
      </c>
      <c r="E1558" s="1">
        <v>44018</v>
      </c>
      <c r="F1558">
        <v>1</v>
      </c>
      <c r="G1558" t="s">
        <v>27</v>
      </c>
      <c r="H1558" t="s">
        <v>28</v>
      </c>
      <c r="I1558" s="3">
        <v>1069</v>
      </c>
      <c r="J1558" s="3">
        <v>1069</v>
      </c>
      <c r="K1558" s="3">
        <v>460</v>
      </c>
      <c r="L1558" t="s">
        <v>120</v>
      </c>
      <c r="M1558">
        <v>10</v>
      </c>
      <c r="N1558" t="s">
        <v>83</v>
      </c>
      <c r="O1558" t="s">
        <v>81</v>
      </c>
      <c r="P1558" t="s">
        <v>12</v>
      </c>
      <c r="Q1558" t="s">
        <v>13</v>
      </c>
      <c r="R1558" t="s">
        <v>13</v>
      </c>
      <c r="S1558" t="s">
        <v>144</v>
      </c>
      <c r="T1558" s="2">
        <f>MASTER[[#This Row],[CANTIDAD]]*MASTER[[#This Row],[PRECIO DE VENTA]]</f>
        <v>1069</v>
      </c>
      <c r="U1558" s="2">
        <f>MASTER[[#This Row],[CANTIDAD]]*MASTER[[#This Row],[COSTO UNITARIO]]</f>
        <v>460</v>
      </c>
      <c r="V1558" s="2">
        <f>MASTER[[#This Row],[MONTO VENDIDO]]-MASTER[[#This Row],[COSTO DE VENTA]]</f>
        <v>609</v>
      </c>
    </row>
    <row r="1559" spans="1:22" x14ac:dyDescent="0.3">
      <c r="A1559">
        <v>29641</v>
      </c>
      <c r="B1559">
        <v>1</v>
      </c>
      <c r="C1559" t="s">
        <v>111</v>
      </c>
      <c r="D1559" t="s">
        <v>112</v>
      </c>
      <c r="E1559" s="1">
        <v>44019</v>
      </c>
      <c r="F1559">
        <v>1</v>
      </c>
      <c r="G1559" t="s">
        <v>73</v>
      </c>
      <c r="H1559" t="s">
        <v>74</v>
      </c>
      <c r="I1559" s="3">
        <v>1799</v>
      </c>
      <c r="J1559" s="3">
        <v>1799</v>
      </c>
      <c r="K1559" s="3">
        <v>434</v>
      </c>
      <c r="L1559" t="s">
        <v>113</v>
      </c>
      <c r="M1559">
        <v>6</v>
      </c>
      <c r="N1559" t="s">
        <v>75</v>
      </c>
      <c r="O1559" t="s">
        <v>70</v>
      </c>
      <c r="P1559" t="s">
        <v>12</v>
      </c>
      <c r="Q1559" t="s">
        <v>13</v>
      </c>
      <c r="R1559" t="s">
        <v>13</v>
      </c>
      <c r="S1559" t="s">
        <v>144</v>
      </c>
      <c r="T1559" s="2">
        <f>MASTER[[#This Row],[CANTIDAD]]*MASTER[[#This Row],[PRECIO DE VENTA]]</f>
        <v>1799</v>
      </c>
      <c r="U1559" s="2">
        <f>MASTER[[#This Row],[CANTIDAD]]*MASTER[[#This Row],[COSTO UNITARIO]]</f>
        <v>434</v>
      </c>
      <c r="V1559" s="2">
        <f>MASTER[[#This Row],[MONTO VENDIDO]]-MASTER[[#This Row],[COSTO DE VENTA]]</f>
        <v>1365</v>
      </c>
    </row>
    <row r="1560" spans="1:22" x14ac:dyDescent="0.3">
      <c r="A1560">
        <v>29675</v>
      </c>
      <c r="B1560">
        <v>1</v>
      </c>
      <c r="C1560" t="s">
        <v>5</v>
      </c>
      <c r="D1560" t="s">
        <v>6</v>
      </c>
      <c r="E1560" s="1">
        <v>44019</v>
      </c>
      <c r="F1560">
        <v>3</v>
      </c>
      <c r="G1560" t="s">
        <v>45</v>
      </c>
      <c r="H1560" t="s">
        <v>46</v>
      </c>
      <c r="I1560" s="3">
        <v>1507</v>
      </c>
      <c r="J1560" s="3">
        <v>1507</v>
      </c>
      <c r="K1560" s="3">
        <v>393</v>
      </c>
      <c r="L1560" t="s">
        <v>9</v>
      </c>
      <c r="M1560">
        <v>15</v>
      </c>
      <c r="N1560" t="s">
        <v>88</v>
      </c>
      <c r="O1560" t="s">
        <v>81</v>
      </c>
      <c r="P1560" t="s">
        <v>18</v>
      </c>
      <c r="Q1560" t="s">
        <v>19</v>
      </c>
      <c r="R1560" t="s">
        <v>138</v>
      </c>
      <c r="S1560" t="s">
        <v>144</v>
      </c>
      <c r="T1560" s="2">
        <f>MASTER[[#This Row],[CANTIDAD]]*MASTER[[#This Row],[PRECIO DE VENTA]]</f>
        <v>4521</v>
      </c>
      <c r="U1560" s="2">
        <f>MASTER[[#This Row],[CANTIDAD]]*MASTER[[#This Row],[COSTO UNITARIO]]</f>
        <v>1179</v>
      </c>
      <c r="V1560" s="2">
        <f>MASTER[[#This Row],[MONTO VENDIDO]]-MASTER[[#This Row],[COSTO DE VENTA]]</f>
        <v>3342</v>
      </c>
    </row>
    <row r="1561" spans="1:22" x14ac:dyDescent="0.3">
      <c r="A1561">
        <v>29681</v>
      </c>
      <c r="B1561">
        <v>1</v>
      </c>
      <c r="C1561" t="s">
        <v>121</v>
      </c>
      <c r="D1561" t="s">
        <v>122</v>
      </c>
      <c r="E1561" s="1">
        <v>44019</v>
      </c>
      <c r="F1561">
        <v>1</v>
      </c>
      <c r="G1561" t="s">
        <v>43</v>
      </c>
      <c r="H1561" t="s">
        <v>44</v>
      </c>
      <c r="I1561" s="3">
        <v>1069</v>
      </c>
      <c r="J1561" s="3">
        <v>1069</v>
      </c>
      <c r="K1561" s="3">
        <v>460</v>
      </c>
      <c r="L1561" t="s">
        <v>120</v>
      </c>
      <c r="M1561">
        <v>4</v>
      </c>
      <c r="N1561" t="s">
        <v>82</v>
      </c>
      <c r="O1561" t="s">
        <v>81</v>
      </c>
      <c r="P1561" t="s">
        <v>71</v>
      </c>
      <c r="Q1561" t="s">
        <v>72</v>
      </c>
      <c r="R1561" t="s">
        <v>139</v>
      </c>
      <c r="S1561" t="s">
        <v>144</v>
      </c>
      <c r="T1561" s="2">
        <f>MASTER[[#This Row],[CANTIDAD]]*MASTER[[#This Row],[PRECIO DE VENTA]]</f>
        <v>1069</v>
      </c>
      <c r="U1561" s="2">
        <f>MASTER[[#This Row],[CANTIDAD]]*MASTER[[#This Row],[COSTO UNITARIO]]</f>
        <v>460</v>
      </c>
      <c r="V1561" s="2">
        <f>MASTER[[#This Row],[MONTO VENDIDO]]-MASTER[[#This Row],[COSTO DE VENTA]]</f>
        <v>609</v>
      </c>
    </row>
    <row r="1562" spans="1:22" x14ac:dyDescent="0.3">
      <c r="A1562">
        <v>29699</v>
      </c>
      <c r="B1562">
        <v>1</v>
      </c>
      <c r="C1562" t="s">
        <v>5</v>
      </c>
      <c r="D1562" t="s">
        <v>6</v>
      </c>
      <c r="E1562" s="1">
        <v>44019</v>
      </c>
      <c r="F1562">
        <v>3</v>
      </c>
      <c r="G1562" t="s">
        <v>53</v>
      </c>
      <c r="H1562" t="s">
        <v>54</v>
      </c>
      <c r="I1562" s="3">
        <v>1507</v>
      </c>
      <c r="J1562" s="3">
        <v>1356</v>
      </c>
      <c r="K1562" s="3">
        <v>393</v>
      </c>
      <c r="L1562" t="s">
        <v>9</v>
      </c>
      <c r="M1562">
        <v>14</v>
      </c>
      <c r="N1562" t="s">
        <v>87</v>
      </c>
      <c r="O1562" t="s">
        <v>81</v>
      </c>
      <c r="P1562" t="s">
        <v>18</v>
      </c>
      <c r="Q1562" t="s">
        <v>19</v>
      </c>
      <c r="R1562" t="s">
        <v>138</v>
      </c>
      <c r="S1562" t="s">
        <v>144</v>
      </c>
      <c r="T1562" s="2">
        <f>MASTER[[#This Row],[CANTIDAD]]*MASTER[[#This Row],[PRECIO DE VENTA]]</f>
        <v>4068</v>
      </c>
      <c r="U1562" s="2">
        <f>MASTER[[#This Row],[CANTIDAD]]*MASTER[[#This Row],[COSTO UNITARIO]]</f>
        <v>1179</v>
      </c>
      <c r="V1562" s="2">
        <f>MASTER[[#This Row],[MONTO VENDIDO]]-MASTER[[#This Row],[COSTO DE VENTA]]</f>
        <v>2889</v>
      </c>
    </row>
    <row r="1563" spans="1:22" x14ac:dyDescent="0.3">
      <c r="A1563">
        <v>29700</v>
      </c>
      <c r="B1563">
        <v>1</v>
      </c>
      <c r="C1563" t="s">
        <v>101</v>
      </c>
      <c r="D1563" t="s">
        <v>102</v>
      </c>
      <c r="E1563" s="1">
        <v>44019</v>
      </c>
      <c r="F1563">
        <v>1</v>
      </c>
      <c r="G1563" t="s">
        <v>22</v>
      </c>
      <c r="H1563" t="s">
        <v>23</v>
      </c>
      <c r="I1563" s="3">
        <v>1357</v>
      </c>
      <c r="J1563" s="3">
        <v>1289</v>
      </c>
      <c r="K1563" s="3">
        <v>442</v>
      </c>
      <c r="L1563" t="s">
        <v>98</v>
      </c>
      <c r="M1563">
        <v>9</v>
      </c>
      <c r="N1563" t="s">
        <v>76</v>
      </c>
      <c r="O1563" t="s">
        <v>70</v>
      </c>
      <c r="P1563" t="s">
        <v>12</v>
      </c>
      <c r="Q1563" t="s">
        <v>13</v>
      </c>
      <c r="R1563" t="s">
        <v>13</v>
      </c>
      <c r="S1563" t="s">
        <v>144</v>
      </c>
      <c r="T1563" s="2">
        <f>MASTER[[#This Row],[CANTIDAD]]*MASTER[[#This Row],[PRECIO DE VENTA]]</f>
        <v>1289</v>
      </c>
      <c r="U1563" s="2">
        <f>MASTER[[#This Row],[CANTIDAD]]*MASTER[[#This Row],[COSTO UNITARIO]]</f>
        <v>442</v>
      </c>
      <c r="V1563" s="2">
        <f>MASTER[[#This Row],[MONTO VENDIDO]]-MASTER[[#This Row],[COSTO DE VENTA]]</f>
        <v>847</v>
      </c>
    </row>
    <row r="1564" spans="1:22" x14ac:dyDescent="0.3">
      <c r="A1564">
        <v>29703</v>
      </c>
      <c r="B1564">
        <v>1</v>
      </c>
      <c r="C1564" t="s">
        <v>94</v>
      </c>
      <c r="D1564" t="s">
        <v>95</v>
      </c>
      <c r="E1564" s="1">
        <v>44020</v>
      </c>
      <c r="F1564">
        <v>1</v>
      </c>
      <c r="G1564" t="s">
        <v>22</v>
      </c>
      <c r="H1564" t="s">
        <v>23</v>
      </c>
      <c r="I1564" s="3">
        <v>1153</v>
      </c>
      <c r="J1564" s="3">
        <v>1153</v>
      </c>
      <c r="K1564" s="3">
        <v>392</v>
      </c>
      <c r="L1564" t="s">
        <v>9</v>
      </c>
      <c r="M1564">
        <v>6</v>
      </c>
      <c r="N1564" t="s">
        <v>75</v>
      </c>
      <c r="O1564" t="s">
        <v>70</v>
      </c>
      <c r="P1564" t="s">
        <v>12</v>
      </c>
      <c r="Q1564" t="s">
        <v>13</v>
      </c>
      <c r="R1564" t="s">
        <v>13</v>
      </c>
      <c r="S1564" t="s">
        <v>144</v>
      </c>
      <c r="T1564" s="2">
        <f>MASTER[[#This Row],[CANTIDAD]]*MASTER[[#This Row],[PRECIO DE VENTA]]</f>
        <v>1153</v>
      </c>
      <c r="U1564" s="2">
        <f>MASTER[[#This Row],[CANTIDAD]]*MASTER[[#This Row],[COSTO UNITARIO]]</f>
        <v>392</v>
      </c>
      <c r="V1564" s="2">
        <f>MASTER[[#This Row],[MONTO VENDIDO]]-MASTER[[#This Row],[COSTO DE VENTA]]</f>
        <v>761</v>
      </c>
    </row>
    <row r="1565" spans="1:22" x14ac:dyDescent="0.3">
      <c r="A1565">
        <v>29726</v>
      </c>
      <c r="B1565">
        <v>1</v>
      </c>
      <c r="C1565" t="s">
        <v>118</v>
      </c>
      <c r="D1565" t="s">
        <v>119</v>
      </c>
      <c r="E1565" s="1">
        <v>44020</v>
      </c>
      <c r="F1565">
        <v>1</v>
      </c>
      <c r="G1565" t="s">
        <v>20</v>
      </c>
      <c r="H1565" t="s">
        <v>21</v>
      </c>
      <c r="I1565" s="3">
        <v>900</v>
      </c>
      <c r="J1565" s="3">
        <v>900</v>
      </c>
      <c r="K1565" s="3">
        <v>424</v>
      </c>
      <c r="L1565" t="s">
        <v>120</v>
      </c>
      <c r="M1565">
        <v>14</v>
      </c>
      <c r="N1565" t="s">
        <v>87</v>
      </c>
      <c r="O1565" t="s">
        <v>81</v>
      </c>
      <c r="P1565" t="s">
        <v>18</v>
      </c>
      <c r="Q1565" t="s">
        <v>19</v>
      </c>
      <c r="R1565" t="s">
        <v>138</v>
      </c>
      <c r="S1565" t="s">
        <v>144</v>
      </c>
      <c r="T1565" s="2">
        <f>MASTER[[#This Row],[CANTIDAD]]*MASTER[[#This Row],[PRECIO DE VENTA]]</f>
        <v>900</v>
      </c>
      <c r="U1565" s="2">
        <f>MASTER[[#This Row],[CANTIDAD]]*MASTER[[#This Row],[COSTO UNITARIO]]</f>
        <v>424</v>
      </c>
      <c r="V1565" s="2">
        <f>MASTER[[#This Row],[MONTO VENDIDO]]-MASTER[[#This Row],[COSTO DE VENTA]]</f>
        <v>476</v>
      </c>
    </row>
    <row r="1566" spans="1:22" x14ac:dyDescent="0.3">
      <c r="A1566">
        <v>29733</v>
      </c>
      <c r="B1566">
        <v>1</v>
      </c>
      <c r="C1566" t="s">
        <v>5</v>
      </c>
      <c r="D1566" t="s">
        <v>6</v>
      </c>
      <c r="E1566" s="1">
        <v>44020</v>
      </c>
      <c r="F1566">
        <v>1</v>
      </c>
      <c r="G1566" t="s">
        <v>43</v>
      </c>
      <c r="H1566" t="s">
        <v>44</v>
      </c>
      <c r="I1566" s="3">
        <v>1507</v>
      </c>
      <c r="J1566" s="3">
        <v>1507</v>
      </c>
      <c r="K1566" s="3">
        <v>393</v>
      </c>
      <c r="L1566" t="s">
        <v>9</v>
      </c>
      <c r="M1566">
        <v>4</v>
      </c>
      <c r="N1566" t="s">
        <v>82</v>
      </c>
      <c r="O1566" t="s">
        <v>81</v>
      </c>
      <c r="P1566" t="s">
        <v>71</v>
      </c>
      <c r="Q1566" t="s">
        <v>72</v>
      </c>
      <c r="R1566" t="s">
        <v>139</v>
      </c>
      <c r="S1566" t="s">
        <v>144</v>
      </c>
      <c r="T1566" s="2">
        <f>MASTER[[#This Row],[CANTIDAD]]*MASTER[[#This Row],[PRECIO DE VENTA]]</f>
        <v>1507</v>
      </c>
      <c r="U1566" s="2">
        <f>MASTER[[#This Row],[CANTIDAD]]*MASTER[[#This Row],[COSTO UNITARIO]]</f>
        <v>393</v>
      </c>
      <c r="V1566" s="2">
        <f>MASTER[[#This Row],[MONTO VENDIDO]]-MASTER[[#This Row],[COSTO DE VENTA]]</f>
        <v>1114</v>
      </c>
    </row>
    <row r="1567" spans="1:22" x14ac:dyDescent="0.3">
      <c r="A1567">
        <v>29746</v>
      </c>
      <c r="B1567">
        <v>1</v>
      </c>
      <c r="C1567" t="s">
        <v>105</v>
      </c>
      <c r="D1567" t="s">
        <v>106</v>
      </c>
      <c r="E1567" s="1">
        <v>44020</v>
      </c>
      <c r="F1567">
        <v>3</v>
      </c>
      <c r="G1567" t="s">
        <v>35</v>
      </c>
      <c r="H1567" t="s">
        <v>36</v>
      </c>
      <c r="I1567" s="3">
        <v>1585</v>
      </c>
      <c r="J1567" s="3">
        <v>1585</v>
      </c>
      <c r="K1567" s="3">
        <v>459</v>
      </c>
      <c r="L1567" t="s">
        <v>98</v>
      </c>
      <c r="M1567">
        <v>11</v>
      </c>
      <c r="N1567" t="s">
        <v>10</v>
      </c>
      <c r="O1567" t="s">
        <v>11</v>
      </c>
      <c r="P1567" t="s">
        <v>12</v>
      </c>
      <c r="Q1567" t="s">
        <v>13</v>
      </c>
      <c r="R1567" t="s">
        <v>13</v>
      </c>
      <c r="S1567" t="s">
        <v>144</v>
      </c>
      <c r="T1567" s="2">
        <f>MASTER[[#This Row],[CANTIDAD]]*MASTER[[#This Row],[PRECIO DE VENTA]]</f>
        <v>4755</v>
      </c>
      <c r="U1567" s="2">
        <f>MASTER[[#This Row],[CANTIDAD]]*MASTER[[#This Row],[COSTO UNITARIO]]</f>
        <v>1377</v>
      </c>
      <c r="V1567" s="2">
        <f>MASTER[[#This Row],[MONTO VENDIDO]]-MASTER[[#This Row],[COSTO DE VENTA]]</f>
        <v>3378</v>
      </c>
    </row>
    <row r="1568" spans="1:22" x14ac:dyDescent="0.3">
      <c r="A1568">
        <v>29759</v>
      </c>
      <c r="B1568">
        <v>1</v>
      </c>
      <c r="C1568" t="s">
        <v>109</v>
      </c>
      <c r="D1568" t="s">
        <v>110</v>
      </c>
      <c r="E1568" s="1">
        <v>44020</v>
      </c>
      <c r="F1568">
        <v>1</v>
      </c>
      <c r="G1568" t="s">
        <v>51</v>
      </c>
      <c r="H1568" t="s">
        <v>52</v>
      </c>
      <c r="I1568" s="3">
        <v>1128</v>
      </c>
      <c r="J1568" s="3">
        <v>1128</v>
      </c>
      <c r="K1568" s="3">
        <v>387</v>
      </c>
      <c r="L1568" t="s">
        <v>98</v>
      </c>
      <c r="M1568">
        <v>3</v>
      </c>
      <c r="N1568" t="s">
        <v>69</v>
      </c>
      <c r="O1568" t="s">
        <v>70</v>
      </c>
      <c r="P1568" t="s">
        <v>71</v>
      </c>
      <c r="Q1568" t="s">
        <v>72</v>
      </c>
      <c r="R1568" t="s">
        <v>139</v>
      </c>
      <c r="S1568" t="s">
        <v>144</v>
      </c>
      <c r="T1568" s="2">
        <f>MASTER[[#This Row],[CANTIDAD]]*MASTER[[#This Row],[PRECIO DE VENTA]]</f>
        <v>1128</v>
      </c>
      <c r="U1568" s="2">
        <f>MASTER[[#This Row],[CANTIDAD]]*MASTER[[#This Row],[COSTO UNITARIO]]</f>
        <v>387</v>
      </c>
      <c r="V1568" s="2">
        <f>MASTER[[#This Row],[MONTO VENDIDO]]-MASTER[[#This Row],[COSTO DE VENTA]]</f>
        <v>741</v>
      </c>
    </row>
    <row r="1569" spans="1:22" x14ac:dyDescent="0.3">
      <c r="A1569">
        <v>29831</v>
      </c>
      <c r="B1569">
        <v>1</v>
      </c>
      <c r="C1569" t="s">
        <v>107</v>
      </c>
      <c r="D1569" t="s">
        <v>108</v>
      </c>
      <c r="E1569" s="1">
        <v>44020</v>
      </c>
      <c r="F1569">
        <v>1</v>
      </c>
      <c r="G1569" t="s">
        <v>51</v>
      </c>
      <c r="H1569" t="s">
        <v>52</v>
      </c>
      <c r="I1569" s="3">
        <v>1333</v>
      </c>
      <c r="J1569" s="3">
        <v>1333</v>
      </c>
      <c r="K1569" s="3">
        <v>380</v>
      </c>
      <c r="L1569" t="s">
        <v>98</v>
      </c>
      <c r="M1569">
        <v>8</v>
      </c>
      <c r="N1569" t="s">
        <v>80</v>
      </c>
      <c r="O1569" t="s">
        <v>81</v>
      </c>
      <c r="P1569" t="s">
        <v>12</v>
      </c>
      <c r="Q1569" t="s">
        <v>13</v>
      </c>
      <c r="R1569" t="s">
        <v>13</v>
      </c>
      <c r="S1569" t="s">
        <v>144</v>
      </c>
      <c r="T1569" s="2">
        <f>MASTER[[#This Row],[CANTIDAD]]*MASTER[[#This Row],[PRECIO DE VENTA]]</f>
        <v>1333</v>
      </c>
      <c r="U1569" s="2">
        <f>MASTER[[#This Row],[CANTIDAD]]*MASTER[[#This Row],[COSTO UNITARIO]]</f>
        <v>380</v>
      </c>
      <c r="V1569" s="2">
        <f>MASTER[[#This Row],[MONTO VENDIDO]]-MASTER[[#This Row],[COSTO DE VENTA]]</f>
        <v>953</v>
      </c>
    </row>
    <row r="1570" spans="1:22" x14ac:dyDescent="0.3">
      <c r="A1570">
        <v>29838</v>
      </c>
      <c r="B1570">
        <v>1</v>
      </c>
      <c r="C1570" t="s">
        <v>118</v>
      </c>
      <c r="D1570" t="s">
        <v>119</v>
      </c>
      <c r="E1570" s="1">
        <v>44020</v>
      </c>
      <c r="F1570">
        <v>1</v>
      </c>
      <c r="G1570" t="s">
        <v>27</v>
      </c>
      <c r="H1570" t="s">
        <v>28</v>
      </c>
      <c r="I1570" s="3">
        <v>801</v>
      </c>
      <c r="J1570" s="3">
        <v>801</v>
      </c>
      <c r="K1570" s="3">
        <v>424</v>
      </c>
      <c r="L1570" t="s">
        <v>120</v>
      </c>
      <c r="M1570">
        <v>12</v>
      </c>
      <c r="N1570" t="s">
        <v>26</v>
      </c>
      <c r="O1570" t="s">
        <v>11</v>
      </c>
      <c r="P1570" t="s">
        <v>12</v>
      </c>
      <c r="Q1570" t="s">
        <v>13</v>
      </c>
      <c r="R1570" t="s">
        <v>13</v>
      </c>
      <c r="S1570" t="s">
        <v>144</v>
      </c>
      <c r="T1570" s="2">
        <f>MASTER[[#This Row],[CANTIDAD]]*MASTER[[#This Row],[PRECIO DE VENTA]]</f>
        <v>801</v>
      </c>
      <c r="U1570" s="2">
        <f>MASTER[[#This Row],[CANTIDAD]]*MASTER[[#This Row],[COSTO UNITARIO]]</f>
        <v>424</v>
      </c>
      <c r="V1570" s="2">
        <f>MASTER[[#This Row],[MONTO VENDIDO]]-MASTER[[#This Row],[COSTO DE VENTA]]</f>
        <v>377</v>
      </c>
    </row>
    <row r="1571" spans="1:22" x14ac:dyDescent="0.3">
      <c r="A1571">
        <v>29845</v>
      </c>
      <c r="B1571">
        <v>1</v>
      </c>
      <c r="C1571" t="s">
        <v>114</v>
      </c>
      <c r="D1571" t="s">
        <v>115</v>
      </c>
      <c r="E1571" s="1">
        <v>44020</v>
      </c>
      <c r="F1571">
        <v>1</v>
      </c>
      <c r="G1571" t="s">
        <v>67</v>
      </c>
      <c r="H1571" t="s">
        <v>68</v>
      </c>
      <c r="I1571" s="3">
        <v>1862</v>
      </c>
      <c r="J1571" s="3">
        <v>1694</v>
      </c>
      <c r="K1571" s="3">
        <v>394</v>
      </c>
      <c r="L1571" t="s">
        <v>113</v>
      </c>
      <c r="M1571">
        <v>14</v>
      </c>
      <c r="N1571" t="s">
        <v>87</v>
      </c>
      <c r="O1571" t="s">
        <v>81</v>
      </c>
      <c r="P1571" t="s">
        <v>18</v>
      </c>
      <c r="Q1571" t="s">
        <v>19</v>
      </c>
      <c r="R1571" t="s">
        <v>138</v>
      </c>
      <c r="S1571" t="s">
        <v>144</v>
      </c>
      <c r="T1571" s="2">
        <f>MASTER[[#This Row],[CANTIDAD]]*MASTER[[#This Row],[PRECIO DE VENTA]]</f>
        <v>1694</v>
      </c>
      <c r="U1571" s="2">
        <f>MASTER[[#This Row],[CANTIDAD]]*MASTER[[#This Row],[COSTO UNITARIO]]</f>
        <v>394</v>
      </c>
      <c r="V1571" s="2">
        <f>MASTER[[#This Row],[MONTO VENDIDO]]-MASTER[[#This Row],[COSTO DE VENTA]]</f>
        <v>1300</v>
      </c>
    </row>
    <row r="1572" spans="1:22" x14ac:dyDescent="0.3">
      <c r="A1572">
        <v>29855</v>
      </c>
      <c r="B1572">
        <v>1</v>
      </c>
      <c r="C1572" t="s">
        <v>92</v>
      </c>
      <c r="D1572" t="s">
        <v>93</v>
      </c>
      <c r="E1572" s="1">
        <v>44020</v>
      </c>
      <c r="F1572">
        <v>1</v>
      </c>
      <c r="G1572" t="s">
        <v>37</v>
      </c>
      <c r="H1572" t="s">
        <v>38</v>
      </c>
      <c r="I1572" s="3">
        <v>1681</v>
      </c>
      <c r="J1572" s="3">
        <v>1681</v>
      </c>
      <c r="K1572" s="3">
        <v>396</v>
      </c>
      <c r="L1572" t="s">
        <v>9</v>
      </c>
      <c r="M1572">
        <v>7</v>
      </c>
      <c r="N1572" t="s">
        <v>84</v>
      </c>
      <c r="O1572" t="s">
        <v>81</v>
      </c>
      <c r="P1572" t="s">
        <v>12</v>
      </c>
      <c r="Q1572" t="s">
        <v>13</v>
      </c>
      <c r="R1572" t="s">
        <v>13</v>
      </c>
      <c r="S1572" t="s">
        <v>144</v>
      </c>
      <c r="T1572" s="2">
        <f>MASTER[[#This Row],[CANTIDAD]]*MASTER[[#This Row],[PRECIO DE VENTA]]</f>
        <v>1681</v>
      </c>
      <c r="U1572" s="2">
        <f>MASTER[[#This Row],[CANTIDAD]]*MASTER[[#This Row],[COSTO UNITARIO]]</f>
        <v>396</v>
      </c>
      <c r="V1572" s="2">
        <f>MASTER[[#This Row],[MONTO VENDIDO]]-MASTER[[#This Row],[COSTO DE VENTA]]</f>
        <v>1285</v>
      </c>
    </row>
    <row r="1573" spans="1:22" x14ac:dyDescent="0.3">
      <c r="A1573">
        <v>29855</v>
      </c>
      <c r="B1573">
        <v>2</v>
      </c>
      <c r="C1573" t="s">
        <v>116</v>
      </c>
      <c r="D1573" t="s">
        <v>117</v>
      </c>
      <c r="E1573" s="1">
        <v>44020</v>
      </c>
      <c r="F1573">
        <v>1</v>
      </c>
      <c r="G1573" t="s">
        <v>55</v>
      </c>
      <c r="H1573" t="s">
        <v>56</v>
      </c>
      <c r="I1573" s="3">
        <v>1738</v>
      </c>
      <c r="J1573" s="3">
        <v>1738</v>
      </c>
      <c r="K1573" s="3">
        <v>388</v>
      </c>
      <c r="L1573" t="s">
        <v>113</v>
      </c>
      <c r="M1573">
        <v>7</v>
      </c>
      <c r="N1573" t="s">
        <v>84</v>
      </c>
      <c r="O1573" t="s">
        <v>81</v>
      </c>
      <c r="P1573" t="s">
        <v>12</v>
      </c>
      <c r="Q1573" t="s">
        <v>13</v>
      </c>
      <c r="R1573" t="s">
        <v>13</v>
      </c>
      <c r="S1573" t="s">
        <v>144</v>
      </c>
      <c r="T1573" s="2">
        <f>MASTER[[#This Row],[CANTIDAD]]*MASTER[[#This Row],[PRECIO DE VENTA]]</f>
        <v>1738</v>
      </c>
      <c r="U1573" s="2">
        <f>MASTER[[#This Row],[CANTIDAD]]*MASTER[[#This Row],[COSTO UNITARIO]]</f>
        <v>388</v>
      </c>
      <c r="V1573" s="2">
        <f>MASTER[[#This Row],[MONTO VENDIDO]]-MASTER[[#This Row],[COSTO DE VENTA]]</f>
        <v>1350</v>
      </c>
    </row>
    <row r="1574" spans="1:22" x14ac:dyDescent="0.3">
      <c r="A1574">
        <v>29888</v>
      </c>
      <c r="B1574">
        <v>1</v>
      </c>
      <c r="C1574" t="s">
        <v>109</v>
      </c>
      <c r="D1574" t="s">
        <v>110</v>
      </c>
      <c r="E1574" s="1">
        <v>44021</v>
      </c>
      <c r="F1574">
        <v>1</v>
      </c>
      <c r="G1574" t="s">
        <v>47</v>
      </c>
      <c r="H1574" t="s">
        <v>48</v>
      </c>
      <c r="I1574" s="3">
        <v>1064</v>
      </c>
      <c r="J1574" s="3">
        <v>1064</v>
      </c>
      <c r="K1574" s="3">
        <v>387</v>
      </c>
      <c r="L1574" t="s">
        <v>98</v>
      </c>
      <c r="M1574">
        <v>15</v>
      </c>
      <c r="N1574" t="s">
        <v>88</v>
      </c>
      <c r="O1574" t="s">
        <v>81</v>
      </c>
      <c r="P1574" t="s">
        <v>18</v>
      </c>
      <c r="Q1574" t="s">
        <v>19</v>
      </c>
      <c r="R1574" t="s">
        <v>138</v>
      </c>
      <c r="S1574" t="s">
        <v>144</v>
      </c>
      <c r="T1574" s="2">
        <f>MASTER[[#This Row],[CANTIDAD]]*MASTER[[#This Row],[PRECIO DE VENTA]]</f>
        <v>1064</v>
      </c>
      <c r="U1574" s="2">
        <f>MASTER[[#This Row],[CANTIDAD]]*MASTER[[#This Row],[COSTO UNITARIO]]</f>
        <v>387</v>
      </c>
      <c r="V1574" s="2">
        <f>MASTER[[#This Row],[MONTO VENDIDO]]-MASTER[[#This Row],[COSTO DE VENTA]]</f>
        <v>677</v>
      </c>
    </row>
    <row r="1575" spans="1:22" x14ac:dyDescent="0.3">
      <c r="A1575">
        <v>29890</v>
      </c>
      <c r="B1575">
        <v>1</v>
      </c>
      <c r="C1575" t="s">
        <v>107</v>
      </c>
      <c r="D1575" t="s">
        <v>108</v>
      </c>
      <c r="E1575" s="1">
        <v>44021</v>
      </c>
      <c r="F1575">
        <v>1</v>
      </c>
      <c r="G1575" t="s">
        <v>61</v>
      </c>
      <c r="H1575" t="s">
        <v>62</v>
      </c>
      <c r="I1575" s="3">
        <v>1333</v>
      </c>
      <c r="J1575" s="3">
        <v>1333</v>
      </c>
      <c r="K1575" s="3">
        <v>380</v>
      </c>
      <c r="L1575" t="s">
        <v>98</v>
      </c>
      <c r="M1575">
        <v>8</v>
      </c>
      <c r="N1575" t="s">
        <v>80</v>
      </c>
      <c r="O1575" t="s">
        <v>81</v>
      </c>
      <c r="P1575" t="s">
        <v>12</v>
      </c>
      <c r="Q1575" t="s">
        <v>13</v>
      </c>
      <c r="R1575" t="s">
        <v>13</v>
      </c>
      <c r="S1575" t="s">
        <v>144</v>
      </c>
      <c r="T1575" s="2">
        <f>MASTER[[#This Row],[CANTIDAD]]*MASTER[[#This Row],[PRECIO DE VENTA]]</f>
        <v>1333</v>
      </c>
      <c r="U1575" s="2">
        <f>MASTER[[#This Row],[CANTIDAD]]*MASTER[[#This Row],[COSTO UNITARIO]]</f>
        <v>380</v>
      </c>
      <c r="V1575" s="2">
        <f>MASTER[[#This Row],[MONTO VENDIDO]]-MASTER[[#This Row],[COSTO DE VENTA]]</f>
        <v>953</v>
      </c>
    </row>
    <row r="1576" spans="1:22" x14ac:dyDescent="0.3">
      <c r="A1576">
        <v>29892</v>
      </c>
      <c r="B1576">
        <v>1</v>
      </c>
      <c r="C1576" t="s">
        <v>5</v>
      </c>
      <c r="D1576" t="s">
        <v>6</v>
      </c>
      <c r="E1576" s="1">
        <v>44021</v>
      </c>
      <c r="F1576">
        <v>1</v>
      </c>
      <c r="G1576" t="s">
        <v>55</v>
      </c>
      <c r="H1576" t="s">
        <v>56</v>
      </c>
      <c r="I1576" s="3">
        <v>1507</v>
      </c>
      <c r="J1576" s="3">
        <v>1507</v>
      </c>
      <c r="K1576" s="3">
        <v>393</v>
      </c>
      <c r="L1576" t="s">
        <v>9</v>
      </c>
      <c r="M1576">
        <v>15</v>
      </c>
      <c r="N1576" t="s">
        <v>88</v>
      </c>
      <c r="O1576" t="s">
        <v>81</v>
      </c>
      <c r="P1576" t="s">
        <v>18</v>
      </c>
      <c r="Q1576" t="s">
        <v>19</v>
      </c>
      <c r="R1576" t="s">
        <v>138</v>
      </c>
      <c r="S1576" t="s">
        <v>144</v>
      </c>
      <c r="T1576" s="2">
        <f>MASTER[[#This Row],[CANTIDAD]]*MASTER[[#This Row],[PRECIO DE VENTA]]</f>
        <v>1507</v>
      </c>
      <c r="U1576" s="2">
        <f>MASTER[[#This Row],[CANTIDAD]]*MASTER[[#This Row],[COSTO UNITARIO]]</f>
        <v>393</v>
      </c>
      <c r="V1576" s="2">
        <f>MASTER[[#This Row],[MONTO VENDIDO]]-MASTER[[#This Row],[COSTO DE VENTA]]</f>
        <v>1114</v>
      </c>
    </row>
    <row r="1577" spans="1:22" x14ac:dyDescent="0.3">
      <c r="A1577">
        <v>29911</v>
      </c>
      <c r="B1577">
        <v>1</v>
      </c>
      <c r="C1577" t="s">
        <v>111</v>
      </c>
      <c r="D1577" t="s">
        <v>112</v>
      </c>
      <c r="E1577" s="1">
        <v>44021</v>
      </c>
      <c r="F1577">
        <v>1</v>
      </c>
      <c r="G1577" t="s">
        <v>7</v>
      </c>
      <c r="H1577" t="s">
        <v>8</v>
      </c>
      <c r="I1577" s="3">
        <v>1524</v>
      </c>
      <c r="J1577" s="3">
        <v>1524</v>
      </c>
      <c r="K1577" s="3">
        <v>434</v>
      </c>
      <c r="L1577" t="s">
        <v>113</v>
      </c>
      <c r="M1577">
        <v>11</v>
      </c>
      <c r="N1577" t="s">
        <v>10</v>
      </c>
      <c r="O1577" t="s">
        <v>11</v>
      </c>
      <c r="P1577" t="s">
        <v>12</v>
      </c>
      <c r="Q1577" t="s">
        <v>13</v>
      </c>
      <c r="R1577" t="s">
        <v>13</v>
      </c>
      <c r="S1577" t="s">
        <v>144</v>
      </c>
      <c r="T1577" s="2">
        <f>MASTER[[#This Row],[CANTIDAD]]*MASTER[[#This Row],[PRECIO DE VENTA]]</f>
        <v>1524</v>
      </c>
      <c r="U1577" s="2">
        <f>MASTER[[#This Row],[CANTIDAD]]*MASTER[[#This Row],[COSTO UNITARIO]]</f>
        <v>434</v>
      </c>
      <c r="V1577" s="2">
        <f>MASTER[[#This Row],[MONTO VENDIDO]]-MASTER[[#This Row],[COSTO DE VENTA]]</f>
        <v>1090</v>
      </c>
    </row>
    <row r="1578" spans="1:22" x14ac:dyDescent="0.3">
      <c r="A1578">
        <v>29916</v>
      </c>
      <c r="B1578">
        <v>1</v>
      </c>
      <c r="C1578" t="s">
        <v>107</v>
      </c>
      <c r="D1578" t="s">
        <v>108</v>
      </c>
      <c r="E1578" s="1">
        <v>44021</v>
      </c>
      <c r="F1578">
        <v>1</v>
      </c>
      <c r="G1578" t="s">
        <v>33</v>
      </c>
      <c r="H1578" t="s">
        <v>34</v>
      </c>
      <c r="I1578" s="3">
        <v>1333</v>
      </c>
      <c r="J1578" s="3">
        <v>1333</v>
      </c>
      <c r="K1578" s="3">
        <v>380</v>
      </c>
      <c r="L1578" t="s">
        <v>98</v>
      </c>
      <c r="M1578">
        <v>5</v>
      </c>
      <c r="N1578" t="s">
        <v>85</v>
      </c>
      <c r="O1578" t="s">
        <v>81</v>
      </c>
      <c r="P1578" t="s">
        <v>12</v>
      </c>
      <c r="Q1578" t="s">
        <v>13</v>
      </c>
      <c r="R1578" t="s">
        <v>13</v>
      </c>
      <c r="S1578" t="s">
        <v>144</v>
      </c>
      <c r="T1578" s="2">
        <f>MASTER[[#This Row],[CANTIDAD]]*MASTER[[#This Row],[PRECIO DE VENTA]]</f>
        <v>1333</v>
      </c>
      <c r="U1578" s="2">
        <f>MASTER[[#This Row],[CANTIDAD]]*MASTER[[#This Row],[COSTO UNITARIO]]</f>
        <v>380</v>
      </c>
      <c r="V1578" s="2">
        <f>MASTER[[#This Row],[MONTO VENDIDO]]-MASTER[[#This Row],[COSTO DE VENTA]]</f>
        <v>953</v>
      </c>
    </row>
    <row r="1579" spans="1:22" x14ac:dyDescent="0.3">
      <c r="A1579">
        <v>29930</v>
      </c>
      <c r="B1579">
        <v>1</v>
      </c>
      <c r="C1579" t="s">
        <v>90</v>
      </c>
      <c r="D1579" t="s">
        <v>91</v>
      </c>
      <c r="E1579" s="1">
        <v>44021</v>
      </c>
      <c r="F1579">
        <v>1</v>
      </c>
      <c r="G1579" t="s">
        <v>41</v>
      </c>
      <c r="H1579" t="s">
        <v>42</v>
      </c>
      <c r="I1579" s="3">
        <v>1660</v>
      </c>
      <c r="J1579" s="3">
        <v>1660</v>
      </c>
      <c r="K1579" s="3">
        <v>420</v>
      </c>
      <c r="L1579" t="s">
        <v>9</v>
      </c>
      <c r="M1579">
        <v>16</v>
      </c>
      <c r="N1579" t="s">
        <v>17</v>
      </c>
      <c r="O1579" t="s">
        <v>11</v>
      </c>
      <c r="P1579" t="s">
        <v>18</v>
      </c>
      <c r="Q1579" t="s">
        <v>19</v>
      </c>
      <c r="R1579" t="s">
        <v>138</v>
      </c>
      <c r="S1579" t="s">
        <v>144</v>
      </c>
      <c r="T1579" s="2">
        <f>MASTER[[#This Row],[CANTIDAD]]*MASTER[[#This Row],[PRECIO DE VENTA]]</f>
        <v>1660</v>
      </c>
      <c r="U1579" s="2">
        <f>MASTER[[#This Row],[CANTIDAD]]*MASTER[[#This Row],[COSTO UNITARIO]]</f>
        <v>420</v>
      </c>
      <c r="V1579" s="2">
        <f>MASTER[[#This Row],[MONTO VENDIDO]]-MASTER[[#This Row],[COSTO DE VENTA]]</f>
        <v>1240</v>
      </c>
    </row>
    <row r="1580" spans="1:22" x14ac:dyDescent="0.3">
      <c r="A1580">
        <v>29944</v>
      </c>
      <c r="B1580">
        <v>1</v>
      </c>
      <c r="C1580" t="s">
        <v>107</v>
      </c>
      <c r="D1580" t="s">
        <v>108</v>
      </c>
      <c r="E1580" s="1">
        <v>44022</v>
      </c>
      <c r="F1580">
        <v>1</v>
      </c>
      <c r="G1580" t="s">
        <v>67</v>
      </c>
      <c r="H1580" t="s">
        <v>68</v>
      </c>
      <c r="I1580" s="3">
        <v>1440</v>
      </c>
      <c r="J1580" s="3">
        <v>1440</v>
      </c>
      <c r="K1580" s="3">
        <v>380</v>
      </c>
      <c r="L1580" t="s">
        <v>98</v>
      </c>
      <c r="M1580">
        <v>1</v>
      </c>
      <c r="N1580" t="s">
        <v>77</v>
      </c>
      <c r="O1580" t="s">
        <v>70</v>
      </c>
      <c r="P1580" t="s">
        <v>71</v>
      </c>
      <c r="Q1580" t="s">
        <v>72</v>
      </c>
      <c r="R1580" t="s">
        <v>139</v>
      </c>
      <c r="S1580" t="s">
        <v>144</v>
      </c>
      <c r="T1580" s="2">
        <f>MASTER[[#This Row],[CANTIDAD]]*MASTER[[#This Row],[PRECIO DE VENTA]]</f>
        <v>1440</v>
      </c>
      <c r="U1580" s="2">
        <f>MASTER[[#This Row],[CANTIDAD]]*MASTER[[#This Row],[COSTO UNITARIO]]</f>
        <v>380</v>
      </c>
      <c r="V1580" s="2">
        <f>MASTER[[#This Row],[MONTO VENDIDO]]-MASTER[[#This Row],[COSTO DE VENTA]]</f>
        <v>1060</v>
      </c>
    </row>
    <row r="1581" spans="1:22" x14ac:dyDescent="0.3">
      <c r="A1581">
        <v>29963</v>
      </c>
      <c r="B1581">
        <v>1</v>
      </c>
      <c r="C1581" t="s">
        <v>94</v>
      </c>
      <c r="D1581" t="s">
        <v>95</v>
      </c>
      <c r="E1581" s="1">
        <v>44022</v>
      </c>
      <c r="F1581">
        <v>1</v>
      </c>
      <c r="G1581" t="s">
        <v>22</v>
      </c>
      <c r="H1581" t="s">
        <v>23</v>
      </c>
      <c r="I1581" s="3">
        <v>1048</v>
      </c>
      <c r="J1581" s="3">
        <v>1048</v>
      </c>
      <c r="K1581" s="3">
        <v>392</v>
      </c>
      <c r="L1581" t="s">
        <v>9</v>
      </c>
      <c r="M1581">
        <v>19</v>
      </c>
      <c r="N1581" t="s">
        <v>89</v>
      </c>
      <c r="O1581" t="s">
        <v>81</v>
      </c>
      <c r="P1581" t="s">
        <v>15</v>
      </c>
      <c r="Q1581" t="s">
        <v>16</v>
      </c>
      <c r="R1581" t="s">
        <v>16</v>
      </c>
      <c r="S1581" t="s">
        <v>144</v>
      </c>
      <c r="T1581" s="2">
        <f>MASTER[[#This Row],[CANTIDAD]]*MASTER[[#This Row],[PRECIO DE VENTA]]</f>
        <v>1048</v>
      </c>
      <c r="U1581" s="2">
        <f>MASTER[[#This Row],[CANTIDAD]]*MASTER[[#This Row],[COSTO UNITARIO]]</f>
        <v>392</v>
      </c>
      <c r="V1581" s="2">
        <f>MASTER[[#This Row],[MONTO VENDIDO]]-MASTER[[#This Row],[COSTO DE VENTA]]</f>
        <v>656</v>
      </c>
    </row>
    <row r="1582" spans="1:22" x14ac:dyDescent="0.3">
      <c r="A1582">
        <v>29984</v>
      </c>
      <c r="B1582">
        <v>1</v>
      </c>
      <c r="C1582" t="s">
        <v>101</v>
      </c>
      <c r="D1582" t="s">
        <v>102</v>
      </c>
      <c r="E1582" s="1">
        <v>44022</v>
      </c>
      <c r="F1582">
        <v>1</v>
      </c>
      <c r="G1582" t="s">
        <v>73</v>
      </c>
      <c r="H1582" t="s">
        <v>74</v>
      </c>
      <c r="I1582" s="3">
        <v>1212</v>
      </c>
      <c r="J1582" s="3">
        <v>1212</v>
      </c>
      <c r="K1582" s="3">
        <v>442</v>
      </c>
      <c r="L1582" t="s">
        <v>98</v>
      </c>
      <c r="M1582">
        <v>2</v>
      </c>
      <c r="N1582" t="s">
        <v>86</v>
      </c>
      <c r="O1582" t="s">
        <v>81</v>
      </c>
      <c r="P1582" t="s">
        <v>71</v>
      </c>
      <c r="Q1582" t="s">
        <v>72</v>
      </c>
      <c r="R1582" t="s">
        <v>139</v>
      </c>
      <c r="S1582" t="s">
        <v>144</v>
      </c>
      <c r="T1582" s="2">
        <f>MASTER[[#This Row],[CANTIDAD]]*MASTER[[#This Row],[PRECIO DE VENTA]]</f>
        <v>1212</v>
      </c>
      <c r="U1582" s="2">
        <f>MASTER[[#This Row],[CANTIDAD]]*MASTER[[#This Row],[COSTO UNITARIO]]</f>
        <v>442</v>
      </c>
      <c r="V1582" s="2">
        <f>MASTER[[#This Row],[MONTO VENDIDO]]-MASTER[[#This Row],[COSTO DE VENTA]]</f>
        <v>770</v>
      </c>
    </row>
    <row r="1583" spans="1:22" x14ac:dyDescent="0.3">
      <c r="A1583">
        <v>29994</v>
      </c>
      <c r="B1583">
        <v>1</v>
      </c>
      <c r="C1583" t="s">
        <v>118</v>
      </c>
      <c r="D1583" t="s">
        <v>119</v>
      </c>
      <c r="E1583" s="1">
        <v>44022</v>
      </c>
      <c r="F1583">
        <v>1</v>
      </c>
      <c r="G1583" t="s">
        <v>35</v>
      </c>
      <c r="H1583" t="s">
        <v>36</v>
      </c>
      <c r="I1583" s="3">
        <v>1026</v>
      </c>
      <c r="J1583" s="3">
        <v>1026</v>
      </c>
      <c r="K1583" s="3">
        <v>424</v>
      </c>
      <c r="L1583" t="s">
        <v>120</v>
      </c>
      <c r="M1583">
        <v>13</v>
      </c>
      <c r="N1583" t="s">
        <v>78</v>
      </c>
      <c r="O1583" t="s">
        <v>70</v>
      </c>
      <c r="P1583" t="s">
        <v>18</v>
      </c>
      <c r="Q1583" t="s">
        <v>19</v>
      </c>
      <c r="R1583" t="s">
        <v>138</v>
      </c>
      <c r="S1583" t="s">
        <v>144</v>
      </c>
      <c r="T1583" s="2">
        <f>MASTER[[#This Row],[CANTIDAD]]*MASTER[[#This Row],[PRECIO DE VENTA]]</f>
        <v>1026</v>
      </c>
      <c r="U1583" s="2">
        <f>MASTER[[#This Row],[CANTIDAD]]*MASTER[[#This Row],[COSTO UNITARIO]]</f>
        <v>424</v>
      </c>
      <c r="V1583" s="2">
        <f>MASTER[[#This Row],[MONTO VENDIDO]]-MASTER[[#This Row],[COSTO DE VENTA]]</f>
        <v>602</v>
      </c>
    </row>
    <row r="1584" spans="1:22" x14ac:dyDescent="0.3">
      <c r="A1584">
        <v>30001</v>
      </c>
      <c r="B1584">
        <v>1</v>
      </c>
      <c r="C1584" t="s">
        <v>111</v>
      </c>
      <c r="D1584" t="s">
        <v>112</v>
      </c>
      <c r="E1584" s="1">
        <v>44022</v>
      </c>
      <c r="F1584">
        <v>1</v>
      </c>
      <c r="G1584" t="s">
        <v>63</v>
      </c>
      <c r="H1584" t="s">
        <v>64</v>
      </c>
      <c r="I1584" s="3">
        <v>1621</v>
      </c>
      <c r="J1584" s="3">
        <v>1621</v>
      </c>
      <c r="K1584" s="3">
        <v>434</v>
      </c>
      <c r="L1584" t="s">
        <v>113</v>
      </c>
      <c r="M1584">
        <v>2</v>
      </c>
      <c r="N1584" t="s">
        <v>86</v>
      </c>
      <c r="O1584" t="s">
        <v>81</v>
      </c>
      <c r="P1584" t="s">
        <v>71</v>
      </c>
      <c r="Q1584" t="s">
        <v>72</v>
      </c>
      <c r="R1584" t="s">
        <v>139</v>
      </c>
      <c r="S1584" t="s">
        <v>144</v>
      </c>
      <c r="T1584" s="2">
        <f>MASTER[[#This Row],[CANTIDAD]]*MASTER[[#This Row],[PRECIO DE VENTA]]</f>
        <v>1621</v>
      </c>
      <c r="U1584" s="2">
        <f>MASTER[[#This Row],[CANTIDAD]]*MASTER[[#This Row],[COSTO UNITARIO]]</f>
        <v>434</v>
      </c>
      <c r="V1584" s="2">
        <f>MASTER[[#This Row],[MONTO VENDIDO]]-MASTER[[#This Row],[COSTO DE VENTA]]</f>
        <v>1187</v>
      </c>
    </row>
    <row r="1585" spans="1:22" x14ac:dyDescent="0.3">
      <c r="A1585">
        <v>30007</v>
      </c>
      <c r="B1585">
        <v>1</v>
      </c>
      <c r="C1585" t="s">
        <v>107</v>
      </c>
      <c r="D1585" t="s">
        <v>108</v>
      </c>
      <c r="E1585" s="1">
        <v>44023</v>
      </c>
      <c r="F1585">
        <v>1</v>
      </c>
      <c r="G1585" t="s">
        <v>57</v>
      </c>
      <c r="H1585" t="s">
        <v>58</v>
      </c>
      <c r="I1585" s="3">
        <v>1240</v>
      </c>
      <c r="J1585" s="3">
        <v>1240</v>
      </c>
      <c r="K1585" s="3">
        <v>380</v>
      </c>
      <c r="L1585" t="s">
        <v>98</v>
      </c>
      <c r="M1585">
        <v>11</v>
      </c>
      <c r="N1585" t="s">
        <v>10</v>
      </c>
      <c r="O1585" t="s">
        <v>11</v>
      </c>
      <c r="P1585" t="s">
        <v>12</v>
      </c>
      <c r="Q1585" t="s">
        <v>13</v>
      </c>
      <c r="R1585" t="s">
        <v>13</v>
      </c>
      <c r="S1585" t="s">
        <v>144</v>
      </c>
      <c r="T1585" s="2">
        <f>MASTER[[#This Row],[CANTIDAD]]*MASTER[[#This Row],[PRECIO DE VENTA]]</f>
        <v>1240</v>
      </c>
      <c r="U1585" s="2">
        <f>MASTER[[#This Row],[CANTIDAD]]*MASTER[[#This Row],[COSTO UNITARIO]]</f>
        <v>380</v>
      </c>
      <c r="V1585" s="2">
        <f>MASTER[[#This Row],[MONTO VENDIDO]]-MASTER[[#This Row],[COSTO DE VENTA]]</f>
        <v>860</v>
      </c>
    </row>
    <row r="1586" spans="1:22" x14ac:dyDescent="0.3">
      <c r="A1586">
        <v>30031</v>
      </c>
      <c r="B1586">
        <v>1</v>
      </c>
      <c r="C1586" t="s">
        <v>109</v>
      </c>
      <c r="D1586" t="s">
        <v>110</v>
      </c>
      <c r="E1586" s="1">
        <v>44023</v>
      </c>
      <c r="F1586">
        <v>1</v>
      </c>
      <c r="G1586" t="s">
        <v>35</v>
      </c>
      <c r="H1586" t="s">
        <v>36</v>
      </c>
      <c r="I1586" s="3">
        <v>1064</v>
      </c>
      <c r="J1586" s="3">
        <v>1064</v>
      </c>
      <c r="K1586" s="3">
        <v>387</v>
      </c>
      <c r="L1586" t="s">
        <v>98</v>
      </c>
      <c r="M1586">
        <v>2</v>
      </c>
      <c r="N1586" t="s">
        <v>86</v>
      </c>
      <c r="O1586" t="s">
        <v>81</v>
      </c>
      <c r="P1586" t="s">
        <v>71</v>
      </c>
      <c r="Q1586" t="s">
        <v>72</v>
      </c>
      <c r="R1586" t="s">
        <v>139</v>
      </c>
      <c r="S1586" t="s">
        <v>144</v>
      </c>
      <c r="T1586" s="2">
        <f>MASTER[[#This Row],[CANTIDAD]]*MASTER[[#This Row],[PRECIO DE VENTA]]</f>
        <v>1064</v>
      </c>
      <c r="U1586" s="2">
        <f>MASTER[[#This Row],[CANTIDAD]]*MASTER[[#This Row],[COSTO UNITARIO]]</f>
        <v>387</v>
      </c>
      <c r="V1586" s="2">
        <f>MASTER[[#This Row],[MONTO VENDIDO]]-MASTER[[#This Row],[COSTO DE VENTA]]</f>
        <v>677</v>
      </c>
    </row>
    <row r="1587" spans="1:22" x14ac:dyDescent="0.3">
      <c r="A1587">
        <v>30066</v>
      </c>
      <c r="B1587">
        <v>1</v>
      </c>
      <c r="C1587" t="s">
        <v>121</v>
      </c>
      <c r="D1587" t="s">
        <v>122</v>
      </c>
      <c r="E1587" s="1">
        <v>44023</v>
      </c>
      <c r="F1587">
        <v>1</v>
      </c>
      <c r="G1587" t="s">
        <v>41</v>
      </c>
      <c r="H1587" t="s">
        <v>42</v>
      </c>
      <c r="I1587" s="3">
        <v>1069</v>
      </c>
      <c r="J1587" s="3">
        <v>1069</v>
      </c>
      <c r="K1587" s="3">
        <v>460</v>
      </c>
      <c r="L1587" t="s">
        <v>120</v>
      </c>
      <c r="M1587">
        <v>4</v>
      </c>
      <c r="N1587" t="s">
        <v>82</v>
      </c>
      <c r="O1587" t="s">
        <v>81</v>
      </c>
      <c r="P1587" t="s">
        <v>71</v>
      </c>
      <c r="Q1587" t="s">
        <v>72</v>
      </c>
      <c r="R1587" t="s">
        <v>139</v>
      </c>
      <c r="S1587" t="s">
        <v>144</v>
      </c>
      <c r="T1587" s="2">
        <f>MASTER[[#This Row],[CANTIDAD]]*MASTER[[#This Row],[PRECIO DE VENTA]]</f>
        <v>1069</v>
      </c>
      <c r="U1587" s="2">
        <f>MASTER[[#This Row],[CANTIDAD]]*MASTER[[#This Row],[COSTO UNITARIO]]</f>
        <v>460</v>
      </c>
      <c r="V1587" s="2">
        <f>MASTER[[#This Row],[MONTO VENDIDO]]-MASTER[[#This Row],[COSTO DE VENTA]]</f>
        <v>609</v>
      </c>
    </row>
    <row r="1588" spans="1:22" x14ac:dyDescent="0.3">
      <c r="A1588">
        <v>30075</v>
      </c>
      <c r="B1588">
        <v>1</v>
      </c>
      <c r="C1588" t="s">
        <v>92</v>
      </c>
      <c r="D1588" t="s">
        <v>93</v>
      </c>
      <c r="E1588" s="1">
        <v>44023</v>
      </c>
      <c r="F1588">
        <v>1</v>
      </c>
      <c r="G1588" t="s">
        <v>53</v>
      </c>
      <c r="H1588" t="s">
        <v>54</v>
      </c>
      <c r="I1588" s="3">
        <v>1681</v>
      </c>
      <c r="J1588" s="3">
        <v>1681</v>
      </c>
      <c r="K1588" s="3">
        <v>396</v>
      </c>
      <c r="L1588" t="s">
        <v>9</v>
      </c>
      <c r="M1588">
        <v>14</v>
      </c>
      <c r="N1588" t="s">
        <v>87</v>
      </c>
      <c r="O1588" t="s">
        <v>81</v>
      </c>
      <c r="P1588" t="s">
        <v>18</v>
      </c>
      <c r="Q1588" t="s">
        <v>19</v>
      </c>
      <c r="R1588" t="s">
        <v>138</v>
      </c>
      <c r="S1588" t="s">
        <v>144</v>
      </c>
      <c r="T1588" s="2">
        <f>MASTER[[#This Row],[CANTIDAD]]*MASTER[[#This Row],[PRECIO DE VENTA]]</f>
        <v>1681</v>
      </c>
      <c r="U1588" s="2">
        <f>MASTER[[#This Row],[CANTIDAD]]*MASTER[[#This Row],[COSTO UNITARIO]]</f>
        <v>396</v>
      </c>
      <c r="V1588" s="2">
        <f>MASTER[[#This Row],[MONTO VENDIDO]]-MASTER[[#This Row],[COSTO DE VENTA]]</f>
        <v>1285</v>
      </c>
    </row>
    <row r="1589" spans="1:22" x14ac:dyDescent="0.3">
      <c r="A1589">
        <v>30088</v>
      </c>
      <c r="B1589">
        <v>1</v>
      </c>
      <c r="C1589" t="s">
        <v>5</v>
      </c>
      <c r="D1589" t="s">
        <v>6</v>
      </c>
      <c r="E1589" s="1">
        <v>44023</v>
      </c>
      <c r="F1589">
        <v>1</v>
      </c>
      <c r="G1589" t="s">
        <v>39</v>
      </c>
      <c r="H1589" t="s">
        <v>40</v>
      </c>
      <c r="I1589" s="3">
        <v>1296</v>
      </c>
      <c r="J1589" s="3">
        <v>1296</v>
      </c>
      <c r="K1589" s="3">
        <v>393</v>
      </c>
      <c r="L1589" t="s">
        <v>9</v>
      </c>
      <c r="M1589">
        <v>9</v>
      </c>
      <c r="N1589" t="s">
        <v>76</v>
      </c>
      <c r="O1589" t="s">
        <v>70</v>
      </c>
      <c r="P1589" t="s">
        <v>12</v>
      </c>
      <c r="Q1589" t="s">
        <v>13</v>
      </c>
      <c r="R1589" t="s">
        <v>13</v>
      </c>
      <c r="S1589" t="s">
        <v>144</v>
      </c>
      <c r="T1589" s="2">
        <f>MASTER[[#This Row],[CANTIDAD]]*MASTER[[#This Row],[PRECIO DE VENTA]]</f>
        <v>1296</v>
      </c>
      <c r="U1589" s="2">
        <f>MASTER[[#This Row],[CANTIDAD]]*MASTER[[#This Row],[COSTO UNITARIO]]</f>
        <v>393</v>
      </c>
      <c r="V1589" s="2">
        <f>MASTER[[#This Row],[MONTO VENDIDO]]-MASTER[[#This Row],[COSTO DE VENTA]]</f>
        <v>903</v>
      </c>
    </row>
    <row r="1590" spans="1:22" x14ac:dyDescent="0.3">
      <c r="A1590">
        <v>30113</v>
      </c>
      <c r="B1590">
        <v>1</v>
      </c>
      <c r="C1590" t="s">
        <v>94</v>
      </c>
      <c r="D1590" t="s">
        <v>95</v>
      </c>
      <c r="E1590" s="1">
        <v>44024</v>
      </c>
      <c r="F1590">
        <v>3</v>
      </c>
      <c r="G1590" t="s">
        <v>61</v>
      </c>
      <c r="H1590" t="s">
        <v>62</v>
      </c>
      <c r="I1590" s="3">
        <v>1048</v>
      </c>
      <c r="J1590" s="3">
        <v>1048</v>
      </c>
      <c r="K1590" s="3">
        <v>392</v>
      </c>
      <c r="L1590" t="s">
        <v>9</v>
      </c>
      <c r="M1590">
        <v>8</v>
      </c>
      <c r="N1590" t="s">
        <v>80</v>
      </c>
      <c r="O1590" t="s">
        <v>81</v>
      </c>
      <c r="P1590" t="s">
        <v>12</v>
      </c>
      <c r="Q1590" t="s">
        <v>13</v>
      </c>
      <c r="R1590" t="s">
        <v>13</v>
      </c>
      <c r="S1590" t="s">
        <v>144</v>
      </c>
      <c r="T1590" s="2">
        <f>MASTER[[#This Row],[CANTIDAD]]*MASTER[[#This Row],[PRECIO DE VENTA]]</f>
        <v>3144</v>
      </c>
      <c r="U1590" s="2">
        <f>MASTER[[#This Row],[CANTIDAD]]*MASTER[[#This Row],[COSTO UNITARIO]]</f>
        <v>1176</v>
      </c>
      <c r="V1590" s="2">
        <f>MASTER[[#This Row],[MONTO VENDIDO]]-MASTER[[#This Row],[COSTO DE VENTA]]</f>
        <v>1968</v>
      </c>
    </row>
    <row r="1591" spans="1:22" x14ac:dyDescent="0.3">
      <c r="A1591">
        <v>30119</v>
      </c>
      <c r="B1591">
        <v>1</v>
      </c>
      <c r="C1591" t="s">
        <v>114</v>
      </c>
      <c r="D1591" t="s">
        <v>115</v>
      </c>
      <c r="E1591" s="1">
        <v>44024</v>
      </c>
      <c r="F1591">
        <v>1</v>
      </c>
      <c r="G1591" t="s">
        <v>31</v>
      </c>
      <c r="H1591" t="s">
        <v>32</v>
      </c>
      <c r="I1591" s="3">
        <v>1862</v>
      </c>
      <c r="J1591" s="3">
        <v>1862</v>
      </c>
      <c r="K1591" s="3">
        <v>394</v>
      </c>
      <c r="L1591" t="s">
        <v>113</v>
      </c>
      <c r="M1591">
        <v>5</v>
      </c>
      <c r="N1591" t="s">
        <v>85</v>
      </c>
      <c r="O1591" t="s">
        <v>81</v>
      </c>
      <c r="P1591" t="s">
        <v>12</v>
      </c>
      <c r="Q1591" t="s">
        <v>13</v>
      </c>
      <c r="R1591" t="s">
        <v>13</v>
      </c>
      <c r="S1591" t="s">
        <v>144</v>
      </c>
      <c r="T1591" s="2">
        <f>MASTER[[#This Row],[CANTIDAD]]*MASTER[[#This Row],[PRECIO DE VENTA]]</f>
        <v>1862</v>
      </c>
      <c r="U1591" s="2">
        <f>MASTER[[#This Row],[CANTIDAD]]*MASTER[[#This Row],[COSTO UNITARIO]]</f>
        <v>394</v>
      </c>
      <c r="V1591" s="2">
        <f>MASTER[[#This Row],[MONTO VENDIDO]]-MASTER[[#This Row],[COSTO DE VENTA]]</f>
        <v>1468</v>
      </c>
    </row>
    <row r="1592" spans="1:22" x14ac:dyDescent="0.3">
      <c r="A1592">
        <v>30166</v>
      </c>
      <c r="B1592">
        <v>1</v>
      </c>
      <c r="C1592" t="s">
        <v>101</v>
      </c>
      <c r="D1592" t="s">
        <v>102</v>
      </c>
      <c r="E1592" s="1">
        <v>44024</v>
      </c>
      <c r="F1592">
        <v>1</v>
      </c>
      <c r="G1592" t="s">
        <v>35</v>
      </c>
      <c r="H1592" t="s">
        <v>36</v>
      </c>
      <c r="I1592" s="3">
        <v>1212</v>
      </c>
      <c r="J1592" s="3">
        <v>1212</v>
      </c>
      <c r="K1592" s="3">
        <v>442</v>
      </c>
      <c r="L1592" t="s">
        <v>98</v>
      </c>
      <c r="M1592">
        <v>19</v>
      </c>
      <c r="N1592" t="s">
        <v>89</v>
      </c>
      <c r="O1592" t="s">
        <v>81</v>
      </c>
      <c r="P1592" t="s">
        <v>15</v>
      </c>
      <c r="Q1592" t="s">
        <v>16</v>
      </c>
      <c r="R1592" t="s">
        <v>16</v>
      </c>
      <c r="S1592" t="s">
        <v>144</v>
      </c>
      <c r="T1592" s="2">
        <f>MASTER[[#This Row],[CANTIDAD]]*MASTER[[#This Row],[PRECIO DE VENTA]]</f>
        <v>1212</v>
      </c>
      <c r="U1592" s="2">
        <f>MASTER[[#This Row],[CANTIDAD]]*MASTER[[#This Row],[COSTO UNITARIO]]</f>
        <v>442</v>
      </c>
      <c r="V1592" s="2">
        <f>MASTER[[#This Row],[MONTO VENDIDO]]-MASTER[[#This Row],[COSTO DE VENTA]]</f>
        <v>770</v>
      </c>
    </row>
    <row r="1593" spans="1:22" x14ac:dyDescent="0.3">
      <c r="A1593">
        <v>30169</v>
      </c>
      <c r="B1593">
        <v>1</v>
      </c>
      <c r="C1593" t="s">
        <v>5</v>
      </c>
      <c r="D1593" t="s">
        <v>6</v>
      </c>
      <c r="E1593" s="1">
        <v>44024</v>
      </c>
      <c r="F1593">
        <v>1</v>
      </c>
      <c r="G1593" t="s">
        <v>57</v>
      </c>
      <c r="H1593" t="s">
        <v>58</v>
      </c>
      <c r="I1593" s="3">
        <v>1507</v>
      </c>
      <c r="J1593" s="3">
        <v>1507</v>
      </c>
      <c r="K1593" s="3">
        <v>393</v>
      </c>
      <c r="L1593" t="s">
        <v>9</v>
      </c>
      <c r="M1593">
        <v>14</v>
      </c>
      <c r="N1593" t="s">
        <v>87</v>
      </c>
      <c r="O1593" t="s">
        <v>81</v>
      </c>
      <c r="P1593" t="s">
        <v>18</v>
      </c>
      <c r="Q1593" t="s">
        <v>19</v>
      </c>
      <c r="R1593" t="s">
        <v>138</v>
      </c>
      <c r="S1593" t="s">
        <v>144</v>
      </c>
      <c r="T1593" s="2">
        <f>MASTER[[#This Row],[CANTIDAD]]*MASTER[[#This Row],[PRECIO DE VENTA]]</f>
        <v>1507</v>
      </c>
      <c r="U1593" s="2">
        <f>MASTER[[#This Row],[CANTIDAD]]*MASTER[[#This Row],[COSTO UNITARIO]]</f>
        <v>393</v>
      </c>
      <c r="V1593" s="2">
        <f>MASTER[[#This Row],[MONTO VENDIDO]]-MASTER[[#This Row],[COSTO DE VENTA]]</f>
        <v>1114</v>
      </c>
    </row>
    <row r="1594" spans="1:22" x14ac:dyDescent="0.3">
      <c r="A1594">
        <v>30180</v>
      </c>
      <c r="B1594">
        <v>1</v>
      </c>
      <c r="C1594" t="s">
        <v>105</v>
      </c>
      <c r="D1594" t="s">
        <v>106</v>
      </c>
      <c r="E1594" s="1">
        <v>44024</v>
      </c>
      <c r="F1594">
        <v>1</v>
      </c>
      <c r="G1594" t="s">
        <v>73</v>
      </c>
      <c r="H1594" t="s">
        <v>74</v>
      </c>
      <c r="I1594" s="3">
        <v>2033</v>
      </c>
      <c r="J1594" s="3">
        <v>2033</v>
      </c>
      <c r="K1594" s="3">
        <v>459</v>
      </c>
      <c r="L1594" t="s">
        <v>98</v>
      </c>
      <c r="M1594">
        <v>6</v>
      </c>
      <c r="N1594" t="s">
        <v>75</v>
      </c>
      <c r="O1594" t="s">
        <v>70</v>
      </c>
      <c r="P1594" t="s">
        <v>12</v>
      </c>
      <c r="Q1594" t="s">
        <v>13</v>
      </c>
      <c r="R1594" t="s">
        <v>13</v>
      </c>
      <c r="S1594" t="s">
        <v>144</v>
      </c>
      <c r="T1594" s="2">
        <f>MASTER[[#This Row],[CANTIDAD]]*MASTER[[#This Row],[PRECIO DE VENTA]]</f>
        <v>2033</v>
      </c>
      <c r="U1594" s="2">
        <f>MASTER[[#This Row],[CANTIDAD]]*MASTER[[#This Row],[COSTO UNITARIO]]</f>
        <v>459</v>
      </c>
      <c r="V1594" s="2">
        <f>MASTER[[#This Row],[MONTO VENDIDO]]-MASTER[[#This Row],[COSTO DE VENTA]]</f>
        <v>1574</v>
      </c>
    </row>
    <row r="1595" spans="1:22" x14ac:dyDescent="0.3">
      <c r="A1595">
        <v>30202</v>
      </c>
      <c r="B1595">
        <v>1</v>
      </c>
      <c r="C1595" t="s">
        <v>111</v>
      </c>
      <c r="D1595" t="s">
        <v>112</v>
      </c>
      <c r="E1595" s="1">
        <v>44024</v>
      </c>
      <c r="F1595">
        <v>1</v>
      </c>
      <c r="G1595" t="s">
        <v>39</v>
      </c>
      <c r="H1595" t="s">
        <v>40</v>
      </c>
      <c r="I1595" s="3">
        <v>1799</v>
      </c>
      <c r="J1595" s="3">
        <v>1799</v>
      </c>
      <c r="K1595" s="3">
        <v>434</v>
      </c>
      <c r="L1595" t="s">
        <v>113</v>
      </c>
      <c r="M1595">
        <v>18</v>
      </c>
      <c r="N1595" t="s">
        <v>79</v>
      </c>
      <c r="O1595" t="s">
        <v>70</v>
      </c>
      <c r="P1595" t="s">
        <v>15</v>
      </c>
      <c r="Q1595" t="s">
        <v>16</v>
      </c>
      <c r="R1595" t="s">
        <v>16</v>
      </c>
      <c r="S1595" t="s">
        <v>144</v>
      </c>
      <c r="T1595" s="2">
        <f>MASTER[[#This Row],[CANTIDAD]]*MASTER[[#This Row],[PRECIO DE VENTA]]</f>
        <v>1799</v>
      </c>
      <c r="U1595" s="2">
        <f>MASTER[[#This Row],[CANTIDAD]]*MASTER[[#This Row],[COSTO UNITARIO]]</f>
        <v>434</v>
      </c>
      <c r="V1595" s="2">
        <f>MASTER[[#This Row],[MONTO VENDIDO]]-MASTER[[#This Row],[COSTO DE VENTA]]</f>
        <v>1365</v>
      </c>
    </row>
    <row r="1596" spans="1:22" x14ac:dyDescent="0.3">
      <c r="A1596">
        <v>30244</v>
      </c>
      <c r="B1596">
        <v>1</v>
      </c>
      <c r="C1596" t="s">
        <v>118</v>
      </c>
      <c r="D1596" t="s">
        <v>119</v>
      </c>
      <c r="E1596" s="1">
        <v>44024</v>
      </c>
      <c r="F1596">
        <v>1</v>
      </c>
      <c r="G1596" t="s">
        <v>43</v>
      </c>
      <c r="H1596" t="s">
        <v>44</v>
      </c>
      <c r="I1596" s="3">
        <v>801</v>
      </c>
      <c r="J1596" s="3">
        <v>801</v>
      </c>
      <c r="K1596" s="3">
        <v>424</v>
      </c>
      <c r="L1596" t="s">
        <v>120</v>
      </c>
      <c r="M1596">
        <v>12</v>
      </c>
      <c r="N1596" t="s">
        <v>26</v>
      </c>
      <c r="O1596" t="s">
        <v>11</v>
      </c>
      <c r="P1596" t="s">
        <v>12</v>
      </c>
      <c r="Q1596" t="s">
        <v>13</v>
      </c>
      <c r="R1596" t="s">
        <v>13</v>
      </c>
      <c r="S1596" t="s">
        <v>144</v>
      </c>
      <c r="T1596" s="2">
        <f>MASTER[[#This Row],[CANTIDAD]]*MASTER[[#This Row],[PRECIO DE VENTA]]</f>
        <v>801</v>
      </c>
      <c r="U1596" s="2">
        <f>MASTER[[#This Row],[CANTIDAD]]*MASTER[[#This Row],[COSTO UNITARIO]]</f>
        <v>424</v>
      </c>
      <c r="V1596" s="2">
        <f>MASTER[[#This Row],[MONTO VENDIDO]]-MASTER[[#This Row],[COSTO DE VENTA]]</f>
        <v>377</v>
      </c>
    </row>
    <row r="1597" spans="1:22" x14ac:dyDescent="0.3">
      <c r="A1597">
        <v>30251</v>
      </c>
      <c r="B1597">
        <v>1</v>
      </c>
      <c r="C1597" t="s">
        <v>5</v>
      </c>
      <c r="D1597" t="s">
        <v>6</v>
      </c>
      <c r="E1597" s="1">
        <v>44024</v>
      </c>
      <c r="F1597">
        <v>1</v>
      </c>
      <c r="G1597" t="s">
        <v>45</v>
      </c>
      <c r="H1597" t="s">
        <v>46</v>
      </c>
      <c r="I1597" s="3">
        <v>1311</v>
      </c>
      <c r="J1597" s="3">
        <v>1311</v>
      </c>
      <c r="K1597" s="3">
        <v>393</v>
      </c>
      <c r="L1597" t="s">
        <v>9</v>
      </c>
      <c r="M1597">
        <v>16</v>
      </c>
      <c r="N1597" t="s">
        <v>17</v>
      </c>
      <c r="O1597" t="s">
        <v>11</v>
      </c>
      <c r="P1597" t="s">
        <v>18</v>
      </c>
      <c r="Q1597" t="s">
        <v>19</v>
      </c>
      <c r="R1597" t="s">
        <v>138</v>
      </c>
      <c r="S1597" t="s">
        <v>144</v>
      </c>
      <c r="T1597" s="2">
        <f>MASTER[[#This Row],[CANTIDAD]]*MASTER[[#This Row],[PRECIO DE VENTA]]</f>
        <v>1311</v>
      </c>
      <c r="U1597" s="2">
        <f>MASTER[[#This Row],[CANTIDAD]]*MASTER[[#This Row],[COSTO UNITARIO]]</f>
        <v>393</v>
      </c>
      <c r="V1597" s="2">
        <f>MASTER[[#This Row],[MONTO VENDIDO]]-MASTER[[#This Row],[COSTO DE VENTA]]</f>
        <v>918</v>
      </c>
    </row>
    <row r="1598" spans="1:22" x14ac:dyDescent="0.3">
      <c r="A1598">
        <v>30260</v>
      </c>
      <c r="B1598">
        <v>1</v>
      </c>
      <c r="C1598" t="s">
        <v>111</v>
      </c>
      <c r="D1598" t="s">
        <v>112</v>
      </c>
      <c r="E1598" s="1">
        <v>44024</v>
      </c>
      <c r="F1598">
        <v>1</v>
      </c>
      <c r="G1598" t="s">
        <v>65</v>
      </c>
      <c r="H1598" t="s">
        <v>66</v>
      </c>
      <c r="I1598" s="3">
        <v>1799</v>
      </c>
      <c r="J1598" s="3">
        <v>1799</v>
      </c>
      <c r="K1598" s="3">
        <v>434</v>
      </c>
      <c r="L1598" t="s">
        <v>113</v>
      </c>
      <c r="M1598">
        <v>9</v>
      </c>
      <c r="N1598" t="s">
        <v>76</v>
      </c>
      <c r="O1598" t="s">
        <v>70</v>
      </c>
      <c r="P1598" t="s">
        <v>12</v>
      </c>
      <c r="Q1598" t="s">
        <v>13</v>
      </c>
      <c r="R1598" t="s">
        <v>13</v>
      </c>
      <c r="S1598" t="s">
        <v>144</v>
      </c>
      <c r="T1598" s="2">
        <f>MASTER[[#This Row],[CANTIDAD]]*MASTER[[#This Row],[PRECIO DE VENTA]]</f>
        <v>1799</v>
      </c>
      <c r="U1598" s="2">
        <f>MASTER[[#This Row],[CANTIDAD]]*MASTER[[#This Row],[COSTO UNITARIO]]</f>
        <v>434</v>
      </c>
      <c r="V1598" s="2">
        <f>MASTER[[#This Row],[MONTO VENDIDO]]-MASTER[[#This Row],[COSTO DE VENTA]]</f>
        <v>1365</v>
      </c>
    </row>
    <row r="1599" spans="1:22" x14ac:dyDescent="0.3">
      <c r="A1599">
        <v>30263</v>
      </c>
      <c r="B1599">
        <v>1</v>
      </c>
      <c r="C1599" t="s">
        <v>107</v>
      </c>
      <c r="D1599" t="s">
        <v>108</v>
      </c>
      <c r="E1599" s="1">
        <v>44024</v>
      </c>
      <c r="F1599">
        <v>1</v>
      </c>
      <c r="G1599" t="s">
        <v>59</v>
      </c>
      <c r="H1599" t="s">
        <v>60</v>
      </c>
      <c r="I1599" s="3">
        <v>1333</v>
      </c>
      <c r="J1599" s="3">
        <v>1333</v>
      </c>
      <c r="K1599" s="3">
        <v>380</v>
      </c>
      <c r="L1599" t="s">
        <v>98</v>
      </c>
      <c r="M1599">
        <v>2</v>
      </c>
      <c r="N1599" t="s">
        <v>86</v>
      </c>
      <c r="O1599" t="s">
        <v>81</v>
      </c>
      <c r="P1599" t="s">
        <v>71</v>
      </c>
      <c r="Q1599" t="s">
        <v>72</v>
      </c>
      <c r="R1599" t="s">
        <v>139</v>
      </c>
      <c r="S1599" t="s">
        <v>144</v>
      </c>
      <c r="T1599" s="2">
        <f>MASTER[[#This Row],[CANTIDAD]]*MASTER[[#This Row],[PRECIO DE VENTA]]</f>
        <v>1333</v>
      </c>
      <c r="U1599" s="2">
        <f>MASTER[[#This Row],[CANTIDAD]]*MASTER[[#This Row],[COSTO UNITARIO]]</f>
        <v>380</v>
      </c>
      <c r="V1599" s="2">
        <f>MASTER[[#This Row],[MONTO VENDIDO]]-MASTER[[#This Row],[COSTO DE VENTA]]</f>
        <v>953</v>
      </c>
    </row>
    <row r="1600" spans="1:22" x14ac:dyDescent="0.3">
      <c r="A1600">
        <v>30273</v>
      </c>
      <c r="B1600">
        <v>1</v>
      </c>
      <c r="C1600" t="s">
        <v>90</v>
      </c>
      <c r="D1600" t="s">
        <v>91</v>
      </c>
      <c r="E1600" s="1">
        <v>44024</v>
      </c>
      <c r="F1600">
        <v>1</v>
      </c>
      <c r="G1600" t="s">
        <v>57</v>
      </c>
      <c r="H1600" t="s">
        <v>58</v>
      </c>
      <c r="I1600" s="3">
        <v>1844</v>
      </c>
      <c r="J1600" s="3">
        <v>1844</v>
      </c>
      <c r="K1600" s="3">
        <v>420</v>
      </c>
      <c r="L1600" t="s">
        <v>9</v>
      </c>
      <c r="M1600">
        <v>5</v>
      </c>
      <c r="N1600" t="s">
        <v>85</v>
      </c>
      <c r="O1600" t="s">
        <v>81</v>
      </c>
      <c r="P1600" t="s">
        <v>12</v>
      </c>
      <c r="Q1600" t="s">
        <v>13</v>
      </c>
      <c r="R1600" t="s">
        <v>13</v>
      </c>
      <c r="S1600" t="s">
        <v>144</v>
      </c>
      <c r="T1600" s="2">
        <f>MASTER[[#This Row],[CANTIDAD]]*MASTER[[#This Row],[PRECIO DE VENTA]]</f>
        <v>1844</v>
      </c>
      <c r="U1600" s="2">
        <f>MASTER[[#This Row],[CANTIDAD]]*MASTER[[#This Row],[COSTO UNITARIO]]</f>
        <v>420</v>
      </c>
      <c r="V1600" s="2">
        <f>MASTER[[#This Row],[MONTO VENDIDO]]-MASTER[[#This Row],[COSTO DE VENTA]]</f>
        <v>1424</v>
      </c>
    </row>
    <row r="1601" spans="1:22" x14ac:dyDescent="0.3">
      <c r="A1601">
        <v>30291</v>
      </c>
      <c r="B1601">
        <v>1</v>
      </c>
      <c r="C1601" t="s">
        <v>105</v>
      </c>
      <c r="D1601" t="s">
        <v>106</v>
      </c>
      <c r="E1601" s="1">
        <v>44024</v>
      </c>
      <c r="F1601">
        <v>1</v>
      </c>
      <c r="G1601" t="s">
        <v>35</v>
      </c>
      <c r="H1601" t="s">
        <v>36</v>
      </c>
      <c r="I1601" s="3">
        <v>1865</v>
      </c>
      <c r="J1601" s="3">
        <v>1865</v>
      </c>
      <c r="K1601" s="3">
        <v>459</v>
      </c>
      <c r="L1601" t="s">
        <v>98</v>
      </c>
      <c r="M1601">
        <v>8</v>
      </c>
      <c r="N1601" t="s">
        <v>80</v>
      </c>
      <c r="O1601" t="s">
        <v>81</v>
      </c>
      <c r="P1601" t="s">
        <v>12</v>
      </c>
      <c r="Q1601" t="s">
        <v>13</v>
      </c>
      <c r="R1601" t="s">
        <v>13</v>
      </c>
      <c r="S1601" t="s">
        <v>144</v>
      </c>
      <c r="T1601" s="2">
        <f>MASTER[[#This Row],[CANTIDAD]]*MASTER[[#This Row],[PRECIO DE VENTA]]</f>
        <v>1865</v>
      </c>
      <c r="U1601" s="2">
        <f>MASTER[[#This Row],[CANTIDAD]]*MASTER[[#This Row],[COSTO UNITARIO]]</f>
        <v>459</v>
      </c>
      <c r="V1601" s="2">
        <f>MASTER[[#This Row],[MONTO VENDIDO]]-MASTER[[#This Row],[COSTO DE VENTA]]</f>
        <v>1406</v>
      </c>
    </row>
    <row r="1602" spans="1:22" x14ac:dyDescent="0.3">
      <c r="A1602">
        <v>30319</v>
      </c>
      <c r="B1602">
        <v>1</v>
      </c>
      <c r="C1602" t="s">
        <v>94</v>
      </c>
      <c r="D1602" t="s">
        <v>95</v>
      </c>
      <c r="E1602" s="1">
        <v>44025</v>
      </c>
      <c r="F1602">
        <v>1</v>
      </c>
      <c r="G1602" t="s">
        <v>39</v>
      </c>
      <c r="H1602" t="s">
        <v>40</v>
      </c>
      <c r="I1602" s="3">
        <v>1048</v>
      </c>
      <c r="J1602" s="3">
        <v>1048</v>
      </c>
      <c r="K1602" s="3">
        <v>392</v>
      </c>
      <c r="L1602" t="s">
        <v>9</v>
      </c>
      <c r="M1602">
        <v>14</v>
      </c>
      <c r="N1602" t="s">
        <v>87</v>
      </c>
      <c r="O1602" t="s">
        <v>81</v>
      </c>
      <c r="P1602" t="s">
        <v>18</v>
      </c>
      <c r="Q1602" t="s">
        <v>19</v>
      </c>
      <c r="R1602" t="s">
        <v>138</v>
      </c>
      <c r="S1602" t="s">
        <v>144</v>
      </c>
      <c r="T1602" s="2">
        <f>MASTER[[#This Row],[CANTIDAD]]*MASTER[[#This Row],[PRECIO DE VENTA]]</f>
        <v>1048</v>
      </c>
      <c r="U1602" s="2">
        <f>MASTER[[#This Row],[CANTIDAD]]*MASTER[[#This Row],[COSTO UNITARIO]]</f>
        <v>392</v>
      </c>
      <c r="V1602" s="2">
        <f>MASTER[[#This Row],[MONTO VENDIDO]]-MASTER[[#This Row],[COSTO DE VENTA]]</f>
        <v>656</v>
      </c>
    </row>
    <row r="1603" spans="1:22" x14ac:dyDescent="0.3">
      <c r="A1603">
        <v>30322</v>
      </c>
      <c r="B1603">
        <v>1</v>
      </c>
      <c r="C1603" t="s">
        <v>96</v>
      </c>
      <c r="D1603" t="s">
        <v>97</v>
      </c>
      <c r="E1603" s="1">
        <v>44025</v>
      </c>
      <c r="F1603">
        <v>1</v>
      </c>
      <c r="G1603" t="s">
        <v>61</v>
      </c>
      <c r="H1603" t="s">
        <v>62</v>
      </c>
      <c r="I1603" s="3">
        <v>1361</v>
      </c>
      <c r="J1603" s="3">
        <v>1361</v>
      </c>
      <c r="K1603" s="3">
        <v>397</v>
      </c>
      <c r="L1603" t="s">
        <v>98</v>
      </c>
      <c r="M1603">
        <v>3</v>
      </c>
      <c r="N1603" t="s">
        <v>69</v>
      </c>
      <c r="O1603" t="s">
        <v>70</v>
      </c>
      <c r="P1603" t="s">
        <v>71</v>
      </c>
      <c r="Q1603" t="s">
        <v>72</v>
      </c>
      <c r="R1603" t="s">
        <v>139</v>
      </c>
      <c r="S1603" t="s">
        <v>144</v>
      </c>
      <c r="T1603" s="2">
        <f>MASTER[[#This Row],[CANTIDAD]]*MASTER[[#This Row],[PRECIO DE VENTA]]</f>
        <v>1361</v>
      </c>
      <c r="U1603" s="2">
        <f>MASTER[[#This Row],[CANTIDAD]]*MASTER[[#This Row],[COSTO UNITARIO]]</f>
        <v>397</v>
      </c>
      <c r="V1603" s="2">
        <f>MASTER[[#This Row],[MONTO VENDIDO]]-MASTER[[#This Row],[COSTO DE VENTA]]</f>
        <v>964</v>
      </c>
    </row>
    <row r="1604" spans="1:22" x14ac:dyDescent="0.3">
      <c r="A1604">
        <v>30371</v>
      </c>
      <c r="B1604">
        <v>1</v>
      </c>
      <c r="C1604" t="s">
        <v>109</v>
      </c>
      <c r="D1604" t="s">
        <v>110</v>
      </c>
      <c r="E1604" s="1">
        <v>44025</v>
      </c>
      <c r="F1604">
        <v>1</v>
      </c>
      <c r="G1604" t="s">
        <v>65</v>
      </c>
      <c r="H1604" t="s">
        <v>66</v>
      </c>
      <c r="I1604" s="3">
        <v>1064</v>
      </c>
      <c r="J1604" s="3">
        <v>1064</v>
      </c>
      <c r="K1604" s="3">
        <v>387</v>
      </c>
      <c r="L1604" t="s">
        <v>98</v>
      </c>
      <c r="M1604">
        <v>8</v>
      </c>
      <c r="N1604" t="s">
        <v>80</v>
      </c>
      <c r="O1604" t="s">
        <v>81</v>
      </c>
      <c r="P1604" t="s">
        <v>12</v>
      </c>
      <c r="Q1604" t="s">
        <v>13</v>
      </c>
      <c r="R1604" t="s">
        <v>13</v>
      </c>
      <c r="S1604" t="s">
        <v>144</v>
      </c>
      <c r="T1604" s="2">
        <f>MASTER[[#This Row],[CANTIDAD]]*MASTER[[#This Row],[PRECIO DE VENTA]]</f>
        <v>1064</v>
      </c>
      <c r="U1604" s="2">
        <f>MASTER[[#This Row],[CANTIDAD]]*MASTER[[#This Row],[COSTO UNITARIO]]</f>
        <v>387</v>
      </c>
      <c r="V1604" s="2">
        <f>MASTER[[#This Row],[MONTO VENDIDO]]-MASTER[[#This Row],[COSTO DE VENTA]]</f>
        <v>677</v>
      </c>
    </row>
    <row r="1605" spans="1:22" x14ac:dyDescent="0.3">
      <c r="A1605">
        <v>30379</v>
      </c>
      <c r="B1605">
        <v>1</v>
      </c>
      <c r="C1605" t="s">
        <v>94</v>
      </c>
      <c r="D1605" t="s">
        <v>95</v>
      </c>
      <c r="E1605" s="1">
        <v>44025</v>
      </c>
      <c r="F1605">
        <v>1</v>
      </c>
      <c r="G1605" t="s">
        <v>35</v>
      </c>
      <c r="H1605" t="s">
        <v>36</v>
      </c>
      <c r="I1605" s="3">
        <v>1048</v>
      </c>
      <c r="J1605" s="3">
        <v>1048</v>
      </c>
      <c r="K1605" s="3">
        <v>392</v>
      </c>
      <c r="L1605" t="s">
        <v>9</v>
      </c>
      <c r="M1605">
        <v>4</v>
      </c>
      <c r="N1605" t="s">
        <v>82</v>
      </c>
      <c r="O1605" t="s">
        <v>81</v>
      </c>
      <c r="P1605" t="s">
        <v>71</v>
      </c>
      <c r="Q1605" t="s">
        <v>72</v>
      </c>
      <c r="R1605" t="s">
        <v>139</v>
      </c>
      <c r="S1605" t="s">
        <v>144</v>
      </c>
      <c r="T1605" s="2">
        <f>MASTER[[#This Row],[CANTIDAD]]*MASTER[[#This Row],[PRECIO DE VENTA]]</f>
        <v>1048</v>
      </c>
      <c r="U1605" s="2">
        <f>MASTER[[#This Row],[CANTIDAD]]*MASTER[[#This Row],[COSTO UNITARIO]]</f>
        <v>392</v>
      </c>
      <c r="V1605" s="2">
        <f>MASTER[[#This Row],[MONTO VENDIDO]]-MASTER[[#This Row],[COSTO DE VENTA]]</f>
        <v>656</v>
      </c>
    </row>
    <row r="1606" spans="1:22" x14ac:dyDescent="0.3">
      <c r="A1606">
        <v>30381</v>
      </c>
      <c r="B1606">
        <v>1</v>
      </c>
      <c r="C1606" t="s">
        <v>96</v>
      </c>
      <c r="D1606" t="s">
        <v>97</v>
      </c>
      <c r="E1606" s="1">
        <v>44025</v>
      </c>
      <c r="F1606">
        <v>1</v>
      </c>
      <c r="G1606" t="s">
        <v>57</v>
      </c>
      <c r="H1606" t="s">
        <v>58</v>
      </c>
      <c r="I1606" s="3">
        <v>1272</v>
      </c>
      <c r="J1606" s="3">
        <v>1272</v>
      </c>
      <c r="K1606" s="3">
        <v>397</v>
      </c>
      <c r="L1606" t="s">
        <v>98</v>
      </c>
      <c r="M1606">
        <v>8</v>
      </c>
      <c r="N1606" t="s">
        <v>80</v>
      </c>
      <c r="O1606" t="s">
        <v>81</v>
      </c>
      <c r="P1606" t="s">
        <v>12</v>
      </c>
      <c r="Q1606" t="s">
        <v>13</v>
      </c>
      <c r="R1606" t="s">
        <v>13</v>
      </c>
      <c r="S1606" t="s">
        <v>144</v>
      </c>
      <c r="T1606" s="2">
        <f>MASTER[[#This Row],[CANTIDAD]]*MASTER[[#This Row],[PRECIO DE VENTA]]</f>
        <v>1272</v>
      </c>
      <c r="U1606" s="2">
        <f>MASTER[[#This Row],[CANTIDAD]]*MASTER[[#This Row],[COSTO UNITARIO]]</f>
        <v>397</v>
      </c>
      <c r="V1606" s="2">
        <f>MASTER[[#This Row],[MONTO VENDIDO]]-MASTER[[#This Row],[COSTO DE VENTA]]</f>
        <v>875</v>
      </c>
    </row>
    <row r="1607" spans="1:22" x14ac:dyDescent="0.3">
      <c r="A1607">
        <v>30412</v>
      </c>
      <c r="B1607">
        <v>1</v>
      </c>
      <c r="C1607" t="s">
        <v>92</v>
      </c>
      <c r="D1607" t="s">
        <v>93</v>
      </c>
      <c r="E1607" s="1">
        <v>44025</v>
      </c>
      <c r="F1607">
        <v>1</v>
      </c>
      <c r="G1607" t="s">
        <v>37</v>
      </c>
      <c r="H1607" t="s">
        <v>38</v>
      </c>
      <c r="I1607" s="3">
        <v>1479</v>
      </c>
      <c r="J1607" s="3">
        <v>1479</v>
      </c>
      <c r="K1607" s="3">
        <v>396</v>
      </c>
      <c r="L1607" t="s">
        <v>9</v>
      </c>
      <c r="M1607">
        <v>12</v>
      </c>
      <c r="N1607" t="s">
        <v>26</v>
      </c>
      <c r="O1607" t="s">
        <v>11</v>
      </c>
      <c r="P1607" t="s">
        <v>12</v>
      </c>
      <c r="Q1607" t="s">
        <v>13</v>
      </c>
      <c r="R1607" t="s">
        <v>13</v>
      </c>
      <c r="S1607" t="s">
        <v>144</v>
      </c>
      <c r="T1607" s="2">
        <f>MASTER[[#This Row],[CANTIDAD]]*MASTER[[#This Row],[PRECIO DE VENTA]]</f>
        <v>1479</v>
      </c>
      <c r="U1607" s="2">
        <f>MASTER[[#This Row],[CANTIDAD]]*MASTER[[#This Row],[COSTO UNITARIO]]</f>
        <v>396</v>
      </c>
      <c r="V1607" s="2">
        <f>MASTER[[#This Row],[MONTO VENDIDO]]-MASTER[[#This Row],[COSTO DE VENTA]]</f>
        <v>1083</v>
      </c>
    </row>
    <row r="1608" spans="1:22" x14ac:dyDescent="0.3">
      <c r="A1608">
        <v>30423</v>
      </c>
      <c r="B1608">
        <v>1</v>
      </c>
      <c r="C1608" t="s">
        <v>118</v>
      </c>
      <c r="D1608" t="s">
        <v>119</v>
      </c>
      <c r="E1608" s="1">
        <v>44025</v>
      </c>
      <c r="F1608">
        <v>1</v>
      </c>
      <c r="G1608" t="s">
        <v>53</v>
      </c>
      <c r="H1608" t="s">
        <v>54</v>
      </c>
      <c r="I1608" s="3">
        <v>1026</v>
      </c>
      <c r="J1608" s="3">
        <v>1026</v>
      </c>
      <c r="K1608" s="3">
        <v>424</v>
      </c>
      <c r="L1608" t="s">
        <v>120</v>
      </c>
      <c r="M1608">
        <v>9</v>
      </c>
      <c r="N1608" t="s">
        <v>76</v>
      </c>
      <c r="O1608" t="s">
        <v>70</v>
      </c>
      <c r="P1608" t="s">
        <v>12</v>
      </c>
      <c r="Q1608" t="s">
        <v>13</v>
      </c>
      <c r="R1608" t="s">
        <v>13</v>
      </c>
      <c r="S1608" t="s">
        <v>144</v>
      </c>
      <c r="T1608" s="2">
        <f>MASTER[[#This Row],[CANTIDAD]]*MASTER[[#This Row],[PRECIO DE VENTA]]</f>
        <v>1026</v>
      </c>
      <c r="U1608" s="2">
        <f>MASTER[[#This Row],[CANTIDAD]]*MASTER[[#This Row],[COSTO UNITARIO]]</f>
        <v>424</v>
      </c>
      <c r="V1608" s="2">
        <f>MASTER[[#This Row],[MONTO VENDIDO]]-MASTER[[#This Row],[COSTO DE VENTA]]</f>
        <v>602</v>
      </c>
    </row>
    <row r="1609" spans="1:22" x14ac:dyDescent="0.3">
      <c r="A1609">
        <v>30435</v>
      </c>
      <c r="B1609">
        <v>1</v>
      </c>
      <c r="C1609" t="s">
        <v>111</v>
      </c>
      <c r="D1609" t="s">
        <v>112</v>
      </c>
      <c r="E1609" s="1">
        <v>44025</v>
      </c>
      <c r="F1609">
        <v>1</v>
      </c>
      <c r="G1609" t="s">
        <v>61</v>
      </c>
      <c r="H1609" t="s">
        <v>62</v>
      </c>
      <c r="I1609" s="3">
        <v>1621</v>
      </c>
      <c r="J1609" s="3">
        <v>1621</v>
      </c>
      <c r="K1609" s="3">
        <v>434</v>
      </c>
      <c r="L1609" t="s">
        <v>113</v>
      </c>
      <c r="M1609">
        <v>19</v>
      </c>
      <c r="N1609" t="s">
        <v>89</v>
      </c>
      <c r="O1609" t="s">
        <v>81</v>
      </c>
      <c r="P1609" t="s">
        <v>15</v>
      </c>
      <c r="Q1609" t="s">
        <v>16</v>
      </c>
      <c r="R1609" t="s">
        <v>16</v>
      </c>
      <c r="S1609" t="s">
        <v>144</v>
      </c>
      <c r="T1609" s="2">
        <f>MASTER[[#This Row],[CANTIDAD]]*MASTER[[#This Row],[PRECIO DE VENTA]]</f>
        <v>1621</v>
      </c>
      <c r="U1609" s="2">
        <f>MASTER[[#This Row],[CANTIDAD]]*MASTER[[#This Row],[COSTO UNITARIO]]</f>
        <v>434</v>
      </c>
      <c r="V1609" s="2">
        <f>MASTER[[#This Row],[MONTO VENDIDO]]-MASTER[[#This Row],[COSTO DE VENTA]]</f>
        <v>1187</v>
      </c>
    </row>
    <row r="1610" spans="1:22" x14ac:dyDescent="0.3">
      <c r="A1610">
        <v>30449</v>
      </c>
      <c r="B1610">
        <v>1</v>
      </c>
      <c r="C1610" t="s">
        <v>116</v>
      </c>
      <c r="D1610" t="s">
        <v>117</v>
      </c>
      <c r="E1610" s="1">
        <v>44025</v>
      </c>
      <c r="F1610">
        <v>1</v>
      </c>
      <c r="G1610" t="s">
        <v>41</v>
      </c>
      <c r="H1610" t="s">
        <v>42</v>
      </c>
      <c r="I1610" s="3">
        <v>1999</v>
      </c>
      <c r="J1610" s="3">
        <v>1999</v>
      </c>
      <c r="K1610" s="3">
        <v>388</v>
      </c>
      <c r="L1610" t="s">
        <v>113</v>
      </c>
      <c r="M1610">
        <v>1</v>
      </c>
      <c r="N1610" t="s">
        <v>77</v>
      </c>
      <c r="O1610" t="s">
        <v>70</v>
      </c>
      <c r="P1610" t="s">
        <v>71</v>
      </c>
      <c r="Q1610" t="s">
        <v>72</v>
      </c>
      <c r="R1610" t="s">
        <v>139</v>
      </c>
      <c r="S1610" t="s">
        <v>144</v>
      </c>
      <c r="T1610" s="2">
        <f>MASTER[[#This Row],[CANTIDAD]]*MASTER[[#This Row],[PRECIO DE VENTA]]</f>
        <v>1999</v>
      </c>
      <c r="U1610" s="2">
        <f>MASTER[[#This Row],[CANTIDAD]]*MASTER[[#This Row],[COSTO UNITARIO]]</f>
        <v>388</v>
      </c>
      <c r="V1610" s="2">
        <f>MASTER[[#This Row],[MONTO VENDIDO]]-MASTER[[#This Row],[COSTO DE VENTA]]</f>
        <v>1611</v>
      </c>
    </row>
    <row r="1611" spans="1:22" x14ac:dyDescent="0.3">
      <c r="A1611">
        <v>30459</v>
      </c>
      <c r="B1611">
        <v>1</v>
      </c>
      <c r="C1611" t="s">
        <v>121</v>
      </c>
      <c r="D1611" t="s">
        <v>122</v>
      </c>
      <c r="E1611" s="1">
        <v>44025</v>
      </c>
      <c r="F1611">
        <v>1</v>
      </c>
      <c r="G1611" t="s">
        <v>65</v>
      </c>
      <c r="H1611" t="s">
        <v>66</v>
      </c>
      <c r="I1611" s="3">
        <v>1144</v>
      </c>
      <c r="J1611" s="3">
        <v>1029</v>
      </c>
      <c r="K1611" s="3">
        <v>460</v>
      </c>
      <c r="L1611" t="s">
        <v>120</v>
      </c>
      <c r="M1611">
        <v>6</v>
      </c>
      <c r="N1611" t="s">
        <v>75</v>
      </c>
      <c r="O1611" t="s">
        <v>70</v>
      </c>
      <c r="P1611" t="s">
        <v>12</v>
      </c>
      <c r="Q1611" t="s">
        <v>13</v>
      </c>
      <c r="R1611" t="s">
        <v>13</v>
      </c>
      <c r="S1611" t="s">
        <v>144</v>
      </c>
      <c r="T1611" s="2">
        <f>MASTER[[#This Row],[CANTIDAD]]*MASTER[[#This Row],[PRECIO DE VENTA]]</f>
        <v>1029</v>
      </c>
      <c r="U1611" s="2">
        <f>MASTER[[#This Row],[CANTIDAD]]*MASTER[[#This Row],[COSTO UNITARIO]]</f>
        <v>460</v>
      </c>
      <c r="V1611" s="2">
        <f>MASTER[[#This Row],[MONTO VENDIDO]]-MASTER[[#This Row],[COSTO DE VENTA]]</f>
        <v>569</v>
      </c>
    </row>
    <row r="1612" spans="1:22" x14ac:dyDescent="0.3">
      <c r="A1612">
        <v>30490</v>
      </c>
      <c r="B1612">
        <v>1</v>
      </c>
      <c r="C1612" t="s">
        <v>94</v>
      </c>
      <c r="D1612" t="s">
        <v>95</v>
      </c>
      <c r="E1612" s="1">
        <v>44026</v>
      </c>
      <c r="F1612">
        <v>1</v>
      </c>
      <c r="G1612" t="s">
        <v>20</v>
      </c>
      <c r="H1612" t="s">
        <v>21</v>
      </c>
      <c r="I1612" s="3">
        <v>1153</v>
      </c>
      <c r="J1612" s="3">
        <v>1060</v>
      </c>
      <c r="K1612" s="3">
        <v>392</v>
      </c>
      <c r="L1612" t="s">
        <v>9</v>
      </c>
      <c r="M1612">
        <v>3</v>
      </c>
      <c r="N1612" t="s">
        <v>69</v>
      </c>
      <c r="O1612" t="s">
        <v>70</v>
      </c>
      <c r="P1612" t="s">
        <v>71</v>
      </c>
      <c r="Q1612" t="s">
        <v>72</v>
      </c>
      <c r="R1612" t="s">
        <v>139</v>
      </c>
      <c r="S1612" t="s">
        <v>144</v>
      </c>
      <c r="T1612" s="2">
        <f>MASTER[[#This Row],[CANTIDAD]]*MASTER[[#This Row],[PRECIO DE VENTA]]</f>
        <v>1060</v>
      </c>
      <c r="U1612" s="2">
        <f>MASTER[[#This Row],[CANTIDAD]]*MASTER[[#This Row],[COSTO UNITARIO]]</f>
        <v>392</v>
      </c>
      <c r="V1612" s="2">
        <f>MASTER[[#This Row],[MONTO VENDIDO]]-MASTER[[#This Row],[COSTO DE VENTA]]</f>
        <v>668</v>
      </c>
    </row>
    <row r="1613" spans="1:22" x14ac:dyDescent="0.3">
      <c r="A1613">
        <v>30516</v>
      </c>
      <c r="B1613">
        <v>1</v>
      </c>
      <c r="C1613" t="s">
        <v>92</v>
      </c>
      <c r="D1613" t="s">
        <v>93</v>
      </c>
      <c r="E1613" s="1">
        <v>44026</v>
      </c>
      <c r="F1613">
        <v>1</v>
      </c>
      <c r="G1613" t="s">
        <v>27</v>
      </c>
      <c r="H1613" t="s">
        <v>28</v>
      </c>
      <c r="I1613" s="3">
        <v>1681</v>
      </c>
      <c r="J1613" s="3">
        <v>1681</v>
      </c>
      <c r="K1613" s="3">
        <v>396</v>
      </c>
      <c r="L1613" t="s">
        <v>9</v>
      </c>
      <c r="M1613">
        <v>14</v>
      </c>
      <c r="N1613" t="s">
        <v>87</v>
      </c>
      <c r="O1613" t="s">
        <v>81</v>
      </c>
      <c r="P1613" t="s">
        <v>18</v>
      </c>
      <c r="Q1613" t="s">
        <v>19</v>
      </c>
      <c r="R1613" t="s">
        <v>138</v>
      </c>
      <c r="S1613" t="s">
        <v>144</v>
      </c>
      <c r="T1613" s="2">
        <f>MASTER[[#This Row],[CANTIDAD]]*MASTER[[#This Row],[PRECIO DE VENTA]]</f>
        <v>1681</v>
      </c>
      <c r="U1613" s="2">
        <f>MASTER[[#This Row],[CANTIDAD]]*MASTER[[#This Row],[COSTO UNITARIO]]</f>
        <v>396</v>
      </c>
      <c r="V1613" s="2">
        <f>MASTER[[#This Row],[MONTO VENDIDO]]-MASTER[[#This Row],[COSTO DE VENTA]]</f>
        <v>1285</v>
      </c>
    </row>
    <row r="1614" spans="1:22" x14ac:dyDescent="0.3">
      <c r="A1614">
        <v>30518</v>
      </c>
      <c r="B1614">
        <v>1</v>
      </c>
      <c r="C1614" t="s">
        <v>121</v>
      </c>
      <c r="D1614" t="s">
        <v>122</v>
      </c>
      <c r="E1614" s="1">
        <v>44026</v>
      </c>
      <c r="F1614">
        <v>1</v>
      </c>
      <c r="G1614" t="s">
        <v>61</v>
      </c>
      <c r="H1614" t="s">
        <v>62</v>
      </c>
      <c r="I1614" s="3">
        <v>1144</v>
      </c>
      <c r="J1614" s="3">
        <v>1144</v>
      </c>
      <c r="K1614" s="3">
        <v>460</v>
      </c>
      <c r="L1614" t="s">
        <v>120</v>
      </c>
      <c r="M1614">
        <v>3</v>
      </c>
      <c r="N1614" t="s">
        <v>69</v>
      </c>
      <c r="O1614" t="s">
        <v>70</v>
      </c>
      <c r="P1614" t="s">
        <v>71</v>
      </c>
      <c r="Q1614" t="s">
        <v>72</v>
      </c>
      <c r="R1614" t="s">
        <v>139</v>
      </c>
      <c r="S1614" t="s">
        <v>144</v>
      </c>
      <c r="T1614" s="2">
        <f>MASTER[[#This Row],[CANTIDAD]]*MASTER[[#This Row],[PRECIO DE VENTA]]</f>
        <v>1144</v>
      </c>
      <c r="U1614" s="2">
        <f>MASTER[[#This Row],[CANTIDAD]]*MASTER[[#This Row],[COSTO UNITARIO]]</f>
        <v>460</v>
      </c>
      <c r="V1614" s="2">
        <f>MASTER[[#This Row],[MONTO VENDIDO]]-MASTER[[#This Row],[COSTO DE VENTA]]</f>
        <v>684</v>
      </c>
    </row>
    <row r="1615" spans="1:22" x14ac:dyDescent="0.3">
      <c r="A1615">
        <v>30522</v>
      </c>
      <c r="B1615">
        <v>1</v>
      </c>
      <c r="C1615" t="s">
        <v>105</v>
      </c>
      <c r="D1615" t="s">
        <v>106</v>
      </c>
      <c r="E1615" s="1">
        <v>44026</v>
      </c>
      <c r="F1615">
        <v>1</v>
      </c>
      <c r="G1615" t="s">
        <v>35</v>
      </c>
      <c r="H1615" t="s">
        <v>36</v>
      </c>
      <c r="I1615" s="3">
        <v>1865</v>
      </c>
      <c r="J1615" s="3">
        <v>1697</v>
      </c>
      <c r="K1615" s="3">
        <v>459</v>
      </c>
      <c r="L1615" t="s">
        <v>98</v>
      </c>
      <c r="M1615">
        <v>4</v>
      </c>
      <c r="N1615" t="s">
        <v>82</v>
      </c>
      <c r="O1615" t="s">
        <v>81</v>
      </c>
      <c r="P1615" t="s">
        <v>71</v>
      </c>
      <c r="Q1615" t="s">
        <v>72</v>
      </c>
      <c r="R1615" t="s">
        <v>139</v>
      </c>
      <c r="S1615" t="s">
        <v>144</v>
      </c>
      <c r="T1615" s="2">
        <f>MASTER[[#This Row],[CANTIDAD]]*MASTER[[#This Row],[PRECIO DE VENTA]]</f>
        <v>1697</v>
      </c>
      <c r="U1615" s="2">
        <f>MASTER[[#This Row],[CANTIDAD]]*MASTER[[#This Row],[COSTO UNITARIO]]</f>
        <v>459</v>
      </c>
      <c r="V1615" s="2">
        <f>MASTER[[#This Row],[MONTO VENDIDO]]-MASTER[[#This Row],[COSTO DE VENTA]]</f>
        <v>1238</v>
      </c>
    </row>
    <row r="1616" spans="1:22" x14ac:dyDescent="0.3">
      <c r="A1616">
        <v>30525</v>
      </c>
      <c r="B1616">
        <v>1</v>
      </c>
      <c r="C1616" t="s">
        <v>107</v>
      </c>
      <c r="D1616" t="s">
        <v>108</v>
      </c>
      <c r="E1616" s="1">
        <v>44026</v>
      </c>
      <c r="F1616">
        <v>1</v>
      </c>
      <c r="G1616" t="s">
        <v>22</v>
      </c>
      <c r="H1616" t="s">
        <v>23</v>
      </c>
      <c r="I1616" s="3">
        <v>1333</v>
      </c>
      <c r="J1616" s="3">
        <v>1333</v>
      </c>
      <c r="K1616" s="3">
        <v>380</v>
      </c>
      <c r="L1616" t="s">
        <v>98</v>
      </c>
      <c r="M1616">
        <v>15</v>
      </c>
      <c r="N1616" t="s">
        <v>88</v>
      </c>
      <c r="O1616" t="s">
        <v>81</v>
      </c>
      <c r="P1616" t="s">
        <v>18</v>
      </c>
      <c r="Q1616" t="s">
        <v>19</v>
      </c>
      <c r="R1616" t="s">
        <v>138</v>
      </c>
      <c r="S1616" t="s">
        <v>144</v>
      </c>
      <c r="T1616" s="2">
        <f>MASTER[[#This Row],[CANTIDAD]]*MASTER[[#This Row],[PRECIO DE VENTA]]</f>
        <v>1333</v>
      </c>
      <c r="U1616" s="2">
        <f>MASTER[[#This Row],[CANTIDAD]]*MASTER[[#This Row],[COSTO UNITARIO]]</f>
        <v>380</v>
      </c>
      <c r="V1616" s="2">
        <f>MASTER[[#This Row],[MONTO VENDIDO]]-MASTER[[#This Row],[COSTO DE VENTA]]</f>
        <v>953</v>
      </c>
    </row>
    <row r="1617" spans="1:22" x14ac:dyDescent="0.3">
      <c r="A1617">
        <v>30527</v>
      </c>
      <c r="B1617">
        <v>1</v>
      </c>
      <c r="C1617" t="s">
        <v>114</v>
      </c>
      <c r="D1617" t="s">
        <v>115</v>
      </c>
      <c r="E1617" s="1">
        <v>44027</v>
      </c>
      <c r="F1617">
        <v>1</v>
      </c>
      <c r="G1617" t="s">
        <v>51</v>
      </c>
      <c r="H1617" t="s">
        <v>52</v>
      </c>
      <c r="I1617" s="3">
        <v>2030</v>
      </c>
      <c r="J1617" s="3">
        <v>2030</v>
      </c>
      <c r="K1617" s="3">
        <v>394</v>
      </c>
      <c r="L1617" t="s">
        <v>113</v>
      </c>
      <c r="M1617">
        <v>9</v>
      </c>
      <c r="N1617" t="s">
        <v>76</v>
      </c>
      <c r="O1617" t="s">
        <v>70</v>
      </c>
      <c r="P1617" t="s">
        <v>12</v>
      </c>
      <c r="Q1617" t="s">
        <v>13</v>
      </c>
      <c r="R1617" t="s">
        <v>13</v>
      </c>
      <c r="S1617" t="s">
        <v>144</v>
      </c>
      <c r="T1617" s="2">
        <f>MASTER[[#This Row],[CANTIDAD]]*MASTER[[#This Row],[PRECIO DE VENTA]]</f>
        <v>2030</v>
      </c>
      <c r="U1617" s="2">
        <f>MASTER[[#This Row],[CANTIDAD]]*MASTER[[#This Row],[COSTO UNITARIO]]</f>
        <v>394</v>
      </c>
      <c r="V1617" s="2">
        <f>MASTER[[#This Row],[MONTO VENDIDO]]-MASTER[[#This Row],[COSTO DE VENTA]]</f>
        <v>1636</v>
      </c>
    </row>
    <row r="1618" spans="1:22" x14ac:dyDescent="0.3">
      <c r="A1618">
        <v>30533</v>
      </c>
      <c r="B1618">
        <v>1</v>
      </c>
      <c r="C1618" t="s">
        <v>116</v>
      </c>
      <c r="D1618" t="s">
        <v>117</v>
      </c>
      <c r="E1618" s="1">
        <v>44027</v>
      </c>
      <c r="F1618">
        <v>1</v>
      </c>
      <c r="G1618" t="s">
        <v>39</v>
      </c>
      <c r="H1618" t="s">
        <v>40</v>
      </c>
      <c r="I1618" s="3">
        <v>1999</v>
      </c>
      <c r="J1618" s="3">
        <v>1999</v>
      </c>
      <c r="K1618" s="3">
        <v>388</v>
      </c>
      <c r="L1618" t="s">
        <v>113</v>
      </c>
      <c r="M1618">
        <v>18</v>
      </c>
      <c r="N1618" t="s">
        <v>79</v>
      </c>
      <c r="O1618" t="s">
        <v>70</v>
      </c>
      <c r="P1618" t="s">
        <v>15</v>
      </c>
      <c r="Q1618" t="s">
        <v>16</v>
      </c>
      <c r="R1618" t="s">
        <v>16</v>
      </c>
      <c r="S1618" t="s">
        <v>144</v>
      </c>
      <c r="T1618" s="2">
        <f>MASTER[[#This Row],[CANTIDAD]]*MASTER[[#This Row],[PRECIO DE VENTA]]</f>
        <v>1999</v>
      </c>
      <c r="U1618" s="2">
        <f>MASTER[[#This Row],[CANTIDAD]]*MASTER[[#This Row],[COSTO UNITARIO]]</f>
        <v>388</v>
      </c>
      <c r="V1618" s="2">
        <f>MASTER[[#This Row],[MONTO VENDIDO]]-MASTER[[#This Row],[COSTO DE VENTA]]</f>
        <v>1611</v>
      </c>
    </row>
    <row r="1619" spans="1:22" x14ac:dyDescent="0.3">
      <c r="A1619">
        <v>30588</v>
      </c>
      <c r="B1619">
        <v>1</v>
      </c>
      <c r="C1619" t="s">
        <v>96</v>
      </c>
      <c r="D1619" t="s">
        <v>97</v>
      </c>
      <c r="E1619" s="1">
        <v>44027</v>
      </c>
      <c r="F1619">
        <v>1</v>
      </c>
      <c r="G1619" t="s">
        <v>61</v>
      </c>
      <c r="H1619" t="s">
        <v>62</v>
      </c>
      <c r="I1619" s="3">
        <v>1361</v>
      </c>
      <c r="J1619" s="3">
        <v>1361</v>
      </c>
      <c r="K1619" s="3">
        <v>397</v>
      </c>
      <c r="L1619" t="s">
        <v>98</v>
      </c>
      <c r="M1619">
        <v>9</v>
      </c>
      <c r="N1619" t="s">
        <v>76</v>
      </c>
      <c r="O1619" t="s">
        <v>70</v>
      </c>
      <c r="P1619" t="s">
        <v>12</v>
      </c>
      <c r="Q1619" t="s">
        <v>13</v>
      </c>
      <c r="R1619" t="s">
        <v>13</v>
      </c>
      <c r="S1619" t="s">
        <v>144</v>
      </c>
      <c r="T1619" s="2">
        <f>MASTER[[#This Row],[CANTIDAD]]*MASTER[[#This Row],[PRECIO DE VENTA]]</f>
        <v>1361</v>
      </c>
      <c r="U1619" s="2">
        <f>MASTER[[#This Row],[CANTIDAD]]*MASTER[[#This Row],[COSTO UNITARIO]]</f>
        <v>397</v>
      </c>
      <c r="V1619" s="2">
        <f>MASTER[[#This Row],[MONTO VENDIDO]]-MASTER[[#This Row],[COSTO DE VENTA]]</f>
        <v>964</v>
      </c>
    </row>
    <row r="1620" spans="1:22" x14ac:dyDescent="0.3">
      <c r="A1620">
        <v>30595</v>
      </c>
      <c r="B1620">
        <v>1</v>
      </c>
      <c r="C1620" t="s">
        <v>121</v>
      </c>
      <c r="D1620" t="s">
        <v>122</v>
      </c>
      <c r="E1620" s="1">
        <v>44027</v>
      </c>
      <c r="F1620">
        <v>1</v>
      </c>
      <c r="G1620" t="s">
        <v>29</v>
      </c>
      <c r="H1620" t="s">
        <v>30</v>
      </c>
      <c r="I1620" s="3">
        <v>1069</v>
      </c>
      <c r="J1620" s="3">
        <v>1069</v>
      </c>
      <c r="K1620" s="3">
        <v>460</v>
      </c>
      <c r="L1620" t="s">
        <v>120</v>
      </c>
      <c r="M1620">
        <v>10</v>
      </c>
      <c r="N1620" t="s">
        <v>83</v>
      </c>
      <c r="O1620" t="s">
        <v>81</v>
      </c>
      <c r="P1620" t="s">
        <v>12</v>
      </c>
      <c r="Q1620" t="s">
        <v>13</v>
      </c>
      <c r="R1620" t="s">
        <v>13</v>
      </c>
      <c r="S1620" t="s">
        <v>144</v>
      </c>
      <c r="T1620" s="2">
        <f>MASTER[[#This Row],[CANTIDAD]]*MASTER[[#This Row],[PRECIO DE VENTA]]</f>
        <v>1069</v>
      </c>
      <c r="U1620" s="2">
        <f>MASTER[[#This Row],[CANTIDAD]]*MASTER[[#This Row],[COSTO UNITARIO]]</f>
        <v>460</v>
      </c>
      <c r="V1620" s="2">
        <f>MASTER[[#This Row],[MONTO VENDIDO]]-MASTER[[#This Row],[COSTO DE VENTA]]</f>
        <v>609</v>
      </c>
    </row>
    <row r="1621" spans="1:22" x14ac:dyDescent="0.3">
      <c r="A1621">
        <v>30599</v>
      </c>
      <c r="B1621">
        <v>1</v>
      </c>
      <c r="C1621" t="s">
        <v>107</v>
      </c>
      <c r="D1621" t="s">
        <v>108</v>
      </c>
      <c r="E1621" s="1">
        <v>44027</v>
      </c>
      <c r="F1621">
        <v>4</v>
      </c>
      <c r="G1621" t="s">
        <v>59</v>
      </c>
      <c r="H1621" t="s">
        <v>60</v>
      </c>
      <c r="I1621" s="3">
        <v>1440</v>
      </c>
      <c r="J1621" s="3">
        <v>1324</v>
      </c>
      <c r="K1621" s="3">
        <v>380</v>
      </c>
      <c r="L1621" t="s">
        <v>98</v>
      </c>
      <c r="M1621">
        <v>18</v>
      </c>
      <c r="N1621" t="s">
        <v>79</v>
      </c>
      <c r="O1621" t="s">
        <v>70</v>
      </c>
      <c r="P1621" t="s">
        <v>15</v>
      </c>
      <c r="Q1621" t="s">
        <v>16</v>
      </c>
      <c r="R1621" t="s">
        <v>16</v>
      </c>
      <c r="S1621" t="s">
        <v>144</v>
      </c>
      <c r="T1621" s="2">
        <f>MASTER[[#This Row],[CANTIDAD]]*MASTER[[#This Row],[PRECIO DE VENTA]]</f>
        <v>5296</v>
      </c>
      <c r="U1621" s="2">
        <f>MASTER[[#This Row],[CANTIDAD]]*MASTER[[#This Row],[COSTO UNITARIO]]</f>
        <v>1520</v>
      </c>
      <c r="V1621" s="2">
        <f>MASTER[[#This Row],[MONTO VENDIDO]]-MASTER[[#This Row],[COSTO DE VENTA]]</f>
        <v>3776</v>
      </c>
    </row>
    <row r="1622" spans="1:22" x14ac:dyDescent="0.3">
      <c r="A1622">
        <v>30618</v>
      </c>
      <c r="B1622">
        <v>1</v>
      </c>
      <c r="C1622" t="s">
        <v>94</v>
      </c>
      <c r="D1622" t="s">
        <v>95</v>
      </c>
      <c r="E1622" s="1">
        <v>44027</v>
      </c>
      <c r="F1622">
        <v>1</v>
      </c>
      <c r="G1622" t="s">
        <v>61</v>
      </c>
      <c r="H1622" t="s">
        <v>62</v>
      </c>
      <c r="I1622" s="3">
        <v>1048</v>
      </c>
      <c r="J1622" s="3">
        <v>1048</v>
      </c>
      <c r="K1622" s="3">
        <v>392</v>
      </c>
      <c r="L1622" t="s">
        <v>9</v>
      </c>
      <c r="M1622">
        <v>8</v>
      </c>
      <c r="N1622" t="s">
        <v>80</v>
      </c>
      <c r="O1622" t="s">
        <v>81</v>
      </c>
      <c r="P1622" t="s">
        <v>12</v>
      </c>
      <c r="Q1622" t="s">
        <v>13</v>
      </c>
      <c r="R1622" t="s">
        <v>13</v>
      </c>
      <c r="S1622" t="s">
        <v>144</v>
      </c>
      <c r="T1622" s="2">
        <f>MASTER[[#This Row],[CANTIDAD]]*MASTER[[#This Row],[PRECIO DE VENTA]]</f>
        <v>1048</v>
      </c>
      <c r="U1622" s="2">
        <f>MASTER[[#This Row],[CANTIDAD]]*MASTER[[#This Row],[COSTO UNITARIO]]</f>
        <v>392</v>
      </c>
      <c r="V1622" s="2">
        <f>MASTER[[#This Row],[MONTO VENDIDO]]-MASTER[[#This Row],[COSTO DE VENTA]]</f>
        <v>656</v>
      </c>
    </row>
    <row r="1623" spans="1:22" x14ac:dyDescent="0.3">
      <c r="A1623">
        <v>30629</v>
      </c>
      <c r="B1623">
        <v>2</v>
      </c>
      <c r="C1623" t="s">
        <v>94</v>
      </c>
      <c r="D1623" t="s">
        <v>95</v>
      </c>
      <c r="E1623" s="1">
        <v>44027</v>
      </c>
      <c r="F1623">
        <v>1</v>
      </c>
      <c r="G1623" t="s">
        <v>65</v>
      </c>
      <c r="H1623" t="s">
        <v>66</v>
      </c>
      <c r="I1623" s="3">
        <v>901</v>
      </c>
      <c r="J1623" s="3">
        <v>901</v>
      </c>
      <c r="K1623" s="3">
        <v>392</v>
      </c>
      <c r="L1623" t="s">
        <v>9</v>
      </c>
      <c r="M1623">
        <v>12</v>
      </c>
      <c r="N1623" t="s">
        <v>26</v>
      </c>
      <c r="O1623" t="s">
        <v>11</v>
      </c>
      <c r="P1623" t="s">
        <v>12</v>
      </c>
      <c r="Q1623" t="s">
        <v>13</v>
      </c>
      <c r="R1623" t="s">
        <v>13</v>
      </c>
      <c r="S1623" t="s">
        <v>144</v>
      </c>
      <c r="T1623" s="2">
        <f>MASTER[[#This Row],[CANTIDAD]]*MASTER[[#This Row],[PRECIO DE VENTA]]</f>
        <v>901</v>
      </c>
      <c r="U1623" s="2">
        <f>MASTER[[#This Row],[CANTIDAD]]*MASTER[[#This Row],[COSTO UNITARIO]]</f>
        <v>392</v>
      </c>
      <c r="V1623" s="2">
        <f>MASTER[[#This Row],[MONTO VENDIDO]]-MASTER[[#This Row],[COSTO DE VENTA]]</f>
        <v>509</v>
      </c>
    </row>
    <row r="1624" spans="1:22" x14ac:dyDescent="0.3">
      <c r="A1624">
        <v>30629</v>
      </c>
      <c r="B1624">
        <v>1</v>
      </c>
      <c r="C1624" t="s">
        <v>109</v>
      </c>
      <c r="D1624" t="s">
        <v>110</v>
      </c>
      <c r="E1624" s="1">
        <v>44027</v>
      </c>
      <c r="F1624">
        <v>1</v>
      </c>
      <c r="G1624" t="s">
        <v>65</v>
      </c>
      <c r="H1624" t="s">
        <v>66</v>
      </c>
      <c r="I1624" s="3">
        <v>947</v>
      </c>
      <c r="J1624" s="3">
        <v>947</v>
      </c>
      <c r="K1624" s="3">
        <v>387</v>
      </c>
      <c r="L1624" t="s">
        <v>98</v>
      </c>
      <c r="M1624">
        <v>12</v>
      </c>
      <c r="N1624" t="s">
        <v>26</v>
      </c>
      <c r="O1624" t="s">
        <v>11</v>
      </c>
      <c r="P1624" t="s">
        <v>12</v>
      </c>
      <c r="Q1624" t="s">
        <v>13</v>
      </c>
      <c r="R1624" t="s">
        <v>13</v>
      </c>
      <c r="S1624" t="s">
        <v>144</v>
      </c>
      <c r="T1624" s="2">
        <f>MASTER[[#This Row],[CANTIDAD]]*MASTER[[#This Row],[PRECIO DE VENTA]]</f>
        <v>947</v>
      </c>
      <c r="U1624" s="2">
        <f>MASTER[[#This Row],[CANTIDAD]]*MASTER[[#This Row],[COSTO UNITARIO]]</f>
        <v>387</v>
      </c>
      <c r="V1624" s="2">
        <f>MASTER[[#This Row],[MONTO VENDIDO]]-MASTER[[#This Row],[COSTO DE VENTA]]</f>
        <v>560</v>
      </c>
    </row>
    <row r="1625" spans="1:22" x14ac:dyDescent="0.3">
      <c r="A1625">
        <v>30672</v>
      </c>
      <c r="B1625">
        <v>1</v>
      </c>
      <c r="C1625" t="s">
        <v>101</v>
      </c>
      <c r="D1625" t="s">
        <v>102</v>
      </c>
      <c r="E1625" s="1">
        <v>44027</v>
      </c>
      <c r="F1625">
        <v>1</v>
      </c>
      <c r="G1625" t="s">
        <v>33</v>
      </c>
      <c r="H1625" t="s">
        <v>34</v>
      </c>
      <c r="I1625" s="3">
        <v>1212</v>
      </c>
      <c r="J1625" s="3">
        <v>1212</v>
      </c>
      <c r="K1625" s="3">
        <v>442</v>
      </c>
      <c r="L1625" t="s">
        <v>98</v>
      </c>
      <c r="M1625">
        <v>4</v>
      </c>
      <c r="N1625" t="s">
        <v>82</v>
      </c>
      <c r="O1625" t="s">
        <v>81</v>
      </c>
      <c r="P1625" t="s">
        <v>71</v>
      </c>
      <c r="Q1625" t="s">
        <v>72</v>
      </c>
      <c r="R1625" t="s">
        <v>139</v>
      </c>
      <c r="S1625" t="s">
        <v>144</v>
      </c>
      <c r="T1625" s="2">
        <f>MASTER[[#This Row],[CANTIDAD]]*MASTER[[#This Row],[PRECIO DE VENTA]]</f>
        <v>1212</v>
      </c>
      <c r="U1625" s="2">
        <f>MASTER[[#This Row],[CANTIDAD]]*MASTER[[#This Row],[COSTO UNITARIO]]</f>
        <v>442</v>
      </c>
      <c r="V1625" s="2">
        <f>MASTER[[#This Row],[MONTO VENDIDO]]-MASTER[[#This Row],[COSTO DE VENTA]]</f>
        <v>770</v>
      </c>
    </row>
    <row r="1626" spans="1:22" x14ac:dyDescent="0.3">
      <c r="A1626">
        <v>30674</v>
      </c>
      <c r="B1626">
        <v>1</v>
      </c>
      <c r="C1626" t="s">
        <v>118</v>
      </c>
      <c r="D1626" t="s">
        <v>119</v>
      </c>
      <c r="E1626" s="1">
        <v>44027</v>
      </c>
      <c r="F1626">
        <v>1</v>
      </c>
      <c r="G1626" t="s">
        <v>61</v>
      </c>
      <c r="H1626" t="s">
        <v>62</v>
      </c>
      <c r="I1626" s="3">
        <v>801</v>
      </c>
      <c r="J1626" s="3">
        <v>801</v>
      </c>
      <c r="K1626" s="3">
        <v>424</v>
      </c>
      <c r="L1626" t="s">
        <v>120</v>
      </c>
      <c r="M1626">
        <v>16</v>
      </c>
      <c r="N1626" t="s">
        <v>17</v>
      </c>
      <c r="O1626" t="s">
        <v>11</v>
      </c>
      <c r="P1626" t="s">
        <v>18</v>
      </c>
      <c r="Q1626" t="s">
        <v>19</v>
      </c>
      <c r="R1626" t="s">
        <v>138</v>
      </c>
      <c r="S1626" t="s">
        <v>144</v>
      </c>
      <c r="T1626" s="2">
        <f>MASTER[[#This Row],[CANTIDAD]]*MASTER[[#This Row],[PRECIO DE VENTA]]</f>
        <v>801</v>
      </c>
      <c r="U1626" s="2">
        <f>MASTER[[#This Row],[CANTIDAD]]*MASTER[[#This Row],[COSTO UNITARIO]]</f>
        <v>424</v>
      </c>
      <c r="V1626" s="2">
        <f>MASTER[[#This Row],[MONTO VENDIDO]]-MASTER[[#This Row],[COSTO DE VENTA]]</f>
        <v>377</v>
      </c>
    </row>
    <row r="1627" spans="1:22" x14ac:dyDescent="0.3">
      <c r="A1627">
        <v>30675</v>
      </c>
      <c r="B1627">
        <v>1</v>
      </c>
      <c r="C1627" t="s">
        <v>107</v>
      </c>
      <c r="D1627" t="s">
        <v>108</v>
      </c>
      <c r="E1627" s="1">
        <v>44027</v>
      </c>
      <c r="F1627">
        <v>1</v>
      </c>
      <c r="G1627" t="s">
        <v>61</v>
      </c>
      <c r="H1627" t="s">
        <v>62</v>
      </c>
      <c r="I1627" s="3">
        <v>1240</v>
      </c>
      <c r="J1627" s="3">
        <v>1240</v>
      </c>
      <c r="K1627" s="3">
        <v>380</v>
      </c>
      <c r="L1627" t="s">
        <v>98</v>
      </c>
      <c r="M1627">
        <v>11</v>
      </c>
      <c r="N1627" t="s">
        <v>10</v>
      </c>
      <c r="O1627" t="s">
        <v>11</v>
      </c>
      <c r="P1627" t="s">
        <v>12</v>
      </c>
      <c r="Q1627" t="s">
        <v>13</v>
      </c>
      <c r="R1627" t="s">
        <v>13</v>
      </c>
      <c r="S1627" t="s">
        <v>144</v>
      </c>
      <c r="T1627" s="2">
        <f>MASTER[[#This Row],[CANTIDAD]]*MASTER[[#This Row],[PRECIO DE VENTA]]</f>
        <v>1240</v>
      </c>
      <c r="U1627" s="2">
        <f>MASTER[[#This Row],[CANTIDAD]]*MASTER[[#This Row],[COSTO UNITARIO]]</f>
        <v>380</v>
      </c>
      <c r="V1627" s="2">
        <f>MASTER[[#This Row],[MONTO VENDIDO]]-MASTER[[#This Row],[COSTO DE VENTA]]</f>
        <v>860</v>
      </c>
    </row>
    <row r="1628" spans="1:22" x14ac:dyDescent="0.3">
      <c r="A1628">
        <v>30686</v>
      </c>
      <c r="B1628">
        <v>1</v>
      </c>
      <c r="C1628" t="s">
        <v>94</v>
      </c>
      <c r="D1628" t="s">
        <v>95</v>
      </c>
      <c r="E1628" s="1">
        <v>44027</v>
      </c>
      <c r="F1628">
        <v>1</v>
      </c>
      <c r="G1628" t="s">
        <v>37</v>
      </c>
      <c r="H1628" t="s">
        <v>38</v>
      </c>
      <c r="I1628" s="3">
        <v>1048</v>
      </c>
      <c r="J1628" s="3">
        <v>985</v>
      </c>
      <c r="K1628" s="3">
        <v>392</v>
      </c>
      <c r="L1628" t="s">
        <v>9</v>
      </c>
      <c r="M1628">
        <v>15</v>
      </c>
      <c r="N1628" t="s">
        <v>88</v>
      </c>
      <c r="O1628" t="s">
        <v>81</v>
      </c>
      <c r="P1628" t="s">
        <v>18</v>
      </c>
      <c r="Q1628" t="s">
        <v>19</v>
      </c>
      <c r="R1628" t="s">
        <v>138</v>
      </c>
      <c r="S1628" t="s">
        <v>144</v>
      </c>
      <c r="T1628" s="2">
        <f>MASTER[[#This Row],[CANTIDAD]]*MASTER[[#This Row],[PRECIO DE VENTA]]</f>
        <v>985</v>
      </c>
      <c r="U1628" s="2">
        <f>MASTER[[#This Row],[CANTIDAD]]*MASTER[[#This Row],[COSTO UNITARIO]]</f>
        <v>392</v>
      </c>
      <c r="V1628" s="2">
        <f>MASTER[[#This Row],[MONTO VENDIDO]]-MASTER[[#This Row],[COSTO DE VENTA]]</f>
        <v>593</v>
      </c>
    </row>
    <row r="1629" spans="1:22" x14ac:dyDescent="0.3">
      <c r="A1629">
        <v>30690</v>
      </c>
      <c r="B1629">
        <v>1</v>
      </c>
      <c r="C1629" t="s">
        <v>94</v>
      </c>
      <c r="D1629" t="s">
        <v>95</v>
      </c>
      <c r="E1629" s="1">
        <v>44027</v>
      </c>
      <c r="F1629">
        <v>1</v>
      </c>
      <c r="G1629" t="s">
        <v>57</v>
      </c>
      <c r="H1629" t="s">
        <v>58</v>
      </c>
      <c r="I1629" s="3">
        <v>1153</v>
      </c>
      <c r="J1629" s="3">
        <v>1072</v>
      </c>
      <c r="K1629" s="3">
        <v>392</v>
      </c>
      <c r="L1629" t="s">
        <v>9</v>
      </c>
      <c r="M1629">
        <v>18</v>
      </c>
      <c r="N1629" t="s">
        <v>79</v>
      </c>
      <c r="O1629" t="s">
        <v>70</v>
      </c>
      <c r="P1629" t="s">
        <v>15</v>
      </c>
      <c r="Q1629" t="s">
        <v>16</v>
      </c>
      <c r="R1629" t="s">
        <v>16</v>
      </c>
      <c r="S1629" t="s">
        <v>144</v>
      </c>
      <c r="T1629" s="2">
        <f>MASTER[[#This Row],[CANTIDAD]]*MASTER[[#This Row],[PRECIO DE VENTA]]</f>
        <v>1072</v>
      </c>
      <c r="U1629" s="2">
        <f>MASTER[[#This Row],[CANTIDAD]]*MASTER[[#This Row],[COSTO UNITARIO]]</f>
        <v>392</v>
      </c>
      <c r="V1629" s="2">
        <f>MASTER[[#This Row],[MONTO VENDIDO]]-MASTER[[#This Row],[COSTO DE VENTA]]</f>
        <v>680</v>
      </c>
    </row>
    <row r="1630" spans="1:22" x14ac:dyDescent="0.3">
      <c r="A1630">
        <v>30694</v>
      </c>
      <c r="B1630">
        <v>1</v>
      </c>
      <c r="C1630" t="s">
        <v>92</v>
      </c>
      <c r="D1630" t="s">
        <v>93</v>
      </c>
      <c r="E1630" s="1">
        <v>44028</v>
      </c>
      <c r="F1630">
        <v>1</v>
      </c>
      <c r="G1630" t="s">
        <v>55</v>
      </c>
      <c r="H1630" t="s">
        <v>56</v>
      </c>
      <c r="I1630" s="3">
        <v>1479</v>
      </c>
      <c r="J1630" s="3">
        <v>1479</v>
      </c>
      <c r="K1630" s="3">
        <v>396</v>
      </c>
      <c r="L1630" t="s">
        <v>9</v>
      </c>
      <c r="M1630">
        <v>16</v>
      </c>
      <c r="N1630" t="s">
        <v>17</v>
      </c>
      <c r="O1630" t="s">
        <v>11</v>
      </c>
      <c r="P1630" t="s">
        <v>18</v>
      </c>
      <c r="Q1630" t="s">
        <v>19</v>
      </c>
      <c r="R1630" t="s">
        <v>138</v>
      </c>
      <c r="S1630" t="s">
        <v>144</v>
      </c>
      <c r="T1630" s="2">
        <f>MASTER[[#This Row],[CANTIDAD]]*MASTER[[#This Row],[PRECIO DE VENTA]]</f>
        <v>1479</v>
      </c>
      <c r="U1630" s="2">
        <f>MASTER[[#This Row],[CANTIDAD]]*MASTER[[#This Row],[COSTO UNITARIO]]</f>
        <v>396</v>
      </c>
      <c r="V1630" s="2">
        <f>MASTER[[#This Row],[MONTO VENDIDO]]-MASTER[[#This Row],[COSTO DE VENTA]]</f>
        <v>1083</v>
      </c>
    </row>
    <row r="1631" spans="1:22" x14ac:dyDescent="0.3">
      <c r="A1631">
        <v>30702</v>
      </c>
      <c r="B1631">
        <v>1</v>
      </c>
      <c r="C1631" t="s">
        <v>5</v>
      </c>
      <c r="D1631" t="s">
        <v>6</v>
      </c>
      <c r="E1631" s="1">
        <v>44028</v>
      </c>
      <c r="F1631">
        <v>3</v>
      </c>
      <c r="G1631" t="s">
        <v>39</v>
      </c>
      <c r="H1631" t="s">
        <v>40</v>
      </c>
      <c r="I1631" s="3">
        <v>1507</v>
      </c>
      <c r="J1631" s="3">
        <v>1507</v>
      </c>
      <c r="K1631" s="3">
        <v>393</v>
      </c>
      <c r="L1631" t="s">
        <v>9</v>
      </c>
      <c r="M1631">
        <v>4</v>
      </c>
      <c r="N1631" t="s">
        <v>82</v>
      </c>
      <c r="O1631" t="s">
        <v>81</v>
      </c>
      <c r="P1631" t="s">
        <v>71</v>
      </c>
      <c r="Q1631" t="s">
        <v>72</v>
      </c>
      <c r="R1631" t="s">
        <v>139</v>
      </c>
      <c r="S1631" t="s">
        <v>144</v>
      </c>
      <c r="T1631" s="2">
        <f>MASTER[[#This Row],[CANTIDAD]]*MASTER[[#This Row],[PRECIO DE VENTA]]</f>
        <v>4521</v>
      </c>
      <c r="U1631" s="2">
        <f>MASTER[[#This Row],[CANTIDAD]]*MASTER[[#This Row],[COSTO UNITARIO]]</f>
        <v>1179</v>
      </c>
      <c r="V1631" s="2">
        <f>MASTER[[#This Row],[MONTO VENDIDO]]-MASTER[[#This Row],[COSTO DE VENTA]]</f>
        <v>3342</v>
      </c>
    </row>
    <row r="1632" spans="1:22" x14ac:dyDescent="0.3">
      <c r="A1632">
        <v>30704</v>
      </c>
      <c r="B1632">
        <v>1</v>
      </c>
      <c r="C1632" t="s">
        <v>94</v>
      </c>
      <c r="D1632" t="s">
        <v>95</v>
      </c>
      <c r="E1632" s="1">
        <v>44028</v>
      </c>
      <c r="F1632">
        <v>3</v>
      </c>
      <c r="G1632" t="s">
        <v>45</v>
      </c>
      <c r="H1632" t="s">
        <v>46</v>
      </c>
      <c r="I1632" s="3">
        <v>901</v>
      </c>
      <c r="J1632" s="3">
        <v>901</v>
      </c>
      <c r="K1632" s="3">
        <v>392</v>
      </c>
      <c r="L1632" t="s">
        <v>9</v>
      </c>
      <c r="M1632">
        <v>17</v>
      </c>
      <c r="N1632" t="s">
        <v>14</v>
      </c>
      <c r="O1632" t="s">
        <v>11</v>
      </c>
      <c r="P1632" t="s">
        <v>15</v>
      </c>
      <c r="Q1632" t="s">
        <v>16</v>
      </c>
      <c r="R1632" t="s">
        <v>16</v>
      </c>
      <c r="S1632" t="s">
        <v>144</v>
      </c>
      <c r="T1632" s="2">
        <f>MASTER[[#This Row],[CANTIDAD]]*MASTER[[#This Row],[PRECIO DE VENTA]]</f>
        <v>2703</v>
      </c>
      <c r="U1632" s="2">
        <f>MASTER[[#This Row],[CANTIDAD]]*MASTER[[#This Row],[COSTO UNITARIO]]</f>
        <v>1176</v>
      </c>
      <c r="V1632" s="2">
        <f>MASTER[[#This Row],[MONTO VENDIDO]]-MASTER[[#This Row],[COSTO DE VENTA]]</f>
        <v>1527</v>
      </c>
    </row>
    <row r="1633" spans="1:22" x14ac:dyDescent="0.3">
      <c r="A1633">
        <v>30711</v>
      </c>
      <c r="B1633">
        <v>1</v>
      </c>
      <c r="C1633" t="s">
        <v>105</v>
      </c>
      <c r="D1633" t="s">
        <v>106</v>
      </c>
      <c r="E1633" s="1">
        <v>44028</v>
      </c>
      <c r="F1633">
        <v>1</v>
      </c>
      <c r="G1633" t="s">
        <v>67</v>
      </c>
      <c r="H1633" t="s">
        <v>68</v>
      </c>
      <c r="I1633" s="3">
        <v>2033</v>
      </c>
      <c r="J1633" s="3">
        <v>2033</v>
      </c>
      <c r="K1633" s="3">
        <v>459</v>
      </c>
      <c r="L1633" t="s">
        <v>98</v>
      </c>
      <c r="M1633">
        <v>18</v>
      </c>
      <c r="N1633" t="s">
        <v>79</v>
      </c>
      <c r="O1633" t="s">
        <v>70</v>
      </c>
      <c r="P1633" t="s">
        <v>15</v>
      </c>
      <c r="Q1633" t="s">
        <v>16</v>
      </c>
      <c r="R1633" t="s">
        <v>16</v>
      </c>
      <c r="S1633" t="s">
        <v>144</v>
      </c>
      <c r="T1633" s="2">
        <f>MASTER[[#This Row],[CANTIDAD]]*MASTER[[#This Row],[PRECIO DE VENTA]]</f>
        <v>2033</v>
      </c>
      <c r="U1633" s="2">
        <f>MASTER[[#This Row],[CANTIDAD]]*MASTER[[#This Row],[COSTO UNITARIO]]</f>
        <v>459</v>
      </c>
      <c r="V1633" s="2">
        <f>MASTER[[#This Row],[MONTO VENDIDO]]-MASTER[[#This Row],[COSTO DE VENTA]]</f>
        <v>1574</v>
      </c>
    </row>
    <row r="1634" spans="1:22" x14ac:dyDescent="0.3">
      <c r="A1634">
        <v>30714</v>
      </c>
      <c r="B1634">
        <v>1</v>
      </c>
      <c r="C1634" t="s">
        <v>5</v>
      </c>
      <c r="D1634" t="s">
        <v>6</v>
      </c>
      <c r="E1634" s="1">
        <v>44028</v>
      </c>
      <c r="F1634">
        <v>1</v>
      </c>
      <c r="G1634" t="s">
        <v>45</v>
      </c>
      <c r="H1634" t="s">
        <v>46</v>
      </c>
      <c r="I1634" s="3">
        <v>1311</v>
      </c>
      <c r="J1634" s="3">
        <v>1311</v>
      </c>
      <c r="K1634" s="3">
        <v>393</v>
      </c>
      <c r="L1634" t="s">
        <v>9</v>
      </c>
      <c r="M1634">
        <v>16</v>
      </c>
      <c r="N1634" t="s">
        <v>17</v>
      </c>
      <c r="O1634" t="s">
        <v>11</v>
      </c>
      <c r="P1634" t="s">
        <v>18</v>
      </c>
      <c r="Q1634" t="s">
        <v>19</v>
      </c>
      <c r="R1634" t="s">
        <v>138</v>
      </c>
      <c r="S1634" t="s">
        <v>144</v>
      </c>
      <c r="T1634" s="2">
        <f>MASTER[[#This Row],[CANTIDAD]]*MASTER[[#This Row],[PRECIO DE VENTA]]</f>
        <v>1311</v>
      </c>
      <c r="U1634" s="2">
        <f>MASTER[[#This Row],[CANTIDAD]]*MASTER[[#This Row],[COSTO UNITARIO]]</f>
        <v>393</v>
      </c>
      <c r="V1634" s="2">
        <f>MASTER[[#This Row],[MONTO VENDIDO]]-MASTER[[#This Row],[COSTO DE VENTA]]</f>
        <v>918</v>
      </c>
    </row>
    <row r="1635" spans="1:22" x14ac:dyDescent="0.3">
      <c r="A1635">
        <v>30717</v>
      </c>
      <c r="B1635">
        <v>1</v>
      </c>
      <c r="C1635" t="s">
        <v>96</v>
      </c>
      <c r="D1635" t="s">
        <v>97</v>
      </c>
      <c r="E1635" s="1">
        <v>44028</v>
      </c>
      <c r="F1635">
        <v>1</v>
      </c>
      <c r="G1635" t="s">
        <v>59</v>
      </c>
      <c r="H1635" t="s">
        <v>60</v>
      </c>
      <c r="I1635" s="3">
        <v>1272</v>
      </c>
      <c r="J1635" s="3">
        <v>1272</v>
      </c>
      <c r="K1635" s="3">
        <v>397</v>
      </c>
      <c r="L1635" t="s">
        <v>98</v>
      </c>
      <c r="M1635">
        <v>2</v>
      </c>
      <c r="N1635" t="s">
        <v>86</v>
      </c>
      <c r="O1635" t="s">
        <v>81</v>
      </c>
      <c r="P1635" t="s">
        <v>71</v>
      </c>
      <c r="Q1635" t="s">
        <v>72</v>
      </c>
      <c r="R1635" t="s">
        <v>139</v>
      </c>
      <c r="S1635" t="s">
        <v>144</v>
      </c>
      <c r="T1635" s="2">
        <f>MASTER[[#This Row],[CANTIDAD]]*MASTER[[#This Row],[PRECIO DE VENTA]]</f>
        <v>1272</v>
      </c>
      <c r="U1635" s="2">
        <f>MASTER[[#This Row],[CANTIDAD]]*MASTER[[#This Row],[COSTO UNITARIO]]</f>
        <v>397</v>
      </c>
      <c r="V1635" s="2">
        <f>MASTER[[#This Row],[MONTO VENDIDO]]-MASTER[[#This Row],[COSTO DE VENTA]]</f>
        <v>875</v>
      </c>
    </row>
    <row r="1636" spans="1:22" x14ac:dyDescent="0.3">
      <c r="A1636">
        <v>30719</v>
      </c>
      <c r="B1636">
        <v>1</v>
      </c>
      <c r="C1636" t="s">
        <v>105</v>
      </c>
      <c r="D1636" t="s">
        <v>106</v>
      </c>
      <c r="E1636" s="1">
        <v>44028</v>
      </c>
      <c r="F1636">
        <v>1</v>
      </c>
      <c r="G1636" t="s">
        <v>27</v>
      </c>
      <c r="H1636" t="s">
        <v>28</v>
      </c>
      <c r="I1636" s="3">
        <v>1865</v>
      </c>
      <c r="J1636" s="3">
        <v>1865</v>
      </c>
      <c r="K1636" s="3">
        <v>459</v>
      </c>
      <c r="L1636" t="s">
        <v>98</v>
      </c>
      <c r="M1636">
        <v>19</v>
      </c>
      <c r="N1636" t="s">
        <v>89</v>
      </c>
      <c r="O1636" t="s">
        <v>81</v>
      </c>
      <c r="P1636" t="s">
        <v>15</v>
      </c>
      <c r="Q1636" t="s">
        <v>16</v>
      </c>
      <c r="R1636" t="s">
        <v>16</v>
      </c>
      <c r="S1636" t="s">
        <v>144</v>
      </c>
      <c r="T1636" s="2">
        <f>MASTER[[#This Row],[CANTIDAD]]*MASTER[[#This Row],[PRECIO DE VENTA]]</f>
        <v>1865</v>
      </c>
      <c r="U1636" s="2">
        <f>MASTER[[#This Row],[CANTIDAD]]*MASTER[[#This Row],[COSTO UNITARIO]]</f>
        <v>459</v>
      </c>
      <c r="V1636" s="2">
        <f>MASTER[[#This Row],[MONTO VENDIDO]]-MASTER[[#This Row],[COSTO DE VENTA]]</f>
        <v>1406</v>
      </c>
    </row>
    <row r="1637" spans="1:22" x14ac:dyDescent="0.3">
      <c r="A1637">
        <v>30752</v>
      </c>
      <c r="B1637">
        <v>1</v>
      </c>
      <c r="C1637" t="s">
        <v>92</v>
      </c>
      <c r="D1637" t="s">
        <v>93</v>
      </c>
      <c r="E1637" s="1">
        <v>44028</v>
      </c>
      <c r="F1637">
        <v>1</v>
      </c>
      <c r="G1637" t="s">
        <v>45</v>
      </c>
      <c r="H1637" t="s">
        <v>46</v>
      </c>
      <c r="I1637" s="3">
        <v>1681</v>
      </c>
      <c r="J1637" s="3">
        <v>1681</v>
      </c>
      <c r="K1637" s="3">
        <v>396</v>
      </c>
      <c r="L1637" t="s">
        <v>9</v>
      </c>
      <c r="M1637">
        <v>19</v>
      </c>
      <c r="N1637" t="s">
        <v>89</v>
      </c>
      <c r="O1637" t="s">
        <v>81</v>
      </c>
      <c r="P1637" t="s">
        <v>15</v>
      </c>
      <c r="Q1637" t="s">
        <v>16</v>
      </c>
      <c r="R1637" t="s">
        <v>16</v>
      </c>
      <c r="S1637" t="s">
        <v>144</v>
      </c>
      <c r="T1637" s="2">
        <f>MASTER[[#This Row],[CANTIDAD]]*MASTER[[#This Row],[PRECIO DE VENTA]]</f>
        <v>1681</v>
      </c>
      <c r="U1637" s="2">
        <f>MASTER[[#This Row],[CANTIDAD]]*MASTER[[#This Row],[COSTO UNITARIO]]</f>
        <v>396</v>
      </c>
      <c r="V1637" s="2">
        <f>MASTER[[#This Row],[MONTO VENDIDO]]-MASTER[[#This Row],[COSTO DE VENTA]]</f>
        <v>1285</v>
      </c>
    </row>
    <row r="1638" spans="1:22" x14ac:dyDescent="0.3">
      <c r="A1638">
        <v>30754</v>
      </c>
      <c r="B1638">
        <v>1</v>
      </c>
      <c r="C1638" t="s">
        <v>90</v>
      </c>
      <c r="D1638" t="s">
        <v>91</v>
      </c>
      <c r="E1638" s="1">
        <v>44029</v>
      </c>
      <c r="F1638">
        <v>1</v>
      </c>
      <c r="G1638" t="s">
        <v>55</v>
      </c>
      <c r="H1638" t="s">
        <v>56</v>
      </c>
      <c r="I1638" s="3">
        <v>1660</v>
      </c>
      <c r="J1638" s="3">
        <v>1660</v>
      </c>
      <c r="K1638" s="3">
        <v>420</v>
      </c>
      <c r="L1638" t="s">
        <v>9</v>
      </c>
      <c r="M1638">
        <v>11</v>
      </c>
      <c r="N1638" t="s">
        <v>10</v>
      </c>
      <c r="O1638" t="s">
        <v>11</v>
      </c>
      <c r="P1638" t="s">
        <v>12</v>
      </c>
      <c r="Q1638" t="s">
        <v>13</v>
      </c>
      <c r="R1638" t="s">
        <v>13</v>
      </c>
      <c r="S1638" t="s">
        <v>144</v>
      </c>
      <c r="T1638" s="2">
        <f>MASTER[[#This Row],[CANTIDAD]]*MASTER[[#This Row],[PRECIO DE VENTA]]</f>
        <v>1660</v>
      </c>
      <c r="U1638" s="2">
        <f>MASTER[[#This Row],[CANTIDAD]]*MASTER[[#This Row],[COSTO UNITARIO]]</f>
        <v>420</v>
      </c>
      <c r="V1638" s="2">
        <f>MASTER[[#This Row],[MONTO VENDIDO]]-MASTER[[#This Row],[COSTO DE VENTA]]</f>
        <v>1240</v>
      </c>
    </row>
    <row r="1639" spans="1:22" x14ac:dyDescent="0.3">
      <c r="A1639">
        <v>30757</v>
      </c>
      <c r="B1639">
        <v>1</v>
      </c>
      <c r="C1639" t="s">
        <v>109</v>
      </c>
      <c r="D1639" t="s">
        <v>110</v>
      </c>
      <c r="E1639" s="1">
        <v>44029</v>
      </c>
      <c r="F1639">
        <v>1</v>
      </c>
      <c r="G1639" t="s">
        <v>45</v>
      </c>
      <c r="H1639" t="s">
        <v>46</v>
      </c>
      <c r="I1639" s="3">
        <v>947</v>
      </c>
      <c r="J1639" s="3">
        <v>947</v>
      </c>
      <c r="K1639" s="3">
        <v>387</v>
      </c>
      <c r="L1639" t="s">
        <v>98</v>
      </c>
      <c r="M1639">
        <v>11</v>
      </c>
      <c r="N1639" t="s">
        <v>10</v>
      </c>
      <c r="O1639" t="s">
        <v>11</v>
      </c>
      <c r="P1639" t="s">
        <v>12</v>
      </c>
      <c r="Q1639" t="s">
        <v>13</v>
      </c>
      <c r="R1639" t="s">
        <v>13</v>
      </c>
      <c r="S1639" t="s">
        <v>144</v>
      </c>
      <c r="T1639" s="2">
        <f>MASTER[[#This Row],[CANTIDAD]]*MASTER[[#This Row],[PRECIO DE VENTA]]</f>
        <v>947</v>
      </c>
      <c r="U1639" s="2">
        <f>MASTER[[#This Row],[CANTIDAD]]*MASTER[[#This Row],[COSTO UNITARIO]]</f>
        <v>387</v>
      </c>
      <c r="V1639" s="2">
        <f>MASTER[[#This Row],[MONTO VENDIDO]]-MASTER[[#This Row],[COSTO DE VENTA]]</f>
        <v>560</v>
      </c>
    </row>
    <row r="1640" spans="1:22" x14ac:dyDescent="0.3">
      <c r="A1640">
        <v>30759</v>
      </c>
      <c r="B1640">
        <v>1</v>
      </c>
      <c r="C1640" t="s">
        <v>111</v>
      </c>
      <c r="D1640" t="s">
        <v>112</v>
      </c>
      <c r="E1640" s="1">
        <v>44029</v>
      </c>
      <c r="F1640">
        <v>1</v>
      </c>
      <c r="G1640" t="s">
        <v>24</v>
      </c>
      <c r="H1640" t="s">
        <v>25</v>
      </c>
      <c r="I1640" s="3">
        <v>1621</v>
      </c>
      <c r="J1640" s="3">
        <v>1475</v>
      </c>
      <c r="K1640" s="3">
        <v>434</v>
      </c>
      <c r="L1640" t="s">
        <v>113</v>
      </c>
      <c r="M1640">
        <v>15</v>
      </c>
      <c r="N1640" t="s">
        <v>88</v>
      </c>
      <c r="O1640" t="s">
        <v>81</v>
      </c>
      <c r="P1640" t="s">
        <v>18</v>
      </c>
      <c r="Q1640" t="s">
        <v>19</v>
      </c>
      <c r="R1640" t="s">
        <v>138</v>
      </c>
      <c r="S1640" t="s">
        <v>144</v>
      </c>
      <c r="T1640" s="2">
        <f>MASTER[[#This Row],[CANTIDAD]]*MASTER[[#This Row],[PRECIO DE VENTA]]</f>
        <v>1475</v>
      </c>
      <c r="U1640" s="2">
        <f>MASTER[[#This Row],[CANTIDAD]]*MASTER[[#This Row],[COSTO UNITARIO]]</f>
        <v>434</v>
      </c>
      <c r="V1640" s="2">
        <f>MASTER[[#This Row],[MONTO VENDIDO]]-MASTER[[#This Row],[COSTO DE VENTA]]</f>
        <v>1041</v>
      </c>
    </row>
    <row r="1641" spans="1:22" x14ac:dyDescent="0.3">
      <c r="A1641">
        <v>30763</v>
      </c>
      <c r="B1641">
        <v>1</v>
      </c>
      <c r="C1641" t="s">
        <v>96</v>
      </c>
      <c r="D1641" t="s">
        <v>97</v>
      </c>
      <c r="E1641" s="1">
        <v>44029</v>
      </c>
      <c r="F1641">
        <v>1</v>
      </c>
      <c r="G1641" t="s">
        <v>59</v>
      </c>
      <c r="H1641" t="s">
        <v>60</v>
      </c>
      <c r="I1641" s="3">
        <v>1361</v>
      </c>
      <c r="J1641" s="3">
        <v>1361</v>
      </c>
      <c r="K1641" s="3">
        <v>397</v>
      </c>
      <c r="L1641" t="s">
        <v>98</v>
      </c>
      <c r="M1641">
        <v>6</v>
      </c>
      <c r="N1641" t="s">
        <v>75</v>
      </c>
      <c r="O1641" t="s">
        <v>70</v>
      </c>
      <c r="P1641" t="s">
        <v>12</v>
      </c>
      <c r="Q1641" t="s">
        <v>13</v>
      </c>
      <c r="R1641" t="s">
        <v>13</v>
      </c>
      <c r="S1641" t="s">
        <v>144</v>
      </c>
      <c r="T1641" s="2">
        <f>MASTER[[#This Row],[CANTIDAD]]*MASTER[[#This Row],[PRECIO DE VENTA]]</f>
        <v>1361</v>
      </c>
      <c r="U1641" s="2">
        <f>MASTER[[#This Row],[CANTIDAD]]*MASTER[[#This Row],[COSTO UNITARIO]]</f>
        <v>397</v>
      </c>
      <c r="V1641" s="2">
        <f>MASTER[[#This Row],[MONTO VENDIDO]]-MASTER[[#This Row],[COSTO DE VENTA]]</f>
        <v>964</v>
      </c>
    </row>
    <row r="1642" spans="1:22" x14ac:dyDescent="0.3">
      <c r="A1642">
        <v>30769</v>
      </c>
      <c r="B1642">
        <v>1</v>
      </c>
      <c r="C1642" t="s">
        <v>105</v>
      </c>
      <c r="D1642" t="s">
        <v>106</v>
      </c>
      <c r="E1642" s="1">
        <v>44029</v>
      </c>
      <c r="F1642">
        <v>1</v>
      </c>
      <c r="G1642" t="s">
        <v>7</v>
      </c>
      <c r="H1642" t="s">
        <v>8</v>
      </c>
      <c r="I1642" s="3">
        <v>2033</v>
      </c>
      <c r="J1642" s="3">
        <v>2033</v>
      </c>
      <c r="K1642" s="3">
        <v>459</v>
      </c>
      <c r="L1642" t="s">
        <v>98</v>
      </c>
      <c r="M1642">
        <v>1</v>
      </c>
      <c r="N1642" t="s">
        <v>77</v>
      </c>
      <c r="O1642" t="s">
        <v>70</v>
      </c>
      <c r="P1642" t="s">
        <v>71</v>
      </c>
      <c r="Q1642" t="s">
        <v>72</v>
      </c>
      <c r="R1642" t="s">
        <v>139</v>
      </c>
      <c r="S1642" t="s">
        <v>144</v>
      </c>
      <c r="T1642" s="2">
        <f>MASTER[[#This Row],[CANTIDAD]]*MASTER[[#This Row],[PRECIO DE VENTA]]</f>
        <v>2033</v>
      </c>
      <c r="U1642" s="2">
        <f>MASTER[[#This Row],[CANTIDAD]]*MASTER[[#This Row],[COSTO UNITARIO]]</f>
        <v>459</v>
      </c>
      <c r="V1642" s="2">
        <f>MASTER[[#This Row],[MONTO VENDIDO]]-MASTER[[#This Row],[COSTO DE VENTA]]</f>
        <v>1574</v>
      </c>
    </row>
    <row r="1643" spans="1:22" x14ac:dyDescent="0.3">
      <c r="A1643">
        <v>30770</v>
      </c>
      <c r="B1643">
        <v>1</v>
      </c>
      <c r="C1643" t="s">
        <v>109</v>
      </c>
      <c r="D1643" t="s">
        <v>110</v>
      </c>
      <c r="E1643" s="1">
        <v>44029</v>
      </c>
      <c r="F1643">
        <v>1</v>
      </c>
      <c r="G1643" t="s">
        <v>61</v>
      </c>
      <c r="H1643" t="s">
        <v>62</v>
      </c>
      <c r="I1643" s="3">
        <v>1064</v>
      </c>
      <c r="J1643" s="3">
        <v>1064</v>
      </c>
      <c r="K1643" s="3">
        <v>387</v>
      </c>
      <c r="L1643" t="s">
        <v>98</v>
      </c>
      <c r="M1643">
        <v>15</v>
      </c>
      <c r="N1643" t="s">
        <v>88</v>
      </c>
      <c r="O1643" t="s">
        <v>81</v>
      </c>
      <c r="P1643" t="s">
        <v>18</v>
      </c>
      <c r="Q1643" t="s">
        <v>19</v>
      </c>
      <c r="R1643" t="s">
        <v>138</v>
      </c>
      <c r="S1643" t="s">
        <v>144</v>
      </c>
      <c r="T1643" s="2">
        <f>MASTER[[#This Row],[CANTIDAD]]*MASTER[[#This Row],[PRECIO DE VENTA]]</f>
        <v>1064</v>
      </c>
      <c r="U1643" s="2">
        <f>MASTER[[#This Row],[CANTIDAD]]*MASTER[[#This Row],[COSTO UNITARIO]]</f>
        <v>387</v>
      </c>
      <c r="V1643" s="2">
        <f>MASTER[[#This Row],[MONTO VENDIDO]]-MASTER[[#This Row],[COSTO DE VENTA]]</f>
        <v>677</v>
      </c>
    </row>
    <row r="1644" spans="1:22" x14ac:dyDescent="0.3">
      <c r="A1644">
        <v>30782</v>
      </c>
      <c r="B1644">
        <v>1</v>
      </c>
      <c r="C1644" t="s">
        <v>101</v>
      </c>
      <c r="D1644" t="s">
        <v>102</v>
      </c>
      <c r="E1644" s="1">
        <v>44029</v>
      </c>
      <c r="F1644">
        <v>1</v>
      </c>
      <c r="G1644" t="s">
        <v>73</v>
      </c>
      <c r="H1644" t="s">
        <v>74</v>
      </c>
      <c r="I1644" s="3">
        <v>1357</v>
      </c>
      <c r="J1644" s="3">
        <v>1357</v>
      </c>
      <c r="K1644" s="3">
        <v>442</v>
      </c>
      <c r="L1644" t="s">
        <v>98</v>
      </c>
      <c r="M1644">
        <v>13</v>
      </c>
      <c r="N1644" t="s">
        <v>78</v>
      </c>
      <c r="O1644" t="s">
        <v>70</v>
      </c>
      <c r="P1644" t="s">
        <v>18</v>
      </c>
      <c r="Q1644" t="s">
        <v>19</v>
      </c>
      <c r="R1644" t="s">
        <v>138</v>
      </c>
      <c r="S1644" t="s">
        <v>144</v>
      </c>
      <c r="T1644" s="2">
        <f>MASTER[[#This Row],[CANTIDAD]]*MASTER[[#This Row],[PRECIO DE VENTA]]</f>
        <v>1357</v>
      </c>
      <c r="U1644" s="2">
        <f>MASTER[[#This Row],[CANTIDAD]]*MASTER[[#This Row],[COSTO UNITARIO]]</f>
        <v>442</v>
      </c>
      <c r="V1644" s="2">
        <f>MASTER[[#This Row],[MONTO VENDIDO]]-MASTER[[#This Row],[COSTO DE VENTA]]</f>
        <v>915</v>
      </c>
    </row>
    <row r="1645" spans="1:22" x14ac:dyDescent="0.3">
      <c r="A1645">
        <v>30791</v>
      </c>
      <c r="B1645">
        <v>1</v>
      </c>
      <c r="C1645" t="s">
        <v>99</v>
      </c>
      <c r="D1645" t="s">
        <v>100</v>
      </c>
      <c r="E1645" s="1">
        <v>44029</v>
      </c>
      <c r="F1645">
        <v>1</v>
      </c>
      <c r="G1645" t="s">
        <v>20</v>
      </c>
      <c r="H1645" t="s">
        <v>21</v>
      </c>
      <c r="I1645" s="3">
        <v>1459</v>
      </c>
      <c r="J1645" s="3">
        <v>1459</v>
      </c>
      <c r="K1645" s="3">
        <v>386</v>
      </c>
      <c r="L1645" t="s">
        <v>98</v>
      </c>
      <c r="M1645">
        <v>7</v>
      </c>
      <c r="N1645" t="s">
        <v>84</v>
      </c>
      <c r="O1645" t="s">
        <v>81</v>
      </c>
      <c r="P1645" t="s">
        <v>12</v>
      </c>
      <c r="Q1645" t="s">
        <v>13</v>
      </c>
      <c r="R1645" t="s">
        <v>13</v>
      </c>
      <c r="S1645" t="s">
        <v>144</v>
      </c>
      <c r="T1645" s="2">
        <f>MASTER[[#This Row],[CANTIDAD]]*MASTER[[#This Row],[PRECIO DE VENTA]]</f>
        <v>1459</v>
      </c>
      <c r="U1645" s="2">
        <f>MASTER[[#This Row],[CANTIDAD]]*MASTER[[#This Row],[COSTO UNITARIO]]</f>
        <v>386</v>
      </c>
      <c r="V1645" s="2">
        <f>MASTER[[#This Row],[MONTO VENDIDO]]-MASTER[[#This Row],[COSTO DE VENTA]]</f>
        <v>1073</v>
      </c>
    </row>
    <row r="1646" spans="1:22" x14ac:dyDescent="0.3">
      <c r="A1646">
        <v>30796</v>
      </c>
      <c r="B1646">
        <v>1</v>
      </c>
      <c r="C1646" t="s">
        <v>121</v>
      </c>
      <c r="D1646" t="s">
        <v>122</v>
      </c>
      <c r="E1646" s="1">
        <v>44029</v>
      </c>
      <c r="F1646">
        <v>1</v>
      </c>
      <c r="G1646" t="s">
        <v>24</v>
      </c>
      <c r="H1646" t="s">
        <v>25</v>
      </c>
      <c r="I1646" s="3">
        <v>1069</v>
      </c>
      <c r="J1646" s="3">
        <v>1069</v>
      </c>
      <c r="K1646" s="3">
        <v>460</v>
      </c>
      <c r="L1646" t="s">
        <v>120</v>
      </c>
      <c r="M1646">
        <v>4</v>
      </c>
      <c r="N1646" t="s">
        <v>82</v>
      </c>
      <c r="O1646" t="s">
        <v>81</v>
      </c>
      <c r="P1646" t="s">
        <v>71</v>
      </c>
      <c r="Q1646" t="s">
        <v>72</v>
      </c>
      <c r="R1646" t="s">
        <v>139</v>
      </c>
      <c r="S1646" t="s">
        <v>144</v>
      </c>
      <c r="T1646" s="2">
        <f>MASTER[[#This Row],[CANTIDAD]]*MASTER[[#This Row],[PRECIO DE VENTA]]</f>
        <v>1069</v>
      </c>
      <c r="U1646" s="2">
        <f>MASTER[[#This Row],[CANTIDAD]]*MASTER[[#This Row],[COSTO UNITARIO]]</f>
        <v>460</v>
      </c>
      <c r="V1646" s="2">
        <f>MASTER[[#This Row],[MONTO VENDIDO]]-MASTER[[#This Row],[COSTO DE VENTA]]</f>
        <v>609</v>
      </c>
    </row>
    <row r="1647" spans="1:22" x14ac:dyDescent="0.3">
      <c r="A1647">
        <v>30812</v>
      </c>
      <c r="B1647">
        <v>1</v>
      </c>
      <c r="C1647" t="s">
        <v>96</v>
      </c>
      <c r="D1647" t="s">
        <v>97</v>
      </c>
      <c r="E1647" s="1">
        <v>44029</v>
      </c>
      <c r="F1647">
        <v>1</v>
      </c>
      <c r="G1647" t="s">
        <v>7</v>
      </c>
      <c r="H1647" t="s">
        <v>8</v>
      </c>
      <c r="I1647" s="3">
        <v>1361</v>
      </c>
      <c r="J1647" s="3">
        <v>1361</v>
      </c>
      <c r="K1647" s="3">
        <v>397</v>
      </c>
      <c r="L1647" t="s">
        <v>98</v>
      </c>
      <c r="M1647">
        <v>9</v>
      </c>
      <c r="N1647" t="s">
        <v>76</v>
      </c>
      <c r="O1647" t="s">
        <v>70</v>
      </c>
      <c r="P1647" t="s">
        <v>12</v>
      </c>
      <c r="Q1647" t="s">
        <v>13</v>
      </c>
      <c r="R1647" t="s">
        <v>13</v>
      </c>
      <c r="S1647" t="s">
        <v>144</v>
      </c>
      <c r="T1647" s="2">
        <f>MASTER[[#This Row],[CANTIDAD]]*MASTER[[#This Row],[PRECIO DE VENTA]]</f>
        <v>1361</v>
      </c>
      <c r="U1647" s="2">
        <f>MASTER[[#This Row],[CANTIDAD]]*MASTER[[#This Row],[COSTO UNITARIO]]</f>
        <v>397</v>
      </c>
      <c r="V1647" s="2">
        <f>MASTER[[#This Row],[MONTO VENDIDO]]-MASTER[[#This Row],[COSTO DE VENTA]]</f>
        <v>964</v>
      </c>
    </row>
    <row r="1648" spans="1:22" x14ac:dyDescent="0.3">
      <c r="A1648">
        <v>30824</v>
      </c>
      <c r="B1648">
        <v>1</v>
      </c>
      <c r="C1648" t="s">
        <v>114</v>
      </c>
      <c r="D1648" t="s">
        <v>115</v>
      </c>
      <c r="E1648" s="1">
        <v>44030</v>
      </c>
      <c r="F1648">
        <v>1</v>
      </c>
      <c r="G1648" t="s">
        <v>37</v>
      </c>
      <c r="H1648" t="s">
        <v>38</v>
      </c>
      <c r="I1648" s="3">
        <v>1862</v>
      </c>
      <c r="J1648" s="3">
        <v>1862</v>
      </c>
      <c r="K1648" s="3">
        <v>394</v>
      </c>
      <c r="L1648" t="s">
        <v>113</v>
      </c>
      <c r="M1648">
        <v>7</v>
      </c>
      <c r="N1648" t="s">
        <v>84</v>
      </c>
      <c r="O1648" t="s">
        <v>81</v>
      </c>
      <c r="P1648" t="s">
        <v>12</v>
      </c>
      <c r="Q1648" t="s">
        <v>13</v>
      </c>
      <c r="R1648" t="s">
        <v>13</v>
      </c>
      <c r="S1648" t="s">
        <v>144</v>
      </c>
      <c r="T1648" s="2">
        <f>MASTER[[#This Row],[CANTIDAD]]*MASTER[[#This Row],[PRECIO DE VENTA]]</f>
        <v>1862</v>
      </c>
      <c r="U1648" s="2">
        <f>MASTER[[#This Row],[CANTIDAD]]*MASTER[[#This Row],[COSTO UNITARIO]]</f>
        <v>394</v>
      </c>
      <c r="V1648" s="2">
        <f>MASTER[[#This Row],[MONTO VENDIDO]]-MASTER[[#This Row],[COSTO DE VENTA]]</f>
        <v>1468</v>
      </c>
    </row>
    <row r="1649" spans="1:22" x14ac:dyDescent="0.3">
      <c r="A1649">
        <v>30830</v>
      </c>
      <c r="B1649">
        <v>1</v>
      </c>
      <c r="C1649" t="s">
        <v>92</v>
      </c>
      <c r="D1649" t="s">
        <v>93</v>
      </c>
      <c r="E1649" s="1">
        <v>44030</v>
      </c>
      <c r="F1649">
        <v>3</v>
      </c>
      <c r="G1649" t="s">
        <v>7</v>
      </c>
      <c r="H1649" t="s">
        <v>8</v>
      </c>
      <c r="I1649" s="3">
        <v>1479</v>
      </c>
      <c r="J1649" s="3">
        <v>1479</v>
      </c>
      <c r="K1649" s="3">
        <v>396</v>
      </c>
      <c r="L1649" t="s">
        <v>9</v>
      </c>
      <c r="M1649">
        <v>12</v>
      </c>
      <c r="N1649" t="s">
        <v>26</v>
      </c>
      <c r="O1649" t="s">
        <v>11</v>
      </c>
      <c r="P1649" t="s">
        <v>12</v>
      </c>
      <c r="Q1649" t="s">
        <v>13</v>
      </c>
      <c r="R1649" t="s">
        <v>13</v>
      </c>
      <c r="S1649" t="s">
        <v>144</v>
      </c>
      <c r="T1649" s="2">
        <f>MASTER[[#This Row],[CANTIDAD]]*MASTER[[#This Row],[PRECIO DE VENTA]]</f>
        <v>4437</v>
      </c>
      <c r="U1649" s="2">
        <f>MASTER[[#This Row],[CANTIDAD]]*MASTER[[#This Row],[COSTO UNITARIO]]</f>
        <v>1188</v>
      </c>
      <c r="V1649" s="2">
        <f>MASTER[[#This Row],[MONTO VENDIDO]]-MASTER[[#This Row],[COSTO DE VENTA]]</f>
        <v>3249</v>
      </c>
    </row>
    <row r="1650" spans="1:22" x14ac:dyDescent="0.3">
      <c r="A1650">
        <v>30856</v>
      </c>
      <c r="B1650">
        <v>1</v>
      </c>
      <c r="C1650" t="s">
        <v>105</v>
      </c>
      <c r="D1650" t="s">
        <v>106</v>
      </c>
      <c r="E1650" s="1">
        <v>44030</v>
      </c>
      <c r="F1650">
        <v>1</v>
      </c>
      <c r="G1650" t="s">
        <v>22</v>
      </c>
      <c r="H1650" t="s">
        <v>23</v>
      </c>
      <c r="I1650" s="3">
        <v>1585</v>
      </c>
      <c r="J1650" s="3">
        <v>1585</v>
      </c>
      <c r="K1650" s="3">
        <v>459</v>
      </c>
      <c r="L1650" t="s">
        <v>98</v>
      </c>
      <c r="M1650">
        <v>16</v>
      </c>
      <c r="N1650" t="s">
        <v>17</v>
      </c>
      <c r="O1650" t="s">
        <v>11</v>
      </c>
      <c r="P1650" t="s">
        <v>18</v>
      </c>
      <c r="Q1650" t="s">
        <v>19</v>
      </c>
      <c r="R1650" t="s">
        <v>138</v>
      </c>
      <c r="S1650" t="s">
        <v>144</v>
      </c>
      <c r="T1650" s="2">
        <f>MASTER[[#This Row],[CANTIDAD]]*MASTER[[#This Row],[PRECIO DE VENTA]]</f>
        <v>1585</v>
      </c>
      <c r="U1650" s="2">
        <f>MASTER[[#This Row],[CANTIDAD]]*MASTER[[#This Row],[COSTO UNITARIO]]</f>
        <v>459</v>
      </c>
      <c r="V1650" s="2">
        <f>MASTER[[#This Row],[MONTO VENDIDO]]-MASTER[[#This Row],[COSTO DE VENTA]]</f>
        <v>1126</v>
      </c>
    </row>
    <row r="1651" spans="1:22" x14ac:dyDescent="0.3">
      <c r="A1651">
        <v>30881</v>
      </c>
      <c r="B1651">
        <v>1</v>
      </c>
      <c r="C1651" t="s">
        <v>103</v>
      </c>
      <c r="D1651" t="s">
        <v>104</v>
      </c>
      <c r="E1651" s="1">
        <v>44030</v>
      </c>
      <c r="F1651">
        <v>1</v>
      </c>
      <c r="G1651" t="s">
        <v>29</v>
      </c>
      <c r="H1651" t="s">
        <v>30</v>
      </c>
      <c r="I1651" s="3">
        <v>1830</v>
      </c>
      <c r="J1651" s="3">
        <v>1830</v>
      </c>
      <c r="K1651" s="3">
        <v>421</v>
      </c>
      <c r="L1651" t="s">
        <v>98</v>
      </c>
      <c r="M1651">
        <v>3</v>
      </c>
      <c r="N1651" t="s">
        <v>69</v>
      </c>
      <c r="O1651" t="s">
        <v>70</v>
      </c>
      <c r="P1651" t="s">
        <v>71</v>
      </c>
      <c r="Q1651" t="s">
        <v>72</v>
      </c>
      <c r="R1651" t="s">
        <v>139</v>
      </c>
      <c r="S1651" t="s">
        <v>144</v>
      </c>
      <c r="T1651" s="2">
        <f>MASTER[[#This Row],[CANTIDAD]]*MASTER[[#This Row],[PRECIO DE VENTA]]</f>
        <v>1830</v>
      </c>
      <c r="U1651" s="2">
        <f>MASTER[[#This Row],[CANTIDAD]]*MASTER[[#This Row],[COSTO UNITARIO]]</f>
        <v>421</v>
      </c>
      <c r="V1651" s="2">
        <f>MASTER[[#This Row],[MONTO VENDIDO]]-MASTER[[#This Row],[COSTO DE VENTA]]</f>
        <v>1409</v>
      </c>
    </row>
    <row r="1652" spans="1:22" x14ac:dyDescent="0.3">
      <c r="A1652">
        <v>30896</v>
      </c>
      <c r="B1652">
        <v>1</v>
      </c>
      <c r="C1652" t="s">
        <v>118</v>
      </c>
      <c r="D1652" t="s">
        <v>119</v>
      </c>
      <c r="E1652" s="1">
        <v>44030</v>
      </c>
      <c r="F1652">
        <v>1</v>
      </c>
      <c r="G1652" t="s">
        <v>20</v>
      </c>
      <c r="H1652" t="s">
        <v>21</v>
      </c>
      <c r="I1652" s="3">
        <v>900</v>
      </c>
      <c r="J1652" s="3">
        <v>900</v>
      </c>
      <c r="K1652" s="3">
        <v>424</v>
      </c>
      <c r="L1652" t="s">
        <v>120</v>
      </c>
      <c r="M1652">
        <v>4</v>
      </c>
      <c r="N1652" t="s">
        <v>82</v>
      </c>
      <c r="O1652" t="s">
        <v>81</v>
      </c>
      <c r="P1652" t="s">
        <v>71</v>
      </c>
      <c r="Q1652" t="s">
        <v>72</v>
      </c>
      <c r="R1652" t="s">
        <v>139</v>
      </c>
      <c r="S1652" t="s">
        <v>144</v>
      </c>
      <c r="T1652" s="2">
        <f>MASTER[[#This Row],[CANTIDAD]]*MASTER[[#This Row],[PRECIO DE VENTA]]</f>
        <v>900</v>
      </c>
      <c r="U1652" s="2">
        <f>MASTER[[#This Row],[CANTIDAD]]*MASTER[[#This Row],[COSTO UNITARIO]]</f>
        <v>424</v>
      </c>
      <c r="V1652" s="2">
        <f>MASTER[[#This Row],[MONTO VENDIDO]]-MASTER[[#This Row],[COSTO DE VENTA]]</f>
        <v>476</v>
      </c>
    </row>
    <row r="1653" spans="1:22" x14ac:dyDescent="0.3">
      <c r="A1653">
        <v>30898</v>
      </c>
      <c r="B1653">
        <v>1</v>
      </c>
      <c r="C1653" t="s">
        <v>94</v>
      </c>
      <c r="D1653" t="s">
        <v>95</v>
      </c>
      <c r="E1653" s="1">
        <v>44030</v>
      </c>
      <c r="F1653">
        <v>1</v>
      </c>
      <c r="G1653" t="s">
        <v>65</v>
      </c>
      <c r="H1653" t="s">
        <v>66</v>
      </c>
      <c r="I1653" s="3">
        <v>1048</v>
      </c>
      <c r="J1653" s="3">
        <v>1048</v>
      </c>
      <c r="K1653" s="3">
        <v>392</v>
      </c>
      <c r="L1653" t="s">
        <v>9</v>
      </c>
      <c r="M1653">
        <v>7</v>
      </c>
      <c r="N1653" t="s">
        <v>84</v>
      </c>
      <c r="O1653" t="s">
        <v>81</v>
      </c>
      <c r="P1653" t="s">
        <v>12</v>
      </c>
      <c r="Q1653" t="s">
        <v>13</v>
      </c>
      <c r="R1653" t="s">
        <v>13</v>
      </c>
      <c r="S1653" t="s">
        <v>144</v>
      </c>
      <c r="T1653" s="2">
        <f>MASTER[[#This Row],[CANTIDAD]]*MASTER[[#This Row],[PRECIO DE VENTA]]</f>
        <v>1048</v>
      </c>
      <c r="U1653" s="2">
        <f>MASTER[[#This Row],[CANTIDAD]]*MASTER[[#This Row],[COSTO UNITARIO]]</f>
        <v>392</v>
      </c>
      <c r="V1653" s="2">
        <f>MASTER[[#This Row],[MONTO VENDIDO]]-MASTER[[#This Row],[COSTO DE VENTA]]</f>
        <v>656</v>
      </c>
    </row>
    <row r="1654" spans="1:22" x14ac:dyDescent="0.3">
      <c r="A1654">
        <v>30941</v>
      </c>
      <c r="B1654">
        <v>1</v>
      </c>
      <c r="C1654" t="s">
        <v>109</v>
      </c>
      <c r="D1654" t="s">
        <v>110</v>
      </c>
      <c r="E1654" s="1">
        <v>44030</v>
      </c>
      <c r="F1654">
        <v>1</v>
      </c>
      <c r="G1654" t="s">
        <v>45</v>
      </c>
      <c r="H1654" t="s">
        <v>46</v>
      </c>
      <c r="I1654" s="3">
        <v>947</v>
      </c>
      <c r="J1654" s="3">
        <v>947</v>
      </c>
      <c r="K1654" s="3">
        <v>387</v>
      </c>
      <c r="L1654" t="s">
        <v>98</v>
      </c>
      <c r="M1654">
        <v>16</v>
      </c>
      <c r="N1654" t="s">
        <v>17</v>
      </c>
      <c r="O1654" t="s">
        <v>11</v>
      </c>
      <c r="P1654" t="s">
        <v>18</v>
      </c>
      <c r="Q1654" t="s">
        <v>19</v>
      </c>
      <c r="R1654" t="s">
        <v>138</v>
      </c>
      <c r="S1654" t="s">
        <v>144</v>
      </c>
      <c r="T1654" s="2">
        <f>MASTER[[#This Row],[CANTIDAD]]*MASTER[[#This Row],[PRECIO DE VENTA]]</f>
        <v>947</v>
      </c>
      <c r="U1654" s="2">
        <f>MASTER[[#This Row],[CANTIDAD]]*MASTER[[#This Row],[COSTO UNITARIO]]</f>
        <v>387</v>
      </c>
      <c r="V1654" s="2">
        <f>MASTER[[#This Row],[MONTO VENDIDO]]-MASTER[[#This Row],[COSTO DE VENTA]]</f>
        <v>560</v>
      </c>
    </row>
    <row r="1655" spans="1:22" x14ac:dyDescent="0.3">
      <c r="A1655">
        <v>30959</v>
      </c>
      <c r="B1655">
        <v>1</v>
      </c>
      <c r="C1655" t="s">
        <v>96</v>
      </c>
      <c r="D1655" t="s">
        <v>97</v>
      </c>
      <c r="E1655" s="1">
        <v>44031</v>
      </c>
      <c r="F1655">
        <v>3</v>
      </c>
      <c r="G1655" t="s">
        <v>53</v>
      </c>
      <c r="H1655" t="s">
        <v>54</v>
      </c>
      <c r="I1655" s="3">
        <v>1272</v>
      </c>
      <c r="J1655" s="3">
        <v>1272</v>
      </c>
      <c r="K1655" s="3">
        <v>397</v>
      </c>
      <c r="L1655" t="s">
        <v>98</v>
      </c>
      <c r="M1655">
        <v>15</v>
      </c>
      <c r="N1655" t="s">
        <v>88</v>
      </c>
      <c r="O1655" t="s">
        <v>81</v>
      </c>
      <c r="P1655" t="s">
        <v>18</v>
      </c>
      <c r="Q1655" t="s">
        <v>19</v>
      </c>
      <c r="R1655" t="s">
        <v>138</v>
      </c>
      <c r="S1655" t="s">
        <v>144</v>
      </c>
      <c r="T1655" s="2">
        <f>MASTER[[#This Row],[CANTIDAD]]*MASTER[[#This Row],[PRECIO DE VENTA]]</f>
        <v>3816</v>
      </c>
      <c r="U1655" s="2">
        <f>MASTER[[#This Row],[CANTIDAD]]*MASTER[[#This Row],[COSTO UNITARIO]]</f>
        <v>1191</v>
      </c>
      <c r="V1655" s="2">
        <f>MASTER[[#This Row],[MONTO VENDIDO]]-MASTER[[#This Row],[COSTO DE VENTA]]</f>
        <v>2625</v>
      </c>
    </row>
    <row r="1656" spans="1:22" x14ac:dyDescent="0.3">
      <c r="A1656">
        <v>30968</v>
      </c>
      <c r="B1656">
        <v>1</v>
      </c>
      <c r="C1656" t="s">
        <v>121</v>
      </c>
      <c r="D1656" t="s">
        <v>122</v>
      </c>
      <c r="E1656" s="1">
        <v>44031</v>
      </c>
      <c r="F1656">
        <v>1</v>
      </c>
      <c r="G1656" t="s">
        <v>24</v>
      </c>
      <c r="H1656" t="s">
        <v>25</v>
      </c>
      <c r="I1656" s="3">
        <v>1069</v>
      </c>
      <c r="J1656" s="3">
        <v>1069</v>
      </c>
      <c r="K1656" s="3">
        <v>460</v>
      </c>
      <c r="L1656" t="s">
        <v>120</v>
      </c>
      <c r="M1656">
        <v>4</v>
      </c>
      <c r="N1656" t="s">
        <v>82</v>
      </c>
      <c r="O1656" t="s">
        <v>81</v>
      </c>
      <c r="P1656" t="s">
        <v>71</v>
      </c>
      <c r="Q1656" t="s">
        <v>72</v>
      </c>
      <c r="R1656" t="s">
        <v>139</v>
      </c>
      <c r="S1656" t="s">
        <v>144</v>
      </c>
      <c r="T1656" s="2">
        <f>MASTER[[#This Row],[CANTIDAD]]*MASTER[[#This Row],[PRECIO DE VENTA]]</f>
        <v>1069</v>
      </c>
      <c r="U1656" s="2">
        <f>MASTER[[#This Row],[CANTIDAD]]*MASTER[[#This Row],[COSTO UNITARIO]]</f>
        <v>460</v>
      </c>
      <c r="V1656" s="2">
        <f>MASTER[[#This Row],[MONTO VENDIDO]]-MASTER[[#This Row],[COSTO DE VENTA]]</f>
        <v>609</v>
      </c>
    </row>
    <row r="1657" spans="1:22" x14ac:dyDescent="0.3">
      <c r="A1657">
        <v>30974</v>
      </c>
      <c r="B1657">
        <v>1</v>
      </c>
      <c r="C1657" t="s">
        <v>103</v>
      </c>
      <c r="D1657" t="s">
        <v>104</v>
      </c>
      <c r="E1657" s="1">
        <v>44031</v>
      </c>
      <c r="F1657">
        <v>1</v>
      </c>
      <c r="G1657" t="s">
        <v>35</v>
      </c>
      <c r="H1657" t="s">
        <v>36</v>
      </c>
      <c r="I1657" s="3">
        <v>1591</v>
      </c>
      <c r="J1657" s="3">
        <v>1591</v>
      </c>
      <c r="K1657" s="3">
        <v>421</v>
      </c>
      <c r="L1657" t="s">
        <v>98</v>
      </c>
      <c r="M1657">
        <v>19</v>
      </c>
      <c r="N1657" t="s">
        <v>89</v>
      </c>
      <c r="O1657" t="s">
        <v>81</v>
      </c>
      <c r="P1657" t="s">
        <v>15</v>
      </c>
      <c r="Q1657" t="s">
        <v>16</v>
      </c>
      <c r="R1657" t="s">
        <v>16</v>
      </c>
      <c r="S1657" t="s">
        <v>144</v>
      </c>
      <c r="T1657" s="2">
        <f>MASTER[[#This Row],[CANTIDAD]]*MASTER[[#This Row],[PRECIO DE VENTA]]</f>
        <v>1591</v>
      </c>
      <c r="U1657" s="2">
        <f>MASTER[[#This Row],[CANTIDAD]]*MASTER[[#This Row],[COSTO UNITARIO]]</f>
        <v>421</v>
      </c>
      <c r="V1657" s="2">
        <f>MASTER[[#This Row],[MONTO VENDIDO]]-MASTER[[#This Row],[COSTO DE VENTA]]</f>
        <v>1170</v>
      </c>
    </row>
    <row r="1658" spans="1:22" x14ac:dyDescent="0.3">
      <c r="A1658">
        <v>30986</v>
      </c>
      <c r="B1658">
        <v>1</v>
      </c>
      <c r="C1658" t="s">
        <v>96</v>
      </c>
      <c r="D1658" t="s">
        <v>97</v>
      </c>
      <c r="E1658" s="1">
        <v>44032</v>
      </c>
      <c r="F1658">
        <v>1</v>
      </c>
      <c r="G1658" t="s">
        <v>51</v>
      </c>
      <c r="H1658" t="s">
        <v>52</v>
      </c>
      <c r="I1658" s="3">
        <v>1196</v>
      </c>
      <c r="J1658" s="3">
        <v>1196</v>
      </c>
      <c r="K1658" s="3">
        <v>397</v>
      </c>
      <c r="L1658" t="s">
        <v>98</v>
      </c>
      <c r="M1658">
        <v>12</v>
      </c>
      <c r="N1658" t="s">
        <v>26</v>
      </c>
      <c r="O1658" t="s">
        <v>11</v>
      </c>
      <c r="P1658" t="s">
        <v>12</v>
      </c>
      <c r="Q1658" t="s">
        <v>13</v>
      </c>
      <c r="R1658" t="s">
        <v>13</v>
      </c>
      <c r="S1658" t="s">
        <v>144</v>
      </c>
      <c r="T1658" s="2">
        <f>MASTER[[#This Row],[CANTIDAD]]*MASTER[[#This Row],[PRECIO DE VENTA]]</f>
        <v>1196</v>
      </c>
      <c r="U1658" s="2">
        <f>MASTER[[#This Row],[CANTIDAD]]*MASTER[[#This Row],[COSTO UNITARIO]]</f>
        <v>397</v>
      </c>
      <c r="V1658" s="2">
        <f>MASTER[[#This Row],[MONTO VENDIDO]]-MASTER[[#This Row],[COSTO DE VENTA]]</f>
        <v>799</v>
      </c>
    </row>
    <row r="1659" spans="1:22" x14ac:dyDescent="0.3">
      <c r="A1659">
        <v>31005</v>
      </c>
      <c r="B1659">
        <v>1</v>
      </c>
      <c r="C1659" t="s">
        <v>101</v>
      </c>
      <c r="D1659" t="s">
        <v>102</v>
      </c>
      <c r="E1659" s="1">
        <v>44032</v>
      </c>
      <c r="F1659">
        <v>1</v>
      </c>
      <c r="G1659" t="s">
        <v>24</v>
      </c>
      <c r="H1659" t="s">
        <v>25</v>
      </c>
      <c r="I1659" s="3">
        <v>1357</v>
      </c>
      <c r="J1659" s="3">
        <v>1357</v>
      </c>
      <c r="K1659" s="3">
        <v>442</v>
      </c>
      <c r="L1659" t="s">
        <v>98</v>
      </c>
      <c r="M1659">
        <v>6</v>
      </c>
      <c r="N1659" t="s">
        <v>75</v>
      </c>
      <c r="O1659" t="s">
        <v>70</v>
      </c>
      <c r="P1659" t="s">
        <v>12</v>
      </c>
      <c r="Q1659" t="s">
        <v>13</v>
      </c>
      <c r="R1659" t="s">
        <v>13</v>
      </c>
      <c r="S1659" t="s">
        <v>144</v>
      </c>
      <c r="T1659" s="2">
        <f>MASTER[[#This Row],[CANTIDAD]]*MASTER[[#This Row],[PRECIO DE VENTA]]</f>
        <v>1357</v>
      </c>
      <c r="U1659" s="2">
        <f>MASTER[[#This Row],[CANTIDAD]]*MASTER[[#This Row],[COSTO UNITARIO]]</f>
        <v>442</v>
      </c>
      <c r="V1659" s="2">
        <f>MASTER[[#This Row],[MONTO VENDIDO]]-MASTER[[#This Row],[COSTO DE VENTA]]</f>
        <v>915</v>
      </c>
    </row>
    <row r="1660" spans="1:22" x14ac:dyDescent="0.3">
      <c r="A1660">
        <v>31013</v>
      </c>
      <c r="B1660">
        <v>1</v>
      </c>
      <c r="C1660" t="s">
        <v>107</v>
      </c>
      <c r="D1660" t="s">
        <v>108</v>
      </c>
      <c r="E1660" s="1">
        <v>44032</v>
      </c>
      <c r="F1660">
        <v>1</v>
      </c>
      <c r="G1660" t="s">
        <v>67</v>
      </c>
      <c r="H1660" t="s">
        <v>68</v>
      </c>
      <c r="I1660" s="3">
        <v>1440</v>
      </c>
      <c r="J1660" s="3">
        <v>1440</v>
      </c>
      <c r="K1660" s="3">
        <v>380</v>
      </c>
      <c r="L1660" t="s">
        <v>98</v>
      </c>
      <c r="M1660">
        <v>3</v>
      </c>
      <c r="N1660" t="s">
        <v>69</v>
      </c>
      <c r="O1660" t="s">
        <v>70</v>
      </c>
      <c r="P1660" t="s">
        <v>71</v>
      </c>
      <c r="Q1660" t="s">
        <v>72</v>
      </c>
      <c r="R1660" t="s">
        <v>139</v>
      </c>
      <c r="S1660" t="s">
        <v>144</v>
      </c>
      <c r="T1660" s="2">
        <f>MASTER[[#This Row],[CANTIDAD]]*MASTER[[#This Row],[PRECIO DE VENTA]]</f>
        <v>1440</v>
      </c>
      <c r="U1660" s="2">
        <f>MASTER[[#This Row],[CANTIDAD]]*MASTER[[#This Row],[COSTO UNITARIO]]</f>
        <v>380</v>
      </c>
      <c r="V1660" s="2">
        <f>MASTER[[#This Row],[MONTO VENDIDO]]-MASTER[[#This Row],[COSTO DE VENTA]]</f>
        <v>1060</v>
      </c>
    </row>
    <row r="1661" spans="1:22" x14ac:dyDescent="0.3">
      <c r="A1661">
        <v>31024</v>
      </c>
      <c r="B1661">
        <v>1</v>
      </c>
      <c r="C1661" t="s">
        <v>114</v>
      </c>
      <c r="D1661" t="s">
        <v>115</v>
      </c>
      <c r="E1661" s="1">
        <v>44032</v>
      </c>
      <c r="F1661">
        <v>1</v>
      </c>
      <c r="G1661" t="s">
        <v>37</v>
      </c>
      <c r="H1661" t="s">
        <v>38</v>
      </c>
      <c r="I1661" s="3">
        <v>2030</v>
      </c>
      <c r="J1661" s="3">
        <v>2030</v>
      </c>
      <c r="K1661" s="3">
        <v>394</v>
      </c>
      <c r="L1661" t="s">
        <v>113</v>
      </c>
      <c r="M1661">
        <v>13</v>
      </c>
      <c r="N1661" t="s">
        <v>78</v>
      </c>
      <c r="O1661" t="s">
        <v>70</v>
      </c>
      <c r="P1661" t="s">
        <v>18</v>
      </c>
      <c r="Q1661" t="s">
        <v>19</v>
      </c>
      <c r="R1661" t="s">
        <v>138</v>
      </c>
      <c r="S1661" t="s">
        <v>144</v>
      </c>
      <c r="T1661" s="2">
        <f>MASTER[[#This Row],[CANTIDAD]]*MASTER[[#This Row],[PRECIO DE VENTA]]</f>
        <v>2030</v>
      </c>
      <c r="U1661" s="2">
        <f>MASTER[[#This Row],[CANTIDAD]]*MASTER[[#This Row],[COSTO UNITARIO]]</f>
        <v>394</v>
      </c>
      <c r="V1661" s="2">
        <f>MASTER[[#This Row],[MONTO VENDIDO]]-MASTER[[#This Row],[COSTO DE VENTA]]</f>
        <v>1636</v>
      </c>
    </row>
    <row r="1662" spans="1:22" x14ac:dyDescent="0.3">
      <c r="A1662">
        <v>31033</v>
      </c>
      <c r="B1662">
        <v>1</v>
      </c>
      <c r="C1662" t="s">
        <v>99</v>
      </c>
      <c r="D1662" t="s">
        <v>100</v>
      </c>
      <c r="E1662" s="1">
        <v>44032</v>
      </c>
      <c r="F1662">
        <v>1</v>
      </c>
      <c r="G1662" t="s">
        <v>61</v>
      </c>
      <c r="H1662" t="s">
        <v>62</v>
      </c>
      <c r="I1662" s="3">
        <v>1328</v>
      </c>
      <c r="J1662" s="3">
        <v>1328</v>
      </c>
      <c r="K1662" s="3">
        <v>386</v>
      </c>
      <c r="L1662" t="s">
        <v>98</v>
      </c>
      <c r="M1662">
        <v>16</v>
      </c>
      <c r="N1662" t="s">
        <v>17</v>
      </c>
      <c r="O1662" t="s">
        <v>11</v>
      </c>
      <c r="P1662" t="s">
        <v>18</v>
      </c>
      <c r="Q1662" t="s">
        <v>19</v>
      </c>
      <c r="R1662" t="s">
        <v>138</v>
      </c>
      <c r="S1662" t="s">
        <v>144</v>
      </c>
      <c r="T1662" s="2">
        <f>MASTER[[#This Row],[CANTIDAD]]*MASTER[[#This Row],[PRECIO DE VENTA]]</f>
        <v>1328</v>
      </c>
      <c r="U1662" s="2">
        <f>MASTER[[#This Row],[CANTIDAD]]*MASTER[[#This Row],[COSTO UNITARIO]]</f>
        <v>386</v>
      </c>
      <c r="V1662" s="2">
        <f>MASTER[[#This Row],[MONTO VENDIDO]]-MASTER[[#This Row],[COSTO DE VENTA]]</f>
        <v>942</v>
      </c>
    </row>
    <row r="1663" spans="1:22" x14ac:dyDescent="0.3">
      <c r="A1663">
        <v>31042</v>
      </c>
      <c r="B1663">
        <v>1</v>
      </c>
      <c r="C1663" t="s">
        <v>94</v>
      </c>
      <c r="D1663" t="s">
        <v>95</v>
      </c>
      <c r="E1663" s="1">
        <v>44032</v>
      </c>
      <c r="F1663">
        <v>1</v>
      </c>
      <c r="G1663" t="s">
        <v>43</v>
      </c>
      <c r="H1663" t="s">
        <v>44</v>
      </c>
      <c r="I1663" s="3">
        <v>1048</v>
      </c>
      <c r="J1663" s="3">
        <v>1048</v>
      </c>
      <c r="K1663" s="3">
        <v>392</v>
      </c>
      <c r="L1663" t="s">
        <v>9</v>
      </c>
      <c r="M1663">
        <v>15</v>
      </c>
      <c r="N1663" t="s">
        <v>88</v>
      </c>
      <c r="O1663" t="s">
        <v>81</v>
      </c>
      <c r="P1663" t="s">
        <v>18</v>
      </c>
      <c r="Q1663" t="s">
        <v>19</v>
      </c>
      <c r="R1663" t="s">
        <v>138</v>
      </c>
      <c r="S1663" t="s">
        <v>144</v>
      </c>
      <c r="T1663" s="2">
        <f>MASTER[[#This Row],[CANTIDAD]]*MASTER[[#This Row],[PRECIO DE VENTA]]</f>
        <v>1048</v>
      </c>
      <c r="U1663" s="2">
        <f>MASTER[[#This Row],[CANTIDAD]]*MASTER[[#This Row],[COSTO UNITARIO]]</f>
        <v>392</v>
      </c>
      <c r="V1663" s="2">
        <f>MASTER[[#This Row],[MONTO VENDIDO]]-MASTER[[#This Row],[COSTO DE VENTA]]</f>
        <v>656</v>
      </c>
    </row>
    <row r="1664" spans="1:22" x14ac:dyDescent="0.3">
      <c r="A1664">
        <v>31055</v>
      </c>
      <c r="B1664">
        <v>1</v>
      </c>
      <c r="C1664" t="s">
        <v>94</v>
      </c>
      <c r="D1664" t="s">
        <v>95</v>
      </c>
      <c r="E1664" s="1">
        <v>44032</v>
      </c>
      <c r="F1664">
        <v>1</v>
      </c>
      <c r="G1664" t="s">
        <v>39</v>
      </c>
      <c r="H1664" t="s">
        <v>40</v>
      </c>
      <c r="I1664" s="3">
        <v>1153</v>
      </c>
      <c r="J1664" s="3">
        <v>1153</v>
      </c>
      <c r="K1664" s="3">
        <v>392</v>
      </c>
      <c r="L1664" t="s">
        <v>9</v>
      </c>
      <c r="M1664">
        <v>1</v>
      </c>
      <c r="N1664" t="s">
        <v>77</v>
      </c>
      <c r="O1664" t="s">
        <v>70</v>
      </c>
      <c r="P1664" t="s">
        <v>71</v>
      </c>
      <c r="Q1664" t="s">
        <v>72</v>
      </c>
      <c r="R1664" t="s">
        <v>139</v>
      </c>
      <c r="S1664" t="s">
        <v>144</v>
      </c>
      <c r="T1664" s="2">
        <f>MASTER[[#This Row],[CANTIDAD]]*MASTER[[#This Row],[PRECIO DE VENTA]]</f>
        <v>1153</v>
      </c>
      <c r="U1664" s="2">
        <f>MASTER[[#This Row],[CANTIDAD]]*MASTER[[#This Row],[COSTO UNITARIO]]</f>
        <v>392</v>
      </c>
      <c r="V1664" s="2">
        <f>MASTER[[#This Row],[MONTO VENDIDO]]-MASTER[[#This Row],[COSTO DE VENTA]]</f>
        <v>761</v>
      </c>
    </row>
    <row r="1665" spans="1:22" x14ac:dyDescent="0.3">
      <c r="A1665">
        <v>31061</v>
      </c>
      <c r="B1665">
        <v>1</v>
      </c>
      <c r="C1665" t="s">
        <v>94</v>
      </c>
      <c r="D1665" t="s">
        <v>95</v>
      </c>
      <c r="E1665" s="1">
        <v>44032</v>
      </c>
      <c r="F1665">
        <v>1</v>
      </c>
      <c r="G1665" t="s">
        <v>20</v>
      </c>
      <c r="H1665" t="s">
        <v>21</v>
      </c>
      <c r="I1665" s="3">
        <v>1153</v>
      </c>
      <c r="J1665" s="3">
        <v>1153</v>
      </c>
      <c r="K1665" s="3">
        <v>392</v>
      </c>
      <c r="L1665" t="s">
        <v>9</v>
      </c>
      <c r="M1665">
        <v>3</v>
      </c>
      <c r="N1665" t="s">
        <v>69</v>
      </c>
      <c r="O1665" t="s">
        <v>70</v>
      </c>
      <c r="P1665" t="s">
        <v>71</v>
      </c>
      <c r="Q1665" t="s">
        <v>72</v>
      </c>
      <c r="R1665" t="s">
        <v>139</v>
      </c>
      <c r="S1665" t="s">
        <v>144</v>
      </c>
      <c r="T1665" s="2">
        <f>MASTER[[#This Row],[CANTIDAD]]*MASTER[[#This Row],[PRECIO DE VENTA]]</f>
        <v>1153</v>
      </c>
      <c r="U1665" s="2">
        <f>MASTER[[#This Row],[CANTIDAD]]*MASTER[[#This Row],[COSTO UNITARIO]]</f>
        <v>392</v>
      </c>
      <c r="V1665" s="2">
        <f>MASTER[[#This Row],[MONTO VENDIDO]]-MASTER[[#This Row],[COSTO DE VENTA]]</f>
        <v>761</v>
      </c>
    </row>
    <row r="1666" spans="1:22" x14ac:dyDescent="0.3">
      <c r="A1666">
        <v>31064</v>
      </c>
      <c r="B1666">
        <v>1</v>
      </c>
      <c r="C1666" t="s">
        <v>109</v>
      </c>
      <c r="D1666" t="s">
        <v>110</v>
      </c>
      <c r="E1666" s="1">
        <v>44032</v>
      </c>
      <c r="F1666">
        <v>1</v>
      </c>
      <c r="G1666" t="s">
        <v>67</v>
      </c>
      <c r="H1666" t="s">
        <v>68</v>
      </c>
      <c r="I1666" s="3">
        <v>1128</v>
      </c>
      <c r="J1666" s="3">
        <v>1128</v>
      </c>
      <c r="K1666" s="3">
        <v>387</v>
      </c>
      <c r="L1666" t="s">
        <v>98</v>
      </c>
      <c r="M1666">
        <v>1</v>
      </c>
      <c r="N1666" t="s">
        <v>77</v>
      </c>
      <c r="O1666" t="s">
        <v>70</v>
      </c>
      <c r="P1666" t="s">
        <v>71</v>
      </c>
      <c r="Q1666" t="s">
        <v>72</v>
      </c>
      <c r="R1666" t="s">
        <v>139</v>
      </c>
      <c r="S1666" t="s">
        <v>144</v>
      </c>
      <c r="T1666" s="2">
        <f>MASTER[[#This Row],[CANTIDAD]]*MASTER[[#This Row],[PRECIO DE VENTA]]</f>
        <v>1128</v>
      </c>
      <c r="U1666" s="2">
        <f>MASTER[[#This Row],[CANTIDAD]]*MASTER[[#This Row],[COSTO UNITARIO]]</f>
        <v>387</v>
      </c>
      <c r="V1666" s="2">
        <f>MASTER[[#This Row],[MONTO VENDIDO]]-MASTER[[#This Row],[COSTO DE VENTA]]</f>
        <v>741</v>
      </c>
    </row>
    <row r="1667" spans="1:22" x14ac:dyDescent="0.3">
      <c r="A1667">
        <v>31076</v>
      </c>
      <c r="B1667">
        <v>1</v>
      </c>
      <c r="C1667" t="s">
        <v>103</v>
      </c>
      <c r="D1667" t="s">
        <v>104</v>
      </c>
      <c r="E1667" s="1">
        <v>44032</v>
      </c>
      <c r="F1667">
        <v>1</v>
      </c>
      <c r="G1667" t="s">
        <v>51</v>
      </c>
      <c r="H1667" t="s">
        <v>52</v>
      </c>
      <c r="I1667" s="3">
        <v>1448</v>
      </c>
      <c r="J1667" s="3">
        <v>1448</v>
      </c>
      <c r="K1667" s="3">
        <v>421</v>
      </c>
      <c r="L1667" t="s">
        <v>98</v>
      </c>
      <c r="M1667">
        <v>16</v>
      </c>
      <c r="N1667" t="s">
        <v>17</v>
      </c>
      <c r="O1667" t="s">
        <v>11</v>
      </c>
      <c r="P1667" t="s">
        <v>18</v>
      </c>
      <c r="Q1667" t="s">
        <v>19</v>
      </c>
      <c r="R1667" t="s">
        <v>138</v>
      </c>
      <c r="S1667" t="s">
        <v>144</v>
      </c>
      <c r="T1667" s="2">
        <f>MASTER[[#This Row],[CANTIDAD]]*MASTER[[#This Row],[PRECIO DE VENTA]]</f>
        <v>1448</v>
      </c>
      <c r="U1667" s="2">
        <f>MASTER[[#This Row],[CANTIDAD]]*MASTER[[#This Row],[COSTO UNITARIO]]</f>
        <v>421</v>
      </c>
      <c r="V1667" s="2">
        <f>MASTER[[#This Row],[MONTO VENDIDO]]-MASTER[[#This Row],[COSTO DE VENTA]]</f>
        <v>1027</v>
      </c>
    </row>
    <row r="1668" spans="1:22" x14ac:dyDescent="0.3">
      <c r="A1668">
        <v>31094</v>
      </c>
      <c r="B1668">
        <v>1</v>
      </c>
      <c r="C1668" t="s">
        <v>92</v>
      </c>
      <c r="D1668" t="s">
        <v>93</v>
      </c>
      <c r="E1668" s="1">
        <v>44033</v>
      </c>
      <c r="F1668">
        <v>1</v>
      </c>
      <c r="G1668" t="s">
        <v>29</v>
      </c>
      <c r="H1668" t="s">
        <v>30</v>
      </c>
      <c r="I1668" s="3">
        <v>1866</v>
      </c>
      <c r="J1668" s="3">
        <v>1866</v>
      </c>
      <c r="K1668" s="3">
        <v>396</v>
      </c>
      <c r="L1668" t="s">
        <v>9</v>
      </c>
      <c r="M1668">
        <v>1</v>
      </c>
      <c r="N1668" t="s">
        <v>77</v>
      </c>
      <c r="O1668" t="s">
        <v>70</v>
      </c>
      <c r="P1668" t="s">
        <v>71</v>
      </c>
      <c r="Q1668" t="s">
        <v>72</v>
      </c>
      <c r="R1668" t="s">
        <v>139</v>
      </c>
      <c r="S1668" t="s">
        <v>144</v>
      </c>
      <c r="T1668" s="2">
        <f>MASTER[[#This Row],[CANTIDAD]]*MASTER[[#This Row],[PRECIO DE VENTA]]</f>
        <v>1866</v>
      </c>
      <c r="U1668" s="2">
        <f>MASTER[[#This Row],[CANTIDAD]]*MASTER[[#This Row],[COSTO UNITARIO]]</f>
        <v>396</v>
      </c>
      <c r="V1668" s="2">
        <f>MASTER[[#This Row],[MONTO VENDIDO]]-MASTER[[#This Row],[COSTO DE VENTA]]</f>
        <v>1470</v>
      </c>
    </row>
    <row r="1669" spans="1:22" x14ac:dyDescent="0.3">
      <c r="A1669">
        <v>31119</v>
      </c>
      <c r="B1669">
        <v>1</v>
      </c>
      <c r="C1669" t="s">
        <v>90</v>
      </c>
      <c r="D1669" t="s">
        <v>91</v>
      </c>
      <c r="E1669" s="1">
        <v>44033</v>
      </c>
      <c r="F1669">
        <v>1</v>
      </c>
      <c r="G1669" t="s">
        <v>33</v>
      </c>
      <c r="H1669" t="s">
        <v>34</v>
      </c>
      <c r="I1669" s="3">
        <v>2102</v>
      </c>
      <c r="J1669" s="3">
        <v>2102</v>
      </c>
      <c r="K1669" s="3">
        <v>420</v>
      </c>
      <c r="L1669" t="s">
        <v>9</v>
      </c>
      <c r="M1669">
        <v>18</v>
      </c>
      <c r="N1669" t="s">
        <v>79</v>
      </c>
      <c r="O1669" t="s">
        <v>70</v>
      </c>
      <c r="P1669" t="s">
        <v>15</v>
      </c>
      <c r="Q1669" t="s">
        <v>16</v>
      </c>
      <c r="R1669" t="s">
        <v>16</v>
      </c>
      <c r="S1669" t="s">
        <v>144</v>
      </c>
      <c r="T1669" s="2">
        <f>MASTER[[#This Row],[CANTIDAD]]*MASTER[[#This Row],[PRECIO DE VENTA]]</f>
        <v>2102</v>
      </c>
      <c r="U1669" s="2">
        <f>MASTER[[#This Row],[CANTIDAD]]*MASTER[[#This Row],[COSTO UNITARIO]]</f>
        <v>420</v>
      </c>
      <c r="V1669" s="2">
        <f>MASTER[[#This Row],[MONTO VENDIDO]]-MASTER[[#This Row],[COSTO DE VENTA]]</f>
        <v>1682</v>
      </c>
    </row>
    <row r="1670" spans="1:22" x14ac:dyDescent="0.3">
      <c r="A1670">
        <v>31125</v>
      </c>
      <c r="B1670">
        <v>1</v>
      </c>
      <c r="C1670" t="s">
        <v>92</v>
      </c>
      <c r="D1670" t="s">
        <v>93</v>
      </c>
      <c r="E1670" s="1">
        <v>44033</v>
      </c>
      <c r="F1670">
        <v>1</v>
      </c>
      <c r="G1670" t="s">
        <v>37</v>
      </c>
      <c r="H1670" t="s">
        <v>38</v>
      </c>
      <c r="I1670" s="3">
        <v>1866</v>
      </c>
      <c r="J1670" s="3">
        <v>1866</v>
      </c>
      <c r="K1670" s="3">
        <v>396</v>
      </c>
      <c r="L1670" t="s">
        <v>9</v>
      </c>
      <c r="M1670">
        <v>13</v>
      </c>
      <c r="N1670" t="s">
        <v>78</v>
      </c>
      <c r="O1670" t="s">
        <v>70</v>
      </c>
      <c r="P1670" t="s">
        <v>18</v>
      </c>
      <c r="Q1670" t="s">
        <v>19</v>
      </c>
      <c r="R1670" t="s">
        <v>138</v>
      </c>
      <c r="S1670" t="s">
        <v>144</v>
      </c>
      <c r="T1670" s="2">
        <f>MASTER[[#This Row],[CANTIDAD]]*MASTER[[#This Row],[PRECIO DE VENTA]]</f>
        <v>1866</v>
      </c>
      <c r="U1670" s="2">
        <f>MASTER[[#This Row],[CANTIDAD]]*MASTER[[#This Row],[COSTO UNITARIO]]</f>
        <v>396</v>
      </c>
      <c r="V1670" s="2">
        <f>MASTER[[#This Row],[MONTO VENDIDO]]-MASTER[[#This Row],[COSTO DE VENTA]]</f>
        <v>1470</v>
      </c>
    </row>
    <row r="1671" spans="1:22" x14ac:dyDescent="0.3">
      <c r="A1671">
        <v>31143</v>
      </c>
      <c r="B1671">
        <v>1</v>
      </c>
      <c r="C1671" t="s">
        <v>118</v>
      </c>
      <c r="D1671" t="s">
        <v>119</v>
      </c>
      <c r="E1671" s="1">
        <v>44033</v>
      </c>
      <c r="F1671">
        <v>1</v>
      </c>
      <c r="G1671" t="s">
        <v>53</v>
      </c>
      <c r="H1671" t="s">
        <v>54</v>
      </c>
      <c r="I1671" s="3">
        <v>900</v>
      </c>
      <c r="J1671" s="3">
        <v>837</v>
      </c>
      <c r="K1671" s="3">
        <v>424</v>
      </c>
      <c r="L1671" t="s">
        <v>120</v>
      </c>
      <c r="M1671">
        <v>4</v>
      </c>
      <c r="N1671" t="s">
        <v>82</v>
      </c>
      <c r="O1671" t="s">
        <v>81</v>
      </c>
      <c r="P1671" t="s">
        <v>71</v>
      </c>
      <c r="Q1671" t="s">
        <v>72</v>
      </c>
      <c r="R1671" t="s">
        <v>139</v>
      </c>
      <c r="S1671" t="s">
        <v>144</v>
      </c>
      <c r="T1671" s="2">
        <f>MASTER[[#This Row],[CANTIDAD]]*MASTER[[#This Row],[PRECIO DE VENTA]]</f>
        <v>837</v>
      </c>
      <c r="U1671" s="2">
        <f>MASTER[[#This Row],[CANTIDAD]]*MASTER[[#This Row],[COSTO UNITARIO]]</f>
        <v>424</v>
      </c>
      <c r="V1671" s="2">
        <f>MASTER[[#This Row],[MONTO VENDIDO]]-MASTER[[#This Row],[COSTO DE VENTA]]</f>
        <v>413</v>
      </c>
    </row>
    <row r="1672" spans="1:22" x14ac:dyDescent="0.3">
      <c r="A1672">
        <v>31145</v>
      </c>
      <c r="B1672">
        <v>1</v>
      </c>
      <c r="C1672" t="s">
        <v>107</v>
      </c>
      <c r="D1672" t="s">
        <v>108</v>
      </c>
      <c r="E1672" s="1">
        <v>44033</v>
      </c>
      <c r="F1672">
        <v>1</v>
      </c>
      <c r="G1672" t="s">
        <v>65</v>
      </c>
      <c r="H1672" t="s">
        <v>66</v>
      </c>
      <c r="I1672" s="3">
        <v>1240</v>
      </c>
      <c r="J1672" s="3">
        <v>1240</v>
      </c>
      <c r="K1672" s="3">
        <v>380</v>
      </c>
      <c r="L1672" t="s">
        <v>98</v>
      </c>
      <c r="M1672">
        <v>16</v>
      </c>
      <c r="N1672" t="s">
        <v>17</v>
      </c>
      <c r="O1672" t="s">
        <v>11</v>
      </c>
      <c r="P1672" t="s">
        <v>18</v>
      </c>
      <c r="Q1672" t="s">
        <v>19</v>
      </c>
      <c r="R1672" t="s">
        <v>138</v>
      </c>
      <c r="S1672" t="s">
        <v>144</v>
      </c>
      <c r="T1672" s="2">
        <f>MASTER[[#This Row],[CANTIDAD]]*MASTER[[#This Row],[PRECIO DE VENTA]]</f>
        <v>1240</v>
      </c>
      <c r="U1672" s="2">
        <f>MASTER[[#This Row],[CANTIDAD]]*MASTER[[#This Row],[COSTO UNITARIO]]</f>
        <v>380</v>
      </c>
      <c r="V1672" s="2">
        <f>MASTER[[#This Row],[MONTO VENDIDO]]-MASTER[[#This Row],[COSTO DE VENTA]]</f>
        <v>860</v>
      </c>
    </row>
    <row r="1673" spans="1:22" x14ac:dyDescent="0.3">
      <c r="A1673">
        <v>31151</v>
      </c>
      <c r="B1673">
        <v>1</v>
      </c>
      <c r="C1673" t="s">
        <v>116</v>
      </c>
      <c r="D1673" t="s">
        <v>117</v>
      </c>
      <c r="E1673" s="1">
        <v>44033</v>
      </c>
      <c r="F1673">
        <v>4</v>
      </c>
      <c r="G1673" t="s">
        <v>57</v>
      </c>
      <c r="H1673" t="s">
        <v>58</v>
      </c>
      <c r="I1673" s="3">
        <v>1999</v>
      </c>
      <c r="J1673" s="3">
        <v>1999</v>
      </c>
      <c r="K1673" s="3">
        <v>388</v>
      </c>
      <c r="L1673" t="s">
        <v>113</v>
      </c>
      <c r="M1673">
        <v>13</v>
      </c>
      <c r="N1673" t="s">
        <v>78</v>
      </c>
      <c r="O1673" t="s">
        <v>70</v>
      </c>
      <c r="P1673" t="s">
        <v>18</v>
      </c>
      <c r="Q1673" t="s">
        <v>19</v>
      </c>
      <c r="R1673" t="s">
        <v>138</v>
      </c>
      <c r="S1673" t="s">
        <v>144</v>
      </c>
      <c r="T1673" s="2">
        <f>MASTER[[#This Row],[CANTIDAD]]*MASTER[[#This Row],[PRECIO DE VENTA]]</f>
        <v>7996</v>
      </c>
      <c r="U1673" s="2">
        <f>MASTER[[#This Row],[CANTIDAD]]*MASTER[[#This Row],[COSTO UNITARIO]]</f>
        <v>1552</v>
      </c>
      <c r="V1673" s="2">
        <f>MASTER[[#This Row],[MONTO VENDIDO]]-MASTER[[#This Row],[COSTO DE VENTA]]</f>
        <v>6444</v>
      </c>
    </row>
    <row r="1674" spans="1:22" x14ac:dyDescent="0.3">
      <c r="A1674">
        <v>31154</v>
      </c>
      <c r="B1674">
        <v>1</v>
      </c>
      <c r="C1674" t="s">
        <v>5</v>
      </c>
      <c r="D1674" t="s">
        <v>6</v>
      </c>
      <c r="E1674" s="1">
        <v>44033</v>
      </c>
      <c r="F1674">
        <v>1</v>
      </c>
      <c r="G1674" t="s">
        <v>63</v>
      </c>
      <c r="H1674" t="s">
        <v>64</v>
      </c>
      <c r="I1674" s="3">
        <v>1507</v>
      </c>
      <c r="J1674" s="3">
        <v>1507</v>
      </c>
      <c r="K1674" s="3">
        <v>393</v>
      </c>
      <c r="L1674" t="s">
        <v>9</v>
      </c>
      <c r="M1674">
        <v>10</v>
      </c>
      <c r="N1674" t="s">
        <v>83</v>
      </c>
      <c r="O1674" t="s">
        <v>81</v>
      </c>
      <c r="P1674" t="s">
        <v>12</v>
      </c>
      <c r="Q1674" t="s">
        <v>13</v>
      </c>
      <c r="R1674" t="s">
        <v>13</v>
      </c>
      <c r="S1674" t="s">
        <v>144</v>
      </c>
      <c r="T1674" s="2">
        <f>MASTER[[#This Row],[CANTIDAD]]*MASTER[[#This Row],[PRECIO DE VENTA]]</f>
        <v>1507</v>
      </c>
      <c r="U1674" s="2">
        <f>MASTER[[#This Row],[CANTIDAD]]*MASTER[[#This Row],[COSTO UNITARIO]]</f>
        <v>393</v>
      </c>
      <c r="V1674" s="2">
        <f>MASTER[[#This Row],[MONTO VENDIDO]]-MASTER[[#This Row],[COSTO DE VENTA]]</f>
        <v>1114</v>
      </c>
    </row>
    <row r="1675" spans="1:22" x14ac:dyDescent="0.3">
      <c r="A1675">
        <v>31156</v>
      </c>
      <c r="B1675">
        <v>1</v>
      </c>
      <c r="C1675" t="s">
        <v>116</v>
      </c>
      <c r="D1675" t="s">
        <v>117</v>
      </c>
      <c r="E1675" s="1">
        <v>44033</v>
      </c>
      <c r="F1675">
        <v>1</v>
      </c>
      <c r="G1675" t="s">
        <v>43</v>
      </c>
      <c r="H1675" t="s">
        <v>44</v>
      </c>
      <c r="I1675" s="3">
        <v>1999</v>
      </c>
      <c r="J1675" s="3">
        <v>1999</v>
      </c>
      <c r="K1675" s="3">
        <v>388</v>
      </c>
      <c r="L1675" t="s">
        <v>113</v>
      </c>
      <c r="M1675">
        <v>1</v>
      </c>
      <c r="N1675" t="s">
        <v>77</v>
      </c>
      <c r="O1675" t="s">
        <v>70</v>
      </c>
      <c r="P1675" t="s">
        <v>71</v>
      </c>
      <c r="Q1675" t="s">
        <v>72</v>
      </c>
      <c r="R1675" t="s">
        <v>139</v>
      </c>
      <c r="S1675" t="s">
        <v>144</v>
      </c>
      <c r="T1675" s="2">
        <f>MASTER[[#This Row],[CANTIDAD]]*MASTER[[#This Row],[PRECIO DE VENTA]]</f>
        <v>1999</v>
      </c>
      <c r="U1675" s="2">
        <f>MASTER[[#This Row],[CANTIDAD]]*MASTER[[#This Row],[COSTO UNITARIO]]</f>
        <v>388</v>
      </c>
      <c r="V1675" s="2">
        <f>MASTER[[#This Row],[MONTO VENDIDO]]-MASTER[[#This Row],[COSTO DE VENTA]]</f>
        <v>1611</v>
      </c>
    </row>
    <row r="1676" spans="1:22" x14ac:dyDescent="0.3">
      <c r="A1676">
        <v>31160</v>
      </c>
      <c r="B1676">
        <v>1</v>
      </c>
      <c r="C1676" t="s">
        <v>94</v>
      </c>
      <c r="D1676" t="s">
        <v>95</v>
      </c>
      <c r="E1676" s="1">
        <v>44034</v>
      </c>
      <c r="F1676">
        <v>1</v>
      </c>
      <c r="G1676" t="s">
        <v>57</v>
      </c>
      <c r="H1676" t="s">
        <v>58</v>
      </c>
      <c r="I1676" s="3">
        <v>1048</v>
      </c>
      <c r="J1676" s="3">
        <v>1048</v>
      </c>
      <c r="K1676" s="3">
        <v>392</v>
      </c>
      <c r="L1676" t="s">
        <v>9</v>
      </c>
      <c r="M1676">
        <v>7</v>
      </c>
      <c r="N1676" t="s">
        <v>84</v>
      </c>
      <c r="O1676" t="s">
        <v>81</v>
      </c>
      <c r="P1676" t="s">
        <v>12</v>
      </c>
      <c r="Q1676" t="s">
        <v>13</v>
      </c>
      <c r="R1676" t="s">
        <v>13</v>
      </c>
      <c r="S1676" t="s">
        <v>144</v>
      </c>
      <c r="T1676" s="2">
        <f>MASTER[[#This Row],[CANTIDAD]]*MASTER[[#This Row],[PRECIO DE VENTA]]</f>
        <v>1048</v>
      </c>
      <c r="U1676" s="2">
        <f>MASTER[[#This Row],[CANTIDAD]]*MASTER[[#This Row],[COSTO UNITARIO]]</f>
        <v>392</v>
      </c>
      <c r="V1676" s="2">
        <f>MASTER[[#This Row],[MONTO VENDIDO]]-MASTER[[#This Row],[COSTO DE VENTA]]</f>
        <v>656</v>
      </c>
    </row>
    <row r="1677" spans="1:22" x14ac:dyDescent="0.3">
      <c r="A1677">
        <v>31161</v>
      </c>
      <c r="B1677">
        <v>1</v>
      </c>
      <c r="C1677" t="s">
        <v>107</v>
      </c>
      <c r="D1677" t="s">
        <v>108</v>
      </c>
      <c r="E1677" s="1">
        <v>44034</v>
      </c>
      <c r="F1677">
        <v>1</v>
      </c>
      <c r="G1677" t="s">
        <v>29</v>
      </c>
      <c r="H1677" t="s">
        <v>30</v>
      </c>
      <c r="I1677" s="3">
        <v>1333</v>
      </c>
      <c r="J1677" s="3">
        <v>1333</v>
      </c>
      <c r="K1677" s="3">
        <v>380</v>
      </c>
      <c r="L1677" t="s">
        <v>98</v>
      </c>
      <c r="M1677">
        <v>19</v>
      </c>
      <c r="N1677" t="s">
        <v>89</v>
      </c>
      <c r="O1677" t="s">
        <v>81</v>
      </c>
      <c r="P1677" t="s">
        <v>15</v>
      </c>
      <c r="Q1677" t="s">
        <v>16</v>
      </c>
      <c r="R1677" t="s">
        <v>16</v>
      </c>
      <c r="S1677" t="s">
        <v>144</v>
      </c>
      <c r="T1677" s="2">
        <f>MASTER[[#This Row],[CANTIDAD]]*MASTER[[#This Row],[PRECIO DE VENTA]]</f>
        <v>1333</v>
      </c>
      <c r="U1677" s="2">
        <f>MASTER[[#This Row],[CANTIDAD]]*MASTER[[#This Row],[COSTO UNITARIO]]</f>
        <v>380</v>
      </c>
      <c r="V1677" s="2">
        <f>MASTER[[#This Row],[MONTO VENDIDO]]-MASTER[[#This Row],[COSTO DE VENTA]]</f>
        <v>953</v>
      </c>
    </row>
    <row r="1678" spans="1:22" x14ac:dyDescent="0.3">
      <c r="A1678">
        <v>31174</v>
      </c>
      <c r="B1678">
        <v>1</v>
      </c>
      <c r="C1678" t="s">
        <v>94</v>
      </c>
      <c r="D1678" t="s">
        <v>95</v>
      </c>
      <c r="E1678" s="1">
        <v>44034</v>
      </c>
      <c r="F1678">
        <v>1</v>
      </c>
      <c r="G1678" t="s">
        <v>67</v>
      </c>
      <c r="H1678" t="s">
        <v>68</v>
      </c>
      <c r="I1678" s="3">
        <v>1048</v>
      </c>
      <c r="J1678" s="3">
        <v>1048</v>
      </c>
      <c r="K1678" s="3">
        <v>392</v>
      </c>
      <c r="L1678" t="s">
        <v>9</v>
      </c>
      <c r="M1678">
        <v>10</v>
      </c>
      <c r="N1678" t="s">
        <v>83</v>
      </c>
      <c r="O1678" t="s">
        <v>81</v>
      </c>
      <c r="P1678" t="s">
        <v>12</v>
      </c>
      <c r="Q1678" t="s">
        <v>13</v>
      </c>
      <c r="R1678" t="s">
        <v>13</v>
      </c>
      <c r="S1678" t="s">
        <v>144</v>
      </c>
      <c r="T1678" s="2">
        <f>MASTER[[#This Row],[CANTIDAD]]*MASTER[[#This Row],[PRECIO DE VENTA]]</f>
        <v>1048</v>
      </c>
      <c r="U1678" s="2">
        <f>MASTER[[#This Row],[CANTIDAD]]*MASTER[[#This Row],[COSTO UNITARIO]]</f>
        <v>392</v>
      </c>
      <c r="V1678" s="2">
        <f>MASTER[[#This Row],[MONTO VENDIDO]]-MASTER[[#This Row],[COSTO DE VENTA]]</f>
        <v>656</v>
      </c>
    </row>
    <row r="1679" spans="1:22" x14ac:dyDescent="0.3">
      <c r="A1679">
        <v>31180</v>
      </c>
      <c r="B1679">
        <v>1</v>
      </c>
      <c r="C1679" t="s">
        <v>118</v>
      </c>
      <c r="D1679" t="s">
        <v>119</v>
      </c>
      <c r="E1679" s="1">
        <v>44034</v>
      </c>
      <c r="F1679">
        <v>1</v>
      </c>
      <c r="G1679" t="s">
        <v>61</v>
      </c>
      <c r="H1679" t="s">
        <v>62</v>
      </c>
      <c r="I1679" s="3">
        <v>900</v>
      </c>
      <c r="J1679" s="3">
        <v>900</v>
      </c>
      <c r="K1679" s="3">
        <v>424</v>
      </c>
      <c r="L1679" t="s">
        <v>120</v>
      </c>
      <c r="M1679">
        <v>4</v>
      </c>
      <c r="N1679" t="s">
        <v>82</v>
      </c>
      <c r="O1679" t="s">
        <v>81</v>
      </c>
      <c r="P1679" t="s">
        <v>71</v>
      </c>
      <c r="Q1679" t="s">
        <v>72</v>
      </c>
      <c r="R1679" t="s">
        <v>139</v>
      </c>
      <c r="S1679" t="s">
        <v>144</v>
      </c>
      <c r="T1679" s="2">
        <f>MASTER[[#This Row],[CANTIDAD]]*MASTER[[#This Row],[PRECIO DE VENTA]]</f>
        <v>900</v>
      </c>
      <c r="U1679" s="2">
        <f>MASTER[[#This Row],[CANTIDAD]]*MASTER[[#This Row],[COSTO UNITARIO]]</f>
        <v>424</v>
      </c>
      <c r="V1679" s="2">
        <f>MASTER[[#This Row],[MONTO VENDIDO]]-MASTER[[#This Row],[COSTO DE VENTA]]</f>
        <v>476</v>
      </c>
    </row>
    <row r="1680" spans="1:22" x14ac:dyDescent="0.3">
      <c r="A1680">
        <v>31189</v>
      </c>
      <c r="B1680">
        <v>1</v>
      </c>
      <c r="C1680" t="s">
        <v>101</v>
      </c>
      <c r="D1680" t="s">
        <v>102</v>
      </c>
      <c r="E1680" s="1">
        <v>44034</v>
      </c>
      <c r="F1680">
        <v>1</v>
      </c>
      <c r="G1680" t="s">
        <v>59</v>
      </c>
      <c r="H1680" t="s">
        <v>60</v>
      </c>
      <c r="I1680" s="3">
        <v>1212</v>
      </c>
      <c r="J1680" s="3">
        <v>1212</v>
      </c>
      <c r="K1680" s="3">
        <v>442</v>
      </c>
      <c r="L1680" t="s">
        <v>98</v>
      </c>
      <c r="M1680">
        <v>8</v>
      </c>
      <c r="N1680" t="s">
        <v>80</v>
      </c>
      <c r="O1680" t="s">
        <v>81</v>
      </c>
      <c r="P1680" t="s">
        <v>12</v>
      </c>
      <c r="Q1680" t="s">
        <v>13</v>
      </c>
      <c r="R1680" t="s">
        <v>13</v>
      </c>
      <c r="S1680" t="s">
        <v>144</v>
      </c>
      <c r="T1680" s="2">
        <f>MASTER[[#This Row],[CANTIDAD]]*MASTER[[#This Row],[PRECIO DE VENTA]]</f>
        <v>1212</v>
      </c>
      <c r="U1680" s="2">
        <f>MASTER[[#This Row],[CANTIDAD]]*MASTER[[#This Row],[COSTO UNITARIO]]</f>
        <v>442</v>
      </c>
      <c r="V1680" s="2">
        <f>MASTER[[#This Row],[MONTO VENDIDO]]-MASTER[[#This Row],[COSTO DE VENTA]]</f>
        <v>770</v>
      </c>
    </row>
    <row r="1681" spans="1:22" x14ac:dyDescent="0.3">
      <c r="A1681">
        <v>31195</v>
      </c>
      <c r="B1681">
        <v>1</v>
      </c>
      <c r="C1681" t="s">
        <v>96</v>
      </c>
      <c r="D1681" t="s">
        <v>97</v>
      </c>
      <c r="E1681" s="1">
        <v>44034</v>
      </c>
      <c r="F1681">
        <v>1</v>
      </c>
      <c r="G1681" t="s">
        <v>45</v>
      </c>
      <c r="H1681" t="s">
        <v>46</v>
      </c>
      <c r="I1681" s="3">
        <v>1361</v>
      </c>
      <c r="J1681" s="3">
        <v>1361</v>
      </c>
      <c r="K1681" s="3">
        <v>397</v>
      </c>
      <c r="L1681" t="s">
        <v>98</v>
      </c>
      <c r="M1681">
        <v>3</v>
      </c>
      <c r="N1681" t="s">
        <v>69</v>
      </c>
      <c r="O1681" t="s">
        <v>70</v>
      </c>
      <c r="P1681" t="s">
        <v>71</v>
      </c>
      <c r="Q1681" t="s">
        <v>72</v>
      </c>
      <c r="R1681" t="s">
        <v>139</v>
      </c>
      <c r="S1681" t="s">
        <v>144</v>
      </c>
      <c r="T1681" s="2">
        <f>MASTER[[#This Row],[CANTIDAD]]*MASTER[[#This Row],[PRECIO DE VENTA]]</f>
        <v>1361</v>
      </c>
      <c r="U1681" s="2">
        <f>MASTER[[#This Row],[CANTIDAD]]*MASTER[[#This Row],[COSTO UNITARIO]]</f>
        <v>397</v>
      </c>
      <c r="V1681" s="2">
        <f>MASTER[[#This Row],[MONTO VENDIDO]]-MASTER[[#This Row],[COSTO DE VENTA]]</f>
        <v>964</v>
      </c>
    </row>
    <row r="1682" spans="1:22" x14ac:dyDescent="0.3">
      <c r="A1682">
        <v>31197</v>
      </c>
      <c r="B1682">
        <v>1</v>
      </c>
      <c r="C1682" t="s">
        <v>101</v>
      </c>
      <c r="D1682" t="s">
        <v>102</v>
      </c>
      <c r="E1682" s="1">
        <v>44034</v>
      </c>
      <c r="F1682">
        <v>1</v>
      </c>
      <c r="G1682" t="s">
        <v>7</v>
      </c>
      <c r="H1682" t="s">
        <v>8</v>
      </c>
      <c r="I1682" s="3">
        <v>1212</v>
      </c>
      <c r="J1682" s="3">
        <v>1212</v>
      </c>
      <c r="K1682" s="3">
        <v>442</v>
      </c>
      <c r="L1682" t="s">
        <v>98</v>
      </c>
      <c r="M1682">
        <v>7</v>
      </c>
      <c r="N1682" t="s">
        <v>84</v>
      </c>
      <c r="O1682" t="s">
        <v>81</v>
      </c>
      <c r="P1682" t="s">
        <v>12</v>
      </c>
      <c r="Q1682" t="s">
        <v>13</v>
      </c>
      <c r="R1682" t="s">
        <v>13</v>
      </c>
      <c r="S1682" t="s">
        <v>144</v>
      </c>
      <c r="T1682" s="2">
        <f>MASTER[[#This Row],[CANTIDAD]]*MASTER[[#This Row],[PRECIO DE VENTA]]</f>
        <v>1212</v>
      </c>
      <c r="U1682" s="2">
        <f>MASTER[[#This Row],[CANTIDAD]]*MASTER[[#This Row],[COSTO UNITARIO]]</f>
        <v>442</v>
      </c>
      <c r="V1682" s="2">
        <f>MASTER[[#This Row],[MONTO VENDIDO]]-MASTER[[#This Row],[COSTO DE VENTA]]</f>
        <v>770</v>
      </c>
    </row>
    <row r="1683" spans="1:22" x14ac:dyDescent="0.3">
      <c r="A1683">
        <v>31209</v>
      </c>
      <c r="B1683">
        <v>1</v>
      </c>
      <c r="C1683" t="s">
        <v>111</v>
      </c>
      <c r="D1683" t="s">
        <v>112</v>
      </c>
      <c r="E1683" s="1">
        <v>44034</v>
      </c>
      <c r="F1683">
        <v>1</v>
      </c>
      <c r="G1683" t="s">
        <v>53</v>
      </c>
      <c r="H1683" t="s">
        <v>54</v>
      </c>
      <c r="I1683" s="3">
        <v>1621</v>
      </c>
      <c r="J1683" s="3">
        <v>1621</v>
      </c>
      <c r="K1683" s="3">
        <v>434</v>
      </c>
      <c r="L1683" t="s">
        <v>113</v>
      </c>
      <c r="M1683">
        <v>7</v>
      </c>
      <c r="N1683" t="s">
        <v>84</v>
      </c>
      <c r="O1683" t="s">
        <v>81</v>
      </c>
      <c r="P1683" t="s">
        <v>12</v>
      </c>
      <c r="Q1683" t="s">
        <v>13</v>
      </c>
      <c r="R1683" t="s">
        <v>13</v>
      </c>
      <c r="S1683" t="s">
        <v>144</v>
      </c>
      <c r="T1683" s="2">
        <f>MASTER[[#This Row],[CANTIDAD]]*MASTER[[#This Row],[PRECIO DE VENTA]]</f>
        <v>1621</v>
      </c>
      <c r="U1683" s="2">
        <f>MASTER[[#This Row],[CANTIDAD]]*MASTER[[#This Row],[COSTO UNITARIO]]</f>
        <v>434</v>
      </c>
      <c r="V1683" s="2">
        <f>MASTER[[#This Row],[MONTO VENDIDO]]-MASTER[[#This Row],[COSTO DE VENTA]]</f>
        <v>1187</v>
      </c>
    </row>
    <row r="1684" spans="1:22" x14ac:dyDescent="0.3">
      <c r="A1684">
        <v>31245</v>
      </c>
      <c r="B1684">
        <v>1</v>
      </c>
      <c r="C1684" t="s">
        <v>99</v>
      </c>
      <c r="D1684" t="s">
        <v>100</v>
      </c>
      <c r="E1684" s="1">
        <v>44034</v>
      </c>
      <c r="F1684">
        <v>4</v>
      </c>
      <c r="G1684" t="s">
        <v>24</v>
      </c>
      <c r="H1684" t="s">
        <v>25</v>
      </c>
      <c r="I1684" s="3">
        <v>1459</v>
      </c>
      <c r="J1684" s="3">
        <v>1459</v>
      </c>
      <c r="K1684" s="3">
        <v>386</v>
      </c>
      <c r="L1684" t="s">
        <v>98</v>
      </c>
      <c r="M1684">
        <v>10</v>
      </c>
      <c r="N1684" t="s">
        <v>83</v>
      </c>
      <c r="O1684" t="s">
        <v>81</v>
      </c>
      <c r="P1684" t="s">
        <v>12</v>
      </c>
      <c r="Q1684" t="s">
        <v>13</v>
      </c>
      <c r="R1684" t="s">
        <v>13</v>
      </c>
      <c r="S1684" t="s">
        <v>144</v>
      </c>
      <c r="T1684" s="2">
        <f>MASTER[[#This Row],[CANTIDAD]]*MASTER[[#This Row],[PRECIO DE VENTA]]</f>
        <v>5836</v>
      </c>
      <c r="U1684" s="2">
        <f>MASTER[[#This Row],[CANTIDAD]]*MASTER[[#This Row],[COSTO UNITARIO]]</f>
        <v>1544</v>
      </c>
      <c r="V1684" s="2">
        <f>MASTER[[#This Row],[MONTO VENDIDO]]-MASTER[[#This Row],[COSTO DE VENTA]]</f>
        <v>4292</v>
      </c>
    </row>
    <row r="1685" spans="1:22" x14ac:dyDescent="0.3">
      <c r="A1685">
        <v>31279</v>
      </c>
      <c r="B1685">
        <v>1</v>
      </c>
      <c r="C1685" t="s">
        <v>116</v>
      </c>
      <c r="D1685" t="s">
        <v>117</v>
      </c>
      <c r="E1685" s="1">
        <v>44034</v>
      </c>
      <c r="F1685">
        <v>1</v>
      </c>
      <c r="G1685" t="s">
        <v>41</v>
      </c>
      <c r="H1685" t="s">
        <v>42</v>
      </c>
      <c r="I1685" s="3">
        <v>1738</v>
      </c>
      <c r="J1685" s="3">
        <v>1738</v>
      </c>
      <c r="K1685" s="3">
        <v>388</v>
      </c>
      <c r="L1685" t="s">
        <v>113</v>
      </c>
      <c r="M1685">
        <v>10</v>
      </c>
      <c r="N1685" t="s">
        <v>83</v>
      </c>
      <c r="O1685" t="s">
        <v>81</v>
      </c>
      <c r="P1685" t="s">
        <v>12</v>
      </c>
      <c r="Q1685" t="s">
        <v>13</v>
      </c>
      <c r="R1685" t="s">
        <v>13</v>
      </c>
      <c r="S1685" t="s">
        <v>144</v>
      </c>
      <c r="T1685" s="2">
        <f>MASTER[[#This Row],[CANTIDAD]]*MASTER[[#This Row],[PRECIO DE VENTA]]</f>
        <v>1738</v>
      </c>
      <c r="U1685" s="2">
        <f>MASTER[[#This Row],[CANTIDAD]]*MASTER[[#This Row],[COSTO UNITARIO]]</f>
        <v>388</v>
      </c>
      <c r="V1685" s="2">
        <f>MASTER[[#This Row],[MONTO VENDIDO]]-MASTER[[#This Row],[COSTO DE VENTA]]</f>
        <v>1350</v>
      </c>
    </row>
    <row r="1686" spans="1:22" x14ac:dyDescent="0.3">
      <c r="A1686">
        <v>31292</v>
      </c>
      <c r="B1686">
        <v>1</v>
      </c>
      <c r="C1686" t="s">
        <v>90</v>
      </c>
      <c r="D1686" t="s">
        <v>91</v>
      </c>
      <c r="E1686" s="1">
        <v>44035</v>
      </c>
      <c r="F1686">
        <v>1</v>
      </c>
      <c r="G1686" t="s">
        <v>35</v>
      </c>
      <c r="H1686" t="s">
        <v>36</v>
      </c>
      <c r="I1686" s="3">
        <v>2102</v>
      </c>
      <c r="J1686" s="3">
        <v>2102</v>
      </c>
      <c r="K1686" s="3">
        <v>420</v>
      </c>
      <c r="L1686" t="s">
        <v>9</v>
      </c>
      <c r="M1686">
        <v>18</v>
      </c>
      <c r="N1686" t="s">
        <v>79</v>
      </c>
      <c r="O1686" t="s">
        <v>70</v>
      </c>
      <c r="P1686" t="s">
        <v>15</v>
      </c>
      <c r="Q1686" t="s">
        <v>16</v>
      </c>
      <c r="R1686" t="s">
        <v>16</v>
      </c>
      <c r="S1686" t="s">
        <v>144</v>
      </c>
      <c r="T1686" s="2">
        <f>MASTER[[#This Row],[CANTIDAD]]*MASTER[[#This Row],[PRECIO DE VENTA]]</f>
        <v>2102</v>
      </c>
      <c r="U1686" s="2">
        <f>MASTER[[#This Row],[CANTIDAD]]*MASTER[[#This Row],[COSTO UNITARIO]]</f>
        <v>420</v>
      </c>
      <c r="V1686" s="2">
        <f>MASTER[[#This Row],[MONTO VENDIDO]]-MASTER[[#This Row],[COSTO DE VENTA]]</f>
        <v>1682</v>
      </c>
    </row>
    <row r="1687" spans="1:22" x14ac:dyDescent="0.3">
      <c r="A1687">
        <v>31294</v>
      </c>
      <c r="B1687">
        <v>1</v>
      </c>
      <c r="C1687" t="s">
        <v>116</v>
      </c>
      <c r="D1687" t="s">
        <v>117</v>
      </c>
      <c r="E1687" s="1">
        <v>44035</v>
      </c>
      <c r="F1687">
        <v>1</v>
      </c>
      <c r="G1687" t="s">
        <v>73</v>
      </c>
      <c r="H1687" t="s">
        <v>74</v>
      </c>
      <c r="I1687" s="3">
        <v>1999</v>
      </c>
      <c r="J1687" s="3">
        <v>1999</v>
      </c>
      <c r="K1687" s="3">
        <v>388</v>
      </c>
      <c r="L1687" t="s">
        <v>113</v>
      </c>
      <c r="M1687">
        <v>3</v>
      </c>
      <c r="N1687" t="s">
        <v>69</v>
      </c>
      <c r="O1687" t="s">
        <v>70</v>
      </c>
      <c r="P1687" t="s">
        <v>71</v>
      </c>
      <c r="Q1687" t="s">
        <v>72</v>
      </c>
      <c r="R1687" t="s">
        <v>139</v>
      </c>
      <c r="S1687" t="s">
        <v>144</v>
      </c>
      <c r="T1687" s="2">
        <f>MASTER[[#This Row],[CANTIDAD]]*MASTER[[#This Row],[PRECIO DE VENTA]]</f>
        <v>1999</v>
      </c>
      <c r="U1687" s="2">
        <f>MASTER[[#This Row],[CANTIDAD]]*MASTER[[#This Row],[COSTO UNITARIO]]</f>
        <v>388</v>
      </c>
      <c r="V1687" s="2">
        <f>MASTER[[#This Row],[MONTO VENDIDO]]-MASTER[[#This Row],[COSTO DE VENTA]]</f>
        <v>1611</v>
      </c>
    </row>
    <row r="1688" spans="1:22" x14ac:dyDescent="0.3">
      <c r="A1688">
        <v>31323</v>
      </c>
      <c r="B1688">
        <v>1</v>
      </c>
      <c r="C1688" t="s">
        <v>111</v>
      </c>
      <c r="D1688" t="s">
        <v>112</v>
      </c>
      <c r="E1688" s="1">
        <v>44035</v>
      </c>
      <c r="F1688">
        <v>1</v>
      </c>
      <c r="G1688" t="s">
        <v>20</v>
      </c>
      <c r="H1688" t="s">
        <v>21</v>
      </c>
      <c r="I1688" s="3">
        <v>1799</v>
      </c>
      <c r="J1688" s="3">
        <v>1799</v>
      </c>
      <c r="K1688" s="3">
        <v>434</v>
      </c>
      <c r="L1688" t="s">
        <v>113</v>
      </c>
      <c r="M1688">
        <v>6</v>
      </c>
      <c r="N1688" t="s">
        <v>75</v>
      </c>
      <c r="O1688" t="s">
        <v>70</v>
      </c>
      <c r="P1688" t="s">
        <v>12</v>
      </c>
      <c r="Q1688" t="s">
        <v>13</v>
      </c>
      <c r="R1688" t="s">
        <v>13</v>
      </c>
      <c r="S1688" t="s">
        <v>144</v>
      </c>
      <c r="T1688" s="2">
        <f>MASTER[[#This Row],[CANTIDAD]]*MASTER[[#This Row],[PRECIO DE VENTA]]</f>
        <v>1799</v>
      </c>
      <c r="U1688" s="2">
        <f>MASTER[[#This Row],[CANTIDAD]]*MASTER[[#This Row],[COSTO UNITARIO]]</f>
        <v>434</v>
      </c>
      <c r="V1688" s="2">
        <f>MASTER[[#This Row],[MONTO VENDIDO]]-MASTER[[#This Row],[COSTO DE VENTA]]</f>
        <v>1365</v>
      </c>
    </row>
    <row r="1689" spans="1:22" x14ac:dyDescent="0.3">
      <c r="A1689">
        <v>31331</v>
      </c>
      <c r="B1689">
        <v>1</v>
      </c>
      <c r="C1689" t="s">
        <v>101</v>
      </c>
      <c r="D1689" t="s">
        <v>102</v>
      </c>
      <c r="E1689" s="1">
        <v>44035</v>
      </c>
      <c r="F1689">
        <v>1</v>
      </c>
      <c r="G1689" t="s">
        <v>45</v>
      </c>
      <c r="H1689" t="s">
        <v>46</v>
      </c>
      <c r="I1689" s="3">
        <v>1357</v>
      </c>
      <c r="J1689" s="3">
        <v>1357</v>
      </c>
      <c r="K1689" s="3">
        <v>442</v>
      </c>
      <c r="L1689" t="s">
        <v>98</v>
      </c>
      <c r="M1689">
        <v>6</v>
      </c>
      <c r="N1689" t="s">
        <v>75</v>
      </c>
      <c r="O1689" t="s">
        <v>70</v>
      </c>
      <c r="P1689" t="s">
        <v>12</v>
      </c>
      <c r="Q1689" t="s">
        <v>13</v>
      </c>
      <c r="R1689" t="s">
        <v>13</v>
      </c>
      <c r="S1689" t="s">
        <v>144</v>
      </c>
      <c r="T1689" s="2">
        <f>MASTER[[#This Row],[CANTIDAD]]*MASTER[[#This Row],[PRECIO DE VENTA]]</f>
        <v>1357</v>
      </c>
      <c r="U1689" s="2">
        <f>MASTER[[#This Row],[CANTIDAD]]*MASTER[[#This Row],[COSTO UNITARIO]]</f>
        <v>442</v>
      </c>
      <c r="V1689" s="2">
        <f>MASTER[[#This Row],[MONTO VENDIDO]]-MASTER[[#This Row],[COSTO DE VENTA]]</f>
        <v>915</v>
      </c>
    </row>
    <row r="1690" spans="1:22" x14ac:dyDescent="0.3">
      <c r="A1690">
        <v>31345</v>
      </c>
      <c r="B1690">
        <v>1</v>
      </c>
      <c r="C1690" t="s">
        <v>111</v>
      </c>
      <c r="D1690" t="s">
        <v>112</v>
      </c>
      <c r="E1690" s="1">
        <v>44035</v>
      </c>
      <c r="F1690">
        <v>1</v>
      </c>
      <c r="G1690" t="s">
        <v>7</v>
      </c>
      <c r="H1690" t="s">
        <v>8</v>
      </c>
      <c r="I1690" s="3">
        <v>1621</v>
      </c>
      <c r="J1690" s="3">
        <v>1621</v>
      </c>
      <c r="K1690" s="3">
        <v>434</v>
      </c>
      <c r="L1690" t="s">
        <v>113</v>
      </c>
      <c r="M1690">
        <v>10</v>
      </c>
      <c r="N1690" t="s">
        <v>83</v>
      </c>
      <c r="O1690" t="s">
        <v>81</v>
      </c>
      <c r="P1690" t="s">
        <v>12</v>
      </c>
      <c r="Q1690" t="s">
        <v>13</v>
      </c>
      <c r="R1690" t="s">
        <v>13</v>
      </c>
      <c r="S1690" t="s">
        <v>144</v>
      </c>
      <c r="T1690" s="2">
        <f>MASTER[[#This Row],[CANTIDAD]]*MASTER[[#This Row],[PRECIO DE VENTA]]</f>
        <v>1621</v>
      </c>
      <c r="U1690" s="2">
        <f>MASTER[[#This Row],[CANTIDAD]]*MASTER[[#This Row],[COSTO UNITARIO]]</f>
        <v>434</v>
      </c>
      <c r="V1690" s="2">
        <f>MASTER[[#This Row],[MONTO VENDIDO]]-MASTER[[#This Row],[COSTO DE VENTA]]</f>
        <v>1187</v>
      </c>
    </row>
    <row r="1691" spans="1:22" x14ac:dyDescent="0.3">
      <c r="A1691">
        <v>31346</v>
      </c>
      <c r="B1691">
        <v>1</v>
      </c>
      <c r="C1691" t="s">
        <v>114</v>
      </c>
      <c r="D1691" t="s">
        <v>115</v>
      </c>
      <c r="E1691" s="1">
        <v>44036</v>
      </c>
      <c r="F1691">
        <v>1</v>
      </c>
      <c r="G1691" t="s">
        <v>49</v>
      </c>
      <c r="H1691" t="s">
        <v>50</v>
      </c>
      <c r="I1691" s="3">
        <v>2030</v>
      </c>
      <c r="J1691" s="3">
        <v>2030</v>
      </c>
      <c r="K1691" s="3">
        <v>394</v>
      </c>
      <c r="L1691" t="s">
        <v>113</v>
      </c>
      <c r="M1691">
        <v>3</v>
      </c>
      <c r="N1691" t="s">
        <v>69</v>
      </c>
      <c r="O1691" t="s">
        <v>70</v>
      </c>
      <c r="P1691" t="s">
        <v>71</v>
      </c>
      <c r="Q1691" t="s">
        <v>72</v>
      </c>
      <c r="R1691" t="s">
        <v>139</v>
      </c>
      <c r="S1691" t="s">
        <v>144</v>
      </c>
      <c r="T1691" s="2">
        <f>MASTER[[#This Row],[CANTIDAD]]*MASTER[[#This Row],[PRECIO DE VENTA]]</f>
        <v>2030</v>
      </c>
      <c r="U1691" s="2">
        <f>MASTER[[#This Row],[CANTIDAD]]*MASTER[[#This Row],[COSTO UNITARIO]]</f>
        <v>394</v>
      </c>
      <c r="V1691" s="2">
        <f>MASTER[[#This Row],[MONTO VENDIDO]]-MASTER[[#This Row],[COSTO DE VENTA]]</f>
        <v>1636</v>
      </c>
    </row>
    <row r="1692" spans="1:22" x14ac:dyDescent="0.3">
      <c r="A1692">
        <v>31363</v>
      </c>
      <c r="B1692">
        <v>1</v>
      </c>
      <c r="C1692" t="s">
        <v>114</v>
      </c>
      <c r="D1692" t="s">
        <v>115</v>
      </c>
      <c r="E1692" s="1">
        <v>44036</v>
      </c>
      <c r="F1692">
        <v>1</v>
      </c>
      <c r="G1692" t="s">
        <v>24</v>
      </c>
      <c r="H1692" t="s">
        <v>25</v>
      </c>
      <c r="I1692" s="3">
        <v>1862</v>
      </c>
      <c r="J1692" s="3">
        <v>1862</v>
      </c>
      <c r="K1692" s="3">
        <v>394</v>
      </c>
      <c r="L1692" t="s">
        <v>113</v>
      </c>
      <c r="M1692">
        <v>4</v>
      </c>
      <c r="N1692" t="s">
        <v>82</v>
      </c>
      <c r="O1692" t="s">
        <v>81</v>
      </c>
      <c r="P1692" t="s">
        <v>71</v>
      </c>
      <c r="Q1692" t="s">
        <v>72</v>
      </c>
      <c r="R1692" t="s">
        <v>139</v>
      </c>
      <c r="S1692" t="s">
        <v>144</v>
      </c>
      <c r="T1692" s="2">
        <f>MASTER[[#This Row],[CANTIDAD]]*MASTER[[#This Row],[PRECIO DE VENTA]]</f>
        <v>1862</v>
      </c>
      <c r="U1692" s="2">
        <f>MASTER[[#This Row],[CANTIDAD]]*MASTER[[#This Row],[COSTO UNITARIO]]</f>
        <v>394</v>
      </c>
      <c r="V1692" s="2">
        <f>MASTER[[#This Row],[MONTO VENDIDO]]-MASTER[[#This Row],[COSTO DE VENTA]]</f>
        <v>1468</v>
      </c>
    </row>
    <row r="1693" spans="1:22" x14ac:dyDescent="0.3">
      <c r="A1693">
        <v>31369</v>
      </c>
      <c r="B1693">
        <v>1</v>
      </c>
      <c r="C1693" t="s">
        <v>92</v>
      </c>
      <c r="D1693" t="s">
        <v>93</v>
      </c>
      <c r="E1693" s="1">
        <v>44036</v>
      </c>
      <c r="F1693">
        <v>2</v>
      </c>
      <c r="G1693" t="s">
        <v>67</v>
      </c>
      <c r="H1693" t="s">
        <v>68</v>
      </c>
      <c r="I1693" s="3">
        <v>1681</v>
      </c>
      <c r="J1693" s="3">
        <v>1681</v>
      </c>
      <c r="K1693" s="3">
        <v>396</v>
      </c>
      <c r="L1693" t="s">
        <v>9</v>
      </c>
      <c r="M1693">
        <v>8</v>
      </c>
      <c r="N1693" t="s">
        <v>80</v>
      </c>
      <c r="O1693" t="s">
        <v>81</v>
      </c>
      <c r="P1693" t="s">
        <v>12</v>
      </c>
      <c r="Q1693" t="s">
        <v>13</v>
      </c>
      <c r="R1693" t="s">
        <v>13</v>
      </c>
      <c r="S1693" t="s">
        <v>144</v>
      </c>
      <c r="T1693" s="2">
        <f>MASTER[[#This Row],[CANTIDAD]]*MASTER[[#This Row],[PRECIO DE VENTA]]</f>
        <v>3362</v>
      </c>
      <c r="U1693" s="2">
        <f>MASTER[[#This Row],[CANTIDAD]]*MASTER[[#This Row],[COSTO UNITARIO]]</f>
        <v>792</v>
      </c>
      <c r="V1693" s="2">
        <f>MASTER[[#This Row],[MONTO VENDIDO]]-MASTER[[#This Row],[COSTO DE VENTA]]</f>
        <v>2570</v>
      </c>
    </row>
    <row r="1694" spans="1:22" x14ac:dyDescent="0.3">
      <c r="A1694">
        <v>31382</v>
      </c>
      <c r="B1694">
        <v>1</v>
      </c>
      <c r="C1694" t="s">
        <v>118</v>
      </c>
      <c r="D1694" t="s">
        <v>119</v>
      </c>
      <c r="E1694" s="1">
        <v>44037</v>
      </c>
      <c r="F1694">
        <v>4</v>
      </c>
      <c r="G1694" t="s">
        <v>53</v>
      </c>
      <c r="H1694" t="s">
        <v>54</v>
      </c>
      <c r="I1694" s="3">
        <v>900</v>
      </c>
      <c r="J1694" s="3">
        <v>900</v>
      </c>
      <c r="K1694" s="3">
        <v>424</v>
      </c>
      <c r="L1694" t="s">
        <v>120</v>
      </c>
      <c r="M1694">
        <v>7</v>
      </c>
      <c r="N1694" t="s">
        <v>84</v>
      </c>
      <c r="O1694" t="s">
        <v>81</v>
      </c>
      <c r="P1694" t="s">
        <v>12</v>
      </c>
      <c r="Q1694" t="s">
        <v>13</v>
      </c>
      <c r="R1694" t="s">
        <v>13</v>
      </c>
      <c r="S1694" t="s">
        <v>144</v>
      </c>
      <c r="T1694" s="2">
        <f>MASTER[[#This Row],[CANTIDAD]]*MASTER[[#This Row],[PRECIO DE VENTA]]</f>
        <v>3600</v>
      </c>
      <c r="U1694" s="2">
        <f>MASTER[[#This Row],[CANTIDAD]]*MASTER[[#This Row],[COSTO UNITARIO]]</f>
        <v>1696</v>
      </c>
      <c r="V1694" s="2">
        <f>MASTER[[#This Row],[MONTO VENDIDO]]-MASTER[[#This Row],[COSTO DE VENTA]]</f>
        <v>1904</v>
      </c>
    </row>
    <row r="1695" spans="1:22" x14ac:dyDescent="0.3">
      <c r="A1695">
        <v>31392</v>
      </c>
      <c r="B1695">
        <v>1</v>
      </c>
      <c r="C1695" t="s">
        <v>103</v>
      </c>
      <c r="D1695" t="s">
        <v>104</v>
      </c>
      <c r="E1695" s="1">
        <v>44037</v>
      </c>
      <c r="F1695">
        <v>1</v>
      </c>
      <c r="G1695" t="s">
        <v>29</v>
      </c>
      <c r="H1695" t="s">
        <v>30</v>
      </c>
      <c r="I1695" s="3">
        <v>1591</v>
      </c>
      <c r="J1695" s="3">
        <v>1591</v>
      </c>
      <c r="K1695" s="3">
        <v>421</v>
      </c>
      <c r="L1695" t="s">
        <v>98</v>
      </c>
      <c r="M1695">
        <v>14</v>
      </c>
      <c r="N1695" t="s">
        <v>87</v>
      </c>
      <c r="O1695" t="s">
        <v>81</v>
      </c>
      <c r="P1695" t="s">
        <v>18</v>
      </c>
      <c r="Q1695" t="s">
        <v>19</v>
      </c>
      <c r="R1695" t="s">
        <v>138</v>
      </c>
      <c r="S1695" t="s">
        <v>144</v>
      </c>
      <c r="T1695" s="2">
        <f>MASTER[[#This Row],[CANTIDAD]]*MASTER[[#This Row],[PRECIO DE VENTA]]</f>
        <v>1591</v>
      </c>
      <c r="U1695" s="2">
        <f>MASTER[[#This Row],[CANTIDAD]]*MASTER[[#This Row],[COSTO UNITARIO]]</f>
        <v>421</v>
      </c>
      <c r="V1695" s="2">
        <f>MASTER[[#This Row],[MONTO VENDIDO]]-MASTER[[#This Row],[COSTO DE VENTA]]</f>
        <v>1170</v>
      </c>
    </row>
    <row r="1696" spans="1:22" x14ac:dyDescent="0.3">
      <c r="A1696">
        <v>31429</v>
      </c>
      <c r="B1696">
        <v>1</v>
      </c>
      <c r="C1696" t="s">
        <v>103</v>
      </c>
      <c r="D1696" t="s">
        <v>104</v>
      </c>
      <c r="E1696" s="1">
        <v>44037</v>
      </c>
      <c r="F1696">
        <v>1</v>
      </c>
      <c r="G1696" t="s">
        <v>22</v>
      </c>
      <c r="H1696" t="s">
        <v>23</v>
      </c>
      <c r="I1696" s="3">
        <v>1591</v>
      </c>
      <c r="J1696" s="3">
        <v>1591</v>
      </c>
      <c r="K1696" s="3">
        <v>421</v>
      </c>
      <c r="L1696" t="s">
        <v>98</v>
      </c>
      <c r="M1696">
        <v>4</v>
      </c>
      <c r="N1696" t="s">
        <v>82</v>
      </c>
      <c r="O1696" t="s">
        <v>81</v>
      </c>
      <c r="P1696" t="s">
        <v>71</v>
      </c>
      <c r="Q1696" t="s">
        <v>72</v>
      </c>
      <c r="R1696" t="s">
        <v>139</v>
      </c>
      <c r="S1696" t="s">
        <v>144</v>
      </c>
      <c r="T1696" s="2">
        <f>MASTER[[#This Row],[CANTIDAD]]*MASTER[[#This Row],[PRECIO DE VENTA]]</f>
        <v>1591</v>
      </c>
      <c r="U1696" s="2">
        <f>MASTER[[#This Row],[CANTIDAD]]*MASTER[[#This Row],[COSTO UNITARIO]]</f>
        <v>421</v>
      </c>
      <c r="V1696" s="2">
        <f>MASTER[[#This Row],[MONTO VENDIDO]]-MASTER[[#This Row],[COSTO DE VENTA]]</f>
        <v>1170</v>
      </c>
    </row>
    <row r="1697" spans="1:22" x14ac:dyDescent="0.3">
      <c r="A1697">
        <v>31450</v>
      </c>
      <c r="B1697">
        <v>1</v>
      </c>
      <c r="C1697" t="s">
        <v>92</v>
      </c>
      <c r="D1697" t="s">
        <v>93</v>
      </c>
      <c r="E1697" s="1">
        <v>44037</v>
      </c>
      <c r="F1697">
        <v>1</v>
      </c>
      <c r="G1697" t="s">
        <v>73</v>
      </c>
      <c r="H1697" t="s">
        <v>74</v>
      </c>
      <c r="I1697" s="3">
        <v>1479</v>
      </c>
      <c r="J1697" s="3">
        <v>1479</v>
      </c>
      <c r="K1697" s="3">
        <v>396</v>
      </c>
      <c r="L1697" t="s">
        <v>9</v>
      </c>
      <c r="M1697">
        <v>17</v>
      </c>
      <c r="N1697" t="s">
        <v>14</v>
      </c>
      <c r="O1697" t="s">
        <v>11</v>
      </c>
      <c r="P1697" t="s">
        <v>15</v>
      </c>
      <c r="Q1697" t="s">
        <v>16</v>
      </c>
      <c r="R1697" t="s">
        <v>16</v>
      </c>
      <c r="S1697" t="s">
        <v>144</v>
      </c>
      <c r="T1697" s="2">
        <f>MASTER[[#This Row],[CANTIDAD]]*MASTER[[#This Row],[PRECIO DE VENTA]]</f>
        <v>1479</v>
      </c>
      <c r="U1697" s="2">
        <f>MASTER[[#This Row],[CANTIDAD]]*MASTER[[#This Row],[COSTO UNITARIO]]</f>
        <v>396</v>
      </c>
      <c r="V1697" s="2">
        <f>MASTER[[#This Row],[MONTO VENDIDO]]-MASTER[[#This Row],[COSTO DE VENTA]]</f>
        <v>1083</v>
      </c>
    </row>
    <row r="1698" spans="1:22" x14ac:dyDescent="0.3">
      <c r="A1698">
        <v>31465</v>
      </c>
      <c r="B1698">
        <v>1</v>
      </c>
      <c r="C1698" t="s">
        <v>90</v>
      </c>
      <c r="D1698" t="s">
        <v>91</v>
      </c>
      <c r="E1698" s="1">
        <v>44037</v>
      </c>
      <c r="F1698">
        <v>1</v>
      </c>
      <c r="G1698" t="s">
        <v>55</v>
      </c>
      <c r="H1698" t="s">
        <v>56</v>
      </c>
      <c r="I1698" s="3">
        <v>1844</v>
      </c>
      <c r="J1698" s="3">
        <v>1844</v>
      </c>
      <c r="K1698" s="3">
        <v>420</v>
      </c>
      <c r="L1698" t="s">
        <v>9</v>
      </c>
      <c r="M1698">
        <v>5</v>
      </c>
      <c r="N1698" t="s">
        <v>85</v>
      </c>
      <c r="O1698" t="s">
        <v>81</v>
      </c>
      <c r="P1698" t="s">
        <v>12</v>
      </c>
      <c r="Q1698" t="s">
        <v>13</v>
      </c>
      <c r="R1698" t="s">
        <v>13</v>
      </c>
      <c r="S1698" t="s">
        <v>144</v>
      </c>
      <c r="T1698" s="2">
        <f>MASTER[[#This Row],[CANTIDAD]]*MASTER[[#This Row],[PRECIO DE VENTA]]</f>
        <v>1844</v>
      </c>
      <c r="U1698" s="2">
        <f>MASTER[[#This Row],[CANTIDAD]]*MASTER[[#This Row],[COSTO UNITARIO]]</f>
        <v>420</v>
      </c>
      <c r="V1698" s="2">
        <f>MASTER[[#This Row],[MONTO VENDIDO]]-MASTER[[#This Row],[COSTO DE VENTA]]</f>
        <v>1424</v>
      </c>
    </row>
    <row r="1699" spans="1:22" x14ac:dyDescent="0.3">
      <c r="A1699">
        <v>31468</v>
      </c>
      <c r="B1699">
        <v>1</v>
      </c>
      <c r="C1699" t="s">
        <v>90</v>
      </c>
      <c r="D1699" t="s">
        <v>91</v>
      </c>
      <c r="E1699" s="1">
        <v>44037</v>
      </c>
      <c r="F1699">
        <v>4</v>
      </c>
      <c r="G1699" t="s">
        <v>37</v>
      </c>
      <c r="H1699" t="s">
        <v>38</v>
      </c>
      <c r="I1699" s="3">
        <v>1844</v>
      </c>
      <c r="J1699" s="3">
        <v>1844</v>
      </c>
      <c r="K1699" s="3">
        <v>420</v>
      </c>
      <c r="L1699" t="s">
        <v>9</v>
      </c>
      <c r="M1699">
        <v>4</v>
      </c>
      <c r="N1699" t="s">
        <v>82</v>
      </c>
      <c r="O1699" t="s">
        <v>81</v>
      </c>
      <c r="P1699" t="s">
        <v>71</v>
      </c>
      <c r="Q1699" t="s">
        <v>72</v>
      </c>
      <c r="R1699" t="s">
        <v>139</v>
      </c>
      <c r="S1699" t="s">
        <v>144</v>
      </c>
      <c r="T1699" s="2">
        <f>MASTER[[#This Row],[CANTIDAD]]*MASTER[[#This Row],[PRECIO DE VENTA]]</f>
        <v>7376</v>
      </c>
      <c r="U1699" s="2">
        <f>MASTER[[#This Row],[CANTIDAD]]*MASTER[[#This Row],[COSTO UNITARIO]]</f>
        <v>1680</v>
      </c>
      <c r="V1699" s="2">
        <f>MASTER[[#This Row],[MONTO VENDIDO]]-MASTER[[#This Row],[COSTO DE VENTA]]</f>
        <v>5696</v>
      </c>
    </row>
    <row r="1700" spans="1:22" x14ac:dyDescent="0.3">
      <c r="A1700">
        <v>31468</v>
      </c>
      <c r="B1700">
        <v>2</v>
      </c>
      <c r="C1700" t="s">
        <v>109</v>
      </c>
      <c r="D1700" t="s">
        <v>110</v>
      </c>
      <c r="E1700" s="1">
        <v>44037</v>
      </c>
      <c r="F1700">
        <v>1</v>
      </c>
      <c r="G1700" t="s">
        <v>57</v>
      </c>
      <c r="H1700" t="s">
        <v>58</v>
      </c>
      <c r="I1700" s="3">
        <v>1064</v>
      </c>
      <c r="J1700" s="3">
        <v>1064</v>
      </c>
      <c r="K1700" s="3">
        <v>387</v>
      </c>
      <c r="L1700" t="s">
        <v>98</v>
      </c>
      <c r="M1700">
        <v>4</v>
      </c>
      <c r="N1700" t="s">
        <v>82</v>
      </c>
      <c r="O1700" t="s">
        <v>81</v>
      </c>
      <c r="P1700" t="s">
        <v>71</v>
      </c>
      <c r="Q1700" t="s">
        <v>72</v>
      </c>
      <c r="R1700" t="s">
        <v>139</v>
      </c>
      <c r="S1700" t="s">
        <v>144</v>
      </c>
      <c r="T1700" s="2">
        <f>MASTER[[#This Row],[CANTIDAD]]*MASTER[[#This Row],[PRECIO DE VENTA]]</f>
        <v>1064</v>
      </c>
      <c r="U1700" s="2">
        <f>MASTER[[#This Row],[CANTIDAD]]*MASTER[[#This Row],[COSTO UNITARIO]]</f>
        <v>387</v>
      </c>
      <c r="V1700" s="2">
        <f>MASTER[[#This Row],[MONTO VENDIDO]]-MASTER[[#This Row],[COSTO DE VENTA]]</f>
        <v>677</v>
      </c>
    </row>
    <row r="1701" spans="1:22" x14ac:dyDescent="0.3">
      <c r="A1701">
        <v>31489</v>
      </c>
      <c r="B1701">
        <v>1</v>
      </c>
      <c r="C1701" t="s">
        <v>118</v>
      </c>
      <c r="D1701" t="s">
        <v>119</v>
      </c>
      <c r="E1701" s="1">
        <v>44038</v>
      </c>
      <c r="F1701">
        <v>1</v>
      </c>
      <c r="G1701" t="s">
        <v>55</v>
      </c>
      <c r="H1701" t="s">
        <v>56</v>
      </c>
      <c r="I1701" s="3">
        <v>900</v>
      </c>
      <c r="J1701" s="3">
        <v>900</v>
      </c>
      <c r="K1701" s="3">
        <v>424</v>
      </c>
      <c r="L1701" t="s">
        <v>120</v>
      </c>
      <c r="M1701">
        <v>7</v>
      </c>
      <c r="N1701" t="s">
        <v>84</v>
      </c>
      <c r="O1701" t="s">
        <v>81</v>
      </c>
      <c r="P1701" t="s">
        <v>12</v>
      </c>
      <c r="Q1701" t="s">
        <v>13</v>
      </c>
      <c r="R1701" t="s">
        <v>13</v>
      </c>
      <c r="S1701" t="s">
        <v>144</v>
      </c>
      <c r="T1701" s="2">
        <f>MASTER[[#This Row],[CANTIDAD]]*MASTER[[#This Row],[PRECIO DE VENTA]]</f>
        <v>900</v>
      </c>
      <c r="U1701" s="2">
        <f>MASTER[[#This Row],[CANTIDAD]]*MASTER[[#This Row],[COSTO UNITARIO]]</f>
        <v>424</v>
      </c>
      <c r="V1701" s="2">
        <f>MASTER[[#This Row],[MONTO VENDIDO]]-MASTER[[#This Row],[COSTO DE VENTA]]</f>
        <v>476</v>
      </c>
    </row>
    <row r="1702" spans="1:22" x14ac:dyDescent="0.3">
      <c r="A1702">
        <v>31535</v>
      </c>
      <c r="B1702">
        <v>1</v>
      </c>
      <c r="C1702" t="s">
        <v>121</v>
      </c>
      <c r="D1702" t="s">
        <v>122</v>
      </c>
      <c r="E1702" s="1">
        <v>44038</v>
      </c>
      <c r="F1702">
        <v>1</v>
      </c>
      <c r="G1702" t="s">
        <v>57</v>
      </c>
      <c r="H1702" t="s">
        <v>58</v>
      </c>
      <c r="I1702" s="3">
        <v>1069</v>
      </c>
      <c r="J1702" s="3">
        <v>1069</v>
      </c>
      <c r="K1702" s="3">
        <v>460</v>
      </c>
      <c r="L1702" t="s">
        <v>120</v>
      </c>
      <c r="M1702">
        <v>2</v>
      </c>
      <c r="N1702" t="s">
        <v>86</v>
      </c>
      <c r="O1702" t="s">
        <v>81</v>
      </c>
      <c r="P1702" t="s">
        <v>71</v>
      </c>
      <c r="Q1702" t="s">
        <v>72</v>
      </c>
      <c r="R1702" t="s">
        <v>139</v>
      </c>
      <c r="S1702" t="s">
        <v>144</v>
      </c>
      <c r="T1702" s="2">
        <f>MASTER[[#This Row],[CANTIDAD]]*MASTER[[#This Row],[PRECIO DE VENTA]]</f>
        <v>1069</v>
      </c>
      <c r="U1702" s="2">
        <f>MASTER[[#This Row],[CANTIDAD]]*MASTER[[#This Row],[COSTO UNITARIO]]</f>
        <v>460</v>
      </c>
      <c r="V1702" s="2">
        <f>MASTER[[#This Row],[MONTO VENDIDO]]-MASTER[[#This Row],[COSTO DE VENTA]]</f>
        <v>609</v>
      </c>
    </row>
    <row r="1703" spans="1:22" x14ac:dyDescent="0.3">
      <c r="A1703">
        <v>31538</v>
      </c>
      <c r="B1703">
        <v>1</v>
      </c>
      <c r="C1703" t="s">
        <v>94</v>
      </c>
      <c r="D1703" t="s">
        <v>95</v>
      </c>
      <c r="E1703" s="1">
        <v>44038</v>
      </c>
      <c r="F1703">
        <v>1</v>
      </c>
      <c r="G1703" t="s">
        <v>31</v>
      </c>
      <c r="H1703" t="s">
        <v>32</v>
      </c>
      <c r="I1703" s="3">
        <v>901</v>
      </c>
      <c r="J1703" s="3">
        <v>901</v>
      </c>
      <c r="K1703" s="3">
        <v>392</v>
      </c>
      <c r="L1703" t="s">
        <v>9</v>
      </c>
      <c r="M1703">
        <v>12</v>
      </c>
      <c r="N1703" t="s">
        <v>26</v>
      </c>
      <c r="O1703" t="s">
        <v>11</v>
      </c>
      <c r="P1703" t="s">
        <v>12</v>
      </c>
      <c r="Q1703" t="s">
        <v>13</v>
      </c>
      <c r="R1703" t="s">
        <v>13</v>
      </c>
      <c r="S1703" t="s">
        <v>144</v>
      </c>
      <c r="T1703" s="2">
        <f>MASTER[[#This Row],[CANTIDAD]]*MASTER[[#This Row],[PRECIO DE VENTA]]</f>
        <v>901</v>
      </c>
      <c r="U1703" s="2">
        <f>MASTER[[#This Row],[CANTIDAD]]*MASTER[[#This Row],[COSTO UNITARIO]]</f>
        <v>392</v>
      </c>
      <c r="V1703" s="2">
        <f>MASTER[[#This Row],[MONTO VENDIDO]]-MASTER[[#This Row],[COSTO DE VENTA]]</f>
        <v>509</v>
      </c>
    </row>
    <row r="1704" spans="1:22" x14ac:dyDescent="0.3">
      <c r="A1704">
        <v>31551</v>
      </c>
      <c r="B1704">
        <v>1</v>
      </c>
      <c r="C1704" t="s">
        <v>90</v>
      </c>
      <c r="D1704" t="s">
        <v>91</v>
      </c>
      <c r="E1704" s="1">
        <v>44038</v>
      </c>
      <c r="F1704">
        <v>1</v>
      </c>
      <c r="G1704" t="s">
        <v>73</v>
      </c>
      <c r="H1704" t="s">
        <v>74</v>
      </c>
      <c r="I1704" s="3">
        <v>1660</v>
      </c>
      <c r="J1704" s="3">
        <v>1660</v>
      </c>
      <c r="K1704" s="3">
        <v>420</v>
      </c>
      <c r="L1704" t="s">
        <v>9</v>
      </c>
      <c r="M1704">
        <v>17</v>
      </c>
      <c r="N1704" t="s">
        <v>14</v>
      </c>
      <c r="O1704" t="s">
        <v>11</v>
      </c>
      <c r="P1704" t="s">
        <v>15</v>
      </c>
      <c r="Q1704" t="s">
        <v>16</v>
      </c>
      <c r="R1704" t="s">
        <v>16</v>
      </c>
      <c r="S1704" t="s">
        <v>144</v>
      </c>
      <c r="T1704" s="2">
        <f>MASTER[[#This Row],[CANTIDAD]]*MASTER[[#This Row],[PRECIO DE VENTA]]</f>
        <v>1660</v>
      </c>
      <c r="U1704" s="2">
        <f>MASTER[[#This Row],[CANTIDAD]]*MASTER[[#This Row],[COSTO UNITARIO]]</f>
        <v>420</v>
      </c>
      <c r="V1704" s="2">
        <f>MASTER[[#This Row],[MONTO VENDIDO]]-MASTER[[#This Row],[COSTO DE VENTA]]</f>
        <v>1240</v>
      </c>
    </row>
    <row r="1705" spans="1:22" x14ac:dyDescent="0.3">
      <c r="A1705">
        <v>31559</v>
      </c>
      <c r="B1705">
        <v>1</v>
      </c>
      <c r="C1705" t="s">
        <v>118</v>
      </c>
      <c r="D1705" t="s">
        <v>119</v>
      </c>
      <c r="E1705" s="1">
        <v>44038</v>
      </c>
      <c r="F1705">
        <v>1</v>
      </c>
      <c r="G1705" t="s">
        <v>37</v>
      </c>
      <c r="H1705" t="s">
        <v>38</v>
      </c>
      <c r="I1705" s="3">
        <v>1026</v>
      </c>
      <c r="J1705" s="3">
        <v>1026</v>
      </c>
      <c r="K1705" s="3">
        <v>424</v>
      </c>
      <c r="L1705" t="s">
        <v>120</v>
      </c>
      <c r="M1705">
        <v>13</v>
      </c>
      <c r="N1705" t="s">
        <v>78</v>
      </c>
      <c r="O1705" t="s">
        <v>70</v>
      </c>
      <c r="P1705" t="s">
        <v>18</v>
      </c>
      <c r="Q1705" t="s">
        <v>19</v>
      </c>
      <c r="R1705" t="s">
        <v>138</v>
      </c>
      <c r="S1705" t="s">
        <v>144</v>
      </c>
      <c r="T1705" s="2">
        <f>MASTER[[#This Row],[CANTIDAD]]*MASTER[[#This Row],[PRECIO DE VENTA]]</f>
        <v>1026</v>
      </c>
      <c r="U1705" s="2">
        <f>MASTER[[#This Row],[CANTIDAD]]*MASTER[[#This Row],[COSTO UNITARIO]]</f>
        <v>424</v>
      </c>
      <c r="V1705" s="2">
        <f>MASTER[[#This Row],[MONTO VENDIDO]]-MASTER[[#This Row],[COSTO DE VENTA]]</f>
        <v>602</v>
      </c>
    </row>
    <row r="1706" spans="1:22" x14ac:dyDescent="0.3">
      <c r="A1706">
        <v>31564</v>
      </c>
      <c r="B1706">
        <v>1</v>
      </c>
      <c r="C1706" t="s">
        <v>118</v>
      </c>
      <c r="D1706" t="s">
        <v>119</v>
      </c>
      <c r="E1706" s="1">
        <v>44038</v>
      </c>
      <c r="F1706">
        <v>1</v>
      </c>
      <c r="G1706" t="s">
        <v>47</v>
      </c>
      <c r="H1706" t="s">
        <v>48</v>
      </c>
      <c r="I1706" s="3">
        <v>1026</v>
      </c>
      <c r="J1706" s="3">
        <v>1026</v>
      </c>
      <c r="K1706" s="3">
        <v>424</v>
      </c>
      <c r="L1706" t="s">
        <v>120</v>
      </c>
      <c r="M1706">
        <v>3</v>
      </c>
      <c r="N1706" t="s">
        <v>69</v>
      </c>
      <c r="O1706" t="s">
        <v>70</v>
      </c>
      <c r="P1706" t="s">
        <v>71</v>
      </c>
      <c r="Q1706" t="s">
        <v>72</v>
      </c>
      <c r="R1706" t="s">
        <v>139</v>
      </c>
      <c r="S1706" t="s">
        <v>144</v>
      </c>
      <c r="T1706" s="2">
        <f>MASTER[[#This Row],[CANTIDAD]]*MASTER[[#This Row],[PRECIO DE VENTA]]</f>
        <v>1026</v>
      </c>
      <c r="U1706" s="2">
        <f>MASTER[[#This Row],[CANTIDAD]]*MASTER[[#This Row],[COSTO UNITARIO]]</f>
        <v>424</v>
      </c>
      <c r="V1706" s="2">
        <f>MASTER[[#This Row],[MONTO VENDIDO]]-MASTER[[#This Row],[COSTO DE VENTA]]</f>
        <v>602</v>
      </c>
    </row>
    <row r="1707" spans="1:22" x14ac:dyDescent="0.3">
      <c r="A1707">
        <v>31575</v>
      </c>
      <c r="B1707">
        <v>1</v>
      </c>
      <c r="C1707" t="s">
        <v>5</v>
      </c>
      <c r="D1707" t="s">
        <v>6</v>
      </c>
      <c r="E1707" s="1">
        <v>44038</v>
      </c>
      <c r="F1707">
        <v>1</v>
      </c>
      <c r="G1707" t="s">
        <v>33</v>
      </c>
      <c r="H1707" t="s">
        <v>34</v>
      </c>
      <c r="I1707" s="3">
        <v>1507</v>
      </c>
      <c r="J1707" s="3">
        <v>1507</v>
      </c>
      <c r="K1707" s="3">
        <v>393</v>
      </c>
      <c r="L1707" t="s">
        <v>9</v>
      </c>
      <c r="M1707">
        <v>19</v>
      </c>
      <c r="N1707" t="s">
        <v>89</v>
      </c>
      <c r="O1707" t="s">
        <v>81</v>
      </c>
      <c r="P1707" t="s">
        <v>15</v>
      </c>
      <c r="Q1707" t="s">
        <v>16</v>
      </c>
      <c r="R1707" t="s">
        <v>16</v>
      </c>
      <c r="S1707" t="s">
        <v>144</v>
      </c>
      <c r="T1707" s="2">
        <f>MASTER[[#This Row],[CANTIDAD]]*MASTER[[#This Row],[PRECIO DE VENTA]]</f>
        <v>1507</v>
      </c>
      <c r="U1707" s="2">
        <f>MASTER[[#This Row],[CANTIDAD]]*MASTER[[#This Row],[COSTO UNITARIO]]</f>
        <v>393</v>
      </c>
      <c r="V1707" s="2">
        <f>MASTER[[#This Row],[MONTO VENDIDO]]-MASTER[[#This Row],[COSTO DE VENTA]]</f>
        <v>1114</v>
      </c>
    </row>
    <row r="1708" spans="1:22" x14ac:dyDescent="0.3">
      <c r="A1708">
        <v>31578</v>
      </c>
      <c r="B1708">
        <v>1</v>
      </c>
      <c r="C1708" t="s">
        <v>90</v>
      </c>
      <c r="D1708" t="s">
        <v>91</v>
      </c>
      <c r="E1708" s="1">
        <v>44039</v>
      </c>
      <c r="F1708">
        <v>1</v>
      </c>
      <c r="G1708" t="s">
        <v>51</v>
      </c>
      <c r="H1708" t="s">
        <v>52</v>
      </c>
      <c r="I1708" s="3">
        <v>1844</v>
      </c>
      <c r="J1708" s="3">
        <v>1714</v>
      </c>
      <c r="K1708" s="3">
        <v>420</v>
      </c>
      <c r="L1708" t="s">
        <v>9</v>
      </c>
      <c r="M1708">
        <v>19</v>
      </c>
      <c r="N1708" t="s">
        <v>89</v>
      </c>
      <c r="O1708" t="s">
        <v>81</v>
      </c>
      <c r="P1708" t="s">
        <v>15</v>
      </c>
      <c r="Q1708" t="s">
        <v>16</v>
      </c>
      <c r="R1708" t="s">
        <v>16</v>
      </c>
      <c r="S1708" t="s">
        <v>144</v>
      </c>
      <c r="T1708" s="2">
        <f>MASTER[[#This Row],[CANTIDAD]]*MASTER[[#This Row],[PRECIO DE VENTA]]</f>
        <v>1714</v>
      </c>
      <c r="U1708" s="2">
        <f>MASTER[[#This Row],[CANTIDAD]]*MASTER[[#This Row],[COSTO UNITARIO]]</f>
        <v>420</v>
      </c>
      <c r="V1708" s="2">
        <f>MASTER[[#This Row],[MONTO VENDIDO]]-MASTER[[#This Row],[COSTO DE VENTA]]</f>
        <v>1294</v>
      </c>
    </row>
    <row r="1709" spans="1:22" x14ac:dyDescent="0.3">
      <c r="A1709">
        <v>31582</v>
      </c>
      <c r="B1709">
        <v>1</v>
      </c>
      <c r="C1709" t="s">
        <v>92</v>
      </c>
      <c r="D1709" t="s">
        <v>93</v>
      </c>
      <c r="E1709" s="1">
        <v>44039</v>
      </c>
      <c r="F1709">
        <v>1</v>
      </c>
      <c r="G1709" t="s">
        <v>63</v>
      </c>
      <c r="H1709" t="s">
        <v>64</v>
      </c>
      <c r="I1709" s="3">
        <v>1681</v>
      </c>
      <c r="J1709" s="3">
        <v>1681</v>
      </c>
      <c r="K1709" s="3">
        <v>396</v>
      </c>
      <c r="L1709" t="s">
        <v>9</v>
      </c>
      <c r="M1709">
        <v>4</v>
      </c>
      <c r="N1709" t="s">
        <v>82</v>
      </c>
      <c r="O1709" t="s">
        <v>81</v>
      </c>
      <c r="P1709" t="s">
        <v>71</v>
      </c>
      <c r="Q1709" t="s">
        <v>72</v>
      </c>
      <c r="R1709" t="s">
        <v>139</v>
      </c>
      <c r="S1709" t="s">
        <v>144</v>
      </c>
      <c r="T1709" s="2">
        <f>MASTER[[#This Row],[CANTIDAD]]*MASTER[[#This Row],[PRECIO DE VENTA]]</f>
        <v>1681</v>
      </c>
      <c r="U1709" s="2">
        <f>MASTER[[#This Row],[CANTIDAD]]*MASTER[[#This Row],[COSTO UNITARIO]]</f>
        <v>396</v>
      </c>
      <c r="V1709" s="2">
        <f>MASTER[[#This Row],[MONTO VENDIDO]]-MASTER[[#This Row],[COSTO DE VENTA]]</f>
        <v>1285</v>
      </c>
    </row>
    <row r="1710" spans="1:22" x14ac:dyDescent="0.3">
      <c r="A1710">
        <v>31587</v>
      </c>
      <c r="B1710">
        <v>1</v>
      </c>
      <c r="C1710" t="s">
        <v>99</v>
      </c>
      <c r="D1710" t="s">
        <v>100</v>
      </c>
      <c r="E1710" s="1">
        <v>44039</v>
      </c>
      <c r="F1710">
        <v>1</v>
      </c>
      <c r="G1710" t="s">
        <v>59</v>
      </c>
      <c r="H1710" t="s">
        <v>60</v>
      </c>
      <c r="I1710" s="3">
        <v>1328</v>
      </c>
      <c r="J1710" s="3">
        <v>1328</v>
      </c>
      <c r="K1710" s="3">
        <v>386</v>
      </c>
      <c r="L1710" t="s">
        <v>98</v>
      </c>
      <c r="M1710">
        <v>16</v>
      </c>
      <c r="N1710" t="s">
        <v>17</v>
      </c>
      <c r="O1710" t="s">
        <v>11</v>
      </c>
      <c r="P1710" t="s">
        <v>18</v>
      </c>
      <c r="Q1710" t="s">
        <v>19</v>
      </c>
      <c r="R1710" t="s">
        <v>138</v>
      </c>
      <c r="S1710" t="s">
        <v>144</v>
      </c>
      <c r="T1710" s="2">
        <f>MASTER[[#This Row],[CANTIDAD]]*MASTER[[#This Row],[PRECIO DE VENTA]]</f>
        <v>1328</v>
      </c>
      <c r="U1710" s="2">
        <f>MASTER[[#This Row],[CANTIDAD]]*MASTER[[#This Row],[COSTO UNITARIO]]</f>
        <v>386</v>
      </c>
      <c r="V1710" s="2">
        <f>MASTER[[#This Row],[MONTO VENDIDO]]-MASTER[[#This Row],[COSTO DE VENTA]]</f>
        <v>942</v>
      </c>
    </row>
    <row r="1711" spans="1:22" x14ac:dyDescent="0.3">
      <c r="A1711">
        <v>31663</v>
      </c>
      <c r="B1711">
        <v>1</v>
      </c>
      <c r="C1711" t="s">
        <v>94</v>
      </c>
      <c r="D1711" t="s">
        <v>95</v>
      </c>
      <c r="E1711" s="1">
        <v>44039</v>
      </c>
      <c r="F1711">
        <v>1</v>
      </c>
      <c r="G1711" t="s">
        <v>53</v>
      </c>
      <c r="H1711" t="s">
        <v>54</v>
      </c>
      <c r="I1711" s="3">
        <v>1153</v>
      </c>
      <c r="J1711" s="3">
        <v>1153</v>
      </c>
      <c r="K1711" s="3">
        <v>392</v>
      </c>
      <c r="L1711" t="s">
        <v>9</v>
      </c>
      <c r="M1711">
        <v>3</v>
      </c>
      <c r="N1711" t="s">
        <v>69</v>
      </c>
      <c r="O1711" t="s">
        <v>70</v>
      </c>
      <c r="P1711" t="s">
        <v>71</v>
      </c>
      <c r="Q1711" t="s">
        <v>72</v>
      </c>
      <c r="R1711" t="s">
        <v>139</v>
      </c>
      <c r="S1711" t="s">
        <v>144</v>
      </c>
      <c r="T1711" s="2">
        <f>MASTER[[#This Row],[CANTIDAD]]*MASTER[[#This Row],[PRECIO DE VENTA]]</f>
        <v>1153</v>
      </c>
      <c r="U1711" s="2">
        <f>MASTER[[#This Row],[CANTIDAD]]*MASTER[[#This Row],[COSTO UNITARIO]]</f>
        <v>392</v>
      </c>
      <c r="V1711" s="2">
        <f>MASTER[[#This Row],[MONTO VENDIDO]]-MASTER[[#This Row],[COSTO DE VENTA]]</f>
        <v>761</v>
      </c>
    </row>
    <row r="1712" spans="1:22" x14ac:dyDescent="0.3">
      <c r="A1712">
        <v>31686</v>
      </c>
      <c r="B1712">
        <v>1</v>
      </c>
      <c r="C1712" t="s">
        <v>103</v>
      </c>
      <c r="D1712" t="s">
        <v>104</v>
      </c>
      <c r="E1712" s="1">
        <v>44039</v>
      </c>
      <c r="F1712">
        <v>1</v>
      </c>
      <c r="G1712" t="s">
        <v>7</v>
      </c>
      <c r="H1712" t="s">
        <v>8</v>
      </c>
      <c r="I1712" s="3">
        <v>1591</v>
      </c>
      <c r="J1712" s="3">
        <v>1591</v>
      </c>
      <c r="K1712" s="3">
        <v>421</v>
      </c>
      <c r="L1712" t="s">
        <v>98</v>
      </c>
      <c r="M1712">
        <v>10</v>
      </c>
      <c r="N1712" t="s">
        <v>83</v>
      </c>
      <c r="O1712" t="s">
        <v>81</v>
      </c>
      <c r="P1712" t="s">
        <v>12</v>
      </c>
      <c r="Q1712" t="s">
        <v>13</v>
      </c>
      <c r="R1712" t="s">
        <v>13</v>
      </c>
      <c r="S1712" t="s">
        <v>144</v>
      </c>
      <c r="T1712" s="2">
        <f>MASTER[[#This Row],[CANTIDAD]]*MASTER[[#This Row],[PRECIO DE VENTA]]</f>
        <v>1591</v>
      </c>
      <c r="U1712" s="2">
        <f>MASTER[[#This Row],[CANTIDAD]]*MASTER[[#This Row],[COSTO UNITARIO]]</f>
        <v>421</v>
      </c>
      <c r="V1712" s="2">
        <f>MASTER[[#This Row],[MONTO VENDIDO]]-MASTER[[#This Row],[COSTO DE VENTA]]</f>
        <v>1170</v>
      </c>
    </row>
    <row r="1713" spans="1:22" x14ac:dyDescent="0.3">
      <c r="A1713">
        <v>31687</v>
      </c>
      <c r="B1713">
        <v>1</v>
      </c>
      <c r="C1713" t="s">
        <v>107</v>
      </c>
      <c r="D1713" t="s">
        <v>108</v>
      </c>
      <c r="E1713" s="1">
        <v>44039</v>
      </c>
      <c r="F1713">
        <v>1</v>
      </c>
      <c r="G1713" t="s">
        <v>29</v>
      </c>
      <c r="H1713" t="s">
        <v>30</v>
      </c>
      <c r="I1713" s="3">
        <v>1440</v>
      </c>
      <c r="J1713" s="3">
        <v>1440</v>
      </c>
      <c r="K1713" s="3">
        <v>380</v>
      </c>
      <c r="L1713" t="s">
        <v>98</v>
      </c>
      <c r="M1713">
        <v>18</v>
      </c>
      <c r="N1713" t="s">
        <v>79</v>
      </c>
      <c r="O1713" t="s">
        <v>70</v>
      </c>
      <c r="P1713" t="s">
        <v>15</v>
      </c>
      <c r="Q1713" t="s">
        <v>16</v>
      </c>
      <c r="R1713" t="s">
        <v>16</v>
      </c>
      <c r="S1713" t="s">
        <v>144</v>
      </c>
      <c r="T1713" s="2">
        <f>MASTER[[#This Row],[CANTIDAD]]*MASTER[[#This Row],[PRECIO DE VENTA]]</f>
        <v>1440</v>
      </c>
      <c r="U1713" s="2">
        <f>MASTER[[#This Row],[CANTIDAD]]*MASTER[[#This Row],[COSTO UNITARIO]]</f>
        <v>380</v>
      </c>
      <c r="V1713" s="2">
        <f>MASTER[[#This Row],[MONTO VENDIDO]]-MASTER[[#This Row],[COSTO DE VENTA]]</f>
        <v>1060</v>
      </c>
    </row>
    <row r="1714" spans="1:22" x14ac:dyDescent="0.3">
      <c r="A1714">
        <v>31691</v>
      </c>
      <c r="B1714">
        <v>1</v>
      </c>
      <c r="C1714" t="s">
        <v>99</v>
      </c>
      <c r="D1714" t="s">
        <v>100</v>
      </c>
      <c r="E1714" s="1">
        <v>44039</v>
      </c>
      <c r="F1714">
        <v>1</v>
      </c>
      <c r="G1714" t="s">
        <v>24</v>
      </c>
      <c r="H1714" t="s">
        <v>25</v>
      </c>
      <c r="I1714" s="3">
        <v>1459</v>
      </c>
      <c r="J1714" s="3">
        <v>1386</v>
      </c>
      <c r="K1714" s="3">
        <v>386</v>
      </c>
      <c r="L1714" t="s">
        <v>98</v>
      </c>
      <c r="M1714">
        <v>10</v>
      </c>
      <c r="N1714" t="s">
        <v>83</v>
      </c>
      <c r="O1714" t="s">
        <v>81</v>
      </c>
      <c r="P1714" t="s">
        <v>12</v>
      </c>
      <c r="Q1714" t="s">
        <v>13</v>
      </c>
      <c r="R1714" t="s">
        <v>13</v>
      </c>
      <c r="S1714" t="s">
        <v>144</v>
      </c>
      <c r="T1714" s="2">
        <f>MASTER[[#This Row],[CANTIDAD]]*MASTER[[#This Row],[PRECIO DE VENTA]]</f>
        <v>1386</v>
      </c>
      <c r="U1714" s="2">
        <f>MASTER[[#This Row],[CANTIDAD]]*MASTER[[#This Row],[COSTO UNITARIO]]</f>
        <v>386</v>
      </c>
      <c r="V1714" s="2">
        <f>MASTER[[#This Row],[MONTO VENDIDO]]-MASTER[[#This Row],[COSTO DE VENTA]]</f>
        <v>1000</v>
      </c>
    </row>
    <row r="1715" spans="1:22" x14ac:dyDescent="0.3">
      <c r="A1715">
        <v>31701</v>
      </c>
      <c r="B1715">
        <v>1</v>
      </c>
      <c r="C1715" t="s">
        <v>116</v>
      </c>
      <c r="D1715" t="s">
        <v>117</v>
      </c>
      <c r="E1715" s="1">
        <v>44039</v>
      </c>
      <c r="F1715">
        <v>1</v>
      </c>
      <c r="G1715" t="s">
        <v>35</v>
      </c>
      <c r="H1715" t="s">
        <v>36</v>
      </c>
      <c r="I1715" s="3">
        <v>1738</v>
      </c>
      <c r="J1715" s="3">
        <v>1738</v>
      </c>
      <c r="K1715" s="3">
        <v>388</v>
      </c>
      <c r="L1715" t="s">
        <v>113</v>
      </c>
      <c r="M1715">
        <v>19</v>
      </c>
      <c r="N1715" t="s">
        <v>89</v>
      </c>
      <c r="O1715" t="s">
        <v>81</v>
      </c>
      <c r="P1715" t="s">
        <v>15</v>
      </c>
      <c r="Q1715" t="s">
        <v>16</v>
      </c>
      <c r="R1715" t="s">
        <v>16</v>
      </c>
      <c r="S1715" t="s">
        <v>144</v>
      </c>
      <c r="T1715" s="2">
        <f>MASTER[[#This Row],[CANTIDAD]]*MASTER[[#This Row],[PRECIO DE VENTA]]</f>
        <v>1738</v>
      </c>
      <c r="U1715" s="2">
        <f>MASTER[[#This Row],[CANTIDAD]]*MASTER[[#This Row],[COSTO UNITARIO]]</f>
        <v>388</v>
      </c>
      <c r="V1715" s="2">
        <f>MASTER[[#This Row],[MONTO VENDIDO]]-MASTER[[#This Row],[COSTO DE VENTA]]</f>
        <v>1350</v>
      </c>
    </row>
    <row r="1716" spans="1:22" x14ac:dyDescent="0.3">
      <c r="A1716">
        <v>31711</v>
      </c>
      <c r="B1716">
        <v>1</v>
      </c>
      <c r="C1716" t="s">
        <v>5</v>
      </c>
      <c r="D1716" t="s">
        <v>6</v>
      </c>
      <c r="E1716" s="1">
        <v>44039</v>
      </c>
      <c r="F1716">
        <v>1</v>
      </c>
      <c r="G1716" t="s">
        <v>47</v>
      </c>
      <c r="H1716" t="s">
        <v>48</v>
      </c>
      <c r="I1716" s="3">
        <v>1296</v>
      </c>
      <c r="J1716" s="3">
        <v>1205</v>
      </c>
      <c r="K1716" s="3">
        <v>393</v>
      </c>
      <c r="L1716" t="s">
        <v>9</v>
      </c>
      <c r="M1716">
        <v>1</v>
      </c>
      <c r="N1716" t="s">
        <v>77</v>
      </c>
      <c r="O1716" t="s">
        <v>70</v>
      </c>
      <c r="P1716" t="s">
        <v>71</v>
      </c>
      <c r="Q1716" t="s">
        <v>72</v>
      </c>
      <c r="R1716" t="s">
        <v>139</v>
      </c>
      <c r="S1716" t="s">
        <v>144</v>
      </c>
      <c r="T1716" s="2">
        <f>MASTER[[#This Row],[CANTIDAD]]*MASTER[[#This Row],[PRECIO DE VENTA]]</f>
        <v>1205</v>
      </c>
      <c r="U1716" s="2">
        <f>MASTER[[#This Row],[CANTIDAD]]*MASTER[[#This Row],[COSTO UNITARIO]]</f>
        <v>393</v>
      </c>
      <c r="V1716" s="2">
        <f>MASTER[[#This Row],[MONTO VENDIDO]]-MASTER[[#This Row],[COSTO DE VENTA]]</f>
        <v>812</v>
      </c>
    </row>
    <row r="1717" spans="1:22" x14ac:dyDescent="0.3">
      <c r="A1717">
        <v>31724</v>
      </c>
      <c r="B1717">
        <v>1</v>
      </c>
      <c r="C1717" t="s">
        <v>5</v>
      </c>
      <c r="D1717" t="s">
        <v>6</v>
      </c>
      <c r="E1717" s="1">
        <v>44039</v>
      </c>
      <c r="F1717">
        <v>1</v>
      </c>
      <c r="G1717" t="s">
        <v>31</v>
      </c>
      <c r="H1717" t="s">
        <v>32</v>
      </c>
      <c r="I1717" s="3">
        <v>1507</v>
      </c>
      <c r="J1717" s="3">
        <v>1507</v>
      </c>
      <c r="K1717" s="3">
        <v>393</v>
      </c>
      <c r="L1717" t="s">
        <v>9</v>
      </c>
      <c r="M1717">
        <v>4</v>
      </c>
      <c r="N1717" t="s">
        <v>82</v>
      </c>
      <c r="O1717" t="s">
        <v>81</v>
      </c>
      <c r="P1717" t="s">
        <v>71</v>
      </c>
      <c r="Q1717" t="s">
        <v>72</v>
      </c>
      <c r="R1717" t="s">
        <v>139</v>
      </c>
      <c r="S1717" t="s">
        <v>144</v>
      </c>
      <c r="T1717" s="2">
        <f>MASTER[[#This Row],[CANTIDAD]]*MASTER[[#This Row],[PRECIO DE VENTA]]</f>
        <v>1507</v>
      </c>
      <c r="U1717" s="2">
        <f>MASTER[[#This Row],[CANTIDAD]]*MASTER[[#This Row],[COSTO UNITARIO]]</f>
        <v>393</v>
      </c>
      <c r="V1717" s="2">
        <f>MASTER[[#This Row],[MONTO VENDIDO]]-MASTER[[#This Row],[COSTO DE VENTA]]</f>
        <v>1114</v>
      </c>
    </row>
    <row r="1718" spans="1:22" x14ac:dyDescent="0.3">
      <c r="A1718">
        <v>31726</v>
      </c>
      <c r="B1718">
        <v>1</v>
      </c>
      <c r="C1718" t="s">
        <v>94</v>
      </c>
      <c r="D1718" t="s">
        <v>95</v>
      </c>
      <c r="E1718" s="1">
        <v>44040</v>
      </c>
      <c r="F1718">
        <v>1</v>
      </c>
      <c r="G1718" t="s">
        <v>47</v>
      </c>
      <c r="H1718" t="s">
        <v>48</v>
      </c>
      <c r="I1718" s="3">
        <v>1153</v>
      </c>
      <c r="J1718" s="3">
        <v>1153</v>
      </c>
      <c r="K1718" s="3">
        <v>392</v>
      </c>
      <c r="L1718" t="s">
        <v>9</v>
      </c>
      <c r="M1718">
        <v>3</v>
      </c>
      <c r="N1718" t="s">
        <v>69</v>
      </c>
      <c r="O1718" t="s">
        <v>70</v>
      </c>
      <c r="P1718" t="s">
        <v>71</v>
      </c>
      <c r="Q1718" t="s">
        <v>72</v>
      </c>
      <c r="R1718" t="s">
        <v>139</v>
      </c>
      <c r="S1718" t="s">
        <v>144</v>
      </c>
      <c r="T1718" s="2">
        <f>MASTER[[#This Row],[CANTIDAD]]*MASTER[[#This Row],[PRECIO DE VENTA]]</f>
        <v>1153</v>
      </c>
      <c r="U1718" s="2">
        <f>MASTER[[#This Row],[CANTIDAD]]*MASTER[[#This Row],[COSTO UNITARIO]]</f>
        <v>392</v>
      </c>
      <c r="V1718" s="2">
        <f>MASTER[[#This Row],[MONTO VENDIDO]]-MASTER[[#This Row],[COSTO DE VENTA]]</f>
        <v>761</v>
      </c>
    </row>
    <row r="1719" spans="1:22" x14ac:dyDescent="0.3">
      <c r="A1719">
        <v>31732</v>
      </c>
      <c r="B1719">
        <v>1</v>
      </c>
      <c r="C1719" t="s">
        <v>94</v>
      </c>
      <c r="D1719" t="s">
        <v>95</v>
      </c>
      <c r="E1719" s="1">
        <v>44040</v>
      </c>
      <c r="F1719">
        <v>1</v>
      </c>
      <c r="G1719" t="s">
        <v>45</v>
      </c>
      <c r="H1719" t="s">
        <v>46</v>
      </c>
      <c r="I1719" s="3">
        <v>901</v>
      </c>
      <c r="J1719" s="3">
        <v>901</v>
      </c>
      <c r="K1719" s="3">
        <v>392</v>
      </c>
      <c r="L1719" t="s">
        <v>9</v>
      </c>
      <c r="M1719">
        <v>17</v>
      </c>
      <c r="N1719" t="s">
        <v>14</v>
      </c>
      <c r="O1719" t="s">
        <v>11</v>
      </c>
      <c r="P1719" t="s">
        <v>15</v>
      </c>
      <c r="Q1719" t="s">
        <v>16</v>
      </c>
      <c r="R1719" t="s">
        <v>16</v>
      </c>
      <c r="S1719" t="s">
        <v>144</v>
      </c>
      <c r="T1719" s="2">
        <f>MASTER[[#This Row],[CANTIDAD]]*MASTER[[#This Row],[PRECIO DE VENTA]]</f>
        <v>901</v>
      </c>
      <c r="U1719" s="2">
        <f>MASTER[[#This Row],[CANTIDAD]]*MASTER[[#This Row],[COSTO UNITARIO]]</f>
        <v>392</v>
      </c>
      <c r="V1719" s="2">
        <f>MASTER[[#This Row],[MONTO VENDIDO]]-MASTER[[#This Row],[COSTO DE VENTA]]</f>
        <v>509</v>
      </c>
    </row>
    <row r="1720" spans="1:22" x14ac:dyDescent="0.3">
      <c r="A1720">
        <v>31770</v>
      </c>
      <c r="B1720">
        <v>1</v>
      </c>
      <c r="C1720" t="s">
        <v>111</v>
      </c>
      <c r="D1720" t="s">
        <v>112</v>
      </c>
      <c r="E1720" s="1">
        <v>44040</v>
      </c>
      <c r="F1720">
        <v>1</v>
      </c>
      <c r="G1720" t="s">
        <v>61</v>
      </c>
      <c r="H1720" t="s">
        <v>62</v>
      </c>
      <c r="I1720" s="3">
        <v>1621</v>
      </c>
      <c r="J1720" s="3">
        <v>1621</v>
      </c>
      <c r="K1720" s="3">
        <v>434</v>
      </c>
      <c r="L1720" t="s">
        <v>113</v>
      </c>
      <c r="M1720">
        <v>5</v>
      </c>
      <c r="N1720" t="s">
        <v>85</v>
      </c>
      <c r="O1720" t="s">
        <v>81</v>
      </c>
      <c r="P1720" t="s">
        <v>12</v>
      </c>
      <c r="Q1720" t="s">
        <v>13</v>
      </c>
      <c r="R1720" t="s">
        <v>13</v>
      </c>
      <c r="S1720" t="s">
        <v>144</v>
      </c>
      <c r="T1720" s="2">
        <f>MASTER[[#This Row],[CANTIDAD]]*MASTER[[#This Row],[PRECIO DE VENTA]]</f>
        <v>1621</v>
      </c>
      <c r="U1720" s="2">
        <f>MASTER[[#This Row],[CANTIDAD]]*MASTER[[#This Row],[COSTO UNITARIO]]</f>
        <v>434</v>
      </c>
      <c r="V1720" s="2">
        <f>MASTER[[#This Row],[MONTO VENDIDO]]-MASTER[[#This Row],[COSTO DE VENTA]]</f>
        <v>1187</v>
      </c>
    </row>
    <row r="1721" spans="1:22" x14ac:dyDescent="0.3">
      <c r="A1721">
        <v>31801</v>
      </c>
      <c r="B1721">
        <v>1</v>
      </c>
      <c r="C1721" t="s">
        <v>118</v>
      </c>
      <c r="D1721" t="s">
        <v>119</v>
      </c>
      <c r="E1721" s="1">
        <v>44040</v>
      </c>
      <c r="F1721">
        <v>1</v>
      </c>
      <c r="G1721" t="s">
        <v>41</v>
      </c>
      <c r="H1721" t="s">
        <v>42</v>
      </c>
      <c r="I1721" s="3">
        <v>801</v>
      </c>
      <c r="J1721" s="3">
        <v>801</v>
      </c>
      <c r="K1721" s="3">
        <v>424</v>
      </c>
      <c r="L1721" t="s">
        <v>120</v>
      </c>
      <c r="M1721">
        <v>16</v>
      </c>
      <c r="N1721" t="s">
        <v>17</v>
      </c>
      <c r="O1721" t="s">
        <v>11</v>
      </c>
      <c r="P1721" t="s">
        <v>18</v>
      </c>
      <c r="Q1721" t="s">
        <v>19</v>
      </c>
      <c r="R1721" t="s">
        <v>138</v>
      </c>
      <c r="S1721" t="s">
        <v>144</v>
      </c>
      <c r="T1721" s="2">
        <f>MASTER[[#This Row],[CANTIDAD]]*MASTER[[#This Row],[PRECIO DE VENTA]]</f>
        <v>801</v>
      </c>
      <c r="U1721" s="2">
        <f>MASTER[[#This Row],[CANTIDAD]]*MASTER[[#This Row],[COSTO UNITARIO]]</f>
        <v>424</v>
      </c>
      <c r="V1721" s="2">
        <f>MASTER[[#This Row],[MONTO VENDIDO]]-MASTER[[#This Row],[COSTO DE VENTA]]</f>
        <v>377</v>
      </c>
    </row>
    <row r="1722" spans="1:22" x14ac:dyDescent="0.3">
      <c r="A1722">
        <v>31828</v>
      </c>
      <c r="B1722">
        <v>1</v>
      </c>
      <c r="C1722" t="s">
        <v>92</v>
      </c>
      <c r="D1722" t="s">
        <v>93</v>
      </c>
      <c r="E1722" s="1">
        <v>44040</v>
      </c>
      <c r="F1722">
        <v>1</v>
      </c>
      <c r="G1722" t="s">
        <v>20</v>
      </c>
      <c r="H1722" t="s">
        <v>21</v>
      </c>
      <c r="I1722" s="3">
        <v>1866</v>
      </c>
      <c r="J1722" s="3">
        <v>1772</v>
      </c>
      <c r="K1722" s="3">
        <v>396</v>
      </c>
      <c r="L1722" t="s">
        <v>9</v>
      </c>
      <c r="M1722">
        <v>18</v>
      </c>
      <c r="N1722" t="s">
        <v>79</v>
      </c>
      <c r="O1722" t="s">
        <v>70</v>
      </c>
      <c r="P1722" t="s">
        <v>15</v>
      </c>
      <c r="Q1722" t="s">
        <v>16</v>
      </c>
      <c r="R1722" t="s">
        <v>16</v>
      </c>
      <c r="S1722" t="s">
        <v>144</v>
      </c>
      <c r="T1722" s="2">
        <f>MASTER[[#This Row],[CANTIDAD]]*MASTER[[#This Row],[PRECIO DE VENTA]]</f>
        <v>1772</v>
      </c>
      <c r="U1722" s="2">
        <f>MASTER[[#This Row],[CANTIDAD]]*MASTER[[#This Row],[COSTO UNITARIO]]</f>
        <v>396</v>
      </c>
      <c r="V1722" s="2">
        <f>MASTER[[#This Row],[MONTO VENDIDO]]-MASTER[[#This Row],[COSTO DE VENTA]]</f>
        <v>1376</v>
      </c>
    </row>
    <row r="1723" spans="1:22" x14ac:dyDescent="0.3">
      <c r="A1723">
        <v>31834</v>
      </c>
      <c r="B1723">
        <v>1</v>
      </c>
      <c r="C1723" t="s">
        <v>99</v>
      </c>
      <c r="D1723" t="s">
        <v>100</v>
      </c>
      <c r="E1723" s="1">
        <v>44040</v>
      </c>
      <c r="F1723">
        <v>2</v>
      </c>
      <c r="G1723" t="s">
        <v>35</v>
      </c>
      <c r="H1723" t="s">
        <v>36</v>
      </c>
      <c r="I1723" s="3">
        <v>1328</v>
      </c>
      <c r="J1723" s="3">
        <v>1328</v>
      </c>
      <c r="K1723" s="3">
        <v>386</v>
      </c>
      <c r="L1723" t="s">
        <v>98</v>
      </c>
      <c r="M1723">
        <v>17</v>
      </c>
      <c r="N1723" t="s">
        <v>14</v>
      </c>
      <c r="O1723" t="s">
        <v>11</v>
      </c>
      <c r="P1723" t="s">
        <v>15</v>
      </c>
      <c r="Q1723" t="s">
        <v>16</v>
      </c>
      <c r="R1723" t="s">
        <v>16</v>
      </c>
      <c r="S1723" t="s">
        <v>144</v>
      </c>
      <c r="T1723" s="2">
        <f>MASTER[[#This Row],[CANTIDAD]]*MASTER[[#This Row],[PRECIO DE VENTA]]</f>
        <v>2656</v>
      </c>
      <c r="U1723" s="2">
        <f>MASTER[[#This Row],[CANTIDAD]]*MASTER[[#This Row],[COSTO UNITARIO]]</f>
        <v>772</v>
      </c>
      <c r="V1723" s="2">
        <f>MASTER[[#This Row],[MONTO VENDIDO]]-MASTER[[#This Row],[COSTO DE VENTA]]</f>
        <v>1884</v>
      </c>
    </row>
    <row r="1724" spans="1:22" x14ac:dyDescent="0.3">
      <c r="A1724">
        <v>31840</v>
      </c>
      <c r="B1724">
        <v>1</v>
      </c>
      <c r="C1724" t="s">
        <v>116</v>
      </c>
      <c r="D1724" t="s">
        <v>117</v>
      </c>
      <c r="E1724" s="1">
        <v>44040</v>
      </c>
      <c r="F1724">
        <v>4</v>
      </c>
      <c r="G1724" t="s">
        <v>59</v>
      </c>
      <c r="H1724" t="s">
        <v>60</v>
      </c>
      <c r="I1724" s="3">
        <v>1999</v>
      </c>
      <c r="J1724" s="3">
        <v>1999</v>
      </c>
      <c r="K1724" s="3">
        <v>388</v>
      </c>
      <c r="L1724" t="s">
        <v>113</v>
      </c>
      <c r="M1724">
        <v>13</v>
      </c>
      <c r="N1724" t="s">
        <v>78</v>
      </c>
      <c r="O1724" t="s">
        <v>70</v>
      </c>
      <c r="P1724" t="s">
        <v>18</v>
      </c>
      <c r="Q1724" t="s">
        <v>19</v>
      </c>
      <c r="R1724" t="s">
        <v>138</v>
      </c>
      <c r="S1724" t="s">
        <v>144</v>
      </c>
      <c r="T1724" s="2">
        <f>MASTER[[#This Row],[CANTIDAD]]*MASTER[[#This Row],[PRECIO DE VENTA]]</f>
        <v>7996</v>
      </c>
      <c r="U1724" s="2">
        <f>MASTER[[#This Row],[CANTIDAD]]*MASTER[[#This Row],[COSTO UNITARIO]]</f>
        <v>1552</v>
      </c>
      <c r="V1724" s="2">
        <f>MASTER[[#This Row],[MONTO VENDIDO]]-MASTER[[#This Row],[COSTO DE VENTA]]</f>
        <v>6444</v>
      </c>
    </row>
    <row r="1725" spans="1:22" x14ac:dyDescent="0.3">
      <c r="A1725">
        <v>31850</v>
      </c>
      <c r="B1725">
        <v>1</v>
      </c>
      <c r="C1725" t="s">
        <v>5</v>
      </c>
      <c r="D1725" t="s">
        <v>6</v>
      </c>
      <c r="E1725" s="1">
        <v>44040</v>
      </c>
      <c r="F1725">
        <v>1</v>
      </c>
      <c r="G1725" t="s">
        <v>57</v>
      </c>
      <c r="H1725" t="s">
        <v>58</v>
      </c>
      <c r="I1725" s="3">
        <v>1507</v>
      </c>
      <c r="J1725" s="3">
        <v>1507</v>
      </c>
      <c r="K1725" s="3">
        <v>393</v>
      </c>
      <c r="L1725" t="s">
        <v>9</v>
      </c>
      <c r="M1725">
        <v>7</v>
      </c>
      <c r="N1725" t="s">
        <v>84</v>
      </c>
      <c r="O1725" t="s">
        <v>81</v>
      </c>
      <c r="P1725" t="s">
        <v>12</v>
      </c>
      <c r="Q1725" t="s">
        <v>13</v>
      </c>
      <c r="R1725" t="s">
        <v>13</v>
      </c>
      <c r="S1725" t="s">
        <v>144</v>
      </c>
      <c r="T1725" s="2">
        <f>MASTER[[#This Row],[CANTIDAD]]*MASTER[[#This Row],[PRECIO DE VENTA]]</f>
        <v>1507</v>
      </c>
      <c r="U1725" s="2">
        <f>MASTER[[#This Row],[CANTIDAD]]*MASTER[[#This Row],[COSTO UNITARIO]]</f>
        <v>393</v>
      </c>
      <c r="V1725" s="2">
        <f>MASTER[[#This Row],[MONTO VENDIDO]]-MASTER[[#This Row],[COSTO DE VENTA]]</f>
        <v>1114</v>
      </c>
    </row>
    <row r="1726" spans="1:22" x14ac:dyDescent="0.3">
      <c r="A1726">
        <v>31860</v>
      </c>
      <c r="B1726">
        <v>1</v>
      </c>
      <c r="C1726" t="s">
        <v>96</v>
      </c>
      <c r="D1726" t="s">
        <v>97</v>
      </c>
      <c r="E1726" s="1">
        <v>44041</v>
      </c>
      <c r="F1726">
        <v>1</v>
      </c>
      <c r="G1726" t="s">
        <v>35</v>
      </c>
      <c r="H1726" t="s">
        <v>36</v>
      </c>
      <c r="I1726" s="3">
        <v>1361</v>
      </c>
      <c r="J1726" s="3">
        <v>1361</v>
      </c>
      <c r="K1726" s="3">
        <v>397</v>
      </c>
      <c r="L1726" t="s">
        <v>98</v>
      </c>
      <c r="M1726">
        <v>18</v>
      </c>
      <c r="N1726" t="s">
        <v>79</v>
      </c>
      <c r="O1726" t="s">
        <v>70</v>
      </c>
      <c r="P1726" t="s">
        <v>15</v>
      </c>
      <c r="Q1726" t="s">
        <v>16</v>
      </c>
      <c r="R1726" t="s">
        <v>16</v>
      </c>
      <c r="S1726" t="s">
        <v>144</v>
      </c>
      <c r="T1726" s="2">
        <f>MASTER[[#This Row],[CANTIDAD]]*MASTER[[#This Row],[PRECIO DE VENTA]]</f>
        <v>1361</v>
      </c>
      <c r="U1726" s="2">
        <f>MASTER[[#This Row],[CANTIDAD]]*MASTER[[#This Row],[COSTO UNITARIO]]</f>
        <v>397</v>
      </c>
      <c r="V1726" s="2">
        <f>MASTER[[#This Row],[MONTO VENDIDO]]-MASTER[[#This Row],[COSTO DE VENTA]]</f>
        <v>964</v>
      </c>
    </row>
    <row r="1727" spans="1:22" x14ac:dyDescent="0.3">
      <c r="A1727">
        <v>31866</v>
      </c>
      <c r="B1727">
        <v>1</v>
      </c>
      <c r="C1727" t="s">
        <v>107</v>
      </c>
      <c r="D1727" t="s">
        <v>108</v>
      </c>
      <c r="E1727" s="1">
        <v>44041</v>
      </c>
      <c r="F1727">
        <v>1</v>
      </c>
      <c r="G1727" t="s">
        <v>33</v>
      </c>
      <c r="H1727" t="s">
        <v>34</v>
      </c>
      <c r="I1727" s="3">
        <v>1440</v>
      </c>
      <c r="J1727" s="3">
        <v>1440</v>
      </c>
      <c r="K1727" s="3">
        <v>380</v>
      </c>
      <c r="L1727" t="s">
        <v>98</v>
      </c>
      <c r="M1727">
        <v>3</v>
      </c>
      <c r="N1727" t="s">
        <v>69</v>
      </c>
      <c r="O1727" t="s">
        <v>70</v>
      </c>
      <c r="P1727" t="s">
        <v>71</v>
      </c>
      <c r="Q1727" t="s">
        <v>72</v>
      </c>
      <c r="R1727" t="s">
        <v>139</v>
      </c>
      <c r="S1727" t="s">
        <v>144</v>
      </c>
      <c r="T1727" s="2">
        <f>MASTER[[#This Row],[CANTIDAD]]*MASTER[[#This Row],[PRECIO DE VENTA]]</f>
        <v>1440</v>
      </c>
      <c r="U1727" s="2">
        <f>MASTER[[#This Row],[CANTIDAD]]*MASTER[[#This Row],[COSTO UNITARIO]]</f>
        <v>380</v>
      </c>
      <c r="V1727" s="2">
        <f>MASTER[[#This Row],[MONTO VENDIDO]]-MASTER[[#This Row],[COSTO DE VENTA]]</f>
        <v>1060</v>
      </c>
    </row>
    <row r="1728" spans="1:22" x14ac:dyDescent="0.3">
      <c r="A1728">
        <v>31868</v>
      </c>
      <c r="B1728">
        <v>1</v>
      </c>
      <c r="C1728" t="s">
        <v>92</v>
      </c>
      <c r="D1728" t="s">
        <v>93</v>
      </c>
      <c r="E1728" s="1">
        <v>44041</v>
      </c>
      <c r="F1728">
        <v>1</v>
      </c>
      <c r="G1728" t="s">
        <v>49</v>
      </c>
      <c r="H1728" t="s">
        <v>50</v>
      </c>
      <c r="I1728" s="3">
        <v>1866</v>
      </c>
      <c r="J1728" s="3">
        <v>1866</v>
      </c>
      <c r="K1728" s="3">
        <v>396</v>
      </c>
      <c r="L1728" t="s">
        <v>9</v>
      </c>
      <c r="M1728">
        <v>13</v>
      </c>
      <c r="N1728" t="s">
        <v>78</v>
      </c>
      <c r="O1728" t="s">
        <v>70</v>
      </c>
      <c r="P1728" t="s">
        <v>18</v>
      </c>
      <c r="Q1728" t="s">
        <v>19</v>
      </c>
      <c r="R1728" t="s">
        <v>138</v>
      </c>
      <c r="S1728" t="s">
        <v>144</v>
      </c>
      <c r="T1728" s="2">
        <f>MASTER[[#This Row],[CANTIDAD]]*MASTER[[#This Row],[PRECIO DE VENTA]]</f>
        <v>1866</v>
      </c>
      <c r="U1728" s="2">
        <f>MASTER[[#This Row],[CANTIDAD]]*MASTER[[#This Row],[COSTO UNITARIO]]</f>
        <v>396</v>
      </c>
      <c r="V1728" s="2">
        <f>MASTER[[#This Row],[MONTO VENDIDO]]-MASTER[[#This Row],[COSTO DE VENTA]]</f>
        <v>1470</v>
      </c>
    </row>
    <row r="1729" spans="1:22" x14ac:dyDescent="0.3">
      <c r="A1729">
        <v>31875</v>
      </c>
      <c r="B1729">
        <v>1</v>
      </c>
      <c r="C1729" t="s">
        <v>92</v>
      </c>
      <c r="D1729" t="s">
        <v>93</v>
      </c>
      <c r="E1729" s="1">
        <v>44041</v>
      </c>
      <c r="F1729">
        <v>1</v>
      </c>
      <c r="G1729" t="s">
        <v>24</v>
      </c>
      <c r="H1729" t="s">
        <v>25</v>
      </c>
      <c r="I1729" s="3">
        <v>1681</v>
      </c>
      <c r="J1729" s="3">
        <v>1681</v>
      </c>
      <c r="K1729" s="3">
        <v>396</v>
      </c>
      <c r="L1729" t="s">
        <v>9</v>
      </c>
      <c r="M1729">
        <v>7</v>
      </c>
      <c r="N1729" t="s">
        <v>84</v>
      </c>
      <c r="O1729" t="s">
        <v>81</v>
      </c>
      <c r="P1729" t="s">
        <v>12</v>
      </c>
      <c r="Q1729" t="s">
        <v>13</v>
      </c>
      <c r="R1729" t="s">
        <v>13</v>
      </c>
      <c r="S1729" t="s">
        <v>144</v>
      </c>
      <c r="T1729" s="2">
        <f>MASTER[[#This Row],[CANTIDAD]]*MASTER[[#This Row],[PRECIO DE VENTA]]</f>
        <v>1681</v>
      </c>
      <c r="U1729" s="2">
        <f>MASTER[[#This Row],[CANTIDAD]]*MASTER[[#This Row],[COSTO UNITARIO]]</f>
        <v>396</v>
      </c>
      <c r="V1729" s="2">
        <f>MASTER[[#This Row],[MONTO VENDIDO]]-MASTER[[#This Row],[COSTO DE VENTA]]</f>
        <v>1285</v>
      </c>
    </row>
    <row r="1730" spans="1:22" x14ac:dyDescent="0.3">
      <c r="A1730">
        <v>31886</v>
      </c>
      <c r="B1730">
        <v>1</v>
      </c>
      <c r="C1730" t="s">
        <v>92</v>
      </c>
      <c r="D1730" t="s">
        <v>93</v>
      </c>
      <c r="E1730" s="1">
        <v>44041</v>
      </c>
      <c r="F1730">
        <v>1</v>
      </c>
      <c r="G1730" t="s">
        <v>63</v>
      </c>
      <c r="H1730" t="s">
        <v>64</v>
      </c>
      <c r="I1730" s="3">
        <v>1681</v>
      </c>
      <c r="J1730" s="3">
        <v>1681</v>
      </c>
      <c r="K1730" s="3">
        <v>396</v>
      </c>
      <c r="L1730" t="s">
        <v>9</v>
      </c>
      <c r="M1730">
        <v>5</v>
      </c>
      <c r="N1730" t="s">
        <v>85</v>
      </c>
      <c r="O1730" t="s">
        <v>81</v>
      </c>
      <c r="P1730" t="s">
        <v>12</v>
      </c>
      <c r="Q1730" t="s">
        <v>13</v>
      </c>
      <c r="R1730" t="s">
        <v>13</v>
      </c>
      <c r="S1730" t="s">
        <v>144</v>
      </c>
      <c r="T1730" s="2">
        <f>MASTER[[#This Row],[CANTIDAD]]*MASTER[[#This Row],[PRECIO DE VENTA]]</f>
        <v>1681</v>
      </c>
      <c r="U1730" s="2">
        <f>MASTER[[#This Row],[CANTIDAD]]*MASTER[[#This Row],[COSTO UNITARIO]]</f>
        <v>396</v>
      </c>
      <c r="V1730" s="2">
        <f>MASTER[[#This Row],[MONTO VENDIDO]]-MASTER[[#This Row],[COSTO DE VENTA]]</f>
        <v>1285</v>
      </c>
    </row>
    <row r="1731" spans="1:22" x14ac:dyDescent="0.3">
      <c r="A1731">
        <v>31897</v>
      </c>
      <c r="B1731">
        <v>1</v>
      </c>
      <c r="C1731" t="s">
        <v>92</v>
      </c>
      <c r="D1731" t="s">
        <v>93</v>
      </c>
      <c r="E1731" s="1">
        <v>44041</v>
      </c>
      <c r="F1731">
        <v>1</v>
      </c>
      <c r="G1731" t="s">
        <v>7</v>
      </c>
      <c r="H1731" t="s">
        <v>8</v>
      </c>
      <c r="I1731" s="3">
        <v>1866</v>
      </c>
      <c r="J1731" s="3">
        <v>1866</v>
      </c>
      <c r="K1731" s="3">
        <v>396</v>
      </c>
      <c r="L1731" t="s">
        <v>9</v>
      </c>
      <c r="M1731">
        <v>9</v>
      </c>
      <c r="N1731" t="s">
        <v>76</v>
      </c>
      <c r="O1731" t="s">
        <v>70</v>
      </c>
      <c r="P1731" t="s">
        <v>12</v>
      </c>
      <c r="Q1731" t="s">
        <v>13</v>
      </c>
      <c r="R1731" t="s">
        <v>13</v>
      </c>
      <c r="S1731" t="s">
        <v>144</v>
      </c>
      <c r="T1731" s="2">
        <f>MASTER[[#This Row],[CANTIDAD]]*MASTER[[#This Row],[PRECIO DE VENTA]]</f>
        <v>1866</v>
      </c>
      <c r="U1731" s="2">
        <f>MASTER[[#This Row],[CANTIDAD]]*MASTER[[#This Row],[COSTO UNITARIO]]</f>
        <v>396</v>
      </c>
      <c r="V1731" s="2">
        <f>MASTER[[#This Row],[MONTO VENDIDO]]-MASTER[[#This Row],[COSTO DE VENTA]]</f>
        <v>1470</v>
      </c>
    </row>
    <row r="1732" spans="1:22" x14ac:dyDescent="0.3">
      <c r="A1732">
        <v>31904</v>
      </c>
      <c r="B1732">
        <v>1</v>
      </c>
      <c r="C1732" t="s">
        <v>105</v>
      </c>
      <c r="D1732" t="s">
        <v>106</v>
      </c>
      <c r="E1732" s="1">
        <v>44041</v>
      </c>
      <c r="F1732">
        <v>1</v>
      </c>
      <c r="G1732" t="s">
        <v>73</v>
      </c>
      <c r="H1732" t="s">
        <v>74</v>
      </c>
      <c r="I1732" s="3">
        <v>2033</v>
      </c>
      <c r="J1732" s="3">
        <v>2033</v>
      </c>
      <c r="K1732" s="3">
        <v>459</v>
      </c>
      <c r="L1732" t="s">
        <v>98</v>
      </c>
      <c r="M1732">
        <v>1</v>
      </c>
      <c r="N1732" t="s">
        <v>77</v>
      </c>
      <c r="O1732" t="s">
        <v>70</v>
      </c>
      <c r="P1732" t="s">
        <v>71</v>
      </c>
      <c r="Q1732" t="s">
        <v>72</v>
      </c>
      <c r="R1732" t="s">
        <v>139</v>
      </c>
      <c r="S1732" t="s">
        <v>144</v>
      </c>
      <c r="T1732" s="2">
        <f>MASTER[[#This Row],[CANTIDAD]]*MASTER[[#This Row],[PRECIO DE VENTA]]</f>
        <v>2033</v>
      </c>
      <c r="U1732" s="2">
        <f>MASTER[[#This Row],[CANTIDAD]]*MASTER[[#This Row],[COSTO UNITARIO]]</f>
        <v>459</v>
      </c>
      <c r="V1732" s="2">
        <f>MASTER[[#This Row],[MONTO VENDIDO]]-MASTER[[#This Row],[COSTO DE VENTA]]</f>
        <v>1574</v>
      </c>
    </row>
    <row r="1733" spans="1:22" x14ac:dyDescent="0.3">
      <c r="A1733">
        <v>31904</v>
      </c>
      <c r="B1733">
        <v>3</v>
      </c>
      <c r="C1733" t="s">
        <v>114</v>
      </c>
      <c r="D1733" t="s">
        <v>115</v>
      </c>
      <c r="E1733" s="1">
        <v>44041</v>
      </c>
      <c r="F1733">
        <v>1</v>
      </c>
      <c r="G1733" t="s">
        <v>31</v>
      </c>
      <c r="H1733" t="s">
        <v>32</v>
      </c>
      <c r="I1733" s="3">
        <v>2030</v>
      </c>
      <c r="J1733" s="3">
        <v>2030</v>
      </c>
      <c r="K1733" s="3">
        <v>394</v>
      </c>
      <c r="L1733" t="s">
        <v>113</v>
      </c>
      <c r="M1733">
        <v>1</v>
      </c>
      <c r="N1733" t="s">
        <v>77</v>
      </c>
      <c r="O1733" t="s">
        <v>70</v>
      </c>
      <c r="P1733" t="s">
        <v>71</v>
      </c>
      <c r="Q1733" t="s">
        <v>72</v>
      </c>
      <c r="R1733" t="s">
        <v>139</v>
      </c>
      <c r="S1733" t="s">
        <v>144</v>
      </c>
      <c r="T1733" s="2">
        <f>MASTER[[#This Row],[CANTIDAD]]*MASTER[[#This Row],[PRECIO DE VENTA]]</f>
        <v>2030</v>
      </c>
      <c r="U1733" s="2">
        <f>MASTER[[#This Row],[CANTIDAD]]*MASTER[[#This Row],[COSTO UNITARIO]]</f>
        <v>394</v>
      </c>
      <c r="V1733" s="2">
        <f>MASTER[[#This Row],[MONTO VENDIDO]]-MASTER[[#This Row],[COSTO DE VENTA]]</f>
        <v>1636</v>
      </c>
    </row>
    <row r="1734" spans="1:22" x14ac:dyDescent="0.3">
      <c r="A1734">
        <v>31904</v>
      </c>
      <c r="B1734">
        <v>2</v>
      </c>
      <c r="C1734" t="s">
        <v>116</v>
      </c>
      <c r="D1734" t="s">
        <v>117</v>
      </c>
      <c r="E1734" s="1">
        <v>44041</v>
      </c>
      <c r="F1734">
        <v>1</v>
      </c>
      <c r="G1734" t="s">
        <v>61</v>
      </c>
      <c r="H1734" t="s">
        <v>62</v>
      </c>
      <c r="I1734" s="3">
        <v>1999</v>
      </c>
      <c r="J1734" s="3">
        <v>1999</v>
      </c>
      <c r="K1734" s="3">
        <v>388</v>
      </c>
      <c r="L1734" t="s">
        <v>113</v>
      </c>
      <c r="M1734">
        <v>1</v>
      </c>
      <c r="N1734" t="s">
        <v>77</v>
      </c>
      <c r="O1734" t="s">
        <v>70</v>
      </c>
      <c r="P1734" t="s">
        <v>71</v>
      </c>
      <c r="Q1734" t="s">
        <v>72</v>
      </c>
      <c r="R1734" t="s">
        <v>139</v>
      </c>
      <c r="S1734" t="s">
        <v>144</v>
      </c>
      <c r="T1734" s="2">
        <f>MASTER[[#This Row],[CANTIDAD]]*MASTER[[#This Row],[PRECIO DE VENTA]]</f>
        <v>1999</v>
      </c>
      <c r="U1734" s="2">
        <f>MASTER[[#This Row],[CANTIDAD]]*MASTER[[#This Row],[COSTO UNITARIO]]</f>
        <v>388</v>
      </c>
      <c r="V1734" s="2">
        <f>MASTER[[#This Row],[MONTO VENDIDO]]-MASTER[[#This Row],[COSTO DE VENTA]]</f>
        <v>1611</v>
      </c>
    </row>
    <row r="1735" spans="1:22" x14ac:dyDescent="0.3">
      <c r="A1735">
        <v>31922</v>
      </c>
      <c r="B1735">
        <v>1</v>
      </c>
      <c r="C1735" t="s">
        <v>111</v>
      </c>
      <c r="D1735" t="s">
        <v>112</v>
      </c>
      <c r="E1735" s="1">
        <v>44042</v>
      </c>
      <c r="F1735">
        <v>1</v>
      </c>
      <c r="G1735" t="s">
        <v>61</v>
      </c>
      <c r="H1735" t="s">
        <v>62</v>
      </c>
      <c r="I1735" s="3">
        <v>1621</v>
      </c>
      <c r="J1735" s="3">
        <v>1491</v>
      </c>
      <c r="K1735" s="3">
        <v>434</v>
      </c>
      <c r="L1735" t="s">
        <v>113</v>
      </c>
      <c r="M1735">
        <v>14</v>
      </c>
      <c r="N1735" t="s">
        <v>87</v>
      </c>
      <c r="O1735" t="s">
        <v>81</v>
      </c>
      <c r="P1735" t="s">
        <v>18</v>
      </c>
      <c r="Q1735" t="s">
        <v>19</v>
      </c>
      <c r="R1735" t="s">
        <v>138</v>
      </c>
      <c r="S1735" t="s">
        <v>144</v>
      </c>
      <c r="T1735" s="2">
        <f>MASTER[[#This Row],[CANTIDAD]]*MASTER[[#This Row],[PRECIO DE VENTA]]</f>
        <v>1491</v>
      </c>
      <c r="U1735" s="2">
        <f>MASTER[[#This Row],[CANTIDAD]]*MASTER[[#This Row],[COSTO UNITARIO]]</f>
        <v>434</v>
      </c>
      <c r="V1735" s="2">
        <f>MASTER[[#This Row],[MONTO VENDIDO]]-MASTER[[#This Row],[COSTO DE VENTA]]</f>
        <v>1057</v>
      </c>
    </row>
    <row r="1736" spans="1:22" x14ac:dyDescent="0.3">
      <c r="A1736">
        <v>31924</v>
      </c>
      <c r="B1736">
        <v>1</v>
      </c>
      <c r="C1736" t="s">
        <v>99</v>
      </c>
      <c r="D1736" t="s">
        <v>100</v>
      </c>
      <c r="E1736" s="1">
        <v>44042</v>
      </c>
      <c r="F1736">
        <v>1</v>
      </c>
      <c r="G1736" t="s">
        <v>27</v>
      </c>
      <c r="H1736" t="s">
        <v>28</v>
      </c>
      <c r="I1736" s="3">
        <v>1459</v>
      </c>
      <c r="J1736" s="3">
        <v>1459</v>
      </c>
      <c r="K1736" s="3">
        <v>386</v>
      </c>
      <c r="L1736" t="s">
        <v>98</v>
      </c>
      <c r="M1736">
        <v>2</v>
      </c>
      <c r="N1736" t="s">
        <v>86</v>
      </c>
      <c r="O1736" t="s">
        <v>81</v>
      </c>
      <c r="P1736" t="s">
        <v>71</v>
      </c>
      <c r="Q1736" t="s">
        <v>72</v>
      </c>
      <c r="R1736" t="s">
        <v>139</v>
      </c>
      <c r="S1736" t="s">
        <v>144</v>
      </c>
      <c r="T1736" s="2">
        <f>MASTER[[#This Row],[CANTIDAD]]*MASTER[[#This Row],[PRECIO DE VENTA]]</f>
        <v>1459</v>
      </c>
      <c r="U1736" s="2">
        <f>MASTER[[#This Row],[CANTIDAD]]*MASTER[[#This Row],[COSTO UNITARIO]]</f>
        <v>386</v>
      </c>
      <c r="V1736" s="2">
        <f>MASTER[[#This Row],[MONTO VENDIDO]]-MASTER[[#This Row],[COSTO DE VENTA]]</f>
        <v>1073</v>
      </c>
    </row>
    <row r="1737" spans="1:22" x14ac:dyDescent="0.3">
      <c r="A1737">
        <v>31932</v>
      </c>
      <c r="B1737">
        <v>1</v>
      </c>
      <c r="C1737" t="s">
        <v>116</v>
      </c>
      <c r="D1737" t="s">
        <v>117</v>
      </c>
      <c r="E1737" s="1">
        <v>44042</v>
      </c>
      <c r="F1737">
        <v>3</v>
      </c>
      <c r="G1737" t="s">
        <v>67</v>
      </c>
      <c r="H1737" t="s">
        <v>68</v>
      </c>
      <c r="I1737" s="3">
        <v>1529</v>
      </c>
      <c r="J1737" s="3">
        <v>1529</v>
      </c>
      <c r="K1737" s="3">
        <v>388</v>
      </c>
      <c r="L1737" t="s">
        <v>113</v>
      </c>
      <c r="M1737">
        <v>16</v>
      </c>
      <c r="N1737" t="s">
        <v>17</v>
      </c>
      <c r="O1737" t="s">
        <v>11</v>
      </c>
      <c r="P1737" t="s">
        <v>18</v>
      </c>
      <c r="Q1737" t="s">
        <v>19</v>
      </c>
      <c r="R1737" t="s">
        <v>138</v>
      </c>
      <c r="S1737" t="s">
        <v>144</v>
      </c>
      <c r="T1737" s="2">
        <f>MASTER[[#This Row],[CANTIDAD]]*MASTER[[#This Row],[PRECIO DE VENTA]]</f>
        <v>4587</v>
      </c>
      <c r="U1737" s="2">
        <f>MASTER[[#This Row],[CANTIDAD]]*MASTER[[#This Row],[COSTO UNITARIO]]</f>
        <v>1164</v>
      </c>
      <c r="V1737" s="2">
        <f>MASTER[[#This Row],[MONTO VENDIDO]]-MASTER[[#This Row],[COSTO DE VENTA]]</f>
        <v>3423</v>
      </c>
    </row>
    <row r="1738" spans="1:22" x14ac:dyDescent="0.3">
      <c r="A1738">
        <v>31933</v>
      </c>
      <c r="B1738">
        <v>1</v>
      </c>
      <c r="C1738" t="s">
        <v>114</v>
      </c>
      <c r="D1738" t="s">
        <v>115</v>
      </c>
      <c r="E1738" s="1">
        <v>44042</v>
      </c>
      <c r="F1738">
        <v>1</v>
      </c>
      <c r="G1738" t="s">
        <v>24</v>
      </c>
      <c r="H1738" t="s">
        <v>25</v>
      </c>
      <c r="I1738" s="3">
        <v>2030</v>
      </c>
      <c r="J1738" s="3">
        <v>2030</v>
      </c>
      <c r="K1738" s="3">
        <v>394</v>
      </c>
      <c r="L1738" t="s">
        <v>113</v>
      </c>
      <c r="M1738">
        <v>3</v>
      </c>
      <c r="N1738" t="s">
        <v>69</v>
      </c>
      <c r="O1738" t="s">
        <v>70</v>
      </c>
      <c r="P1738" t="s">
        <v>71</v>
      </c>
      <c r="Q1738" t="s">
        <v>72</v>
      </c>
      <c r="R1738" t="s">
        <v>139</v>
      </c>
      <c r="S1738" t="s">
        <v>144</v>
      </c>
      <c r="T1738" s="2">
        <f>MASTER[[#This Row],[CANTIDAD]]*MASTER[[#This Row],[PRECIO DE VENTA]]</f>
        <v>2030</v>
      </c>
      <c r="U1738" s="2">
        <f>MASTER[[#This Row],[CANTIDAD]]*MASTER[[#This Row],[COSTO UNITARIO]]</f>
        <v>394</v>
      </c>
      <c r="V1738" s="2">
        <f>MASTER[[#This Row],[MONTO VENDIDO]]-MASTER[[#This Row],[COSTO DE VENTA]]</f>
        <v>1636</v>
      </c>
    </row>
    <row r="1739" spans="1:22" x14ac:dyDescent="0.3">
      <c r="A1739">
        <v>31945</v>
      </c>
      <c r="B1739">
        <v>1</v>
      </c>
      <c r="C1739" t="s">
        <v>114</v>
      </c>
      <c r="D1739" t="s">
        <v>115</v>
      </c>
      <c r="E1739" s="1">
        <v>44042</v>
      </c>
      <c r="F1739">
        <v>1</v>
      </c>
      <c r="G1739" t="s">
        <v>33</v>
      </c>
      <c r="H1739" t="s">
        <v>34</v>
      </c>
      <c r="I1739" s="3">
        <v>2030</v>
      </c>
      <c r="J1739" s="3">
        <v>2030</v>
      </c>
      <c r="K1739" s="3">
        <v>394</v>
      </c>
      <c r="L1739" t="s">
        <v>113</v>
      </c>
      <c r="M1739">
        <v>18</v>
      </c>
      <c r="N1739" t="s">
        <v>79</v>
      </c>
      <c r="O1739" t="s">
        <v>70</v>
      </c>
      <c r="P1739" t="s">
        <v>15</v>
      </c>
      <c r="Q1739" t="s">
        <v>16</v>
      </c>
      <c r="R1739" t="s">
        <v>16</v>
      </c>
      <c r="S1739" t="s">
        <v>144</v>
      </c>
      <c r="T1739" s="2">
        <f>MASTER[[#This Row],[CANTIDAD]]*MASTER[[#This Row],[PRECIO DE VENTA]]</f>
        <v>2030</v>
      </c>
      <c r="U1739" s="2">
        <f>MASTER[[#This Row],[CANTIDAD]]*MASTER[[#This Row],[COSTO UNITARIO]]</f>
        <v>394</v>
      </c>
      <c r="V1739" s="2">
        <f>MASTER[[#This Row],[MONTO VENDIDO]]-MASTER[[#This Row],[COSTO DE VENTA]]</f>
        <v>1636</v>
      </c>
    </row>
    <row r="1740" spans="1:22" x14ac:dyDescent="0.3">
      <c r="A1740">
        <v>31975</v>
      </c>
      <c r="B1740">
        <v>1</v>
      </c>
      <c r="C1740" t="s">
        <v>116</v>
      </c>
      <c r="D1740" t="s">
        <v>117</v>
      </c>
      <c r="E1740" s="1">
        <v>44042</v>
      </c>
      <c r="F1740">
        <v>3</v>
      </c>
      <c r="G1740" t="s">
        <v>47</v>
      </c>
      <c r="H1740" t="s">
        <v>48</v>
      </c>
      <c r="I1740" s="3">
        <v>1738</v>
      </c>
      <c r="J1740" s="3">
        <v>1738</v>
      </c>
      <c r="K1740" s="3">
        <v>388</v>
      </c>
      <c r="L1740" t="s">
        <v>113</v>
      </c>
      <c r="M1740">
        <v>10</v>
      </c>
      <c r="N1740" t="s">
        <v>83</v>
      </c>
      <c r="O1740" t="s">
        <v>81</v>
      </c>
      <c r="P1740" t="s">
        <v>12</v>
      </c>
      <c r="Q1740" t="s">
        <v>13</v>
      </c>
      <c r="R1740" t="s">
        <v>13</v>
      </c>
      <c r="S1740" t="s">
        <v>144</v>
      </c>
      <c r="T1740" s="2">
        <f>MASTER[[#This Row],[CANTIDAD]]*MASTER[[#This Row],[PRECIO DE VENTA]]</f>
        <v>5214</v>
      </c>
      <c r="U1740" s="2">
        <f>MASTER[[#This Row],[CANTIDAD]]*MASTER[[#This Row],[COSTO UNITARIO]]</f>
        <v>1164</v>
      </c>
      <c r="V1740" s="2">
        <f>MASTER[[#This Row],[MONTO VENDIDO]]-MASTER[[#This Row],[COSTO DE VENTA]]</f>
        <v>4050</v>
      </c>
    </row>
    <row r="1741" spans="1:22" x14ac:dyDescent="0.3">
      <c r="A1741">
        <v>31986</v>
      </c>
      <c r="B1741">
        <v>1</v>
      </c>
      <c r="C1741" t="s">
        <v>109</v>
      </c>
      <c r="D1741" t="s">
        <v>110</v>
      </c>
      <c r="E1741" s="1">
        <v>44043</v>
      </c>
      <c r="F1741">
        <v>1</v>
      </c>
      <c r="G1741" t="s">
        <v>47</v>
      </c>
      <c r="H1741" t="s">
        <v>48</v>
      </c>
      <c r="I1741" s="3">
        <v>947</v>
      </c>
      <c r="J1741" s="3">
        <v>852</v>
      </c>
      <c r="K1741" s="3">
        <v>387</v>
      </c>
      <c r="L1741" t="s">
        <v>98</v>
      </c>
      <c r="M1741">
        <v>12</v>
      </c>
      <c r="N1741" t="s">
        <v>26</v>
      </c>
      <c r="O1741" t="s">
        <v>11</v>
      </c>
      <c r="P1741" t="s">
        <v>12</v>
      </c>
      <c r="Q1741" t="s">
        <v>13</v>
      </c>
      <c r="R1741" t="s">
        <v>13</v>
      </c>
      <c r="S1741" t="s">
        <v>144</v>
      </c>
      <c r="T1741" s="2">
        <f>MASTER[[#This Row],[CANTIDAD]]*MASTER[[#This Row],[PRECIO DE VENTA]]</f>
        <v>852</v>
      </c>
      <c r="U1741" s="2">
        <f>MASTER[[#This Row],[CANTIDAD]]*MASTER[[#This Row],[COSTO UNITARIO]]</f>
        <v>387</v>
      </c>
      <c r="V1741" s="2">
        <f>MASTER[[#This Row],[MONTO VENDIDO]]-MASTER[[#This Row],[COSTO DE VENTA]]</f>
        <v>465</v>
      </c>
    </row>
    <row r="1742" spans="1:22" x14ac:dyDescent="0.3">
      <c r="A1742">
        <v>31993</v>
      </c>
      <c r="B1742">
        <v>1</v>
      </c>
      <c r="C1742" t="s">
        <v>118</v>
      </c>
      <c r="D1742" t="s">
        <v>119</v>
      </c>
      <c r="E1742" s="1">
        <v>44043</v>
      </c>
      <c r="F1742">
        <v>1</v>
      </c>
      <c r="G1742" t="s">
        <v>65</v>
      </c>
      <c r="H1742" t="s">
        <v>66</v>
      </c>
      <c r="I1742" s="3">
        <v>1026</v>
      </c>
      <c r="J1742" s="3">
        <v>964</v>
      </c>
      <c r="K1742" s="3">
        <v>424</v>
      </c>
      <c r="L1742" t="s">
        <v>120</v>
      </c>
      <c r="M1742">
        <v>9</v>
      </c>
      <c r="N1742" t="s">
        <v>76</v>
      </c>
      <c r="O1742" t="s">
        <v>70</v>
      </c>
      <c r="P1742" t="s">
        <v>12</v>
      </c>
      <c r="Q1742" t="s">
        <v>13</v>
      </c>
      <c r="R1742" t="s">
        <v>13</v>
      </c>
      <c r="S1742" t="s">
        <v>144</v>
      </c>
      <c r="T1742" s="2">
        <f>MASTER[[#This Row],[CANTIDAD]]*MASTER[[#This Row],[PRECIO DE VENTA]]</f>
        <v>964</v>
      </c>
      <c r="U1742" s="2">
        <f>MASTER[[#This Row],[CANTIDAD]]*MASTER[[#This Row],[COSTO UNITARIO]]</f>
        <v>424</v>
      </c>
      <c r="V1742" s="2">
        <f>MASTER[[#This Row],[MONTO VENDIDO]]-MASTER[[#This Row],[COSTO DE VENTA]]</f>
        <v>540</v>
      </c>
    </row>
    <row r="1743" spans="1:22" x14ac:dyDescent="0.3">
      <c r="A1743">
        <v>31995</v>
      </c>
      <c r="B1743">
        <v>1</v>
      </c>
      <c r="C1743" t="s">
        <v>94</v>
      </c>
      <c r="D1743" t="s">
        <v>95</v>
      </c>
      <c r="E1743" s="1">
        <v>44043</v>
      </c>
      <c r="F1743">
        <v>1</v>
      </c>
      <c r="G1743" t="s">
        <v>22</v>
      </c>
      <c r="H1743" t="s">
        <v>23</v>
      </c>
      <c r="I1743" s="3">
        <v>901</v>
      </c>
      <c r="J1743" s="3">
        <v>901</v>
      </c>
      <c r="K1743" s="3">
        <v>392</v>
      </c>
      <c r="L1743" t="s">
        <v>9</v>
      </c>
      <c r="M1743">
        <v>17</v>
      </c>
      <c r="N1743" t="s">
        <v>14</v>
      </c>
      <c r="O1743" t="s">
        <v>11</v>
      </c>
      <c r="P1743" t="s">
        <v>15</v>
      </c>
      <c r="Q1743" t="s">
        <v>16</v>
      </c>
      <c r="R1743" t="s">
        <v>16</v>
      </c>
      <c r="S1743" t="s">
        <v>144</v>
      </c>
      <c r="T1743" s="2">
        <f>MASTER[[#This Row],[CANTIDAD]]*MASTER[[#This Row],[PRECIO DE VENTA]]</f>
        <v>901</v>
      </c>
      <c r="U1743" s="2">
        <f>MASTER[[#This Row],[CANTIDAD]]*MASTER[[#This Row],[COSTO UNITARIO]]</f>
        <v>392</v>
      </c>
      <c r="V1743" s="2">
        <f>MASTER[[#This Row],[MONTO VENDIDO]]-MASTER[[#This Row],[COSTO DE VENTA]]</f>
        <v>509</v>
      </c>
    </row>
    <row r="1744" spans="1:22" x14ac:dyDescent="0.3">
      <c r="A1744">
        <v>32004</v>
      </c>
      <c r="B1744">
        <v>1</v>
      </c>
      <c r="C1744" t="s">
        <v>101</v>
      </c>
      <c r="D1744" t="s">
        <v>102</v>
      </c>
      <c r="E1744" s="1">
        <v>44043</v>
      </c>
      <c r="F1744">
        <v>1</v>
      </c>
      <c r="G1744" t="s">
        <v>61</v>
      </c>
      <c r="H1744" t="s">
        <v>62</v>
      </c>
      <c r="I1744" s="3">
        <v>1212</v>
      </c>
      <c r="J1744" s="3">
        <v>1212</v>
      </c>
      <c r="K1744" s="3">
        <v>442</v>
      </c>
      <c r="L1744" t="s">
        <v>98</v>
      </c>
      <c r="M1744">
        <v>15</v>
      </c>
      <c r="N1744" t="s">
        <v>88</v>
      </c>
      <c r="O1744" t="s">
        <v>81</v>
      </c>
      <c r="P1744" t="s">
        <v>18</v>
      </c>
      <c r="Q1744" t="s">
        <v>19</v>
      </c>
      <c r="R1744" t="s">
        <v>138</v>
      </c>
      <c r="S1744" t="s">
        <v>144</v>
      </c>
      <c r="T1744" s="2">
        <f>MASTER[[#This Row],[CANTIDAD]]*MASTER[[#This Row],[PRECIO DE VENTA]]</f>
        <v>1212</v>
      </c>
      <c r="U1744" s="2">
        <f>MASTER[[#This Row],[CANTIDAD]]*MASTER[[#This Row],[COSTO UNITARIO]]</f>
        <v>442</v>
      </c>
      <c r="V1744" s="2">
        <f>MASTER[[#This Row],[MONTO VENDIDO]]-MASTER[[#This Row],[COSTO DE VENTA]]</f>
        <v>770</v>
      </c>
    </row>
    <row r="1745" spans="1:22" x14ac:dyDescent="0.3">
      <c r="A1745">
        <v>32007</v>
      </c>
      <c r="B1745">
        <v>1</v>
      </c>
      <c r="C1745" t="s">
        <v>5</v>
      </c>
      <c r="D1745" t="s">
        <v>6</v>
      </c>
      <c r="E1745" s="1">
        <v>44043</v>
      </c>
      <c r="F1745">
        <v>1</v>
      </c>
      <c r="G1745" t="s">
        <v>47</v>
      </c>
      <c r="H1745" t="s">
        <v>48</v>
      </c>
      <c r="I1745" s="3">
        <v>1296</v>
      </c>
      <c r="J1745" s="3">
        <v>1296</v>
      </c>
      <c r="K1745" s="3">
        <v>393</v>
      </c>
      <c r="L1745" t="s">
        <v>9</v>
      </c>
      <c r="M1745">
        <v>3</v>
      </c>
      <c r="N1745" t="s">
        <v>69</v>
      </c>
      <c r="O1745" t="s">
        <v>70</v>
      </c>
      <c r="P1745" t="s">
        <v>71</v>
      </c>
      <c r="Q1745" t="s">
        <v>72</v>
      </c>
      <c r="R1745" t="s">
        <v>139</v>
      </c>
      <c r="S1745" t="s">
        <v>144</v>
      </c>
      <c r="T1745" s="2">
        <f>MASTER[[#This Row],[CANTIDAD]]*MASTER[[#This Row],[PRECIO DE VENTA]]</f>
        <v>1296</v>
      </c>
      <c r="U1745" s="2">
        <f>MASTER[[#This Row],[CANTIDAD]]*MASTER[[#This Row],[COSTO UNITARIO]]</f>
        <v>393</v>
      </c>
      <c r="V1745" s="2">
        <f>MASTER[[#This Row],[MONTO VENDIDO]]-MASTER[[#This Row],[COSTO DE VENTA]]</f>
        <v>903</v>
      </c>
    </row>
    <row r="1746" spans="1:22" x14ac:dyDescent="0.3">
      <c r="A1746">
        <v>32017</v>
      </c>
      <c r="B1746">
        <v>1</v>
      </c>
      <c r="C1746" t="s">
        <v>118</v>
      </c>
      <c r="D1746" t="s">
        <v>119</v>
      </c>
      <c r="E1746" s="1">
        <v>44043</v>
      </c>
      <c r="F1746">
        <v>1</v>
      </c>
      <c r="G1746" t="s">
        <v>53</v>
      </c>
      <c r="H1746" t="s">
        <v>54</v>
      </c>
      <c r="I1746" s="3">
        <v>801</v>
      </c>
      <c r="J1746" s="3">
        <v>801</v>
      </c>
      <c r="K1746" s="3">
        <v>424</v>
      </c>
      <c r="L1746" t="s">
        <v>120</v>
      </c>
      <c r="M1746">
        <v>17</v>
      </c>
      <c r="N1746" t="s">
        <v>14</v>
      </c>
      <c r="O1746" t="s">
        <v>11</v>
      </c>
      <c r="P1746" t="s">
        <v>15</v>
      </c>
      <c r="Q1746" t="s">
        <v>16</v>
      </c>
      <c r="R1746" t="s">
        <v>16</v>
      </c>
      <c r="S1746" t="s">
        <v>144</v>
      </c>
      <c r="T1746" s="2">
        <f>MASTER[[#This Row],[CANTIDAD]]*MASTER[[#This Row],[PRECIO DE VENTA]]</f>
        <v>801</v>
      </c>
      <c r="U1746" s="2">
        <f>MASTER[[#This Row],[CANTIDAD]]*MASTER[[#This Row],[COSTO UNITARIO]]</f>
        <v>424</v>
      </c>
      <c r="V1746" s="2">
        <f>MASTER[[#This Row],[MONTO VENDIDO]]-MASTER[[#This Row],[COSTO DE VENTA]]</f>
        <v>377</v>
      </c>
    </row>
    <row r="1747" spans="1:22" x14ac:dyDescent="0.3">
      <c r="A1747">
        <v>32029</v>
      </c>
      <c r="B1747">
        <v>1</v>
      </c>
      <c r="C1747" t="s">
        <v>5</v>
      </c>
      <c r="D1747" t="s">
        <v>6</v>
      </c>
      <c r="E1747" s="1">
        <v>44043</v>
      </c>
      <c r="F1747">
        <v>1</v>
      </c>
      <c r="G1747" t="s">
        <v>39</v>
      </c>
      <c r="H1747" t="s">
        <v>40</v>
      </c>
      <c r="I1747" s="3">
        <v>1296</v>
      </c>
      <c r="J1747" s="3">
        <v>1296</v>
      </c>
      <c r="K1747" s="3">
        <v>393</v>
      </c>
      <c r="L1747" t="s">
        <v>9</v>
      </c>
      <c r="M1747">
        <v>1</v>
      </c>
      <c r="N1747" t="s">
        <v>77</v>
      </c>
      <c r="O1747" t="s">
        <v>70</v>
      </c>
      <c r="P1747" t="s">
        <v>71</v>
      </c>
      <c r="Q1747" t="s">
        <v>72</v>
      </c>
      <c r="R1747" t="s">
        <v>139</v>
      </c>
      <c r="S1747" t="s">
        <v>144</v>
      </c>
      <c r="T1747" s="2">
        <f>MASTER[[#This Row],[CANTIDAD]]*MASTER[[#This Row],[PRECIO DE VENTA]]</f>
        <v>1296</v>
      </c>
      <c r="U1747" s="2">
        <f>MASTER[[#This Row],[CANTIDAD]]*MASTER[[#This Row],[COSTO UNITARIO]]</f>
        <v>393</v>
      </c>
      <c r="V1747" s="2">
        <f>MASTER[[#This Row],[MONTO VENDIDO]]-MASTER[[#This Row],[COSTO DE VENTA]]</f>
        <v>903</v>
      </c>
    </row>
    <row r="1748" spans="1:22" x14ac:dyDescent="0.3">
      <c r="A1748">
        <v>32048</v>
      </c>
      <c r="B1748">
        <v>1</v>
      </c>
      <c r="C1748" t="s">
        <v>92</v>
      </c>
      <c r="D1748" t="s">
        <v>93</v>
      </c>
      <c r="E1748" s="1">
        <v>44044</v>
      </c>
      <c r="F1748">
        <v>1</v>
      </c>
      <c r="G1748" t="s">
        <v>59</v>
      </c>
      <c r="H1748" t="s">
        <v>60</v>
      </c>
      <c r="I1748" s="3">
        <v>1866</v>
      </c>
      <c r="J1748" s="3">
        <v>1866</v>
      </c>
      <c r="K1748" s="3">
        <v>396</v>
      </c>
      <c r="L1748" t="s">
        <v>9</v>
      </c>
      <c r="M1748">
        <v>3</v>
      </c>
      <c r="N1748" t="s">
        <v>69</v>
      </c>
      <c r="O1748" t="s">
        <v>70</v>
      </c>
      <c r="P1748" t="s">
        <v>71</v>
      </c>
      <c r="Q1748" t="s">
        <v>72</v>
      </c>
      <c r="R1748" t="s">
        <v>139</v>
      </c>
      <c r="S1748" t="s">
        <v>144</v>
      </c>
      <c r="T1748" s="2">
        <f>MASTER[[#This Row],[CANTIDAD]]*MASTER[[#This Row],[PRECIO DE VENTA]]</f>
        <v>1866</v>
      </c>
      <c r="U1748" s="2">
        <f>MASTER[[#This Row],[CANTIDAD]]*MASTER[[#This Row],[COSTO UNITARIO]]</f>
        <v>396</v>
      </c>
      <c r="V1748" s="2">
        <f>MASTER[[#This Row],[MONTO VENDIDO]]-MASTER[[#This Row],[COSTO DE VENTA]]</f>
        <v>1470</v>
      </c>
    </row>
    <row r="1749" spans="1:22" x14ac:dyDescent="0.3">
      <c r="A1749">
        <v>32052</v>
      </c>
      <c r="B1749">
        <v>1</v>
      </c>
      <c r="C1749" t="s">
        <v>103</v>
      </c>
      <c r="D1749" t="s">
        <v>104</v>
      </c>
      <c r="E1749" s="1">
        <v>44044</v>
      </c>
      <c r="F1749">
        <v>1</v>
      </c>
      <c r="G1749" t="s">
        <v>24</v>
      </c>
      <c r="H1749" t="s">
        <v>25</v>
      </c>
      <c r="I1749" s="3">
        <v>1448</v>
      </c>
      <c r="J1749" s="3">
        <v>1448</v>
      </c>
      <c r="K1749" s="3">
        <v>421</v>
      </c>
      <c r="L1749" t="s">
        <v>98</v>
      </c>
      <c r="M1749">
        <v>17</v>
      </c>
      <c r="N1749" t="s">
        <v>14</v>
      </c>
      <c r="O1749" t="s">
        <v>11</v>
      </c>
      <c r="P1749" t="s">
        <v>15</v>
      </c>
      <c r="Q1749" t="s">
        <v>16</v>
      </c>
      <c r="R1749" t="s">
        <v>16</v>
      </c>
      <c r="S1749" t="s">
        <v>144</v>
      </c>
      <c r="T1749" s="2">
        <f>MASTER[[#This Row],[CANTIDAD]]*MASTER[[#This Row],[PRECIO DE VENTA]]</f>
        <v>1448</v>
      </c>
      <c r="U1749" s="2">
        <f>MASTER[[#This Row],[CANTIDAD]]*MASTER[[#This Row],[COSTO UNITARIO]]</f>
        <v>421</v>
      </c>
      <c r="V1749" s="2">
        <f>MASTER[[#This Row],[MONTO VENDIDO]]-MASTER[[#This Row],[COSTO DE VENTA]]</f>
        <v>1027</v>
      </c>
    </row>
    <row r="1750" spans="1:22" x14ac:dyDescent="0.3">
      <c r="A1750">
        <v>32055</v>
      </c>
      <c r="B1750">
        <v>1</v>
      </c>
      <c r="C1750" t="s">
        <v>105</v>
      </c>
      <c r="D1750" t="s">
        <v>106</v>
      </c>
      <c r="E1750" s="1">
        <v>44044</v>
      </c>
      <c r="F1750">
        <v>1</v>
      </c>
      <c r="G1750" t="s">
        <v>65</v>
      </c>
      <c r="H1750" t="s">
        <v>66</v>
      </c>
      <c r="I1750" s="3">
        <v>1865</v>
      </c>
      <c r="J1750" s="3">
        <v>1865</v>
      </c>
      <c r="K1750" s="3">
        <v>459</v>
      </c>
      <c r="L1750" t="s">
        <v>98</v>
      </c>
      <c r="M1750">
        <v>14</v>
      </c>
      <c r="N1750" t="s">
        <v>87</v>
      </c>
      <c r="O1750" t="s">
        <v>81</v>
      </c>
      <c r="P1750" t="s">
        <v>18</v>
      </c>
      <c r="Q1750" t="s">
        <v>19</v>
      </c>
      <c r="R1750" t="s">
        <v>138</v>
      </c>
      <c r="S1750" t="s">
        <v>144</v>
      </c>
      <c r="T1750" s="2">
        <f>MASTER[[#This Row],[CANTIDAD]]*MASTER[[#This Row],[PRECIO DE VENTA]]</f>
        <v>1865</v>
      </c>
      <c r="U1750" s="2">
        <f>MASTER[[#This Row],[CANTIDAD]]*MASTER[[#This Row],[COSTO UNITARIO]]</f>
        <v>459</v>
      </c>
      <c r="V1750" s="2">
        <f>MASTER[[#This Row],[MONTO VENDIDO]]-MASTER[[#This Row],[COSTO DE VENTA]]</f>
        <v>1406</v>
      </c>
    </row>
    <row r="1751" spans="1:22" x14ac:dyDescent="0.3">
      <c r="A1751">
        <v>32056</v>
      </c>
      <c r="B1751">
        <v>1</v>
      </c>
      <c r="C1751" t="s">
        <v>99</v>
      </c>
      <c r="D1751" t="s">
        <v>100</v>
      </c>
      <c r="E1751" s="1">
        <v>44044</v>
      </c>
      <c r="F1751">
        <v>1</v>
      </c>
      <c r="G1751" t="s">
        <v>59</v>
      </c>
      <c r="H1751" t="s">
        <v>60</v>
      </c>
      <c r="I1751" s="3">
        <v>1328</v>
      </c>
      <c r="J1751" s="3">
        <v>1328</v>
      </c>
      <c r="K1751" s="3">
        <v>386</v>
      </c>
      <c r="L1751" t="s">
        <v>98</v>
      </c>
      <c r="M1751">
        <v>12</v>
      </c>
      <c r="N1751" t="s">
        <v>26</v>
      </c>
      <c r="O1751" t="s">
        <v>11</v>
      </c>
      <c r="P1751" t="s">
        <v>12</v>
      </c>
      <c r="Q1751" t="s">
        <v>13</v>
      </c>
      <c r="R1751" t="s">
        <v>13</v>
      </c>
      <c r="S1751" t="s">
        <v>144</v>
      </c>
      <c r="T1751" s="2">
        <f>MASTER[[#This Row],[CANTIDAD]]*MASTER[[#This Row],[PRECIO DE VENTA]]</f>
        <v>1328</v>
      </c>
      <c r="U1751" s="2">
        <f>MASTER[[#This Row],[CANTIDAD]]*MASTER[[#This Row],[COSTO UNITARIO]]</f>
        <v>386</v>
      </c>
      <c r="V1751" s="2">
        <f>MASTER[[#This Row],[MONTO VENDIDO]]-MASTER[[#This Row],[COSTO DE VENTA]]</f>
        <v>942</v>
      </c>
    </row>
    <row r="1752" spans="1:22" x14ac:dyDescent="0.3">
      <c r="A1752">
        <v>32070</v>
      </c>
      <c r="B1752">
        <v>1</v>
      </c>
      <c r="C1752" t="s">
        <v>107</v>
      </c>
      <c r="D1752" t="s">
        <v>108</v>
      </c>
      <c r="E1752" s="1">
        <v>44044</v>
      </c>
      <c r="F1752">
        <v>1</v>
      </c>
      <c r="G1752" t="s">
        <v>53</v>
      </c>
      <c r="H1752" t="s">
        <v>54</v>
      </c>
      <c r="I1752" s="3">
        <v>1333</v>
      </c>
      <c r="J1752" s="3">
        <v>1333</v>
      </c>
      <c r="K1752" s="3">
        <v>380</v>
      </c>
      <c r="L1752" t="s">
        <v>98</v>
      </c>
      <c r="M1752">
        <v>8</v>
      </c>
      <c r="N1752" t="s">
        <v>80</v>
      </c>
      <c r="O1752" t="s">
        <v>81</v>
      </c>
      <c r="P1752" t="s">
        <v>12</v>
      </c>
      <c r="Q1752" t="s">
        <v>13</v>
      </c>
      <c r="R1752" t="s">
        <v>13</v>
      </c>
      <c r="S1752" t="s">
        <v>144</v>
      </c>
      <c r="T1752" s="2">
        <f>MASTER[[#This Row],[CANTIDAD]]*MASTER[[#This Row],[PRECIO DE VENTA]]</f>
        <v>1333</v>
      </c>
      <c r="U1752" s="2">
        <f>MASTER[[#This Row],[CANTIDAD]]*MASTER[[#This Row],[COSTO UNITARIO]]</f>
        <v>380</v>
      </c>
      <c r="V1752" s="2">
        <f>MASTER[[#This Row],[MONTO VENDIDO]]-MASTER[[#This Row],[COSTO DE VENTA]]</f>
        <v>953</v>
      </c>
    </row>
    <row r="1753" spans="1:22" x14ac:dyDescent="0.3">
      <c r="A1753">
        <v>32079</v>
      </c>
      <c r="B1753">
        <v>1</v>
      </c>
      <c r="C1753" t="s">
        <v>90</v>
      </c>
      <c r="D1753" t="s">
        <v>91</v>
      </c>
      <c r="E1753" s="1">
        <v>44044</v>
      </c>
      <c r="F1753">
        <v>1</v>
      </c>
      <c r="G1753" t="s">
        <v>22</v>
      </c>
      <c r="H1753" t="s">
        <v>23</v>
      </c>
      <c r="I1753" s="3">
        <v>1844</v>
      </c>
      <c r="J1753" s="3">
        <v>1844</v>
      </c>
      <c r="K1753" s="3">
        <v>420</v>
      </c>
      <c r="L1753" t="s">
        <v>9</v>
      </c>
      <c r="M1753">
        <v>8</v>
      </c>
      <c r="N1753" t="s">
        <v>80</v>
      </c>
      <c r="O1753" t="s">
        <v>81</v>
      </c>
      <c r="P1753" t="s">
        <v>12</v>
      </c>
      <c r="Q1753" t="s">
        <v>13</v>
      </c>
      <c r="R1753" t="s">
        <v>13</v>
      </c>
      <c r="S1753" t="s">
        <v>144</v>
      </c>
      <c r="T1753" s="2">
        <f>MASTER[[#This Row],[CANTIDAD]]*MASTER[[#This Row],[PRECIO DE VENTA]]</f>
        <v>1844</v>
      </c>
      <c r="U1753" s="2">
        <f>MASTER[[#This Row],[CANTIDAD]]*MASTER[[#This Row],[COSTO UNITARIO]]</f>
        <v>420</v>
      </c>
      <c r="V1753" s="2">
        <f>MASTER[[#This Row],[MONTO VENDIDO]]-MASTER[[#This Row],[COSTO DE VENTA]]</f>
        <v>1424</v>
      </c>
    </row>
    <row r="1754" spans="1:22" x14ac:dyDescent="0.3">
      <c r="A1754">
        <v>32107</v>
      </c>
      <c r="B1754">
        <v>1</v>
      </c>
      <c r="C1754" t="s">
        <v>109</v>
      </c>
      <c r="D1754" t="s">
        <v>110</v>
      </c>
      <c r="E1754" s="1">
        <v>44044</v>
      </c>
      <c r="F1754">
        <v>1</v>
      </c>
      <c r="G1754" t="s">
        <v>59</v>
      </c>
      <c r="H1754" t="s">
        <v>60</v>
      </c>
      <c r="I1754" s="3">
        <v>1064</v>
      </c>
      <c r="J1754" s="3">
        <v>1064</v>
      </c>
      <c r="K1754" s="3">
        <v>387</v>
      </c>
      <c r="L1754" t="s">
        <v>98</v>
      </c>
      <c r="M1754">
        <v>5</v>
      </c>
      <c r="N1754" t="s">
        <v>85</v>
      </c>
      <c r="O1754" t="s">
        <v>81</v>
      </c>
      <c r="P1754" t="s">
        <v>12</v>
      </c>
      <c r="Q1754" t="s">
        <v>13</v>
      </c>
      <c r="R1754" t="s">
        <v>13</v>
      </c>
      <c r="S1754" t="s">
        <v>144</v>
      </c>
      <c r="T1754" s="2">
        <f>MASTER[[#This Row],[CANTIDAD]]*MASTER[[#This Row],[PRECIO DE VENTA]]</f>
        <v>1064</v>
      </c>
      <c r="U1754" s="2">
        <f>MASTER[[#This Row],[CANTIDAD]]*MASTER[[#This Row],[COSTO UNITARIO]]</f>
        <v>387</v>
      </c>
      <c r="V1754" s="2">
        <f>MASTER[[#This Row],[MONTO VENDIDO]]-MASTER[[#This Row],[COSTO DE VENTA]]</f>
        <v>677</v>
      </c>
    </row>
    <row r="1755" spans="1:22" x14ac:dyDescent="0.3">
      <c r="A1755">
        <v>32175</v>
      </c>
      <c r="B1755">
        <v>1</v>
      </c>
      <c r="C1755" t="s">
        <v>118</v>
      </c>
      <c r="D1755" t="s">
        <v>119</v>
      </c>
      <c r="E1755" s="1">
        <v>44044</v>
      </c>
      <c r="F1755">
        <v>1</v>
      </c>
      <c r="G1755" t="s">
        <v>59</v>
      </c>
      <c r="H1755" t="s">
        <v>60</v>
      </c>
      <c r="I1755" s="3">
        <v>1026</v>
      </c>
      <c r="J1755" s="3">
        <v>1026</v>
      </c>
      <c r="K1755" s="3">
        <v>424</v>
      </c>
      <c r="L1755" t="s">
        <v>120</v>
      </c>
      <c r="M1755">
        <v>6</v>
      </c>
      <c r="N1755" t="s">
        <v>75</v>
      </c>
      <c r="O1755" t="s">
        <v>70</v>
      </c>
      <c r="P1755" t="s">
        <v>12</v>
      </c>
      <c r="Q1755" t="s">
        <v>13</v>
      </c>
      <c r="R1755" t="s">
        <v>13</v>
      </c>
      <c r="S1755" t="s">
        <v>144</v>
      </c>
      <c r="T1755" s="2">
        <f>MASTER[[#This Row],[CANTIDAD]]*MASTER[[#This Row],[PRECIO DE VENTA]]</f>
        <v>1026</v>
      </c>
      <c r="U1755" s="2">
        <f>MASTER[[#This Row],[CANTIDAD]]*MASTER[[#This Row],[COSTO UNITARIO]]</f>
        <v>424</v>
      </c>
      <c r="V1755" s="2">
        <f>MASTER[[#This Row],[MONTO VENDIDO]]-MASTER[[#This Row],[COSTO DE VENTA]]</f>
        <v>602</v>
      </c>
    </row>
    <row r="1756" spans="1:22" x14ac:dyDescent="0.3">
      <c r="A1756">
        <v>32184</v>
      </c>
      <c r="B1756">
        <v>1</v>
      </c>
      <c r="C1756" t="s">
        <v>107</v>
      </c>
      <c r="D1756" t="s">
        <v>108</v>
      </c>
      <c r="E1756" s="1">
        <v>44044</v>
      </c>
      <c r="F1756">
        <v>1</v>
      </c>
      <c r="G1756" t="s">
        <v>27</v>
      </c>
      <c r="H1756" t="s">
        <v>28</v>
      </c>
      <c r="I1756" s="3">
        <v>1240</v>
      </c>
      <c r="J1756" s="3">
        <v>1240</v>
      </c>
      <c r="K1756" s="3">
        <v>380</v>
      </c>
      <c r="L1756" t="s">
        <v>98</v>
      </c>
      <c r="M1756">
        <v>12</v>
      </c>
      <c r="N1756" t="s">
        <v>26</v>
      </c>
      <c r="O1756" t="s">
        <v>11</v>
      </c>
      <c r="P1756" t="s">
        <v>12</v>
      </c>
      <c r="Q1756" t="s">
        <v>13</v>
      </c>
      <c r="R1756" t="s">
        <v>13</v>
      </c>
      <c r="S1756" t="s">
        <v>144</v>
      </c>
      <c r="T1756" s="2">
        <f>MASTER[[#This Row],[CANTIDAD]]*MASTER[[#This Row],[PRECIO DE VENTA]]</f>
        <v>1240</v>
      </c>
      <c r="U1756" s="2">
        <f>MASTER[[#This Row],[CANTIDAD]]*MASTER[[#This Row],[COSTO UNITARIO]]</f>
        <v>380</v>
      </c>
      <c r="V1756" s="2">
        <f>MASTER[[#This Row],[MONTO VENDIDO]]-MASTER[[#This Row],[COSTO DE VENTA]]</f>
        <v>860</v>
      </c>
    </row>
    <row r="1757" spans="1:22" x14ac:dyDescent="0.3">
      <c r="A1757">
        <v>32187</v>
      </c>
      <c r="B1757">
        <v>1</v>
      </c>
      <c r="C1757" t="s">
        <v>116</v>
      </c>
      <c r="D1757" t="s">
        <v>117</v>
      </c>
      <c r="E1757" s="1">
        <v>44044</v>
      </c>
      <c r="F1757">
        <v>1</v>
      </c>
      <c r="G1757" t="s">
        <v>53</v>
      </c>
      <c r="H1757" t="s">
        <v>54</v>
      </c>
      <c r="I1757" s="3">
        <v>1738</v>
      </c>
      <c r="J1757" s="3">
        <v>1738</v>
      </c>
      <c r="K1757" s="3">
        <v>388</v>
      </c>
      <c r="L1757" t="s">
        <v>113</v>
      </c>
      <c r="M1757">
        <v>7</v>
      </c>
      <c r="N1757" t="s">
        <v>84</v>
      </c>
      <c r="O1757" t="s">
        <v>81</v>
      </c>
      <c r="P1757" t="s">
        <v>12</v>
      </c>
      <c r="Q1757" t="s">
        <v>13</v>
      </c>
      <c r="R1757" t="s">
        <v>13</v>
      </c>
      <c r="S1757" t="s">
        <v>144</v>
      </c>
      <c r="T1757" s="2">
        <f>MASTER[[#This Row],[CANTIDAD]]*MASTER[[#This Row],[PRECIO DE VENTA]]</f>
        <v>1738</v>
      </c>
      <c r="U1757" s="2">
        <f>MASTER[[#This Row],[CANTIDAD]]*MASTER[[#This Row],[COSTO UNITARIO]]</f>
        <v>388</v>
      </c>
      <c r="V1757" s="2">
        <f>MASTER[[#This Row],[MONTO VENDIDO]]-MASTER[[#This Row],[COSTO DE VENTA]]</f>
        <v>1350</v>
      </c>
    </row>
    <row r="1758" spans="1:22" x14ac:dyDescent="0.3">
      <c r="A1758">
        <v>32205</v>
      </c>
      <c r="B1758">
        <v>1</v>
      </c>
      <c r="C1758" t="s">
        <v>99</v>
      </c>
      <c r="D1758" t="s">
        <v>100</v>
      </c>
      <c r="E1758" s="1">
        <v>44044</v>
      </c>
      <c r="F1758">
        <v>1</v>
      </c>
      <c r="G1758" t="s">
        <v>53</v>
      </c>
      <c r="H1758" t="s">
        <v>54</v>
      </c>
      <c r="I1758" s="3">
        <v>1459</v>
      </c>
      <c r="J1758" s="3">
        <v>1459</v>
      </c>
      <c r="K1758" s="3">
        <v>386</v>
      </c>
      <c r="L1758" t="s">
        <v>98</v>
      </c>
      <c r="M1758">
        <v>4</v>
      </c>
      <c r="N1758" t="s">
        <v>82</v>
      </c>
      <c r="O1758" t="s">
        <v>81</v>
      </c>
      <c r="P1758" t="s">
        <v>71</v>
      </c>
      <c r="Q1758" t="s">
        <v>72</v>
      </c>
      <c r="R1758" t="s">
        <v>139</v>
      </c>
      <c r="S1758" t="s">
        <v>144</v>
      </c>
      <c r="T1758" s="2">
        <f>MASTER[[#This Row],[CANTIDAD]]*MASTER[[#This Row],[PRECIO DE VENTA]]</f>
        <v>1459</v>
      </c>
      <c r="U1758" s="2">
        <f>MASTER[[#This Row],[CANTIDAD]]*MASTER[[#This Row],[COSTO UNITARIO]]</f>
        <v>386</v>
      </c>
      <c r="V1758" s="2">
        <f>MASTER[[#This Row],[MONTO VENDIDO]]-MASTER[[#This Row],[COSTO DE VENTA]]</f>
        <v>1073</v>
      </c>
    </row>
    <row r="1759" spans="1:22" x14ac:dyDescent="0.3">
      <c r="A1759">
        <v>32208</v>
      </c>
      <c r="B1759">
        <v>1</v>
      </c>
      <c r="C1759" t="s">
        <v>92</v>
      </c>
      <c r="D1759" t="s">
        <v>93</v>
      </c>
      <c r="E1759" s="1">
        <v>44044</v>
      </c>
      <c r="F1759">
        <v>1</v>
      </c>
      <c r="G1759" t="s">
        <v>73</v>
      </c>
      <c r="H1759" t="s">
        <v>74</v>
      </c>
      <c r="I1759" s="3">
        <v>1866</v>
      </c>
      <c r="J1759" s="3">
        <v>1866</v>
      </c>
      <c r="K1759" s="3">
        <v>396</v>
      </c>
      <c r="L1759" t="s">
        <v>9</v>
      </c>
      <c r="M1759">
        <v>13</v>
      </c>
      <c r="N1759" t="s">
        <v>78</v>
      </c>
      <c r="O1759" t="s">
        <v>70</v>
      </c>
      <c r="P1759" t="s">
        <v>18</v>
      </c>
      <c r="Q1759" t="s">
        <v>19</v>
      </c>
      <c r="R1759" t="s">
        <v>138</v>
      </c>
      <c r="S1759" t="s">
        <v>144</v>
      </c>
      <c r="T1759" s="2">
        <f>MASTER[[#This Row],[CANTIDAD]]*MASTER[[#This Row],[PRECIO DE VENTA]]</f>
        <v>1866</v>
      </c>
      <c r="U1759" s="2">
        <f>MASTER[[#This Row],[CANTIDAD]]*MASTER[[#This Row],[COSTO UNITARIO]]</f>
        <v>396</v>
      </c>
      <c r="V1759" s="2">
        <f>MASTER[[#This Row],[MONTO VENDIDO]]-MASTER[[#This Row],[COSTO DE VENTA]]</f>
        <v>1470</v>
      </c>
    </row>
    <row r="1760" spans="1:22" x14ac:dyDescent="0.3">
      <c r="A1760">
        <v>32214</v>
      </c>
      <c r="B1760">
        <v>1</v>
      </c>
      <c r="C1760" t="s">
        <v>114</v>
      </c>
      <c r="D1760" t="s">
        <v>115</v>
      </c>
      <c r="E1760" s="1">
        <v>44044</v>
      </c>
      <c r="F1760">
        <v>1</v>
      </c>
      <c r="G1760" t="s">
        <v>7</v>
      </c>
      <c r="H1760" t="s">
        <v>8</v>
      </c>
      <c r="I1760" s="3">
        <v>2030</v>
      </c>
      <c r="J1760" s="3">
        <v>2030</v>
      </c>
      <c r="K1760" s="3">
        <v>394</v>
      </c>
      <c r="L1760" t="s">
        <v>113</v>
      </c>
      <c r="M1760">
        <v>3</v>
      </c>
      <c r="N1760" t="s">
        <v>69</v>
      </c>
      <c r="O1760" t="s">
        <v>70</v>
      </c>
      <c r="P1760" t="s">
        <v>71</v>
      </c>
      <c r="Q1760" t="s">
        <v>72</v>
      </c>
      <c r="R1760" t="s">
        <v>139</v>
      </c>
      <c r="S1760" t="s">
        <v>144</v>
      </c>
      <c r="T1760" s="2">
        <f>MASTER[[#This Row],[CANTIDAD]]*MASTER[[#This Row],[PRECIO DE VENTA]]</f>
        <v>2030</v>
      </c>
      <c r="U1760" s="2">
        <f>MASTER[[#This Row],[CANTIDAD]]*MASTER[[#This Row],[COSTO UNITARIO]]</f>
        <v>394</v>
      </c>
      <c r="V1760" s="2">
        <f>MASTER[[#This Row],[MONTO VENDIDO]]-MASTER[[#This Row],[COSTO DE VENTA]]</f>
        <v>1636</v>
      </c>
    </row>
    <row r="1761" spans="1:22" x14ac:dyDescent="0.3">
      <c r="A1761">
        <v>32238</v>
      </c>
      <c r="B1761">
        <v>1</v>
      </c>
      <c r="C1761" t="s">
        <v>116</v>
      </c>
      <c r="D1761" t="s">
        <v>117</v>
      </c>
      <c r="E1761" s="1">
        <v>44044</v>
      </c>
      <c r="F1761">
        <v>1</v>
      </c>
      <c r="G1761" t="s">
        <v>31</v>
      </c>
      <c r="H1761" t="s">
        <v>32</v>
      </c>
      <c r="I1761" s="3">
        <v>1529</v>
      </c>
      <c r="J1761" s="3">
        <v>1529</v>
      </c>
      <c r="K1761" s="3">
        <v>388</v>
      </c>
      <c r="L1761" t="s">
        <v>113</v>
      </c>
      <c r="M1761">
        <v>17</v>
      </c>
      <c r="N1761" t="s">
        <v>14</v>
      </c>
      <c r="O1761" t="s">
        <v>11</v>
      </c>
      <c r="P1761" t="s">
        <v>15</v>
      </c>
      <c r="Q1761" t="s">
        <v>16</v>
      </c>
      <c r="R1761" t="s">
        <v>16</v>
      </c>
      <c r="S1761" t="s">
        <v>144</v>
      </c>
      <c r="T1761" s="2">
        <f>MASTER[[#This Row],[CANTIDAD]]*MASTER[[#This Row],[PRECIO DE VENTA]]</f>
        <v>1529</v>
      </c>
      <c r="U1761" s="2">
        <f>MASTER[[#This Row],[CANTIDAD]]*MASTER[[#This Row],[COSTO UNITARIO]]</f>
        <v>388</v>
      </c>
      <c r="V1761" s="2">
        <f>MASTER[[#This Row],[MONTO VENDIDO]]-MASTER[[#This Row],[COSTO DE VENTA]]</f>
        <v>1141</v>
      </c>
    </row>
    <row r="1762" spans="1:22" x14ac:dyDescent="0.3">
      <c r="A1762">
        <v>32240</v>
      </c>
      <c r="B1762">
        <v>1</v>
      </c>
      <c r="C1762" t="s">
        <v>107</v>
      </c>
      <c r="D1762" t="s">
        <v>108</v>
      </c>
      <c r="E1762" s="1">
        <v>44045</v>
      </c>
      <c r="F1762">
        <v>1</v>
      </c>
      <c r="G1762" t="s">
        <v>7</v>
      </c>
      <c r="H1762" t="s">
        <v>8</v>
      </c>
      <c r="I1762" s="3">
        <v>1440</v>
      </c>
      <c r="J1762" s="3">
        <v>1440</v>
      </c>
      <c r="K1762" s="3">
        <v>380</v>
      </c>
      <c r="L1762" t="s">
        <v>98</v>
      </c>
      <c r="M1762">
        <v>3</v>
      </c>
      <c r="N1762" t="s">
        <v>69</v>
      </c>
      <c r="O1762" t="s">
        <v>70</v>
      </c>
      <c r="P1762" t="s">
        <v>71</v>
      </c>
      <c r="Q1762" t="s">
        <v>72</v>
      </c>
      <c r="R1762" t="s">
        <v>139</v>
      </c>
      <c r="S1762" t="s">
        <v>144</v>
      </c>
      <c r="T1762" s="2">
        <f>MASTER[[#This Row],[CANTIDAD]]*MASTER[[#This Row],[PRECIO DE VENTA]]</f>
        <v>1440</v>
      </c>
      <c r="U1762" s="2">
        <f>MASTER[[#This Row],[CANTIDAD]]*MASTER[[#This Row],[COSTO UNITARIO]]</f>
        <v>380</v>
      </c>
      <c r="V1762" s="2">
        <f>MASTER[[#This Row],[MONTO VENDIDO]]-MASTER[[#This Row],[COSTO DE VENTA]]</f>
        <v>1060</v>
      </c>
    </row>
    <row r="1763" spans="1:22" x14ac:dyDescent="0.3">
      <c r="A1763">
        <v>32244</v>
      </c>
      <c r="B1763">
        <v>1</v>
      </c>
      <c r="C1763" t="s">
        <v>121</v>
      </c>
      <c r="D1763" t="s">
        <v>122</v>
      </c>
      <c r="E1763" s="1">
        <v>44045</v>
      </c>
      <c r="F1763">
        <v>3</v>
      </c>
      <c r="G1763" t="s">
        <v>33</v>
      </c>
      <c r="H1763" t="s">
        <v>34</v>
      </c>
      <c r="I1763" s="3">
        <v>1069</v>
      </c>
      <c r="J1763" s="3">
        <v>1069</v>
      </c>
      <c r="K1763" s="3">
        <v>460</v>
      </c>
      <c r="L1763" t="s">
        <v>120</v>
      </c>
      <c r="M1763">
        <v>14</v>
      </c>
      <c r="N1763" t="s">
        <v>87</v>
      </c>
      <c r="O1763" t="s">
        <v>81</v>
      </c>
      <c r="P1763" t="s">
        <v>18</v>
      </c>
      <c r="Q1763" t="s">
        <v>19</v>
      </c>
      <c r="R1763" t="s">
        <v>138</v>
      </c>
      <c r="S1763" t="s">
        <v>144</v>
      </c>
      <c r="T1763" s="2">
        <f>MASTER[[#This Row],[CANTIDAD]]*MASTER[[#This Row],[PRECIO DE VENTA]]</f>
        <v>3207</v>
      </c>
      <c r="U1763" s="2">
        <f>MASTER[[#This Row],[CANTIDAD]]*MASTER[[#This Row],[COSTO UNITARIO]]</f>
        <v>1380</v>
      </c>
      <c r="V1763" s="2">
        <f>MASTER[[#This Row],[MONTO VENDIDO]]-MASTER[[#This Row],[COSTO DE VENTA]]</f>
        <v>1827</v>
      </c>
    </row>
    <row r="1764" spans="1:22" x14ac:dyDescent="0.3">
      <c r="A1764">
        <v>32245</v>
      </c>
      <c r="B1764">
        <v>1</v>
      </c>
      <c r="C1764" t="s">
        <v>103</v>
      </c>
      <c r="D1764" t="s">
        <v>104</v>
      </c>
      <c r="E1764" s="1">
        <v>44045</v>
      </c>
      <c r="F1764">
        <v>1</v>
      </c>
      <c r="G1764" t="s">
        <v>35</v>
      </c>
      <c r="H1764" t="s">
        <v>36</v>
      </c>
      <c r="I1764" s="3">
        <v>1448</v>
      </c>
      <c r="J1764" s="3">
        <v>1448</v>
      </c>
      <c r="K1764" s="3">
        <v>421</v>
      </c>
      <c r="L1764" t="s">
        <v>98</v>
      </c>
      <c r="M1764">
        <v>11</v>
      </c>
      <c r="N1764" t="s">
        <v>10</v>
      </c>
      <c r="O1764" t="s">
        <v>11</v>
      </c>
      <c r="P1764" t="s">
        <v>12</v>
      </c>
      <c r="Q1764" t="s">
        <v>13</v>
      </c>
      <c r="R1764" t="s">
        <v>13</v>
      </c>
      <c r="S1764" t="s">
        <v>144</v>
      </c>
      <c r="T1764" s="2">
        <f>MASTER[[#This Row],[CANTIDAD]]*MASTER[[#This Row],[PRECIO DE VENTA]]</f>
        <v>1448</v>
      </c>
      <c r="U1764" s="2">
        <f>MASTER[[#This Row],[CANTIDAD]]*MASTER[[#This Row],[COSTO UNITARIO]]</f>
        <v>421</v>
      </c>
      <c r="V1764" s="2">
        <f>MASTER[[#This Row],[MONTO VENDIDO]]-MASTER[[#This Row],[COSTO DE VENTA]]</f>
        <v>1027</v>
      </c>
    </row>
    <row r="1765" spans="1:22" x14ac:dyDescent="0.3">
      <c r="A1765">
        <v>32254</v>
      </c>
      <c r="B1765">
        <v>1</v>
      </c>
      <c r="C1765" t="s">
        <v>105</v>
      </c>
      <c r="D1765" t="s">
        <v>106</v>
      </c>
      <c r="E1765" s="1">
        <v>44045</v>
      </c>
      <c r="F1765">
        <v>1</v>
      </c>
      <c r="G1765" t="s">
        <v>57</v>
      </c>
      <c r="H1765" t="s">
        <v>58</v>
      </c>
      <c r="I1765" s="3">
        <v>1865</v>
      </c>
      <c r="J1765" s="3">
        <v>1865</v>
      </c>
      <c r="K1765" s="3">
        <v>459</v>
      </c>
      <c r="L1765" t="s">
        <v>98</v>
      </c>
      <c r="M1765">
        <v>19</v>
      </c>
      <c r="N1765" t="s">
        <v>89</v>
      </c>
      <c r="O1765" t="s">
        <v>81</v>
      </c>
      <c r="P1765" t="s">
        <v>15</v>
      </c>
      <c r="Q1765" t="s">
        <v>16</v>
      </c>
      <c r="R1765" t="s">
        <v>16</v>
      </c>
      <c r="S1765" t="s">
        <v>144</v>
      </c>
      <c r="T1765" s="2">
        <f>MASTER[[#This Row],[CANTIDAD]]*MASTER[[#This Row],[PRECIO DE VENTA]]</f>
        <v>1865</v>
      </c>
      <c r="U1765" s="2">
        <f>MASTER[[#This Row],[CANTIDAD]]*MASTER[[#This Row],[COSTO UNITARIO]]</f>
        <v>459</v>
      </c>
      <c r="V1765" s="2">
        <f>MASTER[[#This Row],[MONTO VENDIDO]]-MASTER[[#This Row],[COSTO DE VENTA]]</f>
        <v>1406</v>
      </c>
    </row>
    <row r="1766" spans="1:22" x14ac:dyDescent="0.3">
      <c r="A1766">
        <v>32258</v>
      </c>
      <c r="B1766">
        <v>1</v>
      </c>
      <c r="C1766" t="s">
        <v>109</v>
      </c>
      <c r="D1766" t="s">
        <v>110</v>
      </c>
      <c r="E1766" s="1">
        <v>44045</v>
      </c>
      <c r="F1766">
        <v>1</v>
      </c>
      <c r="G1766" t="s">
        <v>20</v>
      </c>
      <c r="H1766" t="s">
        <v>21</v>
      </c>
      <c r="I1766" s="3">
        <v>1064</v>
      </c>
      <c r="J1766" s="3">
        <v>1064</v>
      </c>
      <c r="K1766" s="3">
        <v>387</v>
      </c>
      <c r="L1766" t="s">
        <v>98</v>
      </c>
      <c r="M1766">
        <v>14</v>
      </c>
      <c r="N1766" t="s">
        <v>87</v>
      </c>
      <c r="O1766" t="s">
        <v>81</v>
      </c>
      <c r="P1766" t="s">
        <v>18</v>
      </c>
      <c r="Q1766" t="s">
        <v>19</v>
      </c>
      <c r="R1766" t="s">
        <v>138</v>
      </c>
      <c r="S1766" t="s">
        <v>144</v>
      </c>
      <c r="T1766" s="2">
        <f>MASTER[[#This Row],[CANTIDAD]]*MASTER[[#This Row],[PRECIO DE VENTA]]</f>
        <v>1064</v>
      </c>
      <c r="U1766" s="2">
        <f>MASTER[[#This Row],[CANTIDAD]]*MASTER[[#This Row],[COSTO UNITARIO]]</f>
        <v>387</v>
      </c>
      <c r="V1766" s="2">
        <f>MASTER[[#This Row],[MONTO VENDIDO]]-MASTER[[#This Row],[COSTO DE VENTA]]</f>
        <v>677</v>
      </c>
    </row>
    <row r="1767" spans="1:22" x14ac:dyDescent="0.3">
      <c r="A1767">
        <v>32272</v>
      </c>
      <c r="B1767">
        <v>1</v>
      </c>
      <c r="C1767" t="s">
        <v>92</v>
      </c>
      <c r="D1767" t="s">
        <v>93</v>
      </c>
      <c r="E1767" s="1">
        <v>44045</v>
      </c>
      <c r="F1767">
        <v>1</v>
      </c>
      <c r="G1767" t="s">
        <v>57</v>
      </c>
      <c r="H1767" t="s">
        <v>58</v>
      </c>
      <c r="I1767" s="3">
        <v>1681</v>
      </c>
      <c r="J1767" s="3">
        <v>1681</v>
      </c>
      <c r="K1767" s="3">
        <v>396</v>
      </c>
      <c r="L1767" t="s">
        <v>9</v>
      </c>
      <c r="M1767">
        <v>8</v>
      </c>
      <c r="N1767" t="s">
        <v>80</v>
      </c>
      <c r="O1767" t="s">
        <v>81</v>
      </c>
      <c r="P1767" t="s">
        <v>12</v>
      </c>
      <c r="Q1767" t="s">
        <v>13</v>
      </c>
      <c r="R1767" t="s">
        <v>13</v>
      </c>
      <c r="S1767" t="s">
        <v>144</v>
      </c>
      <c r="T1767" s="2">
        <f>MASTER[[#This Row],[CANTIDAD]]*MASTER[[#This Row],[PRECIO DE VENTA]]</f>
        <v>1681</v>
      </c>
      <c r="U1767" s="2">
        <f>MASTER[[#This Row],[CANTIDAD]]*MASTER[[#This Row],[COSTO UNITARIO]]</f>
        <v>396</v>
      </c>
      <c r="V1767" s="2">
        <f>MASTER[[#This Row],[MONTO VENDIDO]]-MASTER[[#This Row],[COSTO DE VENTA]]</f>
        <v>1285</v>
      </c>
    </row>
    <row r="1768" spans="1:22" x14ac:dyDescent="0.3">
      <c r="A1768">
        <v>32282</v>
      </c>
      <c r="B1768">
        <v>1</v>
      </c>
      <c r="C1768" t="s">
        <v>103</v>
      </c>
      <c r="D1768" t="s">
        <v>104</v>
      </c>
      <c r="E1768" s="1">
        <v>44045</v>
      </c>
      <c r="F1768">
        <v>1</v>
      </c>
      <c r="G1768" t="s">
        <v>24</v>
      </c>
      <c r="H1768" t="s">
        <v>25</v>
      </c>
      <c r="I1768" s="3">
        <v>1448</v>
      </c>
      <c r="J1768" s="3">
        <v>1448</v>
      </c>
      <c r="K1768" s="3">
        <v>421</v>
      </c>
      <c r="L1768" t="s">
        <v>98</v>
      </c>
      <c r="M1768">
        <v>16</v>
      </c>
      <c r="N1768" t="s">
        <v>17</v>
      </c>
      <c r="O1768" t="s">
        <v>11</v>
      </c>
      <c r="P1768" t="s">
        <v>18</v>
      </c>
      <c r="Q1768" t="s">
        <v>19</v>
      </c>
      <c r="R1768" t="s">
        <v>138</v>
      </c>
      <c r="S1768" t="s">
        <v>144</v>
      </c>
      <c r="T1768" s="2">
        <f>MASTER[[#This Row],[CANTIDAD]]*MASTER[[#This Row],[PRECIO DE VENTA]]</f>
        <v>1448</v>
      </c>
      <c r="U1768" s="2">
        <f>MASTER[[#This Row],[CANTIDAD]]*MASTER[[#This Row],[COSTO UNITARIO]]</f>
        <v>421</v>
      </c>
      <c r="V1768" s="2">
        <f>MASTER[[#This Row],[MONTO VENDIDO]]-MASTER[[#This Row],[COSTO DE VENTA]]</f>
        <v>1027</v>
      </c>
    </row>
    <row r="1769" spans="1:22" x14ac:dyDescent="0.3">
      <c r="A1769">
        <v>32299</v>
      </c>
      <c r="B1769">
        <v>1</v>
      </c>
      <c r="C1769" t="s">
        <v>116</v>
      </c>
      <c r="D1769" t="s">
        <v>117</v>
      </c>
      <c r="E1769" s="1">
        <v>44045</v>
      </c>
      <c r="F1769">
        <v>1</v>
      </c>
      <c r="G1769" t="s">
        <v>39</v>
      </c>
      <c r="H1769" t="s">
        <v>40</v>
      </c>
      <c r="I1769" s="3">
        <v>1738</v>
      </c>
      <c r="J1769" s="3">
        <v>1738</v>
      </c>
      <c r="K1769" s="3">
        <v>388</v>
      </c>
      <c r="L1769" t="s">
        <v>113</v>
      </c>
      <c r="M1769">
        <v>2</v>
      </c>
      <c r="N1769" t="s">
        <v>86</v>
      </c>
      <c r="O1769" t="s">
        <v>81</v>
      </c>
      <c r="P1769" t="s">
        <v>71</v>
      </c>
      <c r="Q1769" t="s">
        <v>72</v>
      </c>
      <c r="R1769" t="s">
        <v>139</v>
      </c>
      <c r="S1769" t="s">
        <v>144</v>
      </c>
      <c r="T1769" s="2">
        <f>MASTER[[#This Row],[CANTIDAD]]*MASTER[[#This Row],[PRECIO DE VENTA]]</f>
        <v>1738</v>
      </c>
      <c r="U1769" s="2">
        <f>MASTER[[#This Row],[CANTIDAD]]*MASTER[[#This Row],[COSTO UNITARIO]]</f>
        <v>388</v>
      </c>
      <c r="V1769" s="2">
        <f>MASTER[[#This Row],[MONTO VENDIDO]]-MASTER[[#This Row],[COSTO DE VENTA]]</f>
        <v>1350</v>
      </c>
    </row>
    <row r="1770" spans="1:22" x14ac:dyDescent="0.3">
      <c r="A1770">
        <v>32306</v>
      </c>
      <c r="B1770">
        <v>1</v>
      </c>
      <c r="C1770" t="s">
        <v>94</v>
      </c>
      <c r="D1770" t="s">
        <v>95</v>
      </c>
      <c r="E1770" s="1">
        <v>44045</v>
      </c>
      <c r="F1770">
        <v>1</v>
      </c>
      <c r="G1770" t="s">
        <v>55</v>
      </c>
      <c r="H1770" t="s">
        <v>56</v>
      </c>
      <c r="I1770" s="3">
        <v>1048</v>
      </c>
      <c r="J1770" s="3">
        <v>1048</v>
      </c>
      <c r="K1770" s="3">
        <v>392</v>
      </c>
      <c r="L1770" t="s">
        <v>9</v>
      </c>
      <c r="M1770">
        <v>10</v>
      </c>
      <c r="N1770" t="s">
        <v>83</v>
      </c>
      <c r="O1770" t="s">
        <v>81</v>
      </c>
      <c r="P1770" t="s">
        <v>12</v>
      </c>
      <c r="Q1770" t="s">
        <v>13</v>
      </c>
      <c r="R1770" t="s">
        <v>13</v>
      </c>
      <c r="S1770" t="s">
        <v>144</v>
      </c>
      <c r="T1770" s="2">
        <f>MASTER[[#This Row],[CANTIDAD]]*MASTER[[#This Row],[PRECIO DE VENTA]]</f>
        <v>1048</v>
      </c>
      <c r="U1770" s="2">
        <f>MASTER[[#This Row],[CANTIDAD]]*MASTER[[#This Row],[COSTO UNITARIO]]</f>
        <v>392</v>
      </c>
      <c r="V1770" s="2">
        <f>MASTER[[#This Row],[MONTO VENDIDO]]-MASTER[[#This Row],[COSTO DE VENTA]]</f>
        <v>656</v>
      </c>
    </row>
    <row r="1771" spans="1:22" x14ac:dyDescent="0.3">
      <c r="A1771">
        <v>32313</v>
      </c>
      <c r="B1771">
        <v>2</v>
      </c>
      <c r="C1771" t="s">
        <v>90</v>
      </c>
      <c r="D1771" t="s">
        <v>91</v>
      </c>
      <c r="E1771" s="1">
        <v>44046</v>
      </c>
      <c r="F1771">
        <v>1</v>
      </c>
      <c r="G1771" t="s">
        <v>63</v>
      </c>
      <c r="H1771" t="s">
        <v>64</v>
      </c>
      <c r="I1771" s="3">
        <v>1844</v>
      </c>
      <c r="J1771" s="3">
        <v>1714</v>
      </c>
      <c r="K1771" s="3">
        <v>420</v>
      </c>
      <c r="L1771" t="s">
        <v>9</v>
      </c>
      <c r="M1771">
        <v>8</v>
      </c>
      <c r="N1771" t="s">
        <v>80</v>
      </c>
      <c r="O1771" t="s">
        <v>81</v>
      </c>
      <c r="P1771" t="s">
        <v>12</v>
      </c>
      <c r="Q1771" t="s">
        <v>13</v>
      </c>
      <c r="R1771" t="s">
        <v>13</v>
      </c>
      <c r="S1771" t="s">
        <v>144</v>
      </c>
      <c r="T1771" s="2">
        <f>MASTER[[#This Row],[CANTIDAD]]*MASTER[[#This Row],[PRECIO DE VENTA]]</f>
        <v>1714</v>
      </c>
      <c r="U1771" s="2">
        <f>MASTER[[#This Row],[CANTIDAD]]*MASTER[[#This Row],[COSTO UNITARIO]]</f>
        <v>420</v>
      </c>
      <c r="V1771" s="2">
        <f>MASTER[[#This Row],[MONTO VENDIDO]]-MASTER[[#This Row],[COSTO DE VENTA]]</f>
        <v>1294</v>
      </c>
    </row>
    <row r="1772" spans="1:22" x14ac:dyDescent="0.3">
      <c r="A1772">
        <v>32313</v>
      </c>
      <c r="B1772">
        <v>1</v>
      </c>
      <c r="C1772" t="s">
        <v>105</v>
      </c>
      <c r="D1772" t="s">
        <v>106</v>
      </c>
      <c r="E1772" s="1">
        <v>44046</v>
      </c>
      <c r="F1772">
        <v>1</v>
      </c>
      <c r="G1772" t="s">
        <v>59</v>
      </c>
      <c r="H1772" t="s">
        <v>60</v>
      </c>
      <c r="I1772" s="3">
        <v>1865</v>
      </c>
      <c r="J1772" s="3">
        <v>1865</v>
      </c>
      <c r="K1772" s="3">
        <v>459</v>
      </c>
      <c r="L1772" t="s">
        <v>98</v>
      </c>
      <c r="M1772">
        <v>8</v>
      </c>
      <c r="N1772" t="s">
        <v>80</v>
      </c>
      <c r="O1772" t="s">
        <v>81</v>
      </c>
      <c r="P1772" t="s">
        <v>12</v>
      </c>
      <c r="Q1772" t="s">
        <v>13</v>
      </c>
      <c r="R1772" t="s">
        <v>13</v>
      </c>
      <c r="S1772" t="s">
        <v>144</v>
      </c>
      <c r="T1772" s="2">
        <f>MASTER[[#This Row],[CANTIDAD]]*MASTER[[#This Row],[PRECIO DE VENTA]]</f>
        <v>1865</v>
      </c>
      <c r="U1772" s="2">
        <f>MASTER[[#This Row],[CANTIDAD]]*MASTER[[#This Row],[COSTO UNITARIO]]</f>
        <v>459</v>
      </c>
      <c r="V1772" s="2">
        <f>MASTER[[#This Row],[MONTO VENDIDO]]-MASTER[[#This Row],[COSTO DE VENTA]]</f>
        <v>1406</v>
      </c>
    </row>
    <row r="1773" spans="1:22" x14ac:dyDescent="0.3">
      <c r="A1773">
        <v>32351</v>
      </c>
      <c r="B1773">
        <v>1</v>
      </c>
      <c r="C1773" t="s">
        <v>114</v>
      </c>
      <c r="D1773" t="s">
        <v>115</v>
      </c>
      <c r="E1773" s="1">
        <v>44046</v>
      </c>
      <c r="F1773">
        <v>1</v>
      </c>
      <c r="G1773" t="s">
        <v>53</v>
      </c>
      <c r="H1773" t="s">
        <v>54</v>
      </c>
      <c r="I1773" s="3">
        <v>1862</v>
      </c>
      <c r="J1773" s="3">
        <v>1713</v>
      </c>
      <c r="K1773" s="3">
        <v>394</v>
      </c>
      <c r="L1773" t="s">
        <v>113</v>
      </c>
      <c r="M1773">
        <v>4</v>
      </c>
      <c r="N1773" t="s">
        <v>82</v>
      </c>
      <c r="O1773" t="s">
        <v>81</v>
      </c>
      <c r="P1773" t="s">
        <v>71</v>
      </c>
      <c r="Q1773" t="s">
        <v>72</v>
      </c>
      <c r="R1773" t="s">
        <v>139</v>
      </c>
      <c r="S1773" t="s">
        <v>144</v>
      </c>
      <c r="T1773" s="2">
        <f>MASTER[[#This Row],[CANTIDAD]]*MASTER[[#This Row],[PRECIO DE VENTA]]</f>
        <v>1713</v>
      </c>
      <c r="U1773" s="2">
        <f>MASTER[[#This Row],[CANTIDAD]]*MASTER[[#This Row],[COSTO UNITARIO]]</f>
        <v>394</v>
      </c>
      <c r="V1773" s="2">
        <f>MASTER[[#This Row],[MONTO VENDIDO]]-MASTER[[#This Row],[COSTO DE VENTA]]</f>
        <v>1319</v>
      </c>
    </row>
    <row r="1774" spans="1:22" x14ac:dyDescent="0.3">
      <c r="A1774">
        <v>32357</v>
      </c>
      <c r="B1774">
        <v>1</v>
      </c>
      <c r="C1774" t="s">
        <v>5</v>
      </c>
      <c r="D1774" t="s">
        <v>6</v>
      </c>
      <c r="E1774" s="1">
        <v>44046</v>
      </c>
      <c r="F1774">
        <v>2</v>
      </c>
      <c r="G1774" t="s">
        <v>47</v>
      </c>
      <c r="H1774" t="s">
        <v>48</v>
      </c>
      <c r="I1774" s="3">
        <v>1507</v>
      </c>
      <c r="J1774" s="3">
        <v>1507</v>
      </c>
      <c r="K1774" s="3">
        <v>393</v>
      </c>
      <c r="L1774" t="s">
        <v>9</v>
      </c>
      <c r="M1774">
        <v>8</v>
      </c>
      <c r="N1774" t="s">
        <v>80</v>
      </c>
      <c r="O1774" t="s">
        <v>81</v>
      </c>
      <c r="P1774" t="s">
        <v>12</v>
      </c>
      <c r="Q1774" t="s">
        <v>13</v>
      </c>
      <c r="R1774" t="s">
        <v>13</v>
      </c>
      <c r="S1774" t="s">
        <v>144</v>
      </c>
      <c r="T1774" s="2">
        <f>MASTER[[#This Row],[CANTIDAD]]*MASTER[[#This Row],[PRECIO DE VENTA]]</f>
        <v>3014</v>
      </c>
      <c r="U1774" s="2">
        <f>MASTER[[#This Row],[CANTIDAD]]*MASTER[[#This Row],[COSTO UNITARIO]]</f>
        <v>786</v>
      </c>
      <c r="V1774" s="2">
        <f>MASTER[[#This Row],[MONTO VENDIDO]]-MASTER[[#This Row],[COSTO DE VENTA]]</f>
        <v>2228</v>
      </c>
    </row>
    <row r="1775" spans="1:22" x14ac:dyDescent="0.3">
      <c r="A1775">
        <v>32358</v>
      </c>
      <c r="B1775">
        <v>1</v>
      </c>
      <c r="C1775" t="s">
        <v>109</v>
      </c>
      <c r="D1775" t="s">
        <v>110</v>
      </c>
      <c r="E1775" s="1">
        <v>44046</v>
      </c>
      <c r="F1775">
        <v>1</v>
      </c>
      <c r="G1775" t="s">
        <v>73</v>
      </c>
      <c r="H1775" t="s">
        <v>74</v>
      </c>
      <c r="I1775" s="3">
        <v>1064</v>
      </c>
      <c r="J1775" s="3">
        <v>968</v>
      </c>
      <c r="K1775" s="3">
        <v>387</v>
      </c>
      <c r="L1775" t="s">
        <v>98</v>
      </c>
      <c r="M1775">
        <v>7</v>
      </c>
      <c r="N1775" t="s">
        <v>84</v>
      </c>
      <c r="O1775" t="s">
        <v>81</v>
      </c>
      <c r="P1775" t="s">
        <v>12</v>
      </c>
      <c r="Q1775" t="s">
        <v>13</v>
      </c>
      <c r="R1775" t="s">
        <v>13</v>
      </c>
      <c r="S1775" t="s">
        <v>144</v>
      </c>
      <c r="T1775" s="2">
        <f>MASTER[[#This Row],[CANTIDAD]]*MASTER[[#This Row],[PRECIO DE VENTA]]</f>
        <v>968</v>
      </c>
      <c r="U1775" s="2">
        <f>MASTER[[#This Row],[CANTIDAD]]*MASTER[[#This Row],[COSTO UNITARIO]]</f>
        <v>387</v>
      </c>
      <c r="V1775" s="2">
        <f>MASTER[[#This Row],[MONTO VENDIDO]]-MASTER[[#This Row],[COSTO DE VENTA]]</f>
        <v>581</v>
      </c>
    </row>
    <row r="1776" spans="1:22" x14ac:dyDescent="0.3">
      <c r="A1776">
        <v>32362</v>
      </c>
      <c r="B1776">
        <v>1</v>
      </c>
      <c r="C1776" t="s">
        <v>121</v>
      </c>
      <c r="D1776" t="s">
        <v>122</v>
      </c>
      <c r="E1776" s="1">
        <v>44046</v>
      </c>
      <c r="F1776">
        <v>1</v>
      </c>
      <c r="G1776" t="s">
        <v>33</v>
      </c>
      <c r="H1776" t="s">
        <v>34</v>
      </c>
      <c r="I1776" s="3">
        <v>1144</v>
      </c>
      <c r="J1776" s="3">
        <v>1144</v>
      </c>
      <c r="K1776" s="3">
        <v>460</v>
      </c>
      <c r="L1776" t="s">
        <v>120</v>
      </c>
      <c r="M1776">
        <v>6</v>
      </c>
      <c r="N1776" t="s">
        <v>75</v>
      </c>
      <c r="O1776" t="s">
        <v>70</v>
      </c>
      <c r="P1776" t="s">
        <v>12</v>
      </c>
      <c r="Q1776" t="s">
        <v>13</v>
      </c>
      <c r="R1776" t="s">
        <v>13</v>
      </c>
      <c r="S1776" t="s">
        <v>144</v>
      </c>
      <c r="T1776" s="2">
        <f>MASTER[[#This Row],[CANTIDAD]]*MASTER[[#This Row],[PRECIO DE VENTA]]</f>
        <v>1144</v>
      </c>
      <c r="U1776" s="2">
        <f>MASTER[[#This Row],[CANTIDAD]]*MASTER[[#This Row],[COSTO UNITARIO]]</f>
        <v>460</v>
      </c>
      <c r="V1776" s="2">
        <f>MASTER[[#This Row],[MONTO VENDIDO]]-MASTER[[#This Row],[COSTO DE VENTA]]</f>
        <v>684</v>
      </c>
    </row>
    <row r="1777" spans="1:22" x14ac:dyDescent="0.3">
      <c r="A1777">
        <v>32368</v>
      </c>
      <c r="B1777">
        <v>1</v>
      </c>
      <c r="C1777" t="s">
        <v>121</v>
      </c>
      <c r="D1777" t="s">
        <v>122</v>
      </c>
      <c r="E1777" s="1">
        <v>44046</v>
      </c>
      <c r="F1777">
        <v>1</v>
      </c>
      <c r="G1777" t="s">
        <v>51</v>
      </c>
      <c r="H1777" t="s">
        <v>52</v>
      </c>
      <c r="I1777" s="3">
        <v>1144</v>
      </c>
      <c r="J1777" s="3">
        <v>1144</v>
      </c>
      <c r="K1777" s="3">
        <v>460</v>
      </c>
      <c r="L1777" t="s">
        <v>120</v>
      </c>
      <c r="M1777">
        <v>18</v>
      </c>
      <c r="N1777" t="s">
        <v>79</v>
      </c>
      <c r="O1777" t="s">
        <v>70</v>
      </c>
      <c r="P1777" t="s">
        <v>15</v>
      </c>
      <c r="Q1777" t="s">
        <v>16</v>
      </c>
      <c r="R1777" t="s">
        <v>16</v>
      </c>
      <c r="S1777" t="s">
        <v>144</v>
      </c>
      <c r="T1777" s="2">
        <f>MASTER[[#This Row],[CANTIDAD]]*MASTER[[#This Row],[PRECIO DE VENTA]]</f>
        <v>1144</v>
      </c>
      <c r="U1777" s="2">
        <f>MASTER[[#This Row],[CANTIDAD]]*MASTER[[#This Row],[COSTO UNITARIO]]</f>
        <v>460</v>
      </c>
      <c r="V1777" s="2">
        <f>MASTER[[#This Row],[MONTO VENDIDO]]-MASTER[[#This Row],[COSTO DE VENTA]]</f>
        <v>684</v>
      </c>
    </row>
    <row r="1778" spans="1:22" x14ac:dyDescent="0.3">
      <c r="A1778">
        <v>32383</v>
      </c>
      <c r="B1778">
        <v>1</v>
      </c>
      <c r="C1778" t="s">
        <v>92</v>
      </c>
      <c r="D1778" t="s">
        <v>93</v>
      </c>
      <c r="E1778" s="1">
        <v>44046</v>
      </c>
      <c r="F1778">
        <v>1</v>
      </c>
      <c r="G1778" t="s">
        <v>67</v>
      </c>
      <c r="H1778" t="s">
        <v>68</v>
      </c>
      <c r="I1778" s="3">
        <v>1681</v>
      </c>
      <c r="J1778" s="3">
        <v>1681</v>
      </c>
      <c r="K1778" s="3">
        <v>396</v>
      </c>
      <c r="L1778" t="s">
        <v>9</v>
      </c>
      <c r="M1778">
        <v>15</v>
      </c>
      <c r="N1778" t="s">
        <v>88</v>
      </c>
      <c r="O1778" t="s">
        <v>81</v>
      </c>
      <c r="P1778" t="s">
        <v>18</v>
      </c>
      <c r="Q1778" t="s">
        <v>19</v>
      </c>
      <c r="R1778" t="s">
        <v>138</v>
      </c>
      <c r="S1778" t="s">
        <v>144</v>
      </c>
      <c r="T1778" s="2">
        <f>MASTER[[#This Row],[CANTIDAD]]*MASTER[[#This Row],[PRECIO DE VENTA]]</f>
        <v>1681</v>
      </c>
      <c r="U1778" s="2">
        <f>MASTER[[#This Row],[CANTIDAD]]*MASTER[[#This Row],[COSTO UNITARIO]]</f>
        <v>396</v>
      </c>
      <c r="V1778" s="2">
        <f>MASTER[[#This Row],[MONTO VENDIDO]]-MASTER[[#This Row],[COSTO DE VENTA]]</f>
        <v>1285</v>
      </c>
    </row>
    <row r="1779" spans="1:22" x14ac:dyDescent="0.3">
      <c r="A1779">
        <v>32394</v>
      </c>
      <c r="B1779">
        <v>1</v>
      </c>
      <c r="C1779" t="s">
        <v>90</v>
      </c>
      <c r="D1779" t="s">
        <v>91</v>
      </c>
      <c r="E1779" s="1">
        <v>44047</v>
      </c>
      <c r="F1779">
        <v>4</v>
      </c>
      <c r="G1779" t="s">
        <v>65</v>
      </c>
      <c r="H1779" t="s">
        <v>66</v>
      </c>
      <c r="I1779" s="3">
        <v>2102</v>
      </c>
      <c r="J1779" s="3">
        <v>2102</v>
      </c>
      <c r="K1779" s="3">
        <v>420</v>
      </c>
      <c r="L1779" t="s">
        <v>9</v>
      </c>
      <c r="M1779">
        <v>1</v>
      </c>
      <c r="N1779" t="s">
        <v>77</v>
      </c>
      <c r="O1779" t="s">
        <v>70</v>
      </c>
      <c r="P1779" t="s">
        <v>71</v>
      </c>
      <c r="Q1779" t="s">
        <v>72</v>
      </c>
      <c r="R1779" t="s">
        <v>139</v>
      </c>
      <c r="S1779" t="s">
        <v>144</v>
      </c>
      <c r="T1779" s="2">
        <f>MASTER[[#This Row],[CANTIDAD]]*MASTER[[#This Row],[PRECIO DE VENTA]]</f>
        <v>8408</v>
      </c>
      <c r="U1779" s="2">
        <f>MASTER[[#This Row],[CANTIDAD]]*MASTER[[#This Row],[COSTO UNITARIO]]</f>
        <v>1680</v>
      </c>
      <c r="V1779" s="2">
        <f>MASTER[[#This Row],[MONTO VENDIDO]]-MASTER[[#This Row],[COSTO DE VENTA]]</f>
        <v>6728</v>
      </c>
    </row>
    <row r="1780" spans="1:22" x14ac:dyDescent="0.3">
      <c r="A1780">
        <v>32404</v>
      </c>
      <c r="B1780">
        <v>1</v>
      </c>
      <c r="C1780" t="s">
        <v>105</v>
      </c>
      <c r="D1780" t="s">
        <v>106</v>
      </c>
      <c r="E1780" s="1">
        <v>44047</v>
      </c>
      <c r="F1780">
        <v>1</v>
      </c>
      <c r="G1780" t="s">
        <v>53</v>
      </c>
      <c r="H1780" t="s">
        <v>54</v>
      </c>
      <c r="I1780" s="3">
        <v>2033</v>
      </c>
      <c r="J1780" s="3">
        <v>2033</v>
      </c>
      <c r="K1780" s="3">
        <v>459</v>
      </c>
      <c r="L1780" t="s">
        <v>98</v>
      </c>
      <c r="M1780">
        <v>1</v>
      </c>
      <c r="N1780" t="s">
        <v>77</v>
      </c>
      <c r="O1780" t="s">
        <v>70</v>
      </c>
      <c r="P1780" t="s">
        <v>71</v>
      </c>
      <c r="Q1780" t="s">
        <v>72</v>
      </c>
      <c r="R1780" t="s">
        <v>139</v>
      </c>
      <c r="S1780" t="s">
        <v>144</v>
      </c>
      <c r="T1780" s="2">
        <f>MASTER[[#This Row],[CANTIDAD]]*MASTER[[#This Row],[PRECIO DE VENTA]]</f>
        <v>2033</v>
      </c>
      <c r="U1780" s="2">
        <f>MASTER[[#This Row],[CANTIDAD]]*MASTER[[#This Row],[COSTO UNITARIO]]</f>
        <v>459</v>
      </c>
      <c r="V1780" s="2">
        <f>MASTER[[#This Row],[MONTO VENDIDO]]-MASTER[[#This Row],[COSTO DE VENTA]]</f>
        <v>1574</v>
      </c>
    </row>
    <row r="1781" spans="1:22" x14ac:dyDescent="0.3">
      <c r="A1781">
        <v>32412</v>
      </c>
      <c r="B1781">
        <v>1</v>
      </c>
      <c r="C1781" t="s">
        <v>90</v>
      </c>
      <c r="D1781" t="s">
        <v>91</v>
      </c>
      <c r="E1781" s="1">
        <v>44047</v>
      </c>
      <c r="F1781">
        <v>1</v>
      </c>
      <c r="G1781" t="s">
        <v>29</v>
      </c>
      <c r="H1781" t="s">
        <v>30</v>
      </c>
      <c r="I1781" s="3">
        <v>1844</v>
      </c>
      <c r="J1781" s="3">
        <v>1844</v>
      </c>
      <c r="K1781" s="3">
        <v>420</v>
      </c>
      <c r="L1781" t="s">
        <v>9</v>
      </c>
      <c r="M1781">
        <v>19</v>
      </c>
      <c r="N1781" t="s">
        <v>89</v>
      </c>
      <c r="O1781" t="s">
        <v>81</v>
      </c>
      <c r="P1781" t="s">
        <v>15</v>
      </c>
      <c r="Q1781" t="s">
        <v>16</v>
      </c>
      <c r="R1781" t="s">
        <v>16</v>
      </c>
      <c r="S1781" t="s">
        <v>144</v>
      </c>
      <c r="T1781" s="2">
        <f>MASTER[[#This Row],[CANTIDAD]]*MASTER[[#This Row],[PRECIO DE VENTA]]</f>
        <v>1844</v>
      </c>
      <c r="U1781" s="2">
        <f>MASTER[[#This Row],[CANTIDAD]]*MASTER[[#This Row],[COSTO UNITARIO]]</f>
        <v>420</v>
      </c>
      <c r="V1781" s="2">
        <f>MASTER[[#This Row],[MONTO VENDIDO]]-MASTER[[#This Row],[COSTO DE VENTA]]</f>
        <v>1424</v>
      </c>
    </row>
    <row r="1782" spans="1:22" x14ac:dyDescent="0.3">
      <c r="A1782">
        <v>32457</v>
      </c>
      <c r="B1782">
        <v>1</v>
      </c>
      <c r="C1782" t="s">
        <v>99</v>
      </c>
      <c r="D1782" t="s">
        <v>100</v>
      </c>
      <c r="E1782" s="1">
        <v>44047</v>
      </c>
      <c r="F1782">
        <v>1</v>
      </c>
      <c r="G1782" t="s">
        <v>45</v>
      </c>
      <c r="H1782" t="s">
        <v>46</v>
      </c>
      <c r="I1782" s="3">
        <v>1459</v>
      </c>
      <c r="J1782" s="3">
        <v>1459</v>
      </c>
      <c r="K1782" s="3">
        <v>386</v>
      </c>
      <c r="L1782" t="s">
        <v>98</v>
      </c>
      <c r="M1782">
        <v>2</v>
      </c>
      <c r="N1782" t="s">
        <v>86</v>
      </c>
      <c r="O1782" t="s">
        <v>81</v>
      </c>
      <c r="P1782" t="s">
        <v>71</v>
      </c>
      <c r="Q1782" t="s">
        <v>72</v>
      </c>
      <c r="R1782" t="s">
        <v>139</v>
      </c>
      <c r="S1782" t="s">
        <v>144</v>
      </c>
      <c r="T1782" s="2">
        <f>MASTER[[#This Row],[CANTIDAD]]*MASTER[[#This Row],[PRECIO DE VENTA]]</f>
        <v>1459</v>
      </c>
      <c r="U1782" s="2">
        <f>MASTER[[#This Row],[CANTIDAD]]*MASTER[[#This Row],[COSTO UNITARIO]]</f>
        <v>386</v>
      </c>
      <c r="V1782" s="2">
        <f>MASTER[[#This Row],[MONTO VENDIDO]]-MASTER[[#This Row],[COSTO DE VENTA]]</f>
        <v>1073</v>
      </c>
    </row>
    <row r="1783" spans="1:22" x14ac:dyDescent="0.3">
      <c r="A1783">
        <v>32466</v>
      </c>
      <c r="B1783">
        <v>1</v>
      </c>
      <c r="C1783" t="s">
        <v>118</v>
      </c>
      <c r="D1783" t="s">
        <v>119</v>
      </c>
      <c r="E1783" s="1">
        <v>44047</v>
      </c>
      <c r="F1783">
        <v>1</v>
      </c>
      <c r="G1783" t="s">
        <v>43</v>
      </c>
      <c r="H1783" t="s">
        <v>44</v>
      </c>
      <c r="I1783" s="3">
        <v>900</v>
      </c>
      <c r="J1783" s="3">
        <v>900</v>
      </c>
      <c r="K1783" s="3">
        <v>424</v>
      </c>
      <c r="L1783" t="s">
        <v>120</v>
      </c>
      <c r="M1783">
        <v>15</v>
      </c>
      <c r="N1783" t="s">
        <v>88</v>
      </c>
      <c r="O1783" t="s">
        <v>81</v>
      </c>
      <c r="P1783" t="s">
        <v>18</v>
      </c>
      <c r="Q1783" t="s">
        <v>19</v>
      </c>
      <c r="R1783" t="s">
        <v>138</v>
      </c>
      <c r="S1783" t="s">
        <v>144</v>
      </c>
      <c r="T1783" s="2">
        <f>MASTER[[#This Row],[CANTIDAD]]*MASTER[[#This Row],[PRECIO DE VENTA]]</f>
        <v>900</v>
      </c>
      <c r="U1783" s="2">
        <f>MASTER[[#This Row],[CANTIDAD]]*MASTER[[#This Row],[COSTO UNITARIO]]</f>
        <v>424</v>
      </c>
      <c r="V1783" s="2">
        <f>MASTER[[#This Row],[MONTO VENDIDO]]-MASTER[[#This Row],[COSTO DE VENTA]]</f>
        <v>476</v>
      </c>
    </row>
    <row r="1784" spans="1:22" x14ac:dyDescent="0.3">
      <c r="A1784">
        <v>32467</v>
      </c>
      <c r="B1784">
        <v>1</v>
      </c>
      <c r="C1784" t="s">
        <v>90</v>
      </c>
      <c r="D1784" t="s">
        <v>91</v>
      </c>
      <c r="E1784" s="1">
        <v>44047</v>
      </c>
      <c r="F1784">
        <v>1</v>
      </c>
      <c r="G1784" t="s">
        <v>57</v>
      </c>
      <c r="H1784" t="s">
        <v>58</v>
      </c>
      <c r="I1784" s="3">
        <v>1660</v>
      </c>
      <c r="J1784" s="3">
        <v>1660</v>
      </c>
      <c r="K1784" s="3">
        <v>420</v>
      </c>
      <c r="L1784" t="s">
        <v>9</v>
      </c>
      <c r="M1784">
        <v>11</v>
      </c>
      <c r="N1784" t="s">
        <v>10</v>
      </c>
      <c r="O1784" t="s">
        <v>11</v>
      </c>
      <c r="P1784" t="s">
        <v>12</v>
      </c>
      <c r="Q1784" t="s">
        <v>13</v>
      </c>
      <c r="R1784" t="s">
        <v>13</v>
      </c>
      <c r="S1784" t="s">
        <v>144</v>
      </c>
      <c r="T1784" s="2">
        <f>MASTER[[#This Row],[CANTIDAD]]*MASTER[[#This Row],[PRECIO DE VENTA]]</f>
        <v>1660</v>
      </c>
      <c r="U1784" s="2">
        <f>MASTER[[#This Row],[CANTIDAD]]*MASTER[[#This Row],[COSTO UNITARIO]]</f>
        <v>420</v>
      </c>
      <c r="V1784" s="2">
        <f>MASTER[[#This Row],[MONTO VENDIDO]]-MASTER[[#This Row],[COSTO DE VENTA]]</f>
        <v>1240</v>
      </c>
    </row>
    <row r="1785" spans="1:22" x14ac:dyDescent="0.3">
      <c r="A1785">
        <v>32481</v>
      </c>
      <c r="B1785">
        <v>1</v>
      </c>
      <c r="C1785" t="s">
        <v>90</v>
      </c>
      <c r="D1785" t="s">
        <v>91</v>
      </c>
      <c r="E1785" s="1">
        <v>44047</v>
      </c>
      <c r="F1785">
        <v>1</v>
      </c>
      <c r="G1785" t="s">
        <v>57</v>
      </c>
      <c r="H1785" t="s">
        <v>58</v>
      </c>
      <c r="I1785" s="3">
        <v>2102</v>
      </c>
      <c r="J1785" s="3">
        <v>2102</v>
      </c>
      <c r="K1785" s="3">
        <v>420</v>
      </c>
      <c r="L1785" t="s">
        <v>9</v>
      </c>
      <c r="M1785">
        <v>1</v>
      </c>
      <c r="N1785" t="s">
        <v>77</v>
      </c>
      <c r="O1785" t="s">
        <v>70</v>
      </c>
      <c r="P1785" t="s">
        <v>71</v>
      </c>
      <c r="Q1785" t="s">
        <v>72</v>
      </c>
      <c r="R1785" t="s">
        <v>139</v>
      </c>
      <c r="S1785" t="s">
        <v>144</v>
      </c>
      <c r="T1785" s="2">
        <f>MASTER[[#This Row],[CANTIDAD]]*MASTER[[#This Row],[PRECIO DE VENTA]]</f>
        <v>2102</v>
      </c>
      <c r="U1785" s="2">
        <f>MASTER[[#This Row],[CANTIDAD]]*MASTER[[#This Row],[COSTO UNITARIO]]</f>
        <v>420</v>
      </c>
      <c r="V1785" s="2">
        <f>MASTER[[#This Row],[MONTO VENDIDO]]-MASTER[[#This Row],[COSTO DE VENTA]]</f>
        <v>1682</v>
      </c>
    </row>
    <row r="1786" spans="1:22" x14ac:dyDescent="0.3">
      <c r="A1786">
        <v>32485</v>
      </c>
      <c r="B1786">
        <v>1</v>
      </c>
      <c r="C1786" t="s">
        <v>116</v>
      </c>
      <c r="D1786" t="s">
        <v>117</v>
      </c>
      <c r="E1786" s="1">
        <v>44047</v>
      </c>
      <c r="F1786">
        <v>1</v>
      </c>
      <c r="G1786" t="s">
        <v>29</v>
      </c>
      <c r="H1786" t="s">
        <v>30</v>
      </c>
      <c r="I1786" s="3">
        <v>1999</v>
      </c>
      <c r="J1786" s="3">
        <v>1999</v>
      </c>
      <c r="K1786" s="3">
        <v>388</v>
      </c>
      <c r="L1786" t="s">
        <v>113</v>
      </c>
      <c r="M1786">
        <v>3</v>
      </c>
      <c r="N1786" t="s">
        <v>69</v>
      </c>
      <c r="O1786" t="s">
        <v>70</v>
      </c>
      <c r="P1786" t="s">
        <v>71</v>
      </c>
      <c r="Q1786" t="s">
        <v>72</v>
      </c>
      <c r="R1786" t="s">
        <v>139</v>
      </c>
      <c r="S1786" t="s">
        <v>144</v>
      </c>
      <c r="T1786" s="2">
        <f>MASTER[[#This Row],[CANTIDAD]]*MASTER[[#This Row],[PRECIO DE VENTA]]</f>
        <v>1999</v>
      </c>
      <c r="U1786" s="2">
        <f>MASTER[[#This Row],[CANTIDAD]]*MASTER[[#This Row],[COSTO UNITARIO]]</f>
        <v>388</v>
      </c>
      <c r="V1786" s="2">
        <f>MASTER[[#This Row],[MONTO VENDIDO]]-MASTER[[#This Row],[COSTO DE VENTA]]</f>
        <v>1611</v>
      </c>
    </row>
    <row r="1787" spans="1:22" x14ac:dyDescent="0.3">
      <c r="A1787">
        <v>32488</v>
      </c>
      <c r="B1787">
        <v>1</v>
      </c>
      <c r="C1787" t="s">
        <v>94</v>
      </c>
      <c r="D1787" t="s">
        <v>95</v>
      </c>
      <c r="E1787" s="1">
        <v>44048</v>
      </c>
      <c r="F1787">
        <v>4</v>
      </c>
      <c r="G1787" t="s">
        <v>65</v>
      </c>
      <c r="H1787" t="s">
        <v>66</v>
      </c>
      <c r="I1787" s="3">
        <v>1048</v>
      </c>
      <c r="J1787" s="3">
        <v>1048</v>
      </c>
      <c r="K1787" s="3">
        <v>392</v>
      </c>
      <c r="L1787" t="s">
        <v>9</v>
      </c>
      <c r="M1787">
        <v>8</v>
      </c>
      <c r="N1787" t="s">
        <v>80</v>
      </c>
      <c r="O1787" t="s">
        <v>81</v>
      </c>
      <c r="P1787" t="s">
        <v>12</v>
      </c>
      <c r="Q1787" t="s">
        <v>13</v>
      </c>
      <c r="R1787" t="s">
        <v>13</v>
      </c>
      <c r="S1787" t="s">
        <v>144</v>
      </c>
      <c r="T1787" s="2">
        <f>MASTER[[#This Row],[CANTIDAD]]*MASTER[[#This Row],[PRECIO DE VENTA]]</f>
        <v>4192</v>
      </c>
      <c r="U1787" s="2">
        <f>MASTER[[#This Row],[CANTIDAD]]*MASTER[[#This Row],[COSTO UNITARIO]]</f>
        <v>1568</v>
      </c>
      <c r="V1787" s="2">
        <f>MASTER[[#This Row],[MONTO VENDIDO]]-MASTER[[#This Row],[COSTO DE VENTA]]</f>
        <v>2624</v>
      </c>
    </row>
    <row r="1788" spans="1:22" x14ac:dyDescent="0.3">
      <c r="A1788">
        <v>32489</v>
      </c>
      <c r="B1788">
        <v>1</v>
      </c>
      <c r="C1788" t="s">
        <v>109</v>
      </c>
      <c r="D1788" t="s">
        <v>110</v>
      </c>
      <c r="E1788" s="1">
        <v>44048</v>
      </c>
      <c r="F1788">
        <v>1</v>
      </c>
      <c r="G1788" t="s">
        <v>29</v>
      </c>
      <c r="H1788" t="s">
        <v>30</v>
      </c>
      <c r="I1788" s="3">
        <v>1128</v>
      </c>
      <c r="J1788" s="3">
        <v>1128</v>
      </c>
      <c r="K1788" s="3">
        <v>387</v>
      </c>
      <c r="L1788" t="s">
        <v>98</v>
      </c>
      <c r="M1788">
        <v>6</v>
      </c>
      <c r="N1788" t="s">
        <v>75</v>
      </c>
      <c r="O1788" t="s">
        <v>70</v>
      </c>
      <c r="P1788" t="s">
        <v>12</v>
      </c>
      <c r="Q1788" t="s">
        <v>13</v>
      </c>
      <c r="R1788" t="s">
        <v>13</v>
      </c>
      <c r="S1788" t="s">
        <v>144</v>
      </c>
      <c r="T1788" s="2">
        <f>MASTER[[#This Row],[CANTIDAD]]*MASTER[[#This Row],[PRECIO DE VENTA]]</f>
        <v>1128</v>
      </c>
      <c r="U1788" s="2">
        <f>MASTER[[#This Row],[CANTIDAD]]*MASTER[[#This Row],[COSTO UNITARIO]]</f>
        <v>387</v>
      </c>
      <c r="V1788" s="2">
        <f>MASTER[[#This Row],[MONTO VENDIDO]]-MASTER[[#This Row],[COSTO DE VENTA]]</f>
        <v>741</v>
      </c>
    </row>
    <row r="1789" spans="1:22" x14ac:dyDescent="0.3">
      <c r="A1789">
        <v>32500</v>
      </c>
      <c r="B1789">
        <v>1</v>
      </c>
      <c r="C1789" t="s">
        <v>99</v>
      </c>
      <c r="D1789" t="s">
        <v>100</v>
      </c>
      <c r="E1789" s="1">
        <v>44048</v>
      </c>
      <c r="F1789">
        <v>1</v>
      </c>
      <c r="G1789" t="s">
        <v>24</v>
      </c>
      <c r="H1789" t="s">
        <v>25</v>
      </c>
      <c r="I1789" s="3">
        <v>1459</v>
      </c>
      <c r="J1789" s="3">
        <v>1459</v>
      </c>
      <c r="K1789" s="3">
        <v>386</v>
      </c>
      <c r="L1789" t="s">
        <v>98</v>
      </c>
      <c r="M1789">
        <v>8</v>
      </c>
      <c r="N1789" t="s">
        <v>80</v>
      </c>
      <c r="O1789" t="s">
        <v>81</v>
      </c>
      <c r="P1789" t="s">
        <v>12</v>
      </c>
      <c r="Q1789" t="s">
        <v>13</v>
      </c>
      <c r="R1789" t="s">
        <v>13</v>
      </c>
      <c r="S1789" t="s">
        <v>144</v>
      </c>
      <c r="T1789" s="2">
        <f>MASTER[[#This Row],[CANTIDAD]]*MASTER[[#This Row],[PRECIO DE VENTA]]</f>
        <v>1459</v>
      </c>
      <c r="U1789" s="2">
        <f>MASTER[[#This Row],[CANTIDAD]]*MASTER[[#This Row],[COSTO UNITARIO]]</f>
        <v>386</v>
      </c>
      <c r="V1789" s="2">
        <f>MASTER[[#This Row],[MONTO VENDIDO]]-MASTER[[#This Row],[COSTO DE VENTA]]</f>
        <v>1073</v>
      </c>
    </row>
    <row r="1790" spans="1:22" x14ac:dyDescent="0.3">
      <c r="A1790">
        <v>32523</v>
      </c>
      <c r="B1790">
        <v>1</v>
      </c>
      <c r="C1790" t="s">
        <v>94</v>
      </c>
      <c r="D1790" t="s">
        <v>95</v>
      </c>
      <c r="E1790" s="1">
        <v>44048</v>
      </c>
      <c r="F1790">
        <v>1</v>
      </c>
      <c r="G1790" t="s">
        <v>33</v>
      </c>
      <c r="H1790" t="s">
        <v>34</v>
      </c>
      <c r="I1790" s="3">
        <v>1048</v>
      </c>
      <c r="J1790" s="3">
        <v>1048</v>
      </c>
      <c r="K1790" s="3">
        <v>392</v>
      </c>
      <c r="L1790" t="s">
        <v>9</v>
      </c>
      <c r="M1790">
        <v>10</v>
      </c>
      <c r="N1790" t="s">
        <v>83</v>
      </c>
      <c r="O1790" t="s">
        <v>81</v>
      </c>
      <c r="P1790" t="s">
        <v>12</v>
      </c>
      <c r="Q1790" t="s">
        <v>13</v>
      </c>
      <c r="R1790" t="s">
        <v>13</v>
      </c>
      <c r="S1790" t="s">
        <v>144</v>
      </c>
      <c r="T1790" s="2">
        <f>MASTER[[#This Row],[CANTIDAD]]*MASTER[[#This Row],[PRECIO DE VENTA]]</f>
        <v>1048</v>
      </c>
      <c r="U1790" s="2">
        <f>MASTER[[#This Row],[CANTIDAD]]*MASTER[[#This Row],[COSTO UNITARIO]]</f>
        <v>392</v>
      </c>
      <c r="V1790" s="2">
        <f>MASTER[[#This Row],[MONTO VENDIDO]]-MASTER[[#This Row],[COSTO DE VENTA]]</f>
        <v>656</v>
      </c>
    </row>
    <row r="1791" spans="1:22" x14ac:dyDescent="0.3">
      <c r="A1791">
        <v>32526</v>
      </c>
      <c r="B1791">
        <v>1</v>
      </c>
      <c r="C1791" t="s">
        <v>121</v>
      </c>
      <c r="D1791" t="s">
        <v>122</v>
      </c>
      <c r="E1791" s="1">
        <v>44048</v>
      </c>
      <c r="F1791">
        <v>1</v>
      </c>
      <c r="G1791" t="s">
        <v>51</v>
      </c>
      <c r="H1791" t="s">
        <v>52</v>
      </c>
      <c r="I1791" s="3">
        <v>1069</v>
      </c>
      <c r="J1791" s="3">
        <v>1069</v>
      </c>
      <c r="K1791" s="3">
        <v>460</v>
      </c>
      <c r="L1791" t="s">
        <v>120</v>
      </c>
      <c r="M1791">
        <v>14</v>
      </c>
      <c r="N1791" t="s">
        <v>87</v>
      </c>
      <c r="O1791" t="s">
        <v>81</v>
      </c>
      <c r="P1791" t="s">
        <v>18</v>
      </c>
      <c r="Q1791" t="s">
        <v>19</v>
      </c>
      <c r="R1791" t="s">
        <v>138</v>
      </c>
      <c r="S1791" t="s">
        <v>144</v>
      </c>
      <c r="T1791" s="2">
        <f>MASTER[[#This Row],[CANTIDAD]]*MASTER[[#This Row],[PRECIO DE VENTA]]</f>
        <v>1069</v>
      </c>
      <c r="U1791" s="2">
        <f>MASTER[[#This Row],[CANTIDAD]]*MASTER[[#This Row],[COSTO UNITARIO]]</f>
        <v>460</v>
      </c>
      <c r="V1791" s="2">
        <f>MASTER[[#This Row],[MONTO VENDIDO]]-MASTER[[#This Row],[COSTO DE VENTA]]</f>
        <v>609</v>
      </c>
    </row>
    <row r="1792" spans="1:22" x14ac:dyDescent="0.3">
      <c r="A1792">
        <v>32527</v>
      </c>
      <c r="B1792">
        <v>1</v>
      </c>
      <c r="C1792" t="s">
        <v>99</v>
      </c>
      <c r="D1792" t="s">
        <v>100</v>
      </c>
      <c r="E1792" s="1">
        <v>44048</v>
      </c>
      <c r="F1792">
        <v>1</v>
      </c>
      <c r="G1792" t="s">
        <v>47</v>
      </c>
      <c r="H1792" t="s">
        <v>48</v>
      </c>
      <c r="I1792" s="3">
        <v>1678</v>
      </c>
      <c r="J1792" s="3">
        <v>1678</v>
      </c>
      <c r="K1792" s="3">
        <v>386</v>
      </c>
      <c r="L1792" t="s">
        <v>98</v>
      </c>
      <c r="M1792">
        <v>9</v>
      </c>
      <c r="N1792" t="s">
        <v>76</v>
      </c>
      <c r="O1792" t="s">
        <v>70</v>
      </c>
      <c r="P1792" t="s">
        <v>12</v>
      </c>
      <c r="Q1792" t="s">
        <v>13</v>
      </c>
      <c r="R1792" t="s">
        <v>13</v>
      </c>
      <c r="S1792" t="s">
        <v>144</v>
      </c>
      <c r="T1792" s="2">
        <f>MASTER[[#This Row],[CANTIDAD]]*MASTER[[#This Row],[PRECIO DE VENTA]]</f>
        <v>1678</v>
      </c>
      <c r="U1792" s="2">
        <f>MASTER[[#This Row],[CANTIDAD]]*MASTER[[#This Row],[COSTO UNITARIO]]</f>
        <v>386</v>
      </c>
      <c r="V1792" s="2">
        <f>MASTER[[#This Row],[MONTO VENDIDO]]-MASTER[[#This Row],[COSTO DE VENTA]]</f>
        <v>1292</v>
      </c>
    </row>
    <row r="1793" spans="1:22" x14ac:dyDescent="0.3">
      <c r="A1793">
        <v>32530</v>
      </c>
      <c r="B1793">
        <v>1</v>
      </c>
      <c r="C1793" t="s">
        <v>118</v>
      </c>
      <c r="D1793" t="s">
        <v>119</v>
      </c>
      <c r="E1793" s="1">
        <v>44048</v>
      </c>
      <c r="F1793">
        <v>1</v>
      </c>
      <c r="G1793" t="s">
        <v>33</v>
      </c>
      <c r="H1793" t="s">
        <v>34</v>
      </c>
      <c r="I1793" s="3">
        <v>900</v>
      </c>
      <c r="J1793" s="3">
        <v>900</v>
      </c>
      <c r="K1793" s="3">
        <v>424</v>
      </c>
      <c r="L1793" t="s">
        <v>120</v>
      </c>
      <c r="M1793">
        <v>14</v>
      </c>
      <c r="N1793" t="s">
        <v>87</v>
      </c>
      <c r="O1793" t="s">
        <v>81</v>
      </c>
      <c r="P1793" t="s">
        <v>18</v>
      </c>
      <c r="Q1793" t="s">
        <v>19</v>
      </c>
      <c r="R1793" t="s">
        <v>138</v>
      </c>
      <c r="S1793" t="s">
        <v>144</v>
      </c>
      <c r="T1793" s="2">
        <f>MASTER[[#This Row],[CANTIDAD]]*MASTER[[#This Row],[PRECIO DE VENTA]]</f>
        <v>900</v>
      </c>
      <c r="U1793" s="2">
        <f>MASTER[[#This Row],[CANTIDAD]]*MASTER[[#This Row],[COSTO UNITARIO]]</f>
        <v>424</v>
      </c>
      <c r="V1793" s="2">
        <f>MASTER[[#This Row],[MONTO VENDIDO]]-MASTER[[#This Row],[COSTO DE VENTA]]</f>
        <v>476</v>
      </c>
    </row>
    <row r="1794" spans="1:22" x14ac:dyDescent="0.3">
      <c r="A1794">
        <v>32533</v>
      </c>
      <c r="B1794">
        <v>1</v>
      </c>
      <c r="C1794" t="s">
        <v>94</v>
      </c>
      <c r="D1794" t="s">
        <v>95</v>
      </c>
      <c r="E1794" s="1">
        <v>44048</v>
      </c>
      <c r="F1794">
        <v>4</v>
      </c>
      <c r="G1794" t="s">
        <v>47</v>
      </c>
      <c r="H1794" t="s">
        <v>48</v>
      </c>
      <c r="I1794" s="3">
        <v>1048</v>
      </c>
      <c r="J1794" s="3">
        <v>1048</v>
      </c>
      <c r="K1794" s="3">
        <v>392</v>
      </c>
      <c r="L1794" t="s">
        <v>9</v>
      </c>
      <c r="M1794">
        <v>10</v>
      </c>
      <c r="N1794" t="s">
        <v>83</v>
      </c>
      <c r="O1794" t="s">
        <v>81</v>
      </c>
      <c r="P1794" t="s">
        <v>12</v>
      </c>
      <c r="Q1794" t="s">
        <v>13</v>
      </c>
      <c r="R1794" t="s">
        <v>13</v>
      </c>
      <c r="S1794" t="s">
        <v>144</v>
      </c>
      <c r="T1794" s="2">
        <f>MASTER[[#This Row],[CANTIDAD]]*MASTER[[#This Row],[PRECIO DE VENTA]]</f>
        <v>4192</v>
      </c>
      <c r="U1794" s="2">
        <f>MASTER[[#This Row],[CANTIDAD]]*MASTER[[#This Row],[COSTO UNITARIO]]</f>
        <v>1568</v>
      </c>
      <c r="V1794" s="2">
        <f>MASTER[[#This Row],[MONTO VENDIDO]]-MASTER[[#This Row],[COSTO DE VENTA]]</f>
        <v>2624</v>
      </c>
    </row>
    <row r="1795" spans="1:22" x14ac:dyDescent="0.3">
      <c r="A1795">
        <v>32538</v>
      </c>
      <c r="B1795">
        <v>1</v>
      </c>
      <c r="C1795" t="s">
        <v>111</v>
      </c>
      <c r="D1795" t="s">
        <v>112</v>
      </c>
      <c r="E1795" s="1">
        <v>44048</v>
      </c>
      <c r="F1795">
        <v>1</v>
      </c>
      <c r="G1795" t="s">
        <v>29</v>
      </c>
      <c r="H1795" t="s">
        <v>30</v>
      </c>
      <c r="I1795" s="3">
        <v>1621</v>
      </c>
      <c r="J1795" s="3">
        <v>1621</v>
      </c>
      <c r="K1795" s="3">
        <v>434</v>
      </c>
      <c r="L1795" t="s">
        <v>113</v>
      </c>
      <c r="M1795">
        <v>14</v>
      </c>
      <c r="N1795" t="s">
        <v>87</v>
      </c>
      <c r="O1795" t="s">
        <v>81</v>
      </c>
      <c r="P1795" t="s">
        <v>18</v>
      </c>
      <c r="Q1795" t="s">
        <v>19</v>
      </c>
      <c r="R1795" t="s">
        <v>138</v>
      </c>
      <c r="S1795" t="s">
        <v>144</v>
      </c>
      <c r="T1795" s="2">
        <f>MASTER[[#This Row],[CANTIDAD]]*MASTER[[#This Row],[PRECIO DE VENTA]]</f>
        <v>1621</v>
      </c>
      <c r="U1795" s="2">
        <f>MASTER[[#This Row],[CANTIDAD]]*MASTER[[#This Row],[COSTO UNITARIO]]</f>
        <v>434</v>
      </c>
      <c r="V1795" s="2">
        <f>MASTER[[#This Row],[MONTO VENDIDO]]-MASTER[[#This Row],[COSTO DE VENTA]]</f>
        <v>1187</v>
      </c>
    </row>
    <row r="1796" spans="1:22" x14ac:dyDescent="0.3">
      <c r="A1796">
        <v>32548</v>
      </c>
      <c r="B1796">
        <v>1</v>
      </c>
      <c r="C1796" t="s">
        <v>99</v>
      </c>
      <c r="D1796" t="s">
        <v>100</v>
      </c>
      <c r="E1796" s="1">
        <v>44048</v>
      </c>
      <c r="F1796">
        <v>1</v>
      </c>
      <c r="G1796" t="s">
        <v>27</v>
      </c>
      <c r="H1796" t="s">
        <v>28</v>
      </c>
      <c r="I1796" s="3">
        <v>1459</v>
      </c>
      <c r="J1796" s="3">
        <v>1459</v>
      </c>
      <c r="K1796" s="3">
        <v>386</v>
      </c>
      <c r="L1796" t="s">
        <v>98</v>
      </c>
      <c r="M1796">
        <v>19</v>
      </c>
      <c r="N1796" t="s">
        <v>89</v>
      </c>
      <c r="O1796" t="s">
        <v>81</v>
      </c>
      <c r="P1796" t="s">
        <v>15</v>
      </c>
      <c r="Q1796" t="s">
        <v>16</v>
      </c>
      <c r="R1796" t="s">
        <v>16</v>
      </c>
      <c r="S1796" t="s">
        <v>144</v>
      </c>
      <c r="T1796" s="2">
        <f>MASTER[[#This Row],[CANTIDAD]]*MASTER[[#This Row],[PRECIO DE VENTA]]</f>
        <v>1459</v>
      </c>
      <c r="U1796" s="2">
        <f>MASTER[[#This Row],[CANTIDAD]]*MASTER[[#This Row],[COSTO UNITARIO]]</f>
        <v>386</v>
      </c>
      <c r="V1796" s="2">
        <f>MASTER[[#This Row],[MONTO VENDIDO]]-MASTER[[#This Row],[COSTO DE VENTA]]</f>
        <v>1073</v>
      </c>
    </row>
    <row r="1797" spans="1:22" x14ac:dyDescent="0.3">
      <c r="A1797">
        <v>32550</v>
      </c>
      <c r="B1797">
        <v>1</v>
      </c>
      <c r="C1797" t="s">
        <v>92</v>
      </c>
      <c r="D1797" t="s">
        <v>93</v>
      </c>
      <c r="E1797" s="1">
        <v>44048</v>
      </c>
      <c r="F1797">
        <v>1</v>
      </c>
      <c r="G1797" t="s">
        <v>20</v>
      </c>
      <c r="H1797" t="s">
        <v>21</v>
      </c>
      <c r="I1797" s="3">
        <v>1866</v>
      </c>
      <c r="J1797" s="3">
        <v>1716</v>
      </c>
      <c r="K1797" s="3">
        <v>396</v>
      </c>
      <c r="L1797" t="s">
        <v>9</v>
      </c>
      <c r="M1797">
        <v>18</v>
      </c>
      <c r="N1797" t="s">
        <v>79</v>
      </c>
      <c r="O1797" t="s">
        <v>70</v>
      </c>
      <c r="P1797" t="s">
        <v>15</v>
      </c>
      <c r="Q1797" t="s">
        <v>16</v>
      </c>
      <c r="R1797" t="s">
        <v>16</v>
      </c>
      <c r="S1797" t="s">
        <v>144</v>
      </c>
      <c r="T1797" s="2">
        <f>MASTER[[#This Row],[CANTIDAD]]*MASTER[[#This Row],[PRECIO DE VENTA]]</f>
        <v>1716</v>
      </c>
      <c r="U1797" s="2">
        <f>MASTER[[#This Row],[CANTIDAD]]*MASTER[[#This Row],[COSTO UNITARIO]]</f>
        <v>396</v>
      </c>
      <c r="V1797" s="2">
        <f>MASTER[[#This Row],[MONTO VENDIDO]]-MASTER[[#This Row],[COSTO DE VENTA]]</f>
        <v>1320</v>
      </c>
    </row>
    <row r="1798" spans="1:22" x14ac:dyDescent="0.3">
      <c r="A1798">
        <v>32554</v>
      </c>
      <c r="B1798">
        <v>1</v>
      </c>
      <c r="C1798" t="s">
        <v>118</v>
      </c>
      <c r="D1798" t="s">
        <v>119</v>
      </c>
      <c r="E1798" s="1">
        <v>44049</v>
      </c>
      <c r="F1798">
        <v>1</v>
      </c>
      <c r="G1798" t="s">
        <v>7</v>
      </c>
      <c r="H1798" t="s">
        <v>8</v>
      </c>
      <c r="I1798" s="3">
        <v>1026</v>
      </c>
      <c r="J1798" s="3">
        <v>1026</v>
      </c>
      <c r="K1798" s="3">
        <v>424</v>
      </c>
      <c r="L1798" t="s">
        <v>120</v>
      </c>
      <c r="M1798">
        <v>13</v>
      </c>
      <c r="N1798" t="s">
        <v>78</v>
      </c>
      <c r="O1798" t="s">
        <v>70</v>
      </c>
      <c r="P1798" t="s">
        <v>18</v>
      </c>
      <c r="Q1798" t="s">
        <v>19</v>
      </c>
      <c r="R1798" t="s">
        <v>138</v>
      </c>
      <c r="S1798" t="s">
        <v>144</v>
      </c>
      <c r="T1798" s="2">
        <f>MASTER[[#This Row],[CANTIDAD]]*MASTER[[#This Row],[PRECIO DE VENTA]]</f>
        <v>1026</v>
      </c>
      <c r="U1798" s="2">
        <f>MASTER[[#This Row],[CANTIDAD]]*MASTER[[#This Row],[COSTO UNITARIO]]</f>
        <v>424</v>
      </c>
      <c r="V1798" s="2">
        <f>MASTER[[#This Row],[MONTO VENDIDO]]-MASTER[[#This Row],[COSTO DE VENTA]]</f>
        <v>602</v>
      </c>
    </row>
    <row r="1799" spans="1:22" x14ac:dyDescent="0.3">
      <c r="A1799">
        <v>32555</v>
      </c>
      <c r="B1799">
        <v>1</v>
      </c>
      <c r="C1799" t="s">
        <v>99</v>
      </c>
      <c r="D1799" t="s">
        <v>100</v>
      </c>
      <c r="E1799" s="1">
        <v>44049</v>
      </c>
      <c r="F1799">
        <v>1</v>
      </c>
      <c r="G1799" t="s">
        <v>33</v>
      </c>
      <c r="H1799" t="s">
        <v>34</v>
      </c>
      <c r="I1799" s="3">
        <v>1678</v>
      </c>
      <c r="J1799" s="3">
        <v>1678</v>
      </c>
      <c r="K1799" s="3">
        <v>386</v>
      </c>
      <c r="L1799" t="s">
        <v>98</v>
      </c>
      <c r="M1799">
        <v>18</v>
      </c>
      <c r="N1799" t="s">
        <v>79</v>
      </c>
      <c r="O1799" t="s">
        <v>70</v>
      </c>
      <c r="P1799" t="s">
        <v>15</v>
      </c>
      <c r="Q1799" t="s">
        <v>16</v>
      </c>
      <c r="R1799" t="s">
        <v>16</v>
      </c>
      <c r="S1799" t="s">
        <v>144</v>
      </c>
      <c r="T1799" s="2">
        <f>MASTER[[#This Row],[CANTIDAD]]*MASTER[[#This Row],[PRECIO DE VENTA]]</f>
        <v>1678</v>
      </c>
      <c r="U1799" s="2">
        <f>MASTER[[#This Row],[CANTIDAD]]*MASTER[[#This Row],[COSTO UNITARIO]]</f>
        <v>386</v>
      </c>
      <c r="V1799" s="2">
        <f>MASTER[[#This Row],[MONTO VENDIDO]]-MASTER[[#This Row],[COSTO DE VENTA]]</f>
        <v>1292</v>
      </c>
    </row>
    <row r="1800" spans="1:22" x14ac:dyDescent="0.3">
      <c r="A1800">
        <v>32578</v>
      </c>
      <c r="B1800">
        <v>1</v>
      </c>
      <c r="C1800" t="s">
        <v>107</v>
      </c>
      <c r="D1800" t="s">
        <v>108</v>
      </c>
      <c r="E1800" s="1">
        <v>44049</v>
      </c>
      <c r="F1800">
        <v>1</v>
      </c>
      <c r="G1800" t="s">
        <v>20</v>
      </c>
      <c r="H1800" t="s">
        <v>21</v>
      </c>
      <c r="I1800" s="3">
        <v>1240</v>
      </c>
      <c r="J1800" s="3">
        <v>1240</v>
      </c>
      <c r="K1800" s="3">
        <v>380</v>
      </c>
      <c r="L1800" t="s">
        <v>98</v>
      </c>
      <c r="M1800">
        <v>16</v>
      </c>
      <c r="N1800" t="s">
        <v>17</v>
      </c>
      <c r="O1800" t="s">
        <v>11</v>
      </c>
      <c r="P1800" t="s">
        <v>18</v>
      </c>
      <c r="Q1800" t="s">
        <v>19</v>
      </c>
      <c r="R1800" t="s">
        <v>138</v>
      </c>
      <c r="S1800" t="s">
        <v>144</v>
      </c>
      <c r="T1800" s="2">
        <f>MASTER[[#This Row],[CANTIDAD]]*MASTER[[#This Row],[PRECIO DE VENTA]]</f>
        <v>1240</v>
      </c>
      <c r="U1800" s="2">
        <f>MASTER[[#This Row],[CANTIDAD]]*MASTER[[#This Row],[COSTO UNITARIO]]</f>
        <v>380</v>
      </c>
      <c r="V1800" s="2">
        <f>MASTER[[#This Row],[MONTO VENDIDO]]-MASTER[[#This Row],[COSTO DE VENTA]]</f>
        <v>860</v>
      </c>
    </row>
    <row r="1801" spans="1:22" x14ac:dyDescent="0.3">
      <c r="A1801">
        <v>32603</v>
      </c>
      <c r="B1801">
        <v>1</v>
      </c>
      <c r="C1801" t="s">
        <v>90</v>
      </c>
      <c r="D1801" t="s">
        <v>91</v>
      </c>
      <c r="E1801" s="1">
        <v>44049</v>
      </c>
      <c r="F1801">
        <v>1</v>
      </c>
      <c r="G1801" t="s">
        <v>35</v>
      </c>
      <c r="H1801" t="s">
        <v>36</v>
      </c>
      <c r="I1801" s="3">
        <v>1844</v>
      </c>
      <c r="J1801" s="3">
        <v>1844</v>
      </c>
      <c r="K1801" s="3">
        <v>420</v>
      </c>
      <c r="L1801" t="s">
        <v>9</v>
      </c>
      <c r="M1801">
        <v>15</v>
      </c>
      <c r="N1801" t="s">
        <v>88</v>
      </c>
      <c r="O1801" t="s">
        <v>81</v>
      </c>
      <c r="P1801" t="s">
        <v>18</v>
      </c>
      <c r="Q1801" t="s">
        <v>19</v>
      </c>
      <c r="R1801" t="s">
        <v>138</v>
      </c>
      <c r="S1801" t="s">
        <v>144</v>
      </c>
      <c r="T1801" s="2">
        <f>MASTER[[#This Row],[CANTIDAD]]*MASTER[[#This Row],[PRECIO DE VENTA]]</f>
        <v>1844</v>
      </c>
      <c r="U1801" s="2">
        <f>MASTER[[#This Row],[CANTIDAD]]*MASTER[[#This Row],[COSTO UNITARIO]]</f>
        <v>420</v>
      </c>
      <c r="V1801" s="2">
        <f>MASTER[[#This Row],[MONTO VENDIDO]]-MASTER[[#This Row],[COSTO DE VENTA]]</f>
        <v>1424</v>
      </c>
    </row>
    <row r="1802" spans="1:22" x14ac:dyDescent="0.3">
      <c r="A1802">
        <v>32607</v>
      </c>
      <c r="B1802">
        <v>1</v>
      </c>
      <c r="C1802" t="s">
        <v>99</v>
      </c>
      <c r="D1802" t="s">
        <v>100</v>
      </c>
      <c r="E1802" s="1">
        <v>44049</v>
      </c>
      <c r="F1802">
        <v>1</v>
      </c>
      <c r="G1802" t="s">
        <v>33</v>
      </c>
      <c r="H1802" t="s">
        <v>34</v>
      </c>
      <c r="I1802" s="3">
        <v>1459</v>
      </c>
      <c r="J1802" s="3">
        <v>1459</v>
      </c>
      <c r="K1802" s="3">
        <v>386</v>
      </c>
      <c r="L1802" t="s">
        <v>98</v>
      </c>
      <c r="M1802">
        <v>19</v>
      </c>
      <c r="N1802" t="s">
        <v>89</v>
      </c>
      <c r="O1802" t="s">
        <v>81</v>
      </c>
      <c r="P1802" t="s">
        <v>15</v>
      </c>
      <c r="Q1802" t="s">
        <v>16</v>
      </c>
      <c r="R1802" t="s">
        <v>16</v>
      </c>
      <c r="S1802" t="s">
        <v>144</v>
      </c>
      <c r="T1802" s="2">
        <f>MASTER[[#This Row],[CANTIDAD]]*MASTER[[#This Row],[PRECIO DE VENTA]]</f>
        <v>1459</v>
      </c>
      <c r="U1802" s="2">
        <f>MASTER[[#This Row],[CANTIDAD]]*MASTER[[#This Row],[COSTO UNITARIO]]</f>
        <v>386</v>
      </c>
      <c r="V1802" s="2">
        <f>MASTER[[#This Row],[MONTO VENDIDO]]-MASTER[[#This Row],[COSTO DE VENTA]]</f>
        <v>1073</v>
      </c>
    </row>
    <row r="1803" spans="1:22" x14ac:dyDescent="0.3">
      <c r="A1803">
        <v>32614</v>
      </c>
      <c r="B1803">
        <v>1</v>
      </c>
      <c r="C1803" t="s">
        <v>116</v>
      </c>
      <c r="D1803" t="s">
        <v>117</v>
      </c>
      <c r="E1803" s="1">
        <v>44049</v>
      </c>
      <c r="F1803">
        <v>1</v>
      </c>
      <c r="G1803" t="s">
        <v>61</v>
      </c>
      <c r="H1803" t="s">
        <v>62</v>
      </c>
      <c r="I1803" s="3">
        <v>1999</v>
      </c>
      <c r="J1803" s="3">
        <v>1999</v>
      </c>
      <c r="K1803" s="3">
        <v>388</v>
      </c>
      <c r="L1803" t="s">
        <v>113</v>
      </c>
      <c r="M1803">
        <v>3</v>
      </c>
      <c r="N1803" t="s">
        <v>69</v>
      </c>
      <c r="O1803" t="s">
        <v>70</v>
      </c>
      <c r="P1803" t="s">
        <v>71</v>
      </c>
      <c r="Q1803" t="s">
        <v>72</v>
      </c>
      <c r="R1803" t="s">
        <v>139</v>
      </c>
      <c r="S1803" t="s">
        <v>144</v>
      </c>
      <c r="T1803" s="2">
        <f>MASTER[[#This Row],[CANTIDAD]]*MASTER[[#This Row],[PRECIO DE VENTA]]</f>
        <v>1999</v>
      </c>
      <c r="U1803" s="2">
        <f>MASTER[[#This Row],[CANTIDAD]]*MASTER[[#This Row],[COSTO UNITARIO]]</f>
        <v>388</v>
      </c>
      <c r="V1803" s="2">
        <f>MASTER[[#This Row],[MONTO VENDIDO]]-MASTER[[#This Row],[COSTO DE VENTA]]</f>
        <v>1611</v>
      </c>
    </row>
    <row r="1804" spans="1:22" x14ac:dyDescent="0.3">
      <c r="A1804">
        <v>32622</v>
      </c>
      <c r="B1804">
        <v>1</v>
      </c>
      <c r="C1804" t="s">
        <v>118</v>
      </c>
      <c r="D1804" t="s">
        <v>119</v>
      </c>
      <c r="E1804" s="1">
        <v>44049</v>
      </c>
      <c r="F1804">
        <v>1</v>
      </c>
      <c r="G1804" t="s">
        <v>35</v>
      </c>
      <c r="H1804" t="s">
        <v>36</v>
      </c>
      <c r="I1804" s="3">
        <v>1026</v>
      </c>
      <c r="J1804" s="3">
        <v>1026</v>
      </c>
      <c r="K1804" s="3">
        <v>424</v>
      </c>
      <c r="L1804" t="s">
        <v>120</v>
      </c>
      <c r="M1804">
        <v>13</v>
      </c>
      <c r="N1804" t="s">
        <v>78</v>
      </c>
      <c r="O1804" t="s">
        <v>70</v>
      </c>
      <c r="P1804" t="s">
        <v>18</v>
      </c>
      <c r="Q1804" t="s">
        <v>19</v>
      </c>
      <c r="R1804" t="s">
        <v>138</v>
      </c>
      <c r="S1804" t="s">
        <v>144</v>
      </c>
      <c r="T1804" s="2">
        <f>MASTER[[#This Row],[CANTIDAD]]*MASTER[[#This Row],[PRECIO DE VENTA]]</f>
        <v>1026</v>
      </c>
      <c r="U1804" s="2">
        <f>MASTER[[#This Row],[CANTIDAD]]*MASTER[[#This Row],[COSTO UNITARIO]]</f>
        <v>424</v>
      </c>
      <c r="V1804" s="2">
        <f>MASTER[[#This Row],[MONTO VENDIDO]]-MASTER[[#This Row],[COSTO DE VENTA]]</f>
        <v>602</v>
      </c>
    </row>
    <row r="1805" spans="1:22" x14ac:dyDescent="0.3">
      <c r="A1805">
        <v>32630</v>
      </c>
      <c r="B1805">
        <v>1</v>
      </c>
      <c r="C1805" t="s">
        <v>116</v>
      </c>
      <c r="D1805" t="s">
        <v>117</v>
      </c>
      <c r="E1805" s="1">
        <v>44050</v>
      </c>
      <c r="F1805">
        <v>1</v>
      </c>
      <c r="G1805" t="s">
        <v>57</v>
      </c>
      <c r="H1805" t="s">
        <v>58</v>
      </c>
      <c r="I1805" s="3">
        <v>1738</v>
      </c>
      <c r="J1805" s="3">
        <v>1738</v>
      </c>
      <c r="K1805" s="3">
        <v>388</v>
      </c>
      <c r="L1805" t="s">
        <v>113</v>
      </c>
      <c r="M1805">
        <v>4</v>
      </c>
      <c r="N1805" t="s">
        <v>82</v>
      </c>
      <c r="O1805" t="s">
        <v>81</v>
      </c>
      <c r="P1805" t="s">
        <v>71</v>
      </c>
      <c r="Q1805" t="s">
        <v>72</v>
      </c>
      <c r="R1805" t="s">
        <v>139</v>
      </c>
      <c r="S1805" t="s">
        <v>144</v>
      </c>
      <c r="T1805" s="2">
        <f>MASTER[[#This Row],[CANTIDAD]]*MASTER[[#This Row],[PRECIO DE VENTA]]</f>
        <v>1738</v>
      </c>
      <c r="U1805" s="2">
        <f>MASTER[[#This Row],[CANTIDAD]]*MASTER[[#This Row],[COSTO UNITARIO]]</f>
        <v>388</v>
      </c>
      <c r="V1805" s="2">
        <f>MASTER[[#This Row],[MONTO VENDIDO]]-MASTER[[#This Row],[COSTO DE VENTA]]</f>
        <v>1350</v>
      </c>
    </row>
    <row r="1806" spans="1:22" x14ac:dyDescent="0.3">
      <c r="A1806">
        <v>32639</v>
      </c>
      <c r="B1806">
        <v>1</v>
      </c>
      <c r="C1806" t="s">
        <v>103</v>
      </c>
      <c r="D1806" t="s">
        <v>104</v>
      </c>
      <c r="E1806" s="1">
        <v>44050</v>
      </c>
      <c r="F1806">
        <v>1</v>
      </c>
      <c r="G1806" t="s">
        <v>27</v>
      </c>
      <c r="H1806" t="s">
        <v>28</v>
      </c>
      <c r="I1806" s="3">
        <v>1591</v>
      </c>
      <c r="J1806" s="3">
        <v>1591</v>
      </c>
      <c r="K1806" s="3">
        <v>421</v>
      </c>
      <c r="L1806" t="s">
        <v>98</v>
      </c>
      <c r="M1806">
        <v>14</v>
      </c>
      <c r="N1806" t="s">
        <v>87</v>
      </c>
      <c r="O1806" t="s">
        <v>81</v>
      </c>
      <c r="P1806" t="s">
        <v>18</v>
      </c>
      <c r="Q1806" t="s">
        <v>19</v>
      </c>
      <c r="R1806" t="s">
        <v>138</v>
      </c>
      <c r="S1806" t="s">
        <v>144</v>
      </c>
      <c r="T1806" s="2">
        <f>MASTER[[#This Row],[CANTIDAD]]*MASTER[[#This Row],[PRECIO DE VENTA]]</f>
        <v>1591</v>
      </c>
      <c r="U1806" s="2">
        <f>MASTER[[#This Row],[CANTIDAD]]*MASTER[[#This Row],[COSTO UNITARIO]]</f>
        <v>421</v>
      </c>
      <c r="V1806" s="2">
        <f>MASTER[[#This Row],[MONTO VENDIDO]]-MASTER[[#This Row],[COSTO DE VENTA]]</f>
        <v>1170</v>
      </c>
    </row>
    <row r="1807" spans="1:22" x14ac:dyDescent="0.3">
      <c r="A1807">
        <v>32656</v>
      </c>
      <c r="B1807">
        <v>1</v>
      </c>
      <c r="C1807" t="s">
        <v>90</v>
      </c>
      <c r="D1807" t="s">
        <v>91</v>
      </c>
      <c r="E1807" s="1">
        <v>44050</v>
      </c>
      <c r="F1807">
        <v>1</v>
      </c>
      <c r="G1807" t="s">
        <v>7</v>
      </c>
      <c r="H1807" t="s">
        <v>8</v>
      </c>
      <c r="I1807" s="3">
        <v>1844</v>
      </c>
      <c r="J1807" s="3">
        <v>1844</v>
      </c>
      <c r="K1807" s="3">
        <v>420</v>
      </c>
      <c r="L1807" t="s">
        <v>9</v>
      </c>
      <c r="M1807">
        <v>14</v>
      </c>
      <c r="N1807" t="s">
        <v>87</v>
      </c>
      <c r="O1807" t="s">
        <v>81</v>
      </c>
      <c r="P1807" t="s">
        <v>18</v>
      </c>
      <c r="Q1807" t="s">
        <v>19</v>
      </c>
      <c r="R1807" t="s">
        <v>138</v>
      </c>
      <c r="S1807" t="s">
        <v>144</v>
      </c>
      <c r="T1807" s="2">
        <f>MASTER[[#This Row],[CANTIDAD]]*MASTER[[#This Row],[PRECIO DE VENTA]]</f>
        <v>1844</v>
      </c>
      <c r="U1807" s="2">
        <f>MASTER[[#This Row],[CANTIDAD]]*MASTER[[#This Row],[COSTO UNITARIO]]</f>
        <v>420</v>
      </c>
      <c r="V1807" s="2">
        <f>MASTER[[#This Row],[MONTO VENDIDO]]-MASTER[[#This Row],[COSTO DE VENTA]]</f>
        <v>1424</v>
      </c>
    </row>
    <row r="1808" spans="1:22" x14ac:dyDescent="0.3">
      <c r="A1808">
        <v>32657</v>
      </c>
      <c r="B1808">
        <v>1</v>
      </c>
      <c r="C1808" t="s">
        <v>101</v>
      </c>
      <c r="D1808" t="s">
        <v>102</v>
      </c>
      <c r="E1808" s="1">
        <v>44050</v>
      </c>
      <c r="F1808">
        <v>1</v>
      </c>
      <c r="G1808" t="s">
        <v>59</v>
      </c>
      <c r="H1808" t="s">
        <v>60</v>
      </c>
      <c r="I1808" s="3">
        <v>1212</v>
      </c>
      <c r="J1808" s="3">
        <v>1212</v>
      </c>
      <c r="K1808" s="3">
        <v>442</v>
      </c>
      <c r="L1808" t="s">
        <v>98</v>
      </c>
      <c r="M1808">
        <v>8</v>
      </c>
      <c r="N1808" t="s">
        <v>80</v>
      </c>
      <c r="O1808" t="s">
        <v>81</v>
      </c>
      <c r="P1808" t="s">
        <v>12</v>
      </c>
      <c r="Q1808" t="s">
        <v>13</v>
      </c>
      <c r="R1808" t="s">
        <v>13</v>
      </c>
      <c r="S1808" t="s">
        <v>144</v>
      </c>
      <c r="T1808" s="2">
        <f>MASTER[[#This Row],[CANTIDAD]]*MASTER[[#This Row],[PRECIO DE VENTA]]</f>
        <v>1212</v>
      </c>
      <c r="U1808" s="2">
        <f>MASTER[[#This Row],[CANTIDAD]]*MASTER[[#This Row],[COSTO UNITARIO]]</f>
        <v>442</v>
      </c>
      <c r="V1808" s="2">
        <f>MASTER[[#This Row],[MONTO VENDIDO]]-MASTER[[#This Row],[COSTO DE VENTA]]</f>
        <v>770</v>
      </c>
    </row>
    <row r="1809" spans="1:22" x14ac:dyDescent="0.3">
      <c r="A1809">
        <v>32658</v>
      </c>
      <c r="B1809">
        <v>1</v>
      </c>
      <c r="C1809" t="s">
        <v>109</v>
      </c>
      <c r="D1809" t="s">
        <v>110</v>
      </c>
      <c r="E1809" s="1">
        <v>44050</v>
      </c>
      <c r="F1809">
        <v>2</v>
      </c>
      <c r="G1809" t="s">
        <v>61</v>
      </c>
      <c r="H1809" t="s">
        <v>62</v>
      </c>
      <c r="I1809" s="3">
        <v>1064</v>
      </c>
      <c r="J1809" s="3">
        <v>1064</v>
      </c>
      <c r="K1809" s="3">
        <v>387</v>
      </c>
      <c r="L1809" t="s">
        <v>98</v>
      </c>
      <c r="M1809">
        <v>4</v>
      </c>
      <c r="N1809" t="s">
        <v>82</v>
      </c>
      <c r="O1809" t="s">
        <v>81</v>
      </c>
      <c r="P1809" t="s">
        <v>71</v>
      </c>
      <c r="Q1809" t="s">
        <v>72</v>
      </c>
      <c r="R1809" t="s">
        <v>139</v>
      </c>
      <c r="S1809" t="s">
        <v>144</v>
      </c>
      <c r="T1809" s="2">
        <f>MASTER[[#This Row],[CANTIDAD]]*MASTER[[#This Row],[PRECIO DE VENTA]]</f>
        <v>2128</v>
      </c>
      <c r="U1809" s="2">
        <f>MASTER[[#This Row],[CANTIDAD]]*MASTER[[#This Row],[COSTO UNITARIO]]</f>
        <v>774</v>
      </c>
      <c r="V1809" s="2">
        <f>MASTER[[#This Row],[MONTO VENDIDO]]-MASTER[[#This Row],[COSTO DE VENTA]]</f>
        <v>1354</v>
      </c>
    </row>
    <row r="1810" spans="1:22" x14ac:dyDescent="0.3">
      <c r="A1810">
        <v>32673</v>
      </c>
      <c r="B1810">
        <v>1</v>
      </c>
      <c r="C1810" t="s">
        <v>121</v>
      </c>
      <c r="D1810" t="s">
        <v>122</v>
      </c>
      <c r="E1810" s="1">
        <v>44050</v>
      </c>
      <c r="F1810">
        <v>1</v>
      </c>
      <c r="G1810" t="s">
        <v>22</v>
      </c>
      <c r="H1810" t="s">
        <v>23</v>
      </c>
      <c r="I1810" s="3">
        <v>941</v>
      </c>
      <c r="J1810" s="3">
        <v>903</v>
      </c>
      <c r="K1810" s="3">
        <v>460</v>
      </c>
      <c r="L1810" t="s">
        <v>120</v>
      </c>
      <c r="M1810">
        <v>12</v>
      </c>
      <c r="N1810" t="s">
        <v>26</v>
      </c>
      <c r="O1810" t="s">
        <v>11</v>
      </c>
      <c r="P1810" t="s">
        <v>12</v>
      </c>
      <c r="Q1810" t="s">
        <v>13</v>
      </c>
      <c r="R1810" t="s">
        <v>13</v>
      </c>
      <c r="S1810" t="s">
        <v>144</v>
      </c>
      <c r="T1810" s="2">
        <f>MASTER[[#This Row],[CANTIDAD]]*MASTER[[#This Row],[PRECIO DE VENTA]]</f>
        <v>903</v>
      </c>
      <c r="U1810" s="2">
        <f>MASTER[[#This Row],[CANTIDAD]]*MASTER[[#This Row],[COSTO UNITARIO]]</f>
        <v>460</v>
      </c>
      <c r="V1810" s="2">
        <f>MASTER[[#This Row],[MONTO VENDIDO]]-MASTER[[#This Row],[COSTO DE VENTA]]</f>
        <v>443</v>
      </c>
    </row>
    <row r="1811" spans="1:22" x14ac:dyDescent="0.3">
      <c r="A1811">
        <v>32687</v>
      </c>
      <c r="B1811">
        <v>1</v>
      </c>
      <c r="C1811" t="s">
        <v>94</v>
      </c>
      <c r="D1811" t="s">
        <v>95</v>
      </c>
      <c r="E1811" s="1">
        <v>44050</v>
      </c>
      <c r="F1811">
        <v>1</v>
      </c>
      <c r="G1811" t="s">
        <v>20</v>
      </c>
      <c r="H1811" t="s">
        <v>21</v>
      </c>
      <c r="I1811" s="3">
        <v>1153</v>
      </c>
      <c r="J1811" s="3">
        <v>1153</v>
      </c>
      <c r="K1811" s="3">
        <v>392</v>
      </c>
      <c r="L1811" t="s">
        <v>9</v>
      </c>
      <c r="M1811">
        <v>1</v>
      </c>
      <c r="N1811" t="s">
        <v>77</v>
      </c>
      <c r="O1811" t="s">
        <v>70</v>
      </c>
      <c r="P1811" t="s">
        <v>71</v>
      </c>
      <c r="Q1811" t="s">
        <v>72</v>
      </c>
      <c r="R1811" t="s">
        <v>139</v>
      </c>
      <c r="S1811" t="s">
        <v>144</v>
      </c>
      <c r="T1811" s="2">
        <f>MASTER[[#This Row],[CANTIDAD]]*MASTER[[#This Row],[PRECIO DE VENTA]]</f>
        <v>1153</v>
      </c>
      <c r="U1811" s="2">
        <f>MASTER[[#This Row],[CANTIDAD]]*MASTER[[#This Row],[COSTO UNITARIO]]</f>
        <v>392</v>
      </c>
      <c r="V1811" s="2">
        <f>MASTER[[#This Row],[MONTO VENDIDO]]-MASTER[[#This Row],[COSTO DE VENTA]]</f>
        <v>761</v>
      </c>
    </row>
    <row r="1812" spans="1:22" x14ac:dyDescent="0.3">
      <c r="A1812">
        <v>32698</v>
      </c>
      <c r="B1812">
        <v>1</v>
      </c>
      <c r="C1812" t="s">
        <v>101</v>
      </c>
      <c r="D1812" t="s">
        <v>102</v>
      </c>
      <c r="E1812" s="1">
        <v>44050</v>
      </c>
      <c r="F1812">
        <v>1</v>
      </c>
      <c r="G1812" t="s">
        <v>45</v>
      </c>
      <c r="H1812" t="s">
        <v>46</v>
      </c>
      <c r="I1812" s="3">
        <v>1054</v>
      </c>
      <c r="J1812" s="3">
        <v>1001</v>
      </c>
      <c r="K1812" s="3">
        <v>442</v>
      </c>
      <c r="L1812" t="s">
        <v>98</v>
      </c>
      <c r="M1812">
        <v>17</v>
      </c>
      <c r="N1812" t="s">
        <v>14</v>
      </c>
      <c r="O1812" t="s">
        <v>11</v>
      </c>
      <c r="P1812" t="s">
        <v>15</v>
      </c>
      <c r="Q1812" t="s">
        <v>16</v>
      </c>
      <c r="R1812" t="s">
        <v>16</v>
      </c>
      <c r="S1812" t="s">
        <v>144</v>
      </c>
      <c r="T1812" s="2">
        <f>MASTER[[#This Row],[CANTIDAD]]*MASTER[[#This Row],[PRECIO DE VENTA]]</f>
        <v>1001</v>
      </c>
      <c r="U1812" s="2">
        <f>MASTER[[#This Row],[CANTIDAD]]*MASTER[[#This Row],[COSTO UNITARIO]]</f>
        <v>442</v>
      </c>
      <c r="V1812" s="2">
        <f>MASTER[[#This Row],[MONTO VENDIDO]]-MASTER[[#This Row],[COSTO DE VENTA]]</f>
        <v>559</v>
      </c>
    </row>
    <row r="1813" spans="1:22" x14ac:dyDescent="0.3">
      <c r="A1813">
        <v>32705</v>
      </c>
      <c r="B1813">
        <v>1</v>
      </c>
      <c r="C1813" t="s">
        <v>111</v>
      </c>
      <c r="D1813" t="s">
        <v>112</v>
      </c>
      <c r="E1813" s="1">
        <v>44050</v>
      </c>
      <c r="F1813">
        <v>1</v>
      </c>
      <c r="G1813" t="s">
        <v>53</v>
      </c>
      <c r="H1813" t="s">
        <v>54</v>
      </c>
      <c r="I1813" s="3">
        <v>1799</v>
      </c>
      <c r="J1813" s="3">
        <v>1799</v>
      </c>
      <c r="K1813" s="3">
        <v>434</v>
      </c>
      <c r="L1813" t="s">
        <v>113</v>
      </c>
      <c r="M1813">
        <v>9</v>
      </c>
      <c r="N1813" t="s">
        <v>76</v>
      </c>
      <c r="O1813" t="s">
        <v>70</v>
      </c>
      <c r="P1813" t="s">
        <v>12</v>
      </c>
      <c r="Q1813" t="s">
        <v>13</v>
      </c>
      <c r="R1813" t="s">
        <v>13</v>
      </c>
      <c r="S1813" t="s">
        <v>144</v>
      </c>
      <c r="T1813" s="2">
        <f>MASTER[[#This Row],[CANTIDAD]]*MASTER[[#This Row],[PRECIO DE VENTA]]</f>
        <v>1799</v>
      </c>
      <c r="U1813" s="2">
        <f>MASTER[[#This Row],[CANTIDAD]]*MASTER[[#This Row],[COSTO UNITARIO]]</f>
        <v>434</v>
      </c>
      <c r="V1813" s="2">
        <f>MASTER[[#This Row],[MONTO VENDIDO]]-MASTER[[#This Row],[COSTO DE VENTA]]</f>
        <v>1365</v>
      </c>
    </row>
    <row r="1814" spans="1:22" x14ac:dyDescent="0.3">
      <c r="A1814">
        <v>32709</v>
      </c>
      <c r="B1814">
        <v>1</v>
      </c>
      <c r="C1814" t="s">
        <v>92</v>
      </c>
      <c r="D1814" t="s">
        <v>93</v>
      </c>
      <c r="E1814" s="1">
        <v>44051</v>
      </c>
      <c r="F1814">
        <v>4</v>
      </c>
      <c r="G1814" t="s">
        <v>47</v>
      </c>
      <c r="H1814" t="s">
        <v>48</v>
      </c>
      <c r="I1814" s="3">
        <v>1866</v>
      </c>
      <c r="J1814" s="3">
        <v>1866</v>
      </c>
      <c r="K1814" s="3">
        <v>396</v>
      </c>
      <c r="L1814" t="s">
        <v>9</v>
      </c>
      <c r="M1814">
        <v>18</v>
      </c>
      <c r="N1814" t="s">
        <v>79</v>
      </c>
      <c r="O1814" t="s">
        <v>70</v>
      </c>
      <c r="P1814" t="s">
        <v>15</v>
      </c>
      <c r="Q1814" t="s">
        <v>16</v>
      </c>
      <c r="R1814" t="s">
        <v>16</v>
      </c>
      <c r="S1814" t="s">
        <v>144</v>
      </c>
      <c r="T1814" s="2">
        <f>MASTER[[#This Row],[CANTIDAD]]*MASTER[[#This Row],[PRECIO DE VENTA]]</f>
        <v>7464</v>
      </c>
      <c r="U1814" s="2">
        <f>MASTER[[#This Row],[CANTIDAD]]*MASTER[[#This Row],[COSTO UNITARIO]]</f>
        <v>1584</v>
      </c>
      <c r="V1814" s="2">
        <f>MASTER[[#This Row],[MONTO VENDIDO]]-MASTER[[#This Row],[COSTO DE VENTA]]</f>
        <v>5880</v>
      </c>
    </row>
    <row r="1815" spans="1:22" x14ac:dyDescent="0.3">
      <c r="A1815">
        <v>32740</v>
      </c>
      <c r="B1815">
        <v>1</v>
      </c>
      <c r="C1815" t="s">
        <v>94</v>
      </c>
      <c r="D1815" t="s">
        <v>95</v>
      </c>
      <c r="E1815" s="1">
        <v>44051</v>
      </c>
      <c r="F1815">
        <v>1</v>
      </c>
      <c r="G1815" t="s">
        <v>29</v>
      </c>
      <c r="H1815" t="s">
        <v>30</v>
      </c>
      <c r="I1815" s="3">
        <v>1048</v>
      </c>
      <c r="J1815" s="3">
        <v>1006</v>
      </c>
      <c r="K1815" s="3">
        <v>392</v>
      </c>
      <c r="L1815" t="s">
        <v>9</v>
      </c>
      <c r="M1815">
        <v>5</v>
      </c>
      <c r="N1815" t="s">
        <v>85</v>
      </c>
      <c r="O1815" t="s">
        <v>81</v>
      </c>
      <c r="P1815" t="s">
        <v>12</v>
      </c>
      <c r="Q1815" t="s">
        <v>13</v>
      </c>
      <c r="R1815" t="s">
        <v>13</v>
      </c>
      <c r="S1815" t="s">
        <v>144</v>
      </c>
      <c r="T1815" s="2">
        <f>MASTER[[#This Row],[CANTIDAD]]*MASTER[[#This Row],[PRECIO DE VENTA]]</f>
        <v>1006</v>
      </c>
      <c r="U1815" s="2">
        <f>MASTER[[#This Row],[CANTIDAD]]*MASTER[[#This Row],[COSTO UNITARIO]]</f>
        <v>392</v>
      </c>
      <c r="V1815" s="2">
        <f>MASTER[[#This Row],[MONTO VENDIDO]]-MASTER[[#This Row],[COSTO DE VENTA]]</f>
        <v>614</v>
      </c>
    </row>
    <row r="1816" spans="1:22" x14ac:dyDescent="0.3">
      <c r="A1816">
        <v>32743</v>
      </c>
      <c r="B1816">
        <v>1</v>
      </c>
      <c r="C1816" t="s">
        <v>94</v>
      </c>
      <c r="D1816" t="s">
        <v>95</v>
      </c>
      <c r="E1816" s="1">
        <v>44051</v>
      </c>
      <c r="F1816">
        <v>1</v>
      </c>
      <c r="G1816" t="s">
        <v>57</v>
      </c>
      <c r="H1816" t="s">
        <v>58</v>
      </c>
      <c r="I1816" s="3">
        <v>1153</v>
      </c>
      <c r="J1816" s="3">
        <v>1153</v>
      </c>
      <c r="K1816" s="3">
        <v>392</v>
      </c>
      <c r="L1816" t="s">
        <v>9</v>
      </c>
      <c r="M1816">
        <v>9</v>
      </c>
      <c r="N1816" t="s">
        <v>76</v>
      </c>
      <c r="O1816" t="s">
        <v>70</v>
      </c>
      <c r="P1816" t="s">
        <v>12</v>
      </c>
      <c r="Q1816" t="s">
        <v>13</v>
      </c>
      <c r="R1816" t="s">
        <v>13</v>
      </c>
      <c r="S1816" t="s">
        <v>144</v>
      </c>
      <c r="T1816" s="2">
        <f>MASTER[[#This Row],[CANTIDAD]]*MASTER[[#This Row],[PRECIO DE VENTA]]</f>
        <v>1153</v>
      </c>
      <c r="U1816" s="2">
        <f>MASTER[[#This Row],[CANTIDAD]]*MASTER[[#This Row],[COSTO UNITARIO]]</f>
        <v>392</v>
      </c>
      <c r="V1816" s="2">
        <f>MASTER[[#This Row],[MONTO VENDIDO]]-MASTER[[#This Row],[COSTO DE VENTA]]</f>
        <v>761</v>
      </c>
    </row>
    <row r="1817" spans="1:22" x14ac:dyDescent="0.3">
      <c r="A1817">
        <v>32747</v>
      </c>
      <c r="B1817">
        <v>1</v>
      </c>
      <c r="C1817" t="s">
        <v>90</v>
      </c>
      <c r="D1817" t="s">
        <v>91</v>
      </c>
      <c r="E1817" s="1">
        <v>44051</v>
      </c>
      <c r="F1817">
        <v>1</v>
      </c>
      <c r="G1817" t="s">
        <v>35</v>
      </c>
      <c r="H1817" t="s">
        <v>36</v>
      </c>
      <c r="I1817" s="3">
        <v>1844</v>
      </c>
      <c r="J1817" s="3">
        <v>1844</v>
      </c>
      <c r="K1817" s="3">
        <v>420</v>
      </c>
      <c r="L1817" t="s">
        <v>9</v>
      </c>
      <c r="M1817">
        <v>7</v>
      </c>
      <c r="N1817" t="s">
        <v>84</v>
      </c>
      <c r="O1817" t="s">
        <v>81</v>
      </c>
      <c r="P1817" t="s">
        <v>12</v>
      </c>
      <c r="Q1817" t="s">
        <v>13</v>
      </c>
      <c r="R1817" t="s">
        <v>13</v>
      </c>
      <c r="S1817" t="s">
        <v>144</v>
      </c>
      <c r="T1817" s="2">
        <f>MASTER[[#This Row],[CANTIDAD]]*MASTER[[#This Row],[PRECIO DE VENTA]]</f>
        <v>1844</v>
      </c>
      <c r="U1817" s="2">
        <f>MASTER[[#This Row],[CANTIDAD]]*MASTER[[#This Row],[COSTO UNITARIO]]</f>
        <v>420</v>
      </c>
      <c r="V1817" s="2">
        <f>MASTER[[#This Row],[MONTO VENDIDO]]-MASTER[[#This Row],[COSTO DE VENTA]]</f>
        <v>1424</v>
      </c>
    </row>
    <row r="1818" spans="1:22" x14ac:dyDescent="0.3">
      <c r="A1818">
        <v>32775</v>
      </c>
      <c r="B1818">
        <v>1</v>
      </c>
      <c r="C1818" t="s">
        <v>5</v>
      </c>
      <c r="D1818" t="s">
        <v>6</v>
      </c>
      <c r="E1818" s="1">
        <v>44051</v>
      </c>
      <c r="F1818">
        <v>3</v>
      </c>
      <c r="G1818" t="s">
        <v>61</v>
      </c>
      <c r="H1818" t="s">
        <v>62</v>
      </c>
      <c r="I1818" s="3">
        <v>1296</v>
      </c>
      <c r="J1818" s="3">
        <v>1296</v>
      </c>
      <c r="K1818" s="3">
        <v>393</v>
      </c>
      <c r="L1818" t="s">
        <v>9</v>
      </c>
      <c r="M1818">
        <v>1</v>
      </c>
      <c r="N1818" t="s">
        <v>77</v>
      </c>
      <c r="O1818" t="s">
        <v>70</v>
      </c>
      <c r="P1818" t="s">
        <v>71</v>
      </c>
      <c r="Q1818" t="s">
        <v>72</v>
      </c>
      <c r="R1818" t="s">
        <v>139</v>
      </c>
      <c r="S1818" t="s">
        <v>144</v>
      </c>
      <c r="T1818" s="2">
        <f>MASTER[[#This Row],[CANTIDAD]]*MASTER[[#This Row],[PRECIO DE VENTA]]</f>
        <v>3888</v>
      </c>
      <c r="U1818" s="2">
        <f>MASTER[[#This Row],[CANTIDAD]]*MASTER[[#This Row],[COSTO UNITARIO]]</f>
        <v>1179</v>
      </c>
      <c r="V1818" s="2">
        <f>MASTER[[#This Row],[MONTO VENDIDO]]-MASTER[[#This Row],[COSTO DE VENTA]]</f>
        <v>2709</v>
      </c>
    </row>
    <row r="1819" spans="1:22" x14ac:dyDescent="0.3">
      <c r="A1819">
        <v>32813</v>
      </c>
      <c r="B1819">
        <v>1</v>
      </c>
      <c r="C1819" t="s">
        <v>96</v>
      </c>
      <c r="D1819" t="s">
        <v>97</v>
      </c>
      <c r="E1819" s="1">
        <v>44051</v>
      </c>
      <c r="F1819">
        <v>1</v>
      </c>
      <c r="G1819" t="s">
        <v>59</v>
      </c>
      <c r="H1819" t="s">
        <v>60</v>
      </c>
      <c r="I1819" s="3">
        <v>1361</v>
      </c>
      <c r="J1819" s="3">
        <v>1361</v>
      </c>
      <c r="K1819" s="3">
        <v>397</v>
      </c>
      <c r="L1819" t="s">
        <v>98</v>
      </c>
      <c r="M1819">
        <v>6</v>
      </c>
      <c r="N1819" t="s">
        <v>75</v>
      </c>
      <c r="O1819" t="s">
        <v>70</v>
      </c>
      <c r="P1819" t="s">
        <v>12</v>
      </c>
      <c r="Q1819" t="s">
        <v>13</v>
      </c>
      <c r="R1819" t="s">
        <v>13</v>
      </c>
      <c r="S1819" t="s">
        <v>144</v>
      </c>
      <c r="T1819" s="2">
        <f>MASTER[[#This Row],[CANTIDAD]]*MASTER[[#This Row],[PRECIO DE VENTA]]</f>
        <v>1361</v>
      </c>
      <c r="U1819" s="2">
        <f>MASTER[[#This Row],[CANTIDAD]]*MASTER[[#This Row],[COSTO UNITARIO]]</f>
        <v>397</v>
      </c>
      <c r="V1819" s="2">
        <f>MASTER[[#This Row],[MONTO VENDIDO]]-MASTER[[#This Row],[COSTO DE VENTA]]</f>
        <v>964</v>
      </c>
    </row>
    <row r="1820" spans="1:22" x14ac:dyDescent="0.3">
      <c r="A1820">
        <v>32843</v>
      </c>
      <c r="B1820">
        <v>1</v>
      </c>
      <c r="C1820" t="s">
        <v>92</v>
      </c>
      <c r="D1820" t="s">
        <v>93</v>
      </c>
      <c r="E1820" s="1">
        <v>44052</v>
      </c>
      <c r="F1820">
        <v>1</v>
      </c>
      <c r="G1820" t="s">
        <v>20</v>
      </c>
      <c r="H1820" t="s">
        <v>21</v>
      </c>
      <c r="I1820" s="3">
        <v>1681</v>
      </c>
      <c r="J1820" s="3">
        <v>1681</v>
      </c>
      <c r="K1820" s="3">
        <v>396</v>
      </c>
      <c r="L1820" t="s">
        <v>9</v>
      </c>
      <c r="M1820">
        <v>5</v>
      </c>
      <c r="N1820" t="s">
        <v>85</v>
      </c>
      <c r="O1820" t="s">
        <v>81</v>
      </c>
      <c r="P1820" t="s">
        <v>12</v>
      </c>
      <c r="Q1820" t="s">
        <v>13</v>
      </c>
      <c r="R1820" t="s">
        <v>13</v>
      </c>
      <c r="S1820" t="s">
        <v>144</v>
      </c>
      <c r="T1820" s="2">
        <f>MASTER[[#This Row],[CANTIDAD]]*MASTER[[#This Row],[PRECIO DE VENTA]]</f>
        <v>1681</v>
      </c>
      <c r="U1820" s="2">
        <f>MASTER[[#This Row],[CANTIDAD]]*MASTER[[#This Row],[COSTO UNITARIO]]</f>
        <v>396</v>
      </c>
      <c r="V1820" s="2">
        <f>MASTER[[#This Row],[MONTO VENDIDO]]-MASTER[[#This Row],[COSTO DE VENTA]]</f>
        <v>1285</v>
      </c>
    </row>
    <row r="1821" spans="1:22" x14ac:dyDescent="0.3">
      <c r="A1821">
        <v>32873</v>
      </c>
      <c r="B1821">
        <v>1</v>
      </c>
      <c r="C1821" t="s">
        <v>116</v>
      </c>
      <c r="D1821" t="s">
        <v>117</v>
      </c>
      <c r="E1821" s="1">
        <v>44052</v>
      </c>
      <c r="F1821">
        <v>1</v>
      </c>
      <c r="G1821" t="s">
        <v>41</v>
      </c>
      <c r="H1821" t="s">
        <v>42</v>
      </c>
      <c r="I1821" s="3">
        <v>1738</v>
      </c>
      <c r="J1821" s="3">
        <v>1738</v>
      </c>
      <c r="K1821" s="3">
        <v>388</v>
      </c>
      <c r="L1821" t="s">
        <v>113</v>
      </c>
      <c r="M1821">
        <v>5</v>
      </c>
      <c r="N1821" t="s">
        <v>85</v>
      </c>
      <c r="O1821" t="s">
        <v>81</v>
      </c>
      <c r="P1821" t="s">
        <v>12</v>
      </c>
      <c r="Q1821" t="s">
        <v>13</v>
      </c>
      <c r="R1821" t="s">
        <v>13</v>
      </c>
      <c r="S1821" t="s">
        <v>144</v>
      </c>
      <c r="T1821" s="2">
        <f>MASTER[[#This Row],[CANTIDAD]]*MASTER[[#This Row],[PRECIO DE VENTA]]</f>
        <v>1738</v>
      </c>
      <c r="U1821" s="2">
        <f>MASTER[[#This Row],[CANTIDAD]]*MASTER[[#This Row],[COSTO UNITARIO]]</f>
        <v>388</v>
      </c>
      <c r="V1821" s="2">
        <f>MASTER[[#This Row],[MONTO VENDIDO]]-MASTER[[#This Row],[COSTO DE VENTA]]</f>
        <v>1350</v>
      </c>
    </row>
    <row r="1822" spans="1:22" x14ac:dyDescent="0.3">
      <c r="A1822">
        <v>32876</v>
      </c>
      <c r="B1822">
        <v>1</v>
      </c>
      <c r="C1822" t="s">
        <v>90</v>
      </c>
      <c r="D1822" t="s">
        <v>91</v>
      </c>
      <c r="E1822" s="1">
        <v>44052</v>
      </c>
      <c r="F1822">
        <v>2</v>
      </c>
      <c r="G1822" t="s">
        <v>33</v>
      </c>
      <c r="H1822" t="s">
        <v>34</v>
      </c>
      <c r="I1822" s="3">
        <v>1844</v>
      </c>
      <c r="J1822" s="3">
        <v>1844</v>
      </c>
      <c r="K1822" s="3">
        <v>420</v>
      </c>
      <c r="L1822" t="s">
        <v>9</v>
      </c>
      <c r="M1822">
        <v>5</v>
      </c>
      <c r="N1822" t="s">
        <v>85</v>
      </c>
      <c r="O1822" t="s">
        <v>81</v>
      </c>
      <c r="P1822" t="s">
        <v>12</v>
      </c>
      <c r="Q1822" t="s">
        <v>13</v>
      </c>
      <c r="R1822" t="s">
        <v>13</v>
      </c>
      <c r="S1822" t="s">
        <v>144</v>
      </c>
      <c r="T1822" s="2">
        <f>MASTER[[#This Row],[CANTIDAD]]*MASTER[[#This Row],[PRECIO DE VENTA]]</f>
        <v>3688</v>
      </c>
      <c r="U1822" s="2">
        <f>MASTER[[#This Row],[CANTIDAD]]*MASTER[[#This Row],[COSTO UNITARIO]]</f>
        <v>840</v>
      </c>
      <c r="V1822" s="2">
        <f>MASTER[[#This Row],[MONTO VENDIDO]]-MASTER[[#This Row],[COSTO DE VENTA]]</f>
        <v>2848</v>
      </c>
    </row>
    <row r="1823" spans="1:22" x14ac:dyDescent="0.3">
      <c r="A1823">
        <v>32885</v>
      </c>
      <c r="B1823">
        <v>1</v>
      </c>
      <c r="C1823" t="s">
        <v>105</v>
      </c>
      <c r="D1823" t="s">
        <v>106</v>
      </c>
      <c r="E1823" s="1">
        <v>44052</v>
      </c>
      <c r="F1823">
        <v>1</v>
      </c>
      <c r="G1823" t="s">
        <v>24</v>
      </c>
      <c r="H1823" t="s">
        <v>25</v>
      </c>
      <c r="I1823" s="3">
        <v>1865</v>
      </c>
      <c r="J1823" s="3">
        <v>1865</v>
      </c>
      <c r="K1823" s="3">
        <v>459</v>
      </c>
      <c r="L1823" t="s">
        <v>98</v>
      </c>
      <c r="M1823">
        <v>19</v>
      </c>
      <c r="N1823" t="s">
        <v>89</v>
      </c>
      <c r="O1823" t="s">
        <v>81</v>
      </c>
      <c r="P1823" t="s">
        <v>15</v>
      </c>
      <c r="Q1823" t="s">
        <v>16</v>
      </c>
      <c r="R1823" t="s">
        <v>16</v>
      </c>
      <c r="S1823" t="s">
        <v>144</v>
      </c>
      <c r="T1823" s="2">
        <f>MASTER[[#This Row],[CANTIDAD]]*MASTER[[#This Row],[PRECIO DE VENTA]]</f>
        <v>1865</v>
      </c>
      <c r="U1823" s="2">
        <f>MASTER[[#This Row],[CANTIDAD]]*MASTER[[#This Row],[COSTO UNITARIO]]</f>
        <v>459</v>
      </c>
      <c r="V1823" s="2">
        <f>MASTER[[#This Row],[MONTO VENDIDO]]-MASTER[[#This Row],[COSTO DE VENTA]]</f>
        <v>1406</v>
      </c>
    </row>
    <row r="1824" spans="1:22" x14ac:dyDescent="0.3">
      <c r="A1824">
        <v>32898</v>
      </c>
      <c r="B1824">
        <v>1</v>
      </c>
      <c r="C1824" t="s">
        <v>109</v>
      </c>
      <c r="D1824" t="s">
        <v>110</v>
      </c>
      <c r="E1824" s="1">
        <v>44052</v>
      </c>
      <c r="F1824">
        <v>1</v>
      </c>
      <c r="G1824" t="s">
        <v>20</v>
      </c>
      <c r="H1824" t="s">
        <v>21</v>
      </c>
      <c r="I1824" s="3">
        <v>1128</v>
      </c>
      <c r="J1824" s="3">
        <v>1128</v>
      </c>
      <c r="K1824" s="3">
        <v>387</v>
      </c>
      <c r="L1824" t="s">
        <v>98</v>
      </c>
      <c r="M1824">
        <v>13</v>
      </c>
      <c r="N1824" t="s">
        <v>78</v>
      </c>
      <c r="O1824" t="s">
        <v>70</v>
      </c>
      <c r="P1824" t="s">
        <v>18</v>
      </c>
      <c r="Q1824" t="s">
        <v>19</v>
      </c>
      <c r="R1824" t="s">
        <v>138</v>
      </c>
      <c r="S1824" t="s">
        <v>144</v>
      </c>
      <c r="T1824" s="2">
        <f>MASTER[[#This Row],[CANTIDAD]]*MASTER[[#This Row],[PRECIO DE VENTA]]</f>
        <v>1128</v>
      </c>
      <c r="U1824" s="2">
        <f>MASTER[[#This Row],[CANTIDAD]]*MASTER[[#This Row],[COSTO UNITARIO]]</f>
        <v>387</v>
      </c>
      <c r="V1824" s="2">
        <f>MASTER[[#This Row],[MONTO VENDIDO]]-MASTER[[#This Row],[COSTO DE VENTA]]</f>
        <v>741</v>
      </c>
    </row>
    <row r="1825" spans="1:22" x14ac:dyDescent="0.3">
      <c r="A1825">
        <v>32899</v>
      </c>
      <c r="B1825">
        <v>1</v>
      </c>
      <c r="C1825" t="s">
        <v>101</v>
      </c>
      <c r="D1825" t="s">
        <v>102</v>
      </c>
      <c r="E1825" s="1">
        <v>44052</v>
      </c>
      <c r="F1825">
        <v>1</v>
      </c>
      <c r="G1825" t="s">
        <v>53</v>
      </c>
      <c r="H1825" t="s">
        <v>54</v>
      </c>
      <c r="I1825" s="3">
        <v>1357</v>
      </c>
      <c r="J1825" s="3">
        <v>1357</v>
      </c>
      <c r="K1825" s="3">
        <v>442</v>
      </c>
      <c r="L1825" t="s">
        <v>98</v>
      </c>
      <c r="M1825">
        <v>3</v>
      </c>
      <c r="N1825" t="s">
        <v>69</v>
      </c>
      <c r="O1825" t="s">
        <v>70</v>
      </c>
      <c r="P1825" t="s">
        <v>71</v>
      </c>
      <c r="Q1825" t="s">
        <v>72</v>
      </c>
      <c r="R1825" t="s">
        <v>139</v>
      </c>
      <c r="S1825" t="s">
        <v>144</v>
      </c>
      <c r="T1825" s="2">
        <f>MASTER[[#This Row],[CANTIDAD]]*MASTER[[#This Row],[PRECIO DE VENTA]]</f>
        <v>1357</v>
      </c>
      <c r="U1825" s="2">
        <f>MASTER[[#This Row],[CANTIDAD]]*MASTER[[#This Row],[COSTO UNITARIO]]</f>
        <v>442</v>
      </c>
      <c r="V1825" s="2">
        <f>MASTER[[#This Row],[MONTO VENDIDO]]-MASTER[[#This Row],[COSTO DE VENTA]]</f>
        <v>915</v>
      </c>
    </row>
    <row r="1826" spans="1:22" x14ac:dyDescent="0.3">
      <c r="A1826">
        <v>32948</v>
      </c>
      <c r="B1826">
        <v>1</v>
      </c>
      <c r="C1826" t="s">
        <v>121</v>
      </c>
      <c r="D1826" t="s">
        <v>122</v>
      </c>
      <c r="E1826" s="1">
        <v>44052</v>
      </c>
      <c r="F1826">
        <v>1</v>
      </c>
      <c r="G1826" t="s">
        <v>27</v>
      </c>
      <c r="H1826" t="s">
        <v>28</v>
      </c>
      <c r="I1826" s="3">
        <v>941</v>
      </c>
      <c r="J1826" s="3">
        <v>856</v>
      </c>
      <c r="K1826" s="3">
        <v>460</v>
      </c>
      <c r="L1826" t="s">
        <v>120</v>
      </c>
      <c r="M1826">
        <v>16</v>
      </c>
      <c r="N1826" t="s">
        <v>17</v>
      </c>
      <c r="O1826" t="s">
        <v>11</v>
      </c>
      <c r="P1826" t="s">
        <v>18</v>
      </c>
      <c r="Q1826" t="s">
        <v>19</v>
      </c>
      <c r="R1826" t="s">
        <v>138</v>
      </c>
      <c r="S1826" t="s">
        <v>144</v>
      </c>
      <c r="T1826" s="2">
        <f>MASTER[[#This Row],[CANTIDAD]]*MASTER[[#This Row],[PRECIO DE VENTA]]</f>
        <v>856</v>
      </c>
      <c r="U1826" s="2">
        <f>MASTER[[#This Row],[CANTIDAD]]*MASTER[[#This Row],[COSTO UNITARIO]]</f>
        <v>460</v>
      </c>
      <c r="V1826" s="2">
        <f>MASTER[[#This Row],[MONTO VENDIDO]]-MASTER[[#This Row],[COSTO DE VENTA]]</f>
        <v>396</v>
      </c>
    </row>
    <row r="1827" spans="1:22" x14ac:dyDescent="0.3">
      <c r="A1827">
        <v>32959</v>
      </c>
      <c r="B1827">
        <v>2</v>
      </c>
      <c r="C1827" t="s">
        <v>94</v>
      </c>
      <c r="D1827" t="s">
        <v>95</v>
      </c>
      <c r="E1827" s="1">
        <v>44053</v>
      </c>
      <c r="F1827">
        <v>1</v>
      </c>
      <c r="G1827" t="s">
        <v>33</v>
      </c>
      <c r="H1827" t="s">
        <v>34</v>
      </c>
      <c r="I1827" s="3">
        <v>1153</v>
      </c>
      <c r="J1827" s="3">
        <v>1153</v>
      </c>
      <c r="K1827" s="3">
        <v>392</v>
      </c>
      <c r="L1827" t="s">
        <v>9</v>
      </c>
      <c r="M1827">
        <v>18</v>
      </c>
      <c r="N1827" t="s">
        <v>79</v>
      </c>
      <c r="O1827" t="s">
        <v>70</v>
      </c>
      <c r="P1827" t="s">
        <v>15</v>
      </c>
      <c r="Q1827" t="s">
        <v>16</v>
      </c>
      <c r="R1827" t="s">
        <v>16</v>
      </c>
      <c r="S1827" t="s">
        <v>144</v>
      </c>
      <c r="T1827" s="2">
        <f>MASTER[[#This Row],[CANTIDAD]]*MASTER[[#This Row],[PRECIO DE VENTA]]</f>
        <v>1153</v>
      </c>
      <c r="U1827" s="2">
        <f>MASTER[[#This Row],[CANTIDAD]]*MASTER[[#This Row],[COSTO UNITARIO]]</f>
        <v>392</v>
      </c>
      <c r="V1827" s="2">
        <f>MASTER[[#This Row],[MONTO VENDIDO]]-MASTER[[#This Row],[COSTO DE VENTA]]</f>
        <v>761</v>
      </c>
    </row>
    <row r="1828" spans="1:22" x14ac:dyDescent="0.3">
      <c r="A1828">
        <v>32959</v>
      </c>
      <c r="B1828">
        <v>1</v>
      </c>
      <c r="C1828" t="s">
        <v>103</v>
      </c>
      <c r="D1828" t="s">
        <v>104</v>
      </c>
      <c r="E1828" s="1">
        <v>44053</v>
      </c>
      <c r="F1828">
        <v>4</v>
      </c>
      <c r="G1828" t="s">
        <v>29</v>
      </c>
      <c r="H1828" t="s">
        <v>30</v>
      </c>
      <c r="I1828" s="3">
        <v>1830</v>
      </c>
      <c r="J1828" s="3">
        <v>1830</v>
      </c>
      <c r="K1828" s="3">
        <v>421</v>
      </c>
      <c r="L1828" t="s">
        <v>98</v>
      </c>
      <c r="M1828">
        <v>18</v>
      </c>
      <c r="N1828" t="s">
        <v>79</v>
      </c>
      <c r="O1828" t="s">
        <v>70</v>
      </c>
      <c r="P1828" t="s">
        <v>15</v>
      </c>
      <c r="Q1828" t="s">
        <v>16</v>
      </c>
      <c r="R1828" t="s">
        <v>16</v>
      </c>
      <c r="S1828" t="s">
        <v>144</v>
      </c>
      <c r="T1828" s="2">
        <f>MASTER[[#This Row],[CANTIDAD]]*MASTER[[#This Row],[PRECIO DE VENTA]]</f>
        <v>7320</v>
      </c>
      <c r="U1828" s="2">
        <f>MASTER[[#This Row],[CANTIDAD]]*MASTER[[#This Row],[COSTO UNITARIO]]</f>
        <v>1684</v>
      </c>
      <c r="V1828" s="2">
        <f>MASTER[[#This Row],[MONTO VENDIDO]]-MASTER[[#This Row],[COSTO DE VENTA]]</f>
        <v>5636</v>
      </c>
    </row>
    <row r="1829" spans="1:22" x14ac:dyDescent="0.3">
      <c r="A1829">
        <v>33042</v>
      </c>
      <c r="B1829">
        <v>1</v>
      </c>
      <c r="C1829" t="s">
        <v>116</v>
      </c>
      <c r="D1829" t="s">
        <v>117</v>
      </c>
      <c r="E1829" s="1">
        <v>44053</v>
      </c>
      <c r="F1829">
        <v>1</v>
      </c>
      <c r="G1829" t="s">
        <v>35</v>
      </c>
      <c r="H1829" t="s">
        <v>36</v>
      </c>
      <c r="I1829" s="3">
        <v>1529</v>
      </c>
      <c r="J1829" s="3">
        <v>1529</v>
      </c>
      <c r="K1829" s="3">
        <v>388</v>
      </c>
      <c r="L1829" t="s">
        <v>113</v>
      </c>
      <c r="M1829">
        <v>17</v>
      </c>
      <c r="N1829" t="s">
        <v>14</v>
      </c>
      <c r="O1829" t="s">
        <v>11</v>
      </c>
      <c r="P1829" t="s">
        <v>15</v>
      </c>
      <c r="Q1829" t="s">
        <v>16</v>
      </c>
      <c r="R1829" t="s">
        <v>16</v>
      </c>
      <c r="S1829" t="s">
        <v>144</v>
      </c>
      <c r="T1829" s="2">
        <f>MASTER[[#This Row],[CANTIDAD]]*MASTER[[#This Row],[PRECIO DE VENTA]]</f>
        <v>1529</v>
      </c>
      <c r="U1829" s="2">
        <f>MASTER[[#This Row],[CANTIDAD]]*MASTER[[#This Row],[COSTO UNITARIO]]</f>
        <v>388</v>
      </c>
      <c r="V1829" s="2">
        <f>MASTER[[#This Row],[MONTO VENDIDO]]-MASTER[[#This Row],[COSTO DE VENTA]]</f>
        <v>1141</v>
      </c>
    </row>
    <row r="1830" spans="1:22" x14ac:dyDescent="0.3">
      <c r="A1830">
        <v>33063</v>
      </c>
      <c r="B1830">
        <v>1</v>
      </c>
      <c r="C1830" t="s">
        <v>114</v>
      </c>
      <c r="D1830" t="s">
        <v>115</v>
      </c>
      <c r="E1830" s="1">
        <v>44053</v>
      </c>
      <c r="F1830">
        <v>1</v>
      </c>
      <c r="G1830" t="s">
        <v>24</v>
      </c>
      <c r="H1830" t="s">
        <v>25</v>
      </c>
      <c r="I1830" s="3">
        <v>1862</v>
      </c>
      <c r="J1830" s="3">
        <v>1862</v>
      </c>
      <c r="K1830" s="3">
        <v>394</v>
      </c>
      <c r="L1830" t="s">
        <v>113</v>
      </c>
      <c r="M1830">
        <v>4</v>
      </c>
      <c r="N1830" t="s">
        <v>82</v>
      </c>
      <c r="O1830" t="s">
        <v>81</v>
      </c>
      <c r="P1830" t="s">
        <v>71</v>
      </c>
      <c r="Q1830" t="s">
        <v>72</v>
      </c>
      <c r="R1830" t="s">
        <v>139</v>
      </c>
      <c r="S1830" t="s">
        <v>144</v>
      </c>
      <c r="T1830" s="2">
        <f>MASTER[[#This Row],[CANTIDAD]]*MASTER[[#This Row],[PRECIO DE VENTA]]</f>
        <v>1862</v>
      </c>
      <c r="U1830" s="2">
        <f>MASTER[[#This Row],[CANTIDAD]]*MASTER[[#This Row],[COSTO UNITARIO]]</f>
        <v>394</v>
      </c>
      <c r="V1830" s="2">
        <f>MASTER[[#This Row],[MONTO VENDIDO]]-MASTER[[#This Row],[COSTO DE VENTA]]</f>
        <v>1468</v>
      </c>
    </row>
    <row r="1831" spans="1:22" x14ac:dyDescent="0.3">
      <c r="A1831">
        <v>33071</v>
      </c>
      <c r="B1831">
        <v>1</v>
      </c>
      <c r="C1831" t="s">
        <v>118</v>
      </c>
      <c r="D1831" t="s">
        <v>119</v>
      </c>
      <c r="E1831" s="1">
        <v>44053</v>
      </c>
      <c r="F1831">
        <v>1</v>
      </c>
      <c r="G1831" t="s">
        <v>53</v>
      </c>
      <c r="H1831" t="s">
        <v>54</v>
      </c>
      <c r="I1831" s="3">
        <v>900</v>
      </c>
      <c r="J1831" s="3">
        <v>900</v>
      </c>
      <c r="K1831" s="3">
        <v>424</v>
      </c>
      <c r="L1831" t="s">
        <v>120</v>
      </c>
      <c r="M1831">
        <v>15</v>
      </c>
      <c r="N1831" t="s">
        <v>88</v>
      </c>
      <c r="O1831" t="s">
        <v>81</v>
      </c>
      <c r="P1831" t="s">
        <v>18</v>
      </c>
      <c r="Q1831" t="s">
        <v>19</v>
      </c>
      <c r="R1831" t="s">
        <v>138</v>
      </c>
      <c r="S1831" t="s">
        <v>144</v>
      </c>
      <c r="T1831" s="2">
        <f>MASTER[[#This Row],[CANTIDAD]]*MASTER[[#This Row],[PRECIO DE VENTA]]</f>
        <v>900</v>
      </c>
      <c r="U1831" s="2">
        <f>MASTER[[#This Row],[CANTIDAD]]*MASTER[[#This Row],[COSTO UNITARIO]]</f>
        <v>424</v>
      </c>
      <c r="V1831" s="2">
        <f>MASTER[[#This Row],[MONTO VENDIDO]]-MASTER[[#This Row],[COSTO DE VENTA]]</f>
        <v>476</v>
      </c>
    </row>
    <row r="1832" spans="1:22" x14ac:dyDescent="0.3">
      <c r="A1832">
        <v>33081</v>
      </c>
      <c r="B1832">
        <v>1</v>
      </c>
      <c r="C1832" t="s">
        <v>109</v>
      </c>
      <c r="D1832" t="s">
        <v>110</v>
      </c>
      <c r="E1832" s="1">
        <v>44053</v>
      </c>
      <c r="F1832">
        <v>1</v>
      </c>
      <c r="G1832" t="s">
        <v>57</v>
      </c>
      <c r="H1832" t="s">
        <v>58</v>
      </c>
      <c r="I1832" s="3">
        <v>947</v>
      </c>
      <c r="J1832" s="3">
        <v>947</v>
      </c>
      <c r="K1832" s="3">
        <v>387</v>
      </c>
      <c r="L1832" t="s">
        <v>98</v>
      </c>
      <c r="M1832">
        <v>16</v>
      </c>
      <c r="N1832" t="s">
        <v>17</v>
      </c>
      <c r="O1832" t="s">
        <v>11</v>
      </c>
      <c r="P1832" t="s">
        <v>18</v>
      </c>
      <c r="Q1832" t="s">
        <v>19</v>
      </c>
      <c r="R1832" t="s">
        <v>138</v>
      </c>
      <c r="S1832" t="s">
        <v>144</v>
      </c>
      <c r="T1832" s="2">
        <f>MASTER[[#This Row],[CANTIDAD]]*MASTER[[#This Row],[PRECIO DE VENTA]]</f>
        <v>947</v>
      </c>
      <c r="U1832" s="2">
        <f>MASTER[[#This Row],[CANTIDAD]]*MASTER[[#This Row],[COSTO UNITARIO]]</f>
        <v>387</v>
      </c>
      <c r="V1832" s="2">
        <f>MASTER[[#This Row],[MONTO VENDIDO]]-MASTER[[#This Row],[COSTO DE VENTA]]</f>
        <v>560</v>
      </c>
    </row>
    <row r="1833" spans="1:22" x14ac:dyDescent="0.3">
      <c r="A1833">
        <v>33082</v>
      </c>
      <c r="B1833">
        <v>1</v>
      </c>
      <c r="C1833" t="s">
        <v>111</v>
      </c>
      <c r="D1833" t="s">
        <v>112</v>
      </c>
      <c r="E1833" s="1">
        <v>44053</v>
      </c>
      <c r="F1833">
        <v>1</v>
      </c>
      <c r="G1833" t="s">
        <v>73</v>
      </c>
      <c r="H1833" t="s">
        <v>74</v>
      </c>
      <c r="I1833" s="3">
        <v>1799</v>
      </c>
      <c r="J1833" s="3">
        <v>1709</v>
      </c>
      <c r="K1833" s="3">
        <v>434</v>
      </c>
      <c r="L1833" t="s">
        <v>113</v>
      </c>
      <c r="M1833">
        <v>9</v>
      </c>
      <c r="N1833" t="s">
        <v>76</v>
      </c>
      <c r="O1833" t="s">
        <v>70</v>
      </c>
      <c r="P1833" t="s">
        <v>12</v>
      </c>
      <c r="Q1833" t="s">
        <v>13</v>
      </c>
      <c r="R1833" t="s">
        <v>13</v>
      </c>
      <c r="S1833" t="s">
        <v>144</v>
      </c>
      <c r="T1833" s="2">
        <f>MASTER[[#This Row],[CANTIDAD]]*MASTER[[#This Row],[PRECIO DE VENTA]]</f>
        <v>1709</v>
      </c>
      <c r="U1833" s="2">
        <f>MASTER[[#This Row],[CANTIDAD]]*MASTER[[#This Row],[COSTO UNITARIO]]</f>
        <v>434</v>
      </c>
      <c r="V1833" s="2">
        <f>MASTER[[#This Row],[MONTO VENDIDO]]-MASTER[[#This Row],[COSTO DE VENTA]]</f>
        <v>1275</v>
      </c>
    </row>
    <row r="1834" spans="1:22" x14ac:dyDescent="0.3">
      <c r="A1834">
        <v>33088</v>
      </c>
      <c r="B1834">
        <v>1</v>
      </c>
      <c r="C1834" t="s">
        <v>90</v>
      </c>
      <c r="D1834" t="s">
        <v>91</v>
      </c>
      <c r="E1834" s="1">
        <v>44053</v>
      </c>
      <c r="F1834">
        <v>1</v>
      </c>
      <c r="G1834" t="s">
        <v>55</v>
      </c>
      <c r="H1834" t="s">
        <v>56</v>
      </c>
      <c r="I1834" s="3">
        <v>1844</v>
      </c>
      <c r="J1834" s="3">
        <v>1844</v>
      </c>
      <c r="K1834" s="3">
        <v>420</v>
      </c>
      <c r="L1834" t="s">
        <v>9</v>
      </c>
      <c r="M1834">
        <v>4</v>
      </c>
      <c r="N1834" t="s">
        <v>82</v>
      </c>
      <c r="O1834" t="s">
        <v>81</v>
      </c>
      <c r="P1834" t="s">
        <v>71</v>
      </c>
      <c r="Q1834" t="s">
        <v>72</v>
      </c>
      <c r="R1834" t="s">
        <v>139</v>
      </c>
      <c r="S1834" t="s">
        <v>144</v>
      </c>
      <c r="T1834" s="2">
        <f>MASTER[[#This Row],[CANTIDAD]]*MASTER[[#This Row],[PRECIO DE VENTA]]</f>
        <v>1844</v>
      </c>
      <c r="U1834" s="2">
        <f>MASTER[[#This Row],[CANTIDAD]]*MASTER[[#This Row],[COSTO UNITARIO]]</f>
        <v>420</v>
      </c>
      <c r="V1834" s="2">
        <f>MASTER[[#This Row],[MONTO VENDIDO]]-MASTER[[#This Row],[COSTO DE VENTA]]</f>
        <v>1424</v>
      </c>
    </row>
    <row r="1835" spans="1:22" x14ac:dyDescent="0.3">
      <c r="A1835">
        <v>33119</v>
      </c>
      <c r="B1835">
        <v>1</v>
      </c>
      <c r="C1835" t="s">
        <v>96</v>
      </c>
      <c r="D1835" t="s">
        <v>97</v>
      </c>
      <c r="E1835" s="1">
        <v>44053</v>
      </c>
      <c r="F1835">
        <v>1</v>
      </c>
      <c r="G1835" t="s">
        <v>53</v>
      </c>
      <c r="H1835" t="s">
        <v>54</v>
      </c>
      <c r="I1835" s="3">
        <v>1361</v>
      </c>
      <c r="J1835" s="3">
        <v>1361</v>
      </c>
      <c r="K1835" s="3">
        <v>397</v>
      </c>
      <c r="L1835" t="s">
        <v>98</v>
      </c>
      <c r="M1835">
        <v>13</v>
      </c>
      <c r="N1835" t="s">
        <v>78</v>
      </c>
      <c r="O1835" t="s">
        <v>70</v>
      </c>
      <c r="P1835" t="s">
        <v>18</v>
      </c>
      <c r="Q1835" t="s">
        <v>19</v>
      </c>
      <c r="R1835" t="s">
        <v>138</v>
      </c>
      <c r="S1835" t="s">
        <v>144</v>
      </c>
      <c r="T1835" s="2">
        <f>MASTER[[#This Row],[CANTIDAD]]*MASTER[[#This Row],[PRECIO DE VENTA]]</f>
        <v>1361</v>
      </c>
      <c r="U1835" s="2">
        <f>MASTER[[#This Row],[CANTIDAD]]*MASTER[[#This Row],[COSTO UNITARIO]]</f>
        <v>397</v>
      </c>
      <c r="V1835" s="2">
        <f>MASTER[[#This Row],[MONTO VENDIDO]]-MASTER[[#This Row],[COSTO DE VENTA]]</f>
        <v>964</v>
      </c>
    </row>
    <row r="1836" spans="1:22" x14ac:dyDescent="0.3">
      <c r="A1836">
        <v>33121</v>
      </c>
      <c r="B1836">
        <v>1</v>
      </c>
      <c r="C1836" t="s">
        <v>101</v>
      </c>
      <c r="D1836" t="s">
        <v>102</v>
      </c>
      <c r="E1836" s="1">
        <v>44053</v>
      </c>
      <c r="F1836">
        <v>1</v>
      </c>
      <c r="G1836" t="s">
        <v>53</v>
      </c>
      <c r="H1836" t="s">
        <v>54</v>
      </c>
      <c r="I1836" s="3">
        <v>1212</v>
      </c>
      <c r="J1836" s="3">
        <v>1212</v>
      </c>
      <c r="K1836" s="3">
        <v>442</v>
      </c>
      <c r="L1836" t="s">
        <v>98</v>
      </c>
      <c r="M1836">
        <v>10</v>
      </c>
      <c r="N1836" t="s">
        <v>83</v>
      </c>
      <c r="O1836" t="s">
        <v>81</v>
      </c>
      <c r="P1836" t="s">
        <v>12</v>
      </c>
      <c r="Q1836" t="s">
        <v>13</v>
      </c>
      <c r="R1836" t="s">
        <v>13</v>
      </c>
      <c r="S1836" t="s">
        <v>144</v>
      </c>
      <c r="T1836" s="2">
        <f>MASTER[[#This Row],[CANTIDAD]]*MASTER[[#This Row],[PRECIO DE VENTA]]</f>
        <v>1212</v>
      </c>
      <c r="U1836" s="2">
        <f>MASTER[[#This Row],[CANTIDAD]]*MASTER[[#This Row],[COSTO UNITARIO]]</f>
        <v>442</v>
      </c>
      <c r="V1836" s="2">
        <f>MASTER[[#This Row],[MONTO VENDIDO]]-MASTER[[#This Row],[COSTO DE VENTA]]</f>
        <v>770</v>
      </c>
    </row>
    <row r="1837" spans="1:22" x14ac:dyDescent="0.3">
      <c r="A1837">
        <v>33123</v>
      </c>
      <c r="B1837">
        <v>1</v>
      </c>
      <c r="C1837" t="s">
        <v>96</v>
      </c>
      <c r="D1837" t="s">
        <v>97</v>
      </c>
      <c r="E1837" s="1">
        <v>44053</v>
      </c>
      <c r="F1837">
        <v>1</v>
      </c>
      <c r="G1837" t="s">
        <v>27</v>
      </c>
      <c r="H1837" t="s">
        <v>28</v>
      </c>
      <c r="I1837" s="3">
        <v>1196</v>
      </c>
      <c r="J1837" s="3">
        <v>1196</v>
      </c>
      <c r="K1837" s="3">
        <v>397</v>
      </c>
      <c r="L1837" t="s">
        <v>98</v>
      </c>
      <c r="M1837">
        <v>11</v>
      </c>
      <c r="N1837" t="s">
        <v>10</v>
      </c>
      <c r="O1837" t="s">
        <v>11</v>
      </c>
      <c r="P1837" t="s">
        <v>12</v>
      </c>
      <c r="Q1837" t="s">
        <v>13</v>
      </c>
      <c r="R1837" t="s">
        <v>13</v>
      </c>
      <c r="S1837" t="s">
        <v>144</v>
      </c>
      <c r="T1837" s="2">
        <f>MASTER[[#This Row],[CANTIDAD]]*MASTER[[#This Row],[PRECIO DE VENTA]]</f>
        <v>1196</v>
      </c>
      <c r="U1837" s="2">
        <f>MASTER[[#This Row],[CANTIDAD]]*MASTER[[#This Row],[COSTO UNITARIO]]</f>
        <v>397</v>
      </c>
      <c r="V1837" s="2">
        <f>MASTER[[#This Row],[MONTO VENDIDO]]-MASTER[[#This Row],[COSTO DE VENTA]]</f>
        <v>799</v>
      </c>
    </row>
    <row r="1838" spans="1:22" x14ac:dyDescent="0.3">
      <c r="A1838">
        <v>33156</v>
      </c>
      <c r="B1838">
        <v>1</v>
      </c>
      <c r="C1838" t="s">
        <v>109</v>
      </c>
      <c r="D1838" t="s">
        <v>110</v>
      </c>
      <c r="E1838" s="1">
        <v>44053</v>
      </c>
      <c r="F1838">
        <v>1</v>
      </c>
      <c r="G1838" t="s">
        <v>51</v>
      </c>
      <c r="H1838" t="s">
        <v>52</v>
      </c>
      <c r="I1838" s="3">
        <v>1064</v>
      </c>
      <c r="J1838" s="3">
        <v>1064</v>
      </c>
      <c r="K1838" s="3">
        <v>387</v>
      </c>
      <c r="L1838" t="s">
        <v>98</v>
      </c>
      <c r="M1838">
        <v>4</v>
      </c>
      <c r="N1838" t="s">
        <v>82</v>
      </c>
      <c r="O1838" t="s">
        <v>81</v>
      </c>
      <c r="P1838" t="s">
        <v>71</v>
      </c>
      <c r="Q1838" t="s">
        <v>72</v>
      </c>
      <c r="R1838" t="s">
        <v>139</v>
      </c>
      <c r="S1838" t="s">
        <v>144</v>
      </c>
      <c r="T1838" s="2">
        <f>MASTER[[#This Row],[CANTIDAD]]*MASTER[[#This Row],[PRECIO DE VENTA]]</f>
        <v>1064</v>
      </c>
      <c r="U1838" s="2">
        <f>MASTER[[#This Row],[CANTIDAD]]*MASTER[[#This Row],[COSTO UNITARIO]]</f>
        <v>387</v>
      </c>
      <c r="V1838" s="2">
        <f>MASTER[[#This Row],[MONTO VENDIDO]]-MASTER[[#This Row],[COSTO DE VENTA]]</f>
        <v>677</v>
      </c>
    </row>
    <row r="1839" spans="1:22" x14ac:dyDescent="0.3">
      <c r="A1839">
        <v>33165</v>
      </c>
      <c r="B1839">
        <v>1</v>
      </c>
      <c r="C1839" t="s">
        <v>114</v>
      </c>
      <c r="D1839" t="s">
        <v>115</v>
      </c>
      <c r="E1839" s="1">
        <v>44053</v>
      </c>
      <c r="F1839">
        <v>1</v>
      </c>
      <c r="G1839" t="s">
        <v>29</v>
      </c>
      <c r="H1839" t="s">
        <v>30</v>
      </c>
      <c r="I1839" s="3">
        <v>1583</v>
      </c>
      <c r="J1839" s="3">
        <v>1583</v>
      </c>
      <c r="K1839" s="3">
        <v>394</v>
      </c>
      <c r="L1839" t="s">
        <v>113</v>
      </c>
      <c r="M1839">
        <v>16</v>
      </c>
      <c r="N1839" t="s">
        <v>17</v>
      </c>
      <c r="O1839" t="s">
        <v>11</v>
      </c>
      <c r="P1839" t="s">
        <v>18</v>
      </c>
      <c r="Q1839" t="s">
        <v>19</v>
      </c>
      <c r="R1839" t="s">
        <v>138</v>
      </c>
      <c r="S1839" t="s">
        <v>144</v>
      </c>
      <c r="T1839" s="2">
        <f>MASTER[[#This Row],[CANTIDAD]]*MASTER[[#This Row],[PRECIO DE VENTA]]</f>
        <v>1583</v>
      </c>
      <c r="U1839" s="2">
        <f>MASTER[[#This Row],[CANTIDAD]]*MASTER[[#This Row],[COSTO UNITARIO]]</f>
        <v>394</v>
      </c>
      <c r="V1839" s="2">
        <f>MASTER[[#This Row],[MONTO VENDIDO]]-MASTER[[#This Row],[COSTO DE VENTA]]</f>
        <v>1189</v>
      </c>
    </row>
    <row r="1840" spans="1:22" x14ac:dyDescent="0.3">
      <c r="A1840">
        <v>33168</v>
      </c>
      <c r="B1840">
        <v>1</v>
      </c>
      <c r="C1840" t="s">
        <v>111</v>
      </c>
      <c r="D1840" t="s">
        <v>112</v>
      </c>
      <c r="E1840" s="1">
        <v>44053</v>
      </c>
      <c r="F1840">
        <v>1</v>
      </c>
      <c r="G1840" t="s">
        <v>67</v>
      </c>
      <c r="H1840" t="s">
        <v>68</v>
      </c>
      <c r="I1840" s="3">
        <v>1524</v>
      </c>
      <c r="J1840" s="3">
        <v>1524</v>
      </c>
      <c r="K1840" s="3">
        <v>434</v>
      </c>
      <c r="L1840" t="s">
        <v>113</v>
      </c>
      <c r="M1840">
        <v>17</v>
      </c>
      <c r="N1840" t="s">
        <v>14</v>
      </c>
      <c r="O1840" t="s">
        <v>11</v>
      </c>
      <c r="P1840" t="s">
        <v>15</v>
      </c>
      <c r="Q1840" t="s">
        <v>16</v>
      </c>
      <c r="R1840" t="s">
        <v>16</v>
      </c>
      <c r="S1840" t="s">
        <v>144</v>
      </c>
      <c r="T1840" s="2">
        <f>MASTER[[#This Row],[CANTIDAD]]*MASTER[[#This Row],[PRECIO DE VENTA]]</f>
        <v>1524</v>
      </c>
      <c r="U1840" s="2">
        <f>MASTER[[#This Row],[CANTIDAD]]*MASTER[[#This Row],[COSTO UNITARIO]]</f>
        <v>434</v>
      </c>
      <c r="V1840" s="2">
        <f>MASTER[[#This Row],[MONTO VENDIDO]]-MASTER[[#This Row],[COSTO DE VENTA]]</f>
        <v>1090</v>
      </c>
    </row>
    <row r="1841" spans="1:22" x14ac:dyDescent="0.3">
      <c r="A1841">
        <v>33187</v>
      </c>
      <c r="B1841">
        <v>1</v>
      </c>
      <c r="C1841" t="s">
        <v>5</v>
      </c>
      <c r="D1841" t="s">
        <v>6</v>
      </c>
      <c r="E1841" s="1">
        <v>44053</v>
      </c>
      <c r="F1841">
        <v>1</v>
      </c>
      <c r="G1841" t="s">
        <v>53</v>
      </c>
      <c r="H1841" t="s">
        <v>54</v>
      </c>
      <c r="I1841" s="3">
        <v>1507</v>
      </c>
      <c r="J1841" s="3">
        <v>1416</v>
      </c>
      <c r="K1841" s="3">
        <v>393</v>
      </c>
      <c r="L1841" t="s">
        <v>9</v>
      </c>
      <c r="M1841">
        <v>15</v>
      </c>
      <c r="N1841" t="s">
        <v>88</v>
      </c>
      <c r="O1841" t="s">
        <v>81</v>
      </c>
      <c r="P1841" t="s">
        <v>18</v>
      </c>
      <c r="Q1841" t="s">
        <v>19</v>
      </c>
      <c r="R1841" t="s">
        <v>138</v>
      </c>
      <c r="S1841" t="s">
        <v>144</v>
      </c>
      <c r="T1841" s="2">
        <f>MASTER[[#This Row],[CANTIDAD]]*MASTER[[#This Row],[PRECIO DE VENTA]]</f>
        <v>1416</v>
      </c>
      <c r="U1841" s="2">
        <f>MASTER[[#This Row],[CANTIDAD]]*MASTER[[#This Row],[COSTO UNITARIO]]</f>
        <v>393</v>
      </c>
      <c r="V1841" s="2">
        <f>MASTER[[#This Row],[MONTO VENDIDO]]-MASTER[[#This Row],[COSTO DE VENTA]]</f>
        <v>1023</v>
      </c>
    </row>
    <row r="1842" spans="1:22" x14ac:dyDescent="0.3">
      <c r="A1842">
        <v>33243</v>
      </c>
      <c r="B1842">
        <v>1</v>
      </c>
      <c r="C1842" t="s">
        <v>118</v>
      </c>
      <c r="D1842" t="s">
        <v>119</v>
      </c>
      <c r="E1842" s="1">
        <v>44053</v>
      </c>
      <c r="F1842">
        <v>1</v>
      </c>
      <c r="G1842" t="s">
        <v>67</v>
      </c>
      <c r="H1842" t="s">
        <v>68</v>
      </c>
      <c r="I1842" s="3">
        <v>1026</v>
      </c>
      <c r="J1842" s="3">
        <v>1026</v>
      </c>
      <c r="K1842" s="3">
        <v>424</v>
      </c>
      <c r="L1842" t="s">
        <v>120</v>
      </c>
      <c r="M1842">
        <v>18</v>
      </c>
      <c r="N1842" t="s">
        <v>79</v>
      </c>
      <c r="O1842" t="s">
        <v>70</v>
      </c>
      <c r="P1842" t="s">
        <v>15</v>
      </c>
      <c r="Q1842" t="s">
        <v>16</v>
      </c>
      <c r="R1842" t="s">
        <v>16</v>
      </c>
      <c r="S1842" t="s">
        <v>144</v>
      </c>
      <c r="T1842" s="2">
        <f>MASTER[[#This Row],[CANTIDAD]]*MASTER[[#This Row],[PRECIO DE VENTA]]</f>
        <v>1026</v>
      </c>
      <c r="U1842" s="2">
        <f>MASTER[[#This Row],[CANTIDAD]]*MASTER[[#This Row],[COSTO UNITARIO]]</f>
        <v>424</v>
      </c>
      <c r="V1842" s="2">
        <f>MASTER[[#This Row],[MONTO VENDIDO]]-MASTER[[#This Row],[COSTO DE VENTA]]</f>
        <v>602</v>
      </c>
    </row>
    <row r="1843" spans="1:22" x14ac:dyDescent="0.3">
      <c r="A1843">
        <v>33246</v>
      </c>
      <c r="B1843">
        <v>1</v>
      </c>
      <c r="C1843" t="s">
        <v>92</v>
      </c>
      <c r="D1843" t="s">
        <v>93</v>
      </c>
      <c r="E1843" s="1">
        <v>44053</v>
      </c>
      <c r="F1843">
        <v>1</v>
      </c>
      <c r="G1843" t="s">
        <v>27</v>
      </c>
      <c r="H1843" t="s">
        <v>28</v>
      </c>
      <c r="I1843" s="3">
        <v>1866</v>
      </c>
      <c r="J1843" s="3">
        <v>1866</v>
      </c>
      <c r="K1843" s="3">
        <v>396</v>
      </c>
      <c r="L1843" t="s">
        <v>9</v>
      </c>
      <c r="M1843">
        <v>13</v>
      </c>
      <c r="N1843" t="s">
        <v>78</v>
      </c>
      <c r="O1843" t="s">
        <v>70</v>
      </c>
      <c r="P1843" t="s">
        <v>18</v>
      </c>
      <c r="Q1843" t="s">
        <v>19</v>
      </c>
      <c r="R1843" t="s">
        <v>138</v>
      </c>
      <c r="S1843" t="s">
        <v>144</v>
      </c>
      <c r="T1843" s="2">
        <f>MASTER[[#This Row],[CANTIDAD]]*MASTER[[#This Row],[PRECIO DE VENTA]]</f>
        <v>1866</v>
      </c>
      <c r="U1843" s="2">
        <f>MASTER[[#This Row],[CANTIDAD]]*MASTER[[#This Row],[COSTO UNITARIO]]</f>
        <v>396</v>
      </c>
      <c r="V1843" s="2">
        <f>MASTER[[#This Row],[MONTO VENDIDO]]-MASTER[[#This Row],[COSTO DE VENTA]]</f>
        <v>1470</v>
      </c>
    </row>
    <row r="1844" spans="1:22" x14ac:dyDescent="0.3">
      <c r="A1844">
        <v>33252</v>
      </c>
      <c r="B1844">
        <v>1</v>
      </c>
      <c r="C1844" t="s">
        <v>92</v>
      </c>
      <c r="D1844" t="s">
        <v>93</v>
      </c>
      <c r="E1844" s="1">
        <v>44054</v>
      </c>
      <c r="F1844">
        <v>1</v>
      </c>
      <c r="G1844" t="s">
        <v>22</v>
      </c>
      <c r="H1844" t="s">
        <v>23</v>
      </c>
      <c r="I1844" s="3">
        <v>1479</v>
      </c>
      <c r="J1844" s="3">
        <v>1479</v>
      </c>
      <c r="K1844" s="3">
        <v>396</v>
      </c>
      <c r="L1844" t="s">
        <v>9</v>
      </c>
      <c r="M1844">
        <v>11</v>
      </c>
      <c r="N1844" t="s">
        <v>10</v>
      </c>
      <c r="O1844" t="s">
        <v>11</v>
      </c>
      <c r="P1844" t="s">
        <v>12</v>
      </c>
      <c r="Q1844" t="s">
        <v>13</v>
      </c>
      <c r="R1844" t="s">
        <v>13</v>
      </c>
      <c r="S1844" t="s">
        <v>144</v>
      </c>
      <c r="T1844" s="2">
        <f>MASTER[[#This Row],[CANTIDAD]]*MASTER[[#This Row],[PRECIO DE VENTA]]</f>
        <v>1479</v>
      </c>
      <c r="U1844" s="2">
        <f>MASTER[[#This Row],[CANTIDAD]]*MASTER[[#This Row],[COSTO UNITARIO]]</f>
        <v>396</v>
      </c>
      <c r="V1844" s="2">
        <f>MASTER[[#This Row],[MONTO VENDIDO]]-MASTER[[#This Row],[COSTO DE VENTA]]</f>
        <v>1083</v>
      </c>
    </row>
    <row r="1845" spans="1:22" x14ac:dyDescent="0.3">
      <c r="A1845">
        <v>33283</v>
      </c>
      <c r="B1845">
        <v>1</v>
      </c>
      <c r="C1845" t="s">
        <v>94</v>
      </c>
      <c r="D1845" t="s">
        <v>95</v>
      </c>
      <c r="E1845" s="1">
        <v>44054</v>
      </c>
      <c r="F1845">
        <v>1</v>
      </c>
      <c r="G1845" t="s">
        <v>31</v>
      </c>
      <c r="H1845" t="s">
        <v>32</v>
      </c>
      <c r="I1845" s="3">
        <v>1048</v>
      </c>
      <c r="J1845" s="3">
        <v>1048</v>
      </c>
      <c r="K1845" s="3">
        <v>392</v>
      </c>
      <c r="L1845" t="s">
        <v>9</v>
      </c>
      <c r="M1845">
        <v>14</v>
      </c>
      <c r="N1845" t="s">
        <v>87</v>
      </c>
      <c r="O1845" t="s">
        <v>81</v>
      </c>
      <c r="P1845" t="s">
        <v>18</v>
      </c>
      <c r="Q1845" t="s">
        <v>19</v>
      </c>
      <c r="R1845" t="s">
        <v>138</v>
      </c>
      <c r="S1845" t="s">
        <v>144</v>
      </c>
      <c r="T1845" s="2">
        <f>MASTER[[#This Row],[CANTIDAD]]*MASTER[[#This Row],[PRECIO DE VENTA]]</f>
        <v>1048</v>
      </c>
      <c r="U1845" s="2">
        <f>MASTER[[#This Row],[CANTIDAD]]*MASTER[[#This Row],[COSTO UNITARIO]]</f>
        <v>392</v>
      </c>
      <c r="V1845" s="2">
        <f>MASTER[[#This Row],[MONTO VENDIDO]]-MASTER[[#This Row],[COSTO DE VENTA]]</f>
        <v>656</v>
      </c>
    </row>
    <row r="1846" spans="1:22" x14ac:dyDescent="0.3">
      <c r="A1846">
        <v>33286</v>
      </c>
      <c r="B1846">
        <v>1</v>
      </c>
      <c r="C1846" t="s">
        <v>101</v>
      </c>
      <c r="D1846" t="s">
        <v>102</v>
      </c>
      <c r="E1846" s="1">
        <v>44054</v>
      </c>
      <c r="F1846">
        <v>1</v>
      </c>
      <c r="G1846" t="s">
        <v>33</v>
      </c>
      <c r="H1846" t="s">
        <v>34</v>
      </c>
      <c r="I1846" s="3">
        <v>1054</v>
      </c>
      <c r="J1846" s="3">
        <v>1054</v>
      </c>
      <c r="K1846" s="3">
        <v>442</v>
      </c>
      <c r="L1846" t="s">
        <v>98</v>
      </c>
      <c r="M1846">
        <v>16</v>
      </c>
      <c r="N1846" t="s">
        <v>17</v>
      </c>
      <c r="O1846" t="s">
        <v>11</v>
      </c>
      <c r="P1846" t="s">
        <v>18</v>
      </c>
      <c r="Q1846" t="s">
        <v>19</v>
      </c>
      <c r="R1846" t="s">
        <v>138</v>
      </c>
      <c r="S1846" t="s">
        <v>144</v>
      </c>
      <c r="T1846" s="2">
        <f>MASTER[[#This Row],[CANTIDAD]]*MASTER[[#This Row],[PRECIO DE VENTA]]</f>
        <v>1054</v>
      </c>
      <c r="U1846" s="2">
        <f>MASTER[[#This Row],[CANTIDAD]]*MASTER[[#This Row],[COSTO UNITARIO]]</f>
        <v>442</v>
      </c>
      <c r="V1846" s="2">
        <f>MASTER[[#This Row],[MONTO VENDIDO]]-MASTER[[#This Row],[COSTO DE VENTA]]</f>
        <v>612</v>
      </c>
    </row>
    <row r="1847" spans="1:22" x14ac:dyDescent="0.3">
      <c r="A1847">
        <v>33295</v>
      </c>
      <c r="B1847">
        <v>1</v>
      </c>
      <c r="C1847" t="s">
        <v>107</v>
      </c>
      <c r="D1847" t="s">
        <v>108</v>
      </c>
      <c r="E1847" s="1">
        <v>44054</v>
      </c>
      <c r="F1847">
        <v>1</v>
      </c>
      <c r="G1847" t="s">
        <v>45</v>
      </c>
      <c r="H1847" t="s">
        <v>46</v>
      </c>
      <c r="I1847" s="3">
        <v>1333</v>
      </c>
      <c r="J1847" s="3">
        <v>1239</v>
      </c>
      <c r="K1847" s="3">
        <v>380</v>
      </c>
      <c r="L1847" t="s">
        <v>98</v>
      </c>
      <c r="M1847">
        <v>5</v>
      </c>
      <c r="N1847" t="s">
        <v>85</v>
      </c>
      <c r="O1847" t="s">
        <v>81</v>
      </c>
      <c r="P1847" t="s">
        <v>12</v>
      </c>
      <c r="Q1847" t="s">
        <v>13</v>
      </c>
      <c r="R1847" t="s">
        <v>13</v>
      </c>
      <c r="S1847" t="s">
        <v>144</v>
      </c>
      <c r="T1847" s="2">
        <f>MASTER[[#This Row],[CANTIDAD]]*MASTER[[#This Row],[PRECIO DE VENTA]]</f>
        <v>1239</v>
      </c>
      <c r="U1847" s="2">
        <f>MASTER[[#This Row],[CANTIDAD]]*MASTER[[#This Row],[COSTO UNITARIO]]</f>
        <v>380</v>
      </c>
      <c r="V1847" s="2">
        <f>MASTER[[#This Row],[MONTO VENDIDO]]-MASTER[[#This Row],[COSTO DE VENTA]]</f>
        <v>859</v>
      </c>
    </row>
    <row r="1848" spans="1:22" x14ac:dyDescent="0.3">
      <c r="A1848">
        <v>33334</v>
      </c>
      <c r="B1848">
        <v>1</v>
      </c>
      <c r="C1848" t="s">
        <v>116</v>
      </c>
      <c r="D1848" t="s">
        <v>117</v>
      </c>
      <c r="E1848" s="1">
        <v>44054</v>
      </c>
      <c r="F1848">
        <v>1</v>
      </c>
      <c r="G1848" t="s">
        <v>7</v>
      </c>
      <c r="H1848" t="s">
        <v>8</v>
      </c>
      <c r="I1848" s="3">
        <v>1529</v>
      </c>
      <c r="J1848" s="3">
        <v>1529</v>
      </c>
      <c r="K1848" s="3">
        <v>388</v>
      </c>
      <c r="L1848" t="s">
        <v>113</v>
      </c>
      <c r="M1848">
        <v>11</v>
      </c>
      <c r="N1848" t="s">
        <v>10</v>
      </c>
      <c r="O1848" t="s">
        <v>11</v>
      </c>
      <c r="P1848" t="s">
        <v>12</v>
      </c>
      <c r="Q1848" t="s">
        <v>13</v>
      </c>
      <c r="R1848" t="s">
        <v>13</v>
      </c>
      <c r="S1848" t="s">
        <v>144</v>
      </c>
      <c r="T1848" s="2">
        <f>MASTER[[#This Row],[CANTIDAD]]*MASTER[[#This Row],[PRECIO DE VENTA]]</f>
        <v>1529</v>
      </c>
      <c r="U1848" s="2">
        <f>MASTER[[#This Row],[CANTIDAD]]*MASTER[[#This Row],[COSTO UNITARIO]]</f>
        <v>388</v>
      </c>
      <c r="V1848" s="2">
        <f>MASTER[[#This Row],[MONTO VENDIDO]]-MASTER[[#This Row],[COSTO DE VENTA]]</f>
        <v>1141</v>
      </c>
    </row>
    <row r="1849" spans="1:22" x14ac:dyDescent="0.3">
      <c r="A1849">
        <v>33335</v>
      </c>
      <c r="B1849">
        <v>2</v>
      </c>
      <c r="C1849" t="s">
        <v>101</v>
      </c>
      <c r="D1849" t="s">
        <v>102</v>
      </c>
      <c r="E1849" s="1">
        <v>44054</v>
      </c>
      <c r="F1849">
        <v>1</v>
      </c>
      <c r="G1849" t="s">
        <v>22</v>
      </c>
      <c r="H1849" t="s">
        <v>23</v>
      </c>
      <c r="I1849" s="3">
        <v>1357</v>
      </c>
      <c r="J1849" s="3">
        <v>1357</v>
      </c>
      <c r="K1849" s="3">
        <v>442</v>
      </c>
      <c r="L1849" t="s">
        <v>98</v>
      </c>
      <c r="M1849">
        <v>1</v>
      </c>
      <c r="N1849" t="s">
        <v>77</v>
      </c>
      <c r="O1849" t="s">
        <v>70</v>
      </c>
      <c r="P1849" t="s">
        <v>71</v>
      </c>
      <c r="Q1849" t="s">
        <v>72</v>
      </c>
      <c r="R1849" t="s">
        <v>139</v>
      </c>
      <c r="S1849" t="s">
        <v>144</v>
      </c>
      <c r="T1849" s="2">
        <f>MASTER[[#This Row],[CANTIDAD]]*MASTER[[#This Row],[PRECIO DE VENTA]]</f>
        <v>1357</v>
      </c>
      <c r="U1849" s="2">
        <f>MASTER[[#This Row],[CANTIDAD]]*MASTER[[#This Row],[COSTO UNITARIO]]</f>
        <v>442</v>
      </c>
      <c r="V1849" s="2">
        <f>MASTER[[#This Row],[MONTO VENDIDO]]-MASTER[[#This Row],[COSTO DE VENTA]]</f>
        <v>915</v>
      </c>
    </row>
    <row r="1850" spans="1:22" x14ac:dyDescent="0.3">
      <c r="A1850">
        <v>33335</v>
      </c>
      <c r="B1850">
        <v>1</v>
      </c>
      <c r="C1850" t="s">
        <v>116</v>
      </c>
      <c r="D1850" t="s">
        <v>117</v>
      </c>
      <c r="E1850" s="1">
        <v>44054</v>
      </c>
      <c r="F1850">
        <v>1</v>
      </c>
      <c r="G1850" t="s">
        <v>63</v>
      </c>
      <c r="H1850" t="s">
        <v>64</v>
      </c>
      <c r="I1850" s="3">
        <v>1999</v>
      </c>
      <c r="J1850" s="3">
        <v>1999</v>
      </c>
      <c r="K1850" s="3">
        <v>388</v>
      </c>
      <c r="L1850" t="s">
        <v>113</v>
      </c>
      <c r="M1850">
        <v>1</v>
      </c>
      <c r="N1850" t="s">
        <v>77</v>
      </c>
      <c r="O1850" t="s">
        <v>70</v>
      </c>
      <c r="P1850" t="s">
        <v>71</v>
      </c>
      <c r="Q1850" t="s">
        <v>72</v>
      </c>
      <c r="R1850" t="s">
        <v>139</v>
      </c>
      <c r="S1850" t="s">
        <v>144</v>
      </c>
      <c r="T1850" s="2">
        <f>MASTER[[#This Row],[CANTIDAD]]*MASTER[[#This Row],[PRECIO DE VENTA]]</f>
        <v>1999</v>
      </c>
      <c r="U1850" s="2">
        <f>MASTER[[#This Row],[CANTIDAD]]*MASTER[[#This Row],[COSTO UNITARIO]]</f>
        <v>388</v>
      </c>
      <c r="V1850" s="2">
        <f>MASTER[[#This Row],[MONTO VENDIDO]]-MASTER[[#This Row],[COSTO DE VENTA]]</f>
        <v>1611</v>
      </c>
    </row>
    <row r="1851" spans="1:22" x14ac:dyDescent="0.3">
      <c r="A1851">
        <v>33385</v>
      </c>
      <c r="B1851">
        <v>1</v>
      </c>
      <c r="C1851" t="s">
        <v>121</v>
      </c>
      <c r="D1851" t="s">
        <v>122</v>
      </c>
      <c r="E1851" s="1">
        <v>44054</v>
      </c>
      <c r="F1851">
        <v>1</v>
      </c>
      <c r="G1851" t="s">
        <v>7</v>
      </c>
      <c r="H1851" t="s">
        <v>8</v>
      </c>
      <c r="I1851" s="3">
        <v>1069</v>
      </c>
      <c r="J1851" s="3">
        <v>1069</v>
      </c>
      <c r="K1851" s="3">
        <v>460</v>
      </c>
      <c r="L1851" t="s">
        <v>120</v>
      </c>
      <c r="M1851">
        <v>5</v>
      </c>
      <c r="N1851" t="s">
        <v>85</v>
      </c>
      <c r="O1851" t="s">
        <v>81</v>
      </c>
      <c r="P1851" t="s">
        <v>12</v>
      </c>
      <c r="Q1851" t="s">
        <v>13</v>
      </c>
      <c r="R1851" t="s">
        <v>13</v>
      </c>
      <c r="S1851" t="s">
        <v>144</v>
      </c>
      <c r="T1851" s="2">
        <f>MASTER[[#This Row],[CANTIDAD]]*MASTER[[#This Row],[PRECIO DE VENTA]]</f>
        <v>1069</v>
      </c>
      <c r="U1851" s="2">
        <f>MASTER[[#This Row],[CANTIDAD]]*MASTER[[#This Row],[COSTO UNITARIO]]</f>
        <v>460</v>
      </c>
      <c r="V1851" s="2">
        <f>MASTER[[#This Row],[MONTO VENDIDO]]-MASTER[[#This Row],[COSTO DE VENTA]]</f>
        <v>609</v>
      </c>
    </row>
    <row r="1852" spans="1:22" x14ac:dyDescent="0.3">
      <c r="A1852">
        <v>33389</v>
      </c>
      <c r="B1852">
        <v>1</v>
      </c>
      <c r="C1852" t="s">
        <v>90</v>
      </c>
      <c r="D1852" t="s">
        <v>91</v>
      </c>
      <c r="E1852" s="1">
        <v>44054</v>
      </c>
      <c r="F1852">
        <v>1</v>
      </c>
      <c r="G1852" t="s">
        <v>63</v>
      </c>
      <c r="H1852" t="s">
        <v>64</v>
      </c>
      <c r="I1852" s="3">
        <v>1844</v>
      </c>
      <c r="J1852" s="3">
        <v>1844</v>
      </c>
      <c r="K1852" s="3">
        <v>420</v>
      </c>
      <c r="L1852" t="s">
        <v>9</v>
      </c>
      <c r="M1852">
        <v>15</v>
      </c>
      <c r="N1852" t="s">
        <v>88</v>
      </c>
      <c r="O1852" t="s">
        <v>81</v>
      </c>
      <c r="P1852" t="s">
        <v>18</v>
      </c>
      <c r="Q1852" t="s">
        <v>19</v>
      </c>
      <c r="R1852" t="s">
        <v>138</v>
      </c>
      <c r="S1852" t="s">
        <v>144</v>
      </c>
      <c r="T1852" s="2">
        <f>MASTER[[#This Row],[CANTIDAD]]*MASTER[[#This Row],[PRECIO DE VENTA]]</f>
        <v>1844</v>
      </c>
      <c r="U1852" s="2">
        <f>MASTER[[#This Row],[CANTIDAD]]*MASTER[[#This Row],[COSTO UNITARIO]]</f>
        <v>420</v>
      </c>
      <c r="V1852" s="2">
        <f>MASTER[[#This Row],[MONTO VENDIDO]]-MASTER[[#This Row],[COSTO DE VENTA]]</f>
        <v>1424</v>
      </c>
    </row>
    <row r="1853" spans="1:22" x14ac:dyDescent="0.3">
      <c r="A1853">
        <v>33395</v>
      </c>
      <c r="B1853">
        <v>1</v>
      </c>
      <c r="C1853" t="s">
        <v>111</v>
      </c>
      <c r="D1853" t="s">
        <v>112</v>
      </c>
      <c r="E1853" s="1">
        <v>44054</v>
      </c>
      <c r="F1853">
        <v>1</v>
      </c>
      <c r="G1853" t="s">
        <v>49</v>
      </c>
      <c r="H1853" t="s">
        <v>50</v>
      </c>
      <c r="I1853" s="3">
        <v>1799</v>
      </c>
      <c r="J1853" s="3">
        <v>1799</v>
      </c>
      <c r="K1853" s="3">
        <v>434</v>
      </c>
      <c r="L1853" t="s">
        <v>113</v>
      </c>
      <c r="M1853">
        <v>13</v>
      </c>
      <c r="N1853" t="s">
        <v>78</v>
      </c>
      <c r="O1853" t="s">
        <v>70</v>
      </c>
      <c r="P1853" t="s">
        <v>18</v>
      </c>
      <c r="Q1853" t="s">
        <v>19</v>
      </c>
      <c r="R1853" t="s">
        <v>138</v>
      </c>
      <c r="S1853" t="s">
        <v>144</v>
      </c>
      <c r="T1853" s="2">
        <f>MASTER[[#This Row],[CANTIDAD]]*MASTER[[#This Row],[PRECIO DE VENTA]]</f>
        <v>1799</v>
      </c>
      <c r="U1853" s="2">
        <f>MASTER[[#This Row],[CANTIDAD]]*MASTER[[#This Row],[COSTO UNITARIO]]</f>
        <v>434</v>
      </c>
      <c r="V1853" s="2">
        <f>MASTER[[#This Row],[MONTO VENDIDO]]-MASTER[[#This Row],[COSTO DE VENTA]]</f>
        <v>1365</v>
      </c>
    </row>
    <row r="1854" spans="1:22" x14ac:dyDescent="0.3">
      <c r="A1854">
        <v>33426</v>
      </c>
      <c r="B1854">
        <v>1</v>
      </c>
      <c r="C1854" t="s">
        <v>109</v>
      </c>
      <c r="D1854" t="s">
        <v>110</v>
      </c>
      <c r="E1854" s="1">
        <v>44054</v>
      </c>
      <c r="F1854">
        <v>1</v>
      </c>
      <c r="G1854" t="s">
        <v>59</v>
      </c>
      <c r="H1854" t="s">
        <v>60</v>
      </c>
      <c r="I1854" s="3">
        <v>1064</v>
      </c>
      <c r="J1854" s="3">
        <v>1064</v>
      </c>
      <c r="K1854" s="3">
        <v>387</v>
      </c>
      <c r="L1854" t="s">
        <v>98</v>
      </c>
      <c r="M1854">
        <v>7</v>
      </c>
      <c r="N1854" t="s">
        <v>84</v>
      </c>
      <c r="O1854" t="s">
        <v>81</v>
      </c>
      <c r="P1854" t="s">
        <v>12</v>
      </c>
      <c r="Q1854" t="s">
        <v>13</v>
      </c>
      <c r="R1854" t="s">
        <v>13</v>
      </c>
      <c r="S1854" t="s">
        <v>144</v>
      </c>
      <c r="T1854" s="2">
        <f>MASTER[[#This Row],[CANTIDAD]]*MASTER[[#This Row],[PRECIO DE VENTA]]</f>
        <v>1064</v>
      </c>
      <c r="U1854" s="2">
        <f>MASTER[[#This Row],[CANTIDAD]]*MASTER[[#This Row],[COSTO UNITARIO]]</f>
        <v>387</v>
      </c>
      <c r="V1854" s="2">
        <f>MASTER[[#This Row],[MONTO VENDIDO]]-MASTER[[#This Row],[COSTO DE VENTA]]</f>
        <v>677</v>
      </c>
    </row>
    <row r="1855" spans="1:22" x14ac:dyDescent="0.3">
      <c r="A1855">
        <v>33432</v>
      </c>
      <c r="B1855">
        <v>1</v>
      </c>
      <c r="C1855" t="s">
        <v>114</v>
      </c>
      <c r="D1855" t="s">
        <v>115</v>
      </c>
      <c r="E1855" s="1">
        <v>44054</v>
      </c>
      <c r="F1855">
        <v>1</v>
      </c>
      <c r="G1855" t="s">
        <v>63</v>
      </c>
      <c r="H1855" t="s">
        <v>64</v>
      </c>
      <c r="I1855" s="3">
        <v>2030</v>
      </c>
      <c r="J1855" s="3">
        <v>2030</v>
      </c>
      <c r="K1855" s="3">
        <v>394</v>
      </c>
      <c r="L1855" t="s">
        <v>113</v>
      </c>
      <c r="M1855">
        <v>1</v>
      </c>
      <c r="N1855" t="s">
        <v>77</v>
      </c>
      <c r="O1855" t="s">
        <v>70</v>
      </c>
      <c r="P1855" t="s">
        <v>71</v>
      </c>
      <c r="Q1855" t="s">
        <v>72</v>
      </c>
      <c r="R1855" t="s">
        <v>139</v>
      </c>
      <c r="S1855" t="s">
        <v>144</v>
      </c>
      <c r="T1855" s="2">
        <f>MASTER[[#This Row],[CANTIDAD]]*MASTER[[#This Row],[PRECIO DE VENTA]]</f>
        <v>2030</v>
      </c>
      <c r="U1855" s="2">
        <f>MASTER[[#This Row],[CANTIDAD]]*MASTER[[#This Row],[COSTO UNITARIO]]</f>
        <v>394</v>
      </c>
      <c r="V1855" s="2">
        <f>MASTER[[#This Row],[MONTO VENDIDO]]-MASTER[[#This Row],[COSTO DE VENTA]]</f>
        <v>1636</v>
      </c>
    </row>
    <row r="1856" spans="1:22" x14ac:dyDescent="0.3">
      <c r="A1856">
        <v>33439</v>
      </c>
      <c r="B1856">
        <v>1</v>
      </c>
      <c r="C1856" t="s">
        <v>107</v>
      </c>
      <c r="D1856" t="s">
        <v>108</v>
      </c>
      <c r="E1856" s="1">
        <v>44054</v>
      </c>
      <c r="F1856">
        <v>1</v>
      </c>
      <c r="G1856" t="s">
        <v>29</v>
      </c>
      <c r="H1856" t="s">
        <v>30</v>
      </c>
      <c r="I1856" s="3">
        <v>1440</v>
      </c>
      <c r="J1856" s="3">
        <v>1440</v>
      </c>
      <c r="K1856" s="3">
        <v>380</v>
      </c>
      <c r="L1856" t="s">
        <v>98</v>
      </c>
      <c r="M1856">
        <v>18</v>
      </c>
      <c r="N1856" t="s">
        <v>79</v>
      </c>
      <c r="O1856" t="s">
        <v>70</v>
      </c>
      <c r="P1856" t="s">
        <v>15</v>
      </c>
      <c r="Q1856" t="s">
        <v>16</v>
      </c>
      <c r="R1856" t="s">
        <v>16</v>
      </c>
      <c r="S1856" t="s">
        <v>144</v>
      </c>
      <c r="T1856" s="2">
        <f>MASTER[[#This Row],[CANTIDAD]]*MASTER[[#This Row],[PRECIO DE VENTA]]</f>
        <v>1440</v>
      </c>
      <c r="U1856" s="2">
        <f>MASTER[[#This Row],[CANTIDAD]]*MASTER[[#This Row],[COSTO UNITARIO]]</f>
        <v>380</v>
      </c>
      <c r="V1856" s="2">
        <f>MASTER[[#This Row],[MONTO VENDIDO]]-MASTER[[#This Row],[COSTO DE VENTA]]</f>
        <v>1060</v>
      </c>
    </row>
    <row r="1857" spans="1:22" x14ac:dyDescent="0.3">
      <c r="A1857">
        <v>33452</v>
      </c>
      <c r="B1857">
        <v>1</v>
      </c>
      <c r="C1857" t="s">
        <v>90</v>
      </c>
      <c r="D1857" t="s">
        <v>91</v>
      </c>
      <c r="E1857" s="1">
        <v>44054</v>
      </c>
      <c r="F1857">
        <v>1</v>
      </c>
      <c r="G1857" t="s">
        <v>53</v>
      </c>
      <c r="H1857" t="s">
        <v>54</v>
      </c>
      <c r="I1857" s="3">
        <v>1844</v>
      </c>
      <c r="J1857" s="3">
        <v>1844</v>
      </c>
      <c r="K1857" s="3">
        <v>420</v>
      </c>
      <c r="L1857" t="s">
        <v>9</v>
      </c>
      <c r="M1857">
        <v>19</v>
      </c>
      <c r="N1857" t="s">
        <v>89</v>
      </c>
      <c r="O1857" t="s">
        <v>81</v>
      </c>
      <c r="P1857" t="s">
        <v>15</v>
      </c>
      <c r="Q1857" t="s">
        <v>16</v>
      </c>
      <c r="R1857" t="s">
        <v>16</v>
      </c>
      <c r="S1857" t="s">
        <v>144</v>
      </c>
      <c r="T1857" s="2">
        <f>MASTER[[#This Row],[CANTIDAD]]*MASTER[[#This Row],[PRECIO DE VENTA]]</f>
        <v>1844</v>
      </c>
      <c r="U1857" s="2">
        <f>MASTER[[#This Row],[CANTIDAD]]*MASTER[[#This Row],[COSTO UNITARIO]]</f>
        <v>420</v>
      </c>
      <c r="V1857" s="2">
        <f>MASTER[[#This Row],[MONTO VENDIDO]]-MASTER[[#This Row],[COSTO DE VENTA]]</f>
        <v>1424</v>
      </c>
    </row>
    <row r="1858" spans="1:22" x14ac:dyDescent="0.3">
      <c r="A1858">
        <v>33463</v>
      </c>
      <c r="B1858">
        <v>1</v>
      </c>
      <c r="C1858" t="s">
        <v>109</v>
      </c>
      <c r="D1858" t="s">
        <v>110</v>
      </c>
      <c r="E1858" s="1">
        <v>44055</v>
      </c>
      <c r="F1858">
        <v>1</v>
      </c>
      <c r="G1858" t="s">
        <v>67</v>
      </c>
      <c r="H1858" t="s">
        <v>68</v>
      </c>
      <c r="I1858" s="3">
        <v>947</v>
      </c>
      <c r="J1858" s="3">
        <v>890</v>
      </c>
      <c r="K1858" s="3">
        <v>387</v>
      </c>
      <c r="L1858" t="s">
        <v>98</v>
      </c>
      <c r="M1858">
        <v>16</v>
      </c>
      <c r="N1858" t="s">
        <v>17</v>
      </c>
      <c r="O1858" t="s">
        <v>11</v>
      </c>
      <c r="P1858" t="s">
        <v>18</v>
      </c>
      <c r="Q1858" t="s">
        <v>19</v>
      </c>
      <c r="R1858" t="s">
        <v>138</v>
      </c>
      <c r="S1858" t="s">
        <v>144</v>
      </c>
      <c r="T1858" s="2">
        <f>MASTER[[#This Row],[CANTIDAD]]*MASTER[[#This Row],[PRECIO DE VENTA]]</f>
        <v>890</v>
      </c>
      <c r="U1858" s="2">
        <f>MASTER[[#This Row],[CANTIDAD]]*MASTER[[#This Row],[COSTO UNITARIO]]</f>
        <v>387</v>
      </c>
      <c r="V1858" s="2">
        <f>MASTER[[#This Row],[MONTO VENDIDO]]-MASTER[[#This Row],[COSTO DE VENTA]]</f>
        <v>503</v>
      </c>
    </row>
    <row r="1859" spans="1:22" x14ac:dyDescent="0.3">
      <c r="A1859">
        <v>33470</v>
      </c>
      <c r="B1859">
        <v>1</v>
      </c>
      <c r="C1859" t="s">
        <v>116</v>
      </c>
      <c r="D1859" t="s">
        <v>117</v>
      </c>
      <c r="E1859" s="1">
        <v>44055</v>
      </c>
      <c r="F1859">
        <v>1</v>
      </c>
      <c r="G1859" t="s">
        <v>51</v>
      </c>
      <c r="H1859" t="s">
        <v>52</v>
      </c>
      <c r="I1859" s="3">
        <v>1529</v>
      </c>
      <c r="J1859" s="3">
        <v>1529</v>
      </c>
      <c r="K1859" s="3">
        <v>388</v>
      </c>
      <c r="L1859" t="s">
        <v>113</v>
      </c>
      <c r="M1859">
        <v>11</v>
      </c>
      <c r="N1859" t="s">
        <v>10</v>
      </c>
      <c r="O1859" t="s">
        <v>11</v>
      </c>
      <c r="P1859" t="s">
        <v>12</v>
      </c>
      <c r="Q1859" t="s">
        <v>13</v>
      </c>
      <c r="R1859" t="s">
        <v>13</v>
      </c>
      <c r="S1859" t="s">
        <v>144</v>
      </c>
      <c r="T1859" s="2">
        <f>MASTER[[#This Row],[CANTIDAD]]*MASTER[[#This Row],[PRECIO DE VENTA]]</f>
        <v>1529</v>
      </c>
      <c r="U1859" s="2">
        <f>MASTER[[#This Row],[CANTIDAD]]*MASTER[[#This Row],[COSTO UNITARIO]]</f>
        <v>388</v>
      </c>
      <c r="V1859" s="2">
        <f>MASTER[[#This Row],[MONTO VENDIDO]]-MASTER[[#This Row],[COSTO DE VENTA]]</f>
        <v>1141</v>
      </c>
    </row>
    <row r="1860" spans="1:22" x14ac:dyDescent="0.3">
      <c r="A1860">
        <v>33478</v>
      </c>
      <c r="B1860">
        <v>1</v>
      </c>
      <c r="C1860" t="s">
        <v>96</v>
      </c>
      <c r="D1860" t="s">
        <v>97</v>
      </c>
      <c r="E1860" s="1">
        <v>44055</v>
      </c>
      <c r="F1860">
        <v>1</v>
      </c>
      <c r="G1860" t="s">
        <v>65</v>
      </c>
      <c r="H1860" t="s">
        <v>66</v>
      </c>
      <c r="I1860" s="3">
        <v>1272</v>
      </c>
      <c r="J1860" s="3">
        <v>1272</v>
      </c>
      <c r="K1860" s="3">
        <v>397</v>
      </c>
      <c r="L1860" t="s">
        <v>98</v>
      </c>
      <c r="M1860">
        <v>2</v>
      </c>
      <c r="N1860" t="s">
        <v>86</v>
      </c>
      <c r="O1860" t="s">
        <v>81</v>
      </c>
      <c r="P1860" t="s">
        <v>71</v>
      </c>
      <c r="Q1860" t="s">
        <v>72</v>
      </c>
      <c r="R1860" t="s">
        <v>139</v>
      </c>
      <c r="S1860" t="s">
        <v>144</v>
      </c>
      <c r="T1860" s="2">
        <f>MASTER[[#This Row],[CANTIDAD]]*MASTER[[#This Row],[PRECIO DE VENTA]]</f>
        <v>1272</v>
      </c>
      <c r="U1860" s="2">
        <f>MASTER[[#This Row],[CANTIDAD]]*MASTER[[#This Row],[COSTO UNITARIO]]</f>
        <v>397</v>
      </c>
      <c r="V1860" s="2">
        <f>MASTER[[#This Row],[MONTO VENDIDO]]-MASTER[[#This Row],[COSTO DE VENTA]]</f>
        <v>875</v>
      </c>
    </row>
    <row r="1861" spans="1:22" x14ac:dyDescent="0.3">
      <c r="A1861">
        <v>33484</v>
      </c>
      <c r="B1861">
        <v>1</v>
      </c>
      <c r="C1861" t="s">
        <v>121</v>
      </c>
      <c r="D1861" t="s">
        <v>122</v>
      </c>
      <c r="E1861" s="1">
        <v>44055</v>
      </c>
      <c r="F1861">
        <v>1</v>
      </c>
      <c r="G1861" t="s">
        <v>41</v>
      </c>
      <c r="H1861" t="s">
        <v>42</v>
      </c>
      <c r="I1861" s="3">
        <v>1069</v>
      </c>
      <c r="J1861" s="3">
        <v>1069</v>
      </c>
      <c r="K1861" s="3">
        <v>460</v>
      </c>
      <c r="L1861" t="s">
        <v>120</v>
      </c>
      <c r="M1861">
        <v>2</v>
      </c>
      <c r="N1861" t="s">
        <v>86</v>
      </c>
      <c r="O1861" t="s">
        <v>81</v>
      </c>
      <c r="P1861" t="s">
        <v>71</v>
      </c>
      <c r="Q1861" t="s">
        <v>72</v>
      </c>
      <c r="R1861" t="s">
        <v>139</v>
      </c>
      <c r="S1861" t="s">
        <v>144</v>
      </c>
      <c r="T1861" s="2">
        <f>MASTER[[#This Row],[CANTIDAD]]*MASTER[[#This Row],[PRECIO DE VENTA]]</f>
        <v>1069</v>
      </c>
      <c r="U1861" s="2">
        <f>MASTER[[#This Row],[CANTIDAD]]*MASTER[[#This Row],[COSTO UNITARIO]]</f>
        <v>460</v>
      </c>
      <c r="V1861" s="2">
        <f>MASTER[[#This Row],[MONTO VENDIDO]]-MASTER[[#This Row],[COSTO DE VENTA]]</f>
        <v>609</v>
      </c>
    </row>
    <row r="1862" spans="1:22" x14ac:dyDescent="0.3">
      <c r="A1862">
        <v>33490</v>
      </c>
      <c r="B1862">
        <v>1</v>
      </c>
      <c r="C1862" t="s">
        <v>5</v>
      </c>
      <c r="D1862" t="s">
        <v>6</v>
      </c>
      <c r="E1862" s="1">
        <v>44055</v>
      </c>
      <c r="F1862">
        <v>1</v>
      </c>
      <c r="G1862" t="s">
        <v>65</v>
      </c>
      <c r="H1862" t="s">
        <v>66</v>
      </c>
      <c r="I1862" s="3">
        <v>1507</v>
      </c>
      <c r="J1862" s="3">
        <v>1507</v>
      </c>
      <c r="K1862" s="3">
        <v>393</v>
      </c>
      <c r="L1862" t="s">
        <v>9</v>
      </c>
      <c r="M1862">
        <v>7</v>
      </c>
      <c r="N1862" t="s">
        <v>84</v>
      </c>
      <c r="O1862" t="s">
        <v>81</v>
      </c>
      <c r="P1862" t="s">
        <v>12</v>
      </c>
      <c r="Q1862" t="s">
        <v>13</v>
      </c>
      <c r="R1862" t="s">
        <v>13</v>
      </c>
      <c r="S1862" t="s">
        <v>144</v>
      </c>
      <c r="T1862" s="2">
        <f>MASTER[[#This Row],[CANTIDAD]]*MASTER[[#This Row],[PRECIO DE VENTA]]</f>
        <v>1507</v>
      </c>
      <c r="U1862" s="2">
        <f>MASTER[[#This Row],[CANTIDAD]]*MASTER[[#This Row],[COSTO UNITARIO]]</f>
        <v>393</v>
      </c>
      <c r="V1862" s="2">
        <f>MASTER[[#This Row],[MONTO VENDIDO]]-MASTER[[#This Row],[COSTO DE VENTA]]</f>
        <v>1114</v>
      </c>
    </row>
    <row r="1863" spans="1:22" x14ac:dyDescent="0.3">
      <c r="A1863">
        <v>33511</v>
      </c>
      <c r="B1863">
        <v>1</v>
      </c>
      <c r="C1863" t="s">
        <v>121</v>
      </c>
      <c r="D1863" t="s">
        <v>122</v>
      </c>
      <c r="E1863" s="1">
        <v>44055</v>
      </c>
      <c r="F1863">
        <v>1</v>
      </c>
      <c r="G1863" t="s">
        <v>39</v>
      </c>
      <c r="H1863" t="s">
        <v>40</v>
      </c>
      <c r="I1863" s="3">
        <v>1069</v>
      </c>
      <c r="J1863" s="3">
        <v>1069</v>
      </c>
      <c r="K1863" s="3">
        <v>460</v>
      </c>
      <c r="L1863" t="s">
        <v>120</v>
      </c>
      <c r="M1863">
        <v>5</v>
      </c>
      <c r="N1863" t="s">
        <v>85</v>
      </c>
      <c r="O1863" t="s">
        <v>81</v>
      </c>
      <c r="P1863" t="s">
        <v>12</v>
      </c>
      <c r="Q1863" t="s">
        <v>13</v>
      </c>
      <c r="R1863" t="s">
        <v>13</v>
      </c>
      <c r="S1863" t="s">
        <v>144</v>
      </c>
      <c r="T1863" s="2">
        <f>MASTER[[#This Row],[CANTIDAD]]*MASTER[[#This Row],[PRECIO DE VENTA]]</f>
        <v>1069</v>
      </c>
      <c r="U1863" s="2">
        <f>MASTER[[#This Row],[CANTIDAD]]*MASTER[[#This Row],[COSTO UNITARIO]]</f>
        <v>460</v>
      </c>
      <c r="V1863" s="2">
        <f>MASTER[[#This Row],[MONTO VENDIDO]]-MASTER[[#This Row],[COSTO DE VENTA]]</f>
        <v>609</v>
      </c>
    </row>
    <row r="1864" spans="1:22" x14ac:dyDescent="0.3">
      <c r="A1864">
        <v>33546</v>
      </c>
      <c r="B1864">
        <v>1</v>
      </c>
      <c r="C1864" t="s">
        <v>92</v>
      </c>
      <c r="D1864" t="s">
        <v>93</v>
      </c>
      <c r="E1864" s="1">
        <v>44055</v>
      </c>
      <c r="F1864">
        <v>1</v>
      </c>
      <c r="G1864" t="s">
        <v>37</v>
      </c>
      <c r="H1864" t="s">
        <v>38</v>
      </c>
      <c r="I1864" s="3">
        <v>1479</v>
      </c>
      <c r="J1864" s="3">
        <v>1479</v>
      </c>
      <c r="K1864" s="3">
        <v>396</v>
      </c>
      <c r="L1864" t="s">
        <v>9</v>
      </c>
      <c r="M1864">
        <v>17</v>
      </c>
      <c r="N1864" t="s">
        <v>14</v>
      </c>
      <c r="O1864" t="s">
        <v>11</v>
      </c>
      <c r="P1864" t="s">
        <v>15</v>
      </c>
      <c r="Q1864" t="s">
        <v>16</v>
      </c>
      <c r="R1864" t="s">
        <v>16</v>
      </c>
      <c r="S1864" t="s">
        <v>144</v>
      </c>
      <c r="T1864" s="2">
        <f>MASTER[[#This Row],[CANTIDAD]]*MASTER[[#This Row],[PRECIO DE VENTA]]</f>
        <v>1479</v>
      </c>
      <c r="U1864" s="2">
        <f>MASTER[[#This Row],[CANTIDAD]]*MASTER[[#This Row],[COSTO UNITARIO]]</f>
        <v>396</v>
      </c>
      <c r="V1864" s="2">
        <f>MASTER[[#This Row],[MONTO VENDIDO]]-MASTER[[#This Row],[COSTO DE VENTA]]</f>
        <v>1083</v>
      </c>
    </row>
    <row r="1865" spans="1:22" x14ac:dyDescent="0.3">
      <c r="A1865">
        <v>33549</v>
      </c>
      <c r="B1865">
        <v>1</v>
      </c>
      <c r="C1865" t="s">
        <v>92</v>
      </c>
      <c r="D1865" t="s">
        <v>93</v>
      </c>
      <c r="E1865" s="1">
        <v>44055</v>
      </c>
      <c r="F1865">
        <v>1</v>
      </c>
      <c r="G1865" t="s">
        <v>20</v>
      </c>
      <c r="H1865" t="s">
        <v>21</v>
      </c>
      <c r="I1865" s="3">
        <v>1681</v>
      </c>
      <c r="J1865" s="3">
        <v>1681</v>
      </c>
      <c r="K1865" s="3">
        <v>396</v>
      </c>
      <c r="L1865" t="s">
        <v>9</v>
      </c>
      <c r="M1865">
        <v>15</v>
      </c>
      <c r="N1865" t="s">
        <v>88</v>
      </c>
      <c r="O1865" t="s">
        <v>81</v>
      </c>
      <c r="P1865" t="s">
        <v>18</v>
      </c>
      <c r="Q1865" t="s">
        <v>19</v>
      </c>
      <c r="R1865" t="s">
        <v>138</v>
      </c>
      <c r="S1865" t="s">
        <v>144</v>
      </c>
      <c r="T1865" s="2">
        <f>MASTER[[#This Row],[CANTIDAD]]*MASTER[[#This Row],[PRECIO DE VENTA]]</f>
        <v>1681</v>
      </c>
      <c r="U1865" s="2">
        <f>MASTER[[#This Row],[CANTIDAD]]*MASTER[[#This Row],[COSTO UNITARIO]]</f>
        <v>396</v>
      </c>
      <c r="V1865" s="2">
        <f>MASTER[[#This Row],[MONTO VENDIDO]]-MASTER[[#This Row],[COSTO DE VENTA]]</f>
        <v>1285</v>
      </c>
    </row>
    <row r="1866" spans="1:22" x14ac:dyDescent="0.3">
      <c r="A1866">
        <v>33557</v>
      </c>
      <c r="B1866">
        <v>1</v>
      </c>
      <c r="C1866" t="s">
        <v>99</v>
      </c>
      <c r="D1866" t="s">
        <v>100</v>
      </c>
      <c r="E1866" s="1">
        <v>44055</v>
      </c>
      <c r="F1866">
        <v>1</v>
      </c>
      <c r="G1866" t="s">
        <v>61</v>
      </c>
      <c r="H1866" t="s">
        <v>62</v>
      </c>
      <c r="I1866" s="3">
        <v>1459</v>
      </c>
      <c r="J1866" s="3">
        <v>1459</v>
      </c>
      <c r="K1866" s="3">
        <v>386</v>
      </c>
      <c r="L1866" t="s">
        <v>98</v>
      </c>
      <c r="M1866">
        <v>7</v>
      </c>
      <c r="N1866" t="s">
        <v>84</v>
      </c>
      <c r="O1866" t="s">
        <v>81</v>
      </c>
      <c r="P1866" t="s">
        <v>12</v>
      </c>
      <c r="Q1866" t="s">
        <v>13</v>
      </c>
      <c r="R1866" t="s">
        <v>13</v>
      </c>
      <c r="S1866" t="s">
        <v>144</v>
      </c>
      <c r="T1866" s="2">
        <f>MASTER[[#This Row],[CANTIDAD]]*MASTER[[#This Row],[PRECIO DE VENTA]]</f>
        <v>1459</v>
      </c>
      <c r="U1866" s="2">
        <f>MASTER[[#This Row],[CANTIDAD]]*MASTER[[#This Row],[COSTO UNITARIO]]</f>
        <v>386</v>
      </c>
      <c r="V1866" s="2">
        <f>MASTER[[#This Row],[MONTO VENDIDO]]-MASTER[[#This Row],[COSTO DE VENTA]]</f>
        <v>1073</v>
      </c>
    </row>
    <row r="1867" spans="1:22" x14ac:dyDescent="0.3">
      <c r="A1867">
        <v>33563</v>
      </c>
      <c r="B1867">
        <v>1</v>
      </c>
      <c r="C1867" t="s">
        <v>101</v>
      </c>
      <c r="D1867" t="s">
        <v>102</v>
      </c>
      <c r="E1867" s="1">
        <v>44055</v>
      </c>
      <c r="F1867">
        <v>1</v>
      </c>
      <c r="G1867" t="s">
        <v>24</v>
      </c>
      <c r="H1867" t="s">
        <v>25</v>
      </c>
      <c r="I1867" s="3">
        <v>1054</v>
      </c>
      <c r="J1867" s="3">
        <v>990</v>
      </c>
      <c r="K1867" s="3">
        <v>442</v>
      </c>
      <c r="L1867" t="s">
        <v>98</v>
      </c>
      <c r="M1867">
        <v>11</v>
      </c>
      <c r="N1867" t="s">
        <v>10</v>
      </c>
      <c r="O1867" t="s">
        <v>11</v>
      </c>
      <c r="P1867" t="s">
        <v>12</v>
      </c>
      <c r="Q1867" t="s">
        <v>13</v>
      </c>
      <c r="R1867" t="s">
        <v>13</v>
      </c>
      <c r="S1867" t="s">
        <v>144</v>
      </c>
      <c r="T1867" s="2">
        <f>MASTER[[#This Row],[CANTIDAD]]*MASTER[[#This Row],[PRECIO DE VENTA]]</f>
        <v>990</v>
      </c>
      <c r="U1867" s="2">
        <f>MASTER[[#This Row],[CANTIDAD]]*MASTER[[#This Row],[COSTO UNITARIO]]</f>
        <v>442</v>
      </c>
      <c r="V1867" s="2">
        <f>MASTER[[#This Row],[MONTO VENDIDO]]-MASTER[[#This Row],[COSTO DE VENTA]]</f>
        <v>548</v>
      </c>
    </row>
    <row r="1868" spans="1:22" x14ac:dyDescent="0.3">
      <c r="A1868">
        <v>33576</v>
      </c>
      <c r="B1868">
        <v>1</v>
      </c>
      <c r="C1868" t="s">
        <v>114</v>
      </c>
      <c r="D1868" t="s">
        <v>115</v>
      </c>
      <c r="E1868" s="1">
        <v>44056</v>
      </c>
      <c r="F1868">
        <v>1</v>
      </c>
      <c r="G1868" t="s">
        <v>59</v>
      </c>
      <c r="H1868" t="s">
        <v>60</v>
      </c>
      <c r="I1868" s="3">
        <v>1862</v>
      </c>
      <c r="J1868" s="3">
        <v>1862</v>
      </c>
      <c r="K1868" s="3">
        <v>394</v>
      </c>
      <c r="L1868" t="s">
        <v>113</v>
      </c>
      <c r="M1868">
        <v>19</v>
      </c>
      <c r="N1868" t="s">
        <v>89</v>
      </c>
      <c r="O1868" t="s">
        <v>81</v>
      </c>
      <c r="P1868" t="s">
        <v>15</v>
      </c>
      <c r="Q1868" t="s">
        <v>16</v>
      </c>
      <c r="R1868" t="s">
        <v>16</v>
      </c>
      <c r="S1868" t="s">
        <v>144</v>
      </c>
      <c r="T1868" s="2">
        <f>MASTER[[#This Row],[CANTIDAD]]*MASTER[[#This Row],[PRECIO DE VENTA]]</f>
        <v>1862</v>
      </c>
      <c r="U1868" s="2">
        <f>MASTER[[#This Row],[CANTIDAD]]*MASTER[[#This Row],[COSTO UNITARIO]]</f>
        <v>394</v>
      </c>
      <c r="V1868" s="2">
        <f>MASTER[[#This Row],[MONTO VENDIDO]]-MASTER[[#This Row],[COSTO DE VENTA]]</f>
        <v>1468</v>
      </c>
    </row>
    <row r="1869" spans="1:22" x14ac:dyDescent="0.3">
      <c r="A1869">
        <v>33583</v>
      </c>
      <c r="B1869">
        <v>1</v>
      </c>
      <c r="C1869" t="s">
        <v>105</v>
      </c>
      <c r="D1869" t="s">
        <v>106</v>
      </c>
      <c r="E1869" s="1">
        <v>44056</v>
      </c>
      <c r="F1869">
        <v>1</v>
      </c>
      <c r="G1869" t="s">
        <v>29</v>
      </c>
      <c r="H1869" t="s">
        <v>30</v>
      </c>
      <c r="I1869" s="3">
        <v>1585</v>
      </c>
      <c r="J1869" s="3">
        <v>1585</v>
      </c>
      <c r="K1869" s="3">
        <v>459</v>
      </c>
      <c r="L1869" t="s">
        <v>98</v>
      </c>
      <c r="M1869">
        <v>11</v>
      </c>
      <c r="N1869" t="s">
        <v>10</v>
      </c>
      <c r="O1869" t="s">
        <v>11</v>
      </c>
      <c r="P1869" t="s">
        <v>12</v>
      </c>
      <c r="Q1869" t="s">
        <v>13</v>
      </c>
      <c r="R1869" t="s">
        <v>13</v>
      </c>
      <c r="S1869" t="s">
        <v>144</v>
      </c>
      <c r="T1869" s="2">
        <f>MASTER[[#This Row],[CANTIDAD]]*MASTER[[#This Row],[PRECIO DE VENTA]]</f>
        <v>1585</v>
      </c>
      <c r="U1869" s="2">
        <f>MASTER[[#This Row],[CANTIDAD]]*MASTER[[#This Row],[COSTO UNITARIO]]</f>
        <v>459</v>
      </c>
      <c r="V1869" s="2">
        <f>MASTER[[#This Row],[MONTO VENDIDO]]-MASTER[[#This Row],[COSTO DE VENTA]]</f>
        <v>1126</v>
      </c>
    </row>
    <row r="1870" spans="1:22" x14ac:dyDescent="0.3">
      <c r="A1870">
        <v>33595</v>
      </c>
      <c r="B1870">
        <v>1</v>
      </c>
      <c r="C1870" t="s">
        <v>109</v>
      </c>
      <c r="D1870" t="s">
        <v>110</v>
      </c>
      <c r="E1870" s="1">
        <v>44056</v>
      </c>
      <c r="F1870">
        <v>1</v>
      </c>
      <c r="G1870" t="s">
        <v>29</v>
      </c>
      <c r="H1870" t="s">
        <v>30</v>
      </c>
      <c r="I1870" s="3">
        <v>1128</v>
      </c>
      <c r="J1870" s="3">
        <v>1128</v>
      </c>
      <c r="K1870" s="3">
        <v>387</v>
      </c>
      <c r="L1870" t="s">
        <v>98</v>
      </c>
      <c r="M1870">
        <v>13</v>
      </c>
      <c r="N1870" t="s">
        <v>78</v>
      </c>
      <c r="O1870" t="s">
        <v>70</v>
      </c>
      <c r="P1870" t="s">
        <v>18</v>
      </c>
      <c r="Q1870" t="s">
        <v>19</v>
      </c>
      <c r="R1870" t="s">
        <v>138</v>
      </c>
      <c r="S1870" t="s">
        <v>144</v>
      </c>
      <c r="T1870" s="2">
        <f>MASTER[[#This Row],[CANTIDAD]]*MASTER[[#This Row],[PRECIO DE VENTA]]</f>
        <v>1128</v>
      </c>
      <c r="U1870" s="2">
        <f>MASTER[[#This Row],[CANTIDAD]]*MASTER[[#This Row],[COSTO UNITARIO]]</f>
        <v>387</v>
      </c>
      <c r="V1870" s="2">
        <f>MASTER[[#This Row],[MONTO VENDIDO]]-MASTER[[#This Row],[COSTO DE VENTA]]</f>
        <v>741</v>
      </c>
    </row>
    <row r="1871" spans="1:22" x14ac:dyDescent="0.3">
      <c r="A1871">
        <v>33605</v>
      </c>
      <c r="B1871">
        <v>1</v>
      </c>
      <c r="C1871" t="s">
        <v>109</v>
      </c>
      <c r="D1871" t="s">
        <v>110</v>
      </c>
      <c r="E1871" s="1">
        <v>44056</v>
      </c>
      <c r="F1871">
        <v>1</v>
      </c>
      <c r="G1871" t="s">
        <v>61</v>
      </c>
      <c r="H1871" t="s">
        <v>62</v>
      </c>
      <c r="I1871" s="3">
        <v>1128</v>
      </c>
      <c r="J1871" s="3">
        <v>1128</v>
      </c>
      <c r="K1871" s="3">
        <v>387</v>
      </c>
      <c r="L1871" t="s">
        <v>98</v>
      </c>
      <c r="M1871">
        <v>9</v>
      </c>
      <c r="N1871" t="s">
        <v>76</v>
      </c>
      <c r="O1871" t="s">
        <v>70</v>
      </c>
      <c r="P1871" t="s">
        <v>12</v>
      </c>
      <c r="Q1871" t="s">
        <v>13</v>
      </c>
      <c r="R1871" t="s">
        <v>13</v>
      </c>
      <c r="S1871" t="s">
        <v>144</v>
      </c>
      <c r="T1871" s="2">
        <f>MASTER[[#This Row],[CANTIDAD]]*MASTER[[#This Row],[PRECIO DE VENTA]]</f>
        <v>1128</v>
      </c>
      <c r="U1871" s="2">
        <f>MASTER[[#This Row],[CANTIDAD]]*MASTER[[#This Row],[COSTO UNITARIO]]</f>
        <v>387</v>
      </c>
      <c r="V1871" s="2">
        <f>MASTER[[#This Row],[MONTO VENDIDO]]-MASTER[[#This Row],[COSTO DE VENTA]]</f>
        <v>741</v>
      </c>
    </row>
    <row r="1872" spans="1:22" x14ac:dyDescent="0.3">
      <c r="A1872">
        <v>33617</v>
      </c>
      <c r="B1872">
        <v>1</v>
      </c>
      <c r="C1872" t="s">
        <v>109</v>
      </c>
      <c r="D1872" t="s">
        <v>110</v>
      </c>
      <c r="E1872" s="1">
        <v>44056</v>
      </c>
      <c r="F1872">
        <v>1</v>
      </c>
      <c r="G1872" t="s">
        <v>22</v>
      </c>
      <c r="H1872" t="s">
        <v>23</v>
      </c>
      <c r="I1872" s="3">
        <v>947</v>
      </c>
      <c r="J1872" s="3">
        <v>947</v>
      </c>
      <c r="K1872" s="3">
        <v>387</v>
      </c>
      <c r="L1872" t="s">
        <v>98</v>
      </c>
      <c r="M1872">
        <v>11</v>
      </c>
      <c r="N1872" t="s">
        <v>10</v>
      </c>
      <c r="O1872" t="s">
        <v>11</v>
      </c>
      <c r="P1872" t="s">
        <v>12</v>
      </c>
      <c r="Q1872" t="s">
        <v>13</v>
      </c>
      <c r="R1872" t="s">
        <v>13</v>
      </c>
      <c r="S1872" t="s">
        <v>144</v>
      </c>
      <c r="T1872" s="2">
        <f>MASTER[[#This Row],[CANTIDAD]]*MASTER[[#This Row],[PRECIO DE VENTA]]</f>
        <v>947</v>
      </c>
      <c r="U1872" s="2">
        <f>MASTER[[#This Row],[CANTIDAD]]*MASTER[[#This Row],[COSTO UNITARIO]]</f>
        <v>387</v>
      </c>
      <c r="V1872" s="2">
        <f>MASTER[[#This Row],[MONTO VENDIDO]]-MASTER[[#This Row],[COSTO DE VENTA]]</f>
        <v>560</v>
      </c>
    </row>
    <row r="1873" spans="1:22" x14ac:dyDescent="0.3">
      <c r="A1873">
        <v>33618</v>
      </c>
      <c r="B1873">
        <v>1</v>
      </c>
      <c r="C1873" t="s">
        <v>96</v>
      </c>
      <c r="D1873" t="s">
        <v>97</v>
      </c>
      <c r="E1873" s="1">
        <v>44056</v>
      </c>
      <c r="F1873">
        <v>1</v>
      </c>
      <c r="G1873" t="s">
        <v>29</v>
      </c>
      <c r="H1873" t="s">
        <v>30</v>
      </c>
      <c r="I1873" s="3">
        <v>1361</v>
      </c>
      <c r="J1873" s="3">
        <v>1361</v>
      </c>
      <c r="K1873" s="3">
        <v>397</v>
      </c>
      <c r="L1873" t="s">
        <v>98</v>
      </c>
      <c r="M1873">
        <v>9</v>
      </c>
      <c r="N1873" t="s">
        <v>76</v>
      </c>
      <c r="O1873" t="s">
        <v>70</v>
      </c>
      <c r="P1873" t="s">
        <v>12</v>
      </c>
      <c r="Q1873" t="s">
        <v>13</v>
      </c>
      <c r="R1873" t="s">
        <v>13</v>
      </c>
      <c r="S1873" t="s">
        <v>144</v>
      </c>
      <c r="T1873" s="2">
        <f>MASTER[[#This Row],[CANTIDAD]]*MASTER[[#This Row],[PRECIO DE VENTA]]</f>
        <v>1361</v>
      </c>
      <c r="U1873" s="2">
        <f>MASTER[[#This Row],[CANTIDAD]]*MASTER[[#This Row],[COSTO UNITARIO]]</f>
        <v>397</v>
      </c>
      <c r="V1873" s="2">
        <f>MASTER[[#This Row],[MONTO VENDIDO]]-MASTER[[#This Row],[COSTO DE VENTA]]</f>
        <v>964</v>
      </c>
    </row>
    <row r="1874" spans="1:22" x14ac:dyDescent="0.3">
      <c r="A1874">
        <v>33627</v>
      </c>
      <c r="B1874">
        <v>1</v>
      </c>
      <c r="C1874" t="s">
        <v>96</v>
      </c>
      <c r="D1874" t="s">
        <v>97</v>
      </c>
      <c r="E1874" s="1">
        <v>44056</v>
      </c>
      <c r="F1874">
        <v>1</v>
      </c>
      <c r="G1874" t="s">
        <v>45</v>
      </c>
      <c r="H1874" t="s">
        <v>46</v>
      </c>
      <c r="I1874" s="3">
        <v>1272</v>
      </c>
      <c r="J1874" s="3">
        <v>1272</v>
      </c>
      <c r="K1874" s="3">
        <v>397</v>
      </c>
      <c r="L1874" t="s">
        <v>98</v>
      </c>
      <c r="M1874">
        <v>15</v>
      </c>
      <c r="N1874" t="s">
        <v>88</v>
      </c>
      <c r="O1874" t="s">
        <v>81</v>
      </c>
      <c r="P1874" t="s">
        <v>18</v>
      </c>
      <c r="Q1874" t="s">
        <v>19</v>
      </c>
      <c r="R1874" t="s">
        <v>138</v>
      </c>
      <c r="S1874" t="s">
        <v>144</v>
      </c>
      <c r="T1874" s="2">
        <f>MASTER[[#This Row],[CANTIDAD]]*MASTER[[#This Row],[PRECIO DE VENTA]]</f>
        <v>1272</v>
      </c>
      <c r="U1874" s="2">
        <f>MASTER[[#This Row],[CANTIDAD]]*MASTER[[#This Row],[COSTO UNITARIO]]</f>
        <v>397</v>
      </c>
      <c r="V1874" s="2">
        <f>MASTER[[#This Row],[MONTO VENDIDO]]-MASTER[[#This Row],[COSTO DE VENTA]]</f>
        <v>875</v>
      </c>
    </row>
    <row r="1875" spans="1:22" x14ac:dyDescent="0.3">
      <c r="A1875">
        <v>33630</v>
      </c>
      <c r="B1875">
        <v>1</v>
      </c>
      <c r="C1875" t="s">
        <v>107</v>
      </c>
      <c r="D1875" t="s">
        <v>108</v>
      </c>
      <c r="E1875" s="1">
        <v>44056</v>
      </c>
      <c r="F1875">
        <v>2</v>
      </c>
      <c r="G1875" t="s">
        <v>59</v>
      </c>
      <c r="H1875" t="s">
        <v>60</v>
      </c>
      <c r="I1875" s="3">
        <v>1333</v>
      </c>
      <c r="J1875" s="3">
        <v>1333</v>
      </c>
      <c r="K1875" s="3">
        <v>380</v>
      </c>
      <c r="L1875" t="s">
        <v>98</v>
      </c>
      <c r="M1875">
        <v>5</v>
      </c>
      <c r="N1875" t="s">
        <v>85</v>
      </c>
      <c r="O1875" t="s">
        <v>81</v>
      </c>
      <c r="P1875" t="s">
        <v>12</v>
      </c>
      <c r="Q1875" t="s">
        <v>13</v>
      </c>
      <c r="R1875" t="s">
        <v>13</v>
      </c>
      <c r="S1875" t="s">
        <v>144</v>
      </c>
      <c r="T1875" s="2">
        <f>MASTER[[#This Row],[CANTIDAD]]*MASTER[[#This Row],[PRECIO DE VENTA]]</f>
        <v>2666</v>
      </c>
      <c r="U1875" s="2">
        <f>MASTER[[#This Row],[CANTIDAD]]*MASTER[[#This Row],[COSTO UNITARIO]]</f>
        <v>760</v>
      </c>
      <c r="V1875" s="2">
        <f>MASTER[[#This Row],[MONTO VENDIDO]]-MASTER[[#This Row],[COSTO DE VENTA]]</f>
        <v>1906</v>
      </c>
    </row>
    <row r="1876" spans="1:22" x14ac:dyDescent="0.3">
      <c r="A1876">
        <v>33647</v>
      </c>
      <c r="B1876">
        <v>1</v>
      </c>
      <c r="C1876" t="s">
        <v>116</v>
      </c>
      <c r="D1876" t="s">
        <v>117</v>
      </c>
      <c r="E1876" s="1">
        <v>44056</v>
      </c>
      <c r="F1876">
        <v>1</v>
      </c>
      <c r="G1876" t="s">
        <v>39</v>
      </c>
      <c r="H1876" t="s">
        <v>40</v>
      </c>
      <c r="I1876" s="3">
        <v>1529</v>
      </c>
      <c r="J1876" s="3">
        <v>1529</v>
      </c>
      <c r="K1876" s="3">
        <v>388</v>
      </c>
      <c r="L1876" t="s">
        <v>113</v>
      </c>
      <c r="M1876">
        <v>11</v>
      </c>
      <c r="N1876" t="s">
        <v>10</v>
      </c>
      <c r="O1876" t="s">
        <v>11</v>
      </c>
      <c r="P1876" t="s">
        <v>12</v>
      </c>
      <c r="Q1876" t="s">
        <v>13</v>
      </c>
      <c r="R1876" t="s">
        <v>13</v>
      </c>
      <c r="S1876" t="s">
        <v>144</v>
      </c>
      <c r="T1876" s="2">
        <f>MASTER[[#This Row],[CANTIDAD]]*MASTER[[#This Row],[PRECIO DE VENTA]]</f>
        <v>1529</v>
      </c>
      <c r="U1876" s="2">
        <f>MASTER[[#This Row],[CANTIDAD]]*MASTER[[#This Row],[COSTO UNITARIO]]</f>
        <v>388</v>
      </c>
      <c r="V1876" s="2">
        <f>MASTER[[#This Row],[MONTO VENDIDO]]-MASTER[[#This Row],[COSTO DE VENTA]]</f>
        <v>1141</v>
      </c>
    </row>
    <row r="1877" spans="1:22" x14ac:dyDescent="0.3">
      <c r="A1877">
        <v>33649</v>
      </c>
      <c r="B1877">
        <v>1</v>
      </c>
      <c r="C1877" t="s">
        <v>5</v>
      </c>
      <c r="D1877" t="s">
        <v>6</v>
      </c>
      <c r="E1877" s="1">
        <v>44056</v>
      </c>
      <c r="F1877">
        <v>1</v>
      </c>
      <c r="G1877" t="s">
        <v>59</v>
      </c>
      <c r="H1877" t="s">
        <v>60</v>
      </c>
      <c r="I1877" s="3">
        <v>1507</v>
      </c>
      <c r="J1877" s="3">
        <v>1507</v>
      </c>
      <c r="K1877" s="3">
        <v>393</v>
      </c>
      <c r="L1877" t="s">
        <v>9</v>
      </c>
      <c r="M1877">
        <v>14</v>
      </c>
      <c r="N1877" t="s">
        <v>87</v>
      </c>
      <c r="O1877" t="s">
        <v>81</v>
      </c>
      <c r="P1877" t="s">
        <v>18</v>
      </c>
      <c r="Q1877" t="s">
        <v>19</v>
      </c>
      <c r="R1877" t="s">
        <v>138</v>
      </c>
      <c r="S1877" t="s">
        <v>144</v>
      </c>
      <c r="T1877" s="2">
        <f>MASTER[[#This Row],[CANTIDAD]]*MASTER[[#This Row],[PRECIO DE VENTA]]</f>
        <v>1507</v>
      </c>
      <c r="U1877" s="2">
        <f>MASTER[[#This Row],[CANTIDAD]]*MASTER[[#This Row],[COSTO UNITARIO]]</f>
        <v>393</v>
      </c>
      <c r="V1877" s="2">
        <f>MASTER[[#This Row],[MONTO VENDIDO]]-MASTER[[#This Row],[COSTO DE VENTA]]</f>
        <v>1114</v>
      </c>
    </row>
    <row r="1878" spans="1:22" x14ac:dyDescent="0.3">
      <c r="A1878">
        <v>33660</v>
      </c>
      <c r="B1878">
        <v>1</v>
      </c>
      <c r="C1878" t="s">
        <v>105</v>
      </c>
      <c r="D1878" t="s">
        <v>106</v>
      </c>
      <c r="E1878" s="1">
        <v>44056</v>
      </c>
      <c r="F1878">
        <v>4</v>
      </c>
      <c r="G1878" t="s">
        <v>35</v>
      </c>
      <c r="H1878" t="s">
        <v>36</v>
      </c>
      <c r="I1878" s="3">
        <v>2033</v>
      </c>
      <c r="J1878" s="3">
        <v>1870</v>
      </c>
      <c r="K1878" s="3">
        <v>459</v>
      </c>
      <c r="L1878" t="s">
        <v>98</v>
      </c>
      <c r="M1878">
        <v>13</v>
      </c>
      <c r="N1878" t="s">
        <v>78</v>
      </c>
      <c r="O1878" t="s">
        <v>70</v>
      </c>
      <c r="P1878" t="s">
        <v>18</v>
      </c>
      <c r="Q1878" t="s">
        <v>19</v>
      </c>
      <c r="R1878" t="s">
        <v>138</v>
      </c>
      <c r="S1878" t="s">
        <v>144</v>
      </c>
      <c r="T1878" s="2">
        <f>MASTER[[#This Row],[CANTIDAD]]*MASTER[[#This Row],[PRECIO DE VENTA]]</f>
        <v>7480</v>
      </c>
      <c r="U1878" s="2">
        <f>MASTER[[#This Row],[CANTIDAD]]*MASTER[[#This Row],[COSTO UNITARIO]]</f>
        <v>1836</v>
      </c>
      <c r="V1878" s="2">
        <f>MASTER[[#This Row],[MONTO VENDIDO]]-MASTER[[#This Row],[COSTO DE VENTA]]</f>
        <v>5644</v>
      </c>
    </row>
    <row r="1879" spans="1:22" x14ac:dyDescent="0.3">
      <c r="A1879">
        <v>33672</v>
      </c>
      <c r="B1879">
        <v>1</v>
      </c>
      <c r="C1879" t="s">
        <v>105</v>
      </c>
      <c r="D1879" t="s">
        <v>106</v>
      </c>
      <c r="E1879" s="1">
        <v>44056</v>
      </c>
      <c r="F1879">
        <v>1</v>
      </c>
      <c r="G1879" t="s">
        <v>53</v>
      </c>
      <c r="H1879" t="s">
        <v>54</v>
      </c>
      <c r="I1879" s="3">
        <v>1865</v>
      </c>
      <c r="J1879" s="3">
        <v>1865</v>
      </c>
      <c r="K1879" s="3">
        <v>459</v>
      </c>
      <c r="L1879" t="s">
        <v>98</v>
      </c>
      <c r="M1879">
        <v>8</v>
      </c>
      <c r="N1879" t="s">
        <v>80</v>
      </c>
      <c r="O1879" t="s">
        <v>81</v>
      </c>
      <c r="P1879" t="s">
        <v>12</v>
      </c>
      <c r="Q1879" t="s">
        <v>13</v>
      </c>
      <c r="R1879" t="s">
        <v>13</v>
      </c>
      <c r="S1879" t="s">
        <v>144</v>
      </c>
      <c r="T1879" s="2">
        <f>MASTER[[#This Row],[CANTIDAD]]*MASTER[[#This Row],[PRECIO DE VENTA]]</f>
        <v>1865</v>
      </c>
      <c r="U1879" s="2">
        <f>MASTER[[#This Row],[CANTIDAD]]*MASTER[[#This Row],[COSTO UNITARIO]]</f>
        <v>459</v>
      </c>
      <c r="V1879" s="2">
        <f>MASTER[[#This Row],[MONTO VENDIDO]]-MASTER[[#This Row],[COSTO DE VENTA]]</f>
        <v>1406</v>
      </c>
    </row>
    <row r="1880" spans="1:22" x14ac:dyDescent="0.3">
      <c r="A1880">
        <v>33674</v>
      </c>
      <c r="B1880">
        <v>1</v>
      </c>
      <c r="C1880" t="s">
        <v>99</v>
      </c>
      <c r="D1880" t="s">
        <v>100</v>
      </c>
      <c r="E1880" s="1">
        <v>44056</v>
      </c>
      <c r="F1880">
        <v>1</v>
      </c>
      <c r="G1880" t="s">
        <v>59</v>
      </c>
      <c r="H1880" t="s">
        <v>60</v>
      </c>
      <c r="I1880" s="3">
        <v>1328</v>
      </c>
      <c r="J1880" s="3">
        <v>1328</v>
      </c>
      <c r="K1880" s="3">
        <v>386</v>
      </c>
      <c r="L1880" t="s">
        <v>98</v>
      </c>
      <c r="M1880">
        <v>12</v>
      </c>
      <c r="N1880" t="s">
        <v>26</v>
      </c>
      <c r="O1880" t="s">
        <v>11</v>
      </c>
      <c r="P1880" t="s">
        <v>12</v>
      </c>
      <c r="Q1880" t="s">
        <v>13</v>
      </c>
      <c r="R1880" t="s">
        <v>13</v>
      </c>
      <c r="S1880" t="s">
        <v>144</v>
      </c>
      <c r="T1880" s="2">
        <f>MASTER[[#This Row],[CANTIDAD]]*MASTER[[#This Row],[PRECIO DE VENTA]]</f>
        <v>1328</v>
      </c>
      <c r="U1880" s="2">
        <f>MASTER[[#This Row],[CANTIDAD]]*MASTER[[#This Row],[COSTO UNITARIO]]</f>
        <v>386</v>
      </c>
      <c r="V1880" s="2">
        <f>MASTER[[#This Row],[MONTO VENDIDO]]-MASTER[[#This Row],[COSTO DE VENTA]]</f>
        <v>942</v>
      </c>
    </row>
    <row r="1881" spans="1:22" x14ac:dyDescent="0.3">
      <c r="A1881">
        <v>33680</v>
      </c>
      <c r="B1881">
        <v>1</v>
      </c>
      <c r="C1881" t="s">
        <v>114</v>
      </c>
      <c r="D1881" t="s">
        <v>115</v>
      </c>
      <c r="E1881" s="1">
        <v>44056</v>
      </c>
      <c r="F1881">
        <v>1</v>
      </c>
      <c r="G1881" t="s">
        <v>27</v>
      </c>
      <c r="H1881" t="s">
        <v>28</v>
      </c>
      <c r="I1881" s="3">
        <v>2030</v>
      </c>
      <c r="J1881" s="3">
        <v>2030</v>
      </c>
      <c r="K1881" s="3">
        <v>394</v>
      </c>
      <c r="L1881" t="s">
        <v>113</v>
      </c>
      <c r="M1881">
        <v>9</v>
      </c>
      <c r="N1881" t="s">
        <v>76</v>
      </c>
      <c r="O1881" t="s">
        <v>70</v>
      </c>
      <c r="P1881" t="s">
        <v>12</v>
      </c>
      <c r="Q1881" t="s">
        <v>13</v>
      </c>
      <c r="R1881" t="s">
        <v>13</v>
      </c>
      <c r="S1881" t="s">
        <v>144</v>
      </c>
      <c r="T1881" s="2">
        <f>MASTER[[#This Row],[CANTIDAD]]*MASTER[[#This Row],[PRECIO DE VENTA]]</f>
        <v>2030</v>
      </c>
      <c r="U1881" s="2">
        <f>MASTER[[#This Row],[CANTIDAD]]*MASTER[[#This Row],[COSTO UNITARIO]]</f>
        <v>394</v>
      </c>
      <c r="V1881" s="2">
        <f>MASTER[[#This Row],[MONTO VENDIDO]]-MASTER[[#This Row],[COSTO DE VENTA]]</f>
        <v>1636</v>
      </c>
    </row>
    <row r="1882" spans="1:22" x14ac:dyDescent="0.3">
      <c r="A1882">
        <v>33732</v>
      </c>
      <c r="B1882">
        <v>1</v>
      </c>
      <c r="C1882" t="s">
        <v>101</v>
      </c>
      <c r="D1882" t="s">
        <v>102</v>
      </c>
      <c r="E1882" s="1">
        <v>44057</v>
      </c>
      <c r="F1882">
        <v>1</v>
      </c>
      <c r="G1882" t="s">
        <v>27</v>
      </c>
      <c r="H1882" t="s">
        <v>28</v>
      </c>
      <c r="I1882" s="3">
        <v>1054</v>
      </c>
      <c r="J1882" s="3">
        <v>1054</v>
      </c>
      <c r="K1882" s="3">
        <v>442</v>
      </c>
      <c r="L1882" t="s">
        <v>98</v>
      </c>
      <c r="M1882">
        <v>17</v>
      </c>
      <c r="N1882" t="s">
        <v>14</v>
      </c>
      <c r="O1882" t="s">
        <v>11</v>
      </c>
      <c r="P1882" t="s">
        <v>15</v>
      </c>
      <c r="Q1882" t="s">
        <v>16</v>
      </c>
      <c r="R1882" t="s">
        <v>16</v>
      </c>
      <c r="S1882" t="s">
        <v>144</v>
      </c>
      <c r="T1882" s="2">
        <f>MASTER[[#This Row],[CANTIDAD]]*MASTER[[#This Row],[PRECIO DE VENTA]]</f>
        <v>1054</v>
      </c>
      <c r="U1882" s="2">
        <f>MASTER[[#This Row],[CANTIDAD]]*MASTER[[#This Row],[COSTO UNITARIO]]</f>
        <v>442</v>
      </c>
      <c r="V1882" s="2">
        <f>MASTER[[#This Row],[MONTO VENDIDO]]-MASTER[[#This Row],[COSTO DE VENTA]]</f>
        <v>612</v>
      </c>
    </row>
    <row r="1883" spans="1:22" x14ac:dyDescent="0.3">
      <c r="A1883">
        <v>33736</v>
      </c>
      <c r="B1883">
        <v>1</v>
      </c>
      <c r="C1883" t="s">
        <v>114</v>
      </c>
      <c r="D1883" t="s">
        <v>115</v>
      </c>
      <c r="E1883" s="1">
        <v>44057</v>
      </c>
      <c r="F1883">
        <v>1</v>
      </c>
      <c r="G1883" t="s">
        <v>33</v>
      </c>
      <c r="H1883" t="s">
        <v>34</v>
      </c>
      <c r="I1883" s="3">
        <v>1862</v>
      </c>
      <c r="J1883" s="3">
        <v>1862</v>
      </c>
      <c r="K1883" s="3">
        <v>394</v>
      </c>
      <c r="L1883" t="s">
        <v>113</v>
      </c>
      <c r="M1883">
        <v>5</v>
      </c>
      <c r="N1883" t="s">
        <v>85</v>
      </c>
      <c r="O1883" t="s">
        <v>81</v>
      </c>
      <c r="P1883" t="s">
        <v>12</v>
      </c>
      <c r="Q1883" t="s">
        <v>13</v>
      </c>
      <c r="R1883" t="s">
        <v>13</v>
      </c>
      <c r="S1883" t="s">
        <v>144</v>
      </c>
      <c r="T1883" s="2">
        <f>MASTER[[#This Row],[CANTIDAD]]*MASTER[[#This Row],[PRECIO DE VENTA]]</f>
        <v>1862</v>
      </c>
      <c r="U1883" s="2">
        <f>MASTER[[#This Row],[CANTIDAD]]*MASTER[[#This Row],[COSTO UNITARIO]]</f>
        <v>394</v>
      </c>
      <c r="V1883" s="2">
        <f>MASTER[[#This Row],[MONTO VENDIDO]]-MASTER[[#This Row],[COSTO DE VENTA]]</f>
        <v>1468</v>
      </c>
    </row>
    <row r="1884" spans="1:22" x14ac:dyDescent="0.3">
      <c r="A1884">
        <v>33736</v>
      </c>
      <c r="B1884">
        <v>2</v>
      </c>
      <c r="C1884" t="s">
        <v>116</v>
      </c>
      <c r="D1884" t="s">
        <v>117</v>
      </c>
      <c r="E1884" s="1">
        <v>44057</v>
      </c>
      <c r="F1884">
        <v>1</v>
      </c>
      <c r="G1884" t="s">
        <v>53</v>
      </c>
      <c r="H1884" t="s">
        <v>54</v>
      </c>
      <c r="I1884" s="3">
        <v>1738</v>
      </c>
      <c r="J1884" s="3">
        <v>1564</v>
      </c>
      <c r="K1884" s="3">
        <v>388</v>
      </c>
      <c r="L1884" t="s">
        <v>113</v>
      </c>
      <c r="M1884">
        <v>5</v>
      </c>
      <c r="N1884" t="s">
        <v>85</v>
      </c>
      <c r="O1884" t="s">
        <v>81</v>
      </c>
      <c r="P1884" t="s">
        <v>12</v>
      </c>
      <c r="Q1884" t="s">
        <v>13</v>
      </c>
      <c r="R1884" t="s">
        <v>13</v>
      </c>
      <c r="S1884" t="s">
        <v>144</v>
      </c>
      <c r="T1884" s="2">
        <f>MASTER[[#This Row],[CANTIDAD]]*MASTER[[#This Row],[PRECIO DE VENTA]]</f>
        <v>1564</v>
      </c>
      <c r="U1884" s="2">
        <f>MASTER[[#This Row],[CANTIDAD]]*MASTER[[#This Row],[COSTO UNITARIO]]</f>
        <v>388</v>
      </c>
      <c r="V1884" s="2">
        <f>MASTER[[#This Row],[MONTO VENDIDO]]-MASTER[[#This Row],[COSTO DE VENTA]]</f>
        <v>1176</v>
      </c>
    </row>
    <row r="1885" spans="1:22" x14ac:dyDescent="0.3">
      <c r="A1885">
        <v>33832</v>
      </c>
      <c r="B1885">
        <v>1</v>
      </c>
      <c r="C1885" t="s">
        <v>90</v>
      </c>
      <c r="D1885" t="s">
        <v>91</v>
      </c>
      <c r="E1885" s="1">
        <v>44057</v>
      </c>
      <c r="F1885">
        <v>1</v>
      </c>
      <c r="G1885" t="s">
        <v>61</v>
      </c>
      <c r="H1885" t="s">
        <v>62</v>
      </c>
      <c r="I1885" s="3">
        <v>1844</v>
      </c>
      <c r="J1885" s="3">
        <v>1844</v>
      </c>
      <c r="K1885" s="3">
        <v>420</v>
      </c>
      <c r="L1885" t="s">
        <v>9</v>
      </c>
      <c r="M1885">
        <v>4</v>
      </c>
      <c r="N1885" t="s">
        <v>82</v>
      </c>
      <c r="O1885" t="s">
        <v>81</v>
      </c>
      <c r="P1885" t="s">
        <v>71</v>
      </c>
      <c r="Q1885" t="s">
        <v>72</v>
      </c>
      <c r="R1885" t="s">
        <v>139</v>
      </c>
      <c r="S1885" t="s">
        <v>144</v>
      </c>
      <c r="T1885" s="2">
        <f>MASTER[[#This Row],[CANTIDAD]]*MASTER[[#This Row],[PRECIO DE VENTA]]</f>
        <v>1844</v>
      </c>
      <c r="U1885" s="2">
        <f>MASTER[[#This Row],[CANTIDAD]]*MASTER[[#This Row],[COSTO UNITARIO]]</f>
        <v>420</v>
      </c>
      <c r="V1885" s="2">
        <f>MASTER[[#This Row],[MONTO VENDIDO]]-MASTER[[#This Row],[COSTO DE VENTA]]</f>
        <v>1424</v>
      </c>
    </row>
    <row r="1886" spans="1:22" x14ac:dyDescent="0.3">
      <c r="A1886">
        <v>33855</v>
      </c>
      <c r="B1886">
        <v>1</v>
      </c>
      <c r="C1886" t="s">
        <v>92</v>
      </c>
      <c r="D1886" t="s">
        <v>93</v>
      </c>
      <c r="E1886" s="1">
        <v>44057</v>
      </c>
      <c r="F1886">
        <v>1</v>
      </c>
      <c r="G1886" t="s">
        <v>27</v>
      </c>
      <c r="H1886" t="s">
        <v>28</v>
      </c>
      <c r="I1886" s="3">
        <v>1866</v>
      </c>
      <c r="J1886" s="3">
        <v>1791</v>
      </c>
      <c r="K1886" s="3">
        <v>396</v>
      </c>
      <c r="L1886" t="s">
        <v>9</v>
      </c>
      <c r="M1886">
        <v>3</v>
      </c>
      <c r="N1886" t="s">
        <v>69</v>
      </c>
      <c r="O1886" t="s">
        <v>70</v>
      </c>
      <c r="P1886" t="s">
        <v>71</v>
      </c>
      <c r="Q1886" t="s">
        <v>72</v>
      </c>
      <c r="R1886" t="s">
        <v>139</v>
      </c>
      <c r="S1886" t="s">
        <v>144</v>
      </c>
      <c r="T1886" s="2">
        <f>MASTER[[#This Row],[CANTIDAD]]*MASTER[[#This Row],[PRECIO DE VENTA]]</f>
        <v>1791</v>
      </c>
      <c r="U1886" s="2">
        <f>MASTER[[#This Row],[CANTIDAD]]*MASTER[[#This Row],[COSTO UNITARIO]]</f>
        <v>396</v>
      </c>
      <c r="V1886" s="2">
        <f>MASTER[[#This Row],[MONTO VENDIDO]]-MASTER[[#This Row],[COSTO DE VENTA]]</f>
        <v>1395</v>
      </c>
    </row>
    <row r="1887" spans="1:22" x14ac:dyDescent="0.3">
      <c r="A1887">
        <v>33861</v>
      </c>
      <c r="B1887">
        <v>1</v>
      </c>
      <c r="C1887" t="s">
        <v>121</v>
      </c>
      <c r="D1887" t="s">
        <v>122</v>
      </c>
      <c r="E1887" s="1">
        <v>44057</v>
      </c>
      <c r="F1887">
        <v>1</v>
      </c>
      <c r="G1887" t="s">
        <v>59</v>
      </c>
      <c r="H1887" t="s">
        <v>60</v>
      </c>
      <c r="I1887" s="3">
        <v>1069</v>
      </c>
      <c r="J1887" s="3">
        <v>1069</v>
      </c>
      <c r="K1887" s="3">
        <v>460</v>
      </c>
      <c r="L1887" t="s">
        <v>120</v>
      </c>
      <c r="M1887">
        <v>7</v>
      </c>
      <c r="N1887" t="s">
        <v>84</v>
      </c>
      <c r="O1887" t="s">
        <v>81</v>
      </c>
      <c r="P1887" t="s">
        <v>12</v>
      </c>
      <c r="Q1887" t="s">
        <v>13</v>
      </c>
      <c r="R1887" t="s">
        <v>13</v>
      </c>
      <c r="S1887" t="s">
        <v>144</v>
      </c>
      <c r="T1887" s="2">
        <f>MASTER[[#This Row],[CANTIDAD]]*MASTER[[#This Row],[PRECIO DE VENTA]]</f>
        <v>1069</v>
      </c>
      <c r="U1887" s="2">
        <f>MASTER[[#This Row],[CANTIDAD]]*MASTER[[#This Row],[COSTO UNITARIO]]</f>
        <v>460</v>
      </c>
      <c r="V1887" s="2">
        <f>MASTER[[#This Row],[MONTO VENDIDO]]-MASTER[[#This Row],[COSTO DE VENTA]]</f>
        <v>609</v>
      </c>
    </row>
    <row r="1888" spans="1:22" x14ac:dyDescent="0.3">
      <c r="A1888">
        <v>33864</v>
      </c>
      <c r="B1888">
        <v>1</v>
      </c>
      <c r="C1888" t="s">
        <v>99</v>
      </c>
      <c r="D1888" t="s">
        <v>100</v>
      </c>
      <c r="E1888" s="1">
        <v>44057</v>
      </c>
      <c r="F1888">
        <v>1</v>
      </c>
      <c r="G1888" t="s">
        <v>73</v>
      </c>
      <c r="H1888" t="s">
        <v>74</v>
      </c>
      <c r="I1888" s="3">
        <v>1678</v>
      </c>
      <c r="J1888" s="3">
        <v>1678</v>
      </c>
      <c r="K1888" s="3">
        <v>386</v>
      </c>
      <c r="L1888" t="s">
        <v>98</v>
      </c>
      <c r="M1888">
        <v>1</v>
      </c>
      <c r="N1888" t="s">
        <v>77</v>
      </c>
      <c r="O1888" t="s">
        <v>70</v>
      </c>
      <c r="P1888" t="s">
        <v>71</v>
      </c>
      <c r="Q1888" t="s">
        <v>72</v>
      </c>
      <c r="R1888" t="s">
        <v>139</v>
      </c>
      <c r="S1888" t="s">
        <v>144</v>
      </c>
      <c r="T1888" s="2">
        <f>MASTER[[#This Row],[CANTIDAD]]*MASTER[[#This Row],[PRECIO DE VENTA]]</f>
        <v>1678</v>
      </c>
      <c r="U1888" s="2">
        <f>MASTER[[#This Row],[CANTIDAD]]*MASTER[[#This Row],[COSTO UNITARIO]]</f>
        <v>386</v>
      </c>
      <c r="V1888" s="2">
        <f>MASTER[[#This Row],[MONTO VENDIDO]]-MASTER[[#This Row],[COSTO DE VENTA]]</f>
        <v>1292</v>
      </c>
    </row>
    <row r="1889" spans="1:22" x14ac:dyDescent="0.3">
      <c r="A1889">
        <v>33866</v>
      </c>
      <c r="B1889">
        <v>1</v>
      </c>
      <c r="C1889" t="s">
        <v>92</v>
      </c>
      <c r="D1889" t="s">
        <v>93</v>
      </c>
      <c r="E1889" s="1">
        <v>44057</v>
      </c>
      <c r="F1889">
        <v>1</v>
      </c>
      <c r="G1889" t="s">
        <v>55</v>
      </c>
      <c r="H1889" t="s">
        <v>56</v>
      </c>
      <c r="I1889" s="3">
        <v>1681</v>
      </c>
      <c r="J1889" s="3">
        <v>1681</v>
      </c>
      <c r="K1889" s="3">
        <v>396</v>
      </c>
      <c r="L1889" t="s">
        <v>9</v>
      </c>
      <c r="M1889">
        <v>10</v>
      </c>
      <c r="N1889" t="s">
        <v>83</v>
      </c>
      <c r="O1889" t="s">
        <v>81</v>
      </c>
      <c r="P1889" t="s">
        <v>12</v>
      </c>
      <c r="Q1889" t="s">
        <v>13</v>
      </c>
      <c r="R1889" t="s">
        <v>13</v>
      </c>
      <c r="S1889" t="s">
        <v>144</v>
      </c>
      <c r="T1889" s="2">
        <f>MASTER[[#This Row],[CANTIDAD]]*MASTER[[#This Row],[PRECIO DE VENTA]]</f>
        <v>1681</v>
      </c>
      <c r="U1889" s="2">
        <f>MASTER[[#This Row],[CANTIDAD]]*MASTER[[#This Row],[COSTO UNITARIO]]</f>
        <v>396</v>
      </c>
      <c r="V1889" s="2">
        <f>MASTER[[#This Row],[MONTO VENDIDO]]-MASTER[[#This Row],[COSTO DE VENTA]]</f>
        <v>1285</v>
      </c>
    </row>
    <row r="1890" spans="1:22" x14ac:dyDescent="0.3">
      <c r="A1890">
        <v>33885</v>
      </c>
      <c r="B1890">
        <v>1</v>
      </c>
      <c r="C1890" t="s">
        <v>111</v>
      </c>
      <c r="D1890" t="s">
        <v>112</v>
      </c>
      <c r="E1890" s="1">
        <v>44057</v>
      </c>
      <c r="F1890">
        <v>1</v>
      </c>
      <c r="G1890" t="s">
        <v>61</v>
      </c>
      <c r="H1890" t="s">
        <v>62</v>
      </c>
      <c r="I1890" s="3">
        <v>1524</v>
      </c>
      <c r="J1890" s="3">
        <v>1524</v>
      </c>
      <c r="K1890" s="3">
        <v>434</v>
      </c>
      <c r="L1890" t="s">
        <v>113</v>
      </c>
      <c r="M1890">
        <v>16</v>
      </c>
      <c r="N1890" t="s">
        <v>17</v>
      </c>
      <c r="O1890" t="s">
        <v>11</v>
      </c>
      <c r="P1890" t="s">
        <v>18</v>
      </c>
      <c r="Q1890" t="s">
        <v>19</v>
      </c>
      <c r="R1890" t="s">
        <v>138</v>
      </c>
      <c r="S1890" t="s">
        <v>144</v>
      </c>
      <c r="T1890" s="2">
        <f>MASTER[[#This Row],[CANTIDAD]]*MASTER[[#This Row],[PRECIO DE VENTA]]</f>
        <v>1524</v>
      </c>
      <c r="U1890" s="2">
        <f>MASTER[[#This Row],[CANTIDAD]]*MASTER[[#This Row],[COSTO UNITARIO]]</f>
        <v>434</v>
      </c>
      <c r="V1890" s="2">
        <f>MASTER[[#This Row],[MONTO VENDIDO]]-MASTER[[#This Row],[COSTO DE VENTA]]</f>
        <v>1090</v>
      </c>
    </row>
    <row r="1891" spans="1:22" x14ac:dyDescent="0.3">
      <c r="A1891">
        <v>33889</v>
      </c>
      <c r="B1891">
        <v>1</v>
      </c>
      <c r="C1891" t="s">
        <v>90</v>
      </c>
      <c r="D1891" t="s">
        <v>91</v>
      </c>
      <c r="E1891" s="1">
        <v>44057</v>
      </c>
      <c r="F1891">
        <v>2</v>
      </c>
      <c r="G1891" t="s">
        <v>41</v>
      </c>
      <c r="H1891" t="s">
        <v>42</v>
      </c>
      <c r="I1891" s="3">
        <v>2102</v>
      </c>
      <c r="J1891" s="3">
        <v>2102</v>
      </c>
      <c r="K1891" s="3">
        <v>420</v>
      </c>
      <c r="L1891" t="s">
        <v>9</v>
      </c>
      <c r="M1891">
        <v>18</v>
      </c>
      <c r="N1891" t="s">
        <v>79</v>
      </c>
      <c r="O1891" t="s">
        <v>70</v>
      </c>
      <c r="P1891" t="s">
        <v>15</v>
      </c>
      <c r="Q1891" t="s">
        <v>16</v>
      </c>
      <c r="R1891" t="s">
        <v>16</v>
      </c>
      <c r="S1891" t="s">
        <v>144</v>
      </c>
      <c r="T1891" s="2">
        <f>MASTER[[#This Row],[CANTIDAD]]*MASTER[[#This Row],[PRECIO DE VENTA]]</f>
        <v>4204</v>
      </c>
      <c r="U1891" s="2">
        <f>MASTER[[#This Row],[CANTIDAD]]*MASTER[[#This Row],[COSTO UNITARIO]]</f>
        <v>840</v>
      </c>
      <c r="V1891" s="2">
        <f>MASTER[[#This Row],[MONTO VENDIDO]]-MASTER[[#This Row],[COSTO DE VENTA]]</f>
        <v>3364</v>
      </c>
    </row>
    <row r="1892" spans="1:22" x14ac:dyDescent="0.3">
      <c r="A1892">
        <v>33903</v>
      </c>
      <c r="B1892">
        <v>1</v>
      </c>
      <c r="C1892" t="s">
        <v>118</v>
      </c>
      <c r="D1892" t="s">
        <v>119</v>
      </c>
      <c r="E1892" s="1">
        <v>44057</v>
      </c>
      <c r="F1892">
        <v>1</v>
      </c>
      <c r="G1892" t="s">
        <v>7</v>
      </c>
      <c r="H1892" t="s">
        <v>8</v>
      </c>
      <c r="I1892" s="3">
        <v>1026</v>
      </c>
      <c r="J1892" s="3">
        <v>1026</v>
      </c>
      <c r="K1892" s="3">
        <v>424</v>
      </c>
      <c r="L1892" t="s">
        <v>120</v>
      </c>
      <c r="M1892">
        <v>13</v>
      </c>
      <c r="N1892" t="s">
        <v>78</v>
      </c>
      <c r="O1892" t="s">
        <v>70</v>
      </c>
      <c r="P1892" t="s">
        <v>18</v>
      </c>
      <c r="Q1892" t="s">
        <v>19</v>
      </c>
      <c r="R1892" t="s">
        <v>138</v>
      </c>
      <c r="S1892" t="s">
        <v>144</v>
      </c>
      <c r="T1892" s="2">
        <f>MASTER[[#This Row],[CANTIDAD]]*MASTER[[#This Row],[PRECIO DE VENTA]]</f>
        <v>1026</v>
      </c>
      <c r="U1892" s="2">
        <f>MASTER[[#This Row],[CANTIDAD]]*MASTER[[#This Row],[COSTO UNITARIO]]</f>
        <v>424</v>
      </c>
      <c r="V1892" s="2">
        <f>MASTER[[#This Row],[MONTO VENDIDO]]-MASTER[[#This Row],[COSTO DE VENTA]]</f>
        <v>602</v>
      </c>
    </row>
    <row r="1893" spans="1:22" x14ac:dyDescent="0.3">
      <c r="A1893">
        <v>33931</v>
      </c>
      <c r="B1893">
        <v>1</v>
      </c>
      <c r="C1893" t="s">
        <v>114</v>
      </c>
      <c r="D1893" t="s">
        <v>115</v>
      </c>
      <c r="E1893" s="1">
        <v>44057</v>
      </c>
      <c r="F1893">
        <v>1</v>
      </c>
      <c r="G1893" t="s">
        <v>41</v>
      </c>
      <c r="H1893" t="s">
        <v>42</v>
      </c>
      <c r="I1893" s="3">
        <v>2030</v>
      </c>
      <c r="J1893" s="3">
        <v>2030</v>
      </c>
      <c r="K1893" s="3">
        <v>394</v>
      </c>
      <c r="L1893" t="s">
        <v>113</v>
      </c>
      <c r="M1893">
        <v>18</v>
      </c>
      <c r="N1893" t="s">
        <v>79</v>
      </c>
      <c r="O1893" t="s">
        <v>70</v>
      </c>
      <c r="P1893" t="s">
        <v>15</v>
      </c>
      <c r="Q1893" t="s">
        <v>16</v>
      </c>
      <c r="R1893" t="s">
        <v>16</v>
      </c>
      <c r="S1893" t="s">
        <v>144</v>
      </c>
      <c r="T1893" s="2">
        <f>MASTER[[#This Row],[CANTIDAD]]*MASTER[[#This Row],[PRECIO DE VENTA]]</f>
        <v>2030</v>
      </c>
      <c r="U1893" s="2">
        <f>MASTER[[#This Row],[CANTIDAD]]*MASTER[[#This Row],[COSTO UNITARIO]]</f>
        <v>394</v>
      </c>
      <c r="V1893" s="2">
        <f>MASTER[[#This Row],[MONTO VENDIDO]]-MASTER[[#This Row],[COSTO DE VENTA]]</f>
        <v>1636</v>
      </c>
    </row>
    <row r="1894" spans="1:22" x14ac:dyDescent="0.3">
      <c r="A1894">
        <v>33932</v>
      </c>
      <c r="B1894">
        <v>1</v>
      </c>
      <c r="C1894" t="s">
        <v>109</v>
      </c>
      <c r="D1894" t="s">
        <v>110</v>
      </c>
      <c r="E1894" s="1">
        <v>44057</v>
      </c>
      <c r="F1894">
        <v>1</v>
      </c>
      <c r="G1894" t="s">
        <v>7</v>
      </c>
      <c r="H1894" t="s">
        <v>8</v>
      </c>
      <c r="I1894" s="3">
        <v>1064</v>
      </c>
      <c r="J1894" s="3">
        <v>1064</v>
      </c>
      <c r="K1894" s="3">
        <v>387</v>
      </c>
      <c r="L1894" t="s">
        <v>98</v>
      </c>
      <c r="M1894">
        <v>8</v>
      </c>
      <c r="N1894" t="s">
        <v>80</v>
      </c>
      <c r="O1894" t="s">
        <v>81</v>
      </c>
      <c r="P1894" t="s">
        <v>12</v>
      </c>
      <c r="Q1894" t="s">
        <v>13</v>
      </c>
      <c r="R1894" t="s">
        <v>13</v>
      </c>
      <c r="S1894" t="s">
        <v>144</v>
      </c>
      <c r="T1894" s="2">
        <f>MASTER[[#This Row],[CANTIDAD]]*MASTER[[#This Row],[PRECIO DE VENTA]]</f>
        <v>1064</v>
      </c>
      <c r="U1894" s="2">
        <f>MASTER[[#This Row],[CANTIDAD]]*MASTER[[#This Row],[COSTO UNITARIO]]</f>
        <v>387</v>
      </c>
      <c r="V1894" s="2">
        <f>MASTER[[#This Row],[MONTO VENDIDO]]-MASTER[[#This Row],[COSTO DE VENTA]]</f>
        <v>677</v>
      </c>
    </row>
    <row r="1895" spans="1:22" x14ac:dyDescent="0.3">
      <c r="A1895">
        <v>33935</v>
      </c>
      <c r="B1895">
        <v>1</v>
      </c>
      <c r="C1895" t="s">
        <v>109</v>
      </c>
      <c r="D1895" t="s">
        <v>110</v>
      </c>
      <c r="E1895" s="1">
        <v>44058</v>
      </c>
      <c r="F1895">
        <v>1</v>
      </c>
      <c r="G1895" t="s">
        <v>22</v>
      </c>
      <c r="H1895" t="s">
        <v>23</v>
      </c>
      <c r="I1895" s="3">
        <v>1064</v>
      </c>
      <c r="J1895" s="3">
        <v>989</v>
      </c>
      <c r="K1895" s="3">
        <v>387</v>
      </c>
      <c r="L1895" t="s">
        <v>98</v>
      </c>
      <c r="M1895">
        <v>10</v>
      </c>
      <c r="N1895" t="s">
        <v>83</v>
      </c>
      <c r="O1895" t="s">
        <v>81</v>
      </c>
      <c r="P1895" t="s">
        <v>12</v>
      </c>
      <c r="Q1895" t="s">
        <v>13</v>
      </c>
      <c r="R1895" t="s">
        <v>13</v>
      </c>
      <c r="S1895" t="s">
        <v>144</v>
      </c>
      <c r="T1895" s="2">
        <f>MASTER[[#This Row],[CANTIDAD]]*MASTER[[#This Row],[PRECIO DE VENTA]]</f>
        <v>989</v>
      </c>
      <c r="U1895" s="2">
        <f>MASTER[[#This Row],[CANTIDAD]]*MASTER[[#This Row],[COSTO UNITARIO]]</f>
        <v>387</v>
      </c>
      <c r="V1895" s="2">
        <f>MASTER[[#This Row],[MONTO VENDIDO]]-MASTER[[#This Row],[COSTO DE VENTA]]</f>
        <v>602</v>
      </c>
    </row>
    <row r="1896" spans="1:22" x14ac:dyDescent="0.3">
      <c r="A1896">
        <v>33944</v>
      </c>
      <c r="B1896">
        <v>1</v>
      </c>
      <c r="C1896" t="s">
        <v>105</v>
      </c>
      <c r="D1896" t="s">
        <v>106</v>
      </c>
      <c r="E1896" s="1">
        <v>44058</v>
      </c>
      <c r="F1896">
        <v>1</v>
      </c>
      <c r="G1896" t="s">
        <v>7</v>
      </c>
      <c r="H1896" t="s">
        <v>8</v>
      </c>
      <c r="I1896" s="3">
        <v>1585</v>
      </c>
      <c r="J1896" s="3">
        <v>1585</v>
      </c>
      <c r="K1896" s="3">
        <v>459</v>
      </c>
      <c r="L1896" t="s">
        <v>98</v>
      </c>
      <c r="M1896">
        <v>11</v>
      </c>
      <c r="N1896" t="s">
        <v>10</v>
      </c>
      <c r="O1896" t="s">
        <v>11</v>
      </c>
      <c r="P1896" t="s">
        <v>12</v>
      </c>
      <c r="Q1896" t="s">
        <v>13</v>
      </c>
      <c r="R1896" t="s">
        <v>13</v>
      </c>
      <c r="S1896" t="s">
        <v>144</v>
      </c>
      <c r="T1896" s="2">
        <f>MASTER[[#This Row],[CANTIDAD]]*MASTER[[#This Row],[PRECIO DE VENTA]]</f>
        <v>1585</v>
      </c>
      <c r="U1896" s="2">
        <f>MASTER[[#This Row],[CANTIDAD]]*MASTER[[#This Row],[COSTO UNITARIO]]</f>
        <v>459</v>
      </c>
      <c r="V1896" s="2">
        <f>MASTER[[#This Row],[MONTO VENDIDO]]-MASTER[[#This Row],[COSTO DE VENTA]]</f>
        <v>1126</v>
      </c>
    </row>
    <row r="1897" spans="1:22" x14ac:dyDescent="0.3">
      <c r="A1897">
        <v>33987</v>
      </c>
      <c r="B1897">
        <v>1</v>
      </c>
      <c r="C1897" t="s">
        <v>101</v>
      </c>
      <c r="D1897" t="s">
        <v>102</v>
      </c>
      <c r="E1897" s="1">
        <v>44058</v>
      </c>
      <c r="F1897">
        <v>1</v>
      </c>
      <c r="G1897" t="s">
        <v>57</v>
      </c>
      <c r="H1897" t="s">
        <v>58</v>
      </c>
      <c r="I1897" s="3">
        <v>1357</v>
      </c>
      <c r="J1897" s="3">
        <v>1357</v>
      </c>
      <c r="K1897" s="3">
        <v>442</v>
      </c>
      <c r="L1897" t="s">
        <v>98</v>
      </c>
      <c r="M1897">
        <v>3</v>
      </c>
      <c r="N1897" t="s">
        <v>69</v>
      </c>
      <c r="O1897" t="s">
        <v>70</v>
      </c>
      <c r="P1897" t="s">
        <v>71</v>
      </c>
      <c r="Q1897" t="s">
        <v>72</v>
      </c>
      <c r="R1897" t="s">
        <v>139</v>
      </c>
      <c r="S1897" t="s">
        <v>144</v>
      </c>
      <c r="T1897" s="2">
        <f>MASTER[[#This Row],[CANTIDAD]]*MASTER[[#This Row],[PRECIO DE VENTA]]</f>
        <v>1357</v>
      </c>
      <c r="U1897" s="2">
        <f>MASTER[[#This Row],[CANTIDAD]]*MASTER[[#This Row],[COSTO UNITARIO]]</f>
        <v>442</v>
      </c>
      <c r="V1897" s="2">
        <f>MASTER[[#This Row],[MONTO VENDIDO]]-MASTER[[#This Row],[COSTO DE VENTA]]</f>
        <v>915</v>
      </c>
    </row>
    <row r="1898" spans="1:22" x14ac:dyDescent="0.3">
      <c r="A1898">
        <v>33998</v>
      </c>
      <c r="B1898">
        <v>1</v>
      </c>
      <c r="C1898" t="s">
        <v>105</v>
      </c>
      <c r="D1898" t="s">
        <v>106</v>
      </c>
      <c r="E1898" s="1">
        <v>44058</v>
      </c>
      <c r="F1898">
        <v>1</v>
      </c>
      <c r="G1898" t="s">
        <v>35</v>
      </c>
      <c r="H1898" t="s">
        <v>36</v>
      </c>
      <c r="I1898" s="3">
        <v>1865</v>
      </c>
      <c r="J1898" s="3">
        <v>1865</v>
      </c>
      <c r="K1898" s="3">
        <v>459</v>
      </c>
      <c r="L1898" t="s">
        <v>98</v>
      </c>
      <c r="M1898">
        <v>14</v>
      </c>
      <c r="N1898" t="s">
        <v>87</v>
      </c>
      <c r="O1898" t="s">
        <v>81</v>
      </c>
      <c r="P1898" t="s">
        <v>18</v>
      </c>
      <c r="Q1898" t="s">
        <v>19</v>
      </c>
      <c r="R1898" t="s">
        <v>138</v>
      </c>
      <c r="S1898" t="s">
        <v>144</v>
      </c>
      <c r="T1898" s="2">
        <f>MASTER[[#This Row],[CANTIDAD]]*MASTER[[#This Row],[PRECIO DE VENTA]]</f>
        <v>1865</v>
      </c>
      <c r="U1898" s="2">
        <f>MASTER[[#This Row],[CANTIDAD]]*MASTER[[#This Row],[COSTO UNITARIO]]</f>
        <v>459</v>
      </c>
      <c r="V1898" s="2">
        <f>MASTER[[#This Row],[MONTO VENDIDO]]-MASTER[[#This Row],[COSTO DE VENTA]]</f>
        <v>1406</v>
      </c>
    </row>
    <row r="1899" spans="1:22" x14ac:dyDescent="0.3">
      <c r="A1899">
        <v>34001</v>
      </c>
      <c r="B1899">
        <v>1</v>
      </c>
      <c r="C1899" t="s">
        <v>5</v>
      </c>
      <c r="D1899" t="s">
        <v>6</v>
      </c>
      <c r="E1899" s="1">
        <v>44058</v>
      </c>
      <c r="F1899">
        <v>1</v>
      </c>
      <c r="G1899" t="s">
        <v>39</v>
      </c>
      <c r="H1899" t="s">
        <v>40</v>
      </c>
      <c r="I1899" s="3">
        <v>1507</v>
      </c>
      <c r="J1899" s="3">
        <v>1507</v>
      </c>
      <c r="K1899" s="3">
        <v>393</v>
      </c>
      <c r="L1899" t="s">
        <v>9</v>
      </c>
      <c r="M1899">
        <v>19</v>
      </c>
      <c r="N1899" t="s">
        <v>89</v>
      </c>
      <c r="O1899" t="s">
        <v>81</v>
      </c>
      <c r="P1899" t="s">
        <v>15</v>
      </c>
      <c r="Q1899" t="s">
        <v>16</v>
      </c>
      <c r="R1899" t="s">
        <v>16</v>
      </c>
      <c r="S1899" t="s">
        <v>144</v>
      </c>
      <c r="T1899" s="2">
        <f>MASTER[[#This Row],[CANTIDAD]]*MASTER[[#This Row],[PRECIO DE VENTA]]</f>
        <v>1507</v>
      </c>
      <c r="U1899" s="2">
        <f>MASTER[[#This Row],[CANTIDAD]]*MASTER[[#This Row],[COSTO UNITARIO]]</f>
        <v>393</v>
      </c>
      <c r="V1899" s="2">
        <f>MASTER[[#This Row],[MONTO VENDIDO]]-MASTER[[#This Row],[COSTO DE VENTA]]</f>
        <v>1114</v>
      </c>
    </row>
    <row r="1900" spans="1:22" x14ac:dyDescent="0.3">
      <c r="A1900">
        <v>34016</v>
      </c>
      <c r="B1900">
        <v>1</v>
      </c>
      <c r="C1900" t="s">
        <v>114</v>
      </c>
      <c r="D1900" t="s">
        <v>115</v>
      </c>
      <c r="E1900" s="1">
        <v>44058</v>
      </c>
      <c r="F1900">
        <v>1</v>
      </c>
      <c r="G1900" t="s">
        <v>63</v>
      </c>
      <c r="H1900" t="s">
        <v>64</v>
      </c>
      <c r="I1900" s="3">
        <v>1862</v>
      </c>
      <c r="J1900" s="3">
        <v>1862</v>
      </c>
      <c r="K1900" s="3">
        <v>394</v>
      </c>
      <c r="L1900" t="s">
        <v>113</v>
      </c>
      <c r="M1900">
        <v>8</v>
      </c>
      <c r="N1900" t="s">
        <v>80</v>
      </c>
      <c r="O1900" t="s">
        <v>81</v>
      </c>
      <c r="P1900" t="s">
        <v>12</v>
      </c>
      <c r="Q1900" t="s">
        <v>13</v>
      </c>
      <c r="R1900" t="s">
        <v>13</v>
      </c>
      <c r="S1900" t="s">
        <v>144</v>
      </c>
      <c r="T1900" s="2">
        <f>MASTER[[#This Row],[CANTIDAD]]*MASTER[[#This Row],[PRECIO DE VENTA]]</f>
        <v>1862</v>
      </c>
      <c r="U1900" s="2">
        <f>MASTER[[#This Row],[CANTIDAD]]*MASTER[[#This Row],[COSTO UNITARIO]]</f>
        <v>394</v>
      </c>
      <c r="V1900" s="2">
        <f>MASTER[[#This Row],[MONTO VENDIDO]]-MASTER[[#This Row],[COSTO DE VENTA]]</f>
        <v>1468</v>
      </c>
    </row>
    <row r="1901" spans="1:22" x14ac:dyDescent="0.3">
      <c r="A1901">
        <v>34036</v>
      </c>
      <c r="B1901">
        <v>1</v>
      </c>
      <c r="C1901" t="s">
        <v>107</v>
      </c>
      <c r="D1901" t="s">
        <v>108</v>
      </c>
      <c r="E1901" s="1">
        <v>44058</v>
      </c>
      <c r="F1901">
        <v>1</v>
      </c>
      <c r="G1901" t="s">
        <v>27</v>
      </c>
      <c r="H1901" t="s">
        <v>28</v>
      </c>
      <c r="I1901" s="3">
        <v>1333</v>
      </c>
      <c r="J1901" s="3">
        <v>1333</v>
      </c>
      <c r="K1901" s="3">
        <v>380</v>
      </c>
      <c r="L1901" t="s">
        <v>98</v>
      </c>
      <c r="M1901">
        <v>5</v>
      </c>
      <c r="N1901" t="s">
        <v>85</v>
      </c>
      <c r="O1901" t="s">
        <v>81</v>
      </c>
      <c r="P1901" t="s">
        <v>12</v>
      </c>
      <c r="Q1901" t="s">
        <v>13</v>
      </c>
      <c r="R1901" t="s">
        <v>13</v>
      </c>
      <c r="S1901" t="s">
        <v>144</v>
      </c>
      <c r="T1901" s="2">
        <f>MASTER[[#This Row],[CANTIDAD]]*MASTER[[#This Row],[PRECIO DE VENTA]]</f>
        <v>1333</v>
      </c>
      <c r="U1901" s="2">
        <f>MASTER[[#This Row],[CANTIDAD]]*MASTER[[#This Row],[COSTO UNITARIO]]</f>
        <v>380</v>
      </c>
      <c r="V1901" s="2">
        <f>MASTER[[#This Row],[MONTO VENDIDO]]-MASTER[[#This Row],[COSTO DE VENTA]]</f>
        <v>953</v>
      </c>
    </row>
    <row r="1902" spans="1:22" x14ac:dyDescent="0.3">
      <c r="A1902">
        <v>34045</v>
      </c>
      <c r="B1902">
        <v>1</v>
      </c>
      <c r="C1902" t="s">
        <v>92</v>
      </c>
      <c r="D1902" t="s">
        <v>93</v>
      </c>
      <c r="E1902" s="1">
        <v>44058</v>
      </c>
      <c r="F1902">
        <v>1</v>
      </c>
      <c r="G1902" t="s">
        <v>33</v>
      </c>
      <c r="H1902" t="s">
        <v>34</v>
      </c>
      <c r="I1902" s="3">
        <v>1681</v>
      </c>
      <c r="J1902" s="3">
        <v>1681</v>
      </c>
      <c r="K1902" s="3">
        <v>396</v>
      </c>
      <c r="L1902" t="s">
        <v>9</v>
      </c>
      <c r="M1902">
        <v>15</v>
      </c>
      <c r="N1902" t="s">
        <v>88</v>
      </c>
      <c r="O1902" t="s">
        <v>81</v>
      </c>
      <c r="P1902" t="s">
        <v>18</v>
      </c>
      <c r="Q1902" t="s">
        <v>19</v>
      </c>
      <c r="R1902" t="s">
        <v>138</v>
      </c>
      <c r="S1902" t="s">
        <v>144</v>
      </c>
      <c r="T1902" s="2">
        <f>MASTER[[#This Row],[CANTIDAD]]*MASTER[[#This Row],[PRECIO DE VENTA]]</f>
        <v>1681</v>
      </c>
      <c r="U1902" s="2">
        <f>MASTER[[#This Row],[CANTIDAD]]*MASTER[[#This Row],[COSTO UNITARIO]]</f>
        <v>396</v>
      </c>
      <c r="V1902" s="2">
        <f>MASTER[[#This Row],[MONTO VENDIDO]]-MASTER[[#This Row],[COSTO DE VENTA]]</f>
        <v>1285</v>
      </c>
    </row>
    <row r="1903" spans="1:22" x14ac:dyDescent="0.3">
      <c r="A1903">
        <v>34048</v>
      </c>
      <c r="B1903">
        <v>1</v>
      </c>
      <c r="C1903" t="s">
        <v>118</v>
      </c>
      <c r="D1903" t="s">
        <v>119</v>
      </c>
      <c r="E1903" s="1">
        <v>44058</v>
      </c>
      <c r="F1903">
        <v>1</v>
      </c>
      <c r="G1903" t="s">
        <v>7</v>
      </c>
      <c r="H1903" t="s">
        <v>8</v>
      </c>
      <c r="I1903" s="3">
        <v>900</v>
      </c>
      <c r="J1903" s="3">
        <v>900</v>
      </c>
      <c r="K1903" s="3">
        <v>424</v>
      </c>
      <c r="L1903" t="s">
        <v>120</v>
      </c>
      <c r="M1903">
        <v>15</v>
      </c>
      <c r="N1903" t="s">
        <v>88</v>
      </c>
      <c r="O1903" t="s">
        <v>81</v>
      </c>
      <c r="P1903" t="s">
        <v>18</v>
      </c>
      <c r="Q1903" t="s">
        <v>19</v>
      </c>
      <c r="R1903" t="s">
        <v>138</v>
      </c>
      <c r="S1903" t="s">
        <v>144</v>
      </c>
      <c r="T1903" s="2">
        <f>MASTER[[#This Row],[CANTIDAD]]*MASTER[[#This Row],[PRECIO DE VENTA]]</f>
        <v>900</v>
      </c>
      <c r="U1903" s="2">
        <f>MASTER[[#This Row],[CANTIDAD]]*MASTER[[#This Row],[COSTO UNITARIO]]</f>
        <v>424</v>
      </c>
      <c r="V1903" s="2">
        <f>MASTER[[#This Row],[MONTO VENDIDO]]-MASTER[[#This Row],[COSTO DE VENTA]]</f>
        <v>476</v>
      </c>
    </row>
    <row r="1904" spans="1:22" x14ac:dyDescent="0.3">
      <c r="A1904">
        <v>34049</v>
      </c>
      <c r="B1904">
        <v>1</v>
      </c>
      <c r="C1904" t="s">
        <v>111</v>
      </c>
      <c r="D1904" t="s">
        <v>112</v>
      </c>
      <c r="E1904" s="1">
        <v>44058</v>
      </c>
      <c r="F1904">
        <v>1</v>
      </c>
      <c r="G1904" t="s">
        <v>63</v>
      </c>
      <c r="H1904" t="s">
        <v>64</v>
      </c>
      <c r="I1904" s="3">
        <v>1799</v>
      </c>
      <c r="J1904" s="3">
        <v>1799</v>
      </c>
      <c r="K1904" s="3">
        <v>434</v>
      </c>
      <c r="L1904" t="s">
        <v>113</v>
      </c>
      <c r="M1904">
        <v>9</v>
      </c>
      <c r="N1904" t="s">
        <v>76</v>
      </c>
      <c r="O1904" t="s">
        <v>70</v>
      </c>
      <c r="P1904" t="s">
        <v>12</v>
      </c>
      <c r="Q1904" t="s">
        <v>13</v>
      </c>
      <c r="R1904" t="s">
        <v>13</v>
      </c>
      <c r="S1904" t="s">
        <v>144</v>
      </c>
      <c r="T1904" s="2">
        <f>MASTER[[#This Row],[CANTIDAD]]*MASTER[[#This Row],[PRECIO DE VENTA]]</f>
        <v>1799</v>
      </c>
      <c r="U1904" s="2">
        <f>MASTER[[#This Row],[CANTIDAD]]*MASTER[[#This Row],[COSTO UNITARIO]]</f>
        <v>434</v>
      </c>
      <c r="V1904" s="2">
        <f>MASTER[[#This Row],[MONTO VENDIDO]]-MASTER[[#This Row],[COSTO DE VENTA]]</f>
        <v>1365</v>
      </c>
    </row>
    <row r="1905" spans="1:22" x14ac:dyDescent="0.3">
      <c r="A1905">
        <v>34082</v>
      </c>
      <c r="B1905">
        <v>1</v>
      </c>
      <c r="C1905" t="s">
        <v>105</v>
      </c>
      <c r="D1905" t="s">
        <v>106</v>
      </c>
      <c r="E1905" s="1">
        <v>44059</v>
      </c>
      <c r="F1905">
        <v>1</v>
      </c>
      <c r="G1905" t="s">
        <v>20</v>
      </c>
      <c r="H1905" t="s">
        <v>21</v>
      </c>
      <c r="I1905" s="3">
        <v>1865</v>
      </c>
      <c r="J1905" s="3">
        <v>1865</v>
      </c>
      <c r="K1905" s="3">
        <v>459</v>
      </c>
      <c r="L1905" t="s">
        <v>98</v>
      </c>
      <c r="M1905">
        <v>4</v>
      </c>
      <c r="N1905" t="s">
        <v>82</v>
      </c>
      <c r="O1905" t="s">
        <v>81</v>
      </c>
      <c r="P1905" t="s">
        <v>71</v>
      </c>
      <c r="Q1905" t="s">
        <v>72</v>
      </c>
      <c r="R1905" t="s">
        <v>139</v>
      </c>
      <c r="S1905" t="s">
        <v>144</v>
      </c>
      <c r="T1905" s="2">
        <f>MASTER[[#This Row],[CANTIDAD]]*MASTER[[#This Row],[PRECIO DE VENTA]]</f>
        <v>1865</v>
      </c>
      <c r="U1905" s="2">
        <f>MASTER[[#This Row],[CANTIDAD]]*MASTER[[#This Row],[COSTO UNITARIO]]</f>
        <v>459</v>
      </c>
      <c r="V1905" s="2">
        <f>MASTER[[#This Row],[MONTO VENDIDO]]-MASTER[[#This Row],[COSTO DE VENTA]]</f>
        <v>1406</v>
      </c>
    </row>
    <row r="1906" spans="1:22" x14ac:dyDescent="0.3">
      <c r="A1906">
        <v>34106</v>
      </c>
      <c r="B1906">
        <v>1</v>
      </c>
      <c r="C1906" t="s">
        <v>96</v>
      </c>
      <c r="D1906" t="s">
        <v>97</v>
      </c>
      <c r="E1906" s="1">
        <v>44059</v>
      </c>
      <c r="F1906">
        <v>1</v>
      </c>
      <c r="G1906" t="s">
        <v>47</v>
      </c>
      <c r="H1906" t="s">
        <v>48</v>
      </c>
      <c r="I1906" s="3">
        <v>1272</v>
      </c>
      <c r="J1906" s="3">
        <v>1272</v>
      </c>
      <c r="K1906" s="3">
        <v>397</v>
      </c>
      <c r="L1906" t="s">
        <v>98</v>
      </c>
      <c r="M1906">
        <v>10</v>
      </c>
      <c r="N1906" t="s">
        <v>83</v>
      </c>
      <c r="O1906" t="s">
        <v>81</v>
      </c>
      <c r="P1906" t="s">
        <v>12</v>
      </c>
      <c r="Q1906" t="s">
        <v>13</v>
      </c>
      <c r="R1906" t="s">
        <v>13</v>
      </c>
      <c r="S1906" t="s">
        <v>144</v>
      </c>
      <c r="T1906" s="2">
        <f>MASTER[[#This Row],[CANTIDAD]]*MASTER[[#This Row],[PRECIO DE VENTA]]</f>
        <v>1272</v>
      </c>
      <c r="U1906" s="2">
        <f>MASTER[[#This Row],[CANTIDAD]]*MASTER[[#This Row],[COSTO UNITARIO]]</f>
        <v>397</v>
      </c>
      <c r="V1906" s="2">
        <f>MASTER[[#This Row],[MONTO VENDIDO]]-MASTER[[#This Row],[COSTO DE VENTA]]</f>
        <v>875</v>
      </c>
    </row>
    <row r="1907" spans="1:22" x14ac:dyDescent="0.3">
      <c r="A1907">
        <v>34134</v>
      </c>
      <c r="B1907">
        <v>1</v>
      </c>
      <c r="C1907" t="s">
        <v>99</v>
      </c>
      <c r="D1907" t="s">
        <v>100</v>
      </c>
      <c r="E1907" s="1">
        <v>44059</v>
      </c>
      <c r="F1907">
        <v>1</v>
      </c>
      <c r="G1907" t="s">
        <v>53</v>
      </c>
      <c r="H1907" t="s">
        <v>54</v>
      </c>
      <c r="I1907" s="3">
        <v>1459</v>
      </c>
      <c r="J1907" s="3">
        <v>1459</v>
      </c>
      <c r="K1907" s="3">
        <v>386</v>
      </c>
      <c r="L1907" t="s">
        <v>98</v>
      </c>
      <c r="M1907">
        <v>19</v>
      </c>
      <c r="N1907" t="s">
        <v>89</v>
      </c>
      <c r="O1907" t="s">
        <v>81</v>
      </c>
      <c r="P1907" t="s">
        <v>15</v>
      </c>
      <c r="Q1907" t="s">
        <v>16</v>
      </c>
      <c r="R1907" t="s">
        <v>16</v>
      </c>
      <c r="S1907" t="s">
        <v>144</v>
      </c>
      <c r="T1907" s="2">
        <f>MASTER[[#This Row],[CANTIDAD]]*MASTER[[#This Row],[PRECIO DE VENTA]]</f>
        <v>1459</v>
      </c>
      <c r="U1907" s="2">
        <f>MASTER[[#This Row],[CANTIDAD]]*MASTER[[#This Row],[COSTO UNITARIO]]</f>
        <v>386</v>
      </c>
      <c r="V1907" s="2">
        <f>MASTER[[#This Row],[MONTO VENDIDO]]-MASTER[[#This Row],[COSTO DE VENTA]]</f>
        <v>1073</v>
      </c>
    </row>
    <row r="1908" spans="1:22" x14ac:dyDescent="0.3">
      <c r="A1908">
        <v>34141</v>
      </c>
      <c r="B1908">
        <v>1</v>
      </c>
      <c r="C1908" t="s">
        <v>105</v>
      </c>
      <c r="D1908" t="s">
        <v>106</v>
      </c>
      <c r="E1908" s="1">
        <v>44059</v>
      </c>
      <c r="F1908">
        <v>1</v>
      </c>
      <c r="G1908" t="s">
        <v>53</v>
      </c>
      <c r="H1908" t="s">
        <v>54</v>
      </c>
      <c r="I1908" s="3">
        <v>1865</v>
      </c>
      <c r="J1908" s="3">
        <v>1865</v>
      </c>
      <c r="K1908" s="3">
        <v>459</v>
      </c>
      <c r="L1908" t="s">
        <v>98</v>
      </c>
      <c r="M1908">
        <v>10</v>
      </c>
      <c r="N1908" t="s">
        <v>83</v>
      </c>
      <c r="O1908" t="s">
        <v>81</v>
      </c>
      <c r="P1908" t="s">
        <v>12</v>
      </c>
      <c r="Q1908" t="s">
        <v>13</v>
      </c>
      <c r="R1908" t="s">
        <v>13</v>
      </c>
      <c r="S1908" t="s">
        <v>144</v>
      </c>
      <c r="T1908" s="2">
        <f>MASTER[[#This Row],[CANTIDAD]]*MASTER[[#This Row],[PRECIO DE VENTA]]</f>
        <v>1865</v>
      </c>
      <c r="U1908" s="2">
        <f>MASTER[[#This Row],[CANTIDAD]]*MASTER[[#This Row],[COSTO UNITARIO]]</f>
        <v>459</v>
      </c>
      <c r="V1908" s="2">
        <f>MASTER[[#This Row],[MONTO VENDIDO]]-MASTER[[#This Row],[COSTO DE VENTA]]</f>
        <v>1406</v>
      </c>
    </row>
    <row r="1909" spans="1:22" x14ac:dyDescent="0.3">
      <c r="A1909">
        <v>34143</v>
      </c>
      <c r="B1909">
        <v>1</v>
      </c>
      <c r="C1909" t="s">
        <v>118</v>
      </c>
      <c r="D1909" t="s">
        <v>119</v>
      </c>
      <c r="E1909" s="1">
        <v>44059</v>
      </c>
      <c r="F1909">
        <v>1</v>
      </c>
      <c r="G1909" t="s">
        <v>55</v>
      </c>
      <c r="H1909" t="s">
        <v>56</v>
      </c>
      <c r="I1909" s="3">
        <v>900</v>
      </c>
      <c r="J1909" s="3">
        <v>900</v>
      </c>
      <c r="K1909" s="3">
        <v>424</v>
      </c>
      <c r="L1909" t="s">
        <v>120</v>
      </c>
      <c r="M1909">
        <v>2</v>
      </c>
      <c r="N1909" t="s">
        <v>86</v>
      </c>
      <c r="O1909" t="s">
        <v>81</v>
      </c>
      <c r="P1909" t="s">
        <v>71</v>
      </c>
      <c r="Q1909" t="s">
        <v>72</v>
      </c>
      <c r="R1909" t="s">
        <v>139</v>
      </c>
      <c r="S1909" t="s">
        <v>144</v>
      </c>
      <c r="T1909" s="2">
        <f>MASTER[[#This Row],[CANTIDAD]]*MASTER[[#This Row],[PRECIO DE VENTA]]</f>
        <v>900</v>
      </c>
      <c r="U1909" s="2">
        <f>MASTER[[#This Row],[CANTIDAD]]*MASTER[[#This Row],[COSTO UNITARIO]]</f>
        <v>424</v>
      </c>
      <c r="V1909" s="2">
        <f>MASTER[[#This Row],[MONTO VENDIDO]]-MASTER[[#This Row],[COSTO DE VENTA]]</f>
        <v>476</v>
      </c>
    </row>
    <row r="1910" spans="1:22" x14ac:dyDescent="0.3">
      <c r="A1910">
        <v>34155</v>
      </c>
      <c r="B1910">
        <v>1</v>
      </c>
      <c r="C1910" t="s">
        <v>92</v>
      </c>
      <c r="D1910" t="s">
        <v>93</v>
      </c>
      <c r="E1910" s="1">
        <v>44059</v>
      </c>
      <c r="F1910">
        <v>1</v>
      </c>
      <c r="G1910" t="s">
        <v>63</v>
      </c>
      <c r="H1910" t="s">
        <v>64</v>
      </c>
      <c r="I1910" s="3">
        <v>1681</v>
      </c>
      <c r="J1910" s="3">
        <v>1681</v>
      </c>
      <c r="K1910" s="3">
        <v>396</v>
      </c>
      <c r="L1910" t="s">
        <v>9</v>
      </c>
      <c r="M1910">
        <v>5</v>
      </c>
      <c r="N1910" t="s">
        <v>85</v>
      </c>
      <c r="O1910" t="s">
        <v>81</v>
      </c>
      <c r="P1910" t="s">
        <v>12</v>
      </c>
      <c r="Q1910" t="s">
        <v>13</v>
      </c>
      <c r="R1910" t="s">
        <v>13</v>
      </c>
      <c r="S1910" t="s">
        <v>144</v>
      </c>
      <c r="T1910" s="2">
        <f>MASTER[[#This Row],[CANTIDAD]]*MASTER[[#This Row],[PRECIO DE VENTA]]</f>
        <v>1681</v>
      </c>
      <c r="U1910" s="2">
        <f>MASTER[[#This Row],[CANTIDAD]]*MASTER[[#This Row],[COSTO UNITARIO]]</f>
        <v>396</v>
      </c>
      <c r="V1910" s="2">
        <f>MASTER[[#This Row],[MONTO VENDIDO]]-MASTER[[#This Row],[COSTO DE VENTA]]</f>
        <v>1285</v>
      </c>
    </row>
    <row r="1911" spans="1:22" x14ac:dyDescent="0.3">
      <c r="A1911">
        <v>34164</v>
      </c>
      <c r="B1911">
        <v>1</v>
      </c>
      <c r="C1911" t="s">
        <v>114</v>
      </c>
      <c r="D1911" t="s">
        <v>115</v>
      </c>
      <c r="E1911" s="1">
        <v>44060</v>
      </c>
      <c r="F1911">
        <v>1</v>
      </c>
      <c r="G1911" t="s">
        <v>47</v>
      </c>
      <c r="H1911" t="s">
        <v>48</v>
      </c>
      <c r="I1911" s="3">
        <v>1862</v>
      </c>
      <c r="J1911" s="3">
        <v>1862</v>
      </c>
      <c r="K1911" s="3">
        <v>394</v>
      </c>
      <c r="L1911" t="s">
        <v>113</v>
      </c>
      <c r="M1911">
        <v>7</v>
      </c>
      <c r="N1911" t="s">
        <v>84</v>
      </c>
      <c r="O1911" t="s">
        <v>81</v>
      </c>
      <c r="P1911" t="s">
        <v>12</v>
      </c>
      <c r="Q1911" t="s">
        <v>13</v>
      </c>
      <c r="R1911" t="s">
        <v>13</v>
      </c>
      <c r="S1911" t="s">
        <v>144</v>
      </c>
      <c r="T1911" s="2">
        <f>MASTER[[#This Row],[CANTIDAD]]*MASTER[[#This Row],[PRECIO DE VENTA]]</f>
        <v>1862</v>
      </c>
      <c r="U1911" s="2">
        <f>MASTER[[#This Row],[CANTIDAD]]*MASTER[[#This Row],[COSTO UNITARIO]]</f>
        <v>394</v>
      </c>
      <c r="V1911" s="2">
        <f>MASTER[[#This Row],[MONTO VENDIDO]]-MASTER[[#This Row],[COSTO DE VENTA]]</f>
        <v>1468</v>
      </c>
    </row>
    <row r="1912" spans="1:22" x14ac:dyDescent="0.3">
      <c r="A1912">
        <v>34174</v>
      </c>
      <c r="B1912">
        <v>1</v>
      </c>
      <c r="C1912" t="s">
        <v>118</v>
      </c>
      <c r="D1912" t="s">
        <v>119</v>
      </c>
      <c r="E1912" s="1">
        <v>44060</v>
      </c>
      <c r="F1912">
        <v>1</v>
      </c>
      <c r="G1912" t="s">
        <v>22</v>
      </c>
      <c r="H1912" t="s">
        <v>23</v>
      </c>
      <c r="I1912" s="3">
        <v>801</v>
      </c>
      <c r="J1912" s="3">
        <v>801</v>
      </c>
      <c r="K1912" s="3">
        <v>424</v>
      </c>
      <c r="L1912" t="s">
        <v>120</v>
      </c>
      <c r="M1912">
        <v>12</v>
      </c>
      <c r="N1912" t="s">
        <v>26</v>
      </c>
      <c r="O1912" t="s">
        <v>11</v>
      </c>
      <c r="P1912" t="s">
        <v>12</v>
      </c>
      <c r="Q1912" t="s">
        <v>13</v>
      </c>
      <c r="R1912" t="s">
        <v>13</v>
      </c>
      <c r="S1912" t="s">
        <v>144</v>
      </c>
      <c r="T1912" s="2">
        <f>MASTER[[#This Row],[CANTIDAD]]*MASTER[[#This Row],[PRECIO DE VENTA]]</f>
        <v>801</v>
      </c>
      <c r="U1912" s="2">
        <f>MASTER[[#This Row],[CANTIDAD]]*MASTER[[#This Row],[COSTO UNITARIO]]</f>
        <v>424</v>
      </c>
      <c r="V1912" s="2">
        <f>MASTER[[#This Row],[MONTO VENDIDO]]-MASTER[[#This Row],[COSTO DE VENTA]]</f>
        <v>377</v>
      </c>
    </row>
    <row r="1913" spans="1:22" x14ac:dyDescent="0.3">
      <c r="A1913">
        <v>34191</v>
      </c>
      <c r="B1913">
        <v>2</v>
      </c>
      <c r="C1913" t="s">
        <v>92</v>
      </c>
      <c r="D1913" t="s">
        <v>93</v>
      </c>
      <c r="E1913" s="1">
        <v>44060</v>
      </c>
      <c r="F1913">
        <v>1</v>
      </c>
      <c r="G1913" t="s">
        <v>20</v>
      </c>
      <c r="H1913" t="s">
        <v>21</v>
      </c>
      <c r="I1913" s="3">
        <v>1479</v>
      </c>
      <c r="J1913" s="3">
        <v>1479</v>
      </c>
      <c r="K1913" s="3">
        <v>396</v>
      </c>
      <c r="L1913" t="s">
        <v>9</v>
      </c>
      <c r="M1913">
        <v>17</v>
      </c>
      <c r="N1913" t="s">
        <v>14</v>
      </c>
      <c r="O1913" t="s">
        <v>11</v>
      </c>
      <c r="P1913" t="s">
        <v>15</v>
      </c>
      <c r="Q1913" t="s">
        <v>16</v>
      </c>
      <c r="R1913" t="s">
        <v>16</v>
      </c>
      <c r="S1913" t="s">
        <v>144</v>
      </c>
      <c r="T1913" s="2">
        <f>MASTER[[#This Row],[CANTIDAD]]*MASTER[[#This Row],[PRECIO DE VENTA]]</f>
        <v>1479</v>
      </c>
      <c r="U1913" s="2">
        <f>MASTER[[#This Row],[CANTIDAD]]*MASTER[[#This Row],[COSTO UNITARIO]]</f>
        <v>396</v>
      </c>
      <c r="V1913" s="2">
        <f>MASTER[[#This Row],[MONTO VENDIDO]]-MASTER[[#This Row],[COSTO DE VENTA]]</f>
        <v>1083</v>
      </c>
    </row>
    <row r="1914" spans="1:22" x14ac:dyDescent="0.3">
      <c r="A1914">
        <v>34191</v>
      </c>
      <c r="B1914">
        <v>1</v>
      </c>
      <c r="C1914" t="s">
        <v>114</v>
      </c>
      <c r="D1914" t="s">
        <v>115</v>
      </c>
      <c r="E1914" s="1">
        <v>44060</v>
      </c>
      <c r="F1914">
        <v>1</v>
      </c>
      <c r="G1914" t="s">
        <v>43</v>
      </c>
      <c r="H1914" t="s">
        <v>44</v>
      </c>
      <c r="I1914" s="3">
        <v>1583</v>
      </c>
      <c r="J1914" s="3">
        <v>1583</v>
      </c>
      <c r="K1914" s="3">
        <v>394</v>
      </c>
      <c r="L1914" t="s">
        <v>113</v>
      </c>
      <c r="M1914">
        <v>17</v>
      </c>
      <c r="N1914" t="s">
        <v>14</v>
      </c>
      <c r="O1914" t="s">
        <v>11</v>
      </c>
      <c r="P1914" t="s">
        <v>15</v>
      </c>
      <c r="Q1914" t="s">
        <v>16</v>
      </c>
      <c r="R1914" t="s">
        <v>16</v>
      </c>
      <c r="S1914" t="s">
        <v>144</v>
      </c>
      <c r="T1914" s="2">
        <f>MASTER[[#This Row],[CANTIDAD]]*MASTER[[#This Row],[PRECIO DE VENTA]]</f>
        <v>1583</v>
      </c>
      <c r="U1914" s="2">
        <f>MASTER[[#This Row],[CANTIDAD]]*MASTER[[#This Row],[COSTO UNITARIO]]</f>
        <v>394</v>
      </c>
      <c r="V1914" s="2">
        <f>MASTER[[#This Row],[MONTO VENDIDO]]-MASTER[[#This Row],[COSTO DE VENTA]]</f>
        <v>1189</v>
      </c>
    </row>
    <row r="1915" spans="1:22" x14ac:dyDescent="0.3">
      <c r="A1915">
        <v>34207</v>
      </c>
      <c r="B1915">
        <v>1</v>
      </c>
      <c r="C1915" t="s">
        <v>90</v>
      </c>
      <c r="D1915" t="s">
        <v>91</v>
      </c>
      <c r="E1915" s="1">
        <v>44060</v>
      </c>
      <c r="F1915">
        <v>1</v>
      </c>
      <c r="G1915" t="s">
        <v>33</v>
      </c>
      <c r="H1915" t="s">
        <v>34</v>
      </c>
      <c r="I1915" s="3">
        <v>1660</v>
      </c>
      <c r="J1915" s="3">
        <v>1660</v>
      </c>
      <c r="K1915" s="3">
        <v>420</v>
      </c>
      <c r="L1915" t="s">
        <v>9</v>
      </c>
      <c r="M1915">
        <v>12</v>
      </c>
      <c r="N1915" t="s">
        <v>26</v>
      </c>
      <c r="O1915" t="s">
        <v>11</v>
      </c>
      <c r="P1915" t="s">
        <v>12</v>
      </c>
      <c r="Q1915" t="s">
        <v>13</v>
      </c>
      <c r="R1915" t="s">
        <v>13</v>
      </c>
      <c r="S1915" t="s">
        <v>144</v>
      </c>
      <c r="T1915" s="2">
        <f>MASTER[[#This Row],[CANTIDAD]]*MASTER[[#This Row],[PRECIO DE VENTA]]</f>
        <v>1660</v>
      </c>
      <c r="U1915" s="2">
        <f>MASTER[[#This Row],[CANTIDAD]]*MASTER[[#This Row],[COSTO UNITARIO]]</f>
        <v>420</v>
      </c>
      <c r="V1915" s="2">
        <f>MASTER[[#This Row],[MONTO VENDIDO]]-MASTER[[#This Row],[COSTO DE VENTA]]</f>
        <v>1240</v>
      </c>
    </row>
    <row r="1916" spans="1:22" x14ac:dyDescent="0.3">
      <c r="A1916">
        <v>34210</v>
      </c>
      <c r="B1916">
        <v>1</v>
      </c>
      <c r="C1916" t="s">
        <v>96</v>
      </c>
      <c r="D1916" t="s">
        <v>97</v>
      </c>
      <c r="E1916" s="1">
        <v>44060</v>
      </c>
      <c r="F1916">
        <v>1</v>
      </c>
      <c r="G1916" t="s">
        <v>35</v>
      </c>
      <c r="H1916" t="s">
        <v>36</v>
      </c>
      <c r="I1916" s="3">
        <v>1196</v>
      </c>
      <c r="J1916" s="3">
        <v>1196</v>
      </c>
      <c r="K1916" s="3">
        <v>397</v>
      </c>
      <c r="L1916" t="s">
        <v>98</v>
      </c>
      <c r="M1916">
        <v>12</v>
      </c>
      <c r="N1916" t="s">
        <v>26</v>
      </c>
      <c r="O1916" t="s">
        <v>11</v>
      </c>
      <c r="P1916" t="s">
        <v>12</v>
      </c>
      <c r="Q1916" t="s">
        <v>13</v>
      </c>
      <c r="R1916" t="s">
        <v>13</v>
      </c>
      <c r="S1916" t="s">
        <v>144</v>
      </c>
      <c r="T1916" s="2">
        <f>MASTER[[#This Row],[CANTIDAD]]*MASTER[[#This Row],[PRECIO DE VENTA]]</f>
        <v>1196</v>
      </c>
      <c r="U1916" s="2">
        <f>MASTER[[#This Row],[CANTIDAD]]*MASTER[[#This Row],[COSTO UNITARIO]]</f>
        <v>397</v>
      </c>
      <c r="V1916" s="2">
        <f>MASTER[[#This Row],[MONTO VENDIDO]]-MASTER[[#This Row],[COSTO DE VENTA]]</f>
        <v>799</v>
      </c>
    </row>
    <row r="1917" spans="1:22" x14ac:dyDescent="0.3">
      <c r="A1917">
        <v>34216</v>
      </c>
      <c r="B1917">
        <v>1</v>
      </c>
      <c r="C1917" t="s">
        <v>105</v>
      </c>
      <c r="D1917" t="s">
        <v>106</v>
      </c>
      <c r="E1917" s="1">
        <v>44060</v>
      </c>
      <c r="F1917">
        <v>4</v>
      </c>
      <c r="G1917" t="s">
        <v>20</v>
      </c>
      <c r="H1917" t="s">
        <v>21</v>
      </c>
      <c r="I1917" s="3">
        <v>1865</v>
      </c>
      <c r="J1917" s="3">
        <v>1865</v>
      </c>
      <c r="K1917" s="3">
        <v>459</v>
      </c>
      <c r="L1917" t="s">
        <v>98</v>
      </c>
      <c r="M1917">
        <v>7</v>
      </c>
      <c r="N1917" t="s">
        <v>84</v>
      </c>
      <c r="O1917" t="s">
        <v>81</v>
      </c>
      <c r="P1917" t="s">
        <v>12</v>
      </c>
      <c r="Q1917" t="s">
        <v>13</v>
      </c>
      <c r="R1917" t="s">
        <v>13</v>
      </c>
      <c r="S1917" t="s">
        <v>144</v>
      </c>
      <c r="T1917" s="2">
        <f>MASTER[[#This Row],[CANTIDAD]]*MASTER[[#This Row],[PRECIO DE VENTA]]</f>
        <v>7460</v>
      </c>
      <c r="U1917" s="2">
        <f>MASTER[[#This Row],[CANTIDAD]]*MASTER[[#This Row],[COSTO UNITARIO]]</f>
        <v>1836</v>
      </c>
      <c r="V1917" s="2">
        <f>MASTER[[#This Row],[MONTO VENDIDO]]-MASTER[[#This Row],[COSTO DE VENTA]]</f>
        <v>5624</v>
      </c>
    </row>
    <row r="1918" spans="1:22" x14ac:dyDescent="0.3">
      <c r="A1918">
        <v>34225</v>
      </c>
      <c r="B1918">
        <v>1</v>
      </c>
      <c r="C1918" t="s">
        <v>99</v>
      </c>
      <c r="D1918" t="s">
        <v>100</v>
      </c>
      <c r="E1918" s="1">
        <v>44060</v>
      </c>
      <c r="F1918">
        <v>1</v>
      </c>
      <c r="G1918" t="s">
        <v>29</v>
      </c>
      <c r="H1918" t="s">
        <v>30</v>
      </c>
      <c r="I1918" s="3">
        <v>1678</v>
      </c>
      <c r="J1918" s="3">
        <v>1678</v>
      </c>
      <c r="K1918" s="3">
        <v>386</v>
      </c>
      <c r="L1918" t="s">
        <v>98</v>
      </c>
      <c r="M1918">
        <v>13</v>
      </c>
      <c r="N1918" t="s">
        <v>78</v>
      </c>
      <c r="O1918" t="s">
        <v>70</v>
      </c>
      <c r="P1918" t="s">
        <v>18</v>
      </c>
      <c r="Q1918" t="s">
        <v>19</v>
      </c>
      <c r="R1918" t="s">
        <v>138</v>
      </c>
      <c r="S1918" t="s">
        <v>144</v>
      </c>
      <c r="T1918" s="2">
        <f>MASTER[[#This Row],[CANTIDAD]]*MASTER[[#This Row],[PRECIO DE VENTA]]</f>
        <v>1678</v>
      </c>
      <c r="U1918" s="2">
        <f>MASTER[[#This Row],[CANTIDAD]]*MASTER[[#This Row],[COSTO UNITARIO]]</f>
        <v>386</v>
      </c>
      <c r="V1918" s="2">
        <f>MASTER[[#This Row],[MONTO VENDIDO]]-MASTER[[#This Row],[COSTO DE VENTA]]</f>
        <v>1292</v>
      </c>
    </row>
    <row r="1919" spans="1:22" x14ac:dyDescent="0.3">
      <c r="A1919">
        <v>34250</v>
      </c>
      <c r="B1919">
        <v>1</v>
      </c>
      <c r="C1919" t="s">
        <v>101</v>
      </c>
      <c r="D1919" t="s">
        <v>102</v>
      </c>
      <c r="E1919" s="1">
        <v>44061</v>
      </c>
      <c r="F1919">
        <v>1</v>
      </c>
      <c r="G1919" t="s">
        <v>59</v>
      </c>
      <c r="H1919" t="s">
        <v>60</v>
      </c>
      <c r="I1919" s="3">
        <v>1212</v>
      </c>
      <c r="J1919" s="3">
        <v>1212</v>
      </c>
      <c r="K1919" s="3">
        <v>442</v>
      </c>
      <c r="L1919" t="s">
        <v>98</v>
      </c>
      <c r="M1919">
        <v>7</v>
      </c>
      <c r="N1919" t="s">
        <v>84</v>
      </c>
      <c r="O1919" t="s">
        <v>81</v>
      </c>
      <c r="P1919" t="s">
        <v>12</v>
      </c>
      <c r="Q1919" t="s">
        <v>13</v>
      </c>
      <c r="R1919" t="s">
        <v>13</v>
      </c>
      <c r="S1919" t="s">
        <v>144</v>
      </c>
      <c r="T1919" s="2">
        <f>MASTER[[#This Row],[CANTIDAD]]*MASTER[[#This Row],[PRECIO DE VENTA]]</f>
        <v>1212</v>
      </c>
      <c r="U1919" s="2">
        <f>MASTER[[#This Row],[CANTIDAD]]*MASTER[[#This Row],[COSTO UNITARIO]]</f>
        <v>442</v>
      </c>
      <c r="V1919" s="2">
        <f>MASTER[[#This Row],[MONTO VENDIDO]]-MASTER[[#This Row],[COSTO DE VENTA]]</f>
        <v>770</v>
      </c>
    </row>
    <row r="1920" spans="1:22" x14ac:dyDescent="0.3">
      <c r="A1920">
        <v>34260</v>
      </c>
      <c r="B1920">
        <v>1</v>
      </c>
      <c r="C1920" t="s">
        <v>107</v>
      </c>
      <c r="D1920" t="s">
        <v>108</v>
      </c>
      <c r="E1920" s="1">
        <v>44061</v>
      </c>
      <c r="F1920">
        <v>1</v>
      </c>
      <c r="G1920" t="s">
        <v>61</v>
      </c>
      <c r="H1920" t="s">
        <v>62</v>
      </c>
      <c r="I1920" s="3">
        <v>1333</v>
      </c>
      <c r="J1920" s="3">
        <v>1333</v>
      </c>
      <c r="K1920" s="3">
        <v>380</v>
      </c>
      <c r="L1920" t="s">
        <v>98</v>
      </c>
      <c r="M1920">
        <v>14</v>
      </c>
      <c r="N1920" t="s">
        <v>87</v>
      </c>
      <c r="O1920" t="s">
        <v>81</v>
      </c>
      <c r="P1920" t="s">
        <v>18</v>
      </c>
      <c r="Q1920" t="s">
        <v>19</v>
      </c>
      <c r="R1920" t="s">
        <v>138</v>
      </c>
      <c r="S1920" t="s">
        <v>144</v>
      </c>
      <c r="T1920" s="2">
        <f>MASTER[[#This Row],[CANTIDAD]]*MASTER[[#This Row],[PRECIO DE VENTA]]</f>
        <v>1333</v>
      </c>
      <c r="U1920" s="2">
        <f>MASTER[[#This Row],[CANTIDAD]]*MASTER[[#This Row],[COSTO UNITARIO]]</f>
        <v>380</v>
      </c>
      <c r="V1920" s="2">
        <f>MASTER[[#This Row],[MONTO VENDIDO]]-MASTER[[#This Row],[COSTO DE VENTA]]</f>
        <v>953</v>
      </c>
    </row>
    <row r="1921" spans="1:22" x14ac:dyDescent="0.3">
      <c r="A1921">
        <v>34311</v>
      </c>
      <c r="B1921">
        <v>1</v>
      </c>
      <c r="C1921" t="s">
        <v>116</v>
      </c>
      <c r="D1921" t="s">
        <v>117</v>
      </c>
      <c r="E1921" s="1">
        <v>44061</v>
      </c>
      <c r="F1921">
        <v>1</v>
      </c>
      <c r="G1921" t="s">
        <v>73</v>
      </c>
      <c r="H1921" t="s">
        <v>74</v>
      </c>
      <c r="I1921" s="3">
        <v>1738</v>
      </c>
      <c r="J1921" s="3">
        <v>1738</v>
      </c>
      <c r="K1921" s="3">
        <v>388</v>
      </c>
      <c r="L1921" t="s">
        <v>113</v>
      </c>
      <c r="M1921">
        <v>15</v>
      </c>
      <c r="N1921" t="s">
        <v>88</v>
      </c>
      <c r="O1921" t="s">
        <v>81</v>
      </c>
      <c r="P1921" t="s">
        <v>18</v>
      </c>
      <c r="Q1921" t="s">
        <v>19</v>
      </c>
      <c r="R1921" t="s">
        <v>138</v>
      </c>
      <c r="S1921" t="s">
        <v>144</v>
      </c>
      <c r="T1921" s="2">
        <f>MASTER[[#This Row],[CANTIDAD]]*MASTER[[#This Row],[PRECIO DE VENTA]]</f>
        <v>1738</v>
      </c>
      <c r="U1921" s="2">
        <f>MASTER[[#This Row],[CANTIDAD]]*MASTER[[#This Row],[COSTO UNITARIO]]</f>
        <v>388</v>
      </c>
      <c r="V1921" s="2">
        <f>MASTER[[#This Row],[MONTO VENDIDO]]-MASTER[[#This Row],[COSTO DE VENTA]]</f>
        <v>1350</v>
      </c>
    </row>
    <row r="1922" spans="1:22" x14ac:dyDescent="0.3">
      <c r="A1922">
        <v>34327</v>
      </c>
      <c r="B1922">
        <v>1</v>
      </c>
      <c r="C1922" t="s">
        <v>111</v>
      </c>
      <c r="D1922" t="s">
        <v>112</v>
      </c>
      <c r="E1922" s="1">
        <v>44061</v>
      </c>
      <c r="F1922">
        <v>1</v>
      </c>
      <c r="G1922" t="s">
        <v>33</v>
      </c>
      <c r="H1922" t="s">
        <v>34</v>
      </c>
      <c r="I1922" s="3">
        <v>1799</v>
      </c>
      <c r="J1922" s="3">
        <v>1799</v>
      </c>
      <c r="K1922" s="3">
        <v>434</v>
      </c>
      <c r="L1922" t="s">
        <v>113</v>
      </c>
      <c r="M1922">
        <v>3</v>
      </c>
      <c r="N1922" t="s">
        <v>69</v>
      </c>
      <c r="O1922" t="s">
        <v>70</v>
      </c>
      <c r="P1922" t="s">
        <v>71</v>
      </c>
      <c r="Q1922" t="s">
        <v>72</v>
      </c>
      <c r="R1922" t="s">
        <v>139</v>
      </c>
      <c r="S1922" t="s">
        <v>144</v>
      </c>
      <c r="T1922" s="2">
        <f>MASTER[[#This Row],[CANTIDAD]]*MASTER[[#This Row],[PRECIO DE VENTA]]</f>
        <v>1799</v>
      </c>
      <c r="U1922" s="2">
        <f>MASTER[[#This Row],[CANTIDAD]]*MASTER[[#This Row],[COSTO UNITARIO]]</f>
        <v>434</v>
      </c>
      <c r="V1922" s="2">
        <f>MASTER[[#This Row],[MONTO VENDIDO]]-MASTER[[#This Row],[COSTO DE VENTA]]</f>
        <v>1365</v>
      </c>
    </row>
    <row r="1923" spans="1:22" x14ac:dyDescent="0.3">
      <c r="A1923">
        <v>34359</v>
      </c>
      <c r="B1923">
        <v>1</v>
      </c>
      <c r="C1923" t="s">
        <v>92</v>
      </c>
      <c r="D1923" t="s">
        <v>93</v>
      </c>
      <c r="E1923" s="1">
        <v>44061</v>
      </c>
      <c r="F1923">
        <v>1</v>
      </c>
      <c r="G1923" t="s">
        <v>39</v>
      </c>
      <c r="H1923" t="s">
        <v>40</v>
      </c>
      <c r="I1923" s="3">
        <v>1681</v>
      </c>
      <c r="J1923" s="3">
        <v>1681</v>
      </c>
      <c r="K1923" s="3">
        <v>396</v>
      </c>
      <c r="L1923" t="s">
        <v>9</v>
      </c>
      <c r="M1923">
        <v>10</v>
      </c>
      <c r="N1923" t="s">
        <v>83</v>
      </c>
      <c r="O1923" t="s">
        <v>81</v>
      </c>
      <c r="P1923" t="s">
        <v>12</v>
      </c>
      <c r="Q1923" t="s">
        <v>13</v>
      </c>
      <c r="R1923" t="s">
        <v>13</v>
      </c>
      <c r="S1923" t="s">
        <v>144</v>
      </c>
      <c r="T1923" s="2">
        <f>MASTER[[#This Row],[CANTIDAD]]*MASTER[[#This Row],[PRECIO DE VENTA]]</f>
        <v>1681</v>
      </c>
      <c r="U1923" s="2">
        <f>MASTER[[#This Row],[CANTIDAD]]*MASTER[[#This Row],[COSTO UNITARIO]]</f>
        <v>396</v>
      </c>
      <c r="V1923" s="2">
        <f>MASTER[[#This Row],[MONTO VENDIDO]]-MASTER[[#This Row],[COSTO DE VENTA]]</f>
        <v>1285</v>
      </c>
    </row>
    <row r="1924" spans="1:22" x14ac:dyDescent="0.3">
      <c r="A1924">
        <v>34361</v>
      </c>
      <c r="B1924">
        <v>1</v>
      </c>
      <c r="C1924" t="s">
        <v>94</v>
      </c>
      <c r="D1924" t="s">
        <v>95</v>
      </c>
      <c r="E1924" s="1">
        <v>44061</v>
      </c>
      <c r="F1924">
        <v>1</v>
      </c>
      <c r="G1924" t="s">
        <v>33</v>
      </c>
      <c r="H1924" t="s">
        <v>34</v>
      </c>
      <c r="I1924" s="3">
        <v>901</v>
      </c>
      <c r="J1924" s="3">
        <v>901</v>
      </c>
      <c r="K1924" s="3">
        <v>392</v>
      </c>
      <c r="L1924" t="s">
        <v>9</v>
      </c>
      <c r="M1924">
        <v>11</v>
      </c>
      <c r="N1924" t="s">
        <v>10</v>
      </c>
      <c r="O1924" t="s">
        <v>11</v>
      </c>
      <c r="P1924" t="s">
        <v>12</v>
      </c>
      <c r="Q1924" t="s">
        <v>13</v>
      </c>
      <c r="R1924" t="s">
        <v>13</v>
      </c>
      <c r="S1924" t="s">
        <v>144</v>
      </c>
      <c r="T1924" s="2">
        <f>MASTER[[#This Row],[CANTIDAD]]*MASTER[[#This Row],[PRECIO DE VENTA]]</f>
        <v>901</v>
      </c>
      <c r="U1924" s="2">
        <f>MASTER[[#This Row],[CANTIDAD]]*MASTER[[#This Row],[COSTO UNITARIO]]</f>
        <v>392</v>
      </c>
      <c r="V1924" s="2">
        <f>MASTER[[#This Row],[MONTO VENDIDO]]-MASTER[[#This Row],[COSTO DE VENTA]]</f>
        <v>509</v>
      </c>
    </row>
    <row r="1925" spans="1:22" x14ac:dyDescent="0.3">
      <c r="A1925">
        <v>34367</v>
      </c>
      <c r="B1925">
        <v>1</v>
      </c>
      <c r="C1925" t="s">
        <v>96</v>
      </c>
      <c r="D1925" t="s">
        <v>97</v>
      </c>
      <c r="E1925" s="1">
        <v>44061</v>
      </c>
      <c r="F1925">
        <v>1</v>
      </c>
      <c r="G1925" t="s">
        <v>73</v>
      </c>
      <c r="H1925" t="s">
        <v>74</v>
      </c>
      <c r="I1925" s="3">
        <v>1196</v>
      </c>
      <c r="J1925" s="3">
        <v>1196</v>
      </c>
      <c r="K1925" s="3">
        <v>397</v>
      </c>
      <c r="L1925" t="s">
        <v>98</v>
      </c>
      <c r="M1925">
        <v>16</v>
      </c>
      <c r="N1925" t="s">
        <v>17</v>
      </c>
      <c r="O1925" t="s">
        <v>11</v>
      </c>
      <c r="P1925" t="s">
        <v>18</v>
      </c>
      <c r="Q1925" t="s">
        <v>19</v>
      </c>
      <c r="R1925" t="s">
        <v>138</v>
      </c>
      <c r="S1925" t="s">
        <v>144</v>
      </c>
      <c r="T1925" s="2">
        <f>MASTER[[#This Row],[CANTIDAD]]*MASTER[[#This Row],[PRECIO DE VENTA]]</f>
        <v>1196</v>
      </c>
      <c r="U1925" s="2">
        <f>MASTER[[#This Row],[CANTIDAD]]*MASTER[[#This Row],[COSTO UNITARIO]]</f>
        <v>397</v>
      </c>
      <c r="V1925" s="2">
        <f>MASTER[[#This Row],[MONTO VENDIDO]]-MASTER[[#This Row],[COSTO DE VENTA]]</f>
        <v>799</v>
      </c>
    </row>
    <row r="1926" spans="1:22" x14ac:dyDescent="0.3">
      <c r="A1926">
        <v>34369</v>
      </c>
      <c r="B1926">
        <v>1</v>
      </c>
      <c r="C1926" t="s">
        <v>99</v>
      </c>
      <c r="D1926" t="s">
        <v>100</v>
      </c>
      <c r="E1926" s="1">
        <v>44061</v>
      </c>
      <c r="F1926">
        <v>1</v>
      </c>
      <c r="G1926" t="s">
        <v>7</v>
      </c>
      <c r="H1926" t="s">
        <v>8</v>
      </c>
      <c r="I1926" s="3">
        <v>1459</v>
      </c>
      <c r="J1926" s="3">
        <v>1459</v>
      </c>
      <c r="K1926" s="3">
        <v>386</v>
      </c>
      <c r="L1926" t="s">
        <v>98</v>
      </c>
      <c r="M1926">
        <v>2</v>
      </c>
      <c r="N1926" t="s">
        <v>86</v>
      </c>
      <c r="O1926" t="s">
        <v>81</v>
      </c>
      <c r="P1926" t="s">
        <v>71</v>
      </c>
      <c r="Q1926" t="s">
        <v>72</v>
      </c>
      <c r="R1926" t="s">
        <v>139</v>
      </c>
      <c r="S1926" t="s">
        <v>144</v>
      </c>
      <c r="T1926" s="2">
        <f>MASTER[[#This Row],[CANTIDAD]]*MASTER[[#This Row],[PRECIO DE VENTA]]</f>
        <v>1459</v>
      </c>
      <c r="U1926" s="2">
        <f>MASTER[[#This Row],[CANTIDAD]]*MASTER[[#This Row],[COSTO UNITARIO]]</f>
        <v>386</v>
      </c>
      <c r="V1926" s="2">
        <f>MASTER[[#This Row],[MONTO VENDIDO]]-MASTER[[#This Row],[COSTO DE VENTA]]</f>
        <v>1073</v>
      </c>
    </row>
    <row r="1927" spans="1:22" x14ac:dyDescent="0.3">
      <c r="A1927">
        <v>34374</v>
      </c>
      <c r="B1927">
        <v>1</v>
      </c>
      <c r="C1927" t="s">
        <v>92</v>
      </c>
      <c r="D1927" t="s">
        <v>93</v>
      </c>
      <c r="E1927" s="1">
        <v>44061</v>
      </c>
      <c r="F1927">
        <v>1</v>
      </c>
      <c r="G1927" t="s">
        <v>61</v>
      </c>
      <c r="H1927" t="s">
        <v>62</v>
      </c>
      <c r="I1927" s="3">
        <v>1681</v>
      </c>
      <c r="J1927" s="3">
        <v>1681</v>
      </c>
      <c r="K1927" s="3">
        <v>396</v>
      </c>
      <c r="L1927" t="s">
        <v>9</v>
      </c>
      <c r="M1927">
        <v>2</v>
      </c>
      <c r="N1927" t="s">
        <v>86</v>
      </c>
      <c r="O1927" t="s">
        <v>81</v>
      </c>
      <c r="P1927" t="s">
        <v>71</v>
      </c>
      <c r="Q1927" t="s">
        <v>72</v>
      </c>
      <c r="R1927" t="s">
        <v>139</v>
      </c>
      <c r="S1927" t="s">
        <v>144</v>
      </c>
      <c r="T1927" s="2">
        <f>MASTER[[#This Row],[CANTIDAD]]*MASTER[[#This Row],[PRECIO DE VENTA]]</f>
        <v>1681</v>
      </c>
      <c r="U1927" s="2">
        <f>MASTER[[#This Row],[CANTIDAD]]*MASTER[[#This Row],[COSTO UNITARIO]]</f>
        <v>396</v>
      </c>
      <c r="V1927" s="2">
        <f>MASTER[[#This Row],[MONTO VENDIDO]]-MASTER[[#This Row],[COSTO DE VENTA]]</f>
        <v>1285</v>
      </c>
    </row>
    <row r="1928" spans="1:22" x14ac:dyDescent="0.3">
      <c r="A1928">
        <v>34380</v>
      </c>
      <c r="B1928">
        <v>1</v>
      </c>
      <c r="C1928" t="s">
        <v>94</v>
      </c>
      <c r="D1928" t="s">
        <v>95</v>
      </c>
      <c r="E1928" s="1">
        <v>44061</v>
      </c>
      <c r="F1928">
        <v>1</v>
      </c>
      <c r="G1928" t="s">
        <v>55</v>
      </c>
      <c r="H1928" t="s">
        <v>56</v>
      </c>
      <c r="I1928" s="3">
        <v>901</v>
      </c>
      <c r="J1928" s="3">
        <v>901</v>
      </c>
      <c r="K1928" s="3">
        <v>392</v>
      </c>
      <c r="L1928" t="s">
        <v>9</v>
      </c>
      <c r="M1928">
        <v>16</v>
      </c>
      <c r="N1928" t="s">
        <v>17</v>
      </c>
      <c r="O1928" t="s">
        <v>11</v>
      </c>
      <c r="P1928" t="s">
        <v>18</v>
      </c>
      <c r="Q1928" t="s">
        <v>19</v>
      </c>
      <c r="R1928" t="s">
        <v>138</v>
      </c>
      <c r="S1928" t="s">
        <v>144</v>
      </c>
      <c r="T1928" s="2">
        <f>MASTER[[#This Row],[CANTIDAD]]*MASTER[[#This Row],[PRECIO DE VENTA]]</f>
        <v>901</v>
      </c>
      <c r="U1928" s="2">
        <f>MASTER[[#This Row],[CANTIDAD]]*MASTER[[#This Row],[COSTO UNITARIO]]</f>
        <v>392</v>
      </c>
      <c r="V1928" s="2">
        <f>MASTER[[#This Row],[MONTO VENDIDO]]-MASTER[[#This Row],[COSTO DE VENTA]]</f>
        <v>509</v>
      </c>
    </row>
    <row r="1929" spans="1:22" x14ac:dyDescent="0.3">
      <c r="A1929">
        <v>34387</v>
      </c>
      <c r="B1929">
        <v>1</v>
      </c>
      <c r="C1929" t="s">
        <v>109</v>
      </c>
      <c r="D1929" t="s">
        <v>110</v>
      </c>
      <c r="E1929" s="1">
        <v>44061</v>
      </c>
      <c r="F1929">
        <v>1</v>
      </c>
      <c r="G1929" t="s">
        <v>33</v>
      </c>
      <c r="H1929" t="s">
        <v>34</v>
      </c>
      <c r="I1929" s="3">
        <v>947</v>
      </c>
      <c r="J1929" s="3">
        <v>947</v>
      </c>
      <c r="K1929" s="3">
        <v>387</v>
      </c>
      <c r="L1929" t="s">
        <v>98</v>
      </c>
      <c r="M1929">
        <v>17</v>
      </c>
      <c r="N1929" t="s">
        <v>14</v>
      </c>
      <c r="O1929" t="s">
        <v>11</v>
      </c>
      <c r="P1929" t="s">
        <v>15</v>
      </c>
      <c r="Q1929" t="s">
        <v>16</v>
      </c>
      <c r="R1929" t="s">
        <v>16</v>
      </c>
      <c r="S1929" t="s">
        <v>144</v>
      </c>
      <c r="T1929" s="2">
        <f>MASTER[[#This Row],[CANTIDAD]]*MASTER[[#This Row],[PRECIO DE VENTA]]</f>
        <v>947</v>
      </c>
      <c r="U1929" s="2">
        <f>MASTER[[#This Row],[CANTIDAD]]*MASTER[[#This Row],[COSTO UNITARIO]]</f>
        <v>387</v>
      </c>
      <c r="V1929" s="2">
        <f>MASTER[[#This Row],[MONTO VENDIDO]]-MASTER[[#This Row],[COSTO DE VENTA]]</f>
        <v>560</v>
      </c>
    </row>
    <row r="1930" spans="1:22" x14ac:dyDescent="0.3">
      <c r="A1930">
        <v>34445</v>
      </c>
      <c r="B1930">
        <v>2</v>
      </c>
      <c r="C1930" t="s">
        <v>111</v>
      </c>
      <c r="D1930" t="s">
        <v>112</v>
      </c>
      <c r="E1930" s="1">
        <v>44061</v>
      </c>
      <c r="F1930">
        <v>1</v>
      </c>
      <c r="G1930" t="s">
        <v>47</v>
      </c>
      <c r="H1930" t="s">
        <v>48</v>
      </c>
      <c r="I1930" s="3">
        <v>1799</v>
      </c>
      <c r="J1930" s="3">
        <v>1799</v>
      </c>
      <c r="K1930" s="3">
        <v>434</v>
      </c>
      <c r="L1930" t="s">
        <v>113</v>
      </c>
      <c r="M1930">
        <v>3</v>
      </c>
      <c r="N1930" t="s">
        <v>69</v>
      </c>
      <c r="O1930" t="s">
        <v>70</v>
      </c>
      <c r="P1930" t="s">
        <v>71</v>
      </c>
      <c r="Q1930" t="s">
        <v>72</v>
      </c>
      <c r="R1930" t="s">
        <v>139</v>
      </c>
      <c r="S1930" t="s">
        <v>144</v>
      </c>
      <c r="T1930" s="2">
        <f>MASTER[[#This Row],[CANTIDAD]]*MASTER[[#This Row],[PRECIO DE VENTA]]</f>
        <v>1799</v>
      </c>
      <c r="U1930" s="2">
        <f>MASTER[[#This Row],[CANTIDAD]]*MASTER[[#This Row],[COSTO UNITARIO]]</f>
        <v>434</v>
      </c>
      <c r="V1930" s="2">
        <f>MASTER[[#This Row],[MONTO VENDIDO]]-MASTER[[#This Row],[COSTO DE VENTA]]</f>
        <v>1365</v>
      </c>
    </row>
    <row r="1931" spans="1:22" x14ac:dyDescent="0.3">
      <c r="A1931">
        <v>34445</v>
      </c>
      <c r="B1931">
        <v>1</v>
      </c>
      <c r="C1931" t="s">
        <v>114</v>
      </c>
      <c r="D1931" t="s">
        <v>115</v>
      </c>
      <c r="E1931" s="1">
        <v>44061</v>
      </c>
      <c r="F1931">
        <v>1</v>
      </c>
      <c r="G1931" t="s">
        <v>39</v>
      </c>
      <c r="H1931" t="s">
        <v>40</v>
      </c>
      <c r="I1931" s="3">
        <v>2030</v>
      </c>
      <c r="J1931" s="3">
        <v>2030</v>
      </c>
      <c r="K1931" s="3">
        <v>394</v>
      </c>
      <c r="L1931" t="s">
        <v>113</v>
      </c>
      <c r="M1931">
        <v>3</v>
      </c>
      <c r="N1931" t="s">
        <v>69</v>
      </c>
      <c r="O1931" t="s">
        <v>70</v>
      </c>
      <c r="P1931" t="s">
        <v>71</v>
      </c>
      <c r="Q1931" t="s">
        <v>72</v>
      </c>
      <c r="R1931" t="s">
        <v>139</v>
      </c>
      <c r="S1931" t="s">
        <v>144</v>
      </c>
      <c r="T1931" s="2">
        <f>MASTER[[#This Row],[CANTIDAD]]*MASTER[[#This Row],[PRECIO DE VENTA]]</f>
        <v>2030</v>
      </c>
      <c r="U1931" s="2">
        <f>MASTER[[#This Row],[CANTIDAD]]*MASTER[[#This Row],[COSTO UNITARIO]]</f>
        <v>394</v>
      </c>
      <c r="V1931" s="2">
        <f>MASTER[[#This Row],[MONTO VENDIDO]]-MASTER[[#This Row],[COSTO DE VENTA]]</f>
        <v>1636</v>
      </c>
    </row>
    <row r="1932" spans="1:22" x14ac:dyDescent="0.3">
      <c r="A1932">
        <v>34528</v>
      </c>
      <c r="B1932">
        <v>1</v>
      </c>
      <c r="C1932" t="s">
        <v>5</v>
      </c>
      <c r="D1932" t="s">
        <v>6</v>
      </c>
      <c r="E1932" s="1">
        <v>44062</v>
      </c>
      <c r="F1932">
        <v>1</v>
      </c>
      <c r="G1932" t="s">
        <v>31</v>
      </c>
      <c r="H1932" t="s">
        <v>32</v>
      </c>
      <c r="I1932" s="3">
        <v>1296</v>
      </c>
      <c r="J1932" s="3">
        <v>1296</v>
      </c>
      <c r="K1932" s="3">
        <v>393</v>
      </c>
      <c r="L1932" t="s">
        <v>9</v>
      </c>
      <c r="M1932">
        <v>18</v>
      </c>
      <c r="N1932" t="s">
        <v>79</v>
      </c>
      <c r="O1932" t="s">
        <v>70</v>
      </c>
      <c r="P1932" t="s">
        <v>15</v>
      </c>
      <c r="Q1932" t="s">
        <v>16</v>
      </c>
      <c r="R1932" t="s">
        <v>16</v>
      </c>
      <c r="S1932" t="s">
        <v>144</v>
      </c>
      <c r="T1932" s="2">
        <f>MASTER[[#This Row],[CANTIDAD]]*MASTER[[#This Row],[PRECIO DE VENTA]]</f>
        <v>1296</v>
      </c>
      <c r="U1932" s="2">
        <f>MASTER[[#This Row],[CANTIDAD]]*MASTER[[#This Row],[COSTO UNITARIO]]</f>
        <v>393</v>
      </c>
      <c r="V1932" s="2">
        <f>MASTER[[#This Row],[MONTO VENDIDO]]-MASTER[[#This Row],[COSTO DE VENTA]]</f>
        <v>903</v>
      </c>
    </row>
    <row r="1933" spans="1:22" x14ac:dyDescent="0.3">
      <c r="A1933">
        <v>34548</v>
      </c>
      <c r="B1933">
        <v>1</v>
      </c>
      <c r="C1933" t="s">
        <v>111</v>
      </c>
      <c r="D1933" t="s">
        <v>112</v>
      </c>
      <c r="E1933" s="1">
        <v>44062</v>
      </c>
      <c r="F1933">
        <v>1</v>
      </c>
      <c r="G1933" t="s">
        <v>49</v>
      </c>
      <c r="H1933" t="s">
        <v>50</v>
      </c>
      <c r="I1933" s="3">
        <v>1524</v>
      </c>
      <c r="J1933" s="3">
        <v>1524</v>
      </c>
      <c r="K1933" s="3">
        <v>434</v>
      </c>
      <c r="L1933" t="s">
        <v>113</v>
      </c>
      <c r="M1933">
        <v>12</v>
      </c>
      <c r="N1933" t="s">
        <v>26</v>
      </c>
      <c r="O1933" t="s">
        <v>11</v>
      </c>
      <c r="P1933" t="s">
        <v>12</v>
      </c>
      <c r="Q1933" t="s">
        <v>13</v>
      </c>
      <c r="R1933" t="s">
        <v>13</v>
      </c>
      <c r="S1933" t="s">
        <v>144</v>
      </c>
      <c r="T1933" s="2">
        <f>MASTER[[#This Row],[CANTIDAD]]*MASTER[[#This Row],[PRECIO DE VENTA]]</f>
        <v>1524</v>
      </c>
      <c r="U1933" s="2">
        <f>MASTER[[#This Row],[CANTIDAD]]*MASTER[[#This Row],[COSTO UNITARIO]]</f>
        <v>434</v>
      </c>
      <c r="V1933" s="2">
        <f>MASTER[[#This Row],[MONTO VENDIDO]]-MASTER[[#This Row],[COSTO DE VENTA]]</f>
        <v>1090</v>
      </c>
    </row>
    <row r="1934" spans="1:22" x14ac:dyDescent="0.3">
      <c r="A1934">
        <v>34576</v>
      </c>
      <c r="B1934">
        <v>1</v>
      </c>
      <c r="C1934" t="s">
        <v>121</v>
      </c>
      <c r="D1934" t="s">
        <v>122</v>
      </c>
      <c r="E1934" s="1">
        <v>44062</v>
      </c>
      <c r="F1934">
        <v>1</v>
      </c>
      <c r="G1934" t="s">
        <v>31</v>
      </c>
      <c r="H1934" t="s">
        <v>32</v>
      </c>
      <c r="I1934" s="3">
        <v>1069</v>
      </c>
      <c r="J1934" s="3">
        <v>1069</v>
      </c>
      <c r="K1934" s="3">
        <v>460</v>
      </c>
      <c r="L1934" t="s">
        <v>120</v>
      </c>
      <c r="M1934">
        <v>8</v>
      </c>
      <c r="N1934" t="s">
        <v>80</v>
      </c>
      <c r="O1934" t="s">
        <v>81</v>
      </c>
      <c r="P1934" t="s">
        <v>12</v>
      </c>
      <c r="Q1934" t="s">
        <v>13</v>
      </c>
      <c r="R1934" t="s">
        <v>13</v>
      </c>
      <c r="S1934" t="s">
        <v>144</v>
      </c>
      <c r="T1934" s="2">
        <f>MASTER[[#This Row],[CANTIDAD]]*MASTER[[#This Row],[PRECIO DE VENTA]]</f>
        <v>1069</v>
      </c>
      <c r="U1934" s="2">
        <f>MASTER[[#This Row],[CANTIDAD]]*MASTER[[#This Row],[COSTO UNITARIO]]</f>
        <v>460</v>
      </c>
      <c r="V1934" s="2">
        <f>MASTER[[#This Row],[MONTO VENDIDO]]-MASTER[[#This Row],[COSTO DE VENTA]]</f>
        <v>609</v>
      </c>
    </row>
    <row r="1935" spans="1:22" x14ac:dyDescent="0.3">
      <c r="A1935">
        <v>34586</v>
      </c>
      <c r="B1935">
        <v>1</v>
      </c>
      <c r="C1935" t="s">
        <v>116</v>
      </c>
      <c r="D1935" t="s">
        <v>117</v>
      </c>
      <c r="E1935" s="1">
        <v>44062</v>
      </c>
      <c r="F1935">
        <v>1</v>
      </c>
      <c r="G1935" t="s">
        <v>51</v>
      </c>
      <c r="H1935" t="s">
        <v>52</v>
      </c>
      <c r="I1935" s="3">
        <v>1999</v>
      </c>
      <c r="J1935" s="3">
        <v>1999</v>
      </c>
      <c r="K1935" s="3">
        <v>388</v>
      </c>
      <c r="L1935" t="s">
        <v>113</v>
      </c>
      <c r="M1935">
        <v>6</v>
      </c>
      <c r="N1935" t="s">
        <v>75</v>
      </c>
      <c r="O1935" t="s">
        <v>70</v>
      </c>
      <c r="P1935" t="s">
        <v>12</v>
      </c>
      <c r="Q1935" t="s">
        <v>13</v>
      </c>
      <c r="R1935" t="s">
        <v>13</v>
      </c>
      <c r="S1935" t="s">
        <v>144</v>
      </c>
      <c r="T1935" s="2">
        <f>MASTER[[#This Row],[CANTIDAD]]*MASTER[[#This Row],[PRECIO DE VENTA]]</f>
        <v>1999</v>
      </c>
      <c r="U1935" s="2">
        <f>MASTER[[#This Row],[CANTIDAD]]*MASTER[[#This Row],[COSTO UNITARIO]]</f>
        <v>388</v>
      </c>
      <c r="V1935" s="2">
        <f>MASTER[[#This Row],[MONTO VENDIDO]]-MASTER[[#This Row],[COSTO DE VENTA]]</f>
        <v>1611</v>
      </c>
    </row>
    <row r="1936" spans="1:22" x14ac:dyDescent="0.3">
      <c r="A1936">
        <v>34591</v>
      </c>
      <c r="B1936">
        <v>1</v>
      </c>
      <c r="C1936" t="s">
        <v>96</v>
      </c>
      <c r="D1936" t="s">
        <v>97</v>
      </c>
      <c r="E1936" s="1">
        <v>44062</v>
      </c>
      <c r="F1936">
        <v>1</v>
      </c>
      <c r="G1936" t="s">
        <v>7</v>
      </c>
      <c r="H1936" t="s">
        <v>8</v>
      </c>
      <c r="I1936" s="3">
        <v>1272</v>
      </c>
      <c r="J1936" s="3">
        <v>1272</v>
      </c>
      <c r="K1936" s="3">
        <v>397</v>
      </c>
      <c r="L1936" t="s">
        <v>98</v>
      </c>
      <c r="M1936">
        <v>5</v>
      </c>
      <c r="N1936" t="s">
        <v>85</v>
      </c>
      <c r="O1936" t="s">
        <v>81</v>
      </c>
      <c r="P1936" t="s">
        <v>12</v>
      </c>
      <c r="Q1936" t="s">
        <v>13</v>
      </c>
      <c r="R1936" t="s">
        <v>13</v>
      </c>
      <c r="S1936" t="s">
        <v>144</v>
      </c>
      <c r="T1936" s="2">
        <f>MASTER[[#This Row],[CANTIDAD]]*MASTER[[#This Row],[PRECIO DE VENTA]]</f>
        <v>1272</v>
      </c>
      <c r="U1936" s="2">
        <f>MASTER[[#This Row],[CANTIDAD]]*MASTER[[#This Row],[COSTO UNITARIO]]</f>
        <v>397</v>
      </c>
      <c r="V1936" s="2">
        <f>MASTER[[#This Row],[MONTO VENDIDO]]-MASTER[[#This Row],[COSTO DE VENTA]]</f>
        <v>875</v>
      </c>
    </row>
    <row r="1937" spans="1:22" x14ac:dyDescent="0.3">
      <c r="A1937">
        <v>34619</v>
      </c>
      <c r="B1937">
        <v>1</v>
      </c>
      <c r="C1937" t="s">
        <v>99</v>
      </c>
      <c r="D1937" t="s">
        <v>100</v>
      </c>
      <c r="E1937" s="1">
        <v>44062</v>
      </c>
      <c r="F1937">
        <v>1</v>
      </c>
      <c r="G1937" t="s">
        <v>29</v>
      </c>
      <c r="H1937" t="s">
        <v>30</v>
      </c>
      <c r="I1937" s="3">
        <v>1678</v>
      </c>
      <c r="J1937" s="3">
        <v>1678</v>
      </c>
      <c r="K1937" s="3">
        <v>386</v>
      </c>
      <c r="L1937" t="s">
        <v>98</v>
      </c>
      <c r="M1937">
        <v>9</v>
      </c>
      <c r="N1937" t="s">
        <v>76</v>
      </c>
      <c r="O1937" t="s">
        <v>70</v>
      </c>
      <c r="P1937" t="s">
        <v>12</v>
      </c>
      <c r="Q1937" t="s">
        <v>13</v>
      </c>
      <c r="R1937" t="s">
        <v>13</v>
      </c>
      <c r="S1937" t="s">
        <v>144</v>
      </c>
      <c r="T1937" s="2">
        <f>MASTER[[#This Row],[CANTIDAD]]*MASTER[[#This Row],[PRECIO DE VENTA]]</f>
        <v>1678</v>
      </c>
      <c r="U1937" s="2">
        <f>MASTER[[#This Row],[CANTIDAD]]*MASTER[[#This Row],[COSTO UNITARIO]]</f>
        <v>386</v>
      </c>
      <c r="V1937" s="2">
        <f>MASTER[[#This Row],[MONTO VENDIDO]]-MASTER[[#This Row],[COSTO DE VENTA]]</f>
        <v>1292</v>
      </c>
    </row>
    <row r="1938" spans="1:22" x14ac:dyDescent="0.3">
      <c r="A1938">
        <v>34620</v>
      </c>
      <c r="B1938">
        <v>1</v>
      </c>
      <c r="C1938" t="s">
        <v>114</v>
      </c>
      <c r="D1938" t="s">
        <v>115</v>
      </c>
      <c r="E1938" s="1">
        <v>44062</v>
      </c>
      <c r="F1938">
        <v>1</v>
      </c>
      <c r="G1938" t="s">
        <v>37</v>
      </c>
      <c r="H1938" t="s">
        <v>38</v>
      </c>
      <c r="I1938" s="3">
        <v>1583</v>
      </c>
      <c r="J1938" s="3">
        <v>1583</v>
      </c>
      <c r="K1938" s="3">
        <v>394</v>
      </c>
      <c r="L1938" t="s">
        <v>113</v>
      </c>
      <c r="M1938">
        <v>11</v>
      </c>
      <c r="N1938" t="s">
        <v>10</v>
      </c>
      <c r="O1938" t="s">
        <v>11</v>
      </c>
      <c r="P1938" t="s">
        <v>12</v>
      </c>
      <c r="Q1938" t="s">
        <v>13</v>
      </c>
      <c r="R1938" t="s">
        <v>13</v>
      </c>
      <c r="S1938" t="s">
        <v>144</v>
      </c>
      <c r="T1938" s="2">
        <f>MASTER[[#This Row],[CANTIDAD]]*MASTER[[#This Row],[PRECIO DE VENTA]]</f>
        <v>1583</v>
      </c>
      <c r="U1938" s="2">
        <f>MASTER[[#This Row],[CANTIDAD]]*MASTER[[#This Row],[COSTO UNITARIO]]</f>
        <v>394</v>
      </c>
      <c r="V1938" s="2">
        <f>MASTER[[#This Row],[MONTO VENDIDO]]-MASTER[[#This Row],[COSTO DE VENTA]]</f>
        <v>1189</v>
      </c>
    </row>
    <row r="1939" spans="1:22" x14ac:dyDescent="0.3">
      <c r="A1939">
        <v>34632</v>
      </c>
      <c r="B1939">
        <v>1</v>
      </c>
      <c r="C1939" t="s">
        <v>94</v>
      </c>
      <c r="D1939" t="s">
        <v>95</v>
      </c>
      <c r="E1939" s="1">
        <v>44063</v>
      </c>
      <c r="F1939">
        <v>4</v>
      </c>
      <c r="G1939" t="s">
        <v>29</v>
      </c>
      <c r="H1939" t="s">
        <v>30</v>
      </c>
      <c r="I1939" s="3">
        <v>1153</v>
      </c>
      <c r="J1939" s="3">
        <v>1153</v>
      </c>
      <c r="K1939" s="3">
        <v>392</v>
      </c>
      <c r="L1939" t="s">
        <v>9</v>
      </c>
      <c r="M1939">
        <v>18</v>
      </c>
      <c r="N1939" t="s">
        <v>79</v>
      </c>
      <c r="O1939" t="s">
        <v>70</v>
      </c>
      <c r="P1939" t="s">
        <v>15</v>
      </c>
      <c r="Q1939" t="s">
        <v>16</v>
      </c>
      <c r="R1939" t="s">
        <v>16</v>
      </c>
      <c r="S1939" t="s">
        <v>144</v>
      </c>
      <c r="T1939" s="2">
        <f>MASTER[[#This Row],[CANTIDAD]]*MASTER[[#This Row],[PRECIO DE VENTA]]</f>
        <v>4612</v>
      </c>
      <c r="U1939" s="2">
        <f>MASTER[[#This Row],[CANTIDAD]]*MASTER[[#This Row],[COSTO UNITARIO]]</f>
        <v>1568</v>
      </c>
      <c r="V1939" s="2">
        <f>MASTER[[#This Row],[MONTO VENDIDO]]-MASTER[[#This Row],[COSTO DE VENTA]]</f>
        <v>3044</v>
      </c>
    </row>
    <row r="1940" spans="1:22" x14ac:dyDescent="0.3">
      <c r="A1940">
        <v>34658</v>
      </c>
      <c r="B1940">
        <v>1</v>
      </c>
      <c r="C1940" t="s">
        <v>94</v>
      </c>
      <c r="D1940" t="s">
        <v>95</v>
      </c>
      <c r="E1940" s="1">
        <v>44063</v>
      </c>
      <c r="F1940">
        <v>1</v>
      </c>
      <c r="G1940" t="s">
        <v>51</v>
      </c>
      <c r="H1940" t="s">
        <v>52</v>
      </c>
      <c r="I1940" s="3">
        <v>901</v>
      </c>
      <c r="J1940" s="3">
        <v>901</v>
      </c>
      <c r="K1940" s="3">
        <v>392</v>
      </c>
      <c r="L1940" t="s">
        <v>9</v>
      </c>
      <c r="M1940">
        <v>17</v>
      </c>
      <c r="N1940" t="s">
        <v>14</v>
      </c>
      <c r="O1940" t="s">
        <v>11</v>
      </c>
      <c r="P1940" t="s">
        <v>15</v>
      </c>
      <c r="Q1940" t="s">
        <v>16</v>
      </c>
      <c r="R1940" t="s">
        <v>16</v>
      </c>
      <c r="S1940" t="s">
        <v>144</v>
      </c>
      <c r="T1940" s="2">
        <f>MASTER[[#This Row],[CANTIDAD]]*MASTER[[#This Row],[PRECIO DE VENTA]]</f>
        <v>901</v>
      </c>
      <c r="U1940" s="2">
        <f>MASTER[[#This Row],[CANTIDAD]]*MASTER[[#This Row],[COSTO UNITARIO]]</f>
        <v>392</v>
      </c>
      <c r="V1940" s="2">
        <f>MASTER[[#This Row],[MONTO VENDIDO]]-MASTER[[#This Row],[COSTO DE VENTA]]</f>
        <v>509</v>
      </c>
    </row>
    <row r="1941" spans="1:22" x14ac:dyDescent="0.3">
      <c r="A1941">
        <v>34669</v>
      </c>
      <c r="B1941">
        <v>1</v>
      </c>
      <c r="C1941" t="s">
        <v>105</v>
      </c>
      <c r="D1941" t="s">
        <v>106</v>
      </c>
      <c r="E1941" s="1">
        <v>44063</v>
      </c>
      <c r="F1941">
        <v>1</v>
      </c>
      <c r="G1941" t="s">
        <v>20</v>
      </c>
      <c r="H1941" t="s">
        <v>21</v>
      </c>
      <c r="I1941" s="3">
        <v>1585</v>
      </c>
      <c r="J1941" s="3">
        <v>1585</v>
      </c>
      <c r="K1941" s="3">
        <v>459</v>
      </c>
      <c r="L1941" t="s">
        <v>98</v>
      </c>
      <c r="M1941">
        <v>11</v>
      </c>
      <c r="N1941" t="s">
        <v>10</v>
      </c>
      <c r="O1941" t="s">
        <v>11</v>
      </c>
      <c r="P1941" t="s">
        <v>12</v>
      </c>
      <c r="Q1941" t="s">
        <v>13</v>
      </c>
      <c r="R1941" t="s">
        <v>13</v>
      </c>
      <c r="S1941" t="s">
        <v>144</v>
      </c>
      <c r="T1941" s="2">
        <f>MASTER[[#This Row],[CANTIDAD]]*MASTER[[#This Row],[PRECIO DE VENTA]]</f>
        <v>1585</v>
      </c>
      <c r="U1941" s="2">
        <f>MASTER[[#This Row],[CANTIDAD]]*MASTER[[#This Row],[COSTO UNITARIO]]</f>
        <v>459</v>
      </c>
      <c r="V1941" s="2">
        <f>MASTER[[#This Row],[MONTO VENDIDO]]-MASTER[[#This Row],[COSTO DE VENTA]]</f>
        <v>1126</v>
      </c>
    </row>
    <row r="1942" spans="1:22" x14ac:dyDescent="0.3">
      <c r="A1942">
        <v>34703</v>
      </c>
      <c r="B1942">
        <v>1</v>
      </c>
      <c r="C1942" t="s">
        <v>94</v>
      </c>
      <c r="D1942" t="s">
        <v>95</v>
      </c>
      <c r="E1942" s="1">
        <v>44063</v>
      </c>
      <c r="F1942">
        <v>1</v>
      </c>
      <c r="G1942" t="s">
        <v>29</v>
      </c>
      <c r="H1942" t="s">
        <v>30</v>
      </c>
      <c r="I1942" s="3">
        <v>1048</v>
      </c>
      <c r="J1942" s="3">
        <v>1048</v>
      </c>
      <c r="K1942" s="3">
        <v>392</v>
      </c>
      <c r="L1942" t="s">
        <v>9</v>
      </c>
      <c r="M1942">
        <v>4</v>
      </c>
      <c r="N1942" t="s">
        <v>82</v>
      </c>
      <c r="O1942" t="s">
        <v>81</v>
      </c>
      <c r="P1942" t="s">
        <v>71</v>
      </c>
      <c r="Q1942" t="s">
        <v>72</v>
      </c>
      <c r="R1942" t="s">
        <v>139</v>
      </c>
      <c r="S1942" t="s">
        <v>144</v>
      </c>
      <c r="T1942" s="2">
        <f>MASTER[[#This Row],[CANTIDAD]]*MASTER[[#This Row],[PRECIO DE VENTA]]</f>
        <v>1048</v>
      </c>
      <c r="U1942" s="2">
        <f>MASTER[[#This Row],[CANTIDAD]]*MASTER[[#This Row],[COSTO UNITARIO]]</f>
        <v>392</v>
      </c>
      <c r="V1942" s="2">
        <f>MASTER[[#This Row],[MONTO VENDIDO]]-MASTER[[#This Row],[COSTO DE VENTA]]</f>
        <v>656</v>
      </c>
    </row>
    <row r="1943" spans="1:22" x14ac:dyDescent="0.3">
      <c r="A1943">
        <v>34710</v>
      </c>
      <c r="B1943">
        <v>1</v>
      </c>
      <c r="C1943" t="s">
        <v>96</v>
      </c>
      <c r="D1943" t="s">
        <v>97</v>
      </c>
      <c r="E1943" s="1">
        <v>44063</v>
      </c>
      <c r="F1943">
        <v>1</v>
      </c>
      <c r="G1943" t="s">
        <v>73</v>
      </c>
      <c r="H1943" t="s">
        <v>74</v>
      </c>
      <c r="I1943" s="3">
        <v>1272</v>
      </c>
      <c r="J1943" s="3">
        <v>1272</v>
      </c>
      <c r="K1943" s="3">
        <v>397</v>
      </c>
      <c r="L1943" t="s">
        <v>98</v>
      </c>
      <c r="M1943">
        <v>14</v>
      </c>
      <c r="N1943" t="s">
        <v>87</v>
      </c>
      <c r="O1943" t="s">
        <v>81</v>
      </c>
      <c r="P1943" t="s">
        <v>18</v>
      </c>
      <c r="Q1943" t="s">
        <v>19</v>
      </c>
      <c r="R1943" t="s">
        <v>138</v>
      </c>
      <c r="S1943" t="s">
        <v>144</v>
      </c>
      <c r="T1943" s="2">
        <f>MASTER[[#This Row],[CANTIDAD]]*MASTER[[#This Row],[PRECIO DE VENTA]]</f>
        <v>1272</v>
      </c>
      <c r="U1943" s="2">
        <f>MASTER[[#This Row],[CANTIDAD]]*MASTER[[#This Row],[COSTO UNITARIO]]</f>
        <v>397</v>
      </c>
      <c r="V1943" s="2">
        <f>MASTER[[#This Row],[MONTO VENDIDO]]-MASTER[[#This Row],[COSTO DE VENTA]]</f>
        <v>875</v>
      </c>
    </row>
    <row r="1944" spans="1:22" x14ac:dyDescent="0.3">
      <c r="A1944">
        <v>34717</v>
      </c>
      <c r="B1944">
        <v>1</v>
      </c>
      <c r="C1944" t="s">
        <v>99</v>
      </c>
      <c r="D1944" t="s">
        <v>100</v>
      </c>
      <c r="E1944" s="1">
        <v>44063</v>
      </c>
      <c r="F1944">
        <v>1</v>
      </c>
      <c r="G1944" t="s">
        <v>27</v>
      </c>
      <c r="H1944" t="s">
        <v>28</v>
      </c>
      <c r="I1944" s="3">
        <v>1459</v>
      </c>
      <c r="J1944" s="3">
        <v>1459</v>
      </c>
      <c r="K1944" s="3">
        <v>386</v>
      </c>
      <c r="L1944" t="s">
        <v>98</v>
      </c>
      <c r="M1944">
        <v>14</v>
      </c>
      <c r="N1944" t="s">
        <v>87</v>
      </c>
      <c r="O1944" t="s">
        <v>81</v>
      </c>
      <c r="P1944" t="s">
        <v>18</v>
      </c>
      <c r="Q1944" t="s">
        <v>19</v>
      </c>
      <c r="R1944" t="s">
        <v>138</v>
      </c>
      <c r="S1944" t="s">
        <v>144</v>
      </c>
      <c r="T1944" s="2">
        <f>MASTER[[#This Row],[CANTIDAD]]*MASTER[[#This Row],[PRECIO DE VENTA]]</f>
        <v>1459</v>
      </c>
      <c r="U1944" s="2">
        <f>MASTER[[#This Row],[CANTIDAD]]*MASTER[[#This Row],[COSTO UNITARIO]]</f>
        <v>386</v>
      </c>
      <c r="V1944" s="2">
        <f>MASTER[[#This Row],[MONTO VENDIDO]]-MASTER[[#This Row],[COSTO DE VENTA]]</f>
        <v>1073</v>
      </c>
    </row>
    <row r="1945" spans="1:22" x14ac:dyDescent="0.3">
      <c r="A1945">
        <v>34730</v>
      </c>
      <c r="B1945">
        <v>1</v>
      </c>
      <c r="C1945" t="s">
        <v>121</v>
      </c>
      <c r="D1945" t="s">
        <v>122</v>
      </c>
      <c r="E1945" s="1">
        <v>44063</v>
      </c>
      <c r="F1945">
        <v>1</v>
      </c>
      <c r="G1945" t="s">
        <v>45</v>
      </c>
      <c r="H1945" t="s">
        <v>46</v>
      </c>
      <c r="I1945" s="3">
        <v>941</v>
      </c>
      <c r="J1945" s="3">
        <v>941</v>
      </c>
      <c r="K1945" s="3">
        <v>460</v>
      </c>
      <c r="L1945" t="s">
        <v>120</v>
      </c>
      <c r="M1945">
        <v>12</v>
      </c>
      <c r="N1945" t="s">
        <v>26</v>
      </c>
      <c r="O1945" t="s">
        <v>11</v>
      </c>
      <c r="P1945" t="s">
        <v>12</v>
      </c>
      <c r="Q1945" t="s">
        <v>13</v>
      </c>
      <c r="R1945" t="s">
        <v>13</v>
      </c>
      <c r="S1945" t="s">
        <v>144</v>
      </c>
      <c r="T1945" s="2">
        <f>MASTER[[#This Row],[CANTIDAD]]*MASTER[[#This Row],[PRECIO DE VENTA]]</f>
        <v>941</v>
      </c>
      <c r="U1945" s="2">
        <f>MASTER[[#This Row],[CANTIDAD]]*MASTER[[#This Row],[COSTO UNITARIO]]</f>
        <v>460</v>
      </c>
      <c r="V1945" s="2">
        <f>MASTER[[#This Row],[MONTO VENDIDO]]-MASTER[[#This Row],[COSTO DE VENTA]]</f>
        <v>481</v>
      </c>
    </row>
    <row r="1946" spans="1:22" x14ac:dyDescent="0.3">
      <c r="A1946">
        <v>34749</v>
      </c>
      <c r="B1946">
        <v>1</v>
      </c>
      <c r="C1946" t="s">
        <v>99</v>
      </c>
      <c r="D1946" t="s">
        <v>100</v>
      </c>
      <c r="E1946" s="1">
        <v>44063</v>
      </c>
      <c r="F1946">
        <v>1</v>
      </c>
      <c r="G1946" t="s">
        <v>57</v>
      </c>
      <c r="H1946" t="s">
        <v>58</v>
      </c>
      <c r="I1946" s="3">
        <v>1678</v>
      </c>
      <c r="J1946" s="3">
        <v>1678</v>
      </c>
      <c r="K1946" s="3">
        <v>386</v>
      </c>
      <c r="L1946" t="s">
        <v>98</v>
      </c>
      <c r="M1946">
        <v>9</v>
      </c>
      <c r="N1946" t="s">
        <v>76</v>
      </c>
      <c r="O1946" t="s">
        <v>70</v>
      </c>
      <c r="P1946" t="s">
        <v>12</v>
      </c>
      <c r="Q1946" t="s">
        <v>13</v>
      </c>
      <c r="R1946" t="s">
        <v>13</v>
      </c>
      <c r="S1946" t="s">
        <v>144</v>
      </c>
      <c r="T1946" s="2">
        <f>MASTER[[#This Row],[CANTIDAD]]*MASTER[[#This Row],[PRECIO DE VENTA]]</f>
        <v>1678</v>
      </c>
      <c r="U1946" s="2">
        <f>MASTER[[#This Row],[CANTIDAD]]*MASTER[[#This Row],[COSTO UNITARIO]]</f>
        <v>386</v>
      </c>
      <c r="V1946" s="2">
        <f>MASTER[[#This Row],[MONTO VENDIDO]]-MASTER[[#This Row],[COSTO DE VENTA]]</f>
        <v>1292</v>
      </c>
    </row>
    <row r="1947" spans="1:22" x14ac:dyDescent="0.3">
      <c r="A1947">
        <v>34758</v>
      </c>
      <c r="B1947">
        <v>1</v>
      </c>
      <c r="C1947" t="s">
        <v>105</v>
      </c>
      <c r="D1947" t="s">
        <v>106</v>
      </c>
      <c r="E1947" s="1">
        <v>44063</v>
      </c>
      <c r="F1947">
        <v>1</v>
      </c>
      <c r="G1947" t="s">
        <v>73</v>
      </c>
      <c r="H1947" t="s">
        <v>74</v>
      </c>
      <c r="I1947" s="3">
        <v>1865</v>
      </c>
      <c r="J1947" s="3">
        <v>1865</v>
      </c>
      <c r="K1947" s="3">
        <v>459</v>
      </c>
      <c r="L1947" t="s">
        <v>98</v>
      </c>
      <c r="M1947">
        <v>19</v>
      </c>
      <c r="N1947" t="s">
        <v>89</v>
      </c>
      <c r="O1947" t="s">
        <v>81</v>
      </c>
      <c r="P1947" t="s">
        <v>15</v>
      </c>
      <c r="Q1947" t="s">
        <v>16</v>
      </c>
      <c r="R1947" t="s">
        <v>16</v>
      </c>
      <c r="S1947" t="s">
        <v>144</v>
      </c>
      <c r="T1947" s="2">
        <f>MASTER[[#This Row],[CANTIDAD]]*MASTER[[#This Row],[PRECIO DE VENTA]]</f>
        <v>1865</v>
      </c>
      <c r="U1947" s="2">
        <f>MASTER[[#This Row],[CANTIDAD]]*MASTER[[#This Row],[COSTO UNITARIO]]</f>
        <v>459</v>
      </c>
      <c r="V1947" s="2">
        <f>MASTER[[#This Row],[MONTO VENDIDO]]-MASTER[[#This Row],[COSTO DE VENTA]]</f>
        <v>1406</v>
      </c>
    </row>
    <row r="1948" spans="1:22" x14ac:dyDescent="0.3">
      <c r="A1948">
        <v>34776</v>
      </c>
      <c r="B1948">
        <v>1</v>
      </c>
      <c r="C1948" t="s">
        <v>105</v>
      </c>
      <c r="D1948" t="s">
        <v>106</v>
      </c>
      <c r="E1948" s="1">
        <v>44063</v>
      </c>
      <c r="F1948">
        <v>1</v>
      </c>
      <c r="G1948" t="s">
        <v>65</v>
      </c>
      <c r="H1948" t="s">
        <v>66</v>
      </c>
      <c r="I1948" s="3">
        <v>1865</v>
      </c>
      <c r="J1948" s="3">
        <v>1865</v>
      </c>
      <c r="K1948" s="3">
        <v>459</v>
      </c>
      <c r="L1948" t="s">
        <v>98</v>
      </c>
      <c r="M1948">
        <v>10</v>
      </c>
      <c r="N1948" t="s">
        <v>83</v>
      </c>
      <c r="O1948" t="s">
        <v>81</v>
      </c>
      <c r="P1948" t="s">
        <v>12</v>
      </c>
      <c r="Q1948" t="s">
        <v>13</v>
      </c>
      <c r="R1948" t="s">
        <v>13</v>
      </c>
      <c r="S1948" t="s">
        <v>144</v>
      </c>
      <c r="T1948" s="2">
        <f>MASTER[[#This Row],[CANTIDAD]]*MASTER[[#This Row],[PRECIO DE VENTA]]</f>
        <v>1865</v>
      </c>
      <c r="U1948" s="2">
        <f>MASTER[[#This Row],[CANTIDAD]]*MASTER[[#This Row],[COSTO UNITARIO]]</f>
        <v>459</v>
      </c>
      <c r="V1948" s="2">
        <f>MASTER[[#This Row],[MONTO VENDIDO]]-MASTER[[#This Row],[COSTO DE VENTA]]</f>
        <v>1406</v>
      </c>
    </row>
    <row r="1949" spans="1:22" x14ac:dyDescent="0.3">
      <c r="A1949">
        <v>34791</v>
      </c>
      <c r="B1949">
        <v>1</v>
      </c>
      <c r="C1949" t="s">
        <v>109</v>
      </c>
      <c r="D1949" t="s">
        <v>110</v>
      </c>
      <c r="E1949" s="1">
        <v>44063</v>
      </c>
      <c r="F1949">
        <v>1</v>
      </c>
      <c r="G1949" t="s">
        <v>7</v>
      </c>
      <c r="H1949" t="s">
        <v>8</v>
      </c>
      <c r="I1949" s="3">
        <v>1064</v>
      </c>
      <c r="J1949" s="3">
        <v>978</v>
      </c>
      <c r="K1949" s="3">
        <v>387</v>
      </c>
      <c r="L1949" t="s">
        <v>98</v>
      </c>
      <c r="M1949">
        <v>7</v>
      </c>
      <c r="N1949" t="s">
        <v>84</v>
      </c>
      <c r="O1949" t="s">
        <v>81</v>
      </c>
      <c r="P1949" t="s">
        <v>12</v>
      </c>
      <c r="Q1949" t="s">
        <v>13</v>
      </c>
      <c r="R1949" t="s">
        <v>13</v>
      </c>
      <c r="S1949" t="s">
        <v>144</v>
      </c>
      <c r="T1949" s="2">
        <f>MASTER[[#This Row],[CANTIDAD]]*MASTER[[#This Row],[PRECIO DE VENTA]]</f>
        <v>978</v>
      </c>
      <c r="U1949" s="2">
        <f>MASTER[[#This Row],[CANTIDAD]]*MASTER[[#This Row],[COSTO UNITARIO]]</f>
        <v>387</v>
      </c>
      <c r="V1949" s="2">
        <f>MASTER[[#This Row],[MONTO VENDIDO]]-MASTER[[#This Row],[COSTO DE VENTA]]</f>
        <v>591</v>
      </c>
    </row>
    <row r="1950" spans="1:22" x14ac:dyDescent="0.3">
      <c r="A1950">
        <v>34824</v>
      </c>
      <c r="B1950">
        <v>1</v>
      </c>
      <c r="C1950" t="s">
        <v>116</v>
      </c>
      <c r="D1950" t="s">
        <v>117</v>
      </c>
      <c r="E1950" s="1">
        <v>44063</v>
      </c>
      <c r="F1950">
        <v>1</v>
      </c>
      <c r="G1950" t="s">
        <v>65</v>
      </c>
      <c r="H1950" t="s">
        <v>66</v>
      </c>
      <c r="I1950" s="3">
        <v>1529</v>
      </c>
      <c r="J1950" s="3">
        <v>1529</v>
      </c>
      <c r="K1950" s="3">
        <v>388</v>
      </c>
      <c r="L1950" t="s">
        <v>113</v>
      </c>
      <c r="M1950">
        <v>16</v>
      </c>
      <c r="N1950" t="s">
        <v>17</v>
      </c>
      <c r="O1950" t="s">
        <v>11</v>
      </c>
      <c r="P1950" t="s">
        <v>18</v>
      </c>
      <c r="Q1950" t="s">
        <v>19</v>
      </c>
      <c r="R1950" t="s">
        <v>138</v>
      </c>
      <c r="S1950" t="s">
        <v>144</v>
      </c>
      <c r="T1950" s="2">
        <f>MASTER[[#This Row],[CANTIDAD]]*MASTER[[#This Row],[PRECIO DE VENTA]]</f>
        <v>1529</v>
      </c>
      <c r="U1950" s="2">
        <f>MASTER[[#This Row],[CANTIDAD]]*MASTER[[#This Row],[COSTO UNITARIO]]</f>
        <v>388</v>
      </c>
      <c r="V1950" s="2">
        <f>MASTER[[#This Row],[MONTO VENDIDO]]-MASTER[[#This Row],[COSTO DE VENTA]]</f>
        <v>1141</v>
      </c>
    </row>
    <row r="1951" spans="1:22" x14ac:dyDescent="0.3">
      <c r="A1951">
        <v>34834</v>
      </c>
      <c r="B1951">
        <v>1</v>
      </c>
      <c r="C1951" t="s">
        <v>5</v>
      </c>
      <c r="D1951" t="s">
        <v>6</v>
      </c>
      <c r="E1951" s="1">
        <v>44063</v>
      </c>
      <c r="F1951">
        <v>1</v>
      </c>
      <c r="G1951" t="s">
        <v>7</v>
      </c>
      <c r="H1951" t="s">
        <v>8</v>
      </c>
      <c r="I1951" s="3">
        <v>1507</v>
      </c>
      <c r="J1951" s="3">
        <v>1507</v>
      </c>
      <c r="K1951" s="3">
        <v>393</v>
      </c>
      <c r="L1951" t="s">
        <v>9</v>
      </c>
      <c r="M1951">
        <v>7</v>
      </c>
      <c r="N1951" t="s">
        <v>84</v>
      </c>
      <c r="O1951" t="s">
        <v>81</v>
      </c>
      <c r="P1951" t="s">
        <v>12</v>
      </c>
      <c r="Q1951" t="s">
        <v>13</v>
      </c>
      <c r="R1951" t="s">
        <v>13</v>
      </c>
      <c r="S1951" t="s">
        <v>144</v>
      </c>
      <c r="T1951" s="2">
        <f>MASTER[[#This Row],[CANTIDAD]]*MASTER[[#This Row],[PRECIO DE VENTA]]</f>
        <v>1507</v>
      </c>
      <c r="U1951" s="2">
        <f>MASTER[[#This Row],[CANTIDAD]]*MASTER[[#This Row],[COSTO UNITARIO]]</f>
        <v>393</v>
      </c>
      <c r="V1951" s="2">
        <f>MASTER[[#This Row],[MONTO VENDIDO]]-MASTER[[#This Row],[COSTO DE VENTA]]</f>
        <v>1114</v>
      </c>
    </row>
    <row r="1952" spans="1:22" x14ac:dyDescent="0.3">
      <c r="A1952">
        <v>34836</v>
      </c>
      <c r="B1952">
        <v>1</v>
      </c>
      <c r="C1952" t="s">
        <v>107</v>
      </c>
      <c r="D1952" t="s">
        <v>108</v>
      </c>
      <c r="E1952" s="1">
        <v>44064</v>
      </c>
      <c r="F1952">
        <v>1</v>
      </c>
      <c r="G1952" t="s">
        <v>67</v>
      </c>
      <c r="H1952" t="s">
        <v>68</v>
      </c>
      <c r="I1952" s="3">
        <v>1240</v>
      </c>
      <c r="J1952" s="3">
        <v>1240</v>
      </c>
      <c r="K1952" s="3">
        <v>380</v>
      </c>
      <c r="L1952" t="s">
        <v>98</v>
      </c>
      <c r="M1952">
        <v>12</v>
      </c>
      <c r="N1952" t="s">
        <v>26</v>
      </c>
      <c r="O1952" t="s">
        <v>11</v>
      </c>
      <c r="P1952" t="s">
        <v>12</v>
      </c>
      <c r="Q1952" t="s">
        <v>13</v>
      </c>
      <c r="R1952" t="s">
        <v>13</v>
      </c>
      <c r="S1952" t="s">
        <v>144</v>
      </c>
      <c r="T1952" s="2">
        <f>MASTER[[#This Row],[CANTIDAD]]*MASTER[[#This Row],[PRECIO DE VENTA]]</f>
        <v>1240</v>
      </c>
      <c r="U1952" s="2">
        <f>MASTER[[#This Row],[CANTIDAD]]*MASTER[[#This Row],[COSTO UNITARIO]]</f>
        <v>380</v>
      </c>
      <c r="V1952" s="2">
        <f>MASTER[[#This Row],[MONTO VENDIDO]]-MASTER[[#This Row],[COSTO DE VENTA]]</f>
        <v>860</v>
      </c>
    </row>
    <row r="1953" spans="1:22" x14ac:dyDescent="0.3">
      <c r="A1953">
        <v>34847</v>
      </c>
      <c r="B1953">
        <v>1</v>
      </c>
      <c r="C1953" t="s">
        <v>121</v>
      </c>
      <c r="D1953" t="s">
        <v>122</v>
      </c>
      <c r="E1953" s="1">
        <v>44064</v>
      </c>
      <c r="F1953">
        <v>1</v>
      </c>
      <c r="G1953" t="s">
        <v>37</v>
      </c>
      <c r="H1953" t="s">
        <v>38</v>
      </c>
      <c r="I1953" s="3">
        <v>1069</v>
      </c>
      <c r="J1953" s="3">
        <v>1069</v>
      </c>
      <c r="K1953" s="3">
        <v>460</v>
      </c>
      <c r="L1953" t="s">
        <v>120</v>
      </c>
      <c r="M1953">
        <v>10</v>
      </c>
      <c r="N1953" t="s">
        <v>83</v>
      </c>
      <c r="O1953" t="s">
        <v>81</v>
      </c>
      <c r="P1953" t="s">
        <v>12</v>
      </c>
      <c r="Q1953" t="s">
        <v>13</v>
      </c>
      <c r="R1953" t="s">
        <v>13</v>
      </c>
      <c r="S1953" t="s">
        <v>144</v>
      </c>
      <c r="T1953" s="2">
        <f>MASTER[[#This Row],[CANTIDAD]]*MASTER[[#This Row],[PRECIO DE VENTA]]</f>
        <v>1069</v>
      </c>
      <c r="U1953" s="2">
        <f>MASTER[[#This Row],[CANTIDAD]]*MASTER[[#This Row],[COSTO UNITARIO]]</f>
        <v>460</v>
      </c>
      <c r="V1953" s="2">
        <f>MASTER[[#This Row],[MONTO VENDIDO]]-MASTER[[#This Row],[COSTO DE VENTA]]</f>
        <v>609</v>
      </c>
    </row>
    <row r="1954" spans="1:22" x14ac:dyDescent="0.3">
      <c r="A1954">
        <v>34854</v>
      </c>
      <c r="B1954">
        <v>1</v>
      </c>
      <c r="C1954" t="s">
        <v>90</v>
      </c>
      <c r="D1954" t="s">
        <v>91</v>
      </c>
      <c r="E1954" s="1">
        <v>44064</v>
      </c>
      <c r="F1954">
        <v>1</v>
      </c>
      <c r="G1954" t="s">
        <v>39</v>
      </c>
      <c r="H1954" t="s">
        <v>40</v>
      </c>
      <c r="I1954" s="3">
        <v>1660</v>
      </c>
      <c r="J1954" s="3">
        <v>1660</v>
      </c>
      <c r="K1954" s="3">
        <v>420</v>
      </c>
      <c r="L1954" t="s">
        <v>9</v>
      </c>
      <c r="M1954">
        <v>11</v>
      </c>
      <c r="N1954" t="s">
        <v>10</v>
      </c>
      <c r="O1954" t="s">
        <v>11</v>
      </c>
      <c r="P1954" t="s">
        <v>12</v>
      </c>
      <c r="Q1954" t="s">
        <v>13</v>
      </c>
      <c r="R1954" t="s">
        <v>13</v>
      </c>
      <c r="S1954" t="s">
        <v>144</v>
      </c>
      <c r="T1954" s="2">
        <f>MASTER[[#This Row],[CANTIDAD]]*MASTER[[#This Row],[PRECIO DE VENTA]]</f>
        <v>1660</v>
      </c>
      <c r="U1954" s="2">
        <f>MASTER[[#This Row],[CANTIDAD]]*MASTER[[#This Row],[COSTO UNITARIO]]</f>
        <v>420</v>
      </c>
      <c r="V1954" s="2">
        <f>MASTER[[#This Row],[MONTO VENDIDO]]-MASTER[[#This Row],[COSTO DE VENTA]]</f>
        <v>1240</v>
      </c>
    </row>
    <row r="1955" spans="1:22" x14ac:dyDescent="0.3">
      <c r="A1955">
        <v>34878</v>
      </c>
      <c r="B1955">
        <v>1</v>
      </c>
      <c r="C1955" t="s">
        <v>94</v>
      </c>
      <c r="D1955" t="s">
        <v>95</v>
      </c>
      <c r="E1955" s="1">
        <v>44065</v>
      </c>
      <c r="F1955">
        <v>1</v>
      </c>
      <c r="G1955" t="s">
        <v>29</v>
      </c>
      <c r="H1955" t="s">
        <v>30</v>
      </c>
      <c r="I1955" s="3">
        <v>1048</v>
      </c>
      <c r="J1955" s="3">
        <v>1048</v>
      </c>
      <c r="K1955" s="3">
        <v>392</v>
      </c>
      <c r="L1955" t="s">
        <v>9</v>
      </c>
      <c r="M1955">
        <v>15</v>
      </c>
      <c r="N1955" t="s">
        <v>88</v>
      </c>
      <c r="O1955" t="s">
        <v>81</v>
      </c>
      <c r="P1955" t="s">
        <v>18</v>
      </c>
      <c r="Q1955" t="s">
        <v>19</v>
      </c>
      <c r="R1955" t="s">
        <v>138</v>
      </c>
      <c r="S1955" t="s">
        <v>144</v>
      </c>
      <c r="T1955" s="2">
        <f>MASTER[[#This Row],[CANTIDAD]]*MASTER[[#This Row],[PRECIO DE VENTA]]</f>
        <v>1048</v>
      </c>
      <c r="U1955" s="2">
        <f>MASTER[[#This Row],[CANTIDAD]]*MASTER[[#This Row],[COSTO UNITARIO]]</f>
        <v>392</v>
      </c>
      <c r="V1955" s="2">
        <f>MASTER[[#This Row],[MONTO VENDIDO]]-MASTER[[#This Row],[COSTO DE VENTA]]</f>
        <v>656</v>
      </c>
    </row>
    <row r="1956" spans="1:22" x14ac:dyDescent="0.3">
      <c r="A1956">
        <v>34885</v>
      </c>
      <c r="B1956">
        <v>1</v>
      </c>
      <c r="C1956" t="s">
        <v>116</v>
      </c>
      <c r="D1956" t="s">
        <v>117</v>
      </c>
      <c r="E1956" s="1">
        <v>44065</v>
      </c>
      <c r="F1956">
        <v>1</v>
      </c>
      <c r="G1956" t="s">
        <v>39</v>
      </c>
      <c r="H1956" t="s">
        <v>40</v>
      </c>
      <c r="I1956" s="3">
        <v>1999</v>
      </c>
      <c r="J1956" s="3">
        <v>1999</v>
      </c>
      <c r="K1956" s="3">
        <v>388</v>
      </c>
      <c r="L1956" t="s">
        <v>113</v>
      </c>
      <c r="M1956">
        <v>9</v>
      </c>
      <c r="N1956" t="s">
        <v>76</v>
      </c>
      <c r="O1956" t="s">
        <v>70</v>
      </c>
      <c r="P1956" t="s">
        <v>12</v>
      </c>
      <c r="Q1956" t="s">
        <v>13</v>
      </c>
      <c r="R1956" t="s">
        <v>13</v>
      </c>
      <c r="S1956" t="s">
        <v>144</v>
      </c>
      <c r="T1956" s="2">
        <f>MASTER[[#This Row],[CANTIDAD]]*MASTER[[#This Row],[PRECIO DE VENTA]]</f>
        <v>1999</v>
      </c>
      <c r="U1956" s="2">
        <f>MASTER[[#This Row],[CANTIDAD]]*MASTER[[#This Row],[COSTO UNITARIO]]</f>
        <v>388</v>
      </c>
      <c r="V1956" s="2">
        <f>MASTER[[#This Row],[MONTO VENDIDO]]-MASTER[[#This Row],[COSTO DE VENTA]]</f>
        <v>1611</v>
      </c>
    </row>
    <row r="1957" spans="1:22" x14ac:dyDescent="0.3">
      <c r="A1957">
        <v>34887</v>
      </c>
      <c r="B1957">
        <v>1</v>
      </c>
      <c r="C1957" t="s">
        <v>105</v>
      </c>
      <c r="D1957" t="s">
        <v>106</v>
      </c>
      <c r="E1957" s="1">
        <v>44065</v>
      </c>
      <c r="F1957">
        <v>1</v>
      </c>
      <c r="G1957" t="s">
        <v>67</v>
      </c>
      <c r="H1957" t="s">
        <v>68</v>
      </c>
      <c r="I1957" s="3">
        <v>1585</v>
      </c>
      <c r="J1957" s="3">
        <v>1585</v>
      </c>
      <c r="K1957" s="3">
        <v>459</v>
      </c>
      <c r="L1957" t="s">
        <v>98</v>
      </c>
      <c r="M1957">
        <v>16</v>
      </c>
      <c r="N1957" t="s">
        <v>17</v>
      </c>
      <c r="O1957" t="s">
        <v>11</v>
      </c>
      <c r="P1957" t="s">
        <v>18</v>
      </c>
      <c r="Q1957" t="s">
        <v>19</v>
      </c>
      <c r="R1957" t="s">
        <v>138</v>
      </c>
      <c r="S1957" t="s">
        <v>144</v>
      </c>
      <c r="T1957" s="2">
        <f>MASTER[[#This Row],[CANTIDAD]]*MASTER[[#This Row],[PRECIO DE VENTA]]</f>
        <v>1585</v>
      </c>
      <c r="U1957" s="2">
        <f>MASTER[[#This Row],[CANTIDAD]]*MASTER[[#This Row],[COSTO UNITARIO]]</f>
        <v>459</v>
      </c>
      <c r="V1957" s="2">
        <f>MASTER[[#This Row],[MONTO VENDIDO]]-MASTER[[#This Row],[COSTO DE VENTA]]</f>
        <v>1126</v>
      </c>
    </row>
    <row r="1958" spans="1:22" x14ac:dyDescent="0.3">
      <c r="A1958">
        <v>34899</v>
      </c>
      <c r="B1958">
        <v>1</v>
      </c>
      <c r="C1958" t="s">
        <v>94</v>
      </c>
      <c r="D1958" t="s">
        <v>95</v>
      </c>
      <c r="E1958" s="1">
        <v>44065</v>
      </c>
      <c r="F1958">
        <v>1</v>
      </c>
      <c r="G1958" t="s">
        <v>45</v>
      </c>
      <c r="H1958" t="s">
        <v>46</v>
      </c>
      <c r="I1958" s="3">
        <v>1153</v>
      </c>
      <c r="J1958" s="3">
        <v>1153</v>
      </c>
      <c r="K1958" s="3">
        <v>392</v>
      </c>
      <c r="L1958" t="s">
        <v>9</v>
      </c>
      <c r="M1958">
        <v>3</v>
      </c>
      <c r="N1958" t="s">
        <v>69</v>
      </c>
      <c r="O1958" t="s">
        <v>70</v>
      </c>
      <c r="P1958" t="s">
        <v>71</v>
      </c>
      <c r="Q1958" t="s">
        <v>72</v>
      </c>
      <c r="R1958" t="s">
        <v>139</v>
      </c>
      <c r="S1958" t="s">
        <v>144</v>
      </c>
      <c r="T1958" s="2">
        <f>MASTER[[#This Row],[CANTIDAD]]*MASTER[[#This Row],[PRECIO DE VENTA]]</f>
        <v>1153</v>
      </c>
      <c r="U1958" s="2">
        <f>MASTER[[#This Row],[CANTIDAD]]*MASTER[[#This Row],[COSTO UNITARIO]]</f>
        <v>392</v>
      </c>
      <c r="V1958" s="2">
        <f>MASTER[[#This Row],[MONTO VENDIDO]]-MASTER[[#This Row],[COSTO DE VENTA]]</f>
        <v>761</v>
      </c>
    </row>
    <row r="1959" spans="1:22" x14ac:dyDescent="0.3">
      <c r="A1959">
        <v>34920</v>
      </c>
      <c r="B1959">
        <v>1</v>
      </c>
      <c r="C1959" t="s">
        <v>121</v>
      </c>
      <c r="D1959" t="s">
        <v>122</v>
      </c>
      <c r="E1959" s="1">
        <v>44065</v>
      </c>
      <c r="F1959">
        <v>1</v>
      </c>
      <c r="G1959" t="s">
        <v>59</v>
      </c>
      <c r="H1959" t="s">
        <v>60</v>
      </c>
      <c r="I1959" s="3">
        <v>941</v>
      </c>
      <c r="J1959" s="3">
        <v>941</v>
      </c>
      <c r="K1959" s="3">
        <v>460</v>
      </c>
      <c r="L1959" t="s">
        <v>120</v>
      </c>
      <c r="M1959">
        <v>12</v>
      </c>
      <c r="N1959" t="s">
        <v>26</v>
      </c>
      <c r="O1959" t="s">
        <v>11</v>
      </c>
      <c r="P1959" t="s">
        <v>12</v>
      </c>
      <c r="Q1959" t="s">
        <v>13</v>
      </c>
      <c r="R1959" t="s">
        <v>13</v>
      </c>
      <c r="S1959" t="s">
        <v>144</v>
      </c>
      <c r="T1959" s="2">
        <f>MASTER[[#This Row],[CANTIDAD]]*MASTER[[#This Row],[PRECIO DE VENTA]]</f>
        <v>941</v>
      </c>
      <c r="U1959" s="2">
        <f>MASTER[[#This Row],[CANTIDAD]]*MASTER[[#This Row],[COSTO UNITARIO]]</f>
        <v>460</v>
      </c>
      <c r="V1959" s="2">
        <f>MASTER[[#This Row],[MONTO VENDIDO]]-MASTER[[#This Row],[COSTO DE VENTA]]</f>
        <v>481</v>
      </c>
    </row>
    <row r="1960" spans="1:22" x14ac:dyDescent="0.3">
      <c r="A1960">
        <v>34926</v>
      </c>
      <c r="B1960">
        <v>1</v>
      </c>
      <c r="C1960" t="s">
        <v>109</v>
      </c>
      <c r="D1960" t="s">
        <v>110</v>
      </c>
      <c r="E1960" s="1">
        <v>44065</v>
      </c>
      <c r="F1960">
        <v>2</v>
      </c>
      <c r="G1960" t="s">
        <v>53</v>
      </c>
      <c r="H1960" t="s">
        <v>54</v>
      </c>
      <c r="I1960" s="3">
        <v>1064</v>
      </c>
      <c r="J1960" s="3">
        <v>1064</v>
      </c>
      <c r="K1960" s="3">
        <v>387</v>
      </c>
      <c r="L1960" t="s">
        <v>98</v>
      </c>
      <c r="M1960">
        <v>10</v>
      </c>
      <c r="N1960" t="s">
        <v>83</v>
      </c>
      <c r="O1960" t="s">
        <v>81</v>
      </c>
      <c r="P1960" t="s">
        <v>12</v>
      </c>
      <c r="Q1960" t="s">
        <v>13</v>
      </c>
      <c r="R1960" t="s">
        <v>13</v>
      </c>
      <c r="S1960" t="s">
        <v>144</v>
      </c>
      <c r="T1960" s="2">
        <f>MASTER[[#This Row],[CANTIDAD]]*MASTER[[#This Row],[PRECIO DE VENTA]]</f>
        <v>2128</v>
      </c>
      <c r="U1960" s="2">
        <f>MASTER[[#This Row],[CANTIDAD]]*MASTER[[#This Row],[COSTO UNITARIO]]</f>
        <v>774</v>
      </c>
      <c r="V1960" s="2">
        <f>MASTER[[#This Row],[MONTO VENDIDO]]-MASTER[[#This Row],[COSTO DE VENTA]]</f>
        <v>1354</v>
      </c>
    </row>
    <row r="1961" spans="1:22" x14ac:dyDescent="0.3">
      <c r="A1961">
        <v>34934</v>
      </c>
      <c r="B1961">
        <v>1</v>
      </c>
      <c r="C1961" t="s">
        <v>118</v>
      </c>
      <c r="D1961" t="s">
        <v>119</v>
      </c>
      <c r="E1961" s="1">
        <v>44066</v>
      </c>
      <c r="F1961">
        <v>1</v>
      </c>
      <c r="G1961" t="s">
        <v>61</v>
      </c>
      <c r="H1961" t="s">
        <v>62</v>
      </c>
      <c r="I1961" s="3">
        <v>1026</v>
      </c>
      <c r="J1961" s="3">
        <v>984</v>
      </c>
      <c r="K1961" s="3">
        <v>424</v>
      </c>
      <c r="L1961" t="s">
        <v>120</v>
      </c>
      <c r="M1961">
        <v>3</v>
      </c>
      <c r="N1961" t="s">
        <v>69</v>
      </c>
      <c r="O1961" t="s">
        <v>70</v>
      </c>
      <c r="P1961" t="s">
        <v>71</v>
      </c>
      <c r="Q1961" t="s">
        <v>72</v>
      </c>
      <c r="R1961" t="s">
        <v>139</v>
      </c>
      <c r="S1961" t="s">
        <v>144</v>
      </c>
      <c r="T1961" s="2">
        <f>MASTER[[#This Row],[CANTIDAD]]*MASTER[[#This Row],[PRECIO DE VENTA]]</f>
        <v>984</v>
      </c>
      <c r="U1961" s="2">
        <f>MASTER[[#This Row],[CANTIDAD]]*MASTER[[#This Row],[COSTO UNITARIO]]</f>
        <v>424</v>
      </c>
      <c r="V1961" s="2">
        <f>MASTER[[#This Row],[MONTO VENDIDO]]-MASTER[[#This Row],[COSTO DE VENTA]]</f>
        <v>560</v>
      </c>
    </row>
    <row r="1962" spans="1:22" x14ac:dyDescent="0.3">
      <c r="A1962">
        <v>34949</v>
      </c>
      <c r="B1962">
        <v>1</v>
      </c>
      <c r="C1962" t="s">
        <v>103</v>
      </c>
      <c r="D1962" t="s">
        <v>104</v>
      </c>
      <c r="E1962" s="1">
        <v>44066</v>
      </c>
      <c r="F1962">
        <v>1</v>
      </c>
      <c r="G1962" t="s">
        <v>65</v>
      </c>
      <c r="H1962" t="s">
        <v>66</v>
      </c>
      <c r="I1962" s="3">
        <v>1591</v>
      </c>
      <c r="J1962" s="3">
        <v>1591</v>
      </c>
      <c r="K1962" s="3">
        <v>421</v>
      </c>
      <c r="L1962" t="s">
        <v>98</v>
      </c>
      <c r="M1962">
        <v>7</v>
      </c>
      <c r="N1962" t="s">
        <v>84</v>
      </c>
      <c r="O1962" t="s">
        <v>81</v>
      </c>
      <c r="P1962" t="s">
        <v>12</v>
      </c>
      <c r="Q1962" t="s">
        <v>13</v>
      </c>
      <c r="R1962" t="s">
        <v>13</v>
      </c>
      <c r="S1962" t="s">
        <v>144</v>
      </c>
      <c r="T1962" s="2">
        <f>MASTER[[#This Row],[CANTIDAD]]*MASTER[[#This Row],[PRECIO DE VENTA]]</f>
        <v>1591</v>
      </c>
      <c r="U1962" s="2">
        <f>MASTER[[#This Row],[CANTIDAD]]*MASTER[[#This Row],[COSTO UNITARIO]]</f>
        <v>421</v>
      </c>
      <c r="V1962" s="2">
        <f>MASTER[[#This Row],[MONTO VENDIDO]]-MASTER[[#This Row],[COSTO DE VENTA]]</f>
        <v>1170</v>
      </c>
    </row>
    <row r="1963" spans="1:22" x14ac:dyDescent="0.3">
      <c r="A1963">
        <v>34964</v>
      </c>
      <c r="B1963">
        <v>1</v>
      </c>
      <c r="C1963" t="s">
        <v>114</v>
      </c>
      <c r="D1963" t="s">
        <v>115</v>
      </c>
      <c r="E1963" s="1">
        <v>44066</v>
      </c>
      <c r="F1963">
        <v>1</v>
      </c>
      <c r="G1963" t="s">
        <v>53</v>
      </c>
      <c r="H1963" t="s">
        <v>54</v>
      </c>
      <c r="I1963" s="3">
        <v>1862</v>
      </c>
      <c r="J1963" s="3">
        <v>1862</v>
      </c>
      <c r="K1963" s="3">
        <v>394</v>
      </c>
      <c r="L1963" t="s">
        <v>113</v>
      </c>
      <c r="M1963">
        <v>15</v>
      </c>
      <c r="N1963" t="s">
        <v>88</v>
      </c>
      <c r="O1963" t="s">
        <v>81</v>
      </c>
      <c r="P1963" t="s">
        <v>18</v>
      </c>
      <c r="Q1963" t="s">
        <v>19</v>
      </c>
      <c r="R1963" t="s">
        <v>138</v>
      </c>
      <c r="S1963" t="s">
        <v>144</v>
      </c>
      <c r="T1963" s="2">
        <f>MASTER[[#This Row],[CANTIDAD]]*MASTER[[#This Row],[PRECIO DE VENTA]]</f>
        <v>1862</v>
      </c>
      <c r="U1963" s="2">
        <f>MASTER[[#This Row],[CANTIDAD]]*MASTER[[#This Row],[COSTO UNITARIO]]</f>
        <v>394</v>
      </c>
      <c r="V1963" s="2">
        <f>MASTER[[#This Row],[MONTO VENDIDO]]-MASTER[[#This Row],[COSTO DE VENTA]]</f>
        <v>1468</v>
      </c>
    </row>
    <row r="1964" spans="1:22" x14ac:dyDescent="0.3">
      <c r="A1964">
        <v>34979</v>
      </c>
      <c r="B1964">
        <v>1</v>
      </c>
      <c r="C1964" t="s">
        <v>90</v>
      </c>
      <c r="D1964" t="s">
        <v>91</v>
      </c>
      <c r="E1964" s="1">
        <v>44066</v>
      </c>
      <c r="F1964">
        <v>1</v>
      </c>
      <c r="G1964" t="s">
        <v>35</v>
      </c>
      <c r="H1964" t="s">
        <v>36</v>
      </c>
      <c r="I1964" s="3">
        <v>1844</v>
      </c>
      <c r="J1964" s="3">
        <v>1844</v>
      </c>
      <c r="K1964" s="3">
        <v>420</v>
      </c>
      <c r="L1964" t="s">
        <v>9</v>
      </c>
      <c r="M1964">
        <v>15</v>
      </c>
      <c r="N1964" t="s">
        <v>88</v>
      </c>
      <c r="O1964" t="s">
        <v>81</v>
      </c>
      <c r="P1964" t="s">
        <v>18</v>
      </c>
      <c r="Q1964" t="s">
        <v>19</v>
      </c>
      <c r="R1964" t="s">
        <v>138</v>
      </c>
      <c r="S1964" t="s">
        <v>144</v>
      </c>
      <c r="T1964" s="2">
        <f>MASTER[[#This Row],[CANTIDAD]]*MASTER[[#This Row],[PRECIO DE VENTA]]</f>
        <v>1844</v>
      </c>
      <c r="U1964" s="2">
        <f>MASTER[[#This Row],[CANTIDAD]]*MASTER[[#This Row],[COSTO UNITARIO]]</f>
        <v>420</v>
      </c>
      <c r="V1964" s="2">
        <f>MASTER[[#This Row],[MONTO VENDIDO]]-MASTER[[#This Row],[COSTO DE VENTA]]</f>
        <v>1424</v>
      </c>
    </row>
    <row r="1965" spans="1:22" x14ac:dyDescent="0.3">
      <c r="A1965">
        <v>34987</v>
      </c>
      <c r="B1965">
        <v>1</v>
      </c>
      <c r="C1965" t="s">
        <v>92</v>
      </c>
      <c r="D1965" t="s">
        <v>93</v>
      </c>
      <c r="E1965" s="1">
        <v>44066</v>
      </c>
      <c r="F1965">
        <v>1</v>
      </c>
      <c r="G1965" t="s">
        <v>61</v>
      </c>
      <c r="H1965" t="s">
        <v>62</v>
      </c>
      <c r="I1965" s="3">
        <v>1681</v>
      </c>
      <c r="J1965" s="3">
        <v>1681</v>
      </c>
      <c r="K1965" s="3">
        <v>396</v>
      </c>
      <c r="L1965" t="s">
        <v>9</v>
      </c>
      <c r="M1965">
        <v>2</v>
      </c>
      <c r="N1965" t="s">
        <v>86</v>
      </c>
      <c r="O1965" t="s">
        <v>81</v>
      </c>
      <c r="P1965" t="s">
        <v>71</v>
      </c>
      <c r="Q1965" t="s">
        <v>72</v>
      </c>
      <c r="R1965" t="s">
        <v>139</v>
      </c>
      <c r="S1965" t="s">
        <v>144</v>
      </c>
      <c r="T1965" s="2">
        <f>MASTER[[#This Row],[CANTIDAD]]*MASTER[[#This Row],[PRECIO DE VENTA]]</f>
        <v>1681</v>
      </c>
      <c r="U1965" s="2">
        <f>MASTER[[#This Row],[CANTIDAD]]*MASTER[[#This Row],[COSTO UNITARIO]]</f>
        <v>396</v>
      </c>
      <c r="V1965" s="2">
        <f>MASTER[[#This Row],[MONTO VENDIDO]]-MASTER[[#This Row],[COSTO DE VENTA]]</f>
        <v>1285</v>
      </c>
    </row>
    <row r="1966" spans="1:22" x14ac:dyDescent="0.3">
      <c r="A1966">
        <v>34987</v>
      </c>
      <c r="B1966">
        <v>2</v>
      </c>
      <c r="C1966" t="s">
        <v>92</v>
      </c>
      <c r="D1966" t="s">
        <v>93</v>
      </c>
      <c r="E1966" s="1">
        <v>44066</v>
      </c>
      <c r="F1966">
        <v>1</v>
      </c>
      <c r="G1966" t="s">
        <v>37</v>
      </c>
      <c r="H1966" t="s">
        <v>38</v>
      </c>
      <c r="I1966" s="3">
        <v>1681</v>
      </c>
      <c r="J1966" s="3">
        <v>1681</v>
      </c>
      <c r="K1966" s="3">
        <v>396</v>
      </c>
      <c r="L1966" t="s">
        <v>9</v>
      </c>
      <c r="M1966">
        <v>2</v>
      </c>
      <c r="N1966" t="s">
        <v>86</v>
      </c>
      <c r="O1966" t="s">
        <v>81</v>
      </c>
      <c r="P1966" t="s">
        <v>71</v>
      </c>
      <c r="Q1966" t="s">
        <v>72</v>
      </c>
      <c r="R1966" t="s">
        <v>139</v>
      </c>
      <c r="S1966" t="s">
        <v>144</v>
      </c>
      <c r="T1966" s="2">
        <f>MASTER[[#This Row],[CANTIDAD]]*MASTER[[#This Row],[PRECIO DE VENTA]]</f>
        <v>1681</v>
      </c>
      <c r="U1966" s="2">
        <f>MASTER[[#This Row],[CANTIDAD]]*MASTER[[#This Row],[COSTO UNITARIO]]</f>
        <v>396</v>
      </c>
      <c r="V1966" s="2">
        <f>MASTER[[#This Row],[MONTO VENDIDO]]-MASTER[[#This Row],[COSTO DE VENTA]]</f>
        <v>1285</v>
      </c>
    </row>
    <row r="1967" spans="1:22" x14ac:dyDescent="0.3">
      <c r="A1967">
        <v>35005</v>
      </c>
      <c r="B1967">
        <v>1</v>
      </c>
      <c r="C1967" t="s">
        <v>99</v>
      </c>
      <c r="D1967" t="s">
        <v>100</v>
      </c>
      <c r="E1967" s="1">
        <v>44066</v>
      </c>
      <c r="F1967">
        <v>1</v>
      </c>
      <c r="G1967" t="s">
        <v>51</v>
      </c>
      <c r="H1967" t="s">
        <v>52</v>
      </c>
      <c r="I1967" s="3">
        <v>1459</v>
      </c>
      <c r="J1967" s="3">
        <v>1459</v>
      </c>
      <c r="K1967" s="3">
        <v>386</v>
      </c>
      <c r="L1967" t="s">
        <v>98</v>
      </c>
      <c r="M1967">
        <v>15</v>
      </c>
      <c r="N1967" t="s">
        <v>88</v>
      </c>
      <c r="O1967" t="s">
        <v>81</v>
      </c>
      <c r="P1967" t="s">
        <v>18</v>
      </c>
      <c r="Q1967" t="s">
        <v>19</v>
      </c>
      <c r="R1967" t="s">
        <v>138</v>
      </c>
      <c r="S1967" t="s">
        <v>144</v>
      </c>
      <c r="T1967" s="2">
        <f>MASTER[[#This Row],[CANTIDAD]]*MASTER[[#This Row],[PRECIO DE VENTA]]</f>
        <v>1459</v>
      </c>
      <c r="U1967" s="2">
        <f>MASTER[[#This Row],[CANTIDAD]]*MASTER[[#This Row],[COSTO UNITARIO]]</f>
        <v>386</v>
      </c>
      <c r="V1967" s="2">
        <f>MASTER[[#This Row],[MONTO VENDIDO]]-MASTER[[#This Row],[COSTO DE VENTA]]</f>
        <v>1073</v>
      </c>
    </row>
    <row r="1968" spans="1:22" x14ac:dyDescent="0.3">
      <c r="A1968">
        <v>35007</v>
      </c>
      <c r="B1968">
        <v>1</v>
      </c>
      <c r="C1968" t="s">
        <v>105</v>
      </c>
      <c r="D1968" t="s">
        <v>106</v>
      </c>
      <c r="E1968" s="1">
        <v>44067</v>
      </c>
      <c r="F1968">
        <v>1</v>
      </c>
      <c r="G1968" t="s">
        <v>65</v>
      </c>
      <c r="H1968" t="s">
        <v>66</v>
      </c>
      <c r="I1968" s="3">
        <v>1865</v>
      </c>
      <c r="J1968" s="3">
        <v>1865</v>
      </c>
      <c r="K1968" s="3">
        <v>459</v>
      </c>
      <c r="L1968" t="s">
        <v>98</v>
      </c>
      <c r="M1968">
        <v>10</v>
      </c>
      <c r="N1968" t="s">
        <v>83</v>
      </c>
      <c r="O1968" t="s">
        <v>81</v>
      </c>
      <c r="P1968" t="s">
        <v>12</v>
      </c>
      <c r="Q1968" t="s">
        <v>13</v>
      </c>
      <c r="R1968" t="s">
        <v>13</v>
      </c>
      <c r="S1968" t="s">
        <v>144</v>
      </c>
      <c r="T1968" s="2">
        <f>MASTER[[#This Row],[CANTIDAD]]*MASTER[[#This Row],[PRECIO DE VENTA]]</f>
        <v>1865</v>
      </c>
      <c r="U1968" s="2">
        <f>MASTER[[#This Row],[CANTIDAD]]*MASTER[[#This Row],[COSTO UNITARIO]]</f>
        <v>459</v>
      </c>
      <c r="V1968" s="2">
        <f>MASTER[[#This Row],[MONTO VENDIDO]]-MASTER[[#This Row],[COSTO DE VENTA]]</f>
        <v>1406</v>
      </c>
    </row>
    <row r="1969" spans="1:22" x14ac:dyDescent="0.3">
      <c r="A1969">
        <v>35017</v>
      </c>
      <c r="B1969">
        <v>1</v>
      </c>
      <c r="C1969" t="s">
        <v>109</v>
      </c>
      <c r="D1969" t="s">
        <v>110</v>
      </c>
      <c r="E1969" s="1">
        <v>44067</v>
      </c>
      <c r="F1969">
        <v>1</v>
      </c>
      <c r="G1969" t="s">
        <v>51</v>
      </c>
      <c r="H1969" t="s">
        <v>52</v>
      </c>
      <c r="I1969" s="3">
        <v>1128</v>
      </c>
      <c r="J1969" s="3">
        <v>1128</v>
      </c>
      <c r="K1969" s="3">
        <v>387</v>
      </c>
      <c r="L1969" t="s">
        <v>98</v>
      </c>
      <c r="M1969">
        <v>6</v>
      </c>
      <c r="N1969" t="s">
        <v>75</v>
      </c>
      <c r="O1969" t="s">
        <v>70</v>
      </c>
      <c r="P1969" t="s">
        <v>12</v>
      </c>
      <c r="Q1969" t="s">
        <v>13</v>
      </c>
      <c r="R1969" t="s">
        <v>13</v>
      </c>
      <c r="S1969" t="s">
        <v>144</v>
      </c>
      <c r="T1969" s="2">
        <f>MASTER[[#This Row],[CANTIDAD]]*MASTER[[#This Row],[PRECIO DE VENTA]]</f>
        <v>1128</v>
      </c>
      <c r="U1969" s="2">
        <f>MASTER[[#This Row],[CANTIDAD]]*MASTER[[#This Row],[COSTO UNITARIO]]</f>
        <v>387</v>
      </c>
      <c r="V1969" s="2">
        <f>MASTER[[#This Row],[MONTO VENDIDO]]-MASTER[[#This Row],[COSTO DE VENTA]]</f>
        <v>741</v>
      </c>
    </row>
    <row r="1970" spans="1:22" x14ac:dyDescent="0.3">
      <c r="A1970">
        <v>35043</v>
      </c>
      <c r="B1970">
        <v>1</v>
      </c>
      <c r="C1970" t="s">
        <v>96</v>
      </c>
      <c r="D1970" t="s">
        <v>97</v>
      </c>
      <c r="E1970" s="1">
        <v>44067</v>
      </c>
      <c r="F1970">
        <v>1</v>
      </c>
      <c r="G1970" t="s">
        <v>67</v>
      </c>
      <c r="H1970" t="s">
        <v>68</v>
      </c>
      <c r="I1970" s="3">
        <v>1272</v>
      </c>
      <c r="J1970" s="3">
        <v>1272</v>
      </c>
      <c r="K1970" s="3">
        <v>397</v>
      </c>
      <c r="L1970" t="s">
        <v>98</v>
      </c>
      <c r="M1970">
        <v>19</v>
      </c>
      <c r="N1970" t="s">
        <v>89</v>
      </c>
      <c r="O1970" t="s">
        <v>81</v>
      </c>
      <c r="P1970" t="s">
        <v>15</v>
      </c>
      <c r="Q1970" t="s">
        <v>16</v>
      </c>
      <c r="R1970" t="s">
        <v>16</v>
      </c>
      <c r="S1970" t="s">
        <v>144</v>
      </c>
      <c r="T1970" s="2">
        <f>MASTER[[#This Row],[CANTIDAD]]*MASTER[[#This Row],[PRECIO DE VENTA]]</f>
        <v>1272</v>
      </c>
      <c r="U1970" s="2">
        <f>MASTER[[#This Row],[CANTIDAD]]*MASTER[[#This Row],[COSTO UNITARIO]]</f>
        <v>397</v>
      </c>
      <c r="V1970" s="2">
        <f>MASTER[[#This Row],[MONTO VENDIDO]]-MASTER[[#This Row],[COSTO DE VENTA]]</f>
        <v>875</v>
      </c>
    </row>
    <row r="1971" spans="1:22" x14ac:dyDescent="0.3">
      <c r="A1971">
        <v>35122</v>
      </c>
      <c r="B1971">
        <v>1</v>
      </c>
      <c r="C1971" t="s">
        <v>118</v>
      </c>
      <c r="D1971" t="s">
        <v>119</v>
      </c>
      <c r="E1971" s="1">
        <v>44067</v>
      </c>
      <c r="F1971">
        <v>1</v>
      </c>
      <c r="G1971" t="s">
        <v>22</v>
      </c>
      <c r="H1971" t="s">
        <v>23</v>
      </c>
      <c r="I1971" s="3">
        <v>900</v>
      </c>
      <c r="J1971" s="3">
        <v>900</v>
      </c>
      <c r="K1971" s="3">
        <v>424</v>
      </c>
      <c r="L1971" t="s">
        <v>120</v>
      </c>
      <c r="M1971">
        <v>8</v>
      </c>
      <c r="N1971" t="s">
        <v>80</v>
      </c>
      <c r="O1971" t="s">
        <v>81</v>
      </c>
      <c r="P1971" t="s">
        <v>12</v>
      </c>
      <c r="Q1971" t="s">
        <v>13</v>
      </c>
      <c r="R1971" t="s">
        <v>13</v>
      </c>
      <c r="S1971" t="s">
        <v>144</v>
      </c>
      <c r="T1971" s="2">
        <f>MASTER[[#This Row],[CANTIDAD]]*MASTER[[#This Row],[PRECIO DE VENTA]]</f>
        <v>900</v>
      </c>
      <c r="U1971" s="2">
        <f>MASTER[[#This Row],[CANTIDAD]]*MASTER[[#This Row],[COSTO UNITARIO]]</f>
        <v>424</v>
      </c>
      <c r="V1971" s="2">
        <f>MASTER[[#This Row],[MONTO VENDIDO]]-MASTER[[#This Row],[COSTO DE VENTA]]</f>
        <v>476</v>
      </c>
    </row>
    <row r="1972" spans="1:22" x14ac:dyDescent="0.3">
      <c r="A1972">
        <v>35124</v>
      </c>
      <c r="B1972">
        <v>1</v>
      </c>
      <c r="C1972" t="s">
        <v>94</v>
      </c>
      <c r="D1972" t="s">
        <v>95</v>
      </c>
      <c r="E1972" s="1">
        <v>44067</v>
      </c>
      <c r="F1972">
        <v>3</v>
      </c>
      <c r="G1972" t="s">
        <v>61</v>
      </c>
      <c r="H1972" t="s">
        <v>62</v>
      </c>
      <c r="I1972" s="3">
        <v>901</v>
      </c>
      <c r="J1972" s="3">
        <v>901</v>
      </c>
      <c r="K1972" s="3">
        <v>392</v>
      </c>
      <c r="L1972" t="s">
        <v>9</v>
      </c>
      <c r="M1972">
        <v>11</v>
      </c>
      <c r="N1972" t="s">
        <v>10</v>
      </c>
      <c r="O1972" t="s">
        <v>11</v>
      </c>
      <c r="P1972" t="s">
        <v>12</v>
      </c>
      <c r="Q1972" t="s">
        <v>13</v>
      </c>
      <c r="R1972" t="s">
        <v>13</v>
      </c>
      <c r="S1972" t="s">
        <v>144</v>
      </c>
      <c r="T1972" s="2">
        <f>MASTER[[#This Row],[CANTIDAD]]*MASTER[[#This Row],[PRECIO DE VENTA]]</f>
        <v>2703</v>
      </c>
      <c r="U1972" s="2">
        <f>MASTER[[#This Row],[CANTIDAD]]*MASTER[[#This Row],[COSTO UNITARIO]]</f>
        <v>1176</v>
      </c>
      <c r="V1972" s="2">
        <f>MASTER[[#This Row],[MONTO VENDIDO]]-MASTER[[#This Row],[COSTO DE VENTA]]</f>
        <v>1527</v>
      </c>
    </row>
    <row r="1973" spans="1:22" x14ac:dyDescent="0.3">
      <c r="A1973">
        <v>35125</v>
      </c>
      <c r="B1973">
        <v>1</v>
      </c>
      <c r="C1973" t="s">
        <v>118</v>
      </c>
      <c r="D1973" t="s">
        <v>119</v>
      </c>
      <c r="E1973" s="1">
        <v>44067</v>
      </c>
      <c r="F1973">
        <v>1</v>
      </c>
      <c r="G1973" t="s">
        <v>65</v>
      </c>
      <c r="H1973" t="s">
        <v>66</v>
      </c>
      <c r="I1973" s="3">
        <v>801</v>
      </c>
      <c r="J1973" s="3">
        <v>801</v>
      </c>
      <c r="K1973" s="3">
        <v>424</v>
      </c>
      <c r="L1973" t="s">
        <v>120</v>
      </c>
      <c r="M1973">
        <v>11</v>
      </c>
      <c r="N1973" t="s">
        <v>10</v>
      </c>
      <c r="O1973" t="s">
        <v>11</v>
      </c>
      <c r="P1973" t="s">
        <v>12</v>
      </c>
      <c r="Q1973" t="s">
        <v>13</v>
      </c>
      <c r="R1973" t="s">
        <v>13</v>
      </c>
      <c r="S1973" t="s">
        <v>144</v>
      </c>
      <c r="T1973" s="2">
        <f>MASTER[[#This Row],[CANTIDAD]]*MASTER[[#This Row],[PRECIO DE VENTA]]</f>
        <v>801</v>
      </c>
      <c r="U1973" s="2">
        <f>MASTER[[#This Row],[CANTIDAD]]*MASTER[[#This Row],[COSTO UNITARIO]]</f>
        <v>424</v>
      </c>
      <c r="V1973" s="2">
        <f>MASTER[[#This Row],[MONTO VENDIDO]]-MASTER[[#This Row],[COSTO DE VENTA]]</f>
        <v>377</v>
      </c>
    </row>
    <row r="1974" spans="1:22" x14ac:dyDescent="0.3">
      <c r="A1974">
        <v>35128</v>
      </c>
      <c r="B1974">
        <v>1</v>
      </c>
      <c r="C1974" t="s">
        <v>90</v>
      </c>
      <c r="D1974" t="s">
        <v>91</v>
      </c>
      <c r="E1974" s="1">
        <v>44067</v>
      </c>
      <c r="F1974">
        <v>1</v>
      </c>
      <c r="G1974" t="s">
        <v>45</v>
      </c>
      <c r="H1974" t="s">
        <v>46</v>
      </c>
      <c r="I1974" s="3">
        <v>2102</v>
      </c>
      <c r="J1974" s="3">
        <v>2102</v>
      </c>
      <c r="K1974" s="3">
        <v>420</v>
      </c>
      <c r="L1974" t="s">
        <v>9</v>
      </c>
      <c r="M1974">
        <v>1</v>
      </c>
      <c r="N1974" t="s">
        <v>77</v>
      </c>
      <c r="O1974" t="s">
        <v>70</v>
      </c>
      <c r="P1974" t="s">
        <v>71</v>
      </c>
      <c r="Q1974" t="s">
        <v>72</v>
      </c>
      <c r="R1974" t="s">
        <v>139</v>
      </c>
      <c r="S1974" t="s">
        <v>144</v>
      </c>
      <c r="T1974" s="2">
        <f>MASTER[[#This Row],[CANTIDAD]]*MASTER[[#This Row],[PRECIO DE VENTA]]</f>
        <v>2102</v>
      </c>
      <c r="U1974" s="2">
        <f>MASTER[[#This Row],[CANTIDAD]]*MASTER[[#This Row],[COSTO UNITARIO]]</f>
        <v>420</v>
      </c>
      <c r="V1974" s="2">
        <f>MASTER[[#This Row],[MONTO VENDIDO]]-MASTER[[#This Row],[COSTO DE VENTA]]</f>
        <v>1682</v>
      </c>
    </row>
    <row r="1975" spans="1:22" x14ac:dyDescent="0.3">
      <c r="A1975">
        <v>35137</v>
      </c>
      <c r="B1975">
        <v>1</v>
      </c>
      <c r="C1975" t="s">
        <v>111</v>
      </c>
      <c r="D1975" t="s">
        <v>112</v>
      </c>
      <c r="E1975" s="1">
        <v>44067</v>
      </c>
      <c r="F1975">
        <v>1</v>
      </c>
      <c r="G1975" t="s">
        <v>59</v>
      </c>
      <c r="H1975" t="s">
        <v>60</v>
      </c>
      <c r="I1975" s="3">
        <v>1524</v>
      </c>
      <c r="J1975" s="3">
        <v>1524</v>
      </c>
      <c r="K1975" s="3">
        <v>434</v>
      </c>
      <c r="L1975" t="s">
        <v>113</v>
      </c>
      <c r="M1975">
        <v>17</v>
      </c>
      <c r="N1975" t="s">
        <v>14</v>
      </c>
      <c r="O1975" t="s">
        <v>11</v>
      </c>
      <c r="P1975" t="s">
        <v>15</v>
      </c>
      <c r="Q1975" t="s">
        <v>16</v>
      </c>
      <c r="R1975" t="s">
        <v>16</v>
      </c>
      <c r="S1975" t="s">
        <v>144</v>
      </c>
      <c r="T1975" s="2">
        <f>MASTER[[#This Row],[CANTIDAD]]*MASTER[[#This Row],[PRECIO DE VENTA]]</f>
        <v>1524</v>
      </c>
      <c r="U1975" s="2">
        <f>MASTER[[#This Row],[CANTIDAD]]*MASTER[[#This Row],[COSTO UNITARIO]]</f>
        <v>434</v>
      </c>
      <c r="V1975" s="2">
        <f>MASTER[[#This Row],[MONTO VENDIDO]]-MASTER[[#This Row],[COSTO DE VENTA]]</f>
        <v>1090</v>
      </c>
    </row>
    <row r="1976" spans="1:22" x14ac:dyDescent="0.3">
      <c r="A1976">
        <v>35155</v>
      </c>
      <c r="B1976">
        <v>1</v>
      </c>
      <c r="C1976" t="s">
        <v>116</v>
      </c>
      <c r="D1976" t="s">
        <v>117</v>
      </c>
      <c r="E1976" s="1">
        <v>44067</v>
      </c>
      <c r="F1976">
        <v>4</v>
      </c>
      <c r="G1976" t="s">
        <v>33</v>
      </c>
      <c r="H1976" t="s">
        <v>34</v>
      </c>
      <c r="I1976" s="3">
        <v>1738</v>
      </c>
      <c r="J1976" s="3">
        <v>1581</v>
      </c>
      <c r="K1976" s="3">
        <v>388</v>
      </c>
      <c r="L1976" t="s">
        <v>113</v>
      </c>
      <c r="M1976">
        <v>14</v>
      </c>
      <c r="N1976" t="s">
        <v>87</v>
      </c>
      <c r="O1976" t="s">
        <v>81</v>
      </c>
      <c r="P1976" t="s">
        <v>18</v>
      </c>
      <c r="Q1976" t="s">
        <v>19</v>
      </c>
      <c r="R1976" t="s">
        <v>138</v>
      </c>
      <c r="S1976" t="s">
        <v>144</v>
      </c>
      <c r="T1976" s="2">
        <f>MASTER[[#This Row],[CANTIDAD]]*MASTER[[#This Row],[PRECIO DE VENTA]]</f>
        <v>6324</v>
      </c>
      <c r="U1976" s="2">
        <f>MASTER[[#This Row],[CANTIDAD]]*MASTER[[#This Row],[COSTO UNITARIO]]</f>
        <v>1552</v>
      </c>
      <c r="V1976" s="2">
        <f>MASTER[[#This Row],[MONTO VENDIDO]]-MASTER[[#This Row],[COSTO DE VENTA]]</f>
        <v>4772</v>
      </c>
    </row>
    <row r="1977" spans="1:22" x14ac:dyDescent="0.3">
      <c r="A1977">
        <v>35157</v>
      </c>
      <c r="B1977">
        <v>1</v>
      </c>
      <c r="C1977" t="s">
        <v>103</v>
      </c>
      <c r="D1977" t="s">
        <v>104</v>
      </c>
      <c r="E1977" s="1">
        <v>44067</v>
      </c>
      <c r="F1977">
        <v>1</v>
      </c>
      <c r="G1977" t="s">
        <v>7</v>
      </c>
      <c r="H1977" t="s">
        <v>8</v>
      </c>
      <c r="I1977" s="3">
        <v>1830</v>
      </c>
      <c r="J1977" s="3">
        <v>1830</v>
      </c>
      <c r="K1977" s="3">
        <v>421</v>
      </c>
      <c r="L1977" t="s">
        <v>98</v>
      </c>
      <c r="M1977">
        <v>6</v>
      </c>
      <c r="N1977" t="s">
        <v>75</v>
      </c>
      <c r="O1977" t="s">
        <v>70</v>
      </c>
      <c r="P1977" t="s">
        <v>12</v>
      </c>
      <c r="Q1977" t="s">
        <v>13</v>
      </c>
      <c r="R1977" t="s">
        <v>13</v>
      </c>
      <c r="S1977" t="s">
        <v>144</v>
      </c>
      <c r="T1977" s="2">
        <f>MASTER[[#This Row],[CANTIDAD]]*MASTER[[#This Row],[PRECIO DE VENTA]]</f>
        <v>1830</v>
      </c>
      <c r="U1977" s="2">
        <f>MASTER[[#This Row],[CANTIDAD]]*MASTER[[#This Row],[COSTO UNITARIO]]</f>
        <v>421</v>
      </c>
      <c r="V1977" s="2">
        <f>MASTER[[#This Row],[MONTO VENDIDO]]-MASTER[[#This Row],[COSTO DE VENTA]]</f>
        <v>1409</v>
      </c>
    </row>
    <row r="1978" spans="1:22" x14ac:dyDescent="0.3">
      <c r="A1978">
        <v>35184</v>
      </c>
      <c r="B1978">
        <v>1</v>
      </c>
      <c r="C1978" t="s">
        <v>121</v>
      </c>
      <c r="D1978" t="s">
        <v>122</v>
      </c>
      <c r="E1978" s="1">
        <v>44067</v>
      </c>
      <c r="F1978">
        <v>1</v>
      </c>
      <c r="G1978" t="s">
        <v>33</v>
      </c>
      <c r="H1978" t="s">
        <v>34</v>
      </c>
      <c r="I1978" s="3">
        <v>941</v>
      </c>
      <c r="J1978" s="3">
        <v>941</v>
      </c>
      <c r="K1978" s="3">
        <v>460</v>
      </c>
      <c r="L1978" t="s">
        <v>120</v>
      </c>
      <c r="M1978">
        <v>12</v>
      </c>
      <c r="N1978" t="s">
        <v>26</v>
      </c>
      <c r="O1978" t="s">
        <v>11</v>
      </c>
      <c r="P1978" t="s">
        <v>12</v>
      </c>
      <c r="Q1978" t="s">
        <v>13</v>
      </c>
      <c r="R1978" t="s">
        <v>13</v>
      </c>
      <c r="S1978" t="s">
        <v>144</v>
      </c>
      <c r="T1978" s="2">
        <f>MASTER[[#This Row],[CANTIDAD]]*MASTER[[#This Row],[PRECIO DE VENTA]]</f>
        <v>941</v>
      </c>
      <c r="U1978" s="2">
        <f>MASTER[[#This Row],[CANTIDAD]]*MASTER[[#This Row],[COSTO UNITARIO]]</f>
        <v>460</v>
      </c>
      <c r="V1978" s="2">
        <f>MASTER[[#This Row],[MONTO VENDIDO]]-MASTER[[#This Row],[COSTO DE VENTA]]</f>
        <v>481</v>
      </c>
    </row>
    <row r="1979" spans="1:22" x14ac:dyDescent="0.3">
      <c r="A1979">
        <v>35192</v>
      </c>
      <c r="B1979">
        <v>1</v>
      </c>
      <c r="C1979" t="s">
        <v>99</v>
      </c>
      <c r="D1979" t="s">
        <v>100</v>
      </c>
      <c r="E1979" s="1">
        <v>44067</v>
      </c>
      <c r="F1979">
        <v>1</v>
      </c>
      <c r="G1979" t="s">
        <v>35</v>
      </c>
      <c r="H1979" t="s">
        <v>36</v>
      </c>
      <c r="I1979" s="3">
        <v>1459</v>
      </c>
      <c r="J1979" s="3">
        <v>1459</v>
      </c>
      <c r="K1979" s="3">
        <v>386</v>
      </c>
      <c r="L1979" t="s">
        <v>98</v>
      </c>
      <c r="M1979">
        <v>4</v>
      </c>
      <c r="N1979" t="s">
        <v>82</v>
      </c>
      <c r="O1979" t="s">
        <v>81</v>
      </c>
      <c r="P1979" t="s">
        <v>71</v>
      </c>
      <c r="Q1979" t="s">
        <v>72</v>
      </c>
      <c r="R1979" t="s">
        <v>139</v>
      </c>
      <c r="S1979" t="s">
        <v>144</v>
      </c>
      <c r="T1979" s="2">
        <f>MASTER[[#This Row],[CANTIDAD]]*MASTER[[#This Row],[PRECIO DE VENTA]]</f>
        <v>1459</v>
      </c>
      <c r="U1979" s="2">
        <f>MASTER[[#This Row],[CANTIDAD]]*MASTER[[#This Row],[COSTO UNITARIO]]</f>
        <v>386</v>
      </c>
      <c r="V1979" s="2">
        <f>MASTER[[#This Row],[MONTO VENDIDO]]-MASTER[[#This Row],[COSTO DE VENTA]]</f>
        <v>1073</v>
      </c>
    </row>
    <row r="1980" spans="1:22" x14ac:dyDescent="0.3">
      <c r="A1980">
        <v>35201</v>
      </c>
      <c r="B1980">
        <v>1</v>
      </c>
      <c r="C1980" t="s">
        <v>92</v>
      </c>
      <c r="D1980" t="s">
        <v>93</v>
      </c>
      <c r="E1980" s="1">
        <v>44067</v>
      </c>
      <c r="F1980">
        <v>1</v>
      </c>
      <c r="G1980" t="s">
        <v>57</v>
      </c>
      <c r="H1980" t="s">
        <v>58</v>
      </c>
      <c r="I1980" s="3">
        <v>1681</v>
      </c>
      <c r="J1980" s="3">
        <v>1681</v>
      </c>
      <c r="K1980" s="3">
        <v>396</v>
      </c>
      <c r="L1980" t="s">
        <v>9</v>
      </c>
      <c r="M1980">
        <v>19</v>
      </c>
      <c r="N1980" t="s">
        <v>89</v>
      </c>
      <c r="O1980" t="s">
        <v>81</v>
      </c>
      <c r="P1980" t="s">
        <v>15</v>
      </c>
      <c r="Q1980" t="s">
        <v>16</v>
      </c>
      <c r="R1980" t="s">
        <v>16</v>
      </c>
      <c r="S1980" t="s">
        <v>144</v>
      </c>
      <c r="T1980" s="2">
        <f>MASTER[[#This Row],[CANTIDAD]]*MASTER[[#This Row],[PRECIO DE VENTA]]</f>
        <v>1681</v>
      </c>
      <c r="U1980" s="2">
        <f>MASTER[[#This Row],[CANTIDAD]]*MASTER[[#This Row],[COSTO UNITARIO]]</f>
        <v>396</v>
      </c>
      <c r="V1980" s="2">
        <f>MASTER[[#This Row],[MONTO VENDIDO]]-MASTER[[#This Row],[COSTO DE VENTA]]</f>
        <v>1285</v>
      </c>
    </row>
    <row r="1981" spans="1:22" x14ac:dyDescent="0.3">
      <c r="A1981">
        <v>35210</v>
      </c>
      <c r="B1981">
        <v>1</v>
      </c>
      <c r="C1981" t="s">
        <v>116</v>
      </c>
      <c r="D1981" t="s">
        <v>117</v>
      </c>
      <c r="E1981" s="1">
        <v>44067</v>
      </c>
      <c r="F1981">
        <v>1</v>
      </c>
      <c r="G1981" t="s">
        <v>43</v>
      </c>
      <c r="H1981" t="s">
        <v>44</v>
      </c>
      <c r="I1981" s="3">
        <v>1999</v>
      </c>
      <c r="J1981" s="3">
        <v>1999</v>
      </c>
      <c r="K1981" s="3">
        <v>388</v>
      </c>
      <c r="L1981" t="s">
        <v>113</v>
      </c>
      <c r="M1981">
        <v>6</v>
      </c>
      <c r="N1981" t="s">
        <v>75</v>
      </c>
      <c r="O1981" t="s">
        <v>70</v>
      </c>
      <c r="P1981" t="s">
        <v>12</v>
      </c>
      <c r="Q1981" t="s">
        <v>13</v>
      </c>
      <c r="R1981" t="s">
        <v>13</v>
      </c>
      <c r="S1981" t="s">
        <v>144</v>
      </c>
      <c r="T1981" s="2">
        <f>MASTER[[#This Row],[CANTIDAD]]*MASTER[[#This Row],[PRECIO DE VENTA]]</f>
        <v>1999</v>
      </c>
      <c r="U1981" s="2">
        <f>MASTER[[#This Row],[CANTIDAD]]*MASTER[[#This Row],[COSTO UNITARIO]]</f>
        <v>388</v>
      </c>
      <c r="V1981" s="2">
        <f>MASTER[[#This Row],[MONTO VENDIDO]]-MASTER[[#This Row],[COSTO DE VENTA]]</f>
        <v>1611</v>
      </c>
    </row>
    <row r="1982" spans="1:22" x14ac:dyDescent="0.3">
      <c r="A1982">
        <v>35232</v>
      </c>
      <c r="B1982">
        <v>1</v>
      </c>
      <c r="C1982" t="s">
        <v>101</v>
      </c>
      <c r="D1982" t="s">
        <v>102</v>
      </c>
      <c r="E1982" s="1">
        <v>44068</v>
      </c>
      <c r="F1982">
        <v>1</v>
      </c>
      <c r="G1982" t="s">
        <v>51</v>
      </c>
      <c r="H1982" t="s">
        <v>52</v>
      </c>
      <c r="I1982" s="3">
        <v>1212</v>
      </c>
      <c r="J1982" s="3">
        <v>1212</v>
      </c>
      <c r="K1982" s="3">
        <v>442</v>
      </c>
      <c r="L1982" t="s">
        <v>98</v>
      </c>
      <c r="M1982">
        <v>8</v>
      </c>
      <c r="N1982" t="s">
        <v>80</v>
      </c>
      <c r="O1982" t="s">
        <v>81</v>
      </c>
      <c r="P1982" t="s">
        <v>12</v>
      </c>
      <c r="Q1982" t="s">
        <v>13</v>
      </c>
      <c r="R1982" t="s">
        <v>13</v>
      </c>
      <c r="S1982" t="s">
        <v>144</v>
      </c>
      <c r="T1982" s="2">
        <f>MASTER[[#This Row],[CANTIDAD]]*MASTER[[#This Row],[PRECIO DE VENTA]]</f>
        <v>1212</v>
      </c>
      <c r="U1982" s="2">
        <f>MASTER[[#This Row],[CANTIDAD]]*MASTER[[#This Row],[COSTO UNITARIO]]</f>
        <v>442</v>
      </c>
      <c r="V1982" s="2">
        <f>MASTER[[#This Row],[MONTO VENDIDO]]-MASTER[[#This Row],[COSTO DE VENTA]]</f>
        <v>770</v>
      </c>
    </row>
    <row r="1983" spans="1:22" x14ac:dyDescent="0.3">
      <c r="A1983">
        <v>35234</v>
      </c>
      <c r="B1983">
        <v>1</v>
      </c>
      <c r="C1983" t="s">
        <v>5</v>
      </c>
      <c r="D1983" t="s">
        <v>6</v>
      </c>
      <c r="E1983" s="1">
        <v>44068</v>
      </c>
      <c r="F1983">
        <v>1</v>
      </c>
      <c r="G1983" t="s">
        <v>29</v>
      </c>
      <c r="H1983" t="s">
        <v>30</v>
      </c>
      <c r="I1983" s="3">
        <v>1507</v>
      </c>
      <c r="J1983" s="3">
        <v>1507</v>
      </c>
      <c r="K1983" s="3">
        <v>393</v>
      </c>
      <c r="L1983" t="s">
        <v>9</v>
      </c>
      <c r="M1983">
        <v>7</v>
      </c>
      <c r="N1983" t="s">
        <v>84</v>
      </c>
      <c r="O1983" t="s">
        <v>81</v>
      </c>
      <c r="P1983" t="s">
        <v>12</v>
      </c>
      <c r="Q1983" t="s">
        <v>13</v>
      </c>
      <c r="R1983" t="s">
        <v>13</v>
      </c>
      <c r="S1983" t="s">
        <v>144</v>
      </c>
      <c r="T1983" s="2">
        <f>MASTER[[#This Row],[CANTIDAD]]*MASTER[[#This Row],[PRECIO DE VENTA]]</f>
        <v>1507</v>
      </c>
      <c r="U1983" s="2">
        <f>MASTER[[#This Row],[CANTIDAD]]*MASTER[[#This Row],[COSTO UNITARIO]]</f>
        <v>393</v>
      </c>
      <c r="V1983" s="2">
        <f>MASTER[[#This Row],[MONTO VENDIDO]]-MASTER[[#This Row],[COSTO DE VENTA]]</f>
        <v>1114</v>
      </c>
    </row>
    <row r="1984" spans="1:22" x14ac:dyDescent="0.3">
      <c r="A1984">
        <v>35239</v>
      </c>
      <c r="B1984">
        <v>1</v>
      </c>
      <c r="C1984" t="s">
        <v>121</v>
      </c>
      <c r="D1984" t="s">
        <v>122</v>
      </c>
      <c r="E1984" s="1">
        <v>44068</v>
      </c>
      <c r="F1984">
        <v>1</v>
      </c>
      <c r="G1984" t="s">
        <v>47</v>
      </c>
      <c r="H1984" t="s">
        <v>48</v>
      </c>
      <c r="I1984" s="3">
        <v>1069</v>
      </c>
      <c r="J1984" s="3">
        <v>1069</v>
      </c>
      <c r="K1984" s="3">
        <v>460</v>
      </c>
      <c r="L1984" t="s">
        <v>120</v>
      </c>
      <c r="M1984">
        <v>7</v>
      </c>
      <c r="N1984" t="s">
        <v>84</v>
      </c>
      <c r="O1984" t="s">
        <v>81</v>
      </c>
      <c r="P1984" t="s">
        <v>12</v>
      </c>
      <c r="Q1984" t="s">
        <v>13</v>
      </c>
      <c r="R1984" t="s">
        <v>13</v>
      </c>
      <c r="S1984" t="s">
        <v>144</v>
      </c>
      <c r="T1984" s="2">
        <f>MASTER[[#This Row],[CANTIDAD]]*MASTER[[#This Row],[PRECIO DE VENTA]]</f>
        <v>1069</v>
      </c>
      <c r="U1984" s="2">
        <f>MASTER[[#This Row],[CANTIDAD]]*MASTER[[#This Row],[COSTO UNITARIO]]</f>
        <v>460</v>
      </c>
      <c r="V1984" s="2">
        <f>MASTER[[#This Row],[MONTO VENDIDO]]-MASTER[[#This Row],[COSTO DE VENTA]]</f>
        <v>609</v>
      </c>
    </row>
    <row r="1985" spans="1:22" x14ac:dyDescent="0.3">
      <c r="A1985">
        <v>35243</v>
      </c>
      <c r="B1985">
        <v>1</v>
      </c>
      <c r="C1985" t="s">
        <v>109</v>
      </c>
      <c r="D1985" t="s">
        <v>110</v>
      </c>
      <c r="E1985" s="1">
        <v>44068</v>
      </c>
      <c r="F1985">
        <v>1</v>
      </c>
      <c r="G1985" t="s">
        <v>20</v>
      </c>
      <c r="H1985" t="s">
        <v>21</v>
      </c>
      <c r="I1985" s="3">
        <v>947</v>
      </c>
      <c r="J1985" s="3">
        <v>947</v>
      </c>
      <c r="K1985" s="3">
        <v>387</v>
      </c>
      <c r="L1985" t="s">
        <v>98</v>
      </c>
      <c r="M1985">
        <v>16</v>
      </c>
      <c r="N1985" t="s">
        <v>17</v>
      </c>
      <c r="O1985" t="s">
        <v>11</v>
      </c>
      <c r="P1985" t="s">
        <v>18</v>
      </c>
      <c r="Q1985" t="s">
        <v>19</v>
      </c>
      <c r="R1985" t="s">
        <v>138</v>
      </c>
      <c r="S1985" t="s">
        <v>144</v>
      </c>
      <c r="T1985" s="2">
        <f>MASTER[[#This Row],[CANTIDAD]]*MASTER[[#This Row],[PRECIO DE VENTA]]</f>
        <v>947</v>
      </c>
      <c r="U1985" s="2">
        <f>MASTER[[#This Row],[CANTIDAD]]*MASTER[[#This Row],[COSTO UNITARIO]]</f>
        <v>387</v>
      </c>
      <c r="V1985" s="2">
        <f>MASTER[[#This Row],[MONTO VENDIDO]]-MASTER[[#This Row],[COSTO DE VENTA]]</f>
        <v>560</v>
      </c>
    </row>
    <row r="1986" spans="1:22" x14ac:dyDescent="0.3">
      <c r="A1986">
        <v>35283</v>
      </c>
      <c r="B1986">
        <v>1</v>
      </c>
      <c r="C1986" t="s">
        <v>96</v>
      </c>
      <c r="D1986" t="s">
        <v>97</v>
      </c>
      <c r="E1986" s="1">
        <v>44069</v>
      </c>
      <c r="F1986">
        <v>3</v>
      </c>
      <c r="G1986" t="s">
        <v>61</v>
      </c>
      <c r="H1986" t="s">
        <v>62</v>
      </c>
      <c r="I1986" s="3">
        <v>1272</v>
      </c>
      <c r="J1986" s="3">
        <v>1272</v>
      </c>
      <c r="K1986" s="3">
        <v>397</v>
      </c>
      <c r="L1986" t="s">
        <v>98</v>
      </c>
      <c r="M1986">
        <v>2</v>
      </c>
      <c r="N1986" t="s">
        <v>86</v>
      </c>
      <c r="O1986" t="s">
        <v>81</v>
      </c>
      <c r="P1986" t="s">
        <v>71</v>
      </c>
      <c r="Q1986" t="s">
        <v>72</v>
      </c>
      <c r="R1986" t="s">
        <v>139</v>
      </c>
      <c r="S1986" t="s">
        <v>144</v>
      </c>
      <c r="T1986" s="2">
        <f>MASTER[[#This Row],[CANTIDAD]]*MASTER[[#This Row],[PRECIO DE VENTA]]</f>
        <v>3816</v>
      </c>
      <c r="U1986" s="2">
        <f>MASTER[[#This Row],[CANTIDAD]]*MASTER[[#This Row],[COSTO UNITARIO]]</f>
        <v>1191</v>
      </c>
      <c r="V1986" s="2">
        <f>MASTER[[#This Row],[MONTO VENDIDO]]-MASTER[[#This Row],[COSTO DE VENTA]]</f>
        <v>2625</v>
      </c>
    </row>
    <row r="1987" spans="1:22" x14ac:dyDescent="0.3">
      <c r="A1987">
        <v>35291</v>
      </c>
      <c r="B1987">
        <v>1</v>
      </c>
      <c r="C1987" t="s">
        <v>118</v>
      </c>
      <c r="D1987" t="s">
        <v>119</v>
      </c>
      <c r="E1987" s="1">
        <v>44069</v>
      </c>
      <c r="F1987">
        <v>1</v>
      </c>
      <c r="G1987" t="s">
        <v>59</v>
      </c>
      <c r="H1987" t="s">
        <v>60</v>
      </c>
      <c r="I1987" s="3">
        <v>1026</v>
      </c>
      <c r="J1987" s="3">
        <v>1026</v>
      </c>
      <c r="K1987" s="3">
        <v>424</v>
      </c>
      <c r="L1987" t="s">
        <v>120</v>
      </c>
      <c r="M1987">
        <v>18</v>
      </c>
      <c r="N1987" t="s">
        <v>79</v>
      </c>
      <c r="O1987" t="s">
        <v>70</v>
      </c>
      <c r="P1987" t="s">
        <v>15</v>
      </c>
      <c r="Q1987" t="s">
        <v>16</v>
      </c>
      <c r="R1987" t="s">
        <v>16</v>
      </c>
      <c r="S1987" t="s">
        <v>144</v>
      </c>
      <c r="T1987" s="2">
        <f>MASTER[[#This Row],[CANTIDAD]]*MASTER[[#This Row],[PRECIO DE VENTA]]</f>
        <v>1026</v>
      </c>
      <c r="U1987" s="2">
        <f>MASTER[[#This Row],[CANTIDAD]]*MASTER[[#This Row],[COSTO UNITARIO]]</f>
        <v>424</v>
      </c>
      <c r="V1987" s="2">
        <f>MASTER[[#This Row],[MONTO VENDIDO]]-MASTER[[#This Row],[COSTO DE VENTA]]</f>
        <v>602</v>
      </c>
    </row>
    <row r="1988" spans="1:22" x14ac:dyDescent="0.3">
      <c r="A1988">
        <v>35295</v>
      </c>
      <c r="B1988">
        <v>1</v>
      </c>
      <c r="C1988" t="s">
        <v>99</v>
      </c>
      <c r="D1988" t="s">
        <v>100</v>
      </c>
      <c r="E1988" s="1">
        <v>44069</v>
      </c>
      <c r="F1988">
        <v>1</v>
      </c>
      <c r="G1988" t="s">
        <v>24</v>
      </c>
      <c r="H1988" t="s">
        <v>25</v>
      </c>
      <c r="I1988" s="3">
        <v>1459</v>
      </c>
      <c r="J1988" s="3">
        <v>1459</v>
      </c>
      <c r="K1988" s="3">
        <v>386</v>
      </c>
      <c r="L1988" t="s">
        <v>98</v>
      </c>
      <c r="M1988">
        <v>10</v>
      </c>
      <c r="N1988" t="s">
        <v>83</v>
      </c>
      <c r="O1988" t="s">
        <v>81</v>
      </c>
      <c r="P1988" t="s">
        <v>12</v>
      </c>
      <c r="Q1988" t="s">
        <v>13</v>
      </c>
      <c r="R1988" t="s">
        <v>13</v>
      </c>
      <c r="S1988" t="s">
        <v>144</v>
      </c>
      <c r="T1988" s="2">
        <f>MASTER[[#This Row],[CANTIDAD]]*MASTER[[#This Row],[PRECIO DE VENTA]]</f>
        <v>1459</v>
      </c>
      <c r="U1988" s="2">
        <f>MASTER[[#This Row],[CANTIDAD]]*MASTER[[#This Row],[COSTO UNITARIO]]</f>
        <v>386</v>
      </c>
      <c r="V1988" s="2">
        <f>MASTER[[#This Row],[MONTO VENDIDO]]-MASTER[[#This Row],[COSTO DE VENTA]]</f>
        <v>1073</v>
      </c>
    </row>
    <row r="1989" spans="1:22" x14ac:dyDescent="0.3">
      <c r="A1989">
        <v>35318</v>
      </c>
      <c r="B1989">
        <v>1</v>
      </c>
      <c r="C1989" t="s">
        <v>118</v>
      </c>
      <c r="D1989" t="s">
        <v>119</v>
      </c>
      <c r="E1989" s="1">
        <v>44069</v>
      </c>
      <c r="F1989">
        <v>1</v>
      </c>
      <c r="G1989" t="s">
        <v>39</v>
      </c>
      <c r="H1989" t="s">
        <v>40</v>
      </c>
      <c r="I1989" s="3">
        <v>900</v>
      </c>
      <c r="J1989" s="3">
        <v>900</v>
      </c>
      <c r="K1989" s="3">
        <v>424</v>
      </c>
      <c r="L1989" t="s">
        <v>120</v>
      </c>
      <c r="M1989">
        <v>15</v>
      </c>
      <c r="N1989" t="s">
        <v>88</v>
      </c>
      <c r="O1989" t="s">
        <v>81</v>
      </c>
      <c r="P1989" t="s">
        <v>18</v>
      </c>
      <c r="Q1989" t="s">
        <v>19</v>
      </c>
      <c r="R1989" t="s">
        <v>138</v>
      </c>
      <c r="S1989" t="s">
        <v>144</v>
      </c>
      <c r="T1989" s="2">
        <f>MASTER[[#This Row],[CANTIDAD]]*MASTER[[#This Row],[PRECIO DE VENTA]]</f>
        <v>900</v>
      </c>
      <c r="U1989" s="2">
        <f>MASTER[[#This Row],[CANTIDAD]]*MASTER[[#This Row],[COSTO UNITARIO]]</f>
        <v>424</v>
      </c>
      <c r="V1989" s="2">
        <f>MASTER[[#This Row],[MONTO VENDIDO]]-MASTER[[#This Row],[COSTO DE VENTA]]</f>
        <v>476</v>
      </c>
    </row>
    <row r="1990" spans="1:22" x14ac:dyDescent="0.3">
      <c r="A1990">
        <v>35367</v>
      </c>
      <c r="B1990">
        <v>1</v>
      </c>
      <c r="C1990" t="s">
        <v>99</v>
      </c>
      <c r="D1990" t="s">
        <v>100</v>
      </c>
      <c r="E1990" s="1">
        <v>44069</v>
      </c>
      <c r="F1990">
        <v>2</v>
      </c>
      <c r="G1990" t="s">
        <v>29</v>
      </c>
      <c r="H1990" t="s">
        <v>30</v>
      </c>
      <c r="I1990" s="3">
        <v>1328</v>
      </c>
      <c r="J1990" s="3">
        <v>1328</v>
      </c>
      <c r="K1990" s="3">
        <v>386</v>
      </c>
      <c r="L1990" t="s">
        <v>98</v>
      </c>
      <c r="M1990">
        <v>12</v>
      </c>
      <c r="N1990" t="s">
        <v>26</v>
      </c>
      <c r="O1990" t="s">
        <v>11</v>
      </c>
      <c r="P1990" t="s">
        <v>12</v>
      </c>
      <c r="Q1990" t="s">
        <v>13</v>
      </c>
      <c r="R1990" t="s">
        <v>13</v>
      </c>
      <c r="S1990" t="s">
        <v>144</v>
      </c>
      <c r="T1990" s="2">
        <f>MASTER[[#This Row],[CANTIDAD]]*MASTER[[#This Row],[PRECIO DE VENTA]]</f>
        <v>2656</v>
      </c>
      <c r="U1990" s="2">
        <f>MASTER[[#This Row],[CANTIDAD]]*MASTER[[#This Row],[COSTO UNITARIO]]</f>
        <v>772</v>
      </c>
      <c r="V1990" s="2">
        <f>MASTER[[#This Row],[MONTO VENDIDO]]-MASTER[[#This Row],[COSTO DE VENTA]]</f>
        <v>1884</v>
      </c>
    </row>
    <row r="1991" spans="1:22" x14ac:dyDescent="0.3">
      <c r="A1991">
        <v>35368</v>
      </c>
      <c r="B1991">
        <v>1</v>
      </c>
      <c r="C1991" t="s">
        <v>105</v>
      </c>
      <c r="D1991" t="s">
        <v>106</v>
      </c>
      <c r="E1991" s="1">
        <v>44069</v>
      </c>
      <c r="F1991">
        <v>1</v>
      </c>
      <c r="G1991" t="s">
        <v>27</v>
      </c>
      <c r="H1991" t="s">
        <v>28</v>
      </c>
      <c r="I1991" s="3">
        <v>1865</v>
      </c>
      <c r="J1991" s="3">
        <v>1865</v>
      </c>
      <c r="K1991" s="3">
        <v>459</v>
      </c>
      <c r="L1991" t="s">
        <v>98</v>
      </c>
      <c r="M1991">
        <v>19</v>
      </c>
      <c r="N1991" t="s">
        <v>89</v>
      </c>
      <c r="O1991" t="s">
        <v>81</v>
      </c>
      <c r="P1991" t="s">
        <v>15</v>
      </c>
      <c r="Q1991" t="s">
        <v>16</v>
      </c>
      <c r="R1991" t="s">
        <v>16</v>
      </c>
      <c r="S1991" t="s">
        <v>144</v>
      </c>
      <c r="T1991" s="2">
        <f>MASTER[[#This Row],[CANTIDAD]]*MASTER[[#This Row],[PRECIO DE VENTA]]</f>
        <v>1865</v>
      </c>
      <c r="U1991" s="2">
        <f>MASTER[[#This Row],[CANTIDAD]]*MASTER[[#This Row],[COSTO UNITARIO]]</f>
        <v>459</v>
      </c>
      <c r="V1991" s="2">
        <f>MASTER[[#This Row],[MONTO VENDIDO]]-MASTER[[#This Row],[COSTO DE VENTA]]</f>
        <v>1406</v>
      </c>
    </row>
    <row r="1992" spans="1:22" x14ac:dyDescent="0.3">
      <c r="A1992">
        <v>35371</v>
      </c>
      <c r="B1992">
        <v>1</v>
      </c>
      <c r="C1992" t="s">
        <v>105</v>
      </c>
      <c r="D1992" t="s">
        <v>106</v>
      </c>
      <c r="E1992" s="1">
        <v>44069</v>
      </c>
      <c r="F1992">
        <v>1</v>
      </c>
      <c r="G1992" t="s">
        <v>33</v>
      </c>
      <c r="H1992" t="s">
        <v>34</v>
      </c>
      <c r="I1992" s="3">
        <v>2033</v>
      </c>
      <c r="J1992" s="3">
        <v>2033</v>
      </c>
      <c r="K1992" s="3">
        <v>459</v>
      </c>
      <c r="L1992" t="s">
        <v>98</v>
      </c>
      <c r="M1992">
        <v>18</v>
      </c>
      <c r="N1992" t="s">
        <v>79</v>
      </c>
      <c r="O1992" t="s">
        <v>70</v>
      </c>
      <c r="P1992" t="s">
        <v>15</v>
      </c>
      <c r="Q1992" t="s">
        <v>16</v>
      </c>
      <c r="R1992" t="s">
        <v>16</v>
      </c>
      <c r="S1992" t="s">
        <v>144</v>
      </c>
      <c r="T1992" s="2">
        <f>MASTER[[#This Row],[CANTIDAD]]*MASTER[[#This Row],[PRECIO DE VENTA]]</f>
        <v>2033</v>
      </c>
      <c r="U1992" s="2">
        <f>MASTER[[#This Row],[CANTIDAD]]*MASTER[[#This Row],[COSTO UNITARIO]]</f>
        <v>459</v>
      </c>
      <c r="V1992" s="2">
        <f>MASTER[[#This Row],[MONTO VENDIDO]]-MASTER[[#This Row],[COSTO DE VENTA]]</f>
        <v>1574</v>
      </c>
    </row>
    <row r="1993" spans="1:22" x14ac:dyDescent="0.3">
      <c r="A1993">
        <v>35372</v>
      </c>
      <c r="B1993">
        <v>1</v>
      </c>
      <c r="C1993" t="s">
        <v>105</v>
      </c>
      <c r="D1993" t="s">
        <v>106</v>
      </c>
      <c r="E1993" s="1">
        <v>44069</v>
      </c>
      <c r="F1993">
        <v>1</v>
      </c>
      <c r="G1993" t="s">
        <v>7</v>
      </c>
      <c r="H1993" t="s">
        <v>8</v>
      </c>
      <c r="I1993" s="3">
        <v>1865</v>
      </c>
      <c r="J1993" s="3">
        <v>1865</v>
      </c>
      <c r="K1993" s="3">
        <v>459</v>
      </c>
      <c r="L1993" t="s">
        <v>98</v>
      </c>
      <c r="M1993">
        <v>2</v>
      </c>
      <c r="N1993" t="s">
        <v>86</v>
      </c>
      <c r="O1993" t="s">
        <v>81</v>
      </c>
      <c r="P1993" t="s">
        <v>71</v>
      </c>
      <c r="Q1993" t="s">
        <v>72</v>
      </c>
      <c r="R1993" t="s">
        <v>139</v>
      </c>
      <c r="S1993" t="s">
        <v>144</v>
      </c>
      <c r="T1993" s="2">
        <f>MASTER[[#This Row],[CANTIDAD]]*MASTER[[#This Row],[PRECIO DE VENTA]]</f>
        <v>1865</v>
      </c>
      <c r="U1993" s="2">
        <f>MASTER[[#This Row],[CANTIDAD]]*MASTER[[#This Row],[COSTO UNITARIO]]</f>
        <v>459</v>
      </c>
      <c r="V1993" s="2">
        <f>MASTER[[#This Row],[MONTO VENDIDO]]-MASTER[[#This Row],[COSTO DE VENTA]]</f>
        <v>1406</v>
      </c>
    </row>
    <row r="1994" spans="1:22" x14ac:dyDescent="0.3">
      <c r="A1994">
        <v>35390</v>
      </c>
      <c r="B1994">
        <v>1</v>
      </c>
      <c r="C1994" t="s">
        <v>99</v>
      </c>
      <c r="D1994" t="s">
        <v>100</v>
      </c>
      <c r="E1994" s="1">
        <v>44069</v>
      </c>
      <c r="F1994">
        <v>1</v>
      </c>
      <c r="G1994" t="s">
        <v>47</v>
      </c>
      <c r="H1994" t="s">
        <v>48</v>
      </c>
      <c r="I1994" s="3">
        <v>1328</v>
      </c>
      <c r="J1994" s="3">
        <v>1328</v>
      </c>
      <c r="K1994" s="3">
        <v>386</v>
      </c>
      <c r="L1994" t="s">
        <v>98</v>
      </c>
      <c r="M1994">
        <v>17</v>
      </c>
      <c r="N1994" t="s">
        <v>14</v>
      </c>
      <c r="O1994" t="s">
        <v>11</v>
      </c>
      <c r="P1994" t="s">
        <v>15</v>
      </c>
      <c r="Q1994" t="s">
        <v>16</v>
      </c>
      <c r="R1994" t="s">
        <v>16</v>
      </c>
      <c r="S1994" t="s">
        <v>144</v>
      </c>
      <c r="T1994" s="2">
        <f>MASTER[[#This Row],[CANTIDAD]]*MASTER[[#This Row],[PRECIO DE VENTA]]</f>
        <v>1328</v>
      </c>
      <c r="U1994" s="2">
        <f>MASTER[[#This Row],[CANTIDAD]]*MASTER[[#This Row],[COSTO UNITARIO]]</f>
        <v>386</v>
      </c>
      <c r="V1994" s="2">
        <f>MASTER[[#This Row],[MONTO VENDIDO]]-MASTER[[#This Row],[COSTO DE VENTA]]</f>
        <v>942</v>
      </c>
    </row>
    <row r="1995" spans="1:22" x14ac:dyDescent="0.3">
      <c r="A1995">
        <v>35399</v>
      </c>
      <c r="B1995">
        <v>1</v>
      </c>
      <c r="C1995" t="s">
        <v>5</v>
      </c>
      <c r="D1995" t="s">
        <v>6</v>
      </c>
      <c r="E1995" s="1">
        <v>44069</v>
      </c>
      <c r="F1995">
        <v>1</v>
      </c>
      <c r="G1995" t="s">
        <v>37</v>
      </c>
      <c r="H1995" t="s">
        <v>38</v>
      </c>
      <c r="I1995" s="3">
        <v>1296</v>
      </c>
      <c r="J1995" s="3">
        <v>1296</v>
      </c>
      <c r="K1995" s="3">
        <v>393</v>
      </c>
      <c r="L1995" t="s">
        <v>9</v>
      </c>
      <c r="M1995">
        <v>18</v>
      </c>
      <c r="N1995" t="s">
        <v>79</v>
      </c>
      <c r="O1995" t="s">
        <v>70</v>
      </c>
      <c r="P1995" t="s">
        <v>15</v>
      </c>
      <c r="Q1995" t="s">
        <v>16</v>
      </c>
      <c r="R1995" t="s">
        <v>16</v>
      </c>
      <c r="S1995" t="s">
        <v>144</v>
      </c>
      <c r="T1995" s="2">
        <f>MASTER[[#This Row],[CANTIDAD]]*MASTER[[#This Row],[PRECIO DE VENTA]]</f>
        <v>1296</v>
      </c>
      <c r="U1995" s="2">
        <f>MASTER[[#This Row],[CANTIDAD]]*MASTER[[#This Row],[COSTO UNITARIO]]</f>
        <v>393</v>
      </c>
      <c r="V1995" s="2">
        <f>MASTER[[#This Row],[MONTO VENDIDO]]-MASTER[[#This Row],[COSTO DE VENTA]]</f>
        <v>903</v>
      </c>
    </row>
    <row r="1996" spans="1:22" x14ac:dyDescent="0.3">
      <c r="A1996">
        <v>35405</v>
      </c>
      <c r="B1996">
        <v>1</v>
      </c>
      <c r="C1996" t="s">
        <v>101</v>
      </c>
      <c r="D1996" t="s">
        <v>102</v>
      </c>
      <c r="E1996" s="1">
        <v>44069</v>
      </c>
      <c r="F1996">
        <v>1</v>
      </c>
      <c r="G1996" t="s">
        <v>53</v>
      </c>
      <c r="H1996" t="s">
        <v>54</v>
      </c>
      <c r="I1996" s="3">
        <v>1357</v>
      </c>
      <c r="J1996" s="3">
        <v>1357</v>
      </c>
      <c r="K1996" s="3">
        <v>442</v>
      </c>
      <c r="L1996" t="s">
        <v>98</v>
      </c>
      <c r="M1996">
        <v>6</v>
      </c>
      <c r="N1996" t="s">
        <v>75</v>
      </c>
      <c r="O1996" t="s">
        <v>70</v>
      </c>
      <c r="P1996" t="s">
        <v>12</v>
      </c>
      <c r="Q1996" t="s">
        <v>13</v>
      </c>
      <c r="R1996" t="s">
        <v>13</v>
      </c>
      <c r="S1996" t="s">
        <v>144</v>
      </c>
      <c r="T1996" s="2">
        <f>MASTER[[#This Row],[CANTIDAD]]*MASTER[[#This Row],[PRECIO DE VENTA]]</f>
        <v>1357</v>
      </c>
      <c r="U1996" s="2">
        <f>MASTER[[#This Row],[CANTIDAD]]*MASTER[[#This Row],[COSTO UNITARIO]]</f>
        <v>442</v>
      </c>
      <c r="V1996" s="2">
        <f>MASTER[[#This Row],[MONTO VENDIDO]]-MASTER[[#This Row],[COSTO DE VENTA]]</f>
        <v>915</v>
      </c>
    </row>
    <row r="1997" spans="1:22" x14ac:dyDescent="0.3">
      <c r="A1997">
        <v>35407</v>
      </c>
      <c r="B1997">
        <v>1</v>
      </c>
      <c r="C1997" t="s">
        <v>116</v>
      </c>
      <c r="D1997" t="s">
        <v>117</v>
      </c>
      <c r="E1997" s="1">
        <v>44069</v>
      </c>
      <c r="F1997">
        <v>1</v>
      </c>
      <c r="G1997" t="s">
        <v>7</v>
      </c>
      <c r="H1997" t="s">
        <v>8</v>
      </c>
      <c r="I1997" s="3">
        <v>1999</v>
      </c>
      <c r="J1997" s="3">
        <v>1999</v>
      </c>
      <c r="K1997" s="3">
        <v>388</v>
      </c>
      <c r="L1997" t="s">
        <v>113</v>
      </c>
      <c r="M1997">
        <v>13</v>
      </c>
      <c r="N1997" t="s">
        <v>78</v>
      </c>
      <c r="O1997" t="s">
        <v>70</v>
      </c>
      <c r="P1997" t="s">
        <v>18</v>
      </c>
      <c r="Q1997" t="s">
        <v>19</v>
      </c>
      <c r="R1997" t="s">
        <v>138</v>
      </c>
      <c r="S1997" t="s">
        <v>144</v>
      </c>
      <c r="T1997" s="2">
        <f>MASTER[[#This Row],[CANTIDAD]]*MASTER[[#This Row],[PRECIO DE VENTA]]</f>
        <v>1999</v>
      </c>
      <c r="U1997" s="2">
        <f>MASTER[[#This Row],[CANTIDAD]]*MASTER[[#This Row],[COSTO UNITARIO]]</f>
        <v>388</v>
      </c>
      <c r="V1997" s="2">
        <f>MASTER[[#This Row],[MONTO VENDIDO]]-MASTER[[#This Row],[COSTO DE VENTA]]</f>
        <v>1611</v>
      </c>
    </row>
    <row r="1998" spans="1:22" x14ac:dyDescent="0.3">
      <c r="A1998">
        <v>35412</v>
      </c>
      <c r="B1998">
        <v>1</v>
      </c>
      <c r="C1998" t="s">
        <v>121</v>
      </c>
      <c r="D1998" t="s">
        <v>122</v>
      </c>
      <c r="E1998" s="1">
        <v>44070</v>
      </c>
      <c r="F1998">
        <v>1</v>
      </c>
      <c r="G1998" t="s">
        <v>57</v>
      </c>
      <c r="H1998" t="s">
        <v>58</v>
      </c>
      <c r="I1998" s="3">
        <v>1069</v>
      </c>
      <c r="J1998" s="3">
        <v>1069</v>
      </c>
      <c r="K1998" s="3">
        <v>460</v>
      </c>
      <c r="L1998" t="s">
        <v>120</v>
      </c>
      <c r="M1998">
        <v>14</v>
      </c>
      <c r="N1998" t="s">
        <v>87</v>
      </c>
      <c r="O1998" t="s">
        <v>81</v>
      </c>
      <c r="P1998" t="s">
        <v>18</v>
      </c>
      <c r="Q1998" t="s">
        <v>19</v>
      </c>
      <c r="R1998" t="s">
        <v>138</v>
      </c>
      <c r="S1998" t="s">
        <v>144</v>
      </c>
      <c r="T1998" s="2">
        <f>MASTER[[#This Row],[CANTIDAD]]*MASTER[[#This Row],[PRECIO DE VENTA]]</f>
        <v>1069</v>
      </c>
      <c r="U1998" s="2">
        <f>MASTER[[#This Row],[CANTIDAD]]*MASTER[[#This Row],[COSTO UNITARIO]]</f>
        <v>460</v>
      </c>
      <c r="V1998" s="2">
        <f>MASTER[[#This Row],[MONTO VENDIDO]]-MASTER[[#This Row],[COSTO DE VENTA]]</f>
        <v>609</v>
      </c>
    </row>
    <row r="1999" spans="1:22" x14ac:dyDescent="0.3">
      <c r="A1999">
        <v>35419</v>
      </c>
      <c r="B1999">
        <v>1</v>
      </c>
      <c r="C1999" t="s">
        <v>96</v>
      </c>
      <c r="D1999" t="s">
        <v>97</v>
      </c>
      <c r="E1999" s="1">
        <v>44070</v>
      </c>
      <c r="F1999">
        <v>1</v>
      </c>
      <c r="G1999" t="s">
        <v>59</v>
      </c>
      <c r="H1999" t="s">
        <v>60</v>
      </c>
      <c r="I1999" s="3">
        <v>1272</v>
      </c>
      <c r="J1999" s="3">
        <v>1272</v>
      </c>
      <c r="K1999" s="3">
        <v>397</v>
      </c>
      <c r="L1999" t="s">
        <v>98</v>
      </c>
      <c r="M1999">
        <v>7</v>
      </c>
      <c r="N1999" t="s">
        <v>84</v>
      </c>
      <c r="O1999" t="s">
        <v>81</v>
      </c>
      <c r="P1999" t="s">
        <v>12</v>
      </c>
      <c r="Q1999" t="s">
        <v>13</v>
      </c>
      <c r="R1999" t="s">
        <v>13</v>
      </c>
      <c r="S1999" t="s">
        <v>144</v>
      </c>
      <c r="T1999" s="2">
        <f>MASTER[[#This Row],[CANTIDAD]]*MASTER[[#This Row],[PRECIO DE VENTA]]</f>
        <v>1272</v>
      </c>
      <c r="U1999" s="2">
        <f>MASTER[[#This Row],[CANTIDAD]]*MASTER[[#This Row],[COSTO UNITARIO]]</f>
        <v>397</v>
      </c>
      <c r="V1999" s="2">
        <f>MASTER[[#This Row],[MONTO VENDIDO]]-MASTER[[#This Row],[COSTO DE VENTA]]</f>
        <v>875</v>
      </c>
    </row>
    <row r="2000" spans="1:22" x14ac:dyDescent="0.3">
      <c r="A2000">
        <v>35450</v>
      </c>
      <c r="B2000">
        <v>1</v>
      </c>
      <c r="C2000" t="s">
        <v>101</v>
      </c>
      <c r="D2000" t="s">
        <v>102</v>
      </c>
      <c r="E2000" s="1">
        <v>44070</v>
      </c>
      <c r="F2000">
        <v>1</v>
      </c>
      <c r="G2000" t="s">
        <v>22</v>
      </c>
      <c r="H2000" t="s">
        <v>23</v>
      </c>
      <c r="I2000" s="3">
        <v>1357</v>
      </c>
      <c r="J2000" s="3">
        <v>1302</v>
      </c>
      <c r="K2000" s="3">
        <v>442</v>
      </c>
      <c r="L2000" t="s">
        <v>98</v>
      </c>
      <c r="M2000">
        <v>18</v>
      </c>
      <c r="N2000" t="s">
        <v>79</v>
      </c>
      <c r="O2000" t="s">
        <v>70</v>
      </c>
      <c r="P2000" t="s">
        <v>15</v>
      </c>
      <c r="Q2000" t="s">
        <v>16</v>
      </c>
      <c r="R2000" t="s">
        <v>16</v>
      </c>
      <c r="S2000" t="s">
        <v>144</v>
      </c>
      <c r="T2000" s="2">
        <f>MASTER[[#This Row],[CANTIDAD]]*MASTER[[#This Row],[PRECIO DE VENTA]]</f>
        <v>1302</v>
      </c>
      <c r="U2000" s="2">
        <f>MASTER[[#This Row],[CANTIDAD]]*MASTER[[#This Row],[COSTO UNITARIO]]</f>
        <v>442</v>
      </c>
      <c r="V2000" s="2">
        <f>MASTER[[#This Row],[MONTO VENDIDO]]-MASTER[[#This Row],[COSTO DE VENTA]]</f>
        <v>860</v>
      </c>
    </row>
    <row r="2001" spans="1:22" x14ac:dyDescent="0.3">
      <c r="A2001">
        <v>35470</v>
      </c>
      <c r="B2001">
        <v>1</v>
      </c>
      <c r="C2001" t="s">
        <v>105</v>
      </c>
      <c r="D2001" t="s">
        <v>106</v>
      </c>
      <c r="E2001" s="1">
        <v>44070</v>
      </c>
      <c r="F2001">
        <v>1</v>
      </c>
      <c r="G2001" t="s">
        <v>29</v>
      </c>
      <c r="H2001" t="s">
        <v>30</v>
      </c>
      <c r="I2001" s="3">
        <v>1865</v>
      </c>
      <c r="J2001" s="3">
        <v>1865</v>
      </c>
      <c r="K2001" s="3">
        <v>459</v>
      </c>
      <c r="L2001" t="s">
        <v>98</v>
      </c>
      <c r="M2001">
        <v>8</v>
      </c>
      <c r="N2001" t="s">
        <v>80</v>
      </c>
      <c r="O2001" t="s">
        <v>81</v>
      </c>
      <c r="P2001" t="s">
        <v>12</v>
      </c>
      <c r="Q2001" t="s">
        <v>13</v>
      </c>
      <c r="R2001" t="s">
        <v>13</v>
      </c>
      <c r="S2001" t="s">
        <v>144</v>
      </c>
      <c r="T2001" s="2">
        <f>MASTER[[#This Row],[CANTIDAD]]*MASTER[[#This Row],[PRECIO DE VENTA]]</f>
        <v>1865</v>
      </c>
      <c r="U2001" s="2">
        <f>MASTER[[#This Row],[CANTIDAD]]*MASTER[[#This Row],[COSTO UNITARIO]]</f>
        <v>459</v>
      </c>
      <c r="V2001" s="2">
        <f>MASTER[[#This Row],[MONTO VENDIDO]]-MASTER[[#This Row],[COSTO DE VENTA]]</f>
        <v>1406</v>
      </c>
    </row>
    <row r="2002" spans="1:22" x14ac:dyDescent="0.3">
      <c r="A2002">
        <v>35476</v>
      </c>
      <c r="B2002">
        <v>1</v>
      </c>
      <c r="C2002" t="s">
        <v>118</v>
      </c>
      <c r="D2002" t="s">
        <v>119</v>
      </c>
      <c r="E2002" s="1">
        <v>44070</v>
      </c>
      <c r="F2002">
        <v>1</v>
      </c>
      <c r="G2002" t="s">
        <v>47</v>
      </c>
      <c r="H2002" t="s">
        <v>48</v>
      </c>
      <c r="I2002" s="3">
        <v>900</v>
      </c>
      <c r="J2002" s="3">
        <v>900</v>
      </c>
      <c r="K2002" s="3">
        <v>424</v>
      </c>
      <c r="L2002" t="s">
        <v>120</v>
      </c>
      <c r="M2002">
        <v>15</v>
      </c>
      <c r="N2002" t="s">
        <v>88</v>
      </c>
      <c r="O2002" t="s">
        <v>81</v>
      </c>
      <c r="P2002" t="s">
        <v>18</v>
      </c>
      <c r="Q2002" t="s">
        <v>19</v>
      </c>
      <c r="R2002" t="s">
        <v>138</v>
      </c>
      <c r="S2002" t="s">
        <v>144</v>
      </c>
      <c r="T2002" s="2">
        <f>MASTER[[#This Row],[CANTIDAD]]*MASTER[[#This Row],[PRECIO DE VENTA]]</f>
        <v>900</v>
      </c>
      <c r="U2002" s="2">
        <f>MASTER[[#This Row],[CANTIDAD]]*MASTER[[#This Row],[COSTO UNITARIO]]</f>
        <v>424</v>
      </c>
      <c r="V2002" s="2">
        <f>MASTER[[#This Row],[MONTO VENDIDO]]-MASTER[[#This Row],[COSTO DE VENTA]]</f>
        <v>476</v>
      </c>
    </row>
    <row r="2003" spans="1:22" x14ac:dyDescent="0.3">
      <c r="A2003">
        <v>35493</v>
      </c>
      <c r="B2003">
        <v>1</v>
      </c>
      <c r="C2003" t="s">
        <v>105</v>
      </c>
      <c r="D2003" t="s">
        <v>106</v>
      </c>
      <c r="E2003" s="1">
        <v>44070</v>
      </c>
      <c r="F2003">
        <v>1</v>
      </c>
      <c r="G2003" t="s">
        <v>24</v>
      </c>
      <c r="H2003" t="s">
        <v>25</v>
      </c>
      <c r="I2003" s="3">
        <v>1865</v>
      </c>
      <c r="J2003" s="3">
        <v>1865</v>
      </c>
      <c r="K2003" s="3">
        <v>459</v>
      </c>
      <c r="L2003" t="s">
        <v>98</v>
      </c>
      <c r="M2003">
        <v>7</v>
      </c>
      <c r="N2003" t="s">
        <v>84</v>
      </c>
      <c r="O2003" t="s">
        <v>81</v>
      </c>
      <c r="P2003" t="s">
        <v>12</v>
      </c>
      <c r="Q2003" t="s">
        <v>13</v>
      </c>
      <c r="R2003" t="s">
        <v>13</v>
      </c>
      <c r="S2003" t="s">
        <v>144</v>
      </c>
      <c r="T2003" s="2">
        <f>MASTER[[#This Row],[CANTIDAD]]*MASTER[[#This Row],[PRECIO DE VENTA]]</f>
        <v>1865</v>
      </c>
      <c r="U2003" s="2">
        <f>MASTER[[#This Row],[CANTIDAD]]*MASTER[[#This Row],[COSTO UNITARIO]]</f>
        <v>459</v>
      </c>
      <c r="V2003" s="2">
        <f>MASTER[[#This Row],[MONTO VENDIDO]]-MASTER[[#This Row],[COSTO DE VENTA]]</f>
        <v>1406</v>
      </c>
    </row>
    <row r="2004" spans="1:22" x14ac:dyDescent="0.3">
      <c r="A2004">
        <v>35520</v>
      </c>
      <c r="B2004">
        <v>1</v>
      </c>
      <c r="C2004" t="s">
        <v>101</v>
      </c>
      <c r="D2004" t="s">
        <v>102</v>
      </c>
      <c r="E2004" s="1">
        <v>44070</v>
      </c>
      <c r="F2004">
        <v>1</v>
      </c>
      <c r="G2004" t="s">
        <v>61</v>
      </c>
      <c r="H2004" t="s">
        <v>62</v>
      </c>
      <c r="I2004" s="3">
        <v>1054</v>
      </c>
      <c r="J2004" s="3">
        <v>1011</v>
      </c>
      <c r="K2004" s="3">
        <v>442</v>
      </c>
      <c r="L2004" t="s">
        <v>98</v>
      </c>
      <c r="M2004">
        <v>12</v>
      </c>
      <c r="N2004" t="s">
        <v>26</v>
      </c>
      <c r="O2004" t="s">
        <v>11</v>
      </c>
      <c r="P2004" t="s">
        <v>12</v>
      </c>
      <c r="Q2004" t="s">
        <v>13</v>
      </c>
      <c r="R2004" t="s">
        <v>13</v>
      </c>
      <c r="S2004" t="s">
        <v>144</v>
      </c>
      <c r="T2004" s="2">
        <f>MASTER[[#This Row],[CANTIDAD]]*MASTER[[#This Row],[PRECIO DE VENTA]]</f>
        <v>1011</v>
      </c>
      <c r="U2004" s="2">
        <f>MASTER[[#This Row],[CANTIDAD]]*MASTER[[#This Row],[COSTO UNITARIO]]</f>
        <v>442</v>
      </c>
      <c r="V2004" s="2">
        <f>MASTER[[#This Row],[MONTO VENDIDO]]-MASTER[[#This Row],[COSTO DE VENTA]]</f>
        <v>569</v>
      </c>
    </row>
    <row r="2005" spans="1:22" x14ac:dyDescent="0.3">
      <c r="A2005">
        <v>35547</v>
      </c>
      <c r="B2005">
        <v>1</v>
      </c>
      <c r="C2005" t="s">
        <v>105</v>
      </c>
      <c r="D2005" t="s">
        <v>106</v>
      </c>
      <c r="E2005" s="1">
        <v>44070</v>
      </c>
      <c r="F2005">
        <v>1</v>
      </c>
      <c r="G2005" t="s">
        <v>51</v>
      </c>
      <c r="H2005" t="s">
        <v>52</v>
      </c>
      <c r="I2005" s="3">
        <v>1865</v>
      </c>
      <c r="J2005" s="3">
        <v>1865</v>
      </c>
      <c r="K2005" s="3">
        <v>459</v>
      </c>
      <c r="L2005" t="s">
        <v>98</v>
      </c>
      <c r="M2005">
        <v>7</v>
      </c>
      <c r="N2005" t="s">
        <v>84</v>
      </c>
      <c r="O2005" t="s">
        <v>81</v>
      </c>
      <c r="P2005" t="s">
        <v>12</v>
      </c>
      <c r="Q2005" t="s">
        <v>13</v>
      </c>
      <c r="R2005" t="s">
        <v>13</v>
      </c>
      <c r="S2005" t="s">
        <v>144</v>
      </c>
      <c r="T2005" s="2">
        <f>MASTER[[#This Row],[CANTIDAD]]*MASTER[[#This Row],[PRECIO DE VENTA]]</f>
        <v>1865</v>
      </c>
      <c r="U2005" s="2">
        <f>MASTER[[#This Row],[CANTIDAD]]*MASTER[[#This Row],[COSTO UNITARIO]]</f>
        <v>459</v>
      </c>
      <c r="V2005" s="2">
        <f>MASTER[[#This Row],[MONTO VENDIDO]]-MASTER[[#This Row],[COSTO DE VENTA]]</f>
        <v>1406</v>
      </c>
    </row>
    <row r="2006" spans="1:22" x14ac:dyDescent="0.3">
      <c r="A2006">
        <v>35565</v>
      </c>
      <c r="B2006">
        <v>1</v>
      </c>
      <c r="C2006" t="s">
        <v>107</v>
      </c>
      <c r="D2006" t="s">
        <v>108</v>
      </c>
      <c r="E2006" s="1">
        <v>44070</v>
      </c>
      <c r="F2006">
        <v>1</v>
      </c>
      <c r="G2006" t="s">
        <v>35</v>
      </c>
      <c r="H2006" t="s">
        <v>36</v>
      </c>
      <c r="I2006" s="3">
        <v>1333</v>
      </c>
      <c r="J2006" s="3">
        <v>1333</v>
      </c>
      <c r="K2006" s="3">
        <v>380</v>
      </c>
      <c r="L2006" t="s">
        <v>98</v>
      </c>
      <c r="M2006">
        <v>5</v>
      </c>
      <c r="N2006" t="s">
        <v>85</v>
      </c>
      <c r="O2006" t="s">
        <v>81</v>
      </c>
      <c r="P2006" t="s">
        <v>12</v>
      </c>
      <c r="Q2006" t="s">
        <v>13</v>
      </c>
      <c r="R2006" t="s">
        <v>13</v>
      </c>
      <c r="S2006" t="s">
        <v>144</v>
      </c>
      <c r="T2006" s="2">
        <f>MASTER[[#This Row],[CANTIDAD]]*MASTER[[#This Row],[PRECIO DE VENTA]]</f>
        <v>1333</v>
      </c>
      <c r="U2006" s="2">
        <f>MASTER[[#This Row],[CANTIDAD]]*MASTER[[#This Row],[COSTO UNITARIO]]</f>
        <v>380</v>
      </c>
      <c r="V2006" s="2">
        <f>MASTER[[#This Row],[MONTO VENDIDO]]-MASTER[[#This Row],[COSTO DE VENTA]]</f>
        <v>953</v>
      </c>
    </row>
    <row r="2007" spans="1:22" x14ac:dyDescent="0.3">
      <c r="A2007">
        <v>35570</v>
      </c>
      <c r="B2007">
        <v>1</v>
      </c>
      <c r="C2007" t="s">
        <v>109</v>
      </c>
      <c r="D2007" t="s">
        <v>110</v>
      </c>
      <c r="E2007" s="1">
        <v>44070</v>
      </c>
      <c r="F2007">
        <v>1</v>
      </c>
      <c r="G2007" t="s">
        <v>57</v>
      </c>
      <c r="H2007" t="s">
        <v>58</v>
      </c>
      <c r="I2007" s="3">
        <v>947</v>
      </c>
      <c r="J2007" s="3">
        <v>947</v>
      </c>
      <c r="K2007" s="3">
        <v>387</v>
      </c>
      <c r="L2007" t="s">
        <v>98</v>
      </c>
      <c r="M2007">
        <v>17</v>
      </c>
      <c r="N2007" t="s">
        <v>14</v>
      </c>
      <c r="O2007" t="s">
        <v>11</v>
      </c>
      <c r="P2007" t="s">
        <v>15</v>
      </c>
      <c r="Q2007" t="s">
        <v>16</v>
      </c>
      <c r="R2007" t="s">
        <v>16</v>
      </c>
      <c r="S2007" t="s">
        <v>144</v>
      </c>
      <c r="T2007" s="2">
        <f>MASTER[[#This Row],[CANTIDAD]]*MASTER[[#This Row],[PRECIO DE VENTA]]</f>
        <v>947</v>
      </c>
      <c r="U2007" s="2">
        <f>MASTER[[#This Row],[CANTIDAD]]*MASTER[[#This Row],[COSTO UNITARIO]]</f>
        <v>387</v>
      </c>
      <c r="V2007" s="2">
        <f>MASTER[[#This Row],[MONTO VENDIDO]]-MASTER[[#This Row],[COSTO DE VENTA]]</f>
        <v>560</v>
      </c>
    </row>
    <row r="2008" spans="1:22" x14ac:dyDescent="0.3">
      <c r="A2008">
        <v>35572</v>
      </c>
      <c r="B2008">
        <v>1</v>
      </c>
      <c r="C2008" t="s">
        <v>90</v>
      </c>
      <c r="D2008" t="s">
        <v>91</v>
      </c>
      <c r="E2008" s="1">
        <v>44070</v>
      </c>
      <c r="F2008">
        <v>1</v>
      </c>
      <c r="G2008" t="s">
        <v>65</v>
      </c>
      <c r="H2008" t="s">
        <v>66</v>
      </c>
      <c r="I2008" s="3">
        <v>2102</v>
      </c>
      <c r="J2008" s="3">
        <v>2102</v>
      </c>
      <c r="K2008" s="3">
        <v>420</v>
      </c>
      <c r="L2008" t="s">
        <v>9</v>
      </c>
      <c r="M2008">
        <v>1</v>
      </c>
      <c r="N2008" t="s">
        <v>77</v>
      </c>
      <c r="O2008" t="s">
        <v>70</v>
      </c>
      <c r="P2008" t="s">
        <v>71</v>
      </c>
      <c r="Q2008" t="s">
        <v>72</v>
      </c>
      <c r="R2008" t="s">
        <v>139</v>
      </c>
      <c r="S2008" t="s">
        <v>144</v>
      </c>
      <c r="T2008" s="2">
        <f>MASTER[[#This Row],[CANTIDAD]]*MASTER[[#This Row],[PRECIO DE VENTA]]</f>
        <v>2102</v>
      </c>
      <c r="U2008" s="2">
        <f>MASTER[[#This Row],[CANTIDAD]]*MASTER[[#This Row],[COSTO UNITARIO]]</f>
        <v>420</v>
      </c>
      <c r="V2008" s="2">
        <f>MASTER[[#This Row],[MONTO VENDIDO]]-MASTER[[#This Row],[COSTO DE VENTA]]</f>
        <v>1682</v>
      </c>
    </row>
    <row r="2009" spans="1:22" x14ac:dyDescent="0.3">
      <c r="A2009">
        <v>35582</v>
      </c>
      <c r="B2009">
        <v>1</v>
      </c>
      <c r="C2009" t="s">
        <v>103</v>
      </c>
      <c r="D2009" t="s">
        <v>104</v>
      </c>
      <c r="E2009" s="1">
        <v>44070</v>
      </c>
      <c r="F2009">
        <v>1</v>
      </c>
      <c r="G2009" t="s">
        <v>45</v>
      </c>
      <c r="H2009" t="s">
        <v>46</v>
      </c>
      <c r="I2009" s="3">
        <v>1830</v>
      </c>
      <c r="J2009" s="3">
        <v>1683</v>
      </c>
      <c r="K2009" s="3">
        <v>421</v>
      </c>
      <c r="L2009" t="s">
        <v>98</v>
      </c>
      <c r="M2009">
        <v>3</v>
      </c>
      <c r="N2009" t="s">
        <v>69</v>
      </c>
      <c r="O2009" t="s">
        <v>70</v>
      </c>
      <c r="P2009" t="s">
        <v>71</v>
      </c>
      <c r="Q2009" t="s">
        <v>72</v>
      </c>
      <c r="R2009" t="s">
        <v>139</v>
      </c>
      <c r="S2009" t="s">
        <v>144</v>
      </c>
      <c r="T2009" s="2">
        <f>MASTER[[#This Row],[CANTIDAD]]*MASTER[[#This Row],[PRECIO DE VENTA]]</f>
        <v>1683</v>
      </c>
      <c r="U2009" s="2">
        <f>MASTER[[#This Row],[CANTIDAD]]*MASTER[[#This Row],[COSTO UNITARIO]]</f>
        <v>421</v>
      </c>
      <c r="V2009" s="2">
        <f>MASTER[[#This Row],[MONTO VENDIDO]]-MASTER[[#This Row],[COSTO DE VENTA]]</f>
        <v>1262</v>
      </c>
    </row>
    <row r="2010" spans="1:22" x14ac:dyDescent="0.3">
      <c r="A2010">
        <v>35612</v>
      </c>
      <c r="B2010">
        <v>1</v>
      </c>
      <c r="C2010" t="s">
        <v>121</v>
      </c>
      <c r="D2010" t="s">
        <v>122</v>
      </c>
      <c r="E2010" s="1">
        <v>44071</v>
      </c>
      <c r="F2010">
        <v>1</v>
      </c>
      <c r="G2010" t="s">
        <v>20</v>
      </c>
      <c r="H2010" t="s">
        <v>21</v>
      </c>
      <c r="I2010" s="3">
        <v>1144</v>
      </c>
      <c r="J2010" s="3">
        <v>1144</v>
      </c>
      <c r="K2010" s="3">
        <v>460</v>
      </c>
      <c r="L2010" t="s">
        <v>120</v>
      </c>
      <c r="M2010">
        <v>18</v>
      </c>
      <c r="N2010" t="s">
        <v>79</v>
      </c>
      <c r="O2010" t="s">
        <v>70</v>
      </c>
      <c r="P2010" t="s">
        <v>15</v>
      </c>
      <c r="Q2010" t="s">
        <v>16</v>
      </c>
      <c r="R2010" t="s">
        <v>16</v>
      </c>
      <c r="S2010" t="s">
        <v>144</v>
      </c>
      <c r="T2010" s="2">
        <f>MASTER[[#This Row],[CANTIDAD]]*MASTER[[#This Row],[PRECIO DE VENTA]]</f>
        <v>1144</v>
      </c>
      <c r="U2010" s="2">
        <f>MASTER[[#This Row],[CANTIDAD]]*MASTER[[#This Row],[COSTO UNITARIO]]</f>
        <v>460</v>
      </c>
      <c r="V2010" s="2">
        <f>MASTER[[#This Row],[MONTO VENDIDO]]-MASTER[[#This Row],[COSTO DE VENTA]]</f>
        <v>684</v>
      </c>
    </row>
    <row r="2011" spans="1:22" x14ac:dyDescent="0.3">
      <c r="A2011">
        <v>35630</v>
      </c>
      <c r="B2011">
        <v>1</v>
      </c>
      <c r="C2011" t="s">
        <v>99</v>
      </c>
      <c r="D2011" t="s">
        <v>100</v>
      </c>
      <c r="E2011" s="1">
        <v>44071</v>
      </c>
      <c r="F2011">
        <v>1</v>
      </c>
      <c r="G2011" t="s">
        <v>27</v>
      </c>
      <c r="H2011" t="s">
        <v>28</v>
      </c>
      <c r="I2011" s="3">
        <v>1459</v>
      </c>
      <c r="J2011" s="3">
        <v>1459</v>
      </c>
      <c r="K2011" s="3">
        <v>386</v>
      </c>
      <c r="L2011" t="s">
        <v>98</v>
      </c>
      <c r="M2011">
        <v>14</v>
      </c>
      <c r="N2011" t="s">
        <v>87</v>
      </c>
      <c r="O2011" t="s">
        <v>81</v>
      </c>
      <c r="P2011" t="s">
        <v>18</v>
      </c>
      <c r="Q2011" t="s">
        <v>19</v>
      </c>
      <c r="R2011" t="s">
        <v>138</v>
      </c>
      <c r="S2011" t="s">
        <v>144</v>
      </c>
      <c r="T2011" s="2">
        <f>MASTER[[#This Row],[CANTIDAD]]*MASTER[[#This Row],[PRECIO DE VENTA]]</f>
        <v>1459</v>
      </c>
      <c r="U2011" s="2">
        <f>MASTER[[#This Row],[CANTIDAD]]*MASTER[[#This Row],[COSTO UNITARIO]]</f>
        <v>386</v>
      </c>
      <c r="V2011" s="2">
        <f>MASTER[[#This Row],[MONTO VENDIDO]]-MASTER[[#This Row],[COSTO DE VENTA]]</f>
        <v>1073</v>
      </c>
    </row>
    <row r="2012" spans="1:22" x14ac:dyDescent="0.3">
      <c r="A2012">
        <v>35636</v>
      </c>
      <c r="B2012">
        <v>1</v>
      </c>
      <c r="C2012" t="s">
        <v>94</v>
      </c>
      <c r="D2012" t="s">
        <v>95</v>
      </c>
      <c r="E2012" s="1">
        <v>44071</v>
      </c>
      <c r="F2012">
        <v>1</v>
      </c>
      <c r="G2012" t="s">
        <v>43</v>
      </c>
      <c r="H2012" t="s">
        <v>44</v>
      </c>
      <c r="I2012" s="3">
        <v>1153</v>
      </c>
      <c r="J2012" s="3">
        <v>1153</v>
      </c>
      <c r="K2012" s="3">
        <v>392</v>
      </c>
      <c r="L2012" t="s">
        <v>9</v>
      </c>
      <c r="M2012">
        <v>18</v>
      </c>
      <c r="N2012" t="s">
        <v>79</v>
      </c>
      <c r="O2012" t="s">
        <v>70</v>
      </c>
      <c r="P2012" t="s">
        <v>15</v>
      </c>
      <c r="Q2012" t="s">
        <v>16</v>
      </c>
      <c r="R2012" t="s">
        <v>16</v>
      </c>
      <c r="S2012" t="s">
        <v>144</v>
      </c>
      <c r="T2012" s="2">
        <f>MASTER[[#This Row],[CANTIDAD]]*MASTER[[#This Row],[PRECIO DE VENTA]]</f>
        <v>1153</v>
      </c>
      <c r="U2012" s="2">
        <f>MASTER[[#This Row],[CANTIDAD]]*MASTER[[#This Row],[COSTO UNITARIO]]</f>
        <v>392</v>
      </c>
      <c r="V2012" s="2">
        <f>MASTER[[#This Row],[MONTO VENDIDO]]-MASTER[[#This Row],[COSTO DE VENTA]]</f>
        <v>761</v>
      </c>
    </row>
    <row r="2013" spans="1:22" x14ac:dyDescent="0.3">
      <c r="A2013">
        <v>35685</v>
      </c>
      <c r="B2013">
        <v>1</v>
      </c>
      <c r="C2013" t="s">
        <v>114</v>
      </c>
      <c r="D2013" t="s">
        <v>115</v>
      </c>
      <c r="E2013" s="1">
        <v>44071</v>
      </c>
      <c r="F2013">
        <v>1</v>
      </c>
      <c r="G2013" t="s">
        <v>53</v>
      </c>
      <c r="H2013" t="s">
        <v>54</v>
      </c>
      <c r="I2013" s="3">
        <v>1862</v>
      </c>
      <c r="J2013" s="3">
        <v>1862</v>
      </c>
      <c r="K2013" s="3">
        <v>394</v>
      </c>
      <c r="L2013" t="s">
        <v>113</v>
      </c>
      <c r="M2013">
        <v>8</v>
      </c>
      <c r="N2013" t="s">
        <v>80</v>
      </c>
      <c r="O2013" t="s">
        <v>81</v>
      </c>
      <c r="P2013" t="s">
        <v>12</v>
      </c>
      <c r="Q2013" t="s">
        <v>13</v>
      </c>
      <c r="R2013" t="s">
        <v>13</v>
      </c>
      <c r="S2013" t="s">
        <v>144</v>
      </c>
      <c r="T2013" s="2">
        <f>MASTER[[#This Row],[CANTIDAD]]*MASTER[[#This Row],[PRECIO DE VENTA]]</f>
        <v>1862</v>
      </c>
      <c r="U2013" s="2">
        <f>MASTER[[#This Row],[CANTIDAD]]*MASTER[[#This Row],[COSTO UNITARIO]]</f>
        <v>394</v>
      </c>
      <c r="V2013" s="2">
        <f>MASTER[[#This Row],[MONTO VENDIDO]]-MASTER[[#This Row],[COSTO DE VENTA]]</f>
        <v>1468</v>
      </c>
    </row>
    <row r="2014" spans="1:22" x14ac:dyDescent="0.3">
      <c r="A2014">
        <v>35736</v>
      </c>
      <c r="B2014">
        <v>1</v>
      </c>
      <c r="C2014" t="s">
        <v>94</v>
      </c>
      <c r="D2014" t="s">
        <v>95</v>
      </c>
      <c r="E2014" s="1">
        <v>44071</v>
      </c>
      <c r="F2014">
        <v>1</v>
      </c>
      <c r="G2014" t="s">
        <v>63</v>
      </c>
      <c r="H2014" t="s">
        <v>64</v>
      </c>
      <c r="I2014" s="3">
        <v>1153</v>
      </c>
      <c r="J2014" s="3">
        <v>1153</v>
      </c>
      <c r="K2014" s="3">
        <v>392</v>
      </c>
      <c r="L2014" t="s">
        <v>9</v>
      </c>
      <c r="M2014">
        <v>13</v>
      </c>
      <c r="N2014" t="s">
        <v>78</v>
      </c>
      <c r="O2014" t="s">
        <v>70</v>
      </c>
      <c r="P2014" t="s">
        <v>18</v>
      </c>
      <c r="Q2014" t="s">
        <v>19</v>
      </c>
      <c r="R2014" t="s">
        <v>138</v>
      </c>
      <c r="S2014" t="s">
        <v>144</v>
      </c>
      <c r="T2014" s="2">
        <f>MASTER[[#This Row],[CANTIDAD]]*MASTER[[#This Row],[PRECIO DE VENTA]]</f>
        <v>1153</v>
      </c>
      <c r="U2014" s="2">
        <f>MASTER[[#This Row],[CANTIDAD]]*MASTER[[#This Row],[COSTO UNITARIO]]</f>
        <v>392</v>
      </c>
      <c r="V2014" s="2">
        <f>MASTER[[#This Row],[MONTO VENDIDO]]-MASTER[[#This Row],[COSTO DE VENTA]]</f>
        <v>761</v>
      </c>
    </row>
    <row r="2015" spans="1:22" x14ac:dyDescent="0.3">
      <c r="A2015">
        <v>35740</v>
      </c>
      <c r="B2015">
        <v>1</v>
      </c>
      <c r="C2015" t="s">
        <v>118</v>
      </c>
      <c r="D2015" t="s">
        <v>119</v>
      </c>
      <c r="E2015" s="1">
        <v>44071</v>
      </c>
      <c r="F2015">
        <v>1</v>
      </c>
      <c r="G2015" t="s">
        <v>53</v>
      </c>
      <c r="H2015" t="s">
        <v>54</v>
      </c>
      <c r="I2015" s="3">
        <v>900</v>
      </c>
      <c r="J2015" s="3">
        <v>900</v>
      </c>
      <c r="K2015" s="3">
        <v>424</v>
      </c>
      <c r="L2015" t="s">
        <v>120</v>
      </c>
      <c r="M2015">
        <v>19</v>
      </c>
      <c r="N2015" t="s">
        <v>89</v>
      </c>
      <c r="O2015" t="s">
        <v>81</v>
      </c>
      <c r="P2015" t="s">
        <v>15</v>
      </c>
      <c r="Q2015" t="s">
        <v>16</v>
      </c>
      <c r="R2015" t="s">
        <v>16</v>
      </c>
      <c r="S2015" t="s">
        <v>144</v>
      </c>
      <c r="T2015" s="2">
        <f>MASTER[[#This Row],[CANTIDAD]]*MASTER[[#This Row],[PRECIO DE VENTA]]</f>
        <v>900</v>
      </c>
      <c r="U2015" s="2">
        <f>MASTER[[#This Row],[CANTIDAD]]*MASTER[[#This Row],[COSTO UNITARIO]]</f>
        <v>424</v>
      </c>
      <c r="V2015" s="2">
        <f>MASTER[[#This Row],[MONTO VENDIDO]]-MASTER[[#This Row],[COSTO DE VENTA]]</f>
        <v>476</v>
      </c>
    </row>
    <row r="2016" spans="1:22" x14ac:dyDescent="0.3">
      <c r="A2016">
        <v>35741</v>
      </c>
      <c r="B2016">
        <v>1</v>
      </c>
      <c r="C2016" t="s">
        <v>118</v>
      </c>
      <c r="D2016" t="s">
        <v>119</v>
      </c>
      <c r="E2016" s="1">
        <v>44071</v>
      </c>
      <c r="F2016">
        <v>1</v>
      </c>
      <c r="G2016" t="s">
        <v>35</v>
      </c>
      <c r="H2016" t="s">
        <v>36</v>
      </c>
      <c r="I2016" s="3">
        <v>1026</v>
      </c>
      <c r="J2016" s="3">
        <v>1026</v>
      </c>
      <c r="K2016" s="3">
        <v>424</v>
      </c>
      <c r="L2016" t="s">
        <v>120</v>
      </c>
      <c r="M2016">
        <v>18</v>
      </c>
      <c r="N2016" t="s">
        <v>79</v>
      </c>
      <c r="O2016" t="s">
        <v>70</v>
      </c>
      <c r="P2016" t="s">
        <v>15</v>
      </c>
      <c r="Q2016" t="s">
        <v>16</v>
      </c>
      <c r="R2016" t="s">
        <v>16</v>
      </c>
      <c r="S2016" t="s">
        <v>144</v>
      </c>
      <c r="T2016" s="2">
        <f>MASTER[[#This Row],[CANTIDAD]]*MASTER[[#This Row],[PRECIO DE VENTA]]</f>
        <v>1026</v>
      </c>
      <c r="U2016" s="2">
        <f>MASTER[[#This Row],[CANTIDAD]]*MASTER[[#This Row],[COSTO UNITARIO]]</f>
        <v>424</v>
      </c>
      <c r="V2016" s="2">
        <f>MASTER[[#This Row],[MONTO VENDIDO]]-MASTER[[#This Row],[COSTO DE VENTA]]</f>
        <v>602</v>
      </c>
    </row>
    <row r="2017" spans="1:22" x14ac:dyDescent="0.3">
      <c r="A2017">
        <v>35754</v>
      </c>
      <c r="B2017">
        <v>1</v>
      </c>
      <c r="C2017" t="s">
        <v>96</v>
      </c>
      <c r="D2017" t="s">
        <v>97</v>
      </c>
      <c r="E2017" s="1">
        <v>44071</v>
      </c>
      <c r="F2017">
        <v>1</v>
      </c>
      <c r="G2017" t="s">
        <v>22</v>
      </c>
      <c r="H2017" t="s">
        <v>23</v>
      </c>
      <c r="I2017" s="3">
        <v>1196</v>
      </c>
      <c r="J2017" s="3">
        <v>1196</v>
      </c>
      <c r="K2017" s="3">
        <v>397</v>
      </c>
      <c r="L2017" t="s">
        <v>98</v>
      </c>
      <c r="M2017">
        <v>16</v>
      </c>
      <c r="N2017" t="s">
        <v>17</v>
      </c>
      <c r="O2017" t="s">
        <v>11</v>
      </c>
      <c r="P2017" t="s">
        <v>18</v>
      </c>
      <c r="Q2017" t="s">
        <v>19</v>
      </c>
      <c r="R2017" t="s">
        <v>138</v>
      </c>
      <c r="S2017" t="s">
        <v>144</v>
      </c>
      <c r="T2017" s="2">
        <f>MASTER[[#This Row],[CANTIDAD]]*MASTER[[#This Row],[PRECIO DE VENTA]]</f>
        <v>1196</v>
      </c>
      <c r="U2017" s="2">
        <f>MASTER[[#This Row],[CANTIDAD]]*MASTER[[#This Row],[COSTO UNITARIO]]</f>
        <v>397</v>
      </c>
      <c r="V2017" s="2">
        <f>MASTER[[#This Row],[MONTO VENDIDO]]-MASTER[[#This Row],[COSTO DE VENTA]]</f>
        <v>799</v>
      </c>
    </row>
    <row r="2018" spans="1:22" x14ac:dyDescent="0.3">
      <c r="A2018">
        <v>35760</v>
      </c>
      <c r="B2018">
        <v>1</v>
      </c>
      <c r="C2018" t="s">
        <v>103</v>
      </c>
      <c r="D2018" t="s">
        <v>104</v>
      </c>
      <c r="E2018" s="1">
        <v>44071</v>
      </c>
      <c r="F2018">
        <v>1</v>
      </c>
      <c r="G2018" t="s">
        <v>47</v>
      </c>
      <c r="H2018" t="s">
        <v>48</v>
      </c>
      <c r="I2018" s="3">
        <v>1830</v>
      </c>
      <c r="J2018" s="3">
        <v>1830</v>
      </c>
      <c r="K2018" s="3">
        <v>421</v>
      </c>
      <c r="L2018" t="s">
        <v>98</v>
      </c>
      <c r="M2018">
        <v>3</v>
      </c>
      <c r="N2018" t="s">
        <v>69</v>
      </c>
      <c r="O2018" t="s">
        <v>70</v>
      </c>
      <c r="P2018" t="s">
        <v>71</v>
      </c>
      <c r="Q2018" t="s">
        <v>72</v>
      </c>
      <c r="R2018" t="s">
        <v>139</v>
      </c>
      <c r="S2018" t="s">
        <v>144</v>
      </c>
      <c r="T2018" s="2">
        <f>MASTER[[#This Row],[CANTIDAD]]*MASTER[[#This Row],[PRECIO DE VENTA]]</f>
        <v>1830</v>
      </c>
      <c r="U2018" s="2">
        <f>MASTER[[#This Row],[CANTIDAD]]*MASTER[[#This Row],[COSTO UNITARIO]]</f>
        <v>421</v>
      </c>
      <c r="V2018" s="2">
        <f>MASTER[[#This Row],[MONTO VENDIDO]]-MASTER[[#This Row],[COSTO DE VENTA]]</f>
        <v>1409</v>
      </c>
    </row>
    <row r="2019" spans="1:22" x14ac:dyDescent="0.3">
      <c r="A2019">
        <v>35768</v>
      </c>
      <c r="B2019">
        <v>1</v>
      </c>
      <c r="C2019" t="s">
        <v>109</v>
      </c>
      <c r="D2019" t="s">
        <v>110</v>
      </c>
      <c r="E2019" s="1">
        <v>44072</v>
      </c>
      <c r="F2019">
        <v>1</v>
      </c>
      <c r="G2019" t="s">
        <v>65</v>
      </c>
      <c r="H2019" t="s">
        <v>66</v>
      </c>
      <c r="I2019" s="3">
        <v>947</v>
      </c>
      <c r="J2019" s="3">
        <v>947</v>
      </c>
      <c r="K2019" s="3">
        <v>387</v>
      </c>
      <c r="L2019" t="s">
        <v>98</v>
      </c>
      <c r="M2019">
        <v>17</v>
      </c>
      <c r="N2019" t="s">
        <v>14</v>
      </c>
      <c r="O2019" t="s">
        <v>11</v>
      </c>
      <c r="P2019" t="s">
        <v>15</v>
      </c>
      <c r="Q2019" t="s">
        <v>16</v>
      </c>
      <c r="R2019" t="s">
        <v>16</v>
      </c>
      <c r="S2019" t="s">
        <v>144</v>
      </c>
      <c r="T2019" s="2">
        <f>MASTER[[#This Row],[CANTIDAD]]*MASTER[[#This Row],[PRECIO DE VENTA]]</f>
        <v>947</v>
      </c>
      <c r="U2019" s="2">
        <f>MASTER[[#This Row],[CANTIDAD]]*MASTER[[#This Row],[COSTO UNITARIO]]</f>
        <v>387</v>
      </c>
      <c r="V2019" s="2">
        <f>MASTER[[#This Row],[MONTO VENDIDO]]-MASTER[[#This Row],[COSTO DE VENTA]]</f>
        <v>560</v>
      </c>
    </row>
    <row r="2020" spans="1:22" x14ac:dyDescent="0.3">
      <c r="A2020">
        <v>35779</v>
      </c>
      <c r="B2020">
        <v>1</v>
      </c>
      <c r="C2020" t="s">
        <v>94</v>
      </c>
      <c r="D2020" t="s">
        <v>95</v>
      </c>
      <c r="E2020" s="1">
        <v>44072</v>
      </c>
      <c r="F2020">
        <v>1</v>
      </c>
      <c r="G2020" t="s">
        <v>22</v>
      </c>
      <c r="H2020" t="s">
        <v>23</v>
      </c>
      <c r="I2020" s="3">
        <v>1048</v>
      </c>
      <c r="J2020" s="3">
        <v>1048</v>
      </c>
      <c r="K2020" s="3">
        <v>392</v>
      </c>
      <c r="L2020" t="s">
        <v>9</v>
      </c>
      <c r="M2020">
        <v>2</v>
      </c>
      <c r="N2020" t="s">
        <v>86</v>
      </c>
      <c r="O2020" t="s">
        <v>81</v>
      </c>
      <c r="P2020" t="s">
        <v>71</v>
      </c>
      <c r="Q2020" t="s">
        <v>72</v>
      </c>
      <c r="R2020" t="s">
        <v>139</v>
      </c>
      <c r="S2020" t="s">
        <v>144</v>
      </c>
      <c r="T2020" s="2">
        <f>MASTER[[#This Row],[CANTIDAD]]*MASTER[[#This Row],[PRECIO DE VENTA]]</f>
        <v>1048</v>
      </c>
      <c r="U2020" s="2">
        <f>MASTER[[#This Row],[CANTIDAD]]*MASTER[[#This Row],[COSTO UNITARIO]]</f>
        <v>392</v>
      </c>
      <c r="V2020" s="2">
        <f>MASTER[[#This Row],[MONTO VENDIDO]]-MASTER[[#This Row],[COSTO DE VENTA]]</f>
        <v>656</v>
      </c>
    </row>
    <row r="2021" spans="1:22" x14ac:dyDescent="0.3">
      <c r="A2021">
        <v>35787</v>
      </c>
      <c r="B2021">
        <v>1</v>
      </c>
      <c r="C2021" t="s">
        <v>92</v>
      </c>
      <c r="D2021" t="s">
        <v>93</v>
      </c>
      <c r="E2021" s="1">
        <v>44072</v>
      </c>
      <c r="F2021">
        <v>4</v>
      </c>
      <c r="G2021" t="s">
        <v>24</v>
      </c>
      <c r="H2021" t="s">
        <v>25</v>
      </c>
      <c r="I2021" s="3">
        <v>1681</v>
      </c>
      <c r="J2021" s="3">
        <v>1681</v>
      </c>
      <c r="K2021" s="3">
        <v>396</v>
      </c>
      <c r="L2021" t="s">
        <v>9</v>
      </c>
      <c r="M2021">
        <v>7</v>
      </c>
      <c r="N2021" t="s">
        <v>84</v>
      </c>
      <c r="O2021" t="s">
        <v>81</v>
      </c>
      <c r="P2021" t="s">
        <v>12</v>
      </c>
      <c r="Q2021" t="s">
        <v>13</v>
      </c>
      <c r="R2021" t="s">
        <v>13</v>
      </c>
      <c r="S2021" t="s">
        <v>144</v>
      </c>
      <c r="T2021" s="2">
        <f>MASTER[[#This Row],[CANTIDAD]]*MASTER[[#This Row],[PRECIO DE VENTA]]</f>
        <v>6724</v>
      </c>
      <c r="U2021" s="2">
        <f>MASTER[[#This Row],[CANTIDAD]]*MASTER[[#This Row],[COSTO UNITARIO]]</f>
        <v>1584</v>
      </c>
      <c r="V2021" s="2">
        <f>MASTER[[#This Row],[MONTO VENDIDO]]-MASTER[[#This Row],[COSTO DE VENTA]]</f>
        <v>5140</v>
      </c>
    </row>
    <row r="2022" spans="1:22" x14ac:dyDescent="0.3">
      <c r="A2022">
        <v>35788</v>
      </c>
      <c r="B2022">
        <v>1</v>
      </c>
      <c r="C2022" t="s">
        <v>111</v>
      </c>
      <c r="D2022" t="s">
        <v>112</v>
      </c>
      <c r="E2022" s="1">
        <v>44072</v>
      </c>
      <c r="F2022">
        <v>1</v>
      </c>
      <c r="G2022" t="s">
        <v>63</v>
      </c>
      <c r="H2022" t="s">
        <v>64</v>
      </c>
      <c r="I2022" s="3">
        <v>1621</v>
      </c>
      <c r="J2022" s="3">
        <v>1621</v>
      </c>
      <c r="K2022" s="3">
        <v>434</v>
      </c>
      <c r="L2022" t="s">
        <v>113</v>
      </c>
      <c r="M2022">
        <v>5</v>
      </c>
      <c r="N2022" t="s">
        <v>85</v>
      </c>
      <c r="O2022" t="s">
        <v>81</v>
      </c>
      <c r="P2022" t="s">
        <v>12</v>
      </c>
      <c r="Q2022" t="s">
        <v>13</v>
      </c>
      <c r="R2022" t="s">
        <v>13</v>
      </c>
      <c r="S2022" t="s">
        <v>144</v>
      </c>
      <c r="T2022" s="2">
        <f>MASTER[[#This Row],[CANTIDAD]]*MASTER[[#This Row],[PRECIO DE VENTA]]</f>
        <v>1621</v>
      </c>
      <c r="U2022" s="2">
        <f>MASTER[[#This Row],[CANTIDAD]]*MASTER[[#This Row],[COSTO UNITARIO]]</f>
        <v>434</v>
      </c>
      <c r="V2022" s="2">
        <f>MASTER[[#This Row],[MONTO VENDIDO]]-MASTER[[#This Row],[COSTO DE VENTA]]</f>
        <v>1187</v>
      </c>
    </row>
    <row r="2023" spans="1:22" x14ac:dyDescent="0.3">
      <c r="A2023">
        <v>35797</v>
      </c>
      <c r="B2023">
        <v>1</v>
      </c>
      <c r="C2023" t="s">
        <v>5</v>
      </c>
      <c r="D2023" t="s">
        <v>6</v>
      </c>
      <c r="E2023" s="1">
        <v>44072</v>
      </c>
      <c r="F2023">
        <v>1</v>
      </c>
      <c r="G2023" t="s">
        <v>67</v>
      </c>
      <c r="H2023" t="s">
        <v>68</v>
      </c>
      <c r="I2023" s="3">
        <v>1507</v>
      </c>
      <c r="J2023" s="3">
        <v>1507</v>
      </c>
      <c r="K2023" s="3">
        <v>393</v>
      </c>
      <c r="L2023" t="s">
        <v>9</v>
      </c>
      <c r="M2023">
        <v>10</v>
      </c>
      <c r="N2023" t="s">
        <v>83</v>
      </c>
      <c r="O2023" t="s">
        <v>81</v>
      </c>
      <c r="P2023" t="s">
        <v>12</v>
      </c>
      <c r="Q2023" t="s">
        <v>13</v>
      </c>
      <c r="R2023" t="s">
        <v>13</v>
      </c>
      <c r="S2023" t="s">
        <v>144</v>
      </c>
      <c r="T2023" s="2">
        <f>MASTER[[#This Row],[CANTIDAD]]*MASTER[[#This Row],[PRECIO DE VENTA]]</f>
        <v>1507</v>
      </c>
      <c r="U2023" s="2">
        <f>MASTER[[#This Row],[CANTIDAD]]*MASTER[[#This Row],[COSTO UNITARIO]]</f>
        <v>393</v>
      </c>
      <c r="V2023" s="2">
        <f>MASTER[[#This Row],[MONTO VENDIDO]]-MASTER[[#This Row],[COSTO DE VENTA]]</f>
        <v>1114</v>
      </c>
    </row>
    <row r="2024" spans="1:22" x14ac:dyDescent="0.3">
      <c r="A2024">
        <v>35802</v>
      </c>
      <c r="B2024">
        <v>1</v>
      </c>
      <c r="C2024" t="s">
        <v>101</v>
      </c>
      <c r="D2024" t="s">
        <v>102</v>
      </c>
      <c r="E2024" s="1">
        <v>44072</v>
      </c>
      <c r="F2024">
        <v>1</v>
      </c>
      <c r="G2024" t="s">
        <v>24</v>
      </c>
      <c r="H2024" t="s">
        <v>25</v>
      </c>
      <c r="I2024" s="3">
        <v>1212</v>
      </c>
      <c r="J2024" s="3">
        <v>1212</v>
      </c>
      <c r="K2024" s="3">
        <v>442</v>
      </c>
      <c r="L2024" t="s">
        <v>98</v>
      </c>
      <c r="M2024">
        <v>5</v>
      </c>
      <c r="N2024" t="s">
        <v>85</v>
      </c>
      <c r="O2024" t="s">
        <v>81</v>
      </c>
      <c r="P2024" t="s">
        <v>12</v>
      </c>
      <c r="Q2024" t="s">
        <v>13</v>
      </c>
      <c r="R2024" t="s">
        <v>13</v>
      </c>
      <c r="S2024" t="s">
        <v>144</v>
      </c>
      <c r="T2024" s="2">
        <f>MASTER[[#This Row],[CANTIDAD]]*MASTER[[#This Row],[PRECIO DE VENTA]]</f>
        <v>1212</v>
      </c>
      <c r="U2024" s="2">
        <f>MASTER[[#This Row],[CANTIDAD]]*MASTER[[#This Row],[COSTO UNITARIO]]</f>
        <v>442</v>
      </c>
      <c r="V2024" s="2">
        <f>MASTER[[#This Row],[MONTO VENDIDO]]-MASTER[[#This Row],[COSTO DE VENTA]]</f>
        <v>770</v>
      </c>
    </row>
    <row r="2025" spans="1:22" x14ac:dyDescent="0.3">
      <c r="A2025">
        <v>35827</v>
      </c>
      <c r="B2025">
        <v>1</v>
      </c>
      <c r="C2025" t="s">
        <v>109</v>
      </c>
      <c r="D2025" t="s">
        <v>110</v>
      </c>
      <c r="E2025" s="1">
        <v>44072</v>
      </c>
      <c r="F2025">
        <v>1</v>
      </c>
      <c r="G2025" t="s">
        <v>51</v>
      </c>
      <c r="H2025" t="s">
        <v>52</v>
      </c>
      <c r="I2025" s="3">
        <v>1064</v>
      </c>
      <c r="J2025" s="3">
        <v>1064</v>
      </c>
      <c r="K2025" s="3">
        <v>387</v>
      </c>
      <c r="L2025" t="s">
        <v>98</v>
      </c>
      <c r="M2025">
        <v>19</v>
      </c>
      <c r="N2025" t="s">
        <v>89</v>
      </c>
      <c r="O2025" t="s">
        <v>81</v>
      </c>
      <c r="P2025" t="s">
        <v>15</v>
      </c>
      <c r="Q2025" t="s">
        <v>16</v>
      </c>
      <c r="R2025" t="s">
        <v>16</v>
      </c>
      <c r="S2025" t="s">
        <v>144</v>
      </c>
      <c r="T2025" s="2">
        <f>MASTER[[#This Row],[CANTIDAD]]*MASTER[[#This Row],[PRECIO DE VENTA]]</f>
        <v>1064</v>
      </c>
      <c r="U2025" s="2">
        <f>MASTER[[#This Row],[CANTIDAD]]*MASTER[[#This Row],[COSTO UNITARIO]]</f>
        <v>387</v>
      </c>
      <c r="V2025" s="2">
        <f>MASTER[[#This Row],[MONTO VENDIDO]]-MASTER[[#This Row],[COSTO DE VENTA]]</f>
        <v>677</v>
      </c>
    </row>
    <row r="2026" spans="1:22" x14ac:dyDescent="0.3">
      <c r="A2026">
        <v>35864</v>
      </c>
      <c r="B2026">
        <v>1</v>
      </c>
      <c r="C2026" t="s">
        <v>5</v>
      </c>
      <c r="D2026" t="s">
        <v>6</v>
      </c>
      <c r="E2026" s="1">
        <v>44073</v>
      </c>
      <c r="F2026">
        <v>1</v>
      </c>
      <c r="G2026" t="s">
        <v>22</v>
      </c>
      <c r="H2026" t="s">
        <v>23</v>
      </c>
      <c r="I2026" s="3">
        <v>1507</v>
      </c>
      <c r="J2026" s="3">
        <v>1507</v>
      </c>
      <c r="K2026" s="3">
        <v>393</v>
      </c>
      <c r="L2026" t="s">
        <v>9</v>
      </c>
      <c r="M2026">
        <v>15</v>
      </c>
      <c r="N2026" t="s">
        <v>88</v>
      </c>
      <c r="O2026" t="s">
        <v>81</v>
      </c>
      <c r="P2026" t="s">
        <v>18</v>
      </c>
      <c r="Q2026" t="s">
        <v>19</v>
      </c>
      <c r="R2026" t="s">
        <v>138</v>
      </c>
      <c r="S2026" t="s">
        <v>144</v>
      </c>
      <c r="T2026" s="2">
        <f>MASTER[[#This Row],[CANTIDAD]]*MASTER[[#This Row],[PRECIO DE VENTA]]</f>
        <v>1507</v>
      </c>
      <c r="U2026" s="2">
        <f>MASTER[[#This Row],[CANTIDAD]]*MASTER[[#This Row],[COSTO UNITARIO]]</f>
        <v>393</v>
      </c>
      <c r="V2026" s="2">
        <f>MASTER[[#This Row],[MONTO VENDIDO]]-MASTER[[#This Row],[COSTO DE VENTA]]</f>
        <v>1114</v>
      </c>
    </row>
    <row r="2027" spans="1:22" x14ac:dyDescent="0.3">
      <c r="A2027">
        <v>35872</v>
      </c>
      <c r="B2027">
        <v>1</v>
      </c>
      <c r="C2027" t="s">
        <v>109</v>
      </c>
      <c r="D2027" t="s">
        <v>110</v>
      </c>
      <c r="E2027" s="1">
        <v>44073</v>
      </c>
      <c r="F2027">
        <v>1</v>
      </c>
      <c r="G2027" t="s">
        <v>24</v>
      </c>
      <c r="H2027" t="s">
        <v>25</v>
      </c>
      <c r="I2027" s="3">
        <v>947</v>
      </c>
      <c r="J2027" s="3">
        <v>880</v>
      </c>
      <c r="K2027" s="3">
        <v>387</v>
      </c>
      <c r="L2027" t="s">
        <v>98</v>
      </c>
      <c r="M2027">
        <v>11</v>
      </c>
      <c r="N2027" t="s">
        <v>10</v>
      </c>
      <c r="O2027" t="s">
        <v>11</v>
      </c>
      <c r="P2027" t="s">
        <v>12</v>
      </c>
      <c r="Q2027" t="s">
        <v>13</v>
      </c>
      <c r="R2027" t="s">
        <v>13</v>
      </c>
      <c r="S2027" t="s">
        <v>144</v>
      </c>
      <c r="T2027" s="2">
        <f>MASTER[[#This Row],[CANTIDAD]]*MASTER[[#This Row],[PRECIO DE VENTA]]</f>
        <v>880</v>
      </c>
      <c r="U2027" s="2">
        <f>MASTER[[#This Row],[CANTIDAD]]*MASTER[[#This Row],[COSTO UNITARIO]]</f>
        <v>387</v>
      </c>
      <c r="V2027" s="2">
        <f>MASTER[[#This Row],[MONTO VENDIDO]]-MASTER[[#This Row],[COSTO DE VENTA]]</f>
        <v>493</v>
      </c>
    </row>
    <row r="2028" spans="1:22" x14ac:dyDescent="0.3">
      <c r="A2028">
        <v>35882</v>
      </c>
      <c r="B2028">
        <v>1</v>
      </c>
      <c r="C2028" t="s">
        <v>96</v>
      </c>
      <c r="D2028" t="s">
        <v>97</v>
      </c>
      <c r="E2028" s="1">
        <v>44073</v>
      </c>
      <c r="F2028">
        <v>1</v>
      </c>
      <c r="G2028" t="s">
        <v>57</v>
      </c>
      <c r="H2028" t="s">
        <v>58</v>
      </c>
      <c r="I2028" s="3">
        <v>1196</v>
      </c>
      <c r="J2028" s="3">
        <v>1196</v>
      </c>
      <c r="K2028" s="3">
        <v>397</v>
      </c>
      <c r="L2028" t="s">
        <v>98</v>
      </c>
      <c r="M2028">
        <v>11</v>
      </c>
      <c r="N2028" t="s">
        <v>10</v>
      </c>
      <c r="O2028" t="s">
        <v>11</v>
      </c>
      <c r="P2028" t="s">
        <v>12</v>
      </c>
      <c r="Q2028" t="s">
        <v>13</v>
      </c>
      <c r="R2028" t="s">
        <v>13</v>
      </c>
      <c r="S2028" t="s">
        <v>144</v>
      </c>
      <c r="T2028" s="2">
        <f>MASTER[[#This Row],[CANTIDAD]]*MASTER[[#This Row],[PRECIO DE VENTA]]</f>
        <v>1196</v>
      </c>
      <c r="U2028" s="2">
        <f>MASTER[[#This Row],[CANTIDAD]]*MASTER[[#This Row],[COSTO UNITARIO]]</f>
        <v>397</v>
      </c>
      <c r="V2028" s="2">
        <f>MASTER[[#This Row],[MONTO VENDIDO]]-MASTER[[#This Row],[COSTO DE VENTA]]</f>
        <v>799</v>
      </c>
    </row>
    <row r="2029" spans="1:22" x14ac:dyDescent="0.3">
      <c r="A2029">
        <v>35902</v>
      </c>
      <c r="B2029">
        <v>1</v>
      </c>
      <c r="C2029" t="s">
        <v>109</v>
      </c>
      <c r="D2029" t="s">
        <v>110</v>
      </c>
      <c r="E2029" s="1">
        <v>44073</v>
      </c>
      <c r="F2029">
        <v>1</v>
      </c>
      <c r="G2029" t="s">
        <v>7</v>
      </c>
      <c r="H2029" t="s">
        <v>8</v>
      </c>
      <c r="I2029" s="3">
        <v>1064</v>
      </c>
      <c r="J2029" s="3">
        <v>1064</v>
      </c>
      <c r="K2029" s="3">
        <v>387</v>
      </c>
      <c r="L2029" t="s">
        <v>98</v>
      </c>
      <c r="M2029">
        <v>10</v>
      </c>
      <c r="N2029" t="s">
        <v>83</v>
      </c>
      <c r="O2029" t="s">
        <v>81</v>
      </c>
      <c r="P2029" t="s">
        <v>12</v>
      </c>
      <c r="Q2029" t="s">
        <v>13</v>
      </c>
      <c r="R2029" t="s">
        <v>13</v>
      </c>
      <c r="S2029" t="s">
        <v>144</v>
      </c>
      <c r="T2029" s="2">
        <f>MASTER[[#This Row],[CANTIDAD]]*MASTER[[#This Row],[PRECIO DE VENTA]]</f>
        <v>1064</v>
      </c>
      <c r="U2029" s="2">
        <f>MASTER[[#This Row],[CANTIDAD]]*MASTER[[#This Row],[COSTO UNITARIO]]</f>
        <v>387</v>
      </c>
      <c r="V2029" s="2">
        <f>MASTER[[#This Row],[MONTO VENDIDO]]-MASTER[[#This Row],[COSTO DE VENTA]]</f>
        <v>677</v>
      </c>
    </row>
    <row r="2030" spans="1:22" x14ac:dyDescent="0.3">
      <c r="A2030">
        <v>35916</v>
      </c>
      <c r="B2030">
        <v>1</v>
      </c>
      <c r="C2030" t="s">
        <v>111</v>
      </c>
      <c r="D2030" t="s">
        <v>112</v>
      </c>
      <c r="E2030" s="1">
        <v>44073</v>
      </c>
      <c r="F2030">
        <v>1</v>
      </c>
      <c r="G2030" t="s">
        <v>47</v>
      </c>
      <c r="H2030" t="s">
        <v>48</v>
      </c>
      <c r="I2030" s="3">
        <v>1524</v>
      </c>
      <c r="J2030" s="3">
        <v>1524</v>
      </c>
      <c r="K2030" s="3">
        <v>434</v>
      </c>
      <c r="L2030" t="s">
        <v>113</v>
      </c>
      <c r="M2030">
        <v>12</v>
      </c>
      <c r="N2030" t="s">
        <v>26</v>
      </c>
      <c r="O2030" t="s">
        <v>11</v>
      </c>
      <c r="P2030" t="s">
        <v>12</v>
      </c>
      <c r="Q2030" t="s">
        <v>13</v>
      </c>
      <c r="R2030" t="s">
        <v>13</v>
      </c>
      <c r="S2030" t="s">
        <v>144</v>
      </c>
      <c r="T2030" s="2">
        <f>MASTER[[#This Row],[CANTIDAD]]*MASTER[[#This Row],[PRECIO DE VENTA]]</f>
        <v>1524</v>
      </c>
      <c r="U2030" s="2">
        <f>MASTER[[#This Row],[CANTIDAD]]*MASTER[[#This Row],[COSTO UNITARIO]]</f>
        <v>434</v>
      </c>
      <c r="V2030" s="2">
        <f>MASTER[[#This Row],[MONTO VENDIDO]]-MASTER[[#This Row],[COSTO DE VENTA]]</f>
        <v>1090</v>
      </c>
    </row>
    <row r="2031" spans="1:22" x14ac:dyDescent="0.3">
      <c r="A2031">
        <v>35930</v>
      </c>
      <c r="B2031">
        <v>2</v>
      </c>
      <c r="C2031" t="s">
        <v>94</v>
      </c>
      <c r="D2031" t="s">
        <v>95</v>
      </c>
      <c r="E2031" s="1">
        <v>44073</v>
      </c>
      <c r="F2031">
        <v>1</v>
      </c>
      <c r="G2031" t="s">
        <v>45</v>
      </c>
      <c r="H2031" t="s">
        <v>46</v>
      </c>
      <c r="I2031" s="3">
        <v>1153</v>
      </c>
      <c r="J2031" s="3">
        <v>1153</v>
      </c>
      <c r="K2031" s="3">
        <v>392</v>
      </c>
      <c r="L2031" t="s">
        <v>9</v>
      </c>
      <c r="M2031">
        <v>18</v>
      </c>
      <c r="N2031" t="s">
        <v>79</v>
      </c>
      <c r="O2031" t="s">
        <v>70</v>
      </c>
      <c r="P2031" t="s">
        <v>15</v>
      </c>
      <c r="Q2031" t="s">
        <v>16</v>
      </c>
      <c r="R2031" t="s">
        <v>16</v>
      </c>
      <c r="S2031" t="s">
        <v>144</v>
      </c>
      <c r="T2031" s="2">
        <f>MASTER[[#This Row],[CANTIDAD]]*MASTER[[#This Row],[PRECIO DE VENTA]]</f>
        <v>1153</v>
      </c>
      <c r="U2031" s="2">
        <f>MASTER[[#This Row],[CANTIDAD]]*MASTER[[#This Row],[COSTO UNITARIO]]</f>
        <v>392</v>
      </c>
      <c r="V2031" s="2">
        <f>MASTER[[#This Row],[MONTO VENDIDO]]-MASTER[[#This Row],[COSTO DE VENTA]]</f>
        <v>761</v>
      </c>
    </row>
    <row r="2032" spans="1:22" x14ac:dyDescent="0.3">
      <c r="A2032">
        <v>35930</v>
      </c>
      <c r="B2032">
        <v>1</v>
      </c>
      <c r="C2032" t="s">
        <v>114</v>
      </c>
      <c r="D2032" t="s">
        <v>115</v>
      </c>
      <c r="E2032" s="1">
        <v>44073</v>
      </c>
      <c r="F2032">
        <v>1</v>
      </c>
      <c r="G2032" t="s">
        <v>49</v>
      </c>
      <c r="H2032" t="s">
        <v>50</v>
      </c>
      <c r="I2032" s="3">
        <v>2030</v>
      </c>
      <c r="J2032" s="3">
        <v>2030</v>
      </c>
      <c r="K2032" s="3">
        <v>394</v>
      </c>
      <c r="L2032" t="s">
        <v>113</v>
      </c>
      <c r="M2032">
        <v>18</v>
      </c>
      <c r="N2032" t="s">
        <v>79</v>
      </c>
      <c r="O2032" t="s">
        <v>70</v>
      </c>
      <c r="P2032" t="s">
        <v>15</v>
      </c>
      <c r="Q2032" t="s">
        <v>16</v>
      </c>
      <c r="R2032" t="s">
        <v>16</v>
      </c>
      <c r="S2032" t="s">
        <v>144</v>
      </c>
      <c r="T2032" s="2">
        <f>MASTER[[#This Row],[CANTIDAD]]*MASTER[[#This Row],[PRECIO DE VENTA]]</f>
        <v>2030</v>
      </c>
      <c r="U2032" s="2">
        <f>MASTER[[#This Row],[CANTIDAD]]*MASTER[[#This Row],[COSTO UNITARIO]]</f>
        <v>394</v>
      </c>
      <c r="V2032" s="2">
        <f>MASTER[[#This Row],[MONTO VENDIDO]]-MASTER[[#This Row],[COSTO DE VENTA]]</f>
        <v>1636</v>
      </c>
    </row>
    <row r="2033" spans="1:22" x14ac:dyDescent="0.3">
      <c r="A2033">
        <v>35957</v>
      </c>
      <c r="B2033">
        <v>1</v>
      </c>
      <c r="C2033" t="s">
        <v>92</v>
      </c>
      <c r="D2033" t="s">
        <v>93</v>
      </c>
      <c r="E2033" s="1">
        <v>44073</v>
      </c>
      <c r="F2033">
        <v>1</v>
      </c>
      <c r="G2033" t="s">
        <v>31</v>
      </c>
      <c r="H2033" t="s">
        <v>32</v>
      </c>
      <c r="I2033" s="3">
        <v>1866</v>
      </c>
      <c r="J2033" s="3">
        <v>1866</v>
      </c>
      <c r="K2033" s="3">
        <v>396</v>
      </c>
      <c r="L2033" t="s">
        <v>9</v>
      </c>
      <c r="M2033">
        <v>18</v>
      </c>
      <c r="N2033" t="s">
        <v>79</v>
      </c>
      <c r="O2033" t="s">
        <v>70</v>
      </c>
      <c r="P2033" t="s">
        <v>15</v>
      </c>
      <c r="Q2033" t="s">
        <v>16</v>
      </c>
      <c r="R2033" t="s">
        <v>16</v>
      </c>
      <c r="S2033" t="s">
        <v>144</v>
      </c>
      <c r="T2033" s="2">
        <f>MASTER[[#This Row],[CANTIDAD]]*MASTER[[#This Row],[PRECIO DE VENTA]]</f>
        <v>1866</v>
      </c>
      <c r="U2033" s="2">
        <f>MASTER[[#This Row],[CANTIDAD]]*MASTER[[#This Row],[COSTO UNITARIO]]</f>
        <v>396</v>
      </c>
      <c r="V2033" s="2">
        <f>MASTER[[#This Row],[MONTO VENDIDO]]-MASTER[[#This Row],[COSTO DE VENTA]]</f>
        <v>1470</v>
      </c>
    </row>
    <row r="2034" spans="1:22" x14ac:dyDescent="0.3">
      <c r="A2034">
        <v>35977</v>
      </c>
      <c r="B2034">
        <v>1</v>
      </c>
      <c r="C2034" t="s">
        <v>5</v>
      </c>
      <c r="D2034" t="s">
        <v>6</v>
      </c>
      <c r="E2034" s="1">
        <v>44073</v>
      </c>
      <c r="F2034">
        <v>1</v>
      </c>
      <c r="G2034" t="s">
        <v>39</v>
      </c>
      <c r="H2034" t="s">
        <v>40</v>
      </c>
      <c r="I2034" s="3">
        <v>1296</v>
      </c>
      <c r="J2034" s="3">
        <v>1296</v>
      </c>
      <c r="K2034" s="3">
        <v>393</v>
      </c>
      <c r="L2034" t="s">
        <v>9</v>
      </c>
      <c r="M2034">
        <v>18</v>
      </c>
      <c r="N2034" t="s">
        <v>79</v>
      </c>
      <c r="O2034" t="s">
        <v>70</v>
      </c>
      <c r="P2034" t="s">
        <v>15</v>
      </c>
      <c r="Q2034" t="s">
        <v>16</v>
      </c>
      <c r="R2034" t="s">
        <v>16</v>
      </c>
      <c r="S2034" t="s">
        <v>144</v>
      </c>
      <c r="T2034" s="2">
        <f>MASTER[[#This Row],[CANTIDAD]]*MASTER[[#This Row],[PRECIO DE VENTA]]</f>
        <v>1296</v>
      </c>
      <c r="U2034" s="2">
        <f>MASTER[[#This Row],[CANTIDAD]]*MASTER[[#This Row],[COSTO UNITARIO]]</f>
        <v>393</v>
      </c>
      <c r="V2034" s="2">
        <f>MASTER[[#This Row],[MONTO VENDIDO]]-MASTER[[#This Row],[COSTO DE VENTA]]</f>
        <v>903</v>
      </c>
    </row>
    <row r="2035" spans="1:22" x14ac:dyDescent="0.3">
      <c r="A2035">
        <v>35983</v>
      </c>
      <c r="B2035">
        <v>1</v>
      </c>
      <c r="C2035" t="s">
        <v>92</v>
      </c>
      <c r="D2035" t="s">
        <v>93</v>
      </c>
      <c r="E2035" s="1">
        <v>44073</v>
      </c>
      <c r="F2035">
        <v>1</v>
      </c>
      <c r="G2035" t="s">
        <v>20</v>
      </c>
      <c r="H2035" t="s">
        <v>21</v>
      </c>
      <c r="I2035" s="3">
        <v>1866</v>
      </c>
      <c r="J2035" s="3">
        <v>1866</v>
      </c>
      <c r="K2035" s="3">
        <v>396</v>
      </c>
      <c r="L2035" t="s">
        <v>9</v>
      </c>
      <c r="M2035">
        <v>6</v>
      </c>
      <c r="N2035" t="s">
        <v>75</v>
      </c>
      <c r="O2035" t="s">
        <v>70</v>
      </c>
      <c r="P2035" t="s">
        <v>12</v>
      </c>
      <c r="Q2035" t="s">
        <v>13</v>
      </c>
      <c r="R2035" t="s">
        <v>13</v>
      </c>
      <c r="S2035" t="s">
        <v>144</v>
      </c>
      <c r="T2035" s="2">
        <f>MASTER[[#This Row],[CANTIDAD]]*MASTER[[#This Row],[PRECIO DE VENTA]]</f>
        <v>1866</v>
      </c>
      <c r="U2035" s="2">
        <f>MASTER[[#This Row],[CANTIDAD]]*MASTER[[#This Row],[COSTO UNITARIO]]</f>
        <v>396</v>
      </c>
      <c r="V2035" s="2">
        <f>MASTER[[#This Row],[MONTO VENDIDO]]-MASTER[[#This Row],[COSTO DE VENTA]]</f>
        <v>1470</v>
      </c>
    </row>
    <row r="2036" spans="1:22" x14ac:dyDescent="0.3">
      <c r="A2036">
        <v>35984</v>
      </c>
      <c r="B2036">
        <v>1</v>
      </c>
      <c r="C2036" t="s">
        <v>103</v>
      </c>
      <c r="D2036" t="s">
        <v>104</v>
      </c>
      <c r="E2036" s="1">
        <v>44073</v>
      </c>
      <c r="F2036">
        <v>2</v>
      </c>
      <c r="G2036" t="s">
        <v>53</v>
      </c>
      <c r="H2036" t="s">
        <v>54</v>
      </c>
      <c r="I2036" s="3">
        <v>1591</v>
      </c>
      <c r="J2036" s="3">
        <v>1591</v>
      </c>
      <c r="K2036" s="3">
        <v>421</v>
      </c>
      <c r="L2036" t="s">
        <v>98</v>
      </c>
      <c r="M2036">
        <v>5</v>
      </c>
      <c r="N2036" t="s">
        <v>85</v>
      </c>
      <c r="O2036" t="s">
        <v>81</v>
      </c>
      <c r="P2036" t="s">
        <v>12</v>
      </c>
      <c r="Q2036" t="s">
        <v>13</v>
      </c>
      <c r="R2036" t="s">
        <v>13</v>
      </c>
      <c r="S2036" t="s">
        <v>144</v>
      </c>
      <c r="T2036" s="2">
        <f>MASTER[[#This Row],[CANTIDAD]]*MASTER[[#This Row],[PRECIO DE VENTA]]</f>
        <v>3182</v>
      </c>
      <c r="U2036" s="2">
        <f>MASTER[[#This Row],[CANTIDAD]]*MASTER[[#This Row],[COSTO UNITARIO]]</f>
        <v>842</v>
      </c>
      <c r="V2036" s="2">
        <f>MASTER[[#This Row],[MONTO VENDIDO]]-MASTER[[#This Row],[COSTO DE VENTA]]</f>
        <v>2340</v>
      </c>
    </row>
    <row r="2037" spans="1:22" x14ac:dyDescent="0.3">
      <c r="A2037">
        <v>35992</v>
      </c>
      <c r="B2037">
        <v>1</v>
      </c>
      <c r="C2037" t="s">
        <v>116</v>
      </c>
      <c r="D2037" t="s">
        <v>117</v>
      </c>
      <c r="E2037" s="1">
        <v>44074</v>
      </c>
      <c r="F2037">
        <v>1</v>
      </c>
      <c r="G2037" t="s">
        <v>33</v>
      </c>
      <c r="H2037" t="s">
        <v>34</v>
      </c>
      <c r="I2037" s="3">
        <v>1738</v>
      </c>
      <c r="J2037" s="3">
        <v>1738</v>
      </c>
      <c r="K2037" s="3">
        <v>388</v>
      </c>
      <c r="L2037" t="s">
        <v>113</v>
      </c>
      <c r="M2037">
        <v>2</v>
      </c>
      <c r="N2037" t="s">
        <v>86</v>
      </c>
      <c r="O2037" t="s">
        <v>81</v>
      </c>
      <c r="P2037" t="s">
        <v>71</v>
      </c>
      <c r="Q2037" t="s">
        <v>72</v>
      </c>
      <c r="R2037" t="s">
        <v>139</v>
      </c>
      <c r="S2037" t="s">
        <v>144</v>
      </c>
      <c r="T2037" s="2">
        <f>MASTER[[#This Row],[CANTIDAD]]*MASTER[[#This Row],[PRECIO DE VENTA]]</f>
        <v>1738</v>
      </c>
      <c r="U2037" s="2">
        <f>MASTER[[#This Row],[CANTIDAD]]*MASTER[[#This Row],[COSTO UNITARIO]]</f>
        <v>388</v>
      </c>
      <c r="V2037" s="2">
        <f>MASTER[[#This Row],[MONTO VENDIDO]]-MASTER[[#This Row],[COSTO DE VENTA]]</f>
        <v>1350</v>
      </c>
    </row>
    <row r="2038" spans="1:22" x14ac:dyDescent="0.3">
      <c r="A2038">
        <v>36003</v>
      </c>
      <c r="B2038">
        <v>1</v>
      </c>
      <c r="C2038" t="s">
        <v>90</v>
      </c>
      <c r="D2038" t="s">
        <v>91</v>
      </c>
      <c r="E2038" s="1">
        <v>44074</v>
      </c>
      <c r="F2038">
        <v>1</v>
      </c>
      <c r="G2038" t="s">
        <v>55</v>
      </c>
      <c r="H2038" t="s">
        <v>56</v>
      </c>
      <c r="I2038" s="3">
        <v>1844</v>
      </c>
      <c r="J2038" s="3">
        <v>1751</v>
      </c>
      <c r="K2038" s="3">
        <v>420</v>
      </c>
      <c r="L2038" t="s">
        <v>9</v>
      </c>
      <c r="M2038">
        <v>19</v>
      </c>
      <c r="N2038" t="s">
        <v>89</v>
      </c>
      <c r="O2038" t="s">
        <v>81</v>
      </c>
      <c r="P2038" t="s">
        <v>15</v>
      </c>
      <c r="Q2038" t="s">
        <v>16</v>
      </c>
      <c r="R2038" t="s">
        <v>16</v>
      </c>
      <c r="S2038" t="s">
        <v>144</v>
      </c>
      <c r="T2038" s="2">
        <f>MASTER[[#This Row],[CANTIDAD]]*MASTER[[#This Row],[PRECIO DE VENTA]]</f>
        <v>1751</v>
      </c>
      <c r="U2038" s="2">
        <f>MASTER[[#This Row],[CANTIDAD]]*MASTER[[#This Row],[COSTO UNITARIO]]</f>
        <v>420</v>
      </c>
      <c r="V2038" s="2">
        <f>MASTER[[#This Row],[MONTO VENDIDO]]-MASTER[[#This Row],[COSTO DE VENTA]]</f>
        <v>1331</v>
      </c>
    </row>
    <row r="2039" spans="1:22" x14ac:dyDescent="0.3">
      <c r="A2039">
        <v>36018</v>
      </c>
      <c r="B2039">
        <v>1</v>
      </c>
      <c r="C2039" t="s">
        <v>99</v>
      </c>
      <c r="D2039" t="s">
        <v>100</v>
      </c>
      <c r="E2039" s="1">
        <v>44074</v>
      </c>
      <c r="F2039">
        <v>1</v>
      </c>
      <c r="G2039" t="s">
        <v>7</v>
      </c>
      <c r="H2039" t="s">
        <v>8</v>
      </c>
      <c r="I2039" s="3">
        <v>1678</v>
      </c>
      <c r="J2039" s="3">
        <v>1678</v>
      </c>
      <c r="K2039" s="3">
        <v>386</v>
      </c>
      <c r="L2039" t="s">
        <v>98</v>
      </c>
      <c r="M2039">
        <v>9</v>
      </c>
      <c r="N2039" t="s">
        <v>76</v>
      </c>
      <c r="O2039" t="s">
        <v>70</v>
      </c>
      <c r="P2039" t="s">
        <v>12</v>
      </c>
      <c r="Q2039" t="s">
        <v>13</v>
      </c>
      <c r="R2039" t="s">
        <v>13</v>
      </c>
      <c r="S2039" t="s">
        <v>144</v>
      </c>
      <c r="T2039" s="2">
        <f>MASTER[[#This Row],[CANTIDAD]]*MASTER[[#This Row],[PRECIO DE VENTA]]</f>
        <v>1678</v>
      </c>
      <c r="U2039" s="2">
        <f>MASTER[[#This Row],[CANTIDAD]]*MASTER[[#This Row],[COSTO UNITARIO]]</f>
        <v>386</v>
      </c>
      <c r="V2039" s="2">
        <f>MASTER[[#This Row],[MONTO VENDIDO]]-MASTER[[#This Row],[COSTO DE VENTA]]</f>
        <v>1292</v>
      </c>
    </row>
    <row r="2040" spans="1:22" x14ac:dyDescent="0.3">
      <c r="A2040">
        <v>36039</v>
      </c>
      <c r="B2040">
        <v>1</v>
      </c>
      <c r="C2040" t="s">
        <v>90</v>
      </c>
      <c r="D2040" t="s">
        <v>91</v>
      </c>
      <c r="E2040" s="1">
        <v>44075</v>
      </c>
      <c r="F2040">
        <v>3</v>
      </c>
      <c r="G2040" t="s">
        <v>27</v>
      </c>
      <c r="H2040" t="s">
        <v>28</v>
      </c>
      <c r="I2040" s="3">
        <v>1844</v>
      </c>
      <c r="J2040" s="3">
        <v>1844</v>
      </c>
      <c r="K2040" s="3">
        <v>420</v>
      </c>
      <c r="L2040" t="s">
        <v>9</v>
      </c>
      <c r="M2040">
        <v>8</v>
      </c>
      <c r="N2040" t="s">
        <v>80</v>
      </c>
      <c r="O2040" t="s">
        <v>81</v>
      </c>
      <c r="P2040" t="s">
        <v>12</v>
      </c>
      <c r="Q2040" t="s">
        <v>13</v>
      </c>
      <c r="R2040" t="s">
        <v>13</v>
      </c>
      <c r="S2040" t="s">
        <v>144</v>
      </c>
      <c r="T2040" s="2">
        <f>MASTER[[#This Row],[CANTIDAD]]*MASTER[[#This Row],[PRECIO DE VENTA]]</f>
        <v>5532</v>
      </c>
      <c r="U2040" s="2">
        <f>MASTER[[#This Row],[CANTIDAD]]*MASTER[[#This Row],[COSTO UNITARIO]]</f>
        <v>1260</v>
      </c>
      <c r="V2040" s="2">
        <f>MASTER[[#This Row],[MONTO VENDIDO]]-MASTER[[#This Row],[COSTO DE VENTA]]</f>
        <v>4272</v>
      </c>
    </row>
    <row r="2041" spans="1:22" x14ac:dyDescent="0.3">
      <c r="A2041">
        <v>36047</v>
      </c>
      <c r="B2041">
        <v>1</v>
      </c>
      <c r="C2041" t="s">
        <v>121</v>
      </c>
      <c r="D2041" t="s">
        <v>122</v>
      </c>
      <c r="E2041" s="1">
        <v>44075</v>
      </c>
      <c r="F2041">
        <v>3</v>
      </c>
      <c r="G2041" t="s">
        <v>41</v>
      </c>
      <c r="H2041" t="s">
        <v>42</v>
      </c>
      <c r="I2041" s="3">
        <v>1144</v>
      </c>
      <c r="J2041" s="3">
        <v>1144</v>
      </c>
      <c r="K2041" s="3">
        <v>460</v>
      </c>
      <c r="L2041" t="s">
        <v>120</v>
      </c>
      <c r="M2041">
        <v>1</v>
      </c>
      <c r="N2041" t="s">
        <v>77</v>
      </c>
      <c r="O2041" t="s">
        <v>70</v>
      </c>
      <c r="P2041" t="s">
        <v>71</v>
      </c>
      <c r="Q2041" t="s">
        <v>72</v>
      </c>
      <c r="R2041" t="s">
        <v>139</v>
      </c>
      <c r="S2041" t="s">
        <v>144</v>
      </c>
      <c r="T2041" s="2">
        <f>MASTER[[#This Row],[CANTIDAD]]*MASTER[[#This Row],[PRECIO DE VENTA]]</f>
        <v>3432</v>
      </c>
      <c r="U2041" s="2">
        <f>MASTER[[#This Row],[CANTIDAD]]*MASTER[[#This Row],[COSTO UNITARIO]]</f>
        <v>1380</v>
      </c>
      <c r="V2041" s="2">
        <f>MASTER[[#This Row],[MONTO VENDIDO]]-MASTER[[#This Row],[COSTO DE VENTA]]</f>
        <v>2052</v>
      </c>
    </row>
    <row r="2042" spans="1:22" x14ac:dyDescent="0.3">
      <c r="A2042">
        <v>36048</v>
      </c>
      <c r="B2042">
        <v>1</v>
      </c>
      <c r="C2042" t="s">
        <v>116</v>
      </c>
      <c r="D2042" t="s">
        <v>117</v>
      </c>
      <c r="E2042" s="1">
        <v>44075</v>
      </c>
      <c r="F2042">
        <v>1</v>
      </c>
      <c r="G2042" t="s">
        <v>53</v>
      </c>
      <c r="H2042" t="s">
        <v>54</v>
      </c>
      <c r="I2042" s="3">
        <v>1738</v>
      </c>
      <c r="J2042" s="3">
        <v>1633</v>
      </c>
      <c r="K2042" s="3">
        <v>388</v>
      </c>
      <c r="L2042" t="s">
        <v>113</v>
      </c>
      <c r="M2042">
        <v>4</v>
      </c>
      <c r="N2042" t="s">
        <v>82</v>
      </c>
      <c r="O2042" t="s">
        <v>81</v>
      </c>
      <c r="P2042" t="s">
        <v>71</v>
      </c>
      <c r="Q2042" t="s">
        <v>72</v>
      </c>
      <c r="R2042" t="s">
        <v>139</v>
      </c>
      <c r="S2042" t="s">
        <v>144</v>
      </c>
      <c r="T2042" s="2">
        <f>MASTER[[#This Row],[CANTIDAD]]*MASTER[[#This Row],[PRECIO DE VENTA]]</f>
        <v>1633</v>
      </c>
      <c r="U2042" s="2">
        <f>MASTER[[#This Row],[CANTIDAD]]*MASTER[[#This Row],[COSTO UNITARIO]]</f>
        <v>388</v>
      </c>
      <c r="V2042" s="2">
        <f>MASTER[[#This Row],[MONTO VENDIDO]]-MASTER[[#This Row],[COSTO DE VENTA]]</f>
        <v>1245</v>
      </c>
    </row>
    <row r="2043" spans="1:22" x14ac:dyDescent="0.3">
      <c r="A2043">
        <v>36077</v>
      </c>
      <c r="B2043">
        <v>1</v>
      </c>
      <c r="C2043" t="s">
        <v>105</v>
      </c>
      <c r="D2043" t="s">
        <v>106</v>
      </c>
      <c r="E2043" s="1">
        <v>44075</v>
      </c>
      <c r="F2043">
        <v>4</v>
      </c>
      <c r="G2043" t="s">
        <v>61</v>
      </c>
      <c r="H2043" t="s">
        <v>62</v>
      </c>
      <c r="I2043" s="3">
        <v>2033</v>
      </c>
      <c r="J2043" s="3">
        <v>1870</v>
      </c>
      <c r="K2043" s="3">
        <v>459</v>
      </c>
      <c r="L2043" t="s">
        <v>98</v>
      </c>
      <c r="M2043">
        <v>6</v>
      </c>
      <c r="N2043" t="s">
        <v>75</v>
      </c>
      <c r="O2043" t="s">
        <v>70</v>
      </c>
      <c r="P2043" t="s">
        <v>12</v>
      </c>
      <c r="Q2043" t="s">
        <v>13</v>
      </c>
      <c r="R2043" t="s">
        <v>13</v>
      </c>
      <c r="S2043" t="s">
        <v>144</v>
      </c>
      <c r="T2043" s="2">
        <f>MASTER[[#This Row],[CANTIDAD]]*MASTER[[#This Row],[PRECIO DE VENTA]]</f>
        <v>7480</v>
      </c>
      <c r="U2043" s="2">
        <f>MASTER[[#This Row],[CANTIDAD]]*MASTER[[#This Row],[COSTO UNITARIO]]</f>
        <v>1836</v>
      </c>
      <c r="V2043" s="2">
        <f>MASTER[[#This Row],[MONTO VENDIDO]]-MASTER[[#This Row],[COSTO DE VENTA]]</f>
        <v>5644</v>
      </c>
    </row>
    <row r="2044" spans="1:22" x14ac:dyDescent="0.3">
      <c r="A2044">
        <v>36081</v>
      </c>
      <c r="B2044">
        <v>1</v>
      </c>
      <c r="C2044" t="s">
        <v>116</v>
      </c>
      <c r="D2044" t="s">
        <v>117</v>
      </c>
      <c r="E2044" s="1">
        <v>44075</v>
      </c>
      <c r="F2044">
        <v>1</v>
      </c>
      <c r="G2044" t="s">
        <v>51</v>
      </c>
      <c r="H2044" t="s">
        <v>52</v>
      </c>
      <c r="I2044" s="3">
        <v>1529</v>
      </c>
      <c r="J2044" s="3">
        <v>1529</v>
      </c>
      <c r="K2044" s="3">
        <v>388</v>
      </c>
      <c r="L2044" t="s">
        <v>113</v>
      </c>
      <c r="M2044">
        <v>12</v>
      </c>
      <c r="N2044" t="s">
        <v>26</v>
      </c>
      <c r="O2044" t="s">
        <v>11</v>
      </c>
      <c r="P2044" t="s">
        <v>12</v>
      </c>
      <c r="Q2044" t="s">
        <v>13</v>
      </c>
      <c r="R2044" t="s">
        <v>13</v>
      </c>
      <c r="S2044" t="s">
        <v>144</v>
      </c>
      <c r="T2044" s="2">
        <f>MASTER[[#This Row],[CANTIDAD]]*MASTER[[#This Row],[PRECIO DE VENTA]]</f>
        <v>1529</v>
      </c>
      <c r="U2044" s="2">
        <f>MASTER[[#This Row],[CANTIDAD]]*MASTER[[#This Row],[COSTO UNITARIO]]</f>
        <v>388</v>
      </c>
      <c r="V2044" s="2">
        <f>MASTER[[#This Row],[MONTO VENDIDO]]-MASTER[[#This Row],[COSTO DE VENTA]]</f>
        <v>1141</v>
      </c>
    </row>
    <row r="2045" spans="1:22" x14ac:dyDescent="0.3">
      <c r="A2045">
        <v>36094</v>
      </c>
      <c r="B2045">
        <v>1</v>
      </c>
      <c r="C2045" t="s">
        <v>118</v>
      </c>
      <c r="D2045" t="s">
        <v>119</v>
      </c>
      <c r="E2045" s="1">
        <v>44075</v>
      </c>
      <c r="F2045">
        <v>1</v>
      </c>
      <c r="G2045" t="s">
        <v>59</v>
      </c>
      <c r="H2045" t="s">
        <v>60</v>
      </c>
      <c r="I2045" s="3">
        <v>900</v>
      </c>
      <c r="J2045" s="3">
        <v>900</v>
      </c>
      <c r="K2045" s="3">
        <v>424</v>
      </c>
      <c r="L2045" t="s">
        <v>120</v>
      </c>
      <c r="M2045">
        <v>2</v>
      </c>
      <c r="N2045" t="s">
        <v>86</v>
      </c>
      <c r="O2045" t="s">
        <v>81</v>
      </c>
      <c r="P2045" t="s">
        <v>71</v>
      </c>
      <c r="Q2045" t="s">
        <v>72</v>
      </c>
      <c r="R2045" t="s">
        <v>139</v>
      </c>
      <c r="S2045" t="s">
        <v>144</v>
      </c>
      <c r="T2045" s="2">
        <f>MASTER[[#This Row],[CANTIDAD]]*MASTER[[#This Row],[PRECIO DE VENTA]]</f>
        <v>900</v>
      </c>
      <c r="U2045" s="2">
        <f>MASTER[[#This Row],[CANTIDAD]]*MASTER[[#This Row],[COSTO UNITARIO]]</f>
        <v>424</v>
      </c>
      <c r="V2045" s="2">
        <f>MASTER[[#This Row],[MONTO VENDIDO]]-MASTER[[#This Row],[COSTO DE VENTA]]</f>
        <v>476</v>
      </c>
    </row>
    <row r="2046" spans="1:22" x14ac:dyDescent="0.3">
      <c r="A2046">
        <v>36103</v>
      </c>
      <c r="B2046">
        <v>1</v>
      </c>
      <c r="C2046" t="s">
        <v>96</v>
      </c>
      <c r="D2046" t="s">
        <v>97</v>
      </c>
      <c r="E2046" s="1">
        <v>44075</v>
      </c>
      <c r="F2046">
        <v>1</v>
      </c>
      <c r="G2046" t="s">
        <v>51</v>
      </c>
      <c r="H2046" t="s">
        <v>52</v>
      </c>
      <c r="I2046" s="3">
        <v>1361</v>
      </c>
      <c r="J2046" s="3">
        <v>1361</v>
      </c>
      <c r="K2046" s="3">
        <v>397</v>
      </c>
      <c r="L2046" t="s">
        <v>98</v>
      </c>
      <c r="M2046">
        <v>9</v>
      </c>
      <c r="N2046" t="s">
        <v>76</v>
      </c>
      <c r="O2046" t="s">
        <v>70</v>
      </c>
      <c r="P2046" t="s">
        <v>12</v>
      </c>
      <c r="Q2046" t="s">
        <v>13</v>
      </c>
      <c r="R2046" t="s">
        <v>13</v>
      </c>
      <c r="S2046" t="s">
        <v>144</v>
      </c>
      <c r="T2046" s="2">
        <f>MASTER[[#This Row],[CANTIDAD]]*MASTER[[#This Row],[PRECIO DE VENTA]]</f>
        <v>1361</v>
      </c>
      <c r="U2046" s="2">
        <f>MASTER[[#This Row],[CANTIDAD]]*MASTER[[#This Row],[COSTO UNITARIO]]</f>
        <v>397</v>
      </c>
      <c r="V2046" s="2">
        <f>MASTER[[#This Row],[MONTO VENDIDO]]-MASTER[[#This Row],[COSTO DE VENTA]]</f>
        <v>964</v>
      </c>
    </row>
    <row r="2047" spans="1:22" x14ac:dyDescent="0.3">
      <c r="A2047">
        <v>36109</v>
      </c>
      <c r="B2047">
        <v>1</v>
      </c>
      <c r="C2047" t="s">
        <v>99</v>
      </c>
      <c r="D2047" t="s">
        <v>100</v>
      </c>
      <c r="E2047" s="1">
        <v>44075</v>
      </c>
      <c r="F2047">
        <v>1</v>
      </c>
      <c r="G2047" t="s">
        <v>47</v>
      </c>
      <c r="H2047" t="s">
        <v>48</v>
      </c>
      <c r="I2047" s="3">
        <v>1678</v>
      </c>
      <c r="J2047" s="3">
        <v>1678</v>
      </c>
      <c r="K2047" s="3">
        <v>386</v>
      </c>
      <c r="L2047" t="s">
        <v>98</v>
      </c>
      <c r="M2047">
        <v>18</v>
      </c>
      <c r="N2047" t="s">
        <v>79</v>
      </c>
      <c r="O2047" t="s">
        <v>70</v>
      </c>
      <c r="P2047" t="s">
        <v>15</v>
      </c>
      <c r="Q2047" t="s">
        <v>16</v>
      </c>
      <c r="R2047" t="s">
        <v>16</v>
      </c>
      <c r="S2047" t="s">
        <v>144</v>
      </c>
      <c r="T2047" s="2">
        <f>MASTER[[#This Row],[CANTIDAD]]*MASTER[[#This Row],[PRECIO DE VENTA]]</f>
        <v>1678</v>
      </c>
      <c r="U2047" s="2">
        <f>MASTER[[#This Row],[CANTIDAD]]*MASTER[[#This Row],[COSTO UNITARIO]]</f>
        <v>386</v>
      </c>
      <c r="V2047" s="2">
        <f>MASTER[[#This Row],[MONTO VENDIDO]]-MASTER[[#This Row],[COSTO DE VENTA]]</f>
        <v>1292</v>
      </c>
    </row>
    <row r="2048" spans="1:22" x14ac:dyDescent="0.3">
      <c r="A2048">
        <v>36124</v>
      </c>
      <c r="B2048">
        <v>1</v>
      </c>
      <c r="C2048" t="s">
        <v>103</v>
      </c>
      <c r="D2048" t="s">
        <v>104</v>
      </c>
      <c r="E2048" s="1">
        <v>44075</v>
      </c>
      <c r="F2048">
        <v>1</v>
      </c>
      <c r="G2048" t="s">
        <v>33</v>
      </c>
      <c r="H2048" t="s">
        <v>34</v>
      </c>
      <c r="I2048" s="3">
        <v>1591</v>
      </c>
      <c r="J2048" s="3">
        <v>1591</v>
      </c>
      <c r="K2048" s="3">
        <v>421</v>
      </c>
      <c r="L2048" t="s">
        <v>98</v>
      </c>
      <c r="M2048">
        <v>10</v>
      </c>
      <c r="N2048" t="s">
        <v>83</v>
      </c>
      <c r="O2048" t="s">
        <v>81</v>
      </c>
      <c r="P2048" t="s">
        <v>12</v>
      </c>
      <c r="Q2048" t="s">
        <v>13</v>
      </c>
      <c r="R2048" t="s">
        <v>13</v>
      </c>
      <c r="S2048" t="s">
        <v>144</v>
      </c>
      <c r="T2048" s="2">
        <f>MASTER[[#This Row],[CANTIDAD]]*MASTER[[#This Row],[PRECIO DE VENTA]]</f>
        <v>1591</v>
      </c>
      <c r="U2048" s="2">
        <f>MASTER[[#This Row],[CANTIDAD]]*MASTER[[#This Row],[COSTO UNITARIO]]</f>
        <v>421</v>
      </c>
      <c r="V2048" s="2">
        <f>MASTER[[#This Row],[MONTO VENDIDO]]-MASTER[[#This Row],[COSTO DE VENTA]]</f>
        <v>1170</v>
      </c>
    </row>
    <row r="2049" spans="1:22" x14ac:dyDescent="0.3">
      <c r="A2049">
        <v>36139</v>
      </c>
      <c r="B2049">
        <v>1</v>
      </c>
      <c r="C2049" t="s">
        <v>90</v>
      </c>
      <c r="D2049" t="s">
        <v>91</v>
      </c>
      <c r="E2049" s="1">
        <v>44075</v>
      </c>
      <c r="F2049">
        <v>1</v>
      </c>
      <c r="G2049" t="s">
        <v>37</v>
      </c>
      <c r="H2049" t="s">
        <v>38</v>
      </c>
      <c r="I2049" s="3">
        <v>1844</v>
      </c>
      <c r="J2049" s="3">
        <v>1844</v>
      </c>
      <c r="K2049" s="3">
        <v>420</v>
      </c>
      <c r="L2049" t="s">
        <v>9</v>
      </c>
      <c r="M2049">
        <v>19</v>
      </c>
      <c r="N2049" t="s">
        <v>89</v>
      </c>
      <c r="O2049" t="s">
        <v>81</v>
      </c>
      <c r="P2049" t="s">
        <v>15</v>
      </c>
      <c r="Q2049" t="s">
        <v>16</v>
      </c>
      <c r="R2049" t="s">
        <v>16</v>
      </c>
      <c r="S2049" t="s">
        <v>144</v>
      </c>
      <c r="T2049" s="2">
        <f>MASTER[[#This Row],[CANTIDAD]]*MASTER[[#This Row],[PRECIO DE VENTA]]</f>
        <v>1844</v>
      </c>
      <c r="U2049" s="2">
        <f>MASTER[[#This Row],[CANTIDAD]]*MASTER[[#This Row],[COSTO UNITARIO]]</f>
        <v>420</v>
      </c>
      <c r="V2049" s="2">
        <f>MASTER[[#This Row],[MONTO VENDIDO]]-MASTER[[#This Row],[COSTO DE VENTA]]</f>
        <v>1424</v>
      </c>
    </row>
    <row r="2050" spans="1:22" x14ac:dyDescent="0.3">
      <c r="A2050">
        <v>36146</v>
      </c>
      <c r="B2050">
        <v>1</v>
      </c>
      <c r="C2050" t="s">
        <v>94</v>
      </c>
      <c r="D2050" t="s">
        <v>95</v>
      </c>
      <c r="E2050" s="1">
        <v>44075</v>
      </c>
      <c r="F2050">
        <v>3</v>
      </c>
      <c r="G2050" t="s">
        <v>41</v>
      </c>
      <c r="H2050" t="s">
        <v>42</v>
      </c>
      <c r="I2050" s="3">
        <v>1153</v>
      </c>
      <c r="J2050" s="3">
        <v>1153</v>
      </c>
      <c r="K2050" s="3">
        <v>392</v>
      </c>
      <c r="L2050" t="s">
        <v>9</v>
      </c>
      <c r="M2050">
        <v>18</v>
      </c>
      <c r="N2050" t="s">
        <v>79</v>
      </c>
      <c r="O2050" t="s">
        <v>70</v>
      </c>
      <c r="P2050" t="s">
        <v>15</v>
      </c>
      <c r="Q2050" t="s">
        <v>16</v>
      </c>
      <c r="R2050" t="s">
        <v>16</v>
      </c>
      <c r="S2050" t="s">
        <v>144</v>
      </c>
      <c r="T2050" s="2">
        <f>MASTER[[#This Row],[CANTIDAD]]*MASTER[[#This Row],[PRECIO DE VENTA]]</f>
        <v>3459</v>
      </c>
      <c r="U2050" s="2">
        <f>MASTER[[#This Row],[CANTIDAD]]*MASTER[[#This Row],[COSTO UNITARIO]]</f>
        <v>1176</v>
      </c>
      <c r="V2050" s="2">
        <f>MASTER[[#This Row],[MONTO VENDIDO]]-MASTER[[#This Row],[COSTO DE VENTA]]</f>
        <v>2283</v>
      </c>
    </row>
    <row r="2051" spans="1:22" x14ac:dyDescent="0.3">
      <c r="A2051">
        <v>36173</v>
      </c>
      <c r="B2051">
        <v>1</v>
      </c>
      <c r="C2051" t="s">
        <v>96</v>
      </c>
      <c r="D2051" t="s">
        <v>97</v>
      </c>
      <c r="E2051" s="1">
        <v>44076</v>
      </c>
      <c r="F2051">
        <v>1</v>
      </c>
      <c r="G2051" t="s">
        <v>20</v>
      </c>
      <c r="H2051" t="s">
        <v>21</v>
      </c>
      <c r="I2051" s="3">
        <v>1196</v>
      </c>
      <c r="J2051" s="3">
        <v>1196</v>
      </c>
      <c r="K2051" s="3">
        <v>397</v>
      </c>
      <c r="L2051" t="s">
        <v>98</v>
      </c>
      <c r="M2051">
        <v>16</v>
      </c>
      <c r="N2051" t="s">
        <v>17</v>
      </c>
      <c r="O2051" t="s">
        <v>11</v>
      </c>
      <c r="P2051" t="s">
        <v>18</v>
      </c>
      <c r="Q2051" t="s">
        <v>19</v>
      </c>
      <c r="R2051" t="s">
        <v>138</v>
      </c>
      <c r="S2051" t="s">
        <v>144</v>
      </c>
      <c r="T2051" s="2">
        <f>MASTER[[#This Row],[CANTIDAD]]*MASTER[[#This Row],[PRECIO DE VENTA]]</f>
        <v>1196</v>
      </c>
      <c r="U2051" s="2">
        <f>MASTER[[#This Row],[CANTIDAD]]*MASTER[[#This Row],[COSTO UNITARIO]]</f>
        <v>397</v>
      </c>
      <c r="V2051" s="2">
        <f>MASTER[[#This Row],[MONTO VENDIDO]]-MASTER[[#This Row],[COSTO DE VENTA]]</f>
        <v>799</v>
      </c>
    </row>
    <row r="2052" spans="1:22" x14ac:dyDescent="0.3">
      <c r="A2052">
        <v>36176</v>
      </c>
      <c r="B2052">
        <v>1</v>
      </c>
      <c r="C2052" t="s">
        <v>92</v>
      </c>
      <c r="D2052" t="s">
        <v>93</v>
      </c>
      <c r="E2052" s="1">
        <v>44076</v>
      </c>
      <c r="F2052">
        <v>1</v>
      </c>
      <c r="G2052" t="s">
        <v>57</v>
      </c>
      <c r="H2052" t="s">
        <v>58</v>
      </c>
      <c r="I2052" s="3">
        <v>1681</v>
      </c>
      <c r="J2052" s="3">
        <v>1681</v>
      </c>
      <c r="K2052" s="3">
        <v>396</v>
      </c>
      <c r="L2052" t="s">
        <v>9</v>
      </c>
      <c r="M2052">
        <v>2</v>
      </c>
      <c r="N2052" t="s">
        <v>86</v>
      </c>
      <c r="O2052" t="s">
        <v>81</v>
      </c>
      <c r="P2052" t="s">
        <v>71</v>
      </c>
      <c r="Q2052" t="s">
        <v>72</v>
      </c>
      <c r="R2052" t="s">
        <v>139</v>
      </c>
      <c r="S2052" t="s">
        <v>144</v>
      </c>
      <c r="T2052" s="2">
        <f>MASTER[[#This Row],[CANTIDAD]]*MASTER[[#This Row],[PRECIO DE VENTA]]</f>
        <v>1681</v>
      </c>
      <c r="U2052" s="2">
        <f>MASTER[[#This Row],[CANTIDAD]]*MASTER[[#This Row],[COSTO UNITARIO]]</f>
        <v>396</v>
      </c>
      <c r="V2052" s="2">
        <f>MASTER[[#This Row],[MONTO VENDIDO]]-MASTER[[#This Row],[COSTO DE VENTA]]</f>
        <v>1285</v>
      </c>
    </row>
    <row r="2053" spans="1:22" x14ac:dyDescent="0.3">
      <c r="A2053">
        <v>36208</v>
      </c>
      <c r="B2053">
        <v>1</v>
      </c>
      <c r="C2053" t="s">
        <v>5</v>
      </c>
      <c r="D2053" t="s">
        <v>6</v>
      </c>
      <c r="E2053" s="1">
        <v>44076</v>
      </c>
      <c r="F2053">
        <v>1</v>
      </c>
      <c r="G2053" t="s">
        <v>37</v>
      </c>
      <c r="H2053" t="s">
        <v>38</v>
      </c>
      <c r="I2053" s="3">
        <v>1311</v>
      </c>
      <c r="J2053" s="3">
        <v>1311</v>
      </c>
      <c r="K2053" s="3">
        <v>393</v>
      </c>
      <c r="L2053" t="s">
        <v>9</v>
      </c>
      <c r="M2053">
        <v>16</v>
      </c>
      <c r="N2053" t="s">
        <v>17</v>
      </c>
      <c r="O2053" t="s">
        <v>11</v>
      </c>
      <c r="P2053" t="s">
        <v>18</v>
      </c>
      <c r="Q2053" t="s">
        <v>19</v>
      </c>
      <c r="R2053" t="s">
        <v>138</v>
      </c>
      <c r="S2053" t="s">
        <v>144</v>
      </c>
      <c r="T2053" s="2">
        <f>MASTER[[#This Row],[CANTIDAD]]*MASTER[[#This Row],[PRECIO DE VENTA]]</f>
        <v>1311</v>
      </c>
      <c r="U2053" s="2">
        <f>MASTER[[#This Row],[CANTIDAD]]*MASTER[[#This Row],[COSTO UNITARIO]]</f>
        <v>393</v>
      </c>
      <c r="V2053" s="2">
        <f>MASTER[[#This Row],[MONTO VENDIDO]]-MASTER[[#This Row],[COSTO DE VENTA]]</f>
        <v>918</v>
      </c>
    </row>
    <row r="2054" spans="1:22" x14ac:dyDescent="0.3">
      <c r="A2054">
        <v>36219</v>
      </c>
      <c r="B2054">
        <v>1</v>
      </c>
      <c r="C2054" t="s">
        <v>116</v>
      </c>
      <c r="D2054" t="s">
        <v>117</v>
      </c>
      <c r="E2054" s="1">
        <v>44076</v>
      </c>
      <c r="F2054">
        <v>1</v>
      </c>
      <c r="G2054" t="s">
        <v>41</v>
      </c>
      <c r="H2054" t="s">
        <v>42</v>
      </c>
      <c r="I2054" s="3">
        <v>1529</v>
      </c>
      <c r="J2054" s="3">
        <v>1529</v>
      </c>
      <c r="K2054" s="3">
        <v>388</v>
      </c>
      <c r="L2054" t="s">
        <v>113</v>
      </c>
      <c r="M2054">
        <v>12</v>
      </c>
      <c r="N2054" t="s">
        <v>26</v>
      </c>
      <c r="O2054" t="s">
        <v>11</v>
      </c>
      <c r="P2054" t="s">
        <v>12</v>
      </c>
      <c r="Q2054" t="s">
        <v>13</v>
      </c>
      <c r="R2054" t="s">
        <v>13</v>
      </c>
      <c r="S2054" t="s">
        <v>144</v>
      </c>
      <c r="T2054" s="2">
        <f>MASTER[[#This Row],[CANTIDAD]]*MASTER[[#This Row],[PRECIO DE VENTA]]</f>
        <v>1529</v>
      </c>
      <c r="U2054" s="2">
        <f>MASTER[[#This Row],[CANTIDAD]]*MASTER[[#This Row],[COSTO UNITARIO]]</f>
        <v>388</v>
      </c>
      <c r="V2054" s="2">
        <f>MASTER[[#This Row],[MONTO VENDIDO]]-MASTER[[#This Row],[COSTO DE VENTA]]</f>
        <v>1141</v>
      </c>
    </row>
    <row r="2055" spans="1:22" x14ac:dyDescent="0.3">
      <c r="A2055">
        <v>36240</v>
      </c>
      <c r="B2055">
        <v>1</v>
      </c>
      <c r="C2055" t="s">
        <v>121</v>
      </c>
      <c r="D2055" t="s">
        <v>122</v>
      </c>
      <c r="E2055" s="1">
        <v>44076</v>
      </c>
      <c r="F2055">
        <v>1</v>
      </c>
      <c r="G2055" t="s">
        <v>29</v>
      </c>
      <c r="H2055" t="s">
        <v>30</v>
      </c>
      <c r="I2055" s="3">
        <v>1069</v>
      </c>
      <c r="J2055" s="3">
        <v>1069</v>
      </c>
      <c r="K2055" s="3">
        <v>460</v>
      </c>
      <c r="L2055" t="s">
        <v>120</v>
      </c>
      <c r="M2055">
        <v>14</v>
      </c>
      <c r="N2055" t="s">
        <v>87</v>
      </c>
      <c r="O2055" t="s">
        <v>81</v>
      </c>
      <c r="P2055" t="s">
        <v>18</v>
      </c>
      <c r="Q2055" t="s">
        <v>19</v>
      </c>
      <c r="R2055" t="s">
        <v>138</v>
      </c>
      <c r="S2055" t="s">
        <v>144</v>
      </c>
      <c r="T2055" s="2">
        <f>MASTER[[#This Row],[CANTIDAD]]*MASTER[[#This Row],[PRECIO DE VENTA]]</f>
        <v>1069</v>
      </c>
      <c r="U2055" s="2">
        <f>MASTER[[#This Row],[CANTIDAD]]*MASTER[[#This Row],[COSTO UNITARIO]]</f>
        <v>460</v>
      </c>
      <c r="V2055" s="2">
        <f>MASTER[[#This Row],[MONTO VENDIDO]]-MASTER[[#This Row],[COSTO DE VENTA]]</f>
        <v>609</v>
      </c>
    </row>
    <row r="2056" spans="1:22" x14ac:dyDescent="0.3">
      <c r="A2056">
        <v>36256</v>
      </c>
      <c r="B2056">
        <v>1</v>
      </c>
      <c r="C2056" t="s">
        <v>5</v>
      </c>
      <c r="D2056" t="s">
        <v>6</v>
      </c>
      <c r="E2056" s="1">
        <v>44076</v>
      </c>
      <c r="F2056">
        <v>1</v>
      </c>
      <c r="G2056" t="s">
        <v>22</v>
      </c>
      <c r="H2056" t="s">
        <v>23</v>
      </c>
      <c r="I2056" s="3">
        <v>1311</v>
      </c>
      <c r="J2056" s="3">
        <v>1311</v>
      </c>
      <c r="K2056" s="3">
        <v>393</v>
      </c>
      <c r="L2056" t="s">
        <v>9</v>
      </c>
      <c r="M2056">
        <v>12</v>
      </c>
      <c r="N2056" t="s">
        <v>26</v>
      </c>
      <c r="O2056" t="s">
        <v>11</v>
      </c>
      <c r="P2056" t="s">
        <v>12</v>
      </c>
      <c r="Q2056" t="s">
        <v>13</v>
      </c>
      <c r="R2056" t="s">
        <v>13</v>
      </c>
      <c r="S2056" t="s">
        <v>144</v>
      </c>
      <c r="T2056" s="2">
        <f>MASTER[[#This Row],[CANTIDAD]]*MASTER[[#This Row],[PRECIO DE VENTA]]</f>
        <v>1311</v>
      </c>
      <c r="U2056" s="2">
        <f>MASTER[[#This Row],[CANTIDAD]]*MASTER[[#This Row],[COSTO UNITARIO]]</f>
        <v>393</v>
      </c>
      <c r="V2056" s="2">
        <f>MASTER[[#This Row],[MONTO VENDIDO]]-MASTER[[#This Row],[COSTO DE VENTA]]</f>
        <v>918</v>
      </c>
    </row>
    <row r="2057" spans="1:22" x14ac:dyDescent="0.3">
      <c r="A2057">
        <v>36275</v>
      </c>
      <c r="B2057">
        <v>1</v>
      </c>
      <c r="C2057" t="s">
        <v>111</v>
      </c>
      <c r="D2057" t="s">
        <v>112</v>
      </c>
      <c r="E2057" s="1">
        <v>44076</v>
      </c>
      <c r="F2057">
        <v>1</v>
      </c>
      <c r="G2057" t="s">
        <v>33</v>
      </c>
      <c r="H2057" t="s">
        <v>34</v>
      </c>
      <c r="I2057" s="3">
        <v>1799</v>
      </c>
      <c r="J2057" s="3">
        <v>1799</v>
      </c>
      <c r="K2057" s="3">
        <v>434</v>
      </c>
      <c r="L2057" t="s">
        <v>113</v>
      </c>
      <c r="M2057">
        <v>13</v>
      </c>
      <c r="N2057" t="s">
        <v>78</v>
      </c>
      <c r="O2057" t="s">
        <v>70</v>
      </c>
      <c r="P2057" t="s">
        <v>18</v>
      </c>
      <c r="Q2057" t="s">
        <v>19</v>
      </c>
      <c r="R2057" t="s">
        <v>138</v>
      </c>
      <c r="S2057" t="s">
        <v>144</v>
      </c>
      <c r="T2057" s="2">
        <f>MASTER[[#This Row],[CANTIDAD]]*MASTER[[#This Row],[PRECIO DE VENTA]]</f>
        <v>1799</v>
      </c>
      <c r="U2057" s="2">
        <f>MASTER[[#This Row],[CANTIDAD]]*MASTER[[#This Row],[COSTO UNITARIO]]</f>
        <v>434</v>
      </c>
      <c r="V2057" s="2">
        <f>MASTER[[#This Row],[MONTO VENDIDO]]-MASTER[[#This Row],[COSTO DE VENTA]]</f>
        <v>1365</v>
      </c>
    </row>
    <row r="2058" spans="1:22" x14ac:dyDescent="0.3">
      <c r="A2058">
        <v>36315</v>
      </c>
      <c r="B2058">
        <v>1</v>
      </c>
      <c r="C2058" t="s">
        <v>94</v>
      </c>
      <c r="D2058" t="s">
        <v>95</v>
      </c>
      <c r="E2058" s="1">
        <v>44076</v>
      </c>
      <c r="F2058">
        <v>1</v>
      </c>
      <c r="G2058" t="s">
        <v>31</v>
      </c>
      <c r="H2058" t="s">
        <v>32</v>
      </c>
      <c r="I2058" s="3">
        <v>1153</v>
      </c>
      <c r="J2058" s="3">
        <v>1153</v>
      </c>
      <c r="K2058" s="3">
        <v>392</v>
      </c>
      <c r="L2058" t="s">
        <v>9</v>
      </c>
      <c r="M2058">
        <v>6</v>
      </c>
      <c r="N2058" t="s">
        <v>75</v>
      </c>
      <c r="O2058" t="s">
        <v>70</v>
      </c>
      <c r="P2058" t="s">
        <v>12</v>
      </c>
      <c r="Q2058" t="s">
        <v>13</v>
      </c>
      <c r="R2058" t="s">
        <v>13</v>
      </c>
      <c r="S2058" t="s">
        <v>144</v>
      </c>
      <c r="T2058" s="2">
        <f>MASTER[[#This Row],[CANTIDAD]]*MASTER[[#This Row],[PRECIO DE VENTA]]</f>
        <v>1153</v>
      </c>
      <c r="U2058" s="2">
        <f>MASTER[[#This Row],[CANTIDAD]]*MASTER[[#This Row],[COSTO UNITARIO]]</f>
        <v>392</v>
      </c>
      <c r="V2058" s="2">
        <f>MASTER[[#This Row],[MONTO VENDIDO]]-MASTER[[#This Row],[COSTO DE VENTA]]</f>
        <v>761</v>
      </c>
    </row>
    <row r="2059" spans="1:22" x14ac:dyDescent="0.3">
      <c r="A2059">
        <v>36331</v>
      </c>
      <c r="B2059">
        <v>1</v>
      </c>
      <c r="C2059" t="s">
        <v>114</v>
      </c>
      <c r="D2059" t="s">
        <v>115</v>
      </c>
      <c r="E2059" s="1">
        <v>44076</v>
      </c>
      <c r="F2059">
        <v>4</v>
      </c>
      <c r="G2059" t="s">
        <v>49</v>
      </c>
      <c r="H2059" t="s">
        <v>50</v>
      </c>
      <c r="I2059" s="3">
        <v>2030</v>
      </c>
      <c r="J2059" s="3">
        <v>2030</v>
      </c>
      <c r="K2059" s="3">
        <v>394</v>
      </c>
      <c r="L2059" t="s">
        <v>113</v>
      </c>
      <c r="M2059">
        <v>1</v>
      </c>
      <c r="N2059" t="s">
        <v>77</v>
      </c>
      <c r="O2059" t="s">
        <v>70</v>
      </c>
      <c r="P2059" t="s">
        <v>71</v>
      </c>
      <c r="Q2059" t="s">
        <v>72</v>
      </c>
      <c r="R2059" t="s">
        <v>139</v>
      </c>
      <c r="S2059" t="s">
        <v>144</v>
      </c>
      <c r="T2059" s="2">
        <f>MASTER[[#This Row],[CANTIDAD]]*MASTER[[#This Row],[PRECIO DE VENTA]]</f>
        <v>8120</v>
      </c>
      <c r="U2059" s="2">
        <f>MASTER[[#This Row],[CANTIDAD]]*MASTER[[#This Row],[COSTO UNITARIO]]</f>
        <v>1576</v>
      </c>
      <c r="V2059" s="2">
        <f>MASTER[[#This Row],[MONTO VENDIDO]]-MASTER[[#This Row],[COSTO DE VENTA]]</f>
        <v>6544</v>
      </c>
    </row>
    <row r="2060" spans="1:22" x14ac:dyDescent="0.3">
      <c r="A2060">
        <v>36341</v>
      </c>
      <c r="B2060">
        <v>1</v>
      </c>
      <c r="C2060" t="s">
        <v>105</v>
      </c>
      <c r="D2060" t="s">
        <v>106</v>
      </c>
      <c r="E2060" s="1">
        <v>44076</v>
      </c>
      <c r="F2060">
        <v>1</v>
      </c>
      <c r="G2060" t="s">
        <v>73</v>
      </c>
      <c r="H2060" t="s">
        <v>74</v>
      </c>
      <c r="I2060" s="3">
        <v>2033</v>
      </c>
      <c r="J2060" s="3">
        <v>2033</v>
      </c>
      <c r="K2060" s="3">
        <v>459</v>
      </c>
      <c r="L2060" t="s">
        <v>98</v>
      </c>
      <c r="M2060">
        <v>13</v>
      </c>
      <c r="N2060" t="s">
        <v>78</v>
      </c>
      <c r="O2060" t="s">
        <v>70</v>
      </c>
      <c r="P2060" t="s">
        <v>18</v>
      </c>
      <c r="Q2060" t="s">
        <v>19</v>
      </c>
      <c r="R2060" t="s">
        <v>138</v>
      </c>
      <c r="S2060" t="s">
        <v>144</v>
      </c>
      <c r="T2060" s="2">
        <f>MASTER[[#This Row],[CANTIDAD]]*MASTER[[#This Row],[PRECIO DE VENTA]]</f>
        <v>2033</v>
      </c>
      <c r="U2060" s="2">
        <f>MASTER[[#This Row],[CANTIDAD]]*MASTER[[#This Row],[COSTO UNITARIO]]</f>
        <v>459</v>
      </c>
      <c r="V2060" s="2">
        <f>MASTER[[#This Row],[MONTO VENDIDO]]-MASTER[[#This Row],[COSTO DE VENTA]]</f>
        <v>1574</v>
      </c>
    </row>
    <row r="2061" spans="1:22" x14ac:dyDescent="0.3">
      <c r="A2061">
        <v>36342</v>
      </c>
      <c r="B2061">
        <v>1</v>
      </c>
      <c r="C2061" t="s">
        <v>118</v>
      </c>
      <c r="D2061" t="s">
        <v>119</v>
      </c>
      <c r="E2061" s="1">
        <v>44076</v>
      </c>
      <c r="F2061">
        <v>1</v>
      </c>
      <c r="G2061" t="s">
        <v>24</v>
      </c>
      <c r="H2061" t="s">
        <v>25</v>
      </c>
      <c r="I2061" s="3">
        <v>900</v>
      </c>
      <c r="J2061" s="3">
        <v>900</v>
      </c>
      <c r="K2061" s="3">
        <v>424</v>
      </c>
      <c r="L2061" t="s">
        <v>120</v>
      </c>
      <c r="M2061">
        <v>10</v>
      </c>
      <c r="N2061" t="s">
        <v>83</v>
      </c>
      <c r="O2061" t="s">
        <v>81</v>
      </c>
      <c r="P2061" t="s">
        <v>12</v>
      </c>
      <c r="Q2061" t="s">
        <v>13</v>
      </c>
      <c r="R2061" t="s">
        <v>13</v>
      </c>
      <c r="S2061" t="s">
        <v>144</v>
      </c>
      <c r="T2061" s="2">
        <f>MASTER[[#This Row],[CANTIDAD]]*MASTER[[#This Row],[PRECIO DE VENTA]]</f>
        <v>900</v>
      </c>
      <c r="U2061" s="2">
        <f>MASTER[[#This Row],[CANTIDAD]]*MASTER[[#This Row],[COSTO UNITARIO]]</f>
        <v>424</v>
      </c>
      <c r="V2061" s="2">
        <f>MASTER[[#This Row],[MONTO VENDIDO]]-MASTER[[#This Row],[COSTO DE VENTA]]</f>
        <v>476</v>
      </c>
    </row>
    <row r="2062" spans="1:22" x14ac:dyDescent="0.3">
      <c r="A2062">
        <v>36348</v>
      </c>
      <c r="B2062">
        <v>1</v>
      </c>
      <c r="C2062" t="s">
        <v>109</v>
      </c>
      <c r="D2062" t="s">
        <v>110</v>
      </c>
      <c r="E2062" s="1">
        <v>44076</v>
      </c>
      <c r="F2062">
        <v>1</v>
      </c>
      <c r="G2062" t="s">
        <v>7</v>
      </c>
      <c r="H2062" t="s">
        <v>8</v>
      </c>
      <c r="I2062" s="3">
        <v>1064</v>
      </c>
      <c r="J2062" s="3">
        <v>1064</v>
      </c>
      <c r="K2062" s="3">
        <v>387</v>
      </c>
      <c r="L2062" t="s">
        <v>98</v>
      </c>
      <c r="M2062">
        <v>4</v>
      </c>
      <c r="N2062" t="s">
        <v>82</v>
      </c>
      <c r="O2062" t="s">
        <v>81</v>
      </c>
      <c r="P2062" t="s">
        <v>71</v>
      </c>
      <c r="Q2062" t="s">
        <v>72</v>
      </c>
      <c r="R2062" t="s">
        <v>139</v>
      </c>
      <c r="S2062" t="s">
        <v>144</v>
      </c>
      <c r="T2062" s="2">
        <f>MASTER[[#This Row],[CANTIDAD]]*MASTER[[#This Row],[PRECIO DE VENTA]]</f>
        <v>1064</v>
      </c>
      <c r="U2062" s="2">
        <f>MASTER[[#This Row],[CANTIDAD]]*MASTER[[#This Row],[COSTO UNITARIO]]</f>
        <v>387</v>
      </c>
      <c r="V2062" s="2">
        <f>MASTER[[#This Row],[MONTO VENDIDO]]-MASTER[[#This Row],[COSTO DE VENTA]]</f>
        <v>677</v>
      </c>
    </row>
    <row r="2063" spans="1:22" x14ac:dyDescent="0.3">
      <c r="A2063">
        <v>36356</v>
      </c>
      <c r="B2063">
        <v>1</v>
      </c>
      <c r="C2063" t="s">
        <v>92</v>
      </c>
      <c r="D2063" t="s">
        <v>93</v>
      </c>
      <c r="E2063" s="1">
        <v>44077</v>
      </c>
      <c r="F2063">
        <v>1</v>
      </c>
      <c r="G2063" t="s">
        <v>29</v>
      </c>
      <c r="H2063" t="s">
        <v>30</v>
      </c>
      <c r="I2063" s="3">
        <v>1479</v>
      </c>
      <c r="J2063" s="3">
        <v>1479</v>
      </c>
      <c r="K2063" s="3">
        <v>396</v>
      </c>
      <c r="L2063" t="s">
        <v>9</v>
      </c>
      <c r="M2063">
        <v>16</v>
      </c>
      <c r="N2063" t="s">
        <v>17</v>
      </c>
      <c r="O2063" t="s">
        <v>11</v>
      </c>
      <c r="P2063" t="s">
        <v>18</v>
      </c>
      <c r="Q2063" t="s">
        <v>19</v>
      </c>
      <c r="R2063" t="s">
        <v>138</v>
      </c>
      <c r="S2063" t="s">
        <v>144</v>
      </c>
      <c r="T2063" s="2">
        <f>MASTER[[#This Row],[CANTIDAD]]*MASTER[[#This Row],[PRECIO DE VENTA]]</f>
        <v>1479</v>
      </c>
      <c r="U2063" s="2">
        <f>MASTER[[#This Row],[CANTIDAD]]*MASTER[[#This Row],[COSTO UNITARIO]]</f>
        <v>396</v>
      </c>
      <c r="V2063" s="2">
        <f>MASTER[[#This Row],[MONTO VENDIDO]]-MASTER[[#This Row],[COSTO DE VENTA]]</f>
        <v>1083</v>
      </c>
    </row>
    <row r="2064" spans="1:22" x14ac:dyDescent="0.3">
      <c r="A2064">
        <v>36358</v>
      </c>
      <c r="B2064">
        <v>1</v>
      </c>
      <c r="C2064" t="s">
        <v>114</v>
      </c>
      <c r="D2064" t="s">
        <v>115</v>
      </c>
      <c r="E2064" s="1">
        <v>44077</v>
      </c>
      <c r="F2064">
        <v>1</v>
      </c>
      <c r="G2064" t="s">
        <v>73</v>
      </c>
      <c r="H2064" t="s">
        <v>74</v>
      </c>
      <c r="I2064" s="3">
        <v>2030</v>
      </c>
      <c r="J2064" s="3">
        <v>2030</v>
      </c>
      <c r="K2064" s="3">
        <v>394</v>
      </c>
      <c r="L2064" t="s">
        <v>113</v>
      </c>
      <c r="M2064">
        <v>3</v>
      </c>
      <c r="N2064" t="s">
        <v>69</v>
      </c>
      <c r="O2064" t="s">
        <v>70</v>
      </c>
      <c r="P2064" t="s">
        <v>71</v>
      </c>
      <c r="Q2064" t="s">
        <v>72</v>
      </c>
      <c r="R2064" t="s">
        <v>139</v>
      </c>
      <c r="S2064" t="s">
        <v>144</v>
      </c>
      <c r="T2064" s="2">
        <f>MASTER[[#This Row],[CANTIDAD]]*MASTER[[#This Row],[PRECIO DE VENTA]]</f>
        <v>2030</v>
      </c>
      <c r="U2064" s="2">
        <f>MASTER[[#This Row],[CANTIDAD]]*MASTER[[#This Row],[COSTO UNITARIO]]</f>
        <v>394</v>
      </c>
      <c r="V2064" s="2">
        <f>MASTER[[#This Row],[MONTO VENDIDO]]-MASTER[[#This Row],[COSTO DE VENTA]]</f>
        <v>1636</v>
      </c>
    </row>
    <row r="2065" spans="1:22" x14ac:dyDescent="0.3">
      <c r="A2065">
        <v>36360</v>
      </c>
      <c r="B2065">
        <v>1</v>
      </c>
      <c r="C2065" t="s">
        <v>118</v>
      </c>
      <c r="D2065" t="s">
        <v>119</v>
      </c>
      <c r="E2065" s="1">
        <v>44077</v>
      </c>
      <c r="F2065">
        <v>1</v>
      </c>
      <c r="G2065" t="s">
        <v>22</v>
      </c>
      <c r="H2065" t="s">
        <v>23</v>
      </c>
      <c r="I2065" s="3">
        <v>900</v>
      </c>
      <c r="J2065" s="3">
        <v>900</v>
      </c>
      <c r="K2065" s="3">
        <v>424</v>
      </c>
      <c r="L2065" t="s">
        <v>120</v>
      </c>
      <c r="M2065">
        <v>10</v>
      </c>
      <c r="N2065" t="s">
        <v>83</v>
      </c>
      <c r="O2065" t="s">
        <v>81</v>
      </c>
      <c r="P2065" t="s">
        <v>12</v>
      </c>
      <c r="Q2065" t="s">
        <v>13</v>
      </c>
      <c r="R2065" t="s">
        <v>13</v>
      </c>
      <c r="S2065" t="s">
        <v>144</v>
      </c>
      <c r="T2065" s="2">
        <f>MASTER[[#This Row],[CANTIDAD]]*MASTER[[#This Row],[PRECIO DE VENTA]]</f>
        <v>900</v>
      </c>
      <c r="U2065" s="2">
        <f>MASTER[[#This Row],[CANTIDAD]]*MASTER[[#This Row],[COSTO UNITARIO]]</f>
        <v>424</v>
      </c>
      <c r="V2065" s="2">
        <f>MASTER[[#This Row],[MONTO VENDIDO]]-MASTER[[#This Row],[COSTO DE VENTA]]</f>
        <v>476</v>
      </c>
    </row>
    <row r="2066" spans="1:22" x14ac:dyDescent="0.3">
      <c r="A2066">
        <v>36367</v>
      </c>
      <c r="B2066">
        <v>1</v>
      </c>
      <c r="C2066" t="s">
        <v>94</v>
      </c>
      <c r="D2066" t="s">
        <v>95</v>
      </c>
      <c r="E2066" s="1">
        <v>44077</v>
      </c>
      <c r="F2066">
        <v>1</v>
      </c>
      <c r="G2066" t="s">
        <v>22</v>
      </c>
      <c r="H2066" t="s">
        <v>23</v>
      </c>
      <c r="I2066" s="3">
        <v>1048</v>
      </c>
      <c r="J2066" s="3">
        <v>1048</v>
      </c>
      <c r="K2066" s="3">
        <v>392</v>
      </c>
      <c r="L2066" t="s">
        <v>9</v>
      </c>
      <c r="M2066">
        <v>19</v>
      </c>
      <c r="N2066" t="s">
        <v>89</v>
      </c>
      <c r="O2066" t="s">
        <v>81</v>
      </c>
      <c r="P2066" t="s">
        <v>15</v>
      </c>
      <c r="Q2066" t="s">
        <v>16</v>
      </c>
      <c r="R2066" t="s">
        <v>16</v>
      </c>
      <c r="S2066" t="s">
        <v>144</v>
      </c>
      <c r="T2066" s="2">
        <f>MASTER[[#This Row],[CANTIDAD]]*MASTER[[#This Row],[PRECIO DE VENTA]]</f>
        <v>1048</v>
      </c>
      <c r="U2066" s="2">
        <f>MASTER[[#This Row],[CANTIDAD]]*MASTER[[#This Row],[COSTO UNITARIO]]</f>
        <v>392</v>
      </c>
      <c r="V2066" s="2">
        <f>MASTER[[#This Row],[MONTO VENDIDO]]-MASTER[[#This Row],[COSTO DE VENTA]]</f>
        <v>656</v>
      </c>
    </row>
    <row r="2067" spans="1:22" x14ac:dyDescent="0.3">
      <c r="A2067">
        <v>36370</v>
      </c>
      <c r="B2067">
        <v>1</v>
      </c>
      <c r="C2067" t="s">
        <v>99</v>
      </c>
      <c r="D2067" t="s">
        <v>100</v>
      </c>
      <c r="E2067" s="1">
        <v>44077</v>
      </c>
      <c r="F2067">
        <v>1</v>
      </c>
      <c r="G2067" t="s">
        <v>67</v>
      </c>
      <c r="H2067" t="s">
        <v>68</v>
      </c>
      <c r="I2067" s="3">
        <v>1459</v>
      </c>
      <c r="J2067" s="3">
        <v>1459</v>
      </c>
      <c r="K2067" s="3">
        <v>386</v>
      </c>
      <c r="L2067" t="s">
        <v>98</v>
      </c>
      <c r="M2067">
        <v>4</v>
      </c>
      <c r="N2067" t="s">
        <v>82</v>
      </c>
      <c r="O2067" t="s">
        <v>81</v>
      </c>
      <c r="P2067" t="s">
        <v>71</v>
      </c>
      <c r="Q2067" t="s">
        <v>72</v>
      </c>
      <c r="R2067" t="s">
        <v>139</v>
      </c>
      <c r="S2067" t="s">
        <v>144</v>
      </c>
      <c r="T2067" s="2">
        <f>MASTER[[#This Row],[CANTIDAD]]*MASTER[[#This Row],[PRECIO DE VENTA]]</f>
        <v>1459</v>
      </c>
      <c r="U2067" s="2">
        <f>MASTER[[#This Row],[CANTIDAD]]*MASTER[[#This Row],[COSTO UNITARIO]]</f>
        <v>386</v>
      </c>
      <c r="V2067" s="2">
        <f>MASTER[[#This Row],[MONTO VENDIDO]]-MASTER[[#This Row],[COSTO DE VENTA]]</f>
        <v>1073</v>
      </c>
    </row>
    <row r="2068" spans="1:22" x14ac:dyDescent="0.3">
      <c r="A2068">
        <v>36379</v>
      </c>
      <c r="B2068">
        <v>1</v>
      </c>
      <c r="C2068" t="s">
        <v>90</v>
      </c>
      <c r="D2068" t="s">
        <v>91</v>
      </c>
      <c r="E2068" s="1">
        <v>44077</v>
      </c>
      <c r="F2068">
        <v>1</v>
      </c>
      <c r="G2068" t="s">
        <v>51</v>
      </c>
      <c r="H2068" t="s">
        <v>52</v>
      </c>
      <c r="I2068" s="3">
        <v>1660</v>
      </c>
      <c r="J2068" s="3">
        <v>1660</v>
      </c>
      <c r="K2068" s="3">
        <v>420</v>
      </c>
      <c r="L2068" t="s">
        <v>9</v>
      </c>
      <c r="M2068">
        <v>12</v>
      </c>
      <c r="N2068" t="s">
        <v>26</v>
      </c>
      <c r="O2068" t="s">
        <v>11</v>
      </c>
      <c r="P2068" t="s">
        <v>12</v>
      </c>
      <c r="Q2068" t="s">
        <v>13</v>
      </c>
      <c r="R2068" t="s">
        <v>13</v>
      </c>
      <c r="S2068" t="s">
        <v>144</v>
      </c>
      <c r="T2068" s="2">
        <f>MASTER[[#This Row],[CANTIDAD]]*MASTER[[#This Row],[PRECIO DE VENTA]]</f>
        <v>1660</v>
      </c>
      <c r="U2068" s="2">
        <f>MASTER[[#This Row],[CANTIDAD]]*MASTER[[#This Row],[COSTO UNITARIO]]</f>
        <v>420</v>
      </c>
      <c r="V2068" s="2">
        <f>MASTER[[#This Row],[MONTO VENDIDO]]-MASTER[[#This Row],[COSTO DE VENTA]]</f>
        <v>1240</v>
      </c>
    </row>
    <row r="2069" spans="1:22" x14ac:dyDescent="0.3">
      <c r="A2069">
        <v>36380</v>
      </c>
      <c r="B2069">
        <v>1</v>
      </c>
      <c r="C2069" t="s">
        <v>99</v>
      </c>
      <c r="D2069" t="s">
        <v>100</v>
      </c>
      <c r="E2069" s="1">
        <v>44077</v>
      </c>
      <c r="F2069">
        <v>1</v>
      </c>
      <c r="G2069" t="s">
        <v>53</v>
      </c>
      <c r="H2069" t="s">
        <v>54</v>
      </c>
      <c r="I2069" s="3">
        <v>1678</v>
      </c>
      <c r="J2069" s="3">
        <v>1678</v>
      </c>
      <c r="K2069" s="3">
        <v>386</v>
      </c>
      <c r="L2069" t="s">
        <v>98</v>
      </c>
      <c r="M2069">
        <v>13</v>
      </c>
      <c r="N2069" t="s">
        <v>78</v>
      </c>
      <c r="O2069" t="s">
        <v>70</v>
      </c>
      <c r="P2069" t="s">
        <v>18</v>
      </c>
      <c r="Q2069" t="s">
        <v>19</v>
      </c>
      <c r="R2069" t="s">
        <v>138</v>
      </c>
      <c r="S2069" t="s">
        <v>144</v>
      </c>
      <c r="T2069" s="2">
        <f>MASTER[[#This Row],[CANTIDAD]]*MASTER[[#This Row],[PRECIO DE VENTA]]</f>
        <v>1678</v>
      </c>
      <c r="U2069" s="2">
        <f>MASTER[[#This Row],[CANTIDAD]]*MASTER[[#This Row],[COSTO UNITARIO]]</f>
        <v>386</v>
      </c>
      <c r="V2069" s="2">
        <f>MASTER[[#This Row],[MONTO VENDIDO]]-MASTER[[#This Row],[COSTO DE VENTA]]</f>
        <v>1292</v>
      </c>
    </row>
    <row r="2070" spans="1:22" x14ac:dyDescent="0.3">
      <c r="A2070">
        <v>36385</v>
      </c>
      <c r="B2070">
        <v>1</v>
      </c>
      <c r="C2070" t="s">
        <v>118</v>
      </c>
      <c r="D2070" t="s">
        <v>119</v>
      </c>
      <c r="E2070" s="1">
        <v>44078</v>
      </c>
      <c r="F2070">
        <v>1</v>
      </c>
      <c r="G2070" t="s">
        <v>39</v>
      </c>
      <c r="H2070" t="s">
        <v>40</v>
      </c>
      <c r="I2070" s="3">
        <v>1026</v>
      </c>
      <c r="J2070" s="3">
        <v>1026</v>
      </c>
      <c r="K2070" s="3">
        <v>424</v>
      </c>
      <c r="L2070" t="s">
        <v>120</v>
      </c>
      <c r="M2070">
        <v>6</v>
      </c>
      <c r="N2070" t="s">
        <v>75</v>
      </c>
      <c r="O2070" t="s">
        <v>70</v>
      </c>
      <c r="P2070" t="s">
        <v>12</v>
      </c>
      <c r="Q2070" t="s">
        <v>13</v>
      </c>
      <c r="R2070" t="s">
        <v>13</v>
      </c>
      <c r="S2070" t="s">
        <v>144</v>
      </c>
      <c r="T2070" s="2">
        <f>MASTER[[#This Row],[CANTIDAD]]*MASTER[[#This Row],[PRECIO DE VENTA]]</f>
        <v>1026</v>
      </c>
      <c r="U2070" s="2">
        <f>MASTER[[#This Row],[CANTIDAD]]*MASTER[[#This Row],[COSTO UNITARIO]]</f>
        <v>424</v>
      </c>
      <c r="V2070" s="2">
        <f>MASTER[[#This Row],[MONTO VENDIDO]]-MASTER[[#This Row],[COSTO DE VENTA]]</f>
        <v>602</v>
      </c>
    </row>
    <row r="2071" spans="1:22" x14ac:dyDescent="0.3">
      <c r="A2071">
        <v>36396</v>
      </c>
      <c r="B2071">
        <v>1</v>
      </c>
      <c r="C2071" t="s">
        <v>5</v>
      </c>
      <c r="D2071" t="s">
        <v>6</v>
      </c>
      <c r="E2071" s="1">
        <v>44078</v>
      </c>
      <c r="F2071">
        <v>1</v>
      </c>
      <c r="G2071" t="s">
        <v>7</v>
      </c>
      <c r="H2071" t="s">
        <v>8</v>
      </c>
      <c r="I2071" s="3">
        <v>1507</v>
      </c>
      <c r="J2071" s="3">
        <v>1507</v>
      </c>
      <c r="K2071" s="3">
        <v>393</v>
      </c>
      <c r="L2071" t="s">
        <v>9</v>
      </c>
      <c r="M2071">
        <v>7</v>
      </c>
      <c r="N2071" t="s">
        <v>84</v>
      </c>
      <c r="O2071" t="s">
        <v>81</v>
      </c>
      <c r="P2071" t="s">
        <v>12</v>
      </c>
      <c r="Q2071" t="s">
        <v>13</v>
      </c>
      <c r="R2071" t="s">
        <v>13</v>
      </c>
      <c r="S2071" t="s">
        <v>144</v>
      </c>
      <c r="T2071" s="2">
        <f>MASTER[[#This Row],[CANTIDAD]]*MASTER[[#This Row],[PRECIO DE VENTA]]</f>
        <v>1507</v>
      </c>
      <c r="U2071" s="2">
        <f>MASTER[[#This Row],[CANTIDAD]]*MASTER[[#This Row],[COSTO UNITARIO]]</f>
        <v>393</v>
      </c>
      <c r="V2071" s="2">
        <f>MASTER[[#This Row],[MONTO VENDIDO]]-MASTER[[#This Row],[COSTO DE VENTA]]</f>
        <v>1114</v>
      </c>
    </row>
    <row r="2072" spans="1:22" x14ac:dyDescent="0.3">
      <c r="A2072">
        <v>36397</v>
      </c>
      <c r="B2072">
        <v>1</v>
      </c>
      <c r="C2072" t="s">
        <v>94</v>
      </c>
      <c r="D2072" t="s">
        <v>95</v>
      </c>
      <c r="E2072" s="1">
        <v>44078</v>
      </c>
      <c r="F2072">
        <v>1</v>
      </c>
      <c r="G2072" t="s">
        <v>43</v>
      </c>
      <c r="H2072" t="s">
        <v>44</v>
      </c>
      <c r="I2072" s="3">
        <v>901</v>
      </c>
      <c r="J2072" s="3">
        <v>901</v>
      </c>
      <c r="K2072" s="3">
        <v>392</v>
      </c>
      <c r="L2072" t="s">
        <v>9</v>
      </c>
      <c r="M2072">
        <v>17</v>
      </c>
      <c r="N2072" t="s">
        <v>14</v>
      </c>
      <c r="O2072" t="s">
        <v>11</v>
      </c>
      <c r="P2072" t="s">
        <v>15</v>
      </c>
      <c r="Q2072" t="s">
        <v>16</v>
      </c>
      <c r="R2072" t="s">
        <v>16</v>
      </c>
      <c r="S2072" t="s">
        <v>144</v>
      </c>
      <c r="T2072" s="2">
        <f>MASTER[[#This Row],[CANTIDAD]]*MASTER[[#This Row],[PRECIO DE VENTA]]</f>
        <v>901</v>
      </c>
      <c r="U2072" s="2">
        <f>MASTER[[#This Row],[CANTIDAD]]*MASTER[[#This Row],[COSTO UNITARIO]]</f>
        <v>392</v>
      </c>
      <c r="V2072" s="2">
        <f>MASTER[[#This Row],[MONTO VENDIDO]]-MASTER[[#This Row],[COSTO DE VENTA]]</f>
        <v>509</v>
      </c>
    </row>
    <row r="2073" spans="1:22" x14ac:dyDescent="0.3">
      <c r="A2073">
        <v>36408</v>
      </c>
      <c r="B2073">
        <v>1</v>
      </c>
      <c r="C2073" t="s">
        <v>103</v>
      </c>
      <c r="D2073" t="s">
        <v>104</v>
      </c>
      <c r="E2073" s="1">
        <v>44078</v>
      </c>
      <c r="F2073">
        <v>1</v>
      </c>
      <c r="G2073" t="s">
        <v>73</v>
      </c>
      <c r="H2073" t="s">
        <v>74</v>
      </c>
      <c r="I2073" s="3">
        <v>1830</v>
      </c>
      <c r="J2073" s="3">
        <v>1830</v>
      </c>
      <c r="K2073" s="3">
        <v>421</v>
      </c>
      <c r="L2073" t="s">
        <v>98</v>
      </c>
      <c r="M2073">
        <v>1</v>
      </c>
      <c r="N2073" t="s">
        <v>77</v>
      </c>
      <c r="O2073" t="s">
        <v>70</v>
      </c>
      <c r="P2073" t="s">
        <v>71</v>
      </c>
      <c r="Q2073" t="s">
        <v>72</v>
      </c>
      <c r="R2073" t="s">
        <v>139</v>
      </c>
      <c r="S2073" t="s">
        <v>144</v>
      </c>
      <c r="T2073" s="2">
        <f>MASTER[[#This Row],[CANTIDAD]]*MASTER[[#This Row],[PRECIO DE VENTA]]</f>
        <v>1830</v>
      </c>
      <c r="U2073" s="2">
        <f>MASTER[[#This Row],[CANTIDAD]]*MASTER[[#This Row],[COSTO UNITARIO]]</f>
        <v>421</v>
      </c>
      <c r="V2073" s="2">
        <f>MASTER[[#This Row],[MONTO VENDIDO]]-MASTER[[#This Row],[COSTO DE VENTA]]</f>
        <v>1409</v>
      </c>
    </row>
    <row r="2074" spans="1:22" x14ac:dyDescent="0.3">
      <c r="A2074">
        <v>36414</v>
      </c>
      <c r="B2074">
        <v>1</v>
      </c>
      <c r="C2074" t="s">
        <v>109</v>
      </c>
      <c r="D2074" t="s">
        <v>110</v>
      </c>
      <c r="E2074" s="1">
        <v>44078</v>
      </c>
      <c r="F2074">
        <v>1</v>
      </c>
      <c r="G2074" t="s">
        <v>65</v>
      </c>
      <c r="H2074" t="s">
        <v>66</v>
      </c>
      <c r="I2074" s="3">
        <v>1128</v>
      </c>
      <c r="J2074" s="3">
        <v>1128</v>
      </c>
      <c r="K2074" s="3">
        <v>387</v>
      </c>
      <c r="L2074" t="s">
        <v>98</v>
      </c>
      <c r="M2074">
        <v>18</v>
      </c>
      <c r="N2074" t="s">
        <v>79</v>
      </c>
      <c r="O2074" t="s">
        <v>70</v>
      </c>
      <c r="P2074" t="s">
        <v>15</v>
      </c>
      <c r="Q2074" t="s">
        <v>16</v>
      </c>
      <c r="R2074" t="s">
        <v>16</v>
      </c>
      <c r="S2074" t="s">
        <v>144</v>
      </c>
      <c r="T2074" s="2">
        <f>MASTER[[#This Row],[CANTIDAD]]*MASTER[[#This Row],[PRECIO DE VENTA]]</f>
        <v>1128</v>
      </c>
      <c r="U2074" s="2">
        <f>MASTER[[#This Row],[CANTIDAD]]*MASTER[[#This Row],[COSTO UNITARIO]]</f>
        <v>387</v>
      </c>
      <c r="V2074" s="2">
        <f>MASTER[[#This Row],[MONTO VENDIDO]]-MASTER[[#This Row],[COSTO DE VENTA]]</f>
        <v>741</v>
      </c>
    </row>
    <row r="2075" spans="1:22" x14ac:dyDescent="0.3">
      <c r="A2075">
        <v>36454</v>
      </c>
      <c r="B2075">
        <v>1</v>
      </c>
      <c r="C2075" t="s">
        <v>116</v>
      </c>
      <c r="D2075" t="s">
        <v>117</v>
      </c>
      <c r="E2075" s="1">
        <v>44079</v>
      </c>
      <c r="F2075">
        <v>1</v>
      </c>
      <c r="G2075" t="s">
        <v>45</v>
      </c>
      <c r="H2075" t="s">
        <v>46</v>
      </c>
      <c r="I2075" s="3">
        <v>1738</v>
      </c>
      <c r="J2075" s="3">
        <v>1738</v>
      </c>
      <c r="K2075" s="3">
        <v>388</v>
      </c>
      <c r="L2075" t="s">
        <v>113</v>
      </c>
      <c r="M2075">
        <v>19</v>
      </c>
      <c r="N2075" t="s">
        <v>89</v>
      </c>
      <c r="O2075" t="s">
        <v>81</v>
      </c>
      <c r="P2075" t="s">
        <v>15</v>
      </c>
      <c r="Q2075" t="s">
        <v>16</v>
      </c>
      <c r="R2075" t="s">
        <v>16</v>
      </c>
      <c r="S2075" t="s">
        <v>144</v>
      </c>
      <c r="T2075" s="2">
        <f>MASTER[[#This Row],[CANTIDAD]]*MASTER[[#This Row],[PRECIO DE VENTA]]</f>
        <v>1738</v>
      </c>
      <c r="U2075" s="2">
        <f>MASTER[[#This Row],[CANTIDAD]]*MASTER[[#This Row],[COSTO UNITARIO]]</f>
        <v>388</v>
      </c>
      <c r="V2075" s="2">
        <f>MASTER[[#This Row],[MONTO VENDIDO]]-MASTER[[#This Row],[COSTO DE VENTA]]</f>
        <v>1350</v>
      </c>
    </row>
    <row r="2076" spans="1:22" x14ac:dyDescent="0.3">
      <c r="A2076">
        <v>36457</v>
      </c>
      <c r="B2076">
        <v>1</v>
      </c>
      <c r="C2076" t="s">
        <v>101</v>
      </c>
      <c r="D2076" t="s">
        <v>102</v>
      </c>
      <c r="E2076" s="1">
        <v>44079</v>
      </c>
      <c r="F2076">
        <v>1</v>
      </c>
      <c r="G2076" t="s">
        <v>35</v>
      </c>
      <c r="H2076" t="s">
        <v>36</v>
      </c>
      <c r="I2076" s="3">
        <v>1212</v>
      </c>
      <c r="J2076" s="3">
        <v>1212</v>
      </c>
      <c r="K2076" s="3">
        <v>442</v>
      </c>
      <c r="L2076" t="s">
        <v>98</v>
      </c>
      <c r="M2076">
        <v>7</v>
      </c>
      <c r="N2076" t="s">
        <v>84</v>
      </c>
      <c r="O2076" t="s">
        <v>81</v>
      </c>
      <c r="P2076" t="s">
        <v>12</v>
      </c>
      <c r="Q2076" t="s">
        <v>13</v>
      </c>
      <c r="R2076" t="s">
        <v>13</v>
      </c>
      <c r="S2076" t="s">
        <v>144</v>
      </c>
      <c r="T2076" s="2">
        <f>MASTER[[#This Row],[CANTIDAD]]*MASTER[[#This Row],[PRECIO DE VENTA]]</f>
        <v>1212</v>
      </c>
      <c r="U2076" s="2">
        <f>MASTER[[#This Row],[CANTIDAD]]*MASTER[[#This Row],[COSTO UNITARIO]]</f>
        <v>442</v>
      </c>
      <c r="V2076" s="2">
        <f>MASTER[[#This Row],[MONTO VENDIDO]]-MASTER[[#This Row],[COSTO DE VENTA]]</f>
        <v>770</v>
      </c>
    </row>
    <row r="2077" spans="1:22" x14ac:dyDescent="0.3">
      <c r="A2077">
        <v>36469</v>
      </c>
      <c r="B2077">
        <v>1</v>
      </c>
      <c r="C2077" t="s">
        <v>118</v>
      </c>
      <c r="D2077" t="s">
        <v>119</v>
      </c>
      <c r="E2077" s="1">
        <v>44079</v>
      </c>
      <c r="F2077">
        <v>1</v>
      </c>
      <c r="G2077" t="s">
        <v>73</v>
      </c>
      <c r="H2077" t="s">
        <v>74</v>
      </c>
      <c r="I2077" s="3">
        <v>900</v>
      </c>
      <c r="J2077" s="3">
        <v>900</v>
      </c>
      <c r="K2077" s="3">
        <v>424</v>
      </c>
      <c r="L2077" t="s">
        <v>120</v>
      </c>
      <c r="M2077">
        <v>15</v>
      </c>
      <c r="N2077" t="s">
        <v>88</v>
      </c>
      <c r="O2077" t="s">
        <v>81</v>
      </c>
      <c r="P2077" t="s">
        <v>18</v>
      </c>
      <c r="Q2077" t="s">
        <v>19</v>
      </c>
      <c r="R2077" t="s">
        <v>138</v>
      </c>
      <c r="S2077" t="s">
        <v>144</v>
      </c>
      <c r="T2077" s="2">
        <f>MASTER[[#This Row],[CANTIDAD]]*MASTER[[#This Row],[PRECIO DE VENTA]]</f>
        <v>900</v>
      </c>
      <c r="U2077" s="2">
        <f>MASTER[[#This Row],[CANTIDAD]]*MASTER[[#This Row],[COSTO UNITARIO]]</f>
        <v>424</v>
      </c>
      <c r="V2077" s="2">
        <f>MASTER[[#This Row],[MONTO VENDIDO]]-MASTER[[#This Row],[COSTO DE VENTA]]</f>
        <v>476</v>
      </c>
    </row>
    <row r="2078" spans="1:22" x14ac:dyDescent="0.3">
      <c r="A2078">
        <v>36480</v>
      </c>
      <c r="B2078">
        <v>1</v>
      </c>
      <c r="C2078" t="s">
        <v>96</v>
      </c>
      <c r="D2078" t="s">
        <v>97</v>
      </c>
      <c r="E2078" s="1">
        <v>44079</v>
      </c>
      <c r="F2078">
        <v>1</v>
      </c>
      <c r="G2078" t="s">
        <v>61</v>
      </c>
      <c r="H2078" t="s">
        <v>62</v>
      </c>
      <c r="I2078" s="3">
        <v>1361</v>
      </c>
      <c r="J2078" s="3">
        <v>1252</v>
      </c>
      <c r="K2078" s="3">
        <v>397</v>
      </c>
      <c r="L2078" t="s">
        <v>98</v>
      </c>
      <c r="M2078">
        <v>1</v>
      </c>
      <c r="N2078" t="s">
        <v>77</v>
      </c>
      <c r="O2078" t="s">
        <v>70</v>
      </c>
      <c r="P2078" t="s">
        <v>71</v>
      </c>
      <c r="Q2078" t="s">
        <v>72</v>
      </c>
      <c r="R2078" t="s">
        <v>139</v>
      </c>
      <c r="S2078" t="s">
        <v>144</v>
      </c>
      <c r="T2078" s="2">
        <f>MASTER[[#This Row],[CANTIDAD]]*MASTER[[#This Row],[PRECIO DE VENTA]]</f>
        <v>1252</v>
      </c>
      <c r="U2078" s="2">
        <f>MASTER[[#This Row],[CANTIDAD]]*MASTER[[#This Row],[COSTO UNITARIO]]</f>
        <v>397</v>
      </c>
      <c r="V2078" s="2">
        <f>MASTER[[#This Row],[MONTO VENDIDO]]-MASTER[[#This Row],[COSTO DE VENTA]]</f>
        <v>855</v>
      </c>
    </row>
    <row r="2079" spans="1:22" x14ac:dyDescent="0.3">
      <c r="A2079">
        <v>36486</v>
      </c>
      <c r="B2079">
        <v>1</v>
      </c>
      <c r="C2079" t="s">
        <v>90</v>
      </c>
      <c r="D2079" t="s">
        <v>91</v>
      </c>
      <c r="E2079" s="1">
        <v>44079</v>
      </c>
      <c r="F2079">
        <v>3</v>
      </c>
      <c r="G2079" t="s">
        <v>63</v>
      </c>
      <c r="H2079" t="s">
        <v>64</v>
      </c>
      <c r="I2079" s="3">
        <v>1844</v>
      </c>
      <c r="J2079" s="3">
        <v>1844</v>
      </c>
      <c r="K2079" s="3">
        <v>420</v>
      </c>
      <c r="L2079" t="s">
        <v>9</v>
      </c>
      <c r="M2079">
        <v>4</v>
      </c>
      <c r="N2079" t="s">
        <v>82</v>
      </c>
      <c r="O2079" t="s">
        <v>81</v>
      </c>
      <c r="P2079" t="s">
        <v>71</v>
      </c>
      <c r="Q2079" t="s">
        <v>72</v>
      </c>
      <c r="R2079" t="s">
        <v>139</v>
      </c>
      <c r="S2079" t="s">
        <v>144</v>
      </c>
      <c r="T2079" s="2">
        <f>MASTER[[#This Row],[CANTIDAD]]*MASTER[[#This Row],[PRECIO DE VENTA]]</f>
        <v>5532</v>
      </c>
      <c r="U2079" s="2">
        <f>MASTER[[#This Row],[CANTIDAD]]*MASTER[[#This Row],[COSTO UNITARIO]]</f>
        <v>1260</v>
      </c>
      <c r="V2079" s="2">
        <f>MASTER[[#This Row],[MONTO VENDIDO]]-MASTER[[#This Row],[COSTO DE VENTA]]</f>
        <v>4272</v>
      </c>
    </row>
    <row r="2080" spans="1:22" x14ac:dyDescent="0.3">
      <c r="A2080">
        <v>36489</v>
      </c>
      <c r="B2080">
        <v>1</v>
      </c>
      <c r="C2080" t="s">
        <v>121</v>
      </c>
      <c r="D2080" t="s">
        <v>122</v>
      </c>
      <c r="E2080" s="1">
        <v>44079</v>
      </c>
      <c r="F2080">
        <v>1</v>
      </c>
      <c r="G2080" t="s">
        <v>45</v>
      </c>
      <c r="H2080" t="s">
        <v>46</v>
      </c>
      <c r="I2080" s="3">
        <v>1069</v>
      </c>
      <c r="J2080" s="3">
        <v>962</v>
      </c>
      <c r="K2080" s="3">
        <v>460</v>
      </c>
      <c r="L2080" t="s">
        <v>120</v>
      </c>
      <c r="M2080">
        <v>14</v>
      </c>
      <c r="N2080" t="s">
        <v>87</v>
      </c>
      <c r="O2080" t="s">
        <v>81</v>
      </c>
      <c r="P2080" t="s">
        <v>18</v>
      </c>
      <c r="Q2080" t="s">
        <v>19</v>
      </c>
      <c r="R2080" t="s">
        <v>138</v>
      </c>
      <c r="S2080" t="s">
        <v>144</v>
      </c>
      <c r="T2080" s="2">
        <f>MASTER[[#This Row],[CANTIDAD]]*MASTER[[#This Row],[PRECIO DE VENTA]]</f>
        <v>962</v>
      </c>
      <c r="U2080" s="2">
        <f>MASTER[[#This Row],[CANTIDAD]]*MASTER[[#This Row],[COSTO UNITARIO]]</f>
        <v>460</v>
      </c>
      <c r="V2080" s="2">
        <f>MASTER[[#This Row],[MONTO VENDIDO]]-MASTER[[#This Row],[COSTO DE VENTA]]</f>
        <v>502</v>
      </c>
    </row>
    <row r="2081" spans="1:22" x14ac:dyDescent="0.3">
      <c r="A2081">
        <v>36493</v>
      </c>
      <c r="B2081">
        <v>1</v>
      </c>
      <c r="C2081" t="s">
        <v>105</v>
      </c>
      <c r="D2081" t="s">
        <v>106</v>
      </c>
      <c r="E2081" s="1">
        <v>44079</v>
      </c>
      <c r="F2081">
        <v>1</v>
      </c>
      <c r="G2081" t="s">
        <v>51</v>
      </c>
      <c r="H2081" t="s">
        <v>52</v>
      </c>
      <c r="I2081" s="3">
        <v>2033</v>
      </c>
      <c r="J2081" s="3">
        <v>2033</v>
      </c>
      <c r="K2081" s="3">
        <v>459</v>
      </c>
      <c r="L2081" t="s">
        <v>98</v>
      </c>
      <c r="M2081">
        <v>9</v>
      </c>
      <c r="N2081" t="s">
        <v>76</v>
      </c>
      <c r="O2081" t="s">
        <v>70</v>
      </c>
      <c r="P2081" t="s">
        <v>12</v>
      </c>
      <c r="Q2081" t="s">
        <v>13</v>
      </c>
      <c r="R2081" t="s">
        <v>13</v>
      </c>
      <c r="S2081" t="s">
        <v>144</v>
      </c>
      <c r="T2081" s="2">
        <f>MASTER[[#This Row],[CANTIDAD]]*MASTER[[#This Row],[PRECIO DE VENTA]]</f>
        <v>2033</v>
      </c>
      <c r="U2081" s="2">
        <f>MASTER[[#This Row],[CANTIDAD]]*MASTER[[#This Row],[COSTO UNITARIO]]</f>
        <v>459</v>
      </c>
      <c r="V2081" s="2">
        <f>MASTER[[#This Row],[MONTO VENDIDO]]-MASTER[[#This Row],[COSTO DE VENTA]]</f>
        <v>1574</v>
      </c>
    </row>
    <row r="2082" spans="1:22" x14ac:dyDescent="0.3">
      <c r="A2082">
        <v>36498</v>
      </c>
      <c r="B2082">
        <v>1</v>
      </c>
      <c r="C2082" t="s">
        <v>116</v>
      </c>
      <c r="D2082" t="s">
        <v>117</v>
      </c>
      <c r="E2082" s="1">
        <v>44079</v>
      </c>
      <c r="F2082">
        <v>3</v>
      </c>
      <c r="G2082" t="s">
        <v>47</v>
      </c>
      <c r="H2082" t="s">
        <v>48</v>
      </c>
      <c r="I2082" s="3">
        <v>1529</v>
      </c>
      <c r="J2082" s="3">
        <v>1529</v>
      </c>
      <c r="K2082" s="3">
        <v>388</v>
      </c>
      <c r="L2082" t="s">
        <v>113</v>
      </c>
      <c r="M2082">
        <v>16</v>
      </c>
      <c r="N2082" t="s">
        <v>17</v>
      </c>
      <c r="O2082" t="s">
        <v>11</v>
      </c>
      <c r="P2082" t="s">
        <v>18</v>
      </c>
      <c r="Q2082" t="s">
        <v>19</v>
      </c>
      <c r="R2082" t="s">
        <v>138</v>
      </c>
      <c r="S2082" t="s">
        <v>144</v>
      </c>
      <c r="T2082" s="2">
        <f>MASTER[[#This Row],[CANTIDAD]]*MASTER[[#This Row],[PRECIO DE VENTA]]</f>
        <v>4587</v>
      </c>
      <c r="U2082" s="2">
        <f>MASTER[[#This Row],[CANTIDAD]]*MASTER[[#This Row],[COSTO UNITARIO]]</f>
        <v>1164</v>
      </c>
      <c r="V2082" s="2">
        <f>MASTER[[#This Row],[MONTO VENDIDO]]-MASTER[[#This Row],[COSTO DE VENTA]]</f>
        <v>3423</v>
      </c>
    </row>
    <row r="2083" spans="1:22" x14ac:dyDescent="0.3">
      <c r="A2083">
        <v>36501</v>
      </c>
      <c r="B2083">
        <v>1</v>
      </c>
      <c r="C2083" t="s">
        <v>118</v>
      </c>
      <c r="D2083" t="s">
        <v>119</v>
      </c>
      <c r="E2083" s="1">
        <v>44079</v>
      </c>
      <c r="F2083">
        <v>1</v>
      </c>
      <c r="G2083" t="s">
        <v>49</v>
      </c>
      <c r="H2083" t="s">
        <v>50</v>
      </c>
      <c r="I2083" s="3">
        <v>801</v>
      </c>
      <c r="J2083" s="3">
        <v>801</v>
      </c>
      <c r="K2083" s="3">
        <v>424</v>
      </c>
      <c r="L2083" t="s">
        <v>120</v>
      </c>
      <c r="M2083">
        <v>17</v>
      </c>
      <c r="N2083" t="s">
        <v>14</v>
      </c>
      <c r="O2083" t="s">
        <v>11</v>
      </c>
      <c r="P2083" t="s">
        <v>15</v>
      </c>
      <c r="Q2083" t="s">
        <v>16</v>
      </c>
      <c r="R2083" t="s">
        <v>16</v>
      </c>
      <c r="S2083" t="s">
        <v>144</v>
      </c>
      <c r="T2083" s="2">
        <f>MASTER[[#This Row],[CANTIDAD]]*MASTER[[#This Row],[PRECIO DE VENTA]]</f>
        <v>801</v>
      </c>
      <c r="U2083" s="2">
        <f>MASTER[[#This Row],[CANTIDAD]]*MASTER[[#This Row],[COSTO UNITARIO]]</f>
        <v>424</v>
      </c>
      <c r="V2083" s="2">
        <f>MASTER[[#This Row],[MONTO VENDIDO]]-MASTER[[#This Row],[COSTO DE VENTA]]</f>
        <v>377</v>
      </c>
    </row>
    <row r="2084" spans="1:22" x14ac:dyDescent="0.3">
      <c r="A2084">
        <v>36503</v>
      </c>
      <c r="B2084">
        <v>1</v>
      </c>
      <c r="C2084" t="s">
        <v>90</v>
      </c>
      <c r="D2084" t="s">
        <v>91</v>
      </c>
      <c r="E2084" s="1">
        <v>44079</v>
      </c>
      <c r="F2084">
        <v>1</v>
      </c>
      <c r="G2084" t="s">
        <v>29</v>
      </c>
      <c r="H2084" t="s">
        <v>30</v>
      </c>
      <c r="I2084" s="3">
        <v>2102</v>
      </c>
      <c r="J2084" s="3">
        <v>2102</v>
      </c>
      <c r="K2084" s="3">
        <v>420</v>
      </c>
      <c r="L2084" t="s">
        <v>9</v>
      </c>
      <c r="M2084">
        <v>3</v>
      </c>
      <c r="N2084" t="s">
        <v>69</v>
      </c>
      <c r="O2084" t="s">
        <v>70</v>
      </c>
      <c r="P2084" t="s">
        <v>71</v>
      </c>
      <c r="Q2084" t="s">
        <v>72</v>
      </c>
      <c r="R2084" t="s">
        <v>139</v>
      </c>
      <c r="S2084" t="s">
        <v>144</v>
      </c>
      <c r="T2084" s="2">
        <f>MASTER[[#This Row],[CANTIDAD]]*MASTER[[#This Row],[PRECIO DE VENTA]]</f>
        <v>2102</v>
      </c>
      <c r="U2084" s="2">
        <f>MASTER[[#This Row],[CANTIDAD]]*MASTER[[#This Row],[COSTO UNITARIO]]</f>
        <v>420</v>
      </c>
      <c r="V2084" s="2">
        <f>MASTER[[#This Row],[MONTO VENDIDO]]-MASTER[[#This Row],[COSTO DE VENTA]]</f>
        <v>1682</v>
      </c>
    </row>
    <row r="2085" spans="1:22" x14ac:dyDescent="0.3">
      <c r="A2085">
        <v>36509</v>
      </c>
      <c r="B2085">
        <v>1</v>
      </c>
      <c r="C2085" t="s">
        <v>94</v>
      </c>
      <c r="D2085" t="s">
        <v>95</v>
      </c>
      <c r="E2085" s="1">
        <v>44079</v>
      </c>
      <c r="F2085">
        <v>1</v>
      </c>
      <c r="G2085" t="s">
        <v>20</v>
      </c>
      <c r="H2085" t="s">
        <v>21</v>
      </c>
      <c r="I2085" s="3">
        <v>1153</v>
      </c>
      <c r="J2085" s="3">
        <v>1153</v>
      </c>
      <c r="K2085" s="3">
        <v>392</v>
      </c>
      <c r="L2085" t="s">
        <v>9</v>
      </c>
      <c r="M2085">
        <v>9</v>
      </c>
      <c r="N2085" t="s">
        <v>76</v>
      </c>
      <c r="O2085" t="s">
        <v>70</v>
      </c>
      <c r="P2085" t="s">
        <v>12</v>
      </c>
      <c r="Q2085" t="s">
        <v>13</v>
      </c>
      <c r="R2085" t="s">
        <v>13</v>
      </c>
      <c r="S2085" t="s">
        <v>144</v>
      </c>
      <c r="T2085" s="2">
        <f>MASTER[[#This Row],[CANTIDAD]]*MASTER[[#This Row],[PRECIO DE VENTA]]</f>
        <v>1153</v>
      </c>
      <c r="U2085" s="2">
        <f>MASTER[[#This Row],[CANTIDAD]]*MASTER[[#This Row],[COSTO UNITARIO]]</f>
        <v>392</v>
      </c>
      <c r="V2085" s="2">
        <f>MASTER[[#This Row],[MONTO VENDIDO]]-MASTER[[#This Row],[COSTO DE VENTA]]</f>
        <v>761</v>
      </c>
    </row>
    <row r="2086" spans="1:22" x14ac:dyDescent="0.3">
      <c r="A2086">
        <v>36512</v>
      </c>
      <c r="B2086">
        <v>1</v>
      </c>
      <c r="C2086" t="s">
        <v>96</v>
      </c>
      <c r="D2086" t="s">
        <v>97</v>
      </c>
      <c r="E2086" s="1">
        <v>44080</v>
      </c>
      <c r="F2086">
        <v>1</v>
      </c>
      <c r="G2086" t="s">
        <v>45</v>
      </c>
      <c r="H2086" t="s">
        <v>46</v>
      </c>
      <c r="I2086" s="3">
        <v>1272</v>
      </c>
      <c r="J2086" s="3">
        <v>1170</v>
      </c>
      <c r="K2086" s="3">
        <v>397</v>
      </c>
      <c r="L2086" t="s">
        <v>98</v>
      </c>
      <c r="M2086">
        <v>5</v>
      </c>
      <c r="N2086" t="s">
        <v>85</v>
      </c>
      <c r="O2086" t="s">
        <v>81</v>
      </c>
      <c r="P2086" t="s">
        <v>12</v>
      </c>
      <c r="Q2086" t="s">
        <v>13</v>
      </c>
      <c r="R2086" t="s">
        <v>13</v>
      </c>
      <c r="S2086" t="s">
        <v>144</v>
      </c>
      <c r="T2086" s="2">
        <f>MASTER[[#This Row],[CANTIDAD]]*MASTER[[#This Row],[PRECIO DE VENTA]]</f>
        <v>1170</v>
      </c>
      <c r="U2086" s="2">
        <f>MASTER[[#This Row],[CANTIDAD]]*MASTER[[#This Row],[COSTO UNITARIO]]</f>
        <v>397</v>
      </c>
      <c r="V2086" s="2">
        <f>MASTER[[#This Row],[MONTO VENDIDO]]-MASTER[[#This Row],[COSTO DE VENTA]]</f>
        <v>773</v>
      </c>
    </row>
    <row r="2087" spans="1:22" x14ac:dyDescent="0.3">
      <c r="A2087">
        <v>36519</v>
      </c>
      <c r="B2087">
        <v>1</v>
      </c>
      <c r="C2087" t="s">
        <v>114</v>
      </c>
      <c r="D2087" t="s">
        <v>115</v>
      </c>
      <c r="E2087" s="1">
        <v>44080</v>
      </c>
      <c r="F2087">
        <v>1</v>
      </c>
      <c r="G2087" t="s">
        <v>45</v>
      </c>
      <c r="H2087" t="s">
        <v>46</v>
      </c>
      <c r="I2087" s="3">
        <v>1862</v>
      </c>
      <c r="J2087" s="3">
        <v>1862</v>
      </c>
      <c r="K2087" s="3">
        <v>394</v>
      </c>
      <c r="L2087" t="s">
        <v>113</v>
      </c>
      <c r="M2087">
        <v>19</v>
      </c>
      <c r="N2087" t="s">
        <v>89</v>
      </c>
      <c r="O2087" t="s">
        <v>81</v>
      </c>
      <c r="P2087" t="s">
        <v>15</v>
      </c>
      <c r="Q2087" t="s">
        <v>16</v>
      </c>
      <c r="R2087" t="s">
        <v>16</v>
      </c>
      <c r="S2087" t="s">
        <v>144</v>
      </c>
      <c r="T2087" s="2">
        <f>MASTER[[#This Row],[CANTIDAD]]*MASTER[[#This Row],[PRECIO DE VENTA]]</f>
        <v>1862</v>
      </c>
      <c r="U2087" s="2">
        <f>MASTER[[#This Row],[CANTIDAD]]*MASTER[[#This Row],[COSTO UNITARIO]]</f>
        <v>394</v>
      </c>
      <c r="V2087" s="2">
        <f>MASTER[[#This Row],[MONTO VENDIDO]]-MASTER[[#This Row],[COSTO DE VENTA]]</f>
        <v>1468</v>
      </c>
    </row>
    <row r="2088" spans="1:22" x14ac:dyDescent="0.3">
      <c r="A2088">
        <v>36522</v>
      </c>
      <c r="B2088">
        <v>1</v>
      </c>
      <c r="C2088" t="s">
        <v>116</v>
      </c>
      <c r="D2088" t="s">
        <v>117</v>
      </c>
      <c r="E2088" s="1">
        <v>44080</v>
      </c>
      <c r="F2088">
        <v>1</v>
      </c>
      <c r="G2088" t="s">
        <v>29</v>
      </c>
      <c r="H2088" t="s">
        <v>30</v>
      </c>
      <c r="I2088" s="3">
        <v>1738</v>
      </c>
      <c r="J2088" s="3">
        <v>1738</v>
      </c>
      <c r="K2088" s="3">
        <v>388</v>
      </c>
      <c r="L2088" t="s">
        <v>113</v>
      </c>
      <c r="M2088">
        <v>4</v>
      </c>
      <c r="N2088" t="s">
        <v>82</v>
      </c>
      <c r="O2088" t="s">
        <v>81</v>
      </c>
      <c r="P2088" t="s">
        <v>71</v>
      </c>
      <c r="Q2088" t="s">
        <v>72</v>
      </c>
      <c r="R2088" t="s">
        <v>139</v>
      </c>
      <c r="S2088" t="s">
        <v>144</v>
      </c>
      <c r="T2088" s="2">
        <f>MASTER[[#This Row],[CANTIDAD]]*MASTER[[#This Row],[PRECIO DE VENTA]]</f>
        <v>1738</v>
      </c>
      <c r="U2088" s="2">
        <f>MASTER[[#This Row],[CANTIDAD]]*MASTER[[#This Row],[COSTO UNITARIO]]</f>
        <v>388</v>
      </c>
      <c r="V2088" s="2">
        <f>MASTER[[#This Row],[MONTO VENDIDO]]-MASTER[[#This Row],[COSTO DE VENTA]]</f>
        <v>1350</v>
      </c>
    </row>
    <row r="2089" spans="1:22" x14ac:dyDescent="0.3">
      <c r="A2089">
        <v>36533</v>
      </c>
      <c r="B2089">
        <v>1</v>
      </c>
      <c r="C2089" t="s">
        <v>107</v>
      </c>
      <c r="D2089" t="s">
        <v>108</v>
      </c>
      <c r="E2089" s="1">
        <v>44080</v>
      </c>
      <c r="F2089">
        <v>1</v>
      </c>
      <c r="G2089" t="s">
        <v>73</v>
      </c>
      <c r="H2089" t="s">
        <v>74</v>
      </c>
      <c r="I2089" s="3">
        <v>1333</v>
      </c>
      <c r="J2089" s="3">
        <v>1333</v>
      </c>
      <c r="K2089" s="3">
        <v>380</v>
      </c>
      <c r="L2089" t="s">
        <v>98</v>
      </c>
      <c r="M2089">
        <v>2</v>
      </c>
      <c r="N2089" t="s">
        <v>86</v>
      </c>
      <c r="O2089" t="s">
        <v>81</v>
      </c>
      <c r="P2089" t="s">
        <v>71</v>
      </c>
      <c r="Q2089" t="s">
        <v>72</v>
      </c>
      <c r="R2089" t="s">
        <v>139</v>
      </c>
      <c r="S2089" t="s">
        <v>144</v>
      </c>
      <c r="T2089" s="2">
        <f>MASTER[[#This Row],[CANTIDAD]]*MASTER[[#This Row],[PRECIO DE VENTA]]</f>
        <v>1333</v>
      </c>
      <c r="U2089" s="2">
        <f>MASTER[[#This Row],[CANTIDAD]]*MASTER[[#This Row],[COSTO UNITARIO]]</f>
        <v>380</v>
      </c>
      <c r="V2089" s="2">
        <f>MASTER[[#This Row],[MONTO VENDIDO]]-MASTER[[#This Row],[COSTO DE VENTA]]</f>
        <v>953</v>
      </c>
    </row>
    <row r="2090" spans="1:22" x14ac:dyDescent="0.3">
      <c r="A2090">
        <v>36558</v>
      </c>
      <c r="B2090">
        <v>1</v>
      </c>
      <c r="C2090" t="s">
        <v>121</v>
      </c>
      <c r="D2090" t="s">
        <v>122</v>
      </c>
      <c r="E2090" s="1">
        <v>44080</v>
      </c>
      <c r="F2090">
        <v>1</v>
      </c>
      <c r="G2090" t="s">
        <v>35</v>
      </c>
      <c r="H2090" t="s">
        <v>36</v>
      </c>
      <c r="I2090" s="3">
        <v>1144</v>
      </c>
      <c r="J2090" s="3">
        <v>1144</v>
      </c>
      <c r="K2090" s="3">
        <v>460</v>
      </c>
      <c r="L2090" t="s">
        <v>120</v>
      </c>
      <c r="M2090">
        <v>18</v>
      </c>
      <c r="N2090" t="s">
        <v>79</v>
      </c>
      <c r="O2090" t="s">
        <v>70</v>
      </c>
      <c r="P2090" t="s">
        <v>15</v>
      </c>
      <c r="Q2090" t="s">
        <v>16</v>
      </c>
      <c r="R2090" t="s">
        <v>16</v>
      </c>
      <c r="S2090" t="s">
        <v>144</v>
      </c>
      <c r="T2090" s="2">
        <f>MASTER[[#This Row],[CANTIDAD]]*MASTER[[#This Row],[PRECIO DE VENTA]]</f>
        <v>1144</v>
      </c>
      <c r="U2090" s="2">
        <f>MASTER[[#This Row],[CANTIDAD]]*MASTER[[#This Row],[COSTO UNITARIO]]</f>
        <v>460</v>
      </c>
      <c r="V2090" s="2">
        <f>MASTER[[#This Row],[MONTO VENDIDO]]-MASTER[[#This Row],[COSTO DE VENTA]]</f>
        <v>684</v>
      </c>
    </row>
    <row r="2091" spans="1:22" x14ac:dyDescent="0.3">
      <c r="A2091">
        <v>36586</v>
      </c>
      <c r="B2091">
        <v>1</v>
      </c>
      <c r="C2091" t="s">
        <v>118</v>
      </c>
      <c r="D2091" t="s">
        <v>119</v>
      </c>
      <c r="E2091" s="1">
        <v>44080</v>
      </c>
      <c r="F2091">
        <v>1</v>
      </c>
      <c r="G2091" t="s">
        <v>73</v>
      </c>
      <c r="H2091" t="s">
        <v>74</v>
      </c>
      <c r="I2091" s="3">
        <v>900</v>
      </c>
      <c r="J2091" s="3">
        <v>900</v>
      </c>
      <c r="K2091" s="3">
        <v>424</v>
      </c>
      <c r="L2091" t="s">
        <v>120</v>
      </c>
      <c r="M2091">
        <v>5</v>
      </c>
      <c r="N2091" t="s">
        <v>85</v>
      </c>
      <c r="O2091" t="s">
        <v>81</v>
      </c>
      <c r="P2091" t="s">
        <v>12</v>
      </c>
      <c r="Q2091" t="s">
        <v>13</v>
      </c>
      <c r="R2091" t="s">
        <v>13</v>
      </c>
      <c r="S2091" t="s">
        <v>144</v>
      </c>
      <c r="T2091" s="2">
        <f>MASTER[[#This Row],[CANTIDAD]]*MASTER[[#This Row],[PRECIO DE VENTA]]</f>
        <v>900</v>
      </c>
      <c r="U2091" s="2">
        <f>MASTER[[#This Row],[CANTIDAD]]*MASTER[[#This Row],[COSTO UNITARIO]]</f>
        <v>424</v>
      </c>
      <c r="V2091" s="2">
        <f>MASTER[[#This Row],[MONTO VENDIDO]]-MASTER[[#This Row],[COSTO DE VENTA]]</f>
        <v>476</v>
      </c>
    </row>
    <row r="2092" spans="1:22" x14ac:dyDescent="0.3">
      <c r="A2092">
        <v>36596</v>
      </c>
      <c r="B2092">
        <v>1</v>
      </c>
      <c r="C2092" t="s">
        <v>5</v>
      </c>
      <c r="D2092" t="s">
        <v>6</v>
      </c>
      <c r="E2092" s="1">
        <v>44080</v>
      </c>
      <c r="F2092">
        <v>1</v>
      </c>
      <c r="G2092" t="s">
        <v>51</v>
      </c>
      <c r="H2092" t="s">
        <v>52</v>
      </c>
      <c r="I2092" s="3">
        <v>1311</v>
      </c>
      <c r="J2092" s="3">
        <v>1311</v>
      </c>
      <c r="K2092" s="3">
        <v>393</v>
      </c>
      <c r="L2092" t="s">
        <v>9</v>
      </c>
      <c r="M2092">
        <v>12</v>
      </c>
      <c r="N2092" t="s">
        <v>26</v>
      </c>
      <c r="O2092" t="s">
        <v>11</v>
      </c>
      <c r="P2092" t="s">
        <v>12</v>
      </c>
      <c r="Q2092" t="s">
        <v>13</v>
      </c>
      <c r="R2092" t="s">
        <v>13</v>
      </c>
      <c r="S2092" t="s">
        <v>144</v>
      </c>
      <c r="T2092" s="2">
        <f>MASTER[[#This Row],[CANTIDAD]]*MASTER[[#This Row],[PRECIO DE VENTA]]</f>
        <v>1311</v>
      </c>
      <c r="U2092" s="2">
        <f>MASTER[[#This Row],[CANTIDAD]]*MASTER[[#This Row],[COSTO UNITARIO]]</f>
        <v>393</v>
      </c>
      <c r="V2092" s="2">
        <f>MASTER[[#This Row],[MONTO VENDIDO]]-MASTER[[#This Row],[COSTO DE VENTA]]</f>
        <v>918</v>
      </c>
    </row>
    <row r="2093" spans="1:22" x14ac:dyDescent="0.3">
      <c r="A2093">
        <v>36596</v>
      </c>
      <c r="B2093">
        <v>2</v>
      </c>
      <c r="C2093" t="s">
        <v>118</v>
      </c>
      <c r="D2093" t="s">
        <v>119</v>
      </c>
      <c r="E2093" s="1">
        <v>44080</v>
      </c>
      <c r="F2093">
        <v>1</v>
      </c>
      <c r="G2093" t="s">
        <v>45</v>
      </c>
      <c r="H2093" t="s">
        <v>46</v>
      </c>
      <c r="I2093" s="3">
        <v>801</v>
      </c>
      <c r="J2093" s="3">
        <v>801</v>
      </c>
      <c r="K2093" s="3">
        <v>424</v>
      </c>
      <c r="L2093" t="s">
        <v>120</v>
      </c>
      <c r="M2093">
        <v>12</v>
      </c>
      <c r="N2093" t="s">
        <v>26</v>
      </c>
      <c r="O2093" t="s">
        <v>11</v>
      </c>
      <c r="P2093" t="s">
        <v>12</v>
      </c>
      <c r="Q2093" t="s">
        <v>13</v>
      </c>
      <c r="R2093" t="s">
        <v>13</v>
      </c>
      <c r="S2093" t="s">
        <v>144</v>
      </c>
      <c r="T2093" s="2">
        <f>MASTER[[#This Row],[CANTIDAD]]*MASTER[[#This Row],[PRECIO DE VENTA]]</f>
        <v>801</v>
      </c>
      <c r="U2093" s="2">
        <f>MASTER[[#This Row],[CANTIDAD]]*MASTER[[#This Row],[COSTO UNITARIO]]</f>
        <v>424</v>
      </c>
      <c r="V2093" s="2">
        <f>MASTER[[#This Row],[MONTO VENDIDO]]-MASTER[[#This Row],[COSTO DE VENTA]]</f>
        <v>377</v>
      </c>
    </row>
    <row r="2094" spans="1:22" x14ac:dyDescent="0.3">
      <c r="A2094">
        <v>36605</v>
      </c>
      <c r="B2094">
        <v>1</v>
      </c>
      <c r="C2094" t="s">
        <v>114</v>
      </c>
      <c r="D2094" t="s">
        <v>115</v>
      </c>
      <c r="E2094" s="1">
        <v>44080</v>
      </c>
      <c r="F2094">
        <v>1</v>
      </c>
      <c r="G2094" t="s">
        <v>59</v>
      </c>
      <c r="H2094" t="s">
        <v>60</v>
      </c>
      <c r="I2094" s="3">
        <v>2030</v>
      </c>
      <c r="J2094" s="3">
        <v>2030</v>
      </c>
      <c r="K2094" s="3">
        <v>394</v>
      </c>
      <c r="L2094" t="s">
        <v>113</v>
      </c>
      <c r="M2094">
        <v>6</v>
      </c>
      <c r="N2094" t="s">
        <v>75</v>
      </c>
      <c r="O2094" t="s">
        <v>70</v>
      </c>
      <c r="P2094" t="s">
        <v>12</v>
      </c>
      <c r="Q2094" t="s">
        <v>13</v>
      </c>
      <c r="R2094" t="s">
        <v>13</v>
      </c>
      <c r="S2094" t="s">
        <v>144</v>
      </c>
      <c r="T2094" s="2">
        <f>MASTER[[#This Row],[CANTIDAD]]*MASTER[[#This Row],[PRECIO DE VENTA]]</f>
        <v>2030</v>
      </c>
      <c r="U2094" s="2">
        <f>MASTER[[#This Row],[CANTIDAD]]*MASTER[[#This Row],[COSTO UNITARIO]]</f>
        <v>394</v>
      </c>
      <c r="V2094" s="2">
        <f>MASTER[[#This Row],[MONTO VENDIDO]]-MASTER[[#This Row],[COSTO DE VENTA]]</f>
        <v>1636</v>
      </c>
    </row>
    <row r="2095" spans="1:22" x14ac:dyDescent="0.3">
      <c r="A2095">
        <v>36612</v>
      </c>
      <c r="B2095">
        <v>1</v>
      </c>
      <c r="C2095" t="s">
        <v>103</v>
      </c>
      <c r="D2095" t="s">
        <v>104</v>
      </c>
      <c r="E2095" s="1">
        <v>44081</v>
      </c>
      <c r="F2095">
        <v>1</v>
      </c>
      <c r="G2095" t="s">
        <v>59</v>
      </c>
      <c r="H2095" t="s">
        <v>60</v>
      </c>
      <c r="I2095" s="3">
        <v>1448</v>
      </c>
      <c r="J2095" s="3">
        <v>1448</v>
      </c>
      <c r="K2095" s="3">
        <v>421</v>
      </c>
      <c r="L2095" t="s">
        <v>98</v>
      </c>
      <c r="M2095">
        <v>12</v>
      </c>
      <c r="N2095" t="s">
        <v>26</v>
      </c>
      <c r="O2095" t="s">
        <v>11</v>
      </c>
      <c r="P2095" t="s">
        <v>12</v>
      </c>
      <c r="Q2095" t="s">
        <v>13</v>
      </c>
      <c r="R2095" t="s">
        <v>13</v>
      </c>
      <c r="S2095" t="s">
        <v>144</v>
      </c>
      <c r="T2095" s="2">
        <f>MASTER[[#This Row],[CANTIDAD]]*MASTER[[#This Row],[PRECIO DE VENTA]]</f>
        <v>1448</v>
      </c>
      <c r="U2095" s="2">
        <f>MASTER[[#This Row],[CANTIDAD]]*MASTER[[#This Row],[COSTO UNITARIO]]</f>
        <v>421</v>
      </c>
      <c r="V2095" s="2">
        <f>MASTER[[#This Row],[MONTO VENDIDO]]-MASTER[[#This Row],[COSTO DE VENTA]]</f>
        <v>1027</v>
      </c>
    </row>
    <row r="2096" spans="1:22" x14ac:dyDescent="0.3">
      <c r="A2096">
        <v>36629</v>
      </c>
      <c r="B2096">
        <v>1</v>
      </c>
      <c r="C2096" t="s">
        <v>103</v>
      </c>
      <c r="D2096" t="s">
        <v>104</v>
      </c>
      <c r="E2096" s="1">
        <v>44081</v>
      </c>
      <c r="F2096">
        <v>1</v>
      </c>
      <c r="G2096" t="s">
        <v>27</v>
      </c>
      <c r="H2096" t="s">
        <v>28</v>
      </c>
      <c r="I2096" s="3">
        <v>1830</v>
      </c>
      <c r="J2096" s="3">
        <v>1830</v>
      </c>
      <c r="K2096" s="3">
        <v>421</v>
      </c>
      <c r="L2096" t="s">
        <v>98</v>
      </c>
      <c r="M2096">
        <v>18</v>
      </c>
      <c r="N2096" t="s">
        <v>79</v>
      </c>
      <c r="O2096" t="s">
        <v>70</v>
      </c>
      <c r="P2096" t="s">
        <v>15</v>
      </c>
      <c r="Q2096" t="s">
        <v>16</v>
      </c>
      <c r="R2096" t="s">
        <v>16</v>
      </c>
      <c r="S2096" t="s">
        <v>144</v>
      </c>
      <c r="T2096" s="2">
        <f>MASTER[[#This Row],[CANTIDAD]]*MASTER[[#This Row],[PRECIO DE VENTA]]</f>
        <v>1830</v>
      </c>
      <c r="U2096" s="2">
        <f>MASTER[[#This Row],[CANTIDAD]]*MASTER[[#This Row],[COSTO UNITARIO]]</f>
        <v>421</v>
      </c>
      <c r="V2096" s="2">
        <f>MASTER[[#This Row],[MONTO VENDIDO]]-MASTER[[#This Row],[COSTO DE VENTA]]</f>
        <v>1409</v>
      </c>
    </row>
    <row r="2097" spans="1:22" x14ac:dyDescent="0.3">
      <c r="A2097">
        <v>36637</v>
      </c>
      <c r="B2097">
        <v>1</v>
      </c>
      <c r="C2097" t="s">
        <v>90</v>
      </c>
      <c r="D2097" t="s">
        <v>91</v>
      </c>
      <c r="E2097" s="1">
        <v>44081</v>
      </c>
      <c r="F2097">
        <v>1</v>
      </c>
      <c r="G2097" t="s">
        <v>51</v>
      </c>
      <c r="H2097" t="s">
        <v>52</v>
      </c>
      <c r="I2097" s="3">
        <v>1844</v>
      </c>
      <c r="J2097" s="3">
        <v>1844</v>
      </c>
      <c r="K2097" s="3">
        <v>420</v>
      </c>
      <c r="L2097" t="s">
        <v>9</v>
      </c>
      <c r="M2097">
        <v>19</v>
      </c>
      <c r="N2097" t="s">
        <v>89</v>
      </c>
      <c r="O2097" t="s">
        <v>81</v>
      </c>
      <c r="P2097" t="s">
        <v>15</v>
      </c>
      <c r="Q2097" t="s">
        <v>16</v>
      </c>
      <c r="R2097" t="s">
        <v>16</v>
      </c>
      <c r="S2097" t="s">
        <v>144</v>
      </c>
      <c r="T2097" s="2">
        <f>MASTER[[#This Row],[CANTIDAD]]*MASTER[[#This Row],[PRECIO DE VENTA]]</f>
        <v>1844</v>
      </c>
      <c r="U2097" s="2">
        <f>MASTER[[#This Row],[CANTIDAD]]*MASTER[[#This Row],[COSTO UNITARIO]]</f>
        <v>420</v>
      </c>
      <c r="V2097" s="2">
        <f>MASTER[[#This Row],[MONTO VENDIDO]]-MASTER[[#This Row],[COSTO DE VENTA]]</f>
        <v>1424</v>
      </c>
    </row>
    <row r="2098" spans="1:22" x14ac:dyDescent="0.3">
      <c r="A2098">
        <v>36643</v>
      </c>
      <c r="B2098">
        <v>1</v>
      </c>
      <c r="C2098" t="s">
        <v>107</v>
      </c>
      <c r="D2098" t="s">
        <v>108</v>
      </c>
      <c r="E2098" s="1">
        <v>44081</v>
      </c>
      <c r="F2098">
        <v>1</v>
      </c>
      <c r="G2098" t="s">
        <v>27</v>
      </c>
      <c r="H2098" t="s">
        <v>28</v>
      </c>
      <c r="I2098" s="3">
        <v>1440</v>
      </c>
      <c r="J2098" s="3">
        <v>1440</v>
      </c>
      <c r="K2098" s="3">
        <v>380</v>
      </c>
      <c r="L2098" t="s">
        <v>98</v>
      </c>
      <c r="M2098">
        <v>1</v>
      </c>
      <c r="N2098" t="s">
        <v>77</v>
      </c>
      <c r="O2098" t="s">
        <v>70</v>
      </c>
      <c r="P2098" t="s">
        <v>71</v>
      </c>
      <c r="Q2098" t="s">
        <v>72</v>
      </c>
      <c r="R2098" t="s">
        <v>139</v>
      </c>
      <c r="S2098" t="s">
        <v>144</v>
      </c>
      <c r="T2098" s="2">
        <f>MASTER[[#This Row],[CANTIDAD]]*MASTER[[#This Row],[PRECIO DE VENTA]]</f>
        <v>1440</v>
      </c>
      <c r="U2098" s="2">
        <f>MASTER[[#This Row],[CANTIDAD]]*MASTER[[#This Row],[COSTO UNITARIO]]</f>
        <v>380</v>
      </c>
      <c r="V2098" s="2">
        <f>MASTER[[#This Row],[MONTO VENDIDO]]-MASTER[[#This Row],[COSTO DE VENTA]]</f>
        <v>1060</v>
      </c>
    </row>
    <row r="2099" spans="1:22" x14ac:dyDescent="0.3">
      <c r="A2099">
        <v>36645</v>
      </c>
      <c r="B2099">
        <v>1</v>
      </c>
      <c r="C2099" t="s">
        <v>107</v>
      </c>
      <c r="D2099" t="s">
        <v>108</v>
      </c>
      <c r="E2099" s="1">
        <v>44081</v>
      </c>
      <c r="F2099">
        <v>1</v>
      </c>
      <c r="G2099" t="s">
        <v>45</v>
      </c>
      <c r="H2099" t="s">
        <v>46</v>
      </c>
      <c r="I2099" s="3">
        <v>1333</v>
      </c>
      <c r="J2099" s="3">
        <v>1333</v>
      </c>
      <c r="K2099" s="3">
        <v>380</v>
      </c>
      <c r="L2099" t="s">
        <v>98</v>
      </c>
      <c r="M2099">
        <v>14</v>
      </c>
      <c r="N2099" t="s">
        <v>87</v>
      </c>
      <c r="O2099" t="s">
        <v>81</v>
      </c>
      <c r="P2099" t="s">
        <v>18</v>
      </c>
      <c r="Q2099" t="s">
        <v>19</v>
      </c>
      <c r="R2099" t="s">
        <v>138</v>
      </c>
      <c r="S2099" t="s">
        <v>144</v>
      </c>
      <c r="T2099" s="2">
        <f>MASTER[[#This Row],[CANTIDAD]]*MASTER[[#This Row],[PRECIO DE VENTA]]</f>
        <v>1333</v>
      </c>
      <c r="U2099" s="2">
        <f>MASTER[[#This Row],[CANTIDAD]]*MASTER[[#This Row],[COSTO UNITARIO]]</f>
        <v>380</v>
      </c>
      <c r="V2099" s="2">
        <f>MASTER[[#This Row],[MONTO VENDIDO]]-MASTER[[#This Row],[COSTO DE VENTA]]</f>
        <v>953</v>
      </c>
    </row>
    <row r="2100" spans="1:22" x14ac:dyDescent="0.3">
      <c r="A2100">
        <v>36658</v>
      </c>
      <c r="B2100">
        <v>1</v>
      </c>
      <c r="C2100" t="s">
        <v>94</v>
      </c>
      <c r="D2100" t="s">
        <v>95</v>
      </c>
      <c r="E2100" s="1">
        <v>44081</v>
      </c>
      <c r="F2100">
        <v>1</v>
      </c>
      <c r="G2100" t="s">
        <v>43</v>
      </c>
      <c r="H2100" t="s">
        <v>44</v>
      </c>
      <c r="I2100" s="3">
        <v>1153</v>
      </c>
      <c r="J2100" s="3">
        <v>1083</v>
      </c>
      <c r="K2100" s="3">
        <v>392</v>
      </c>
      <c r="L2100" t="s">
        <v>9</v>
      </c>
      <c r="M2100">
        <v>9</v>
      </c>
      <c r="N2100" t="s">
        <v>76</v>
      </c>
      <c r="O2100" t="s">
        <v>70</v>
      </c>
      <c r="P2100" t="s">
        <v>12</v>
      </c>
      <c r="Q2100" t="s">
        <v>13</v>
      </c>
      <c r="R2100" t="s">
        <v>13</v>
      </c>
      <c r="S2100" t="s">
        <v>144</v>
      </c>
      <c r="T2100" s="2">
        <f>MASTER[[#This Row],[CANTIDAD]]*MASTER[[#This Row],[PRECIO DE VENTA]]</f>
        <v>1083</v>
      </c>
      <c r="U2100" s="2">
        <f>MASTER[[#This Row],[CANTIDAD]]*MASTER[[#This Row],[COSTO UNITARIO]]</f>
        <v>392</v>
      </c>
      <c r="V2100" s="2">
        <f>MASTER[[#This Row],[MONTO VENDIDO]]-MASTER[[#This Row],[COSTO DE VENTA]]</f>
        <v>691</v>
      </c>
    </row>
    <row r="2101" spans="1:22" x14ac:dyDescent="0.3">
      <c r="A2101">
        <v>36663</v>
      </c>
      <c r="B2101">
        <v>1</v>
      </c>
      <c r="C2101" t="s">
        <v>111</v>
      </c>
      <c r="D2101" t="s">
        <v>112</v>
      </c>
      <c r="E2101" s="1">
        <v>44081</v>
      </c>
      <c r="F2101">
        <v>1</v>
      </c>
      <c r="G2101" t="s">
        <v>61</v>
      </c>
      <c r="H2101" t="s">
        <v>62</v>
      </c>
      <c r="I2101" s="3">
        <v>1621</v>
      </c>
      <c r="J2101" s="3">
        <v>1621</v>
      </c>
      <c r="K2101" s="3">
        <v>434</v>
      </c>
      <c r="L2101" t="s">
        <v>113</v>
      </c>
      <c r="M2101">
        <v>14</v>
      </c>
      <c r="N2101" t="s">
        <v>87</v>
      </c>
      <c r="O2101" t="s">
        <v>81</v>
      </c>
      <c r="P2101" t="s">
        <v>18</v>
      </c>
      <c r="Q2101" t="s">
        <v>19</v>
      </c>
      <c r="R2101" t="s">
        <v>138</v>
      </c>
      <c r="S2101" t="s">
        <v>144</v>
      </c>
      <c r="T2101" s="2">
        <f>MASTER[[#This Row],[CANTIDAD]]*MASTER[[#This Row],[PRECIO DE VENTA]]</f>
        <v>1621</v>
      </c>
      <c r="U2101" s="2">
        <f>MASTER[[#This Row],[CANTIDAD]]*MASTER[[#This Row],[COSTO UNITARIO]]</f>
        <v>434</v>
      </c>
      <c r="V2101" s="2">
        <f>MASTER[[#This Row],[MONTO VENDIDO]]-MASTER[[#This Row],[COSTO DE VENTA]]</f>
        <v>1187</v>
      </c>
    </row>
    <row r="2102" spans="1:22" x14ac:dyDescent="0.3">
      <c r="A2102">
        <v>36682</v>
      </c>
      <c r="B2102">
        <v>1</v>
      </c>
      <c r="C2102" t="s">
        <v>109</v>
      </c>
      <c r="D2102" t="s">
        <v>110</v>
      </c>
      <c r="E2102" s="1">
        <v>44081</v>
      </c>
      <c r="F2102">
        <v>1</v>
      </c>
      <c r="G2102" t="s">
        <v>51</v>
      </c>
      <c r="H2102" t="s">
        <v>52</v>
      </c>
      <c r="I2102" s="3">
        <v>1064</v>
      </c>
      <c r="J2102" s="3">
        <v>1064</v>
      </c>
      <c r="K2102" s="3">
        <v>387</v>
      </c>
      <c r="L2102" t="s">
        <v>98</v>
      </c>
      <c r="M2102">
        <v>5</v>
      </c>
      <c r="N2102" t="s">
        <v>85</v>
      </c>
      <c r="O2102" t="s">
        <v>81</v>
      </c>
      <c r="P2102" t="s">
        <v>12</v>
      </c>
      <c r="Q2102" t="s">
        <v>13</v>
      </c>
      <c r="R2102" t="s">
        <v>13</v>
      </c>
      <c r="S2102" t="s">
        <v>144</v>
      </c>
      <c r="T2102" s="2">
        <f>MASTER[[#This Row],[CANTIDAD]]*MASTER[[#This Row],[PRECIO DE VENTA]]</f>
        <v>1064</v>
      </c>
      <c r="U2102" s="2">
        <f>MASTER[[#This Row],[CANTIDAD]]*MASTER[[#This Row],[COSTO UNITARIO]]</f>
        <v>387</v>
      </c>
      <c r="V2102" s="2">
        <f>MASTER[[#This Row],[MONTO VENDIDO]]-MASTER[[#This Row],[COSTO DE VENTA]]</f>
        <v>677</v>
      </c>
    </row>
    <row r="2103" spans="1:22" x14ac:dyDescent="0.3">
      <c r="A2103">
        <v>36705</v>
      </c>
      <c r="B2103">
        <v>1</v>
      </c>
      <c r="C2103" t="s">
        <v>118</v>
      </c>
      <c r="D2103" t="s">
        <v>119</v>
      </c>
      <c r="E2103" s="1">
        <v>44081</v>
      </c>
      <c r="F2103">
        <v>1</v>
      </c>
      <c r="G2103" t="s">
        <v>67</v>
      </c>
      <c r="H2103" t="s">
        <v>68</v>
      </c>
      <c r="I2103" s="3">
        <v>801</v>
      </c>
      <c r="J2103" s="3">
        <v>801</v>
      </c>
      <c r="K2103" s="3">
        <v>424</v>
      </c>
      <c r="L2103" t="s">
        <v>120</v>
      </c>
      <c r="M2103">
        <v>17</v>
      </c>
      <c r="N2103" t="s">
        <v>14</v>
      </c>
      <c r="O2103" t="s">
        <v>11</v>
      </c>
      <c r="P2103" t="s">
        <v>15</v>
      </c>
      <c r="Q2103" t="s">
        <v>16</v>
      </c>
      <c r="R2103" t="s">
        <v>16</v>
      </c>
      <c r="S2103" t="s">
        <v>144</v>
      </c>
      <c r="T2103" s="2">
        <f>MASTER[[#This Row],[CANTIDAD]]*MASTER[[#This Row],[PRECIO DE VENTA]]</f>
        <v>801</v>
      </c>
      <c r="U2103" s="2">
        <f>MASTER[[#This Row],[CANTIDAD]]*MASTER[[#This Row],[COSTO UNITARIO]]</f>
        <v>424</v>
      </c>
      <c r="V2103" s="2">
        <f>MASTER[[#This Row],[MONTO VENDIDO]]-MASTER[[#This Row],[COSTO DE VENTA]]</f>
        <v>377</v>
      </c>
    </row>
    <row r="2104" spans="1:22" x14ac:dyDescent="0.3">
      <c r="A2104">
        <v>36706</v>
      </c>
      <c r="B2104">
        <v>1</v>
      </c>
      <c r="C2104" t="s">
        <v>99</v>
      </c>
      <c r="D2104" t="s">
        <v>100</v>
      </c>
      <c r="E2104" s="1">
        <v>44081</v>
      </c>
      <c r="F2104">
        <v>1</v>
      </c>
      <c r="G2104" t="s">
        <v>35</v>
      </c>
      <c r="H2104" t="s">
        <v>36</v>
      </c>
      <c r="I2104" s="3">
        <v>1459</v>
      </c>
      <c r="J2104" s="3">
        <v>1459</v>
      </c>
      <c r="K2104" s="3">
        <v>386</v>
      </c>
      <c r="L2104" t="s">
        <v>98</v>
      </c>
      <c r="M2104">
        <v>15</v>
      </c>
      <c r="N2104" t="s">
        <v>88</v>
      </c>
      <c r="O2104" t="s">
        <v>81</v>
      </c>
      <c r="P2104" t="s">
        <v>18</v>
      </c>
      <c r="Q2104" t="s">
        <v>19</v>
      </c>
      <c r="R2104" t="s">
        <v>138</v>
      </c>
      <c r="S2104" t="s">
        <v>144</v>
      </c>
      <c r="T2104" s="2">
        <f>MASTER[[#This Row],[CANTIDAD]]*MASTER[[#This Row],[PRECIO DE VENTA]]</f>
        <v>1459</v>
      </c>
      <c r="U2104" s="2">
        <f>MASTER[[#This Row],[CANTIDAD]]*MASTER[[#This Row],[COSTO UNITARIO]]</f>
        <v>386</v>
      </c>
      <c r="V2104" s="2">
        <f>MASTER[[#This Row],[MONTO VENDIDO]]-MASTER[[#This Row],[COSTO DE VENTA]]</f>
        <v>1073</v>
      </c>
    </row>
    <row r="2105" spans="1:22" x14ac:dyDescent="0.3">
      <c r="A2105">
        <v>36711</v>
      </c>
      <c r="B2105">
        <v>1</v>
      </c>
      <c r="C2105" t="s">
        <v>116</v>
      </c>
      <c r="D2105" t="s">
        <v>117</v>
      </c>
      <c r="E2105" s="1">
        <v>44081</v>
      </c>
      <c r="F2105">
        <v>1</v>
      </c>
      <c r="G2105" t="s">
        <v>61</v>
      </c>
      <c r="H2105" t="s">
        <v>62</v>
      </c>
      <c r="I2105" s="3">
        <v>1999</v>
      </c>
      <c r="J2105" s="3">
        <v>1999</v>
      </c>
      <c r="K2105" s="3">
        <v>388</v>
      </c>
      <c r="L2105" t="s">
        <v>113</v>
      </c>
      <c r="M2105">
        <v>3</v>
      </c>
      <c r="N2105" t="s">
        <v>69</v>
      </c>
      <c r="O2105" t="s">
        <v>70</v>
      </c>
      <c r="P2105" t="s">
        <v>71</v>
      </c>
      <c r="Q2105" t="s">
        <v>72</v>
      </c>
      <c r="R2105" t="s">
        <v>139</v>
      </c>
      <c r="S2105" t="s">
        <v>144</v>
      </c>
      <c r="T2105" s="2">
        <f>MASTER[[#This Row],[CANTIDAD]]*MASTER[[#This Row],[PRECIO DE VENTA]]</f>
        <v>1999</v>
      </c>
      <c r="U2105" s="2">
        <f>MASTER[[#This Row],[CANTIDAD]]*MASTER[[#This Row],[COSTO UNITARIO]]</f>
        <v>388</v>
      </c>
      <c r="V2105" s="2">
        <f>MASTER[[#This Row],[MONTO VENDIDO]]-MASTER[[#This Row],[COSTO DE VENTA]]</f>
        <v>1611</v>
      </c>
    </row>
    <row r="2106" spans="1:22" x14ac:dyDescent="0.3">
      <c r="A2106">
        <v>36726</v>
      </c>
      <c r="B2106">
        <v>1</v>
      </c>
      <c r="C2106" t="s">
        <v>99</v>
      </c>
      <c r="D2106" t="s">
        <v>100</v>
      </c>
      <c r="E2106" s="1">
        <v>44082</v>
      </c>
      <c r="F2106">
        <v>1</v>
      </c>
      <c r="G2106" t="s">
        <v>65</v>
      </c>
      <c r="H2106" t="s">
        <v>66</v>
      </c>
      <c r="I2106" s="3">
        <v>1459</v>
      </c>
      <c r="J2106" s="3">
        <v>1459</v>
      </c>
      <c r="K2106" s="3">
        <v>386</v>
      </c>
      <c r="L2106" t="s">
        <v>98</v>
      </c>
      <c r="M2106">
        <v>8</v>
      </c>
      <c r="N2106" t="s">
        <v>80</v>
      </c>
      <c r="O2106" t="s">
        <v>81</v>
      </c>
      <c r="P2106" t="s">
        <v>12</v>
      </c>
      <c r="Q2106" t="s">
        <v>13</v>
      </c>
      <c r="R2106" t="s">
        <v>13</v>
      </c>
      <c r="S2106" t="s">
        <v>144</v>
      </c>
      <c r="T2106" s="2">
        <f>MASTER[[#This Row],[CANTIDAD]]*MASTER[[#This Row],[PRECIO DE VENTA]]</f>
        <v>1459</v>
      </c>
      <c r="U2106" s="2">
        <f>MASTER[[#This Row],[CANTIDAD]]*MASTER[[#This Row],[COSTO UNITARIO]]</f>
        <v>386</v>
      </c>
      <c r="V2106" s="2">
        <f>MASTER[[#This Row],[MONTO VENDIDO]]-MASTER[[#This Row],[COSTO DE VENTA]]</f>
        <v>1073</v>
      </c>
    </row>
    <row r="2107" spans="1:22" x14ac:dyDescent="0.3">
      <c r="A2107">
        <v>36741</v>
      </c>
      <c r="B2107">
        <v>1</v>
      </c>
      <c r="C2107" t="s">
        <v>5</v>
      </c>
      <c r="D2107" t="s">
        <v>6</v>
      </c>
      <c r="E2107" s="1">
        <v>44082</v>
      </c>
      <c r="F2107">
        <v>1</v>
      </c>
      <c r="G2107" t="s">
        <v>20</v>
      </c>
      <c r="H2107" t="s">
        <v>21</v>
      </c>
      <c r="I2107" s="3">
        <v>1296</v>
      </c>
      <c r="J2107" s="3">
        <v>1296</v>
      </c>
      <c r="K2107" s="3">
        <v>393</v>
      </c>
      <c r="L2107" t="s">
        <v>9</v>
      </c>
      <c r="M2107">
        <v>6</v>
      </c>
      <c r="N2107" t="s">
        <v>75</v>
      </c>
      <c r="O2107" t="s">
        <v>70</v>
      </c>
      <c r="P2107" t="s">
        <v>12</v>
      </c>
      <c r="Q2107" t="s">
        <v>13</v>
      </c>
      <c r="R2107" t="s">
        <v>13</v>
      </c>
      <c r="S2107" t="s">
        <v>144</v>
      </c>
      <c r="T2107" s="2">
        <f>MASTER[[#This Row],[CANTIDAD]]*MASTER[[#This Row],[PRECIO DE VENTA]]</f>
        <v>1296</v>
      </c>
      <c r="U2107" s="2">
        <f>MASTER[[#This Row],[CANTIDAD]]*MASTER[[#This Row],[COSTO UNITARIO]]</f>
        <v>393</v>
      </c>
      <c r="V2107" s="2">
        <f>MASTER[[#This Row],[MONTO VENDIDO]]-MASTER[[#This Row],[COSTO DE VENTA]]</f>
        <v>903</v>
      </c>
    </row>
    <row r="2108" spans="1:22" x14ac:dyDescent="0.3">
      <c r="A2108">
        <v>36776</v>
      </c>
      <c r="B2108">
        <v>1</v>
      </c>
      <c r="C2108" t="s">
        <v>107</v>
      </c>
      <c r="D2108" t="s">
        <v>108</v>
      </c>
      <c r="E2108" s="1">
        <v>44082</v>
      </c>
      <c r="F2108">
        <v>1</v>
      </c>
      <c r="G2108" t="s">
        <v>65</v>
      </c>
      <c r="H2108" t="s">
        <v>66</v>
      </c>
      <c r="I2108" s="3">
        <v>1333</v>
      </c>
      <c r="J2108" s="3">
        <v>1333</v>
      </c>
      <c r="K2108" s="3">
        <v>380</v>
      </c>
      <c r="L2108" t="s">
        <v>98</v>
      </c>
      <c r="M2108">
        <v>14</v>
      </c>
      <c r="N2108" t="s">
        <v>87</v>
      </c>
      <c r="O2108" t="s">
        <v>81</v>
      </c>
      <c r="P2108" t="s">
        <v>18</v>
      </c>
      <c r="Q2108" t="s">
        <v>19</v>
      </c>
      <c r="R2108" t="s">
        <v>138</v>
      </c>
      <c r="S2108" t="s">
        <v>144</v>
      </c>
      <c r="T2108" s="2">
        <f>MASTER[[#This Row],[CANTIDAD]]*MASTER[[#This Row],[PRECIO DE VENTA]]</f>
        <v>1333</v>
      </c>
      <c r="U2108" s="2">
        <f>MASTER[[#This Row],[CANTIDAD]]*MASTER[[#This Row],[COSTO UNITARIO]]</f>
        <v>380</v>
      </c>
      <c r="V2108" s="2">
        <f>MASTER[[#This Row],[MONTO VENDIDO]]-MASTER[[#This Row],[COSTO DE VENTA]]</f>
        <v>953</v>
      </c>
    </row>
    <row r="2109" spans="1:22" x14ac:dyDescent="0.3">
      <c r="A2109">
        <v>36809</v>
      </c>
      <c r="B2109">
        <v>1</v>
      </c>
      <c r="C2109" t="s">
        <v>116</v>
      </c>
      <c r="D2109" t="s">
        <v>117</v>
      </c>
      <c r="E2109" s="1">
        <v>44082</v>
      </c>
      <c r="F2109">
        <v>1</v>
      </c>
      <c r="G2109" t="s">
        <v>67</v>
      </c>
      <c r="H2109" t="s">
        <v>68</v>
      </c>
      <c r="I2109" s="3">
        <v>1738</v>
      </c>
      <c r="J2109" s="3">
        <v>1738</v>
      </c>
      <c r="K2109" s="3">
        <v>388</v>
      </c>
      <c r="L2109" t="s">
        <v>113</v>
      </c>
      <c r="M2109">
        <v>8</v>
      </c>
      <c r="N2109" t="s">
        <v>80</v>
      </c>
      <c r="O2109" t="s">
        <v>81</v>
      </c>
      <c r="P2109" t="s">
        <v>12</v>
      </c>
      <c r="Q2109" t="s">
        <v>13</v>
      </c>
      <c r="R2109" t="s">
        <v>13</v>
      </c>
      <c r="S2109" t="s">
        <v>144</v>
      </c>
      <c r="T2109" s="2">
        <f>MASTER[[#This Row],[CANTIDAD]]*MASTER[[#This Row],[PRECIO DE VENTA]]</f>
        <v>1738</v>
      </c>
      <c r="U2109" s="2">
        <f>MASTER[[#This Row],[CANTIDAD]]*MASTER[[#This Row],[COSTO UNITARIO]]</f>
        <v>388</v>
      </c>
      <c r="V2109" s="2">
        <f>MASTER[[#This Row],[MONTO VENDIDO]]-MASTER[[#This Row],[COSTO DE VENTA]]</f>
        <v>1350</v>
      </c>
    </row>
    <row r="2110" spans="1:22" x14ac:dyDescent="0.3">
      <c r="A2110">
        <v>36815</v>
      </c>
      <c r="B2110">
        <v>1</v>
      </c>
      <c r="C2110" t="s">
        <v>94</v>
      </c>
      <c r="D2110" t="s">
        <v>95</v>
      </c>
      <c r="E2110" s="1">
        <v>44082</v>
      </c>
      <c r="F2110">
        <v>1</v>
      </c>
      <c r="G2110" t="s">
        <v>49</v>
      </c>
      <c r="H2110" t="s">
        <v>50</v>
      </c>
      <c r="I2110" s="3">
        <v>1048</v>
      </c>
      <c r="J2110" s="3">
        <v>1048</v>
      </c>
      <c r="K2110" s="3">
        <v>392</v>
      </c>
      <c r="L2110" t="s">
        <v>9</v>
      </c>
      <c r="M2110">
        <v>15</v>
      </c>
      <c r="N2110" t="s">
        <v>88</v>
      </c>
      <c r="O2110" t="s">
        <v>81</v>
      </c>
      <c r="P2110" t="s">
        <v>18</v>
      </c>
      <c r="Q2110" t="s">
        <v>19</v>
      </c>
      <c r="R2110" t="s">
        <v>138</v>
      </c>
      <c r="S2110" t="s">
        <v>144</v>
      </c>
      <c r="T2110" s="2">
        <f>MASTER[[#This Row],[CANTIDAD]]*MASTER[[#This Row],[PRECIO DE VENTA]]</f>
        <v>1048</v>
      </c>
      <c r="U2110" s="2">
        <f>MASTER[[#This Row],[CANTIDAD]]*MASTER[[#This Row],[COSTO UNITARIO]]</f>
        <v>392</v>
      </c>
      <c r="V2110" s="2">
        <f>MASTER[[#This Row],[MONTO VENDIDO]]-MASTER[[#This Row],[COSTO DE VENTA]]</f>
        <v>656</v>
      </c>
    </row>
    <row r="2111" spans="1:22" x14ac:dyDescent="0.3">
      <c r="A2111">
        <v>36860</v>
      </c>
      <c r="B2111">
        <v>1</v>
      </c>
      <c r="C2111" t="s">
        <v>105</v>
      </c>
      <c r="D2111" t="s">
        <v>106</v>
      </c>
      <c r="E2111" s="1">
        <v>44082</v>
      </c>
      <c r="F2111">
        <v>1</v>
      </c>
      <c r="G2111" t="s">
        <v>59</v>
      </c>
      <c r="H2111" t="s">
        <v>60</v>
      </c>
      <c r="I2111" s="3">
        <v>2033</v>
      </c>
      <c r="J2111" s="3">
        <v>2033</v>
      </c>
      <c r="K2111" s="3">
        <v>459</v>
      </c>
      <c r="L2111" t="s">
        <v>98</v>
      </c>
      <c r="M2111">
        <v>3</v>
      </c>
      <c r="N2111" t="s">
        <v>69</v>
      </c>
      <c r="O2111" t="s">
        <v>70</v>
      </c>
      <c r="P2111" t="s">
        <v>71</v>
      </c>
      <c r="Q2111" t="s">
        <v>72</v>
      </c>
      <c r="R2111" t="s">
        <v>139</v>
      </c>
      <c r="S2111" t="s">
        <v>144</v>
      </c>
      <c r="T2111" s="2">
        <f>MASTER[[#This Row],[CANTIDAD]]*MASTER[[#This Row],[PRECIO DE VENTA]]</f>
        <v>2033</v>
      </c>
      <c r="U2111" s="2">
        <f>MASTER[[#This Row],[CANTIDAD]]*MASTER[[#This Row],[COSTO UNITARIO]]</f>
        <v>459</v>
      </c>
      <c r="V2111" s="2">
        <f>MASTER[[#This Row],[MONTO VENDIDO]]-MASTER[[#This Row],[COSTO DE VENTA]]</f>
        <v>1574</v>
      </c>
    </row>
    <row r="2112" spans="1:22" x14ac:dyDescent="0.3">
      <c r="A2112">
        <v>36876</v>
      </c>
      <c r="B2112">
        <v>1</v>
      </c>
      <c r="C2112" t="s">
        <v>94</v>
      </c>
      <c r="D2112" t="s">
        <v>95</v>
      </c>
      <c r="E2112" s="1">
        <v>44082</v>
      </c>
      <c r="F2112">
        <v>1</v>
      </c>
      <c r="G2112" t="s">
        <v>27</v>
      </c>
      <c r="H2112" t="s">
        <v>28</v>
      </c>
      <c r="I2112" s="3">
        <v>1048</v>
      </c>
      <c r="J2112" s="3">
        <v>1048</v>
      </c>
      <c r="K2112" s="3">
        <v>392</v>
      </c>
      <c r="L2112" t="s">
        <v>9</v>
      </c>
      <c r="M2112">
        <v>2</v>
      </c>
      <c r="N2112" t="s">
        <v>86</v>
      </c>
      <c r="O2112" t="s">
        <v>81</v>
      </c>
      <c r="P2112" t="s">
        <v>71</v>
      </c>
      <c r="Q2112" t="s">
        <v>72</v>
      </c>
      <c r="R2112" t="s">
        <v>139</v>
      </c>
      <c r="S2112" t="s">
        <v>144</v>
      </c>
      <c r="T2112" s="2">
        <f>MASTER[[#This Row],[CANTIDAD]]*MASTER[[#This Row],[PRECIO DE VENTA]]</f>
        <v>1048</v>
      </c>
      <c r="U2112" s="2">
        <f>MASTER[[#This Row],[CANTIDAD]]*MASTER[[#This Row],[COSTO UNITARIO]]</f>
        <v>392</v>
      </c>
      <c r="V2112" s="2">
        <f>MASTER[[#This Row],[MONTO VENDIDO]]-MASTER[[#This Row],[COSTO DE VENTA]]</f>
        <v>656</v>
      </c>
    </row>
    <row r="2113" spans="1:22" x14ac:dyDescent="0.3">
      <c r="A2113">
        <v>36899</v>
      </c>
      <c r="B2113">
        <v>1</v>
      </c>
      <c r="C2113" t="s">
        <v>96</v>
      </c>
      <c r="D2113" t="s">
        <v>97</v>
      </c>
      <c r="E2113" s="1">
        <v>44082</v>
      </c>
      <c r="F2113">
        <v>1</v>
      </c>
      <c r="G2113" t="s">
        <v>22</v>
      </c>
      <c r="H2113" t="s">
        <v>23</v>
      </c>
      <c r="I2113" s="3">
        <v>1272</v>
      </c>
      <c r="J2113" s="3">
        <v>1272</v>
      </c>
      <c r="K2113" s="3">
        <v>397</v>
      </c>
      <c r="L2113" t="s">
        <v>98</v>
      </c>
      <c r="M2113">
        <v>2</v>
      </c>
      <c r="N2113" t="s">
        <v>86</v>
      </c>
      <c r="O2113" t="s">
        <v>81</v>
      </c>
      <c r="P2113" t="s">
        <v>71</v>
      </c>
      <c r="Q2113" t="s">
        <v>72</v>
      </c>
      <c r="R2113" t="s">
        <v>139</v>
      </c>
      <c r="S2113" t="s">
        <v>144</v>
      </c>
      <c r="T2113" s="2">
        <f>MASTER[[#This Row],[CANTIDAD]]*MASTER[[#This Row],[PRECIO DE VENTA]]</f>
        <v>1272</v>
      </c>
      <c r="U2113" s="2">
        <f>MASTER[[#This Row],[CANTIDAD]]*MASTER[[#This Row],[COSTO UNITARIO]]</f>
        <v>397</v>
      </c>
      <c r="V2113" s="2">
        <f>MASTER[[#This Row],[MONTO VENDIDO]]-MASTER[[#This Row],[COSTO DE VENTA]]</f>
        <v>875</v>
      </c>
    </row>
    <row r="2114" spans="1:22" x14ac:dyDescent="0.3">
      <c r="A2114">
        <v>36909</v>
      </c>
      <c r="B2114">
        <v>1</v>
      </c>
      <c r="C2114" t="s">
        <v>105</v>
      </c>
      <c r="D2114" t="s">
        <v>106</v>
      </c>
      <c r="E2114" s="1">
        <v>44083</v>
      </c>
      <c r="F2114">
        <v>1</v>
      </c>
      <c r="G2114" t="s">
        <v>57</v>
      </c>
      <c r="H2114" t="s">
        <v>58</v>
      </c>
      <c r="I2114" s="3">
        <v>1585</v>
      </c>
      <c r="J2114" s="3">
        <v>1585</v>
      </c>
      <c r="K2114" s="3">
        <v>459</v>
      </c>
      <c r="L2114" t="s">
        <v>98</v>
      </c>
      <c r="M2114">
        <v>12</v>
      </c>
      <c r="N2114" t="s">
        <v>26</v>
      </c>
      <c r="O2114" t="s">
        <v>11</v>
      </c>
      <c r="P2114" t="s">
        <v>12</v>
      </c>
      <c r="Q2114" t="s">
        <v>13</v>
      </c>
      <c r="R2114" t="s">
        <v>13</v>
      </c>
      <c r="S2114" t="s">
        <v>144</v>
      </c>
      <c r="T2114" s="2">
        <f>MASTER[[#This Row],[CANTIDAD]]*MASTER[[#This Row],[PRECIO DE VENTA]]</f>
        <v>1585</v>
      </c>
      <c r="U2114" s="2">
        <f>MASTER[[#This Row],[CANTIDAD]]*MASTER[[#This Row],[COSTO UNITARIO]]</f>
        <v>459</v>
      </c>
      <c r="V2114" s="2">
        <f>MASTER[[#This Row],[MONTO VENDIDO]]-MASTER[[#This Row],[COSTO DE VENTA]]</f>
        <v>1126</v>
      </c>
    </row>
    <row r="2115" spans="1:22" x14ac:dyDescent="0.3">
      <c r="A2115">
        <v>36912</v>
      </c>
      <c r="B2115">
        <v>1</v>
      </c>
      <c r="C2115" t="s">
        <v>90</v>
      </c>
      <c r="D2115" t="s">
        <v>91</v>
      </c>
      <c r="E2115" s="1">
        <v>44083</v>
      </c>
      <c r="F2115">
        <v>1</v>
      </c>
      <c r="G2115" t="s">
        <v>35</v>
      </c>
      <c r="H2115" t="s">
        <v>36</v>
      </c>
      <c r="I2115" s="3">
        <v>1844</v>
      </c>
      <c r="J2115" s="3">
        <v>1844</v>
      </c>
      <c r="K2115" s="3">
        <v>420</v>
      </c>
      <c r="L2115" t="s">
        <v>9</v>
      </c>
      <c r="M2115">
        <v>8</v>
      </c>
      <c r="N2115" t="s">
        <v>80</v>
      </c>
      <c r="O2115" t="s">
        <v>81</v>
      </c>
      <c r="P2115" t="s">
        <v>12</v>
      </c>
      <c r="Q2115" t="s">
        <v>13</v>
      </c>
      <c r="R2115" t="s">
        <v>13</v>
      </c>
      <c r="S2115" t="s">
        <v>144</v>
      </c>
      <c r="T2115" s="2">
        <f>MASTER[[#This Row],[CANTIDAD]]*MASTER[[#This Row],[PRECIO DE VENTA]]</f>
        <v>1844</v>
      </c>
      <c r="U2115" s="2">
        <f>MASTER[[#This Row],[CANTIDAD]]*MASTER[[#This Row],[COSTO UNITARIO]]</f>
        <v>420</v>
      </c>
      <c r="V2115" s="2">
        <f>MASTER[[#This Row],[MONTO VENDIDO]]-MASTER[[#This Row],[COSTO DE VENTA]]</f>
        <v>1424</v>
      </c>
    </row>
    <row r="2116" spans="1:22" x14ac:dyDescent="0.3">
      <c r="A2116">
        <v>36949</v>
      </c>
      <c r="B2116">
        <v>1</v>
      </c>
      <c r="C2116" t="s">
        <v>109</v>
      </c>
      <c r="D2116" t="s">
        <v>110</v>
      </c>
      <c r="E2116" s="1">
        <v>44083</v>
      </c>
      <c r="F2116">
        <v>1</v>
      </c>
      <c r="G2116" t="s">
        <v>27</v>
      </c>
      <c r="H2116" t="s">
        <v>28</v>
      </c>
      <c r="I2116" s="3">
        <v>1064</v>
      </c>
      <c r="J2116" s="3">
        <v>1064</v>
      </c>
      <c r="K2116" s="3">
        <v>387</v>
      </c>
      <c r="L2116" t="s">
        <v>98</v>
      </c>
      <c r="M2116">
        <v>2</v>
      </c>
      <c r="N2116" t="s">
        <v>86</v>
      </c>
      <c r="O2116" t="s">
        <v>81</v>
      </c>
      <c r="P2116" t="s">
        <v>71</v>
      </c>
      <c r="Q2116" t="s">
        <v>72</v>
      </c>
      <c r="R2116" t="s">
        <v>139</v>
      </c>
      <c r="S2116" t="s">
        <v>144</v>
      </c>
      <c r="T2116" s="2">
        <f>MASTER[[#This Row],[CANTIDAD]]*MASTER[[#This Row],[PRECIO DE VENTA]]</f>
        <v>1064</v>
      </c>
      <c r="U2116" s="2">
        <f>MASTER[[#This Row],[CANTIDAD]]*MASTER[[#This Row],[COSTO UNITARIO]]</f>
        <v>387</v>
      </c>
      <c r="V2116" s="2">
        <f>MASTER[[#This Row],[MONTO VENDIDO]]-MASTER[[#This Row],[COSTO DE VENTA]]</f>
        <v>677</v>
      </c>
    </row>
    <row r="2117" spans="1:22" x14ac:dyDescent="0.3">
      <c r="A2117">
        <v>36952</v>
      </c>
      <c r="B2117">
        <v>1</v>
      </c>
      <c r="C2117" t="s">
        <v>96</v>
      </c>
      <c r="D2117" t="s">
        <v>97</v>
      </c>
      <c r="E2117" s="1">
        <v>44083</v>
      </c>
      <c r="F2117">
        <v>1</v>
      </c>
      <c r="G2117" t="s">
        <v>47</v>
      </c>
      <c r="H2117" t="s">
        <v>48</v>
      </c>
      <c r="I2117" s="3">
        <v>1196</v>
      </c>
      <c r="J2117" s="3">
        <v>1196</v>
      </c>
      <c r="K2117" s="3">
        <v>397</v>
      </c>
      <c r="L2117" t="s">
        <v>98</v>
      </c>
      <c r="M2117">
        <v>17</v>
      </c>
      <c r="N2117" t="s">
        <v>14</v>
      </c>
      <c r="O2117" t="s">
        <v>11</v>
      </c>
      <c r="P2117" t="s">
        <v>15</v>
      </c>
      <c r="Q2117" t="s">
        <v>16</v>
      </c>
      <c r="R2117" t="s">
        <v>16</v>
      </c>
      <c r="S2117" t="s">
        <v>144</v>
      </c>
      <c r="T2117" s="2">
        <f>MASTER[[#This Row],[CANTIDAD]]*MASTER[[#This Row],[PRECIO DE VENTA]]</f>
        <v>1196</v>
      </c>
      <c r="U2117" s="2">
        <f>MASTER[[#This Row],[CANTIDAD]]*MASTER[[#This Row],[COSTO UNITARIO]]</f>
        <v>397</v>
      </c>
      <c r="V2117" s="2">
        <f>MASTER[[#This Row],[MONTO VENDIDO]]-MASTER[[#This Row],[COSTO DE VENTA]]</f>
        <v>799</v>
      </c>
    </row>
    <row r="2118" spans="1:22" x14ac:dyDescent="0.3">
      <c r="A2118">
        <v>36975</v>
      </c>
      <c r="B2118">
        <v>1</v>
      </c>
      <c r="C2118" t="s">
        <v>109</v>
      </c>
      <c r="D2118" t="s">
        <v>110</v>
      </c>
      <c r="E2118" s="1">
        <v>44083</v>
      </c>
      <c r="F2118">
        <v>1</v>
      </c>
      <c r="G2118" t="s">
        <v>73</v>
      </c>
      <c r="H2118" t="s">
        <v>74</v>
      </c>
      <c r="I2118" s="3">
        <v>1128</v>
      </c>
      <c r="J2118" s="3">
        <v>1128</v>
      </c>
      <c r="K2118" s="3">
        <v>387</v>
      </c>
      <c r="L2118" t="s">
        <v>98</v>
      </c>
      <c r="M2118">
        <v>18</v>
      </c>
      <c r="N2118" t="s">
        <v>79</v>
      </c>
      <c r="O2118" t="s">
        <v>70</v>
      </c>
      <c r="P2118" t="s">
        <v>15</v>
      </c>
      <c r="Q2118" t="s">
        <v>16</v>
      </c>
      <c r="R2118" t="s">
        <v>16</v>
      </c>
      <c r="S2118" t="s">
        <v>144</v>
      </c>
      <c r="T2118" s="2">
        <f>MASTER[[#This Row],[CANTIDAD]]*MASTER[[#This Row],[PRECIO DE VENTA]]</f>
        <v>1128</v>
      </c>
      <c r="U2118" s="2">
        <f>MASTER[[#This Row],[CANTIDAD]]*MASTER[[#This Row],[COSTO UNITARIO]]</f>
        <v>387</v>
      </c>
      <c r="V2118" s="2">
        <f>MASTER[[#This Row],[MONTO VENDIDO]]-MASTER[[#This Row],[COSTO DE VENTA]]</f>
        <v>741</v>
      </c>
    </row>
    <row r="2119" spans="1:22" x14ac:dyDescent="0.3">
      <c r="A2119">
        <v>36991</v>
      </c>
      <c r="B2119">
        <v>1</v>
      </c>
      <c r="C2119" t="s">
        <v>109</v>
      </c>
      <c r="D2119" t="s">
        <v>110</v>
      </c>
      <c r="E2119" s="1">
        <v>44083</v>
      </c>
      <c r="F2119">
        <v>1</v>
      </c>
      <c r="G2119" t="s">
        <v>57</v>
      </c>
      <c r="H2119" t="s">
        <v>58</v>
      </c>
      <c r="I2119" s="3">
        <v>1128</v>
      </c>
      <c r="J2119" s="3">
        <v>1128</v>
      </c>
      <c r="K2119" s="3">
        <v>387</v>
      </c>
      <c r="L2119" t="s">
        <v>98</v>
      </c>
      <c r="M2119">
        <v>6</v>
      </c>
      <c r="N2119" t="s">
        <v>75</v>
      </c>
      <c r="O2119" t="s">
        <v>70</v>
      </c>
      <c r="P2119" t="s">
        <v>12</v>
      </c>
      <c r="Q2119" t="s">
        <v>13</v>
      </c>
      <c r="R2119" t="s">
        <v>13</v>
      </c>
      <c r="S2119" t="s">
        <v>144</v>
      </c>
      <c r="T2119" s="2">
        <f>MASTER[[#This Row],[CANTIDAD]]*MASTER[[#This Row],[PRECIO DE VENTA]]</f>
        <v>1128</v>
      </c>
      <c r="U2119" s="2">
        <f>MASTER[[#This Row],[CANTIDAD]]*MASTER[[#This Row],[COSTO UNITARIO]]</f>
        <v>387</v>
      </c>
      <c r="V2119" s="2">
        <f>MASTER[[#This Row],[MONTO VENDIDO]]-MASTER[[#This Row],[COSTO DE VENTA]]</f>
        <v>741</v>
      </c>
    </row>
    <row r="2120" spans="1:22" x14ac:dyDescent="0.3">
      <c r="A2120">
        <v>36993</v>
      </c>
      <c r="B2120">
        <v>1</v>
      </c>
      <c r="C2120" t="s">
        <v>118</v>
      </c>
      <c r="D2120" t="s">
        <v>119</v>
      </c>
      <c r="E2120" s="1">
        <v>44083</v>
      </c>
      <c r="F2120">
        <v>1</v>
      </c>
      <c r="G2120" t="s">
        <v>41</v>
      </c>
      <c r="H2120" t="s">
        <v>42</v>
      </c>
      <c r="I2120" s="3">
        <v>900</v>
      </c>
      <c r="J2120" s="3">
        <v>900</v>
      </c>
      <c r="K2120" s="3">
        <v>424</v>
      </c>
      <c r="L2120" t="s">
        <v>120</v>
      </c>
      <c r="M2120">
        <v>5</v>
      </c>
      <c r="N2120" t="s">
        <v>85</v>
      </c>
      <c r="O2120" t="s">
        <v>81</v>
      </c>
      <c r="P2120" t="s">
        <v>12</v>
      </c>
      <c r="Q2120" t="s">
        <v>13</v>
      </c>
      <c r="R2120" t="s">
        <v>13</v>
      </c>
      <c r="S2120" t="s">
        <v>144</v>
      </c>
      <c r="T2120" s="2">
        <f>MASTER[[#This Row],[CANTIDAD]]*MASTER[[#This Row],[PRECIO DE VENTA]]</f>
        <v>900</v>
      </c>
      <c r="U2120" s="2">
        <f>MASTER[[#This Row],[CANTIDAD]]*MASTER[[#This Row],[COSTO UNITARIO]]</f>
        <v>424</v>
      </c>
      <c r="V2120" s="2">
        <f>MASTER[[#This Row],[MONTO VENDIDO]]-MASTER[[#This Row],[COSTO DE VENTA]]</f>
        <v>476</v>
      </c>
    </row>
    <row r="2121" spans="1:22" x14ac:dyDescent="0.3">
      <c r="A2121">
        <v>37006</v>
      </c>
      <c r="B2121">
        <v>1</v>
      </c>
      <c r="C2121" t="s">
        <v>94</v>
      </c>
      <c r="D2121" t="s">
        <v>95</v>
      </c>
      <c r="E2121" s="1">
        <v>44083</v>
      </c>
      <c r="F2121">
        <v>1</v>
      </c>
      <c r="G2121" t="s">
        <v>73</v>
      </c>
      <c r="H2121" t="s">
        <v>74</v>
      </c>
      <c r="I2121" s="3">
        <v>901</v>
      </c>
      <c r="J2121" s="3">
        <v>901</v>
      </c>
      <c r="K2121" s="3">
        <v>392</v>
      </c>
      <c r="L2121" t="s">
        <v>9</v>
      </c>
      <c r="M2121">
        <v>17</v>
      </c>
      <c r="N2121" t="s">
        <v>14</v>
      </c>
      <c r="O2121" t="s">
        <v>11</v>
      </c>
      <c r="P2121" t="s">
        <v>15</v>
      </c>
      <c r="Q2121" t="s">
        <v>16</v>
      </c>
      <c r="R2121" t="s">
        <v>16</v>
      </c>
      <c r="S2121" t="s">
        <v>144</v>
      </c>
      <c r="T2121" s="2">
        <f>MASTER[[#This Row],[CANTIDAD]]*MASTER[[#This Row],[PRECIO DE VENTA]]</f>
        <v>901</v>
      </c>
      <c r="U2121" s="2">
        <f>MASTER[[#This Row],[CANTIDAD]]*MASTER[[#This Row],[COSTO UNITARIO]]</f>
        <v>392</v>
      </c>
      <c r="V2121" s="2">
        <f>MASTER[[#This Row],[MONTO VENDIDO]]-MASTER[[#This Row],[COSTO DE VENTA]]</f>
        <v>509</v>
      </c>
    </row>
    <row r="2122" spans="1:22" x14ac:dyDescent="0.3">
      <c r="A2122">
        <v>37027</v>
      </c>
      <c r="B2122">
        <v>1</v>
      </c>
      <c r="C2122" t="s">
        <v>92</v>
      </c>
      <c r="D2122" t="s">
        <v>93</v>
      </c>
      <c r="E2122" s="1">
        <v>44084</v>
      </c>
      <c r="F2122">
        <v>1</v>
      </c>
      <c r="G2122" t="s">
        <v>59</v>
      </c>
      <c r="H2122" t="s">
        <v>60</v>
      </c>
      <c r="I2122" s="3">
        <v>1479</v>
      </c>
      <c r="J2122" s="3">
        <v>1479</v>
      </c>
      <c r="K2122" s="3">
        <v>396</v>
      </c>
      <c r="L2122" t="s">
        <v>9</v>
      </c>
      <c r="M2122">
        <v>17</v>
      </c>
      <c r="N2122" t="s">
        <v>14</v>
      </c>
      <c r="O2122" t="s">
        <v>11</v>
      </c>
      <c r="P2122" t="s">
        <v>15</v>
      </c>
      <c r="Q2122" t="s">
        <v>16</v>
      </c>
      <c r="R2122" t="s">
        <v>16</v>
      </c>
      <c r="S2122" t="s">
        <v>144</v>
      </c>
      <c r="T2122" s="2">
        <f>MASTER[[#This Row],[CANTIDAD]]*MASTER[[#This Row],[PRECIO DE VENTA]]</f>
        <v>1479</v>
      </c>
      <c r="U2122" s="2">
        <f>MASTER[[#This Row],[CANTIDAD]]*MASTER[[#This Row],[COSTO UNITARIO]]</f>
        <v>396</v>
      </c>
      <c r="V2122" s="2">
        <f>MASTER[[#This Row],[MONTO VENDIDO]]-MASTER[[#This Row],[COSTO DE VENTA]]</f>
        <v>1083</v>
      </c>
    </row>
    <row r="2123" spans="1:22" x14ac:dyDescent="0.3">
      <c r="A2123">
        <v>37065</v>
      </c>
      <c r="B2123">
        <v>1</v>
      </c>
      <c r="C2123" t="s">
        <v>90</v>
      </c>
      <c r="D2123" t="s">
        <v>91</v>
      </c>
      <c r="E2123" s="1">
        <v>44084</v>
      </c>
      <c r="F2123">
        <v>1</v>
      </c>
      <c r="G2123" t="s">
        <v>27</v>
      </c>
      <c r="H2123" t="s">
        <v>28</v>
      </c>
      <c r="I2123" s="3">
        <v>1844</v>
      </c>
      <c r="J2123" s="3">
        <v>1844</v>
      </c>
      <c r="K2123" s="3">
        <v>420</v>
      </c>
      <c r="L2123" t="s">
        <v>9</v>
      </c>
      <c r="M2123">
        <v>5</v>
      </c>
      <c r="N2123" t="s">
        <v>85</v>
      </c>
      <c r="O2123" t="s">
        <v>81</v>
      </c>
      <c r="P2123" t="s">
        <v>12</v>
      </c>
      <c r="Q2123" t="s">
        <v>13</v>
      </c>
      <c r="R2123" t="s">
        <v>13</v>
      </c>
      <c r="S2123" t="s">
        <v>144</v>
      </c>
      <c r="T2123" s="2">
        <f>MASTER[[#This Row],[CANTIDAD]]*MASTER[[#This Row],[PRECIO DE VENTA]]</f>
        <v>1844</v>
      </c>
      <c r="U2123" s="2">
        <f>MASTER[[#This Row],[CANTIDAD]]*MASTER[[#This Row],[COSTO UNITARIO]]</f>
        <v>420</v>
      </c>
      <c r="V2123" s="2">
        <f>MASTER[[#This Row],[MONTO VENDIDO]]-MASTER[[#This Row],[COSTO DE VENTA]]</f>
        <v>1424</v>
      </c>
    </row>
    <row r="2124" spans="1:22" x14ac:dyDescent="0.3">
      <c r="A2124">
        <v>37076</v>
      </c>
      <c r="B2124">
        <v>1</v>
      </c>
      <c r="C2124" t="s">
        <v>96</v>
      </c>
      <c r="D2124" t="s">
        <v>97</v>
      </c>
      <c r="E2124" s="1">
        <v>44084</v>
      </c>
      <c r="F2124">
        <v>1</v>
      </c>
      <c r="G2124" t="s">
        <v>29</v>
      </c>
      <c r="H2124" t="s">
        <v>30</v>
      </c>
      <c r="I2124" s="3">
        <v>1196</v>
      </c>
      <c r="J2124" s="3">
        <v>1196</v>
      </c>
      <c r="K2124" s="3">
        <v>397</v>
      </c>
      <c r="L2124" t="s">
        <v>98</v>
      </c>
      <c r="M2124">
        <v>16</v>
      </c>
      <c r="N2124" t="s">
        <v>17</v>
      </c>
      <c r="O2124" t="s">
        <v>11</v>
      </c>
      <c r="P2124" t="s">
        <v>18</v>
      </c>
      <c r="Q2124" t="s">
        <v>19</v>
      </c>
      <c r="R2124" t="s">
        <v>138</v>
      </c>
      <c r="S2124" t="s">
        <v>144</v>
      </c>
      <c r="T2124" s="2">
        <f>MASTER[[#This Row],[CANTIDAD]]*MASTER[[#This Row],[PRECIO DE VENTA]]</f>
        <v>1196</v>
      </c>
      <c r="U2124" s="2">
        <f>MASTER[[#This Row],[CANTIDAD]]*MASTER[[#This Row],[COSTO UNITARIO]]</f>
        <v>397</v>
      </c>
      <c r="V2124" s="2">
        <f>MASTER[[#This Row],[MONTO VENDIDO]]-MASTER[[#This Row],[COSTO DE VENTA]]</f>
        <v>799</v>
      </c>
    </row>
    <row r="2125" spans="1:22" x14ac:dyDescent="0.3">
      <c r="A2125">
        <v>37079</v>
      </c>
      <c r="B2125">
        <v>1</v>
      </c>
      <c r="C2125" t="s">
        <v>99</v>
      </c>
      <c r="D2125" t="s">
        <v>100</v>
      </c>
      <c r="E2125" s="1">
        <v>44084</v>
      </c>
      <c r="F2125">
        <v>1</v>
      </c>
      <c r="G2125" t="s">
        <v>53</v>
      </c>
      <c r="H2125" t="s">
        <v>54</v>
      </c>
      <c r="I2125" s="3">
        <v>1459</v>
      </c>
      <c r="J2125" s="3">
        <v>1459</v>
      </c>
      <c r="K2125" s="3">
        <v>386</v>
      </c>
      <c r="L2125" t="s">
        <v>98</v>
      </c>
      <c r="M2125">
        <v>4</v>
      </c>
      <c r="N2125" t="s">
        <v>82</v>
      </c>
      <c r="O2125" t="s">
        <v>81</v>
      </c>
      <c r="P2125" t="s">
        <v>71</v>
      </c>
      <c r="Q2125" t="s">
        <v>72</v>
      </c>
      <c r="R2125" t="s">
        <v>139</v>
      </c>
      <c r="S2125" t="s">
        <v>144</v>
      </c>
      <c r="T2125" s="2">
        <f>MASTER[[#This Row],[CANTIDAD]]*MASTER[[#This Row],[PRECIO DE VENTA]]</f>
        <v>1459</v>
      </c>
      <c r="U2125" s="2">
        <f>MASTER[[#This Row],[CANTIDAD]]*MASTER[[#This Row],[COSTO UNITARIO]]</f>
        <v>386</v>
      </c>
      <c r="V2125" s="2">
        <f>MASTER[[#This Row],[MONTO VENDIDO]]-MASTER[[#This Row],[COSTO DE VENTA]]</f>
        <v>1073</v>
      </c>
    </row>
    <row r="2126" spans="1:22" x14ac:dyDescent="0.3">
      <c r="A2126">
        <v>37079</v>
      </c>
      <c r="B2126">
        <v>2</v>
      </c>
      <c r="C2126" t="s">
        <v>99</v>
      </c>
      <c r="D2126" t="s">
        <v>100</v>
      </c>
      <c r="E2126" s="1">
        <v>44084</v>
      </c>
      <c r="F2126">
        <v>1</v>
      </c>
      <c r="G2126" t="s">
        <v>24</v>
      </c>
      <c r="H2126" t="s">
        <v>25</v>
      </c>
      <c r="I2126" s="3">
        <v>1459</v>
      </c>
      <c r="J2126" s="3">
        <v>1459</v>
      </c>
      <c r="K2126" s="3">
        <v>386</v>
      </c>
      <c r="L2126" t="s">
        <v>98</v>
      </c>
      <c r="M2126">
        <v>4</v>
      </c>
      <c r="N2126" t="s">
        <v>82</v>
      </c>
      <c r="O2126" t="s">
        <v>81</v>
      </c>
      <c r="P2126" t="s">
        <v>71</v>
      </c>
      <c r="Q2126" t="s">
        <v>72</v>
      </c>
      <c r="R2126" t="s">
        <v>139</v>
      </c>
      <c r="S2126" t="s">
        <v>144</v>
      </c>
      <c r="T2126" s="2">
        <f>MASTER[[#This Row],[CANTIDAD]]*MASTER[[#This Row],[PRECIO DE VENTA]]</f>
        <v>1459</v>
      </c>
      <c r="U2126" s="2">
        <f>MASTER[[#This Row],[CANTIDAD]]*MASTER[[#This Row],[COSTO UNITARIO]]</f>
        <v>386</v>
      </c>
      <c r="V2126" s="2">
        <f>MASTER[[#This Row],[MONTO VENDIDO]]-MASTER[[#This Row],[COSTO DE VENTA]]</f>
        <v>1073</v>
      </c>
    </row>
    <row r="2127" spans="1:22" x14ac:dyDescent="0.3">
      <c r="A2127">
        <v>37089</v>
      </c>
      <c r="B2127">
        <v>1</v>
      </c>
      <c r="C2127" t="s">
        <v>96</v>
      </c>
      <c r="D2127" t="s">
        <v>97</v>
      </c>
      <c r="E2127" s="1">
        <v>44084</v>
      </c>
      <c r="F2127">
        <v>1</v>
      </c>
      <c r="G2127" t="s">
        <v>61</v>
      </c>
      <c r="H2127" t="s">
        <v>62</v>
      </c>
      <c r="I2127" s="3">
        <v>1272</v>
      </c>
      <c r="J2127" s="3">
        <v>1272</v>
      </c>
      <c r="K2127" s="3">
        <v>397</v>
      </c>
      <c r="L2127" t="s">
        <v>98</v>
      </c>
      <c r="M2127">
        <v>4</v>
      </c>
      <c r="N2127" t="s">
        <v>82</v>
      </c>
      <c r="O2127" t="s">
        <v>81</v>
      </c>
      <c r="P2127" t="s">
        <v>71</v>
      </c>
      <c r="Q2127" t="s">
        <v>72</v>
      </c>
      <c r="R2127" t="s">
        <v>139</v>
      </c>
      <c r="S2127" t="s">
        <v>144</v>
      </c>
      <c r="T2127" s="2">
        <f>MASTER[[#This Row],[CANTIDAD]]*MASTER[[#This Row],[PRECIO DE VENTA]]</f>
        <v>1272</v>
      </c>
      <c r="U2127" s="2">
        <f>MASTER[[#This Row],[CANTIDAD]]*MASTER[[#This Row],[COSTO UNITARIO]]</f>
        <v>397</v>
      </c>
      <c r="V2127" s="2">
        <f>MASTER[[#This Row],[MONTO VENDIDO]]-MASTER[[#This Row],[COSTO DE VENTA]]</f>
        <v>875</v>
      </c>
    </row>
    <row r="2128" spans="1:22" x14ac:dyDescent="0.3">
      <c r="A2128">
        <v>37113</v>
      </c>
      <c r="B2128">
        <v>1</v>
      </c>
      <c r="C2128" t="s">
        <v>101</v>
      </c>
      <c r="D2128" t="s">
        <v>102</v>
      </c>
      <c r="E2128" s="1">
        <v>44085</v>
      </c>
      <c r="F2128">
        <v>1</v>
      </c>
      <c r="G2128" t="s">
        <v>53</v>
      </c>
      <c r="H2128" t="s">
        <v>54</v>
      </c>
      <c r="I2128" s="3">
        <v>1212</v>
      </c>
      <c r="J2128" s="3">
        <v>1212</v>
      </c>
      <c r="K2128" s="3">
        <v>442</v>
      </c>
      <c r="L2128" t="s">
        <v>98</v>
      </c>
      <c r="M2128">
        <v>2</v>
      </c>
      <c r="N2128" t="s">
        <v>86</v>
      </c>
      <c r="O2128" t="s">
        <v>81</v>
      </c>
      <c r="P2128" t="s">
        <v>71</v>
      </c>
      <c r="Q2128" t="s">
        <v>72</v>
      </c>
      <c r="R2128" t="s">
        <v>139</v>
      </c>
      <c r="S2128" t="s">
        <v>144</v>
      </c>
      <c r="T2128" s="2">
        <f>MASTER[[#This Row],[CANTIDAD]]*MASTER[[#This Row],[PRECIO DE VENTA]]</f>
        <v>1212</v>
      </c>
      <c r="U2128" s="2">
        <f>MASTER[[#This Row],[CANTIDAD]]*MASTER[[#This Row],[COSTO UNITARIO]]</f>
        <v>442</v>
      </c>
      <c r="V2128" s="2">
        <f>MASTER[[#This Row],[MONTO VENDIDO]]-MASTER[[#This Row],[COSTO DE VENTA]]</f>
        <v>770</v>
      </c>
    </row>
    <row r="2129" spans="1:22" x14ac:dyDescent="0.3">
      <c r="A2129">
        <v>37127</v>
      </c>
      <c r="B2129">
        <v>1</v>
      </c>
      <c r="C2129" t="s">
        <v>116</v>
      </c>
      <c r="D2129" t="s">
        <v>117</v>
      </c>
      <c r="E2129" s="1">
        <v>44085</v>
      </c>
      <c r="F2129">
        <v>1</v>
      </c>
      <c r="G2129" t="s">
        <v>22</v>
      </c>
      <c r="H2129" t="s">
        <v>23</v>
      </c>
      <c r="I2129" s="3">
        <v>1738</v>
      </c>
      <c r="J2129" s="3">
        <v>1738</v>
      </c>
      <c r="K2129" s="3">
        <v>388</v>
      </c>
      <c r="L2129" t="s">
        <v>113</v>
      </c>
      <c r="M2129">
        <v>19</v>
      </c>
      <c r="N2129" t="s">
        <v>89</v>
      </c>
      <c r="O2129" t="s">
        <v>81</v>
      </c>
      <c r="P2129" t="s">
        <v>15</v>
      </c>
      <c r="Q2129" t="s">
        <v>16</v>
      </c>
      <c r="R2129" t="s">
        <v>16</v>
      </c>
      <c r="S2129" t="s">
        <v>144</v>
      </c>
      <c r="T2129" s="2">
        <f>MASTER[[#This Row],[CANTIDAD]]*MASTER[[#This Row],[PRECIO DE VENTA]]</f>
        <v>1738</v>
      </c>
      <c r="U2129" s="2">
        <f>MASTER[[#This Row],[CANTIDAD]]*MASTER[[#This Row],[COSTO UNITARIO]]</f>
        <v>388</v>
      </c>
      <c r="V2129" s="2">
        <f>MASTER[[#This Row],[MONTO VENDIDO]]-MASTER[[#This Row],[COSTO DE VENTA]]</f>
        <v>1350</v>
      </c>
    </row>
    <row r="2130" spans="1:22" x14ac:dyDescent="0.3">
      <c r="A2130">
        <v>37132</v>
      </c>
      <c r="B2130">
        <v>1</v>
      </c>
      <c r="C2130" t="s">
        <v>121</v>
      </c>
      <c r="D2130" t="s">
        <v>122</v>
      </c>
      <c r="E2130" s="1">
        <v>44085</v>
      </c>
      <c r="F2130">
        <v>1</v>
      </c>
      <c r="G2130" t="s">
        <v>47</v>
      </c>
      <c r="H2130" t="s">
        <v>48</v>
      </c>
      <c r="I2130" s="3">
        <v>1069</v>
      </c>
      <c r="J2130" s="3">
        <v>1069</v>
      </c>
      <c r="K2130" s="3">
        <v>460</v>
      </c>
      <c r="L2130" t="s">
        <v>120</v>
      </c>
      <c r="M2130">
        <v>19</v>
      </c>
      <c r="N2130" t="s">
        <v>89</v>
      </c>
      <c r="O2130" t="s">
        <v>81</v>
      </c>
      <c r="P2130" t="s">
        <v>15</v>
      </c>
      <c r="Q2130" t="s">
        <v>16</v>
      </c>
      <c r="R2130" t="s">
        <v>16</v>
      </c>
      <c r="S2130" t="s">
        <v>144</v>
      </c>
      <c r="T2130" s="2">
        <f>MASTER[[#This Row],[CANTIDAD]]*MASTER[[#This Row],[PRECIO DE VENTA]]</f>
        <v>1069</v>
      </c>
      <c r="U2130" s="2">
        <f>MASTER[[#This Row],[CANTIDAD]]*MASTER[[#This Row],[COSTO UNITARIO]]</f>
        <v>460</v>
      </c>
      <c r="V2130" s="2">
        <f>MASTER[[#This Row],[MONTO VENDIDO]]-MASTER[[#This Row],[COSTO DE VENTA]]</f>
        <v>609</v>
      </c>
    </row>
    <row r="2131" spans="1:22" x14ac:dyDescent="0.3">
      <c r="A2131">
        <v>37135</v>
      </c>
      <c r="B2131">
        <v>1</v>
      </c>
      <c r="C2131" t="s">
        <v>109</v>
      </c>
      <c r="D2131" t="s">
        <v>110</v>
      </c>
      <c r="E2131" s="1">
        <v>44085</v>
      </c>
      <c r="F2131">
        <v>1</v>
      </c>
      <c r="G2131" t="s">
        <v>22</v>
      </c>
      <c r="H2131" t="s">
        <v>23</v>
      </c>
      <c r="I2131" s="3">
        <v>1128</v>
      </c>
      <c r="J2131" s="3">
        <v>1128</v>
      </c>
      <c r="K2131" s="3">
        <v>387</v>
      </c>
      <c r="L2131" t="s">
        <v>98</v>
      </c>
      <c r="M2131">
        <v>6</v>
      </c>
      <c r="N2131" t="s">
        <v>75</v>
      </c>
      <c r="O2131" t="s">
        <v>70</v>
      </c>
      <c r="P2131" t="s">
        <v>12</v>
      </c>
      <c r="Q2131" t="s">
        <v>13</v>
      </c>
      <c r="R2131" t="s">
        <v>13</v>
      </c>
      <c r="S2131" t="s">
        <v>144</v>
      </c>
      <c r="T2131" s="2">
        <f>MASTER[[#This Row],[CANTIDAD]]*MASTER[[#This Row],[PRECIO DE VENTA]]</f>
        <v>1128</v>
      </c>
      <c r="U2131" s="2">
        <f>MASTER[[#This Row],[CANTIDAD]]*MASTER[[#This Row],[COSTO UNITARIO]]</f>
        <v>387</v>
      </c>
      <c r="V2131" s="2">
        <f>MASTER[[#This Row],[MONTO VENDIDO]]-MASTER[[#This Row],[COSTO DE VENTA]]</f>
        <v>741</v>
      </c>
    </row>
    <row r="2132" spans="1:22" x14ac:dyDescent="0.3">
      <c r="A2132">
        <v>37176</v>
      </c>
      <c r="B2132">
        <v>1</v>
      </c>
      <c r="C2132" t="s">
        <v>5</v>
      </c>
      <c r="D2132" t="s">
        <v>6</v>
      </c>
      <c r="E2132" s="1">
        <v>44085</v>
      </c>
      <c r="F2132">
        <v>1</v>
      </c>
      <c r="G2132" t="s">
        <v>35</v>
      </c>
      <c r="H2132" t="s">
        <v>36</v>
      </c>
      <c r="I2132" s="3">
        <v>1507</v>
      </c>
      <c r="J2132" s="3">
        <v>1507</v>
      </c>
      <c r="K2132" s="3">
        <v>393</v>
      </c>
      <c r="L2132" t="s">
        <v>9</v>
      </c>
      <c r="M2132">
        <v>7</v>
      </c>
      <c r="N2132" t="s">
        <v>84</v>
      </c>
      <c r="O2132" t="s">
        <v>81</v>
      </c>
      <c r="P2132" t="s">
        <v>12</v>
      </c>
      <c r="Q2132" t="s">
        <v>13</v>
      </c>
      <c r="R2132" t="s">
        <v>13</v>
      </c>
      <c r="S2132" t="s">
        <v>144</v>
      </c>
      <c r="T2132" s="2">
        <f>MASTER[[#This Row],[CANTIDAD]]*MASTER[[#This Row],[PRECIO DE VENTA]]</f>
        <v>1507</v>
      </c>
      <c r="U2132" s="2">
        <f>MASTER[[#This Row],[CANTIDAD]]*MASTER[[#This Row],[COSTO UNITARIO]]</f>
        <v>393</v>
      </c>
      <c r="V2132" s="2">
        <f>MASTER[[#This Row],[MONTO VENDIDO]]-MASTER[[#This Row],[COSTO DE VENTA]]</f>
        <v>1114</v>
      </c>
    </row>
    <row r="2133" spans="1:22" x14ac:dyDescent="0.3">
      <c r="A2133">
        <v>37193</v>
      </c>
      <c r="B2133">
        <v>1</v>
      </c>
      <c r="C2133" t="s">
        <v>116</v>
      </c>
      <c r="D2133" t="s">
        <v>117</v>
      </c>
      <c r="E2133" s="1">
        <v>44085</v>
      </c>
      <c r="F2133">
        <v>1</v>
      </c>
      <c r="G2133" t="s">
        <v>61</v>
      </c>
      <c r="H2133" t="s">
        <v>62</v>
      </c>
      <c r="I2133" s="3">
        <v>1738</v>
      </c>
      <c r="J2133" s="3">
        <v>1738</v>
      </c>
      <c r="K2133" s="3">
        <v>388</v>
      </c>
      <c r="L2133" t="s">
        <v>113</v>
      </c>
      <c r="M2133">
        <v>10</v>
      </c>
      <c r="N2133" t="s">
        <v>83</v>
      </c>
      <c r="O2133" t="s">
        <v>81</v>
      </c>
      <c r="P2133" t="s">
        <v>12</v>
      </c>
      <c r="Q2133" t="s">
        <v>13</v>
      </c>
      <c r="R2133" t="s">
        <v>13</v>
      </c>
      <c r="S2133" t="s">
        <v>144</v>
      </c>
      <c r="T2133" s="2">
        <f>MASTER[[#This Row],[CANTIDAD]]*MASTER[[#This Row],[PRECIO DE VENTA]]</f>
        <v>1738</v>
      </c>
      <c r="U2133" s="2">
        <f>MASTER[[#This Row],[CANTIDAD]]*MASTER[[#This Row],[COSTO UNITARIO]]</f>
        <v>388</v>
      </c>
      <c r="V2133" s="2">
        <f>MASTER[[#This Row],[MONTO VENDIDO]]-MASTER[[#This Row],[COSTO DE VENTA]]</f>
        <v>1350</v>
      </c>
    </row>
    <row r="2134" spans="1:22" x14ac:dyDescent="0.3">
      <c r="A2134">
        <v>37215</v>
      </c>
      <c r="B2134">
        <v>1</v>
      </c>
      <c r="C2134" t="s">
        <v>105</v>
      </c>
      <c r="D2134" t="s">
        <v>106</v>
      </c>
      <c r="E2134" s="1">
        <v>44086</v>
      </c>
      <c r="F2134">
        <v>1</v>
      </c>
      <c r="G2134" t="s">
        <v>57</v>
      </c>
      <c r="H2134" t="s">
        <v>58</v>
      </c>
      <c r="I2134" s="3">
        <v>1865</v>
      </c>
      <c r="J2134" s="3">
        <v>1865</v>
      </c>
      <c r="K2134" s="3">
        <v>459</v>
      </c>
      <c r="L2134" t="s">
        <v>98</v>
      </c>
      <c r="M2134">
        <v>15</v>
      </c>
      <c r="N2134" t="s">
        <v>88</v>
      </c>
      <c r="O2134" t="s">
        <v>81</v>
      </c>
      <c r="P2134" t="s">
        <v>18</v>
      </c>
      <c r="Q2134" t="s">
        <v>19</v>
      </c>
      <c r="R2134" t="s">
        <v>138</v>
      </c>
      <c r="S2134" t="s">
        <v>144</v>
      </c>
      <c r="T2134" s="2">
        <f>MASTER[[#This Row],[CANTIDAD]]*MASTER[[#This Row],[PRECIO DE VENTA]]</f>
        <v>1865</v>
      </c>
      <c r="U2134" s="2">
        <f>MASTER[[#This Row],[CANTIDAD]]*MASTER[[#This Row],[COSTO UNITARIO]]</f>
        <v>459</v>
      </c>
      <c r="V2134" s="2">
        <f>MASTER[[#This Row],[MONTO VENDIDO]]-MASTER[[#This Row],[COSTO DE VENTA]]</f>
        <v>1406</v>
      </c>
    </row>
    <row r="2135" spans="1:22" x14ac:dyDescent="0.3">
      <c r="A2135">
        <v>37216</v>
      </c>
      <c r="B2135">
        <v>1</v>
      </c>
      <c r="C2135" t="s">
        <v>116</v>
      </c>
      <c r="D2135" t="s">
        <v>117</v>
      </c>
      <c r="E2135" s="1">
        <v>44086</v>
      </c>
      <c r="F2135">
        <v>1</v>
      </c>
      <c r="G2135" t="s">
        <v>63</v>
      </c>
      <c r="H2135" t="s">
        <v>64</v>
      </c>
      <c r="I2135" s="3">
        <v>1999</v>
      </c>
      <c r="J2135" s="3">
        <v>1999</v>
      </c>
      <c r="K2135" s="3">
        <v>388</v>
      </c>
      <c r="L2135" t="s">
        <v>113</v>
      </c>
      <c r="M2135">
        <v>13</v>
      </c>
      <c r="N2135" t="s">
        <v>78</v>
      </c>
      <c r="O2135" t="s">
        <v>70</v>
      </c>
      <c r="P2135" t="s">
        <v>18</v>
      </c>
      <c r="Q2135" t="s">
        <v>19</v>
      </c>
      <c r="R2135" t="s">
        <v>138</v>
      </c>
      <c r="S2135" t="s">
        <v>144</v>
      </c>
      <c r="T2135" s="2">
        <f>MASTER[[#This Row],[CANTIDAD]]*MASTER[[#This Row],[PRECIO DE VENTA]]</f>
        <v>1999</v>
      </c>
      <c r="U2135" s="2">
        <f>MASTER[[#This Row],[CANTIDAD]]*MASTER[[#This Row],[COSTO UNITARIO]]</f>
        <v>388</v>
      </c>
      <c r="V2135" s="2">
        <f>MASTER[[#This Row],[MONTO VENDIDO]]-MASTER[[#This Row],[COSTO DE VENTA]]</f>
        <v>1611</v>
      </c>
    </row>
    <row r="2136" spans="1:22" x14ac:dyDescent="0.3">
      <c r="A2136">
        <v>37218</v>
      </c>
      <c r="B2136">
        <v>1</v>
      </c>
      <c r="C2136" t="s">
        <v>107</v>
      </c>
      <c r="D2136" t="s">
        <v>108</v>
      </c>
      <c r="E2136" s="1">
        <v>44086</v>
      </c>
      <c r="F2136">
        <v>1</v>
      </c>
      <c r="G2136" t="s">
        <v>65</v>
      </c>
      <c r="H2136" t="s">
        <v>66</v>
      </c>
      <c r="I2136" s="3">
        <v>1333</v>
      </c>
      <c r="J2136" s="3">
        <v>1333</v>
      </c>
      <c r="K2136" s="3">
        <v>380</v>
      </c>
      <c r="L2136" t="s">
        <v>98</v>
      </c>
      <c r="M2136">
        <v>4</v>
      </c>
      <c r="N2136" t="s">
        <v>82</v>
      </c>
      <c r="O2136" t="s">
        <v>81</v>
      </c>
      <c r="P2136" t="s">
        <v>71</v>
      </c>
      <c r="Q2136" t="s">
        <v>72</v>
      </c>
      <c r="R2136" t="s">
        <v>139</v>
      </c>
      <c r="S2136" t="s">
        <v>144</v>
      </c>
      <c r="T2136" s="2">
        <f>MASTER[[#This Row],[CANTIDAD]]*MASTER[[#This Row],[PRECIO DE VENTA]]</f>
        <v>1333</v>
      </c>
      <c r="U2136" s="2">
        <f>MASTER[[#This Row],[CANTIDAD]]*MASTER[[#This Row],[COSTO UNITARIO]]</f>
        <v>380</v>
      </c>
      <c r="V2136" s="2">
        <f>MASTER[[#This Row],[MONTO VENDIDO]]-MASTER[[#This Row],[COSTO DE VENTA]]</f>
        <v>953</v>
      </c>
    </row>
    <row r="2137" spans="1:22" x14ac:dyDescent="0.3">
      <c r="A2137">
        <v>37222</v>
      </c>
      <c r="B2137">
        <v>1</v>
      </c>
      <c r="C2137" t="s">
        <v>109</v>
      </c>
      <c r="D2137" t="s">
        <v>110</v>
      </c>
      <c r="E2137" s="1">
        <v>44086</v>
      </c>
      <c r="F2137">
        <v>1</v>
      </c>
      <c r="G2137" t="s">
        <v>45</v>
      </c>
      <c r="H2137" t="s">
        <v>46</v>
      </c>
      <c r="I2137" s="3">
        <v>1064</v>
      </c>
      <c r="J2137" s="3">
        <v>1064</v>
      </c>
      <c r="K2137" s="3">
        <v>387</v>
      </c>
      <c r="L2137" t="s">
        <v>98</v>
      </c>
      <c r="M2137">
        <v>5</v>
      </c>
      <c r="N2137" t="s">
        <v>85</v>
      </c>
      <c r="O2137" t="s">
        <v>81</v>
      </c>
      <c r="P2137" t="s">
        <v>12</v>
      </c>
      <c r="Q2137" t="s">
        <v>13</v>
      </c>
      <c r="R2137" t="s">
        <v>13</v>
      </c>
      <c r="S2137" t="s">
        <v>144</v>
      </c>
      <c r="T2137" s="2">
        <f>MASTER[[#This Row],[CANTIDAD]]*MASTER[[#This Row],[PRECIO DE VENTA]]</f>
        <v>1064</v>
      </c>
      <c r="U2137" s="2">
        <f>MASTER[[#This Row],[CANTIDAD]]*MASTER[[#This Row],[COSTO UNITARIO]]</f>
        <v>387</v>
      </c>
      <c r="V2137" s="2">
        <f>MASTER[[#This Row],[MONTO VENDIDO]]-MASTER[[#This Row],[COSTO DE VENTA]]</f>
        <v>677</v>
      </c>
    </row>
    <row r="2138" spans="1:22" x14ac:dyDescent="0.3">
      <c r="A2138">
        <v>37230</v>
      </c>
      <c r="B2138">
        <v>1</v>
      </c>
      <c r="C2138" t="s">
        <v>90</v>
      </c>
      <c r="D2138" t="s">
        <v>91</v>
      </c>
      <c r="E2138" s="1">
        <v>44086</v>
      </c>
      <c r="F2138">
        <v>1</v>
      </c>
      <c r="G2138" t="s">
        <v>20</v>
      </c>
      <c r="H2138" t="s">
        <v>21</v>
      </c>
      <c r="I2138" s="3">
        <v>1844</v>
      </c>
      <c r="J2138" s="3">
        <v>1844</v>
      </c>
      <c r="K2138" s="3">
        <v>420</v>
      </c>
      <c r="L2138" t="s">
        <v>9</v>
      </c>
      <c r="M2138">
        <v>10</v>
      </c>
      <c r="N2138" t="s">
        <v>83</v>
      </c>
      <c r="O2138" t="s">
        <v>81</v>
      </c>
      <c r="P2138" t="s">
        <v>12</v>
      </c>
      <c r="Q2138" t="s">
        <v>13</v>
      </c>
      <c r="R2138" t="s">
        <v>13</v>
      </c>
      <c r="S2138" t="s">
        <v>144</v>
      </c>
      <c r="T2138" s="2">
        <f>MASTER[[#This Row],[CANTIDAD]]*MASTER[[#This Row],[PRECIO DE VENTA]]</f>
        <v>1844</v>
      </c>
      <c r="U2138" s="2">
        <f>MASTER[[#This Row],[CANTIDAD]]*MASTER[[#This Row],[COSTO UNITARIO]]</f>
        <v>420</v>
      </c>
      <c r="V2138" s="2">
        <f>MASTER[[#This Row],[MONTO VENDIDO]]-MASTER[[#This Row],[COSTO DE VENTA]]</f>
        <v>1424</v>
      </c>
    </row>
    <row r="2139" spans="1:22" x14ac:dyDescent="0.3">
      <c r="A2139">
        <v>37243</v>
      </c>
      <c r="B2139">
        <v>1</v>
      </c>
      <c r="C2139" t="s">
        <v>109</v>
      </c>
      <c r="D2139" t="s">
        <v>110</v>
      </c>
      <c r="E2139" s="1">
        <v>44086</v>
      </c>
      <c r="F2139">
        <v>1</v>
      </c>
      <c r="G2139" t="s">
        <v>73</v>
      </c>
      <c r="H2139" t="s">
        <v>74</v>
      </c>
      <c r="I2139" s="3">
        <v>1128</v>
      </c>
      <c r="J2139" s="3">
        <v>1128</v>
      </c>
      <c r="K2139" s="3">
        <v>387</v>
      </c>
      <c r="L2139" t="s">
        <v>98</v>
      </c>
      <c r="M2139">
        <v>6</v>
      </c>
      <c r="N2139" t="s">
        <v>75</v>
      </c>
      <c r="O2139" t="s">
        <v>70</v>
      </c>
      <c r="P2139" t="s">
        <v>12</v>
      </c>
      <c r="Q2139" t="s">
        <v>13</v>
      </c>
      <c r="R2139" t="s">
        <v>13</v>
      </c>
      <c r="S2139" t="s">
        <v>144</v>
      </c>
      <c r="T2139" s="2">
        <f>MASTER[[#This Row],[CANTIDAD]]*MASTER[[#This Row],[PRECIO DE VENTA]]</f>
        <v>1128</v>
      </c>
      <c r="U2139" s="2">
        <f>MASTER[[#This Row],[CANTIDAD]]*MASTER[[#This Row],[COSTO UNITARIO]]</f>
        <v>387</v>
      </c>
      <c r="V2139" s="2">
        <f>MASTER[[#This Row],[MONTO VENDIDO]]-MASTER[[#This Row],[COSTO DE VENTA]]</f>
        <v>741</v>
      </c>
    </row>
    <row r="2140" spans="1:22" x14ac:dyDescent="0.3">
      <c r="A2140">
        <v>37249</v>
      </c>
      <c r="B2140">
        <v>1</v>
      </c>
      <c r="C2140" t="s">
        <v>107</v>
      </c>
      <c r="D2140" t="s">
        <v>108</v>
      </c>
      <c r="E2140" s="1">
        <v>44086</v>
      </c>
      <c r="F2140">
        <v>1</v>
      </c>
      <c r="G2140" t="s">
        <v>73</v>
      </c>
      <c r="H2140" t="s">
        <v>74</v>
      </c>
      <c r="I2140" s="3">
        <v>1240</v>
      </c>
      <c r="J2140" s="3">
        <v>1240</v>
      </c>
      <c r="K2140" s="3">
        <v>380</v>
      </c>
      <c r="L2140" t="s">
        <v>98</v>
      </c>
      <c r="M2140">
        <v>16</v>
      </c>
      <c r="N2140" t="s">
        <v>17</v>
      </c>
      <c r="O2140" t="s">
        <v>11</v>
      </c>
      <c r="P2140" t="s">
        <v>18</v>
      </c>
      <c r="Q2140" t="s">
        <v>19</v>
      </c>
      <c r="R2140" t="s">
        <v>138</v>
      </c>
      <c r="S2140" t="s">
        <v>144</v>
      </c>
      <c r="T2140" s="2">
        <f>MASTER[[#This Row],[CANTIDAD]]*MASTER[[#This Row],[PRECIO DE VENTA]]</f>
        <v>1240</v>
      </c>
      <c r="U2140" s="2">
        <f>MASTER[[#This Row],[CANTIDAD]]*MASTER[[#This Row],[COSTO UNITARIO]]</f>
        <v>380</v>
      </c>
      <c r="V2140" s="2">
        <f>MASTER[[#This Row],[MONTO VENDIDO]]-MASTER[[#This Row],[COSTO DE VENTA]]</f>
        <v>860</v>
      </c>
    </row>
    <row r="2141" spans="1:22" x14ac:dyDescent="0.3">
      <c r="A2141">
        <v>37262</v>
      </c>
      <c r="B2141">
        <v>1</v>
      </c>
      <c r="C2141" t="s">
        <v>99</v>
      </c>
      <c r="D2141" t="s">
        <v>100</v>
      </c>
      <c r="E2141" s="1">
        <v>44086</v>
      </c>
      <c r="F2141">
        <v>3</v>
      </c>
      <c r="G2141" t="s">
        <v>73</v>
      </c>
      <c r="H2141" t="s">
        <v>74</v>
      </c>
      <c r="I2141" s="3">
        <v>1328</v>
      </c>
      <c r="J2141" s="3">
        <v>1328</v>
      </c>
      <c r="K2141" s="3">
        <v>386</v>
      </c>
      <c r="L2141" t="s">
        <v>98</v>
      </c>
      <c r="M2141">
        <v>12</v>
      </c>
      <c r="N2141" t="s">
        <v>26</v>
      </c>
      <c r="O2141" t="s">
        <v>11</v>
      </c>
      <c r="P2141" t="s">
        <v>12</v>
      </c>
      <c r="Q2141" t="s">
        <v>13</v>
      </c>
      <c r="R2141" t="s">
        <v>13</v>
      </c>
      <c r="S2141" t="s">
        <v>144</v>
      </c>
      <c r="T2141" s="2">
        <f>MASTER[[#This Row],[CANTIDAD]]*MASTER[[#This Row],[PRECIO DE VENTA]]</f>
        <v>3984</v>
      </c>
      <c r="U2141" s="2">
        <f>MASTER[[#This Row],[CANTIDAD]]*MASTER[[#This Row],[COSTO UNITARIO]]</f>
        <v>1158</v>
      </c>
      <c r="V2141" s="2">
        <f>MASTER[[#This Row],[MONTO VENDIDO]]-MASTER[[#This Row],[COSTO DE VENTA]]</f>
        <v>2826</v>
      </c>
    </row>
    <row r="2142" spans="1:22" x14ac:dyDescent="0.3">
      <c r="A2142">
        <v>37263</v>
      </c>
      <c r="B2142">
        <v>1</v>
      </c>
      <c r="C2142" t="s">
        <v>5</v>
      </c>
      <c r="D2142" t="s">
        <v>6</v>
      </c>
      <c r="E2142" s="1">
        <v>44086</v>
      </c>
      <c r="F2142">
        <v>1</v>
      </c>
      <c r="G2142" t="s">
        <v>7</v>
      </c>
      <c r="H2142" t="s">
        <v>8</v>
      </c>
      <c r="I2142" s="3">
        <v>1507</v>
      </c>
      <c r="J2142" s="3">
        <v>1507</v>
      </c>
      <c r="K2142" s="3">
        <v>393</v>
      </c>
      <c r="L2142" t="s">
        <v>9</v>
      </c>
      <c r="M2142">
        <v>5</v>
      </c>
      <c r="N2142" t="s">
        <v>85</v>
      </c>
      <c r="O2142" t="s">
        <v>81</v>
      </c>
      <c r="P2142" t="s">
        <v>12</v>
      </c>
      <c r="Q2142" t="s">
        <v>13</v>
      </c>
      <c r="R2142" t="s">
        <v>13</v>
      </c>
      <c r="S2142" t="s">
        <v>144</v>
      </c>
      <c r="T2142" s="2">
        <f>MASTER[[#This Row],[CANTIDAD]]*MASTER[[#This Row],[PRECIO DE VENTA]]</f>
        <v>1507</v>
      </c>
      <c r="U2142" s="2">
        <f>MASTER[[#This Row],[CANTIDAD]]*MASTER[[#This Row],[COSTO UNITARIO]]</f>
        <v>393</v>
      </c>
      <c r="V2142" s="2">
        <f>MASTER[[#This Row],[MONTO VENDIDO]]-MASTER[[#This Row],[COSTO DE VENTA]]</f>
        <v>1114</v>
      </c>
    </row>
    <row r="2143" spans="1:22" x14ac:dyDescent="0.3">
      <c r="A2143">
        <v>37293</v>
      </c>
      <c r="B2143">
        <v>1</v>
      </c>
      <c r="C2143" t="s">
        <v>103</v>
      </c>
      <c r="D2143" t="s">
        <v>104</v>
      </c>
      <c r="E2143" s="1">
        <v>44086</v>
      </c>
      <c r="F2143">
        <v>1</v>
      </c>
      <c r="G2143" t="s">
        <v>24</v>
      </c>
      <c r="H2143" t="s">
        <v>25</v>
      </c>
      <c r="I2143" s="3">
        <v>1591</v>
      </c>
      <c r="J2143" s="3">
        <v>1591</v>
      </c>
      <c r="K2143" s="3">
        <v>421</v>
      </c>
      <c r="L2143" t="s">
        <v>98</v>
      </c>
      <c r="M2143">
        <v>10</v>
      </c>
      <c r="N2143" t="s">
        <v>83</v>
      </c>
      <c r="O2143" t="s">
        <v>81</v>
      </c>
      <c r="P2143" t="s">
        <v>12</v>
      </c>
      <c r="Q2143" t="s">
        <v>13</v>
      </c>
      <c r="R2143" t="s">
        <v>13</v>
      </c>
      <c r="S2143" t="s">
        <v>144</v>
      </c>
      <c r="T2143" s="2">
        <f>MASTER[[#This Row],[CANTIDAD]]*MASTER[[#This Row],[PRECIO DE VENTA]]</f>
        <v>1591</v>
      </c>
      <c r="U2143" s="2">
        <f>MASTER[[#This Row],[CANTIDAD]]*MASTER[[#This Row],[COSTO UNITARIO]]</f>
        <v>421</v>
      </c>
      <c r="V2143" s="2">
        <f>MASTER[[#This Row],[MONTO VENDIDO]]-MASTER[[#This Row],[COSTO DE VENTA]]</f>
        <v>1170</v>
      </c>
    </row>
    <row r="2144" spans="1:22" x14ac:dyDescent="0.3">
      <c r="A2144">
        <v>37336</v>
      </c>
      <c r="B2144">
        <v>1</v>
      </c>
      <c r="C2144" t="s">
        <v>114</v>
      </c>
      <c r="D2144" t="s">
        <v>115</v>
      </c>
      <c r="E2144" s="1">
        <v>44086</v>
      </c>
      <c r="F2144">
        <v>1</v>
      </c>
      <c r="G2144" t="s">
        <v>43</v>
      </c>
      <c r="H2144" t="s">
        <v>44</v>
      </c>
      <c r="I2144" s="3">
        <v>2030</v>
      </c>
      <c r="J2144" s="3">
        <v>2030</v>
      </c>
      <c r="K2144" s="3">
        <v>394</v>
      </c>
      <c r="L2144" t="s">
        <v>113</v>
      </c>
      <c r="M2144">
        <v>18</v>
      </c>
      <c r="N2144" t="s">
        <v>79</v>
      </c>
      <c r="O2144" t="s">
        <v>70</v>
      </c>
      <c r="P2144" t="s">
        <v>15</v>
      </c>
      <c r="Q2144" t="s">
        <v>16</v>
      </c>
      <c r="R2144" t="s">
        <v>16</v>
      </c>
      <c r="S2144" t="s">
        <v>144</v>
      </c>
      <c r="T2144" s="2">
        <f>MASTER[[#This Row],[CANTIDAD]]*MASTER[[#This Row],[PRECIO DE VENTA]]</f>
        <v>2030</v>
      </c>
      <c r="U2144" s="2">
        <f>MASTER[[#This Row],[CANTIDAD]]*MASTER[[#This Row],[COSTO UNITARIO]]</f>
        <v>394</v>
      </c>
      <c r="V2144" s="2">
        <f>MASTER[[#This Row],[MONTO VENDIDO]]-MASTER[[#This Row],[COSTO DE VENTA]]</f>
        <v>1636</v>
      </c>
    </row>
    <row r="2145" spans="1:22" x14ac:dyDescent="0.3">
      <c r="A2145">
        <v>37339</v>
      </c>
      <c r="B2145">
        <v>1</v>
      </c>
      <c r="C2145" t="s">
        <v>94</v>
      </c>
      <c r="D2145" t="s">
        <v>95</v>
      </c>
      <c r="E2145" s="1">
        <v>44086</v>
      </c>
      <c r="F2145">
        <v>1</v>
      </c>
      <c r="G2145" t="s">
        <v>51</v>
      </c>
      <c r="H2145" t="s">
        <v>52</v>
      </c>
      <c r="I2145" s="3">
        <v>901</v>
      </c>
      <c r="J2145" s="3">
        <v>837</v>
      </c>
      <c r="K2145" s="3">
        <v>392</v>
      </c>
      <c r="L2145" t="s">
        <v>9</v>
      </c>
      <c r="M2145">
        <v>11</v>
      </c>
      <c r="N2145" t="s">
        <v>10</v>
      </c>
      <c r="O2145" t="s">
        <v>11</v>
      </c>
      <c r="P2145" t="s">
        <v>12</v>
      </c>
      <c r="Q2145" t="s">
        <v>13</v>
      </c>
      <c r="R2145" t="s">
        <v>13</v>
      </c>
      <c r="S2145" t="s">
        <v>144</v>
      </c>
      <c r="T2145" s="2">
        <f>MASTER[[#This Row],[CANTIDAD]]*MASTER[[#This Row],[PRECIO DE VENTA]]</f>
        <v>837</v>
      </c>
      <c r="U2145" s="2">
        <f>MASTER[[#This Row],[CANTIDAD]]*MASTER[[#This Row],[COSTO UNITARIO]]</f>
        <v>392</v>
      </c>
      <c r="V2145" s="2">
        <f>MASTER[[#This Row],[MONTO VENDIDO]]-MASTER[[#This Row],[COSTO DE VENTA]]</f>
        <v>445</v>
      </c>
    </row>
    <row r="2146" spans="1:22" x14ac:dyDescent="0.3">
      <c r="A2146">
        <v>37342</v>
      </c>
      <c r="B2146">
        <v>1</v>
      </c>
      <c r="C2146" t="s">
        <v>118</v>
      </c>
      <c r="D2146" t="s">
        <v>119</v>
      </c>
      <c r="E2146" s="1">
        <v>44086</v>
      </c>
      <c r="F2146">
        <v>1</v>
      </c>
      <c r="G2146" t="s">
        <v>45</v>
      </c>
      <c r="H2146" t="s">
        <v>46</v>
      </c>
      <c r="I2146" s="3">
        <v>900</v>
      </c>
      <c r="J2146" s="3">
        <v>900</v>
      </c>
      <c r="K2146" s="3">
        <v>424</v>
      </c>
      <c r="L2146" t="s">
        <v>120</v>
      </c>
      <c r="M2146">
        <v>15</v>
      </c>
      <c r="N2146" t="s">
        <v>88</v>
      </c>
      <c r="O2146" t="s">
        <v>81</v>
      </c>
      <c r="P2146" t="s">
        <v>18</v>
      </c>
      <c r="Q2146" t="s">
        <v>19</v>
      </c>
      <c r="R2146" t="s">
        <v>138</v>
      </c>
      <c r="S2146" t="s">
        <v>144</v>
      </c>
      <c r="T2146" s="2">
        <f>MASTER[[#This Row],[CANTIDAD]]*MASTER[[#This Row],[PRECIO DE VENTA]]</f>
        <v>900</v>
      </c>
      <c r="U2146" s="2">
        <f>MASTER[[#This Row],[CANTIDAD]]*MASTER[[#This Row],[COSTO UNITARIO]]</f>
        <v>424</v>
      </c>
      <c r="V2146" s="2">
        <f>MASTER[[#This Row],[MONTO VENDIDO]]-MASTER[[#This Row],[COSTO DE VENTA]]</f>
        <v>476</v>
      </c>
    </row>
    <row r="2147" spans="1:22" x14ac:dyDescent="0.3">
      <c r="A2147">
        <v>37344</v>
      </c>
      <c r="B2147">
        <v>1</v>
      </c>
      <c r="C2147" t="s">
        <v>96</v>
      </c>
      <c r="D2147" t="s">
        <v>97</v>
      </c>
      <c r="E2147" s="1">
        <v>44087</v>
      </c>
      <c r="F2147">
        <v>1</v>
      </c>
      <c r="G2147" t="s">
        <v>51</v>
      </c>
      <c r="H2147" t="s">
        <v>52</v>
      </c>
      <c r="I2147" s="3">
        <v>1361</v>
      </c>
      <c r="J2147" s="3">
        <v>1361</v>
      </c>
      <c r="K2147" s="3">
        <v>397</v>
      </c>
      <c r="L2147" t="s">
        <v>98</v>
      </c>
      <c r="M2147">
        <v>6</v>
      </c>
      <c r="N2147" t="s">
        <v>75</v>
      </c>
      <c r="O2147" t="s">
        <v>70</v>
      </c>
      <c r="P2147" t="s">
        <v>12</v>
      </c>
      <c r="Q2147" t="s">
        <v>13</v>
      </c>
      <c r="R2147" t="s">
        <v>13</v>
      </c>
      <c r="S2147" t="s">
        <v>144</v>
      </c>
      <c r="T2147" s="2">
        <f>MASTER[[#This Row],[CANTIDAD]]*MASTER[[#This Row],[PRECIO DE VENTA]]</f>
        <v>1361</v>
      </c>
      <c r="U2147" s="2">
        <f>MASTER[[#This Row],[CANTIDAD]]*MASTER[[#This Row],[COSTO UNITARIO]]</f>
        <v>397</v>
      </c>
      <c r="V2147" s="2">
        <f>MASTER[[#This Row],[MONTO VENDIDO]]-MASTER[[#This Row],[COSTO DE VENTA]]</f>
        <v>964</v>
      </c>
    </row>
    <row r="2148" spans="1:22" x14ac:dyDescent="0.3">
      <c r="A2148">
        <v>37364</v>
      </c>
      <c r="B2148">
        <v>1</v>
      </c>
      <c r="C2148" t="s">
        <v>96</v>
      </c>
      <c r="D2148" t="s">
        <v>97</v>
      </c>
      <c r="E2148" s="1">
        <v>44087</v>
      </c>
      <c r="F2148">
        <v>1</v>
      </c>
      <c r="G2148" t="s">
        <v>51</v>
      </c>
      <c r="H2148" t="s">
        <v>52</v>
      </c>
      <c r="I2148" s="3">
        <v>1272</v>
      </c>
      <c r="J2148" s="3">
        <v>1272</v>
      </c>
      <c r="K2148" s="3">
        <v>397</v>
      </c>
      <c r="L2148" t="s">
        <v>98</v>
      </c>
      <c r="M2148">
        <v>4</v>
      </c>
      <c r="N2148" t="s">
        <v>82</v>
      </c>
      <c r="O2148" t="s">
        <v>81</v>
      </c>
      <c r="P2148" t="s">
        <v>71</v>
      </c>
      <c r="Q2148" t="s">
        <v>72</v>
      </c>
      <c r="R2148" t="s">
        <v>139</v>
      </c>
      <c r="S2148" t="s">
        <v>144</v>
      </c>
      <c r="T2148" s="2">
        <f>MASTER[[#This Row],[CANTIDAD]]*MASTER[[#This Row],[PRECIO DE VENTA]]</f>
        <v>1272</v>
      </c>
      <c r="U2148" s="2">
        <f>MASTER[[#This Row],[CANTIDAD]]*MASTER[[#This Row],[COSTO UNITARIO]]</f>
        <v>397</v>
      </c>
      <c r="V2148" s="2">
        <f>MASTER[[#This Row],[MONTO VENDIDO]]-MASTER[[#This Row],[COSTO DE VENTA]]</f>
        <v>875</v>
      </c>
    </row>
    <row r="2149" spans="1:22" x14ac:dyDescent="0.3">
      <c r="A2149">
        <v>37371</v>
      </c>
      <c r="B2149">
        <v>1</v>
      </c>
      <c r="C2149" t="s">
        <v>92</v>
      </c>
      <c r="D2149" t="s">
        <v>93</v>
      </c>
      <c r="E2149" s="1">
        <v>44087</v>
      </c>
      <c r="F2149">
        <v>1</v>
      </c>
      <c r="G2149" t="s">
        <v>61</v>
      </c>
      <c r="H2149" t="s">
        <v>62</v>
      </c>
      <c r="I2149" s="3">
        <v>1479</v>
      </c>
      <c r="J2149" s="3">
        <v>1479</v>
      </c>
      <c r="K2149" s="3">
        <v>396</v>
      </c>
      <c r="L2149" t="s">
        <v>9</v>
      </c>
      <c r="M2149">
        <v>17</v>
      </c>
      <c r="N2149" t="s">
        <v>14</v>
      </c>
      <c r="O2149" t="s">
        <v>11</v>
      </c>
      <c r="P2149" t="s">
        <v>15</v>
      </c>
      <c r="Q2149" t="s">
        <v>16</v>
      </c>
      <c r="R2149" t="s">
        <v>16</v>
      </c>
      <c r="S2149" t="s">
        <v>144</v>
      </c>
      <c r="T2149" s="2">
        <f>MASTER[[#This Row],[CANTIDAD]]*MASTER[[#This Row],[PRECIO DE VENTA]]</f>
        <v>1479</v>
      </c>
      <c r="U2149" s="2">
        <f>MASTER[[#This Row],[CANTIDAD]]*MASTER[[#This Row],[COSTO UNITARIO]]</f>
        <v>396</v>
      </c>
      <c r="V2149" s="2">
        <f>MASTER[[#This Row],[MONTO VENDIDO]]-MASTER[[#This Row],[COSTO DE VENTA]]</f>
        <v>1083</v>
      </c>
    </row>
    <row r="2150" spans="1:22" x14ac:dyDescent="0.3">
      <c r="A2150">
        <v>37392</v>
      </c>
      <c r="B2150">
        <v>1</v>
      </c>
      <c r="C2150" t="s">
        <v>96</v>
      </c>
      <c r="D2150" t="s">
        <v>97</v>
      </c>
      <c r="E2150" s="1">
        <v>44087</v>
      </c>
      <c r="F2150">
        <v>1</v>
      </c>
      <c r="G2150" t="s">
        <v>47</v>
      </c>
      <c r="H2150" t="s">
        <v>48</v>
      </c>
      <c r="I2150" s="3">
        <v>1272</v>
      </c>
      <c r="J2150" s="3">
        <v>1272</v>
      </c>
      <c r="K2150" s="3">
        <v>397</v>
      </c>
      <c r="L2150" t="s">
        <v>98</v>
      </c>
      <c r="M2150">
        <v>8</v>
      </c>
      <c r="N2150" t="s">
        <v>80</v>
      </c>
      <c r="O2150" t="s">
        <v>81</v>
      </c>
      <c r="P2150" t="s">
        <v>12</v>
      </c>
      <c r="Q2150" t="s">
        <v>13</v>
      </c>
      <c r="R2150" t="s">
        <v>13</v>
      </c>
      <c r="S2150" t="s">
        <v>144</v>
      </c>
      <c r="T2150" s="2">
        <f>MASTER[[#This Row],[CANTIDAD]]*MASTER[[#This Row],[PRECIO DE VENTA]]</f>
        <v>1272</v>
      </c>
      <c r="U2150" s="2">
        <f>MASTER[[#This Row],[CANTIDAD]]*MASTER[[#This Row],[COSTO UNITARIO]]</f>
        <v>397</v>
      </c>
      <c r="V2150" s="2">
        <f>MASTER[[#This Row],[MONTO VENDIDO]]-MASTER[[#This Row],[COSTO DE VENTA]]</f>
        <v>875</v>
      </c>
    </row>
    <row r="2151" spans="1:22" x14ac:dyDescent="0.3">
      <c r="A2151">
        <v>37413</v>
      </c>
      <c r="B2151">
        <v>1</v>
      </c>
      <c r="C2151" t="s">
        <v>111</v>
      </c>
      <c r="D2151" t="s">
        <v>112</v>
      </c>
      <c r="E2151" s="1">
        <v>44088</v>
      </c>
      <c r="F2151">
        <v>1</v>
      </c>
      <c r="G2151" t="s">
        <v>41</v>
      </c>
      <c r="H2151" t="s">
        <v>42</v>
      </c>
      <c r="I2151" s="3">
        <v>1621</v>
      </c>
      <c r="J2151" s="3">
        <v>1621</v>
      </c>
      <c r="K2151" s="3">
        <v>434</v>
      </c>
      <c r="L2151" t="s">
        <v>113</v>
      </c>
      <c r="M2151">
        <v>2</v>
      </c>
      <c r="N2151" t="s">
        <v>86</v>
      </c>
      <c r="O2151" t="s">
        <v>81</v>
      </c>
      <c r="P2151" t="s">
        <v>71</v>
      </c>
      <c r="Q2151" t="s">
        <v>72</v>
      </c>
      <c r="R2151" t="s">
        <v>139</v>
      </c>
      <c r="S2151" t="s">
        <v>144</v>
      </c>
      <c r="T2151" s="2">
        <f>MASTER[[#This Row],[CANTIDAD]]*MASTER[[#This Row],[PRECIO DE VENTA]]</f>
        <v>1621</v>
      </c>
      <c r="U2151" s="2">
        <f>MASTER[[#This Row],[CANTIDAD]]*MASTER[[#This Row],[COSTO UNITARIO]]</f>
        <v>434</v>
      </c>
      <c r="V2151" s="2">
        <f>MASTER[[#This Row],[MONTO VENDIDO]]-MASTER[[#This Row],[COSTO DE VENTA]]</f>
        <v>1187</v>
      </c>
    </row>
    <row r="2152" spans="1:22" x14ac:dyDescent="0.3">
      <c r="A2152">
        <v>37427</v>
      </c>
      <c r="B2152">
        <v>1</v>
      </c>
      <c r="C2152" t="s">
        <v>107</v>
      </c>
      <c r="D2152" t="s">
        <v>108</v>
      </c>
      <c r="E2152" s="1">
        <v>44088</v>
      </c>
      <c r="F2152">
        <v>1</v>
      </c>
      <c r="G2152" t="s">
        <v>73</v>
      </c>
      <c r="H2152" t="s">
        <v>74</v>
      </c>
      <c r="I2152" s="3">
        <v>1240</v>
      </c>
      <c r="J2152" s="3">
        <v>1240</v>
      </c>
      <c r="K2152" s="3">
        <v>380</v>
      </c>
      <c r="L2152" t="s">
        <v>98</v>
      </c>
      <c r="M2152">
        <v>16</v>
      </c>
      <c r="N2152" t="s">
        <v>17</v>
      </c>
      <c r="O2152" t="s">
        <v>11</v>
      </c>
      <c r="P2152" t="s">
        <v>18</v>
      </c>
      <c r="Q2152" t="s">
        <v>19</v>
      </c>
      <c r="R2152" t="s">
        <v>138</v>
      </c>
      <c r="S2152" t="s">
        <v>144</v>
      </c>
      <c r="T2152" s="2">
        <f>MASTER[[#This Row],[CANTIDAD]]*MASTER[[#This Row],[PRECIO DE VENTA]]</f>
        <v>1240</v>
      </c>
      <c r="U2152" s="2">
        <f>MASTER[[#This Row],[CANTIDAD]]*MASTER[[#This Row],[COSTO UNITARIO]]</f>
        <v>380</v>
      </c>
      <c r="V2152" s="2">
        <f>MASTER[[#This Row],[MONTO VENDIDO]]-MASTER[[#This Row],[COSTO DE VENTA]]</f>
        <v>860</v>
      </c>
    </row>
    <row r="2153" spans="1:22" x14ac:dyDescent="0.3">
      <c r="A2153">
        <v>37427</v>
      </c>
      <c r="B2153">
        <v>2</v>
      </c>
      <c r="C2153" t="s">
        <v>114</v>
      </c>
      <c r="D2153" t="s">
        <v>115</v>
      </c>
      <c r="E2153" s="1">
        <v>44088</v>
      </c>
      <c r="F2153">
        <v>1</v>
      </c>
      <c r="G2153" t="s">
        <v>57</v>
      </c>
      <c r="H2153" t="s">
        <v>58</v>
      </c>
      <c r="I2153" s="3">
        <v>1583</v>
      </c>
      <c r="J2153" s="3">
        <v>1583</v>
      </c>
      <c r="K2153" s="3">
        <v>394</v>
      </c>
      <c r="L2153" t="s">
        <v>113</v>
      </c>
      <c r="M2153">
        <v>16</v>
      </c>
      <c r="N2153" t="s">
        <v>17</v>
      </c>
      <c r="O2153" t="s">
        <v>11</v>
      </c>
      <c r="P2153" t="s">
        <v>18</v>
      </c>
      <c r="Q2153" t="s">
        <v>19</v>
      </c>
      <c r="R2153" t="s">
        <v>138</v>
      </c>
      <c r="S2153" t="s">
        <v>144</v>
      </c>
      <c r="T2153" s="2">
        <f>MASTER[[#This Row],[CANTIDAD]]*MASTER[[#This Row],[PRECIO DE VENTA]]</f>
        <v>1583</v>
      </c>
      <c r="U2153" s="2">
        <f>MASTER[[#This Row],[CANTIDAD]]*MASTER[[#This Row],[COSTO UNITARIO]]</f>
        <v>394</v>
      </c>
      <c r="V2153" s="2">
        <f>MASTER[[#This Row],[MONTO VENDIDO]]-MASTER[[#This Row],[COSTO DE VENTA]]</f>
        <v>1189</v>
      </c>
    </row>
    <row r="2154" spans="1:22" x14ac:dyDescent="0.3">
      <c r="A2154">
        <v>37477</v>
      </c>
      <c r="B2154">
        <v>1</v>
      </c>
      <c r="C2154" t="s">
        <v>111</v>
      </c>
      <c r="D2154" t="s">
        <v>112</v>
      </c>
      <c r="E2154" s="1">
        <v>44088</v>
      </c>
      <c r="F2154">
        <v>1</v>
      </c>
      <c r="G2154" t="s">
        <v>27</v>
      </c>
      <c r="H2154" t="s">
        <v>28</v>
      </c>
      <c r="I2154" s="3">
        <v>1621</v>
      </c>
      <c r="J2154" s="3">
        <v>1621</v>
      </c>
      <c r="K2154" s="3">
        <v>434</v>
      </c>
      <c r="L2154" t="s">
        <v>113</v>
      </c>
      <c r="M2154">
        <v>7</v>
      </c>
      <c r="N2154" t="s">
        <v>84</v>
      </c>
      <c r="O2154" t="s">
        <v>81</v>
      </c>
      <c r="P2154" t="s">
        <v>12</v>
      </c>
      <c r="Q2154" t="s">
        <v>13</v>
      </c>
      <c r="R2154" t="s">
        <v>13</v>
      </c>
      <c r="S2154" t="s">
        <v>144</v>
      </c>
      <c r="T2154" s="2">
        <f>MASTER[[#This Row],[CANTIDAD]]*MASTER[[#This Row],[PRECIO DE VENTA]]</f>
        <v>1621</v>
      </c>
      <c r="U2154" s="2">
        <f>MASTER[[#This Row],[CANTIDAD]]*MASTER[[#This Row],[COSTO UNITARIO]]</f>
        <v>434</v>
      </c>
      <c r="V2154" s="2">
        <f>MASTER[[#This Row],[MONTO VENDIDO]]-MASTER[[#This Row],[COSTO DE VENTA]]</f>
        <v>1187</v>
      </c>
    </row>
    <row r="2155" spans="1:22" x14ac:dyDescent="0.3">
      <c r="A2155">
        <v>37498</v>
      </c>
      <c r="B2155">
        <v>1</v>
      </c>
      <c r="C2155" t="s">
        <v>107</v>
      </c>
      <c r="D2155" t="s">
        <v>108</v>
      </c>
      <c r="E2155" s="1">
        <v>44088</v>
      </c>
      <c r="F2155">
        <v>1</v>
      </c>
      <c r="G2155" t="s">
        <v>45</v>
      </c>
      <c r="H2155" t="s">
        <v>46</v>
      </c>
      <c r="I2155" s="3">
        <v>1440</v>
      </c>
      <c r="J2155" s="3">
        <v>1440</v>
      </c>
      <c r="K2155" s="3">
        <v>380</v>
      </c>
      <c r="L2155" t="s">
        <v>98</v>
      </c>
      <c r="M2155">
        <v>9</v>
      </c>
      <c r="N2155" t="s">
        <v>76</v>
      </c>
      <c r="O2155" t="s">
        <v>70</v>
      </c>
      <c r="P2155" t="s">
        <v>12</v>
      </c>
      <c r="Q2155" t="s">
        <v>13</v>
      </c>
      <c r="R2155" t="s">
        <v>13</v>
      </c>
      <c r="S2155" t="s">
        <v>144</v>
      </c>
      <c r="T2155" s="2">
        <f>MASTER[[#This Row],[CANTIDAD]]*MASTER[[#This Row],[PRECIO DE VENTA]]</f>
        <v>1440</v>
      </c>
      <c r="U2155" s="2">
        <f>MASTER[[#This Row],[CANTIDAD]]*MASTER[[#This Row],[COSTO UNITARIO]]</f>
        <v>380</v>
      </c>
      <c r="V2155" s="2">
        <f>MASTER[[#This Row],[MONTO VENDIDO]]-MASTER[[#This Row],[COSTO DE VENTA]]</f>
        <v>1060</v>
      </c>
    </row>
    <row r="2156" spans="1:22" x14ac:dyDescent="0.3">
      <c r="A2156">
        <v>37521</v>
      </c>
      <c r="B2156">
        <v>1</v>
      </c>
      <c r="C2156" t="s">
        <v>99</v>
      </c>
      <c r="D2156" t="s">
        <v>100</v>
      </c>
      <c r="E2156" s="1">
        <v>44088</v>
      </c>
      <c r="F2156">
        <v>1</v>
      </c>
      <c r="G2156" t="s">
        <v>65</v>
      </c>
      <c r="H2156" t="s">
        <v>66</v>
      </c>
      <c r="I2156" s="3">
        <v>1459</v>
      </c>
      <c r="J2156" s="3">
        <v>1459</v>
      </c>
      <c r="K2156" s="3">
        <v>386</v>
      </c>
      <c r="L2156" t="s">
        <v>98</v>
      </c>
      <c r="M2156">
        <v>5</v>
      </c>
      <c r="N2156" t="s">
        <v>85</v>
      </c>
      <c r="O2156" t="s">
        <v>81</v>
      </c>
      <c r="P2156" t="s">
        <v>12</v>
      </c>
      <c r="Q2156" t="s">
        <v>13</v>
      </c>
      <c r="R2156" t="s">
        <v>13</v>
      </c>
      <c r="S2156" t="s">
        <v>144</v>
      </c>
      <c r="T2156" s="2">
        <f>MASTER[[#This Row],[CANTIDAD]]*MASTER[[#This Row],[PRECIO DE VENTA]]</f>
        <v>1459</v>
      </c>
      <c r="U2156" s="2">
        <f>MASTER[[#This Row],[CANTIDAD]]*MASTER[[#This Row],[COSTO UNITARIO]]</f>
        <v>386</v>
      </c>
      <c r="V2156" s="2">
        <f>MASTER[[#This Row],[MONTO VENDIDO]]-MASTER[[#This Row],[COSTO DE VENTA]]</f>
        <v>1073</v>
      </c>
    </row>
    <row r="2157" spans="1:22" x14ac:dyDescent="0.3">
      <c r="A2157">
        <v>37540</v>
      </c>
      <c r="B2157">
        <v>1</v>
      </c>
      <c r="C2157" t="s">
        <v>92</v>
      </c>
      <c r="D2157" t="s">
        <v>93</v>
      </c>
      <c r="E2157" s="1">
        <v>44088</v>
      </c>
      <c r="F2157">
        <v>1</v>
      </c>
      <c r="G2157" t="s">
        <v>29</v>
      </c>
      <c r="H2157" t="s">
        <v>30</v>
      </c>
      <c r="I2157" s="3">
        <v>1681</v>
      </c>
      <c r="J2157" s="3">
        <v>1681</v>
      </c>
      <c r="K2157" s="3">
        <v>396</v>
      </c>
      <c r="L2157" t="s">
        <v>9</v>
      </c>
      <c r="M2157">
        <v>4</v>
      </c>
      <c r="N2157" t="s">
        <v>82</v>
      </c>
      <c r="O2157" t="s">
        <v>81</v>
      </c>
      <c r="P2157" t="s">
        <v>71</v>
      </c>
      <c r="Q2157" t="s">
        <v>72</v>
      </c>
      <c r="R2157" t="s">
        <v>139</v>
      </c>
      <c r="S2157" t="s">
        <v>144</v>
      </c>
      <c r="T2157" s="2">
        <f>MASTER[[#This Row],[CANTIDAD]]*MASTER[[#This Row],[PRECIO DE VENTA]]</f>
        <v>1681</v>
      </c>
      <c r="U2157" s="2">
        <f>MASTER[[#This Row],[CANTIDAD]]*MASTER[[#This Row],[COSTO UNITARIO]]</f>
        <v>396</v>
      </c>
      <c r="V2157" s="2">
        <f>MASTER[[#This Row],[MONTO VENDIDO]]-MASTER[[#This Row],[COSTO DE VENTA]]</f>
        <v>1285</v>
      </c>
    </row>
    <row r="2158" spans="1:22" x14ac:dyDescent="0.3">
      <c r="A2158">
        <v>37550</v>
      </c>
      <c r="B2158">
        <v>1</v>
      </c>
      <c r="C2158" t="s">
        <v>96</v>
      </c>
      <c r="D2158" t="s">
        <v>97</v>
      </c>
      <c r="E2158" s="1">
        <v>44088</v>
      </c>
      <c r="F2158">
        <v>1</v>
      </c>
      <c r="G2158" t="s">
        <v>53</v>
      </c>
      <c r="H2158" t="s">
        <v>54</v>
      </c>
      <c r="I2158" s="3">
        <v>1196</v>
      </c>
      <c r="J2158" s="3">
        <v>1196</v>
      </c>
      <c r="K2158" s="3">
        <v>397</v>
      </c>
      <c r="L2158" t="s">
        <v>98</v>
      </c>
      <c r="M2158">
        <v>11</v>
      </c>
      <c r="N2158" t="s">
        <v>10</v>
      </c>
      <c r="O2158" t="s">
        <v>11</v>
      </c>
      <c r="P2158" t="s">
        <v>12</v>
      </c>
      <c r="Q2158" t="s">
        <v>13</v>
      </c>
      <c r="R2158" t="s">
        <v>13</v>
      </c>
      <c r="S2158" t="s">
        <v>144</v>
      </c>
      <c r="T2158" s="2">
        <f>MASTER[[#This Row],[CANTIDAD]]*MASTER[[#This Row],[PRECIO DE VENTA]]</f>
        <v>1196</v>
      </c>
      <c r="U2158" s="2">
        <f>MASTER[[#This Row],[CANTIDAD]]*MASTER[[#This Row],[COSTO UNITARIO]]</f>
        <v>397</v>
      </c>
      <c r="V2158" s="2">
        <f>MASTER[[#This Row],[MONTO VENDIDO]]-MASTER[[#This Row],[COSTO DE VENTA]]</f>
        <v>799</v>
      </c>
    </row>
    <row r="2159" spans="1:22" x14ac:dyDescent="0.3">
      <c r="A2159">
        <v>37565</v>
      </c>
      <c r="B2159">
        <v>1</v>
      </c>
      <c r="C2159" t="s">
        <v>109</v>
      </c>
      <c r="D2159" t="s">
        <v>110</v>
      </c>
      <c r="E2159" s="1">
        <v>44088</v>
      </c>
      <c r="F2159">
        <v>1</v>
      </c>
      <c r="G2159" t="s">
        <v>73</v>
      </c>
      <c r="H2159" t="s">
        <v>74</v>
      </c>
      <c r="I2159" s="3">
        <v>1064</v>
      </c>
      <c r="J2159" s="3">
        <v>1064</v>
      </c>
      <c r="K2159" s="3">
        <v>387</v>
      </c>
      <c r="L2159" t="s">
        <v>98</v>
      </c>
      <c r="M2159">
        <v>14</v>
      </c>
      <c r="N2159" t="s">
        <v>87</v>
      </c>
      <c r="O2159" t="s">
        <v>81</v>
      </c>
      <c r="P2159" t="s">
        <v>18</v>
      </c>
      <c r="Q2159" t="s">
        <v>19</v>
      </c>
      <c r="R2159" t="s">
        <v>138</v>
      </c>
      <c r="S2159" t="s">
        <v>144</v>
      </c>
      <c r="T2159" s="2">
        <f>MASTER[[#This Row],[CANTIDAD]]*MASTER[[#This Row],[PRECIO DE VENTA]]</f>
        <v>1064</v>
      </c>
      <c r="U2159" s="2">
        <f>MASTER[[#This Row],[CANTIDAD]]*MASTER[[#This Row],[COSTO UNITARIO]]</f>
        <v>387</v>
      </c>
      <c r="V2159" s="2">
        <f>MASTER[[#This Row],[MONTO VENDIDO]]-MASTER[[#This Row],[COSTO DE VENTA]]</f>
        <v>677</v>
      </c>
    </row>
    <row r="2160" spans="1:22" x14ac:dyDescent="0.3">
      <c r="A2160">
        <v>37568</v>
      </c>
      <c r="B2160">
        <v>1</v>
      </c>
      <c r="C2160" t="s">
        <v>114</v>
      </c>
      <c r="D2160" t="s">
        <v>115</v>
      </c>
      <c r="E2160" s="1">
        <v>44088</v>
      </c>
      <c r="F2160">
        <v>1</v>
      </c>
      <c r="G2160" t="s">
        <v>7</v>
      </c>
      <c r="H2160" t="s">
        <v>8</v>
      </c>
      <c r="I2160" s="3">
        <v>1862</v>
      </c>
      <c r="J2160" s="3">
        <v>1675</v>
      </c>
      <c r="K2160" s="3">
        <v>394</v>
      </c>
      <c r="L2160" t="s">
        <v>113</v>
      </c>
      <c r="M2160">
        <v>14</v>
      </c>
      <c r="N2160" t="s">
        <v>87</v>
      </c>
      <c r="O2160" t="s">
        <v>81</v>
      </c>
      <c r="P2160" t="s">
        <v>18</v>
      </c>
      <c r="Q2160" t="s">
        <v>19</v>
      </c>
      <c r="R2160" t="s">
        <v>138</v>
      </c>
      <c r="S2160" t="s">
        <v>144</v>
      </c>
      <c r="T2160" s="2">
        <f>MASTER[[#This Row],[CANTIDAD]]*MASTER[[#This Row],[PRECIO DE VENTA]]</f>
        <v>1675</v>
      </c>
      <c r="U2160" s="2">
        <f>MASTER[[#This Row],[CANTIDAD]]*MASTER[[#This Row],[COSTO UNITARIO]]</f>
        <v>394</v>
      </c>
      <c r="V2160" s="2">
        <f>MASTER[[#This Row],[MONTO VENDIDO]]-MASTER[[#This Row],[COSTO DE VENTA]]</f>
        <v>1281</v>
      </c>
    </row>
    <row r="2161" spans="1:22" x14ac:dyDescent="0.3">
      <c r="A2161">
        <v>37640</v>
      </c>
      <c r="B2161">
        <v>1</v>
      </c>
      <c r="C2161" t="s">
        <v>114</v>
      </c>
      <c r="D2161" t="s">
        <v>115</v>
      </c>
      <c r="E2161" s="1">
        <v>44088</v>
      </c>
      <c r="F2161">
        <v>1</v>
      </c>
      <c r="G2161" t="s">
        <v>65</v>
      </c>
      <c r="H2161" t="s">
        <v>66</v>
      </c>
      <c r="I2161" s="3">
        <v>2030</v>
      </c>
      <c r="J2161" s="3">
        <v>2030</v>
      </c>
      <c r="K2161" s="3">
        <v>394</v>
      </c>
      <c r="L2161" t="s">
        <v>113</v>
      </c>
      <c r="M2161">
        <v>18</v>
      </c>
      <c r="N2161" t="s">
        <v>79</v>
      </c>
      <c r="O2161" t="s">
        <v>70</v>
      </c>
      <c r="P2161" t="s">
        <v>15</v>
      </c>
      <c r="Q2161" t="s">
        <v>16</v>
      </c>
      <c r="R2161" t="s">
        <v>16</v>
      </c>
      <c r="S2161" t="s">
        <v>144</v>
      </c>
      <c r="T2161" s="2">
        <f>MASTER[[#This Row],[CANTIDAD]]*MASTER[[#This Row],[PRECIO DE VENTA]]</f>
        <v>2030</v>
      </c>
      <c r="U2161" s="2">
        <f>MASTER[[#This Row],[CANTIDAD]]*MASTER[[#This Row],[COSTO UNITARIO]]</f>
        <v>394</v>
      </c>
      <c r="V2161" s="2">
        <f>MASTER[[#This Row],[MONTO VENDIDO]]-MASTER[[#This Row],[COSTO DE VENTA]]</f>
        <v>1636</v>
      </c>
    </row>
    <row r="2162" spans="1:22" x14ac:dyDescent="0.3">
      <c r="A2162">
        <v>37656</v>
      </c>
      <c r="B2162">
        <v>1</v>
      </c>
      <c r="C2162" t="s">
        <v>92</v>
      </c>
      <c r="D2162" t="s">
        <v>93</v>
      </c>
      <c r="E2162" s="1">
        <v>44088</v>
      </c>
      <c r="F2162">
        <v>1</v>
      </c>
      <c r="G2162" t="s">
        <v>59</v>
      </c>
      <c r="H2162" t="s">
        <v>60</v>
      </c>
      <c r="I2162" s="3">
        <v>1479</v>
      </c>
      <c r="J2162" s="3">
        <v>1479</v>
      </c>
      <c r="K2162" s="3">
        <v>396</v>
      </c>
      <c r="L2162" t="s">
        <v>9</v>
      </c>
      <c r="M2162">
        <v>11</v>
      </c>
      <c r="N2162" t="s">
        <v>10</v>
      </c>
      <c r="O2162" t="s">
        <v>11</v>
      </c>
      <c r="P2162" t="s">
        <v>12</v>
      </c>
      <c r="Q2162" t="s">
        <v>13</v>
      </c>
      <c r="R2162" t="s">
        <v>13</v>
      </c>
      <c r="S2162" t="s">
        <v>144</v>
      </c>
      <c r="T2162" s="2">
        <f>MASTER[[#This Row],[CANTIDAD]]*MASTER[[#This Row],[PRECIO DE VENTA]]</f>
        <v>1479</v>
      </c>
      <c r="U2162" s="2">
        <f>MASTER[[#This Row],[CANTIDAD]]*MASTER[[#This Row],[COSTO UNITARIO]]</f>
        <v>396</v>
      </c>
      <c r="V2162" s="2">
        <f>MASTER[[#This Row],[MONTO VENDIDO]]-MASTER[[#This Row],[COSTO DE VENTA]]</f>
        <v>1083</v>
      </c>
    </row>
    <row r="2163" spans="1:22" x14ac:dyDescent="0.3">
      <c r="A2163">
        <v>37660</v>
      </c>
      <c r="B2163">
        <v>1</v>
      </c>
      <c r="C2163" t="s">
        <v>105</v>
      </c>
      <c r="D2163" t="s">
        <v>106</v>
      </c>
      <c r="E2163" s="1">
        <v>44088</v>
      </c>
      <c r="F2163">
        <v>1</v>
      </c>
      <c r="G2163" t="s">
        <v>51</v>
      </c>
      <c r="H2163" t="s">
        <v>52</v>
      </c>
      <c r="I2163" s="3">
        <v>2033</v>
      </c>
      <c r="J2163" s="3">
        <v>2033</v>
      </c>
      <c r="K2163" s="3">
        <v>459</v>
      </c>
      <c r="L2163" t="s">
        <v>98</v>
      </c>
      <c r="M2163">
        <v>13</v>
      </c>
      <c r="N2163" t="s">
        <v>78</v>
      </c>
      <c r="O2163" t="s">
        <v>70</v>
      </c>
      <c r="P2163" t="s">
        <v>18</v>
      </c>
      <c r="Q2163" t="s">
        <v>19</v>
      </c>
      <c r="R2163" t="s">
        <v>138</v>
      </c>
      <c r="S2163" t="s">
        <v>144</v>
      </c>
      <c r="T2163" s="2">
        <f>MASTER[[#This Row],[CANTIDAD]]*MASTER[[#This Row],[PRECIO DE VENTA]]</f>
        <v>2033</v>
      </c>
      <c r="U2163" s="2">
        <f>MASTER[[#This Row],[CANTIDAD]]*MASTER[[#This Row],[COSTO UNITARIO]]</f>
        <v>459</v>
      </c>
      <c r="V2163" s="2">
        <f>MASTER[[#This Row],[MONTO VENDIDO]]-MASTER[[#This Row],[COSTO DE VENTA]]</f>
        <v>1574</v>
      </c>
    </row>
    <row r="2164" spans="1:22" x14ac:dyDescent="0.3">
      <c r="A2164">
        <v>37671</v>
      </c>
      <c r="B2164">
        <v>1</v>
      </c>
      <c r="C2164" t="s">
        <v>114</v>
      </c>
      <c r="D2164" t="s">
        <v>115</v>
      </c>
      <c r="E2164" s="1">
        <v>44089</v>
      </c>
      <c r="F2164">
        <v>1</v>
      </c>
      <c r="G2164" t="s">
        <v>7</v>
      </c>
      <c r="H2164" t="s">
        <v>8</v>
      </c>
      <c r="I2164" s="3">
        <v>1862</v>
      </c>
      <c r="J2164" s="3">
        <v>1862</v>
      </c>
      <c r="K2164" s="3">
        <v>394</v>
      </c>
      <c r="L2164" t="s">
        <v>113</v>
      </c>
      <c r="M2164">
        <v>4</v>
      </c>
      <c r="N2164" t="s">
        <v>82</v>
      </c>
      <c r="O2164" t="s">
        <v>81</v>
      </c>
      <c r="P2164" t="s">
        <v>71</v>
      </c>
      <c r="Q2164" t="s">
        <v>72</v>
      </c>
      <c r="R2164" t="s">
        <v>139</v>
      </c>
      <c r="S2164" t="s">
        <v>144</v>
      </c>
      <c r="T2164" s="2">
        <f>MASTER[[#This Row],[CANTIDAD]]*MASTER[[#This Row],[PRECIO DE VENTA]]</f>
        <v>1862</v>
      </c>
      <c r="U2164" s="2">
        <f>MASTER[[#This Row],[CANTIDAD]]*MASTER[[#This Row],[COSTO UNITARIO]]</f>
        <v>394</v>
      </c>
      <c r="V2164" s="2">
        <f>MASTER[[#This Row],[MONTO VENDIDO]]-MASTER[[#This Row],[COSTO DE VENTA]]</f>
        <v>1468</v>
      </c>
    </row>
    <row r="2165" spans="1:22" x14ac:dyDescent="0.3">
      <c r="A2165">
        <v>37680</v>
      </c>
      <c r="B2165">
        <v>1</v>
      </c>
      <c r="C2165" t="s">
        <v>96</v>
      </c>
      <c r="D2165" t="s">
        <v>97</v>
      </c>
      <c r="E2165" s="1">
        <v>44089</v>
      </c>
      <c r="F2165">
        <v>1</v>
      </c>
      <c r="G2165" t="s">
        <v>61</v>
      </c>
      <c r="H2165" t="s">
        <v>62</v>
      </c>
      <c r="I2165" s="3">
        <v>1361</v>
      </c>
      <c r="J2165" s="3">
        <v>1361</v>
      </c>
      <c r="K2165" s="3">
        <v>397</v>
      </c>
      <c r="L2165" t="s">
        <v>98</v>
      </c>
      <c r="M2165">
        <v>9</v>
      </c>
      <c r="N2165" t="s">
        <v>76</v>
      </c>
      <c r="O2165" t="s">
        <v>70</v>
      </c>
      <c r="P2165" t="s">
        <v>12</v>
      </c>
      <c r="Q2165" t="s">
        <v>13</v>
      </c>
      <c r="R2165" t="s">
        <v>13</v>
      </c>
      <c r="S2165" t="s">
        <v>144</v>
      </c>
      <c r="T2165" s="2">
        <f>MASTER[[#This Row],[CANTIDAD]]*MASTER[[#This Row],[PRECIO DE VENTA]]</f>
        <v>1361</v>
      </c>
      <c r="U2165" s="2">
        <f>MASTER[[#This Row],[CANTIDAD]]*MASTER[[#This Row],[COSTO UNITARIO]]</f>
        <v>397</v>
      </c>
      <c r="V2165" s="2">
        <f>MASTER[[#This Row],[MONTO VENDIDO]]-MASTER[[#This Row],[COSTO DE VENTA]]</f>
        <v>964</v>
      </c>
    </row>
    <row r="2166" spans="1:22" x14ac:dyDescent="0.3">
      <c r="A2166">
        <v>37685</v>
      </c>
      <c r="B2166">
        <v>1</v>
      </c>
      <c r="C2166" t="s">
        <v>116</v>
      </c>
      <c r="D2166" t="s">
        <v>117</v>
      </c>
      <c r="E2166" s="1">
        <v>44089</v>
      </c>
      <c r="F2166">
        <v>1</v>
      </c>
      <c r="G2166" t="s">
        <v>63</v>
      </c>
      <c r="H2166" t="s">
        <v>64</v>
      </c>
      <c r="I2166" s="3">
        <v>1999</v>
      </c>
      <c r="J2166" s="3">
        <v>1999</v>
      </c>
      <c r="K2166" s="3">
        <v>388</v>
      </c>
      <c r="L2166" t="s">
        <v>113</v>
      </c>
      <c r="M2166">
        <v>1</v>
      </c>
      <c r="N2166" t="s">
        <v>77</v>
      </c>
      <c r="O2166" t="s">
        <v>70</v>
      </c>
      <c r="P2166" t="s">
        <v>71</v>
      </c>
      <c r="Q2166" t="s">
        <v>72</v>
      </c>
      <c r="R2166" t="s">
        <v>139</v>
      </c>
      <c r="S2166" t="s">
        <v>144</v>
      </c>
      <c r="T2166" s="2">
        <f>MASTER[[#This Row],[CANTIDAD]]*MASTER[[#This Row],[PRECIO DE VENTA]]</f>
        <v>1999</v>
      </c>
      <c r="U2166" s="2">
        <f>MASTER[[#This Row],[CANTIDAD]]*MASTER[[#This Row],[COSTO UNITARIO]]</f>
        <v>388</v>
      </c>
      <c r="V2166" s="2">
        <f>MASTER[[#This Row],[MONTO VENDIDO]]-MASTER[[#This Row],[COSTO DE VENTA]]</f>
        <v>1611</v>
      </c>
    </row>
    <row r="2167" spans="1:22" x14ac:dyDescent="0.3">
      <c r="A2167">
        <v>37744</v>
      </c>
      <c r="B2167">
        <v>1</v>
      </c>
      <c r="C2167" t="s">
        <v>101</v>
      </c>
      <c r="D2167" t="s">
        <v>102</v>
      </c>
      <c r="E2167" s="1">
        <v>44089</v>
      </c>
      <c r="F2167">
        <v>1</v>
      </c>
      <c r="G2167" t="s">
        <v>59</v>
      </c>
      <c r="H2167" t="s">
        <v>60</v>
      </c>
      <c r="I2167" s="3">
        <v>1357</v>
      </c>
      <c r="J2167" s="3">
        <v>1357</v>
      </c>
      <c r="K2167" s="3">
        <v>442</v>
      </c>
      <c r="L2167" t="s">
        <v>98</v>
      </c>
      <c r="M2167">
        <v>9</v>
      </c>
      <c r="N2167" t="s">
        <v>76</v>
      </c>
      <c r="O2167" t="s">
        <v>70</v>
      </c>
      <c r="P2167" t="s">
        <v>12</v>
      </c>
      <c r="Q2167" t="s">
        <v>13</v>
      </c>
      <c r="R2167" t="s">
        <v>13</v>
      </c>
      <c r="S2167" t="s">
        <v>144</v>
      </c>
      <c r="T2167" s="2">
        <f>MASTER[[#This Row],[CANTIDAD]]*MASTER[[#This Row],[PRECIO DE VENTA]]</f>
        <v>1357</v>
      </c>
      <c r="U2167" s="2">
        <f>MASTER[[#This Row],[CANTIDAD]]*MASTER[[#This Row],[COSTO UNITARIO]]</f>
        <v>442</v>
      </c>
      <c r="V2167" s="2">
        <f>MASTER[[#This Row],[MONTO VENDIDO]]-MASTER[[#This Row],[COSTO DE VENTA]]</f>
        <v>915</v>
      </c>
    </row>
    <row r="2168" spans="1:22" x14ac:dyDescent="0.3">
      <c r="A2168">
        <v>37775</v>
      </c>
      <c r="B2168">
        <v>1</v>
      </c>
      <c r="C2168" t="s">
        <v>96</v>
      </c>
      <c r="D2168" t="s">
        <v>97</v>
      </c>
      <c r="E2168" s="1">
        <v>44089</v>
      </c>
      <c r="F2168">
        <v>1</v>
      </c>
      <c r="G2168" t="s">
        <v>20</v>
      </c>
      <c r="H2168" t="s">
        <v>21</v>
      </c>
      <c r="I2168" s="3">
        <v>1272</v>
      </c>
      <c r="J2168" s="3">
        <v>1272</v>
      </c>
      <c r="K2168" s="3">
        <v>397</v>
      </c>
      <c r="L2168" t="s">
        <v>98</v>
      </c>
      <c r="M2168">
        <v>19</v>
      </c>
      <c r="N2168" t="s">
        <v>89</v>
      </c>
      <c r="O2168" t="s">
        <v>81</v>
      </c>
      <c r="P2168" t="s">
        <v>15</v>
      </c>
      <c r="Q2168" t="s">
        <v>16</v>
      </c>
      <c r="R2168" t="s">
        <v>16</v>
      </c>
      <c r="S2168" t="s">
        <v>144</v>
      </c>
      <c r="T2168" s="2">
        <f>MASTER[[#This Row],[CANTIDAD]]*MASTER[[#This Row],[PRECIO DE VENTA]]</f>
        <v>1272</v>
      </c>
      <c r="U2168" s="2">
        <f>MASTER[[#This Row],[CANTIDAD]]*MASTER[[#This Row],[COSTO UNITARIO]]</f>
        <v>397</v>
      </c>
      <c r="V2168" s="2">
        <f>MASTER[[#This Row],[MONTO VENDIDO]]-MASTER[[#This Row],[COSTO DE VENTA]]</f>
        <v>875</v>
      </c>
    </row>
    <row r="2169" spans="1:22" x14ac:dyDescent="0.3">
      <c r="A2169">
        <v>37786</v>
      </c>
      <c r="B2169">
        <v>1</v>
      </c>
      <c r="C2169" t="s">
        <v>118</v>
      </c>
      <c r="D2169" t="s">
        <v>119</v>
      </c>
      <c r="E2169" s="1">
        <v>44089</v>
      </c>
      <c r="F2169">
        <v>1</v>
      </c>
      <c r="G2169" t="s">
        <v>33</v>
      </c>
      <c r="H2169" t="s">
        <v>34</v>
      </c>
      <c r="I2169" s="3">
        <v>1026</v>
      </c>
      <c r="J2169" s="3">
        <v>1026</v>
      </c>
      <c r="K2169" s="3">
        <v>424</v>
      </c>
      <c r="L2169" t="s">
        <v>120</v>
      </c>
      <c r="M2169">
        <v>9</v>
      </c>
      <c r="N2169" t="s">
        <v>76</v>
      </c>
      <c r="O2169" t="s">
        <v>70</v>
      </c>
      <c r="P2169" t="s">
        <v>12</v>
      </c>
      <c r="Q2169" t="s">
        <v>13</v>
      </c>
      <c r="R2169" t="s">
        <v>13</v>
      </c>
      <c r="S2169" t="s">
        <v>144</v>
      </c>
      <c r="T2169" s="2">
        <f>MASTER[[#This Row],[CANTIDAD]]*MASTER[[#This Row],[PRECIO DE VENTA]]</f>
        <v>1026</v>
      </c>
      <c r="U2169" s="2">
        <f>MASTER[[#This Row],[CANTIDAD]]*MASTER[[#This Row],[COSTO UNITARIO]]</f>
        <v>424</v>
      </c>
      <c r="V2169" s="2">
        <f>MASTER[[#This Row],[MONTO VENDIDO]]-MASTER[[#This Row],[COSTO DE VENTA]]</f>
        <v>602</v>
      </c>
    </row>
    <row r="2170" spans="1:22" x14ac:dyDescent="0.3">
      <c r="A2170">
        <v>37791</v>
      </c>
      <c r="B2170">
        <v>1</v>
      </c>
      <c r="C2170" t="s">
        <v>90</v>
      </c>
      <c r="D2170" t="s">
        <v>91</v>
      </c>
      <c r="E2170" s="1">
        <v>44089</v>
      </c>
      <c r="F2170">
        <v>1</v>
      </c>
      <c r="G2170" t="s">
        <v>39</v>
      </c>
      <c r="H2170" t="s">
        <v>40</v>
      </c>
      <c r="I2170" s="3">
        <v>1844</v>
      </c>
      <c r="J2170" s="3">
        <v>1844</v>
      </c>
      <c r="K2170" s="3">
        <v>420</v>
      </c>
      <c r="L2170" t="s">
        <v>9</v>
      </c>
      <c r="M2170">
        <v>19</v>
      </c>
      <c r="N2170" t="s">
        <v>89</v>
      </c>
      <c r="O2170" t="s">
        <v>81</v>
      </c>
      <c r="P2170" t="s">
        <v>15</v>
      </c>
      <c r="Q2170" t="s">
        <v>16</v>
      </c>
      <c r="R2170" t="s">
        <v>16</v>
      </c>
      <c r="S2170" t="s">
        <v>144</v>
      </c>
      <c r="T2170" s="2">
        <f>MASTER[[#This Row],[CANTIDAD]]*MASTER[[#This Row],[PRECIO DE VENTA]]</f>
        <v>1844</v>
      </c>
      <c r="U2170" s="2">
        <f>MASTER[[#This Row],[CANTIDAD]]*MASTER[[#This Row],[COSTO UNITARIO]]</f>
        <v>420</v>
      </c>
      <c r="V2170" s="2">
        <f>MASTER[[#This Row],[MONTO VENDIDO]]-MASTER[[#This Row],[COSTO DE VENTA]]</f>
        <v>1424</v>
      </c>
    </row>
    <row r="2171" spans="1:22" x14ac:dyDescent="0.3">
      <c r="A2171">
        <v>37800</v>
      </c>
      <c r="B2171">
        <v>1</v>
      </c>
      <c r="C2171" t="s">
        <v>121</v>
      </c>
      <c r="D2171" t="s">
        <v>122</v>
      </c>
      <c r="E2171" s="1">
        <v>44090</v>
      </c>
      <c r="F2171">
        <v>2</v>
      </c>
      <c r="G2171" t="s">
        <v>31</v>
      </c>
      <c r="H2171" t="s">
        <v>32</v>
      </c>
      <c r="I2171" s="3">
        <v>1069</v>
      </c>
      <c r="J2171" s="3">
        <v>1069</v>
      </c>
      <c r="K2171" s="3">
        <v>460</v>
      </c>
      <c r="L2171" t="s">
        <v>120</v>
      </c>
      <c r="M2171">
        <v>4</v>
      </c>
      <c r="N2171" t="s">
        <v>82</v>
      </c>
      <c r="O2171" t="s">
        <v>81</v>
      </c>
      <c r="P2171" t="s">
        <v>71</v>
      </c>
      <c r="Q2171" t="s">
        <v>72</v>
      </c>
      <c r="R2171" t="s">
        <v>139</v>
      </c>
      <c r="S2171" t="s">
        <v>144</v>
      </c>
      <c r="T2171" s="2">
        <f>MASTER[[#This Row],[CANTIDAD]]*MASTER[[#This Row],[PRECIO DE VENTA]]</f>
        <v>2138</v>
      </c>
      <c r="U2171" s="2">
        <f>MASTER[[#This Row],[CANTIDAD]]*MASTER[[#This Row],[COSTO UNITARIO]]</f>
        <v>920</v>
      </c>
      <c r="V2171" s="2">
        <f>MASTER[[#This Row],[MONTO VENDIDO]]-MASTER[[#This Row],[COSTO DE VENTA]]</f>
        <v>1218</v>
      </c>
    </row>
    <row r="2172" spans="1:22" x14ac:dyDescent="0.3">
      <c r="A2172">
        <v>37803</v>
      </c>
      <c r="B2172">
        <v>1</v>
      </c>
      <c r="C2172" t="s">
        <v>5</v>
      </c>
      <c r="D2172" t="s">
        <v>6</v>
      </c>
      <c r="E2172" s="1">
        <v>44090</v>
      </c>
      <c r="F2172">
        <v>1</v>
      </c>
      <c r="G2172" t="s">
        <v>24</v>
      </c>
      <c r="H2172" t="s">
        <v>25</v>
      </c>
      <c r="I2172" s="3">
        <v>1296</v>
      </c>
      <c r="J2172" s="3">
        <v>1296</v>
      </c>
      <c r="K2172" s="3">
        <v>393</v>
      </c>
      <c r="L2172" t="s">
        <v>9</v>
      </c>
      <c r="M2172">
        <v>18</v>
      </c>
      <c r="N2172" t="s">
        <v>79</v>
      </c>
      <c r="O2172" t="s">
        <v>70</v>
      </c>
      <c r="P2172" t="s">
        <v>15</v>
      </c>
      <c r="Q2172" t="s">
        <v>16</v>
      </c>
      <c r="R2172" t="s">
        <v>16</v>
      </c>
      <c r="S2172" t="s">
        <v>144</v>
      </c>
      <c r="T2172" s="2">
        <f>MASTER[[#This Row],[CANTIDAD]]*MASTER[[#This Row],[PRECIO DE VENTA]]</f>
        <v>1296</v>
      </c>
      <c r="U2172" s="2">
        <f>MASTER[[#This Row],[CANTIDAD]]*MASTER[[#This Row],[COSTO UNITARIO]]</f>
        <v>393</v>
      </c>
      <c r="V2172" s="2">
        <f>MASTER[[#This Row],[MONTO VENDIDO]]-MASTER[[#This Row],[COSTO DE VENTA]]</f>
        <v>903</v>
      </c>
    </row>
    <row r="2173" spans="1:22" x14ac:dyDescent="0.3">
      <c r="A2173">
        <v>37814</v>
      </c>
      <c r="B2173">
        <v>1</v>
      </c>
      <c r="C2173" t="s">
        <v>99</v>
      </c>
      <c r="D2173" t="s">
        <v>100</v>
      </c>
      <c r="E2173" s="1">
        <v>44090</v>
      </c>
      <c r="F2173">
        <v>1</v>
      </c>
      <c r="G2173" t="s">
        <v>73</v>
      </c>
      <c r="H2173" t="s">
        <v>74</v>
      </c>
      <c r="I2173" s="3">
        <v>1678</v>
      </c>
      <c r="J2173" s="3">
        <v>1678</v>
      </c>
      <c r="K2173" s="3">
        <v>386</v>
      </c>
      <c r="L2173" t="s">
        <v>98</v>
      </c>
      <c r="M2173">
        <v>1</v>
      </c>
      <c r="N2173" t="s">
        <v>77</v>
      </c>
      <c r="O2173" t="s">
        <v>70</v>
      </c>
      <c r="P2173" t="s">
        <v>71</v>
      </c>
      <c r="Q2173" t="s">
        <v>72</v>
      </c>
      <c r="R2173" t="s">
        <v>139</v>
      </c>
      <c r="S2173" t="s">
        <v>144</v>
      </c>
      <c r="T2173" s="2">
        <f>MASTER[[#This Row],[CANTIDAD]]*MASTER[[#This Row],[PRECIO DE VENTA]]</f>
        <v>1678</v>
      </c>
      <c r="U2173" s="2">
        <f>MASTER[[#This Row],[CANTIDAD]]*MASTER[[#This Row],[COSTO UNITARIO]]</f>
        <v>386</v>
      </c>
      <c r="V2173" s="2">
        <f>MASTER[[#This Row],[MONTO VENDIDO]]-MASTER[[#This Row],[COSTO DE VENTA]]</f>
        <v>1292</v>
      </c>
    </row>
    <row r="2174" spans="1:22" x14ac:dyDescent="0.3">
      <c r="A2174">
        <v>37830</v>
      </c>
      <c r="B2174">
        <v>1</v>
      </c>
      <c r="C2174" t="s">
        <v>94</v>
      </c>
      <c r="D2174" t="s">
        <v>95</v>
      </c>
      <c r="E2174" s="1">
        <v>44090</v>
      </c>
      <c r="F2174">
        <v>1</v>
      </c>
      <c r="G2174" t="s">
        <v>55</v>
      </c>
      <c r="H2174" t="s">
        <v>56</v>
      </c>
      <c r="I2174" s="3">
        <v>901</v>
      </c>
      <c r="J2174" s="3">
        <v>901</v>
      </c>
      <c r="K2174" s="3">
        <v>392</v>
      </c>
      <c r="L2174" t="s">
        <v>9</v>
      </c>
      <c r="M2174">
        <v>11</v>
      </c>
      <c r="N2174" t="s">
        <v>10</v>
      </c>
      <c r="O2174" t="s">
        <v>11</v>
      </c>
      <c r="P2174" t="s">
        <v>12</v>
      </c>
      <c r="Q2174" t="s">
        <v>13</v>
      </c>
      <c r="R2174" t="s">
        <v>13</v>
      </c>
      <c r="S2174" t="s">
        <v>144</v>
      </c>
      <c r="T2174" s="2">
        <f>MASTER[[#This Row],[CANTIDAD]]*MASTER[[#This Row],[PRECIO DE VENTA]]</f>
        <v>901</v>
      </c>
      <c r="U2174" s="2">
        <f>MASTER[[#This Row],[CANTIDAD]]*MASTER[[#This Row],[COSTO UNITARIO]]</f>
        <v>392</v>
      </c>
      <c r="V2174" s="2">
        <f>MASTER[[#This Row],[MONTO VENDIDO]]-MASTER[[#This Row],[COSTO DE VENTA]]</f>
        <v>509</v>
      </c>
    </row>
    <row r="2175" spans="1:22" x14ac:dyDescent="0.3">
      <c r="A2175">
        <v>37841</v>
      </c>
      <c r="B2175">
        <v>1</v>
      </c>
      <c r="C2175" t="s">
        <v>105</v>
      </c>
      <c r="D2175" t="s">
        <v>106</v>
      </c>
      <c r="E2175" s="1">
        <v>44090</v>
      </c>
      <c r="F2175">
        <v>1</v>
      </c>
      <c r="G2175" t="s">
        <v>7</v>
      </c>
      <c r="H2175" t="s">
        <v>8</v>
      </c>
      <c r="I2175" s="3">
        <v>2033</v>
      </c>
      <c r="J2175" s="3">
        <v>2033</v>
      </c>
      <c r="K2175" s="3">
        <v>459</v>
      </c>
      <c r="L2175" t="s">
        <v>98</v>
      </c>
      <c r="M2175">
        <v>3</v>
      </c>
      <c r="N2175" t="s">
        <v>69</v>
      </c>
      <c r="O2175" t="s">
        <v>70</v>
      </c>
      <c r="P2175" t="s">
        <v>71</v>
      </c>
      <c r="Q2175" t="s">
        <v>72</v>
      </c>
      <c r="R2175" t="s">
        <v>139</v>
      </c>
      <c r="S2175" t="s">
        <v>144</v>
      </c>
      <c r="T2175" s="2">
        <f>MASTER[[#This Row],[CANTIDAD]]*MASTER[[#This Row],[PRECIO DE VENTA]]</f>
        <v>2033</v>
      </c>
      <c r="U2175" s="2">
        <f>MASTER[[#This Row],[CANTIDAD]]*MASTER[[#This Row],[COSTO UNITARIO]]</f>
        <v>459</v>
      </c>
      <c r="V2175" s="2">
        <f>MASTER[[#This Row],[MONTO VENDIDO]]-MASTER[[#This Row],[COSTO DE VENTA]]</f>
        <v>1574</v>
      </c>
    </row>
    <row r="2176" spans="1:22" x14ac:dyDescent="0.3">
      <c r="A2176">
        <v>37844</v>
      </c>
      <c r="B2176">
        <v>1</v>
      </c>
      <c r="C2176" t="s">
        <v>118</v>
      </c>
      <c r="D2176" t="s">
        <v>119</v>
      </c>
      <c r="E2176" s="1">
        <v>44090</v>
      </c>
      <c r="F2176">
        <v>1</v>
      </c>
      <c r="G2176" t="s">
        <v>55</v>
      </c>
      <c r="H2176" t="s">
        <v>56</v>
      </c>
      <c r="I2176" s="3">
        <v>900</v>
      </c>
      <c r="J2176" s="3">
        <v>900</v>
      </c>
      <c r="K2176" s="3">
        <v>424</v>
      </c>
      <c r="L2176" t="s">
        <v>120</v>
      </c>
      <c r="M2176">
        <v>14</v>
      </c>
      <c r="N2176" t="s">
        <v>87</v>
      </c>
      <c r="O2176" t="s">
        <v>81</v>
      </c>
      <c r="P2176" t="s">
        <v>18</v>
      </c>
      <c r="Q2176" t="s">
        <v>19</v>
      </c>
      <c r="R2176" t="s">
        <v>138</v>
      </c>
      <c r="S2176" t="s">
        <v>144</v>
      </c>
      <c r="T2176" s="2">
        <f>MASTER[[#This Row],[CANTIDAD]]*MASTER[[#This Row],[PRECIO DE VENTA]]</f>
        <v>900</v>
      </c>
      <c r="U2176" s="2">
        <f>MASTER[[#This Row],[CANTIDAD]]*MASTER[[#This Row],[COSTO UNITARIO]]</f>
        <v>424</v>
      </c>
      <c r="V2176" s="2">
        <f>MASTER[[#This Row],[MONTO VENDIDO]]-MASTER[[#This Row],[COSTO DE VENTA]]</f>
        <v>476</v>
      </c>
    </row>
    <row r="2177" spans="1:22" x14ac:dyDescent="0.3">
      <c r="A2177">
        <v>37849</v>
      </c>
      <c r="B2177">
        <v>1</v>
      </c>
      <c r="C2177" t="s">
        <v>109</v>
      </c>
      <c r="D2177" t="s">
        <v>110</v>
      </c>
      <c r="E2177" s="1">
        <v>44090</v>
      </c>
      <c r="F2177">
        <v>1</v>
      </c>
      <c r="G2177" t="s">
        <v>65</v>
      </c>
      <c r="H2177" t="s">
        <v>66</v>
      </c>
      <c r="I2177" s="3">
        <v>1128</v>
      </c>
      <c r="J2177" s="3">
        <v>1128</v>
      </c>
      <c r="K2177" s="3">
        <v>387</v>
      </c>
      <c r="L2177" t="s">
        <v>98</v>
      </c>
      <c r="M2177">
        <v>9</v>
      </c>
      <c r="N2177" t="s">
        <v>76</v>
      </c>
      <c r="O2177" t="s">
        <v>70</v>
      </c>
      <c r="P2177" t="s">
        <v>12</v>
      </c>
      <c r="Q2177" t="s">
        <v>13</v>
      </c>
      <c r="R2177" t="s">
        <v>13</v>
      </c>
      <c r="S2177" t="s">
        <v>144</v>
      </c>
      <c r="T2177" s="2">
        <f>MASTER[[#This Row],[CANTIDAD]]*MASTER[[#This Row],[PRECIO DE VENTA]]</f>
        <v>1128</v>
      </c>
      <c r="U2177" s="2">
        <f>MASTER[[#This Row],[CANTIDAD]]*MASTER[[#This Row],[COSTO UNITARIO]]</f>
        <v>387</v>
      </c>
      <c r="V2177" s="2">
        <f>MASTER[[#This Row],[MONTO VENDIDO]]-MASTER[[#This Row],[COSTO DE VENTA]]</f>
        <v>741</v>
      </c>
    </row>
    <row r="2178" spans="1:22" x14ac:dyDescent="0.3">
      <c r="A2178">
        <v>37862</v>
      </c>
      <c r="B2178">
        <v>1</v>
      </c>
      <c r="C2178" t="s">
        <v>111</v>
      </c>
      <c r="D2178" t="s">
        <v>112</v>
      </c>
      <c r="E2178" s="1">
        <v>44090</v>
      </c>
      <c r="F2178">
        <v>3</v>
      </c>
      <c r="G2178" t="s">
        <v>55</v>
      </c>
      <c r="H2178" t="s">
        <v>56</v>
      </c>
      <c r="I2178" s="3">
        <v>1799</v>
      </c>
      <c r="J2178" s="3">
        <v>1799</v>
      </c>
      <c r="K2178" s="3">
        <v>434</v>
      </c>
      <c r="L2178" t="s">
        <v>113</v>
      </c>
      <c r="M2178">
        <v>3</v>
      </c>
      <c r="N2178" t="s">
        <v>69</v>
      </c>
      <c r="O2178" t="s">
        <v>70</v>
      </c>
      <c r="P2178" t="s">
        <v>71</v>
      </c>
      <c r="Q2178" t="s">
        <v>72</v>
      </c>
      <c r="R2178" t="s">
        <v>139</v>
      </c>
      <c r="S2178" t="s">
        <v>144</v>
      </c>
      <c r="T2178" s="2">
        <f>MASTER[[#This Row],[CANTIDAD]]*MASTER[[#This Row],[PRECIO DE VENTA]]</f>
        <v>5397</v>
      </c>
      <c r="U2178" s="2">
        <f>MASTER[[#This Row],[CANTIDAD]]*MASTER[[#This Row],[COSTO UNITARIO]]</f>
        <v>1302</v>
      </c>
      <c r="V2178" s="2">
        <f>MASTER[[#This Row],[MONTO VENDIDO]]-MASTER[[#This Row],[COSTO DE VENTA]]</f>
        <v>4095</v>
      </c>
    </row>
    <row r="2179" spans="1:22" x14ac:dyDescent="0.3">
      <c r="A2179">
        <v>37870</v>
      </c>
      <c r="B2179">
        <v>1</v>
      </c>
      <c r="C2179" t="s">
        <v>109</v>
      </c>
      <c r="D2179" t="s">
        <v>110</v>
      </c>
      <c r="E2179" s="1">
        <v>44090</v>
      </c>
      <c r="F2179">
        <v>1</v>
      </c>
      <c r="G2179" t="s">
        <v>7</v>
      </c>
      <c r="H2179" t="s">
        <v>8</v>
      </c>
      <c r="I2179" s="3">
        <v>1128</v>
      </c>
      <c r="J2179" s="3">
        <v>1128</v>
      </c>
      <c r="K2179" s="3">
        <v>387</v>
      </c>
      <c r="L2179" t="s">
        <v>98</v>
      </c>
      <c r="M2179">
        <v>18</v>
      </c>
      <c r="N2179" t="s">
        <v>79</v>
      </c>
      <c r="O2179" t="s">
        <v>70</v>
      </c>
      <c r="P2179" t="s">
        <v>15</v>
      </c>
      <c r="Q2179" t="s">
        <v>16</v>
      </c>
      <c r="R2179" t="s">
        <v>16</v>
      </c>
      <c r="S2179" t="s">
        <v>144</v>
      </c>
      <c r="T2179" s="2">
        <f>MASTER[[#This Row],[CANTIDAD]]*MASTER[[#This Row],[PRECIO DE VENTA]]</f>
        <v>1128</v>
      </c>
      <c r="U2179" s="2">
        <f>MASTER[[#This Row],[CANTIDAD]]*MASTER[[#This Row],[COSTO UNITARIO]]</f>
        <v>387</v>
      </c>
      <c r="V2179" s="2">
        <f>MASTER[[#This Row],[MONTO VENDIDO]]-MASTER[[#This Row],[COSTO DE VENTA]]</f>
        <v>741</v>
      </c>
    </row>
    <row r="2180" spans="1:22" x14ac:dyDescent="0.3">
      <c r="A2180">
        <v>37872</v>
      </c>
      <c r="B2180">
        <v>1</v>
      </c>
      <c r="C2180" t="s">
        <v>111</v>
      </c>
      <c r="D2180" t="s">
        <v>112</v>
      </c>
      <c r="E2180" s="1">
        <v>44091</v>
      </c>
      <c r="F2180">
        <v>1</v>
      </c>
      <c r="G2180" t="s">
        <v>7</v>
      </c>
      <c r="H2180" t="s">
        <v>8</v>
      </c>
      <c r="I2180" s="3">
        <v>1524</v>
      </c>
      <c r="J2180" s="3">
        <v>1524</v>
      </c>
      <c r="K2180" s="3">
        <v>434</v>
      </c>
      <c r="L2180" t="s">
        <v>113</v>
      </c>
      <c r="M2180">
        <v>16</v>
      </c>
      <c r="N2180" t="s">
        <v>17</v>
      </c>
      <c r="O2180" t="s">
        <v>11</v>
      </c>
      <c r="P2180" t="s">
        <v>18</v>
      </c>
      <c r="Q2180" t="s">
        <v>19</v>
      </c>
      <c r="R2180" t="s">
        <v>138</v>
      </c>
      <c r="S2180" t="s">
        <v>144</v>
      </c>
      <c r="T2180" s="2">
        <f>MASTER[[#This Row],[CANTIDAD]]*MASTER[[#This Row],[PRECIO DE VENTA]]</f>
        <v>1524</v>
      </c>
      <c r="U2180" s="2">
        <f>MASTER[[#This Row],[CANTIDAD]]*MASTER[[#This Row],[COSTO UNITARIO]]</f>
        <v>434</v>
      </c>
      <c r="V2180" s="2">
        <f>MASTER[[#This Row],[MONTO VENDIDO]]-MASTER[[#This Row],[COSTO DE VENTA]]</f>
        <v>1090</v>
      </c>
    </row>
    <row r="2181" spans="1:22" x14ac:dyDescent="0.3">
      <c r="A2181">
        <v>37886</v>
      </c>
      <c r="B2181">
        <v>1</v>
      </c>
      <c r="C2181" t="s">
        <v>103</v>
      </c>
      <c r="D2181" t="s">
        <v>104</v>
      </c>
      <c r="E2181" s="1">
        <v>44091</v>
      </c>
      <c r="F2181">
        <v>3</v>
      </c>
      <c r="G2181" t="s">
        <v>47</v>
      </c>
      <c r="H2181" t="s">
        <v>48</v>
      </c>
      <c r="I2181" s="3">
        <v>1830</v>
      </c>
      <c r="J2181" s="3">
        <v>1830</v>
      </c>
      <c r="K2181" s="3">
        <v>421</v>
      </c>
      <c r="L2181" t="s">
        <v>98</v>
      </c>
      <c r="M2181">
        <v>1</v>
      </c>
      <c r="N2181" t="s">
        <v>77</v>
      </c>
      <c r="O2181" t="s">
        <v>70</v>
      </c>
      <c r="P2181" t="s">
        <v>71</v>
      </c>
      <c r="Q2181" t="s">
        <v>72</v>
      </c>
      <c r="R2181" t="s">
        <v>139</v>
      </c>
      <c r="S2181" t="s">
        <v>144</v>
      </c>
      <c r="T2181" s="2">
        <f>MASTER[[#This Row],[CANTIDAD]]*MASTER[[#This Row],[PRECIO DE VENTA]]</f>
        <v>5490</v>
      </c>
      <c r="U2181" s="2">
        <f>MASTER[[#This Row],[CANTIDAD]]*MASTER[[#This Row],[COSTO UNITARIO]]</f>
        <v>1263</v>
      </c>
      <c r="V2181" s="2">
        <f>MASTER[[#This Row],[MONTO VENDIDO]]-MASTER[[#This Row],[COSTO DE VENTA]]</f>
        <v>4227</v>
      </c>
    </row>
    <row r="2182" spans="1:22" x14ac:dyDescent="0.3">
      <c r="A2182">
        <v>37917</v>
      </c>
      <c r="B2182">
        <v>1</v>
      </c>
      <c r="C2182" t="s">
        <v>101</v>
      </c>
      <c r="D2182" t="s">
        <v>102</v>
      </c>
      <c r="E2182" s="1">
        <v>44091</v>
      </c>
      <c r="F2182">
        <v>1</v>
      </c>
      <c r="G2182" t="s">
        <v>65</v>
      </c>
      <c r="H2182" t="s">
        <v>66</v>
      </c>
      <c r="I2182" s="3">
        <v>1212</v>
      </c>
      <c r="J2182" s="3">
        <v>1212</v>
      </c>
      <c r="K2182" s="3">
        <v>442</v>
      </c>
      <c r="L2182" t="s">
        <v>98</v>
      </c>
      <c r="M2182">
        <v>4</v>
      </c>
      <c r="N2182" t="s">
        <v>82</v>
      </c>
      <c r="O2182" t="s">
        <v>81</v>
      </c>
      <c r="P2182" t="s">
        <v>71</v>
      </c>
      <c r="Q2182" t="s">
        <v>72</v>
      </c>
      <c r="R2182" t="s">
        <v>139</v>
      </c>
      <c r="S2182" t="s">
        <v>144</v>
      </c>
      <c r="T2182" s="2">
        <f>MASTER[[#This Row],[CANTIDAD]]*MASTER[[#This Row],[PRECIO DE VENTA]]</f>
        <v>1212</v>
      </c>
      <c r="U2182" s="2">
        <f>MASTER[[#This Row],[CANTIDAD]]*MASTER[[#This Row],[COSTO UNITARIO]]</f>
        <v>442</v>
      </c>
      <c r="V2182" s="2">
        <f>MASTER[[#This Row],[MONTO VENDIDO]]-MASTER[[#This Row],[COSTO DE VENTA]]</f>
        <v>770</v>
      </c>
    </row>
    <row r="2183" spans="1:22" x14ac:dyDescent="0.3">
      <c r="A2183">
        <v>37952</v>
      </c>
      <c r="B2183">
        <v>1</v>
      </c>
      <c r="C2183" t="s">
        <v>116</v>
      </c>
      <c r="D2183" t="s">
        <v>117</v>
      </c>
      <c r="E2183" s="1">
        <v>44091</v>
      </c>
      <c r="F2183">
        <v>1</v>
      </c>
      <c r="G2183" t="s">
        <v>24</v>
      </c>
      <c r="H2183" t="s">
        <v>25</v>
      </c>
      <c r="I2183" s="3">
        <v>1999</v>
      </c>
      <c r="J2183" s="3">
        <v>1999</v>
      </c>
      <c r="K2183" s="3">
        <v>388</v>
      </c>
      <c r="L2183" t="s">
        <v>113</v>
      </c>
      <c r="M2183">
        <v>18</v>
      </c>
      <c r="N2183" t="s">
        <v>79</v>
      </c>
      <c r="O2183" t="s">
        <v>70</v>
      </c>
      <c r="P2183" t="s">
        <v>15</v>
      </c>
      <c r="Q2183" t="s">
        <v>16</v>
      </c>
      <c r="R2183" t="s">
        <v>16</v>
      </c>
      <c r="S2183" t="s">
        <v>144</v>
      </c>
      <c r="T2183" s="2">
        <f>MASTER[[#This Row],[CANTIDAD]]*MASTER[[#This Row],[PRECIO DE VENTA]]</f>
        <v>1999</v>
      </c>
      <c r="U2183" s="2">
        <f>MASTER[[#This Row],[CANTIDAD]]*MASTER[[#This Row],[COSTO UNITARIO]]</f>
        <v>388</v>
      </c>
      <c r="V2183" s="2">
        <f>MASTER[[#This Row],[MONTO VENDIDO]]-MASTER[[#This Row],[COSTO DE VENTA]]</f>
        <v>1611</v>
      </c>
    </row>
    <row r="2184" spans="1:22" x14ac:dyDescent="0.3">
      <c r="A2184">
        <v>37957</v>
      </c>
      <c r="B2184">
        <v>1</v>
      </c>
      <c r="C2184" t="s">
        <v>105</v>
      </c>
      <c r="D2184" t="s">
        <v>106</v>
      </c>
      <c r="E2184" s="1">
        <v>44091</v>
      </c>
      <c r="F2184">
        <v>1</v>
      </c>
      <c r="G2184" t="s">
        <v>7</v>
      </c>
      <c r="H2184" t="s">
        <v>8</v>
      </c>
      <c r="I2184" s="3">
        <v>1585</v>
      </c>
      <c r="J2184" s="3">
        <v>1585</v>
      </c>
      <c r="K2184" s="3">
        <v>459</v>
      </c>
      <c r="L2184" t="s">
        <v>98</v>
      </c>
      <c r="M2184">
        <v>12</v>
      </c>
      <c r="N2184" t="s">
        <v>26</v>
      </c>
      <c r="O2184" t="s">
        <v>11</v>
      </c>
      <c r="P2184" t="s">
        <v>12</v>
      </c>
      <c r="Q2184" t="s">
        <v>13</v>
      </c>
      <c r="R2184" t="s">
        <v>13</v>
      </c>
      <c r="S2184" t="s">
        <v>144</v>
      </c>
      <c r="T2184" s="2">
        <f>MASTER[[#This Row],[CANTIDAD]]*MASTER[[#This Row],[PRECIO DE VENTA]]</f>
        <v>1585</v>
      </c>
      <c r="U2184" s="2">
        <f>MASTER[[#This Row],[CANTIDAD]]*MASTER[[#This Row],[COSTO UNITARIO]]</f>
        <v>459</v>
      </c>
      <c r="V2184" s="2">
        <f>MASTER[[#This Row],[MONTO VENDIDO]]-MASTER[[#This Row],[COSTO DE VENTA]]</f>
        <v>1126</v>
      </c>
    </row>
    <row r="2185" spans="1:22" x14ac:dyDescent="0.3">
      <c r="A2185">
        <v>37958</v>
      </c>
      <c r="B2185">
        <v>1</v>
      </c>
      <c r="C2185" t="s">
        <v>103</v>
      </c>
      <c r="D2185" t="s">
        <v>104</v>
      </c>
      <c r="E2185" s="1">
        <v>44091</v>
      </c>
      <c r="F2185">
        <v>1</v>
      </c>
      <c r="G2185" t="s">
        <v>51</v>
      </c>
      <c r="H2185" t="s">
        <v>52</v>
      </c>
      <c r="I2185" s="3">
        <v>1591</v>
      </c>
      <c r="J2185" s="3">
        <v>1591</v>
      </c>
      <c r="K2185" s="3">
        <v>421</v>
      </c>
      <c r="L2185" t="s">
        <v>98</v>
      </c>
      <c r="M2185">
        <v>2</v>
      </c>
      <c r="N2185" t="s">
        <v>86</v>
      </c>
      <c r="O2185" t="s">
        <v>81</v>
      </c>
      <c r="P2185" t="s">
        <v>71</v>
      </c>
      <c r="Q2185" t="s">
        <v>72</v>
      </c>
      <c r="R2185" t="s">
        <v>139</v>
      </c>
      <c r="S2185" t="s">
        <v>144</v>
      </c>
      <c r="T2185" s="2">
        <f>MASTER[[#This Row],[CANTIDAD]]*MASTER[[#This Row],[PRECIO DE VENTA]]</f>
        <v>1591</v>
      </c>
      <c r="U2185" s="2">
        <f>MASTER[[#This Row],[CANTIDAD]]*MASTER[[#This Row],[COSTO UNITARIO]]</f>
        <v>421</v>
      </c>
      <c r="V2185" s="2">
        <f>MASTER[[#This Row],[MONTO VENDIDO]]-MASTER[[#This Row],[COSTO DE VENTA]]</f>
        <v>1170</v>
      </c>
    </row>
    <row r="2186" spans="1:22" x14ac:dyDescent="0.3">
      <c r="A2186">
        <v>37965</v>
      </c>
      <c r="B2186">
        <v>1</v>
      </c>
      <c r="C2186" t="s">
        <v>101</v>
      </c>
      <c r="D2186" t="s">
        <v>102</v>
      </c>
      <c r="E2186" s="1">
        <v>44091</v>
      </c>
      <c r="F2186">
        <v>1</v>
      </c>
      <c r="G2186" t="s">
        <v>33</v>
      </c>
      <c r="H2186" t="s">
        <v>34</v>
      </c>
      <c r="I2186" s="3">
        <v>1357</v>
      </c>
      <c r="J2186" s="3">
        <v>1357</v>
      </c>
      <c r="K2186" s="3">
        <v>442</v>
      </c>
      <c r="L2186" t="s">
        <v>98</v>
      </c>
      <c r="M2186">
        <v>3</v>
      </c>
      <c r="N2186" t="s">
        <v>69</v>
      </c>
      <c r="O2186" t="s">
        <v>70</v>
      </c>
      <c r="P2186" t="s">
        <v>71</v>
      </c>
      <c r="Q2186" t="s">
        <v>72</v>
      </c>
      <c r="R2186" t="s">
        <v>139</v>
      </c>
      <c r="S2186" t="s">
        <v>144</v>
      </c>
      <c r="T2186" s="2">
        <f>MASTER[[#This Row],[CANTIDAD]]*MASTER[[#This Row],[PRECIO DE VENTA]]</f>
        <v>1357</v>
      </c>
      <c r="U2186" s="2">
        <f>MASTER[[#This Row],[CANTIDAD]]*MASTER[[#This Row],[COSTO UNITARIO]]</f>
        <v>442</v>
      </c>
      <c r="V2186" s="2">
        <f>MASTER[[#This Row],[MONTO VENDIDO]]-MASTER[[#This Row],[COSTO DE VENTA]]</f>
        <v>915</v>
      </c>
    </row>
    <row r="2187" spans="1:22" x14ac:dyDescent="0.3">
      <c r="A2187">
        <v>38023</v>
      </c>
      <c r="B2187">
        <v>1</v>
      </c>
      <c r="C2187" t="s">
        <v>121</v>
      </c>
      <c r="D2187" t="s">
        <v>122</v>
      </c>
      <c r="E2187" s="1">
        <v>44091</v>
      </c>
      <c r="F2187">
        <v>1</v>
      </c>
      <c r="G2187" t="s">
        <v>31</v>
      </c>
      <c r="H2187" t="s">
        <v>32</v>
      </c>
      <c r="I2187" s="3">
        <v>1069</v>
      </c>
      <c r="J2187" s="3">
        <v>1069</v>
      </c>
      <c r="K2187" s="3">
        <v>460</v>
      </c>
      <c r="L2187" t="s">
        <v>120</v>
      </c>
      <c r="M2187">
        <v>8</v>
      </c>
      <c r="N2187" t="s">
        <v>80</v>
      </c>
      <c r="O2187" t="s">
        <v>81</v>
      </c>
      <c r="P2187" t="s">
        <v>12</v>
      </c>
      <c r="Q2187" t="s">
        <v>13</v>
      </c>
      <c r="R2187" t="s">
        <v>13</v>
      </c>
      <c r="S2187" t="s">
        <v>144</v>
      </c>
      <c r="T2187" s="2">
        <f>MASTER[[#This Row],[CANTIDAD]]*MASTER[[#This Row],[PRECIO DE VENTA]]</f>
        <v>1069</v>
      </c>
      <c r="U2187" s="2">
        <f>MASTER[[#This Row],[CANTIDAD]]*MASTER[[#This Row],[COSTO UNITARIO]]</f>
        <v>460</v>
      </c>
      <c r="V2187" s="2">
        <f>MASTER[[#This Row],[MONTO VENDIDO]]-MASTER[[#This Row],[COSTO DE VENTA]]</f>
        <v>609</v>
      </c>
    </row>
    <row r="2188" spans="1:22" x14ac:dyDescent="0.3">
      <c r="A2188">
        <v>38036</v>
      </c>
      <c r="B2188">
        <v>1</v>
      </c>
      <c r="C2188" t="s">
        <v>103</v>
      </c>
      <c r="D2188" t="s">
        <v>104</v>
      </c>
      <c r="E2188" s="1">
        <v>44091</v>
      </c>
      <c r="F2188">
        <v>1</v>
      </c>
      <c r="G2188" t="s">
        <v>35</v>
      </c>
      <c r="H2188" t="s">
        <v>36</v>
      </c>
      <c r="I2188" s="3">
        <v>1591</v>
      </c>
      <c r="J2188" s="3">
        <v>1591</v>
      </c>
      <c r="K2188" s="3">
        <v>421</v>
      </c>
      <c r="L2188" t="s">
        <v>98</v>
      </c>
      <c r="M2188">
        <v>8</v>
      </c>
      <c r="N2188" t="s">
        <v>80</v>
      </c>
      <c r="O2188" t="s">
        <v>81</v>
      </c>
      <c r="P2188" t="s">
        <v>12</v>
      </c>
      <c r="Q2188" t="s">
        <v>13</v>
      </c>
      <c r="R2188" t="s">
        <v>13</v>
      </c>
      <c r="S2188" t="s">
        <v>144</v>
      </c>
      <c r="T2188" s="2">
        <f>MASTER[[#This Row],[CANTIDAD]]*MASTER[[#This Row],[PRECIO DE VENTA]]</f>
        <v>1591</v>
      </c>
      <c r="U2188" s="2">
        <f>MASTER[[#This Row],[CANTIDAD]]*MASTER[[#This Row],[COSTO UNITARIO]]</f>
        <v>421</v>
      </c>
      <c r="V2188" s="2">
        <f>MASTER[[#This Row],[MONTO VENDIDO]]-MASTER[[#This Row],[COSTO DE VENTA]]</f>
        <v>1170</v>
      </c>
    </row>
    <row r="2189" spans="1:22" x14ac:dyDescent="0.3">
      <c r="A2189">
        <v>38055</v>
      </c>
      <c r="B2189">
        <v>1</v>
      </c>
      <c r="C2189" t="s">
        <v>109</v>
      </c>
      <c r="D2189" t="s">
        <v>110</v>
      </c>
      <c r="E2189" s="1">
        <v>44091</v>
      </c>
      <c r="F2189">
        <v>1</v>
      </c>
      <c r="G2189" t="s">
        <v>61</v>
      </c>
      <c r="H2189" t="s">
        <v>62</v>
      </c>
      <c r="I2189" s="3">
        <v>947</v>
      </c>
      <c r="J2189" s="3">
        <v>947</v>
      </c>
      <c r="K2189" s="3">
        <v>387</v>
      </c>
      <c r="L2189" t="s">
        <v>98</v>
      </c>
      <c r="M2189">
        <v>12</v>
      </c>
      <c r="N2189" t="s">
        <v>26</v>
      </c>
      <c r="O2189" t="s">
        <v>11</v>
      </c>
      <c r="P2189" t="s">
        <v>12</v>
      </c>
      <c r="Q2189" t="s">
        <v>13</v>
      </c>
      <c r="R2189" t="s">
        <v>13</v>
      </c>
      <c r="S2189" t="s">
        <v>144</v>
      </c>
      <c r="T2189" s="2">
        <f>MASTER[[#This Row],[CANTIDAD]]*MASTER[[#This Row],[PRECIO DE VENTA]]</f>
        <v>947</v>
      </c>
      <c r="U2189" s="2">
        <f>MASTER[[#This Row],[CANTIDAD]]*MASTER[[#This Row],[COSTO UNITARIO]]</f>
        <v>387</v>
      </c>
      <c r="V2189" s="2">
        <f>MASTER[[#This Row],[MONTO VENDIDO]]-MASTER[[#This Row],[COSTO DE VENTA]]</f>
        <v>560</v>
      </c>
    </row>
    <row r="2190" spans="1:22" x14ac:dyDescent="0.3">
      <c r="A2190">
        <v>38065</v>
      </c>
      <c r="B2190">
        <v>1</v>
      </c>
      <c r="C2190" t="s">
        <v>5</v>
      </c>
      <c r="D2190" t="s">
        <v>6</v>
      </c>
      <c r="E2190" s="1">
        <v>44091</v>
      </c>
      <c r="F2190">
        <v>1</v>
      </c>
      <c r="G2190" t="s">
        <v>55</v>
      </c>
      <c r="H2190" t="s">
        <v>56</v>
      </c>
      <c r="I2190" s="3">
        <v>1296</v>
      </c>
      <c r="J2190" s="3">
        <v>1296</v>
      </c>
      <c r="K2190" s="3">
        <v>393</v>
      </c>
      <c r="L2190" t="s">
        <v>9</v>
      </c>
      <c r="M2190">
        <v>3</v>
      </c>
      <c r="N2190" t="s">
        <v>69</v>
      </c>
      <c r="O2190" t="s">
        <v>70</v>
      </c>
      <c r="P2190" t="s">
        <v>71</v>
      </c>
      <c r="Q2190" t="s">
        <v>72</v>
      </c>
      <c r="R2190" t="s">
        <v>139</v>
      </c>
      <c r="S2190" t="s">
        <v>144</v>
      </c>
      <c r="T2190" s="2">
        <f>MASTER[[#This Row],[CANTIDAD]]*MASTER[[#This Row],[PRECIO DE VENTA]]</f>
        <v>1296</v>
      </c>
      <c r="U2190" s="2">
        <f>MASTER[[#This Row],[CANTIDAD]]*MASTER[[#This Row],[COSTO UNITARIO]]</f>
        <v>393</v>
      </c>
      <c r="V2190" s="2">
        <f>MASTER[[#This Row],[MONTO VENDIDO]]-MASTER[[#This Row],[COSTO DE VENTA]]</f>
        <v>903</v>
      </c>
    </row>
    <row r="2191" spans="1:22" x14ac:dyDescent="0.3">
      <c r="A2191">
        <v>38140</v>
      </c>
      <c r="B2191">
        <v>1</v>
      </c>
      <c r="C2191" t="s">
        <v>111</v>
      </c>
      <c r="D2191" t="s">
        <v>112</v>
      </c>
      <c r="E2191" s="1">
        <v>44091</v>
      </c>
      <c r="F2191">
        <v>1</v>
      </c>
      <c r="G2191" t="s">
        <v>37</v>
      </c>
      <c r="H2191" t="s">
        <v>38</v>
      </c>
      <c r="I2191" s="3">
        <v>1799</v>
      </c>
      <c r="J2191" s="3">
        <v>1799</v>
      </c>
      <c r="K2191" s="3">
        <v>434</v>
      </c>
      <c r="L2191" t="s">
        <v>113</v>
      </c>
      <c r="M2191">
        <v>18</v>
      </c>
      <c r="N2191" t="s">
        <v>79</v>
      </c>
      <c r="O2191" t="s">
        <v>70</v>
      </c>
      <c r="P2191" t="s">
        <v>15</v>
      </c>
      <c r="Q2191" t="s">
        <v>16</v>
      </c>
      <c r="R2191" t="s">
        <v>16</v>
      </c>
      <c r="S2191" t="s">
        <v>144</v>
      </c>
      <c r="T2191" s="2">
        <f>MASTER[[#This Row],[CANTIDAD]]*MASTER[[#This Row],[PRECIO DE VENTA]]</f>
        <v>1799</v>
      </c>
      <c r="U2191" s="2">
        <f>MASTER[[#This Row],[CANTIDAD]]*MASTER[[#This Row],[COSTO UNITARIO]]</f>
        <v>434</v>
      </c>
      <c r="V2191" s="2">
        <f>MASTER[[#This Row],[MONTO VENDIDO]]-MASTER[[#This Row],[COSTO DE VENTA]]</f>
        <v>1365</v>
      </c>
    </row>
    <row r="2192" spans="1:22" x14ac:dyDescent="0.3">
      <c r="A2192">
        <v>38144</v>
      </c>
      <c r="B2192">
        <v>1</v>
      </c>
      <c r="C2192" t="s">
        <v>111</v>
      </c>
      <c r="D2192" t="s">
        <v>112</v>
      </c>
      <c r="E2192" s="1">
        <v>44091</v>
      </c>
      <c r="F2192">
        <v>1</v>
      </c>
      <c r="G2192" t="s">
        <v>7</v>
      </c>
      <c r="H2192" t="s">
        <v>8</v>
      </c>
      <c r="I2192" s="3">
        <v>1621</v>
      </c>
      <c r="J2192" s="3">
        <v>1556</v>
      </c>
      <c r="K2192" s="3">
        <v>434</v>
      </c>
      <c r="L2192" t="s">
        <v>113</v>
      </c>
      <c r="M2192">
        <v>14</v>
      </c>
      <c r="N2192" t="s">
        <v>87</v>
      </c>
      <c r="O2192" t="s">
        <v>81</v>
      </c>
      <c r="P2192" t="s">
        <v>18</v>
      </c>
      <c r="Q2192" t="s">
        <v>19</v>
      </c>
      <c r="R2192" t="s">
        <v>138</v>
      </c>
      <c r="S2192" t="s">
        <v>144</v>
      </c>
      <c r="T2192" s="2">
        <f>MASTER[[#This Row],[CANTIDAD]]*MASTER[[#This Row],[PRECIO DE VENTA]]</f>
        <v>1556</v>
      </c>
      <c r="U2192" s="2">
        <f>MASTER[[#This Row],[CANTIDAD]]*MASTER[[#This Row],[COSTO UNITARIO]]</f>
        <v>434</v>
      </c>
      <c r="V2192" s="2">
        <f>MASTER[[#This Row],[MONTO VENDIDO]]-MASTER[[#This Row],[COSTO DE VENTA]]</f>
        <v>1122</v>
      </c>
    </row>
    <row r="2193" spans="1:22" x14ac:dyDescent="0.3">
      <c r="A2193">
        <v>38146</v>
      </c>
      <c r="B2193">
        <v>1</v>
      </c>
      <c r="C2193" t="s">
        <v>99</v>
      </c>
      <c r="D2193" t="s">
        <v>100</v>
      </c>
      <c r="E2193" s="1">
        <v>44092</v>
      </c>
      <c r="F2193">
        <v>1</v>
      </c>
      <c r="G2193" t="s">
        <v>53</v>
      </c>
      <c r="H2193" t="s">
        <v>54</v>
      </c>
      <c r="I2193" s="3">
        <v>1459</v>
      </c>
      <c r="J2193" s="3">
        <v>1459</v>
      </c>
      <c r="K2193" s="3">
        <v>386</v>
      </c>
      <c r="L2193" t="s">
        <v>98</v>
      </c>
      <c r="M2193">
        <v>14</v>
      </c>
      <c r="N2193" t="s">
        <v>87</v>
      </c>
      <c r="O2193" t="s">
        <v>81</v>
      </c>
      <c r="P2193" t="s">
        <v>18</v>
      </c>
      <c r="Q2193" t="s">
        <v>19</v>
      </c>
      <c r="R2193" t="s">
        <v>138</v>
      </c>
      <c r="S2193" t="s">
        <v>144</v>
      </c>
      <c r="T2193" s="2">
        <f>MASTER[[#This Row],[CANTIDAD]]*MASTER[[#This Row],[PRECIO DE VENTA]]</f>
        <v>1459</v>
      </c>
      <c r="U2193" s="2">
        <f>MASTER[[#This Row],[CANTIDAD]]*MASTER[[#This Row],[COSTO UNITARIO]]</f>
        <v>386</v>
      </c>
      <c r="V2193" s="2">
        <f>MASTER[[#This Row],[MONTO VENDIDO]]-MASTER[[#This Row],[COSTO DE VENTA]]</f>
        <v>1073</v>
      </c>
    </row>
    <row r="2194" spans="1:22" x14ac:dyDescent="0.3">
      <c r="A2194">
        <v>38146</v>
      </c>
      <c r="B2194">
        <v>2</v>
      </c>
      <c r="C2194" t="s">
        <v>103</v>
      </c>
      <c r="D2194" t="s">
        <v>104</v>
      </c>
      <c r="E2194" s="1">
        <v>44092</v>
      </c>
      <c r="F2194">
        <v>1</v>
      </c>
      <c r="G2194" t="s">
        <v>51</v>
      </c>
      <c r="H2194" t="s">
        <v>52</v>
      </c>
      <c r="I2194" s="3">
        <v>1591</v>
      </c>
      <c r="J2194" s="3">
        <v>1591</v>
      </c>
      <c r="K2194" s="3">
        <v>421</v>
      </c>
      <c r="L2194" t="s">
        <v>98</v>
      </c>
      <c r="M2194">
        <v>14</v>
      </c>
      <c r="N2194" t="s">
        <v>87</v>
      </c>
      <c r="O2194" t="s">
        <v>81</v>
      </c>
      <c r="P2194" t="s">
        <v>18</v>
      </c>
      <c r="Q2194" t="s">
        <v>19</v>
      </c>
      <c r="R2194" t="s">
        <v>138</v>
      </c>
      <c r="S2194" t="s">
        <v>144</v>
      </c>
      <c r="T2194" s="2">
        <f>MASTER[[#This Row],[CANTIDAD]]*MASTER[[#This Row],[PRECIO DE VENTA]]</f>
        <v>1591</v>
      </c>
      <c r="U2194" s="2">
        <f>MASTER[[#This Row],[CANTIDAD]]*MASTER[[#This Row],[COSTO UNITARIO]]</f>
        <v>421</v>
      </c>
      <c r="V2194" s="2">
        <f>MASTER[[#This Row],[MONTO VENDIDO]]-MASTER[[#This Row],[COSTO DE VENTA]]</f>
        <v>1170</v>
      </c>
    </row>
    <row r="2195" spans="1:22" x14ac:dyDescent="0.3">
      <c r="A2195">
        <v>38190</v>
      </c>
      <c r="B2195">
        <v>1</v>
      </c>
      <c r="C2195" t="s">
        <v>107</v>
      </c>
      <c r="D2195" t="s">
        <v>108</v>
      </c>
      <c r="E2195" s="1">
        <v>44092</v>
      </c>
      <c r="F2195">
        <v>1</v>
      </c>
      <c r="G2195" t="s">
        <v>29</v>
      </c>
      <c r="H2195" t="s">
        <v>30</v>
      </c>
      <c r="I2195" s="3">
        <v>1240</v>
      </c>
      <c r="J2195" s="3">
        <v>1240</v>
      </c>
      <c r="K2195" s="3">
        <v>380</v>
      </c>
      <c r="L2195" t="s">
        <v>98</v>
      </c>
      <c r="M2195">
        <v>16</v>
      </c>
      <c r="N2195" t="s">
        <v>17</v>
      </c>
      <c r="O2195" t="s">
        <v>11</v>
      </c>
      <c r="P2195" t="s">
        <v>18</v>
      </c>
      <c r="Q2195" t="s">
        <v>19</v>
      </c>
      <c r="R2195" t="s">
        <v>138</v>
      </c>
      <c r="S2195" t="s">
        <v>144</v>
      </c>
      <c r="T2195" s="2">
        <f>MASTER[[#This Row],[CANTIDAD]]*MASTER[[#This Row],[PRECIO DE VENTA]]</f>
        <v>1240</v>
      </c>
      <c r="U2195" s="2">
        <f>MASTER[[#This Row],[CANTIDAD]]*MASTER[[#This Row],[COSTO UNITARIO]]</f>
        <v>380</v>
      </c>
      <c r="V2195" s="2">
        <f>MASTER[[#This Row],[MONTO VENDIDO]]-MASTER[[#This Row],[COSTO DE VENTA]]</f>
        <v>860</v>
      </c>
    </row>
    <row r="2196" spans="1:22" x14ac:dyDescent="0.3">
      <c r="A2196">
        <v>38195</v>
      </c>
      <c r="B2196">
        <v>1</v>
      </c>
      <c r="C2196" t="s">
        <v>109</v>
      </c>
      <c r="D2196" t="s">
        <v>110</v>
      </c>
      <c r="E2196" s="1">
        <v>44092</v>
      </c>
      <c r="F2196">
        <v>1</v>
      </c>
      <c r="G2196" t="s">
        <v>47</v>
      </c>
      <c r="H2196" t="s">
        <v>48</v>
      </c>
      <c r="I2196" s="3">
        <v>1128</v>
      </c>
      <c r="J2196" s="3">
        <v>1128</v>
      </c>
      <c r="K2196" s="3">
        <v>387</v>
      </c>
      <c r="L2196" t="s">
        <v>98</v>
      </c>
      <c r="M2196">
        <v>9</v>
      </c>
      <c r="N2196" t="s">
        <v>76</v>
      </c>
      <c r="O2196" t="s">
        <v>70</v>
      </c>
      <c r="P2196" t="s">
        <v>12</v>
      </c>
      <c r="Q2196" t="s">
        <v>13</v>
      </c>
      <c r="R2196" t="s">
        <v>13</v>
      </c>
      <c r="S2196" t="s">
        <v>144</v>
      </c>
      <c r="T2196" s="2">
        <f>MASTER[[#This Row],[CANTIDAD]]*MASTER[[#This Row],[PRECIO DE VENTA]]</f>
        <v>1128</v>
      </c>
      <c r="U2196" s="2">
        <f>MASTER[[#This Row],[CANTIDAD]]*MASTER[[#This Row],[COSTO UNITARIO]]</f>
        <v>387</v>
      </c>
      <c r="V2196" s="2">
        <f>MASTER[[#This Row],[MONTO VENDIDO]]-MASTER[[#This Row],[COSTO DE VENTA]]</f>
        <v>741</v>
      </c>
    </row>
    <row r="2197" spans="1:22" x14ac:dyDescent="0.3">
      <c r="A2197">
        <v>38216</v>
      </c>
      <c r="B2197">
        <v>1</v>
      </c>
      <c r="C2197" t="s">
        <v>101</v>
      </c>
      <c r="D2197" t="s">
        <v>102</v>
      </c>
      <c r="E2197" s="1">
        <v>44092</v>
      </c>
      <c r="F2197">
        <v>1</v>
      </c>
      <c r="G2197" t="s">
        <v>27</v>
      </c>
      <c r="H2197" t="s">
        <v>28</v>
      </c>
      <c r="I2197" s="3">
        <v>1054</v>
      </c>
      <c r="J2197" s="3">
        <v>1001</v>
      </c>
      <c r="K2197" s="3">
        <v>442</v>
      </c>
      <c r="L2197" t="s">
        <v>98</v>
      </c>
      <c r="M2197">
        <v>12</v>
      </c>
      <c r="N2197" t="s">
        <v>26</v>
      </c>
      <c r="O2197" t="s">
        <v>11</v>
      </c>
      <c r="P2197" t="s">
        <v>12</v>
      </c>
      <c r="Q2197" t="s">
        <v>13</v>
      </c>
      <c r="R2197" t="s">
        <v>13</v>
      </c>
      <c r="S2197" t="s">
        <v>144</v>
      </c>
      <c r="T2197" s="2">
        <f>MASTER[[#This Row],[CANTIDAD]]*MASTER[[#This Row],[PRECIO DE VENTA]]</f>
        <v>1001</v>
      </c>
      <c r="U2197" s="2">
        <f>MASTER[[#This Row],[CANTIDAD]]*MASTER[[#This Row],[COSTO UNITARIO]]</f>
        <v>442</v>
      </c>
      <c r="V2197" s="2">
        <f>MASTER[[#This Row],[MONTO VENDIDO]]-MASTER[[#This Row],[COSTO DE VENTA]]</f>
        <v>559</v>
      </c>
    </row>
    <row r="2198" spans="1:22" x14ac:dyDescent="0.3">
      <c r="A2198">
        <v>38236</v>
      </c>
      <c r="B2198">
        <v>1</v>
      </c>
      <c r="C2198" t="s">
        <v>109</v>
      </c>
      <c r="D2198" t="s">
        <v>110</v>
      </c>
      <c r="E2198" s="1">
        <v>44092</v>
      </c>
      <c r="F2198">
        <v>1</v>
      </c>
      <c r="G2198" t="s">
        <v>22</v>
      </c>
      <c r="H2198" t="s">
        <v>23</v>
      </c>
      <c r="I2198" s="3">
        <v>1128</v>
      </c>
      <c r="J2198" s="3">
        <v>1128</v>
      </c>
      <c r="K2198" s="3">
        <v>387</v>
      </c>
      <c r="L2198" t="s">
        <v>98</v>
      </c>
      <c r="M2198">
        <v>3</v>
      </c>
      <c r="N2198" t="s">
        <v>69</v>
      </c>
      <c r="O2198" t="s">
        <v>70</v>
      </c>
      <c r="P2198" t="s">
        <v>71</v>
      </c>
      <c r="Q2198" t="s">
        <v>72</v>
      </c>
      <c r="R2198" t="s">
        <v>139</v>
      </c>
      <c r="S2198" t="s">
        <v>144</v>
      </c>
      <c r="T2198" s="2">
        <f>MASTER[[#This Row],[CANTIDAD]]*MASTER[[#This Row],[PRECIO DE VENTA]]</f>
        <v>1128</v>
      </c>
      <c r="U2198" s="2">
        <f>MASTER[[#This Row],[CANTIDAD]]*MASTER[[#This Row],[COSTO UNITARIO]]</f>
        <v>387</v>
      </c>
      <c r="V2198" s="2">
        <f>MASTER[[#This Row],[MONTO VENDIDO]]-MASTER[[#This Row],[COSTO DE VENTA]]</f>
        <v>741</v>
      </c>
    </row>
    <row r="2199" spans="1:22" x14ac:dyDescent="0.3">
      <c r="A2199">
        <v>38250</v>
      </c>
      <c r="B2199">
        <v>1</v>
      </c>
      <c r="C2199" t="s">
        <v>103</v>
      </c>
      <c r="D2199" t="s">
        <v>104</v>
      </c>
      <c r="E2199" s="1">
        <v>44092</v>
      </c>
      <c r="F2199">
        <v>1</v>
      </c>
      <c r="G2199" t="s">
        <v>35</v>
      </c>
      <c r="H2199" t="s">
        <v>36</v>
      </c>
      <c r="I2199" s="3">
        <v>1591</v>
      </c>
      <c r="J2199" s="3">
        <v>1463</v>
      </c>
      <c r="K2199" s="3">
        <v>421</v>
      </c>
      <c r="L2199" t="s">
        <v>98</v>
      </c>
      <c r="M2199">
        <v>4</v>
      </c>
      <c r="N2199" t="s">
        <v>82</v>
      </c>
      <c r="O2199" t="s">
        <v>81</v>
      </c>
      <c r="P2199" t="s">
        <v>71</v>
      </c>
      <c r="Q2199" t="s">
        <v>72</v>
      </c>
      <c r="R2199" t="s">
        <v>139</v>
      </c>
      <c r="S2199" t="s">
        <v>144</v>
      </c>
      <c r="T2199" s="2">
        <f>MASTER[[#This Row],[CANTIDAD]]*MASTER[[#This Row],[PRECIO DE VENTA]]</f>
        <v>1463</v>
      </c>
      <c r="U2199" s="2">
        <f>MASTER[[#This Row],[CANTIDAD]]*MASTER[[#This Row],[COSTO UNITARIO]]</f>
        <v>421</v>
      </c>
      <c r="V2199" s="2">
        <f>MASTER[[#This Row],[MONTO VENDIDO]]-MASTER[[#This Row],[COSTO DE VENTA]]</f>
        <v>1042</v>
      </c>
    </row>
    <row r="2200" spans="1:22" x14ac:dyDescent="0.3">
      <c r="A2200">
        <v>38266</v>
      </c>
      <c r="B2200">
        <v>1</v>
      </c>
      <c r="C2200" t="s">
        <v>118</v>
      </c>
      <c r="D2200" t="s">
        <v>119</v>
      </c>
      <c r="E2200" s="1">
        <v>44092</v>
      </c>
      <c r="F2200">
        <v>1</v>
      </c>
      <c r="G2200" t="s">
        <v>31</v>
      </c>
      <c r="H2200" t="s">
        <v>32</v>
      </c>
      <c r="I2200" s="3">
        <v>900</v>
      </c>
      <c r="J2200" s="3">
        <v>900</v>
      </c>
      <c r="K2200" s="3">
        <v>424</v>
      </c>
      <c r="L2200" t="s">
        <v>120</v>
      </c>
      <c r="M2200">
        <v>8</v>
      </c>
      <c r="N2200" t="s">
        <v>80</v>
      </c>
      <c r="O2200" t="s">
        <v>81</v>
      </c>
      <c r="P2200" t="s">
        <v>12</v>
      </c>
      <c r="Q2200" t="s">
        <v>13</v>
      </c>
      <c r="R2200" t="s">
        <v>13</v>
      </c>
      <c r="S2200" t="s">
        <v>144</v>
      </c>
      <c r="T2200" s="2">
        <f>MASTER[[#This Row],[CANTIDAD]]*MASTER[[#This Row],[PRECIO DE VENTA]]</f>
        <v>900</v>
      </c>
      <c r="U2200" s="2">
        <f>MASTER[[#This Row],[CANTIDAD]]*MASTER[[#This Row],[COSTO UNITARIO]]</f>
        <v>424</v>
      </c>
      <c r="V2200" s="2">
        <f>MASTER[[#This Row],[MONTO VENDIDO]]-MASTER[[#This Row],[COSTO DE VENTA]]</f>
        <v>476</v>
      </c>
    </row>
    <row r="2201" spans="1:22" x14ac:dyDescent="0.3">
      <c r="A2201">
        <v>38284</v>
      </c>
      <c r="B2201">
        <v>1</v>
      </c>
      <c r="C2201" t="s">
        <v>109</v>
      </c>
      <c r="D2201" t="s">
        <v>110</v>
      </c>
      <c r="E2201" s="1">
        <v>44092</v>
      </c>
      <c r="F2201">
        <v>1</v>
      </c>
      <c r="G2201" t="s">
        <v>27</v>
      </c>
      <c r="H2201" t="s">
        <v>28</v>
      </c>
      <c r="I2201" s="3">
        <v>947</v>
      </c>
      <c r="J2201" s="3">
        <v>947</v>
      </c>
      <c r="K2201" s="3">
        <v>387</v>
      </c>
      <c r="L2201" t="s">
        <v>98</v>
      </c>
      <c r="M2201">
        <v>16</v>
      </c>
      <c r="N2201" t="s">
        <v>17</v>
      </c>
      <c r="O2201" t="s">
        <v>11</v>
      </c>
      <c r="P2201" t="s">
        <v>18</v>
      </c>
      <c r="Q2201" t="s">
        <v>19</v>
      </c>
      <c r="R2201" t="s">
        <v>138</v>
      </c>
      <c r="S2201" t="s">
        <v>144</v>
      </c>
      <c r="T2201" s="2">
        <f>MASTER[[#This Row],[CANTIDAD]]*MASTER[[#This Row],[PRECIO DE VENTA]]</f>
        <v>947</v>
      </c>
      <c r="U2201" s="2">
        <f>MASTER[[#This Row],[CANTIDAD]]*MASTER[[#This Row],[COSTO UNITARIO]]</f>
        <v>387</v>
      </c>
      <c r="V2201" s="2">
        <f>MASTER[[#This Row],[MONTO VENDIDO]]-MASTER[[#This Row],[COSTO DE VENTA]]</f>
        <v>560</v>
      </c>
    </row>
    <row r="2202" spans="1:22" x14ac:dyDescent="0.3">
      <c r="A2202">
        <v>38311</v>
      </c>
      <c r="B2202">
        <v>1</v>
      </c>
      <c r="C2202" t="s">
        <v>96</v>
      </c>
      <c r="D2202" t="s">
        <v>97</v>
      </c>
      <c r="E2202" s="1">
        <v>44092</v>
      </c>
      <c r="F2202">
        <v>1</v>
      </c>
      <c r="G2202" t="s">
        <v>67</v>
      </c>
      <c r="H2202" t="s">
        <v>68</v>
      </c>
      <c r="I2202" s="3">
        <v>1272</v>
      </c>
      <c r="J2202" s="3">
        <v>1272</v>
      </c>
      <c r="K2202" s="3">
        <v>397</v>
      </c>
      <c r="L2202" t="s">
        <v>98</v>
      </c>
      <c r="M2202">
        <v>19</v>
      </c>
      <c r="N2202" t="s">
        <v>89</v>
      </c>
      <c r="O2202" t="s">
        <v>81</v>
      </c>
      <c r="P2202" t="s">
        <v>15</v>
      </c>
      <c r="Q2202" t="s">
        <v>16</v>
      </c>
      <c r="R2202" t="s">
        <v>16</v>
      </c>
      <c r="S2202" t="s">
        <v>144</v>
      </c>
      <c r="T2202" s="2">
        <f>MASTER[[#This Row],[CANTIDAD]]*MASTER[[#This Row],[PRECIO DE VENTA]]</f>
        <v>1272</v>
      </c>
      <c r="U2202" s="2">
        <f>MASTER[[#This Row],[CANTIDAD]]*MASTER[[#This Row],[COSTO UNITARIO]]</f>
        <v>397</v>
      </c>
      <c r="V2202" s="2">
        <f>MASTER[[#This Row],[MONTO VENDIDO]]-MASTER[[#This Row],[COSTO DE VENTA]]</f>
        <v>875</v>
      </c>
    </row>
    <row r="2203" spans="1:22" x14ac:dyDescent="0.3">
      <c r="A2203">
        <v>38343</v>
      </c>
      <c r="B2203">
        <v>1</v>
      </c>
      <c r="C2203" t="s">
        <v>94</v>
      </c>
      <c r="D2203" t="s">
        <v>95</v>
      </c>
      <c r="E2203" s="1">
        <v>44092</v>
      </c>
      <c r="F2203">
        <v>1</v>
      </c>
      <c r="G2203" t="s">
        <v>33</v>
      </c>
      <c r="H2203" t="s">
        <v>34</v>
      </c>
      <c r="I2203" s="3">
        <v>1153</v>
      </c>
      <c r="J2203" s="3">
        <v>1153</v>
      </c>
      <c r="K2203" s="3">
        <v>392</v>
      </c>
      <c r="L2203" t="s">
        <v>9</v>
      </c>
      <c r="M2203">
        <v>13</v>
      </c>
      <c r="N2203" t="s">
        <v>78</v>
      </c>
      <c r="O2203" t="s">
        <v>70</v>
      </c>
      <c r="P2203" t="s">
        <v>18</v>
      </c>
      <c r="Q2203" t="s">
        <v>19</v>
      </c>
      <c r="R2203" t="s">
        <v>138</v>
      </c>
      <c r="S2203" t="s">
        <v>144</v>
      </c>
      <c r="T2203" s="2">
        <f>MASTER[[#This Row],[CANTIDAD]]*MASTER[[#This Row],[PRECIO DE VENTA]]</f>
        <v>1153</v>
      </c>
      <c r="U2203" s="2">
        <f>MASTER[[#This Row],[CANTIDAD]]*MASTER[[#This Row],[COSTO UNITARIO]]</f>
        <v>392</v>
      </c>
      <c r="V2203" s="2">
        <f>MASTER[[#This Row],[MONTO VENDIDO]]-MASTER[[#This Row],[COSTO DE VENTA]]</f>
        <v>761</v>
      </c>
    </row>
    <row r="2204" spans="1:22" x14ac:dyDescent="0.3">
      <c r="A2204">
        <v>38353</v>
      </c>
      <c r="B2204">
        <v>1</v>
      </c>
      <c r="C2204" t="s">
        <v>114</v>
      </c>
      <c r="D2204" t="s">
        <v>115</v>
      </c>
      <c r="E2204" s="1">
        <v>44093</v>
      </c>
      <c r="F2204">
        <v>4</v>
      </c>
      <c r="G2204" t="s">
        <v>63</v>
      </c>
      <c r="H2204" t="s">
        <v>64</v>
      </c>
      <c r="I2204" s="3">
        <v>2030</v>
      </c>
      <c r="J2204" s="3">
        <v>1827</v>
      </c>
      <c r="K2204" s="3">
        <v>394</v>
      </c>
      <c r="L2204" t="s">
        <v>113</v>
      </c>
      <c r="M2204">
        <v>1</v>
      </c>
      <c r="N2204" t="s">
        <v>77</v>
      </c>
      <c r="O2204" t="s">
        <v>70</v>
      </c>
      <c r="P2204" t="s">
        <v>71</v>
      </c>
      <c r="Q2204" t="s">
        <v>72</v>
      </c>
      <c r="R2204" t="s">
        <v>139</v>
      </c>
      <c r="S2204" t="s">
        <v>144</v>
      </c>
      <c r="T2204" s="2">
        <f>MASTER[[#This Row],[CANTIDAD]]*MASTER[[#This Row],[PRECIO DE VENTA]]</f>
        <v>7308</v>
      </c>
      <c r="U2204" s="2">
        <f>MASTER[[#This Row],[CANTIDAD]]*MASTER[[#This Row],[COSTO UNITARIO]]</f>
        <v>1576</v>
      </c>
      <c r="V2204" s="2">
        <f>MASTER[[#This Row],[MONTO VENDIDO]]-MASTER[[#This Row],[COSTO DE VENTA]]</f>
        <v>5732</v>
      </c>
    </row>
    <row r="2205" spans="1:22" x14ac:dyDescent="0.3">
      <c r="A2205">
        <v>38367</v>
      </c>
      <c r="B2205">
        <v>1</v>
      </c>
      <c r="C2205" t="s">
        <v>99</v>
      </c>
      <c r="D2205" t="s">
        <v>100</v>
      </c>
      <c r="E2205" s="1">
        <v>44093</v>
      </c>
      <c r="F2205">
        <v>1</v>
      </c>
      <c r="G2205" t="s">
        <v>59</v>
      </c>
      <c r="H2205" t="s">
        <v>60</v>
      </c>
      <c r="I2205" s="3">
        <v>1459</v>
      </c>
      <c r="J2205" s="3">
        <v>1459</v>
      </c>
      <c r="K2205" s="3">
        <v>386</v>
      </c>
      <c r="L2205" t="s">
        <v>98</v>
      </c>
      <c r="M2205">
        <v>8</v>
      </c>
      <c r="N2205" t="s">
        <v>80</v>
      </c>
      <c r="O2205" t="s">
        <v>81</v>
      </c>
      <c r="P2205" t="s">
        <v>12</v>
      </c>
      <c r="Q2205" t="s">
        <v>13</v>
      </c>
      <c r="R2205" t="s">
        <v>13</v>
      </c>
      <c r="S2205" t="s">
        <v>144</v>
      </c>
      <c r="T2205" s="2">
        <f>MASTER[[#This Row],[CANTIDAD]]*MASTER[[#This Row],[PRECIO DE VENTA]]</f>
        <v>1459</v>
      </c>
      <c r="U2205" s="2">
        <f>MASTER[[#This Row],[CANTIDAD]]*MASTER[[#This Row],[COSTO UNITARIO]]</f>
        <v>386</v>
      </c>
      <c r="V2205" s="2">
        <f>MASTER[[#This Row],[MONTO VENDIDO]]-MASTER[[#This Row],[COSTO DE VENTA]]</f>
        <v>1073</v>
      </c>
    </row>
    <row r="2206" spans="1:22" x14ac:dyDescent="0.3">
      <c r="A2206">
        <v>38374</v>
      </c>
      <c r="B2206">
        <v>1</v>
      </c>
      <c r="C2206" t="s">
        <v>103</v>
      </c>
      <c r="D2206" t="s">
        <v>104</v>
      </c>
      <c r="E2206" s="1">
        <v>44093</v>
      </c>
      <c r="F2206">
        <v>1</v>
      </c>
      <c r="G2206" t="s">
        <v>47</v>
      </c>
      <c r="H2206" t="s">
        <v>48</v>
      </c>
      <c r="I2206" s="3">
        <v>1591</v>
      </c>
      <c r="J2206" s="3">
        <v>1591</v>
      </c>
      <c r="K2206" s="3">
        <v>421</v>
      </c>
      <c r="L2206" t="s">
        <v>98</v>
      </c>
      <c r="M2206">
        <v>7</v>
      </c>
      <c r="N2206" t="s">
        <v>84</v>
      </c>
      <c r="O2206" t="s">
        <v>81</v>
      </c>
      <c r="P2206" t="s">
        <v>12</v>
      </c>
      <c r="Q2206" t="s">
        <v>13</v>
      </c>
      <c r="R2206" t="s">
        <v>13</v>
      </c>
      <c r="S2206" t="s">
        <v>144</v>
      </c>
      <c r="T2206" s="2">
        <f>MASTER[[#This Row],[CANTIDAD]]*MASTER[[#This Row],[PRECIO DE VENTA]]</f>
        <v>1591</v>
      </c>
      <c r="U2206" s="2">
        <f>MASTER[[#This Row],[CANTIDAD]]*MASTER[[#This Row],[COSTO UNITARIO]]</f>
        <v>421</v>
      </c>
      <c r="V2206" s="2">
        <f>MASTER[[#This Row],[MONTO VENDIDO]]-MASTER[[#This Row],[COSTO DE VENTA]]</f>
        <v>1170</v>
      </c>
    </row>
    <row r="2207" spans="1:22" x14ac:dyDescent="0.3">
      <c r="A2207">
        <v>38389</v>
      </c>
      <c r="B2207">
        <v>1</v>
      </c>
      <c r="C2207" t="s">
        <v>116</v>
      </c>
      <c r="D2207" t="s">
        <v>117</v>
      </c>
      <c r="E2207" s="1">
        <v>44093</v>
      </c>
      <c r="F2207">
        <v>1</v>
      </c>
      <c r="G2207" t="s">
        <v>43</v>
      </c>
      <c r="H2207" t="s">
        <v>44</v>
      </c>
      <c r="I2207" s="3">
        <v>1738</v>
      </c>
      <c r="J2207" s="3">
        <v>1738</v>
      </c>
      <c r="K2207" s="3">
        <v>388</v>
      </c>
      <c r="L2207" t="s">
        <v>113</v>
      </c>
      <c r="M2207">
        <v>4</v>
      </c>
      <c r="N2207" t="s">
        <v>82</v>
      </c>
      <c r="O2207" t="s">
        <v>81</v>
      </c>
      <c r="P2207" t="s">
        <v>71</v>
      </c>
      <c r="Q2207" t="s">
        <v>72</v>
      </c>
      <c r="R2207" t="s">
        <v>139</v>
      </c>
      <c r="S2207" t="s">
        <v>144</v>
      </c>
      <c r="T2207" s="2">
        <f>MASTER[[#This Row],[CANTIDAD]]*MASTER[[#This Row],[PRECIO DE VENTA]]</f>
        <v>1738</v>
      </c>
      <c r="U2207" s="2">
        <f>MASTER[[#This Row],[CANTIDAD]]*MASTER[[#This Row],[COSTO UNITARIO]]</f>
        <v>388</v>
      </c>
      <c r="V2207" s="2">
        <f>MASTER[[#This Row],[MONTO VENDIDO]]-MASTER[[#This Row],[COSTO DE VENTA]]</f>
        <v>1350</v>
      </c>
    </row>
    <row r="2208" spans="1:22" x14ac:dyDescent="0.3">
      <c r="A2208">
        <v>38398</v>
      </c>
      <c r="B2208">
        <v>1</v>
      </c>
      <c r="C2208" t="s">
        <v>101</v>
      </c>
      <c r="D2208" t="s">
        <v>102</v>
      </c>
      <c r="E2208" s="1">
        <v>44093</v>
      </c>
      <c r="F2208">
        <v>1</v>
      </c>
      <c r="G2208" t="s">
        <v>67</v>
      </c>
      <c r="H2208" t="s">
        <v>68</v>
      </c>
      <c r="I2208" s="3">
        <v>1357</v>
      </c>
      <c r="J2208" s="3">
        <v>1357</v>
      </c>
      <c r="K2208" s="3">
        <v>442</v>
      </c>
      <c r="L2208" t="s">
        <v>98</v>
      </c>
      <c r="M2208">
        <v>3</v>
      </c>
      <c r="N2208" t="s">
        <v>69</v>
      </c>
      <c r="O2208" t="s">
        <v>70</v>
      </c>
      <c r="P2208" t="s">
        <v>71</v>
      </c>
      <c r="Q2208" t="s">
        <v>72</v>
      </c>
      <c r="R2208" t="s">
        <v>139</v>
      </c>
      <c r="S2208" t="s">
        <v>144</v>
      </c>
      <c r="T2208" s="2">
        <f>MASTER[[#This Row],[CANTIDAD]]*MASTER[[#This Row],[PRECIO DE VENTA]]</f>
        <v>1357</v>
      </c>
      <c r="U2208" s="2">
        <f>MASTER[[#This Row],[CANTIDAD]]*MASTER[[#This Row],[COSTO UNITARIO]]</f>
        <v>442</v>
      </c>
      <c r="V2208" s="2">
        <f>MASTER[[#This Row],[MONTO VENDIDO]]-MASTER[[#This Row],[COSTO DE VENTA]]</f>
        <v>915</v>
      </c>
    </row>
    <row r="2209" spans="1:22" x14ac:dyDescent="0.3">
      <c r="A2209">
        <v>38401</v>
      </c>
      <c r="B2209">
        <v>1</v>
      </c>
      <c r="C2209" t="s">
        <v>105</v>
      </c>
      <c r="D2209" t="s">
        <v>106</v>
      </c>
      <c r="E2209" s="1">
        <v>44093</v>
      </c>
      <c r="F2209">
        <v>1</v>
      </c>
      <c r="G2209" t="s">
        <v>57</v>
      </c>
      <c r="H2209" t="s">
        <v>58</v>
      </c>
      <c r="I2209" s="3">
        <v>1585</v>
      </c>
      <c r="J2209" s="3">
        <v>1426</v>
      </c>
      <c r="K2209" s="3">
        <v>459</v>
      </c>
      <c r="L2209" t="s">
        <v>98</v>
      </c>
      <c r="M2209">
        <v>16</v>
      </c>
      <c r="N2209" t="s">
        <v>17</v>
      </c>
      <c r="O2209" t="s">
        <v>11</v>
      </c>
      <c r="P2209" t="s">
        <v>18</v>
      </c>
      <c r="Q2209" t="s">
        <v>19</v>
      </c>
      <c r="R2209" t="s">
        <v>138</v>
      </c>
      <c r="S2209" t="s">
        <v>144</v>
      </c>
      <c r="T2209" s="2">
        <f>MASTER[[#This Row],[CANTIDAD]]*MASTER[[#This Row],[PRECIO DE VENTA]]</f>
        <v>1426</v>
      </c>
      <c r="U2209" s="2">
        <f>MASTER[[#This Row],[CANTIDAD]]*MASTER[[#This Row],[COSTO UNITARIO]]</f>
        <v>459</v>
      </c>
      <c r="V2209" s="2">
        <f>MASTER[[#This Row],[MONTO VENDIDO]]-MASTER[[#This Row],[COSTO DE VENTA]]</f>
        <v>967</v>
      </c>
    </row>
    <row r="2210" spans="1:22" x14ac:dyDescent="0.3">
      <c r="A2210">
        <v>38403</v>
      </c>
      <c r="B2210">
        <v>1</v>
      </c>
      <c r="C2210" t="s">
        <v>90</v>
      </c>
      <c r="D2210" t="s">
        <v>91</v>
      </c>
      <c r="E2210" s="1">
        <v>44093</v>
      </c>
      <c r="F2210">
        <v>1</v>
      </c>
      <c r="G2210" t="s">
        <v>47</v>
      </c>
      <c r="H2210" t="s">
        <v>48</v>
      </c>
      <c r="I2210" s="3">
        <v>1844</v>
      </c>
      <c r="J2210" s="3">
        <v>1844</v>
      </c>
      <c r="K2210" s="3">
        <v>420</v>
      </c>
      <c r="L2210" t="s">
        <v>9</v>
      </c>
      <c r="M2210">
        <v>19</v>
      </c>
      <c r="N2210" t="s">
        <v>89</v>
      </c>
      <c r="O2210" t="s">
        <v>81</v>
      </c>
      <c r="P2210" t="s">
        <v>15</v>
      </c>
      <c r="Q2210" t="s">
        <v>16</v>
      </c>
      <c r="R2210" t="s">
        <v>16</v>
      </c>
      <c r="S2210" t="s">
        <v>144</v>
      </c>
      <c r="T2210" s="2">
        <f>MASTER[[#This Row],[CANTIDAD]]*MASTER[[#This Row],[PRECIO DE VENTA]]</f>
        <v>1844</v>
      </c>
      <c r="U2210" s="2">
        <f>MASTER[[#This Row],[CANTIDAD]]*MASTER[[#This Row],[COSTO UNITARIO]]</f>
        <v>420</v>
      </c>
      <c r="V2210" s="2">
        <f>MASTER[[#This Row],[MONTO VENDIDO]]-MASTER[[#This Row],[COSTO DE VENTA]]</f>
        <v>1424</v>
      </c>
    </row>
    <row r="2211" spans="1:22" x14ac:dyDescent="0.3">
      <c r="A2211">
        <v>38420</v>
      </c>
      <c r="B2211">
        <v>1</v>
      </c>
      <c r="C2211" t="s">
        <v>90</v>
      </c>
      <c r="D2211" t="s">
        <v>91</v>
      </c>
      <c r="E2211" s="1">
        <v>44094</v>
      </c>
      <c r="F2211">
        <v>1</v>
      </c>
      <c r="G2211" t="s">
        <v>27</v>
      </c>
      <c r="H2211" t="s">
        <v>28</v>
      </c>
      <c r="I2211" s="3">
        <v>1660</v>
      </c>
      <c r="J2211" s="3">
        <v>1660</v>
      </c>
      <c r="K2211" s="3">
        <v>420</v>
      </c>
      <c r="L2211" t="s">
        <v>9</v>
      </c>
      <c r="M2211">
        <v>17</v>
      </c>
      <c r="N2211" t="s">
        <v>14</v>
      </c>
      <c r="O2211" t="s">
        <v>11</v>
      </c>
      <c r="P2211" t="s">
        <v>15</v>
      </c>
      <c r="Q2211" t="s">
        <v>16</v>
      </c>
      <c r="R2211" t="s">
        <v>16</v>
      </c>
      <c r="S2211" t="s">
        <v>144</v>
      </c>
      <c r="T2211" s="2">
        <f>MASTER[[#This Row],[CANTIDAD]]*MASTER[[#This Row],[PRECIO DE VENTA]]</f>
        <v>1660</v>
      </c>
      <c r="U2211" s="2">
        <f>MASTER[[#This Row],[CANTIDAD]]*MASTER[[#This Row],[COSTO UNITARIO]]</f>
        <v>420</v>
      </c>
      <c r="V2211" s="2">
        <f>MASTER[[#This Row],[MONTO VENDIDO]]-MASTER[[#This Row],[COSTO DE VENTA]]</f>
        <v>1240</v>
      </c>
    </row>
    <row r="2212" spans="1:22" x14ac:dyDescent="0.3">
      <c r="A2212">
        <v>38442</v>
      </c>
      <c r="B2212">
        <v>1</v>
      </c>
      <c r="C2212" t="s">
        <v>90</v>
      </c>
      <c r="D2212" t="s">
        <v>91</v>
      </c>
      <c r="E2212" s="1">
        <v>44094</v>
      </c>
      <c r="F2212">
        <v>1</v>
      </c>
      <c r="G2212" t="s">
        <v>53</v>
      </c>
      <c r="H2212" t="s">
        <v>54</v>
      </c>
      <c r="I2212" s="3">
        <v>1844</v>
      </c>
      <c r="J2212" s="3">
        <v>1844</v>
      </c>
      <c r="K2212" s="3">
        <v>420</v>
      </c>
      <c r="L2212" t="s">
        <v>9</v>
      </c>
      <c r="M2212">
        <v>5</v>
      </c>
      <c r="N2212" t="s">
        <v>85</v>
      </c>
      <c r="O2212" t="s">
        <v>81</v>
      </c>
      <c r="P2212" t="s">
        <v>12</v>
      </c>
      <c r="Q2212" t="s">
        <v>13</v>
      </c>
      <c r="R2212" t="s">
        <v>13</v>
      </c>
      <c r="S2212" t="s">
        <v>144</v>
      </c>
      <c r="T2212" s="2">
        <f>MASTER[[#This Row],[CANTIDAD]]*MASTER[[#This Row],[PRECIO DE VENTA]]</f>
        <v>1844</v>
      </c>
      <c r="U2212" s="2">
        <f>MASTER[[#This Row],[CANTIDAD]]*MASTER[[#This Row],[COSTO UNITARIO]]</f>
        <v>420</v>
      </c>
      <c r="V2212" s="2">
        <f>MASTER[[#This Row],[MONTO VENDIDO]]-MASTER[[#This Row],[COSTO DE VENTA]]</f>
        <v>1424</v>
      </c>
    </row>
    <row r="2213" spans="1:22" x14ac:dyDescent="0.3">
      <c r="A2213">
        <v>38457</v>
      </c>
      <c r="B2213">
        <v>1</v>
      </c>
      <c r="C2213" t="s">
        <v>96</v>
      </c>
      <c r="D2213" t="s">
        <v>97</v>
      </c>
      <c r="E2213" s="1">
        <v>44094</v>
      </c>
      <c r="F2213">
        <v>1</v>
      </c>
      <c r="G2213" t="s">
        <v>73</v>
      </c>
      <c r="H2213" t="s">
        <v>74</v>
      </c>
      <c r="I2213" s="3">
        <v>1272</v>
      </c>
      <c r="J2213" s="3">
        <v>1272</v>
      </c>
      <c r="K2213" s="3">
        <v>397</v>
      </c>
      <c r="L2213" t="s">
        <v>98</v>
      </c>
      <c r="M2213">
        <v>15</v>
      </c>
      <c r="N2213" t="s">
        <v>88</v>
      </c>
      <c r="O2213" t="s">
        <v>81</v>
      </c>
      <c r="P2213" t="s">
        <v>18</v>
      </c>
      <c r="Q2213" t="s">
        <v>19</v>
      </c>
      <c r="R2213" t="s">
        <v>138</v>
      </c>
      <c r="S2213" t="s">
        <v>144</v>
      </c>
      <c r="T2213" s="2">
        <f>MASTER[[#This Row],[CANTIDAD]]*MASTER[[#This Row],[PRECIO DE VENTA]]</f>
        <v>1272</v>
      </c>
      <c r="U2213" s="2">
        <f>MASTER[[#This Row],[CANTIDAD]]*MASTER[[#This Row],[COSTO UNITARIO]]</f>
        <v>397</v>
      </c>
      <c r="V2213" s="2">
        <f>MASTER[[#This Row],[MONTO VENDIDO]]-MASTER[[#This Row],[COSTO DE VENTA]]</f>
        <v>875</v>
      </c>
    </row>
    <row r="2214" spans="1:22" x14ac:dyDescent="0.3">
      <c r="A2214">
        <v>38479</v>
      </c>
      <c r="B2214">
        <v>1</v>
      </c>
      <c r="C2214" t="s">
        <v>92</v>
      </c>
      <c r="D2214" t="s">
        <v>93</v>
      </c>
      <c r="E2214" s="1">
        <v>44094</v>
      </c>
      <c r="F2214">
        <v>4</v>
      </c>
      <c r="G2214" t="s">
        <v>57</v>
      </c>
      <c r="H2214" t="s">
        <v>58</v>
      </c>
      <c r="I2214" s="3">
        <v>1479</v>
      </c>
      <c r="J2214" s="3">
        <v>1479</v>
      </c>
      <c r="K2214" s="3">
        <v>396</v>
      </c>
      <c r="L2214" t="s">
        <v>9</v>
      </c>
      <c r="M2214">
        <v>16</v>
      </c>
      <c r="N2214" t="s">
        <v>17</v>
      </c>
      <c r="O2214" t="s">
        <v>11</v>
      </c>
      <c r="P2214" t="s">
        <v>18</v>
      </c>
      <c r="Q2214" t="s">
        <v>19</v>
      </c>
      <c r="R2214" t="s">
        <v>138</v>
      </c>
      <c r="S2214" t="s">
        <v>144</v>
      </c>
      <c r="T2214" s="2">
        <f>MASTER[[#This Row],[CANTIDAD]]*MASTER[[#This Row],[PRECIO DE VENTA]]</f>
        <v>5916</v>
      </c>
      <c r="U2214" s="2">
        <f>MASTER[[#This Row],[CANTIDAD]]*MASTER[[#This Row],[COSTO UNITARIO]]</f>
        <v>1584</v>
      </c>
      <c r="V2214" s="2">
        <f>MASTER[[#This Row],[MONTO VENDIDO]]-MASTER[[#This Row],[COSTO DE VENTA]]</f>
        <v>4332</v>
      </c>
    </row>
    <row r="2215" spans="1:22" x14ac:dyDescent="0.3">
      <c r="A2215">
        <v>38480</v>
      </c>
      <c r="B2215">
        <v>1</v>
      </c>
      <c r="C2215" t="s">
        <v>114</v>
      </c>
      <c r="D2215" t="s">
        <v>115</v>
      </c>
      <c r="E2215" s="1">
        <v>44094</v>
      </c>
      <c r="F2215">
        <v>1</v>
      </c>
      <c r="G2215" t="s">
        <v>35</v>
      </c>
      <c r="H2215" t="s">
        <v>36</v>
      </c>
      <c r="I2215" s="3">
        <v>1583</v>
      </c>
      <c r="J2215" s="3">
        <v>1583</v>
      </c>
      <c r="K2215" s="3">
        <v>394</v>
      </c>
      <c r="L2215" t="s">
        <v>113</v>
      </c>
      <c r="M2215">
        <v>17</v>
      </c>
      <c r="N2215" t="s">
        <v>14</v>
      </c>
      <c r="O2215" t="s">
        <v>11</v>
      </c>
      <c r="P2215" t="s">
        <v>15</v>
      </c>
      <c r="Q2215" t="s">
        <v>16</v>
      </c>
      <c r="R2215" t="s">
        <v>16</v>
      </c>
      <c r="S2215" t="s">
        <v>144</v>
      </c>
      <c r="T2215" s="2">
        <f>MASTER[[#This Row],[CANTIDAD]]*MASTER[[#This Row],[PRECIO DE VENTA]]</f>
        <v>1583</v>
      </c>
      <c r="U2215" s="2">
        <f>MASTER[[#This Row],[CANTIDAD]]*MASTER[[#This Row],[COSTO UNITARIO]]</f>
        <v>394</v>
      </c>
      <c r="V2215" s="2">
        <f>MASTER[[#This Row],[MONTO VENDIDO]]-MASTER[[#This Row],[COSTO DE VENTA]]</f>
        <v>1189</v>
      </c>
    </row>
    <row r="2216" spans="1:22" x14ac:dyDescent="0.3">
      <c r="A2216">
        <v>38502</v>
      </c>
      <c r="B2216">
        <v>1</v>
      </c>
      <c r="C2216" t="s">
        <v>107</v>
      </c>
      <c r="D2216" t="s">
        <v>108</v>
      </c>
      <c r="E2216" s="1">
        <v>44094</v>
      </c>
      <c r="F2216">
        <v>1</v>
      </c>
      <c r="G2216" t="s">
        <v>22</v>
      </c>
      <c r="H2216" t="s">
        <v>23</v>
      </c>
      <c r="I2216" s="3">
        <v>1440</v>
      </c>
      <c r="J2216" s="3">
        <v>1440</v>
      </c>
      <c r="K2216" s="3">
        <v>380</v>
      </c>
      <c r="L2216" t="s">
        <v>98</v>
      </c>
      <c r="M2216">
        <v>9</v>
      </c>
      <c r="N2216" t="s">
        <v>76</v>
      </c>
      <c r="O2216" t="s">
        <v>70</v>
      </c>
      <c r="P2216" t="s">
        <v>12</v>
      </c>
      <c r="Q2216" t="s">
        <v>13</v>
      </c>
      <c r="R2216" t="s">
        <v>13</v>
      </c>
      <c r="S2216" t="s">
        <v>144</v>
      </c>
      <c r="T2216" s="2">
        <f>MASTER[[#This Row],[CANTIDAD]]*MASTER[[#This Row],[PRECIO DE VENTA]]</f>
        <v>1440</v>
      </c>
      <c r="U2216" s="2">
        <f>MASTER[[#This Row],[CANTIDAD]]*MASTER[[#This Row],[COSTO UNITARIO]]</f>
        <v>380</v>
      </c>
      <c r="V2216" s="2">
        <f>MASTER[[#This Row],[MONTO VENDIDO]]-MASTER[[#This Row],[COSTO DE VENTA]]</f>
        <v>1060</v>
      </c>
    </row>
    <row r="2217" spans="1:22" x14ac:dyDescent="0.3">
      <c r="A2217">
        <v>38503</v>
      </c>
      <c r="B2217">
        <v>1</v>
      </c>
      <c r="C2217" t="s">
        <v>107</v>
      </c>
      <c r="D2217" t="s">
        <v>108</v>
      </c>
      <c r="E2217" s="1">
        <v>44095</v>
      </c>
      <c r="F2217">
        <v>1</v>
      </c>
      <c r="G2217" t="s">
        <v>51</v>
      </c>
      <c r="H2217" t="s">
        <v>52</v>
      </c>
      <c r="I2217" s="3">
        <v>1333</v>
      </c>
      <c r="J2217" s="3">
        <v>1199</v>
      </c>
      <c r="K2217" s="3">
        <v>380</v>
      </c>
      <c r="L2217" t="s">
        <v>98</v>
      </c>
      <c r="M2217">
        <v>2</v>
      </c>
      <c r="N2217" t="s">
        <v>86</v>
      </c>
      <c r="O2217" t="s">
        <v>81</v>
      </c>
      <c r="P2217" t="s">
        <v>71</v>
      </c>
      <c r="Q2217" t="s">
        <v>72</v>
      </c>
      <c r="R2217" t="s">
        <v>139</v>
      </c>
      <c r="S2217" t="s">
        <v>144</v>
      </c>
      <c r="T2217" s="2">
        <f>MASTER[[#This Row],[CANTIDAD]]*MASTER[[#This Row],[PRECIO DE VENTA]]</f>
        <v>1199</v>
      </c>
      <c r="U2217" s="2">
        <f>MASTER[[#This Row],[CANTIDAD]]*MASTER[[#This Row],[COSTO UNITARIO]]</f>
        <v>380</v>
      </c>
      <c r="V2217" s="2">
        <f>MASTER[[#This Row],[MONTO VENDIDO]]-MASTER[[#This Row],[COSTO DE VENTA]]</f>
        <v>819</v>
      </c>
    </row>
    <row r="2218" spans="1:22" x14ac:dyDescent="0.3">
      <c r="A2218">
        <v>38519</v>
      </c>
      <c r="B2218">
        <v>1</v>
      </c>
      <c r="C2218" t="s">
        <v>118</v>
      </c>
      <c r="D2218" t="s">
        <v>119</v>
      </c>
      <c r="E2218" s="1">
        <v>44095</v>
      </c>
      <c r="F2218">
        <v>1</v>
      </c>
      <c r="G2218" t="s">
        <v>22</v>
      </c>
      <c r="H2218" t="s">
        <v>23</v>
      </c>
      <c r="I2218" s="3">
        <v>1026</v>
      </c>
      <c r="J2218" s="3">
        <v>984</v>
      </c>
      <c r="K2218" s="3">
        <v>424</v>
      </c>
      <c r="L2218" t="s">
        <v>120</v>
      </c>
      <c r="M2218">
        <v>1</v>
      </c>
      <c r="N2218" t="s">
        <v>77</v>
      </c>
      <c r="O2218" t="s">
        <v>70</v>
      </c>
      <c r="P2218" t="s">
        <v>71</v>
      </c>
      <c r="Q2218" t="s">
        <v>72</v>
      </c>
      <c r="R2218" t="s">
        <v>139</v>
      </c>
      <c r="S2218" t="s">
        <v>144</v>
      </c>
      <c r="T2218" s="2">
        <f>MASTER[[#This Row],[CANTIDAD]]*MASTER[[#This Row],[PRECIO DE VENTA]]</f>
        <v>984</v>
      </c>
      <c r="U2218" s="2">
        <f>MASTER[[#This Row],[CANTIDAD]]*MASTER[[#This Row],[COSTO UNITARIO]]</f>
        <v>424</v>
      </c>
      <c r="V2218" s="2">
        <f>MASTER[[#This Row],[MONTO VENDIDO]]-MASTER[[#This Row],[COSTO DE VENTA]]</f>
        <v>560</v>
      </c>
    </row>
    <row r="2219" spans="1:22" x14ac:dyDescent="0.3">
      <c r="A2219">
        <v>38564</v>
      </c>
      <c r="B2219">
        <v>1</v>
      </c>
      <c r="C2219" t="s">
        <v>5</v>
      </c>
      <c r="D2219" t="s">
        <v>6</v>
      </c>
      <c r="E2219" s="1">
        <v>44095</v>
      </c>
      <c r="F2219">
        <v>1</v>
      </c>
      <c r="G2219" t="s">
        <v>31</v>
      </c>
      <c r="H2219" t="s">
        <v>32</v>
      </c>
      <c r="I2219" s="3">
        <v>1507</v>
      </c>
      <c r="J2219" s="3">
        <v>1507</v>
      </c>
      <c r="K2219" s="3">
        <v>393</v>
      </c>
      <c r="L2219" t="s">
        <v>9</v>
      </c>
      <c r="M2219">
        <v>7</v>
      </c>
      <c r="N2219" t="s">
        <v>84</v>
      </c>
      <c r="O2219" t="s">
        <v>81</v>
      </c>
      <c r="P2219" t="s">
        <v>12</v>
      </c>
      <c r="Q2219" t="s">
        <v>13</v>
      </c>
      <c r="R2219" t="s">
        <v>13</v>
      </c>
      <c r="S2219" t="s">
        <v>144</v>
      </c>
      <c r="T2219" s="2">
        <f>MASTER[[#This Row],[CANTIDAD]]*MASTER[[#This Row],[PRECIO DE VENTA]]</f>
        <v>1507</v>
      </c>
      <c r="U2219" s="2">
        <f>MASTER[[#This Row],[CANTIDAD]]*MASTER[[#This Row],[COSTO UNITARIO]]</f>
        <v>393</v>
      </c>
      <c r="V2219" s="2">
        <f>MASTER[[#This Row],[MONTO VENDIDO]]-MASTER[[#This Row],[COSTO DE VENTA]]</f>
        <v>1114</v>
      </c>
    </row>
    <row r="2220" spans="1:22" x14ac:dyDescent="0.3">
      <c r="A2220">
        <v>38607</v>
      </c>
      <c r="B2220">
        <v>1</v>
      </c>
      <c r="C2220" t="s">
        <v>90</v>
      </c>
      <c r="D2220" t="s">
        <v>91</v>
      </c>
      <c r="E2220" s="1">
        <v>44095</v>
      </c>
      <c r="F2220">
        <v>1</v>
      </c>
      <c r="G2220" t="s">
        <v>61</v>
      </c>
      <c r="H2220" t="s">
        <v>62</v>
      </c>
      <c r="I2220" s="3">
        <v>2102</v>
      </c>
      <c r="J2220" s="3">
        <v>2102</v>
      </c>
      <c r="K2220" s="3">
        <v>420</v>
      </c>
      <c r="L2220" t="s">
        <v>9</v>
      </c>
      <c r="M2220">
        <v>6</v>
      </c>
      <c r="N2220" t="s">
        <v>75</v>
      </c>
      <c r="O2220" t="s">
        <v>70</v>
      </c>
      <c r="P2220" t="s">
        <v>12</v>
      </c>
      <c r="Q2220" t="s">
        <v>13</v>
      </c>
      <c r="R2220" t="s">
        <v>13</v>
      </c>
      <c r="S2220" t="s">
        <v>144</v>
      </c>
      <c r="T2220" s="2">
        <f>MASTER[[#This Row],[CANTIDAD]]*MASTER[[#This Row],[PRECIO DE VENTA]]</f>
        <v>2102</v>
      </c>
      <c r="U2220" s="2">
        <f>MASTER[[#This Row],[CANTIDAD]]*MASTER[[#This Row],[COSTO UNITARIO]]</f>
        <v>420</v>
      </c>
      <c r="V2220" s="2">
        <f>MASTER[[#This Row],[MONTO VENDIDO]]-MASTER[[#This Row],[COSTO DE VENTA]]</f>
        <v>1682</v>
      </c>
    </row>
    <row r="2221" spans="1:22" x14ac:dyDescent="0.3">
      <c r="A2221">
        <v>38609</v>
      </c>
      <c r="B2221">
        <v>1</v>
      </c>
      <c r="C2221" t="s">
        <v>118</v>
      </c>
      <c r="D2221" t="s">
        <v>119</v>
      </c>
      <c r="E2221" s="1">
        <v>44095</v>
      </c>
      <c r="F2221">
        <v>1</v>
      </c>
      <c r="G2221" t="s">
        <v>20</v>
      </c>
      <c r="H2221" t="s">
        <v>21</v>
      </c>
      <c r="I2221" s="3">
        <v>1026</v>
      </c>
      <c r="J2221" s="3">
        <v>1026</v>
      </c>
      <c r="K2221" s="3">
        <v>424</v>
      </c>
      <c r="L2221" t="s">
        <v>120</v>
      </c>
      <c r="M2221">
        <v>13</v>
      </c>
      <c r="N2221" t="s">
        <v>78</v>
      </c>
      <c r="O2221" t="s">
        <v>70</v>
      </c>
      <c r="P2221" t="s">
        <v>18</v>
      </c>
      <c r="Q2221" t="s">
        <v>19</v>
      </c>
      <c r="R2221" t="s">
        <v>138</v>
      </c>
      <c r="S2221" t="s">
        <v>144</v>
      </c>
      <c r="T2221" s="2">
        <f>MASTER[[#This Row],[CANTIDAD]]*MASTER[[#This Row],[PRECIO DE VENTA]]</f>
        <v>1026</v>
      </c>
      <c r="U2221" s="2">
        <f>MASTER[[#This Row],[CANTIDAD]]*MASTER[[#This Row],[COSTO UNITARIO]]</f>
        <v>424</v>
      </c>
      <c r="V2221" s="2">
        <f>MASTER[[#This Row],[MONTO VENDIDO]]-MASTER[[#This Row],[COSTO DE VENTA]]</f>
        <v>602</v>
      </c>
    </row>
    <row r="2222" spans="1:22" x14ac:dyDescent="0.3">
      <c r="A2222">
        <v>38616</v>
      </c>
      <c r="B2222">
        <v>1</v>
      </c>
      <c r="C2222" t="s">
        <v>90</v>
      </c>
      <c r="D2222" t="s">
        <v>91</v>
      </c>
      <c r="E2222" s="1">
        <v>44095</v>
      </c>
      <c r="F2222">
        <v>1</v>
      </c>
      <c r="G2222" t="s">
        <v>41</v>
      </c>
      <c r="H2222" t="s">
        <v>42</v>
      </c>
      <c r="I2222" s="3">
        <v>1844</v>
      </c>
      <c r="J2222" s="3">
        <v>1844</v>
      </c>
      <c r="K2222" s="3">
        <v>420</v>
      </c>
      <c r="L2222" t="s">
        <v>9</v>
      </c>
      <c r="M2222">
        <v>10</v>
      </c>
      <c r="N2222" t="s">
        <v>83</v>
      </c>
      <c r="O2222" t="s">
        <v>81</v>
      </c>
      <c r="P2222" t="s">
        <v>12</v>
      </c>
      <c r="Q2222" t="s">
        <v>13</v>
      </c>
      <c r="R2222" t="s">
        <v>13</v>
      </c>
      <c r="S2222" t="s">
        <v>144</v>
      </c>
      <c r="T2222" s="2">
        <f>MASTER[[#This Row],[CANTIDAD]]*MASTER[[#This Row],[PRECIO DE VENTA]]</f>
        <v>1844</v>
      </c>
      <c r="U2222" s="2">
        <f>MASTER[[#This Row],[CANTIDAD]]*MASTER[[#This Row],[COSTO UNITARIO]]</f>
        <v>420</v>
      </c>
      <c r="V2222" s="2">
        <f>MASTER[[#This Row],[MONTO VENDIDO]]-MASTER[[#This Row],[COSTO DE VENTA]]</f>
        <v>1424</v>
      </c>
    </row>
    <row r="2223" spans="1:22" x14ac:dyDescent="0.3">
      <c r="A2223">
        <v>38619</v>
      </c>
      <c r="B2223">
        <v>1</v>
      </c>
      <c r="C2223" t="s">
        <v>121</v>
      </c>
      <c r="D2223" t="s">
        <v>122</v>
      </c>
      <c r="E2223" s="1">
        <v>44095</v>
      </c>
      <c r="F2223">
        <v>1</v>
      </c>
      <c r="G2223" t="s">
        <v>27</v>
      </c>
      <c r="H2223" t="s">
        <v>28</v>
      </c>
      <c r="I2223" s="3">
        <v>1144</v>
      </c>
      <c r="J2223" s="3">
        <v>1144</v>
      </c>
      <c r="K2223" s="3">
        <v>460</v>
      </c>
      <c r="L2223" t="s">
        <v>120</v>
      </c>
      <c r="M2223">
        <v>18</v>
      </c>
      <c r="N2223" t="s">
        <v>79</v>
      </c>
      <c r="O2223" t="s">
        <v>70</v>
      </c>
      <c r="P2223" t="s">
        <v>15</v>
      </c>
      <c r="Q2223" t="s">
        <v>16</v>
      </c>
      <c r="R2223" t="s">
        <v>16</v>
      </c>
      <c r="S2223" t="s">
        <v>144</v>
      </c>
      <c r="T2223" s="2">
        <f>MASTER[[#This Row],[CANTIDAD]]*MASTER[[#This Row],[PRECIO DE VENTA]]</f>
        <v>1144</v>
      </c>
      <c r="U2223" s="2">
        <f>MASTER[[#This Row],[CANTIDAD]]*MASTER[[#This Row],[COSTO UNITARIO]]</f>
        <v>460</v>
      </c>
      <c r="V2223" s="2">
        <f>MASTER[[#This Row],[MONTO VENDIDO]]-MASTER[[#This Row],[COSTO DE VENTA]]</f>
        <v>684</v>
      </c>
    </row>
    <row r="2224" spans="1:22" x14ac:dyDescent="0.3">
      <c r="A2224">
        <v>38649</v>
      </c>
      <c r="B2224">
        <v>1</v>
      </c>
      <c r="C2224" t="s">
        <v>103</v>
      </c>
      <c r="D2224" t="s">
        <v>104</v>
      </c>
      <c r="E2224" s="1">
        <v>44095</v>
      </c>
      <c r="F2224">
        <v>1</v>
      </c>
      <c r="G2224" t="s">
        <v>59</v>
      </c>
      <c r="H2224" t="s">
        <v>60</v>
      </c>
      <c r="I2224" s="3">
        <v>1591</v>
      </c>
      <c r="J2224" s="3">
        <v>1591</v>
      </c>
      <c r="K2224" s="3">
        <v>421</v>
      </c>
      <c r="L2224" t="s">
        <v>98</v>
      </c>
      <c r="M2224">
        <v>15</v>
      </c>
      <c r="N2224" t="s">
        <v>88</v>
      </c>
      <c r="O2224" t="s">
        <v>81</v>
      </c>
      <c r="P2224" t="s">
        <v>18</v>
      </c>
      <c r="Q2224" t="s">
        <v>19</v>
      </c>
      <c r="R2224" t="s">
        <v>138</v>
      </c>
      <c r="S2224" t="s">
        <v>144</v>
      </c>
      <c r="T2224" s="2">
        <f>MASTER[[#This Row],[CANTIDAD]]*MASTER[[#This Row],[PRECIO DE VENTA]]</f>
        <v>1591</v>
      </c>
      <c r="U2224" s="2">
        <f>MASTER[[#This Row],[CANTIDAD]]*MASTER[[#This Row],[COSTO UNITARIO]]</f>
        <v>421</v>
      </c>
      <c r="V2224" s="2">
        <f>MASTER[[#This Row],[MONTO VENDIDO]]-MASTER[[#This Row],[COSTO DE VENTA]]</f>
        <v>1170</v>
      </c>
    </row>
    <row r="2225" spans="1:22" x14ac:dyDescent="0.3">
      <c r="A2225">
        <v>38652</v>
      </c>
      <c r="B2225">
        <v>1</v>
      </c>
      <c r="C2225" t="s">
        <v>94</v>
      </c>
      <c r="D2225" t="s">
        <v>95</v>
      </c>
      <c r="E2225" s="1">
        <v>44096</v>
      </c>
      <c r="F2225">
        <v>1</v>
      </c>
      <c r="G2225" t="s">
        <v>24</v>
      </c>
      <c r="H2225" t="s">
        <v>25</v>
      </c>
      <c r="I2225" s="3">
        <v>1048</v>
      </c>
      <c r="J2225" s="3">
        <v>1048</v>
      </c>
      <c r="K2225" s="3">
        <v>392</v>
      </c>
      <c r="L2225" t="s">
        <v>9</v>
      </c>
      <c r="M2225">
        <v>2</v>
      </c>
      <c r="N2225" t="s">
        <v>86</v>
      </c>
      <c r="O2225" t="s">
        <v>81</v>
      </c>
      <c r="P2225" t="s">
        <v>71</v>
      </c>
      <c r="Q2225" t="s">
        <v>72</v>
      </c>
      <c r="R2225" t="s">
        <v>139</v>
      </c>
      <c r="S2225" t="s">
        <v>144</v>
      </c>
      <c r="T2225" s="2">
        <f>MASTER[[#This Row],[CANTIDAD]]*MASTER[[#This Row],[PRECIO DE VENTA]]</f>
        <v>1048</v>
      </c>
      <c r="U2225" s="2">
        <f>MASTER[[#This Row],[CANTIDAD]]*MASTER[[#This Row],[COSTO UNITARIO]]</f>
        <v>392</v>
      </c>
      <c r="V2225" s="2">
        <f>MASTER[[#This Row],[MONTO VENDIDO]]-MASTER[[#This Row],[COSTO DE VENTA]]</f>
        <v>656</v>
      </c>
    </row>
    <row r="2226" spans="1:22" x14ac:dyDescent="0.3">
      <c r="A2226">
        <v>38658</v>
      </c>
      <c r="B2226">
        <v>1</v>
      </c>
      <c r="C2226" t="s">
        <v>107</v>
      </c>
      <c r="D2226" t="s">
        <v>108</v>
      </c>
      <c r="E2226" s="1">
        <v>44096</v>
      </c>
      <c r="F2226">
        <v>1</v>
      </c>
      <c r="G2226" t="s">
        <v>51</v>
      </c>
      <c r="H2226" t="s">
        <v>52</v>
      </c>
      <c r="I2226" s="3">
        <v>1440</v>
      </c>
      <c r="J2226" s="3">
        <v>1440</v>
      </c>
      <c r="K2226" s="3">
        <v>380</v>
      </c>
      <c r="L2226" t="s">
        <v>98</v>
      </c>
      <c r="M2226">
        <v>9</v>
      </c>
      <c r="N2226" t="s">
        <v>76</v>
      </c>
      <c r="O2226" t="s">
        <v>70</v>
      </c>
      <c r="P2226" t="s">
        <v>12</v>
      </c>
      <c r="Q2226" t="s">
        <v>13</v>
      </c>
      <c r="R2226" t="s">
        <v>13</v>
      </c>
      <c r="S2226" t="s">
        <v>144</v>
      </c>
      <c r="T2226" s="2">
        <f>MASTER[[#This Row],[CANTIDAD]]*MASTER[[#This Row],[PRECIO DE VENTA]]</f>
        <v>1440</v>
      </c>
      <c r="U2226" s="2">
        <f>MASTER[[#This Row],[CANTIDAD]]*MASTER[[#This Row],[COSTO UNITARIO]]</f>
        <v>380</v>
      </c>
      <c r="V2226" s="2">
        <f>MASTER[[#This Row],[MONTO VENDIDO]]-MASTER[[#This Row],[COSTO DE VENTA]]</f>
        <v>1060</v>
      </c>
    </row>
    <row r="2227" spans="1:22" x14ac:dyDescent="0.3">
      <c r="A2227">
        <v>38660</v>
      </c>
      <c r="B2227">
        <v>1</v>
      </c>
      <c r="C2227" t="s">
        <v>92</v>
      </c>
      <c r="D2227" t="s">
        <v>93</v>
      </c>
      <c r="E2227" s="1">
        <v>44096</v>
      </c>
      <c r="F2227">
        <v>1</v>
      </c>
      <c r="G2227" t="s">
        <v>63</v>
      </c>
      <c r="H2227" t="s">
        <v>64</v>
      </c>
      <c r="I2227" s="3">
        <v>1681</v>
      </c>
      <c r="J2227" s="3">
        <v>1681</v>
      </c>
      <c r="K2227" s="3">
        <v>396</v>
      </c>
      <c r="L2227" t="s">
        <v>9</v>
      </c>
      <c r="M2227">
        <v>7</v>
      </c>
      <c r="N2227" t="s">
        <v>84</v>
      </c>
      <c r="O2227" t="s">
        <v>81</v>
      </c>
      <c r="P2227" t="s">
        <v>12</v>
      </c>
      <c r="Q2227" t="s">
        <v>13</v>
      </c>
      <c r="R2227" t="s">
        <v>13</v>
      </c>
      <c r="S2227" t="s">
        <v>144</v>
      </c>
      <c r="T2227" s="2">
        <f>MASTER[[#This Row],[CANTIDAD]]*MASTER[[#This Row],[PRECIO DE VENTA]]</f>
        <v>1681</v>
      </c>
      <c r="U2227" s="2">
        <f>MASTER[[#This Row],[CANTIDAD]]*MASTER[[#This Row],[COSTO UNITARIO]]</f>
        <v>396</v>
      </c>
      <c r="V2227" s="2">
        <f>MASTER[[#This Row],[MONTO VENDIDO]]-MASTER[[#This Row],[COSTO DE VENTA]]</f>
        <v>1285</v>
      </c>
    </row>
    <row r="2228" spans="1:22" x14ac:dyDescent="0.3">
      <c r="A2228">
        <v>38663</v>
      </c>
      <c r="B2228">
        <v>1</v>
      </c>
      <c r="C2228" t="s">
        <v>116</v>
      </c>
      <c r="D2228" t="s">
        <v>117</v>
      </c>
      <c r="E2228" s="1">
        <v>44096</v>
      </c>
      <c r="F2228">
        <v>1</v>
      </c>
      <c r="G2228" t="s">
        <v>63</v>
      </c>
      <c r="H2228" t="s">
        <v>64</v>
      </c>
      <c r="I2228" s="3">
        <v>1529</v>
      </c>
      <c r="J2228" s="3">
        <v>1437</v>
      </c>
      <c r="K2228" s="3">
        <v>388</v>
      </c>
      <c r="L2228" t="s">
        <v>113</v>
      </c>
      <c r="M2228">
        <v>12</v>
      </c>
      <c r="N2228" t="s">
        <v>26</v>
      </c>
      <c r="O2228" t="s">
        <v>11</v>
      </c>
      <c r="P2228" t="s">
        <v>12</v>
      </c>
      <c r="Q2228" t="s">
        <v>13</v>
      </c>
      <c r="R2228" t="s">
        <v>13</v>
      </c>
      <c r="S2228" t="s">
        <v>144</v>
      </c>
      <c r="T2228" s="2">
        <f>MASTER[[#This Row],[CANTIDAD]]*MASTER[[#This Row],[PRECIO DE VENTA]]</f>
        <v>1437</v>
      </c>
      <c r="U2228" s="2">
        <f>MASTER[[#This Row],[CANTIDAD]]*MASTER[[#This Row],[COSTO UNITARIO]]</f>
        <v>388</v>
      </c>
      <c r="V2228" s="2">
        <f>MASTER[[#This Row],[MONTO VENDIDO]]-MASTER[[#This Row],[COSTO DE VENTA]]</f>
        <v>1049</v>
      </c>
    </row>
    <row r="2229" spans="1:22" x14ac:dyDescent="0.3">
      <c r="A2229">
        <v>38715</v>
      </c>
      <c r="B2229">
        <v>1</v>
      </c>
      <c r="C2229" t="s">
        <v>109</v>
      </c>
      <c r="D2229" t="s">
        <v>110</v>
      </c>
      <c r="E2229" s="1">
        <v>44096</v>
      </c>
      <c r="F2229">
        <v>4</v>
      </c>
      <c r="G2229" t="s">
        <v>20</v>
      </c>
      <c r="H2229" t="s">
        <v>21</v>
      </c>
      <c r="I2229" s="3">
        <v>1064</v>
      </c>
      <c r="J2229" s="3">
        <v>1064</v>
      </c>
      <c r="K2229" s="3">
        <v>387</v>
      </c>
      <c r="L2229" t="s">
        <v>98</v>
      </c>
      <c r="M2229">
        <v>10</v>
      </c>
      <c r="N2229" t="s">
        <v>83</v>
      </c>
      <c r="O2229" t="s">
        <v>81</v>
      </c>
      <c r="P2229" t="s">
        <v>12</v>
      </c>
      <c r="Q2229" t="s">
        <v>13</v>
      </c>
      <c r="R2229" t="s">
        <v>13</v>
      </c>
      <c r="S2229" t="s">
        <v>144</v>
      </c>
      <c r="T2229" s="2">
        <f>MASTER[[#This Row],[CANTIDAD]]*MASTER[[#This Row],[PRECIO DE VENTA]]</f>
        <v>4256</v>
      </c>
      <c r="U2229" s="2">
        <f>MASTER[[#This Row],[CANTIDAD]]*MASTER[[#This Row],[COSTO UNITARIO]]</f>
        <v>1548</v>
      </c>
      <c r="V2229" s="2">
        <f>MASTER[[#This Row],[MONTO VENDIDO]]-MASTER[[#This Row],[COSTO DE VENTA]]</f>
        <v>2708</v>
      </c>
    </row>
    <row r="2230" spans="1:22" x14ac:dyDescent="0.3">
      <c r="A2230">
        <v>38726</v>
      </c>
      <c r="B2230">
        <v>1</v>
      </c>
      <c r="C2230" t="s">
        <v>107</v>
      </c>
      <c r="D2230" t="s">
        <v>108</v>
      </c>
      <c r="E2230" s="1">
        <v>44096</v>
      </c>
      <c r="F2230">
        <v>1</v>
      </c>
      <c r="G2230" t="s">
        <v>47</v>
      </c>
      <c r="H2230" t="s">
        <v>48</v>
      </c>
      <c r="I2230" s="3">
        <v>1333</v>
      </c>
      <c r="J2230" s="3">
        <v>1333</v>
      </c>
      <c r="K2230" s="3">
        <v>380</v>
      </c>
      <c r="L2230" t="s">
        <v>98</v>
      </c>
      <c r="M2230">
        <v>19</v>
      </c>
      <c r="N2230" t="s">
        <v>89</v>
      </c>
      <c r="O2230" t="s">
        <v>81</v>
      </c>
      <c r="P2230" t="s">
        <v>15</v>
      </c>
      <c r="Q2230" t="s">
        <v>16</v>
      </c>
      <c r="R2230" t="s">
        <v>16</v>
      </c>
      <c r="S2230" t="s">
        <v>144</v>
      </c>
      <c r="T2230" s="2">
        <f>MASTER[[#This Row],[CANTIDAD]]*MASTER[[#This Row],[PRECIO DE VENTA]]</f>
        <v>1333</v>
      </c>
      <c r="U2230" s="2">
        <f>MASTER[[#This Row],[CANTIDAD]]*MASTER[[#This Row],[COSTO UNITARIO]]</f>
        <v>380</v>
      </c>
      <c r="V2230" s="2">
        <f>MASTER[[#This Row],[MONTO VENDIDO]]-MASTER[[#This Row],[COSTO DE VENTA]]</f>
        <v>953</v>
      </c>
    </row>
    <row r="2231" spans="1:22" x14ac:dyDescent="0.3">
      <c r="A2231">
        <v>38738</v>
      </c>
      <c r="B2231">
        <v>1</v>
      </c>
      <c r="C2231" t="s">
        <v>5</v>
      </c>
      <c r="D2231" t="s">
        <v>6</v>
      </c>
      <c r="E2231" s="1">
        <v>44096</v>
      </c>
      <c r="F2231">
        <v>1</v>
      </c>
      <c r="G2231" t="s">
        <v>27</v>
      </c>
      <c r="H2231" t="s">
        <v>28</v>
      </c>
      <c r="I2231" s="3">
        <v>1507</v>
      </c>
      <c r="J2231" s="3">
        <v>1507</v>
      </c>
      <c r="K2231" s="3">
        <v>393</v>
      </c>
      <c r="L2231" t="s">
        <v>9</v>
      </c>
      <c r="M2231">
        <v>4</v>
      </c>
      <c r="N2231" t="s">
        <v>82</v>
      </c>
      <c r="O2231" t="s">
        <v>81</v>
      </c>
      <c r="P2231" t="s">
        <v>71</v>
      </c>
      <c r="Q2231" t="s">
        <v>72</v>
      </c>
      <c r="R2231" t="s">
        <v>139</v>
      </c>
      <c r="S2231" t="s">
        <v>144</v>
      </c>
      <c r="T2231" s="2">
        <f>MASTER[[#This Row],[CANTIDAD]]*MASTER[[#This Row],[PRECIO DE VENTA]]</f>
        <v>1507</v>
      </c>
      <c r="U2231" s="2">
        <f>MASTER[[#This Row],[CANTIDAD]]*MASTER[[#This Row],[COSTO UNITARIO]]</f>
        <v>393</v>
      </c>
      <c r="V2231" s="2">
        <f>MASTER[[#This Row],[MONTO VENDIDO]]-MASTER[[#This Row],[COSTO DE VENTA]]</f>
        <v>1114</v>
      </c>
    </row>
    <row r="2232" spans="1:22" x14ac:dyDescent="0.3">
      <c r="A2232">
        <v>38743</v>
      </c>
      <c r="B2232">
        <v>1</v>
      </c>
      <c r="C2232" t="s">
        <v>109</v>
      </c>
      <c r="D2232" t="s">
        <v>110</v>
      </c>
      <c r="E2232" s="1">
        <v>44096</v>
      </c>
      <c r="F2232">
        <v>1</v>
      </c>
      <c r="G2232" t="s">
        <v>33</v>
      </c>
      <c r="H2232" t="s">
        <v>34</v>
      </c>
      <c r="I2232" s="3">
        <v>1064</v>
      </c>
      <c r="J2232" s="3">
        <v>1064</v>
      </c>
      <c r="K2232" s="3">
        <v>387</v>
      </c>
      <c r="L2232" t="s">
        <v>98</v>
      </c>
      <c r="M2232">
        <v>2</v>
      </c>
      <c r="N2232" t="s">
        <v>86</v>
      </c>
      <c r="O2232" t="s">
        <v>81</v>
      </c>
      <c r="P2232" t="s">
        <v>71</v>
      </c>
      <c r="Q2232" t="s">
        <v>72</v>
      </c>
      <c r="R2232" t="s">
        <v>139</v>
      </c>
      <c r="S2232" t="s">
        <v>144</v>
      </c>
      <c r="T2232" s="2">
        <f>MASTER[[#This Row],[CANTIDAD]]*MASTER[[#This Row],[PRECIO DE VENTA]]</f>
        <v>1064</v>
      </c>
      <c r="U2232" s="2">
        <f>MASTER[[#This Row],[CANTIDAD]]*MASTER[[#This Row],[COSTO UNITARIO]]</f>
        <v>387</v>
      </c>
      <c r="V2232" s="2">
        <f>MASTER[[#This Row],[MONTO VENDIDO]]-MASTER[[#This Row],[COSTO DE VENTA]]</f>
        <v>677</v>
      </c>
    </row>
    <row r="2233" spans="1:22" x14ac:dyDescent="0.3">
      <c r="A2233">
        <v>38758</v>
      </c>
      <c r="B2233">
        <v>1</v>
      </c>
      <c r="C2233" t="s">
        <v>107</v>
      </c>
      <c r="D2233" t="s">
        <v>108</v>
      </c>
      <c r="E2233" s="1">
        <v>44097</v>
      </c>
      <c r="F2233">
        <v>1</v>
      </c>
      <c r="G2233" t="s">
        <v>29</v>
      </c>
      <c r="H2233" t="s">
        <v>30</v>
      </c>
      <c r="I2233" s="3">
        <v>1440</v>
      </c>
      <c r="J2233" s="3">
        <v>1440</v>
      </c>
      <c r="K2233" s="3">
        <v>380</v>
      </c>
      <c r="L2233" t="s">
        <v>98</v>
      </c>
      <c r="M2233">
        <v>6</v>
      </c>
      <c r="N2233" t="s">
        <v>75</v>
      </c>
      <c r="O2233" t="s">
        <v>70</v>
      </c>
      <c r="P2233" t="s">
        <v>12</v>
      </c>
      <c r="Q2233" t="s">
        <v>13</v>
      </c>
      <c r="R2233" t="s">
        <v>13</v>
      </c>
      <c r="S2233" t="s">
        <v>144</v>
      </c>
      <c r="T2233" s="2">
        <f>MASTER[[#This Row],[CANTIDAD]]*MASTER[[#This Row],[PRECIO DE VENTA]]</f>
        <v>1440</v>
      </c>
      <c r="U2233" s="2">
        <f>MASTER[[#This Row],[CANTIDAD]]*MASTER[[#This Row],[COSTO UNITARIO]]</f>
        <v>380</v>
      </c>
      <c r="V2233" s="2">
        <f>MASTER[[#This Row],[MONTO VENDIDO]]-MASTER[[#This Row],[COSTO DE VENTA]]</f>
        <v>1060</v>
      </c>
    </row>
    <row r="2234" spans="1:22" x14ac:dyDescent="0.3">
      <c r="A2234">
        <v>38770</v>
      </c>
      <c r="B2234">
        <v>1</v>
      </c>
      <c r="C2234" t="s">
        <v>105</v>
      </c>
      <c r="D2234" t="s">
        <v>106</v>
      </c>
      <c r="E2234" s="1">
        <v>44097</v>
      </c>
      <c r="F2234">
        <v>1</v>
      </c>
      <c r="G2234" t="s">
        <v>29</v>
      </c>
      <c r="H2234" t="s">
        <v>30</v>
      </c>
      <c r="I2234" s="3">
        <v>1865</v>
      </c>
      <c r="J2234" s="3">
        <v>1865</v>
      </c>
      <c r="K2234" s="3">
        <v>459</v>
      </c>
      <c r="L2234" t="s">
        <v>98</v>
      </c>
      <c r="M2234">
        <v>5</v>
      </c>
      <c r="N2234" t="s">
        <v>85</v>
      </c>
      <c r="O2234" t="s">
        <v>81</v>
      </c>
      <c r="P2234" t="s">
        <v>12</v>
      </c>
      <c r="Q2234" t="s">
        <v>13</v>
      </c>
      <c r="R2234" t="s">
        <v>13</v>
      </c>
      <c r="S2234" t="s">
        <v>144</v>
      </c>
      <c r="T2234" s="2">
        <f>MASTER[[#This Row],[CANTIDAD]]*MASTER[[#This Row],[PRECIO DE VENTA]]</f>
        <v>1865</v>
      </c>
      <c r="U2234" s="2">
        <f>MASTER[[#This Row],[CANTIDAD]]*MASTER[[#This Row],[COSTO UNITARIO]]</f>
        <v>459</v>
      </c>
      <c r="V2234" s="2">
        <f>MASTER[[#This Row],[MONTO VENDIDO]]-MASTER[[#This Row],[COSTO DE VENTA]]</f>
        <v>1406</v>
      </c>
    </row>
    <row r="2235" spans="1:22" x14ac:dyDescent="0.3">
      <c r="A2235">
        <v>38774</v>
      </c>
      <c r="B2235">
        <v>1</v>
      </c>
      <c r="C2235" t="s">
        <v>90</v>
      </c>
      <c r="D2235" t="s">
        <v>91</v>
      </c>
      <c r="E2235" s="1">
        <v>44097</v>
      </c>
      <c r="F2235">
        <v>1</v>
      </c>
      <c r="G2235" t="s">
        <v>65</v>
      </c>
      <c r="H2235" t="s">
        <v>66</v>
      </c>
      <c r="I2235" s="3">
        <v>1844</v>
      </c>
      <c r="J2235" s="3">
        <v>1696</v>
      </c>
      <c r="K2235" s="3">
        <v>420</v>
      </c>
      <c r="L2235" t="s">
        <v>9</v>
      </c>
      <c r="M2235">
        <v>2</v>
      </c>
      <c r="N2235" t="s">
        <v>86</v>
      </c>
      <c r="O2235" t="s">
        <v>81</v>
      </c>
      <c r="P2235" t="s">
        <v>71</v>
      </c>
      <c r="Q2235" t="s">
        <v>72</v>
      </c>
      <c r="R2235" t="s">
        <v>139</v>
      </c>
      <c r="S2235" t="s">
        <v>144</v>
      </c>
      <c r="T2235" s="2">
        <f>MASTER[[#This Row],[CANTIDAD]]*MASTER[[#This Row],[PRECIO DE VENTA]]</f>
        <v>1696</v>
      </c>
      <c r="U2235" s="2">
        <f>MASTER[[#This Row],[CANTIDAD]]*MASTER[[#This Row],[COSTO UNITARIO]]</f>
        <v>420</v>
      </c>
      <c r="V2235" s="2">
        <f>MASTER[[#This Row],[MONTO VENDIDO]]-MASTER[[#This Row],[COSTO DE VENTA]]</f>
        <v>1276</v>
      </c>
    </row>
    <row r="2236" spans="1:22" x14ac:dyDescent="0.3">
      <c r="A2236">
        <v>38780</v>
      </c>
      <c r="B2236">
        <v>1</v>
      </c>
      <c r="C2236" t="s">
        <v>92</v>
      </c>
      <c r="D2236" t="s">
        <v>93</v>
      </c>
      <c r="E2236" s="1">
        <v>44097</v>
      </c>
      <c r="F2236">
        <v>1</v>
      </c>
      <c r="G2236" t="s">
        <v>24</v>
      </c>
      <c r="H2236" t="s">
        <v>25</v>
      </c>
      <c r="I2236" s="3">
        <v>1681</v>
      </c>
      <c r="J2236" s="3">
        <v>1681</v>
      </c>
      <c r="K2236" s="3">
        <v>396</v>
      </c>
      <c r="L2236" t="s">
        <v>9</v>
      </c>
      <c r="M2236">
        <v>8</v>
      </c>
      <c r="N2236" t="s">
        <v>80</v>
      </c>
      <c r="O2236" t="s">
        <v>81</v>
      </c>
      <c r="P2236" t="s">
        <v>12</v>
      </c>
      <c r="Q2236" t="s">
        <v>13</v>
      </c>
      <c r="R2236" t="s">
        <v>13</v>
      </c>
      <c r="S2236" t="s">
        <v>144</v>
      </c>
      <c r="T2236" s="2">
        <f>MASTER[[#This Row],[CANTIDAD]]*MASTER[[#This Row],[PRECIO DE VENTA]]</f>
        <v>1681</v>
      </c>
      <c r="U2236" s="2">
        <f>MASTER[[#This Row],[CANTIDAD]]*MASTER[[#This Row],[COSTO UNITARIO]]</f>
        <v>396</v>
      </c>
      <c r="V2236" s="2">
        <f>MASTER[[#This Row],[MONTO VENDIDO]]-MASTER[[#This Row],[COSTO DE VENTA]]</f>
        <v>1285</v>
      </c>
    </row>
    <row r="2237" spans="1:22" x14ac:dyDescent="0.3">
      <c r="A2237">
        <v>38804</v>
      </c>
      <c r="B2237">
        <v>1</v>
      </c>
      <c r="C2237" t="s">
        <v>92</v>
      </c>
      <c r="D2237" t="s">
        <v>93</v>
      </c>
      <c r="E2237" s="1">
        <v>44097</v>
      </c>
      <c r="F2237">
        <v>1</v>
      </c>
      <c r="G2237" t="s">
        <v>55</v>
      </c>
      <c r="H2237" t="s">
        <v>56</v>
      </c>
      <c r="I2237" s="3">
        <v>1479</v>
      </c>
      <c r="J2237" s="3">
        <v>1479</v>
      </c>
      <c r="K2237" s="3">
        <v>396</v>
      </c>
      <c r="L2237" t="s">
        <v>9</v>
      </c>
      <c r="M2237">
        <v>17</v>
      </c>
      <c r="N2237" t="s">
        <v>14</v>
      </c>
      <c r="O2237" t="s">
        <v>11</v>
      </c>
      <c r="P2237" t="s">
        <v>15</v>
      </c>
      <c r="Q2237" t="s">
        <v>16</v>
      </c>
      <c r="R2237" t="s">
        <v>16</v>
      </c>
      <c r="S2237" t="s">
        <v>144</v>
      </c>
      <c r="T2237" s="2">
        <f>MASTER[[#This Row],[CANTIDAD]]*MASTER[[#This Row],[PRECIO DE VENTA]]</f>
        <v>1479</v>
      </c>
      <c r="U2237" s="2">
        <f>MASTER[[#This Row],[CANTIDAD]]*MASTER[[#This Row],[COSTO UNITARIO]]</f>
        <v>396</v>
      </c>
      <c r="V2237" s="2">
        <f>MASTER[[#This Row],[MONTO VENDIDO]]-MASTER[[#This Row],[COSTO DE VENTA]]</f>
        <v>1083</v>
      </c>
    </row>
    <row r="2238" spans="1:22" x14ac:dyDescent="0.3">
      <c r="A2238">
        <v>38841</v>
      </c>
      <c r="B2238">
        <v>1</v>
      </c>
      <c r="C2238" t="s">
        <v>101</v>
      </c>
      <c r="D2238" t="s">
        <v>102</v>
      </c>
      <c r="E2238" s="1">
        <v>44097</v>
      </c>
      <c r="F2238">
        <v>1</v>
      </c>
      <c r="G2238" t="s">
        <v>51</v>
      </c>
      <c r="H2238" t="s">
        <v>52</v>
      </c>
      <c r="I2238" s="3">
        <v>1212</v>
      </c>
      <c r="J2238" s="3">
        <v>1212</v>
      </c>
      <c r="K2238" s="3">
        <v>442</v>
      </c>
      <c r="L2238" t="s">
        <v>98</v>
      </c>
      <c r="M2238">
        <v>14</v>
      </c>
      <c r="N2238" t="s">
        <v>87</v>
      </c>
      <c r="O2238" t="s">
        <v>81</v>
      </c>
      <c r="P2238" t="s">
        <v>18</v>
      </c>
      <c r="Q2238" t="s">
        <v>19</v>
      </c>
      <c r="R2238" t="s">
        <v>138</v>
      </c>
      <c r="S2238" t="s">
        <v>144</v>
      </c>
      <c r="T2238" s="2">
        <f>MASTER[[#This Row],[CANTIDAD]]*MASTER[[#This Row],[PRECIO DE VENTA]]</f>
        <v>1212</v>
      </c>
      <c r="U2238" s="2">
        <f>MASTER[[#This Row],[CANTIDAD]]*MASTER[[#This Row],[COSTO UNITARIO]]</f>
        <v>442</v>
      </c>
      <c r="V2238" s="2">
        <f>MASTER[[#This Row],[MONTO VENDIDO]]-MASTER[[#This Row],[COSTO DE VENTA]]</f>
        <v>770</v>
      </c>
    </row>
    <row r="2239" spans="1:22" x14ac:dyDescent="0.3">
      <c r="A2239">
        <v>38848</v>
      </c>
      <c r="B2239">
        <v>1</v>
      </c>
      <c r="C2239" t="s">
        <v>92</v>
      </c>
      <c r="D2239" t="s">
        <v>93</v>
      </c>
      <c r="E2239" s="1">
        <v>44098</v>
      </c>
      <c r="F2239">
        <v>1</v>
      </c>
      <c r="G2239" t="s">
        <v>65</v>
      </c>
      <c r="H2239" t="s">
        <v>66</v>
      </c>
      <c r="I2239" s="3">
        <v>1681</v>
      </c>
      <c r="J2239" s="3">
        <v>1681</v>
      </c>
      <c r="K2239" s="3">
        <v>396</v>
      </c>
      <c r="L2239" t="s">
        <v>9</v>
      </c>
      <c r="M2239">
        <v>4</v>
      </c>
      <c r="N2239" t="s">
        <v>82</v>
      </c>
      <c r="O2239" t="s">
        <v>81</v>
      </c>
      <c r="P2239" t="s">
        <v>71</v>
      </c>
      <c r="Q2239" t="s">
        <v>72</v>
      </c>
      <c r="R2239" t="s">
        <v>139</v>
      </c>
      <c r="S2239" t="s">
        <v>144</v>
      </c>
      <c r="T2239" s="2">
        <f>MASTER[[#This Row],[CANTIDAD]]*MASTER[[#This Row],[PRECIO DE VENTA]]</f>
        <v>1681</v>
      </c>
      <c r="U2239" s="2">
        <f>MASTER[[#This Row],[CANTIDAD]]*MASTER[[#This Row],[COSTO UNITARIO]]</f>
        <v>396</v>
      </c>
      <c r="V2239" s="2">
        <f>MASTER[[#This Row],[MONTO VENDIDO]]-MASTER[[#This Row],[COSTO DE VENTA]]</f>
        <v>1285</v>
      </c>
    </row>
    <row r="2240" spans="1:22" x14ac:dyDescent="0.3">
      <c r="A2240">
        <v>38848</v>
      </c>
      <c r="B2240">
        <v>2</v>
      </c>
      <c r="C2240" t="s">
        <v>105</v>
      </c>
      <c r="D2240" t="s">
        <v>106</v>
      </c>
      <c r="E2240" s="1">
        <v>44098</v>
      </c>
      <c r="F2240">
        <v>1</v>
      </c>
      <c r="G2240" t="s">
        <v>53</v>
      </c>
      <c r="H2240" t="s">
        <v>54</v>
      </c>
      <c r="I2240" s="3">
        <v>1865</v>
      </c>
      <c r="J2240" s="3">
        <v>1865</v>
      </c>
      <c r="K2240" s="3">
        <v>459</v>
      </c>
      <c r="L2240" t="s">
        <v>98</v>
      </c>
      <c r="M2240">
        <v>4</v>
      </c>
      <c r="N2240" t="s">
        <v>82</v>
      </c>
      <c r="O2240" t="s">
        <v>81</v>
      </c>
      <c r="P2240" t="s">
        <v>71</v>
      </c>
      <c r="Q2240" t="s">
        <v>72</v>
      </c>
      <c r="R2240" t="s">
        <v>139</v>
      </c>
      <c r="S2240" t="s">
        <v>144</v>
      </c>
      <c r="T2240" s="2">
        <f>MASTER[[#This Row],[CANTIDAD]]*MASTER[[#This Row],[PRECIO DE VENTA]]</f>
        <v>1865</v>
      </c>
      <c r="U2240" s="2">
        <f>MASTER[[#This Row],[CANTIDAD]]*MASTER[[#This Row],[COSTO UNITARIO]]</f>
        <v>459</v>
      </c>
      <c r="V2240" s="2">
        <f>MASTER[[#This Row],[MONTO VENDIDO]]-MASTER[[#This Row],[COSTO DE VENTA]]</f>
        <v>1406</v>
      </c>
    </row>
    <row r="2241" spans="1:22" x14ac:dyDescent="0.3">
      <c r="A2241">
        <v>38880</v>
      </c>
      <c r="B2241">
        <v>1</v>
      </c>
      <c r="C2241" t="s">
        <v>105</v>
      </c>
      <c r="D2241" t="s">
        <v>106</v>
      </c>
      <c r="E2241" s="1">
        <v>44098</v>
      </c>
      <c r="F2241">
        <v>1</v>
      </c>
      <c r="G2241" t="s">
        <v>51</v>
      </c>
      <c r="H2241" t="s">
        <v>52</v>
      </c>
      <c r="I2241" s="3">
        <v>1585</v>
      </c>
      <c r="J2241" s="3">
        <v>1585</v>
      </c>
      <c r="K2241" s="3">
        <v>459</v>
      </c>
      <c r="L2241" t="s">
        <v>98</v>
      </c>
      <c r="M2241">
        <v>16</v>
      </c>
      <c r="N2241" t="s">
        <v>17</v>
      </c>
      <c r="O2241" t="s">
        <v>11</v>
      </c>
      <c r="P2241" t="s">
        <v>18</v>
      </c>
      <c r="Q2241" t="s">
        <v>19</v>
      </c>
      <c r="R2241" t="s">
        <v>138</v>
      </c>
      <c r="S2241" t="s">
        <v>144</v>
      </c>
      <c r="T2241" s="2">
        <f>MASTER[[#This Row],[CANTIDAD]]*MASTER[[#This Row],[PRECIO DE VENTA]]</f>
        <v>1585</v>
      </c>
      <c r="U2241" s="2">
        <f>MASTER[[#This Row],[CANTIDAD]]*MASTER[[#This Row],[COSTO UNITARIO]]</f>
        <v>459</v>
      </c>
      <c r="V2241" s="2">
        <f>MASTER[[#This Row],[MONTO VENDIDO]]-MASTER[[#This Row],[COSTO DE VENTA]]</f>
        <v>1126</v>
      </c>
    </row>
    <row r="2242" spans="1:22" x14ac:dyDescent="0.3">
      <c r="A2242">
        <v>38893</v>
      </c>
      <c r="B2242">
        <v>1</v>
      </c>
      <c r="C2242" t="s">
        <v>114</v>
      </c>
      <c r="D2242" t="s">
        <v>115</v>
      </c>
      <c r="E2242" s="1">
        <v>44098</v>
      </c>
      <c r="F2242">
        <v>1</v>
      </c>
      <c r="G2242" t="s">
        <v>57</v>
      </c>
      <c r="H2242" t="s">
        <v>58</v>
      </c>
      <c r="I2242" s="3">
        <v>1862</v>
      </c>
      <c r="J2242" s="3">
        <v>1862</v>
      </c>
      <c r="K2242" s="3">
        <v>394</v>
      </c>
      <c r="L2242" t="s">
        <v>113</v>
      </c>
      <c r="M2242">
        <v>2</v>
      </c>
      <c r="N2242" t="s">
        <v>86</v>
      </c>
      <c r="O2242" t="s">
        <v>81</v>
      </c>
      <c r="P2242" t="s">
        <v>71</v>
      </c>
      <c r="Q2242" t="s">
        <v>72</v>
      </c>
      <c r="R2242" t="s">
        <v>139</v>
      </c>
      <c r="S2242" t="s">
        <v>144</v>
      </c>
      <c r="T2242" s="2">
        <f>MASTER[[#This Row],[CANTIDAD]]*MASTER[[#This Row],[PRECIO DE VENTA]]</f>
        <v>1862</v>
      </c>
      <c r="U2242" s="2">
        <f>MASTER[[#This Row],[CANTIDAD]]*MASTER[[#This Row],[COSTO UNITARIO]]</f>
        <v>394</v>
      </c>
      <c r="V2242" s="2">
        <f>MASTER[[#This Row],[MONTO VENDIDO]]-MASTER[[#This Row],[COSTO DE VENTA]]</f>
        <v>1468</v>
      </c>
    </row>
    <row r="2243" spans="1:22" x14ac:dyDescent="0.3">
      <c r="A2243">
        <v>38915</v>
      </c>
      <c r="B2243">
        <v>1</v>
      </c>
      <c r="C2243" t="s">
        <v>94</v>
      </c>
      <c r="D2243" t="s">
        <v>95</v>
      </c>
      <c r="E2243" s="1">
        <v>44098</v>
      </c>
      <c r="F2243">
        <v>1</v>
      </c>
      <c r="G2243" t="s">
        <v>55</v>
      </c>
      <c r="H2243" t="s">
        <v>56</v>
      </c>
      <c r="I2243" s="3">
        <v>901</v>
      </c>
      <c r="J2243" s="3">
        <v>901</v>
      </c>
      <c r="K2243" s="3">
        <v>392</v>
      </c>
      <c r="L2243" t="s">
        <v>9</v>
      </c>
      <c r="M2243">
        <v>16</v>
      </c>
      <c r="N2243" t="s">
        <v>17</v>
      </c>
      <c r="O2243" t="s">
        <v>11</v>
      </c>
      <c r="P2243" t="s">
        <v>18</v>
      </c>
      <c r="Q2243" t="s">
        <v>19</v>
      </c>
      <c r="R2243" t="s">
        <v>138</v>
      </c>
      <c r="S2243" t="s">
        <v>144</v>
      </c>
      <c r="T2243" s="2">
        <f>MASTER[[#This Row],[CANTIDAD]]*MASTER[[#This Row],[PRECIO DE VENTA]]</f>
        <v>901</v>
      </c>
      <c r="U2243" s="2">
        <f>MASTER[[#This Row],[CANTIDAD]]*MASTER[[#This Row],[COSTO UNITARIO]]</f>
        <v>392</v>
      </c>
      <c r="V2243" s="2">
        <f>MASTER[[#This Row],[MONTO VENDIDO]]-MASTER[[#This Row],[COSTO DE VENTA]]</f>
        <v>509</v>
      </c>
    </row>
    <row r="2244" spans="1:22" x14ac:dyDescent="0.3">
      <c r="A2244">
        <v>38917</v>
      </c>
      <c r="B2244">
        <v>1</v>
      </c>
      <c r="C2244" t="s">
        <v>99</v>
      </c>
      <c r="D2244" t="s">
        <v>100</v>
      </c>
      <c r="E2244" s="1">
        <v>44098</v>
      </c>
      <c r="F2244">
        <v>1</v>
      </c>
      <c r="G2244" t="s">
        <v>57</v>
      </c>
      <c r="H2244" t="s">
        <v>58</v>
      </c>
      <c r="I2244" s="3">
        <v>1459</v>
      </c>
      <c r="J2244" s="3">
        <v>1459</v>
      </c>
      <c r="K2244" s="3">
        <v>386</v>
      </c>
      <c r="L2244" t="s">
        <v>98</v>
      </c>
      <c r="M2244">
        <v>19</v>
      </c>
      <c r="N2244" t="s">
        <v>89</v>
      </c>
      <c r="O2244" t="s">
        <v>81</v>
      </c>
      <c r="P2244" t="s">
        <v>15</v>
      </c>
      <c r="Q2244" t="s">
        <v>16</v>
      </c>
      <c r="R2244" t="s">
        <v>16</v>
      </c>
      <c r="S2244" t="s">
        <v>144</v>
      </c>
      <c r="T2244" s="2">
        <f>MASTER[[#This Row],[CANTIDAD]]*MASTER[[#This Row],[PRECIO DE VENTA]]</f>
        <v>1459</v>
      </c>
      <c r="U2244" s="2">
        <f>MASTER[[#This Row],[CANTIDAD]]*MASTER[[#This Row],[COSTO UNITARIO]]</f>
        <v>386</v>
      </c>
      <c r="V2244" s="2">
        <f>MASTER[[#This Row],[MONTO VENDIDO]]-MASTER[[#This Row],[COSTO DE VENTA]]</f>
        <v>1073</v>
      </c>
    </row>
    <row r="2245" spans="1:22" x14ac:dyDescent="0.3">
      <c r="A2245">
        <v>38923</v>
      </c>
      <c r="B2245">
        <v>1</v>
      </c>
      <c r="C2245" t="s">
        <v>99</v>
      </c>
      <c r="D2245" t="s">
        <v>100</v>
      </c>
      <c r="E2245" s="1">
        <v>44098</v>
      </c>
      <c r="F2245">
        <v>1</v>
      </c>
      <c r="G2245" t="s">
        <v>20</v>
      </c>
      <c r="H2245" t="s">
        <v>21</v>
      </c>
      <c r="I2245" s="3">
        <v>1459</v>
      </c>
      <c r="J2245" s="3">
        <v>1459</v>
      </c>
      <c r="K2245" s="3">
        <v>386</v>
      </c>
      <c r="L2245" t="s">
        <v>98</v>
      </c>
      <c r="M2245">
        <v>4</v>
      </c>
      <c r="N2245" t="s">
        <v>82</v>
      </c>
      <c r="O2245" t="s">
        <v>81</v>
      </c>
      <c r="P2245" t="s">
        <v>71</v>
      </c>
      <c r="Q2245" t="s">
        <v>72</v>
      </c>
      <c r="R2245" t="s">
        <v>139</v>
      </c>
      <c r="S2245" t="s">
        <v>144</v>
      </c>
      <c r="T2245" s="2">
        <f>MASTER[[#This Row],[CANTIDAD]]*MASTER[[#This Row],[PRECIO DE VENTA]]</f>
        <v>1459</v>
      </c>
      <c r="U2245" s="2">
        <f>MASTER[[#This Row],[CANTIDAD]]*MASTER[[#This Row],[COSTO UNITARIO]]</f>
        <v>386</v>
      </c>
      <c r="V2245" s="2">
        <f>MASTER[[#This Row],[MONTO VENDIDO]]-MASTER[[#This Row],[COSTO DE VENTA]]</f>
        <v>1073</v>
      </c>
    </row>
    <row r="2246" spans="1:22" x14ac:dyDescent="0.3">
      <c r="A2246">
        <v>38944</v>
      </c>
      <c r="B2246">
        <v>1</v>
      </c>
      <c r="C2246" t="s">
        <v>94</v>
      </c>
      <c r="D2246" t="s">
        <v>95</v>
      </c>
      <c r="E2246" s="1">
        <v>44098</v>
      </c>
      <c r="F2246">
        <v>1</v>
      </c>
      <c r="G2246" t="s">
        <v>53</v>
      </c>
      <c r="H2246" t="s">
        <v>54</v>
      </c>
      <c r="I2246" s="3">
        <v>1048</v>
      </c>
      <c r="J2246" s="3">
        <v>1048</v>
      </c>
      <c r="K2246" s="3">
        <v>392</v>
      </c>
      <c r="L2246" t="s">
        <v>9</v>
      </c>
      <c r="M2246">
        <v>15</v>
      </c>
      <c r="N2246" t="s">
        <v>88</v>
      </c>
      <c r="O2246" t="s">
        <v>81</v>
      </c>
      <c r="P2246" t="s">
        <v>18</v>
      </c>
      <c r="Q2246" t="s">
        <v>19</v>
      </c>
      <c r="R2246" t="s">
        <v>138</v>
      </c>
      <c r="S2246" t="s">
        <v>144</v>
      </c>
      <c r="T2246" s="2">
        <f>MASTER[[#This Row],[CANTIDAD]]*MASTER[[#This Row],[PRECIO DE VENTA]]</f>
        <v>1048</v>
      </c>
      <c r="U2246" s="2">
        <f>MASTER[[#This Row],[CANTIDAD]]*MASTER[[#This Row],[COSTO UNITARIO]]</f>
        <v>392</v>
      </c>
      <c r="V2246" s="2">
        <f>MASTER[[#This Row],[MONTO VENDIDO]]-MASTER[[#This Row],[COSTO DE VENTA]]</f>
        <v>656</v>
      </c>
    </row>
    <row r="2247" spans="1:22" x14ac:dyDescent="0.3">
      <c r="A2247">
        <v>38946</v>
      </c>
      <c r="B2247">
        <v>1</v>
      </c>
      <c r="C2247" t="s">
        <v>90</v>
      </c>
      <c r="D2247" t="s">
        <v>91</v>
      </c>
      <c r="E2247" s="1">
        <v>44098</v>
      </c>
      <c r="F2247">
        <v>3</v>
      </c>
      <c r="G2247" t="s">
        <v>27</v>
      </c>
      <c r="H2247" t="s">
        <v>28</v>
      </c>
      <c r="I2247" s="3">
        <v>1844</v>
      </c>
      <c r="J2247" s="3">
        <v>1844</v>
      </c>
      <c r="K2247" s="3">
        <v>420</v>
      </c>
      <c r="L2247" t="s">
        <v>9</v>
      </c>
      <c r="M2247">
        <v>7</v>
      </c>
      <c r="N2247" t="s">
        <v>84</v>
      </c>
      <c r="O2247" t="s">
        <v>81</v>
      </c>
      <c r="P2247" t="s">
        <v>12</v>
      </c>
      <c r="Q2247" t="s">
        <v>13</v>
      </c>
      <c r="R2247" t="s">
        <v>13</v>
      </c>
      <c r="S2247" t="s">
        <v>144</v>
      </c>
      <c r="T2247" s="2">
        <f>MASTER[[#This Row],[CANTIDAD]]*MASTER[[#This Row],[PRECIO DE VENTA]]</f>
        <v>5532</v>
      </c>
      <c r="U2247" s="2">
        <f>MASTER[[#This Row],[CANTIDAD]]*MASTER[[#This Row],[COSTO UNITARIO]]</f>
        <v>1260</v>
      </c>
      <c r="V2247" s="2">
        <f>MASTER[[#This Row],[MONTO VENDIDO]]-MASTER[[#This Row],[COSTO DE VENTA]]</f>
        <v>4272</v>
      </c>
    </row>
    <row r="2248" spans="1:22" x14ac:dyDescent="0.3">
      <c r="A2248">
        <v>38947</v>
      </c>
      <c r="B2248">
        <v>1</v>
      </c>
      <c r="C2248" t="s">
        <v>99</v>
      </c>
      <c r="D2248" t="s">
        <v>100</v>
      </c>
      <c r="E2248" s="1">
        <v>44099</v>
      </c>
      <c r="F2248">
        <v>4</v>
      </c>
      <c r="G2248" t="s">
        <v>35</v>
      </c>
      <c r="H2248" t="s">
        <v>36</v>
      </c>
      <c r="I2248" s="3">
        <v>1459</v>
      </c>
      <c r="J2248" s="3">
        <v>1459</v>
      </c>
      <c r="K2248" s="3">
        <v>386</v>
      </c>
      <c r="L2248" t="s">
        <v>98</v>
      </c>
      <c r="M2248">
        <v>19</v>
      </c>
      <c r="N2248" t="s">
        <v>89</v>
      </c>
      <c r="O2248" t="s">
        <v>81</v>
      </c>
      <c r="P2248" t="s">
        <v>15</v>
      </c>
      <c r="Q2248" t="s">
        <v>16</v>
      </c>
      <c r="R2248" t="s">
        <v>16</v>
      </c>
      <c r="S2248" t="s">
        <v>144</v>
      </c>
      <c r="T2248" s="2">
        <f>MASTER[[#This Row],[CANTIDAD]]*MASTER[[#This Row],[PRECIO DE VENTA]]</f>
        <v>5836</v>
      </c>
      <c r="U2248" s="2">
        <f>MASTER[[#This Row],[CANTIDAD]]*MASTER[[#This Row],[COSTO UNITARIO]]</f>
        <v>1544</v>
      </c>
      <c r="V2248" s="2">
        <f>MASTER[[#This Row],[MONTO VENDIDO]]-MASTER[[#This Row],[COSTO DE VENTA]]</f>
        <v>4292</v>
      </c>
    </row>
    <row r="2249" spans="1:22" x14ac:dyDescent="0.3">
      <c r="A2249">
        <v>38956</v>
      </c>
      <c r="B2249">
        <v>1</v>
      </c>
      <c r="C2249" t="s">
        <v>118</v>
      </c>
      <c r="D2249" t="s">
        <v>119</v>
      </c>
      <c r="E2249" s="1">
        <v>44099</v>
      </c>
      <c r="F2249">
        <v>1</v>
      </c>
      <c r="G2249" t="s">
        <v>61</v>
      </c>
      <c r="H2249" t="s">
        <v>62</v>
      </c>
      <c r="I2249" s="3">
        <v>801</v>
      </c>
      <c r="J2249" s="3">
        <v>801</v>
      </c>
      <c r="K2249" s="3">
        <v>424</v>
      </c>
      <c r="L2249" t="s">
        <v>120</v>
      </c>
      <c r="M2249">
        <v>16</v>
      </c>
      <c r="N2249" t="s">
        <v>17</v>
      </c>
      <c r="O2249" t="s">
        <v>11</v>
      </c>
      <c r="P2249" t="s">
        <v>18</v>
      </c>
      <c r="Q2249" t="s">
        <v>19</v>
      </c>
      <c r="R2249" t="s">
        <v>138</v>
      </c>
      <c r="S2249" t="s">
        <v>144</v>
      </c>
      <c r="T2249" s="2">
        <f>MASTER[[#This Row],[CANTIDAD]]*MASTER[[#This Row],[PRECIO DE VENTA]]</f>
        <v>801</v>
      </c>
      <c r="U2249" s="2">
        <f>MASTER[[#This Row],[CANTIDAD]]*MASTER[[#This Row],[COSTO UNITARIO]]</f>
        <v>424</v>
      </c>
      <c r="V2249" s="2">
        <f>MASTER[[#This Row],[MONTO VENDIDO]]-MASTER[[#This Row],[COSTO DE VENTA]]</f>
        <v>377</v>
      </c>
    </row>
    <row r="2250" spans="1:22" x14ac:dyDescent="0.3">
      <c r="A2250">
        <v>38989</v>
      </c>
      <c r="B2250">
        <v>1</v>
      </c>
      <c r="C2250" t="s">
        <v>114</v>
      </c>
      <c r="D2250" t="s">
        <v>115</v>
      </c>
      <c r="E2250" s="1">
        <v>44099</v>
      </c>
      <c r="F2250">
        <v>1</v>
      </c>
      <c r="G2250" t="s">
        <v>53</v>
      </c>
      <c r="H2250" t="s">
        <v>54</v>
      </c>
      <c r="I2250" s="3">
        <v>1583</v>
      </c>
      <c r="J2250" s="3">
        <v>1583</v>
      </c>
      <c r="K2250" s="3">
        <v>394</v>
      </c>
      <c r="L2250" t="s">
        <v>113</v>
      </c>
      <c r="M2250">
        <v>12</v>
      </c>
      <c r="N2250" t="s">
        <v>26</v>
      </c>
      <c r="O2250" t="s">
        <v>11</v>
      </c>
      <c r="P2250" t="s">
        <v>12</v>
      </c>
      <c r="Q2250" t="s">
        <v>13</v>
      </c>
      <c r="R2250" t="s">
        <v>13</v>
      </c>
      <c r="S2250" t="s">
        <v>144</v>
      </c>
      <c r="T2250" s="2">
        <f>MASTER[[#This Row],[CANTIDAD]]*MASTER[[#This Row],[PRECIO DE VENTA]]</f>
        <v>1583</v>
      </c>
      <c r="U2250" s="2">
        <f>MASTER[[#This Row],[CANTIDAD]]*MASTER[[#This Row],[COSTO UNITARIO]]</f>
        <v>394</v>
      </c>
      <c r="V2250" s="2">
        <f>MASTER[[#This Row],[MONTO VENDIDO]]-MASTER[[#This Row],[COSTO DE VENTA]]</f>
        <v>1189</v>
      </c>
    </row>
    <row r="2251" spans="1:22" x14ac:dyDescent="0.3">
      <c r="A2251">
        <v>39020</v>
      </c>
      <c r="B2251">
        <v>1</v>
      </c>
      <c r="C2251" t="s">
        <v>99</v>
      </c>
      <c r="D2251" t="s">
        <v>100</v>
      </c>
      <c r="E2251" s="1">
        <v>44099</v>
      </c>
      <c r="F2251">
        <v>1</v>
      </c>
      <c r="G2251" t="s">
        <v>53</v>
      </c>
      <c r="H2251" t="s">
        <v>54</v>
      </c>
      <c r="I2251" s="3">
        <v>1459</v>
      </c>
      <c r="J2251" s="3">
        <v>1459</v>
      </c>
      <c r="K2251" s="3">
        <v>386</v>
      </c>
      <c r="L2251" t="s">
        <v>98</v>
      </c>
      <c r="M2251">
        <v>8</v>
      </c>
      <c r="N2251" t="s">
        <v>80</v>
      </c>
      <c r="O2251" t="s">
        <v>81</v>
      </c>
      <c r="P2251" t="s">
        <v>12</v>
      </c>
      <c r="Q2251" t="s">
        <v>13</v>
      </c>
      <c r="R2251" t="s">
        <v>13</v>
      </c>
      <c r="S2251" t="s">
        <v>144</v>
      </c>
      <c r="T2251" s="2">
        <f>MASTER[[#This Row],[CANTIDAD]]*MASTER[[#This Row],[PRECIO DE VENTA]]</f>
        <v>1459</v>
      </c>
      <c r="U2251" s="2">
        <f>MASTER[[#This Row],[CANTIDAD]]*MASTER[[#This Row],[COSTO UNITARIO]]</f>
        <v>386</v>
      </c>
      <c r="V2251" s="2">
        <f>MASTER[[#This Row],[MONTO VENDIDO]]-MASTER[[#This Row],[COSTO DE VENTA]]</f>
        <v>1073</v>
      </c>
    </row>
    <row r="2252" spans="1:22" x14ac:dyDescent="0.3">
      <c r="A2252">
        <v>39023</v>
      </c>
      <c r="B2252">
        <v>1</v>
      </c>
      <c r="C2252" t="s">
        <v>94</v>
      </c>
      <c r="D2252" t="s">
        <v>95</v>
      </c>
      <c r="E2252" s="1">
        <v>44099</v>
      </c>
      <c r="F2252">
        <v>1</v>
      </c>
      <c r="G2252" t="s">
        <v>57</v>
      </c>
      <c r="H2252" t="s">
        <v>58</v>
      </c>
      <c r="I2252" s="3">
        <v>901</v>
      </c>
      <c r="J2252" s="3">
        <v>901</v>
      </c>
      <c r="K2252" s="3">
        <v>392</v>
      </c>
      <c r="L2252" t="s">
        <v>9</v>
      </c>
      <c r="M2252">
        <v>16</v>
      </c>
      <c r="N2252" t="s">
        <v>17</v>
      </c>
      <c r="O2252" t="s">
        <v>11</v>
      </c>
      <c r="P2252" t="s">
        <v>18</v>
      </c>
      <c r="Q2252" t="s">
        <v>19</v>
      </c>
      <c r="R2252" t="s">
        <v>138</v>
      </c>
      <c r="S2252" t="s">
        <v>144</v>
      </c>
      <c r="T2252" s="2">
        <f>MASTER[[#This Row],[CANTIDAD]]*MASTER[[#This Row],[PRECIO DE VENTA]]</f>
        <v>901</v>
      </c>
      <c r="U2252" s="2">
        <f>MASTER[[#This Row],[CANTIDAD]]*MASTER[[#This Row],[COSTO UNITARIO]]</f>
        <v>392</v>
      </c>
      <c r="V2252" s="2">
        <f>MASTER[[#This Row],[MONTO VENDIDO]]-MASTER[[#This Row],[COSTO DE VENTA]]</f>
        <v>509</v>
      </c>
    </row>
    <row r="2253" spans="1:22" x14ac:dyDescent="0.3">
      <c r="A2253">
        <v>39058</v>
      </c>
      <c r="B2253">
        <v>1</v>
      </c>
      <c r="C2253" t="s">
        <v>111</v>
      </c>
      <c r="D2253" t="s">
        <v>112</v>
      </c>
      <c r="E2253" s="1">
        <v>44099</v>
      </c>
      <c r="F2253">
        <v>3</v>
      </c>
      <c r="G2253" t="s">
        <v>63</v>
      </c>
      <c r="H2253" t="s">
        <v>64</v>
      </c>
      <c r="I2253" s="3">
        <v>1524</v>
      </c>
      <c r="J2253" s="3">
        <v>1386</v>
      </c>
      <c r="K2253" s="3">
        <v>434</v>
      </c>
      <c r="L2253" t="s">
        <v>113</v>
      </c>
      <c r="M2253">
        <v>12</v>
      </c>
      <c r="N2253" t="s">
        <v>26</v>
      </c>
      <c r="O2253" t="s">
        <v>11</v>
      </c>
      <c r="P2253" t="s">
        <v>12</v>
      </c>
      <c r="Q2253" t="s">
        <v>13</v>
      </c>
      <c r="R2253" t="s">
        <v>13</v>
      </c>
      <c r="S2253" t="s">
        <v>144</v>
      </c>
      <c r="T2253" s="2">
        <f>MASTER[[#This Row],[CANTIDAD]]*MASTER[[#This Row],[PRECIO DE VENTA]]</f>
        <v>4158</v>
      </c>
      <c r="U2253" s="2">
        <f>MASTER[[#This Row],[CANTIDAD]]*MASTER[[#This Row],[COSTO UNITARIO]]</f>
        <v>1302</v>
      </c>
      <c r="V2253" s="2">
        <f>MASTER[[#This Row],[MONTO VENDIDO]]-MASTER[[#This Row],[COSTO DE VENTA]]</f>
        <v>2856</v>
      </c>
    </row>
    <row r="2254" spans="1:22" x14ac:dyDescent="0.3">
      <c r="A2254">
        <v>39083</v>
      </c>
      <c r="B2254">
        <v>1</v>
      </c>
      <c r="C2254" t="s">
        <v>121</v>
      </c>
      <c r="D2254" t="s">
        <v>122</v>
      </c>
      <c r="E2254" s="1">
        <v>44100</v>
      </c>
      <c r="F2254">
        <v>1</v>
      </c>
      <c r="G2254" t="s">
        <v>73</v>
      </c>
      <c r="H2254" t="s">
        <v>74</v>
      </c>
      <c r="I2254" s="3">
        <v>1144</v>
      </c>
      <c r="J2254" s="3">
        <v>1144</v>
      </c>
      <c r="K2254" s="3">
        <v>460</v>
      </c>
      <c r="L2254" t="s">
        <v>120</v>
      </c>
      <c r="M2254">
        <v>3</v>
      </c>
      <c r="N2254" t="s">
        <v>69</v>
      </c>
      <c r="O2254" t="s">
        <v>70</v>
      </c>
      <c r="P2254" t="s">
        <v>71</v>
      </c>
      <c r="Q2254" t="s">
        <v>72</v>
      </c>
      <c r="R2254" t="s">
        <v>139</v>
      </c>
      <c r="S2254" t="s">
        <v>144</v>
      </c>
      <c r="T2254" s="2">
        <f>MASTER[[#This Row],[CANTIDAD]]*MASTER[[#This Row],[PRECIO DE VENTA]]</f>
        <v>1144</v>
      </c>
      <c r="U2254" s="2">
        <f>MASTER[[#This Row],[CANTIDAD]]*MASTER[[#This Row],[COSTO UNITARIO]]</f>
        <v>460</v>
      </c>
      <c r="V2254" s="2">
        <f>MASTER[[#This Row],[MONTO VENDIDO]]-MASTER[[#This Row],[COSTO DE VENTA]]</f>
        <v>684</v>
      </c>
    </row>
    <row r="2255" spans="1:22" x14ac:dyDescent="0.3">
      <c r="A2255">
        <v>39112</v>
      </c>
      <c r="B2255">
        <v>1</v>
      </c>
      <c r="C2255" t="s">
        <v>121</v>
      </c>
      <c r="D2255" t="s">
        <v>122</v>
      </c>
      <c r="E2255" s="1">
        <v>44100</v>
      </c>
      <c r="F2255">
        <v>1</v>
      </c>
      <c r="G2255" t="s">
        <v>51</v>
      </c>
      <c r="H2255" t="s">
        <v>52</v>
      </c>
      <c r="I2255" s="3">
        <v>941</v>
      </c>
      <c r="J2255" s="3">
        <v>941</v>
      </c>
      <c r="K2255" s="3">
        <v>460</v>
      </c>
      <c r="L2255" t="s">
        <v>120</v>
      </c>
      <c r="M2255">
        <v>17</v>
      </c>
      <c r="N2255" t="s">
        <v>14</v>
      </c>
      <c r="O2255" t="s">
        <v>11</v>
      </c>
      <c r="P2255" t="s">
        <v>15</v>
      </c>
      <c r="Q2255" t="s">
        <v>16</v>
      </c>
      <c r="R2255" t="s">
        <v>16</v>
      </c>
      <c r="S2255" t="s">
        <v>144</v>
      </c>
      <c r="T2255" s="2">
        <f>MASTER[[#This Row],[CANTIDAD]]*MASTER[[#This Row],[PRECIO DE VENTA]]</f>
        <v>941</v>
      </c>
      <c r="U2255" s="2">
        <f>MASTER[[#This Row],[CANTIDAD]]*MASTER[[#This Row],[COSTO UNITARIO]]</f>
        <v>460</v>
      </c>
      <c r="V2255" s="2">
        <f>MASTER[[#This Row],[MONTO VENDIDO]]-MASTER[[#This Row],[COSTO DE VENTA]]</f>
        <v>481</v>
      </c>
    </row>
    <row r="2256" spans="1:22" x14ac:dyDescent="0.3">
      <c r="A2256">
        <v>39137</v>
      </c>
      <c r="B2256">
        <v>1</v>
      </c>
      <c r="C2256" t="s">
        <v>109</v>
      </c>
      <c r="D2256" t="s">
        <v>110</v>
      </c>
      <c r="E2256" s="1">
        <v>44100</v>
      </c>
      <c r="F2256">
        <v>1</v>
      </c>
      <c r="G2256" t="s">
        <v>65</v>
      </c>
      <c r="H2256" t="s">
        <v>66</v>
      </c>
      <c r="I2256" s="3">
        <v>1064</v>
      </c>
      <c r="J2256" s="3">
        <v>1064</v>
      </c>
      <c r="K2256" s="3">
        <v>387</v>
      </c>
      <c r="L2256" t="s">
        <v>98</v>
      </c>
      <c r="M2256">
        <v>5</v>
      </c>
      <c r="N2256" t="s">
        <v>85</v>
      </c>
      <c r="O2256" t="s">
        <v>81</v>
      </c>
      <c r="P2256" t="s">
        <v>12</v>
      </c>
      <c r="Q2256" t="s">
        <v>13</v>
      </c>
      <c r="R2256" t="s">
        <v>13</v>
      </c>
      <c r="S2256" t="s">
        <v>144</v>
      </c>
      <c r="T2256" s="2">
        <f>MASTER[[#This Row],[CANTIDAD]]*MASTER[[#This Row],[PRECIO DE VENTA]]</f>
        <v>1064</v>
      </c>
      <c r="U2256" s="2">
        <f>MASTER[[#This Row],[CANTIDAD]]*MASTER[[#This Row],[COSTO UNITARIO]]</f>
        <v>387</v>
      </c>
      <c r="V2256" s="2">
        <f>MASTER[[#This Row],[MONTO VENDIDO]]-MASTER[[#This Row],[COSTO DE VENTA]]</f>
        <v>677</v>
      </c>
    </row>
    <row r="2257" spans="1:22" x14ac:dyDescent="0.3">
      <c r="A2257">
        <v>39171</v>
      </c>
      <c r="B2257">
        <v>1</v>
      </c>
      <c r="C2257" t="s">
        <v>5</v>
      </c>
      <c r="D2257" t="s">
        <v>6</v>
      </c>
      <c r="E2257" s="1">
        <v>44100</v>
      </c>
      <c r="F2257">
        <v>1</v>
      </c>
      <c r="G2257" t="s">
        <v>51</v>
      </c>
      <c r="H2257" t="s">
        <v>52</v>
      </c>
      <c r="I2257" s="3">
        <v>1311</v>
      </c>
      <c r="J2257" s="3">
        <v>1311</v>
      </c>
      <c r="K2257" s="3">
        <v>393</v>
      </c>
      <c r="L2257" t="s">
        <v>9</v>
      </c>
      <c r="M2257">
        <v>11</v>
      </c>
      <c r="N2257" t="s">
        <v>10</v>
      </c>
      <c r="O2257" t="s">
        <v>11</v>
      </c>
      <c r="P2257" t="s">
        <v>12</v>
      </c>
      <c r="Q2257" t="s">
        <v>13</v>
      </c>
      <c r="R2257" t="s">
        <v>13</v>
      </c>
      <c r="S2257" t="s">
        <v>144</v>
      </c>
      <c r="T2257" s="2">
        <f>MASTER[[#This Row],[CANTIDAD]]*MASTER[[#This Row],[PRECIO DE VENTA]]</f>
        <v>1311</v>
      </c>
      <c r="U2257" s="2">
        <f>MASTER[[#This Row],[CANTIDAD]]*MASTER[[#This Row],[COSTO UNITARIO]]</f>
        <v>393</v>
      </c>
      <c r="V2257" s="2">
        <f>MASTER[[#This Row],[MONTO VENDIDO]]-MASTER[[#This Row],[COSTO DE VENTA]]</f>
        <v>918</v>
      </c>
    </row>
    <row r="2258" spans="1:22" x14ac:dyDescent="0.3">
      <c r="A2258">
        <v>39215</v>
      </c>
      <c r="B2258">
        <v>1</v>
      </c>
      <c r="C2258" t="s">
        <v>103</v>
      </c>
      <c r="D2258" t="s">
        <v>104</v>
      </c>
      <c r="E2258" s="1">
        <v>44100</v>
      </c>
      <c r="F2258">
        <v>1</v>
      </c>
      <c r="G2258" t="s">
        <v>33</v>
      </c>
      <c r="H2258" t="s">
        <v>34</v>
      </c>
      <c r="I2258" s="3">
        <v>1448</v>
      </c>
      <c r="J2258" s="3">
        <v>1448</v>
      </c>
      <c r="K2258" s="3">
        <v>421</v>
      </c>
      <c r="L2258" t="s">
        <v>98</v>
      </c>
      <c r="M2258">
        <v>12</v>
      </c>
      <c r="N2258" t="s">
        <v>26</v>
      </c>
      <c r="O2258" t="s">
        <v>11</v>
      </c>
      <c r="P2258" t="s">
        <v>12</v>
      </c>
      <c r="Q2258" t="s">
        <v>13</v>
      </c>
      <c r="R2258" t="s">
        <v>13</v>
      </c>
      <c r="S2258" t="s">
        <v>144</v>
      </c>
      <c r="T2258" s="2">
        <f>MASTER[[#This Row],[CANTIDAD]]*MASTER[[#This Row],[PRECIO DE VENTA]]</f>
        <v>1448</v>
      </c>
      <c r="U2258" s="2">
        <f>MASTER[[#This Row],[CANTIDAD]]*MASTER[[#This Row],[COSTO UNITARIO]]</f>
        <v>421</v>
      </c>
      <c r="V2258" s="2">
        <f>MASTER[[#This Row],[MONTO VENDIDO]]-MASTER[[#This Row],[COSTO DE VENTA]]</f>
        <v>1027</v>
      </c>
    </row>
    <row r="2259" spans="1:22" x14ac:dyDescent="0.3">
      <c r="A2259">
        <v>39217</v>
      </c>
      <c r="B2259">
        <v>1</v>
      </c>
      <c r="C2259" t="s">
        <v>109</v>
      </c>
      <c r="D2259" t="s">
        <v>110</v>
      </c>
      <c r="E2259" s="1">
        <v>44100</v>
      </c>
      <c r="F2259">
        <v>1</v>
      </c>
      <c r="G2259" t="s">
        <v>22</v>
      </c>
      <c r="H2259" t="s">
        <v>23</v>
      </c>
      <c r="I2259" s="3">
        <v>1064</v>
      </c>
      <c r="J2259" s="3">
        <v>1064</v>
      </c>
      <c r="K2259" s="3">
        <v>387</v>
      </c>
      <c r="L2259" t="s">
        <v>98</v>
      </c>
      <c r="M2259">
        <v>8</v>
      </c>
      <c r="N2259" t="s">
        <v>80</v>
      </c>
      <c r="O2259" t="s">
        <v>81</v>
      </c>
      <c r="P2259" t="s">
        <v>12</v>
      </c>
      <c r="Q2259" t="s">
        <v>13</v>
      </c>
      <c r="R2259" t="s">
        <v>13</v>
      </c>
      <c r="S2259" t="s">
        <v>144</v>
      </c>
      <c r="T2259" s="2">
        <f>MASTER[[#This Row],[CANTIDAD]]*MASTER[[#This Row],[PRECIO DE VENTA]]</f>
        <v>1064</v>
      </c>
      <c r="U2259" s="2">
        <f>MASTER[[#This Row],[CANTIDAD]]*MASTER[[#This Row],[COSTO UNITARIO]]</f>
        <v>387</v>
      </c>
      <c r="V2259" s="2">
        <f>MASTER[[#This Row],[MONTO VENDIDO]]-MASTER[[#This Row],[COSTO DE VENTA]]</f>
        <v>677</v>
      </c>
    </row>
    <row r="2260" spans="1:22" x14ac:dyDescent="0.3">
      <c r="A2260">
        <v>39223</v>
      </c>
      <c r="B2260">
        <v>1</v>
      </c>
      <c r="C2260" t="s">
        <v>90</v>
      </c>
      <c r="D2260" t="s">
        <v>91</v>
      </c>
      <c r="E2260" s="1">
        <v>44100</v>
      </c>
      <c r="F2260">
        <v>1</v>
      </c>
      <c r="G2260" t="s">
        <v>43</v>
      </c>
      <c r="H2260" t="s">
        <v>44</v>
      </c>
      <c r="I2260" s="3">
        <v>1660</v>
      </c>
      <c r="J2260" s="3">
        <v>1660</v>
      </c>
      <c r="K2260" s="3">
        <v>420</v>
      </c>
      <c r="L2260" t="s">
        <v>9</v>
      </c>
      <c r="M2260">
        <v>16</v>
      </c>
      <c r="N2260" t="s">
        <v>17</v>
      </c>
      <c r="O2260" t="s">
        <v>11</v>
      </c>
      <c r="P2260" t="s">
        <v>18</v>
      </c>
      <c r="Q2260" t="s">
        <v>19</v>
      </c>
      <c r="R2260" t="s">
        <v>138</v>
      </c>
      <c r="S2260" t="s">
        <v>144</v>
      </c>
      <c r="T2260" s="2">
        <f>MASTER[[#This Row],[CANTIDAD]]*MASTER[[#This Row],[PRECIO DE VENTA]]</f>
        <v>1660</v>
      </c>
      <c r="U2260" s="2">
        <f>MASTER[[#This Row],[CANTIDAD]]*MASTER[[#This Row],[COSTO UNITARIO]]</f>
        <v>420</v>
      </c>
      <c r="V2260" s="2">
        <f>MASTER[[#This Row],[MONTO VENDIDO]]-MASTER[[#This Row],[COSTO DE VENTA]]</f>
        <v>1240</v>
      </c>
    </row>
    <row r="2261" spans="1:22" x14ac:dyDescent="0.3">
      <c r="A2261">
        <v>39241</v>
      </c>
      <c r="B2261">
        <v>1</v>
      </c>
      <c r="C2261" t="s">
        <v>107</v>
      </c>
      <c r="D2261" t="s">
        <v>108</v>
      </c>
      <c r="E2261" s="1">
        <v>44100</v>
      </c>
      <c r="F2261">
        <v>1</v>
      </c>
      <c r="G2261" t="s">
        <v>27</v>
      </c>
      <c r="H2261" t="s">
        <v>28</v>
      </c>
      <c r="I2261" s="3">
        <v>1333</v>
      </c>
      <c r="J2261" s="3">
        <v>1333</v>
      </c>
      <c r="K2261" s="3">
        <v>380</v>
      </c>
      <c r="L2261" t="s">
        <v>98</v>
      </c>
      <c r="M2261">
        <v>10</v>
      </c>
      <c r="N2261" t="s">
        <v>83</v>
      </c>
      <c r="O2261" t="s">
        <v>81</v>
      </c>
      <c r="P2261" t="s">
        <v>12</v>
      </c>
      <c r="Q2261" t="s">
        <v>13</v>
      </c>
      <c r="R2261" t="s">
        <v>13</v>
      </c>
      <c r="S2261" t="s">
        <v>144</v>
      </c>
      <c r="T2261" s="2">
        <f>MASTER[[#This Row],[CANTIDAD]]*MASTER[[#This Row],[PRECIO DE VENTA]]</f>
        <v>1333</v>
      </c>
      <c r="U2261" s="2">
        <f>MASTER[[#This Row],[CANTIDAD]]*MASTER[[#This Row],[COSTO UNITARIO]]</f>
        <v>380</v>
      </c>
      <c r="V2261" s="2">
        <f>MASTER[[#This Row],[MONTO VENDIDO]]-MASTER[[#This Row],[COSTO DE VENTA]]</f>
        <v>953</v>
      </c>
    </row>
    <row r="2262" spans="1:22" x14ac:dyDescent="0.3">
      <c r="A2262">
        <v>39243</v>
      </c>
      <c r="B2262">
        <v>1</v>
      </c>
      <c r="C2262" t="s">
        <v>5</v>
      </c>
      <c r="D2262" t="s">
        <v>6</v>
      </c>
      <c r="E2262" s="1">
        <v>44100</v>
      </c>
      <c r="F2262">
        <v>1</v>
      </c>
      <c r="G2262" t="s">
        <v>61</v>
      </c>
      <c r="H2262" t="s">
        <v>62</v>
      </c>
      <c r="I2262" s="3">
        <v>1296</v>
      </c>
      <c r="J2262" s="3">
        <v>1296</v>
      </c>
      <c r="K2262" s="3">
        <v>393</v>
      </c>
      <c r="L2262" t="s">
        <v>9</v>
      </c>
      <c r="M2262">
        <v>9</v>
      </c>
      <c r="N2262" t="s">
        <v>76</v>
      </c>
      <c r="O2262" t="s">
        <v>70</v>
      </c>
      <c r="P2262" t="s">
        <v>12</v>
      </c>
      <c r="Q2262" t="s">
        <v>13</v>
      </c>
      <c r="R2262" t="s">
        <v>13</v>
      </c>
      <c r="S2262" t="s">
        <v>144</v>
      </c>
      <c r="T2262" s="2">
        <f>MASTER[[#This Row],[CANTIDAD]]*MASTER[[#This Row],[PRECIO DE VENTA]]</f>
        <v>1296</v>
      </c>
      <c r="U2262" s="2">
        <f>MASTER[[#This Row],[CANTIDAD]]*MASTER[[#This Row],[COSTO UNITARIO]]</f>
        <v>393</v>
      </c>
      <c r="V2262" s="2">
        <f>MASTER[[#This Row],[MONTO VENDIDO]]-MASTER[[#This Row],[COSTO DE VENTA]]</f>
        <v>903</v>
      </c>
    </row>
    <row r="2263" spans="1:22" x14ac:dyDescent="0.3">
      <c r="A2263">
        <v>39247</v>
      </c>
      <c r="B2263">
        <v>1</v>
      </c>
      <c r="C2263" t="s">
        <v>96</v>
      </c>
      <c r="D2263" t="s">
        <v>97</v>
      </c>
      <c r="E2263" s="1">
        <v>44100</v>
      </c>
      <c r="F2263">
        <v>1</v>
      </c>
      <c r="G2263" t="s">
        <v>61</v>
      </c>
      <c r="H2263" t="s">
        <v>62</v>
      </c>
      <c r="I2263" s="3">
        <v>1361</v>
      </c>
      <c r="J2263" s="3">
        <v>1361</v>
      </c>
      <c r="K2263" s="3">
        <v>397</v>
      </c>
      <c r="L2263" t="s">
        <v>98</v>
      </c>
      <c r="M2263">
        <v>13</v>
      </c>
      <c r="N2263" t="s">
        <v>78</v>
      </c>
      <c r="O2263" t="s">
        <v>70</v>
      </c>
      <c r="P2263" t="s">
        <v>18</v>
      </c>
      <c r="Q2263" t="s">
        <v>19</v>
      </c>
      <c r="R2263" t="s">
        <v>138</v>
      </c>
      <c r="S2263" t="s">
        <v>144</v>
      </c>
      <c r="T2263" s="2">
        <f>MASTER[[#This Row],[CANTIDAD]]*MASTER[[#This Row],[PRECIO DE VENTA]]</f>
        <v>1361</v>
      </c>
      <c r="U2263" s="2">
        <f>MASTER[[#This Row],[CANTIDAD]]*MASTER[[#This Row],[COSTO UNITARIO]]</f>
        <v>397</v>
      </c>
      <c r="V2263" s="2">
        <f>MASTER[[#This Row],[MONTO VENDIDO]]-MASTER[[#This Row],[COSTO DE VENTA]]</f>
        <v>964</v>
      </c>
    </row>
    <row r="2264" spans="1:22" x14ac:dyDescent="0.3">
      <c r="A2264">
        <v>39249</v>
      </c>
      <c r="B2264">
        <v>1</v>
      </c>
      <c r="C2264" t="s">
        <v>92</v>
      </c>
      <c r="D2264" t="s">
        <v>93</v>
      </c>
      <c r="E2264" s="1">
        <v>44100</v>
      </c>
      <c r="F2264">
        <v>1</v>
      </c>
      <c r="G2264" t="s">
        <v>65</v>
      </c>
      <c r="H2264" t="s">
        <v>66</v>
      </c>
      <c r="I2264" s="3">
        <v>1479</v>
      </c>
      <c r="J2264" s="3">
        <v>1479</v>
      </c>
      <c r="K2264" s="3">
        <v>396</v>
      </c>
      <c r="L2264" t="s">
        <v>9</v>
      </c>
      <c r="M2264">
        <v>16</v>
      </c>
      <c r="N2264" t="s">
        <v>17</v>
      </c>
      <c r="O2264" t="s">
        <v>11</v>
      </c>
      <c r="P2264" t="s">
        <v>18</v>
      </c>
      <c r="Q2264" t="s">
        <v>19</v>
      </c>
      <c r="R2264" t="s">
        <v>138</v>
      </c>
      <c r="S2264" t="s">
        <v>144</v>
      </c>
      <c r="T2264" s="2">
        <f>MASTER[[#This Row],[CANTIDAD]]*MASTER[[#This Row],[PRECIO DE VENTA]]</f>
        <v>1479</v>
      </c>
      <c r="U2264" s="2">
        <f>MASTER[[#This Row],[CANTIDAD]]*MASTER[[#This Row],[COSTO UNITARIO]]</f>
        <v>396</v>
      </c>
      <c r="V2264" s="2">
        <f>MASTER[[#This Row],[MONTO VENDIDO]]-MASTER[[#This Row],[COSTO DE VENTA]]</f>
        <v>1083</v>
      </c>
    </row>
    <row r="2265" spans="1:22" x14ac:dyDescent="0.3">
      <c r="A2265">
        <v>39255</v>
      </c>
      <c r="B2265">
        <v>1</v>
      </c>
      <c r="C2265" t="s">
        <v>96</v>
      </c>
      <c r="D2265" t="s">
        <v>97</v>
      </c>
      <c r="E2265" s="1">
        <v>44101</v>
      </c>
      <c r="F2265">
        <v>3</v>
      </c>
      <c r="G2265" t="s">
        <v>24</v>
      </c>
      <c r="H2265" t="s">
        <v>25</v>
      </c>
      <c r="I2265" s="3">
        <v>1272</v>
      </c>
      <c r="J2265" s="3">
        <v>1144</v>
      </c>
      <c r="K2265" s="3">
        <v>397</v>
      </c>
      <c r="L2265" t="s">
        <v>98</v>
      </c>
      <c r="M2265">
        <v>10</v>
      </c>
      <c r="N2265" t="s">
        <v>83</v>
      </c>
      <c r="O2265" t="s">
        <v>81</v>
      </c>
      <c r="P2265" t="s">
        <v>12</v>
      </c>
      <c r="Q2265" t="s">
        <v>13</v>
      </c>
      <c r="R2265" t="s">
        <v>13</v>
      </c>
      <c r="S2265" t="s">
        <v>144</v>
      </c>
      <c r="T2265" s="2">
        <f>MASTER[[#This Row],[CANTIDAD]]*MASTER[[#This Row],[PRECIO DE VENTA]]</f>
        <v>3432</v>
      </c>
      <c r="U2265" s="2">
        <f>MASTER[[#This Row],[CANTIDAD]]*MASTER[[#This Row],[COSTO UNITARIO]]</f>
        <v>1191</v>
      </c>
      <c r="V2265" s="2">
        <f>MASTER[[#This Row],[MONTO VENDIDO]]-MASTER[[#This Row],[COSTO DE VENTA]]</f>
        <v>2241</v>
      </c>
    </row>
    <row r="2266" spans="1:22" x14ac:dyDescent="0.3">
      <c r="A2266">
        <v>39260</v>
      </c>
      <c r="B2266">
        <v>1</v>
      </c>
      <c r="C2266" t="s">
        <v>99</v>
      </c>
      <c r="D2266" t="s">
        <v>100</v>
      </c>
      <c r="E2266" s="1">
        <v>44101</v>
      </c>
      <c r="F2266">
        <v>1</v>
      </c>
      <c r="G2266" t="s">
        <v>33</v>
      </c>
      <c r="H2266" t="s">
        <v>34</v>
      </c>
      <c r="I2266" s="3">
        <v>1328</v>
      </c>
      <c r="J2266" s="3">
        <v>1248</v>
      </c>
      <c r="K2266" s="3">
        <v>386</v>
      </c>
      <c r="L2266" t="s">
        <v>98</v>
      </c>
      <c r="M2266">
        <v>16</v>
      </c>
      <c r="N2266" t="s">
        <v>17</v>
      </c>
      <c r="O2266" t="s">
        <v>11</v>
      </c>
      <c r="P2266" t="s">
        <v>18</v>
      </c>
      <c r="Q2266" t="s">
        <v>19</v>
      </c>
      <c r="R2266" t="s">
        <v>138</v>
      </c>
      <c r="S2266" t="s">
        <v>144</v>
      </c>
      <c r="T2266" s="2">
        <f>MASTER[[#This Row],[CANTIDAD]]*MASTER[[#This Row],[PRECIO DE VENTA]]</f>
        <v>1248</v>
      </c>
      <c r="U2266" s="2">
        <f>MASTER[[#This Row],[CANTIDAD]]*MASTER[[#This Row],[COSTO UNITARIO]]</f>
        <v>386</v>
      </c>
      <c r="V2266" s="2">
        <f>MASTER[[#This Row],[MONTO VENDIDO]]-MASTER[[#This Row],[COSTO DE VENTA]]</f>
        <v>862</v>
      </c>
    </row>
    <row r="2267" spans="1:22" x14ac:dyDescent="0.3">
      <c r="A2267">
        <v>39270</v>
      </c>
      <c r="B2267">
        <v>1</v>
      </c>
      <c r="C2267" t="s">
        <v>99</v>
      </c>
      <c r="D2267" t="s">
        <v>100</v>
      </c>
      <c r="E2267" s="1">
        <v>44102</v>
      </c>
      <c r="F2267">
        <v>1</v>
      </c>
      <c r="G2267" t="s">
        <v>7</v>
      </c>
      <c r="H2267" t="s">
        <v>8</v>
      </c>
      <c r="I2267" s="3">
        <v>1459</v>
      </c>
      <c r="J2267" s="3">
        <v>1459</v>
      </c>
      <c r="K2267" s="3">
        <v>386</v>
      </c>
      <c r="L2267" t="s">
        <v>98</v>
      </c>
      <c r="M2267">
        <v>15</v>
      </c>
      <c r="N2267" t="s">
        <v>88</v>
      </c>
      <c r="O2267" t="s">
        <v>81</v>
      </c>
      <c r="P2267" t="s">
        <v>18</v>
      </c>
      <c r="Q2267" t="s">
        <v>19</v>
      </c>
      <c r="R2267" t="s">
        <v>138</v>
      </c>
      <c r="S2267" t="s">
        <v>144</v>
      </c>
      <c r="T2267" s="2">
        <f>MASTER[[#This Row],[CANTIDAD]]*MASTER[[#This Row],[PRECIO DE VENTA]]</f>
        <v>1459</v>
      </c>
      <c r="U2267" s="2">
        <f>MASTER[[#This Row],[CANTIDAD]]*MASTER[[#This Row],[COSTO UNITARIO]]</f>
        <v>386</v>
      </c>
      <c r="V2267" s="2">
        <f>MASTER[[#This Row],[MONTO VENDIDO]]-MASTER[[#This Row],[COSTO DE VENTA]]</f>
        <v>1073</v>
      </c>
    </row>
    <row r="2268" spans="1:22" x14ac:dyDescent="0.3">
      <c r="A2268">
        <v>39278</v>
      </c>
      <c r="B2268">
        <v>1</v>
      </c>
      <c r="C2268" t="s">
        <v>101</v>
      </c>
      <c r="D2268" t="s">
        <v>102</v>
      </c>
      <c r="E2268" s="1">
        <v>44102</v>
      </c>
      <c r="F2268">
        <v>1</v>
      </c>
      <c r="G2268" t="s">
        <v>73</v>
      </c>
      <c r="H2268" t="s">
        <v>74</v>
      </c>
      <c r="I2268" s="3">
        <v>1212</v>
      </c>
      <c r="J2268" s="3">
        <v>1212</v>
      </c>
      <c r="K2268" s="3">
        <v>442</v>
      </c>
      <c r="L2268" t="s">
        <v>98</v>
      </c>
      <c r="M2268">
        <v>10</v>
      </c>
      <c r="N2268" t="s">
        <v>83</v>
      </c>
      <c r="O2268" t="s">
        <v>81</v>
      </c>
      <c r="P2268" t="s">
        <v>12</v>
      </c>
      <c r="Q2268" t="s">
        <v>13</v>
      </c>
      <c r="R2268" t="s">
        <v>13</v>
      </c>
      <c r="S2268" t="s">
        <v>144</v>
      </c>
      <c r="T2268" s="2">
        <f>MASTER[[#This Row],[CANTIDAD]]*MASTER[[#This Row],[PRECIO DE VENTA]]</f>
        <v>1212</v>
      </c>
      <c r="U2268" s="2">
        <f>MASTER[[#This Row],[CANTIDAD]]*MASTER[[#This Row],[COSTO UNITARIO]]</f>
        <v>442</v>
      </c>
      <c r="V2268" s="2">
        <f>MASTER[[#This Row],[MONTO VENDIDO]]-MASTER[[#This Row],[COSTO DE VENTA]]</f>
        <v>770</v>
      </c>
    </row>
    <row r="2269" spans="1:22" x14ac:dyDescent="0.3">
      <c r="A2269">
        <v>39280</v>
      </c>
      <c r="B2269">
        <v>1</v>
      </c>
      <c r="C2269" t="s">
        <v>99</v>
      </c>
      <c r="D2269" t="s">
        <v>100</v>
      </c>
      <c r="E2269" s="1">
        <v>44102</v>
      </c>
      <c r="F2269">
        <v>1</v>
      </c>
      <c r="G2269" t="s">
        <v>22</v>
      </c>
      <c r="H2269" t="s">
        <v>23</v>
      </c>
      <c r="I2269" s="3">
        <v>1459</v>
      </c>
      <c r="J2269" s="3">
        <v>1459</v>
      </c>
      <c r="K2269" s="3">
        <v>386</v>
      </c>
      <c r="L2269" t="s">
        <v>98</v>
      </c>
      <c r="M2269">
        <v>14</v>
      </c>
      <c r="N2269" t="s">
        <v>87</v>
      </c>
      <c r="O2269" t="s">
        <v>81</v>
      </c>
      <c r="P2269" t="s">
        <v>18</v>
      </c>
      <c r="Q2269" t="s">
        <v>19</v>
      </c>
      <c r="R2269" t="s">
        <v>138</v>
      </c>
      <c r="S2269" t="s">
        <v>144</v>
      </c>
      <c r="T2269" s="2">
        <f>MASTER[[#This Row],[CANTIDAD]]*MASTER[[#This Row],[PRECIO DE VENTA]]</f>
        <v>1459</v>
      </c>
      <c r="U2269" s="2">
        <f>MASTER[[#This Row],[CANTIDAD]]*MASTER[[#This Row],[COSTO UNITARIO]]</f>
        <v>386</v>
      </c>
      <c r="V2269" s="2">
        <f>MASTER[[#This Row],[MONTO VENDIDO]]-MASTER[[#This Row],[COSTO DE VENTA]]</f>
        <v>1073</v>
      </c>
    </row>
    <row r="2270" spans="1:22" x14ac:dyDescent="0.3">
      <c r="A2270">
        <v>39306</v>
      </c>
      <c r="B2270">
        <v>1</v>
      </c>
      <c r="C2270" t="s">
        <v>96</v>
      </c>
      <c r="D2270" t="s">
        <v>97</v>
      </c>
      <c r="E2270" s="1">
        <v>44102</v>
      </c>
      <c r="F2270">
        <v>1</v>
      </c>
      <c r="G2270" t="s">
        <v>67</v>
      </c>
      <c r="H2270" t="s">
        <v>68</v>
      </c>
      <c r="I2270" s="3">
        <v>1361</v>
      </c>
      <c r="J2270" s="3">
        <v>1361</v>
      </c>
      <c r="K2270" s="3">
        <v>397</v>
      </c>
      <c r="L2270" t="s">
        <v>98</v>
      </c>
      <c r="M2270">
        <v>3</v>
      </c>
      <c r="N2270" t="s">
        <v>69</v>
      </c>
      <c r="O2270" t="s">
        <v>70</v>
      </c>
      <c r="P2270" t="s">
        <v>71</v>
      </c>
      <c r="Q2270" t="s">
        <v>72</v>
      </c>
      <c r="R2270" t="s">
        <v>139</v>
      </c>
      <c r="S2270" t="s">
        <v>144</v>
      </c>
      <c r="T2270" s="2">
        <f>MASTER[[#This Row],[CANTIDAD]]*MASTER[[#This Row],[PRECIO DE VENTA]]</f>
        <v>1361</v>
      </c>
      <c r="U2270" s="2">
        <f>MASTER[[#This Row],[CANTIDAD]]*MASTER[[#This Row],[COSTO UNITARIO]]</f>
        <v>397</v>
      </c>
      <c r="V2270" s="2">
        <f>MASTER[[#This Row],[MONTO VENDIDO]]-MASTER[[#This Row],[COSTO DE VENTA]]</f>
        <v>964</v>
      </c>
    </row>
    <row r="2271" spans="1:22" x14ac:dyDescent="0.3">
      <c r="A2271">
        <v>39401</v>
      </c>
      <c r="B2271">
        <v>1</v>
      </c>
      <c r="C2271" t="s">
        <v>116</v>
      </c>
      <c r="D2271" t="s">
        <v>117</v>
      </c>
      <c r="E2271" s="1">
        <v>44102</v>
      </c>
      <c r="F2271">
        <v>4</v>
      </c>
      <c r="G2271" t="s">
        <v>7</v>
      </c>
      <c r="H2271" t="s">
        <v>8</v>
      </c>
      <c r="I2271" s="3">
        <v>1738</v>
      </c>
      <c r="J2271" s="3">
        <v>1738</v>
      </c>
      <c r="K2271" s="3">
        <v>388</v>
      </c>
      <c r="L2271" t="s">
        <v>113</v>
      </c>
      <c r="M2271">
        <v>15</v>
      </c>
      <c r="N2271" t="s">
        <v>88</v>
      </c>
      <c r="O2271" t="s">
        <v>81</v>
      </c>
      <c r="P2271" t="s">
        <v>18</v>
      </c>
      <c r="Q2271" t="s">
        <v>19</v>
      </c>
      <c r="R2271" t="s">
        <v>138</v>
      </c>
      <c r="S2271" t="s">
        <v>144</v>
      </c>
      <c r="T2271" s="2">
        <f>MASTER[[#This Row],[CANTIDAD]]*MASTER[[#This Row],[PRECIO DE VENTA]]</f>
        <v>6952</v>
      </c>
      <c r="U2271" s="2">
        <f>MASTER[[#This Row],[CANTIDAD]]*MASTER[[#This Row],[COSTO UNITARIO]]</f>
        <v>1552</v>
      </c>
      <c r="V2271" s="2">
        <f>MASTER[[#This Row],[MONTO VENDIDO]]-MASTER[[#This Row],[COSTO DE VENTA]]</f>
        <v>5400</v>
      </c>
    </row>
    <row r="2272" spans="1:22" x14ac:dyDescent="0.3">
      <c r="A2272">
        <v>39404</v>
      </c>
      <c r="B2272">
        <v>1</v>
      </c>
      <c r="C2272" t="s">
        <v>118</v>
      </c>
      <c r="D2272" t="s">
        <v>119</v>
      </c>
      <c r="E2272" s="1">
        <v>44102</v>
      </c>
      <c r="F2272">
        <v>1</v>
      </c>
      <c r="G2272" t="s">
        <v>61</v>
      </c>
      <c r="H2272" t="s">
        <v>62</v>
      </c>
      <c r="I2272" s="3">
        <v>1026</v>
      </c>
      <c r="J2272" s="3">
        <v>1026</v>
      </c>
      <c r="K2272" s="3">
        <v>424</v>
      </c>
      <c r="L2272" t="s">
        <v>120</v>
      </c>
      <c r="M2272">
        <v>13</v>
      </c>
      <c r="N2272" t="s">
        <v>78</v>
      </c>
      <c r="O2272" t="s">
        <v>70</v>
      </c>
      <c r="P2272" t="s">
        <v>18</v>
      </c>
      <c r="Q2272" t="s">
        <v>19</v>
      </c>
      <c r="R2272" t="s">
        <v>138</v>
      </c>
      <c r="S2272" t="s">
        <v>144</v>
      </c>
      <c r="T2272" s="2">
        <f>MASTER[[#This Row],[CANTIDAD]]*MASTER[[#This Row],[PRECIO DE VENTA]]</f>
        <v>1026</v>
      </c>
      <c r="U2272" s="2">
        <f>MASTER[[#This Row],[CANTIDAD]]*MASTER[[#This Row],[COSTO UNITARIO]]</f>
        <v>424</v>
      </c>
      <c r="V2272" s="2">
        <f>MASTER[[#This Row],[MONTO VENDIDO]]-MASTER[[#This Row],[COSTO DE VENTA]]</f>
        <v>602</v>
      </c>
    </row>
    <row r="2273" spans="1:22" x14ac:dyDescent="0.3">
      <c r="A2273">
        <v>39423</v>
      </c>
      <c r="B2273">
        <v>1</v>
      </c>
      <c r="C2273" t="s">
        <v>103</v>
      </c>
      <c r="D2273" t="s">
        <v>104</v>
      </c>
      <c r="E2273" s="1">
        <v>44102</v>
      </c>
      <c r="F2273">
        <v>1</v>
      </c>
      <c r="G2273" t="s">
        <v>20</v>
      </c>
      <c r="H2273" t="s">
        <v>21</v>
      </c>
      <c r="I2273" s="3">
        <v>1830</v>
      </c>
      <c r="J2273" s="3">
        <v>1830</v>
      </c>
      <c r="K2273" s="3">
        <v>421</v>
      </c>
      <c r="L2273" t="s">
        <v>98</v>
      </c>
      <c r="M2273">
        <v>9</v>
      </c>
      <c r="N2273" t="s">
        <v>76</v>
      </c>
      <c r="O2273" t="s">
        <v>70</v>
      </c>
      <c r="P2273" t="s">
        <v>12</v>
      </c>
      <c r="Q2273" t="s">
        <v>13</v>
      </c>
      <c r="R2273" t="s">
        <v>13</v>
      </c>
      <c r="S2273" t="s">
        <v>144</v>
      </c>
      <c r="T2273" s="2">
        <f>MASTER[[#This Row],[CANTIDAD]]*MASTER[[#This Row],[PRECIO DE VENTA]]</f>
        <v>1830</v>
      </c>
      <c r="U2273" s="2">
        <f>MASTER[[#This Row],[CANTIDAD]]*MASTER[[#This Row],[COSTO UNITARIO]]</f>
        <v>421</v>
      </c>
      <c r="V2273" s="2">
        <f>MASTER[[#This Row],[MONTO VENDIDO]]-MASTER[[#This Row],[COSTO DE VENTA]]</f>
        <v>1409</v>
      </c>
    </row>
    <row r="2274" spans="1:22" x14ac:dyDescent="0.3">
      <c r="A2274">
        <v>39429</v>
      </c>
      <c r="B2274">
        <v>1</v>
      </c>
      <c r="C2274" t="s">
        <v>118</v>
      </c>
      <c r="D2274" t="s">
        <v>119</v>
      </c>
      <c r="E2274" s="1">
        <v>44103</v>
      </c>
      <c r="F2274">
        <v>1</v>
      </c>
      <c r="G2274" t="s">
        <v>51</v>
      </c>
      <c r="H2274" t="s">
        <v>52</v>
      </c>
      <c r="I2274" s="3">
        <v>1026</v>
      </c>
      <c r="J2274" s="3">
        <v>1026</v>
      </c>
      <c r="K2274" s="3">
        <v>424</v>
      </c>
      <c r="L2274" t="s">
        <v>120</v>
      </c>
      <c r="M2274">
        <v>3</v>
      </c>
      <c r="N2274" t="s">
        <v>69</v>
      </c>
      <c r="O2274" t="s">
        <v>70</v>
      </c>
      <c r="P2274" t="s">
        <v>71</v>
      </c>
      <c r="Q2274" t="s">
        <v>72</v>
      </c>
      <c r="R2274" t="s">
        <v>139</v>
      </c>
      <c r="S2274" t="s">
        <v>144</v>
      </c>
      <c r="T2274" s="2">
        <f>MASTER[[#This Row],[CANTIDAD]]*MASTER[[#This Row],[PRECIO DE VENTA]]</f>
        <v>1026</v>
      </c>
      <c r="U2274" s="2">
        <f>MASTER[[#This Row],[CANTIDAD]]*MASTER[[#This Row],[COSTO UNITARIO]]</f>
        <v>424</v>
      </c>
      <c r="V2274" s="2">
        <f>MASTER[[#This Row],[MONTO VENDIDO]]-MASTER[[#This Row],[COSTO DE VENTA]]</f>
        <v>602</v>
      </c>
    </row>
    <row r="2275" spans="1:22" x14ac:dyDescent="0.3">
      <c r="A2275">
        <v>39443</v>
      </c>
      <c r="B2275">
        <v>1</v>
      </c>
      <c r="C2275" t="s">
        <v>111</v>
      </c>
      <c r="D2275" t="s">
        <v>112</v>
      </c>
      <c r="E2275" s="1">
        <v>44103</v>
      </c>
      <c r="F2275">
        <v>1</v>
      </c>
      <c r="G2275" t="s">
        <v>57</v>
      </c>
      <c r="H2275" t="s">
        <v>58</v>
      </c>
      <c r="I2275" s="3">
        <v>1524</v>
      </c>
      <c r="J2275" s="3">
        <v>1524</v>
      </c>
      <c r="K2275" s="3">
        <v>434</v>
      </c>
      <c r="L2275" t="s">
        <v>113</v>
      </c>
      <c r="M2275">
        <v>11</v>
      </c>
      <c r="N2275" t="s">
        <v>10</v>
      </c>
      <c r="O2275" t="s">
        <v>11</v>
      </c>
      <c r="P2275" t="s">
        <v>12</v>
      </c>
      <c r="Q2275" t="s">
        <v>13</v>
      </c>
      <c r="R2275" t="s">
        <v>13</v>
      </c>
      <c r="S2275" t="s">
        <v>144</v>
      </c>
      <c r="T2275" s="2">
        <f>MASTER[[#This Row],[CANTIDAD]]*MASTER[[#This Row],[PRECIO DE VENTA]]</f>
        <v>1524</v>
      </c>
      <c r="U2275" s="2">
        <f>MASTER[[#This Row],[CANTIDAD]]*MASTER[[#This Row],[COSTO UNITARIO]]</f>
        <v>434</v>
      </c>
      <c r="V2275" s="2">
        <f>MASTER[[#This Row],[MONTO VENDIDO]]-MASTER[[#This Row],[COSTO DE VENTA]]</f>
        <v>1090</v>
      </c>
    </row>
    <row r="2276" spans="1:22" x14ac:dyDescent="0.3">
      <c r="A2276">
        <v>39449</v>
      </c>
      <c r="B2276">
        <v>1</v>
      </c>
      <c r="C2276" t="s">
        <v>114</v>
      </c>
      <c r="D2276" t="s">
        <v>115</v>
      </c>
      <c r="E2276" s="1">
        <v>44103</v>
      </c>
      <c r="F2276">
        <v>1</v>
      </c>
      <c r="G2276" t="s">
        <v>57</v>
      </c>
      <c r="H2276" t="s">
        <v>58</v>
      </c>
      <c r="I2276" s="3">
        <v>1583</v>
      </c>
      <c r="J2276" s="3">
        <v>1456</v>
      </c>
      <c r="K2276" s="3">
        <v>394</v>
      </c>
      <c r="L2276" t="s">
        <v>113</v>
      </c>
      <c r="M2276">
        <v>11</v>
      </c>
      <c r="N2276" t="s">
        <v>10</v>
      </c>
      <c r="O2276" t="s">
        <v>11</v>
      </c>
      <c r="P2276" t="s">
        <v>12</v>
      </c>
      <c r="Q2276" t="s">
        <v>13</v>
      </c>
      <c r="R2276" t="s">
        <v>13</v>
      </c>
      <c r="S2276" t="s">
        <v>144</v>
      </c>
      <c r="T2276" s="2">
        <f>MASTER[[#This Row],[CANTIDAD]]*MASTER[[#This Row],[PRECIO DE VENTA]]</f>
        <v>1456</v>
      </c>
      <c r="U2276" s="2">
        <f>MASTER[[#This Row],[CANTIDAD]]*MASTER[[#This Row],[COSTO UNITARIO]]</f>
        <v>394</v>
      </c>
      <c r="V2276" s="2">
        <f>MASTER[[#This Row],[MONTO VENDIDO]]-MASTER[[#This Row],[COSTO DE VENTA]]</f>
        <v>1062</v>
      </c>
    </row>
    <row r="2277" spans="1:22" x14ac:dyDescent="0.3">
      <c r="A2277">
        <v>39460</v>
      </c>
      <c r="B2277">
        <v>1</v>
      </c>
      <c r="C2277" t="s">
        <v>116</v>
      </c>
      <c r="D2277" t="s">
        <v>117</v>
      </c>
      <c r="E2277" s="1">
        <v>44103</v>
      </c>
      <c r="F2277">
        <v>1</v>
      </c>
      <c r="G2277" t="s">
        <v>49</v>
      </c>
      <c r="H2277" t="s">
        <v>50</v>
      </c>
      <c r="I2277" s="3">
        <v>1738</v>
      </c>
      <c r="J2277" s="3">
        <v>1738</v>
      </c>
      <c r="K2277" s="3">
        <v>388</v>
      </c>
      <c r="L2277" t="s">
        <v>113</v>
      </c>
      <c r="M2277">
        <v>4</v>
      </c>
      <c r="N2277" t="s">
        <v>82</v>
      </c>
      <c r="O2277" t="s">
        <v>81</v>
      </c>
      <c r="P2277" t="s">
        <v>71</v>
      </c>
      <c r="Q2277" t="s">
        <v>72</v>
      </c>
      <c r="R2277" t="s">
        <v>139</v>
      </c>
      <c r="S2277" t="s">
        <v>144</v>
      </c>
      <c r="T2277" s="2">
        <f>MASTER[[#This Row],[CANTIDAD]]*MASTER[[#This Row],[PRECIO DE VENTA]]</f>
        <v>1738</v>
      </c>
      <c r="U2277" s="2">
        <f>MASTER[[#This Row],[CANTIDAD]]*MASTER[[#This Row],[COSTO UNITARIO]]</f>
        <v>388</v>
      </c>
      <c r="V2277" s="2">
        <f>MASTER[[#This Row],[MONTO VENDIDO]]-MASTER[[#This Row],[COSTO DE VENTA]]</f>
        <v>1350</v>
      </c>
    </row>
    <row r="2278" spans="1:22" x14ac:dyDescent="0.3">
      <c r="A2278">
        <v>39463</v>
      </c>
      <c r="B2278">
        <v>1</v>
      </c>
      <c r="C2278" t="s">
        <v>90</v>
      </c>
      <c r="D2278" t="s">
        <v>91</v>
      </c>
      <c r="E2278" s="1">
        <v>44103</v>
      </c>
      <c r="F2278">
        <v>1</v>
      </c>
      <c r="G2278" t="s">
        <v>45</v>
      </c>
      <c r="H2278" t="s">
        <v>46</v>
      </c>
      <c r="I2278" s="3">
        <v>1660</v>
      </c>
      <c r="J2278" s="3">
        <v>1660</v>
      </c>
      <c r="K2278" s="3">
        <v>420</v>
      </c>
      <c r="L2278" t="s">
        <v>9</v>
      </c>
      <c r="M2278">
        <v>17</v>
      </c>
      <c r="N2278" t="s">
        <v>14</v>
      </c>
      <c r="O2278" t="s">
        <v>11</v>
      </c>
      <c r="P2278" t="s">
        <v>15</v>
      </c>
      <c r="Q2278" t="s">
        <v>16</v>
      </c>
      <c r="R2278" t="s">
        <v>16</v>
      </c>
      <c r="S2278" t="s">
        <v>144</v>
      </c>
      <c r="T2278" s="2">
        <f>MASTER[[#This Row],[CANTIDAD]]*MASTER[[#This Row],[PRECIO DE VENTA]]</f>
        <v>1660</v>
      </c>
      <c r="U2278" s="2">
        <f>MASTER[[#This Row],[CANTIDAD]]*MASTER[[#This Row],[COSTO UNITARIO]]</f>
        <v>420</v>
      </c>
      <c r="V2278" s="2">
        <f>MASTER[[#This Row],[MONTO VENDIDO]]-MASTER[[#This Row],[COSTO DE VENTA]]</f>
        <v>1240</v>
      </c>
    </row>
    <row r="2279" spans="1:22" x14ac:dyDescent="0.3">
      <c r="A2279">
        <v>39463</v>
      </c>
      <c r="B2279">
        <v>2</v>
      </c>
      <c r="C2279" t="s">
        <v>92</v>
      </c>
      <c r="D2279" t="s">
        <v>93</v>
      </c>
      <c r="E2279" s="1">
        <v>44103</v>
      </c>
      <c r="F2279">
        <v>1</v>
      </c>
      <c r="G2279" t="s">
        <v>65</v>
      </c>
      <c r="H2279" t="s">
        <v>66</v>
      </c>
      <c r="I2279" s="3">
        <v>1479</v>
      </c>
      <c r="J2279" s="3">
        <v>1479</v>
      </c>
      <c r="K2279" s="3">
        <v>396</v>
      </c>
      <c r="L2279" t="s">
        <v>9</v>
      </c>
      <c r="M2279">
        <v>17</v>
      </c>
      <c r="N2279" t="s">
        <v>14</v>
      </c>
      <c r="O2279" t="s">
        <v>11</v>
      </c>
      <c r="P2279" t="s">
        <v>15</v>
      </c>
      <c r="Q2279" t="s">
        <v>16</v>
      </c>
      <c r="R2279" t="s">
        <v>16</v>
      </c>
      <c r="S2279" t="s">
        <v>144</v>
      </c>
      <c r="T2279" s="2">
        <f>MASTER[[#This Row],[CANTIDAD]]*MASTER[[#This Row],[PRECIO DE VENTA]]</f>
        <v>1479</v>
      </c>
      <c r="U2279" s="2">
        <f>MASTER[[#This Row],[CANTIDAD]]*MASTER[[#This Row],[COSTO UNITARIO]]</f>
        <v>396</v>
      </c>
      <c r="V2279" s="2">
        <f>MASTER[[#This Row],[MONTO VENDIDO]]-MASTER[[#This Row],[COSTO DE VENTA]]</f>
        <v>1083</v>
      </c>
    </row>
    <row r="2280" spans="1:22" x14ac:dyDescent="0.3">
      <c r="A2280">
        <v>39475</v>
      </c>
      <c r="B2280">
        <v>1</v>
      </c>
      <c r="C2280" t="s">
        <v>101</v>
      </c>
      <c r="D2280" t="s">
        <v>102</v>
      </c>
      <c r="E2280" s="1">
        <v>44103</v>
      </c>
      <c r="F2280">
        <v>1</v>
      </c>
      <c r="G2280" t="s">
        <v>27</v>
      </c>
      <c r="H2280" t="s">
        <v>28</v>
      </c>
      <c r="I2280" s="3">
        <v>1357</v>
      </c>
      <c r="J2280" s="3">
        <v>1357</v>
      </c>
      <c r="K2280" s="3">
        <v>442</v>
      </c>
      <c r="L2280" t="s">
        <v>98</v>
      </c>
      <c r="M2280">
        <v>9</v>
      </c>
      <c r="N2280" t="s">
        <v>76</v>
      </c>
      <c r="O2280" t="s">
        <v>70</v>
      </c>
      <c r="P2280" t="s">
        <v>12</v>
      </c>
      <c r="Q2280" t="s">
        <v>13</v>
      </c>
      <c r="R2280" t="s">
        <v>13</v>
      </c>
      <c r="S2280" t="s">
        <v>144</v>
      </c>
      <c r="T2280" s="2">
        <f>MASTER[[#This Row],[CANTIDAD]]*MASTER[[#This Row],[PRECIO DE VENTA]]</f>
        <v>1357</v>
      </c>
      <c r="U2280" s="2">
        <f>MASTER[[#This Row],[CANTIDAD]]*MASTER[[#This Row],[COSTO UNITARIO]]</f>
        <v>442</v>
      </c>
      <c r="V2280" s="2">
        <f>MASTER[[#This Row],[MONTO VENDIDO]]-MASTER[[#This Row],[COSTO DE VENTA]]</f>
        <v>915</v>
      </c>
    </row>
    <row r="2281" spans="1:22" x14ac:dyDescent="0.3">
      <c r="A2281">
        <v>39493</v>
      </c>
      <c r="B2281">
        <v>1</v>
      </c>
      <c r="C2281" t="s">
        <v>5</v>
      </c>
      <c r="D2281" t="s">
        <v>6</v>
      </c>
      <c r="E2281" s="1">
        <v>44103</v>
      </c>
      <c r="F2281">
        <v>3</v>
      </c>
      <c r="G2281" t="s">
        <v>27</v>
      </c>
      <c r="H2281" t="s">
        <v>28</v>
      </c>
      <c r="I2281" s="3">
        <v>1507</v>
      </c>
      <c r="J2281" s="3">
        <v>1507</v>
      </c>
      <c r="K2281" s="3">
        <v>393</v>
      </c>
      <c r="L2281" t="s">
        <v>9</v>
      </c>
      <c r="M2281">
        <v>19</v>
      </c>
      <c r="N2281" t="s">
        <v>89</v>
      </c>
      <c r="O2281" t="s">
        <v>81</v>
      </c>
      <c r="P2281" t="s">
        <v>15</v>
      </c>
      <c r="Q2281" t="s">
        <v>16</v>
      </c>
      <c r="R2281" t="s">
        <v>16</v>
      </c>
      <c r="S2281" t="s">
        <v>144</v>
      </c>
      <c r="T2281" s="2">
        <f>MASTER[[#This Row],[CANTIDAD]]*MASTER[[#This Row],[PRECIO DE VENTA]]</f>
        <v>4521</v>
      </c>
      <c r="U2281" s="2">
        <f>MASTER[[#This Row],[CANTIDAD]]*MASTER[[#This Row],[COSTO UNITARIO]]</f>
        <v>1179</v>
      </c>
      <c r="V2281" s="2">
        <f>MASTER[[#This Row],[MONTO VENDIDO]]-MASTER[[#This Row],[COSTO DE VENTA]]</f>
        <v>3342</v>
      </c>
    </row>
    <row r="2282" spans="1:22" x14ac:dyDescent="0.3">
      <c r="A2282">
        <v>39497</v>
      </c>
      <c r="B2282">
        <v>1</v>
      </c>
      <c r="C2282" t="s">
        <v>111</v>
      </c>
      <c r="D2282" t="s">
        <v>112</v>
      </c>
      <c r="E2282" s="1">
        <v>44103</v>
      </c>
      <c r="F2282">
        <v>1</v>
      </c>
      <c r="G2282" t="s">
        <v>43</v>
      </c>
      <c r="H2282" t="s">
        <v>44</v>
      </c>
      <c r="I2282" s="3">
        <v>1799</v>
      </c>
      <c r="J2282" s="3">
        <v>1799</v>
      </c>
      <c r="K2282" s="3">
        <v>434</v>
      </c>
      <c r="L2282" t="s">
        <v>113</v>
      </c>
      <c r="M2282">
        <v>18</v>
      </c>
      <c r="N2282" t="s">
        <v>79</v>
      </c>
      <c r="O2282" t="s">
        <v>70</v>
      </c>
      <c r="P2282" t="s">
        <v>15</v>
      </c>
      <c r="Q2282" t="s">
        <v>16</v>
      </c>
      <c r="R2282" t="s">
        <v>16</v>
      </c>
      <c r="S2282" t="s">
        <v>144</v>
      </c>
      <c r="T2282" s="2">
        <f>MASTER[[#This Row],[CANTIDAD]]*MASTER[[#This Row],[PRECIO DE VENTA]]</f>
        <v>1799</v>
      </c>
      <c r="U2282" s="2">
        <f>MASTER[[#This Row],[CANTIDAD]]*MASTER[[#This Row],[COSTO UNITARIO]]</f>
        <v>434</v>
      </c>
      <c r="V2282" s="2">
        <f>MASTER[[#This Row],[MONTO VENDIDO]]-MASTER[[#This Row],[COSTO DE VENTA]]</f>
        <v>1365</v>
      </c>
    </row>
    <row r="2283" spans="1:22" x14ac:dyDescent="0.3">
      <c r="A2283">
        <v>39527</v>
      </c>
      <c r="B2283">
        <v>1</v>
      </c>
      <c r="C2283" t="s">
        <v>109</v>
      </c>
      <c r="D2283" t="s">
        <v>110</v>
      </c>
      <c r="E2283" s="1">
        <v>44104</v>
      </c>
      <c r="F2283">
        <v>1</v>
      </c>
      <c r="G2283" t="s">
        <v>73</v>
      </c>
      <c r="H2283" t="s">
        <v>74</v>
      </c>
      <c r="I2283" s="3">
        <v>1064</v>
      </c>
      <c r="J2283" s="3">
        <v>1064</v>
      </c>
      <c r="K2283" s="3">
        <v>387</v>
      </c>
      <c r="L2283" t="s">
        <v>98</v>
      </c>
      <c r="M2283">
        <v>5</v>
      </c>
      <c r="N2283" t="s">
        <v>85</v>
      </c>
      <c r="O2283" t="s">
        <v>81</v>
      </c>
      <c r="P2283" t="s">
        <v>12</v>
      </c>
      <c r="Q2283" t="s">
        <v>13</v>
      </c>
      <c r="R2283" t="s">
        <v>13</v>
      </c>
      <c r="S2283" t="s">
        <v>144</v>
      </c>
      <c r="T2283" s="2">
        <f>MASTER[[#This Row],[CANTIDAD]]*MASTER[[#This Row],[PRECIO DE VENTA]]</f>
        <v>1064</v>
      </c>
      <c r="U2283" s="2">
        <f>MASTER[[#This Row],[CANTIDAD]]*MASTER[[#This Row],[COSTO UNITARIO]]</f>
        <v>387</v>
      </c>
      <c r="V2283" s="2">
        <f>MASTER[[#This Row],[MONTO VENDIDO]]-MASTER[[#This Row],[COSTO DE VENTA]]</f>
        <v>677</v>
      </c>
    </row>
    <row r="2284" spans="1:22" x14ac:dyDescent="0.3">
      <c r="A2284">
        <v>39529</v>
      </c>
      <c r="B2284">
        <v>1</v>
      </c>
      <c r="C2284" t="s">
        <v>118</v>
      </c>
      <c r="D2284" t="s">
        <v>119</v>
      </c>
      <c r="E2284" s="1">
        <v>44104</v>
      </c>
      <c r="F2284">
        <v>1</v>
      </c>
      <c r="G2284" t="s">
        <v>33</v>
      </c>
      <c r="H2284" t="s">
        <v>34</v>
      </c>
      <c r="I2284" s="3">
        <v>900</v>
      </c>
      <c r="J2284" s="3">
        <v>864</v>
      </c>
      <c r="K2284" s="3">
        <v>424</v>
      </c>
      <c r="L2284" t="s">
        <v>120</v>
      </c>
      <c r="M2284">
        <v>7</v>
      </c>
      <c r="N2284" t="s">
        <v>84</v>
      </c>
      <c r="O2284" t="s">
        <v>81</v>
      </c>
      <c r="P2284" t="s">
        <v>12</v>
      </c>
      <c r="Q2284" t="s">
        <v>13</v>
      </c>
      <c r="R2284" t="s">
        <v>13</v>
      </c>
      <c r="S2284" t="s">
        <v>144</v>
      </c>
      <c r="T2284" s="2">
        <f>MASTER[[#This Row],[CANTIDAD]]*MASTER[[#This Row],[PRECIO DE VENTA]]</f>
        <v>864</v>
      </c>
      <c r="U2284" s="2">
        <f>MASTER[[#This Row],[CANTIDAD]]*MASTER[[#This Row],[COSTO UNITARIO]]</f>
        <v>424</v>
      </c>
      <c r="V2284" s="2">
        <f>MASTER[[#This Row],[MONTO VENDIDO]]-MASTER[[#This Row],[COSTO DE VENTA]]</f>
        <v>440</v>
      </c>
    </row>
    <row r="2285" spans="1:22" x14ac:dyDescent="0.3">
      <c r="A2285">
        <v>39537</v>
      </c>
      <c r="B2285">
        <v>1</v>
      </c>
      <c r="C2285" t="s">
        <v>103</v>
      </c>
      <c r="D2285" t="s">
        <v>104</v>
      </c>
      <c r="E2285" s="1">
        <v>44104</v>
      </c>
      <c r="F2285">
        <v>1</v>
      </c>
      <c r="G2285" t="s">
        <v>65</v>
      </c>
      <c r="H2285" t="s">
        <v>66</v>
      </c>
      <c r="I2285" s="3">
        <v>1830</v>
      </c>
      <c r="J2285" s="3">
        <v>1830</v>
      </c>
      <c r="K2285" s="3">
        <v>421</v>
      </c>
      <c r="L2285" t="s">
        <v>98</v>
      </c>
      <c r="M2285">
        <v>13</v>
      </c>
      <c r="N2285" t="s">
        <v>78</v>
      </c>
      <c r="O2285" t="s">
        <v>70</v>
      </c>
      <c r="P2285" t="s">
        <v>18</v>
      </c>
      <c r="Q2285" t="s">
        <v>19</v>
      </c>
      <c r="R2285" t="s">
        <v>138</v>
      </c>
      <c r="S2285" t="s">
        <v>144</v>
      </c>
      <c r="T2285" s="2">
        <f>MASTER[[#This Row],[CANTIDAD]]*MASTER[[#This Row],[PRECIO DE VENTA]]</f>
        <v>1830</v>
      </c>
      <c r="U2285" s="2">
        <f>MASTER[[#This Row],[CANTIDAD]]*MASTER[[#This Row],[COSTO UNITARIO]]</f>
        <v>421</v>
      </c>
      <c r="V2285" s="2">
        <f>MASTER[[#This Row],[MONTO VENDIDO]]-MASTER[[#This Row],[COSTO DE VENTA]]</f>
        <v>1409</v>
      </c>
    </row>
    <row r="2286" spans="1:22" x14ac:dyDescent="0.3">
      <c r="A2286">
        <v>39544</v>
      </c>
      <c r="B2286">
        <v>2</v>
      </c>
      <c r="C2286" t="s">
        <v>116</v>
      </c>
      <c r="D2286" t="s">
        <v>117</v>
      </c>
      <c r="E2286" s="1">
        <v>44104</v>
      </c>
      <c r="F2286">
        <v>4</v>
      </c>
      <c r="G2286" t="s">
        <v>67</v>
      </c>
      <c r="H2286" t="s">
        <v>68</v>
      </c>
      <c r="I2286" s="3">
        <v>1529</v>
      </c>
      <c r="J2286" s="3">
        <v>1529</v>
      </c>
      <c r="K2286" s="3">
        <v>388</v>
      </c>
      <c r="L2286" t="s">
        <v>113</v>
      </c>
      <c r="M2286">
        <v>16</v>
      </c>
      <c r="N2286" t="s">
        <v>17</v>
      </c>
      <c r="O2286" t="s">
        <v>11</v>
      </c>
      <c r="P2286" t="s">
        <v>18</v>
      </c>
      <c r="Q2286" t="s">
        <v>19</v>
      </c>
      <c r="R2286" t="s">
        <v>138</v>
      </c>
      <c r="S2286" t="s">
        <v>144</v>
      </c>
      <c r="T2286" s="2">
        <f>MASTER[[#This Row],[CANTIDAD]]*MASTER[[#This Row],[PRECIO DE VENTA]]</f>
        <v>6116</v>
      </c>
      <c r="U2286" s="2">
        <f>MASTER[[#This Row],[CANTIDAD]]*MASTER[[#This Row],[COSTO UNITARIO]]</f>
        <v>1552</v>
      </c>
      <c r="V2286" s="2">
        <f>MASTER[[#This Row],[MONTO VENDIDO]]-MASTER[[#This Row],[COSTO DE VENTA]]</f>
        <v>4564</v>
      </c>
    </row>
    <row r="2287" spans="1:22" x14ac:dyDescent="0.3">
      <c r="A2287">
        <v>39544</v>
      </c>
      <c r="B2287">
        <v>1</v>
      </c>
      <c r="C2287" t="s">
        <v>121</v>
      </c>
      <c r="D2287" t="s">
        <v>122</v>
      </c>
      <c r="E2287" s="1">
        <v>44104</v>
      </c>
      <c r="F2287">
        <v>1</v>
      </c>
      <c r="G2287" t="s">
        <v>61</v>
      </c>
      <c r="H2287" t="s">
        <v>62</v>
      </c>
      <c r="I2287" s="3">
        <v>941</v>
      </c>
      <c r="J2287" s="3">
        <v>941</v>
      </c>
      <c r="K2287" s="3">
        <v>460</v>
      </c>
      <c r="L2287" t="s">
        <v>120</v>
      </c>
      <c r="M2287">
        <v>16</v>
      </c>
      <c r="N2287" t="s">
        <v>17</v>
      </c>
      <c r="O2287" t="s">
        <v>11</v>
      </c>
      <c r="P2287" t="s">
        <v>18</v>
      </c>
      <c r="Q2287" t="s">
        <v>19</v>
      </c>
      <c r="R2287" t="s">
        <v>138</v>
      </c>
      <c r="S2287" t="s">
        <v>144</v>
      </c>
      <c r="T2287" s="2">
        <f>MASTER[[#This Row],[CANTIDAD]]*MASTER[[#This Row],[PRECIO DE VENTA]]</f>
        <v>941</v>
      </c>
      <c r="U2287" s="2">
        <f>MASTER[[#This Row],[CANTIDAD]]*MASTER[[#This Row],[COSTO UNITARIO]]</f>
        <v>460</v>
      </c>
      <c r="V2287" s="2">
        <f>MASTER[[#This Row],[MONTO VENDIDO]]-MASTER[[#This Row],[COSTO DE VENTA]]</f>
        <v>481</v>
      </c>
    </row>
    <row r="2288" spans="1:22" x14ac:dyDescent="0.3">
      <c r="A2288">
        <v>39568</v>
      </c>
      <c r="B2288">
        <v>1</v>
      </c>
      <c r="C2288" t="s">
        <v>107</v>
      </c>
      <c r="D2288" t="s">
        <v>108</v>
      </c>
      <c r="E2288" s="1">
        <v>44104</v>
      </c>
      <c r="F2288">
        <v>1</v>
      </c>
      <c r="G2288" t="s">
        <v>7</v>
      </c>
      <c r="H2288" t="s">
        <v>8</v>
      </c>
      <c r="I2288" s="3">
        <v>1440</v>
      </c>
      <c r="J2288" s="3">
        <v>1440</v>
      </c>
      <c r="K2288" s="3">
        <v>380</v>
      </c>
      <c r="L2288" t="s">
        <v>98</v>
      </c>
      <c r="M2288">
        <v>9</v>
      </c>
      <c r="N2288" t="s">
        <v>76</v>
      </c>
      <c r="O2288" t="s">
        <v>70</v>
      </c>
      <c r="P2288" t="s">
        <v>12</v>
      </c>
      <c r="Q2288" t="s">
        <v>13</v>
      </c>
      <c r="R2288" t="s">
        <v>13</v>
      </c>
      <c r="S2288" t="s">
        <v>144</v>
      </c>
      <c r="T2288" s="2">
        <f>MASTER[[#This Row],[CANTIDAD]]*MASTER[[#This Row],[PRECIO DE VENTA]]</f>
        <v>1440</v>
      </c>
      <c r="U2288" s="2">
        <f>MASTER[[#This Row],[CANTIDAD]]*MASTER[[#This Row],[COSTO UNITARIO]]</f>
        <v>380</v>
      </c>
      <c r="V2288" s="2">
        <f>MASTER[[#This Row],[MONTO VENDIDO]]-MASTER[[#This Row],[COSTO DE VENTA]]</f>
        <v>1060</v>
      </c>
    </row>
    <row r="2289" spans="1:22" x14ac:dyDescent="0.3">
      <c r="A2289">
        <v>39569</v>
      </c>
      <c r="B2289">
        <v>1</v>
      </c>
      <c r="C2289" t="s">
        <v>109</v>
      </c>
      <c r="D2289" t="s">
        <v>110</v>
      </c>
      <c r="E2289" s="1">
        <v>44104</v>
      </c>
      <c r="F2289">
        <v>1</v>
      </c>
      <c r="G2289" t="s">
        <v>22</v>
      </c>
      <c r="H2289" t="s">
        <v>23</v>
      </c>
      <c r="I2289" s="3">
        <v>1064</v>
      </c>
      <c r="J2289" s="3">
        <v>1064</v>
      </c>
      <c r="K2289" s="3">
        <v>387</v>
      </c>
      <c r="L2289" t="s">
        <v>98</v>
      </c>
      <c r="M2289">
        <v>8</v>
      </c>
      <c r="N2289" t="s">
        <v>80</v>
      </c>
      <c r="O2289" t="s">
        <v>81</v>
      </c>
      <c r="P2289" t="s">
        <v>12</v>
      </c>
      <c r="Q2289" t="s">
        <v>13</v>
      </c>
      <c r="R2289" t="s">
        <v>13</v>
      </c>
      <c r="S2289" t="s">
        <v>144</v>
      </c>
      <c r="T2289" s="2">
        <f>MASTER[[#This Row],[CANTIDAD]]*MASTER[[#This Row],[PRECIO DE VENTA]]</f>
        <v>1064</v>
      </c>
      <c r="U2289" s="2">
        <f>MASTER[[#This Row],[CANTIDAD]]*MASTER[[#This Row],[COSTO UNITARIO]]</f>
        <v>387</v>
      </c>
      <c r="V2289" s="2">
        <f>MASTER[[#This Row],[MONTO VENDIDO]]-MASTER[[#This Row],[COSTO DE VENTA]]</f>
        <v>677</v>
      </c>
    </row>
    <row r="2290" spans="1:22" x14ac:dyDescent="0.3">
      <c r="A2290">
        <v>39589</v>
      </c>
      <c r="B2290">
        <v>1</v>
      </c>
      <c r="C2290" t="s">
        <v>103</v>
      </c>
      <c r="D2290" t="s">
        <v>104</v>
      </c>
      <c r="E2290" s="1">
        <v>44104</v>
      </c>
      <c r="F2290">
        <v>1</v>
      </c>
      <c r="G2290" t="s">
        <v>20</v>
      </c>
      <c r="H2290" t="s">
        <v>21</v>
      </c>
      <c r="I2290" s="3">
        <v>1830</v>
      </c>
      <c r="J2290" s="3">
        <v>1830</v>
      </c>
      <c r="K2290" s="3">
        <v>421</v>
      </c>
      <c r="L2290" t="s">
        <v>98</v>
      </c>
      <c r="M2290">
        <v>13</v>
      </c>
      <c r="N2290" t="s">
        <v>78</v>
      </c>
      <c r="O2290" t="s">
        <v>70</v>
      </c>
      <c r="P2290" t="s">
        <v>18</v>
      </c>
      <c r="Q2290" t="s">
        <v>19</v>
      </c>
      <c r="R2290" t="s">
        <v>138</v>
      </c>
      <c r="S2290" t="s">
        <v>144</v>
      </c>
      <c r="T2290" s="2">
        <f>MASTER[[#This Row],[CANTIDAD]]*MASTER[[#This Row],[PRECIO DE VENTA]]</f>
        <v>1830</v>
      </c>
      <c r="U2290" s="2">
        <f>MASTER[[#This Row],[CANTIDAD]]*MASTER[[#This Row],[COSTO UNITARIO]]</f>
        <v>421</v>
      </c>
      <c r="V2290" s="2">
        <f>MASTER[[#This Row],[MONTO VENDIDO]]-MASTER[[#This Row],[COSTO DE VENTA]]</f>
        <v>1409</v>
      </c>
    </row>
    <row r="2291" spans="1:22" x14ac:dyDescent="0.3">
      <c r="A2291">
        <v>39593</v>
      </c>
      <c r="B2291">
        <v>1</v>
      </c>
      <c r="C2291" t="s">
        <v>114</v>
      </c>
      <c r="D2291" t="s">
        <v>115</v>
      </c>
      <c r="E2291" s="1">
        <v>44104</v>
      </c>
      <c r="F2291">
        <v>1</v>
      </c>
      <c r="G2291" t="s">
        <v>41</v>
      </c>
      <c r="H2291" t="s">
        <v>42</v>
      </c>
      <c r="I2291" s="3">
        <v>1862</v>
      </c>
      <c r="J2291" s="3">
        <v>1862</v>
      </c>
      <c r="K2291" s="3">
        <v>394</v>
      </c>
      <c r="L2291" t="s">
        <v>113</v>
      </c>
      <c r="M2291">
        <v>4</v>
      </c>
      <c r="N2291" t="s">
        <v>82</v>
      </c>
      <c r="O2291" t="s">
        <v>81</v>
      </c>
      <c r="P2291" t="s">
        <v>71</v>
      </c>
      <c r="Q2291" t="s">
        <v>72</v>
      </c>
      <c r="R2291" t="s">
        <v>139</v>
      </c>
      <c r="S2291" t="s">
        <v>144</v>
      </c>
      <c r="T2291" s="2">
        <f>MASTER[[#This Row],[CANTIDAD]]*MASTER[[#This Row],[PRECIO DE VENTA]]</f>
        <v>1862</v>
      </c>
      <c r="U2291" s="2">
        <f>MASTER[[#This Row],[CANTIDAD]]*MASTER[[#This Row],[COSTO UNITARIO]]</f>
        <v>394</v>
      </c>
      <c r="V2291" s="2">
        <f>MASTER[[#This Row],[MONTO VENDIDO]]-MASTER[[#This Row],[COSTO DE VENTA]]</f>
        <v>1468</v>
      </c>
    </row>
    <row r="2292" spans="1:22" x14ac:dyDescent="0.3">
      <c r="A2292">
        <v>39594</v>
      </c>
      <c r="B2292">
        <v>1</v>
      </c>
      <c r="C2292" t="s">
        <v>99</v>
      </c>
      <c r="D2292" t="s">
        <v>100</v>
      </c>
      <c r="E2292" s="1">
        <v>44104</v>
      </c>
      <c r="F2292">
        <v>1</v>
      </c>
      <c r="G2292" t="s">
        <v>33</v>
      </c>
      <c r="H2292" t="s">
        <v>34</v>
      </c>
      <c r="I2292" s="3">
        <v>1459</v>
      </c>
      <c r="J2292" s="3">
        <v>1459</v>
      </c>
      <c r="K2292" s="3">
        <v>386</v>
      </c>
      <c r="L2292" t="s">
        <v>98</v>
      </c>
      <c r="M2292">
        <v>7</v>
      </c>
      <c r="N2292" t="s">
        <v>84</v>
      </c>
      <c r="O2292" t="s">
        <v>81</v>
      </c>
      <c r="P2292" t="s">
        <v>12</v>
      </c>
      <c r="Q2292" t="s">
        <v>13</v>
      </c>
      <c r="R2292" t="s">
        <v>13</v>
      </c>
      <c r="S2292" t="s">
        <v>144</v>
      </c>
      <c r="T2292" s="2">
        <f>MASTER[[#This Row],[CANTIDAD]]*MASTER[[#This Row],[PRECIO DE VENTA]]</f>
        <v>1459</v>
      </c>
      <c r="U2292" s="2">
        <f>MASTER[[#This Row],[CANTIDAD]]*MASTER[[#This Row],[COSTO UNITARIO]]</f>
        <v>386</v>
      </c>
      <c r="V2292" s="2">
        <f>MASTER[[#This Row],[MONTO VENDIDO]]-MASTER[[#This Row],[COSTO DE VENTA]]</f>
        <v>1073</v>
      </c>
    </row>
    <row r="2293" spans="1:22" x14ac:dyDescent="0.3">
      <c r="A2293">
        <v>39596</v>
      </c>
      <c r="B2293">
        <v>1</v>
      </c>
      <c r="C2293" t="s">
        <v>94</v>
      </c>
      <c r="D2293" t="s">
        <v>95</v>
      </c>
      <c r="E2293" s="1">
        <v>44105</v>
      </c>
      <c r="F2293">
        <v>1</v>
      </c>
      <c r="G2293" t="s">
        <v>33</v>
      </c>
      <c r="H2293" t="s">
        <v>34</v>
      </c>
      <c r="I2293" s="3">
        <v>1048</v>
      </c>
      <c r="J2293" s="3">
        <v>1048</v>
      </c>
      <c r="K2293" s="3">
        <v>392</v>
      </c>
      <c r="L2293" t="s">
        <v>9</v>
      </c>
      <c r="M2293">
        <v>15</v>
      </c>
      <c r="N2293" t="s">
        <v>88</v>
      </c>
      <c r="O2293" t="s">
        <v>81</v>
      </c>
      <c r="P2293" t="s">
        <v>18</v>
      </c>
      <c r="Q2293" t="s">
        <v>19</v>
      </c>
      <c r="R2293" t="s">
        <v>138</v>
      </c>
      <c r="S2293" t="s">
        <v>144</v>
      </c>
      <c r="T2293" s="2">
        <f>MASTER[[#This Row],[CANTIDAD]]*MASTER[[#This Row],[PRECIO DE VENTA]]</f>
        <v>1048</v>
      </c>
      <c r="U2293" s="2">
        <f>MASTER[[#This Row],[CANTIDAD]]*MASTER[[#This Row],[COSTO UNITARIO]]</f>
        <v>392</v>
      </c>
      <c r="V2293" s="2">
        <f>MASTER[[#This Row],[MONTO VENDIDO]]-MASTER[[#This Row],[COSTO DE VENTA]]</f>
        <v>656</v>
      </c>
    </row>
    <row r="2294" spans="1:22" x14ac:dyDescent="0.3">
      <c r="A2294">
        <v>39603</v>
      </c>
      <c r="B2294">
        <v>1</v>
      </c>
      <c r="C2294" t="s">
        <v>99</v>
      </c>
      <c r="D2294" t="s">
        <v>100</v>
      </c>
      <c r="E2294" s="1">
        <v>44105</v>
      </c>
      <c r="F2294">
        <v>1</v>
      </c>
      <c r="G2294" t="s">
        <v>22</v>
      </c>
      <c r="H2294" t="s">
        <v>23</v>
      </c>
      <c r="I2294" s="3">
        <v>1459</v>
      </c>
      <c r="J2294" s="3">
        <v>1459</v>
      </c>
      <c r="K2294" s="3">
        <v>386</v>
      </c>
      <c r="L2294" t="s">
        <v>98</v>
      </c>
      <c r="M2294">
        <v>15</v>
      </c>
      <c r="N2294" t="s">
        <v>88</v>
      </c>
      <c r="O2294" t="s">
        <v>81</v>
      </c>
      <c r="P2294" t="s">
        <v>18</v>
      </c>
      <c r="Q2294" t="s">
        <v>19</v>
      </c>
      <c r="R2294" t="s">
        <v>138</v>
      </c>
      <c r="S2294" t="s">
        <v>144</v>
      </c>
      <c r="T2294" s="2">
        <f>MASTER[[#This Row],[CANTIDAD]]*MASTER[[#This Row],[PRECIO DE VENTA]]</f>
        <v>1459</v>
      </c>
      <c r="U2294" s="2">
        <f>MASTER[[#This Row],[CANTIDAD]]*MASTER[[#This Row],[COSTO UNITARIO]]</f>
        <v>386</v>
      </c>
      <c r="V2294" s="2">
        <f>MASTER[[#This Row],[MONTO VENDIDO]]-MASTER[[#This Row],[COSTO DE VENTA]]</f>
        <v>1073</v>
      </c>
    </row>
    <row r="2295" spans="1:22" x14ac:dyDescent="0.3">
      <c r="A2295">
        <v>39605</v>
      </c>
      <c r="B2295">
        <v>1</v>
      </c>
      <c r="C2295" t="s">
        <v>105</v>
      </c>
      <c r="D2295" t="s">
        <v>106</v>
      </c>
      <c r="E2295" s="1">
        <v>44105</v>
      </c>
      <c r="F2295">
        <v>4</v>
      </c>
      <c r="G2295" t="s">
        <v>45</v>
      </c>
      <c r="H2295" t="s">
        <v>46</v>
      </c>
      <c r="I2295" s="3">
        <v>1585</v>
      </c>
      <c r="J2295" s="3">
        <v>1585</v>
      </c>
      <c r="K2295" s="3">
        <v>459</v>
      </c>
      <c r="L2295" t="s">
        <v>98</v>
      </c>
      <c r="M2295">
        <v>12</v>
      </c>
      <c r="N2295" t="s">
        <v>26</v>
      </c>
      <c r="O2295" t="s">
        <v>11</v>
      </c>
      <c r="P2295" t="s">
        <v>12</v>
      </c>
      <c r="Q2295" t="s">
        <v>13</v>
      </c>
      <c r="R2295" t="s">
        <v>13</v>
      </c>
      <c r="S2295" t="s">
        <v>144</v>
      </c>
      <c r="T2295" s="2">
        <f>MASTER[[#This Row],[CANTIDAD]]*MASTER[[#This Row],[PRECIO DE VENTA]]</f>
        <v>6340</v>
      </c>
      <c r="U2295" s="2">
        <f>MASTER[[#This Row],[CANTIDAD]]*MASTER[[#This Row],[COSTO UNITARIO]]</f>
        <v>1836</v>
      </c>
      <c r="V2295" s="2">
        <f>MASTER[[#This Row],[MONTO VENDIDO]]-MASTER[[#This Row],[COSTO DE VENTA]]</f>
        <v>4504</v>
      </c>
    </row>
    <row r="2296" spans="1:22" x14ac:dyDescent="0.3">
      <c r="A2296">
        <v>39610</v>
      </c>
      <c r="B2296">
        <v>1</v>
      </c>
      <c r="C2296" t="s">
        <v>90</v>
      </c>
      <c r="D2296" t="s">
        <v>91</v>
      </c>
      <c r="E2296" s="1">
        <v>44105</v>
      </c>
      <c r="F2296">
        <v>3</v>
      </c>
      <c r="G2296" t="s">
        <v>41</v>
      </c>
      <c r="H2296" t="s">
        <v>42</v>
      </c>
      <c r="I2296" s="3">
        <v>1844</v>
      </c>
      <c r="J2296" s="3">
        <v>1844</v>
      </c>
      <c r="K2296" s="3">
        <v>420</v>
      </c>
      <c r="L2296" t="s">
        <v>9</v>
      </c>
      <c r="M2296">
        <v>4</v>
      </c>
      <c r="N2296" t="s">
        <v>82</v>
      </c>
      <c r="O2296" t="s">
        <v>81</v>
      </c>
      <c r="P2296" t="s">
        <v>71</v>
      </c>
      <c r="Q2296" t="s">
        <v>72</v>
      </c>
      <c r="R2296" t="s">
        <v>139</v>
      </c>
      <c r="S2296" t="s">
        <v>144</v>
      </c>
      <c r="T2296" s="2">
        <f>MASTER[[#This Row],[CANTIDAD]]*MASTER[[#This Row],[PRECIO DE VENTA]]</f>
        <v>5532</v>
      </c>
      <c r="U2296" s="2">
        <f>MASTER[[#This Row],[CANTIDAD]]*MASTER[[#This Row],[COSTO UNITARIO]]</f>
        <v>1260</v>
      </c>
      <c r="V2296" s="2">
        <f>MASTER[[#This Row],[MONTO VENDIDO]]-MASTER[[#This Row],[COSTO DE VENTA]]</f>
        <v>4272</v>
      </c>
    </row>
    <row r="2297" spans="1:22" x14ac:dyDescent="0.3">
      <c r="A2297">
        <v>39616</v>
      </c>
      <c r="B2297">
        <v>1</v>
      </c>
      <c r="C2297" t="s">
        <v>96</v>
      </c>
      <c r="D2297" t="s">
        <v>97</v>
      </c>
      <c r="E2297" s="1">
        <v>44105</v>
      </c>
      <c r="F2297">
        <v>1</v>
      </c>
      <c r="G2297" t="s">
        <v>35</v>
      </c>
      <c r="H2297" t="s">
        <v>36</v>
      </c>
      <c r="I2297" s="3">
        <v>1196</v>
      </c>
      <c r="J2297" s="3">
        <v>1196</v>
      </c>
      <c r="K2297" s="3">
        <v>397</v>
      </c>
      <c r="L2297" t="s">
        <v>98</v>
      </c>
      <c r="M2297">
        <v>11</v>
      </c>
      <c r="N2297" t="s">
        <v>10</v>
      </c>
      <c r="O2297" t="s">
        <v>11</v>
      </c>
      <c r="P2297" t="s">
        <v>12</v>
      </c>
      <c r="Q2297" t="s">
        <v>13</v>
      </c>
      <c r="R2297" t="s">
        <v>13</v>
      </c>
      <c r="S2297" t="s">
        <v>144</v>
      </c>
      <c r="T2297" s="2">
        <f>MASTER[[#This Row],[CANTIDAD]]*MASTER[[#This Row],[PRECIO DE VENTA]]</f>
        <v>1196</v>
      </c>
      <c r="U2297" s="2">
        <f>MASTER[[#This Row],[CANTIDAD]]*MASTER[[#This Row],[COSTO UNITARIO]]</f>
        <v>397</v>
      </c>
      <c r="V2297" s="2">
        <f>MASTER[[#This Row],[MONTO VENDIDO]]-MASTER[[#This Row],[COSTO DE VENTA]]</f>
        <v>799</v>
      </c>
    </row>
    <row r="2298" spans="1:22" x14ac:dyDescent="0.3">
      <c r="A2298">
        <v>39618</v>
      </c>
      <c r="B2298">
        <v>1</v>
      </c>
      <c r="C2298" t="s">
        <v>103</v>
      </c>
      <c r="D2298" t="s">
        <v>104</v>
      </c>
      <c r="E2298" s="1">
        <v>44105</v>
      </c>
      <c r="F2298">
        <v>1</v>
      </c>
      <c r="G2298" t="s">
        <v>51</v>
      </c>
      <c r="H2298" t="s">
        <v>52</v>
      </c>
      <c r="I2298" s="3">
        <v>1591</v>
      </c>
      <c r="J2298" s="3">
        <v>1591</v>
      </c>
      <c r="K2298" s="3">
        <v>421</v>
      </c>
      <c r="L2298" t="s">
        <v>98</v>
      </c>
      <c r="M2298">
        <v>15</v>
      </c>
      <c r="N2298" t="s">
        <v>88</v>
      </c>
      <c r="O2298" t="s">
        <v>81</v>
      </c>
      <c r="P2298" t="s">
        <v>18</v>
      </c>
      <c r="Q2298" t="s">
        <v>19</v>
      </c>
      <c r="R2298" t="s">
        <v>138</v>
      </c>
      <c r="S2298" t="s">
        <v>144</v>
      </c>
      <c r="T2298" s="2">
        <f>MASTER[[#This Row],[CANTIDAD]]*MASTER[[#This Row],[PRECIO DE VENTA]]</f>
        <v>1591</v>
      </c>
      <c r="U2298" s="2">
        <f>MASTER[[#This Row],[CANTIDAD]]*MASTER[[#This Row],[COSTO UNITARIO]]</f>
        <v>421</v>
      </c>
      <c r="V2298" s="2">
        <f>MASTER[[#This Row],[MONTO VENDIDO]]-MASTER[[#This Row],[COSTO DE VENTA]]</f>
        <v>1170</v>
      </c>
    </row>
    <row r="2299" spans="1:22" x14ac:dyDescent="0.3">
      <c r="A2299">
        <v>39634</v>
      </c>
      <c r="B2299">
        <v>1</v>
      </c>
      <c r="C2299" t="s">
        <v>111</v>
      </c>
      <c r="D2299" t="s">
        <v>112</v>
      </c>
      <c r="E2299" s="1">
        <v>44105</v>
      </c>
      <c r="F2299">
        <v>1</v>
      </c>
      <c r="G2299" t="s">
        <v>65</v>
      </c>
      <c r="H2299" t="s">
        <v>66</v>
      </c>
      <c r="I2299" s="3">
        <v>1621</v>
      </c>
      <c r="J2299" s="3">
        <v>1621</v>
      </c>
      <c r="K2299" s="3">
        <v>434</v>
      </c>
      <c r="L2299" t="s">
        <v>113</v>
      </c>
      <c r="M2299">
        <v>10</v>
      </c>
      <c r="N2299" t="s">
        <v>83</v>
      </c>
      <c r="O2299" t="s">
        <v>81</v>
      </c>
      <c r="P2299" t="s">
        <v>12</v>
      </c>
      <c r="Q2299" t="s">
        <v>13</v>
      </c>
      <c r="R2299" t="s">
        <v>13</v>
      </c>
      <c r="S2299" t="s">
        <v>144</v>
      </c>
      <c r="T2299" s="2">
        <f>MASTER[[#This Row],[CANTIDAD]]*MASTER[[#This Row],[PRECIO DE VENTA]]</f>
        <v>1621</v>
      </c>
      <c r="U2299" s="2">
        <f>MASTER[[#This Row],[CANTIDAD]]*MASTER[[#This Row],[COSTO UNITARIO]]</f>
        <v>434</v>
      </c>
      <c r="V2299" s="2">
        <f>MASTER[[#This Row],[MONTO VENDIDO]]-MASTER[[#This Row],[COSTO DE VENTA]]</f>
        <v>1187</v>
      </c>
    </row>
    <row r="2300" spans="1:22" x14ac:dyDescent="0.3">
      <c r="A2300">
        <v>39647</v>
      </c>
      <c r="B2300">
        <v>1</v>
      </c>
      <c r="C2300" t="s">
        <v>109</v>
      </c>
      <c r="D2300" t="s">
        <v>110</v>
      </c>
      <c r="E2300" s="1">
        <v>44105</v>
      </c>
      <c r="F2300">
        <v>1</v>
      </c>
      <c r="G2300" t="s">
        <v>73</v>
      </c>
      <c r="H2300" t="s">
        <v>74</v>
      </c>
      <c r="I2300" s="3">
        <v>1064</v>
      </c>
      <c r="J2300" s="3">
        <v>1064</v>
      </c>
      <c r="K2300" s="3">
        <v>387</v>
      </c>
      <c r="L2300" t="s">
        <v>98</v>
      </c>
      <c r="M2300">
        <v>8</v>
      </c>
      <c r="N2300" t="s">
        <v>80</v>
      </c>
      <c r="O2300" t="s">
        <v>81</v>
      </c>
      <c r="P2300" t="s">
        <v>12</v>
      </c>
      <c r="Q2300" t="s">
        <v>13</v>
      </c>
      <c r="R2300" t="s">
        <v>13</v>
      </c>
      <c r="S2300" t="s">
        <v>144</v>
      </c>
      <c r="T2300" s="2">
        <f>MASTER[[#This Row],[CANTIDAD]]*MASTER[[#This Row],[PRECIO DE VENTA]]</f>
        <v>1064</v>
      </c>
      <c r="U2300" s="2">
        <f>MASTER[[#This Row],[CANTIDAD]]*MASTER[[#This Row],[COSTO UNITARIO]]</f>
        <v>387</v>
      </c>
      <c r="V2300" s="2">
        <f>MASTER[[#This Row],[MONTO VENDIDO]]-MASTER[[#This Row],[COSTO DE VENTA]]</f>
        <v>677</v>
      </c>
    </row>
    <row r="2301" spans="1:22" x14ac:dyDescent="0.3">
      <c r="A2301">
        <v>39676</v>
      </c>
      <c r="B2301">
        <v>1</v>
      </c>
      <c r="C2301" t="s">
        <v>121</v>
      </c>
      <c r="D2301" t="s">
        <v>122</v>
      </c>
      <c r="E2301" s="1">
        <v>44106</v>
      </c>
      <c r="F2301">
        <v>1</v>
      </c>
      <c r="G2301" t="s">
        <v>35</v>
      </c>
      <c r="H2301" t="s">
        <v>36</v>
      </c>
      <c r="I2301" s="3">
        <v>1069</v>
      </c>
      <c r="J2301" s="3">
        <v>1069</v>
      </c>
      <c r="K2301" s="3">
        <v>460</v>
      </c>
      <c r="L2301" t="s">
        <v>120</v>
      </c>
      <c r="M2301">
        <v>14</v>
      </c>
      <c r="N2301" t="s">
        <v>87</v>
      </c>
      <c r="O2301" t="s">
        <v>81</v>
      </c>
      <c r="P2301" t="s">
        <v>18</v>
      </c>
      <c r="Q2301" t="s">
        <v>19</v>
      </c>
      <c r="R2301" t="s">
        <v>138</v>
      </c>
      <c r="S2301" t="s">
        <v>144</v>
      </c>
      <c r="T2301" s="2">
        <f>MASTER[[#This Row],[CANTIDAD]]*MASTER[[#This Row],[PRECIO DE VENTA]]</f>
        <v>1069</v>
      </c>
      <c r="U2301" s="2">
        <f>MASTER[[#This Row],[CANTIDAD]]*MASTER[[#This Row],[COSTO UNITARIO]]</f>
        <v>460</v>
      </c>
      <c r="V2301" s="2">
        <f>MASTER[[#This Row],[MONTO VENDIDO]]-MASTER[[#This Row],[COSTO DE VENTA]]</f>
        <v>609</v>
      </c>
    </row>
    <row r="2302" spans="1:22" x14ac:dyDescent="0.3">
      <c r="A2302">
        <v>39677</v>
      </c>
      <c r="B2302">
        <v>1</v>
      </c>
      <c r="C2302" t="s">
        <v>118</v>
      </c>
      <c r="D2302" t="s">
        <v>119</v>
      </c>
      <c r="E2302" s="1">
        <v>44106</v>
      </c>
      <c r="F2302">
        <v>1</v>
      </c>
      <c r="G2302" t="s">
        <v>53</v>
      </c>
      <c r="H2302" t="s">
        <v>54</v>
      </c>
      <c r="I2302" s="3">
        <v>801</v>
      </c>
      <c r="J2302" s="3">
        <v>801</v>
      </c>
      <c r="K2302" s="3">
        <v>424</v>
      </c>
      <c r="L2302" t="s">
        <v>120</v>
      </c>
      <c r="M2302">
        <v>17</v>
      </c>
      <c r="N2302" t="s">
        <v>14</v>
      </c>
      <c r="O2302" t="s">
        <v>11</v>
      </c>
      <c r="P2302" t="s">
        <v>15</v>
      </c>
      <c r="Q2302" t="s">
        <v>16</v>
      </c>
      <c r="R2302" t="s">
        <v>16</v>
      </c>
      <c r="S2302" t="s">
        <v>144</v>
      </c>
      <c r="T2302" s="2">
        <f>MASTER[[#This Row],[CANTIDAD]]*MASTER[[#This Row],[PRECIO DE VENTA]]</f>
        <v>801</v>
      </c>
      <c r="U2302" s="2">
        <f>MASTER[[#This Row],[CANTIDAD]]*MASTER[[#This Row],[COSTO UNITARIO]]</f>
        <v>424</v>
      </c>
      <c r="V2302" s="2">
        <f>MASTER[[#This Row],[MONTO VENDIDO]]-MASTER[[#This Row],[COSTO DE VENTA]]</f>
        <v>377</v>
      </c>
    </row>
    <row r="2303" spans="1:22" x14ac:dyDescent="0.3">
      <c r="A2303">
        <v>39686</v>
      </c>
      <c r="B2303">
        <v>1</v>
      </c>
      <c r="C2303" t="s">
        <v>103</v>
      </c>
      <c r="D2303" t="s">
        <v>104</v>
      </c>
      <c r="E2303" s="1">
        <v>44106</v>
      </c>
      <c r="F2303">
        <v>1</v>
      </c>
      <c r="G2303" t="s">
        <v>47</v>
      </c>
      <c r="H2303" t="s">
        <v>48</v>
      </c>
      <c r="I2303" s="3">
        <v>1830</v>
      </c>
      <c r="J2303" s="3">
        <v>1830</v>
      </c>
      <c r="K2303" s="3">
        <v>421</v>
      </c>
      <c r="L2303" t="s">
        <v>98</v>
      </c>
      <c r="M2303">
        <v>3</v>
      </c>
      <c r="N2303" t="s">
        <v>69</v>
      </c>
      <c r="O2303" t="s">
        <v>70</v>
      </c>
      <c r="P2303" t="s">
        <v>71</v>
      </c>
      <c r="Q2303" t="s">
        <v>72</v>
      </c>
      <c r="R2303" t="s">
        <v>139</v>
      </c>
      <c r="S2303" t="s">
        <v>144</v>
      </c>
      <c r="T2303" s="2">
        <f>MASTER[[#This Row],[CANTIDAD]]*MASTER[[#This Row],[PRECIO DE VENTA]]</f>
        <v>1830</v>
      </c>
      <c r="U2303" s="2">
        <f>MASTER[[#This Row],[CANTIDAD]]*MASTER[[#This Row],[COSTO UNITARIO]]</f>
        <v>421</v>
      </c>
      <c r="V2303" s="2">
        <f>MASTER[[#This Row],[MONTO VENDIDO]]-MASTER[[#This Row],[COSTO DE VENTA]]</f>
        <v>1409</v>
      </c>
    </row>
    <row r="2304" spans="1:22" x14ac:dyDescent="0.3">
      <c r="A2304">
        <v>39705</v>
      </c>
      <c r="B2304">
        <v>1</v>
      </c>
      <c r="C2304" t="s">
        <v>105</v>
      </c>
      <c r="D2304" t="s">
        <v>106</v>
      </c>
      <c r="E2304" s="1">
        <v>44106</v>
      </c>
      <c r="F2304">
        <v>1</v>
      </c>
      <c r="G2304" t="s">
        <v>67</v>
      </c>
      <c r="H2304" t="s">
        <v>68</v>
      </c>
      <c r="I2304" s="3">
        <v>1865</v>
      </c>
      <c r="J2304" s="3">
        <v>1865</v>
      </c>
      <c r="K2304" s="3">
        <v>459</v>
      </c>
      <c r="L2304" t="s">
        <v>98</v>
      </c>
      <c r="M2304">
        <v>5</v>
      </c>
      <c r="N2304" t="s">
        <v>85</v>
      </c>
      <c r="O2304" t="s">
        <v>81</v>
      </c>
      <c r="P2304" t="s">
        <v>12</v>
      </c>
      <c r="Q2304" t="s">
        <v>13</v>
      </c>
      <c r="R2304" t="s">
        <v>13</v>
      </c>
      <c r="S2304" t="s">
        <v>144</v>
      </c>
      <c r="T2304" s="2">
        <f>MASTER[[#This Row],[CANTIDAD]]*MASTER[[#This Row],[PRECIO DE VENTA]]</f>
        <v>1865</v>
      </c>
      <c r="U2304" s="2">
        <f>MASTER[[#This Row],[CANTIDAD]]*MASTER[[#This Row],[COSTO UNITARIO]]</f>
        <v>459</v>
      </c>
      <c r="V2304" s="2">
        <f>MASTER[[#This Row],[MONTO VENDIDO]]-MASTER[[#This Row],[COSTO DE VENTA]]</f>
        <v>1406</v>
      </c>
    </row>
    <row r="2305" spans="1:22" x14ac:dyDescent="0.3">
      <c r="A2305">
        <v>39724</v>
      </c>
      <c r="B2305">
        <v>1</v>
      </c>
      <c r="C2305" t="s">
        <v>121</v>
      </c>
      <c r="D2305" t="s">
        <v>122</v>
      </c>
      <c r="E2305" s="1">
        <v>44106</v>
      </c>
      <c r="F2305">
        <v>1</v>
      </c>
      <c r="G2305" t="s">
        <v>22</v>
      </c>
      <c r="H2305" t="s">
        <v>23</v>
      </c>
      <c r="I2305" s="3">
        <v>1069</v>
      </c>
      <c r="J2305" s="3">
        <v>1069</v>
      </c>
      <c r="K2305" s="3">
        <v>460</v>
      </c>
      <c r="L2305" t="s">
        <v>120</v>
      </c>
      <c r="M2305">
        <v>5</v>
      </c>
      <c r="N2305" t="s">
        <v>85</v>
      </c>
      <c r="O2305" t="s">
        <v>81</v>
      </c>
      <c r="P2305" t="s">
        <v>12</v>
      </c>
      <c r="Q2305" t="s">
        <v>13</v>
      </c>
      <c r="R2305" t="s">
        <v>13</v>
      </c>
      <c r="S2305" t="s">
        <v>144</v>
      </c>
      <c r="T2305" s="2">
        <f>MASTER[[#This Row],[CANTIDAD]]*MASTER[[#This Row],[PRECIO DE VENTA]]</f>
        <v>1069</v>
      </c>
      <c r="U2305" s="2">
        <f>MASTER[[#This Row],[CANTIDAD]]*MASTER[[#This Row],[COSTO UNITARIO]]</f>
        <v>460</v>
      </c>
      <c r="V2305" s="2">
        <f>MASTER[[#This Row],[MONTO VENDIDO]]-MASTER[[#This Row],[COSTO DE VENTA]]</f>
        <v>609</v>
      </c>
    </row>
    <row r="2306" spans="1:22" x14ac:dyDescent="0.3">
      <c r="A2306">
        <v>39728</v>
      </c>
      <c r="B2306">
        <v>1</v>
      </c>
      <c r="C2306" t="s">
        <v>109</v>
      </c>
      <c r="D2306" t="s">
        <v>110</v>
      </c>
      <c r="E2306" s="1">
        <v>44106</v>
      </c>
      <c r="F2306">
        <v>1</v>
      </c>
      <c r="G2306" t="s">
        <v>33</v>
      </c>
      <c r="H2306" t="s">
        <v>34</v>
      </c>
      <c r="I2306" s="3">
        <v>947</v>
      </c>
      <c r="J2306" s="3">
        <v>947</v>
      </c>
      <c r="K2306" s="3">
        <v>387</v>
      </c>
      <c r="L2306" t="s">
        <v>98</v>
      </c>
      <c r="M2306">
        <v>17</v>
      </c>
      <c r="N2306" t="s">
        <v>14</v>
      </c>
      <c r="O2306" t="s">
        <v>11</v>
      </c>
      <c r="P2306" t="s">
        <v>15</v>
      </c>
      <c r="Q2306" t="s">
        <v>16</v>
      </c>
      <c r="R2306" t="s">
        <v>16</v>
      </c>
      <c r="S2306" t="s">
        <v>144</v>
      </c>
      <c r="T2306" s="2">
        <f>MASTER[[#This Row],[CANTIDAD]]*MASTER[[#This Row],[PRECIO DE VENTA]]</f>
        <v>947</v>
      </c>
      <c r="U2306" s="2">
        <f>MASTER[[#This Row],[CANTIDAD]]*MASTER[[#This Row],[COSTO UNITARIO]]</f>
        <v>387</v>
      </c>
      <c r="V2306" s="2">
        <f>MASTER[[#This Row],[MONTO VENDIDO]]-MASTER[[#This Row],[COSTO DE VENTA]]</f>
        <v>560</v>
      </c>
    </row>
    <row r="2307" spans="1:22" x14ac:dyDescent="0.3">
      <c r="A2307">
        <v>39740</v>
      </c>
      <c r="B2307">
        <v>1</v>
      </c>
      <c r="C2307" t="s">
        <v>109</v>
      </c>
      <c r="D2307" t="s">
        <v>110</v>
      </c>
      <c r="E2307" s="1">
        <v>44106</v>
      </c>
      <c r="F2307">
        <v>1</v>
      </c>
      <c r="G2307" t="s">
        <v>24</v>
      </c>
      <c r="H2307" t="s">
        <v>25</v>
      </c>
      <c r="I2307" s="3">
        <v>947</v>
      </c>
      <c r="J2307" s="3">
        <v>947</v>
      </c>
      <c r="K2307" s="3">
        <v>387</v>
      </c>
      <c r="L2307" t="s">
        <v>98</v>
      </c>
      <c r="M2307">
        <v>11</v>
      </c>
      <c r="N2307" t="s">
        <v>10</v>
      </c>
      <c r="O2307" t="s">
        <v>11</v>
      </c>
      <c r="P2307" t="s">
        <v>12</v>
      </c>
      <c r="Q2307" t="s">
        <v>13</v>
      </c>
      <c r="R2307" t="s">
        <v>13</v>
      </c>
      <c r="S2307" t="s">
        <v>144</v>
      </c>
      <c r="T2307" s="2">
        <f>MASTER[[#This Row],[CANTIDAD]]*MASTER[[#This Row],[PRECIO DE VENTA]]</f>
        <v>947</v>
      </c>
      <c r="U2307" s="2">
        <f>MASTER[[#This Row],[CANTIDAD]]*MASTER[[#This Row],[COSTO UNITARIO]]</f>
        <v>387</v>
      </c>
      <c r="V2307" s="2">
        <f>MASTER[[#This Row],[MONTO VENDIDO]]-MASTER[[#This Row],[COSTO DE VENTA]]</f>
        <v>560</v>
      </c>
    </row>
    <row r="2308" spans="1:22" x14ac:dyDescent="0.3">
      <c r="A2308">
        <v>39749</v>
      </c>
      <c r="B2308">
        <v>1</v>
      </c>
      <c r="C2308" t="s">
        <v>99</v>
      </c>
      <c r="D2308" t="s">
        <v>100</v>
      </c>
      <c r="E2308" s="1">
        <v>44106</v>
      </c>
      <c r="F2308">
        <v>1</v>
      </c>
      <c r="G2308" t="s">
        <v>67</v>
      </c>
      <c r="H2308" t="s">
        <v>68</v>
      </c>
      <c r="I2308" s="3">
        <v>1459</v>
      </c>
      <c r="J2308" s="3">
        <v>1459</v>
      </c>
      <c r="K2308" s="3">
        <v>386</v>
      </c>
      <c r="L2308" t="s">
        <v>98</v>
      </c>
      <c r="M2308">
        <v>2</v>
      </c>
      <c r="N2308" t="s">
        <v>86</v>
      </c>
      <c r="O2308" t="s">
        <v>81</v>
      </c>
      <c r="P2308" t="s">
        <v>71</v>
      </c>
      <c r="Q2308" t="s">
        <v>72</v>
      </c>
      <c r="R2308" t="s">
        <v>139</v>
      </c>
      <c r="S2308" t="s">
        <v>144</v>
      </c>
      <c r="T2308" s="2">
        <f>MASTER[[#This Row],[CANTIDAD]]*MASTER[[#This Row],[PRECIO DE VENTA]]</f>
        <v>1459</v>
      </c>
      <c r="U2308" s="2">
        <f>MASTER[[#This Row],[CANTIDAD]]*MASTER[[#This Row],[COSTO UNITARIO]]</f>
        <v>386</v>
      </c>
      <c r="V2308" s="2">
        <f>MASTER[[#This Row],[MONTO VENDIDO]]-MASTER[[#This Row],[COSTO DE VENTA]]</f>
        <v>1073</v>
      </c>
    </row>
    <row r="2309" spans="1:22" x14ac:dyDescent="0.3">
      <c r="A2309">
        <v>39762</v>
      </c>
      <c r="B2309">
        <v>1</v>
      </c>
      <c r="C2309" t="s">
        <v>103</v>
      </c>
      <c r="D2309" t="s">
        <v>104</v>
      </c>
      <c r="E2309" s="1">
        <v>44106</v>
      </c>
      <c r="F2309">
        <v>1</v>
      </c>
      <c r="G2309" t="s">
        <v>22</v>
      </c>
      <c r="H2309" t="s">
        <v>23</v>
      </c>
      <c r="I2309" s="3">
        <v>1448</v>
      </c>
      <c r="J2309" s="3">
        <v>1448</v>
      </c>
      <c r="K2309" s="3">
        <v>421</v>
      </c>
      <c r="L2309" t="s">
        <v>98</v>
      </c>
      <c r="M2309">
        <v>16</v>
      </c>
      <c r="N2309" t="s">
        <v>17</v>
      </c>
      <c r="O2309" t="s">
        <v>11</v>
      </c>
      <c r="P2309" t="s">
        <v>18</v>
      </c>
      <c r="Q2309" t="s">
        <v>19</v>
      </c>
      <c r="R2309" t="s">
        <v>138</v>
      </c>
      <c r="S2309" t="s">
        <v>144</v>
      </c>
      <c r="T2309" s="2">
        <f>MASTER[[#This Row],[CANTIDAD]]*MASTER[[#This Row],[PRECIO DE VENTA]]</f>
        <v>1448</v>
      </c>
      <c r="U2309" s="2">
        <f>MASTER[[#This Row],[CANTIDAD]]*MASTER[[#This Row],[COSTO UNITARIO]]</f>
        <v>421</v>
      </c>
      <c r="V2309" s="2">
        <f>MASTER[[#This Row],[MONTO VENDIDO]]-MASTER[[#This Row],[COSTO DE VENTA]]</f>
        <v>1027</v>
      </c>
    </row>
    <row r="2310" spans="1:22" x14ac:dyDescent="0.3">
      <c r="A2310">
        <v>39767</v>
      </c>
      <c r="B2310">
        <v>1</v>
      </c>
      <c r="C2310" t="s">
        <v>96</v>
      </c>
      <c r="D2310" t="s">
        <v>97</v>
      </c>
      <c r="E2310" s="1">
        <v>44106</v>
      </c>
      <c r="F2310">
        <v>1</v>
      </c>
      <c r="G2310" t="s">
        <v>35</v>
      </c>
      <c r="H2310" t="s">
        <v>36</v>
      </c>
      <c r="I2310" s="3">
        <v>1361</v>
      </c>
      <c r="J2310" s="3">
        <v>1361</v>
      </c>
      <c r="K2310" s="3">
        <v>397</v>
      </c>
      <c r="L2310" t="s">
        <v>98</v>
      </c>
      <c r="M2310">
        <v>13</v>
      </c>
      <c r="N2310" t="s">
        <v>78</v>
      </c>
      <c r="O2310" t="s">
        <v>70</v>
      </c>
      <c r="P2310" t="s">
        <v>18</v>
      </c>
      <c r="Q2310" t="s">
        <v>19</v>
      </c>
      <c r="R2310" t="s">
        <v>138</v>
      </c>
      <c r="S2310" t="s">
        <v>144</v>
      </c>
      <c r="T2310" s="2">
        <f>MASTER[[#This Row],[CANTIDAD]]*MASTER[[#This Row],[PRECIO DE VENTA]]</f>
        <v>1361</v>
      </c>
      <c r="U2310" s="2">
        <f>MASTER[[#This Row],[CANTIDAD]]*MASTER[[#This Row],[COSTO UNITARIO]]</f>
        <v>397</v>
      </c>
      <c r="V2310" s="2">
        <f>MASTER[[#This Row],[MONTO VENDIDO]]-MASTER[[#This Row],[COSTO DE VENTA]]</f>
        <v>964</v>
      </c>
    </row>
    <row r="2311" spans="1:22" x14ac:dyDescent="0.3">
      <c r="A2311">
        <v>39771</v>
      </c>
      <c r="B2311">
        <v>1</v>
      </c>
      <c r="C2311" t="s">
        <v>99</v>
      </c>
      <c r="D2311" t="s">
        <v>100</v>
      </c>
      <c r="E2311" s="1">
        <v>44107</v>
      </c>
      <c r="F2311">
        <v>1</v>
      </c>
      <c r="G2311" t="s">
        <v>45</v>
      </c>
      <c r="H2311" t="s">
        <v>46</v>
      </c>
      <c r="I2311" s="3">
        <v>1328</v>
      </c>
      <c r="J2311" s="3">
        <v>1328</v>
      </c>
      <c r="K2311" s="3">
        <v>386</v>
      </c>
      <c r="L2311" t="s">
        <v>98</v>
      </c>
      <c r="M2311">
        <v>17</v>
      </c>
      <c r="N2311" t="s">
        <v>14</v>
      </c>
      <c r="O2311" t="s">
        <v>11</v>
      </c>
      <c r="P2311" t="s">
        <v>15</v>
      </c>
      <c r="Q2311" t="s">
        <v>16</v>
      </c>
      <c r="R2311" t="s">
        <v>16</v>
      </c>
      <c r="S2311" t="s">
        <v>144</v>
      </c>
      <c r="T2311" s="2">
        <f>MASTER[[#This Row],[CANTIDAD]]*MASTER[[#This Row],[PRECIO DE VENTA]]</f>
        <v>1328</v>
      </c>
      <c r="U2311" s="2">
        <f>MASTER[[#This Row],[CANTIDAD]]*MASTER[[#This Row],[COSTO UNITARIO]]</f>
        <v>386</v>
      </c>
      <c r="V2311" s="2">
        <f>MASTER[[#This Row],[MONTO VENDIDO]]-MASTER[[#This Row],[COSTO DE VENTA]]</f>
        <v>942</v>
      </c>
    </row>
    <row r="2312" spans="1:22" x14ac:dyDescent="0.3">
      <c r="A2312">
        <v>39778</v>
      </c>
      <c r="B2312">
        <v>1</v>
      </c>
      <c r="C2312" t="s">
        <v>107</v>
      </c>
      <c r="D2312" t="s">
        <v>108</v>
      </c>
      <c r="E2312" s="1">
        <v>44107</v>
      </c>
      <c r="F2312">
        <v>1</v>
      </c>
      <c r="G2312" t="s">
        <v>7</v>
      </c>
      <c r="H2312" t="s">
        <v>8</v>
      </c>
      <c r="I2312" s="3">
        <v>1240</v>
      </c>
      <c r="J2312" s="3">
        <v>1240</v>
      </c>
      <c r="K2312" s="3">
        <v>380</v>
      </c>
      <c r="L2312" t="s">
        <v>98</v>
      </c>
      <c r="M2312">
        <v>17</v>
      </c>
      <c r="N2312" t="s">
        <v>14</v>
      </c>
      <c r="O2312" t="s">
        <v>11</v>
      </c>
      <c r="P2312" t="s">
        <v>15</v>
      </c>
      <c r="Q2312" t="s">
        <v>16</v>
      </c>
      <c r="R2312" t="s">
        <v>16</v>
      </c>
      <c r="S2312" t="s">
        <v>144</v>
      </c>
      <c r="T2312" s="2">
        <f>MASTER[[#This Row],[CANTIDAD]]*MASTER[[#This Row],[PRECIO DE VENTA]]</f>
        <v>1240</v>
      </c>
      <c r="U2312" s="2">
        <f>MASTER[[#This Row],[CANTIDAD]]*MASTER[[#This Row],[COSTO UNITARIO]]</f>
        <v>380</v>
      </c>
      <c r="V2312" s="2">
        <f>MASTER[[#This Row],[MONTO VENDIDO]]-MASTER[[#This Row],[COSTO DE VENTA]]</f>
        <v>860</v>
      </c>
    </row>
    <row r="2313" spans="1:22" x14ac:dyDescent="0.3">
      <c r="A2313">
        <v>39781</v>
      </c>
      <c r="B2313">
        <v>1</v>
      </c>
      <c r="C2313" t="s">
        <v>99</v>
      </c>
      <c r="D2313" t="s">
        <v>100</v>
      </c>
      <c r="E2313" s="1">
        <v>44107</v>
      </c>
      <c r="F2313">
        <v>1</v>
      </c>
      <c r="G2313" t="s">
        <v>57</v>
      </c>
      <c r="H2313" t="s">
        <v>58</v>
      </c>
      <c r="I2313" s="3">
        <v>1678</v>
      </c>
      <c r="J2313" s="3">
        <v>1678</v>
      </c>
      <c r="K2313" s="3">
        <v>386</v>
      </c>
      <c r="L2313" t="s">
        <v>98</v>
      </c>
      <c r="M2313">
        <v>18</v>
      </c>
      <c r="N2313" t="s">
        <v>79</v>
      </c>
      <c r="O2313" t="s">
        <v>70</v>
      </c>
      <c r="P2313" t="s">
        <v>15</v>
      </c>
      <c r="Q2313" t="s">
        <v>16</v>
      </c>
      <c r="R2313" t="s">
        <v>16</v>
      </c>
      <c r="S2313" t="s">
        <v>144</v>
      </c>
      <c r="T2313" s="2">
        <f>MASTER[[#This Row],[CANTIDAD]]*MASTER[[#This Row],[PRECIO DE VENTA]]</f>
        <v>1678</v>
      </c>
      <c r="U2313" s="2">
        <f>MASTER[[#This Row],[CANTIDAD]]*MASTER[[#This Row],[COSTO UNITARIO]]</f>
        <v>386</v>
      </c>
      <c r="V2313" s="2">
        <f>MASTER[[#This Row],[MONTO VENDIDO]]-MASTER[[#This Row],[COSTO DE VENTA]]</f>
        <v>1292</v>
      </c>
    </row>
    <row r="2314" spans="1:22" x14ac:dyDescent="0.3">
      <c r="A2314">
        <v>39804</v>
      </c>
      <c r="B2314">
        <v>1</v>
      </c>
      <c r="C2314" t="s">
        <v>111</v>
      </c>
      <c r="D2314" t="s">
        <v>112</v>
      </c>
      <c r="E2314" s="1">
        <v>44107</v>
      </c>
      <c r="F2314">
        <v>1</v>
      </c>
      <c r="G2314" t="s">
        <v>47</v>
      </c>
      <c r="H2314" t="s">
        <v>48</v>
      </c>
      <c r="I2314" s="3">
        <v>1524</v>
      </c>
      <c r="J2314" s="3">
        <v>1524</v>
      </c>
      <c r="K2314" s="3">
        <v>434</v>
      </c>
      <c r="L2314" t="s">
        <v>113</v>
      </c>
      <c r="M2314">
        <v>12</v>
      </c>
      <c r="N2314" t="s">
        <v>26</v>
      </c>
      <c r="O2314" t="s">
        <v>11</v>
      </c>
      <c r="P2314" t="s">
        <v>12</v>
      </c>
      <c r="Q2314" t="s">
        <v>13</v>
      </c>
      <c r="R2314" t="s">
        <v>13</v>
      </c>
      <c r="S2314" t="s">
        <v>144</v>
      </c>
      <c r="T2314" s="2">
        <f>MASTER[[#This Row],[CANTIDAD]]*MASTER[[#This Row],[PRECIO DE VENTA]]</f>
        <v>1524</v>
      </c>
      <c r="U2314" s="2">
        <f>MASTER[[#This Row],[CANTIDAD]]*MASTER[[#This Row],[COSTO UNITARIO]]</f>
        <v>434</v>
      </c>
      <c r="V2314" s="2">
        <f>MASTER[[#This Row],[MONTO VENDIDO]]-MASTER[[#This Row],[COSTO DE VENTA]]</f>
        <v>1090</v>
      </c>
    </row>
    <row r="2315" spans="1:22" x14ac:dyDescent="0.3">
      <c r="A2315">
        <v>39820</v>
      </c>
      <c r="B2315">
        <v>1</v>
      </c>
      <c r="C2315" t="s">
        <v>90</v>
      </c>
      <c r="D2315" t="s">
        <v>91</v>
      </c>
      <c r="E2315" s="1">
        <v>44107</v>
      </c>
      <c r="F2315">
        <v>1</v>
      </c>
      <c r="G2315" t="s">
        <v>65</v>
      </c>
      <c r="H2315" t="s">
        <v>66</v>
      </c>
      <c r="I2315" s="3">
        <v>1844</v>
      </c>
      <c r="J2315" s="3">
        <v>1751</v>
      </c>
      <c r="K2315" s="3">
        <v>420</v>
      </c>
      <c r="L2315" t="s">
        <v>9</v>
      </c>
      <c r="M2315">
        <v>19</v>
      </c>
      <c r="N2315" t="s">
        <v>89</v>
      </c>
      <c r="O2315" t="s">
        <v>81</v>
      </c>
      <c r="P2315" t="s">
        <v>15</v>
      </c>
      <c r="Q2315" t="s">
        <v>16</v>
      </c>
      <c r="R2315" t="s">
        <v>16</v>
      </c>
      <c r="S2315" t="s">
        <v>144</v>
      </c>
      <c r="T2315" s="2">
        <f>MASTER[[#This Row],[CANTIDAD]]*MASTER[[#This Row],[PRECIO DE VENTA]]</f>
        <v>1751</v>
      </c>
      <c r="U2315" s="2">
        <f>MASTER[[#This Row],[CANTIDAD]]*MASTER[[#This Row],[COSTO UNITARIO]]</f>
        <v>420</v>
      </c>
      <c r="V2315" s="2">
        <f>MASTER[[#This Row],[MONTO VENDIDO]]-MASTER[[#This Row],[COSTO DE VENTA]]</f>
        <v>1331</v>
      </c>
    </row>
    <row r="2316" spans="1:22" x14ac:dyDescent="0.3">
      <c r="A2316">
        <v>39834</v>
      </c>
      <c r="B2316">
        <v>1</v>
      </c>
      <c r="C2316" t="s">
        <v>99</v>
      </c>
      <c r="D2316" t="s">
        <v>100</v>
      </c>
      <c r="E2316" s="1">
        <v>44107</v>
      </c>
      <c r="F2316">
        <v>4</v>
      </c>
      <c r="G2316" t="s">
        <v>47</v>
      </c>
      <c r="H2316" t="s">
        <v>48</v>
      </c>
      <c r="I2316" s="3">
        <v>1678</v>
      </c>
      <c r="J2316" s="3">
        <v>1678</v>
      </c>
      <c r="K2316" s="3">
        <v>386</v>
      </c>
      <c r="L2316" t="s">
        <v>98</v>
      </c>
      <c r="M2316">
        <v>6</v>
      </c>
      <c r="N2316" t="s">
        <v>75</v>
      </c>
      <c r="O2316" t="s">
        <v>70</v>
      </c>
      <c r="P2316" t="s">
        <v>12</v>
      </c>
      <c r="Q2316" t="s">
        <v>13</v>
      </c>
      <c r="R2316" t="s">
        <v>13</v>
      </c>
      <c r="S2316" t="s">
        <v>144</v>
      </c>
      <c r="T2316" s="2">
        <f>MASTER[[#This Row],[CANTIDAD]]*MASTER[[#This Row],[PRECIO DE VENTA]]</f>
        <v>6712</v>
      </c>
      <c r="U2316" s="2">
        <f>MASTER[[#This Row],[CANTIDAD]]*MASTER[[#This Row],[COSTO UNITARIO]]</f>
        <v>1544</v>
      </c>
      <c r="V2316" s="2">
        <f>MASTER[[#This Row],[MONTO VENDIDO]]-MASTER[[#This Row],[COSTO DE VENTA]]</f>
        <v>5168</v>
      </c>
    </row>
    <row r="2317" spans="1:22" x14ac:dyDescent="0.3">
      <c r="A2317">
        <v>39844</v>
      </c>
      <c r="B2317">
        <v>1</v>
      </c>
      <c r="C2317" t="s">
        <v>118</v>
      </c>
      <c r="D2317" t="s">
        <v>119</v>
      </c>
      <c r="E2317" s="1">
        <v>44107</v>
      </c>
      <c r="F2317">
        <v>1</v>
      </c>
      <c r="G2317" t="s">
        <v>57</v>
      </c>
      <c r="H2317" t="s">
        <v>58</v>
      </c>
      <c r="I2317" s="3">
        <v>900</v>
      </c>
      <c r="J2317" s="3">
        <v>900</v>
      </c>
      <c r="K2317" s="3">
        <v>424</v>
      </c>
      <c r="L2317" t="s">
        <v>120</v>
      </c>
      <c r="M2317">
        <v>7</v>
      </c>
      <c r="N2317" t="s">
        <v>84</v>
      </c>
      <c r="O2317" t="s">
        <v>81</v>
      </c>
      <c r="P2317" t="s">
        <v>12</v>
      </c>
      <c r="Q2317" t="s">
        <v>13</v>
      </c>
      <c r="R2317" t="s">
        <v>13</v>
      </c>
      <c r="S2317" t="s">
        <v>144</v>
      </c>
      <c r="T2317" s="2">
        <f>MASTER[[#This Row],[CANTIDAD]]*MASTER[[#This Row],[PRECIO DE VENTA]]</f>
        <v>900</v>
      </c>
      <c r="U2317" s="2">
        <f>MASTER[[#This Row],[CANTIDAD]]*MASTER[[#This Row],[COSTO UNITARIO]]</f>
        <v>424</v>
      </c>
      <c r="V2317" s="2">
        <f>MASTER[[#This Row],[MONTO VENDIDO]]-MASTER[[#This Row],[COSTO DE VENTA]]</f>
        <v>476</v>
      </c>
    </row>
    <row r="2318" spans="1:22" x14ac:dyDescent="0.3">
      <c r="A2318">
        <v>39898</v>
      </c>
      <c r="B2318">
        <v>1</v>
      </c>
      <c r="C2318" t="s">
        <v>90</v>
      </c>
      <c r="D2318" t="s">
        <v>91</v>
      </c>
      <c r="E2318" s="1">
        <v>44107</v>
      </c>
      <c r="F2318">
        <v>1</v>
      </c>
      <c r="G2318" t="s">
        <v>41</v>
      </c>
      <c r="H2318" t="s">
        <v>42</v>
      </c>
      <c r="I2318" s="3">
        <v>1844</v>
      </c>
      <c r="J2318" s="3">
        <v>1844</v>
      </c>
      <c r="K2318" s="3">
        <v>420</v>
      </c>
      <c r="L2318" t="s">
        <v>9</v>
      </c>
      <c r="M2318">
        <v>7</v>
      </c>
      <c r="N2318" t="s">
        <v>84</v>
      </c>
      <c r="O2318" t="s">
        <v>81</v>
      </c>
      <c r="P2318" t="s">
        <v>12</v>
      </c>
      <c r="Q2318" t="s">
        <v>13</v>
      </c>
      <c r="R2318" t="s">
        <v>13</v>
      </c>
      <c r="S2318" t="s">
        <v>144</v>
      </c>
      <c r="T2318" s="2">
        <f>MASTER[[#This Row],[CANTIDAD]]*MASTER[[#This Row],[PRECIO DE VENTA]]</f>
        <v>1844</v>
      </c>
      <c r="U2318" s="2">
        <f>MASTER[[#This Row],[CANTIDAD]]*MASTER[[#This Row],[COSTO UNITARIO]]</f>
        <v>420</v>
      </c>
      <c r="V2318" s="2">
        <f>MASTER[[#This Row],[MONTO VENDIDO]]-MASTER[[#This Row],[COSTO DE VENTA]]</f>
        <v>1424</v>
      </c>
    </row>
    <row r="2319" spans="1:22" x14ac:dyDescent="0.3">
      <c r="A2319">
        <v>39900</v>
      </c>
      <c r="B2319">
        <v>1</v>
      </c>
      <c r="C2319" t="s">
        <v>109</v>
      </c>
      <c r="D2319" t="s">
        <v>110</v>
      </c>
      <c r="E2319" s="1">
        <v>44107</v>
      </c>
      <c r="F2319">
        <v>1</v>
      </c>
      <c r="G2319" t="s">
        <v>35</v>
      </c>
      <c r="H2319" t="s">
        <v>36</v>
      </c>
      <c r="I2319" s="3">
        <v>1128</v>
      </c>
      <c r="J2319" s="3">
        <v>1128</v>
      </c>
      <c r="K2319" s="3">
        <v>387</v>
      </c>
      <c r="L2319" t="s">
        <v>98</v>
      </c>
      <c r="M2319">
        <v>6</v>
      </c>
      <c r="N2319" t="s">
        <v>75</v>
      </c>
      <c r="O2319" t="s">
        <v>70</v>
      </c>
      <c r="P2319" t="s">
        <v>12</v>
      </c>
      <c r="Q2319" t="s">
        <v>13</v>
      </c>
      <c r="R2319" t="s">
        <v>13</v>
      </c>
      <c r="S2319" t="s">
        <v>144</v>
      </c>
      <c r="T2319" s="2">
        <f>MASTER[[#This Row],[CANTIDAD]]*MASTER[[#This Row],[PRECIO DE VENTA]]</f>
        <v>1128</v>
      </c>
      <c r="U2319" s="2">
        <f>MASTER[[#This Row],[CANTIDAD]]*MASTER[[#This Row],[COSTO UNITARIO]]</f>
        <v>387</v>
      </c>
      <c r="V2319" s="2">
        <f>MASTER[[#This Row],[MONTO VENDIDO]]-MASTER[[#This Row],[COSTO DE VENTA]]</f>
        <v>741</v>
      </c>
    </row>
    <row r="2320" spans="1:22" x14ac:dyDescent="0.3">
      <c r="A2320">
        <v>39903</v>
      </c>
      <c r="B2320">
        <v>1</v>
      </c>
      <c r="C2320" t="s">
        <v>99</v>
      </c>
      <c r="D2320" t="s">
        <v>100</v>
      </c>
      <c r="E2320" s="1">
        <v>44108</v>
      </c>
      <c r="F2320">
        <v>1</v>
      </c>
      <c r="G2320" t="s">
        <v>65</v>
      </c>
      <c r="H2320" t="s">
        <v>66</v>
      </c>
      <c r="I2320" s="3">
        <v>1328</v>
      </c>
      <c r="J2320" s="3">
        <v>1328</v>
      </c>
      <c r="K2320" s="3">
        <v>386</v>
      </c>
      <c r="L2320" t="s">
        <v>98</v>
      </c>
      <c r="M2320">
        <v>17</v>
      </c>
      <c r="N2320" t="s">
        <v>14</v>
      </c>
      <c r="O2320" t="s">
        <v>11</v>
      </c>
      <c r="P2320" t="s">
        <v>15</v>
      </c>
      <c r="Q2320" t="s">
        <v>16</v>
      </c>
      <c r="R2320" t="s">
        <v>16</v>
      </c>
      <c r="S2320" t="s">
        <v>144</v>
      </c>
      <c r="T2320" s="2">
        <f>MASTER[[#This Row],[CANTIDAD]]*MASTER[[#This Row],[PRECIO DE VENTA]]</f>
        <v>1328</v>
      </c>
      <c r="U2320" s="2">
        <f>MASTER[[#This Row],[CANTIDAD]]*MASTER[[#This Row],[COSTO UNITARIO]]</f>
        <v>386</v>
      </c>
      <c r="V2320" s="2">
        <f>MASTER[[#This Row],[MONTO VENDIDO]]-MASTER[[#This Row],[COSTO DE VENTA]]</f>
        <v>942</v>
      </c>
    </row>
    <row r="2321" spans="1:22" x14ac:dyDescent="0.3">
      <c r="A2321">
        <v>39904</v>
      </c>
      <c r="B2321">
        <v>1</v>
      </c>
      <c r="C2321" t="s">
        <v>94</v>
      </c>
      <c r="D2321" t="s">
        <v>95</v>
      </c>
      <c r="E2321" s="1">
        <v>44108</v>
      </c>
      <c r="F2321">
        <v>2</v>
      </c>
      <c r="G2321" t="s">
        <v>27</v>
      </c>
      <c r="H2321" t="s">
        <v>28</v>
      </c>
      <c r="I2321" s="3">
        <v>1153</v>
      </c>
      <c r="J2321" s="3">
        <v>1153</v>
      </c>
      <c r="K2321" s="3">
        <v>392</v>
      </c>
      <c r="L2321" t="s">
        <v>9</v>
      </c>
      <c r="M2321">
        <v>9</v>
      </c>
      <c r="N2321" t="s">
        <v>76</v>
      </c>
      <c r="O2321" t="s">
        <v>70</v>
      </c>
      <c r="P2321" t="s">
        <v>12</v>
      </c>
      <c r="Q2321" t="s">
        <v>13</v>
      </c>
      <c r="R2321" t="s">
        <v>13</v>
      </c>
      <c r="S2321" t="s">
        <v>144</v>
      </c>
      <c r="T2321" s="2">
        <f>MASTER[[#This Row],[CANTIDAD]]*MASTER[[#This Row],[PRECIO DE VENTA]]</f>
        <v>2306</v>
      </c>
      <c r="U2321" s="2">
        <f>MASTER[[#This Row],[CANTIDAD]]*MASTER[[#This Row],[COSTO UNITARIO]]</f>
        <v>784</v>
      </c>
      <c r="V2321" s="2">
        <f>MASTER[[#This Row],[MONTO VENDIDO]]-MASTER[[#This Row],[COSTO DE VENTA]]</f>
        <v>1522</v>
      </c>
    </row>
    <row r="2322" spans="1:22" x14ac:dyDescent="0.3">
      <c r="A2322">
        <v>39923</v>
      </c>
      <c r="B2322">
        <v>1</v>
      </c>
      <c r="C2322" t="s">
        <v>90</v>
      </c>
      <c r="D2322" t="s">
        <v>91</v>
      </c>
      <c r="E2322" s="1">
        <v>44108</v>
      </c>
      <c r="F2322">
        <v>1</v>
      </c>
      <c r="G2322" t="s">
        <v>31</v>
      </c>
      <c r="H2322" t="s">
        <v>32</v>
      </c>
      <c r="I2322" s="3">
        <v>1844</v>
      </c>
      <c r="J2322" s="3">
        <v>1844</v>
      </c>
      <c r="K2322" s="3">
        <v>420</v>
      </c>
      <c r="L2322" t="s">
        <v>9</v>
      </c>
      <c r="M2322">
        <v>15</v>
      </c>
      <c r="N2322" t="s">
        <v>88</v>
      </c>
      <c r="O2322" t="s">
        <v>81</v>
      </c>
      <c r="P2322" t="s">
        <v>18</v>
      </c>
      <c r="Q2322" t="s">
        <v>19</v>
      </c>
      <c r="R2322" t="s">
        <v>138</v>
      </c>
      <c r="S2322" t="s">
        <v>144</v>
      </c>
      <c r="T2322" s="2">
        <f>MASTER[[#This Row],[CANTIDAD]]*MASTER[[#This Row],[PRECIO DE VENTA]]</f>
        <v>1844</v>
      </c>
      <c r="U2322" s="2">
        <f>MASTER[[#This Row],[CANTIDAD]]*MASTER[[#This Row],[COSTO UNITARIO]]</f>
        <v>420</v>
      </c>
      <c r="V2322" s="2">
        <f>MASTER[[#This Row],[MONTO VENDIDO]]-MASTER[[#This Row],[COSTO DE VENTA]]</f>
        <v>1424</v>
      </c>
    </row>
    <row r="2323" spans="1:22" x14ac:dyDescent="0.3">
      <c r="A2323">
        <v>39942</v>
      </c>
      <c r="B2323">
        <v>2</v>
      </c>
      <c r="C2323" t="s">
        <v>94</v>
      </c>
      <c r="D2323" t="s">
        <v>95</v>
      </c>
      <c r="E2323" s="1">
        <v>44108</v>
      </c>
      <c r="F2323">
        <v>1</v>
      </c>
      <c r="G2323" t="s">
        <v>59</v>
      </c>
      <c r="H2323" t="s">
        <v>60</v>
      </c>
      <c r="I2323" s="3">
        <v>1048</v>
      </c>
      <c r="J2323" s="3">
        <v>1048</v>
      </c>
      <c r="K2323" s="3">
        <v>392</v>
      </c>
      <c r="L2323" t="s">
        <v>9</v>
      </c>
      <c r="M2323">
        <v>14</v>
      </c>
      <c r="N2323" t="s">
        <v>87</v>
      </c>
      <c r="O2323" t="s">
        <v>81</v>
      </c>
      <c r="P2323" t="s">
        <v>18</v>
      </c>
      <c r="Q2323" t="s">
        <v>19</v>
      </c>
      <c r="R2323" t="s">
        <v>138</v>
      </c>
      <c r="S2323" t="s">
        <v>144</v>
      </c>
      <c r="T2323" s="2">
        <f>MASTER[[#This Row],[CANTIDAD]]*MASTER[[#This Row],[PRECIO DE VENTA]]</f>
        <v>1048</v>
      </c>
      <c r="U2323" s="2">
        <f>MASTER[[#This Row],[CANTIDAD]]*MASTER[[#This Row],[COSTO UNITARIO]]</f>
        <v>392</v>
      </c>
      <c r="V2323" s="2">
        <f>MASTER[[#This Row],[MONTO VENDIDO]]-MASTER[[#This Row],[COSTO DE VENTA]]</f>
        <v>656</v>
      </c>
    </row>
    <row r="2324" spans="1:22" x14ac:dyDescent="0.3">
      <c r="A2324">
        <v>39942</v>
      </c>
      <c r="B2324">
        <v>1</v>
      </c>
      <c r="C2324" t="s">
        <v>107</v>
      </c>
      <c r="D2324" t="s">
        <v>108</v>
      </c>
      <c r="E2324" s="1">
        <v>44108</v>
      </c>
      <c r="F2324">
        <v>1</v>
      </c>
      <c r="G2324" t="s">
        <v>59</v>
      </c>
      <c r="H2324" t="s">
        <v>60</v>
      </c>
      <c r="I2324" s="3">
        <v>1333</v>
      </c>
      <c r="J2324" s="3">
        <v>1333</v>
      </c>
      <c r="K2324" s="3">
        <v>380</v>
      </c>
      <c r="L2324" t="s">
        <v>98</v>
      </c>
      <c r="M2324">
        <v>14</v>
      </c>
      <c r="N2324" t="s">
        <v>87</v>
      </c>
      <c r="O2324" t="s">
        <v>81</v>
      </c>
      <c r="P2324" t="s">
        <v>18</v>
      </c>
      <c r="Q2324" t="s">
        <v>19</v>
      </c>
      <c r="R2324" t="s">
        <v>138</v>
      </c>
      <c r="S2324" t="s">
        <v>144</v>
      </c>
      <c r="T2324" s="2">
        <f>MASTER[[#This Row],[CANTIDAD]]*MASTER[[#This Row],[PRECIO DE VENTA]]</f>
        <v>1333</v>
      </c>
      <c r="U2324" s="2">
        <f>MASTER[[#This Row],[CANTIDAD]]*MASTER[[#This Row],[COSTO UNITARIO]]</f>
        <v>380</v>
      </c>
      <c r="V2324" s="2">
        <f>MASTER[[#This Row],[MONTO VENDIDO]]-MASTER[[#This Row],[COSTO DE VENTA]]</f>
        <v>953</v>
      </c>
    </row>
    <row r="2325" spans="1:22" x14ac:dyDescent="0.3">
      <c r="A2325">
        <v>39956</v>
      </c>
      <c r="B2325">
        <v>1</v>
      </c>
      <c r="C2325" t="s">
        <v>114</v>
      </c>
      <c r="D2325" t="s">
        <v>115</v>
      </c>
      <c r="E2325" s="1">
        <v>44109</v>
      </c>
      <c r="F2325">
        <v>1</v>
      </c>
      <c r="G2325" t="s">
        <v>65</v>
      </c>
      <c r="H2325" t="s">
        <v>66</v>
      </c>
      <c r="I2325" s="3">
        <v>1583</v>
      </c>
      <c r="J2325" s="3">
        <v>1583</v>
      </c>
      <c r="K2325" s="3">
        <v>394</v>
      </c>
      <c r="L2325" t="s">
        <v>113</v>
      </c>
      <c r="M2325">
        <v>16</v>
      </c>
      <c r="N2325" t="s">
        <v>17</v>
      </c>
      <c r="O2325" t="s">
        <v>11</v>
      </c>
      <c r="P2325" t="s">
        <v>18</v>
      </c>
      <c r="Q2325" t="s">
        <v>19</v>
      </c>
      <c r="R2325" t="s">
        <v>138</v>
      </c>
      <c r="S2325" t="s">
        <v>144</v>
      </c>
      <c r="T2325" s="2">
        <f>MASTER[[#This Row],[CANTIDAD]]*MASTER[[#This Row],[PRECIO DE VENTA]]</f>
        <v>1583</v>
      </c>
      <c r="U2325" s="2">
        <f>MASTER[[#This Row],[CANTIDAD]]*MASTER[[#This Row],[COSTO UNITARIO]]</f>
        <v>394</v>
      </c>
      <c r="V2325" s="2">
        <f>MASTER[[#This Row],[MONTO VENDIDO]]-MASTER[[#This Row],[COSTO DE VENTA]]</f>
        <v>1189</v>
      </c>
    </row>
    <row r="2326" spans="1:22" x14ac:dyDescent="0.3">
      <c r="A2326">
        <v>39970</v>
      </c>
      <c r="B2326">
        <v>1</v>
      </c>
      <c r="C2326" t="s">
        <v>96</v>
      </c>
      <c r="D2326" t="s">
        <v>97</v>
      </c>
      <c r="E2326" s="1">
        <v>44109</v>
      </c>
      <c r="F2326">
        <v>3</v>
      </c>
      <c r="G2326" t="s">
        <v>27</v>
      </c>
      <c r="H2326" t="s">
        <v>28</v>
      </c>
      <c r="I2326" s="3">
        <v>1196</v>
      </c>
      <c r="J2326" s="3">
        <v>1196</v>
      </c>
      <c r="K2326" s="3">
        <v>397</v>
      </c>
      <c r="L2326" t="s">
        <v>98</v>
      </c>
      <c r="M2326">
        <v>17</v>
      </c>
      <c r="N2326" t="s">
        <v>14</v>
      </c>
      <c r="O2326" t="s">
        <v>11</v>
      </c>
      <c r="P2326" t="s">
        <v>15</v>
      </c>
      <c r="Q2326" t="s">
        <v>16</v>
      </c>
      <c r="R2326" t="s">
        <v>16</v>
      </c>
      <c r="S2326" t="s">
        <v>144</v>
      </c>
      <c r="T2326" s="2">
        <f>MASTER[[#This Row],[CANTIDAD]]*MASTER[[#This Row],[PRECIO DE VENTA]]</f>
        <v>3588</v>
      </c>
      <c r="U2326" s="2">
        <f>MASTER[[#This Row],[CANTIDAD]]*MASTER[[#This Row],[COSTO UNITARIO]]</f>
        <v>1191</v>
      </c>
      <c r="V2326" s="2">
        <f>MASTER[[#This Row],[MONTO VENDIDO]]-MASTER[[#This Row],[COSTO DE VENTA]]</f>
        <v>2397</v>
      </c>
    </row>
    <row r="2327" spans="1:22" x14ac:dyDescent="0.3">
      <c r="A2327">
        <v>39984</v>
      </c>
      <c r="B2327">
        <v>1</v>
      </c>
      <c r="C2327" t="s">
        <v>114</v>
      </c>
      <c r="D2327" t="s">
        <v>115</v>
      </c>
      <c r="E2327" s="1">
        <v>44109</v>
      </c>
      <c r="F2327">
        <v>1</v>
      </c>
      <c r="G2327" t="s">
        <v>37</v>
      </c>
      <c r="H2327" t="s">
        <v>38</v>
      </c>
      <c r="I2327" s="3">
        <v>2030</v>
      </c>
      <c r="J2327" s="3">
        <v>2030</v>
      </c>
      <c r="K2327" s="3">
        <v>394</v>
      </c>
      <c r="L2327" t="s">
        <v>113</v>
      </c>
      <c r="M2327">
        <v>3</v>
      </c>
      <c r="N2327" t="s">
        <v>69</v>
      </c>
      <c r="O2327" t="s">
        <v>70</v>
      </c>
      <c r="P2327" t="s">
        <v>71</v>
      </c>
      <c r="Q2327" t="s">
        <v>72</v>
      </c>
      <c r="R2327" t="s">
        <v>139</v>
      </c>
      <c r="S2327" t="s">
        <v>144</v>
      </c>
      <c r="T2327" s="2">
        <f>MASTER[[#This Row],[CANTIDAD]]*MASTER[[#This Row],[PRECIO DE VENTA]]</f>
        <v>2030</v>
      </c>
      <c r="U2327" s="2">
        <f>MASTER[[#This Row],[CANTIDAD]]*MASTER[[#This Row],[COSTO UNITARIO]]</f>
        <v>394</v>
      </c>
      <c r="V2327" s="2">
        <f>MASTER[[#This Row],[MONTO VENDIDO]]-MASTER[[#This Row],[COSTO DE VENTA]]</f>
        <v>1636</v>
      </c>
    </row>
    <row r="2328" spans="1:22" x14ac:dyDescent="0.3">
      <c r="A2328">
        <v>40008</v>
      </c>
      <c r="B2328">
        <v>1</v>
      </c>
      <c r="C2328" t="s">
        <v>5</v>
      </c>
      <c r="D2328" t="s">
        <v>6</v>
      </c>
      <c r="E2328" s="1">
        <v>44109</v>
      </c>
      <c r="F2328">
        <v>1</v>
      </c>
      <c r="G2328" t="s">
        <v>33</v>
      </c>
      <c r="H2328" t="s">
        <v>34</v>
      </c>
      <c r="I2328" s="3">
        <v>1296</v>
      </c>
      <c r="J2328" s="3">
        <v>1296</v>
      </c>
      <c r="K2328" s="3">
        <v>393</v>
      </c>
      <c r="L2328" t="s">
        <v>9</v>
      </c>
      <c r="M2328">
        <v>6</v>
      </c>
      <c r="N2328" t="s">
        <v>75</v>
      </c>
      <c r="O2328" t="s">
        <v>70</v>
      </c>
      <c r="P2328" t="s">
        <v>12</v>
      </c>
      <c r="Q2328" t="s">
        <v>13</v>
      </c>
      <c r="R2328" t="s">
        <v>13</v>
      </c>
      <c r="S2328" t="s">
        <v>144</v>
      </c>
      <c r="T2328" s="2">
        <f>MASTER[[#This Row],[CANTIDAD]]*MASTER[[#This Row],[PRECIO DE VENTA]]</f>
        <v>1296</v>
      </c>
      <c r="U2328" s="2">
        <f>MASTER[[#This Row],[CANTIDAD]]*MASTER[[#This Row],[COSTO UNITARIO]]</f>
        <v>393</v>
      </c>
      <c r="V2328" s="2">
        <f>MASTER[[#This Row],[MONTO VENDIDO]]-MASTER[[#This Row],[COSTO DE VENTA]]</f>
        <v>903</v>
      </c>
    </row>
    <row r="2329" spans="1:22" x14ac:dyDescent="0.3">
      <c r="A2329">
        <v>40032</v>
      </c>
      <c r="B2329">
        <v>1</v>
      </c>
      <c r="C2329" t="s">
        <v>105</v>
      </c>
      <c r="D2329" t="s">
        <v>106</v>
      </c>
      <c r="E2329" s="1">
        <v>44110</v>
      </c>
      <c r="F2329">
        <v>1</v>
      </c>
      <c r="G2329" t="s">
        <v>29</v>
      </c>
      <c r="H2329" t="s">
        <v>30</v>
      </c>
      <c r="I2329" s="3">
        <v>1865</v>
      </c>
      <c r="J2329" s="3">
        <v>1865</v>
      </c>
      <c r="K2329" s="3">
        <v>459</v>
      </c>
      <c r="L2329" t="s">
        <v>98</v>
      </c>
      <c r="M2329">
        <v>19</v>
      </c>
      <c r="N2329" t="s">
        <v>89</v>
      </c>
      <c r="O2329" t="s">
        <v>81</v>
      </c>
      <c r="P2329" t="s">
        <v>15</v>
      </c>
      <c r="Q2329" t="s">
        <v>16</v>
      </c>
      <c r="R2329" t="s">
        <v>16</v>
      </c>
      <c r="S2329" t="s">
        <v>144</v>
      </c>
      <c r="T2329" s="2">
        <f>MASTER[[#This Row],[CANTIDAD]]*MASTER[[#This Row],[PRECIO DE VENTA]]</f>
        <v>1865</v>
      </c>
      <c r="U2329" s="2">
        <f>MASTER[[#This Row],[CANTIDAD]]*MASTER[[#This Row],[COSTO UNITARIO]]</f>
        <v>459</v>
      </c>
      <c r="V2329" s="2">
        <f>MASTER[[#This Row],[MONTO VENDIDO]]-MASTER[[#This Row],[COSTO DE VENTA]]</f>
        <v>1406</v>
      </c>
    </row>
    <row r="2330" spans="1:22" x14ac:dyDescent="0.3">
      <c r="A2330">
        <v>40052</v>
      </c>
      <c r="B2330">
        <v>1</v>
      </c>
      <c r="C2330" t="s">
        <v>121</v>
      </c>
      <c r="D2330" t="s">
        <v>122</v>
      </c>
      <c r="E2330" s="1">
        <v>44110</v>
      </c>
      <c r="F2330">
        <v>1</v>
      </c>
      <c r="G2330" t="s">
        <v>63</v>
      </c>
      <c r="H2330" t="s">
        <v>64</v>
      </c>
      <c r="I2330" s="3">
        <v>941</v>
      </c>
      <c r="J2330" s="3">
        <v>941</v>
      </c>
      <c r="K2330" s="3">
        <v>460</v>
      </c>
      <c r="L2330" t="s">
        <v>120</v>
      </c>
      <c r="M2330">
        <v>16</v>
      </c>
      <c r="N2330" t="s">
        <v>17</v>
      </c>
      <c r="O2330" t="s">
        <v>11</v>
      </c>
      <c r="P2330" t="s">
        <v>18</v>
      </c>
      <c r="Q2330" t="s">
        <v>19</v>
      </c>
      <c r="R2330" t="s">
        <v>138</v>
      </c>
      <c r="S2330" t="s">
        <v>144</v>
      </c>
      <c r="T2330" s="2">
        <f>MASTER[[#This Row],[CANTIDAD]]*MASTER[[#This Row],[PRECIO DE VENTA]]</f>
        <v>941</v>
      </c>
      <c r="U2330" s="2">
        <f>MASTER[[#This Row],[CANTIDAD]]*MASTER[[#This Row],[COSTO UNITARIO]]</f>
        <v>460</v>
      </c>
      <c r="V2330" s="2">
        <f>MASTER[[#This Row],[MONTO VENDIDO]]-MASTER[[#This Row],[COSTO DE VENTA]]</f>
        <v>481</v>
      </c>
    </row>
    <row r="2331" spans="1:22" x14ac:dyDescent="0.3">
      <c r="A2331">
        <v>40055</v>
      </c>
      <c r="B2331">
        <v>1</v>
      </c>
      <c r="C2331" t="s">
        <v>101</v>
      </c>
      <c r="D2331" t="s">
        <v>102</v>
      </c>
      <c r="E2331" s="1">
        <v>44110</v>
      </c>
      <c r="F2331">
        <v>1</v>
      </c>
      <c r="G2331" t="s">
        <v>67</v>
      </c>
      <c r="H2331" t="s">
        <v>68</v>
      </c>
      <c r="I2331" s="3">
        <v>1357</v>
      </c>
      <c r="J2331" s="3">
        <v>1289</v>
      </c>
      <c r="K2331" s="3">
        <v>442</v>
      </c>
      <c r="L2331" t="s">
        <v>98</v>
      </c>
      <c r="M2331">
        <v>9</v>
      </c>
      <c r="N2331" t="s">
        <v>76</v>
      </c>
      <c r="O2331" t="s">
        <v>70</v>
      </c>
      <c r="P2331" t="s">
        <v>12</v>
      </c>
      <c r="Q2331" t="s">
        <v>13</v>
      </c>
      <c r="R2331" t="s">
        <v>13</v>
      </c>
      <c r="S2331" t="s">
        <v>144</v>
      </c>
      <c r="T2331" s="2">
        <f>MASTER[[#This Row],[CANTIDAD]]*MASTER[[#This Row],[PRECIO DE VENTA]]</f>
        <v>1289</v>
      </c>
      <c r="U2331" s="2">
        <f>MASTER[[#This Row],[CANTIDAD]]*MASTER[[#This Row],[COSTO UNITARIO]]</f>
        <v>442</v>
      </c>
      <c r="V2331" s="2">
        <f>MASTER[[#This Row],[MONTO VENDIDO]]-MASTER[[#This Row],[COSTO DE VENTA]]</f>
        <v>847</v>
      </c>
    </row>
    <row r="2332" spans="1:22" x14ac:dyDescent="0.3">
      <c r="A2332">
        <v>40059</v>
      </c>
      <c r="B2332">
        <v>1</v>
      </c>
      <c r="C2332" t="s">
        <v>5</v>
      </c>
      <c r="D2332" t="s">
        <v>6</v>
      </c>
      <c r="E2332" s="1">
        <v>44110</v>
      </c>
      <c r="F2332">
        <v>1</v>
      </c>
      <c r="G2332" t="s">
        <v>53</v>
      </c>
      <c r="H2332" t="s">
        <v>54</v>
      </c>
      <c r="I2332" s="3">
        <v>1311</v>
      </c>
      <c r="J2332" s="3">
        <v>1311</v>
      </c>
      <c r="K2332" s="3">
        <v>393</v>
      </c>
      <c r="L2332" t="s">
        <v>9</v>
      </c>
      <c r="M2332">
        <v>12</v>
      </c>
      <c r="N2332" t="s">
        <v>26</v>
      </c>
      <c r="O2332" t="s">
        <v>11</v>
      </c>
      <c r="P2332" t="s">
        <v>12</v>
      </c>
      <c r="Q2332" t="s">
        <v>13</v>
      </c>
      <c r="R2332" t="s">
        <v>13</v>
      </c>
      <c r="S2332" t="s">
        <v>144</v>
      </c>
      <c r="T2332" s="2">
        <f>MASTER[[#This Row],[CANTIDAD]]*MASTER[[#This Row],[PRECIO DE VENTA]]</f>
        <v>1311</v>
      </c>
      <c r="U2332" s="2">
        <f>MASTER[[#This Row],[CANTIDAD]]*MASTER[[#This Row],[COSTO UNITARIO]]</f>
        <v>393</v>
      </c>
      <c r="V2332" s="2">
        <f>MASTER[[#This Row],[MONTO VENDIDO]]-MASTER[[#This Row],[COSTO DE VENTA]]</f>
        <v>918</v>
      </c>
    </row>
    <row r="2333" spans="1:22" x14ac:dyDescent="0.3">
      <c r="A2333">
        <v>40071</v>
      </c>
      <c r="B2333">
        <v>1</v>
      </c>
      <c r="C2333" t="s">
        <v>92</v>
      </c>
      <c r="D2333" t="s">
        <v>93</v>
      </c>
      <c r="E2333" s="1">
        <v>44110</v>
      </c>
      <c r="F2333">
        <v>1</v>
      </c>
      <c r="G2333" t="s">
        <v>39</v>
      </c>
      <c r="H2333" t="s">
        <v>40</v>
      </c>
      <c r="I2333" s="3">
        <v>1479</v>
      </c>
      <c r="J2333" s="3">
        <v>1479</v>
      </c>
      <c r="K2333" s="3">
        <v>396</v>
      </c>
      <c r="L2333" t="s">
        <v>9</v>
      </c>
      <c r="M2333">
        <v>17</v>
      </c>
      <c r="N2333" t="s">
        <v>14</v>
      </c>
      <c r="O2333" t="s">
        <v>11</v>
      </c>
      <c r="P2333" t="s">
        <v>15</v>
      </c>
      <c r="Q2333" t="s">
        <v>16</v>
      </c>
      <c r="R2333" t="s">
        <v>16</v>
      </c>
      <c r="S2333" t="s">
        <v>144</v>
      </c>
      <c r="T2333" s="2">
        <f>MASTER[[#This Row],[CANTIDAD]]*MASTER[[#This Row],[PRECIO DE VENTA]]</f>
        <v>1479</v>
      </c>
      <c r="U2333" s="2">
        <f>MASTER[[#This Row],[CANTIDAD]]*MASTER[[#This Row],[COSTO UNITARIO]]</f>
        <v>396</v>
      </c>
      <c r="V2333" s="2">
        <f>MASTER[[#This Row],[MONTO VENDIDO]]-MASTER[[#This Row],[COSTO DE VENTA]]</f>
        <v>1083</v>
      </c>
    </row>
    <row r="2334" spans="1:22" x14ac:dyDescent="0.3">
      <c r="A2334">
        <v>40081</v>
      </c>
      <c r="B2334">
        <v>1</v>
      </c>
      <c r="C2334" t="s">
        <v>109</v>
      </c>
      <c r="D2334" t="s">
        <v>110</v>
      </c>
      <c r="E2334" s="1">
        <v>44111</v>
      </c>
      <c r="F2334">
        <v>1</v>
      </c>
      <c r="G2334" t="s">
        <v>33</v>
      </c>
      <c r="H2334" t="s">
        <v>34</v>
      </c>
      <c r="I2334" s="3">
        <v>947</v>
      </c>
      <c r="J2334" s="3">
        <v>947</v>
      </c>
      <c r="K2334" s="3">
        <v>387</v>
      </c>
      <c r="L2334" t="s">
        <v>98</v>
      </c>
      <c r="M2334">
        <v>12</v>
      </c>
      <c r="N2334" t="s">
        <v>26</v>
      </c>
      <c r="O2334" t="s">
        <v>11</v>
      </c>
      <c r="P2334" t="s">
        <v>12</v>
      </c>
      <c r="Q2334" t="s">
        <v>13</v>
      </c>
      <c r="R2334" t="s">
        <v>13</v>
      </c>
      <c r="S2334" t="s">
        <v>144</v>
      </c>
      <c r="T2334" s="2">
        <f>MASTER[[#This Row],[CANTIDAD]]*MASTER[[#This Row],[PRECIO DE VENTA]]</f>
        <v>947</v>
      </c>
      <c r="U2334" s="2">
        <f>MASTER[[#This Row],[CANTIDAD]]*MASTER[[#This Row],[COSTO UNITARIO]]</f>
        <v>387</v>
      </c>
      <c r="V2334" s="2">
        <f>MASTER[[#This Row],[MONTO VENDIDO]]-MASTER[[#This Row],[COSTO DE VENTA]]</f>
        <v>560</v>
      </c>
    </row>
    <row r="2335" spans="1:22" x14ac:dyDescent="0.3">
      <c r="A2335">
        <v>40083</v>
      </c>
      <c r="B2335">
        <v>1</v>
      </c>
      <c r="C2335" t="s">
        <v>105</v>
      </c>
      <c r="D2335" t="s">
        <v>106</v>
      </c>
      <c r="E2335" s="1">
        <v>44111</v>
      </c>
      <c r="F2335">
        <v>1</v>
      </c>
      <c r="G2335" t="s">
        <v>35</v>
      </c>
      <c r="H2335" t="s">
        <v>36</v>
      </c>
      <c r="I2335" s="3">
        <v>2033</v>
      </c>
      <c r="J2335" s="3">
        <v>2033</v>
      </c>
      <c r="K2335" s="3">
        <v>459</v>
      </c>
      <c r="L2335" t="s">
        <v>98</v>
      </c>
      <c r="M2335">
        <v>6</v>
      </c>
      <c r="N2335" t="s">
        <v>75</v>
      </c>
      <c r="O2335" t="s">
        <v>70</v>
      </c>
      <c r="P2335" t="s">
        <v>12</v>
      </c>
      <c r="Q2335" t="s">
        <v>13</v>
      </c>
      <c r="R2335" t="s">
        <v>13</v>
      </c>
      <c r="S2335" t="s">
        <v>144</v>
      </c>
      <c r="T2335" s="2">
        <f>MASTER[[#This Row],[CANTIDAD]]*MASTER[[#This Row],[PRECIO DE VENTA]]</f>
        <v>2033</v>
      </c>
      <c r="U2335" s="2">
        <f>MASTER[[#This Row],[CANTIDAD]]*MASTER[[#This Row],[COSTO UNITARIO]]</f>
        <v>459</v>
      </c>
      <c r="V2335" s="2">
        <f>MASTER[[#This Row],[MONTO VENDIDO]]-MASTER[[#This Row],[COSTO DE VENTA]]</f>
        <v>1574</v>
      </c>
    </row>
    <row r="2336" spans="1:22" x14ac:dyDescent="0.3">
      <c r="A2336">
        <v>40109</v>
      </c>
      <c r="B2336">
        <v>1</v>
      </c>
      <c r="C2336" t="s">
        <v>118</v>
      </c>
      <c r="D2336" t="s">
        <v>119</v>
      </c>
      <c r="E2336" s="1">
        <v>44111</v>
      </c>
      <c r="F2336">
        <v>1</v>
      </c>
      <c r="G2336" t="s">
        <v>43</v>
      </c>
      <c r="H2336" t="s">
        <v>44</v>
      </c>
      <c r="I2336" s="3">
        <v>900</v>
      </c>
      <c r="J2336" s="3">
        <v>900</v>
      </c>
      <c r="K2336" s="3">
        <v>424</v>
      </c>
      <c r="L2336" t="s">
        <v>120</v>
      </c>
      <c r="M2336">
        <v>5</v>
      </c>
      <c r="N2336" t="s">
        <v>85</v>
      </c>
      <c r="O2336" t="s">
        <v>81</v>
      </c>
      <c r="P2336" t="s">
        <v>12</v>
      </c>
      <c r="Q2336" t="s">
        <v>13</v>
      </c>
      <c r="R2336" t="s">
        <v>13</v>
      </c>
      <c r="S2336" t="s">
        <v>144</v>
      </c>
      <c r="T2336" s="2">
        <f>MASTER[[#This Row],[CANTIDAD]]*MASTER[[#This Row],[PRECIO DE VENTA]]</f>
        <v>900</v>
      </c>
      <c r="U2336" s="2">
        <f>MASTER[[#This Row],[CANTIDAD]]*MASTER[[#This Row],[COSTO UNITARIO]]</f>
        <v>424</v>
      </c>
      <c r="V2336" s="2">
        <f>MASTER[[#This Row],[MONTO VENDIDO]]-MASTER[[#This Row],[COSTO DE VENTA]]</f>
        <v>476</v>
      </c>
    </row>
    <row r="2337" spans="1:22" x14ac:dyDescent="0.3">
      <c r="A2337">
        <v>40111</v>
      </c>
      <c r="B2337">
        <v>1</v>
      </c>
      <c r="C2337" t="s">
        <v>111</v>
      </c>
      <c r="D2337" t="s">
        <v>112</v>
      </c>
      <c r="E2337" s="1">
        <v>44111</v>
      </c>
      <c r="F2337">
        <v>1</v>
      </c>
      <c r="G2337" t="s">
        <v>53</v>
      </c>
      <c r="H2337" t="s">
        <v>54</v>
      </c>
      <c r="I2337" s="3">
        <v>1621</v>
      </c>
      <c r="J2337" s="3">
        <v>1621</v>
      </c>
      <c r="K2337" s="3">
        <v>434</v>
      </c>
      <c r="L2337" t="s">
        <v>113</v>
      </c>
      <c r="M2337">
        <v>4</v>
      </c>
      <c r="N2337" t="s">
        <v>82</v>
      </c>
      <c r="O2337" t="s">
        <v>81</v>
      </c>
      <c r="P2337" t="s">
        <v>71</v>
      </c>
      <c r="Q2337" t="s">
        <v>72</v>
      </c>
      <c r="R2337" t="s">
        <v>139</v>
      </c>
      <c r="S2337" t="s">
        <v>144</v>
      </c>
      <c r="T2337" s="2">
        <f>MASTER[[#This Row],[CANTIDAD]]*MASTER[[#This Row],[PRECIO DE VENTA]]</f>
        <v>1621</v>
      </c>
      <c r="U2337" s="2">
        <f>MASTER[[#This Row],[CANTIDAD]]*MASTER[[#This Row],[COSTO UNITARIO]]</f>
        <v>434</v>
      </c>
      <c r="V2337" s="2">
        <f>MASTER[[#This Row],[MONTO VENDIDO]]-MASTER[[#This Row],[COSTO DE VENTA]]</f>
        <v>1187</v>
      </c>
    </row>
    <row r="2338" spans="1:22" x14ac:dyDescent="0.3">
      <c r="A2338">
        <v>40135</v>
      </c>
      <c r="B2338">
        <v>1</v>
      </c>
      <c r="C2338" t="s">
        <v>118</v>
      </c>
      <c r="D2338" t="s">
        <v>119</v>
      </c>
      <c r="E2338" s="1">
        <v>44111</v>
      </c>
      <c r="F2338">
        <v>1</v>
      </c>
      <c r="G2338" t="s">
        <v>59</v>
      </c>
      <c r="H2338" t="s">
        <v>60</v>
      </c>
      <c r="I2338" s="3">
        <v>801</v>
      </c>
      <c r="J2338" s="3">
        <v>801</v>
      </c>
      <c r="K2338" s="3">
        <v>424</v>
      </c>
      <c r="L2338" t="s">
        <v>120</v>
      </c>
      <c r="M2338">
        <v>12</v>
      </c>
      <c r="N2338" t="s">
        <v>26</v>
      </c>
      <c r="O2338" t="s">
        <v>11</v>
      </c>
      <c r="P2338" t="s">
        <v>12</v>
      </c>
      <c r="Q2338" t="s">
        <v>13</v>
      </c>
      <c r="R2338" t="s">
        <v>13</v>
      </c>
      <c r="S2338" t="s">
        <v>144</v>
      </c>
      <c r="T2338" s="2">
        <f>MASTER[[#This Row],[CANTIDAD]]*MASTER[[#This Row],[PRECIO DE VENTA]]</f>
        <v>801</v>
      </c>
      <c r="U2338" s="2">
        <f>MASTER[[#This Row],[CANTIDAD]]*MASTER[[#This Row],[COSTO UNITARIO]]</f>
        <v>424</v>
      </c>
      <c r="V2338" s="2">
        <f>MASTER[[#This Row],[MONTO VENDIDO]]-MASTER[[#This Row],[COSTO DE VENTA]]</f>
        <v>377</v>
      </c>
    </row>
    <row r="2339" spans="1:22" x14ac:dyDescent="0.3">
      <c r="A2339">
        <v>40158</v>
      </c>
      <c r="B2339">
        <v>1</v>
      </c>
      <c r="C2339" t="s">
        <v>116</v>
      </c>
      <c r="D2339" t="s">
        <v>117</v>
      </c>
      <c r="E2339" s="1">
        <v>44111</v>
      </c>
      <c r="F2339">
        <v>1</v>
      </c>
      <c r="G2339" t="s">
        <v>37</v>
      </c>
      <c r="H2339" t="s">
        <v>38</v>
      </c>
      <c r="I2339" s="3">
        <v>1529</v>
      </c>
      <c r="J2339" s="3">
        <v>1529</v>
      </c>
      <c r="K2339" s="3">
        <v>388</v>
      </c>
      <c r="L2339" t="s">
        <v>113</v>
      </c>
      <c r="M2339">
        <v>11</v>
      </c>
      <c r="N2339" t="s">
        <v>10</v>
      </c>
      <c r="O2339" t="s">
        <v>11</v>
      </c>
      <c r="P2339" t="s">
        <v>12</v>
      </c>
      <c r="Q2339" t="s">
        <v>13</v>
      </c>
      <c r="R2339" t="s">
        <v>13</v>
      </c>
      <c r="S2339" t="s">
        <v>144</v>
      </c>
      <c r="T2339" s="2">
        <f>MASTER[[#This Row],[CANTIDAD]]*MASTER[[#This Row],[PRECIO DE VENTA]]</f>
        <v>1529</v>
      </c>
      <c r="U2339" s="2">
        <f>MASTER[[#This Row],[CANTIDAD]]*MASTER[[#This Row],[COSTO UNITARIO]]</f>
        <v>388</v>
      </c>
      <c r="V2339" s="2">
        <f>MASTER[[#This Row],[MONTO VENDIDO]]-MASTER[[#This Row],[COSTO DE VENTA]]</f>
        <v>1141</v>
      </c>
    </row>
    <row r="2340" spans="1:22" x14ac:dyDescent="0.3">
      <c r="A2340">
        <v>40161</v>
      </c>
      <c r="B2340">
        <v>1</v>
      </c>
      <c r="C2340" t="s">
        <v>121</v>
      </c>
      <c r="D2340" t="s">
        <v>122</v>
      </c>
      <c r="E2340" s="1">
        <v>44111</v>
      </c>
      <c r="F2340">
        <v>1</v>
      </c>
      <c r="G2340" t="s">
        <v>67</v>
      </c>
      <c r="H2340" t="s">
        <v>68</v>
      </c>
      <c r="I2340" s="3">
        <v>1144</v>
      </c>
      <c r="J2340" s="3">
        <v>1144</v>
      </c>
      <c r="K2340" s="3">
        <v>460</v>
      </c>
      <c r="L2340" t="s">
        <v>120</v>
      </c>
      <c r="M2340">
        <v>1</v>
      </c>
      <c r="N2340" t="s">
        <v>77</v>
      </c>
      <c r="O2340" t="s">
        <v>70</v>
      </c>
      <c r="P2340" t="s">
        <v>71</v>
      </c>
      <c r="Q2340" t="s">
        <v>72</v>
      </c>
      <c r="R2340" t="s">
        <v>139</v>
      </c>
      <c r="S2340" t="s">
        <v>144</v>
      </c>
      <c r="T2340" s="2">
        <f>MASTER[[#This Row],[CANTIDAD]]*MASTER[[#This Row],[PRECIO DE VENTA]]</f>
        <v>1144</v>
      </c>
      <c r="U2340" s="2">
        <f>MASTER[[#This Row],[CANTIDAD]]*MASTER[[#This Row],[COSTO UNITARIO]]</f>
        <v>460</v>
      </c>
      <c r="V2340" s="2">
        <f>MASTER[[#This Row],[MONTO VENDIDO]]-MASTER[[#This Row],[COSTO DE VENTA]]</f>
        <v>684</v>
      </c>
    </row>
    <row r="2341" spans="1:22" x14ac:dyDescent="0.3">
      <c r="A2341">
        <v>40162</v>
      </c>
      <c r="B2341">
        <v>1</v>
      </c>
      <c r="C2341" t="s">
        <v>105</v>
      </c>
      <c r="D2341" t="s">
        <v>106</v>
      </c>
      <c r="E2341" s="1">
        <v>44111</v>
      </c>
      <c r="F2341">
        <v>1</v>
      </c>
      <c r="G2341" t="s">
        <v>35</v>
      </c>
      <c r="H2341" t="s">
        <v>36</v>
      </c>
      <c r="I2341" s="3">
        <v>1865</v>
      </c>
      <c r="J2341" s="3">
        <v>1865</v>
      </c>
      <c r="K2341" s="3">
        <v>459</v>
      </c>
      <c r="L2341" t="s">
        <v>98</v>
      </c>
      <c r="M2341">
        <v>19</v>
      </c>
      <c r="N2341" t="s">
        <v>89</v>
      </c>
      <c r="O2341" t="s">
        <v>81</v>
      </c>
      <c r="P2341" t="s">
        <v>15</v>
      </c>
      <c r="Q2341" t="s">
        <v>16</v>
      </c>
      <c r="R2341" t="s">
        <v>16</v>
      </c>
      <c r="S2341" t="s">
        <v>144</v>
      </c>
      <c r="T2341" s="2">
        <f>MASTER[[#This Row],[CANTIDAD]]*MASTER[[#This Row],[PRECIO DE VENTA]]</f>
        <v>1865</v>
      </c>
      <c r="U2341" s="2">
        <f>MASTER[[#This Row],[CANTIDAD]]*MASTER[[#This Row],[COSTO UNITARIO]]</f>
        <v>459</v>
      </c>
      <c r="V2341" s="2">
        <f>MASTER[[#This Row],[MONTO VENDIDO]]-MASTER[[#This Row],[COSTO DE VENTA]]</f>
        <v>1406</v>
      </c>
    </row>
    <row r="2342" spans="1:22" x14ac:dyDescent="0.3">
      <c r="A2342">
        <v>40170</v>
      </c>
      <c r="B2342">
        <v>1</v>
      </c>
      <c r="C2342" t="s">
        <v>121</v>
      </c>
      <c r="D2342" t="s">
        <v>122</v>
      </c>
      <c r="E2342" s="1">
        <v>44111</v>
      </c>
      <c r="F2342">
        <v>1</v>
      </c>
      <c r="G2342" t="s">
        <v>22</v>
      </c>
      <c r="H2342" t="s">
        <v>23</v>
      </c>
      <c r="I2342" s="3">
        <v>1144</v>
      </c>
      <c r="J2342" s="3">
        <v>1144</v>
      </c>
      <c r="K2342" s="3">
        <v>460</v>
      </c>
      <c r="L2342" t="s">
        <v>120</v>
      </c>
      <c r="M2342">
        <v>1</v>
      </c>
      <c r="N2342" t="s">
        <v>77</v>
      </c>
      <c r="O2342" t="s">
        <v>70</v>
      </c>
      <c r="P2342" t="s">
        <v>71</v>
      </c>
      <c r="Q2342" t="s">
        <v>72</v>
      </c>
      <c r="R2342" t="s">
        <v>139</v>
      </c>
      <c r="S2342" t="s">
        <v>144</v>
      </c>
      <c r="T2342" s="2">
        <f>MASTER[[#This Row],[CANTIDAD]]*MASTER[[#This Row],[PRECIO DE VENTA]]</f>
        <v>1144</v>
      </c>
      <c r="U2342" s="2">
        <f>MASTER[[#This Row],[CANTIDAD]]*MASTER[[#This Row],[COSTO UNITARIO]]</f>
        <v>460</v>
      </c>
      <c r="V2342" s="2">
        <f>MASTER[[#This Row],[MONTO VENDIDO]]-MASTER[[#This Row],[COSTO DE VENTA]]</f>
        <v>684</v>
      </c>
    </row>
    <row r="2343" spans="1:22" x14ac:dyDescent="0.3">
      <c r="A2343">
        <v>40189</v>
      </c>
      <c r="B2343">
        <v>1</v>
      </c>
      <c r="C2343" t="s">
        <v>107</v>
      </c>
      <c r="D2343" t="s">
        <v>108</v>
      </c>
      <c r="E2343" s="1">
        <v>44111</v>
      </c>
      <c r="F2343">
        <v>1</v>
      </c>
      <c r="G2343" t="s">
        <v>33</v>
      </c>
      <c r="H2343" t="s">
        <v>34</v>
      </c>
      <c r="I2343" s="3">
        <v>1440</v>
      </c>
      <c r="J2343" s="3">
        <v>1440</v>
      </c>
      <c r="K2343" s="3">
        <v>380</v>
      </c>
      <c r="L2343" t="s">
        <v>98</v>
      </c>
      <c r="M2343">
        <v>3</v>
      </c>
      <c r="N2343" t="s">
        <v>69</v>
      </c>
      <c r="O2343" t="s">
        <v>70</v>
      </c>
      <c r="P2343" t="s">
        <v>71</v>
      </c>
      <c r="Q2343" t="s">
        <v>72</v>
      </c>
      <c r="R2343" t="s">
        <v>139</v>
      </c>
      <c r="S2343" t="s">
        <v>144</v>
      </c>
      <c r="T2343" s="2">
        <f>MASTER[[#This Row],[CANTIDAD]]*MASTER[[#This Row],[PRECIO DE VENTA]]</f>
        <v>1440</v>
      </c>
      <c r="U2343" s="2">
        <f>MASTER[[#This Row],[CANTIDAD]]*MASTER[[#This Row],[COSTO UNITARIO]]</f>
        <v>380</v>
      </c>
      <c r="V2343" s="2">
        <f>MASTER[[#This Row],[MONTO VENDIDO]]-MASTER[[#This Row],[COSTO DE VENTA]]</f>
        <v>1060</v>
      </c>
    </row>
    <row r="2344" spans="1:22" x14ac:dyDescent="0.3">
      <c r="A2344">
        <v>40201</v>
      </c>
      <c r="B2344">
        <v>1</v>
      </c>
      <c r="C2344" t="s">
        <v>118</v>
      </c>
      <c r="D2344" t="s">
        <v>119</v>
      </c>
      <c r="E2344" s="1">
        <v>44111</v>
      </c>
      <c r="F2344">
        <v>1</v>
      </c>
      <c r="G2344" t="s">
        <v>53</v>
      </c>
      <c r="H2344" t="s">
        <v>54</v>
      </c>
      <c r="I2344" s="3">
        <v>1026</v>
      </c>
      <c r="J2344" s="3">
        <v>1026</v>
      </c>
      <c r="K2344" s="3">
        <v>424</v>
      </c>
      <c r="L2344" t="s">
        <v>120</v>
      </c>
      <c r="M2344">
        <v>6</v>
      </c>
      <c r="N2344" t="s">
        <v>75</v>
      </c>
      <c r="O2344" t="s">
        <v>70</v>
      </c>
      <c r="P2344" t="s">
        <v>12</v>
      </c>
      <c r="Q2344" t="s">
        <v>13</v>
      </c>
      <c r="R2344" t="s">
        <v>13</v>
      </c>
      <c r="S2344" t="s">
        <v>144</v>
      </c>
      <c r="T2344" s="2">
        <f>MASTER[[#This Row],[CANTIDAD]]*MASTER[[#This Row],[PRECIO DE VENTA]]</f>
        <v>1026</v>
      </c>
      <c r="U2344" s="2">
        <f>MASTER[[#This Row],[CANTIDAD]]*MASTER[[#This Row],[COSTO UNITARIO]]</f>
        <v>424</v>
      </c>
      <c r="V2344" s="2">
        <f>MASTER[[#This Row],[MONTO VENDIDO]]-MASTER[[#This Row],[COSTO DE VENTA]]</f>
        <v>602</v>
      </c>
    </row>
    <row r="2345" spans="1:22" x14ac:dyDescent="0.3">
      <c r="A2345">
        <v>40210</v>
      </c>
      <c r="B2345">
        <v>1</v>
      </c>
      <c r="C2345" t="s">
        <v>96</v>
      </c>
      <c r="D2345" t="s">
        <v>97</v>
      </c>
      <c r="E2345" s="1">
        <v>44111</v>
      </c>
      <c r="F2345">
        <v>1</v>
      </c>
      <c r="G2345" t="s">
        <v>73</v>
      </c>
      <c r="H2345" t="s">
        <v>74</v>
      </c>
      <c r="I2345" s="3">
        <v>1272</v>
      </c>
      <c r="J2345" s="3">
        <v>1272</v>
      </c>
      <c r="K2345" s="3">
        <v>397</v>
      </c>
      <c r="L2345" t="s">
        <v>98</v>
      </c>
      <c r="M2345">
        <v>15</v>
      </c>
      <c r="N2345" t="s">
        <v>88</v>
      </c>
      <c r="O2345" t="s">
        <v>81</v>
      </c>
      <c r="P2345" t="s">
        <v>18</v>
      </c>
      <c r="Q2345" t="s">
        <v>19</v>
      </c>
      <c r="R2345" t="s">
        <v>138</v>
      </c>
      <c r="S2345" t="s">
        <v>144</v>
      </c>
      <c r="T2345" s="2">
        <f>MASTER[[#This Row],[CANTIDAD]]*MASTER[[#This Row],[PRECIO DE VENTA]]</f>
        <v>1272</v>
      </c>
      <c r="U2345" s="2">
        <f>MASTER[[#This Row],[CANTIDAD]]*MASTER[[#This Row],[COSTO UNITARIO]]</f>
        <v>397</v>
      </c>
      <c r="V2345" s="2">
        <f>MASTER[[#This Row],[MONTO VENDIDO]]-MASTER[[#This Row],[COSTO DE VENTA]]</f>
        <v>875</v>
      </c>
    </row>
    <row r="2346" spans="1:22" x14ac:dyDescent="0.3">
      <c r="A2346">
        <v>40218</v>
      </c>
      <c r="B2346">
        <v>1</v>
      </c>
      <c r="C2346" t="s">
        <v>101</v>
      </c>
      <c r="D2346" t="s">
        <v>102</v>
      </c>
      <c r="E2346" s="1">
        <v>44111</v>
      </c>
      <c r="F2346">
        <v>1</v>
      </c>
      <c r="G2346" t="s">
        <v>73</v>
      </c>
      <c r="H2346" t="s">
        <v>74</v>
      </c>
      <c r="I2346" s="3">
        <v>1357</v>
      </c>
      <c r="J2346" s="3">
        <v>1357</v>
      </c>
      <c r="K2346" s="3">
        <v>442</v>
      </c>
      <c r="L2346" t="s">
        <v>98</v>
      </c>
      <c r="M2346">
        <v>3</v>
      </c>
      <c r="N2346" t="s">
        <v>69</v>
      </c>
      <c r="O2346" t="s">
        <v>70</v>
      </c>
      <c r="P2346" t="s">
        <v>71</v>
      </c>
      <c r="Q2346" t="s">
        <v>72</v>
      </c>
      <c r="R2346" t="s">
        <v>139</v>
      </c>
      <c r="S2346" t="s">
        <v>144</v>
      </c>
      <c r="T2346" s="2">
        <f>MASTER[[#This Row],[CANTIDAD]]*MASTER[[#This Row],[PRECIO DE VENTA]]</f>
        <v>1357</v>
      </c>
      <c r="U2346" s="2">
        <f>MASTER[[#This Row],[CANTIDAD]]*MASTER[[#This Row],[COSTO UNITARIO]]</f>
        <v>442</v>
      </c>
      <c r="V2346" s="2">
        <f>MASTER[[#This Row],[MONTO VENDIDO]]-MASTER[[#This Row],[COSTO DE VENTA]]</f>
        <v>915</v>
      </c>
    </row>
    <row r="2347" spans="1:22" x14ac:dyDescent="0.3">
      <c r="A2347">
        <v>40230</v>
      </c>
      <c r="B2347">
        <v>1</v>
      </c>
      <c r="C2347" t="s">
        <v>96</v>
      </c>
      <c r="D2347" t="s">
        <v>97</v>
      </c>
      <c r="E2347" s="1">
        <v>44112</v>
      </c>
      <c r="F2347">
        <v>1</v>
      </c>
      <c r="G2347" t="s">
        <v>57</v>
      </c>
      <c r="H2347" t="s">
        <v>58</v>
      </c>
      <c r="I2347" s="3">
        <v>1272</v>
      </c>
      <c r="J2347" s="3">
        <v>1272</v>
      </c>
      <c r="K2347" s="3">
        <v>397</v>
      </c>
      <c r="L2347" t="s">
        <v>98</v>
      </c>
      <c r="M2347">
        <v>19</v>
      </c>
      <c r="N2347" t="s">
        <v>89</v>
      </c>
      <c r="O2347" t="s">
        <v>81</v>
      </c>
      <c r="P2347" t="s">
        <v>15</v>
      </c>
      <c r="Q2347" t="s">
        <v>16</v>
      </c>
      <c r="R2347" t="s">
        <v>16</v>
      </c>
      <c r="S2347" t="s">
        <v>144</v>
      </c>
      <c r="T2347" s="2">
        <f>MASTER[[#This Row],[CANTIDAD]]*MASTER[[#This Row],[PRECIO DE VENTA]]</f>
        <v>1272</v>
      </c>
      <c r="U2347" s="2">
        <f>MASTER[[#This Row],[CANTIDAD]]*MASTER[[#This Row],[COSTO UNITARIO]]</f>
        <v>397</v>
      </c>
      <c r="V2347" s="2">
        <f>MASTER[[#This Row],[MONTO VENDIDO]]-MASTER[[#This Row],[COSTO DE VENTA]]</f>
        <v>875</v>
      </c>
    </row>
    <row r="2348" spans="1:22" x14ac:dyDescent="0.3">
      <c r="A2348">
        <v>40231</v>
      </c>
      <c r="B2348">
        <v>1</v>
      </c>
      <c r="C2348" t="s">
        <v>116</v>
      </c>
      <c r="D2348" t="s">
        <v>117</v>
      </c>
      <c r="E2348" s="1">
        <v>44112</v>
      </c>
      <c r="F2348">
        <v>1</v>
      </c>
      <c r="G2348" t="s">
        <v>35</v>
      </c>
      <c r="H2348" t="s">
        <v>36</v>
      </c>
      <c r="I2348" s="3">
        <v>1738</v>
      </c>
      <c r="J2348" s="3">
        <v>1738</v>
      </c>
      <c r="K2348" s="3">
        <v>388</v>
      </c>
      <c r="L2348" t="s">
        <v>113</v>
      </c>
      <c r="M2348">
        <v>7</v>
      </c>
      <c r="N2348" t="s">
        <v>84</v>
      </c>
      <c r="O2348" t="s">
        <v>81</v>
      </c>
      <c r="P2348" t="s">
        <v>12</v>
      </c>
      <c r="Q2348" t="s">
        <v>13</v>
      </c>
      <c r="R2348" t="s">
        <v>13</v>
      </c>
      <c r="S2348" t="s">
        <v>144</v>
      </c>
      <c r="T2348" s="2">
        <f>MASTER[[#This Row],[CANTIDAD]]*MASTER[[#This Row],[PRECIO DE VENTA]]</f>
        <v>1738</v>
      </c>
      <c r="U2348" s="2">
        <f>MASTER[[#This Row],[CANTIDAD]]*MASTER[[#This Row],[COSTO UNITARIO]]</f>
        <v>388</v>
      </c>
      <c r="V2348" s="2">
        <f>MASTER[[#This Row],[MONTO VENDIDO]]-MASTER[[#This Row],[COSTO DE VENTA]]</f>
        <v>1350</v>
      </c>
    </row>
    <row r="2349" spans="1:22" x14ac:dyDescent="0.3">
      <c r="A2349">
        <v>40288</v>
      </c>
      <c r="B2349">
        <v>1</v>
      </c>
      <c r="C2349" t="s">
        <v>107</v>
      </c>
      <c r="D2349" t="s">
        <v>108</v>
      </c>
      <c r="E2349" s="1">
        <v>44112</v>
      </c>
      <c r="F2349">
        <v>1</v>
      </c>
      <c r="G2349" t="s">
        <v>61</v>
      </c>
      <c r="H2349" t="s">
        <v>62</v>
      </c>
      <c r="I2349" s="3">
        <v>1240</v>
      </c>
      <c r="J2349" s="3">
        <v>1240</v>
      </c>
      <c r="K2349" s="3">
        <v>380</v>
      </c>
      <c r="L2349" t="s">
        <v>98</v>
      </c>
      <c r="M2349">
        <v>16</v>
      </c>
      <c r="N2349" t="s">
        <v>17</v>
      </c>
      <c r="O2349" t="s">
        <v>11</v>
      </c>
      <c r="P2349" t="s">
        <v>18</v>
      </c>
      <c r="Q2349" t="s">
        <v>19</v>
      </c>
      <c r="R2349" t="s">
        <v>138</v>
      </c>
      <c r="S2349" t="s">
        <v>144</v>
      </c>
      <c r="T2349" s="2">
        <f>MASTER[[#This Row],[CANTIDAD]]*MASTER[[#This Row],[PRECIO DE VENTA]]</f>
        <v>1240</v>
      </c>
      <c r="U2349" s="2">
        <f>MASTER[[#This Row],[CANTIDAD]]*MASTER[[#This Row],[COSTO UNITARIO]]</f>
        <v>380</v>
      </c>
      <c r="V2349" s="2">
        <f>MASTER[[#This Row],[MONTO VENDIDO]]-MASTER[[#This Row],[COSTO DE VENTA]]</f>
        <v>860</v>
      </c>
    </row>
    <row r="2350" spans="1:22" x14ac:dyDescent="0.3">
      <c r="A2350">
        <v>40308</v>
      </c>
      <c r="B2350">
        <v>1</v>
      </c>
      <c r="C2350" t="s">
        <v>118</v>
      </c>
      <c r="D2350" t="s">
        <v>119</v>
      </c>
      <c r="E2350" s="1">
        <v>44112</v>
      </c>
      <c r="F2350">
        <v>1</v>
      </c>
      <c r="G2350" t="s">
        <v>35</v>
      </c>
      <c r="H2350" t="s">
        <v>36</v>
      </c>
      <c r="I2350" s="3">
        <v>1026</v>
      </c>
      <c r="J2350" s="3">
        <v>1026</v>
      </c>
      <c r="K2350" s="3">
        <v>424</v>
      </c>
      <c r="L2350" t="s">
        <v>120</v>
      </c>
      <c r="M2350">
        <v>18</v>
      </c>
      <c r="N2350" t="s">
        <v>79</v>
      </c>
      <c r="O2350" t="s">
        <v>70</v>
      </c>
      <c r="P2350" t="s">
        <v>15</v>
      </c>
      <c r="Q2350" t="s">
        <v>16</v>
      </c>
      <c r="R2350" t="s">
        <v>16</v>
      </c>
      <c r="S2350" t="s">
        <v>144</v>
      </c>
      <c r="T2350" s="2">
        <f>MASTER[[#This Row],[CANTIDAD]]*MASTER[[#This Row],[PRECIO DE VENTA]]</f>
        <v>1026</v>
      </c>
      <c r="U2350" s="2">
        <f>MASTER[[#This Row],[CANTIDAD]]*MASTER[[#This Row],[COSTO UNITARIO]]</f>
        <v>424</v>
      </c>
      <c r="V2350" s="2">
        <f>MASTER[[#This Row],[MONTO VENDIDO]]-MASTER[[#This Row],[COSTO DE VENTA]]</f>
        <v>602</v>
      </c>
    </row>
    <row r="2351" spans="1:22" x14ac:dyDescent="0.3">
      <c r="A2351">
        <v>40323</v>
      </c>
      <c r="B2351">
        <v>1</v>
      </c>
      <c r="C2351" t="s">
        <v>114</v>
      </c>
      <c r="D2351" t="s">
        <v>115</v>
      </c>
      <c r="E2351" s="1">
        <v>44112</v>
      </c>
      <c r="F2351">
        <v>1</v>
      </c>
      <c r="G2351" t="s">
        <v>57</v>
      </c>
      <c r="H2351" t="s">
        <v>58</v>
      </c>
      <c r="I2351" s="3">
        <v>1862</v>
      </c>
      <c r="J2351" s="3">
        <v>1862</v>
      </c>
      <c r="K2351" s="3">
        <v>394</v>
      </c>
      <c r="L2351" t="s">
        <v>113</v>
      </c>
      <c r="M2351">
        <v>5</v>
      </c>
      <c r="N2351" t="s">
        <v>85</v>
      </c>
      <c r="O2351" t="s">
        <v>81</v>
      </c>
      <c r="P2351" t="s">
        <v>12</v>
      </c>
      <c r="Q2351" t="s">
        <v>13</v>
      </c>
      <c r="R2351" t="s">
        <v>13</v>
      </c>
      <c r="S2351" t="s">
        <v>144</v>
      </c>
      <c r="T2351" s="2">
        <f>MASTER[[#This Row],[CANTIDAD]]*MASTER[[#This Row],[PRECIO DE VENTA]]</f>
        <v>1862</v>
      </c>
      <c r="U2351" s="2">
        <f>MASTER[[#This Row],[CANTIDAD]]*MASTER[[#This Row],[COSTO UNITARIO]]</f>
        <v>394</v>
      </c>
      <c r="V2351" s="2">
        <f>MASTER[[#This Row],[MONTO VENDIDO]]-MASTER[[#This Row],[COSTO DE VENTA]]</f>
        <v>1468</v>
      </c>
    </row>
    <row r="2352" spans="1:22" x14ac:dyDescent="0.3">
      <c r="A2352">
        <v>40345</v>
      </c>
      <c r="B2352">
        <v>1</v>
      </c>
      <c r="C2352" t="s">
        <v>92</v>
      </c>
      <c r="D2352" t="s">
        <v>93</v>
      </c>
      <c r="E2352" s="1">
        <v>44112</v>
      </c>
      <c r="F2352">
        <v>1</v>
      </c>
      <c r="G2352" t="s">
        <v>33</v>
      </c>
      <c r="H2352" t="s">
        <v>34</v>
      </c>
      <c r="I2352" s="3">
        <v>1866</v>
      </c>
      <c r="J2352" s="3">
        <v>1866</v>
      </c>
      <c r="K2352" s="3">
        <v>396</v>
      </c>
      <c r="L2352" t="s">
        <v>9</v>
      </c>
      <c r="M2352">
        <v>6</v>
      </c>
      <c r="N2352" t="s">
        <v>75</v>
      </c>
      <c r="O2352" t="s">
        <v>70</v>
      </c>
      <c r="P2352" t="s">
        <v>12</v>
      </c>
      <c r="Q2352" t="s">
        <v>13</v>
      </c>
      <c r="R2352" t="s">
        <v>13</v>
      </c>
      <c r="S2352" t="s">
        <v>144</v>
      </c>
      <c r="T2352" s="2">
        <f>MASTER[[#This Row],[CANTIDAD]]*MASTER[[#This Row],[PRECIO DE VENTA]]</f>
        <v>1866</v>
      </c>
      <c r="U2352" s="2">
        <f>MASTER[[#This Row],[CANTIDAD]]*MASTER[[#This Row],[COSTO UNITARIO]]</f>
        <v>396</v>
      </c>
      <c r="V2352" s="2">
        <f>MASTER[[#This Row],[MONTO VENDIDO]]-MASTER[[#This Row],[COSTO DE VENTA]]</f>
        <v>1470</v>
      </c>
    </row>
    <row r="2353" spans="1:22" x14ac:dyDescent="0.3">
      <c r="A2353">
        <v>40407</v>
      </c>
      <c r="B2353">
        <v>1</v>
      </c>
      <c r="C2353" t="s">
        <v>116</v>
      </c>
      <c r="D2353" t="s">
        <v>117</v>
      </c>
      <c r="E2353" s="1">
        <v>44113</v>
      </c>
      <c r="F2353">
        <v>1</v>
      </c>
      <c r="G2353" t="s">
        <v>59</v>
      </c>
      <c r="H2353" t="s">
        <v>60</v>
      </c>
      <c r="I2353" s="3">
        <v>1738</v>
      </c>
      <c r="J2353" s="3">
        <v>1738</v>
      </c>
      <c r="K2353" s="3">
        <v>388</v>
      </c>
      <c r="L2353" t="s">
        <v>113</v>
      </c>
      <c r="M2353">
        <v>2</v>
      </c>
      <c r="N2353" t="s">
        <v>86</v>
      </c>
      <c r="O2353" t="s">
        <v>81</v>
      </c>
      <c r="P2353" t="s">
        <v>71</v>
      </c>
      <c r="Q2353" t="s">
        <v>72</v>
      </c>
      <c r="R2353" t="s">
        <v>139</v>
      </c>
      <c r="S2353" t="s">
        <v>144</v>
      </c>
      <c r="T2353" s="2">
        <f>MASTER[[#This Row],[CANTIDAD]]*MASTER[[#This Row],[PRECIO DE VENTA]]</f>
        <v>1738</v>
      </c>
      <c r="U2353" s="2">
        <f>MASTER[[#This Row],[CANTIDAD]]*MASTER[[#This Row],[COSTO UNITARIO]]</f>
        <v>388</v>
      </c>
      <c r="V2353" s="2">
        <f>MASTER[[#This Row],[MONTO VENDIDO]]-MASTER[[#This Row],[COSTO DE VENTA]]</f>
        <v>1350</v>
      </c>
    </row>
    <row r="2354" spans="1:22" x14ac:dyDescent="0.3">
      <c r="A2354">
        <v>40412</v>
      </c>
      <c r="B2354">
        <v>1</v>
      </c>
      <c r="C2354" t="s">
        <v>118</v>
      </c>
      <c r="D2354" t="s">
        <v>119</v>
      </c>
      <c r="E2354" s="1">
        <v>44113</v>
      </c>
      <c r="F2354">
        <v>1</v>
      </c>
      <c r="G2354" t="s">
        <v>33</v>
      </c>
      <c r="H2354" t="s">
        <v>34</v>
      </c>
      <c r="I2354" s="3">
        <v>900</v>
      </c>
      <c r="J2354" s="3">
        <v>900</v>
      </c>
      <c r="K2354" s="3">
        <v>424</v>
      </c>
      <c r="L2354" t="s">
        <v>120</v>
      </c>
      <c r="M2354">
        <v>7</v>
      </c>
      <c r="N2354" t="s">
        <v>84</v>
      </c>
      <c r="O2354" t="s">
        <v>81</v>
      </c>
      <c r="P2354" t="s">
        <v>12</v>
      </c>
      <c r="Q2354" t="s">
        <v>13</v>
      </c>
      <c r="R2354" t="s">
        <v>13</v>
      </c>
      <c r="S2354" t="s">
        <v>144</v>
      </c>
      <c r="T2354" s="2">
        <f>MASTER[[#This Row],[CANTIDAD]]*MASTER[[#This Row],[PRECIO DE VENTA]]</f>
        <v>900</v>
      </c>
      <c r="U2354" s="2">
        <f>MASTER[[#This Row],[CANTIDAD]]*MASTER[[#This Row],[COSTO UNITARIO]]</f>
        <v>424</v>
      </c>
      <c r="V2354" s="2">
        <f>MASTER[[#This Row],[MONTO VENDIDO]]-MASTER[[#This Row],[COSTO DE VENTA]]</f>
        <v>476</v>
      </c>
    </row>
    <row r="2355" spans="1:22" x14ac:dyDescent="0.3">
      <c r="A2355">
        <v>40435</v>
      </c>
      <c r="B2355">
        <v>1</v>
      </c>
      <c r="C2355" t="s">
        <v>92</v>
      </c>
      <c r="D2355" t="s">
        <v>93</v>
      </c>
      <c r="E2355" s="1">
        <v>44113</v>
      </c>
      <c r="F2355">
        <v>1</v>
      </c>
      <c r="G2355" t="s">
        <v>49</v>
      </c>
      <c r="H2355" t="s">
        <v>50</v>
      </c>
      <c r="I2355" s="3">
        <v>1681</v>
      </c>
      <c r="J2355" s="3">
        <v>1681</v>
      </c>
      <c r="K2355" s="3">
        <v>396</v>
      </c>
      <c r="L2355" t="s">
        <v>9</v>
      </c>
      <c r="M2355">
        <v>14</v>
      </c>
      <c r="N2355" t="s">
        <v>87</v>
      </c>
      <c r="O2355" t="s">
        <v>81</v>
      </c>
      <c r="P2355" t="s">
        <v>18</v>
      </c>
      <c r="Q2355" t="s">
        <v>19</v>
      </c>
      <c r="R2355" t="s">
        <v>138</v>
      </c>
      <c r="S2355" t="s">
        <v>144</v>
      </c>
      <c r="T2355" s="2">
        <f>MASTER[[#This Row],[CANTIDAD]]*MASTER[[#This Row],[PRECIO DE VENTA]]</f>
        <v>1681</v>
      </c>
      <c r="U2355" s="2">
        <f>MASTER[[#This Row],[CANTIDAD]]*MASTER[[#This Row],[COSTO UNITARIO]]</f>
        <v>396</v>
      </c>
      <c r="V2355" s="2">
        <f>MASTER[[#This Row],[MONTO VENDIDO]]-MASTER[[#This Row],[COSTO DE VENTA]]</f>
        <v>1285</v>
      </c>
    </row>
    <row r="2356" spans="1:22" x14ac:dyDescent="0.3">
      <c r="A2356">
        <v>40452</v>
      </c>
      <c r="B2356">
        <v>1</v>
      </c>
      <c r="C2356" t="s">
        <v>109</v>
      </c>
      <c r="D2356" t="s">
        <v>110</v>
      </c>
      <c r="E2356" s="1">
        <v>44113</v>
      </c>
      <c r="F2356">
        <v>1</v>
      </c>
      <c r="G2356" t="s">
        <v>24</v>
      </c>
      <c r="H2356" t="s">
        <v>25</v>
      </c>
      <c r="I2356" s="3">
        <v>1128</v>
      </c>
      <c r="J2356" s="3">
        <v>1128</v>
      </c>
      <c r="K2356" s="3">
        <v>387</v>
      </c>
      <c r="L2356" t="s">
        <v>98</v>
      </c>
      <c r="M2356">
        <v>18</v>
      </c>
      <c r="N2356" t="s">
        <v>79</v>
      </c>
      <c r="O2356" t="s">
        <v>70</v>
      </c>
      <c r="P2356" t="s">
        <v>15</v>
      </c>
      <c r="Q2356" t="s">
        <v>16</v>
      </c>
      <c r="R2356" t="s">
        <v>16</v>
      </c>
      <c r="S2356" t="s">
        <v>144</v>
      </c>
      <c r="T2356" s="2">
        <f>MASTER[[#This Row],[CANTIDAD]]*MASTER[[#This Row],[PRECIO DE VENTA]]</f>
        <v>1128</v>
      </c>
      <c r="U2356" s="2">
        <f>MASTER[[#This Row],[CANTIDAD]]*MASTER[[#This Row],[COSTO UNITARIO]]</f>
        <v>387</v>
      </c>
      <c r="V2356" s="2">
        <f>MASTER[[#This Row],[MONTO VENDIDO]]-MASTER[[#This Row],[COSTO DE VENTA]]</f>
        <v>741</v>
      </c>
    </row>
    <row r="2357" spans="1:22" x14ac:dyDescent="0.3">
      <c r="A2357">
        <v>40468</v>
      </c>
      <c r="B2357">
        <v>1</v>
      </c>
      <c r="C2357" t="s">
        <v>114</v>
      </c>
      <c r="D2357" t="s">
        <v>115</v>
      </c>
      <c r="E2357" s="1">
        <v>44113</v>
      </c>
      <c r="F2357">
        <v>1</v>
      </c>
      <c r="G2357" t="s">
        <v>43</v>
      </c>
      <c r="H2357" t="s">
        <v>44</v>
      </c>
      <c r="I2357" s="3">
        <v>1583</v>
      </c>
      <c r="J2357" s="3">
        <v>1583</v>
      </c>
      <c r="K2357" s="3">
        <v>394</v>
      </c>
      <c r="L2357" t="s">
        <v>113</v>
      </c>
      <c r="M2357">
        <v>11</v>
      </c>
      <c r="N2357" t="s">
        <v>10</v>
      </c>
      <c r="O2357" t="s">
        <v>11</v>
      </c>
      <c r="P2357" t="s">
        <v>12</v>
      </c>
      <c r="Q2357" t="s">
        <v>13</v>
      </c>
      <c r="R2357" t="s">
        <v>13</v>
      </c>
      <c r="S2357" t="s">
        <v>144</v>
      </c>
      <c r="T2357" s="2">
        <f>MASTER[[#This Row],[CANTIDAD]]*MASTER[[#This Row],[PRECIO DE VENTA]]</f>
        <v>1583</v>
      </c>
      <c r="U2357" s="2">
        <f>MASTER[[#This Row],[CANTIDAD]]*MASTER[[#This Row],[COSTO UNITARIO]]</f>
        <v>394</v>
      </c>
      <c r="V2357" s="2">
        <f>MASTER[[#This Row],[MONTO VENDIDO]]-MASTER[[#This Row],[COSTO DE VENTA]]</f>
        <v>1189</v>
      </c>
    </row>
    <row r="2358" spans="1:22" x14ac:dyDescent="0.3">
      <c r="A2358">
        <v>40472</v>
      </c>
      <c r="B2358">
        <v>1</v>
      </c>
      <c r="C2358" t="s">
        <v>105</v>
      </c>
      <c r="D2358" t="s">
        <v>106</v>
      </c>
      <c r="E2358" s="1">
        <v>44113</v>
      </c>
      <c r="F2358">
        <v>1</v>
      </c>
      <c r="G2358" t="s">
        <v>24</v>
      </c>
      <c r="H2358" t="s">
        <v>25</v>
      </c>
      <c r="I2358" s="3">
        <v>1865</v>
      </c>
      <c r="J2358" s="3">
        <v>1865</v>
      </c>
      <c r="K2358" s="3">
        <v>459</v>
      </c>
      <c r="L2358" t="s">
        <v>98</v>
      </c>
      <c r="M2358">
        <v>19</v>
      </c>
      <c r="N2358" t="s">
        <v>89</v>
      </c>
      <c r="O2358" t="s">
        <v>81</v>
      </c>
      <c r="P2358" t="s">
        <v>15</v>
      </c>
      <c r="Q2358" t="s">
        <v>16</v>
      </c>
      <c r="R2358" t="s">
        <v>16</v>
      </c>
      <c r="S2358" t="s">
        <v>144</v>
      </c>
      <c r="T2358" s="2">
        <f>MASTER[[#This Row],[CANTIDAD]]*MASTER[[#This Row],[PRECIO DE VENTA]]</f>
        <v>1865</v>
      </c>
      <c r="U2358" s="2">
        <f>MASTER[[#This Row],[CANTIDAD]]*MASTER[[#This Row],[COSTO UNITARIO]]</f>
        <v>459</v>
      </c>
      <c r="V2358" s="2">
        <f>MASTER[[#This Row],[MONTO VENDIDO]]-MASTER[[#This Row],[COSTO DE VENTA]]</f>
        <v>1406</v>
      </c>
    </row>
    <row r="2359" spans="1:22" x14ac:dyDescent="0.3">
      <c r="A2359">
        <v>40479</v>
      </c>
      <c r="B2359">
        <v>1</v>
      </c>
      <c r="C2359" t="s">
        <v>118</v>
      </c>
      <c r="D2359" t="s">
        <v>119</v>
      </c>
      <c r="E2359" s="1">
        <v>44113</v>
      </c>
      <c r="F2359">
        <v>1</v>
      </c>
      <c r="G2359" t="s">
        <v>20</v>
      </c>
      <c r="H2359" t="s">
        <v>21</v>
      </c>
      <c r="I2359" s="3">
        <v>1026</v>
      </c>
      <c r="J2359" s="3">
        <v>1026</v>
      </c>
      <c r="K2359" s="3">
        <v>424</v>
      </c>
      <c r="L2359" t="s">
        <v>120</v>
      </c>
      <c r="M2359">
        <v>13</v>
      </c>
      <c r="N2359" t="s">
        <v>78</v>
      </c>
      <c r="O2359" t="s">
        <v>70</v>
      </c>
      <c r="P2359" t="s">
        <v>18</v>
      </c>
      <c r="Q2359" t="s">
        <v>19</v>
      </c>
      <c r="R2359" t="s">
        <v>138</v>
      </c>
      <c r="S2359" t="s">
        <v>144</v>
      </c>
      <c r="T2359" s="2">
        <f>MASTER[[#This Row],[CANTIDAD]]*MASTER[[#This Row],[PRECIO DE VENTA]]</f>
        <v>1026</v>
      </c>
      <c r="U2359" s="2">
        <f>MASTER[[#This Row],[CANTIDAD]]*MASTER[[#This Row],[COSTO UNITARIO]]</f>
        <v>424</v>
      </c>
      <c r="V2359" s="2">
        <f>MASTER[[#This Row],[MONTO VENDIDO]]-MASTER[[#This Row],[COSTO DE VENTA]]</f>
        <v>602</v>
      </c>
    </row>
    <row r="2360" spans="1:22" x14ac:dyDescent="0.3">
      <c r="A2360">
        <v>40520</v>
      </c>
      <c r="B2360">
        <v>1</v>
      </c>
      <c r="C2360" t="s">
        <v>114</v>
      </c>
      <c r="D2360" t="s">
        <v>115</v>
      </c>
      <c r="E2360" s="1">
        <v>44113</v>
      </c>
      <c r="F2360">
        <v>1</v>
      </c>
      <c r="G2360" t="s">
        <v>22</v>
      </c>
      <c r="H2360" t="s">
        <v>23</v>
      </c>
      <c r="I2360" s="3">
        <v>1862</v>
      </c>
      <c r="J2360" s="3">
        <v>1862</v>
      </c>
      <c r="K2360" s="3">
        <v>394</v>
      </c>
      <c r="L2360" t="s">
        <v>113</v>
      </c>
      <c r="M2360">
        <v>7</v>
      </c>
      <c r="N2360" t="s">
        <v>84</v>
      </c>
      <c r="O2360" t="s">
        <v>81</v>
      </c>
      <c r="P2360" t="s">
        <v>12</v>
      </c>
      <c r="Q2360" t="s">
        <v>13</v>
      </c>
      <c r="R2360" t="s">
        <v>13</v>
      </c>
      <c r="S2360" t="s">
        <v>144</v>
      </c>
      <c r="T2360" s="2">
        <f>MASTER[[#This Row],[CANTIDAD]]*MASTER[[#This Row],[PRECIO DE VENTA]]</f>
        <v>1862</v>
      </c>
      <c r="U2360" s="2">
        <f>MASTER[[#This Row],[CANTIDAD]]*MASTER[[#This Row],[COSTO UNITARIO]]</f>
        <v>394</v>
      </c>
      <c r="V2360" s="2">
        <f>MASTER[[#This Row],[MONTO VENDIDO]]-MASTER[[#This Row],[COSTO DE VENTA]]</f>
        <v>1468</v>
      </c>
    </row>
    <row r="2361" spans="1:22" x14ac:dyDescent="0.3">
      <c r="A2361">
        <v>40527</v>
      </c>
      <c r="B2361">
        <v>1</v>
      </c>
      <c r="C2361" t="s">
        <v>5</v>
      </c>
      <c r="D2361" t="s">
        <v>6</v>
      </c>
      <c r="E2361" s="1">
        <v>44113</v>
      </c>
      <c r="F2361">
        <v>1</v>
      </c>
      <c r="G2361" t="s">
        <v>73</v>
      </c>
      <c r="H2361" t="s">
        <v>74</v>
      </c>
      <c r="I2361" s="3">
        <v>1296</v>
      </c>
      <c r="J2361" s="3">
        <v>1296</v>
      </c>
      <c r="K2361" s="3">
        <v>393</v>
      </c>
      <c r="L2361" t="s">
        <v>9</v>
      </c>
      <c r="M2361">
        <v>6</v>
      </c>
      <c r="N2361" t="s">
        <v>75</v>
      </c>
      <c r="O2361" t="s">
        <v>70</v>
      </c>
      <c r="P2361" t="s">
        <v>12</v>
      </c>
      <c r="Q2361" t="s">
        <v>13</v>
      </c>
      <c r="R2361" t="s">
        <v>13</v>
      </c>
      <c r="S2361" t="s">
        <v>144</v>
      </c>
      <c r="T2361" s="2">
        <f>MASTER[[#This Row],[CANTIDAD]]*MASTER[[#This Row],[PRECIO DE VENTA]]</f>
        <v>1296</v>
      </c>
      <c r="U2361" s="2">
        <f>MASTER[[#This Row],[CANTIDAD]]*MASTER[[#This Row],[COSTO UNITARIO]]</f>
        <v>393</v>
      </c>
      <c r="V2361" s="2">
        <f>MASTER[[#This Row],[MONTO VENDIDO]]-MASTER[[#This Row],[COSTO DE VENTA]]</f>
        <v>903</v>
      </c>
    </row>
    <row r="2362" spans="1:22" x14ac:dyDescent="0.3">
      <c r="A2362">
        <v>40579</v>
      </c>
      <c r="B2362">
        <v>1</v>
      </c>
      <c r="C2362" t="s">
        <v>99</v>
      </c>
      <c r="D2362" t="s">
        <v>100</v>
      </c>
      <c r="E2362" s="1">
        <v>44113</v>
      </c>
      <c r="F2362">
        <v>2</v>
      </c>
      <c r="G2362" t="s">
        <v>47</v>
      </c>
      <c r="H2362" t="s">
        <v>48</v>
      </c>
      <c r="I2362" s="3">
        <v>1459</v>
      </c>
      <c r="J2362" s="3">
        <v>1400</v>
      </c>
      <c r="K2362" s="3">
        <v>386</v>
      </c>
      <c r="L2362" t="s">
        <v>98</v>
      </c>
      <c r="M2362">
        <v>15</v>
      </c>
      <c r="N2362" t="s">
        <v>88</v>
      </c>
      <c r="O2362" t="s">
        <v>81</v>
      </c>
      <c r="P2362" t="s">
        <v>18</v>
      </c>
      <c r="Q2362" t="s">
        <v>19</v>
      </c>
      <c r="R2362" t="s">
        <v>138</v>
      </c>
      <c r="S2362" t="s">
        <v>144</v>
      </c>
      <c r="T2362" s="2">
        <f>MASTER[[#This Row],[CANTIDAD]]*MASTER[[#This Row],[PRECIO DE VENTA]]</f>
        <v>2800</v>
      </c>
      <c r="U2362" s="2">
        <f>MASTER[[#This Row],[CANTIDAD]]*MASTER[[#This Row],[COSTO UNITARIO]]</f>
        <v>772</v>
      </c>
      <c r="V2362" s="2">
        <f>MASTER[[#This Row],[MONTO VENDIDO]]-MASTER[[#This Row],[COSTO DE VENTA]]</f>
        <v>2028</v>
      </c>
    </row>
    <row r="2363" spans="1:22" x14ac:dyDescent="0.3">
      <c r="A2363">
        <v>40584</v>
      </c>
      <c r="B2363">
        <v>1</v>
      </c>
      <c r="C2363" t="s">
        <v>5</v>
      </c>
      <c r="D2363" t="s">
        <v>6</v>
      </c>
      <c r="E2363" s="1">
        <v>44114</v>
      </c>
      <c r="F2363">
        <v>1</v>
      </c>
      <c r="G2363" t="s">
        <v>55</v>
      </c>
      <c r="H2363" t="s">
        <v>56</v>
      </c>
      <c r="I2363" s="3">
        <v>1507</v>
      </c>
      <c r="J2363" s="3">
        <v>1431</v>
      </c>
      <c r="K2363" s="3">
        <v>393</v>
      </c>
      <c r="L2363" t="s">
        <v>9</v>
      </c>
      <c r="M2363">
        <v>19</v>
      </c>
      <c r="N2363" t="s">
        <v>89</v>
      </c>
      <c r="O2363" t="s">
        <v>81</v>
      </c>
      <c r="P2363" t="s">
        <v>15</v>
      </c>
      <c r="Q2363" t="s">
        <v>16</v>
      </c>
      <c r="R2363" t="s">
        <v>16</v>
      </c>
      <c r="S2363" t="s">
        <v>144</v>
      </c>
      <c r="T2363" s="2">
        <f>MASTER[[#This Row],[CANTIDAD]]*MASTER[[#This Row],[PRECIO DE VENTA]]</f>
        <v>1431</v>
      </c>
      <c r="U2363" s="2">
        <f>MASTER[[#This Row],[CANTIDAD]]*MASTER[[#This Row],[COSTO UNITARIO]]</f>
        <v>393</v>
      </c>
      <c r="V2363" s="2">
        <f>MASTER[[#This Row],[MONTO VENDIDO]]-MASTER[[#This Row],[COSTO DE VENTA]]</f>
        <v>1038</v>
      </c>
    </row>
    <row r="2364" spans="1:22" x14ac:dyDescent="0.3">
      <c r="A2364">
        <v>40585</v>
      </c>
      <c r="B2364">
        <v>1</v>
      </c>
      <c r="C2364" t="s">
        <v>5</v>
      </c>
      <c r="D2364" t="s">
        <v>6</v>
      </c>
      <c r="E2364" s="1">
        <v>44114</v>
      </c>
      <c r="F2364">
        <v>1</v>
      </c>
      <c r="G2364" t="s">
        <v>61</v>
      </c>
      <c r="H2364" t="s">
        <v>62</v>
      </c>
      <c r="I2364" s="3">
        <v>1507</v>
      </c>
      <c r="J2364" s="3">
        <v>1507</v>
      </c>
      <c r="K2364" s="3">
        <v>393</v>
      </c>
      <c r="L2364" t="s">
        <v>9</v>
      </c>
      <c r="M2364">
        <v>8</v>
      </c>
      <c r="N2364" t="s">
        <v>80</v>
      </c>
      <c r="O2364" t="s">
        <v>81</v>
      </c>
      <c r="P2364" t="s">
        <v>12</v>
      </c>
      <c r="Q2364" t="s">
        <v>13</v>
      </c>
      <c r="R2364" t="s">
        <v>13</v>
      </c>
      <c r="S2364" t="s">
        <v>144</v>
      </c>
      <c r="T2364" s="2">
        <f>MASTER[[#This Row],[CANTIDAD]]*MASTER[[#This Row],[PRECIO DE VENTA]]</f>
        <v>1507</v>
      </c>
      <c r="U2364" s="2">
        <f>MASTER[[#This Row],[CANTIDAD]]*MASTER[[#This Row],[COSTO UNITARIO]]</f>
        <v>393</v>
      </c>
      <c r="V2364" s="2">
        <f>MASTER[[#This Row],[MONTO VENDIDO]]-MASTER[[#This Row],[COSTO DE VENTA]]</f>
        <v>1114</v>
      </c>
    </row>
    <row r="2365" spans="1:22" x14ac:dyDescent="0.3">
      <c r="A2365">
        <v>40592</v>
      </c>
      <c r="B2365">
        <v>1</v>
      </c>
      <c r="C2365" t="s">
        <v>121</v>
      </c>
      <c r="D2365" t="s">
        <v>122</v>
      </c>
      <c r="E2365" s="1">
        <v>44114</v>
      </c>
      <c r="F2365">
        <v>1</v>
      </c>
      <c r="G2365" t="s">
        <v>63</v>
      </c>
      <c r="H2365" t="s">
        <v>64</v>
      </c>
      <c r="I2365" s="3">
        <v>1069</v>
      </c>
      <c r="J2365" s="3">
        <v>983</v>
      </c>
      <c r="K2365" s="3">
        <v>460</v>
      </c>
      <c r="L2365" t="s">
        <v>120</v>
      </c>
      <c r="M2365">
        <v>10</v>
      </c>
      <c r="N2365" t="s">
        <v>83</v>
      </c>
      <c r="O2365" t="s">
        <v>81</v>
      </c>
      <c r="P2365" t="s">
        <v>12</v>
      </c>
      <c r="Q2365" t="s">
        <v>13</v>
      </c>
      <c r="R2365" t="s">
        <v>13</v>
      </c>
      <c r="S2365" t="s">
        <v>144</v>
      </c>
      <c r="T2365" s="2">
        <f>MASTER[[#This Row],[CANTIDAD]]*MASTER[[#This Row],[PRECIO DE VENTA]]</f>
        <v>983</v>
      </c>
      <c r="U2365" s="2">
        <f>MASTER[[#This Row],[CANTIDAD]]*MASTER[[#This Row],[COSTO UNITARIO]]</f>
        <v>460</v>
      </c>
      <c r="V2365" s="2">
        <f>MASTER[[#This Row],[MONTO VENDIDO]]-MASTER[[#This Row],[COSTO DE VENTA]]</f>
        <v>523</v>
      </c>
    </row>
    <row r="2366" spans="1:22" x14ac:dyDescent="0.3">
      <c r="A2366">
        <v>40611</v>
      </c>
      <c r="B2366">
        <v>3</v>
      </c>
      <c r="C2366" t="s">
        <v>94</v>
      </c>
      <c r="D2366" t="s">
        <v>95</v>
      </c>
      <c r="E2366" s="1">
        <v>44114</v>
      </c>
      <c r="F2366">
        <v>1</v>
      </c>
      <c r="G2366" t="s">
        <v>39</v>
      </c>
      <c r="H2366" t="s">
        <v>40</v>
      </c>
      <c r="I2366" s="3">
        <v>1048</v>
      </c>
      <c r="J2366" s="3">
        <v>1048</v>
      </c>
      <c r="K2366" s="3">
        <v>392</v>
      </c>
      <c r="L2366" t="s">
        <v>9</v>
      </c>
      <c r="M2366">
        <v>4</v>
      </c>
      <c r="N2366" t="s">
        <v>82</v>
      </c>
      <c r="O2366" t="s">
        <v>81</v>
      </c>
      <c r="P2366" t="s">
        <v>71</v>
      </c>
      <c r="Q2366" t="s">
        <v>72</v>
      </c>
      <c r="R2366" t="s">
        <v>139</v>
      </c>
      <c r="S2366" t="s">
        <v>144</v>
      </c>
      <c r="T2366" s="2">
        <f>MASTER[[#This Row],[CANTIDAD]]*MASTER[[#This Row],[PRECIO DE VENTA]]</f>
        <v>1048</v>
      </c>
      <c r="U2366" s="2">
        <f>MASTER[[#This Row],[CANTIDAD]]*MASTER[[#This Row],[COSTO UNITARIO]]</f>
        <v>392</v>
      </c>
      <c r="V2366" s="2">
        <f>MASTER[[#This Row],[MONTO VENDIDO]]-MASTER[[#This Row],[COSTO DE VENTA]]</f>
        <v>656</v>
      </c>
    </row>
    <row r="2367" spans="1:22" x14ac:dyDescent="0.3">
      <c r="A2367">
        <v>40611</v>
      </c>
      <c r="B2367">
        <v>2</v>
      </c>
      <c r="C2367" t="s">
        <v>103</v>
      </c>
      <c r="D2367" t="s">
        <v>104</v>
      </c>
      <c r="E2367" s="1">
        <v>44114</v>
      </c>
      <c r="F2367">
        <v>1</v>
      </c>
      <c r="G2367" t="s">
        <v>73</v>
      </c>
      <c r="H2367" t="s">
        <v>74</v>
      </c>
      <c r="I2367" s="3">
        <v>1591</v>
      </c>
      <c r="J2367" s="3">
        <v>1591</v>
      </c>
      <c r="K2367" s="3">
        <v>421</v>
      </c>
      <c r="L2367" t="s">
        <v>98</v>
      </c>
      <c r="M2367">
        <v>4</v>
      </c>
      <c r="N2367" t="s">
        <v>82</v>
      </c>
      <c r="O2367" t="s">
        <v>81</v>
      </c>
      <c r="P2367" t="s">
        <v>71</v>
      </c>
      <c r="Q2367" t="s">
        <v>72</v>
      </c>
      <c r="R2367" t="s">
        <v>139</v>
      </c>
      <c r="S2367" t="s">
        <v>144</v>
      </c>
      <c r="T2367" s="2">
        <f>MASTER[[#This Row],[CANTIDAD]]*MASTER[[#This Row],[PRECIO DE VENTA]]</f>
        <v>1591</v>
      </c>
      <c r="U2367" s="2">
        <f>MASTER[[#This Row],[CANTIDAD]]*MASTER[[#This Row],[COSTO UNITARIO]]</f>
        <v>421</v>
      </c>
      <c r="V2367" s="2">
        <f>MASTER[[#This Row],[MONTO VENDIDO]]-MASTER[[#This Row],[COSTO DE VENTA]]</f>
        <v>1170</v>
      </c>
    </row>
    <row r="2368" spans="1:22" x14ac:dyDescent="0.3">
      <c r="A2368">
        <v>40611</v>
      </c>
      <c r="B2368">
        <v>1</v>
      </c>
      <c r="C2368" t="s">
        <v>111</v>
      </c>
      <c r="D2368" t="s">
        <v>112</v>
      </c>
      <c r="E2368" s="1">
        <v>44114</v>
      </c>
      <c r="F2368">
        <v>1</v>
      </c>
      <c r="G2368" t="s">
        <v>67</v>
      </c>
      <c r="H2368" t="s">
        <v>68</v>
      </c>
      <c r="I2368" s="3">
        <v>1621</v>
      </c>
      <c r="J2368" s="3">
        <v>1621</v>
      </c>
      <c r="K2368" s="3">
        <v>434</v>
      </c>
      <c r="L2368" t="s">
        <v>113</v>
      </c>
      <c r="M2368">
        <v>4</v>
      </c>
      <c r="N2368" t="s">
        <v>82</v>
      </c>
      <c r="O2368" t="s">
        <v>81</v>
      </c>
      <c r="P2368" t="s">
        <v>71</v>
      </c>
      <c r="Q2368" t="s">
        <v>72</v>
      </c>
      <c r="R2368" t="s">
        <v>139</v>
      </c>
      <c r="S2368" t="s">
        <v>144</v>
      </c>
      <c r="T2368" s="2">
        <f>MASTER[[#This Row],[CANTIDAD]]*MASTER[[#This Row],[PRECIO DE VENTA]]</f>
        <v>1621</v>
      </c>
      <c r="U2368" s="2">
        <f>MASTER[[#This Row],[CANTIDAD]]*MASTER[[#This Row],[COSTO UNITARIO]]</f>
        <v>434</v>
      </c>
      <c r="V2368" s="2">
        <f>MASTER[[#This Row],[MONTO VENDIDO]]-MASTER[[#This Row],[COSTO DE VENTA]]</f>
        <v>1187</v>
      </c>
    </row>
    <row r="2369" spans="1:22" x14ac:dyDescent="0.3">
      <c r="A2369">
        <v>40634</v>
      </c>
      <c r="B2369">
        <v>1</v>
      </c>
      <c r="C2369" t="s">
        <v>105</v>
      </c>
      <c r="D2369" t="s">
        <v>106</v>
      </c>
      <c r="E2369" s="1">
        <v>44114</v>
      </c>
      <c r="F2369">
        <v>1</v>
      </c>
      <c r="G2369" t="s">
        <v>67</v>
      </c>
      <c r="H2369" t="s">
        <v>68</v>
      </c>
      <c r="I2369" s="3">
        <v>2033</v>
      </c>
      <c r="J2369" s="3">
        <v>2033</v>
      </c>
      <c r="K2369" s="3">
        <v>459</v>
      </c>
      <c r="L2369" t="s">
        <v>98</v>
      </c>
      <c r="M2369">
        <v>9</v>
      </c>
      <c r="N2369" t="s">
        <v>76</v>
      </c>
      <c r="O2369" t="s">
        <v>70</v>
      </c>
      <c r="P2369" t="s">
        <v>12</v>
      </c>
      <c r="Q2369" t="s">
        <v>13</v>
      </c>
      <c r="R2369" t="s">
        <v>13</v>
      </c>
      <c r="S2369" t="s">
        <v>144</v>
      </c>
      <c r="T2369" s="2">
        <f>MASTER[[#This Row],[CANTIDAD]]*MASTER[[#This Row],[PRECIO DE VENTA]]</f>
        <v>2033</v>
      </c>
      <c r="U2369" s="2">
        <f>MASTER[[#This Row],[CANTIDAD]]*MASTER[[#This Row],[COSTO UNITARIO]]</f>
        <v>459</v>
      </c>
      <c r="V2369" s="2">
        <f>MASTER[[#This Row],[MONTO VENDIDO]]-MASTER[[#This Row],[COSTO DE VENTA]]</f>
        <v>1574</v>
      </c>
    </row>
    <row r="2370" spans="1:22" x14ac:dyDescent="0.3">
      <c r="A2370">
        <v>40640</v>
      </c>
      <c r="B2370">
        <v>1</v>
      </c>
      <c r="C2370" t="s">
        <v>92</v>
      </c>
      <c r="D2370" t="s">
        <v>93</v>
      </c>
      <c r="E2370" s="1">
        <v>44115</v>
      </c>
      <c r="F2370">
        <v>1</v>
      </c>
      <c r="G2370" t="s">
        <v>35</v>
      </c>
      <c r="H2370" t="s">
        <v>36</v>
      </c>
      <c r="I2370" s="3">
        <v>1681</v>
      </c>
      <c r="J2370" s="3">
        <v>1681</v>
      </c>
      <c r="K2370" s="3">
        <v>396</v>
      </c>
      <c r="L2370" t="s">
        <v>9</v>
      </c>
      <c r="M2370">
        <v>10</v>
      </c>
      <c r="N2370" t="s">
        <v>83</v>
      </c>
      <c r="O2370" t="s">
        <v>81</v>
      </c>
      <c r="P2370" t="s">
        <v>12</v>
      </c>
      <c r="Q2370" t="s">
        <v>13</v>
      </c>
      <c r="R2370" t="s">
        <v>13</v>
      </c>
      <c r="S2370" t="s">
        <v>144</v>
      </c>
      <c r="T2370" s="2">
        <f>MASTER[[#This Row],[CANTIDAD]]*MASTER[[#This Row],[PRECIO DE VENTA]]</f>
        <v>1681</v>
      </c>
      <c r="U2370" s="2">
        <f>MASTER[[#This Row],[CANTIDAD]]*MASTER[[#This Row],[COSTO UNITARIO]]</f>
        <v>396</v>
      </c>
      <c r="V2370" s="2">
        <f>MASTER[[#This Row],[MONTO VENDIDO]]-MASTER[[#This Row],[COSTO DE VENTA]]</f>
        <v>1285</v>
      </c>
    </row>
    <row r="2371" spans="1:22" x14ac:dyDescent="0.3">
      <c r="A2371">
        <v>40645</v>
      </c>
      <c r="B2371">
        <v>1</v>
      </c>
      <c r="C2371" t="s">
        <v>96</v>
      </c>
      <c r="D2371" t="s">
        <v>97</v>
      </c>
      <c r="E2371" s="1">
        <v>44115</v>
      </c>
      <c r="F2371">
        <v>1</v>
      </c>
      <c r="G2371" t="s">
        <v>73</v>
      </c>
      <c r="H2371" t="s">
        <v>74</v>
      </c>
      <c r="I2371" s="3">
        <v>1361</v>
      </c>
      <c r="J2371" s="3">
        <v>1361</v>
      </c>
      <c r="K2371" s="3">
        <v>397</v>
      </c>
      <c r="L2371" t="s">
        <v>98</v>
      </c>
      <c r="M2371">
        <v>13</v>
      </c>
      <c r="N2371" t="s">
        <v>78</v>
      </c>
      <c r="O2371" t="s">
        <v>70</v>
      </c>
      <c r="P2371" t="s">
        <v>18</v>
      </c>
      <c r="Q2371" t="s">
        <v>19</v>
      </c>
      <c r="R2371" t="s">
        <v>138</v>
      </c>
      <c r="S2371" t="s">
        <v>144</v>
      </c>
      <c r="T2371" s="2">
        <f>MASTER[[#This Row],[CANTIDAD]]*MASTER[[#This Row],[PRECIO DE VENTA]]</f>
        <v>1361</v>
      </c>
      <c r="U2371" s="2">
        <f>MASTER[[#This Row],[CANTIDAD]]*MASTER[[#This Row],[COSTO UNITARIO]]</f>
        <v>397</v>
      </c>
      <c r="V2371" s="2">
        <f>MASTER[[#This Row],[MONTO VENDIDO]]-MASTER[[#This Row],[COSTO DE VENTA]]</f>
        <v>964</v>
      </c>
    </row>
    <row r="2372" spans="1:22" x14ac:dyDescent="0.3">
      <c r="A2372">
        <v>40650</v>
      </c>
      <c r="B2372">
        <v>1</v>
      </c>
      <c r="C2372" t="s">
        <v>121</v>
      </c>
      <c r="D2372" t="s">
        <v>122</v>
      </c>
      <c r="E2372" s="1">
        <v>44115</v>
      </c>
      <c r="F2372">
        <v>4</v>
      </c>
      <c r="G2372" t="s">
        <v>24</v>
      </c>
      <c r="H2372" t="s">
        <v>25</v>
      </c>
      <c r="I2372" s="3">
        <v>1144</v>
      </c>
      <c r="J2372" s="3">
        <v>1144</v>
      </c>
      <c r="K2372" s="3">
        <v>460</v>
      </c>
      <c r="L2372" t="s">
        <v>120</v>
      </c>
      <c r="M2372">
        <v>1</v>
      </c>
      <c r="N2372" t="s">
        <v>77</v>
      </c>
      <c r="O2372" t="s">
        <v>70</v>
      </c>
      <c r="P2372" t="s">
        <v>71</v>
      </c>
      <c r="Q2372" t="s">
        <v>72</v>
      </c>
      <c r="R2372" t="s">
        <v>139</v>
      </c>
      <c r="S2372" t="s">
        <v>144</v>
      </c>
      <c r="T2372" s="2">
        <f>MASTER[[#This Row],[CANTIDAD]]*MASTER[[#This Row],[PRECIO DE VENTA]]</f>
        <v>4576</v>
      </c>
      <c r="U2372" s="2">
        <f>MASTER[[#This Row],[CANTIDAD]]*MASTER[[#This Row],[COSTO UNITARIO]]</f>
        <v>1840</v>
      </c>
      <c r="V2372" s="2">
        <f>MASTER[[#This Row],[MONTO VENDIDO]]-MASTER[[#This Row],[COSTO DE VENTA]]</f>
        <v>2736</v>
      </c>
    </row>
    <row r="2373" spans="1:22" x14ac:dyDescent="0.3">
      <c r="A2373">
        <v>40667</v>
      </c>
      <c r="B2373">
        <v>1</v>
      </c>
      <c r="C2373" t="s">
        <v>5</v>
      </c>
      <c r="D2373" t="s">
        <v>6</v>
      </c>
      <c r="E2373" s="1">
        <v>44115</v>
      </c>
      <c r="F2373">
        <v>1</v>
      </c>
      <c r="G2373" t="s">
        <v>33</v>
      </c>
      <c r="H2373" t="s">
        <v>34</v>
      </c>
      <c r="I2373" s="3">
        <v>1296</v>
      </c>
      <c r="J2373" s="3">
        <v>1296</v>
      </c>
      <c r="K2373" s="3">
        <v>393</v>
      </c>
      <c r="L2373" t="s">
        <v>9</v>
      </c>
      <c r="M2373">
        <v>13</v>
      </c>
      <c r="N2373" t="s">
        <v>78</v>
      </c>
      <c r="O2373" t="s">
        <v>70</v>
      </c>
      <c r="P2373" t="s">
        <v>18</v>
      </c>
      <c r="Q2373" t="s">
        <v>19</v>
      </c>
      <c r="R2373" t="s">
        <v>138</v>
      </c>
      <c r="S2373" t="s">
        <v>144</v>
      </c>
      <c r="T2373" s="2">
        <f>MASTER[[#This Row],[CANTIDAD]]*MASTER[[#This Row],[PRECIO DE VENTA]]</f>
        <v>1296</v>
      </c>
      <c r="U2373" s="2">
        <f>MASTER[[#This Row],[CANTIDAD]]*MASTER[[#This Row],[COSTO UNITARIO]]</f>
        <v>393</v>
      </c>
      <c r="V2373" s="2">
        <f>MASTER[[#This Row],[MONTO VENDIDO]]-MASTER[[#This Row],[COSTO DE VENTA]]</f>
        <v>903</v>
      </c>
    </row>
    <row r="2374" spans="1:22" x14ac:dyDescent="0.3">
      <c r="A2374">
        <v>40682</v>
      </c>
      <c r="B2374">
        <v>1</v>
      </c>
      <c r="C2374" t="s">
        <v>105</v>
      </c>
      <c r="D2374" t="s">
        <v>106</v>
      </c>
      <c r="E2374" s="1">
        <v>44115</v>
      </c>
      <c r="F2374">
        <v>1</v>
      </c>
      <c r="G2374" t="s">
        <v>33</v>
      </c>
      <c r="H2374" t="s">
        <v>34</v>
      </c>
      <c r="I2374" s="3">
        <v>2033</v>
      </c>
      <c r="J2374" s="3">
        <v>2033</v>
      </c>
      <c r="K2374" s="3">
        <v>459</v>
      </c>
      <c r="L2374" t="s">
        <v>98</v>
      </c>
      <c r="M2374">
        <v>9</v>
      </c>
      <c r="N2374" t="s">
        <v>76</v>
      </c>
      <c r="O2374" t="s">
        <v>70</v>
      </c>
      <c r="P2374" t="s">
        <v>12</v>
      </c>
      <c r="Q2374" t="s">
        <v>13</v>
      </c>
      <c r="R2374" t="s">
        <v>13</v>
      </c>
      <c r="S2374" t="s">
        <v>144</v>
      </c>
      <c r="T2374" s="2">
        <f>MASTER[[#This Row],[CANTIDAD]]*MASTER[[#This Row],[PRECIO DE VENTA]]</f>
        <v>2033</v>
      </c>
      <c r="U2374" s="2">
        <f>MASTER[[#This Row],[CANTIDAD]]*MASTER[[#This Row],[COSTO UNITARIO]]</f>
        <v>459</v>
      </c>
      <c r="V2374" s="2">
        <f>MASTER[[#This Row],[MONTO VENDIDO]]-MASTER[[#This Row],[COSTO DE VENTA]]</f>
        <v>1574</v>
      </c>
    </row>
    <row r="2375" spans="1:22" x14ac:dyDescent="0.3">
      <c r="A2375">
        <v>40685</v>
      </c>
      <c r="B2375">
        <v>1</v>
      </c>
      <c r="C2375" t="s">
        <v>118</v>
      </c>
      <c r="D2375" t="s">
        <v>119</v>
      </c>
      <c r="E2375" s="1">
        <v>44115</v>
      </c>
      <c r="F2375">
        <v>1</v>
      </c>
      <c r="G2375" t="s">
        <v>33</v>
      </c>
      <c r="H2375" t="s">
        <v>34</v>
      </c>
      <c r="I2375" s="3">
        <v>1026</v>
      </c>
      <c r="J2375" s="3">
        <v>1026</v>
      </c>
      <c r="K2375" s="3">
        <v>424</v>
      </c>
      <c r="L2375" t="s">
        <v>120</v>
      </c>
      <c r="M2375">
        <v>1</v>
      </c>
      <c r="N2375" t="s">
        <v>77</v>
      </c>
      <c r="O2375" t="s">
        <v>70</v>
      </c>
      <c r="P2375" t="s">
        <v>71</v>
      </c>
      <c r="Q2375" t="s">
        <v>72</v>
      </c>
      <c r="R2375" t="s">
        <v>139</v>
      </c>
      <c r="S2375" t="s">
        <v>144</v>
      </c>
      <c r="T2375" s="2">
        <f>MASTER[[#This Row],[CANTIDAD]]*MASTER[[#This Row],[PRECIO DE VENTA]]</f>
        <v>1026</v>
      </c>
      <c r="U2375" s="2">
        <f>MASTER[[#This Row],[CANTIDAD]]*MASTER[[#This Row],[COSTO UNITARIO]]</f>
        <v>424</v>
      </c>
      <c r="V2375" s="2">
        <f>MASTER[[#This Row],[MONTO VENDIDO]]-MASTER[[#This Row],[COSTO DE VENTA]]</f>
        <v>602</v>
      </c>
    </row>
    <row r="2376" spans="1:22" x14ac:dyDescent="0.3">
      <c r="A2376">
        <v>40695</v>
      </c>
      <c r="B2376">
        <v>1</v>
      </c>
      <c r="C2376" t="s">
        <v>116</v>
      </c>
      <c r="D2376" t="s">
        <v>117</v>
      </c>
      <c r="E2376" s="1">
        <v>44115</v>
      </c>
      <c r="F2376">
        <v>1</v>
      </c>
      <c r="G2376" t="s">
        <v>37</v>
      </c>
      <c r="H2376" t="s">
        <v>38</v>
      </c>
      <c r="I2376" s="3">
        <v>1529</v>
      </c>
      <c r="J2376" s="3">
        <v>1529</v>
      </c>
      <c r="K2376" s="3">
        <v>388</v>
      </c>
      <c r="L2376" t="s">
        <v>113</v>
      </c>
      <c r="M2376">
        <v>11</v>
      </c>
      <c r="N2376" t="s">
        <v>10</v>
      </c>
      <c r="O2376" t="s">
        <v>11</v>
      </c>
      <c r="P2376" t="s">
        <v>12</v>
      </c>
      <c r="Q2376" t="s">
        <v>13</v>
      </c>
      <c r="R2376" t="s">
        <v>13</v>
      </c>
      <c r="S2376" t="s">
        <v>144</v>
      </c>
      <c r="T2376" s="2">
        <f>MASTER[[#This Row],[CANTIDAD]]*MASTER[[#This Row],[PRECIO DE VENTA]]</f>
        <v>1529</v>
      </c>
      <c r="U2376" s="2">
        <f>MASTER[[#This Row],[CANTIDAD]]*MASTER[[#This Row],[COSTO UNITARIO]]</f>
        <v>388</v>
      </c>
      <c r="V2376" s="2">
        <f>MASTER[[#This Row],[MONTO VENDIDO]]-MASTER[[#This Row],[COSTO DE VENTA]]</f>
        <v>1141</v>
      </c>
    </row>
    <row r="2377" spans="1:22" x14ac:dyDescent="0.3">
      <c r="A2377">
        <v>40711</v>
      </c>
      <c r="B2377">
        <v>1</v>
      </c>
      <c r="C2377" t="s">
        <v>92</v>
      </c>
      <c r="D2377" t="s">
        <v>93</v>
      </c>
      <c r="E2377" s="1">
        <v>44115</v>
      </c>
      <c r="F2377">
        <v>1</v>
      </c>
      <c r="G2377" t="s">
        <v>47</v>
      </c>
      <c r="H2377" t="s">
        <v>48</v>
      </c>
      <c r="I2377" s="3">
        <v>1681</v>
      </c>
      <c r="J2377" s="3">
        <v>1681</v>
      </c>
      <c r="K2377" s="3">
        <v>396</v>
      </c>
      <c r="L2377" t="s">
        <v>9</v>
      </c>
      <c r="M2377">
        <v>14</v>
      </c>
      <c r="N2377" t="s">
        <v>87</v>
      </c>
      <c r="O2377" t="s">
        <v>81</v>
      </c>
      <c r="P2377" t="s">
        <v>18</v>
      </c>
      <c r="Q2377" t="s">
        <v>19</v>
      </c>
      <c r="R2377" t="s">
        <v>138</v>
      </c>
      <c r="S2377" t="s">
        <v>144</v>
      </c>
      <c r="T2377" s="2">
        <f>MASTER[[#This Row],[CANTIDAD]]*MASTER[[#This Row],[PRECIO DE VENTA]]</f>
        <v>1681</v>
      </c>
      <c r="U2377" s="2">
        <f>MASTER[[#This Row],[CANTIDAD]]*MASTER[[#This Row],[COSTO UNITARIO]]</f>
        <v>396</v>
      </c>
      <c r="V2377" s="2">
        <f>MASTER[[#This Row],[MONTO VENDIDO]]-MASTER[[#This Row],[COSTO DE VENTA]]</f>
        <v>1285</v>
      </c>
    </row>
    <row r="2378" spans="1:22" x14ac:dyDescent="0.3">
      <c r="A2378">
        <v>40715</v>
      </c>
      <c r="B2378">
        <v>1</v>
      </c>
      <c r="C2378" t="s">
        <v>111</v>
      </c>
      <c r="D2378" t="s">
        <v>112</v>
      </c>
      <c r="E2378" s="1">
        <v>44116</v>
      </c>
      <c r="F2378">
        <v>1</v>
      </c>
      <c r="G2378" t="s">
        <v>27</v>
      </c>
      <c r="H2378" t="s">
        <v>28</v>
      </c>
      <c r="I2378" s="3">
        <v>1799</v>
      </c>
      <c r="J2378" s="3">
        <v>1799</v>
      </c>
      <c r="K2378" s="3">
        <v>434</v>
      </c>
      <c r="L2378" t="s">
        <v>113</v>
      </c>
      <c r="M2378">
        <v>6</v>
      </c>
      <c r="N2378" t="s">
        <v>75</v>
      </c>
      <c r="O2378" t="s">
        <v>70</v>
      </c>
      <c r="P2378" t="s">
        <v>12</v>
      </c>
      <c r="Q2378" t="s">
        <v>13</v>
      </c>
      <c r="R2378" t="s">
        <v>13</v>
      </c>
      <c r="S2378" t="s">
        <v>144</v>
      </c>
      <c r="T2378" s="2">
        <f>MASTER[[#This Row],[CANTIDAD]]*MASTER[[#This Row],[PRECIO DE VENTA]]</f>
        <v>1799</v>
      </c>
      <c r="U2378" s="2">
        <f>MASTER[[#This Row],[CANTIDAD]]*MASTER[[#This Row],[COSTO UNITARIO]]</f>
        <v>434</v>
      </c>
      <c r="V2378" s="2">
        <f>MASTER[[#This Row],[MONTO VENDIDO]]-MASTER[[#This Row],[COSTO DE VENTA]]</f>
        <v>1365</v>
      </c>
    </row>
    <row r="2379" spans="1:22" x14ac:dyDescent="0.3">
      <c r="A2379">
        <v>40719</v>
      </c>
      <c r="B2379">
        <v>1</v>
      </c>
      <c r="C2379" t="s">
        <v>92</v>
      </c>
      <c r="D2379" t="s">
        <v>93</v>
      </c>
      <c r="E2379" s="1">
        <v>44116</v>
      </c>
      <c r="F2379">
        <v>1</v>
      </c>
      <c r="G2379" t="s">
        <v>63</v>
      </c>
      <c r="H2379" t="s">
        <v>64</v>
      </c>
      <c r="I2379" s="3">
        <v>1681</v>
      </c>
      <c r="J2379" s="3">
        <v>1681</v>
      </c>
      <c r="K2379" s="3">
        <v>396</v>
      </c>
      <c r="L2379" t="s">
        <v>9</v>
      </c>
      <c r="M2379">
        <v>19</v>
      </c>
      <c r="N2379" t="s">
        <v>89</v>
      </c>
      <c r="O2379" t="s">
        <v>81</v>
      </c>
      <c r="P2379" t="s">
        <v>15</v>
      </c>
      <c r="Q2379" t="s">
        <v>16</v>
      </c>
      <c r="R2379" t="s">
        <v>16</v>
      </c>
      <c r="S2379" t="s">
        <v>144</v>
      </c>
      <c r="T2379" s="2">
        <f>MASTER[[#This Row],[CANTIDAD]]*MASTER[[#This Row],[PRECIO DE VENTA]]</f>
        <v>1681</v>
      </c>
      <c r="U2379" s="2">
        <f>MASTER[[#This Row],[CANTIDAD]]*MASTER[[#This Row],[COSTO UNITARIO]]</f>
        <v>396</v>
      </c>
      <c r="V2379" s="2">
        <f>MASTER[[#This Row],[MONTO VENDIDO]]-MASTER[[#This Row],[COSTO DE VENTA]]</f>
        <v>1285</v>
      </c>
    </row>
    <row r="2380" spans="1:22" x14ac:dyDescent="0.3">
      <c r="A2380">
        <v>40726</v>
      </c>
      <c r="B2380">
        <v>1</v>
      </c>
      <c r="C2380" t="s">
        <v>105</v>
      </c>
      <c r="D2380" t="s">
        <v>106</v>
      </c>
      <c r="E2380" s="1">
        <v>44116</v>
      </c>
      <c r="F2380">
        <v>1</v>
      </c>
      <c r="G2380" t="s">
        <v>51</v>
      </c>
      <c r="H2380" t="s">
        <v>52</v>
      </c>
      <c r="I2380" s="3">
        <v>1585</v>
      </c>
      <c r="J2380" s="3">
        <v>1585</v>
      </c>
      <c r="K2380" s="3">
        <v>459</v>
      </c>
      <c r="L2380" t="s">
        <v>98</v>
      </c>
      <c r="M2380">
        <v>16</v>
      </c>
      <c r="N2380" t="s">
        <v>17</v>
      </c>
      <c r="O2380" t="s">
        <v>11</v>
      </c>
      <c r="P2380" t="s">
        <v>18</v>
      </c>
      <c r="Q2380" t="s">
        <v>19</v>
      </c>
      <c r="R2380" t="s">
        <v>138</v>
      </c>
      <c r="S2380" t="s">
        <v>144</v>
      </c>
      <c r="T2380" s="2">
        <f>MASTER[[#This Row],[CANTIDAD]]*MASTER[[#This Row],[PRECIO DE VENTA]]</f>
        <v>1585</v>
      </c>
      <c r="U2380" s="2">
        <f>MASTER[[#This Row],[CANTIDAD]]*MASTER[[#This Row],[COSTO UNITARIO]]</f>
        <v>459</v>
      </c>
      <c r="V2380" s="2">
        <f>MASTER[[#This Row],[MONTO VENDIDO]]-MASTER[[#This Row],[COSTO DE VENTA]]</f>
        <v>1126</v>
      </c>
    </row>
    <row r="2381" spans="1:22" x14ac:dyDescent="0.3">
      <c r="A2381">
        <v>40730</v>
      </c>
      <c r="B2381">
        <v>1</v>
      </c>
      <c r="C2381" t="s">
        <v>101</v>
      </c>
      <c r="D2381" t="s">
        <v>102</v>
      </c>
      <c r="E2381" s="1">
        <v>44116</v>
      </c>
      <c r="F2381">
        <v>1</v>
      </c>
      <c r="G2381" t="s">
        <v>59</v>
      </c>
      <c r="H2381" t="s">
        <v>60</v>
      </c>
      <c r="I2381" s="3">
        <v>1357</v>
      </c>
      <c r="J2381" s="3">
        <v>1357</v>
      </c>
      <c r="K2381" s="3">
        <v>442</v>
      </c>
      <c r="L2381" t="s">
        <v>98</v>
      </c>
      <c r="M2381">
        <v>1</v>
      </c>
      <c r="N2381" t="s">
        <v>77</v>
      </c>
      <c r="O2381" t="s">
        <v>70</v>
      </c>
      <c r="P2381" t="s">
        <v>71</v>
      </c>
      <c r="Q2381" t="s">
        <v>72</v>
      </c>
      <c r="R2381" t="s">
        <v>139</v>
      </c>
      <c r="S2381" t="s">
        <v>144</v>
      </c>
      <c r="T2381" s="2">
        <f>MASTER[[#This Row],[CANTIDAD]]*MASTER[[#This Row],[PRECIO DE VENTA]]</f>
        <v>1357</v>
      </c>
      <c r="U2381" s="2">
        <f>MASTER[[#This Row],[CANTIDAD]]*MASTER[[#This Row],[COSTO UNITARIO]]</f>
        <v>442</v>
      </c>
      <c r="V2381" s="2">
        <f>MASTER[[#This Row],[MONTO VENDIDO]]-MASTER[[#This Row],[COSTO DE VENTA]]</f>
        <v>915</v>
      </c>
    </row>
    <row r="2382" spans="1:22" x14ac:dyDescent="0.3">
      <c r="A2382">
        <v>40745</v>
      </c>
      <c r="B2382">
        <v>1</v>
      </c>
      <c r="C2382" t="s">
        <v>116</v>
      </c>
      <c r="D2382" t="s">
        <v>117</v>
      </c>
      <c r="E2382" s="1">
        <v>44116</v>
      </c>
      <c r="F2382">
        <v>1</v>
      </c>
      <c r="G2382" t="s">
        <v>29</v>
      </c>
      <c r="H2382" t="s">
        <v>30</v>
      </c>
      <c r="I2382" s="3">
        <v>1529</v>
      </c>
      <c r="J2382" s="3">
        <v>1529</v>
      </c>
      <c r="K2382" s="3">
        <v>388</v>
      </c>
      <c r="L2382" t="s">
        <v>113</v>
      </c>
      <c r="M2382">
        <v>12</v>
      </c>
      <c r="N2382" t="s">
        <v>26</v>
      </c>
      <c r="O2382" t="s">
        <v>11</v>
      </c>
      <c r="P2382" t="s">
        <v>12</v>
      </c>
      <c r="Q2382" t="s">
        <v>13</v>
      </c>
      <c r="R2382" t="s">
        <v>13</v>
      </c>
      <c r="S2382" t="s">
        <v>144</v>
      </c>
      <c r="T2382" s="2">
        <f>MASTER[[#This Row],[CANTIDAD]]*MASTER[[#This Row],[PRECIO DE VENTA]]</f>
        <v>1529</v>
      </c>
      <c r="U2382" s="2">
        <f>MASTER[[#This Row],[CANTIDAD]]*MASTER[[#This Row],[COSTO UNITARIO]]</f>
        <v>388</v>
      </c>
      <c r="V2382" s="2">
        <f>MASTER[[#This Row],[MONTO VENDIDO]]-MASTER[[#This Row],[COSTO DE VENTA]]</f>
        <v>1141</v>
      </c>
    </row>
    <row r="2383" spans="1:22" x14ac:dyDescent="0.3">
      <c r="A2383">
        <v>40748</v>
      </c>
      <c r="B2383">
        <v>1</v>
      </c>
      <c r="C2383" t="s">
        <v>118</v>
      </c>
      <c r="D2383" t="s">
        <v>119</v>
      </c>
      <c r="E2383" s="1">
        <v>44116</v>
      </c>
      <c r="F2383">
        <v>1</v>
      </c>
      <c r="G2383" t="s">
        <v>33</v>
      </c>
      <c r="H2383" t="s">
        <v>34</v>
      </c>
      <c r="I2383" s="3">
        <v>900</v>
      </c>
      <c r="J2383" s="3">
        <v>900</v>
      </c>
      <c r="K2383" s="3">
        <v>424</v>
      </c>
      <c r="L2383" t="s">
        <v>120</v>
      </c>
      <c r="M2383">
        <v>4</v>
      </c>
      <c r="N2383" t="s">
        <v>82</v>
      </c>
      <c r="O2383" t="s">
        <v>81</v>
      </c>
      <c r="P2383" t="s">
        <v>71</v>
      </c>
      <c r="Q2383" t="s">
        <v>72</v>
      </c>
      <c r="R2383" t="s">
        <v>139</v>
      </c>
      <c r="S2383" t="s">
        <v>144</v>
      </c>
      <c r="T2383" s="2">
        <f>MASTER[[#This Row],[CANTIDAD]]*MASTER[[#This Row],[PRECIO DE VENTA]]</f>
        <v>900</v>
      </c>
      <c r="U2383" s="2">
        <f>MASTER[[#This Row],[CANTIDAD]]*MASTER[[#This Row],[COSTO UNITARIO]]</f>
        <v>424</v>
      </c>
      <c r="V2383" s="2">
        <f>MASTER[[#This Row],[MONTO VENDIDO]]-MASTER[[#This Row],[COSTO DE VENTA]]</f>
        <v>476</v>
      </c>
    </row>
    <row r="2384" spans="1:22" x14ac:dyDescent="0.3">
      <c r="A2384">
        <v>40766</v>
      </c>
      <c r="B2384">
        <v>1</v>
      </c>
      <c r="C2384" t="s">
        <v>111</v>
      </c>
      <c r="D2384" t="s">
        <v>112</v>
      </c>
      <c r="E2384" s="1">
        <v>44116</v>
      </c>
      <c r="F2384">
        <v>1</v>
      </c>
      <c r="G2384" t="s">
        <v>51</v>
      </c>
      <c r="H2384" t="s">
        <v>52</v>
      </c>
      <c r="I2384" s="3">
        <v>1799</v>
      </c>
      <c r="J2384" s="3">
        <v>1619</v>
      </c>
      <c r="K2384" s="3">
        <v>434</v>
      </c>
      <c r="L2384" t="s">
        <v>113</v>
      </c>
      <c r="M2384">
        <v>13</v>
      </c>
      <c r="N2384" t="s">
        <v>78</v>
      </c>
      <c r="O2384" t="s">
        <v>70</v>
      </c>
      <c r="P2384" t="s">
        <v>18</v>
      </c>
      <c r="Q2384" t="s">
        <v>19</v>
      </c>
      <c r="R2384" t="s">
        <v>138</v>
      </c>
      <c r="S2384" t="s">
        <v>144</v>
      </c>
      <c r="T2384" s="2">
        <f>MASTER[[#This Row],[CANTIDAD]]*MASTER[[#This Row],[PRECIO DE VENTA]]</f>
        <v>1619</v>
      </c>
      <c r="U2384" s="2">
        <f>MASTER[[#This Row],[CANTIDAD]]*MASTER[[#This Row],[COSTO UNITARIO]]</f>
        <v>434</v>
      </c>
      <c r="V2384" s="2">
        <f>MASTER[[#This Row],[MONTO VENDIDO]]-MASTER[[#This Row],[COSTO DE VENTA]]</f>
        <v>1185</v>
      </c>
    </row>
    <row r="2385" spans="1:22" x14ac:dyDescent="0.3">
      <c r="A2385">
        <v>40788</v>
      </c>
      <c r="B2385">
        <v>1</v>
      </c>
      <c r="C2385" t="s">
        <v>109</v>
      </c>
      <c r="D2385" t="s">
        <v>110</v>
      </c>
      <c r="E2385" s="1">
        <v>44116</v>
      </c>
      <c r="F2385">
        <v>1</v>
      </c>
      <c r="G2385" t="s">
        <v>35</v>
      </c>
      <c r="H2385" t="s">
        <v>36</v>
      </c>
      <c r="I2385" s="3">
        <v>1128</v>
      </c>
      <c r="J2385" s="3">
        <v>1128</v>
      </c>
      <c r="K2385" s="3">
        <v>387</v>
      </c>
      <c r="L2385" t="s">
        <v>98</v>
      </c>
      <c r="M2385">
        <v>1</v>
      </c>
      <c r="N2385" t="s">
        <v>77</v>
      </c>
      <c r="O2385" t="s">
        <v>70</v>
      </c>
      <c r="P2385" t="s">
        <v>71</v>
      </c>
      <c r="Q2385" t="s">
        <v>72</v>
      </c>
      <c r="R2385" t="s">
        <v>139</v>
      </c>
      <c r="S2385" t="s">
        <v>144</v>
      </c>
      <c r="T2385" s="2">
        <f>MASTER[[#This Row],[CANTIDAD]]*MASTER[[#This Row],[PRECIO DE VENTA]]</f>
        <v>1128</v>
      </c>
      <c r="U2385" s="2">
        <f>MASTER[[#This Row],[CANTIDAD]]*MASTER[[#This Row],[COSTO UNITARIO]]</f>
        <v>387</v>
      </c>
      <c r="V2385" s="2">
        <f>MASTER[[#This Row],[MONTO VENDIDO]]-MASTER[[#This Row],[COSTO DE VENTA]]</f>
        <v>741</v>
      </c>
    </row>
    <row r="2386" spans="1:22" x14ac:dyDescent="0.3">
      <c r="A2386">
        <v>40795</v>
      </c>
      <c r="B2386">
        <v>1</v>
      </c>
      <c r="C2386" t="s">
        <v>5</v>
      </c>
      <c r="D2386" t="s">
        <v>6</v>
      </c>
      <c r="E2386" s="1">
        <v>44116</v>
      </c>
      <c r="F2386">
        <v>1</v>
      </c>
      <c r="G2386" t="s">
        <v>33</v>
      </c>
      <c r="H2386" t="s">
        <v>34</v>
      </c>
      <c r="I2386" s="3">
        <v>1311</v>
      </c>
      <c r="J2386" s="3">
        <v>1311</v>
      </c>
      <c r="K2386" s="3">
        <v>393</v>
      </c>
      <c r="L2386" t="s">
        <v>9</v>
      </c>
      <c r="M2386">
        <v>12</v>
      </c>
      <c r="N2386" t="s">
        <v>26</v>
      </c>
      <c r="O2386" t="s">
        <v>11</v>
      </c>
      <c r="P2386" t="s">
        <v>12</v>
      </c>
      <c r="Q2386" t="s">
        <v>13</v>
      </c>
      <c r="R2386" t="s">
        <v>13</v>
      </c>
      <c r="S2386" t="s">
        <v>144</v>
      </c>
      <c r="T2386" s="2">
        <f>MASTER[[#This Row],[CANTIDAD]]*MASTER[[#This Row],[PRECIO DE VENTA]]</f>
        <v>1311</v>
      </c>
      <c r="U2386" s="2">
        <f>MASTER[[#This Row],[CANTIDAD]]*MASTER[[#This Row],[COSTO UNITARIO]]</f>
        <v>393</v>
      </c>
      <c r="V2386" s="2">
        <f>MASTER[[#This Row],[MONTO VENDIDO]]-MASTER[[#This Row],[COSTO DE VENTA]]</f>
        <v>918</v>
      </c>
    </row>
    <row r="2387" spans="1:22" x14ac:dyDescent="0.3">
      <c r="A2387">
        <v>40801</v>
      </c>
      <c r="B2387">
        <v>1</v>
      </c>
      <c r="C2387" t="s">
        <v>109</v>
      </c>
      <c r="D2387" t="s">
        <v>110</v>
      </c>
      <c r="E2387" s="1">
        <v>44116</v>
      </c>
      <c r="F2387">
        <v>1</v>
      </c>
      <c r="G2387" t="s">
        <v>35</v>
      </c>
      <c r="H2387" t="s">
        <v>36</v>
      </c>
      <c r="I2387" s="3">
        <v>1064</v>
      </c>
      <c r="J2387" s="3">
        <v>1064</v>
      </c>
      <c r="K2387" s="3">
        <v>387</v>
      </c>
      <c r="L2387" t="s">
        <v>98</v>
      </c>
      <c r="M2387">
        <v>7</v>
      </c>
      <c r="N2387" t="s">
        <v>84</v>
      </c>
      <c r="O2387" t="s">
        <v>81</v>
      </c>
      <c r="P2387" t="s">
        <v>12</v>
      </c>
      <c r="Q2387" t="s">
        <v>13</v>
      </c>
      <c r="R2387" t="s">
        <v>13</v>
      </c>
      <c r="S2387" t="s">
        <v>144</v>
      </c>
      <c r="T2387" s="2">
        <f>MASTER[[#This Row],[CANTIDAD]]*MASTER[[#This Row],[PRECIO DE VENTA]]</f>
        <v>1064</v>
      </c>
      <c r="U2387" s="2">
        <f>MASTER[[#This Row],[CANTIDAD]]*MASTER[[#This Row],[COSTO UNITARIO]]</f>
        <v>387</v>
      </c>
      <c r="V2387" s="2">
        <f>MASTER[[#This Row],[MONTO VENDIDO]]-MASTER[[#This Row],[COSTO DE VENTA]]</f>
        <v>677</v>
      </c>
    </row>
    <row r="2388" spans="1:22" x14ac:dyDescent="0.3">
      <c r="A2388">
        <v>40823</v>
      </c>
      <c r="B2388">
        <v>1</v>
      </c>
      <c r="C2388" t="s">
        <v>103</v>
      </c>
      <c r="D2388" t="s">
        <v>104</v>
      </c>
      <c r="E2388" s="1">
        <v>44116</v>
      </c>
      <c r="F2388">
        <v>1</v>
      </c>
      <c r="G2388" t="s">
        <v>45</v>
      </c>
      <c r="H2388" t="s">
        <v>46</v>
      </c>
      <c r="I2388" s="3">
        <v>1591</v>
      </c>
      <c r="J2388" s="3">
        <v>1591</v>
      </c>
      <c r="K2388" s="3">
        <v>421</v>
      </c>
      <c r="L2388" t="s">
        <v>98</v>
      </c>
      <c r="M2388">
        <v>14</v>
      </c>
      <c r="N2388" t="s">
        <v>87</v>
      </c>
      <c r="O2388" t="s">
        <v>81</v>
      </c>
      <c r="P2388" t="s">
        <v>18</v>
      </c>
      <c r="Q2388" t="s">
        <v>19</v>
      </c>
      <c r="R2388" t="s">
        <v>138</v>
      </c>
      <c r="S2388" t="s">
        <v>144</v>
      </c>
      <c r="T2388" s="2">
        <f>MASTER[[#This Row],[CANTIDAD]]*MASTER[[#This Row],[PRECIO DE VENTA]]</f>
        <v>1591</v>
      </c>
      <c r="U2388" s="2">
        <f>MASTER[[#This Row],[CANTIDAD]]*MASTER[[#This Row],[COSTO UNITARIO]]</f>
        <v>421</v>
      </c>
      <c r="V2388" s="2">
        <f>MASTER[[#This Row],[MONTO VENDIDO]]-MASTER[[#This Row],[COSTO DE VENTA]]</f>
        <v>1170</v>
      </c>
    </row>
    <row r="2389" spans="1:22" x14ac:dyDescent="0.3">
      <c r="A2389">
        <v>40863</v>
      </c>
      <c r="B2389">
        <v>1</v>
      </c>
      <c r="C2389" t="s">
        <v>94</v>
      </c>
      <c r="D2389" t="s">
        <v>95</v>
      </c>
      <c r="E2389" s="1">
        <v>44116</v>
      </c>
      <c r="F2389">
        <v>1</v>
      </c>
      <c r="G2389" t="s">
        <v>51</v>
      </c>
      <c r="H2389" t="s">
        <v>52</v>
      </c>
      <c r="I2389" s="3">
        <v>1153</v>
      </c>
      <c r="J2389" s="3">
        <v>1153</v>
      </c>
      <c r="K2389" s="3">
        <v>392</v>
      </c>
      <c r="L2389" t="s">
        <v>9</v>
      </c>
      <c r="M2389">
        <v>13</v>
      </c>
      <c r="N2389" t="s">
        <v>78</v>
      </c>
      <c r="O2389" t="s">
        <v>70</v>
      </c>
      <c r="P2389" t="s">
        <v>18</v>
      </c>
      <c r="Q2389" t="s">
        <v>19</v>
      </c>
      <c r="R2389" t="s">
        <v>138</v>
      </c>
      <c r="S2389" t="s">
        <v>144</v>
      </c>
      <c r="T2389" s="2">
        <f>MASTER[[#This Row],[CANTIDAD]]*MASTER[[#This Row],[PRECIO DE VENTA]]</f>
        <v>1153</v>
      </c>
      <c r="U2389" s="2">
        <f>MASTER[[#This Row],[CANTIDAD]]*MASTER[[#This Row],[COSTO UNITARIO]]</f>
        <v>392</v>
      </c>
      <c r="V2389" s="2">
        <f>MASTER[[#This Row],[MONTO VENDIDO]]-MASTER[[#This Row],[COSTO DE VENTA]]</f>
        <v>761</v>
      </c>
    </row>
    <row r="2390" spans="1:22" x14ac:dyDescent="0.3">
      <c r="A2390">
        <v>40865</v>
      </c>
      <c r="B2390">
        <v>1</v>
      </c>
      <c r="C2390" t="s">
        <v>118</v>
      </c>
      <c r="D2390" t="s">
        <v>119</v>
      </c>
      <c r="E2390" s="1">
        <v>44117</v>
      </c>
      <c r="F2390">
        <v>1</v>
      </c>
      <c r="G2390" t="s">
        <v>37</v>
      </c>
      <c r="H2390" t="s">
        <v>38</v>
      </c>
      <c r="I2390" s="3">
        <v>900</v>
      </c>
      <c r="J2390" s="3">
        <v>900</v>
      </c>
      <c r="K2390" s="3">
        <v>424</v>
      </c>
      <c r="L2390" t="s">
        <v>120</v>
      </c>
      <c r="M2390">
        <v>19</v>
      </c>
      <c r="N2390" t="s">
        <v>89</v>
      </c>
      <c r="O2390" t="s">
        <v>81</v>
      </c>
      <c r="P2390" t="s">
        <v>15</v>
      </c>
      <c r="Q2390" t="s">
        <v>16</v>
      </c>
      <c r="R2390" t="s">
        <v>16</v>
      </c>
      <c r="S2390" t="s">
        <v>144</v>
      </c>
      <c r="T2390" s="2">
        <f>MASTER[[#This Row],[CANTIDAD]]*MASTER[[#This Row],[PRECIO DE VENTA]]</f>
        <v>900</v>
      </c>
      <c r="U2390" s="2">
        <f>MASTER[[#This Row],[CANTIDAD]]*MASTER[[#This Row],[COSTO UNITARIO]]</f>
        <v>424</v>
      </c>
      <c r="V2390" s="2">
        <f>MASTER[[#This Row],[MONTO VENDIDO]]-MASTER[[#This Row],[COSTO DE VENTA]]</f>
        <v>476</v>
      </c>
    </row>
    <row r="2391" spans="1:22" x14ac:dyDescent="0.3">
      <c r="A2391">
        <v>40867</v>
      </c>
      <c r="B2391">
        <v>1</v>
      </c>
      <c r="C2391" t="s">
        <v>121</v>
      </c>
      <c r="D2391" t="s">
        <v>122</v>
      </c>
      <c r="E2391" s="1">
        <v>44117</v>
      </c>
      <c r="F2391">
        <v>4</v>
      </c>
      <c r="G2391" t="s">
        <v>59</v>
      </c>
      <c r="H2391" t="s">
        <v>60</v>
      </c>
      <c r="I2391" s="3">
        <v>1069</v>
      </c>
      <c r="J2391" s="3">
        <v>1069</v>
      </c>
      <c r="K2391" s="3">
        <v>460</v>
      </c>
      <c r="L2391" t="s">
        <v>120</v>
      </c>
      <c r="M2391">
        <v>10</v>
      </c>
      <c r="N2391" t="s">
        <v>83</v>
      </c>
      <c r="O2391" t="s">
        <v>81</v>
      </c>
      <c r="P2391" t="s">
        <v>12</v>
      </c>
      <c r="Q2391" t="s">
        <v>13</v>
      </c>
      <c r="R2391" t="s">
        <v>13</v>
      </c>
      <c r="S2391" t="s">
        <v>144</v>
      </c>
      <c r="T2391" s="2">
        <f>MASTER[[#This Row],[CANTIDAD]]*MASTER[[#This Row],[PRECIO DE VENTA]]</f>
        <v>4276</v>
      </c>
      <c r="U2391" s="2">
        <f>MASTER[[#This Row],[CANTIDAD]]*MASTER[[#This Row],[COSTO UNITARIO]]</f>
        <v>1840</v>
      </c>
      <c r="V2391" s="2">
        <f>MASTER[[#This Row],[MONTO VENDIDO]]-MASTER[[#This Row],[COSTO DE VENTA]]</f>
        <v>2436</v>
      </c>
    </row>
    <row r="2392" spans="1:22" x14ac:dyDescent="0.3">
      <c r="A2392">
        <v>40870</v>
      </c>
      <c r="B2392">
        <v>1</v>
      </c>
      <c r="C2392" t="s">
        <v>109</v>
      </c>
      <c r="D2392" t="s">
        <v>110</v>
      </c>
      <c r="E2392" s="1">
        <v>44117</v>
      </c>
      <c r="F2392">
        <v>2</v>
      </c>
      <c r="G2392" t="s">
        <v>33</v>
      </c>
      <c r="H2392" t="s">
        <v>34</v>
      </c>
      <c r="I2392" s="3">
        <v>947</v>
      </c>
      <c r="J2392" s="3">
        <v>947</v>
      </c>
      <c r="K2392" s="3">
        <v>387</v>
      </c>
      <c r="L2392" t="s">
        <v>98</v>
      </c>
      <c r="M2392">
        <v>11</v>
      </c>
      <c r="N2392" t="s">
        <v>10</v>
      </c>
      <c r="O2392" t="s">
        <v>11</v>
      </c>
      <c r="P2392" t="s">
        <v>12</v>
      </c>
      <c r="Q2392" t="s">
        <v>13</v>
      </c>
      <c r="R2392" t="s">
        <v>13</v>
      </c>
      <c r="S2392" t="s">
        <v>144</v>
      </c>
      <c r="T2392" s="2">
        <f>MASTER[[#This Row],[CANTIDAD]]*MASTER[[#This Row],[PRECIO DE VENTA]]</f>
        <v>1894</v>
      </c>
      <c r="U2392" s="2">
        <f>MASTER[[#This Row],[CANTIDAD]]*MASTER[[#This Row],[COSTO UNITARIO]]</f>
        <v>774</v>
      </c>
      <c r="V2392" s="2">
        <f>MASTER[[#This Row],[MONTO VENDIDO]]-MASTER[[#This Row],[COSTO DE VENTA]]</f>
        <v>1120</v>
      </c>
    </row>
    <row r="2393" spans="1:22" x14ac:dyDescent="0.3">
      <c r="A2393">
        <v>40871</v>
      </c>
      <c r="B2393">
        <v>1</v>
      </c>
      <c r="C2393" t="s">
        <v>111</v>
      </c>
      <c r="D2393" t="s">
        <v>112</v>
      </c>
      <c r="E2393" s="1">
        <v>44117</v>
      </c>
      <c r="F2393">
        <v>1</v>
      </c>
      <c r="G2393" t="s">
        <v>41</v>
      </c>
      <c r="H2393" t="s">
        <v>42</v>
      </c>
      <c r="I2393" s="3">
        <v>1621</v>
      </c>
      <c r="J2393" s="3">
        <v>1621</v>
      </c>
      <c r="K2393" s="3">
        <v>434</v>
      </c>
      <c r="L2393" t="s">
        <v>113</v>
      </c>
      <c r="M2393">
        <v>15</v>
      </c>
      <c r="N2393" t="s">
        <v>88</v>
      </c>
      <c r="O2393" t="s">
        <v>81</v>
      </c>
      <c r="P2393" t="s">
        <v>18</v>
      </c>
      <c r="Q2393" t="s">
        <v>19</v>
      </c>
      <c r="R2393" t="s">
        <v>138</v>
      </c>
      <c r="S2393" t="s">
        <v>144</v>
      </c>
      <c r="T2393" s="2">
        <f>MASTER[[#This Row],[CANTIDAD]]*MASTER[[#This Row],[PRECIO DE VENTA]]</f>
        <v>1621</v>
      </c>
      <c r="U2393" s="2">
        <f>MASTER[[#This Row],[CANTIDAD]]*MASTER[[#This Row],[COSTO UNITARIO]]</f>
        <v>434</v>
      </c>
      <c r="V2393" s="2">
        <f>MASTER[[#This Row],[MONTO VENDIDO]]-MASTER[[#This Row],[COSTO DE VENTA]]</f>
        <v>1187</v>
      </c>
    </row>
    <row r="2394" spans="1:22" x14ac:dyDescent="0.3">
      <c r="A2394">
        <v>40899</v>
      </c>
      <c r="B2394">
        <v>1</v>
      </c>
      <c r="C2394" t="s">
        <v>111</v>
      </c>
      <c r="D2394" t="s">
        <v>112</v>
      </c>
      <c r="E2394" s="1">
        <v>44117</v>
      </c>
      <c r="F2394">
        <v>1</v>
      </c>
      <c r="G2394" t="s">
        <v>55</v>
      </c>
      <c r="H2394" t="s">
        <v>56</v>
      </c>
      <c r="I2394" s="3">
        <v>1524</v>
      </c>
      <c r="J2394" s="3">
        <v>1524</v>
      </c>
      <c r="K2394" s="3">
        <v>434</v>
      </c>
      <c r="L2394" t="s">
        <v>113</v>
      </c>
      <c r="M2394">
        <v>12</v>
      </c>
      <c r="N2394" t="s">
        <v>26</v>
      </c>
      <c r="O2394" t="s">
        <v>11</v>
      </c>
      <c r="P2394" t="s">
        <v>12</v>
      </c>
      <c r="Q2394" t="s">
        <v>13</v>
      </c>
      <c r="R2394" t="s">
        <v>13</v>
      </c>
      <c r="S2394" t="s">
        <v>144</v>
      </c>
      <c r="T2394" s="2">
        <f>MASTER[[#This Row],[CANTIDAD]]*MASTER[[#This Row],[PRECIO DE VENTA]]</f>
        <v>1524</v>
      </c>
      <c r="U2394" s="2">
        <f>MASTER[[#This Row],[CANTIDAD]]*MASTER[[#This Row],[COSTO UNITARIO]]</f>
        <v>434</v>
      </c>
      <c r="V2394" s="2">
        <f>MASTER[[#This Row],[MONTO VENDIDO]]-MASTER[[#This Row],[COSTO DE VENTA]]</f>
        <v>1090</v>
      </c>
    </row>
    <row r="2395" spans="1:22" x14ac:dyDescent="0.3">
      <c r="A2395">
        <v>40911</v>
      </c>
      <c r="B2395">
        <v>1</v>
      </c>
      <c r="C2395" t="s">
        <v>92</v>
      </c>
      <c r="D2395" t="s">
        <v>93</v>
      </c>
      <c r="E2395" s="1">
        <v>44117</v>
      </c>
      <c r="F2395">
        <v>1</v>
      </c>
      <c r="G2395" t="s">
        <v>37</v>
      </c>
      <c r="H2395" t="s">
        <v>38</v>
      </c>
      <c r="I2395" s="3">
        <v>1681</v>
      </c>
      <c r="J2395" s="3">
        <v>1681</v>
      </c>
      <c r="K2395" s="3">
        <v>396</v>
      </c>
      <c r="L2395" t="s">
        <v>9</v>
      </c>
      <c r="M2395">
        <v>2</v>
      </c>
      <c r="N2395" t="s">
        <v>86</v>
      </c>
      <c r="O2395" t="s">
        <v>81</v>
      </c>
      <c r="P2395" t="s">
        <v>71</v>
      </c>
      <c r="Q2395" t="s">
        <v>72</v>
      </c>
      <c r="R2395" t="s">
        <v>139</v>
      </c>
      <c r="S2395" t="s">
        <v>144</v>
      </c>
      <c r="T2395" s="2">
        <f>MASTER[[#This Row],[CANTIDAD]]*MASTER[[#This Row],[PRECIO DE VENTA]]</f>
        <v>1681</v>
      </c>
      <c r="U2395" s="2">
        <f>MASTER[[#This Row],[CANTIDAD]]*MASTER[[#This Row],[COSTO UNITARIO]]</f>
        <v>396</v>
      </c>
      <c r="V2395" s="2">
        <f>MASTER[[#This Row],[MONTO VENDIDO]]-MASTER[[#This Row],[COSTO DE VENTA]]</f>
        <v>1285</v>
      </c>
    </row>
    <row r="2396" spans="1:22" x14ac:dyDescent="0.3">
      <c r="A2396">
        <v>40915</v>
      </c>
      <c r="B2396">
        <v>1</v>
      </c>
      <c r="C2396" t="s">
        <v>5</v>
      </c>
      <c r="D2396" t="s">
        <v>6</v>
      </c>
      <c r="E2396" s="1">
        <v>44117</v>
      </c>
      <c r="F2396">
        <v>1</v>
      </c>
      <c r="G2396" t="s">
        <v>31</v>
      </c>
      <c r="H2396" t="s">
        <v>32</v>
      </c>
      <c r="I2396" s="3">
        <v>1507</v>
      </c>
      <c r="J2396" s="3">
        <v>1507</v>
      </c>
      <c r="K2396" s="3">
        <v>393</v>
      </c>
      <c r="L2396" t="s">
        <v>9</v>
      </c>
      <c r="M2396">
        <v>7</v>
      </c>
      <c r="N2396" t="s">
        <v>84</v>
      </c>
      <c r="O2396" t="s">
        <v>81</v>
      </c>
      <c r="P2396" t="s">
        <v>12</v>
      </c>
      <c r="Q2396" t="s">
        <v>13</v>
      </c>
      <c r="R2396" t="s">
        <v>13</v>
      </c>
      <c r="S2396" t="s">
        <v>144</v>
      </c>
      <c r="T2396" s="2">
        <f>MASTER[[#This Row],[CANTIDAD]]*MASTER[[#This Row],[PRECIO DE VENTA]]</f>
        <v>1507</v>
      </c>
      <c r="U2396" s="2">
        <f>MASTER[[#This Row],[CANTIDAD]]*MASTER[[#This Row],[COSTO UNITARIO]]</f>
        <v>393</v>
      </c>
      <c r="V2396" s="2">
        <f>MASTER[[#This Row],[MONTO VENDIDO]]-MASTER[[#This Row],[COSTO DE VENTA]]</f>
        <v>1114</v>
      </c>
    </row>
    <row r="2397" spans="1:22" x14ac:dyDescent="0.3">
      <c r="A2397">
        <v>40924</v>
      </c>
      <c r="B2397">
        <v>1</v>
      </c>
      <c r="C2397" t="s">
        <v>105</v>
      </c>
      <c r="D2397" t="s">
        <v>106</v>
      </c>
      <c r="E2397" s="1">
        <v>44117</v>
      </c>
      <c r="F2397">
        <v>1</v>
      </c>
      <c r="G2397" t="s">
        <v>47</v>
      </c>
      <c r="H2397" t="s">
        <v>48</v>
      </c>
      <c r="I2397" s="3">
        <v>1865</v>
      </c>
      <c r="J2397" s="3">
        <v>1865</v>
      </c>
      <c r="K2397" s="3">
        <v>459</v>
      </c>
      <c r="L2397" t="s">
        <v>98</v>
      </c>
      <c r="M2397">
        <v>8</v>
      </c>
      <c r="N2397" t="s">
        <v>80</v>
      </c>
      <c r="O2397" t="s">
        <v>81</v>
      </c>
      <c r="P2397" t="s">
        <v>12</v>
      </c>
      <c r="Q2397" t="s">
        <v>13</v>
      </c>
      <c r="R2397" t="s">
        <v>13</v>
      </c>
      <c r="S2397" t="s">
        <v>144</v>
      </c>
      <c r="T2397" s="2">
        <f>MASTER[[#This Row],[CANTIDAD]]*MASTER[[#This Row],[PRECIO DE VENTA]]</f>
        <v>1865</v>
      </c>
      <c r="U2397" s="2">
        <f>MASTER[[#This Row],[CANTIDAD]]*MASTER[[#This Row],[COSTO UNITARIO]]</f>
        <v>459</v>
      </c>
      <c r="V2397" s="2">
        <f>MASTER[[#This Row],[MONTO VENDIDO]]-MASTER[[#This Row],[COSTO DE VENTA]]</f>
        <v>1406</v>
      </c>
    </row>
    <row r="2398" spans="1:22" x14ac:dyDescent="0.3">
      <c r="A2398">
        <v>40945</v>
      </c>
      <c r="B2398">
        <v>1</v>
      </c>
      <c r="C2398" t="s">
        <v>118</v>
      </c>
      <c r="D2398" t="s">
        <v>119</v>
      </c>
      <c r="E2398" s="1">
        <v>44117</v>
      </c>
      <c r="F2398">
        <v>1</v>
      </c>
      <c r="G2398" t="s">
        <v>37</v>
      </c>
      <c r="H2398" t="s">
        <v>38</v>
      </c>
      <c r="I2398" s="3">
        <v>900</v>
      </c>
      <c r="J2398" s="3">
        <v>900</v>
      </c>
      <c r="K2398" s="3">
        <v>424</v>
      </c>
      <c r="L2398" t="s">
        <v>120</v>
      </c>
      <c r="M2398">
        <v>4</v>
      </c>
      <c r="N2398" t="s">
        <v>82</v>
      </c>
      <c r="O2398" t="s">
        <v>81</v>
      </c>
      <c r="P2398" t="s">
        <v>71</v>
      </c>
      <c r="Q2398" t="s">
        <v>72</v>
      </c>
      <c r="R2398" t="s">
        <v>139</v>
      </c>
      <c r="S2398" t="s">
        <v>144</v>
      </c>
      <c r="T2398" s="2">
        <f>MASTER[[#This Row],[CANTIDAD]]*MASTER[[#This Row],[PRECIO DE VENTA]]</f>
        <v>900</v>
      </c>
      <c r="U2398" s="2">
        <f>MASTER[[#This Row],[CANTIDAD]]*MASTER[[#This Row],[COSTO UNITARIO]]</f>
        <v>424</v>
      </c>
      <c r="V2398" s="2">
        <f>MASTER[[#This Row],[MONTO VENDIDO]]-MASTER[[#This Row],[COSTO DE VENTA]]</f>
        <v>476</v>
      </c>
    </row>
    <row r="2399" spans="1:22" x14ac:dyDescent="0.3">
      <c r="A2399">
        <v>40956</v>
      </c>
      <c r="B2399">
        <v>1</v>
      </c>
      <c r="C2399" t="s">
        <v>99</v>
      </c>
      <c r="D2399" t="s">
        <v>100</v>
      </c>
      <c r="E2399" s="1">
        <v>44118</v>
      </c>
      <c r="F2399">
        <v>1</v>
      </c>
      <c r="G2399" t="s">
        <v>27</v>
      </c>
      <c r="H2399" t="s">
        <v>28</v>
      </c>
      <c r="I2399" s="3">
        <v>1328</v>
      </c>
      <c r="J2399" s="3">
        <v>1328</v>
      </c>
      <c r="K2399" s="3">
        <v>386</v>
      </c>
      <c r="L2399" t="s">
        <v>98</v>
      </c>
      <c r="M2399">
        <v>12</v>
      </c>
      <c r="N2399" t="s">
        <v>26</v>
      </c>
      <c r="O2399" t="s">
        <v>11</v>
      </c>
      <c r="P2399" t="s">
        <v>12</v>
      </c>
      <c r="Q2399" t="s">
        <v>13</v>
      </c>
      <c r="R2399" t="s">
        <v>13</v>
      </c>
      <c r="S2399" t="s">
        <v>144</v>
      </c>
      <c r="T2399" s="2">
        <f>MASTER[[#This Row],[CANTIDAD]]*MASTER[[#This Row],[PRECIO DE VENTA]]</f>
        <v>1328</v>
      </c>
      <c r="U2399" s="2">
        <f>MASTER[[#This Row],[CANTIDAD]]*MASTER[[#This Row],[COSTO UNITARIO]]</f>
        <v>386</v>
      </c>
      <c r="V2399" s="2">
        <f>MASTER[[#This Row],[MONTO VENDIDO]]-MASTER[[#This Row],[COSTO DE VENTA]]</f>
        <v>942</v>
      </c>
    </row>
    <row r="2400" spans="1:22" x14ac:dyDescent="0.3">
      <c r="A2400">
        <v>40963</v>
      </c>
      <c r="B2400">
        <v>1</v>
      </c>
      <c r="C2400" t="s">
        <v>105</v>
      </c>
      <c r="D2400" t="s">
        <v>106</v>
      </c>
      <c r="E2400" s="1">
        <v>44118</v>
      </c>
      <c r="F2400">
        <v>1</v>
      </c>
      <c r="G2400" t="s">
        <v>51</v>
      </c>
      <c r="H2400" t="s">
        <v>52</v>
      </c>
      <c r="I2400" s="3">
        <v>2033</v>
      </c>
      <c r="J2400" s="3">
        <v>2033</v>
      </c>
      <c r="K2400" s="3">
        <v>459</v>
      </c>
      <c r="L2400" t="s">
        <v>98</v>
      </c>
      <c r="M2400">
        <v>3</v>
      </c>
      <c r="N2400" t="s">
        <v>69</v>
      </c>
      <c r="O2400" t="s">
        <v>70</v>
      </c>
      <c r="P2400" t="s">
        <v>71</v>
      </c>
      <c r="Q2400" t="s">
        <v>72</v>
      </c>
      <c r="R2400" t="s">
        <v>139</v>
      </c>
      <c r="S2400" t="s">
        <v>144</v>
      </c>
      <c r="T2400" s="2">
        <f>MASTER[[#This Row],[CANTIDAD]]*MASTER[[#This Row],[PRECIO DE VENTA]]</f>
        <v>2033</v>
      </c>
      <c r="U2400" s="2">
        <f>MASTER[[#This Row],[CANTIDAD]]*MASTER[[#This Row],[COSTO UNITARIO]]</f>
        <v>459</v>
      </c>
      <c r="V2400" s="2">
        <f>MASTER[[#This Row],[MONTO VENDIDO]]-MASTER[[#This Row],[COSTO DE VENTA]]</f>
        <v>1574</v>
      </c>
    </row>
    <row r="2401" spans="1:22" x14ac:dyDescent="0.3">
      <c r="A2401">
        <v>41009</v>
      </c>
      <c r="B2401">
        <v>1</v>
      </c>
      <c r="C2401" t="s">
        <v>96</v>
      </c>
      <c r="D2401" t="s">
        <v>97</v>
      </c>
      <c r="E2401" s="1">
        <v>44118</v>
      </c>
      <c r="F2401">
        <v>1</v>
      </c>
      <c r="G2401" t="s">
        <v>53</v>
      </c>
      <c r="H2401" t="s">
        <v>54</v>
      </c>
      <c r="I2401" s="3">
        <v>1272</v>
      </c>
      <c r="J2401" s="3">
        <v>1272</v>
      </c>
      <c r="K2401" s="3">
        <v>397</v>
      </c>
      <c r="L2401" t="s">
        <v>98</v>
      </c>
      <c r="M2401">
        <v>7</v>
      </c>
      <c r="N2401" t="s">
        <v>84</v>
      </c>
      <c r="O2401" t="s">
        <v>81</v>
      </c>
      <c r="P2401" t="s">
        <v>12</v>
      </c>
      <c r="Q2401" t="s">
        <v>13</v>
      </c>
      <c r="R2401" t="s">
        <v>13</v>
      </c>
      <c r="S2401" t="s">
        <v>144</v>
      </c>
      <c r="T2401" s="2">
        <f>MASTER[[#This Row],[CANTIDAD]]*MASTER[[#This Row],[PRECIO DE VENTA]]</f>
        <v>1272</v>
      </c>
      <c r="U2401" s="2">
        <f>MASTER[[#This Row],[CANTIDAD]]*MASTER[[#This Row],[COSTO UNITARIO]]</f>
        <v>397</v>
      </c>
      <c r="V2401" s="2">
        <f>MASTER[[#This Row],[MONTO VENDIDO]]-MASTER[[#This Row],[COSTO DE VENTA]]</f>
        <v>875</v>
      </c>
    </row>
    <row r="2402" spans="1:22" x14ac:dyDescent="0.3">
      <c r="A2402">
        <v>41011</v>
      </c>
      <c r="B2402">
        <v>1</v>
      </c>
      <c r="C2402" t="s">
        <v>90</v>
      </c>
      <c r="D2402" t="s">
        <v>91</v>
      </c>
      <c r="E2402" s="1">
        <v>44118</v>
      </c>
      <c r="F2402">
        <v>1</v>
      </c>
      <c r="G2402" t="s">
        <v>45</v>
      </c>
      <c r="H2402" t="s">
        <v>46</v>
      </c>
      <c r="I2402" s="3">
        <v>1844</v>
      </c>
      <c r="J2402" s="3">
        <v>1844</v>
      </c>
      <c r="K2402" s="3">
        <v>420</v>
      </c>
      <c r="L2402" t="s">
        <v>9</v>
      </c>
      <c r="M2402">
        <v>2</v>
      </c>
      <c r="N2402" t="s">
        <v>86</v>
      </c>
      <c r="O2402" t="s">
        <v>81</v>
      </c>
      <c r="P2402" t="s">
        <v>71</v>
      </c>
      <c r="Q2402" t="s">
        <v>72</v>
      </c>
      <c r="R2402" t="s">
        <v>139</v>
      </c>
      <c r="S2402" t="s">
        <v>144</v>
      </c>
      <c r="T2402" s="2">
        <f>MASTER[[#This Row],[CANTIDAD]]*MASTER[[#This Row],[PRECIO DE VENTA]]</f>
        <v>1844</v>
      </c>
      <c r="U2402" s="2">
        <f>MASTER[[#This Row],[CANTIDAD]]*MASTER[[#This Row],[COSTO UNITARIO]]</f>
        <v>420</v>
      </c>
      <c r="V2402" s="2">
        <f>MASTER[[#This Row],[MONTO VENDIDO]]-MASTER[[#This Row],[COSTO DE VENTA]]</f>
        <v>1424</v>
      </c>
    </row>
    <row r="2403" spans="1:22" x14ac:dyDescent="0.3">
      <c r="A2403">
        <v>41012</v>
      </c>
      <c r="B2403">
        <v>1</v>
      </c>
      <c r="C2403" t="s">
        <v>103</v>
      </c>
      <c r="D2403" t="s">
        <v>104</v>
      </c>
      <c r="E2403" s="1">
        <v>44118</v>
      </c>
      <c r="F2403">
        <v>1</v>
      </c>
      <c r="G2403" t="s">
        <v>7</v>
      </c>
      <c r="H2403" t="s">
        <v>8</v>
      </c>
      <c r="I2403" s="3">
        <v>1448</v>
      </c>
      <c r="J2403" s="3">
        <v>1317</v>
      </c>
      <c r="K2403" s="3">
        <v>421</v>
      </c>
      <c r="L2403" t="s">
        <v>98</v>
      </c>
      <c r="M2403">
        <v>17</v>
      </c>
      <c r="N2403" t="s">
        <v>14</v>
      </c>
      <c r="O2403" t="s">
        <v>11</v>
      </c>
      <c r="P2403" t="s">
        <v>15</v>
      </c>
      <c r="Q2403" t="s">
        <v>16</v>
      </c>
      <c r="R2403" t="s">
        <v>16</v>
      </c>
      <c r="S2403" t="s">
        <v>144</v>
      </c>
      <c r="T2403" s="2">
        <f>MASTER[[#This Row],[CANTIDAD]]*MASTER[[#This Row],[PRECIO DE VENTA]]</f>
        <v>1317</v>
      </c>
      <c r="U2403" s="2">
        <f>MASTER[[#This Row],[CANTIDAD]]*MASTER[[#This Row],[COSTO UNITARIO]]</f>
        <v>421</v>
      </c>
      <c r="V2403" s="2">
        <f>MASTER[[#This Row],[MONTO VENDIDO]]-MASTER[[#This Row],[COSTO DE VENTA]]</f>
        <v>896</v>
      </c>
    </row>
    <row r="2404" spans="1:22" x14ac:dyDescent="0.3">
      <c r="A2404">
        <v>41028</v>
      </c>
      <c r="B2404">
        <v>1</v>
      </c>
      <c r="C2404" t="s">
        <v>101</v>
      </c>
      <c r="D2404" t="s">
        <v>102</v>
      </c>
      <c r="E2404" s="1">
        <v>44118</v>
      </c>
      <c r="F2404">
        <v>4</v>
      </c>
      <c r="G2404" t="s">
        <v>47</v>
      </c>
      <c r="H2404" t="s">
        <v>48</v>
      </c>
      <c r="I2404" s="3">
        <v>1212</v>
      </c>
      <c r="J2404" s="3">
        <v>1212</v>
      </c>
      <c r="K2404" s="3">
        <v>442</v>
      </c>
      <c r="L2404" t="s">
        <v>98</v>
      </c>
      <c r="M2404">
        <v>2</v>
      </c>
      <c r="N2404" t="s">
        <v>86</v>
      </c>
      <c r="O2404" t="s">
        <v>81</v>
      </c>
      <c r="P2404" t="s">
        <v>71</v>
      </c>
      <c r="Q2404" t="s">
        <v>72</v>
      </c>
      <c r="R2404" t="s">
        <v>139</v>
      </c>
      <c r="S2404" t="s">
        <v>144</v>
      </c>
      <c r="T2404" s="2">
        <f>MASTER[[#This Row],[CANTIDAD]]*MASTER[[#This Row],[PRECIO DE VENTA]]</f>
        <v>4848</v>
      </c>
      <c r="U2404" s="2">
        <f>MASTER[[#This Row],[CANTIDAD]]*MASTER[[#This Row],[COSTO UNITARIO]]</f>
        <v>1768</v>
      </c>
      <c r="V2404" s="2">
        <f>MASTER[[#This Row],[MONTO VENDIDO]]-MASTER[[#This Row],[COSTO DE VENTA]]</f>
        <v>3080</v>
      </c>
    </row>
    <row r="2405" spans="1:22" x14ac:dyDescent="0.3">
      <c r="A2405">
        <v>41029</v>
      </c>
      <c r="B2405">
        <v>1</v>
      </c>
      <c r="C2405" t="s">
        <v>107</v>
      </c>
      <c r="D2405" t="s">
        <v>108</v>
      </c>
      <c r="E2405" s="1">
        <v>44119</v>
      </c>
      <c r="F2405">
        <v>1</v>
      </c>
      <c r="G2405" t="s">
        <v>65</v>
      </c>
      <c r="H2405" t="s">
        <v>66</v>
      </c>
      <c r="I2405" s="3">
        <v>1333</v>
      </c>
      <c r="J2405" s="3">
        <v>1333</v>
      </c>
      <c r="K2405" s="3">
        <v>380</v>
      </c>
      <c r="L2405" t="s">
        <v>98</v>
      </c>
      <c r="M2405">
        <v>4</v>
      </c>
      <c r="N2405" t="s">
        <v>82</v>
      </c>
      <c r="O2405" t="s">
        <v>81</v>
      </c>
      <c r="P2405" t="s">
        <v>71</v>
      </c>
      <c r="Q2405" t="s">
        <v>72</v>
      </c>
      <c r="R2405" t="s">
        <v>139</v>
      </c>
      <c r="S2405" t="s">
        <v>144</v>
      </c>
      <c r="T2405" s="2">
        <f>MASTER[[#This Row],[CANTIDAD]]*MASTER[[#This Row],[PRECIO DE VENTA]]</f>
        <v>1333</v>
      </c>
      <c r="U2405" s="2">
        <f>MASTER[[#This Row],[CANTIDAD]]*MASTER[[#This Row],[COSTO UNITARIO]]</f>
        <v>380</v>
      </c>
      <c r="V2405" s="2">
        <f>MASTER[[#This Row],[MONTO VENDIDO]]-MASTER[[#This Row],[COSTO DE VENTA]]</f>
        <v>953</v>
      </c>
    </row>
    <row r="2406" spans="1:22" x14ac:dyDescent="0.3">
      <c r="A2406">
        <v>41041</v>
      </c>
      <c r="B2406">
        <v>1</v>
      </c>
      <c r="C2406" t="s">
        <v>121</v>
      </c>
      <c r="D2406" t="s">
        <v>122</v>
      </c>
      <c r="E2406" s="1">
        <v>44119</v>
      </c>
      <c r="F2406">
        <v>1</v>
      </c>
      <c r="G2406" t="s">
        <v>63</v>
      </c>
      <c r="H2406" t="s">
        <v>64</v>
      </c>
      <c r="I2406" s="3">
        <v>1144</v>
      </c>
      <c r="J2406" s="3">
        <v>1144</v>
      </c>
      <c r="K2406" s="3">
        <v>460</v>
      </c>
      <c r="L2406" t="s">
        <v>120</v>
      </c>
      <c r="M2406">
        <v>13</v>
      </c>
      <c r="N2406" t="s">
        <v>78</v>
      </c>
      <c r="O2406" t="s">
        <v>70</v>
      </c>
      <c r="P2406" t="s">
        <v>18</v>
      </c>
      <c r="Q2406" t="s">
        <v>19</v>
      </c>
      <c r="R2406" t="s">
        <v>138</v>
      </c>
      <c r="S2406" t="s">
        <v>144</v>
      </c>
      <c r="T2406" s="2">
        <f>MASTER[[#This Row],[CANTIDAD]]*MASTER[[#This Row],[PRECIO DE VENTA]]</f>
        <v>1144</v>
      </c>
      <c r="U2406" s="2">
        <f>MASTER[[#This Row],[CANTIDAD]]*MASTER[[#This Row],[COSTO UNITARIO]]</f>
        <v>460</v>
      </c>
      <c r="V2406" s="2">
        <f>MASTER[[#This Row],[MONTO VENDIDO]]-MASTER[[#This Row],[COSTO DE VENTA]]</f>
        <v>684</v>
      </c>
    </row>
    <row r="2407" spans="1:22" x14ac:dyDescent="0.3">
      <c r="A2407">
        <v>41058</v>
      </c>
      <c r="B2407">
        <v>1</v>
      </c>
      <c r="C2407" t="s">
        <v>103</v>
      </c>
      <c r="D2407" t="s">
        <v>104</v>
      </c>
      <c r="E2407" s="1">
        <v>44119</v>
      </c>
      <c r="F2407">
        <v>1</v>
      </c>
      <c r="G2407" t="s">
        <v>33</v>
      </c>
      <c r="H2407" t="s">
        <v>34</v>
      </c>
      <c r="I2407" s="3">
        <v>1448</v>
      </c>
      <c r="J2407" s="3">
        <v>1448</v>
      </c>
      <c r="K2407" s="3">
        <v>421</v>
      </c>
      <c r="L2407" t="s">
        <v>98</v>
      </c>
      <c r="M2407">
        <v>11</v>
      </c>
      <c r="N2407" t="s">
        <v>10</v>
      </c>
      <c r="O2407" t="s">
        <v>11</v>
      </c>
      <c r="P2407" t="s">
        <v>12</v>
      </c>
      <c r="Q2407" t="s">
        <v>13</v>
      </c>
      <c r="R2407" t="s">
        <v>13</v>
      </c>
      <c r="S2407" t="s">
        <v>144</v>
      </c>
      <c r="T2407" s="2">
        <f>MASTER[[#This Row],[CANTIDAD]]*MASTER[[#This Row],[PRECIO DE VENTA]]</f>
        <v>1448</v>
      </c>
      <c r="U2407" s="2">
        <f>MASTER[[#This Row],[CANTIDAD]]*MASTER[[#This Row],[COSTO UNITARIO]]</f>
        <v>421</v>
      </c>
      <c r="V2407" s="2">
        <f>MASTER[[#This Row],[MONTO VENDIDO]]-MASTER[[#This Row],[COSTO DE VENTA]]</f>
        <v>1027</v>
      </c>
    </row>
    <row r="2408" spans="1:22" x14ac:dyDescent="0.3">
      <c r="A2408">
        <v>41070</v>
      </c>
      <c r="B2408">
        <v>1</v>
      </c>
      <c r="C2408" t="s">
        <v>105</v>
      </c>
      <c r="D2408" t="s">
        <v>106</v>
      </c>
      <c r="E2408" s="1">
        <v>44119</v>
      </c>
      <c r="F2408">
        <v>2</v>
      </c>
      <c r="G2408" t="s">
        <v>73</v>
      </c>
      <c r="H2408" t="s">
        <v>74</v>
      </c>
      <c r="I2408" s="3">
        <v>2033</v>
      </c>
      <c r="J2408" s="3">
        <v>2033</v>
      </c>
      <c r="K2408" s="3">
        <v>459</v>
      </c>
      <c r="L2408" t="s">
        <v>98</v>
      </c>
      <c r="M2408">
        <v>1</v>
      </c>
      <c r="N2408" t="s">
        <v>77</v>
      </c>
      <c r="O2408" t="s">
        <v>70</v>
      </c>
      <c r="P2408" t="s">
        <v>71</v>
      </c>
      <c r="Q2408" t="s">
        <v>72</v>
      </c>
      <c r="R2408" t="s">
        <v>139</v>
      </c>
      <c r="S2408" t="s">
        <v>144</v>
      </c>
      <c r="T2408" s="2">
        <f>MASTER[[#This Row],[CANTIDAD]]*MASTER[[#This Row],[PRECIO DE VENTA]]</f>
        <v>4066</v>
      </c>
      <c r="U2408" s="2">
        <f>MASTER[[#This Row],[CANTIDAD]]*MASTER[[#This Row],[COSTO UNITARIO]]</f>
        <v>918</v>
      </c>
      <c r="V2408" s="2">
        <f>MASTER[[#This Row],[MONTO VENDIDO]]-MASTER[[#This Row],[COSTO DE VENTA]]</f>
        <v>3148</v>
      </c>
    </row>
    <row r="2409" spans="1:22" x14ac:dyDescent="0.3">
      <c r="A2409">
        <v>41074</v>
      </c>
      <c r="B2409">
        <v>2</v>
      </c>
      <c r="C2409" t="s">
        <v>5</v>
      </c>
      <c r="D2409" t="s">
        <v>6</v>
      </c>
      <c r="E2409" s="1">
        <v>44119</v>
      </c>
      <c r="F2409">
        <v>1</v>
      </c>
      <c r="G2409" t="s">
        <v>41</v>
      </c>
      <c r="H2409" t="s">
        <v>42</v>
      </c>
      <c r="I2409" s="3">
        <v>1507</v>
      </c>
      <c r="J2409" s="3">
        <v>1507</v>
      </c>
      <c r="K2409" s="3">
        <v>393</v>
      </c>
      <c r="L2409" t="s">
        <v>9</v>
      </c>
      <c r="M2409">
        <v>15</v>
      </c>
      <c r="N2409" t="s">
        <v>88</v>
      </c>
      <c r="O2409" t="s">
        <v>81</v>
      </c>
      <c r="P2409" t="s">
        <v>18</v>
      </c>
      <c r="Q2409" t="s">
        <v>19</v>
      </c>
      <c r="R2409" t="s">
        <v>138</v>
      </c>
      <c r="S2409" t="s">
        <v>144</v>
      </c>
      <c r="T2409" s="2">
        <f>MASTER[[#This Row],[CANTIDAD]]*MASTER[[#This Row],[PRECIO DE VENTA]]</f>
        <v>1507</v>
      </c>
      <c r="U2409" s="2">
        <f>MASTER[[#This Row],[CANTIDAD]]*MASTER[[#This Row],[COSTO UNITARIO]]</f>
        <v>393</v>
      </c>
      <c r="V2409" s="2">
        <f>MASTER[[#This Row],[MONTO VENDIDO]]-MASTER[[#This Row],[COSTO DE VENTA]]</f>
        <v>1114</v>
      </c>
    </row>
    <row r="2410" spans="1:22" x14ac:dyDescent="0.3">
      <c r="A2410">
        <v>41074</v>
      </c>
      <c r="B2410">
        <v>1</v>
      </c>
      <c r="C2410" t="s">
        <v>92</v>
      </c>
      <c r="D2410" t="s">
        <v>93</v>
      </c>
      <c r="E2410" s="1">
        <v>44119</v>
      </c>
      <c r="F2410">
        <v>1</v>
      </c>
      <c r="G2410" t="s">
        <v>43</v>
      </c>
      <c r="H2410" t="s">
        <v>44</v>
      </c>
      <c r="I2410" s="3">
        <v>1681</v>
      </c>
      <c r="J2410" s="3">
        <v>1681</v>
      </c>
      <c r="K2410" s="3">
        <v>396</v>
      </c>
      <c r="L2410" t="s">
        <v>9</v>
      </c>
      <c r="M2410">
        <v>15</v>
      </c>
      <c r="N2410" t="s">
        <v>88</v>
      </c>
      <c r="O2410" t="s">
        <v>81</v>
      </c>
      <c r="P2410" t="s">
        <v>18</v>
      </c>
      <c r="Q2410" t="s">
        <v>19</v>
      </c>
      <c r="R2410" t="s">
        <v>138</v>
      </c>
      <c r="S2410" t="s">
        <v>144</v>
      </c>
      <c r="T2410" s="2">
        <f>MASTER[[#This Row],[CANTIDAD]]*MASTER[[#This Row],[PRECIO DE VENTA]]</f>
        <v>1681</v>
      </c>
      <c r="U2410" s="2">
        <f>MASTER[[#This Row],[CANTIDAD]]*MASTER[[#This Row],[COSTO UNITARIO]]</f>
        <v>396</v>
      </c>
      <c r="V2410" s="2">
        <f>MASTER[[#This Row],[MONTO VENDIDO]]-MASTER[[#This Row],[COSTO DE VENTA]]</f>
        <v>1285</v>
      </c>
    </row>
    <row r="2411" spans="1:22" x14ac:dyDescent="0.3">
      <c r="A2411">
        <v>41094</v>
      </c>
      <c r="B2411">
        <v>1</v>
      </c>
      <c r="C2411" t="s">
        <v>118</v>
      </c>
      <c r="D2411" t="s">
        <v>119</v>
      </c>
      <c r="E2411" s="1">
        <v>44119</v>
      </c>
      <c r="F2411">
        <v>4</v>
      </c>
      <c r="G2411" t="s">
        <v>53</v>
      </c>
      <c r="H2411" t="s">
        <v>54</v>
      </c>
      <c r="I2411" s="3">
        <v>900</v>
      </c>
      <c r="J2411" s="3">
        <v>900</v>
      </c>
      <c r="K2411" s="3">
        <v>424</v>
      </c>
      <c r="L2411" t="s">
        <v>120</v>
      </c>
      <c r="M2411">
        <v>14</v>
      </c>
      <c r="N2411" t="s">
        <v>87</v>
      </c>
      <c r="O2411" t="s">
        <v>81</v>
      </c>
      <c r="P2411" t="s">
        <v>18</v>
      </c>
      <c r="Q2411" t="s">
        <v>19</v>
      </c>
      <c r="R2411" t="s">
        <v>138</v>
      </c>
      <c r="S2411" t="s">
        <v>144</v>
      </c>
      <c r="T2411" s="2">
        <f>MASTER[[#This Row],[CANTIDAD]]*MASTER[[#This Row],[PRECIO DE VENTA]]</f>
        <v>3600</v>
      </c>
      <c r="U2411" s="2">
        <f>MASTER[[#This Row],[CANTIDAD]]*MASTER[[#This Row],[COSTO UNITARIO]]</f>
        <v>1696</v>
      </c>
      <c r="V2411" s="2">
        <f>MASTER[[#This Row],[MONTO VENDIDO]]-MASTER[[#This Row],[COSTO DE VENTA]]</f>
        <v>1904</v>
      </c>
    </row>
    <row r="2412" spans="1:22" x14ac:dyDescent="0.3">
      <c r="A2412">
        <v>41099</v>
      </c>
      <c r="B2412">
        <v>1</v>
      </c>
      <c r="C2412" t="s">
        <v>5</v>
      </c>
      <c r="D2412" t="s">
        <v>6</v>
      </c>
      <c r="E2412" s="1">
        <v>44119</v>
      </c>
      <c r="F2412">
        <v>1</v>
      </c>
      <c r="G2412" t="s">
        <v>7</v>
      </c>
      <c r="H2412" t="s">
        <v>8</v>
      </c>
      <c r="I2412" s="3">
        <v>1507</v>
      </c>
      <c r="J2412" s="3">
        <v>1507</v>
      </c>
      <c r="K2412" s="3">
        <v>393</v>
      </c>
      <c r="L2412" t="s">
        <v>9</v>
      </c>
      <c r="M2412">
        <v>4</v>
      </c>
      <c r="N2412" t="s">
        <v>82</v>
      </c>
      <c r="O2412" t="s">
        <v>81</v>
      </c>
      <c r="P2412" t="s">
        <v>71</v>
      </c>
      <c r="Q2412" t="s">
        <v>72</v>
      </c>
      <c r="R2412" t="s">
        <v>139</v>
      </c>
      <c r="S2412" t="s">
        <v>144</v>
      </c>
      <c r="T2412" s="2">
        <f>MASTER[[#This Row],[CANTIDAD]]*MASTER[[#This Row],[PRECIO DE VENTA]]</f>
        <v>1507</v>
      </c>
      <c r="U2412" s="2">
        <f>MASTER[[#This Row],[CANTIDAD]]*MASTER[[#This Row],[COSTO UNITARIO]]</f>
        <v>393</v>
      </c>
      <c r="V2412" s="2">
        <f>MASTER[[#This Row],[MONTO VENDIDO]]-MASTER[[#This Row],[COSTO DE VENTA]]</f>
        <v>1114</v>
      </c>
    </row>
    <row r="2413" spans="1:22" x14ac:dyDescent="0.3">
      <c r="A2413">
        <v>41117</v>
      </c>
      <c r="B2413">
        <v>1</v>
      </c>
      <c r="C2413" t="s">
        <v>111</v>
      </c>
      <c r="D2413" t="s">
        <v>112</v>
      </c>
      <c r="E2413" s="1">
        <v>44119</v>
      </c>
      <c r="F2413">
        <v>1</v>
      </c>
      <c r="G2413" t="s">
        <v>35</v>
      </c>
      <c r="H2413" t="s">
        <v>36</v>
      </c>
      <c r="I2413" s="3">
        <v>1621</v>
      </c>
      <c r="J2413" s="3">
        <v>1621</v>
      </c>
      <c r="K2413" s="3">
        <v>434</v>
      </c>
      <c r="L2413" t="s">
        <v>113</v>
      </c>
      <c r="M2413">
        <v>5</v>
      </c>
      <c r="N2413" t="s">
        <v>85</v>
      </c>
      <c r="O2413" t="s">
        <v>81</v>
      </c>
      <c r="P2413" t="s">
        <v>12</v>
      </c>
      <c r="Q2413" t="s">
        <v>13</v>
      </c>
      <c r="R2413" t="s">
        <v>13</v>
      </c>
      <c r="S2413" t="s">
        <v>144</v>
      </c>
      <c r="T2413" s="2">
        <f>MASTER[[#This Row],[CANTIDAD]]*MASTER[[#This Row],[PRECIO DE VENTA]]</f>
        <v>1621</v>
      </c>
      <c r="U2413" s="2">
        <f>MASTER[[#This Row],[CANTIDAD]]*MASTER[[#This Row],[COSTO UNITARIO]]</f>
        <v>434</v>
      </c>
      <c r="V2413" s="2">
        <f>MASTER[[#This Row],[MONTO VENDIDO]]-MASTER[[#This Row],[COSTO DE VENTA]]</f>
        <v>1187</v>
      </c>
    </row>
    <row r="2414" spans="1:22" x14ac:dyDescent="0.3">
      <c r="A2414">
        <v>41129</v>
      </c>
      <c r="B2414">
        <v>1</v>
      </c>
      <c r="C2414" t="s">
        <v>111</v>
      </c>
      <c r="D2414" t="s">
        <v>112</v>
      </c>
      <c r="E2414" s="1">
        <v>44119</v>
      </c>
      <c r="F2414">
        <v>1</v>
      </c>
      <c r="G2414" t="s">
        <v>57</v>
      </c>
      <c r="H2414" t="s">
        <v>58</v>
      </c>
      <c r="I2414" s="3">
        <v>1621</v>
      </c>
      <c r="J2414" s="3">
        <v>1621</v>
      </c>
      <c r="K2414" s="3">
        <v>434</v>
      </c>
      <c r="L2414" t="s">
        <v>113</v>
      </c>
      <c r="M2414">
        <v>4</v>
      </c>
      <c r="N2414" t="s">
        <v>82</v>
      </c>
      <c r="O2414" t="s">
        <v>81</v>
      </c>
      <c r="P2414" t="s">
        <v>71</v>
      </c>
      <c r="Q2414" t="s">
        <v>72</v>
      </c>
      <c r="R2414" t="s">
        <v>139</v>
      </c>
      <c r="S2414" t="s">
        <v>144</v>
      </c>
      <c r="T2414" s="2">
        <f>MASTER[[#This Row],[CANTIDAD]]*MASTER[[#This Row],[PRECIO DE VENTA]]</f>
        <v>1621</v>
      </c>
      <c r="U2414" s="2">
        <f>MASTER[[#This Row],[CANTIDAD]]*MASTER[[#This Row],[COSTO UNITARIO]]</f>
        <v>434</v>
      </c>
      <c r="V2414" s="2">
        <f>MASTER[[#This Row],[MONTO VENDIDO]]-MASTER[[#This Row],[COSTO DE VENTA]]</f>
        <v>1187</v>
      </c>
    </row>
    <row r="2415" spans="1:22" x14ac:dyDescent="0.3">
      <c r="A2415">
        <v>41138</v>
      </c>
      <c r="B2415">
        <v>1</v>
      </c>
      <c r="C2415" t="s">
        <v>94</v>
      </c>
      <c r="D2415" t="s">
        <v>95</v>
      </c>
      <c r="E2415" s="1">
        <v>44119</v>
      </c>
      <c r="F2415">
        <v>1</v>
      </c>
      <c r="G2415" t="s">
        <v>39</v>
      </c>
      <c r="H2415" t="s">
        <v>40</v>
      </c>
      <c r="I2415" s="3">
        <v>1048</v>
      </c>
      <c r="J2415" s="3">
        <v>1048</v>
      </c>
      <c r="K2415" s="3">
        <v>392</v>
      </c>
      <c r="L2415" t="s">
        <v>9</v>
      </c>
      <c r="M2415">
        <v>15</v>
      </c>
      <c r="N2415" t="s">
        <v>88</v>
      </c>
      <c r="O2415" t="s">
        <v>81</v>
      </c>
      <c r="P2415" t="s">
        <v>18</v>
      </c>
      <c r="Q2415" t="s">
        <v>19</v>
      </c>
      <c r="R2415" t="s">
        <v>138</v>
      </c>
      <c r="S2415" t="s">
        <v>144</v>
      </c>
      <c r="T2415" s="2">
        <f>MASTER[[#This Row],[CANTIDAD]]*MASTER[[#This Row],[PRECIO DE VENTA]]</f>
        <v>1048</v>
      </c>
      <c r="U2415" s="2">
        <f>MASTER[[#This Row],[CANTIDAD]]*MASTER[[#This Row],[COSTO UNITARIO]]</f>
        <v>392</v>
      </c>
      <c r="V2415" s="2">
        <f>MASTER[[#This Row],[MONTO VENDIDO]]-MASTER[[#This Row],[COSTO DE VENTA]]</f>
        <v>656</v>
      </c>
    </row>
    <row r="2416" spans="1:22" x14ac:dyDescent="0.3">
      <c r="A2416">
        <v>41158</v>
      </c>
      <c r="B2416">
        <v>1</v>
      </c>
      <c r="C2416" t="s">
        <v>92</v>
      </c>
      <c r="D2416" t="s">
        <v>93</v>
      </c>
      <c r="E2416" s="1">
        <v>44120</v>
      </c>
      <c r="F2416">
        <v>1</v>
      </c>
      <c r="G2416" t="s">
        <v>35</v>
      </c>
      <c r="H2416" t="s">
        <v>36</v>
      </c>
      <c r="I2416" s="3">
        <v>1681</v>
      </c>
      <c r="J2416" s="3">
        <v>1681</v>
      </c>
      <c r="K2416" s="3">
        <v>396</v>
      </c>
      <c r="L2416" t="s">
        <v>9</v>
      </c>
      <c r="M2416">
        <v>15</v>
      </c>
      <c r="N2416" t="s">
        <v>88</v>
      </c>
      <c r="O2416" t="s">
        <v>81</v>
      </c>
      <c r="P2416" t="s">
        <v>18</v>
      </c>
      <c r="Q2416" t="s">
        <v>19</v>
      </c>
      <c r="R2416" t="s">
        <v>138</v>
      </c>
      <c r="S2416" t="s">
        <v>144</v>
      </c>
      <c r="T2416" s="2">
        <f>MASTER[[#This Row],[CANTIDAD]]*MASTER[[#This Row],[PRECIO DE VENTA]]</f>
        <v>1681</v>
      </c>
      <c r="U2416" s="2">
        <f>MASTER[[#This Row],[CANTIDAD]]*MASTER[[#This Row],[COSTO UNITARIO]]</f>
        <v>396</v>
      </c>
      <c r="V2416" s="2">
        <f>MASTER[[#This Row],[MONTO VENDIDO]]-MASTER[[#This Row],[COSTO DE VENTA]]</f>
        <v>1285</v>
      </c>
    </row>
    <row r="2417" spans="1:22" x14ac:dyDescent="0.3">
      <c r="A2417">
        <v>41165</v>
      </c>
      <c r="B2417">
        <v>1</v>
      </c>
      <c r="C2417" t="s">
        <v>118</v>
      </c>
      <c r="D2417" t="s">
        <v>119</v>
      </c>
      <c r="E2417" s="1">
        <v>44120</v>
      </c>
      <c r="F2417">
        <v>1</v>
      </c>
      <c r="G2417" t="s">
        <v>20</v>
      </c>
      <c r="H2417" t="s">
        <v>21</v>
      </c>
      <c r="I2417" s="3">
        <v>900</v>
      </c>
      <c r="J2417" s="3">
        <v>900</v>
      </c>
      <c r="K2417" s="3">
        <v>424</v>
      </c>
      <c r="L2417" t="s">
        <v>120</v>
      </c>
      <c r="M2417">
        <v>15</v>
      </c>
      <c r="N2417" t="s">
        <v>88</v>
      </c>
      <c r="O2417" t="s">
        <v>81</v>
      </c>
      <c r="P2417" t="s">
        <v>18</v>
      </c>
      <c r="Q2417" t="s">
        <v>19</v>
      </c>
      <c r="R2417" t="s">
        <v>138</v>
      </c>
      <c r="S2417" t="s">
        <v>144</v>
      </c>
      <c r="T2417" s="2">
        <f>MASTER[[#This Row],[CANTIDAD]]*MASTER[[#This Row],[PRECIO DE VENTA]]</f>
        <v>900</v>
      </c>
      <c r="U2417" s="2">
        <f>MASTER[[#This Row],[CANTIDAD]]*MASTER[[#This Row],[COSTO UNITARIO]]</f>
        <v>424</v>
      </c>
      <c r="V2417" s="2">
        <f>MASTER[[#This Row],[MONTO VENDIDO]]-MASTER[[#This Row],[COSTO DE VENTA]]</f>
        <v>476</v>
      </c>
    </row>
    <row r="2418" spans="1:22" x14ac:dyDescent="0.3">
      <c r="A2418">
        <v>41168</v>
      </c>
      <c r="B2418">
        <v>1</v>
      </c>
      <c r="C2418" t="s">
        <v>109</v>
      </c>
      <c r="D2418" t="s">
        <v>110</v>
      </c>
      <c r="E2418" s="1">
        <v>44120</v>
      </c>
      <c r="F2418">
        <v>1</v>
      </c>
      <c r="G2418" t="s">
        <v>35</v>
      </c>
      <c r="H2418" t="s">
        <v>36</v>
      </c>
      <c r="I2418" s="3">
        <v>1128</v>
      </c>
      <c r="J2418" s="3">
        <v>1128</v>
      </c>
      <c r="K2418" s="3">
        <v>387</v>
      </c>
      <c r="L2418" t="s">
        <v>98</v>
      </c>
      <c r="M2418">
        <v>18</v>
      </c>
      <c r="N2418" t="s">
        <v>79</v>
      </c>
      <c r="O2418" t="s">
        <v>70</v>
      </c>
      <c r="P2418" t="s">
        <v>15</v>
      </c>
      <c r="Q2418" t="s">
        <v>16</v>
      </c>
      <c r="R2418" t="s">
        <v>16</v>
      </c>
      <c r="S2418" t="s">
        <v>144</v>
      </c>
      <c r="T2418" s="2">
        <f>MASTER[[#This Row],[CANTIDAD]]*MASTER[[#This Row],[PRECIO DE VENTA]]</f>
        <v>1128</v>
      </c>
      <c r="U2418" s="2">
        <f>MASTER[[#This Row],[CANTIDAD]]*MASTER[[#This Row],[COSTO UNITARIO]]</f>
        <v>387</v>
      </c>
      <c r="V2418" s="2">
        <f>MASTER[[#This Row],[MONTO VENDIDO]]-MASTER[[#This Row],[COSTO DE VENTA]]</f>
        <v>741</v>
      </c>
    </row>
    <row r="2419" spans="1:22" x14ac:dyDescent="0.3">
      <c r="A2419">
        <v>41170</v>
      </c>
      <c r="B2419">
        <v>1</v>
      </c>
      <c r="C2419" t="s">
        <v>105</v>
      </c>
      <c r="D2419" t="s">
        <v>106</v>
      </c>
      <c r="E2419" s="1">
        <v>44121</v>
      </c>
      <c r="F2419">
        <v>1</v>
      </c>
      <c r="G2419" t="s">
        <v>67</v>
      </c>
      <c r="H2419" t="s">
        <v>68</v>
      </c>
      <c r="I2419" s="3">
        <v>1865</v>
      </c>
      <c r="J2419" s="3">
        <v>1865</v>
      </c>
      <c r="K2419" s="3">
        <v>459</v>
      </c>
      <c r="L2419" t="s">
        <v>98</v>
      </c>
      <c r="M2419">
        <v>5</v>
      </c>
      <c r="N2419" t="s">
        <v>85</v>
      </c>
      <c r="O2419" t="s">
        <v>81</v>
      </c>
      <c r="P2419" t="s">
        <v>12</v>
      </c>
      <c r="Q2419" t="s">
        <v>13</v>
      </c>
      <c r="R2419" t="s">
        <v>13</v>
      </c>
      <c r="S2419" t="s">
        <v>144</v>
      </c>
      <c r="T2419" s="2">
        <f>MASTER[[#This Row],[CANTIDAD]]*MASTER[[#This Row],[PRECIO DE VENTA]]</f>
        <v>1865</v>
      </c>
      <c r="U2419" s="2">
        <f>MASTER[[#This Row],[CANTIDAD]]*MASTER[[#This Row],[COSTO UNITARIO]]</f>
        <v>459</v>
      </c>
      <c r="V2419" s="2">
        <f>MASTER[[#This Row],[MONTO VENDIDO]]-MASTER[[#This Row],[COSTO DE VENTA]]</f>
        <v>1406</v>
      </c>
    </row>
    <row r="2420" spans="1:22" x14ac:dyDescent="0.3">
      <c r="A2420">
        <v>41261</v>
      </c>
      <c r="B2420">
        <v>1</v>
      </c>
      <c r="C2420" t="s">
        <v>94</v>
      </c>
      <c r="D2420" t="s">
        <v>95</v>
      </c>
      <c r="E2420" s="1">
        <v>44121</v>
      </c>
      <c r="F2420">
        <v>1</v>
      </c>
      <c r="G2420" t="s">
        <v>31</v>
      </c>
      <c r="H2420" t="s">
        <v>32</v>
      </c>
      <c r="I2420" s="3">
        <v>1048</v>
      </c>
      <c r="J2420" s="3">
        <v>1048</v>
      </c>
      <c r="K2420" s="3">
        <v>392</v>
      </c>
      <c r="L2420" t="s">
        <v>9</v>
      </c>
      <c r="M2420">
        <v>19</v>
      </c>
      <c r="N2420" t="s">
        <v>89</v>
      </c>
      <c r="O2420" t="s">
        <v>81</v>
      </c>
      <c r="P2420" t="s">
        <v>15</v>
      </c>
      <c r="Q2420" t="s">
        <v>16</v>
      </c>
      <c r="R2420" t="s">
        <v>16</v>
      </c>
      <c r="S2420" t="s">
        <v>144</v>
      </c>
      <c r="T2420" s="2">
        <f>MASTER[[#This Row],[CANTIDAD]]*MASTER[[#This Row],[PRECIO DE VENTA]]</f>
        <v>1048</v>
      </c>
      <c r="U2420" s="2">
        <f>MASTER[[#This Row],[CANTIDAD]]*MASTER[[#This Row],[COSTO UNITARIO]]</f>
        <v>392</v>
      </c>
      <c r="V2420" s="2">
        <f>MASTER[[#This Row],[MONTO VENDIDO]]-MASTER[[#This Row],[COSTO DE VENTA]]</f>
        <v>656</v>
      </c>
    </row>
    <row r="2421" spans="1:22" x14ac:dyDescent="0.3">
      <c r="A2421">
        <v>41268</v>
      </c>
      <c r="B2421">
        <v>1</v>
      </c>
      <c r="C2421" t="s">
        <v>94</v>
      </c>
      <c r="D2421" t="s">
        <v>95</v>
      </c>
      <c r="E2421" s="1">
        <v>44121</v>
      </c>
      <c r="F2421">
        <v>1</v>
      </c>
      <c r="G2421" t="s">
        <v>53</v>
      </c>
      <c r="H2421" t="s">
        <v>54</v>
      </c>
      <c r="I2421" s="3">
        <v>1153</v>
      </c>
      <c r="J2421" s="3">
        <v>1153</v>
      </c>
      <c r="K2421" s="3">
        <v>392</v>
      </c>
      <c r="L2421" t="s">
        <v>9</v>
      </c>
      <c r="M2421">
        <v>13</v>
      </c>
      <c r="N2421" t="s">
        <v>78</v>
      </c>
      <c r="O2421" t="s">
        <v>70</v>
      </c>
      <c r="P2421" t="s">
        <v>18</v>
      </c>
      <c r="Q2421" t="s">
        <v>19</v>
      </c>
      <c r="R2421" t="s">
        <v>138</v>
      </c>
      <c r="S2421" t="s">
        <v>144</v>
      </c>
      <c r="T2421" s="2">
        <f>MASTER[[#This Row],[CANTIDAD]]*MASTER[[#This Row],[PRECIO DE VENTA]]</f>
        <v>1153</v>
      </c>
      <c r="U2421" s="2">
        <f>MASTER[[#This Row],[CANTIDAD]]*MASTER[[#This Row],[COSTO UNITARIO]]</f>
        <v>392</v>
      </c>
      <c r="V2421" s="2">
        <f>MASTER[[#This Row],[MONTO VENDIDO]]-MASTER[[#This Row],[COSTO DE VENTA]]</f>
        <v>761</v>
      </c>
    </row>
    <row r="2422" spans="1:22" x14ac:dyDescent="0.3">
      <c r="A2422">
        <v>41269</v>
      </c>
      <c r="B2422">
        <v>1</v>
      </c>
      <c r="C2422" t="s">
        <v>96</v>
      </c>
      <c r="D2422" t="s">
        <v>97</v>
      </c>
      <c r="E2422" s="1">
        <v>44121</v>
      </c>
      <c r="F2422">
        <v>1</v>
      </c>
      <c r="G2422" t="s">
        <v>65</v>
      </c>
      <c r="H2422" t="s">
        <v>66</v>
      </c>
      <c r="I2422" s="3">
        <v>1196</v>
      </c>
      <c r="J2422" s="3">
        <v>1196</v>
      </c>
      <c r="K2422" s="3">
        <v>397</v>
      </c>
      <c r="L2422" t="s">
        <v>98</v>
      </c>
      <c r="M2422">
        <v>11</v>
      </c>
      <c r="N2422" t="s">
        <v>10</v>
      </c>
      <c r="O2422" t="s">
        <v>11</v>
      </c>
      <c r="P2422" t="s">
        <v>12</v>
      </c>
      <c r="Q2422" t="s">
        <v>13</v>
      </c>
      <c r="R2422" t="s">
        <v>13</v>
      </c>
      <c r="S2422" t="s">
        <v>144</v>
      </c>
      <c r="T2422" s="2">
        <f>MASTER[[#This Row],[CANTIDAD]]*MASTER[[#This Row],[PRECIO DE VENTA]]</f>
        <v>1196</v>
      </c>
      <c r="U2422" s="2">
        <f>MASTER[[#This Row],[CANTIDAD]]*MASTER[[#This Row],[COSTO UNITARIO]]</f>
        <v>397</v>
      </c>
      <c r="V2422" s="2">
        <f>MASTER[[#This Row],[MONTO VENDIDO]]-MASTER[[#This Row],[COSTO DE VENTA]]</f>
        <v>799</v>
      </c>
    </row>
    <row r="2423" spans="1:22" x14ac:dyDescent="0.3">
      <c r="A2423">
        <v>41274</v>
      </c>
      <c r="B2423">
        <v>1</v>
      </c>
      <c r="C2423" t="s">
        <v>92</v>
      </c>
      <c r="D2423" t="s">
        <v>93</v>
      </c>
      <c r="E2423" s="1">
        <v>44122</v>
      </c>
      <c r="F2423">
        <v>1</v>
      </c>
      <c r="G2423" t="s">
        <v>73</v>
      </c>
      <c r="H2423" t="s">
        <v>74</v>
      </c>
      <c r="I2423" s="3">
        <v>1681</v>
      </c>
      <c r="J2423" s="3">
        <v>1681</v>
      </c>
      <c r="K2423" s="3">
        <v>396</v>
      </c>
      <c r="L2423" t="s">
        <v>9</v>
      </c>
      <c r="M2423">
        <v>14</v>
      </c>
      <c r="N2423" t="s">
        <v>87</v>
      </c>
      <c r="O2423" t="s">
        <v>81</v>
      </c>
      <c r="P2423" t="s">
        <v>18</v>
      </c>
      <c r="Q2423" t="s">
        <v>19</v>
      </c>
      <c r="R2423" t="s">
        <v>138</v>
      </c>
      <c r="S2423" t="s">
        <v>144</v>
      </c>
      <c r="T2423" s="2">
        <f>MASTER[[#This Row],[CANTIDAD]]*MASTER[[#This Row],[PRECIO DE VENTA]]</f>
        <v>1681</v>
      </c>
      <c r="U2423" s="2">
        <f>MASTER[[#This Row],[CANTIDAD]]*MASTER[[#This Row],[COSTO UNITARIO]]</f>
        <v>396</v>
      </c>
      <c r="V2423" s="2">
        <f>MASTER[[#This Row],[MONTO VENDIDO]]-MASTER[[#This Row],[COSTO DE VENTA]]</f>
        <v>1285</v>
      </c>
    </row>
    <row r="2424" spans="1:22" x14ac:dyDescent="0.3">
      <c r="A2424">
        <v>41292</v>
      </c>
      <c r="B2424">
        <v>1</v>
      </c>
      <c r="C2424" t="s">
        <v>5</v>
      </c>
      <c r="D2424" t="s">
        <v>6</v>
      </c>
      <c r="E2424" s="1">
        <v>44122</v>
      </c>
      <c r="F2424">
        <v>1</v>
      </c>
      <c r="G2424" t="s">
        <v>47</v>
      </c>
      <c r="H2424" t="s">
        <v>48</v>
      </c>
      <c r="I2424" s="3">
        <v>1296</v>
      </c>
      <c r="J2424" s="3">
        <v>1296</v>
      </c>
      <c r="K2424" s="3">
        <v>393</v>
      </c>
      <c r="L2424" t="s">
        <v>9</v>
      </c>
      <c r="M2424">
        <v>18</v>
      </c>
      <c r="N2424" t="s">
        <v>79</v>
      </c>
      <c r="O2424" t="s">
        <v>70</v>
      </c>
      <c r="P2424" t="s">
        <v>15</v>
      </c>
      <c r="Q2424" t="s">
        <v>16</v>
      </c>
      <c r="R2424" t="s">
        <v>16</v>
      </c>
      <c r="S2424" t="s">
        <v>144</v>
      </c>
      <c r="T2424" s="2">
        <f>MASTER[[#This Row],[CANTIDAD]]*MASTER[[#This Row],[PRECIO DE VENTA]]</f>
        <v>1296</v>
      </c>
      <c r="U2424" s="2">
        <f>MASTER[[#This Row],[CANTIDAD]]*MASTER[[#This Row],[COSTO UNITARIO]]</f>
        <v>393</v>
      </c>
      <c r="V2424" s="2">
        <f>MASTER[[#This Row],[MONTO VENDIDO]]-MASTER[[#This Row],[COSTO DE VENTA]]</f>
        <v>903</v>
      </c>
    </row>
    <row r="2425" spans="1:22" x14ac:dyDescent="0.3">
      <c r="A2425">
        <v>41321</v>
      </c>
      <c r="B2425">
        <v>1</v>
      </c>
      <c r="C2425" t="s">
        <v>116</v>
      </c>
      <c r="D2425" t="s">
        <v>117</v>
      </c>
      <c r="E2425" s="1">
        <v>44122</v>
      </c>
      <c r="F2425">
        <v>1</v>
      </c>
      <c r="G2425" t="s">
        <v>20</v>
      </c>
      <c r="H2425" t="s">
        <v>21</v>
      </c>
      <c r="I2425" s="3">
        <v>1738</v>
      </c>
      <c r="J2425" s="3">
        <v>1738</v>
      </c>
      <c r="K2425" s="3">
        <v>388</v>
      </c>
      <c r="L2425" t="s">
        <v>113</v>
      </c>
      <c r="M2425">
        <v>2</v>
      </c>
      <c r="N2425" t="s">
        <v>86</v>
      </c>
      <c r="O2425" t="s">
        <v>81</v>
      </c>
      <c r="P2425" t="s">
        <v>71</v>
      </c>
      <c r="Q2425" t="s">
        <v>72</v>
      </c>
      <c r="R2425" t="s">
        <v>139</v>
      </c>
      <c r="S2425" t="s">
        <v>144</v>
      </c>
      <c r="T2425" s="2">
        <f>MASTER[[#This Row],[CANTIDAD]]*MASTER[[#This Row],[PRECIO DE VENTA]]</f>
        <v>1738</v>
      </c>
      <c r="U2425" s="2">
        <f>MASTER[[#This Row],[CANTIDAD]]*MASTER[[#This Row],[COSTO UNITARIO]]</f>
        <v>388</v>
      </c>
      <c r="V2425" s="2">
        <f>MASTER[[#This Row],[MONTO VENDIDO]]-MASTER[[#This Row],[COSTO DE VENTA]]</f>
        <v>1350</v>
      </c>
    </row>
    <row r="2426" spans="1:22" x14ac:dyDescent="0.3">
      <c r="A2426">
        <v>41322</v>
      </c>
      <c r="B2426">
        <v>1</v>
      </c>
      <c r="C2426" t="s">
        <v>94</v>
      </c>
      <c r="D2426" t="s">
        <v>95</v>
      </c>
      <c r="E2426" s="1">
        <v>44122</v>
      </c>
      <c r="F2426">
        <v>1</v>
      </c>
      <c r="G2426" t="s">
        <v>59</v>
      </c>
      <c r="H2426" t="s">
        <v>60</v>
      </c>
      <c r="I2426" s="3">
        <v>901</v>
      </c>
      <c r="J2426" s="3">
        <v>846</v>
      </c>
      <c r="K2426" s="3">
        <v>392</v>
      </c>
      <c r="L2426" t="s">
        <v>9</v>
      </c>
      <c r="M2426">
        <v>12</v>
      </c>
      <c r="N2426" t="s">
        <v>26</v>
      </c>
      <c r="O2426" t="s">
        <v>11</v>
      </c>
      <c r="P2426" t="s">
        <v>12</v>
      </c>
      <c r="Q2426" t="s">
        <v>13</v>
      </c>
      <c r="R2426" t="s">
        <v>13</v>
      </c>
      <c r="S2426" t="s">
        <v>144</v>
      </c>
      <c r="T2426" s="2">
        <f>MASTER[[#This Row],[CANTIDAD]]*MASTER[[#This Row],[PRECIO DE VENTA]]</f>
        <v>846</v>
      </c>
      <c r="U2426" s="2">
        <f>MASTER[[#This Row],[CANTIDAD]]*MASTER[[#This Row],[COSTO UNITARIO]]</f>
        <v>392</v>
      </c>
      <c r="V2426" s="2">
        <f>MASTER[[#This Row],[MONTO VENDIDO]]-MASTER[[#This Row],[COSTO DE VENTA]]</f>
        <v>454</v>
      </c>
    </row>
    <row r="2427" spans="1:22" x14ac:dyDescent="0.3">
      <c r="A2427">
        <v>41325</v>
      </c>
      <c r="B2427">
        <v>1</v>
      </c>
      <c r="C2427" t="s">
        <v>107</v>
      </c>
      <c r="D2427" t="s">
        <v>108</v>
      </c>
      <c r="E2427" s="1">
        <v>44122</v>
      </c>
      <c r="F2427">
        <v>1</v>
      </c>
      <c r="G2427" t="s">
        <v>57</v>
      </c>
      <c r="H2427" t="s">
        <v>58</v>
      </c>
      <c r="I2427" s="3">
        <v>1333</v>
      </c>
      <c r="J2427" s="3">
        <v>1333</v>
      </c>
      <c r="K2427" s="3">
        <v>380</v>
      </c>
      <c r="L2427" t="s">
        <v>98</v>
      </c>
      <c r="M2427">
        <v>10</v>
      </c>
      <c r="N2427" t="s">
        <v>83</v>
      </c>
      <c r="O2427" t="s">
        <v>81</v>
      </c>
      <c r="P2427" t="s">
        <v>12</v>
      </c>
      <c r="Q2427" t="s">
        <v>13</v>
      </c>
      <c r="R2427" t="s">
        <v>13</v>
      </c>
      <c r="S2427" t="s">
        <v>144</v>
      </c>
      <c r="T2427" s="2">
        <f>MASTER[[#This Row],[CANTIDAD]]*MASTER[[#This Row],[PRECIO DE VENTA]]</f>
        <v>1333</v>
      </c>
      <c r="U2427" s="2">
        <f>MASTER[[#This Row],[CANTIDAD]]*MASTER[[#This Row],[COSTO UNITARIO]]</f>
        <v>380</v>
      </c>
      <c r="V2427" s="2">
        <f>MASTER[[#This Row],[MONTO VENDIDO]]-MASTER[[#This Row],[COSTO DE VENTA]]</f>
        <v>953</v>
      </c>
    </row>
    <row r="2428" spans="1:22" x14ac:dyDescent="0.3">
      <c r="A2428">
        <v>41329</v>
      </c>
      <c r="B2428">
        <v>1</v>
      </c>
      <c r="C2428" t="s">
        <v>96</v>
      </c>
      <c r="D2428" t="s">
        <v>97</v>
      </c>
      <c r="E2428" s="1">
        <v>44122</v>
      </c>
      <c r="F2428">
        <v>3</v>
      </c>
      <c r="G2428" t="s">
        <v>53</v>
      </c>
      <c r="H2428" t="s">
        <v>54</v>
      </c>
      <c r="I2428" s="3">
        <v>1272</v>
      </c>
      <c r="J2428" s="3">
        <v>1170</v>
      </c>
      <c r="K2428" s="3">
        <v>397</v>
      </c>
      <c r="L2428" t="s">
        <v>98</v>
      </c>
      <c r="M2428">
        <v>8</v>
      </c>
      <c r="N2428" t="s">
        <v>80</v>
      </c>
      <c r="O2428" t="s">
        <v>81</v>
      </c>
      <c r="P2428" t="s">
        <v>12</v>
      </c>
      <c r="Q2428" t="s">
        <v>13</v>
      </c>
      <c r="R2428" t="s">
        <v>13</v>
      </c>
      <c r="S2428" t="s">
        <v>144</v>
      </c>
      <c r="T2428" s="2">
        <f>MASTER[[#This Row],[CANTIDAD]]*MASTER[[#This Row],[PRECIO DE VENTA]]</f>
        <v>3510</v>
      </c>
      <c r="U2428" s="2">
        <f>MASTER[[#This Row],[CANTIDAD]]*MASTER[[#This Row],[COSTO UNITARIO]]</f>
        <v>1191</v>
      </c>
      <c r="V2428" s="2">
        <f>MASTER[[#This Row],[MONTO VENDIDO]]-MASTER[[#This Row],[COSTO DE VENTA]]</f>
        <v>2319</v>
      </c>
    </row>
    <row r="2429" spans="1:22" x14ac:dyDescent="0.3">
      <c r="A2429">
        <v>41344</v>
      </c>
      <c r="B2429">
        <v>1</v>
      </c>
      <c r="C2429" t="s">
        <v>121</v>
      </c>
      <c r="D2429" t="s">
        <v>122</v>
      </c>
      <c r="E2429" s="1">
        <v>44122</v>
      </c>
      <c r="F2429">
        <v>1</v>
      </c>
      <c r="G2429" t="s">
        <v>31</v>
      </c>
      <c r="H2429" t="s">
        <v>32</v>
      </c>
      <c r="I2429" s="3">
        <v>1144</v>
      </c>
      <c r="J2429" s="3">
        <v>1144</v>
      </c>
      <c r="K2429" s="3">
        <v>460</v>
      </c>
      <c r="L2429" t="s">
        <v>120</v>
      </c>
      <c r="M2429">
        <v>3</v>
      </c>
      <c r="N2429" t="s">
        <v>69</v>
      </c>
      <c r="O2429" t="s">
        <v>70</v>
      </c>
      <c r="P2429" t="s">
        <v>71</v>
      </c>
      <c r="Q2429" t="s">
        <v>72</v>
      </c>
      <c r="R2429" t="s">
        <v>139</v>
      </c>
      <c r="S2429" t="s">
        <v>144</v>
      </c>
      <c r="T2429" s="2">
        <f>MASTER[[#This Row],[CANTIDAD]]*MASTER[[#This Row],[PRECIO DE VENTA]]</f>
        <v>1144</v>
      </c>
      <c r="U2429" s="2">
        <f>MASTER[[#This Row],[CANTIDAD]]*MASTER[[#This Row],[COSTO UNITARIO]]</f>
        <v>460</v>
      </c>
      <c r="V2429" s="2">
        <f>MASTER[[#This Row],[MONTO VENDIDO]]-MASTER[[#This Row],[COSTO DE VENTA]]</f>
        <v>684</v>
      </c>
    </row>
    <row r="2430" spans="1:22" x14ac:dyDescent="0.3">
      <c r="A2430">
        <v>41383</v>
      </c>
      <c r="B2430">
        <v>1</v>
      </c>
      <c r="C2430" t="s">
        <v>5</v>
      </c>
      <c r="D2430" t="s">
        <v>6</v>
      </c>
      <c r="E2430" s="1">
        <v>44122</v>
      </c>
      <c r="F2430">
        <v>1</v>
      </c>
      <c r="G2430" t="s">
        <v>59</v>
      </c>
      <c r="H2430" t="s">
        <v>60</v>
      </c>
      <c r="I2430" s="3">
        <v>1507</v>
      </c>
      <c r="J2430" s="3">
        <v>1507</v>
      </c>
      <c r="K2430" s="3">
        <v>393</v>
      </c>
      <c r="L2430" t="s">
        <v>9</v>
      </c>
      <c r="M2430">
        <v>15</v>
      </c>
      <c r="N2430" t="s">
        <v>88</v>
      </c>
      <c r="O2430" t="s">
        <v>81</v>
      </c>
      <c r="P2430" t="s">
        <v>18</v>
      </c>
      <c r="Q2430" t="s">
        <v>19</v>
      </c>
      <c r="R2430" t="s">
        <v>138</v>
      </c>
      <c r="S2430" t="s">
        <v>144</v>
      </c>
      <c r="T2430" s="2">
        <f>MASTER[[#This Row],[CANTIDAD]]*MASTER[[#This Row],[PRECIO DE VENTA]]</f>
        <v>1507</v>
      </c>
      <c r="U2430" s="2">
        <f>MASTER[[#This Row],[CANTIDAD]]*MASTER[[#This Row],[COSTO UNITARIO]]</f>
        <v>393</v>
      </c>
      <c r="V2430" s="2">
        <f>MASTER[[#This Row],[MONTO VENDIDO]]-MASTER[[#This Row],[COSTO DE VENTA]]</f>
        <v>1114</v>
      </c>
    </row>
    <row r="2431" spans="1:22" x14ac:dyDescent="0.3">
      <c r="A2431">
        <v>41391</v>
      </c>
      <c r="B2431">
        <v>1</v>
      </c>
      <c r="C2431" t="s">
        <v>105</v>
      </c>
      <c r="D2431" t="s">
        <v>106</v>
      </c>
      <c r="E2431" s="1">
        <v>44122</v>
      </c>
      <c r="F2431">
        <v>1</v>
      </c>
      <c r="G2431" t="s">
        <v>47</v>
      </c>
      <c r="H2431" t="s">
        <v>48</v>
      </c>
      <c r="I2431" s="3">
        <v>2033</v>
      </c>
      <c r="J2431" s="3">
        <v>2033</v>
      </c>
      <c r="K2431" s="3">
        <v>459</v>
      </c>
      <c r="L2431" t="s">
        <v>98</v>
      </c>
      <c r="M2431">
        <v>3</v>
      </c>
      <c r="N2431" t="s">
        <v>69</v>
      </c>
      <c r="O2431" t="s">
        <v>70</v>
      </c>
      <c r="P2431" t="s">
        <v>71</v>
      </c>
      <c r="Q2431" t="s">
        <v>72</v>
      </c>
      <c r="R2431" t="s">
        <v>139</v>
      </c>
      <c r="S2431" t="s">
        <v>144</v>
      </c>
      <c r="T2431" s="2">
        <f>MASTER[[#This Row],[CANTIDAD]]*MASTER[[#This Row],[PRECIO DE VENTA]]</f>
        <v>2033</v>
      </c>
      <c r="U2431" s="2">
        <f>MASTER[[#This Row],[CANTIDAD]]*MASTER[[#This Row],[COSTO UNITARIO]]</f>
        <v>459</v>
      </c>
      <c r="V2431" s="2">
        <f>MASTER[[#This Row],[MONTO VENDIDO]]-MASTER[[#This Row],[COSTO DE VENTA]]</f>
        <v>1574</v>
      </c>
    </row>
    <row r="2432" spans="1:22" x14ac:dyDescent="0.3">
      <c r="A2432">
        <v>41422</v>
      </c>
      <c r="B2432">
        <v>1</v>
      </c>
      <c r="C2432" t="s">
        <v>5</v>
      </c>
      <c r="D2432" t="s">
        <v>6</v>
      </c>
      <c r="E2432" s="1">
        <v>44122</v>
      </c>
      <c r="F2432">
        <v>1</v>
      </c>
      <c r="G2432" t="s">
        <v>51</v>
      </c>
      <c r="H2432" t="s">
        <v>52</v>
      </c>
      <c r="I2432" s="3">
        <v>1507</v>
      </c>
      <c r="J2432" s="3">
        <v>1507</v>
      </c>
      <c r="K2432" s="3">
        <v>393</v>
      </c>
      <c r="L2432" t="s">
        <v>9</v>
      </c>
      <c r="M2432">
        <v>8</v>
      </c>
      <c r="N2432" t="s">
        <v>80</v>
      </c>
      <c r="O2432" t="s">
        <v>81</v>
      </c>
      <c r="P2432" t="s">
        <v>12</v>
      </c>
      <c r="Q2432" t="s">
        <v>13</v>
      </c>
      <c r="R2432" t="s">
        <v>13</v>
      </c>
      <c r="S2432" t="s">
        <v>144</v>
      </c>
      <c r="T2432" s="2">
        <f>MASTER[[#This Row],[CANTIDAD]]*MASTER[[#This Row],[PRECIO DE VENTA]]</f>
        <v>1507</v>
      </c>
      <c r="U2432" s="2">
        <f>MASTER[[#This Row],[CANTIDAD]]*MASTER[[#This Row],[COSTO UNITARIO]]</f>
        <v>393</v>
      </c>
      <c r="V2432" s="2">
        <f>MASTER[[#This Row],[MONTO VENDIDO]]-MASTER[[#This Row],[COSTO DE VENTA]]</f>
        <v>1114</v>
      </c>
    </row>
    <row r="2433" spans="1:22" x14ac:dyDescent="0.3">
      <c r="A2433">
        <v>41428</v>
      </c>
      <c r="B2433">
        <v>1</v>
      </c>
      <c r="C2433" t="s">
        <v>92</v>
      </c>
      <c r="D2433" t="s">
        <v>93</v>
      </c>
      <c r="E2433" s="1">
        <v>44123</v>
      </c>
      <c r="F2433">
        <v>1</v>
      </c>
      <c r="G2433" t="s">
        <v>55</v>
      </c>
      <c r="H2433" t="s">
        <v>56</v>
      </c>
      <c r="I2433" s="3">
        <v>1681</v>
      </c>
      <c r="J2433" s="3">
        <v>1681</v>
      </c>
      <c r="K2433" s="3">
        <v>396</v>
      </c>
      <c r="L2433" t="s">
        <v>9</v>
      </c>
      <c r="M2433">
        <v>19</v>
      </c>
      <c r="N2433" t="s">
        <v>89</v>
      </c>
      <c r="O2433" t="s">
        <v>81</v>
      </c>
      <c r="P2433" t="s">
        <v>15</v>
      </c>
      <c r="Q2433" t="s">
        <v>16</v>
      </c>
      <c r="R2433" t="s">
        <v>16</v>
      </c>
      <c r="S2433" t="s">
        <v>144</v>
      </c>
      <c r="T2433" s="2">
        <f>MASTER[[#This Row],[CANTIDAD]]*MASTER[[#This Row],[PRECIO DE VENTA]]</f>
        <v>1681</v>
      </c>
      <c r="U2433" s="2">
        <f>MASTER[[#This Row],[CANTIDAD]]*MASTER[[#This Row],[COSTO UNITARIO]]</f>
        <v>396</v>
      </c>
      <c r="V2433" s="2">
        <f>MASTER[[#This Row],[MONTO VENDIDO]]-MASTER[[#This Row],[COSTO DE VENTA]]</f>
        <v>1285</v>
      </c>
    </row>
    <row r="2434" spans="1:22" x14ac:dyDescent="0.3">
      <c r="A2434">
        <v>41448</v>
      </c>
      <c r="B2434">
        <v>1</v>
      </c>
      <c r="C2434" t="s">
        <v>105</v>
      </c>
      <c r="D2434" t="s">
        <v>106</v>
      </c>
      <c r="E2434" s="1">
        <v>44123</v>
      </c>
      <c r="F2434">
        <v>1</v>
      </c>
      <c r="G2434" t="s">
        <v>24</v>
      </c>
      <c r="H2434" t="s">
        <v>25</v>
      </c>
      <c r="I2434" s="3">
        <v>1865</v>
      </c>
      <c r="J2434" s="3">
        <v>1865</v>
      </c>
      <c r="K2434" s="3">
        <v>459</v>
      </c>
      <c r="L2434" t="s">
        <v>98</v>
      </c>
      <c r="M2434">
        <v>19</v>
      </c>
      <c r="N2434" t="s">
        <v>89</v>
      </c>
      <c r="O2434" t="s">
        <v>81</v>
      </c>
      <c r="P2434" t="s">
        <v>15</v>
      </c>
      <c r="Q2434" t="s">
        <v>16</v>
      </c>
      <c r="R2434" t="s">
        <v>16</v>
      </c>
      <c r="S2434" t="s">
        <v>144</v>
      </c>
      <c r="T2434" s="2">
        <f>MASTER[[#This Row],[CANTIDAD]]*MASTER[[#This Row],[PRECIO DE VENTA]]</f>
        <v>1865</v>
      </c>
      <c r="U2434" s="2">
        <f>MASTER[[#This Row],[CANTIDAD]]*MASTER[[#This Row],[COSTO UNITARIO]]</f>
        <v>459</v>
      </c>
      <c r="V2434" s="2">
        <f>MASTER[[#This Row],[MONTO VENDIDO]]-MASTER[[#This Row],[COSTO DE VENTA]]</f>
        <v>1406</v>
      </c>
    </row>
    <row r="2435" spans="1:22" x14ac:dyDescent="0.3">
      <c r="A2435">
        <v>41453</v>
      </c>
      <c r="B2435">
        <v>1</v>
      </c>
      <c r="C2435" t="s">
        <v>118</v>
      </c>
      <c r="D2435" t="s">
        <v>119</v>
      </c>
      <c r="E2435" s="1">
        <v>44123</v>
      </c>
      <c r="F2435">
        <v>1</v>
      </c>
      <c r="G2435" t="s">
        <v>43</v>
      </c>
      <c r="H2435" t="s">
        <v>44</v>
      </c>
      <c r="I2435" s="3">
        <v>1026</v>
      </c>
      <c r="J2435" s="3">
        <v>1026</v>
      </c>
      <c r="K2435" s="3">
        <v>424</v>
      </c>
      <c r="L2435" t="s">
        <v>120</v>
      </c>
      <c r="M2435">
        <v>13</v>
      </c>
      <c r="N2435" t="s">
        <v>78</v>
      </c>
      <c r="O2435" t="s">
        <v>70</v>
      </c>
      <c r="P2435" t="s">
        <v>18</v>
      </c>
      <c r="Q2435" t="s">
        <v>19</v>
      </c>
      <c r="R2435" t="s">
        <v>138</v>
      </c>
      <c r="S2435" t="s">
        <v>144</v>
      </c>
      <c r="T2435" s="2">
        <f>MASTER[[#This Row],[CANTIDAD]]*MASTER[[#This Row],[PRECIO DE VENTA]]</f>
        <v>1026</v>
      </c>
      <c r="U2435" s="2">
        <f>MASTER[[#This Row],[CANTIDAD]]*MASTER[[#This Row],[COSTO UNITARIO]]</f>
        <v>424</v>
      </c>
      <c r="V2435" s="2">
        <f>MASTER[[#This Row],[MONTO VENDIDO]]-MASTER[[#This Row],[COSTO DE VENTA]]</f>
        <v>602</v>
      </c>
    </row>
    <row r="2436" spans="1:22" x14ac:dyDescent="0.3">
      <c r="A2436">
        <v>41458</v>
      </c>
      <c r="B2436">
        <v>1</v>
      </c>
      <c r="C2436" t="s">
        <v>101</v>
      </c>
      <c r="D2436" t="s">
        <v>102</v>
      </c>
      <c r="E2436" s="1">
        <v>44123</v>
      </c>
      <c r="F2436">
        <v>1</v>
      </c>
      <c r="G2436" t="s">
        <v>7</v>
      </c>
      <c r="H2436" t="s">
        <v>8</v>
      </c>
      <c r="I2436" s="3">
        <v>1357</v>
      </c>
      <c r="J2436" s="3">
        <v>1357</v>
      </c>
      <c r="K2436" s="3">
        <v>442</v>
      </c>
      <c r="L2436" t="s">
        <v>98</v>
      </c>
      <c r="M2436">
        <v>1</v>
      </c>
      <c r="N2436" t="s">
        <v>77</v>
      </c>
      <c r="O2436" t="s">
        <v>70</v>
      </c>
      <c r="P2436" t="s">
        <v>71</v>
      </c>
      <c r="Q2436" t="s">
        <v>72</v>
      </c>
      <c r="R2436" t="s">
        <v>139</v>
      </c>
      <c r="S2436" t="s">
        <v>144</v>
      </c>
      <c r="T2436" s="2">
        <f>MASTER[[#This Row],[CANTIDAD]]*MASTER[[#This Row],[PRECIO DE VENTA]]</f>
        <v>1357</v>
      </c>
      <c r="U2436" s="2">
        <f>MASTER[[#This Row],[CANTIDAD]]*MASTER[[#This Row],[COSTO UNITARIO]]</f>
        <v>442</v>
      </c>
      <c r="V2436" s="2">
        <f>MASTER[[#This Row],[MONTO VENDIDO]]-MASTER[[#This Row],[COSTO DE VENTA]]</f>
        <v>915</v>
      </c>
    </row>
    <row r="2437" spans="1:22" x14ac:dyDescent="0.3">
      <c r="A2437">
        <v>41464</v>
      </c>
      <c r="B2437">
        <v>1</v>
      </c>
      <c r="C2437" t="s">
        <v>101</v>
      </c>
      <c r="D2437" t="s">
        <v>102</v>
      </c>
      <c r="E2437" s="1">
        <v>44123</v>
      </c>
      <c r="F2437">
        <v>1</v>
      </c>
      <c r="G2437" t="s">
        <v>35</v>
      </c>
      <c r="H2437" t="s">
        <v>36</v>
      </c>
      <c r="I2437" s="3">
        <v>1357</v>
      </c>
      <c r="J2437" s="3">
        <v>1357</v>
      </c>
      <c r="K2437" s="3">
        <v>442</v>
      </c>
      <c r="L2437" t="s">
        <v>98</v>
      </c>
      <c r="M2437">
        <v>6</v>
      </c>
      <c r="N2437" t="s">
        <v>75</v>
      </c>
      <c r="O2437" t="s">
        <v>70</v>
      </c>
      <c r="P2437" t="s">
        <v>12</v>
      </c>
      <c r="Q2437" t="s">
        <v>13</v>
      </c>
      <c r="R2437" t="s">
        <v>13</v>
      </c>
      <c r="S2437" t="s">
        <v>144</v>
      </c>
      <c r="T2437" s="2">
        <f>MASTER[[#This Row],[CANTIDAD]]*MASTER[[#This Row],[PRECIO DE VENTA]]</f>
        <v>1357</v>
      </c>
      <c r="U2437" s="2">
        <f>MASTER[[#This Row],[CANTIDAD]]*MASTER[[#This Row],[COSTO UNITARIO]]</f>
        <v>442</v>
      </c>
      <c r="V2437" s="2">
        <f>MASTER[[#This Row],[MONTO VENDIDO]]-MASTER[[#This Row],[COSTO DE VENTA]]</f>
        <v>915</v>
      </c>
    </row>
    <row r="2438" spans="1:22" x14ac:dyDescent="0.3">
      <c r="A2438">
        <v>41472</v>
      </c>
      <c r="B2438">
        <v>1</v>
      </c>
      <c r="C2438" t="s">
        <v>121</v>
      </c>
      <c r="D2438" t="s">
        <v>122</v>
      </c>
      <c r="E2438" s="1">
        <v>44123</v>
      </c>
      <c r="F2438">
        <v>1</v>
      </c>
      <c r="G2438" t="s">
        <v>29</v>
      </c>
      <c r="H2438" t="s">
        <v>30</v>
      </c>
      <c r="I2438" s="3">
        <v>1144</v>
      </c>
      <c r="J2438" s="3">
        <v>1144</v>
      </c>
      <c r="K2438" s="3">
        <v>460</v>
      </c>
      <c r="L2438" t="s">
        <v>120</v>
      </c>
      <c r="M2438">
        <v>1</v>
      </c>
      <c r="N2438" t="s">
        <v>77</v>
      </c>
      <c r="O2438" t="s">
        <v>70</v>
      </c>
      <c r="P2438" t="s">
        <v>71</v>
      </c>
      <c r="Q2438" t="s">
        <v>72</v>
      </c>
      <c r="R2438" t="s">
        <v>139</v>
      </c>
      <c r="S2438" t="s">
        <v>144</v>
      </c>
      <c r="T2438" s="2">
        <f>MASTER[[#This Row],[CANTIDAD]]*MASTER[[#This Row],[PRECIO DE VENTA]]</f>
        <v>1144</v>
      </c>
      <c r="U2438" s="2">
        <f>MASTER[[#This Row],[CANTIDAD]]*MASTER[[#This Row],[COSTO UNITARIO]]</f>
        <v>460</v>
      </c>
      <c r="V2438" s="2">
        <f>MASTER[[#This Row],[MONTO VENDIDO]]-MASTER[[#This Row],[COSTO DE VENTA]]</f>
        <v>684</v>
      </c>
    </row>
    <row r="2439" spans="1:22" x14ac:dyDescent="0.3">
      <c r="A2439">
        <v>41484</v>
      </c>
      <c r="B2439">
        <v>1</v>
      </c>
      <c r="C2439" t="s">
        <v>92</v>
      </c>
      <c r="D2439" t="s">
        <v>93</v>
      </c>
      <c r="E2439" s="1">
        <v>44123</v>
      </c>
      <c r="F2439">
        <v>1</v>
      </c>
      <c r="G2439" t="s">
        <v>49</v>
      </c>
      <c r="H2439" t="s">
        <v>50</v>
      </c>
      <c r="I2439" s="3">
        <v>1479</v>
      </c>
      <c r="J2439" s="3">
        <v>1479</v>
      </c>
      <c r="K2439" s="3">
        <v>396</v>
      </c>
      <c r="L2439" t="s">
        <v>9</v>
      </c>
      <c r="M2439">
        <v>11</v>
      </c>
      <c r="N2439" t="s">
        <v>10</v>
      </c>
      <c r="O2439" t="s">
        <v>11</v>
      </c>
      <c r="P2439" t="s">
        <v>12</v>
      </c>
      <c r="Q2439" t="s">
        <v>13</v>
      </c>
      <c r="R2439" t="s">
        <v>13</v>
      </c>
      <c r="S2439" t="s">
        <v>144</v>
      </c>
      <c r="T2439" s="2">
        <f>MASTER[[#This Row],[CANTIDAD]]*MASTER[[#This Row],[PRECIO DE VENTA]]</f>
        <v>1479</v>
      </c>
      <c r="U2439" s="2">
        <f>MASTER[[#This Row],[CANTIDAD]]*MASTER[[#This Row],[COSTO UNITARIO]]</f>
        <v>396</v>
      </c>
      <c r="V2439" s="2">
        <f>MASTER[[#This Row],[MONTO VENDIDO]]-MASTER[[#This Row],[COSTO DE VENTA]]</f>
        <v>1083</v>
      </c>
    </row>
    <row r="2440" spans="1:22" x14ac:dyDescent="0.3">
      <c r="A2440">
        <v>41485</v>
      </c>
      <c r="B2440">
        <v>1</v>
      </c>
      <c r="C2440" t="s">
        <v>92</v>
      </c>
      <c r="D2440" t="s">
        <v>93</v>
      </c>
      <c r="E2440" s="1">
        <v>44123</v>
      </c>
      <c r="F2440">
        <v>1</v>
      </c>
      <c r="G2440" t="s">
        <v>43</v>
      </c>
      <c r="H2440" t="s">
        <v>44</v>
      </c>
      <c r="I2440" s="3">
        <v>1681</v>
      </c>
      <c r="J2440" s="3">
        <v>1681</v>
      </c>
      <c r="K2440" s="3">
        <v>396</v>
      </c>
      <c r="L2440" t="s">
        <v>9</v>
      </c>
      <c r="M2440">
        <v>4</v>
      </c>
      <c r="N2440" t="s">
        <v>82</v>
      </c>
      <c r="O2440" t="s">
        <v>81</v>
      </c>
      <c r="P2440" t="s">
        <v>71</v>
      </c>
      <c r="Q2440" t="s">
        <v>72</v>
      </c>
      <c r="R2440" t="s">
        <v>139</v>
      </c>
      <c r="S2440" t="s">
        <v>144</v>
      </c>
      <c r="T2440" s="2">
        <f>MASTER[[#This Row],[CANTIDAD]]*MASTER[[#This Row],[PRECIO DE VENTA]]</f>
        <v>1681</v>
      </c>
      <c r="U2440" s="2">
        <f>MASTER[[#This Row],[CANTIDAD]]*MASTER[[#This Row],[COSTO UNITARIO]]</f>
        <v>396</v>
      </c>
      <c r="V2440" s="2">
        <f>MASTER[[#This Row],[MONTO VENDIDO]]-MASTER[[#This Row],[COSTO DE VENTA]]</f>
        <v>1285</v>
      </c>
    </row>
    <row r="2441" spans="1:22" x14ac:dyDescent="0.3">
      <c r="A2441">
        <v>41488</v>
      </c>
      <c r="B2441">
        <v>1</v>
      </c>
      <c r="C2441" t="s">
        <v>116</v>
      </c>
      <c r="D2441" t="s">
        <v>117</v>
      </c>
      <c r="E2441" s="1">
        <v>44123</v>
      </c>
      <c r="F2441">
        <v>1</v>
      </c>
      <c r="G2441" t="s">
        <v>57</v>
      </c>
      <c r="H2441" t="s">
        <v>58</v>
      </c>
      <c r="I2441" s="3">
        <v>1738</v>
      </c>
      <c r="J2441" s="3">
        <v>1738</v>
      </c>
      <c r="K2441" s="3">
        <v>388</v>
      </c>
      <c r="L2441" t="s">
        <v>113</v>
      </c>
      <c r="M2441">
        <v>7</v>
      </c>
      <c r="N2441" t="s">
        <v>84</v>
      </c>
      <c r="O2441" t="s">
        <v>81</v>
      </c>
      <c r="P2441" t="s">
        <v>12</v>
      </c>
      <c r="Q2441" t="s">
        <v>13</v>
      </c>
      <c r="R2441" t="s">
        <v>13</v>
      </c>
      <c r="S2441" t="s">
        <v>144</v>
      </c>
      <c r="T2441" s="2">
        <f>MASTER[[#This Row],[CANTIDAD]]*MASTER[[#This Row],[PRECIO DE VENTA]]</f>
        <v>1738</v>
      </c>
      <c r="U2441" s="2">
        <f>MASTER[[#This Row],[CANTIDAD]]*MASTER[[#This Row],[COSTO UNITARIO]]</f>
        <v>388</v>
      </c>
      <c r="V2441" s="2">
        <f>MASTER[[#This Row],[MONTO VENDIDO]]-MASTER[[#This Row],[COSTO DE VENTA]]</f>
        <v>1350</v>
      </c>
    </row>
    <row r="2442" spans="1:22" x14ac:dyDescent="0.3">
      <c r="A2442">
        <v>41494</v>
      </c>
      <c r="B2442">
        <v>1</v>
      </c>
      <c r="C2442" t="s">
        <v>121</v>
      </c>
      <c r="D2442" t="s">
        <v>122</v>
      </c>
      <c r="E2442" s="1">
        <v>44123</v>
      </c>
      <c r="F2442">
        <v>1</v>
      </c>
      <c r="G2442" t="s">
        <v>63</v>
      </c>
      <c r="H2442" t="s">
        <v>64</v>
      </c>
      <c r="I2442" s="3">
        <v>1069</v>
      </c>
      <c r="J2442" s="3">
        <v>1069</v>
      </c>
      <c r="K2442" s="3">
        <v>460</v>
      </c>
      <c r="L2442" t="s">
        <v>120</v>
      </c>
      <c r="M2442">
        <v>8</v>
      </c>
      <c r="N2442" t="s">
        <v>80</v>
      </c>
      <c r="O2442" t="s">
        <v>81</v>
      </c>
      <c r="P2442" t="s">
        <v>12</v>
      </c>
      <c r="Q2442" t="s">
        <v>13</v>
      </c>
      <c r="R2442" t="s">
        <v>13</v>
      </c>
      <c r="S2442" t="s">
        <v>144</v>
      </c>
      <c r="T2442" s="2">
        <f>MASTER[[#This Row],[CANTIDAD]]*MASTER[[#This Row],[PRECIO DE VENTA]]</f>
        <v>1069</v>
      </c>
      <c r="U2442" s="2">
        <f>MASTER[[#This Row],[CANTIDAD]]*MASTER[[#This Row],[COSTO UNITARIO]]</f>
        <v>460</v>
      </c>
      <c r="V2442" s="2">
        <f>MASTER[[#This Row],[MONTO VENDIDO]]-MASTER[[#This Row],[COSTO DE VENTA]]</f>
        <v>609</v>
      </c>
    </row>
    <row r="2443" spans="1:22" x14ac:dyDescent="0.3">
      <c r="A2443">
        <v>41523</v>
      </c>
      <c r="B2443">
        <v>1</v>
      </c>
      <c r="C2443" t="s">
        <v>121</v>
      </c>
      <c r="D2443" t="s">
        <v>122</v>
      </c>
      <c r="E2443" s="1">
        <v>44123</v>
      </c>
      <c r="F2443">
        <v>1</v>
      </c>
      <c r="G2443" t="s">
        <v>63</v>
      </c>
      <c r="H2443" t="s">
        <v>64</v>
      </c>
      <c r="I2443" s="3">
        <v>1144</v>
      </c>
      <c r="J2443" s="3">
        <v>1144</v>
      </c>
      <c r="K2443" s="3">
        <v>460</v>
      </c>
      <c r="L2443" t="s">
        <v>120</v>
      </c>
      <c r="M2443">
        <v>18</v>
      </c>
      <c r="N2443" t="s">
        <v>79</v>
      </c>
      <c r="O2443" t="s">
        <v>70</v>
      </c>
      <c r="P2443" t="s">
        <v>15</v>
      </c>
      <c r="Q2443" t="s">
        <v>16</v>
      </c>
      <c r="R2443" t="s">
        <v>16</v>
      </c>
      <c r="S2443" t="s">
        <v>144</v>
      </c>
      <c r="T2443" s="2">
        <f>MASTER[[#This Row],[CANTIDAD]]*MASTER[[#This Row],[PRECIO DE VENTA]]</f>
        <v>1144</v>
      </c>
      <c r="U2443" s="2">
        <f>MASTER[[#This Row],[CANTIDAD]]*MASTER[[#This Row],[COSTO UNITARIO]]</f>
        <v>460</v>
      </c>
      <c r="V2443" s="2">
        <f>MASTER[[#This Row],[MONTO VENDIDO]]-MASTER[[#This Row],[COSTO DE VENTA]]</f>
        <v>684</v>
      </c>
    </row>
    <row r="2444" spans="1:22" x14ac:dyDescent="0.3">
      <c r="A2444">
        <v>41525</v>
      </c>
      <c r="B2444">
        <v>1</v>
      </c>
      <c r="C2444" t="s">
        <v>109</v>
      </c>
      <c r="D2444" t="s">
        <v>110</v>
      </c>
      <c r="E2444" s="1">
        <v>44123</v>
      </c>
      <c r="F2444">
        <v>1</v>
      </c>
      <c r="G2444" t="s">
        <v>59</v>
      </c>
      <c r="H2444" t="s">
        <v>60</v>
      </c>
      <c r="I2444" s="3">
        <v>1128</v>
      </c>
      <c r="J2444" s="3">
        <v>1128</v>
      </c>
      <c r="K2444" s="3">
        <v>387</v>
      </c>
      <c r="L2444" t="s">
        <v>98</v>
      </c>
      <c r="M2444">
        <v>1</v>
      </c>
      <c r="N2444" t="s">
        <v>77</v>
      </c>
      <c r="O2444" t="s">
        <v>70</v>
      </c>
      <c r="P2444" t="s">
        <v>71</v>
      </c>
      <c r="Q2444" t="s">
        <v>72</v>
      </c>
      <c r="R2444" t="s">
        <v>139</v>
      </c>
      <c r="S2444" t="s">
        <v>144</v>
      </c>
      <c r="T2444" s="2">
        <f>MASTER[[#This Row],[CANTIDAD]]*MASTER[[#This Row],[PRECIO DE VENTA]]</f>
        <v>1128</v>
      </c>
      <c r="U2444" s="2">
        <f>MASTER[[#This Row],[CANTIDAD]]*MASTER[[#This Row],[COSTO UNITARIO]]</f>
        <v>387</v>
      </c>
      <c r="V2444" s="2">
        <f>MASTER[[#This Row],[MONTO VENDIDO]]-MASTER[[#This Row],[COSTO DE VENTA]]</f>
        <v>741</v>
      </c>
    </row>
    <row r="2445" spans="1:22" x14ac:dyDescent="0.3">
      <c r="A2445">
        <v>41527</v>
      </c>
      <c r="B2445">
        <v>1</v>
      </c>
      <c r="C2445" t="s">
        <v>99</v>
      </c>
      <c r="D2445" t="s">
        <v>100</v>
      </c>
      <c r="E2445" s="1">
        <v>44123</v>
      </c>
      <c r="F2445">
        <v>1</v>
      </c>
      <c r="G2445" t="s">
        <v>20</v>
      </c>
      <c r="H2445" t="s">
        <v>21</v>
      </c>
      <c r="I2445" s="3">
        <v>1678</v>
      </c>
      <c r="J2445" s="3">
        <v>1678</v>
      </c>
      <c r="K2445" s="3">
        <v>386</v>
      </c>
      <c r="L2445" t="s">
        <v>98</v>
      </c>
      <c r="M2445">
        <v>9</v>
      </c>
      <c r="N2445" t="s">
        <v>76</v>
      </c>
      <c r="O2445" t="s">
        <v>70</v>
      </c>
      <c r="P2445" t="s">
        <v>12</v>
      </c>
      <c r="Q2445" t="s">
        <v>13</v>
      </c>
      <c r="R2445" t="s">
        <v>13</v>
      </c>
      <c r="S2445" t="s">
        <v>144</v>
      </c>
      <c r="T2445" s="2">
        <f>MASTER[[#This Row],[CANTIDAD]]*MASTER[[#This Row],[PRECIO DE VENTA]]</f>
        <v>1678</v>
      </c>
      <c r="U2445" s="2">
        <f>MASTER[[#This Row],[CANTIDAD]]*MASTER[[#This Row],[COSTO UNITARIO]]</f>
        <v>386</v>
      </c>
      <c r="V2445" s="2">
        <f>MASTER[[#This Row],[MONTO VENDIDO]]-MASTER[[#This Row],[COSTO DE VENTA]]</f>
        <v>1292</v>
      </c>
    </row>
    <row r="2446" spans="1:22" x14ac:dyDescent="0.3">
      <c r="A2446">
        <v>41528</v>
      </c>
      <c r="B2446">
        <v>2</v>
      </c>
      <c r="C2446" t="s">
        <v>90</v>
      </c>
      <c r="D2446" t="s">
        <v>91</v>
      </c>
      <c r="E2446" s="1">
        <v>44124</v>
      </c>
      <c r="F2446">
        <v>1</v>
      </c>
      <c r="G2446" t="s">
        <v>57</v>
      </c>
      <c r="H2446" t="s">
        <v>58</v>
      </c>
      <c r="I2446" s="3">
        <v>1844</v>
      </c>
      <c r="J2446" s="3">
        <v>1844</v>
      </c>
      <c r="K2446" s="3">
        <v>420</v>
      </c>
      <c r="L2446" t="s">
        <v>9</v>
      </c>
      <c r="M2446">
        <v>2</v>
      </c>
      <c r="N2446" t="s">
        <v>86</v>
      </c>
      <c r="O2446" t="s">
        <v>81</v>
      </c>
      <c r="P2446" t="s">
        <v>71</v>
      </c>
      <c r="Q2446" t="s">
        <v>72</v>
      </c>
      <c r="R2446" t="s">
        <v>139</v>
      </c>
      <c r="S2446" t="s">
        <v>144</v>
      </c>
      <c r="T2446" s="2">
        <f>MASTER[[#This Row],[CANTIDAD]]*MASTER[[#This Row],[PRECIO DE VENTA]]</f>
        <v>1844</v>
      </c>
      <c r="U2446" s="2">
        <f>MASTER[[#This Row],[CANTIDAD]]*MASTER[[#This Row],[COSTO UNITARIO]]</f>
        <v>420</v>
      </c>
      <c r="V2446" s="2">
        <f>MASTER[[#This Row],[MONTO VENDIDO]]-MASTER[[#This Row],[COSTO DE VENTA]]</f>
        <v>1424</v>
      </c>
    </row>
    <row r="2447" spans="1:22" x14ac:dyDescent="0.3">
      <c r="A2447">
        <v>41528</v>
      </c>
      <c r="B2447">
        <v>1</v>
      </c>
      <c r="C2447" t="s">
        <v>109</v>
      </c>
      <c r="D2447" t="s">
        <v>110</v>
      </c>
      <c r="E2447" s="1">
        <v>44124</v>
      </c>
      <c r="F2447">
        <v>1</v>
      </c>
      <c r="G2447" t="s">
        <v>47</v>
      </c>
      <c r="H2447" t="s">
        <v>48</v>
      </c>
      <c r="I2447" s="3">
        <v>1064</v>
      </c>
      <c r="J2447" s="3">
        <v>1064</v>
      </c>
      <c r="K2447" s="3">
        <v>387</v>
      </c>
      <c r="L2447" t="s">
        <v>98</v>
      </c>
      <c r="M2447">
        <v>2</v>
      </c>
      <c r="N2447" t="s">
        <v>86</v>
      </c>
      <c r="O2447" t="s">
        <v>81</v>
      </c>
      <c r="P2447" t="s">
        <v>71</v>
      </c>
      <c r="Q2447" t="s">
        <v>72</v>
      </c>
      <c r="R2447" t="s">
        <v>139</v>
      </c>
      <c r="S2447" t="s">
        <v>144</v>
      </c>
      <c r="T2447" s="2">
        <f>MASTER[[#This Row],[CANTIDAD]]*MASTER[[#This Row],[PRECIO DE VENTA]]</f>
        <v>1064</v>
      </c>
      <c r="U2447" s="2">
        <f>MASTER[[#This Row],[CANTIDAD]]*MASTER[[#This Row],[COSTO UNITARIO]]</f>
        <v>387</v>
      </c>
      <c r="V2447" s="2">
        <f>MASTER[[#This Row],[MONTO VENDIDO]]-MASTER[[#This Row],[COSTO DE VENTA]]</f>
        <v>677</v>
      </c>
    </row>
    <row r="2448" spans="1:22" x14ac:dyDescent="0.3">
      <c r="A2448">
        <v>41563</v>
      </c>
      <c r="B2448">
        <v>1</v>
      </c>
      <c r="C2448" t="s">
        <v>101</v>
      </c>
      <c r="D2448" t="s">
        <v>102</v>
      </c>
      <c r="E2448" s="1">
        <v>44124</v>
      </c>
      <c r="F2448">
        <v>1</v>
      </c>
      <c r="G2448" t="s">
        <v>57</v>
      </c>
      <c r="H2448" t="s">
        <v>58</v>
      </c>
      <c r="I2448" s="3">
        <v>1212</v>
      </c>
      <c r="J2448" s="3">
        <v>1212</v>
      </c>
      <c r="K2448" s="3">
        <v>442</v>
      </c>
      <c r="L2448" t="s">
        <v>98</v>
      </c>
      <c r="M2448">
        <v>4</v>
      </c>
      <c r="N2448" t="s">
        <v>82</v>
      </c>
      <c r="O2448" t="s">
        <v>81</v>
      </c>
      <c r="P2448" t="s">
        <v>71</v>
      </c>
      <c r="Q2448" t="s">
        <v>72</v>
      </c>
      <c r="R2448" t="s">
        <v>139</v>
      </c>
      <c r="S2448" t="s">
        <v>144</v>
      </c>
      <c r="T2448" s="2">
        <f>MASTER[[#This Row],[CANTIDAD]]*MASTER[[#This Row],[PRECIO DE VENTA]]</f>
        <v>1212</v>
      </c>
      <c r="U2448" s="2">
        <f>MASTER[[#This Row],[CANTIDAD]]*MASTER[[#This Row],[COSTO UNITARIO]]</f>
        <v>442</v>
      </c>
      <c r="V2448" s="2">
        <f>MASTER[[#This Row],[MONTO VENDIDO]]-MASTER[[#This Row],[COSTO DE VENTA]]</f>
        <v>770</v>
      </c>
    </row>
    <row r="2449" spans="1:22" x14ac:dyDescent="0.3">
      <c r="A2449">
        <v>41571</v>
      </c>
      <c r="B2449">
        <v>1</v>
      </c>
      <c r="C2449" t="s">
        <v>114</v>
      </c>
      <c r="D2449" t="s">
        <v>115</v>
      </c>
      <c r="E2449" s="1">
        <v>44124</v>
      </c>
      <c r="F2449">
        <v>1</v>
      </c>
      <c r="G2449" t="s">
        <v>59</v>
      </c>
      <c r="H2449" t="s">
        <v>60</v>
      </c>
      <c r="I2449" s="3">
        <v>2030</v>
      </c>
      <c r="J2449" s="3">
        <v>2030</v>
      </c>
      <c r="K2449" s="3">
        <v>394</v>
      </c>
      <c r="L2449" t="s">
        <v>113</v>
      </c>
      <c r="M2449">
        <v>1</v>
      </c>
      <c r="N2449" t="s">
        <v>77</v>
      </c>
      <c r="O2449" t="s">
        <v>70</v>
      </c>
      <c r="P2449" t="s">
        <v>71</v>
      </c>
      <c r="Q2449" t="s">
        <v>72</v>
      </c>
      <c r="R2449" t="s">
        <v>139</v>
      </c>
      <c r="S2449" t="s">
        <v>144</v>
      </c>
      <c r="T2449" s="2">
        <f>MASTER[[#This Row],[CANTIDAD]]*MASTER[[#This Row],[PRECIO DE VENTA]]</f>
        <v>2030</v>
      </c>
      <c r="U2449" s="2">
        <f>MASTER[[#This Row],[CANTIDAD]]*MASTER[[#This Row],[COSTO UNITARIO]]</f>
        <v>394</v>
      </c>
      <c r="V2449" s="2">
        <f>MASTER[[#This Row],[MONTO VENDIDO]]-MASTER[[#This Row],[COSTO DE VENTA]]</f>
        <v>1636</v>
      </c>
    </row>
    <row r="2450" spans="1:22" x14ac:dyDescent="0.3">
      <c r="A2450">
        <v>41588</v>
      </c>
      <c r="B2450">
        <v>1</v>
      </c>
      <c r="C2450" t="s">
        <v>103</v>
      </c>
      <c r="D2450" t="s">
        <v>104</v>
      </c>
      <c r="E2450" s="1">
        <v>44124</v>
      </c>
      <c r="F2450">
        <v>1</v>
      </c>
      <c r="G2450" t="s">
        <v>65</v>
      </c>
      <c r="H2450" t="s">
        <v>66</v>
      </c>
      <c r="I2450" s="3">
        <v>1591</v>
      </c>
      <c r="J2450" s="3">
        <v>1591</v>
      </c>
      <c r="K2450" s="3">
        <v>421</v>
      </c>
      <c r="L2450" t="s">
        <v>98</v>
      </c>
      <c r="M2450">
        <v>14</v>
      </c>
      <c r="N2450" t="s">
        <v>87</v>
      </c>
      <c r="O2450" t="s">
        <v>81</v>
      </c>
      <c r="P2450" t="s">
        <v>18</v>
      </c>
      <c r="Q2450" t="s">
        <v>19</v>
      </c>
      <c r="R2450" t="s">
        <v>138</v>
      </c>
      <c r="S2450" t="s">
        <v>144</v>
      </c>
      <c r="T2450" s="2">
        <f>MASTER[[#This Row],[CANTIDAD]]*MASTER[[#This Row],[PRECIO DE VENTA]]</f>
        <v>1591</v>
      </c>
      <c r="U2450" s="2">
        <f>MASTER[[#This Row],[CANTIDAD]]*MASTER[[#This Row],[COSTO UNITARIO]]</f>
        <v>421</v>
      </c>
      <c r="V2450" s="2">
        <f>MASTER[[#This Row],[MONTO VENDIDO]]-MASTER[[#This Row],[COSTO DE VENTA]]</f>
        <v>1170</v>
      </c>
    </row>
    <row r="2451" spans="1:22" x14ac:dyDescent="0.3">
      <c r="A2451">
        <v>41612</v>
      </c>
      <c r="B2451">
        <v>1</v>
      </c>
      <c r="C2451" t="s">
        <v>101</v>
      </c>
      <c r="D2451" t="s">
        <v>102</v>
      </c>
      <c r="E2451" s="1">
        <v>44124</v>
      </c>
      <c r="F2451">
        <v>1</v>
      </c>
      <c r="G2451" t="s">
        <v>61</v>
      </c>
      <c r="H2451" t="s">
        <v>62</v>
      </c>
      <c r="I2451" s="3">
        <v>1357</v>
      </c>
      <c r="J2451" s="3">
        <v>1357</v>
      </c>
      <c r="K2451" s="3">
        <v>442</v>
      </c>
      <c r="L2451" t="s">
        <v>98</v>
      </c>
      <c r="M2451">
        <v>18</v>
      </c>
      <c r="N2451" t="s">
        <v>79</v>
      </c>
      <c r="O2451" t="s">
        <v>70</v>
      </c>
      <c r="P2451" t="s">
        <v>15</v>
      </c>
      <c r="Q2451" t="s">
        <v>16</v>
      </c>
      <c r="R2451" t="s">
        <v>16</v>
      </c>
      <c r="S2451" t="s">
        <v>144</v>
      </c>
      <c r="T2451" s="2">
        <f>MASTER[[#This Row],[CANTIDAD]]*MASTER[[#This Row],[PRECIO DE VENTA]]</f>
        <v>1357</v>
      </c>
      <c r="U2451" s="2">
        <f>MASTER[[#This Row],[CANTIDAD]]*MASTER[[#This Row],[COSTO UNITARIO]]</f>
        <v>442</v>
      </c>
      <c r="V2451" s="2">
        <f>MASTER[[#This Row],[MONTO VENDIDO]]-MASTER[[#This Row],[COSTO DE VENTA]]</f>
        <v>915</v>
      </c>
    </row>
    <row r="2452" spans="1:22" x14ac:dyDescent="0.3">
      <c r="A2452">
        <v>41623</v>
      </c>
      <c r="B2452">
        <v>1</v>
      </c>
      <c r="C2452" t="s">
        <v>109</v>
      </c>
      <c r="D2452" t="s">
        <v>110</v>
      </c>
      <c r="E2452" s="1">
        <v>44124</v>
      </c>
      <c r="F2452">
        <v>1</v>
      </c>
      <c r="G2452" t="s">
        <v>22</v>
      </c>
      <c r="H2452" t="s">
        <v>23</v>
      </c>
      <c r="I2452" s="3">
        <v>1128</v>
      </c>
      <c r="J2452" s="3">
        <v>1128</v>
      </c>
      <c r="K2452" s="3">
        <v>387</v>
      </c>
      <c r="L2452" t="s">
        <v>98</v>
      </c>
      <c r="M2452">
        <v>18</v>
      </c>
      <c r="N2452" t="s">
        <v>79</v>
      </c>
      <c r="O2452" t="s">
        <v>70</v>
      </c>
      <c r="P2452" t="s">
        <v>15</v>
      </c>
      <c r="Q2452" t="s">
        <v>16</v>
      </c>
      <c r="R2452" t="s">
        <v>16</v>
      </c>
      <c r="S2452" t="s">
        <v>144</v>
      </c>
      <c r="T2452" s="2">
        <f>MASTER[[#This Row],[CANTIDAD]]*MASTER[[#This Row],[PRECIO DE VENTA]]</f>
        <v>1128</v>
      </c>
      <c r="U2452" s="2">
        <f>MASTER[[#This Row],[CANTIDAD]]*MASTER[[#This Row],[COSTO UNITARIO]]</f>
        <v>387</v>
      </c>
      <c r="V2452" s="2">
        <f>MASTER[[#This Row],[MONTO VENDIDO]]-MASTER[[#This Row],[COSTO DE VENTA]]</f>
        <v>741</v>
      </c>
    </row>
    <row r="2453" spans="1:22" x14ac:dyDescent="0.3">
      <c r="A2453">
        <v>41625</v>
      </c>
      <c r="B2453">
        <v>1</v>
      </c>
      <c r="C2453" t="s">
        <v>111</v>
      </c>
      <c r="D2453" t="s">
        <v>112</v>
      </c>
      <c r="E2453" s="1">
        <v>44125</v>
      </c>
      <c r="F2453">
        <v>1</v>
      </c>
      <c r="G2453" t="s">
        <v>29</v>
      </c>
      <c r="H2453" t="s">
        <v>30</v>
      </c>
      <c r="I2453" s="3">
        <v>1524</v>
      </c>
      <c r="J2453" s="3">
        <v>1524</v>
      </c>
      <c r="K2453" s="3">
        <v>434</v>
      </c>
      <c r="L2453" t="s">
        <v>113</v>
      </c>
      <c r="M2453">
        <v>16</v>
      </c>
      <c r="N2453" t="s">
        <v>17</v>
      </c>
      <c r="O2453" t="s">
        <v>11</v>
      </c>
      <c r="P2453" t="s">
        <v>18</v>
      </c>
      <c r="Q2453" t="s">
        <v>19</v>
      </c>
      <c r="R2453" t="s">
        <v>138</v>
      </c>
      <c r="S2453" t="s">
        <v>144</v>
      </c>
      <c r="T2453" s="2">
        <f>MASTER[[#This Row],[CANTIDAD]]*MASTER[[#This Row],[PRECIO DE VENTA]]</f>
        <v>1524</v>
      </c>
      <c r="U2453" s="2">
        <f>MASTER[[#This Row],[CANTIDAD]]*MASTER[[#This Row],[COSTO UNITARIO]]</f>
        <v>434</v>
      </c>
      <c r="V2453" s="2">
        <f>MASTER[[#This Row],[MONTO VENDIDO]]-MASTER[[#This Row],[COSTO DE VENTA]]</f>
        <v>1090</v>
      </c>
    </row>
    <row r="2454" spans="1:22" x14ac:dyDescent="0.3">
      <c r="A2454">
        <v>41640</v>
      </c>
      <c r="B2454">
        <v>1</v>
      </c>
      <c r="C2454" t="s">
        <v>114</v>
      </c>
      <c r="D2454" t="s">
        <v>115</v>
      </c>
      <c r="E2454" s="1">
        <v>44125</v>
      </c>
      <c r="F2454">
        <v>1</v>
      </c>
      <c r="G2454" t="s">
        <v>67</v>
      </c>
      <c r="H2454" t="s">
        <v>68</v>
      </c>
      <c r="I2454" s="3">
        <v>1862</v>
      </c>
      <c r="J2454" s="3">
        <v>1862</v>
      </c>
      <c r="K2454" s="3">
        <v>394</v>
      </c>
      <c r="L2454" t="s">
        <v>113</v>
      </c>
      <c r="M2454">
        <v>15</v>
      </c>
      <c r="N2454" t="s">
        <v>88</v>
      </c>
      <c r="O2454" t="s">
        <v>81</v>
      </c>
      <c r="P2454" t="s">
        <v>18</v>
      </c>
      <c r="Q2454" t="s">
        <v>19</v>
      </c>
      <c r="R2454" t="s">
        <v>138</v>
      </c>
      <c r="S2454" t="s">
        <v>144</v>
      </c>
      <c r="T2454" s="2">
        <f>MASTER[[#This Row],[CANTIDAD]]*MASTER[[#This Row],[PRECIO DE VENTA]]</f>
        <v>1862</v>
      </c>
      <c r="U2454" s="2">
        <f>MASTER[[#This Row],[CANTIDAD]]*MASTER[[#This Row],[COSTO UNITARIO]]</f>
        <v>394</v>
      </c>
      <c r="V2454" s="2">
        <f>MASTER[[#This Row],[MONTO VENDIDO]]-MASTER[[#This Row],[COSTO DE VENTA]]</f>
        <v>1468</v>
      </c>
    </row>
    <row r="2455" spans="1:22" x14ac:dyDescent="0.3">
      <c r="A2455">
        <v>41642</v>
      </c>
      <c r="B2455">
        <v>1</v>
      </c>
      <c r="C2455" t="s">
        <v>90</v>
      </c>
      <c r="D2455" t="s">
        <v>91</v>
      </c>
      <c r="E2455" s="1">
        <v>44125</v>
      </c>
      <c r="F2455">
        <v>1</v>
      </c>
      <c r="G2455" t="s">
        <v>65</v>
      </c>
      <c r="H2455" t="s">
        <v>66</v>
      </c>
      <c r="I2455" s="3">
        <v>2102</v>
      </c>
      <c r="J2455" s="3">
        <v>2102</v>
      </c>
      <c r="K2455" s="3">
        <v>420</v>
      </c>
      <c r="L2455" t="s">
        <v>9</v>
      </c>
      <c r="M2455">
        <v>6</v>
      </c>
      <c r="N2455" t="s">
        <v>75</v>
      </c>
      <c r="O2455" t="s">
        <v>70</v>
      </c>
      <c r="P2455" t="s">
        <v>12</v>
      </c>
      <c r="Q2455" t="s">
        <v>13</v>
      </c>
      <c r="R2455" t="s">
        <v>13</v>
      </c>
      <c r="S2455" t="s">
        <v>144</v>
      </c>
      <c r="T2455" s="2">
        <f>MASTER[[#This Row],[CANTIDAD]]*MASTER[[#This Row],[PRECIO DE VENTA]]</f>
        <v>2102</v>
      </c>
      <c r="U2455" s="2">
        <f>MASTER[[#This Row],[CANTIDAD]]*MASTER[[#This Row],[COSTO UNITARIO]]</f>
        <v>420</v>
      </c>
      <c r="V2455" s="2">
        <f>MASTER[[#This Row],[MONTO VENDIDO]]-MASTER[[#This Row],[COSTO DE VENTA]]</f>
        <v>1682</v>
      </c>
    </row>
    <row r="2456" spans="1:22" x14ac:dyDescent="0.3">
      <c r="A2456">
        <v>41661</v>
      </c>
      <c r="B2456">
        <v>1</v>
      </c>
      <c r="C2456" t="s">
        <v>114</v>
      </c>
      <c r="D2456" t="s">
        <v>115</v>
      </c>
      <c r="E2456" s="1">
        <v>44125</v>
      </c>
      <c r="F2456">
        <v>1</v>
      </c>
      <c r="G2456" t="s">
        <v>27</v>
      </c>
      <c r="H2456" t="s">
        <v>28</v>
      </c>
      <c r="I2456" s="3">
        <v>1862</v>
      </c>
      <c r="J2456" s="3">
        <v>1862</v>
      </c>
      <c r="K2456" s="3">
        <v>394</v>
      </c>
      <c r="L2456" t="s">
        <v>113</v>
      </c>
      <c r="M2456">
        <v>15</v>
      </c>
      <c r="N2456" t="s">
        <v>88</v>
      </c>
      <c r="O2456" t="s">
        <v>81</v>
      </c>
      <c r="P2456" t="s">
        <v>18</v>
      </c>
      <c r="Q2456" t="s">
        <v>19</v>
      </c>
      <c r="R2456" t="s">
        <v>138</v>
      </c>
      <c r="S2456" t="s">
        <v>144</v>
      </c>
      <c r="T2456" s="2">
        <f>MASTER[[#This Row],[CANTIDAD]]*MASTER[[#This Row],[PRECIO DE VENTA]]</f>
        <v>1862</v>
      </c>
      <c r="U2456" s="2">
        <f>MASTER[[#This Row],[CANTIDAD]]*MASTER[[#This Row],[COSTO UNITARIO]]</f>
        <v>394</v>
      </c>
      <c r="V2456" s="2">
        <f>MASTER[[#This Row],[MONTO VENDIDO]]-MASTER[[#This Row],[COSTO DE VENTA]]</f>
        <v>1468</v>
      </c>
    </row>
    <row r="2457" spans="1:22" x14ac:dyDescent="0.3">
      <c r="A2457">
        <v>41699</v>
      </c>
      <c r="B2457">
        <v>1</v>
      </c>
      <c r="C2457" t="s">
        <v>5</v>
      </c>
      <c r="D2457" t="s">
        <v>6</v>
      </c>
      <c r="E2457" s="1">
        <v>44125</v>
      </c>
      <c r="F2457">
        <v>1</v>
      </c>
      <c r="G2457" t="s">
        <v>35</v>
      </c>
      <c r="H2457" t="s">
        <v>36</v>
      </c>
      <c r="I2457" s="3">
        <v>1296</v>
      </c>
      <c r="J2457" s="3">
        <v>1296</v>
      </c>
      <c r="K2457" s="3">
        <v>393</v>
      </c>
      <c r="L2457" t="s">
        <v>9</v>
      </c>
      <c r="M2457">
        <v>13</v>
      </c>
      <c r="N2457" t="s">
        <v>78</v>
      </c>
      <c r="O2457" t="s">
        <v>70</v>
      </c>
      <c r="P2457" t="s">
        <v>18</v>
      </c>
      <c r="Q2457" t="s">
        <v>19</v>
      </c>
      <c r="R2457" t="s">
        <v>138</v>
      </c>
      <c r="S2457" t="s">
        <v>144</v>
      </c>
      <c r="T2457" s="2">
        <f>MASTER[[#This Row],[CANTIDAD]]*MASTER[[#This Row],[PRECIO DE VENTA]]</f>
        <v>1296</v>
      </c>
      <c r="U2457" s="2">
        <f>MASTER[[#This Row],[CANTIDAD]]*MASTER[[#This Row],[COSTO UNITARIO]]</f>
        <v>393</v>
      </c>
      <c r="V2457" s="2">
        <f>MASTER[[#This Row],[MONTO VENDIDO]]-MASTER[[#This Row],[COSTO DE VENTA]]</f>
        <v>903</v>
      </c>
    </row>
    <row r="2458" spans="1:22" x14ac:dyDescent="0.3">
      <c r="A2458">
        <v>41707</v>
      </c>
      <c r="B2458">
        <v>1</v>
      </c>
      <c r="C2458" t="s">
        <v>114</v>
      </c>
      <c r="D2458" t="s">
        <v>115</v>
      </c>
      <c r="E2458" s="1">
        <v>44125</v>
      </c>
      <c r="F2458">
        <v>1</v>
      </c>
      <c r="G2458" t="s">
        <v>33</v>
      </c>
      <c r="H2458" t="s">
        <v>34</v>
      </c>
      <c r="I2458" s="3">
        <v>1862</v>
      </c>
      <c r="J2458" s="3">
        <v>1862</v>
      </c>
      <c r="K2458" s="3">
        <v>394</v>
      </c>
      <c r="L2458" t="s">
        <v>113</v>
      </c>
      <c r="M2458">
        <v>7</v>
      </c>
      <c r="N2458" t="s">
        <v>84</v>
      </c>
      <c r="O2458" t="s">
        <v>81</v>
      </c>
      <c r="P2458" t="s">
        <v>12</v>
      </c>
      <c r="Q2458" t="s">
        <v>13</v>
      </c>
      <c r="R2458" t="s">
        <v>13</v>
      </c>
      <c r="S2458" t="s">
        <v>144</v>
      </c>
      <c r="T2458" s="2">
        <f>MASTER[[#This Row],[CANTIDAD]]*MASTER[[#This Row],[PRECIO DE VENTA]]</f>
        <v>1862</v>
      </c>
      <c r="U2458" s="2">
        <f>MASTER[[#This Row],[CANTIDAD]]*MASTER[[#This Row],[COSTO UNITARIO]]</f>
        <v>394</v>
      </c>
      <c r="V2458" s="2">
        <f>MASTER[[#This Row],[MONTO VENDIDO]]-MASTER[[#This Row],[COSTO DE VENTA]]</f>
        <v>1468</v>
      </c>
    </row>
    <row r="2459" spans="1:22" x14ac:dyDescent="0.3">
      <c r="A2459">
        <v>41715</v>
      </c>
      <c r="B2459">
        <v>1</v>
      </c>
      <c r="C2459" t="s">
        <v>94</v>
      </c>
      <c r="D2459" t="s">
        <v>95</v>
      </c>
      <c r="E2459" s="1">
        <v>44126</v>
      </c>
      <c r="F2459">
        <v>1</v>
      </c>
      <c r="G2459" t="s">
        <v>39</v>
      </c>
      <c r="H2459" t="s">
        <v>40</v>
      </c>
      <c r="I2459" s="3">
        <v>1048</v>
      </c>
      <c r="J2459" s="3">
        <v>974</v>
      </c>
      <c r="K2459" s="3">
        <v>392</v>
      </c>
      <c r="L2459" t="s">
        <v>9</v>
      </c>
      <c r="M2459">
        <v>14</v>
      </c>
      <c r="N2459" t="s">
        <v>87</v>
      </c>
      <c r="O2459" t="s">
        <v>81</v>
      </c>
      <c r="P2459" t="s">
        <v>18</v>
      </c>
      <c r="Q2459" t="s">
        <v>19</v>
      </c>
      <c r="R2459" t="s">
        <v>138</v>
      </c>
      <c r="S2459" t="s">
        <v>144</v>
      </c>
      <c r="T2459" s="2">
        <f>MASTER[[#This Row],[CANTIDAD]]*MASTER[[#This Row],[PRECIO DE VENTA]]</f>
        <v>974</v>
      </c>
      <c r="U2459" s="2">
        <f>MASTER[[#This Row],[CANTIDAD]]*MASTER[[#This Row],[COSTO UNITARIO]]</f>
        <v>392</v>
      </c>
      <c r="V2459" s="2">
        <f>MASTER[[#This Row],[MONTO VENDIDO]]-MASTER[[#This Row],[COSTO DE VENTA]]</f>
        <v>582</v>
      </c>
    </row>
    <row r="2460" spans="1:22" x14ac:dyDescent="0.3">
      <c r="A2460">
        <v>41718</v>
      </c>
      <c r="B2460">
        <v>1</v>
      </c>
      <c r="C2460" t="s">
        <v>90</v>
      </c>
      <c r="D2460" t="s">
        <v>91</v>
      </c>
      <c r="E2460" s="1">
        <v>44126</v>
      </c>
      <c r="F2460">
        <v>1</v>
      </c>
      <c r="G2460" t="s">
        <v>20</v>
      </c>
      <c r="H2460" t="s">
        <v>21</v>
      </c>
      <c r="I2460" s="3">
        <v>2102</v>
      </c>
      <c r="J2460" s="3">
        <v>2102</v>
      </c>
      <c r="K2460" s="3">
        <v>420</v>
      </c>
      <c r="L2460" t="s">
        <v>9</v>
      </c>
      <c r="M2460">
        <v>13</v>
      </c>
      <c r="N2460" t="s">
        <v>78</v>
      </c>
      <c r="O2460" t="s">
        <v>70</v>
      </c>
      <c r="P2460" t="s">
        <v>18</v>
      </c>
      <c r="Q2460" t="s">
        <v>19</v>
      </c>
      <c r="R2460" t="s">
        <v>138</v>
      </c>
      <c r="S2460" t="s">
        <v>144</v>
      </c>
      <c r="T2460" s="2">
        <f>MASTER[[#This Row],[CANTIDAD]]*MASTER[[#This Row],[PRECIO DE VENTA]]</f>
        <v>2102</v>
      </c>
      <c r="U2460" s="2">
        <f>MASTER[[#This Row],[CANTIDAD]]*MASTER[[#This Row],[COSTO UNITARIO]]</f>
        <v>420</v>
      </c>
      <c r="V2460" s="2">
        <f>MASTER[[#This Row],[MONTO VENDIDO]]-MASTER[[#This Row],[COSTO DE VENTA]]</f>
        <v>1682</v>
      </c>
    </row>
    <row r="2461" spans="1:22" x14ac:dyDescent="0.3">
      <c r="A2461">
        <v>41722</v>
      </c>
      <c r="B2461">
        <v>1</v>
      </c>
      <c r="C2461" t="s">
        <v>99</v>
      </c>
      <c r="D2461" t="s">
        <v>100</v>
      </c>
      <c r="E2461" s="1">
        <v>44126</v>
      </c>
      <c r="F2461">
        <v>1</v>
      </c>
      <c r="G2461" t="s">
        <v>7</v>
      </c>
      <c r="H2461" t="s">
        <v>8</v>
      </c>
      <c r="I2461" s="3">
        <v>1678</v>
      </c>
      <c r="J2461" s="3">
        <v>1678</v>
      </c>
      <c r="K2461" s="3">
        <v>386</v>
      </c>
      <c r="L2461" t="s">
        <v>98</v>
      </c>
      <c r="M2461">
        <v>9</v>
      </c>
      <c r="N2461" t="s">
        <v>76</v>
      </c>
      <c r="O2461" t="s">
        <v>70</v>
      </c>
      <c r="P2461" t="s">
        <v>12</v>
      </c>
      <c r="Q2461" t="s">
        <v>13</v>
      </c>
      <c r="R2461" t="s">
        <v>13</v>
      </c>
      <c r="S2461" t="s">
        <v>144</v>
      </c>
      <c r="T2461" s="2">
        <f>MASTER[[#This Row],[CANTIDAD]]*MASTER[[#This Row],[PRECIO DE VENTA]]</f>
        <v>1678</v>
      </c>
      <c r="U2461" s="2">
        <f>MASTER[[#This Row],[CANTIDAD]]*MASTER[[#This Row],[COSTO UNITARIO]]</f>
        <v>386</v>
      </c>
      <c r="V2461" s="2">
        <f>MASTER[[#This Row],[MONTO VENDIDO]]-MASTER[[#This Row],[COSTO DE VENTA]]</f>
        <v>1292</v>
      </c>
    </row>
    <row r="2462" spans="1:22" x14ac:dyDescent="0.3">
      <c r="A2462">
        <v>41726</v>
      </c>
      <c r="B2462">
        <v>1</v>
      </c>
      <c r="C2462" t="s">
        <v>96</v>
      </c>
      <c r="D2462" t="s">
        <v>97</v>
      </c>
      <c r="E2462" s="1">
        <v>44126</v>
      </c>
      <c r="F2462">
        <v>1</v>
      </c>
      <c r="G2462" t="s">
        <v>35</v>
      </c>
      <c r="H2462" t="s">
        <v>36</v>
      </c>
      <c r="I2462" s="3">
        <v>1272</v>
      </c>
      <c r="J2462" s="3">
        <v>1144</v>
      </c>
      <c r="K2462" s="3">
        <v>397</v>
      </c>
      <c r="L2462" t="s">
        <v>98</v>
      </c>
      <c r="M2462">
        <v>5</v>
      </c>
      <c r="N2462" t="s">
        <v>85</v>
      </c>
      <c r="O2462" t="s">
        <v>81</v>
      </c>
      <c r="P2462" t="s">
        <v>12</v>
      </c>
      <c r="Q2462" t="s">
        <v>13</v>
      </c>
      <c r="R2462" t="s">
        <v>13</v>
      </c>
      <c r="S2462" t="s">
        <v>144</v>
      </c>
      <c r="T2462" s="2">
        <f>MASTER[[#This Row],[CANTIDAD]]*MASTER[[#This Row],[PRECIO DE VENTA]]</f>
        <v>1144</v>
      </c>
      <c r="U2462" s="2">
        <f>MASTER[[#This Row],[CANTIDAD]]*MASTER[[#This Row],[COSTO UNITARIO]]</f>
        <v>397</v>
      </c>
      <c r="V2462" s="2">
        <f>MASTER[[#This Row],[MONTO VENDIDO]]-MASTER[[#This Row],[COSTO DE VENTA]]</f>
        <v>747</v>
      </c>
    </row>
    <row r="2463" spans="1:22" x14ac:dyDescent="0.3">
      <c r="A2463">
        <v>41747</v>
      </c>
      <c r="B2463">
        <v>1</v>
      </c>
      <c r="C2463" t="s">
        <v>118</v>
      </c>
      <c r="D2463" t="s">
        <v>119</v>
      </c>
      <c r="E2463" s="1">
        <v>44126</v>
      </c>
      <c r="F2463">
        <v>1</v>
      </c>
      <c r="G2463" t="s">
        <v>49</v>
      </c>
      <c r="H2463" t="s">
        <v>50</v>
      </c>
      <c r="I2463" s="3">
        <v>900</v>
      </c>
      <c r="J2463" s="3">
        <v>900</v>
      </c>
      <c r="K2463" s="3">
        <v>424</v>
      </c>
      <c r="L2463" t="s">
        <v>120</v>
      </c>
      <c r="M2463">
        <v>5</v>
      </c>
      <c r="N2463" t="s">
        <v>85</v>
      </c>
      <c r="O2463" t="s">
        <v>81</v>
      </c>
      <c r="P2463" t="s">
        <v>12</v>
      </c>
      <c r="Q2463" t="s">
        <v>13</v>
      </c>
      <c r="R2463" t="s">
        <v>13</v>
      </c>
      <c r="S2463" t="s">
        <v>144</v>
      </c>
      <c r="T2463" s="2">
        <f>MASTER[[#This Row],[CANTIDAD]]*MASTER[[#This Row],[PRECIO DE VENTA]]</f>
        <v>900</v>
      </c>
      <c r="U2463" s="2">
        <f>MASTER[[#This Row],[CANTIDAD]]*MASTER[[#This Row],[COSTO UNITARIO]]</f>
        <v>424</v>
      </c>
      <c r="V2463" s="2">
        <f>MASTER[[#This Row],[MONTO VENDIDO]]-MASTER[[#This Row],[COSTO DE VENTA]]</f>
        <v>476</v>
      </c>
    </row>
    <row r="2464" spans="1:22" x14ac:dyDescent="0.3">
      <c r="A2464">
        <v>41752</v>
      </c>
      <c r="B2464">
        <v>1</v>
      </c>
      <c r="C2464" t="s">
        <v>94</v>
      </c>
      <c r="D2464" t="s">
        <v>95</v>
      </c>
      <c r="E2464" s="1">
        <v>44126</v>
      </c>
      <c r="F2464">
        <v>1</v>
      </c>
      <c r="G2464" t="s">
        <v>22</v>
      </c>
      <c r="H2464" t="s">
        <v>23</v>
      </c>
      <c r="I2464" s="3">
        <v>1153</v>
      </c>
      <c r="J2464" s="3">
        <v>1153</v>
      </c>
      <c r="K2464" s="3">
        <v>392</v>
      </c>
      <c r="L2464" t="s">
        <v>9</v>
      </c>
      <c r="M2464">
        <v>1</v>
      </c>
      <c r="N2464" t="s">
        <v>77</v>
      </c>
      <c r="O2464" t="s">
        <v>70</v>
      </c>
      <c r="P2464" t="s">
        <v>71</v>
      </c>
      <c r="Q2464" t="s">
        <v>72</v>
      </c>
      <c r="R2464" t="s">
        <v>139</v>
      </c>
      <c r="S2464" t="s">
        <v>144</v>
      </c>
      <c r="T2464" s="2">
        <f>MASTER[[#This Row],[CANTIDAD]]*MASTER[[#This Row],[PRECIO DE VENTA]]</f>
        <v>1153</v>
      </c>
      <c r="U2464" s="2">
        <f>MASTER[[#This Row],[CANTIDAD]]*MASTER[[#This Row],[COSTO UNITARIO]]</f>
        <v>392</v>
      </c>
      <c r="V2464" s="2">
        <f>MASTER[[#This Row],[MONTO VENDIDO]]-MASTER[[#This Row],[COSTO DE VENTA]]</f>
        <v>761</v>
      </c>
    </row>
    <row r="2465" spans="1:22" x14ac:dyDescent="0.3">
      <c r="A2465">
        <v>41770</v>
      </c>
      <c r="B2465">
        <v>1</v>
      </c>
      <c r="C2465" t="s">
        <v>107</v>
      </c>
      <c r="D2465" t="s">
        <v>108</v>
      </c>
      <c r="E2465" s="1">
        <v>44126</v>
      </c>
      <c r="F2465">
        <v>1</v>
      </c>
      <c r="G2465" t="s">
        <v>65</v>
      </c>
      <c r="H2465" t="s">
        <v>66</v>
      </c>
      <c r="I2465" s="3">
        <v>1240</v>
      </c>
      <c r="J2465" s="3">
        <v>1116</v>
      </c>
      <c r="K2465" s="3">
        <v>380</v>
      </c>
      <c r="L2465" t="s">
        <v>98</v>
      </c>
      <c r="M2465">
        <v>12</v>
      </c>
      <c r="N2465" t="s">
        <v>26</v>
      </c>
      <c r="O2465" t="s">
        <v>11</v>
      </c>
      <c r="P2465" t="s">
        <v>12</v>
      </c>
      <c r="Q2465" t="s">
        <v>13</v>
      </c>
      <c r="R2465" t="s">
        <v>13</v>
      </c>
      <c r="S2465" t="s">
        <v>144</v>
      </c>
      <c r="T2465" s="2">
        <f>MASTER[[#This Row],[CANTIDAD]]*MASTER[[#This Row],[PRECIO DE VENTA]]</f>
        <v>1116</v>
      </c>
      <c r="U2465" s="2">
        <f>MASTER[[#This Row],[CANTIDAD]]*MASTER[[#This Row],[COSTO UNITARIO]]</f>
        <v>380</v>
      </c>
      <c r="V2465" s="2">
        <f>MASTER[[#This Row],[MONTO VENDIDO]]-MASTER[[#This Row],[COSTO DE VENTA]]</f>
        <v>736</v>
      </c>
    </row>
    <row r="2466" spans="1:22" x14ac:dyDescent="0.3">
      <c r="A2466">
        <v>41773</v>
      </c>
      <c r="B2466">
        <v>1</v>
      </c>
      <c r="C2466" t="s">
        <v>107</v>
      </c>
      <c r="D2466" t="s">
        <v>108</v>
      </c>
      <c r="E2466" s="1">
        <v>44126</v>
      </c>
      <c r="F2466">
        <v>1</v>
      </c>
      <c r="G2466" t="s">
        <v>59</v>
      </c>
      <c r="H2466" t="s">
        <v>60</v>
      </c>
      <c r="I2466" s="3">
        <v>1333</v>
      </c>
      <c r="J2466" s="3">
        <v>1239</v>
      </c>
      <c r="K2466" s="3">
        <v>380</v>
      </c>
      <c r="L2466" t="s">
        <v>98</v>
      </c>
      <c r="M2466">
        <v>19</v>
      </c>
      <c r="N2466" t="s">
        <v>89</v>
      </c>
      <c r="O2466" t="s">
        <v>81</v>
      </c>
      <c r="P2466" t="s">
        <v>15</v>
      </c>
      <c r="Q2466" t="s">
        <v>16</v>
      </c>
      <c r="R2466" t="s">
        <v>16</v>
      </c>
      <c r="S2466" t="s">
        <v>144</v>
      </c>
      <c r="T2466" s="2">
        <f>MASTER[[#This Row],[CANTIDAD]]*MASTER[[#This Row],[PRECIO DE VENTA]]</f>
        <v>1239</v>
      </c>
      <c r="U2466" s="2">
        <f>MASTER[[#This Row],[CANTIDAD]]*MASTER[[#This Row],[COSTO UNITARIO]]</f>
        <v>380</v>
      </c>
      <c r="V2466" s="2">
        <f>MASTER[[#This Row],[MONTO VENDIDO]]-MASTER[[#This Row],[COSTO DE VENTA]]</f>
        <v>859</v>
      </c>
    </row>
    <row r="2467" spans="1:22" x14ac:dyDescent="0.3">
      <c r="A2467">
        <v>41777</v>
      </c>
      <c r="B2467">
        <v>1</v>
      </c>
      <c r="C2467" t="s">
        <v>111</v>
      </c>
      <c r="D2467" t="s">
        <v>112</v>
      </c>
      <c r="E2467" s="1">
        <v>44126</v>
      </c>
      <c r="F2467">
        <v>1</v>
      </c>
      <c r="G2467" t="s">
        <v>35</v>
      </c>
      <c r="H2467" t="s">
        <v>36</v>
      </c>
      <c r="I2467" s="3">
        <v>1524</v>
      </c>
      <c r="J2467" s="3">
        <v>1524</v>
      </c>
      <c r="K2467" s="3">
        <v>434</v>
      </c>
      <c r="L2467" t="s">
        <v>113</v>
      </c>
      <c r="M2467">
        <v>12</v>
      </c>
      <c r="N2467" t="s">
        <v>26</v>
      </c>
      <c r="O2467" t="s">
        <v>11</v>
      </c>
      <c r="P2467" t="s">
        <v>12</v>
      </c>
      <c r="Q2467" t="s">
        <v>13</v>
      </c>
      <c r="R2467" t="s">
        <v>13</v>
      </c>
      <c r="S2467" t="s">
        <v>144</v>
      </c>
      <c r="T2467" s="2">
        <f>MASTER[[#This Row],[CANTIDAD]]*MASTER[[#This Row],[PRECIO DE VENTA]]</f>
        <v>1524</v>
      </c>
      <c r="U2467" s="2">
        <f>MASTER[[#This Row],[CANTIDAD]]*MASTER[[#This Row],[COSTO UNITARIO]]</f>
        <v>434</v>
      </c>
      <c r="V2467" s="2">
        <f>MASTER[[#This Row],[MONTO VENDIDO]]-MASTER[[#This Row],[COSTO DE VENTA]]</f>
        <v>1090</v>
      </c>
    </row>
    <row r="2468" spans="1:22" x14ac:dyDescent="0.3">
      <c r="A2468">
        <v>41780</v>
      </c>
      <c r="B2468">
        <v>1</v>
      </c>
      <c r="C2468" t="s">
        <v>94</v>
      </c>
      <c r="D2468" t="s">
        <v>95</v>
      </c>
      <c r="E2468" s="1">
        <v>44127</v>
      </c>
      <c r="F2468">
        <v>3</v>
      </c>
      <c r="G2468" t="s">
        <v>49</v>
      </c>
      <c r="H2468" t="s">
        <v>50</v>
      </c>
      <c r="I2468" s="3">
        <v>1153</v>
      </c>
      <c r="J2468" s="3">
        <v>1153</v>
      </c>
      <c r="K2468" s="3">
        <v>392</v>
      </c>
      <c r="L2468" t="s">
        <v>9</v>
      </c>
      <c r="M2468">
        <v>9</v>
      </c>
      <c r="N2468" t="s">
        <v>76</v>
      </c>
      <c r="O2468" t="s">
        <v>70</v>
      </c>
      <c r="P2468" t="s">
        <v>12</v>
      </c>
      <c r="Q2468" t="s">
        <v>13</v>
      </c>
      <c r="R2468" t="s">
        <v>13</v>
      </c>
      <c r="S2468" t="s">
        <v>144</v>
      </c>
      <c r="T2468" s="2">
        <f>MASTER[[#This Row],[CANTIDAD]]*MASTER[[#This Row],[PRECIO DE VENTA]]</f>
        <v>3459</v>
      </c>
      <c r="U2468" s="2">
        <f>MASTER[[#This Row],[CANTIDAD]]*MASTER[[#This Row],[COSTO UNITARIO]]</f>
        <v>1176</v>
      </c>
      <c r="V2468" s="2">
        <f>MASTER[[#This Row],[MONTO VENDIDO]]-MASTER[[#This Row],[COSTO DE VENTA]]</f>
        <v>2283</v>
      </c>
    </row>
    <row r="2469" spans="1:22" x14ac:dyDescent="0.3">
      <c r="A2469">
        <v>41785</v>
      </c>
      <c r="B2469">
        <v>1</v>
      </c>
      <c r="C2469" t="s">
        <v>116</v>
      </c>
      <c r="D2469" t="s">
        <v>117</v>
      </c>
      <c r="E2469" s="1">
        <v>44127</v>
      </c>
      <c r="F2469">
        <v>1</v>
      </c>
      <c r="G2469" t="s">
        <v>35</v>
      </c>
      <c r="H2469" t="s">
        <v>36</v>
      </c>
      <c r="I2469" s="3">
        <v>1738</v>
      </c>
      <c r="J2469" s="3">
        <v>1738</v>
      </c>
      <c r="K2469" s="3">
        <v>388</v>
      </c>
      <c r="L2469" t="s">
        <v>113</v>
      </c>
      <c r="M2469">
        <v>19</v>
      </c>
      <c r="N2469" t="s">
        <v>89</v>
      </c>
      <c r="O2469" t="s">
        <v>81</v>
      </c>
      <c r="P2469" t="s">
        <v>15</v>
      </c>
      <c r="Q2469" t="s">
        <v>16</v>
      </c>
      <c r="R2469" t="s">
        <v>16</v>
      </c>
      <c r="S2469" t="s">
        <v>144</v>
      </c>
      <c r="T2469" s="2">
        <f>MASTER[[#This Row],[CANTIDAD]]*MASTER[[#This Row],[PRECIO DE VENTA]]</f>
        <v>1738</v>
      </c>
      <c r="U2469" s="2">
        <f>MASTER[[#This Row],[CANTIDAD]]*MASTER[[#This Row],[COSTO UNITARIO]]</f>
        <v>388</v>
      </c>
      <c r="V2469" s="2">
        <f>MASTER[[#This Row],[MONTO VENDIDO]]-MASTER[[#This Row],[COSTO DE VENTA]]</f>
        <v>1350</v>
      </c>
    </row>
    <row r="2470" spans="1:22" x14ac:dyDescent="0.3">
      <c r="A2470">
        <v>41793</v>
      </c>
      <c r="B2470">
        <v>1</v>
      </c>
      <c r="C2470" t="s">
        <v>96</v>
      </c>
      <c r="D2470" t="s">
        <v>97</v>
      </c>
      <c r="E2470" s="1">
        <v>44127</v>
      </c>
      <c r="F2470">
        <v>1</v>
      </c>
      <c r="G2470" t="s">
        <v>53</v>
      </c>
      <c r="H2470" t="s">
        <v>54</v>
      </c>
      <c r="I2470" s="3">
        <v>1196</v>
      </c>
      <c r="J2470" s="3">
        <v>1196</v>
      </c>
      <c r="K2470" s="3">
        <v>397</v>
      </c>
      <c r="L2470" t="s">
        <v>98</v>
      </c>
      <c r="M2470">
        <v>16</v>
      </c>
      <c r="N2470" t="s">
        <v>17</v>
      </c>
      <c r="O2470" t="s">
        <v>11</v>
      </c>
      <c r="P2470" t="s">
        <v>18</v>
      </c>
      <c r="Q2470" t="s">
        <v>19</v>
      </c>
      <c r="R2470" t="s">
        <v>138</v>
      </c>
      <c r="S2470" t="s">
        <v>144</v>
      </c>
      <c r="T2470" s="2">
        <f>MASTER[[#This Row],[CANTIDAD]]*MASTER[[#This Row],[PRECIO DE VENTA]]</f>
        <v>1196</v>
      </c>
      <c r="U2470" s="2">
        <f>MASTER[[#This Row],[CANTIDAD]]*MASTER[[#This Row],[COSTO UNITARIO]]</f>
        <v>397</v>
      </c>
      <c r="V2470" s="2">
        <f>MASTER[[#This Row],[MONTO VENDIDO]]-MASTER[[#This Row],[COSTO DE VENTA]]</f>
        <v>799</v>
      </c>
    </row>
    <row r="2471" spans="1:22" x14ac:dyDescent="0.3">
      <c r="A2471">
        <v>41819</v>
      </c>
      <c r="B2471">
        <v>1</v>
      </c>
      <c r="C2471" t="s">
        <v>96</v>
      </c>
      <c r="D2471" t="s">
        <v>97</v>
      </c>
      <c r="E2471" s="1">
        <v>44127</v>
      </c>
      <c r="F2471">
        <v>1</v>
      </c>
      <c r="G2471" t="s">
        <v>7</v>
      </c>
      <c r="H2471" t="s">
        <v>8</v>
      </c>
      <c r="I2471" s="3">
        <v>1196</v>
      </c>
      <c r="J2471" s="3">
        <v>1196</v>
      </c>
      <c r="K2471" s="3">
        <v>397</v>
      </c>
      <c r="L2471" t="s">
        <v>98</v>
      </c>
      <c r="M2471">
        <v>16</v>
      </c>
      <c r="N2471" t="s">
        <v>17</v>
      </c>
      <c r="O2471" t="s">
        <v>11</v>
      </c>
      <c r="P2471" t="s">
        <v>18</v>
      </c>
      <c r="Q2471" t="s">
        <v>19</v>
      </c>
      <c r="R2471" t="s">
        <v>138</v>
      </c>
      <c r="S2471" t="s">
        <v>144</v>
      </c>
      <c r="T2471" s="2">
        <f>MASTER[[#This Row],[CANTIDAD]]*MASTER[[#This Row],[PRECIO DE VENTA]]</f>
        <v>1196</v>
      </c>
      <c r="U2471" s="2">
        <f>MASTER[[#This Row],[CANTIDAD]]*MASTER[[#This Row],[COSTO UNITARIO]]</f>
        <v>397</v>
      </c>
      <c r="V2471" s="2">
        <f>MASTER[[#This Row],[MONTO VENDIDO]]-MASTER[[#This Row],[COSTO DE VENTA]]</f>
        <v>799</v>
      </c>
    </row>
    <row r="2472" spans="1:22" x14ac:dyDescent="0.3">
      <c r="A2472">
        <v>41836</v>
      </c>
      <c r="B2472">
        <v>1</v>
      </c>
      <c r="C2472" t="s">
        <v>114</v>
      </c>
      <c r="D2472" t="s">
        <v>115</v>
      </c>
      <c r="E2472" s="1">
        <v>44127</v>
      </c>
      <c r="F2472">
        <v>3</v>
      </c>
      <c r="G2472" t="s">
        <v>67</v>
      </c>
      <c r="H2472" t="s">
        <v>68</v>
      </c>
      <c r="I2472" s="3">
        <v>1862</v>
      </c>
      <c r="J2472" s="3">
        <v>1862</v>
      </c>
      <c r="K2472" s="3">
        <v>394</v>
      </c>
      <c r="L2472" t="s">
        <v>113</v>
      </c>
      <c r="M2472">
        <v>10</v>
      </c>
      <c r="N2472" t="s">
        <v>83</v>
      </c>
      <c r="O2472" t="s">
        <v>81</v>
      </c>
      <c r="P2472" t="s">
        <v>12</v>
      </c>
      <c r="Q2472" t="s">
        <v>13</v>
      </c>
      <c r="R2472" t="s">
        <v>13</v>
      </c>
      <c r="S2472" t="s">
        <v>144</v>
      </c>
      <c r="T2472" s="2">
        <f>MASTER[[#This Row],[CANTIDAD]]*MASTER[[#This Row],[PRECIO DE VENTA]]</f>
        <v>5586</v>
      </c>
      <c r="U2472" s="2">
        <f>MASTER[[#This Row],[CANTIDAD]]*MASTER[[#This Row],[COSTO UNITARIO]]</f>
        <v>1182</v>
      </c>
      <c r="V2472" s="2">
        <f>MASTER[[#This Row],[MONTO VENDIDO]]-MASTER[[#This Row],[COSTO DE VENTA]]</f>
        <v>4404</v>
      </c>
    </row>
    <row r="2473" spans="1:22" x14ac:dyDescent="0.3">
      <c r="A2473">
        <v>41838</v>
      </c>
      <c r="B2473">
        <v>1</v>
      </c>
      <c r="C2473" t="s">
        <v>92</v>
      </c>
      <c r="D2473" t="s">
        <v>93</v>
      </c>
      <c r="E2473" s="1">
        <v>44127</v>
      </c>
      <c r="F2473">
        <v>1</v>
      </c>
      <c r="G2473" t="s">
        <v>57</v>
      </c>
      <c r="H2473" t="s">
        <v>58</v>
      </c>
      <c r="I2473" s="3">
        <v>1681</v>
      </c>
      <c r="J2473" s="3">
        <v>1681</v>
      </c>
      <c r="K2473" s="3">
        <v>396</v>
      </c>
      <c r="L2473" t="s">
        <v>9</v>
      </c>
      <c r="M2473">
        <v>15</v>
      </c>
      <c r="N2473" t="s">
        <v>88</v>
      </c>
      <c r="O2473" t="s">
        <v>81</v>
      </c>
      <c r="P2473" t="s">
        <v>18</v>
      </c>
      <c r="Q2473" t="s">
        <v>19</v>
      </c>
      <c r="R2473" t="s">
        <v>138</v>
      </c>
      <c r="S2473" t="s">
        <v>144</v>
      </c>
      <c r="T2473" s="2">
        <f>MASTER[[#This Row],[CANTIDAD]]*MASTER[[#This Row],[PRECIO DE VENTA]]</f>
        <v>1681</v>
      </c>
      <c r="U2473" s="2">
        <f>MASTER[[#This Row],[CANTIDAD]]*MASTER[[#This Row],[COSTO UNITARIO]]</f>
        <v>396</v>
      </c>
      <c r="V2473" s="2">
        <f>MASTER[[#This Row],[MONTO VENDIDO]]-MASTER[[#This Row],[COSTO DE VENTA]]</f>
        <v>1285</v>
      </c>
    </row>
    <row r="2474" spans="1:22" x14ac:dyDescent="0.3">
      <c r="A2474">
        <v>41845</v>
      </c>
      <c r="B2474">
        <v>1</v>
      </c>
      <c r="C2474" t="s">
        <v>94</v>
      </c>
      <c r="D2474" t="s">
        <v>95</v>
      </c>
      <c r="E2474" s="1">
        <v>44127</v>
      </c>
      <c r="F2474">
        <v>1</v>
      </c>
      <c r="G2474" t="s">
        <v>27</v>
      </c>
      <c r="H2474" t="s">
        <v>28</v>
      </c>
      <c r="I2474" s="3">
        <v>1048</v>
      </c>
      <c r="J2474" s="3">
        <v>1048</v>
      </c>
      <c r="K2474" s="3">
        <v>392</v>
      </c>
      <c r="L2474" t="s">
        <v>9</v>
      </c>
      <c r="M2474">
        <v>4</v>
      </c>
      <c r="N2474" t="s">
        <v>82</v>
      </c>
      <c r="O2474" t="s">
        <v>81</v>
      </c>
      <c r="P2474" t="s">
        <v>71</v>
      </c>
      <c r="Q2474" t="s">
        <v>72</v>
      </c>
      <c r="R2474" t="s">
        <v>139</v>
      </c>
      <c r="S2474" t="s">
        <v>144</v>
      </c>
      <c r="T2474" s="2">
        <f>MASTER[[#This Row],[CANTIDAD]]*MASTER[[#This Row],[PRECIO DE VENTA]]</f>
        <v>1048</v>
      </c>
      <c r="U2474" s="2">
        <f>MASTER[[#This Row],[CANTIDAD]]*MASTER[[#This Row],[COSTO UNITARIO]]</f>
        <v>392</v>
      </c>
      <c r="V2474" s="2">
        <f>MASTER[[#This Row],[MONTO VENDIDO]]-MASTER[[#This Row],[COSTO DE VENTA]]</f>
        <v>656</v>
      </c>
    </row>
    <row r="2475" spans="1:22" x14ac:dyDescent="0.3">
      <c r="A2475">
        <v>41856</v>
      </c>
      <c r="B2475">
        <v>1</v>
      </c>
      <c r="C2475" t="s">
        <v>99</v>
      </c>
      <c r="D2475" t="s">
        <v>100</v>
      </c>
      <c r="E2475" s="1">
        <v>44127</v>
      </c>
      <c r="F2475">
        <v>1</v>
      </c>
      <c r="G2475" t="s">
        <v>27</v>
      </c>
      <c r="H2475" t="s">
        <v>28</v>
      </c>
      <c r="I2475" s="3">
        <v>1459</v>
      </c>
      <c r="J2475" s="3">
        <v>1459</v>
      </c>
      <c r="K2475" s="3">
        <v>386</v>
      </c>
      <c r="L2475" t="s">
        <v>98</v>
      </c>
      <c r="M2475">
        <v>2</v>
      </c>
      <c r="N2475" t="s">
        <v>86</v>
      </c>
      <c r="O2475" t="s">
        <v>81</v>
      </c>
      <c r="P2475" t="s">
        <v>71</v>
      </c>
      <c r="Q2475" t="s">
        <v>72</v>
      </c>
      <c r="R2475" t="s">
        <v>139</v>
      </c>
      <c r="S2475" t="s">
        <v>144</v>
      </c>
      <c r="T2475" s="2">
        <f>MASTER[[#This Row],[CANTIDAD]]*MASTER[[#This Row],[PRECIO DE VENTA]]</f>
        <v>1459</v>
      </c>
      <c r="U2475" s="2">
        <f>MASTER[[#This Row],[CANTIDAD]]*MASTER[[#This Row],[COSTO UNITARIO]]</f>
        <v>386</v>
      </c>
      <c r="V2475" s="2">
        <f>MASTER[[#This Row],[MONTO VENDIDO]]-MASTER[[#This Row],[COSTO DE VENTA]]</f>
        <v>1073</v>
      </c>
    </row>
    <row r="2476" spans="1:22" x14ac:dyDescent="0.3">
      <c r="A2476">
        <v>41861</v>
      </c>
      <c r="B2476">
        <v>1</v>
      </c>
      <c r="C2476" t="s">
        <v>5</v>
      </c>
      <c r="D2476" t="s">
        <v>6</v>
      </c>
      <c r="E2476" s="1">
        <v>44127</v>
      </c>
      <c r="F2476">
        <v>1</v>
      </c>
      <c r="G2476" t="s">
        <v>57</v>
      </c>
      <c r="H2476" t="s">
        <v>58</v>
      </c>
      <c r="I2476" s="3">
        <v>1507</v>
      </c>
      <c r="J2476" s="3">
        <v>1507</v>
      </c>
      <c r="K2476" s="3">
        <v>393</v>
      </c>
      <c r="L2476" t="s">
        <v>9</v>
      </c>
      <c r="M2476">
        <v>10</v>
      </c>
      <c r="N2476" t="s">
        <v>83</v>
      </c>
      <c r="O2476" t="s">
        <v>81</v>
      </c>
      <c r="P2476" t="s">
        <v>12</v>
      </c>
      <c r="Q2476" t="s">
        <v>13</v>
      </c>
      <c r="R2476" t="s">
        <v>13</v>
      </c>
      <c r="S2476" t="s">
        <v>144</v>
      </c>
      <c r="T2476" s="2">
        <f>MASTER[[#This Row],[CANTIDAD]]*MASTER[[#This Row],[PRECIO DE VENTA]]</f>
        <v>1507</v>
      </c>
      <c r="U2476" s="2">
        <f>MASTER[[#This Row],[CANTIDAD]]*MASTER[[#This Row],[COSTO UNITARIO]]</f>
        <v>393</v>
      </c>
      <c r="V2476" s="2">
        <f>MASTER[[#This Row],[MONTO VENDIDO]]-MASTER[[#This Row],[COSTO DE VENTA]]</f>
        <v>1114</v>
      </c>
    </row>
    <row r="2477" spans="1:22" x14ac:dyDescent="0.3">
      <c r="A2477">
        <v>41874</v>
      </c>
      <c r="B2477">
        <v>1</v>
      </c>
      <c r="C2477" t="s">
        <v>94</v>
      </c>
      <c r="D2477" t="s">
        <v>95</v>
      </c>
      <c r="E2477" s="1">
        <v>44127</v>
      </c>
      <c r="F2477">
        <v>1</v>
      </c>
      <c r="G2477" t="s">
        <v>22</v>
      </c>
      <c r="H2477" t="s">
        <v>23</v>
      </c>
      <c r="I2477" s="3">
        <v>1153</v>
      </c>
      <c r="J2477" s="3">
        <v>1153</v>
      </c>
      <c r="K2477" s="3">
        <v>392</v>
      </c>
      <c r="L2477" t="s">
        <v>9</v>
      </c>
      <c r="M2477">
        <v>3</v>
      </c>
      <c r="N2477" t="s">
        <v>69</v>
      </c>
      <c r="O2477" t="s">
        <v>70</v>
      </c>
      <c r="P2477" t="s">
        <v>71</v>
      </c>
      <c r="Q2477" t="s">
        <v>72</v>
      </c>
      <c r="R2477" t="s">
        <v>139</v>
      </c>
      <c r="S2477" t="s">
        <v>144</v>
      </c>
      <c r="T2477" s="2">
        <f>MASTER[[#This Row],[CANTIDAD]]*MASTER[[#This Row],[PRECIO DE VENTA]]</f>
        <v>1153</v>
      </c>
      <c r="U2477" s="2">
        <f>MASTER[[#This Row],[CANTIDAD]]*MASTER[[#This Row],[COSTO UNITARIO]]</f>
        <v>392</v>
      </c>
      <c r="V2477" s="2">
        <f>MASTER[[#This Row],[MONTO VENDIDO]]-MASTER[[#This Row],[COSTO DE VENTA]]</f>
        <v>761</v>
      </c>
    </row>
    <row r="2478" spans="1:22" x14ac:dyDescent="0.3">
      <c r="A2478">
        <v>41883</v>
      </c>
      <c r="B2478">
        <v>1</v>
      </c>
      <c r="C2478" t="s">
        <v>107</v>
      </c>
      <c r="D2478" t="s">
        <v>108</v>
      </c>
      <c r="E2478" s="1">
        <v>44127</v>
      </c>
      <c r="F2478">
        <v>1</v>
      </c>
      <c r="G2478" t="s">
        <v>24</v>
      </c>
      <c r="H2478" t="s">
        <v>25</v>
      </c>
      <c r="I2478" s="3">
        <v>1240</v>
      </c>
      <c r="J2478" s="3">
        <v>1240</v>
      </c>
      <c r="K2478" s="3">
        <v>380</v>
      </c>
      <c r="L2478" t="s">
        <v>98</v>
      </c>
      <c r="M2478">
        <v>12</v>
      </c>
      <c r="N2478" t="s">
        <v>26</v>
      </c>
      <c r="O2478" t="s">
        <v>11</v>
      </c>
      <c r="P2478" t="s">
        <v>12</v>
      </c>
      <c r="Q2478" t="s">
        <v>13</v>
      </c>
      <c r="R2478" t="s">
        <v>13</v>
      </c>
      <c r="S2478" t="s">
        <v>144</v>
      </c>
      <c r="T2478" s="2">
        <f>MASTER[[#This Row],[CANTIDAD]]*MASTER[[#This Row],[PRECIO DE VENTA]]</f>
        <v>1240</v>
      </c>
      <c r="U2478" s="2">
        <f>MASTER[[#This Row],[CANTIDAD]]*MASTER[[#This Row],[COSTO UNITARIO]]</f>
        <v>380</v>
      </c>
      <c r="V2478" s="2">
        <f>MASTER[[#This Row],[MONTO VENDIDO]]-MASTER[[#This Row],[COSTO DE VENTA]]</f>
        <v>860</v>
      </c>
    </row>
    <row r="2479" spans="1:22" x14ac:dyDescent="0.3">
      <c r="A2479">
        <v>41885</v>
      </c>
      <c r="B2479">
        <v>1</v>
      </c>
      <c r="C2479" t="s">
        <v>121</v>
      </c>
      <c r="D2479" t="s">
        <v>122</v>
      </c>
      <c r="E2479" s="1">
        <v>44128</v>
      </c>
      <c r="F2479">
        <v>1</v>
      </c>
      <c r="G2479" t="s">
        <v>45</v>
      </c>
      <c r="H2479" t="s">
        <v>46</v>
      </c>
      <c r="I2479" s="3">
        <v>1069</v>
      </c>
      <c r="J2479" s="3">
        <v>1069</v>
      </c>
      <c r="K2479" s="3">
        <v>460</v>
      </c>
      <c r="L2479" t="s">
        <v>120</v>
      </c>
      <c r="M2479">
        <v>2</v>
      </c>
      <c r="N2479" t="s">
        <v>86</v>
      </c>
      <c r="O2479" t="s">
        <v>81</v>
      </c>
      <c r="P2479" t="s">
        <v>71</v>
      </c>
      <c r="Q2479" t="s">
        <v>72</v>
      </c>
      <c r="R2479" t="s">
        <v>139</v>
      </c>
      <c r="S2479" t="s">
        <v>144</v>
      </c>
      <c r="T2479" s="2">
        <f>MASTER[[#This Row],[CANTIDAD]]*MASTER[[#This Row],[PRECIO DE VENTA]]</f>
        <v>1069</v>
      </c>
      <c r="U2479" s="2">
        <f>MASTER[[#This Row],[CANTIDAD]]*MASTER[[#This Row],[COSTO UNITARIO]]</f>
        <v>460</v>
      </c>
      <c r="V2479" s="2">
        <f>MASTER[[#This Row],[MONTO VENDIDO]]-MASTER[[#This Row],[COSTO DE VENTA]]</f>
        <v>609</v>
      </c>
    </row>
    <row r="2480" spans="1:22" x14ac:dyDescent="0.3">
      <c r="A2480">
        <v>41907</v>
      </c>
      <c r="B2480">
        <v>1</v>
      </c>
      <c r="C2480" t="s">
        <v>116</v>
      </c>
      <c r="D2480" t="s">
        <v>117</v>
      </c>
      <c r="E2480" s="1">
        <v>44128</v>
      </c>
      <c r="F2480">
        <v>1</v>
      </c>
      <c r="G2480" t="s">
        <v>31</v>
      </c>
      <c r="H2480" t="s">
        <v>32</v>
      </c>
      <c r="I2480" s="3">
        <v>1738</v>
      </c>
      <c r="J2480" s="3">
        <v>1738</v>
      </c>
      <c r="K2480" s="3">
        <v>388</v>
      </c>
      <c r="L2480" t="s">
        <v>113</v>
      </c>
      <c r="M2480">
        <v>10</v>
      </c>
      <c r="N2480" t="s">
        <v>83</v>
      </c>
      <c r="O2480" t="s">
        <v>81</v>
      </c>
      <c r="P2480" t="s">
        <v>12</v>
      </c>
      <c r="Q2480" t="s">
        <v>13</v>
      </c>
      <c r="R2480" t="s">
        <v>13</v>
      </c>
      <c r="S2480" t="s">
        <v>144</v>
      </c>
      <c r="T2480" s="2">
        <f>MASTER[[#This Row],[CANTIDAD]]*MASTER[[#This Row],[PRECIO DE VENTA]]</f>
        <v>1738</v>
      </c>
      <c r="U2480" s="2">
        <f>MASTER[[#This Row],[CANTIDAD]]*MASTER[[#This Row],[COSTO UNITARIO]]</f>
        <v>388</v>
      </c>
      <c r="V2480" s="2">
        <f>MASTER[[#This Row],[MONTO VENDIDO]]-MASTER[[#This Row],[COSTO DE VENTA]]</f>
        <v>1350</v>
      </c>
    </row>
    <row r="2481" spans="1:22" x14ac:dyDescent="0.3">
      <c r="A2481">
        <v>41908</v>
      </c>
      <c r="B2481">
        <v>1</v>
      </c>
      <c r="C2481" t="s">
        <v>92</v>
      </c>
      <c r="D2481" t="s">
        <v>93</v>
      </c>
      <c r="E2481" s="1">
        <v>44128</v>
      </c>
      <c r="F2481">
        <v>1</v>
      </c>
      <c r="G2481" t="s">
        <v>37</v>
      </c>
      <c r="H2481" t="s">
        <v>38</v>
      </c>
      <c r="I2481" s="3">
        <v>1866</v>
      </c>
      <c r="J2481" s="3">
        <v>1754</v>
      </c>
      <c r="K2481" s="3">
        <v>396</v>
      </c>
      <c r="L2481" t="s">
        <v>9</v>
      </c>
      <c r="M2481">
        <v>1</v>
      </c>
      <c r="N2481" t="s">
        <v>77</v>
      </c>
      <c r="O2481" t="s">
        <v>70</v>
      </c>
      <c r="P2481" t="s">
        <v>71</v>
      </c>
      <c r="Q2481" t="s">
        <v>72</v>
      </c>
      <c r="R2481" t="s">
        <v>139</v>
      </c>
      <c r="S2481" t="s">
        <v>144</v>
      </c>
      <c r="T2481" s="2">
        <f>MASTER[[#This Row],[CANTIDAD]]*MASTER[[#This Row],[PRECIO DE VENTA]]</f>
        <v>1754</v>
      </c>
      <c r="U2481" s="2">
        <f>MASTER[[#This Row],[CANTIDAD]]*MASTER[[#This Row],[COSTO UNITARIO]]</f>
        <v>396</v>
      </c>
      <c r="V2481" s="2">
        <f>MASTER[[#This Row],[MONTO VENDIDO]]-MASTER[[#This Row],[COSTO DE VENTA]]</f>
        <v>1358</v>
      </c>
    </row>
    <row r="2482" spans="1:22" x14ac:dyDescent="0.3">
      <c r="A2482">
        <v>41933</v>
      </c>
      <c r="B2482">
        <v>1</v>
      </c>
      <c r="C2482" t="s">
        <v>92</v>
      </c>
      <c r="D2482" t="s">
        <v>93</v>
      </c>
      <c r="E2482" s="1">
        <v>44128</v>
      </c>
      <c r="F2482">
        <v>1</v>
      </c>
      <c r="G2482" t="s">
        <v>63</v>
      </c>
      <c r="H2482" t="s">
        <v>64</v>
      </c>
      <c r="I2482" s="3">
        <v>1681</v>
      </c>
      <c r="J2482" s="3">
        <v>1681</v>
      </c>
      <c r="K2482" s="3">
        <v>396</v>
      </c>
      <c r="L2482" t="s">
        <v>9</v>
      </c>
      <c r="M2482">
        <v>2</v>
      </c>
      <c r="N2482" t="s">
        <v>86</v>
      </c>
      <c r="O2482" t="s">
        <v>81</v>
      </c>
      <c r="P2482" t="s">
        <v>71</v>
      </c>
      <c r="Q2482" t="s">
        <v>72</v>
      </c>
      <c r="R2482" t="s">
        <v>139</v>
      </c>
      <c r="S2482" t="s">
        <v>144</v>
      </c>
      <c r="T2482" s="2">
        <f>MASTER[[#This Row],[CANTIDAD]]*MASTER[[#This Row],[PRECIO DE VENTA]]</f>
        <v>1681</v>
      </c>
      <c r="U2482" s="2">
        <f>MASTER[[#This Row],[CANTIDAD]]*MASTER[[#This Row],[COSTO UNITARIO]]</f>
        <v>396</v>
      </c>
      <c r="V2482" s="2">
        <f>MASTER[[#This Row],[MONTO VENDIDO]]-MASTER[[#This Row],[COSTO DE VENTA]]</f>
        <v>1285</v>
      </c>
    </row>
    <row r="2483" spans="1:22" x14ac:dyDescent="0.3">
      <c r="A2483">
        <v>41935</v>
      </c>
      <c r="B2483">
        <v>1</v>
      </c>
      <c r="C2483" t="s">
        <v>103</v>
      </c>
      <c r="D2483" t="s">
        <v>104</v>
      </c>
      <c r="E2483" s="1">
        <v>44128</v>
      </c>
      <c r="F2483">
        <v>1</v>
      </c>
      <c r="G2483" t="s">
        <v>27</v>
      </c>
      <c r="H2483" t="s">
        <v>28</v>
      </c>
      <c r="I2483" s="3">
        <v>1448</v>
      </c>
      <c r="J2483" s="3">
        <v>1448</v>
      </c>
      <c r="K2483" s="3">
        <v>421</v>
      </c>
      <c r="L2483" t="s">
        <v>98</v>
      </c>
      <c r="M2483">
        <v>17</v>
      </c>
      <c r="N2483" t="s">
        <v>14</v>
      </c>
      <c r="O2483" t="s">
        <v>11</v>
      </c>
      <c r="P2483" t="s">
        <v>15</v>
      </c>
      <c r="Q2483" t="s">
        <v>16</v>
      </c>
      <c r="R2483" t="s">
        <v>16</v>
      </c>
      <c r="S2483" t="s">
        <v>144</v>
      </c>
      <c r="T2483" s="2">
        <f>MASTER[[#This Row],[CANTIDAD]]*MASTER[[#This Row],[PRECIO DE VENTA]]</f>
        <v>1448</v>
      </c>
      <c r="U2483" s="2">
        <f>MASTER[[#This Row],[CANTIDAD]]*MASTER[[#This Row],[COSTO UNITARIO]]</f>
        <v>421</v>
      </c>
      <c r="V2483" s="2">
        <f>MASTER[[#This Row],[MONTO VENDIDO]]-MASTER[[#This Row],[COSTO DE VENTA]]</f>
        <v>1027</v>
      </c>
    </row>
    <row r="2484" spans="1:22" x14ac:dyDescent="0.3">
      <c r="A2484">
        <v>41937</v>
      </c>
      <c r="B2484">
        <v>1</v>
      </c>
      <c r="C2484" t="s">
        <v>116</v>
      </c>
      <c r="D2484" t="s">
        <v>117</v>
      </c>
      <c r="E2484" s="1">
        <v>44129</v>
      </c>
      <c r="F2484">
        <v>1</v>
      </c>
      <c r="G2484" t="s">
        <v>53</v>
      </c>
      <c r="H2484" t="s">
        <v>54</v>
      </c>
      <c r="I2484" s="3">
        <v>1529</v>
      </c>
      <c r="J2484" s="3">
        <v>1529</v>
      </c>
      <c r="K2484" s="3">
        <v>388</v>
      </c>
      <c r="L2484" t="s">
        <v>113</v>
      </c>
      <c r="M2484">
        <v>16</v>
      </c>
      <c r="N2484" t="s">
        <v>17</v>
      </c>
      <c r="O2484" t="s">
        <v>11</v>
      </c>
      <c r="P2484" t="s">
        <v>18</v>
      </c>
      <c r="Q2484" t="s">
        <v>19</v>
      </c>
      <c r="R2484" t="s">
        <v>138</v>
      </c>
      <c r="S2484" t="s">
        <v>144</v>
      </c>
      <c r="T2484" s="2">
        <f>MASTER[[#This Row],[CANTIDAD]]*MASTER[[#This Row],[PRECIO DE VENTA]]</f>
        <v>1529</v>
      </c>
      <c r="U2484" s="2">
        <f>MASTER[[#This Row],[CANTIDAD]]*MASTER[[#This Row],[COSTO UNITARIO]]</f>
        <v>388</v>
      </c>
      <c r="V2484" s="2">
        <f>MASTER[[#This Row],[MONTO VENDIDO]]-MASTER[[#This Row],[COSTO DE VENTA]]</f>
        <v>1141</v>
      </c>
    </row>
    <row r="2485" spans="1:22" x14ac:dyDescent="0.3">
      <c r="A2485">
        <v>41949</v>
      </c>
      <c r="B2485">
        <v>1</v>
      </c>
      <c r="C2485" t="s">
        <v>107</v>
      </c>
      <c r="D2485" t="s">
        <v>108</v>
      </c>
      <c r="E2485" s="1">
        <v>44129</v>
      </c>
      <c r="F2485">
        <v>1</v>
      </c>
      <c r="G2485" t="s">
        <v>35</v>
      </c>
      <c r="H2485" t="s">
        <v>36</v>
      </c>
      <c r="I2485" s="3">
        <v>1240</v>
      </c>
      <c r="J2485" s="3">
        <v>1240</v>
      </c>
      <c r="K2485" s="3">
        <v>380</v>
      </c>
      <c r="L2485" t="s">
        <v>98</v>
      </c>
      <c r="M2485">
        <v>12</v>
      </c>
      <c r="N2485" t="s">
        <v>26</v>
      </c>
      <c r="O2485" t="s">
        <v>11</v>
      </c>
      <c r="P2485" t="s">
        <v>12</v>
      </c>
      <c r="Q2485" t="s">
        <v>13</v>
      </c>
      <c r="R2485" t="s">
        <v>13</v>
      </c>
      <c r="S2485" t="s">
        <v>144</v>
      </c>
      <c r="T2485" s="2">
        <f>MASTER[[#This Row],[CANTIDAD]]*MASTER[[#This Row],[PRECIO DE VENTA]]</f>
        <v>1240</v>
      </c>
      <c r="U2485" s="2">
        <f>MASTER[[#This Row],[CANTIDAD]]*MASTER[[#This Row],[COSTO UNITARIO]]</f>
        <v>380</v>
      </c>
      <c r="V2485" s="2">
        <f>MASTER[[#This Row],[MONTO VENDIDO]]-MASTER[[#This Row],[COSTO DE VENTA]]</f>
        <v>860</v>
      </c>
    </row>
    <row r="2486" spans="1:22" x14ac:dyDescent="0.3">
      <c r="A2486">
        <v>41952</v>
      </c>
      <c r="B2486">
        <v>1</v>
      </c>
      <c r="C2486" t="s">
        <v>105</v>
      </c>
      <c r="D2486" t="s">
        <v>106</v>
      </c>
      <c r="E2486" s="1">
        <v>44129</v>
      </c>
      <c r="F2486">
        <v>1</v>
      </c>
      <c r="G2486" t="s">
        <v>22</v>
      </c>
      <c r="H2486" t="s">
        <v>23</v>
      </c>
      <c r="I2486" s="3">
        <v>1865</v>
      </c>
      <c r="J2486" s="3">
        <v>1734</v>
      </c>
      <c r="K2486" s="3">
        <v>459</v>
      </c>
      <c r="L2486" t="s">
        <v>98</v>
      </c>
      <c r="M2486">
        <v>7</v>
      </c>
      <c r="N2486" t="s">
        <v>84</v>
      </c>
      <c r="O2486" t="s">
        <v>81</v>
      </c>
      <c r="P2486" t="s">
        <v>12</v>
      </c>
      <c r="Q2486" t="s">
        <v>13</v>
      </c>
      <c r="R2486" t="s">
        <v>13</v>
      </c>
      <c r="S2486" t="s">
        <v>144</v>
      </c>
      <c r="T2486" s="2">
        <f>MASTER[[#This Row],[CANTIDAD]]*MASTER[[#This Row],[PRECIO DE VENTA]]</f>
        <v>1734</v>
      </c>
      <c r="U2486" s="2">
        <f>MASTER[[#This Row],[CANTIDAD]]*MASTER[[#This Row],[COSTO UNITARIO]]</f>
        <v>459</v>
      </c>
      <c r="V2486" s="2">
        <f>MASTER[[#This Row],[MONTO VENDIDO]]-MASTER[[#This Row],[COSTO DE VENTA]]</f>
        <v>1275</v>
      </c>
    </row>
    <row r="2487" spans="1:22" x14ac:dyDescent="0.3">
      <c r="A2487">
        <v>42022</v>
      </c>
      <c r="B2487">
        <v>1</v>
      </c>
      <c r="C2487" t="s">
        <v>94</v>
      </c>
      <c r="D2487" t="s">
        <v>95</v>
      </c>
      <c r="E2487" s="1">
        <v>44129</v>
      </c>
      <c r="F2487">
        <v>1</v>
      </c>
      <c r="G2487" t="s">
        <v>53</v>
      </c>
      <c r="H2487" t="s">
        <v>54</v>
      </c>
      <c r="I2487" s="3">
        <v>1048</v>
      </c>
      <c r="J2487" s="3">
        <v>1048</v>
      </c>
      <c r="K2487" s="3">
        <v>392</v>
      </c>
      <c r="L2487" t="s">
        <v>9</v>
      </c>
      <c r="M2487">
        <v>4</v>
      </c>
      <c r="N2487" t="s">
        <v>82</v>
      </c>
      <c r="O2487" t="s">
        <v>81</v>
      </c>
      <c r="P2487" t="s">
        <v>71</v>
      </c>
      <c r="Q2487" t="s">
        <v>72</v>
      </c>
      <c r="R2487" t="s">
        <v>139</v>
      </c>
      <c r="S2487" t="s">
        <v>144</v>
      </c>
      <c r="T2487" s="2">
        <f>MASTER[[#This Row],[CANTIDAD]]*MASTER[[#This Row],[PRECIO DE VENTA]]</f>
        <v>1048</v>
      </c>
      <c r="U2487" s="2">
        <f>MASTER[[#This Row],[CANTIDAD]]*MASTER[[#This Row],[COSTO UNITARIO]]</f>
        <v>392</v>
      </c>
      <c r="V2487" s="2">
        <f>MASTER[[#This Row],[MONTO VENDIDO]]-MASTER[[#This Row],[COSTO DE VENTA]]</f>
        <v>656</v>
      </c>
    </row>
    <row r="2488" spans="1:22" x14ac:dyDescent="0.3">
      <c r="A2488">
        <v>42028</v>
      </c>
      <c r="B2488">
        <v>1</v>
      </c>
      <c r="C2488" t="s">
        <v>121</v>
      </c>
      <c r="D2488" t="s">
        <v>122</v>
      </c>
      <c r="E2488" s="1">
        <v>44129</v>
      </c>
      <c r="F2488">
        <v>4</v>
      </c>
      <c r="G2488" t="s">
        <v>41</v>
      </c>
      <c r="H2488" t="s">
        <v>42</v>
      </c>
      <c r="I2488" s="3">
        <v>941</v>
      </c>
      <c r="J2488" s="3">
        <v>941</v>
      </c>
      <c r="K2488" s="3">
        <v>460</v>
      </c>
      <c r="L2488" t="s">
        <v>120</v>
      </c>
      <c r="M2488">
        <v>12</v>
      </c>
      <c r="N2488" t="s">
        <v>26</v>
      </c>
      <c r="O2488" t="s">
        <v>11</v>
      </c>
      <c r="P2488" t="s">
        <v>12</v>
      </c>
      <c r="Q2488" t="s">
        <v>13</v>
      </c>
      <c r="R2488" t="s">
        <v>13</v>
      </c>
      <c r="S2488" t="s">
        <v>144</v>
      </c>
      <c r="T2488" s="2">
        <f>MASTER[[#This Row],[CANTIDAD]]*MASTER[[#This Row],[PRECIO DE VENTA]]</f>
        <v>3764</v>
      </c>
      <c r="U2488" s="2">
        <f>MASTER[[#This Row],[CANTIDAD]]*MASTER[[#This Row],[COSTO UNITARIO]]</f>
        <v>1840</v>
      </c>
      <c r="V2488" s="2">
        <f>MASTER[[#This Row],[MONTO VENDIDO]]-MASTER[[#This Row],[COSTO DE VENTA]]</f>
        <v>1924</v>
      </c>
    </row>
    <row r="2489" spans="1:22" x14ac:dyDescent="0.3">
      <c r="A2489">
        <v>42038</v>
      </c>
      <c r="B2489">
        <v>1</v>
      </c>
      <c r="C2489" t="s">
        <v>105</v>
      </c>
      <c r="D2489" t="s">
        <v>106</v>
      </c>
      <c r="E2489" s="1">
        <v>44129</v>
      </c>
      <c r="F2489">
        <v>1</v>
      </c>
      <c r="G2489" t="s">
        <v>35</v>
      </c>
      <c r="H2489" t="s">
        <v>36</v>
      </c>
      <c r="I2489" s="3">
        <v>1865</v>
      </c>
      <c r="J2489" s="3">
        <v>1865</v>
      </c>
      <c r="K2489" s="3">
        <v>459</v>
      </c>
      <c r="L2489" t="s">
        <v>98</v>
      </c>
      <c r="M2489">
        <v>19</v>
      </c>
      <c r="N2489" t="s">
        <v>89</v>
      </c>
      <c r="O2489" t="s">
        <v>81</v>
      </c>
      <c r="P2489" t="s">
        <v>15</v>
      </c>
      <c r="Q2489" t="s">
        <v>16</v>
      </c>
      <c r="R2489" t="s">
        <v>16</v>
      </c>
      <c r="S2489" t="s">
        <v>144</v>
      </c>
      <c r="T2489" s="2">
        <f>MASTER[[#This Row],[CANTIDAD]]*MASTER[[#This Row],[PRECIO DE VENTA]]</f>
        <v>1865</v>
      </c>
      <c r="U2489" s="2">
        <f>MASTER[[#This Row],[CANTIDAD]]*MASTER[[#This Row],[COSTO UNITARIO]]</f>
        <v>459</v>
      </c>
      <c r="V2489" s="2">
        <f>MASTER[[#This Row],[MONTO VENDIDO]]-MASTER[[#This Row],[COSTO DE VENTA]]</f>
        <v>1406</v>
      </c>
    </row>
    <row r="2490" spans="1:22" x14ac:dyDescent="0.3">
      <c r="A2490">
        <v>42042</v>
      </c>
      <c r="B2490">
        <v>1</v>
      </c>
      <c r="C2490" t="s">
        <v>103</v>
      </c>
      <c r="D2490" t="s">
        <v>104</v>
      </c>
      <c r="E2490" s="1">
        <v>44129</v>
      </c>
      <c r="F2490">
        <v>1</v>
      </c>
      <c r="G2490" t="s">
        <v>65</v>
      </c>
      <c r="H2490" t="s">
        <v>66</v>
      </c>
      <c r="I2490" s="3">
        <v>1830</v>
      </c>
      <c r="J2490" s="3">
        <v>1830</v>
      </c>
      <c r="K2490" s="3">
        <v>421</v>
      </c>
      <c r="L2490" t="s">
        <v>98</v>
      </c>
      <c r="M2490">
        <v>6</v>
      </c>
      <c r="N2490" t="s">
        <v>75</v>
      </c>
      <c r="O2490" t="s">
        <v>70</v>
      </c>
      <c r="P2490" t="s">
        <v>12</v>
      </c>
      <c r="Q2490" t="s">
        <v>13</v>
      </c>
      <c r="R2490" t="s">
        <v>13</v>
      </c>
      <c r="S2490" t="s">
        <v>144</v>
      </c>
      <c r="T2490" s="2">
        <f>MASTER[[#This Row],[CANTIDAD]]*MASTER[[#This Row],[PRECIO DE VENTA]]</f>
        <v>1830</v>
      </c>
      <c r="U2490" s="2">
        <f>MASTER[[#This Row],[CANTIDAD]]*MASTER[[#This Row],[COSTO UNITARIO]]</f>
        <v>421</v>
      </c>
      <c r="V2490" s="2">
        <f>MASTER[[#This Row],[MONTO VENDIDO]]-MASTER[[#This Row],[COSTO DE VENTA]]</f>
        <v>1409</v>
      </c>
    </row>
    <row r="2491" spans="1:22" x14ac:dyDescent="0.3">
      <c r="A2491">
        <v>42092</v>
      </c>
      <c r="B2491">
        <v>1</v>
      </c>
      <c r="C2491" t="s">
        <v>99</v>
      </c>
      <c r="D2491" t="s">
        <v>100</v>
      </c>
      <c r="E2491" s="1">
        <v>44129</v>
      </c>
      <c r="F2491">
        <v>1</v>
      </c>
      <c r="G2491" t="s">
        <v>27</v>
      </c>
      <c r="H2491" t="s">
        <v>28</v>
      </c>
      <c r="I2491" s="3">
        <v>1678</v>
      </c>
      <c r="J2491" s="3">
        <v>1678</v>
      </c>
      <c r="K2491" s="3">
        <v>386</v>
      </c>
      <c r="L2491" t="s">
        <v>98</v>
      </c>
      <c r="M2491">
        <v>9</v>
      </c>
      <c r="N2491" t="s">
        <v>76</v>
      </c>
      <c r="O2491" t="s">
        <v>70</v>
      </c>
      <c r="P2491" t="s">
        <v>12</v>
      </c>
      <c r="Q2491" t="s">
        <v>13</v>
      </c>
      <c r="R2491" t="s">
        <v>13</v>
      </c>
      <c r="S2491" t="s">
        <v>144</v>
      </c>
      <c r="T2491" s="2">
        <f>MASTER[[#This Row],[CANTIDAD]]*MASTER[[#This Row],[PRECIO DE VENTA]]</f>
        <v>1678</v>
      </c>
      <c r="U2491" s="2">
        <f>MASTER[[#This Row],[CANTIDAD]]*MASTER[[#This Row],[COSTO UNITARIO]]</f>
        <v>386</v>
      </c>
      <c r="V2491" s="2">
        <f>MASTER[[#This Row],[MONTO VENDIDO]]-MASTER[[#This Row],[COSTO DE VENTA]]</f>
        <v>1292</v>
      </c>
    </row>
    <row r="2492" spans="1:22" x14ac:dyDescent="0.3">
      <c r="A2492">
        <v>42094</v>
      </c>
      <c r="B2492">
        <v>1</v>
      </c>
      <c r="C2492" t="s">
        <v>111</v>
      </c>
      <c r="D2492" t="s">
        <v>112</v>
      </c>
      <c r="E2492" s="1">
        <v>44129</v>
      </c>
      <c r="F2492">
        <v>1</v>
      </c>
      <c r="G2492" t="s">
        <v>57</v>
      </c>
      <c r="H2492" t="s">
        <v>58</v>
      </c>
      <c r="I2492" s="3">
        <v>1524</v>
      </c>
      <c r="J2492" s="3">
        <v>1524</v>
      </c>
      <c r="K2492" s="3">
        <v>434</v>
      </c>
      <c r="L2492" t="s">
        <v>113</v>
      </c>
      <c r="M2492">
        <v>11</v>
      </c>
      <c r="N2492" t="s">
        <v>10</v>
      </c>
      <c r="O2492" t="s">
        <v>11</v>
      </c>
      <c r="P2492" t="s">
        <v>12</v>
      </c>
      <c r="Q2492" t="s">
        <v>13</v>
      </c>
      <c r="R2492" t="s">
        <v>13</v>
      </c>
      <c r="S2492" t="s">
        <v>144</v>
      </c>
      <c r="T2492" s="2">
        <f>MASTER[[#This Row],[CANTIDAD]]*MASTER[[#This Row],[PRECIO DE VENTA]]</f>
        <v>1524</v>
      </c>
      <c r="U2492" s="2">
        <f>MASTER[[#This Row],[CANTIDAD]]*MASTER[[#This Row],[COSTO UNITARIO]]</f>
        <v>434</v>
      </c>
      <c r="V2492" s="2">
        <f>MASTER[[#This Row],[MONTO VENDIDO]]-MASTER[[#This Row],[COSTO DE VENTA]]</f>
        <v>1090</v>
      </c>
    </row>
    <row r="2493" spans="1:22" x14ac:dyDescent="0.3">
      <c r="A2493">
        <v>42100</v>
      </c>
      <c r="B2493">
        <v>1</v>
      </c>
      <c r="C2493" t="s">
        <v>103</v>
      </c>
      <c r="D2493" t="s">
        <v>104</v>
      </c>
      <c r="E2493" s="1">
        <v>44130</v>
      </c>
      <c r="F2493">
        <v>1</v>
      </c>
      <c r="G2493" t="s">
        <v>57</v>
      </c>
      <c r="H2493" t="s">
        <v>58</v>
      </c>
      <c r="I2493" s="3">
        <v>1591</v>
      </c>
      <c r="J2493" s="3">
        <v>1591</v>
      </c>
      <c r="K2493" s="3">
        <v>421</v>
      </c>
      <c r="L2493" t="s">
        <v>98</v>
      </c>
      <c r="M2493">
        <v>7</v>
      </c>
      <c r="N2493" t="s">
        <v>84</v>
      </c>
      <c r="O2493" t="s">
        <v>81</v>
      </c>
      <c r="P2493" t="s">
        <v>12</v>
      </c>
      <c r="Q2493" t="s">
        <v>13</v>
      </c>
      <c r="R2493" t="s">
        <v>13</v>
      </c>
      <c r="S2493" t="s">
        <v>144</v>
      </c>
      <c r="T2493" s="2">
        <f>MASTER[[#This Row],[CANTIDAD]]*MASTER[[#This Row],[PRECIO DE VENTA]]</f>
        <v>1591</v>
      </c>
      <c r="U2493" s="2">
        <f>MASTER[[#This Row],[CANTIDAD]]*MASTER[[#This Row],[COSTO UNITARIO]]</f>
        <v>421</v>
      </c>
      <c r="V2493" s="2">
        <f>MASTER[[#This Row],[MONTO VENDIDO]]-MASTER[[#This Row],[COSTO DE VENTA]]</f>
        <v>1170</v>
      </c>
    </row>
    <row r="2494" spans="1:22" x14ac:dyDescent="0.3">
      <c r="A2494">
        <v>42107</v>
      </c>
      <c r="B2494">
        <v>1</v>
      </c>
      <c r="C2494" t="s">
        <v>105</v>
      </c>
      <c r="D2494" t="s">
        <v>106</v>
      </c>
      <c r="E2494" s="1">
        <v>44130</v>
      </c>
      <c r="F2494">
        <v>1</v>
      </c>
      <c r="G2494" t="s">
        <v>33</v>
      </c>
      <c r="H2494" t="s">
        <v>34</v>
      </c>
      <c r="I2494" s="3">
        <v>2033</v>
      </c>
      <c r="J2494" s="3">
        <v>2033</v>
      </c>
      <c r="K2494" s="3">
        <v>459</v>
      </c>
      <c r="L2494" t="s">
        <v>98</v>
      </c>
      <c r="M2494">
        <v>18</v>
      </c>
      <c r="N2494" t="s">
        <v>79</v>
      </c>
      <c r="O2494" t="s">
        <v>70</v>
      </c>
      <c r="P2494" t="s">
        <v>15</v>
      </c>
      <c r="Q2494" t="s">
        <v>16</v>
      </c>
      <c r="R2494" t="s">
        <v>16</v>
      </c>
      <c r="S2494" t="s">
        <v>144</v>
      </c>
      <c r="T2494" s="2">
        <f>MASTER[[#This Row],[CANTIDAD]]*MASTER[[#This Row],[PRECIO DE VENTA]]</f>
        <v>2033</v>
      </c>
      <c r="U2494" s="2">
        <f>MASTER[[#This Row],[CANTIDAD]]*MASTER[[#This Row],[COSTO UNITARIO]]</f>
        <v>459</v>
      </c>
      <c r="V2494" s="2">
        <f>MASTER[[#This Row],[MONTO VENDIDO]]-MASTER[[#This Row],[COSTO DE VENTA]]</f>
        <v>1574</v>
      </c>
    </row>
    <row r="2495" spans="1:22" x14ac:dyDescent="0.3">
      <c r="A2495">
        <v>42107</v>
      </c>
      <c r="B2495">
        <v>2</v>
      </c>
      <c r="C2495" t="s">
        <v>118</v>
      </c>
      <c r="D2495" t="s">
        <v>119</v>
      </c>
      <c r="E2495" s="1">
        <v>44130</v>
      </c>
      <c r="F2495">
        <v>1</v>
      </c>
      <c r="G2495" t="s">
        <v>41</v>
      </c>
      <c r="H2495" t="s">
        <v>42</v>
      </c>
      <c r="I2495" s="3">
        <v>1026</v>
      </c>
      <c r="J2495" s="3">
        <v>1026</v>
      </c>
      <c r="K2495" s="3">
        <v>424</v>
      </c>
      <c r="L2495" t="s">
        <v>120</v>
      </c>
      <c r="M2495">
        <v>18</v>
      </c>
      <c r="N2495" t="s">
        <v>79</v>
      </c>
      <c r="O2495" t="s">
        <v>70</v>
      </c>
      <c r="P2495" t="s">
        <v>15</v>
      </c>
      <c r="Q2495" t="s">
        <v>16</v>
      </c>
      <c r="R2495" t="s">
        <v>16</v>
      </c>
      <c r="S2495" t="s">
        <v>144</v>
      </c>
      <c r="T2495" s="2">
        <f>MASTER[[#This Row],[CANTIDAD]]*MASTER[[#This Row],[PRECIO DE VENTA]]</f>
        <v>1026</v>
      </c>
      <c r="U2495" s="2">
        <f>MASTER[[#This Row],[CANTIDAD]]*MASTER[[#This Row],[COSTO UNITARIO]]</f>
        <v>424</v>
      </c>
      <c r="V2495" s="2">
        <f>MASTER[[#This Row],[MONTO VENDIDO]]-MASTER[[#This Row],[COSTO DE VENTA]]</f>
        <v>602</v>
      </c>
    </row>
    <row r="2496" spans="1:22" x14ac:dyDescent="0.3">
      <c r="A2496">
        <v>42130</v>
      </c>
      <c r="B2496">
        <v>1</v>
      </c>
      <c r="C2496" t="s">
        <v>121</v>
      </c>
      <c r="D2496" t="s">
        <v>122</v>
      </c>
      <c r="E2496" s="1">
        <v>44130</v>
      </c>
      <c r="F2496">
        <v>1</v>
      </c>
      <c r="G2496" t="s">
        <v>49</v>
      </c>
      <c r="H2496" t="s">
        <v>50</v>
      </c>
      <c r="I2496" s="3">
        <v>1069</v>
      </c>
      <c r="J2496" s="3">
        <v>1069</v>
      </c>
      <c r="K2496" s="3">
        <v>460</v>
      </c>
      <c r="L2496" t="s">
        <v>120</v>
      </c>
      <c r="M2496">
        <v>4</v>
      </c>
      <c r="N2496" t="s">
        <v>82</v>
      </c>
      <c r="O2496" t="s">
        <v>81</v>
      </c>
      <c r="P2496" t="s">
        <v>71</v>
      </c>
      <c r="Q2496" t="s">
        <v>72</v>
      </c>
      <c r="R2496" t="s">
        <v>139</v>
      </c>
      <c r="S2496" t="s">
        <v>144</v>
      </c>
      <c r="T2496" s="2">
        <f>MASTER[[#This Row],[CANTIDAD]]*MASTER[[#This Row],[PRECIO DE VENTA]]</f>
        <v>1069</v>
      </c>
      <c r="U2496" s="2">
        <f>MASTER[[#This Row],[CANTIDAD]]*MASTER[[#This Row],[COSTO UNITARIO]]</f>
        <v>460</v>
      </c>
      <c r="V2496" s="2">
        <f>MASTER[[#This Row],[MONTO VENDIDO]]-MASTER[[#This Row],[COSTO DE VENTA]]</f>
        <v>609</v>
      </c>
    </row>
    <row r="2497" spans="1:22" x14ac:dyDescent="0.3">
      <c r="A2497">
        <v>42141</v>
      </c>
      <c r="B2497">
        <v>1</v>
      </c>
      <c r="C2497" t="s">
        <v>109</v>
      </c>
      <c r="D2497" t="s">
        <v>110</v>
      </c>
      <c r="E2497" s="1">
        <v>44130</v>
      </c>
      <c r="F2497">
        <v>1</v>
      </c>
      <c r="G2497" t="s">
        <v>59</v>
      </c>
      <c r="H2497" t="s">
        <v>60</v>
      </c>
      <c r="I2497" s="3">
        <v>1128</v>
      </c>
      <c r="J2497" s="3">
        <v>1128</v>
      </c>
      <c r="K2497" s="3">
        <v>387</v>
      </c>
      <c r="L2497" t="s">
        <v>98</v>
      </c>
      <c r="M2497">
        <v>6</v>
      </c>
      <c r="N2497" t="s">
        <v>75</v>
      </c>
      <c r="O2497" t="s">
        <v>70</v>
      </c>
      <c r="P2497" t="s">
        <v>12</v>
      </c>
      <c r="Q2497" t="s">
        <v>13</v>
      </c>
      <c r="R2497" t="s">
        <v>13</v>
      </c>
      <c r="S2497" t="s">
        <v>144</v>
      </c>
      <c r="T2497" s="2">
        <f>MASTER[[#This Row],[CANTIDAD]]*MASTER[[#This Row],[PRECIO DE VENTA]]</f>
        <v>1128</v>
      </c>
      <c r="U2497" s="2">
        <f>MASTER[[#This Row],[CANTIDAD]]*MASTER[[#This Row],[COSTO UNITARIO]]</f>
        <v>387</v>
      </c>
      <c r="V2497" s="2">
        <f>MASTER[[#This Row],[MONTO VENDIDO]]-MASTER[[#This Row],[COSTO DE VENTA]]</f>
        <v>741</v>
      </c>
    </row>
    <row r="2498" spans="1:22" x14ac:dyDescent="0.3">
      <c r="A2498">
        <v>42160</v>
      </c>
      <c r="B2498">
        <v>1</v>
      </c>
      <c r="C2498" t="s">
        <v>121</v>
      </c>
      <c r="D2498" t="s">
        <v>122</v>
      </c>
      <c r="E2498" s="1">
        <v>44130</v>
      </c>
      <c r="F2498">
        <v>1</v>
      </c>
      <c r="G2498" t="s">
        <v>73</v>
      </c>
      <c r="H2498" t="s">
        <v>74</v>
      </c>
      <c r="I2498" s="3">
        <v>1069</v>
      </c>
      <c r="J2498" s="3">
        <v>1069</v>
      </c>
      <c r="K2498" s="3">
        <v>460</v>
      </c>
      <c r="L2498" t="s">
        <v>120</v>
      </c>
      <c r="M2498">
        <v>10</v>
      </c>
      <c r="N2498" t="s">
        <v>83</v>
      </c>
      <c r="O2498" t="s">
        <v>81</v>
      </c>
      <c r="P2498" t="s">
        <v>12</v>
      </c>
      <c r="Q2498" t="s">
        <v>13</v>
      </c>
      <c r="R2498" t="s">
        <v>13</v>
      </c>
      <c r="S2498" t="s">
        <v>144</v>
      </c>
      <c r="T2498" s="2">
        <f>MASTER[[#This Row],[CANTIDAD]]*MASTER[[#This Row],[PRECIO DE VENTA]]</f>
        <v>1069</v>
      </c>
      <c r="U2498" s="2">
        <f>MASTER[[#This Row],[CANTIDAD]]*MASTER[[#This Row],[COSTO UNITARIO]]</f>
        <v>460</v>
      </c>
      <c r="V2498" s="2">
        <f>MASTER[[#This Row],[MONTO VENDIDO]]-MASTER[[#This Row],[COSTO DE VENTA]]</f>
        <v>609</v>
      </c>
    </row>
    <row r="2499" spans="1:22" x14ac:dyDescent="0.3">
      <c r="A2499">
        <v>42161</v>
      </c>
      <c r="B2499">
        <v>1</v>
      </c>
      <c r="C2499" t="s">
        <v>109</v>
      </c>
      <c r="D2499" t="s">
        <v>110</v>
      </c>
      <c r="E2499" s="1">
        <v>44130</v>
      </c>
      <c r="F2499">
        <v>1</v>
      </c>
      <c r="G2499" t="s">
        <v>27</v>
      </c>
      <c r="H2499" t="s">
        <v>28</v>
      </c>
      <c r="I2499" s="3">
        <v>1128</v>
      </c>
      <c r="J2499" s="3">
        <v>1128</v>
      </c>
      <c r="K2499" s="3">
        <v>387</v>
      </c>
      <c r="L2499" t="s">
        <v>98</v>
      </c>
      <c r="M2499">
        <v>13</v>
      </c>
      <c r="N2499" t="s">
        <v>78</v>
      </c>
      <c r="O2499" t="s">
        <v>70</v>
      </c>
      <c r="P2499" t="s">
        <v>18</v>
      </c>
      <c r="Q2499" t="s">
        <v>19</v>
      </c>
      <c r="R2499" t="s">
        <v>138</v>
      </c>
      <c r="S2499" t="s">
        <v>144</v>
      </c>
      <c r="T2499" s="2">
        <f>MASTER[[#This Row],[CANTIDAD]]*MASTER[[#This Row],[PRECIO DE VENTA]]</f>
        <v>1128</v>
      </c>
      <c r="U2499" s="2">
        <f>MASTER[[#This Row],[CANTIDAD]]*MASTER[[#This Row],[COSTO UNITARIO]]</f>
        <v>387</v>
      </c>
      <c r="V2499" s="2">
        <f>MASTER[[#This Row],[MONTO VENDIDO]]-MASTER[[#This Row],[COSTO DE VENTA]]</f>
        <v>741</v>
      </c>
    </row>
    <row r="2500" spans="1:22" x14ac:dyDescent="0.3">
      <c r="A2500">
        <v>42170</v>
      </c>
      <c r="B2500">
        <v>1</v>
      </c>
      <c r="C2500" t="s">
        <v>94</v>
      </c>
      <c r="D2500" t="s">
        <v>95</v>
      </c>
      <c r="E2500" s="1">
        <v>44130</v>
      </c>
      <c r="F2500">
        <v>1</v>
      </c>
      <c r="G2500" t="s">
        <v>37</v>
      </c>
      <c r="H2500" t="s">
        <v>38</v>
      </c>
      <c r="I2500" s="3">
        <v>1048</v>
      </c>
      <c r="J2500" s="3">
        <v>1048</v>
      </c>
      <c r="K2500" s="3">
        <v>392</v>
      </c>
      <c r="L2500" t="s">
        <v>9</v>
      </c>
      <c r="M2500">
        <v>4</v>
      </c>
      <c r="N2500" t="s">
        <v>82</v>
      </c>
      <c r="O2500" t="s">
        <v>81</v>
      </c>
      <c r="P2500" t="s">
        <v>71</v>
      </c>
      <c r="Q2500" t="s">
        <v>72</v>
      </c>
      <c r="R2500" t="s">
        <v>139</v>
      </c>
      <c r="S2500" t="s">
        <v>144</v>
      </c>
      <c r="T2500" s="2">
        <f>MASTER[[#This Row],[CANTIDAD]]*MASTER[[#This Row],[PRECIO DE VENTA]]</f>
        <v>1048</v>
      </c>
      <c r="U2500" s="2">
        <f>MASTER[[#This Row],[CANTIDAD]]*MASTER[[#This Row],[COSTO UNITARIO]]</f>
        <v>392</v>
      </c>
      <c r="V2500" s="2">
        <f>MASTER[[#This Row],[MONTO VENDIDO]]-MASTER[[#This Row],[COSTO DE VENTA]]</f>
        <v>656</v>
      </c>
    </row>
    <row r="2501" spans="1:22" x14ac:dyDescent="0.3">
      <c r="A2501">
        <v>42174</v>
      </c>
      <c r="B2501">
        <v>1</v>
      </c>
      <c r="C2501" t="s">
        <v>94</v>
      </c>
      <c r="D2501" t="s">
        <v>95</v>
      </c>
      <c r="E2501" s="1">
        <v>44130</v>
      </c>
      <c r="F2501">
        <v>1</v>
      </c>
      <c r="G2501" t="s">
        <v>61</v>
      </c>
      <c r="H2501" t="s">
        <v>62</v>
      </c>
      <c r="I2501" s="3">
        <v>1048</v>
      </c>
      <c r="J2501" s="3">
        <v>964</v>
      </c>
      <c r="K2501" s="3">
        <v>392</v>
      </c>
      <c r="L2501" t="s">
        <v>9</v>
      </c>
      <c r="M2501">
        <v>14</v>
      </c>
      <c r="N2501" t="s">
        <v>87</v>
      </c>
      <c r="O2501" t="s">
        <v>81</v>
      </c>
      <c r="P2501" t="s">
        <v>18</v>
      </c>
      <c r="Q2501" t="s">
        <v>19</v>
      </c>
      <c r="R2501" t="s">
        <v>138</v>
      </c>
      <c r="S2501" t="s">
        <v>144</v>
      </c>
      <c r="T2501" s="2">
        <f>MASTER[[#This Row],[CANTIDAD]]*MASTER[[#This Row],[PRECIO DE VENTA]]</f>
        <v>964</v>
      </c>
      <c r="U2501" s="2">
        <f>MASTER[[#This Row],[CANTIDAD]]*MASTER[[#This Row],[COSTO UNITARIO]]</f>
        <v>392</v>
      </c>
      <c r="V2501" s="2">
        <f>MASTER[[#This Row],[MONTO VENDIDO]]-MASTER[[#This Row],[COSTO DE VENTA]]</f>
        <v>572</v>
      </c>
    </row>
    <row r="2502" spans="1:22" x14ac:dyDescent="0.3">
      <c r="A2502">
        <v>42196</v>
      </c>
      <c r="B2502">
        <v>1</v>
      </c>
      <c r="C2502" t="s">
        <v>94</v>
      </c>
      <c r="D2502" t="s">
        <v>95</v>
      </c>
      <c r="E2502" s="1">
        <v>44130</v>
      </c>
      <c r="F2502">
        <v>1</v>
      </c>
      <c r="G2502" t="s">
        <v>65</v>
      </c>
      <c r="H2502" t="s">
        <v>66</v>
      </c>
      <c r="I2502" s="3">
        <v>1153</v>
      </c>
      <c r="J2502" s="3">
        <v>1153</v>
      </c>
      <c r="K2502" s="3">
        <v>392</v>
      </c>
      <c r="L2502" t="s">
        <v>9</v>
      </c>
      <c r="M2502">
        <v>9</v>
      </c>
      <c r="N2502" t="s">
        <v>76</v>
      </c>
      <c r="O2502" t="s">
        <v>70</v>
      </c>
      <c r="P2502" t="s">
        <v>12</v>
      </c>
      <c r="Q2502" t="s">
        <v>13</v>
      </c>
      <c r="R2502" t="s">
        <v>13</v>
      </c>
      <c r="S2502" t="s">
        <v>144</v>
      </c>
      <c r="T2502" s="2">
        <f>MASTER[[#This Row],[CANTIDAD]]*MASTER[[#This Row],[PRECIO DE VENTA]]</f>
        <v>1153</v>
      </c>
      <c r="U2502" s="2">
        <f>MASTER[[#This Row],[CANTIDAD]]*MASTER[[#This Row],[COSTO UNITARIO]]</f>
        <v>392</v>
      </c>
      <c r="V2502" s="2">
        <f>MASTER[[#This Row],[MONTO VENDIDO]]-MASTER[[#This Row],[COSTO DE VENTA]]</f>
        <v>761</v>
      </c>
    </row>
    <row r="2503" spans="1:22" x14ac:dyDescent="0.3">
      <c r="A2503">
        <v>42204</v>
      </c>
      <c r="B2503">
        <v>1</v>
      </c>
      <c r="C2503" t="s">
        <v>111</v>
      </c>
      <c r="D2503" t="s">
        <v>112</v>
      </c>
      <c r="E2503" s="1">
        <v>44130</v>
      </c>
      <c r="F2503">
        <v>1</v>
      </c>
      <c r="G2503" t="s">
        <v>73</v>
      </c>
      <c r="H2503" t="s">
        <v>74</v>
      </c>
      <c r="I2503" s="3">
        <v>1799</v>
      </c>
      <c r="J2503" s="3">
        <v>1799</v>
      </c>
      <c r="K2503" s="3">
        <v>434</v>
      </c>
      <c r="L2503" t="s">
        <v>113</v>
      </c>
      <c r="M2503">
        <v>9</v>
      </c>
      <c r="N2503" t="s">
        <v>76</v>
      </c>
      <c r="O2503" t="s">
        <v>70</v>
      </c>
      <c r="P2503" t="s">
        <v>12</v>
      </c>
      <c r="Q2503" t="s">
        <v>13</v>
      </c>
      <c r="R2503" t="s">
        <v>13</v>
      </c>
      <c r="S2503" t="s">
        <v>144</v>
      </c>
      <c r="T2503" s="2">
        <f>MASTER[[#This Row],[CANTIDAD]]*MASTER[[#This Row],[PRECIO DE VENTA]]</f>
        <v>1799</v>
      </c>
      <c r="U2503" s="2">
        <f>MASTER[[#This Row],[CANTIDAD]]*MASTER[[#This Row],[COSTO UNITARIO]]</f>
        <v>434</v>
      </c>
      <c r="V2503" s="2">
        <f>MASTER[[#This Row],[MONTO VENDIDO]]-MASTER[[#This Row],[COSTO DE VENTA]]</f>
        <v>1365</v>
      </c>
    </row>
    <row r="2504" spans="1:22" x14ac:dyDescent="0.3">
      <c r="A2504">
        <v>42205</v>
      </c>
      <c r="B2504">
        <v>1</v>
      </c>
      <c r="C2504" t="s">
        <v>105</v>
      </c>
      <c r="D2504" t="s">
        <v>106</v>
      </c>
      <c r="E2504" s="1">
        <v>44130</v>
      </c>
      <c r="F2504">
        <v>1</v>
      </c>
      <c r="G2504" t="s">
        <v>51</v>
      </c>
      <c r="H2504" t="s">
        <v>52</v>
      </c>
      <c r="I2504" s="3">
        <v>1585</v>
      </c>
      <c r="J2504" s="3">
        <v>1585</v>
      </c>
      <c r="K2504" s="3">
        <v>459</v>
      </c>
      <c r="L2504" t="s">
        <v>98</v>
      </c>
      <c r="M2504">
        <v>12</v>
      </c>
      <c r="N2504" t="s">
        <v>26</v>
      </c>
      <c r="O2504" t="s">
        <v>11</v>
      </c>
      <c r="P2504" t="s">
        <v>12</v>
      </c>
      <c r="Q2504" t="s">
        <v>13</v>
      </c>
      <c r="R2504" t="s">
        <v>13</v>
      </c>
      <c r="S2504" t="s">
        <v>144</v>
      </c>
      <c r="T2504" s="2">
        <f>MASTER[[#This Row],[CANTIDAD]]*MASTER[[#This Row],[PRECIO DE VENTA]]</f>
        <v>1585</v>
      </c>
      <c r="U2504" s="2">
        <f>MASTER[[#This Row],[CANTIDAD]]*MASTER[[#This Row],[COSTO UNITARIO]]</f>
        <v>459</v>
      </c>
      <c r="V2504" s="2">
        <f>MASTER[[#This Row],[MONTO VENDIDO]]-MASTER[[#This Row],[COSTO DE VENTA]]</f>
        <v>1126</v>
      </c>
    </row>
    <row r="2505" spans="1:22" x14ac:dyDescent="0.3">
      <c r="A2505">
        <v>42237</v>
      </c>
      <c r="B2505">
        <v>1</v>
      </c>
      <c r="C2505" t="s">
        <v>99</v>
      </c>
      <c r="D2505" t="s">
        <v>100</v>
      </c>
      <c r="E2505" s="1">
        <v>44131</v>
      </c>
      <c r="F2505">
        <v>1</v>
      </c>
      <c r="G2505" t="s">
        <v>65</v>
      </c>
      <c r="H2505" t="s">
        <v>66</v>
      </c>
      <c r="I2505" s="3">
        <v>1459</v>
      </c>
      <c r="J2505" s="3">
        <v>1459</v>
      </c>
      <c r="K2505" s="3">
        <v>386</v>
      </c>
      <c r="L2505" t="s">
        <v>98</v>
      </c>
      <c r="M2505">
        <v>14</v>
      </c>
      <c r="N2505" t="s">
        <v>87</v>
      </c>
      <c r="O2505" t="s">
        <v>81</v>
      </c>
      <c r="P2505" t="s">
        <v>18</v>
      </c>
      <c r="Q2505" t="s">
        <v>19</v>
      </c>
      <c r="R2505" t="s">
        <v>138</v>
      </c>
      <c r="S2505" t="s">
        <v>144</v>
      </c>
      <c r="T2505" s="2">
        <f>MASTER[[#This Row],[CANTIDAD]]*MASTER[[#This Row],[PRECIO DE VENTA]]</f>
        <v>1459</v>
      </c>
      <c r="U2505" s="2">
        <f>MASTER[[#This Row],[CANTIDAD]]*MASTER[[#This Row],[COSTO UNITARIO]]</f>
        <v>386</v>
      </c>
      <c r="V2505" s="2">
        <f>MASTER[[#This Row],[MONTO VENDIDO]]-MASTER[[#This Row],[COSTO DE VENTA]]</f>
        <v>1073</v>
      </c>
    </row>
    <row r="2506" spans="1:22" x14ac:dyDescent="0.3">
      <c r="A2506">
        <v>42246</v>
      </c>
      <c r="B2506">
        <v>1</v>
      </c>
      <c r="C2506" t="s">
        <v>103</v>
      </c>
      <c r="D2506" t="s">
        <v>104</v>
      </c>
      <c r="E2506" s="1">
        <v>44131</v>
      </c>
      <c r="F2506">
        <v>1</v>
      </c>
      <c r="G2506" t="s">
        <v>67</v>
      </c>
      <c r="H2506" t="s">
        <v>68</v>
      </c>
      <c r="I2506" s="3">
        <v>1448</v>
      </c>
      <c r="J2506" s="3">
        <v>1448</v>
      </c>
      <c r="K2506" s="3">
        <v>421</v>
      </c>
      <c r="L2506" t="s">
        <v>98</v>
      </c>
      <c r="M2506">
        <v>16</v>
      </c>
      <c r="N2506" t="s">
        <v>17</v>
      </c>
      <c r="O2506" t="s">
        <v>11</v>
      </c>
      <c r="P2506" t="s">
        <v>18</v>
      </c>
      <c r="Q2506" t="s">
        <v>19</v>
      </c>
      <c r="R2506" t="s">
        <v>138</v>
      </c>
      <c r="S2506" t="s">
        <v>144</v>
      </c>
      <c r="T2506" s="2">
        <f>MASTER[[#This Row],[CANTIDAD]]*MASTER[[#This Row],[PRECIO DE VENTA]]</f>
        <v>1448</v>
      </c>
      <c r="U2506" s="2">
        <f>MASTER[[#This Row],[CANTIDAD]]*MASTER[[#This Row],[COSTO UNITARIO]]</f>
        <v>421</v>
      </c>
      <c r="V2506" s="2">
        <f>MASTER[[#This Row],[MONTO VENDIDO]]-MASTER[[#This Row],[COSTO DE VENTA]]</f>
        <v>1027</v>
      </c>
    </row>
    <row r="2507" spans="1:22" x14ac:dyDescent="0.3">
      <c r="A2507">
        <v>42254</v>
      </c>
      <c r="B2507">
        <v>1</v>
      </c>
      <c r="C2507" t="s">
        <v>114</v>
      </c>
      <c r="D2507" t="s">
        <v>115</v>
      </c>
      <c r="E2507" s="1">
        <v>44131</v>
      </c>
      <c r="F2507">
        <v>1</v>
      </c>
      <c r="G2507" t="s">
        <v>73</v>
      </c>
      <c r="H2507" t="s">
        <v>74</v>
      </c>
      <c r="I2507" s="3">
        <v>1862</v>
      </c>
      <c r="J2507" s="3">
        <v>1768</v>
      </c>
      <c r="K2507" s="3">
        <v>394</v>
      </c>
      <c r="L2507" t="s">
        <v>113</v>
      </c>
      <c r="M2507">
        <v>14</v>
      </c>
      <c r="N2507" t="s">
        <v>87</v>
      </c>
      <c r="O2507" t="s">
        <v>81</v>
      </c>
      <c r="P2507" t="s">
        <v>18</v>
      </c>
      <c r="Q2507" t="s">
        <v>19</v>
      </c>
      <c r="R2507" t="s">
        <v>138</v>
      </c>
      <c r="S2507" t="s">
        <v>144</v>
      </c>
      <c r="T2507" s="2">
        <f>MASTER[[#This Row],[CANTIDAD]]*MASTER[[#This Row],[PRECIO DE VENTA]]</f>
        <v>1768</v>
      </c>
      <c r="U2507" s="2">
        <f>MASTER[[#This Row],[CANTIDAD]]*MASTER[[#This Row],[COSTO UNITARIO]]</f>
        <v>394</v>
      </c>
      <c r="V2507" s="2">
        <f>MASTER[[#This Row],[MONTO VENDIDO]]-MASTER[[#This Row],[COSTO DE VENTA]]</f>
        <v>1374</v>
      </c>
    </row>
    <row r="2508" spans="1:22" x14ac:dyDescent="0.3">
      <c r="A2508">
        <v>42261</v>
      </c>
      <c r="B2508">
        <v>1</v>
      </c>
      <c r="C2508" t="s">
        <v>99</v>
      </c>
      <c r="D2508" t="s">
        <v>100</v>
      </c>
      <c r="E2508" s="1">
        <v>44131</v>
      </c>
      <c r="F2508">
        <v>1</v>
      </c>
      <c r="G2508" t="s">
        <v>35</v>
      </c>
      <c r="H2508" t="s">
        <v>36</v>
      </c>
      <c r="I2508" s="3">
        <v>1328</v>
      </c>
      <c r="J2508" s="3">
        <v>1328</v>
      </c>
      <c r="K2508" s="3">
        <v>386</v>
      </c>
      <c r="L2508" t="s">
        <v>98</v>
      </c>
      <c r="M2508">
        <v>11</v>
      </c>
      <c r="N2508" t="s">
        <v>10</v>
      </c>
      <c r="O2508" t="s">
        <v>11</v>
      </c>
      <c r="P2508" t="s">
        <v>12</v>
      </c>
      <c r="Q2508" t="s">
        <v>13</v>
      </c>
      <c r="R2508" t="s">
        <v>13</v>
      </c>
      <c r="S2508" t="s">
        <v>144</v>
      </c>
      <c r="T2508" s="2">
        <f>MASTER[[#This Row],[CANTIDAD]]*MASTER[[#This Row],[PRECIO DE VENTA]]</f>
        <v>1328</v>
      </c>
      <c r="U2508" s="2">
        <f>MASTER[[#This Row],[CANTIDAD]]*MASTER[[#This Row],[COSTO UNITARIO]]</f>
        <v>386</v>
      </c>
      <c r="V2508" s="2">
        <f>MASTER[[#This Row],[MONTO VENDIDO]]-MASTER[[#This Row],[COSTO DE VENTA]]</f>
        <v>942</v>
      </c>
    </row>
    <row r="2509" spans="1:22" x14ac:dyDescent="0.3">
      <c r="A2509">
        <v>42276</v>
      </c>
      <c r="B2509">
        <v>1</v>
      </c>
      <c r="C2509" t="s">
        <v>105</v>
      </c>
      <c r="D2509" t="s">
        <v>106</v>
      </c>
      <c r="E2509" s="1">
        <v>44131</v>
      </c>
      <c r="F2509">
        <v>1</v>
      </c>
      <c r="G2509" t="s">
        <v>59</v>
      </c>
      <c r="H2509" t="s">
        <v>60</v>
      </c>
      <c r="I2509" s="3">
        <v>1585</v>
      </c>
      <c r="J2509" s="3">
        <v>1585</v>
      </c>
      <c r="K2509" s="3">
        <v>459</v>
      </c>
      <c r="L2509" t="s">
        <v>98</v>
      </c>
      <c r="M2509">
        <v>12</v>
      </c>
      <c r="N2509" t="s">
        <v>26</v>
      </c>
      <c r="O2509" t="s">
        <v>11</v>
      </c>
      <c r="P2509" t="s">
        <v>12</v>
      </c>
      <c r="Q2509" t="s">
        <v>13</v>
      </c>
      <c r="R2509" t="s">
        <v>13</v>
      </c>
      <c r="S2509" t="s">
        <v>144</v>
      </c>
      <c r="T2509" s="2">
        <f>MASTER[[#This Row],[CANTIDAD]]*MASTER[[#This Row],[PRECIO DE VENTA]]</f>
        <v>1585</v>
      </c>
      <c r="U2509" s="2">
        <f>MASTER[[#This Row],[CANTIDAD]]*MASTER[[#This Row],[COSTO UNITARIO]]</f>
        <v>459</v>
      </c>
      <c r="V2509" s="2">
        <f>MASTER[[#This Row],[MONTO VENDIDO]]-MASTER[[#This Row],[COSTO DE VENTA]]</f>
        <v>1126</v>
      </c>
    </row>
    <row r="2510" spans="1:22" x14ac:dyDescent="0.3">
      <c r="A2510">
        <v>42278</v>
      </c>
      <c r="B2510">
        <v>1</v>
      </c>
      <c r="C2510" t="s">
        <v>116</v>
      </c>
      <c r="D2510" t="s">
        <v>117</v>
      </c>
      <c r="E2510" s="1">
        <v>44131</v>
      </c>
      <c r="F2510">
        <v>1</v>
      </c>
      <c r="G2510" t="s">
        <v>39</v>
      </c>
      <c r="H2510" t="s">
        <v>40</v>
      </c>
      <c r="I2510" s="3">
        <v>1738</v>
      </c>
      <c r="J2510" s="3">
        <v>1738</v>
      </c>
      <c r="K2510" s="3">
        <v>388</v>
      </c>
      <c r="L2510" t="s">
        <v>113</v>
      </c>
      <c r="M2510">
        <v>5</v>
      </c>
      <c r="N2510" t="s">
        <v>85</v>
      </c>
      <c r="O2510" t="s">
        <v>81</v>
      </c>
      <c r="P2510" t="s">
        <v>12</v>
      </c>
      <c r="Q2510" t="s">
        <v>13</v>
      </c>
      <c r="R2510" t="s">
        <v>13</v>
      </c>
      <c r="S2510" t="s">
        <v>144</v>
      </c>
      <c r="T2510" s="2">
        <f>MASTER[[#This Row],[CANTIDAD]]*MASTER[[#This Row],[PRECIO DE VENTA]]</f>
        <v>1738</v>
      </c>
      <c r="U2510" s="2">
        <f>MASTER[[#This Row],[CANTIDAD]]*MASTER[[#This Row],[COSTO UNITARIO]]</f>
        <v>388</v>
      </c>
      <c r="V2510" s="2">
        <f>MASTER[[#This Row],[MONTO VENDIDO]]-MASTER[[#This Row],[COSTO DE VENTA]]</f>
        <v>1350</v>
      </c>
    </row>
    <row r="2511" spans="1:22" x14ac:dyDescent="0.3">
      <c r="A2511">
        <v>42282</v>
      </c>
      <c r="B2511">
        <v>1</v>
      </c>
      <c r="C2511" t="s">
        <v>111</v>
      </c>
      <c r="D2511" t="s">
        <v>112</v>
      </c>
      <c r="E2511" s="1">
        <v>44131</v>
      </c>
      <c r="F2511">
        <v>1</v>
      </c>
      <c r="G2511" t="s">
        <v>31</v>
      </c>
      <c r="H2511" t="s">
        <v>32</v>
      </c>
      <c r="I2511" s="3">
        <v>1799</v>
      </c>
      <c r="J2511" s="3">
        <v>1799</v>
      </c>
      <c r="K2511" s="3">
        <v>434</v>
      </c>
      <c r="L2511" t="s">
        <v>113</v>
      </c>
      <c r="M2511">
        <v>9</v>
      </c>
      <c r="N2511" t="s">
        <v>76</v>
      </c>
      <c r="O2511" t="s">
        <v>70</v>
      </c>
      <c r="P2511" t="s">
        <v>12</v>
      </c>
      <c r="Q2511" t="s">
        <v>13</v>
      </c>
      <c r="R2511" t="s">
        <v>13</v>
      </c>
      <c r="S2511" t="s">
        <v>144</v>
      </c>
      <c r="T2511" s="2">
        <f>MASTER[[#This Row],[CANTIDAD]]*MASTER[[#This Row],[PRECIO DE VENTA]]</f>
        <v>1799</v>
      </c>
      <c r="U2511" s="2">
        <f>MASTER[[#This Row],[CANTIDAD]]*MASTER[[#This Row],[COSTO UNITARIO]]</f>
        <v>434</v>
      </c>
      <c r="V2511" s="2">
        <f>MASTER[[#This Row],[MONTO VENDIDO]]-MASTER[[#This Row],[COSTO DE VENTA]]</f>
        <v>1365</v>
      </c>
    </row>
    <row r="2512" spans="1:22" x14ac:dyDescent="0.3">
      <c r="A2512">
        <v>42283</v>
      </c>
      <c r="B2512">
        <v>1</v>
      </c>
      <c r="C2512" t="s">
        <v>111</v>
      </c>
      <c r="D2512" t="s">
        <v>112</v>
      </c>
      <c r="E2512" s="1">
        <v>44132</v>
      </c>
      <c r="F2512">
        <v>1</v>
      </c>
      <c r="G2512" t="s">
        <v>65</v>
      </c>
      <c r="H2512" t="s">
        <v>66</v>
      </c>
      <c r="I2512" s="3">
        <v>1799</v>
      </c>
      <c r="J2512" s="3">
        <v>1799</v>
      </c>
      <c r="K2512" s="3">
        <v>434</v>
      </c>
      <c r="L2512" t="s">
        <v>113</v>
      </c>
      <c r="M2512">
        <v>6</v>
      </c>
      <c r="N2512" t="s">
        <v>75</v>
      </c>
      <c r="O2512" t="s">
        <v>70</v>
      </c>
      <c r="P2512" t="s">
        <v>12</v>
      </c>
      <c r="Q2512" t="s">
        <v>13</v>
      </c>
      <c r="R2512" t="s">
        <v>13</v>
      </c>
      <c r="S2512" t="s">
        <v>144</v>
      </c>
      <c r="T2512" s="2">
        <f>MASTER[[#This Row],[CANTIDAD]]*MASTER[[#This Row],[PRECIO DE VENTA]]</f>
        <v>1799</v>
      </c>
      <c r="U2512" s="2">
        <f>MASTER[[#This Row],[CANTIDAD]]*MASTER[[#This Row],[COSTO UNITARIO]]</f>
        <v>434</v>
      </c>
      <c r="V2512" s="2">
        <f>MASTER[[#This Row],[MONTO VENDIDO]]-MASTER[[#This Row],[COSTO DE VENTA]]</f>
        <v>1365</v>
      </c>
    </row>
    <row r="2513" spans="1:22" x14ac:dyDescent="0.3">
      <c r="A2513">
        <v>42294</v>
      </c>
      <c r="B2513">
        <v>1</v>
      </c>
      <c r="C2513" t="s">
        <v>99</v>
      </c>
      <c r="D2513" t="s">
        <v>100</v>
      </c>
      <c r="E2513" s="1">
        <v>44132</v>
      </c>
      <c r="F2513">
        <v>1</v>
      </c>
      <c r="G2513" t="s">
        <v>33</v>
      </c>
      <c r="H2513" t="s">
        <v>34</v>
      </c>
      <c r="I2513" s="3">
        <v>1678</v>
      </c>
      <c r="J2513" s="3">
        <v>1678</v>
      </c>
      <c r="K2513" s="3">
        <v>386</v>
      </c>
      <c r="L2513" t="s">
        <v>98</v>
      </c>
      <c r="M2513">
        <v>9</v>
      </c>
      <c r="N2513" t="s">
        <v>76</v>
      </c>
      <c r="O2513" t="s">
        <v>70</v>
      </c>
      <c r="P2513" t="s">
        <v>12</v>
      </c>
      <c r="Q2513" t="s">
        <v>13</v>
      </c>
      <c r="R2513" t="s">
        <v>13</v>
      </c>
      <c r="S2513" t="s">
        <v>144</v>
      </c>
      <c r="T2513" s="2">
        <f>MASTER[[#This Row],[CANTIDAD]]*MASTER[[#This Row],[PRECIO DE VENTA]]</f>
        <v>1678</v>
      </c>
      <c r="U2513" s="2">
        <f>MASTER[[#This Row],[CANTIDAD]]*MASTER[[#This Row],[COSTO UNITARIO]]</f>
        <v>386</v>
      </c>
      <c r="V2513" s="2">
        <f>MASTER[[#This Row],[MONTO VENDIDO]]-MASTER[[#This Row],[COSTO DE VENTA]]</f>
        <v>1292</v>
      </c>
    </row>
    <row r="2514" spans="1:22" x14ac:dyDescent="0.3">
      <c r="A2514">
        <v>42303</v>
      </c>
      <c r="B2514">
        <v>1</v>
      </c>
      <c r="C2514" t="s">
        <v>105</v>
      </c>
      <c r="D2514" t="s">
        <v>106</v>
      </c>
      <c r="E2514" s="1">
        <v>44132</v>
      </c>
      <c r="F2514">
        <v>1</v>
      </c>
      <c r="G2514" t="s">
        <v>35</v>
      </c>
      <c r="H2514" t="s">
        <v>36</v>
      </c>
      <c r="I2514" s="3">
        <v>2033</v>
      </c>
      <c r="J2514" s="3">
        <v>2033</v>
      </c>
      <c r="K2514" s="3">
        <v>459</v>
      </c>
      <c r="L2514" t="s">
        <v>98</v>
      </c>
      <c r="M2514">
        <v>6</v>
      </c>
      <c r="N2514" t="s">
        <v>75</v>
      </c>
      <c r="O2514" t="s">
        <v>70</v>
      </c>
      <c r="P2514" t="s">
        <v>12</v>
      </c>
      <c r="Q2514" t="s">
        <v>13</v>
      </c>
      <c r="R2514" t="s">
        <v>13</v>
      </c>
      <c r="S2514" t="s">
        <v>144</v>
      </c>
      <c r="T2514" s="2">
        <f>MASTER[[#This Row],[CANTIDAD]]*MASTER[[#This Row],[PRECIO DE VENTA]]</f>
        <v>2033</v>
      </c>
      <c r="U2514" s="2">
        <f>MASTER[[#This Row],[CANTIDAD]]*MASTER[[#This Row],[COSTO UNITARIO]]</f>
        <v>459</v>
      </c>
      <c r="V2514" s="2">
        <f>MASTER[[#This Row],[MONTO VENDIDO]]-MASTER[[#This Row],[COSTO DE VENTA]]</f>
        <v>1574</v>
      </c>
    </row>
    <row r="2515" spans="1:22" x14ac:dyDescent="0.3">
      <c r="A2515">
        <v>42307</v>
      </c>
      <c r="B2515">
        <v>1</v>
      </c>
      <c r="C2515" t="s">
        <v>105</v>
      </c>
      <c r="D2515" t="s">
        <v>106</v>
      </c>
      <c r="E2515" s="1">
        <v>44132</v>
      </c>
      <c r="F2515">
        <v>1</v>
      </c>
      <c r="G2515" t="s">
        <v>45</v>
      </c>
      <c r="H2515" t="s">
        <v>46</v>
      </c>
      <c r="I2515" s="3">
        <v>1585</v>
      </c>
      <c r="J2515" s="3">
        <v>1585</v>
      </c>
      <c r="K2515" s="3">
        <v>459</v>
      </c>
      <c r="L2515" t="s">
        <v>98</v>
      </c>
      <c r="M2515">
        <v>11</v>
      </c>
      <c r="N2515" t="s">
        <v>10</v>
      </c>
      <c r="O2515" t="s">
        <v>11</v>
      </c>
      <c r="P2515" t="s">
        <v>12</v>
      </c>
      <c r="Q2515" t="s">
        <v>13</v>
      </c>
      <c r="R2515" t="s">
        <v>13</v>
      </c>
      <c r="S2515" t="s">
        <v>144</v>
      </c>
      <c r="T2515" s="2">
        <f>MASTER[[#This Row],[CANTIDAD]]*MASTER[[#This Row],[PRECIO DE VENTA]]</f>
        <v>1585</v>
      </c>
      <c r="U2515" s="2">
        <f>MASTER[[#This Row],[CANTIDAD]]*MASTER[[#This Row],[COSTO UNITARIO]]</f>
        <v>459</v>
      </c>
      <c r="V2515" s="2">
        <f>MASTER[[#This Row],[MONTO VENDIDO]]-MASTER[[#This Row],[COSTO DE VENTA]]</f>
        <v>1126</v>
      </c>
    </row>
    <row r="2516" spans="1:22" x14ac:dyDescent="0.3">
      <c r="A2516">
        <v>42318</v>
      </c>
      <c r="B2516">
        <v>1</v>
      </c>
      <c r="C2516" t="s">
        <v>94</v>
      </c>
      <c r="D2516" t="s">
        <v>95</v>
      </c>
      <c r="E2516" s="1">
        <v>44132</v>
      </c>
      <c r="F2516">
        <v>1</v>
      </c>
      <c r="G2516" t="s">
        <v>27</v>
      </c>
      <c r="H2516" t="s">
        <v>28</v>
      </c>
      <c r="I2516" s="3">
        <v>901</v>
      </c>
      <c r="J2516" s="3">
        <v>901</v>
      </c>
      <c r="K2516" s="3">
        <v>392</v>
      </c>
      <c r="L2516" t="s">
        <v>9</v>
      </c>
      <c r="M2516">
        <v>11</v>
      </c>
      <c r="N2516" t="s">
        <v>10</v>
      </c>
      <c r="O2516" t="s">
        <v>11</v>
      </c>
      <c r="P2516" t="s">
        <v>12</v>
      </c>
      <c r="Q2516" t="s">
        <v>13</v>
      </c>
      <c r="R2516" t="s">
        <v>13</v>
      </c>
      <c r="S2516" t="s">
        <v>144</v>
      </c>
      <c r="T2516" s="2">
        <f>MASTER[[#This Row],[CANTIDAD]]*MASTER[[#This Row],[PRECIO DE VENTA]]</f>
        <v>901</v>
      </c>
      <c r="U2516" s="2">
        <f>MASTER[[#This Row],[CANTIDAD]]*MASTER[[#This Row],[COSTO UNITARIO]]</f>
        <v>392</v>
      </c>
      <c r="V2516" s="2">
        <f>MASTER[[#This Row],[MONTO VENDIDO]]-MASTER[[#This Row],[COSTO DE VENTA]]</f>
        <v>509</v>
      </c>
    </row>
    <row r="2517" spans="1:22" x14ac:dyDescent="0.3">
      <c r="A2517">
        <v>42341</v>
      </c>
      <c r="B2517">
        <v>1</v>
      </c>
      <c r="C2517" t="s">
        <v>109</v>
      </c>
      <c r="D2517" t="s">
        <v>110</v>
      </c>
      <c r="E2517" s="1">
        <v>44133</v>
      </c>
      <c r="F2517">
        <v>1</v>
      </c>
      <c r="G2517" t="s">
        <v>29</v>
      </c>
      <c r="H2517" t="s">
        <v>30</v>
      </c>
      <c r="I2517" s="3">
        <v>1064</v>
      </c>
      <c r="J2517" s="3">
        <v>1064</v>
      </c>
      <c r="K2517" s="3">
        <v>387</v>
      </c>
      <c r="L2517" t="s">
        <v>98</v>
      </c>
      <c r="M2517">
        <v>10</v>
      </c>
      <c r="N2517" t="s">
        <v>83</v>
      </c>
      <c r="O2517" t="s">
        <v>81</v>
      </c>
      <c r="P2517" t="s">
        <v>12</v>
      </c>
      <c r="Q2517" t="s">
        <v>13</v>
      </c>
      <c r="R2517" t="s">
        <v>13</v>
      </c>
      <c r="S2517" t="s">
        <v>144</v>
      </c>
      <c r="T2517" s="2">
        <f>MASTER[[#This Row],[CANTIDAD]]*MASTER[[#This Row],[PRECIO DE VENTA]]</f>
        <v>1064</v>
      </c>
      <c r="U2517" s="2">
        <f>MASTER[[#This Row],[CANTIDAD]]*MASTER[[#This Row],[COSTO UNITARIO]]</f>
        <v>387</v>
      </c>
      <c r="V2517" s="2">
        <f>MASTER[[#This Row],[MONTO VENDIDO]]-MASTER[[#This Row],[COSTO DE VENTA]]</f>
        <v>677</v>
      </c>
    </row>
    <row r="2518" spans="1:22" x14ac:dyDescent="0.3">
      <c r="A2518">
        <v>42358</v>
      </c>
      <c r="B2518">
        <v>1</v>
      </c>
      <c r="C2518" t="s">
        <v>118</v>
      </c>
      <c r="D2518" t="s">
        <v>119</v>
      </c>
      <c r="E2518" s="1">
        <v>44133</v>
      </c>
      <c r="F2518">
        <v>1</v>
      </c>
      <c r="G2518" t="s">
        <v>27</v>
      </c>
      <c r="H2518" t="s">
        <v>28</v>
      </c>
      <c r="I2518" s="3">
        <v>900</v>
      </c>
      <c r="J2518" s="3">
        <v>855</v>
      </c>
      <c r="K2518" s="3">
        <v>424</v>
      </c>
      <c r="L2518" t="s">
        <v>120</v>
      </c>
      <c r="M2518">
        <v>8</v>
      </c>
      <c r="N2518" t="s">
        <v>80</v>
      </c>
      <c r="O2518" t="s">
        <v>81</v>
      </c>
      <c r="P2518" t="s">
        <v>12</v>
      </c>
      <c r="Q2518" t="s">
        <v>13</v>
      </c>
      <c r="R2518" t="s">
        <v>13</v>
      </c>
      <c r="S2518" t="s">
        <v>144</v>
      </c>
      <c r="T2518" s="2">
        <f>MASTER[[#This Row],[CANTIDAD]]*MASTER[[#This Row],[PRECIO DE VENTA]]</f>
        <v>855</v>
      </c>
      <c r="U2518" s="2">
        <f>MASTER[[#This Row],[CANTIDAD]]*MASTER[[#This Row],[COSTO UNITARIO]]</f>
        <v>424</v>
      </c>
      <c r="V2518" s="2">
        <f>MASTER[[#This Row],[MONTO VENDIDO]]-MASTER[[#This Row],[COSTO DE VENTA]]</f>
        <v>431</v>
      </c>
    </row>
    <row r="2519" spans="1:22" x14ac:dyDescent="0.3">
      <c r="A2519">
        <v>42377</v>
      </c>
      <c r="B2519">
        <v>1</v>
      </c>
      <c r="C2519" t="s">
        <v>114</v>
      </c>
      <c r="D2519" t="s">
        <v>115</v>
      </c>
      <c r="E2519" s="1">
        <v>44133</v>
      </c>
      <c r="F2519">
        <v>1</v>
      </c>
      <c r="G2519" t="s">
        <v>29</v>
      </c>
      <c r="H2519" t="s">
        <v>30</v>
      </c>
      <c r="I2519" s="3">
        <v>2030</v>
      </c>
      <c r="J2519" s="3">
        <v>2030</v>
      </c>
      <c r="K2519" s="3">
        <v>394</v>
      </c>
      <c r="L2519" t="s">
        <v>113</v>
      </c>
      <c r="M2519">
        <v>9</v>
      </c>
      <c r="N2519" t="s">
        <v>76</v>
      </c>
      <c r="O2519" t="s">
        <v>70</v>
      </c>
      <c r="P2519" t="s">
        <v>12</v>
      </c>
      <c r="Q2519" t="s">
        <v>13</v>
      </c>
      <c r="R2519" t="s">
        <v>13</v>
      </c>
      <c r="S2519" t="s">
        <v>144</v>
      </c>
      <c r="T2519" s="2">
        <f>MASTER[[#This Row],[CANTIDAD]]*MASTER[[#This Row],[PRECIO DE VENTA]]</f>
        <v>2030</v>
      </c>
      <c r="U2519" s="2">
        <f>MASTER[[#This Row],[CANTIDAD]]*MASTER[[#This Row],[COSTO UNITARIO]]</f>
        <v>394</v>
      </c>
      <c r="V2519" s="2">
        <f>MASTER[[#This Row],[MONTO VENDIDO]]-MASTER[[#This Row],[COSTO DE VENTA]]</f>
        <v>1636</v>
      </c>
    </row>
    <row r="2520" spans="1:22" x14ac:dyDescent="0.3">
      <c r="A2520">
        <v>42386</v>
      </c>
      <c r="B2520">
        <v>1</v>
      </c>
      <c r="C2520" t="s">
        <v>114</v>
      </c>
      <c r="D2520" t="s">
        <v>115</v>
      </c>
      <c r="E2520" s="1">
        <v>44133</v>
      </c>
      <c r="F2520">
        <v>2</v>
      </c>
      <c r="G2520" t="s">
        <v>41</v>
      </c>
      <c r="H2520" t="s">
        <v>42</v>
      </c>
      <c r="I2520" s="3">
        <v>2030</v>
      </c>
      <c r="J2520" s="3">
        <v>2030</v>
      </c>
      <c r="K2520" s="3">
        <v>394</v>
      </c>
      <c r="L2520" t="s">
        <v>113</v>
      </c>
      <c r="M2520">
        <v>18</v>
      </c>
      <c r="N2520" t="s">
        <v>79</v>
      </c>
      <c r="O2520" t="s">
        <v>70</v>
      </c>
      <c r="P2520" t="s">
        <v>15</v>
      </c>
      <c r="Q2520" t="s">
        <v>16</v>
      </c>
      <c r="R2520" t="s">
        <v>16</v>
      </c>
      <c r="S2520" t="s">
        <v>144</v>
      </c>
      <c r="T2520" s="2">
        <f>MASTER[[#This Row],[CANTIDAD]]*MASTER[[#This Row],[PRECIO DE VENTA]]</f>
        <v>4060</v>
      </c>
      <c r="U2520" s="2">
        <f>MASTER[[#This Row],[CANTIDAD]]*MASTER[[#This Row],[COSTO UNITARIO]]</f>
        <v>788</v>
      </c>
      <c r="V2520" s="2">
        <f>MASTER[[#This Row],[MONTO VENDIDO]]-MASTER[[#This Row],[COSTO DE VENTA]]</f>
        <v>3272</v>
      </c>
    </row>
    <row r="2521" spans="1:22" x14ac:dyDescent="0.3">
      <c r="A2521">
        <v>42392</v>
      </c>
      <c r="B2521">
        <v>1</v>
      </c>
      <c r="C2521" t="s">
        <v>99</v>
      </c>
      <c r="D2521" t="s">
        <v>100</v>
      </c>
      <c r="E2521" s="1">
        <v>44133</v>
      </c>
      <c r="F2521">
        <v>1</v>
      </c>
      <c r="G2521" t="s">
        <v>57</v>
      </c>
      <c r="H2521" t="s">
        <v>58</v>
      </c>
      <c r="I2521" s="3">
        <v>1328</v>
      </c>
      <c r="J2521" s="3">
        <v>1328</v>
      </c>
      <c r="K2521" s="3">
        <v>386</v>
      </c>
      <c r="L2521" t="s">
        <v>98</v>
      </c>
      <c r="M2521">
        <v>11</v>
      </c>
      <c r="N2521" t="s">
        <v>10</v>
      </c>
      <c r="O2521" t="s">
        <v>11</v>
      </c>
      <c r="P2521" t="s">
        <v>12</v>
      </c>
      <c r="Q2521" t="s">
        <v>13</v>
      </c>
      <c r="R2521" t="s">
        <v>13</v>
      </c>
      <c r="S2521" t="s">
        <v>144</v>
      </c>
      <c r="T2521" s="2">
        <f>MASTER[[#This Row],[CANTIDAD]]*MASTER[[#This Row],[PRECIO DE VENTA]]</f>
        <v>1328</v>
      </c>
      <c r="U2521" s="2">
        <f>MASTER[[#This Row],[CANTIDAD]]*MASTER[[#This Row],[COSTO UNITARIO]]</f>
        <v>386</v>
      </c>
      <c r="V2521" s="2">
        <f>MASTER[[#This Row],[MONTO VENDIDO]]-MASTER[[#This Row],[COSTO DE VENTA]]</f>
        <v>942</v>
      </c>
    </row>
    <row r="2522" spans="1:22" x14ac:dyDescent="0.3">
      <c r="A2522">
        <v>42416</v>
      </c>
      <c r="B2522">
        <v>1</v>
      </c>
      <c r="C2522" t="s">
        <v>121</v>
      </c>
      <c r="D2522" t="s">
        <v>122</v>
      </c>
      <c r="E2522" s="1">
        <v>44133</v>
      </c>
      <c r="F2522">
        <v>1</v>
      </c>
      <c r="G2522" t="s">
        <v>39</v>
      </c>
      <c r="H2522" t="s">
        <v>40</v>
      </c>
      <c r="I2522" s="3">
        <v>1069</v>
      </c>
      <c r="J2522" s="3">
        <v>1069</v>
      </c>
      <c r="K2522" s="3">
        <v>460</v>
      </c>
      <c r="L2522" t="s">
        <v>120</v>
      </c>
      <c r="M2522">
        <v>10</v>
      </c>
      <c r="N2522" t="s">
        <v>83</v>
      </c>
      <c r="O2522" t="s">
        <v>81</v>
      </c>
      <c r="P2522" t="s">
        <v>12</v>
      </c>
      <c r="Q2522" t="s">
        <v>13</v>
      </c>
      <c r="R2522" t="s">
        <v>13</v>
      </c>
      <c r="S2522" t="s">
        <v>144</v>
      </c>
      <c r="T2522" s="2">
        <f>MASTER[[#This Row],[CANTIDAD]]*MASTER[[#This Row],[PRECIO DE VENTA]]</f>
        <v>1069</v>
      </c>
      <c r="U2522" s="2">
        <f>MASTER[[#This Row],[CANTIDAD]]*MASTER[[#This Row],[COSTO UNITARIO]]</f>
        <v>460</v>
      </c>
      <c r="V2522" s="2">
        <f>MASTER[[#This Row],[MONTO VENDIDO]]-MASTER[[#This Row],[COSTO DE VENTA]]</f>
        <v>609</v>
      </c>
    </row>
    <row r="2523" spans="1:22" x14ac:dyDescent="0.3">
      <c r="A2523">
        <v>42419</v>
      </c>
      <c r="B2523">
        <v>1</v>
      </c>
      <c r="C2523" t="s">
        <v>118</v>
      </c>
      <c r="D2523" t="s">
        <v>119</v>
      </c>
      <c r="E2523" s="1">
        <v>44133</v>
      </c>
      <c r="F2523">
        <v>1</v>
      </c>
      <c r="G2523" t="s">
        <v>73</v>
      </c>
      <c r="H2523" t="s">
        <v>74</v>
      </c>
      <c r="I2523" s="3">
        <v>1026</v>
      </c>
      <c r="J2523" s="3">
        <v>943</v>
      </c>
      <c r="K2523" s="3">
        <v>424</v>
      </c>
      <c r="L2523" t="s">
        <v>120</v>
      </c>
      <c r="M2523">
        <v>6</v>
      </c>
      <c r="N2523" t="s">
        <v>75</v>
      </c>
      <c r="O2523" t="s">
        <v>70</v>
      </c>
      <c r="P2523" t="s">
        <v>12</v>
      </c>
      <c r="Q2523" t="s">
        <v>13</v>
      </c>
      <c r="R2523" t="s">
        <v>13</v>
      </c>
      <c r="S2523" t="s">
        <v>144</v>
      </c>
      <c r="T2523" s="2">
        <f>MASTER[[#This Row],[CANTIDAD]]*MASTER[[#This Row],[PRECIO DE VENTA]]</f>
        <v>943</v>
      </c>
      <c r="U2523" s="2">
        <f>MASTER[[#This Row],[CANTIDAD]]*MASTER[[#This Row],[COSTO UNITARIO]]</f>
        <v>424</v>
      </c>
      <c r="V2523" s="2">
        <f>MASTER[[#This Row],[MONTO VENDIDO]]-MASTER[[#This Row],[COSTO DE VENTA]]</f>
        <v>519</v>
      </c>
    </row>
    <row r="2524" spans="1:22" x14ac:dyDescent="0.3">
      <c r="A2524">
        <v>42425</v>
      </c>
      <c r="B2524">
        <v>1</v>
      </c>
      <c r="C2524" t="s">
        <v>111</v>
      </c>
      <c r="D2524" t="s">
        <v>112</v>
      </c>
      <c r="E2524" s="1">
        <v>44134</v>
      </c>
      <c r="F2524">
        <v>1</v>
      </c>
      <c r="G2524" t="s">
        <v>63</v>
      </c>
      <c r="H2524" t="s">
        <v>64</v>
      </c>
      <c r="I2524" s="3">
        <v>1524</v>
      </c>
      <c r="J2524" s="3">
        <v>1524</v>
      </c>
      <c r="K2524" s="3">
        <v>434</v>
      </c>
      <c r="L2524" t="s">
        <v>113</v>
      </c>
      <c r="M2524">
        <v>16</v>
      </c>
      <c r="N2524" t="s">
        <v>17</v>
      </c>
      <c r="O2524" t="s">
        <v>11</v>
      </c>
      <c r="P2524" t="s">
        <v>18</v>
      </c>
      <c r="Q2524" t="s">
        <v>19</v>
      </c>
      <c r="R2524" t="s">
        <v>138</v>
      </c>
      <c r="S2524" t="s">
        <v>144</v>
      </c>
      <c r="T2524" s="2">
        <f>MASTER[[#This Row],[CANTIDAD]]*MASTER[[#This Row],[PRECIO DE VENTA]]</f>
        <v>1524</v>
      </c>
      <c r="U2524" s="2">
        <f>MASTER[[#This Row],[CANTIDAD]]*MASTER[[#This Row],[COSTO UNITARIO]]</f>
        <v>434</v>
      </c>
      <c r="V2524" s="2">
        <f>MASTER[[#This Row],[MONTO VENDIDO]]-MASTER[[#This Row],[COSTO DE VENTA]]</f>
        <v>1090</v>
      </c>
    </row>
    <row r="2525" spans="1:22" x14ac:dyDescent="0.3">
      <c r="A2525">
        <v>42456</v>
      </c>
      <c r="B2525">
        <v>1</v>
      </c>
      <c r="C2525" t="s">
        <v>116</v>
      </c>
      <c r="D2525" t="s">
        <v>117</v>
      </c>
      <c r="E2525" s="1">
        <v>44134</v>
      </c>
      <c r="F2525">
        <v>1</v>
      </c>
      <c r="G2525" t="s">
        <v>39</v>
      </c>
      <c r="H2525" t="s">
        <v>40</v>
      </c>
      <c r="I2525" s="3">
        <v>1529</v>
      </c>
      <c r="J2525" s="3">
        <v>1529</v>
      </c>
      <c r="K2525" s="3">
        <v>388</v>
      </c>
      <c r="L2525" t="s">
        <v>113</v>
      </c>
      <c r="M2525">
        <v>16</v>
      </c>
      <c r="N2525" t="s">
        <v>17</v>
      </c>
      <c r="O2525" t="s">
        <v>11</v>
      </c>
      <c r="P2525" t="s">
        <v>18</v>
      </c>
      <c r="Q2525" t="s">
        <v>19</v>
      </c>
      <c r="R2525" t="s">
        <v>138</v>
      </c>
      <c r="S2525" t="s">
        <v>144</v>
      </c>
      <c r="T2525" s="2">
        <f>MASTER[[#This Row],[CANTIDAD]]*MASTER[[#This Row],[PRECIO DE VENTA]]</f>
        <v>1529</v>
      </c>
      <c r="U2525" s="2">
        <f>MASTER[[#This Row],[CANTIDAD]]*MASTER[[#This Row],[COSTO UNITARIO]]</f>
        <v>388</v>
      </c>
      <c r="V2525" s="2">
        <f>MASTER[[#This Row],[MONTO VENDIDO]]-MASTER[[#This Row],[COSTO DE VENTA]]</f>
        <v>1141</v>
      </c>
    </row>
    <row r="2526" spans="1:22" x14ac:dyDescent="0.3">
      <c r="A2526">
        <v>42467</v>
      </c>
      <c r="B2526">
        <v>2</v>
      </c>
      <c r="C2526" t="s">
        <v>103</v>
      </c>
      <c r="D2526" t="s">
        <v>104</v>
      </c>
      <c r="E2526" s="1">
        <v>44134</v>
      </c>
      <c r="F2526">
        <v>1</v>
      </c>
      <c r="G2526" t="s">
        <v>57</v>
      </c>
      <c r="H2526" t="s">
        <v>58</v>
      </c>
      <c r="I2526" s="3">
        <v>1448</v>
      </c>
      <c r="J2526" s="3">
        <v>1448</v>
      </c>
      <c r="K2526" s="3">
        <v>421</v>
      </c>
      <c r="L2526" t="s">
        <v>98</v>
      </c>
      <c r="M2526">
        <v>11</v>
      </c>
      <c r="N2526" t="s">
        <v>10</v>
      </c>
      <c r="O2526" t="s">
        <v>11</v>
      </c>
      <c r="P2526" t="s">
        <v>12</v>
      </c>
      <c r="Q2526" t="s">
        <v>13</v>
      </c>
      <c r="R2526" t="s">
        <v>13</v>
      </c>
      <c r="S2526" t="s">
        <v>144</v>
      </c>
      <c r="T2526" s="2">
        <f>MASTER[[#This Row],[CANTIDAD]]*MASTER[[#This Row],[PRECIO DE VENTA]]</f>
        <v>1448</v>
      </c>
      <c r="U2526" s="2">
        <f>MASTER[[#This Row],[CANTIDAD]]*MASTER[[#This Row],[COSTO UNITARIO]]</f>
        <v>421</v>
      </c>
      <c r="V2526" s="2">
        <f>MASTER[[#This Row],[MONTO VENDIDO]]-MASTER[[#This Row],[COSTO DE VENTA]]</f>
        <v>1027</v>
      </c>
    </row>
    <row r="2527" spans="1:22" x14ac:dyDescent="0.3">
      <c r="A2527">
        <v>42467</v>
      </c>
      <c r="B2527">
        <v>1</v>
      </c>
      <c r="C2527" t="s">
        <v>116</v>
      </c>
      <c r="D2527" t="s">
        <v>117</v>
      </c>
      <c r="E2527" s="1">
        <v>44134</v>
      </c>
      <c r="F2527">
        <v>1</v>
      </c>
      <c r="G2527" t="s">
        <v>41</v>
      </c>
      <c r="H2527" t="s">
        <v>42</v>
      </c>
      <c r="I2527" s="3">
        <v>1529</v>
      </c>
      <c r="J2527" s="3">
        <v>1529</v>
      </c>
      <c r="K2527" s="3">
        <v>388</v>
      </c>
      <c r="L2527" t="s">
        <v>113</v>
      </c>
      <c r="M2527">
        <v>11</v>
      </c>
      <c r="N2527" t="s">
        <v>10</v>
      </c>
      <c r="O2527" t="s">
        <v>11</v>
      </c>
      <c r="P2527" t="s">
        <v>12</v>
      </c>
      <c r="Q2527" t="s">
        <v>13</v>
      </c>
      <c r="R2527" t="s">
        <v>13</v>
      </c>
      <c r="S2527" t="s">
        <v>144</v>
      </c>
      <c r="T2527" s="2">
        <f>MASTER[[#This Row],[CANTIDAD]]*MASTER[[#This Row],[PRECIO DE VENTA]]</f>
        <v>1529</v>
      </c>
      <c r="U2527" s="2">
        <f>MASTER[[#This Row],[CANTIDAD]]*MASTER[[#This Row],[COSTO UNITARIO]]</f>
        <v>388</v>
      </c>
      <c r="V2527" s="2">
        <f>MASTER[[#This Row],[MONTO VENDIDO]]-MASTER[[#This Row],[COSTO DE VENTA]]</f>
        <v>1141</v>
      </c>
    </row>
    <row r="2528" spans="1:22" x14ac:dyDescent="0.3">
      <c r="A2528">
        <v>42473</v>
      </c>
      <c r="B2528">
        <v>1</v>
      </c>
      <c r="C2528" t="s">
        <v>96</v>
      </c>
      <c r="D2528" t="s">
        <v>97</v>
      </c>
      <c r="E2528" s="1">
        <v>44134</v>
      </c>
      <c r="F2528">
        <v>1</v>
      </c>
      <c r="G2528" t="s">
        <v>7</v>
      </c>
      <c r="H2528" t="s">
        <v>8</v>
      </c>
      <c r="I2528" s="3">
        <v>1361</v>
      </c>
      <c r="J2528" s="3">
        <v>1361</v>
      </c>
      <c r="K2528" s="3">
        <v>397</v>
      </c>
      <c r="L2528" t="s">
        <v>98</v>
      </c>
      <c r="M2528">
        <v>1</v>
      </c>
      <c r="N2528" t="s">
        <v>77</v>
      </c>
      <c r="O2528" t="s">
        <v>70</v>
      </c>
      <c r="P2528" t="s">
        <v>71</v>
      </c>
      <c r="Q2528" t="s">
        <v>72</v>
      </c>
      <c r="R2528" t="s">
        <v>139</v>
      </c>
      <c r="S2528" t="s">
        <v>144</v>
      </c>
      <c r="T2528" s="2">
        <f>MASTER[[#This Row],[CANTIDAD]]*MASTER[[#This Row],[PRECIO DE VENTA]]</f>
        <v>1361</v>
      </c>
      <c r="U2528" s="2">
        <f>MASTER[[#This Row],[CANTIDAD]]*MASTER[[#This Row],[COSTO UNITARIO]]</f>
        <v>397</v>
      </c>
      <c r="V2528" s="2">
        <f>MASTER[[#This Row],[MONTO VENDIDO]]-MASTER[[#This Row],[COSTO DE VENTA]]</f>
        <v>964</v>
      </c>
    </row>
    <row r="2529" spans="1:22" x14ac:dyDescent="0.3">
      <c r="A2529">
        <v>42507</v>
      </c>
      <c r="B2529">
        <v>1</v>
      </c>
      <c r="C2529" t="s">
        <v>116</v>
      </c>
      <c r="D2529" t="s">
        <v>117</v>
      </c>
      <c r="E2529" s="1">
        <v>44134</v>
      </c>
      <c r="F2529">
        <v>3</v>
      </c>
      <c r="G2529" t="s">
        <v>33</v>
      </c>
      <c r="H2529" t="s">
        <v>34</v>
      </c>
      <c r="I2529" s="3">
        <v>1738</v>
      </c>
      <c r="J2529" s="3">
        <v>1738</v>
      </c>
      <c r="K2529" s="3">
        <v>388</v>
      </c>
      <c r="L2529" t="s">
        <v>113</v>
      </c>
      <c r="M2529">
        <v>5</v>
      </c>
      <c r="N2529" t="s">
        <v>85</v>
      </c>
      <c r="O2529" t="s">
        <v>81</v>
      </c>
      <c r="P2529" t="s">
        <v>12</v>
      </c>
      <c r="Q2529" t="s">
        <v>13</v>
      </c>
      <c r="R2529" t="s">
        <v>13</v>
      </c>
      <c r="S2529" t="s">
        <v>144</v>
      </c>
      <c r="T2529" s="2">
        <f>MASTER[[#This Row],[CANTIDAD]]*MASTER[[#This Row],[PRECIO DE VENTA]]</f>
        <v>5214</v>
      </c>
      <c r="U2529" s="2">
        <f>MASTER[[#This Row],[CANTIDAD]]*MASTER[[#This Row],[COSTO UNITARIO]]</f>
        <v>1164</v>
      </c>
      <c r="V2529" s="2">
        <f>MASTER[[#This Row],[MONTO VENDIDO]]-MASTER[[#This Row],[COSTO DE VENTA]]</f>
        <v>4050</v>
      </c>
    </row>
    <row r="2530" spans="1:22" x14ac:dyDescent="0.3">
      <c r="A2530">
        <v>42515</v>
      </c>
      <c r="B2530">
        <v>1</v>
      </c>
      <c r="C2530" t="s">
        <v>121</v>
      </c>
      <c r="D2530" t="s">
        <v>122</v>
      </c>
      <c r="E2530" s="1">
        <v>44134</v>
      </c>
      <c r="F2530">
        <v>1</v>
      </c>
      <c r="G2530" t="s">
        <v>65</v>
      </c>
      <c r="H2530" t="s">
        <v>66</v>
      </c>
      <c r="I2530" s="3">
        <v>1069</v>
      </c>
      <c r="J2530" s="3">
        <v>1069</v>
      </c>
      <c r="K2530" s="3">
        <v>460</v>
      </c>
      <c r="L2530" t="s">
        <v>120</v>
      </c>
      <c r="M2530">
        <v>19</v>
      </c>
      <c r="N2530" t="s">
        <v>89</v>
      </c>
      <c r="O2530" t="s">
        <v>81</v>
      </c>
      <c r="P2530" t="s">
        <v>15</v>
      </c>
      <c r="Q2530" t="s">
        <v>16</v>
      </c>
      <c r="R2530" t="s">
        <v>16</v>
      </c>
      <c r="S2530" t="s">
        <v>144</v>
      </c>
      <c r="T2530" s="2">
        <f>MASTER[[#This Row],[CANTIDAD]]*MASTER[[#This Row],[PRECIO DE VENTA]]</f>
        <v>1069</v>
      </c>
      <c r="U2530" s="2">
        <f>MASTER[[#This Row],[CANTIDAD]]*MASTER[[#This Row],[COSTO UNITARIO]]</f>
        <v>460</v>
      </c>
      <c r="V2530" s="2">
        <f>MASTER[[#This Row],[MONTO VENDIDO]]-MASTER[[#This Row],[COSTO DE VENTA]]</f>
        <v>609</v>
      </c>
    </row>
    <row r="2531" spans="1:22" x14ac:dyDescent="0.3">
      <c r="A2531">
        <v>42525</v>
      </c>
      <c r="B2531">
        <v>1</v>
      </c>
      <c r="C2531" t="s">
        <v>109</v>
      </c>
      <c r="D2531" t="s">
        <v>110</v>
      </c>
      <c r="E2531" s="1">
        <v>44135</v>
      </c>
      <c r="F2531">
        <v>1</v>
      </c>
      <c r="G2531" t="s">
        <v>61</v>
      </c>
      <c r="H2531" t="s">
        <v>62</v>
      </c>
      <c r="I2531" s="3">
        <v>1064</v>
      </c>
      <c r="J2531" s="3">
        <v>1064</v>
      </c>
      <c r="K2531" s="3">
        <v>387</v>
      </c>
      <c r="L2531" t="s">
        <v>98</v>
      </c>
      <c r="M2531">
        <v>4</v>
      </c>
      <c r="N2531" t="s">
        <v>82</v>
      </c>
      <c r="O2531" t="s">
        <v>81</v>
      </c>
      <c r="P2531" t="s">
        <v>71</v>
      </c>
      <c r="Q2531" t="s">
        <v>72</v>
      </c>
      <c r="R2531" t="s">
        <v>139</v>
      </c>
      <c r="S2531" t="s">
        <v>144</v>
      </c>
      <c r="T2531" s="2">
        <f>MASTER[[#This Row],[CANTIDAD]]*MASTER[[#This Row],[PRECIO DE VENTA]]</f>
        <v>1064</v>
      </c>
      <c r="U2531" s="2">
        <f>MASTER[[#This Row],[CANTIDAD]]*MASTER[[#This Row],[COSTO UNITARIO]]</f>
        <v>387</v>
      </c>
      <c r="V2531" s="2">
        <f>MASTER[[#This Row],[MONTO VENDIDO]]-MASTER[[#This Row],[COSTO DE VENTA]]</f>
        <v>677</v>
      </c>
    </row>
    <row r="2532" spans="1:22" x14ac:dyDescent="0.3">
      <c r="A2532">
        <v>42532</v>
      </c>
      <c r="B2532">
        <v>1</v>
      </c>
      <c r="C2532" t="s">
        <v>111</v>
      </c>
      <c r="D2532" t="s">
        <v>112</v>
      </c>
      <c r="E2532" s="1">
        <v>44135</v>
      </c>
      <c r="F2532">
        <v>1</v>
      </c>
      <c r="G2532" t="s">
        <v>39</v>
      </c>
      <c r="H2532" t="s">
        <v>40</v>
      </c>
      <c r="I2532" s="3">
        <v>1524</v>
      </c>
      <c r="J2532" s="3">
        <v>1524</v>
      </c>
      <c r="K2532" s="3">
        <v>434</v>
      </c>
      <c r="L2532" t="s">
        <v>113</v>
      </c>
      <c r="M2532">
        <v>17</v>
      </c>
      <c r="N2532" t="s">
        <v>14</v>
      </c>
      <c r="O2532" t="s">
        <v>11</v>
      </c>
      <c r="P2532" t="s">
        <v>15</v>
      </c>
      <c r="Q2532" t="s">
        <v>16</v>
      </c>
      <c r="R2532" t="s">
        <v>16</v>
      </c>
      <c r="S2532" t="s">
        <v>144</v>
      </c>
      <c r="T2532" s="2">
        <f>MASTER[[#This Row],[CANTIDAD]]*MASTER[[#This Row],[PRECIO DE VENTA]]</f>
        <v>1524</v>
      </c>
      <c r="U2532" s="2">
        <f>MASTER[[#This Row],[CANTIDAD]]*MASTER[[#This Row],[COSTO UNITARIO]]</f>
        <v>434</v>
      </c>
      <c r="V2532" s="2">
        <f>MASTER[[#This Row],[MONTO VENDIDO]]-MASTER[[#This Row],[COSTO DE VENTA]]</f>
        <v>1090</v>
      </c>
    </row>
    <row r="2533" spans="1:22" x14ac:dyDescent="0.3">
      <c r="A2533">
        <v>42533</v>
      </c>
      <c r="B2533">
        <v>1</v>
      </c>
      <c r="C2533" t="s">
        <v>99</v>
      </c>
      <c r="D2533" t="s">
        <v>100</v>
      </c>
      <c r="E2533" s="1">
        <v>44135</v>
      </c>
      <c r="F2533">
        <v>1</v>
      </c>
      <c r="G2533" t="s">
        <v>51</v>
      </c>
      <c r="H2533" t="s">
        <v>52</v>
      </c>
      <c r="I2533" s="3">
        <v>1459</v>
      </c>
      <c r="J2533" s="3">
        <v>1459</v>
      </c>
      <c r="K2533" s="3">
        <v>386</v>
      </c>
      <c r="L2533" t="s">
        <v>98</v>
      </c>
      <c r="M2533">
        <v>2</v>
      </c>
      <c r="N2533" t="s">
        <v>86</v>
      </c>
      <c r="O2533" t="s">
        <v>81</v>
      </c>
      <c r="P2533" t="s">
        <v>71</v>
      </c>
      <c r="Q2533" t="s">
        <v>72</v>
      </c>
      <c r="R2533" t="s">
        <v>139</v>
      </c>
      <c r="S2533" t="s">
        <v>144</v>
      </c>
      <c r="T2533" s="2">
        <f>MASTER[[#This Row],[CANTIDAD]]*MASTER[[#This Row],[PRECIO DE VENTA]]</f>
        <v>1459</v>
      </c>
      <c r="U2533" s="2">
        <f>MASTER[[#This Row],[CANTIDAD]]*MASTER[[#This Row],[COSTO UNITARIO]]</f>
        <v>386</v>
      </c>
      <c r="V2533" s="2">
        <f>MASTER[[#This Row],[MONTO VENDIDO]]-MASTER[[#This Row],[COSTO DE VENTA]]</f>
        <v>1073</v>
      </c>
    </row>
    <row r="2534" spans="1:22" x14ac:dyDescent="0.3">
      <c r="A2534">
        <v>42591</v>
      </c>
      <c r="B2534">
        <v>1</v>
      </c>
      <c r="C2534" t="s">
        <v>103</v>
      </c>
      <c r="D2534" t="s">
        <v>104</v>
      </c>
      <c r="E2534" s="1">
        <v>44135</v>
      </c>
      <c r="F2534">
        <v>1</v>
      </c>
      <c r="G2534" t="s">
        <v>29</v>
      </c>
      <c r="H2534" t="s">
        <v>30</v>
      </c>
      <c r="I2534" s="3">
        <v>1591</v>
      </c>
      <c r="J2534" s="3">
        <v>1591</v>
      </c>
      <c r="K2534" s="3">
        <v>421</v>
      </c>
      <c r="L2534" t="s">
        <v>98</v>
      </c>
      <c r="M2534">
        <v>19</v>
      </c>
      <c r="N2534" t="s">
        <v>89</v>
      </c>
      <c r="O2534" t="s">
        <v>81</v>
      </c>
      <c r="P2534" t="s">
        <v>15</v>
      </c>
      <c r="Q2534" t="s">
        <v>16</v>
      </c>
      <c r="R2534" t="s">
        <v>16</v>
      </c>
      <c r="S2534" t="s">
        <v>144</v>
      </c>
      <c r="T2534" s="2">
        <f>MASTER[[#This Row],[CANTIDAD]]*MASTER[[#This Row],[PRECIO DE VENTA]]</f>
        <v>1591</v>
      </c>
      <c r="U2534" s="2">
        <f>MASTER[[#This Row],[CANTIDAD]]*MASTER[[#This Row],[COSTO UNITARIO]]</f>
        <v>421</v>
      </c>
      <c r="V2534" s="2">
        <f>MASTER[[#This Row],[MONTO VENDIDO]]-MASTER[[#This Row],[COSTO DE VENTA]]</f>
        <v>1170</v>
      </c>
    </row>
    <row r="2535" spans="1:22" x14ac:dyDescent="0.3">
      <c r="A2535">
        <v>42594</v>
      </c>
      <c r="B2535">
        <v>1</v>
      </c>
      <c r="C2535" t="s">
        <v>109</v>
      </c>
      <c r="D2535" t="s">
        <v>110</v>
      </c>
      <c r="E2535" s="1">
        <v>44136</v>
      </c>
      <c r="F2535">
        <v>1</v>
      </c>
      <c r="G2535" t="s">
        <v>65</v>
      </c>
      <c r="H2535" t="s">
        <v>66</v>
      </c>
      <c r="I2535" s="3">
        <v>1064</v>
      </c>
      <c r="J2535" s="3">
        <v>1064</v>
      </c>
      <c r="K2535" s="3">
        <v>387</v>
      </c>
      <c r="L2535" t="s">
        <v>98</v>
      </c>
      <c r="M2535">
        <v>8</v>
      </c>
      <c r="N2535" t="s">
        <v>80</v>
      </c>
      <c r="O2535" t="s">
        <v>81</v>
      </c>
      <c r="P2535" t="s">
        <v>12</v>
      </c>
      <c r="Q2535" t="s">
        <v>13</v>
      </c>
      <c r="R2535" t="s">
        <v>13</v>
      </c>
      <c r="S2535" t="s">
        <v>144</v>
      </c>
      <c r="T2535" s="2">
        <f>MASTER[[#This Row],[CANTIDAD]]*MASTER[[#This Row],[PRECIO DE VENTA]]</f>
        <v>1064</v>
      </c>
      <c r="U2535" s="2">
        <f>MASTER[[#This Row],[CANTIDAD]]*MASTER[[#This Row],[COSTO UNITARIO]]</f>
        <v>387</v>
      </c>
      <c r="V2535" s="2">
        <f>MASTER[[#This Row],[MONTO VENDIDO]]-MASTER[[#This Row],[COSTO DE VENTA]]</f>
        <v>677</v>
      </c>
    </row>
    <row r="2536" spans="1:22" x14ac:dyDescent="0.3">
      <c r="A2536">
        <v>42634</v>
      </c>
      <c r="B2536">
        <v>1</v>
      </c>
      <c r="C2536" t="s">
        <v>103</v>
      </c>
      <c r="D2536" t="s">
        <v>104</v>
      </c>
      <c r="E2536" s="1">
        <v>44136</v>
      </c>
      <c r="F2536">
        <v>1</v>
      </c>
      <c r="G2536" t="s">
        <v>33</v>
      </c>
      <c r="H2536" t="s">
        <v>34</v>
      </c>
      <c r="I2536" s="3">
        <v>1830</v>
      </c>
      <c r="J2536" s="3">
        <v>1830</v>
      </c>
      <c r="K2536" s="3">
        <v>421</v>
      </c>
      <c r="L2536" t="s">
        <v>98</v>
      </c>
      <c r="M2536">
        <v>3</v>
      </c>
      <c r="N2536" t="s">
        <v>69</v>
      </c>
      <c r="O2536" t="s">
        <v>70</v>
      </c>
      <c r="P2536" t="s">
        <v>71</v>
      </c>
      <c r="Q2536" t="s">
        <v>72</v>
      </c>
      <c r="R2536" t="s">
        <v>139</v>
      </c>
      <c r="S2536" t="s">
        <v>144</v>
      </c>
      <c r="T2536" s="2">
        <f>MASTER[[#This Row],[CANTIDAD]]*MASTER[[#This Row],[PRECIO DE VENTA]]</f>
        <v>1830</v>
      </c>
      <c r="U2536" s="2">
        <f>MASTER[[#This Row],[CANTIDAD]]*MASTER[[#This Row],[COSTO UNITARIO]]</f>
        <v>421</v>
      </c>
      <c r="V2536" s="2">
        <f>MASTER[[#This Row],[MONTO VENDIDO]]-MASTER[[#This Row],[COSTO DE VENTA]]</f>
        <v>1409</v>
      </c>
    </row>
    <row r="2537" spans="1:22" x14ac:dyDescent="0.3">
      <c r="A2537">
        <v>42642</v>
      </c>
      <c r="B2537">
        <v>1</v>
      </c>
      <c r="C2537" t="s">
        <v>92</v>
      </c>
      <c r="D2537" t="s">
        <v>93</v>
      </c>
      <c r="E2537" s="1">
        <v>44136</v>
      </c>
      <c r="F2537">
        <v>1</v>
      </c>
      <c r="G2537" t="s">
        <v>47</v>
      </c>
      <c r="H2537" t="s">
        <v>48</v>
      </c>
      <c r="I2537" s="3">
        <v>1681</v>
      </c>
      <c r="J2537" s="3">
        <v>1681</v>
      </c>
      <c r="K2537" s="3">
        <v>396</v>
      </c>
      <c r="L2537" t="s">
        <v>9</v>
      </c>
      <c r="M2537">
        <v>7</v>
      </c>
      <c r="N2537" t="s">
        <v>84</v>
      </c>
      <c r="O2537" t="s">
        <v>81</v>
      </c>
      <c r="P2537" t="s">
        <v>12</v>
      </c>
      <c r="Q2537" t="s">
        <v>13</v>
      </c>
      <c r="R2537" t="s">
        <v>13</v>
      </c>
      <c r="S2537" t="s">
        <v>144</v>
      </c>
      <c r="T2537" s="2">
        <f>MASTER[[#This Row],[CANTIDAD]]*MASTER[[#This Row],[PRECIO DE VENTA]]</f>
        <v>1681</v>
      </c>
      <c r="U2537" s="2">
        <f>MASTER[[#This Row],[CANTIDAD]]*MASTER[[#This Row],[COSTO UNITARIO]]</f>
        <v>396</v>
      </c>
      <c r="V2537" s="2">
        <f>MASTER[[#This Row],[MONTO VENDIDO]]-MASTER[[#This Row],[COSTO DE VENTA]]</f>
        <v>1285</v>
      </c>
    </row>
    <row r="2538" spans="1:22" x14ac:dyDescent="0.3">
      <c r="A2538">
        <v>42642</v>
      </c>
      <c r="B2538">
        <v>2</v>
      </c>
      <c r="C2538" t="s">
        <v>99</v>
      </c>
      <c r="D2538" t="s">
        <v>100</v>
      </c>
      <c r="E2538" s="1">
        <v>44136</v>
      </c>
      <c r="F2538">
        <v>2</v>
      </c>
      <c r="G2538" t="s">
        <v>35</v>
      </c>
      <c r="H2538" t="s">
        <v>36</v>
      </c>
      <c r="I2538" s="3">
        <v>1459</v>
      </c>
      <c r="J2538" s="3">
        <v>1459</v>
      </c>
      <c r="K2538" s="3">
        <v>386</v>
      </c>
      <c r="L2538" t="s">
        <v>98</v>
      </c>
      <c r="M2538">
        <v>7</v>
      </c>
      <c r="N2538" t="s">
        <v>84</v>
      </c>
      <c r="O2538" t="s">
        <v>81</v>
      </c>
      <c r="P2538" t="s">
        <v>12</v>
      </c>
      <c r="Q2538" t="s">
        <v>13</v>
      </c>
      <c r="R2538" t="s">
        <v>13</v>
      </c>
      <c r="S2538" t="s">
        <v>144</v>
      </c>
      <c r="T2538" s="2">
        <f>MASTER[[#This Row],[CANTIDAD]]*MASTER[[#This Row],[PRECIO DE VENTA]]</f>
        <v>2918</v>
      </c>
      <c r="U2538" s="2">
        <f>MASTER[[#This Row],[CANTIDAD]]*MASTER[[#This Row],[COSTO UNITARIO]]</f>
        <v>772</v>
      </c>
      <c r="V2538" s="2">
        <f>MASTER[[#This Row],[MONTO VENDIDO]]-MASTER[[#This Row],[COSTO DE VENTA]]</f>
        <v>2146</v>
      </c>
    </row>
    <row r="2539" spans="1:22" x14ac:dyDescent="0.3">
      <c r="A2539">
        <v>42703</v>
      </c>
      <c r="B2539">
        <v>1</v>
      </c>
      <c r="C2539" t="s">
        <v>99</v>
      </c>
      <c r="D2539" t="s">
        <v>100</v>
      </c>
      <c r="E2539" s="1">
        <v>44136</v>
      </c>
      <c r="F2539">
        <v>1</v>
      </c>
      <c r="G2539" t="s">
        <v>20</v>
      </c>
      <c r="H2539" t="s">
        <v>21</v>
      </c>
      <c r="I2539" s="3">
        <v>1328</v>
      </c>
      <c r="J2539" s="3">
        <v>1328</v>
      </c>
      <c r="K2539" s="3">
        <v>386</v>
      </c>
      <c r="L2539" t="s">
        <v>98</v>
      </c>
      <c r="M2539">
        <v>17</v>
      </c>
      <c r="N2539" t="s">
        <v>14</v>
      </c>
      <c r="O2539" t="s">
        <v>11</v>
      </c>
      <c r="P2539" t="s">
        <v>15</v>
      </c>
      <c r="Q2539" t="s">
        <v>16</v>
      </c>
      <c r="R2539" t="s">
        <v>16</v>
      </c>
      <c r="S2539" t="s">
        <v>144</v>
      </c>
      <c r="T2539" s="2">
        <f>MASTER[[#This Row],[CANTIDAD]]*MASTER[[#This Row],[PRECIO DE VENTA]]</f>
        <v>1328</v>
      </c>
      <c r="U2539" s="2">
        <f>MASTER[[#This Row],[CANTIDAD]]*MASTER[[#This Row],[COSTO UNITARIO]]</f>
        <v>386</v>
      </c>
      <c r="V2539" s="2">
        <f>MASTER[[#This Row],[MONTO VENDIDO]]-MASTER[[#This Row],[COSTO DE VENTA]]</f>
        <v>942</v>
      </c>
    </row>
    <row r="2540" spans="1:22" x14ac:dyDescent="0.3">
      <c r="A2540">
        <v>42709</v>
      </c>
      <c r="B2540">
        <v>1</v>
      </c>
      <c r="C2540" t="s">
        <v>96</v>
      </c>
      <c r="D2540" t="s">
        <v>97</v>
      </c>
      <c r="E2540" s="1">
        <v>44136</v>
      </c>
      <c r="F2540">
        <v>1</v>
      </c>
      <c r="G2540" t="s">
        <v>33</v>
      </c>
      <c r="H2540" t="s">
        <v>34</v>
      </c>
      <c r="I2540" s="3">
        <v>1361</v>
      </c>
      <c r="J2540" s="3">
        <v>1361</v>
      </c>
      <c r="K2540" s="3">
        <v>397</v>
      </c>
      <c r="L2540" t="s">
        <v>98</v>
      </c>
      <c r="M2540">
        <v>18</v>
      </c>
      <c r="N2540" t="s">
        <v>79</v>
      </c>
      <c r="O2540" t="s">
        <v>70</v>
      </c>
      <c r="P2540" t="s">
        <v>15</v>
      </c>
      <c r="Q2540" t="s">
        <v>16</v>
      </c>
      <c r="R2540" t="s">
        <v>16</v>
      </c>
      <c r="S2540" t="s">
        <v>144</v>
      </c>
      <c r="T2540" s="2">
        <f>MASTER[[#This Row],[CANTIDAD]]*MASTER[[#This Row],[PRECIO DE VENTA]]</f>
        <v>1361</v>
      </c>
      <c r="U2540" s="2">
        <f>MASTER[[#This Row],[CANTIDAD]]*MASTER[[#This Row],[COSTO UNITARIO]]</f>
        <v>397</v>
      </c>
      <c r="V2540" s="2">
        <f>MASTER[[#This Row],[MONTO VENDIDO]]-MASTER[[#This Row],[COSTO DE VENTA]]</f>
        <v>964</v>
      </c>
    </row>
    <row r="2541" spans="1:22" x14ac:dyDescent="0.3">
      <c r="A2541">
        <v>42745</v>
      </c>
      <c r="B2541">
        <v>1</v>
      </c>
      <c r="C2541" t="s">
        <v>109</v>
      </c>
      <c r="D2541" t="s">
        <v>110</v>
      </c>
      <c r="E2541" s="1">
        <v>44136</v>
      </c>
      <c r="F2541">
        <v>1</v>
      </c>
      <c r="G2541" t="s">
        <v>20</v>
      </c>
      <c r="H2541" t="s">
        <v>21</v>
      </c>
      <c r="I2541" s="3">
        <v>1064</v>
      </c>
      <c r="J2541" s="3">
        <v>1064</v>
      </c>
      <c r="K2541" s="3">
        <v>387</v>
      </c>
      <c r="L2541" t="s">
        <v>98</v>
      </c>
      <c r="M2541">
        <v>7</v>
      </c>
      <c r="N2541" t="s">
        <v>84</v>
      </c>
      <c r="O2541" t="s">
        <v>81</v>
      </c>
      <c r="P2541" t="s">
        <v>12</v>
      </c>
      <c r="Q2541" t="s">
        <v>13</v>
      </c>
      <c r="R2541" t="s">
        <v>13</v>
      </c>
      <c r="S2541" t="s">
        <v>144</v>
      </c>
      <c r="T2541" s="2">
        <f>MASTER[[#This Row],[CANTIDAD]]*MASTER[[#This Row],[PRECIO DE VENTA]]</f>
        <v>1064</v>
      </c>
      <c r="U2541" s="2">
        <f>MASTER[[#This Row],[CANTIDAD]]*MASTER[[#This Row],[COSTO UNITARIO]]</f>
        <v>387</v>
      </c>
      <c r="V2541" s="2">
        <f>MASTER[[#This Row],[MONTO VENDIDO]]-MASTER[[#This Row],[COSTO DE VENTA]]</f>
        <v>677</v>
      </c>
    </row>
    <row r="2542" spans="1:22" x14ac:dyDescent="0.3">
      <c r="A2542">
        <v>42799</v>
      </c>
      <c r="B2542">
        <v>1</v>
      </c>
      <c r="C2542" t="s">
        <v>99</v>
      </c>
      <c r="D2542" t="s">
        <v>100</v>
      </c>
      <c r="E2542" s="1">
        <v>44136</v>
      </c>
      <c r="F2542">
        <v>1</v>
      </c>
      <c r="G2542" t="s">
        <v>59</v>
      </c>
      <c r="H2542" t="s">
        <v>60</v>
      </c>
      <c r="I2542" s="3">
        <v>1459</v>
      </c>
      <c r="J2542" s="3">
        <v>1356</v>
      </c>
      <c r="K2542" s="3">
        <v>386</v>
      </c>
      <c r="L2542" t="s">
        <v>98</v>
      </c>
      <c r="M2542">
        <v>4</v>
      </c>
      <c r="N2542" t="s">
        <v>82</v>
      </c>
      <c r="O2542" t="s">
        <v>81</v>
      </c>
      <c r="P2542" t="s">
        <v>71</v>
      </c>
      <c r="Q2542" t="s">
        <v>72</v>
      </c>
      <c r="R2542" t="s">
        <v>139</v>
      </c>
      <c r="S2542" t="s">
        <v>144</v>
      </c>
      <c r="T2542" s="2">
        <f>MASTER[[#This Row],[CANTIDAD]]*MASTER[[#This Row],[PRECIO DE VENTA]]</f>
        <v>1356</v>
      </c>
      <c r="U2542" s="2">
        <f>MASTER[[#This Row],[CANTIDAD]]*MASTER[[#This Row],[COSTO UNITARIO]]</f>
        <v>386</v>
      </c>
      <c r="V2542" s="2">
        <f>MASTER[[#This Row],[MONTO VENDIDO]]-MASTER[[#This Row],[COSTO DE VENTA]]</f>
        <v>970</v>
      </c>
    </row>
    <row r="2543" spans="1:22" x14ac:dyDescent="0.3">
      <c r="A2543">
        <v>42810</v>
      </c>
      <c r="B2543">
        <v>1</v>
      </c>
      <c r="C2543" t="s">
        <v>96</v>
      </c>
      <c r="D2543" t="s">
        <v>97</v>
      </c>
      <c r="E2543" s="1">
        <v>44137</v>
      </c>
      <c r="F2543">
        <v>1</v>
      </c>
      <c r="G2543" t="s">
        <v>59</v>
      </c>
      <c r="H2543" t="s">
        <v>60</v>
      </c>
      <c r="I2543" s="3">
        <v>1272</v>
      </c>
      <c r="J2543" s="3">
        <v>1272</v>
      </c>
      <c r="K2543" s="3">
        <v>397</v>
      </c>
      <c r="L2543" t="s">
        <v>98</v>
      </c>
      <c r="M2543">
        <v>4</v>
      </c>
      <c r="N2543" t="s">
        <v>82</v>
      </c>
      <c r="O2543" t="s">
        <v>81</v>
      </c>
      <c r="P2543" t="s">
        <v>71</v>
      </c>
      <c r="Q2543" t="s">
        <v>72</v>
      </c>
      <c r="R2543" t="s">
        <v>139</v>
      </c>
      <c r="S2543" t="s">
        <v>144</v>
      </c>
      <c r="T2543" s="2">
        <f>MASTER[[#This Row],[CANTIDAD]]*MASTER[[#This Row],[PRECIO DE VENTA]]</f>
        <v>1272</v>
      </c>
      <c r="U2543" s="2">
        <f>MASTER[[#This Row],[CANTIDAD]]*MASTER[[#This Row],[COSTO UNITARIO]]</f>
        <v>397</v>
      </c>
      <c r="V2543" s="2">
        <f>MASTER[[#This Row],[MONTO VENDIDO]]-MASTER[[#This Row],[COSTO DE VENTA]]</f>
        <v>875</v>
      </c>
    </row>
    <row r="2544" spans="1:22" x14ac:dyDescent="0.3">
      <c r="A2544">
        <v>42822</v>
      </c>
      <c r="B2544">
        <v>1</v>
      </c>
      <c r="C2544" t="s">
        <v>118</v>
      </c>
      <c r="D2544" t="s">
        <v>119</v>
      </c>
      <c r="E2544" s="1">
        <v>44137</v>
      </c>
      <c r="F2544">
        <v>1</v>
      </c>
      <c r="G2544" t="s">
        <v>57</v>
      </c>
      <c r="H2544" t="s">
        <v>58</v>
      </c>
      <c r="I2544" s="3">
        <v>1026</v>
      </c>
      <c r="J2544" s="3">
        <v>943</v>
      </c>
      <c r="K2544" s="3">
        <v>424</v>
      </c>
      <c r="L2544" t="s">
        <v>120</v>
      </c>
      <c r="M2544">
        <v>9</v>
      </c>
      <c r="N2544" t="s">
        <v>76</v>
      </c>
      <c r="O2544" t="s">
        <v>70</v>
      </c>
      <c r="P2544" t="s">
        <v>12</v>
      </c>
      <c r="Q2544" t="s">
        <v>13</v>
      </c>
      <c r="R2544" t="s">
        <v>13</v>
      </c>
      <c r="S2544" t="s">
        <v>144</v>
      </c>
      <c r="T2544" s="2">
        <f>MASTER[[#This Row],[CANTIDAD]]*MASTER[[#This Row],[PRECIO DE VENTA]]</f>
        <v>943</v>
      </c>
      <c r="U2544" s="2">
        <f>MASTER[[#This Row],[CANTIDAD]]*MASTER[[#This Row],[COSTO UNITARIO]]</f>
        <v>424</v>
      </c>
      <c r="V2544" s="2">
        <f>MASTER[[#This Row],[MONTO VENDIDO]]-MASTER[[#This Row],[COSTO DE VENTA]]</f>
        <v>519</v>
      </c>
    </row>
    <row r="2545" spans="1:22" x14ac:dyDescent="0.3">
      <c r="A2545">
        <v>42831</v>
      </c>
      <c r="B2545">
        <v>1</v>
      </c>
      <c r="C2545" t="s">
        <v>116</v>
      </c>
      <c r="D2545" t="s">
        <v>117</v>
      </c>
      <c r="E2545" s="1">
        <v>44137</v>
      </c>
      <c r="F2545">
        <v>1</v>
      </c>
      <c r="G2545" t="s">
        <v>33</v>
      </c>
      <c r="H2545" t="s">
        <v>34</v>
      </c>
      <c r="I2545" s="3">
        <v>1738</v>
      </c>
      <c r="J2545" s="3">
        <v>1738</v>
      </c>
      <c r="K2545" s="3">
        <v>388</v>
      </c>
      <c r="L2545" t="s">
        <v>113</v>
      </c>
      <c r="M2545">
        <v>7</v>
      </c>
      <c r="N2545" t="s">
        <v>84</v>
      </c>
      <c r="O2545" t="s">
        <v>81</v>
      </c>
      <c r="P2545" t="s">
        <v>12</v>
      </c>
      <c r="Q2545" t="s">
        <v>13</v>
      </c>
      <c r="R2545" t="s">
        <v>13</v>
      </c>
      <c r="S2545" t="s">
        <v>144</v>
      </c>
      <c r="T2545" s="2">
        <f>MASTER[[#This Row],[CANTIDAD]]*MASTER[[#This Row],[PRECIO DE VENTA]]</f>
        <v>1738</v>
      </c>
      <c r="U2545" s="2">
        <f>MASTER[[#This Row],[CANTIDAD]]*MASTER[[#This Row],[COSTO UNITARIO]]</f>
        <v>388</v>
      </c>
      <c r="V2545" s="2">
        <f>MASTER[[#This Row],[MONTO VENDIDO]]-MASTER[[#This Row],[COSTO DE VENTA]]</f>
        <v>1350</v>
      </c>
    </row>
    <row r="2546" spans="1:22" x14ac:dyDescent="0.3">
      <c r="A2546">
        <v>42842</v>
      </c>
      <c r="B2546">
        <v>1</v>
      </c>
      <c r="C2546" t="s">
        <v>114</v>
      </c>
      <c r="D2546" t="s">
        <v>115</v>
      </c>
      <c r="E2546" s="1">
        <v>44137</v>
      </c>
      <c r="F2546">
        <v>1</v>
      </c>
      <c r="G2546" t="s">
        <v>67</v>
      </c>
      <c r="H2546" t="s">
        <v>68</v>
      </c>
      <c r="I2546" s="3">
        <v>1583</v>
      </c>
      <c r="J2546" s="3">
        <v>1583</v>
      </c>
      <c r="K2546" s="3">
        <v>394</v>
      </c>
      <c r="L2546" t="s">
        <v>113</v>
      </c>
      <c r="M2546">
        <v>16</v>
      </c>
      <c r="N2546" t="s">
        <v>17</v>
      </c>
      <c r="O2546" t="s">
        <v>11</v>
      </c>
      <c r="P2546" t="s">
        <v>18</v>
      </c>
      <c r="Q2546" t="s">
        <v>19</v>
      </c>
      <c r="R2546" t="s">
        <v>138</v>
      </c>
      <c r="S2546" t="s">
        <v>144</v>
      </c>
      <c r="T2546" s="2">
        <f>MASTER[[#This Row],[CANTIDAD]]*MASTER[[#This Row],[PRECIO DE VENTA]]</f>
        <v>1583</v>
      </c>
      <c r="U2546" s="2">
        <f>MASTER[[#This Row],[CANTIDAD]]*MASTER[[#This Row],[COSTO UNITARIO]]</f>
        <v>394</v>
      </c>
      <c r="V2546" s="2">
        <f>MASTER[[#This Row],[MONTO VENDIDO]]-MASTER[[#This Row],[COSTO DE VENTA]]</f>
        <v>1189</v>
      </c>
    </row>
    <row r="2547" spans="1:22" x14ac:dyDescent="0.3">
      <c r="A2547">
        <v>42844</v>
      </c>
      <c r="B2547">
        <v>1</v>
      </c>
      <c r="C2547" t="s">
        <v>118</v>
      </c>
      <c r="D2547" t="s">
        <v>119</v>
      </c>
      <c r="E2547" s="1">
        <v>44137</v>
      </c>
      <c r="F2547">
        <v>1</v>
      </c>
      <c r="G2547" t="s">
        <v>33</v>
      </c>
      <c r="H2547" t="s">
        <v>34</v>
      </c>
      <c r="I2547" s="3">
        <v>900</v>
      </c>
      <c r="J2547" s="3">
        <v>900</v>
      </c>
      <c r="K2547" s="3">
        <v>424</v>
      </c>
      <c r="L2547" t="s">
        <v>120</v>
      </c>
      <c r="M2547">
        <v>4</v>
      </c>
      <c r="N2547" t="s">
        <v>82</v>
      </c>
      <c r="O2547" t="s">
        <v>81</v>
      </c>
      <c r="P2547" t="s">
        <v>71</v>
      </c>
      <c r="Q2547" t="s">
        <v>72</v>
      </c>
      <c r="R2547" t="s">
        <v>139</v>
      </c>
      <c r="S2547" t="s">
        <v>144</v>
      </c>
      <c r="T2547" s="2">
        <f>MASTER[[#This Row],[CANTIDAD]]*MASTER[[#This Row],[PRECIO DE VENTA]]</f>
        <v>900</v>
      </c>
      <c r="U2547" s="2">
        <f>MASTER[[#This Row],[CANTIDAD]]*MASTER[[#This Row],[COSTO UNITARIO]]</f>
        <v>424</v>
      </c>
      <c r="V2547" s="2">
        <f>MASTER[[#This Row],[MONTO VENDIDO]]-MASTER[[#This Row],[COSTO DE VENTA]]</f>
        <v>476</v>
      </c>
    </row>
    <row r="2548" spans="1:22" x14ac:dyDescent="0.3">
      <c r="A2548">
        <v>42862</v>
      </c>
      <c r="B2548">
        <v>1</v>
      </c>
      <c r="C2548" t="s">
        <v>94</v>
      </c>
      <c r="D2548" t="s">
        <v>95</v>
      </c>
      <c r="E2548" s="1">
        <v>44137</v>
      </c>
      <c r="F2548">
        <v>1</v>
      </c>
      <c r="G2548" t="s">
        <v>61</v>
      </c>
      <c r="H2548" t="s">
        <v>62</v>
      </c>
      <c r="I2548" s="3">
        <v>1048</v>
      </c>
      <c r="J2548" s="3">
        <v>1048</v>
      </c>
      <c r="K2548" s="3">
        <v>392</v>
      </c>
      <c r="L2548" t="s">
        <v>9</v>
      </c>
      <c r="M2548">
        <v>5</v>
      </c>
      <c r="N2548" t="s">
        <v>85</v>
      </c>
      <c r="O2548" t="s">
        <v>81</v>
      </c>
      <c r="P2548" t="s">
        <v>12</v>
      </c>
      <c r="Q2548" t="s">
        <v>13</v>
      </c>
      <c r="R2548" t="s">
        <v>13</v>
      </c>
      <c r="S2548" t="s">
        <v>144</v>
      </c>
      <c r="T2548" s="2">
        <f>MASTER[[#This Row],[CANTIDAD]]*MASTER[[#This Row],[PRECIO DE VENTA]]</f>
        <v>1048</v>
      </c>
      <c r="U2548" s="2">
        <f>MASTER[[#This Row],[CANTIDAD]]*MASTER[[#This Row],[COSTO UNITARIO]]</f>
        <v>392</v>
      </c>
      <c r="V2548" s="2">
        <f>MASTER[[#This Row],[MONTO VENDIDO]]-MASTER[[#This Row],[COSTO DE VENTA]]</f>
        <v>656</v>
      </c>
    </row>
    <row r="2549" spans="1:22" x14ac:dyDescent="0.3">
      <c r="A2549">
        <v>42864</v>
      </c>
      <c r="B2549">
        <v>1</v>
      </c>
      <c r="C2549" t="s">
        <v>111</v>
      </c>
      <c r="D2549" t="s">
        <v>112</v>
      </c>
      <c r="E2549" s="1">
        <v>44138</v>
      </c>
      <c r="F2549">
        <v>1</v>
      </c>
      <c r="G2549" t="s">
        <v>73</v>
      </c>
      <c r="H2549" t="s">
        <v>74</v>
      </c>
      <c r="I2549" s="3">
        <v>1799</v>
      </c>
      <c r="J2549" s="3">
        <v>1799</v>
      </c>
      <c r="K2549" s="3">
        <v>434</v>
      </c>
      <c r="L2549" t="s">
        <v>113</v>
      </c>
      <c r="M2549">
        <v>18</v>
      </c>
      <c r="N2549" t="s">
        <v>79</v>
      </c>
      <c r="O2549" t="s">
        <v>70</v>
      </c>
      <c r="P2549" t="s">
        <v>15</v>
      </c>
      <c r="Q2549" t="s">
        <v>16</v>
      </c>
      <c r="R2549" t="s">
        <v>16</v>
      </c>
      <c r="S2549" t="s">
        <v>144</v>
      </c>
      <c r="T2549" s="2">
        <f>MASTER[[#This Row],[CANTIDAD]]*MASTER[[#This Row],[PRECIO DE VENTA]]</f>
        <v>1799</v>
      </c>
      <c r="U2549" s="2">
        <f>MASTER[[#This Row],[CANTIDAD]]*MASTER[[#This Row],[COSTO UNITARIO]]</f>
        <v>434</v>
      </c>
      <c r="V2549" s="2">
        <f>MASTER[[#This Row],[MONTO VENDIDO]]-MASTER[[#This Row],[COSTO DE VENTA]]</f>
        <v>1365</v>
      </c>
    </row>
    <row r="2550" spans="1:22" x14ac:dyDescent="0.3">
      <c r="A2550">
        <v>42886</v>
      </c>
      <c r="B2550">
        <v>1</v>
      </c>
      <c r="C2550" t="s">
        <v>111</v>
      </c>
      <c r="D2550" t="s">
        <v>112</v>
      </c>
      <c r="E2550" s="1">
        <v>44138</v>
      </c>
      <c r="F2550">
        <v>1</v>
      </c>
      <c r="G2550" t="s">
        <v>20</v>
      </c>
      <c r="H2550" t="s">
        <v>21</v>
      </c>
      <c r="I2550" s="3">
        <v>1799</v>
      </c>
      <c r="J2550" s="3">
        <v>1799</v>
      </c>
      <c r="K2550" s="3">
        <v>434</v>
      </c>
      <c r="L2550" t="s">
        <v>113</v>
      </c>
      <c r="M2550">
        <v>13</v>
      </c>
      <c r="N2550" t="s">
        <v>78</v>
      </c>
      <c r="O2550" t="s">
        <v>70</v>
      </c>
      <c r="P2550" t="s">
        <v>18</v>
      </c>
      <c r="Q2550" t="s">
        <v>19</v>
      </c>
      <c r="R2550" t="s">
        <v>138</v>
      </c>
      <c r="S2550" t="s">
        <v>144</v>
      </c>
      <c r="T2550" s="2">
        <f>MASTER[[#This Row],[CANTIDAD]]*MASTER[[#This Row],[PRECIO DE VENTA]]</f>
        <v>1799</v>
      </c>
      <c r="U2550" s="2">
        <f>MASTER[[#This Row],[CANTIDAD]]*MASTER[[#This Row],[COSTO UNITARIO]]</f>
        <v>434</v>
      </c>
      <c r="V2550" s="2">
        <f>MASTER[[#This Row],[MONTO VENDIDO]]-MASTER[[#This Row],[COSTO DE VENTA]]</f>
        <v>1365</v>
      </c>
    </row>
    <row r="2551" spans="1:22" x14ac:dyDescent="0.3">
      <c r="A2551">
        <v>42889</v>
      </c>
      <c r="B2551">
        <v>1</v>
      </c>
      <c r="C2551" t="s">
        <v>103</v>
      </c>
      <c r="D2551" t="s">
        <v>104</v>
      </c>
      <c r="E2551" s="1">
        <v>44138</v>
      </c>
      <c r="F2551">
        <v>1</v>
      </c>
      <c r="G2551" t="s">
        <v>47</v>
      </c>
      <c r="H2551" t="s">
        <v>48</v>
      </c>
      <c r="I2551" s="3">
        <v>1448</v>
      </c>
      <c r="J2551" s="3">
        <v>1448</v>
      </c>
      <c r="K2551" s="3">
        <v>421</v>
      </c>
      <c r="L2551" t="s">
        <v>98</v>
      </c>
      <c r="M2551">
        <v>11</v>
      </c>
      <c r="N2551" t="s">
        <v>10</v>
      </c>
      <c r="O2551" t="s">
        <v>11</v>
      </c>
      <c r="P2551" t="s">
        <v>12</v>
      </c>
      <c r="Q2551" t="s">
        <v>13</v>
      </c>
      <c r="R2551" t="s">
        <v>13</v>
      </c>
      <c r="S2551" t="s">
        <v>144</v>
      </c>
      <c r="T2551" s="2">
        <f>MASTER[[#This Row],[CANTIDAD]]*MASTER[[#This Row],[PRECIO DE VENTA]]</f>
        <v>1448</v>
      </c>
      <c r="U2551" s="2">
        <f>MASTER[[#This Row],[CANTIDAD]]*MASTER[[#This Row],[COSTO UNITARIO]]</f>
        <v>421</v>
      </c>
      <c r="V2551" s="2">
        <f>MASTER[[#This Row],[MONTO VENDIDO]]-MASTER[[#This Row],[COSTO DE VENTA]]</f>
        <v>1027</v>
      </c>
    </row>
    <row r="2552" spans="1:22" x14ac:dyDescent="0.3">
      <c r="A2552">
        <v>42904</v>
      </c>
      <c r="B2552">
        <v>1</v>
      </c>
      <c r="C2552" t="s">
        <v>101</v>
      </c>
      <c r="D2552" t="s">
        <v>102</v>
      </c>
      <c r="E2552" s="1">
        <v>44138</v>
      </c>
      <c r="F2552">
        <v>1</v>
      </c>
      <c r="G2552" t="s">
        <v>45</v>
      </c>
      <c r="H2552" t="s">
        <v>46</v>
      </c>
      <c r="I2552" s="3">
        <v>1212</v>
      </c>
      <c r="J2552" s="3">
        <v>1212</v>
      </c>
      <c r="K2552" s="3">
        <v>442</v>
      </c>
      <c r="L2552" t="s">
        <v>98</v>
      </c>
      <c r="M2552">
        <v>14</v>
      </c>
      <c r="N2552" t="s">
        <v>87</v>
      </c>
      <c r="O2552" t="s">
        <v>81</v>
      </c>
      <c r="P2552" t="s">
        <v>18</v>
      </c>
      <c r="Q2552" t="s">
        <v>19</v>
      </c>
      <c r="R2552" t="s">
        <v>138</v>
      </c>
      <c r="S2552" t="s">
        <v>144</v>
      </c>
      <c r="T2552" s="2">
        <f>MASTER[[#This Row],[CANTIDAD]]*MASTER[[#This Row],[PRECIO DE VENTA]]</f>
        <v>1212</v>
      </c>
      <c r="U2552" s="2">
        <f>MASTER[[#This Row],[CANTIDAD]]*MASTER[[#This Row],[COSTO UNITARIO]]</f>
        <v>442</v>
      </c>
      <c r="V2552" s="2">
        <f>MASTER[[#This Row],[MONTO VENDIDO]]-MASTER[[#This Row],[COSTO DE VENTA]]</f>
        <v>770</v>
      </c>
    </row>
    <row r="2553" spans="1:22" x14ac:dyDescent="0.3">
      <c r="A2553">
        <v>42907</v>
      </c>
      <c r="B2553">
        <v>1</v>
      </c>
      <c r="C2553" t="s">
        <v>92</v>
      </c>
      <c r="D2553" t="s">
        <v>93</v>
      </c>
      <c r="E2553" s="1">
        <v>44138</v>
      </c>
      <c r="F2553">
        <v>1</v>
      </c>
      <c r="G2553" t="s">
        <v>33</v>
      </c>
      <c r="H2553" t="s">
        <v>34</v>
      </c>
      <c r="I2553" s="3">
        <v>1866</v>
      </c>
      <c r="J2553" s="3">
        <v>1866</v>
      </c>
      <c r="K2553" s="3">
        <v>396</v>
      </c>
      <c r="L2553" t="s">
        <v>9</v>
      </c>
      <c r="M2553">
        <v>13</v>
      </c>
      <c r="N2553" t="s">
        <v>78</v>
      </c>
      <c r="O2553" t="s">
        <v>70</v>
      </c>
      <c r="P2553" t="s">
        <v>18</v>
      </c>
      <c r="Q2553" t="s">
        <v>19</v>
      </c>
      <c r="R2553" t="s">
        <v>138</v>
      </c>
      <c r="S2553" t="s">
        <v>144</v>
      </c>
      <c r="T2553" s="2">
        <f>MASTER[[#This Row],[CANTIDAD]]*MASTER[[#This Row],[PRECIO DE VENTA]]</f>
        <v>1866</v>
      </c>
      <c r="U2553" s="2">
        <f>MASTER[[#This Row],[CANTIDAD]]*MASTER[[#This Row],[COSTO UNITARIO]]</f>
        <v>396</v>
      </c>
      <c r="V2553" s="2">
        <f>MASTER[[#This Row],[MONTO VENDIDO]]-MASTER[[#This Row],[COSTO DE VENTA]]</f>
        <v>1470</v>
      </c>
    </row>
    <row r="2554" spans="1:22" x14ac:dyDescent="0.3">
      <c r="A2554">
        <v>42908</v>
      </c>
      <c r="B2554">
        <v>1</v>
      </c>
      <c r="C2554" t="s">
        <v>99</v>
      </c>
      <c r="D2554" t="s">
        <v>100</v>
      </c>
      <c r="E2554" s="1">
        <v>44138</v>
      </c>
      <c r="F2554">
        <v>1</v>
      </c>
      <c r="G2554" t="s">
        <v>53</v>
      </c>
      <c r="H2554" t="s">
        <v>54</v>
      </c>
      <c r="I2554" s="3">
        <v>1328</v>
      </c>
      <c r="J2554" s="3">
        <v>1328</v>
      </c>
      <c r="K2554" s="3">
        <v>386</v>
      </c>
      <c r="L2554" t="s">
        <v>98</v>
      </c>
      <c r="M2554">
        <v>12</v>
      </c>
      <c r="N2554" t="s">
        <v>26</v>
      </c>
      <c r="O2554" t="s">
        <v>11</v>
      </c>
      <c r="P2554" t="s">
        <v>12</v>
      </c>
      <c r="Q2554" t="s">
        <v>13</v>
      </c>
      <c r="R2554" t="s">
        <v>13</v>
      </c>
      <c r="S2554" t="s">
        <v>144</v>
      </c>
      <c r="T2554" s="2">
        <f>MASTER[[#This Row],[CANTIDAD]]*MASTER[[#This Row],[PRECIO DE VENTA]]</f>
        <v>1328</v>
      </c>
      <c r="U2554" s="2">
        <f>MASTER[[#This Row],[CANTIDAD]]*MASTER[[#This Row],[COSTO UNITARIO]]</f>
        <v>386</v>
      </c>
      <c r="V2554" s="2">
        <f>MASTER[[#This Row],[MONTO VENDIDO]]-MASTER[[#This Row],[COSTO DE VENTA]]</f>
        <v>942</v>
      </c>
    </row>
    <row r="2555" spans="1:22" x14ac:dyDescent="0.3">
      <c r="A2555">
        <v>42911</v>
      </c>
      <c r="B2555">
        <v>1</v>
      </c>
      <c r="C2555" t="s">
        <v>118</v>
      </c>
      <c r="D2555" t="s">
        <v>119</v>
      </c>
      <c r="E2555" s="1">
        <v>44138</v>
      </c>
      <c r="F2555">
        <v>1</v>
      </c>
      <c r="G2555" t="s">
        <v>43</v>
      </c>
      <c r="H2555" t="s">
        <v>44</v>
      </c>
      <c r="I2555" s="3">
        <v>900</v>
      </c>
      <c r="J2555" s="3">
        <v>900</v>
      </c>
      <c r="K2555" s="3">
        <v>424</v>
      </c>
      <c r="L2555" t="s">
        <v>120</v>
      </c>
      <c r="M2555">
        <v>19</v>
      </c>
      <c r="N2555" t="s">
        <v>89</v>
      </c>
      <c r="O2555" t="s">
        <v>81</v>
      </c>
      <c r="P2555" t="s">
        <v>15</v>
      </c>
      <c r="Q2555" t="s">
        <v>16</v>
      </c>
      <c r="R2555" t="s">
        <v>16</v>
      </c>
      <c r="S2555" t="s">
        <v>144</v>
      </c>
      <c r="T2555" s="2">
        <f>MASTER[[#This Row],[CANTIDAD]]*MASTER[[#This Row],[PRECIO DE VENTA]]</f>
        <v>900</v>
      </c>
      <c r="U2555" s="2">
        <f>MASTER[[#This Row],[CANTIDAD]]*MASTER[[#This Row],[COSTO UNITARIO]]</f>
        <v>424</v>
      </c>
      <c r="V2555" s="2">
        <f>MASTER[[#This Row],[MONTO VENDIDO]]-MASTER[[#This Row],[COSTO DE VENTA]]</f>
        <v>476</v>
      </c>
    </row>
    <row r="2556" spans="1:22" x14ac:dyDescent="0.3">
      <c r="A2556">
        <v>42928</v>
      </c>
      <c r="B2556">
        <v>1</v>
      </c>
      <c r="C2556" t="s">
        <v>107</v>
      </c>
      <c r="D2556" t="s">
        <v>108</v>
      </c>
      <c r="E2556" s="1">
        <v>44139</v>
      </c>
      <c r="F2556">
        <v>1</v>
      </c>
      <c r="G2556" t="s">
        <v>65</v>
      </c>
      <c r="H2556" t="s">
        <v>66</v>
      </c>
      <c r="I2556" s="3">
        <v>1333</v>
      </c>
      <c r="J2556" s="3">
        <v>1333</v>
      </c>
      <c r="K2556" s="3">
        <v>380</v>
      </c>
      <c r="L2556" t="s">
        <v>98</v>
      </c>
      <c r="M2556">
        <v>4</v>
      </c>
      <c r="N2556" t="s">
        <v>82</v>
      </c>
      <c r="O2556" t="s">
        <v>81</v>
      </c>
      <c r="P2556" t="s">
        <v>71</v>
      </c>
      <c r="Q2556" t="s">
        <v>72</v>
      </c>
      <c r="R2556" t="s">
        <v>139</v>
      </c>
      <c r="S2556" t="s">
        <v>144</v>
      </c>
      <c r="T2556" s="2">
        <f>MASTER[[#This Row],[CANTIDAD]]*MASTER[[#This Row],[PRECIO DE VENTA]]</f>
        <v>1333</v>
      </c>
      <c r="U2556" s="2">
        <f>MASTER[[#This Row],[CANTIDAD]]*MASTER[[#This Row],[COSTO UNITARIO]]</f>
        <v>380</v>
      </c>
      <c r="V2556" s="2">
        <f>MASTER[[#This Row],[MONTO VENDIDO]]-MASTER[[#This Row],[COSTO DE VENTA]]</f>
        <v>953</v>
      </c>
    </row>
    <row r="2557" spans="1:22" x14ac:dyDescent="0.3">
      <c r="A2557">
        <v>42960</v>
      </c>
      <c r="B2557">
        <v>1</v>
      </c>
      <c r="C2557" t="s">
        <v>94</v>
      </c>
      <c r="D2557" t="s">
        <v>95</v>
      </c>
      <c r="E2557" s="1">
        <v>44139</v>
      </c>
      <c r="F2557">
        <v>1</v>
      </c>
      <c r="G2557" t="s">
        <v>43</v>
      </c>
      <c r="H2557" t="s">
        <v>44</v>
      </c>
      <c r="I2557" s="3">
        <v>1048</v>
      </c>
      <c r="J2557" s="3">
        <v>1048</v>
      </c>
      <c r="K2557" s="3">
        <v>392</v>
      </c>
      <c r="L2557" t="s">
        <v>9</v>
      </c>
      <c r="M2557">
        <v>7</v>
      </c>
      <c r="N2557" t="s">
        <v>84</v>
      </c>
      <c r="O2557" t="s">
        <v>81</v>
      </c>
      <c r="P2557" t="s">
        <v>12</v>
      </c>
      <c r="Q2557" t="s">
        <v>13</v>
      </c>
      <c r="R2557" t="s">
        <v>13</v>
      </c>
      <c r="S2557" t="s">
        <v>144</v>
      </c>
      <c r="T2557" s="2">
        <f>MASTER[[#This Row],[CANTIDAD]]*MASTER[[#This Row],[PRECIO DE VENTA]]</f>
        <v>1048</v>
      </c>
      <c r="U2557" s="2">
        <f>MASTER[[#This Row],[CANTIDAD]]*MASTER[[#This Row],[COSTO UNITARIO]]</f>
        <v>392</v>
      </c>
      <c r="V2557" s="2">
        <f>MASTER[[#This Row],[MONTO VENDIDO]]-MASTER[[#This Row],[COSTO DE VENTA]]</f>
        <v>656</v>
      </c>
    </row>
    <row r="2558" spans="1:22" x14ac:dyDescent="0.3">
      <c r="A2558">
        <v>42963</v>
      </c>
      <c r="B2558">
        <v>1</v>
      </c>
      <c r="C2558" t="s">
        <v>118</v>
      </c>
      <c r="D2558" t="s">
        <v>119</v>
      </c>
      <c r="E2558" s="1">
        <v>44139</v>
      </c>
      <c r="F2558">
        <v>1</v>
      </c>
      <c r="G2558" t="s">
        <v>61</v>
      </c>
      <c r="H2558" t="s">
        <v>62</v>
      </c>
      <c r="I2558" s="3">
        <v>1026</v>
      </c>
      <c r="J2558" s="3">
        <v>974</v>
      </c>
      <c r="K2558" s="3">
        <v>424</v>
      </c>
      <c r="L2558" t="s">
        <v>120</v>
      </c>
      <c r="M2558">
        <v>3</v>
      </c>
      <c r="N2558" t="s">
        <v>69</v>
      </c>
      <c r="O2558" t="s">
        <v>70</v>
      </c>
      <c r="P2558" t="s">
        <v>71</v>
      </c>
      <c r="Q2558" t="s">
        <v>72</v>
      </c>
      <c r="R2558" t="s">
        <v>139</v>
      </c>
      <c r="S2558" t="s">
        <v>144</v>
      </c>
      <c r="T2558" s="2">
        <f>MASTER[[#This Row],[CANTIDAD]]*MASTER[[#This Row],[PRECIO DE VENTA]]</f>
        <v>974</v>
      </c>
      <c r="U2558" s="2">
        <f>MASTER[[#This Row],[CANTIDAD]]*MASTER[[#This Row],[COSTO UNITARIO]]</f>
        <v>424</v>
      </c>
      <c r="V2558" s="2">
        <f>MASTER[[#This Row],[MONTO VENDIDO]]-MASTER[[#This Row],[COSTO DE VENTA]]</f>
        <v>550</v>
      </c>
    </row>
    <row r="2559" spans="1:22" x14ac:dyDescent="0.3">
      <c r="A2559">
        <v>42974</v>
      </c>
      <c r="B2559">
        <v>1</v>
      </c>
      <c r="C2559" t="s">
        <v>96</v>
      </c>
      <c r="D2559" t="s">
        <v>97</v>
      </c>
      <c r="E2559" s="1">
        <v>44139</v>
      </c>
      <c r="F2559">
        <v>1</v>
      </c>
      <c r="G2559" t="s">
        <v>65</v>
      </c>
      <c r="H2559" t="s">
        <v>66</v>
      </c>
      <c r="I2559" s="3">
        <v>1361</v>
      </c>
      <c r="J2559" s="3">
        <v>1361</v>
      </c>
      <c r="K2559" s="3">
        <v>397</v>
      </c>
      <c r="L2559" t="s">
        <v>98</v>
      </c>
      <c r="M2559">
        <v>6</v>
      </c>
      <c r="N2559" t="s">
        <v>75</v>
      </c>
      <c r="O2559" t="s">
        <v>70</v>
      </c>
      <c r="P2559" t="s">
        <v>12</v>
      </c>
      <c r="Q2559" t="s">
        <v>13</v>
      </c>
      <c r="R2559" t="s">
        <v>13</v>
      </c>
      <c r="S2559" t="s">
        <v>144</v>
      </c>
      <c r="T2559" s="2">
        <f>MASTER[[#This Row],[CANTIDAD]]*MASTER[[#This Row],[PRECIO DE VENTA]]</f>
        <v>1361</v>
      </c>
      <c r="U2559" s="2">
        <f>MASTER[[#This Row],[CANTIDAD]]*MASTER[[#This Row],[COSTO UNITARIO]]</f>
        <v>397</v>
      </c>
      <c r="V2559" s="2">
        <f>MASTER[[#This Row],[MONTO VENDIDO]]-MASTER[[#This Row],[COSTO DE VENTA]]</f>
        <v>964</v>
      </c>
    </row>
    <row r="2560" spans="1:22" x14ac:dyDescent="0.3">
      <c r="A2560">
        <v>42980</v>
      </c>
      <c r="B2560">
        <v>1</v>
      </c>
      <c r="C2560" t="s">
        <v>118</v>
      </c>
      <c r="D2560" t="s">
        <v>119</v>
      </c>
      <c r="E2560" s="1">
        <v>44139</v>
      </c>
      <c r="F2560">
        <v>1</v>
      </c>
      <c r="G2560" t="s">
        <v>20</v>
      </c>
      <c r="H2560" t="s">
        <v>21</v>
      </c>
      <c r="I2560" s="3">
        <v>900</v>
      </c>
      <c r="J2560" s="3">
        <v>900</v>
      </c>
      <c r="K2560" s="3">
        <v>424</v>
      </c>
      <c r="L2560" t="s">
        <v>120</v>
      </c>
      <c r="M2560">
        <v>4</v>
      </c>
      <c r="N2560" t="s">
        <v>82</v>
      </c>
      <c r="O2560" t="s">
        <v>81</v>
      </c>
      <c r="P2560" t="s">
        <v>71</v>
      </c>
      <c r="Q2560" t="s">
        <v>72</v>
      </c>
      <c r="R2560" t="s">
        <v>139</v>
      </c>
      <c r="S2560" t="s">
        <v>144</v>
      </c>
      <c r="T2560" s="2">
        <f>MASTER[[#This Row],[CANTIDAD]]*MASTER[[#This Row],[PRECIO DE VENTA]]</f>
        <v>900</v>
      </c>
      <c r="U2560" s="2">
        <f>MASTER[[#This Row],[CANTIDAD]]*MASTER[[#This Row],[COSTO UNITARIO]]</f>
        <v>424</v>
      </c>
      <c r="V2560" s="2">
        <f>MASTER[[#This Row],[MONTO VENDIDO]]-MASTER[[#This Row],[COSTO DE VENTA]]</f>
        <v>476</v>
      </c>
    </row>
    <row r="2561" spans="1:22" x14ac:dyDescent="0.3">
      <c r="A2561">
        <v>42987</v>
      </c>
      <c r="B2561">
        <v>1</v>
      </c>
      <c r="C2561" t="s">
        <v>5</v>
      </c>
      <c r="D2561" t="s">
        <v>6</v>
      </c>
      <c r="E2561" s="1">
        <v>44139</v>
      </c>
      <c r="F2561">
        <v>1</v>
      </c>
      <c r="G2561" t="s">
        <v>57</v>
      </c>
      <c r="H2561" t="s">
        <v>58</v>
      </c>
      <c r="I2561" s="3">
        <v>1507</v>
      </c>
      <c r="J2561" s="3">
        <v>1507</v>
      </c>
      <c r="K2561" s="3">
        <v>393</v>
      </c>
      <c r="L2561" t="s">
        <v>9</v>
      </c>
      <c r="M2561">
        <v>15</v>
      </c>
      <c r="N2561" t="s">
        <v>88</v>
      </c>
      <c r="O2561" t="s">
        <v>81</v>
      </c>
      <c r="P2561" t="s">
        <v>18</v>
      </c>
      <c r="Q2561" t="s">
        <v>19</v>
      </c>
      <c r="R2561" t="s">
        <v>138</v>
      </c>
      <c r="S2561" t="s">
        <v>144</v>
      </c>
      <c r="T2561" s="2">
        <f>MASTER[[#This Row],[CANTIDAD]]*MASTER[[#This Row],[PRECIO DE VENTA]]</f>
        <v>1507</v>
      </c>
      <c r="U2561" s="2">
        <f>MASTER[[#This Row],[CANTIDAD]]*MASTER[[#This Row],[COSTO UNITARIO]]</f>
        <v>393</v>
      </c>
      <c r="V2561" s="2">
        <f>MASTER[[#This Row],[MONTO VENDIDO]]-MASTER[[#This Row],[COSTO DE VENTA]]</f>
        <v>1114</v>
      </c>
    </row>
    <row r="2562" spans="1:22" x14ac:dyDescent="0.3">
      <c r="A2562">
        <v>43007</v>
      </c>
      <c r="B2562">
        <v>1</v>
      </c>
      <c r="C2562" t="s">
        <v>5</v>
      </c>
      <c r="D2562" t="s">
        <v>6</v>
      </c>
      <c r="E2562" s="1">
        <v>44139</v>
      </c>
      <c r="F2562">
        <v>1</v>
      </c>
      <c r="G2562" t="s">
        <v>63</v>
      </c>
      <c r="H2562" t="s">
        <v>64</v>
      </c>
      <c r="I2562" s="3">
        <v>1296</v>
      </c>
      <c r="J2562" s="3">
        <v>1296</v>
      </c>
      <c r="K2562" s="3">
        <v>393</v>
      </c>
      <c r="L2562" t="s">
        <v>9</v>
      </c>
      <c r="M2562">
        <v>6</v>
      </c>
      <c r="N2562" t="s">
        <v>75</v>
      </c>
      <c r="O2562" t="s">
        <v>70</v>
      </c>
      <c r="P2562" t="s">
        <v>12</v>
      </c>
      <c r="Q2562" t="s">
        <v>13</v>
      </c>
      <c r="R2562" t="s">
        <v>13</v>
      </c>
      <c r="S2562" t="s">
        <v>144</v>
      </c>
      <c r="T2562" s="2">
        <f>MASTER[[#This Row],[CANTIDAD]]*MASTER[[#This Row],[PRECIO DE VENTA]]</f>
        <v>1296</v>
      </c>
      <c r="U2562" s="2">
        <f>MASTER[[#This Row],[CANTIDAD]]*MASTER[[#This Row],[COSTO UNITARIO]]</f>
        <v>393</v>
      </c>
      <c r="V2562" s="2">
        <f>MASTER[[#This Row],[MONTO VENDIDO]]-MASTER[[#This Row],[COSTO DE VENTA]]</f>
        <v>903</v>
      </c>
    </row>
    <row r="2563" spans="1:22" x14ac:dyDescent="0.3">
      <c r="A2563">
        <v>43031</v>
      </c>
      <c r="B2563">
        <v>1</v>
      </c>
      <c r="C2563" t="s">
        <v>99</v>
      </c>
      <c r="D2563" t="s">
        <v>100</v>
      </c>
      <c r="E2563" s="1">
        <v>44139</v>
      </c>
      <c r="F2563">
        <v>1</v>
      </c>
      <c r="G2563" t="s">
        <v>45</v>
      </c>
      <c r="H2563" t="s">
        <v>46</v>
      </c>
      <c r="I2563" s="3">
        <v>1328</v>
      </c>
      <c r="J2563" s="3">
        <v>1328</v>
      </c>
      <c r="K2563" s="3">
        <v>386</v>
      </c>
      <c r="L2563" t="s">
        <v>98</v>
      </c>
      <c r="M2563">
        <v>11</v>
      </c>
      <c r="N2563" t="s">
        <v>10</v>
      </c>
      <c r="O2563" t="s">
        <v>11</v>
      </c>
      <c r="P2563" t="s">
        <v>12</v>
      </c>
      <c r="Q2563" t="s">
        <v>13</v>
      </c>
      <c r="R2563" t="s">
        <v>13</v>
      </c>
      <c r="S2563" t="s">
        <v>144</v>
      </c>
      <c r="T2563" s="2">
        <f>MASTER[[#This Row],[CANTIDAD]]*MASTER[[#This Row],[PRECIO DE VENTA]]</f>
        <v>1328</v>
      </c>
      <c r="U2563" s="2">
        <f>MASTER[[#This Row],[CANTIDAD]]*MASTER[[#This Row],[COSTO UNITARIO]]</f>
        <v>386</v>
      </c>
      <c r="V2563" s="2">
        <f>MASTER[[#This Row],[MONTO VENDIDO]]-MASTER[[#This Row],[COSTO DE VENTA]]</f>
        <v>942</v>
      </c>
    </row>
    <row r="2564" spans="1:22" x14ac:dyDescent="0.3">
      <c r="A2564">
        <v>43035</v>
      </c>
      <c r="B2564">
        <v>1</v>
      </c>
      <c r="C2564" t="s">
        <v>109</v>
      </c>
      <c r="D2564" t="s">
        <v>110</v>
      </c>
      <c r="E2564" s="1">
        <v>44139</v>
      </c>
      <c r="F2564">
        <v>1</v>
      </c>
      <c r="G2564" t="s">
        <v>20</v>
      </c>
      <c r="H2564" t="s">
        <v>21</v>
      </c>
      <c r="I2564" s="3">
        <v>947</v>
      </c>
      <c r="J2564" s="3">
        <v>947</v>
      </c>
      <c r="K2564" s="3">
        <v>387</v>
      </c>
      <c r="L2564" t="s">
        <v>98</v>
      </c>
      <c r="M2564">
        <v>16</v>
      </c>
      <c r="N2564" t="s">
        <v>17</v>
      </c>
      <c r="O2564" t="s">
        <v>11</v>
      </c>
      <c r="P2564" t="s">
        <v>18</v>
      </c>
      <c r="Q2564" t="s">
        <v>19</v>
      </c>
      <c r="R2564" t="s">
        <v>138</v>
      </c>
      <c r="S2564" t="s">
        <v>144</v>
      </c>
      <c r="T2564" s="2">
        <f>MASTER[[#This Row],[CANTIDAD]]*MASTER[[#This Row],[PRECIO DE VENTA]]</f>
        <v>947</v>
      </c>
      <c r="U2564" s="2">
        <f>MASTER[[#This Row],[CANTIDAD]]*MASTER[[#This Row],[COSTO UNITARIO]]</f>
        <v>387</v>
      </c>
      <c r="V2564" s="2">
        <f>MASTER[[#This Row],[MONTO VENDIDO]]-MASTER[[#This Row],[COSTO DE VENTA]]</f>
        <v>560</v>
      </c>
    </row>
    <row r="2565" spans="1:22" x14ac:dyDescent="0.3">
      <c r="A2565">
        <v>43039</v>
      </c>
      <c r="B2565">
        <v>1</v>
      </c>
      <c r="C2565" t="s">
        <v>90</v>
      </c>
      <c r="D2565" t="s">
        <v>91</v>
      </c>
      <c r="E2565" s="1">
        <v>44139</v>
      </c>
      <c r="F2565">
        <v>1</v>
      </c>
      <c r="G2565" t="s">
        <v>49</v>
      </c>
      <c r="H2565" t="s">
        <v>50</v>
      </c>
      <c r="I2565" s="3">
        <v>1844</v>
      </c>
      <c r="J2565" s="3">
        <v>1844</v>
      </c>
      <c r="K2565" s="3">
        <v>420</v>
      </c>
      <c r="L2565" t="s">
        <v>9</v>
      </c>
      <c r="M2565">
        <v>5</v>
      </c>
      <c r="N2565" t="s">
        <v>85</v>
      </c>
      <c r="O2565" t="s">
        <v>81</v>
      </c>
      <c r="P2565" t="s">
        <v>12</v>
      </c>
      <c r="Q2565" t="s">
        <v>13</v>
      </c>
      <c r="R2565" t="s">
        <v>13</v>
      </c>
      <c r="S2565" t="s">
        <v>144</v>
      </c>
      <c r="T2565" s="2">
        <f>MASTER[[#This Row],[CANTIDAD]]*MASTER[[#This Row],[PRECIO DE VENTA]]</f>
        <v>1844</v>
      </c>
      <c r="U2565" s="2">
        <f>MASTER[[#This Row],[CANTIDAD]]*MASTER[[#This Row],[COSTO UNITARIO]]</f>
        <v>420</v>
      </c>
      <c r="V2565" s="2">
        <f>MASTER[[#This Row],[MONTO VENDIDO]]-MASTER[[#This Row],[COSTO DE VENTA]]</f>
        <v>1424</v>
      </c>
    </row>
    <row r="2566" spans="1:22" x14ac:dyDescent="0.3">
      <c r="A2566">
        <v>43071</v>
      </c>
      <c r="B2566">
        <v>1</v>
      </c>
      <c r="C2566" t="s">
        <v>118</v>
      </c>
      <c r="D2566" t="s">
        <v>119</v>
      </c>
      <c r="E2566" s="1">
        <v>44139</v>
      </c>
      <c r="F2566">
        <v>1</v>
      </c>
      <c r="G2566" t="s">
        <v>41</v>
      </c>
      <c r="H2566" t="s">
        <v>42</v>
      </c>
      <c r="I2566" s="3">
        <v>900</v>
      </c>
      <c r="J2566" s="3">
        <v>900</v>
      </c>
      <c r="K2566" s="3">
        <v>424</v>
      </c>
      <c r="L2566" t="s">
        <v>120</v>
      </c>
      <c r="M2566">
        <v>8</v>
      </c>
      <c r="N2566" t="s">
        <v>80</v>
      </c>
      <c r="O2566" t="s">
        <v>81</v>
      </c>
      <c r="P2566" t="s">
        <v>12</v>
      </c>
      <c r="Q2566" t="s">
        <v>13</v>
      </c>
      <c r="R2566" t="s">
        <v>13</v>
      </c>
      <c r="S2566" t="s">
        <v>144</v>
      </c>
      <c r="T2566" s="2">
        <f>MASTER[[#This Row],[CANTIDAD]]*MASTER[[#This Row],[PRECIO DE VENTA]]</f>
        <v>900</v>
      </c>
      <c r="U2566" s="2">
        <f>MASTER[[#This Row],[CANTIDAD]]*MASTER[[#This Row],[COSTO UNITARIO]]</f>
        <v>424</v>
      </c>
      <c r="V2566" s="2">
        <f>MASTER[[#This Row],[MONTO VENDIDO]]-MASTER[[#This Row],[COSTO DE VENTA]]</f>
        <v>476</v>
      </c>
    </row>
    <row r="2567" spans="1:22" x14ac:dyDescent="0.3">
      <c r="A2567">
        <v>43087</v>
      </c>
      <c r="B2567">
        <v>1</v>
      </c>
      <c r="C2567" t="s">
        <v>109</v>
      </c>
      <c r="D2567" t="s">
        <v>110</v>
      </c>
      <c r="E2567" s="1">
        <v>44140</v>
      </c>
      <c r="F2567">
        <v>1</v>
      </c>
      <c r="G2567" t="s">
        <v>59</v>
      </c>
      <c r="H2567" t="s">
        <v>60</v>
      </c>
      <c r="I2567" s="3">
        <v>947</v>
      </c>
      <c r="J2567" s="3">
        <v>947</v>
      </c>
      <c r="K2567" s="3">
        <v>387</v>
      </c>
      <c r="L2567" t="s">
        <v>98</v>
      </c>
      <c r="M2567">
        <v>17</v>
      </c>
      <c r="N2567" t="s">
        <v>14</v>
      </c>
      <c r="O2567" t="s">
        <v>11</v>
      </c>
      <c r="P2567" t="s">
        <v>15</v>
      </c>
      <c r="Q2567" t="s">
        <v>16</v>
      </c>
      <c r="R2567" t="s">
        <v>16</v>
      </c>
      <c r="S2567" t="s">
        <v>144</v>
      </c>
      <c r="T2567" s="2">
        <f>MASTER[[#This Row],[CANTIDAD]]*MASTER[[#This Row],[PRECIO DE VENTA]]</f>
        <v>947</v>
      </c>
      <c r="U2567" s="2">
        <f>MASTER[[#This Row],[CANTIDAD]]*MASTER[[#This Row],[COSTO UNITARIO]]</f>
        <v>387</v>
      </c>
      <c r="V2567" s="2">
        <f>MASTER[[#This Row],[MONTO VENDIDO]]-MASTER[[#This Row],[COSTO DE VENTA]]</f>
        <v>560</v>
      </c>
    </row>
    <row r="2568" spans="1:22" x14ac:dyDescent="0.3">
      <c r="A2568">
        <v>43092</v>
      </c>
      <c r="B2568">
        <v>1</v>
      </c>
      <c r="C2568" t="s">
        <v>109</v>
      </c>
      <c r="D2568" t="s">
        <v>110</v>
      </c>
      <c r="E2568" s="1">
        <v>44140</v>
      </c>
      <c r="F2568">
        <v>1</v>
      </c>
      <c r="G2568" t="s">
        <v>73</v>
      </c>
      <c r="H2568" t="s">
        <v>74</v>
      </c>
      <c r="I2568" s="3">
        <v>1064</v>
      </c>
      <c r="J2568" s="3">
        <v>1064</v>
      </c>
      <c r="K2568" s="3">
        <v>387</v>
      </c>
      <c r="L2568" t="s">
        <v>98</v>
      </c>
      <c r="M2568">
        <v>14</v>
      </c>
      <c r="N2568" t="s">
        <v>87</v>
      </c>
      <c r="O2568" t="s">
        <v>81</v>
      </c>
      <c r="P2568" t="s">
        <v>18</v>
      </c>
      <c r="Q2568" t="s">
        <v>19</v>
      </c>
      <c r="R2568" t="s">
        <v>138</v>
      </c>
      <c r="S2568" t="s">
        <v>144</v>
      </c>
      <c r="T2568" s="2">
        <f>MASTER[[#This Row],[CANTIDAD]]*MASTER[[#This Row],[PRECIO DE VENTA]]</f>
        <v>1064</v>
      </c>
      <c r="U2568" s="2">
        <f>MASTER[[#This Row],[CANTIDAD]]*MASTER[[#This Row],[COSTO UNITARIO]]</f>
        <v>387</v>
      </c>
      <c r="V2568" s="2">
        <f>MASTER[[#This Row],[MONTO VENDIDO]]-MASTER[[#This Row],[COSTO DE VENTA]]</f>
        <v>677</v>
      </c>
    </row>
    <row r="2569" spans="1:22" x14ac:dyDescent="0.3">
      <c r="A2569">
        <v>43095</v>
      </c>
      <c r="B2569">
        <v>1</v>
      </c>
      <c r="C2569" t="s">
        <v>99</v>
      </c>
      <c r="D2569" t="s">
        <v>100</v>
      </c>
      <c r="E2569" s="1">
        <v>44140</v>
      </c>
      <c r="F2569">
        <v>1</v>
      </c>
      <c r="G2569" t="s">
        <v>35</v>
      </c>
      <c r="H2569" t="s">
        <v>36</v>
      </c>
      <c r="I2569" s="3">
        <v>1459</v>
      </c>
      <c r="J2569" s="3">
        <v>1459</v>
      </c>
      <c r="K2569" s="3">
        <v>386</v>
      </c>
      <c r="L2569" t="s">
        <v>98</v>
      </c>
      <c r="M2569">
        <v>2</v>
      </c>
      <c r="N2569" t="s">
        <v>86</v>
      </c>
      <c r="O2569" t="s">
        <v>81</v>
      </c>
      <c r="P2569" t="s">
        <v>71</v>
      </c>
      <c r="Q2569" t="s">
        <v>72</v>
      </c>
      <c r="R2569" t="s">
        <v>139</v>
      </c>
      <c r="S2569" t="s">
        <v>144</v>
      </c>
      <c r="T2569" s="2">
        <f>MASTER[[#This Row],[CANTIDAD]]*MASTER[[#This Row],[PRECIO DE VENTA]]</f>
        <v>1459</v>
      </c>
      <c r="U2569" s="2">
        <f>MASTER[[#This Row],[CANTIDAD]]*MASTER[[#This Row],[COSTO UNITARIO]]</f>
        <v>386</v>
      </c>
      <c r="V2569" s="2">
        <f>MASTER[[#This Row],[MONTO VENDIDO]]-MASTER[[#This Row],[COSTO DE VENTA]]</f>
        <v>1073</v>
      </c>
    </row>
    <row r="2570" spans="1:22" x14ac:dyDescent="0.3">
      <c r="A2570">
        <v>43100</v>
      </c>
      <c r="B2570">
        <v>1</v>
      </c>
      <c r="C2570" t="s">
        <v>121</v>
      </c>
      <c r="D2570" t="s">
        <v>122</v>
      </c>
      <c r="E2570" s="1">
        <v>44140</v>
      </c>
      <c r="F2570">
        <v>1</v>
      </c>
      <c r="G2570" t="s">
        <v>22</v>
      </c>
      <c r="H2570" t="s">
        <v>23</v>
      </c>
      <c r="I2570" s="3">
        <v>1144</v>
      </c>
      <c r="J2570" s="3">
        <v>1144</v>
      </c>
      <c r="K2570" s="3">
        <v>460</v>
      </c>
      <c r="L2570" t="s">
        <v>120</v>
      </c>
      <c r="M2570">
        <v>6</v>
      </c>
      <c r="N2570" t="s">
        <v>75</v>
      </c>
      <c r="O2570" t="s">
        <v>70</v>
      </c>
      <c r="P2570" t="s">
        <v>12</v>
      </c>
      <c r="Q2570" t="s">
        <v>13</v>
      </c>
      <c r="R2570" t="s">
        <v>13</v>
      </c>
      <c r="S2570" t="s">
        <v>144</v>
      </c>
      <c r="T2570" s="2">
        <f>MASTER[[#This Row],[CANTIDAD]]*MASTER[[#This Row],[PRECIO DE VENTA]]</f>
        <v>1144</v>
      </c>
      <c r="U2570" s="2">
        <f>MASTER[[#This Row],[CANTIDAD]]*MASTER[[#This Row],[COSTO UNITARIO]]</f>
        <v>460</v>
      </c>
      <c r="V2570" s="2">
        <f>MASTER[[#This Row],[MONTO VENDIDO]]-MASTER[[#This Row],[COSTO DE VENTA]]</f>
        <v>684</v>
      </c>
    </row>
    <row r="2571" spans="1:22" x14ac:dyDescent="0.3">
      <c r="A2571">
        <v>43132</v>
      </c>
      <c r="B2571">
        <v>1</v>
      </c>
      <c r="C2571" t="s">
        <v>107</v>
      </c>
      <c r="D2571" t="s">
        <v>108</v>
      </c>
      <c r="E2571" s="1">
        <v>44140</v>
      </c>
      <c r="F2571">
        <v>1</v>
      </c>
      <c r="G2571" t="s">
        <v>29</v>
      </c>
      <c r="H2571" t="s">
        <v>30</v>
      </c>
      <c r="I2571" s="3">
        <v>1333</v>
      </c>
      <c r="J2571" s="3">
        <v>1333</v>
      </c>
      <c r="K2571" s="3">
        <v>380</v>
      </c>
      <c r="L2571" t="s">
        <v>98</v>
      </c>
      <c r="M2571">
        <v>15</v>
      </c>
      <c r="N2571" t="s">
        <v>88</v>
      </c>
      <c r="O2571" t="s">
        <v>81</v>
      </c>
      <c r="P2571" t="s">
        <v>18</v>
      </c>
      <c r="Q2571" t="s">
        <v>19</v>
      </c>
      <c r="R2571" t="s">
        <v>138</v>
      </c>
      <c r="S2571" t="s">
        <v>144</v>
      </c>
      <c r="T2571" s="2">
        <f>MASTER[[#This Row],[CANTIDAD]]*MASTER[[#This Row],[PRECIO DE VENTA]]</f>
        <v>1333</v>
      </c>
      <c r="U2571" s="2">
        <f>MASTER[[#This Row],[CANTIDAD]]*MASTER[[#This Row],[COSTO UNITARIO]]</f>
        <v>380</v>
      </c>
      <c r="V2571" s="2">
        <f>MASTER[[#This Row],[MONTO VENDIDO]]-MASTER[[#This Row],[COSTO DE VENTA]]</f>
        <v>953</v>
      </c>
    </row>
    <row r="2572" spans="1:22" x14ac:dyDescent="0.3">
      <c r="A2572">
        <v>43162</v>
      </c>
      <c r="B2572">
        <v>1</v>
      </c>
      <c r="C2572" t="s">
        <v>101</v>
      </c>
      <c r="D2572" t="s">
        <v>102</v>
      </c>
      <c r="E2572" s="1">
        <v>44140</v>
      </c>
      <c r="F2572">
        <v>1</v>
      </c>
      <c r="G2572" t="s">
        <v>51</v>
      </c>
      <c r="H2572" t="s">
        <v>52</v>
      </c>
      <c r="I2572" s="3">
        <v>1054</v>
      </c>
      <c r="J2572" s="3">
        <v>1054</v>
      </c>
      <c r="K2572" s="3">
        <v>442</v>
      </c>
      <c r="L2572" t="s">
        <v>98</v>
      </c>
      <c r="M2572">
        <v>17</v>
      </c>
      <c r="N2572" t="s">
        <v>14</v>
      </c>
      <c r="O2572" t="s">
        <v>11</v>
      </c>
      <c r="P2572" t="s">
        <v>15</v>
      </c>
      <c r="Q2572" t="s">
        <v>16</v>
      </c>
      <c r="R2572" t="s">
        <v>16</v>
      </c>
      <c r="S2572" t="s">
        <v>144</v>
      </c>
      <c r="T2572" s="2">
        <f>MASTER[[#This Row],[CANTIDAD]]*MASTER[[#This Row],[PRECIO DE VENTA]]</f>
        <v>1054</v>
      </c>
      <c r="U2572" s="2">
        <f>MASTER[[#This Row],[CANTIDAD]]*MASTER[[#This Row],[COSTO UNITARIO]]</f>
        <v>442</v>
      </c>
      <c r="V2572" s="2">
        <f>MASTER[[#This Row],[MONTO VENDIDO]]-MASTER[[#This Row],[COSTO DE VENTA]]</f>
        <v>612</v>
      </c>
    </row>
    <row r="2573" spans="1:22" x14ac:dyDescent="0.3">
      <c r="A2573">
        <v>43169</v>
      </c>
      <c r="B2573">
        <v>1</v>
      </c>
      <c r="C2573" t="s">
        <v>90</v>
      </c>
      <c r="D2573" t="s">
        <v>91</v>
      </c>
      <c r="E2573" s="1">
        <v>44140</v>
      </c>
      <c r="F2573">
        <v>1</v>
      </c>
      <c r="G2573" t="s">
        <v>31</v>
      </c>
      <c r="H2573" t="s">
        <v>32</v>
      </c>
      <c r="I2573" s="3">
        <v>1844</v>
      </c>
      <c r="J2573" s="3">
        <v>1844</v>
      </c>
      <c r="K2573" s="3">
        <v>420</v>
      </c>
      <c r="L2573" t="s">
        <v>9</v>
      </c>
      <c r="M2573">
        <v>10</v>
      </c>
      <c r="N2573" t="s">
        <v>83</v>
      </c>
      <c r="O2573" t="s">
        <v>81</v>
      </c>
      <c r="P2573" t="s">
        <v>12</v>
      </c>
      <c r="Q2573" t="s">
        <v>13</v>
      </c>
      <c r="R2573" t="s">
        <v>13</v>
      </c>
      <c r="S2573" t="s">
        <v>144</v>
      </c>
      <c r="T2573" s="2">
        <f>MASTER[[#This Row],[CANTIDAD]]*MASTER[[#This Row],[PRECIO DE VENTA]]</f>
        <v>1844</v>
      </c>
      <c r="U2573" s="2">
        <f>MASTER[[#This Row],[CANTIDAD]]*MASTER[[#This Row],[COSTO UNITARIO]]</f>
        <v>420</v>
      </c>
      <c r="V2573" s="2">
        <f>MASTER[[#This Row],[MONTO VENDIDO]]-MASTER[[#This Row],[COSTO DE VENTA]]</f>
        <v>1424</v>
      </c>
    </row>
    <row r="2574" spans="1:22" x14ac:dyDescent="0.3">
      <c r="A2574">
        <v>43175</v>
      </c>
      <c r="B2574">
        <v>1</v>
      </c>
      <c r="C2574" t="s">
        <v>121</v>
      </c>
      <c r="D2574" t="s">
        <v>122</v>
      </c>
      <c r="E2574" s="1">
        <v>44140</v>
      </c>
      <c r="F2574">
        <v>1</v>
      </c>
      <c r="G2574" t="s">
        <v>41</v>
      </c>
      <c r="H2574" t="s">
        <v>42</v>
      </c>
      <c r="I2574" s="3">
        <v>1144</v>
      </c>
      <c r="J2574" s="3">
        <v>1144</v>
      </c>
      <c r="K2574" s="3">
        <v>460</v>
      </c>
      <c r="L2574" t="s">
        <v>120</v>
      </c>
      <c r="M2574">
        <v>18</v>
      </c>
      <c r="N2574" t="s">
        <v>79</v>
      </c>
      <c r="O2574" t="s">
        <v>70</v>
      </c>
      <c r="P2574" t="s">
        <v>15</v>
      </c>
      <c r="Q2574" t="s">
        <v>16</v>
      </c>
      <c r="R2574" t="s">
        <v>16</v>
      </c>
      <c r="S2574" t="s">
        <v>144</v>
      </c>
      <c r="T2574" s="2">
        <f>MASTER[[#This Row],[CANTIDAD]]*MASTER[[#This Row],[PRECIO DE VENTA]]</f>
        <v>1144</v>
      </c>
      <c r="U2574" s="2">
        <f>MASTER[[#This Row],[CANTIDAD]]*MASTER[[#This Row],[COSTO UNITARIO]]</f>
        <v>460</v>
      </c>
      <c r="V2574" s="2">
        <f>MASTER[[#This Row],[MONTO VENDIDO]]-MASTER[[#This Row],[COSTO DE VENTA]]</f>
        <v>684</v>
      </c>
    </row>
    <row r="2575" spans="1:22" x14ac:dyDescent="0.3">
      <c r="A2575">
        <v>43191</v>
      </c>
      <c r="B2575">
        <v>1</v>
      </c>
      <c r="C2575" t="s">
        <v>109</v>
      </c>
      <c r="D2575" t="s">
        <v>110</v>
      </c>
      <c r="E2575" s="1">
        <v>44140</v>
      </c>
      <c r="F2575">
        <v>1</v>
      </c>
      <c r="G2575" t="s">
        <v>29</v>
      </c>
      <c r="H2575" t="s">
        <v>30</v>
      </c>
      <c r="I2575" s="3">
        <v>1128</v>
      </c>
      <c r="J2575" s="3">
        <v>1128</v>
      </c>
      <c r="K2575" s="3">
        <v>387</v>
      </c>
      <c r="L2575" t="s">
        <v>98</v>
      </c>
      <c r="M2575">
        <v>13</v>
      </c>
      <c r="N2575" t="s">
        <v>78</v>
      </c>
      <c r="O2575" t="s">
        <v>70</v>
      </c>
      <c r="P2575" t="s">
        <v>18</v>
      </c>
      <c r="Q2575" t="s">
        <v>19</v>
      </c>
      <c r="R2575" t="s">
        <v>138</v>
      </c>
      <c r="S2575" t="s">
        <v>144</v>
      </c>
      <c r="T2575" s="2">
        <f>MASTER[[#This Row],[CANTIDAD]]*MASTER[[#This Row],[PRECIO DE VENTA]]</f>
        <v>1128</v>
      </c>
      <c r="U2575" s="2">
        <f>MASTER[[#This Row],[CANTIDAD]]*MASTER[[#This Row],[COSTO UNITARIO]]</f>
        <v>387</v>
      </c>
      <c r="V2575" s="2">
        <f>MASTER[[#This Row],[MONTO VENDIDO]]-MASTER[[#This Row],[COSTO DE VENTA]]</f>
        <v>741</v>
      </c>
    </row>
    <row r="2576" spans="1:22" x14ac:dyDescent="0.3">
      <c r="A2576">
        <v>43200</v>
      </c>
      <c r="B2576">
        <v>1</v>
      </c>
      <c r="C2576" t="s">
        <v>109</v>
      </c>
      <c r="D2576" t="s">
        <v>110</v>
      </c>
      <c r="E2576" s="1">
        <v>44141</v>
      </c>
      <c r="F2576">
        <v>1</v>
      </c>
      <c r="G2576" t="s">
        <v>35</v>
      </c>
      <c r="H2576" t="s">
        <v>36</v>
      </c>
      <c r="I2576" s="3">
        <v>1064</v>
      </c>
      <c r="J2576" s="3">
        <v>1064</v>
      </c>
      <c r="K2576" s="3">
        <v>387</v>
      </c>
      <c r="L2576" t="s">
        <v>98</v>
      </c>
      <c r="M2576">
        <v>10</v>
      </c>
      <c r="N2576" t="s">
        <v>83</v>
      </c>
      <c r="O2576" t="s">
        <v>81</v>
      </c>
      <c r="P2576" t="s">
        <v>12</v>
      </c>
      <c r="Q2576" t="s">
        <v>13</v>
      </c>
      <c r="R2576" t="s">
        <v>13</v>
      </c>
      <c r="S2576" t="s">
        <v>144</v>
      </c>
      <c r="T2576" s="2">
        <f>MASTER[[#This Row],[CANTIDAD]]*MASTER[[#This Row],[PRECIO DE VENTA]]</f>
        <v>1064</v>
      </c>
      <c r="U2576" s="2">
        <f>MASTER[[#This Row],[CANTIDAD]]*MASTER[[#This Row],[COSTO UNITARIO]]</f>
        <v>387</v>
      </c>
      <c r="V2576" s="2">
        <f>MASTER[[#This Row],[MONTO VENDIDO]]-MASTER[[#This Row],[COSTO DE VENTA]]</f>
        <v>677</v>
      </c>
    </row>
    <row r="2577" spans="1:22" x14ac:dyDescent="0.3">
      <c r="A2577">
        <v>43201</v>
      </c>
      <c r="B2577">
        <v>1</v>
      </c>
      <c r="C2577" t="s">
        <v>94</v>
      </c>
      <c r="D2577" t="s">
        <v>95</v>
      </c>
      <c r="E2577" s="1">
        <v>44141</v>
      </c>
      <c r="F2577">
        <v>1</v>
      </c>
      <c r="G2577" t="s">
        <v>45</v>
      </c>
      <c r="H2577" t="s">
        <v>46</v>
      </c>
      <c r="I2577" s="3">
        <v>1048</v>
      </c>
      <c r="J2577" s="3">
        <v>1048</v>
      </c>
      <c r="K2577" s="3">
        <v>392</v>
      </c>
      <c r="L2577" t="s">
        <v>9</v>
      </c>
      <c r="M2577">
        <v>10</v>
      </c>
      <c r="N2577" t="s">
        <v>83</v>
      </c>
      <c r="O2577" t="s">
        <v>81</v>
      </c>
      <c r="P2577" t="s">
        <v>12</v>
      </c>
      <c r="Q2577" t="s">
        <v>13</v>
      </c>
      <c r="R2577" t="s">
        <v>13</v>
      </c>
      <c r="S2577" t="s">
        <v>144</v>
      </c>
      <c r="T2577" s="2">
        <f>MASTER[[#This Row],[CANTIDAD]]*MASTER[[#This Row],[PRECIO DE VENTA]]</f>
        <v>1048</v>
      </c>
      <c r="U2577" s="2">
        <f>MASTER[[#This Row],[CANTIDAD]]*MASTER[[#This Row],[COSTO UNITARIO]]</f>
        <v>392</v>
      </c>
      <c r="V2577" s="2">
        <f>MASTER[[#This Row],[MONTO VENDIDO]]-MASTER[[#This Row],[COSTO DE VENTA]]</f>
        <v>656</v>
      </c>
    </row>
    <row r="2578" spans="1:22" x14ac:dyDescent="0.3">
      <c r="A2578">
        <v>43223</v>
      </c>
      <c r="B2578">
        <v>1</v>
      </c>
      <c r="C2578" t="s">
        <v>103</v>
      </c>
      <c r="D2578" t="s">
        <v>104</v>
      </c>
      <c r="E2578" s="1">
        <v>44141</v>
      </c>
      <c r="F2578">
        <v>1</v>
      </c>
      <c r="G2578" t="s">
        <v>29</v>
      </c>
      <c r="H2578" t="s">
        <v>30</v>
      </c>
      <c r="I2578" s="3">
        <v>1830</v>
      </c>
      <c r="J2578" s="3">
        <v>1830</v>
      </c>
      <c r="K2578" s="3">
        <v>421</v>
      </c>
      <c r="L2578" t="s">
        <v>98</v>
      </c>
      <c r="M2578">
        <v>6</v>
      </c>
      <c r="N2578" t="s">
        <v>75</v>
      </c>
      <c r="O2578" t="s">
        <v>70</v>
      </c>
      <c r="P2578" t="s">
        <v>12</v>
      </c>
      <c r="Q2578" t="s">
        <v>13</v>
      </c>
      <c r="R2578" t="s">
        <v>13</v>
      </c>
      <c r="S2578" t="s">
        <v>144</v>
      </c>
      <c r="T2578" s="2">
        <f>MASTER[[#This Row],[CANTIDAD]]*MASTER[[#This Row],[PRECIO DE VENTA]]</f>
        <v>1830</v>
      </c>
      <c r="U2578" s="2">
        <f>MASTER[[#This Row],[CANTIDAD]]*MASTER[[#This Row],[COSTO UNITARIO]]</f>
        <v>421</v>
      </c>
      <c r="V2578" s="2">
        <f>MASTER[[#This Row],[MONTO VENDIDO]]-MASTER[[#This Row],[COSTO DE VENTA]]</f>
        <v>1409</v>
      </c>
    </row>
    <row r="2579" spans="1:22" x14ac:dyDescent="0.3">
      <c r="A2579">
        <v>43225</v>
      </c>
      <c r="B2579">
        <v>1</v>
      </c>
      <c r="C2579" t="s">
        <v>94</v>
      </c>
      <c r="D2579" t="s">
        <v>95</v>
      </c>
      <c r="E2579" s="1">
        <v>44141</v>
      </c>
      <c r="F2579">
        <v>1</v>
      </c>
      <c r="G2579" t="s">
        <v>7</v>
      </c>
      <c r="H2579" t="s">
        <v>8</v>
      </c>
      <c r="I2579" s="3">
        <v>1048</v>
      </c>
      <c r="J2579" s="3">
        <v>1048</v>
      </c>
      <c r="K2579" s="3">
        <v>392</v>
      </c>
      <c r="L2579" t="s">
        <v>9</v>
      </c>
      <c r="M2579">
        <v>5</v>
      </c>
      <c r="N2579" t="s">
        <v>85</v>
      </c>
      <c r="O2579" t="s">
        <v>81</v>
      </c>
      <c r="P2579" t="s">
        <v>12</v>
      </c>
      <c r="Q2579" t="s">
        <v>13</v>
      </c>
      <c r="R2579" t="s">
        <v>13</v>
      </c>
      <c r="S2579" t="s">
        <v>144</v>
      </c>
      <c r="T2579" s="2">
        <f>MASTER[[#This Row],[CANTIDAD]]*MASTER[[#This Row],[PRECIO DE VENTA]]</f>
        <v>1048</v>
      </c>
      <c r="U2579" s="2">
        <f>MASTER[[#This Row],[CANTIDAD]]*MASTER[[#This Row],[COSTO UNITARIO]]</f>
        <v>392</v>
      </c>
      <c r="V2579" s="2">
        <f>MASTER[[#This Row],[MONTO VENDIDO]]-MASTER[[#This Row],[COSTO DE VENTA]]</f>
        <v>656</v>
      </c>
    </row>
    <row r="2580" spans="1:22" x14ac:dyDescent="0.3">
      <c r="A2580">
        <v>43244</v>
      </c>
      <c r="B2580">
        <v>1</v>
      </c>
      <c r="C2580" t="s">
        <v>103</v>
      </c>
      <c r="D2580" t="s">
        <v>104</v>
      </c>
      <c r="E2580" s="1">
        <v>44141</v>
      </c>
      <c r="F2580">
        <v>1</v>
      </c>
      <c r="G2580" t="s">
        <v>7</v>
      </c>
      <c r="H2580" t="s">
        <v>8</v>
      </c>
      <c r="I2580" s="3">
        <v>1830</v>
      </c>
      <c r="J2580" s="3">
        <v>1830</v>
      </c>
      <c r="K2580" s="3">
        <v>421</v>
      </c>
      <c r="L2580" t="s">
        <v>98</v>
      </c>
      <c r="M2580">
        <v>9</v>
      </c>
      <c r="N2580" t="s">
        <v>76</v>
      </c>
      <c r="O2580" t="s">
        <v>70</v>
      </c>
      <c r="P2580" t="s">
        <v>12</v>
      </c>
      <c r="Q2580" t="s">
        <v>13</v>
      </c>
      <c r="R2580" t="s">
        <v>13</v>
      </c>
      <c r="S2580" t="s">
        <v>144</v>
      </c>
      <c r="T2580" s="2">
        <f>MASTER[[#This Row],[CANTIDAD]]*MASTER[[#This Row],[PRECIO DE VENTA]]</f>
        <v>1830</v>
      </c>
      <c r="U2580" s="2">
        <f>MASTER[[#This Row],[CANTIDAD]]*MASTER[[#This Row],[COSTO UNITARIO]]</f>
        <v>421</v>
      </c>
      <c r="V2580" s="2">
        <f>MASTER[[#This Row],[MONTO VENDIDO]]-MASTER[[#This Row],[COSTO DE VENTA]]</f>
        <v>1409</v>
      </c>
    </row>
    <row r="2581" spans="1:22" x14ac:dyDescent="0.3">
      <c r="A2581">
        <v>43256</v>
      </c>
      <c r="B2581">
        <v>1</v>
      </c>
      <c r="C2581" t="s">
        <v>114</v>
      </c>
      <c r="D2581" t="s">
        <v>115</v>
      </c>
      <c r="E2581" s="1">
        <v>44141</v>
      </c>
      <c r="F2581">
        <v>1</v>
      </c>
      <c r="G2581" t="s">
        <v>37</v>
      </c>
      <c r="H2581" t="s">
        <v>38</v>
      </c>
      <c r="I2581" s="3">
        <v>2030</v>
      </c>
      <c r="J2581" s="3">
        <v>2030</v>
      </c>
      <c r="K2581" s="3">
        <v>394</v>
      </c>
      <c r="L2581" t="s">
        <v>113</v>
      </c>
      <c r="M2581">
        <v>9</v>
      </c>
      <c r="N2581" t="s">
        <v>76</v>
      </c>
      <c r="O2581" t="s">
        <v>70</v>
      </c>
      <c r="P2581" t="s">
        <v>12</v>
      </c>
      <c r="Q2581" t="s">
        <v>13</v>
      </c>
      <c r="R2581" t="s">
        <v>13</v>
      </c>
      <c r="S2581" t="s">
        <v>144</v>
      </c>
      <c r="T2581" s="2">
        <f>MASTER[[#This Row],[CANTIDAD]]*MASTER[[#This Row],[PRECIO DE VENTA]]</f>
        <v>2030</v>
      </c>
      <c r="U2581" s="2">
        <f>MASTER[[#This Row],[CANTIDAD]]*MASTER[[#This Row],[COSTO UNITARIO]]</f>
        <v>394</v>
      </c>
      <c r="V2581" s="2">
        <f>MASTER[[#This Row],[MONTO VENDIDO]]-MASTER[[#This Row],[COSTO DE VENTA]]</f>
        <v>1636</v>
      </c>
    </row>
    <row r="2582" spans="1:22" x14ac:dyDescent="0.3">
      <c r="A2582">
        <v>43264</v>
      </c>
      <c r="B2582">
        <v>1</v>
      </c>
      <c r="C2582" t="s">
        <v>101</v>
      </c>
      <c r="D2582" t="s">
        <v>102</v>
      </c>
      <c r="E2582" s="1">
        <v>44141</v>
      </c>
      <c r="F2582">
        <v>1</v>
      </c>
      <c r="G2582" t="s">
        <v>57</v>
      </c>
      <c r="H2582" t="s">
        <v>58</v>
      </c>
      <c r="I2582" s="3">
        <v>1212</v>
      </c>
      <c r="J2582" s="3">
        <v>1212</v>
      </c>
      <c r="K2582" s="3">
        <v>442</v>
      </c>
      <c r="L2582" t="s">
        <v>98</v>
      </c>
      <c r="M2582">
        <v>4</v>
      </c>
      <c r="N2582" t="s">
        <v>82</v>
      </c>
      <c r="O2582" t="s">
        <v>81</v>
      </c>
      <c r="P2582" t="s">
        <v>71</v>
      </c>
      <c r="Q2582" t="s">
        <v>72</v>
      </c>
      <c r="R2582" t="s">
        <v>139</v>
      </c>
      <c r="S2582" t="s">
        <v>144</v>
      </c>
      <c r="T2582" s="2">
        <f>MASTER[[#This Row],[CANTIDAD]]*MASTER[[#This Row],[PRECIO DE VENTA]]</f>
        <v>1212</v>
      </c>
      <c r="U2582" s="2">
        <f>MASTER[[#This Row],[CANTIDAD]]*MASTER[[#This Row],[COSTO UNITARIO]]</f>
        <v>442</v>
      </c>
      <c r="V2582" s="2">
        <f>MASTER[[#This Row],[MONTO VENDIDO]]-MASTER[[#This Row],[COSTO DE VENTA]]</f>
        <v>770</v>
      </c>
    </row>
    <row r="2583" spans="1:22" x14ac:dyDescent="0.3">
      <c r="A2583">
        <v>43268</v>
      </c>
      <c r="B2583">
        <v>1</v>
      </c>
      <c r="C2583" t="s">
        <v>109</v>
      </c>
      <c r="D2583" t="s">
        <v>110</v>
      </c>
      <c r="E2583" s="1">
        <v>44141</v>
      </c>
      <c r="F2583">
        <v>1</v>
      </c>
      <c r="G2583" t="s">
        <v>51</v>
      </c>
      <c r="H2583" t="s">
        <v>52</v>
      </c>
      <c r="I2583" s="3">
        <v>1064</v>
      </c>
      <c r="J2583" s="3">
        <v>1064</v>
      </c>
      <c r="K2583" s="3">
        <v>387</v>
      </c>
      <c r="L2583" t="s">
        <v>98</v>
      </c>
      <c r="M2583">
        <v>15</v>
      </c>
      <c r="N2583" t="s">
        <v>88</v>
      </c>
      <c r="O2583" t="s">
        <v>81</v>
      </c>
      <c r="P2583" t="s">
        <v>18</v>
      </c>
      <c r="Q2583" t="s">
        <v>19</v>
      </c>
      <c r="R2583" t="s">
        <v>138</v>
      </c>
      <c r="S2583" t="s">
        <v>144</v>
      </c>
      <c r="T2583" s="2">
        <f>MASTER[[#This Row],[CANTIDAD]]*MASTER[[#This Row],[PRECIO DE VENTA]]</f>
        <v>1064</v>
      </c>
      <c r="U2583" s="2">
        <f>MASTER[[#This Row],[CANTIDAD]]*MASTER[[#This Row],[COSTO UNITARIO]]</f>
        <v>387</v>
      </c>
      <c r="V2583" s="2">
        <f>MASTER[[#This Row],[MONTO VENDIDO]]-MASTER[[#This Row],[COSTO DE VENTA]]</f>
        <v>677</v>
      </c>
    </row>
    <row r="2584" spans="1:22" x14ac:dyDescent="0.3">
      <c r="A2584">
        <v>43279</v>
      </c>
      <c r="B2584">
        <v>1</v>
      </c>
      <c r="C2584" t="s">
        <v>101</v>
      </c>
      <c r="D2584" t="s">
        <v>102</v>
      </c>
      <c r="E2584" s="1">
        <v>44142</v>
      </c>
      <c r="F2584">
        <v>1</v>
      </c>
      <c r="G2584" t="s">
        <v>65</v>
      </c>
      <c r="H2584" t="s">
        <v>66</v>
      </c>
      <c r="I2584" s="3">
        <v>1212</v>
      </c>
      <c r="J2584" s="3">
        <v>1212</v>
      </c>
      <c r="K2584" s="3">
        <v>442</v>
      </c>
      <c r="L2584" t="s">
        <v>98</v>
      </c>
      <c r="M2584">
        <v>14</v>
      </c>
      <c r="N2584" t="s">
        <v>87</v>
      </c>
      <c r="O2584" t="s">
        <v>81</v>
      </c>
      <c r="P2584" t="s">
        <v>18</v>
      </c>
      <c r="Q2584" t="s">
        <v>19</v>
      </c>
      <c r="R2584" t="s">
        <v>138</v>
      </c>
      <c r="S2584" t="s">
        <v>144</v>
      </c>
      <c r="T2584" s="2">
        <f>MASTER[[#This Row],[CANTIDAD]]*MASTER[[#This Row],[PRECIO DE VENTA]]</f>
        <v>1212</v>
      </c>
      <c r="U2584" s="2">
        <f>MASTER[[#This Row],[CANTIDAD]]*MASTER[[#This Row],[COSTO UNITARIO]]</f>
        <v>442</v>
      </c>
      <c r="V2584" s="2">
        <f>MASTER[[#This Row],[MONTO VENDIDO]]-MASTER[[#This Row],[COSTO DE VENTA]]</f>
        <v>770</v>
      </c>
    </row>
    <row r="2585" spans="1:22" x14ac:dyDescent="0.3">
      <c r="A2585">
        <v>43283</v>
      </c>
      <c r="B2585">
        <v>1</v>
      </c>
      <c r="C2585" t="s">
        <v>121</v>
      </c>
      <c r="D2585" t="s">
        <v>122</v>
      </c>
      <c r="E2585" s="1">
        <v>44142</v>
      </c>
      <c r="F2585">
        <v>1</v>
      </c>
      <c r="G2585" t="s">
        <v>33</v>
      </c>
      <c r="H2585" t="s">
        <v>34</v>
      </c>
      <c r="I2585" s="3">
        <v>1069</v>
      </c>
      <c r="J2585" s="3">
        <v>1069</v>
      </c>
      <c r="K2585" s="3">
        <v>460</v>
      </c>
      <c r="L2585" t="s">
        <v>120</v>
      </c>
      <c r="M2585">
        <v>2</v>
      </c>
      <c r="N2585" t="s">
        <v>86</v>
      </c>
      <c r="O2585" t="s">
        <v>81</v>
      </c>
      <c r="P2585" t="s">
        <v>71</v>
      </c>
      <c r="Q2585" t="s">
        <v>72</v>
      </c>
      <c r="R2585" t="s">
        <v>139</v>
      </c>
      <c r="S2585" t="s">
        <v>144</v>
      </c>
      <c r="T2585" s="2">
        <f>MASTER[[#This Row],[CANTIDAD]]*MASTER[[#This Row],[PRECIO DE VENTA]]</f>
        <v>1069</v>
      </c>
      <c r="U2585" s="2">
        <f>MASTER[[#This Row],[CANTIDAD]]*MASTER[[#This Row],[COSTO UNITARIO]]</f>
        <v>460</v>
      </c>
      <c r="V2585" s="2">
        <f>MASTER[[#This Row],[MONTO VENDIDO]]-MASTER[[#This Row],[COSTO DE VENTA]]</f>
        <v>609</v>
      </c>
    </row>
    <row r="2586" spans="1:22" x14ac:dyDescent="0.3">
      <c r="A2586">
        <v>43292</v>
      </c>
      <c r="B2586">
        <v>1</v>
      </c>
      <c r="C2586" t="s">
        <v>96</v>
      </c>
      <c r="D2586" t="s">
        <v>97</v>
      </c>
      <c r="E2586" s="1">
        <v>44142</v>
      </c>
      <c r="F2586">
        <v>1</v>
      </c>
      <c r="G2586" t="s">
        <v>7</v>
      </c>
      <c r="H2586" t="s">
        <v>8</v>
      </c>
      <c r="I2586" s="3">
        <v>1272</v>
      </c>
      <c r="J2586" s="3">
        <v>1272</v>
      </c>
      <c r="K2586" s="3">
        <v>397</v>
      </c>
      <c r="L2586" t="s">
        <v>98</v>
      </c>
      <c r="M2586">
        <v>10</v>
      </c>
      <c r="N2586" t="s">
        <v>83</v>
      </c>
      <c r="O2586" t="s">
        <v>81</v>
      </c>
      <c r="P2586" t="s">
        <v>12</v>
      </c>
      <c r="Q2586" t="s">
        <v>13</v>
      </c>
      <c r="R2586" t="s">
        <v>13</v>
      </c>
      <c r="S2586" t="s">
        <v>144</v>
      </c>
      <c r="T2586" s="2">
        <f>MASTER[[#This Row],[CANTIDAD]]*MASTER[[#This Row],[PRECIO DE VENTA]]</f>
        <v>1272</v>
      </c>
      <c r="U2586" s="2">
        <f>MASTER[[#This Row],[CANTIDAD]]*MASTER[[#This Row],[COSTO UNITARIO]]</f>
        <v>397</v>
      </c>
      <c r="V2586" s="2">
        <f>MASTER[[#This Row],[MONTO VENDIDO]]-MASTER[[#This Row],[COSTO DE VENTA]]</f>
        <v>875</v>
      </c>
    </row>
    <row r="2587" spans="1:22" x14ac:dyDescent="0.3">
      <c r="A2587">
        <v>43298</v>
      </c>
      <c r="B2587">
        <v>1</v>
      </c>
      <c r="C2587" t="s">
        <v>96</v>
      </c>
      <c r="D2587" t="s">
        <v>97</v>
      </c>
      <c r="E2587" s="1">
        <v>44142</v>
      </c>
      <c r="F2587">
        <v>4</v>
      </c>
      <c r="G2587" t="s">
        <v>53</v>
      </c>
      <c r="H2587" t="s">
        <v>54</v>
      </c>
      <c r="I2587" s="3">
        <v>1361</v>
      </c>
      <c r="J2587" s="3">
        <v>1361</v>
      </c>
      <c r="K2587" s="3">
        <v>397</v>
      </c>
      <c r="L2587" t="s">
        <v>98</v>
      </c>
      <c r="M2587">
        <v>18</v>
      </c>
      <c r="N2587" t="s">
        <v>79</v>
      </c>
      <c r="O2587" t="s">
        <v>70</v>
      </c>
      <c r="P2587" t="s">
        <v>15</v>
      </c>
      <c r="Q2587" t="s">
        <v>16</v>
      </c>
      <c r="R2587" t="s">
        <v>16</v>
      </c>
      <c r="S2587" t="s">
        <v>144</v>
      </c>
      <c r="T2587" s="2">
        <f>MASTER[[#This Row],[CANTIDAD]]*MASTER[[#This Row],[PRECIO DE VENTA]]</f>
        <v>5444</v>
      </c>
      <c r="U2587" s="2">
        <f>MASTER[[#This Row],[CANTIDAD]]*MASTER[[#This Row],[COSTO UNITARIO]]</f>
        <v>1588</v>
      </c>
      <c r="V2587" s="2">
        <f>MASTER[[#This Row],[MONTO VENDIDO]]-MASTER[[#This Row],[COSTO DE VENTA]]</f>
        <v>3856</v>
      </c>
    </row>
    <row r="2588" spans="1:22" x14ac:dyDescent="0.3">
      <c r="A2588">
        <v>43308</v>
      </c>
      <c r="B2588">
        <v>1</v>
      </c>
      <c r="C2588" t="s">
        <v>90</v>
      </c>
      <c r="D2588" t="s">
        <v>91</v>
      </c>
      <c r="E2588" s="1">
        <v>44142</v>
      </c>
      <c r="F2588">
        <v>1</v>
      </c>
      <c r="G2588" t="s">
        <v>55</v>
      </c>
      <c r="H2588" t="s">
        <v>56</v>
      </c>
      <c r="I2588" s="3">
        <v>2102</v>
      </c>
      <c r="J2588" s="3">
        <v>1933</v>
      </c>
      <c r="K2588" s="3">
        <v>420</v>
      </c>
      <c r="L2588" t="s">
        <v>9</v>
      </c>
      <c r="M2588">
        <v>3</v>
      </c>
      <c r="N2588" t="s">
        <v>69</v>
      </c>
      <c r="O2588" t="s">
        <v>70</v>
      </c>
      <c r="P2588" t="s">
        <v>71</v>
      </c>
      <c r="Q2588" t="s">
        <v>72</v>
      </c>
      <c r="R2588" t="s">
        <v>139</v>
      </c>
      <c r="S2588" t="s">
        <v>144</v>
      </c>
      <c r="T2588" s="2">
        <f>MASTER[[#This Row],[CANTIDAD]]*MASTER[[#This Row],[PRECIO DE VENTA]]</f>
        <v>1933</v>
      </c>
      <c r="U2588" s="2">
        <f>MASTER[[#This Row],[CANTIDAD]]*MASTER[[#This Row],[COSTO UNITARIO]]</f>
        <v>420</v>
      </c>
      <c r="V2588" s="2">
        <f>MASTER[[#This Row],[MONTO VENDIDO]]-MASTER[[#This Row],[COSTO DE VENTA]]</f>
        <v>1513</v>
      </c>
    </row>
    <row r="2589" spans="1:22" x14ac:dyDescent="0.3">
      <c r="A2589">
        <v>43310</v>
      </c>
      <c r="B2589">
        <v>1</v>
      </c>
      <c r="C2589" t="s">
        <v>94</v>
      </c>
      <c r="D2589" t="s">
        <v>95</v>
      </c>
      <c r="E2589" s="1">
        <v>44142</v>
      </c>
      <c r="F2589">
        <v>2</v>
      </c>
      <c r="G2589" t="s">
        <v>33</v>
      </c>
      <c r="H2589" t="s">
        <v>34</v>
      </c>
      <c r="I2589" s="3">
        <v>1048</v>
      </c>
      <c r="J2589" s="3">
        <v>995</v>
      </c>
      <c r="K2589" s="3">
        <v>392</v>
      </c>
      <c r="L2589" t="s">
        <v>9</v>
      </c>
      <c r="M2589">
        <v>8</v>
      </c>
      <c r="N2589" t="s">
        <v>80</v>
      </c>
      <c r="O2589" t="s">
        <v>81</v>
      </c>
      <c r="P2589" t="s">
        <v>12</v>
      </c>
      <c r="Q2589" t="s">
        <v>13</v>
      </c>
      <c r="R2589" t="s">
        <v>13</v>
      </c>
      <c r="S2589" t="s">
        <v>144</v>
      </c>
      <c r="T2589" s="2">
        <f>MASTER[[#This Row],[CANTIDAD]]*MASTER[[#This Row],[PRECIO DE VENTA]]</f>
        <v>1990</v>
      </c>
      <c r="U2589" s="2">
        <f>MASTER[[#This Row],[CANTIDAD]]*MASTER[[#This Row],[COSTO UNITARIO]]</f>
        <v>784</v>
      </c>
      <c r="V2589" s="2">
        <f>MASTER[[#This Row],[MONTO VENDIDO]]-MASTER[[#This Row],[COSTO DE VENTA]]</f>
        <v>1206</v>
      </c>
    </row>
    <row r="2590" spans="1:22" x14ac:dyDescent="0.3">
      <c r="A2590">
        <v>43318</v>
      </c>
      <c r="B2590">
        <v>1</v>
      </c>
      <c r="C2590" t="s">
        <v>105</v>
      </c>
      <c r="D2590" t="s">
        <v>106</v>
      </c>
      <c r="E2590" s="1">
        <v>44142</v>
      </c>
      <c r="F2590">
        <v>1</v>
      </c>
      <c r="G2590" t="s">
        <v>22</v>
      </c>
      <c r="H2590" t="s">
        <v>23</v>
      </c>
      <c r="I2590" s="3">
        <v>1865</v>
      </c>
      <c r="J2590" s="3">
        <v>1865</v>
      </c>
      <c r="K2590" s="3">
        <v>459</v>
      </c>
      <c r="L2590" t="s">
        <v>98</v>
      </c>
      <c r="M2590">
        <v>7</v>
      </c>
      <c r="N2590" t="s">
        <v>84</v>
      </c>
      <c r="O2590" t="s">
        <v>81</v>
      </c>
      <c r="P2590" t="s">
        <v>12</v>
      </c>
      <c r="Q2590" t="s">
        <v>13</v>
      </c>
      <c r="R2590" t="s">
        <v>13</v>
      </c>
      <c r="S2590" t="s">
        <v>144</v>
      </c>
      <c r="T2590" s="2">
        <f>MASTER[[#This Row],[CANTIDAD]]*MASTER[[#This Row],[PRECIO DE VENTA]]</f>
        <v>1865</v>
      </c>
      <c r="U2590" s="2">
        <f>MASTER[[#This Row],[CANTIDAD]]*MASTER[[#This Row],[COSTO UNITARIO]]</f>
        <v>459</v>
      </c>
      <c r="V2590" s="2">
        <f>MASTER[[#This Row],[MONTO VENDIDO]]-MASTER[[#This Row],[COSTO DE VENTA]]</f>
        <v>1406</v>
      </c>
    </row>
    <row r="2591" spans="1:22" x14ac:dyDescent="0.3">
      <c r="A2591">
        <v>43341</v>
      </c>
      <c r="B2591">
        <v>1</v>
      </c>
      <c r="C2591" t="s">
        <v>101</v>
      </c>
      <c r="D2591" t="s">
        <v>102</v>
      </c>
      <c r="E2591" s="1">
        <v>44142</v>
      </c>
      <c r="F2591">
        <v>1</v>
      </c>
      <c r="G2591" t="s">
        <v>33</v>
      </c>
      <c r="H2591" t="s">
        <v>34</v>
      </c>
      <c r="I2591" s="3">
        <v>1357</v>
      </c>
      <c r="J2591" s="3">
        <v>1357</v>
      </c>
      <c r="K2591" s="3">
        <v>442</v>
      </c>
      <c r="L2591" t="s">
        <v>98</v>
      </c>
      <c r="M2591">
        <v>1</v>
      </c>
      <c r="N2591" t="s">
        <v>77</v>
      </c>
      <c r="O2591" t="s">
        <v>70</v>
      </c>
      <c r="P2591" t="s">
        <v>71</v>
      </c>
      <c r="Q2591" t="s">
        <v>72</v>
      </c>
      <c r="R2591" t="s">
        <v>139</v>
      </c>
      <c r="S2591" t="s">
        <v>144</v>
      </c>
      <c r="T2591" s="2">
        <f>MASTER[[#This Row],[CANTIDAD]]*MASTER[[#This Row],[PRECIO DE VENTA]]</f>
        <v>1357</v>
      </c>
      <c r="U2591" s="2">
        <f>MASTER[[#This Row],[CANTIDAD]]*MASTER[[#This Row],[COSTO UNITARIO]]</f>
        <v>442</v>
      </c>
      <c r="V2591" s="2">
        <f>MASTER[[#This Row],[MONTO VENDIDO]]-MASTER[[#This Row],[COSTO DE VENTA]]</f>
        <v>915</v>
      </c>
    </row>
    <row r="2592" spans="1:22" x14ac:dyDescent="0.3">
      <c r="A2592">
        <v>43341</v>
      </c>
      <c r="B2592">
        <v>2</v>
      </c>
      <c r="C2592" t="s">
        <v>109</v>
      </c>
      <c r="D2592" t="s">
        <v>110</v>
      </c>
      <c r="E2592" s="1">
        <v>44142</v>
      </c>
      <c r="F2592">
        <v>1</v>
      </c>
      <c r="G2592" t="s">
        <v>20</v>
      </c>
      <c r="H2592" t="s">
        <v>21</v>
      </c>
      <c r="I2592" s="3">
        <v>1128</v>
      </c>
      <c r="J2592" s="3">
        <v>1060</v>
      </c>
      <c r="K2592" s="3">
        <v>387</v>
      </c>
      <c r="L2592" t="s">
        <v>98</v>
      </c>
      <c r="M2592">
        <v>1</v>
      </c>
      <c r="N2592" t="s">
        <v>77</v>
      </c>
      <c r="O2592" t="s">
        <v>70</v>
      </c>
      <c r="P2592" t="s">
        <v>71</v>
      </c>
      <c r="Q2592" t="s">
        <v>72</v>
      </c>
      <c r="R2592" t="s">
        <v>139</v>
      </c>
      <c r="S2592" t="s">
        <v>144</v>
      </c>
      <c r="T2592" s="2">
        <f>MASTER[[#This Row],[CANTIDAD]]*MASTER[[#This Row],[PRECIO DE VENTA]]</f>
        <v>1060</v>
      </c>
      <c r="U2592" s="2">
        <f>MASTER[[#This Row],[CANTIDAD]]*MASTER[[#This Row],[COSTO UNITARIO]]</f>
        <v>387</v>
      </c>
      <c r="V2592" s="2">
        <f>MASTER[[#This Row],[MONTO VENDIDO]]-MASTER[[#This Row],[COSTO DE VENTA]]</f>
        <v>673</v>
      </c>
    </row>
    <row r="2593" spans="1:22" x14ac:dyDescent="0.3">
      <c r="A2593">
        <v>43367</v>
      </c>
      <c r="B2593">
        <v>1</v>
      </c>
      <c r="C2593" t="s">
        <v>5</v>
      </c>
      <c r="D2593" t="s">
        <v>6</v>
      </c>
      <c r="E2593" s="1">
        <v>44142</v>
      </c>
      <c r="F2593">
        <v>1</v>
      </c>
      <c r="G2593" t="s">
        <v>22</v>
      </c>
      <c r="H2593" t="s">
        <v>23</v>
      </c>
      <c r="I2593" s="3">
        <v>1507</v>
      </c>
      <c r="J2593" s="3">
        <v>1507</v>
      </c>
      <c r="K2593" s="3">
        <v>393</v>
      </c>
      <c r="L2593" t="s">
        <v>9</v>
      </c>
      <c r="M2593">
        <v>4</v>
      </c>
      <c r="N2593" t="s">
        <v>82</v>
      </c>
      <c r="O2593" t="s">
        <v>81</v>
      </c>
      <c r="P2593" t="s">
        <v>71</v>
      </c>
      <c r="Q2593" t="s">
        <v>72</v>
      </c>
      <c r="R2593" t="s">
        <v>139</v>
      </c>
      <c r="S2593" t="s">
        <v>144</v>
      </c>
      <c r="T2593" s="2">
        <f>MASTER[[#This Row],[CANTIDAD]]*MASTER[[#This Row],[PRECIO DE VENTA]]</f>
        <v>1507</v>
      </c>
      <c r="U2593" s="2">
        <f>MASTER[[#This Row],[CANTIDAD]]*MASTER[[#This Row],[COSTO UNITARIO]]</f>
        <v>393</v>
      </c>
      <c r="V2593" s="2">
        <f>MASTER[[#This Row],[MONTO VENDIDO]]-MASTER[[#This Row],[COSTO DE VENTA]]</f>
        <v>1114</v>
      </c>
    </row>
    <row r="2594" spans="1:22" x14ac:dyDescent="0.3">
      <c r="A2594">
        <v>43375</v>
      </c>
      <c r="B2594">
        <v>1</v>
      </c>
      <c r="C2594" t="s">
        <v>103</v>
      </c>
      <c r="D2594" t="s">
        <v>104</v>
      </c>
      <c r="E2594" s="1">
        <v>44142</v>
      </c>
      <c r="F2594">
        <v>1</v>
      </c>
      <c r="G2594" t="s">
        <v>35</v>
      </c>
      <c r="H2594" t="s">
        <v>36</v>
      </c>
      <c r="I2594" s="3">
        <v>1591</v>
      </c>
      <c r="J2594" s="3">
        <v>1591</v>
      </c>
      <c r="K2594" s="3">
        <v>421</v>
      </c>
      <c r="L2594" t="s">
        <v>98</v>
      </c>
      <c r="M2594">
        <v>10</v>
      </c>
      <c r="N2594" t="s">
        <v>83</v>
      </c>
      <c r="O2594" t="s">
        <v>81</v>
      </c>
      <c r="P2594" t="s">
        <v>12</v>
      </c>
      <c r="Q2594" t="s">
        <v>13</v>
      </c>
      <c r="R2594" t="s">
        <v>13</v>
      </c>
      <c r="S2594" t="s">
        <v>144</v>
      </c>
      <c r="T2594" s="2">
        <f>MASTER[[#This Row],[CANTIDAD]]*MASTER[[#This Row],[PRECIO DE VENTA]]</f>
        <v>1591</v>
      </c>
      <c r="U2594" s="2">
        <f>MASTER[[#This Row],[CANTIDAD]]*MASTER[[#This Row],[COSTO UNITARIO]]</f>
        <v>421</v>
      </c>
      <c r="V2594" s="2">
        <f>MASTER[[#This Row],[MONTO VENDIDO]]-MASTER[[#This Row],[COSTO DE VENTA]]</f>
        <v>1170</v>
      </c>
    </row>
    <row r="2595" spans="1:22" x14ac:dyDescent="0.3">
      <c r="A2595">
        <v>43380</v>
      </c>
      <c r="B2595">
        <v>1</v>
      </c>
      <c r="C2595" t="s">
        <v>99</v>
      </c>
      <c r="D2595" t="s">
        <v>100</v>
      </c>
      <c r="E2595" s="1">
        <v>44143</v>
      </c>
      <c r="F2595">
        <v>1</v>
      </c>
      <c r="G2595" t="s">
        <v>47</v>
      </c>
      <c r="H2595" t="s">
        <v>48</v>
      </c>
      <c r="I2595" s="3">
        <v>1459</v>
      </c>
      <c r="J2595" s="3">
        <v>1400</v>
      </c>
      <c r="K2595" s="3">
        <v>386</v>
      </c>
      <c r="L2595" t="s">
        <v>98</v>
      </c>
      <c r="M2595">
        <v>14</v>
      </c>
      <c r="N2595" t="s">
        <v>87</v>
      </c>
      <c r="O2595" t="s">
        <v>81</v>
      </c>
      <c r="P2595" t="s">
        <v>18</v>
      </c>
      <c r="Q2595" t="s">
        <v>19</v>
      </c>
      <c r="R2595" t="s">
        <v>138</v>
      </c>
      <c r="S2595" t="s">
        <v>144</v>
      </c>
      <c r="T2595" s="2">
        <f>MASTER[[#This Row],[CANTIDAD]]*MASTER[[#This Row],[PRECIO DE VENTA]]</f>
        <v>1400</v>
      </c>
      <c r="U2595" s="2">
        <f>MASTER[[#This Row],[CANTIDAD]]*MASTER[[#This Row],[COSTO UNITARIO]]</f>
        <v>386</v>
      </c>
      <c r="V2595" s="2">
        <f>MASTER[[#This Row],[MONTO VENDIDO]]-MASTER[[#This Row],[COSTO DE VENTA]]</f>
        <v>1014</v>
      </c>
    </row>
    <row r="2596" spans="1:22" x14ac:dyDescent="0.3">
      <c r="A2596">
        <v>43392</v>
      </c>
      <c r="B2596">
        <v>1</v>
      </c>
      <c r="C2596" t="s">
        <v>92</v>
      </c>
      <c r="D2596" t="s">
        <v>93</v>
      </c>
      <c r="E2596" s="1">
        <v>44143</v>
      </c>
      <c r="F2596">
        <v>1</v>
      </c>
      <c r="G2596" t="s">
        <v>65</v>
      </c>
      <c r="H2596" t="s">
        <v>66</v>
      </c>
      <c r="I2596" s="3">
        <v>1681</v>
      </c>
      <c r="J2596" s="3">
        <v>1681</v>
      </c>
      <c r="K2596" s="3">
        <v>396</v>
      </c>
      <c r="L2596" t="s">
        <v>9</v>
      </c>
      <c r="M2596">
        <v>2</v>
      </c>
      <c r="N2596" t="s">
        <v>86</v>
      </c>
      <c r="O2596" t="s">
        <v>81</v>
      </c>
      <c r="P2596" t="s">
        <v>71</v>
      </c>
      <c r="Q2596" t="s">
        <v>72</v>
      </c>
      <c r="R2596" t="s">
        <v>139</v>
      </c>
      <c r="S2596" t="s">
        <v>144</v>
      </c>
      <c r="T2596" s="2">
        <f>MASTER[[#This Row],[CANTIDAD]]*MASTER[[#This Row],[PRECIO DE VENTA]]</f>
        <v>1681</v>
      </c>
      <c r="U2596" s="2">
        <f>MASTER[[#This Row],[CANTIDAD]]*MASTER[[#This Row],[COSTO UNITARIO]]</f>
        <v>396</v>
      </c>
      <c r="V2596" s="2">
        <f>MASTER[[#This Row],[MONTO VENDIDO]]-MASTER[[#This Row],[COSTO DE VENTA]]</f>
        <v>1285</v>
      </c>
    </row>
    <row r="2597" spans="1:22" x14ac:dyDescent="0.3">
      <c r="A2597">
        <v>43395</v>
      </c>
      <c r="B2597">
        <v>1</v>
      </c>
      <c r="C2597" t="s">
        <v>116</v>
      </c>
      <c r="D2597" t="s">
        <v>117</v>
      </c>
      <c r="E2597" s="1">
        <v>44143</v>
      </c>
      <c r="F2597">
        <v>1</v>
      </c>
      <c r="G2597" t="s">
        <v>37</v>
      </c>
      <c r="H2597" t="s">
        <v>38</v>
      </c>
      <c r="I2597" s="3">
        <v>1738</v>
      </c>
      <c r="J2597" s="3">
        <v>1738</v>
      </c>
      <c r="K2597" s="3">
        <v>388</v>
      </c>
      <c r="L2597" t="s">
        <v>113</v>
      </c>
      <c r="M2597">
        <v>4</v>
      </c>
      <c r="N2597" t="s">
        <v>82</v>
      </c>
      <c r="O2597" t="s">
        <v>81</v>
      </c>
      <c r="P2597" t="s">
        <v>71</v>
      </c>
      <c r="Q2597" t="s">
        <v>72</v>
      </c>
      <c r="R2597" t="s">
        <v>139</v>
      </c>
      <c r="S2597" t="s">
        <v>144</v>
      </c>
      <c r="T2597" s="2">
        <f>MASTER[[#This Row],[CANTIDAD]]*MASTER[[#This Row],[PRECIO DE VENTA]]</f>
        <v>1738</v>
      </c>
      <c r="U2597" s="2">
        <f>MASTER[[#This Row],[CANTIDAD]]*MASTER[[#This Row],[COSTO UNITARIO]]</f>
        <v>388</v>
      </c>
      <c r="V2597" s="2">
        <f>MASTER[[#This Row],[MONTO VENDIDO]]-MASTER[[#This Row],[COSTO DE VENTA]]</f>
        <v>1350</v>
      </c>
    </row>
    <row r="2598" spans="1:22" x14ac:dyDescent="0.3">
      <c r="A2598">
        <v>43398</v>
      </c>
      <c r="B2598">
        <v>1</v>
      </c>
      <c r="C2598" t="s">
        <v>94</v>
      </c>
      <c r="D2598" t="s">
        <v>95</v>
      </c>
      <c r="E2598" s="1">
        <v>44143</v>
      </c>
      <c r="F2598">
        <v>1</v>
      </c>
      <c r="G2598" t="s">
        <v>29</v>
      </c>
      <c r="H2598" t="s">
        <v>30</v>
      </c>
      <c r="I2598" s="3">
        <v>1048</v>
      </c>
      <c r="J2598" s="3">
        <v>1048</v>
      </c>
      <c r="K2598" s="3">
        <v>392</v>
      </c>
      <c r="L2598" t="s">
        <v>9</v>
      </c>
      <c r="M2598">
        <v>19</v>
      </c>
      <c r="N2598" t="s">
        <v>89</v>
      </c>
      <c r="O2598" t="s">
        <v>81</v>
      </c>
      <c r="P2598" t="s">
        <v>15</v>
      </c>
      <c r="Q2598" t="s">
        <v>16</v>
      </c>
      <c r="R2598" t="s">
        <v>16</v>
      </c>
      <c r="S2598" t="s">
        <v>144</v>
      </c>
      <c r="T2598" s="2">
        <f>MASTER[[#This Row],[CANTIDAD]]*MASTER[[#This Row],[PRECIO DE VENTA]]</f>
        <v>1048</v>
      </c>
      <c r="U2598" s="2">
        <f>MASTER[[#This Row],[CANTIDAD]]*MASTER[[#This Row],[COSTO UNITARIO]]</f>
        <v>392</v>
      </c>
      <c r="V2598" s="2">
        <f>MASTER[[#This Row],[MONTO VENDIDO]]-MASTER[[#This Row],[COSTO DE VENTA]]</f>
        <v>656</v>
      </c>
    </row>
    <row r="2599" spans="1:22" x14ac:dyDescent="0.3">
      <c r="A2599">
        <v>43426</v>
      </c>
      <c r="B2599">
        <v>1</v>
      </c>
      <c r="C2599" t="s">
        <v>96</v>
      </c>
      <c r="D2599" t="s">
        <v>97</v>
      </c>
      <c r="E2599" s="1">
        <v>44143</v>
      </c>
      <c r="F2599">
        <v>1</v>
      </c>
      <c r="G2599" t="s">
        <v>59</v>
      </c>
      <c r="H2599" t="s">
        <v>60</v>
      </c>
      <c r="I2599" s="3">
        <v>1361</v>
      </c>
      <c r="J2599" s="3">
        <v>1361</v>
      </c>
      <c r="K2599" s="3">
        <v>397</v>
      </c>
      <c r="L2599" t="s">
        <v>98</v>
      </c>
      <c r="M2599">
        <v>18</v>
      </c>
      <c r="N2599" t="s">
        <v>79</v>
      </c>
      <c r="O2599" t="s">
        <v>70</v>
      </c>
      <c r="P2599" t="s">
        <v>15</v>
      </c>
      <c r="Q2599" t="s">
        <v>16</v>
      </c>
      <c r="R2599" t="s">
        <v>16</v>
      </c>
      <c r="S2599" t="s">
        <v>144</v>
      </c>
      <c r="T2599" s="2">
        <f>MASTER[[#This Row],[CANTIDAD]]*MASTER[[#This Row],[PRECIO DE VENTA]]</f>
        <v>1361</v>
      </c>
      <c r="U2599" s="2">
        <f>MASTER[[#This Row],[CANTIDAD]]*MASTER[[#This Row],[COSTO UNITARIO]]</f>
        <v>397</v>
      </c>
      <c r="V2599" s="2">
        <f>MASTER[[#This Row],[MONTO VENDIDO]]-MASTER[[#This Row],[COSTO DE VENTA]]</f>
        <v>964</v>
      </c>
    </row>
    <row r="2600" spans="1:22" x14ac:dyDescent="0.3">
      <c r="A2600">
        <v>43443</v>
      </c>
      <c r="B2600">
        <v>1</v>
      </c>
      <c r="C2600" t="s">
        <v>94</v>
      </c>
      <c r="D2600" t="s">
        <v>95</v>
      </c>
      <c r="E2600" s="1">
        <v>44143</v>
      </c>
      <c r="F2600">
        <v>1</v>
      </c>
      <c r="G2600" t="s">
        <v>53</v>
      </c>
      <c r="H2600" t="s">
        <v>54</v>
      </c>
      <c r="I2600" s="3">
        <v>1048</v>
      </c>
      <c r="J2600" s="3">
        <v>1048</v>
      </c>
      <c r="K2600" s="3">
        <v>392</v>
      </c>
      <c r="L2600" t="s">
        <v>9</v>
      </c>
      <c r="M2600">
        <v>10</v>
      </c>
      <c r="N2600" t="s">
        <v>83</v>
      </c>
      <c r="O2600" t="s">
        <v>81</v>
      </c>
      <c r="P2600" t="s">
        <v>12</v>
      </c>
      <c r="Q2600" t="s">
        <v>13</v>
      </c>
      <c r="R2600" t="s">
        <v>13</v>
      </c>
      <c r="S2600" t="s">
        <v>144</v>
      </c>
      <c r="T2600" s="2">
        <f>MASTER[[#This Row],[CANTIDAD]]*MASTER[[#This Row],[PRECIO DE VENTA]]</f>
        <v>1048</v>
      </c>
      <c r="U2600" s="2">
        <f>MASTER[[#This Row],[CANTIDAD]]*MASTER[[#This Row],[COSTO UNITARIO]]</f>
        <v>392</v>
      </c>
      <c r="V2600" s="2">
        <f>MASTER[[#This Row],[MONTO VENDIDO]]-MASTER[[#This Row],[COSTO DE VENTA]]</f>
        <v>656</v>
      </c>
    </row>
    <row r="2601" spans="1:22" x14ac:dyDescent="0.3">
      <c r="A2601">
        <v>43451</v>
      </c>
      <c r="B2601">
        <v>1</v>
      </c>
      <c r="C2601" t="s">
        <v>96</v>
      </c>
      <c r="D2601" t="s">
        <v>97</v>
      </c>
      <c r="E2601" s="1">
        <v>44143</v>
      </c>
      <c r="F2601">
        <v>1</v>
      </c>
      <c r="G2601" t="s">
        <v>59</v>
      </c>
      <c r="H2601" t="s">
        <v>60</v>
      </c>
      <c r="I2601" s="3">
        <v>1272</v>
      </c>
      <c r="J2601" s="3">
        <v>1272</v>
      </c>
      <c r="K2601" s="3">
        <v>397</v>
      </c>
      <c r="L2601" t="s">
        <v>98</v>
      </c>
      <c r="M2601">
        <v>2</v>
      </c>
      <c r="N2601" t="s">
        <v>86</v>
      </c>
      <c r="O2601" t="s">
        <v>81</v>
      </c>
      <c r="P2601" t="s">
        <v>71</v>
      </c>
      <c r="Q2601" t="s">
        <v>72</v>
      </c>
      <c r="R2601" t="s">
        <v>139</v>
      </c>
      <c r="S2601" t="s">
        <v>144</v>
      </c>
      <c r="T2601" s="2">
        <f>MASTER[[#This Row],[CANTIDAD]]*MASTER[[#This Row],[PRECIO DE VENTA]]</f>
        <v>1272</v>
      </c>
      <c r="U2601" s="2">
        <f>MASTER[[#This Row],[CANTIDAD]]*MASTER[[#This Row],[COSTO UNITARIO]]</f>
        <v>397</v>
      </c>
      <c r="V2601" s="2">
        <f>MASTER[[#This Row],[MONTO VENDIDO]]-MASTER[[#This Row],[COSTO DE VENTA]]</f>
        <v>875</v>
      </c>
    </row>
    <row r="2602" spans="1:22" x14ac:dyDescent="0.3">
      <c r="A2602">
        <v>43453</v>
      </c>
      <c r="B2602">
        <v>1</v>
      </c>
      <c r="C2602" t="s">
        <v>103</v>
      </c>
      <c r="D2602" t="s">
        <v>104</v>
      </c>
      <c r="E2602" s="1">
        <v>44143</v>
      </c>
      <c r="F2602">
        <v>1</v>
      </c>
      <c r="G2602" t="s">
        <v>33</v>
      </c>
      <c r="H2602" t="s">
        <v>34</v>
      </c>
      <c r="I2602" s="3">
        <v>1448</v>
      </c>
      <c r="J2602" s="3">
        <v>1448</v>
      </c>
      <c r="K2602" s="3">
        <v>421</v>
      </c>
      <c r="L2602" t="s">
        <v>98</v>
      </c>
      <c r="M2602">
        <v>11</v>
      </c>
      <c r="N2602" t="s">
        <v>10</v>
      </c>
      <c r="O2602" t="s">
        <v>11</v>
      </c>
      <c r="P2602" t="s">
        <v>12</v>
      </c>
      <c r="Q2602" t="s">
        <v>13</v>
      </c>
      <c r="R2602" t="s">
        <v>13</v>
      </c>
      <c r="S2602" t="s">
        <v>144</v>
      </c>
      <c r="T2602" s="2">
        <f>MASTER[[#This Row],[CANTIDAD]]*MASTER[[#This Row],[PRECIO DE VENTA]]</f>
        <v>1448</v>
      </c>
      <c r="U2602" s="2">
        <f>MASTER[[#This Row],[CANTIDAD]]*MASTER[[#This Row],[COSTO UNITARIO]]</f>
        <v>421</v>
      </c>
      <c r="V2602" s="2">
        <f>MASTER[[#This Row],[MONTO VENDIDO]]-MASTER[[#This Row],[COSTO DE VENTA]]</f>
        <v>1027</v>
      </c>
    </row>
    <row r="2603" spans="1:22" x14ac:dyDescent="0.3">
      <c r="A2603">
        <v>43455</v>
      </c>
      <c r="B2603">
        <v>1</v>
      </c>
      <c r="C2603" t="s">
        <v>90</v>
      </c>
      <c r="D2603" t="s">
        <v>91</v>
      </c>
      <c r="E2603" s="1">
        <v>44143</v>
      </c>
      <c r="F2603">
        <v>1</v>
      </c>
      <c r="G2603" t="s">
        <v>51</v>
      </c>
      <c r="H2603" t="s">
        <v>52</v>
      </c>
      <c r="I2603" s="3">
        <v>1844</v>
      </c>
      <c r="J2603" s="3">
        <v>1844</v>
      </c>
      <c r="K2603" s="3">
        <v>420</v>
      </c>
      <c r="L2603" t="s">
        <v>9</v>
      </c>
      <c r="M2603">
        <v>19</v>
      </c>
      <c r="N2603" t="s">
        <v>89</v>
      </c>
      <c r="O2603" t="s">
        <v>81</v>
      </c>
      <c r="P2603" t="s">
        <v>15</v>
      </c>
      <c r="Q2603" t="s">
        <v>16</v>
      </c>
      <c r="R2603" t="s">
        <v>16</v>
      </c>
      <c r="S2603" t="s">
        <v>144</v>
      </c>
      <c r="T2603" s="2">
        <f>MASTER[[#This Row],[CANTIDAD]]*MASTER[[#This Row],[PRECIO DE VENTA]]</f>
        <v>1844</v>
      </c>
      <c r="U2603" s="2">
        <f>MASTER[[#This Row],[CANTIDAD]]*MASTER[[#This Row],[COSTO UNITARIO]]</f>
        <v>420</v>
      </c>
      <c r="V2603" s="2">
        <f>MASTER[[#This Row],[MONTO VENDIDO]]-MASTER[[#This Row],[COSTO DE VENTA]]</f>
        <v>1424</v>
      </c>
    </row>
    <row r="2604" spans="1:22" x14ac:dyDescent="0.3">
      <c r="A2604">
        <v>43463</v>
      </c>
      <c r="B2604">
        <v>1</v>
      </c>
      <c r="C2604" t="s">
        <v>94</v>
      </c>
      <c r="D2604" t="s">
        <v>95</v>
      </c>
      <c r="E2604" s="1">
        <v>44143</v>
      </c>
      <c r="F2604">
        <v>1</v>
      </c>
      <c r="G2604" t="s">
        <v>43</v>
      </c>
      <c r="H2604" t="s">
        <v>44</v>
      </c>
      <c r="I2604" s="3">
        <v>1048</v>
      </c>
      <c r="J2604" s="3">
        <v>1048</v>
      </c>
      <c r="K2604" s="3">
        <v>392</v>
      </c>
      <c r="L2604" t="s">
        <v>9</v>
      </c>
      <c r="M2604">
        <v>14</v>
      </c>
      <c r="N2604" t="s">
        <v>87</v>
      </c>
      <c r="O2604" t="s">
        <v>81</v>
      </c>
      <c r="P2604" t="s">
        <v>18</v>
      </c>
      <c r="Q2604" t="s">
        <v>19</v>
      </c>
      <c r="R2604" t="s">
        <v>138</v>
      </c>
      <c r="S2604" t="s">
        <v>144</v>
      </c>
      <c r="T2604" s="2">
        <f>MASTER[[#This Row],[CANTIDAD]]*MASTER[[#This Row],[PRECIO DE VENTA]]</f>
        <v>1048</v>
      </c>
      <c r="U2604" s="2">
        <f>MASTER[[#This Row],[CANTIDAD]]*MASTER[[#This Row],[COSTO UNITARIO]]</f>
        <v>392</v>
      </c>
      <c r="V2604" s="2">
        <f>MASTER[[#This Row],[MONTO VENDIDO]]-MASTER[[#This Row],[COSTO DE VENTA]]</f>
        <v>656</v>
      </c>
    </row>
    <row r="2605" spans="1:22" x14ac:dyDescent="0.3">
      <c r="A2605">
        <v>43471</v>
      </c>
      <c r="B2605">
        <v>1</v>
      </c>
      <c r="C2605" t="s">
        <v>99</v>
      </c>
      <c r="D2605" t="s">
        <v>100</v>
      </c>
      <c r="E2605" s="1">
        <v>44143</v>
      </c>
      <c r="F2605">
        <v>1</v>
      </c>
      <c r="G2605" t="s">
        <v>47</v>
      </c>
      <c r="H2605" t="s">
        <v>48</v>
      </c>
      <c r="I2605" s="3">
        <v>1328</v>
      </c>
      <c r="J2605" s="3">
        <v>1328</v>
      </c>
      <c r="K2605" s="3">
        <v>386</v>
      </c>
      <c r="L2605" t="s">
        <v>98</v>
      </c>
      <c r="M2605">
        <v>17</v>
      </c>
      <c r="N2605" t="s">
        <v>14</v>
      </c>
      <c r="O2605" t="s">
        <v>11</v>
      </c>
      <c r="P2605" t="s">
        <v>15</v>
      </c>
      <c r="Q2605" t="s">
        <v>16</v>
      </c>
      <c r="R2605" t="s">
        <v>16</v>
      </c>
      <c r="S2605" t="s">
        <v>144</v>
      </c>
      <c r="T2605" s="2">
        <f>MASTER[[#This Row],[CANTIDAD]]*MASTER[[#This Row],[PRECIO DE VENTA]]</f>
        <v>1328</v>
      </c>
      <c r="U2605" s="2">
        <f>MASTER[[#This Row],[CANTIDAD]]*MASTER[[#This Row],[COSTO UNITARIO]]</f>
        <v>386</v>
      </c>
      <c r="V2605" s="2">
        <f>MASTER[[#This Row],[MONTO VENDIDO]]-MASTER[[#This Row],[COSTO DE VENTA]]</f>
        <v>942</v>
      </c>
    </row>
    <row r="2606" spans="1:22" x14ac:dyDescent="0.3">
      <c r="A2606">
        <v>43475</v>
      </c>
      <c r="B2606">
        <v>1</v>
      </c>
      <c r="C2606" t="s">
        <v>103</v>
      </c>
      <c r="D2606" t="s">
        <v>104</v>
      </c>
      <c r="E2606" s="1">
        <v>44144</v>
      </c>
      <c r="F2606">
        <v>1</v>
      </c>
      <c r="G2606" t="s">
        <v>35</v>
      </c>
      <c r="H2606" t="s">
        <v>36</v>
      </c>
      <c r="I2606" s="3">
        <v>1448</v>
      </c>
      <c r="J2606" s="3">
        <v>1448</v>
      </c>
      <c r="K2606" s="3">
        <v>421</v>
      </c>
      <c r="L2606" t="s">
        <v>98</v>
      </c>
      <c r="M2606">
        <v>12</v>
      </c>
      <c r="N2606" t="s">
        <v>26</v>
      </c>
      <c r="O2606" t="s">
        <v>11</v>
      </c>
      <c r="P2606" t="s">
        <v>12</v>
      </c>
      <c r="Q2606" t="s">
        <v>13</v>
      </c>
      <c r="R2606" t="s">
        <v>13</v>
      </c>
      <c r="S2606" t="s">
        <v>144</v>
      </c>
      <c r="T2606" s="2">
        <f>MASTER[[#This Row],[CANTIDAD]]*MASTER[[#This Row],[PRECIO DE VENTA]]</f>
        <v>1448</v>
      </c>
      <c r="U2606" s="2">
        <f>MASTER[[#This Row],[CANTIDAD]]*MASTER[[#This Row],[COSTO UNITARIO]]</f>
        <v>421</v>
      </c>
      <c r="V2606" s="2">
        <f>MASTER[[#This Row],[MONTO VENDIDO]]-MASTER[[#This Row],[COSTO DE VENTA]]</f>
        <v>1027</v>
      </c>
    </row>
    <row r="2607" spans="1:22" x14ac:dyDescent="0.3">
      <c r="A2607">
        <v>43476</v>
      </c>
      <c r="B2607">
        <v>1</v>
      </c>
      <c r="C2607" t="s">
        <v>121</v>
      </c>
      <c r="D2607" t="s">
        <v>122</v>
      </c>
      <c r="E2607" s="1">
        <v>44144</v>
      </c>
      <c r="F2607">
        <v>1</v>
      </c>
      <c r="G2607" t="s">
        <v>43</v>
      </c>
      <c r="H2607" t="s">
        <v>44</v>
      </c>
      <c r="I2607" s="3">
        <v>1069</v>
      </c>
      <c r="J2607" s="3">
        <v>1069</v>
      </c>
      <c r="K2607" s="3">
        <v>460</v>
      </c>
      <c r="L2607" t="s">
        <v>120</v>
      </c>
      <c r="M2607">
        <v>19</v>
      </c>
      <c r="N2607" t="s">
        <v>89</v>
      </c>
      <c r="O2607" t="s">
        <v>81</v>
      </c>
      <c r="P2607" t="s">
        <v>15</v>
      </c>
      <c r="Q2607" t="s">
        <v>16</v>
      </c>
      <c r="R2607" t="s">
        <v>16</v>
      </c>
      <c r="S2607" t="s">
        <v>144</v>
      </c>
      <c r="T2607" s="2">
        <f>MASTER[[#This Row],[CANTIDAD]]*MASTER[[#This Row],[PRECIO DE VENTA]]</f>
        <v>1069</v>
      </c>
      <c r="U2607" s="2">
        <f>MASTER[[#This Row],[CANTIDAD]]*MASTER[[#This Row],[COSTO UNITARIO]]</f>
        <v>460</v>
      </c>
      <c r="V2607" s="2">
        <f>MASTER[[#This Row],[MONTO VENDIDO]]-MASTER[[#This Row],[COSTO DE VENTA]]</f>
        <v>609</v>
      </c>
    </row>
    <row r="2608" spans="1:22" x14ac:dyDescent="0.3">
      <c r="A2608">
        <v>43488</v>
      </c>
      <c r="B2608">
        <v>1</v>
      </c>
      <c r="C2608" t="s">
        <v>96</v>
      </c>
      <c r="D2608" t="s">
        <v>97</v>
      </c>
      <c r="E2608" s="1">
        <v>44144</v>
      </c>
      <c r="F2608">
        <v>1</v>
      </c>
      <c r="G2608" t="s">
        <v>47</v>
      </c>
      <c r="H2608" t="s">
        <v>48</v>
      </c>
      <c r="I2608" s="3">
        <v>1272</v>
      </c>
      <c r="J2608" s="3">
        <v>1272</v>
      </c>
      <c r="K2608" s="3">
        <v>397</v>
      </c>
      <c r="L2608" t="s">
        <v>98</v>
      </c>
      <c r="M2608">
        <v>15</v>
      </c>
      <c r="N2608" t="s">
        <v>88</v>
      </c>
      <c r="O2608" t="s">
        <v>81</v>
      </c>
      <c r="P2608" t="s">
        <v>18</v>
      </c>
      <c r="Q2608" t="s">
        <v>19</v>
      </c>
      <c r="R2608" t="s">
        <v>138</v>
      </c>
      <c r="S2608" t="s">
        <v>144</v>
      </c>
      <c r="T2608" s="2">
        <f>MASTER[[#This Row],[CANTIDAD]]*MASTER[[#This Row],[PRECIO DE VENTA]]</f>
        <v>1272</v>
      </c>
      <c r="U2608" s="2">
        <f>MASTER[[#This Row],[CANTIDAD]]*MASTER[[#This Row],[COSTO UNITARIO]]</f>
        <v>397</v>
      </c>
      <c r="V2608" s="2">
        <f>MASTER[[#This Row],[MONTO VENDIDO]]-MASTER[[#This Row],[COSTO DE VENTA]]</f>
        <v>875</v>
      </c>
    </row>
    <row r="2609" spans="1:22" x14ac:dyDescent="0.3">
      <c r="A2609">
        <v>43494</v>
      </c>
      <c r="B2609">
        <v>1</v>
      </c>
      <c r="C2609" t="s">
        <v>92</v>
      </c>
      <c r="D2609" t="s">
        <v>93</v>
      </c>
      <c r="E2609" s="1">
        <v>44144</v>
      </c>
      <c r="F2609">
        <v>4</v>
      </c>
      <c r="G2609" t="s">
        <v>29</v>
      </c>
      <c r="H2609" t="s">
        <v>30</v>
      </c>
      <c r="I2609" s="3">
        <v>1479</v>
      </c>
      <c r="J2609" s="3">
        <v>1479</v>
      </c>
      <c r="K2609" s="3">
        <v>396</v>
      </c>
      <c r="L2609" t="s">
        <v>9</v>
      </c>
      <c r="M2609">
        <v>16</v>
      </c>
      <c r="N2609" t="s">
        <v>17</v>
      </c>
      <c r="O2609" t="s">
        <v>11</v>
      </c>
      <c r="P2609" t="s">
        <v>18</v>
      </c>
      <c r="Q2609" t="s">
        <v>19</v>
      </c>
      <c r="R2609" t="s">
        <v>138</v>
      </c>
      <c r="S2609" t="s">
        <v>144</v>
      </c>
      <c r="T2609" s="2">
        <f>MASTER[[#This Row],[CANTIDAD]]*MASTER[[#This Row],[PRECIO DE VENTA]]</f>
        <v>5916</v>
      </c>
      <c r="U2609" s="2">
        <f>MASTER[[#This Row],[CANTIDAD]]*MASTER[[#This Row],[COSTO UNITARIO]]</f>
        <v>1584</v>
      </c>
      <c r="V2609" s="2">
        <f>MASTER[[#This Row],[MONTO VENDIDO]]-MASTER[[#This Row],[COSTO DE VENTA]]</f>
        <v>4332</v>
      </c>
    </row>
    <row r="2610" spans="1:22" x14ac:dyDescent="0.3">
      <c r="A2610">
        <v>43498</v>
      </c>
      <c r="B2610">
        <v>1</v>
      </c>
      <c r="C2610" t="s">
        <v>5</v>
      </c>
      <c r="D2610" t="s">
        <v>6</v>
      </c>
      <c r="E2610" s="1">
        <v>44144</v>
      </c>
      <c r="F2610">
        <v>1</v>
      </c>
      <c r="G2610" t="s">
        <v>24</v>
      </c>
      <c r="H2610" t="s">
        <v>25</v>
      </c>
      <c r="I2610" s="3">
        <v>1311</v>
      </c>
      <c r="J2610" s="3">
        <v>1311</v>
      </c>
      <c r="K2610" s="3">
        <v>393</v>
      </c>
      <c r="L2610" t="s">
        <v>9</v>
      </c>
      <c r="M2610">
        <v>12</v>
      </c>
      <c r="N2610" t="s">
        <v>26</v>
      </c>
      <c r="O2610" t="s">
        <v>11</v>
      </c>
      <c r="P2610" t="s">
        <v>12</v>
      </c>
      <c r="Q2610" t="s">
        <v>13</v>
      </c>
      <c r="R2610" t="s">
        <v>13</v>
      </c>
      <c r="S2610" t="s">
        <v>144</v>
      </c>
      <c r="T2610" s="2">
        <f>MASTER[[#This Row],[CANTIDAD]]*MASTER[[#This Row],[PRECIO DE VENTA]]</f>
        <v>1311</v>
      </c>
      <c r="U2610" s="2">
        <f>MASTER[[#This Row],[CANTIDAD]]*MASTER[[#This Row],[COSTO UNITARIO]]</f>
        <v>393</v>
      </c>
      <c r="V2610" s="2">
        <f>MASTER[[#This Row],[MONTO VENDIDO]]-MASTER[[#This Row],[COSTO DE VENTA]]</f>
        <v>918</v>
      </c>
    </row>
    <row r="2611" spans="1:22" x14ac:dyDescent="0.3">
      <c r="A2611">
        <v>43502</v>
      </c>
      <c r="B2611">
        <v>1</v>
      </c>
      <c r="C2611" t="s">
        <v>111</v>
      </c>
      <c r="D2611" t="s">
        <v>112</v>
      </c>
      <c r="E2611" s="1">
        <v>44144</v>
      </c>
      <c r="F2611">
        <v>1</v>
      </c>
      <c r="G2611" t="s">
        <v>57</v>
      </c>
      <c r="H2611" t="s">
        <v>58</v>
      </c>
      <c r="I2611" s="3">
        <v>1621</v>
      </c>
      <c r="J2611" s="3">
        <v>1621</v>
      </c>
      <c r="K2611" s="3">
        <v>434</v>
      </c>
      <c r="L2611" t="s">
        <v>113</v>
      </c>
      <c r="M2611">
        <v>14</v>
      </c>
      <c r="N2611" t="s">
        <v>87</v>
      </c>
      <c r="O2611" t="s">
        <v>81</v>
      </c>
      <c r="P2611" t="s">
        <v>18</v>
      </c>
      <c r="Q2611" t="s">
        <v>19</v>
      </c>
      <c r="R2611" t="s">
        <v>138</v>
      </c>
      <c r="S2611" t="s">
        <v>144</v>
      </c>
      <c r="T2611" s="2">
        <f>MASTER[[#This Row],[CANTIDAD]]*MASTER[[#This Row],[PRECIO DE VENTA]]</f>
        <v>1621</v>
      </c>
      <c r="U2611" s="2">
        <f>MASTER[[#This Row],[CANTIDAD]]*MASTER[[#This Row],[COSTO UNITARIO]]</f>
        <v>434</v>
      </c>
      <c r="V2611" s="2">
        <f>MASTER[[#This Row],[MONTO VENDIDO]]-MASTER[[#This Row],[COSTO DE VENTA]]</f>
        <v>1187</v>
      </c>
    </row>
    <row r="2612" spans="1:22" x14ac:dyDescent="0.3">
      <c r="A2612">
        <v>43503</v>
      </c>
      <c r="B2612">
        <v>1</v>
      </c>
      <c r="C2612" t="s">
        <v>101</v>
      </c>
      <c r="D2612" t="s">
        <v>102</v>
      </c>
      <c r="E2612" s="1">
        <v>44144</v>
      </c>
      <c r="F2612">
        <v>1</v>
      </c>
      <c r="G2612" t="s">
        <v>33</v>
      </c>
      <c r="H2612" t="s">
        <v>34</v>
      </c>
      <c r="I2612" s="3">
        <v>1212</v>
      </c>
      <c r="J2612" s="3">
        <v>1212</v>
      </c>
      <c r="K2612" s="3">
        <v>442</v>
      </c>
      <c r="L2612" t="s">
        <v>98</v>
      </c>
      <c r="M2612">
        <v>10</v>
      </c>
      <c r="N2612" t="s">
        <v>83</v>
      </c>
      <c r="O2612" t="s">
        <v>81</v>
      </c>
      <c r="P2612" t="s">
        <v>12</v>
      </c>
      <c r="Q2612" t="s">
        <v>13</v>
      </c>
      <c r="R2612" t="s">
        <v>13</v>
      </c>
      <c r="S2612" t="s">
        <v>144</v>
      </c>
      <c r="T2612" s="2">
        <f>MASTER[[#This Row],[CANTIDAD]]*MASTER[[#This Row],[PRECIO DE VENTA]]</f>
        <v>1212</v>
      </c>
      <c r="U2612" s="2">
        <f>MASTER[[#This Row],[CANTIDAD]]*MASTER[[#This Row],[COSTO UNITARIO]]</f>
        <v>442</v>
      </c>
      <c r="V2612" s="2">
        <f>MASTER[[#This Row],[MONTO VENDIDO]]-MASTER[[#This Row],[COSTO DE VENTA]]</f>
        <v>770</v>
      </c>
    </row>
    <row r="2613" spans="1:22" x14ac:dyDescent="0.3">
      <c r="A2613">
        <v>43515</v>
      </c>
      <c r="B2613">
        <v>1</v>
      </c>
      <c r="C2613" t="s">
        <v>109</v>
      </c>
      <c r="D2613" t="s">
        <v>110</v>
      </c>
      <c r="E2613" s="1">
        <v>44144</v>
      </c>
      <c r="F2613">
        <v>1</v>
      </c>
      <c r="G2613" t="s">
        <v>59</v>
      </c>
      <c r="H2613" t="s">
        <v>60</v>
      </c>
      <c r="I2613" s="3">
        <v>1064</v>
      </c>
      <c r="J2613" s="3">
        <v>968</v>
      </c>
      <c r="K2613" s="3">
        <v>387</v>
      </c>
      <c r="L2613" t="s">
        <v>98</v>
      </c>
      <c r="M2613">
        <v>2</v>
      </c>
      <c r="N2613" t="s">
        <v>86</v>
      </c>
      <c r="O2613" t="s">
        <v>81</v>
      </c>
      <c r="P2613" t="s">
        <v>71</v>
      </c>
      <c r="Q2613" t="s">
        <v>72</v>
      </c>
      <c r="R2613" t="s">
        <v>139</v>
      </c>
      <c r="S2613" t="s">
        <v>144</v>
      </c>
      <c r="T2613" s="2">
        <f>MASTER[[#This Row],[CANTIDAD]]*MASTER[[#This Row],[PRECIO DE VENTA]]</f>
        <v>968</v>
      </c>
      <c r="U2613" s="2">
        <f>MASTER[[#This Row],[CANTIDAD]]*MASTER[[#This Row],[COSTO UNITARIO]]</f>
        <v>387</v>
      </c>
      <c r="V2613" s="2">
        <f>MASTER[[#This Row],[MONTO VENDIDO]]-MASTER[[#This Row],[COSTO DE VENTA]]</f>
        <v>581</v>
      </c>
    </row>
    <row r="2614" spans="1:22" x14ac:dyDescent="0.3">
      <c r="A2614">
        <v>43525</v>
      </c>
      <c r="B2614">
        <v>1</v>
      </c>
      <c r="C2614" t="s">
        <v>107</v>
      </c>
      <c r="D2614" t="s">
        <v>108</v>
      </c>
      <c r="E2614" s="1">
        <v>44144</v>
      </c>
      <c r="F2614">
        <v>4</v>
      </c>
      <c r="G2614" t="s">
        <v>47</v>
      </c>
      <c r="H2614" t="s">
        <v>48</v>
      </c>
      <c r="I2614" s="3">
        <v>1440</v>
      </c>
      <c r="J2614" s="3">
        <v>1440</v>
      </c>
      <c r="K2614" s="3">
        <v>380</v>
      </c>
      <c r="L2614" t="s">
        <v>98</v>
      </c>
      <c r="M2614">
        <v>3</v>
      </c>
      <c r="N2614" t="s">
        <v>69</v>
      </c>
      <c r="O2614" t="s">
        <v>70</v>
      </c>
      <c r="P2614" t="s">
        <v>71</v>
      </c>
      <c r="Q2614" t="s">
        <v>72</v>
      </c>
      <c r="R2614" t="s">
        <v>139</v>
      </c>
      <c r="S2614" t="s">
        <v>144</v>
      </c>
      <c r="T2614" s="2">
        <f>MASTER[[#This Row],[CANTIDAD]]*MASTER[[#This Row],[PRECIO DE VENTA]]</f>
        <v>5760</v>
      </c>
      <c r="U2614" s="2">
        <f>MASTER[[#This Row],[CANTIDAD]]*MASTER[[#This Row],[COSTO UNITARIO]]</f>
        <v>1520</v>
      </c>
      <c r="V2614" s="2">
        <f>MASTER[[#This Row],[MONTO VENDIDO]]-MASTER[[#This Row],[COSTO DE VENTA]]</f>
        <v>4240</v>
      </c>
    </row>
    <row r="2615" spans="1:22" x14ac:dyDescent="0.3">
      <c r="A2615">
        <v>43533</v>
      </c>
      <c r="B2615">
        <v>1</v>
      </c>
      <c r="C2615" t="s">
        <v>101</v>
      </c>
      <c r="D2615" t="s">
        <v>102</v>
      </c>
      <c r="E2615" s="1">
        <v>44144</v>
      </c>
      <c r="F2615">
        <v>1</v>
      </c>
      <c r="G2615" t="s">
        <v>27</v>
      </c>
      <c r="H2615" t="s">
        <v>28</v>
      </c>
      <c r="I2615" s="3">
        <v>1212</v>
      </c>
      <c r="J2615" s="3">
        <v>1212</v>
      </c>
      <c r="K2615" s="3">
        <v>442</v>
      </c>
      <c r="L2615" t="s">
        <v>98</v>
      </c>
      <c r="M2615">
        <v>10</v>
      </c>
      <c r="N2615" t="s">
        <v>83</v>
      </c>
      <c r="O2615" t="s">
        <v>81</v>
      </c>
      <c r="P2615" t="s">
        <v>12</v>
      </c>
      <c r="Q2615" t="s">
        <v>13</v>
      </c>
      <c r="R2615" t="s">
        <v>13</v>
      </c>
      <c r="S2615" t="s">
        <v>144</v>
      </c>
      <c r="T2615" s="2">
        <f>MASTER[[#This Row],[CANTIDAD]]*MASTER[[#This Row],[PRECIO DE VENTA]]</f>
        <v>1212</v>
      </c>
      <c r="U2615" s="2">
        <f>MASTER[[#This Row],[CANTIDAD]]*MASTER[[#This Row],[COSTO UNITARIO]]</f>
        <v>442</v>
      </c>
      <c r="V2615" s="2">
        <f>MASTER[[#This Row],[MONTO VENDIDO]]-MASTER[[#This Row],[COSTO DE VENTA]]</f>
        <v>770</v>
      </c>
    </row>
    <row r="2616" spans="1:22" x14ac:dyDescent="0.3">
      <c r="A2616">
        <v>43543</v>
      </c>
      <c r="B2616">
        <v>1</v>
      </c>
      <c r="C2616" t="s">
        <v>103</v>
      </c>
      <c r="D2616" t="s">
        <v>104</v>
      </c>
      <c r="E2616" s="1">
        <v>44144</v>
      </c>
      <c r="F2616">
        <v>1</v>
      </c>
      <c r="G2616" t="s">
        <v>35</v>
      </c>
      <c r="H2616" t="s">
        <v>36</v>
      </c>
      <c r="I2616" s="3">
        <v>1448</v>
      </c>
      <c r="J2616" s="3">
        <v>1448</v>
      </c>
      <c r="K2616" s="3">
        <v>421</v>
      </c>
      <c r="L2616" t="s">
        <v>98</v>
      </c>
      <c r="M2616">
        <v>16</v>
      </c>
      <c r="N2616" t="s">
        <v>17</v>
      </c>
      <c r="O2616" t="s">
        <v>11</v>
      </c>
      <c r="P2616" t="s">
        <v>18</v>
      </c>
      <c r="Q2616" t="s">
        <v>19</v>
      </c>
      <c r="R2616" t="s">
        <v>138</v>
      </c>
      <c r="S2616" t="s">
        <v>144</v>
      </c>
      <c r="T2616" s="2">
        <f>MASTER[[#This Row],[CANTIDAD]]*MASTER[[#This Row],[PRECIO DE VENTA]]</f>
        <v>1448</v>
      </c>
      <c r="U2616" s="2">
        <f>MASTER[[#This Row],[CANTIDAD]]*MASTER[[#This Row],[COSTO UNITARIO]]</f>
        <v>421</v>
      </c>
      <c r="V2616" s="2">
        <f>MASTER[[#This Row],[MONTO VENDIDO]]-MASTER[[#This Row],[COSTO DE VENTA]]</f>
        <v>1027</v>
      </c>
    </row>
    <row r="2617" spans="1:22" x14ac:dyDescent="0.3">
      <c r="A2617">
        <v>43559</v>
      </c>
      <c r="B2617">
        <v>1</v>
      </c>
      <c r="C2617" t="s">
        <v>94</v>
      </c>
      <c r="D2617" t="s">
        <v>95</v>
      </c>
      <c r="E2617" s="1">
        <v>44144</v>
      </c>
      <c r="F2617">
        <v>1</v>
      </c>
      <c r="G2617" t="s">
        <v>24</v>
      </c>
      <c r="H2617" t="s">
        <v>25</v>
      </c>
      <c r="I2617" s="3">
        <v>1153</v>
      </c>
      <c r="J2617" s="3">
        <v>1153</v>
      </c>
      <c r="K2617" s="3">
        <v>392</v>
      </c>
      <c r="L2617" t="s">
        <v>9</v>
      </c>
      <c r="M2617">
        <v>18</v>
      </c>
      <c r="N2617" t="s">
        <v>79</v>
      </c>
      <c r="O2617" t="s">
        <v>70</v>
      </c>
      <c r="P2617" t="s">
        <v>15</v>
      </c>
      <c r="Q2617" t="s">
        <v>16</v>
      </c>
      <c r="R2617" t="s">
        <v>16</v>
      </c>
      <c r="S2617" t="s">
        <v>144</v>
      </c>
      <c r="T2617" s="2">
        <f>MASTER[[#This Row],[CANTIDAD]]*MASTER[[#This Row],[PRECIO DE VENTA]]</f>
        <v>1153</v>
      </c>
      <c r="U2617" s="2">
        <f>MASTER[[#This Row],[CANTIDAD]]*MASTER[[#This Row],[COSTO UNITARIO]]</f>
        <v>392</v>
      </c>
      <c r="V2617" s="2">
        <f>MASTER[[#This Row],[MONTO VENDIDO]]-MASTER[[#This Row],[COSTO DE VENTA]]</f>
        <v>761</v>
      </c>
    </row>
    <row r="2618" spans="1:22" x14ac:dyDescent="0.3">
      <c r="A2618">
        <v>43567</v>
      </c>
      <c r="B2618">
        <v>1</v>
      </c>
      <c r="C2618" t="s">
        <v>96</v>
      </c>
      <c r="D2618" t="s">
        <v>97</v>
      </c>
      <c r="E2618" s="1">
        <v>44144</v>
      </c>
      <c r="F2618">
        <v>1</v>
      </c>
      <c r="G2618" t="s">
        <v>57</v>
      </c>
      <c r="H2618" t="s">
        <v>58</v>
      </c>
      <c r="I2618" s="3">
        <v>1361</v>
      </c>
      <c r="J2618" s="3">
        <v>1252</v>
      </c>
      <c r="K2618" s="3">
        <v>397</v>
      </c>
      <c r="L2618" t="s">
        <v>98</v>
      </c>
      <c r="M2618">
        <v>6</v>
      </c>
      <c r="N2618" t="s">
        <v>75</v>
      </c>
      <c r="O2618" t="s">
        <v>70</v>
      </c>
      <c r="P2618" t="s">
        <v>12</v>
      </c>
      <c r="Q2618" t="s">
        <v>13</v>
      </c>
      <c r="R2618" t="s">
        <v>13</v>
      </c>
      <c r="S2618" t="s">
        <v>144</v>
      </c>
      <c r="T2618" s="2">
        <f>MASTER[[#This Row],[CANTIDAD]]*MASTER[[#This Row],[PRECIO DE VENTA]]</f>
        <v>1252</v>
      </c>
      <c r="U2618" s="2">
        <f>MASTER[[#This Row],[CANTIDAD]]*MASTER[[#This Row],[COSTO UNITARIO]]</f>
        <v>397</v>
      </c>
      <c r="V2618" s="2">
        <f>MASTER[[#This Row],[MONTO VENDIDO]]-MASTER[[#This Row],[COSTO DE VENTA]]</f>
        <v>855</v>
      </c>
    </row>
    <row r="2619" spans="1:22" x14ac:dyDescent="0.3">
      <c r="A2619">
        <v>43570</v>
      </c>
      <c r="B2619">
        <v>1</v>
      </c>
      <c r="C2619" t="s">
        <v>105</v>
      </c>
      <c r="D2619" t="s">
        <v>106</v>
      </c>
      <c r="E2619" s="1">
        <v>44144</v>
      </c>
      <c r="F2619">
        <v>1</v>
      </c>
      <c r="G2619" t="s">
        <v>45</v>
      </c>
      <c r="H2619" t="s">
        <v>46</v>
      </c>
      <c r="I2619" s="3">
        <v>1585</v>
      </c>
      <c r="J2619" s="3">
        <v>1585</v>
      </c>
      <c r="K2619" s="3">
        <v>459</v>
      </c>
      <c r="L2619" t="s">
        <v>98</v>
      </c>
      <c r="M2619">
        <v>11</v>
      </c>
      <c r="N2619" t="s">
        <v>10</v>
      </c>
      <c r="O2619" t="s">
        <v>11</v>
      </c>
      <c r="P2619" t="s">
        <v>12</v>
      </c>
      <c r="Q2619" t="s">
        <v>13</v>
      </c>
      <c r="R2619" t="s">
        <v>13</v>
      </c>
      <c r="S2619" t="s">
        <v>144</v>
      </c>
      <c r="T2619" s="2">
        <f>MASTER[[#This Row],[CANTIDAD]]*MASTER[[#This Row],[PRECIO DE VENTA]]</f>
        <v>1585</v>
      </c>
      <c r="U2619" s="2">
        <f>MASTER[[#This Row],[CANTIDAD]]*MASTER[[#This Row],[COSTO UNITARIO]]</f>
        <v>459</v>
      </c>
      <c r="V2619" s="2">
        <f>MASTER[[#This Row],[MONTO VENDIDO]]-MASTER[[#This Row],[COSTO DE VENTA]]</f>
        <v>1126</v>
      </c>
    </row>
    <row r="2620" spans="1:22" x14ac:dyDescent="0.3">
      <c r="A2620">
        <v>43589</v>
      </c>
      <c r="B2620">
        <v>1</v>
      </c>
      <c r="C2620" t="s">
        <v>101</v>
      </c>
      <c r="D2620" t="s">
        <v>102</v>
      </c>
      <c r="E2620" s="1">
        <v>44145</v>
      </c>
      <c r="F2620">
        <v>1</v>
      </c>
      <c r="G2620" t="s">
        <v>67</v>
      </c>
      <c r="H2620" t="s">
        <v>68</v>
      </c>
      <c r="I2620" s="3">
        <v>1212</v>
      </c>
      <c r="J2620" s="3">
        <v>1212</v>
      </c>
      <c r="K2620" s="3">
        <v>442</v>
      </c>
      <c r="L2620" t="s">
        <v>98</v>
      </c>
      <c r="M2620">
        <v>14</v>
      </c>
      <c r="N2620" t="s">
        <v>87</v>
      </c>
      <c r="O2620" t="s">
        <v>81</v>
      </c>
      <c r="P2620" t="s">
        <v>18</v>
      </c>
      <c r="Q2620" t="s">
        <v>19</v>
      </c>
      <c r="R2620" t="s">
        <v>138</v>
      </c>
      <c r="S2620" t="s">
        <v>144</v>
      </c>
      <c r="T2620" s="2">
        <f>MASTER[[#This Row],[CANTIDAD]]*MASTER[[#This Row],[PRECIO DE VENTA]]</f>
        <v>1212</v>
      </c>
      <c r="U2620" s="2">
        <f>MASTER[[#This Row],[CANTIDAD]]*MASTER[[#This Row],[COSTO UNITARIO]]</f>
        <v>442</v>
      </c>
      <c r="V2620" s="2">
        <f>MASTER[[#This Row],[MONTO VENDIDO]]-MASTER[[#This Row],[COSTO DE VENTA]]</f>
        <v>770</v>
      </c>
    </row>
    <row r="2621" spans="1:22" x14ac:dyDescent="0.3">
      <c r="A2621">
        <v>43591</v>
      </c>
      <c r="B2621">
        <v>1</v>
      </c>
      <c r="C2621" t="s">
        <v>94</v>
      </c>
      <c r="D2621" t="s">
        <v>95</v>
      </c>
      <c r="E2621" s="1">
        <v>44145</v>
      </c>
      <c r="F2621">
        <v>1</v>
      </c>
      <c r="G2621" t="s">
        <v>31</v>
      </c>
      <c r="H2621" t="s">
        <v>32</v>
      </c>
      <c r="I2621" s="3">
        <v>1048</v>
      </c>
      <c r="J2621" s="3">
        <v>1048</v>
      </c>
      <c r="K2621" s="3">
        <v>392</v>
      </c>
      <c r="L2621" t="s">
        <v>9</v>
      </c>
      <c r="M2621">
        <v>5</v>
      </c>
      <c r="N2621" t="s">
        <v>85</v>
      </c>
      <c r="O2621" t="s">
        <v>81</v>
      </c>
      <c r="P2621" t="s">
        <v>12</v>
      </c>
      <c r="Q2621" t="s">
        <v>13</v>
      </c>
      <c r="R2621" t="s">
        <v>13</v>
      </c>
      <c r="S2621" t="s">
        <v>144</v>
      </c>
      <c r="T2621" s="2">
        <f>MASTER[[#This Row],[CANTIDAD]]*MASTER[[#This Row],[PRECIO DE VENTA]]</f>
        <v>1048</v>
      </c>
      <c r="U2621" s="2">
        <f>MASTER[[#This Row],[CANTIDAD]]*MASTER[[#This Row],[COSTO UNITARIO]]</f>
        <v>392</v>
      </c>
      <c r="V2621" s="2">
        <f>MASTER[[#This Row],[MONTO VENDIDO]]-MASTER[[#This Row],[COSTO DE VENTA]]</f>
        <v>656</v>
      </c>
    </row>
    <row r="2622" spans="1:22" x14ac:dyDescent="0.3">
      <c r="A2622">
        <v>43600</v>
      </c>
      <c r="B2622">
        <v>1</v>
      </c>
      <c r="C2622" t="s">
        <v>90</v>
      </c>
      <c r="D2622" t="s">
        <v>91</v>
      </c>
      <c r="E2622" s="1">
        <v>44145</v>
      </c>
      <c r="F2622">
        <v>1</v>
      </c>
      <c r="G2622" t="s">
        <v>43</v>
      </c>
      <c r="H2622" t="s">
        <v>44</v>
      </c>
      <c r="I2622" s="3">
        <v>1844</v>
      </c>
      <c r="J2622" s="3">
        <v>1844</v>
      </c>
      <c r="K2622" s="3">
        <v>420</v>
      </c>
      <c r="L2622" t="s">
        <v>9</v>
      </c>
      <c r="M2622">
        <v>7</v>
      </c>
      <c r="N2622" t="s">
        <v>84</v>
      </c>
      <c r="O2622" t="s">
        <v>81</v>
      </c>
      <c r="P2622" t="s">
        <v>12</v>
      </c>
      <c r="Q2622" t="s">
        <v>13</v>
      </c>
      <c r="R2622" t="s">
        <v>13</v>
      </c>
      <c r="S2622" t="s">
        <v>144</v>
      </c>
      <c r="T2622" s="2">
        <f>MASTER[[#This Row],[CANTIDAD]]*MASTER[[#This Row],[PRECIO DE VENTA]]</f>
        <v>1844</v>
      </c>
      <c r="U2622" s="2">
        <f>MASTER[[#This Row],[CANTIDAD]]*MASTER[[#This Row],[COSTO UNITARIO]]</f>
        <v>420</v>
      </c>
      <c r="V2622" s="2">
        <f>MASTER[[#This Row],[MONTO VENDIDO]]-MASTER[[#This Row],[COSTO DE VENTA]]</f>
        <v>1424</v>
      </c>
    </row>
    <row r="2623" spans="1:22" x14ac:dyDescent="0.3">
      <c r="A2623">
        <v>43610</v>
      </c>
      <c r="B2623">
        <v>1</v>
      </c>
      <c r="C2623" t="s">
        <v>111</v>
      </c>
      <c r="D2623" t="s">
        <v>112</v>
      </c>
      <c r="E2623" s="1">
        <v>44145</v>
      </c>
      <c r="F2623">
        <v>1</v>
      </c>
      <c r="G2623" t="s">
        <v>31</v>
      </c>
      <c r="H2623" t="s">
        <v>32</v>
      </c>
      <c r="I2623" s="3">
        <v>1621</v>
      </c>
      <c r="J2623" s="3">
        <v>1621</v>
      </c>
      <c r="K2623" s="3">
        <v>434</v>
      </c>
      <c r="L2623" t="s">
        <v>113</v>
      </c>
      <c r="M2623">
        <v>19</v>
      </c>
      <c r="N2623" t="s">
        <v>89</v>
      </c>
      <c r="O2623" t="s">
        <v>81</v>
      </c>
      <c r="P2623" t="s">
        <v>15</v>
      </c>
      <c r="Q2623" t="s">
        <v>16</v>
      </c>
      <c r="R2623" t="s">
        <v>16</v>
      </c>
      <c r="S2623" t="s">
        <v>144</v>
      </c>
      <c r="T2623" s="2">
        <f>MASTER[[#This Row],[CANTIDAD]]*MASTER[[#This Row],[PRECIO DE VENTA]]</f>
        <v>1621</v>
      </c>
      <c r="U2623" s="2">
        <f>MASTER[[#This Row],[CANTIDAD]]*MASTER[[#This Row],[COSTO UNITARIO]]</f>
        <v>434</v>
      </c>
      <c r="V2623" s="2">
        <f>MASTER[[#This Row],[MONTO VENDIDO]]-MASTER[[#This Row],[COSTO DE VENTA]]</f>
        <v>1187</v>
      </c>
    </row>
    <row r="2624" spans="1:22" x14ac:dyDescent="0.3">
      <c r="A2624">
        <v>43626</v>
      </c>
      <c r="B2624">
        <v>1</v>
      </c>
      <c r="C2624" t="s">
        <v>99</v>
      </c>
      <c r="D2624" t="s">
        <v>100</v>
      </c>
      <c r="E2624" s="1">
        <v>44146</v>
      </c>
      <c r="F2624">
        <v>1</v>
      </c>
      <c r="G2624" t="s">
        <v>7</v>
      </c>
      <c r="H2624" t="s">
        <v>8</v>
      </c>
      <c r="I2624" s="3">
        <v>1678</v>
      </c>
      <c r="J2624" s="3">
        <v>1678</v>
      </c>
      <c r="K2624" s="3">
        <v>386</v>
      </c>
      <c r="L2624" t="s">
        <v>98</v>
      </c>
      <c r="M2624">
        <v>3</v>
      </c>
      <c r="N2624" t="s">
        <v>69</v>
      </c>
      <c r="O2624" t="s">
        <v>70</v>
      </c>
      <c r="P2624" t="s">
        <v>71</v>
      </c>
      <c r="Q2624" t="s">
        <v>72</v>
      </c>
      <c r="R2624" t="s">
        <v>139</v>
      </c>
      <c r="S2624" t="s">
        <v>144</v>
      </c>
      <c r="T2624" s="2">
        <f>MASTER[[#This Row],[CANTIDAD]]*MASTER[[#This Row],[PRECIO DE VENTA]]</f>
        <v>1678</v>
      </c>
      <c r="U2624" s="2">
        <f>MASTER[[#This Row],[CANTIDAD]]*MASTER[[#This Row],[COSTO UNITARIO]]</f>
        <v>386</v>
      </c>
      <c r="V2624" s="2">
        <f>MASTER[[#This Row],[MONTO VENDIDO]]-MASTER[[#This Row],[COSTO DE VENTA]]</f>
        <v>1292</v>
      </c>
    </row>
    <row r="2625" spans="1:22" x14ac:dyDescent="0.3">
      <c r="A2625">
        <v>43658</v>
      </c>
      <c r="B2625">
        <v>1</v>
      </c>
      <c r="C2625" t="s">
        <v>111</v>
      </c>
      <c r="D2625" t="s">
        <v>112</v>
      </c>
      <c r="E2625" s="1">
        <v>44146</v>
      </c>
      <c r="F2625">
        <v>1</v>
      </c>
      <c r="G2625" t="s">
        <v>41</v>
      </c>
      <c r="H2625" t="s">
        <v>42</v>
      </c>
      <c r="I2625" s="3">
        <v>1524</v>
      </c>
      <c r="J2625" s="3">
        <v>1524</v>
      </c>
      <c r="K2625" s="3">
        <v>434</v>
      </c>
      <c r="L2625" t="s">
        <v>113</v>
      </c>
      <c r="M2625">
        <v>16</v>
      </c>
      <c r="N2625" t="s">
        <v>17</v>
      </c>
      <c r="O2625" t="s">
        <v>11</v>
      </c>
      <c r="P2625" t="s">
        <v>18</v>
      </c>
      <c r="Q2625" t="s">
        <v>19</v>
      </c>
      <c r="R2625" t="s">
        <v>138</v>
      </c>
      <c r="S2625" t="s">
        <v>144</v>
      </c>
      <c r="T2625" s="2">
        <f>MASTER[[#This Row],[CANTIDAD]]*MASTER[[#This Row],[PRECIO DE VENTA]]</f>
        <v>1524</v>
      </c>
      <c r="U2625" s="2">
        <f>MASTER[[#This Row],[CANTIDAD]]*MASTER[[#This Row],[COSTO UNITARIO]]</f>
        <v>434</v>
      </c>
      <c r="V2625" s="2">
        <f>MASTER[[#This Row],[MONTO VENDIDO]]-MASTER[[#This Row],[COSTO DE VENTA]]</f>
        <v>1090</v>
      </c>
    </row>
    <row r="2626" spans="1:22" x14ac:dyDescent="0.3">
      <c r="A2626">
        <v>43661</v>
      </c>
      <c r="B2626">
        <v>1</v>
      </c>
      <c r="C2626" t="s">
        <v>109</v>
      </c>
      <c r="D2626" t="s">
        <v>110</v>
      </c>
      <c r="E2626" s="1">
        <v>44146</v>
      </c>
      <c r="F2626">
        <v>1</v>
      </c>
      <c r="G2626" t="s">
        <v>27</v>
      </c>
      <c r="H2626" t="s">
        <v>28</v>
      </c>
      <c r="I2626" s="3">
        <v>947</v>
      </c>
      <c r="J2626" s="3">
        <v>909</v>
      </c>
      <c r="K2626" s="3">
        <v>387</v>
      </c>
      <c r="L2626" t="s">
        <v>98</v>
      </c>
      <c r="M2626">
        <v>17</v>
      </c>
      <c r="N2626" t="s">
        <v>14</v>
      </c>
      <c r="O2626" t="s">
        <v>11</v>
      </c>
      <c r="P2626" t="s">
        <v>15</v>
      </c>
      <c r="Q2626" t="s">
        <v>16</v>
      </c>
      <c r="R2626" t="s">
        <v>16</v>
      </c>
      <c r="S2626" t="s">
        <v>144</v>
      </c>
      <c r="T2626" s="2">
        <f>MASTER[[#This Row],[CANTIDAD]]*MASTER[[#This Row],[PRECIO DE VENTA]]</f>
        <v>909</v>
      </c>
      <c r="U2626" s="2">
        <f>MASTER[[#This Row],[CANTIDAD]]*MASTER[[#This Row],[COSTO UNITARIO]]</f>
        <v>387</v>
      </c>
      <c r="V2626" s="2">
        <f>MASTER[[#This Row],[MONTO VENDIDO]]-MASTER[[#This Row],[COSTO DE VENTA]]</f>
        <v>522</v>
      </c>
    </row>
    <row r="2627" spans="1:22" x14ac:dyDescent="0.3">
      <c r="A2627">
        <v>43677</v>
      </c>
      <c r="B2627">
        <v>1</v>
      </c>
      <c r="C2627" t="s">
        <v>94</v>
      </c>
      <c r="D2627" t="s">
        <v>95</v>
      </c>
      <c r="E2627" s="1">
        <v>44146</v>
      </c>
      <c r="F2627">
        <v>4</v>
      </c>
      <c r="G2627" t="s">
        <v>31</v>
      </c>
      <c r="H2627" t="s">
        <v>32</v>
      </c>
      <c r="I2627" s="3">
        <v>1153</v>
      </c>
      <c r="J2627" s="3">
        <v>1153</v>
      </c>
      <c r="K2627" s="3">
        <v>392</v>
      </c>
      <c r="L2627" t="s">
        <v>9</v>
      </c>
      <c r="M2627">
        <v>1</v>
      </c>
      <c r="N2627" t="s">
        <v>77</v>
      </c>
      <c r="O2627" t="s">
        <v>70</v>
      </c>
      <c r="P2627" t="s">
        <v>71</v>
      </c>
      <c r="Q2627" t="s">
        <v>72</v>
      </c>
      <c r="R2627" t="s">
        <v>139</v>
      </c>
      <c r="S2627" t="s">
        <v>144</v>
      </c>
      <c r="T2627" s="2">
        <f>MASTER[[#This Row],[CANTIDAD]]*MASTER[[#This Row],[PRECIO DE VENTA]]</f>
        <v>4612</v>
      </c>
      <c r="U2627" s="2">
        <f>MASTER[[#This Row],[CANTIDAD]]*MASTER[[#This Row],[COSTO UNITARIO]]</f>
        <v>1568</v>
      </c>
      <c r="V2627" s="2">
        <f>MASTER[[#This Row],[MONTO VENDIDO]]-MASTER[[#This Row],[COSTO DE VENTA]]</f>
        <v>3044</v>
      </c>
    </row>
    <row r="2628" spans="1:22" x14ac:dyDescent="0.3">
      <c r="A2628">
        <v>43697</v>
      </c>
      <c r="B2628">
        <v>1</v>
      </c>
      <c r="C2628" t="s">
        <v>114</v>
      </c>
      <c r="D2628" t="s">
        <v>115</v>
      </c>
      <c r="E2628" s="1">
        <v>44146</v>
      </c>
      <c r="F2628">
        <v>1</v>
      </c>
      <c r="G2628" t="s">
        <v>49</v>
      </c>
      <c r="H2628" t="s">
        <v>50</v>
      </c>
      <c r="I2628" s="3">
        <v>2030</v>
      </c>
      <c r="J2628" s="3">
        <v>2030</v>
      </c>
      <c r="K2628" s="3">
        <v>394</v>
      </c>
      <c r="L2628" t="s">
        <v>113</v>
      </c>
      <c r="M2628">
        <v>3</v>
      </c>
      <c r="N2628" t="s">
        <v>69</v>
      </c>
      <c r="O2628" t="s">
        <v>70</v>
      </c>
      <c r="P2628" t="s">
        <v>71</v>
      </c>
      <c r="Q2628" t="s">
        <v>72</v>
      </c>
      <c r="R2628" t="s">
        <v>139</v>
      </c>
      <c r="S2628" t="s">
        <v>144</v>
      </c>
      <c r="T2628" s="2">
        <f>MASTER[[#This Row],[CANTIDAD]]*MASTER[[#This Row],[PRECIO DE VENTA]]</f>
        <v>2030</v>
      </c>
      <c r="U2628" s="2">
        <f>MASTER[[#This Row],[CANTIDAD]]*MASTER[[#This Row],[COSTO UNITARIO]]</f>
        <v>394</v>
      </c>
      <c r="V2628" s="2">
        <f>MASTER[[#This Row],[MONTO VENDIDO]]-MASTER[[#This Row],[COSTO DE VENTA]]</f>
        <v>1636</v>
      </c>
    </row>
    <row r="2629" spans="1:22" x14ac:dyDescent="0.3">
      <c r="A2629">
        <v>43706</v>
      </c>
      <c r="B2629">
        <v>1</v>
      </c>
      <c r="C2629" t="s">
        <v>5</v>
      </c>
      <c r="D2629" t="s">
        <v>6</v>
      </c>
      <c r="E2629" s="1">
        <v>44146</v>
      </c>
      <c r="F2629">
        <v>1</v>
      </c>
      <c r="G2629" t="s">
        <v>45</v>
      </c>
      <c r="H2629" t="s">
        <v>46</v>
      </c>
      <c r="I2629" s="3">
        <v>1507</v>
      </c>
      <c r="J2629" s="3">
        <v>1507</v>
      </c>
      <c r="K2629" s="3">
        <v>393</v>
      </c>
      <c r="L2629" t="s">
        <v>9</v>
      </c>
      <c r="M2629">
        <v>4</v>
      </c>
      <c r="N2629" t="s">
        <v>82</v>
      </c>
      <c r="O2629" t="s">
        <v>81</v>
      </c>
      <c r="P2629" t="s">
        <v>71</v>
      </c>
      <c r="Q2629" t="s">
        <v>72</v>
      </c>
      <c r="R2629" t="s">
        <v>139</v>
      </c>
      <c r="S2629" t="s">
        <v>144</v>
      </c>
      <c r="T2629" s="2">
        <f>MASTER[[#This Row],[CANTIDAD]]*MASTER[[#This Row],[PRECIO DE VENTA]]</f>
        <v>1507</v>
      </c>
      <c r="U2629" s="2">
        <f>MASTER[[#This Row],[CANTIDAD]]*MASTER[[#This Row],[COSTO UNITARIO]]</f>
        <v>393</v>
      </c>
      <c r="V2629" s="2">
        <f>MASTER[[#This Row],[MONTO VENDIDO]]-MASTER[[#This Row],[COSTO DE VENTA]]</f>
        <v>1114</v>
      </c>
    </row>
    <row r="2630" spans="1:22" x14ac:dyDescent="0.3">
      <c r="A2630">
        <v>43716</v>
      </c>
      <c r="B2630">
        <v>1</v>
      </c>
      <c r="C2630" t="s">
        <v>121</v>
      </c>
      <c r="D2630" t="s">
        <v>122</v>
      </c>
      <c r="E2630" s="1">
        <v>44147</v>
      </c>
      <c r="F2630">
        <v>1</v>
      </c>
      <c r="G2630" t="s">
        <v>57</v>
      </c>
      <c r="H2630" t="s">
        <v>58</v>
      </c>
      <c r="I2630" s="3">
        <v>941</v>
      </c>
      <c r="J2630" s="3">
        <v>941</v>
      </c>
      <c r="K2630" s="3">
        <v>460</v>
      </c>
      <c r="L2630" t="s">
        <v>120</v>
      </c>
      <c r="M2630">
        <v>11</v>
      </c>
      <c r="N2630" t="s">
        <v>10</v>
      </c>
      <c r="O2630" t="s">
        <v>11</v>
      </c>
      <c r="P2630" t="s">
        <v>12</v>
      </c>
      <c r="Q2630" t="s">
        <v>13</v>
      </c>
      <c r="R2630" t="s">
        <v>13</v>
      </c>
      <c r="S2630" t="s">
        <v>144</v>
      </c>
      <c r="T2630" s="2">
        <f>MASTER[[#This Row],[CANTIDAD]]*MASTER[[#This Row],[PRECIO DE VENTA]]</f>
        <v>941</v>
      </c>
      <c r="U2630" s="2">
        <f>MASTER[[#This Row],[CANTIDAD]]*MASTER[[#This Row],[COSTO UNITARIO]]</f>
        <v>460</v>
      </c>
      <c r="V2630" s="2">
        <f>MASTER[[#This Row],[MONTO VENDIDO]]-MASTER[[#This Row],[COSTO DE VENTA]]</f>
        <v>481</v>
      </c>
    </row>
    <row r="2631" spans="1:22" x14ac:dyDescent="0.3">
      <c r="A2631">
        <v>43724</v>
      </c>
      <c r="B2631">
        <v>2</v>
      </c>
      <c r="C2631" t="s">
        <v>114</v>
      </c>
      <c r="D2631" t="s">
        <v>115</v>
      </c>
      <c r="E2631" s="1">
        <v>44147</v>
      </c>
      <c r="F2631">
        <v>1</v>
      </c>
      <c r="G2631" t="s">
        <v>67</v>
      </c>
      <c r="H2631" t="s">
        <v>68</v>
      </c>
      <c r="I2631" s="3">
        <v>1583</v>
      </c>
      <c r="J2631" s="3">
        <v>1583</v>
      </c>
      <c r="K2631" s="3">
        <v>394</v>
      </c>
      <c r="L2631" t="s">
        <v>113</v>
      </c>
      <c r="M2631">
        <v>16</v>
      </c>
      <c r="N2631" t="s">
        <v>17</v>
      </c>
      <c r="O2631" t="s">
        <v>11</v>
      </c>
      <c r="P2631" t="s">
        <v>18</v>
      </c>
      <c r="Q2631" t="s">
        <v>19</v>
      </c>
      <c r="R2631" t="s">
        <v>138</v>
      </c>
      <c r="S2631" t="s">
        <v>144</v>
      </c>
      <c r="T2631" s="2">
        <f>MASTER[[#This Row],[CANTIDAD]]*MASTER[[#This Row],[PRECIO DE VENTA]]</f>
        <v>1583</v>
      </c>
      <c r="U2631" s="2">
        <f>MASTER[[#This Row],[CANTIDAD]]*MASTER[[#This Row],[COSTO UNITARIO]]</f>
        <v>394</v>
      </c>
      <c r="V2631" s="2">
        <f>MASTER[[#This Row],[MONTO VENDIDO]]-MASTER[[#This Row],[COSTO DE VENTA]]</f>
        <v>1189</v>
      </c>
    </row>
    <row r="2632" spans="1:22" x14ac:dyDescent="0.3">
      <c r="A2632">
        <v>43724</v>
      </c>
      <c r="B2632">
        <v>1</v>
      </c>
      <c r="C2632" t="s">
        <v>118</v>
      </c>
      <c r="D2632" t="s">
        <v>119</v>
      </c>
      <c r="E2632" s="1">
        <v>44147</v>
      </c>
      <c r="F2632">
        <v>1</v>
      </c>
      <c r="G2632" t="s">
        <v>35</v>
      </c>
      <c r="H2632" t="s">
        <v>36</v>
      </c>
      <c r="I2632" s="3">
        <v>801</v>
      </c>
      <c r="J2632" s="3">
        <v>801</v>
      </c>
      <c r="K2632" s="3">
        <v>424</v>
      </c>
      <c r="L2632" t="s">
        <v>120</v>
      </c>
      <c r="M2632">
        <v>16</v>
      </c>
      <c r="N2632" t="s">
        <v>17</v>
      </c>
      <c r="O2632" t="s">
        <v>11</v>
      </c>
      <c r="P2632" t="s">
        <v>18</v>
      </c>
      <c r="Q2632" t="s">
        <v>19</v>
      </c>
      <c r="R2632" t="s">
        <v>138</v>
      </c>
      <c r="S2632" t="s">
        <v>144</v>
      </c>
      <c r="T2632" s="2">
        <f>MASTER[[#This Row],[CANTIDAD]]*MASTER[[#This Row],[PRECIO DE VENTA]]</f>
        <v>801</v>
      </c>
      <c r="U2632" s="2">
        <f>MASTER[[#This Row],[CANTIDAD]]*MASTER[[#This Row],[COSTO UNITARIO]]</f>
        <v>424</v>
      </c>
      <c r="V2632" s="2">
        <f>MASTER[[#This Row],[MONTO VENDIDO]]-MASTER[[#This Row],[COSTO DE VENTA]]</f>
        <v>377</v>
      </c>
    </row>
    <row r="2633" spans="1:22" x14ac:dyDescent="0.3">
      <c r="A2633">
        <v>43754</v>
      </c>
      <c r="B2633">
        <v>1</v>
      </c>
      <c r="C2633" t="s">
        <v>116</v>
      </c>
      <c r="D2633" t="s">
        <v>117</v>
      </c>
      <c r="E2633" s="1">
        <v>44147</v>
      </c>
      <c r="F2633">
        <v>1</v>
      </c>
      <c r="G2633" t="s">
        <v>65</v>
      </c>
      <c r="H2633" t="s">
        <v>66</v>
      </c>
      <c r="I2633" s="3">
        <v>1999</v>
      </c>
      <c r="J2633" s="3">
        <v>1999</v>
      </c>
      <c r="K2633" s="3">
        <v>388</v>
      </c>
      <c r="L2633" t="s">
        <v>113</v>
      </c>
      <c r="M2633">
        <v>6</v>
      </c>
      <c r="N2633" t="s">
        <v>75</v>
      </c>
      <c r="O2633" t="s">
        <v>70</v>
      </c>
      <c r="P2633" t="s">
        <v>12</v>
      </c>
      <c r="Q2633" t="s">
        <v>13</v>
      </c>
      <c r="R2633" t="s">
        <v>13</v>
      </c>
      <c r="S2633" t="s">
        <v>144</v>
      </c>
      <c r="T2633" s="2">
        <f>MASTER[[#This Row],[CANTIDAD]]*MASTER[[#This Row],[PRECIO DE VENTA]]</f>
        <v>1999</v>
      </c>
      <c r="U2633" s="2">
        <f>MASTER[[#This Row],[CANTIDAD]]*MASTER[[#This Row],[COSTO UNITARIO]]</f>
        <v>388</v>
      </c>
      <c r="V2633" s="2">
        <f>MASTER[[#This Row],[MONTO VENDIDO]]-MASTER[[#This Row],[COSTO DE VENTA]]</f>
        <v>1611</v>
      </c>
    </row>
    <row r="2634" spans="1:22" x14ac:dyDescent="0.3">
      <c r="A2634">
        <v>43756</v>
      </c>
      <c r="B2634">
        <v>1</v>
      </c>
      <c r="C2634" t="s">
        <v>116</v>
      </c>
      <c r="D2634" t="s">
        <v>117</v>
      </c>
      <c r="E2634" s="1">
        <v>44147</v>
      </c>
      <c r="F2634">
        <v>1</v>
      </c>
      <c r="G2634" t="s">
        <v>31</v>
      </c>
      <c r="H2634" t="s">
        <v>32</v>
      </c>
      <c r="I2634" s="3">
        <v>1738</v>
      </c>
      <c r="J2634" s="3">
        <v>1738</v>
      </c>
      <c r="K2634" s="3">
        <v>388</v>
      </c>
      <c r="L2634" t="s">
        <v>113</v>
      </c>
      <c r="M2634">
        <v>19</v>
      </c>
      <c r="N2634" t="s">
        <v>89</v>
      </c>
      <c r="O2634" t="s">
        <v>81</v>
      </c>
      <c r="P2634" t="s">
        <v>15</v>
      </c>
      <c r="Q2634" t="s">
        <v>16</v>
      </c>
      <c r="R2634" t="s">
        <v>16</v>
      </c>
      <c r="S2634" t="s">
        <v>144</v>
      </c>
      <c r="T2634" s="2">
        <f>MASTER[[#This Row],[CANTIDAD]]*MASTER[[#This Row],[PRECIO DE VENTA]]</f>
        <v>1738</v>
      </c>
      <c r="U2634" s="2">
        <f>MASTER[[#This Row],[CANTIDAD]]*MASTER[[#This Row],[COSTO UNITARIO]]</f>
        <v>388</v>
      </c>
      <c r="V2634" s="2">
        <f>MASTER[[#This Row],[MONTO VENDIDO]]-MASTER[[#This Row],[COSTO DE VENTA]]</f>
        <v>1350</v>
      </c>
    </row>
    <row r="2635" spans="1:22" x14ac:dyDescent="0.3">
      <c r="A2635">
        <v>43762</v>
      </c>
      <c r="B2635">
        <v>1</v>
      </c>
      <c r="C2635" t="s">
        <v>101</v>
      </c>
      <c r="D2635" t="s">
        <v>102</v>
      </c>
      <c r="E2635" s="1">
        <v>44147</v>
      </c>
      <c r="F2635">
        <v>4</v>
      </c>
      <c r="G2635" t="s">
        <v>27</v>
      </c>
      <c r="H2635" t="s">
        <v>28</v>
      </c>
      <c r="I2635" s="3">
        <v>1357</v>
      </c>
      <c r="J2635" s="3">
        <v>1357</v>
      </c>
      <c r="K2635" s="3">
        <v>442</v>
      </c>
      <c r="L2635" t="s">
        <v>98</v>
      </c>
      <c r="M2635">
        <v>3</v>
      </c>
      <c r="N2635" t="s">
        <v>69</v>
      </c>
      <c r="O2635" t="s">
        <v>70</v>
      </c>
      <c r="P2635" t="s">
        <v>71</v>
      </c>
      <c r="Q2635" t="s">
        <v>72</v>
      </c>
      <c r="R2635" t="s">
        <v>139</v>
      </c>
      <c r="S2635" t="s">
        <v>144</v>
      </c>
      <c r="T2635" s="2">
        <f>MASTER[[#This Row],[CANTIDAD]]*MASTER[[#This Row],[PRECIO DE VENTA]]</f>
        <v>5428</v>
      </c>
      <c r="U2635" s="2">
        <f>MASTER[[#This Row],[CANTIDAD]]*MASTER[[#This Row],[COSTO UNITARIO]]</f>
        <v>1768</v>
      </c>
      <c r="V2635" s="2">
        <f>MASTER[[#This Row],[MONTO VENDIDO]]-MASTER[[#This Row],[COSTO DE VENTA]]</f>
        <v>3660</v>
      </c>
    </row>
    <row r="2636" spans="1:22" x14ac:dyDescent="0.3">
      <c r="A2636">
        <v>43770</v>
      </c>
      <c r="B2636">
        <v>1</v>
      </c>
      <c r="C2636" t="s">
        <v>99</v>
      </c>
      <c r="D2636" t="s">
        <v>100</v>
      </c>
      <c r="E2636" s="1">
        <v>44147</v>
      </c>
      <c r="F2636">
        <v>1</v>
      </c>
      <c r="G2636" t="s">
        <v>35</v>
      </c>
      <c r="H2636" t="s">
        <v>36</v>
      </c>
      <c r="I2636" s="3">
        <v>1328</v>
      </c>
      <c r="J2636" s="3">
        <v>1328</v>
      </c>
      <c r="K2636" s="3">
        <v>386</v>
      </c>
      <c r="L2636" t="s">
        <v>98</v>
      </c>
      <c r="M2636">
        <v>12</v>
      </c>
      <c r="N2636" t="s">
        <v>26</v>
      </c>
      <c r="O2636" t="s">
        <v>11</v>
      </c>
      <c r="P2636" t="s">
        <v>12</v>
      </c>
      <c r="Q2636" t="s">
        <v>13</v>
      </c>
      <c r="R2636" t="s">
        <v>13</v>
      </c>
      <c r="S2636" t="s">
        <v>144</v>
      </c>
      <c r="T2636" s="2">
        <f>MASTER[[#This Row],[CANTIDAD]]*MASTER[[#This Row],[PRECIO DE VENTA]]</f>
        <v>1328</v>
      </c>
      <c r="U2636" s="2">
        <f>MASTER[[#This Row],[CANTIDAD]]*MASTER[[#This Row],[COSTO UNITARIO]]</f>
        <v>386</v>
      </c>
      <c r="V2636" s="2">
        <f>MASTER[[#This Row],[MONTO VENDIDO]]-MASTER[[#This Row],[COSTO DE VENTA]]</f>
        <v>942</v>
      </c>
    </row>
    <row r="2637" spans="1:22" x14ac:dyDescent="0.3">
      <c r="A2637">
        <v>43778</v>
      </c>
      <c r="B2637">
        <v>1</v>
      </c>
      <c r="C2637" t="s">
        <v>116</v>
      </c>
      <c r="D2637" t="s">
        <v>117</v>
      </c>
      <c r="E2637" s="1">
        <v>44147</v>
      </c>
      <c r="F2637">
        <v>1</v>
      </c>
      <c r="G2637" t="s">
        <v>61</v>
      </c>
      <c r="H2637" t="s">
        <v>62</v>
      </c>
      <c r="I2637" s="3">
        <v>1999</v>
      </c>
      <c r="J2637" s="3">
        <v>1999</v>
      </c>
      <c r="K2637" s="3">
        <v>388</v>
      </c>
      <c r="L2637" t="s">
        <v>113</v>
      </c>
      <c r="M2637">
        <v>6</v>
      </c>
      <c r="N2637" t="s">
        <v>75</v>
      </c>
      <c r="O2637" t="s">
        <v>70</v>
      </c>
      <c r="P2637" t="s">
        <v>12</v>
      </c>
      <c r="Q2637" t="s">
        <v>13</v>
      </c>
      <c r="R2637" t="s">
        <v>13</v>
      </c>
      <c r="S2637" t="s">
        <v>144</v>
      </c>
      <c r="T2637" s="2">
        <f>MASTER[[#This Row],[CANTIDAD]]*MASTER[[#This Row],[PRECIO DE VENTA]]</f>
        <v>1999</v>
      </c>
      <c r="U2637" s="2">
        <f>MASTER[[#This Row],[CANTIDAD]]*MASTER[[#This Row],[COSTO UNITARIO]]</f>
        <v>388</v>
      </c>
      <c r="V2637" s="2">
        <f>MASTER[[#This Row],[MONTO VENDIDO]]-MASTER[[#This Row],[COSTO DE VENTA]]</f>
        <v>1611</v>
      </c>
    </row>
    <row r="2638" spans="1:22" x14ac:dyDescent="0.3">
      <c r="A2638">
        <v>43800</v>
      </c>
      <c r="B2638">
        <v>1</v>
      </c>
      <c r="C2638" t="s">
        <v>109</v>
      </c>
      <c r="D2638" t="s">
        <v>110</v>
      </c>
      <c r="E2638" s="1">
        <v>44147</v>
      </c>
      <c r="F2638">
        <v>1</v>
      </c>
      <c r="G2638" t="s">
        <v>67</v>
      </c>
      <c r="H2638" t="s">
        <v>68</v>
      </c>
      <c r="I2638" s="3">
        <v>947</v>
      </c>
      <c r="J2638" s="3">
        <v>947</v>
      </c>
      <c r="K2638" s="3">
        <v>387</v>
      </c>
      <c r="L2638" t="s">
        <v>98</v>
      </c>
      <c r="M2638">
        <v>17</v>
      </c>
      <c r="N2638" t="s">
        <v>14</v>
      </c>
      <c r="O2638" t="s">
        <v>11</v>
      </c>
      <c r="P2638" t="s">
        <v>15</v>
      </c>
      <c r="Q2638" t="s">
        <v>16</v>
      </c>
      <c r="R2638" t="s">
        <v>16</v>
      </c>
      <c r="S2638" t="s">
        <v>144</v>
      </c>
      <c r="T2638" s="2">
        <f>MASTER[[#This Row],[CANTIDAD]]*MASTER[[#This Row],[PRECIO DE VENTA]]</f>
        <v>947</v>
      </c>
      <c r="U2638" s="2">
        <f>MASTER[[#This Row],[CANTIDAD]]*MASTER[[#This Row],[COSTO UNITARIO]]</f>
        <v>387</v>
      </c>
      <c r="V2638" s="2">
        <f>MASTER[[#This Row],[MONTO VENDIDO]]-MASTER[[#This Row],[COSTO DE VENTA]]</f>
        <v>560</v>
      </c>
    </row>
    <row r="2639" spans="1:22" x14ac:dyDescent="0.3">
      <c r="A2639">
        <v>43857</v>
      </c>
      <c r="B2639">
        <v>1</v>
      </c>
      <c r="C2639" t="s">
        <v>116</v>
      </c>
      <c r="D2639" t="s">
        <v>117</v>
      </c>
      <c r="E2639" s="1">
        <v>44147</v>
      </c>
      <c r="F2639">
        <v>1</v>
      </c>
      <c r="G2639" t="s">
        <v>73</v>
      </c>
      <c r="H2639" t="s">
        <v>74</v>
      </c>
      <c r="I2639" s="3">
        <v>1999</v>
      </c>
      <c r="J2639" s="3">
        <v>1999</v>
      </c>
      <c r="K2639" s="3">
        <v>388</v>
      </c>
      <c r="L2639" t="s">
        <v>113</v>
      </c>
      <c r="M2639">
        <v>6</v>
      </c>
      <c r="N2639" t="s">
        <v>75</v>
      </c>
      <c r="O2639" t="s">
        <v>70</v>
      </c>
      <c r="P2639" t="s">
        <v>12</v>
      </c>
      <c r="Q2639" t="s">
        <v>13</v>
      </c>
      <c r="R2639" t="s">
        <v>13</v>
      </c>
      <c r="S2639" t="s">
        <v>144</v>
      </c>
      <c r="T2639" s="2">
        <f>MASTER[[#This Row],[CANTIDAD]]*MASTER[[#This Row],[PRECIO DE VENTA]]</f>
        <v>1999</v>
      </c>
      <c r="U2639" s="2">
        <f>MASTER[[#This Row],[CANTIDAD]]*MASTER[[#This Row],[COSTO UNITARIO]]</f>
        <v>388</v>
      </c>
      <c r="V2639" s="2">
        <f>MASTER[[#This Row],[MONTO VENDIDO]]-MASTER[[#This Row],[COSTO DE VENTA]]</f>
        <v>1611</v>
      </c>
    </row>
    <row r="2640" spans="1:22" x14ac:dyDescent="0.3">
      <c r="A2640">
        <v>43868</v>
      </c>
      <c r="B2640">
        <v>1</v>
      </c>
      <c r="C2640" t="s">
        <v>111</v>
      </c>
      <c r="D2640" t="s">
        <v>112</v>
      </c>
      <c r="E2640" s="1">
        <v>44147</v>
      </c>
      <c r="F2640">
        <v>1</v>
      </c>
      <c r="G2640" t="s">
        <v>33</v>
      </c>
      <c r="H2640" t="s">
        <v>34</v>
      </c>
      <c r="I2640" s="3">
        <v>1621</v>
      </c>
      <c r="J2640" s="3">
        <v>1507</v>
      </c>
      <c r="K2640" s="3">
        <v>434</v>
      </c>
      <c r="L2640" t="s">
        <v>113</v>
      </c>
      <c r="M2640">
        <v>2</v>
      </c>
      <c r="N2640" t="s">
        <v>86</v>
      </c>
      <c r="O2640" t="s">
        <v>81</v>
      </c>
      <c r="P2640" t="s">
        <v>71</v>
      </c>
      <c r="Q2640" t="s">
        <v>72</v>
      </c>
      <c r="R2640" t="s">
        <v>139</v>
      </c>
      <c r="S2640" t="s">
        <v>144</v>
      </c>
      <c r="T2640" s="2">
        <f>MASTER[[#This Row],[CANTIDAD]]*MASTER[[#This Row],[PRECIO DE VENTA]]</f>
        <v>1507</v>
      </c>
      <c r="U2640" s="2">
        <f>MASTER[[#This Row],[CANTIDAD]]*MASTER[[#This Row],[COSTO UNITARIO]]</f>
        <v>434</v>
      </c>
      <c r="V2640" s="2">
        <f>MASTER[[#This Row],[MONTO VENDIDO]]-MASTER[[#This Row],[COSTO DE VENTA]]</f>
        <v>1073</v>
      </c>
    </row>
    <row r="2641" spans="1:22" x14ac:dyDescent="0.3">
      <c r="A2641">
        <v>43876</v>
      </c>
      <c r="B2641">
        <v>1</v>
      </c>
      <c r="C2641" t="s">
        <v>96</v>
      </c>
      <c r="D2641" t="s">
        <v>97</v>
      </c>
      <c r="E2641" s="1">
        <v>44148</v>
      </c>
      <c r="F2641">
        <v>1</v>
      </c>
      <c r="G2641" t="s">
        <v>35</v>
      </c>
      <c r="H2641" t="s">
        <v>36</v>
      </c>
      <c r="I2641" s="3">
        <v>1361</v>
      </c>
      <c r="J2641" s="3">
        <v>1361</v>
      </c>
      <c r="K2641" s="3">
        <v>397</v>
      </c>
      <c r="L2641" t="s">
        <v>98</v>
      </c>
      <c r="M2641">
        <v>3</v>
      </c>
      <c r="N2641" t="s">
        <v>69</v>
      </c>
      <c r="O2641" t="s">
        <v>70</v>
      </c>
      <c r="P2641" t="s">
        <v>71</v>
      </c>
      <c r="Q2641" t="s">
        <v>72</v>
      </c>
      <c r="R2641" t="s">
        <v>139</v>
      </c>
      <c r="S2641" t="s">
        <v>144</v>
      </c>
      <c r="T2641" s="2">
        <f>MASTER[[#This Row],[CANTIDAD]]*MASTER[[#This Row],[PRECIO DE VENTA]]</f>
        <v>1361</v>
      </c>
      <c r="U2641" s="2">
        <f>MASTER[[#This Row],[CANTIDAD]]*MASTER[[#This Row],[COSTO UNITARIO]]</f>
        <v>397</v>
      </c>
      <c r="V2641" s="2">
        <f>MASTER[[#This Row],[MONTO VENDIDO]]-MASTER[[#This Row],[COSTO DE VENTA]]</f>
        <v>964</v>
      </c>
    </row>
    <row r="2642" spans="1:22" x14ac:dyDescent="0.3">
      <c r="A2642">
        <v>43896</v>
      </c>
      <c r="B2642">
        <v>1</v>
      </c>
      <c r="C2642" t="s">
        <v>111</v>
      </c>
      <c r="D2642" t="s">
        <v>112</v>
      </c>
      <c r="E2642" s="1">
        <v>44148</v>
      </c>
      <c r="F2642">
        <v>1</v>
      </c>
      <c r="G2642" t="s">
        <v>55</v>
      </c>
      <c r="H2642" t="s">
        <v>56</v>
      </c>
      <c r="I2642" s="3">
        <v>1799</v>
      </c>
      <c r="J2642" s="3">
        <v>1799</v>
      </c>
      <c r="K2642" s="3">
        <v>434</v>
      </c>
      <c r="L2642" t="s">
        <v>113</v>
      </c>
      <c r="M2642">
        <v>18</v>
      </c>
      <c r="N2642" t="s">
        <v>79</v>
      </c>
      <c r="O2642" t="s">
        <v>70</v>
      </c>
      <c r="P2642" t="s">
        <v>15</v>
      </c>
      <c r="Q2642" t="s">
        <v>16</v>
      </c>
      <c r="R2642" t="s">
        <v>16</v>
      </c>
      <c r="S2642" t="s">
        <v>144</v>
      </c>
      <c r="T2642" s="2">
        <f>MASTER[[#This Row],[CANTIDAD]]*MASTER[[#This Row],[PRECIO DE VENTA]]</f>
        <v>1799</v>
      </c>
      <c r="U2642" s="2">
        <f>MASTER[[#This Row],[CANTIDAD]]*MASTER[[#This Row],[COSTO UNITARIO]]</f>
        <v>434</v>
      </c>
      <c r="V2642" s="2">
        <f>MASTER[[#This Row],[MONTO VENDIDO]]-MASTER[[#This Row],[COSTO DE VENTA]]</f>
        <v>1365</v>
      </c>
    </row>
    <row r="2643" spans="1:22" x14ac:dyDescent="0.3">
      <c r="A2643">
        <v>43908</v>
      </c>
      <c r="B2643">
        <v>1</v>
      </c>
      <c r="C2643" t="s">
        <v>103</v>
      </c>
      <c r="D2643" t="s">
        <v>104</v>
      </c>
      <c r="E2643" s="1">
        <v>44148</v>
      </c>
      <c r="F2643">
        <v>1</v>
      </c>
      <c r="G2643" t="s">
        <v>29</v>
      </c>
      <c r="H2643" t="s">
        <v>30</v>
      </c>
      <c r="I2643" s="3">
        <v>1830</v>
      </c>
      <c r="J2643" s="3">
        <v>1830</v>
      </c>
      <c r="K2643" s="3">
        <v>421</v>
      </c>
      <c r="L2643" t="s">
        <v>98</v>
      </c>
      <c r="M2643">
        <v>6</v>
      </c>
      <c r="N2643" t="s">
        <v>75</v>
      </c>
      <c r="O2643" t="s">
        <v>70</v>
      </c>
      <c r="P2643" t="s">
        <v>12</v>
      </c>
      <c r="Q2643" t="s">
        <v>13</v>
      </c>
      <c r="R2643" t="s">
        <v>13</v>
      </c>
      <c r="S2643" t="s">
        <v>144</v>
      </c>
      <c r="T2643" s="2">
        <f>MASTER[[#This Row],[CANTIDAD]]*MASTER[[#This Row],[PRECIO DE VENTA]]</f>
        <v>1830</v>
      </c>
      <c r="U2643" s="2">
        <f>MASTER[[#This Row],[CANTIDAD]]*MASTER[[#This Row],[COSTO UNITARIO]]</f>
        <v>421</v>
      </c>
      <c r="V2643" s="2">
        <f>MASTER[[#This Row],[MONTO VENDIDO]]-MASTER[[#This Row],[COSTO DE VENTA]]</f>
        <v>1409</v>
      </c>
    </row>
    <row r="2644" spans="1:22" x14ac:dyDescent="0.3">
      <c r="A2644">
        <v>43911</v>
      </c>
      <c r="B2644">
        <v>1</v>
      </c>
      <c r="C2644" t="s">
        <v>109</v>
      </c>
      <c r="D2644" t="s">
        <v>110</v>
      </c>
      <c r="E2644" s="1">
        <v>44148</v>
      </c>
      <c r="F2644">
        <v>1</v>
      </c>
      <c r="G2644" t="s">
        <v>47</v>
      </c>
      <c r="H2644" t="s">
        <v>48</v>
      </c>
      <c r="I2644" s="3">
        <v>1064</v>
      </c>
      <c r="J2644" s="3">
        <v>1064</v>
      </c>
      <c r="K2644" s="3">
        <v>387</v>
      </c>
      <c r="L2644" t="s">
        <v>98</v>
      </c>
      <c r="M2644">
        <v>8</v>
      </c>
      <c r="N2644" t="s">
        <v>80</v>
      </c>
      <c r="O2644" t="s">
        <v>81</v>
      </c>
      <c r="P2644" t="s">
        <v>12</v>
      </c>
      <c r="Q2644" t="s">
        <v>13</v>
      </c>
      <c r="R2644" t="s">
        <v>13</v>
      </c>
      <c r="S2644" t="s">
        <v>144</v>
      </c>
      <c r="T2644" s="2">
        <f>MASTER[[#This Row],[CANTIDAD]]*MASTER[[#This Row],[PRECIO DE VENTA]]</f>
        <v>1064</v>
      </c>
      <c r="U2644" s="2">
        <f>MASTER[[#This Row],[CANTIDAD]]*MASTER[[#This Row],[COSTO UNITARIO]]</f>
        <v>387</v>
      </c>
      <c r="V2644" s="2">
        <f>MASTER[[#This Row],[MONTO VENDIDO]]-MASTER[[#This Row],[COSTO DE VENTA]]</f>
        <v>677</v>
      </c>
    </row>
    <row r="2645" spans="1:22" x14ac:dyDescent="0.3">
      <c r="A2645">
        <v>43922</v>
      </c>
      <c r="B2645">
        <v>1</v>
      </c>
      <c r="C2645" t="s">
        <v>96</v>
      </c>
      <c r="D2645" t="s">
        <v>97</v>
      </c>
      <c r="E2645" s="1">
        <v>44148</v>
      </c>
      <c r="F2645">
        <v>1</v>
      </c>
      <c r="G2645" t="s">
        <v>53</v>
      </c>
      <c r="H2645" t="s">
        <v>54</v>
      </c>
      <c r="I2645" s="3">
        <v>1272</v>
      </c>
      <c r="J2645" s="3">
        <v>1272</v>
      </c>
      <c r="K2645" s="3">
        <v>397</v>
      </c>
      <c r="L2645" t="s">
        <v>98</v>
      </c>
      <c r="M2645">
        <v>5</v>
      </c>
      <c r="N2645" t="s">
        <v>85</v>
      </c>
      <c r="O2645" t="s">
        <v>81</v>
      </c>
      <c r="P2645" t="s">
        <v>12</v>
      </c>
      <c r="Q2645" t="s">
        <v>13</v>
      </c>
      <c r="R2645" t="s">
        <v>13</v>
      </c>
      <c r="S2645" t="s">
        <v>144</v>
      </c>
      <c r="T2645" s="2">
        <f>MASTER[[#This Row],[CANTIDAD]]*MASTER[[#This Row],[PRECIO DE VENTA]]</f>
        <v>1272</v>
      </c>
      <c r="U2645" s="2">
        <f>MASTER[[#This Row],[CANTIDAD]]*MASTER[[#This Row],[COSTO UNITARIO]]</f>
        <v>397</v>
      </c>
      <c r="V2645" s="2">
        <f>MASTER[[#This Row],[MONTO VENDIDO]]-MASTER[[#This Row],[COSTO DE VENTA]]</f>
        <v>875</v>
      </c>
    </row>
    <row r="2646" spans="1:22" x14ac:dyDescent="0.3">
      <c r="A2646">
        <v>43929</v>
      </c>
      <c r="B2646">
        <v>1</v>
      </c>
      <c r="C2646" t="s">
        <v>96</v>
      </c>
      <c r="D2646" t="s">
        <v>97</v>
      </c>
      <c r="E2646" s="1">
        <v>44148</v>
      </c>
      <c r="F2646">
        <v>1</v>
      </c>
      <c r="G2646" t="s">
        <v>65</v>
      </c>
      <c r="H2646" t="s">
        <v>66</v>
      </c>
      <c r="I2646" s="3">
        <v>1361</v>
      </c>
      <c r="J2646" s="3">
        <v>1361</v>
      </c>
      <c r="K2646" s="3">
        <v>397</v>
      </c>
      <c r="L2646" t="s">
        <v>98</v>
      </c>
      <c r="M2646">
        <v>6</v>
      </c>
      <c r="N2646" t="s">
        <v>75</v>
      </c>
      <c r="O2646" t="s">
        <v>70</v>
      </c>
      <c r="P2646" t="s">
        <v>12</v>
      </c>
      <c r="Q2646" t="s">
        <v>13</v>
      </c>
      <c r="R2646" t="s">
        <v>13</v>
      </c>
      <c r="S2646" t="s">
        <v>144</v>
      </c>
      <c r="T2646" s="2">
        <f>MASTER[[#This Row],[CANTIDAD]]*MASTER[[#This Row],[PRECIO DE VENTA]]</f>
        <v>1361</v>
      </c>
      <c r="U2646" s="2">
        <f>MASTER[[#This Row],[CANTIDAD]]*MASTER[[#This Row],[COSTO UNITARIO]]</f>
        <v>397</v>
      </c>
      <c r="V2646" s="2">
        <f>MASTER[[#This Row],[MONTO VENDIDO]]-MASTER[[#This Row],[COSTO DE VENTA]]</f>
        <v>964</v>
      </c>
    </row>
    <row r="2647" spans="1:22" x14ac:dyDescent="0.3">
      <c r="A2647">
        <v>43933</v>
      </c>
      <c r="B2647">
        <v>1</v>
      </c>
      <c r="C2647" t="s">
        <v>5</v>
      </c>
      <c r="D2647" t="s">
        <v>6</v>
      </c>
      <c r="E2647" s="1">
        <v>44148</v>
      </c>
      <c r="F2647">
        <v>1</v>
      </c>
      <c r="G2647" t="s">
        <v>35</v>
      </c>
      <c r="H2647" t="s">
        <v>36</v>
      </c>
      <c r="I2647" s="3">
        <v>1311</v>
      </c>
      <c r="J2647" s="3">
        <v>1311</v>
      </c>
      <c r="K2647" s="3">
        <v>393</v>
      </c>
      <c r="L2647" t="s">
        <v>9</v>
      </c>
      <c r="M2647">
        <v>16</v>
      </c>
      <c r="N2647" t="s">
        <v>17</v>
      </c>
      <c r="O2647" t="s">
        <v>11</v>
      </c>
      <c r="P2647" t="s">
        <v>18</v>
      </c>
      <c r="Q2647" t="s">
        <v>19</v>
      </c>
      <c r="R2647" t="s">
        <v>138</v>
      </c>
      <c r="S2647" t="s">
        <v>144</v>
      </c>
      <c r="T2647" s="2">
        <f>MASTER[[#This Row],[CANTIDAD]]*MASTER[[#This Row],[PRECIO DE VENTA]]</f>
        <v>1311</v>
      </c>
      <c r="U2647" s="2">
        <f>MASTER[[#This Row],[CANTIDAD]]*MASTER[[#This Row],[COSTO UNITARIO]]</f>
        <v>393</v>
      </c>
      <c r="V2647" s="2">
        <f>MASTER[[#This Row],[MONTO VENDIDO]]-MASTER[[#This Row],[COSTO DE VENTA]]</f>
        <v>918</v>
      </c>
    </row>
    <row r="2648" spans="1:22" x14ac:dyDescent="0.3">
      <c r="A2648">
        <v>43944</v>
      </c>
      <c r="B2648">
        <v>1</v>
      </c>
      <c r="C2648" t="s">
        <v>116</v>
      </c>
      <c r="D2648" t="s">
        <v>117</v>
      </c>
      <c r="E2648" s="1">
        <v>44148</v>
      </c>
      <c r="F2648">
        <v>1</v>
      </c>
      <c r="G2648" t="s">
        <v>35</v>
      </c>
      <c r="H2648" t="s">
        <v>36</v>
      </c>
      <c r="I2648" s="3">
        <v>1999</v>
      </c>
      <c r="J2648" s="3">
        <v>1999</v>
      </c>
      <c r="K2648" s="3">
        <v>388</v>
      </c>
      <c r="L2648" t="s">
        <v>113</v>
      </c>
      <c r="M2648">
        <v>18</v>
      </c>
      <c r="N2648" t="s">
        <v>79</v>
      </c>
      <c r="O2648" t="s">
        <v>70</v>
      </c>
      <c r="P2648" t="s">
        <v>15</v>
      </c>
      <c r="Q2648" t="s">
        <v>16</v>
      </c>
      <c r="R2648" t="s">
        <v>16</v>
      </c>
      <c r="S2648" t="s">
        <v>144</v>
      </c>
      <c r="T2648" s="2">
        <f>MASTER[[#This Row],[CANTIDAD]]*MASTER[[#This Row],[PRECIO DE VENTA]]</f>
        <v>1999</v>
      </c>
      <c r="U2648" s="2">
        <f>MASTER[[#This Row],[CANTIDAD]]*MASTER[[#This Row],[COSTO UNITARIO]]</f>
        <v>388</v>
      </c>
      <c r="V2648" s="2">
        <f>MASTER[[#This Row],[MONTO VENDIDO]]-MASTER[[#This Row],[COSTO DE VENTA]]</f>
        <v>1611</v>
      </c>
    </row>
    <row r="2649" spans="1:22" x14ac:dyDescent="0.3">
      <c r="A2649">
        <v>43987</v>
      </c>
      <c r="B2649">
        <v>1</v>
      </c>
      <c r="C2649" t="s">
        <v>118</v>
      </c>
      <c r="D2649" t="s">
        <v>119</v>
      </c>
      <c r="E2649" s="1">
        <v>44148</v>
      </c>
      <c r="F2649">
        <v>1</v>
      </c>
      <c r="G2649" t="s">
        <v>63</v>
      </c>
      <c r="H2649" t="s">
        <v>64</v>
      </c>
      <c r="I2649" s="3">
        <v>1026</v>
      </c>
      <c r="J2649" s="3">
        <v>1026</v>
      </c>
      <c r="K2649" s="3">
        <v>424</v>
      </c>
      <c r="L2649" t="s">
        <v>120</v>
      </c>
      <c r="M2649">
        <v>6</v>
      </c>
      <c r="N2649" t="s">
        <v>75</v>
      </c>
      <c r="O2649" t="s">
        <v>70</v>
      </c>
      <c r="P2649" t="s">
        <v>12</v>
      </c>
      <c r="Q2649" t="s">
        <v>13</v>
      </c>
      <c r="R2649" t="s">
        <v>13</v>
      </c>
      <c r="S2649" t="s">
        <v>144</v>
      </c>
      <c r="T2649" s="2">
        <f>MASTER[[#This Row],[CANTIDAD]]*MASTER[[#This Row],[PRECIO DE VENTA]]</f>
        <v>1026</v>
      </c>
      <c r="U2649" s="2">
        <f>MASTER[[#This Row],[CANTIDAD]]*MASTER[[#This Row],[COSTO UNITARIO]]</f>
        <v>424</v>
      </c>
      <c r="V2649" s="2">
        <f>MASTER[[#This Row],[MONTO VENDIDO]]-MASTER[[#This Row],[COSTO DE VENTA]]</f>
        <v>602</v>
      </c>
    </row>
    <row r="2650" spans="1:22" x14ac:dyDescent="0.3">
      <c r="A2650">
        <v>43995</v>
      </c>
      <c r="B2650">
        <v>1</v>
      </c>
      <c r="C2650" t="s">
        <v>118</v>
      </c>
      <c r="D2650" t="s">
        <v>119</v>
      </c>
      <c r="E2650" s="1">
        <v>44149</v>
      </c>
      <c r="F2650">
        <v>1</v>
      </c>
      <c r="G2650" t="s">
        <v>43</v>
      </c>
      <c r="H2650" t="s">
        <v>44</v>
      </c>
      <c r="I2650" s="3">
        <v>1026</v>
      </c>
      <c r="J2650" s="3">
        <v>1026</v>
      </c>
      <c r="K2650" s="3">
        <v>424</v>
      </c>
      <c r="L2650" t="s">
        <v>120</v>
      </c>
      <c r="M2650">
        <v>18</v>
      </c>
      <c r="N2650" t="s">
        <v>79</v>
      </c>
      <c r="O2650" t="s">
        <v>70</v>
      </c>
      <c r="P2650" t="s">
        <v>15</v>
      </c>
      <c r="Q2650" t="s">
        <v>16</v>
      </c>
      <c r="R2650" t="s">
        <v>16</v>
      </c>
      <c r="S2650" t="s">
        <v>144</v>
      </c>
      <c r="T2650" s="2">
        <f>MASTER[[#This Row],[CANTIDAD]]*MASTER[[#This Row],[PRECIO DE VENTA]]</f>
        <v>1026</v>
      </c>
      <c r="U2650" s="2">
        <f>MASTER[[#This Row],[CANTIDAD]]*MASTER[[#This Row],[COSTO UNITARIO]]</f>
        <v>424</v>
      </c>
      <c r="V2650" s="2">
        <f>MASTER[[#This Row],[MONTO VENDIDO]]-MASTER[[#This Row],[COSTO DE VENTA]]</f>
        <v>602</v>
      </c>
    </row>
    <row r="2651" spans="1:22" x14ac:dyDescent="0.3">
      <c r="A2651">
        <v>44007</v>
      </c>
      <c r="B2651">
        <v>1</v>
      </c>
      <c r="C2651" t="s">
        <v>105</v>
      </c>
      <c r="D2651" t="s">
        <v>106</v>
      </c>
      <c r="E2651" s="1">
        <v>44149</v>
      </c>
      <c r="F2651">
        <v>1</v>
      </c>
      <c r="G2651" t="s">
        <v>57</v>
      </c>
      <c r="H2651" t="s">
        <v>58</v>
      </c>
      <c r="I2651" s="3">
        <v>1585</v>
      </c>
      <c r="J2651" s="3">
        <v>1585</v>
      </c>
      <c r="K2651" s="3">
        <v>459</v>
      </c>
      <c r="L2651" t="s">
        <v>98</v>
      </c>
      <c r="M2651">
        <v>11</v>
      </c>
      <c r="N2651" t="s">
        <v>10</v>
      </c>
      <c r="O2651" t="s">
        <v>11</v>
      </c>
      <c r="P2651" t="s">
        <v>12</v>
      </c>
      <c r="Q2651" t="s">
        <v>13</v>
      </c>
      <c r="R2651" t="s">
        <v>13</v>
      </c>
      <c r="S2651" t="s">
        <v>144</v>
      </c>
      <c r="T2651" s="2">
        <f>MASTER[[#This Row],[CANTIDAD]]*MASTER[[#This Row],[PRECIO DE VENTA]]</f>
        <v>1585</v>
      </c>
      <c r="U2651" s="2">
        <f>MASTER[[#This Row],[CANTIDAD]]*MASTER[[#This Row],[COSTO UNITARIO]]</f>
        <v>459</v>
      </c>
      <c r="V2651" s="2">
        <f>MASTER[[#This Row],[MONTO VENDIDO]]-MASTER[[#This Row],[COSTO DE VENTA]]</f>
        <v>1126</v>
      </c>
    </row>
    <row r="2652" spans="1:22" x14ac:dyDescent="0.3">
      <c r="A2652">
        <v>44014</v>
      </c>
      <c r="B2652">
        <v>1</v>
      </c>
      <c r="C2652" t="s">
        <v>118</v>
      </c>
      <c r="D2652" t="s">
        <v>119</v>
      </c>
      <c r="E2652" s="1">
        <v>44149</v>
      </c>
      <c r="F2652">
        <v>1</v>
      </c>
      <c r="G2652" t="s">
        <v>41</v>
      </c>
      <c r="H2652" t="s">
        <v>42</v>
      </c>
      <c r="I2652" s="3">
        <v>900</v>
      </c>
      <c r="J2652" s="3">
        <v>900</v>
      </c>
      <c r="K2652" s="3">
        <v>424</v>
      </c>
      <c r="L2652" t="s">
        <v>120</v>
      </c>
      <c r="M2652">
        <v>2</v>
      </c>
      <c r="N2652" t="s">
        <v>86</v>
      </c>
      <c r="O2652" t="s">
        <v>81</v>
      </c>
      <c r="P2652" t="s">
        <v>71</v>
      </c>
      <c r="Q2652" t="s">
        <v>72</v>
      </c>
      <c r="R2652" t="s">
        <v>139</v>
      </c>
      <c r="S2652" t="s">
        <v>144</v>
      </c>
      <c r="T2652" s="2">
        <f>MASTER[[#This Row],[CANTIDAD]]*MASTER[[#This Row],[PRECIO DE VENTA]]</f>
        <v>900</v>
      </c>
      <c r="U2652" s="2">
        <f>MASTER[[#This Row],[CANTIDAD]]*MASTER[[#This Row],[COSTO UNITARIO]]</f>
        <v>424</v>
      </c>
      <c r="V2652" s="2">
        <f>MASTER[[#This Row],[MONTO VENDIDO]]-MASTER[[#This Row],[COSTO DE VENTA]]</f>
        <v>476</v>
      </c>
    </row>
    <row r="2653" spans="1:22" x14ac:dyDescent="0.3">
      <c r="A2653">
        <v>44018</v>
      </c>
      <c r="B2653">
        <v>1</v>
      </c>
      <c r="C2653" t="s">
        <v>107</v>
      </c>
      <c r="D2653" t="s">
        <v>108</v>
      </c>
      <c r="E2653" s="1">
        <v>44149</v>
      </c>
      <c r="F2653">
        <v>1</v>
      </c>
      <c r="G2653" t="s">
        <v>22</v>
      </c>
      <c r="H2653" t="s">
        <v>23</v>
      </c>
      <c r="I2653" s="3">
        <v>1333</v>
      </c>
      <c r="J2653" s="3">
        <v>1333</v>
      </c>
      <c r="K2653" s="3">
        <v>380</v>
      </c>
      <c r="L2653" t="s">
        <v>98</v>
      </c>
      <c r="M2653">
        <v>19</v>
      </c>
      <c r="N2653" t="s">
        <v>89</v>
      </c>
      <c r="O2653" t="s">
        <v>81</v>
      </c>
      <c r="P2653" t="s">
        <v>15</v>
      </c>
      <c r="Q2653" t="s">
        <v>16</v>
      </c>
      <c r="R2653" t="s">
        <v>16</v>
      </c>
      <c r="S2653" t="s">
        <v>144</v>
      </c>
      <c r="T2653" s="2">
        <f>MASTER[[#This Row],[CANTIDAD]]*MASTER[[#This Row],[PRECIO DE VENTA]]</f>
        <v>1333</v>
      </c>
      <c r="U2653" s="2">
        <f>MASTER[[#This Row],[CANTIDAD]]*MASTER[[#This Row],[COSTO UNITARIO]]</f>
        <v>380</v>
      </c>
      <c r="V2653" s="2">
        <f>MASTER[[#This Row],[MONTO VENDIDO]]-MASTER[[#This Row],[COSTO DE VENTA]]</f>
        <v>953</v>
      </c>
    </row>
    <row r="2654" spans="1:22" x14ac:dyDescent="0.3">
      <c r="A2654">
        <v>44035</v>
      </c>
      <c r="B2654">
        <v>1</v>
      </c>
      <c r="C2654" t="s">
        <v>96</v>
      </c>
      <c r="D2654" t="s">
        <v>97</v>
      </c>
      <c r="E2654" s="1">
        <v>44149</v>
      </c>
      <c r="F2654">
        <v>1</v>
      </c>
      <c r="G2654" t="s">
        <v>29</v>
      </c>
      <c r="H2654" t="s">
        <v>30</v>
      </c>
      <c r="I2654" s="3">
        <v>1196</v>
      </c>
      <c r="J2654" s="3">
        <v>1196</v>
      </c>
      <c r="K2654" s="3">
        <v>397</v>
      </c>
      <c r="L2654" t="s">
        <v>98</v>
      </c>
      <c r="M2654">
        <v>12</v>
      </c>
      <c r="N2654" t="s">
        <v>26</v>
      </c>
      <c r="O2654" t="s">
        <v>11</v>
      </c>
      <c r="P2654" t="s">
        <v>12</v>
      </c>
      <c r="Q2654" t="s">
        <v>13</v>
      </c>
      <c r="R2654" t="s">
        <v>13</v>
      </c>
      <c r="S2654" t="s">
        <v>144</v>
      </c>
      <c r="T2654" s="2">
        <f>MASTER[[#This Row],[CANTIDAD]]*MASTER[[#This Row],[PRECIO DE VENTA]]</f>
        <v>1196</v>
      </c>
      <c r="U2654" s="2">
        <f>MASTER[[#This Row],[CANTIDAD]]*MASTER[[#This Row],[COSTO UNITARIO]]</f>
        <v>397</v>
      </c>
      <c r="V2654" s="2">
        <f>MASTER[[#This Row],[MONTO VENDIDO]]-MASTER[[#This Row],[COSTO DE VENTA]]</f>
        <v>799</v>
      </c>
    </row>
    <row r="2655" spans="1:22" x14ac:dyDescent="0.3">
      <c r="A2655">
        <v>44036</v>
      </c>
      <c r="B2655">
        <v>1</v>
      </c>
      <c r="C2655" t="s">
        <v>5</v>
      </c>
      <c r="D2655" t="s">
        <v>6</v>
      </c>
      <c r="E2655" s="1">
        <v>44149</v>
      </c>
      <c r="F2655">
        <v>4</v>
      </c>
      <c r="G2655" t="s">
        <v>45</v>
      </c>
      <c r="H2655" t="s">
        <v>46</v>
      </c>
      <c r="I2655" s="3">
        <v>1507</v>
      </c>
      <c r="J2655" s="3">
        <v>1507</v>
      </c>
      <c r="K2655" s="3">
        <v>393</v>
      </c>
      <c r="L2655" t="s">
        <v>9</v>
      </c>
      <c r="M2655">
        <v>8</v>
      </c>
      <c r="N2655" t="s">
        <v>80</v>
      </c>
      <c r="O2655" t="s">
        <v>81</v>
      </c>
      <c r="P2655" t="s">
        <v>12</v>
      </c>
      <c r="Q2655" t="s">
        <v>13</v>
      </c>
      <c r="R2655" t="s">
        <v>13</v>
      </c>
      <c r="S2655" t="s">
        <v>144</v>
      </c>
      <c r="T2655" s="2">
        <f>MASTER[[#This Row],[CANTIDAD]]*MASTER[[#This Row],[PRECIO DE VENTA]]</f>
        <v>6028</v>
      </c>
      <c r="U2655" s="2">
        <f>MASTER[[#This Row],[CANTIDAD]]*MASTER[[#This Row],[COSTO UNITARIO]]</f>
        <v>1572</v>
      </c>
      <c r="V2655" s="2">
        <f>MASTER[[#This Row],[MONTO VENDIDO]]-MASTER[[#This Row],[COSTO DE VENTA]]</f>
        <v>4456</v>
      </c>
    </row>
    <row r="2656" spans="1:22" x14ac:dyDescent="0.3">
      <c r="A2656">
        <v>44043</v>
      </c>
      <c r="B2656">
        <v>1</v>
      </c>
      <c r="C2656" t="s">
        <v>109</v>
      </c>
      <c r="D2656" t="s">
        <v>110</v>
      </c>
      <c r="E2656" s="1">
        <v>44149</v>
      </c>
      <c r="F2656">
        <v>1</v>
      </c>
      <c r="G2656" t="s">
        <v>7</v>
      </c>
      <c r="H2656" t="s">
        <v>8</v>
      </c>
      <c r="I2656" s="3">
        <v>1064</v>
      </c>
      <c r="J2656" s="3">
        <v>1064</v>
      </c>
      <c r="K2656" s="3">
        <v>387</v>
      </c>
      <c r="L2656" t="s">
        <v>98</v>
      </c>
      <c r="M2656">
        <v>10</v>
      </c>
      <c r="N2656" t="s">
        <v>83</v>
      </c>
      <c r="O2656" t="s">
        <v>81</v>
      </c>
      <c r="P2656" t="s">
        <v>12</v>
      </c>
      <c r="Q2656" t="s">
        <v>13</v>
      </c>
      <c r="R2656" t="s">
        <v>13</v>
      </c>
      <c r="S2656" t="s">
        <v>144</v>
      </c>
      <c r="T2656" s="2">
        <f>MASTER[[#This Row],[CANTIDAD]]*MASTER[[#This Row],[PRECIO DE VENTA]]</f>
        <v>1064</v>
      </c>
      <c r="U2656" s="2">
        <f>MASTER[[#This Row],[CANTIDAD]]*MASTER[[#This Row],[COSTO UNITARIO]]</f>
        <v>387</v>
      </c>
      <c r="V2656" s="2">
        <f>MASTER[[#This Row],[MONTO VENDIDO]]-MASTER[[#This Row],[COSTO DE VENTA]]</f>
        <v>677</v>
      </c>
    </row>
    <row r="2657" spans="1:22" x14ac:dyDescent="0.3">
      <c r="A2657">
        <v>44099</v>
      </c>
      <c r="B2657">
        <v>1</v>
      </c>
      <c r="C2657" t="s">
        <v>90</v>
      </c>
      <c r="D2657" t="s">
        <v>91</v>
      </c>
      <c r="E2657" s="1">
        <v>44149</v>
      </c>
      <c r="F2657">
        <v>1</v>
      </c>
      <c r="G2657" t="s">
        <v>65</v>
      </c>
      <c r="H2657" t="s">
        <v>66</v>
      </c>
      <c r="I2657" s="3">
        <v>1660</v>
      </c>
      <c r="J2657" s="3">
        <v>1660</v>
      </c>
      <c r="K2657" s="3">
        <v>420</v>
      </c>
      <c r="L2657" t="s">
        <v>9</v>
      </c>
      <c r="M2657">
        <v>16</v>
      </c>
      <c r="N2657" t="s">
        <v>17</v>
      </c>
      <c r="O2657" t="s">
        <v>11</v>
      </c>
      <c r="P2657" t="s">
        <v>18</v>
      </c>
      <c r="Q2657" t="s">
        <v>19</v>
      </c>
      <c r="R2657" t="s">
        <v>138</v>
      </c>
      <c r="S2657" t="s">
        <v>144</v>
      </c>
      <c r="T2657" s="2">
        <f>MASTER[[#This Row],[CANTIDAD]]*MASTER[[#This Row],[PRECIO DE VENTA]]</f>
        <v>1660</v>
      </c>
      <c r="U2657" s="2">
        <f>MASTER[[#This Row],[CANTIDAD]]*MASTER[[#This Row],[COSTO UNITARIO]]</f>
        <v>420</v>
      </c>
      <c r="V2657" s="2">
        <f>MASTER[[#This Row],[MONTO VENDIDO]]-MASTER[[#This Row],[COSTO DE VENTA]]</f>
        <v>1240</v>
      </c>
    </row>
    <row r="2658" spans="1:22" x14ac:dyDescent="0.3">
      <c r="A2658">
        <v>44117</v>
      </c>
      <c r="B2658">
        <v>1</v>
      </c>
      <c r="C2658" t="s">
        <v>99</v>
      </c>
      <c r="D2658" t="s">
        <v>100</v>
      </c>
      <c r="E2658" s="1">
        <v>44149</v>
      </c>
      <c r="F2658">
        <v>1</v>
      </c>
      <c r="G2658" t="s">
        <v>65</v>
      </c>
      <c r="H2658" t="s">
        <v>66</v>
      </c>
      <c r="I2658" s="3">
        <v>1459</v>
      </c>
      <c r="J2658" s="3">
        <v>1459</v>
      </c>
      <c r="K2658" s="3">
        <v>386</v>
      </c>
      <c r="L2658" t="s">
        <v>98</v>
      </c>
      <c r="M2658">
        <v>19</v>
      </c>
      <c r="N2658" t="s">
        <v>89</v>
      </c>
      <c r="O2658" t="s">
        <v>81</v>
      </c>
      <c r="P2658" t="s">
        <v>15</v>
      </c>
      <c r="Q2658" t="s">
        <v>16</v>
      </c>
      <c r="R2658" t="s">
        <v>16</v>
      </c>
      <c r="S2658" t="s">
        <v>144</v>
      </c>
      <c r="T2658" s="2">
        <f>MASTER[[#This Row],[CANTIDAD]]*MASTER[[#This Row],[PRECIO DE VENTA]]</f>
        <v>1459</v>
      </c>
      <c r="U2658" s="2">
        <f>MASTER[[#This Row],[CANTIDAD]]*MASTER[[#This Row],[COSTO UNITARIO]]</f>
        <v>386</v>
      </c>
      <c r="V2658" s="2">
        <f>MASTER[[#This Row],[MONTO VENDIDO]]-MASTER[[#This Row],[COSTO DE VENTA]]</f>
        <v>1073</v>
      </c>
    </row>
    <row r="2659" spans="1:22" x14ac:dyDescent="0.3">
      <c r="A2659">
        <v>44131</v>
      </c>
      <c r="B2659">
        <v>1</v>
      </c>
      <c r="C2659" t="s">
        <v>90</v>
      </c>
      <c r="D2659" t="s">
        <v>91</v>
      </c>
      <c r="E2659" s="1">
        <v>44150</v>
      </c>
      <c r="F2659">
        <v>1</v>
      </c>
      <c r="G2659" t="s">
        <v>61</v>
      </c>
      <c r="H2659" t="s">
        <v>62</v>
      </c>
      <c r="I2659" s="3">
        <v>1844</v>
      </c>
      <c r="J2659" s="3">
        <v>1844</v>
      </c>
      <c r="K2659" s="3">
        <v>420</v>
      </c>
      <c r="L2659" t="s">
        <v>9</v>
      </c>
      <c r="M2659">
        <v>14</v>
      </c>
      <c r="N2659" t="s">
        <v>87</v>
      </c>
      <c r="O2659" t="s">
        <v>81</v>
      </c>
      <c r="P2659" t="s">
        <v>18</v>
      </c>
      <c r="Q2659" t="s">
        <v>19</v>
      </c>
      <c r="R2659" t="s">
        <v>138</v>
      </c>
      <c r="S2659" t="s">
        <v>144</v>
      </c>
      <c r="T2659" s="2">
        <f>MASTER[[#This Row],[CANTIDAD]]*MASTER[[#This Row],[PRECIO DE VENTA]]</f>
        <v>1844</v>
      </c>
      <c r="U2659" s="2">
        <f>MASTER[[#This Row],[CANTIDAD]]*MASTER[[#This Row],[COSTO UNITARIO]]</f>
        <v>420</v>
      </c>
      <c r="V2659" s="2">
        <f>MASTER[[#This Row],[MONTO VENDIDO]]-MASTER[[#This Row],[COSTO DE VENTA]]</f>
        <v>1424</v>
      </c>
    </row>
    <row r="2660" spans="1:22" x14ac:dyDescent="0.3">
      <c r="A2660">
        <v>44138</v>
      </c>
      <c r="B2660">
        <v>1</v>
      </c>
      <c r="C2660" t="s">
        <v>116</v>
      </c>
      <c r="D2660" t="s">
        <v>117</v>
      </c>
      <c r="E2660" s="1">
        <v>44150</v>
      </c>
      <c r="F2660">
        <v>1</v>
      </c>
      <c r="G2660" t="s">
        <v>65</v>
      </c>
      <c r="H2660" t="s">
        <v>66</v>
      </c>
      <c r="I2660" s="3">
        <v>1738</v>
      </c>
      <c r="J2660" s="3">
        <v>1738</v>
      </c>
      <c r="K2660" s="3">
        <v>388</v>
      </c>
      <c r="L2660" t="s">
        <v>113</v>
      </c>
      <c r="M2660">
        <v>4</v>
      </c>
      <c r="N2660" t="s">
        <v>82</v>
      </c>
      <c r="O2660" t="s">
        <v>81</v>
      </c>
      <c r="P2660" t="s">
        <v>71</v>
      </c>
      <c r="Q2660" t="s">
        <v>72</v>
      </c>
      <c r="R2660" t="s">
        <v>139</v>
      </c>
      <c r="S2660" t="s">
        <v>144</v>
      </c>
      <c r="T2660" s="2">
        <f>MASTER[[#This Row],[CANTIDAD]]*MASTER[[#This Row],[PRECIO DE VENTA]]</f>
        <v>1738</v>
      </c>
      <c r="U2660" s="2">
        <f>MASTER[[#This Row],[CANTIDAD]]*MASTER[[#This Row],[COSTO UNITARIO]]</f>
        <v>388</v>
      </c>
      <c r="V2660" s="2">
        <f>MASTER[[#This Row],[MONTO VENDIDO]]-MASTER[[#This Row],[COSTO DE VENTA]]</f>
        <v>1350</v>
      </c>
    </row>
    <row r="2661" spans="1:22" x14ac:dyDescent="0.3">
      <c r="A2661">
        <v>44190</v>
      </c>
      <c r="B2661">
        <v>1</v>
      </c>
      <c r="C2661" t="s">
        <v>109</v>
      </c>
      <c r="D2661" t="s">
        <v>110</v>
      </c>
      <c r="E2661" s="1">
        <v>44150</v>
      </c>
      <c r="F2661">
        <v>1</v>
      </c>
      <c r="G2661" t="s">
        <v>29</v>
      </c>
      <c r="H2661" t="s">
        <v>30</v>
      </c>
      <c r="I2661" s="3">
        <v>1064</v>
      </c>
      <c r="J2661" s="3">
        <v>1064</v>
      </c>
      <c r="K2661" s="3">
        <v>387</v>
      </c>
      <c r="L2661" t="s">
        <v>98</v>
      </c>
      <c r="M2661">
        <v>14</v>
      </c>
      <c r="N2661" t="s">
        <v>87</v>
      </c>
      <c r="O2661" t="s">
        <v>81</v>
      </c>
      <c r="P2661" t="s">
        <v>18</v>
      </c>
      <c r="Q2661" t="s">
        <v>19</v>
      </c>
      <c r="R2661" t="s">
        <v>138</v>
      </c>
      <c r="S2661" t="s">
        <v>144</v>
      </c>
      <c r="T2661" s="2">
        <f>MASTER[[#This Row],[CANTIDAD]]*MASTER[[#This Row],[PRECIO DE VENTA]]</f>
        <v>1064</v>
      </c>
      <c r="U2661" s="2">
        <f>MASTER[[#This Row],[CANTIDAD]]*MASTER[[#This Row],[COSTO UNITARIO]]</f>
        <v>387</v>
      </c>
      <c r="V2661" s="2">
        <f>MASTER[[#This Row],[MONTO VENDIDO]]-MASTER[[#This Row],[COSTO DE VENTA]]</f>
        <v>677</v>
      </c>
    </row>
    <row r="2662" spans="1:22" x14ac:dyDescent="0.3">
      <c r="A2662">
        <v>44203</v>
      </c>
      <c r="B2662">
        <v>1</v>
      </c>
      <c r="C2662" t="s">
        <v>94</v>
      </c>
      <c r="D2662" t="s">
        <v>95</v>
      </c>
      <c r="E2662" s="1">
        <v>44150</v>
      </c>
      <c r="F2662">
        <v>1</v>
      </c>
      <c r="G2662" t="s">
        <v>27</v>
      </c>
      <c r="H2662" t="s">
        <v>28</v>
      </c>
      <c r="I2662" s="3">
        <v>1048</v>
      </c>
      <c r="J2662" s="3">
        <v>1048</v>
      </c>
      <c r="K2662" s="3">
        <v>392</v>
      </c>
      <c r="L2662" t="s">
        <v>9</v>
      </c>
      <c r="M2662">
        <v>5</v>
      </c>
      <c r="N2662" t="s">
        <v>85</v>
      </c>
      <c r="O2662" t="s">
        <v>81</v>
      </c>
      <c r="P2662" t="s">
        <v>12</v>
      </c>
      <c r="Q2662" t="s">
        <v>13</v>
      </c>
      <c r="R2662" t="s">
        <v>13</v>
      </c>
      <c r="S2662" t="s">
        <v>144</v>
      </c>
      <c r="T2662" s="2">
        <f>MASTER[[#This Row],[CANTIDAD]]*MASTER[[#This Row],[PRECIO DE VENTA]]</f>
        <v>1048</v>
      </c>
      <c r="U2662" s="2">
        <f>MASTER[[#This Row],[CANTIDAD]]*MASTER[[#This Row],[COSTO UNITARIO]]</f>
        <v>392</v>
      </c>
      <c r="V2662" s="2">
        <f>MASTER[[#This Row],[MONTO VENDIDO]]-MASTER[[#This Row],[COSTO DE VENTA]]</f>
        <v>656</v>
      </c>
    </row>
    <row r="2663" spans="1:22" x14ac:dyDescent="0.3">
      <c r="A2663">
        <v>44204</v>
      </c>
      <c r="B2663">
        <v>1</v>
      </c>
      <c r="C2663" t="s">
        <v>101</v>
      </c>
      <c r="D2663" t="s">
        <v>102</v>
      </c>
      <c r="E2663" s="1">
        <v>44150</v>
      </c>
      <c r="F2663">
        <v>1</v>
      </c>
      <c r="G2663" t="s">
        <v>7</v>
      </c>
      <c r="H2663" t="s">
        <v>8</v>
      </c>
      <c r="I2663" s="3">
        <v>1357</v>
      </c>
      <c r="J2663" s="3">
        <v>1357</v>
      </c>
      <c r="K2663" s="3">
        <v>442</v>
      </c>
      <c r="L2663" t="s">
        <v>98</v>
      </c>
      <c r="M2663">
        <v>6</v>
      </c>
      <c r="N2663" t="s">
        <v>75</v>
      </c>
      <c r="O2663" t="s">
        <v>70</v>
      </c>
      <c r="P2663" t="s">
        <v>12</v>
      </c>
      <c r="Q2663" t="s">
        <v>13</v>
      </c>
      <c r="R2663" t="s">
        <v>13</v>
      </c>
      <c r="S2663" t="s">
        <v>144</v>
      </c>
      <c r="T2663" s="2">
        <f>MASTER[[#This Row],[CANTIDAD]]*MASTER[[#This Row],[PRECIO DE VENTA]]</f>
        <v>1357</v>
      </c>
      <c r="U2663" s="2">
        <f>MASTER[[#This Row],[CANTIDAD]]*MASTER[[#This Row],[COSTO UNITARIO]]</f>
        <v>442</v>
      </c>
      <c r="V2663" s="2">
        <f>MASTER[[#This Row],[MONTO VENDIDO]]-MASTER[[#This Row],[COSTO DE VENTA]]</f>
        <v>915</v>
      </c>
    </row>
    <row r="2664" spans="1:22" x14ac:dyDescent="0.3">
      <c r="A2664">
        <v>44217</v>
      </c>
      <c r="B2664">
        <v>1</v>
      </c>
      <c r="C2664" t="s">
        <v>96</v>
      </c>
      <c r="D2664" t="s">
        <v>97</v>
      </c>
      <c r="E2664" s="1">
        <v>44150</v>
      </c>
      <c r="F2664">
        <v>1</v>
      </c>
      <c r="G2664" t="s">
        <v>33</v>
      </c>
      <c r="H2664" t="s">
        <v>34</v>
      </c>
      <c r="I2664" s="3">
        <v>1272</v>
      </c>
      <c r="J2664" s="3">
        <v>1272</v>
      </c>
      <c r="K2664" s="3">
        <v>397</v>
      </c>
      <c r="L2664" t="s">
        <v>98</v>
      </c>
      <c r="M2664">
        <v>10</v>
      </c>
      <c r="N2664" t="s">
        <v>83</v>
      </c>
      <c r="O2664" t="s">
        <v>81</v>
      </c>
      <c r="P2664" t="s">
        <v>12</v>
      </c>
      <c r="Q2664" t="s">
        <v>13</v>
      </c>
      <c r="R2664" t="s">
        <v>13</v>
      </c>
      <c r="S2664" t="s">
        <v>144</v>
      </c>
      <c r="T2664" s="2">
        <f>MASTER[[#This Row],[CANTIDAD]]*MASTER[[#This Row],[PRECIO DE VENTA]]</f>
        <v>1272</v>
      </c>
      <c r="U2664" s="2">
        <f>MASTER[[#This Row],[CANTIDAD]]*MASTER[[#This Row],[COSTO UNITARIO]]</f>
        <v>397</v>
      </c>
      <c r="V2664" s="2">
        <f>MASTER[[#This Row],[MONTO VENDIDO]]-MASTER[[#This Row],[COSTO DE VENTA]]</f>
        <v>875</v>
      </c>
    </row>
    <row r="2665" spans="1:22" x14ac:dyDescent="0.3">
      <c r="A2665">
        <v>44225</v>
      </c>
      <c r="B2665">
        <v>1</v>
      </c>
      <c r="C2665" t="s">
        <v>5</v>
      </c>
      <c r="D2665" t="s">
        <v>6</v>
      </c>
      <c r="E2665" s="1">
        <v>44150</v>
      </c>
      <c r="F2665">
        <v>1</v>
      </c>
      <c r="G2665" t="s">
        <v>55</v>
      </c>
      <c r="H2665" t="s">
        <v>56</v>
      </c>
      <c r="I2665" s="3">
        <v>1296</v>
      </c>
      <c r="J2665" s="3">
        <v>1296</v>
      </c>
      <c r="K2665" s="3">
        <v>393</v>
      </c>
      <c r="L2665" t="s">
        <v>9</v>
      </c>
      <c r="M2665">
        <v>13</v>
      </c>
      <c r="N2665" t="s">
        <v>78</v>
      </c>
      <c r="O2665" t="s">
        <v>70</v>
      </c>
      <c r="P2665" t="s">
        <v>18</v>
      </c>
      <c r="Q2665" t="s">
        <v>19</v>
      </c>
      <c r="R2665" t="s">
        <v>138</v>
      </c>
      <c r="S2665" t="s">
        <v>144</v>
      </c>
      <c r="T2665" s="2">
        <f>MASTER[[#This Row],[CANTIDAD]]*MASTER[[#This Row],[PRECIO DE VENTA]]</f>
        <v>1296</v>
      </c>
      <c r="U2665" s="2">
        <f>MASTER[[#This Row],[CANTIDAD]]*MASTER[[#This Row],[COSTO UNITARIO]]</f>
        <v>393</v>
      </c>
      <c r="V2665" s="2">
        <f>MASTER[[#This Row],[MONTO VENDIDO]]-MASTER[[#This Row],[COSTO DE VENTA]]</f>
        <v>903</v>
      </c>
    </row>
    <row r="2666" spans="1:22" x14ac:dyDescent="0.3">
      <c r="A2666">
        <v>44234</v>
      </c>
      <c r="B2666">
        <v>1</v>
      </c>
      <c r="C2666" t="s">
        <v>99</v>
      </c>
      <c r="D2666" t="s">
        <v>100</v>
      </c>
      <c r="E2666" s="1">
        <v>44150</v>
      </c>
      <c r="F2666">
        <v>1</v>
      </c>
      <c r="G2666" t="s">
        <v>47</v>
      </c>
      <c r="H2666" t="s">
        <v>48</v>
      </c>
      <c r="I2666" s="3">
        <v>1328</v>
      </c>
      <c r="J2666" s="3">
        <v>1328</v>
      </c>
      <c r="K2666" s="3">
        <v>386</v>
      </c>
      <c r="L2666" t="s">
        <v>98</v>
      </c>
      <c r="M2666">
        <v>12</v>
      </c>
      <c r="N2666" t="s">
        <v>26</v>
      </c>
      <c r="O2666" t="s">
        <v>11</v>
      </c>
      <c r="P2666" t="s">
        <v>12</v>
      </c>
      <c r="Q2666" t="s">
        <v>13</v>
      </c>
      <c r="R2666" t="s">
        <v>13</v>
      </c>
      <c r="S2666" t="s">
        <v>144</v>
      </c>
      <c r="T2666" s="2">
        <f>MASTER[[#This Row],[CANTIDAD]]*MASTER[[#This Row],[PRECIO DE VENTA]]</f>
        <v>1328</v>
      </c>
      <c r="U2666" s="2">
        <f>MASTER[[#This Row],[CANTIDAD]]*MASTER[[#This Row],[COSTO UNITARIO]]</f>
        <v>386</v>
      </c>
      <c r="V2666" s="2">
        <f>MASTER[[#This Row],[MONTO VENDIDO]]-MASTER[[#This Row],[COSTO DE VENTA]]</f>
        <v>942</v>
      </c>
    </row>
    <row r="2667" spans="1:22" x14ac:dyDescent="0.3">
      <c r="A2667">
        <v>44264</v>
      </c>
      <c r="B2667">
        <v>1</v>
      </c>
      <c r="C2667" t="s">
        <v>103</v>
      </c>
      <c r="D2667" t="s">
        <v>104</v>
      </c>
      <c r="E2667" s="1">
        <v>44150</v>
      </c>
      <c r="F2667">
        <v>1</v>
      </c>
      <c r="G2667" t="s">
        <v>57</v>
      </c>
      <c r="H2667" t="s">
        <v>58</v>
      </c>
      <c r="I2667" s="3">
        <v>1830</v>
      </c>
      <c r="J2667" s="3">
        <v>1830</v>
      </c>
      <c r="K2667" s="3">
        <v>421</v>
      </c>
      <c r="L2667" t="s">
        <v>98</v>
      </c>
      <c r="M2667">
        <v>18</v>
      </c>
      <c r="N2667" t="s">
        <v>79</v>
      </c>
      <c r="O2667" t="s">
        <v>70</v>
      </c>
      <c r="P2667" t="s">
        <v>15</v>
      </c>
      <c r="Q2667" t="s">
        <v>16</v>
      </c>
      <c r="R2667" t="s">
        <v>16</v>
      </c>
      <c r="S2667" t="s">
        <v>144</v>
      </c>
      <c r="T2667" s="2">
        <f>MASTER[[#This Row],[CANTIDAD]]*MASTER[[#This Row],[PRECIO DE VENTA]]</f>
        <v>1830</v>
      </c>
      <c r="U2667" s="2">
        <f>MASTER[[#This Row],[CANTIDAD]]*MASTER[[#This Row],[COSTO UNITARIO]]</f>
        <v>421</v>
      </c>
      <c r="V2667" s="2">
        <f>MASTER[[#This Row],[MONTO VENDIDO]]-MASTER[[#This Row],[COSTO DE VENTA]]</f>
        <v>1409</v>
      </c>
    </row>
    <row r="2668" spans="1:22" x14ac:dyDescent="0.3">
      <c r="A2668">
        <v>44276</v>
      </c>
      <c r="B2668">
        <v>2</v>
      </c>
      <c r="C2668" t="s">
        <v>92</v>
      </c>
      <c r="D2668" t="s">
        <v>93</v>
      </c>
      <c r="E2668" s="1">
        <v>44151</v>
      </c>
      <c r="F2668">
        <v>1</v>
      </c>
      <c r="G2668" t="s">
        <v>49</v>
      </c>
      <c r="H2668" t="s">
        <v>50</v>
      </c>
      <c r="I2668" s="3">
        <v>1681</v>
      </c>
      <c r="J2668" s="3">
        <v>1681</v>
      </c>
      <c r="K2668" s="3">
        <v>396</v>
      </c>
      <c r="L2668" t="s">
        <v>9</v>
      </c>
      <c r="M2668">
        <v>8</v>
      </c>
      <c r="N2668" t="s">
        <v>80</v>
      </c>
      <c r="O2668" t="s">
        <v>81</v>
      </c>
      <c r="P2668" t="s">
        <v>12</v>
      </c>
      <c r="Q2668" t="s">
        <v>13</v>
      </c>
      <c r="R2668" t="s">
        <v>13</v>
      </c>
      <c r="S2668" t="s">
        <v>144</v>
      </c>
      <c r="T2668" s="2">
        <f>MASTER[[#This Row],[CANTIDAD]]*MASTER[[#This Row],[PRECIO DE VENTA]]</f>
        <v>1681</v>
      </c>
      <c r="U2668" s="2">
        <f>MASTER[[#This Row],[CANTIDAD]]*MASTER[[#This Row],[COSTO UNITARIO]]</f>
        <v>396</v>
      </c>
      <c r="V2668" s="2">
        <f>MASTER[[#This Row],[MONTO VENDIDO]]-MASTER[[#This Row],[COSTO DE VENTA]]</f>
        <v>1285</v>
      </c>
    </row>
    <row r="2669" spans="1:22" x14ac:dyDescent="0.3">
      <c r="A2669">
        <v>44276</v>
      </c>
      <c r="B2669">
        <v>1</v>
      </c>
      <c r="C2669" t="s">
        <v>105</v>
      </c>
      <c r="D2669" t="s">
        <v>106</v>
      </c>
      <c r="E2669" s="1">
        <v>44151</v>
      </c>
      <c r="F2669">
        <v>1</v>
      </c>
      <c r="G2669" t="s">
        <v>29</v>
      </c>
      <c r="H2669" t="s">
        <v>30</v>
      </c>
      <c r="I2669" s="3">
        <v>1865</v>
      </c>
      <c r="J2669" s="3">
        <v>1865</v>
      </c>
      <c r="K2669" s="3">
        <v>459</v>
      </c>
      <c r="L2669" t="s">
        <v>98</v>
      </c>
      <c r="M2669">
        <v>8</v>
      </c>
      <c r="N2669" t="s">
        <v>80</v>
      </c>
      <c r="O2669" t="s">
        <v>81</v>
      </c>
      <c r="P2669" t="s">
        <v>12</v>
      </c>
      <c r="Q2669" t="s">
        <v>13</v>
      </c>
      <c r="R2669" t="s">
        <v>13</v>
      </c>
      <c r="S2669" t="s">
        <v>144</v>
      </c>
      <c r="T2669" s="2">
        <f>MASTER[[#This Row],[CANTIDAD]]*MASTER[[#This Row],[PRECIO DE VENTA]]</f>
        <v>1865</v>
      </c>
      <c r="U2669" s="2">
        <f>MASTER[[#This Row],[CANTIDAD]]*MASTER[[#This Row],[COSTO UNITARIO]]</f>
        <v>459</v>
      </c>
      <c r="V2669" s="2">
        <f>MASTER[[#This Row],[MONTO VENDIDO]]-MASTER[[#This Row],[COSTO DE VENTA]]</f>
        <v>1406</v>
      </c>
    </row>
    <row r="2670" spans="1:22" x14ac:dyDescent="0.3">
      <c r="A2670">
        <v>44291</v>
      </c>
      <c r="B2670">
        <v>1</v>
      </c>
      <c r="C2670" t="s">
        <v>107</v>
      </c>
      <c r="D2670" t="s">
        <v>108</v>
      </c>
      <c r="E2670" s="1">
        <v>44151</v>
      </c>
      <c r="F2670">
        <v>1</v>
      </c>
      <c r="G2670" t="s">
        <v>73</v>
      </c>
      <c r="H2670" t="s">
        <v>74</v>
      </c>
      <c r="I2670" s="3">
        <v>1440</v>
      </c>
      <c r="J2670" s="3">
        <v>1368</v>
      </c>
      <c r="K2670" s="3">
        <v>380</v>
      </c>
      <c r="L2670" t="s">
        <v>98</v>
      </c>
      <c r="M2670">
        <v>13</v>
      </c>
      <c r="N2670" t="s">
        <v>78</v>
      </c>
      <c r="O2670" t="s">
        <v>70</v>
      </c>
      <c r="P2670" t="s">
        <v>18</v>
      </c>
      <c r="Q2670" t="s">
        <v>19</v>
      </c>
      <c r="R2670" t="s">
        <v>138</v>
      </c>
      <c r="S2670" t="s">
        <v>144</v>
      </c>
      <c r="T2670" s="2">
        <f>MASTER[[#This Row],[CANTIDAD]]*MASTER[[#This Row],[PRECIO DE VENTA]]</f>
        <v>1368</v>
      </c>
      <c r="U2670" s="2">
        <f>MASTER[[#This Row],[CANTIDAD]]*MASTER[[#This Row],[COSTO UNITARIO]]</f>
        <v>380</v>
      </c>
      <c r="V2670" s="2">
        <f>MASTER[[#This Row],[MONTO VENDIDO]]-MASTER[[#This Row],[COSTO DE VENTA]]</f>
        <v>988</v>
      </c>
    </row>
    <row r="2671" spans="1:22" x14ac:dyDescent="0.3">
      <c r="A2671">
        <v>44293</v>
      </c>
      <c r="B2671">
        <v>1</v>
      </c>
      <c r="C2671" t="s">
        <v>111</v>
      </c>
      <c r="D2671" t="s">
        <v>112</v>
      </c>
      <c r="E2671" s="1">
        <v>44151</v>
      </c>
      <c r="F2671">
        <v>1</v>
      </c>
      <c r="G2671" t="s">
        <v>39</v>
      </c>
      <c r="H2671" t="s">
        <v>40</v>
      </c>
      <c r="I2671" s="3">
        <v>1524</v>
      </c>
      <c r="J2671" s="3">
        <v>1524</v>
      </c>
      <c r="K2671" s="3">
        <v>434</v>
      </c>
      <c r="L2671" t="s">
        <v>113</v>
      </c>
      <c r="M2671">
        <v>11</v>
      </c>
      <c r="N2671" t="s">
        <v>10</v>
      </c>
      <c r="O2671" t="s">
        <v>11</v>
      </c>
      <c r="P2671" t="s">
        <v>12</v>
      </c>
      <c r="Q2671" t="s">
        <v>13</v>
      </c>
      <c r="R2671" t="s">
        <v>13</v>
      </c>
      <c r="S2671" t="s">
        <v>144</v>
      </c>
      <c r="T2671" s="2">
        <f>MASTER[[#This Row],[CANTIDAD]]*MASTER[[#This Row],[PRECIO DE VENTA]]</f>
        <v>1524</v>
      </c>
      <c r="U2671" s="2">
        <f>MASTER[[#This Row],[CANTIDAD]]*MASTER[[#This Row],[COSTO UNITARIO]]</f>
        <v>434</v>
      </c>
      <c r="V2671" s="2">
        <f>MASTER[[#This Row],[MONTO VENDIDO]]-MASTER[[#This Row],[COSTO DE VENTA]]</f>
        <v>1090</v>
      </c>
    </row>
    <row r="2672" spans="1:22" x14ac:dyDescent="0.3">
      <c r="A2672">
        <v>44299</v>
      </c>
      <c r="B2672">
        <v>1</v>
      </c>
      <c r="C2672" t="s">
        <v>101</v>
      </c>
      <c r="D2672" t="s">
        <v>102</v>
      </c>
      <c r="E2672" s="1">
        <v>44151</v>
      </c>
      <c r="F2672">
        <v>1</v>
      </c>
      <c r="G2672" t="s">
        <v>65</v>
      </c>
      <c r="H2672" t="s">
        <v>66</v>
      </c>
      <c r="I2672" s="3">
        <v>1212</v>
      </c>
      <c r="J2672" s="3">
        <v>1212</v>
      </c>
      <c r="K2672" s="3">
        <v>442</v>
      </c>
      <c r="L2672" t="s">
        <v>98</v>
      </c>
      <c r="M2672">
        <v>10</v>
      </c>
      <c r="N2672" t="s">
        <v>83</v>
      </c>
      <c r="O2672" t="s">
        <v>81</v>
      </c>
      <c r="P2672" t="s">
        <v>12</v>
      </c>
      <c r="Q2672" t="s">
        <v>13</v>
      </c>
      <c r="R2672" t="s">
        <v>13</v>
      </c>
      <c r="S2672" t="s">
        <v>144</v>
      </c>
      <c r="T2672" s="2">
        <f>MASTER[[#This Row],[CANTIDAD]]*MASTER[[#This Row],[PRECIO DE VENTA]]</f>
        <v>1212</v>
      </c>
      <c r="U2672" s="2">
        <f>MASTER[[#This Row],[CANTIDAD]]*MASTER[[#This Row],[COSTO UNITARIO]]</f>
        <v>442</v>
      </c>
      <c r="V2672" s="2">
        <f>MASTER[[#This Row],[MONTO VENDIDO]]-MASTER[[#This Row],[COSTO DE VENTA]]</f>
        <v>770</v>
      </c>
    </row>
    <row r="2673" spans="1:22" x14ac:dyDescent="0.3">
      <c r="A2673">
        <v>44350</v>
      </c>
      <c r="B2673">
        <v>1</v>
      </c>
      <c r="C2673" t="s">
        <v>114</v>
      </c>
      <c r="D2673" t="s">
        <v>115</v>
      </c>
      <c r="E2673" s="1">
        <v>44151</v>
      </c>
      <c r="F2673">
        <v>1</v>
      </c>
      <c r="G2673" t="s">
        <v>73</v>
      </c>
      <c r="H2673" t="s">
        <v>74</v>
      </c>
      <c r="I2673" s="3">
        <v>1862</v>
      </c>
      <c r="J2673" s="3">
        <v>1862</v>
      </c>
      <c r="K2673" s="3">
        <v>394</v>
      </c>
      <c r="L2673" t="s">
        <v>113</v>
      </c>
      <c r="M2673">
        <v>19</v>
      </c>
      <c r="N2673" t="s">
        <v>89</v>
      </c>
      <c r="O2673" t="s">
        <v>81</v>
      </c>
      <c r="P2673" t="s">
        <v>15</v>
      </c>
      <c r="Q2673" t="s">
        <v>16</v>
      </c>
      <c r="R2673" t="s">
        <v>16</v>
      </c>
      <c r="S2673" t="s">
        <v>144</v>
      </c>
      <c r="T2673" s="2">
        <f>MASTER[[#This Row],[CANTIDAD]]*MASTER[[#This Row],[PRECIO DE VENTA]]</f>
        <v>1862</v>
      </c>
      <c r="U2673" s="2">
        <f>MASTER[[#This Row],[CANTIDAD]]*MASTER[[#This Row],[COSTO UNITARIO]]</f>
        <v>394</v>
      </c>
      <c r="V2673" s="2">
        <f>MASTER[[#This Row],[MONTO VENDIDO]]-MASTER[[#This Row],[COSTO DE VENTA]]</f>
        <v>1468</v>
      </c>
    </row>
    <row r="2674" spans="1:22" x14ac:dyDescent="0.3">
      <c r="A2674">
        <v>44353</v>
      </c>
      <c r="B2674">
        <v>1</v>
      </c>
      <c r="C2674" t="s">
        <v>111</v>
      </c>
      <c r="D2674" t="s">
        <v>112</v>
      </c>
      <c r="E2674" s="1">
        <v>44151</v>
      </c>
      <c r="F2674">
        <v>1</v>
      </c>
      <c r="G2674" t="s">
        <v>67</v>
      </c>
      <c r="H2674" t="s">
        <v>68</v>
      </c>
      <c r="I2674" s="3">
        <v>1799</v>
      </c>
      <c r="J2674" s="3">
        <v>1799</v>
      </c>
      <c r="K2674" s="3">
        <v>434</v>
      </c>
      <c r="L2674" t="s">
        <v>113</v>
      </c>
      <c r="M2674">
        <v>1</v>
      </c>
      <c r="N2674" t="s">
        <v>77</v>
      </c>
      <c r="O2674" t="s">
        <v>70</v>
      </c>
      <c r="P2674" t="s">
        <v>71</v>
      </c>
      <c r="Q2674" t="s">
        <v>72</v>
      </c>
      <c r="R2674" t="s">
        <v>139</v>
      </c>
      <c r="S2674" t="s">
        <v>144</v>
      </c>
      <c r="T2674" s="2">
        <f>MASTER[[#This Row],[CANTIDAD]]*MASTER[[#This Row],[PRECIO DE VENTA]]</f>
        <v>1799</v>
      </c>
      <c r="U2674" s="2">
        <f>MASTER[[#This Row],[CANTIDAD]]*MASTER[[#This Row],[COSTO UNITARIO]]</f>
        <v>434</v>
      </c>
      <c r="V2674" s="2">
        <f>MASTER[[#This Row],[MONTO VENDIDO]]-MASTER[[#This Row],[COSTO DE VENTA]]</f>
        <v>1365</v>
      </c>
    </row>
    <row r="2675" spans="1:22" x14ac:dyDescent="0.3">
      <c r="A2675">
        <v>44368</v>
      </c>
      <c r="B2675">
        <v>1</v>
      </c>
      <c r="C2675" t="s">
        <v>94</v>
      </c>
      <c r="D2675" t="s">
        <v>95</v>
      </c>
      <c r="E2675" s="1">
        <v>44151</v>
      </c>
      <c r="F2675">
        <v>1</v>
      </c>
      <c r="G2675" t="s">
        <v>73</v>
      </c>
      <c r="H2675" t="s">
        <v>74</v>
      </c>
      <c r="I2675" s="3">
        <v>1048</v>
      </c>
      <c r="J2675" s="3">
        <v>1048</v>
      </c>
      <c r="K2675" s="3">
        <v>392</v>
      </c>
      <c r="L2675" t="s">
        <v>9</v>
      </c>
      <c r="M2675">
        <v>7</v>
      </c>
      <c r="N2675" t="s">
        <v>84</v>
      </c>
      <c r="O2675" t="s">
        <v>81</v>
      </c>
      <c r="P2675" t="s">
        <v>12</v>
      </c>
      <c r="Q2675" t="s">
        <v>13</v>
      </c>
      <c r="R2675" t="s">
        <v>13</v>
      </c>
      <c r="S2675" t="s">
        <v>144</v>
      </c>
      <c r="T2675" s="2">
        <f>MASTER[[#This Row],[CANTIDAD]]*MASTER[[#This Row],[PRECIO DE VENTA]]</f>
        <v>1048</v>
      </c>
      <c r="U2675" s="2">
        <f>MASTER[[#This Row],[CANTIDAD]]*MASTER[[#This Row],[COSTO UNITARIO]]</f>
        <v>392</v>
      </c>
      <c r="V2675" s="2">
        <f>MASTER[[#This Row],[MONTO VENDIDO]]-MASTER[[#This Row],[COSTO DE VENTA]]</f>
        <v>656</v>
      </c>
    </row>
    <row r="2676" spans="1:22" x14ac:dyDescent="0.3">
      <c r="A2676">
        <v>44394</v>
      </c>
      <c r="B2676">
        <v>1</v>
      </c>
      <c r="C2676" t="s">
        <v>118</v>
      </c>
      <c r="D2676" t="s">
        <v>119</v>
      </c>
      <c r="E2676" s="1">
        <v>44151</v>
      </c>
      <c r="F2676">
        <v>1</v>
      </c>
      <c r="G2676" t="s">
        <v>53</v>
      </c>
      <c r="H2676" t="s">
        <v>54</v>
      </c>
      <c r="I2676" s="3">
        <v>801</v>
      </c>
      <c r="J2676" s="3">
        <v>801</v>
      </c>
      <c r="K2676" s="3">
        <v>424</v>
      </c>
      <c r="L2676" t="s">
        <v>120</v>
      </c>
      <c r="M2676">
        <v>12</v>
      </c>
      <c r="N2676" t="s">
        <v>26</v>
      </c>
      <c r="O2676" t="s">
        <v>11</v>
      </c>
      <c r="P2676" t="s">
        <v>12</v>
      </c>
      <c r="Q2676" t="s">
        <v>13</v>
      </c>
      <c r="R2676" t="s">
        <v>13</v>
      </c>
      <c r="S2676" t="s">
        <v>144</v>
      </c>
      <c r="T2676" s="2">
        <f>MASTER[[#This Row],[CANTIDAD]]*MASTER[[#This Row],[PRECIO DE VENTA]]</f>
        <v>801</v>
      </c>
      <c r="U2676" s="2">
        <f>MASTER[[#This Row],[CANTIDAD]]*MASTER[[#This Row],[COSTO UNITARIO]]</f>
        <v>424</v>
      </c>
      <c r="V2676" s="2">
        <f>MASTER[[#This Row],[MONTO VENDIDO]]-MASTER[[#This Row],[COSTO DE VENTA]]</f>
        <v>377</v>
      </c>
    </row>
    <row r="2677" spans="1:22" x14ac:dyDescent="0.3">
      <c r="A2677">
        <v>44399</v>
      </c>
      <c r="B2677">
        <v>1</v>
      </c>
      <c r="C2677" t="s">
        <v>90</v>
      </c>
      <c r="D2677" t="s">
        <v>91</v>
      </c>
      <c r="E2677" s="1">
        <v>44151</v>
      </c>
      <c r="F2677">
        <v>1</v>
      </c>
      <c r="G2677" t="s">
        <v>63</v>
      </c>
      <c r="H2677" t="s">
        <v>64</v>
      </c>
      <c r="I2677" s="3">
        <v>1844</v>
      </c>
      <c r="J2677" s="3">
        <v>1844</v>
      </c>
      <c r="K2677" s="3">
        <v>420</v>
      </c>
      <c r="L2677" t="s">
        <v>9</v>
      </c>
      <c r="M2677">
        <v>14</v>
      </c>
      <c r="N2677" t="s">
        <v>87</v>
      </c>
      <c r="O2677" t="s">
        <v>81</v>
      </c>
      <c r="P2677" t="s">
        <v>18</v>
      </c>
      <c r="Q2677" t="s">
        <v>19</v>
      </c>
      <c r="R2677" t="s">
        <v>138</v>
      </c>
      <c r="S2677" t="s">
        <v>144</v>
      </c>
      <c r="T2677" s="2">
        <f>MASTER[[#This Row],[CANTIDAD]]*MASTER[[#This Row],[PRECIO DE VENTA]]</f>
        <v>1844</v>
      </c>
      <c r="U2677" s="2">
        <f>MASTER[[#This Row],[CANTIDAD]]*MASTER[[#This Row],[COSTO UNITARIO]]</f>
        <v>420</v>
      </c>
      <c r="V2677" s="2">
        <f>MASTER[[#This Row],[MONTO VENDIDO]]-MASTER[[#This Row],[COSTO DE VENTA]]</f>
        <v>1424</v>
      </c>
    </row>
    <row r="2678" spans="1:22" x14ac:dyDescent="0.3">
      <c r="A2678">
        <v>44401</v>
      </c>
      <c r="B2678">
        <v>1</v>
      </c>
      <c r="C2678" t="s">
        <v>90</v>
      </c>
      <c r="D2678" t="s">
        <v>91</v>
      </c>
      <c r="E2678" s="1">
        <v>44151</v>
      </c>
      <c r="F2678">
        <v>1</v>
      </c>
      <c r="G2678" t="s">
        <v>27</v>
      </c>
      <c r="H2678" t="s">
        <v>28</v>
      </c>
      <c r="I2678" s="3">
        <v>1660</v>
      </c>
      <c r="J2678" s="3">
        <v>1660</v>
      </c>
      <c r="K2678" s="3">
        <v>420</v>
      </c>
      <c r="L2678" t="s">
        <v>9</v>
      </c>
      <c r="M2678">
        <v>12</v>
      </c>
      <c r="N2678" t="s">
        <v>26</v>
      </c>
      <c r="O2678" t="s">
        <v>11</v>
      </c>
      <c r="P2678" t="s">
        <v>12</v>
      </c>
      <c r="Q2678" t="s">
        <v>13</v>
      </c>
      <c r="R2678" t="s">
        <v>13</v>
      </c>
      <c r="S2678" t="s">
        <v>144</v>
      </c>
      <c r="T2678" s="2">
        <f>MASTER[[#This Row],[CANTIDAD]]*MASTER[[#This Row],[PRECIO DE VENTA]]</f>
        <v>1660</v>
      </c>
      <c r="U2678" s="2">
        <f>MASTER[[#This Row],[CANTIDAD]]*MASTER[[#This Row],[COSTO UNITARIO]]</f>
        <v>420</v>
      </c>
      <c r="V2678" s="2">
        <f>MASTER[[#This Row],[MONTO VENDIDO]]-MASTER[[#This Row],[COSTO DE VENTA]]</f>
        <v>1240</v>
      </c>
    </row>
    <row r="2679" spans="1:22" x14ac:dyDescent="0.3">
      <c r="A2679">
        <v>44403</v>
      </c>
      <c r="B2679">
        <v>1</v>
      </c>
      <c r="C2679" t="s">
        <v>107</v>
      </c>
      <c r="D2679" t="s">
        <v>108</v>
      </c>
      <c r="E2679" s="1">
        <v>44151</v>
      </c>
      <c r="F2679">
        <v>1</v>
      </c>
      <c r="G2679" t="s">
        <v>65</v>
      </c>
      <c r="H2679" t="s">
        <v>66</v>
      </c>
      <c r="I2679" s="3">
        <v>1440</v>
      </c>
      <c r="J2679" s="3">
        <v>1440</v>
      </c>
      <c r="K2679" s="3">
        <v>380</v>
      </c>
      <c r="L2679" t="s">
        <v>98</v>
      </c>
      <c r="M2679">
        <v>13</v>
      </c>
      <c r="N2679" t="s">
        <v>78</v>
      </c>
      <c r="O2679" t="s">
        <v>70</v>
      </c>
      <c r="P2679" t="s">
        <v>18</v>
      </c>
      <c r="Q2679" t="s">
        <v>19</v>
      </c>
      <c r="R2679" t="s">
        <v>138</v>
      </c>
      <c r="S2679" t="s">
        <v>144</v>
      </c>
      <c r="T2679" s="2">
        <f>MASTER[[#This Row],[CANTIDAD]]*MASTER[[#This Row],[PRECIO DE VENTA]]</f>
        <v>1440</v>
      </c>
      <c r="U2679" s="2">
        <f>MASTER[[#This Row],[CANTIDAD]]*MASTER[[#This Row],[COSTO UNITARIO]]</f>
        <v>380</v>
      </c>
      <c r="V2679" s="2">
        <f>MASTER[[#This Row],[MONTO VENDIDO]]-MASTER[[#This Row],[COSTO DE VENTA]]</f>
        <v>1060</v>
      </c>
    </row>
    <row r="2680" spans="1:22" x14ac:dyDescent="0.3">
      <c r="A2680">
        <v>44411</v>
      </c>
      <c r="B2680">
        <v>1</v>
      </c>
      <c r="C2680" t="s">
        <v>90</v>
      </c>
      <c r="D2680" t="s">
        <v>91</v>
      </c>
      <c r="E2680" s="1">
        <v>44151</v>
      </c>
      <c r="F2680">
        <v>2</v>
      </c>
      <c r="G2680" t="s">
        <v>43</v>
      </c>
      <c r="H2680" t="s">
        <v>44</v>
      </c>
      <c r="I2680" s="3">
        <v>1660</v>
      </c>
      <c r="J2680" s="3">
        <v>1660</v>
      </c>
      <c r="K2680" s="3">
        <v>420</v>
      </c>
      <c r="L2680" t="s">
        <v>9</v>
      </c>
      <c r="M2680">
        <v>16</v>
      </c>
      <c r="N2680" t="s">
        <v>17</v>
      </c>
      <c r="O2680" t="s">
        <v>11</v>
      </c>
      <c r="P2680" t="s">
        <v>18</v>
      </c>
      <c r="Q2680" t="s">
        <v>19</v>
      </c>
      <c r="R2680" t="s">
        <v>138</v>
      </c>
      <c r="S2680" t="s">
        <v>144</v>
      </c>
      <c r="T2680" s="2">
        <f>MASTER[[#This Row],[CANTIDAD]]*MASTER[[#This Row],[PRECIO DE VENTA]]</f>
        <v>3320</v>
      </c>
      <c r="U2680" s="2">
        <f>MASTER[[#This Row],[CANTIDAD]]*MASTER[[#This Row],[COSTO UNITARIO]]</f>
        <v>840</v>
      </c>
      <c r="V2680" s="2">
        <f>MASTER[[#This Row],[MONTO VENDIDO]]-MASTER[[#This Row],[COSTO DE VENTA]]</f>
        <v>2480</v>
      </c>
    </row>
    <row r="2681" spans="1:22" x14ac:dyDescent="0.3">
      <c r="A2681">
        <v>44412</v>
      </c>
      <c r="B2681">
        <v>1</v>
      </c>
      <c r="C2681" t="s">
        <v>105</v>
      </c>
      <c r="D2681" t="s">
        <v>106</v>
      </c>
      <c r="E2681" s="1">
        <v>44151</v>
      </c>
      <c r="F2681">
        <v>1</v>
      </c>
      <c r="G2681" t="s">
        <v>24</v>
      </c>
      <c r="H2681" t="s">
        <v>25</v>
      </c>
      <c r="I2681" s="3">
        <v>1865</v>
      </c>
      <c r="J2681" s="3">
        <v>1865</v>
      </c>
      <c r="K2681" s="3">
        <v>459</v>
      </c>
      <c r="L2681" t="s">
        <v>98</v>
      </c>
      <c r="M2681">
        <v>15</v>
      </c>
      <c r="N2681" t="s">
        <v>88</v>
      </c>
      <c r="O2681" t="s">
        <v>81</v>
      </c>
      <c r="P2681" t="s">
        <v>18</v>
      </c>
      <c r="Q2681" t="s">
        <v>19</v>
      </c>
      <c r="R2681" t="s">
        <v>138</v>
      </c>
      <c r="S2681" t="s">
        <v>144</v>
      </c>
      <c r="T2681" s="2">
        <f>MASTER[[#This Row],[CANTIDAD]]*MASTER[[#This Row],[PRECIO DE VENTA]]</f>
        <v>1865</v>
      </c>
      <c r="U2681" s="2">
        <f>MASTER[[#This Row],[CANTIDAD]]*MASTER[[#This Row],[COSTO UNITARIO]]</f>
        <v>459</v>
      </c>
      <c r="V2681" s="2">
        <f>MASTER[[#This Row],[MONTO VENDIDO]]-MASTER[[#This Row],[COSTO DE VENTA]]</f>
        <v>1406</v>
      </c>
    </row>
    <row r="2682" spans="1:22" x14ac:dyDescent="0.3">
      <c r="A2682">
        <v>44439</v>
      </c>
      <c r="B2682">
        <v>1</v>
      </c>
      <c r="C2682" t="s">
        <v>109</v>
      </c>
      <c r="D2682" t="s">
        <v>110</v>
      </c>
      <c r="E2682" s="1">
        <v>44151</v>
      </c>
      <c r="F2682">
        <v>1</v>
      </c>
      <c r="G2682" t="s">
        <v>51</v>
      </c>
      <c r="H2682" t="s">
        <v>52</v>
      </c>
      <c r="I2682" s="3">
        <v>1064</v>
      </c>
      <c r="J2682" s="3">
        <v>1064</v>
      </c>
      <c r="K2682" s="3">
        <v>387</v>
      </c>
      <c r="L2682" t="s">
        <v>98</v>
      </c>
      <c r="M2682">
        <v>8</v>
      </c>
      <c r="N2682" t="s">
        <v>80</v>
      </c>
      <c r="O2682" t="s">
        <v>81</v>
      </c>
      <c r="P2682" t="s">
        <v>12</v>
      </c>
      <c r="Q2682" t="s">
        <v>13</v>
      </c>
      <c r="R2682" t="s">
        <v>13</v>
      </c>
      <c r="S2682" t="s">
        <v>144</v>
      </c>
      <c r="T2682" s="2">
        <f>MASTER[[#This Row],[CANTIDAD]]*MASTER[[#This Row],[PRECIO DE VENTA]]</f>
        <v>1064</v>
      </c>
      <c r="U2682" s="2">
        <f>MASTER[[#This Row],[CANTIDAD]]*MASTER[[#This Row],[COSTO UNITARIO]]</f>
        <v>387</v>
      </c>
      <c r="V2682" s="2">
        <f>MASTER[[#This Row],[MONTO VENDIDO]]-MASTER[[#This Row],[COSTO DE VENTA]]</f>
        <v>677</v>
      </c>
    </row>
    <row r="2683" spans="1:22" x14ac:dyDescent="0.3">
      <c r="A2683">
        <v>44452</v>
      </c>
      <c r="B2683">
        <v>1</v>
      </c>
      <c r="C2683" t="s">
        <v>101</v>
      </c>
      <c r="D2683" t="s">
        <v>102</v>
      </c>
      <c r="E2683" s="1">
        <v>44151</v>
      </c>
      <c r="F2683">
        <v>1</v>
      </c>
      <c r="G2683" t="s">
        <v>24</v>
      </c>
      <c r="H2683" t="s">
        <v>25</v>
      </c>
      <c r="I2683" s="3">
        <v>1054</v>
      </c>
      <c r="J2683" s="3">
        <v>1054</v>
      </c>
      <c r="K2683" s="3">
        <v>442</v>
      </c>
      <c r="L2683" t="s">
        <v>98</v>
      </c>
      <c r="M2683">
        <v>17</v>
      </c>
      <c r="N2683" t="s">
        <v>14</v>
      </c>
      <c r="O2683" t="s">
        <v>11</v>
      </c>
      <c r="P2683" t="s">
        <v>15</v>
      </c>
      <c r="Q2683" t="s">
        <v>16</v>
      </c>
      <c r="R2683" t="s">
        <v>16</v>
      </c>
      <c r="S2683" t="s">
        <v>144</v>
      </c>
      <c r="T2683" s="2">
        <f>MASTER[[#This Row],[CANTIDAD]]*MASTER[[#This Row],[PRECIO DE VENTA]]</f>
        <v>1054</v>
      </c>
      <c r="U2683" s="2">
        <f>MASTER[[#This Row],[CANTIDAD]]*MASTER[[#This Row],[COSTO UNITARIO]]</f>
        <v>442</v>
      </c>
      <c r="V2683" s="2">
        <f>MASTER[[#This Row],[MONTO VENDIDO]]-MASTER[[#This Row],[COSTO DE VENTA]]</f>
        <v>612</v>
      </c>
    </row>
    <row r="2684" spans="1:22" x14ac:dyDescent="0.3">
      <c r="A2684">
        <v>44460</v>
      </c>
      <c r="B2684">
        <v>1</v>
      </c>
      <c r="C2684" t="s">
        <v>94</v>
      </c>
      <c r="D2684" t="s">
        <v>95</v>
      </c>
      <c r="E2684" s="1">
        <v>44152</v>
      </c>
      <c r="F2684">
        <v>1</v>
      </c>
      <c r="G2684" t="s">
        <v>57</v>
      </c>
      <c r="H2684" t="s">
        <v>58</v>
      </c>
      <c r="I2684" s="3">
        <v>901</v>
      </c>
      <c r="J2684" s="3">
        <v>901</v>
      </c>
      <c r="K2684" s="3">
        <v>392</v>
      </c>
      <c r="L2684" t="s">
        <v>9</v>
      </c>
      <c r="M2684">
        <v>16</v>
      </c>
      <c r="N2684" t="s">
        <v>17</v>
      </c>
      <c r="O2684" t="s">
        <v>11</v>
      </c>
      <c r="P2684" t="s">
        <v>18</v>
      </c>
      <c r="Q2684" t="s">
        <v>19</v>
      </c>
      <c r="R2684" t="s">
        <v>138</v>
      </c>
      <c r="S2684" t="s">
        <v>144</v>
      </c>
      <c r="T2684" s="2">
        <f>MASTER[[#This Row],[CANTIDAD]]*MASTER[[#This Row],[PRECIO DE VENTA]]</f>
        <v>901</v>
      </c>
      <c r="U2684" s="2">
        <f>MASTER[[#This Row],[CANTIDAD]]*MASTER[[#This Row],[COSTO UNITARIO]]</f>
        <v>392</v>
      </c>
      <c r="V2684" s="2">
        <f>MASTER[[#This Row],[MONTO VENDIDO]]-MASTER[[#This Row],[COSTO DE VENTA]]</f>
        <v>509</v>
      </c>
    </row>
    <row r="2685" spans="1:22" x14ac:dyDescent="0.3">
      <c r="A2685">
        <v>44462</v>
      </c>
      <c r="B2685">
        <v>1</v>
      </c>
      <c r="C2685" t="s">
        <v>116</v>
      </c>
      <c r="D2685" t="s">
        <v>117</v>
      </c>
      <c r="E2685" s="1">
        <v>44152</v>
      </c>
      <c r="F2685">
        <v>1</v>
      </c>
      <c r="G2685" t="s">
        <v>49</v>
      </c>
      <c r="H2685" t="s">
        <v>50</v>
      </c>
      <c r="I2685" s="3">
        <v>1999</v>
      </c>
      <c r="J2685" s="3">
        <v>1999</v>
      </c>
      <c r="K2685" s="3">
        <v>388</v>
      </c>
      <c r="L2685" t="s">
        <v>113</v>
      </c>
      <c r="M2685">
        <v>9</v>
      </c>
      <c r="N2685" t="s">
        <v>76</v>
      </c>
      <c r="O2685" t="s">
        <v>70</v>
      </c>
      <c r="P2685" t="s">
        <v>12</v>
      </c>
      <c r="Q2685" t="s">
        <v>13</v>
      </c>
      <c r="R2685" t="s">
        <v>13</v>
      </c>
      <c r="S2685" t="s">
        <v>144</v>
      </c>
      <c r="T2685" s="2">
        <f>MASTER[[#This Row],[CANTIDAD]]*MASTER[[#This Row],[PRECIO DE VENTA]]</f>
        <v>1999</v>
      </c>
      <c r="U2685" s="2">
        <f>MASTER[[#This Row],[CANTIDAD]]*MASTER[[#This Row],[COSTO UNITARIO]]</f>
        <v>388</v>
      </c>
      <c r="V2685" s="2">
        <f>MASTER[[#This Row],[MONTO VENDIDO]]-MASTER[[#This Row],[COSTO DE VENTA]]</f>
        <v>1611</v>
      </c>
    </row>
    <row r="2686" spans="1:22" x14ac:dyDescent="0.3">
      <c r="A2686">
        <v>44485</v>
      </c>
      <c r="B2686">
        <v>1</v>
      </c>
      <c r="C2686" t="s">
        <v>101</v>
      </c>
      <c r="D2686" t="s">
        <v>102</v>
      </c>
      <c r="E2686" s="1">
        <v>44152</v>
      </c>
      <c r="F2686">
        <v>1</v>
      </c>
      <c r="G2686" t="s">
        <v>53</v>
      </c>
      <c r="H2686" t="s">
        <v>54</v>
      </c>
      <c r="I2686" s="3">
        <v>1054</v>
      </c>
      <c r="J2686" s="3">
        <v>980</v>
      </c>
      <c r="K2686" s="3">
        <v>442</v>
      </c>
      <c r="L2686" t="s">
        <v>98</v>
      </c>
      <c r="M2686">
        <v>17</v>
      </c>
      <c r="N2686" t="s">
        <v>14</v>
      </c>
      <c r="O2686" t="s">
        <v>11</v>
      </c>
      <c r="P2686" t="s">
        <v>15</v>
      </c>
      <c r="Q2686" t="s">
        <v>16</v>
      </c>
      <c r="R2686" t="s">
        <v>16</v>
      </c>
      <c r="S2686" t="s">
        <v>144</v>
      </c>
      <c r="T2686" s="2">
        <f>MASTER[[#This Row],[CANTIDAD]]*MASTER[[#This Row],[PRECIO DE VENTA]]</f>
        <v>980</v>
      </c>
      <c r="U2686" s="2">
        <f>MASTER[[#This Row],[CANTIDAD]]*MASTER[[#This Row],[COSTO UNITARIO]]</f>
        <v>442</v>
      </c>
      <c r="V2686" s="2">
        <f>MASTER[[#This Row],[MONTO VENDIDO]]-MASTER[[#This Row],[COSTO DE VENTA]]</f>
        <v>538</v>
      </c>
    </row>
    <row r="2687" spans="1:22" x14ac:dyDescent="0.3">
      <c r="A2687">
        <v>44486</v>
      </c>
      <c r="B2687">
        <v>1</v>
      </c>
      <c r="C2687" t="s">
        <v>103</v>
      </c>
      <c r="D2687" t="s">
        <v>104</v>
      </c>
      <c r="E2687" s="1">
        <v>44152</v>
      </c>
      <c r="F2687">
        <v>1</v>
      </c>
      <c r="G2687" t="s">
        <v>7</v>
      </c>
      <c r="H2687" t="s">
        <v>8</v>
      </c>
      <c r="I2687" s="3">
        <v>1591</v>
      </c>
      <c r="J2687" s="3">
        <v>1591</v>
      </c>
      <c r="K2687" s="3">
        <v>421</v>
      </c>
      <c r="L2687" t="s">
        <v>98</v>
      </c>
      <c r="M2687">
        <v>8</v>
      </c>
      <c r="N2687" t="s">
        <v>80</v>
      </c>
      <c r="O2687" t="s">
        <v>81</v>
      </c>
      <c r="P2687" t="s">
        <v>12</v>
      </c>
      <c r="Q2687" t="s">
        <v>13</v>
      </c>
      <c r="R2687" t="s">
        <v>13</v>
      </c>
      <c r="S2687" t="s">
        <v>144</v>
      </c>
      <c r="T2687" s="2">
        <f>MASTER[[#This Row],[CANTIDAD]]*MASTER[[#This Row],[PRECIO DE VENTA]]</f>
        <v>1591</v>
      </c>
      <c r="U2687" s="2">
        <f>MASTER[[#This Row],[CANTIDAD]]*MASTER[[#This Row],[COSTO UNITARIO]]</f>
        <v>421</v>
      </c>
      <c r="V2687" s="2">
        <f>MASTER[[#This Row],[MONTO VENDIDO]]-MASTER[[#This Row],[COSTO DE VENTA]]</f>
        <v>1170</v>
      </c>
    </row>
    <row r="2688" spans="1:22" x14ac:dyDescent="0.3">
      <c r="A2688">
        <v>44489</v>
      </c>
      <c r="B2688">
        <v>1</v>
      </c>
      <c r="C2688" t="s">
        <v>114</v>
      </c>
      <c r="D2688" t="s">
        <v>115</v>
      </c>
      <c r="E2688" s="1">
        <v>44152</v>
      </c>
      <c r="F2688">
        <v>1</v>
      </c>
      <c r="G2688" t="s">
        <v>45</v>
      </c>
      <c r="H2688" t="s">
        <v>46</v>
      </c>
      <c r="I2688" s="3">
        <v>1862</v>
      </c>
      <c r="J2688" s="3">
        <v>1862</v>
      </c>
      <c r="K2688" s="3">
        <v>394</v>
      </c>
      <c r="L2688" t="s">
        <v>113</v>
      </c>
      <c r="M2688">
        <v>2</v>
      </c>
      <c r="N2688" t="s">
        <v>86</v>
      </c>
      <c r="O2688" t="s">
        <v>81</v>
      </c>
      <c r="P2688" t="s">
        <v>71</v>
      </c>
      <c r="Q2688" t="s">
        <v>72</v>
      </c>
      <c r="R2688" t="s">
        <v>139</v>
      </c>
      <c r="S2688" t="s">
        <v>144</v>
      </c>
      <c r="T2688" s="2">
        <f>MASTER[[#This Row],[CANTIDAD]]*MASTER[[#This Row],[PRECIO DE VENTA]]</f>
        <v>1862</v>
      </c>
      <c r="U2688" s="2">
        <f>MASTER[[#This Row],[CANTIDAD]]*MASTER[[#This Row],[COSTO UNITARIO]]</f>
        <v>394</v>
      </c>
      <c r="V2688" s="2">
        <f>MASTER[[#This Row],[MONTO VENDIDO]]-MASTER[[#This Row],[COSTO DE VENTA]]</f>
        <v>1468</v>
      </c>
    </row>
    <row r="2689" spans="1:22" x14ac:dyDescent="0.3">
      <c r="A2689">
        <v>44495</v>
      </c>
      <c r="B2689">
        <v>1</v>
      </c>
      <c r="C2689" t="s">
        <v>92</v>
      </c>
      <c r="D2689" t="s">
        <v>93</v>
      </c>
      <c r="E2689" s="1">
        <v>44152</v>
      </c>
      <c r="F2689">
        <v>1</v>
      </c>
      <c r="G2689" t="s">
        <v>49</v>
      </c>
      <c r="H2689" t="s">
        <v>50</v>
      </c>
      <c r="I2689" s="3">
        <v>1479</v>
      </c>
      <c r="J2689" s="3">
        <v>1479</v>
      </c>
      <c r="K2689" s="3">
        <v>396</v>
      </c>
      <c r="L2689" t="s">
        <v>9</v>
      </c>
      <c r="M2689">
        <v>16</v>
      </c>
      <c r="N2689" t="s">
        <v>17</v>
      </c>
      <c r="O2689" t="s">
        <v>11</v>
      </c>
      <c r="P2689" t="s">
        <v>18</v>
      </c>
      <c r="Q2689" t="s">
        <v>19</v>
      </c>
      <c r="R2689" t="s">
        <v>138</v>
      </c>
      <c r="S2689" t="s">
        <v>144</v>
      </c>
      <c r="T2689" s="2">
        <f>MASTER[[#This Row],[CANTIDAD]]*MASTER[[#This Row],[PRECIO DE VENTA]]</f>
        <v>1479</v>
      </c>
      <c r="U2689" s="2">
        <f>MASTER[[#This Row],[CANTIDAD]]*MASTER[[#This Row],[COSTO UNITARIO]]</f>
        <v>396</v>
      </c>
      <c r="V2689" s="2">
        <f>MASTER[[#This Row],[MONTO VENDIDO]]-MASTER[[#This Row],[COSTO DE VENTA]]</f>
        <v>1083</v>
      </c>
    </row>
    <row r="2690" spans="1:22" x14ac:dyDescent="0.3">
      <c r="A2690">
        <v>44515</v>
      </c>
      <c r="B2690">
        <v>1</v>
      </c>
      <c r="C2690" t="s">
        <v>111</v>
      </c>
      <c r="D2690" t="s">
        <v>112</v>
      </c>
      <c r="E2690" s="1">
        <v>44152</v>
      </c>
      <c r="F2690">
        <v>1</v>
      </c>
      <c r="G2690" t="s">
        <v>24</v>
      </c>
      <c r="H2690" t="s">
        <v>25</v>
      </c>
      <c r="I2690" s="3">
        <v>1524</v>
      </c>
      <c r="J2690" s="3">
        <v>1524</v>
      </c>
      <c r="K2690" s="3">
        <v>434</v>
      </c>
      <c r="L2690" t="s">
        <v>113</v>
      </c>
      <c r="M2690">
        <v>11</v>
      </c>
      <c r="N2690" t="s">
        <v>10</v>
      </c>
      <c r="O2690" t="s">
        <v>11</v>
      </c>
      <c r="P2690" t="s">
        <v>12</v>
      </c>
      <c r="Q2690" t="s">
        <v>13</v>
      </c>
      <c r="R2690" t="s">
        <v>13</v>
      </c>
      <c r="S2690" t="s">
        <v>144</v>
      </c>
      <c r="T2690" s="2">
        <f>MASTER[[#This Row],[CANTIDAD]]*MASTER[[#This Row],[PRECIO DE VENTA]]</f>
        <v>1524</v>
      </c>
      <c r="U2690" s="2">
        <f>MASTER[[#This Row],[CANTIDAD]]*MASTER[[#This Row],[COSTO UNITARIO]]</f>
        <v>434</v>
      </c>
      <c r="V2690" s="2">
        <f>MASTER[[#This Row],[MONTO VENDIDO]]-MASTER[[#This Row],[COSTO DE VENTA]]</f>
        <v>1090</v>
      </c>
    </row>
    <row r="2691" spans="1:22" x14ac:dyDescent="0.3">
      <c r="A2691">
        <v>44521</v>
      </c>
      <c r="B2691">
        <v>1</v>
      </c>
      <c r="C2691" t="s">
        <v>107</v>
      </c>
      <c r="D2691" t="s">
        <v>108</v>
      </c>
      <c r="E2691" s="1">
        <v>44152</v>
      </c>
      <c r="F2691">
        <v>1</v>
      </c>
      <c r="G2691" t="s">
        <v>67</v>
      </c>
      <c r="H2691" t="s">
        <v>68</v>
      </c>
      <c r="I2691" s="3">
        <v>1333</v>
      </c>
      <c r="J2691" s="3">
        <v>1333</v>
      </c>
      <c r="K2691" s="3">
        <v>380</v>
      </c>
      <c r="L2691" t="s">
        <v>98</v>
      </c>
      <c r="M2691">
        <v>5</v>
      </c>
      <c r="N2691" t="s">
        <v>85</v>
      </c>
      <c r="O2691" t="s">
        <v>81</v>
      </c>
      <c r="P2691" t="s">
        <v>12</v>
      </c>
      <c r="Q2691" t="s">
        <v>13</v>
      </c>
      <c r="R2691" t="s">
        <v>13</v>
      </c>
      <c r="S2691" t="s">
        <v>144</v>
      </c>
      <c r="T2691" s="2">
        <f>MASTER[[#This Row],[CANTIDAD]]*MASTER[[#This Row],[PRECIO DE VENTA]]</f>
        <v>1333</v>
      </c>
      <c r="U2691" s="2">
        <f>MASTER[[#This Row],[CANTIDAD]]*MASTER[[#This Row],[COSTO UNITARIO]]</f>
        <v>380</v>
      </c>
      <c r="V2691" s="2">
        <f>MASTER[[#This Row],[MONTO VENDIDO]]-MASTER[[#This Row],[COSTO DE VENTA]]</f>
        <v>953</v>
      </c>
    </row>
    <row r="2692" spans="1:22" x14ac:dyDescent="0.3">
      <c r="A2692">
        <v>44542</v>
      </c>
      <c r="B2692">
        <v>1</v>
      </c>
      <c r="C2692" t="s">
        <v>105</v>
      </c>
      <c r="D2692" t="s">
        <v>106</v>
      </c>
      <c r="E2692" s="1">
        <v>44152</v>
      </c>
      <c r="F2692">
        <v>1</v>
      </c>
      <c r="G2692" t="s">
        <v>73</v>
      </c>
      <c r="H2692" t="s">
        <v>74</v>
      </c>
      <c r="I2692" s="3">
        <v>2033</v>
      </c>
      <c r="J2692" s="3">
        <v>2033</v>
      </c>
      <c r="K2692" s="3">
        <v>459</v>
      </c>
      <c r="L2692" t="s">
        <v>98</v>
      </c>
      <c r="M2692">
        <v>9</v>
      </c>
      <c r="N2692" t="s">
        <v>76</v>
      </c>
      <c r="O2692" t="s">
        <v>70</v>
      </c>
      <c r="P2692" t="s">
        <v>12</v>
      </c>
      <c r="Q2692" t="s">
        <v>13</v>
      </c>
      <c r="R2692" t="s">
        <v>13</v>
      </c>
      <c r="S2692" t="s">
        <v>144</v>
      </c>
      <c r="T2692" s="2">
        <f>MASTER[[#This Row],[CANTIDAD]]*MASTER[[#This Row],[PRECIO DE VENTA]]</f>
        <v>2033</v>
      </c>
      <c r="U2692" s="2">
        <f>MASTER[[#This Row],[CANTIDAD]]*MASTER[[#This Row],[COSTO UNITARIO]]</f>
        <v>459</v>
      </c>
      <c r="V2692" s="2">
        <f>MASTER[[#This Row],[MONTO VENDIDO]]-MASTER[[#This Row],[COSTO DE VENTA]]</f>
        <v>1574</v>
      </c>
    </row>
    <row r="2693" spans="1:22" x14ac:dyDescent="0.3">
      <c r="A2693">
        <v>44550</v>
      </c>
      <c r="B2693">
        <v>1</v>
      </c>
      <c r="C2693" t="s">
        <v>94</v>
      </c>
      <c r="D2693" t="s">
        <v>95</v>
      </c>
      <c r="E2693" s="1">
        <v>44152</v>
      </c>
      <c r="F2693">
        <v>1</v>
      </c>
      <c r="G2693" t="s">
        <v>49</v>
      </c>
      <c r="H2693" t="s">
        <v>50</v>
      </c>
      <c r="I2693" s="3">
        <v>1048</v>
      </c>
      <c r="J2693" s="3">
        <v>1048</v>
      </c>
      <c r="K2693" s="3">
        <v>392</v>
      </c>
      <c r="L2693" t="s">
        <v>9</v>
      </c>
      <c r="M2693">
        <v>8</v>
      </c>
      <c r="N2693" t="s">
        <v>80</v>
      </c>
      <c r="O2693" t="s">
        <v>81</v>
      </c>
      <c r="P2693" t="s">
        <v>12</v>
      </c>
      <c r="Q2693" t="s">
        <v>13</v>
      </c>
      <c r="R2693" t="s">
        <v>13</v>
      </c>
      <c r="S2693" t="s">
        <v>144</v>
      </c>
      <c r="T2693" s="2">
        <f>MASTER[[#This Row],[CANTIDAD]]*MASTER[[#This Row],[PRECIO DE VENTA]]</f>
        <v>1048</v>
      </c>
      <c r="U2693" s="2">
        <f>MASTER[[#This Row],[CANTIDAD]]*MASTER[[#This Row],[COSTO UNITARIO]]</f>
        <v>392</v>
      </c>
      <c r="V2693" s="2">
        <f>MASTER[[#This Row],[MONTO VENDIDO]]-MASTER[[#This Row],[COSTO DE VENTA]]</f>
        <v>656</v>
      </c>
    </row>
    <row r="2694" spans="1:22" x14ac:dyDescent="0.3">
      <c r="A2694">
        <v>44557</v>
      </c>
      <c r="B2694">
        <v>1</v>
      </c>
      <c r="C2694" t="s">
        <v>5</v>
      </c>
      <c r="D2694" t="s">
        <v>6</v>
      </c>
      <c r="E2694" s="1">
        <v>44152</v>
      </c>
      <c r="F2694">
        <v>1</v>
      </c>
      <c r="G2694" t="s">
        <v>53</v>
      </c>
      <c r="H2694" t="s">
        <v>54</v>
      </c>
      <c r="I2694" s="3">
        <v>1296</v>
      </c>
      <c r="J2694" s="3">
        <v>1296</v>
      </c>
      <c r="K2694" s="3">
        <v>393</v>
      </c>
      <c r="L2694" t="s">
        <v>9</v>
      </c>
      <c r="M2694">
        <v>18</v>
      </c>
      <c r="N2694" t="s">
        <v>79</v>
      </c>
      <c r="O2694" t="s">
        <v>70</v>
      </c>
      <c r="P2694" t="s">
        <v>15</v>
      </c>
      <c r="Q2694" t="s">
        <v>16</v>
      </c>
      <c r="R2694" t="s">
        <v>16</v>
      </c>
      <c r="S2694" t="s">
        <v>144</v>
      </c>
      <c r="T2694" s="2">
        <f>MASTER[[#This Row],[CANTIDAD]]*MASTER[[#This Row],[PRECIO DE VENTA]]</f>
        <v>1296</v>
      </c>
      <c r="U2694" s="2">
        <f>MASTER[[#This Row],[CANTIDAD]]*MASTER[[#This Row],[COSTO UNITARIO]]</f>
        <v>393</v>
      </c>
      <c r="V2694" s="2">
        <f>MASTER[[#This Row],[MONTO VENDIDO]]-MASTER[[#This Row],[COSTO DE VENTA]]</f>
        <v>903</v>
      </c>
    </row>
    <row r="2695" spans="1:22" x14ac:dyDescent="0.3">
      <c r="A2695">
        <v>44566</v>
      </c>
      <c r="B2695">
        <v>1</v>
      </c>
      <c r="C2695" t="s">
        <v>114</v>
      </c>
      <c r="D2695" t="s">
        <v>115</v>
      </c>
      <c r="E2695" s="1">
        <v>44153</v>
      </c>
      <c r="F2695">
        <v>1</v>
      </c>
      <c r="G2695" t="s">
        <v>37</v>
      </c>
      <c r="H2695" t="s">
        <v>38</v>
      </c>
      <c r="I2695" s="3">
        <v>2030</v>
      </c>
      <c r="J2695" s="3">
        <v>2030</v>
      </c>
      <c r="K2695" s="3">
        <v>394</v>
      </c>
      <c r="L2695" t="s">
        <v>113</v>
      </c>
      <c r="M2695">
        <v>3</v>
      </c>
      <c r="N2695" t="s">
        <v>69</v>
      </c>
      <c r="O2695" t="s">
        <v>70</v>
      </c>
      <c r="P2695" t="s">
        <v>71</v>
      </c>
      <c r="Q2695" t="s">
        <v>72</v>
      </c>
      <c r="R2695" t="s">
        <v>139</v>
      </c>
      <c r="S2695" t="s">
        <v>144</v>
      </c>
      <c r="T2695" s="2">
        <f>MASTER[[#This Row],[CANTIDAD]]*MASTER[[#This Row],[PRECIO DE VENTA]]</f>
        <v>2030</v>
      </c>
      <c r="U2695" s="2">
        <f>MASTER[[#This Row],[CANTIDAD]]*MASTER[[#This Row],[COSTO UNITARIO]]</f>
        <v>394</v>
      </c>
      <c r="V2695" s="2">
        <f>MASTER[[#This Row],[MONTO VENDIDO]]-MASTER[[#This Row],[COSTO DE VENTA]]</f>
        <v>1636</v>
      </c>
    </row>
    <row r="2696" spans="1:22" x14ac:dyDescent="0.3">
      <c r="A2696">
        <v>44567</v>
      </c>
      <c r="B2696">
        <v>1</v>
      </c>
      <c r="C2696" t="s">
        <v>96</v>
      </c>
      <c r="D2696" t="s">
        <v>97</v>
      </c>
      <c r="E2696" s="1">
        <v>44153</v>
      </c>
      <c r="F2696">
        <v>1</v>
      </c>
      <c r="G2696" t="s">
        <v>61</v>
      </c>
      <c r="H2696" t="s">
        <v>62</v>
      </c>
      <c r="I2696" s="3">
        <v>1272</v>
      </c>
      <c r="J2696" s="3">
        <v>1272</v>
      </c>
      <c r="K2696" s="3">
        <v>397</v>
      </c>
      <c r="L2696" t="s">
        <v>98</v>
      </c>
      <c r="M2696">
        <v>19</v>
      </c>
      <c r="N2696" t="s">
        <v>89</v>
      </c>
      <c r="O2696" t="s">
        <v>81</v>
      </c>
      <c r="P2696" t="s">
        <v>15</v>
      </c>
      <c r="Q2696" t="s">
        <v>16</v>
      </c>
      <c r="R2696" t="s">
        <v>16</v>
      </c>
      <c r="S2696" t="s">
        <v>144</v>
      </c>
      <c r="T2696" s="2">
        <f>MASTER[[#This Row],[CANTIDAD]]*MASTER[[#This Row],[PRECIO DE VENTA]]</f>
        <v>1272</v>
      </c>
      <c r="U2696" s="2">
        <f>MASTER[[#This Row],[CANTIDAD]]*MASTER[[#This Row],[COSTO UNITARIO]]</f>
        <v>397</v>
      </c>
      <c r="V2696" s="2">
        <f>MASTER[[#This Row],[MONTO VENDIDO]]-MASTER[[#This Row],[COSTO DE VENTA]]</f>
        <v>875</v>
      </c>
    </row>
    <row r="2697" spans="1:22" x14ac:dyDescent="0.3">
      <c r="A2697">
        <v>44587</v>
      </c>
      <c r="B2697">
        <v>1</v>
      </c>
      <c r="C2697" t="s">
        <v>116</v>
      </c>
      <c r="D2697" t="s">
        <v>117</v>
      </c>
      <c r="E2697" s="1">
        <v>44153</v>
      </c>
      <c r="F2697">
        <v>1</v>
      </c>
      <c r="G2697" t="s">
        <v>31</v>
      </c>
      <c r="H2697" t="s">
        <v>32</v>
      </c>
      <c r="I2697" s="3">
        <v>1529</v>
      </c>
      <c r="J2697" s="3">
        <v>1529</v>
      </c>
      <c r="K2697" s="3">
        <v>388</v>
      </c>
      <c r="L2697" t="s">
        <v>113</v>
      </c>
      <c r="M2697">
        <v>11</v>
      </c>
      <c r="N2697" t="s">
        <v>10</v>
      </c>
      <c r="O2697" t="s">
        <v>11</v>
      </c>
      <c r="P2697" t="s">
        <v>12</v>
      </c>
      <c r="Q2697" t="s">
        <v>13</v>
      </c>
      <c r="R2697" t="s">
        <v>13</v>
      </c>
      <c r="S2697" t="s">
        <v>144</v>
      </c>
      <c r="T2697" s="2">
        <f>MASTER[[#This Row],[CANTIDAD]]*MASTER[[#This Row],[PRECIO DE VENTA]]</f>
        <v>1529</v>
      </c>
      <c r="U2697" s="2">
        <f>MASTER[[#This Row],[CANTIDAD]]*MASTER[[#This Row],[COSTO UNITARIO]]</f>
        <v>388</v>
      </c>
      <c r="V2697" s="2">
        <f>MASTER[[#This Row],[MONTO VENDIDO]]-MASTER[[#This Row],[COSTO DE VENTA]]</f>
        <v>1141</v>
      </c>
    </row>
    <row r="2698" spans="1:22" x14ac:dyDescent="0.3">
      <c r="A2698">
        <v>44595</v>
      </c>
      <c r="B2698">
        <v>1</v>
      </c>
      <c r="C2698" t="s">
        <v>118</v>
      </c>
      <c r="D2698" t="s">
        <v>119</v>
      </c>
      <c r="E2698" s="1">
        <v>44153</v>
      </c>
      <c r="F2698">
        <v>1</v>
      </c>
      <c r="G2698" t="s">
        <v>33</v>
      </c>
      <c r="H2698" t="s">
        <v>34</v>
      </c>
      <c r="I2698" s="3">
        <v>801</v>
      </c>
      <c r="J2698" s="3">
        <v>801</v>
      </c>
      <c r="K2698" s="3">
        <v>424</v>
      </c>
      <c r="L2698" t="s">
        <v>120</v>
      </c>
      <c r="M2698">
        <v>11</v>
      </c>
      <c r="N2698" t="s">
        <v>10</v>
      </c>
      <c r="O2698" t="s">
        <v>11</v>
      </c>
      <c r="P2698" t="s">
        <v>12</v>
      </c>
      <c r="Q2698" t="s">
        <v>13</v>
      </c>
      <c r="R2698" t="s">
        <v>13</v>
      </c>
      <c r="S2698" t="s">
        <v>144</v>
      </c>
      <c r="T2698" s="2">
        <f>MASTER[[#This Row],[CANTIDAD]]*MASTER[[#This Row],[PRECIO DE VENTA]]</f>
        <v>801</v>
      </c>
      <c r="U2698" s="2">
        <f>MASTER[[#This Row],[CANTIDAD]]*MASTER[[#This Row],[COSTO UNITARIO]]</f>
        <v>424</v>
      </c>
      <c r="V2698" s="2">
        <f>MASTER[[#This Row],[MONTO VENDIDO]]-MASTER[[#This Row],[COSTO DE VENTA]]</f>
        <v>377</v>
      </c>
    </row>
    <row r="2699" spans="1:22" x14ac:dyDescent="0.3">
      <c r="A2699">
        <v>44614</v>
      </c>
      <c r="B2699">
        <v>1</v>
      </c>
      <c r="C2699" t="s">
        <v>94</v>
      </c>
      <c r="D2699" t="s">
        <v>95</v>
      </c>
      <c r="E2699" s="1">
        <v>44153</v>
      </c>
      <c r="F2699">
        <v>1</v>
      </c>
      <c r="G2699" t="s">
        <v>47</v>
      </c>
      <c r="H2699" t="s">
        <v>48</v>
      </c>
      <c r="I2699" s="3">
        <v>1048</v>
      </c>
      <c r="J2699" s="3">
        <v>1048</v>
      </c>
      <c r="K2699" s="3">
        <v>392</v>
      </c>
      <c r="L2699" t="s">
        <v>9</v>
      </c>
      <c r="M2699">
        <v>8</v>
      </c>
      <c r="N2699" t="s">
        <v>80</v>
      </c>
      <c r="O2699" t="s">
        <v>81</v>
      </c>
      <c r="P2699" t="s">
        <v>12</v>
      </c>
      <c r="Q2699" t="s">
        <v>13</v>
      </c>
      <c r="R2699" t="s">
        <v>13</v>
      </c>
      <c r="S2699" t="s">
        <v>144</v>
      </c>
      <c r="T2699" s="2">
        <f>MASTER[[#This Row],[CANTIDAD]]*MASTER[[#This Row],[PRECIO DE VENTA]]</f>
        <v>1048</v>
      </c>
      <c r="U2699" s="2">
        <f>MASTER[[#This Row],[CANTIDAD]]*MASTER[[#This Row],[COSTO UNITARIO]]</f>
        <v>392</v>
      </c>
      <c r="V2699" s="2">
        <f>MASTER[[#This Row],[MONTO VENDIDO]]-MASTER[[#This Row],[COSTO DE VENTA]]</f>
        <v>656</v>
      </c>
    </row>
    <row r="2700" spans="1:22" x14ac:dyDescent="0.3">
      <c r="A2700">
        <v>44615</v>
      </c>
      <c r="B2700">
        <v>1</v>
      </c>
      <c r="C2700" t="s">
        <v>92</v>
      </c>
      <c r="D2700" t="s">
        <v>93</v>
      </c>
      <c r="E2700" s="1">
        <v>44153</v>
      </c>
      <c r="F2700">
        <v>1</v>
      </c>
      <c r="G2700" t="s">
        <v>43</v>
      </c>
      <c r="H2700" t="s">
        <v>44</v>
      </c>
      <c r="I2700" s="3">
        <v>1681</v>
      </c>
      <c r="J2700" s="3">
        <v>1681</v>
      </c>
      <c r="K2700" s="3">
        <v>396</v>
      </c>
      <c r="L2700" t="s">
        <v>9</v>
      </c>
      <c r="M2700">
        <v>4</v>
      </c>
      <c r="N2700" t="s">
        <v>82</v>
      </c>
      <c r="O2700" t="s">
        <v>81</v>
      </c>
      <c r="P2700" t="s">
        <v>71</v>
      </c>
      <c r="Q2700" t="s">
        <v>72</v>
      </c>
      <c r="R2700" t="s">
        <v>139</v>
      </c>
      <c r="S2700" t="s">
        <v>144</v>
      </c>
      <c r="T2700" s="2">
        <f>MASTER[[#This Row],[CANTIDAD]]*MASTER[[#This Row],[PRECIO DE VENTA]]</f>
        <v>1681</v>
      </c>
      <c r="U2700" s="2">
        <f>MASTER[[#This Row],[CANTIDAD]]*MASTER[[#This Row],[COSTO UNITARIO]]</f>
        <v>396</v>
      </c>
      <c r="V2700" s="2">
        <f>MASTER[[#This Row],[MONTO VENDIDO]]-MASTER[[#This Row],[COSTO DE VENTA]]</f>
        <v>1285</v>
      </c>
    </row>
    <row r="2701" spans="1:22" x14ac:dyDescent="0.3">
      <c r="A2701">
        <v>44623</v>
      </c>
      <c r="B2701">
        <v>1</v>
      </c>
      <c r="C2701" t="s">
        <v>103</v>
      </c>
      <c r="D2701" t="s">
        <v>104</v>
      </c>
      <c r="E2701" s="1">
        <v>44153</v>
      </c>
      <c r="F2701">
        <v>2</v>
      </c>
      <c r="G2701" t="s">
        <v>47</v>
      </c>
      <c r="H2701" t="s">
        <v>48</v>
      </c>
      <c r="I2701" s="3">
        <v>1591</v>
      </c>
      <c r="J2701" s="3">
        <v>1591</v>
      </c>
      <c r="K2701" s="3">
        <v>421</v>
      </c>
      <c r="L2701" t="s">
        <v>98</v>
      </c>
      <c r="M2701">
        <v>14</v>
      </c>
      <c r="N2701" t="s">
        <v>87</v>
      </c>
      <c r="O2701" t="s">
        <v>81</v>
      </c>
      <c r="P2701" t="s">
        <v>18</v>
      </c>
      <c r="Q2701" t="s">
        <v>19</v>
      </c>
      <c r="R2701" t="s">
        <v>138</v>
      </c>
      <c r="S2701" t="s">
        <v>144</v>
      </c>
      <c r="T2701" s="2">
        <f>MASTER[[#This Row],[CANTIDAD]]*MASTER[[#This Row],[PRECIO DE VENTA]]</f>
        <v>3182</v>
      </c>
      <c r="U2701" s="2">
        <f>MASTER[[#This Row],[CANTIDAD]]*MASTER[[#This Row],[COSTO UNITARIO]]</f>
        <v>842</v>
      </c>
      <c r="V2701" s="2">
        <f>MASTER[[#This Row],[MONTO VENDIDO]]-MASTER[[#This Row],[COSTO DE VENTA]]</f>
        <v>2340</v>
      </c>
    </row>
    <row r="2702" spans="1:22" x14ac:dyDescent="0.3">
      <c r="A2702">
        <v>44637</v>
      </c>
      <c r="B2702">
        <v>1</v>
      </c>
      <c r="C2702" t="s">
        <v>121</v>
      </c>
      <c r="D2702" t="s">
        <v>122</v>
      </c>
      <c r="E2702" s="1">
        <v>44153</v>
      </c>
      <c r="F2702">
        <v>1</v>
      </c>
      <c r="G2702" t="s">
        <v>29</v>
      </c>
      <c r="H2702" t="s">
        <v>30</v>
      </c>
      <c r="I2702" s="3">
        <v>1069</v>
      </c>
      <c r="J2702" s="3">
        <v>962</v>
      </c>
      <c r="K2702" s="3">
        <v>460</v>
      </c>
      <c r="L2702" t="s">
        <v>120</v>
      </c>
      <c r="M2702">
        <v>5</v>
      </c>
      <c r="N2702" t="s">
        <v>85</v>
      </c>
      <c r="O2702" t="s">
        <v>81</v>
      </c>
      <c r="P2702" t="s">
        <v>12</v>
      </c>
      <c r="Q2702" t="s">
        <v>13</v>
      </c>
      <c r="R2702" t="s">
        <v>13</v>
      </c>
      <c r="S2702" t="s">
        <v>144</v>
      </c>
      <c r="T2702" s="2">
        <f>MASTER[[#This Row],[CANTIDAD]]*MASTER[[#This Row],[PRECIO DE VENTA]]</f>
        <v>962</v>
      </c>
      <c r="U2702" s="2">
        <f>MASTER[[#This Row],[CANTIDAD]]*MASTER[[#This Row],[COSTO UNITARIO]]</f>
        <v>460</v>
      </c>
      <c r="V2702" s="2">
        <f>MASTER[[#This Row],[MONTO VENDIDO]]-MASTER[[#This Row],[COSTO DE VENTA]]</f>
        <v>502</v>
      </c>
    </row>
    <row r="2703" spans="1:22" x14ac:dyDescent="0.3">
      <c r="A2703">
        <v>44670</v>
      </c>
      <c r="B2703">
        <v>1</v>
      </c>
      <c r="C2703" t="s">
        <v>107</v>
      </c>
      <c r="D2703" t="s">
        <v>108</v>
      </c>
      <c r="E2703" s="1">
        <v>44153</v>
      </c>
      <c r="F2703">
        <v>1</v>
      </c>
      <c r="G2703" t="s">
        <v>65</v>
      </c>
      <c r="H2703" t="s">
        <v>66</v>
      </c>
      <c r="I2703" s="3">
        <v>1240</v>
      </c>
      <c r="J2703" s="3">
        <v>1240</v>
      </c>
      <c r="K2703" s="3">
        <v>380</v>
      </c>
      <c r="L2703" t="s">
        <v>98</v>
      </c>
      <c r="M2703">
        <v>11</v>
      </c>
      <c r="N2703" t="s">
        <v>10</v>
      </c>
      <c r="O2703" t="s">
        <v>11</v>
      </c>
      <c r="P2703" t="s">
        <v>12</v>
      </c>
      <c r="Q2703" t="s">
        <v>13</v>
      </c>
      <c r="R2703" t="s">
        <v>13</v>
      </c>
      <c r="S2703" t="s">
        <v>144</v>
      </c>
      <c r="T2703" s="2">
        <f>MASTER[[#This Row],[CANTIDAD]]*MASTER[[#This Row],[PRECIO DE VENTA]]</f>
        <v>1240</v>
      </c>
      <c r="U2703" s="2">
        <f>MASTER[[#This Row],[CANTIDAD]]*MASTER[[#This Row],[COSTO UNITARIO]]</f>
        <v>380</v>
      </c>
      <c r="V2703" s="2">
        <f>MASTER[[#This Row],[MONTO VENDIDO]]-MASTER[[#This Row],[COSTO DE VENTA]]</f>
        <v>860</v>
      </c>
    </row>
    <row r="2704" spans="1:22" x14ac:dyDescent="0.3">
      <c r="A2704">
        <v>44673</v>
      </c>
      <c r="B2704">
        <v>1</v>
      </c>
      <c r="C2704" t="s">
        <v>118</v>
      </c>
      <c r="D2704" t="s">
        <v>119</v>
      </c>
      <c r="E2704" s="1">
        <v>44154</v>
      </c>
      <c r="F2704">
        <v>4</v>
      </c>
      <c r="G2704" t="s">
        <v>49</v>
      </c>
      <c r="H2704" t="s">
        <v>50</v>
      </c>
      <c r="I2704" s="3">
        <v>900</v>
      </c>
      <c r="J2704" s="3">
        <v>900</v>
      </c>
      <c r="K2704" s="3">
        <v>424</v>
      </c>
      <c r="L2704" t="s">
        <v>120</v>
      </c>
      <c r="M2704">
        <v>14</v>
      </c>
      <c r="N2704" t="s">
        <v>87</v>
      </c>
      <c r="O2704" t="s">
        <v>81</v>
      </c>
      <c r="P2704" t="s">
        <v>18</v>
      </c>
      <c r="Q2704" t="s">
        <v>19</v>
      </c>
      <c r="R2704" t="s">
        <v>138</v>
      </c>
      <c r="S2704" t="s">
        <v>144</v>
      </c>
      <c r="T2704" s="2">
        <f>MASTER[[#This Row],[CANTIDAD]]*MASTER[[#This Row],[PRECIO DE VENTA]]</f>
        <v>3600</v>
      </c>
      <c r="U2704" s="2">
        <f>MASTER[[#This Row],[CANTIDAD]]*MASTER[[#This Row],[COSTO UNITARIO]]</f>
        <v>1696</v>
      </c>
      <c r="V2704" s="2">
        <f>MASTER[[#This Row],[MONTO VENDIDO]]-MASTER[[#This Row],[COSTO DE VENTA]]</f>
        <v>1904</v>
      </c>
    </row>
    <row r="2705" spans="1:22" x14ac:dyDescent="0.3">
      <c r="A2705">
        <v>44694</v>
      </c>
      <c r="B2705">
        <v>1</v>
      </c>
      <c r="C2705" t="s">
        <v>94</v>
      </c>
      <c r="D2705" t="s">
        <v>95</v>
      </c>
      <c r="E2705" s="1">
        <v>44154</v>
      </c>
      <c r="F2705">
        <v>1</v>
      </c>
      <c r="G2705" t="s">
        <v>39</v>
      </c>
      <c r="H2705" t="s">
        <v>40</v>
      </c>
      <c r="I2705" s="3">
        <v>1048</v>
      </c>
      <c r="J2705" s="3">
        <v>1048</v>
      </c>
      <c r="K2705" s="3">
        <v>392</v>
      </c>
      <c r="L2705" t="s">
        <v>9</v>
      </c>
      <c r="M2705">
        <v>5</v>
      </c>
      <c r="N2705" t="s">
        <v>85</v>
      </c>
      <c r="O2705" t="s">
        <v>81</v>
      </c>
      <c r="P2705" t="s">
        <v>12</v>
      </c>
      <c r="Q2705" t="s">
        <v>13</v>
      </c>
      <c r="R2705" t="s">
        <v>13</v>
      </c>
      <c r="S2705" t="s">
        <v>144</v>
      </c>
      <c r="T2705" s="2">
        <f>MASTER[[#This Row],[CANTIDAD]]*MASTER[[#This Row],[PRECIO DE VENTA]]</f>
        <v>1048</v>
      </c>
      <c r="U2705" s="2">
        <f>MASTER[[#This Row],[CANTIDAD]]*MASTER[[#This Row],[COSTO UNITARIO]]</f>
        <v>392</v>
      </c>
      <c r="V2705" s="2">
        <f>MASTER[[#This Row],[MONTO VENDIDO]]-MASTER[[#This Row],[COSTO DE VENTA]]</f>
        <v>656</v>
      </c>
    </row>
    <row r="2706" spans="1:22" x14ac:dyDescent="0.3">
      <c r="A2706">
        <v>44715</v>
      </c>
      <c r="B2706">
        <v>1</v>
      </c>
      <c r="C2706" t="s">
        <v>116</v>
      </c>
      <c r="D2706" t="s">
        <v>117</v>
      </c>
      <c r="E2706" s="1">
        <v>44154</v>
      </c>
      <c r="F2706">
        <v>1</v>
      </c>
      <c r="G2706" t="s">
        <v>73</v>
      </c>
      <c r="H2706" t="s">
        <v>74</v>
      </c>
      <c r="I2706" s="3">
        <v>1999</v>
      </c>
      <c r="J2706" s="3">
        <v>1999</v>
      </c>
      <c r="K2706" s="3">
        <v>388</v>
      </c>
      <c r="L2706" t="s">
        <v>113</v>
      </c>
      <c r="M2706">
        <v>13</v>
      </c>
      <c r="N2706" t="s">
        <v>78</v>
      </c>
      <c r="O2706" t="s">
        <v>70</v>
      </c>
      <c r="P2706" t="s">
        <v>18</v>
      </c>
      <c r="Q2706" t="s">
        <v>19</v>
      </c>
      <c r="R2706" t="s">
        <v>138</v>
      </c>
      <c r="S2706" t="s">
        <v>144</v>
      </c>
      <c r="T2706" s="2">
        <f>MASTER[[#This Row],[CANTIDAD]]*MASTER[[#This Row],[PRECIO DE VENTA]]</f>
        <v>1999</v>
      </c>
      <c r="U2706" s="2">
        <f>MASTER[[#This Row],[CANTIDAD]]*MASTER[[#This Row],[COSTO UNITARIO]]</f>
        <v>388</v>
      </c>
      <c r="V2706" s="2">
        <f>MASTER[[#This Row],[MONTO VENDIDO]]-MASTER[[#This Row],[COSTO DE VENTA]]</f>
        <v>1611</v>
      </c>
    </row>
    <row r="2707" spans="1:22" x14ac:dyDescent="0.3">
      <c r="A2707">
        <v>44719</v>
      </c>
      <c r="B2707">
        <v>1</v>
      </c>
      <c r="C2707" t="s">
        <v>109</v>
      </c>
      <c r="D2707" t="s">
        <v>110</v>
      </c>
      <c r="E2707" s="1">
        <v>44154</v>
      </c>
      <c r="F2707">
        <v>1</v>
      </c>
      <c r="G2707" t="s">
        <v>35</v>
      </c>
      <c r="H2707" t="s">
        <v>36</v>
      </c>
      <c r="I2707" s="3">
        <v>1128</v>
      </c>
      <c r="J2707" s="3">
        <v>1128</v>
      </c>
      <c r="K2707" s="3">
        <v>387</v>
      </c>
      <c r="L2707" t="s">
        <v>98</v>
      </c>
      <c r="M2707">
        <v>18</v>
      </c>
      <c r="N2707" t="s">
        <v>79</v>
      </c>
      <c r="O2707" t="s">
        <v>70</v>
      </c>
      <c r="P2707" t="s">
        <v>15</v>
      </c>
      <c r="Q2707" t="s">
        <v>16</v>
      </c>
      <c r="R2707" t="s">
        <v>16</v>
      </c>
      <c r="S2707" t="s">
        <v>144</v>
      </c>
      <c r="T2707" s="2">
        <f>MASTER[[#This Row],[CANTIDAD]]*MASTER[[#This Row],[PRECIO DE VENTA]]</f>
        <v>1128</v>
      </c>
      <c r="U2707" s="2">
        <f>MASTER[[#This Row],[CANTIDAD]]*MASTER[[#This Row],[COSTO UNITARIO]]</f>
        <v>387</v>
      </c>
      <c r="V2707" s="2">
        <f>MASTER[[#This Row],[MONTO VENDIDO]]-MASTER[[#This Row],[COSTO DE VENTA]]</f>
        <v>741</v>
      </c>
    </row>
    <row r="2708" spans="1:22" x14ac:dyDescent="0.3">
      <c r="A2708">
        <v>44728</v>
      </c>
      <c r="B2708">
        <v>1</v>
      </c>
      <c r="C2708" t="s">
        <v>94</v>
      </c>
      <c r="D2708" t="s">
        <v>95</v>
      </c>
      <c r="E2708" s="1">
        <v>44154</v>
      </c>
      <c r="F2708">
        <v>1</v>
      </c>
      <c r="G2708" t="s">
        <v>53</v>
      </c>
      <c r="H2708" t="s">
        <v>54</v>
      </c>
      <c r="I2708" s="3">
        <v>1153</v>
      </c>
      <c r="J2708" s="3">
        <v>1153</v>
      </c>
      <c r="K2708" s="3">
        <v>392</v>
      </c>
      <c r="L2708" t="s">
        <v>9</v>
      </c>
      <c r="M2708">
        <v>9</v>
      </c>
      <c r="N2708" t="s">
        <v>76</v>
      </c>
      <c r="O2708" t="s">
        <v>70</v>
      </c>
      <c r="P2708" t="s">
        <v>12</v>
      </c>
      <c r="Q2708" t="s">
        <v>13</v>
      </c>
      <c r="R2708" t="s">
        <v>13</v>
      </c>
      <c r="S2708" t="s">
        <v>144</v>
      </c>
      <c r="T2708" s="2">
        <f>MASTER[[#This Row],[CANTIDAD]]*MASTER[[#This Row],[PRECIO DE VENTA]]</f>
        <v>1153</v>
      </c>
      <c r="U2708" s="2">
        <f>MASTER[[#This Row],[CANTIDAD]]*MASTER[[#This Row],[COSTO UNITARIO]]</f>
        <v>392</v>
      </c>
      <c r="V2708" s="2">
        <f>MASTER[[#This Row],[MONTO VENDIDO]]-MASTER[[#This Row],[COSTO DE VENTA]]</f>
        <v>761</v>
      </c>
    </row>
    <row r="2709" spans="1:22" x14ac:dyDescent="0.3">
      <c r="A2709">
        <v>44736</v>
      </c>
      <c r="B2709">
        <v>1</v>
      </c>
      <c r="C2709" t="s">
        <v>94</v>
      </c>
      <c r="D2709" t="s">
        <v>95</v>
      </c>
      <c r="E2709" s="1">
        <v>44154</v>
      </c>
      <c r="F2709">
        <v>2</v>
      </c>
      <c r="G2709" t="s">
        <v>35</v>
      </c>
      <c r="H2709" t="s">
        <v>36</v>
      </c>
      <c r="I2709" s="3">
        <v>1048</v>
      </c>
      <c r="J2709" s="3">
        <v>1048</v>
      </c>
      <c r="K2709" s="3">
        <v>392</v>
      </c>
      <c r="L2709" t="s">
        <v>9</v>
      </c>
      <c r="M2709">
        <v>7</v>
      </c>
      <c r="N2709" t="s">
        <v>84</v>
      </c>
      <c r="O2709" t="s">
        <v>81</v>
      </c>
      <c r="P2709" t="s">
        <v>12</v>
      </c>
      <c r="Q2709" t="s">
        <v>13</v>
      </c>
      <c r="R2709" t="s">
        <v>13</v>
      </c>
      <c r="S2709" t="s">
        <v>144</v>
      </c>
      <c r="T2709" s="2">
        <f>MASTER[[#This Row],[CANTIDAD]]*MASTER[[#This Row],[PRECIO DE VENTA]]</f>
        <v>2096</v>
      </c>
      <c r="U2709" s="2">
        <f>MASTER[[#This Row],[CANTIDAD]]*MASTER[[#This Row],[COSTO UNITARIO]]</f>
        <v>784</v>
      </c>
      <c r="V2709" s="2">
        <f>MASTER[[#This Row],[MONTO VENDIDO]]-MASTER[[#This Row],[COSTO DE VENTA]]</f>
        <v>1312</v>
      </c>
    </row>
    <row r="2710" spans="1:22" x14ac:dyDescent="0.3">
      <c r="A2710">
        <v>44763</v>
      </c>
      <c r="B2710">
        <v>1</v>
      </c>
      <c r="C2710" t="s">
        <v>118</v>
      </c>
      <c r="D2710" t="s">
        <v>119</v>
      </c>
      <c r="E2710" s="1">
        <v>44154</v>
      </c>
      <c r="F2710">
        <v>1</v>
      </c>
      <c r="G2710" t="s">
        <v>7</v>
      </c>
      <c r="H2710" t="s">
        <v>8</v>
      </c>
      <c r="I2710" s="3">
        <v>900</v>
      </c>
      <c r="J2710" s="3">
        <v>900</v>
      </c>
      <c r="K2710" s="3">
        <v>424</v>
      </c>
      <c r="L2710" t="s">
        <v>120</v>
      </c>
      <c r="M2710">
        <v>19</v>
      </c>
      <c r="N2710" t="s">
        <v>89</v>
      </c>
      <c r="O2710" t="s">
        <v>81</v>
      </c>
      <c r="P2710" t="s">
        <v>15</v>
      </c>
      <c r="Q2710" t="s">
        <v>16</v>
      </c>
      <c r="R2710" t="s">
        <v>16</v>
      </c>
      <c r="S2710" t="s">
        <v>144</v>
      </c>
      <c r="T2710" s="2">
        <f>MASTER[[#This Row],[CANTIDAD]]*MASTER[[#This Row],[PRECIO DE VENTA]]</f>
        <v>900</v>
      </c>
      <c r="U2710" s="2">
        <f>MASTER[[#This Row],[CANTIDAD]]*MASTER[[#This Row],[COSTO UNITARIO]]</f>
        <v>424</v>
      </c>
      <c r="V2710" s="2">
        <f>MASTER[[#This Row],[MONTO VENDIDO]]-MASTER[[#This Row],[COSTO DE VENTA]]</f>
        <v>476</v>
      </c>
    </row>
    <row r="2711" spans="1:22" x14ac:dyDescent="0.3">
      <c r="A2711">
        <v>44789</v>
      </c>
      <c r="B2711">
        <v>1</v>
      </c>
      <c r="C2711" t="s">
        <v>107</v>
      </c>
      <c r="D2711" t="s">
        <v>108</v>
      </c>
      <c r="E2711" s="1">
        <v>44154</v>
      </c>
      <c r="F2711">
        <v>1</v>
      </c>
      <c r="G2711" t="s">
        <v>51</v>
      </c>
      <c r="H2711" t="s">
        <v>52</v>
      </c>
      <c r="I2711" s="3">
        <v>1333</v>
      </c>
      <c r="J2711" s="3">
        <v>1333</v>
      </c>
      <c r="K2711" s="3">
        <v>380</v>
      </c>
      <c r="L2711" t="s">
        <v>98</v>
      </c>
      <c r="M2711">
        <v>8</v>
      </c>
      <c r="N2711" t="s">
        <v>80</v>
      </c>
      <c r="O2711" t="s">
        <v>81</v>
      </c>
      <c r="P2711" t="s">
        <v>12</v>
      </c>
      <c r="Q2711" t="s">
        <v>13</v>
      </c>
      <c r="R2711" t="s">
        <v>13</v>
      </c>
      <c r="S2711" t="s">
        <v>144</v>
      </c>
      <c r="T2711" s="2">
        <f>MASTER[[#This Row],[CANTIDAD]]*MASTER[[#This Row],[PRECIO DE VENTA]]</f>
        <v>1333</v>
      </c>
      <c r="U2711" s="2">
        <f>MASTER[[#This Row],[CANTIDAD]]*MASTER[[#This Row],[COSTO UNITARIO]]</f>
        <v>380</v>
      </c>
      <c r="V2711" s="2">
        <f>MASTER[[#This Row],[MONTO VENDIDO]]-MASTER[[#This Row],[COSTO DE VENTA]]</f>
        <v>953</v>
      </c>
    </row>
    <row r="2712" spans="1:22" x14ac:dyDescent="0.3">
      <c r="A2712">
        <v>44791</v>
      </c>
      <c r="B2712">
        <v>1</v>
      </c>
      <c r="C2712" t="s">
        <v>5</v>
      </c>
      <c r="D2712" t="s">
        <v>6</v>
      </c>
      <c r="E2712" s="1">
        <v>44154</v>
      </c>
      <c r="F2712">
        <v>1</v>
      </c>
      <c r="G2712" t="s">
        <v>41</v>
      </c>
      <c r="H2712" t="s">
        <v>42</v>
      </c>
      <c r="I2712" s="3">
        <v>1311</v>
      </c>
      <c r="J2712" s="3">
        <v>1311</v>
      </c>
      <c r="K2712" s="3">
        <v>393</v>
      </c>
      <c r="L2712" t="s">
        <v>9</v>
      </c>
      <c r="M2712">
        <v>16</v>
      </c>
      <c r="N2712" t="s">
        <v>17</v>
      </c>
      <c r="O2712" t="s">
        <v>11</v>
      </c>
      <c r="P2712" t="s">
        <v>18</v>
      </c>
      <c r="Q2712" t="s">
        <v>19</v>
      </c>
      <c r="R2712" t="s">
        <v>138</v>
      </c>
      <c r="S2712" t="s">
        <v>144</v>
      </c>
      <c r="T2712" s="2">
        <f>MASTER[[#This Row],[CANTIDAD]]*MASTER[[#This Row],[PRECIO DE VENTA]]</f>
        <v>1311</v>
      </c>
      <c r="U2712" s="2">
        <f>MASTER[[#This Row],[CANTIDAD]]*MASTER[[#This Row],[COSTO UNITARIO]]</f>
        <v>393</v>
      </c>
      <c r="V2712" s="2">
        <f>MASTER[[#This Row],[MONTO VENDIDO]]-MASTER[[#This Row],[COSTO DE VENTA]]</f>
        <v>918</v>
      </c>
    </row>
    <row r="2713" spans="1:22" x14ac:dyDescent="0.3">
      <c r="A2713">
        <v>44803</v>
      </c>
      <c r="B2713">
        <v>1</v>
      </c>
      <c r="C2713" t="s">
        <v>116</v>
      </c>
      <c r="D2713" t="s">
        <v>117</v>
      </c>
      <c r="E2713" s="1">
        <v>44155</v>
      </c>
      <c r="F2713">
        <v>1</v>
      </c>
      <c r="G2713" t="s">
        <v>55</v>
      </c>
      <c r="H2713" t="s">
        <v>56</v>
      </c>
      <c r="I2713" s="3">
        <v>1529</v>
      </c>
      <c r="J2713" s="3">
        <v>1529</v>
      </c>
      <c r="K2713" s="3">
        <v>388</v>
      </c>
      <c r="L2713" t="s">
        <v>113</v>
      </c>
      <c r="M2713">
        <v>17</v>
      </c>
      <c r="N2713" t="s">
        <v>14</v>
      </c>
      <c r="O2713" t="s">
        <v>11</v>
      </c>
      <c r="P2713" t="s">
        <v>15</v>
      </c>
      <c r="Q2713" t="s">
        <v>16</v>
      </c>
      <c r="R2713" t="s">
        <v>16</v>
      </c>
      <c r="S2713" t="s">
        <v>144</v>
      </c>
      <c r="T2713" s="2">
        <f>MASTER[[#This Row],[CANTIDAD]]*MASTER[[#This Row],[PRECIO DE VENTA]]</f>
        <v>1529</v>
      </c>
      <c r="U2713" s="2">
        <f>MASTER[[#This Row],[CANTIDAD]]*MASTER[[#This Row],[COSTO UNITARIO]]</f>
        <v>388</v>
      </c>
      <c r="V2713" s="2">
        <f>MASTER[[#This Row],[MONTO VENDIDO]]-MASTER[[#This Row],[COSTO DE VENTA]]</f>
        <v>1141</v>
      </c>
    </row>
    <row r="2714" spans="1:22" x14ac:dyDescent="0.3">
      <c r="A2714">
        <v>44805</v>
      </c>
      <c r="B2714">
        <v>1</v>
      </c>
      <c r="C2714" t="s">
        <v>105</v>
      </c>
      <c r="D2714" t="s">
        <v>106</v>
      </c>
      <c r="E2714" s="1">
        <v>44155</v>
      </c>
      <c r="F2714">
        <v>4</v>
      </c>
      <c r="G2714" t="s">
        <v>29</v>
      </c>
      <c r="H2714" t="s">
        <v>30</v>
      </c>
      <c r="I2714" s="3">
        <v>1865</v>
      </c>
      <c r="J2714" s="3">
        <v>1865</v>
      </c>
      <c r="K2714" s="3">
        <v>459</v>
      </c>
      <c r="L2714" t="s">
        <v>98</v>
      </c>
      <c r="M2714">
        <v>19</v>
      </c>
      <c r="N2714" t="s">
        <v>89</v>
      </c>
      <c r="O2714" t="s">
        <v>81</v>
      </c>
      <c r="P2714" t="s">
        <v>15</v>
      </c>
      <c r="Q2714" t="s">
        <v>16</v>
      </c>
      <c r="R2714" t="s">
        <v>16</v>
      </c>
      <c r="S2714" t="s">
        <v>144</v>
      </c>
      <c r="T2714" s="2">
        <f>MASTER[[#This Row],[CANTIDAD]]*MASTER[[#This Row],[PRECIO DE VENTA]]</f>
        <v>7460</v>
      </c>
      <c r="U2714" s="2">
        <f>MASTER[[#This Row],[CANTIDAD]]*MASTER[[#This Row],[COSTO UNITARIO]]</f>
        <v>1836</v>
      </c>
      <c r="V2714" s="2">
        <f>MASTER[[#This Row],[MONTO VENDIDO]]-MASTER[[#This Row],[COSTO DE VENTA]]</f>
        <v>5624</v>
      </c>
    </row>
    <row r="2715" spans="1:22" x14ac:dyDescent="0.3">
      <c r="A2715">
        <v>44846</v>
      </c>
      <c r="B2715">
        <v>1</v>
      </c>
      <c r="C2715" t="s">
        <v>99</v>
      </c>
      <c r="D2715" t="s">
        <v>100</v>
      </c>
      <c r="E2715" s="1">
        <v>44155</v>
      </c>
      <c r="F2715">
        <v>1</v>
      </c>
      <c r="G2715" t="s">
        <v>24</v>
      </c>
      <c r="H2715" t="s">
        <v>25</v>
      </c>
      <c r="I2715" s="3">
        <v>1459</v>
      </c>
      <c r="J2715" s="3">
        <v>1459</v>
      </c>
      <c r="K2715" s="3">
        <v>386</v>
      </c>
      <c r="L2715" t="s">
        <v>98</v>
      </c>
      <c r="M2715">
        <v>4</v>
      </c>
      <c r="N2715" t="s">
        <v>82</v>
      </c>
      <c r="O2715" t="s">
        <v>81</v>
      </c>
      <c r="P2715" t="s">
        <v>71</v>
      </c>
      <c r="Q2715" t="s">
        <v>72</v>
      </c>
      <c r="R2715" t="s">
        <v>139</v>
      </c>
      <c r="S2715" t="s">
        <v>144</v>
      </c>
      <c r="T2715" s="2">
        <f>MASTER[[#This Row],[CANTIDAD]]*MASTER[[#This Row],[PRECIO DE VENTA]]</f>
        <v>1459</v>
      </c>
      <c r="U2715" s="2">
        <f>MASTER[[#This Row],[CANTIDAD]]*MASTER[[#This Row],[COSTO UNITARIO]]</f>
        <v>386</v>
      </c>
      <c r="V2715" s="2">
        <f>MASTER[[#This Row],[MONTO VENDIDO]]-MASTER[[#This Row],[COSTO DE VENTA]]</f>
        <v>1073</v>
      </c>
    </row>
    <row r="2716" spans="1:22" x14ac:dyDescent="0.3">
      <c r="A2716">
        <v>44867</v>
      </c>
      <c r="B2716">
        <v>1</v>
      </c>
      <c r="C2716" t="s">
        <v>5</v>
      </c>
      <c r="D2716" t="s">
        <v>6</v>
      </c>
      <c r="E2716" s="1">
        <v>44155</v>
      </c>
      <c r="F2716">
        <v>3</v>
      </c>
      <c r="G2716" t="s">
        <v>73</v>
      </c>
      <c r="H2716" t="s">
        <v>74</v>
      </c>
      <c r="I2716" s="3">
        <v>1296</v>
      </c>
      <c r="J2716" s="3">
        <v>1296</v>
      </c>
      <c r="K2716" s="3">
        <v>393</v>
      </c>
      <c r="L2716" t="s">
        <v>9</v>
      </c>
      <c r="M2716">
        <v>13</v>
      </c>
      <c r="N2716" t="s">
        <v>78</v>
      </c>
      <c r="O2716" t="s">
        <v>70</v>
      </c>
      <c r="P2716" t="s">
        <v>18</v>
      </c>
      <c r="Q2716" t="s">
        <v>19</v>
      </c>
      <c r="R2716" t="s">
        <v>138</v>
      </c>
      <c r="S2716" t="s">
        <v>144</v>
      </c>
      <c r="T2716" s="2">
        <f>MASTER[[#This Row],[CANTIDAD]]*MASTER[[#This Row],[PRECIO DE VENTA]]</f>
        <v>3888</v>
      </c>
      <c r="U2716" s="2">
        <f>MASTER[[#This Row],[CANTIDAD]]*MASTER[[#This Row],[COSTO UNITARIO]]</f>
        <v>1179</v>
      </c>
      <c r="V2716" s="2">
        <f>MASTER[[#This Row],[MONTO VENDIDO]]-MASTER[[#This Row],[COSTO DE VENTA]]</f>
        <v>2709</v>
      </c>
    </row>
    <row r="2717" spans="1:22" x14ac:dyDescent="0.3">
      <c r="A2717">
        <v>44870</v>
      </c>
      <c r="B2717">
        <v>1</v>
      </c>
      <c r="C2717" t="s">
        <v>96</v>
      </c>
      <c r="D2717" t="s">
        <v>97</v>
      </c>
      <c r="E2717" s="1">
        <v>44155</v>
      </c>
      <c r="F2717">
        <v>1</v>
      </c>
      <c r="G2717" t="s">
        <v>22</v>
      </c>
      <c r="H2717" t="s">
        <v>23</v>
      </c>
      <c r="I2717" s="3">
        <v>1272</v>
      </c>
      <c r="J2717" s="3">
        <v>1170</v>
      </c>
      <c r="K2717" s="3">
        <v>397</v>
      </c>
      <c r="L2717" t="s">
        <v>98</v>
      </c>
      <c r="M2717">
        <v>2</v>
      </c>
      <c r="N2717" t="s">
        <v>86</v>
      </c>
      <c r="O2717" t="s">
        <v>81</v>
      </c>
      <c r="P2717" t="s">
        <v>71</v>
      </c>
      <c r="Q2717" t="s">
        <v>72</v>
      </c>
      <c r="R2717" t="s">
        <v>139</v>
      </c>
      <c r="S2717" t="s">
        <v>144</v>
      </c>
      <c r="T2717" s="2">
        <f>MASTER[[#This Row],[CANTIDAD]]*MASTER[[#This Row],[PRECIO DE VENTA]]</f>
        <v>1170</v>
      </c>
      <c r="U2717" s="2">
        <f>MASTER[[#This Row],[CANTIDAD]]*MASTER[[#This Row],[COSTO UNITARIO]]</f>
        <v>397</v>
      </c>
      <c r="V2717" s="2">
        <f>MASTER[[#This Row],[MONTO VENDIDO]]-MASTER[[#This Row],[COSTO DE VENTA]]</f>
        <v>773</v>
      </c>
    </row>
    <row r="2718" spans="1:22" x14ac:dyDescent="0.3">
      <c r="A2718">
        <v>44908</v>
      </c>
      <c r="B2718">
        <v>1</v>
      </c>
      <c r="C2718" t="s">
        <v>103</v>
      </c>
      <c r="D2718" t="s">
        <v>104</v>
      </c>
      <c r="E2718" s="1">
        <v>44155</v>
      </c>
      <c r="F2718">
        <v>1</v>
      </c>
      <c r="G2718" t="s">
        <v>57</v>
      </c>
      <c r="H2718" t="s">
        <v>58</v>
      </c>
      <c r="I2718" s="3">
        <v>1591</v>
      </c>
      <c r="J2718" s="3">
        <v>1591</v>
      </c>
      <c r="K2718" s="3">
        <v>421</v>
      </c>
      <c r="L2718" t="s">
        <v>98</v>
      </c>
      <c r="M2718">
        <v>5</v>
      </c>
      <c r="N2718" t="s">
        <v>85</v>
      </c>
      <c r="O2718" t="s">
        <v>81</v>
      </c>
      <c r="P2718" t="s">
        <v>12</v>
      </c>
      <c r="Q2718" t="s">
        <v>13</v>
      </c>
      <c r="R2718" t="s">
        <v>13</v>
      </c>
      <c r="S2718" t="s">
        <v>144</v>
      </c>
      <c r="T2718" s="2">
        <f>MASTER[[#This Row],[CANTIDAD]]*MASTER[[#This Row],[PRECIO DE VENTA]]</f>
        <v>1591</v>
      </c>
      <c r="U2718" s="2">
        <f>MASTER[[#This Row],[CANTIDAD]]*MASTER[[#This Row],[COSTO UNITARIO]]</f>
        <v>421</v>
      </c>
      <c r="V2718" s="2">
        <f>MASTER[[#This Row],[MONTO VENDIDO]]-MASTER[[#This Row],[COSTO DE VENTA]]</f>
        <v>1170</v>
      </c>
    </row>
    <row r="2719" spans="1:22" x14ac:dyDescent="0.3">
      <c r="A2719">
        <v>44911</v>
      </c>
      <c r="B2719">
        <v>1</v>
      </c>
      <c r="C2719" t="s">
        <v>107</v>
      </c>
      <c r="D2719" t="s">
        <v>108</v>
      </c>
      <c r="E2719" s="1">
        <v>44155</v>
      </c>
      <c r="F2719">
        <v>3</v>
      </c>
      <c r="G2719" t="s">
        <v>20</v>
      </c>
      <c r="H2719" t="s">
        <v>21</v>
      </c>
      <c r="I2719" s="3">
        <v>1240</v>
      </c>
      <c r="J2719" s="3">
        <v>1240</v>
      </c>
      <c r="K2719" s="3">
        <v>380</v>
      </c>
      <c r="L2719" t="s">
        <v>98</v>
      </c>
      <c r="M2719">
        <v>17</v>
      </c>
      <c r="N2719" t="s">
        <v>14</v>
      </c>
      <c r="O2719" t="s">
        <v>11</v>
      </c>
      <c r="P2719" t="s">
        <v>15</v>
      </c>
      <c r="Q2719" t="s">
        <v>16</v>
      </c>
      <c r="R2719" t="s">
        <v>16</v>
      </c>
      <c r="S2719" t="s">
        <v>144</v>
      </c>
      <c r="T2719" s="2">
        <f>MASTER[[#This Row],[CANTIDAD]]*MASTER[[#This Row],[PRECIO DE VENTA]]</f>
        <v>3720</v>
      </c>
      <c r="U2719" s="2">
        <f>MASTER[[#This Row],[CANTIDAD]]*MASTER[[#This Row],[COSTO UNITARIO]]</f>
        <v>1140</v>
      </c>
      <c r="V2719" s="2">
        <f>MASTER[[#This Row],[MONTO VENDIDO]]-MASTER[[#This Row],[COSTO DE VENTA]]</f>
        <v>2580</v>
      </c>
    </row>
    <row r="2720" spans="1:22" x14ac:dyDescent="0.3">
      <c r="A2720">
        <v>44924</v>
      </c>
      <c r="B2720">
        <v>1</v>
      </c>
      <c r="C2720" t="s">
        <v>101</v>
      </c>
      <c r="D2720" t="s">
        <v>102</v>
      </c>
      <c r="E2720" s="1">
        <v>44155</v>
      </c>
      <c r="F2720">
        <v>1</v>
      </c>
      <c r="G2720" t="s">
        <v>7</v>
      </c>
      <c r="H2720" t="s">
        <v>8</v>
      </c>
      <c r="I2720" s="3">
        <v>1212</v>
      </c>
      <c r="J2720" s="3">
        <v>1212</v>
      </c>
      <c r="K2720" s="3">
        <v>442</v>
      </c>
      <c r="L2720" t="s">
        <v>98</v>
      </c>
      <c r="M2720">
        <v>15</v>
      </c>
      <c r="N2720" t="s">
        <v>88</v>
      </c>
      <c r="O2720" t="s">
        <v>81</v>
      </c>
      <c r="P2720" t="s">
        <v>18</v>
      </c>
      <c r="Q2720" t="s">
        <v>19</v>
      </c>
      <c r="R2720" t="s">
        <v>138</v>
      </c>
      <c r="S2720" t="s">
        <v>144</v>
      </c>
      <c r="T2720" s="2">
        <f>MASTER[[#This Row],[CANTIDAD]]*MASTER[[#This Row],[PRECIO DE VENTA]]</f>
        <v>1212</v>
      </c>
      <c r="U2720" s="2">
        <f>MASTER[[#This Row],[CANTIDAD]]*MASTER[[#This Row],[COSTO UNITARIO]]</f>
        <v>442</v>
      </c>
      <c r="V2720" s="2">
        <f>MASTER[[#This Row],[MONTO VENDIDO]]-MASTER[[#This Row],[COSTO DE VENTA]]</f>
        <v>770</v>
      </c>
    </row>
    <row r="2721" spans="1:22" x14ac:dyDescent="0.3">
      <c r="A2721">
        <v>44948</v>
      </c>
      <c r="B2721">
        <v>1</v>
      </c>
      <c r="C2721" t="s">
        <v>94</v>
      </c>
      <c r="D2721" t="s">
        <v>95</v>
      </c>
      <c r="E2721" s="1">
        <v>44155</v>
      </c>
      <c r="F2721">
        <v>1</v>
      </c>
      <c r="G2721" t="s">
        <v>31</v>
      </c>
      <c r="H2721" t="s">
        <v>32</v>
      </c>
      <c r="I2721" s="3">
        <v>1153</v>
      </c>
      <c r="J2721" s="3">
        <v>1153</v>
      </c>
      <c r="K2721" s="3">
        <v>392</v>
      </c>
      <c r="L2721" t="s">
        <v>9</v>
      </c>
      <c r="M2721">
        <v>13</v>
      </c>
      <c r="N2721" t="s">
        <v>78</v>
      </c>
      <c r="O2721" t="s">
        <v>70</v>
      </c>
      <c r="P2721" t="s">
        <v>18</v>
      </c>
      <c r="Q2721" t="s">
        <v>19</v>
      </c>
      <c r="R2721" t="s">
        <v>138</v>
      </c>
      <c r="S2721" t="s">
        <v>144</v>
      </c>
      <c r="T2721" s="2">
        <f>MASTER[[#This Row],[CANTIDAD]]*MASTER[[#This Row],[PRECIO DE VENTA]]</f>
        <v>1153</v>
      </c>
      <c r="U2721" s="2">
        <f>MASTER[[#This Row],[CANTIDAD]]*MASTER[[#This Row],[COSTO UNITARIO]]</f>
        <v>392</v>
      </c>
      <c r="V2721" s="2">
        <f>MASTER[[#This Row],[MONTO VENDIDO]]-MASTER[[#This Row],[COSTO DE VENTA]]</f>
        <v>761</v>
      </c>
    </row>
    <row r="2722" spans="1:22" x14ac:dyDescent="0.3">
      <c r="A2722">
        <v>44967</v>
      </c>
      <c r="B2722">
        <v>1</v>
      </c>
      <c r="C2722" t="s">
        <v>103</v>
      </c>
      <c r="D2722" t="s">
        <v>104</v>
      </c>
      <c r="E2722" s="1">
        <v>44155</v>
      </c>
      <c r="F2722">
        <v>1</v>
      </c>
      <c r="G2722" t="s">
        <v>20</v>
      </c>
      <c r="H2722" t="s">
        <v>21</v>
      </c>
      <c r="I2722" s="3">
        <v>1830</v>
      </c>
      <c r="J2722" s="3">
        <v>1830</v>
      </c>
      <c r="K2722" s="3">
        <v>421</v>
      </c>
      <c r="L2722" t="s">
        <v>98</v>
      </c>
      <c r="M2722">
        <v>1</v>
      </c>
      <c r="N2722" t="s">
        <v>77</v>
      </c>
      <c r="O2722" t="s">
        <v>70</v>
      </c>
      <c r="P2722" t="s">
        <v>71</v>
      </c>
      <c r="Q2722" t="s">
        <v>72</v>
      </c>
      <c r="R2722" t="s">
        <v>139</v>
      </c>
      <c r="S2722" t="s">
        <v>144</v>
      </c>
      <c r="T2722" s="2">
        <f>MASTER[[#This Row],[CANTIDAD]]*MASTER[[#This Row],[PRECIO DE VENTA]]</f>
        <v>1830</v>
      </c>
      <c r="U2722" s="2">
        <f>MASTER[[#This Row],[CANTIDAD]]*MASTER[[#This Row],[COSTO UNITARIO]]</f>
        <v>421</v>
      </c>
      <c r="V2722" s="2">
        <f>MASTER[[#This Row],[MONTO VENDIDO]]-MASTER[[#This Row],[COSTO DE VENTA]]</f>
        <v>1409</v>
      </c>
    </row>
    <row r="2723" spans="1:22" x14ac:dyDescent="0.3">
      <c r="A2723">
        <v>44968</v>
      </c>
      <c r="B2723">
        <v>1</v>
      </c>
      <c r="C2723" t="s">
        <v>94</v>
      </c>
      <c r="D2723" t="s">
        <v>95</v>
      </c>
      <c r="E2723" s="1">
        <v>44155</v>
      </c>
      <c r="F2723">
        <v>1</v>
      </c>
      <c r="G2723" t="s">
        <v>24</v>
      </c>
      <c r="H2723" t="s">
        <v>25</v>
      </c>
      <c r="I2723" s="3">
        <v>1153</v>
      </c>
      <c r="J2723" s="3">
        <v>1153</v>
      </c>
      <c r="K2723" s="3">
        <v>392</v>
      </c>
      <c r="L2723" t="s">
        <v>9</v>
      </c>
      <c r="M2723">
        <v>18</v>
      </c>
      <c r="N2723" t="s">
        <v>79</v>
      </c>
      <c r="O2723" t="s">
        <v>70</v>
      </c>
      <c r="P2723" t="s">
        <v>15</v>
      </c>
      <c r="Q2723" t="s">
        <v>16</v>
      </c>
      <c r="R2723" t="s">
        <v>16</v>
      </c>
      <c r="S2723" t="s">
        <v>144</v>
      </c>
      <c r="T2723" s="2">
        <f>MASTER[[#This Row],[CANTIDAD]]*MASTER[[#This Row],[PRECIO DE VENTA]]</f>
        <v>1153</v>
      </c>
      <c r="U2723" s="2">
        <f>MASTER[[#This Row],[CANTIDAD]]*MASTER[[#This Row],[COSTO UNITARIO]]</f>
        <v>392</v>
      </c>
      <c r="V2723" s="2">
        <f>MASTER[[#This Row],[MONTO VENDIDO]]-MASTER[[#This Row],[COSTO DE VENTA]]</f>
        <v>761</v>
      </c>
    </row>
    <row r="2724" spans="1:22" x14ac:dyDescent="0.3">
      <c r="A2724">
        <v>44984</v>
      </c>
      <c r="B2724">
        <v>1</v>
      </c>
      <c r="C2724" t="s">
        <v>99</v>
      </c>
      <c r="D2724" t="s">
        <v>100</v>
      </c>
      <c r="E2724" s="1">
        <v>44155</v>
      </c>
      <c r="F2724">
        <v>2</v>
      </c>
      <c r="G2724" t="s">
        <v>61</v>
      </c>
      <c r="H2724" t="s">
        <v>62</v>
      </c>
      <c r="I2724" s="3">
        <v>1459</v>
      </c>
      <c r="J2724" s="3">
        <v>1459</v>
      </c>
      <c r="K2724" s="3">
        <v>386</v>
      </c>
      <c r="L2724" t="s">
        <v>98</v>
      </c>
      <c r="M2724">
        <v>4</v>
      </c>
      <c r="N2724" t="s">
        <v>82</v>
      </c>
      <c r="O2724" t="s">
        <v>81</v>
      </c>
      <c r="P2724" t="s">
        <v>71</v>
      </c>
      <c r="Q2724" t="s">
        <v>72</v>
      </c>
      <c r="R2724" t="s">
        <v>139</v>
      </c>
      <c r="S2724" t="s">
        <v>144</v>
      </c>
      <c r="T2724" s="2">
        <f>MASTER[[#This Row],[CANTIDAD]]*MASTER[[#This Row],[PRECIO DE VENTA]]</f>
        <v>2918</v>
      </c>
      <c r="U2724" s="2">
        <f>MASTER[[#This Row],[CANTIDAD]]*MASTER[[#This Row],[COSTO UNITARIO]]</f>
        <v>772</v>
      </c>
      <c r="V2724" s="2">
        <f>MASTER[[#This Row],[MONTO VENDIDO]]-MASTER[[#This Row],[COSTO DE VENTA]]</f>
        <v>2146</v>
      </c>
    </row>
    <row r="2725" spans="1:22" x14ac:dyDescent="0.3">
      <c r="A2725">
        <v>44990</v>
      </c>
      <c r="B2725">
        <v>1</v>
      </c>
      <c r="C2725" t="s">
        <v>94</v>
      </c>
      <c r="D2725" t="s">
        <v>95</v>
      </c>
      <c r="E2725" s="1">
        <v>44156</v>
      </c>
      <c r="F2725">
        <v>3</v>
      </c>
      <c r="G2725" t="s">
        <v>59</v>
      </c>
      <c r="H2725" t="s">
        <v>60</v>
      </c>
      <c r="I2725" s="3">
        <v>901</v>
      </c>
      <c r="J2725" s="3">
        <v>864</v>
      </c>
      <c r="K2725" s="3">
        <v>392</v>
      </c>
      <c r="L2725" t="s">
        <v>9</v>
      </c>
      <c r="M2725">
        <v>16</v>
      </c>
      <c r="N2725" t="s">
        <v>17</v>
      </c>
      <c r="O2725" t="s">
        <v>11</v>
      </c>
      <c r="P2725" t="s">
        <v>18</v>
      </c>
      <c r="Q2725" t="s">
        <v>19</v>
      </c>
      <c r="R2725" t="s">
        <v>138</v>
      </c>
      <c r="S2725" t="s">
        <v>144</v>
      </c>
      <c r="T2725" s="2">
        <f>MASTER[[#This Row],[CANTIDAD]]*MASTER[[#This Row],[PRECIO DE VENTA]]</f>
        <v>2592</v>
      </c>
      <c r="U2725" s="2">
        <f>MASTER[[#This Row],[CANTIDAD]]*MASTER[[#This Row],[COSTO UNITARIO]]</f>
        <v>1176</v>
      </c>
      <c r="V2725" s="2">
        <f>MASTER[[#This Row],[MONTO VENDIDO]]-MASTER[[#This Row],[COSTO DE VENTA]]</f>
        <v>1416</v>
      </c>
    </row>
    <row r="2726" spans="1:22" x14ac:dyDescent="0.3">
      <c r="A2726">
        <v>45002</v>
      </c>
      <c r="B2726">
        <v>1</v>
      </c>
      <c r="C2726" t="s">
        <v>114</v>
      </c>
      <c r="D2726" t="s">
        <v>115</v>
      </c>
      <c r="E2726" s="1">
        <v>44156</v>
      </c>
      <c r="F2726">
        <v>1</v>
      </c>
      <c r="G2726" t="s">
        <v>20</v>
      </c>
      <c r="H2726" t="s">
        <v>21</v>
      </c>
      <c r="I2726" s="3">
        <v>1862</v>
      </c>
      <c r="J2726" s="3">
        <v>1862</v>
      </c>
      <c r="K2726" s="3">
        <v>394</v>
      </c>
      <c r="L2726" t="s">
        <v>113</v>
      </c>
      <c r="M2726">
        <v>7</v>
      </c>
      <c r="N2726" t="s">
        <v>84</v>
      </c>
      <c r="O2726" t="s">
        <v>81</v>
      </c>
      <c r="P2726" t="s">
        <v>12</v>
      </c>
      <c r="Q2726" t="s">
        <v>13</v>
      </c>
      <c r="R2726" t="s">
        <v>13</v>
      </c>
      <c r="S2726" t="s">
        <v>144</v>
      </c>
      <c r="T2726" s="2">
        <f>MASTER[[#This Row],[CANTIDAD]]*MASTER[[#This Row],[PRECIO DE VENTA]]</f>
        <v>1862</v>
      </c>
      <c r="U2726" s="2">
        <f>MASTER[[#This Row],[CANTIDAD]]*MASTER[[#This Row],[COSTO UNITARIO]]</f>
        <v>394</v>
      </c>
      <c r="V2726" s="2">
        <f>MASTER[[#This Row],[MONTO VENDIDO]]-MASTER[[#This Row],[COSTO DE VENTA]]</f>
        <v>1468</v>
      </c>
    </row>
    <row r="2727" spans="1:22" x14ac:dyDescent="0.3">
      <c r="A2727">
        <v>45022</v>
      </c>
      <c r="B2727">
        <v>1</v>
      </c>
      <c r="C2727" t="s">
        <v>103</v>
      </c>
      <c r="D2727" t="s">
        <v>104</v>
      </c>
      <c r="E2727" s="1">
        <v>44156</v>
      </c>
      <c r="F2727">
        <v>1</v>
      </c>
      <c r="G2727" t="s">
        <v>7</v>
      </c>
      <c r="H2727" t="s">
        <v>8</v>
      </c>
      <c r="I2727" s="3">
        <v>1830</v>
      </c>
      <c r="J2727" s="3">
        <v>1830</v>
      </c>
      <c r="K2727" s="3">
        <v>421</v>
      </c>
      <c r="L2727" t="s">
        <v>98</v>
      </c>
      <c r="M2727">
        <v>1</v>
      </c>
      <c r="N2727" t="s">
        <v>77</v>
      </c>
      <c r="O2727" t="s">
        <v>70</v>
      </c>
      <c r="P2727" t="s">
        <v>71</v>
      </c>
      <c r="Q2727" t="s">
        <v>72</v>
      </c>
      <c r="R2727" t="s">
        <v>139</v>
      </c>
      <c r="S2727" t="s">
        <v>144</v>
      </c>
      <c r="T2727" s="2">
        <f>MASTER[[#This Row],[CANTIDAD]]*MASTER[[#This Row],[PRECIO DE VENTA]]</f>
        <v>1830</v>
      </c>
      <c r="U2727" s="2">
        <f>MASTER[[#This Row],[CANTIDAD]]*MASTER[[#This Row],[COSTO UNITARIO]]</f>
        <v>421</v>
      </c>
      <c r="V2727" s="2">
        <f>MASTER[[#This Row],[MONTO VENDIDO]]-MASTER[[#This Row],[COSTO DE VENTA]]</f>
        <v>1409</v>
      </c>
    </row>
    <row r="2728" spans="1:22" x14ac:dyDescent="0.3">
      <c r="A2728">
        <v>45032</v>
      </c>
      <c r="B2728">
        <v>1</v>
      </c>
      <c r="C2728" t="s">
        <v>107</v>
      </c>
      <c r="D2728" t="s">
        <v>108</v>
      </c>
      <c r="E2728" s="1">
        <v>44156</v>
      </c>
      <c r="F2728">
        <v>1</v>
      </c>
      <c r="G2728" t="s">
        <v>7</v>
      </c>
      <c r="H2728" t="s">
        <v>8</v>
      </c>
      <c r="I2728" s="3">
        <v>1440</v>
      </c>
      <c r="J2728" s="3">
        <v>1440</v>
      </c>
      <c r="K2728" s="3">
        <v>380</v>
      </c>
      <c r="L2728" t="s">
        <v>98</v>
      </c>
      <c r="M2728">
        <v>6</v>
      </c>
      <c r="N2728" t="s">
        <v>75</v>
      </c>
      <c r="O2728" t="s">
        <v>70</v>
      </c>
      <c r="P2728" t="s">
        <v>12</v>
      </c>
      <c r="Q2728" t="s">
        <v>13</v>
      </c>
      <c r="R2728" t="s">
        <v>13</v>
      </c>
      <c r="S2728" t="s">
        <v>144</v>
      </c>
      <c r="T2728" s="2">
        <f>MASTER[[#This Row],[CANTIDAD]]*MASTER[[#This Row],[PRECIO DE VENTA]]</f>
        <v>1440</v>
      </c>
      <c r="U2728" s="2">
        <f>MASTER[[#This Row],[CANTIDAD]]*MASTER[[#This Row],[COSTO UNITARIO]]</f>
        <v>380</v>
      </c>
      <c r="V2728" s="2">
        <f>MASTER[[#This Row],[MONTO VENDIDO]]-MASTER[[#This Row],[COSTO DE VENTA]]</f>
        <v>1060</v>
      </c>
    </row>
    <row r="2729" spans="1:22" x14ac:dyDescent="0.3">
      <c r="A2729">
        <v>45071</v>
      </c>
      <c r="B2729">
        <v>1</v>
      </c>
      <c r="C2729" t="s">
        <v>105</v>
      </c>
      <c r="D2729" t="s">
        <v>106</v>
      </c>
      <c r="E2729" s="1">
        <v>44156</v>
      </c>
      <c r="F2729">
        <v>1</v>
      </c>
      <c r="G2729" t="s">
        <v>53</v>
      </c>
      <c r="H2729" t="s">
        <v>54</v>
      </c>
      <c r="I2729" s="3">
        <v>1585</v>
      </c>
      <c r="J2729" s="3">
        <v>1585</v>
      </c>
      <c r="K2729" s="3">
        <v>459</v>
      </c>
      <c r="L2729" t="s">
        <v>98</v>
      </c>
      <c r="M2729">
        <v>12</v>
      </c>
      <c r="N2729" t="s">
        <v>26</v>
      </c>
      <c r="O2729" t="s">
        <v>11</v>
      </c>
      <c r="P2729" t="s">
        <v>12</v>
      </c>
      <c r="Q2729" t="s">
        <v>13</v>
      </c>
      <c r="R2729" t="s">
        <v>13</v>
      </c>
      <c r="S2729" t="s">
        <v>144</v>
      </c>
      <c r="T2729" s="2">
        <f>MASTER[[#This Row],[CANTIDAD]]*MASTER[[#This Row],[PRECIO DE VENTA]]</f>
        <v>1585</v>
      </c>
      <c r="U2729" s="2">
        <f>MASTER[[#This Row],[CANTIDAD]]*MASTER[[#This Row],[COSTO UNITARIO]]</f>
        <v>459</v>
      </c>
      <c r="V2729" s="2">
        <f>MASTER[[#This Row],[MONTO VENDIDO]]-MASTER[[#This Row],[COSTO DE VENTA]]</f>
        <v>1126</v>
      </c>
    </row>
    <row r="2730" spans="1:22" x14ac:dyDescent="0.3">
      <c r="A2730">
        <v>45076</v>
      </c>
      <c r="B2730">
        <v>2</v>
      </c>
      <c r="C2730" t="s">
        <v>114</v>
      </c>
      <c r="D2730" t="s">
        <v>115</v>
      </c>
      <c r="E2730" s="1">
        <v>44156</v>
      </c>
      <c r="F2730">
        <v>1</v>
      </c>
      <c r="G2730" t="s">
        <v>29</v>
      </c>
      <c r="H2730" t="s">
        <v>30</v>
      </c>
      <c r="I2730" s="3">
        <v>1862</v>
      </c>
      <c r="J2730" s="3">
        <v>1862</v>
      </c>
      <c r="K2730" s="3">
        <v>394</v>
      </c>
      <c r="L2730" t="s">
        <v>113</v>
      </c>
      <c r="M2730">
        <v>15</v>
      </c>
      <c r="N2730" t="s">
        <v>88</v>
      </c>
      <c r="O2730" t="s">
        <v>81</v>
      </c>
      <c r="P2730" t="s">
        <v>18</v>
      </c>
      <c r="Q2730" t="s">
        <v>19</v>
      </c>
      <c r="R2730" t="s">
        <v>138</v>
      </c>
      <c r="S2730" t="s">
        <v>144</v>
      </c>
      <c r="T2730" s="2">
        <f>MASTER[[#This Row],[CANTIDAD]]*MASTER[[#This Row],[PRECIO DE VENTA]]</f>
        <v>1862</v>
      </c>
      <c r="U2730" s="2">
        <f>MASTER[[#This Row],[CANTIDAD]]*MASTER[[#This Row],[COSTO UNITARIO]]</f>
        <v>394</v>
      </c>
      <c r="V2730" s="2">
        <f>MASTER[[#This Row],[MONTO VENDIDO]]-MASTER[[#This Row],[COSTO DE VENTA]]</f>
        <v>1468</v>
      </c>
    </row>
    <row r="2731" spans="1:22" x14ac:dyDescent="0.3">
      <c r="A2731">
        <v>45076</v>
      </c>
      <c r="B2731">
        <v>1</v>
      </c>
      <c r="C2731" t="s">
        <v>118</v>
      </c>
      <c r="D2731" t="s">
        <v>119</v>
      </c>
      <c r="E2731" s="1">
        <v>44156</v>
      </c>
      <c r="F2731">
        <v>1</v>
      </c>
      <c r="G2731" t="s">
        <v>55</v>
      </c>
      <c r="H2731" t="s">
        <v>56</v>
      </c>
      <c r="I2731" s="3">
        <v>900</v>
      </c>
      <c r="J2731" s="3">
        <v>900</v>
      </c>
      <c r="K2731" s="3">
        <v>424</v>
      </c>
      <c r="L2731" t="s">
        <v>120</v>
      </c>
      <c r="M2731">
        <v>15</v>
      </c>
      <c r="N2731" t="s">
        <v>88</v>
      </c>
      <c r="O2731" t="s">
        <v>81</v>
      </c>
      <c r="P2731" t="s">
        <v>18</v>
      </c>
      <c r="Q2731" t="s">
        <v>19</v>
      </c>
      <c r="R2731" t="s">
        <v>138</v>
      </c>
      <c r="S2731" t="s">
        <v>144</v>
      </c>
      <c r="T2731" s="2">
        <f>MASTER[[#This Row],[CANTIDAD]]*MASTER[[#This Row],[PRECIO DE VENTA]]</f>
        <v>900</v>
      </c>
      <c r="U2731" s="2">
        <f>MASTER[[#This Row],[CANTIDAD]]*MASTER[[#This Row],[COSTO UNITARIO]]</f>
        <v>424</v>
      </c>
      <c r="V2731" s="2">
        <f>MASTER[[#This Row],[MONTO VENDIDO]]-MASTER[[#This Row],[COSTO DE VENTA]]</f>
        <v>476</v>
      </c>
    </row>
    <row r="2732" spans="1:22" x14ac:dyDescent="0.3">
      <c r="A2732">
        <v>45087</v>
      </c>
      <c r="B2732">
        <v>1</v>
      </c>
      <c r="C2732" t="s">
        <v>118</v>
      </c>
      <c r="D2732" t="s">
        <v>119</v>
      </c>
      <c r="E2732" s="1">
        <v>44156</v>
      </c>
      <c r="F2732">
        <v>1</v>
      </c>
      <c r="G2732" t="s">
        <v>51</v>
      </c>
      <c r="H2732" t="s">
        <v>52</v>
      </c>
      <c r="I2732" s="3">
        <v>900</v>
      </c>
      <c r="J2732" s="3">
        <v>864</v>
      </c>
      <c r="K2732" s="3">
        <v>424</v>
      </c>
      <c r="L2732" t="s">
        <v>120</v>
      </c>
      <c r="M2732">
        <v>10</v>
      </c>
      <c r="N2732" t="s">
        <v>83</v>
      </c>
      <c r="O2732" t="s">
        <v>81</v>
      </c>
      <c r="P2732" t="s">
        <v>12</v>
      </c>
      <c r="Q2732" t="s">
        <v>13</v>
      </c>
      <c r="R2732" t="s">
        <v>13</v>
      </c>
      <c r="S2732" t="s">
        <v>144</v>
      </c>
      <c r="T2732" s="2">
        <f>MASTER[[#This Row],[CANTIDAD]]*MASTER[[#This Row],[PRECIO DE VENTA]]</f>
        <v>864</v>
      </c>
      <c r="U2732" s="2">
        <f>MASTER[[#This Row],[CANTIDAD]]*MASTER[[#This Row],[COSTO UNITARIO]]</f>
        <v>424</v>
      </c>
      <c r="V2732" s="2">
        <f>MASTER[[#This Row],[MONTO VENDIDO]]-MASTER[[#This Row],[COSTO DE VENTA]]</f>
        <v>440</v>
      </c>
    </row>
    <row r="2733" spans="1:22" x14ac:dyDescent="0.3">
      <c r="A2733">
        <v>45088</v>
      </c>
      <c r="B2733">
        <v>1</v>
      </c>
      <c r="C2733" t="s">
        <v>94</v>
      </c>
      <c r="D2733" t="s">
        <v>95</v>
      </c>
      <c r="E2733" s="1">
        <v>44157</v>
      </c>
      <c r="F2733">
        <v>1</v>
      </c>
      <c r="G2733" t="s">
        <v>67</v>
      </c>
      <c r="H2733" t="s">
        <v>68</v>
      </c>
      <c r="I2733" s="3">
        <v>901</v>
      </c>
      <c r="J2733" s="3">
        <v>901</v>
      </c>
      <c r="K2733" s="3">
        <v>392</v>
      </c>
      <c r="L2733" t="s">
        <v>9</v>
      </c>
      <c r="M2733">
        <v>11</v>
      </c>
      <c r="N2733" t="s">
        <v>10</v>
      </c>
      <c r="O2733" t="s">
        <v>11</v>
      </c>
      <c r="P2733" t="s">
        <v>12</v>
      </c>
      <c r="Q2733" t="s">
        <v>13</v>
      </c>
      <c r="R2733" t="s">
        <v>13</v>
      </c>
      <c r="S2733" t="s">
        <v>144</v>
      </c>
      <c r="T2733" s="2">
        <f>MASTER[[#This Row],[CANTIDAD]]*MASTER[[#This Row],[PRECIO DE VENTA]]</f>
        <v>901</v>
      </c>
      <c r="U2733" s="2">
        <f>MASTER[[#This Row],[CANTIDAD]]*MASTER[[#This Row],[COSTO UNITARIO]]</f>
        <v>392</v>
      </c>
      <c r="V2733" s="2">
        <f>MASTER[[#This Row],[MONTO VENDIDO]]-MASTER[[#This Row],[COSTO DE VENTA]]</f>
        <v>509</v>
      </c>
    </row>
    <row r="2734" spans="1:22" x14ac:dyDescent="0.3">
      <c r="A2734">
        <v>45121</v>
      </c>
      <c r="B2734">
        <v>1</v>
      </c>
      <c r="C2734" t="s">
        <v>99</v>
      </c>
      <c r="D2734" t="s">
        <v>100</v>
      </c>
      <c r="E2734" s="1">
        <v>44157</v>
      </c>
      <c r="F2734">
        <v>1</v>
      </c>
      <c r="G2734" t="s">
        <v>29</v>
      </c>
      <c r="H2734" t="s">
        <v>30</v>
      </c>
      <c r="I2734" s="3">
        <v>1459</v>
      </c>
      <c r="J2734" s="3">
        <v>1459</v>
      </c>
      <c r="K2734" s="3">
        <v>386</v>
      </c>
      <c r="L2734" t="s">
        <v>98</v>
      </c>
      <c r="M2734">
        <v>19</v>
      </c>
      <c r="N2734" t="s">
        <v>89</v>
      </c>
      <c r="O2734" t="s">
        <v>81</v>
      </c>
      <c r="P2734" t="s">
        <v>15</v>
      </c>
      <c r="Q2734" t="s">
        <v>16</v>
      </c>
      <c r="R2734" t="s">
        <v>16</v>
      </c>
      <c r="S2734" t="s">
        <v>144</v>
      </c>
      <c r="T2734" s="2">
        <f>MASTER[[#This Row],[CANTIDAD]]*MASTER[[#This Row],[PRECIO DE VENTA]]</f>
        <v>1459</v>
      </c>
      <c r="U2734" s="2">
        <f>MASTER[[#This Row],[CANTIDAD]]*MASTER[[#This Row],[COSTO UNITARIO]]</f>
        <v>386</v>
      </c>
      <c r="V2734" s="2">
        <f>MASTER[[#This Row],[MONTO VENDIDO]]-MASTER[[#This Row],[COSTO DE VENTA]]</f>
        <v>1073</v>
      </c>
    </row>
    <row r="2735" spans="1:22" x14ac:dyDescent="0.3">
      <c r="A2735">
        <v>45128</v>
      </c>
      <c r="B2735">
        <v>1</v>
      </c>
      <c r="C2735" t="s">
        <v>5</v>
      </c>
      <c r="D2735" t="s">
        <v>6</v>
      </c>
      <c r="E2735" s="1">
        <v>44157</v>
      </c>
      <c r="F2735">
        <v>1</v>
      </c>
      <c r="G2735" t="s">
        <v>39</v>
      </c>
      <c r="H2735" t="s">
        <v>40</v>
      </c>
      <c r="I2735" s="3">
        <v>1296</v>
      </c>
      <c r="J2735" s="3">
        <v>1296</v>
      </c>
      <c r="K2735" s="3">
        <v>393</v>
      </c>
      <c r="L2735" t="s">
        <v>9</v>
      </c>
      <c r="M2735">
        <v>13</v>
      </c>
      <c r="N2735" t="s">
        <v>78</v>
      </c>
      <c r="O2735" t="s">
        <v>70</v>
      </c>
      <c r="P2735" t="s">
        <v>18</v>
      </c>
      <c r="Q2735" t="s">
        <v>19</v>
      </c>
      <c r="R2735" t="s">
        <v>138</v>
      </c>
      <c r="S2735" t="s">
        <v>144</v>
      </c>
      <c r="T2735" s="2">
        <f>MASTER[[#This Row],[CANTIDAD]]*MASTER[[#This Row],[PRECIO DE VENTA]]</f>
        <v>1296</v>
      </c>
      <c r="U2735" s="2">
        <f>MASTER[[#This Row],[CANTIDAD]]*MASTER[[#This Row],[COSTO UNITARIO]]</f>
        <v>393</v>
      </c>
      <c r="V2735" s="2">
        <f>MASTER[[#This Row],[MONTO VENDIDO]]-MASTER[[#This Row],[COSTO DE VENTA]]</f>
        <v>903</v>
      </c>
    </row>
    <row r="2736" spans="1:22" x14ac:dyDescent="0.3">
      <c r="A2736">
        <v>45145</v>
      </c>
      <c r="B2736">
        <v>1</v>
      </c>
      <c r="C2736" t="s">
        <v>92</v>
      </c>
      <c r="D2736" t="s">
        <v>93</v>
      </c>
      <c r="E2736" s="1">
        <v>44157</v>
      </c>
      <c r="F2736">
        <v>1</v>
      </c>
      <c r="G2736" t="s">
        <v>24</v>
      </c>
      <c r="H2736" t="s">
        <v>25</v>
      </c>
      <c r="I2736" s="3">
        <v>1681</v>
      </c>
      <c r="J2736" s="3">
        <v>1681</v>
      </c>
      <c r="K2736" s="3">
        <v>396</v>
      </c>
      <c r="L2736" t="s">
        <v>9</v>
      </c>
      <c r="M2736">
        <v>7</v>
      </c>
      <c r="N2736" t="s">
        <v>84</v>
      </c>
      <c r="O2736" t="s">
        <v>81</v>
      </c>
      <c r="P2736" t="s">
        <v>12</v>
      </c>
      <c r="Q2736" t="s">
        <v>13</v>
      </c>
      <c r="R2736" t="s">
        <v>13</v>
      </c>
      <c r="S2736" t="s">
        <v>144</v>
      </c>
      <c r="T2736" s="2">
        <f>MASTER[[#This Row],[CANTIDAD]]*MASTER[[#This Row],[PRECIO DE VENTA]]</f>
        <v>1681</v>
      </c>
      <c r="U2736" s="2">
        <f>MASTER[[#This Row],[CANTIDAD]]*MASTER[[#This Row],[COSTO UNITARIO]]</f>
        <v>396</v>
      </c>
      <c r="V2736" s="2">
        <f>MASTER[[#This Row],[MONTO VENDIDO]]-MASTER[[#This Row],[COSTO DE VENTA]]</f>
        <v>1285</v>
      </c>
    </row>
    <row r="2737" spans="1:22" x14ac:dyDescent="0.3">
      <c r="A2737">
        <v>45148</v>
      </c>
      <c r="B2737">
        <v>1</v>
      </c>
      <c r="C2737" t="s">
        <v>90</v>
      </c>
      <c r="D2737" t="s">
        <v>91</v>
      </c>
      <c r="E2737" s="1">
        <v>44157</v>
      </c>
      <c r="F2737">
        <v>3</v>
      </c>
      <c r="G2737" t="s">
        <v>33</v>
      </c>
      <c r="H2737" t="s">
        <v>34</v>
      </c>
      <c r="I2737" s="3">
        <v>1660</v>
      </c>
      <c r="J2737" s="3">
        <v>1527</v>
      </c>
      <c r="K2737" s="3">
        <v>420</v>
      </c>
      <c r="L2737" t="s">
        <v>9</v>
      </c>
      <c r="M2737">
        <v>12</v>
      </c>
      <c r="N2737" t="s">
        <v>26</v>
      </c>
      <c r="O2737" t="s">
        <v>11</v>
      </c>
      <c r="P2737" t="s">
        <v>12</v>
      </c>
      <c r="Q2737" t="s">
        <v>13</v>
      </c>
      <c r="R2737" t="s">
        <v>13</v>
      </c>
      <c r="S2737" t="s">
        <v>144</v>
      </c>
      <c r="T2737" s="2">
        <f>MASTER[[#This Row],[CANTIDAD]]*MASTER[[#This Row],[PRECIO DE VENTA]]</f>
        <v>4581</v>
      </c>
      <c r="U2737" s="2">
        <f>MASTER[[#This Row],[CANTIDAD]]*MASTER[[#This Row],[COSTO UNITARIO]]</f>
        <v>1260</v>
      </c>
      <c r="V2737" s="2">
        <f>MASTER[[#This Row],[MONTO VENDIDO]]-MASTER[[#This Row],[COSTO DE VENTA]]</f>
        <v>3321</v>
      </c>
    </row>
    <row r="2738" spans="1:22" x14ac:dyDescent="0.3">
      <c r="A2738">
        <v>45155</v>
      </c>
      <c r="B2738">
        <v>1</v>
      </c>
      <c r="C2738" t="s">
        <v>111</v>
      </c>
      <c r="D2738" t="s">
        <v>112</v>
      </c>
      <c r="E2738" s="1">
        <v>44158</v>
      </c>
      <c r="F2738">
        <v>1</v>
      </c>
      <c r="G2738" t="s">
        <v>49</v>
      </c>
      <c r="H2738" t="s">
        <v>50</v>
      </c>
      <c r="I2738" s="3">
        <v>1524</v>
      </c>
      <c r="J2738" s="3">
        <v>1524</v>
      </c>
      <c r="K2738" s="3">
        <v>434</v>
      </c>
      <c r="L2738" t="s">
        <v>113</v>
      </c>
      <c r="M2738">
        <v>12</v>
      </c>
      <c r="N2738" t="s">
        <v>26</v>
      </c>
      <c r="O2738" t="s">
        <v>11</v>
      </c>
      <c r="P2738" t="s">
        <v>12</v>
      </c>
      <c r="Q2738" t="s">
        <v>13</v>
      </c>
      <c r="R2738" t="s">
        <v>13</v>
      </c>
      <c r="S2738" t="s">
        <v>144</v>
      </c>
      <c r="T2738" s="2">
        <f>MASTER[[#This Row],[CANTIDAD]]*MASTER[[#This Row],[PRECIO DE VENTA]]</f>
        <v>1524</v>
      </c>
      <c r="U2738" s="2">
        <f>MASTER[[#This Row],[CANTIDAD]]*MASTER[[#This Row],[COSTO UNITARIO]]</f>
        <v>434</v>
      </c>
      <c r="V2738" s="2">
        <f>MASTER[[#This Row],[MONTO VENDIDO]]-MASTER[[#This Row],[COSTO DE VENTA]]</f>
        <v>1090</v>
      </c>
    </row>
    <row r="2739" spans="1:22" x14ac:dyDescent="0.3">
      <c r="A2739">
        <v>45167</v>
      </c>
      <c r="B2739">
        <v>1</v>
      </c>
      <c r="C2739" t="s">
        <v>118</v>
      </c>
      <c r="D2739" t="s">
        <v>119</v>
      </c>
      <c r="E2739" s="1">
        <v>44158</v>
      </c>
      <c r="F2739">
        <v>1</v>
      </c>
      <c r="G2739" t="s">
        <v>53</v>
      </c>
      <c r="H2739" t="s">
        <v>54</v>
      </c>
      <c r="I2739" s="3">
        <v>1026</v>
      </c>
      <c r="J2739" s="3">
        <v>1026</v>
      </c>
      <c r="K2739" s="3">
        <v>424</v>
      </c>
      <c r="L2739" t="s">
        <v>120</v>
      </c>
      <c r="M2739">
        <v>18</v>
      </c>
      <c r="N2739" t="s">
        <v>79</v>
      </c>
      <c r="O2739" t="s">
        <v>70</v>
      </c>
      <c r="P2739" t="s">
        <v>15</v>
      </c>
      <c r="Q2739" t="s">
        <v>16</v>
      </c>
      <c r="R2739" t="s">
        <v>16</v>
      </c>
      <c r="S2739" t="s">
        <v>144</v>
      </c>
      <c r="T2739" s="2">
        <f>MASTER[[#This Row],[CANTIDAD]]*MASTER[[#This Row],[PRECIO DE VENTA]]</f>
        <v>1026</v>
      </c>
      <c r="U2739" s="2">
        <f>MASTER[[#This Row],[CANTIDAD]]*MASTER[[#This Row],[COSTO UNITARIO]]</f>
        <v>424</v>
      </c>
      <c r="V2739" s="2">
        <f>MASTER[[#This Row],[MONTO VENDIDO]]-MASTER[[#This Row],[COSTO DE VENTA]]</f>
        <v>602</v>
      </c>
    </row>
    <row r="2740" spans="1:22" x14ac:dyDescent="0.3">
      <c r="A2740">
        <v>45172</v>
      </c>
      <c r="B2740">
        <v>1</v>
      </c>
      <c r="C2740" t="s">
        <v>114</v>
      </c>
      <c r="D2740" t="s">
        <v>115</v>
      </c>
      <c r="E2740" s="1">
        <v>44158</v>
      </c>
      <c r="F2740">
        <v>3</v>
      </c>
      <c r="G2740" t="s">
        <v>51</v>
      </c>
      <c r="H2740" t="s">
        <v>52</v>
      </c>
      <c r="I2740" s="3">
        <v>1862</v>
      </c>
      <c r="J2740" s="3">
        <v>1862</v>
      </c>
      <c r="K2740" s="3">
        <v>394</v>
      </c>
      <c r="L2740" t="s">
        <v>113</v>
      </c>
      <c r="M2740">
        <v>10</v>
      </c>
      <c r="N2740" t="s">
        <v>83</v>
      </c>
      <c r="O2740" t="s">
        <v>81</v>
      </c>
      <c r="P2740" t="s">
        <v>12</v>
      </c>
      <c r="Q2740" t="s">
        <v>13</v>
      </c>
      <c r="R2740" t="s">
        <v>13</v>
      </c>
      <c r="S2740" t="s">
        <v>144</v>
      </c>
      <c r="T2740" s="2">
        <f>MASTER[[#This Row],[CANTIDAD]]*MASTER[[#This Row],[PRECIO DE VENTA]]</f>
        <v>5586</v>
      </c>
      <c r="U2740" s="2">
        <f>MASTER[[#This Row],[CANTIDAD]]*MASTER[[#This Row],[COSTO UNITARIO]]</f>
        <v>1182</v>
      </c>
      <c r="V2740" s="2">
        <f>MASTER[[#This Row],[MONTO VENDIDO]]-MASTER[[#This Row],[COSTO DE VENTA]]</f>
        <v>4404</v>
      </c>
    </row>
    <row r="2741" spans="1:22" x14ac:dyDescent="0.3">
      <c r="A2741">
        <v>45205</v>
      </c>
      <c r="B2741">
        <v>1</v>
      </c>
      <c r="C2741" t="s">
        <v>109</v>
      </c>
      <c r="D2741" t="s">
        <v>110</v>
      </c>
      <c r="E2741" s="1">
        <v>44158</v>
      </c>
      <c r="F2741">
        <v>1</v>
      </c>
      <c r="G2741" t="s">
        <v>59</v>
      </c>
      <c r="H2741" t="s">
        <v>60</v>
      </c>
      <c r="I2741" s="3">
        <v>1064</v>
      </c>
      <c r="J2741" s="3">
        <v>1064</v>
      </c>
      <c r="K2741" s="3">
        <v>387</v>
      </c>
      <c r="L2741" t="s">
        <v>98</v>
      </c>
      <c r="M2741">
        <v>15</v>
      </c>
      <c r="N2741" t="s">
        <v>88</v>
      </c>
      <c r="O2741" t="s">
        <v>81</v>
      </c>
      <c r="P2741" t="s">
        <v>18</v>
      </c>
      <c r="Q2741" t="s">
        <v>19</v>
      </c>
      <c r="R2741" t="s">
        <v>138</v>
      </c>
      <c r="S2741" t="s">
        <v>144</v>
      </c>
      <c r="T2741" s="2">
        <f>MASTER[[#This Row],[CANTIDAD]]*MASTER[[#This Row],[PRECIO DE VENTA]]</f>
        <v>1064</v>
      </c>
      <c r="U2741" s="2">
        <f>MASTER[[#This Row],[CANTIDAD]]*MASTER[[#This Row],[COSTO UNITARIO]]</f>
        <v>387</v>
      </c>
      <c r="V2741" s="2">
        <f>MASTER[[#This Row],[MONTO VENDIDO]]-MASTER[[#This Row],[COSTO DE VENTA]]</f>
        <v>677</v>
      </c>
    </row>
    <row r="2742" spans="1:22" x14ac:dyDescent="0.3">
      <c r="A2742">
        <v>45223</v>
      </c>
      <c r="B2742">
        <v>1</v>
      </c>
      <c r="C2742" t="s">
        <v>94</v>
      </c>
      <c r="D2742" t="s">
        <v>95</v>
      </c>
      <c r="E2742" s="1">
        <v>44158</v>
      </c>
      <c r="F2742">
        <v>1</v>
      </c>
      <c r="G2742" t="s">
        <v>59</v>
      </c>
      <c r="H2742" t="s">
        <v>60</v>
      </c>
      <c r="I2742" s="3">
        <v>901</v>
      </c>
      <c r="J2742" s="3">
        <v>901</v>
      </c>
      <c r="K2742" s="3">
        <v>392</v>
      </c>
      <c r="L2742" t="s">
        <v>9</v>
      </c>
      <c r="M2742">
        <v>16</v>
      </c>
      <c r="N2742" t="s">
        <v>17</v>
      </c>
      <c r="O2742" t="s">
        <v>11</v>
      </c>
      <c r="P2742" t="s">
        <v>18</v>
      </c>
      <c r="Q2742" t="s">
        <v>19</v>
      </c>
      <c r="R2742" t="s">
        <v>138</v>
      </c>
      <c r="S2742" t="s">
        <v>144</v>
      </c>
      <c r="T2742" s="2">
        <f>MASTER[[#This Row],[CANTIDAD]]*MASTER[[#This Row],[PRECIO DE VENTA]]</f>
        <v>901</v>
      </c>
      <c r="U2742" s="2">
        <f>MASTER[[#This Row],[CANTIDAD]]*MASTER[[#This Row],[COSTO UNITARIO]]</f>
        <v>392</v>
      </c>
      <c r="V2742" s="2">
        <f>MASTER[[#This Row],[MONTO VENDIDO]]-MASTER[[#This Row],[COSTO DE VENTA]]</f>
        <v>509</v>
      </c>
    </row>
    <row r="2743" spans="1:22" x14ac:dyDescent="0.3">
      <c r="A2743">
        <v>45224</v>
      </c>
      <c r="B2743">
        <v>1</v>
      </c>
      <c r="C2743" t="s">
        <v>114</v>
      </c>
      <c r="D2743" t="s">
        <v>115</v>
      </c>
      <c r="E2743" s="1">
        <v>44158</v>
      </c>
      <c r="F2743">
        <v>1</v>
      </c>
      <c r="G2743" t="s">
        <v>63</v>
      </c>
      <c r="H2743" t="s">
        <v>64</v>
      </c>
      <c r="I2743" s="3">
        <v>1583</v>
      </c>
      <c r="J2743" s="3">
        <v>1583</v>
      </c>
      <c r="K2743" s="3">
        <v>394</v>
      </c>
      <c r="L2743" t="s">
        <v>113</v>
      </c>
      <c r="M2743">
        <v>12</v>
      </c>
      <c r="N2743" t="s">
        <v>26</v>
      </c>
      <c r="O2743" t="s">
        <v>11</v>
      </c>
      <c r="P2743" t="s">
        <v>12</v>
      </c>
      <c r="Q2743" t="s">
        <v>13</v>
      </c>
      <c r="R2743" t="s">
        <v>13</v>
      </c>
      <c r="S2743" t="s">
        <v>144</v>
      </c>
      <c r="T2743" s="2">
        <f>MASTER[[#This Row],[CANTIDAD]]*MASTER[[#This Row],[PRECIO DE VENTA]]</f>
        <v>1583</v>
      </c>
      <c r="U2743" s="2">
        <f>MASTER[[#This Row],[CANTIDAD]]*MASTER[[#This Row],[COSTO UNITARIO]]</f>
        <v>394</v>
      </c>
      <c r="V2743" s="2">
        <f>MASTER[[#This Row],[MONTO VENDIDO]]-MASTER[[#This Row],[COSTO DE VENTA]]</f>
        <v>1189</v>
      </c>
    </row>
    <row r="2744" spans="1:22" x14ac:dyDescent="0.3">
      <c r="A2744">
        <v>45229</v>
      </c>
      <c r="B2744">
        <v>1</v>
      </c>
      <c r="C2744" t="s">
        <v>116</v>
      </c>
      <c r="D2744" t="s">
        <v>117</v>
      </c>
      <c r="E2744" s="1">
        <v>44159</v>
      </c>
      <c r="F2744">
        <v>1</v>
      </c>
      <c r="G2744" t="s">
        <v>20</v>
      </c>
      <c r="H2744" t="s">
        <v>21</v>
      </c>
      <c r="I2744" s="3">
        <v>1999</v>
      </c>
      <c r="J2744" s="3">
        <v>1839</v>
      </c>
      <c r="K2744" s="3">
        <v>388</v>
      </c>
      <c r="L2744" t="s">
        <v>113</v>
      </c>
      <c r="M2744">
        <v>1</v>
      </c>
      <c r="N2744" t="s">
        <v>77</v>
      </c>
      <c r="O2744" t="s">
        <v>70</v>
      </c>
      <c r="P2744" t="s">
        <v>71</v>
      </c>
      <c r="Q2744" t="s">
        <v>72</v>
      </c>
      <c r="R2744" t="s">
        <v>139</v>
      </c>
      <c r="S2744" t="s">
        <v>144</v>
      </c>
      <c r="T2744" s="2">
        <f>MASTER[[#This Row],[CANTIDAD]]*MASTER[[#This Row],[PRECIO DE VENTA]]</f>
        <v>1839</v>
      </c>
      <c r="U2744" s="2">
        <f>MASTER[[#This Row],[CANTIDAD]]*MASTER[[#This Row],[COSTO UNITARIO]]</f>
        <v>388</v>
      </c>
      <c r="V2744" s="2">
        <f>MASTER[[#This Row],[MONTO VENDIDO]]-MASTER[[#This Row],[COSTO DE VENTA]]</f>
        <v>1451</v>
      </c>
    </row>
    <row r="2745" spans="1:22" x14ac:dyDescent="0.3">
      <c r="A2745">
        <v>45270</v>
      </c>
      <c r="B2745">
        <v>1</v>
      </c>
      <c r="C2745" t="s">
        <v>94</v>
      </c>
      <c r="D2745" t="s">
        <v>95</v>
      </c>
      <c r="E2745" s="1">
        <v>44159</v>
      </c>
      <c r="F2745">
        <v>1</v>
      </c>
      <c r="G2745" t="s">
        <v>61</v>
      </c>
      <c r="H2745" t="s">
        <v>62</v>
      </c>
      <c r="I2745" s="3">
        <v>901</v>
      </c>
      <c r="J2745" s="3">
        <v>901</v>
      </c>
      <c r="K2745" s="3">
        <v>392</v>
      </c>
      <c r="L2745" t="s">
        <v>9</v>
      </c>
      <c r="M2745">
        <v>11</v>
      </c>
      <c r="N2745" t="s">
        <v>10</v>
      </c>
      <c r="O2745" t="s">
        <v>11</v>
      </c>
      <c r="P2745" t="s">
        <v>12</v>
      </c>
      <c r="Q2745" t="s">
        <v>13</v>
      </c>
      <c r="R2745" t="s">
        <v>13</v>
      </c>
      <c r="S2745" t="s">
        <v>144</v>
      </c>
      <c r="T2745" s="2">
        <f>MASTER[[#This Row],[CANTIDAD]]*MASTER[[#This Row],[PRECIO DE VENTA]]</f>
        <v>901</v>
      </c>
      <c r="U2745" s="2">
        <f>MASTER[[#This Row],[CANTIDAD]]*MASTER[[#This Row],[COSTO UNITARIO]]</f>
        <v>392</v>
      </c>
      <c r="V2745" s="2">
        <f>MASTER[[#This Row],[MONTO VENDIDO]]-MASTER[[#This Row],[COSTO DE VENTA]]</f>
        <v>509</v>
      </c>
    </row>
    <row r="2746" spans="1:22" x14ac:dyDescent="0.3">
      <c r="A2746">
        <v>45277</v>
      </c>
      <c r="B2746">
        <v>1</v>
      </c>
      <c r="C2746" t="s">
        <v>111</v>
      </c>
      <c r="D2746" t="s">
        <v>112</v>
      </c>
      <c r="E2746" s="1">
        <v>44159</v>
      </c>
      <c r="F2746">
        <v>1</v>
      </c>
      <c r="G2746" t="s">
        <v>39</v>
      </c>
      <c r="H2746" t="s">
        <v>40</v>
      </c>
      <c r="I2746" s="3">
        <v>1621</v>
      </c>
      <c r="J2746" s="3">
        <v>1621</v>
      </c>
      <c r="K2746" s="3">
        <v>434</v>
      </c>
      <c r="L2746" t="s">
        <v>113</v>
      </c>
      <c r="M2746">
        <v>14</v>
      </c>
      <c r="N2746" t="s">
        <v>87</v>
      </c>
      <c r="O2746" t="s">
        <v>81</v>
      </c>
      <c r="P2746" t="s">
        <v>18</v>
      </c>
      <c r="Q2746" t="s">
        <v>19</v>
      </c>
      <c r="R2746" t="s">
        <v>138</v>
      </c>
      <c r="S2746" t="s">
        <v>144</v>
      </c>
      <c r="T2746" s="2">
        <f>MASTER[[#This Row],[CANTIDAD]]*MASTER[[#This Row],[PRECIO DE VENTA]]</f>
        <v>1621</v>
      </c>
      <c r="U2746" s="2">
        <f>MASTER[[#This Row],[CANTIDAD]]*MASTER[[#This Row],[COSTO UNITARIO]]</f>
        <v>434</v>
      </c>
      <c r="V2746" s="2">
        <f>MASTER[[#This Row],[MONTO VENDIDO]]-MASTER[[#This Row],[COSTO DE VENTA]]</f>
        <v>1187</v>
      </c>
    </row>
    <row r="2747" spans="1:22" x14ac:dyDescent="0.3">
      <c r="A2747">
        <v>45283</v>
      </c>
      <c r="B2747">
        <v>1</v>
      </c>
      <c r="C2747" t="s">
        <v>96</v>
      </c>
      <c r="D2747" t="s">
        <v>97</v>
      </c>
      <c r="E2747" s="1">
        <v>44159</v>
      </c>
      <c r="F2747">
        <v>1</v>
      </c>
      <c r="G2747" t="s">
        <v>65</v>
      </c>
      <c r="H2747" t="s">
        <v>66</v>
      </c>
      <c r="I2747" s="3">
        <v>1272</v>
      </c>
      <c r="J2747" s="3">
        <v>1272</v>
      </c>
      <c r="K2747" s="3">
        <v>397</v>
      </c>
      <c r="L2747" t="s">
        <v>98</v>
      </c>
      <c r="M2747">
        <v>7</v>
      </c>
      <c r="N2747" t="s">
        <v>84</v>
      </c>
      <c r="O2747" t="s">
        <v>81</v>
      </c>
      <c r="P2747" t="s">
        <v>12</v>
      </c>
      <c r="Q2747" t="s">
        <v>13</v>
      </c>
      <c r="R2747" t="s">
        <v>13</v>
      </c>
      <c r="S2747" t="s">
        <v>144</v>
      </c>
      <c r="T2747" s="2">
        <f>MASTER[[#This Row],[CANTIDAD]]*MASTER[[#This Row],[PRECIO DE VENTA]]</f>
        <v>1272</v>
      </c>
      <c r="U2747" s="2">
        <f>MASTER[[#This Row],[CANTIDAD]]*MASTER[[#This Row],[COSTO UNITARIO]]</f>
        <v>397</v>
      </c>
      <c r="V2747" s="2">
        <f>MASTER[[#This Row],[MONTO VENDIDO]]-MASTER[[#This Row],[COSTO DE VENTA]]</f>
        <v>875</v>
      </c>
    </row>
    <row r="2748" spans="1:22" x14ac:dyDescent="0.3">
      <c r="A2748">
        <v>45287</v>
      </c>
      <c r="B2748">
        <v>1</v>
      </c>
      <c r="C2748" t="s">
        <v>96</v>
      </c>
      <c r="D2748" t="s">
        <v>97</v>
      </c>
      <c r="E2748" s="1">
        <v>44159</v>
      </c>
      <c r="F2748">
        <v>1</v>
      </c>
      <c r="G2748" t="s">
        <v>61</v>
      </c>
      <c r="H2748" t="s">
        <v>62</v>
      </c>
      <c r="I2748" s="3">
        <v>1361</v>
      </c>
      <c r="J2748" s="3">
        <v>1306</v>
      </c>
      <c r="K2748" s="3">
        <v>397</v>
      </c>
      <c r="L2748" t="s">
        <v>98</v>
      </c>
      <c r="M2748">
        <v>18</v>
      </c>
      <c r="N2748" t="s">
        <v>79</v>
      </c>
      <c r="O2748" t="s">
        <v>70</v>
      </c>
      <c r="P2748" t="s">
        <v>15</v>
      </c>
      <c r="Q2748" t="s">
        <v>16</v>
      </c>
      <c r="R2748" t="s">
        <v>16</v>
      </c>
      <c r="S2748" t="s">
        <v>144</v>
      </c>
      <c r="T2748" s="2">
        <f>MASTER[[#This Row],[CANTIDAD]]*MASTER[[#This Row],[PRECIO DE VENTA]]</f>
        <v>1306</v>
      </c>
      <c r="U2748" s="2">
        <f>MASTER[[#This Row],[CANTIDAD]]*MASTER[[#This Row],[COSTO UNITARIO]]</f>
        <v>397</v>
      </c>
      <c r="V2748" s="2">
        <f>MASTER[[#This Row],[MONTO VENDIDO]]-MASTER[[#This Row],[COSTO DE VENTA]]</f>
        <v>909</v>
      </c>
    </row>
    <row r="2749" spans="1:22" x14ac:dyDescent="0.3">
      <c r="A2749">
        <v>45292</v>
      </c>
      <c r="B2749">
        <v>1</v>
      </c>
      <c r="C2749" t="s">
        <v>109</v>
      </c>
      <c r="D2749" t="s">
        <v>110</v>
      </c>
      <c r="E2749" s="1">
        <v>44160</v>
      </c>
      <c r="F2749">
        <v>1</v>
      </c>
      <c r="G2749" t="s">
        <v>73</v>
      </c>
      <c r="H2749" t="s">
        <v>74</v>
      </c>
      <c r="I2749" s="3">
        <v>1128</v>
      </c>
      <c r="J2749" s="3">
        <v>1128</v>
      </c>
      <c r="K2749" s="3">
        <v>387</v>
      </c>
      <c r="L2749" t="s">
        <v>98</v>
      </c>
      <c r="M2749">
        <v>18</v>
      </c>
      <c r="N2749" t="s">
        <v>79</v>
      </c>
      <c r="O2749" t="s">
        <v>70</v>
      </c>
      <c r="P2749" t="s">
        <v>15</v>
      </c>
      <c r="Q2749" t="s">
        <v>16</v>
      </c>
      <c r="R2749" t="s">
        <v>16</v>
      </c>
      <c r="S2749" t="s">
        <v>144</v>
      </c>
      <c r="T2749" s="2">
        <f>MASTER[[#This Row],[CANTIDAD]]*MASTER[[#This Row],[PRECIO DE VENTA]]</f>
        <v>1128</v>
      </c>
      <c r="U2749" s="2">
        <f>MASTER[[#This Row],[CANTIDAD]]*MASTER[[#This Row],[COSTO UNITARIO]]</f>
        <v>387</v>
      </c>
      <c r="V2749" s="2">
        <f>MASTER[[#This Row],[MONTO VENDIDO]]-MASTER[[#This Row],[COSTO DE VENTA]]</f>
        <v>741</v>
      </c>
    </row>
    <row r="2750" spans="1:22" x14ac:dyDescent="0.3">
      <c r="A2750">
        <v>45317</v>
      </c>
      <c r="B2750">
        <v>1</v>
      </c>
      <c r="C2750" t="s">
        <v>118</v>
      </c>
      <c r="D2750" t="s">
        <v>119</v>
      </c>
      <c r="E2750" s="1">
        <v>44160</v>
      </c>
      <c r="F2750">
        <v>1</v>
      </c>
      <c r="G2750" t="s">
        <v>51</v>
      </c>
      <c r="H2750" t="s">
        <v>52</v>
      </c>
      <c r="I2750" s="3">
        <v>1026</v>
      </c>
      <c r="J2750" s="3">
        <v>1026</v>
      </c>
      <c r="K2750" s="3">
        <v>424</v>
      </c>
      <c r="L2750" t="s">
        <v>120</v>
      </c>
      <c r="M2750">
        <v>18</v>
      </c>
      <c r="N2750" t="s">
        <v>79</v>
      </c>
      <c r="O2750" t="s">
        <v>70</v>
      </c>
      <c r="P2750" t="s">
        <v>15</v>
      </c>
      <c r="Q2750" t="s">
        <v>16</v>
      </c>
      <c r="R2750" t="s">
        <v>16</v>
      </c>
      <c r="S2750" t="s">
        <v>144</v>
      </c>
      <c r="T2750" s="2">
        <f>MASTER[[#This Row],[CANTIDAD]]*MASTER[[#This Row],[PRECIO DE VENTA]]</f>
        <v>1026</v>
      </c>
      <c r="U2750" s="2">
        <f>MASTER[[#This Row],[CANTIDAD]]*MASTER[[#This Row],[COSTO UNITARIO]]</f>
        <v>424</v>
      </c>
      <c r="V2750" s="2">
        <f>MASTER[[#This Row],[MONTO VENDIDO]]-MASTER[[#This Row],[COSTO DE VENTA]]</f>
        <v>602</v>
      </c>
    </row>
    <row r="2751" spans="1:22" x14ac:dyDescent="0.3">
      <c r="A2751">
        <v>45320</v>
      </c>
      <c r="B2751">
        <v>1</v>
      </c>
      <c r="C2751" t="s">
        <v>99</v>
      </c>
      <c r="D2751" t="s">
        <v>100</v>
      </c>
      <c r="E2751" s="1">
        <v>44160</v>
      </c>
      <c r="F2751">
        <v>1</v>
      </c>
      <c r="G2751" t="s">
        <v>33</v>
      </c>
      <c r="H2751" t="s">
        <v>34</v>
      </c>
      <c r="I2751" s="3">
        <v>1678</v>
      </c>
      <c r="J2751" s="3">
        <v>1678</v>
      </c>
      <c r="K2751" s="3">
        <v>386</v>
      </c>
      <c r="L2751" t="s">
        <v>98</v>
      </c>
      <c r="M2751">
        <v>1</v>
      </c>
      <c r="N2751" t="s">
        <v>77</v>
      </c>
      <c r="O2751" t="s">
        <v>70</v>
      </c>
      <c r="P2751" t="s">
        <v>71</v>
      </c>
      <c r="Q2751" t="s">
        <v>72</v>
      </c>
      <c r="R2751" t="s">
        <v>139</v>
      </c>
      <c r="S2751" t="s">
        <v>144</v>
      </c>
      <c r="T2751" s="2">
        <f>MASTER[[#This Row],[CANTIDAD]]*MASTER[[#This Row],[PRECIO DE VENTA]]</f>
        <v>1678</v>
      </c>
      <c r="U2751" s="2">
        <f>MASTER[[#This Row],[CANTIDAD]]*MASTER[[#This Row],[COSTO UNITARIO]]</f>
        <v>386</v>
      </c>
      <c r="V2751" s="2">
        <f>MASTER[[#This Row],[MONTO VENDIDO]]-MASTER[[#This Row],[COSTO DE VENTA]]</f>
        <v>1292</v>
      </c>
    </row>
    <row r="2752" spans="1:22" x14ac:dyDescent="0.3">
      <c r="A2752">
        <v>45353</v>
      </c>
      <c r="B2752">
        <v>1</v>
      </c>
      <c r="C2752" t="s">
        <v>109</v>
      </c>
      <c r="D2752" t="s">
        <v>110</v>
      </c>
      <c r="E2752" s="1">
        <v>44160</v>
      </c>
      <c r="F2752">
        <v>1</v>
      </c>
      <c r="G2752" t="s">
        <v>35</v>
      </c>
      <c r="H2752" t="s">
        <v>36</v>
      </c>
      <c r="I2752" s="3">
        <v>1128</v>
      </c>
      <c r="J2752" s="3">
        <v>1026</v>
      </c>
      <c r="K2752" s="3">
        <v>387</v>
      </c>
      <c r="L2752" t="s">
        <v>98</v>
      </c>
      <c r="M2752">
        <v>3</v>
      </c>
      <c r="N2752" t="s">
        <v>69</v>
      </c>
      <c r="O2752" t="s">
        <v>70</v>
      </c>
      <c r="P2752" t="s">
        <v>71</v>
      </c>
      <c r="Q2752" t="s">
        <v>72</v>
      </c>
      <c r="R2752" t="s">
        <v>139</v>
      </c>
      <c r="S2752" t="s">
        <v>144</v>
      </c>
      <c r="T2752" s="2">
        <f>MASTER[[#This Row],[CANTIDAD]]*MASTER[[#This Row],[PRECIO DE VENTA]]</f>
        <v>1026</v>
      </c>
      <c r="U2752" s="2">
        <f>MASTER[[#This Row],[CANTIDAD]]*MASTER[[#This Row],[COSTO UNITARIO]]</f>
        <v>387</v>
      </c>
      <c r="V2752" s="2">
        <f>MASTER[[#This Row],[MONTO VENDIDO]]-MASTER[[#This Row],[COSTO DE VENTA]]</f>
        <v>639</v>
      </c>
    </row>
    <row r="2753" spans="1:22" x14ac:dyDescent="0.3">
      <c r="A2753">
        <v>45380</v>
      </c>
      <c r="B2753">
        <v>1</v>
      </c>
      <c r="C2753" t="s">
        <v>107</v>
      </c>
      <c r="D2753" t="s">
        <v>108</v>
      </c>
      <c r="E2753" s="1">
        <v>44161</v>
      </c>
      <c r="F2753">
        <v>1</v>
      </c>
      <c r="G2753" t="s">
        <v>67</v>
      </c>
      <c r="H2753" t="s">
        <v>68</v>
      </c>
      <c r="I2753" s="3">
        <v>1333</v>
      </c>
      <c r="J2753" s="3">
        <v>1333</v>
      </c>
      <c r="K2753" s="3">
        <v>380</v>
      </c>
      <c r="L2753" t="s">
        <v>98</v>
      </c>
      <c r="M2753">
        <v>4</v>
      </c>
      <c r="N2753" t="s">
        <v>82</v>
      </c>
      <c r="O2753" t="s">
        <v>81</v>
      </c>
      <c r="P2753" t="s">
        <v>71</v>
      </c>
      <c r="Q2753" t="s">
        <v>72</v>
      </c>
      <c r="R2753" t="s">
        <v>139</v>
      </c>
      <c r="S2753" t="s">
        <v>144</v>
      </c>
      <c r="T2753" s="2">
        <f>MASTER[[#This Row],[CANTIDAD]]*MASTER[[#This Row],[PRECIO DE VENTA]]</f>
        <v>1333</v>
      </c>
      <c r="U2753" s="2">
        <f>MASTER[[#This Row],[CANTIDAD]]*MASTER[[#This Row],[COSTO UNITARIO]]</f>
        <v>380</v>
      </c>
      <c r="V2753" s="2">
        <f>MASTER[[#This Row],[MONTO VENDIDO]]-MASTER[[#This Row],[COSTO DE VENTA]]</f>
        <v>953</v>
      </c>
    </row>
    <row r="2754" spans="1:22" x14ac:dyDescent="0.3">
      <c r="A2754">
        <v>45384</v>
      </c>
      <c r="B2754">
        <v>1</v>
      </c>
      <c r="C2754" t="s">
        <v>99</v>
      </c>
      <c r="D2754" t="s">
        <v>100</v>
      </c>
      <c r="E2754" s="1">
        <v>44161</v>
      </c>
      <c r="F2754">
        <v>1</v>
      </c>
      <c r="G2754" t="s">
        <v>59</v>
      </c>
      <c r="H2754" t="s">
        <v>60</v>
      </c>
      <c r="I2754" s="3">
        <v>1459</v>
      </c>
      <c r="J2754" s="3">
        <v>1459</v>
      </c>
      <c r="K2754" s="3">
        <v>386</v>
      </c>
      <c r="L2754" t="s">
        <v>98</v>
      </c>
      <c r="M2754">
        <v>2</v>
      </c>
      <c r="N2754" t="s">
        <v>86</v>
      </c>
      <c r="O2754" t="s">
        <v>81</v>
      </c>
      <c r="P2754" t="s">
        <v>71</v>
      </c>
      <c r="Q2754" t="s">
        <v>72</v>
      </c>
      <c r="R2754" t="s">
        <v>139</v>
      </c>
      <c r="S2754" t="s">
        <v>144</v>
      </c>
      <c r="T2754" s="2">
        <f>MASTER[[#This Row],[CANTIDAD]]*MASTER[[#This Row],[PRECIO DE VENTA]]</f>
        <v>1459</v>
      </c>
      <c r="U2754" s="2">
        <f>MASTER[[#This Row],[CANTIDAD]]*MASTER[[#This Row],[COSTO UNITARIO]]</f>
        <v>386</v>
      </c>
      <c r="V2754" s="2">
        <f>MASTER[[#This Row],[MONTO VENDIDO]]-MASTER[[#This Row],[COSTO DE VENTA]]</f>
        <v>1073</v>
      </c>
    </row>
    <row r="2755" spans="1:22" x14ac:dyDescent="0.3">
      <c r="A2755">
        <v>45413</v>
      </c>
      <c r="B2755">
        <v>1</v>
      </c>
      <c r="C2755" t="s">
        <v>103</v>
      </c>
      <c r="D2755" t="s">
        <v>104</v>
      </c>
      <c r="E2755" s="1">
        <v>44161</v>
      </c>
      <c r="F2755">
        <v>1</v>
      </c>
      <c r="G2755" t="s">
        <v>53</v>
      </c>
      <c r="H2755" t="s">
        <v>54</v>
      </c>
      <c r="I2755" s="3">
        <v>1591</v>
      </c>
      <c r="J2755" s="3">
        <v>1591</v>
      </c>
      <c r="K2755" s="3">
        <v>421</v>
      </c>
      <c r="L2755" t="s">
        <v>98</v>
      </c>
      <c r="M2755">
        <v>15</v>
      </c>
      <c r="N2755" t="s">
        <v>88</v>
      </c>
      <c r="O2755" t="s">
        <v>81</v>
      </c>
      <c r="P2755" t="s">
        <v>18</v>
      </c>
      <c r="Q2755" t="s">
        <v>19</v>
      </c>
      <c r="R2755" t="s">
        <v>138</v>
      </c>
      <c r="S2755" t="s">
        <v>144</v>
      </c>
      <c r="T2755" s="2">
        <f>MASTER[[#This Row],[CANTIDAD]]*MASTER[[#This Row],[PRECIO DE VENTA]]</f>
        <v>1591</v>
      </c>
      <c r="U2755" s="2">
        <f>MASTER[[#This Row],[CANTIDAD]]*MASTER[[#This Row],[COSTO UNITARIO]]</f>
        <v>421</v>
      </c>
      <c r="V2755" s="2">
        <f>MASTER[[#This Row],[MONTO VENDIDO]]-MASTER[[#This Row],[COSTO DE VENTA]]</f>
        <v>1170</v>
      </c>
    </row>
    <row r="2756" spans="1:22" x14ac:dyDescent="0.3">
      <c r="A2756">
        <v>45414</v>
      </c>
      <c r="B2756">
        <v>1</v>
      </c>
      <c r="C2756" t="s">
        <v>116</v>
      </c>
      <c r="D2756" t="s">
        <v>117</v>
      </c>
      <c r="E2756" s="1">
        <v>44161</v>
      </c>
      <c r="F2756">
        <v>1</v>
      </c>
      <c r="G2756" t="s">
        <v>39</v>
      </c>
      <c r="H2756" t="s">
        <v>40</v>
      </c>
      <c r="I2756" s="3">
        <v>1529</v>
      </c>
      <c r="J2756" s="3">
        <v>1529</v>
      </c>
      <c r="K2756" s="3">
        <v>388</v>
      </c>
      <c r="L2756" t="s">
        <v>113</v>
      </c>
      <c r="M2756">
        <v>11</v>
      </c>
      <c r="N2756" t="s">
        <v>10</v>
      </c>
      <c r="O2756" t="s">
        <v>11</v>
      </c>
      <c r="P2756" t="s">
        <v>12</v>
      </c>
      <c r="Q2756" t="s">
        <v>13</v>
      </c>
      <c r="R2756" t="s">
        <v>13</v>
      </c>
      <c r="S2756" t="s">
        <v>144</v>
      </c>
      <c r="T2756" s="2">
        <f>MASTER[[#This Row],[CANTIDAD]]*MASTER[[#This Row],[PRECIO DE VENTA]]</f>
        <v>1529</v>
      </c>
      <c r="U2756" s="2">
        <f>MASTER[[#This Row],[CANTIDAD]]*MASTER[[#This Row],[COSTO UNITARIO]]</f>
        <v>388</v>
      </c>
      <c r="V2756" s="2">
        <f>MASTER[[#This Row],[MONTO VENDIDO]]-MASTER[[#This Row],[COSTO DE VENTA]]</f>
        <v>1141</v>
      </c>
    </row>
    <row r="2757" spans="1:22" x14ac:dyDescent="0.3">
      <c r="A2757">
        <v>45421</v>
      </c>
      <c r="B2757">
        <v>1</v>
      </c>
      <c r="C2757" t="s">
        <v>121</v>
      </c>
      <c r="D2757" t="s">
        <v>122</v>
      </c>
      <c r="E2757" s="1">
        <v>44161</v>
      </c>
      <c r="F2757">
        <v>1</v>
      </c>
      <c r="G2757" t="s">
        <v>33</v>
      </c>
      <c r="H2757" t="s">
        <v>34</v>
      </c>
      <c r="I2757" s="3">
        <v>941</v>
      </c>
      <c r="J2757" s="3">
        <v>941</v>
      </c>
      <c r="K2757" s="3">
        <v>460</v>
      </c>
      <c r="L2757" t="s">
        <v>120</v>
      </c>
      <c r="M2757">
        <v>12</v>
      </c>
      <c r="N2757" t="s">
        <v>26</v>
      </c>
      <c r="O2757" t="s">
        <v>11</v>
      </c>
      <c r="P2757" t="s">
        <v>12</v>
      </c>
      <c r="Q2757" t="s">
        <v>13</v>
      </c>
      <c r="R2757" t="s">
        <v>13</v>
      </c>
      <c r="S2757" t="s">
        <v>144</v>
      </c>
      <c r="T2757" s="2">
        <f>MASTER[[#This Row],[CANTIDAD]]*MASTER[[#This Row],[PRECIO DE VENTA]]</f>
        <v>941</v>
      </c>
      <c r="U2757" s="2">
        <f>MASTER[[#This Row],[CANTIDAD]]*MASTER[[#This Row],[COSTO UNITARIO]]</f>
        <v>460</v>
      </c>
      <c r="V2757" s="2">
        <f>MASTER[[#This Row],[MONTO VENDIDO]]-MASTER[[#This Row],[COSTO DE VENTA]]</f>
        <v>481</v>
      </c>
    </row>
    <row r="2758" spans="1:22" x14ac:dyDescent="0.3">
      <c r="A2758">
        <v>45432</v>
      </c>
      <c r="B2758">
        <v>1</v>
      </c>
      <c r="C2758" t="s">
        <v>109</v>
      </c>
      <c r="D2758" t="s">
        <v>110</v>
      </c>
      <c r="E2758" s="1">
        <v>44161</v>
      </c>
      <c r="F2758">
        <v>1</v>
      </c>
      <c r="G2758" t="s">
        <v>24</v>
      </c>
      <c r="H2758" t="s">
        <v>25</v>
      </c>
      <c r="I2758" s="3">
        <v>1128</v>
      </c>
      <c r="J2758" s="3">
        <v>1128</v>
      </c>
      <c r="K2758" s="3">
        <v>387</v>
      </c>
      <c r="L2758" t="s">
        <v>98</v>
      </c>
      <c r="M2758">
        <v>13</v>
      </c>
      <c r="N2758" t="s">
        <v>78</v>
      </c>
      <c r="O2758" t="s">
        <v>70</v>
      </c>
      <c r="P2758" t="s">
        <v>18</v>
      </c>
      <c r="Q2758" t="s">
        <v>19</v>
      </c>
      <c r="R2758" t="s">
        <v>138</v>
      </c>
      <c r="S2758" t="s">
        <v>144</v>
      </c>
      <c r="T2758" s="2">
        <f>MASTER[[#This Row],[CANTIDAD]]*MASTER[[#This Row],[PRECIO DE VENTA]]</f>
        <v>1128</v>
      </c>
      <c r="U2758" s="2">
        <f>MASTER[[#This Row],[CANTIDAD]]*MASTER[[#This Row],[COSTO UNITARIO]]</f>
        <v>387</v>
      </c>
      <c r="V2758" s="2">
        <f>MASTER[[#This Row],[MONTO VENDIDO]]-MASTER[[#This Row],[COSTO DE VENTA]]</f>
        <v>741</v>
      </c>
    </row>
    <row r="2759" spans="1:22" x14ac:dyDescent="0.3">
      <c r="A2759">
        <v>45444</v>
      </c>
      <c r="B2759">
        <v>1</v>
      </c>
      <c r="C2759" t="s">
        <v>94</v>
      </c>
      <c r="D2759" t="s">
        <v>95</v>
      </c>
      <c r="E2759" s="1">
        <v>44161</v>
      </c>
      <c r="F2759">
        <v>4</v>
      </c>
      <c r="G2759" t="s">
        <v>43</v>
      </c>
      <c r="H2759" t="s">
        <v>44</v>
      </c>
      <c r="I2759" s="3">
        <v>1048</v>
      </c>
      <c r="J2759" s="3">
        <v>1048</v>
      </c>
      <c r="K2759" s="3">
        <v>392</v>
      </c>
      <c r="L2759" t="s">
        <v>9</v>
      </c>
      <c r="M2759">
        <v>5</v>
      </c>
      <c r="N2759" t="s">
        <v>85</v>
      </c>
      <c r="O2759" t="s">
        <v>81</v>
      </c>
      <c r="P2759" t="s">
        <v>12</v>
      </c>
      <c r="Q2759" t="s">
        <v>13</v>
      </c>
      <c r="R2759" t="s">
        <v>13</v>
      </c>
      <c r="S2759" t="s">
        <v>144</v>
      </c>
      <c r="T2759" s="2">
        <f>MASTER[[#This Row],[CANTIDAD]]*MASTER[[#This Row],[PRECIO DE VENTA]]</f>
        <v>4192</v>
      </c>
      <c r="U2759" s="2">
        <f>MASTER[[#This Row],[CANTIDAD]]*MASTER[[#This Row],[COSTO UNITARIO]]</f>
        <v>1568</v>
      </c>
      <c r="V2759" s="2">
        <f>MASTER[[#This Row],[MONTO VENDIDO]]-MASTER[[#This Row],[COSTO DE VENTA]]</f>
        <v>2624</v>
      </c>
    </row>
    <row r="2760" spans="1:22" x14ac:dyDescent="0.3">
      <c r="A2760">
        <v>45447</v>
      </c>
      <c r="B2760">
        <v>1</v>
      </c>
      <c r="C2760" t="s">
        <v>103</v>
      </c>
      <c r="D2760" t="s">
        <v>104</v>
      </c>
      <c r="E2760" s="1">
        <v>44161</v>
      </c>
      <c r="F2760">
        <v>1</v>
      </c>
      <c r="G2760" t="s">
        <v>65</v>
      </c>
      <c r="H2760" t="s">
        <v>66</v>
      </c>
      <c r="I2760" s="3">
        <v>1591</v>
      </c>
      <c r="J2760" s="3">
        <v>1591</v>
      </c>
      <c r="K2760" s="3">
        <v>421</v>
      </c>
      <c r="L2760" t="s">
        <v>98</v>
      </c>
      <c r="M2760">
        <v>15</v>
      </c>
      <c r="N2760" t="s">
        <v>88</v>
      </c>
      <c r="O2760" t="s">
        <v>81</v>
      </c>
      <c r="P2760" t="s">
        <v>18</v>
      </c>
      <c r="Q2760" t="s">
        <v>19</v>
      </c>
      <c r="R2760" t="s">
        <v>138</v>
      </c>
      <c r="S2760" t="s">
        <v>144</v>
      </c>
      <c r="T2760" s="2">
        <f>MASTER[[#This Row],[CANTIDAD]]*MASTER[[#This Row],[PRECIO DE VENTA]]</f>
        <v>1591</v>
      </c>
      <c r="U2760" s="2">
        <f>MASTER[[#This Row],[CANTIDAD]]*MASTER[[#This Row],[COSTO UNITARIO]]</f>
        <v>421</v>
      </c>
      <c r="V2760" s="2">
        <f>MASTER[[#This Row],[MONTO VENDIDO]]-MASTER[[#This Row],[COSTO DE VENTA]]</f>
        <v>1170</v>
      </c>
    </row>
    <row r="2761" spans="1:22" x14ac:dyDescent="0.3">
      <c r="A2761">
        <v>45452</v>
      </c>
      <c r="B2761">
        <v>1</v>
      </c>
      <c r="C2761" t="s">
        <v>94</v>
      </c>
      <c r="D2761" t="s">
        <v>95</v>
      </c>
      <c r="E2761" s="1">
        <v>44162</v>
      </c>
      <c r="F2761">
        <v>1</v>
      </c>
      <c r="G2761" t="s">
        <v>39</v>
      </c>
      <c r="H2761" t="s">
        <v>40</v>
      </c>
      <c r="I2761" s="3">
        <v>1048</v>
      </c>
      <c r="J2761" s="3">
        <v>1048</v>
      </c>
      <c r="K2761" s="3">
        <v>392</v>
      </c>
      <c r="L2761" t="s">
        <v>9</v>
      </c>
      <c r="M2761">
        <v>5</v>
      </c>
      <c r="N2761" t="s">
        <v>85</v>
      </c>
      <c r="O2761" t="s">
        <v>81</v>
      </c>
      <c r="P2761" t="s">
        <v>12</v>
      </c>
      <c r="Q2761" t="s">
        <v>13</v>
      </c>
      <c r="R2761" t="s">
        <v>13</v>
      </c>
      <c r="S2761" t="s">
        <v>144</v>
      </c>
      <c r="T2761" s="2">
        <f>MASTER[[#This Row],[CANTIDAD]]*MASTER[[#This Row],[PRECIO DE VENTA]]</f>
        <v>1048</v>
      </c>
      <c r="U2761" s="2">
        <f>MASTER[[#This Row],[CANTIDAD]]*MASTER[[#This Row],[COSTO UNITARIO]]</f>
        <v>392</v>
      </c>
      <c r="V2761" s="2">
        <f>MASTER[[#This Row],[MONTO VENDIDO]]-MASTER[[#This Row],[COSTO DE VENTA]]</f>
        <v>656</v>
      </c>
    </row>
    <row r="2762" spans="1:22" x14ac:dyDescent="0.3">
      <c r="A2762">
        <v>45454</v>
      </c>
      <c r="B2762">
        <v>1</v>
      </c>
      <c r="C2762" t="s">
        <v>101</v>
      </c>
      <c r="D2762" t="s">
        <v>102</v>
      </c>
      <c r="E2762" s="1">
        <v>44162</v>
      </c>
      <c r="F2762">
        <v>1</v>
      </c>
      <c r="G2762" t="s">
        <v>51</v>
      </c>
      <c r="H2762" t="s">
        <v>52</v>
      </c>
      <c r="I2762" s="3">
        <v>1212</v>
      </c>
      <c r="J2762" s="3">
        <v>1212</v>
      </c>
      <c r="K2762" s="3">
        <v>442</v>
      </c>
      <c r="L2762" t="s">
        <v>98</v>
      </c>
      <c r="M2762">
        <v>19</v>
      </c>
      <c r="N2762" t="s">
        <v>89</v>
      </c>
      <c r="O2762" t="s">
        <v>81</v>
      </c>
      <c r="P2762" t="s">
        <v>15</v>
      </c>
      <c r="Q2762" t="s">
        <v>16</v>
      </c>
      <c r="R2762" t="s">
        <v>16</v>
      </c>
      <c r="S2762" t="s">
        <v>144</v>
      </c>
      <c r="T2762" s="2">
        <f>MASTER[[#This Row],[CANTIDAD]]*MASTER[[#This Row],[PRECIO DE VENTA]]</f>
        <v>1212</v>
      </c>
      <c r="U2762" s="2">
        <f>MASTER[[#This Row],[CANTIDAD]]*MASTER[[#This Row],[COSTO UNITARIO]]</f>
        <v>442</v>
      </c>
      <c r="V2762" s="2">
        <f>MASTER[[#This Row],[MONTO VENDIDO]]-MASTER[[#This Row],[COSTO DE VENTA]]</f>
        <v>770</v>
      </c>
    </row>
    <row r="2763" spans="1:22" x14ac:dyDescent="0.3">
      <c r="A2763">
        <v>45475</v>
      </c>
      <c r="B2763">
        <v>1</v>
      </c>
      <c r="C2763" t="s">
        <v>5</v>
      </c>
      <c r="D2763" t="s">
        <v>6</v>
      </c>
      <c r="E2763" s="1">
        <v>44162</v>
      </c>
      <c r="F2763">
        <v>1</v>
      </c>
      <c r="G2763" t="s">
        <v>27</v>
      </c>
      <c r="H2763" t="s">
        <v>28</v>
      </c>
      <c r="I2763" s="3">
        <v>1507</v>
      </c>
      <c r="J2763" s="3">
        <v>1507</v>
      </c>
      <c r="K2763" s="3">
        <v>393</v>
      </c>
      <c r="L2763" t="s">
        <v>9</v>
      </c>
      <c r="M2763">
        <v>8</v>
      </c>
      <c r="N2763" t="s">
        <v>80</v>
      </c>
      <c r="O2763" t="s">
        <v>81</v>
      </c>
      <c r="P2763" t="s">
        <v>12</v>
      </c>
      <c r="Q2763" t="s">
        <v>13</v>
      </c>
      <c r="R2763" t="s">
        <v>13</v>
      </c>
      <c r="S2763" t="s">
        <v>144</v>
      </c>
      <c r="T2763" s="2">
        <f>MASTER[[#This Row],[CANTIDAD]]*MASTER[[#This Row],[PRECIO DE VENTA]]</f>
        <v>1507</v>
      </c>
      <c r="U2763" s="2">
        <f>MASTER[[#This Row],[CANTIDAD]]*MASTER[[#This Row],[COSTO UNITARIO]]</f>
        <v>393</v>
      </c>
      <c r="V2763" s="2">
        <f>MASTER[[#This Row],[MONTO VENDIDO]]-MASTER[[#This Row],[COSTO DE VENTA]]</f>
        <v>1114</v>
      </c>
    </row>
    <row r="2764" spans="1:22" x14ac:dyDescent="0.3">
      <c r="A2764">
        <v>45503</v>
      </c>
      <c r="B2764">
        <v>1</v>
      </c>
      <c r="C2764" t="s">
        <v>107</v>
      </c>
      <c r="D2764" t="s">
        <v>108</v>
      </c>
      <c r="E2764" s="1">
        <v>44162</v>
      </c>
      <c r="F2764">
        <v>4</v>
      </c>
      <c r="G2764" t="s">
        <v>59</v>
      </c>
      <c r="H2764" t="s">
        <v>60</v>
      </c>
      <c r="I2764" s="3">
        <v>1333</v>
      </c>
      <c r="J2764" s="3">
        <v>1333</v>
      </c>
      <c r="K2764" s="3">
        <v>380</v>
      </c>
      <c r="L2764" t="s">
        <v>98</v>
      </c>
      <c r="M2764">
        <v>19</v>
      </c>
      <c r="N2764" t="s">
        <v>89</v>
      </c>
      <c r="O2764" t="s">
        <v>81</v>
      </c>
      <c r="P2764" t="s">
        <v>15</v>
      </c>
      <c r="Q2764" t="s">
        <v>16</v>
      </c>
      <c r="R2764" t="s">
        <v>16</v>
      </c>
      <c r="S2764" t="s">
        <v>144</v>
      </c>
      <c r="T2764" s="2">
        <f>MASTER[[#This Row],[CANTIDAD]]*MASTER[[#This Row],[PRECIO DE VENTA]]</f>
        <v>5332</v>
      </c>
      <c r="U2764" s="2">
        <f>MASTER[[#This Row],[CANTIDAD]]*MASTER[[#This Row],[COSTO UNITARIO]]</f>
        <v>1520</v>
      </c>
      <c r="V2764" s="2">
        <f>MASTER[[#This Row],[MONTO VENDIDO]]-MASTER[[#This Row],[COSTO DE VENTA]]</f>
        <v>3812</v>
      </c>
    </row>
    <row r="2765" spans="1:22" x14ac:dyDescent="0.3">
      <c r="A2765">
        <v>45517</v>
      </c>
      <c r="B2765">
        <v>1</v>
      </c>
      <c r="C2765" t="s">
        <v>92</v>
      </c>
      <c r="D2765" t="s">
        <v>93</v>
      </c>
      <c r="E2765" s="1">
        <v>44162</v>
      </c>
      <c r="F2765">
        <v>1</v>
      </c>
      <c r="G2765" t="s">
        <v>22</v>
      </c>
      <c r="H2765" t="s">
        <v>23</v>
      </c>
      <c r="I2765" s="3">
        <v>1479</v>
      </c>
      <c r="J2765" s="3">
        <v>1479</v>
      </c>
      <c r="K2765" s="3">
        <v>396</v>
      </c>
      <c r="L2765" t="s">
        <v>9</v>
      </c>
      <c r="M2765">
        <v>11</v>
      </c>
      <c r="N2765" t="s">
        <v>10</v>
      </c>
      <c r="O2765" t="s">
        <v>11</v>
      </c>
      <c r="P2765" t="s">
        <v>12</v>
      </c>
      <c r="Q2765" t="s">
        <v>13</v>
      </c>
      <c r="R2765" t="s">
        <v>13</v>
      </c>
      <c r="S2765" t="s">
        <v>144</v>
      </c>
      <c r="T2765" s="2">
        <f>MASTER[[#This Row],[CANTIDAD]]*MASTER[[#This Row],[PRECIO DE VENTA]]</f>
        <v>1479</v>
      </c>
      <c r="U2765" s="2">
        <f>MASTER[[#This Row],[CANTIDAD]]*MASTER[[#This Row],[COSTO UNITARIO]]</f>
        <v>396</v>
      </c>
      <c r="V2765" s="2">
        <f>MASTER[[#This Row],[MONTO VENDIDO]]-MASTER[[#This Row],[COSTO DE VENTA]]</f>
        <v>1083</v>
      </c>
    </row>
    <row r="2766" spans="1:22" x14ac:dyDescent="0.3">
      <c r="A2766">
        <v>45524</v>
      </c>
      <c r="B2766">
        <v>1</v>
      </c>
      <c r="C2766" t="s">
        <v>90</v>
      </c>
      <c r="D2766" t="s">
        <v>91</v>
      </c>
      <c r="E2766" s="1">
        <v>44162</v>
      </c>
      <c r="F2766">
        <v>1</v>
      </c>
      <c r="G2766" t="s">
        <v>39</v>
      </c>
      <c r="H2766" t="s">
        <v>40</v>
      </c>
      <c r="I2766" s="3">
        <v>1844</v>
      </c>
      <c r="J2766" s="3">
        <v>1714</v>
      </c>
      <c r="K2766" s="3">
        <v>420</v>
      </c>
      <c r="L2766" t="s">
        <v>9</v>
      </c>
      <c r="M2766">
        <v>14</v>
      </c>
      <c r="N2766" t="s">
        <v>87</v>
      </c>
      <c r="O2766" t="s">
        <v>81</v>
      </c>
      <c r="P2766" t="s">
        <v>18</v>
      </c>
      <c r="Q2766" t="s">
        <v>19</v>
      </c>
      <c r="R2766" t="s">
        <v>138</v>
      </c>
      <c r="S2766" t="s">
        <v>144</v>
      </c>
      <c r="T2766" s="2">
        <f>MASTER[[#This Row],[CANTIDAD]]*MASTER[[#This Row],[PRECIO DE VENTA]]</f>
        <v>1714</v>
      </c>
      <c r="U2766" s="2">
        <f>MASTER[[#This Row],[CANTIDAD]]*MASTER[[#This Row],[COSTO UNITARIO]]</f>
        <v>420</v>
      </c>
      <c r="V2766" s="2">
        <f>MASTER[[#This Row],[MONTO VENDIDO]]-MASTER[[#This Row],[COSTO DE VENTA]]</f>
        <v>1294</v>
      </c>
    </row>
    <row r="2767" spans="1:22" x14ac:dyDescent="0.3">
      <c r="A2767">
        <v>45525</v>
      </c>
      <c r="B2767">
        <v>1</v>
      </c>
      <c r="C2767" t="s">
        <v>114</v>
      </c>
      <c r="D2767" t="s">
        <v>115</v>
      </c>
      <c r="E2767" s="1">
        <v>44162</v>
      </c>
      <c r="F2767">
        <v>1</v>
      </c>
      <c r="G2767" t="s">
        <v>27</v>
      </c>
      <c r="H2767" t="s">
        <v>28</v>
      </c>
      <c r="I2767" s="3">
        <v>1583</v>
      </c>
      <c r="J2767" s="3">
        <v>1583</v>
      </c>
      <c r="K2767" s="3">
        <v>394</v>
      </c>
      <c r="L2767" t="s">
        <v>113</v>
      </c>
      <c r="M2767">
        <v>12</v>
      </c>
      <c r="N2767" t="s">
        <v>26</v>
      </c>
      <c r="O2767" t="s">
        <v>11</v>
      </c>
      <c r="P2767" t="s">
        <v>12</v>
      </c>
      <c r="Q2767" t="s">
        <v>13</v>
      </c>
      <c r="R2767" t="s">
        <v>13</v>
      </c>
      <c r="S2767" t="s">
        <v>144</v>
      </c>
      <c r="T2767" s="2">
        <f>MASTER[[#This Row],[CANTIDAD]]*MASTER[[#This Row],[PRECIO DE VENTA]]</f>
        <v>1583</v>
      </c>
      <c r="U2767" s="2">
        <f>MASTER[[#This Row],[CANTIDAD]]*MASTER[[#This Row],[COSTO UNITARIO]]</f>
        <v>394</v>
      </c>
      <c r="V2767" s="2">
        <f>MASTER[[#This Row],[MONTO VENDIDO]]-MASTER[[#This Row],[COSTO DE VENTA]]</f>
        <v>1189</v>
      </c>
    </row>
    <row r="2768" spans="1:22" x14ac:dyDescent="0.3">
      <c r="A2768">
        <v>45537</v>
      </c>
      <c r="B2768">
        <v>2</v>
      </c>
      <c r="C2768" t="s">
        <v>90</v>
      </c>
      <c r="D2768" t="s">
        <v>91</v>
      </c>
      <c r="E2768" s="1">
        <v>44162</v>
      </c>
      <c r="F2768">
        <v>1</v>
      </c>
      <c r="G2768" t="s">
        <v>31</v>
      </c>
      <c r="H2768" t="s">
        <v>32</v>
      </c>
      <c r="I2768" s="3">
        <v>1844</v>
      </c>
      <c r="J2768" s="3">
        <v>1844</v>
      </c>
      <c r="K2768" s="3">
        <v>420</v>
      </c>
      <c r="L2768" t="s">
        <v>9</v>
      </c>
      <c r="M2768">
        <v>8</v>
      </c>
      <c r="N2768" t="s">
        <v>80</v>
      </c>
      <c r="O2768" t="s">
        <v>81</v>
      </c>
      <c r="P2768" t="s">
        <v>12</v>
      </c>
      <c r="Q2768" t="s">
        <v>13</v>
      </c>
      <c r="R2768" t="s">
        <v>13</v>
      </c>
      <c r="S2768" t="s">
        <v>144</v>
      </c>
      <c r="T2768" s="2">
        <f>MASTER[[#This Row],[CANTIDAD]]*MASTER[[#This Row],[PRECIO DE VENTA]]</f>
        <v>1844</v>
      </c>
      <c r="U2768" s="2">
        <f>MASTER[[#This Row],[CANTIDAD]]*MASTER[[#This Row],[COSTO UNITARIO]]</f>
        <v>420</v>
      </c>
      <c r="V2768" s="2">
        <f>MASTER[[#This Row],[MONTO VENDIDO]]-MASTER[[#This Row],[COSTO DE VENTA]]</f>
        <v>1424</v>
      </c>
    </row>
    <row r="2769" spans="1:22" x14ac:dyDescent="0.3">
      <c r="A2769">
        <v>45537</v>
      </c>
      <c r="B2769">
        <v>3</v>
      </c>
      <c r="C2769" t="s">
        <v>99</v>
      </c>
      <c r="D2769" t="s">
        <v>100</v>
      </c>
      <c r="E2769" s="1">
        <v>44162</v>
      </c>
      <c r="F2769">
        <v>1</v>
      </c>
      <c r="G2769" t="s">
        <v>20</v>
      </c>
      <c r="H2769" t="s">
        <v>21</v>
      </c>
      <c r="I2769" s="3">
        <v>1459</v>
      </c>
      <c r="J2769" s="3">
        <v>1459</v>
      </c>
      <c r="K2769" s="3">
        <v>386</v>
      </c>
      <c r="L2769" t="s">
        <v>98</v>
      </c>
      <c r="M2769">
        <v>8</v>
      </c>
      <c r="N2769" t="s">
        <v>80</v>
      </c>
      <c r="O2769" t="s">
        <v>81</v>
      </c>
      <c r="P2769" t="s">
        <v>12</v>
      </c>
      <c r="Q2769" t="s">
        <v>13</v>
      </c>
      <c r="R2769" t="s">
        <v>13</v>
      </c>
      <c r="S2769" t="s">
        <v>144</v>
      </c>
      <c r="T2769" s="2">
        <f>MASTER[[#This Row],[CANTIDAD]]*MASTER[[#This Row],[PRECIO DE VENTA]]</f>
        <v>1459</v>
      </c>
      <c r="U2769" s="2">
        <f>MASTER[[#This Row],[CANTIDAD]]*MASTER[[#This Row],[COSTO UNITARIO]]</f>
        <v>386</v>
      </c>
      <c r="V2769" s="2">
        <f>MASTER[[#This Row],[MONTO VENDIDO]]-MASTER[[#This Row],[COSTO DE VENTA]]</f>
        <v>1073</v>
      </c>
    </row>
    <row r="2770" spans="1:22" x14ac:dyDescent="0.3">
      <c r="A2770">
        <v>45537</v>
      </c>
      <c r="B2770">
        <v>1</v>
      </c>
      <c r="C2770" t="s">
        <v>105</v>
      </c>
      <c r="D2770" t="s">
        <v>106</v>
      </c>
      <c r="E2770" s="1">
        <v>44162</v>
      </c>
      <c r="F2770">
        <v>1</v>
      </c>
      <c r="G2770" t="s">
        <v>27</v>
      </c>
      <c r="H2770" t="s">
        <v>28</v>
      </c>
      <c r="I2770" s="3">
        <v>1865</v>
      </c>
      <c r="J2770" s="3">
        <v>1865</v>
      </c>
      <c r="K2770" s="3">
        <v>459</v>
      </c>
      <c r="L2770" t="s">
        <v>98</v>
      </c>
      <c r="M2770">
        <v>8</v>
      </c>
      <c r="N2770" t="s">
        <v>80</v>
      </c>
      <c r="O2770" t="s">
        <v>81</v>
      </c>
      <c r="P2770" t="s">
        <v>12</v>
      </c>
      <c r="Q2770" t="s">
        <v>13</v>
      </c>
      <c r="R2770" t="s">
        <v>13</v>
      </c>
      <c r="S2770" t="s">
        <v>144</v>
      </c>
      <c r="T2770" s="2">
        <f>MASTER[[#This Row],[CANTIDAD]]*MASTER[[#This Row],[PRECIO DE VENTA]]</f>
        <v>1865</v>
      </c>
      <c r="U2770" s="2">
        <f>MASTER[[#This Row],[CANTIDAD]]*MASTER[[#This Row],[COSTO UNITARIO]]</f>
        <v>459</v>
      </c>
      <c r="V2770" s="2">
        <f>MASTER[[#This Row],[MONTO VENDIDO]]-MASTER[[#This Row],[COSTO DE VENTA]]</f>
        <v>1406</v>
      </c>
    </row>
    <row r="2771" spans="1:22" x14ac:dyDescent="0.3">
      <c r="A2771">
        <v>45580</v>
      </c>
      <c r="B2771">
        <v>1</v>
      </c>
      <c r="C2771" t="s">
        <v>96</v>
      </c>
      <c r="D2771" t="s">
        <v>97</v>
      </c>
      <c r="E2771" s="1">
        <v>44162</v>
      </c>
      <c r="F2771">
        <v>1</v>
      </c>
      <c r="G2771" t="s">
        <v>20</v>
      </c>
      <c r="H2771" t="s">
        <v>21</v>
      </c>
      <c r="I2771" s="3">
        <v>1272</v>
      </c>
      <c r="J2771" s="3">
        <v>1272</v>
      </c>
      <c r="K2771" s="3">
        <v>397</v>
      </c>
      <c r="L2771" t="s">
        <v>98</v>
      </c>
      <c r="M2771">
        <v>5</v>
      </c>
      <c r="N2771" t="s">
        <v>85</v>
      </c>
      <c r="O2771" t="s">
        <v>81</v>
      </c>
      <c r="P2771" t="s">
        <v>12</v>
      </c>
      <c r="Q2771" t="s">
        <v>13</v>
      </c>
      <c r="R2771" t="s">
        <v>13</v>
      </c>
      <c r="S2771" t="s">
        <v>144</v>
      </c>
      <c r="T2771" s="2">
        <f>MASTER[[#This Row],[CANTIDAD]]*MASTER[[#This Row],[PRECIO DE VENTA]]</f>
        <v>1272</v>
      </c>
      <c r="U2771" s="2">
        <f>MASTER[[#This Row],[CANTIDAD]]*MASTER[[#This Row],[COSTO UNITARIO]]</f>
        <v>397</v>
      </c>
      <c r="V2771" s="2">
        <f>MASTER[[#This Row],[MONTO VENDIDO]]-MASTER[[#This Row],[COSTO DE VENTA]]</f>
        <v>875</v>
      </c>
    </row>
    <row r="2772" spans="1:22" x14ac:dyDescent="0.3">
      <c r="A2772">
        <v>45595</v>
      </c>
      <c r="B2772">
        <v>1</v>
      </c>
      <c r="C2772" t="s">
        <v>96</v>
      </c>
      <c r="D2772" t="s">
        <v>97</v>
      </c>
      <c r="E2772" s="1">
        <v>44162</v>
      </c>
      <c r="F2772">
        <v>1</v>
      </c>
      <c r="G2772" t="s">
        <v>51</v>
      </c>
      <c r="H2772" t="s">
        <v>52</v>
      </c>
      <c r="I2772" s="3">
        <v>1272</v>
      </c>
      <c r="J2772" s="3">
        <v>1272</v>
      </c>
      <c r="K2772" s="3">
        <v>397</v>
      </c>
      <c r="L2772" t="s">
        <v>98</v>
      </c>
      <c r="M2772">
        <v>8</v>
      </c>
      <c r="N2772" t="s">
        <v>80</v>
      </c>
      <c r="O2772" t="s">
        <v>81</v>
      </c>
      <c r="P2772" t="s">
        <v>12</v>
      </c>
      <c r="Q2772" t="s">
        <v>13</v>
      </c>
      <c r="R2772" t="s">
        <v>13</v>
      </c>
      <c r="S2772" t="s">
        <v>144</v>
      </c>
      <c r="T2772" s="2">
        <f>MASTER[[#This Row],[CANTIDAD]]*MASTER[[#This Row],[PRECIO DE VENTA]]</f>
        <v>1272</v>
      </c>
      <c r="U2772" s="2">
        <f>MASTER[[#This Row],[CANTIDAD]]*MASTER[[#This Row],[COSTO UNITARIO]]</f>
        <v>397</v>
      </c>
      <c r="V2772" s="2">
        <f>MASTER[[#This Row],[MONTO VENDIDO]]-MASTER[[#This Row],[COSTO DE VENTA]]</f>
        <v>875</v>
      </c>
    </row>
    <row r="2773" spans="1:22" x14ac:dyDescent="0.3">
      <c r="A2773">
        <v>45609</v>
      </c>
      <c r="B2773">
        <v>1</v>
      </c>
      <c r="C2773" t="s">
        <v>96</v>
      </c>
      <c r="D2773" t="s">
        <v>97</v>
      </c>
      <c r="E2773" s="1">
        <v>44163</v>
      </c>
      <c r="F2773">
        <v>1</v>
      </c>
      <c r="G2773" t="s">
        <v>65</v>
      </c>
      <c r="H2773" t="s">
        <v>66</v>
      </c>
      <c r="I2773" s="3">
        <v>1361</v>
      </c>
      <c r="J2773" s="3">
        <v>1361</v>
      </c>
      <c r="K2773" s="3">
        <v>397</v>
      </c>
      <c r="L2773" t="s">
        <v>98</v>
      </c>
      <c r="M2773">
        <v>13</v>
      </c>
      <c r="N2773" t="s">
        <v>78</v>
      </c>
      <c r="O2773" t="s">
        <v>70</v>
      </c>
      <c r="P2773" t="s">
        <v>18</v>
      </c>
      <c r="Q2773" t="s">
        <v>19</v>
      </c>
      <c r="R2773" t="s">
        <v>138</v>
      </c>
      <c r="S2773" t="s">
        <v>144</v>
      </c>
      <c r="T2773" s="2">
        <f>MASTER[[#This Row],[CANTIDAD]]*MASTER[[#This Row],[PRECIO DE VENTA]]</f>
        <v>1361</v>
      </c>
      <c r="U2773" s="2">
        <f>MASTER[[#This Row],[CANTIDAD]]*MASTER[[#This Row],[COSTO UNITARIO]]</f>
        <v>397</v>
      </c>
      <c r="V2773" s="2">
        <f>MASTER[[#This Row],[MONTO VENDIDO]]-MASTER[[#This Row],[COSTO DE VENTA]]</f>
        <v>964</v>
      </c>
    </row>
    <row r="2774" spans="1:22" x14ac:dyDescent="0.3">
      <c r="A2774">
        <v>45620</v>
      </c>
      <c r="B2774">
        <v>1</v>
      </c>
      <c r="C2774" t="s">
        <v>90</v>
      </c>
      <c r="D2774" t="s">
        <v>91</v>
      </c>
      <c r="E2774" s="1">
        <v>44163</v>
      </c>
      <c r="F2774">
        <v>1</v>
      </c>
      <c r="G2774" t="s">
        <v>20</v>
      </c>
      <c r="H2774" t="s">
        <v>21</v>
      </c>
      <c r="I2774" s="3">
        <v>2102</v>
      </c>
      <c r="J2774" s="3">
        <v>2102</v>
      </c>
      <c r="K2774" s="3">
        <v>420</v>
      </c>
      <c r="L2774" t="s">
        <v>9</v>
      </c>
      <c r="M2774">
        <v>13</v>
      </c>
      <c r="N2774" t="s">
        <v>78</v>
      </c>
      <c r="O2774" t="s">
        <v>70</v>
      </c>
      <c r="P2774" t="s">
        <v>18</v>
      </c>
      <c r="Q2774" t="s">
        <v>19</v>
      </c>
      <c r="R2774" t="s">
        <v>138</v>
      </c>
      <c r="S2774" t="s">
        <v>144</v>
      </c>
      <c r="T2774" s="2">
        <f>MASTER[[#This Row],[CANTIDAD]]*MASTER[[#This Row],[PRECIO DE VENTA]]</f>
        <v>2102</v>
      </c>
      <c r="U2774" s="2">
        <f>MASTER[[#This Row],[CANTIDAD]]*MASTER[[#This Row],[COSTO UNITARIO]]</f>
        <v>420</v>
      </c>
      <c r="V2774" s="2">
        <f>MASTER[[#This Row],[MONTO VENDIDO]]-MASTER[[#This Row],[COSTO DE VENTA]]</f>
        <v>1682</v>
      </c>
    </row>
    <row r="2775" spans="1:22" x14ac:dyDescent="0.3">
      <c r="A2775">
        <v>45652</v>
      </c>
      <c r="B2775">
        <v>1</v>
      </c>
      <c r="C2775" t="s">
        <v>92</v>
      </c>
      <c r="D2775" t="s">
        <v>93</v>
      </c>
      <c r="E2775" s="1">
        <v>44163</v>
      </c>
      <c r="F2775">
        <v>1</v>
      </c>
      <c r="G2775" t="s">
        <v>24</v>
      </c>
      <c r="H2775" t="s">
        <v>25</v>
      </c>
      <c r="I2775" s="3">
        <v>1479</v>
      </c>
      <c r="J2775" s="3">
        <v>1479</v>
      </c>
      <c r="K2775" s="3">
        <v>396</v>
      </c>
      <c r="L2775" t="s">
        <v>9</v>
      </c>
      <c r="M2775">
        <v>17</v>
      </c>
      <c r="N2775" t="s">
        <v>14</v>
      </c>
      <c r="O2775" t="s">
        <v>11</v>
      </c>
      <c r="P2775" t="s">
        <v>15</v>
      </c>
      <c r="Q2775" t="s">
        <v>16</v>
      </c>
      <c r="R2775" t="s">
        <v>16</v>
      </c>
      <c r="S2775" t="s">
        <v>144</v>
      </c>
      <c r="T2775" s="2">
        <f>MASTER[[#This Row],[CANTIDAD]]*MASTER[[#This Row],[PRECIO DE VENTA]]</f>
        <v>1479</v>
      </c>
      <c r="U2775" s="2">
        <f>MASTER[[#This Row],[CANTIDAD]]*MASTER[[#This Row],[COSTO UNITARIO]]</f>
        <v>396</v>
      </c>
      <c r="V2775" s="2">
        <f>MASTER[[#This Row],[MONTO VENDIDO]]-MASTER[[#This Row],[COSTO DE VENTA]]</f>
        <v>1083</v>
      </c>
    </row>
    <row r="2776" spans="1:22" x14ac:dyDescent="0.3">
      <c r="A2776">
        <v>45679</v>
      </c>
      <c r="B2776">
        <v>1</v>
      </c>
      <c r="C2776" t="s">
        <v>109</v>
      </c>
      <c r="D2776" t="s">
        <v>110</v>
      </c>
      <c r="E2776" s="1">
        <v>44163</v>
      </c>
      <c r="F2776">
        <v>1</v>
      </c>
      <c r="G2776" t="s">
        <v>45</v>
      </c>
      <c r="H2776" t="s">
        <v>46</v>
      </c>
      <c r="I2776" s="3">
        <v>1064</v>
      </c>
      <c r="J2776" s="3">
        <v>1064</v>
      </c>
      <c r="K2776" s="3">
        <v>387</v>
      </c>
      <c r="L2776" t="s">
        <v>98</v>
      </c>
      <c r="M2776">
        <v>2</v>
      </c>
      <c r="N2776" t="s">
        <v>86</v>
      </c>
      <c r="O2776" t="s">
        <v>81</v>
      </c>
      <c r="P2776" t="s">
        <v>71</v>
      </c>
      <c r="Q2776" t="s">
        <v>72</v>
      </c>
      <c r="R2776" t="s">
        <v>139</v>
      </c>
      <c r="S2776" t="s">
        <v>144</v>
      </c>
      <c r="T2776" s="2">
        <f>MASTER[[#This Row],[CANTIDAD]]*MASTER[[#This Row],[PRECIO DE VENTA]]</f>
        <v>1064</v>
      </c>
      <c r="U2776" s="2">
        <f>MASTER[[#This Row],[CANTIDAD]]*MASTER[[#This Row],[COSTO UNITARIO]]</f>
        <v>387</v>
      </c>
      <c r="V2776" s="2">
        <f>MASTER[[#This Row],[MONTO VENDIDO]]-MASTER[[#This Row],[COSTO DE VENTA]]</f>
        <v>677</v>
      </c>
    </row>
    <row r="2777" spans="1:22" x14ac:dyDescent="0.3">
      <c r="A2777">
        <v>45694</v>
      </c>
      <c r="B2777">
        <v>1</v>
      </c>
      <c r="C2777" t="s">
        <v>99</v>
      </c>
      <c r="D2777" t="s">
        <v>100</v>
      </c>
      <c r="E2777" s="1">
        <v>44163</v>
      </c>
      <c r="F2777">
        <v>1</v>
      </c>
      <c r="G2777" t="s">
        <v>22</v>
      </c>
      <c r="H2777" t="s">
        <v>23</v>
      </c>
      <c r="I2777" s="3">
        <v>1328</v>
      </c>
      <c r="J2777" s="3">
        <v>1328</v>
      </c>
      <c r="K2777" s="3">
        <v>386</v>
      </c>
      <c r="L2777" t="s">
        <v>98</v>
      </c>
      <c r="M2777">
        <v>16</v>
      </c>
      <c r="N2777" t="s">
        <v>17</v>
      </c>
      <c r="O2777" t="s">
        <v>11</v>
      </c>
      <c r="P2777" t="s">
        <v>18</v>
      </c>
      <c r="Q2777" t="s">
        <v>19</v>
      </c>
      <c r="R2777" t="s">
        <v>138</v>
      </c>
      <c r="S2777" t="s">
        <v>144</v>
      </c>
      <c r="T2777" s="2">
        <f>MASTER[[#This Row],[CANTIDAD]]*MASTER[[#This Row],[PRECIO DE VENTA]]</f>
        <v>1328</v>
      </c>
      <c r="U2777" s="2">
        <f>MASTER[[#This Row],[CANTIDAD]]*MASTER[[#This Row],[COSTO UNITARIO]]</f>
        <v>386</v>
      </c>
      <c r="V2777" s="2">
        <f>MASTER[[#This Row],[MONTO VENDIDO]]-MASTER[[#This Row],[COSTO DE VENTA]]</f>
        <v>942</v>
      </c>
    </row>
    <row r="2778" spans="1:22" x14ac:dyDescent="0.3">
      <c r="A2778">
        <v>45695</v>
      </c>
      <c r="B2778">
        <v>1</v>
      </c>
      <c r="C2778" t="s">
        <v>90</v>
      </c>
      <c r="D2778" t="s">
        <v>91</v>
      </c>
      <c r="E2778" s="1">
        <v>44164</v>
      </c>
      <c r="F2778">
        <v>1</v>
      </c>
      <c r="G2778" t="s">
        <v>55</v>
      </c>
      <c r="H2778" t="s">
        <v>56</v>
      </c>
      <c r="I2778" s="3">
        <v>1844</v>
      </c>
      <c r="J2778" s="3">
        <v>1844</v>
      </c>
      <c r="K2778" s="3">
        <v>420</v>
      </c>
      <c r="L2778" t="s">
        <v>9</v>
      </c>
      <c r="M2778">
        <v>5</v>
      </c>
      <c r="N2778" t="s">
        <v>85</v>
      </c>
      <c r="O2778" t="s">
        <v>81</v>
      </c>
      <c r="P2778" t="s">
        <v>12</v>
      </c>
      <c r="Q2778" t="s">
        <v>13</v>
      </c>
      <c r="R2778" t="s">
        <v>13</v>
      </c>
      <c r="S2778" t="s">
        <v>144</v>
      </c>
      <c r="T2778" s="2">
        <f>MASTER[[#This Row],[CANTIDAD]]*MASTER[[#This Row],[PRECIO DE VENTA]]</f>
        <v>1844</v>
      </c>
      <c r="U2778" s="2">
        <f>MASTER[[#This Row],[CANTIDAD]]*MASTER[[#This Row],[COSTO UNITARIO]]</f>
        <v>420</v>
      </c>
      <c r="V2778" s="2">
        <f>MASTER[[#This Row],[MONTO VENDIDO]]-MASTER[[#This Row],[COSTO DE VENTA]]</f>
        <v>1424</v>
      </c>
    </row>
    <row r="2779" spans="1:22" x14ac:dyDescent="0.3">
      <c r="A2779">
        <v>45705</v>
      </c>
      <c r="B2779">
        <v>1</v>
      </c>
      <c r="C2779" t="s">
        <v>99</v>
      </c>
      <c r="D2779" t="s">
        <v>100</v>
      </c>
      <c r="E2779" s="1">
        <v>44164</v>
      </c>
      <c r="F2779">
        <v>1</v>
      </c>
      <c r="G2779" t="s">
        <v>22</v>
      </c>
      <c r="H2779" t="s">
        <v>23</v>
      </c>
      <c r="I2779" s="3">
        <v>1459</v>
      </c>
      <c r="J2779" s="3">
        <v>1459</v>
      </c>
      <c r="K2779" s="3">
        <v>386</v>
      </c>
      <c r="L2779" t="s">
        <v>98</v>
      </c>
      <c r="M2779">
        <v>15</v>
      </c>
      <c r="N2779" t="s">
        <v>88</v>
      </c>
      <c r="O2779" t="s">
        <v>81</v>
      </c>
      <c r="P2779" t="s">
        <v>18</v>
      </c>
      <c r="Q2779" t="s">
        <v>19</v>
      </c>
      <c r="R2779" t="s">
        <v>138</v>
      </c>
      <c r="S2779" t="s">
        <v>144</v>
      </c>
      <c r="T2779" s="2">
        <f>MASTER[[#This Row],[CANTIDAD]]*MASTER[[#This Row],[PRECIO DE VENTA]]</f>
        <v>1459</v>
      </c>
      <c r="U2779" s="2">
        <f>MASTER[[#This Row],[CANTIDAD]]*MASTER[[#This Row],[COSTO UNITARIO]]</f>
        <v>386</v>
      </c>
      <c r="V2779" s="2">
        <f>MASTER[[#This Row],[MONTO VENDIDO]]-MASTER[[#This Row],[COSTO DE VENTA]]</f>
        <v>1073</v>
      </c>
    </row>
    <row r="2780" spans="1:22" x14ac:dyDescent="0.3">
      <c r="A2780">
        <v>45719</v>
      </c>
      <c r="B2780">
        <v>1</v>
      </c>
      <c r="C2780" t="s">
        <v>99</v>
      </c>
      <c r="D2780" t="s">
        <v>100</v>
      </c>
      <c r="E2780" s="1">
        <v>44164</v>
      </c>
      <c r="F2780">
        <v>1</v>
      </c>
      <c r="G2780" t="s">
        <v>57</v>
      </c>
      <c r="H2780" t="s">
        <v>58</v>
      </c>
      <c r="I2780" s="3">
        <v>1328</v>
      </c>
      <c r="J2780" s="3">
        <v>1328</v>
      </c>
      <c r="K2780" s="3">
        <v>386</v>
      </c>
      <c r="L2780" t="s">
        <v>98</v>
      </c>
      <c r="M2780">
        <v>17</v>
      </c>
      <c r="N2780" t="s">
        <v>14</v>
      </c>
      <c r="O2780" t="s">
        <v>11</v>
      </c>
      <c r="P2780" t="s">
        <v>15</v>
      </c>
      <c r="Q2780" t="s">
        <v>16</v>
      </c>
      <c r="R2780" t="s">
        <v>16</v>
      </c>
      <c r="S2780" t="s">
        <v>144</v>
      </c>
      <c r="T2780" s="2">
        <f>MASTER[[#This Row],[CANTIDAD]]*MASTER[[#This Row],[PRECIO DE VENTA]]</f>
        <v>1328</v>
      </c>
      <c r="U2780" s="2">
        <f>MASTER[[#This Row],[CANTIDAD]]*MASTER[[#This Row],[COSTO UNITARIO]]</f>
        <v>386</v>
      </c>
      <c r="V2780" s="2">
        <f>MASTER[[#This Row],[MONTO VENDIDO]]-MASTER[[#This Row],[COSTO DE VENTA]]</f>
        <v>942</v>
      </c>
    </row>
    <row r="2781" spans="1:22" x14ac:dyDescent="0.3">
      <c r="A2781">
        <v>45732</v>
      </c>
      <c r="B2781">
        <v>1</v>
      </c>
      <c r="C2781" t="s">
        <v>96</v>
      </c>
      <c r="D2781" t="s">
        <v>97</v>
      </c>
      <c r="E2781" s="1">
        <v>44164</v>
      </c>
      <c r="F2781">
        <v>2</v>
      </c>
      <c r="G2781" t="s">
        <v>73</v>
      </c>
      <c r="H2781" t="s">
        <v>74</v>
      </c>
      <c r="I2781" s="3">
        <v>1196</v>
      </c>
      <c r="J2781" s="3">
        <v>1196</v>
      </c>
      <c r="K2781" s="3">
        <v>397</v>
      </c>
      <c r="L2781" t="s">
        <v>98</v>
      </c>
      <c r="M2781">
        <v>17</v>
      </c>
      <c r="N2781" t="s">
        <v>14</v>
      </c>
      <c r="O2781" t="s">
        <v>11</v>
      </c>
      <c r="P2781" t="s">
        <v>15</v>
      </c>
      <c r="Q2781" t="s">
        <v>16</v>
      </c>
      <c r="R2781" t="s">
        <v>16</v>
      </c>
      <c r="S2781" t="s">
        <v>144</v>
      </c>
      <c r="T2781" s="2">
        <f>MASTER[[#This Row],[CANTIDAD]]*MASTER[[#This Row],[PRECIO DE VENTA]]</f>
        <v>2392</v>
      </c>
      <c r="U2781" s="2">
        <f>MASTER[[#This Row],[CANTIDAD]]*MASTER[[#This Row],[COSTO UNITARIO]]</f>
        <v>794</v>
      </c>
      <c r="V2781" s="2">
        <f>MASTER[[#This Row],[MONTO VENDIDO]]-MASTER[[#This Row],[COSTO DE VENTA]]</f>
        <v>1598</v>
      </c>
    </row>
    <row r="2782" spans="1:22" x14ac:dyDescent="0.3">
      <c r="A2782">
        <v>45759</v>
      </c>
      <c r="B2782">
        <v>1</v>
      </c>
      <c r="C2782" t="s">
        <v>103</v>
      </c>
      <c r="D2782" t="s">
        <v>104</v>
      </c>
      <c r="E2782" s="1">
        <v>44164</v>
      </c>
      <c r="F2782">
        <v>1</v>
      </c>
      <c r="G2782" t="s">
        <v>7</v>
      </c>
      <c r="H2782" t="s">
        <v>8</v>
      </c>
      <c r="I2782" s="3">
        <v>1448</v>
      </c>
      <c r="J2782" s="3">
        <v>1448</v>
      </c>
      <c r="K2782" s="3">
        <v>421</v>
      </c>
      <c r="L2782" t="s">
        <v>98</v>
      </c>
      <c r="M2782">
        <v>12</v>
      </c>
      <c r="N2782" t="s">
        <v>26</v>
      </c>
      <c r="O2782" t="s">
        <v>11</v>
      </c>
      <c r="P2782" t="s">
        <v>12</v>
      </c>
      <c r="Q2782" t="s">
        <v>13</v>
      </c>
      <c r="R2782" t="s">
        <v>13</v>
      </c>
      <c r="S2782" t="s">
        <v>144</v>
      </c>
      <c r="T2782" s="2">
        <f>MASTER[[#This Row],[CANTIDAD]]*MASTER[[#This Row],[PRECIO DE VENTA]]</f>
        <v>1448</v>
      </c>
      <c r="U2782" s="2">
        <f>MASTER[[#This Row],[CANTIDAD]]*MASTER[[#This Row],[COSTO UNITARIO]]</f>
        <v>421</v>
      </c>
      <c r="V2782" s="2">
        <f>MASTER[[#This Row],[MONTO VENDIDO]]-MASTER[[#This Row],[COSTO DE VENTA]]</f>
        <v>1027</v>
      </c>
    </row>
    <row r="2783" spans="1:22" x14ac:dyDescent="0.3">
      <c r="A2783">
        <v>45773</v>
      </c>
      <c r="B2783">
        <v>1</v>
      </c>
      <c r="C2783" t="s">
        <v>101</v>
      </c>
      <c r="D2783" t="s">
        <v>102</v>
      </c>
      <c r="E2783" s="1">
        <v>44164</v>
      </c>
      <c r="F2783">
        <v>1</v>
      </c>
      <c r="G2783" t="s">
        <v>22</v>
      </c>
      <c r="H2783" t="s">
        <v>23</v>
      </c>
      <c r="I2783" s="3">
        <v>1212</v>
      </c>
      <c r="J2783" s="3">
        <v>1115</v>
      </c>
      <c r="K2783" s="3">
        <v>442</v>
      </c>
      <c r="L2783" t="s">
        <v>98</v>
      </c>
      <c r="M2783">
        <v>8</v>
      </c>
      <c r="N2783" t="s">
        <v>80</v>
      </c>
      <c r="O2783" t="s">
        <v>81</v>
      </c>
      <c r="P2783" t="s">
        <v>12</v>
      </c>
      <c r="Q2783" t="s">
        <v>13</v>
      </c>
      <c r="R2783" t="s">
        <v>13</v>
      </c>
      <c r="S2783" t="s">
        <v>144</v>
      </c>
      <c r="T2783" s="2">
        <f>MASTER[[#This Row],[CANTIDAD]]*MASTER[[#This Row],[PRECIO DE VENTA]]</f>
        <v>1115</v>
      </c>
      <c r="U2783" s="2">
        <f>MASTER[[#This Row],[CANTIDAD]]*MASTER[[#This Row],[COSTO UNITARIO]]</f>
        <v>442</v>
      </c>
      <c r="V2783" s="2">
        <f>MASTER[[#This Row],[MONTO VENDIDO]]-MASTER[[#This Row],[COSTO DE VENTA]]</f>
        <v>673</v>
      </c>
    </row>
    <row r="2784" spans="1:22" x14ac:dyDescent="0.3">
      <c r="A2784">
        <v>45789</v>
      </c>
      <c r="B2784">
        <v>1</v>
      </c>
      <c r="C2784" t="s">
        <v>109</v>
      </c>
      <c r="D2784" t="s">
        <v>110</v>
      </c>
      <c r="E2784" s="1">
        <v>44164</v>
      </c>
      <c r="F2784">
        <v>1</v>
      </c>
      <c r="G2784" t="s">
        <v>51</v>
      </c>
      <c r="H2784" t="s">
        <v>52</v>
      </c>
      <c r="I2784" s="3">
        <v>947</v>
      </c>
      <c r="J2784" s="3">
        <v>947</v>
      </c>
      <c r="K2784" s="3">
        <v>387</v>
      </c>
      <c r="L2784" t="s">
        <v>98</v>
      </c>
      <c r="M2784">
        <v>12</v>
      </c>
      <c r="N2784" t="s">
        <v>26</v>
      </c>
      <c r="O2784" t="s">
        <v>11</v>
      </c>
      <c r="P2784" t="s">
        <v>12</v>
      </c>
      <c r="Q2784" t="s">
        <v>13</v>
      </c>
      <c r="R2784" t="s">
        <v>13</v>
      </c>
      <c r="S2784" t="s">
        <v>144</v>
      </c>
      <c r="T2784" s="2">
        <f>MASTER[[#This Row],[CANTIDAD]]*MASTER[[#This Row],[PRECIO DE VENTA]]</f>
        <v>947</v>
      </c>
      <c r="U2784" s="2">
        <f>MASTER[[#This Row],[CANTIDAD]]*MASTER[[#This Row],[COSTO UNITARIO]]</f>
        <v>387</v>
      </c>
      <c r="V2784" s="2">
        <f>MASTER[[#This Row],[MONTO VENDIDO]]-MASTER[[#This Row],[COSTO DE VENTA]]</f>
        <v>560</v>
      </c>
    </row>
    <row r="2785" spans="1:22" x14ac:dyDescent="0.3">
      <c r="A2785">
        <v>45799</v>
      </c>
      <c r="B2785">
        <v>1</v>
      </c>
      <c r="C2785" t="s">
        <v>111</v>
      </c>
      <c r="D2785" t="s">
        <v>112</v>
      </c>
      <c r="E2785" s="1">
        <v>44165</v>
      </c>
      <c r="F2785">
        <v>1</v>
      </c>
      <c r="G2785" t="s">
        <v>24</v>
      </c>
      <c r="H2785" t="s">
        <v>25</v>
      </c>
      <c r="I2785" s="3">
        <v>1621</v>
      </c>
      <c r="J2785" s="3">
        <v>1621</v>
      </c>
      <c r="K2785" s="3">
        <v>434</v>
      </c>
      <c r="L2785" t="s">
        <v>113</v>
      </c>
      <c r="M2785">
        <v>14</v>
      </c>
      <c r="N2785" t="s">
        <v>87</v>
      </c>
      <c r="O2785" t="s">
        <v>81</v>
      </c>
      <c r="P2785" t="s">
        <v>18</v>
      </c>
      <c r="Q2785" t="s">
        <v>19</v>
      </c>
      <c r="R2785" t="s">
        <v>138</v>
      </c>
      <c r="S2785" t="s">
        <v>144</v>
      </c>
      <c r="T2785" s="2">
        <f>MASTER[[#This Row],[CANTIDAD]]*MASTER[[#This Row],[PRECIO DE VENTA]]</f>
        <v>1621</v>
      </c>
      <c r="U2785" s="2">
        <f>MASTER[[#This Row],[CANTIDAD]]*MASTER[[#This Row],[COSTO UNITARIO]]</f>
        <v>434</v>
      </c>
      <c r="V2785" s="2">
        <f>MASTER[[#This Row],[MONTO VENDIDO]]-MASTER[[#This Row],[COSTO DE VENTA]]</f>
        <v>1187</v>
      </c>
    </row>
    <row r="2786" spans="1:22" x14ac:dyDescent="0.3">
      <c r="A2786">
        <v>45805</v>
      </c>
      <c r="B2786">
        <v>1</v>
      </c>
      <c r="C2786" t="s">
        <v>116</v>
      </c>
      <c r="D2786" t="s">
        <v>117</v>
      </c>
      <c r="E2786" s="1">
        <v>44165</v>
      </c>
      <c r="F2786">
        <v>1</v>
      </c>
      <c r="G2786" t="s">
        <v>41</v>
      </c>
      <c r="H2786" t="s">
        <v>42</v>
      </c>
      <c r="I2786" s="3">
        <v>1999</v>
      </c>
      <c r="J2786" s="3">
        <v>1999</v>
      </c>
      <c r="K2786" s="3">
        <v>388</v>
      </c>
      <c r="L2786" t="s">
        <v>113</v>
      </c>
      <c r="M2786">
        <v>6</v>
      </c>
      <c r="N2786" t="s">
        <v>75</v>
      </c>
      <c r="O2786" t="s">
        <v>70</v>
      </c>
      <c r="P2786" t="s">
        <v>12</v>
      </c>
      <c r="Q2786" t="s">
        <v>13</v>
      </c>
      <c r="R2786" t="s">
        <v>13</v>
      </c>
      <c r="S2786" t="s">
        <v>144</v>
      </c>
      <c r="T2786" s="2">
        <f>MASTER[[#This Row],[CANTIDAD]]*MASTER[[#This Row],[PRECIO DE VENTA]]</f>
        <v>1999</v>
      </c>
      <c r="U2786" s="2">
        <f>MASTER[[#This Row],[CANTIDAD]]*MASTER[[#This Row],[COSTO UNITARIO]]</f>
        <v>388</v>
      </c>
      <c r="V2786" s="2">
        <f>MASTER[[#This Row],[MONTO VENDIDO]]-MASTER[[#This Row],[COSTO DE VENTA]]</f>
        <v>1611</v>
      </c>
    </row>
    <row r="2787" spans="1:22" x14ac:dyDescent="0.3">
      <c r="A2787">
        <v>45809</v>
      </c>
      <c r="B2787">
        <v>1</v>
      </c>
      <c r="C2787" t="s">
        <v>109</v>
      </c>
      <c r="D2787" t="s">
        <v>110</v>
      </c>
      <c r="E2787" s="1">
        <v>44165</v>
      </c>
      <c r="F2787">
        <v>1</v>
      </c>
      <c r="G2787" t="s">
        <v>27</v>
      </c>
      <c r="H2787" t="s">
        <v>28</v>
      </c>
      <c r="I2787" s="3">
        <v>1128</v>
      </c>
      <c r="J2787" s="3">
        <v>1128</v>
      </c>
      <c r="K2787" s="3">
        <v>387</v>
      </c>
      <c r="L2787" t="s">
        <v>98</v>
      </c>
      <c r="M2787">
        <v>1</v>
      </c>
      <c r="N2787" t="s">
        <v>77</v>
      </c>
      <c r="O2787" t="s">
        <v>70</v>
      </c>
      <c r="P2787" t="s">
        <v>71</v>
      </c>
      <c r="Q2787" t="s">
        <v>72</v>
      </c>
      <c r="R2787" t="s">
        <v>139</v>
      </c>
      <c r="S2787" t="s">
        <v>144</v>
      </c>
      <c r="T2787" s="2">
        <f>MASTER[[#This Row],[CANTIDAD]]*MASTER[[#This Row],[PRECIO DE VENTA]]</f>
        <v>1128</v>
      </c>
      <c r="U2787" s="2">
        <f>MASTER[[#This Row],[CANTIDAD]]*MASTER[[#This Row],[COSTO UNITARIO]]</f>
        <v>387</v>
      </c>
      <c r="V2787" s="2">
        <f>MASTER[[#This Row],[MONTO VENDIDO]]-MASTER[[#This Row],[COSTO DE VENTA]]</f>
        <v>741</v>
      </c>
    </row>
    <row r="2788" spans="1:22" x14ac:dyDescent="0.3">
      <c r="A2788">
        <v>45837</v>
      </c>
      <c r="B2788">
        <v>1</v>
      </c>
      <c r="C2788" t="s">
        <v>92</v>
      </c>
      <c r="D2788" t="s">
        <v>93</v>
      </c>
      <c r="E2788" s="1">
        <v>44165</v>
      </c>
      <c r="F2788">
        <v>1</v>
      </c>
      <c r="G2788" t="s">
        <v>63</v>
      </c>
      <c r="H2788" t="s">
        <v>64</v>
      </c>
      <c r="I2788" s="3">
        <v>1681</v>
      </c>
      <c r="J2788" s="3">
        <v>1681</v>
      </c>
      <c r="K2788" s="3">
        <v>396</v>
      </c>
      <c r="L2788" t="s">
        <v>9</v>
      </c>
      <c r="M2788">
        <v>15</v>
      </c>
      <c r="N2788" t="s">
        <v>88</v>
      </c>
      <c r="O2788" t="s">
        <v>81</v>
      </c>
      <c r="P2788" t="s">
        <v>18</v>
      </c>
      <c r="Q2788" t="s">
        <v>19</v>
      </c>
      <c r="R2788" t="s">
        <v>138</v>
      </c>
      <c r="S2788" t="s">
        <v>144</v>
      </c>
      <c r="T2788" s="2">
        <f>MASTER[[#This Row],[CANTIDAD]]*MASTER[[#This Row],[PRECIO DE VENTA]]</f>
        <v>1681</v>
      </c>
      <c r="U2788" s="2">
        <f>MASTER[[#This Row],[CANTIDAD]]*MASTER[[#This Row],[COSTO UNITARIO]]</f>
        <v>396</v>
      </c>
      <c r="V2788" s="2">
        <f>MASTER[[#This Row],[MONTO VENDIDO]]-MASTER[[#This Row],[COSTO DE VENTA]]</f>
        <v>1285</v>
      </c>
    </row>
    <row r="2789" spans="1:22" x14ac:dyDescent="0.3">
      <c r="A2789">
        <v>45867</v>
      </c>
      <c r="B2789">
        <v>1</v>
      </c>
      <c r="C2789" t="s">
        <v>99</v>
      </c>
      <c r="D2789" t="s">
        <v>100</v>
      </c>
      <c r="E2789" s="1">
        <v>44165</v>
      </c>
      <c r="F2789">
        <v>1</v>
      </c>
      <c r="G2789" t="s">
        <v>27</v>
      </c>
      <c r="H2789" t="s">
        <v>28</v>
      </c>
      <c r="I2789" s="3">
        <v>1678</v>
      </c>
      <c r="J2789" s="3">
        <v>1678</v>
      </c>
      <c r="K2789" s="3">
        <v>386</v>
      </c>
      <c r="L2789" t="s">
        <v>98</v>
      </c>
      <c r="M2789">
        <v>13</v>
      </c>
      <c r="N2789" t="s">
        <v>78</v>
      </c>
      <c r="O2789" t="s">
        <v>70</v>
      </c>
      <c r="P2789" t="s">
        <v>18</v>
      </c>
      <c r="Q2789" t="s">
        <v>19</v>
      </c>
      <c r="R2789" t="s">
        <v>138</v>
      </c>
      <c r="S2789" t="s">
        <v>144</v>
      </c>
      <c r="T2789" s="2">
        <f>MASTER[[#This Row],[CANTIDAD]]*MASTER[[#This Row],[PRECIO DE VENTA]]</f>
        <v>1678</v>
      </c>
      <c r="U2789" s="2">
        <f>MASTER[[#This Row],[CANTIDAD]]*MASTER[[#This Row],[COSTO UNITARIO]]</f>
        <v>386</v>
      </c>
      <c r="V2789" s="2">
        <f>MASTER[[#This Row],[MONTO VENDIDO]]-MASTER[[#This Row],[COSTO DE VENTA]]</f>
        <v>1292</v>
      </c>
    </row>
    <row r="2790" spans="1:22" x14ac:dyDescent="0.3">
      <c r="A2790">
        <v>45867</v>
      </c>
      <c r="B2790">
        <v>2</v>
      </c>
      <c r="C2790" t="s">
        <v>103</v>
      </c>
      <c r="D2790" t="s">
        <v>104</v>
      </c>
      <c r="E2790" s="1">
        <v>44165</v>
      </c>
      <c r="F2790">
        <v>1</v>
      </c>
      <c r="G2790" t="s">
        <v>53</v>
      </c>
      <c r="H2790" t="s">
        <v>54</v>
      </c>
      <c r="I2790" s="3">
        <v>1830</v>
      </c>
      <c r="J2790" s="3">
        <v>1830</v>
      </c>
      <c r="K2790" s="3">
        <v>421</v>
      </c>
      <c r="L2790" t="s">
        <v>98</v>
      </c>
      <c r="M2790">
        <v>13</v>
      </c>
      <c r="N2790" t="s">
        <v>78</v>
      </c>
      <c r="O2790" t="s">
        <v>70</v>
      </c>
      <c r="P2790" t="s">
        <v>18</v>
      </c>
      <c r="Q2790" t="s">
        <v>19</v>
      </c>
      <c r="R2790" t="s">
        <v>138</v>
      </c>
      <c r="S2790" t="s">
        <v>144</v>
      </c>
      <c r="T2790" s="2">
        <f>MASTER[[#This Row],[CANTIDAD]]*MASTER[[#This Row],[PRECIO DE VENTA]]</f>
        <v>1830</v>
      </c>
      <c r="U2790" s="2">
        <f>MASTER[[#This Row],[CANTIDAD]]*MASTER[[#This Row],[COSTO UNITARIO]]</f>
        <v>421</v>
      </c>
      <c r="V2790" s="2">
        <f>MASTER[[#This Row],[MONTO VENDIDO]]-MASTER[[#This Row],[COSTO DE VENTA]]</f>
        <v>1409</v>
      </c>
    </row>
    <row r="2791" spans="1:22" x14ac:dyDescent="0.3">
      <c r="A2791">
        <v>45881</v>
      </c>
      <c r="B2791">
        <v>1</v>
      </c>
      <c r="C2791" t="s">
        <v>121</v>
      </c>
      <c r="D2791" t="s">
        <v>122</v>
      </c>
      <c r="E2791" s="1">
        <v>44165</v>
      </c>
      <c r="F2791">
        <v>1</v>
      </c>
      <c r="G2791" t="s">
        <v>31</v>
      </c>
      <c r="H2791" t="s">
        <v>32</v>
      </c>
      <c r="I2791" s="3">
        <v>941</v>
      </c>
      <c r="J2791" s="3">
        <v>941</v>
      </c>
      <c r="K2791" s="3">
        <v>460</v>
      </c>
      <c r="L2791" t="s">
        <v>120</v>
      </c>
      <c r="M2791">
        <v>17</v>
      </c>
      <c r="N2791" t="s">
        <v>14</v>
      </c>
      <c r="O2791" t="s">
        <v>11</v>
      </c>
      <c r="P2791" t="s">
        <v>15</v>
      </c>
      <c r="Q2791" t="s">
        <v>16</v>
      </c>
      <c r="R2791" t="s">
        <v>16</v>
      </c>
      <c r="S2791" t="s">
        <v>144</v>
      </c>
      <c r="T2791" s="2">
        <f>MASTER[[#This Row],[CANTIDAD]]*MASTER[[#This Row],[PRECIO DE VENTA]]</f>
        <v>941</v>
      </c>
      <c r="U2791" s="2">
        <f>MASTER[[#This Row],[CANTIDAD]]*MASTER[[#This Row],[COSTO UNITARIO]]</f>
        <v>460</v>
      </c>
      <c r="V2791" s="2">
        <f>MASTER[[#This Row],[MONTO VENDIDO]]-MASTER[[#This Row],[COSTO DE VENTA]]</f>
        <v>481</v>
      </c>
    </row>
    <row r="2792" spans="1:22" x14ac:dyDescent="0.3">
      <c r="A2792">
        <v>45909</v>
      </c>
      <c r="B2792">
        <v>1</v>
      </c>
      <c r="C2792" t="s">
        <v>116</v>
      </c>
      <c r="D2792" t="s">
        <v>117</v>
      </c>
      <c r="E2792" s="1">
        <v>44165</v>
      </c>
      <c r="F2792">
        <v>1</v>
      </c>
      <c r="G2792" t="s">
        <v>31</v>
      </c>
      <c r="H2792" t="s">
        <v>32</v>
      </c>
      <c r="I2792" s="3">
        <v>1738</v>
      </c>
      <c r="J2792" s="3">
        <v>1738</v>
      </c>
      <c r="K2792" s="3">
        <v>388</v>
      </c>
      <c r="L2792" t="s">
        <v>113</v>
      </c>
      <c r="M2792">
        <v>2</v>
      </c>
      <c r="N2792" t="s">
        <v>86</v>
      </c>
      <c r="O2792" t="s">
        <v>81</v>
      </c>
      <c r="P2792" t="s">
        <v>71</v>
      </c>
      <c r="Q2792" t="s">
        <v>72</v>
      </c>
      <c r="R2792" t="s">
        <v>139</v>
      </c>
      <c r="S2792" t="s">
        <v>144</v>
      </c>
      <c r="T2792" s="2">
        <f>MASTER[[#This Row],[CANTIDAD]]*MASTER[[#This Row],[PRECIO DE VENTA]]</f>
        <v>1738</v>
      </c>
      <c r="U2792" s="2">
        <f>MASTER[[#This Row],[CANTIDAD]]*MASTER[[#This Row],[COSTO UNITARIO]]</f>
        <v>388</v>
      </c>
      <c r="V2792" s="2">
        <f>MASTER[[#This Row],[MONTO VENDIDO]]-MASTER[[#This Row],[COSTO DE VENTA]]</f>
        <v>1350</v>
      </c>
    </row>
    <row r="2793" spans="1:22" x14ac:dyDescent="0.3">
      <c r="A2793">
        <v>45918</v>
      </c>
      <c r="B2793">
        <v>1</v>
      </c>
      <c r="C2793" t="s">
        <v>96</v>
      </c>
      <c r="D2793" t="s">
        <v>97</v>
      </c>
      <c r="E2793" s="1">
        <v>44165</v>
      </c>
      <c r="F2793">
        <v>1</v>
      </c>
      <c r="G2793" t="s">
        <v>22</v>
      </c>
      <c r="H2793" t="s">
        <v>23</v>
      </c>
      <c r="I2793" s="3">
        <v>1272</v>
      </c>
      <c r="J2793" s="3">
        <v>1272</v>
      </c>
      <c r="K2793" s="3">
        <v>397</v>
      </c>
      <c r="L2793" t="s">
        <v>98</v>
      </c>
      <c r="M2793">
        <v>2</v>
      </c>
      <c r="N2793" t="s">
        <v>86</v>
      </c>
      <c r="O2793" t="s">
        <v>81</v>
      </c>
      <c r="P2793" t="s">
        <v>71</v>
      </c>
      <c r="Q2793" t="s">
        <v>72</v>
      </c>
      <c r="R2793" t="s">
        <v>139</v>
      </c>
      <c r="S2793" t="s">
        <v>144</v>
      </c>
      <c r="T2793" s="2">
        <f>MASTER[[#This Row],[CANTIDAD]]*MASTER[[#This Row],[PRECIO DE VENTA]]</f>
        <v>1272</v>
      </c>
      <c r="U2793" s="2">
        <f>MASTER[[#This Row],[CANTIDAD]]*MASTER[[#This Row],[COSTO UNITARIO]]</f>
        <v>397</v>
      </c>
      <c r="V2793" s="2">
        <f>MASTER[[#This Row],[MONTO VENDIDO]]-MASTER[[#This Row],[COSTO DE VENTA]]</f>
        <v>875</v>
      </c>
    </row>
    <row r="2794" spans="1:22" x14ac:dyDescent="0.3">
      <c r="A2794">
        <v>45940</v>
      </c>
      <c r="B2794">
        <v>1</v>
      </c>
      <c r="C2794" t="s">
        <v>116</v>
      </c>
      <c r="D2794" t="s">
        <v>117</v>
      </c>
      <c r="E2794" s="1">
        <v>44165</v>
      </c>
      <c r="F2794">
        <v>3</v>
      </c>
      <c r="G2794" t="s">
        <v>22</v>
      </c>
      <c r="H2794" t="s">
        <v>23</v>
      </c>
      <c r="I2794" s="3">
        <v>1738</v>
      </c>
      <c r="J2794" s="3">
        <v>1738</v>
      </c>
      <c r="K2794" s="3">
        <v>388</v>
      </c>
      <c r="L2794" t="s">
        <v>113</v>
      </c>
      <c r="M2794">
        <v>8</v>
      </c>
      <c r="N2794" t="s">
        <v>80</v>
      </c>
      <c r="O2794" t="s">
        <v>81</v>
      </c>
      <c r="P2794" t="s">
        <v>12</v>
      </c>
      <c r="Q2794" t="s">
        <v>13</v>
      </c>
      <c r="R2794" t="s">
        <v>13</v>
      </c>
      <c r="S2794" t="s">
        <v>144</v>
      </c>
      <c r="T2794" s="2">
        <f>MASTER[[#This Row],[CANTIDAD]]*MASTER[[#This Row],[PRECIO DE VENTA]]</f>
        <v>5214</v>
      </c>
      <c r="U2794" s="2">
        <f>MASTER[[#This Row],[CANTIDAD]]*MASTER[[#This Row],[COSTO UNITARIO]]</f>
        <v>1164</v>
      </c>
      <c r="V2794" s="2">
        <f>MASTER[[#This Row],[MONTO VENDIDO]]-MASTER[[#This Row],[COSTO DE VENTA]]</f>
        <v>4050</v>
      </c>
    </row>
    <row r="2795" spans="1:22" x14ac:dyDescent="0.3">
      <c r="A2795">
        <v>45955</v>
      </c>
      <c r="B2795">
        <v>1</v>
      </c>
      <c r="C2795" t="s">
        <v>105</v>
      </c>
      <c r="D2795" t="s">
        <v>106</v>
      </c>
      <c r="E2795" s="1">
        <v>44165</v>
      </c>
      <c r="F2795">
        <v>1</v>
      </c>
      <c r="G2795" t="s">
        <v>22</v>
      </c>
      <c r="H2795" t="s">
        <v>23</v>
      </c>
      <c r="I2795" s="3">
        <v>1585</v>
      </c>
      <c r="J2795" s="3">
        <v>1585</v>
      </c>
      <c r="K2795" s="3">
        <v>459</v>
      </c>
      <c r="L2795" t="s">
        <v>98</v>
      </c>
      <c r="M2795">
        <v>12</v>
      </c>
      <c r="N2795" t="s">
        <v>26</v>
      </c>
      <c r="O2795" t="s">
        <v>11</v>
      </c>
      <c r="P2795" t="s">
        <v>12</v>
      </c>
      <c r="Q2795" t="s">
        <v>13</v>
      </c>
      <c r="R2795" t="s">
        <v>13</v>
      </c>
      <c r="S2795" t="s">
        <v>144</v>
      </c>
      <c r="T2795" s="2">
        <f>MASTER[[#This Row],[CANTIDAD]]*MASTER[[#This Row],[PRECIO DE VENTA]]</f>
        <v>1585</v>
      </c>
      <c r="U2795" s="2">
        <f>MASTER[[#This Row],[CANTIDAD]]*MASTER[[#This Row],[COSTO UNITARIO]]</f>
        <v>459</v>
      </c>
      <c r="V2795" s="2">
        <f>MASTER[[#This Row],[MONTO VENDIDO]]-MASTER[[#This Row],[COSTO DE VENTA]]</f>
        <v>1126</v>
      </c>
    </row>
    <row r="2796" spans="1:22" x14ac:dyDescent="0.3">
      <c r="A2796">
        <v>45957</v>
      </c>
      <c r="B2796">
        <v>1</v>
      </c>
      <c r="C2796" t="s">
        <v>92</v>
      </c>
      <c r="D2796" t="s">
        <v>93</v>
      </c>
      <c r="E2796" s="1">
        <v>44166</v>
      </c>
      <c r="F2796">
        <v>1</v>
      </c>
      <c r="G2796" t="s">
        <v>65</v>
      </c>
      <c r="H2796" t="s">
        <v>66</v>
      </c>
      <c r="I2796" s="3">
        <v>1681</v>
      </c>
      <c r="J2796" s="3">
        <v>1681</v>
      </c>
      <c r="K2796" s="3">
        <v>396</v>
      </c>
      <c r="L2796" t="s">
        <v>9</v>
      </c>
      <c r="M2796">
        <v>10</v>
      </c>
      <c r="N2796" t="s">
        <v>83</v>
      </c>
      <c r="O2796" t="s">
        <v>81</v>
      </c>
      <c r="P2796" t="s">
        <v>12</v>
      </c>
      <c r="Q2796" t="s">
        <v>13</v>
      </c>
      <c r="R2796" t="s">
        <v>13</v>
      </c>
      <c r="S2796" t="s">
        <v>144</v>
      </c>
      <c r="T2796" s="2">
        <f>MASTER[[#This Row],[CANTIDAD]]*MASTER[[#This Row],[PRECIO DE VENTA]]</f>
        <v>1681</v>
      </c>
      <c r="U2796" s="2">
        <f>MASTER[[#This Row],[CANTIDAD]]*MASTER[[#This Row],[COSTO UNITARIO]]</f>
        <v>396</v>
      </c>
      <c r="V2796" s="2">
        <f>MASTER[[#This Row],[MONTO VENDIDO]]-MASTER[[#This Row],[COSTO DE VENTA]]</f>
        <v>1285</v>
      </c>
    </row>
    <row r="2797" spans="1:22" x14ac:dyDescent="0.3">
      <c r="A2797">
        <v>46012</v>
      </c>
      <c r="B2797">
        <v>1</v>
      </c>
      <c r="C2797" t="s">
        <v>109</v>
      </c>
      <c r="D2797" t="s">
        <v>110</v>
      </c>
      <c r="E2797" s="1">
        <v>44166</v>
      </c>
      <c r="F2797">
        <v>1</v>
      </c>
      <c r="G2797" t="s">
        <v>29</v>
      </c>
      <c r="H2797" t="s">
        <v>30</v>
      </c>
      <c r="I2797" s="3">
        <v>947</v>
      </c>
      <c r="J2797" s="3">
        <v>947</v>
      </c>
      <c r="K2797" s="3">
        <v>387</v>
      </c>
      <c r="L2797" t="s">
        <v>98</v>
      </c>
      <c r="M2797">
        <v>11</v>
      </c>
      <c r="N2797" t="s">
        <v>10</v>
      </c>
      <c r="O2797" t="s">
        <v>11</v>
      </c>
      <c r="P2797" t="s">
        <v>12</v>
      </c>
      <c r="Q2797" t="s">
        <v>13</v>
      </c>
      <c r="R2797" t="s">
        <v>13</v>
      </c>
      <c r="S2797" t="s">
        <v>144</v>
      </c>
      <c r="T2797" s="2">
        <f>MASTER[[#This Row],[CANTIDAD]]*MASTER[[#This Row],[PRECIO DE VENTA]]</f>
        <v>947</v>
      </c>
      <c r="U2797" s="2">
        <f>MASTER[[#This Row],[CANTIDAD]]*MASTER[[#This Row],[COSTO UNITARIO]]</f>
        <v>387</v>
      </c>
      <c r="V2797" s="2">
        <f>MASTER[[#This Row],[MONTO VENDIDO]]-MASTER[[#This Row],[COSTO DE VENTA]]</f>
        <v>560</v>
      </c>
    </row>
    <row r="2798" spans="1:22" x14ac:dyDescent="0.3">
      <c r="A2798">
        <v>46029</v>
      </c>
      <c r="B2798">
        <v>1</v>
      </c>
      <c r="C2798" t="s">
        <v>92</v>
      </c>
      <c r="D2798" t="s">
        <v>93</v>
      </c>
      <c r="E2798" s="1">
        <v>44166</v>
      </c>
      <c r="F2798">
        <v>1</v>
      </c>
      <c r="G2798" t="s">
        <v>37</v>
      </c>
      <c r="H2798" t="s">
        <v>38</v>
      </c>
      <c r="I2798" s="3">
        <v>1866</v>
      </c>
      <c r="J2798" s="3">
        <v>1866</v>
      </c>
      <c r="K2798" s="3">
        <v>396</v>
      </c>
      <c r="L2798" t="s">
        <v>9</v>
      </c>
      <c r="M2798">
        <v>9</v>
      </c>
      <c r="N2798" t="s">
        <v>76</v>
      </c>
      <c r="O2798" t="s">
        <v>70</v>
      </c>
      <c r="P2798" t="s">
        <v>12</v>
      </c>
      <c r="Q2798" t="s">
        <v>13</v>
      </c>
      <c r="R2798" t="s">
        <v>13</v>
      </c>
      <c r="S2798" t="s">
        <v>144</v>
      </c>
      <c r="T2798" s="2">
        <f>MASTER[[#This Row],[CANTIDAD]]*MASTER[[#This Row],[PRECIO DE VENTA]]</f>
        <v>1866</v>
      </c>
      <c r="U2798" s="2">
        <f>MASTER[[#This Row],[CANTIDAD]]*MASTER[[#This Row],[COSTO UNITARIO]]</f>
        <v>396</v>
      </c>
      <c r="V2798" s="2">
        <f>MASTER[[#This Row],[MONTO VENDIDO]]-MASTER[[#This Row],[COSTO DE VENTA]]</f>
        <v>1470</v>
      </c>
    </row>
    <row r="2799" spans="1:22" x14ac:dyDescent="0.3">
      <c r="A2799">
        <v>46052</v>
      </c>
      <c r="B2799">
        <v>1</v>
      </c>
      <c r="C2799" t="s">
        <v>107</v>
      </c>
      <c r="D2799" t="s">
        <v>108</v>
      </c>
      <c r="E2799" s="1">
        <v>44166</v>
      </c>
      <c r="F2799">
        <v>1</v>
      </c>
      <c r="G2799" t="s">
        <v>65</v>
      </c>
      <c r="H2799" t="s">
        <v>66</v>
      </c>
      <c r="I2799" s="3">
        <v>1333</v>
      </c>
      <c r="J2799" s="3">
        <v>1333</v>
      </c>
      <c r="K2799" s="3">
        <v>380</v>
      </c>
      <c r="L2799" t="s">
        <v>98</v>
      </c>
      <c r="M2799">
        <v>8</v>
      </c>
      <c r="N2799" t="s">
        <v>80</v>
      </c>
      <c r="O2799" t="s">
        <v>81</v>
      </c>
      <c r="P2799" t="s">
        <v>12</v>
      </c>
      <c r="Q2799" t="s">
        <v>13</v>
      </c>
      <c r="R2799" t="s">
        <v>13</v>
      </c>
      <c r="S2799" t="s">
        <v>144</v>
      </c>
      <c r="T2799" s="2">
        <f>MASTER[[#This Row],[CANTIDAD]]*MASTER[[#This Row],[PRECIO DE VENTA]]</f>
        <v>1333</v>
      </c>
      <c r="U2799" s="2">
        <f>MASTER[[#This Row],[CANTIDAD]]*MASTER[[#This Row],[COSTO UNITARIO]]</f>
        <v>380</v>
      </c>
      <c r="V2799" s="2">
        <f>MASTER[[#This Row],[MONTO VENDIDO]]-MASTER[[#This Row],[COSTO DE VENTA]]</f>
        <v>953</v>
      </c>
    </row>
    <row r="2800" spans="1:22" x14ac:dyDescent="0.3">
      <c r="A2800">
        <v>46077</v>
      </c>
      <c r="B2800">
        <v>1</v>
      </c>
      <c r="C2800" t="s">
        <v>101</v>
      </c>
      <c r="D2800" t="s">
        <v>102</v>
      </c>
      <c r="E2800" s="1">
        <v>44166</v>
      </c>
      <c r="F2800">
        <v>1</v>
      </c>
      <c r="G2800" t="s">
        <v>67</v>
      </c>
      <c r="H2800" t="s">
        <v>68</v>
      </c>
      <c r="I2800" s="3">
        <v>1212</v>
      </c>
      <c r="J2800" s="3">
        <v>1212</v>
      </c>
      <c r="K2800" s="3">
        <v>442</v>
      </c>
      <c r="L2800" t="s">
        <v>98</v>
      </c>
      <c r="M2800">
        <v>8</v>
      </c>
      <c r="N2800" t="s">
        <v>80</v>
      </c>
      <c r="O2800" t="s">
        <v>81</v>
      </c>
      <c r="P2800" t="s">
        <v>12</v>
      </c>
      <c r="Q2800" t="s">
        <v>13</v>
      </c>
      <c r="R2800" t="s">
        <v>13</v>
      </c>
      <c r="S2800" t="s">
        <v>144</v>
      </c>
      <c r="T2800" s="2">
        <f>MASTER[[#This Row],[CANTIDAD]]*MASTER[[#This Row],[PRECIO DE VENTA]]</f>
        <v>1212</v>
      </c>
      <c r="U2800" s="2">
        <f>MASTER[[#This Row],[CANTIDAD]]*MASTER[[#This Row],[COSTO UNITARIO]]</f>
        <v>442</v>
      </c>
      <c r="V2800" s="2">
        <f>MASTER[[#This Row],[MONTO VENDIDO]]-MASTER[[#This Row],[COSTO DE VENTA]]</f>
        <v>770</v>
      </c>
    </row>
    <row r="2801" spans="1:22" x14ac:dyDescent="0.3">
      <c r="A2801">
        <v>46114</v>
      </c>
      <c r="B2801">
        <v>1</v>
      </c>
      <c r="C2801" t="s">
        <v>103</v>
      </c>
      <c r="D2801" t="s">
        <v>104</v>
      </c>
      <c r="E2801" s="1">
        <v>44166</v>
      </c>
      <c r="F2801">
        <v>1</v>
      </c>
      <c r="G2801" t="s">
        <v>20</v>
      </c>
      <c r="H2801" t="s">
        <v>21</v>
      </c>
      <c r="I2801" s="3">
        <v>1591</v>
      </c>
      <c r="J2801" s="3">
        <v>1591</v>
      </c>
      <c r="K2801" s="3">
        <v>421</v>
      </c>
      <c r="L2801" t="s">
        <v>98</v>
      </c>
      <c r="M2801">
        <v>5</v>
      </c>
      <c r="N2801" t="s">
        <v>85</v>
      </c>
      <c r="O2801" t="s">
        <v>81</v>
      </c>
      <c r="P2801" t="s">
        <v>12</v>
      </c>
      <c r="Q2801" t="s">
        <v>13</v>
      </c>
      <c r="R2801" t="s">
        <v>13</v>
      </c>
      <c r="S2801" t="s">
        <v>144</v>
      </c>
      <c r="T2801" s="2">
        <f>MASTER[[#This Row],[CANTIDAD]]*MASTER[[#This Row],[PRECIO DE VENTA]]</f>
        <v>1591</v>
      </c>
      <c r="U2801" s="2">
        <f>MASTER[[#This Row],[CANTIDAD]]*MASTER[[#This Row],[COSTO UNITARIO]]</f>
        <v>421</v>
      </c>
      <c r="V2801" s="2">
        <f>MASTER[[#This Row],[MONTO VENDIDO]]-MASTER[[#This Row],[COSTO DE VENTA]]</f>
        <v>1170</v>
      </c>
    </row>
    <row r="2802" spans="1:22" x14ac:dyDescent="0.3">
      <c r="A2802">
        <v>46165</v>
      </c>
      <c r="B2802">
        <v>1</v>
      </c>
      <c r="C2802" t="s">
        <v>101</v>
      </c>
      <c r="D2802" t="s">
        <v>102</v>
      </c>
      <c r="E2802" s="1">
        <v>44166</v>
      </c>
      <c r="F2802">
        <v>1</v>
      </c>
      <c r="G2802" t="s">
        <v>73</v>
      </c>
      <c r="H2802" t="s">
        <v>74</v>
      </c>
      <c r="I2802" s="3">
        <v>1212</v>
      </c>
      <c r="J2802" s="3">
        <v>1212</v>
      </c>
      <c r="K2802" s="3">
        <v>442</v>
      </c>
      <c r="L2802" t="s">
        <v>98</v>
      </c>
      <c r="M2802">
        <v>4</v>
      </c>
      <c r="N2802" t="s">
        <v>82</v>
      </c>
      <c r="O2802" t="s">
        <v>81</v>
      </c>
      <c r="P2802" t="s">
        <v>71</v>
      </c>
      <c r="Q2802" t="s">
        <v>72</v>
      </c>
      <c r="R2802" t="s">
        <v>139</v>
      </c>
      <c r="S2802" t="s">
        <v>144</v>
      </c>
      <c r="T2802" s="2">
        <f>MASTER[[#This Row],[CANTIDAD]]*MASTER[[#This Row],[PRECIO DE VENTA]]</f>
        <v>1212</v>
      </c>
      <c r="U2802" s="2">
        <f>MASTER[[#This Row],[CANTIDAD]]*MASTER[[#This Row],[COSTO UNITARIO]]</f>
        <v>442</v>
      </c>
      <c r="V2802" s="2">
        <f>MASTER[[#This Row],[MONTO VENDIDO]]-MASTER[[#This Row],[COSTO DE VENTA]]</f>
        <v>770</v>
      </c>
    </row>
    <row r="2803" spans="1:22" x14ac:dyDescent="0.3">
      <c r="A2803">
        <v>46171</v>
      </c>
      <c r="B2803">
        <v>1</v>
      </c>
      <c r="C2803" t="s">
        <v>114</v>
      </c>
      <c r="D2803" t="s">
        <v>115</v>
      </c>
      <c r="E2803" s="1">
        <v>44166</v>
      </c>
      <c r="F2803">
        <v>1</v>
      </c>
      <c r="G2803" t="s">
        <v>47</v>
      </c>
      <c r="H2803" t="s">
        <v>48</v>
      </c>
      <c r="I2803" s="3">
        <v>1862</v>
      </c>
      <c r="J2803" s="3">
        <v>1862</v>
      </c>
      <c r="K2803" s="3">
        <v>394</v>
      </c>
      <c r="L2803" t="s">
        <v>113</v>
      </c>
      <c r="M2803">
        <v>5</v>
      </c>
      <c r="N2803" t="s">
        <v>85</v>
      </c>
      <c r="O2803" t="s">
        <v>81</v>
      </c>
      <c r="P2803" t="s">
        <v>12</v>
      </c>
      <c r="Q2803" t="s">
        <v>13</v>
      </c>
      <c r="R2803" t="s">
        <v>13</v>
      </c>
      <c r="S2803" t="s">
        <v>144</v>
      </c>
      <c r="T2803" s="2">
        <f>MASTER[[#This Row],[CANTIDAD]]*MASTER[[#This Row],[PRECIO DE VENTA]]</f>
        <v>1862</v>
      </c>
      <c r="U2803" s="2">
        <f>MASTER[[#This Row],[CANTIDAD]]*MASTER[[#This Row],[COSTO UNITARIO]]</f>
        <v>394</v>
      </c>
      <c r="V2803" s="2">
        <f>MASTER[[#This Row],[MONTO VENDIDO]]-MASTER[[#This Row],[COSTO DE VENTA]]</f>
        <v>1468</v>
      </c>
    </row>
    <row r="2804" spans="1:22" x14ac:dyDescent="0.3">
      <c r="A2804">
        <v>46177</v>
      </c>
      <c r="B2804">
        <v>1</v>
      </c>
      <c r="C2804" t="s">
        <v>101</v>
      </c>
      <c r="D2804" t="s">
        <v>102</v>
      </c>
      <c r="E2804" s="1">
        <v>44166</v>
      </c>
      <c r="F2804">
        <v>1</v>
      </c>
      <c r="G2804" t="s">
        <v>67</v>
      </c>
      <c r="H2804" t="s">
        <v>68</v>
      </c>
      <c r="I2804" s="3">
        <v>1357</v>
      </c>
      <c r="J2804" s="3">
        <v>1357</v>
      </c>
      <c r="K2804" s="3">
        <v>442</v>
      </c>
      <c r="L2804" t="s">
        <v>98</v>
      </c>
      <c r="M2804">
        <v>6</v>
      </c>
      <c r="N2804" t="s">
        <v>75</v>
      </c>
      <c r="O2804" t="s">
        <v>70</v>
      </c>
      <c r="P2804" t="s">
        <v>12</v>
      </c>
      <c r="Q2804" t="s">
        <v>13</v>
      </c>
      <c r="R2804" t="s">
        <v>13</v>
      </c>
      <c r="S2804" t="s">
        <v>144</v>
      </c>
      <c r="T2804" s="2">
        <f>MASTER[[#This Row],[CANTIDAD]]*MASTER[[#This Row],[PRECIO DE VENTA]]</f>
        <v>1357</v>
      </c>
      <c r="U2804" s="2">
        <f>MASTER[[#This Row],[CANTIDAD]]*MASTER[[#This Row],[COSTO UNITARIO]]</f>
        <v>442</v>
      </c>
      <c r="V2804" s="2">
        <f>MASTER[[#This Row],[MONTO VENDIDO]]-MASTER[[#This Row],[COSTO DE VENTA]]</f>
        <v>915</v>
      </c>
    </row>
    <row r="2805" spans="1:22" x14ac:dyDescent="0.3">
      <c r="A2805">
        <v>46183</v>
      </c>
      <c r="B2805">
        <v>1</v>
      </c>
      <c r="C2805" t="s">
        <v>114</v>
      </c>
      <c r="D2805" t="s">
        <v>115</v>
      </c>
      <c r="E2805" s="1">
        <v>44166</v>
      </c>
      <c r="F2805">
        <v>1</v>
      </c>
      <c r="G2805" t="s">
        <v>35</v>
      </c>
      <c r="H2805" t="s">
        <v>36</v>
      </c>
      <c r="I2805" s="3">
        <v>2030</v>
      </c>
      <c r="J2805" s="3">
        <v>2030</v>
      </c>
      <c r="K2805" s="3">
        <v>394</v>
      </c>
      <c r="L2805" t="s">
        <v>113</v>
      </c>
      <c r="M2805">
        <v>1</v>
      </c>
      <c r="N2805" t="s">
        <v>77</v>
      </c>
      <c r="O2805" t="s">
        <v>70</v>
      </c>
      <c r="P2805" t="s">
        <v>71</v>
      </c>
      <c r="Q2805" t="s">
        <v>72</v>
      </c>
      <c r="R2805" t="s">
        <v>139</v>
      </c>
      <c r="S2805" t="s">
        <v>144</v>
      </c>
      <c r="T2805" s="2">
        <f>MASTER[[#This Row],[CANTIDAD]]*MASTER[[#This Row],[PRECIO DE VENTA]]</f>
        <v>2030</v>
      </c>
      <c r="U2805" s="2">
        <f>MASTER[[#This Row],[CANTIDAD]]*MASTER[[#This Row],[COSTO UNITARIO]]</f>
        <v>394</v>
      </c>
      <c r="V2805" s="2">
        <f>MASTER[[#This Row],[MONTO VENDIDO]]-MASTER[[#This Row],[COSTO DE VENTA]]</f>
        <v>1636</v>
      </c>
    </row>
    <row r="2806" spans="1:22" x14ac:dyDescent="0.3">
      <c r="A2806">
        <v>46192</v>
      </c>
      <c r="B2806">
        <v>1</v>
      </c>
      <c r="C2806" t="s">
        <v>121</v>
      </c>
      <c r="D2806" t="s">
        <v>122</v>
      </c>
      <c r="E2806" s="1">
        <v>44167</v>
      </c>
      <c r="F2806">
        <v>1</v>
      </c>
      <c r="G2806" t="s">
        <v>27</v>
      </c>
      <c r="H2806" t="s">
        <v>28</v>
      </c>
      <c r="I2806" s="3">
        <v>1069</v>
      </c>
      <c r="J2806" s="3">
        <v>1026</v>
      </c>
      <c r="K2806" s="3">
        <v>460</v>
      </c>
      <c r="L2806" t="s">
        <v>120</v>
      </c>
      <c r="M2806">
        <v>7</v>
      </c>
      <c r="N2806" t="s">
        <v>84</v>
      </c>
      <c r="O2806" t="s">
        <v>81</v>
      </c>
      <c r="P2806" t="s">
        <v>12</v>
      </c>
      <c r="Q2806" t="s">
        <v>13</v>
      </c>
      <c r="R2806" t="s">
        <v>13</v>
      </c>
      <c r="S2806" t="s">
        <v>144</v>
      </c>
      <c r="T2806" s="2">
        <f>MASTER[[#This Row],[CANTIDAD]]*MASTER[[#This Row],[PRECIO DE VENTA]]</f>
        <v>1026</v>
      </c>
      <c r="U2806" s="2">
        <f>MASTER[[#This Row],[CANTIDAD]]*MASTER[[#This Row],[COSTO UNITARIO]]</f>
        <v>460</v>
      </c>
      <c r="V2806" s="2">
        <f>MASTER[[#This Row],[MONTO VENDIDO]]-MASTER[[#This Row],[COSTO DE VENTA]]</f>
        <v>566</v>
      </c>
    </row>
    <row r="2807" spans="1:22" x14ac:dyDescent="0.3">
      <c r="A2807">
        <v>46195</v>
      </c>
      <c r="B2807">
        <v>1</v>
      </c>
      <c r="C2807" t="s">
        <v>94</v>
      </c>
      <c r="D2807" t="s">
        <v>95</v>
      </c>
      <c r="E2807" s="1">
        <v>44167</v>
      </c>
      <c r="F2807">
        <v>1</v>
      </c>
      <c r="G2807" t="s">
        <v>27</v>
      </c>
      <c r="H2807" t="s">
        <v>28</v>
      </c>
      <c r="I2807" s="3">
        <v>1048</v>
      </c>
      <c r="J2807" s="3">
        <v>1048</v>
      </c>
      <c r="K2807" s="3">
        <v>392</v>
      </c>
      <c r="L2807" t="s">
        <v>9</v>
      </c>
      <c r="M2807">
        <v>4</v>
      </c>
      <c r="N2807" t="s">
        <v>82</v>
      </c>
      <c r="O2807" t="s">
        <v>81</v>
      </c>
      <c r="P2807" t="s">
        <v>71</v>
      </c>
      <c r="Q2807" t="s">
        <v>72</v>
      </c>
      <c r="R2807" t="s">
        <v>139</v>
      </c>
      <c r="S2807" t="s">
        <v>144</v>
      </c>
      <c r="T2807" s="2">
        <f>MASTER[[#This Row],[CANTIDAD]]*MASTER[[#This Row],[PRECIO DE VENTA]]</f>
        <v>1048</v>
      </c>
      <c r="U2807" s="2">
        <f>MASTER[[#This Row],[CANTIDAD]]*MASTER[[#This Row],[COSTO UNITARIO]]</f>
        <v>392</v>
      </c>
      <c r="V2807" s="2">
        <f>MASTER[[#This Row],[MONTO VENDIDO]]-MASTER[[#This Row],[COSTO DE VENTA]]</f>
        <v>656</v>
      </c>
    </row>
    <row r="2808" spans="1:22" x14ac:dyDescent="0.3">
      <c r="A2808">
        <v>46202</v>
      </c>
      <c r="B2808">
        <v>1</v>
      </c>
      <c r="C2808" t="s">
        <v>103</v>
      </c>
      <c r="D2808" t="s">
        <v>104</v>
      </c>
      <c r="E2808" s="1">
        <v>44167</v>
      </c>
      <c r="F2808">
        <v>1</v>
      </c>
      <c r="G2808" t="s">
        <v>45</v>
      </c>
      <c r="H2808" t="s">
        <v>46</v>
      </c>
      <c r="I2808" s="3">
        <v>1830</v>
      </c>
      <c r="J2808" s="3">
        <v>1830</v>
      </c>
      <c r="K2808" s="3">
        <v>421</v>
      </c>
      <c r="L2808" t="s">
        <v>98</v>
      </c>
      <c r="M2808">
        <v>13</v>
      </c>
      <c r="N2808" t="s">
        <v>78</v>
      </c>
      <c r="O2808" t="s">
        <v>70</v>
      </c>
      <c r="P2808" t="s">
        <v>18</v>
      </c>
      <c r="Q2808" t="s">
        <v>19</v>
      </c>
      <c r="R2808" t="s">
        <v>138</v>
      </c>
      <c r="S2808" t="s">
        <v>144</v>
      </c>
      <c r="T2808" s="2">
        <f>MASTER[[#This Row],[CANTIDAD]]*MASTER[[#This Row],[PRECIO DE VENTA]]</f>
        <v>1830</v>
      </c>
      <c r="U2808" s="2">
        <f>MASTER[[#This Row],[CANTIDAD]]*MASTER[[#This Row],[COSTO UNITARIO]]</f>
        <v>421</v>
      </c>
      <c r="V2808" s="2">
        <f>MASTER[[#This Row],[MONTO VENDIDO]]-MASTER[[#This Row],[COSTO DE VENTA]]</f>
        <v>1409</v>
      </c>
    </row>
    <row r="2809" spans="1:22" x14ac:dyDescent="0.3">
      <c r="A2809">
        <v>46223</v>
      </c>
      <c r="B2809">
        <v>1</v>
      </c>
      <c r="C2809" t="s">
        <v>96</v>
      </c>
      <c r="D2809" t="s">
        <v>97</v>
      </c>
      <c r="E2809" s="1">
        <v>44167</v>
      </c>
      <c r="F2809">
        <v>1</v>
      </c>
      <c r="G2809" t="s">
        <v>45</v>
      </c>
      <c r="H2809" t="s">
        <v>46</v>
      </c>
      <c r="I2809" s="3">
        <v>1196</v>
      </c>
      <c r="J2809" s="3">
        <v>1112</v>
      </c>
      <c r="K2809" s="3">
        <v>397</v>
      </c>
      <c r="L2809" t="s">
        <v>98</v>
      </c>
      <c r="M2809">
        <v>11</v>
      </c>
      <c r="N2809" t="s">
        <v>10</v>
      </c>
      <c r="O2809" t="s">
        <v>11</v>
      </c>
      <c r="P2809" t="s">
        <v>12</v>
      </c>
      <c r="Q2809" t="s">
        <v>13</v>
      </c>
      <c r="R2809" t="s">
        <v>13</v>
      </c>
      <c r="S2809" t="s">
        <v>144</v>
      </c>
      <c r="T2809" s="2">
        <f>MASTER[[#This Row],[CANTIDAD]]*MASTER[[#This Row],[PRECIO DE VENTA]]</f>
        <v>1112</v>
      </c>
      <c r="U2809" s="2">
        <f>MASTER[[#This Row],[CANTIDAD]]*MASTER[[#This Row],[COSTO UNITARIO]]</f>
        <v>397</v>
      </c>
      <c r="V2809" s="2">
        <f>MASTER[[#This Row],[MONTO VENDIDO]]-MASTER[[#This Row],[COSTO DE VENTA]]</f>
        <v>715</v>
      </c>
    </row>
    <row r="2810" spans="1:22" x14ac:dyDescent="0.3">
      <c r="A2810">
        <v>46240</v>
      </c>
      <c r="B2810">
        <v>1</v>
      </c>
      <c r="C2810" t="s">
        <v>116</v>
      </c>
      <c r="D2810" t="s">
        <v>117</v>
      </c>
      <c r="E2810" s="1">
        <v>44167</v>
      </c>
      <c r="F2810">
        <v>1</v>
      </c>
      <c r="G2810" t="s">
        <v>51</v>
      </c>
      <c r="H2810" t="s">
        <v>52</v>
      </c>
      <c r="I2810" s="3">
        <v>1738</v>
      </c>
      <c r="J2810" s="3">
        <v>1738</v>
      </c>
      <c r="K2810" s="3">
        <v>388</v>
      </c>
      <c r="L2810" t="s">
        <v>113</v>
      </c>
      <c r="M2810">
        <v>2</v>
      </c>
      <c r="N2810" t="s">
        <v>86</v>
      </c>
      <c r="O2810" t="s">
        <v>81</v>
      </c>
      <c r="P2810" t="s">
        <v>71</v>
      </c>
      <c r="Q2810" t="s">
        <v>72</v>
      </c>
      <c r="R2810" t="s">
        <v>139</v>
      </c>
      <c r="S2810" t="s">
        <v>144</v>
      </c>
      <c r="T2810" s="2">
        <f>MASTER[[#This Row],[CANTIDAD]]*MASTER[[#This Row],[PRECIO DE VENTA]]</f>
        <v>1738</v>
      </c>
      <c r="U2810" s="2">
        <f>MASTER[[#This Row],[CANTIDAD]]*MASTER[[#This Row],[COSTO UNITARIO]]</f>
        <v>388</v>
      </c>
      <c r="V2810" s="2">
        <f>MASTER[[#This Row],[MONTO VENDIDO]]-MASTER[[#This Row],[COSTO DE VENTA]]</f>
        <v>1350</v>
      </c>
    </row>
    <row r="2811" spans="1:22" x14ac:dyDescent="0.3">
      <c r="A2811">
        <v>46241</v>
      </c>
      <c r="B2811">
        <v>1</v>
      </c>
      <c r="C2811" t="s">
        <v>94</v>
      </c>
      <c r="D2811" t="s">
        <v>95</v>
      </c>
      <c r="E2811" s="1">
        <v>44167</v>
      </c>
      <c r="F2811">
        <v>1</v>
      </c>
      <c r="G2811" t="s">
        <v>27</v>
      </c>
      <c r="H2811" t="s">
        <v>28</v>
      </c>
      <c r="I2811" s="3">
        <v>901</v>
      </c>
      <c r="J2811" s="3">
        <v>901</v>
      </c>
      <c r="K2811" s="3">
        <v>392</v>
      </c>
      <c r="L2811" t="s">
        <v>9</v>
      </c>
      <c r="M2811">
        <v>17</v>
      </c>
      <c r="N2811" t="s">
        <v>14</v>
      </c>
      <c r="O2811" t="s">
        <v>11</v>
      </c>
      <c r="P2811" t="s">
        <v>15</v>
      </c>
      <c r="Q2811" t="s">
        <v>16</v>
      </c>
      <c r="R2811" t="s">
        <v>16</v>
      </c>
      <c r="S2811" t="s">
        <v>144</v>
      </c>
      <c r="T2811" s="2">
        <f>MASTER[[#This Row],[CANTIDAD]]*MASTER[[#This Row],[PRECIO DE VENTA]]</f>
        <v>901</v>
      </c>
      <c r="U2811" s="2">
        <f>MASTER[[#This Row],[CANTIDAD]]*MASTER[[#This Row],[COSTO UNITARIO]]</f>
        <v>392</v>
      </c>
      <c r="V2811" s="2">
        <f>MASTER[[#This Row],[MONTO VENDIDO]]-MASTER[[#This Row],[COSTO DE VENTA]]</f>
        <v>509</v>
      </c>
    </row>
    <row r="2812" spans="1:22" x14ac:dyDescent="0.3">
      <c r="A2812">
        <v>46242</v>
      </c>
      <c r="B2812">
        <v>1</v>
      </c>
      <c r="C2812" t="s">
        <v>107</v>
      </c>
      <c r="D2812" t="s">
        <v>108</v>
      </c>
      <c r="E2812" s="1">
        <v>44167</v>
      </c>
      <c r="F2812">
        <v>1</v>
      </c>
      <c r="G2812" t="s">
        <v>27</v>
      </c>
      <c r="H2812" t="s">
        <v>28</v>
      </c>
      <c r="I2812" s="3">
        <v>1440</v>
      </c>
      <c r="J2812" s="3">
        <v>1440</v>
      </c>
      <c r="K2812" s="3">
        <v>380</v>
      </c>
      <c r="L2812" t="s">
        <v>98</v>
      </c>
      <c r="M2812">
        <v>1</v>
      </c>
      <c r="N2812" t="s">
        <v>77</v>
      </c>
      <c r="O2812" t="s">
        <v>70</v>
      </c>
      <c r="P2812" t="s">
        <v>71</v>
      </c>
      <c r="Q2812" t="s">
        <v>72</v>
      </c>
      <c r="R2812" t="s">
        <v>139</v>
      </c>
      <c r="S2812" t="s">
        <v>144</v>
      </c>
      <c r="T2812" s="2">
        <f>MASTER[[#This Row],[CANTIDAD]]*MASTER[[#This Row],[PRECIO DE VENTA]]</f>
        <v>1440</v>
      </c>
      <c r="U2812" s="2">
        <f>MASTER[[#This Row],[CANTIDAD]]*MASTER[[#This Row],[COSTO UNITARIO]]</f>
        <v>380</v>
      </c>
      <c r="V2812" s="2">
        <f>MASTER[[#This Row],[MONTO VENDIDO]]-MASTER[[#This Row],[COSTO DE VENTA]]</f>
        <v>1060</v>
      </c>
    </row>
    <row r="2813" spans="1:22" x14ac:dyDescent="0.3">
      <c r="A2813">
        <v>46259</v>
      </c>
      <c r="B2813">
        <v>1</v>
      </c>
      <c r="C2813" t="s">
        <v>114</v>
      </c>
      <c r="D2813" t="s">
        <v>115</v>
      </c>
      <c r="E2813" s="1">
        <v>44167</v>
      </c>
      <c r="F2813">
        <v>1</v>
      </c>
      <c r="G2813" t="s">
        <v>37</v>
      </c>
      <c r="H2813" t="s">
        <v>38</v>
      </c>
      <c r="I2813" s="3">
        <v>1862</v>
      </c>
      <c r="J2813" s="3">
        <v>1862</v>
      </c>
      <c r="K2813" s="3">
        <v>394</v>
      </c>
      <c r="L2813" t="s">
        <v>113</v>
      </c>
      <c r="M2813">
        <v>5</v>
      </c>
      <c r="N2813" t="s">
        <v>85</v>
      </c>
      <c r="O2813" t="s">
        <v>81</v>
      </c>
      <c r="P2813" t="s">
        <v>12</v>
      </c>
      <c r="Q2813" t="s">
        <v>13</v>
      </c>
      <c r="R2813" t="s">
        <v>13</v>
      </c>
      <c r="S2813" t="s">
        <v>144</v>
      </c>
      <c r="T2813" s="2">
        <f>MASTER[[#This Row],[CANTIDAD]]*MASTER[[#This Row],[PRECIO DE VENTA]]</f>
        <v>1862</v>
      </c>
      <c r="U2813" s="2">
        <f>MASTER[[#This Row],[CANTIDAD]]*MASTER[[#This Row],[COSTO UNITARIO]]</f>
        <v>394</v>
      </c>
      <c r="V2813" s="2">
        <f>MASTER[[#This Row],[MONTO VENDIDO]]-MASTER[[#This Row],[COSTO DE VENTA]]</f>
        <v>1468</v>
      </c>
    </row>
    <row r="2814" spans="1:22" x14ac:dyDescent="0.3">
      <c r="A2814">
        <v>46297</v>
      </c>
      <c r="B2814">
        <v>1</v>
      </c>
      <c r="C2814" t="s">
        <v>90</v>
      </c>
      <c r="D2814" t="s">
        <v>91</v>
      </c>
      <c r="E2814" s="1">
        <v>44167</v>
      </c>
      <c r="F2814">
        <v>1</v>
      </c>
      <c r="G2814" t="s">
        <v>73</v>
      </c>
      <c r="H2814" t="s">
        <v>74</v>
      </c>
      <c r="I2814" s="3">
        <v>1660</v>
      </c>
      <c r="J2814" s="3">
        <v>1660</v>
      </c>
      <c r="K2814" s="3">
        <v>420</v>
      </c>
      <c r="L2814" t="s">
        <v>9</v>
      </c>
      <c r="M2814">
        <v>17</v>
      </c>
      <c r="N2814" t="s">
        <v>14</v>
      </c>
      <c r="O2814" t="s">
        <v>11</v>
      </c>
      <c r="P2814" t="s">
        <v>15</v>
      </c>
      <c r="Q2814" t="s">
        <v>16</v>
      </c>
      <c r="R2814" t="s">
        <v>16</v>
      </c>
      <c r="S2814" t="s">
        <v>144</v>
      </c>
      <c r="T2814" s="2">
        <f>MASTER[[#This Row],[CANTIDAD]]*MASTER[[#This Row],[PRECIO DE VENTA]]</f>
        <v>1660</v>
      </c>
      <c r="U2814" s="2">
        <f>MASTER[[#This Row],[CANTIDAD]]*MASTER[[#This Row],[COSTO UNITARIO]]</f>
        <v>420</v>
      </c>
      <c r="V2814" s="2">
        <f>MASTER[[#This Row],[MONTO VENDIDO]]-MASTER[[#This Row],[COSTO DE VENTA]]</f>
        <v>1240</v>
      </c>
    </row>
    <row r="2815" spans="1:22" x14ac:dyDescent="0.3">
      <c r="A2815">
        <v>46310</v>
      </c>
      <c r="B2815">
        <v>1</v>
      </c>
      <c r="C2815" t="s">
        <v>105</v>
      </c>
      <c r="D2815" t="s">
        <v>106</v>
      </c>
      <c r="E2815" s="1">
        <v>44167</v>
      </c>
      <c r="F2815">
        <v>1</v>
      </c>
      <c r="G2815" t="s">
        <v>27</v>
      </c>
      <c r="H2815" t="s">
        <v>28</v>
      </c>
      <c r="I2815" s="3">
        <v>1585</v>
      </c>
      <c r="J2815" s="3">
        <v>1585</v>
      </c>
      <c r="K2815" s="3">
        <v>459</v>
      </c>
      <c r="L2815" t="s">
        <v>98</v>
      </c>
      <c r="M2815">
        <v>12</v>
      </c>
      <c r="N2815" t="s">
        <v>26</v>
      </c>
      <c r="O2815" t="s">
        <v>11</v>
      </c>
      <c r="P2815" t="s">
        <v>12</v>
      </c>
      <c r="Q2815" t="s">
        <v>13</v>
      </c>
      <c r="R2815" t="s">
        <v>13</v>
      </c>
      <c r="S2815" t="s">
        <v>144</v>
      </c>
      <c r="T2815" s="2">
        <f>MASTER[[#This Row],[CANTIDAD]]*MASTER[[#This Row],[PRECIO DE VENTA]]</f>
        <v>1585</v>
      </c>
      <c r="U2815" s="2">
        <f>MASTER[[#This Row],[CANTIDAD]]*MASTER[[#This Row],[COSTO UNITARIO]]</f>
        <v>459</v>
      </c>
      <c r="V2815" s="2">
        <f>MASTER[[#This Row],[MONTO VENDIDO]]-MASTER[[#This Row],[COSTO DE VENTA]]</f>
        <v>1126</v>
      </c>
    </row>
    <row r="2816" spans="1:22" x14ac:dyDescent="0.3">
      <c r="A2816">
        <v>46317</v>
      </c>
      <c r="B2816">
        <v>1</v>
      </c>
      <c r="C2816" t="s">
        <v>107</v>
      </c>
      <c r="D2816" t="s">
        <v>108</v>
      </c>
      <c r="E2816" s="1">
        <v>44167</v>
      </c>
      <c r="F2816">
        <v>1</v>
      </c>
      <c r="G2816" t="s">
        <v>67</v>
      </c>
      <c r="H2816" t="s">
        <v>68</v>
      </c>
      <c r="I2816" s="3">
        <v>1240</v>
      </c>
      <c r="J2816" s="3">
        <v>1240</v>
      </c>
      <c r="K2816" s="3">
        <v>380</v>
      </c>
      <c r="L2816" t="s">
        <v>98</v>
      </c>
      <c r="M2816">
        <v>17</v>
      </c>
      <c r="N2816" t="s">
        <v>14</v>
      </c>
      <c r="O2816" t="s">
        <v>11</v>
      </c>
      <c r="P2816" t="s">
        <v>15</v>
      </c>
      <c r="Q2816" t="s">
        <v>16</v>
      </c>
      <c r="R2816" t="s">
        <v>16</v>
      </c>
      <c r="S2816" t="s">
        <v>144</v>
      </c>
      <c r="T2816" s="2">
        <f>MASTER[[#This Row],[CANTIDAD]]*MASTER[[#This Row],[PRECIO DE VENTA]]</f>
        <v>1240</v>
      </c>
      <c r="U2816" s="2">
        <f>MASTER[[#This Row],[CANTIDAD]]*MASTER[[#This Row],[COSTO UNITARIO]]</f>
        <v>380</v>
      </c>
      <c r="V2816" s="2">
        <f>MASTER[[#This Row],[MONTO VENDIDO]]-MASTER[[#This Row],[COSTO DE VENTA]]</f>
        <v>860</v>
      </c>
    </row>
    <row r="2817" spans="1:22" x14ac:dyDescent="0.3">
      <c r="A2817">
        <v>46352</v>
      </c>
      <c r="B2817">
        <v>1</v>
      </c>
      <c r="C2817" t="s">
        <v>5</v>
      </c>
      <c r="D2817" t="s">
        <v>6</v>
      </c>
      <c r="E2817" s="1">
        <v>44167</v>
      </c>
      <c r="F2817">
        <v>1</v>
      </c>
      <c r="G2817" t="s">
        <v>29</v>
      </c>
      <c r="H2817" t="s">
        <v>30</v>
      </c>
      <c r="I2817" s="3">
        <v>1507</v>
      </c>
      <c r="J2817" s="3">
        <v>1507</v>
      </c>
      <c r="K2817" s="3">
        <v>393</v>
      </c>
      <c r="L2817" t="s">
        <v>9</v>
      </c>
      <c r="M2817">
        <v>5</v>
      </c>
      <c r="N2817" t="s">
        <v>85</v>
      </c>
      <c r="O2817" t="s">
        <v>81</v>
      </c>
      <c r="P2817" t="s">
        <v>12</v>
      </c>
      <c r="Q2817" t="s">
        <v>13</v>
      </c>
      <c r="R2817" t="s">
        <v>13</v>
      </c>
      <c r="S2817" t="s">
        <v>144</v>
      </c>
      <c r="T2817" s="2">
        <f>MASTER[[#This Row],[CANTIDAD]]*MASTER[[#This Row],[PRECIO DE VENTA]]</f>
        <v>1507</v>
      </c>
      <c r="U2817" s="2">
        <f>MASTER[[#This Row],[CANTIDAD]]*MASTER[[#This Row],[COSTO UNITARIO]]</f>
        <v>393</v>
      </c>
      <c r="V2817" s="2">
        <f>MASTER[[#This Row],[MONTO VENDIDO]]-MASTER[[#This Row],[COSTO DE VENTA]]</f>
        <v>1114</v>
      </c>
    </row>
    <row r="2818" spans="1:22" x14ac:dyDescent="0.3">
      <c r="A2818">
        <v>46365</v>
      </c>
      <c r="B2818">
        <v>1</v>
      </c>
      <c r="C2818" t="s">
        <v>111</v>
      </c>
      <c r="D2818" t="s">
        <v>112</v>
      </c>
      <c r="E2818" s="1">
        <v>44167</v>
      </c>
      <c r="F2818">
        <v>1</v>
      </c>
      <c r="G2818" t="s">
        <v>37</v>
      </c>
      <c r="H2818" t="s">
        <v>38</v>
      </c>
      <c r="I2818" s="3">
        <v>1524</v>
      </c>
      <c r="J2818" s="3">
        <v>1524</v>
      </c>
      <c r="K2818" s="3">
        <v>434</v>
      </c>
      <c r="L2818" t="s">
        <v>113</v>
      </c>
      <c r="M2818">
        <v>11</v>
      </c>
      <c r="N2818" t="s">
        <v>10</v>
      </c>
      <c r="O2818" t="s">
        <v>11</v>
      </c>
      <c r="P2818" t="s">
        <v>12</v>
      </c>
      <c r="Q2818" t="s">
        <v>13</v>
      </c>
      <c r="R2818" t="s">
        <v>13</v>
      </c>
      <c r="S2818" t="s">
        <v>144</v>
      </c>
      <c r="T2818" s="2">
        <f>MASTER[[#This Row],[CANTIDAD]]*MASTER[[#This Row],[PRECIO DE VENTA]]</f>
        <v>1524</v>
      </c>
      <c r="U2818" s="2">
        <f>MASTER[[#This Row],[CANTIDAD]]*MASTER[[#This Row],[COSTO UNITARIO]]</f>
        <v>434</v>
      </c>
      <c r="V2818" s="2">
        <f>MASTER[[#This Row],[MONTO VENDIDO]]-MASTER[[#This Row],[COSTO DE VENTA]]</f>
        <v>1090</v>
      </c>
    </row>
    <row r="2819" spans="1:22" x14ac:dyDescent="0.3">
      <c r="A2819">
        <v>46369</v>
      </c>
      <c r="B2819">
        <v>1</v>
      </c>
      <c r="C2819" t="s">
        <v>101</v>
      </c>
      <c r="D2819" t="s">
        <v>102</v>
      </c>
      <c r="E2819" s="1">
        <v>44167</v>
      </c>
      <c r="F2819">
        <v>1</v>
      </c>
      <c r="G2819" t="s">
        <v>20</v>
      </c>
      <c r="H2819" t="s">
        <v>21</v>
      </c>
      <c r="I2819" s="3">
        <v>1212</v>
      </c>
      <c r="J2819" s="3">
        <v>1102</v>
      </c>
      <c r="K2819" s="3">
        <v>442</v>
      </c>
      <c r="L2819" t="s">
        <v>98</v>
      </c>
      <c r="M2819">
        <v>5</v>
      </c>
      <c r="N2819" t="s">
        <v>85</v>
      </c>
      <c r="O2819" t="s">
        <v>81</v>
      </c>
      <c r="P2819" t="s">
        <v>12</v>
      </c>
      <c r="Q2819" t="s">
        <v>13</v>
      </c>
      <c r="R2819" t="s">
        <v>13</v>
      </c>
      <c r="S2819" t="s">
        <v>144</v>
      </c>
      <c r="T2819" s="2">
        <f>MASTER[[#This Row],[CANTIDAD]]*MASTER[[#This Row],[PRECIO DE VENTA]]</f>
        <v>1102</v>
      </c>
      <c r="U2819" s="2">
        <f>MASTER[[#This Row],[CANTIDAD]]*MASTER[[#This Row],[COSTO UNITARIO]]</f>
        <v>442</v>
      </c>
      <c r="V2819" s="2">
        <f>MASTER[[#This Row],[MONTO VENDIDO]]-MASTER[[#This Row],[COSTO DE VENTA]]</f>
        <v>660</v>
      </c>
    </row>
    <row r="2820" spans="1:22" x14ac:dyDescent="0.3">
      <c r="A2820">
        <v>46373</v>
      </c>
      <c r="B2820">
        <v>1</v>
      </c>
      <c r="C2820" t="s">
        <v>114</v>
      </c>
      <c r="D2820" t="s">
        <v>115</v>
      </c>
      <c r="E2820" s="1">
        <v>44168</v>
      </c>
      <c r="F2820">
        <v>1</v>
      </c>
      <c r="G2820" t="s">
        <v>39</v>
      </c>
      <c r="H2820" t="s">
        <v>40</v>
      </c>
      <c r="I2820" s="3">
        <v>1583</v>
      </c>
      <c r="J2820" s="3">
        <v>1583</v>
      </c>
      <c r="K2820" s="3">
        <v>394</v>
      </c>
      <c r="L2820" t="s">
        <v>113</v>
      </c>
      <c r="M2820">
        <v>11</v>
      </c>
      <c r="N2820" t="s">
        <v>10</v>
      </c>
      <c r="O2820" t="s">
        <v>11</v>
      </c>
      <c r="P2820" t="s">
        <v>12</v>
      </c>
      <c r="Q2820" t="s">
        <v>13</v>
      </c>
      <c r="R2820" t="s">
        <v>13</v>
      </c>
      <c r="S2820" t="s">
        <v>144</v>
      </c>
      <c r="T2820" s="2">
        <f>MASTER[[#This Row],[CANTIDAD]]*MASTER[[#This Row],[PRECIO DE VENTA]]</f>
        <v>1583</v>
      </c>
      <c r="U2820" s="2">
        <f>MASTER[[#This Row],[CANTIDAD]]*MASTER[[#This Row],[COSTO UNITARIO]]</f>
        <v>394</v>
      </c>
      <c r="V2820" s="2">
        <f>MASTER[[#This Row],[MONTO VENDIDO]]-MASTER[[#This Row],[COSTO DE VENTA]]</f>
        <v>1189</v>
      </c>
    </row>
    <row r="2821" spans="1:22" x14ac:dyDescent="0.3">
      <c r="A2821">
        <v>46379</v>
      </c>
      <c r="B2821">
        <v>1</v>
      </c>
      <c r="C2821" t="s">
        <v>92</v>
      </c>
      <c r="D2821" t="s">
        <v>93</v>
      </c>
      <c r="E2821" s="1">
        <v>44168</v>
      </c>
      <c r="F2821">
        <v>1</v>
      </c>
      <c r="G2821" t="s">
        <v>31</v>
      </c>
      <c r="H2821" t="s">
        <v>32</v>
      </c>
      <c r="I2821" s="3">
        <v>1681</v>
      </c>
      <c r="J2821" s="3">
        <v>1681</v>
      </c>
      <c r="K2821" s="3">
        <v>396</v>
      </c>
      <c r="L2821" t="s">
        <v>9</v>
      </c>
      <c r="M2821">
        <v>15</v>
      </c>
      <c r="N2821" t="s">
        <v>88</v>
      </c>
      <c r="O2821" t="s">
        <v>81</v>
      </c>
      <c r="P2821" t="s">
        <v>18</v>
      </c>
      <c r="Q2821" t="s">
        <v>19</v>
      </c>
      <c r="R2821" t="s">
        <v>138</v>
      </c>
      <c r="S2821" t="s">
        <v>144</v>
      </c>
      <c r="T2821" s="2">
        <f>MASTER[[#This Row],[CANTIDAD]]*MASTER[[#This Row],[PRECIO DE VENTA]]</f>
        <v>1681</v>
      </c>
      <c r="U2821" s="2">
        <f>MASTER[[#This Row],[CANTIDAD]]*MASTER[[#This Row],[COSTO UNITARIO]]</f>
        <v>396</v>
      </c>
      <c r="V2821" s="2">
        <f>MASTER[[#This Row],[MONTO VENDIDO]]-MASTER[[#This Row],[COSTO DE VENTA]]</f>
        <v>1285</v>
      </c>
    </row>
    <row r="2822" spans="1:22" x14ac:dyDescent="0.3">
      <c r="A2822">
        <v>46381</v>
      </c>
      <c r="B2822">
        <v>1</v>
      </c>
      <c r="C2822" t="s">
        <v>118</v>
      </c>
      <c r="D2822" t="s">
        <v>119</v>
      </c>
      <c r="E2822" s="1">
        <v>44168</v>
      </c>
      <c r="F2822">
        <v>1</v>
      </c>
      <c r="G2822" t="s">
        <v>59</v>
      </c>
      <c r="H2822" t="s">
        <v>60</v>
      </c>
      <c r="I2822" s="3">
        <v>900</v>
      </c>
      <c r="J2822" s="3">
        <v>900</v>
      </c>
      <c r="K2822" s="3">
        <v>424</v>
      </c>
      <c r="L2822" t="s">
        <v>120</v>
      </c>
      <c r="M2822">
        <v>10</v>
      </c>
      <c r="N2822" t="s">
        <v>83</v>
      </c>
      <c r="O2822" t="s">
        <v>81</v>
      </c>
      <c r="P2822" t="s">
        <v>12</v>
      </c>
      <c r="Q2822" t="s">
        <v>13</v>
      </c>
      <c r="R2822" t="s">
        <v>13</v>
      </c>
      <c r="S2822" t="s">
        <v>144</v>
      </c>
      <c r="T2822" s="2">
        <f>MASTER[[#This Row],[CANTIDAD]]*MASTER[[#This Row],[PRECIO DE VENTA]]</f>
        <v>900</v>
      </c>
      <c r="U2822" s="2">
        <f>MASTER[[#This Row],[CANTIDAD]]*MASTER[[#This Row],[COSTO UNITARIO]]</f>
        <v>424</v>
      </c>
      <c r="V2822" s="2">
        <f>MASTER[[#This Row],[MONTO VENDIDO]]-MASTER[[#This Row],[COSTO DE VENTA]]</f>
        <v>476</v>
      </c>
    </row>
    <row r="2823" spans="1:22" x14ac:dyDescent="0.3">
      <c r="A2823">
        <v>46382</v>
      </c>
      <c r="B2823">
        <v>1</v>
      </c>
      <c r="C2823" t="s">
        <v>94</v>
      </c>
      <c r="D2823" t="s">
        <v>95</v>
      </c>
      <c r="E2823" s="1">
        <v>44168</v>
      </c>
      <c r="F2823">
        <v>1</v>
      </c>
      <c r="G2823" t="s">
        <v>7</v>
      </c>
      <c r="H2823" t="s">
        <v>8</v>
      </c>
      <c r="I2823" s="3">
        <v>901</v>
      </c>
      <c r="J2823" s="3">
        <v>901</v>
      </c>
      <c r="K2823" s="3">
        <v>392</v>
      </c>
      <c r="L2823" t="s">
        <v>9</v>
      </c>
      <c r="M2823">
        <v>12</v>
      </c>
      <c r="N2823" t="s">
        <v>26</v>
      </c>
      <c r="O2823" t="s">
        <v>11</v>
      </c>
      <c r="P2823" t="s">
        <v>12</v>
      </c>
      <c r="Q2823" t="s">
        <v>13</v>
      </c>
      <c r="R2823" t="s">
        <v>13</v>
      </c>
      <c r="S2823" t="s">
        <v>144</v>
      </c>
      <c r="T2823" s="2">
        <f>MASTER[[#This Row],[CANTIDAD]]*MASTER[[#This Row],[PRECIO DE VENTA]]</f>
        <v>901</v>
      </c>
      <c r="U2823" s="2">
        <f>MASTER[[#This Row],[CANTIDAD]]*MASTER[[#This Row],[COSTO UNITARIO]]</f>
        <v>392</v>
      </c>
      <c r="V2823" s="2">
        <f>MASTER[[#This Row],[MONTO VENDIDO]]-MASTER[[#This Row],[COSTO DE VENTA]]</f>
        <v>509</v>
      </c>
    </row>
    <row r="2824" spans="1:22" x14ac:dyDescent="0.3">
      <c r="A2824">
        <v>46392</v>
      </c>
      <c r="B2824">
        <v>1</v>
      </c>
      <c r="C2824" t="s">
        <v>114</v>
      </c>
      <c r="D2824" t="s">
        <v>115</v>
      </c>
      <c r="E2824" s="1">
        <v>44168</v>
      </c>
      <c r="F2824">
        <v>1</v>
      </c>
      <c r="G2824" t="s">
        <v>39</v>
      </c>
      <c r="H2824" t="s">
        <v>40</v>
      </c>
      <c r="I2824" s="3">
        <v>1862</v>
      </c>
      <c r="J2824" s="3">
        <v>1768</v>
      </c>
      <c r="K2824" s="3">
        <v>394</v>
      </c>
      <c r="L2824" t="s">
        <v>113</v>
      </c>
      <c r="M2824">
        <v>5</v>
      </c>
      <c r="N2824" t="s">
        <v>85</v>
      </c>
      <c r="O2824" t="s">
        <v>81</v>
      </c>
      <c r="P2824" t="s">
        <v>12</v>
      </c>
      <c r="Q2824" t="s">
        <v>13</v>
      </c>
      <c r="R2824" t="s">
        <v>13</v>
      </c>
      <c r="S2824" t="s">
        <v>144</v>
      </c>
      <c r="T2824" s="2">
        <f>MASTER[[#This Row],[CANTIDAD]]*MASTER[[#This Row],[PRECIO DE VENTA]]</f>
        <v>1768</v>
      </c>
      <c r="U2824" s="2">
        <f>MASTER[[#This Row],[CANTIDAD]]*MASTER[[#This Row],[COSTO UNITARIO]]</f>
        <v>394</v>
      </c>
      <c r="V2824" s="2">
        <f>MASTER[[#This Row],[MONTO VENDIDO]]-MASTER[[#This Row],[COSTO DE VENTA]]</f>
        <v>1374</v>
      </c>
    </row>
    <row r="2825" spans="1:22" x14ac:dyDescent="0.3">
      <c r="A2825">
        <v>46398</v>
      </c>
      <c r="B2825">
        <v>1</v>
      </c>
      <c r="C2825" t="s">
        <v>116</v>
      </c>
      <c r="D2825" t="s">
        <v>117</v>
      </c>
      <c r="E2825" s="1">
        <v>44169</v>
      </c>
      <c r="F2825">
        <v>1</v>
      </c>
      <c r="G2825" t="s">
        <v>61</v>
      </c>
      <c r="H2825" t="s">
        <v>62</v>
      </c>
      <c r="I2825" s="3">
        <v>1738</v>
      </c>
      <c r="J2825" s="3">
        <v>1738</v>
      </c>
      <c r="K2825" s="3">
        <v>388</v>
      </c>
      <c r="L2825" t="s">
        <v>113</v>
      </c>
      <c r="M2825">
        <v>14</v>
      </c>
      <c r="N2825" t="s">
        <v>87</v>
      </c>
      <c r="O2825" t="s">
        <v>81</v>
      </c>
      <c r="P2825" t="s">
        <v>18</v>
      </c>
      <c r="Q2825" t="s">
        <v>19</v>
      </c>
      <c r="R2825" t="s">
        <v>138</v>
      </c>
      <c r="S2825" t="s">
        <v>144</v>
      </c>
      <c r="T2825" s="2">
        <f>MASTER[[#This Row],[CANTIDAD]]*MASTER[[#This Row],[PRECIO DE VENTA]]</f>
        <v>1738</v>
      </c>
      <c r="U2825" s="2">
        <f>MASTER[[#This Row],[CANTIDAD]]*MASTER[[#This Row],[COSTO UNITARIO]]</f>
        <v>388</v>
      </c>
      <c r="V2825" s="2">
        <f>MASTER[[#This Row],[MONTO VENDIDO]]-MASTER[[#This Row],[COSTO DE VENTA]]</f>
        <v>1350</v>
      </c>
    </row>
    <row r="2826" spans="1:22" x14ac:dyDescent="0.3">
      <c r="A2826">
        <v>46410</v>
      </c>
      <c r="B2826">
        <v>1</v>
      </c>
      <c r="C2826" t="s">
        <v>94</v>
      </c>
      <c r="D2826" t="s">
        <v>95</v>
      </c>
      <c r="E2826" s="1">
        <v>44169</v>
      </c>
      <c r="F2826">
        <v>1</v>
      </c>
      <c r="G2826" t="s">
        <v>73</v>
      </c>
      <c r="H2826" t="s">
        <v>74</v>
      </c>
      <c r="I2826" s="3">
        <v>1048</v>
      </c>
      <c r="J2826" s="3">
        <v>1048</v>
      </c>
      <c r="K2826" s="3">
        <v>392</v>
      </c>
      <c r="L2826" t="s">
        <v>9</v>
      </c>
      <c r="M2826">
        <v>4</v>
      </c>
      <c r="N2826" t="s">
        <v>82</v>
      </c>
      <c r="O2826" t="s">
        <v>81</v>
      </c>
      <c r="P2826" t="s">
        <v>71</v>
      </c>
      <c r="Q2826" t="s">
        <v>72</v>
      </c>
      <c r="R2826" t="s">
        <v>139</v>
      </c>
      <c r="S2826" t="s">
        <v>144</v>
      </c>
      <c r="T2826" s="2">
        <f>MASTER[[#This Row],[CANTIDAD]]*MASTER[[#This Row],[PRECIO DE VENTA]]</f>
        <v>1048</v>
      </c>
      <c r="U2826" s="2">
        <f>MASTER[[#This Row],[CANTIDAD]]*MASTER[[#This Row],[COSTO UNITARIO]]</f>
        <v>392</v>
      </c>
      <c r="V2826" s="2">
        <f>MASTER[[#This Row],[MONTO VENDIDO]]-MASTER[[#This Row],[COSTO DE VENTA]]</f>
        <v>656</v>
      </c>
    </row>
    <row r="2827" spans="1:22" x14ac:dyDescent="0.3">
      <c r="A2827">
        <v>46427</v>
      </c>
      <c r="B2827">
        <v>1</v>
      </c>
      <c r="C2827" t="s">
        <v>105</v>
      </c>
      <c r="D2827" t="s">
        <v>106</v>
      </c>
      <c r="E2827" s="1">
        <v>44169</v>
      </c>
      <c r="F2827">
        <v>2</v>
      </c>
      <c r="G2827" t="s">
        <v>29</v>
      </c>
      <c r="H2827" t="s">
        <v>30</v>
      </c>
      <c r="I2827" s="3">
        <v>1585</v>
      </c>
      <c r="J2827" s="3">
        <v>1585</v>
      </c>
      <c r="K2827" s="3">
        <v>459</v>
      </c>
      <c r="L2827" t="s">
        <v>98</v>
      </c>
      <c r="M2827">
        <v>11</v>
      </c>
      <c r="N2827" t="s">
        <v>10</v>
      </c>
      <c r="O2827" t="s">
        <v>11</v>
      </c>
      <c r="P2827" t="s">
        <v>12</v>
      </c>
      <c r="Q2827" t="s">
        <v>13</v>
      </c>
      <c r="R2827" t="s">
        <v>13</v>
      </c>
      <c r="S2827" t="s">
        <v>144</v>
      </c>
      <c r="T2827" s="2">
        <f>MASTER[[#This Row],[CANTIDAD]]*MASTER[[#This Row],[PRECIO DE VENTA]]</f>
        <v>3170</v>
      </c>
      <c r="U2827" s="2">
        <f>MASTER[[#This Row],[CANTIDAD]]*MASTER[[#This Row],[COSTO UNITARIO]]</f>
        <v>918</v>
      </c>
      <c r="V2827" s="2">
        <f>MASTER[[#This Row],[MONTO VENDIDO]]-MASTER[[#This Row],[COSTO DE VENTA]]</f>
        <v>2252</v>
      </c>
    </row>
    <row r="2828" spans="1:22" x14ac:dyDescent="0.3">
      <c r="A2828">
        <v>46456</v>
      </c>
      <c r="B2828">
        <v>2</v>
      </c>
      <c r="C2828" t="s">
        <v>107</v>
      </c>
      <c r="D2828" t="s">
        <v>108</v>
      </c>
      <c r="E2828" s="1">
        <v>44169</v>
      </c>
      <c r="F2828">
        <v>1</v>
      </c>
      <c r="G2828" t="s">
        <v>22</v>
      </c>
      <c r="H2828" t="s">
        <v>23</v>
      </c>
      <c r="I2828" s="3">
        <v>1440</v>
      </c>
      <c r="J2828" s="3">
        <v>1440</v>
      </c>
      <c r="K2828" s="3">
        <v>380</v>
      </c>
      <c r="L2828" t="s">
        <v>98</v>
      </c>
      <c r="M2828">
        <v>1</v>
      </c>
      <c r="N2828" t="s">
        <v>77</v>
      </c>
      <c r="O2828" t="s">
        <v>70</v>
      </c>
      <c r="P2828" t="s">
        <v>71</v>
      </c>
      <c r="Q2828" t="s">
        <v>72</v>
      </c>
      <c r="R2828" t="s">
        <v>139</v>
      </c>
      <c r="S2828" t="s">
        <v>144</v>
      </c>
      <c r="T2828" s="2">
        <f>MASTER[[#This Row],[CANTIDAD]]*MASTER[[#This Row],[PRECIO DE VENTA]]</f>
        <v>1440</v>
      </c>
      <c r="U2828" s="2">
        <f>MASTER[[#This Row],[CANTIDAD]]*MASTER[[#This Row],[COSTO UNITARIO]]</f>
        <v>380</v>
      </c>
      <c r="V2828" s="2">
        <f>MASTER[[#This Row],[MONTO VENDIDO]]-MASTER[[#This Row],[COSTO DE VENTA]]</f>
        <v>1060</v>
      </c>
    </row>
    <row r="2829" spans="1:22" x14ac:dyDescent="0.3">
      <c r="A2829">
        <v>46456</v>
      </c>
      <c r="B2829">
        <v>1</v>
      </c>
      <c r="C2829" t="s">
        <v>116</v>
      </c>
      <c r="D2829" t="s">
        <v>117</v>
      </c>
      <c r="E2829" s="1">
        <v>44169</v>
      </c>
      <c r="F2829">
        <v>1</v>
      </c>
      <c r="G2829" t="s">
        <v>35</v>
      </c>
      <c r="H2829" t="s">
        <v>36</v>
      </c>
      <c r="I2829" s="3">
        <v>1999</v>
      </c>
      <c r="J2829" s="3">
        <v>1999</v>
      </c>
      <c r="K2829" s="3">
        <v>388</v>
      </c>
      <c r="L2829" t="s">
        <v>113</v>
      </c>
      <c r="M2829">
        <v>1</v>
      </c>
      <c r="N2829" t="s">
        <v>77</v>
      </c>
      <c r="O2829" t="s">
        <v>70</v>
      </c>
      <c r="P2829" t="s">
        <v>71</v>
      </c>
      <c r="Q2829" t="s">
        <v>72</v>
      </c>
      <c r="R2829" t="s">
        <v>139</v>
      </c>
      <c r="S2829" t="s">
        <v>144</v>
      </c>
      <c r="T2829" s="2">
        <f>MASTER[[#This Row],[CANTIDAD]]*MASTER[[#This Row],[PRECIO DE VENTA]]</f>
        <v>1999</v>
      </c>
      <c r="U2829" s="2">
        <f>MASTER[[#This Row],[CANTIDAD]]*MASTER[[#This Row],[COSTO UNITARIO]]</f>
        <v>388</v>
      </c>
      <c r="V2829" s="2">
        <f>MASTER[[#This Row],[MONTO VENDIDO]]-MASTER[[#This Row],[COSTO DE VENTA]]</f>
        <v>1611</v>
      </c>
    </row>
    <row r="2830" spans="1:22" x14ac:dyDescent="0.3">
      <c r="A2830">
        <v>46481</v>
      </c>
      <c r="B2830">
        <v>1</v>
      </c>
      <c r="C2830" t="s">
        <v>116</v>
      </c>
      <c r="D2830" t="s">
        <v>117</v>
      </c>
      <c r="E2830" s="1">
        <v>44169</v>
      </c>
      <c r="F2830">
        <v>1</v>
      </c>
      <c r="G2830" t="s">
        <v>35</v>
      </c>
      <c r="H2830" t="s">
        <v>36</v>
      </c>
      <c r="I2830" s="3">
        <v>1999</v>
      </c>
      <c r="J2830" s="3">
        <v>1999</v>
      </c>
      <c r="K2830" s="3">
        <v>388</v>
      </c>
      <c r="L2830" t="s">
        <v>113</v>
      </c>
      <c r="M2830">
        <v>18</v>
      </c>
      <c r="N2830" t="s">
        <v>79</v>
      </c>
      <c r="O2830" t="s">
        <v>70</v>
      </c>
      <c r="P2830" t="s">
        <v>15</v>
      </c>
      <c r="Q2830" t="s">
        <v>16</v>
      </c>
      <c r="R2830" t="s">
        <v>16</v>
      </c>
      <c r="S2830" t="s">
        <v>144</v>
      </c>
      <c r="T2830" s="2">
        <f>MASTER[[#This Row],[CANTIDAD]]*MASTER[[#This Row],[PRECIO DE VENTA]]</f>
        <v>1999</v>
      </c>
      <c r="U2830" s="2">
        <f>MASTER[[#This Row],[CANTIDAD]]*MASTER[[#This Row],[COSTO UNITARIO]]</f>
        <v>388</v>
      </c>
      <c r="V2830" s="2">
        <f>MASTER[[#This Row],[MONTO VENDIDO]]-MASTER[[#This Row],[COSTO DE VENTA]]</f>
        <v>1611</v>
      </c>
    </row>
    <row r="2831" spans="1:22" x14ac:dyDescent="0.3">
      <c r="A2831">
        <v>46487</v>
      </c>
      <c r="B2831">
        <v>1</v>
      </c>
      <c r="C2831" t="s">
        <v>121</v>
      </c>
      <c r="D2831" t="s">
        <v>122</v>
      </c>
      <c r="E2831" s="1">
        <v>44169</v>
      </c>
      <c r="F2831">
        <v>1</v>
      </c>
      <c r="G2831" t="s">
        <v>51</v>
      </c>
      <c r="H2831" t="s">
        <v>52</v>
      </c>
      <c r="I2831" s="3">
        <v>1069</v>
      </c>
      <c r="J2831" s="3">
        <v>1069</v>
      </c>
      <c r="K2831" s="3">
        <v>460</v>
      </c>
      <c r="L2831" t="s">
        <v>120</v>
      </c>
      <c r="M2831">
        <v>4</v>
      </c>
      <c r="N2831" t="s">
        <v>82</v>
      </c>
      <c r="O2831" t="s">
        <v>81</v>
      </c>
      <c r="P2831" t="s">
        <v>71</v>
      </c>
      <c r="Q2831" t="s">
        <v>72</v>
      </c>
      <c r="R2831" t="s">
        <v>139</v>
      </c>
      <c r="S2831" t="s">
        <v>144</v>
      </c>
      <c r="T2831" s="2">
        <f>MASTER[[#This Row],[CANTIDAD]]*MASTER[[#This Row],[PRECIO DE VENTA]]</f>
        <v>1069</v>
      </c>
      <c r="U2831" s="2">
        <f>MASTER[[#This Row],[CANTIDAD]]*MASTER[[#This Row],[COSTO UNITARIO]]</f>
        <v>460</v>
      </c>
      <c r="V2831" s="2">
        <f>MASTER[[#This Row],[MONTO VENDIDO]]-MASTER[[#This Row],[COSTO DE VENTA]]</f>
        <v>609</v>
      </c>
    </row>
    <row r="2832" spans="1:22" x14ac:dyDescent="0.3">
      <c r="A2832">
        <v>46501</v>
      </c>
      <c r="B2832">
        <v>1</v>
      </c>
      <c r="C2832" t="s">
        <v>121</v>
      </c>
      <c r="D2832" t="s">
        <v>122</v>
      </c>
      <c r="E2832" s="1">
        <v>44169</v>
      </c>
      <c r="F2832">
        <v>1</v>
      </c>
      <c r="G2832" t="s">
        <v>63</v>
      </c>
      <c r="H2832" t="s">
        <v>64</v>
      </c>
      <c r="I2832" s="3">
        <v>1069</v>
      </c>
      <c r="J2832" s="3">
        <v>1069</v>
      </c>
      <c r="K2832" s="3">
        <v>460</v>
      </c>
      <c r="L2832" t="s">
        <v>120</v>
      </c>
      <c r="M2832">
        <v>7</v>
      </c>
      <c r="N2832" t="s">
        <v>84</v>
      </c>
      <c r="O2832" t="s">
        <v>81</v>
      </c>
      <c r="P2832" t="s">
        <v>12</v>
      </c>
      <c r="Q2832" t="s">
        <v>13</v>
      </c>
      <c r="R2832" t="s">
        <v>13</v>
      </c>
      <c r="S2832" t="s">
        <v>144</v>
      </c>
      <c r="T2832" s="2">
        <f>MASTER[[#This Row],[CANTIDAD]]*MASTER[[#This Row],[PRECIO DE VENTA]]</f>
        <v>1069</v>
      </c>
      <c r="U2832" s="2">
        <f>MASTER[[#This Row],[CANTIDAD]]*MASTER[[#This Row],[COSTO UNITARIO]]</f>
        <v>460</v>
      </c>
      <c r="V2832" s="2">
        <f>MASTER[[#This Row],[MONTO VENDIDO]]-MASTER[[#This Row],[COSTO DE VENTA]]</f>
        <v>609</v>
      </c>
    </row>
    <row r="2833" spans="1:22" x14ac:dyDescent="0.3">
      <c r="A2833">
        <v>46502</v>
      </c>
      <c r="B2833">
        <v>1</v>
      </c>
      <c r="C2833" t="s">
        <v>92</v>
      </c>
      <c r="D2833" t="s">
        <v>93</v>
      </c>
      <c r="E2833" s="1">
        <v>44169</v>
      </c>
      <c r="F2833">
        <v>2</v>
      </c>
      <c r="G2833" t="s">
        <v>20</v>
      </c>
      <c r="H2833" t="s">
        <v>21</v>
      </c>
      <c r="I2833" s="3">
        <v>1866</v>
      </c>
      <c r="J2833" s="3">
        <v>1866</v>
      </c>
      <c r="K2833" s="3">
        <v>396</v>
      </c>
      <c r="L2833" t="s">
        <v>9</v>
      </c>
      <c r="M2833">
        <v>1</v>
      </c>
      <c r="N2833" t="s">
        <v>77</v>
      </c>
      <c r="O2833" t="s">
        <v>70</v>
      </c>
      <c r="P2833" t="s">
        <v>71</v>
      </c>
      <c r="Q2833" t="s">
        <v>72</v>
      </c>
      <c r="R2833" t="s">
        <v>139</v>
      </c>
      <c r="S2833" t="s">
        <v>144</v>
      </c>
      <c r="T2833" s="2">
        <f>MASTER[[#This Row],[CANTIDAD]]*MASTER[[#This Row],[PRECIO DE VENTA]]</f>
        <v>3732</v>
      </c>
      <c r="U2833" s="2">
        <f>MASTER[[#This Row],[CANTIDAD]]*MASTER[[#This Row],[COSTO UNITARIO]]</f>
        <v>792</v>
      </c>
      <c r="V2833" s="2">
        <f>MASTER[[#This Row],[MONTO VENDIDO]]-MASTER[[#This Row],[COSTO DE VENTA]]</f>
        <v>2940</v>
      </c>
    </row>
    <row r="2834" spans="1:22" x14ac:dyDescent="0.3">
      <c r="A2834">
        <v>46507</v>
      </c>
      <c r="B2834">
        <v>1</v>
      </c>
      <c r="C2834" t="s">
        <v>96</v>
      </c>
      <c r="D2834" t="s">
        <v>97</v>
      </c>
      <c r="E2834" s="1">
        <v>44169</v>
      </c>
      <c r="F2834">
        <v>1</v>
      </c>
      <c r="G2834" t="s">
        <v>24</v>
      </c>
      <c r="H2834" t="s">
        <v>25</v>
      </c>
      <c r="I2834" s="3">
        <v>1272</v>
      </c>
      <c r="J2834" s="3">
        <v>1272</v>
      </c>
      <c r="K2834" s="3">
        <v>397</v>
      </c>
      <c r="L2834" t="s">
        <v>98</v>
      </c>
      <c r="M2834">
        <v>8</v>
      </c>
      <c r="N2834" t="s">
        <v>80</v>
      </c>
      <c r="O2834" t="s">
        <v>81</v>
      </c>
      <c r="P2834" t="s">
        <v>12</v>
      </c>
      <c r="Q2834" t="s">
        <v>13</v>
      </c>
      <c r="R2834" t="s">
        <v>13</v>
      </c>
      <c r="S2834" t="s">
        <v>144</v>
      </c>
      <c r="T2834" s="2">
        <f>MASTER[[#This Row],[CANTIDAD]]*MASTER[[#This Row],[PRECIO DE VENTA]]</f>
        <v>1272</v>
      </c>
      <c r="U2834" s="2">
        <f>MASTER[[#This Row],[CANTIDAD]]*MASTER[[#This Row],[COSTO UNITARIO]]</f>
        <v>397</v>
      </c>
      <c r="V2834" s="2">
        <f>MASTER[[#This Row],[MONTO VENDIDO]]-MASTER[[#This Row],[COSTO DE VENTA]]</f>
        <v>875</v>
      </c>
    </row>
    <row r="2835" spans="1:22" x14ac:dyDescent="0.3">
      <c r="A2835">
        <v>46535</v>
      </c>
      <c r="B2835">
        <v>1</v>
      </c>
      <c r="C2835" t="s">
        <v>109</v>
      </c>
      <c r="D2835" t="s">
        <v>110</v>
      </c>
      <c r="E2835" s="1">
        <v>44170</v>
      </c>
      <c r="F2835">
        <v>1</v>
      </c>
      <c r="G2835" t="s">
        <v>65</v>
      </c>
      <c r="H2835" t="s">
        <v>66</v>
      </c>
      <c r="I2835" s="3">
        <v>1128</v>
      </c>
      <c r="J2835" s="3">
        <v>1128</v>
      </c>
      <c r="K2835" s="3">
        <v>387</v>
      </c>
      <c r="L2835" t="s">
        <v>98</v>
      </c>
      <c r="M2835">
        <v>18</v>
      </c>
      <c r="N2835" t="s">
        <v>79</v>
      </c>
      <c r="O2835" t="s">
        <v>70</v>
      </c>
      <c r="P2835" t="s">
        <v>15</v>
      </c>
      <c r="Q2835" t="s">
        <v>16</v>
      </c>
      <c r="R2835" t="s">
        <v>16</v>
      </c>
      <c r="S2835" t="s">
        <v>144</v>
      </c>
      <c r="T2835" s="2">
        <f>MASTER[[#This Row],[CANTIDAD]]*MASTER[[#This Row],[PRECIO DE VENTA]]</f>
        <v>1128</v>
      </c>
      <c r="U2835" s="2">
        <f>MASTER[[#This Row],[CANTIDAD]]*MASTER[[#This Row],[COSTO UNITARIO]]</f>
        <v>387</v>
      </c>
      <c r="V2835" s="2">
        <f>MASTER[[#This Row],[MONTO VENDIDO]]-MASTER[[#This Row],[COSTO DE VENTA]]</f>
        <v>741</v>
      </c>
    </row>
    <row r="2836" spans="1:22" x14ac:dyDescent="0.3">
      <c r="A2836">
        <v>46539</v>
      </c>
      <c r="B2836">
        <v>1</v>
      </c>
      <c r="C2836" t="s">
        <v>114</v>
      </c>
      <c r="D2836" t="s">
        <v>115</v>
      </c>
      <c r="E2836" s="1">
        <v>44170</v>
      </c>
      <c r="F2836">
        <v>2</v>
      </c>
      <c r="G2836" t="s">
        <v>61</v>
      </c>
      <c r="H2836" t="s">
        <v>62</v>
      </c>
      <c r="I2836" s="3">
        <v>1862</v>
      </c>
      <c r="J2836" s="3">
        <v>1862</v>
      </c>
      <c r="K2836" s="3">
        <v>394</v>
      </c>
      <c r="L2836" t="s">
        <v>113</v>
      </c>
      <c r="M2836">
        <v>4</v>
      </c>
      <c r="N2836" t="s">
        <v>82</v>
      </c>
      <c r="O2836" t="s">
        <v>81</v>
      </c>
      <c r="P2836" t="s">
        <v>71</v>
      </c>
      <c r="Q2836" t="s">
        <v>72</v>
      </c>
      <c r="R2836" t="s">
        <v>139</v>
      </c>
      <c r="S2836" t="s">
        <v>144</v>
      </c>
      <c r="T2836" s="2">
        <f>MASTER[[#This Row],[CANTIDAD]]*MASTER[[#This Row],[PRECIO DE VENTA]]</f>
        <v>3724</v>
      </c>
      <c r="U2836" s="2">
        <f>MASTER[[#This Row],[CANTIDAD]]*MASTER[[#This Row],[COSTO UNITARIO]]</f>
        <v>788</v>
      </c>
      <c r="V2836" s="2">
        <f>MASTER[[#This Row],[MONTO VENDIDO]]-MASTER[[#This Row],[COSTO DE VENTA]]</f>
        <v>2936</v>
      </c>
    </row>
    <row r="2837" spans="1:22" x14ac:dyDescent="0.3">
      <c r="A2837">
        <v>46545</v>
      </c>
      <c r="B2837">
        <v>1</v>
      </c>
      <c r="C2837" t="s">
        <v>109</v>
      </c>
      <c r="D2837" t="s">
        <v>110</v>
      </c>
      <c r="E2837" s="1">
        <v>44170</v>
      </c>
      <c r="F2837">
        <v>1</v>
      </c>
      <c r="G2837" t="s">
        <v>29</v>
      </c>
      <c r="H2837" t="s">
        <v>30</v>
      </c>
      <c r="I2837" s="3">
        <v>947</v>
      </c>
      <c r="J2837" s="3">
        <v>947</v>
      </c>
      <c r="K2837" s="3">
        <v>387</v>
      </c>
      <c r="L2837" t="s">
        <v>98</v>
      </c>
      <c r="M2837">
        <v>11</v>
      </c>
      <c r="N2837" t="s">
        <v>10</v>
      </c>
      <c r="O2837" t="s">
        <v>11</v>
      </c>
      <c r="P2837" t="s">
        <v>12</v>
      </c>
      <c r="Q2837" t="s">
        <v>13</v>
      </c>
      <c r="R2837" t="s">
        <v>13</v>
      </c>
      <c r="S2837" t="s">
        <v>144</v>
      </c>
      <c r="T2837" s="2">
        <f>MASTER[[#This Row],[CANTIDAD]]*MASTER[[#This Row],[PRECIO DE VENTA]]</f>
        <v>947</v>
      </c>
      <c r="U2837" s="2">
        <f>MASTER[[#This Row],[CANTIDAD]]*MASTER[[#This Row],[COSTO UNITARIO]]</f>
        <v>387</v>
      </c>
      <c r="V2837" s="2">
        <f>MASTER[[#This Row],[MONTO VENDIDO]]-MASTER[[#This Row],[COSTO DE VENTA]]</f>
        <v>560</v>
      </c>
    </row>
    <row r="2838" spans="1:22" x14ac:dyDescent="0.3">
      <c r="A2838">
        <v>46548</v>
      </c>
      <c r="B2838">
        <v>1</v>
      </c>
      <c r="C2838" t="s">
        <v>111</v>
      </c>
      <c r="D2838" t="s">
        <v>112</v>
      </c>
      <c r="E2838" s="1">
        <v>44170</v>
      </c>
      <c r="F2838">
        <v>1</v>
      </c>
      <c r="G2838" t="s">
        <v>7</v>
      </c>
      <c r="H2838" t="s">
        <v>8</v>
      </c>
      <c r="I2838" s="3">
        <v>1799</v>
      </c>
      <c r="J2838" s="3">
        <v>1799</v>
      </c>
      <c r="K2838" s="3">
        <v>434</v>
      </c>
      <c r="L2838" t="s">
        <v>113</v>
      </c>
      <c r="M2838">
        <v>1</v>
      </c>
      <c r="N2838" t="s">
        <v>77</v>
      </c>
      <c r="O2838" t="s">
        <v>70</v>
      </c>
      <c r="P2838" t="s">
        <v>71</v>
      </c>
      <c r="Q2838" t="s">
        <v>72</v>
      </c>
      <c r="R2838" t="s">
        <v>139</v>
      </c>
      <c r="S2838" t="s">
        <v>144</v>
      </c>
      <c r="T2838" s="2">
        <f>MASTER[[#This Row],[CANTIDAD]]*MASTER[[#This Row],[PRECIO DE VENTA]]</f>
        <v>1799</v>
      </c>
      <c r="U2838" s="2">
        <f>MASTER[[#This Row],[CANTIDAD]]*MASTER[[#This Row],[COSTO UNITARIO]]</f>
        <v>434</v>
      </c>
      <c r="V2838" s="2">
        <f>MASTER[[#This Row],[MONTO VENDIDO]]-MASTER[[#This Row],[COSTO DE VENTA]]</f>
        <v>1365</v>
      </c>
    </row>
    <row r="2839" spans="1:22" x14ac:dyDescent="0.3">
      <c r="A2839">
        <v>46549</v>
      </c>
      <c r="B2839">
        <v>1</v>
      </c>
      <c r="C2839" t="s">
        <v>5</v>
      </c>
      <c r="D2839" t="s">
        <v>6</v>
      </c>
      <c r="E2839" s="1">
        <v>44170</v>
      </c>
      <c r="F2839">
        <v>1</v>
      </c>
      <c r="G2839" t="s">
        <v>41</v>
      </c>
      <c r="H2839" t="s">
        <v>42</v>
      </c>
      <c r="I2839" s="3">
        <v>1296</v>
      </c>
      <c r="J2839" s="3">
        <v>1296</v>
      </c>
      <c r="K2839" s="3">
        <v>393</v>
      </c>
      <c r="L2839" t="s">
        <v>9</v>
      </c>
      <c r="M2839">
        <v>6</v>
      </c>
      <c r="N2839" t="s">
        <v>75</v>
      </c>
      <c r="O2839" t="s">
        <v>70</v>
      </c>
      <c r="P2839" t="s">
        <v>12</v>
      </c>
      <c r="Q2839" t="s">
        <v>13</v>
      </c>
      <c r="R2839" t="s">
        <v>13</v>
      </c>
      <c r="S2839" t="s">
        <v>144</v>
      </c>
      <c r="T2839" s="2">
        <f>MASTER[[#This Row],[CANTIDAD]]*MASTER[[#This Row],[PRECIO DE VENTA]]</f>
        <v>1296</v>
      </c>
      <c r="U2839" s="2">
        <f>MASTER[[#This Row],[CANTIDAD]]*MASTER[[#This Row],[COSTO UNITARIO]]</f>
        <v>393</v>
      </c>
      <c r="V2839" s="2">
        <f>MASTER[[#This Row],[MONTO VENDIDO]]-MASTER[[#This Row],[COSTO DE VENTA]]</f>
        <v>903</v>
      </c>
    </row>
    <row r="2840" spans="1:22" x14ac:dyDescent="0.3">
      <c r="A2840">
        <v>46567</v>
      </c>
      <c r="B2840">
        <v>1</v>
      </c>
      <c r="C2840" t="s">
        <v>94</v>
      </c>
      <c r="D2840" t="s">
        <v>95</v>
      </c>
      <c r="E2840" s="1">
        <v>44170</v>
      </c>
      <c r="F2840">
        <v>1</v>
      </c>
      <c r="G2840" t="s">
        <v>49</v>
      </c>
      <c r="H2840" t="s">
        <v>50</v>
      </c>
      <c r="I2840" s="3">
        <v>1048</v>
      </c>
      <c r="J2840" s="3">
        <v>964</v>
      </c>
      <c r="K2840" s="3">
        <v>392</v>
      </c>
      <c r="L2840" t="s">
        <v>9</v>
      </c>
      <c r="M2840">
        <v>2</v>
      </c>
      <c r="N2840" t="s">
        <v>86</v>
      </c>
      <c r="O2840" t="s">
        <v>81</v>
      </c>
      <c r="P2840" t="s">
        <v>71</v>
      </c>
      <c r="Q2840" t="s">
        <v>72</v>
      </c>
      <c r="R2840" t="s">
        <v>139</v>
      </c>
      <c r="S2840" t="s">
        <v>144</v>
      </c>
      <c r="T2840" s="2">
        <f>MASTER[[#This Row],[CANTIDAD]]*MASTER[[#This Row],[PRECIO DE VENTA]]</f>
        <v>964</v>
      </c>
      <c r="U2840" s="2">
        <f>MASTER[[#This Row],[CANTIDAD]]*MASTER[[#This Row],[COSTO UNITARIO]]</f>
        <v>392</v>
      </c>
      <c r="V2840" s="2">
        <f>MASTER[[#This Row],[MONTO VENDIDO]]-MASTER[[#This Row],[COSTO DE VENTA]]</f>
        <v>572</v>
      </c>
    </row>
    <row r="2841" spans="1:22" x14ac:dyDescent="0.3">
      <c r="A2841">
        <v>46579</v>
      </c>
      <c r="B2841">
        <v>1</v>
      </c>
      <c r="C2841" t="s">
        <v>94</v>
      </c>
      <c r="D2841" t="s">
        <v>95</v>
      </c>
      <c r="E2841" s="1">
        <v>44170</v>
      </c>
      <c r="F2841">
        <v>1</v>
      </c>
      <c r="G2841" t="s">
        <v>22</v>
      </c>
      <c r="H2841" t="s">
        <v>23</v>
      </c>
      <c r="I2841" s="3">
        <v>1153</v>
      </c>
      <c r="J2841" s="3">
        <v>1153</v>
      </c>
      <c r="K2841" s="3">
        <v>392</v>
      </c>
      <c r="L2841" t="s">
        <v>9</v>
      </c>
      <c r="M2841">
        <v>3</v>
      </c>
      <c r="N2841" t="s">
        <v>69</v>
      </c>
      <c r="O2841" t="s">
        <v>70</v>
      </c>
      <c r="P2841" t="s">
        <v>71</v>
      </c>
      <c r="Q2841" t="s">
        <v>72</v>
      </c>
      <c r="R2841" t="s">
        <v>139</v>
      </c>
      <c r="S2841" t="s">
        <v>144</v>
      </c>
      <c r="T2841" s="2">
        <f>MASTER[[#This Row],[CANTIDAD]]*MASTER[[#This Row],[PRECIO DE VENTA]]</f>
        <v>1153</v>
      </c>
      <c r="U2841" s="2">
        <f>MASTER[[#This Row],[CANTIDAD]]*MASTER[[#This Row],[COSTO UNITARIO]]</f>
        <v>392</v>
      </c>
      <c r="V2841" s="2">
        <f>MASTER[[#This Row],[MONTO VENDIDO]]-MASTER[[#This Row],[COSTO DE VENTA]]</f>
        <v>761</v>
      </c>
    </row>
    <row r="2842" spans="1:22" x14ac:dyDescent="0.3">
      <c r="A2842">
        <v>46582</v>
      </c>
      <c r="B2842">
        <v>1</v>
      </c>
      <c r="C2842" t="s">
        <v>121</v>
      </c>
      <c r="D2842" t="s">
        <v>122</v>
      </c>
      <c r="E2842" s="1">
        <v>44171</v>
      </c>
      <c r="F2842">
        <v>1</v>
      </c>
      <c r="G2842" t="s">
        <v>47</v>
      </c>
      <c r="H2842" t="s">
        <v>48</v>
      </c>
      <c r="I2842" s="3">
        <v>1069</v>
      </c>
      <c r="J2842" s="3">
        <v>1069</v>
      </c>
      <c r="K2842" s="3">
        <v>460</v>
      </c>
      <c r="L2842" t="s">
        <v>120</v>
      </c>
      <c r="M2842">
        <v>4</v>
      </c>
      <c r="N2842" t="s">
        <v>82</v>
      </c>
      <c r="O2842" t="s">
        <v>81</v>
      </c>
      <c r="P2842" t="s">
        <v>71</v>
      </c>
      <c r="Q2842" t="s">
        <v>72</v>
      </c>
      <c r="R2842" t="s">
        <v>139</v>
      </c>
      <c r="S2842" t="s">
        <v>144</v>
      </c>
      <c r="T2842" s="2">
        <f>MASTER[[#This Row],[CANTIDAD]]*MASTER[[#This Row],[PRECIO DE VENTA]]</f>
        <v>1069</v>
      </c>
      <c r="U2842" s="2">
        <f>MASTER[[#This Row],[CANTIDAD]]*MASTER[[#This Row],[COSTO UNITARIO]]</f>
        <v>460</v>
      </c>
      <c r="V2842" s="2">
        <f>MASTER[[#This Row],[MONTO VENDIDO]]-MASTER[[#This Row],[COSTO DE VENTA]]</f>
        <v>609</v>
      </c>
    </row>
    <row r="2843" spans="1:22" x14ac:dyDescent="0.3">
      <c r="A2843">
        <v>46591</v>
      </c>
      <c r="B2843">
        <v>1</v>
      </c>
      <c r="C2843" t="s">
        <v>111</v>
      </c>
      <c r="D2843" t="s">
        <v>112</v>
      </c>
      <c r="E2843" s="1">
        <v>44171</v>
      </c>
      <c r="F2843">
        <v>1</v>
      </c>
      <c r="G2843" t="s">
        <v>27</v>
      </c>
      <c r="H2843" t="s">
        <v>28</v>
      </c>
      <c r="I2843" s="3">
        <v>1621</v>
      </c>
      <c r="J2843" s="3">
        <v>1621</v>
      </c>
      <c r="K2843" s="3">
        <v>434</v>
      </c>
      <c r="L2843" t="s">
        <v>113</v>
      </c>
      <c r="M2843">
        <v>10</v>
      </c>
      <c r="N2843" t="s">
        <v>83</v>
      </c>
      <c r="O2843" t="s">
        <v>81</v>
      </c>
      <c r="P2843" t="s">
        <v>12</v>
      </c>
      <c r="Q2843" t="s">
        <v>13</v>
      </c>
      <c r="R2843" t="s">
        <v>13</v>
      </c>
      <c r="S2843" t="s">
        <v>144</v>
      </c>
      <c r="T2843" s="2">
        <f>MASTER[[#This Row],[CANTIDAD]]*MASTER[[#This Row],[PRECIO DE VENTA]]</f>
        <v>1621</v>
      </c>
      <c r="U2843" s="2">
        <f>MASTER[[#This Row],[CANTIDAD]]*MASTER[[#This Row],[COSTO UNITARIO]]</f>
        <v>434</v>
      </c>
      <c r="V2843" s="2">
        <f>MASTER[[#This Row],[MONTO VENDIDO]]-MASTER[[#This Row],[COSTO DE VENTA]]</f>
        <v>1187</v>
      </c>
    </row>
    <row r="2844" spans="1:22" x14ac:dyDescent="0.3">
      <c r="A2844">
        <v>46606</v>
      </c>
      <c r="B2844">
        <v>1</v>
      </c>
      <c r="C2844" t="s">
        <v>101</v>
      </c>
      <c r="D2844" t="s">
        <v>102</v>
      </c>
      <c r="E2844" s="1">
        <v>44171</v>
      </c>
      <c r="F2844">
        <v>1</v>
      </c>
      <c r="G2844" t="s">
        <v>65</v>
      </c>
      <c r="H2844" t="s">
        <v>66</v>
      </c>
      <c r="I2844" s="3">
        <v>1357</v>
      </c>
      <c r="J2844" s="3">
        <v>1357</v>
      </c>
      <c r="K2844" s="3">
        <v>442</v>
      </c>
      <c r="L2844" t="s">
        <v>98</v>
      </c>
      <c r="M2844">
        <v>13</v>
      </c>
      <c r="N2844" t="s">
        <v>78</v>
      </c>
      <c r="O2844" t="s">
        <v>70</v>
      </c>
      <c r="P2844" t="s">
        <v>18</v>
      </c>
      <c r="Q2844" t="s">
        <v>19</v>
      </c>
      <c r="R2844" t="s">
        <v>138</v>
      </c>
      <c r="S2844" t="s">
        <v>144</v>
      </c>
      <c r="T2844" s="2">
        <f>MASTER[[#This Row],[CANTIDAD]]*MASTER[[#This Row],[PRECIO DE VENTA]]</f>
        <v>1357</v>
      </c>
      <c r="U2844" s="2">
        <f>MASTER[[#This Row],[CANTIDAD]]*MASTER[[#This Row],[COSTO UNITARIO]]</f>
        <v>442</v>
      </c>
      <c r="V2844" s="2">
        <f>MASTER[[#This Row],[MONTO VENDIDO]]-MASTER[[#This Row],[COSTO DE VENTA]]</f>
        <v>915</v>
      </c>
    </row>
    <row r="2845" spans="1:22" x14ac:dyDescent="0.3">
      <c r="A2845">
        <v>46626</v>
      </c>
      <c r="B2845">
        <v>1</v>
      </c>
      <c r="C2845" t="s">
        <v>96</v>
      </c>
      <c r="D2845" t="s">
        <v>97</v>
      </c>
      <c r="E2845" s="1">
        <v>44171</v>
      </c>
      <c r="F2845">
        <v>1</v>
      </c>
      <c r="G2845" t="s">
        <v>53</v>
      </c>
      <c r="H2845" t="s">
        <v>54</v>
      </c>
      <c r="I2845" s="3">
        <v>1361</v>
      </c>
      <c r="J2845" s="3">
        <v>1361</v>
      </c>
      <c r="K2845" s="3">
        <v>397</v>
      </c>
      <c r="L2845" t="s">
        <v>98</v>
      </c>
      <c r="M2845">
        <v>18</v>
      </c>
      <c r="N2845" t="s">
        <v>79</v>
      </c>
      <c r="O2845" t="s">
        <v>70</v>
      </c>
      <c r="P2845" t="s">
        <v>15</v>
      </c>
      <c r="Q2845" t="s">
        <v>16</v>
      </c>
      <c r="R2845" t="s">
        <v>16</v>
      </c>
      <c r="S2845" t="s">
        <v>144</v>
      </c>
      <c r="T2845" s="2">
        <f>MASTER[[#This Row],[CANTIDAD]]*MASTER[[#This Row],[PRECIO DE VENTA]]</f>
        <v>1361</v>
      </c>
      <c r="U2845" s="2">
        <f>MASTER[[#This Row],[CANTIDAD]]*MASTER[[#This Row],[COSTO UNITARIO]]</f>
        <v>397</v>
      </c>
      <c r="V2845" s="2">
        <f>MASTER[[#This Row],[MONTO VENDIDO]]-MASTER[[#This Row],[COSTO DE VENTA]]</f>
        <v>964</v>
      </c>
    </row>
    <row r="2846" spans="1:22" x14ac:dyDescent="0.3">
      <c r="A2846">
        <v>46659</v>
      </c>
      <c r="B2846">
        <v>1</v>
      </c>
      <c r="C2846" t="s">
        <v>107</v>
      </c>
      <c r="D2846" t="s">
        <v>108</v>
      </c>
      <c r="E2846" s="1">
        <v>44171</v>
      </c>
      <c r="F2846">
        <v>2</v>
      </c>
      <c r="G2846" t="s">
        <v>35</v>
      </c>
      <c r="H2846" t="s">
        <v>36</v>
      </c>
      <c r="I2846" s="3">
        <v>1333</v>
      </c>
      <c r="J2846" s="3">
        <v>1266</v>
      </c>
      <c r="K2846" s="3">
        <v>380</v>
      </c>
      <c r="L2846" t="s">
        <v>98</v>
      </c>
      <c r="M2846">
        <v>4</v>
      </c>
      <c r="N2846" t="s">
        <v>82</v>
      </c>
      <c r="O2846" t="s">
        <v>81</v>
      </c>
      <c r="P2846" t="s">
        <v>71</v>
      </c>
      <c r="Q2846" t="s">
        <v>72</v>
      </c>
      <c r="R2846" t="s">
        <v>139</v>
      </c>
      <c r="S2846" t="s">
        <v>144</v>
      </c>
      <c r="T2846" s="2">
        <f>MASTER[[#This Row],[CANTIDAD]]*MASTER[[#This Row],[PRECIO DE VENTA]]</f>
        <v>2532</v>
      </c>
      <c r="U2846" s="2">
        <f>MASTER[[#This Row],[CANTIDAD]]*MASTER[[#This Row],[COSTO UNITARIO]]</f>
        <v>760</v>
      </c>
      <c r="V2846" s="2">
        <f>MASTER[[#This Row],[MONTO VENDIDO]]-MASTER[[#This Row],[COSTO DE VENTA]]</f>
        <v>1772</v>
      </c>
    </row>
    <row r="2847" spans="1:22" x14ac:dyDescent="0.3">
      <c r="A2847">
        <v>46700</v>
      </c>
      <c r="B2847">
        <v>1</v>
      </c>
      <c r="C2847" t="s">
        <v>118</v>
      </c>
      <c r="D2847" t="s">
        <v>119</v>
      </c>
      <c r="E2847" s="1">
        <v>44171</v>
      </c>
      <c r="F2847">
        <v>1</v>
      </c>
      <c r="G2847" t="s">
        <v>55</v>
      </c>
      <c r="H2847" t="s">
        <v>56</v>
      </c>
      <c r="I2847" s="3">
        <v>900</v>
      </c>
      <c r="J2847" s="3">
        <v>900</v>
      </c>
      <c r="K2847" s="3">
        <v>424</v>
      </c>
      <c r="L2847" t="s">
        <v>120</v>
      </c>
      <c r="M2847">
        <v>15</v>
      </c>
      <c r="N2847" t="s">
        <v>88</v>
      </c>
      <c r="O2847" t="s">
        <v>81</v>
      </c>
      <c r="P2847" t="s">
        <v>18</v>
      </c>
      <c r="Q2847" t="s">
        <v>19</v>
      </c>
      <c r="R2847" t="s">
        <v>138</v>
      </c>
      <c r="S2847" t="s">
        <v>144</v>
      </c>
      <c r="T2847" s="2">
        <f>MASTER[[#This Row],[CANTIDAD]]*MASTER[[#This Row],[PRECIO DE VENTA]]</f>
        <v>900</v>
      </c>
      <c r="U2847" s="2">
        <f>MASTER[[#This Row],[CANTIDAD]]*MASTER[[#This Row],[COSTO UNITARIO]]</f>
        <v>424</v>
      </c>
      <c r="V2847" s="2">
        <f>MASTER[[#This Row],[MONTO VENDIDO]]-MASTER[[#This Row],[COSTO DE VENTA]]</f>
        <v>476</v>
      </c>
    </row>
    <row r="2848" spans="1:22" x14ac:dyDescent="0.3">
      <c r="A2848">
        <v>46713</v>
      </c>
      <c r="B2848">
        <v>1</v>
      </c>
      <c r="C2848" t="s">
        <v>92</v>
      </c>
      <c r="D2848" t="s">
        <v>93</v>
      </c>
      <c r="E2848" s="1">
        <v>44171</v>
      </c>
      <c r="F2848">
        <v>1</v>
      </c>
      <c r="G2848" t="s">
        <v>73</v>
      </c>
      <c r="H2848" t="s">
        <v>74</v>
      </c>
      <c r="I2848" s="3">
        <v>1866</v>
      </c>
      <c r="J2848" s="3">
        <v>1866</v>
      </c>
      <c r="K2848" s="3">
        <v>396</v>
      </c>
      <c r="L2848" t="s">
        <v>9</v>
      </c>
      <c r="M2848">
        <v>13</v>
      </c>
      <c r="N2848" t="s">
        <v>78</v>
      </c>
      <c r="O2848" t="s">
        <v>70</v>
      </c>
      <c r="P2848" t="s">
        <v>18</v>
      </c>
      <c r="Q2848" t="s">
        <v>19</v>
      </c>
      <c r="R2848" t="s">
        <v>138</v>
      </c>
      <c r="S2848" t="s">
        <v>144</v>
      </c>
      <c r="T2848" s="2">
        <f>MASTER[[#This Row],[CANTIDAD]]*MASTER[[#This Row],[PRECIO DE VENTA]]</f>
        <v>1866</v>
      </c>
      <c r="U2848" s="2">
        <f>MASTER[[#This Row],[CANTIDAD]]*MASTER[[#This Row],[COSTO UNITARIO]]</f>
        <v>396</v>
      </c>
      <c r="V2848" s="2">
        <f>MASTER[[#This Row],[MONTO VENDIDO]]-MASTER[[#This Row],[COSTO DE VENTA]]</f>
        <v>1470</v>
      </c>
    </row>
    <row r="2849" spans="1:22" x14ac:dyDescent="0.3">
      <c r="A2849">
        <v>46733</v>
      </c>
      <c r="B2849">
        <v>1</v>
      </c>
      <c r="C2849" t="s">
        <v>105</v>
      </c>
      <c r="D2849" t="s">
        <v>106</v>
      </c>
      <c r="E2849" s="1">
        <v>44171</v>
      </c>
      <c r="F2849">
        <v>1</v>
      </c>
      <c r="G2849" t="s">
        <v>22</v>
      </c>
      <c r="H2849" t="s">
        <v>23</v>
      </c>
      <c r="I2849" s="3">
        <v>2033</v>
      </c>
      <c r="J2849" s="3">
        <v>1931</v>
      </c>
      <c r="K2849" s="3">
        <v>459</v>
      </c>
      <c r="L2849" t="s">
        <v>98</v>
      </c>
      <c r="M2849">
        <v>13</v>
      </c>
      <c r="N2849" t="s">
        <v>78</v>
      </c>
      <c r="O2849" t="s">
        <v>70</v>
      </c>
      <c r="P2849" t="s">
        <v>18</v>
      </c>
      <c r="Q2849" t="s">
        <v>19</v>
      </c>
      <c r="R2849" t="s">
        <v>138</v>
      </c>
      <c r="S2849" t="s">
        <v>144</v>
      </c>
      <c r="T2849" s="2">
        <f>MASTER[[#This Row],[CANTIDAD]]*MASTER[[#This Row],[PRECIO DE VENTA]]</f>
        <v>1931</v>
      </c>
      <c r="U2849" s="2">
        <f>MASTER[[#This Row],[CANTIDAD]]*MASTER[[#This Row],[COSTO UNITARIO]]</f>
        <v>459</v>
      </c>
      <c r="V2849" s="2">
        <f>MASTER[[#This Row],[MONTO VENDIDO]]-MASTER[[#This Row],[COSTO DE VENTA]]</f>
        <v>1472</v>
      </c>
    </row>
    <row r="2850" spans="1:22" x14ac:dyDescent="0.3">
      <c r="A2850">
        <v>46737</v>
      </c>
      <c r="B2850">
        <v>1</v>
      </c>
      <c r="C2850" t="s">
        <v>90</v>
      </c>
      <c r="D2850" t="s">
        <v>91</v>
      </c>
      <c r="E2850" s="1">
        <v>44171</v>
      </c>
      <c r="F2850">
        <v>1</v>
      </c>
      <c r="G2850" t="s">
        <v>20</v>
      </c>
      <c r="H2850" t="s">
        <v>21</v>
      </c>
      <c r="I2850" s="3">
        <v>1844</v>
      </c>
      <c r="J2850" s="3">
        <v>1844</v>
      </c>
      <c r="K2850" s="3">
        <v>420</v>
      </c>
      <c r="L2850" t="s">
        <v>9</v>
      </c>
      <c r="M2850">
        <v>8</v>
      </c>
      <c r="N2850" t="s">
        <v>80</v>
      </c>
      <c r="O2850" t="s">
        <v>81</v>
      </c>
      <c r="P2850" t="s">
        <v>12</v>
      </c>
      <c r="Q2850" t="s">
        <v>13</v>
      </c>
      <c r="R2850" t="s">
        <v>13</v>
      </c>
      <c r="S2850" t="s">
        <v>144</v>
      </c>
      <c r="T2850" s="2">
        <f>MASTER[[#This Row],[CANTIDAD]]*MASTER[[#This Row],[PRECIO DE VENTA]]</f>
        <v>1844</v>
      </c>
      <c r="U2850" s="2">
        <f>MASTER[[#This Row],[CANTIDAD]]*MASTER[[#This Row],[COSTO UNITARIO]]</f>
        <v>420</v>
      </c>
      <c r="V2850" s="2">
        <f>MASTER[[#This Row],[MONTO VENDIDO]]-MASTER[[#This Row],[COSTO DE VENTA]]</f>
        <v>1424</v>
      </c>
    </row>
    <row r="2851" spans="1:22" x14ac:dyDescent="0.3">
      <c r="A2851">
        <v>46745</v>
      </c>
      <c r="B2851">
        <v>1</v>
      </c>
      <c r="C2851" t="s">
        <v>96</v>
      </c>
      <c r="D2851" t="s">
        <v>97</v>
      </c>
      <c r="E2851" s="1">
        <v>44171</v>
      </c>
      <c r="F2851">
        <v>4</v>
      </c>
      <c r="G2851" t="s">
        <v>24</v>
      </c>
      <c r="H2851" t="s">
        <v>25</v>
      </c>
      <c r="I2851" s="3">
        <v>1272</v>
      </c>
      <c r="J2851" s="3">
        <v>1272</v>
      </c>
      <c r="K2851" s="3">
        <v>397</v>
      </c>
      <c r="L2851" t="s">
        <v>98</v>
      </c>
      <c r="M2851">
        <v>19</v>
      </c>
      <c r="N2851" t="s">
        <v>89</v>
      </c>
      <c r="O2851" t="s">
        <v>81</v>
      </c>
      <c r="P2851" t="s">
        <v>15</v>
      </c>
      <c r="Q2851" t="s">
        <v>16</v>
      </c>
      <c r="R2851" t="s">
        <v>16</v>
      </c>
      <c r="S2851" t="s">
        <v>144</v>
      </c>
      <c r="T2851" s="2">
        <f>MASTER[[#This Row],[CANTIDAD]]*MASTER[[#This Row],[PRECIO DE VENTA]]</f>
        <v>5088</v>
      </c>
      <c r="U2851" s="2">
        <f>MASTER[[#This Row],[CANTIDAD]]*MASTER[[#This Row],[COSTO UNITARIO]]</f>
        <v>1588</v>
      </c>
      <c r="V2851" s="2">
        <f>MASTER[[#This Row],[MONTO VENDIDO]]-MASTER[[#This Row],[COSTO DE VENTA]]</f>
        <v>3500</v>
      </c>
    </row>
    <row r="2852" spans="1:22" x14ac:dyDescent="0.3">
      <c r="A2852">
        <v>46770</v>
      </c>
      <c r="B2852">
        <v>1</v>
      </c>
      <c r="C2852" t="s">
        <v>118</v>
      </c>
      <c r="D2852" t="s">
        <v>119</v>
      </c>
      <c r="E2852" s="1">
        <v>44171</v>
      </c>
      <c r="F2852">
        <v>1</v>
      </c>
      <c r="G2852" t="s">
        <v>39</v>
      </c>
      <c r="H2852" t="s">
        <v>40</v>
      </c>
      <c r="I2852" s="3">
        <v>801</v>
      </c>
      <c r="J2852" s="3">
        <v>801</v>
      </c>
      <c r="K2852" s="3">
        <v>424</v>
      </c>
      <c r="L2852" t="s">
        <v>120</v>
      </c>
      <c r="M2852">
        <v>11</v>
      </c>
      <c r="N2852" t="s">
        <v>10</v>
      </c>
      <c r="O2852" t="s">
        <v>11</v>
      </c>
      <c r="P2852" t="s">
        <v>12</v>
      </c>
      <c r="Q2852" t="s">
        <v>13</v>
      </c>
      <c r="R2852" t="s">
        <v>13</v>
      </c>
      <c r="S2852" t="s">
        <v>144</v>
      </c>
      <c r="T2852" s="2">
        <f>MASTER[[#This Row],[CANTIDAD]]*MASTER[[#This Row],[PRECIO DE VENTA]]</f>
        <v>801</v>
      </c>
      <c r="U2852" s="2">
        <f>MASTER[[#This Row],[CANTIDAD]]*MASTER[[#This Row],[COSTO UNITARIO]]</f>
        <v>424</v>
      </c>
      <c r="V2852" s="2">
        <f>MASTER[[#This Row],[MONTO VENDIDO]]-MASTER[[#This Row],[COSTO DE VENTA]]</f>
        <v>377</v>
      </c>
    </row>
    <row r="2853" spans="1:22" x14ac:dyDescent="0.3">
      <c r="A2853">
        <v>46785</v>
      </c>
      <c r="B2853">
        <v>1</v>
      </c>
      <c r="C2853" t="s">
        <v>121</v>
      </c>
      <c r="D2853" t="s">
        <v>122</v>
      </c>
      <c r="E2853" s="1">
        <v>44172</v>
      </c>
      <c r="F2853">
        <v>1</v>
      </c>
      <c r="G2853" t="s">
        <v>47</v>
      </c>
      <c r="H2853" t="s">
        <v>48</v>
      </c>
      <c r="I2853" s="3">
        <v>941</v>
      </c>
      <c r="J2853" s="3">
        <v>941</v>
      </c>
      <c r="K2853" s="3">
        <v>460</v>
      </c>
      <c r="L2853" t="s">
        <v>120</v>
      </c>
      <c r="M2853">
        <v>17</v>
      </c>
      <c r="N2853" t="s">
        <v>14</v>
      </c>
      <c r="O2853" t="s">
        <v>11</v>
      </c>
      <c r="P2853" t="s">
        <v>15</v>
      </c>
      <c r="Q2853" t="s">
        <v>16</v>
      </c>
      <c r="R2853" t="s">
        <v>16</v>
      </c>
      <c r="S2853" t="s">
        <v>144</v>
      </c>
      <c r="T2853" s="2">
        <f>MASTER[[#This Row],[CANTIDAD]]*MASTER[[#This Row],[PRECIO DE VENTA]]</f>
        <v>941</v>
      </c>
      <c r="U2853" s="2">
        <f>MASTER[[#This Row],[CANTIDAD]]*MASTER[[#This Row],[COSTO UNITARIO]]</f>
        <v>460</v>
      </c>
      <c r="V2853" s="2">
        <f>MASTER[[#This Row],[MONTO VENDIDO]]-MASTER[[#This Row],[COSTO DE VENTA]]</f>
        <v>481</v>
      </c>
    </row>
    <row r="2854" spans="1:22" x14ac:dyDescent="0.3">
      <c r="A2854">
        <v>46844</v>
      </c>
      <c r="B2854">
        <v>1</v>
      </c>
      <c r="C2854" t="s">
        <v>109</v>
      </c>
      <c r="D2854" t="s">
        <v>110</v>
      </c>
      <c r="E2854" s="1">
        <v>44172</v>
      </c>
      <c r="F2854">
        <v>1</v>
      </c>
      <c r="G2854" t="s">
        <v>59</v>
      </c>
      <c r="H2854" t="s">
        <v>60</v>
      </c>
      <c r="I2854" s="3">
        <v>1128</v>
      </c>
      <c r="J2854" s="3">
        <v>1128</v>
      </c>
      <c r="K2854" s="3">
        <v>387</v>
      </c>
      <c r="L2854" t="s">
        <v>98</v>
      </c>
      <c r="M2854">
        <v>3</v>
      </c>
      <c r="N2854" t="s">
        <v>69</v>
      </c>
      <c r="O2854" t="s">
        <v>70</v>
      </c>
      <c r="P2854" t="s">
        <v>71</v>
      </c>
      <c r="Q2854" t="s">
        <v>72</v>
      </c>
      <c r="R2854" t="s">
        <v>139</v>
      </c>
      <c r="S2854" t="s">
        <v>144</v>
      </c>
      <c r="T2854" s="2">
        <f>MASTER[[#This Row],[CANTIDAD]]*MASTER[[#This Row],[PRECIO DE VENTA]]</f>
        <v>1128</v>
      </c>
      <c r="U2854" s="2">
        <f>MASTER[[#This Row],[CANTIDAD]]*MASTER[[#This Row],[COSTO UNITARIO]]</f>
        <v>387</v>
      </c>
      <c r="V2854" s="2">
        <f>MASTER[[#This Row],[MONTO VENDIDO]]-MASTER[[#This Row],[COSTO DE VENTA]]</f>
        <v>741</v>
      </c>
    </row>
    <row r="2855" spans="1:22" x14ac:dyDescent="0.3">
      <c r="A2855">
        <v>46845</v>
      </c>
      <c r="B2855">
        <v>1</v>
      </c>
      <c r="C2855" t="s">
        <v>121</v>
      </c>
      <c r="D2855" t="s">
        <v>122</v>
      </c>
      <c r="E2855" s="1">
        <v>44172</v>
      </c>
      <c r="F2855">
        <v>1</v>
      </c>
      <c r="G2855" t="s">
        <v>43</v>
      </c>
      <c r="H2855" t="s">
        <v>44</v>
      </c>
      <c r="I2855" s="3">
        <v>941</v>
      </c>
      <c r="J2855" s="3">
        <v>941</v>
      </c>
      <c r="K2855" s="3">
        <v>460</v>
      </c>
      <c r="L2855" t="s">
        <v>120</v>
      </c>
      <c r="M2855">
        <v>17</v>
      </c>
      <c r="N2855" t="s">
        <v>14</v>
      </c>
      <c r="O2855" t="s">
        <v>11</v>
      </c>
      <c r="P2855" t="s">
        <v>15</v>
      </c>
      <c r="Q2855" t="s">
        <v>16</v>
      </c>
      <c r="R2855" t="s">
        <v>16</v>
      </c>
      <c r="S2855" t="s">
        <v>144</v>
      </c>
      <c r="T2855" s="2">
        <f>MASTER[[#This Row],[CANTIDAD]]*MASTER[[#This Row],[PRECIO DE VENTA]]</f>
        <v>941</v>
      </c>
      <c r="U2855" s="2">
        <f>MASTER[[#This Row],[CANTIDAD]]*MASTER[[#This Row],[COSTO UNITARIO]]</f>
        <v>460</v>
      </c>
      <c r="V2855" s="2">
        <f>MASTER[[#This Row],[MONTO VENDIDO]]-MASTER[[#This Row],[COSTO DE VENTA]]</f>
        <v>481</v>
      </c>
    </row>
    <row r="2856" spans="1:22" x14ac:dyDescent="0.3">
      <c r="A2856">
        <v>46853</v>
      </c>
      <c r="B2856">
        <v>1</v>
      </c>
      <c r="C2856" t="s">
        <v>5</v>
      </c>
      <c r="D2856" t="s">
        <v>6</v>
      </c>
      <c r="E2856" s="1">
        <v>44172</v>
      </c>
      <c r="F2856">
        <v>1</v>
      </c>
      <c r="G2856" t="s">
        <v>35</v>
      </c>
      <c r="H2856" t="s">
        <v>36</v>
      </c>
      <c r="I2856" s="3">
        <v>1507</v>
      </c>
      <c r="J2856" s="3">
        <v>1507</v>
      </c>
      <c r="K2856" s="3">
        <v>393</v>
      </c>
      <c r="L2856" t="s">
        <v>9</v>
      </c>
      <c r="M2856">
        <v>5</v>
      </c>
      <c r="N2856" t="s">
        <v>85</v>
      </c>
      <c r="O2856" t="s">
        <v>81</v>
      </c>
      <c r="P2856" t="s">
        <v>12</v>
      </c>
      <c r="Q2856" t="s">
        <v>13</v>
      </c>
      <c r="R2856" t="s">
        <v>13</v>
      </c>
      <c r="S2856" t="s">
        <v>144</v>
      </c>
      <c r="T2856" s="2">
        <f>MASTER[[#This Row],[CANTIDAD]]*MASTER[[#This Row],[PRECIO DE VENTA]]</f>
        <v>1507</v>
      </c>
      <c r="U2856" s="2">
        <f>MASTER[[#This Row],[CANTIDAD]]*MASTER[[#This Row],[COSTO UNITARIO]]</f>
        <v>393</v>
      </c>
      <c r="V2856" s="2">
        <f>MASTER[[#This Row],[MONTO VENDIDO]]-MASTER[[#This Row],[COSTO DE VENTA]]</f>
        <v>1114</v>
      </c>
    </row>
    <row r="2857" spans="1:22" x14ac:dyDescent="0.3">
      <c r="A2857">
        <v>46853</v>
      </c>
      <c r="B2857">
        <v>2</v>
      </c>
      <c r="C2857" t="s">
        <v>103</v>
      </c>
      <c r="D2857" t="s">
        <v>104</v>
      </c>
      <c r="E2857" s="1">
        <v>44172</v>
      </c>
      <c r="F2857">
        <v>1</v>
      </c>
      <c r="G2857" t="s">
        <v>33</v>
      </c>
      <c r="H2857" t="s">
        <v>34</v>
      </c>
      <c r="I2857" s="3">
        <v>1591</v>
      </c>
      <c r="J2857" s="3">
        <v>1591</v>
      </c>
      <c r="K2857" s="3">
        <v>421</v>
      </c>
      <c r="L2857" t="s">
        <v>98</v>
      </c>
      <c r="M2857">
        <v>5</v>
      </c>
      <c r="N2857" t="s">
        <v>85</v>
      </c>
      <c r="O2857" t="s">
        <v>81</v>
      </c>
      <c r="P2857" t="s">
        <v>12</v>
      </c>
      <c r="Q2857" t="s">
        <v>13</v>
      </c>
      <c r="R2857" t="s">
        <v>13</v>
      </c>
      <c r="S2857" t="s">
        <v>144</v>
      </c>
      <c r="T2857" s="2">
        <f>MASTER[[#This Row],[CANTIDAD]]*MASTER[[#This Row],[PRECIO DE VENTA]]</f>
        <v>1591</v>
      </c>
      <c r="U2857" s="2">
        <f>MASTER[[#This Row],[CANTIDAD]]*MASTER[[#This Row],[COSTO UNITARIO]]</f>
        <v>421</v>
      </c>
      <c r="V2857" s="2">
        <f>MASTER[[#This Row],[MONTO VENDIDO]]-MASTER[[#This Row],[COSTO DE VENTA]]</f>
        <v>1170</v>
      </c>
    </row>
    <row r="2858" spans="1:22" x14ac:dyDescent="0.3">
      <c r="A2858">
        <v>46876</v>
      </c>
      <c r="B2858">
        <v>1</v>
      </c>
      <c r="C2858" t="s">
        <v>99</v>
      </c>
      <c r="D2858" t="s">
        <v>100</v>
      </c>
      <c r="E2858" s="1">
        <v>44172</v>
      </c>
      <c r="F2858">
        <v>1</v>
      </c>
      <c r="G2858" t="s">
        <v>20</v>
      </c>
      <c r="H2858" t="s">
        <v>21</v>
      </c>
      <c r="I2858" s="3">
        <v>1328</v>
      </c>
      <c r="J2858" s="3">
        <v>1221</v>
      </c>
      <c r="K2858" s="3">
        <v>386</v>
      </c>
      <c r="L2858" t="s">
        <v>98</v>
      </c>
      <c r="M2858">
        <v>11</v>
      </c>
      <c r="N2858" t="s">
        <v>10</v>
      </c>
      <c r="O2858" t="s">
        <v>11</v>
      </c>
      <c r="P2858" t="s">
        <v>12</v>
      </c>
      <c r="Q2858" t="s">
        <v>13</v>
      </c>
      <c r="R2858" t="s">
        <v>13</v>
      </c>
      <c r="S2858" t="s">
        <v>144</v>
      </c>
      <c r="T2858" s="2">
        <f>MASTER[[#This Row],[CANTIDAD]]*MASTER[[#This Row],[PRECIO DE VENTA]]</f>
        <v>1221</v>
      </c>
      <c r="U2858" s="2">
        <f>MASTER[[#This Row],[CANTIDAD]]*MASTER[[#This Row],[COSTO UNITARIO]]</f>
        <v>386</v>
      </c>
      <c r="V2858" s="2">
        <f>MASTER[[#This Row],[MONTO VENDIDO]]-MASTER[[#This Row],[COSTO DE VENTA]]</f>
        <v>835</v>
      </c>
    </row>
    <row r="2859" spans="1:22" x14ac:dyDescent="0.3">
      <c r="A2859">
        <v>46885</v>
      </c>
      <c r="B2859">
        <v>1</v>
      </c>
      <c r="C2859" t="s">
        <v>111</v>
      </c>
      <c r="D2859" t="s">
        <v>112</v>
      </c>
      <c r="E2859" s="1">
        <v>44172</v>
      </c>
      <c r="F2859">
        <v>1</v>
      </c>
      <c r="G2859" t="s">
        <v>29</v>
      </c>
      <c r="H2859" t="s">
        <v>30</v>
      </c>
      <c r="I2859" s="3">
        <v>1799</v>
      </c>
      <c r="J2859" s="3">
        <v>1799</v>
      </c>
      <c r="K2859" s="3">
        <v>434</v>
      </c>
      <c r="L2859" t="s">
        <v>113</v>
      </c>
      <c r="M2859">
        <v>3</v>
      </c>
      <c r="N2859" t="s">
        <v>69</v>
      </c>
      <c r="O2859" t="s">
        <v>70</v>
      </c>
      <c r="P2859" t="s">
        <v>71</v>
      </c>
      <c r="Q2859" t="s">
        <v>72</v>
      </c>
      <c r="R2859" t="s">
        <v>139</v>
      </c>
      <c r="S2859" t="s">
        <v>144</v>
      </c>
      <c r="T2859" s="2">
        <f>MASTER[[#This Row],[CANTIDAD]]*MASTER[[#This Row],[PRECIO DE VENTA]]</f>
        <v>1799</v>
      </c>
      <c r="U2859" s="2">
        <f>MASTER[[#This Row],[CANTIDAD]]*MASTER[[#This Row],[COSTO UNITARIO]]</f>
        <v>434</v>
      </c>
      <c r="V2859" s="2">
        <f>MASTER[[#This Row],[MONTO VENDIDO]]-MASTER[[#This Row],[COSTO DE VENTA]]</f>
        <v>1365</v>
      </c>
    </row>
    <row r="2860" spans="1:22" x14ac:dyDescent="0.3">
      <c r="A2860">
        <v>46943</v>
      </c>
      <c r="B2860">
        <v>1</v>
      </c>
      <c r="C2860" t="s">
        <v>92</v>
      </c>
      <c r="D2860" t="s">
        <v>93</v>
      </c>
      <c r="E2860" s="1">
        <v>44173</v>
      </c>
      <c r="F2860">
        <v>1</v>
      </c>
      <c r="G2860" t="s">
        <v>73</v>
      </c>
      <c r="H2860" t="s">
        <v>74</v>
      </c>
      <c r="I2860" s="3">
        <v>1681</v>
      </c>
      <c r="J2860" s="3">
        <v>1681</v>
      </c>
      <c r="K2860" s="3">
        <v>396</v>
      </c>
      <c r="L2860" t="s">
        <v>9</v>
      </c>
      <c r="M2860">
        <v>15</v>
      </c>
      <c r="N2860" t="s">
        <v>88</v>
      </c>
      <c r="O2860" t="s">
        <v>81</v>
      </c>
      <c r="P2860" t="s">
        <v>18</v>
      </c>
      <c r="Q2860" t="s">
        <v>19</v>
      </c>
      <c r="R2860" t="s">
        <v>138</v>
      </c>
      <c r="S2860" t="s">
        <v>144</v>
      </c>
      <c r="T2860" s="2">
        <f>MASTER[[#This Row],[CANTIDAD]]*MASTER[[#This Row],[PRECIO DE VENTA]]</f>
        <v>1681</v>
      </c>
      <c r="U2860" s="2">
        <f>MASTER[[#This Row],[CANTIDAD]]*MASTER[[#This Row],[COSTO UNITARIO]]</f>
        <v>396</v>
      </c>
      <c r="V2860" s="2">
        <f>MASTER[[#This Row],[MONTO VENDIDO]]-MASTER[[#This Row],[COSTO DE VENTA]]</f>
        <v>1285</v>
      </c>
    </row>
    <row r="2861" spans="1:22" x14ac:dyDescent="0.3">
      <c r="A2861">
        <v>46967</v>
      </c>
      <c r="B2861">
        <v>1</v>
      </c>
      <c r="C2861" t="s">
        <v>116</v>
      </c>
      <c r="D2861" t="s">
        <v>117</v>
      </c>
      <c r="E2861" s="1">
        <v>44173</v>
      </c>
      <c r="F2861">
        <v>1</v>
      </c>
      <c r="G2861" t="s">
        <v>63</v>
      </c>
      <c r="H2861" t="s">
        <v>64</v>
      </c>
      <c r="I2861" s="3">
        <v>1529</v>
      </c>
      <c r="J2861" s="3">
        <v>1529</v>
      </c>
      <c r="K2861" s="3">
        <v>388</v>
      </c>
      <c r="L2861" t="s">
        <v>113</v>
      </c>
      <c r="M2861">
        <v>12</v>
      </c>
      <c r="N2861" t="s">
        <v>26</v>
      </c>
      <c r="O2861" t="s">
        <v>11</v>
      </c>
      <c r="P2861" t="s">
        <v>12</v>
      </c>
      <c r="Q2861" t="s">
        <v>13</v>
      </c>
      <c r="R2861" t="s">
        <v>13</v>
      </c>
      <c r="S2861" t="s">
        <v>144</v>
      </c>
      <c r="T2861" s="2">
        <f>MASTER[[#This Row],[CANTIDAD]]*MASTER[[#This Row],[PRECIO DE VENTA]]</f>
        <v>1529</v>
      </c>
      <c r="U2861" s="2">
        <f>MASTER[[#This Row],[CANTIDAD]]*MASTER[[#This Row],[COSTO UNITARIO]]</f>
        <v>388</v>
      </c>
      <c r="V2861" s="2">
        <f>MASTER[[#This Row],[MONTO VENDIDO]]-MASTER[[#This Row],[COSTO DE VENTA]]</f>
        <v>1141</v>
      </c>
    </row>
    <row r="2862" spans="1:22" x14ac:dyDescent="0.3">
      <c r="A2862">
        <v>46972</v>
      </c>
      <c r="B2862">
        <v>1</v>
      </c>
      <c r="C2862" t="s">
        <v>99</v>
      </c>
      <c r="D2862" t="s">
        <v>100</v>
      </c>
      <c r="E2862" s="1">
        <v>44173</v>
      </c>
      <c r="F2862">
        <v>1</v>
      </c>
      <c r="G2862" t="s">
        <v>51</v>
      </c>
      <c r="H2862" t="s">
        <v>52</v>
      </c>
      <c r="I2862" s="3">
        <v>1678</v>
      </c>
      <c r="J2862" s="3">
        <v>1678</v>
      </c>
      <c r="K2862" s="3">
        <v>386</v>
      </c>
      <c r="L2862" t="s">
        <v>98</v>
      </c>
      <c r="M2862">
        <v>9</v>
      </c>
      <c r="N2862" t="s">
        <v>76</v>
      </c>
      <c r="O2862" t="s">
        <v>70</v>
      </c>
      <c r="P2862" t="s">
        <v>12</v>
      </c>
      <c r="Q2862" t="s">
        <v>13</v>
      </c>
      <c r="R2862" t="s">
        <v>13</v>
      </c>
      <c r="S2862" t="s">
        <v>144</v>
      </c>
      <c r="T2862" s="2">
        <f>MASTER[[#This Row],[CANTIDAD]]*MASTER[[#This Row],[PRECIO DE VENTA]]</f>
        <v>1678</v>
      </c>
      <c r="U2862" s="2">
        <f>MASTER[[#This Row],[CANTIDAD]]*MASTER[[#This Row],[COSTO UNITARIO]]</f>
        <v>386</v>
      </c>
      <c r="V2862" s="2">
        <f>MASTER[[#This Row],[MONTO VENDIDO]]-MASTER[[#This Row],[COSTO DE VENTA]]</f>
        <v>1292</v>
      </c>
    </row>
    <row r="2863" spans="1:22" x14ac:dyDescent="0.3">
      <c r="A2863">
        <v>46977</v>
      </c>
      <c r="B2863">
        <v>1</v>
      </c>
      <c r="C2863" t="s">
        <v>107</v>
      </c>
      <c r="D2863" t="s">
        <v>108</v>
      </c>
      <c r="E2863" s="1">
        <v>44173</v>
      </c>
      <c r="F2863">
        <v>1</v>
      </c>
      <c r="G2863" t="s">
        <v>65</v>
      </c>
      <c r="H2863" t="s">
        <v>66</v>
      </c>
      <c r="I2863" s="3">
        <v>1333</v>
      </c>
      <c r="J2863" s="3">
        <v>1333</v>
      </c>
      <c r="K2863" s="3">
        <v>380</v>
      </c>
      <c r="L2863" t="s">
        <v>98</v>
      </c>
      <c r="M2863">
        <v>10</v>
      </c>
      <c r="N2863" t="s">
        <v>83</v>
      </c>
      <c r="O2863" t="s">
        <v>81</v>
      </c>
      <c r="P2863" t="s">
        <v>12</v>
      </c>
      <c r="Q2863" t="s">
        <v>13</v>
      </c>
      <c r="R2863" t="s">
        <v>13</v>
      </c>
      <c r="S2863" t="s">
        <v>144</v>
      </c>
      <c r="T2863" s="2">
        <f>MASTER[[#This Row],[CANTIDAD]]*MASTER[[#This Row],[PRECIO DE VENTA]]</f>
        <v>1333</v>
      </c>
      <c r="U2863" s="2">
        <f>MASTER[[#This Row],[CANTIDAD]]*MASTER[[#This Row],[COSTO UNITARIO]]</f>
        <v>380</v>
      </c>
      <c r="V2863" s="2">
        <f>MASTER[[#This Row],[MONTO VENDIDO]]-MASTER[[#This Row],[COSTO DE VENTA]]</f>
        <v>953</v>
      </c>
    </row>
    <row r="2864" spans="1:22" x14ac:dyDescent="0.3">
      <c r="A2864">
        <v>46978</v>
      </c>
      <c r="B2864">
        <v>1</v>
      </c>
      <c r="C2864" t="s">
        <v>105</v>
      </c>
      <c r="D2864" t="s">
        <v>106</v>
      </c>
      <c r="E2864" s="1">
        <v>44173</v>
      </c>
      <c r="F2864">
        <v>1</v>
      </c>
      <c r="G2864" t="s">
        <v>22</v>
      </c>
      <c r="H2864" t="s">
        <v>23</v>
      </c>
      <c r="I2864" s="3">
        <v>1865</v>
      </c>
      <c r="J2864" s="3">
        <v>1865</v>
      </c>
      <c r="K2864" s="3">
        <v>459</v>
      </c>
      <c r="L2864" t="s">
        <v>98</v>
      </c>
      <c r="M2864">
        <v>15</v>
      </c>
      <c r="N2864" t="s">
        <v>88</v>
      </c>
      <c r="O2864" t="s">
        <v>81</v>
      </c>
      <c r="P2864" t="s">
        <v>18</v>
      </c>
      <c r="Q2864" t="s">
        <v>19</v>
      </c>
      <c r="R2864" t="s">
        <v>138</v>
      </c>
      <c r="S2864" t="s">
        <v>144</v>
      </c>
      <c r="T2864" s="2">
        <f>MASTER[[#This Row],[CANTIDAD]]*MASTER[[#This Row],[PRECIO DE VENTA]]</f>
        <v>1865</v>
      </c>
      <c r="U2864" s="2">
        <f>MASTER[[#This Row],[CANTIDAD]]*MASTER[[#This Row],[COSTO UNITARIO]]</f>
        <v>459</v>
      </c>
      <c r="V2864" s="2">
        <f>MASTER[[#This Row],[MONTO VENDIDO]]-MASTER[[#This Row],[COSTO DE VENTA]]</f>
        <v>1406</v>
      </c>
    </row>
    <row r="2865" spans="1:22" x14ac:dyDescent="0.3">
      <c r="A2865">
        <v>46991</v>
      </c>
      <c r="B2865">
        <v>1</v>
      </c>
      <c r="C2865" t="s">
        <v>103</v>
      </c>
      <c r="D2865" t="s">
        <v>104</v>
      </c>
      <c r="E2865" s="1">
        <v>44173</v>
      </c>
      <c r="F2865">
        <v>1</v>
      </c>
      <c r="G2865" t="s">
        <v>24</v>
      </c>
      <c r="H2865" t="s">
        <v>25</v>
      </c>
      <c r="I2865" s="3">
        <v>1591</v>
      </c>
      <c r="J2865" s="3">
        <v>1591</v>
      </c>
      <c r="K2865" s="3">
        <v>421</v>
      </c>
      <c r="L2865" t="s">
        <v>98</v>
      </c>
      <c r="M2865">
        <v>5</v>
      </c>
      <c r="N2865" t="s">
        <v>85</v>
      </c>
      <c r="O2865" t="s">
        <v>81</v>
      </c>
      <c r="P2865" t="s">
        <v>12</v>
      </c>
      <c r="Q2865" t="s">
        <v>13</v>
      </c>
      <c r="R2865" t="s">
        <v>13</v>
      </c>
      <c r="S2865" t="s">
        <v>144</v>
      </c>
      <c r="T2865" s="2">
        <f>MASTER[[#This Row],[CANTIDAD]]*MASTER[[#This Row],[PRECIO DE VENTA]]</f>
        <v>1591</v>
      </c>
      <c r="U2865" s="2">
        <f>MASTER[[#This Row],[CANTIDAD]]*MASTER[[#This Row],[COSTO UNITARIO]]</f>
        <v>421</v>
      </c>
      <c r="V2865" s="2">
        <f>MASTER[[#This Row],[MONTO VENDIDO]]-MASTER[[#This Row],[COSTO DE VENTA]]</f>
        <v>1170</v>
      </c>
    </row>
    <row r="2866" spans="1:22" x14ac:dyDescent="0.3">
      <c r="A2866">
        <v>47050</v>
      </c>
      <c r="B2866">
        <v>1</v>
      </c>
      <c r="C2866" t="s">
        <v>105</v>
      </c>
      <c r="D2866" t="s">
        <v>106</v>
      </c>
      <c r="E2866" s="1">
        <v>44173</v>
      </c>
      <c r="F2866">
        <v>1</v>
      </c>
      <c r="G2866" t="s">
        <v>67</v>
      </c>
      <c r="H2866" t="s">
        <v>68</v>
      </c>
      <c r="I2866" s="3">
        <v>1585</v>
      </c>
      <c r="J2866" s="3">
        <v>1474</v>
      </c>
      <c r="K2866" s="3">
        <v>459</v>
      </c>
      <c r="L2866" t="s">
        <v>98</v>
      </c>
      <c r="M2866">
        <v>12</v>
      </c>
      <c r="N2866" t="s">
        <v>26</v>
      </c>
      <c r="O2866" t="s">
        <v>11</v>
      </c>
      <c r="P2866" t="s">
        <v>12</v>
      </c>
      <c r="Q2866" t="s">
        <v>13</v>
      </c>
      <c r="R2866" t="s">
        <v>13</v>
      </c>
      <c r="S2866" t="s">
        <v>144</v>
      </c>
      <c r="T2866" s="2">
        <f>MASTER[[#This Row],[CANTIDAD]]*MASTER[[#This Row],[PRECIO DE VENTA]]</f>
        <v>1474</v>
      </c>
      <c r="U2866" s="2">
        <f>MASTER[[#This Row],[CANTIDAD]]*MASTER[[#This Row],[COSTO UNITARIO]]</f>
        <v>459</v>
      </c>
      <c r="V2866" s="2">
        <f>MASTER[[#This Row],[MONTO VENDIDO]]-MASTER[[#This Row],[COSTO DE VENTA]]</f>
        <v>1015</v>
      </c>
    </row>
    <row r="2867" spans="1:22" x14ac:dyDescent="0.3">
      <c r="A2867">
        <v>47067</v>
      </c>
      <c r="B2867">
        <v>1</v>
      </c>
      <c r="C2867" t="s">
        <v>105</v>
      </c>
      <c r="D2867" t="s">
        <v>106</v>
      </c>
      <c r="E2867" s="1">
        <v>44173</v>
      </c>
      <c r="F2867">
        <v>1</v>
      </c>
      <c r="G2867" t="s">
        <v>67</v>
      </c>
      <c r="H2867" t="s">
        <v>68</v>
      </c>
      <c r="I2867" s="3">
        <v>1865</v>
      </c>
      <c r="J2867" s="3">
        <v>1865</v>
      </c>
      <c r="K2867" s="3">
        <v>459</v>
      </c>
      <c r="L2867" t="s">
        <v>98</v>
      </c>
      <c r="M2867">
        <v>19</v>
      </c>
      <c r="N2867" t="s">
        <v>89</v>
      </c>
      <c r="O2867" t="s">
        <v>81</v>
      </c>
      <c r="P2867" t="s">
        <v>15</v>
      </c>
      <c r="Q2867" t="s">
        <v>16</v>
      </c>
      <c r="R2867" t="s">
        <v>16</v>
      </c>
      <c r="S2867" t="s">
        <v>144</v>
      </c>
      <c r="T2867" s="2">
        <f>MASTER[[#This Row],[CANTIDAD]]*MASTER[[#This Row],[PRECIO DE VENTA]]</f>
        <v>1865</v>
      </c>
      <c r="U2867" s="2">
        <f>MASTER[[#This Row],[CANTIDAD]]*MASTER[[#This Row],[COSTO UNITARIO]]</f>
        <v>459</v>
      </c>
      <c r="V2867" s="2">
        <f>MASTER[[#This Row],[MONTO VENDIDO]]-MASTER[[#This Row],[COSTO DE VENTA]]</f>
        <v>1406</v>
      </c>
    </row>
    <row r="2868" spans="1:22" x14ac:dyDescent="0.3">
      <c r="A2868">
        <v>47072</v>
      </c>
      <c r="B2868">
        <v>1</v>
      </c>
      <c r="C2868" t="s">
        <v>114</v>
      </c>
      <c r="D2868" t="s">
        <v>115</v>
      </c>
      <c r="E2868" s="1">
        <v>44173</v>
      </c>
      <c r="F2868">
        <v>1</v>
      </c>
      <c r="G2868" t="s">
        <v>67</v>
      </c>
      <c r="H2868" t="s">
        <v>68</v>
      </c>
      <c r="I2868" s="3">
        <v>1583</v>
      </c>
      <c r="J2868" s="3">
        <v>1583</v>
      </c>
      <c r="K2868" s="3">
        <v>394</v>
      </c>
      <c r="L2868" t="s">
        <v>113</v>
      </c>
      <c r="M2868">
        <v>16</v>
      </c>
      <c r="N2868" t="s">
        <v>17</v>
      </c>
      <c r="O2868" t="s">
        <v>11</v>
      </c>
      <c r="P2868" t="s">
        <v>18</v>
      </c>
      <c r="Q2868" t="s">
        <v>19</v>
      </c>
      <c r="R2868" t="s">
        <v>138</v>
      </c>
      <c r="S2868" t="s">
        <v>144</v>
      </c>
      <c r="T2868" s="2">
        <f>MASTER[[#This Row],[CANTIDAD]]*MASTER[[#This Row],[PRECIO DE VENTA]]</f>
        <v>1583</v>
      </c>
      <c r="U2868" s="2">
        <f>MASTER[[#This Row],[CANTIDAD]]*MASTER[[#This Row],[COSTO UNITARIO]]</f>
        <v>394</v>
      </c>
      <c r="V2868" s="2">
        <f>MASTER[[#This Row],[MONTO VENDIDO]]-MASTER[[#This Row],[COSTO DE VENTA]]</f>
        <v>1189</v>
      </c>
    </row>
    <row r="2869" spans="1:22" x14ac:dyDescent="0.3">
      <c r="A2869">
        <v>47090</v>
      </c>
      <c r="B2869">
        <v>1</v>
      </c>
      <c r="C2869" t="s">
        <v>96</v>
      </c>
      <c r="D2869" t="s">
        <v>97</v>
      </c>
      <c r="E2869" s="1">
        <v>44173</v>
      </c>
      <c r="F2869">
        <v>1</v>
      </c>
      <c r="G2869" t="s">
        <v>51</v>
      </c>
      <c r="H2869" t="s">
        <v>52</v>
      </c>
      <c r="I2869" s="3">
        <v>1361</v>
      </c>
      <c r="J2869" s="3">
        <v>1361</v>
      </c>
      <c r="K2869" s="3">
        <v>397</v>
      </c>
      <c r="L2869" t="s">
        <v>98</v>
      </c>
      <c r="M2869">
        <v>3</v>
      </c>
      <c r="N2869" t="s">
        <v>69</v>
      </c>
      <c r="O2869" t="s">
        <v>70</v>
      </c>
      <c r="P2869" t="s">
        <v>71</v>
      </c>
      <c r="Q2869" t="s">
        <v>72</v>
      </c>
      <c r="R2869" t="s">
        <v>139</v>
      </c>
      <c r="S2869" t="s">
        <v>144</v>
      </c>
      <c r="T2869" s="2">
        <f>MASTER[[#This Row],[CANTIDAD]]*MASTER[[#This Row],[PRECIO DE VENTA]]</f>
        <v>1361</v>
      </c>
      <c r="U2869" s="2">
        <f>MASTER[[#This Row],[CANTIDAD]]*MASTER[[#This Row],[COSTO UNITARIO]]</f>
        <v>397</v>
      </c>
      <c r="V2869" s="2">
        <f>MASTER[[#This Row],[MONTO VENDIDO]]-MASTER[[#This Row],[COSTO DE VENTA]]</f>
        <v>964</v>
      </c>
    </row>
    <row r="2870" spans="1:22" x14ac:dyDescent="0.3">
      <c r="A2870">
        <v>47114</v>
      </c>
      <c r="B2870">
        <v>1</v>
      </c>
      <c r="C2870" t="s">
        <v>92</v>
      </c>
      <c r="D2870" t="s">
        <v>93</v>
      </c>
      <c r="E2870" s="1">
        <v>44173</v>
      </c>
      <c r="F2870">
        <v>1</v>
      </c>
      <c r="G2870" t="s">
        <v>63</v>
      </c>
      <c r="H2870" t="s">
        <v>64</v>
      </c>
      <c r="I2870" s="3">
        <v>1866</v>
      </c>
      <c r="J2870" s="3">
        <v>1866</v>
      </c>
      <c r="K2870" s="3">
        <v>396</v>
      </c>
      <c r="L2870" t="s">
        <v>9</v>
      </c>
      <c r="M2870">
        <v>9</v>
      </c>
      <c r="N2870" t="s">
        <v>76</v>
      </c>
      <c r="O2870" t="s">
        <v>70</v>
      </c>
      <c r="P2870" t="s">
        <v>12</v>
      </c>
      <c r="Q2870" t="s">
        <v>13</v>
      </c>
      <c r="R2870" t="s">
        <v>13</v>
      </c>
      <c r="S2870" t="s">
        <v>144</v>
      </c>
      <c r="T2870" s="2">
        <f>MASTER[[#This Row],[CANTIDAD]]*MASTER[[#This Row],[PRECIO DE VENTA]]</f>
        <v>1866</v>
      </c>
      <c r="U2870" s="2">
        <f>MASTER[[#This Row],[CANTIDAD]]*MASTER[[#This Row],[COSTO UNITARIO]]</f>
        <v>396</v>
      </c>
      <c r="V2870" s="2">
        <f>MASTER[[#This Row],[MONTO VENDIDO]]-MASTER[[#This Row],[COSTO DE VENTA]]</f>
        <v>1470</v>
      </c>
    </row>
    <row r="2871" spans="1:22" x14ac:dyDescent="0.3">
      <c r="A2871">
        <v>47124</v>
      </c>
      <c r="B2871">
        <v>1</v>
      </c>
      <c r="C2871" t="s">
        <v>105</v>
      </c>
      <c r="D2871" t="s">
        <v>106</v>
      </c>
      <c r="E2871" s="1">
        <v>44173</v>
      </c>
      <c r="F2871">
        <v>1</v>
      </c>
      <c r="G2871" t="s">
        <v>33</v>
      </c>
      <c r="H2871" t="s">
        <v>34</v>
      </c>
      <c r="I2871" s="3">
        <v>1585</v>
      </c>
      <c r="J2871" s="3">
        <v>1585</v>
      </c>
      <c r="K2871" s="3">
        <v>459</v>
      </c>
      <c r="L2871" t="s">
        <v>98</v>
      </c>
      <c r="M2871">
        <v>12</v>
      </c>
      <c r="N2871" t="s">
        <v>26</v>
      </c>
      <c r="O2871" t="s">
        <v>11</v>
      </c>
      <c r="P2871" t="s">
        <v>12</v>
      </c>
      <c r="Q2871" t="s">
        <v>13</v>
      </c>
      <c r="R2871" t="s">
        <v>13</v>
      </c>
      <c r="S2871" t="s">
        <v>144</v>
      </c>
      <c r="T2871" s="2">
        <f>MASTER[[#This Row],[CANTIDAD]]*MASTER[[#This Row],[PRECIO DE VENTA]]</f>
        <v>1585</v>
      </c>
      <c r="U2871" s="2">
        <f>MASTER[[#This Row],[CANTIDAD]]*MASTER[[#This Row],[COSTO UNITARIO]]</f>
        <v>459</v>
      </c>
      <c r="V2871" s="2">
        <f>MASTER[[#This Row],[MONTO VENDIDO]]-MASTER[[#This Row],[COSTO DE VENTA]]</f>
        <v>1126</v>
      </c>
    </row>
    <row r="2872" spans="1:22" x14ac:dyDescent="0.3">
      <c r="A2872">
        <v>47138</v>
      </c>
      <c r="B2872">
        <v>1</v>
      </c>
      <c r="C2872" t="s">
        <v>99</v>
      </c>
      <c r="D2872" t="s">
        <v>100</v>
      </c>
      <c r="E2872" s="1">
        <v>44173</v>
      </c>
      <c r="F2872">
        <v>4</v>
      </c>
      <c r="G2872" t="s">
        <v>22</v>
      </c>
      <c r="H2872" t="s">
        <v>23</v>
      </c>
      <c r="I2872" s="3">
        <v>1459</v>
      </c>
      <c r="J2872" s="3">
        <v>1459</v>
      </c>
      <c r="K2872" s="3">
        <v>386</v>
      </c>
      <c r="L2872" t="s">
        <v>98</v>
      </c>
      <c r="M2872">
        <v>2</v>
      </c>
      <c r="N2872" t="s">
        <v>86</v>
      </c>
      <c r="O2872" t="s">
        <v>81</v>
      </c>
      <c r="P2872" t="s">
        <v>71</v>
      </c>
      <c r="Q2872" t="s">
        <v>72</v>
      </c>
      <c r="R2872" t="s">
        <v>139</v>
      </c>
      <c r="S2872" t="s">
        <v>144</v>
      </c>
      <c r="T2872" s="2">
        <f>MASTER[[#This Row],[CANTIDAD]]*MASTER[[#This Row],[PRECIO DE VENTA]]</f>
        <v>5836</v>
      </c>
      <c r="U2872" s="2">
        <f>MASTER[[#This Row],[CANTIDAD]]*MASTER[[#This Row],[COSTO UNITARIO]]</f>
        <v>1544</v>
      </c>
      <c r="V2872" s="2">
        <f>MASTER[[#This Row],[MONTO VENDIDO]]-MASTER[[#This Row],[COSTO DE VENTA]]</f>
        <v>4292</v>
      </c>
    </row>
    <row r="2873" spans="1:22" x14ac:dyDescent="0.3">
      <c r="A2873">
        <v>47142</v>
      </c>
      <c r="B2873">
        <v>1</v>
      </c>
      <c r="C2873" t="s">
        <v>107</v>
      </c>
      <c r="D2873" t="s">
        <v>108</v>
      </c>
      <c r="E2873" s="1">
        <v>44173</v>
      </c>
      <c r="F2873">
        <v>1</v>
      </c>
      <c r="G2873" t="s">
        <v>35</v>
      </c>
      <c r="H2873" t="s">
        <v>36</v>
      </c>
      <c r="I2873" s="3">
        <v>1240</v>
      </c>
      <c r="J2873" s="3">
        <v>1240</v>
      </c>
      <c r="K2873" s="3">
        <v>380</v>
      </c>
      <c r="L2873" t="s">
        <v>98</v>
      </c>
      <c r="M2873">
        <v>17</v>
      </c>
      <c r="N2873" t="s">
        <v>14</v>
      </c>
      <c r="O2873" t="s">
        <v>11</v>
      </c>
      <c r="P2873" t="s">
        <v>15</v>
      </c>
      <c r="Q2873" t="s">
        <v>16</v>
      </c>
      <c r="R2873" t="s">
        <v>16</v>
      </c>
      <c r="S2873" t="s">
        <v>144</v>
      </c>
      <c r="T2873" s="2">
        <f>MASTER[[#This Row],[CANTIDAD]]*MASTER[[#This Row],[PRECIO DE VENTA]]</f>
        <v>1240</v>
      </c>
      <c r="U2873" s="2">
        <f>MASTER[[#This Row],[CANTIDAD]]*MASTER[[#This Row],[COSTO UNITARIO]]</f>
        <v>380</v>
      </c>
      <c r="V2873" s="2">
        <f>MASTER[[#This Row],[MONTO VENDIDO]]-MASTER[[#This Row],[COSTO DE VENTA]]</f>
        <v>860</v>
      </c>
    </row>
    <row r="2874" spans="1:22" x14ac:dyDescent="0.3">
      <c r="A2874">
        <v>47145</v>
      </c>
      <c r="B2874">
        <v>1</v>
      </c>
      <c r="C2874" t="s">
        <v>111</v>
      </c>
      <c r="D2874" t="s">
        <v>112</v>
      </c>
      <c r="E2874" s="1">
        <v>44174</v>
      </c>
      <c r="F2874">
        <v>1</v>
      </c>
      <c r="G2874" t="s">
        <v>73</v>
      </c>
      <c r="H2874" t="s">
        <v>74</v>
      </c>
      <c r="I2874" s="3">
        <v>1621</v>
      </c>
      <c r="J2874" s="3">
        <v>1621</v>
      </c>
      <c r="K2874" s="3">
        <v>434</v>
      </c>
      <c r="L2874" t="s">
        <v>113</v>
      </c>
      <c r="M2874">
        <v>8</v>
      </c>
      <c r="N2874" t="s">
        <v>80</v>
      </c>
      <c r="O2874" t="s">
        <v>81</v>
      </c>
      <c r="P2874" t="s">
        <v>12</v>
      </c>
      <c r="Q2874" t="s">
        <v>13</v>
      </c>
      <c r="R2874" t="s">
        <v>13</v>
      </c>
      <c r="S2874" t="s">
        <v>144</v>
      </c>
      <c r="T2874" s="2">
        <f>MASTER[[#This Row],[CANTIDAD]]*MASTER[[#This Row],[PRECIO DE VENTA]]</f>
        <v>1621</v>
      </c>
      <c r="U2874" s="2">
        <f>MASTER[[#This Row],[CANTIDAD]]*MASTER[[#This Row],[COSTO UNITARIO]]</f>
        <v>434</v>
      </c>
      <c r="V2874" s="2">
        <f>MASTER[[#This Row],[MONTO VENDIDO]]-MASTER[[#This Row],[COSTO DE VENTA]]</f>
        <v>1187</v>
      </c>
    </row>
    <row r="2875" spans="1:22" x14ac:dyDescent="0.3">
      <c r="A2875">
        <v>47146</v>
      </c>
      <c r="B2875">
        <v>1</v>
      </c>
      <c r="C2875" t="s">
        <v>109</v>
      </c>
      <c r="D2875" t="s">
        <v>110</v>
      </c>
      <c r="E2875" s="1">
        <v>44174</v>
      </c>
      <c r="F2875">
        <v>1</v>
      </c>
      <c r="G2875" t="s">
        <v>51</v>
      </c>
      <c r="H2875" t="s">
        <v>52</v>
      </c>
      <c r="I2875" s="3">
        <v>1064</v>
      </c>
      <c r="J2875" s="3">
        <v>1064</v>
      </c>
      <c r="K2875" s="3">
        <v>387</v>
      </c>
      <c r="L2875" t="s">
        <v>98</v>
      </c>
      <c r="M2875">
        <v>14</v>
      </c>
      <c r="N2875" t="s">
        <v>87</v>
      </c>
      <c r="O2875" t="s">
        <v>81</v>
      </c>
      <c r="P2875" t="s">
        <v>18</v>
      </c>
      <c r="Q2875" t="s">
        <v>19</v>
      </c>
      <c r="R2875" t="s">
        <v>138</v>
      </c>
      <c r="S2875" t="s">
        <v>144</v>
      </c>
      <c r="T2875" s="2">
        <f>MASTER[[#This Row],[CANTIDAD]]*MASTER[[#This Row],[PRECIO DE VENTA]]</f>
        <v>1064</v>
      </c>
      <c r="U2875" s="2">
        <f>MASTER[[#This Row],[CANTIDAD]]*MASTER[[#This Row],[COSTO UNITARIO]]</f>
        <v>387</v>
      </c>
      <c r="V2875" s="2">
        <f>MASTER[[#This Row],[MONTO VENDIDO]]-MASTER[[#This Row],[COSTO DE VENTA]]</f>
        <v>677</v>
      </c>
    </row>
    <row r="2876" spans="1:22" x14ac:dyDescent="0.3">
      <c r="A2876">
        <v>47149</v>
      </c>
      <c r="B2876">
        <v>1</v>
      </c>
      <c r="C2876" t="s">
        <v>109</v>
      </c>
      <c r="D2876" t="s">
        <v>110</v>
      </c>
      <c r="E2876" s="1">
        <v>44174</v>
      </c>
      <c r="F2876">
        <v>1</v>
      </c>
      <c r="G2876" t="s">
        <v>35</v>
      </c>
      <c r="H2876" t="s">
        <v>36</v>
      </c>
      <c r="I2876" s="3">
        <v>1064</v>
      </c>
      <c r="J2876" s="3">
        <v>1064</v>
      </c>
      <c r="K2876" s="3">
        <v>387</v>
      </c>
      <c r="L2876" t="s">
        <v>98</v>
      </c>
      <c r="M2876">
        <v>10</v>
      </c>
      <c r="N2876" t="s">
        <v>83</v>
      </c>
      <c r="O2876" t="s">
        <v>81</v>
      </c>
      <c r="P2876" t="s">
        <v>12</v>
      </c>
      <c r="Q2876" t="s">
        <v>13</v>
      </c>
      <c r="R2876" t="s">
        <v>13</v>
      </c>
      <c r="S2876" t="s">
        <v>144</v>
      </c>
      <c r="T2876" s="2">
        <f>MASTER[[#This Row],[CANTIDAD]]*MASTER[[#This Row],[PRECIO DE VENTA]]</f>
        <v>1064</v>
      </c>
      <c r="U2876" s="2">
        <f>MASTER[[#This Row],[CANTIDAD]]*MASTER[[#This Row],[COSTO UNITARIO]]</f>
        <v>387</v>
      </c>
      <c r="V2876" s="2">
        <f>MASTER[[#This Row],[MONTO VENDIDO]]-MASTER[[#This Row],[COSTO DE VENTA]]</f>
        <v>677</v>
      </c>
    </row>
    <row r="2877" spans="1:22" x14ac:dyDescent="0.3">
      <c r="A2877">
        <v>47163</v>
      </c>
      <c r="B2877">
        <v>1</v>
      </c>
      <c r="C2877" t="s">
        <v>99</v>
      </c>
      <c r="D2877" t="s">
        <v>100</v>
      </c>
      <c r="E2877" s="1">
        <v>44174</v>
      </c>
      <c r="F2877">
        <v>1</v>
      </c>
      <c r="G2877" t="s">
        <v>35</v>
      </c>
      <c r="H2877" t="s">
        <v>36</v>
      </c>
      <c r="I2877" s="3">
        <v>1678</v>
      </c>
      <c r="J2877" s="3">
        <v>1678</v>
      </c>
      <c r="K2877" s="3">
        <v>386</v>
      </c>
      <c r="L2877" t="s">
        <v>98</v>
      </c>
      <c r="M2877">
        <v>13</v>
      </c>
      <c r="N2877" t="s">
        <v>78</v>
      </c>
      <c r="O2877" t="s">
        <v>70</v>
      </c>
      <c r="P2877" t="s">
        <v>18</v>
      </c>
      <c r="Q2877" t="s">
        <v>19</v>
      </c>
      <c r="R2877" t="s">
        <v>138</v>
      </c>
      <c r="S2877" t="s">
        <v>144</v>
      </c>
      <c r="T2877" s="2">
        <f>MASTER[[#This Row],[CANTIDAD]]*MASTER[[#This Row],[PRECIO DE VENTA]]</f>
        <v>1678</v>
      </c>
      <c r="U2877" s="2">
        <f>MASTER[[#This Row],[CANTIDAD]]*MASTER[[#This Row],[COSTO UNITARIO]]</f>
        <v>386</v>
      </c>
      <c r="V2877" s="2">
        <f>MASTER[[#This Row],[MONTO VENDIDO]]-MASTER[[#This Row],[COSTO DE VENTA]]</f>
        <v>1292</v>
      </c>
    </row>
    <row r="2878" spans="1:22" x14ac:dyDescent="0.3">
      <c r="A2878">
        <v>47168</v>
      </c>
      <c r="B2878">
        <v>1</v>
      </c>
      <c r="C2878" t="s">
        <v>96</v>
      </c>
      <c r="D2878" t="s">
        <v>97</v>
      </c>
      <c r="E2878" s="1">
        <v>44174</v>
      </c>
      <c r="F2878">
        <v>1</v>
      </c>
      <c r="G2878" t="s">
        <v>7</v>
      </c>
      <c r="H2878" t="s">
        <v>8</v>
      </c>
      <c r="I2878" s="3">
        <v>1361</v>
      </c>
      <c r="J2878" s="3">
        <v>1361</v>
      </c>
      <c r="K2878" s="3">
        <v>397</v>
      </c>
      <c r="L2878" t="s">
        <v>98</v>
      </c>
      <c r="M2878">
        <v>13</v>
      </c>
      <c r="N2878" t="s">
        <v>78</v>
      </c>
      <c r="O2878" t="s">
        <v>70</v>
      </c>
      <c r="P2878" t="s">
        <v>18</v>
      </c>
      <c r="Q2878" t="s">
        <v>19</v>
      </c>
      <c r="R2878" t="s">
        <v>138</v>
      </c>
      <c r="S2878" t="s">
        <v>144</v>
      </c>
      <c r="T2878" s="2">
        <f>MASTER[[#This Row],[CANTIDAD]]*MASTER[[#This Row],[PRECIO DE VENTA]]</f>
        <v>1361</v>
      </c>
      <c r="U2878" s="2">
        <f>MASTER[[#This Row],[CANTIDAD]]*MASTER[[#This Row],[COSTO UNITARIO]]</f>
        <v>397</v>
      </c>
      <c r="V2878" s="2">
        <f>MASTER[[#This Row],[MONTO VENDIDO]]-MASTER[[#This Row],[COSTO DE VENTA]]</f>
        <v>964</v>
      </c>
    </row>
    <row r="2879" spans="1:22" x14ac:dyDescent="0.3">
      <c r="A2879">
        <v>47169</v>
      </c>
      <c r="B2879">
        <v>1</v>
      </c>
      <c r="C2879" t="s">
        <v>107</v>
      </c>
      <c r="D2879" t="s">
        <v>108</v>
      </c>
      <c r="E2879" s="1">
        <v>44175</v>
      </c>
      <c r="F2879">
        <v>3</v>
      </c>
      <c r="G2879" t="s">
        <v>7</v>
      </c>
      <c r="H2879" t="s">
        <v>8</v>
      </c>
      <c r="I2879" s="3">
        <v>1333</v>
      </c>
      <c r="J2879" s="3">
        <v>1333</v>
      </c>
      <c r="K2879" s="3">
        <v>380</v>
      </c>
      <c r="L2879" t="s">
        <v>98</v>
      </c>
      <c r="M2879">
        <v>7</v>
      </c>
      <c r="N2879" t="s">
        <v>84</v>
      </c>
      <c r="O2879" t="s">
        <v>81</v>
      </c>
      <c r="P2879" t="s">
        <v>12</v>
      </c>
      <c r="Q2879" t="s">
        <v>13</v>
      </c>
      <c r="R2879" t="s">
        <v>13</v>
      </c>
      <c r="S2879" t="s">
        <v>144</v>
      </c>
      <c r="T2879" s="2">
        <f>MASTER[[#This Row],[CANTIDAD]]*MASTER[[#This Row],[PRECIO DE VENTA]]</f>
        <v>3999</v>
      </c>
      <c r="U2879" s="2">
        <f>MASTER[[#This Row],[CANTIDAD]]*MASTER[[#This Row],[COSTO UNITARIO]]</f>
        <v>1140</v>
      </c>
      <c r="V2879" s="2">
        <f>MASTER[[#This Row],[MONTO VENDIDO]]-MASTER[[#This Row],[COSTO DE VENTA]]</f>
        <v>2859</v>
      </c>
    </row>
    <row r="2880" spans="1:22" x14ac:dyDescent="0.3">
      <c r="A2880">
        <v>47190</v>
      </c>
      <c r="B2880">
        <v>1</v>
      </c>
      <c r="C2880" t="s">
        <v>94</v>
      </c>
      <c r="D2880" t="s">
        <v>95</v>
      </c>
      <c r="E2880" s="1">
        <v>44175</v>
      </c>
      <c r="F2880">
        <v>1</v>
      </c>
      <c r="G2880" t="s">
        <v>63</v>
      </c>
      <c r="H2880" t="s">
        <v>64</v>
      </c>
      <c r="I2880" s="3">
        <v>901</v>
      </c>
      <c r="J2880" s="3">
        <v>901</v>
      </c>
      <c r="K2880" s="3">
        <v>392</v>
      </c>
      <c r="L2880" t="s">
        <v>9</v>
      </c>
      <c r="M2880">
        <v>12</v>
      </c>
      <c r="N2880" t="s">
        <v>26</v>
      </c>
      <c r="O2880" t="s">
        <v>11</v>
      </c>
      <c r="P2880" t="s">
        <v>12</v>
      </c>
      <c r="Q2880" t="s">
        <v>13</v>
      </c>
      <c r="R2880" t="s">
        <v>13</v>
      </c>
      <c r="S2880" t="s">
        <v>144</v>
      </c>
      <c r="T2880" s="2">
        <f>MASTER[[#This Row],[CANTIDAD]]*MASTER[[#This Row],[PRECIO DE VENTA]]</f>
        <v>901</v>
      </c>
      <c r="U2880" s="2">
        <f>MASTER[[#This Row],[CANTIDAD]]*MASTER[[#This Row],[COSTO UNITARIO]]</f>
        <v>392</v>
      </c>
      <c r="V2880" s="2">
        <f>MASTER[[#This Row],[MONTO VENDIDO]]-MASTER[[#This Row],[COSTO DE VENTA]]</f>
        <v>509</v>
      </c>
    </row>
    <row r="2881" spans="1:22" x14ac:dyDescent="0.3">
      <c r="A2881">
        <v>47203</v>
      </c>
      <c r="B2881">
        <v>1</v>
      </c>
      <c r="C2881" t="s">
        <v>121</v>
      </c>
      <c r="D2881" t="s">
        <v>122</v>
      </c>
      <c r="E2881" s="1">
        <v>44175</v>
      </c>
      <c r="F2881">
        <v>1</v>
      </c>
      <c r="G2881" t="s">
        <v>20</v>
      </c>
      <c r="H2881" t="s">
        <v>21</v>
      </c>
      <c r="I2881" s="3">
        <v>1144</v>
      </c>
      <c r="J2881" s="3">
        <v>1029</v>
      </c>
      <c r="K2881" s="3">
        <v>460</v>
      </c>
      <c r="L2881" t="s">
        <v>120</v>
      </c>
      <c r="M2881">
        <v>1</v>
      </c>
      <c r="N2881" t="s">
        <v>77</v>
      </c>
      <c r="O2881" t="s">
        <v>70</v>
      </c>
      <c r="P2881" t="s">
        <v>71</v>
      </c>
      <c r="Q2881" t="s">
        <v>72</v>
      </c>
      <c r="R2881" t="s">
        <v>139</v>
      </c>
      <c r="S2881" t="s">
        <v>144</v>
      </c>
      <c r="T2881" s="2">
        <f>MASTER[[#This Row],[CANTIDAD]]*MASTER[[#This Row],[PRECIO DE VENTA]]</f>
        <v>1029</v>
      </c>
      <c r="U2881" s="2">
        <f>MASTER[[#This Row],[CANTIDAD]]*MASTER[[#This Row],[COSTO UNITARIO]]</f>
        <v>460</v>
      </c>
      <c r="V2881" s="2">
        <f>MASTER[[#This Row],[MONTO VENDIDO]]-MASTER[[#This Row],[COSTO DE VENTA]]</f>
        <v>569</v>
      </c>
    </row>
    <row r="2882" spans="1:22" x14ac:dyDescent="0.3">
      <c r="A2882">
        <v>47226</v>
      </c>
      <c r="B2882">
        <v>1</v>
      </c>
      <c r="C2882" t="s">
        <v>92</v>
      </c>
      <c r="D2882" t="s">
        <v>93</v>
      </c>
      <c r="E2882" s="1">
        <v>44175</v>
      </c>
      <c r="F2882">
        <v>1</v>
      </c>
      <c r="G2882" t="s">
        <v>55</v>
      </c>
      <c r="H2882" t="s">
        <v>56</v>
      </c>
      <c r="I2882" s="3">
        <v>1681</v>
      </c>
      <c r="J2882" s="3">
        <v>1546</v>
      </c>
      <c r="K2882" s="3">
        <v>396</v>
      </c>
      <c r="L2882" t="s">
        <v>9</v>
      </c>
      <c r="M2882">
        <v>5</v>
      </c>
      <c r="N2882" t="s">
        <v>85</v>
      </c>
      <c r="O2882" t="s">
        <v>81</v>
      </c>
      <c r="P2882" t="s">
        <v>12</v>
      </c>
      <c r="Q2882" t="s">
        <v>13</v>
      </c>
      <c r="R2882" t="s">
        <v>13</v>
      </c>
      <c r="S2882" t="s">
        <v>144</v>
      </c>
      <c r="T2882" s="2">
        <f>MASTER[[#This Row],[CANTIDAD]]*MASTER[[#This Row],[PRECIO DE VENTA]]</f>
        <v>1546</v>
      </c>
      <c r="U2882" s="2">
        <f>MASTER[[#This Row],[CANTIDAD]]*MASTER[[#This Row],[COSTO UNITARIO]]</f>
        <v>396</v>
      </c>
      <c r="V2882" s="2">
        <f>MASTER[[#This Row],[MONTO VENDIDO]]-MASTER[[#This Row],[COSTO DE VENTA]]</f>
        <v>1150</v>
      </c>
    </row>
    <row r="2883" spans="1:22" x14ac:dyDescent="0.3">
      <c r="A2883">
        <v>47227</v>
      </c>
      <c r="B2883">
        <v>1</v>
      </c>
      <c r="C2883" t="s">
        <v>90</v>
      </c>
      <c r="D2883" t="s">
        <v>91</v>
      </c>
      <c r="E2883" s="1">
        <v>44175</v>
      </c>
      <c r="F2883">
        <v>1</v>
      </c>
      <c r="G2883" t="s">
        <v>22</v>
      </c>
      <c r="H2883" t="s">
        <v>23</v>
      </c>
      <c r="I2883" s="3">
        <v>2102</v>
      </c>
      <c r="J2883" s="3">
        <v>2102</v>
      </c>
      <c r="K2883" s="3">
        <v>420</v>
      </c>
      <c r="L2883" t="s">
        <v>9</v>
      </c>
      <c r="M2883">
        <v>6</v>
      </c>
      <c r="N2883" t="s">
        <v>75</v>
      </c>
      <c r="O2883" t="s">
        <v>70</v>
      </c>
      <c r="P2883" t="s">
        <v>12</v>
      </c>
      <c r="Q2883" t="s">
        <v>13</v>
      </c>
      <c r="R2883" t="s">
        <v>13</v>
      </c>
      <c r="S2883" t="s">
        <v>144</v>
      </c>
      <c r="T2883" s="2">
        <f>MASTER[[#This Row],[CANTIDAD]]*MASTER[[#This Row],[PRECIO DE VENTA]]</f>
        <v>2102</v>
      </c>
      <c r="U2883" s="2">
        <f>MASTER[[#This Row],[CANTIDAD]]*MASTER[[#This Row],[COSTO UNITARIO]]</f>
        <v>420</v>
      </c>
      <c r="V2883" s="2">
        <f>MASTER[[#This Row],[MONTO VENDIDO]]-MASTER[[#This Row],[COSTO DE VENTA]]</f>
        <v>1682</v>
      </c>
    </row>
    <row r="2884" spans="1:22" x14ac:dyDescent="0.3">
      <c r="A2884">
        <v>47237</v>
      </c>
      <c r="B2884">
        <v>1</v>
      </c>
      <c r="C2884" t="s">
        <v>5</v>
      </c>
      <c r="D2884" t="s">
        <v>6</v>
      </c>
      <c r="E2884" s="1">
        <v>44175</v>
      </c>
      <c r="F2884">
        <v>2</v>
      </c>
      <c r="G2884" t="s">
        <v>31</v>
      </c>
      <c r="H2884" t="s">
        <v>32</v>
      </c>
      <c r="I2884" s="3">
        <v>1311</v>
      </c>
      <c r="J2884" s="3">
        <v>1311</v>
      </c>
      <c r="K2884" s="3">
        <v>393</v>
      </c>
      <c r="L2884" t="s">
        <v>9</v>
      </c>
      <c r="M2884">
        <v>16</v>
      </c>
      <c r="N2884" t="s">
        <v>17</v>
      </c>
      <c r="O2884" t="s">
        <v>11</v>
      </c>
      <c r="P2884" t="s">
        <v>18</v>
      </c>
      <c r="Q2884" t="s">
        <v>19</v>
      </c>
      <c r="R2884" t="s">
        <v>138</v>
      </c>
      <c r="S2884" t="s">
        <v>144</v>
      </c>
      <c r="T2884" s="2">
        <f>MASTER[[#This Row],[CANTIDAD]]*MASTER[[#This Row],[PRECIO DE VENTA]]</f>
        <v>2622</v>
      </c>
      <c r="U2884" s="2">
        <f>MASTER[[#This Row],[CANTIDAD]]*MASTER[[#This Row],[COSTO UNITARIO]]</f>
        <v>786</v>
      </c>
      <c r="V2884" s="2">
        <f>MASTER[[#This Row],[MONTO VENDIDO]]-MASTER[[#This Row],[COSTO DE VENTA]]</f>
        <v>1836</v>
      </c>
    </row>
    <row r="2885" spans="1:22" x14ac:dyDescent="0.3">
      <c r="A2885">
        <v>47263</v>
      </c>
      <c r="B2885">
        <v>1</v>
      </c>
      <c r="C2885" t="s">
        <v>94</v>
      </c>
      <c r="D2885" t="s">
        <v>95</v>
      </c>
      <c r="E2885" s="1">
        <v>44175</v>
      </c>
      <c r="F2885">
        <v>1</v>
      </c>
      <c r="G2885" t="s">
        <v>22</v>
      </c>
      <c r="H2885" t="s">
        <v>23</v>
      </c>
      <c r="I2885" s="3">
        <v>1048</v>
      </c>
      <c r="J2885" s="3">
        <v>1048</v>
      </c>
      <c r="K2885" s="3">
        <v>392</v>
      </c>
      <c r="L2885" t="s">
        <v>9</v>
      </c>
      <c r="M2885">
        <v>10</v>
      </c>
      <c r="N2885" t="s">
        <v>83</v>
      </c>
      <c r="O2885" t="s">
        <v>81</v>
      </c>
      <c r="P2885" t="s">
        <v>12</v>
      </c>
      <c r="Q2885" t="s">
        <v>13</v>
      </c>
      <c r="R2885" t="s">
        <v>13</v>
      </c>
      <c r="S2885" t="s">
        <v>144</v>
      </c>
      <c r="T2885" s="2">
        <f>MASTER[[#This Row],[CANTIDAD]]*MASTER[[#This Row],[PRECIO DE VENTA]]</f>
        <v>1048</v>
      </c>
      <c r="U2885" s="2">
        <f>MASTER[[#This Row],[CANTIDAD]]*MASTER[[#This Row],[COSTO UNITARIO]]</f>
        <v>392</v>
      </c>
      <c r="V2885" s="2">
        <f>MASTER[[#This Row],[MONTO VENDIDO]]-MASTER[[#This Row],[COSTO DE VENTA]]</f>
        <v>656</v>
      </c>
    </row>
    <row r="2886" spans="1:22" x14ac:dyDescent="0.3">
      <c r="A2886">
        <v>47263</v>
      </c>
      <c r="B2886">
        <v>2</v>
      </c>
      <c r="C2886" t="s">
        <v>103</v>
      </c>
      <c r="D2886" t="s">
        <v>104</v>
      </c>
      <c r="E2886" s="1">
        <v>44175</v>
      </c>
      <c r="F2886">
        <v>1</v>
      </c>
      <c r="G2886" t="s">
        <v>29</v>
      </c>
      <c r="H2886" t="s">
        <v>30</v>
      </c>
      <c r="I2886" s="3">
        <v>1591</v>
      </c>
      <c r="J2886" s="3">
        <v>1591</v>
      </c>
      <c r="K2886" s="3">
        <v>421</v>
      </c>
      <c r="L2886" t="s">
        <v>98</v>
      </c>
      <c r="M2886">
        <v>10</v>
      </c>
      <c r="N2886" t="s">
        <v>83</v>
      </c>
      <c r="O2886" t="s">
        <v>81</v>
      </c>
      <c r="P2886" t="s">
        <v>12</v>
      </c>
      <c r="Q2886" t="s">
        <v>13</v>
      </c>
      <c r="R2886" t="s">
        <v>13</v>
      </c>
      <c r="S2886" t="s">
        <v>144</v>
      </c>
      <c r="T2886" s="2">
        <f>MASTER[[#This Row],[CANTIDAD]]*MASTER[[#This Row],[PRECIO DE VENTA]]</f>
        <v>1591</v>
      </c>
      <c r="U2886" s="2">
        <f>MASTER[[#This Row],[CANTIDAD]]*MASTER[[#This Row],[COSTO UNITARIO]]</f>
        <v>421</v>
      </c>
      <c r="V2886" s="2">
        <f>MASTER[[#This Row],[MONTO VENDIDO]]-MASTER[[#This Row],[COSTO DE VENTA]]</f>
        <v>1170</v>
      </c>
    </row>
    <row r="2887" spans="1:22" x14ac:dyDescent="0.3">
      <c r="A2887">
        <v>47281</v>
      </c>
      <c r="B2887">
        <v>1</v>
      </c>
      <c r="C2887" t="s">
        <v>99</v>
      </c>
      <c r="D2887" t="s">
        <v>100</v>
      </c>
      <c r="E2887" s="1">
        <v>44175</v>
      </c>
      <c r="F2887">
        <v>1</v>
      </c>
      <c r="G2887" t="s">
        <v>45</v>
      </c>
      <c r="H2887" t="s">
        <v>46</v>
      </c>
      <c r="I2887" s="3">
        <v>1459</v>
      </c>
      <c r="J2887" s="3">
        <v>1459</v>
      </c>
      <c r="K2887" s="3">
        <v>386</v>
      </c>
      <c r="L2887" t="s">
        <v>98</v>
      </c>
      <c r="M2887">
        <v>14</v>
      </c>
      <c r="N2887" t="s">
        <v>87</v>
      </c>
      <c r="O2887" t="s">
        <v>81</v>
      </c>
      <c r="P2887" t="s">
        <v>18</v>
      </c>
      <c r="Q2887" t="s">
        <v>19</v>
      </c>
      <c r="R2887" t="s">
        <v>138</v>
      </c>
      <c r="S2887" t="s">
        <v>144</v>
      </c>
      <c r="T2887" s="2">
        <f>MASTER[[#This Row],[CANTIDAD]]*MASTER[[#This Row],[PRECIO DE VENTA]]</f>
        <v>1459</v>
      </c>
      <c r="U2887" s="2">
        <f>MASTER[[#This Row],[CANTIDAD]]*MASTER[[#This Row],[COSTO UNITARIO]]</f>
        <v>386</v>
      </c>
      <c r="V2887" s="2">
        <f>MASTER[[#This Row],[MONTO VENDIDO]]-MASTER[[#This Row],[COSTO DE VENTA]]</f>
        <v>1073</v>
      </c>
    </row>
    <row r="2888" spans="1:22" x14ac:dyDescent="0.3">
      <c r="A2888">
        <v>47288</v>
      </c>
      <c r="B2888">
        <v>1</v>
      </c>
      <c r="C2888" t="s">
        <v>103</v>
      </c>
      <c r="D2888" t="s">
        <v>104</v>
      </c>
      <c r="E2888" s="1">
        <v>44175</v>
      </c>
      <c r="F2888">
        <v>1</v>
      </c>
      <c r="G2888" t="s">
        <v>7</v>
      </c>
      <c r="H2888" t="s">
        <v>8</v>
      </c>
      <c r="I2888" s="3">
        <v>1591</v>
      </c>
      <c r="J2888" s="3">
        <v>1591</v>
      </c>
      <c r="K2888" s="3">
        <v>421</v>
      </c>
      <c r="L2888" t="s">
        <v>98</v>
      </c>
      <c r="M2888">
        <v>2</v>
      </c>
      <c r="N2888" t="s">
        <v>86</v>
      </c>
      <c r="O2888" t="s">
        <v>81</v>
      </c>
      <c r="P2888" t="s">
        <v>71</v>
      </c>
      <c r="Q2888" t="s">
        <v>72</v>
      </c>
      <c r="R2888" t="s">
        <v>139</v>
      </c>
      <c r="S2888" t="s">
        <v>144</v>
      </c>
      <c r="T2888" s="2">
        <f>MASTER[[#This Row],[CANTIDAD]]*MASTER[[#This Row],[PRECIO DE VENTA]]</f>
        <v>1591</v>
      </c>
      <c r="U2888" s="2">
        <f>MASTER[[#This Row],[CANTIDAD]]*MASTER[[#This Row],[COSTO UNITARIO]]</f>
        <v>421</v>
      </c>
      <c r="V2888" s="2">
        <f>MASTER[[#This Row],[MONTO VENDIDO]]-MASTER[[#This Row],[COSTO DE VENTA]]</f>
        <v>1170</v>
      </c>
    </row>
    <row r="2889" spans="1:22" x14ac:dyDescent="0.3">
      <c r="A2889">
        <v>47290</v>
      </c>
      <c r="B2889">
        <v>1</v>
      </c>
      <c r="C2889" t="s">
        <v>111</v>
      </c>
      <c r="D2889" t="s">
        <v>112</v>
      </c>
      <c r="E2889" s="1">
        <v>44175</v>
      </c>
      <c r="F2889">
        <v>1</v>
      </c>
      <c r="G2889" t="s">
        <v>67</v>
      </c>
      <c r="H2889" t="s">
        <v>68</v>
      </c>
      <c r="I2889" s="3">
        <v>1621</v>
      </c>
      <c r="J2889" s="3">
        <v>1621</v>
      </c>
      <c r="K2889" s="3">
        <v>434</v>
      </c>
      <c r="L2889" t="s">
        <v>113</v>
      </c>
      <c r="M2889">
        <v>4</v>
      </c>
      <c r="N2889" t="s">
        <v>82</v>
      </c>
      <c r="O2889" t="s">
        <v>81</v>
      </c>
      <c r="P2889" t="s">
        <v>71</v>
      </c>
      <c r="Q2889" t="s">
        <v>72</v>
      </c>
      <c r="R2889" t="s">
        <v>139</v>
      </c>
      <c r="S2889" t="s">
        <v>144</v>
      </c>
      <c r="T2889" s="2">
        <f>MASTER[[#This Row],[CANTIDAD]]*MASTER[[#This Row],[PRECIO DE VENTA]]</f>
        <v>1621</v>
      </c>
      <c r="U2889" s="2">
        <f>MASTER[[#This Row],[CANTIDAD]]*MASTER[[#This Row],[COSTO UNITARIO]]</f>
        <v>434</v>
      </c>
      <c r="V2889" s="2">
        <f>MASTER[[#This Row],[MONTO VENDIDO]]-MASTER[[#This Row],[COSTO DE VENTA]]</f>
        <v>1187</v>
      </c>
    </row>
    <row r="2890" spans="1:22" x14ac:dyDescent="0.3">
      <c r="A2890">
        <v>47309</v>
      </c>
      <c r="B2890">
        <v>1</v>
      </c>
      <c r="C2890" t="s">
        <v>101</v>
      </c>
      <c r="D2890" t="s">
        <v>102</v>
      </c>
      <c r="E2890" s="1">
        <v>44175</v>
      </c>
      <c r="F2890">
        <v>1</v>
      </c>
      <c r="G2890" t="s">
        <v>24</v>
      </c>
      <c r="H2890" t="s">
        <v>25</v>
      </c>
      <c r="I2890" s="3">
        <v>1212</v>
      </c>
      <c r="J2890" s="3">
        <v>1115</v>
      </c>
      <c r="K2890" s="3">
        <v>442</v>
      </c>
      <c r="L2890" t="s">
        <v>98</v>
      </c>
      <c r="M2890">
        <v>19</v>
      </c>
      <c r="N2890" t="s">
        <v>89</v>
      </c>
      <c r="O2890" t="s">
        <v>81</v>
      </c>
      <c r="P2890" t="s">
        <v>15</v>
      </c>
      <c r="Q2890" t="s">
        <v>16</v>
      </c>
      <c r="R2890" t="s">
        <v>16</v>
      </c>
      <c r="S2890" t="s">
        <v>144</v>
      </c>
      <c r="T2890" s="2">
        <f>MASTER[[#This Row],[CANTIDAD]]*MASTER[[#This Row],[PRECIO DE VENTA]]</f>
        <v>1115</v>
      </c>
      <c r="U2890" s="2">
        <f>MASTER[[#This Row],[CANTIDAD]]*MASTER[[#This Row],[COSTO UNITARIO]]</f>
        <v>442</v>
      </c>
      <c r="V2890" s="2">
        <f>MASTER[[#This Row],[MONTO VENDIDO]]-MASTER[[#This Row],[COSTO DE VENTA]]</f>
        <v>673</v>
      </c>
    </row>
    <row r="2891" spans="1:22" x14ac:dyDescent="0.3">
      <c r="A2891">
        <v>47322</v>
      </c>
      <c r="B2891">
        <v>1</v>
      </c>
      <c r="C2891" t="s">
        <v>116</v>
      </c>
      <c r="D2891" t="s">
        <v>117</v>
      </c>
      <c r="E2891" s="1">
        <v>44175</v>
      </c>
      <c r="F2891">
        <v>1</v>
      </c>
      <c r="G2891" t="s">
        <v>55</v>
      </c>
      <c r="H2891" t="s">
        <v>56</v>
      </c>
      <c r="I2891" s="3">
        <v>1529</v>
      </c>
      <c r="J2891" s="3">
        <v>1529</v>
      </c>
      <c r="K2891" s="3">
        <v>388</v>
      </c>
      <c r="L2891" t="s">
        <v>113</v>
      </c>
      <c r="M2891">
        <v>11</v>
      </c>
      <c r="N2891" t="s">
        <v>10</v>
      </c>
      <c r="O2891" t="s">
        <v>11</v>
      </c>
      <c r="P2891" t="s">
        <v>12</v>
      </c>
      <c r="Q2891" t="s">
        <v>13</v>
      </c>
      <c r="R2891" t="s">
        <v>13</v>
      </c>
      <c r="S2891" t="s">
        <v>144</v>
      </c>
      <c r="T2891" s="2">
        <f>MASTER[[#This Row],[CANTIDAD]]*MASTER[[#This Row],[PRECIO DE VENTA]]</f>
        <v>1529</v>
      </c>
      <c r="U2891" s="2">
        <f>MASTER[[#This Row],[CANTIDAD]]*MASTER[[#This Row],[COSTO UNITARIO]]</f>
        <v>388</v>
      </c>
      <c r="V2891" s="2">
        <f>MASTER[[#This Row],[MONTO VENDIDO]]-MASTER[[#This Row],[COSTO DE VENTA]]</f>
        <v>1141</v>
      </c>
    </row>
    <row r="2892" spans="1:22" x14ac:dyDescent="0.3">
      <c r="A2892">
        <v>47327</v>
      </c>
      <c r="B2892">
        <v>1</v>
      </c>
      <c r="C2892" t="s">
        <v>5</v>
      </c>
      <c r="D2892" t="s">
        <v>6</v>
      </c>
      <c r="E2892" s="1">
        <v>44176</v>
      </c>
      <c r="F2892">
        <v>1</v>
      </c>
      <c r="G2892" t="s">
        <v>55</v>
      </c>
      <c r="H2892" t="s">
        <v>56</v>
      </c>
      <c r="I2892" s="3">
        <v>1507</v>
      </c>
      <c r="J2892" s="3">
        <v>1507</v>
      </c>
      <c r="K2892" s="3">
        <v>393</v>
      </c>
      <c r="L2892" t="s">
        <v>9</v>
      </c>
      <c r="M2892">
        <v>14</v>
      </c>
      <c r="N2892" t="s">
        <v>87</v>
      </c>
      <c r="O2892" t="s">
        <v>81</v>
      </c>
      <c r="P2892" t="s">
        <v>18</v>
      </c>
      <c r="Q2892" t="s">
        <v>19</v>
      </c>
      <c r="R2892" t="s">
        <v>138</v>
      </c>
      <c r="S2892" t="s">
        <v>144</v>
      </c>
      <c r="T2892" s="2">
        <f>MASTER[[#This Row],[CANTIDAD]]*MASTER[[#This Row],[PRECIO DE VENTA]]</f>
        <v>1507</v>
      </c>
      <c r="U2892" s="2">
        <f>MASTER[[#This Row],[CANTIDAD]]*MASTER[[#This Row],[COSTO UNITARIO]]</f>
        <v>393</v>
      </c>
      <c r="V2892" s="2">
        <f>MASTER[[#This Row],[MONTO VENDIDO]]-MASTER[[#This Row],[COSTO DE VENTA]]</f>
        <v>1114</v>
      </c>
    </row>
    <row r="2893" spans="1:22" x14ac:dyDescent="0.3">
      <c r="A2893">
        <v>47336</v>
      </c>
      <c r="B2893">
        <v>1</v>
      </c>
      <c r="C2893" t="s">
        <v>109</v>
      </c>
      <c r="D2893" t="s">
        <v>110</v>
      </c>
      <c r="E2893" s="1">
        <v>44176</v>
      </c>
      <c r="F2893">
        <v>1</v>
      </c>
      <c r="G2893" t="s">
        <v>67</v>
      </c>
      <c r="H2893" t="s">
        <v>68</v>
      </c>
      <c r="I2893" s="3">
        <v>1064</v>
      </c>
      <c r="J2893" s="3">
        <v>1064</v>
      </c>
      <c r="K2893" s="3">
        <v>387</v>
      </c>
      <c r="L2893" t="s">
        <v>98</v>
      </c>
      <c r="M2893">
        <v>14</v>
      </c>
      <c r="N2893" t="s">
        <v>87</v>
      </c>
      <c r="O2893" t="s">
        <v>81</v>
      </c>
      <c r="P2893" t="s">
        <v>18</v>
      </c>
      <c r="Q2893" t="s">
        <v>19</v>
      </c>
      <c r="R2893" t="s">
        <v>138</v>
      </c>
      <c r="S2893" t="s">
        <v>144</v>
      </c>
      <c r="T2893" s="2">
        <f>MASTER[[#This Row],[CANTIDAD]]*MASTER[[#This Row],[PRECIO DE VENTA]]</f>
        <v>1064</v>
      </c>
      <c r="U2893" s="2">
        <f>MASTER[[#This Row],[CANTIDAD]]*MASTER[[#This Row],[COSTO UNITARIO]]</f>
        <v>387</v>
      </c>
      <c r="V2893" s="2">
        <f>MASTER[[#This Row],[MONTO VENDIDO]]-MASTER[[#This Row],[COSTO DE VENTA]]</f>
        <v>677</v>
      </c>
    </row>
    <row r="2894" spans="1:22" x14ac:dyDescent="0.3">
      <c r="A2894">
        <v>47345</v>
      </c>
      <c r="B2894">
        <v>1</v>
      </c>
      <c r="C2894" t="s">
        <v>107</v>
      </c>
      <c r="D2894" t="s">
        <v>108</v>
      </c>
      <c r="E2894" s="1">
        <v>44176</v>
      </c>
      <c r="F2894">
        <v>1</v>
      </c>
      <c r="G2894" t="s">
        <v>7</v>
      </c>
      <c r="H2894" t="s">
        <v>8</v>
      </c>
      <c r="I2894" s="3">
        <v>1333</v>
      </c>
      <c r="J2894" s="3">
        <v>1333</v>
      </c>
      <c r="K2894" s="3">
        <v>380</v>
      </c>
      <c r="L2894" t="s">
        <v>98</v>
      </c>
      <c r="M2894">
        <v>15</v>
      </c>
      <c r="N2894" t="s">
        <v>88</v>
      </c>
      <c r="O2894" t="s">
        <v>81</v>
      </c>
      <c r="P2894" t="s">
        <v>18</v>
      </c>
      <c r="Q2894" t="s">
        <v>19</v>
      </c>
      <c r="R2894" t="s">
        <v>138</v>
      </c>
      <c r="S2894" t="s">
        <v>144</v>
      </c>
      <c r="T2894" s="2">
        <f>MASTER[[#This Row],[CANTIDAD]]*MASTER[[#This Row],[PRECIO DE VENTA]]</f>
        <v>1333</v>
      </c>
      <c r="U2894" s="2">
        <f>MASTER[[#This Row],[CANTIDAD]]*MASTER[[#This Row],[COSTO UNITARIO]]</f>
        <v>380</v>
      </c>
      <c r="V2894" s="2">
        <f>MASTER[[#This Row],[MONTO VENDIDO]]-MASTER[[#This Row],[COSTO DE VENTA]]</f>
        <v>953</v>
      </c>
    </row>
    <row r="2895" spans="1:22" x14ac:dyDescent="0.3">
      <c r="A2895">
        <v>47367</v>
      </c>
      <c r="B2895">
        <v>1</v>
      </c>
      <c r="C2895" t="s">
        <v>96</v>
      </c>
      <c r="D2895" t="s">
        <v>97</v>
      </c>
      <c r="E2895" s="1">
        <v>44176</v>
      </c>
      <c r="F2895">
        <v>1</v>
      </c>
      <c r="G2895" t="s">
        <v>24</v>
      </c>
      <c r="H2895" t="s">
        <v>25</v>
      </c>
      <c r="I2895" s="3">
        <v>1196</v>
      </c>
      <c r="J2895" s="3">
        <v>1196</v>
      </c>
      <c r="K2895" s="3">
        <v>397</v>
      </c>
      <c r="L2895" t="s">
        <v>98</v>
      </c>
      <c r="M2895">
        <v>11</v>
      </c>
      <c r="N2895" t="s">
        <v>10</v>
      </c>
      <c r="O2895" t="s">
        <v>11</v>
      </c>
      <c r="P2895" t="s">
        <v>12</v>
      </c>
      <c r="Q2895" t="s">
        <v>13</v>
      </c>
      <c r="R2895" t="s">
        <v>13</v>
      </c>
      <c r="S2895" t="s">
        <v>144</v>
      </c>
      <c r="T2895" s="2">
        <f>MASTER[[#This Row],[CANTIDAD]]*MASTER[[#This Row],[PRECIO DE VENTA]]</f>
        <v>1196</v>
      </c>
      <c r="U2895" s="2">
        <f>MASTER[[#This Row],[CANTIDAD]]*MASTER[[#This Row],[COSTO UNITARIO]]</f>
        <v>397</v>
      </c>
      <c r="V2895" s="2">
        <f>MASTER[[#This Row],[MONTO VENDIDO]]-MASTER[[#This Row],[COSTO DE VENTA]]</f>
        <v>799</v>
      </c>
    </row>
    <row r="2896" spans="1:22" x14ac:dyDescent="0.3">
      <c r="A2896">
        <v>47381</v>
      </c>
      <c r="B2896">
        <v>1</v>
      </c>
      <c r="C2896" t="s">
        <v>90</v>
      </c>
      <c r="D2896" t="s">
        <v>91</v>
      </c>
      <c r="E2896" s="1">
        <v>44176</v>
      </c>
      <c r="F2896">
        <v>1</v>
      </c>
      <c r="G2896" t="s">
        <v>20</v>
      </c>
      <c r="H2896" t="s">
        <v>21</v>
      </c>
      <c r="I2896" s="3">
        <v>1844</v>
      </c>
      <c r="J2896" s="3">
        <v>1844</v>
      </c>
      <c r="K2896" s="3">
        <v>420</v>
      </c>
      <c r="L2896" t="s">
        <v>9</v>
      </c>
      <c r="M2896">
        <v>8</v>
      </c>
      <c r="N2896" t="s">
        <v>80</v>
      </c>
      <c r="O2896" t="s">
        <v>81</v>
      </c>
      <c r="P2896" t="s">
        <v>12</v>
      </c>
      <c r="Q2896" t="s">
        <v>13</v>
      </c>
      <c r="R2896" t="s">
        <v>13</v>
      </c>
      <c r="S2896" t="s">
        <v>144</v>
      </c>
      <c r="T2896" s="2">
        <f>MASTER[[#This Row],[CANTIDAD]]*MASTER[[#This Row],[PRECIO DE VENTA]]</f>
        <v>1844</v>
      </c>
      <c r="U2896" s="2">
        <f>MASTER[[#This Row],[CANTIDAD]]*MASTER[[#This Row],[COSTO UNITARIO]]</f>
        <v>420</v>
      </c>
      <c r="V2896" s="2">
        <f>MASTER[[#This Row],[MONTO VENDIDO]]-MASTER[[#This Row],[COSTO DE VENTA]]</f>
        <v>1424</v>
      </c>
    </row>
    <row r="2897" spans="1:22" x14ac:dyDescent="0.3">
      <c r="A2897">
        <v>47416</v>
      </c>
      <c r="B2897">
        <v>1</v>
      </c>
      <c r="C2897" t="s">
        <v>109</v>
      </c>
      <c r="D2897" t="s">
        <v>110</v>
      </c>
      <c r="E2897" s="1">
        <v>44176</v>
      </c>
      <c r="F2897">
        <v>1</v>
      </c>
      <c r="G2897" t="s">
        <v>20</v>
      </c>
      <c r="H2897" t="s">
        <v>21</v>
      </c>
      <c r="I2897" s="3">
        <v>1064</v>
      </c>
      <c r="J2897" s="3">
        <v>1064</v>
      </c>
      <c r="K2897" s="3">
        <v>387</v>
      </c>
      <c r="L2897" t="s">
        <v>98</v>
      </c>
      <c r="M2897">
        <v>2</v>
      </c>
      <c r="N2897" t="s">
        <v>86</v>
      </c>
      <c r="O2897" t="s">
        <v>81</v>
      </c>
      <c r="P2897" t="s">
        <v>71</v>
      </c>
      <c r="Q2897" t="s">
        <v>72</v>
      </c>
      <c r="R2897" t="s">
        <v>139</v>
      </c>
      <c r="S2897" t="s">
        <v>144</v>
      </c>
      <c r="T2897" s="2">
        <f>MASTER[[#This Row],[CANTIDAD]]*MASTER[[#This Row],[PRECIO DE VENTA]]</f>
        <v>1064</v>
      </c>
      <c r="U2897" s="2">
        <f>MASTER[[#This Row],[CANTIDAD]]*MASTER[[#This Row],[COSTO UNITARIO]]</f>
        <v>387</v>
      </c>
      <c r="V2897" s="2">
        <f>MASTER[[#This Row],[MONTO VENDIDO]]-MASTER[[#This Row],[COSTO DE VENTA]]</f>
        <v>677</v>
      </c>
    </row>
    <row r="2898" spans="1:22" x14ac:dyDescent="0.3">
      <c r="A2898">
        <v>47444</v>
      </c>
      <c r="B2898">
        <v>1</v>
      </c>
      <c r="C2898" t="s">
        <v>118</v>
      </c>
      <c r="D2898" t="s">
        <v>119</v>
      </c>
      <c r="E2898" s="1">
        <v>44176</v>
      </c>
      <c r="F2898">
        <v>1</v>
      </c>
      <c r="G2898" t="s">
        <v>61</v>
      </c>
      <c r="H2898" t="s">
        <v>62</v>
      </c>
      <c r="I2898" s="3">
        <v>1026</v>
      </c>
      <c r="J2898" s="3">
        <v>1026</v>
      </c>
      <c r="K2898" s="3">
        <v>424</v>
      </c>
      <c r="L2898" t="s">
        <v>120</v>
      </c>
      <c r="M2898">
        <v>13</v>
      </c>
      <c r="N2898" t="s">
        <v>78</v>
      </c>
      <c r="O2898" t="s">
        <v>70</v>
      </c>
      <c r="P2898" t="s">
        <v>18</v>
      </c>
      <c r="Q2898" t="s">
        <v>19</v>
      </c>
      <c r="R2898" t="s">
        <v>138</v>
      </c>
      <c r="S2898" t="s">
        <v>144</v>
      </c>
      <c r="T2898" s="2">
        <f>MASTER[[#This Row],[CANTIDAD]]*MASTER[[#This Row],[PRECIO DE VENTA]]</f>
        <v>1026</v>
      </c>
      <c r="U2898" s="2">
        <f>MASTER[[#This Row],[CANTIDAD]]*MASTER[[#This Row],[COSTO UNITARIO]]</f>
        <v>424</v>
      </c>
      <c r="V2898" s="2">
        <f>MASTER[[#This Row],[MONTO VENDIDO]]-MASTER[[#This Row],[COSTO DE VENTA]]</f>
        <v>602</v>
      </c>
    </row>
    <row r="2899" spans="1:22" x14ac:dyDescent="0.3">
      <c r="A2899">
        <v>47454</v>
      </c>
      <c r="B2899">
        <v>1</v>
      </c>
      <c r="C2899" t="s">
        <v>103</v>
      </c>
      <c r="D2899" t="s">
        <v>104</v>
      </c>
      <c r="E2899" s="1">
        <v>44176</v>
      </c>
      <c r="F2899">
        <v>1</v>
      </c>
      <c r="G2899" t="s">
        <v>57</v>
      </c>
      <c r="H2899" t="s">
        <v>58</v>
      </c>
      <c r="I2899" s="3">
        <v>1448</v>
      </c>
      <c r="J2899" s="3">
        <v>1448</v>
      </c>
      <c r="K2899" s="3">
        <v>421</v>
      </c>
      <c r="L2899" t="s">
        <v>98</v>
      </c>
      <c r="M2899">
        <v>17</v>
      </c>
      <c r="N2899" t="s">
        <v>14</v>
      </c>
      <c r="O2899" t="s">
        <v>11</v>
      </c>
      <c r="P2899" t="s">
        <v>15</v>
      </c>
      <c r="Q2899" t="s">
        <v>16</v>
      </c>
      <c r="R2899" t="s">
        <v>16</v>
      </c>
      <c r="S2899" t="s">
        <v>144</v>
      </c>
      <c r="T2899" s="2">
        <f>MASTER[[#This Row],[CANTIDAD]]*MASTER[[#This Row],[PRECIO DE VENTA]]</f>
        <v>1448</v>
      </c>
      <c r="U2899" s="2">
        <f>MASTER[[#This Row],[CANTIDAD]]*MASTER[[#This Row],[COSTO UNITARIO]]</f>
        <v>421</v>
      </c>
      <c r="V2899" s="2">
        <f>MASTER[[#This Row],[MONTO VENDIDO]]-MASTER[[#This Row],[COSTO DE VENTA]]</f>
        <v>1027</v>
      </c>
    </row>
    <row r="2900" spans="1:22" x14ac:dyDescent="0.3">
      <c r="A2900">
        <v>47480</v>
      </c>
      <c r="B2900">
        <v>1</v>
      </c>
      <c r="C2900" t="s">
        <v>105</v>
      </c>
      <c r="D2900" t="s">
        <v>106</v>
      </c>
      <c r="E2900" s="1">
        <v>44177</v>
      </c>
      <c r="F2900">
        <v>2</v>
      </c>
      <c r="G2900" t="s">
        <v>33</v>
      </c>
      <c r="H2900" t="s">
        <v>34</v>
      </c>
      <c r="I2900" s="3">
        <v>1865</v>
      </c>
      <c r="J2900" s="3">
        <v>1865</v>
      </c>
      <c r="K2900" s="3">
        <v>459</v>
      </c>
      <c r="L2900" t="s">
        <v>98</v>
      </c>
      <c r="M2900">
        <v>15</v>
      </c>
      <c r="N2900" t="s">
        <v>88</v>
      </c>
      <c r="O2900" t="s">
        <v>81</v>
      </c>
      <c r="P2900" t="s">
        <v>18</v>
      </c>
      <c r="Q2900" t="s">
        <v>19</v>
      </c>
      <c r="R2900" t="s">
        <v>138</v>
      </c>
      <c r="S2900" t="s">
        <v>144</v>
      </c>
      <c r="T2900" s="2">
        <f>MASTER[[#This Row],[CANTIDAD]]*MASTER[[#This Row],[PRECIO DE VENTA]]</f>
        <v>3730</v>
      </c>
      <c r="U2900" s="2">
        <f>MASTER[[#This Row],[CANTIDAD]]*MASTER[[#This Row],[COSTO UNITARIO]]</f>
        <v>918</v>
      </c>
      <c r="V2900" s="2">
        <f>MASTER[[#This Row],[MONTO VENDIDO]]-MASTER[[#This Row],[COSTO DE VENTA]]</f>
        <v>2812</v>
      </c>
    </row>
    <row r="2901" spans="1:22" x14ac:dyDescent="0.3">
      <c r="A2901">
        <v>47487</v>
      </c>
      <c r="B2901">
        <v>1</v>
      </c>
      <c r="C2901" t="s">
        <v>116</v>
      </c>
      <c r="D2901" t="s">
        <v>117</v>
      </c>
      <c r="E2901" s="1">
        <v>44177</v>
      </c>
      <c r="F2901">
        <v>1</v>
      </c>
      <c r="G2901" t="s">
        <v>7</v>
      </c>
      <c r="H2901" t="s">
        <v>8</v>
      </c>
      <c r="I2901" s="3">
        <v>1738</v>
      </c>
      <c r="J2901" s="3">
        <v>1738</v>
      </c>
      <c r="K2901" s="3">
        <v>388</v>
      </c>
      <c r="L2901" t="s">
        <v>113</v>
      </c>
      <c r="M2901">
        <v>15</v>
      </c>
      <c r="N2901" t="s">
        <v>88</v>
      </c>
      <c r="O2901" t="s">
        <v>81</v>
      </c>
      <c r="P2901" t="s">
        <v>18</v>
      </c>
      <c r="Q2901" t="s">
        <v>19</v>
      </c>
      <c r="R2901" t="s">
        <v>138</v>
      </c>
      <c r="S2901" t="s">
        <v>144</v>
      </c>
      <c r="T2901" s="2">
        <f>MASTER[[#This Row],[CANTIDAD]]*MASTER[[#This Row],[PRECIO DE VENTA]]</f>
        <v>1738</v>
      </c>
      <c r="U2901" s="2">
        <f>MASTER[[#This Row],[CANTIDAD]]*MASTER[[#This Row],[COSTO UNITARIO]]</f>
        <v>388</v>
      </c>
      <c r="V2901" s="2">
        <f>MASTER[[#This Row],[MONTO VENDIDO]]-MASTER[[#This Row],[COSTO DE VENTA]]</f>
        <v>1350</v>
      </c>
    </row>
    <row r="2902" spans="1:22" x14ac:dyDescent="0.3">
      <c r="A2902">
        <v>47508</v>
      </c>
      <c r="B2902">
        <v>1</v>
      </c>
      <c r="C2902" t="s">
        <v>94</v>
      </c>
      <c r="D2902" t="s">
        <v>95</v>
      </c>
      <c r="E2902" s="1">
        <v>44177</v>
      </c>
      <c r="F2902">
        <v>1</v>
      </c>
      <c r="G2902" t="s">
        <v>45</v>
      </c>
      <c r="H2902" t="s">
        <v>46</v>
      </c>
      <c r="I2902" s="3">
        <v>1048</v>
      </c>
      <c r="J2902" s="3">
        <v>1048</v>
      </c>
      <c r="K2902" s="3">
        <v>392</v>
      </c>
      <c r="L2902" t="s">
        <v>9</v>
      </c>
      <c r="M2902">
        <v>15</v>
      </c>
      <c r="N2902" t="s">
        <v>88</v>
      </c>
      <c r="O2902" t="s">
        <v>81</v>
      </c>
      <c r="P2902" t="s">
        <v>18</v>
      </c>
      <c r="Q2902" t="s">
        <v>19</v>
      </c>
      <c r="R2902" t="s">
        <v>138</v>
      </c>
      <c r="S2902" t="s">
        <v>144</v>
      </c>
      <c r="T2902" s="2">
        <f>MASTER[[#This Row],[CANTIDAD]]*MASTER[[#This Row],[PRECIO DE VENTA]]</f>
        <v>1048</v>
      </c>
      <c r="U2902" s="2">
        <f>MASTER[[#This Row],[CANTIDAD]]*MASTER[[#This Row],[COSTO UNITARIO]]</f>
        <v>392</v>
      </c>
      <c r="V2902" s="2">
        <f>MASTER[[#This Row],[MONTO VENDIDO]]-MASTER[[#This Row],[COSTO DE VENTA]]</f>
        <v>656</v>
      </c>
    </row>
    <row r="2903" spans="1:22" x14ac:dyDescent="0.3">
      <c r="A2903">
        <v>47574</v>
      </c>
      <c r="B2903">
        <v>1</v>
      </c>
      <c r="C2903" t="s">
        <v>111</v>
      </c>
      <c r="D2903" t="s">
        <v>112</v>
      </c>
      <c r="E2903" s="1">
        <v>44177</v>
      </c>
      <c r="F2903">
        <v>1</v>
      </c>
      <c r="G2903" t="s">
        <v>20</v>
      </c>
      <c r="H2903" t="s">
        <v>21</v>
      </c>
      <c r="I2903" s="3">
        <v>1621</v>
      </c>
      <c r="J2903" s="3">
        <v>1621</v>
      </c>
      <c r="K2903" s="3">
        <v>434</v>
      </c>
      <c r="L2903" t="s">
        <v>113</v>
      </c>
      <c r="M2903">
        <v>15</v>
      </c>
      <c r="N2903" t="s">
        <v>88</v>
      </c>
      <c r="O2903" t="s">
        <v>81</v>
      </c>
      <c r="P2903" t="s">
        <v>18</v>
      </c>
      <c r="Q2903" t="s">
        <v>19</v>
      </c>
      <c r="R2903" t="s">
        <v>138</v>
      </c>
      <c r="S2903" t="s">
        <v>144</v>
      </c>
      <c r="T2903" s="2">
        <f>MASTER[[#This Row],[CANTIDAD]]*MASTER[[#This Row],[PRECIO DE VENTA]]</f>
        <v>1621</v>
      </c>
      <c r="U2903" s="2">
        <f>MASTER[[#This Row],[CANTIDAD]]*MASTER[[#This Row],[COSTO UNITARIO]]</f>
        <v>434</v>
      </c>
      <c r="V2903" s="2">
        <f>MASTER[[#This Row],[MONTO VENDIDO]]-MASTER[[#This Row],[COSTO DE VENTA]]</f>
        <v>1187</v>
      </c>
    </row>
    <row r="2904" spans="1:22" x14ac:dyDescent="0.3">
      <c r="A2904">
        <v>47608</v>
      </c>
      <c r="B2904">
        <v>1</v>
      </c>
      <c r="C2904" t="s">
        <v>101</v>
      </c>
      <c r="D2904" t="s">
        <v>102</v>
      </c>
      <c r="E2904" s="1">
        <v>44177</v>
      </c>
      <c r="F2904">
        <v>1</v>
      </c>
      <c r="G2904" t="s">
        <v>33</v>
      </c>
      <c r="H2904" t="s">
        <v>34</v>
      </c>
      <c r="I2904" s="3">
        <v>1054</v>
      </c>
      <c r="J2904" s="3">
        <v>1054</v>
      </c>
      <c r="K2904" s="3">
        <v>442</v>
      </c>
      <c r="L2904" t="s">
        <v>98</v>
      </c>
      <c r="M2904">
        <v>11</v>
      </c>
      <c r="N2904" t="s">
        <v>10</v>
      </c>
      <c r="O2904" t="s">
        <v>11</v>
      </c>
      <c r="P2904" t="s">
        <v>12</v>
      </c>
      <c r="Q2904" t="s">
        <v>13</v>
      </c>
      <c r="R2904" t="s">
        <v>13</v>
      </c>
      <c r="S2904" t="s">
        <v>144</v>
      </c>
      <c r="T2904" s="2">
        <f>MASTER[[#This Row],[CANTIDAD]]*MASTER[[#This Row],[PRECIO DE VENTA]]</f>
        <v>1054</v>
      </c>
      <c r="U2904" s="2">
        <f>MASTER[[#This Row],[CANTIDAD]]*MASTER[[#This Row],[COSTO UNITARIO]]</f>
        <v>442</v>
      </c>
      <c r="V2904" s="2">
        <f>MASTER[[#This Row],[MONTO VENDIDO]]-MASTER[[#This Row],[COSTO DE VENTA]]</f>
        <v>612</v>
      </c>
    </row>
    <row r="2905" spans="1:22" x14ac:dyDescent="0.3">
      <c r="A2905">
        <v>47611</v>
      </c>
      <c r="B2905">
        <v>1</v>
      </c>
      <c r="C2905" t="s">
        <v>99</v>
      </c>
      <c r="D2905" t="s">
        <v>100</v>
      </c>
      <c r="E2905" s="1">
        <v>44177</v>
      </c>
      <c r="F2905">
        <v>1</v>
      </c>
      <c r="G2905" t="s">
        <v>22</v>
      </c>
      <c r="H2905" t="s">
        <v>23</v>
      </c>
      <c r="I2905" s="3">
        <v>1459</v>
      </c>
      <c r="J2905" s="3">
        <v>1459</v>
      </c>
      <c r="K2905" s="3">
        <v>386</v>
      </c>
      <c r="L2905" t="s">
        <v>98</v>
      </c>
      <c r="M2905">
        <v>4</v>
      </c>
      <c r="N2905" t="s">
        <v>82</v>
      </c>
      <c r="O2905" t="s">
        <v>81</v>
      </c>
      <c r="P2905" t="s">
        <v>71</v>
      </c>
      <c r="Q2905" t="s">
        <v>72</v>
      </c>
      <c r="R2905" t="s">
        <v>139</v>
      </c>
      <c r="S2905" t="s">
        <v>144</v>
      </c>
      <c r="T2905" s="2">
        <f>MASTER[[#This Row],[CANTIDAD]]*MASTER[[#This Row],[PRECIO DE VENTA]]</f>
        <v>1459</v>
      </c>
      <c r="U2905" s="2">
        <f>MASTER[[#This Row],[CANTIDAD]]*MASTER[[#This Row],[COSTO UNITARIO]]</f>
        <v>386</v>
      </c>
      <c r="V2905" s="2">
        <f>MASTER[[#This Row],[MONTO VENDIDO]]-MASTER[[#This Row],[COSTO DE VENTA]]</f>
        <v>1073</v>
      </c>
    </row>
    <row r="2906" spans="1:22" x14ac:dyDescent="0.3">
      <c r="A2906">
        <v>47614</v>
      </c>
      <c r="B2906">
        <v>1</v>
      </c>
      <c r="C2906" t="s">
        <v>92</v>
      </c>
      <c r="D2906" t="s">
        <v>93</v>
      </c>
      <c r="E2906" s="1">
        <v>44177</v>
      </c>
      <c r="F2906">
        <v>1</v>
      </c>
      <c r="G2906" t="s">
        <v>51</v>
      </c>
      <c r="H2906" t="s">
        <v>52</v>
      </c>
      <c r="I2906" s="3">
        <v>1479</v>
      </c>
      <c r="J2906" s="3">
        <v>1479</v>
      </c>
      <c r="K2906" s="3">
        <v>396</v>
      </c>
      <c r="L2906" t="s">
        <v>9</v>
      </c>
      <c r="M2906">
        <v>12</v>
      </c>
      <c r="N2906" t="s">
        <v>26</v>
      </c>
      <c r="O2906" t="s">
        <v>11</v>
      </c>
      <c r="P2906" t="s">
        <v>12</v>
      </c>
      <c r="Q2906" t="s">
        <v>13</v>
      </c>
      <c r="R2906" t="s">
        <v>13</v>
      </c>
      <c r="S2906" t="s">
        <v>144</v>
      </c>
      <c r="T2906" s="2">
        <f>MASTER[[#This Row],[CANTIDAD]]*MASTER[[#This Row],[PRECIO DE VENTA]]</f>
        <v>1479</v>
      </c>
      <c r="U2906" s="2">
        <f>MASTER[[#This Row],[CANTIDAD]]*MASTER[[#This Row],[COSTO UNITARIO]]</f>
        <v>396</v>
      </c>
      <c r="V2906" s="2">
        <f>MASTER[[#This Row],[MONTO VENDIDO]]-MASTER[[#This Row],[COSTO DE VENTA]]</f>
        <v>1083</v>
      </c>
    </row>
    <row r="2907" spans="1:22" x14ac:dyDescent="0.3">
      <c r="A2907">
        <v>47615</v>
      </c>
      <c r="B2907">
        <v>1</v>
      </c>
      <c r="C2907" t="s">
        <v>92</v>
      </c>
      <c r="D2907" t="s">
        <v>93</v>
      </c>
      <c r="E2907" s="1">
        <v>44177</v>
      </c>
      <c r="F2907">
        <v>1</v>
      </c>
      <c r="G2907" t="s">
        <v>20</v>
      </c>
      <c r="H2907" t="s">
        <v>21</v>
      </c>
      <c r="I2907" s="3">
        <v>1479</v>
      </c>
      <c r="J2907" s="3">
        <v>1479</v>
      </c>
      <c r="K2907" s="3">
        <v>396</v>
      </c>
      <c r="L2907" t="s">
        <v>9</v>
      </c>
      <c r="M2907">
        <v>12</v>
      </c>
      <c r="N2907" t="s">
        <v>26</v>
      </c>
      <c r="O2907" t="s">
        <v>11</v>
      </c>
      <c r="P2907" t="s">
        <v>12</v>
      </c>
      <c r="Q2907" t="s">
        <v>13</v>
      </c>
      <c r="R2907" t="s">
        <v>13</v>
      </c>
      <c r="S2907" t="s">
        <v>144</v>
      </c>
      <c r="T2907" s="2">
        <f>MASTER[[#This Row],[CANTIDAD]]*MASTER[[#This Row],[PRECIO DE VENTA]]</f>
        <v>1479</v>
      </c>
      <c r="U2907" s="2">
        <f>MASTER[[#This Row],[CANTIDAD]]*MASTER[[#This Row],[COSTO UNITARIO]]</f>
        <v>396</v>
      </c>
      <c r="V2907" s="2">
        <f>MASTER[[#This Row],[MONTO VENDIDO]]-MASTER[[#This Row],[COSTO DE VENTA]]</f>
        <v>1083</v>
      </c>
    </row>
    <row r="2908" spans="1:22" x14ac:dyDescent="0.3">
      <c r="A2908">
        <v>47616</v>
      </c>
      <c r="B2908">
        <v>1</v>
      </c>
      <c r="C2908" t="s">
        <v>109</v>
      </c>
      <c r="D2908" t="s">
        <v>110</v>
      </c>
      <c r="E2908" s="1">
        <v>44177</v>
      </c>
      <c r="F2908">
        <v>1</v>
      </c>
      <c r="G2908" t="s">
        <v>29</v>
      </c>
      <c r="H2908" t="s">
        <v>30</v>
      </c>
      <c r="I2908" s="3">
        <v>1064</v>
      </c>
      <c r="J2908" s="3">
        <v>1064</v>
      </c>
      <c r="K2908" s="3">
        <v>387</v>
      </c>
      <c r="L2908" t="s">
        <v>98</v>
      </c>
      <c r="M2908">
        <v>2</v>
      </c>
      <c r="N2908" t="s">
        <v>86</v>
      </c>
      <c r="O2908" t="s">
        <v>81</v>
      </c>
      <c r="P2908" t="s">
        <v>71</v>
      </c>
      <c r="Q2908" t="s">
        <v>72</v>
      </c>
      <c r="R2908" t="s">
        <v>139</v>
      </c>
      <c r="S2908" t="s">
        <v>144</v>
      </c>
      <c r="T2908" s="2">
        <f>MASTER[[#This Row],[CANTIDAD]]*MASTER[[#This Row],[PRECIO DE VENTA]]</f>
        <v>1064</v>
      </c>
      <c r="U2908" s="2">
        <f>MASTER[[#This Row],[CANTIDAD]]*MASTER[[#This Row],[COSTO UNITARIO]]</f>
        <v>387</v>
      </c>
      <c r="V2908" s="2">
        <f>MASTER[[#This Row],[MONTO VENDIDO]]-MASTER[[#This Row],[COSTO DE VENTA]]</f>
        <v>677</v>
      </c>
    </row>
    <row r="2909" spans="1:22" x14ac:dyDescent="0.3">
      <c r="A2909">
        <v>47640</v>
      </c>
      <c r="B2909">
        <v>1</v>
      </c>
      <c r="C2909" t="s">
        <v>121</v>
      </c>
      <c r="D2909" t="s">
        <v>122</v>
      </c>
      <c r="E2909" s="1">
        <v>44177</v>
      </c>
      <c r="F2909">
        <v>1</v>
      </c>
      <c r="G2909" t="s">
        <v>65</v>
      </c>
      <c r="H2909" t="s">
        <v>66</v>
      </c>
      <c r="I2909" s="3">
        <v>1069</v>
      </c>
      <c r="J2909" s="3">
        <v>1069</v>
      </c>
      <c r="K2909" s="3">
        <v>460</v>
      </c>
      <c r="L2909" t="s">
        <v>120</v>
      </c>
      <c r="M2909">
        <v>10</v>
      </c>
      <c r="N2909" t="s">
        <v>83</v>
      </c>
      <c r="O2909" t="s">
        <v>81</v>
      </c>
      <c r="P2909" t="s">
        <v>12</v>
      </c>
      <c r="Q2909" t="s">
        <v>13</v>
      </c>
      <c r="R2909" t="s">
        <v>13</v>
      </c>
      <c r="S2909" t="s">
        <v>144</v>
      </c>
      <c r="T2909" s="2">
        <f>MASTER[[#This Row],[CANTIDAD]]*MASTER[[#This Row],[PRECIO DE VENTA]]</f>
        <v>1069</v>
      </c>
      <c r="U2909" s="2">
        <f>MASTER[[#This Row],[CANTIDAD]]*MASTER[[#This Row],[COSTO UNITARIO]]</f>
        <v>460</v>
      </c>
      <c r="V2909" s="2">
        <f>MASTER[[#This Row],[MONTO VENDIDO]]-MASTER[[#This Row],[COSTO DE VENTA]]</f>
        <v>609</v>
      </c>
    </row>
    <row r="2910" spans="1:22" x14ac:dyDescent="0.3">
      <c r="A2910">
        <v>47642</v>
      </c>
      <c r="B2910">
        <v>1</v>
      </c>
      <c r="C2910" t="s">
        <v>114</v>
      </c>
      <c r="D2910" t="s">
        <v>115</v>
      </c>
      <c r="E2910" s="1">
        <v>44177</v>
      </c>
      <c r="F2910">
        <v>1</v>
      </c>
      <c r="G2910" t="s">
        <v>63</v>
      </c>
      <c r="H2910" t="s">
        <v>64</v>
      </c>
      <c r="I2910" s="3">
        <v>1583</v>
      </c>
      <c r="J2910" s="3">
        <v>1583</v>
      </c>
      <c r="K2910" s="3">
        <v>394</v>
      </c>
      <c r="L2910" t="s">
        <v>113</v>
      </c>
      <c r="M2910">
        <v>17</v>
      </c>
      <c r="N2910" t="s">
        <v>14</v>
      </c>
      <c r="O2910" t="s">
        <v>11</v>
      </c>
      <c r="P2910" t="s">
        <v>15</v>
      </c>
      <c r="Q2910" t="s">
        <v>16</v>
      </c>
      <c r="R2910" t="s">
        <v>16</v>
      </c>
      <c r="S2910" t="s">
        <v>144</v>
      </c>
      <c r="T2910" s="2">
        <f>MASTER[[#This Row],[CANTIDAD]]*MASTER[[#This Row],[PRECIO DE VENTA]]</f>
        <v>1583</v>
      </c>
      <c r="U2910" s="2">
        <f>MASTER[[#This Row],[CANTIDAD]]*MASTER[[#This Row],[COSTO UNITARIO]]</f>
        <v>394</v>
      </c>
      <c r="V2910" s="2">
        <f>MASTER[[#This Row],[MONTO VENDIDO]]-MASTER[[#This Row],[COSTO DE VENTA]]</f>
        <v>1189</v>
      </c>
    </row>
    <row r="2911" spans="1:22" x14ac:dyDescent="0.3">
      <c r="A2911">
        <v>47645</v>
      </c>
      <c r="B2911">
        <v>1</v>
      </c>
      <c r="C2911" t="s">
        <v>121</v>
      </c>
      <c r="D2911" t="s">
        <v>122</v>
      </c>
      <c r="E2911" s="1">
        <v>44178</v>
      </c>
      <c r="F2911">
        <v>1</v>
      </c>
      <c r="G2911" t="s">
        <v>27</v>
      </c>
      <c r="H2911" t="s">
        <v>28</v>
      </c>
      <c r="I2911" s="3">
        <v>1144</v>
      </c>
      <c r="J2911" s="3">
        <v>1144</v>
      </c>
      <c r="K2911" s="3">
        <v>460</v>
      </c>
      <c r="L2911" t="s">
        <v>120</v>
      </c>
      <c r="M2911">
        <v>6</v>
      </c>
      <c r="N2911" t="s">
        <v>75</v>
      </c>
      <c r="O2911" t="s">
        <v>70</v>
      </c>
      <c r="P2911" t="s">
        <v>12</v>
      </c>
      <c r="Q2911" t="s">
        <v>13</v>
      </c>
      <c r="R2911" t="s">
        <v>13</v>
      </c>
      <c r="S2911" t="s">
        <v>144</v>
      </c>
      <c r="T2911" s="2">
        <f>MASTER[[#This Row],[CANTIDAD]]*MASTER[[#This Row],[PRECIO DE VENTA]]</f>
        <v>1144</v>
      </c>
      <c r="U2911" s="2">
        <f>MASTER[[#This Row],[CANTIDAD]]*MASTER[[#This Row],[COSTO UNITARIO]]</f>
        <v>460</v>
      </c>
      <c r="V2911" s="2">
        <f>MASTER[[#This Row],[MONTO VENDIDO]]-MASTER[[#This Row],[COSTO DE VENTA]]</f>
        <v>684</v>
      </c>
    </row>
    <row r="2912" spans="1:22" x14ac:dyDescent="0.3">
      <c r="A2912">
        <v>47654</v>
      </c>
      <c r="B2912">
        <v>1</v>
      </c>
      <c r="C2912" t="s">
        <v>5</v>
      </c>
      <c r="D2912" t="s">
        <v>6</v>
      </c>
      <c r="E2912" s="1">
        <v>44178</v>
      </c>
      <c r="F2912">
        <v>1</v>
      </c>
      <c r="G2912" t="s">
        <v>43</v>
      </c>
      <c r="H2912" t="s">
        <v>44</v>
      </c>
      <c r="I2912" s="3">
        <v>1507</v>
      </c>
      <c r="J2912" s="3">
        <v>1507</v>
      </c>
      <c r="K2912" s="3">
        <v>393</v>
      </c>
      <c r="L2912" t="s">
        <v>9</v>
      </c>
      <c r="M2912">
        <v>15</v>
      </c>
      <c r="N2912" t="s">
        <v>88</v>
      </c>
      <c r="O2912" t="s">
        <v>81</v>
      </c>
      <c r="P2912" t="s">
        <v>18</v>
      </c>
      <c r="Q2912" t="s">
        <v>19</v>
      </c>
      <c r="R2912" t="s">
        <v>138</v>
      </c>
      <c r="S2912" t="s">
        <v>144</v>
      </c>
      <c r="T2912" s="2">
        <f>MASTER[[#This Row],[CANTIDAD]]*MASTER[[#This Row],[PRECIO DE VENTA]]</f>
        <v>1507</v>
      </c>
      <c r="U2912" s="2">
        <f>MASTER[[#This Row],[CANTIDAD]]*MASTER[[#This Row],[COSTO UNITARIO]]</f>
        <v>393</v>
      </c>
      <c r="V2912" s="2">
        <f>MASTER[[#This Row],[MONTO VENDIDO]]-MASTER[[#This Row],[COSTO DE VENTA]]</f>
        <v>1114</v>
      </c>
    </row>
    <row r="2913" spans="1:22" x14ac:dyDescent="0.3">
      <c r="A2913">
        <v>47658</v>
      </c>
      <c r="B2913">
        <v>1</v>
      </c>
      <c r="C2913" t="s">
        <v>101</v>
      </c>
      <c r="D2913" t="s">
        <v>102</v>
      </c>
      <c r="E2913" s="1">
        <v>44178</v>
      </c>
      <c r="F2913">
        <v>1</v>
      </c>
      <c r="G2913" t="s">
        <v>67</v>
      </c>
      <c r="H2913" t="s">
        <v>68</v>
      </c>
      <c r="I2913" s="3">
        <v>1357</v>
      </c>
      <c r="J2913" s="3">
        <v>1357</v>
      </c>
      <c r="K2913" s="3">
        <v>442</v>
      </c>
      <c r="L2913" t="s">
        <v>98</v>
      </c>
      <c r="M2913">
        <v>3</v>
      </c>
      <c r="N2913" t="s">
        <v>69</v>
      </c>
      <c r="O2913" t="s">
        <v>70</v>
      </c>
      <c r="P2913" t="s">
        <v>71</v>
      </c>
      <c r="Q2913" t="s">
        <v>72</v>
      </c>
      <c r="R2913" t="s">
        <v>139</v>
      </c>
      <c r="S2913" t="s">
        <v>144</v>
      </c>
      <c r="T2913" s="2">
        <f>MASTER[[#This Row],[CANTIDAD]]*MASTER[[#This Row],[PRECIO DE VENTA]]</f>
        <v>1357</v>
      </c>
      <c r="U2913" s="2">
        <f>MASTER[[#This Row],[CANTIDAD]]*MASTER[[#This Row],[COSTO UNITARIO]]</f>
        <v>442</v>
      </c>
      <c r="V2913" s="2">
        <f>MASTER[[#This Row],[MONTO VENDIDO]]-MASTER[[#This Row],[COSTO DE VENTA]]</f>
        <v>915</v>
      </c>
    </row>
    <row r="2914" spans="1:22" x14ac:dyDescent="0.3">
      <c r="A2914">
        <v>47661</v>
      </c>
      <c r="B2914">
        <v>1</v>
      </c>
      <c r="C2914" t="s">
        <v>103</v>
      </c>
      <c r="D2914" t="s">
        <v>104</v>
      </c>
      <c r="E2914" s="1">
        <v>44178</v>
      </c>
      <c r="F2914">
        <v>1</v>
      </c>
      <c r="G2914" t="s">
        <v>35</v>
      </c>
      <c r="H2914" t="s">
        <v>36</v>
      </c>
      <c r="I2914" s="3">
        <v>1591</v>
      </c>
      <c r="J2914" s="3">
        <v>1527</v>
      </c>
      <c r="K2914" s="3">
        <v>421</v>
      </c>
      <c r="L2914" t="s">
        <v>98</v>
      </c>
      <c r="M2914">
        <v>8</v>
      </c>
      <c r="N2914" t="s">
        <v>80</v>
      </c>
      <c r="O2914" t="s">
        <v>81</v>
      </c>
      <c r="P2914" t="s">
        <v>12</v>
      </c>
      <c r="Q2914" t="s">
        <v>13</v>
      </c>
      <c r="R2914" t="s">
        <v>13</v>
      </c>
      <c r="S2914" t="s">
        <v>144</v>
      </c>
      <c r="T2914" s="2">
        <f>MASTER[[#This Row],[CANTIDAD]]*MASTER[[#This Row],[PRECIO DE VENTA]]</f>
        <v>1527</v>
      </c>
      <c r="U2914" s="2">
        <f>MASTER[[#This Row],[CANTIDAD]]*MASTER[[#This Row],[COSTO UNITARIO]]</f>
        <v>421</v>
      </c>
      <c r="V2914" s="2">
        <f>MASTER[[#This Row],[MONTO VENDIDO]]-MASTER[[#This Row],[COSTO DE VENTA]]</f>
        <v>1106</v>
      </c>
    </row>
    <row r="2915" spans="1:22" x14ac:dyDescent="0.3">
      <c r="A2915">
        <v>47695</v>
      </c>
      <c r="B2915">
        <v>1</v>
      </c>
      <c r="C2915" t="s">
        <v>111</v>
      </c>
      <c r="D2915" t="s">
        <v>112</v>
      </c>
      <c r="E2915" s="1">
        <v>44178</v>
      </c>
      <c r="F2915">
        <v>1</v>
      </c>
      <c r="G2915" t="s">
        <v>65</v>
      </c>
      <c r="H2915" t="s">
        <v>66</v>
      </c>
      <c r="I2915" s="3">
        <v>1799</v>
      </c>
      <c r="J2915" s="3">
        <v>1799</v>
      </c>
      <c r="K2915" s="3">
        <v>434</v>
      </c>
      <c r="L2915" t="s">
        <v>113</v>
      </c>
      <c r="M2915">
        <v>18</v>
      </c>
      <c r="N2915" t="s">
        <v>79</v>
      </c>
      <c r="O2915" t="s">
        <v>70</v>
      </c>
      <c r="P2915" t="s">
        <v>15</v>
      </c>
      <c r="Q2915" t="s">
        <v>16</v>
      </c>
      <c r="R2915" t="s">
        <v>16</v>
      </c>
      <c r="S2915" t="s">
        <v>144</v>
      </c>
      <c r="T2915" s="2">
        <f>MASTER[[#This Row],[CANTIDAD]]*MASTER[[#This Row],[PRECIO DE VENTA]]</f>
        <v>1799</v>
      </c>
      <c r="U2915" s="2">
        <f>MASTER[[#This Row],[CANTIDAD]]*MASTER[[#This Row],[COSTO UNITARIO]]</f>
        <v>434</v>
      </c>
      <c r="V2915" s="2">
        <f>MASTER[[#This Row],[MONTO VENDIDO]]-MASTER[[#This Row],[COSTO DE VENTA]]</f>
        <v>1365</v>
      </c>
    </row>
    <row r="2916" spans="1:22" x14ac:dyDescent="0.3">
      <c r="A2916">
        <v>47719</v>
      </c>
      <c r="B2916">
        <v>1</v>
      </c>
      <c r="C2916" t="s">
        <v>107</v>
      </c>
      <c r="D2916" t="s">
        <v>108</v>
      </c>
      <c r="E2916" s="1">
        <v>44178</v>
      </c>
      <c r="F2916">
        <v>1</v>
      </c>
      <c r="G2916" t="s">
        <v>33</v>
      </c>
      <c r="H2916" t="s">
        <v>34</v>
      </c>
      <c r="I2916" s="3">
        <v>1440</v>
      </c>
      <c r="J2916" s="3">
        <v>1440</v>
      </c>
      <c r="K2916" s="3">
        <v>380</v>
      </c>
      <c r="L2916" t="s">
        <v>98</v>
      </c>
      <c r="M2916">
        <v>3</v>
      </c>
      <c r="N2916" t="s">
        <v>69</v>
      </c>
      <c r="O2916" t="s">
        <v>70</v>
      </c>
      <c r="P2916" t="s">
        <v>71</v>
      </c>
      <c r="Q2916" t="s">
        <v>72</v>
      </c>
      <c r="R2916" t="s">
        <v>139</v>
      </c>
      <c r="S2916" t="s">
        <v>144</v>
      </c>
      <c r="T2916" s="2">
        <f>MASTER[[#This Row],[CANTIDAD]]*MASTER[[#This Row],[PRECIO DE VENTA]]</f>
        <v>1440</v>
      </c>
      <c r="U2916" s="2">
        <f>MASTER[[#This Row],[CANTIDAD]]*MASTER[[#This Row],[COSTO UNITARIO]]</f>
        <v>380</v>
      </c>
      <c r="V2916" s="2">
        <f>MASTER[[#This Row],[MONTO VENDIDO]]-MASTER[[#This Row],[COSTO DE VENTA]]</f>
        <v>1060</v>
      </c>
    </row>
    <row r="2917" spans="1:22" x14ac:dyDescent="0.3">
      <c r="A2917">
        <v>47724</v>
      </c>
      <c r="B2917">
        <v>1</v>
      </c>
      <c r="C2917" t="s">
        <v>103</v>
      </c>
      <c r="D2917" t="s">
        <v>104</v>
      </c>
      <c r="E2917" s="1">
        <v>44178</v>
      </c>
      <c r="F2917">
        <v>4</v>
      </c>
      <c r="G2917" t="s">
        <v>67</v>
      </c>
      <c r="H2917" t="s">
        <v>68</v>
      </c>
      <c r="I2917" s="3">
        <v>1591</v>
      </c>
      <c r="J2917" s="3">
        <v>1591</v>
      </c>
      <c r="K2917" s="3">
        <v>421</v>
      </c>
      <c r="L2917" t="s">
        <v>98</v>
      </c>
      <c r="M2917">
        <v>10</v>
      </c>
      <c r="N2917" t="s">
        <v>83</v>
      </c>
      <c r="O2917" t="s">
        <v>81</v>
      </c>
      <c r="P2917" t="s">
        <v>12</v>
      </c>
      <c r="Q2917" t="s">
        <v>13</v>
      </c>
      <c r="R2917" t="s">
        <v>13</v>
      </c>
      <c r="S2917" t="s">
        <v>144</v>
      </c>
      <c r="T2917" s="2">
        <f>MASTER[[#This Row],[CANTIDAD]]*MASTER[[#This Row],[PRECIO DE VENTA]]</f>
        <v>6364</v>
      </c>
      <c r="U2917" s="2">
        <f>MASTER[[#This Row],[CANTIDAD]]*MASTER[[#This Row],[COSTO UNITARIO]]</f>
        <v>1684</v>
      </c>
      <c r="V2917" s="2">
        <f>MASTER[[#This Row],[MONTO VENDIDO]]-MASTER[[#This Row],[COSTO DE VENTA]]</f>
        <v>4680</v>
      </c>
    </row>
    <row r="2918" spans="1:22" x14ac:dyDescent="0.3">
      <c r="A2918">
        <v>47726</v>
      </c>
      <c r="B2918">
        <v>1</v>
      </c>
      <c r="C2918" t="s">
        <v>94</v>
      </c>
      <c r="D2918" t="s">
        <v>95</v>
      </c>
      <c r="E2918" s="1">
        <v>44178</v>
      </c>
      <c r="F2918">
        <v>1</v>
      </c>
      <c r="G2918" t="s">
        <v>41</v>
      </c>
      <c r="H2918" t="s">
        <v>42</v>
      </c>
      <c r="I2918" s="3">
        <v>1153</v>
      </c>
      <c r="J2918" s="3">
        <v>1153</v>
      </c>
      <c r="K2918" s="3">
        <v>392</v>
      </c>
      <c r="L2918" t="s">
        <v>9</v>
      </c>
      <c r="M2918">
        <v>1</v>
      </c>
      <c r="N2918" t="s">
        <v>77</v>
      </c>
      <c r="O2918" t="s">
        <v>70</v>
      </c>
      <c r="P2918" t="s">
        <v>71</v>
      </c>
      <c r="Q2918" t="s">
        <v>72</v>
      </c>
      <c r="R2918" t="s">
        <v>139</v>
      </c>
      <c r="S2918" t="s">
        <v>144</v>
      </c>
      <c r="T2918" s="2">
        <f>MASTER[[#This Row],[CANTIDAD]]*MASTER[[#This Row],[PRECIO DE VENTA]]</f>
        <v>1153</v>
      </c>
      <c r="U2918" s="2">
        <f>MASTER[[#This Row],[CANTIDAD]]*MASTER[[#This Row],[COSTO UNITARIO]]</f>
        <v>392</v>
      </c>
      <c r="V2918" s="2">
        <f>MASTER[[#This Row],[MONTO VENDIDO]]-MASTER[[#This Row],[COSTO DE VENTA]]</f>
        <v>761</v>
      </c>
    </row>
    <row r="2919" spans="1:22" x14ac:dyDescent="0.3">
      <c r="A2919">
        <v>47735</v>
      </c>
      <c r="B2919">
        <v>1</v>
      </c>
      <c r="C2919" t="s">
        <v>103</v>
      </c>
      <c r="D2919" t="s">
        <v>104</v>
      </c>
      <c r="E2919" s="1">
        <v>44178</v>
      </c>
      <c r="F2919">
        <v>1</v>
      </c>
      <c r="G2919" t="s">
        <v>61</v>
      </c>
      <c r="H2919" t="s">
        <v>62</v>
      </c>
      <c r="I2919" s="3">
        <v>1830</v>
      </c>
      <c r="J2919" s="3">
        <v>1830</v>
      </c>
      <c r="K2919" s="3">
        <v>421</v>
      </c>
      <c r="L2919" t="s">
        <v>98</v>
      </c>
      <c r="M2919">
        <v>13</v>
      </c>
      <c r="N2919" t="s">
        <v>78</v>
      </c>
      <c r="O2919" t="s">
        <v>70</v>
      </c>
      <c r="P2919" t="s">
        <v>18</v>
      </c>
      <c r="Q2919" t="s">
        <v>19</v>
      </c>
      <c r="R2919" t="s">
        <v>138</v>
      </c>
      <c r="S2919" t="s">
        <v>144</v>
      </c>
      <c r="T2919" s="2">
        <f>MASTER[[#This Row],[CANTIDAD]]*MASTER[[#This Row],[PRECIO DE VENTA]]</f>
        <v>1830</v>
      </c>
      <c r="U2919" s="2">
        <f>MASTER[[#This Row],[CANTIDAD]]*MASTER[[#This Row],[COSTO UNITARIO]]</f>
        <v>421</v>
      </c>
      <c r="V2919" s="2">
        <f>MASTER[[#This Row],[MONTO VENDIDO]]-MASTER[[#This Row],[COSTO DE VENTA]]</f>
        <v>1409</v>
      </c>
    </row>
    <row r="2920" spans="1:22" x14ac:dyDescent="0.3">
      <c r="A2920">
        <v>47736</v>
      </c>
      <c r="B2920">
        <v>1</v>
      </c>
      <c r="C2920" t="s">
        <v>90</v>
      </c>
      <c r="D2920" t="s">
        <v>91</v>
      </c>
      <c r="E2920" s="1">
        <v>44178</v>
      </c>
      <c r="F2920">
        <v>1</v>
      </c>
      <c r="G2920" t="s">
        <v>29</v>
      </c>
      <c r="H2920" t="s">
        <v>30</v>
      </c>
      <c r="I2920" s="3">
        <v>1660</v>
      </c>
      <c r="J2920" s="3">
        <v>1660</v>
      </c>
      <c r="K2920" s="3">
        <v>420</v>
      </c>
      <c r="L2920" t="s">
        <v>9</v>
      </c>
      <c r="M2920">
        <v>17</v>
      </c>
      <c r="N2920" t="s">
        <v>14</v>
      </c>
      <c r="O2920" t="s">
        <v>11</v>
      </c>
      <c r="P2920" t="s">
        <v>15</v>
      </c>
      <c r="Q2920" t="s">
        <v>16</v>
      </c>
      <c r="R2920" t="s">
        <v>16</v>
      </c>
      <c r="S2920" t="s">
        <v>144</v>
      </c>
      <c r="T2920" s="2">
        <f>MASTER[[#This Row],[CANTIDAD]]*MASTER[[#This Row],[PRECIO DE VENTA]]</f>
        <v>1660</v>
      </c>
      <c r="U2920" s="2">
        <f>MASTER[[#This Row],[CANTIDAD]]*MASTER[[#This Row],[COSTO UNITARIO]]</f>
        <v>420</v>
      </c>
      <c r="V2920" s="2">
        <f>MASTER[[#This Row],[MONTO VENDIDO]]-MASTER[[#This Row],[COSTO DE VENTA]]</f>
        <v>1240</v>
      </c>
    </row>
    <row r="2921" spans="1:22" x14ac:dyDescent="0.3">
      <c r="A2921">
        <v>47744</v>
      </c>
      <c r="B2921">
        <v>1</v>
      </c>
      <c r="C2921" t="s">
        <v>94</v>
      </c>
      <c r="D2921" t="s">
        <v>95</v>
      </c>
      <c r="E2921" s="1">
        <v>44178</v>
      </c>
      <c r="F2921">
        <v>1</v>
      </c>
      <c r="G2921" t="s">
        <v>73</v>
      </c>
      <c r="H2921" t="s">
        <v>74</v>
      </c>
      <c r="I2921" s="3">
        <v>1153</v>
      </c>
      <c r="J2921" s="3">
        <v>1153</v>
      </c>
      <c r="K2921" s="3">
        <v>392</v>
      </c>
      <c r="L2921" t="s">
        <v>9</v>
      </c>
      <c r="M2921">
        <v>3</v>
      </c>
      <c r="N2921" t="s">
        <v>69</v>
      </c>
      <c r="O2921" t="s">
        <v>70</v>
      </c>
      <c r="P2921" t="s">
        <v>71</v>
      </c>
      <c r="Q2921" t="s">
        <v>72</v>
      </c>
      <c r="R2921" t="s">
        <v>139</v>
      </c>
      <c r="S2921" t="s">
        <v>144</v>
      </c>
      <c r="T2921" s="2">
        <f>MASTER[[#This Row],[CANTIDAD]]*MASTER[[#This Row],[PRECIO DE VENTA]]</f>
        <v>1153</v>
      </c>
      <c r="U2921" s="2">
        <f>MASTER[[#This Row],[CANTIDAD]]*MASTER[[#This Row],[COSTO UNITARIO]]</f>
        <v>392</v>
      </c>
      <c r="V2921" s="2">
        <f>MASTER[[#This Row],[MONTO VENDIDO]]-MASTER[[#This Row],[COSTO DE VENTA]]</f>
        <v>761</v>
      </c>
    </row>
    <row r="2922" spans="1:22" x14ac:dyDescent="0.3">
      <c r="A2922">
        <v>47760</v>
      </c>
      <c r="B2922">
        <v>1</v>
      </c>
      <c r="C2922" t="s">
        <v>109</v>
      </c>
      <c r="D2922" t="s">
        <v>110</v>
      </c>
      <c r="E2922" s="1">
        <v>44178</v>
      </c>
      <c r="F2922">
        <v>1</v>
      </c>
      <c r="G2922" t="s">
        <v>67</v>
      </c>
      <c r="H2922" t="s">
        <v>68</v>
      </c>
      <c r="I2922" s="3">
        <v>947</v>
      </c>
      <c r="J2922" s="3">
        <v>947</v>
      </c>
      <c r="K2922" s="3">
        <v>387</v>
      </c>
      <c r="L2922" t="s">
        <v>98</v>
      </c>
      <c r="M2922">
        <v>17</v>
      </c>
      <c r="N2922" t="s">
        <v>14</v>
      </c>
      <c r="O2922" t="s">
        <v>11</v>
      </c>
      <c r="P2922" t="s">
        <v>15</v>
      </c>
      <c r="Q2922" t="s">
        <v>16</v>
      </c>
      <c r="R2922" t="s">
        <v>16</v>
      </c>
      <c r="S2922" t="s">
        <v>144</v>
      </c>
      <c r="T2922" s="2">
        <f>MASTER[[#This Row],[CANTIDAD]]*MASTER[[#This Row],[PRECIO DE VENTA]]</f>
        <v>947</v>
      </c>
      <c r="U2922" s="2">
        <f>MASTER[[#This Row],[CANTIDAD]]*MASTER[[#This Row],[COSTO UNITARIO]]</f>
        <v>387</v>
      </c>
      <c r="V2922" s="2">
        <f>MASTER[[#This Row],[MONTO VENDIDO]]-MASTER[[#This Row],[COSTO DE VENTA]]</f>
        <v>560</v>
      </c>
    </row>
    <row r="2923" spans="1:22" x14ac:dyDescent="0.3">
      <c r="A2923">
        <v>47771</v>
      </c>
      <c r="B2923">
        <v>1</v>
      </c>
      <c r="C2923" t="s">
        <v>109</v>
      </c>
      <c r="D2923" t="s">
        <v>110</v>
      </c>
      <c r="E2923" s="1">
        <v>44178</v>
      </c>
      <c r="F2923">
        <v>2</v>
      </c>
      <c r="G2923" t="s">
        <v>20</v>
      </c>
      <c r="H2923" t="s">
        <v>21</v>
      </c>
      <c r="I2923" s="3">
        <v>1064</v>
      </c>
      <c r="J2923" s="3">
        <v>1064</v>
      </c>
      <c r="K2923" s="3">
        <v>387</v>
      </c>
      <c r="L2923" t="s">
        <v>98</v>
      </c>
      <c r="M2923">
        <v>4</v>
      </c>
      <c r="N2923" t="s">
        <v>82</v>
      </c>
      <c r="O2923" t="s">
        <v>81</v>
      </c>
      <c r="P2923" t="s">
        <v>71</v>
      </c>
      <c r="Q2923" t="s">
        <v>72</v>
      </c>
      <c r="R2923" t="s">
        <v>139</v>
      </c>
      <c r="S2923" t="s">
        <v>144</v>
      </c>
      <c r="T2923" s="2">
        <f>MASTER[[#This Row],[CANTIDAD]]*MASTER[[#This Row],[PRECIO DE VENTA]]</f>
        <v>2128</v>
      </c>
      <c r="U2923" s="2">
        <f>MASTER[[#This Row],[CANTIDAD]]*MASTER[[#This Row],[COSTO UNITARIO]]</f>
        <v>774</v>
      </c>
      <c r="V2923" s="2">
        <f>MASTER[[#This Row],[MONTO VENDIDO]]-MASTER[[#This Row],[COSTO DE VENTA]]</f>
        <v>1354</v>
      </c>
    </row>
    <row r="2924" spans="1:22" x14ac:dyDescent="0.3">
      <c r="A2924">
        <v>47772</v>
      </c>
      <c r="B2924">
        <v>1</v>
      </c>
      <c r="C2924" t="s">
        <v>90</v>
      </c>
      <c r="D2924" t="s">
        <v>91</v>
      </c>
      <c r="E2924" s="1">
        <v>44178</v>
      </c>
      <c r="F2924">
        <v>1</v>
      </c>
      <c r="G2924" t="s">
        <v>24</v>
      </c>
      <c r="H2924" t="s">
        <v>25</v>
      </c>
      <c r="I2924" s="3">
        <v>1660</v>
      </c>
      <c r="J2924" s="3">
        <v>1660</v>
      </c>
      <c r="K2924" s="3">
        <v>420</v>
      </c>
      <c r="L2924" t="s">
        <v>9</v>
      </c>
      <c r="M2924">
        <v>11</v>
      </c>
      <c r="N2924" t="s">
        <v>10</v>
      </c>
      <c r="O2924" t="s">
        <v>11</v>
      </c>
      <c r="P2924" t="s">
        <v>12</v>
      </c>
      <c r="Q2924" t="s">
        <v>13</v>
      </c>
      <c r="R2924" t="s">
        <v>13</v>
      </c>
      <c r="S2924" t="s">
        <v>144</v>
      </c>
      <c r="T2924" s="2">
        <f>MASTER[[#This Row],[CANTIDAD]]*MASTER[[#This Row],[PRECIO DE VENTA]]</f>
        <v>1660</v>
      </c>
      <c r="U2924" s="2">
        <f>MASTER[[#This Row],[CANTIDAD]]*MASTER[[#This Row],[COSTO UNITARIO]]</f>
        <v>420</v>
      </c>
      <c r="V2924" s="2">
        <f>MASTER[[#This Row],[MONTO VENDIDO]]-MASTER[[#This Row],[COSTO DE VENTA]]</f>
        <v>1240</v>
      </c>
    </row>
    <row r="2925" spans="1:22" x14ac:dyDescent="0.3">
      <c r="A2925">
        <v>47794</v>
      </c>
      <c r="B2925">
        <v>2</v>
      </c>
      <c r="C2925" t="s">
        <v>103</v>
      </c>
      <c r="D2925" t="s">
        <v>104</v>
      </c>
      <c r="E2925" s="1">
        <v>44178</v>
      </c>
      <c r="F2925">
        <v>1</v>
      </c>
      <c r="G2925" t="s">
        <v>33</v>
      </c>
      <c r="H2925" t="s">
        <v>34</v>
      </c>
      <c r="I2925" s="3">
        <v>1830</v>
      </c>
      <c r="J2925" s="3">
        <v>1830</v>
      </c>
      <c r="K2925" s="3">
        <v>421</v>
      </c>
      <c r="L2925" t="s">
        <v>98</v>
      </c>
      <c r="M2925">
        <v>1</v>
      </c>
      <c r="N2925" t="s">
        <v>77</v>
      </c>
      <c r="O2925" t="s">
        <v>70</v>
      </c>
      <c r="P2925" t="s">
        <v>71</v>
      </c>
      <c r="Q2925" t="s">
        <v>72</v>
      </c>
      <c r="R2925" t="s">
        <v>139</v>
      </c>
      <c r="S2925" t="s">
        <v>144</v>
      </c>
      <c r="T2925" s="2">
        <f>MASTER[[#This Row],[CANTIDAD]]*MASTER[[#This Row],[PRECIO DE VENTA]]</f>
        <v>1830</v>
      </c>
      <c r="U2925" s="2">
        <f>MASTER[[#This Row],[CANTIDAD]]*MASTER[[#This Row],[COSTO UNITARIO]]</f>
        <v>421</v>
      </c>
      <c r="V2925" s="2">
        <f>MASTER[[#This Row],[MONTO VENDIDO]]-MASTER[[#This Row],[COSTO DE VENTA]]</f>
        <v>1409</v>
      </c>
    </row>
    <row r="2926" spans="1:22" x14ac:dyDescent="0.3">
      <c r="A2926">
        <v>47794</v>
      </c>
      <c r="B2926">
        <v>1</v>
      </c>
      <c r="C2926" t="s">
        <v>116</v>
      </c>
      <c r="D2926" t="s">
        <v>117</v>
      </c>
      <c r="E2926" s="1">
        <v>44178</v>
      </c>
      <c r="F2926">
        <v>1</v>
      </c>
      <c r="G2926" t="s">
        <v>22</v>
      </c>
      <c r="H2926" t="s">
        <v>23</v>
      </c>
      <c r="I2926" s="3">
        <v>1999</v>
      </c>
      <c r="J2926" s="3">
        <v>1999</v>
      </c>
      <c r="K2926" s="3">
        <v>388</v>
      </c>
      <c r="L2926" t="s">
        <v>113</v>
      </c>
      <c r="M2926">
        <v>1</v>
      </c>
      <c r="N2926" t="s">
        <v>77</v>
      </c>
      <c r="O2926" t="s">
        <v>70</v>
      </c>
      <c r="P2926" t="s">
        <v>71</v>
      </c>
      <c r="Q2926" t="s">
        <v>72</v>
      </c>
      <c r="R2926" t="s">
        <v>139</v>
      </c>
      <c r="S2926" t="s">
        <v>144</v>
      </c>
      <c r="T2926" s="2">
        <f>MASTER[[#This Row],[CANTIDAD]]*MASTER[[#This Row],[PRECIO DE VENTA]]</f>
        <v>1999</v>
      </c>
      <c r="U2926" s="2">
        <f>MASTER[[#This Row],[CANTIDAD]]*MASTER[[#This Row],[COSTO UNITARIO]]</f>
        <v>388</v>
      </c>
      <c r="V2926" s="2">
        <f>MASTER[[#This Row],[MONTO VENDIDO]]-MASTER[[#This Row],[COSTO DE VENTA]]</f>
        <v>1611</v>
      </c>
    </row>
    <row r="2927" spans="1:22" x14ac:dyDescent="0.3">
      <c r="A2927">
        <v>47821</v>
      </c>
      <c r="B2927">
        <v>1</v>
      </c>
      <c r="C2927" t="s">
        <v>118</v>
      </c>
      <c r="D2927" t="s">
        <v>119</v>
      </c>
      <c r="E2927" s="1">
        <v>44178</v>
      </c>
      <c r="F2927">
        <v>1</v>
      </c>
      <c r="G2927" t="s">
        <v>61</v>
      </c>
      <c r="H2927" t="s">
        <v>62</v>
      </c>
      <c r="I2927" s="3">
        <v>1026</v>
      </c>
      <c r="J2927" s="3">
        <v>1026</v>
      </c>
      <c r="K2927" s="3">
        <v>424</v>
      </c>
      <c r="L2927" t="s">
        <v>120</v>
      </c>
      <c r="M2927">
        <v>3</v>
      </c>
      <c r="N2927" t="s">
        <v>69</v>
      </c>
      <c r="O2927" t="s">
        <v>70</v>
      </c>
      <c r="P2927" t="s">
        <v>71</v>
      </c>
      <c r="Q2927" t="s">
        <v>72</v>
      </c>
      <c r="R2927" t="s">
        <v>139</v>
      </c>
      <c r="S2927" t="s">
        <v>144</v>
      </c>
      <c r="T2927" s="2">
        <f>MASTER[[#This Row],[CANTIDAD]]*MASTER[[#This Row],[PRECIO DE VENTA]]</f>
        <v>1026</v>
      </c>
      <c r="U2927" s="2">
        <f>MASTER[[#This Row],[CANTIDAD]]*MASTER[[#This Row],[COSTO UNITARIO]]</f>
        <v>424</v>
      </c>
      <c r="V2927" s="2">
        <f>MASTER[[#This Row],[MONTO VENDIDO]]-MASTER[[#This Row],[COSTO DE VENTA]]</f>
        <v>602</v>
      </c>
    </row>
    <row r="2928" spans="1:22" x14ac:dyDescent="0.3">
      <c r="A2928">
        <v>47843</v>
      </c>
      <c r="B2928">
        <v>1</v>
      </c>
      <c r="C2928" t="s">
        <v>109</v>
      </c>
      <c r="D2928" t="s">
        <v>110</v>
      </c>
      <c r="E2928" s="1">
        <v>44179</v>
      </c>
      <c r="F2928">
        <v>1</v>
      </c>
      <c r="G2928" t="s">
        <v>7</v>
      </c>
      <c r="H2928" t="s">
        <v>8</v>
      </c>
      <c r="I2928" s="3">
        <v>1128</v>
      </c>
      <c r="J2928" s="3">
        <v>1128</v>
      </c>
      <c r="K2928" s="3">
        <v>387</v>
      </c>
      <c r="L2928" t="s">
        <v>98</v>
      </c>
      <c r="M2928">
        <v>1</v>
      </c>
      <c r="N2928" t="s">
        <v>77</v>
      </c>
      <c r="O2928" t="s">
        <v>70</v>
      </c>
      <c r="P2928" t="s">
        <v>71</v>
      </c>
      <c r="Q2928" t="s">
        <v>72</v>
      </c>
      <c r="R2928" t="s">
        <v>139</v>
      </c>
      <c r="S2928" t="s">
        <v>144</v>
      </c>
      <c r="T2928" s="2">
        <f>MASTER[[#This Row],[CANTIDAD]]*MASTER[[#This Row],[PRECIO DE VENTA]]</f>
        <v>1128</v>
      </c>
      <c r="U2928" s="2">
        <f>MASTER[[#This Row],[CANTIDAD]]*MASTER[[#This Row],[COSTO UNITARIO]]</f>
        <v>387</v>
      </c>
      <c r="V2928" s="2">
        <f>MASTER[[#This Row],[MONTO VENDIDO]]-MASTER[[#This Row],[COSTO DE VENTA]]</f>
        <v>741</v>
      </c>
    </row>
    <row r="2929" spans="1:22" x14ac:dyDescent="0.3">
      <c r="A2929">
        <v>47853</v>
      </c>
      <c r="B2929">
        <v>1</v>
      </c>
      <c r="C2929" t="s">
        <v>90</v>
      </c>
      <c r="D2929" t="s">
        <v>91</v>
      </c>
      <c r="E2929" s="1">
        <v>44179</v>
      </c>
      <c r="F2929">
        <v>1</v>
      </c>
      <c r="G2929" t="s">
        <v>59</v>
      </c>
      <c r="H2929" t="s">
        <v>60</v>
      </c>
      <c r="I2929" s="3">
        <v>1844</v>
      </c>
      <c r="J2929" s="3">
        <v>1844</v>
      </c>
      <c r="K2929" s="3">
        <v>420</v>
      </c>
      <c r="L2929" t="s">
        <v>9</v>
      </c>
      <c r="M2929">
        <v>7</v>
      </c>
      <c r="N2929" t="s">
        <v>84</v>
      </c>
      <c r="O2929" t="s">
        <v>81</v>
      </c>
      <c r="P2929" t="s">
        <v>12</v>
      </c>
      <c r="Q2929" t="s">
        <v>13</v>
      </c>
      <c r="R2929" t="s">
        <v>13</v>
      </c>
      <c r="S2929" t="s">
        <v>144</v>
      </c>
      <c r="T2929" s="2">
        <f>MASTER[[#This Row],[CANTIDAD]]*MASTER[[#This Row],[PRECIO DE VENTA]]</f>
        <v>1844</v>
      </c>
      <c r="U2929" s="2">
        <f>MASTER[[#This Row],[CANTIDAD]]*MASTER[[#This Row],[COSTO UNITARIO]]</f>
        <v>420</v>
      </c>
      <c r="V2929" s="2">
        <f>MASTER[[#This Row],[MONTO VENDIDO]]-MASTER[[#This Row],[COSTO DE VENTA]]</f>
        <v>1424</v>
      </c>
    </row>
    <row r="2930" spans="1:22" x14ac:dyDescent="0.3">
      <c r="A2930">
        <v>47860</v>
      </c>
      <c r="B2930">
        <v>1</v>
      </c>
      <c r="C2930" t="s">
        <v>111</v>
      </c>
      <c r="D2930" t="s">
        <v>112</v>
      </c>
      <c r="E2930" s="1">
        <v>44179</v>
      </c>
      <c r="F2930">
        <v>1</v>
      </c>
      <c r="G2930" t="s">
        <v>33</v>
      </c>
      <c r="H2930" t="s">
        <v>34</v>
      </c>
      <c r="I2930" s="3">
        <v>1621</v>
      </c>
      <c r="J2930" s="3">
        <v>1621</v>
      </c>
      <c r="K2930" s="3">
        <v>434</v>
      </c>
      <c r="L2930" t="s">
        <v>113</v>
      </c>
      <c r="M2930">
        <v>10</v>
      </c>
      <c r="N2930" t="s">
        <v>83</v>
      </c>
      <c r="O2930" t="s">
        <v>81</v>
      </c>
      <c r="P2930" t="s">
        <v>12</v>
      </c>
      <c r="Q2930" t="s">
        <v>13</v>
      </c>
      <c r="R2930" t="s">
        <v>13</v>
      </c>
      <c r="S2930" t="s">
        <v>144</v>
      </c>
      <c r="T2930" s="2">
        <f>MASTER[[#This Row],[CANTIDAD]]*MASTER[[#This Row],[PRECIO DE VENTA]]</f>
        <v>1621</v>
      </c>
      <c r="U2930" s="2">
        <f>MASTER[[#This Row],[CANTIDAD]]*MASTER[[#This Row],[COSTO UNITARIO]]</f>
        <v>434</v>
      </c>
      <c r="V2930" s="2">
        <f>MASTER[[#This Row],[MONTO VENDIDO]]-MASTER[[#This Row],[COSTO DE VENTA]]</f>
        <v>1187</v>
      </c>
    </row>
    <row r="2931" spans="1:22" x14ac:dyDescent="0.3">
      <c r="A2931">
        <v>47985</v>
      </c>
      <c r="B2931">
        <v>1</v>
      </c>
      <c r="C2931" t="s">
        <v>103</v>
      </c>
      <c r="D2931" t="s">
        <v>104</v>
      </c>
      <c r="E2931" s="1">
        <v>44179</v>
      </c>
      <c r="F2931">
        <v>1</v>
      </c>
      <c r="G2931" t="s">
        <v>33</v>
      </c>
      <c r="H2931" t="s">
        <v>34</v>
      </c>
      <c r="I2931" s="3">
        <v>1448</v>
      </c>
      <c r="J2931" s="3">
        <v>1448</v>
      </c>
      <c r="K2931" s="3">
        <v>421</v>
      </c>
      <c r="L2931" t="s">
        <v>98</v>
      </c>
      <c r="M2931">
        <v>12</v>
      </c>
      <c r="N2931" t="s">
        <v>26</v>
      </c>
      <c r="O2931" t="s">
        <v>11</v>
      </c>
      <c r="P2931" t="s">
        <v>12</v>
      </c>
      <c r="Q2931" t="s">
        <v>13</v>
      </c>
      <c r="R2931" t="s">
        <v>13</v>
      </c>
      <c r="S2931" t="s">
        <v>144</v>
      </c>
      <c r="T2931" s="2">
        <f>MASTER[[#This Row],[CANTIDAD]]*MASTER[[#This Row],[PRECIO DE VENTA]]</f>
        <v>1448</v>
      </c>
      <c r="U2931" s="2">
        <f>MASTER[[#This Row],[CANTIDAD]]*MASTER[[#This Row],[COSTO UNITARIO]]</f>
        <v>421</v>
      </c>
      <c r="V2931" s="2">
        <f>MASTER[[#This Row],[MONTO VENDIDO]]-MASTER[[#This Row],[COSTO DE VENTA]]</f>
        <v>1027</v>
      </c>
    </row>
    <row r="2932" spans="1:22" x14ac:dyDescent="0.3">
      <c r="A2932">
        <v>48002</v>
      </c>
      <c r="B2932">
        <v>1</v>
      </c>
      <c r="C2932" t="s">
        <v>5</v>
      </c>
      <c r="D2932" t="s">
        <v>6</v>
      </c>
      <c r="E2932" s="1">
        <v>44179</v>
      </c>
      <c r="F2932">
        <v>1</v>
      </c>
      <c r="G2932" t="s">
        <v>41</v>
      </c>
      <c r="H2932" t="s">
        <v>42</v>
      </c>
      <c r="I2932" s="3">
        <v>1507</v>
      </c>
      <c r="J2932" s="3">
        <v>1507</v>
      </c>
      <c r="K2932" s="3">
        <v>393</v>
      </c>
      <c r="L2932" t="s">
        <v>9</v>
      </c>
      <c r="M2932">
        <v>4</v>
      </c>
      <c r="N2932" t="s">
        <v>82</v>
      </c>
      <c r="O2932" t="s">
        <v>81</v>
      </c>
      <c r="P2932" t="s">
        <v>71</v>
      </c>
      <c r="Q2932" t="s">
        <v>72</v>
      </c>
      <c r="R2932" t="s">
        <v>139</v>
      </c>
      <c r="S2932" t="s">
        <v>144</v>
      </c>
      <c r="T2932" s="2">
        <f>MASTER[[#This Row],[CANTIDAD]]*MASTER[[#This Row],[PRECIO DE VENTA]]</f>
        <v>1507</v>
      </c>
      <c r="U2932" s="2">
        <f>MASTER[[#This Row],[CANTIDAD]]*MASTER[[#This Row],[COSTO UNITARIO]]</f>
        <v>393</v>
      </c>
      <c r="V2932" s="2">
        <f>MASTER[[#This Row],[MONTO VENDIDO]]-MASTER[[#This Row],[COSTO DE VENTA]]</f>
        <v>1114</v>
      </c>
    </row>
    <row r="2933" spans="1:22" x14ac:dyDescent="0.3">
      <c r="A2933">
        <v>48003</v>
      </c>
      <c r="B2933">
        <v>1</v>
      </c>
      <c r="C2933" t="s">
        <v>114</v>
      </c>
      <c r="D2933" t="s">
        <v>115</v>
      </c>
      <c r="E2933" s="1">
        <v>44179</v>
      </c>
      <c r="F2933">
        <v>1</v>
      </c>
      <c r="G2933" t="s">
        <v>33</v>
      </c>
      <c r="H2933" t="s">
        <v>34</v>
      </c>
      <c r="I2933" s="3">
        <v>1583</v>
      </c>
      <c r="J2933" s="3">
        <v>1583</v>
      </c>
      <c r="K2933" s="3">
        <v>394</v>
      </c>
      <c r="L2933" t="s">
        <v>113</v>
      </c>
      <c r="M2933">
        <v>16</v>
      </c>
      <c r="N2933" t="s">
        <v>17</v>
      </c>
      <c r="O2933" t="s">
        <v>11</v>
      </c>
      <c r="P2933" t="s">
        <v>18</v>
      </c>
      <c r="Q2933" t="s">
        <v>19</v>
      </c>
      <c r="R2933" t="s">
        <v>138</v>
      </c>
      <c r="S2933" t="s">
        <v>144</v>
      </c>
      <c r="T2933" s="2">
        <f>MASTER[[#This Row],[CANTIDAD]]*MASTER[[#This Row],[PRECIO DE VENTA]]</f>
        <v>1583</v>
      </c>
      <c r="U2933" s="2">
        <f>MASTER[[#This Row],[CANTIDAD]]*MASTER[[#This Row],[COSTO UNITARIO]]</f>
        <v>394</v>
      </c>
      <c r="V2933" s="2">
        <f>MASTER[[#This Row],[MONTO VENDIDO]]-MASTER[[#This Row],[COSTO DE VENTA]]</f>
        <v>1189</v>
      </c>
    </row>
    <row r="2934" spans="1:22" x14ac:dyDescent="0.3">
      <c r="A2934">
        <v>48054</v>
      </c>
      <c r="B2934">
        <v>1</v>
      </c>
      <c r="C2934" t="s">
        <v>90</v>
      </c>
      <c r="D2934" t="s">
        <v>91</v>
      </c>
      <c r="E2934" s="1">
        <v>44179</v>
      </c>
      <c r="F2934">
        <v>1</v>
      </c>
      <c r="G2934" t="s">
        <v>57</v>
      </c>
      <c r="H2934" t="s">
        <v>58</v>
      </c>
      <c r="I2934" s="3">
        <v>2102</v>
      </c>
      <c r="J2934" s="3">
        <v>2102</v>
      </c>
      <c r="K2934" s="3">
        <v>420</v>
      </c>
      <c r="L2934" t="s">
        <v>9</v>
      </c>
      <c r="M2934">
        <v>18</v>
      </c>
      <c r="N2934" t="s">
        <v>79</v>
      </c>
      <c r="O2934" t="s">
        <v>70</v>
      </c>
      <c r="P2934" t="s">
        <v>15</v>
      </c>
      <c r="Q2934" t="s">
        <v>16</v>
      </c>
      <c r="R2934" t="s">
        <v>16</v>
      </c>
      <c r="S2934" t="s">
        <v>144</v>
      </c>
      <c r="T2934" s="2">
        <f>MASTER[[#This Row],[CANTIDAD]]*MASTER[[#This Row],[PRECIO DE VENTA]]</f>
        <v>2102</v>
      </c>
      <c r="U2934" s="2">
        <f>MASTER[[#This Row],[CANTIDAD]]*MASTER[[#This Row],[COSTO UNITARIO]]</f>
        <v>420</v>
      </c>
      <c r="V2934" s="2">
        <f>MASTER[[#This Row],[MONTO VENDIDO]]-MASTER[[#This Row],[COSTO DE VENTA]]</f>
        <v>1682</v>
      </c>
    </row>
    <row r="2935" spans="1:22" x14ac:dyDescent="0.3">
      <c r="A2935">
        <v>48072</v>
      </c>
      <c r="B2935">
        <v>1</v>
      </c>
      <c r="C2935" t="s">
        <v>118</v>
      </c>
      <c r="D2935" t="s">
        <v>119</v>
      </c>
      <c r="E2935" s="1">
        <v>44179</v>
      </c>
      <c r="F2935">
        <v>1</v>
      </c>
      <c r="G2935" t="s">
        <v>59</v>
      </c>
      <c r="H2935" t="s">
        <v>60</v>
      </c>
      <c r="I2935" s="3">
        <v>900</v>
      </c>
      <c r="J2935" s="3">
        <v>900</v>
      </c>
      <c r="K2935" s="3">
        <v>424</v>
      </c>
      <c r="L2935" t="s">
        <v>120</v>
      </c>
      <c r="M2935">
        <v>5</v>
      </c>
      <c r="N2935" t="s">
        <v>85</v>
      </c>
      <c r="O2935" t="s">
        <v>81</v>
      </c>
      <c r="P2935" t="s">
        <v>12</v>
      </c>
      <c r="Q2935" t="s">
        <v>13</v>
      </c>
      <c r="R2935" t="s">
        <v>13</v>
      </c>
      <c r="S2935" t="s">
        <v>144</v>
      </c>
      <c r="T2935" s="2">
        <f>MASTER[[#This Row],[CANTIDAD]]*MASTER[[#This Row],[PRECIO DE VENTA]]</f>
        <v>900</v>
      </c>
      <c r="U2935" s="2">
        <f>MASTER[[#This Row],[CANTIDAD]]*MASTER[[#This Row],[COSTO UNITARIO]]</f>
        <v>424</v>
      </c>
      <c r="V2935" s="2">
        <f>MASTER[[#This Row],[MONTO VENDIDO]]-MASTER[[#This Row],[COSTO DE VENTA]]</f>
        <v>476</v>
      </c>
    </row>
    <row r="2936" spans="1:22" x14ac:dyDescent="0.3">
      <c r="A2936">
        <v>48073</v>
      </c>
      <c r="B2936">
        <v>1</v>
      </c>
      <c r="C2936" t="s">
        <v>94</v>
      </c>
      <c r="D2936" t="s">
        <v>95</v>
      </c>
      <c r="E2936" s="1">
        <v>44180</v>
      </c>
      <c r="F2936">
        <v>1</v>
      </c>
      <c r="G2936" t="s">
        <v>37</v>
      </c>
      <c r="H2936" t="s">
        <v>38</v>
      </c>
      <c r="I2936" s="3">
        <v>1048</v>
      </c>
      <c r="J2936" s="3">
        <v>964</v>
      </c>
      <c r="K2936" s="3">
        <v>392</v>
      </c>
      <c r="L2936" t="s">
        <v>9</v>
      </c>
      <c r="M2936">
        <v>7</v>
      </c>
      <c r="N2936" t="s">
        <v>84</v>
      </c>
      <c r="O2936" t="s">
        <v>81</v>
      </c>
      <c r="P2936" t="s">
        <v>12</v>
      </c>
      <c r="Q2936" t="s">
        <v>13</v>
      </c>
      <c r="R2936" t="s">
        <v>13</v>
      </c>
      <c r="S2936" t="s">
        <v>144</v>
      </c>
      <c r="T2936" s="2">
        <f>MASTER[[#This Row],[CANTIDAD]]*MASTER[[#This Row],[PRECIO DE VENTA]]</f>
        <v>964</v>
      </c>
      <c r="U2936" s="2">
        <f>MASTER[[#This Row],[CANTIDAD]]*MASTER[[#This Row],[COSTO UNITARIO]]</f>
        <v>392</v>
      </c>
      <c r="V2936" s="2">
        <f>MASTER[[#This Row],[MONTO VENDIDO]]-MASTER[[#This Row],[COSTO DE VENTA]]</f>
        <v>572</v>
      </c>
    </row>
    <row r="2937" spans="1:22" x14ac:dyDescent="0.3">
      <c r="A2937">
        <v>48089</v>
      </c>
      <c r="B2937">
        <v>1</v>
      </c>
      <c r="C2937" t="s">
        <v>90</v>
      </c>
      <c r="D2937" t="s">
        <v>91</v>
      </c>
      <c r="E2937" s="1">
        <v>44180</v>
      </c>
      <c r="F2937">
        <v>1</v>
      </c>
      <c r="G2937" t="s">
        <v>53</v>
      </c>
      <c r="H2937" t="s">
        <v>54</v>
      </c>
      <c r="I2937" s="3">
        <v>1844</v>
      </c>
      <c r="J2937" s="3">
        <v>1844</v>
      </c>
      <c r="K2937" s="3">
        <v>420</v>
      </c>
      <c r="L2937" t="s">
        <v>9</v>
      </c>
      <c r="M2937">
        <v>2</v>
      </c>
      <c r="N2937" t="s">
        <v>86</v>
      </c>
      <c r="O2937" t="s">
        <v>81</v>
      </c>
      <c r="P2937" t="s">
        <v>71</v>
      </c>
      <c r="Q2937" t="s">
        <v>72</v>
      </c>
      <c r="R2937" t="s">
        <v>139</v>
      </c>
      <c r="S2937" t="s">
        <v>144</v>
      </c>
      <c r="T2937" s="2">
        <f>MASTER[[#This Row],[CANTIDAD]]*MASTER[[#This Row],[PRECIO DE VENTA]]</f>
        <v>1844</v>
      </c>
      <c r="U2937" s="2">
        <f>MASTER[[#This Row],[CANTIDAD]]*MASTER[[#This Row],[COSTO UNITARIO]]</f>
        <v>420</v>
      </c>
      <c r="V2937" s="2">
        <f>MASTER[[#This Row],[MONTO VENDIDO]]-MASTER[[#This Row],[COSTO DE VENTA]]</f>
        <v>1424</v>
      </c>
    </row>
    <row r="2938" spans="1:22" x14ac:dyDescent="0.3">
      <c r="A2938">
        <v>48092</v>
      </c>
      <c r="B2938">
        <v>1</v>
      </c>
      <c r="C2938" t="s">
        <v>101</v>
      </c>
      <c r="D2938" t="s">
        <v>102</v>
      </c>
      <c r="E2938" s="1">
        <v>44180</v>
      </c>
      <c r="F2938">
        <v>1</v>
      </c>
      <c r="G2938" t="s">
        <v>65</v>
      </c>
      <c r="H2938" t="s">
        <v>66</v>
      </c>
      <c r="I2938" s="3">
        <v>1357</v>
      </c>
      <c r="J2938" s="3">
        <v>1357</v>
      </c>
      <c r="K2938" s="3">
        <v>442</v>
      </c>
      <c r="L2938" t="s">
        <v>98</v>
      </c>
      <c r="M2938">
        <v>9</v>
      </c>
      <c r="N2938" t="s">
        <v>76</v>
      </c>
      <c r="O2938" t="s">
        <v>70</v>
      </c>
      <c r="P2938" t="s">
        <v>12</v>
      </c>
      <c r="Q2938" t="s">
        <v>13</v>
      </c>
      <c r="R2938" t="s">
        <v>13</v>
      </c>
      <c r="S2938" t="s">
        <v>144</v>
      </c>
      <c r="T2938" s="2">
        <f>MASTER[[#This Row],[CANTIDAD]]*MASTER[[#This Row],[PRECIO DE VENTA]]</f>
        <v>1357</v>
      </c>
      <c r="U2938" s="2">
        <f>MASTER[[#This Row],[CANTIDAD]]*MASTER[[#This Row],[COSTO UNITARIO]]</f>
        <v>442</v>
      </c>
      <c r="V2938" s="2">
        <f>MASTER[[#This Row],[MONTO VENDIDO]]-MASTER[[#This Row],[COSTO DE VENTA]]</f>
        <v>915</v>
      </c>
    </row>
    <row r="2939" spans="1:22" x14ac:dyDescent="0.3">
      <c r="A2939">
        <v>48097</v>
      </c>
      <c r="B2939">
        <v>1</v>
      </c>
      <c r="C2939" t="s">
        <v>121</v>
      </c>
      <c r="D2939" t="s">
        <v>122</v>
      </c>
      <c r="E2939" s="1">
        <v>44180</v>
      </c>
      <c r="F2939">
        <v>1</v>
      </c>
      <c r="G2939" t="s">
        <v>27</v>
      </c>
      <c r="H2939" t="s">
        <v>28</v>
      </c>
      <c r="I2939" s="3">
        <v>941</v>
      </c>
      <c r="J2939" s="3">
        <v>941</v>
      </c>
      <c r="K2939" s="3">
        <v>460</v>
      </c>
      <c r="L2939" t="s">
        <v>120</v>
      </c>
      <c r="M2939">
        <v>12</v>
      </c>
      <c r="N2939" t="s">
        <v>26</v>
      </c>
      <c r="O2939" t="s">
        <v>11</v>
      </c>
      <c r="P2939" t="s">
        <v>12</v>
      </c>
      <c r="Q2939" t="s">
        <v>13</v>
      </c>
      <c r="R2939" t="s">
        <v>13</v>
      </c>
      <c r="S2939" t="s">
        <v>144</v>
      </c>
      <c r="T2939" s="2">
        <f>MASTER[[#This Row],[CANTIDAD]]*MASTER[[#This Row],[PRECIO DE VENTA]]</f>
        <v>941</v>
      </c>
      <c r="U2939" s="2">
        <f>MASTER[[#This Row],[CANTIDAD]]*MASTER[[#This Row],[COSTO UNITARIO]]</f>
        <v>460</v>
      </c>
      <c r="V2939" s="2">
        <f>MASTER[[#This Row],[MONTO VENDIDO]]-MASTER[[#This Row],[COSTO DE VENTA]]</f>
        <v>481</v>
      </c>
    </row>
    <row r="2940" spans="1:22" x14ac:dyDescent="0.3">
      <c r="A2940">
        <v>48100</v>
      </c>
      <c r="B2940">
        <v>1</v>
      </c>
      <c r="C2940" t="s">
        <v>101</v>
      </c>
      <c r="D2940" t="s">
        <v>102</v>
      </c>
      <c r="E2940" s="1">
        <v>44180</v>
      </c>
      <c r="F2940">
        <v>1</v>
      </c>
      <c r="G2940" t="s">
        <v>67</v>
      </c>
      <c r="H2940" t="s">
        <v>68</v>
      </c>
      <c r="I2940" s="3">
        <v>1212</v>
      </c>
      <c r="J2940" s="3">
        <v>1212</v>
      </c>
      <c r="K2940" s="3">
        <v>442</v>
      </c>
      <c r="L2940" t="s">
        <v>98</v>
      </c>
      <c r="M2940">
        <v>8</v>
      </c>
      <c r="N2940" t="s">
        <v>80</v>
      </c>
      <c r="O2940" t="s">
        <v>81</v>
      </c>
      <c r="P2940" t="s">
        <v>12</v>
      </c>
      <c r="Q2940" t="s">
        <v>13</v>
      </c>
      <c r="R2940" t="s">
        <v>13</v>
      </c>
      <c r="S2940" t="s">
        <v>144</v>
      </c>
      <c r="T2940" s="2">
        <f>MASTER[[#This Row],[CANTIDAD]]*MASTER[[#This Row],[PRECIO DE VENTA]]</f>
        <v>1212</v>
      </c>
      <c r="U2940" s="2">
        <f>MASTER[[#This Row],[CANTIDAD]]*MASTER[[#This Row],[COSTO UNITARIO]]</f>
        <v>442</v>
      </c>
      <c r="V2940" s="2">
        <f>MASTER[[#This Row],[MONTO VENDIDO]]-MASTER[[#This Row],[COSTO DE VENTA]]</f>
        <v>770</v>
      </c>
    </row>
    <row r="2941" spans="1:22" x14ac:dyDescent="0.3">
      <c r="A2941">
        <v>48109</v>
      </c>
      <c r="B2941">
        <v>1</v>
      </c>
      <c r="C2941" t="s">
        <v>109</v>
      </c>
      <c r="D2941" t="s">
        <v>110</v>
      </c>
      <c r="E2941" s="1">
        <v>44180</v>
      </c>
      <c r="F2941">
        <v>1</v>
      </c>
      <c r="G2941" t="s">
        <v>20</v>
      </c>
      <c r="H2941" t="s">
        <v>21</v>
      </c>
      <c r="I2941" s="3">
        <v>1128</v>
      </c>
      <c r="J2941" s="3">
        <v>1128</v>
      </c>
      <c r="K2941" s="3">
        <v>387</v>
      </c>
      <c r="L2941" t="s">
        <v>98</v>
      </c>
      <c r="M2941">
        <v>3</v>
      </c>
      <c r="N2941" t="s">
        <v>69</v>
      </c>
      <c r="O2941" t="s">
        <v>70</v>
      </c>
      <c r="P2941" t="s">
        <v>71</v>
      </c>
      <c r="Q2941" t="s">
        <v>72</v>
      </c>
      <c r="R2941" t="s">
        <v>139</v>
      </c>
      <c r="S2941" t="s">
        <v>144</v>
      </c>
      <c r="T2941" s="2">
        <f>MASTER[[#This Row],[CANTIDAD]]*MASTER[[#This Row],[PRECIO DE VENTA]]</f>
        <v>1128</v>
      </c>
      <c r="U2941" s="2">
        <f>MASTER[[#This Row],[CANTIDAD]]*MASTER[[#This Row],[COSTO UNITARIO]]</f>
        <v>387</v>
      </c>
      <c r="V2941" s="2">
        <f>MASTER[[#This Row],[MONTO VENDIDO]]-MASTER[[#This Row],[COSTO DE VENTA]]</f>
        <v>741</v>
      </c>
    </row>
    <row r="2942" spans="1:22" x14ac:dyDescent="0.3">
      <c r="A2942">
        <v>48112</v>
      </c>
      <c r="B2942">
        <v>1</v>
      </c>
      <c r="C2942" t="s">
        <v>5</v>
      </c>
      <c r="D2942" t="s">
        <v>6</v>
      </c>
      <c r="E2942" s="1">
        <v>44180</v>
      </c>
      <c r="F2942">
        <v>1</v>
      </c>
      <c r="G2942" t="s">
        <v>57</v>
      </c>
      <c r="H2942" t="s">
        <v>58</v>
      </c>
      <c r="I2942" s="3">
        <v>1507</v>
      </c>
      <c r="J2942" s="3">
        <v>1507</v>
      </c>
      <c r="K2942" s="3">
        <v>393</v>
      </c>
      <c r="L2942" t="s">
        <v>9</v>
      </c>
      <c r="M2942">
        <v>19</v>
      </c>
      <c r="N2942" t="s">
        <v>89</v>
      </c>
      <c r="O2942" t="s">
        <v>81</v>
      </c>
      <c r="P2942" t="s">
        <v>15</v>
      </c>
      <c r="Q2942" t="s">
        <v>16</v>
      </c>
      <c r="R2942" t="s">
        <v>16</v>
      </c>
      <c r="S2942" t="s">
        <v>144</v>
      </c>
      <c r="T2942" s="2">
        <f>MASTER[[#This Row],[CANTIDAD]]*MASTER[[#This Row],[PRECIO DE VENTA]]</f>
        <v>1507</v>
      </c>
      <c r="U2942" s="2">
        <f>MASTER[[#This Row],[CANTIDAD]]*MASTER[[#This Row],[COSTO UNITARIO]]</f>
        <v>393</v>
      </c>
      <c r="V2942" s="2">
        <f>MASTER[[#This Row],[MONTO VENDIDO]]-MASTER[[#This Row],[COSTO DE VENTA]]</f>
        <v>1114</v>
      </c>
    </row>
    <row r="2943" spans="1:22" x14ac:dyDescent="0.3">
      <c r="A2943">
        <v>48116</v>
      </c>
      <c r="B2943">
        <v>1</v>
      </c>
      <c r="C2943" t="s">
        <v>118</v>
      </c>
      <c r="D2943" t="s">
        <v>119</v>
      </c>
      <c r="E2943" s="1">
        <v>44180</v>
      </c>
      <c r="F2943">
        <v>1</v>
      </c>
      <c r="G2943" t="s">
        <v>65</v>
      </c>
      <c r="H2943" t="s">
        <v>66</v>
      </c>
      <c r="I2943" s="3">
        <v>801</v>
      </c>
      <c r="J2943" s="3">
        <v>801</v>
      </c>
      <c r="K2943" s="3">
        <v>424</v>
      </c>
      <c r="L2943" t="s">
        <v>120</v>
      </c>
      <c r="M2943">
        <v>11</v>
      </c>
      <c r="N2943" t="s">
        <v>10</v>
      </c>
      <c r="O2943" t="s">
        <v>11</v>
      </c>
      <c r="P2943" t="s">
        <v>12</v>
      </c>
      <c r="Q2943" t="s">
        <v>13</v>
      </c>
      <c r="R2943" t="s">
        <v>13</v>
      </c>
      <c r="S2943" t="s">
        <v>144</v>
      </c>
      <c r="T2943" s="2">
        <f>MASTER[[#This Row],[CANTIDAD]]*MASTER[[#This Row],[PRECIO DE VENTA]]</f>
        <v>801</v>
      </c>
      <c r="U2943" s="2">
        <f>MASTER[[#This Row],[CANTIDAD]]*MASTER[[#This Row],[COSTO UNITARIO]]</f>
        <v>424</v>
      </c>
      <c r="V2943" s="2">
        <f>MASTER[[#This Row],[MONTO VENDIDO]]-MASTER[[#This Row],[COSTO DE VENTA]]</f>
        <v>377</v>
      </c>
    </row>
    <row r="2944" spans="1:22" x14ac:dyDescent="0.3">
      <c r="A2944">
        <v>48124</v>
      </c>
      <c r="B2944">
        <v>1</v>
      </c>
      <c r="C2944" t="s">
        <v>99</v>
      </c>
      <c r="D2944" t="s">
        <v>100</v>
      </c>
      <c r="E2944" s="1">
        <v>44180</v>
      </c>
      <c r="F2944">
        <v>1</v>
      </c>
      <c r="G2944" t="s">
        <v>47</v>
      </c>
      <c r="H2944" t="s">
        <v>48</v>
      </c>
      <c r="I2944" s="3">
        <v>1459</v>
      </c>
      <c r="J2944" s="3">
        <v>1459</v>
      </c>
      <c r="K2944" s="3">
        <v>386</v>
      </c>
      <c r="L2944" t="s">
        <v>98</v>
      </c>
      <c r="M2944">
        <v>7</v>
      </c>
      <c r="N2944" t="s">
        <v>84</v>
      </c>
      <c r="O2944" t="s">
        <v>81</v>
      </c>
      <c r="P2944" t="s">
        <v>12</v>
      </c>
      <c r="Q2944" t="s">
        <v>13</v>
      </c>
      <c r="R2944" t="s">
        <v>13</v>
      </c>
      <c r="S2944" t="s">
        <v>144</v>
      </c>
      <c r="T2944" s="2">
        <f>MASTER[[#This Row],[CANTIDAD]]*MASTER[[#This Row],[PRECIO DE VENTA]]</f>
        <v>1459</v>
      </c>
      <c r="U2944" s="2">
        <f>MASTER[[#This Row],[CANTIDAD]]*MASTER[[#This Row],[COSTO UNITARIO]]</f>
        <v>386</v>
      </c>
      <c r="V2944" s="2">
        <f>MASTER[[#This Row],[MONTO VENDIDO]]-MASTER[[#This Row],[COSTO DE VENTA]]</f>
        <v>1073</v>
      </c>
    </row>
    <row r="2945" spans="1:22" x14ac:dyDescent="0.3">
      <c r="A2945">
        <v>48137</v>
      </c>
      <c r="B2945">
        <v>1</v>
      </c>
      <c r="C2945" t="s">
        <v>96</v>
      </c>
      <c r="D2945" t="s">
        <v>97</v>
      </c>
      <c r="E2945" s="1">
        <v>44180</v>
      </c>
      <c r="F2945">
        <v>1</v>
      </c>
      <c r="G2945" t="s">
        <v>22</v>
      </c>
      <c r="H2945" t="s">
        <v>23</v>
      </c>
      <c r="I2945" s="3">
        <v>1272</v>
      </c>
      <c r="J2945" s="3">
        <v>1272</v>
      </c>
      <c r="K2945" s="3">
        <v>397</v>
      </c>
      <c r="L2945" t="s">
        <v>98</v>
      </c>
      <c r="M2945">
        <v>14</v>
      </c>
      <c r="N2945" t="s">
        <v>87</v>
      </c>
      <c r="O2945" t="s">
        <v>81</v>
      </c>
      <c r="P2945" t="s">
        <v>18</v>
      </c>
      <c r="Q2945" t="s">
        <v>19</v>
      </c>
      <c r="R2945" t="s">
        <v>138</v>
      </c>
      <c r="S2945" t="s">
        <v>144</v>
      </c>
      <c r="T2945" s="2">
        <f>MASTER[[#This Row],[CANTIDAD]]*MASTER[[#This Row],[PRECIO DE VENTA]]</f>
        <v>1272</v>
      </c>
      <c r="U2945" s="2">
        <f>MASTER[[#This Row],[CANTIDAD]]*MASTER[[#This Row],[COSTO UNITARIO]]</f>
        <v>397</v>
      </c>
      <c r="V2945" s="2">
        <f>MASTER[[#This Row],[MONTO VENDIDO]]-MASTER[[#This Row],[COSTO DE VENTA]]</f>
        <v>875</v>
      </c>
    </row>
    <row r="2946" spans="1:22" x14ac:dyDescent="0.3">
      <c r="A2946">
        <v>48146</v>
      </c>
      <c r="B2946">
        <v>1</v>
      </c>
      <c r="C2946" t="s">
        <v>116</v>
      </c>
      <c r="D2946" t="s">
        <v>117</v>
      </c>
      <c r="E2946" s="1">
        <v>44180</v>
      </c>
      <c r="F2946">
        <v>1</v>
      </c>
      <c r="G2946" t="s">
        <v>67</v>
      </c>
      <c r="H2946" t="s">
        <v>68</v>
      </c>
      <c r="I2946" s="3">
        <v>1738</v>
      </c>
      <c r="J2946" s="3">
        <v>1738</v>
      </c>
      <c r="K2946" s="3">
        <v>388</v>
      </c>
      <c r="L2946" t="s">
        <v>113</v>
      </c>
      <c r="M2946">
        <v>2</v>
      </c>
      <c r="N2946" t="s">
        <v>86</v>
      </c>
      <c r="O2946" t="s">
        <v>81</v>
      </c>
      <c r="P2946" t="s">
        <v>71</v>
      </c>
      <c r="Q2946" t="s">
        <v>72</v>
      </c>
      <c r="R2946" t="s">
        <v>139</v>
      </c>
      <c r="S2946" t="s">
        <v>144</v>
      </c>
      <c r="T2946" s="2">
        <f>MASTER[[#This Row],[CANTIDAD]]*MASTER[[#This Row],[PRECIO DE VENTA]]</f>
        <v>1738</v>
      </c>
      <c r="U2946" s="2">
        <f>MASTER[[#This Row],[CANTIDAD]]*MASTER[[#This Row],[COSTO UNITARIO]]</f>
        <v>388</v>
      </c>
      <c r="V2946" s="2">
        <f>MASTER[[#This Row],[MONTO VENDIDO]]-MASTER[[#This Row],[COSTO DE VENTA]]</f>
        <v>1350</v>
      </c>
    </row>
    <row r="2947" spans="1:22" x14ac:dyDescent="0.3">
      <c r="A2947">
        <v>48185</v>
      </c>
      <c r="B2947">
        <v>1</v>
      </c>
      <c r="C2947" t="s">
        <v>90</v>
      </c>
      <c r="D2947" t="s">
        <v>91</v>
      </c>
      <c r="E2947" s="1">
        <v>44180</v>
      </c>
      <c r="F2947">
        <v>1</v>
      </c>
      <c r="G2947" t="s">
        <v>33</v>
      </c>
      <c r="H2947" t="s">
        <v>34</v>
      </c>
      <c r="I2947" s="3">
        <v>1660</v>
      </c>
      <c r="J2947" s="3">
        <v>1660</v>
      </c>
      <c r="K2947" s="3">
        <v>420</v>
      </c>
      <c r="L2947" t="s">
        <v>9</v>
      </c>
      <c r="M2947">
        <v>16</v>
      </c>
      <c r="N2947" t="s">
        <v>17</v>
      </c>
      <c r="O2947" t="s">
        <v>11</v>
      </c>
      <c r="P2947" t="s">
        <v>18</v>
      </c>
      <c r="Q2947" t="s">
        <v>19</v>
      </c>
      <c r="R2947" t="s">
        <v>138</v>
      </c>
      <c r="S2947" t="s">
        <v>144</v>
      </c>
      <c r="T2947" s="2">
        <f>MASTER[[#This Row],[CANTIDAD]]*MASTER[[#This Row],[PRECIO DE VENTA]]</f>
        <v>1660</v>
      </c>
      <c r="U2947" s="2">
        <f>MASTER[[#This Row],[CANTIDAD]]*MASTER[[#This Row],[COSTO UNITARIO]]</f>
        <v>420</v>
      </c>
      <c r="V2947" s="2">
        <f>MASTER[[#This Row],[MONTO VENDIDO]]-MASTER[[#This Row],[COSTO DE VENTA]]</f>
        <v>1240</v>
      </c>
    </row>
    <row r="2948" spans="1:22" x14ac:dyDescent="0.3">
      <c r="A2948">
        <v>48211</v>
      </c>
      <c r="B2948">
        <v>1</v>
      </c>
      <c r="C2948" t="s">
        <v>101</v>
      </c>
      <c r="D2948" t="s">
        <v>102</v>
      </c>
      <c r="E2948" s="1">
        <v>44180</v>
      </c>
      <c r="F2948">
        <v>1</v>
      </c>
      <c r="G2948" t="s">
        <v>20</v>
      </c>
      <c r="H2948" t="s">
        <v>21</v>
      </c>
      <c r="I2948" s="3">
        <v>1212</v>
      </c>
      <c r="J2948" s="3">
        <v>1139</v>
      </c>
      <c r="K2948" s="3">
        <v>442</v>
      </c>
      <c r="L2948" t="s">
        <v>98</v>
      </c>
      <c r="M2948">
        <v>4</v>
      </c>
      <c r="N2948" t="s">
        <v>82</v>
      </c>
      <c r="O2948" t="s">
        <v>81</v>
      </c>
      <c r="P2948" t="s">
        <v>71</v>
      </c>
      <c r="Q2948" t="s">
        <v>72</v>
      </c>
      <c r="R2948" t="s">
        <v>139</v>
      </c>
      <c r="S2948" t="s">
        <v>144</v>
      </c>
      <c r="T2948" s="2">
        <f>MASTER[[#This Row],[CANTIDAD]]*MASTER[[#This Row],[PRECIO DE VENTA]]</f>
        <v>1139</v>
      </c>
      <c r="U2948" s="2">
        <f>MASTER[[#This Row],[CANTIDAD]]*MASTER[[#This Row],[COSTO UNITARIO]]</f>
        <v>442</v>
      </c>
      <c r="V2948" s="2">
        <f>MASTER[[#This Row],[MONTO VENDIDO]]-MASTER[[#This Row],[COSTO DE VENTA]]</f>
        <v>697</v>
      </c>
    </row>
    <row r="2949" spans="1:22" x14ac:dyDescent="0.3">
      <c r="A2949">
        <v>48213</v>
      </c>
      <c r="B2949">
        <v>1</v>
      </c>
      <c r="C2949" t="s">
        <v>116</v>
      </c>
      <c r="D2949" t="s">
        <v>117</v>
      </c>
      <c r="E2949" s="1">
        <v>44181</v>
      </c>
      <c r="F2949">
        <v>1</v>
      </c>
      <c r="G2949" t="s">
        <v>20</v>
      </c>
      <c r="H2949" t="s">
        <v>21</v>
      </c>
      <c r="I2949" s="3">
        <v>1529</v>
      </c>
      <c r="J2949" s="3">
        <v>1529</v>
      </c>
      <c r="K2949" s="3">
        <v>388</v>
      </c>
      <c r="L2949" t="s">
        <v>113</v>
      </c>
      <c r="M2949">
        <v>16</v>
      </c>
      <c r="N2949" t="s">
        <v>17</v>
      </c>
      <c r="O2949" t="s">
        <v>11</v>
      </c>
      <c r="P2949" t="s">
        <v>18</v>
      </c>
      <c r="Q2949" t="s">
        <v>19</v>
      </c>
      <c r="R2949" t="s">
        <v>138</v>
      </c>
      <c r="S2949" t="s">
        <v>144</v>
      </c>
      <c r="T2949" s="2">
        <f>MASTER[[#This Row],[CANTIDAD]]*MASTER[[#This Row],[PRECIO DE VENTA]]</f>
        <v>1529</v>
      </c>
      <c r="U2949" s="2">
        <f>MASTER[[#This Row],[CANTIDAD]]*MASTER[[#This Row],[COSTO UNITARIO]]</f>
        <v>388</v>
      </c>
      <c r="V2949" s="2">
        <f>MASTER[[#This Row],[MONTO VENDIDO]]-MASTER[[#This Row],[COSTO DE VENTA]]</f>
        <v>1141</v>
      </c>
    </row>
    <row r="2950" spans="1:22" x14ac:dyDescent="0.3">
      <c r="A2950">
        <v>48275</v>
      </c>
      <c r="B2950">
        <v>1</v>
      </c>
      <c r="C2950" t="s">
        <v>118</v>
      </c>
      <c r="D2950" t="s">
        <v>119</v>
      </c>
      <c r="E2950" s="1">
        <v>44181</v>
      </c>
      <c r="F2950">
        <v>1</v>
      </c>
      <c r="G2950" t="s">
        <v>33</v>
      </c>
      <c r="H2950" t="s">
        <v>34</v>
      </c>
      <c r="I2950" s="3">
        <v>900</v>
      </c>
      <c r="J2950" s="3">
        <v>900</v>
      </c>
      <c r="K2950" s="3">
        <v>424</v>
      </c>
      <c r="L2950" t="s">
        <v>120</v>
      </c>
      <c r="M2950">
        <v>14</v>
      </c>
      <c r="N2950" t="s">
        <v>87</v>
      </c>
      <c r="O2950" t="s">
        <v>81</v>
      </c>
      <c r="P2950" t="s">
        <v>18</v>
      </c>
      <c r="Q2950" t="s">
        <v>19</v>
      </c>
      <c r="R2950" t="s">
        <v>138</v>
      </c>
      <c r="S2950" t="s">
        <v>144</v>
      </c>
      <c r="T2950" s="2">
        <f>MASTER[[#This Row],[CANTIDAD]]*MASTER[[#This Row],[PRECIO DE VENTA]]</f>
        <v>900</v>
      </c>
      <c r="U2950" s="2">
        <f>MASTER[[#This Row],[CANTIDAD]]*MASTER[[#This Row],[COSTO UNITARIO]]</f>
        <v>424</v>
      </c>
      <c r="V2950" s="2">
        <f>MASTER[[#This Row],[MONTO VENDIDO]]-MASTER[[#This Row],[COSTO DE VENTA]]</f>
        <v>476</v>
      </c>
    </row>
    <row r="2951" spans="1:22" x14ac:dyDescent="0.3">
      <c r="A2951">
        <v>48283</v>
      </c>
      <c r="B2951">
        <v>1</v>
      </c>
      <c r="C2951" t="s">
        <v>116</v>
      </c>
      <c r="D2951" t="s">
        <v>117</v>
      </c>
      <c r="E2951" s="1">
        <v>44181</v>
      </c>
      <c r="F2951">
        <v>1</v>
      </c>
      <c r="G2951" t="s">
        <v>7</v>
      </c>
      <c r="H2951" t="s">
        <v>8</v>
      </c>
      <c r="I2951" s="3">
        <v>1999</v>
      </c>
      <c r="J2951" s="3">
        <v>1999</v>
      </c>
      <c r="K2951" s="3">
        <v>388</v>
      </c>
      <c r="L2951" t="s">
        <v>113</v>
      </c>
      <c r="M2951">
        <v>9</v>
      </c>
      <c r="N2951" t="s">
        <v>76</v>
      </c>
      <c r="O2951" t="s">
        <v>70</v>
      </c>
      <c r="P2951" t="s">
        <v>12</v>
      </c>
      <c r="Q2951" t="s">
        <v>13</v>
      </c>
      <c r="R2951" t="s">
        <v>13</v>
      </c>
      <c r="S2951" t="s">
        <v>144</v>
      </c>
      <c r="T2951" s="2">
        <f>MASTER[[#This Row],[CANTIDAD]]*MASTER[[#This Row],[PRECIO DE VENTA]]</f>
        <v>1999</v>
      </c>
      <c r="U2951" s="2">
        <f>MASTER[[#This Row],[CANTIDAD]]*MASTER[[#This Row],[COSTO UNITARIO]]</f>
        <v>388</v>
      </c>
      <c r="V2951" s="2">
        <f>MASTER[[#This Row],[MONTO VENDIDO]]-MASTER[[#This Row],[COSTO DE VENTA]]</f>
        <v>1611</v>
      </c>
    </row>
    <row r="2952" spans="1:22" x14ac:dyDescent="0.3">
      <c r="A2952">
        <v>48284</v>
      </c>
      <c r="B2952">
        <v>1</v>
      </c>
      <c r="C2952" t="s">
        <v>121</v>
      </c>
      <c r="D2952" t="s">
        <v>122</v>
      </c>
      <c r="E2952" s="1">
        <v>44181</v>
      </c>
      <c r="F2952">
        <v>1</v>
      </c>
      <c r="G2952" t="s">
        <v>31</v>
      </c>
      <c r="H2952" t="s">
        <v>32</v>
      </c>
      <c r="I2952" s="3">
        <v>1144</v>
      </c>
      <c r="J2952" s="3">
        <v>1144</v>
      </c>
      <c r="K2952" s="3">
        <v>460</v>
      </c>
      <c r="L2952" t="s">
        <v>120</v>
      </c>
      <c r="M2952">
        <v>1</v>
      </c>
      <c r="N2952" t="s">
        <v>77</v>
      </c>
      <c r="O2952" t="s">
        <v>70</v>
      </c>
      <c r="P2952" t="s">
        <v>71</v>
      </c>
      <c r="Q2952" t="s">
        <v>72</v>
      </c>
      <c r="R2952" t="s">
        <v>139</v>
      </c>
      <c r="S2952" t="s">
        <v>144</v>
      </c>
      <c r="T2952" s="2">
        <f>MASTER[[#This Row],[CANTIDAD]]*MASTER[[#This Row],[PRECIO DE VENTA]]</f>
        <v>1144</v>
      </c>
      <c r="U2952" s="2">
        <f>MASTER[[#This Row],[CANTIDAD]]*MASTER[[#This Row],[COSTO UNITARIO]]</f>
        <v>460</v>
      </c>
      <c r="V2952" s="2">
        <f>MASTER[[#This Row],[MONTO VENDIDO]]-MASTER[[#This Row],[COSTO DE VENTA]]</f>
        <v>684</v>
      </c>
    </row>
    <row r="2953" spans="1:22" x14ac:dyDescent="0.3">
      <c r="A2953">
        <v>48286</v>
      </c>
      <c r="B2953">
        <v>1</v>
      </c>
      <c r="C2953" t="s">
        <v>107</v>
      </c>
      <c r="D2953" t="s">
        <v>108</v>
      </c>
      <c r="E2953" s="1">
        <v>44181</v>
      </c>
      <c r="F2953">
        <v>1</v>
      </c>
      <c r="G2953" t="s">
        <v>53</v>
      </c>
      <c r="H2953" t="s">
        <v>54</v>
      </c>
      <c r="I2953" s="3">
        <v>1333</v>
      </c>
      <c r="J2953" s="3">
        <v>1333</v>
      </c>
      <c r="K2953" s="3">
        <v>380</v>
      </c>
      <c r="L2953" t="s">
        <v>98</v>
      </c>
      <c r="M2953">
        <v>19</v>
      </c>
      <c r="N2953" t="s">
        <v>89</v>
      </c>
      <c r="O2953" t="s">
        <v>81</v>
      </c>
      <c r="P2953" t="s">
        <v>15</v>
      </c>
      <c r="Q2953" t="s">
        <v>16</v>
      </c>
      <c r="R2953" t="s">
        <v>16</v>
      </c>
      <c r="S2953" t="s">
        <v>144</v>
      </c>
      <c r="T2953" s="2">
        <f>MASTER[[#This Row],[CANTIDAD]]*MASTER[[#This Row],[PRECIO DE VENTA]]</f>
        <v>1333</v>
      </c>
      <c r="U2953" s="2">
        <f>MASTER[[#This Row],[CANTIDAD]]*MASTER[[#This Row],[COSTO UNITARIO]]</f>
        <v>380</v>
      </c>
      <c r="V2953" s="2">
        <f>MASTER[[#This Row],[MONTO VENDIDO]]-MASTER[[#This Row],[COSTO DE VENTA]]</f>
        <v>953</v>
      </c>
    </row>
    <row r="2954" spans="1:22" x14ac:dyDescent="0.3">
      <c r="A2954">
        <v>48288</v>
      </c>
      <c r="B2954">
        <v>1</v>
      </c>
      <c r="C2954" t="s">
        <v>5</v>
      </c>
      <c r="D2954" t="s">
        <v>6</v>
      </c>
      <c r="E2954" s="1">
        <v>44181</v>
      </c>
      <c r="F2954">
        <v>1</v>
      </c>
      <c r="G2954" t="s">
        <v>47</v>
      </c>
      <c r="H2954" t="s">
        <v>48</v>
      </c>
      <c r="I2954" s="3">
        <v>1296</v>
      </c>
      <c r="J2954" s="3">
        <v>1296</v>
      </c>
      <c r="K2954" s="3">
        <v>393</v>
      </c>
      <c r="L2954" t="s">
        <v>9</v>
      </c>
      <c r="M2954">
        <v>9</v>
      </c>
      <c r="N2954" t="s">
        <v>76</v>
      </c>
      <c r="O2954" t="s">
        <v>70</v>
      </c>
      <c r="P2954" t="s">
        <v>12</v>
      </c>
      <c r="Q2954" t="s">
        <v>13</v>
      </c>
      <c r="R2954" t="s">
        <v>13</v>
      </c>
      <c r="S2954" t="s">
        <v>144</v>
      </c>
      <c r="T2954" s="2">
        <f>MASTER[[#This Row],[CANTIDAD]]*MASTER[[#This Row],[PRECIO DE VENTA]]</f>
        <v>1296</v>
      </c>
      <c r="U2954" s="2">
        <f>MASTER[[#This Row],[CANTIDAD]]*MASTER[[#This Row],[COSTO UNITARIO]]</f>
        <v>393</v>
      </c>
      <c r="V2954" s="2">
        <f>MASTER[[#This Row],[MONTO VENDIDO]]-MASTER[[#This Row],[COSTO DE VENTA]]</f>
        <v>903</v>
      </c>
    </row>
    <row r="2955" spans="1:22" x14ac:dyDescent="0.3">
      <c r="A2955">
        <v>48305</v>
      </c>
      <c r="B2955">
        <v>1</v>
      </c>
      <c r="C2955" t="s">
        <v>92</v>
      </c>
      <c r="D2955" t="s">
        <v>93</v>
      </c>
      <c r="E2955" s="1">
        <v>44181</v>
      </c>
      <c r="F2955">
        <v>1</v>
      </c>
      <c r="G2955" t="s">
        <v>31</v>
      </c>
      <c r="H2955" t="s">
        <v>32</v>
      </c>
      <c r="I2955" s="3">
        <v>1681</v>
      </c>
      <c r="J2955" s="3">
        <v>1681</v>
      </c>
      <c r="K2955" s="3">
        <v>396</v>
      </c>
      <c r="L2955" t="s">
        <v>9</v>
      </c>
      <c r="M2955">
        <v>8</v>
      </c>
      <c r="N2955" t="s">
        <v>80</v>
      </c>
      <c r="O2955" t="s">
        <v>81</v>
      </c>
      <c r="P2955" t="s">
        <v>12</v>
      </c>
      <c r="Q2955" t="s">
        <v>13</v>
      </c>
      <c r="R2955" t="s">
        <v>13</v>
      </c>
      <c r="S2955" t="s">
        <v>144</v>
      </c>
      <c r="T2955" s="2">
        <f>MASTER[[#This Row],[CANTIDAD]]*MASTER[[#This Row],[PRECIO DE VENTA]]</f>
        <v>1681</v>
      </c>
      <c r="U2955" s="2">
        <f>MASTER[[#This Row],[CANTIDAD]]*MASTER[[#This Row],[COSTO UNITARIO]]</f>
        <v>396</v>
      </c>
      <c r="V2955" s="2">
        <f>MASTER[[#This Row],[MONTO VENDIDO]]-MASTER[[#This Row],[COSTO DE VENTA]]</f>
        <v>1285</v>
      </c>
    </row>
    <row r="2956" spans="1:22" x14ac:dyDescent="0.3">
      <c r="A2956">
        <v>48313</v>
      </c>
      <c r="B2956">
        <v>1</v>
      </c>
      <c r="C2956" t="s">
        <v>116</v>
      </c>
      <c r="D2956" t="s">
        <v>117</v>
      </c>
      <c r="E2956" s="1">
        <v>44182</v>
      </c>
      <c r="F2956">
        <v>1</v>
      </c>
      <c r="G2956" t="s">
        <v>39</v>
      </c>
      <c r="H2956" t="s">
        <v>40</v>
      </c>
      <c r="I2956" s="3">
        <v>1999</v>
      </c>
      <c r="J2956" s="3">
        <v>1999</v>
      </c>
      <c r="K2956" s="3">
        <v>388</v>
      </c>
      <c r="L2956" t="s">
        <v>113</v>
      </c>
      <c r="M2956">
        <v>18</v>
      </c>
      <c r="N2956" t="s">
        <v>79</v>
      </c>
      <c r="O2956" t="s">
        <v>70</v>
      </c>
      <c r="P2956" t="s">
        <v>15</v>
      </c>
      <c r="Q2956" t="s">
        <v>16</v>
      </c>
      <c r="R2956" t="s">
        <v>16</v>
      </c>
      <c r="S2956" t="s">
        <v>144</v>
      </c>
      <c r="T2956" s="2">
        <f>MASTER[[#This Row],[CANTIDAD]]*MASTER[[#This Row],[PRECIO DE VENTA]]</f>
        <v>1999</v>
      </c>
      <c r="U2956" s="2">
        <f>MASTER[[#This Row],[CANTIDAD]]*MASTER[[#This Row],[COSTO UNITARIO]]</f>
        <v>388</v>
      </c>
      <c r="V2956" s="2">
        <f>MASTER[[#This Row],[MONTO VENDIDO]]-MASTER[[#This Row],[COSTO DE VENTA]]</f>
        <v>1611</v>
      </c>
    </row>
    <row r="2957" spans="1:22" x14ac:dyDescent="0.3">
      <c r="A2957">
        <v>48373</v>
      </c>
      <c r="B2957">
        <v>1</v>
      </c>
      <c r="C2957" t="s">
        <v>94</v>
      </c>
      <c r="D2957" t="s">
        <v>95</v>
      </c>
      <c r="E2957" s="1">
        <v>44182</v>
      </c>
      <c r="F2957">
        <v>1</v>
      </c>
      <c r="G2957" t="s">
        <v>31</v>
      </c>
      <c r="H2957" t="s">
        <v>32</v>
      </c>
      <c r="I2957" s="3">
        <v>1048</v>
      </c>
      <c r="J2957" s="3">
        <v>1048</v>
      </c>
      <c r="K2957" s="3">
        <v>392</v>
      </c>
      <c r="L2957" t="s">
        <v>9</v>
      </c>
      <c r="M2957">
        <v>14</v>
      </c>
      <c r="N2957" t="s">
        <v>87</v>
      </c>
      <c r="O2957" t="s">
        <v>81</v>
      </c>
      <c r="P2957" t="s">
        <v>18</v>
      </c>
      <c r="Q2957" t="s">
        <v>19</v>
      </c>
      <c r="R2957" t="s">
        <v>138</v>
      </c>
      <c r="S2957" t="s">
        <v>144</v>
      </c>
      <c r="T2957" s="2">
        <f>MASTER[[#This Row],[CANTIDAD]]*MASTER[[#This Row],[PRECIO DE VENTA]]</f>
        <v>1048</v>
      </c>
      <c r="U2957" s="2">
        <f>MASTER[[#This Row],[CANTIDAD]]*MASTER[[#This Row],[COSTO UNITARIO]]</f>
        <v>392</v>
      </c>
      <c r="V2957" s="2">
        <f>MASTER[[#This Row],[MONTO VENDIDO]]-MASTER[[#This Row],[COSTO DE VENTA]]</f>
        <v>656</v>
      </c>
    </row>
    <row r="2958" spans="1:22" x14ac:dyDescent="0.3">
      <c r="A2958">
        <v>48378</v>
      </c>
      <c r="B2958">
        <v>1</v>
      </c>
      <c r="C2958" t="s">
        <v>121</v>
      </c>
      <c r="D2958" t="s">
        <v>122</v>
      </c>
      <c r="E2958" s="1">
        <v>44182</v>
      </c>
      <c r="F2958">
        <v>1</v>
      </c>
      <c r="G2958" t="s">
        <v>27</v>
      </c>
      <c r="H2958" t="s">
        <v>28</v>
      </c>
      <c r="I2958" s="3">
        <v>1069</v>
      </c>
      <c r="J2958" s="3">
        <v>1069</v>
      </c>
      <c r="K2958" s="3">
        <v>460</v>
      </c>
      <c r="L2958" t="s">
        <v>120</v>
      </c>
      <c r="M2958">
        <v>8</v>
      </c>
      <c r="N2958" t="s">
        <v>80</v>
      </c>
      <c r="O2958" t="s">
        <v>81</v>
      </c>
      <c r="P2958" t="s">
        <v>12</v>
      </c>
      <c r="Q2958" t="s">
        <v>13</v>
      </c>
      <c r="R2958" t="s">
        <v>13</v>
      </c>
      <c r="S2958" t="s">
        <v>144</v>
      </c>
      <c r="T2958" s="2">
        <f>MASTER[[#This Row],[CANTIDAD]]*MASTER[[#This Row],[PRECIO DE VENTA]]</f>
        <v>1069</v>
      </c>
      <c r="U2958" s="2">
        <f>MASTER[[#This Row],[CANTIDAD]]*MASTER[[#This Row],[COSTO UNITARIO]]</f>
        <v>460</v>
      </c>
      <c r="V2958" s="2">
        <f>MASTER[[#This Row],[MONTO VENDIDO]]-MASTER[[#This Row],[COSTO DE VENTA]]</f>
        <v>609</v>
      </c>
    </row>
    <row r="2959" spans="1:22" x14ac:dyDescent="0.3">
      <c r="A2959">
        <v>48407</v>
      </c>
      <c r="B2959">
        <v>1</v>
      </c>
      <c r="C2959" t="s">
        <v>107</v>
      </c>
      <c r="D2959" t="s">
        <v>108</v>
      </c>
      <c r="E2959" s="1">
        <v>44182</v>
      </c>
      <c r="F2959">
        <v>1</v>
      </c>
      <c r="G2959" t="s">
        <v>45</v>
      </c>
      <c r="H2959" t="s">
        <v>46</v>
      </c>
      <c r="I2959" s="3">
        <v>1440</v>
      </c>
      <c r="J2959" s="3">
        <v>1440</v>
      </c>
      <c r="K2959" s="3">
        <v>380</v>
      </c>
      <c r="L2959" t="s">
        <v>98</v>
      </c>
      <c r="M2959">
        <v>6</v>
      </c>
      <c r="N2959" t="s">
        <v>75</v>
      </c>
      <c r="O2959" t="s">
        <v>70</v>
      </c>
      <c r="P2959" t="s">
        <v>12</v>
      </c>
      <c r="Q2959" t="s">
        <v>13</v>
      </c>
      <c r="R2959" t="s">
        <v>13</v>
      </c>
      <c r="S2959" t="s">
        <v>144</v>
      </c>
      <c r="T2959" s="2">
        <f>MASTER[[#This Row],[CANTIDAD]]*MASTER[[#This Row],[PRECIO DE VENTA]]</f>
        <v>1440</v>
      </c>
      <c r="U2959" s="2">
        <f>MASTER[[#This Row],[CANTIDAD]]*MASTER[[#This Row],[COSTO UNITARIO]]</f>
        <v>380</v>
      </c>
      <c r="V2959" s="2">
        <f>MASTER[[#This Row],[MONTO VENDIDO]]-MASTER[[#This Row],[COSTO DE VENTA]]</f>
        <v>1060</v>
      </c>
    </row>
    <row r="2960" spans="1:22" x14ac:dyDescent="0.3">
      <c r="A2960">
        <v>48417</v>
      </c>
      <c r="B2960">
        <v>1</v>
      </c>
      <c r="C2960" t="s">
        <v>101</v>
      </c>
      <c r="D2960" t="s">
        <v>102</v>
      </c>
      <c r="E2960" s="1">
        <v>44182</v>
      </c>
      <c r="F2960">
        <v>1</v>
      </c>
      <c r="G2960" t="s">
        <v>22</v>
      </c>
      <c r="H2960" t="s">
        <v>23</v>
      </c>
      <c r="I2960" s="3">
        <v>1357</v>
      </c>
      <c r="J2960" s="3">
        <v>1357</v>
      </c>
      <c r="K2960" s="3">
        <v>442</v>
      </c>
      <c r="L2960" t="s">
        <v>98</v>
      </c>
      <c r="M2960">
        <v>9</v>
      </c>
      <c r="N2960" t="s">
        <v>76</v>
      </c>
      <c r="O2960" t="s">
        <v>70</v>
      </c>
      <c r="P2960" t="s">
        <v>12</v>
      </c>
      <c r="Q2960" t="s">
        <v>13</v>
      </c>
      <c r="R2960" t="s">
        <v>13</v>
      </c>
      <c r="S2960" t="s">
        <v>144</v>
      </c>
      <c r="T2960" s="2">
        <f>MASTER[[#This Row],[CANTIDAD]]*MASTER[[#This Row],[PRECIO DE VENTA]]</f>
        <v>1357</v>
      </c>
      <c r="U2960" s="2">
        <f>MASTER[[#This Row],[CANTIDAD]]*MASTER[[#This Row],[COSTO UNITARIO]]</f>
        <v>442</v>
      </c>
      <c r="V2960" s="2">
        <f>MASTER[[#This Row],[MONTO VENDIDO]]-MASTER[[#This Row],[COSTO DE VENTA]]</f>
        <v>915</v>
      </c>
    </row>
    <row r="2961" spans="1:22" x14ac:dyDescent="0.3">
      <c r="A2961">
        <v>48432</v>
      </c>
      <c r="B2961">
        <v>1</v>
      </c>
      <c r="C2961" t="s">
        <v>116</v>
      </c>
      <c r="D2961" t="s">
        <v>117</v>
      </c>
      <c r="E2961" s="1">
        <v>44182</v>
      </c>
      <c r="F2961">
        <v>1</v>
      </c>
      <c r="G2961" t="s">
        <v>49</v>
      </c>
      <c r="H2961" t="s">
        <v>50</v>
      </c>
      <c r="I2961" s="3">
        <v>1999</v>
      </c>
      <c r="J2961" s="3">
        <v>1999</v>
      </c>
      <c r="K2961" s="3">
        <v>388</v>
      </c>
      <c r="L2961" t="s">
        <v>113</v>
      </c>
      <c r="M2961">
        <v>3</v>
      </c>
      <c r="N2961" t="s">
        <v>69</v>
      </c>
      <c r="O2961" t="s">
        <v>70</v>
      </c>
      <c r="P2961" t="s">
        <v>71</v>
      </c>
      <c r="Q2961" t="s">
        <v>72</v>
      </c>
      <c r="R2961" t="s">
        <v>139</v>
      </c>
      <c r="S2961" t="s">
        <v>144</v>
      </c>
      <c r="T2961" s="2">
        <f>MASTER[[#This Row],[CANTIDAD]]*MASTER[[#This Row],[PRECIO DE VENTA]]</f>
        <v>1999</v>
      </c>
      <c r="U2961" s="2">
        <f>MASTER[[#This Row],[CANTIDAD]]*MASTER[[#This Row],[COSTO UNITARIO]]</f>
        <v>388</v>
      </c>
      <c r="V2961" s="2">
        <f>MASTER[[#This Row],[MONTO VENDIDO]]-MASTER[[#This Row],[COSTO DE VENTA]]</f>
        <v>1611</v>
      </c>
    </row>
    <row r="2962" spans="1:22" x14ac:dyDescent="0.3">
      <c r="A2962">
        <v>48434</v>
      </c>
      <c r="B2962">
        <v>1</v>
      </c>
      <c r="C2962" t="s">
        <v>101</v>
      </c>
      <c r="D2962" t="s">
        <v>102</v>
      </c>
      <c r="E2962" s="1">
        <v>44182</v>
      </c>
      <c r="F2962">
        <v>1</v>
      </c>
      <c r="G2962" t="s">
        <v>53</v>
      </c>
      <c r="H2962" t="s">
        <v>54</v>
      </c>
      <c r="I2962" s="3">
        <v>1212</v>
      </c>
      <c r="J2962" s="3">
        <v>1212</v>
      </c>
      <c r="K2962" s="3">
        <v>442</v>
      </c>
      <c r="L2962" t="s">
        <v>98</v>
      </c>
      <c r="M2962">
        <v>7</v>
      </c>
      <c r="N2962" t="s">
        <v>84</v>
      </c>
      <c r="O2962" t="s">
        <v>81</v>
      </c>
      <c r="P2962" t="s">
        <v>12</v>
      </c>
      <c r="Q2962" t="s">
        <v>13</v>
      </c>
      <c r="R2962" t="s">
        <v>13</v>
      </c>
      <c r="S2962" t="s">
        <v>144</v>
      </c>
      <c r="T2962" s="2">
        <f>MASTER[[#This Row],[CANTIDAD]]*MASTER[[#This Row],[PRECIO DE VENTA]]</f>
        <v>1212</v>
      </c>
      <c r="U2962" s="2">
        <f>MASTER[[#This Row],[CANTIDAD]]*MASTER[[#This Row],[COSTO UNITARIO]]</f>
        <v>442</v>
      </c>
      <c r="V2962" s="2">
        <f>MASTER[[#This Row],[MONTO VENDIDO]]-MASTER[[#This Row],[COSTO DE VENTA]]</f>
        <v>770</v>
      </c>
    </row>
    <row r="2963" spans="1:22" x14ac:dyDescent="0.3">
      <c r="A2963">
        <v>48441</v>
      </c>
      <c r="B2963">
        <v>1</v>
      </c>
      <c r="C2963" t="s">
        <v>99</v>
      </c>
      <c r="D2963" t="s">
        <v>100</v>
      </c>
      <c r="E2963" s="1">
        <v>44182</v>
      </c>
      <c r="F2963">
        <v>4</v>
      </c>
      <c r="G2963" t="s">
        <v>51</v>
      </c>
      <c r="H2963" t="s">
        <v>52</v>
      </c>
      <c r="I2963" s="3">
        <v>1459</v>
      </c>
      <c r="J2963" s="3">
        <v>1459</v>
      </c>
      <c r="K2963" s="3">
        <v>386</v>
      </c>
      <c r="L2963" t="s">
        <v>98</v>
      </c>
      <c r="M2963">
        <v>14</v>
      </c>
      <c r="N2963" t="s">
        <v>87</v>
      </c>
      <c r="O2963" t="s">
        <v>81</v>
      </c>
      <c r="P2963" t="s">
        <v>18</v>
      </c>
      <c r="Q2963" t="s">
        <v>19</v>
      </c>
      <c r="R2963" t="s">
        <v>138</v>
      </c>
      <c r="S2963" t="s">
        <v>144</v>
      </c>
      <c r="T2963" s="2">
        <f>MASTER[[#This Row],[CANTIDAD]]*MASTER[[#This Row],[PRECIO DE VENTA]]</f>
        <v>5836</v>
      </c>
      <c r="U2963" s="2">
        <f>MASTER[[#This Row],[CANTIDAD]]*MASTER[[#This Row],[COSTO UNITARIO]]</f>
        <v>1544</v>
      </c>
      <c r="V2963" s="2">
        <f>MASTER[[#This Row],[MONTO VENDIDO]]-MASTER[[#This Row],[COSTO DE VENTA]]</f>
        <v>4292</v>
      </c>
    </row>
    <row r="2964" spans="1:22" x14ac:dyDescent="0.3">
      <c r="A2964">
        <v>48441</v>
      </c>
      <c r="B2964">
        <v>2</v>
      </c>
      <c r="C2964" t="s">
        <v>105</v>
      </c>
      <c r="D2964" t="s">
        <v>106</v>
      </c>
      <c r="E2964" s="1">
        <v>44182</v>
      </c>
      <c r="F2964">
        <v>1</v>
      </c>
      <c r="G2964" t="s">
        <v>51</v>
      </c>
      <c r="H2964" t="s">
        <v>52</v>
      </c>
      <c r="I2964" s="3">
        <v>1865</v>
      </c>
      <c r="J2964" s="3">
        <v>1865</v>
      </c>
      <c r="K2964" s="3">
        <v>459</v>
      </c>
      <c r="L2964" t="s">
        <v>98</v>
      </c>
      <c r="M2964">
        <v>14</v>
      </c>
      <c r="N2964" t="s">
        <v>87</v>
      </c>
      <c r="O2964" t="s">
        <v>81</v>
      </c>
      <c r="P2964" t="s">
        <v>18</v>
      </c>
      <c r="Q2964" t="s">
        <v>19</v>
      </c>
      <c r="R2964" t="s">
        <v>138</v>
      </c>
      <c r="S2964" t="s">
        <v>144</v>
      </c>
      <c r="T2964" s="2">
        <f>MASTER[[#This Row],[CANTIDAD]]*MASTER[[#This Row],[PRECIO DE VENTA]]</f>
        <v>1865</v>
      </c>
      <c r="U2964" s="2">
        <f>MASTER[[#This Row],[CANTIDAD]]*MASTER[[#This Row],[COSTO UNITARIO]]</f>
        <v>459</v>
      </c>
      <c r="V2964" s="2">
        <f>MASTER[[#This Row],[MONTO VENDIDO]]-MASTER[[#This Row],[COSTO DE VENTA]]</f>
        <v>1406</v>
      </c>
    </row>
    <row r="2965" spans="1:22" x14ac:dyDescent="0.3">
      <c r="A2965">
        <v>48461</v>
      </c>
      <c r="B2965">
        <v>1</v>
      </c>
      <c r="C2965" t="s">
        <v>107</v>
      </c>
      <c r="D2965" t="s">
        <v>108</v>
      </c>
      <c r="E2965" s="1">
        <v>44182</v>
      </c>
      <c r="F2965">
        <v>1</v>
      </c>
      <c r="G2965" t="s">
        <v>61</v>
      </c>
      <c r="H2965" t="s">
        <v>62</v>
      </c>
      <c r="I2965" s="3">
        <v>1333</v>
      </c>
      <c r="J2965" s="3">
        <v>1333</v>
      </c>
      <c r="K2965" s="3">
        <v>380</v>
      </c>
      <c r="L2965" t="s">
        <v>98</v>
      </c>
      <c r="M2965">
        <v>14</v>
      </c>
      <c r="N2965" t="s">
        <v>87</v>
      </c>
      <c r="O2965" t="s">
        <v>81</v>
      </c>
      <c r="P2965" t="s">
        <v>18</v>
      </c>
      <c r="Q2965" t="s">
        <v>19</v>
      </c>
      <c r="R2965" t="s">
        <v>138</v>
      </c>
      <c r="S2965" t="s">
        <v>144</v>
      </c>
      <c r="T2965" s="2">
        <f>MASTER[[#This Row],[CANTIDAD]]*MASTER[[#This Row],[PRECIO DE VENTA]]</f>
        <v>1333</v>
      </c>
      <c r="U2965" s="2">
        <f>MASTER[[#This Row],[CANTIDAD]]*MASTER[[#This Row],[COSTO UNITARIO]]</f>
        <v>380</v>
      </c>
      <c r="V2965" s="2">
        <f>MASTER[[#This Row],[MONTO VENDIDO]]-MASTER[[#This Row],[COSTO DE VENTA]]</f>
        <v>953</v>
      </c>
    </row>
    <row r="2966" spans="1:22" x14ac:dyDescent="0.3">
      <c r="A2966">
        <v>48467</v>
      </c>
      <c r="B2966">
        <v>1</v>
      </c>
      <c r="C2966" t="s">
        <v>96</v>
      </c>
      <c r="D2966" t="s">
        <v>97</v>
      </c>
      <c r="E2966" s="1">
        <v>44182</v>
      </c>
      <c r="F2966">
        <v>1</v>
      </c>
      <c r="G2966" t="s">
        <v>51</v>
      </c>
      <c r="H2966" t="s">
        <v>52</v>
      </c>
      <c r="I2966" s="3">
        <v>1361</v>
      </c>
      <c r="J2966" s="3">
        <v>1361</v>
      </c>
      <c r="K2966" s="3">
        <v>397</v>
      </c>
      <c r="L2966" t="s">
        <v>98</v>
      </c>
      <c r="M2966">
        <v>6</v>
      </c>
      <c r="N2966" t="s">
        <v>75</v>
      </c>
      <c r="O2966" t="s">
        <v>70</v>
      </c>
      <c r="P2966" t="s">
        <v>12</v>
      </c>
      <c r="Q2966" t="s">
        <v>13</v>
      </c>
      <c r="R2966" t="s">
        <v>13</v>
      </c>
      <c r="S2966" t="s">
        <v>144</v>
      </c>
      <c r="T2966" s="2">
        <f>MASTER[[#This Row],[CANTIDAD]]*MASTER[[#This Row],[PRECIO DE VENTA]]</f>
        <v>1361</v>
      </c>
      <c r="U2966" s="2">
        <f>MASTER[[#This Row],[CANTIDAD]]*MASTER[[#This Row],[COSTO UNITARIO]]</f>
        <v>397</v>
      </c>
      <c r="V2966" s="2">
        <f>MASTER[[#This Row],[MONTO VENDIDO]]-MASTER[[#This Row],[COSTO DE VENTA]]</f>
        <v>964</v>
      </c>
    </row>
    <row r="2967" spans="1:22" x14ac:dyDescent="0.3">
      <c r="A2967">
        <v>48480</v>
      </c>
      <c r="B2967">
        <v>1</v>
      </c>
      <c r="C2967" t="s">
        <v>121</v>
      </c>
      <c r="D2967" t="s">
        <v>122</v>
      </c>
      <c r="E2967" s="1">
        <v>44183</v>
      </c>
      <c r="F2967">
        <v>1</v>
      </c>
      <c r="G2967" t="s">
        <v>31</v>
      </c>
      <c r="H2967" t="s">
        <v>32</v>
      </c>
      <c r="I2967" s="3">
        <v>1069</v>
      </c>
      <c r="J2967" s="3">
        <v>1069</v>
      </c>
      <c r="K2967" s="3">
        <v>460</v>
      </c>
      <c r="L2967" t="s">
        <v>120</v>
      </c>
      <c r="M2967">
        <v>5</v>
      </c>
      <c r="N2967" t="s">
        <v>85</v>
      </c>
      <c r="O2967" t="s">
        <v>81</v>
      </c>
      <c r="P2967" t="s">
        <v>12</v>
      </c>
      <c r="Q2967" t="s">
        <v>13</v>
      </c>
      <c r="R2967" t="s">
        <v>13</v>
      </c>
      <c r="S2967" t="s">
        <v>144</v>
      </c>
      <c r="T2967" s="2">
        <f>MASTER[[#This Row],[CANTIDAD]]*MASTER[[#This Row],[PRECIO DE VENTA]]</f>
        <v>1069</v>
      </c>
      <c r="U2967" s="2">
        <f>MASTER[[#This Row],[CANTIDAD]]*MASTER[[#This Row],[COSTO UNITARIO]]</f>
        <v>460</v>
      </c>
      <c r="V2967" s="2">
        <f>MASTER[[#This Row],[MONTO VENDIDO]]-MASTER[[#This Row],[COSTO DE VENTA]]</f>
        <v>609</v>
      </c>
    </row>
    <row r="2968" spans="1:22" x14ac:dyDescent="0.3">
      <c r="A2968">
        <v>48485</v>
      </c>
      <c r="B2968">
        <v>1</v>
      </c>
      <c r="C2968" t="s">
        <v>90</v>
      </c>
      <c r="D2968" t="s">
        <v>91</v>
      </c>
      <c r="E2968" s="1">
        <v>44183</v>
      </c>
      <c r="F2968">
        <v>1</v>
      </c>
      <c r="G2968" t="s">
        <v>63</v>
      </c>
      <c r="H2968" t="s">
        <v>64</v>
      </c>
      <c r="I2968" s="3">
        <v>1844</v>
      </c>
      <c r="J2968" s="3">
        <v>1844</v>
      </c>
      <c r="K2968" s="3">
        <v>420</v>
      </c>
      <c r="L2968" t="s">
        <v>9</v>
      </c>
      <c r="M2968">
        <v>10</v>
      </c>
      <c r="N2968" t="s">
        <v>83</v>
      </c>
      <c r="O2968" t="s">
        <v>81</v>
      </c>
      <c r="P2968" t="s">
        <v>12</v>
      </c>
      <c r="Q2968" t="s">
        <v>13</v>
      </c>
      <c r="R2968" t="s">
        <v>13</v>
      </c>
      <c r="S2968" t="s">
        <v>144</v>
      </c>
      <c r="T2968" s="2">
        <f>MASTER[[#This Row],[CANTIDAD]]*MASTER[[#This Row],[PRECIO DE VENTA]]</f>
        <v>1844</v>
      </c>
      <c r="U2968" s="2">
        <f>MASTER[[#This Row],[CANTIDAD]]*MASTER[[#This Row],[COSTO UNITARIO]]</f>
        <v>420</v>
      </c>
      <c r="V2968" s="2">
        <f>MASTER[[#This Row],[MONTO VENDIDO]]-MASTER[[#This Row],[COSTO DE VENTA]]</f>
        <v>1424</v>
      </c>
    </row>
    <row r="2969" spans="1:22" x14ac:dyDescent="0.3">
      <c r="A2969">
        <v>48492</v>
      </c>
      <c r="B2969">
        <v>1</v>
      </c>
      <c r="C2969" t="s">
        <v>118</v>
      </c>
      <c r="D2969" t="s">
        <v>119</v>
      </c>
      <c r="E2969" s="1">
        <v>44183</v>
      </c>
      <c r="F2969">
        <v>1</v>
      </c>
      <c r="G2969" t="s">
        <v>43</v>
      </c>
      <c r="H2969" t="s">
        <v>44</v>
      </c>
      <c r="I2969" s="3">
        <v>900</v>
      </c>
      <c r="J2969" s="3">
        <v>900</v>
      </c>
      <c r="K2969" s="3">
        <v>424</v>
      </c>
      <c r="L2969" t="s">
        <v>120</v>
      </c>
      <c r="M2969">
        <v>4</v>
      </c>
      <c r="N2969" t="s">
        <v>82</v>
      </c>
      <c r="O2969" t="s">
        <v>81</v>
      </c>
      <c r="P2969" t="s">
        <v>71</v>
      </c>
      <c r="Q2969" t="s">
        <v>72</v>
      </c>
      <c r="R2969" t="s">
        <v>139</v>
      </c>
      <c r="S2969" t="s">
        <v>144</v>
      </c>
      <c r="T2969" s="2">
        <f>MASTER[[#This Row],[CANTIDAD]]*MASTER[[#This Row],[PRECIO DE VENTA]]</f>
        <v>900</v>
      </c>
      <c r="U2969" s="2">
        <f>MASTER[[#This Row],[CANTIDAD]]*MASTER[[#This Row],[COSTO UNITARIO]]</f>
        <v>424</v>
      </c>
      <c r="V2969" s="2">
        <f>MASTER[[#This Row],[MONTO VENDIDO]]-MASTER[[#This Row],[COSTO DE VENTA]]</f>
        <v>476</v>
      </c>
    </row>
    <row r="2970" spans="1:22" x14ac:dyDescent="0.3">
      <c r="A2970">
        <v>48503</v>
      </c>
      <c r="B2970">
        <v>1</v>
      </c>
      <c r="C2970" t="s">
        <v>92</v>
      </c>
      <c r="D2970" t="s">
        <v>93</v>
      </c>
      <c r="E2970" s="1">
        <v>44183</v>
      </c>
      <c r="F2970">
        <v>1</v>
      </c>
      <c r="G2970" t="s">
        <v>43</v>
      </c>
      <c r="H2970" t="s">
        <v>44</v>
      </c>
      <c r="I2970" s="3">
        <v>1681</v>
      </c>
      <c r="J2970" s="3">
        <v>1681</v>
      </c>
      <c r="K2970" s="3">
        <v>396</v>
      </c>
      <c r="L2970" t="s">
        <v>9</v>
      </c>
      <c r="M2970">
        <v>2</v>
      </c>
      <c r="N2970" t="s">
        <v>86</v>
      </c>
      <c r="O2970" t="s">
        <v>81</v>
      </c>
      <c r="P2970" t="s">
        <v>71</v>
      </c>
      <c r="Q2970" t="s">
        <v>72</v>
      </c>
      <c r="R2970" t="s">
        <v>139</v>
      </c>
      <c r="S2970" t="s">
        <v>144</v>
      </c>
      <c r="T2970" s="2">
        <f>MASTER[[#This Row],[CANTIDAD]]*MASTER[[#This Row],[PRECIO DE VENTA]]</f>
        <v>1681</v>
      </c>
      <c r="U2970" s="2">
        <f>MASTER[[#This Row],[CANTIDAD]]*MASTER[[#This Row],[COSTO UNITARIO]]</f>
        <v>396</v>
      </c>
      <c r="V2970" s="2">
        <f>MASTER[[#This Row],[MONTO VENDIDO]]-MASTER[[#This Row],[COSTO DE VENTA]]</f>
        <v>1285</v>
      </c>
    </row>
    <row r="2971" spans="1:22" x14ac:dyDescent="0.3">
      <c r="A2971">
        <v>48529</v>
      </c>
      <c r="B2971">
        <v>1</v>
      </c>
      <c r="C2971" t="s">
        <v>94</v>
      </c>
      <c r="D2971" t="s">
        <v>95</v>
      </c>
      <c r="E2971" s="1">
        <v>44183</v>
      </c>
      <c r="F2971">
        <v>1</v>
      </c>
      <c r="G2971" t="s">
        <v>33</v>
      </c>
      <c r="H2971" t="s">
        <v>34</v>
      </c>
      <c r="I2971" s="3">
        <v>1048</v>
      </c>
      <c r="J2971" s="3">
        <v>1048</v>
      </c>
      <c r="K2971" s="3">
        <v>392</v>
      </c>
      <c r="L2971" t="s">
        <v>9</v>
      </c>
      <c r="M2971">
        <v>10</v>
      </c>
      <c r="N2971" t="s">
        <v>83</v>
      </c>
      <c r="O2971" t="s">
        <v>81</v>
      </c>
      <c r="P2971" t="s">
        <v>12</v>
      </c>
      <c r="Q2971" t="s">
        <v>13</v>
      </c>
      <c r="R2971" t="s">
        <v>13</v>
      </c>
      <c r="S2971" t="s">
        <v>144</v>
      </c>
      <c r="T2971" s="2">
        <f>MASTER[[#This Row],[CANTIDAD]]*MASTER[[#This Row],[PRECIO DE VENTA]]</f>
        <v>1048</v>
      </c>
      <c r="U2971" s="2">
        <f>MASTER[[#This Row],[CANTIDAD]]*MASTER[[#This Row],[COSTO UNITARIO]]</f>
        <v>392</v>
      </c>
      <c r="V2971" s="2">
        <f>MASTER[[#This Row],[MONTO VENDIDO]]-MASTER[[#This Row],[COSTO DE VENTA]]</f>
        <v>656</v>
      </c>
    </row>
    <row r="2972" spans="1:22" x14ac:dyDescent="0.3">
      <c r="A2972">
        <v>48541</v>
      </c>
      <c r="B2972">
        <v>1</v>
      </c>
      <c r="C2972" t="s">
        <v>111</v>
      </c>
      <c r="D2972" t="s">
        <v>112</v>
      </c>
      <c r="E2972" s="1">
        <v>44183</v>
      </c>
      <c r="F2972">
        <v>1</v>
      </c>
      <c r="G2972" t="s">
        <v>63</v>
      </c>
      <c r="H2972" t="s">
        <v>64</v>
      </c>
      <c r="I2972" s="3">
        <v>1799</v>
      </c>
      <c r="J2972" s="3">
        <v>1799</v>
      </c>
      <c r="K2972" s="3">
        <v>434</v>
      </c>
      <c r="L2972" t="s">
        <v>113</v>
      </c>
      <c r="M2972">
        <v>13</v>
      </c>
      <c r="N2972" t="s">
        <v>78</v>
      </c>
      <c r="O2972" t="s">
        <v>70</v>
      </c>
      <c r="P2972" t="s">
        <v>18</v>
      </c>
      <c r="Q2972" t="s">
        <v>19</v>
      </c>
      <c r="R2972" t="s">
        <v>138</v>
      </c>
      <c r="S2972" t="s">
        <v>144</v>
      </c>
      <c r="T2972" s="2">
        <f>MASTER[[#This Row],[CANTIDAD]]*MASTER[[#This Row],[PRECIO DE VENTA]]</f>
        <v>1799</v>
      </c>
      <c r="U2972" s="2">
        <f>MASTER[[#This Row],[CANTIDAD]]*MASTER[[#This Row],[COSTO UNITARIO]]</f>
        <v>434</v>
      </c>
      <c r="V2972" s="2">
        <f>MASTER[[#This Row],[MONTO VENDIDO]]-MASTER[[#This Row],[COSTO DE VENTA]]</f>
        <v>1365</v>
      </c>
    </row>
    <row r="2973" spans="1:22" x14ac:dyDescent="0.3">
      <c r="A2973">
        <v>48554</v>
      </c>
      <c r="B2973">
        <v>1</v>
      </c>
      <c r="C2973" t="s">
        <v>90</v>
      </c>
      <c r="D2973" t="s">
        <v>91</v>
      </c>
      <c r="E2973" s="1">
        <v>44183</v>
      </c>
      <c r="F2973">
        <v>1</v>
      </c>
      <c r="G2973" t="s">
        <v>51</v>
      </c>
      <c r="H2973" t="s">
        <v>52</v>
      </c>
      <c r="I2973" s="3">
        <v>2102</v>
      </c>
      <c r="J2973" s="3">
        <v>2102</v>
      </c>
      <c r="K2973" s="3">
        <v>420</v>
      </c>
      <c r="L2973" t="s">
        <v>9</v>
      </c>
      <c r="M2973">
        <v>1</v>
      </c>
      <c r="N2973" t="s">
        <v>77</v>
      </c>
      <c r="O2973" t="s">
        <v>70</v>
      </c>
      <c r="P2973" t="s">
        <v>71</v>
      </c>
      <c r="Q2973" t="s">
        <v>72</v>
      </c>
      <c r="R2973" t="s">
        <v>139</v>
      </c>
      <c r="S2973" t="s">
        <v>144</v>
      </c>
      <c r="T2973" s="2">
        <f>MASTER[[#This Row],[CANTIDAD]]*MASTER[[#This Row],[PRECIO DE VENTA]]</f>
        <v>2102</v>
      </c>
      <c r="U2973" s="2">
        <f>MASTER[[#This Row],[CANTIDAD]]*MASTER[[#This Row],[COSTO UNITARIO]]</f>
        <v>420</v>
      </c>
      <c r="V2973" s="2">
        <f>MASTER[[#This Row],[MONTO VENDIDO]]-MASTER[[#This Row],[COSTO DE VENTA]]</f>
        <v>1682</v>
      </c>
    </row>
    <row r="2974" spans="1:22" x14ac:dyDescent="0.3">
      <c r="A2974">
        <v>48558</v>
      </c>
      <c r="B2974">
        <v>1</v>
      </c>
      <c r="C2974" t="s">
        <v>111</v>
      </c>
      <c r="D2974" t="s">
        <v>112</v>
      </c>
      <c r="E2974" s="1">
        <v>44183</v>
      </c>
      <c r="F2974">
        <v>1</v>
      </c>
      <c r="G2974" t="s">
        <v>65</v>
      </c>
      <c r="H2974" t="s">
        <v>66</v>
      </c>
      <c r="I2974" s="3">
        <v>1621</v>
      </c>
      <c r="J2974" s="3">
        <v>1458</v>
      </c>
      <c r="K2974" s="3">
        <v>434</v>
      </c>
      <c r="L2974" t="s">
        <v>113</v>
      </c>
      <c r="M2974">
        <v>10</v>
      </c>
      <c r="N2974" t="s">
        <v>83</v>
      </c>
      <c r="O2974" t="s">
        <v>81</v>
      </c>
      <c r="P2974" t="s">
        <v>12</v>
      </c>
      <c r="Q2974" t="s">
        <v>13</v>
      </c>
      <c r="R2974" t="s">
        <v>13</v>
      </c>
      <c r="S2974" t="s">
        <v>144</v>
      </c>
      <c r="T2974" s="2">
        <f>MASTER[[#This Row],[CANTIDAD]]*MASTER[[#This Row],[PRECIO DE VENTA]]</f>
        <v>1458</v>
      </c>
      <c r="U2974" s="2">
        <f>MASTER[[#This Row],[CANTIDAD]]*MASTER[[#This Row],[COSTO UNITARIO]]</f>
        <v>434</v>
      </c>
      <c r="V2974" s="2">
        <f>MASTER[[#This Row],[MONTO VENDIDO]]-MASTER[[#This Row],[COSTO DE VENTA]]</f>
        <v>1024</v>
      </c>
    </row>
    <row r="2975" spans="1:22" x14ac:dyDescent="0.3">
      <c r="A2975">
        <v>48574</v>
      </c>
      <c r="B2975">
        <v>1</v>
      </c>
      <c r="C2975" t="s">
        <v>101</v>
      </c>
      <c r="D2975" t="s">
        <v>102</v>
      </c>
      <c r="E2975" s="1">
        <v>44184</v>
      </c>
      <c r="F2975">
        <v>1</v>
      </c>
      <c r="G2975" t="s">
        <v>24</v>
      </c>
      <c r="H2975" t="s">
        <v>25</v>
      </c>
      <c r="I2975" s="3">
        <v>1212</v>
      </c>
      <c r="J2975" s="3">
        <v>1212</v>
      </c>
      <c r="K2975" s="3">
        <v>442</v>
      </c>
      <c r="L2975" t="s">
        <v>98</v>
      </c>
      <c r="M2975">
        <v>5</v>
      </c>
      <c r="N2975" t="s">
        <v>85</v>
      </c>
      <c r="O2975" t="s">
        <v>81</v>
      </c>
      <c r="P2975" t="s">
        <v>12</v>
      </c>
      <c r="Q2975" t="s">
        <v>13</v>
      </c>
      <c r="R2975" t="s">
        <v>13</v>
      </c>
      <c r="S2975" t="s">
        <v>144</v>
      </c>
      <c r="T2975" s="2">
        <f>MASTER[[#This Row],[CANTIDAD]]*MASTER[[#This Row],[PRECIO DE VENTA]]</f>
        <v>1212</v>
      </c>
      <c r="U2975" s="2">
        <f>MASTER[[#This Row],[CANTIDAD]]*MASTER[[#This Row],[COSTO UNITARIO]]</f>
        <v>442</v>
      </c>
      <c r="V2975" s="2">
        <f>MASTER[[#This Row],[MONTO VENDIDO]]-MASTER[[#This Row],[COSTO DE VENTA]]</f>
        <v>770</v>
      </c>
    </row>
    <row r="2976" spans="1:22" x14ac:dyDescent="0.3">
      <c r="A2976">
        <v>48584</v>
      </c>
      <c r="B2976">
        <v>1</v>
      </c>
      <c r="C2976" t="s">
        <v>114</v>
      </c>
      <c r="D2976" t="s">
        <v>115</v>
      </c>
      <c r="E2976" s="1">
        <v>44184</v>
      </c>
      <c r="F2976">
        <v>1</v>
      </c>
      <c r="G2976" t="s">
        <v>29</v>
      </c>
      <c r="H2976" t="s">
        <v>30</v>
      </c>
      <c r="I2976" s="3">
        <v>2030</v>
      </c>
      <c r="J2976" s="3">
        <v>1948</v>
      </c>
      <c r="K2976" s="3">
        <v>394</v>
      </c>
      <c r="L2976" t="s">
        <v>113</v>
      </c>
      <c r="M2976">
        <v>1</v>
      </c>
      <c r="N2976" t="s">
        <v>77</v>
      </c>
      <c r="O2976" t="s">
        <v>70</v>
      </c>
      <c r="P2976" t="s">
        <v>71</v>
      </c>
      <c r="Q2976" t="s">
        <v>72</v>
      </c>
      <c r="R2976" t="s">
        <v>139</v>
      </c>
      <c r="S2976" t="s">
        <v>144</v>
      </c>
      <c r="T2976" s="2">
        <f>MASTER[[#This Row],[CANTIDAD]]*MASTER[[#This Row],[PRECIO DE VENTA]]</f>
        <v>1948</v>
      </c>
      <c r="U2976" s="2">
        <f>MASTER[[#This Row],[CANTIDAD]]*MASTER[[#This Row],[COSTO UNITARIO]]</f>
        <v>394</v>
      </c>
      <c r="V2976" s="2">
        <f>MASTER[[#This Row],[MONTO VENDIDO]]-MASTER[[#This Row],[COSTO DE VENTA]]</f>
        <v>1554</v>
      </c>
    </row>
    <row r="2977" spans="1:22" x14ac:dyDescent="0.3">
      <c r="A2977">
        <v>48609</v>
      </c>
      <c r="B2977">
        <v>1</v>
      </c>
      <c r="C2977" t="s">
        <v>114</v>
      </c>
      <c r="D2977" t="s">
        <v>115</v>
      </c>
      <c r="E2977" s="1">
        <v>44184</v>
      </c>
      <c r="F2977">
        <v>1</v>
      </c>
      <c r="G2977" t="s">
        <v>73</v>
      </c>
      <c r="H2977" t="s">
        <v>74</v>
      </c>
      <c r="I2977" s="3">
        <v>1862</v>
      </c>
      <c r="J2977" s="3">
        <v>1694</v>
      </c>
      <c r="K2977" s="3">
        <v>394</v>
      </c>
      <c r="L2977" t="s">
        <v>113</v>
      </c>
      <c r="M2977">
        <v>10</v>
      </c>
      <c r="N2977" t="s">
        <v>83</v>
      </c>
      <c r="O2977" t="s">
        <v>81</v>
      </c>
      <c r="P2977" t="s">
        <v>12</v>
      </c>
      <c r="Q2977" t="s">
        <v>13</v>
      </c>
      <c r="R2977" t="s">
        <v>13</v>
      </c>
      <c r="S2977" t="s">
        <v>144</v>
      </c>
      <c r="T2977" s="2">
        <f>MASTER[[#This Row],[CANTIDAD]]*MASTER[[#This Row],[PRECIO DE VENTA]]</f>
        <v>1694</v>
      </c>
      <c r="U2977" s="2">
        <f>MASTER[[#This Row],[CANTIDAD]]*MASTER[[#This Row],[COSTO UNITARIO]]</f>
        <v>394</v>
      </c>
      <c r="V2977" s="2">
        <f>MASTER[[#This Row],[MONTO VENDIDO]]-MASTER[[#This Row],[COSTO DE VENTA]]</f>
        <v>1300</v>
      </c>
    </row>
    <row r="2978" spans="1:22" x14ac:dyDescent="0.3">
      <c r="A2978">
        <v>48646</v>
      </c>
      <c r="B2978">
        <v>1</v>
      </c>
      <c r="C2978" t="s">
        <v>99</v>
      </c>
      <c r="D2978" t="s">
        <v>100</v>
      </c>
      <c r="E2978" s="1">
        <v>44184</v>
      </c>
      <c r="F2978">
        <v>1</v>
      </c>
      <c r="G2978" t="s">
        <v>33</v>
      </c>
      <c r="H2978" t="s">
        <v>34</v>
      </c>
      <c r="I2978" s="3">
        <v>1678</v>
      </c>
      <c r="J2978" s="3">
        <v>1678</v>
      </c>
      <c r="K2978" s="3">
        <v>386</v>
      </c>
      <c r="L2978" t="s">
        <v>98</v>
      </c>
      <c r="M2978">
        <v>13</v>
      </c>
      <c r="N2978" t="s">
        <v>78</v>
      </c>
      <c r="O2978" t="s">
        <v>70</v>
      </c>
      <c r="P2978" t="s">
        <v>18</v>
      </c>
      <c r="Q2978" t="s">
        <v>19</v>
      </c>
      <c r="R2978" t="s">
        <v>138</v>
      </c>
      <c r="S2978" t="s">
        <v>144</v>
      </c>
      <c r="T2978" s="2">
        <f>MASTER[[#This Row],[CANTIDAD]]*MASTER[[#This Row],[PRECIO DE VENTA]]</f>
        <v>1678</v>
      </c>
      <c r="U2978" s="2">
        <f>MASTER[[#This Row],[CANTIDAD]]*MASTER[[#This Row],[COSTO UNITARIO]]</f>
        <v>386</v>
      </c>
      <c r="V2978" s="2">
        <f>MASTER[[#This Row],[MONTO VENDIDO]]-MASTER[[#This Row],[COSTO DE VENTA]]</f>
        <v>1292</v>
      </c>
    </row>
    <row r="2979" spans="1:22" x14ac:dyDescent="0.3">
      <c r="A2979">
        <v>48651</v>
      </c>
      <c r="B2979">
        <v>1</v>
      </c>
      <c r="C2979" t="s">
        <v>94</v>
      </c>
      <c r="D2979" t="s">
        <v>95</v>
      </c>
      <c r="E2979" s="1">
        <v>44184</v>
      </c>
      <c r="F2979">
        <v>1</v>
      </c>
      <c r="G2979" t="s">
        <v>27</v>
      </c>
      <c r="H2979" t="s">
        <v>28</v>
      </c>
      <c r="I2979" s="3">
        <v>1048</v>
      </c>
      <c r="J2979" s="3">
        <v>1048</v>
      </c>
      <c r="K2979" s="3">
        <v>392</v>
      </c>
      <c r="L2979" t="s">
        <v>9</v>
      </c>
      <c r="M2979">
        <v>7</v>
      </c>
      <c r="N2979" t="s">
        <v>84</v>
      </c>
      <c r="O2979" t="s">
        <v>81</v>
      </c>
      <c r="P2979" t="s">
        <v>12</v>
      </c>
      <c r="Q2979" t="s">
        <v>13</v>
      </c>
      <c r="R2979" t="s">
        <v>13</v>
      </c>
      <c r="S2979" t="s">
        <v>144</v>
      </c>
      <c r="T2979" s="2">
        <f>MASTER[[#This Row],[CANTIDAD]]*MASTER[[#This Row],[PRECIO DE VENTA]]</f>
        <v>1048</v>
      </c>
      <c r="U2979" s="2">
        <f>MASTER[[#This Row],[CANTIDAD]]*MASTER[[#This Row],[COSTO UNITARIO]]</f>
        <v>392</v>
      </c>
      <c r="V2979" s="2">
        <f>MASTER[[#This Row],[MONTO VENDIDO]]-MASTER[[#This Row],[COSTO DE VENTA]]</f>
        <v>656</v>
      </c>
    </row>
    <row r="2980" spans="1:22" x14ac:dyDescent="0.3">
      <c r="A2980">
        <v>48666</v>
      </c>
      <c r="B2980">
        <v>1</v>
      </c>
      <c r="C2980" t="s">
        <v>116</v>
      </c>
      <c r="D2980" t="s">
        <v>117</v>
      </c>
      <c r="E2980" s="1">
        <v>44184</v>
      </c>
      <c r="F2980">
        <v>3</v>
      </c>
      <c r="G2980" t="s">
        <v>53</v>
      </c>
      <c r="H2980" t="s">
        <v>54</v>
      </c>
      <c r="I2980" s="3">
        <v>1738</v>
      </c>
      <c r="J2980" s="3">
        <v>1738</v>
      </c>
      <c r="K2980" s="3">
        <v>388</v>
      </c>
      <c r="L2980" t="s">
        <v>113</v>
      </c>
      <c r="M2980">
        <v>10</v>
      </c>
      <c r="N2980" t="s">
        <v>83</v>
      </c>
      <c r="O2980" t="s">
        <v>81</v>
      </c>
      <c r="P2980" t="s">
        <v>12</v>
      </c>
      <c r="Q2980" t="s">
        <v>13</v>
      </c>
      <c r="R2980" t="s">
        <v>13</v>
      </c>
      <c r="S2980" t="s">
        <v>144</v>
      </c>
      <c r="T2980" s="2">
        <f>MASTER[[#This Row],[CANTIDAD]]*MASTER[[#This Row],[PRECIO DE VENTA]]</f>
        <v>5214</v>
      </c>
      <c r="U2980" s="2">
        <f>MASTER[[#This Row],[CANTIDAD]]*MASTER[[#This Row],[COSTO UNITARIO]]</f>
        <v>1164</v>
      </c>
      <c r="V2980" s="2">
        <f>MASTER[[#This Row],[MONTO VENDIDO]]-MASTER[[#This Row],[COSTO DE VENTA]]</f>
        <v>4050</v>
      </c>
    </row>
    <row r="2981" spans="1:22" x14ac:dyDescent="0.3">
      <c r="A2981">
        <v>48670</v>
      </c>
      <c r="B2981">
        <v>1</v>
      </c>
      <c r="C2981" t="s">
        <v>114</v>
      </c>
      <c r="D2981" t="s">
        <v>115</v>
      </c>
      <c r="E2981" s="1">
        <v>44184</v>
      </c>
      <c r="F2981">
        <v>1</v>
      </c>
      <c r="G2981" t="s">
        <v>20</v>
      </c>
      <c r="H2981" t="s">
        <v>21</v>
      </c>
      <c r="I2981" s="3">
        <v>1862</v>
      </c>
      <c r="J2981" s="3">
        <v>1713</v>
      </c>
      <c r="K2981" s="3">
        <v>394</v>
      </c>
      <c r="L2981" t="s">
        <v>113</v>
      </c>
      <c r="M2981">
        <v>2</v>
      </c>
      <c r="N2981" t="s">
        <v>86</v>
      </c>
      <c r="O2981" t="s">
        <v>81</v>
      </c>
      <c r="P2981" t="s">
        <v>71</v>
      </c>
      <c r="Q2981" t="s">
        <v>72</v>
      </c>
      <c r="R2981" t="s">
        <v>139</v>
      </c>
      <c r="S2981" t="s">
        <v>144</v>
      </c>
      <c r="T2981" s="2">
        <f>MASTER[[#This Row],[CANTIDAD]]*MASTER[[#This Row],[PRECIO DE VENTA]]</f>
        <v>1713</v>
      </c>
      <c r="U2981" s="2">
        <f>MASTER[[#This Row],[CANTIDAD]]*MASTER[[#This Row],[COSTO UNITARIO]]</f>
        <v>394</v>
      </c>
      <c r="V2981" s="2">
        <f>MASTER[[#This Row],[MONTO VENDIDO]]-MASTER[[#This Row],[COSTO DE VENTA]]</f>
        <v>1319</v>
      </c>
    </row>
    <row r="2982" spans="1:22" x14ac:dyDescent="0.3">
      <c r="A2982">
        <v>48671</v>
      </c>
      <c r="B2982">
        <v>1</v>
      </c>
      <c r="C2982" t="s">
        <v>92</v>
      </c>
      <c r="D2982" t="s">
        <v>93</v>
      </c>
      <c r="E2982" s="1">
        <v>44185</v>
      </c>
      <c r="F2982">
        <v>1</v>
      </c>
      <c r="G2982" t="s">
        <v>35</v>
      </c>
      <c r="H2982" t="s">
        <v>36</v>
      </c>
      <c r="I2982" s="3">
        <v>1681</v>
      </c>
      <c r="J2982" s="3">
        <v>1681</v>
      </c>
      <c r="K2982" s="3">
        <v>396</v>
      </c>
      <c r="L2982" t="s">
        <v>9</v>
      </c>
      <c r="M2982">
        <v>5</v>
      </c>
      <c r="N2982" t="s">
        <v>85</v>
      </c>
      <c r="O2982" t="s">
        <v>81</v>
      </c>
      <c r="P2982" t="s">
        <v>12</v>
      </c>
      <c r="Q2982" t="s">
        <v>13</v>
      </c>
      <c r="R2982" t="s">
        <v>13</v>
      </c>
      <c r="S2982" t="s">
        <v>144</v>
      </c>
      <c r="T2982" s="2">
        <f>MASTER[[#This Row],[CANTIDAD]]*MASTER[[#This Row],[PRECIO DE VENTA]]</f>
        <v>1681</v>
      </c>
      <c r="U2982" s="2">
        <f>MASTER[[#This Row],[CANTIDAD]]*MASTER[[#This Row],[COSTO UNITARIO]]</f>
        <v>396</v>
      </c>
      <c r="V2982" s="2">
        <f>MASTER[[#This Row],[MONTO VENDIDO]]-MASTER[[#This Row],[COSTO DE VENTA]]</f>
        <v>1285</v>
      </c>
    </row>
    <row r="2983" spans="1:22" x14ac:dyDescent="0.3">
      <c r="A2983">
        <v>48686</v>
      </c>
      <c r="B2983">
        <v>1</v>
      </c>
      <c r="C2983" t="s">
        <v>107</v>
      </c>
      <c r="D2983" t="s">
        <v>108</v>
      </c>
      <c r="E2983" s="1">
        <v>44185</v>
      </c>
      <c r="F2983">
        <v>1</v>
      </c>
      <c r="G2983" t="s">
        <v>33</v>
      </c>
      <c r="H2983" t="s">
        <v>34</v>
      </c>
      <c r="I2983" s="3">
        <v>1333</v>
      </c>
      <c r="J2983" s="3">
        <v>1333</v>
      </c>
      <c r="K2983" s="3">
        <v>380</v>
      </c>
      <c r="L2983" t="s">
        <v>98</v>
      </c>
      <c r="M2983">
        <v>15</v>
      </c>
      <c r="N2983" t="s">
        <v>88</v>
      </c>
      <c r="O2983" t="s">
        <v>81</v>
      </c>
      <c r="P2983" t="s">
        <v>18</v>
      </c>
      <c r="Q2983" t="s">
        <v>19</v>
      </c>
      <c r="R2983" t="s">
        <v>138</v>
      </c>
      <c r="S2983" t="s">
        <v>144</v>
      </c>
      <c r="T2983" s="2">
        <f>MASTER[[#This Row],[CANTIDAD]]*MASTER[[#This Row],[PRECIO DE VENTA]]</f>
        <v>1333</v>
      </c>
      <c r="U2983" s="2">
        <f>MASTER[[#This Row],[CANTIDAD]]*MASTER[[#This Row],[COSTO UNITARIO]]</f>
        <v>380</v>
      </c>
      <c r="V2983" s="2">
        <f>MASTER[[#This Row],[MONTO VENDIDO]]-MASTER[[#This Row],[COSTO DE VENTA]]</f>
        <v>953</v>
      </c>
    </row>
    <row r="2984" spans="1:22" x14ac:dyDescent="0.3">
      <c r="A2984">
        <v>48713</v>
      </c>
      <c r="B2984">
        <v>1</v>
      </c>
      <c r="C2984" t="s">
        <v>101</v>
      </c>
      <c r="D2984" t="s">
        <v>102</v>
      </c>
      <c r="E2984" s="1">
        <v>44185</v>
      </c>
      <c r="F2984">
        <v>1</v>
      </c>
      <c r="G2984" t="s">
        <v>29</v>
      </c>
      <c r="H2984" t="s">
        <v>30</v>
      </c>
      <c r="I2984" s="3">
        <v>1054</v>
      </c>
      <c r="J2984" s="3">
        <v>1054</v>
      </c>
      <c r="K2984" s="3">
        <v>442</v>
      </c>
      <c r="L2984" t="s">
        <v>98</v>
      </c>
      <c r="M2984">
        <v>12</v>
      </c>
      <c r="N2984" t="s">
        <v>26</v>
      </c>
      <c r="O2984" t="s">
        <v>11</v>
      </c>
      <c r="P2984" t="s">
        <v>12</v>
      </c>
      <c r="Q2984" t="s">
        <v>13</v>
      </c>
      <c r="R2984" t="s">
        <v>13</v>
      </c>
      <c r="S2984" t="s">
        <v>144</v>
      </c>
      <c r="T2984" s="2">
        <f>MASTER[[#This Row],[CANTIDAD]]*MASTER[[#This Row],[PRECIO DE VENTA]]</f>
        <v>1054</v>
      </c>
      <c r="U2984" s="2">
        <f>MASTER[[#This Row],[CANTIDAD]]*MASTER[[#This Row],[COSTO UNITARIO]]</f>
        <v>442</v>
      </c>
      <c r="V2984" s="2">
        <f>MASTER[[#This Row],[MONTO VENDIDO]]-MASTER[[#This Row],[COSTO DE VENTA]]</f>
        <v>612</v>
      </c>
    </row>
    <row r="2985" spans="1:22" x14ac:dyDescent="0.3">
      <c r="A2985">
        <v>48726</v>
      </c>
      <c r="B2985">
        <v>1</v>
      </c>
      <c r="C2985" t="s">
        <v>92</v>
      </c>
      <c r="D2985" t="s">
        <v>93</v>
      </c>
      <c r="E2985" s="1">
        <v>44185</v>
      </c>
      <c r="F2985">
        <v>1</v>
      </c>
      <c r="G2985" t="s">
        <v>47</v>
      </c>
      <c r="H2985" t="s">
        <v>48</v>
      </c>
      <c r="I2985" s="3">
        <v>1866</v>
      </c>
      <c r="J2985" s="3">
        <v>1698</v>
      </c>
      <c r="K2985" s="3">
        <v>396</v>
      </c>
      <c r="L2985" t="s">
        <v>9</v>
      </c>
      <c r="M2985">
        <v>18</v>
      </c>
      <c r="N2985" t="s">
        <v>79</v>
      </c>
      <c r="O2985" t="s">
        <v>70</v>
      </c>
      <c r="P2985" t="s">
        <v>15</v>
      </c>
      <c r="Q2985" t="s">
        <v>16</v>
      </c>
      <c r="R2985" t="s">
        <v>16</v>
      </c>
      <c r="S2985" t="s">
        <v>144</v>
      </c>
      <c r="T2985" s="2">
        <f>MASTER[[#This Row],[CANTIDAD]]*MASTER[[#This Row],[PRECIO DE VENTA]]</f>
        <v>1698</v>
      </c>
      <c r="U2985" s="2">
        <f>MASTER[[#This Row],[CANTIDAD]]*MASTER[[#This Row],[COSTO UNITARIO]]</f>
        <v>396</v>
      </c>
      <c r="V2985" s="2">
        <f>MASTER[[#This Row],[MONTO VENDIDO]]-MASTER[[#This Row],[COSTO DE VENTA]]</f>
        <v>1302</v>
      </c>
    </row>
    <row r="2986" spans="1:22" x14ac:dyDescent="0.3">
      <c r="A2986">
        <v>48753</v>
      </c>
      <c r="B2986">
        <v>1</v>
      </c>
      <c r="C2986" t="s">
        <v>96</v>
      </c>
      <c r="D2986" t="s">
        <v>97</v>
      </c>
      <c r="E2986" s="1">
        <v>44185</v>
      </c>
      <c r="F2986">
        <v>1</v>
      </c>
      <c r="G2986" t="s">
        <v>53</v>
      </c>
      <c r="H2986" t="s">
        <v>54</v>
      </c>
      <c r="I2986" s="3">
        <v>1196</v>
      </c>
      <c r="J2986" s="3">
        <v>1196</v>
      </c>
      <c r="K2986" s="3">
        <v>397</v>
      </c>
      <c r="L2986" t="s">
        <v>98</v>
      </c>
      <c r="M2986">
        <v>11</v>
      </c>
      <c r="N2986" t="s">
        <v>10</v>
      </c>
      <c r="O2986" t="s">
        <v>11</v>
      </c>
      <c r="P2986" t="s">
        <v>12</v>
      </c>
      <c r="Q2986" t="s">
        <v>13</v>
      </c>
      <c r="R2986" t="s">
        <v>13</v>
      </c>
      <c r="S2986" t="s">
        <v>144</v>
      </c>
      <c r="T2986" s="2">
        <f>MASTER[[#This Row],[CANTIDAD]]*MASTER[[#This Row],[PRECIO DE VENTA]]</f>
        <v>1196</v>
      </c>
      <c r="U2986" s="2">
        <f>MASTER[[#This Row],[CANTIDAD]]*MASTER[[#This Row],[COSTO UNITARIO]]</f>
        <v>397</v>
      </c>
      <c r="V2986" s="2">
        <f>MASTER[[#This Row],[MONTO VENDIDO]]-MASTER[[#This Row],[COSTO DE VENTA]]</f>
        <v>799</v>
      </c>
    </row>
    <row r="2987" spans="1:22" x14ac:dyDescent="0.3">
      <c r="A2987">
        <v>48753</v>
      </c>
      <c r="B2987">
        <v>2</v>
      </c>
      <c r="C2987" t="s">
        <v>111</v>
      </c>
      <c r="D2987" t="s">
        <v>112</v>
      </c>
      <c r="E2987" s="1">
        <v>44185</v>
      </c>
      <c r="F2987">
        <v>1</v>
      </c>
      <c r="G2987" t="s">
        <v>27</v>
      </c>
      <c r="H2987" t="s">
        <v>28</v>
      </c>
      <c r="I2987" s="3">
        <v>1524</v>
      </c>
      <c r="J2987" s="3">
        <v>1524</v>
      </c>
      <c r="K2987" s="3">
        <v>434</v>
      </c>
      <c r="L2987" t="s">
        <v>113</v>
      </c>
      <c r="M2987">
        <v>11</v>
      </c>
      <c r="N2987" t="s">
        <v>10</v>
      </c>
      <c r="O2987" t="s">
        <v>11</v>
      </c>
      <c r="P2987" t="s">
        <v>12</v>
      </c>
      <c r="Q2987" t="s">
        <v>13</v>
      </c>
      <c r="R2987" t="s">
        <v>13</v>
      </c>
      <c r="S2987" t="s">
        <v>144</v>
      </c>
      <c r="T2987" s="2">
        <f>MASTER[[#This Row],[CANTIDAD]]*MASTER[[#This Row],[PRECIO DE VENTA]]</f>
        <v>1524</v>
      </c>
      <c r="U2987" s="2">
        <f>MASTER[[#This Row],[CANTIDAD]]*MASTER[[#This Row],[COSTO UNITARIO]]</f>
        <v>434</v>
      </c>
      <c r="V2987" s="2">
        <f>MASTER[[#This Row],[MONTO VENDIDO]]-MASTER[[#This Row],[COSTO DE VENTA]]</f>
        <v>1090</v>
      </c>
    </row>
    <row r="2988" spans="1:22" x14ac:dyDescent="0.3">
      <c r="A2988">
        <v>48772</v>
      </c>
      <c r="B2988">
        <v>1</v>
      </c>
      <c r="C2988" t="s">
        <v>96</v>
      </c>
      <c r="D2988" t="s">
        <v>97</v>
      </c>
      <c r="E2988" s="1">
        <v>44185</v>
      </c>
      <c r="F2988">
        <v>1</v>
      </c>
      <c r="G2988" t="s">
        <v>22</v>
      </c>
      <c r="H2988" t="s">
        <v>23</v>
      </c>
      <c r="I2988" s="3">
        <v>1272</v>
      </c>
      <c r="J2988" s="3">
        <v>1157</v>
      </c>
      <c r="K2988" s="3">
        <v>397</v>
      </c>
      <c r="L2988" t="s">
        <v>98</v>
      </c>
      <c r="M2988">
        <v>19</v>
      </c>
      <c r="N2988" t="s">
        <v>89</v>
      </c>
      <c r="O2988" t="s">
        <v>81</v>
      </c>
      <c r="P2988" t="s">
        <v>15</v>
      </c>
      <c r="Q2988" t="s">
        <v>16</v>
      </c>
      <c r="R2988" t="s">
        <v>16</v>
      </c>
      <c r="S2988" t="s">
        <v>144</v>
      </c>
      <c r="T2988" s="2">
        <f>MASTER[[#This Row],[CANTIDAD]]*MASTER[[#This Row],[PRECIO DE VENTA]]</f>
        <v>1157</v>
      </c>
      <c r="U2988" s="2">
        <f>MASTER[[#This Row],[CANTIDAD]]*MASTER[[#This Row],[COSTO UNITARIO]]</f>
        <v>397</v>
      </c>
      <c r="V2988" s="2">
        <f>MASTER[[#This Row],[MONTO VENDIDO]]-MASTER[[#This Row],[COSTO DE VENTA]]</f>
        <v>760</v>
      </c>
    </row>
    <row r="2989" spans="1:22" x14ac:dyDescent="0.3">
      <c r="A2989">
        <v>48780</v>
      </c>
      <c r="B2989">
        <v>1</v>
      </c>
      <c r="C2989" t="s">
        <v>116</v>
      </c>
      <c r="D2989" t="s">
        <v>117</v>
      </c>
      <c r="E2989" s="1">
        <v>44185</v>
      </c>
      <c r="F2989">
        <v>1</v>
      </c>
      <c r="G2989" t="s">
        <v>39</v>
      </c>
      <c r="H2989" t="s">
        <v>40</v>
      </c>
      <c r="I2989" s="3">
        <v>1999</v>
      </c>
      <c r="J2989" s="3">
        <v>1999</v>
      </c>
      <c r="K2989" s="3">
        <v>388</v>
      </c>
      <c r="L2989" t="s">
        <v>113</v>
      </c>
      <c r="M2989">
        <v>13</v>
      </c>
      <c r="N2989" t="s">
        <v>78</v>
      </c>
      <c r="O2989" t="s">
        <v>70</v>
      </c>
      <c r="P2989" t="s">
        <v>18</v>
      </c>
      <c r="Q2989" t="s">
        <v>19</v>
      </c>
      <c r="R2989" t="s">
        <v>138</v>
      </c>
      <c r="S2989" t="s">
        <v>144</v>
      </c>
      <c r="T2989" s="2">
        <f>MASTER[[#This Row],[CANTIDAD]]*MASTER[[#This Row],[PRECIO DE VENTA]]</f>
        <v>1999</v>
      </c>
      <c r="U2989" s="2">
        <f>MASTER[[#This Row],[CANTIDAD]]*MASTER[[#This Row],[COSTO UNITARIO]]</f>
        <v>388</v>
      </c>
      <c r="V2989" s="2">
        <f>MASTER[[#This Row],[MONTO VENDIDO]]-MASTER[[#This Row],[COSTO DE VENTA]]</f>
        <v>1611</v>
      </c>
    </row>
    <row r="2990" spans="1:22" x14ac:dyDescent="0.3">
      <c r="A2990">
        <v>48783</v>
      </c>
      <c r="B2990">
        <v>1</v>
      </c>
      <c r="C2990" t="s">
        <v>114</v>
      </c>
      <c r="D2990" t="s">
        <v>115</v>
      </c>
      <c r="E2990" s="1">
        <v>44185</v>
      </c>
      <c r="F2990">
        <v>1</v>
      </c>
      <c r="G2990" t="s">
        <v>55</v>
      </c>
      <c r="H2990" t="s">
        <v>56</v>
      </c>
      <c r="I2990" s="3">
        <v>1862</v>
      </c>
      <c r="J2990" s="3">
        <v>1862</v>
      </c>
      <c r="K2990" s="3">
        <v>394</v>
      </c>
      <c r="L2990" t="s">
        <v>113</v>
      </c>
      <c r="M2990">
        <v>2</v>
      </c>
      <c r="N2990" t="s">
        <v>86</v>
      </c>
      <c r="O2990" t="s">
        <v>81</v>
      </c>
      <c r="P2990" t="s">
        <v>71</v>
      </c>
      <c r="Q2990" t="s">
        <v>72</v>
      </c>
      <c r="R2990" t="s">
        <v>139</v>
      </c>
      <c r="S2990" t="s">
        <v>144</v>
      </c>
      <c r="T2990" s="2">
        <f>MASTER[[#This Row],[CANTIDAD]]*MASTER[[#This Row],[PRECIO DE VENTA]]</f>
        <v>1862</v>
      </c>
      <c r="U2990" s="2">
        <f>MASTER[[#This Row],[CANTIDAD]]*MASTER[[#This Row],[COSTO UNITARIO]]</f>
        <v>394</v>
      </c>
      <c r="V2990" s="2">
        <f>MASTER[[#This Row],[MONTO VENDIDO]]-MASTER[[#This Row],[COSTO DE VENTA]]</f>
        <v>1468</v>
      </c>
    </row>
    <row r="2991" spans="1:22" x14ac:dyDescent="0.3">
      <c r="A2991">
        <v>48825</v>
      </c>
      <c r="B2991">
        <v>1</v>
      </c>
      <c r="C2991" t="s">
        <v>103</v>
      </c>
      <c r="D2991" t="s">
        <v>104</v>
      </c>
      <c r="E2991" s="1">
        <v>44185</v>
      </c>
      <c r="F2991">
        <v>1</v>
      </c>
      <c r="G2991" t="s">
        <v>51</v>
      </c>
      <c r="H2991" t="s">
        <v>52</v>
      </c>
      <c r="I2991" s="3">
        <v>1591</v>
      </c>
      <c r="J2991" s="3">
        <v>1591</v>
      </c>
      <c r="K2991" s="3">
        <v>421</v>
      </c>
      <c r="L2991" t="s">
        <v>98</v>
      </c>
      <c r="M2991">
        <v>7</v>
      </c>
      <c r="N2991" t="s">
        <v>84</v>
      </c>
      <c r="O2991" t="s">
        <v>81</v>
      </c>
      <c r="P2991" t="s">
        <v>12</v>
      </c>
      <c r="Q2991" t="s">
        <v>13</v>
      </c>
      <c r="R2991" t="s">
        <v>13</v>
      </c>
      <c r="S2991" t="s">
        <v>144</v>
      </c>
      <c r="T2991" s="2">
        <f>MASTER[[#This Row],[CANTIDAD]]*MASTER[[#This Row],[PRECIO DE VENTA]]</f>
        <v>1591</v>
      </c>
      <c r="U2991" s="2">
        <f>MASTER[[#This Row],[CANTIDAD]]*MASTER[[#This Row],[COSTO UNITARIO]]</f>
        <v>421</v>
      </c>
      <c r="V2991" s="2">
        <f>MASTER[[#This Row],[MONTO VENDIDO]]-MASTER[[#This Row],[COSTO DE VENTA]]</f>
        <v>1170</v>
      </c>
    </row>
    <row r="2992" spans="1:22" x14ac:dyDescent="0.3">
      <c r="A2992">
        <v>48829</v>
      </c>
      <c r="B2992">
        <v>1</v>
      </c>
      <c r="C2992" t="s">
        <v>118</v>
      </c>
      <c r="D2992" t="s">
        <v>119</v>
      </c>
      <c r="E2992" s="1">
        <v>44185</v>
      </c>
      <c r="F2992">
        <v>1</v>
      </c>
      <c r="G2992" t="s">
        <v>67</v>
      </c>
      <c r="H2992" t="s">
        <v>68</v>
      </c>
      <c r="I2992" s="3">
        <v>1026</v>
      </c>
      <c r="J2992" s="3">
        <v>1026</v>
      </c>
      <c r="K2992" s="3">
        <v>424</v>
      </c>
      <c r="L2992" t="s">
        <v>120</v>
      </c>
      <c r="M2992">
        <v>18</v>
      </c>
      <c r="N2992" t="s">
        <v>79</v>
      </c>
      <c r="O2992" t="s">
        <v>70</v>
      </c>
      <c r="P2992" t="s">
        <v>15</v>
      </c>
      <c r="Q2992" t="s">
        <v>16</v>
      </c>
      <c r="R2992" t="s">
        <v>16</v>
      </c>
      <c r="S2992" t="s">
        <v>144</v>
      </c>
      <c r="T2992" s="2">
        <f>MASTER[[#This Row],[CANTIDAD]]*MASTER[[#This Row],[PRECIO DE VENTA]]</f>
        <v>1026</v>
      </c>
      <c r="U2992" s="2">
        <f>MASTER[[#This Row],[CANTIDAD]]*MASTER[[#This Row],[COSTO UNITARIO]]</f>
        <v>424</v>
      </c>
      <c r="V2992" s="2">
        <f>MASTER[[#This Row],[MONTO VENDIDO]]-MASTER[[#This Row],[COSTO DE VENTA]]</f>
        <v>602</v>
      </c>
    </row>
    <row r="2993" spans="1:22" x14ac:dyDescent="0.3">
      <c r="A2993">
        <v>48835</v>
      </c>
      <c r="B2993">
        <v>1</v>
      </c>
      <c r="C2993" t="s">
        <v>92</v>
      </c>
      <c r="D2993" t="s">
        <v>93</v>
      </c>
      <c r="E2993" s="1">
        <v>44186</v>
      </c>
      <c r="F2993">
        <v>1</v>
      </c>
      <c r="G2993" t="s">
        <v>63</v>
      </c>
      <c r="H2993" t="s">
        <v>64</v>
      </c>
      <c r="I2993" s="3">
        <v>1681</v>
      </c>
      <c r="J2993" s="3">
        <v>1681</v>
      </c>
      <c r="K2993" s="3">
        <v>396</v>
      </c>
      <c r="L2993" t="s">
        <v>9</v>
      </c>
      <c r="M2993">
        <v>2</v>
      </c>
      <c r="N2993" t="s">
        <v>86</v>
      </c>
      <c r="O2993" t="s">
        <v>81</v>
      </c>
      <c r="P2993" t="s">
        <v>71</v>
      </c>
      <c r="Q2993" t="s">
        <v>72</v>
      </c>
      <c r="R2993" t="s">
        <v>139</v>
      </c>
      <c r="S2993" t="s">
        <v>144</v>
      </c>
      <c r="T2993" s="2">
        <f>MASTER[[#This Row],[CANTIDAD]]*MASTER[[#This Row],[PRECIO DE VENTA]]</f>
        <v>1681</v>
      </c>
      <c r="U2993" s="2">
        <f>MASTER[[#This Row],[CANTIDAD]]*MASTER[[#This Row],[COSTO UNITARIO]]</f>
        <v>396</v>
      </c>
      <c r="V2993" s="2">
        <f>MASTER[[#This Row],[MONTO VENDIDO]]-MASTER[[#This Row],[COSTO DE VENTA]]</f>
        <v>1285</v>
      </c>
    </row>
    <row r="2994" spans="1:22" x14ac:dyDescent="0.3">
      <c r="A2994">
        <v>48844</v>
      </c>
      <c r="B2994">
        <v>1</v>
      </c>
      <c r="C2994" t="s">
        <v>101</v>
      </c>
      <c r="D2994" t="s">
        <v>102</v>
      </c>
      <c r="E2994" s="1">
        <v>44186</v>
      </c>
      <c r="F2994">
        <v>1</v>
      </c>
      <c r="G2994" t="s">
        <v>24</v>
      </c>
      <c r="H2994" t="s">
        <v>25</v>
      </c>
      <c r="I2994" s="3">
        <v>1357</v>
      </c>
      <c r="J2994" s="3">
        <v>1302</v>
      </c>
      <c r="K2994" s="3">
        <v>442</v>
      </c>
      <c r="L2994" t="s">
        <v>98</v>
      </c>
      <c r="M2994">
        <v>13</v>
      </c>
      <c r="N2994" t="s">
        <v>78</v>
      </c>
      <c r="O2994" t="s">
        <v>70</v>
      </c>
      <c r="P2994" t="s">
        <v>18</v>
      </c>
      <c r="Q2994" t="s">
        <v>19</v>
      </c>
      <c r="R2994" t="s">
        <v>138</v>
      </c>
      <c r="S2994" t="s">
        <v>144</v>
      </c>
      <c r="T2994" s="2">
        <f>MASTER[[#This Row],[CANTIDAD]]*MASTER[[#This Row],[PRECIO DE VENTA]]</f>
        <v>1302</v>
      </c>
      <c r="U2994" s="2">
        <f>MASTER[[#This Row],[CANTIDAD]]*MASTER[[#This Row],[COSTO UNITARIO]]</f>
        <v>442</v>
      </c>
      <c r="V2994" s="2">
        <f>MASTER[[#This Row],[MONTO VENDIDO]]-MASTER[[#This Row],[COSTO DE VENTA]]</f>
        <v>860</v>
      </c>
    </row>
    <row r="2995" spans="1:22" x14ac:dyDescent="0.3">
      <c r="A2995">
        <v>48846</v>
      </c>
      <c r="B2995">
        <v>1</v>
      </c>
      <c r="C2995" t="s">
        <v>103</v>
      </c>
      <c r="D2995" t="s">
        <v>104</v>
      </c>
      <c r="E2995" s="1">
        <v>44186</v>
      </c>
      <c r="F2995">
        <v>1</v>
      </c>
      <c r="G2995" t="s">
        <v>27</v>
      </c>
      <c r="H2995" t="s">
        <v>28</v>
      </c>
      <c r="I2995" s="3">
        <v>1591</v>
      </c>
      <c r="J2995" s="3">
        <v>1591</v>
      </c>
      <c r="K2995" s="3">
        <v>421</v>
      </c>
      <c r="L2995" t="s">
        <v>98</v>
      </c>
      <c r="M2995">
        <v>4</v>
      </c>
      <c r="N2995" t="s">
        <v>82</v>
      </c>
      <c r="O2995" t="s">
        <v>81</v>
      </c>
      <c r="P2995" t="s">
        <v>71</v>
      </c>
      <c r="Q2995" t="s">
        <v>72</v>
      </c>
      <c r="R2995" t="s">
        <v>139</v>
      </c>
      <c r="S2995" t="s">
        <v>144</v>
      </c>
      <c r="T2995" s="2">
        <f>MASTER[[#This Row],[CANTIDAD]]*MASTER[[#This Row],[PRECIO DE VENTA]]</f>
        <v>1591</v>
      </c>
      <c r="U2995" s="2">
        <f>MASTER[[#This Row],[CANTIDAD]]*MASTER[[#This Row],[COSTO UNITARIO]]</f>
        <v>421</v>
      </c>
      <c r="V2995" s="2">
        <f>MASTER[[#This Row],[MONTO VENDIDO]]-MASTER[[#This Row],[COSTO DE VENTA]]</f>
        <v>1170</v>
      </c>
    </row>
    <row r="2996" spans="1:22" x14ac:dyDescent="0.3">
      <c r="A2996">
        <v>48853</v>
      </c>
      <c r="B2996">
        <v>1</v>
      </c>
      <c r="C2996" t="s">
        <v>99</v>
      </c>
      <c r="D2996" t="s">
        <v>100</v>
      </c>
      <c r="E2996" s="1">
        <v>44186</v>
      </c>
      <c r="F2996">
        <v>1</v>
      </c>
      <c r="G2996" t="s">
        <v>33</v>
      </c>
      <c r="H2996" t="s">
        <v>34</v>
      </c>
      <c r="I2996" s="3">
        <v>1459</v>
      </c>
      <c r="J2996" s="3">
        <v>1459</v>
      </c>
      <c r="K2996" s="3">
        <v>386</v>
      </c>
      <c r="L2996" t="s">
        <v>98</v>
      </c>
      <c r="M2996">
        <v>15</v>
      </c>
      <c r="N2996" t="s">
        <v>88</v>
      </c>
      <c r="O2996" t="s">
        <v>81</v>
      </c>
      <c r="P2996" t="s">
        <v>18</v>
      </c>
      <c r="Q2996" t="s">
        <v>19</v>
      </c>
      <c r="R2996" t="s">
        <v>138</v>
      </c>
      <c r="S2996" t="s">
        <v>144</v>
      </c>
      <c r="T2996" s="2">
        <f>MASTER[[#This Row],[CANTIDAD]]*MASTER[[#This Row],[PRECIO DE VENTA]]</f>
        <v>1459</v>
      </c>
      <c r="U2996" s="2">
        <f>MASTER[[#This Row],[CANTIDAD]]*MASTER[[#This Row],[COSTO UNITARIO]]</f>
        <v>386</v>
      </c>
      <c r="V2996" s="2">
        <f>MASTER[[#This Row],[MONTO VENDIDO]]-MASTER[[#This Row],[COSTO DE VENTA]]</f>
        <v>1073</v>
      </c>
    </row>
    <row r="2997" spans="1:22" x14ac:dyDescent="0.3">
      <c r="A2997">
        <v>48862</v>
      </c>
      <c r="B2997">
        <v>1</v>
      </c>
      <c r="C2997" t="s">
        <v>96</v>
      </c>
      <c r="D2997" t="s">
        <v>97</v>
      </c>
      <c r="E2997" s="1">
        <v>44186</v>
      </c>
      <c r="F2997">
        <v>1</v>
      </c>
      <c r="G2997" t="s">
        <v>27</v>
      </c>
      <c r="H2997" t="s">
        <v>28</v>
      </c>
      <c r="I2997" s="3">
        <v>1272</v>
      </c>
      <c r="J2997" s="3">
        <v>1272</v>
      </c>
      <c r="K2997" s="3">
        <v>397</v>
      </c>
      <c r="L2997" t="s">
        <v>98</v>
      </c>
      <c r="M2997">
        <v>2</v>
      </c>
      <c r="N2997" t="s">
        <v>86</v>
      </c>
      <c r="O2997" t="s">
        <v>81</v>
      </c>
      <c r="P2997" t="s">
        <v>71</v>
      </c>
      <c r="Q2997" t="s">
        <v>72</v>
      </c>
      <c r="R2997" t="s">
        <v>139</v>
      </c>
      <c r="S2997" t="s">
        <v>144</v>
      </c>
      <c r="T2997" s="2">
        <f>MASTER[[#This Row],[CANTIDAD]]*MASTER[[#This Row],[PRECIO DE VENTA]]</f>
        <v>1272</v>
      </c>
      <c r="U2997" s="2">
        <f>MASTER[[#This Row],[CANTIDAD]]*MASTER[[#This Row],[COSTO UNITARIO]]</f>
        <v>397</v>
      </c>
      <c r="V2997" s="2">
        <f>MASTER[[#This Row],[MONTO VENDIDO]]-MASTER[[#This Row],[COSTO DE VENTA]]</f>
        <v>875</v>
      </c>
    </row>
    <row r="2998" spans="1:22" x14ac:dyDescent="0.3">
      <c r="A2998">
        <v>48870</v>
      </c>
      <c r="B2998">
        <v>1</v>
      </c>
      <c r="C2998" t="s">
        <v>105</v>
      </c>
      <c r="D2998" t="s">
        <v>106</v>
      </c>
      <c r="E2998" s="1">
        <v>44186</v>
      </c>
      <c r="F2998">
        <v>1</v>
      </c>
      <c r="G2998" t="s">
        <v>29</v>
      </c>
      <c r="H2998" t="s">
        <v>30</v>
      </c>
      <c r="I2998" s="3">
        <v>1865</v>
      </c>
      <c r="J2998" s="3">
        <v>1865</v>
      </c>
      <c r="K2998" s="3">
        <v>459</v>
      </c>
      <c r="L2998" t="s">
        <v>98</v>
      </c>
      <c r="M2998">
        <v>15</v>
      </c>
      <c r="N2998" t="s">
        <v>88</v>
      </c>
      <c r="O2998" t="s">
        <v>81</v>
      </c>
      <c r="P2998" t="s">
        <v>18</v>
      </c>
      <c r="Q2998" t="s">
        <v>19</v>
      </c>
      <c r="R2998" t="s">
        <v>138</v>
      </c>
      <c r="S2998" t="s">
        <v>144</v>
      </c>
      <c r="T2998" s="2">
        <f>MASTER[[#This Row],[CANTIDAD]]*MASTER[[#This Row],[PRECIO DE VENTA]]</f>
        <v>1865</v>
      </c>
      <c r="U2998" s="2">
        <f>MASTER[[#This Row],[CANTIDAD]]*MASTER[[#This Row],[COSTO UNITARIO]]</f>
        <v>459</v>
      </c>
      <c r="V2998" s="2">
        <f>MASTER[[#This Row],[MONTO VENDIDO]]-MASTER[[#This Row],[COSTO DE VENTA]]</f>
        <v>1406</v>
      </c>
    </row>
    <row r="2999" spans="1:22" x14ac:dyDescent="0.3">
      <c r="A2999">
        <v>48880</v>
      </c>
      <c r="B2999">
        <v>1</v>
      </c>
      <c r="C2999" t="s">
        <v>92</v>
      </c>
      <c r="D2999" t="s">
        <v>93</v>
      </c>
      <c r="E2999" s="1">
        <v>44186</v>
      </c>
      <c r="F2999">
        <v>1</v>
      </c>
      <c r="G2999" t="s">
        <v>41</v>
      </c>
      <c r="H2999" t="s">
        <v>42</v>
      </c>
      <c r="I2999" s="3">
        <v>1479</v>
      </c>
      <c r="J2999" s="3">
        <v>1479</v>
      </c>
      <c r="K2999" s="3">
        <v>396</v>
      </c>
      <c r="L2999" t="s">
        <v>9</v>
      </c>
      <c r="M2999">
        <v>12</v>
      </c>
      <c r="N2999" t="s">
        <v>26</v>
      </c>
      <c r="O2999" t="s">
        <v>11</v>
      </c>
      <c r="P2999" t="s">
        <v>12</v>
      </c>
      <c r="Q2999" t="s">
        <v>13</v>
      </c>
      <c r="R2999" t="s">
        <v>13</v>
      </c>
      <c r="S2999" t="s">
        <v>144</v>
      </c>
      <c r="T2999" s="2">
        <f>MASTER[[#This Row],[CANTIDAD]]*MASTER[[#This Row],[PRECIO DE VENTA]]</f>
        <v>1479</v>
      </c>
      <c r="U2999" s="2">
        <f>MASTER[[#This Row],[CANTIDAD]]*MASTER[[#This Row],[COSTO UNITARIO]]</f>
        <v>396</v>
      </c>
      <c r="V2999" s="2">
        <f>MASTER[[#This Row],[MONTO VENDIDO]]-MASTER[[#This Row],[COSTO DE VENTA]]</f>
        <v>1083</v>
      </c>
    </row>
    <row r="3000" spans="1:22" x14ac:dyDescent="0.3">
      <c r="A3000">
        <v>48909</v>
      </c>
      <c r="B3000">
        <v>1</v>
      </c>
      <c r="C3000" t="s">
        <v>114</v>
      </c>
      <c r="D3000" t="s">
        <v>115</v>
      </c>
      <c r="E3000" s="1">
        <v>44186</v>
      </c>
      <c r="F3000">
        <v>1</v>
      </c>
      <c r="G3000" t="s">
        <v>27</v>
      </c>
      <c r="H3000" t="s">
        <v>28</v>
      </c>
      <c r="I3000" s="3">
        <v>1862</v>
      </c>
      <c r="J3000" s="3">
        <v>1862</v>
      </c>
      <c r="K3000" s="3">
        <v>394</v>
      </c>
      <c r="L3000" t="s">
        <v>113</v>
      </c>
      <c r="M3000">
        <v>2</v>
      </c>
      <c r="N3000" t="s">
        <v>86</v>
      </c>
      <c r="O3000" t="s">
        <v>81</v>
      </c>
      <c r="P3000" t="s">
        <v>71</v>
      </c>
      <c r="Q3000" t="s">
        <v>72</v>
      </c>
      <c r="R3000" t="s">
        <v>139</v>
      </c>
      <c r="S3000" t="s">
        <v>144</v>
      </c>
      <c r="T3000" s="2">
        <f>MASTER[[#This Row],[CANTIDAD]]*MASTER[[#This Row],[PRECIO DE VENTA]]</f>
        <v>1862</v>
      </c>
      <c r="U3000" s="2">
        <f>MASTER[[#This Row],[CANTIDAD]]*MASTER[[#This Row],[COSTO UNITARIO]]</f>
        <v>394</v>
      </c>
      <c r="V3000" s="2">
        <f>MASTER[[#This Row],[MONTO VENDIDO]]-MASTER[[#This Row],[COSTO DE VENTA]]</f>
        <v>1468</v>
      </c>
    </row>
    <row r="3001" spans="1:22" x14ac:dyDescent="0.3">
      <c r="A3001">
        <v>48963</v>
      </c>
      <c r="B3001">
        <v>1</v>
      </c>
      <c r="C3001" t="s">
        <v>121</v>
      </c>
      <c r="D3001" t="s">
        <v>122</v>
      </c>
      <c r="E3001" s="1">
        <v>44186</v>
      </c>
      <c r="F3001">
        <v>1</v>
      </c>
      <c r="G3001" t="s">
        <v>39</v>
      </c>
      <c r="H3001" t="s">
        <v>40</v>
      </c>
      <c r="I3001" s="3">
        <v>1069</v>
      </c>
      <c r="J3001" s="3">
        <v>1069</v>
      </c>
      <c r="K3001" s="3">
        <v>460</v>
      </c>
      <c r="L3001" t="s">
        <v>120</v>
      </c>
      <c r="M3001">
        <v>19</v>
      </c>
      <c r="N3001" t="s">
        <v>89</v>
      </c>
      <c r="O3001" t="s">
        <v>81</v>
      </c>
      <c r="P3001" t="s">
        <v>15</v>
      </c>
      <c r="Q3001" t="s">
        <v>16</v>
      </c>
      <c r="R3001" t="s">
        <v>16</v>
      </c>
      <c r="S3001" t="s">
        <v>144</v>
      </c>
      <c r="T3001" s="2">
        <f>MASTER[[#This Row],[CANTIDAD]]*MASTER[[#This Row],[PRECIO DE VENTA]]</f>
        <v>1069</v>
      </c>
      <c r="U3001" s="2">
        <f>MASTER[[#This Row],[CANTIDAD]]*MASTER[[#This Row],[COSTO UNITARIO]]</f>
        <v>460</v>
      </c>
      <c r="V3001" s="2">
        <f>MASTER[[#This Row],[MONTO VENDIDO]]-MASTER[[#This Row],[COSTO DE VENTA]]</f>
        <v>609</v>
      </c>
    </row>
    <row r="3002" spans="1:22" x14ac:dyDescent="0.3">
      <c r="A3002">
        <v>48971</v>
      </c>
      <c r="B3002">
        <v>1</v>
      </c>
      <c r="C3002" t="s">
        <v>109</v>
      </c>
      <c r="D3002" t="s">
        <v>110</v>
      </c>
      <c r="E3002" s="1">
        <v>44187</v>
      </c>
      <c r="F3002">
        <v>1</v>
      </c>
      <c r="G3002" t="s">
        <v>33</v>
      </c>
      <c r="H3002" t="s">
        <v>34</v>
      </c>
      <c r="I3002" s="3">
        <v>1128</v>
      </c>
      <c r="J3002" s="3">
        <v>1128</v>
      </c>
      <c r="K3002" s="3">
        <v>387</v>
      </c>
      <c r="L3002" t="s">
        <v>98</v>
      </c>
      <c r="M3002">
        <v>6</v>
      </c>
      <c r="N3002" t="s">
        <v>75</v>
      </c>
      <c r="O3002" t="s">
        <v>70</v>
      </c>
      <c r="P3002" t="s">
        <v>12</v>
      </c>
      <c r="Q3002" t="s">
        <v>13</v>
      </c>
      <c r="R3002" t="s">
        <v>13</v>
      </c>
      <c r="S3002" t="s">
        <v>144</v>
      </c>
      <c r="T3002" s="2">
        <f>MASTER[[#This Row],[CANTIDAD]]*MASTER[[#This Row],[PRECIO DE VENTA]]</f>
        <v>1128</v>
      </c>
      <c r="U3002" s="2">
        <f>MASTER[[#This Row],[CANTIDAD]]*MASTER[[#This Row],[COSTO UNITARIO]]</f>
        <v>387</v>
      </c>
      <c r="V3002" s="2">
        <f>MASTER[[#This Row],[MONTO VENDIDO]]-MASTER[[#This Row],[COSTO DE VENTA]]</f>
        <v>741</v>
      </c>
    </row>
    <row r="3003" spans="1:22" x14ac:dyDescent="0.3">
      <c r="A3003">
        <v>48983</v>
      </c>
      <c r="B3003">
        <v>1</v>
      </c>
      <c r="C3003" t="s">
        <v>103</v>
      </c>
      <c r="D3003" t="s">
        <v>104</v>
      </c>
      <c r="E3003" s="1">
        <v>44187</v>
      </c>
      <c r="F3003">
        <v>1</v>
      </c>
      <c r="G3003" t="s">
        <v>20</v>
      </c>
      <c r="H3003" t="s">
        <v>21</v>
      </c>
      <c r="I3003" s="3">
        <v>1448</v>
      </c>
      <c r="J3003" s="3">
        <v>1448</v>
      </c>
      <c r="K3003" s="3">
        <v>421</v>
      </c>
      <c r="L3003" t="s">
        <v>98</v>
      </c>
      <c r="M3003">
        <v>17</v>
      </c>
      <c r="N3003" t="s">
        <v>14</v>
      </c>
      <c r="O3003" t="s">
        <v>11</v>
      </c>
      <c r="P3003" t="s">
        <v>15</v>
      </c>
      <c r="Q3003" t="s">
        <v>16</v>
      </c>
      <c r="R3003" t="s">
        <v>16</v>
      </c>
      <c r="S3003" t="s">
        <v>144</v>
      </c>
      <c r="T3003" s="2">
        <f>MASTER[[#This Row],[CANTIDAD]]*MASTER[[#This Row],[PRECIO DE VENTA]]</f>
        <v>1448</v>
      </c>
      <c r="U3003" s="2">
        <f>MASTER[[#This Row],[CANTIDAD]]*MASTER[[#This Row],[COSTO UNITARIO]]</f>
        <v>421</v>
      </c>
      <c r="V3003" s="2">
        <f>MASTER[[#This Row],[MONTO VENDIDO]]-MASTER[[#This Row],[COSTO DE VENTA]]</f>
        <v>1027</v>
      </c>
    </row>
    <row r="3004" spans="1:22" x14ac:dyDescent="0.3">
      <c r="A3004">
        <v>49032</v>
      </c>
      <c r="B3004">
        <v>1</v>
      </c>
      <c r="C3004" t="s">
        <v>5</v>
      </c>
      <c r="D3004" t="s">
        <v>6</v>
      </c>
      <c r="E3004" s="1">
        <v>44188</v>
      </c>
      <c r="F3004">
        <v>1</v>
      </c>
      <c r="G3004" t="s">
        <v>45</v>
      </c>
      <c r="H3004" t="s">
        <v>46</v>
      </c>
      <c r="I3004" s="3">
        <v>1296</v>
      </c>
      <c r="J3004" s="3">
        <v>1296</v>
      </c>
      <c r="K3004" s="3">
        <v>393</v>
      </c>
      <c r="L3004" t="s">
        <v>9</v>
      </c>
      <c r="M3004">
        <v>13</v>
      </c>
      <c r="N3004" t="s">
        <v>78</v>
      </c>
      <c r="O3004" t="s">
        <v>70</v>
      </c>
      <c r="P3004" t="s">
        <v>18</v>
      </c>
      <c r="Q3004" t="s">
        <v>19</v>
      </c>
      <c r="R3004" t="s">
        <v>138</v>
      </c>
      <c r="S3004" t="s">
        <v>144</v>
      </c>
      <c r="T3004" s="2">
        <f>MASTER[[#This Row],[CANTIDAD]]*MASTER[[#This Row],[PRECIO DE VENTA]]</f>
        <v>1296</v>
      </c>
      <c r="U3004" s="2">
        <f>MASTER[[#This Row],[CANTIDAD]]*MASTER[[#This Row],[COSTO UNITARIO]]</f>
        <v>393</v>
      </c>
      <c r="V3004" s="2">
        <f>MASTER[[#This Row],[MONTO VENDIDO]]-MASTER[[#This Row],[COSTO DE VENTA]]</f>
        <v>903</v>
      </c>
    </row>
    <row r="3005" spans="1:22" x14ac:dyDescent="0.3">
      <c r="A3005">
        <v>49056</v>
      </c>
      <c r="B3005">
        <v>1</v>
      </c>
      <c r="C3005" t="s">
        <v>101</v>
      </c>
      <c r="D3005" t="s">
        <v>102</v>
      </c>
      <c r="E3005" s="1">
        <v>44188</v>
      </c>
      <c r="F3005">
        <v>1</v>
      </c>
      <c r="G3005" t="s">
        <v>22</v>
      </c>
      <c r="H3005" t="s">
        <v>23</v>
      </c>
      <c r="I3005" s="3">
        <v>1212</v>
      </c>
      <c r="J3005" s="3">
        <v>1212</v>
      </c>
      <c r="K3005" s="3">
        <v>442</v>
      </c>
      <c r="L3005" t="s">
        <v>98</v>
      </c>
      <c r="M3005">
        <v>7</v>
      </c>
      <c r="N3005" t="s">
        <v>84</v>
      </c>
      <c r="O3005" t="s">
        <v>81</v>
      </c>
      <c r="P3005" t="s">
        <v>12</v>
      </c>
      <c r="Q3005" t="s">
        <v>13</v>
      </c>
      <c r="R3005" t="s">
        <v>13</v>
      </c>
      <c r="S3005" t="s">
        <v>144</v>
      </c>
      <c r="T3005" s="2">
        <f>MASTER[[#This Row],[CANTIDAD]]*MASTER[[#This Row],[PRECIO DE VENTA]]</f>
        <v>1212</v>
      </c>
      <c r="U3005" s="2">
        <f>MASTER[[#This Row],[CANTIDAD]]*MASTER[[#This Row],[COSTO UNITARIO]]</f>
        <v>442</v>
      </c>
      <c r="V3005" s="2">
        <f>MASTER[[#This Row],[MONTO VENDIDO]]-MASTER[[#This Row],[COSTO DE VENTA]]</f>
        <v>770</v>
      </c>
    </row>
    <row r="3006" spans="1:22" x14ac:dyDescent="0.3">
      <c r="A3006">
        <v>49062</v>
      </c>
      <c r="B3006">
        <v>1</v>
      </c>
      <c r="C3006" t="s">
        <v>99</v>
      </c>
      <c r="D3006" t="s">
        <v>100</v>
      </c>
      <c r="E3006" s="1">
        <v>44188</v>
      </c>
      <c r="F3006">
        <v>1</v>
      </c>
      <c r="G3006" t="s">
        <v>20</v>
      </c>
      <c r="H3006" t="s">
        <v>21</v>
      </c>
      <c r="I3006" s="3">
        <v>1459</v>
      </c>
      <c r="J3006" s="3">
        <v>1459</v>
      </c>
      <c r="K3006" s="3">
        <v>386</v>
      </c>
      <c r="L3006" t="s">
        <v>98</v>
      </c>
      <c r="M3006">
        <v>8</v>
      </c>
      <c r="N3006" t="s">
        <v>80</v>
      </c>
      <c r="O3006" t="s">
        <v>81</v>
      </c>
      <c r="P3006" t="s">
        <v>12</v>
      </c>
      <c r="Q3006" t="s">
        <v>13</v>
      </c>
      <c r="R3006" t="s">
        <v>13</v>
      </c>
      <c r="S3006" t="s">
        <v>144</v>
      </c>
      <c r="T3006" s="2">
        <f>MASTER[[#This Row],[CANTIDAD]]*MASTER[[#This Row],[PRECIO DE VENTA]]</f>
        <v>1459</v>
      </c>
      <c r="U3006" s="2">
        <f>MASTER[[#This Row],[CANTIDAD]]*MASTER[[#This Row],[COSTO UNITARIO]]</f>
        <v>386</v>
      </c>
      <c r="V3006" s="2">
        <f>MASTER[[#This Row],[MONTO VENDIDO]]-MASTER[[#This Row],[COSTO DE VENTA]]</f>
        <v>1073</v>
      </c>
    </row>
    <row r="3007" spans="1:22" x14ac:dyDescent="0.3">
      <c r="A3007">
        <v>49085</v>
      </c>
      <c r="B3007">
        <v>1</v>
      </c>
      <c r="C3007" t="s">
        <v>114</v>
      </c>
      <c r="D3007" t="s">
        <v>115</v>
      </c>
      <c r="E3007" s="1">
        <v>44188</v>
      </c>
      <c r="F3007">
        <v>1</v>
      </c>
      <c r="G3007" t="s">
        <v>31</v>
      </c>
      <c r="H3007" t="s">
        <v>32</v>
      </c>
      <c r="I3007" s="3">
        <v>1583</v>
      </c>
      <c r="J3007" s="3">
        <v>1583</v>
      </c>
      <c r="K3007" s="3">
        <v>394</v>
      </c>
      <c r="L3007" t="s">
        <v>113</v>
      </c>
      <c r="M3007">
        <v>17</v>
      </c>
      <c r="N3007" t="s">
        <v>14</v>
      </c>
      <c r="O3007" t="s">
        <v>11</v>
      </c>
      <c r="P3007" t="s">
        <v>15</v>
      </c>
      <c r="Q3007" t="s">
        <v>16</v>
      </c>
      <c r="R3007" t="s">
        <v>16</v>
      </c>
      <c r="S3007" t="s">
        <v>144</v>
      </c>
      <c r="T3007" s="2">
        <f>MASTER[[#This Row],[CANTIDAD]]*MASTER[[#This Row],[PRECIO DE VENTA]]</f>
        <v>1583</v>
      </c>
      <c r="U3007" s="2">
        <f>MASTER[[#This Row],[CANTIDAD]]*MASTER[[#This Row],[COSTO UNITARIO]]</f>
        <v>394</v>
      </c>
      <c r="V3007" s="2">
        <f>MASTER[[#This Row],[MONTO VENDIDO]]-MASTER[[#This Row],[COSTO DE VENTA]]</f>
        <v>1189</v>
      </c>
    </row>
    <row r="3008" spans="1:22" x14ac:dyDescent="0.3">
      <c r="A3008">
        <v>49089</v>
      </c>
      <c r="B3008">
        <v>1</v>
      </c>
      <c r="C3008" t="s">
        <v>118</v>
      </c>
      <c r="D3008" t="s">
        <v>119</v>
      </c>
      <c r="E3008" s="1">
        <v>44188</v>
      </c>
      <c r="F3008">
        <v>1</v>
      </c>
      <c r="G3008" t="s">
        <v>27</v>
      </c>
      <c r="H3008" t="s">
        <v>28</v>
      </c>
      <c r="I3008" s="3">
        <v>801</v>
      </c>
      <c r="J3008" s="3">
        <v>801</v>
      </c>
      <c r="K3008" s="3">
        <v>424</v>
      </c>
      <c r="L3008" t="s">
        <v>120</v>
      </c>
      <c r="M3008">
        <v>12</v>
      </c>
      <c r="N3008" t="s">
        <v>26</v>
      </c>
      <c r="O3008" t="s">
        <v>11</v>
      </c>
      <c r="P3008" t="s">
        <v>12</v>
      </c>
      <c r="Q3008" t="s">
        <v>13</v>
      </c>
      <c r="R3008" t="s">
        <v>13</v>
      </c>
      <c r="S3008" t="s">
        <v>144</v>
      </c>
      <c r="T3008" s="2">
        <f>MASTER[[#This Row],[CANTIDAD]]*MASTER[[#This Row],[PRECIO DE VENTA]]</f>
        <v>801</v>
      </c>
      <c r="U3008" s="2">
        <f>MASTER[[#This Row],[CANTIDAD]]*MASTER[[#This Row],[COSTO UNITARIO]]</f>
        <v>424</v>
      </c>
      <c r="V3008" s="2">
        <f>MASTER[[#This Row],[MONTO VENDIDO]]-MASTER[[#This Row],[COSTO DE VENTA]]</f>
        <v>377</v>
      </c>
    </row>
    <row r="3009" spans="1:22" x14ac:dyDescent="0.3">
      <c r="A3009">
        <v>49105</v>
      </c>
      <c r="B3009">
        <v>1</v>
      </c>
      <c r="C3009" t="s">
        <v>103</v>
      </c>
      <c r="D3009" t="s">
        <v>104</v>
      </c>
      <c r="E3009" s="1">
        <v>44188</v>
      </c>
      <c r="F3009">
        <v>1</v>
      </c>
      <c r="G3009" t="s">
        <v>29</v>
      </c>
      <c r="H3009" t="s">
        <v>30</v>
      </c>
      <c r="I3009" s="3">
        <v>1591</v>
      </c>
      <c r="J3009" s="3">
        <v>1591</v>
      </c>
      <c r="K3009" s="3">
        <v>421</v>
      </c>
      <c r="L3009" t="s">
        <v>98</v>
      </c>
      <c r="M3009">
        <v>2</v>
      </c>
      <c r="N3009" t="s">
        <v>86</v>
      </c>
      <c r="O3009" t="s">
        <v>81</v>
      </c>
      <c r="P3009" t="s">
        <v>71</v>
      </c>
      <c r="Q3009" t="s">
        <v>72</v>
      </c>
      <c r="R3009" t="s">
        <v>139</v>
      </c>
      <c r="S3009" t="s">
        <v>144</v>
      </c>
      <c r="T3009" s="2">
        <f>MASTER[[#This Row],[CANTIDAD]]*MASTER[[#This Row],[PRECIO DE VENTA]]</f>
        <v>1591</v>
      </c>
      <c r="U3009" s="2">
        <f>MASTER[[#This Row],[CANTIDAD]]*MASTER[[#This Row],[COSTO UNITARIO]]</f>
        <v>421</v>
      </c>
      <c r="V3009" s="2">
        <f>MASTER[[#This Row],[MONTO VENDIDO]]-MASTER[[#This Row],[COSTO DE VENTA]]</f>
        <v>1170</v>
      </c>
    </row>
    <row r="3010" spans="1:22" x14ac:dyDescent="0.3">
      <c r="A3010">
        <v>49106</v>
      </c>
      <c r="B3010">
        <v>1</v>
      </c>
      <c r="C3010" t="s">
        <v>121</v>
      </c>
      <c r="D3010" t="s">
        <v>122</v>
      </c>
      <c r="E3010" s="1">
        <v>44188</v>
      </c>
      <c r="F3010">
        <v>1</v>
      </c>
      <c r="G3010" t="s">
        <v>53</v>
      </c>
      <c r="H3010" t="s">
        <v>54</v>
      </c>
      <c r="I3010" s="3">
        <v>1144</v>
      </c>
      <c r="J3010" s="3">
        <v>1086</v>
      </c>
      <c r="K3010" s="3">
        <v>460</v>
      </c>
      <c r="L3010" t="s">
        <v>120</v>
      </c>
      <c r="M3010">
        <v>3</v>
      </c>
      <c r="N3010" t="s">
        <v>69</v>
      </c>
      <c r="O3010" t="s">
        <v>70</v>
      </c>
      <c r="P3010" t="s">
        <v>71</v>
      </c>
      <c r="Q3010" t="s">
        <v>72</v>
      </c>
      <c r="R3010" t="s">
        <v>139</v>
      </c>
      <c r="S3010" t="s">
        <v>144</v>
      </c>
      <c r="T3010" s="2">
        <f>MASTER[[#This Row],[CANTIDAD]]*MASTER[[#This Row],[PRECIO DE VENTA]]</f>
        <v>1086</v>
      </c>
      <c r="U3010" s="2">
        <f>MASTER[[#This Row],[CANTIDAD]]*MASTER[[#This Row],[COSTO UNITARIO]]</f>
        <v>460</v>
      </c>
      <c r="V3010" s="2">
        <f>MASTER[[#This Row],[MONTO VENDIDO]]-MASTER[[#This Row],[COSTO DE VENTA]]</f>
        <v>626</v>
      </c>
    </row>
    <row r="3011" spans="1:22" x14ac:dyDescent="0.3">
      <c r="A3011">
        <v>49112</v>
      </c>
      <c r="B3011">
        <v>1</v>
      </c>
      <c r="C3011" t="s">
        <v>90</v>
      </c>
      <c r="D3011" t="s">
        <v>91</v>
      </c>
      <c r="E3011" s="1">
        <v>44188</v>
      </c>
      <c r="F3011">
        <v>1</v>
      </c>
      <c r="G3011" t="s">
        <v>39</v>
      </c>
      <c r="H3011" t="s">
        <v>40</v>
      </c>
      <c r="I3011" s="3">
        <v>2102</v>
      </c>
      <c r="J3011" s="3">
        <v>2102</v>
      </c>
      <c r="K3011" s="3">
        <v>420</v>
      </c>
      <c r="L3011" t="s">
        <v>9</v>
      </c>
      <c r="M3011">
        <v>9</v>
      </c>
      <c r="N3011" t="s">
        <v>76</v>
      </c>
      <c r="O3011" t="s">
        <v>70</v>
      </c>
      <c r="P3011" t="s">
        <v>12</v>
      </c>
      <c r="Q3011" t="s">
        <v>13</v>
      </c>
      <c r="R3011" t="s">
        <v>13</v>
      </c>
      <c r="S3011" t="s">
        <v>144</v>
      </c>
      <c r="T3011" s="2">
        <f>MASTER[[#This Row],[CANTIDAD]]*MASTER[[#This Row],[PRECIO DE VENTA]]</f>
        <v>2102</v>
      </c>
      <c r="U3011" s="2">
        <f>MASTER[[#This Row],[CANTIDAD]]*MASTER[[#This Row],[COSTO UNITARIO]]</f>
        <v>420</v>
      </c>
      <c r="V3011" s="2">
        <f>MASTER[[#This Row],[MONTO VENDIDO]]-MASTER[[#This Row],[COSTO DE VENTA]]</f>
        <v>1682</v>
      </c>
    </row>
    <row r="3012" spans="1:22" x14ac:dyDescent="0.3">
      <c r="A3012">
        <v>49119</v>
      </c>
      <c r="B3012">
        <v>1</v>
      </c>
      <c r="C3012" t="s">
        <v>5</v>
      </c>
      <c r="D3012" t="s">
        <v>6</v>
      </c>
      <c r="E3012" s="1">
        <v>44188</v>
      </c>
      <c r="F3012">
        <v>1</v>
      </c>
      <c r="G3012" t="s">
        <v>29</v>
      </c>
      <c r="H3012" t="s">
        <v>30</v>
      </c>
      <c r="I3012" s="3">
        <v>1507</v>
      </c>
      <c r="J3012" s="3">
        <v>1507</v>
      </c>
      <c r="K3012" s="3">
        <v>393</v>
      </c>
      <c r="L3012" t="s">
        <v>9</v>
      </c>
      <c r="M3012">
        <v>14</v>
      </c>
      <c r="N3012" t="s">
        <v>87</v>
      </c>
      <c r="O3012" t="s">
        <v>81</v>
      </c>
      <c r="P3012" t="s">
        <v>18</v>
      </c>
      <c r="Q3012" t="s">
        <v>19</v>
      </c>
      <c r="R3012" t="s">
        <v>138</v>
      </c>
      <c r="S3012" t="s">
        <v>144</v>
      </c>
      <c r="T3012" s="2">
        <f>MASTER[[#This Row],[CANTIDAD]]*MASTER[[#This Row],[PRECIO DE VENTA]]</f>
        <v>1507</v>
      </c>
      <c r="U3012" s="2">
        <f>MASTER[[#This Row],[CANTIDAD]]*MASTER[[#This Row],[COSTO UNITARIO]]</f>
        <v>393</v>
      </c>
      <c r="V3012" s="2">
        <f>MASTER[[#This Row],[MONTO VENDIDO]]-MASTER[[#This Row],[COSTO DE VENTA]]</f>
        <v>1114</v>
      </c>
    </row>
    <row r="3013" spans="1:22" x14ac:dyDescent="0.3">
      <c r="A3013">
        <v>49125</v>
      </c>
      <c r="B3013">
        <v>1</v>
      </c>
      <c r="C3013" t="s">
        <v>5</v>
      </c>
      <c r="D3013" t="s">
        <v>6</v>
      </c>
      <c r="E3013" s="1">
        <v>44188</v>
      </c>
      <c r="F3013">
        <v>1</v>
      </c>
      <c r="G3013" t="s">
        <v>37</v>
      </c>
      <c r="H3013" t="s">
        <v>38</v>
      </c>
      <c r="I3013" s="3">
        <v>1296</v>
      </c>
      <c r="J3013" s="3">
        <v>1296</v>
      </c>
      <c r="K3013" s="3">
        <v>393</v>
      </c>
      <c r="L3013" t="s">
        <v>9</v>
      </c>
      <c r="M3013">
        <v>6</v>
      </c>
      <c r="N3013" t="s">
        <v>75</v>
      </c>
      <c r="O3013" t="s">
        <v>70</v>
      </c>
      <c r="P3013" t="s">
        <v>12</v>
      </c>
      <c r="Q3013" t="s">
        <v>13</v>
      </c>
      <c r="R3013" t="s">
        <v>13</v>
      </c>
      <c r="S3013" t="s">
        <v>144</v>
      </c>
      <c r="T3013" s="2">
        <f>MASTER[[#This Row],[CANTIDAD]]*MASTER[[#This Row],[PRECIO DE VENTA]]</f>
        <v>1296</v>
      </c>
      <c r="U3013" s="2">
        <f>MASTER[[#This Row],[CANTIDAD]]*MASTER[[#This Row],[COSTO UNITARIO]]</f>
        <v>393</v>
      </c>
      <c r="V3013" s="2">
        <f>MASTER[[#This Row],[MONTO VENDIDO]]-MASTER[[#This Row],[COSTO DE VENTA]]</f>
        <v>903</v>
      </c>
    </row>
    <row r="3014" spans="1:22" x14ac:dyDescent="0.3">
      <c r="A3014">
        <v>49140</v>
      </c>
      <c r="B3014">
        <v>1</v>
      </c>
      <c r="C3014" t="s">
        <v>111</v>
      </c>
      <c r="D3014" t="s">
        <v>112</v>
      </c>
      <c r="E3014" s="1">
        <v>44189</v>
      </c>
      <c r="F3014">
        <v>1</v>
      </c>
      <c r="G3014" t="s">
        <v>37</v>
      </c>
      <c r="H3014" t="s">
        <v>38</v>
      </c>
      <c r="I3014" s="3">
        <v>1524</v>
      </c>
      <c r="J3014" s="3">
        <v>1524</v>
      </c>
      <c r="K3014" s="3">
        <v>434</v>
      </c>
      <c r="L3014" t="s">
        <v>113</v>
      </c>
      <c r="M3014">
        <v>12</v>
      </c>
      <c r="N3014" t="s">
        <v>26</v>
      </c>
      <c r="O3014" t="s">
        <v>11</v>
      </c>
      <c r="P3014" t="s">
        <v>12</v>
      </c>
      <c r="Q3014" t="s">
        <v>13</v>
      </c>
      <c r="R3014" t="s">
        <v>13</v>
      </c>
      <c r="S3014" t="s">
        <v>144</v>
      </c>
      <c r="T3014" s="2">
        <f>MASTER[[#This Row],[CANTIDAD]]*MASTER[[#This Row],[PRECIO DE VENTA]]</f>
        <v>1524</v>
      </c>
      <c r="U3014" s="2">
        <f>MASTER[[#This Row],[CANTIDAD]]*MASTER[[#This Row],[COSTO UNITARIO]]</f>
        <v>434</v>
      </c>
      <c r="V3014" s="2">
        <f>MASTER[[#This Row],[MONTO VENDIDO]]-MASTER[[#This Row],[COSTO DE VENTA]]</f>
        <v>1090</v>
      </c>
    </row>
    <row r="3015" spans="1:22" x14ac:dyDescent="0.3">
      <c r="A3015">
        <v>49164</v>
      </c>
      <c r="B3015">
        <v>1</v>
      </c>
      <c r="C3015" t="s">
        <v>111</v>
      </c>
      <c r="D3015" t="s">
        <v>112</v>
      </c>
      <c r="E3015" s="1">
        <v>44189</v>
      </c>
      <c r="F3015">
        <v>1</v>
      </c>
      <c r="G3015" t="s">
        <v>55</v>
      </c>
      <c r="H3015" t="s">
        <v>56</v>
      </c>
      <c r="I3015" s="3">
        <v>1621</v>
      </c>
      <c r="J3015" s="3">
        <v>1621</v>
      </c>
      <c r="K3015" s="3">
        <v>434</v>
      </c>
      <c r="L3015" t="s">
        <v>113</v>
      </c>
      <c r="M3015">
        <v>19</v>
      </c>
      <c r="N3015" t="s">
        <v>89</v>
      </c>
      <c r="O3015" t="s">
        <v>81</v>
      </c>
      <c r="P3015" t="s">
        <v>15</v>
      </c>
      <c r="Q3015" t="s">
        <v>16</v>
      </c>
      <c r="R3015" t="s">
        <v>16</v>
      </c>
      <c r="S3015" t="s">
        <v>144</v>
      </c>
      <c r="T3015" s="2">
        <f>MASTER[[#This Row],[CANTIDAD]]*MASTER[[#This Row],[PRECIO DE VENTA]]</f>
        <v>1621</v>
      </c>
      <c r="U3015" s="2">
        <f>MASTER[[#This Row],[CANTIDAD]]*MASTER[[#This Row],[COSTO UNITARIO]]</f>
        <v>434</v>
      </c>
      <c r="V3015" s="2">
        <f>MASTER[[#This Row],[MONTO VENDIDO]]-MASTER[[#This Row],[COSTO DE VENTA]]</f>
        <v>1187</v>
      </c>
    </row>
    <row r="3016" spans="1:22" x14ac:dyDescent="0.3">
      <c r="A3016">
        <v>49177</v>
      </c>
      <c r="B3016">
        <v>1</v>
      </c>
      <c r="C3016" t="s">
        <v>90</v>
      </c>
      <c r="D3016" t="s">
        <v>91</v>
      </c>
      <c r="E3016" s="1">
        <v>44189</v>
      </c>
      <c r="F3016">
        <v>1</v>
      </c>
      <c r="G3016" t="s">
        <v>22</v>
      </c>
      <c r="H3016" t="s">
        <v>23</v>
      </c>
      <c r="I3016" s="3">
        <v>2102</v>
      </c>
      <c r="J3016" s="3">
        <v>2102</v>
      </c>
      <c r="K3016" s="3">
        <v>420</v>
      </c>
      <c r="L3016" t="s">
        <v>9</v>
      </c>
      <c r="M3016">
        <v>3</v>
      </c>
      <c r="N3016" t="s">
        <v>69</v>
      </c>
      <c r="O3016" t="s">
        <v>70</v>
      </c>
      <c r="P3016" t="s">
        <v>71</v>
      </c>
      <c r="Q3016" t="s">
        <v>72</v>
      </c>
      <c r="R3016" t="s">
        <v>139</v>
      </c>
      <c r="S3016" t="s">
        <v>144</v>
      </c>
      <c r="T3016" s="2">
        <f>MASTER[[#This Row],[CANTIDAD]]*MASTER[[#This Row],[PRECIO DE VENTA]]</f>
        <v>2102</v>
      </c>
      <c r="U3016" s="2">
        <f>MASTER[[#This Row],[CANTIDAD]]*MASTER[[#This Row],[COSTO UNITARIO]]</f>
        <v>420</v>
      </c>
      <c r="V3016" s="2">
        <f>MASTER[[#This Row],[MONTO VENDIDO]]-MASTER[[#This Row],[COSTO DE VENTA]]</f>
        <v>1682</v>
      </c>
    </row>
    <row r="3017" spans="1:22" x14ac:dyDescent="0.3">
      <c r="A3017">
        <v>49178</v>
      </c>
      <c r="B3017">
        <v>1</v>
      </c>
      <c r="C3017" t="s">
        <v>96</v>
      </c>
      <c r="D3017" t="s">
        <v>97</v>
      </c>
      <c r="E3017" s="1">
        <v>44189</v>
      </c>
      <c r="F3017">
        <v>1</v>
      </c>
      <c r="G3017" t="s">
        <v>20</v>
      </c>
      <c r="H3017" t="s">
        <v>21</v>
      </c>
      <c r="I3017" s="3">
        <v>1361</v>
      </c>
      <c r="J3017" s="3">
        <v>1361</v>
      </c>
      <c r="K3017" s="3">
        <v>397</v>
      </c>
      <c r="L3017" t="s">
        <v>98</v>
      </c>
      <c r="M3017">
        <v>13</v>
      </c>
      <c r="N3017" t="s">
        <v>78</v>
      </c>
      <c r="O3017" t="s">
        <v>70</v>
      </c>
      <c r="P3017" t="s">
        <v>18</v>
      </c>
      <c r="Q3017" t="s">
        <v>19</v>
      </c>
      <c r="R3017" t="s">
        <v>138</v>
      </c>
      <c r="S3017" t="s">
        <v>144</v>
      </c>
      <c r="T3017" s="2">
        <f>MASTER[[#This Row],[CANTIDAD]]*MASTER[[#This Row],[PRECIO DE VENTA]]</f>
        <v>1361</v>
      </c>
      <c r="U3017" s="2">
        <f>MASTER[[#This Row],[CANTIDAD]]*MASTER[[#This Row],[COSTO UNITARIO]]</f>
        <v>397</v>
      </c>
      <c r="V3017" s="2">
        <f>MASTER[[#This Row],[MONTO VENDIDO]]-MASTER[[#This Row],[COSTO DE VENTA]]</f>
        <v>964</v>
      </c>
    </row>
    <row r="3018" spans="1:22" x14ac:dyDescent="0.3">
      <c r="A3018">
        <v>49213</v>
      </c>
      <c r="B3018">
        <v>2</v>
      </c>
      <c r="C3018" t="s">
        <v>99</v>
      </c>
      <c r="D3018" t="s">
        <v>100</v>
      </c>
      <c r="E3018" s="1">
        <v>44189</v>
      </c>
      <c r="F3018">
        <v>1</v>
      </c>
      <c r="G3018" t="s">
        <v>22</v>
      </c>
      <c r="H3018" t="s">
        <v>23</v>
      </c>
      <c r="I3018" s="3">
        <v>1328</v>
      </c>
      <c r="J3018" s="3">
        <v>1328</v>
      </c>
      <c r="K3018" s="3">
        <v>386</v>
      </c>
      <c r="L3018" t="s">
        <v>98</v>
      </c>
      <c r="M3018">
        <v>11</v>
      </c>
      <c r="N3018" t="s">
        <v>10</v>
      </c>
      <c r="O3018" t="s">
        <v>11</v>
      </c>
      <c r="P3018" t="s">
        <v>12</v>
      </c>
      <c r="Q3018" t="s">
        <v>13</v>
      </c>
      <c r="R3018" t="s">
        <v>13</v>
      </c>
      <c r="S3018" t="s">
        <v>144</v>
      </c>
      <c r="T3018" s="2">
        <f>MASTER[[#This Row],[CANTIDAD]]*MASTER[[#This Row],[PRECIO DE VENTA]]</f>
        <v>1328</v>
      </c>
      <c r="U3018" s="2">
        <f>MASTER[[#This Row],[CANTIDAD]]*MASTER[[#This Row],[COSTO UNITARIO]]</f>
        <v>386</v>
      </c>
      <c r="V3018" s="2">
        <f>MASTER[[#This Row],[MONTO VENDIDO]]-MASTER[[#This Row],[COSTO DE VENTA]]</f>
        <v>942</v>
      </c>
    </row>
    <row r="3019" spans="1:22" x14ac:dyDescent="0.3">
      <c r="A3019">
        <v>49213</v>
      </c>
      <c r="B3019">
        <v>1</v>
      </c>
      <c r="C3019" t="s">
        <v>111</v>
      </c>
      <c r="D3019" t="s">
        <v>112</v>
      </c>
      <c r="E3019" s="1">
        <v>44189</v>
      </c>
      <c r="F3019">
        <v>1</v>
      </c>
      <c r="G3019" t="s">
        <v>45</v>
      </c>
      <c r="H3019" t="s">
        <v>46</v>
      </c>
      <c r="I3019" s="3">
        <v>1524</v>
      </c>
      <c r="J3019" s="3">
        <v>1524</v>
      </c>
      <c r="K3019" s="3">
        <v>434</v>
      </c>
      <c r="L3019" t="s">
        <v>113</v>
      </c>
      <c r="M3019">
        <v>11</v>
      </c>
      <c r="N3019" t="s">
        <v>10</v>
      </c>
      <c r="O3019" t="s">
        <v>11</v>
      </c>
      <c r="P3019" t="s">
        <v>12</v>
      </c>
      <c r="Q3019" t="s">
        <v>13</v>
      </c>
      <c r="R3019" t="s">
        <v>13</v>
      </c>
      <c r="S3019" t="s">
        <v>144</v>
      </c>
      <c r="T3019" s="2">
        <f>MASTER[[#This Row],[CANTIDAD]]*MASTER[[#This Row],[PRECIO DE VENTA]]</f>
        <v>1524</v>
      </c>
      <c r="U3019" s="2">
        <f>MASTER[[#This Row],[CANTIDAD]]*MASTER[[#This Row],[COSTO UNITARIO]]</f>
        <v>434</v>
      </c>
      <c r="V3019" s="2">
        <f>MASTER[[#This Row],[MONTO VENDIDO]]-MASTER[[#This Row],[COSTO DE VENTA]]</f>
        <v>1090</v>
      </c>
    </row>
    <row r="3020" spans="1:22" x14ac:dyDescent="0.3">
      <c r="A3020">
        <v>49259</v>
      </c>
      <c r="B3020">
        <v>1</v>
      </c>
      <c r="C3020" t="s">
        <v>116</v>
      </c>
      <c r="D3020" t="s">
        <v>117</v>
      </c>
      <c r="E3020" s="1">
        <v>44189</v>
      </c>
      <c r="F3020">
        <v>1</v>
      </c>
      <c r="G3020" t="s">
        <v>57</v>
      </c>
      <c r="H3020" t="s">
        <v>58</v>
      </c>
      <c r="I3020" s="3">
        <v>1738</v>
      </c>
      <c r="J3020" s="3">
        <v>1738</v>
      </c>
      <c r="K3020" s="3">
        <v>388</v>
      </c>
      <c r="L3020" t="s">
        <v>113</v>
      </c>
      <c r="M3020">
        <v>10</v>
      </c>
      <c r="N3020" t="s">
        <v>83</v>
      </c>
      <c r="O3020" t="s">
        <v>81</v>
      </c>
      <c r="P3020" t="s">
        <v>12</v>
      </c>
      <c r="Q3020" t="s">
        <v>13</v>
      </c>
      <c r="R3020" t="s">
        <v>13</v>
      </c>
      <c r="S3020" t="s">
        <v>144</v>
      </c>
      <c r="T3020" s="2">
        <f>MASTER[[#This Row],[CANTIDAD]]*MASTER[[#This Row],[PRECIO DE VENTA]]</f>
        <v>1738</v>
      </c>
      <c r="U3020" s="2">
        <f>MASTER[[#This Row],[CANTIDAD]]*MASTER[[#This Row],[COSTO UNITARIO]]</f>
        <v>388</v>
      </c>
      <c r="V3020" s="2">
        <f>MASTER[[#This Row],[MONTO VENDIDO]]-MASTER[[#This Row],[COSTO DE VENTA]]</f>
        <v>1350</v>
      </c>
    </row>
    <row r="3021" spans="1:22" x14ac:dyDescent="0.3">
      <c r="A3021">
        <v>49272</v>
      </c>
      <c r="B3021">
        <v>1</v>
      </c>
      <c r="C3021" t="s">
        <v>103</v>
      </c>
      <c r="D3021" t="s">
        <v>104</v>
      </c>
      <c r="E3021" s="1">
        <v>44189</v>
      </c>
      <c r="F3021">
        <v>1</v>
      </c>
      <c r="G3021" t="s">
        <v>53</v>
      </c>
      <c r="H3021" t="s">
        <v>54</v>
      </c>
      <c r="I3021" s="3">
        <v>1448</v>
      </c>
      <c r="J3021" s="3">
        <v>1448</v>
      </c>
      <c r="K3021" s="3">
        <v>421</v>
      </c>
      <c r="L3021" t="s">
        <v>98</v>
      </c>
      <c r="M3021">
        <v>17</v>
      </c>
      <c r="N3021" t="s">
        <v>14</v>
      </c>
      <c r="O3021" t="s">
        <v>11</v>
      </c>
      <c r="P3021" t="s">
        <v>15</v>
      </c>
      <c r="Q3021" t="s">
        <v>16</v>
      </c>
      <c r="R3021" t="s">
        <v>16</v>
      </c>
      <c r="S3021" t="s">
        <v>144</v>
      </c>
      <c r="T3021" s="2">
        <f>MASTER[[#This Row],[CANTIDAD]]*MASTER[[#This Row],[PRECIO DE VENTA]]</f>
        <v>1448</v>
      </c>
      <c r="U3021" s="2">
        <f>MASTER[[#This Row],[CANTIDAD]]*MASTER[[#This Row],[COSTO UNITARIO]]</f>
        <v>421</v>
      </c>
      <c r="V3021" s="2">
        <f>MASTER[[#This Row],[MONTO VENDIDO]]-MASTER[[#This Row],[COSTO DE VENTA]]</f>
        <v>1027</v>
      </c>
    </row>
    <row r="3022" spans="1:22" x14ac:dyDescent="0.3">
      <c r="A3022">
        <v>49273</v>
      </c>
      <c r="B3022">
        <v>1</v>
      </c>
      <c r="C3022" t="s">
        <v>105</v>
      </c>
      <c r="D3022" t="s">
        <v>106</v>
      </c>
      <c r="E3022" s="1">
        <v>44190</v>
      </c>
      <c r="F3022">
        <v>1</v>
      </c>
      <c r="G3022" t="s">
        <v>57</v>
      </c>
      <c r="H3022" t="s">
        <v>58</v>
      </c>
      <c r="I3022" s="3">
        <v>1865</v>
      </c>
      <c r="J3022" s="3">
        <v>1865</v>
      </c>
      <c r="K3022" s="3">
        <v>459</v>
      </c>
      <c r="L3022" t="s">
        <v>98</v>
      </c>
      <c r="M3022">
        <v>8</v>
      </c>
      <c r="N3022" t="s">
        <v>80</v>
      </c>
      <c r="O3022" t="s">
        <v>81</v>
      </c>
      <c r="P3022" t="s">
        <v>12</v>
      </c>
      <c r="Q3022" t="s">
        <v>13</v>
      </c>
      <c r="R3022" t="s">
        <v>13</v>
      </c>
      <c r="S3022" t="s">
        <v>144</v>
      </c>
      <c r="T3022" s="2">
        <f>MASTER[[#This Row],[CANTIDAD]]*MASTER[[#This Row],[PRECIO DE VENTA]]</f>
        <v>1865</v>
      </c>
      <c r="U3022" s="2">
        <f>MASTER[[#This Row],[CANTIDAD]]*MASTER[[#This Row],[COSTO UNITARIO]]</f>
        <v>459</v>
      </c>
      <c r="V3022" s="2">
        <f>MASTER[[#This Row],[MONTO VENDIDO]]-MASTER[[#This Row],[COSTO DE VENTA]]</f>
        <v>1406</v>
      </c>
    </row>
    <row r="3023" spans="1:22" x14ac:dyDescent="0.3">
      <c r="A3023">
        <v>49288</v>
      </c>
      <c r="B3023">
        <v>1</v>
      </c>
      <c r="C3023" t="s">
        <v>118</v>
      </c>
      <c r="D3023" t="s">
        <v>119</v>
      </c>
      <c r="E3023" s="1">
        <v>44190</v>
      </c>
      <c r="F3023">
        <v>1</v>
      </c>
      <c r="G3023" t="s">
        <v>20</v>
      </c>
      <c r="H3023" t="s">
        <v>21</v>
      </c>
      <c r="I3023" s="3">
        <v>801</v>
      </c>
      <c r="J3023" s="3">
        <v>801</v>
      </c>
      <c r="K3023" s="3">
        <v>424</v>
      </c>
      <c r="L3023" t="s">
        <v>120</v>
      </c>
      <c r="M3023">
        <v>16</v>
      </c>
      <c r="N3023" t="s">
        <v>17</v>
      </c>
      <c r="O3023" t="s">
        <v>11</v>
      </c>
      <c r="P3023" t="s">
        <v>18</v>
      </c>
      <c r="Q3023" t="s">
        <v>19</v>
      </c>
      <c r="R3023" t="s">
        <v>138</v>
      </c>
      <c r="S3023" t="s">
        <v>144</v>
      </c>
      <c r="T3023" s="2">
        <f>MASTER[[#This Row],[CANTIDAD]]*MASTER[[#This Row],[PRECIO DE VENTA]]</f>
        <v>801</v>
      </c>
      <c r="U3023" s="2">
        <f>MASTER[[#This Row],[CANTIDAD]]*MASTER[[#This Row],[COSTO UNITARIO]]</f>
        <v>424</v>
      </c>
      <c r="V3023" s="2">
        <f>MASTER[[#This Row],[MONTO VENDIDO]]-MASTER[[#This Row],[COSTO DE VENTA]]</f>
        <v>377</v>
      </c>
    </row>
    <row r="3024" spans="1:22" x14ac:dyDescent="0.3">
      <c r="A3024">
        <v>49300</v>
      </c>
      <c r="B3024">
        <v>1</v>
      </c>
      <c r="C3024" t="s">
        <v>114</v>
      </c>
      <c r="D3024" t="s">
        <v>115</v>
      </c>
      <c r="E3024" s="1">
        <v>44190</v>
      </c>
      <c r="F3024">
        <v>1</v>
      </c>
      <c r="G3024" t="s">
        <v>47</v>
      </c>
      <c r="H3024" t="s">
        <v>48</v>
      </c>
      <c r="I3024" s="3">
        <v>1862</v>
      </c>
      <c r="J3024" s="3">
        <v>1862</v>
      </c>
      <c r="K3024" s="3">
        <v>394</v>
      </c>
      <c r="L3024" t="s">
        <v>113</v>
      </c>
      <c r="M3024">
        <v>10</v>
      </c>
      <c r="N3024" t="s">
        <v>83</v>
      </c>
      <c r="O3024" t="s">
        <v>81</v>
      </c>
      <c r="P3024" t="s">
        <v>12</v>
      </c>
      <c r="Q3024" t="s">
        <v>13</v>
      </c>
      <c r="R3024" t="s">
        <v>13</v>
      </c>
      <c r="S3024" t="s">
        <v>144</v>
      </c>
      <c r="T3024" s="2">
        <f>MASTER[[#This Row],[CANTIDAD]]*MASTER[[#This Row],[PRECIO DE VENTA]]</f>
        <v>1862</v>
      </c>
      <c r="U3024" s="2">
        <f>MASTER[[#This Row],[CANTIDAD]]*MASTER[[#This Row],[COSTO UNITARIO]]</f>
        <v>394</v>
      </c>
      <c r="V3024" s="2">
        <f>MASTER[[#This Row],[MONTO VENDIDO]]-MASTER[[#This Row],[COSTO DE VENTA]]</f>
        <v>1468</v>
      </c>
    </row>
    <row r="3025" spans="1:22" x14ac:dyDescent="0.3">
      <c r="A3025">
        <v>49307</v>
      </c>
      <c r="B3025">
        <v>1</v>
      </c>
      <c r="C3025" t="s">
        <v>99</v>
      </c>
      <c r="D3025" t="s">
        <v>100</v>
      </c>
      <c r="E3025" s="1">
        <v>44190</v>
      </c>
      <c r="F3025">
        <v>1</v>
      </c>
      <c r="G3025" t="s">
        <v>57</v>
      </c>
      <c r="H3025" t="s">
        <v>58</v>
      </c>
      <c r="I3025" s="3">
        <v>1459</v>
      </c>
      <c r="J3025" s="3">
        <v>1459</v>
      </c>
      <c r="K3025" s="3">
        <v>386</v>
      </c>
      <c r="L3025" t="s">
        <v>98</v>
      </c>
      <c r="M3025">
        <v>14</v>
      </c>
      <c r="N3025" t="s">
        <v>87</v>
      </c>
      <c r="O3025" t="s">
        <v>81</v>
      </c>
      <c r="P3025" t="s">
        <v>18</v>
      </c>
      <c r="Q3025" t="s">
        <v>19</v>
      </c>
      <c r="R3025" t="s">
        <v>138</v>
      </c>
      <c r="S3025" t="s">
        <v>144</v>
      </c>
      <c r="T3025" s="2">
        <f>MASTER[[#This Row],[CANTIDAD]]*MASTER[[#This Row],[PRECIO DE VENTA]]</f>
        <v>1459</v>
      </c>
      <c r="U3025" s="2">
        <f>MASTER[[#This Row],[CANTIDAD]]*MASTER[[#This Row],[COSTO UNITARIO]]</f>
        <v>386</v>
      </c>
      <c r="V3025" s="2">
        <f>MASTER[[#This Row],[MONTO VENDIDO]]-MASTER[[#This Row],[COSTO DE VENTA]]</f>
        <v>1073</v>
      </c>
    </row>
    <row r="3026" spans="1:22" x14ac:dyDescent="0.3">
      <c r="A3026">
        <v>49311</v>
      </c>
      <c r="B3026">
        <v>1</v>
      </c>
      <c r="C3026" t="s">
        <v>101</v>
      </c>
      <c r="D3026" t="s">
        <v>102</v>
      </c>
      <c r="E3026" s="1">
        <v>44190</v>
      </c>
      <c r="F3026">
        <v>1</v>
      </c>
      <c r="G3026" t="s">
        <v>59</v>
      </c>
      <c r="H3026" t="s">
        <v>60</v>
      </c>
      <c r="I3026" s="3">
        <v>1357</v>
      </c>
      <c r="J3026" s="3">
        <v>1357</v>
      </c>
      <c r="K3026" s="3">
        <v>442</v>
      </c>
      <c r="L3026" t="s">
        <v>98</v>
      </c>
      <c r="M3026">
        <v>9</v>
      </c>
      <c r="N3026" t="s">
        <v>76</v>
      </c>
      <c r="O3026" t="s">
        <v>70</v>
      </c>
      <c r="P3026" t="s">
        <v>12</v>
      </c>
      <c r="Q3026" t="s">
        <v>13</v>
      </c>
      <c r="R3026" t="s">
        <v>13</v>
      </c>
      <c r="S3026" t="s">
        <v>144</v>
      </c>
      <c r="T3026" s="2">
        <f>MASTER[[#This Row],[CANTIDAD]]*MASTER[[#This Row],[PRECIO DE VENTA]]</f>
        <v>1357</v>
      </c>
      <c r="U3026" s="2">
        <f>MASTER[[#This Row],[CANTIDAD]]*MASTER[[#This Row],[COSTO UNITARIO]]</f>
        <v>442</v>
      </c>
      <c r="V3026" s="2">
        <f>MASTER[[#This Row],[MONTO VENDIDO]]-MASTER[[#This Row],[COSTO DE VENTA]]</f>
        <v>915</v>
      </c>
    </row>
    <row r="3027" spans="1:22" x14ac:dyDescent="0.3">
      <c r="A3027">
        <v>49319</v>
      </c>
      <c r="B3027">
        <v>1</v>
      </c>
      <c r="C3027" t="s">
        <v>96</v>
      </c>
      <c r="D3027" t="s">
        <v>97</v>
      </c>
      <c r="E3027" s="1">
        <v>44191</v>
      </c>
      <c r="F3027">
        <v>1</v>
      </c>
      <c r="G3027" t="s">
        <v>22</v>
      </c>
      <c r="H3027" t="s">
        <v>23</v>
      </c>
      <c r="I3027" s="3">
        <v>1196</v>
      </c>
      <c r="J3027" s="3">
        <v>1196</v>
      </c>
      <c r="K3027" s="3">
        <v>397</v>
      </c>
      <c r="L3027" t="s">
        <v>98</v>
      </c>
      <c r="M3027">
        <v>11</v>
      </c>
      <c r="N3027" t="s">
        <v>10</v>
      </c>
      <c r="O3027" t="s">
        <v>11</v>
      </c>
      <c r="P3027" t="s">
        <v>12</v>
      </c>
      <c r="Q3027" t="s">
        <v>13</v>
      </c>
      <c r="R3027" t="s">
        <v>13</v>
      </c>
      <c r="S3027" t="s">
        <v>144</v>
      </c>
      <c r="T3027" s="2">
        <f>MASTER[[#This Row],[CANTIDAD]]*MASTER[[#This Row],[PRECIO DE VENTA]]</f>
        <v>1196</v>
      </c>
      <c r="U3027" s="2">
        <f>MASTER[[#This Row],[CANTIDAD]]*MASTER[[#This Row],[COSTO UNITARIO]]</f>
        <v>397</v>
      </c>
      <c r="V3027" s="2">
        <f>MASTER[[#This Row],[MONTO VENDIDO]]-MASTER[[#This Row],[COSTO DE VENTA]]</f>
        <v>799</v>
      </c>
    </row>
    <row r="3028" spans="1:22" x14ac:dyDescent="0.3">
      <c r="A3028">
        <v>49322</v>
      </c>
      <c r="B3028">
        <v>1</v>
      </c>
      <c r="C3028" t="s">
        <v>94</v>
      </c>
      <c r="D3028" t="s">
        <v>95</v>
      </c>
      <c r="E3028" s="1">
        <v>44191</v>
      </c>
      <c r="F3028">
        <v>1</v>
      </c>
      <c r="G3028" t="s">
        <v>57</v>
      </c>
      <c r="H3028" t="s">
        <v>58</v>
      </c>
      <c r="I3028" s="3">
        <v>1048</v>
      </c>
      <c r="J3028" s="3">
        <v>1048</v>
      </c>
      <c r="K3028" s="3">
        <v>392</v>
      </c>
      <c r="L3028" t="s">
        <v>9</v>
      </c>
      <c r="M3028">
        <v>4</v>
      </c>
      <c r="N3028" t="s">
        <v>82</v>
      </c>
      <c r="O3028" t="s">
        <v>81</v>
      </c>
      <c r="P3028" t="s">
        <v>71</v>
      </c>
      <c r="Q3028" t="s">
        <v>72</v>
      </c>
      <c r="R3028" t="s">
        <v>139</v>
      </c>
      <c r="S3028" t="s">
        <v>144</v>
      </c>
      <c r="T3028" s="2">
        <f>MASTER[[#This Row],[CANTIDAD]]*MASTER[[#This Row],[PRECIO DE VENTA]]</f>
        <v>1048</v>
      </c>
      <c r="U3028" s="2">
        <f>MASTER[[#This Row],[CANTIDAD]]*MASTER[[#This Row],[COSTO UNITARIO]]</f>
        <v>392</v>
      </c>
      <c r="V3028" s="2">
        <f>MASTER[[#This Row],[MONTO VENDIDO]]-MASTER[[#This Row],[COSTO DE VENTA]]</f>
        <v>656</v>
      </c>
    </row>
    <row r="3029" spans="1:22" x14ac:dyDescent="0.3">
      <c r="A3029">
        <v>49324</v>
      </c>
      <c r="B3029">
        <v>1</v>
      </c>
      <c r="C3029" t="s">
        <v>116</v>
      </c>
      <c r="D3029" t="s">
        <v>117</v>
      </c>
      <c r="E3029" s="1">
        <v>44191</v>
      </c>
      <c r="F3029">
        <v>1</v>
      </c>
      <c r="G3029" t="s">
        <v>22</v>
      </c>
      <c r="H3029" t="s">
        <v>23</v>
      </c>
      <c r="I3029" s="3">
        <v>1529</v>
      </c>
      <c r="J3029" s="3">
        <v>1529</v>
      </c>
      <c r="K3029" s="3">
        <v>388</v>
      </c>
      <c r="L3029" t="s">
        <v>113</v>
      </c>
      <c r="M3029">
        <v>11</v>
      </c>
      <c r="N3029" t="s">
        <v>10</v>
      </c>
      <c r="O3029" t="s">
        <v>11</v>
      </c>
      <c r="P3029" t="s">
        <v>12</v>
      </c>
      <c r="Q3029" t="s">
        <v>13</v>
      </c>
      <c r="R3029" t="s">
        <v>13</v>
      </c>
      <c r="S3029" t="s">
        <v>144</v>
      </c>
      <c r="T3029" s="2">
        <f>MASTER[[#This Row],[CANTIDAD]]*MASTER[[#This Row],[PRECIO DE VENTA]]</f>
        <v>1529</v>
      </c>
      <c r="U3029" s="2">
        <f>MASTER[[#This Row],[CANTIDAD]]*MASTER[[#This Row],[COSTO UNITARIO]]</f>
        <v>388</v>
      </c>
      <c r="V3029" s="2">
        <f>MASTER[[#This Row],[MONTO VENDIDO]]-MASTER[[#This Row],[COSTO DE VENTA]]</f>
        <v>1141</v>
      </c>
    </row>
    <row r="3030" spans="1:22" x14ac:dyDescent="0.3">
      <c r="A3030">
        <v>49361</v>
      </c>
      <c r="B3030">
        <v>1</v>
      </c>
      <c r="C3030" t="s">
        <v>5</v>
      </c>
      <c r="D3030" t="s">
        <v>6</v>
      </c>
      <c r="E3030" s="1">
        <v>44191</v>
      </c>
      <c r="F3030">
        <v>1</v>
      </c>
      <c r="G3030" t="s">
        <v>45</v>
      </c>
      <c r="H3030" t="s">
        <v>46</v>
      </c>
      <c r="I3030" s="3">
        <v>1507</v>
      </c>
      <c r="J3030" s="3">
        <v>1507</v>
      </c>
      <c r="K3030" s="3">
        <v>393</v>
      </c>
      <c r="L3030" t="s">
        <v>9</v>
      </c>
      <c r="M3030">
        <v>4</v>
      </c>
      <c r="N3030" t="s">
        <v>82</v>
      </c>
      <c r="O3030" t="s">
        <v>81</v>
      </c>
      <c r="P3030" t="s">
        <v>71</v>
      </c>
      <c r="Q3030" t="s">
        <v>72</v>
      </c>
      <c r="R3030" t="s">
        <v>139</v>
      </c>
      <c r="S3030" t="s">
        <v>144</v>
      </c>
      <c r="T3030" s="2">
        <f>MASTER[[#This Row],[CANTIDAD]]*MASTER[[#This Row],[PRECIO DE VENTA]]</f>
        <v>1507</v>
      </c>
      <c r="U3030" s="2">
        <f>MASTER[[#This Row],[CANTIDAD]]*MASTER[[#This Row],[COSTO UNITARIO]]</f>
        <v>393</v>
      </c>
      <c r="V3030" s="2">
        <f>MASTER[[#This Row],[MONTO VENDIDO]]-MASTER[[#This Row],[COSTO DE VENTA]]</f>
        <v>1114</v>
      </c>
    </row>
    <row r="3031" spans="1:22" x14ac:dyDescent="0.3">
      <c r="A3031">
        <v>49375</v>
      </c>
      <c r="B3031">
        <v>1</v>
      </c>
      <c r="C3031" t="s">
        <v>116</v>
      </c>
      <c r="D3031" t="s">
        <v>117</v>
      </c>
      <c r="E3031" s="1">
        <v>44191</v>
      </c>
      <c r="F3031">
        <v>1</v>
      </c>
      <c r="G3031" t="s">
        <v>43</v>
      </c>
      <c r="H3031" t="s">
        <v>44</v>
      </c>
      <c r="I3031" s="3">
        <v>1738</v>
      </c>
      <c r="J3031" s="3">
        <v>1738</v>
      </c>
      <c r="K3031" s="3">
        <v>388</v>
      </c>
      <c r="L3031" t="s">
        <v>113</v>
      </c>
      <c r="M3031">
        <v>5</v>
      </c>
      <c r="N3031" t="s">
        <v>85</v>
      </c>
      <c r="O3031" t="s">
        <v>81</v>
      </c>
      <c r="P3031" t="s">
        <v>12</v>
      </c>
      <c r="Q3031" t="s">
        <v>13</v>
      </c>
      <c r="R3031" t="s">
        <v>13</v>
      </c>
      <c r="S3031" t="s">
        <v>144</v>
      </c>
      <c r="T3031" s="2">
        <f>MASTER[[#This Row],[CANTIDAD]]*MASTER[[#This Row],[PRECIO DE VENTA]]</f>
        <v>1738</v>
      </c>
      <c r="U3031" s="2">
        <f>MASTER[[#This Row],[CANTIDAD]]*MASTER[[#This Row],[COSTO UNITARIO]]</f>
        <v>388</v>
      </c>
      <c r="V3031" s="2">
        <f>MASTER[[#This Row],[MONTO VENDIDO]]-MASTER[[#This Row],[COSTO DE VENTA]]</f>
        <v>1350</v>
      </c>
    </row>
    <row r="3032" spans="1:22" x14ac:dyDescent="0.3">
      <c r="A3032">
        <v>49376</v>
      </c>
      <c r="B3032">
        <v>1</v>
      </c>
      <c r="C3032" t="s">
        <v>105</v>
      </c>
      <c r="D3032" t="s">
        <v>106</v>
      </c>
      <c r="E3032" s="1">
        <v>44191</v>
      </c>
      <c r="F3032">
        <v>1</v>
      </c>
      <c r="G3032" t="s">
        <v>57</v>
      </c>
      <c r="H3032" t="s">
        <v>58</v>
      </c>
      <c r="I3032" s="3">
        <v>1865</v>
      </c>
      <c r="J3032" s="3">
        <v>1865</v>
      </c>
      <c r="K3032" s="3">
        <v>459</v>
      </c>
      <c r="L3032" t="s">
        <v>98</v>
      </c>
      <c r="M3032">
        <v>4</v>
      </c>
      <c r="N3032" t="s">
        <v>82</v>
      </c>
      <c r="O3032" t="s">
        <v>81</v>
      </c>
      <c r="P3032" t="s">
        <v>71</v>
      </c>
      <c r="Q3032" t="s">
        <v>72</v>
      </c>
      <c r="R3032" t="s">
        <v>139</v>
      </c>
      <c r="S3032" t="s">
        <v>144</v>
      </c>
      <c r="T3032" s="2">
        <f>MASTER[[#This Row],[CANTIDAD]]*MASTER[[#This Row],[PRECIO DE VENTA]]</f>
        <v>1865</v>
      </c>
      <c r="U3032" s="2">
        <f>MASTER[[#This Row],[CANTIDAD]]*MASTER[[#This Row],[COSTO UNITARIO]]</f>
        <v>459</v>
      </c>
      <c r="V3032" s="2">
        <f>MASTER[[#This Row],[MONTO VENDIDO]]-MASTER[[#This Row],[COSTO DE VENTA]]</f>
        <v>1406</v>
      </c>
    </row>
    <row r="3033" spans="1:22" x14ac:dyDescent="0.3">
      <c r="A3033">
        <v>49379</v>
      </c>
      <c r="B3033">
        <v>1</v>
      </c>
      <c r="C3033" t="s">
        <v>109</v>
      </c>
      <c r="D3033" t="s">
        <v>110</v>
      </c>
      <c r="E3033" s="1">
        <v>44192</v>
      </c>
      <c r="F3033">
        <v>1</v>
      </c>
      <c r="G3033" t="s">
        <v>57</v>
      </c>
      <c r="H3033" t="s">
        <v>58</v>
      </c>
      <c r="I3033" s="3">
        <v>947</v>
      </c>
      <c r="J3033" s="3">
        <v>947</v>
      </c>
      <c r="K3033" s="3">
        <v>387</v>
      </c>
      <c r="L3033" t="s">
        <v>98</v>
      </c>
      <c r="M3033">
        <v>17</v>
      </c>
      <c r="N3033" t="s">
        <v>14</v>
      </c>
      <c r="O3033" t="s">
        <v>11</v>
      </c>
      <c r="P3033" t="s">
        <v>15</v>
      </c>
      <c r="Q3033" t="s">
        <v>16</v>
      </c>
      <c r="R3033" t="s">
        <v>16</v>
      </c>
      <c r="S3033" t="s">
        <v>144</v>
      </c>
      <c r="T3033" s="2">
        <f>MASTER[[#This Row],[CANTIDAD]]*MASTER[[#This Row],[PRECIO DE VENTA]]</f>
        <v>947</v>
      </c>
      <c r="U3033" s="2">
        <f>MASTER[[#This Row],[CANTIDAD]]*MASTER[[#This Row],[COSTO UNITARIO]]</f>
        <v>387</v>
      </c>
      <c r="V3033" s="2">
        <f>MASTER[[#This Row],[MONTO VENDIDO]]-MASTER[[#This Row],[COSTO DE VENTA]]</f>
        <v>560</v>
      </c>
    </row>
    <row r="3034" spans="1:22" x14ac:dyDescent="0.3">
      <c r="A3034">
        <v>49434</v>
      </c>
      <c r="B3034">
        <v>1</v>
      </c>
      <c r="C3034" t="s">
        <v>5</v>
      </c>
      <c r="D3034" t="s">
        <v>6</v>
      </c>
      <c r="E3034" s="1">
        <v>44192</v>
      </c>
      <c r="F3034">
        <v>1</v>
      </c>
      <c r="G3034" t="s">
        <v>63</v>
      </c>
      <c r="H3034" t="s">
        <v>64</v>
      </c>
      <c r="I3034" s="3">
        <v>1507</v>
      </c>
      <c r="J3034" s="3">
        <v>1507</v>
      </c>
      <c r="K3034" s="3">
        <v>393</v>
      </c>
      <c r="L3034" t="s">
        <v>9</v>
      </c>
      <c r="M3034">
        <v>19</v>
      </c>
      <c r="N3034" t="s">
        <v>89</v>
      </c>
      <c r="O3034" t="s">
        <v>81</v>
      </c>
      <c r="P3034" t="s">
        <v>15</v>
      </c>
      <c r="Q3034" t="s">
        <v>16</v>
      </c>
      <c r="R3034" t="s">
        <v>16</v>
      </c>
      <c r="S3034" t="s">
        <v>144</v>
      </c>
      <c r="T3034" s="2">
        <f>MASTER[[#This Row],[CANTIDAD]]*MASTER[[#This Row],[PRECIO DE VENTA]]</f>
        <v>1507</v>
      </c>
      <c r="U3034" s="2">
        <f>MASTER[[#This Row],[CANTIDAD]]*MASTER[[#This Row],[COSTO UNITARIO]]</f>
        <v>393</v>
      </c>
      <c r="V3034" s="2">
        <f>MASTER[[#This Row],[MONTO VENDIDO]]-MASTER[[#This Row],[COSTO DE VENTA]]</f>
        <v>1114</v>
      </c>
    </row>
    <row r="3035" spans="1:22" x14ac:dyDescent="0.3">
      <c r="A3035">
        <v>49458</v>
      </c>
      <c r="B3035">
        <v>1</v>
      </c>
      <c r="C3035" t="s">
        <v>121</v>
      </c>
      <c r="D3035" t="s">
        <v>122</v>
      </c>
      <c r="E3035" s="1">
        <v>44192</v>
      </c>
      <c r="F3035">
        <v>1</v>
      </c>
      <c r="G3035" t="s">
        <v>67</v>
      </c>
      <c r="H3035" t="s">
        <v>68</v>
      </c>
      <c r="I3035" s="3">
        <v>1069</v>
      </c>
      <c r="J3035" s="3">
        <v>983</v>
      </c>
      <c r="K3035" s="3">
        <v>460</v>
      </c>
      <c r="L3035" t="s">
        <v>120</v>
      </c>
      <c r="M3035">
        <v>10</v>
      </c>
      <c r="N3035" t="s">
        <v>83</v>
      </c>
      <c r="O3035" t="s">
        <v>81</v>
      </c>
      <c r="P3035" t="s">
        <v>12</v>
      </c>
      <c r="Q3035" t="s">
        <v>13</v>
      </c>
      <c r="R3035" t="s">
        <v>13</v>
      </c>
      <c r="S3035" t="s">
        <v>144</v>
      </c>
      <c r="T3035" s="2">
        <f>MASTER[[#This Row],[CANTIDAD]]*MASTER[[#This Row],[PRECIO DE VENTA]]</f>
        <v>983</v>
      </c>
      <c r="U3035" s="2">
        <f>MASTER[[#This Row],[CANTIDAD]]*MASTER[[#This Row],[COSTO UNITARIO]]</f>
        <v>460</v>
      </c>
      <c r="V3035" s="2">
        <f>MASTER[[#This Row],[MONTO VENDIDO]]-MASTER[[#This Row],[COSTO DE VENTA]]</f>
        <v>523</v>
      </c>
    </row>
    <row r="3036" spans="1:22" x14ac:dyDescent="0.3">
      <c r="A3036">
        <v>49487</v>
      </c>
      <c r="B3036">
        <v>1</v>
      </c>
      <c r="C3036" t="s">
        <v>101</v>
      </c>
      <c r="D3036" t="s">
        <v>102</v>
      </c>
      <c r="E3036" s="1">
        <v>44192</v>
      </c>
      <c r="F3036">
        <v>1</v>
      </c>
      <c r="G3036" t="s">
        <v>57</v>
      </c>
      <c r="H3036" t="s">
        <v>58</v>
      </c>
      <c r="I3036" s="3">
        <v>1357</v>
      </c>
      <c r="J3036" s="3">
        <v>1357</v>
      </c>
      <c r="K3036" s="3">
        <v>442</v>
      </c>
      <c r="L3036" t="s">
        <v>98</v>
      </c>
      <c r="M3036">
        <v>3</v>
      </c>
      <c r="N3036" t="s">
        <v>69</v>
      </c>
      <c r="O3036" t="s">
        <v>70</v>
      </c>
      <c r="P3036" t="s">
        <v>71</v>
      </c>
      <c r="Q3036" t="s">
        <v>72</v>
      </c>
      <c r="R3036" t="s">
        <v>139</v>
      </c>
      <c r="S3036" t="s">
        <v>144</v>
      </c>
      <c r="T3036" s="2">
        <f>MASTER[[#This Row],[CANTIDAD]]*MASTER[[#This Row],[PRECIO DE VENTA]]</f>
        <v>1357</v>
      </c>
      <c r="U3036" s="2">
        <f>MASTER[[#This Row],[CANTIDAD]]*MASTER[[#This Row],[COSTO UNITARIO]]</f>
        <v>442</v>
      </c>
      <c r="V3036" s="2">
        <f>MASTER[[#This Row],[MONTO VENDIDO]]-MASTER[[#This Row],[COSTO DE VENTA]]</f>
        <v>915</v>
      </c>
    </row>
    <row r="3037" spans="1:22" x14ac:dyDescent="0.3">
      <c r="A3037">
        <v>49488</v>
      </c>
      <c r="B3037">
        <v>1</v>
      </c>
      <c r="C3037" t="s">
        <v>99</v>
      </c>
      <c r="D3037" t="s">
        <v>100</v>
      </c>
      <c r="E3037" s="1">
        <v>44192</v>
      </c>
      <c r="F3037">
        <v>1</v>
      </c>
      <c r="G3037" t="s">
        <v>27</v>
      </c>
      <c r="H3037" t="s">
        <v>28</v>
      </c>
      <c r="I3037" s="3">
        <v>1459</v>
      </c>
      <c r="J3037" s="3">
        <v>1459</v>
      </c>
      <c r="K3037" s="3">
        <v>386</v>
      </c>
      <c r="L3037" t="s">
        <v>98</v>
      </c>
      <c r="M3037">
        <v>10</v>
      </c>
      <c r="N3037" t="s">
        <v>83</v>
      </c>
      <c r="O3037" t="s">
        <v>81</v>
      </c>
      <c r="P3037" t="s">
        <v>12</v>
      </c>
      <c r="Q3037" t="s">
        <v>13</v>
      </c>
      <c r="R3037" t="s">
        <v>13</v>
      </c>
      <c r="S3037" t="s">
        <v>144</v>
      </c>
      <c r="T3037" s="2">
        <f>MASTER[[#This Row],[CANTIDAD]]*MASTER[[#This Row],[PRECIO DE VENTA]]</f>
        <v>1459</v>
      </c>
      <c r="U3037" s="2">
        <f>MASTER[[#This Row],[CANTIDAD]]*MASTER[[#This Row],[COSTO UNITARIO]]</f>
        <v>386</v>
      </c>
      <c r="V3037" s="2">
        <f>MASTER[[#This Row],[MONTO VENDIDO]]-MASTER[[#This Row],[COSTO DE VENTA]]</f>
        <v>1073</v>
      </c>
    </row>
    <row r="3038" spans="1:22" x14ac:dyDescent="0.3">
      <c r="A3038">
        <v>49525</v>
      </c>
      <c r="B3038">
        <v>1</v>
      </c>
      <c r="C3038" t="s">
        <v>116</v>
      </c>
      <c r="D3038" t="s">
        <v>117</v>
      </c>
      <c r="E3038" s="1">
        <v>44192</v>
      </c>
      <c r="F3038">
        <v>1</v>
      </c>
      <c r="G3038" t="s">
        <v>31</v>
      </c>
      <c r="H3038" t="s">
        <v>32</v>
      </c>
      <c r="I3038" s="3">
        <v>1999</v>
      </c>
      <c r="J3038" s="3">
        <v>1999</v>
      </c>
      <c r="K3038" s="3">
        <v>388</v>
      </c>
      <c r="L3038" t="s">
        <v>113</v>
      </c>
      <c r="M3038">
        <v>13</v>
      </c>
      <c r="N3038" t="s">
        <v>78</v>
      </c>
      <c r="O3038" t="s">
        <v>70</v>
      </c>
      <c r="P3038" t="s">
        <v>18</v>
      </c>
      <c r="Q3038" t="s">
        <v>19</v>
      </c>
      <c r="R3038" t="s">
        <v>138</v>
      </c>
      <c r="S3038" t="s">
        <v>144</v>
      </c>
      <c r="T3038" s="2">
        <f>MASTER[[#This Row],[CANTIDAD]]*MASTER[[#This Row],[PRECIO DE VENTA]]</f>
        <v>1999</v>
      </c>
      <c r="U3038" s="2">
        <f>MASTER[[#This Row],[CANTIDAD]]*MASTER[[#This Row],[COSTO UNITARIO]]</f>
        <v>388</v>
      </c>
      <c r="V3038" s="2">
        <f>MASTER[[#This Row],[MONTO VENDIDO]]-MASTER[[#This Row],[COSTO DE VENTA]]</f>
        <v>1611</v>
      </c>
    </row>
    <row r="3039" spans="1:22" x14ac:dyDescent="0.3">
      <c r="A3039">
        <v>49526</v>
      </c>
      <c r="B3039">
        <v>1</v>
      </c>
      <c r="C3039" t="s">
        <v>121</v>
      </c>
      <c r="D3039" t="s">
        <v>122</v>
      </c>
      <c r="E3039" s="1">
        <v>44192</v>
      </c>
      <c r="F3039">
        <v>1</v>
      </c>
      <c r="G3039" t="s">
        <v>41</v>
      </c>
      <c r="H3039" t="s">
        <v>42</v>
      </c>
      <c r="I3039" s="3">
        <v>941</v>
      </c>
      <c r="J3039" s="3">
        <v>941</v>
      </c>
      <c r="K3039" s="3">
        <v>460</v>
      </c>
      <c r="L3039" t="s">
        <v>120</v>
      </c>
      <c r="M3039">
        <v>16</v>
      </c>
      <c r="N3039" t="s">
        <v>17</v>
      </c>
      <c r="O3039" t="s">
        <v>11</v>
      </c>
      <c r="P3039" t="s">
        <v>18</v>
      </c>
      <c r="Q3039" t="s">
        <v>19</v>
      </c>
      <c r="R3039" t="s">
        <v>138</v>
      </c>
      <c r="S3039" t="s">
        <v>144</v>
      </c>
      <c r="T3039" s="2">
        <f>MASTER[[#This Row],[CANTIDAD]]*MASTER[[#This Row],[PRECIO DE VENTA]]</f>
        <v>941</v>
      </c>
      <c r="U3039" s="2">
        <f>MASTER[[#This Row],[CANTIDAD]]*MASTER[[#This Row],[COSTO UNITARIO]]</f>
        <v>460</v>
      </c>
      <c r="V3039" s="2">
        <f>MASTER[[#This Row],[MONTO VENDIDO]]-MASTER[[#This Row],[COSTO DE VENTA]]</f>
        <v>481</v>
      </c>
    </row>
    <row r="3040" spans="1:22" x14ac:dyDescent="0.3">
      <c r="A3040">
        <v>49538</v>
      </c>
      <c r="B3040">
        <v>1</v>
      </c>
      <c r="C3040" t="s">
        <v>101</v>
      </c>
      <c r="D3040" t="s">
        <v>102</v>
      </c>
      <c r="E3040" s="1">
        <v>44192</v>
      </c>
      <c r="F3040">
        <v>1</v>
      </c>
      <c r="G3040" t="s">
        <v>57</v>
      </c>
      <c r="H3040" t="s">
        <v>58</v>
      </c>
      <c r="I3040" s="3">
        <v>1212</v>
      </c>
      <c r="J3040" s="3">
        <v>1115</v>
      </c>
      <c r="K3040" s="3">
        <v>442</v>
      </c>
      <c r="L3040" t="s">
        <v>98</v>
      </c>
      <c r="M3040">
        <v>4</v>
      </c>
      <c r="N3040" t="s">
        <v>82</v>
      </c>
      <c r="O3040" t="s">
        <v>81</v>
      </c>
      <c r="P3040" t="s">
        <v>71</v>
      </c>
      <c r="Q3040" t="s">
        <v>72</v>
      </c>
      <c r="R3040" t="s">
        <v>139</v>
      </c>
      <c r="S3040" t="s">
        <v>144</v>
      </c>
      <c r="T3040" s="2">
        <f>MASTER[[#This Row],[CANTIDAD]]*MASTER[[#This Row],[PRECIO DE VENTA]]</f>
        <v>1115</v>
      </c>
      <c r="U3040" s="2">
        <f>MASTER[[#This Row],[CANTIDAD]]*MASTER[[#This Row],[COSTO UNITARIO]]</f>
        <v>442</v>
      </c>
      <c r="V3040" s="2">
        <f>MASTER[[#This Row],[MONTO VENDIDO]]-MASTER[[#This Row],[COSTO DE VENTA]]</f>
        <v>673</v>
      </c>
    </row>
    <row r="3041" spans="1:22" x14ac:dyDescent="0.3">
      <c r="A3041">
        <v>49546</v>
      </c>
      <c r="B3041">
        <v>1</v>
      </c>
      <c r="C3041" t="s">
        <v>101</v>
      </c>
      <c r="D3041" t="s">
        <v>102</v>
      </c>
      <c r="E3041" s="1">
        <v>44192</v>
      </c>
      <c r="F3041">
        <v>1</v>
      </c>
      <c r="G3041" t="s">
        <v>65</v>
      </c>
      <c r="H3041" t="s">
        <v>66</v>
      </c>
      <c r="I3041" s="3">
        <v>1212</v>
      </c>
      <c r="J3041" s="3">
        <v>1212</v>
      </c>
      <c r="K3041" s="3">
        <v>442</v>
      </c>
      <c r="L3041" t="s">
        <v>98</v>
      </c>
      <c r="M3041">
        <v>8</v>
      </c>
      <c r="N3041" t="s">
        <v>80</v>
      </c>
      <c r="O3041" t="s">
        <v>81</v>
      </c>
      <c r="P3041" t="s">
        <v>12</v>
      </c>
      <c r="Q3041" t="s">
        <v>13</v>
      </c>
      <c r="R3041" t="s">
        <v>13</v>
      </c>
      <c r="S3041" t="s">
        <v>144</v>
      </c>
      <c r="T3041" s="2">
        <f>MASTER[[#This Row],[CANTIDAD]]*MASTER[[#This Row],[PRECIO DE VENTA]]</f>
        <v>1212</v>
      </c>
      <c r="U3041" s="2">
        <f>MASTER[[#This Row],[CANTIDAD]]*MASTER[[#This Row],[COSTO UNITARIO]]</f>
        <v>442</v>
      </c>
      <c r="V3041" s="2">
        <f>MASTER[[#This Row],[MONTO VENDIDO]]-MASTER[[#This Row],[COSTO DE VENTA]]</f>
        <v>770</v>
      </c>
    </row>
    <row r="3042" spans="1:22" x14ac:dyDescent="0.3">
      <c r="A3042">
        <v>49556</v>
      </c>
      <c r="B3042">
        <v>1</v>
      </c>
      <c r="C3042" t="s">
        <v>114</v>
      </c>
      <c r="D3042" t="s">
        <v>115</v>
      </c>
      <c r="E3042" s="1">
        <v>44193</v>
      </c>
      <c r="F3042">
        <v>1</v>
      </c>
      <c r="G3042" t="s">
        <v>65</v>
      </c>
      <c r="H3042" t="s">
        <v>66</v>
      </c>
      <c r="I3042" s="3">
        <v>1583</v>
      </c>
      <c r="J3042" s="3">
        <v>1583</v>
      </c>
      <c r="K3042" s="3">
        <v>394</v>
      </c>
      <c r="L3042" t="s">
        <v>113</v>
      </c>
      <c r="M3042">
        <v>11</v>
      </c>
      <c r="N3042" t="s">
        <v>10</v>
      </c>
      <c r="O3042" t="s">
        <v>11</v>
      </c>
      <c r="P3042" t="s">
        <v>12</v>
      </c>
      <c r="Q3042" t="s">
        <v>13</v>
      </c>
      <c r="R3042" t="s">
        <v>13</v>
      </c>
      <c r="S3042" t="s">
        <v>144</v>
      </c>
      <c r="T3042" s="2">
        <f>MASTER[[#This Row],[CANTIDAD]]*MASTER[[#This Row],[PRECIO DE VENTA]]</f>
        <v>1583</v>
      </c>
      <c r="U3042" s="2">
        <f>MASTER[[#This Row],[CANTIDAD]]*MASTER[[#This Row],[COSTO UNITARIO]]</f>
        <v>394</v>
      </c>
      <c r="V3042" s="2">
        <f>MASTER[[#This Row],[MONTO VENDIDO]]-MASTER[[#This Row],[COSTO DE VENTA]]</f>
        <v>1189</v>
      </c>
    </row>
    <row r="3043" spans="1:22" x14ac:dyDescent="0.3">
      <c r="A3043">
        <v>49563</v>
      </c>
      <c r="B3043">
        <v>1</v>
      </c>
      <c r="C3043" t="s">
        <v>121</v>
      </c>
      <c r="D3043" t="s">
        <v>122</v>
      </c>
      <c r="E3043" s="1">
        <v>44193</v>
      </c>
      <c r="F3043">
        <v>1</v>
      </c>
      <c r="G3043" t="s">
        <v>35</v>
      </c>
      <c r="H3043" t="s">
        <v>36</v>
      </c>
      <c r="I3043" s="3">
        <v>1069</v>
      </c>
      <c r="J3043" s="3">
        <v>1069</v>
      </c>
      <c r="K3043" s="3">
        <v>460</v>
      </c>
      <c r="L3043" t="s">
        <v>120</v>
      </c>
      <c r="M3043">
        <v>4</v>
      </c>
      <c r="N3043" t="s">
        <v>82</v>
      </c>
      <c r="O3043" t="s">
        <v>81</v>
      </c>
      <c r="P3043" t="s">
        <v>71</v>
      </c>
      <c r="Q3043" t="s">
        <v>72</v>
      </c>
      <c r="R3043" t="s">
        <v>139</v>
      </c>
      <c r="S3043" t="s">
        <v>144</v>
      </c>
      <c r="T3043" s="2">
        <f>MASTER[[#This Row],[CANTIDAD]]*MASTER[[#This Row],[PRECIO DE VENTA]]</f>
        <v>1069</v>
      </c>
      <c r="U3043" s="2">
        <f>MASTER[[#This Row],[CANTIDAD]]*MASTER[[#This Row],[COSTO UNITARIO]]</f>
        <v>460</v>
      </c>
      <c r="V3043" s="2">
        <f>MASTER[[#This Row],[MONTO VENDIDO]]-MASTER[[#This Row],[COSTO DE VENTA]]</f>
        <v>609</v>
      </c>
    </row>
    <row r="3044" spans="1:22" x14ac:dyDescent="0.3">
      <c r="A3044">
        <v>49594</v>
      </c>
      <c r="B3044">
        <v>1</v>
      </c>
      <c r="C3044" t="s">
        <v>94</v>
      </c>
      <c r="D3044" t="s">
        <v>95</v>
      </c>
      <c r="E3044" s="1">
        <v>44193</v>
      </c>
      <c r="F3044">
        <v>1</v>
      </c>
      <c r="G3044" t="s">
        <v>51</v>
      </c>
      <c r="H3044" t="s">
        <v>52</v>
      </c>
      <c r="I3044" s="3">
        <v>901</v>
      </c>
      <c r="J3044" s="3">
        <v>901</v>
      </c>
      <c r="K3044" s="3">
        <v>392</v>
      </c>
      <c r="L3044" t="s">
        <v>9</v>
      </c>
      <c r="M3044">
        <v>17</v>
      </c>
      <c r="N3044" t="s">
        <v>14</v>
      </c>
      <c r="O3044" t="s">
        <v>11</v>
      </c>
      <c r="P3044" t="s">
        <v>15</v>
      </c>
      <c r="Q3044" t="s">
        <v>16</v>
      </c>
      <c r="R3044" t="s">
        <v>16</v>
      </c>
      <c r="S3044" t="s">
        <v>144</v>
      </c>
      <c r="T3044" s="2">
        <f>MASTER[[#This Row],[CANTIDAD]]*MASTER[[#This Row],[PRECIO DE VENTA]]</f>
        <v>901</v>
      </c>
      <c r="U3044" s="2">
        <f>MASTER[[#This Row],[CANTIDAD]]*MASTER[[#This Row],[COSTO UNITARIO]]</f>
        <v>392</v>
      </c>
      <c r="V3044" s="2">
        <f>MASTER[[#This Row],[MONTO VENDIDO]]-MASTER[[#This Row],[COSTO DE VENTA]]</f>
        <v>509</v>
      </c>
    </row>
    <row r="3045" spans="1:22" x14ac:dyDescent="0.3">
      <c r="A3045">
        <v>49611</v>
      </c>
      <c r="B3045">
        <v>1</v>
      </c>
      <c r="C3045" t="s">
        <v>5</v>
      </c>
      <c r="D3045" t="s">
        <v>6</v>
      </c>
      <c r="E3045" s="1">
        <v>44193</v>
      </c>
      <c r="F3045">
        <v>1</v>
      </c>
      <c r="G3045" t="s">
        <v>20</v>
      </c>
      <c r="H3045" t="s">
        <v>21</v>
      </c>
      <c r="I3045" s="3">
        <v>1507</v>
      </c>
      <c r="J3045" s="3">
        <v>1507</v>
      </c>
      <c r="K3045" s="3">
        <v>393</v>
      </c>
      <c r="L3045" t="s">
        <v>9</v>
      </c>
      <c r="M3045">
        <v>8</v>
      </c>
      <c r="N3045" t="s">
        <v>80</v>
      </c>
      <c r="O3045" t="s">
        <v>81</v>
      </c>
      <c r="P3045" t="s">
        <v>12</v>
      </c>
      <c r="Q3045" t="s">
        <v>13</v>
      </c>
      <c r="R3045" t="s">
        <v>13</v>
      </c>
      <c r="S3045" t="s">
        <v>144</v>
      </c>
      <c r="T3045" s="2">
        <f>MASTER[[#This Row],[CANTIDAD]]*MASTER[[#This Row],[PRECIO DE VENTA]]</f>
        <v>1507</v>
      </c>
      <c r="U3045" s="2">
        <f>MASTER[[#This Row],[CANTIDAD]]*MASTER[[#This Row],[COSTO UNITARIO]]</f>
        <v>393</v>
      </c>
      <c r="V3045" s="2">
        <f>MASTER[[#This Row],[MONTO VENDIDO]]-MASTER[[#This Row],[COSTO DE VENTA]]</f>
        <v>1114</v>
      </c>
    </row>
    <row r="3046" spans="1:22" x14ac:dyDescent="0.3">
      <c r="A3046">
        <v>49626</v>
      </c>
      <c r="B3046">
        <v>1</v>
      </c>
      <c r="C3046" t="s">
        <v>121</v>
      </c>
      <c r="D3046" t="s">
        <v>122</v>
      </c>
      <c r="E3046" s="1">
        <v>44193</v>
      </c>
      <c r="F3046">
        <v>1</v>
      </c>
      <c r="G3046" t="s">
        <v>43</v>
      </c>
      <c r="H3046" t="s">
        <v>44</v>
      </c>
      <c r="I3046" s="3">
        <v>1144</v>
      </c>
      <c r="J3046" s="3">
        <v>1144</v>
      </c>
      <c r="K3046" s="3">
        <v>460</v>
      </c>
      <c r="L3046" t="s">
        <v>120</v>
      </c>
      <c r="M3046">
        <v>6</v>
      </c>
      <c r="N3046" t="s">
        <v>75</v>
      </c>
      <c r="O3046" t="s">
        <v>70</v>
      </c>
      <c r="P3046" t="s">
        <v>12</v>
      </c>
      <c r="Q3046" t="s">
        <v>13</v>
      </c>
      <c r="R3046" t="s">
        <v>13</v>
      </c>
      <c r="S3046" t="s">
        <v>144</v>
      </c>
      <c r="T3046" s="2">
        <f>MASTER[[#This Row],[CANTIDAD]]*MASTER[[#This Row],[PRECIO DE VENTA]]</f>
        <v>1144</v>
      </c>
      <c r="U3046" s="2">
        <f>MASTER[[#This Row],[CANTIDAD]]*MASTER[[#This Row],[COSTO UNITARIO]]</f>
        <v>460</v>
      </c>
      <c r="V3046" s="2">
        <f>MASTER[[#This Row],[MONTO VENDIDO]]-MASTER[[#This Row],[COSTO DE VENTA]]</f>
        <v>684</v>
      </c>
    </row>
    <row r="3047" spans="1:22" x14ac:dyDescent="0.3">
      <c r="A3047">
        <v>49631</v>
      </c>
      <c r="B3047">
        <v>1</v>
      </c>
      <c r="C3047" t="s">
        <v>96</v>
      </c>
      <c r="D3047" t="s">
        <v>97</v>
      </c>
      <c r="E3047" s="1">
        <v>44193</v>
      </c>
      <c r="F3047">
        <v>1</v>
      </c>
      <c r="G3047" t="s">
        <v>67</v>
      </c>
      <c r="H3047" t="s">
        <v>68</v>
      </c>
      <c r="I3047" s="3">
        <v>1272</v>
      </c>
      <c r="J3047" s="3">
        <v>1272</v>
      </c>
      <c r="K3047" s="3">
        <v>397</v>
      </c>
      <c r="L3047" t="s">
        <v>98</v>
      </c>
      <c r="M3047">
        <v>19</v>
      </c>
      <c r="N3047" t="s">
        <v>89</v>
      </c>
      <c r="O3047" t="s">
        <v>81</v>
      </c>
      <c r="P3047" t="s">
        <v>15</v>
      </c>
      <c r="Q3047" t="s">
        <v>16</v>
      </c>
      <c r="R3047" t="s">
        <v>16</v>
      </c>
      <c r="S3047" t="s">
        <v>144</v>
      </c>
      <c r="T3047" s="2">
        <f>MASTER[[#This Row],[CANTIDAD]]*MASTER[[#This Row],[PRECIO DE VENTA]]</f>
        <v>1272</v>
      </c>
      <c r="U3047" s="2">
        <f>MASTER[[#This Row],[CANTIDAD]]*MASTER[[#This Row],[COSTO UNITARIO]]</f>
        <v>397</v>
      </c>
      <c r="V3047" s="2">
        <f>MASTER[[#This Row],[MONTO VENDIDO]]-MASTER[[#This Row],[COSTO DE VENTA]]</f>
        <v>875</v>
      </c>
    </row>
    <row r="3048" spans="1:22" x14ac:dyDescent="0.3">
      <c r="A3048">
        <v>49649</v>
      </c>
      <c r="B3048">
        <v>1</v>
      </c>
      <c r="C3048" t="s">
        <v>5</v>
      </c>
      <c r="D3048" t="s">
        <v>6</v>
      </c>
      <c r="E3048" s="1">
        <v>44193</v>
      </c>
      <c r="F3048">
        <v>1</v>
      </c>
      <c r="G3048" t="s">
        <v>63</v>
      </c>
      <c r="H3048" t="s">
        <v>64</v>
      </c>
      <c r="I3048" s="3">
        <v>1507</v>
      </c>
      <c r="J3048" s="3">
        <v>1507</v>
      </c>
      <c r="K3048" s="3">
        <v>393</v>
      </c>
      <c r="L3048" t="s">
        <v>9</v>
      </c>
      <c r="M3048">
        <v>5</v>
      </c>
      <c r="N3048" t="s">
        <v>85</v>
      </c>
      <c r="O3048" t="s">
        <v>81</v>
      </c>
      <c r="P3048" t="s">
        <v>12</v>
      </c>
      <c r="Q3048" t="s">
        <v>13</v>
      </c>
      <c r="R3048" t="s">
        <v>13</v>
      </c>
      <c r="S3048" t="s">
        <v>144</v>
      </c>
      <c r="T3048" s="2">
        <f>MASTER[[#This Row],[CANTIDAD]]*MASTER[[#This Row],[PRECIO DE VENTA]]</f>
        <v>1507</v>
      </c>
      <c r="U3048" s="2">
        <f>MASTER[[#This Row],[CANTIDAD]]*MASTER[[#This Row],[COSTO UNITARIO]]</f>
        <v>393</v>
      </c>
      <c r="V3048" s="2">
        <f>MASTER[[#This Row],[MONTO VENDIDO]]-MASTER[[#This Row],[COSTO DE VENTA]]</f>
        <v>1114</v>
      </c>
    </row>
    <row r="3049" spans="1:22" x14ac:dyDescent="0.3">
      <c r="A3049">
        <v>49658</v>
      </c>
      <c r="B3049">
        <v>1</v>
      </c>
      <c r="C3049" t="s">
        <v>114</v>
      </c>
      <c r="D3049" t="s">
        <v>115</v>
      </c>
      <c r="E3049" s="1">
        <v>44193</v>
      </c>
      <c r="F3049">
        <v>1</v>
      </c>
      <c r="G3049" t="s">
        <v>53</v>
      </c>
      <c r="H3049" t="s">
        <v>54</v>
      </c>
      <c r="I3049" s="3">
        <v>1583</v>
      </c>
      <c r="J3049" s="3">
        <v>1472</v>
      </c>
      <c r="K3049" s="3">
        <v>394</v>
      </c>
      <c r="L3049" t="s">
        <v>113</v>
      </c>
      <c r="M3049">
        <v>17</v>
      </c>
      <c r="N3049" t="s">
        <v>14</v>
      </c>
      <c r="O3049" t="s">
        <v>11</v>
      </c>
      <c r="P3049" t="s">
        <v>15</v>
      </c>
      <c r="Q3049" t="s">
        <v>16</v>
      </c>
      <c r="R3049" t="s">
        <v>16</v>
      </c>
      <c r="S3049" t="s">
        <v>144</v>
      </c>
      <c r="T3049" s="2">
        <f>MASTER[[#This Row],[CANTIDAD]]*MASTER[[#This Row],[PRECIO DE VENTA]]</f>
        <v>1472</v>
      </c>
      <c r="U3049" s="2">
        <f>MASTER[[#This Row],[CANTIDAD]]*MASTER[[#This Row],[COSTO UNITARIO]]</f>
        <v>394</v>
      </c>
      <c r="V3049" s="2">
        <f>MASTER[[#This Row],[MONTO VENDIDO]]-MASTER[[#This Row],[COSTO DE VENTA]]</f>
        <v>1078</v>
      </c>
    </row>
    <row r="3050" spans="1:22" x14ac:dyDescent="0.3">
      <c r="A3050">
        <v>49662</v>
      </c>
      <c r="B3050">
        <v>1</v>
      </c>
      <c r="C3050" t="s">
        <v>103</v>
      </c>
      <c r="D3050" t="s">
        <v>104</v>
      </c>
      <c r="E3050" s="1">
        <v>44193</v>
      </c>
      <c r="F3050">
        <v>1</v>
      </c>
      <c r="G3050" t="s">
        <v>53</v>
      </c>
      <c r="H3050" t="s">
        <v>54</v>
      </c>
      <c r="I3050" s="3">
        <v>1591</v>
      </c>
      <c r="J3050" s="3">
        <v>1495</v>
      </c>
      <c r="K3050" s="3">
        <v>421</v>
      </c>
      <c r="L3050" t="s">
        <v>98</v>
      </c>
      <c r="M3050">
        <v>15</v>
      </c>
      <c r="N3050" t="s">
        <v>88</v>
      </c>
      <c r="O3050" t="s">
        <v>81</v>
      </c>
      <c r="P3050" t="s">
        <v>18</v>
      </c>
      <c r="Q3050" t="s">
        <v>19</v>
      </c>
      <c r="R3050" t="s">
        <v>138</v>
      </c>
      <c r="S3050" t="s">
        <v>144</v>
      </c>
      <c r="T3050" s="2">
        <f>MASTER[[#This Row],[CANTIDAD]]*MASTER[[#This Row],[PRECIO DE VENTA]]</f>
        <v>1495</v>
      </c>
      <c r="U3050" s="2">
        <f>MASTER[[#This Row],[CANTIDAD]]*MASTER[[#This Row],[COSTO UNITARIO]]</f>
        <v>421</v>
      </c>
      <c r="V3050" s="2">
        <f>MASTER[[#This Row],[MONTO VENDIDO]]-MASTER[[#This Row],[COSTO DE VENTA]]</f>
        <v>1074</v>
      </c>
    </row>
    <row r="3051" spans="1:22" x14ac:dyDescent="0.3">
      <c r="A3051">
        <v>49664</v>
      </c>
      <c r="B3051">
        <v>1</v>
      </c>
      <c r="C3051" t="s">
        <v>96</v>
      </c>
      <c r="D3051" t="s">
        <v>97</v>
      </c>
      <c r="E3051" s="1">
        <v>44194</v>
      </c>
      <c r="F3051">
        <v>1</v>
      </c>
      <c r="G3051" t="s">
        <v>35</v>
      </c>
      <c r="H3051" t="s">
        <v>36</v>
      </c>
      <c r="I3051" s="3">
        <v>1361</v>
      </c>
      <c r="J3051" s="3">
        <v>1361</v>
      </c>
      <c r="K3051" s="3">
        <v>397</v>
      </c>
      <c r="L3051" t="s">
        <v>98</v>
      </c>
      <c r="M3051">
        <v>13</v>
      </c>
      <c r="N3051" t="s">
        <v>78</v>
      </c>
      <c r="O3051" t="s">
        <v>70</v>
      </c>
      <c r="P3051" t="s">
        <v>18</v>
      </c>
      <c r="Q3051" t="s">
        <v>19</v>
      </c>
      <c r="R3051" t="s">
        <v>138</v>
      </c>
      <c r="S3051" t="s">
        <v>144</v>
      </c>
      <c r="T3051" s="2">
        <f>MASTER[[#This Row],[CANTIDAD]]*MASTER[[#This Row],[PRECIO DE VENTA]]</f>
        <v>1361</v>
      </c>
      <c r="U3051" s="2">
        <f>MASTER[[#This Row],[CANTIDAD]]*MASTER[[#This Row],[COSTO UNITARIO]]</f>
        <v>397</v>
      </c>
      <c r="V3051" s="2">
        <f>MASTER[[#This Row],[MONTO VENDIDO]]-MASTER[[#This Row],[COSTO DE VENTA]]</f>
        <v>964</v>
      </c>
    </row>
    <row r="3052" spans="1:22" x14ac:dyDescent="0.3">
      <c r="A3052">
        <v>49671</v>
      </c>
      <c r="B3052">
        <v>1</v>
      </c>
      <c r="C3052" t="s">
        <v>5</v>
      </c>
      <c r="D3052" t="s">
        <v>6</v>
      </c>
      <c r="E3052" s="1">
        <v>44194</v>
      </c>
      <c r="F3052">
        <v>1</v>
      </c>
      <c r="G3052" t="s">
        <v>45</v>
      </c>
      <c r="H3052" t="s">
        <v>46</v>
      </c>
      <c r="I3052" s="3">
        <v>1296</v>
      </c>
      <c r="J3052" s="3">
        <v>1218</v>
      </c>
      <c r="K3052" s="3">
        <v>393</v>
      </c>
      <c r="L3052" t="s">
        <v>9</v>
      </c>
      <c r="M3052">
        <v>18</v>
      </c>
      <c r="N3052" t="s">
        <v>79</v>
      </c>
      <c r="O3052" t="s">
        <v>70</v>
      </c>
      <c r="P3052" t="s">
        <v>15</v>
      </c>
      <c r="Q3052" t="s">
        <v>16</v>
      </c>
      <c r="R3052" t="s">
        <v>16</v>
      </c>
      <c r="S3052" t="s">
        <v>144</v>
      </c>
      <c r="T3052" s="2">
        <f>MASTER[[#This Row],[CANTIDAD]]*MASTER[[#This Row],[PRECIO DE VENTA]]</f>
        <v>1218</v>
      </c>
      <c r="U3052" s="2">
        <f>MASTER[[#This Row],[CANTIDAD]]*MASTER[[#This Row],[COSTO UNITARIO]]</f>
        <v>393</v>
      </c>
      <c r="V3052" s="2">
        <f>MASTER[[#This Row],[MONTO VENDIDO]]-MASTER[[#This Row],[COSTO DE VENTA]]</f>
        <v>825</v>
      </c>
    </row>
    <row r="3053" spans="1:22" x14ac:dyDescent="0.3">
      <c r="A3053">
        <v>49672</v>
      </c>
      <c r="B3053">
        <v>1</v>
      </c>
      <c r="C3053" t="s">
        <v>5</v>
      </c>
      <c r="D3053" t="s">
        <v>6</v>
      </c>
      <c r="E3053" s="1">
        <v>44194</v>
      </c>
      <c r="F3053">
        <v>1</v>
      </c>
      <c r="G3053" t="s">
        <v>47</v>
      </c>
      <c r="H3053" t="s">
        <v>48</v>
      </c>
      <c r="I3053" s="3">
        <v>1507</v>
      </c>
      <c r="J3053" s="3">
        <v>1507</v>
      </c>
      <c r="K3053" s="3">
        <v>393</v>
      </c>
      <c r="L3053" t="s">
        <v>9</v>
      </c>
      <c r="M3053">
        <v>8</v>
      </c>
      <c r="N3053" t="s">
        <v>80</v>
      </c>
      <c r="O3053" t="s">
        <v>81</v>
      </c>
      <c r="P3053" t="s">
        <v>12</v>
      </c>
      <c r="Q3053" t="s">
        <v>13</v>
      </c>
      <c r="R3053" t="s">
        <v>13</v>
      </c>
      <c r="S3053" t="s">
        <v>144</v>
      </c>
      <c r="T3053" s="2">
        <f>MASTER[[#This Row],[CANTIDAD]]*MASTER[[#This Row],[PRECIO DE VENTA]]</f>
        <v>1507</v>
      </c>
      <c r="U3053" s="2">
        <f>MASTER[[#This Row],[CANTIDAD]]*MASTER[[#This Row],[COSTO UNITARIO]]</f>
        <v>393</v>
      </c>
      <c r="V3053" s="2">
        <f>MASTER[[#This Row],[MONTO VENDIDO]]-MASTER[[#This Row],[COSTO DE VENTA]]</f>
        <v>1114</v>
      </c>
    </row>
    <row r="3054" spans="1:22" x14ac:dyDescent="0.3">
      <c r="A3054">
        <v>49675</v>
      </c>
      <c r="B3054">
        <v>2</v>
      </c>
      <c r="C3054" t="s">
        <v>92</v>
      </c>
      <c r="D3054" t="s">
        <v>93</v>
      </c>
      <c r="E3054" s="1">
        <v>44194</v>
      </c>
      <c r="F3054">
        <v>1</v>
      </c>
      <c r="G3054" t="s">
        <v>61</v>
      </c>
      <c r="H3054" t="s">
        <v>62</v>
      </c>
      <c r="I3054" s="3">
        <v>1681</v>
      </c>
      <c r="J3054" s="3">
        <v>1681</v>
      </c>
      <c r="K3054" s="3">
        <v>396</v>
      </c>
      <c r="L3054" t="s">
        <v>9</v>
      </c>
      <c r="M3054">
        <v>2</v>
      </c>
      <c r="N3054" t="s">
        <v>86</v>
      </c>
      <c r="O3054" t="s">
        <v>81</v>
      </c>
      <c r="P3054" t="s">
        <v>71</v>
      </c>
      <c r="Q3054" t="s">
        <v>72</v>
      </c>
      <c r="R3054" t="s">
        <v>139</v>
      </c>
      <c r="S3054" t="s">
        <v>144</v>
      </c>
      <c r="T3054" s="2">
        <f>MASTER[[#This Row],[CANTIDAD]]*MASTER[[#This Row],[PRECIO DE VENTA]]</f>
        <v>1681</v>
      </c>
      <c r="U3054" s="2">
        <f>MASTER[[#This Row],[CANTIDAD]]*MASTER[[#This Row],[COSTO UNITARIO]]</f>
        <v>396</v>
      </c>
      <c r="V3054" s="2">
        <f>MASTER[[#This Row],[MONTO VENDIDO]]-MASTER[[#This Row],[COSTO DE VENTA]]</f>
        <v>1285</v>
      </c>
    </row>
    <row r="3055" spans="1:22" x14ac:dyDescent="0.3">
      <c r="A3055">
        <v>49675</v>
      </c>
      <c r="B3055">
        <v>1</v>
      </c>
      <c r="C3055" t="s">
        <v>99</v>
      </c>
      <c r="D3055" t="s">
        <v>100</v>
      </c>
      <c r="E3055" s="1">
        <v>44194</v>
      </c>
      <c r="F3055">
        <v>1</v>
      </c>
      <c r="G3055" t="s">
        <v>67</v>
      </c>
      <c r="H3055" t="s">
        <v>68</v>
      </c>
      <c r="I3055" s="3">
        <v>1459</v>
      </c>
      <c r="J3055" s="3">
        <v>1459</v>
      </c>
      <c r="K3055" s="3">
        <v>386</v>
      </c>
      <c r="L3055" t="s">
        <v>98</v>
      </c>
      <c r="M3055">
        <v>2</v>
      </c>
      <c r="N3055" t="s">
        <v>86</v>
      </c>
      <c r="O3055" t="s">
        <v>81</v>
      </c>
      <c r="P3055" t="s">
        <v>71</v>
      </c>
      <c r="Q3055" t="s">
        <v>72</v>
      </c>
      <c r="R3055" t="s">
        <v>139</v>
      </c>
      <c r="S3055" t="s">
        <v>144</v>
      </c>
      <c r="T3055" s="2">
        <f>MASTER[[#This Row],[CANTIDAD]]*MASTER[[#This Row],[PRECIO DE VENTA]]</f>
        <v>1459</v>
      </c>
      <c r="U3055" s="2">
        <f>MASTER[[#This Row],[CANTIDAD]]*MASTER[[#This Row],[COSTO UNITARIO]]</f>
        <v>386</v>
      </c>
      <c r="V3055" s="2">
        <f>MASTER[[#This Row],[MONTO VENDIDO]]-MASTER[[#This Row],[COSTO DE VENTA]]</f>
        <v>1073</v>
      </c>
    </row>
    <row r="3056" spans="1:22" x14ac:dyDescent="0.3">
      <c r="A3056">
        <v>49753</v>
      </c>
      <c r="B3056">
        <v>1</v>
      </c>
      <c r="C3056" t="s">
        <v>109</v>
      </c>
      <c r="D3056" t="s">
        <v>110</v>
      </c>
      <c r="E3056" s="1">
        <v>44195</v>
      </c>
      <c r="F3056">
        <v>1</v>
      </c>
      <c r="G3056" t="s">
        <v>59</v>
      </c>
      <c r="H3056" t="s">
        <v>60</v>
      </c>
      <c r="I3056" s="3">
        <v>1064</v>
      </c>
      <c r="J3056" s="3">
        <v>1064</v>
      </c>
      <c r="K3056" s="3">
        <v>387</v>
      </c>
      <c r="L3056" t="s">
        <v>98</v>
      </c>
      <c r="M3056">
        <v>2</v>
      </c>
      <c r="N3056" t="s">
        <v>86</v>
      </c>
      <c r="O3056" t="s">
        <v>81</v>
      </c>
      <c r="P3056" t="s">
        <v>71</v>
      </c>
      <c r="Q3056" t="s">
        <v>72</v>
      </c>
      <c r="R3056" t="s">
        <v>139</v>
      </c>
      <c r="S3056" t="s">
        <v>144</v>
      </c>
      <c r="T3056" s="2">
        <f>MASTER[[#This Row],[CANTIDAD]]*MASTER[[#This Row],[PRECIO DE VENTA]]</f>
        <v>1064</v>
      </c>
      <c r="U3056" s="2">
        <f>MASTER[[#This Row],[CANTIDAD]]*MASTER[[#This Row],[COSTO UNITARIO]]</f>
        <v>387</v>
      </c>
      <c r="V3056" s="2">
        <f>MASTER[[#This Row],[MONTO VENDIDO]]-MASTER[[#This Row],[COSTO DE VENTA]]</f>
        <v>677</v>
      </c>
    </row>
    <row r="3057" spans="1:22" x14ac:dyDescent="0.3">
      <c r="A3057">
        <v>49759</v>
      </c>
      <c r="B3057">
        <v>1</v>
      </c>
      <c r="C3057" t="s">
        <v>105</v>
      </c>
      <c r="D3057" t="s">
        <v>106</v>
      </c>
      <c r="E3057" s="1">
        <v>44195</v>
      </c>
      <c r="F3057">
        <v>1</v>
      </c>
      <c r="G3057" t="s">
        <v>33</v>
      </c>
      <c r="H3057" t="s">
        <v>34</v>
      </c>
      <c r="I3057" s="3">
        <v>2033</v>
      </c>
      <c r="J3057" s="3">
        <v>2033</v>
      </c>
      <c r="K3057" s="3">
        <v>459</v>
      </c>
      <c r="L3057" t="s">
        <v>98</v>
      </c>
      <c r="M3057">
        <v>18</v>
      </c>
      <c r="N3057" t="s">
        <v>79</v>
      </c>
      <c r="O3057" t="s">
        <v>70</v>
      </c>
      <c r="P3057" t="s">
        <v>15</v>
      </c>
      <c r="Q3057" t="s">
        <v>16</v>
      </c>
      <c r="R3057" t="s">
        <v>16</v>
      </c>
      <c r="S3057" t="s">
        <v>144</v>
      </c>
      <c r="T3057" s="2">
        <f>MASTER[[#This Row],[CANTIDAD]]*MASTER[[#This Row],[PRECIO DE VENTA]]</f>
        <v>2033</v>
      </c>
      <c r="U3057" s="2">
        <f>MASTER[[#This Row],[CANTIDAD]]*MASTER[[#This Row],[COSTO UNITARIO]]</f>
        <v>459</v>
      </c>
      <c r="V3057" s="2">
        <f>MASTER[[#This Row],[MONTO VENDIDO]]-MASTER[[#This Row],[COSTO DE VENTA]]</f>
        <v>1574</v>
      </c>
    </row>
    <row r="3058" spans="1:22" x14ac:dyDescent="0.3">
      <c r="A3058">
        <v>49779</v>
      </c>
      <c r="B3058">
        <v>1</v>
      </c>
      <c r="C3058" t="s">
        <v>94</v>
      </c>
      <c r="D3058" t="s">
        <v>95</v>
      </c>
      <c r="E3058" s="1">
        <v>44195</v>
      </c>
      <c r="F3058">
        <v>1</v>
      </c>
      <c r="G3058" t="s">
        <v>45</v>
      </c>
      <c r="H3058" t="s">
        <v>46</v>
      </c>
      <c r="I3058" s="3">
        <v>1048</v>
      </c>
      <c r="J3058" s="3">
        <v>1048</v>
      </c>
      <c r="K3058" s="3">
        <v>392</v>
      </c>
      <c r="L3058" t="s">
        <v>9</v>
      </c>
      <c r="M3058">
        <v>14</v>
      </c>
      <c r="N3058" t="s">
        <v>87</v>
      </c>
      <c r="O3058" t="s">
        <v>81</v>
      </c>
      <c r="P3058" t="s">
        <v>18</v>
      </c>
      <c r="Q3058" t="s">
        <v>19</v>
      </c>
      <c r="R3058" t="s">
        <v>138</v>
      </c>
      <c r="S3058" t="s">
        <v>144</v>
      </c>
      <c r="T3058" s="2">
        <f>MASTER[[#This Row],[CANTIDAD]]*MASTER[[#This Row],[PRECIO DE VENTA]]</f>
        <v>1048</v>
      </c>
      <c r="U3058" s="2">
        <f>MASTER[[#This Row],[CANTIDAD]]*MASTER[[#This Row],[COSTO UNITARIO]]</f>
        <v>392</v>
      </c>
      <c r="V3058" s="2">
        <f>MASTER[[#This Row],[MONTO VENDIDO]]-MASTER[[#This Row],[COSTO DE VENTA]]</f>
        <v>656</v>
      </c>
    </row>
    <row r="3059" spans="1:22" x14ac:dyDescent="0.3">
      <c r="A3059">
        <v>49831</v>
      </c>
      <c r="B3059">
        <v>1</v>
      </c>
      <c r="C3059" t="s">
        <v>94</v>
      </c>
      <c r="D3059" t="s">
        <v>95</v>
      </c>
      <c r="E3059" s="1">
        <v>44195</v>
      </c>
      <c r="F3059">
        <v>1</v>
      </c>
      <c r="G3059" t="s">
        <v>37</v>
      </c>
      <c r="H3059" t="s">
        <v>38</v>
      </c>
      <c r="I3059" s="3">
        <v>1048</v>
      </c>
      <c r="J3059" s="3">
        <v>1048</v>
      </c>
      <c r="K3059" s="3">
        <v>392</v>
      </c>
      <c r="L3059" t="s">
        <v>9</v>
      </c>
      <c r="M3059">
        <v>15</v>
      </c>
      <c r="N3059" t="s">
        <v>88</v>
      </c>
      <c r="O3059" t="s">
        <v>81</v>
      </c>
      <c r="P3059" t="s">
        <v>18</v>
      </c>
      <c r="Q3059" t="s">
        <v>19</v>
      </c>
      <c r="R3059" t="s">
        <v>138</v>
      </c>
      <c r="S3059" t="s">
        <v>144</v>
      </c>
      <c r="T3059" s="2">
        <f>MASTER[[#This Row],[CANTIDAD]]*MASTER[[#This Row],[PRECIO DE VENTA]]</f>
        <v>1048</v>
      </c>
      <c r="U3059" s="2">
        <f>MASTER[[#This Row],[CANTIDAD]]*MASTER[[#This Row],[COSTO UNITARIO]]</f>
        <v>392</v>
      </c>
      <c r="V3059" s="2">
        <f>MASTER[[#This Row],[MONTO VENDIDO]]-MASTER[[#This Row],[COSTO DE VENTA]]</f>
        <v>656</v>
      </c>
    </row>
    <row r="3060" spans="1:22" x14ac:dyDescent="0.3">
      <c r="A3060">
        <v>49847</v>
      </c>
      <c r="B3060">
        <v>1</v>
      </c>
      <c r="C3060" t="s">
        <v>118</v>
      </c>
      <c r="D3060" t="s">
        <v>119</v>
      </c>
      <c r="E3060" s="1">
        <v>44195</v>
      </c>
      <c r="F3060">
        <v>1</v>
      </c>
      <c r="G3060" t="s">
        <v>31</v>
      </c>
      <c r="H3060" t="s">
        <v>32</v>
      </c>
      <c r="I3060" s="3">
        <v>900</v>
      </c>
      <c r="J3060" s="3">
        <v>900</v>
      </c>
      <c r="K3060" s="3">
        <v>424</v>
      </c>
      <c r="L3060" t="s">
        <v>120</v>
      </c>
      <c r="M3060">
        <v>5</v>
      </c>
      <c r="N3060" t="s">
        <v>85</v>
      </c>
      <c r="O3060" t="s">
        <v>81</v>
      </c>
      <c r="P3060" t="s">
        <v>12</v>
      </c>
      <c r="Q3060" t="s">
        <v>13</v>
      </c>
      <c r="R3060" t="s">
        <v>13</v>
      </c>
      <c r="S3060" t="s">
        <v>144</v>
      </c>
      <c r="T3060" s="2">
        <f>MASTER[[#This Row],[CANTIDAD]]*MASTER[[#This Row],[PRECIO DE VENTA]]</f>
        <v>900</v>
      </c>
      <c r="U3060" s="2">
        <f>MASTER[[#This Row],[CANTIDAD]]*MASTER[[#This Row],[COSTO UNITARIO]]</f>
        <v>424</v>
      </c>
      <c r="V3060" s="2">
        <f>MASTER[[#This Row],[MONTO VENDIDO]]-MASTER[[#This Row],[COSTO DE VENTA]]</f>
        <v>476</v>
      </c>
    </row>
    <row r="3061" spans="1:22" x14ac:dyDescent="0.3">
      <c r="A3061">
        <v>49857</v>
      </c>
      <c r="B3061">
        <v>1</v>
      </c>
      <c r="C3061" t="s">
        <v>116</v>
      </c>
      <c r="D3061" t="s">
        <v>117</v>
      </c>
      <c r="E3061" s="1">
        <v>44195</v>
      </c>
      <c r="F3061">
        <v>1</v>
      </c>
      <c r="G3061" t="s">
        <v>43</v>
      </c>
      <c r="H3061" t="s">
        <v>44</v>
      </c>
      <c r="I3061" s="3">
        <v>1999</v>
      </c>
      <c r="J3061" s="3">
        <v>1999</v>
      </c>
      <c r="K3061" s="3">
        <v>388</v>
      </c>
      <c r="L3061" t="s">
        <v>113</v>
      </c>
      <c r="M3061">
        <v>1</v>
      </c>
      <c r="N3061" t="s">
        <v>77</v>
      </c>
      <c r="O3061" t="s">
        <v>70</v>
      </c>
      <c r="P3061" t="s">
        <v>71</v>
      </c>
      <c r="Q3061" t="s">
        <v>72</v>
      </c>
      <c r="R3061" t="s">
        <v>139</v>
      </c>
      <c r="S3061" t="s">
        <v>144</v>
      </c>
      <c r="T3061" s="2">
        <f>MASTER[[#This Row],[CANTIDAD]]*MASTER[[#This Row],[PRECIO DE VENTA]]</f>
        <v>1999</v>
      </c>
      <c r="U3061" s="2">
        <f>MASTER[[#This Row],[CANTIDAD]]*MASTER[[#This Row],[COSTO UNITARIO]]</f>
        <v>388</v>
      </c>
      <c r="V3061" s="2">
        <f>MASTER[[#This Row],[MONTO VENDIDO]]-MASTER[[#This Row],[COSTO DE VENTA]]</f>
        <v>1611</v>
      </c>
    </row>
    <row r="3062" spans="1:22" x14ac:dyDescent="0.3">
      <c r="A3062">
        <v>49858</v>
      </c>
      <c r="B3062">
        <v>1</v>
      </c>
      <c r="C3062" t="s">
        <v>116</v>
      </c>
      <c r="D3062" t="s">
        <v>117</v>
      </c>
      <c r="E3062" s="1">
        <v>44195</v>
      </c>
      <c r="F3062">
        <v>1</v>
      </c>
      <c r="G3062" t="s">
        <v>61</v>
      </c>
      <c r="H3062" t="s">
        <v>62</v>
      </c>
      <c r="I3062" s="3">
        <v>1738</v>
      </c>
      <c r="J3062" s="3">
        <v>1738</v>
      </c>
      <c r="K3062" s="3">
        <v>388</v>
      </c>
      <c r="L3062" t="s">
        <v>113</v>
      </c>
      <c r="M3062">
        <v>10</v>
      </c>
      <c r="N3062" t="s">
        <v>83</v>
      </c>
      <c r="O3062" t="s">
        <v>81</v>
      </c>
      <c r="P3062" t="s">
        <v>12</v>
      </c>
      <c r="Q3062" t="s">
        <v>13</v>
      </c>
      <c r="R3062" t="s">
        <v>13</v>
      </c>
      <c r="S3062" t="s">
        <v>144</v>
      </c>
      <c r="T3062" s="2">
        <f>MASTER[[#This Row],[CANTIDAD]]*MASTER[[#This Row],[PRECIO DE VENTA]]</f>
        <v>1738</v>
      </c>
      <c r="U3062" s="2">
        <f>MASTER[[#This Row],[CANTIDAD]]*MASTER[[#This Row],[COSTO UNITARIO]]</f>
        <v>388</v>
      </c>
      <c r="V3062" s="2">
        <f>MASTER[[#This Row],[MONTO VENDIDO]]-MASTER[[#This Row],[COSTO DE VENTA]]</f>
        <v>1350</v>
      </c>
    </row>
    <row r="3063" spans="1:22" x14ac:dyDescent="0.3">
      <c r="A3063">
        <v>49891</v>
      </c>
      <c r="B3063">
        <v>1</v>
      </c>
      <c r="C3063" t="s">
        <v>103</v>
      </c>
      <c r="D3063" t="s">
        <v>104</v>
      </c>
      <c r="E3063" s="1">
        <v>44195</v>
      </c>
      <c r="F3063">
        <v>1</v>
      </c>
      <c r="G3063" t="s">
        <v>47</v>
      </c>
      <c r="H3063" t="s">
        <v>48</v>
      </c>
      <c r="I3063" s="3">
        <v>1591</v>
      </c>
      <c r="J3063" s="3">
        <v>1591</v>
      </c>
      <c r="K3063" s="3">
        <v>421</v>
      </c>
      <c r="L3063" t="s">
        <v>98</v>
      </c>
      <c r="M3063">
        <v>4</v>
      </c>
      <c r="N3063" t="s">
        <v>82</v>
      </c>
      <c r="O3063" t="s">
        <v>81</v>
      </c>
      <c r="P3063" t="s">
        <v>71</v>
      </c>
      <c r="Q3063" t="s">
        <v>72</v>
      </c>
      <c r="R3063" t="s">
        <v>139</v>
      </c>
      <c r="S3063" t="s">
        <v>144</v>
      </c>
      <c r="T3063" s="2">
        <f>MASTER[[#This Row],[CANTIDAD]]*MASTER[[#This Row],[PRECIO DE VENTA]]</f>
        <v>1591</v>
      </c>
      <c r="U3063" s="2">
        <f>MASTER[[#This Row],[CANTIDAD]]*MASTER[[#This Row],[COSTO UNITARIO]]</f>
        <v>421</v>
      </c>
      <c r="V3063" s="2">
        <f>MASTER[[#This Row],[MONTO VENDIDO]]-MASTER[[#This Row],[COSTO DE VENTA]]</f>
        <v>1170</v>
      </c>
    </row>
    <row r="3064" spans="1:22" x14ac:dyDescent="0.3">
      <c r="A3064">
        <v>49942</v>
      </c>
      <c r="B3064">
        <v>1</v>
      </c>
      <c r="C3064" t="s">
        <v>103</v>
      </c>
      <c r="D3064" t="s">
        <v>104</v>
      </c>
      <c r="E3064" s="1">
        <v>44195</v>
      </c>
      <c r="F3064">
        <v>1</v>
      </c>
      <c r="G3064" t="s">
        <v>59</v>
      </c>
      <c r="H3064" t="s">
        <v>60</v>
      </c>
      <c r="I3064" s="3">
        <v>1830</v>
      </c>
      <c r="J3064" s="3">
        <v>1830</v>
      </c>
      <c r="K3064" s="3">
        <v>421</v>
      </c>
      <c r="L3064" t="s">
        <v>98</v>
      </c>
      <c r="M3064">
        <v>1</v>
      </c>
      <c r="N3064" t="s">
        <v>77</v>
      </c>
      <c r="O3064" t="s">
        <v>70</v>
      </c>
      <c r="P3064" t="s">
        <v>71</v>
      </c>
      <c r="Q3064" t="s">
        <v>72</v>
      </c>
      <c r="R3064" t="s">
        <v>139</v>
      </c>
      <c r="S3064" t="s">
        <v>144</v>
      </c>
      <c r="T3064" s="2">
        <f>MASTER[[#This Row],[CANTIDAD]]*MASTER[[#This Row],[PRECIO DE VENTA]]</f>
        <v>1830</v>
      </c>
      <c r="U3064" s="2">
        <f>MASTER[[#This Row],[CANTIDAD]]*MASTER[[#This Row],[COSTO UNITARIO]]</f>
        <v>421</v>
      </c>
      <c r="V3064" s="2">
        <f>MASTER[[#This Row],[MONTO VENDIDO]]-MASTER[[#This Row],[COSTO DE VENTA]]</f>
        <v>1409</v>
      </c>
    </row>
    <row r="3065" spans="1:22" x14ac:dyDescent="0.3">
      <c r="A3065">
        <v>49953</v>
      </c>
      <c r="B3065">
        <v>1</v>
      </c>
      <c r="C3065" t="s">
        <v>121</v>
      </c>
      <c r="D3065" t="s">
        <v>122</v>
      </c>
      <c r="E3065" s="1">
        <v>44196</v>
      </c>
      <c r="F3065">
        <v>1</v>
      </c>
      <c r="G3065" t="s">
        <v>39</v>
      </c>
      <c r="H3065" t="s">
        <v>40</v>
      </c>
      <c r="I3065" s="3">
        <v>1144</v>
      </c>
      <c r="J3065" s="3">
        <v>1144</v>
      </c>
      <c r="K3065" s="3">
        <v>460</v>
      </c>
      <c r="L3065" t="s">
        <v>120</v>
      </c>
      <c r="M3065">
        <v>6</v>
      </c>
      <c r="N3065" t="s">
        <v>75</v>
      </c>
      <c r="O3065" t="s">
        <v>70</v>
      </c>
      <c r="P3065" t="s">
        <v>12</v>
      </c>
      <c r="Q3065" t="s">
        <v>13</v>
      </c>
      <c r="R3065" t="s">
        <v>13</v>
      </c>
      <c r="S3065" t="s">
        <v>144</v>
      </c>
      <c r="T3065" s="2">
        <f>MASTER[[#This Row],[CANTIDAD]]*MASTER[[#This Row],[PRECIO DE VENTA]]</f>
        <v>1144</v>
      </c>
      <c r="U3065" s="2">
        <f>MASTER[[#This Row],[CANTIDAD]]*MASTER[[#This Row],[COSTO UNITARIO]]</f>
        <v>460</v>
      </c>
      <c r="V3065" s="2">
        <f>MASTER[[#This Row],[MONTO VENDIDO]]-MASTER[[#This Row],[COSTO DE VENTA]]</f>
        <v>684</v>
      </c>
    </row>
    <row r="3066" spans="1:22" x14ac:dyDescent="0.3">
      <c r="A3066">
        <v>49966</v>
      </c>
      <c r="B3066">
        <v>1</v>
      </c>
      <c r="C3066" t="s">
        <v>116</v>
      </c>
      <c r="D3066" t="s">
        <v>117</v>
      </c>
      <c r="E3066" s="1">
        <v>44196</v>
      </c>
      <c r="F3066">
        <v>1</v>
      </c>
      <c r="G3066" t="s">
        <v>37</v>
      </c>
      <c r="H3066" t="s">
        <v>38</v>
      </c>
      <c r="I3066" s="3">
        <v>1738</v>
      </c>
      <c r="J3066" s="3">
        <v>1738</v>
      </c>
      <c r="K3066" s="3">
        <v>388</v>
      </c>
      <c r="L3066" t="s">
        <v>113</v>
      </c>
      <c r="M3066">
        <v>4</v>
      </c>
      <c r="N3066" t="s">
        <v>82</v>
      </c>
      <c r="O3066" t="s">
        <v>81</v>
      </c>
      <c r="P3066" t="s">
        <v>71</v>
      </c>
      <c r="Q3066" t="s">
        <v>72</v>
      </c>
      <c r="R3066" t="s">
        <v>139</v>
      </c>
      <c r="S3066" t="s">
        <v>144</v>
      </c>
      <c r="T3066" s="2">
        <f>MASTER[[#This Row],[CANTIDAD]]*MASTER[[#This Row],[PRECIO DE VENTA]]</f>
        <v>1738</v>
      </c>
      <c r="U3066" s="2">
        <f>MASTER[[#This Row],[CANTIDAD]]*MASTER[[#This Row],[COSTO UNITARIO]]</f>
        <v>388</v>
      </c>
      <c r="V3066" s="2">
        <f>MASTER[[#This Row],[MONTO VENDIDO]]-MASTER[[#This Row],[COSTO DE VENTA]]</f>
        <v>1350</v>
      </c>
    </row>
    <row r="3067" spans="1:22" x14ac:dyDescent="0.3">
      <c r="A3067">
        <v>49970</v>
      </c>
      <c r="B3067">
        <v>1</v>
      </c>
      <c r="C3067" t="s">
        <v>96</v>
      </c>
      <c r="D3067" t="s">
        <v>97</v>
      </c>
      <c r="E3067" s="1">
        <v>44196</v>
      </c>
      <c r="F3067">
        <v>1</v>
      </c>
      <c r="G3067" t="s">
        <v>33</v>
      </c>
      <c r="H3067" t="s">
        <v>34</v>
      </c>
      <c r="I3067" s="3">
        <v>1361</v>
      </c>
      <c r="J3067" s="3">
        <v>1361</v>
      </c>
      <c r="K3067" s="3">
        <v>397</v>
      </c>
      <c r="L3067" t="s">
        <v>98</v>
      </c>
      <c r="M3067">
        <v>18</v>
      </c>
      <c r="N3067" t="s">
        <v>79</v>
      </c>
      <c r="O3067" t="s">
        <v>70</v>
      </c>
      <c r="P3067" t="s">
        <v>15</v>
      </c>
      <c r="Q3067" t="s">
        <v>16</v>
      </c>
      <c r="R3067" t="s">
        <v>16</v>
      </c>
      <c r="S3067" t="s">
        <v>144</v>
      </c>
      <c r="T3067" s="2">
        <f>MASTER[[#This Row],[CANTIDAD]]*MASTER[[#This Row],[PRECIO DE VENTA]]</f>
        <v>1361</v>
      </c>
      <c r="U3067" s="2">
        <f>MASTER[[#This Row],[CANTIDAD]]*MASTER[[#This Row],[COSTO UNITARIO]]</f>
        <v>397</v>
      </c>
      <c r="V3067" s="2">
        <f>MASTER[[#This Row],[MONTO VENDIDO]]-MASTER[[#This Row],[COSTO DE VENTA]]</f>
        <v>964</v>
      </c>
    </row>
    <row r="3068" spans="1:22" x14ac:dyDescent="0.3">
      <c r="A3068">
        <v>49980</v>
      </c>
      <c r="B3068">
        <v>1</v>
      </c>
      <c r="C3068" t="s">
        <v>109</v>
      </c>
      <c r="D3068" t="s">
        <v>110</v>
      </c>
      <c r="E3068" s="1">
        <v>44196</v>
      </c>
      <c r="F3068">
        <v>1</v>
      </c>
      <c r="G3068" t="s">
        <v>67</v>
      </c>
      <c r="H3068" t="s">
        <v>68</v>
      </c>
      <c r="I3068" s="3">
        <v>1064</v>
      </c>
      <c r="J3068" s="3">
        <v>1064</v>
      </c>
      <c r="K3068" s="3">
        <v>387</v>
      </c>
      <c r="L3068" t="s">
        <v>98</v>
      </c>
      <c r="M3068">
        <v>19</v>
      </c>
      <c r="N3068" t="s">
        <v>89</v>
      </c>
      <c r="O3068" t="s">
        <v>81</v>
      </c>
      <c r="P3068" t="s">
        <v>15</v>
      </c>
      <c r="Q3068" t="s">
        <v>16</v>
      </c>
      <c r="R3068" t="s">
        <v>16</v>
      </c>
      <c r="S3068" t="s">
        <v>144</v>
      </c>
      <c r="T3068" s="2">
        <f>MASTER[[#This Row],[CANTIDAD]]*MASTER[[#This Row],[PRECIO DE VENTA]]</f>
        <v>1064</v>
      </c>
      <c r="U3068" s="2">
        <f>MASTER[[#This Row],[CANTIDAD]]*MASTER[[#This Row],[COSTO UNITARIO]]</f>
        <v>387</v>
      </c>
      <c r="V3068" s="2">
        <f>MASTER[[#This Row],[MONTO VENDIDO]]-MASTER[[#This Row],[COSTO DE VENTA]]</f>
        <v>677</v>
      </c>
    </row>
    <row r="3069" spans="1:22" x14ac:dyDescent="0.3">
      <c r="A3069">
        <v>49988</v>
      </c>
      <c r="B3069">
        <v>1</v>
      </c>
      <c r="C3069" t="s">
        <v>114</v>
      </c>
      <c r="D3069" t="s">
        <v>115</v>
      </c>
      <c r="E3069" s="1">
        <v>44196</v>
      </c>
      <c r="F3069">
        <v>1</v>
      </c>
      <c r="G3069" t="s">
        <v>67</v>
      </c>
      <c r="H3069" t="s">
        <v>68</v>
      </c>
      <c r="I3069" s="3">
        <v>1862</v>
      </c>
      <c r="J3069" s="3">
        <v>1862</v>
      </c>
      <c r="K3069" s="3">
        <v>394</v>
      </c>
      <c r="L3069" t="s">
        <v>113</v>
      </c>
      <c r="M3069">
        <v>4</v>
      </c>
      <c r="N3069" t="s">
        <v>82</v>
      </c>
      <c r="O3069" t="s">
        <v>81</v>
      </c>
      <c r="P3069" t="s">
        <v>71</v>
      </c>
      <c r="Q3069" t="s">
        <v>72</v>
      </c>
      <c r="R3069" t="s">
        <v>139</v>
      </c>
      <c r="S3069" t="s">
        <v>144</v>
      </c>
      <c r="T3069" s="2">
        <f>MASTER[[#This Row],[CANTIDAD]]*MASTER[[#This Row],[PRECIO DE VENTA]]</f>
        <v>1862</v>
      </c>
      <c r="U3069" s="2">
        <f>MASTER[[#This Row],[CANTIDAD]]*MASTER[[#This Row],[COSTO UNITARIO]]</f>
        <v>394</v>
      </c>
      <c r="V3069" s="2">
        <f>MASTER[[#This Row],[MONTO VENDIDO]]-MASTER[[#This Row],[COSTO DE VENTA]]</f>
        <v>1468</v>
      </c>
    </row>
    <row r="3070" spans="1:22" x14ac:dyDescent="0.3">
      <c r="A3070">
        <v>49995</v>
      </c>
      <c r="B3070">
        <v>1</v>
      </c>
      <c r="C3070" t="s">
        <v>5</v>
      </c>
      <c r="D3070" t="s">
        <v>6</v>
      </c>
      <c r="E3070" s="1">
        <v>44196</v>
      </c>
      <c r="F3070">
        <v>1</v>
      </c>
      <c r="G3070" t="s">
        <v>39</v>
      </c>
      <c r="H3070" t="s">
        <v>40</v>
      </c>
      <c r="I3070" s="3">
        <v>1507</v>
      </c>
      <c r="J3070" s="3">
        <v>1507</v>
      </c>
      <c r="K3070" s="3">
        <v>393</v>
      </c>
      <c r="L3070" t="s">
        <v>9</v>
      </c>
      <c r="M3070">
        <v>19</v>
      </c>
      <c r="N3070" t="s">
        <v>89</v>
      </c>
      <c r="O3070" t="s">
        <v>81</v>
      </c>
      <c r="P3070" t="s">
        <v>15</v>
      </c>
      <c r="Q3070" t="s">
        <v>16</v>
      </c>
      <c r="R3070" t="s">
        <v>16</v>
      </c>
      <c r="S3070" t="s">
        <v>144</v>
      </c>
      <c r="T3070" s="2">
        <f>MASTER[[#This Row],[CANTIDAD]]*MASTER[[#This Row],[PRECIO DE VENTA]]</f>
        <v>1507</v>
      </c>
      <c r="U3070" s="2">
        <f>MASTER[[#This Row],[CANTIDAD]]*MASTER[[#This Row],[COSTO UNITARIO]]</f>
        <v>393</v>
      </c>
      <c r="V3070" s="2">
        <f>MASTER[[#This Row],[MONTO VENDIDO]]-MASTER[[#This Row],[COSTO DE VENTA]]</f>
        <v>1114</v>
      </c>
    </row>
    <row r="3071" spans="1:22" x14ac:dyDescent="0.3">
      <c r="A3071">
        <v>49999</v>
      </c>
      <c r="B3071">
        <v>1</v>
      </c>
      <c r="C3071" t="s">
        <v>5</v>
      </c>
      <c r="D3071" t="s">
        <v>6</v>
      </c>
      <c r="E3071" s="1">
        <v>44196</v>
      </c>
      <c r="F3071">
        <v>1</v>
      </c>
      <c r="G3071" t="s">
        <v>55</v>
      </c>
      <c r="H3071" t="s">
        <v>56</v>
      </c>
      <c r="I3071" s="3">
        <v>1507</v>
      </c>
      <c r="J3071" s="3">
        <v>1507</v>
      </c>
      <c r="K3071" s="3">
        <v>393</v>
      </c>
      <c r="L3071" t="s">
        <v>9</v>
      </c>
      <c r="M3071">
        <v>5</v>
      </c>
      <c r="N3071" t="s">
        <v>85</v>
      </c>
      <c r="O3071" t="s">
        <v>81</v>
      </c>
      <c r="P3071" t="s">
        <v>12</v>
      </c>
      <c r="Q3071" t="s">
        <v>13</v>
      </c>
      <c r="R3071" t="s">
        <v>13</v>
      </c>
      <c r="S3071" t="s">
        <v>144</v>
      </c>
      <c r="T3071" s="2">
        <f>MASTER[[#This Row],[CANTIDAD]]*MASTER[[#This Row],[PRECIO DE VENTA]]</f>
        <v>1507</v>
      </c>
      <c r="U3071" s="2">
        <f>MASTER[[#This Row],[CANTIDAD]]*MASTER[[#This Row],[COSTO UNITARIO]]</f>
        <v>393</v>
      </c>
      <c r="V3071" s="2">
        <f>MASTER[[#This Row],[MONTO VENDIDO]]-MASTER[[#This Row],[COSTO DE VENTA]]</f>
        <v>1114</v>
      </c>
    </row>
    <row r="3072" spans="1:22" x14ac:dyDescent="0.3">
      <c r="A3072">
        <v>50008</v>
      </c>
      <c r="B3072">
        <v>1</v>
      </c>
      <c r="C3072" t="s">
        <v>105</v>
      </c>
      <c r="D3072" t="s">
        <v>106</v>
      </c>
      <c r="E3072" s="1">
        <v>44197</v>
      </c>
      <c r="F3072">
        <v>1</v>
      </c>
      <c r="G3072" t="s">
        <v>51</v>
      </c>
      <c r="H3072" t="s">
        <v>52</v>
      </c>
      <c r="I3072" s="3">
        <v>1585</v>
      </c>
      <c r="J3072" s="3">
        <v>1585</v>
      </c>
      <c r="K3072" s="3">
        <v>459</v>
      </c>
      <c r="L3072" t="s">
        <v>98</v>
      </c>
      <c r="M3072">
        <v>11</v>
      </c>
      <c r="N3072" t="s">
        <v>10</v>
      </c>
      <c r="O3072" t="s">
        <v>11</v>
      </c>
      <c r="P3072" t="s">
        <v>12</v>
      </c>
      <c r="Q3072" t="s">
        <v>13</v>
      </c>
      <c r="R3072" t="s">
        <v>13</v>
      </c>
      <c r="S3072" t="s">
        <v>144</v>
      </c>
      <c r="T3072" s="2">
        <f>MASTER[[#This Row],[CANTIDAD]]*MASTER[[#This Row],[PRECIO DE VENTA]]</f>
        <v>1585</v>
      </c>
      <c r="U3072" s="2">
        <f>MASTER[[#This Row],[CANTIDAD]]*MASTER[[#This Row],[COSTO UNITARIO]]</f>
        <v>459</v>
      </c>
      <c r="V3072" s="2">
        <f>MASTER[[#This Row],[MONTO VENDIDO]]-MASTER[[#This Row],[COSTO DE VENTA]]</f>
        <v>1126</v>
      </c>
    </row>
    <row r="3073" spans="1:22" x14ac:dyDescent="0.3">
      <c r="A3073">
        <v>50013</v>
      </c>
      <c r="B3073">
        <v>1</v>
      </c>
      <c r="C3073" t="s">
        <v>96</v>
      </c>
      <c r="D3073" t="s">
        <v>97</v>
      </c>
      <c r="E3073" s="1">
        <v>44197</v>
      </c>
      <c r="F3073">
        <v>1</v>
      </c>
      <c r="G3073" t="s">
        <v>65</v>
      </c>
      <c r="H3073" t="s">
        <v>66</v>
      </c>
      <c r="I3073" s="3">
        <v>1272</v>
      </c>
      <c r="J3073" s="3">
        <v>1272</v>
      </c>
      <c r="K3073" s="3">
        <v>397</v>
      </c>
      <c r="L3073" t="s">
        <v>98</v>
      </c>
      <c r="M3073">
        <v>15</v>
      </c>
      <c r="N3073" t="s">
        <v>88</v>
      </c>
      <c r="O3073" t="s">
        <v>81</v>
      </c>
      <c r="P3073" t="s">
        <v>18</v>
      </c>
      <c r="Q3073" t="s">
        <v>19</v>
      </c>
      <c r="R3073" t="s">
        <v>138</v>
      </c>
      <c r="S3073" t="s">
        <v>144</v>
      </c>
      <c r="T3073" s="2">
        <f>MASTER[[#This Row],[CANTIDAD]]*MASTER[[#This Row],[PRECIO DE VENTA]]</f>
        <v>1272</v>
      </c>
      <c r="U3073" s="2">
        <f>MASTER[[#This Row],[CANTIDAD]]*MASTER[[#This Row],[COSTO UNITARIO]]</f>
        <v>397</v>
      </c>
      <c r="V3073" s="2">
        <f>MASTER[[#This Row],[MONTO VENDIDO]]-MASTER[[#This Row],[COSTO DE VENTA]]</f>
        <v>875</v>
      </c>
    </row>
    <row r="3074" spans="1:22" x14ac:dyDescent="0.3">
      <c r="A3074">
        <v>50032</v>
      </c>
      <c r="B3074">
        <v>1</v>
      </c>
      <c r="C3074" t="s">
        <v>94</v>
      </c>
      <c r="D3074" t="s">
        <v>95</v>
      </c>
      <c r="E3074" s="1">
        <v>44197</v>
      </c>
      <c r="F3074">
        <v>4</v>
      </c>
      <c r="G3074" t="s">
        <v>39</v>
      </c>
      <c r="H3074" t="s">
        <v>40</v>
      </c>
      <c r="I3074" s="3">
        <v>901</v>
      </c>
      <c r="J3074" s="3">
        <v>901</v>
      </c>
      <c r="K3074" s="3">
        <v>392</v>
      </c>
      <c r="L3074" t="s">
        <v>9</v>
      </c>
      <c r="M3074">
        <v>16</v>
      </c>
      <c r="N3074" t="s">
        <v>17</v>
      </c>
      <c r="O3074" t="s">
        <v>11</v>
      </c>
      <c r="P3074" t="s">
        <v>18</v>
      </c>
      <c r="Q3074" t="s">
        <v>19</v>
      </c>
      <c r="R3074" t="s">
        <v>138</v>
      </c>
      <c r="S3074" t="s">
        <v>144</v>
      </c>
      <c r="T3074" s="2">
        <f>MASTER[[#This Row],[CANTIDAD]]*MASTER[[#This Row],[PRECIO DE VENTA]]</f>
        <v>3604</v>
      </c>
      <c r="U3074" s="2">
        <f>MASTER[[#This Row],[CANTIDAD]]*MASTER[[#This Row],[COSTO UNITARIO]]</f>
        <v>1568</v>
      </c>
      <c r="V3074" s="2">
        <f>MASTER[[#This Row],[MONTO VENDIDO]]-MASTER[[#This Row],[COSTO DE VENTA]]</f>
        <v>2036</v>
      </c>
    </row>
    <row r="3075" spans="1:22" x14ac:dyDescent="0.3">
      <c r="A3075">
        <v>50045</v>
      </c>
      <c r="B3075">
        <v>1</v>
      </c>
      <c r="C3075" t="s">
        <v>103</v>
      </c>
      <c r="D3075" t="s">
        <v>104</v>
      </c>
      <c r="E3075" s="1">
        <v>44197</v>
      </c>
      <c r="F3075">
        <v>1</v>
      </c>
      <c r="G3075" t="s">
        <v>59</v>
      </c>
      <c r="H3075" t="s">
        <v>60</v>
      </c>
      <c r="I3075" s="3">
        <v>1448</v>
      </c>
      <c r="J3075" s="3">
        <v>1448</v>
      </c>
      <c r="K3075" s="3">
        <v>421</v>
      </c>
      <c r="L3075" t="s">
        <v>98</v>
      </c>
      <c r="M3075">
        <v>11</v>
      </c>
      <c r="N3075" t="s">
        <v>10</v>
      </c>
      <c r="O3075" t="s">
        <v>11</v>
      </c>
      <c r="P3075" t="s">
        <v>12</v>
      </c>
      <c r="Q3075" t="s">
        <v>13</v>
      </c>
      <c r="R3075" t="s">
        <v>13</v>
      </c>
      <c r="S3075" t="s">
        <v>144</v>
      </c>
      <c r="T3075" s="2">
        <f>MASTER[[#This Row],[CANTIDAD]]*MASTER[[#This Row],[PRECIO DE VENTA]]</f>
        <v>1448</v>
      </c>
      <c r="U3075" s="2">
        <f>MASTER[[#This Row],[CANTIDAD]]*MASTER[[#This Row],[COSTO UNITARIO]]</f>
        <v>421</v>
      </c>
      <c r="V3075" s="2">
        <f>MASTER[[#This Row],[MONTO VENDIDO]]-MASTER[[#This Row],[COSTO DE VENTA]]</f>
        <v>1027</v>
      </c>
    </row>
    <row r="3076" spans="1:22" x14ac:dyDescent="0.3">
      <c r="A3076">
        <v>50047</v>
      </c>
      <c r="B3076">
        <v>1</v>
      </c>
      <c r="C3076" t="s">
        <v>90</v>
      </c>
      <c r="D3076" t="s">
        <v>91</v>
      </c>
      <c r="E3076" s="1">
        <v>44197</v>
      </c>
      <c r="F3076">
        <v>1</v>
      </c>
      <c r="G3076" t="s">
        <v>31</v>
      </c>
      <c r="H3076" t="s">
        <v>32</v>
      </c>
      <c r="I3076" s="3">
        <v>2102</v>
      </c>
      <c r="J3076" s="3">
        <v>2102</v>
      </c>
      <c r="K3076" s="3">
        <v>420</v>
      </c>
      <c r="L3076" t="s">
        <v>9</v>
      </c>
      <c r="M3076">
        <v>18</v>
      </c>
      <c r="N3076" t="s">
        <v>79</v>
      </c>
      <c r="O3076" t="s">
        <v>70</v>
      </c>
      <c r="P3076" t="s">
        <v>15</v>
      </c>
      <c r="Q3076" t="s">
        <v>16</v>
      </c>
      <c r="R3076" t="s">
        <v>16</v>
      </c>
      <c r="S3076" t="s">
        <v>144</v>
      </c>
      <c r="T3076" s="2">
        <f>MASTER[[#This Row],[CANTIDAD]]*MASTER[[#This Row],[PRECIO DE VENTA]]</f>
        <v>2102</v>
      </c>
      <c r="U3076" s="2">
        <f>MASTER[[#This Row],[CANTIDAD]]*MASTER[[#This Row],[COSTO UNITARIO]]</f>
        <v>420</v>
      </c>
      <c r="V3076" s="2">
        <f>MASTER[[#This Row],[MONTO VENDIDO]]-MASTER[[#This Row],[COSTO DE VENTA]]</f>
        <v>1682</v>
      </c>
    </row>
    <row r="3077" spans="1:22" x14ac:dyDescent="0.3">
      <c r="A3077">
        <v>50051</v>
      </c>
      <c r="B3077">
        <v>1</v>
      </c>
      <c r="C3077" t="s">
        <v>107</v>
      </c>
      <c r="D3077" t="s">
        <v>108</v>
      </c>
      <c r="E3077" s="1">
        <v>44197</v>
      </c>
      <c r="F3077">
        <v>4</v>
      </c>
      <c r="G3077" t="s">
        <v>20</v>
      </c>
      <c r="H3077" t="s">
        <v>21</v>
      </c>
      <c r="I3077" s="3">
        <v>1333</v>
      </c>
      <c r="J3077" s="3">
        <v>1333</v>
      </c>
      <c r="K3077" s="3">
        <v>380</v>
      </c>
      <c r="L3077" t="s">
        <v>98</v>
      </c>
      <c r="M3077">
        <v>7</v>
      </c>
      <c r="N3077" t="s">
        <v>84</v>
      </c>
      <c r="O3077" t="s">
        <v>81</v>
      </c>
      <c r="P3077" t="s">
        <v>12</v>
      </c>
      <c r="Q3077" t="s">
        <v>13</v>
      </c>
      <c r="R3077" t="s">
        <v>13</v>
      </c>
      <c r="S3077" t="s">
        <v>144</v>
      </c>
      <c r="T3077" s="2">
        <f>MASTER[[#This Row],[CANTIDAD]]*MASTER[[#This Row],[PRECIO DE VENTA]]</f>
        <v>5332</v>
      </c>
      <c r="U3077" s="2">
        <f>MASTER[[#This Row],[CANTIDAD]]*MASTER[[#This Row],[COSTO UNITARIO]]</f>
        <v>1520</v>
      </c>
      <c r="V3077" s="2">
        <f>MASTER[[#This Row],[MONTO VENDIDO]]-MASTER[[#This Row],[COSTO DE VENTA]]</f>
        <v>3812</v>
      </c>
    </row>
    <row r="3078" spans="1:22" x14ac:dyDescent="0.3">
      <c r="A3078">
        <v>50055</v>
      </c>
      <c r="B3078">
        <v>1</v>
      </c>
      <c r="C3078" t="s">
        <v>99</v>
      </c>
      <c r="D3078" t="s">
        <v>100</v>
      </c>
      <c r="E3078" s="1">
        <v>44197</v>
      </c>
      <c r="F3078">
        <v>1</v>
      </c>
      <c r="G3078" t="s">
        <v>22</v>
      </c>
      <c r="H3078" t="s">
        <v>23</v>
      </c>
      <c r="I3078" s="3">
        <v>1459</v>
      </c>
      <c r="J3078" s="3">
        <v>1459</v>
      </c>
      <c r="K3078" s="3">
        <v>386</v>
      </c>
      <c r="L3078" t="s">
        <v>98</v>
      </c>
      <c r="M3078">
        <v>10</v>
      </c>
      <c r="N3078" t="s">
        <v>83</v>
      </c>
      <c r="O3078" t="s">
        <v>81</v>
      </c>
      <c r="P3078" t="s">
        <v>12</v>
      </c>
      <c r="Q3078" t="s">
        <v>13</v>
      </c>
      <c r="R3078" t="s">
        <v>13</v>
      </c>
      <c r="S3078" t="s">
        <v>144</v>
      </c>
      <c r="T3078" s="2">
        <f>MASTER[[#This Row],[CANTIDAD]]*MASTER[[#This Row],[PRECIO DE VENTA]]</f>
        <v>1459</v>
      </c>
      <c r="U3078" s="2">
        <f>MASTER[[#This Row],[CANTIDAD]]*MASTER[[#This Row],[COSTO UNITARIO]]</f>
        <v>386</v>
      </c>
      <c r="V3078" s="2">
        <f>MASTER[[#This Row],[MONTO VENDIDO]]-MASTER[[#This Row],[COSTO DE VENTA]]</f>
        <v>1073</v>
      </c>
    </row>
    <row r="3079" spans="1:22" x14ac:dyDescent="0.3">
      <c r="A3079">
        <v>50065</v>
      </c>
      <c r="B3079">
        <v>1</v>
      </c>
      <c r="C3079" t="s">
        <v>121</v>
      </c>
      <c r="D3079" t="s">
        <v>122</v>
      </c>
      <c r="E3079" s="1">
        <v>44197</v>
      </c>
      <c r="F3079">
        <v>1</v>
      </c>
      <c r="G3079" t="s">
        <v>27</v>
      </c>
      <c r="H3079" t="s">
        <v>28</v>
      </c>
      <c r="I3079" s="3">
        <v>1069</v>
      </c>
      <c r="J3079" s="3">
        <v>1069</v>
      </c>
      <c r="K3079" s="3">
        <v>460</v>
      </c>
      <c r="L3079" t="s">
        <v>120</v>
      </c>
      <c r="M3079">
        <v>19</v>
      </c>
      <c r="N3079" t="s">
        <v>89</v>
      </c>
      <c r="O3079" t="s">
        <v>81</v>
      </c>
      <c r="P3079" t="s">
        <v>15</v>
      </c>
      <c r="Q3079" t="s">
        <v>16</v>
      </c>
      <c r="R3079" t="s">
        <v>16</v>
      </c>
      <c r="S3079" t="s">
        <v>144</v>
      </c>
      <c r="T3079" s="2">
        <f>MASTER[[#This Row],[CANTIDAD]]*MASTER[[#This Row],[PRECIO DE VENTA]]</f>
        <v>1069</v>
      </c>
      <c r="U3079" s="2">
        <f>MASTER[[#This Row],[CANTIDAD]]*MASTER[[#This Row],[COSTO UNITARIO]]</f>
        <v>460</v>
      </c>
      <c r="V3079" s="2">
        <f>MASTER[[#This Row],[MONTO VENDIDO]]-MASTER[[#This Row],[COSTO DE VENTA]]</f>
        <v>609</v>
      </c>
    </row>
    <row r="3080" spans="1:22" x14ac:dyDescent="0.3">
      <c r="A3080">
        <v>50078</v>
      </c>
      <c r="B3080">
        <v>1</v>
      </c>
      <c r="C3080" t="s">
        <v>96</v>
      </c>
      <c r="D3080" t="s">
        <v>97</v>
      </c>
      <c r="E3080" s="1">
        <v>44198</v>
      </c>
      <c r="F3080">
        <v>1</v>
      </c>
      <c r="G3080" t="s">
        <v>35</v>
      </c>
      <c r="H3080" t="s">
        <v>36</v>
      </c>
      <c r="I3080" s="3">
        <v>1272</v>
      </c>
      <c r="J3080" s="3">
        <v>1272</v>
      </c>
      <c r="K3080" s="3">
        <v>397</v>
      </c>
      <c r="L3080" t="s">
        <v>98</v>
      </c>
      <c r="M3080">
        <v>8</v>
      </c>
      <c r="N3080" t="s">
        <v>80</v>
      </c>
      <c r="O3080" t="s">
        <v>81</v>
      </c>
      <c r="P3080" t="s">
        <v>12</v>
      </c>
      <c r="Q3080" t="s">
        <v>13</v>
      </c>
      <c r="R3080" t="s">
        <v>13</v>
      </c>
      <c r="S3080" t="s">
        <v>144</v>
      </c>
      <c r="T3080" s="2">
        <f>MASTER[[#This Row],[CANTIDAD]]*MASTER[[#This Row],[PRECIO DE VENTA]]</f>
        <v>1272</v>
      </c>
      <c r="U3080" s="2">
        <f>MASTER[[#This Row],[CANTIDAD]]*MASTER[[#This Row],[COSTO UNITARIO]]</f>
        <v>397</v>
      </c>
      <c r="V3080" s="2">
        <f>MASTER[[#This Row],[MONTO VENDIDO]]-MASTER[[#This Row],[COSTO DE VENTA]]</f>
        <v>875</v>
      </c>
    </row>
    <row r="3081" spans="1:22" x14ac:dyDescent="0.3">
      <c r="A3081">
        <v>50103</v>
      </c>
      <c r="B3081">
        <v>1</v>
      </c>
      <c r="C3081" t="s">
        <v>5</v>
      </c>
      <c r="D3081" t="s">
        <v>6</v>
      </c>
      <c r="E3081" s="1">
        <v>44198</v>
      </c>
      <c r="F3081">
        <v>1</v>
      </c>
      <c r="G3081" t="s">
        <v>37</v>
      </c>
      <c r="H3081" t="s">
        <v>38</v>
      </c>
      <c r="I3081" s="3">
        <v>1296</v>
      </c>
      <c r="J3081" s="3">
        <v>1296</v>
      </c>
      <c r="K3081" s="3">
        <v>393</v>
      </c>
      <c r="L3081" t="s">
        <v>9</v>
      </c>
      <c r="M3081">
        <v>9</v>
      </c>
      <c r="N3081" t="s">
        <v>76</v>
      </c>
      <c r="O3081" t="s">
        <v>70</v>
      </c>
      <c r="P3081" t="s">
        <v>12</v>
      </c>
      <c r="Q3081" t="s">
        <v>13</v>
      </c>
      <c r="R3081" t="s">
        <v>13</v>
      </c>
      <c r="S3081" t="s">
        <v>144</v>
      </c>
      <c r="T3081" s="2">
        <f>MASTER[[#This Row],[CANTIDAD]]*MASTER[[#This Row],[PRECIO DE VENTA]]</f>
        <v>1296</v>
      </c>
      <c r="U3081" s="2">
        <f>MASTER[[#This Row],[CANTIDAD]]*MASTER[[#This Row],[COSTO UNITARIO]]</f>
        <v>393</v>
      </c>
      <c r="V3081" s="2">
        <f>MASTER[[#This Row],[MONTO VENDIDO]]-MASTER[[#This Row],[COSTO DE VENTA]]</f>
        <v>903</v>
      </c>
    </row>
    <row r="3082" spans="1:22" x14ac:dyDescent="0.3">
      <c r="A3082">
        <v>50111</v>
      </c>
      <c r="B3082">
        <v>1</v>
      </c>
      <c r="C3082" t="s">
        <v>94</v>
      </c>
      <c r="D3082" t="s">
        <v>95</v>
      </c>
      <c r="E3082" s="1">
        <v>44198</v>
      </c>
      <c r="F3082">
        <v>1</v>
      </c>
      <c r="G3082" t="s">
        <v>27</v>
      </c>
      <c r="H3082" t="s">
        <v>28</v>
      </c>
      <c r="I3082" s="3">
        <v>1153</v>
      </c>
      <c r="J3082" s="3">
        <v>1153</v>
      </c>
      <c r="K3082" s="3">
        <v>392</v>
      </c>
      <c r="L3082" t="s">
        <v>9</v>
      </c>
      <c r="M3082">
        <v>9</v>
      </c>
      <c r="N3082" t="s">
        <v>76</v>
      </c>
      <c r="O3082" t="s">
        <v>70</v>
      </c>
      <c r="P3082" t="s">
        <v>12</v>
      </c>
      <c r="Q3082" t="s">
        <v>13</v>
      </c>
      <c r="R3082" t="s">
        <v>13</v>
      </c>
      <c r="S3082" t="s">
        <v>144</v>
      </c>
      <c r="T3082" s="2">
        <f>MASTER[[#This Row],[CANTIDAD]]*MASTER[[#This Row],[PRECIO DE VENTA]]</f>
        <v>1153</v>
      </c>
      <c r="U3082" s="2">
        <f>MASTER[[#This Row],[CANTIDAD]]*MASTER[[#This Row],[COSTO UNITARIO]]</f>
        <v>392</v>
      </c>
      <c r="V3082" s="2">
        <f>MASTER[[#This Row],[MONTO VENDIDO]]-MASTER[[#This Row],[COSTO DE VENTA]]</f>
        <v>761</v>
      </c>
    </row>
    <row r="3083" spans="1:22" x14ac:dyDescent="0.3">
      <c r="A3083">
        <v>50111</v>
      </c>
      <c r="B3083">
        <v>2</v>
      </c>
      <c r="C3083" t="s">
        <v>114</v>
      </c>
      <c r="D3083" t="s">
        <v>115</v>
      </c>
      <c r="E3083" s="1">
        <v>44198</v>
      </c>
      <c r="F3083">
        <v>1</v>
      </c>
      <c r="G3083" t="s">
        <v>39</v>
      </c>
      <c r="H3083" t="s">
        <v>40</v>
      </c>
      <c r="I3083" s="3">
        <v>2030</v>
      </c>
      <c r="J3083" s="3">
        <v>2030</v>
      </c>
      <c r="K3083" s="3">
        <v>394</v>
      </c>
      <c r="L3083" t="s">
        <v>113</v>
      </c>
      <c r="M3083">
        <v>9</v>
      </c>
      <c r="N3083" t="s">
        <v>76</v>
      </c>
      <c r="O3083" t="s">
        <v>70</v>
      </c>
      <c r="P3083" t="s">
        <v>12</v>
      </c>
      <c r="Q3083" t="s">
        <v>13</v>
      </c>
      <c r="R3083" t="s">
        <v>13</v>
      </c>
      <c r="S3083" t="s">
        <v>144</v>
      </c>
      <c r="T3083" s="2">
        <f>MASTER[[#This Row],[CANTIDAD]]*MASTER[[#This Row],[PRECIO DE VENTA]]</f>
        <v>2030</v>
      </c>
      <c r="U3083" s="2">
        <f>MASTER[[#This Row],[CANTIDAD]]*MASTER[[#This Row],[COSTO UNITARIO]]</f>
        <v>394</v>
      </c>
      <c r="V3083" s="2">
        <f>MASTER[[#This Row],[MONTO VENDIDO]]-MASTER[[#This Row],[COSTO DE VENTA]]</f>
        <v>1636</v>
      </c>
    </row>
    <row r="3084" spans="1:22" x14ac:dyDescent="0.3">
      <c r="A3084">
        <v>50131</v>
      </c>
      <c r="B3084">
        <v>1</v>
      </c>
      <c r="C3084" t="s">
        <v>92</v>
      </c>
      <c r="D3084" t="s">
        <v>93</v>
      </c>
      <c r="E3084" s="1">
        <v>44198</v>
      </c>
      <c r="F3084">
        <v>1</v>
      </c>
      <c r="G3084" t="s">
        <v>63</v>
      </c>
      <c r="H3084" t="s">
        <v>64</v>
      </c>
      <c r="I3084" s="3">
        <v>1681</v>
      </c>
      <c r="J3084" s="3">
        <v>1563</v>
      </c>
      <c r="K3084" s="3">
        <v>396</v>
      </c>
      <c r="L3084" t="s">
        <v>9</v>
      </c>
      <c r="M3084">
        <v>8</v>
      </c>
      <c r="N3084" t="s">
        <v>80</v>
      </c>
      <c r="O3084" t="s">
        <v>81</v>
      </c>
      <c r="P3084" t="s">
        <v>12</v>
      </c>
      <c r="Q3084" t="s">
        <v>13</v>
      </c>
      <c r="R3084" t="s">
        <v>13</v>
      </c>
      <c r="S3084" t="s">
        <v>144</v>
      </c>
      <c r="T3084" s="2">
        <f>MASTER[[#This Row],[CANTIDAD]]*MASTER[[#This Row],[PRECIO DE VENTA]]</f>
        <v>1563</v>
      </c>
      <c r="U3084" s="2">
        <f>MASTER[[#This Row],[CANTIDAD]]*MASTER[[#This Row],[COSTO UNITARIO]]</f>
        <v>396</v>
      </c>
      <c r="V3084" s="2">
        <f>MASTER[[#This Row],[MONTO VENDIDO]]-MASTER[[#This Row],[COSTO DE VENTA]]</f>
        <v>1167</v>
      </c>
    </row>
    <row r="3085" spans="1:22" x14ac:dyDescent="0.3">
      <c r="A3085">
        <v>50132</v>
      </c>
      <c r="B3085">
        <v>1</v>
      </c>
      <c r="C3085" t="s">
        <v>94</v>
      </c>
      <c r="D3085" t="s">
        <v>95</v>
      </c>
      <c r="E3085" s="1">
        <v>44198</v>
      </c>
      <c r="F3085">
        <v>1</v>
      </c>
      <c r="G3085" t="s">
        <v>55</v>
      </c>
      <c r="H3085" t="s">
        <v>56</v>
      </c>
      <c r="I3085" s="3">
        <v>1048</v>
      </c>
      <c r="J3085" s="3">
        <v>985</v>
      </c>
      <c r="K3085" s="3">
        <v>392</v>
      </c>
      <c r="L3085" t="s">
        <v>9</v>
      </c>
      <c r="M3085">
        <v>4</v>
      </c>
      <c r="N3085" t="s">
        <v>82</v>
      </c>
      <c r="O3085" t="s">
        <v>81</v>
      </c>
      <c r="P3085" t="s">
        <v>71</v>
      </c>
      <c r="Q3085" t="s">
        <v>72</v>
      </c>
      <c r="R3085" t="s">
        <v>139</v>
      </c>
      <c r="S3085" t="s">
        <v>144</v>
      </c>
      <c r="T3085" s="2">
        <f>MASTER[[#This Row],[CANTIDAD]]*MASTER[[#This Row],[PRECIO DE VENTA]]</f>
        <v>985</v>
      </c>
      <c r="U3085" s="2">
        <f>MASTER[[#This Row],[CANTIDAD]]*MASTER[[#This Row],[COSTO UNITARIO]]</f>
        <v>392</v>
      </c>
      <c r="V3085" s="2">
        <f>MASTER[[#This Row],[MONTO VENDIDO]]-MASTER[[#This Row],[COSTO DE VENTA]]</f>
        <v>593</v>
      </c>
    </row>
    <row r="3086" spans="1:22" x14ac:dyDescent="0.3">
      <c r="A3086">
        <v>50173</v>
      </c>
      <c r="B3086">
        <v>1</v>
      </c>
      <c r="C3086" t="s">
        <v>94</v>
      </c>
      <c r="D3086" t="s">
        <v>95</v>
      </c>
      <c r="E3086" s="1">
        <v>44198</v>
      </c>
      <c r="F3086">
        <v>1</v>
      </c>
      <c r="G3086" t="s">
        <v>53</v>
      </c>
      <c r="H3086" t="s">
        <v>54</v>
      </c>
      <c r="I3086" s="3">
        <v>901</v>
      </c>
      <c r="J3086" s="3">
        <v>901</v>
      </c>
      <c r="K3086" s="3">
        <v>392</v>
      </c>
      <c r="L3086" t="s">
        <v>9</v>
      </c>
      <c r="M3086">
        <v>12</v>
      </c>
      <c r="N3086" t="s">
        <v>26</v>
      </c>
      <c r="O3086" t="s">
        <v>11</v>
      </c>
      <c r="P3086" t="s">
        <v>12</v>
      </c>
      <c r="Q3086" t="s">
        <v>13</v>
      </c>
      <c r="R3086" t="s">
        <v>13</v>
      </c>
      <c r="S3086" t="s">
        <v>144</v>
      </c>
      <c r="T3086" s="2">
        <f>MASTER[[#This Row],[CANTIDAD]]*MASTER[[#This Row],[PRECIO DE VENTA]]</f>
        <v>901</v>
      </c>
      <c r="U3086" s="2">
        <f>MASTER[[#This Row],[CANTIDAD]]*MASTER[[#This Row],[COSTO UNITARIO]]</f>
        <v>392</v>
      </c>
      <c r="V3086" s="2">
        <f>MASTER[[#This Row],[MONTO VENDIDO]]-MASTER[[#This Row],[COSTO DE VENTA]]</f>
        <v>509</v>
      </c>
    </row>
    <row r="3087" spans="1:22" x14ac:dyDescent="0.3">
      <c r="A3087">
        <v>50176</v>
      </c>
      <c r="B3087">
        <v>1</v>
      </c>
      <c r="C3087" t="s">
        <v>94</v>
      </c>
      <c r="D3087" t="s">
        <v>95</v>
      </c>
      <c r="E3087" s="1">
        <v>44199</v>
      </c>
      <c r="F3087">
        <v>1</v>
      </c>
      <c r="G3087" t="s">
        <v>41</v>
      </c>
      <c r="H3087" t="s">
        <v>42</v>
      </c>
      <c r="I3087" s="3">
        <v>901</v>
      </c>
      <c r="J3087" s="3">
        <v>901</v>
      </c>
      <c r="K3087" s="3">
        <v>392</v>
      </c>
      <c r="L3087" t="s">
        <v>9</v>
      </c>
      <c r="M3087">
        <v>12</v>
      </c>
      <c r="N3087" t="s">
        <v>26</v>
      </c>
      <c r="O3087" t="s">
        <v>11</v>
      </c>
      <c r="P3087" t="s">
        <v>12</v>
      </c>
      <c r="Q3087" t="s">
        <v>13</v>
      </c>
      <c r="R3087" t="s">
        <v>13</v>
      </c>
      <c r="S3087" t="s">
        <v>144</v>
      </c>
      <c r="T3087" s="2">
        <f>MASTER[[#This Row],[CANTIDAD]]*MASTER[[#This Row],[PRECIO DE VENTA]]</f>
        <v>901</v>
      </c>
      <c r="U3087" s="2">
        <f>MASTER[[#This Row],[CANTIDAD]]*MASTER[[#This Row],[COSTO UNITARIO]]</f>
        <v>392</v>
      </c>
      <c r="V3087" s="2">
        <f>MASTER[[#This Row],[MONTO VENDIDO]]-MASTER[[#This Row],[COSTO DE VENTA]]</f>
        <v>509</v>
      </c>
    </row>
    <row r="3088" spans="1:22" x14ac:dyDescent="0.3">
      <c r="A3088">
        <v>50223</v>
      </c>
      <c r="B3088">
        <v>1</v>
      </c>
      <c r="C3088" t="s">
        <v>114</v>
      </c>
      <c r="D3088" t="s">
        <v>115</v>
      </c>
      <c r="E3088" s="1">
        <v>44199</v>
      </c>
      <c r="F3088">
        <v>1</v>
      </c>
      <c r="G3088" t="s">
        <v>20</v>
      </c>
      <c r="H3088" t="s">
        <v>21</v>
      </c>
      <c r="I3088" s="3">
        <v>2030</v>
      </c>
      <c r="J3088" s="3">
        <v>2030</v>
      </c>
      <c r="K3088" s="3">
        <v>394</v>
      </c>
      <c r="L3088" t="s">
        <v>113</v>
      </c>
      <c r="M3088">
        <v>6</v>
      </c>
      <c r="N3088" t="s">
        <v>75</v>
      </c>
      <c r="O3088" t="s">
        <v>70</v>
      </c>
      <c r="P3088" t="s">
        <v>12</v>
      </c>
      <c r="Q3088" t="s">
        <v>13</v>
      </c>
      <c r="R3088" t="s">
        <v>13</v>
      </c>
      <c r="S3088" t="s">
        <v>144</v>
      </c>
      <c r="T3088" s="2">
        <f>MASTER[[#This Row],[CANTIDAD]]*MASTER[[#This Row],[PRECIO DE VENTA]]</f>
        <v>2030</v>
      </c>
      <c r="U3088" s="2">
        <f>MASTER[[#This Row],[CANTIDAD]]*MASTER[[#This Row],[COSTO UNITARIO]]</f>
        <v>394</v>
      </c>
      <c r="V3088" s="2">
        <f>MASTER[[#This Row],[MONTO VENDIDO]]-MASTER[[#This Row],[COSTO DE VENTA]]</f>
        <v>1636</v>
      </c>
    </row>
    <row r="3089" spans="1:22" x14ac:dyDescent="0.3">
      <c r="A3089">
        <v>50242</v>
      </c>
      <c r="B3089">
        <v>1</v>
      </c>
      <c r="C3089" t="s">
        <v>96</v>
      </c>
      <c r="D3089" t="s">
        <v>97</v>
      </c>
      <c r="E3089" s="1">
        <v>44199</v>
      </c>
      <c r="F3089">
        <v>1</v>
      </c>
      <c r="G3089" t="s">
        <v>24</v>
      </c>
      <c r="H3089" t="s">
        <v>25</v>
      </c>
      <c r="I3089" s="3">
        <v>1272</v>
      </c>
      <c r="J3089" s="3">
        <v>1272</v>
      </c>
      <c r="K3089" s="3">
        <v>397</v>
      </c>
      <c r="L3089" t="s">
        <v>98</v>
      </c>
      <c r="M3089">
        <v>10</v>
      </c>
      <c r="N3089" t="s">
        <v>83</v>
      </c>
      <c r="O3089" t="s">
        <v>81</v>
      </c>
      <c r="P3089" t="s">
        <v>12</v>
      </c>
      <c r="Q3089" t="s">
        <v>13</v>
      </c>
      <c r="R3089" t="s">
        <v>13</v>
      </c>
      <c r="S3089" t="s">
        <v>144</v>
      </c>
      <c r="T3089" s="2">
        <f>MASTER[[#This Row],[CANTIDAD]]*MASTER[[#This Row],[PRECIO DE VENTA]]</f>
        <v>1272</v>
      </c>
      <c r="U3089" s="2">
        <f>MASTER[[#This Row],[CANTIDAD]]*MASTER[[#This Row],[COSTO UNITARIO]]</f>
        <v>397</v>
      </c>
      <c r="V3089" s="2">
        <f>MASTER[[#This Row],[MONTO VENDIDO]]-MASTER[[#This Row],[COSTO DE VENTA]]</f>
        <v>875</v>
      </c>
    </row>
    <row r="3090" spans="1:22" x14ac:dyDescent="0.3">
      <c r="A3090">
        <v>50242</v>
      </c>
      <c r="B3090">
        <v>2</v>
      </c>
      <c r="C3090" t="s">
        <v>121</v>
      </c>
      <c r="D3090" t="s">
        <v>122</v>
      </c>
      <c r="E3090" s="1">
        <v>44199</v>
      </c>
      <c r="F3090">
        <v>1</v>
      </c>
      <c r="G3090" t="s">
        <v>39</v>
      </c>
      <c r="H3090" t="s">
        <v>40</v>
      </c>
      <c r="I3090" s="3">
        <v>1069</v>
      </c>
      <c r="J3090" s="3">
        <v>1069</v>
      </c>
      <c r="K3090" s="3">
        <v>460</v>
      </c>
      <c r="L3090" t="s">
        <v>120</v>
      </c>
      <c r="M3090">
        <v>10</v>
      </c>
      <c r="N3090" t="s">
        <v>83</v>
      </c>
      <c r="O3090" t="s">
        <v>81</v>
      </c>
      <c r="P3090" t="s">
        <v>12</v>
      </c>
      <c r="Q3090" t="s">
        <v>13</v>
      </c>
      <c r="R3090" t="s">
        <v>13</v>
      </c>
      <c r="S3090" t="s">
        <v>144</v>
      </c>
      <c r="T3090" s="2">
        <f>MASTER[[#This Row],[CANTIDAD]]*MASTER[[#This Row],[PRECIO DE VENTA]]</f>
        <v>1069</v>
      </c>
      <c r="U3090" s="2">
        <f>MASTER[[#This Row],[CANTIDAD]]*MASTER[[#This Row],[COSTO UNITARIO]]</f>
        <v>460</v>
      </c>
      <c r="V3090" s="2">
        <f>MASTER[[#This Row],[MONTO VENDIDO]]-MASTER[[#This Row],[COSTO DE VENTA]]</f>
        <v>609</v>
      </c>
    </row>
    <row r="3091" spans="1:22" x14ac:dyDescent="0.3">
      <c r="A3091">
        <v>50247</v>
      </c>
      <c r="B3091">
        <v>1</v>
      </c>
      <c r="C3091" t="s">
        <v>5</v>
      </c>
      <c r="D3091" t="s">
        <v>6</v>
      </c>
      <c r="E3091" s="1">
        <v>44199</v>
      </c>
      <c r="F3091">
        <v>1</v>
      </c>
      <c r="G3091" t="s">
        <v>41</v>
      </c>
      <c r="H3091" t="s">
        <v>42</v>
      </c>
      <c r="I3091" s="3">
        <v>1507</v>
      </c>
      <c r="J3091" s="3">
        <v>1507</v>
      </c>
      <c r="K3091" s="3">
        <v>393</v>
      </c>
      <c r="L3091" t="s">
        <v>9</v>
      </c>
      <c r="M3091">
        <v>19</v>
      </c>
      <c r="N3091" t="s">
        <v>89</v>
      </c>
      <c r="O3091" t="s">
        <v>81</v>
      </c>
      <c r="P3091" t="s">
        <v>15</v>
      </c>
      <c r="Q3091" t="s">
        <v>16</v>
      </c>
      <c r="R3091" t="s">
        <v>16</v>
      </c>
      <c r="S3091" t="s">
        <v>144</v>
      </c>
      <c r="T3091" s="2">
        <f>MASTER[[#This Row],[CANTIDAD]]*MASTER[[#This Row],[PRECIO DE VENTA]]</f>
        <v>1507</v>
      </c>
      <c r="U3091" s="2">
        <f>MASTER[[#This Row],[CANTIDAD]]*MASTER[[#This Row],[COSTO UNITARIO]]</f>
        <v>393</v>
      </c>
      <c r="V3091" s="2">
        <f>MASTER[[#This Row],[MONTO VENDIDO]]-MASTER[[#This Row],[COSTO DE VENTA]]</f>
        <v>1114</v>
      </c>
    </row>
    <row r="3092" spans="1:22" x14ac:dyDescent="0.3">
      <c r="A3092">
        <v>50258</v>
      </c>
      <c r="B3092">
        <v>1</v>
      </c>
      <c r="C3092" t="s">
        <v>105</v>
      </c>
      <c r="D3092" t="s">
        <v>106</v>
      </c>
      <c r="E3092" s="1">
        <v>44199</v>
      </c>
      <c r="F3092">
        <v>1</v>
      </c>
      <c r="G3092" t="s">
        <v>24</v>
      </c>
      <c r="H3092" t="s">
        <v>25</v>
      </c>
      <c r="I3092" s="3">
        <v>1865</v>
      </c>
      <c r="J3092" s="3">
        <v>1865</v>
      </c>
      <c r="K3092" s="3">
        <v>459</v>
      </c>
      <c r="L3092" t="s">
        <v>98</v>
      </c>
      <c r="M3092">
        <v>15</v>
      </c>
      <c r="N3092" t="s">
        <v>88</v>
      </c>
      <c r="O3092" t="s">
        <v>81</v>
      </c>
      <c r="P3092" t="s">
        <v>18</v>
      </c>
      <c r="Q3092" t="s">
        <v>19</v>
      </c>
      <c r="R3092" t="s">
        <v>138</v>
      </c>
      <c r="S3092" t="s">
        <v>144</v>
      </c>
      <c r="T3092" s="2">
        <f>MASTER[[#This Row],[CANTIDAD]]*MASTER[[#This Row],[PRECIO DE VENTA]]</f>
        <v>1865</v>
      </c>
      <c r="U3092" s="2">
        <f>MASTER[[#This Row],[CANTIDAD]]*MASTER[[#This Row],[COSTO UNITARIO]]</f>
        <v>459</v>
      </c>
      <c r="V3092" s="2">
        <f>MASTER[[#This Row],[MONTO VENDIDO]]-MASTER[[#This Row],[COSTO DE VENTA]]</f>
        <v>1406</v>
      </c>
    </row>
    <row r="3093" spans="1:22" x14ac:dyDescent="0.3">
      <c r="A3093">
        <v>50277</v>
      </c>
      <c r="B3093">
        <v>1</v>
      </c>
      <c r="C3093" t="s">
        <v>94</v>
      </c>
      <c r="D3093" t="s">
        <v>95</v>
      </c>
      <c r="E3093" s="1">
        <v>44199</v>
      </c>
      <c r="F3093">
        <v>1</v>
      </c>
      <c r="G3093" t="s">
        <v>37</v>
      </c>
      <c r="H3093" t="s">
        <v>38</v>
      </c>
      <c r="I3093" s="3">
        <v>901</v>
      </c>
      <c r="J3093" s="3">
        <v>901</v>
      </c>
      <c r="K3093" s="3">
        <v>392</v>
      </c>
      <c r="L3093" t="s">
        <v>9</v>
      </c>
      <c r="M3093">
        <v>11</v>
      </c>
      <c r="N3093" t="s">
        <v>10</v>
      </c>
      <c r="O3093" t="s">
        <v>11</v>
      </c>
      <c r="P3093" t="s">
        <v>12</v>
      </c>
      <c r="Q3093" t="s">
        <v>13</v>
      </c>
      <c r="R3093" t="s">
        <v>13</v>
      </c>
      <c r="S3093" t="s">
        <v>144</v>
      </c>
      <c r="T3093" s="2">
        <f>MASTER[[#This Row],[CANTIDAD]]*MASTER[[#This Row],[PRECIO DE VENTA]]</f>
        <v>901</v>
      </c>
      <c r="U3093" s="2">
        <f>MASTER[[#This Row],[CANTIDAD]]*MASTER[[#This Row],[COSTO UNITARIO]]</f>
        <v>392</v>
      </c>
      <c r="V3093" s="2">
        <f>MASTER[[#This Row],[MONTO VENDIDO]]-MASTER[[#This Row],[COSTO DE VENTA]]</f>
        <v>509</v>
      </c>
    </row>
    <row r="3094" spans="1:22" x14ac:dyDescent="0.3">
      <c r="A3094">
        <v>50280</v>
      </c>
      <c r="B3094">
        <v>1</v>
      </c>
      <c r="C3094" t="s">
        <v>92</v>
      </c>
      <c r="D3094" t="s">
        <v>93</v>
      </c>
      <c r="E3094" s="1">
        <v>44199</v>
      </c>
      <c r="F3094">
        <v>1</v>
      </c>
      <c r="G3094" t="s">
        <v>31</v>
      </c>
      <c r="H3094" t="s">
        <v>32</v>
      </c>
      <c r="I3094" s="3">
        <v>1479</v>
      </c>
      <c r="J3094" s="3">
        <v>1479</v>
      </c>
      <c r="K3094" s="3">
        <v>396</v>
      </c>
      <c r="L3094" t="s">
        <v>9</v>
      </c>
      <c r="M3094">
        <v>11</v>
      </c>
      <c r="N3094" t="s">
        <v>10</v>
      </c>
      <c r="O3094" t="s">
        <v>11</v>
      </c>
      <c r="P3094" t="s">
        <v>12</v>
      </c>
      <c r="Q3094" t="s">
        <v>13</v>
      </c>
      <c r="R3094" t="s">
        <v>13</v>
      </c>
      <c r="S3094" t="s">
        <v>144</v>
      </c>
      <c r="T3094" s="2">
        <f>MASTER[[#This Row],[CANTIDAD]]*MASTER[[#This Row],[PRECIO DE VENTA]]</f>
        <v>1479</v>
      </c>
      <c r="U3094" s="2">
        <f>MASTER[[#This Row],[CANTIDAD]]*MASTER[[#This Row],[COSTO UNITARIO]]</f>
        <v>396</v>
      </c>
      <c r="V3094" s="2">
        <f>MASTER[[#This Row],[MONTO VENDIDO]]-MASTER[[#This Row],[COSTO DE VENTA]]</f>
        <v>1083</v>
      </c>
    </row>
    <row r="3095" spans="1:22" x14ac:dyDescent="0.3">
      <c r="A3095">
        <v>50283</v>
      </c>
      <c r="B3095">
        <v>1</v>
      </c>
      <c r="C3095" t="s">
        <v>116</v>
      </c>
      <c r="D3095" t="s">
        <v>117</v>
      </c>
      <c r="E3095" s="1">
        <v>44199</v>
      </c>
      <c r="F3095">
        <v>1</v>
      </c>
      <c r="G3095" t="s">
        <v>49</v>
      </c>
      <c r="H3095" t="s">
        <v>50</v>
      </c>
      <c r="I3095" s="3">
        <v>1999</v>
      </c>
      <c r="J3095" s="3">
        <v>1999</v>
      </c>
      <c r="K3095" s="3">
        <v>388</v>
      </c>
      <c r="L3095" t="s">
        <v>113</v>
      </c>
      <c r="M3095">
        <v>6</v>
      </c>
      <c r="N3095" t="s">
        <v>75</v>
      </c>
      <c r="O3095" t="s">
        <v>70</v>
      </c>
      <c r="P3095" t="s">
        <v>12</v>
      </c>
      <c r="Q3095" t="s">
        <v>13</v>
      </c>
      <c r="R3095" t="s">
        <v>13</v>
      </c>
      <c r="S3095" t="s">
        <v>144</v>
      </c>
      <c r="T3095" s="2">
        <f>MASTER[[#This Row],[CANTIDAD]]*MASTER[[#This Row],[PRECIO DE VENTA]]</f>
        <v>1999</v>
      </c>
      <c r="U3095" s="2">
        <f>MASTER[[#This Row],[CANTIDAD]]*MASTER[[#This Row],[COSTO UNITARIO]]</f>
        <v>388</v>
      </c>
      <c r="V3095" s="2">
        <f>MASTER[[#This Row],[MONTO VENDIDO]]-MASTER[[#This Row],[COSTO DE VENTA]]</f>
        <v>1611</v>
      </c>
    </row>
    <row r="3096" spans="1:22" x14ac:dyDescent="0.3">
      <c r="A3096">
        <v>50297</v>
      </c>
      <c r="B3096">
        <v>1</v>
      </c>
      <c r="C3096" t="s">
        <v>116</v>
      </c>
      <c r="D3096" t="s">
        <v>117</v>
      </c>
      <c r="E3096" s="1">
        <v>44199</v>
      </c>
      <c r="F3096">
        <v>1</v>
      </c>
      <c r="G3096" t="s">
        <v>73</v>
      </c>
      <c r="H3096" t="s">
        <v>74</v>
      </c>
      <c r="I3096" s="3">
        <v>1738</v>
      </c>
      <c r="J3096" s="3">
        <v>1738</v>
      </c>
      <c r="K3096" s="3">
        <v>388</v>
      </c>
      <c r="L3096" t="s">
        <v>113</v>
      </c>
      <c r="M3096">
        <v>7</v>
      </c>
      <c r="N3096" t="s">
        <v>84</v>
      </c>
      <c r="O3096" t="s">
        <v>81</v>
      </c>
      <c r="P3096" t="s">
        <v>12</v>
      </c>
      <c r="Q3096" t="s">
        <v>13</v>
      </c>
      <c r="R3096" t="s">
        <v>13</v>
      </c>
      <c r="S3096" t="s">
        <v>144</v>
      </c>
      <c r="T3096" s="2">
        <f>MASTER[[#This Row],[CANTIDAD]]*MASTER[[#This Row],[PRECIO DE VENTA]]</f>
        <v>1738</v>
      </c>
      <c r="U3096" s="2">
        <f>MASTER[[#This Row],[CANTIDAD]]*MASTER[[#This Row],[COSTO UNITARIO]]</f>
        <v>388</v>
      </c>
      <c r="V3096" s="2">
        <f>MASTER[[#This Row],[MONTO VENDIDO]]-MASTER[[#This Row],[COSTO DE VENTA]]</f>
        <v>1350</v>
      </c>
    </row>
    <row r="3097" spans="1:22" x14ac:dyDescent="0.3">
      <c r="A3097">
        <v>50309</v>
      </c>
      <c r="B3097">
        <v>1</v>
      </c>
      <c r="C3097" t="s">
        <v>90</v>
      </c>
      <c r="D3097" t="s">
        <v>91</v>
      </c>
      <c r="E3097" s="1">
        <v>44199</v>
      </c>
      <c r="F3097">
        <v>1</v>
      </c>
      <c r="G3097" t="s">
        <v>47</v>
      </c>
      <c r="H3097" t="s">
        <v>48</v>
      </c>
      <c r="I3097" s="3">
        <v>2102</v>
      </c>
      <c r="J3097" s="3">
        <v>2102</v>
      </c>
      <c r="K3097" s="3">
        <v>420</v>
      </c>
      <c r="L3097" t="s">
        <v>9</v>
      </c>
      <c r="M3097">
        <v>1</v>
      </c>
      <c r="N3097" t="s">
        <v>77</v>
      </c>
      <c r="O3097" t="s">
        <v>70</v>
      </c>
      <c r="P3097" t="s">
        <v>71</v>
      </c>
      <c r="Q3097" t="s">
        <v>72</v>
      </c>
      <c r="R3097" t="s">
        <v>139</v>
      </c>
      <c r="S3097" t="s">
        <v>144</v>
      </c>
      <c r="T3097" s="2">
        <f>MASTER[[#This Row],[CANTIDAD]]*MASTER[[#This Row],[PRECIO DE VENTA]]</f>
        <v>2102</v>
      </c>
      <c r="U3097" s="2">
        <f>MASTER[[#This Row],[CANTIDAD]]*MASTER[[#This Row],[COSTO UNITARIO]]</f>
        <v>420</v>
      </c>
      <c r="V3097" s="2">
        <f>MASTER[[#This Row],[MONTO VENDIDO]]-MASTER[[#This Row],[COSTO DE VENTA]]</f>
        <v>1682</v>
      </c>
    </row>
    <row r="3098" spans="1:22" x14ac:dyDescent="0.3">
      <c r="A3098">
        <v>50326</v>
      </c>
      <c r="B3098">
        <v>1</v>
      </c>
      <c r="C3098" t="s">
        <v>92</v>
      </c>
      <c r="D3098" t="s">
        <v>93</v>
      </c>
      <c r="E3098" s="1">
        <v>44199</v>
      </c>
      <c r="F3098">
        <v>1</v>
      </c>
      <c r="G3098" t="s">
        <v>59</v>
      </c>
      <c r="H3098" t="s">
        <v>60</v>
      </c>
      <c r="I3098" s="3">
        <v>1866</v>
      </c>
      <c r="J3098" s="3">
        <v>1866</v>
      </c>
      <c r="K3098" s="3">
        <v>396</v>
      </c>
      <c r="L3098" t="s">
        <v>9</v>
      </c>
      <c r="M3098">
        <v>9</v>
      </c>
      <c r="N3098" t="s">
        <v>76</v>
      </c>
      <c r="O3098" t="s">
        <v>70</v>
      </c>
      <c r="P3098" t="s">
        <v>12</v>
      </c>
      <c r="Q3098" t="s">
        <v>13</v>
      </c>
      <c r="R3098" t="s">
        <v>13</v>
      </c>
      <c r="S3098" t="s">
        <v>144</v>
      </c>
      <c r="T3098" s="2">
        <f>MASTER[[#This Row],[CANTIDAD]]*MASTER[[#This Row],[PRECIO DE VENTA]]</f>
        <v>1866</v>
      </c>
      <c r="U3098" s="2">
        <f>MASTER[[#This Row],[CANTIDAD]]*MASTER[[#This Row],[COSTO UNITARIO]]</f>
        <v>396</v>
      </c>
      <c r="V3098" s="2">
        <f>MASTER[[#This Row],[MONTO VENDIDO]]-MASTER[[#This Row],[COSTO DE VENTA]]</f>
        <v>1470</v>
      </c>
    </row>
    <row r="3099" spans="1:22" x14ac:dyDescent="0.3">
      <c r="A3099">
        <v>50328</v>
      </c>
      <c r="B3099">
        <v>1</v>
      </c>
      <c r="C3099" t="s">
        <v>103</v>
      </c>
      <c r="D3099" t="s">
        <v>104</v>
      </c>
      <c r="E3099" s="1">
        <v>44199</v>
      </c>
      <c r="F3099">
        <v>1</v>
      </c>
      <c r="G3099" t="s">
        <v>20</v>
      </c>
      <c r="H3099" t="s">
        <v>21</v>
      </c>
      <c r="I3099" s="3">
        <v>1830</v>
      </c>
      <c r="J3099" s="3">
        <v>1830</v>
      </c>
      <c r="K3099" s="3">
        <v>421</v>
      </c>
      <c r="L3099" t="s">
        <v>98</v>
      </c>
      <c r="M3099">
        <v>18</v>
      </c>
      <c r="N3099" t="s">
        <v>79</v>
      </c>
      <c r="O3099" t="s">
        <v>70</v>
      </c>
      <c r="P3099" t="s">
        <v>15</v>
      </c>
      <c r="Q3099" t="s">
        <v>16</v>
      </c>
      <c r="R3099" t="s">
        <v>16</v>
      </c>
      <c r="S3099" t="s">
        <v>144</v>
      </c>
      <c r="T3099" s="2">
        <f>MASTER[[#This Row],[CANTIDAD]]*MASTER[[#This Row],[PRECIO DE VENTA]]</f>
        <v>1830</v>
      </c>
      <c r="U3099" s="2">
        <f>MASTER[[#This Row],[CANTIDAD]]*MASTER[[#This Row],[COSTO UNITARIO]]</f>
        <v>421</v>
      </c>
      <c r="V3099" s="2">
        <f>MASTER[[#This Row],[MONTO VENDIDO]]-MASTER[[#This Row],[COSTO DE VENTA]]</f>
        <v>1409</v>
      </c>
    </row>
    <row r="3100" spans="1:22" x14ac:dyDescent="0.3">
      <c r="A3100">
        <v>50344</v>
      </c>
      <c r="B3100">
        <v>1</v>
      </c>
      <c r="C3100" t="s">
        <v>101</v>
      </c>
      <c r="D3100" t="s">
        <v>102</v>
      </c>
      <c r="E3100" s="1">
        <v>44200</v>
      </c>
      <c r="F3100">
        <v>1</v>
      </c>
      <c r="G3100" t="s">
        <v>7</v>
      </c>
      <c r="H3100" t="s">
        <v>8</v>
      </c>
      <c r="I3100" s="3">
        <v>1357</v>
      </c>
      <c r="J3100" s="3">
        <v>1357</v>
      </c>
      <c r="K3100" s="3">
        <v>442</v>
      </c>
      <c r="L3100" t="s">
        <v>98</v>
      </c>
      <c r="M3100">
        <v>13</v>
      </c>
      <c r="N3100" t="s">
        <v>78</v>
      </c>
      <c r="O3100" t="s">
        <v>70</v>
      </c>
      <c r="P3100" t="s">
        <v>18</v>
      </c>
      <c r="Q3100" t="s">
        <v>19</v>
      </c>
      <c r="R3100" t="s">
        <v>138</v>
      </c>
      <c r="S3100" t="s">
        <v>144</v>
      </c>
      <c r="T3100" s="2">
        <f>MASTER[[#This Row],[CANTIDAD]]*MASTER[[#This Row],[PRECIO DE VENTA]]</f>
        <v>1357</v>
      </c>
      <c r="U3100" s="2">
        <f>MASTER[[#This Row],[CANTIDAD]]*MASTER[[#This Row],[COSTO UNITARIO]]</f>
        <v>442</v>
      </c>
      <c r="V3100" s="2">
        <f>MASTER[[#This Row],[MONTO VENDIDO]]-MASTER[[#This Row],[COSTO DE VENTA]]</f>
        <v>915</v>
      </c>
    </row>
    <row r="3101" spans="1:22" x14ac:dyDescent="0.3">
      <c r="A3101">
        <v>50345</v>
      </c>
      <c r="B3101">
        <v>1</v>
      </c>
      <c r="C3101" t="s">
        <v>96</v>
      </c>
      <c r="D3101" t="s">
        <v>97</v>
      </c>
      <c r="E3101" s="1">
        <v>44200</v>
      </c>
      <c r="F3101">
        <v>1</v>
      </c>
      <c r="G3101" t="s">
        <v>65</v>
      </c>
      <c r="H3101" t="s">
        <v>66</v>
      </c>
      <c r="I3101" s="3">
        <v>1272</v>
      </c>
      <c r="J3101" s="3">
        <v>1272</v>
      </c>
      <c r="K3101" s="3">
        <v>397</v>
      </c>
      <c r="L3101" t="s">
        <v>98</v>
      </c>
      <c r="M3101">
        <v>19</v>
      </c>
      <c r="N3101" t="s">
        <v>89</v>
      </c>
      <c r="O3101" t="s">
        <v>81</v>
      </c>
      <c r="P3101" t="s">
        <v>15</v>
      </c>
      <c r="Q3101" t="s">
        <v>16</v>
      </c>
      <c r="R3101" t="s">
        <v>16</v>
      </c>
      <c r="S3101" t="s">
        <v>144</v>
      </c>
      <c r="T3101" s="2">
        <f>MASTER[[#This Row],[CANTIDAD]]*MASTER[[#This Row],[PRECIO DE VENTA]]</f>
        <v>1272</v>
      </c>
      <c r="U3101" s="2">
        <f>MASTER[[#This Row],[CANTIDAD]]*MASTER[[#This Row],[COSTO UNITARIO]]</f>
        <v>397</v>
      </c>
      <c r="V3101" s="2">
        <f>MASTER[[#This Row],[MONTO VENDIDO]]-MASTER[[#This Row],[COSTO DE VENTA]]</f>
        <v>875</v>
      </c>
    </row>
    <row r="3102" spans="1:22" x14ac:dyDescent="0.3">
      <c r="A3102">
        <v>50354</v>
      </c>
      <c r="B3102">
        <v>1</v>
      </c>
      <c r="C3102" t="s">
        <v>90</v>
      </c>
      <c r="D3102" t="s">
        <v>91</v>
      </c>
      <c r="E3102" s="1">
        <v>44200</v>
      </c>
      <c r="F3102">
        <v>1</v>
      </c>
      <c r="G3102" t="s">
        <v>22</v>
      </c>
      <c r="H3102" t="s">
        <v>23</v>
      </c>
      <c r="I3102" s="3">
        <v>1844</v>
      </c>
      <c r="J3102" s="3">
        <v>1844</v>
      </c>
      <c r="K3102" s="3">
        <v>420</v>
      </c>
      <c r="L3102" t="s">
        <v>9</v>
      </c>
      <c r="M3102">
        <v>7</v>
      </c>
      <c r="N3102" t="s">
        <v>84</v>
      </c>
      <c r="O3102" t="s">
        <v>81</v>
      </c>
      <c r="P3102" t="s">
        <v>12</v>
      </c>
      <c r="Q3102" t="s">
        <v>13</v>
      </c>
      <c r="R3102" t="s">
        <v>13</v>
      </c>
      <c r="S3102" t="s">
        <v>144</v>
      </c>
      <c r="T3102" s="2">
        <f>MASTER[[#This Row],[CANTIDAD]]*MASTER[[#This Row],[PRECIO DE VENTA]]</f>
        <v>1844</v>
      </c>
      <c r="U3102" s="2">
        <f>MASTER[[#This Row],[CANTIDAD]]*MASTER[[#This Row],[COSTO UNITARIO]]</f>
        <v>420</v>
      </c>
      <c r="V3102" s="2">
        <f>MASTER[[#This Row],[MONTO VENDIDO]]-MASTER[[#This Row],[COSTO DE VENTA]]</f>
        <v>1424</v>
      </c>
    </row>
    <row r="3103" spans="1:22" x14ac:dyDescent="0.3">
      <c r="A3103">
        <v>50360</v>
      </c>
      <c r="B3103">
        <v>1</v>
      </c>
      <c r="C3103" t="s">
        <v>99</v>
      </c>
      <c r="D3103" t="s">
        <v>100</v>
      </c>
      <c r="E3103" s="1">
        <v>44200</v>
      </c>
      <c r="F3103">
        <v>1</v>
      </c>
      <c r="G3103" t="s">
        <v>39</v>
      </c>
      <c r="H3103" t="s">
        <v>40</v>
      </c>
      <c r="I3103" s="3">
        <v>1459</v>
      </c>
      <c r="J3103" s="3">
        <v>1459</v>
      </c>
      <c r="K3103" s="3">
        <v>386</v>
      </c>
      <c r="L3103" t="s">
        <v>98</v>
      </c>
      <c r="M3103">
        <v>8</v>
      </c>
      <c r="N3103" t="s">
        <v>80</v>
      </c>
      <c r="O3103" t="s">
        <v>81</v>
      </c>
      <c r="P3103" t="s">
        <v>12</v>
      </c>
      <c r="Q3103" t="s">
        <v>13</v>
      </c>
      <c r="R3103" t="s">
        <v>13</v>
      </c>
      <c r="S3103" t="s">
        <v>144</v>
      </c>
      <c r="T3103" s="2">
        <f>MASTER[[#This Row],[CANTIDAD]]*MASTER[[#This Row],[PRECIO DE VENTA]]</f>
        <v>1459</v>
      </c>
      <c r="U3103" s="2">
        <f>MASTER[[#This Row],[CANTIDAD]]*MASTER[[#This Row],[COSTO UNITARIO]]</f>
        <v>386</v>
      </c>
      <c r="V3103" s="2">
        <f>MASTER[[#This Row],[MONTO VENDIDO]]-MASTER[[#This Row],[COSTO DE VENTA]]</f>
        <v>1073</v>
      </c>
    </row>
    <row r="3104" spans="1:22" x14ac:dyDescent="0.3">
      <c r="A3104">
        <v>50372</v>
      </c>
      <c r="B3104">
        <v>1</v>
      </c>
      <c r="C3104" t="s">
        <v>114</v>
      </c>
      <c r="D3104" t="s">
        <v>115</v>
      </c>
      <c r="E3104" s="1">
        <v>44200</v>
      </c>
      <c r="F3104">
        <v>1</v>
      </c>
      <c r="G3104" t="s">
        <v>41</v>
      </c>
      <c r="H3104" t="s">
        <v>42</v>
      </c>
      <c r="I3104" s="3">
        <v>2030</v>
      </c>
      <c r="J3104" s="3">
        <v>2030</v>
      </c>
      <c r="K3104" s="3">
        <v>394</v>
      </c>
      <c r="L3104" t="s">
        <v>113</v>
      </c>
      <c r="M3104">
        <v>1</v>
      </c>
      <c r="N3104" t="s">
        <v>77</v>
      </c>
      <c r="O3104" t="s">
        <v>70</v>
      </c>
      <c r="P3104" t="s">
        <v>71</v>
      </c>
      <c r="Q3104" t="s">
        <v>72</v>
      </c>
      <c r="R3104" t="s">
        <v>139</v>
      </c>
      <c r="S3104" t="s">
        <v>144</v>
      </c>
      <c r="T3104" s="2">
        <f>MASTER[[#This Row],[CANTIDAD]]*MASTER[[#This Row],[PRECIO DE VENTA]]</f>
        <v>2030</v>
      </c>
      <c r="U3104" s="2">
        <f>MASTER[[#This Row],[CANTIDAD]]*MASTER[[#This Row],[COSTO UNITARIO]]</f>
        <v>394</v>
      </c>
      <c r="V3104" s="2">
        <f>MASTER[[#This Row],[MONTO VENDIDO]]-MASTER[[#This Row],[COSTO DE VENTA]]</f>
        <v>1636</v>
      </c>
    </row>
    <row r="3105" spans="1:22" x14ac:dyDescent="0.3">
      <c r="A3105">
        <v>50389</v>
      </c>
      <c r="B3105">
        <v>1</v>
      </c>
      <c r="C3105" t="s">
        <v>111</v>
      </c>
      <c r="D3105" t="s">
        <v>112</v>
      </c>
      <c r="E3105" s="1">
        <v>44200</v>
      </c>
      <c r="F3105">
        <v>1</v>
      </c>
      <c r="G3105" t="s">
        <v>49</v>
      </c>
      <c r="H3105" t="s">
        <v>50</v>
      </c>
      <c r="I3105" s="3">
        <v>1524</v>
      </c>
      <c r="J3105" s="3">
        <v>1524</v>
      </c>
      <c r="K3105" s="3">
        <v>434</v>
      </c>
      <c r="L3105" t="s">
        <v>113</v>
      </c>
      <c r="M3105">
        <v>17</v>
      </c>
      <c r="N3105" t="s">
        <v>14</v>
      </c>
      <c r="O3105" t="s">
        <v>11</v>
      </c>
      <c r="P3105" t="s">
        <v>15</v>
      </c>
      <c r="Q3105" t="s">
        <v>16</v>
      </c>
      <c r="R3105" t="s">
        <v>16</v>
      </c>
      <c r="S3105" t="s">
        <v>144</v>
      </c>
      <c r="T3105" s="2">
        <f>MASTER[[#This Row],[CANTIDAD]]*MASTER[[#This Row],[PRECIO DE VENTA]]</f>
        <v>1524</v>
      </c>
      <c r="U3105" s="2">
        <f>MASTER[[#This Row],[CANTIDAD]]*MASTER[[#This Row],[COSTO UNITARIO]]</f>
        <v>434</v>
      </c>
      <c r="V3105" s="2">
        <f>MASTER[[#This Row],[MONTO VENDIDO]]-MASTER[[#This Row],[COSTO DE VENTA]]</f>
        <v>1090</v>
      </c>
    </row>
    <row r="3106" spans="1:22" x14ac:dyDescent="0.3">
      <c r="A3106">
        <v>50417</v>
      </c>
      <c r="B3106">
        <v>1</v>
      </c>
      <c r="C3106" t="s">
        <v>114</v>
      </c>
      <c r="D3106" t="s">
        <v>115</v>
      </c>
      <c r="E3106" s="1">
        <v>44200</v>
      </c>
      <c r="F3106">
        <v>1</v>
      </c>
      <c r="G3106" t="s">
        <v>47</v>
      </c>
      <c r="H3106" t="s">
        <v>48</v>
      </c>
      <c r="I3106" s="3">
        <v>2030</v>
      </c>
      <c r="J3106" s="3">
        <v>2030</v>
      </c>
      <c r="K3106" s="3">
        <v>394</v>
      </c>
      <c r="L3106" t="s">
        <v>113</v>
      </c>
      <c r="M3106">
        <v>13</v>
      </c>
      <c r="N3106" t="s">
        <v>78</v>
      </c>
      <c r="O3106" t="s">
        <v>70</v>
      </c>
      <c r="P3106" t="s">
        <v>18</v>
      </c>
      <c r="Q3106" t="s">
        <v>19</v>
      </c>
      <c r="R3106" t="s">
        <v>138</v>
      </c>
      <c r="S3106" t="s">
        <v>144</v>
      </c>
      <c r="T3106" s="2">
        <f>MASTER[[#This Row],[CANTIDAD]]*MASTER[[#This Row],[PRECIO DE VENTA]]</f>
        <v>2030</v>
      </c>
      <c r="U3106" s="2">
        <f>MASTER[[#This Row],[CANTIDAD]]*MASTER[[#This Row],[COSTO UNITARIO]]</f>
        <v>394</v>
      </c>
      <c r="V3106" s="2">
        <f>MASTER[[#This Row],[MONTO VENDIDO]]-MASTER[[#This Row],[COSTO DE VENTA]]</f>
        <v>1636</v>
      </c>
    </row>
    <row r="3107" spans="1:22" x14ac:dyDescent="0.3">
      <c r="A3107">
        <v>50436</v>
      </c>
      <c r="B3107">
        <v>1</v>
      </c>
      <c r="C3107" t="s">
        <v>99</v>
      </c>
      <c r="D3107" t="s">
        <v>100</v>
      </c>
      <c r="E3107" s="1">
        <v>44200</v>
      </c>
      <c r="F3107">
        <v>1</v>
      </c>
      <c r="G3107" t="s">
        <v>45</v>
      </c>
      <c r="H3107" t="s">
        <v>46</v>
      </c>
      <c r="I3107" s="3">
        <v>1678</v>
      </c>
      <c r="J3107" s="3">
        <v>1678</v>
      </c>
      <c r="K3107" s="3">
        <v>386</v>
      </c>
      <c r="L3107" t="s">
        <v>98</v>
      </c>
      <c r="M3107">
        <v>13</v>
      </c>
      <c r="N3107" t="s">
        <v>78</v>
      </c>
      <c r="O3107" t="s">
        <v>70</v>
      </c>
      <c r="P3107" t="s">
        <v>18</v>
      </c>
      <c r="Q3107" t="s">
        <v>19</v>
      </c>
      <c r="R3107" t="s">
        <v>138</v>
      </c>
      <c r="S3107" t="s">
        <v>144</v>
      </c>
      <c r="T3107" s="2">
        <f>MASTER[[#This Row],[CANTIDAD]]*MASTER[[#This Row],[PRECIO DE VENTA]]</f>
        <v>1678</v>
      </c>
      <c r="U3107" s="2">
        <f>MASTER[[#This Row],[CANTIDAD]]*MASTER[[#This Row],[COSTO UNITARIO]]</f>
        <v>386</v>
      </c>
      <c r="V3107" s="2">
        <f>MASTER[[#This Row],[MONTO VENDIDO]]-MASTER[[#This Row],[COSTO DE VENTA]]</f>
        <v>1292</v>
      </c>
    </row>
    <row r="3108" spans="1:22" x14ac:dyDescent="0.3">
      <c r="A3108">
        <v>50437</v>
      </c>
      <c r="B3108">
        <v>1</v>
      </c>
      <c r="C3108" t="s">
        <v>105</v>
      </c>
      <c r="D3108" t="s">
        <v>106</v>
      </c>
      <c r="E3108" s="1">
        <v>44200</v>
      </c>
      <c r="F3108">
        <v>1</v>
      </c>
      <c r="G3108" t="s">
        <v>35</v>
      </c>
      <c r="H3108" t="s">
        <v>36</v>
      </c>
      <c r="I3108" s="3">
        <v>2033</v>
      </c>
      <c r="J3108" s="3">
        <v>2033</v>
      </c>
      <c r="K3108" s="3">
        <v>459</v>
      </c>
      <c r="L3108" t="s">
        <v>98</v>
      </c>
      <c r="M3108">
        <v>6</v>
      </c>
      <c r="N3108" t="s">
        <v>75</v>
      </c>
      <c r="O3108" t="s">
        <v>70</v>
      </c>
      <c r="P3108" t="s">
        <v>12</v>
      </c>
      <c r="Q3108" t="s">
        <v>13</v>
      </c>
      <c r="R3108" t="s">
        <v>13</v>
      </c>
      <c r="S3108" t="s">
        <v>144</v>
      </c>
      <c r="T3108" s="2">
        <f>MASTER[[#This Row],[CANTIDAD]]*MASTER[[#This Row],[PRECIO DE VENTA]]</f>
        <v>2033</v>
      </c>
      <c r="U3108" s="2">
        <f>MASTER[[#This Row],[CANTIDAD]]*MASTER[[#This Row],[COSTO UNITARIO]]</f>
        <v>459</v>
      </c>
      <c r="V3108" s="2">
        <f>MASTER[[#This Row],[MONTO VENDIDO]]-MASTER[[#This Row],[COSTO DE VENTA]]</f>
        <v>1574</v>
      </c>
    </row>
    <row r="3109" spans="1:22" x14ac:dyDescent="0.3">
      <c r="A3109">
        <v>50444</v>
      </c>
      <c r="B3109">
        <v>1</v>
      </c>
      <c r="C3109" t="s">
        <v>94</v>
      </c>
      <c r="D3109" t="s">
        <v>95</v>
      </c>
      <c r="E3109" s="1">
        <v>44200</v>
      </c>
      <c r="F3109">
        <v>1</v>
      </c>
      <c r="G3109" t="s">
        <v>41</v>
      </c>
      <c r="H3109" t="s">
        <v>42</v>
      </c>
      <c r="I3109" s="3">
        <v>1048</v>
      </c>
      <c r="J3109" s="3">
        <v>1048</v>
      </c>
      <c r="K3109" s="3">
        <v>392</v>
      </c>
      <c r="L3109" t="s">
        <v>9</v>
      </c>
      <c r="M3109">
        <v>5</v>
      </c>
      <c r="N3109" t="s">
        <v>85</v>
      </c>
      <c r="O3109" t="s">
        <v>81</v>
      </c>
      <c r="P3109" t="s">
        <v>12</v>
      </c>
      <c r="Q3109" t="s">
        <v>13</v>
      </c>
      <c r="R3109" t="s">
        <v>13</v>
      </c>
      <c r="S3109" t="s">
        <v>144</v>
      </c>
      <c r="T3109" s="2">
        <f>MASTER[[#This Row],[CANTIDAD]]*MASTER[[#This Row],[PRECIO DE VENTA]]</f>
        <v>1048</v>
      </c>
      <c r="U3109" s="2">
        <f>MASTER[[#This Row],[CANTIDAD]]*MASTER[[#This Row],[COSTO UNITARIO]]</f>
        <v>392</v>
      </c>
      <c r="V3109" s="2">
        <f>MASTER[[#This Row],[MONTO VENDIDO]]-MASTER[[#This Row],[COSTO DE VENTA]]</f>
        <v>656</v>
      </c>
    </row>
    <row r="3110" spans="1:22" x14ac:dyDescent="0.3">
      <c r="A3110">
        <v>50451</v>
      </c>
      <c r="B3110">
        <v>1</v>
      </c>
      <c r="C3110" t="s">
        <v>90</v>
      </c>
      <c r="D3110" t="s">
        <v>91</v>
      </c>
      <c r="E3110" s="1">
        <v>44200</v>
      </c>
      <c r="F3110">
        <v>1</v>
      </c>
      <c r="G3110" t="s">
        <v>39</v>
      </c>
      <c r="H3110" t="s">
        <v>40</v>
      </c>
      <c r="I3110" s="3">
        <v>1844</v>
      </c>
      <c r="J3110" s="3">
        <v>1844</v>
      </c>
      <c r="K3110" s="3">
        <v>420</v>
      </c>
      <c r="L3110" t="s">
        <v>9</v>
      </c>
      <c r="M3110">
        <v>8</v>
      </c>
      <c r="N3110" t="s">
        <v>80</v>
      </c>
      <c r="O3110" t="s">
        <v>81</v>
      </c>
      <c r="P3110" t="s">
        <v>12</v>
      </c>
      <c r="Q3110" t="s">
        <v>13</v>
      </c>
      <c r="R3110" t="s">
        <v>13</v>
      </c>
      <c r="S3110" t="s">
        <v>144</v>
      </c>
      <c r="T3110" s="2">
        <f>MASTER[[#This Row],[CANTIDAD]]*MASTER[[#This Row],[PRECIO DE VENTA]]</f>
        <v>1844</v>
      </c>
      <c r="U3110" s="2">
        <f>MASTER[[#This Row],[CANTIDAD]]*MASTER[[#This Row],[COSTO UNITARIO]]</f>
        <v>420</v>
      </c>
      <c r="V3110" s="2">
        <f>MASTER[[#This Row],[MONTO VENDIDO]]-MASTER[[#This Row],[COSTO DE VENTA]]</f>
        <v>1424</v>
      </c>
    </row>
    <row r="3111" spans="1:22" x14ac:dyDescent="0.3">
      <c r="A3111">
        <v>50475</v>
      </c>
      <c r="B3111">
        <v>1</v>
      </c>
      <c r="C3111" t="s">
        <v>5</v>
      </c>
      <c r="D3111" t="s">
        <v>6</v>
      </c>
      <c r="E3111" s="1">
        <v>44201</v>
      </c>
      <c r="F3111">
        <v>1</v>
      </c>
      <c r="G3111" t="s">
        <v>65</v>
      </c>
      <c r="H3111" t="s">
        <v>66</v>
      </c>
      <c r="I3111" s="3">
        <v>1507</v>
      </c>
      <c r="J3111" s="3">
        <v>1507</v>
      </c>
      <c r="K3111" s="3">
        <v>393</v>
      </c>
      <c r="L3111" t="s">
        <v>9</v>
      </c>
      <c r="M3111">
        <v>7</v>
      </c>
      <c r="N3111" t="s">
        <v>84</v>
      </c>
      <c r="O3111" t="s">
        <v>81</v>
      </c>
      <c r="P3111" t="s">
        <v>12</v>
      </c>
      <c r="Q3111" t="s">
        <v>13</v>
      </c>
      <c r="R3111" t="s">
        <v>13</v>
      </c>
      <c r="S3111" t="s">
        <v>144</v>
      </c>
      <c r="T3111" s="2">
        <f>MASTER[[#This Row],[CANTIDAD]]*MASTER[[#This Row],[PRECIO DE VENTA]]</f>
        <v>1507</v>
      </c>
      <c r="U3111" s="2">
        <f>MASTER[[#This Row],[CANTIDAD]]*MASTER[[#This Row],[COSTO UNITARIO]]</f>
        <v>393</v>
      </c>
      <c r="V3111" s="2">
        <f>MASTER[[#This Row],[MONTO VENDIDO]]-MASTER[[#This Row],[COSTO DE VENTA]]</f>
        <v>1114</v>
      </c>
    </row>
    <row r="3112" spans="1:22" x14ac:dyDescent="0.3">
      <c r="A3112">
        <v>50477</v>
      </c>
      <c r="B3112">
        <v>1</v>
      </c>
      <c r="C3112" t="s">
        <v>5</v>
      </c>
      <c r="D3112" t="s">
        <v>6</v>
      </c>
      <c r="E3112" s="1">
        <v>44201</v>
      </c>
      <c r="F3112">
        <v>1</v>
      </c>
      <c r="G3112" t="s">
        <v>51</v>
      </c>
      <c r="H3112" t="s">
        <v>52</v>
      </c>
      <c r="I3112" s="3">
        <v>1507</v>
      </c>
      <c r="J3112" s="3">
        <v>1507</v>
      </c>
      <c r="K3112" s="3">
        <v>393</v>
      </c>
      <c r="L3112" t="s">
        <v>9</v>
      </c>
      <c r="M3112">
        <v>8</v>
      </c>
      <c r="N3112" t="s">
        <v>80</v>
      </c>
      <c r="O3112" t="s">
        <v>81</v>
      </c>
      <c r="P3112" t="s">
        <v>12</v>
      </c>
      <c r="Q3112" t="s">
        <v>13</v>
      </c>
      <c r="R3112" t="s">
        <v>13</v>
      </c>
      <c r="S3112" t="s">
        <v>144</v>
      </c>
      <c r="T3112" s="2">
        <f>MASTER[[#This Row],[CANTIDAD]]*MASTER[[#This Row],[PRECIO DE VENTA]]</f>
        <v>1507</v>
      </c>
      <c r="U3112" s="2">
        <f>MASTER[[#This Row],[CANTIDAD]]*MASTER[[#This Row],[COSTO UNITARIO]]</f>
        <v>393</v>
      </c>
      <c r="V3112" s="2">
        <f>MASTER[[#This Row],[MONTO VENDIDO]]-MASTER[[#This Row],[COSTO DE VENTA]]</f>
        <v>1114</v>
      </c>
    </row>
    <row r="3113" spans="1:22" x14ac:dyDescent="0.3">
      <c r="A3113">
        <v>50486</v>
      </c>
      <c r="B3113">
        <v>1</v>
      </c>
      <c r="C3113" t="s">
        <v>101</v>
      </c>
      <c r="D3113" t="s">
        <v>102</v>
      </c>
      <c r="E3113" s="1">
        <v>44201</v>
      </c>
      <c r="F3113">
        <v>1</v>
      </c>
      <c r="G3113" t="s">
        <v>39</v>
      </c>
      <c r="H3113" t="s">
        <v>40</v>
      </c>
      <c r="I3113" s="3">
        <v>1054</v>
      </c>
      <c r="J3113" s="3">
        <v>1054</v>
      </c>
      <c r="K3113" s="3">
        <v>442</v>
      </c>
      <c r="L3113" t="s">
        <v>98</v>
      </c>
      <c r="M3113">
        <v>12</v>
      </c>
      <c r="N3113" t="s">
        <v>26</v>
      </c>
      <c r="O3113" t="s">
        <v>11</v>
      </c>
      <c r="P3113" t="s">
        <v>12</v>
      </c>
      <c r="Q3113" t="s">
        <v>13</v>
      </c>
      <c r="R3113" t="s">
        <v>13</v>
      </c>
      <c r="S3113" t="s">
        <v>144</v>
      </c>
      <c r="T3113" s="2">
        <f>MASTER[[#This Row],[CANTIDAD]]*MASTER[[#This Row],[PRECIO DE VENTA]]</f>
        <v>1054</v>
      </c>
      <c r="U3113" s="2">
        <f>MASTER[[#This Row],[CANTIDAD]]*MASTER[[#This Row],[COSTO UNITARIO]]</f>
        <v>442</v>
      </c>
      <c r="V3113" s="2">
        <f>MASTER[[#This Row],[MONTO VENDIDO]]-MASTER[[#This Row],[COSTO DE VENTA]]</f>
        <v>612</v>
      </c>
    </row>
    <row r="3114" spans="1:22" x14ac:dyDescent="0.3">
      <c r="A3114">
        <v>50487</v>
      </c>
      <c r="B3114">
        <v>1</v>
      </c>
      <c r="C3114" t="s">
        <v>118</v>
      </c>
      <c r="D3114" t="s">
        <v>119</v>
      </c>
      <c r="E3114" s="1">
        <v>44201</v>
      </c>
      <c r="F3114">
        <v>1</v>
      </c>
      <c r="G3114" t="s">
        <v>63</v>
      </c>
      <c r="H3114" t="s">
        <v>64</v>
      </c>
      <c r="I3114" s="3">
        <v>900</v>
      </c>
      <c r="J3114" s="3">
        <v>828</v>
      </c>
      <c r="K3114" s="3">
        <v>424</v>
      </c>
      <c r="L3114" t="s">
        <v>120</v>
      </c>
      <c r="M3114">
        <v>7</v>
      </c>
      <c r="N3114" t="s">
        <v>84</v>
      </c>
      <c r="O3114" t="s">
        <v>81</v>
      </c>
      <c r="P3114" t="s">
        <v>12</v>
      </c>
      <c r="Q3114" t="s">
        <v>13</v>
      </c>
      <c r="R3114" t="s">
        <v>13</v>
      </c>
      <c r="S3114" t="s">
        <v>144</v>
      </c>
      <c r="T3114" s="2">
        <f>MASTER[[#This Row],[CANTIDAD]]*MASTER[[#This Row],[PRECIO DE VENTA]]</f>
        <v>828</v>
      </c>
      <c r="U3114" s="2">
        <f>MASTER[[#This Row],[CANTIDAD]]*MASTER[[#This Row],[COSTO UNITARIO]]</f>
        <v>424</v>
      </c>
      <c r="V3114" s="2">
        <f>MASTER[[#This Row],[MONTO VENDIDO]]-MASTER[[#This Row],[COSTO DE VENTA]]</f>
        <v>404</v>
      </c>
    </row>
    <row r="3115" spans="1:22" x14ac:dyDescent="0.3">
      <c r="A3115">
        <v>50490</v>
      </c>
      <c r="B3115">
        <v>1</v>
      </c>
      <c r="C3115" t="s">
        <v>5</v>
      </c>
      <c r="D3115" t="s">
        <v>6</v>
      </c>
      <c r="E3115" s="1">
        <v>44201</v>
      </c>
      <c r="F3115">
        <v>1</v>
      </c>
      <c r="G3115" t="s">
        <v>37</v>
      </c>
      <c r="H3115" t="s">
        <v>38</v>
      </c>
      <c r="I3115" s="3">
        <v>1507</v>
      </c>
      <c r="J3115" s="3">
        <v>1507</v>
      </c>
      <c r="K3115" s="3">
        <v>393</v>
      </c>
      <c r="L3115" t="s">
        <v>9</v>
      </c>
      <c r="M3115">
        <v>4</v>
      </c>
      <c r="N3115" t="s">
        <v>82</v>
      </c>
      <c r="O3115" t="s">
        <v>81</v>
      </c>
      <c r="P3115" t="s">
        <v>71</v>
      </c>
      <c r="Q3115" t="s">
        <v>72</v>
      </c>
      <c r="R3115" t="s">
        <v>139</v>
      </c>
      <c r="S3115" t="s">
        <v>144</v>
      </c>
      <c r="T3115" s="2">
        <f>MASTER[[#This Row],[CANTIDAD]]*MASTER[[#This Row],[PRECIO DE VENTA]]</f>
        <v>1507</v>
      </c>
      <c r="U3115" s="2">
        <f>MASTER[[#This Row],[CANTIDAD]]*MASTER[[#This Row],[COSTO UNITARIO]]</f>
        <v>393</v>
      </c>
      <c r="V3115" s="2">
        <f>MASTER[[#This Row],[MONTO VENDIDO]]-MASTER[[#This Row],[COSTO DE VENTA]]</f>
        <v>1114</v>
      </c>
    </row>
    <row r="3116" spans="1:22" x14ac:dyDescent="0.3">
      <c r="A3116">
        <v>50513</v>
      </c>
      <c r="B3116">
        <v>1</v>
      </c>
      <c r="C3116" t="s">
        <v>103</v>
      </c>
      <c r="D3116" t="s">
        <v>104</v>
      </c>
      <c r="E3116" s="1">
        <v>44201</v>
      </c>
      <c r="F3116">
        <v>1</v>
      </c>
      <c r="G3116" t="s">
        <v>39</v>
      </c>
      <c r="H3116" t="s">
        <v>40</v>
      </c>
      <c r="I3116" s="3">
        <v>1830</v>
      </c>
      <c r="J3116" s="3">
        <v>1830</v>
      </c>
      <c r="K3116" s="3">
        <v>421</v>
      </c>
      <c r="L3116" t="s">
        <v>98</v>
      </c>
      <c r="M3116">
        <v>13</v>
      </c>
      <c r="N3116" t="s">
        <v>78</v>
      </c>
      <c r="O3116" t="s">
        <v>70</v>
      </c>
      <c r="P3116" t="s">
        <v>18</v>
      </c>
      <c r="Q3116" t="s">
        <v>19</v>
      </c>
      <c r="R3116" t="s">
        <v>138</v>
      </c>
      <c r="S3116" t="s">
        <v>144</v>
      </c>
      <c r="T3116" s="2">
        <f>MASTER[[#This Row],[CANTIDAD]]*MASTER[[#This Row],[PRECIO DE VENTA]]</f>
        <v>1830</v>
      </c>
      <c r="U3116" s="2">
        <f>MASTER[[#This Row],[CANTIDAD]]*MASTER[[#This Row],[COSTO UNITARIO]]</f>
        <v>421</v>
      </c>
      <c r="V3116" s="2">
        <f>MASTER[[#This Row],[MONTO VENDIDO]]-MASTER[[#This Row],[COSTO DE VENTA]]</f>
        <v>1409</v>
      </c>
    </row>
    <row r="3117" spans="1:22" x14ac:dyDescent="0.3">
      <c r="A3117">
        <v>50542</v>
      </c>
      <c r="B3117">
        <v>1</v>
      </c>
      <c r="C3117" t="s">
        <v>105</v>
      </c>
      <c r="D3117" t="s">
        <v>106</v>
      </c>
      <c r="E3117" s="1">
        <v>44202</v>
      </c>
      <c r="F3117">
        <v>1</v>
      </c>
      <c r="G3117" t="s">
        <v>27</v>
      </c>
      <c r="H3117" t="s">
        <v>28</v>
      </c>
      <c r="I3117" s="3">
        <v>1865</v>
      </c>
      <c r="J3117" s="3">
        <v>1865</v>
      </c>
      <c r="K3117" s="3">
        <v>459</v>
      </c>
      <c r="L3117" t="s">
        <v>98</v>
      </c>
      <c r="M3117">
        <v>19</v>
      </c>
      <c r="N3117" t="s">
        <v>89</v>
      </c>
      <c r="O3117" t="s">
        <v>81</v>
      </c>
      <c r="P3117" t="s">
        <v>15</v>
      </c>
      <c r="Q3117" t="s">
        <v>16</v>
      </c>
      <c r="R3117" t="s">
        <v>16</v>
      </c>
      <c r="S3117" t="s">
        <v>144</v>
      </c>
      <c r="T3117" s="2">
        <f>MASTER[[#This Row],[CANTIDAD]]*MASTER[[#This Row],[PRECIO DE VENTA]]</f>
        <v>1865</v>
      </c>
      <c r="U3117" s="2">
        <f>MASTER[[#This Row],[CANTIDAD]]*MASTER[[#This Row],[COSTO UNITARIO]]</f>
        <v>459</v>
      </c>
      <c r="V3117" s="2">
        <f>MASTER[[#This Row],[MONTO VENDIDO]]-MASTER[[#This Row],[COSTO DE VENTA]]</f>
        <v>1406</v>
      </c>
    </row>
    <row r="3118" spans="1:22" x14ac:dyDescent="0.3">
      <c r="A3118">
        <v>50554</v>
      </c>
      <c r="B3118">
        <v>1</v>
      </c>
      <c r="C3118" t="s">
        <v>103</v>
      </c>
      <c r="D3118" t="s">
        <v>104</v>
      </c>
      <c r="E3118" s="1">
        <v>44202</v>
      </c>
      <c r="F3118">
        <v>1</v>
      </c>
      <c r="G3118" t="s">
        <v>65</v>
      </c>
      <c r="H3118" t="s">
        <v>66</v>
      </c>
      <c r="I3118" s="3">
        <v>1830</v>
      </c>
      <c r="J3118" s="3">
        <v>1830</v>
      </c>
      <c r="K3118" s="3">
        <v>421</v>
      </c>
      <c r="L3118" t="s">
        <v>98</v>
      </c>
      <c r="M3118">
        <v>9</v>
      </c>
      <c r="N3118" t="s">
        <v>76</v>
      </c>
      <c r="O3118" t="s">
        <v>70</v>
      </c>
      <c r="P3118" t="s">
        <v>12</v>
      </c>
      <c r="Q3118" t="s">
        <v>13</v>
      </c>
      <c r="R3118" t="s">
        <v>13</v>
      </c>
      <c r="S3118" t="s">
        <v>144</v>
      </c>
      <c r="T3118" s="2">
        <f>MASTER[[#This Row],[CANTIDAD]]*MASTER[[#This Row],[PRECIO DE VENTA]]</f>
        <v>1830</v>
      </c>
      <c r="U3118" s="2">
        <f>MASTER[[#This Row],[CANTIDAD]]*MASTER[[#This Row],[COSTO UNITARIO]]</f>
        <v>421</v>
      </c>
      <c r="V3118" s="2">
        <f>MASTER[[#This Row],[MONTO VENDIDO]]-MASTER[[#This Row],[COSTO DE VENTA]]</f>
        <v>1409</v>
      </c>
    </row>
    <row r="3119" spans="1:22" x14ac:dyDescent="0.3">
      <c r="A3119">
        <v>50564</v>
      </c>
      <c r="B3119">
        <v>1</v>
      </c>
      <c r="C3119" t="s">
        <v>109</v>
      </c>
      <c r="D3119" t="s">
        <v>110</v>
      </c>
      <c r="E3119" s="1">
        <v>44202</v>
      </c>
      <c r="F3119">
        <v>1</v>
      </c>
      <c r="G3119" t="s">
        <v>39</v>
      </c>
      <c r="H3119" t="s">
        <v>40</v>
      </c>
      <c r="I3119" s="3">
        <v>1128</v>
      </c>
      <c r="J3119" s="3">
        <v>1128</v>
      </c>
      <c r="K3119" s="3">
        <v>387</v>
      </c>
      <c r="L3119" t="s">
        <v>98</v>
      </c>
      <c r="M3119">
        <v>18</v>
      </c>
      <c r="N3119" t="s">
        <v>79</v>
      </c>
      <c r="O3119" t="s">
        <v>70</v>
      </c>
      <c r="P3119" t="s">
        <v>15</v>
      </c>
      <c r="Q3119" t="s">
        <v>16</v>
      </c>
      <c r="R3119" t="s">
        <v>16</v>
      </c>
      <c r="S3119" t="s">
        <v>144</v>
      </c>
      <c r="T3119" s="2">
        <f>MASTER[[#This Row],[CANTIDAD]]*MASTER[[#This Row],[PRECIO DE VENTA]]</f>
        <v>1128</v>
      </c>
      <c r="U3119" s="2">
        <f>MASTER[[#This Row],[CANTIDAD]]*MASTER[[#This Row],[COSTO UNITARIO]]</f>
        <v>387</v>
      </c>
      <c r="V3119" s="2">
        <f>MASTER[[#This Row],[MONTO VENDIDO]]-MASTER[[#This Row],[COSTO DE VENTA]]</f>
        <v>741</v>
      </c>
    </row>
    <row r="3120" spans="1:22" x14ac:dyDescent="0.3">
      <c r="A3120">
        <v>50579</v>
      </c>
      <c r="B3120">
        <v>1</v>
      </c>
      <c r="C3120" t="s">
        <v>90</v>
      </c>
      <c r="D3120" t="s">
        <v>91</v>
      </c>
      <c r="E3120" s="1">
        <v>44202</v>
      </c>
      <c r="F3120">
        <v>1</v>
      </c>
      <c r="G3120" t="s">
        <v>45</v>
      </c>
      <c r="H3120" t="s">
        <v>46</v>
      </c>
      <c r="I3120" s="3">
        <v>1660</v>
      </c>
      <c r="J3120" s="3">
        <v>1660</v>
      </c>
      <c r="K3120" s="3">
        <v>420</v>
      </c>
      <c r="L3120" t="s">
        <v>9</v>
      </c>
      <c r="M3120">
        <v>16</v>
      </c>
      <c r="N3120" t="s">
        <v>17</v>
      </c>
      <c r="O3120" t="s">
        <v>11</v>
      </c>
      <c r="P3120" t="s">
        <v>18</v>
      </c>
      <c r="Q3120" t="s">
        <v>19</v>
      </c>
      <c r="R3120" t="s">
        <v>138</v>
      </c>
      <c r="S3120" t="s">
        <v>144</v>
      </c>
      <c r="T3120" s="2">
        <f>MASTER[[#This Row],[CANTIDAD]]*MASTER[[#This Row],[PRECIO DE VENTA]]</f>
        <v>1660</v>
      </c>
      <c r="U3120" s="2">
        <f>MASTER[[#This Row],[CANTIDAD]]*MASTER[[#This Row],[COSTO UNITARIO]]</f>
        <v>420</v>
      </c>
      <c r="V3120" s="2">
        <f>MASTER[[#This Row],[MONTO VENDIDO]]-MASTER[[#This Row],[COSTO DE VENTA]]</f>
        <v>1240</v>
      </c>
    </row>
    <row r="3121" spans="1:22" x14ac:dyDescent="0.3">
      <c r="A3121">
        <v>50585</v>
      </c>
      <c r="B3121">
        <v>1</v>
      </c>
      <c r="C3121" t="s">
        <v>118</v>
      </c>
      <c r="D3121" t="s">
        <v>119</v>
      </c>
      <c r="E3121" s="1">
        <v>44202</v>
      </c>
      <c r="F3121">
        <v>1</v>
      </c>
      <c r="G3121" t="s">
        <v>45</v>
      </c>
      <c r="H3121" t="s">
        <v>46</v>
      </c>
      <c r="I3121" s="3">
        <v>900</v>
      </c>
      <c r="J3121" s="3">
        <v>900</v>
      </c>
      <c r="K3121" s="3">
        <v>424</v>
      </c>
      <c r="L3121" t="s">
        <v>120</v>
      </c>
      <c r="M3121">
        <v>10</v>
      </c>
      <c r="N3121" t="s">
        <v>83</v>
      </c>
      <c r="O3121" t="s">
        <v>81</v>
      </c>
      <c r="P3121" t="s">
        <v>12</v>
      </c>
      <c r="Q3121" t="s">
        <v>13</v>
      </c>
      <c r="R3121" t="s">
        <v>13</v>
      </c>
      <c r="S3121" t="s">
        <v>144</v>
      </c>
      <c r="T3121" s="2">
        <f>MASTER[[#This Row],[CANTIDAD]]*MASTER[[#This Row],[PRECIO DE VENTA]]</f>
        <v>900</v>
      </c>
      <c r="U3121" s="2">
        <f>MASTER[[#This Row],[CANTIDAD]]*MASTER[[#This Row],[COSTO UNITARIO]]</f>
        <v>424</v>
      </c>
      <c r="V3121" s="2">
        <f>MASTER[[#This Row],[MONTO VENDIDO]]-MASTER[[#This Row],[COSTO DE VENTA]]</f>
        <v>476</v>
      </c>
    </row>
    <row r="3122" spans="1:22" x14ac:dyDescent="0.3">
      <c r="A3122">
        <v>50591</v>
      </c>
      <c r="B3122">
        <v>1</v>
      </c>
      <c r="C3122" t="s">
        <v>114</v>
      </c>
      <c r="D3122" t="s">
        <v>115</v>
      </c>
      <c r="E3122" s="1">
        <v>44202</v>
      </c>
      <c r="F3122">
        <v>1</v>
      </c>
      <c r="G3122" t="s">
        <v>59</v>
      </c>
      <c r="H3122" t="s">
        <v>60</v>
      </c>
      <c r="I3122" s="3">
        <v>2030</v>
      </c>
      <c r="J3122" s="3">
        <v>2030</v>
      </c>
      <c r="K3122" s="3">
        <v>394</v>
      </c>
      <c r="L3122" t="s">
        <v>113</v>
      </c>
      <c r="M3122">
        <v>6</v>
      </c>
      <c r="N3122" t="s">
        <v>75</v>
      </c>
      <c r="O3122" t="s">
        <v>70</v>
      </c>
      <c r="P3122" t="s">
        <v>12</v>
      </c>
      <c r="Q3122" t="s">
        <v>13</v>
      </c>
      <c r="R3122" t="s">
        <v>13</v>
      </c>
      <c r="S3122" t="s">
        <v>144</v>
      </c>
      <c r="T3122" s="2">
        <f>MASTER[[#This Row],[CANTIDAD]]*MASTER[[#This Row],[PRECIO DE VENTA]]</f>
        <v>2030</v>
      </c>
      <c r="U3122" s="2">
        <f>MASTER[[#This Row],[CANTIDAD]]*MASTER[[#This Row],[COSTO UNITARIO]]</f>
        <v>394</v>
      </c>
      <c r="V3122" s="2">
        <f>MASTER[[#This Row],[MONTO VENDIDO]]-MASTER[[#This Row],[COSTO DE VENTA]]</f>
        <v>1636</v>
      </c>
    </row>
    <row r="3123" spans="1:22" x14ac:dyDescent="0.3">
      <c r="A3123">
        <v>50593</v>
      </c>
      <c r="B3123">
        <v>1</v>
      </c>
      <c r="C3123" t="s">
        <v>92</v>
      </c>
      <c r="D3123" t="s">
        <v>93</v>
      </c>
      <c r="E3123" s="1">
        <v>44202</v>
      </c>
      <c r="F3123">
        <v>1</v>
      </c>
      <c r="G3123" t="s">
        <v>61</v>
      </c>
      <c r="H3123" t="s">
        <v>62</v>
      </c>
      <c r="I3123" s="3">
        <v>1866</v>
      </c>
      <c r="J3123" s="3">
        <v>1866</v>
      </c>
      <c r="K3123" s="3">
        <v>396</v>
      </c>
      <c r="L3123" t="s">
        <v>9</v>
      </c>
      <c r="M3123">
        <v>6</v>
      </c>
      <c r="N3123" t="s">
        <v>75</v>
      </c>
      <c r="O3123" t="s">
        <v>70</v>
      </c>
      <c r="P3123" t="s">
        <v>12</v>
      </c>
      <c r="Q3123" t="s">
        <v>13</v>
      </c>
      <c r="R3123" t="s">
        <v>13</v>
      </c>
      <c r="S3123" t="s">
        <v>144</v>
      </c>
      <c r="T3123" s="2">
        <f>MASTER[[#This Row],[CANTIDAD]]*MASTER[[#This Row],[PRECIO DE VENTA]]</f>
        <v>1866</v>
      </c>
      <c r="U3123" s="2">
        <f>MASTER[[#This Row],[CANTIDAD]]*MASTER[[#This Row],[COSTO UNITARIO]]</f>
        <v>396</v>
      </c>
      <c r="V3123" s="2">
        <f>MASTER[[#This Row],[MONTO VENDIDO]]-MASTER[[#This Row],[COSTO DE VENTA]]</f>
        <v>1470</v>
      </c>
    </row>
    <row r="3124" spans="1:22" x14ac:dyDescent="0.3">
      <c r="A3124">
        <v>50611</v>
      </c>
      <c r="B3124">
        <v>1</v>
      </c>
      <c r="C3124" t="s">
        <v>118</v>
      </c>
      <c r="D3124" t="s">
        <v>119</v>
      </c>
      <c r="E3124" s="1">
        <v>44202</v>
      </c>
      <c r="F3124">
        <v>1</v>
      </c>
      <c r="G3124" t="s">
        <v>73</v>
      </c>
      <c r="H3124" t="s">
        <v>74</v>
      </c>
      <c r="I3124" s="3">
        <v>1026</v>
      </c>
      <c r="J3124" s="3">
        <v>1026</v>
      </c>
      <c r="K3124" s="3">
        <v>424</v>
      </c>
      <c r="L3124" t="s">
        <v>120</v>
      </c>
      <c r="M3124">
        <v>1</v>
      </c>
      <c r="N3124" t="s">
        <v>77</v>
      </c>
      <c r="O3124" t="s">
        <v>70</v>
      </c>
      <c r="P3124" t="s">
        <v>71</v>
      </c>
      <c r="Q3124" t="s">
        <v>72</v>
      </c>
      <c r="R3124" t="s">
        <v>139</v>
      </c>
      <c r="S3124" t="s">
        <v>144</v>
      </c>
      <c r="T3124" s="2">
        <f>MASTER[[#This Row],[CANTIDAD]]*MASTER[[#This Row],[PRECIO DE VENTA]]</f>
        <v>1026</v>
      </c>
      <c r="U3124" s="2">
        <f>MASTER[[#This Row],[CANTIDAD]]*MASTER[[#This Row],[COSTO UNITARIO]]</f>
        <v>424</v>
      </c>
      <c r="V3124" s="2">
        <f>MASTER[[#This Row],[MONTO VENDIDO]]-MASTER[[#This Row],[COSTO DE VENTA]]</f>
        <v>602</v>
      </c>
    </row>
    <row r="3125" spans="1:22" x14ac:dyDescent="0.3">
      <c r="A3125">
        <v>50615</v>
      </c>
      <c r="B3125">
        <v>1</v>
      </c>
      <c r="C3125" t="s">
        <v>5</v>
      </c>
      <c r="D3125" t="s">
        <v>6</v>
      </c>
      <c r="E3125" s="1">
        <v>44202</v>
      </c>
      <c r="F3125">
        <v>1</v>
      </c>
      <c r="G3125" t="s">
        <v>31</v>
      </c>
      <c r="H3125" t="s">
        <v>32</v>
      </c>
      <c r="I3125" s="3">
        <v>1311</v>
      </c>
      <c r="J3125" s="3">
        <v>1311</v>
      </c>
      <c r="K3125" s="3">
        <v>393</v>
      </c>
      <c r="L3125" t="s">
        <v>9</v>
      </c>
      <c r="M3125">
        <v>11</v>
      </c>
      <c r="N3125" t="s">
        <v>10</v>
      </c>
      <c r="O3125" t="s">
        <v>11</v>
      </c>
      <c r="P3125" t="s">
        <v>12</v>
      </c>
      <c r="Q3125" t="s">
        <v>13</v>
      </c>
      <c r="R3125" t="s">
        <v>13</v>
      </c>
      <c r="S3125" t="s">
        <v>144</v>
      </c>
      <c r="T3125" s="2">
        <f>MASTER[[#This Row],[CANTIDAD]]*MASTER[[#This Row],[PRECIO DE VENTA]]</f>
        <v>1311</v>
      </c>
      <c r="U3125" s="2">
        <f>MASTER[[#This Row],[CANTIDAD]]*MASTER[[#This Row],[COSTO UNITARIO]]</f>
        <v>393</v>
      </c>
      <c r="V3125" s="2">
        <f>MASTER[[#This Row],[MONTO VENDIDO]]-MASTER[[#This Row],[COSTO DE VENTA]]</f>
        <v>918</v>
      </c>
    </row>
    <row r="3126" spans="1:22" x14ac:dyDescent="0.3">
      <c r="A3126">
        <v>50622</v>
      </c>
      <c r="B3126">
        <v>1</v>
      </c>
      <c r="C3126" t="s">
        <v>118</v>
      </c>
      <c r="D3126" t="s">
        <v>119</v>
      </c>
      <c r="E3126" s="1">
        <v>44202</v>
      </c>
      <c r="F3126">
        <v>1</v>
      </c>
      <c r="G3126" t="s">
        <v>7</v>
      </c>
      <c r="H3126" t="s">
        <v>8</v>
      </c>
      <c r="I3126" s="3">
        <v>900</v>
      </c>
      <c r="J3126" s="3">
        <v>900</v>
      </c>
      <c r="K3126" s="3">
        <v>424</v>
      </c>
      <c r="L3126" t="s">
        <v>120</v>
      </c>
      <c r="M3126">
        <v>7</v>
      </c>
      <c r="N3126" t="s">
        <v>84</v>
      </c>
      <c r="O3126" t="s">
        <v>81</v>
      </c>
      <c r="P3126" t="s">
        <v>12</v>
      </c>
      <c r="Q3126" t="s">
        <v>13</v>
      </c>
      <c r="R3126" t="s">
        <v>13</v>
      </c>
      <c r="S3126" t="s">
        <v>144</v>
      </c>
      <c r="T3126" s="2">
        <f>MASTER[[#This Row],[CANTIDAD]]*MASTER[[#This Row],[PRECIO DE VENTA]]</f>
        <v>900</v>
      </c>
      <c r="U3126" s="2">
        <f>MASTER[[#This Row],[CANTIDAD]]*MASTER[[#This Row],[COSTO UNITARIO]]</f>
        <v>424</v>
      </c>
      <c r="V3126" s="2">
        <f>MASTER[[#This Row],[MONTO VENDIDO]]-MASTER[[#This Row],[COSTO DE VENTA]]</f>
        <v>476</v>
      </c>
    </row>
    <row r="3127" spans="1:22" x14ac:dyDescent="0.3">
      <c r="A3127">
        <v>50631</v>
      </c>
      <c r="B3127">
        <v>1</v>
      </c>
      <c r="C3127" t="s">
        <v>107</v>
      </c>
      <c r="D3127" t="s">
        <v>108</v>
      </c>
      <c r="E3127" s="1">
        <v>44202</v>
      </c>
      <c r="F3127">
        <v>1</v>
      </c>
      <c r="G3127" t="s">
        <v>51</v>
      </c>
      <c r="H3127" t="s">
        <v>52</v>
      </c>
      <c r="I3127" s="3">
        <v>1440</v>
      </c>
      <c r="J3127" s="3">
        <v>1440</v>
      </c>
      <c r="K3127" s="3">
        <v>380</v>
      </c>
      <c r="L3127" t="s">
        <v>98</v>
      </c>
      <c r="M3127">
        <v>9</v>
      </c>
      <c r="N3127" t="s">
        <v>76</v>
      </c>
      <c r="O3127" t="s">
        <v>70</v>
      </c>
      <c r="P3127" t="s">
        <v>12</v>
      </c>
      <c r="Q3127" t="s">
        <v>13</v>
      </c>
      <c r="R3127" t="s">
        <v>13</v>
      </c>
      <c r="S3127" t="s">
        <v>144</v>
      </c>
      <c r="T3127" s="2">
        <f>MASTER[[#This Row],[CANTIDAD]]*MASTER[[#This Row],[PRECIO DE VENTA]]</f>
        <v>1440</v>
      </c>
      <c r="U3127" s="2">
        <f>MASTER[[#This Row],[CANTIDAD]]*MASTER[[#This Row],[COSTO UNITARIO]]</f>
        <v>380</v>
      </c>
      <c r="V3127" s="2">
        <f>MASTER[[#This Row],[MONTO VENDIDO]]-MASTER[[#This Row],[COSTO DE VENTA]]</f>
        <v>1060</v>
      </c>
    </row>
    <row r="3128" spans="1:22" x14ac:dyDescent="0.3">
      <c r="A3128">
        <v>50635</v>
      </c>
      <c r="B3128">
        <v>1</v>
      </c>
      <c r="C3128" t="s">
        <v>5</v>
      </c>
      <c r="D3128" t="s">
        <v>6</v>
      </c>
      <c r="E3128" s="1">
        <v>44202</v>
      </c>
      <c r="F3128">
        <v>1</v>
      </c>
      <c r="G3128" t="s">
        <v>45</v>
      </c>
      <c r="H3128" t="s">
        <v>46</v>
      </c>
      <c r="I3128" s="3">
        <v>1296</v>
      </c>
      <c r="J3128" s="3">
        <v>1296</v>
      </c>
      <c r="K3128" s="3">
        <v>393</v>
      </c>
      <c r="L3128" t="s">
        <v>9</v>
      </c>
      <c r="M3128">
        <v>9</v>
      </c>
      <c r="N3128" t="s">
        <v>76</v>
      </c>
      <c r="O3128" t="s">
        <v>70</v>
      </c>
      <c r="P3128" t="s">
        <v>12</v>
      </c>
      <c r="Q3128" t="s">
        <v>13</v>
      </c>
      <c r="R3128" t="s">
        <v>13</v>
      </c>
      <c r="S3128" t="s">
        <v>144</v>
      </c>
      <c r="T3128" s="2">
        <f>MASTER[[#This Row],[CANTIDAD]]*MASTER[[#This Row],[PRECIO DE VENTA]]</f>
        <v>1296</v>
      </c>
      <c r="U3128" s="2">
        <f>MASTER[[#This Row],[CANTIDAD]]*MASTER[[#This Row],[COSTO UNITARIO]]</f>
        <v>393</v>
      </c>
      <c r="V3128" s="2">
        <f>MASTER[[#This Row],[MONTO VENDIDO]]-MASTER[[#This Row],[COSTO DE VENTA]]</f>
        <v>903</v>
      </c>
    </row>
    <row r="3129" spans="1:22" x14ac:dyDescent="0.3">
      <c r="A3129">
        <v>50674</v>
      </c>
      <c r="B3129">
        <v>1</v>
      </c>
      <c r="C3129" t="s">
        <v>111</v>
      </c>
      <c r="D3129" t="s">
        <v>112</v>
      </c>
      <c r="E3129" s="1">
        <v>44202</v>
      </c>
      <c r="F3129">
        <v>3</v>
      </c>
      <c r="G3129" t="s">
        <v>73</v>
      </c>
      <c r="H3129" t="s">
        <v>74</v>
      </c>
      <c r="I3129" s="3">
        <v>1799</v>
      </c>
      <c r="J3129" s="3">
        <v>1799</v>
      </c>
      <c r="K3129" s="3">
        <v>434</v>
      </c>
      <c r="L3129" t="s">
        <v>113</v>
      </c>
      <c r="M3129">
        <v>13</v>
      </c>
      <c r="N3129" t="s">
        <v>78</v>
      </c>
      <c r="O3129" t="s">
        <v>70</v>
      </c>
      <c r="P3129" t="s">
        <v>18</v>
      </c>
      <c r="Q3129" t="s">
        <v>19</v>
      </c>
      <c r="R3129" t="s">
        <v>138</v>
      </c>
      <c r="S3129" t="s">
        <v>144</v>
      </c>
      <c r="T3129" s="2">
        <f>MASTER[[#This Row],[CANTIDAD]]*MASTER[[#This Row],[PRECIO DE VENTA]]</f>
        <v>5397</v>
      </c>
      <c r="U3129" s="2">
        <f>MASTER[[#This Row],[CANTIDAD]]*MASTER[[#This Row],[COSTO UNITARIO]]</f>
        <v>1302</v>
      </c>
      <c r="V3129" s="2">
        <f>MASTER[[#This Row],[MONTO VENDIDO]]-MASTER[[#This Row],[COSTO DE VENTA]]</f>
        <v>4095</v>
      </c>
    </row>
    <row r="3130" spans="1:22" x14ac:dyDescent="0.3">
      <c r="A3130">
        <v>50676</v>
      </c>
      <c r="B3130">
        <v>1</v>
      </c>
      <c r="C3130" t="s">
        <v>5</v>
      </c>
      <c r="D3130" t="s">
        <v>6</v>
      </c>
      <c r="E3130" s="1">
        <v>44202</v>
      </c>
      <c r="F3130">
        <v>4</v>
      </c>
      <c r="G3130" t="s">
        <v>53</v>
      </c>
      <c r="H3130" t="s">
        <v>54</v>
      </c>
      <c r="I3130" s="3">
        <v>1296</v>
      </c>
      <c r="J3130" s="3">
        <v>1296</v>
      </c>
      <c r="K3130" s="3">
        <v>393</v>
      </c>
      <c r="L3130" t="s">
        <v>9</v>
      </c>
      <c r="M3130">
        <v>18</v>
      </c>
      <c r="N3130" t="s">
        <v>79</v>
      </c>
      <c r="O3130" t="s">
        <v>70</v>
      </c>
      <c r="P3130" t="s">
        <v>15</v>
      </c>
      <c r="Q3130" t="s">
        <v>16</v>
      </c>
      <c r="R3130" t="s">
        <v>16</v>
      </c>
      <c r="S3130" t="s">
        <v>144</v>
      </c>
      <c r="T3130" s="2">
        <f>MASTER[[#This Row],[CANTIDAD]]*MASTER[[#This Row],[PRECIO DE VENTA]]</f>
        <v>5184</v>
      </c>
      <c r="U3130" s="2">
        <f>MASTER[[#This Row],[CANTIDAD]]*MASTER[[#This Row],[COSTO UNITARIO]]</f>
        <v>1572</v>
      </c>
      <c r="V3130" s="2">
        <f>MASTER[[#This Row],[MONTO VENDIDO]]-MASTER[[#This Row],[COSTO DE VENTA]]</f>
        <v>3612</v>
      </c>
    </row>
    <row r="3131" spans="1:22" x14ac:dyDescent="0.3">
      <c r="A3131">
        <v>50681</v>
      </c>
      <c r="B3131">
        <v>1</v>
      </c>
      <c r="C3131" t="s">
        <v>101</v>
      </c>
      <c r="D3131" t="s">
        <v>102</v>
      </c>
      <c r="E3131" s="1">
        <v>44202</v>
      </c>
      <c r="F3131">
        <v>2</v>
      </c>
      <c r="G3131" t="s">
        <v>39</v>
      </c>
      <c r="H3131" t="s">
        <v>40</v>
      </c>
      <c r="I3131" s="3">
        <v>1054</v>
      </c>
      <c r="J3131" s="3">
        <v>1054</v>
      </c>
      <c r="K3131" s="3">
        <v>442</v>
      </c>
      <c r="L3131" t="s">
        <v>98</v>
      </c>
      <c r="M3131">
        <v>12</v>
      </c>
      <c r="N3131" t="s">
        <v>26</v>
      </c>
      <c r="O3131" t="s">
        <v>11</v>
      </c>
      <c r="P3131" t="s">
        <v>12</v>
      </c>
      <c r="Q3131" t="s">
        <v>13</v>
      </c>
      <c r="R3131" t="s">
        <v>13</v>
      </c>
      <c r="S3131" t="s">
        <v>144</v>
      </c>
      <c r="T3131" s="2">
        <f>MASTER[[#This Row],[CANTIDAD]]*MASTER[[#This Row],[PRECIO DE VENTA]]</f>
        <v>2108</v>
      </c>
      <c r="U3131" s="2">
        <f>MASTER[[#This Row],[CANTIDAD]]*MASTER[[#This Row],[COSTO UNITARIO]]</f>
        <v>884</v>
      </c>
      <c r="V3131" s="2">
        <f>MASTER[[#This Row],[MONTO VENDIDO]]-MASTER[[#This Row],[COSTO DE VENTA]]</f>
        <v>1224</v>
      </c>
    </row>
    <row r="3132" spans="1:22" x14ac:dyDescent="0.3">
      <c r="A3132">
        <v>50691</v>
      </c>
      <c r="B3132">
        <v>1</v>
      </c>
      <c r="C3132" t="s">
        <v>111</v>
      </c>
      <c r="D3132" t="s">
        <v>112</v>
      </c>
      <c r="E3132" s="1">
        <v>44202</v>
      </c>
      <c r="F3132">
        <v>1</v>
      </c>
      <c r="G3132" t="s">
        <v>49</v>
      </c>
      <c r="H3132" t="s">
        <v>50</v>
      </c>
      <c r="I3132" s="3">
        <v>1799</v>
      </c>
      <c r="J3132" s="3">
        <v>1799</v>
      </c>
      <c r="K3132" s="3">
        <v>434</v>
      </c>
      <c r="L3132" t="s">
        <v>113</v>
      </c>
      <c r="M3132">
        <v>9</v>
      </c>
      <c r="N3132" t="s">
        <v>76</v>
      </c>
      <c r="O3132" t="s">
        <v>70</v>
      </c>
      <c r="P3132" t="s">
        <v>12</v>
      </c>
      <c r="Q3132" t="s">
        <v>13</v>
      </c>
      <c r="R3132" t="s">
        <v>13</v>
      </c>
      <c r="S3132" t="s">
        <v>144</v>
      </c>
      <c r="T3132" s="2">
        <f>MASTER[[#This Row],[CANTIDAD]]*MASTER[[#This Row],[PRECIO DE VENTA]]</f>
        <v>1799</v>
      </c>
      <c r="U3132" s="2">
        <f>MASTER[[#This Row],[CANTIDAD]]*MASTER[[#This Row],[COSTO UNITARIO]]</f>
        <v>434</v>
      </c>
      <c r="V3132" s="2">
        <f>MASTER[[#This Row],[MONTO VENDIDO]]-MASTER[[#This Row],[COSTO DE VENTA]]</f>
        <v>1365</v>
      </c>
    </row>
    <row r="3133" spans="1:22" x14ac:dyDescent="0.3">
      <c r="A3133">
        <v>50696</v>
      </c>
      <c r="B3133">
        <v>1</v>
      </c>
      <c r="C3133" t="s">
        <v>118</v>
      </c>
      <c r="D3133" t="s">
        <v>119</v>
      </c>
      <c r="E3133" s="1">
        <v>44202</v>
      </c>
      <c r="F3133">
        <v>1</v>
      </c>
      <c r="G3133" t="s">
        <v>41</v>
      </c>
      <c r="H3133" t="s">
        <v>42</v>
      </c>
      <c r="I3133" s="3">
        <v>801</v>
      </c>
      <c r="J3133" s="3">
        <v>801</v>
      </c>
      <c r="K3133" s="3">
        <v>424</v>
      </c>
      <c r="L3133" t="s">
        <v>120</v>
      </c>
      <c r="M3133">
        <v>16</v>
      </c>
      <c r="N3133" t="s">
        <v>17</v>
      </c>
      <c r="O3133" t="s">
        <v>11</v>
      </c>
      <c r="P3133" t="s">
        <v>18</v>
      </c>
      <c r="Q3133" t="s">
        <v>19</v>
      </c>
      <c r="R3133" t="s">
        <v>138</v>
      </c>
      <c r="S3133" t="s">
        <v>144</v>
      </c>
      <c r="T3133" s="2">
        <f>MASTER[[#This Row],[CANTIDAD]]*MASTER[[#This Row],[PRECIO DE VENTA]]</f>
        <v>801</v>
      </c>
      <c r="U3133" s="2">
        <f>MASTER[[#This Row],[CANTIDAD]]*MASTER[[#This Row],[COSTO UNITARIO]]</f>
        <v>424</v>
      </c>
      <c r="V3133" s="2">
        <f>MASTER[[#This Row],[MONTO VENDIDO]]-MASTER[[#This Row],[COSTO DE VENTA]]</f>
        <v>377</v>
      </c>
    </row>
    <row r="3134" spans="1:22" x14ac:dyDescent="0.3">
      <c r="A3134">
        <v>50697</v>
      </c>
      <c r="B3134">
        <v>1</v>
      </c>
      <c r="C3134" t="s">
        <v>101</v>
      </c>
      <c r="D3134" t="s">
        <v>102</v>
      </c>
      <c r="E3134" s="1">
        <v>44203</v>
      </c>
      <c r="F3134">
        <v>1</v>
      </c>
      <c r="G3134" t="s">
        <v>27</v>
      </c>
      <c r="H3134" t="s">
        <v>28</v>
      </c>
      <c r="I3134" s="3">
        <v>1212</v>
      </c>
      <c r="J3134" s="3">
        <v>1212</v>
      </c>
      <c r="K3134" s="3">
        <v>442</v>
      </c>
      <c r="L3134" t="s">
        <v>98</v>
      </c>
      <c r="M3134">
        <v>10</v>
      </c>
      <c r="N3134" t="s">
        <v>83</v>
      </c>
      <c r="O3134" t="s">
        <v>81</v>
      </c>
      <c r="P3134" t="s">
        <v>12</v>
      </c>
      <c r="Q3134" t="s">
        <v>13</v>
      </c>
      <c r="R3134" t="s">
        <v>13</v>
      </c>
      <c r="S3134" t="s">
        <v>144</v>
      </c>
      <c r="T3134" s="2">
        <f>MASTER[[#This Row],[CANTIDAD]]*MASTER[[#This Row],[PRECIO DE VENTA]]</f>
        <v>1212</v>
      </c>
      <c r="U3134" s="2">
        <f>MASTER[[#This Row],[CANTIDAD]]*MASTER[[#This Row],[COSTO UNITARIO]]</f>
        <v>442</v>
      </c>
      <c r="V3134" s="2">
        <f>MASTER[[#This Row],[MONTO VENDIDO]]-MASTER[[#This Row],[COSTO DE VENTA]]</f>
        <v>770</v>
      </c>
    </row>
    <row r="3135" spans="1:22" x14ac:dyDescent="0.3">
      <c r="A3135">
        <v>50715</v>
      </c>
      <c r="B3135">
        <v>1</v>
      </c>
      <c r="C3135" t="s">
        <v>99</v>
      </c>
      <c r="D3135" t="s">
        <v>100</v>
      </c>
      <c r="E3135" s="1">
        <v>44203</v>
      </c>
      <c r="F3135">
        <v>1</v>
      </c>
      <c r="G3135" t="s">
        <v>22</v>
      </c>
      <c r="H3135" t="s">
        <v>23</v>
      </c>
      <c r="I3135" s="3">
        <v>1678</v>
      </c>
      <c r="J3135" s="3">
        <v>1678</v>
      </c>
      <c r="K3135" s="3">
        <v>386</v>
      </c>
      <c r="L3135" t="s">
        <v>98</v>
      </c>
      <c r="M3135">
        <v>13</v>
      </c>
      <c r="N3135" t="s">
        <v>78</v>
      </c>
      <c r="O3135" t="s">
        <v>70</v>
      </c>
      <c r="P3135" t="s">
        <v>18</v>
      </c>
      <c r="Q3135" t="s">
        <v>19</v>
      </c>
      <c r="R3135" t="s">
        <v>138</v>
      </c>
      <c r="S3135" t="s">
        <v>144</v>
      </c>
      <c r="T3135" s="2">
        <f>MASTER[[#This Row],[CANTIDAD]]*MASTER[[#This Row],[PRECIO DE VENTA]]</f>
        <v>1678</v>
      </c>
      <c r="U3135" s="2">
        <f>MASTER[[#This Row],[CANTIDAD]]*MASTER[[#This Row],[COSTO UNITARIO]]</f>
        <v>386</v>
      </c>
      <c r="V3135" s="2">
        <f>MASTER[[#This Row],[MONTO VENDIDO]]-MASTER[[#This Row],[COSTO DE VENTA]]</f>
        <v>1292</v>
      </c>
    </row>
    <row r="3136" spans="1:22" x14ac:dyDescent="0.3">
      <c r="A3136">
        <v>50720</v>
      </c>
      <c r="B3136">
        <v>1</v>
      </c>
      <c r="C3136" t="s">
        <v>105</v>
      </c>
      <c r="D3136" t="s">
        <v>106</v>
      </c>
      <c r="E3136" s="1">
        <v>44203</v>
      </c>
      <c r="F3136">
        <v>1</v>
      </c>
      <c r="G3136" t="s">
        <v>57</v>
      </c>
      <c r="H3136" t="s">
        <v>58</v>
      </c>
      <c r="I3136" s="3">
        <v>1865</v>
      </c>
      <c r="J3136" s="3">
        <v>1865</v>
      </c>
      <c r="K3136" s="3">
        <v>459</v>
      </c>
      <c r="L3136" t="s">
        <v>98</v>
      </c>
      <c r="M3136">
        <v>2</v>
      </c>
      <c r="N3136" t="s">
        <v>86</v>
      </c>
      <c r="O3136" t="s">
        <v>81</v>
      </c>
      <c r="P3136" t="s">
        <v>71</v>
      </c>
      <c r="Q3136" t="s">
        <v>72</v>
      </c>
      <c r="R3136" t="s">
        <v>139</v>
      </c>
      <c r="S3136" t="s">
        <v>144</v>
      </c>
      <c r="T3136" s="2">
        <f>MASTER[[#This Row],[CANTIDAD]]*MASTER[[#This Row],[PRECIO DE VENTA]]</f>
        <v>1865</v>
      </c>
      <c r="U3136" s="2">
        <f>MASTER[[#This Row],[CANTIDAD]]*MASTER[[#This Row],[COSTO UNITARIO]]</f>
        <v>459</v>
      </c>
      <c r="V3136" s="2">
        <f>MASTER[[#This Row],[MONTO VENDIDO]]-MASTER[[#This Row],[COSTO DE VENTA]]</f>
        <v>1406</v>
      </c>
    </row>
    <row r="3137" spans="1:22" x14ac:dyDescent="0.3">
      <c r="A3137">
        <v>50731</v>
      </c>
      <c r="B3137">
        <v>1</v>
      </c>
      <c r="C3137" t="s">
        <v>103</v>
      </c>
      <c r="D3137" t="s">
        <v>104</v>
      </c>
      <c r="E3137" s="1">
        <v>44203</v>
      </c>
      <c r="F3137">
        <v>1</v>
      </c>
      <c r="G3137" t="s">
        <v>20</v>
      </c>
      <c r="H3137" t="s">
        <v>21</v>
      </c>
      <c r="I3137" s="3">
        <v>1830</v>
      </c>
      <c r="J3137" s="3">
        <v>1830</v>
      </c>
      <c r="K3137" s="3">
        <v>421</v>
      </c>
      <c r="L3137" t="s">
        <v>98</v>
      </c>
      <c r="M3137">
        <v>18</v>
      </c>
      <c r="N3137" t="s">
        <v>79</v>
      </c>
      <c r="O3137" t="s">
        <v>70</v>
      </c>
      <c r="P3137" t="s">
        <v>15</v>
      </c>
      <c r="Q3137" t="s">
        <v>16</v>
      </c>
      <c r="R3137" t="s">
        <v>16</v>
      </c>
      <c r="S3137" t="s">
        <v>144</v>
      </c>
      <c r="T3137" s="2">
        <f>MASTER[[#This Row],[CANTIDAD]]*MASTER[[#This Row],[PRECIO DE VENTA]]</f>
        <v>1830</v>
      </c>
      <c r="U3137" s="2">
        <f>MASTER[[#This Row],[CANTIDAD]]*MASTER[[#This Row],[COSTO UNITARIO]]</f>
        <v>421</v>
      </c>
      <c r="V3137" s="2">
        <f>MASTER[[#This Row],[MONTO VENDIDO]]-MASTER[[#This Row],[COSTO DE VENTA]]</f>
        <v>1409</v>
      </c>
    </row>
    <row r="3138" spans="1:22" x14ac:dyDescent="0.3">
      <c r="A3138">
        <v>50732</v>
      </c>
      <c r="B3138">
        <v>1</v>
      </c>
      <c r="C3138" t="s">
        <v>96</v>
      </c>
      <c r="D3138" t="s">
        <v>97</v>
      </c>
      <c r="E3138" s="1">
        <v>44203</v>
      </c>
      <c r="F3138">
        <v>1</v>
      </c>
      <c r="G3138" t="s">
        <v>27</v>
      </c>
      <c r="H3138" t="s">
        <v>28</v>
      </c>
      <c r="I3138" s="3">
        <v>1196</v>
      </c>
      <c r="J3138" s="3">
        <v>1196</v>
      </c>
      <c r="K3138" s="3">
        <v>397</v>
      </c>
      <c r="L3138" t="s">
        <v>98</v>
      </c>
      <c r="M3138">
        <v>17</v>
      </c>
      <c r="N3138" t="s">
        <v>14</v>
      </c>
      <c r="O3138" t="s">
        <v>11</v>
      </c>
      <c r="P3138" t="s">
        <v>15</v>
      </c>
      <c r="Q3138" t="s">
        <v>16</v>
      </c>
      <c r="R3138" t="s">
        <v>16</v>
      </c>
      <c r="S3138" t="s">
        <v>144</v>
      </c>
      <c r="T3138" s="2">
        <f>MASTER[[#This Row],[CANTIDAD]]*MASTER[[#This Row],[PRECIO DE VENTA]]</f>
        <v>1196</v>
      </c>
      <c r="U3138" s="2">
        <f>MASTER[[#This Row],[CANTIDAD]]*MASTER[[#This Row],[COSTO UNITARIO]]</f>
        <v>397</v>
      </c>
      <c r="V3138" s="2">
        <f>MASTER[[#This Row],[MONTO VENDIDO]]-MASTER[[#This Row],[COSTO DE VENTA]]</f>
        <v>799</v>
      </c>
    </row>
    <row r="3139" spans="1:22" x14ac:dyDescent="0.3">
      <c r="A3139">
        <v>50740</v>
      </c>
      <c r="B3139">
        <v>1</v>
      </c>
      <c r="C3139" t="s">
        <v>107</v>
      </c>
      <c r="D3139" t="s">
        <v>108</v>
      </c>
      <c r="E3139" s="1">
        <v>44203</v>
      </c>
      <c r="F3139">
        <v>1</v>
      </c>
      <c r="G3139" t="s">
        <v>65</v>
      </c>
      <c r="H3139" t="s">
        <v>66</v>
      </c>
      <c r="I3139" s="3">
        <v>1240</v>
      </c>
      <c r="J3139" s="3">
        <v>1240</v>
      </c>
      <c r="K3139" s="3">
        <v>380</v>
      </c>
      <c r="L3139" t="s">
        <v>98</v>
      </c>
      <c r="M3139">
        <v>11</v>
      </c>
      <c r="N3139" t="s">
        <v>10</v>
      </c>
      <c r="O3139" t="s">
        <v>11</v>
      </c>
      <c r="P3139" t="s">
        <v>12</v>
      </c>
      <c r="Q3139" t="s">
        <v>13</v>
      </c>
      <c r="R3139" t="s">
        <v>13</v>
      </c>
      <c r="S3139" t="s">
        <v>144</v>
      </c>
      <c r="T3139" s="2">
        <f>MASTER[[#This Row],[CANTIDAD]]*MASTER[[#This Row],[PRECIO DE VENTA]]</f>
        <v>1240</v>
      </c>
      <c r="U3139" s="2">
        <f>MASTER[[#This Row],[CANTIDAD]]*MASTER[[#This Row],[COSTO UNITARIO]]</f>
        <v>380</v>
      </c>
      <c r="V3139" s="2">
        <f>MASTER[[#This Row],[MONTO VENDIDO]]-MASTER[[#This Row],[COSTO DE VENTA]]</f>
        <v>860</v>
      </c>
    </row>
    <row r="3140" spans="1:22" x14ac:dyDescent="0.3">
      <c r="A3140">
        <v>50742</v>
      </c>
      <c r="B3140">
        <v>1</v>
      </c>
      <c r="C3140" t="s">
        <v>94</v>
      </c>
      <c r="D3140" t="s">
        <v>95</v>
      </c>
      <c r="E3140" s="1">
        <v>44203</v>
      </c>
      <c r="F3140">
        <v>4</v>
      </c>
      <c r="G3140" t="s">
        <v>61</v>
      </c>
      <c r="H3140" t="s">
        <v>62</v>
      </c>
      <c r="I3140" s="3">
        <v>1048</v>
      </c>
      <c r="J3140" s="3">
        <v>1048</v>
      </c>
      <c r="K3140" s="3">
        <v>392</v>
      </c>
      <c r="L3140" t="s">
        <v>9</v>
      </c>
      <c r="M3140">
        <v>14</v>
      </c>
      <c r="N3140" t="s">
        <v>87</v>
      </c>
      <c r="O3140" t="s">
        <v>81</v>
      </c>
      <c r="P3140" t="s">
        <v>18</v>
      </c>
      <c r="Q3140" t="s">
        <v>19</v>
      </c>
      <c r="R3140" t="s">
        <v>138</v>
      </c>
      <c r="S3140" t="s">
        <v>144</v>
      </c>
      <c r="T3140" s="2">
        <f>MASTER[[#This Row],[CANTIDAD]]*MASTER[[#This Row],[PRECIO DE VENTA]]</f>
        <v>4192</v>
      </c>
      <c r="U3140" s="2">
        <f>MASTER[[#This Row],[CANTIDAD]]*MASTER[[#This Row],[COSTO UNITARIO]]</f>
        <v>1568</v>
      </c>
      <c r="V3140" s="2">
        <f>MASTER[[#This Row],[MONTO VENDIDO]]-MASTER[[#This Row],[COSTO DE VENTA]]</f>
        <v>2624</v>
      </c>
    </row>
    <row r="3141" spans="1:22" x14ac:dyDescent="0.3">
      <c r="A3141">
        <v>50746</v>
      </c>
      <c r="B3141">
        <v>2</v>
      </c>
      <c r="C3141" t="s">
        <v>5</v>
      </c>
      <c r="D3141" t="s">
        <v>6</v>
      </c>
      <c r="E3141" s="1">
        <v>44203</v>
      </c>
      <c r="F3141">
        <v>1</v>
      </c>
      <c r="G3141" t="s">
        <v>33</v>
      </c>
      <c r="H3141" t="s">
        <v>34</v>
      </c>
      <c r="I3141" s="3">
        <v>1311</v>
      </c>
      <c r="J3141" s="3">
        <v>1311</v>
      </c>
      <c r="K3141" s="3">
        <v>393</v>
      </c>
      <c r="L3141" t="s">
        <v>9</v>
      </c>
      <c r="M3141">
        <v>11</v>
      </c>
      <c r="N3141" t="s">
        <v>10</v>
      </c>
      <c r="O3141" t="s">
        <v>11</v>
      </c>
      <c r="P3141" t="s">
        <v>12</v>
      </c>
      <c r="Q3141" t="s">
        <v>13</v>
      </c>
      <c r="R3141" t="s">
        <v>13</v>
      </c>
      <c r="S3141" t="s">
        <v>144</v>
      </c>
      <c r="T3141" s="2">
        <f>MASTER[[#This Row],[CANTIDAD]]*MASTER[[#This Row],[PRECIO DE VENTA]]</f>
        <v>1311</v>
      </c>
      <c r="U3141" s="2">
        <f>MASTER[[#This Row],[CANTIDAD]]*MASTER[[#This Row],[COSTO UNITARIO]]</f>
        <v>393</v>
      </c>
      <c r="V3141" s="2">
        <f>MASTER[[#This Row],[MONTO VENDIDO]]-MASTER[[#This Row],[COSTO DE VENTA]]</f>
        <v>918</v>
      </c>
    </row>
    <row r="3142" spans="1:22" x14ac:dyDescent="0.3">
      <c r="A3142">
        <v>50746</v>
      </c>
      <c r="B3142">
        <v>1</v>
      </c>
      <c r="C3142" t="s">
        <v>118</v>
      </c>
      <c r="D3142" t="s">
        <v>119</v>
      </c>
      <c r="E3142" s="1">
        <v>44203</v>
      </c>
      <c r="F3142">
        <v>1</v>
      </c>
      <c r="G3142" t="s">
        <v>59</v>
      </c>
      <c r="H3142" t="s">
        <v>60</v>
      </c>
      <c r="I3142" s="3">
        <v>801</v>
      </c>
      <c r="J3142" s="3">
        <v>801</v>
      </c>
      <c r="K3142" s="3">
        <v>424</v>
      </c>
      <c r="L3142" t="s">
        <v>120</v>
      </c>
      <c r="M3142">
        <v>11</v>
      </c>
      <c r="N3142" t="s">
        <v>10</v>
      </c>
      <c r="O3142" t="s">
        <v>11</v>
      </c>
      <c r="P3142" t="s">
        <v>12</v>
      </c>
      <c r="Q3142" t="s">
        <v>13</v>
      </c>
      <c r="R3142" t="s">
        <v>13</v>
      </c>
      <c r="S3142" t="s">
        <v>144</v>
      </c>
      <c r="T3142" s="2">
        <f>MASTER[[#This Row],[CANTIDAD]]*MASTER[[#This Row],[PRECIO DE VENTA]]</f>
        <v>801</v>
      </c>
      <c r="U3142" s="2">
        <f>MASTER[[#This Row],[CANTIDAD]]*MASTER[[#This Row],[COSTO UNITARIO]]</f>
        <v>424</v>
      </c>
      <c r="V3142" s="2">
        <f>MASTER[[#This Row],[MONTO VENDIDO]]-MASTER[[#This Row],[COSTO DE VENTA]]</f>
        <v>377</v>
      </c>
    </row>
    <row r="3143" spans="1:22" x14ac:dyDescent="0.3">
      <c r="A3143">
        <v>50772</v>
      </c>
      <c r="B3143">
        <v>1</v>
      </c>
      <c r="C3143" t="s">
        <v>5</v>
      </c>
      <c r="D3143" t="s">
        <v>6</v>
      </c>
      <c r="E3143" s="1">
        <v>44203</v>
      </c>
      <c r="F3143">
        <v>1</v>
      </c>
      <c r="G3143" t="s">
        <v>20</v>
      </c>
      <c r="H3143" t="s">
        <v>21</v>
      </c>
      <c r="I3143" s="3">
        <v>1296</v>
      </c>
      <c r="J3143" s="3">
        <v>1296</v>
      </c>
      <c r="K3143" s="3">
        <v>393</v>
      </c>
      <c r="L3143" t="s">
        <v>9</v>
      </c>
      <c r="M3143">
        <v>3</v>
      </c>
      <c r="N3143" t="s">
        <v>69</v>
      </c>
      <c r="O3143" t="s">
        <v>70</v>
      </c>
      <c r="P3143" t="s">
        <v>71</v>
      </c>
      <c r="Q3143" t="s">
        <v>72</v>
      </c>
      <c r="R3143" t="s">
        <v>139</v>
      </c>
      <c r="S3143" t="s">
        <v>144</v>
      </c>
      <c r="T3143" s="2">
        <f>MASTER[[#This Row],[CANTIDAD]]*MASTER[[#This Row],[PRECIO DE VENTA]]</f>
        <v>1296</v>
      </c>
      <c r="U3143" s="2">
        <f>MASTER[[#This Row],[CANTIDAD]]*MASTER[[#This Row],[COSTO UNITARIO]]</f>
        <v>393</v>
      </c>
      <c r="V3143" s="2">
        <f>MASTER[[#This Row],[MONTO VENDIDO]]-MASTER[[#This Row],[COSTO DE VENTA]]</f>
        <v>903</v>
      </c>
    </row>
    <row r="3144" spans="1:22" x14ac:dyDescent="0.3">
      <c r="A3144">
        <v>50777</v>
      </c>
      <c r="B3144">
        <v>1</v>
      </c>
      <c r="C3144" t="s">
        <v>109</v>
      </c>
      <c r="D3144" t="s">
        <v>110</v>
      </c>
      <c r="E3144" s="1">
        <v>44203</v>
      </c>
      <c r="F3144">
        <v>1</v>
      </c>
      <c r="G3144" t="s">
        <v>33</v>
      </c>
      <c r="H3144" t="s">
        <v>34</v>
      </c>
      <c r="I3144" s="3">
        <v>1064</v>
      </c>
      <c r="J3144" s="3">
        <v>968</v>
      </c>
      <c r="K3144" s="3">
        <v>387</v>
      </c>
      <c r="L3144" t="s">
        <v>98</v>
      </c>
      <c r="M3144">
        <v>15</v>
      </c>
      <c r="N3144" t="s">
        <v>88</v>
      </c>
      <c r="O3144" t="s">
        <v>81</v>
      </c>
      <c r="P3144" t="s">
        <v>18</v>
      </c>
      <c r="Q3144" t="s">
        <v>19</v>
      </c>
      <c r="R3144" t="s">
        <v>138</v>
      </c>
      <c r="S3144" t="s">
        <v>144</v>
      </c>
      <c r="T3144" s="2">
        <f>MASTER[[#This Row],[CANTIDAD]]*MASTER[[#This Row],[PRECIO DE VENTA]]</f>
        <v>968</v>
      </c>
      <c r="U3144" s="2">
        <f>MASTER[[#This Row],[CANTIDAD]]*MASTER[[#This Row],[COSTO UNITARIO]]</f>
        <v>387</v>
      </c>
      <c r="V3144" s="2">
        <f>MASTER[[#This Row],[MONTO VENDIDO]]-MASTER[[#This Row],[COSTO DE VENTA]]</f>
        <v>581</v>
      </c>
    </row>
    <row r="3145" spans="1:22" x14ac:dyDescent="0.3">
      <c r="A3145">
        <v>50779</v>
      </c>
      <c r="B3145">
        <v>1</v>
      </c>
      <c r="C3145" t="s">
        <v>111</v>
      </c>
      <c r="D3145" t="s">
        <v>112</v>
      </c>
      <c r="E3145" s="1">
        <v>44203</v>
      </c>
      <c r="F3145">
        <v>3</v>
      </c>
      <c r="G3145" t="s">
        <v>43</v>
      </c>
      <c r="H3145" t="s">
        <v>44</v>
      </c>
      <c r="I3145" s="3">
        <v>1799</v>
      </c>
      <c r="J3145" s="3">
        <v>1799</v>
      </c>
      <c r="K3145" s="3">
        <v>434</v>
      </c>
      <c r="L3145" t="s">
        <v>113</v>
      </c>
      <c r="M3145">
        <v>13</v>
      </c>
      <c r="N3145" t="s">
        <v>78</v>
      </c>
      <c r="O3145" t="s">
        <v>70</v>
      </c>
      <c r="P3145" t="s">
        <v>18</v>
      </c>
      <c r="Q3145" t="s">
        <v>19</v>
      </c>
      <c r="R3145" t="s">
        <v>138</v>
      </c>
      <c r="S3145" t="s">
        <v>144</v>
      </c>
      <c r="T3145" s="2">
        <f>MASTER[[#This Row],[CANTIDAD]]*MASTER[[#This Row],[PRECIO DE VENTA]]</f>
        <v>5397</v>
      </c>
      <c r="U3145" s="2">
        <f>MASTER[[#This Row],[CANTIDAD]]*MASTER[[#This Row],[COSTO UNITARIO]]</f>
        <v>1302</v>
      </c>
      <c r="V3145" s="2">
        <f>MASTER[[#This Row],[MONTO VENDIDO]]-MASTER[[#This Row],[COSTO DE VENTA]]</f>
        <v>4095</v>
      </c>
    </row>
    <row r="3146" spans="1:22" x14ac:dyDescent="0.3">
      <c r="A3146">
        <v>50786</v>
      </c>
      <c r="B3146">
        <v>1</v>
      </c>
      <c r="C3146" t="s">
        <v>101</v>
      </c>
      <c r="D3146" t="s">
        <v>102</v>
      </c>
      <c r="E3146" s="1">
        <v>44204</v>
      </c>
      <c r="F3146">
        <v>1</v>
      </c>
      <c r="G3146" t="s">
        <v>27</v>
      </c>
      <c r="H3146" t="s">
        <v>28</v>
      </c>
      <c r="I3146" s="3">
        <v>1357</v>
      </c>
      <c r="J3146" s="3">
        <v>1357</v>
      </c>
      <c r="K3146" s="3">
        <v>442</v>
      </c>
      <c r="L3146" t="s">
        <v>98</v>
      </c>
      <c r="M3146">
        <v>9</v>
      </c>
      <c r="N3146" t="s">
        <v>76</v>
      </c>
      <c r="O3146" t="s">
        <v>70</v>
      </c>
      <c r="P3146" t="s">
        <v>12</v>
      </c>
      <c r="Q3146" t="s">
        <v>13</v>
      </c>
      <c r="R3146" t="s">
        <v>13</v>
      </c>
      <c r="S3146" t="s">
        <v>144</v>
      </c>
      <c r="T3146" s="2">
        <f>MASTER[[#This Row],[CANTIDAD]]*MASTER[[#This Row],[PRECIO DE VENTA]]</f>
        <v>1357</v>
      </c>
      <c r="U3146" s="2">
        <f>MASTER[[#This Row],[CANTIDAD]]*MASTER[[#This Row],[COSTO UNITARIO]]</f>
        <v>442</v>
      </c>
      <c r="V3146" s="2">
        <f>MASTER[[#This Row],[MONTO VENDIDO]]-MASTER[[#This Row],[COSTO DE VENTA]]</f>
        <v>915</v>
      </c>
    </row>
    <row r="3147" spans="1:22" x14ac:dyDescent="0.3">
      <c r="A3147">
        <v>50794</v>
      </c>
      <c r="B3147">
        <v>1</v>
      </c>
      <c r="C3147" t="s">
        <v>107</v>
      </c>
      <c r="D3147" t="s">
        <v>108</v>
      </c>
      <c r="E3147" s="1">
        <v>44204</v>
      </c>
      <c r="F3147">
        <v>1</v>
      </c>
      <c r="G3147" t="s">
        <v>43</v>
      </c>
      <c r="H3147" t="s">
        <v>44</v>
      </c>
      <c r="I3147" s="3">
        <v>1440</v>
      </c>
      <c r="J3147" s="3">
        <v>1440</v>
      </c>
      <c r="K3147" s="3">
        <v>380</v>
      </c>
      <c r="L3147" t="s">
        <v>98</v>
      </c>
      <c r="M3147">
        <v>13</v>
      </c>
      <c r="N3147" t="s">
        <v>78</v>
      </c>
      <c r="O3147" t="s">
        <v>70</v>
      </c>
      <c r="P3147" t="s">
        <v>18</v>
      </c>
      <c r="Q3147" t="s">
        <v>19</v>
      </c>
      <c r="R3147" t="s">
        <v>138</v>
      </c>
      <c r="S3147" t="s">
        <v>144</v>
      </c>
      <c r="T3147" s="2">
        <f>MASTER[[#This Row],[CANTIDAD]]*MASTER[[#This Row],[PRECIO DE VENTA]]</f>
        <v>1440</v>
      </c>
      <c r="U3147" s="2">
        <f>MASTER[[#This Row],[CANTIDAD]]*MASTER[[#This Row],[COSTO UNITARIO]]</f>
        <v>380</v>
      </c>
      <c r="V3147" s="2">
        <f>MASTER[[#This Row],[MONTO VENDIDO]]-MASTER[[#This Row],[COSTO DE VENTA]]</f>
        <v>1060</v>
      </c>
    </row>
    <row r="3148" spans="1:22" x14ac:dyDescent="0.3">
      <c r="A3148">
        <v>50830</v>
      </c>
      <c r="B3148">
        <v>1</v>
      </c>
      <c r="C3148" t="s">
        <v>121</v>
      </c>
      <c r="D3148" t="s">
        <v>122</v>
      </c>
      <c r="E3148" s="1">
        <v>44204</v>
      </c>
      <c r="F3148">
        <v>1</v>
      </c>
      <c r="G3148" t="s">
        <v>20</v>
      </c>
      <c r="H3148" t="s">
        <v>21</v>
      </c>
      <c r="I3148" s="3">
        <v>1144</v>
      </c>
      <c r="J3148" s="3">
        <v>1144</v>
      </c>
      <c r="K3148" s="3">
        <v>460</v>
      </c>
      <c r="L3148" t="s">
        <v>120</v>
      </c>
      <c r="M3148">
        <v>1</v>
      </c>
      <c r="N3148" t="s">
        <v>77</v>
      </c>
      <c r="O3148" t="s">
        <v>70</v>
      </c>
      <c r="P3148" t="s">
        <v>71</v>
      </c>
      <c r="Q3148" t="s">
        <v>72</v>
      </c>
      <c r="R3148" t="s">
        <v>139</v>
      </c>
      <c r="S3148" t="s">
        <v>144</v>
      </c>
      <c r="T3148" s="2">
        <f>MASTER[[#This Row],[CANTIDAD]]*MASTER[[#This Row],[PRECIO DE VENTA]]</f>
        <v>1144</v>
      </c>
      <c r="U3148" s="2">
        <f>MASTER[[#This Row],[CANTIDAD]]*MASTER[[#This Row],[COSTO UNITARIO]]</f>
        <v>460</v>
      </c>
      <c r="V3148" s="2">
        <f>MASTER[[#This Row],[MONTO VENDIDO]]-MASTER[[#This Row],[COSTO DE VENTA]]</f>
        <v>684</v>
      </c>
    </row>
    <row r="3149" spans="1:22" x14ac:dyDescent="0.3">
      <c r="A3149">
        <v>50835</v>
      </c>
      <c r="B3149">
        <v>1</v>
      </c>
      <c r="C3149" t="s">
        <v>116</v>
      </c>
      <c r="D3149" t="s">
        <v>117</v>
      </c>
      <c r="E3149" s="1">
        <v>44204</v>
      </c>
      <c r="F3149">
        <v>1</v>
      </c>
      <c r="G3149" t="s">
        <v>63</v>
      </c>
      <c r="H3149" t="s">
        <v>64</v>
      </c>
      <c r="I3149" s="3">
        <v>1529</v>
      </c>
      <c r="J3149" s="3">
        <v>1437</v>
      </c>
      <c r="K3149" s="3">
        <v>388</v>
      </c>
      <c r="L3149" t="s">
        <v>113</v>
      </c>
      <c r="M3149">
        <v>16</v>
      </c>
      <c r="N3149" t="s">
        <v>17</v>
      </c>
      <c r="O3149" t="s">
        <v>11</v>
      </c>
      <c r="P3149" t="s">
        <v>18</v>
      </c>
      <c r="Q3149" t="s">
        <v>19</v>
      </c>
      <c r="R3149" t="s">
        <v>138</v>
      </c>
      <c r="S3149" t="s">
        <v>144</v>
      </c>
      <c r="T3149" s="2">
        <f>MASTER[[#This Row],[CANTIDAD]]*MASTER[[#This Row],[PRECIO DE VENTA]]</f>
        <v>1437</v>
      </c>
      <c r="U3149" s="2">
        <f>MASTER[[#This Row],[CANTIDAD]]*MASTER[[#This Row],[COSTO UNITARIO]]</f>
        <v>388</v>
      </c>
      <c r="V3149" s="2">
        <f>MASTER[[#This Row],[MONTO VENDIDO]]-MASTER[[#This Row],[COSTO DE VENTA]]</f>
        <v>1049</v>
      </c>
    </row>
    <row r="3150" spans="1:22" x14ac:dyDescent="0.3">
      <c r="A3150">
        <v>50837</v>
      </c>
      <c r="B3150">
        <v>1</v>
      </c>
      <c r="C3150" t="s">
        <v>118</v>
      </c>
      <c r="D3150" t="s">
        <v>119</v>
      </c>
      <c r="E3150" s="1">
        <v>44204</v>
      </c>
      <c r="F3150">
        <v>1</v>
      </c>
      <c r="G3150" t="s">
        <v>43</v>
      </c>
      <c r="H3150" t="s">
        <v>44</v>
      </c>
      <c r="I3150" s="3">
        <v>900</v>
      </c>
      <c r="J3150" s="3">
        <v>900</v>
      </c>
      <c r="K3150" s="3">
        <v>424</v>
      </c>
      <c r="L3150" t="s">
        <v>120</v>
      </c>
      <c r="M3150">
        <v>19</v>
      </c>
      <c r="N3150" t="s">
        <v>89</v>
      </c>
      <c r="O3150" t="s">
        <v>81</v>
      </c>
      <c r="P3150" t="s">
        <v>15</v>
      </c>
      <c r="Q3150" t="s">
        <v>16</v>
      </c>
      <c r="R3150" t="s">
        <v>16</v>
      </c>
      <c r="S3150" t="s">
        <v>144</v>
      </c>
      <c r="T3150" s="2">
        <f>MASTER[[#This Row],[CANTIDAD]]*MASTER[[#This Row],[PRECIO DE VENTA]]</f>
        <v>900</v>
      </c>
      <c r="U3150" s="2">
        <f>MASTER[[#This Row],[CANTIDAD]]*MASTER[[#This Row],[COSTO UNITARIO]]</f>
        <v>424</v>
      </c>
      <c r="V3150" s="2">
        <f>MASTER[[#This Row],[MONTO VENDIDO]]-MASTER[[#This Row],[COSTO DE VENTA]]</f>
        <v>476</v>
      </c>
    </row>
    <row r="3151" spans="1:22" x14ac:dyDescent="0.3">
      <c r="A3151">
        <v>50841</v>
      </c>
      <c r="B3151">
        <v>1</v>
      </c>
      <c r="C3151" t="s">
        <v>107</v>
      </c>
      <c r="D3151" t="s">
        <v>108</v>
      </c>
      <c r="E3151" s="1">
        <v>44204</v>
      </c>
      <c r="F3151">
        <v>1</v>
      </c>
      <c r="G3151" t="s">
        <v>24</v>
      </c>
      <c r="H3151" t="s">
        <v>25</v>
      </c>
      <c r="I3151" s="3">
        <v>1440</v>
      </c>
      <c r="J3151" s="3">
        <v>1440</v>
      </c>
      <c r="K3151" s="3">
        <v>380</v>
      </c>
      <c r="L3151" t="s">
        <v>98</v>
      </c>
      <c r="M3151">
        <v>9</v>
      </c>
      <c r="N3151" t="s">
        <v>76</v>
      </c>
      <c r="O3151" t="s">
        <v>70</v>
      </c>
      <c r="P3151" t="s">
        <v>12</v>
      </c>
      <c r="Q3151" t="s">
        <v>13</v>
      </c>
      <c r="R3151" t="s">
        <v>13</v>
      </c>
      <c r="S3151" t="s">
        <v>144</v>
      </c>
      <c r="T3151" s="2">
        <f>MASTER[[#This Row],[CANTIDAD]]*MASTER[[#This Row],[PRECIO DE VENTA]]</f>
        <v>1440</v>
      </c>
      <c r="U3151" s="2">
        <f>MASTER[[#This Row],[CANTIDAD]]*MASTER[[#This Row],[COSTO UNITARIO]]</f>
        <v>380</v>
      </c>
      <c r="V3151" s="2">
        <f>MASTER[[#This Row],[MONTO VENDIDO]]-MASTER[[#This Row],[COSTO DE VENTA]]</f>
        <v>1060</v>
      </c>
    </row>
    <row r="3152" spans="1:22" x14ac:dyDescent="0.3">
      <c r="A3152">
        <v>50844</v>
      </c>
      <c r="B3152">
        <v>1</v>
      </c>
      <c r="C3152" t="s">
        <v>92</v>
      </c>
      <c r="D3152" t="s">
        <v>93</v>
      </c>
      <c r="E3152" s="1">
        <v>44205</v>
      </c>
      <c r="F3152">
        <v>1</v>
      </c>
      <c r="G3152" t="s">
        <v>24</v>
      </c>
      <c r="H3152" t="s">
        <v>25</v>
      </c>
      <c r="I3152" s="3">
        <v>1681</v>
      </c>
      <c r="J3152" s="3">
        <v>1681</v>
      </c>
      <c r="K3152" s="3">
        <v>396</v>
      </c>
      <c r="L3152" t="s">
        <v>9</v>
      </c>
      <c r="M3152">
        <v>10</v>
      </c>
      <c r="N3152" t="s">
        <v>83</v>
      </c>
      <c r="O3152" t="s">
        <v>81</v>
      </c>
      <c r="P3152" t="s">
        <v>12</v>
      </c>
      <c r="Q3152" t="s">
        <v>13</v>
      </c>
      <c r="R3152" t="s">
        <v>13</v>
      </c>
      <c r="S3152" t="s">
        <v>144</v>
      </c>
      <c r="T3152" s="2">
        <f>MASTER[[#This Row],[CANTIDAD]]*MASTER[[#This Row],[PRECIO DE VENTA]]</f>
        <v>1681</v>
      </c>
      <c r="U3152" s="2">
        <f>MASTER[[#This Row],[CANTIDAD]]*MASTER[[#This Row],[COSTO UNITARIO]]</f>
        <v>396</v>
      </c>
      <c r="V3152" s="2">
        <f>MASTER[[#This Row],[MONTO VENDIDO]]-MASTER[[#This Row],[COSTO DE VENTA]]</f>
        <v>1285</v>
      </c>
    </row>
    <row r="3153" spans="1:22" x14ac:dyDescent="0.3">
      <c r="A3153">
        <v>50849</v>
      </c>
      <c r="B3153">
        <v>1</v>
      </c>
      <c r="C3153" t="s">
        <v>116</v>
      </c>
      <c r="D3153" t="s">
        <v>117</v>
      </c>
      <c r="E3153" s="1">
        <v>44205</v>
      </c>
      <c r="F3153">
        <v>1</v>
      </c>
      <c r="G3153" t="s">
        <v>20</v>
      </c>
      <c r="H3153" t="s">
        <v>21</v>
      </c>
      <c r="I3153" s="3">
        <v>1999</v>
      </c>
      <c r="J3153" s="3">
        <v>1999</v>
      </c>
      <c r="K3153" s="3">
        <v>388</v>
      </c>
      <c r="L3153" t="s">
        <v>113</v>
      </c>
      <c r="M3153">
        <v>18</v>
      </c>
      <c r="N3153" t="s">
        <v>79</v>
      </c>
      <c r="O3153" t="s">
        <v>70</v>
      </c>
      <c r="P3153" t="s">
        <v>15</v>
      </c>
      <c r="Q3153" t="s">
        <v>16</v>
      </c>
      <c r="R3153" t="s">
        <v>16</v>
      </c>
      <c r="S3153" t="s">
        <v>144</v>
      </c>
      <c r="T3153" s="2">
        <f>MASTER[[#This Row],[CANTIDAD]]*MASTER[[#This Row],[PRECIO DE VENTA]]</f>
        <v>1999</v>
      </c>
      <c r="U3153" s="2">
        <f>MASTER[[#This Row],[CANTIDAD]]*MASTER[[#This Row],[COSTO UNITARIO]]</f>
        <v>388</v>
      </c>
      <c r="V3153" s="2">
        <f>MASTER[[#This Row],[MONTO VENDIDO]]-MASTER[[#This Row],[COSTO DE VENTA]]</f>
        <v>1611</v>
      </c>
    </row>
    <row r="3154" spans="1:22" x14ac:dyDescent="0.3">
      <c r="A3154">
        <v>50855</v>
      </c>
      <c r="B3154">
        <v>1</v>
      </c>
      <c r="C3154" t="s">
        <v>99</v>
      </c>
      <c r="D3154" t="s">
        <v>100</v>
      </c>
      <c r="E3154" s="1">
        <v>44205</v>
      </c>
      <c r="F3154">
        <v>1</v>
      </c>
      <c r="G3154" t="s">
        <v>20</v>
      </c>
      <c r="H3154" t="s">
        <v>21</v>
      </c>
      <c r="I3154" s="3">
        <v>1678</v>
      </c>
      <c r="J3154" s="3">
        <v>1678</v>
      </c>
      <c r="K3154" s="3">
        <v>386</v>
      </c>
      <c r="L3154" t="s">
        <v>98</v>
      </c>
      <c r="M3154">
        <v>18</v>
      </c>
      <c r="N3154" t="s">
        <v>79</v>
      </c>
      <c r="O3154" t="s">
        <v>70</v>
      </c>
      <c r="P3154" t="s">
        <v>15</v>
      </c>
      <c r="Q3154" t="s">
        <v>16</v>
      </c>
      <c r="R3154" t="s">
        <v>16</v>
      </c>
      <c r="S3154" t="s">
        <v>144</v>
      </c>
      <c r="T3154" s="2">
        <f>MASTER[[#This Row],[CANTIDAD]]*MASTER[[#This Row],[PRECIO DE VENTA]]</f>
        <v>1678</v>
      </c>
      <c r="U3154" s="2">
        <f>MASTER[[#This Row],[CANTIDAD]]*MASTER[[#This Row],[COSTO UNITARIO]]</f>
        <v>386</v>
      </c>
      <c r="V3154" s="2">
        <f>MASTER[[#This Row],[MONTO VENDIDO]]-MASTER[[#This Row],[COSTO DE VENTA]]</f>
        <v>1292</v>
      </c>
    </row>
    <row r="3155" spans="1:22" x14ac:dyDescent="0.3">
      <c r="A3155">
        <v>50897</v>
      </c>
      <c r="B3155">
        <v>1</v>
      </c>
      <c r="C3155" t="s">
        <v>105</v>
      </c>
      <c r="D3155" t="s">
        <v>106</v>
      </c>
      <c r="E3155" s="1">
        <v>44205</v>
      </c>
      <c r="F3155">
        <v>1</v>
      </c>
      <c r="G3155" t="s">
        <v>33</v>
      </c>
      <c r="H3155" t="s">
        <v>34</v>
      </c>
      <c r="I3155" s="3">
        <v>2033</v>
      </c>
      <c r="J3155" s="3">
        <v>2033</v>
      </c>
      <c r="K3155" s="3">
        <v>459</v>
      </c>
      <c r="L3155" t="s">
        <v>98</v>
      </c>
      <c r="M3155">
        <v>6</v>
      </c>
      <c r="N3155" t="s">
        <v>75</v>
      </c>
      <c r="O3155" t="s">
        <v>70</v>
      </c>
      <c r="P3155" t="s">
        <v>12</v>
      </c>
      <c r="Q3155" t="s">
        <v>13</v>
      </c>
      <c r="R3155" t="s">
        <v>13</v>
      </c>
      <c r="S3155" t="s">
        <v>144</v>
      </c>
      <c r="T3155" s="2">
        <f>MASTER[[#This Row],[CANTIDAD]]*MASTER[[#This Row],[PRECIO DE VENTA]]</f>
        <v>2033</v>
      </c>
      <c r="U3155" s="2">
        <f>MASTER[[#This Row],[CANTIDAD]]*MASTER[[#This Row],[COSTO UNITARIO]]</f>
        <v>459</v>
      </c>
      <c r="V3155" s="2">
        <f>MASTER[[#This Row],[MONTO VENDIDO]]-MASTER[[#This Row],[COSTO DE VENTA]]</f>
        <v>1574</v>
      </c>
    </row>
    <row r="3156" spans="1:22" x14ac:dyDescent="0.3">
      <c r="A3156">
        <v>50920</v>
      </c>
      <c r="B3156">
        <v>1</v>
      </c>
      <c r="C3156" t="s">
        <v>5</v>
      </c>
      <c r="D3156" t="s">
        <v>6</v>
      </c>
      <c r="E3156" s="1">
        <v>44205</v>
      </c>
      <c r="F3156">
        <v>1</v>
      </c>
      <c r="G3156" t="s">
        <v>7</v>
      </c>
      <c r="H3156" t="s">
        <v>8</v>
      </c>
      <c r="I3156" s="3">
        <v>1507</v>
      </c>
      <c r="J3156" s="3">
        <v>1507</v>
      </c>
      <c r="K3156" s="3">
        <v>393</v>
      </c>
      <c r="L3156" t="s">
        <v>9</v>
      </c>
      <c r="M3156">
        <v>19</v>
      </c>
      <c r="N3156" t="s">
        <v>89</v>
      </c>
      <c r="O3156" t="s">
        <v>81</v>
      </c>
      <c r="P3156" t="s">
        <v>15</v>
      </c>
      <c r="Q3156" t="s">
        <v>16</v>
      </c>
      <c r="R3156" t="s">
        <v>16</v>
      </c>
      <c r="S3156" t="s">
        <v>144</v>
      </c>
      <c r="T3156" s="2">
        <f>MASTER[[#This Row],[CANTIDAD]]*MASTER[[#This Row],[PRECIO DE VENTA]]</f>
        <v>1507</v>
      </c>
      <c r="U3156" s="2">
        <f>MASTER[[#This Row],[CANTIDAD]]*MASTER[[#This Row],[COSTO UNITARIO]]</f>
        <v>393</v>
      </c>
      <c r="V3156" s="2">
        <f>MASTER[[#This Row],[MONTO VENDIDO]]-MASTER[[#This Row],[COSTO DE VENTA]]</f>
        <v>1114</v>
      </c>
    </row>
    <row r="3157" spans="1:22" x14ac:dyDescent="0.3">
      <c r="A3157">
        <v>50921</v>
      </c>
      <c r="B3157">
        <v>1</v>
      </c>
      <c r="C3157" t="s">
        <v>5</v>
      </c>
      <c r="D3157" t="s">
        <v>6</v>
      </c>
      <c r="E3157" s="1">
        <v>44205</v>
      </c>
      <c r="F3157">
        <v>1</v>
      </c>
      <c r="G3157" t="s">
        <v>67</v>
      </c>
      <c r="H3157" t="s">
        <v>68</v>
      </c>
      <c r="I3157" s="3">
        <v>1507</v>
      </c>
      <c r="J3157" s="3">
        <v>1507</v>
      </c>
      <c r="K3157" s="3">
        <v>393</v>
      </c>
      <c r="L3157" t="s">
        <v>9</v>
      </c>
      <c r="M3157">
        <v>4</v>
      </c>
      <c r="N3157" t="s">
        <v>82</v>
      </c>
      <c r="O3157" t="s">
        <v>81</v>
      </c>
      <c r="P3157" t="s">
        <v>71</v>
      </c>
      <c r="Q3157" t="s">
        <v>72</v>
      </c>
      <c r="R3157" t="s">
        <v>139</v>
      </c>
      <c r="S3157" t="s">
        <v>144</v>
      </c>
      <c r="T3157" s="2">
        <f>MASTER[[#This Row],[CANTIDAD]]*MASTER[[#This Row],[PRECIO DE VENTA]]</f>
        <v>1507</v>
      </c>
      <c r="U3157" s="2">
        <f>MASTER[[#This Row],[CANTIDAD]]*MASTER[[#This Row],[COSTO UNITARIO]]</f>
        <v>393</v>
      </c>
      <c r="V3157" s="2">
        <f>MASTER[[#This Row],[MONTO VENDIDO]]-MASTER[[#This Row],[COSTO DE VENTA]]</f>
        <v>1114</v>
      </c>
    </row>
    <row r="3158" spans="1:22" x14ac:dyDescent="0.3">
      <c r="A3158">
        <v>50940</v>
      </c>
      <c r="B3158">
        <v>1</v>
      </c>
      <c r="C3158" t="s">
        <v>105</v>
      </c>
      <c r="D3158" t="s">
        <v>106</v>
      </c>
      <c r="E3158" s="1">
        <v>44205</v>
      </c>
      <c r="F3158">
        <v>1</v>
      </c>
      <c r="G3158" t="s">
        <v>24</v>
      </c>
      <c r="H3158" t="s">
        <v>25</v>
      </c>
      <c r="I3158" s="3">
        <v>1865</v>
      </c>
      <c r="J3158" s="3">
        <v>1865</v>
      </c>
      <c r="K3158" s="3">
        <v>459</v>
      </c>
      <c r="L3158" t="s">
        <v>98</v>
      </c>
      <c r="M3158">
        <v>10</v>
      </c>
      <c r="N3158" t="s">
        <v>83</v>
      </c>
      <c r="O3158" t="s">
        <v>81</v>
      </c>
      <c r="P3158" t="s">
        <v>12</v>
      </c>
      <c r="Q3158" t="s">
        <v>13</v>
      </c>
      <c r="R3158" t="s">
        <v>13</v>
      </c>
      <c r="S3158" t="s">
        <v>144</v>
      </c>
      <c r="T3158" s="2">
        <f>MASTER[[#This Row],[CANTIDAD]]*MASTER[[#This Row],[PRECIO DE VENTA]]</f>
        <v>1865</v>
      </c>
      <c r="U3158" s="2">
        <f>MASTER[[#This Row],[CANTIDAD]]*MASTER[[#This Row],[COSTO UNITARIO]]</f>
        <v>459</v>
      </c>
      <c r="V3158" s="2">
        <f>MASTER[[#This Row],[MONTO VENDIDO]]-MASTER[[#This Row],[COSTO DE VENTA]]</f>
        <v>1406</v>
      </c>
    </row>
    <row r="3159" spans="1:22" x14ac:dyDescent="0.3">
      <c r="A3159">
        <v>50942</v>
      </c>
      <c r="B3159">
        <v>1</v>
      </c>
      <c r="C3159" t="s">
        <v>101</v>
      </c>
      <c r="D3159" t="s">
        <v>102</v>
      </c>
      <c r="E3159" s="1">
        <v>44205</v>
      </c>
      <c r="F3159">
        <v>1</v>
      </c>
      <c r="G3159" t="s">
        <v>51</v>
      </c>
      <c r="H3159" t="s">
        <v>52</v>
      </c>
      <c r="I3159" s="3">
        <v>1212</v>
      </c>
      <c r="J3159" s="3">
        <v>1212</v>
      </c>
      <c r="K3159" s="3">
        <v>442</v>
      </c>
      <c r="L3159" t="s">
        <v>98</v>
      </c>
      <c r="M3159">
        <v>5</v>
      </c>
      <c r="N3159" t="s">
        <v>85</v>
      </c>
      <c r="O3159" t="s">
        <v>81</v>
      </c>
      <c r="P3159" t="s">
        <v>12</v>
      </c>
      <c r="Q3159" t="s">
        <v>13</v>
      </c>
      <c r="R3159" t="s">
        <v>13</v>
      </c>
      <c r="S3159" t="s">
        <v>144</v>
      </c>
      <c r="T3159" s="2">
        <f>MASTER[[#This Row],[CANTIDAD]]*MASTER[[#This Row],[PRECIO DE VENTA]]</f>
        <v>1212</v>
      </c>
      <c r="U3159" s="2">
        <f>MASTER[[#This Row],[CANTIDAD]]*MASTER[[#This Row],[COSTO UNITARIO]]</f>
        <v>442</v>
      </c>
      <c r="V3159" s="2">
        <f>MASTER[[#This Row],[MONTO VENDIDO]]-MASTER[[#This Row],[COSTO DE VENTA]]</f>
        <v>770</v>
      </c>
    </row>
    <row r="3160" spans="1:22" x14ac:dyDescent="0.3">
      <c r="A3160">
        <v>50947</v>
      </c>
      <c r="B3160">
        <v>1</v>
      </c>
      <c r="C3160" t="s">
        <v>121</v>
      </c>
      <c r="D3160" t="s">
        <v>122</v>
      </c>
      <c r="E3160" s="1">
        <v>44205</v>
      </c>
      <c r="F3160">
        <v>1</v>
      </c>
      <c r="G3160" t="s">
        <v>67</v>
      </c>
      <c r="H3160" t="s">
        <v>68</v>
      </c>
      <c r="I3160" s="3">
        <v>1144</v>
      </c>
      <c r="J3160" s="3">
        <v>1144</v>
      </c>
      <c r="K3160" s="3">
        <v>460</v>
      </c>
      <c r="L3160" t="s">
        <v>120</v>
      </c>
      <c r="M3160">
        <v>1</v>
      </c>
      <c r="N3160" t="s">
        <v>77</v>
      </c>
      <c r="O3160" t="s">
        <v>70</v>
      </c>
      <c r="P3160" t="s">
        <v>71</v>
      </c>
      <c r="Q3160" t="s">
        <v>72</v>
      </c>
      <c r="R3160" t="s">
        <v>139</v>
      </c>
      <c r="S3160" t="s">
        <v>144</v>
      </c>
      <c r="T3160" s="2">
        <f>MASTER[[#This Row],[CANTIDAD]]*MASTER[[#This Row],[PRECIO DE VENTA]]</f>
        <v>1144</v>
      </c>
      <c r="U3160" s="2">
        <f>MASTER[[#This Row],[CANTIDAD]]*MASTER[[#This Row],[COSTO UNITARIO]]</f>
        <v>460</v>
      </c>
      <c r="V3160" s="2">
        <f>MASTER[[#This Row],[MONTO VENDIDO]]-MASTER[[#This Row],[COSTO DE VENTA]]</f>
        <v>684</v>
      </c>
    </row>
    <row r="3161" spans="1:22" x14ac:dyDescent="0.3">
      <c r="A3161">
        <v>51001</v>
      </c>
      <c r="B3161">
        <v>1</v>
      </c>
      <c r="C3161" t="s">
        <v>103</v>
      </c>
      <c r="D3161" t="s">
        <v>104</v>
      </c>
      <c r="E3161" s="1">
        <v>44205</v>
      </c>
      <c r="F3161">
        <v>1</v>
      </c>
      <c r="G3161" t="s">
        <v>61</v>
      </c>
      <c r="H3161" t="s">
        <v>62</v>
      </c>
      <c r="I3161" s="3">
        <v>1591</v>
      </c>
      <c r="J3161" s="3">
        <v>1591</v>
      </c>
      <c r="K3161" s="3">
        <v>421</v>
      </c>
      <c r="L3161" t="s">
        <v>98</v>
      </c>
      <c r="M3161">
        <v>10</v>
      </c>
      <c r="N3161" t="s">
        <v>83</v>
      </c>
      <c r="O3161" t="s">
        <v>81</v>
      </c>
      <c r="P3161" t="s">
        <v>12</v>
      </c>
      <c r="Q3161" t="s">
        <v>13</v>
      </c>
      <c r="R3161" t="s">
        <v>13</v>
      </c>
      <c r="S3161" t="s">
        <v>144</v>
      </c>
      <c r="T3161" s="2">
        <f>MASTER[[#This Row],[CANTIDAD]]*MASTER[[#This Row],[PRECIO DE VENTA]]</f>
        <v>1591</v>
      </c>
      <c r="U3161" s="2">
        <f>MASTER[[#This Row],[CANTIDAD]]*MASTER[[#This Row],[COSTO UNITARIO]]</f>
        <v>421</v>
      </c>
      <c r="V3161" s="2">
        <f>MASTER[[#This Row],[MONTO VENDIDO]]-MASTER[[#This Row],[COSTO DE VENTA]]</f>
        <v>1170</v>
      </c>
    </row>
    <row r="3162" spans="1:22" x14ac:dyDescent="0.3">
      <c r="A3162">
        <v>51003</v>
      </c>
      <c r="B3162">
        <v>1</v>
      </c>
      <c r="C3162" t="s">
        <v>105</v>
      </c>
      <c r="D3162" t="s">
        <v>106</v>
      </c>
      <c r="E3162" s="1">
        <v>44205</v>
      </c>
      <c r="F3162">
        <v>1</v>
      </c>
      <c r="G3162" t="s">
        <v>22</v>
      </c>
      <c r="H3162" t="s">
        <v>23</v>
      </c>
      <c r="I3162" s="3">
        <v>2033</v>
      </c>
      <c r="J3162" s="3">
        <v>2033</v>
      </c>
      <c r="K3162" s="3">
        <v>459</v>
      </c>
      <c r="L3162" t="s">
        <v>98</v>
      </c>
      <c r="M3162">
        <v>9</v>
      </c>
      <c r="N3162" t="s">
        <v>76</v>
      </c>
      <c r="O3162" t="s">
        <v>70</v>
      </c>
      <c r="P3162" t="s">
        <v>12</v>
      </c>
      <c r="Q3162" t="s">
        <v>13</v>
      </c>
      <c r="R3162" t="s">
        <v>13</v>
      </c>
      <c r="S3162" t="s">
        <v>144</v>
      </c>
      <c r="T3162" s="2">
        <f>MASTER[[#This Row],[CANTIDAD]]*MASTER[[#This Row],[PRECIO DE VENTA]]</f>
        <v>2033</v>
      </c>
      <c r="U3162" s="2">
        <f>MASTER[[#This Row],[CANTIDAD]]*MASTER[[#This Row],[COSTO UNITARIO]]</f>
        <v>459</v>
      </c>
      <c r="V3162" s="2">
        <f>MASTER[[#This Row],[MONTO VENDIDO]]-MASTER[[#This Row],[COSTO DE VENTA]]</f>
        <v>1574</v>
      </c>
    </row>
    <row r="3163" spans="1:22" x14ac:dyDescent="0.3">
      <c r="A3163">
        <v>51016</v>
      </c>
      <c r="B3163">
        <v>1</v>
      </c>
      <c r="C3163" t="s">
        <v>116</v>
      </c>
      <c r="D3163" t="s">
        <v>117</v>
      </c>
      <c r="E3163" s="1">
        <v>44205</v>
      </c>
      <c r="F3163">
        <v>1</v>
      </c>
      <c r="G3163" t="s">
        <v>67</v>
      </c>
      <c r="H3163" t="s">
        <v>68</v>
      </c>
      <c r="I3163" s="3">
        <v>1529</v>
      </c>
      <c r="J3163" s="3">
        <v>1529</v>
      </c>
      <c r="K3163" s="3">
        <v>388</v>
      </c>
      <c r="L3163" t="s">
        <v>113</v>
      </c>
      <c r="M3163">
        <v>11</v>
      </c>
      <c r="N3163" t="s">
        <v>10</v>
      </c>
      <c r="O3163" t="s">
        <v>11</v>
      </c>
      <c r="P3163" t="s">
        <v>12</v>
      </c>
      <c r="Q3163" t="s">
        <v>13</v>
      </c>
      <c r="R3163" t="s">
        <v>13</v>
      </c>
      <c r="S3163" t="s">
        <v>144</v>
      </c>
      <c r="T3163" s="2">
        <f>MASTER[[#This Row],[CANTIDAD]]*MASTER[[#This Row],[PRECIO DE VENTA]]</f>
        <v>1529</v>
      </c>
      <c r="U3163" s="2">
        <f>MASTER[[#This Row],[CANTIDAD]]*MASTER[[#This Row],[COSTO UNITARIO]]</f>
        <v>388</v>
      </c>
      <c r="V3163" s="2">
        <f>MASTER[[#This Row],[MONTO VENDIDO]]-MASTER[[#This Row],[COSTO DE VENTA]]</f>
        <v>1141</v>
      </c>
    </row>
    <row r="3164" spans="1:22" x14ac:dyDescent="0.3">
      <c r="A3164">
        <v>51026</v>
      </c>
      <c r="B3164">
        <v>1</v>
      </c>
      <c r="C3164" t="s">
        <v>96</v>
      </c>
      <c r="D3164" t="s">
        <v>97</v>
      </c>
      <c r="E3164" s="1">
        <v>44205</v>
      </c>
      <c r="F3164">
        <v>1</v>
      </c>
      <c r="G3164" t="s">
        <v>47</v>
      </c>
      <c r="H3164" t="s">
        <v>48</v>
      </c>
      <c r="I3164" s="3">
        <v>1361</v>
      </c>
      <c r="J3164" s="3">
        <v>1361</v>
      </c>
      <c r="K3164" s="3">
        <v>397</v>
      </c>
      <c r="L3164" t="s">
        <v>98</v>
      </c>
      <c r="M3164">
        <v>6</v>
      </c>
      <c r="N3164" t="s">
        <v>75</v>
      </c>
      <c r="O3164" t="s">
        <v>70</v>
      </c>
      <c r="P3164" t="s">
        <v>12</v>
      </c>
      <c r="Q3164" t="s">
        <v>13</v>
      </c>
      <c r="R3164" t="s">
        <v>13</v>
      </c>
      <c r="S3164" t="s">
        <v>144</v>
      </c>
      <c r="T3164" s="2">
        <f>MASTER[[#This Row],[CANTIDAD]]*MASTER[[#This Row],[PRECIO DE VENTA]]</f>
        <v>1361</v>
      </c>
      <c r="U3164" s="2">
        <f>MASTER[[#This Row],[CANTIDAD]]*MASTER[[#This Row],[COSTO UNITARIO]]</f>
        <v>397</v>
      </c>
      <c r="V3164" s="2">
        <f>MASTER[[#This Row],[MONTO VENDIDO]]-MASTER[[#This Row],[COSTO DE VENTA]]</f>
        <v>964</v>
      </c>
    </row>
    <row r="3165" spans="1:22" x14ac:dyDescent="0.3">
      <c r="A3165">
        <v>51034</v>
      </c>
      <c r="B3165">
        <v>1</v>
      </c>
      <c r="C3165" t="s">
        <v>114</v>
      </c>
      <c r="D3165" t="s">
        <v>115</v>
      </c>
      <c r="E3165" s="1">
        <v>44206</v>
      </c>
      <c r="F3165">
        <v>1</v>
      </c>
      <c r="G3165" t="s">
        <v>20</v>
      </c>
      <c r="H3165" t="s">
        <v>21</v>
      </c>
      <c r="I3165" s="3">
        <v>1583</v>
      </c>
      <c r="J3165" s="3">
        <v>1583</v>
      </c>
      <c r="K3165" s="3">
        <v>394</v>
      </c>
      <c r="L3165" t="s">
        <v>113</v>
      </c>
      <c r="M3165">
        <v>17</v>
      </c>
      <c r="N3165" t="s">
        <v>14</v>
      </c>
      <c r="O3165" t="s">
        <v>11</v>
      </c>
      <c r="P3165" t="s">
        <v>15</v>
      </c>
      <c r="Q3165" t="s">
        <v>16</v>
      </c>
      <c r="R3165" t="s">
        <v>16</v>
      </c>
      <c r="S3165" t="s">
        <v>144</v>
      </c>
      <c r="T3165" s="2">
        <f>MASTER[[#This Row],[CANTIDAD]]*MASTER[[#This Row],[PRECIO DE VENTA]]</f>
        <v>1583</v>
      </c>
      <c r="U3165" s="2">
        <f>MASTER[[#This Row],[CANTIDAD]]*MASTER[[#This Row],[COSTO UNITARIO]]</f>
        <v>394</v>
      </c>
      <c r="V3165" s="2">
        <f>MASTER[[#This Row],[MONTO VENDIDO]]-MASTER[[#This Row],[COSTO DE VENTA]]</f>
        <v>1189</v>
      </c>
    </row>
    <row r="3166" spans="1:22" x14ac:dyDescent="0.3">
      <c r="A3166">
        <v>51051</v>
      </c>
      <c r="B3166">
        <v>1</v>
      </c>
      <c r="C3166" t="s">
        <v>116</v>
      </c>
      <c r="D3166" t="s">
        <v>117</v>
      </c>
      <c r="E3166" s="1">
        <v>44206</v>
      </c>
      <c r="F3166">
        <v>1</v>
      </c>
      <c r="G3166" t="s">
        <v>31</v>
      </c>
      <c r="H3166" t="s">
        <v>32</v>
      </c>
      <c r="I3166" s="3">
        <v>1529</v>
      </c>
      <c r="J3166" s="3">
        <v>1437</v>
      </c>
      <c r="K3166" s="3">
        <v>388</v>
      </c>
      <c r="L3166" t="s">
        <v>113</v>
      </c>
      <c r="M3166">
        <v>17</v>
      </c>
      <c r="N3166" t="s">
        <v>14</v>
      </c>
      <c r="O3166" t="s">
        <v>11</v>
      </c>
      <c r="P3166" t="s">
        <v>15</v>
      </c>
      <c r="Q3166" t="s">
        <v>16</v>
      </c>
      <c r="R3166" t="s">
        <v>16</v>
      </c>
      <c r="S3166" t="s">
        <v>144</v>
      </c>
      <c r="T3166" s="2">
        <f>MASTER[[#This Row],[CANTIDAD]]*MASTER[[#This Row],[PRECIO DE VENTA]]</f>
        <v>1437</v>
      </c>
      <c r="U3166" s="2">
        <f>MASTER[[#This Row],[CANTIDAD]]*MASTER[[#This Row],[COSTO UNITARIO]]</f>
        <v>388</v>
      </c>
      <c r="V3166" s="2">
        <f>MASTER[[#This Row],[MONTO VENDIDO]]-MASTER[[#This Row],[COSTO DE VENTA]]</f>
        <v>1049</v>
      </c>
    </row>
    <row r="3167" spans="1:22" x14ac:dyDescent="0.3">
      <c r="A3167">
        <v>51053</v>
      </c>
      <c r="B3167">
        <v>1</v>
      </c>
      <c r="C3167" t="s">
        <v>101</v>
      </c>
      <c r="D3167" t="s">
        <v>102</v>
      </c>
      <c r="E3167" s="1">
        <v>44206</v>
      </c>
      <c r="F3167">
        <v>1</v>
      </c>
      <c r="G3167" t="s">
        <v>67</v>
      </c>
      <c r="H3167" t="s">
        <v>68</v>
      </c>
      <c r="I3167" s="3">
        <v>1054</v>
      </c>
      <c r="J3167" s="3">
        <v>1054</v>
      </c>
      <c r="K3167" s="3">
        <v>442</v>
      </c>
      <c r="L3167" t="s">
        <v>98</v>
      </c>
      <c r="M3167">
        <v>12</v>
      </c>
      <c r="N3167" t="s">
        <v>26</v>
      </c>
      <c r="O3167" t="s">
        <v>11</v>
      </c>
      <c r="P3167" t="s">
        <v>12</v>
      </c>
      <c r="Q3167" t="s">
        <v>13</v>
      </c>
      <c r="R3167" t="s">
        <v>13</v>
      </c>
      <c r="S3167" t="s">
        <v>144</v>
      </c>
      <c r="T3167" s="2">
        <f>MASTER[[#This Row],[CANTIDAD]]*MASTER[[#This Row],[PRECIO DE VENTA]]</f>
        <v>1054</v>
      </c>
      <c r="U3167" s="2">
        <f>MASTER[[#This Row],[CANTIDAD]]*MASTER[[#This Row],[COSTO UNITARIO]]</f>
        <v>442</v>
      </c>
      <c r="V3167" s="2">
        <f>MASTER[[#This Row],[MONTO VENDIDO]]-MASTER[[#This Row],[COSTO DE VENTA]]</f>
        <v>612</v>
      </c>
    </row>
    <row r="3168" spans="1:22" x14ac:dyDescent="0.3">
      <c r="A3168">
        <v>51070</v>
      </c>
      <c r="B3168">
        <v>1</v>
      </c>
      <c r="C3168" t="s">
        <v>105</v>
      </c>
      <c r="D3168" t="s">
        <v>106</v>
      </c>
      <c r="E3168" s="1">
        <v>44206</v>
      </c>
      <c r="F3168">
        <v>1</v>
      </c>
      <c r="G3168" t="s">
        <v>24</v>
      </c>
      <c r="H3168" t="s">
        <v>25</v>
      </c>
      <c r="I3168" s="3">
        <v>1865</v>
      </c>
      <c r="J3168" s="3">
        <v>1865</v>
      </c>
      <c r="K3168" s="3">
        <v>459</v>
      </c>
      <c r="L3168" t="s">
        <v>98</v>
      </c>
      <c r="M3168">
        <v>5</v>
      </c>
      <c r="N3168" t="s">
        <v>85</v>
      </c>
      <c r="O3168" t="s">
        <v>81</v>
      </c>
      <c r="P3168" t="s">
        <v>12</v>
      </c>
      <c r="Q3168" t="s">
        <v>13</v>
      </c>
      <c r="R3168" t="s">
        <v>13</v>
      </c>
      <c r="S3168" t="s">
        <v>144</v>
      </c>
      <c r="T3168" s="2">
        <f>MASTER[[#This Row],[CANTIDAD]]*MASTER[[#This Row],[PRECIO DE VENTA]]</f>
        <v>1865</v>
      </c>
      <c r="U3168" s="2">
        <f>MASTER[[#This Row],[CANTIDAD]]*MASTER[[#This Row],[COSTO UNITARIO]]</f>
        <v>459</v>
      </c>
      <c r="V3168" s="2">
        <f>MASTER[[#This Row],[MONTO VENDIDO]]-MASTER[[#This Row],[COSTO DE VENTA]]</f>
        <v>1406</v>
      </c>
    </row>
    <row r="3169" spans="1:22" x14ac:dyDescent="0.3">
      <c r="A3169">
        <v>51073</v>
      </c>
      <c r="B3169">
        <v>1</v>
      </c>
      <c r="C3169" t="s">
        <v>5</v>
      </c>
      <c r="D3169" t="s">
        <v>6</v>
      </c>
      <c r="E3169" s="1">
        <v>44206</v>
      </c>
      <c r="F3169">
        <v>1</v>
      </c>
      <c r="G3169" t="s">
        <v>39</v>
      </c>
      <c r="H3169" t="s">
        <v>40</v>
      </c>
      <c r="I3169" s="3">
        <v>1296</v>
      </c>
      <c r="J3169" s="3">
        <v>1296</v>
      </c>
      <c r="K3169" s="3">
        <v>393</v>
      </c>
      <c r="L3169" t="s">
        <v>9</v>
      </c>
      <c r="M3169">
        <v>9</v>
      </c>
      <c r="N3169" t="s">
        <v>76</v>
      </c>
      <c r="O3169" t="s">
        <v>70</v>
      </c>
      <c r="P3169" t="s">
        <v>12</v>
      </c>
      <c r="Q3169" t="s">
        <v>13</v>
      </c>
      <c r="R3169" t="s">
        <v>13</v>
      </c>
      <c r="S3169" t="s">
        <v>144</v>
      </c>
      <c r="T3169" s="2">
        <f>MASTER[[#This Row],[CANTIDAD]]*MASTER[[#This Row],[PRECIO DE VENTA]]</f>
        <v>1296</v>
      </c>
      <c r="U3169" s="2">
        <f>MASTER[[#This Row],[CANTIDAD]]*MASTER[[#This Row],[COSTO UNITARIO]]</f>
        <v>393</v>
      </c>
      <c r="V3169" s="2">
        <f>MASTER[[#This Row],[MONTO VENDIDO]]-MASTER[[#This Row],[COSTO DE VENTA]]</f>
        <v>903</v>
      </c>
    </row>
    <row r="3170" spans="1:22" x14ac:dyDescent="0.3">
      <c r="A3170">
        <v>51073</v>
      </c>
      <c r="B3170">
        <v>2</v>
      </c>
      <c r="C3170" t="s">
        <v>90</v>
      </c>
      <c r="D3170" t="s">
        <v>91</v>
      </c>
      <c r="E3170" s="1">
        <v>44206</v>
      </c>
      <c r="F3170">
        <v>1</v>
      </c>
      <c r="G3170" t="s">
        <v>29</v>
      </c>
      <c r="H3170" t="s">
        <v>30</v>
      </c>
      <c r="I3170" s="3">
        <v>2102</v>
      </c>
      <c r="J3170" s="3">
        <v>2102</v>
      </c>
      <c r="K3170" s="3">
        <v>420</v>
      </c>
      <c r="L3170" t="s">
        <v>9</v>
      </c>
      <c r="M3170">
        <v>9</v>
      </c>
      <c r="N3170" t="s">
        <v>76</v>
      </c>
      <c r="O3170" t="s">
        <v>70</v>
      </c>
      <c r="P3170" t="s">
        <v>12</v>
      </c>
      <c r="Q3170" t="s">
        <v>13</v>
      </c>
      <c r="R3170" t="s">
        <v>13</v>
      </c>
      <c r="S3170" t="s">
        <v>144</v>
      </c>
      <c r="T3170" s="2">
        <f>MASTER[[#This Row],[CANTIDAD]]*MASTER[[#This Row],[PRECIO DE VENTA]]</f>
        <v>2102</v>
      </c>
      <c r="U3170" s="2">
        <f>MASTER[[#This Row],[CANTIDAD]]*MASTER[[#This Row],[COSTO UNITARIO]]</f>
        <v>420</v>
      </c>
      <c r="V3170" s="2">
        <f>MASTER[[#This Row],[MONTO VENDIDO]]-MASTER[[#This Row],[COSTO DE VENTA]]</f>
        <v>1682</v>
      </c>
    </row>
    <row r="3171" spans="1:22" x14ac:dyDescent="0.3">
      <c r="A3171">
        <v>51100</v>
      </c>
      <c r="B3171">
        <v>1</v>
      </c>
      <c r="C3171" t="s">
        <v>118</v>
      </c>
      <c r="D3171" t="s">
        <v>119</v>
      </c>
      <c r="E3171" s="1">
        <v>44206</v>
      </c>
      <c r="F3171">
        <v>3</v>
      </c>
      <c r="G3171" t="s">
        <v>27</v>
      </c>
      <c r="H3171" t="s">
        <v>28</v>
      </c>
      <c r="I3171" s="3">
        <v>900</v>
      </c>
      <c r="J3171" s="3">
        <v>900</v>
      </c>
      <c r="K3171" s="3">
        <v>424</v>
      </c>
      <c r="L3171" t="s">
        <v>120</v>
      </c>
      <c r="M3171">
        <v>7</v>
      </c>
      <c r="N3171" t="s">
        <v>84</v>
      </c>
      <c r="O3171" t="s">
        <v>81</v>
      </c>
      <c r="P3171" t="s">
        <v>12</v>
      </c>
      <c r="Q3171" t="s">
        <v>13</v>
      </c>
      <c r="R3171" t="s">
        <v>13</v>
      </c>
      <c r="S3171" t="s">
        <v>144</v>
      </c>
      <c r="T3171" s="2">
        <f>MASTER[[#This Row],[CANTIDAD]]*MASTER[[#This Row],[PRECIO DE VENTA]]</f>
        <v>2700</v>
      </c>
      <c r="U3171" s="2">
        <f>MASTER[[#This Row],[CANTIDAD]]*MASTER[[#This Row],[COSTO UNITARIO]]</f>
        <v>1272</v>
      </c>
      <c r="V3171" s="2">
        <f>MASTER[[#This Row],[MONTO VENDIDO]]-MASTER[[#This Row],[COSTO DE VENTA]]</f>
        <v>1428</v>
      </c>
    </row>
    <row r="3172" spans="1:22" x14ac:dyDescent="0.3">
      <c r="A3172">
        <v>51108</v>
      </c>
      <c r="B3172">
        <v>1</v>
      </c>
      <c r="C3172" t="s">
        <v>116</v>
      </c>
      <c r="D3172" t="s">
        <v>117</v>
      </c>
      <c r="E3172" s="1">
        <v>44206</v>
      </c>
      <c r="F3172">
        <v>1</v>
      </c>
      <c r="G3172" t="s">
        <v>65</v>
      </c>
      <c r="H3172" t="s">
        <v>66</v>
      </c>
      <c r="I3172" s="3">
        <v>1999</v>
      </c>
      <c r="J3172" s="3">
        <v>1999</v>
      </c>
      <c r="K3172" s="3">
        <v>388</v>
      </c>
      <c r="L3172" t="s">
        <v>113</v>
      </c>
      <c r="M3172">
        <v>13</v>
      </c>
      <c r="N3172" t="s">
        <v>78</v>
      </c>
      <c r="O3172" t="s">
        <v>70</v>
      </c>
      <c r="P3172" t="s">
        <v>18</v>
      </c>
      <c r="Q3172" t="s">
        <v>19</v>
      </c>
      <c r="R3172" t="s">
        <v>138</v>
      </c>
      <c r="S3172" t="s">
        <v>144</v>
      </c>
      <c r="T3172" s="2">
        <f>MASTER[[#This Row],[CANTIDAD]]*MASTER[[#This Row],[PRECIO DE VENTA]]</f>
        <v>1999</v>
      </c>
      <c r="U3172" s="2">
        <f>MASTER[[#This Row],[CANTIDAD]]*MASTER[[#This Row],[COSTO UNITARIO]]</f>
        <v>388</v>
      </c>
      <c r="V3172" s="2">
        <f>MASTER[[#This Row],[MONTO VENDIDO]]-MASTER[[#This Row],[COSTO DE VENTA]]</f>
        <v>1611</v>
      </c>
    </row>
    <row r="3173" spans="1:22" x14ac:dyDescent="0.3">
      <c r="A3173">
        <v>51115</v>
      </c>
      <c r="B3173">
        <v>1</v>
      </c>
      <c r="C3173" t="s">
        <v>114</v>
      </c>
      <c r="D3173" t="s">
        <v>115</v>
      </c>
      <c r="E3173" s="1">
        <v>44206</v>
      </c>
      <c r="F3173">
        <v>1</v>
      </c>
      <c r="G3173" t="s">
        <v>61</v>
      </c>
      <c r="H3173" t="s">
        <v>62</v>
      </c>
      <c r="I3173" s="3">
        <v>2030</v>
      </c>
      <c r="J3173" s="3">
        <v>2030</v>
      </c>
      <c r="K3173" s="3">
        <v>394</v>
      </c>
      <c r="L3173" t="s">
        <v>113</v>
      </c>
      <c r="M3173">
        <v>6</v>
      </c>
      <c r="N3173" t="s">
        <v>75</v>
      </c>
      <c r="O3173" t="s">
        <v>70</v>
      </c>
      <c r="P3173" t="s">
        <v>12</v>
      </c>
      <c r="Q3173" t="s">
        <v>13</v>
      </c>
      <c r="R3173" t="s">
        <v>13</v>
      </c>
      <c r="S3173" t="s">
        <v>144</v>
      </c>
      <c r="T3173" s="2">
        <f>MASTER[[#This Row],[CANTIDAD]]*MASTER[[#This Row],[PRECIO DE VENTA]]</f>
        <v>2030</v>
      </c>
      <c r="U3173" s="2">
        <f>MASTER[[#This Row],[CANTIDAD]]*MASTER[[#This Row],[COSTO UNITARIO]]</f>
        <v>394</v>
      </c>
      <c r="V3173" s="2">
        <f>MASTER[[#This Row],[MONTO VENDIDO]]-MASTER[[#This Row],[COSTO DE VENTA]]</f>
        <v>1636</v>
      </c>
    </row>
    <row r="3174" spans="1:22" x14ac:dyDescent="0.3">
      <c r="A3174">
        <v>51123</v>
      </c>
      <c r="B3174">
        <v>1</v>
      </c>
      <c r="C3174" t="s">
        <v>96</v>
      </c>
      <c r="D3174" t="s">
        <v>97</v>
      </c>
      <c r="E3174" s="1">
        <v>44206</v>
      </c>
      <c r="F3174">
        <v>1</v>
      </c>
      <c r="G3174" t="s">
        <v>45</v>
      </c>
      <c r="H3174" t="s">
        <v>46</v>
      </c>
      <c r="I3174" s="3">
        <v>1272</v>
      </c>
      <c r="J3174" s="3">
        <v>1272</v>
      </c>
      <c r="K3174" s="3">
        <v>397</v>
      </c>
      <c r="L3174" t="s">
        <v>98</v>
      </c>
      <c r="M3174">
        <v>2</v>
      </c>
      <c r="N3174" t="s">
        <v>86</v>
      </c>
      <c r="O3174" t="s">
        <v>81</v>
      </c>
      <c r="P3174" t="s">
        <v>71</v>
      </c>
      <c r="Q3174" t="s">
        <v>72</v>
      </c>
      <c r="R3174" t="s">
        <v>139</v>
      </c>
      <c r="S3174" t="s">
        <v>144</v>
      </c>
      <c r="T3174" s="2">
        <f>MASTER[[#This Row],[CANTIDAD]]*MASTER[[#This Row],[PRECIO DE VENTA]]</f>
        <v>1272</v>
      </c>
      <c r="U3174" s="2">
        <f>MASTER[[#This Row],[CANTIDAD]]*MASTER[[#This Row],[COSTO UNITARIO]]</f>
        <v>397</v>
      </c>
      <c r="V3174" s="2">
        <f>MASTER[[#This Row],[MONTO VENDIDO]]-MASTER[[#This Row],[COSTO DE VENTA]]</f>
        <v>875</v>
      </c>
    </row>
    <row r="3175" spans="1:22" x14ac:dyDescent="0.3">
      <c r="A3175">
        <v>51129</v>
      </c>
      <c r="B3175">
        <v>1</v>
      </c>
      <c r="C3175" t="s">
        <v>103</v>
      </c>
      <c r="D3175" t="s">
        <v>104</v>
      </c>
      <c r="E3175" s="1">
        <v>44206</v>
      </c>
      <c r="F3175">
        <v>1</v>
      </c>
      <c r="G3175" t="s">
        <v>43</v>
      </c>
      <c r="H3175" t="s">
        <v>44</v>
      </c>
      <c r="I3175" s="3">
        <v>1830</v>
      </c>
      <c r="J3175" s="3">
        <v>1647</v>
      </c>
      <c r="K3175" s="3">
        <v>421</v>
      </c>
      <c r="L3175" t="s">
        <v>98</v>
      </c>
      <c r="M3175">
        <v>13</v>
      </c>
      <c r="N3175" t="s">
        <v>78</v>
      </c>
      <c r="O3175" t="s">
        <v>70</v>
      </c>
      <c r="P3175" t="s">
        <v>18</v>
      </c>
      <c r="Q3175" t="s">
        <v>19</v>
      </c>
      <c r="R3175" t="s">
        <v>138</v>
      </c>
      <c r="S3175" t="s">
        <v>144</v>
      </c>
      <c r="T3175" s="2">
        <f>MASTER[[#This Row],[CANTIDAD]]*MASTER[[#This Row],[PRECIO DE VENTA]]</f>
        <v>1647</v>
      </c>
      <c r="U3175" s="2">
        <f>MASTER[[#This Row],[CANTIDAD]]*MASTER[[#This Row],[COSTO UNITARIO]]</f>
        <v>421</v>
      </c>
      <c r="V3175" s="2">
        <f>MASTER[[#This Row],[MONTO VENDIDO]]-MASTER[[#This Row],[COSTO DE VENTA]]</f>
        <v>1226</v>
      </c>
    </row>
    <row r="3176" spans="1:22" x14ac:dyDescent="0.3">
      <c r="A3176">
        <v>51135</v>
      </c>
      <c r="B3176">
        <v>1</v>
      </c>
      <c r="C3176" t="s">
        <v>116</v>
      </c>
      <c r="D3176" t="s">
        <v>117</v>
      </c>
      <c r="E3176" s="1">
        <v>44206</v>
      </c>
      <c r="F3176">
        <v>1</v>
      </c>
      <c r="G3176" t="s">
        <v>7</v>
      </c>
      <c r="H3176" t="s">
        <v>8</v>
      </c>
      <c r="I3176" s="3">
        <v>1738</v>
      </c>
      <c r="J3176" s="3">
        <v>1738</v>
      </c>
      <c r="K3176" s="3">
        <v>388</v>
      </c>
      <c r="L3176" t="s">
        <v>113</v>
      </c>
      <c r="M3176">
        <v>8</v>
      </c>
      <c r="N3176" t="s">
        <v>80</v>
      </c>
      <c r="O3176" t="s">
        <v>81</v>
      </c>
      <c r="P3176" t="s">
        <v>12</v>
      </c>
      <c r="Q3176" t="s">
        <v>13</v>
      </c>
      <c r="R3176" t="s">
        <v>13</v>
      </c>
      <c r="S3176" t="s">
        <v>144</v>
      </c>
      <c r="T3176" s="2">
        <f>MASTER[[#This Row],[CANTIDAD]]*MASTER[[#This Row],[PRECIO DE VENTA]]</f>
        <v>1738</v>
      </c>
      <c r="U3176" s="2">
        <f>MASTER[[#This Row],[CANTIDAD]]*MASTER[[#This Row],[COSTO UNITARIO]]</f>
        <v>388</v>
      </c>
      <c r="V3176" s="2">
        <f>MASTER[[#This Row],[MONTO VENDIDO]]-MASTER[[#This Row],[COSTO DE VENTA]]</f>
        <v>1350</v>
      </c>
    </row>
    <row r="3177" spans="1:22" x14ac:dyDescent="0.3">
      <c r="A3177">
        <v>51140</v>
      </c>
      <c r="B3177">
        <v>1</v>
      </c>
      <c r="C3177" t="s">
        <v>121</v>
      </c>
      <c r="D3177" t="s">
        <v>122</v>
      </c>
      <c r="E3177" s="1">
        <v>44206</v>
      </c>
      <c r="F3177">
        <v>1</v>
      </c>
      <c r="G3177" t="s">
        <v>65</v>
      </c>
      <c r="H3177" t="s">
        <v>66</v>
      </c>
      <c r="I3177" s="3">
        <v>1069</v>
      </c>
      <c r="J3177" s="3">
        <v>1069</v>
      </c>
      <c r="K3177" s="3">
        <v>460</v>
      </c>
      <c r="L3177" t="s">
        <v>120</v>
      </c>
      <c r="M3177">
        <v>7</v>
      </c>
      <c r="N3177" t="s">
        <v>84</v>
      </c>
      <c r="O3177" t="s">
        <v>81</v>
      </c>
      <c r="P3177" t="s">
        <v>12</v>
      </c>
      <c r="Q3177" t="s">
        <v>13</v>
      </c>
      <c r="R3177" t="s">
        <v>13</v>
      </c>
      <c r="S3177" t="s">
        <v>144</v>
      </c>
      <c r="T3177" s="2">
        <f>MASTER[[#This Row],[CANTIDAD]]*MASTER[[#This Row],[PRECIO DE VENTA]]</f>
        <v>1069</v>
      </c>
      <c r="U3177" s="2">
        <f>MASTER[[#This Row],[CANTIDAD]]*MASTER[[#This Row],[COSTO UNITARIO]]</f>
        <v>460</v>
      </c>
      <c r="V3177" s="2">
        <f>MASTER[[#This Row],[MONTO VENDIDO]]-MASTER[[#This Row],[COSTO DE VENTA]]</f>
        <v>609</v>
      </c>
    </row>
    <row r="3178" spans="1:22" x14ac:dyDescent="0.3">
      <c r="A3178">
        <v>51155</v>
      </c>
      <c r="B3178">
        <v>1</v>
      </c>
      <c r="C3178" t="s">
        <v>103</v>
      </c>
      <c r="D3178" t="s">
        <v>104</v>
      </c>
      <c r="E3178" s="1">
        <v>44206</v>
      </c>
      <c r="F3178">
        <v>1</v>
      </c>
      <c r="G3178" t="s">
        <v>57</v>
      </c>
      <c r="H3178" t="s">
        <v>58</v>
      </c>
      <c r="I3178" s="3">
        <v>1830</v>
      </c>
      <c r="J3178" s="3">
        <v>1830</v>
      </c>
      <c r="K3178" s="3">
        <v>421</v>
      </c>
      <c r="L3178" t="s">
        <v>98</v>
      </c>
      <c r="M3178">
        <v>9</v>
      </c>
      <c r="N3178" t="s">
        <v>76</v>
      </c>
      <c r="O3178" t="s">
        <v>70</v>
      </c>
      <c r="P3178" t="s">
        <v>12</v>
      </c>
      <c r="Q3178" t="s">
        <v>13</v>
      </c>
      <c r="R3178" t="s">
        <v>13</v>
      </c>
      <c r="S3178" t="s">
        <v>144</v>
      </c>
      <c r="T3178" s="2">
        <f>MASTER[[#This Row],[CANTIDAD]]*MASTER[[#This Row],[PRECIO DE VENTA]]</f>
        <v>1830</v>
      </c>
      <c r="U3178" s="2">
        <f>MASTER[[#This Row],[CANTIDAD]]*MASTER[[#This Row],[COSTO UNITARIO]]</f>
        <v>421</v>
      </c>
      <c r="V3178" s="2">
        <f>MASTER[[#This Row],[MONTO VENDIDO]]-MASTER[[#This Row],[COSTO DE VENTA]]</f>
        <v>1409</v>
      </c>
    </row>
    <row r="3179" spans="1:22" x14ac:dyDescent="0.3">
      <c r="A3179">
        <v>51180</v>
      </c>
      <c r="B3179">
        <v>1</v>
      </c>
      <c r="C3179" t="s">
        <v>114</v>
      </c>
      <c r="D3179" t="s">
        <v>115</v>
      </c>
      <c r="E3179" s="1">
        <v>44206</v>
      </c>
      <c r="F3179">
        <v>1</v>
      </c>
      <c r="G3179" t="s">
        <v>45</v>
      </c>
      <c r="H3179" t="s">
        <v>46</v>
      </c>
      <c r="I3179" s="3">
        <v>2030</v>
      </c>
      <c r="J3179" s="3">
        <v>2030</v>
      </c>
      <c r="K3179" s="3">
        <v>394</v>
      </c>
      <c r="L3179" t="s">
        <v>113</v>
      </c>
      <c r="M3179">
        <v>18</v>
      </c>
      <c r="N3179" t="s">
        <v>79</v>
      </c>
      <c r="O3179" t="s">
        <v>70</v>
      </c>
      <c r="P3179" t="s">
        <v>15</v>
      </c>
      <c r="Q3179" t="s">
        <v>16</v>
      </c>
      <c r="R3179" t="s">
        <v>16</v>
      </c>
      <c r="S3179" t="s">
        <v>144</v>
      </c>
      <c r="T3179" s="2">
        <f>MASTER[[#This Row],[CANTIDAD]]*MASTER[[#This Row],[PRECIO DE VENTA]]</f>
        <v>2030</v>
      </c>
      <c r="U3179" s="2">
        <f>MASTER[[#This Row],[CANTIDAD]]*MASTER[[#This Row],[COSTO UNITARIO]]</f>
        <v>394</v>
      </c>
      <c r="V3179" s="2">
        <f>MASTER[[#This Row],[MONTO VENDIDO]]-MASTER[[#This Row],[COSTO DE VENTA]]</f>
        <v>1636</v>
      </c>
    </row>
    <row r="3180" spans="1:22" x14ac:dyDescent="0.3">
      <c r="A3180">
        <v>51215</v>
      </c>
      <c r="B3180">
        <v>1</v>
      </c>
      <c r="C3180" t="s">
        <v>94</v>
      </c>
      <c r="D3180" t="s">
        <v>95</v>
      </c>
      <c r="E3180" s="1">
        <v>44207</v>
      </c>
      <c r="F3180">
        <v>1</v>
      </c>
      <c r="G3180" t="s">
        <v>55</v>
      </c>
      <c r="H3180" t="s">
        <v>56</v>
      </c>
      <c r="I3180" s="3">
        <v>1048</v>
      </c>
      <c r="J3180" s="3">
        <v>964</v>
      </c>
      <c r="K3180" s="3">
        <v>392</v>
      </c>
      <c r="L3180" t="s">
        <v>9</v>
      </c>
      <c r="M3180">
        <v>7</v>
      </c>
      <c r="N3180" t="s">
        <v>84</v>
      </c>
      <c r="O3180" t="s">
        <v>81</v>
      </c>
      <c r="P3180" t="s">
        <v>12</v>
      </c>
      <c r="Q3180" t="s">
        <v>13</v>
      </c>
      <c r="R3180" t="s">
        <v>13</v>
      </c>
      <c r="S3180" t="s">
        <v>144</v>
      </c>
      <c r="T3180" s="2">
        <f>MASTER[[#This Row],[CANTIDAD]]*MASTER[[#This Row],[PRECIO DE VENTA]]</f>
        <v>964</v>
      </c>
      <c r="U3180" s="2">
        <f>MASTER[[#This Row],[CANTIDAD]]*MASTER[[#This Row],[COSTO UNITARIO]]</f>
        <v>392</v>
      </c>
      <c r="V3180" s="2">
        <f>MASTER[[#This Row],[MONTO VENDIDO]]-MASTER[[#This Row],[COSTO DE VENTA]]</f>
        <v>572</v>
      </c>
    </row>
    <row r="3181" spans="1:22" x14ac:dyDescent="0.3">
      <c r="A3181">
        <v>51225</v>
      </c>
      <c r="B3181">
        <v>1</v>
      </c>
      <c r="C3181" t="s">
        <v>109</v>
      </c>
      <c r="D3181" t="s">
        <v>110</v>
      </c>
      <c r="E3181" s="1">
        <v>44207</v>
      </c>
      <c r="F3181">
        <v>1</v>
      </c>
      <c r="G3181" t="s">
        <v>67</v>
      </c>
      <c r="H3181" t="s">
        <v>68</v>
      </c>
      <c r="I3181" s="3">
        <v>1064</v>
      </c>
      <c r="J3181" s="3">
        <v>1064</v>
      </c>
      <c r="K3181" s="3">
        <v>387</v>
      </c>
      <c r="L3181" t="s">
        <v>98</v>
      </c>
      <c r="M3181">
        <v>15</v>
      </c>
      <c r="N3181" t="s">
        <v>88</v>
      </c>
      <c r="O3181" t="s">
        <v>81</v>
      </c>
      <c r="P3181" t="s">
        <v>18</v>
      </c>
      <c r="Q3181" t="s">
        <v>19</v>
      </c>
      <c r="R3181" t="s">
        <v>138</v>
      </c>
      <c r="S3181" t="s">
        <v>144</v>
      </c>
      <c r="T3181" s="2">
        <f>MASTER[[#This Row],[CANTIDAD]]*MASTER[[#This Row],[PRECIO DE VENTA]]</f>
        <v>1064</v>
      </c>
      <c r="U3181" s="2">
        <f>MASTER[[#This Row],[CANTIDAD]]*MASTER[[#This Row],[COSTO UNITARIO]]</f>
        <v>387</v>
      </c>
      <c r="V3181" s="2">
        <f>MASTER[[#This Row],[MONTO VENDIDO]]-MASTER[[#This Row],[COSTO DE VENTA]]</f>
        <v>677</v>
      </c>
    </row>
    <row r="3182" spans="1:22" x14ac:dyDescent="0.3">
      <c r="A3182">
        <v>51234</v>
      </c>
      <c r="B3182">
        <v>1</v>
      </c>
      <c r="C3182" t="s">
        <v>96</v>
      </c>
      <c r="D3182" t="s">
        <v>97</v>
      </c>
      <c r="E3182" s="1">
        <v>44207</v>
      </c>
      <c r="F3182">
        <v>1</v>
      </c>
      <c r="G3182" t="s">
        <v>29</v>
      </c>
      <c r="H3182" t="s">
        <v>30</v>
      </c>
      <c r="I3182" s="3">
        <v>1196</v>
      </c>
      <c r="J3182" s="3">
        <v>1196</v>
      </c>
      <c r="K3182" s="3">
        <v>397</v>
      </c>
      <c r="L3182" t="s">
        <v>98</v>
      </c>
      <c r="M3182">
        <v>16</v>
      </c>
      <c r="N3182" t="s">
        <v>17</v>
      </c>
      <c r="O3182" t="s">
        <v>11</v>
      </c>
      <c r="P3182" t="s">
        <v>18</v>
      </c>
      <c r="Q3182" t="s">
        <v>19</v>
      </c>
      <c r="R3182" t="s">
        <v>138</v>
      </c>
      <c r="S3182" t="s">
        <v>144</v>
      </c>
      <c r="T3182" s="2">
        <f>MASTER[[#This Row],[CANTIDAD]]*MASTER[[#This Row],[PRECIO DE VENTA]]</f>
        <v>1196</v>
      </c>
      <c r="U3182" s="2">
        <f>MASTER[[#This Row],[CANTIDAD]]*MASTER[[#This Row],[COSTO UNITARIO]]</f>
        <v>397</v>
      </c>
      <c r="V3182" s="2">
        <f>MASTER[[#This Row],[MONTO VENDIDO]]-MASTER[[#This Row],[COSTO DE VENTA]]</f>
        <v>799</v>
      </c>
    </row>
    <row r="3183" spans="1:22" x14ac:dyDescent="0.3">
      <c r="A3183">
        <v>51239</v>
      </c>
      <c r="B3183">
        <v>1</v>
      </c>
      <c r="C3183" t="s">
        <v>109</v>
      </c>
      <c r="D3183" t="s">
        <v>110</v>
      </c>
      <c r="E3183" s="1">
        <v>44207</v>
      </c>
      <c r="F3183">
        <v>1</v>
      </c>
      <c r="G3183" t="s">
        <v>22</v>
      </c>
      <c r="H3183" t="s">
        <v>23</v>
      </c>
      <c r="I3183" s="3">
        <v>1128</v>
      </c>
      <c r="J3183" s="3">
        <v>1128</v>
      </c>
      <c r="K3183" s="3">
        <v>387</v>
      </c>
      <c r="L3183" t="s">
        <v>98</v>
      </c>
      <c r="M3183">
        <v>18</v>
      </c>
      <c r="N3183" t="s">
        <v>79</v>
      </c>
      <c r="O3183" t="s">
        <v>70</v>
      </c>
      <c r="P3183" t="s">
        <v>15</v>
      </c>
      <c r="Q3183" t="s">
        <v>16</v>
      </c>
      <c r="R3183" t="s">
        <v>16</v>
      </c>
      <c r="S3183" t="s">
        <v>144</v>
      </c>
      <c r="T3183" s="2">
        <f>MASTER[[#This Row],[CANTIDAD]]*MASTER[[#This Row],[PRECIO DE VENTA]]</f>
        <v>1128</v>
      </c>
      <c r="U3183" s="2">
        <f>MASTER[[#This Row],[CANTIDAD]]*MASTER[[#This Row],[COSTO UNITARIO]]</f>
        <v>387</v>
      </c>
      <c r="V3183" s="2">
        <f>MASTER[[#This Row],[MONTO VENDIDO]]-MASTER[[#This Row],[COSTO DE VENTA]]</f>
        <v>741</v>
      </c>
    </row>
    <row r="3184" spans="1:22" x14ac:dyDescent="0.3">
      <c r="A3184">
        <v>51251</v>
      </c>
      <c r="B3184">
        <v>1</v>
      </c>
      <c r="C3184" t="s">
        <v>94</v>
      </c>
      <c r="D3184" t="s">
        <v>95</v>
      </c>
      <c r="E3184" s="1">
        <v>44207</v>
      </c>
      <c r="F3184">
        <v>2</v>
      </c>
      <c r="G3184" t="s">
        <v>67</v>
      </c>
      <c r="H3184" t="s">
        <v>68</v>
      </c>
      <c r="I3184" s="3">
        <v>1153</v>
      </c>
      <c r="J3184" s="3">
        <v>1153</v>
      </c>
      <c r="K3184" s="3">
        <v>392</v>
      </c>
      <c r="L3184" t="s">
        <v>9</v>
      </c>
      <c r="M3184">
        <v>1</v>
      </c>
      <c r="N3184" t="s">
        <v>77</v>
      </c>
      <c r="O3184" t="s">
        <v>70</v>
      </c>
      <c r="P3184" t="s">
        <v>71</v>
      </c>
      <c r="Q3184" t="s">
        <v>72</v>
      </c>
      <c r="R3184" t="s">
        <v>139</v>
      </c>
      <c r="S3184" t="s">
        <v>144</v>
      </c>
      <c r="T3184" s="2">
        <f>MASTER[[#This Row],[CANTIDAD]]*MASTER[[#This Row],[PRECIO DE VENTA]]</f>
        <v>2306</v>
      </c>
      <c r="U3184" s="2">
        <f>MASTER[[#This Row],[CANTIDAD]]*MASTER[[#This Row],[COSTO UNITARIO]]</f>
        <v>784</v>
      </c>
      <c r="V3184" s="2">
        <f>MASTER[[#This Row],[MONTO VENDIDO]]-MASTER[[#This Row],[COSTO DE VENTA]]</f>
        <v>1522</v>
      </c>
    </row>
    <row r="3185" spans="1:22" x14ac:dyDescent="0.3">
      <c r="A3185">
        <v>51259</v>
      </c>
      <c r="B3185">
        <v>1</v>
      </c>
      <c r="C3185" t="s">
        <v>105</v>
      </c>
      <c r="D3185" t="s">
        <v>106</v>
      </c>
      <c r="E3185" s="1">
        <v>44207</v>
      </c>
      <c r="F3185">
        <v>1</v>
      </c>
      <c r="G3185" t="s">
        <v>39</v>
      </c>
      <c r="H3185" t="s">
        <v>40</v>
      </c>
      <c r="I3185" s="3">
        <v>1865</v>
      </c>
      <c r="J3185" s="3">
        <v>1865</v>
      </c>
      <c r="K3185" s="3">
        <v>459</v>
      </c>
      <c r="L3185" t="s">
        <v>98</v>
      </c>
      <c r="M3185">
        <v>4</v>
      </c>
      <c r="N3185" t="s">
        <v>82</v>
      </c>
      <c r="O3185" t="s">
        <v>81</v>
      </c>
      <c r="P3185" t="s">
        <v>71</v>
      </c>
      <c r="Q3185" t="s">
        <v>72</v>
      </c>
      <c r="R3185" t="s">
        <v>139</v>
      </c>
      <c r="S3185" t="s">
        <v>144</v>
      </c>
      <c r="T3185" s="2">
        <f>MASTER[[#This Row],[CANTIDAD]]*MASTER[[#This Row],[PRECIO DE VENTA]]</f>
        <v>1865</v>
      </c>
      <c r="U3185" s="2">
        <f>MASTER[[#This Row],[CANTIDAD]]*MASTER[[#This Row],[COSTO UNITARIO]]</f>
        <v>459</v>
      </c>
      <c r="V3185" s="2">
        <f>MASTER[[#This Row],[MONTO VENDIDO]]-MASTER[[#This Row],[COSTO DE VENTA]]</f>
        <v>1406</v>
      </c>
    </row>
    <row r="3186" spans="1:22" x14ac:dyDescent="0.3">
      <c r="A3186">
        <v>51266</v>
      </c>
      <c r="B3186">
        <v>1</v>
      </c>
      <c r="C3186" t="s">
        <v>92</v>
      </c>
      <c r="D3186" t="s">
        <v>93</v>
      </c>
      <c r="E3186" s="1">
        <v>44207</v>
      </c>
      <c r="F3186">
        <v>1</v>
      </c>
      <c r="G3186" t="s">
        <v>37</v>
      </c>
      <c r="H3186" t="s">
        <v>38</v>
      </c>
      <c r="I3186" s="3">
        <v>1866</v>
      </c>
      <c r="J3186" s="3">
        <v>1866</v>
      </c>
      <c r="K3186" s="3">
        <v>396</v>
      </c>
      <c r="L3186" t="s">
        <v>9</v>
      </c>
      <c r="M3186">
        <v>13</v>
      </c>
      <c r="N3186" t="s">
        <v>78</v>
      </c>
      <c r="O3186" t="s">
        <v>70</v>
      </c>
      <c r="P3186" t="s">
        <v>18</v>
      </c>
      <c r="Q3186" t="s">
        <v>19</v>
      </c>
      <c r="R3186" t="s">
        <v>138</v>
      </c>
      <c r="S3186" t="s">
        <v>144</v>
      </c>
      <c r="T3186" s="2">
        <f>MASTER[[#This Row],[CANTIDAD]]*MASTER[[#This Row],[PRECIO DE VENTA]]</f>
        <v>1866</v>
      </c>
      <c r="U3186" s="2">
        <f>MASTER[[#This Row],[CANTIDAD]]*MASTER[[#This Row],[COSTO UNITARIO]]</f>
        <v>396</v>
      </c>
      <c r="V3186" s="2">
        <f>MASTER[[#This Row],[MONTO VENDIDO]]-MASTER[[#This Row],[COSTO DE VENTA]]</f>
        <v>1470</v>
      </c>
    </row>
    <row r="3187" spans="1:22" x14ac:dyDescent="0.3">
      <c r="A3187">
        <v>51270</v>
      </c>
      <c r="B3187">
        <v>1</v>
      </c>
      <c r="C3187" t="s">
        <v>101</v>
      </c>
      <c r="D3187" t="s">
        <v>102</v>
      </c>
      <c r="E3187" s="1">
        <v>44208</v>
      </c>
      <c r="F3187">
        <v>1</v>
      </c>
      <c r="G3187" t="s">
        <v>24</v>
      </c>
      <c r="H3187" t="s">
        <v>25</v>
      </c>
      <c r="I3187" s="3">
        <v>1054</v>
      </c>
      <c r="J3187" s="3">
        <v>1054</v>
      </c>
      <c r="K3187" s="3">
        <v>442</v>
      </c>
      <c r="L3187" t="s">
        <v>98</v>
      </c>
      <c r="M3187">
        <v>17</v>
      </c>
      <c r="N3187" t="s">
        <v>14</v>
      </c>
      <c r="O3187" t="s">
        <v>11</v>
      </c>
      <c r="P3187" t="s">
        <v>15</v>
      </c>
      <c r="Q3187" t="s">
        <v>16</v>
      </c>
      <c r="R3187" t="s">
        <v>16</v>
      </c>
      <c r="S3187" t="s">
        <v>144</v>
      </c>
      <c r="T3187" s="2">
        <f>MASTER[[#This Row],[CANTIDAD]]*MASTER[[#This Row],[PRECIO DE VENTA]]</f>
        <v>1054</v>
      </c>
      <c r="U3187" s="2">
        <f>MASTER[[#This Row],[CANTIDAD]]*MASTER[[#This Row],[COSTO UNITARIO]]</f>
        <v>442</v>
      </c>
      <c r="V3187" s="2">
        <f>MASTER[[#This Row],[MONTO VENDIDO]]-MASTER[[#This Row],[COSTO DE VENTA]]</f>
        <v>612</v>
      </c>
    </row>
    <row r="3188" spans="1:22" x14ac:dyDescent="0.3">
      <c r="A3188">
        <v>51280</v>
      </c>
      <c r="B3188">
        <v>1</v>
      </c>
      <c r="C3188" t="s">
        <v>90</v>
      </c>
      <c r="D3188" t="s">
        <v>91</v>
      </c>
      <c r="E3188" s="1">
        <v>44208</v>
      </c>
      <c r="F3188">
        <v>1</v>
      </c>
      <c r="G3188" t="s">
        <v>65</v>
      </c>
      <c r="H3188" t="s">
        <v>66</v>
      </c>
      <c r="I3188" s="3">
        <v>1660</v>
      </c>
      <c r="J3188" s="3">
        <v>1660</v>
      </c>
      <c r="K3188" s="3">
        <v>420</v>
      </c>
      <c r="L3188" t="s">
        <v>9</v>
      </c>
      <c r="M3188">
        <v>12</v>
      </c>
      <c r="N3188" t="s">
        <v>26</v>
      </c>
      <c r="O3188" t="s">
        <v>11</v>
      </c>
      <c r="P3188" t="s">
        <v>12</v>
      </c>
      <c r="Q3188" t="s">
        <v>13</v>
      </c>
      <c r="R3188" t="s">
        <v>13</v>
      </c>
      <c r="S3188" t="s">
        <v>144</v>
      </c>
      <c r="T3188" s="2">
        <f>MASTER[[#This Row],[CANTIDAD]]*MASTER[[#This Row],[PRECIO DE VENTA]]</f>
        <v>1660</v>
      </c>
      <c r="U3188" s="2">
        <f>MASTER[[#This Row],[CANTIDAD]]*MASTER[[#This Row],[COSTO UNITARIO]]</f>
        <v>420</v>
      </c>
      <c r="V3188" s="2">
        <f>MASTER[[#This Row],[MONTO VENDIDO]]-MASTER[[#This Row],[COSTO DE VENTA]]</f>
        <v>1240</v>
      </c>
    </row>
    <row r="3189" spans="1:22" x14ac:dyDescent="0.3">
      <c r="A3189">
        <v>51287</v>
      </c>
      <c r="B3189">
        <v>1</v>
      </c>
      <c r="C3189" t="s">
        <v>118</v>
      </c>
      <c r="D3189" t="s">
        <v>119</v>
      </c>
      <c r="E3189" s="1">
        <v>44208</v>
      </c>
      <c r="F3189">
        <v>1</v>
      </c>
      <c r="G3189" t="s">
        <v>24</v>
      </c>
      <c r="H3189" t="s">
        <v>25</v>
      </c>
      <c r="I3189" s="3">
        <v>1026</v>
      </c>
      <c r="J3189" s="3">
        <v>1026</v>
      </c>
      <c r="K3189" s="3">
        <v>424</v>
      </c>
      <c r="L3189" t="s">
        <v>120</v>
      </c>
      <c r="M3189">
        <v>6</v>
      </c>
      <c r="N3189" t="s">
        <v>75</v>
      </c>
      <c r="O3189" t="s">
        <v>70</v>
      </c>
      <c r="P3189" t="s">
        <v>12</v>
      </c>
      <c r="Q3189" t="s">
        <v>13</v>
      </c>
      <c r="R3189" t="s">
        <v>13</v>
      </c>
      <c r="S3189" t="s">
        <v>144</v>
      </c>
      <c r="T3189" s="2">
        <f>MASTER[[#This Row],[CANTIDAD]]*MASTER[[#This Row],[PRECIO DE VENTA]]</f>
        <v>1026</v>
      </c>
      <c r="U3189" s="2">
        <f>MASTER[[#This Row],[CANTIDAD]]*MASTER[[#This Row],[COSTO UNITARIO]]</f>
        <v>424</v>
      </c>
      <c r="V3189" s="2">
        <f>MASTER[[#This Row],[MONTO VENDIDO]]-MASTER[[#This Row],[COSTO DE VENTA]]</f>
        <v>602</v>
      </c>
    </row>
    <row r="3190" spans="1:22" x14ac:dyDescent="0.3">
      <c r="A3190">
        <v>51309</v>
      </c>
      <c r="B3190">
        <v>1</v>
      </c>
      <c r="C3190" t="s">
        <v>101</v>
      </c>
      <c r="D3190" t="s">
        <v>102</v>
      </c>
      <c r="E3190" s="1">
        <v>44208</v>
      </c>
      <c r="F3190">
        <v>1</v>
      </c>
      <c r="G3190" t="s">
        <v>53</v>
      </c>
      <c r="H3190" t="s">
        <v>54</v>
      </c>
      <c r="I3190" s="3">
        <v>1212</v>
      </c>
      <c r="J3190" s="3">
        <v>1212</v>
      </c>
      <c r="K3190" s="3">
        <v>442</v>
      </c>
      <c r="L3190" t="s">
        <v>98</v>
      </c>
      <c r="M3190">
        <v>8</v>
      </c>
      <c r="N3190" t="s">
        <v>80</v>
      </c>
      <c r="O3190" t="s">
        <v>81</v>
      </c>
      <c r="P3190" t="s">
        <v>12</v>
      </c>
      <c r="Q3190" t="s">
        <v>13</v>
      </c>
      <c r="R3190" t="s">
        <v>13</v>
      </c>
      <c r="S3190" t="s">
        <v>144</v>
      </c>
      <c r="T3190" s="2">
        <f>MASTER[[#This Row],[CANTIDAD]]*MASTER[[#This Row],[PRECIO DE VENTA]]</f>
        <v>1212</v>
      </c>
      <c r="U3190" s="2">
        <f>MASTER[[#This Row],[CANTIDAD]]*MASTER[[#This Row],[COSTO UNITARIO]]</f>
        <v>442</v>
      </c>
      <c r="V3190" s="2">
        <f>MASTER[[#This Row],[MONTO VENDIDO]]-MASTER[[#This Row],[COSTO DE VENTA]]</f>
        <v>770</v>
      </c>
    </row>
    <row r="3191" spans="1:22" x14ac:dyDescent="0.3">
      <c r="A3191">
        <v>51319</v>
      </c>
      <c r="B3191">
        <v>1</v>
      </c>
      <c r="C3191" t="s">
        <v>111</v>
      </c>
      <c r="D3191" t="s">
        <v>112</v>
      </c>
      <c r="E3191" s="1">
        <v>44208</v>
      </c>
      <c r="F3191">
        <v>1</v>
      </c>
      <c r="G3191" t="s">
        <v>29</v>
      </c>
      <c r="H3191" t="s">
        <v>30</v>
      </c>
      <c r="I3191" s="3">
        <v>1621</v>
      </c>
      <c r="J3191" s="3">
        <v>1621</v>
      </c>
      <c r="K3191" s="3">
        <v>434</v>
      </c>
      <c r="L3191" t="s">
        <v>113</v>
      </c>
      <c r="M3191">
        <v>4</v>
      </c>
      <c r="N3191" t="s">
        <v>82</v>
      </c>
      <c r="O3191" t="s">
        <v>81</v>
      </c>
      <c r="P3191" t="s">
        <v>71</v>
      </c>
      <c r="Q3191" t="s">
        <v>72</v>
      </c>
      <c r="R3191" t="s">
        <v>139</v>
      </c>
      <c r="S3191" t="s">
        <v>144</v>
      </c>
      <c r="T3191" s="2">
        <f>MASTER[[#This Row],[CANTIDAD]]*MASTER[[#This Row],[PRECIO DE VENTA]]</f>
        <v>1621</v>
      </c>
      <c r="U3191" s="2">
        <f>MASTER[[#This Row],[CANTIDAD]]*MASTER[[#This Row],[COSTO UNITARIO]]</f>
        <v>434</v>
      </c>
      <c r="V3191" s="2">
        <f>MASTER[[#This Row],[MONTO VENDIDO]]-MASTER[[#This Row],[COSTO DE VENTA]]</f>
        <v>1187</v>
      </c>
    </row>
    <row r="3192" spans="1:22" x14ac:dyDescent="0.3">
      <c r="A3192">
        <v>51335</v>
      </c>
      <c r="B3192">
        <v>1</v>
      </c>
      <c r="C3192" t="s">
        <v>121</v>
      </c>
      <c r="D3192" t="s">
        <v>122</v>
      </c>
      <c r="E3192" s="1">
        <v>44208</v>
      </c>
      <c r="F3192">
        <v>1</v>
      </c>
      <c r="G3192" t="s">
        <v>73</v>
      </c>
      <c r="H3192" t="s">
        <v>74</v>
      </c>
      <c r="I3192" s="3">
        <v>1144</v>
      </c>
      <c r="J3192" s="3">
        <v>1144</v>
      </c>
      <c r="K3192" s="3">
        <v>460</v>
      </c>
      <c r="L3192" t="s">
        <v>120</v>
      </c>
      <c r="M3192">
        <v>1</v>
      </c>
      <c r="N3192" t="s">
        <v>77</v>
      </c>
      <c r="O3192" t="s">
        <v>70</v>
      </c>
      <c r="P3192" t="s">
        <v>71</v>
      </c>
      <c r="Q3192" t="s">
        <v>72</v>
      </c>
      <c r="R3192" t="s">
        <v>139</v>
      </c>
      <c r="S3192" t="s">
        <v>144</v>
      </c>
      <c r="T3192" s="2">
        <f>MASTER[[#This Row],[CANTIDAD]]*MASTER[[#This Row],[PRECIO DE VENTA]]</f>
        <v>1144</v>
      </c>
      <c r="U3192" s="2">
        <f>MASTER[[#This Row],[CANTIDAD]]*MASTER[[#This Row],[COSTO UNITARIO]]</f>
        <v>460</v>
      </c>
      <c r="V3192" s="2">
        <f>MASTER[[#This Row],[MONTO VENDIDO]]-MASTER[[#This Row],[COSTO DE VENTA]]</f>
        <v>684</v>
      </c>
    </row>
    <row r="3193" spans="1:22" x14ac:dyDescent="0.3">
      <c r="A3193">
        <v>51336</v>
      </c>
      <c r="B3193">
        <v>1</v>
      </c>
      <c r="C3193" t="s">
        <v>109</v>
      </c>
      <c r="D3193" t="s">
        <v>110</v>
      </c>
      <c r="E3193" s="1">
        <v>44209</v>
      </c>
      <c r="F3193">
        <v>4</v>
      </c>
      <c r="G3193" t="s">
        <v>29</v>
      </c>
      <c r="H3193" t="s">
        <v>30</v>
      </c>
      <c r="I3193" s="3">
        <v>1064</v>
      </c>
      <c r="J3193" s="3">
        <v>1064</v>
      </c>
      <c r="K3193" s="3">
        <v>387</v>
      </c>
      <c r="L3193" t="s">
        <v>98</v>
      </c>
      <c r="M3193">
        <v>19</v>
      </c>
      <c r="N3193" t="s">
        <v>89</v>
      </c>
      <c r="O3193" t="s">
        <v>81</v>
      </c>
      <c r="P3193" t="s">
        <v>15</v>
      </c>
      <c r="Q3193" t="s">
        <v>16</v>
      </c>
      <c r="R3193" t="s">
        <v>16</v>
      </c>
      <c r="S3193" t="s">
        <v>144</v>
      </c>
      <c r="T3193" s="2">
        <f>MASTER[[#This Row],[CANTIDAD]]*MASTER[[#This Row],[PRECIO DE VENTA]]</f>
        <v>4256</v>
      </c>
      <c r="U3193" s="2">
        <f>MASTER[[#This Row],[CANTIDAD]]*MASTER[[#This Row],[COSTO UNITARIO]]</f>
        <v>1548</v>
      </c>
      <c r="V3193" s="2">
        <f>MASTER[[#This Row],[MONTO VENDIDO]]-MASTER[[#This Row],[COSTO DE VENTA]]</f>
        <v>2708</v>
      </c>
    </row>
    <row r="3194" spans="1:22" x14ac:dyDescent="0.3">
      <c r="A3194">
        <v>51337</v>
      </c>
      <c r="B3194">
        <v>1</v>
      </c>
      <c r="C3194" t="s">
        <v>92</v>
      </c>
      <c r="D3194" t="s">
        <v>93</v>
      </c>
      <c r="E3194" s="1">
        <v>44209</v>
      </c>
      <c r="F3194">
        <v>1</v>
      </c>
      <c r="G3194" t="s">
        <v>65</v>
      </c>
      <c r="H3194" t="s">
        <v>66</v>
      </c>
      <c r="I3194" s="3">
        <v>1479</v>
      </c>
      <c r="J3194" s="3">
        <v>1360</v>
      </c>
      <c r="K3194" s="3">
        <v>396</v>
      </c>
      <c r="L3194" t="s">
        <v>9</v>
      </c>
      <c r="M3194">
        <v>17</v>
      </c>
      <c r="N3194" t="s">
        <v>14</v>
      </c>
      <c r="O3194" t="s">
        <v>11</v>
      </c>
      <c r="P3194" t="s">
        <v>15</v>
      </c>
      <c r="Q3194" t="s">
        <v>16</v>
      </c>
      <c r="R3194" t="s">
        <v>16</v>
      </c>
      <c r="S3194" t="s">
        <v>144</v>
      </c>
      <c r="T3194" s="2">
        <f>MASTER[[#This Row],[CANTIDAD]]*MASTER[[#This Row],[PRECIO DE VENTA]]</f>
        <v>1360</v>
      </c>
      <c r="U3194" s="2">
        <f>MASTER[[#This Row],[CANTIDAD]]*MASTER[[#This Row],[COSTO UNITARIO]]</f>
        <v>396</v>
      </c>
      <c r="V3194" s="2">
        <f>MASTER[[#This Row],[MONTO VENDIDO]]-MASTER[[#This Row],[COSTO DE VENTA]]</f>
        <v>964</v>
      </c>
    </row>
    <row r="3195" spans="1:22" x14ac:dyDescent="0.3">
      <c r="A3195">
        <v>51339</v>
      </c>
      <c r="B3195">
        <v>1</v>
      </c>
      <c r="C3195" t="s">
        <v>90</v>
      </c>
      <c r="D3195" t="s">
        <v>91</v>
      </c>
      <c r="E3195" s="1">
        <v>44209</v>
      </c>
      <c r="F3195">
        <v>1</v>
      </c>
      <c r="G3195" t="s">
        <v>61</v>
      </c>
      <c r="H3195" t="s">
        <v>62</v>
      </c>
      <c r="I3195" s="3">
        <v>1844</v>
      </c>
      <c r="J3195" s="3">
        <v>1844</v>
      </c>
      <c r="K3195" s="3">
        <v>420</v>
      </c>
      <c r="L3195" t="s">
        <v>9</v>
      </c>
      <c r="M3195">
        <v>10</v>
      </c>
      <c r="N3195" t="s">
        <v>83</v>
      </c>
      <c r="O3195" t="s">
        <v>81</v>
      </c>
      <c r="P3195" t="s">
        <v>12</v>
      </c>
      <c r="Q3195" t="s">
        <v>13</v>
      </c>
      <c r="R3195" t="s">
        <v>13</v>
      </c>
      <c r="S3195" t="s">
        <v>144</v>
      </c>
      <c r="T3195" s="2">
        <f>MASTER[[#This Row],[CANTIDAD]]*MASTER[[#This Row],[PRECIO DE VENTA]]</f>
        <v>1844</v>
      </c>
      <c r="U3195" s="2">
        <f>MASTER[[#This Row],[CANTIDAD]]*MASTER[[#This Row],[COSTO UNITARIO]]</f>
        <v>420</v>
      </c>
      <c r="V3195" s="2">
        <f>MASTER[[#This Row],[MONTO VENDIDO]]-MASTER[[#This Row],[COSTO DE VENTA]]</f>
        <v>1424</v>
      </c>
    </row>
    <row r="3196" spans="1:22" x14ac:dyDescent="0.3">
      <c r="A3196">
        <v>51340</v>
      </c>
      <c r="B3196">
        <v>1</v>
      </c>
      <c r="C3196" t="s">
        <v>99</v>
      </c>
      <c r="D3196" t="s">
        <v>100</v>
      </c>
      <c r="E3196" s="1">
        <v>44209</v>
      </c>
      <c r="F3196">
        <v>1</v>
      </c>
      <c r="G3196" t="s">
        <v>29</v>
      </c>
      <c r="H3196" t="s">
        <v>30</v>
      </c>
      <c r="I3196" s="3">
        <v>1328</v>
      </c>
      <c r="J3196" s="3">
        <v>1195</v>
      </c>
      <c r="K3196" s="3">
        <v>386</v>
      </c>
      <c r="L3196" t="s">
        <v>98</v>
      </c>
      <c r="M3196">
        <v>16</v>
      </c>
      <c r="N3196" t="s">
        <v>17</v>
      </c>
      <c r="O3196" t="s">
        <v>11</v>
      </c>
      <c r="P3196" t="s">
        <v>18</v>
      </c>
      <c r="Q3196" t="s">
        <v>19</v>
      </c>
      <c r="R3196" t="s">
        <v>138</v>
      </c>
      <c r="S3196" t="s">
        <v>144</v>
      </c>
      <c r="T3196" s="2">
        <f>MASTER[[#This Row],[CANTIDAD]]*MASTER[[#This Row],[PRECIO DE VENTA]]</f>
        <v>1195</v>
      </c>
      <c r="U3196" s="2">
        <f>MASTER[[#This Row],[CANTIDAD]]*MASTER[[#This Row],[COSTO UNITARIO]]</f>
        <v>386</v>
      </c>
      <c r="V3196" s="2">
        <f>MASTER[[#This Row],[MONTO VENDIDO]]-MASTER[[#This Row],[COSTO DE VENTA]]</f>
        <v>809</v>
      </c>
    </row>
    <row r="3197" spans="1:22" x14ac:dyDescent="0.3">
      <c r="A3197">
        <v>51346</v>
      </c>
      <c r="B3197">
        <v>1</v>
      </c>
      <c r="C3197" t="s">
        <v>116</v>
      </c>
      <c r="D3197" t="s">
        <v>117</v>
      </c>
      <c r="E3197" s="1">
        <v>44209</v>
      </c>
      <c r="F3197">
        <v>1</v>
      </c>
      <c r="G3197" t="s">
        <v>31</v>
      </c>
      <c r="H3197" t="s">
        <v>32</v>
      </c>
      <c r="I3197" s="3">
        <v>1529</v>
      </c>
      <c r="J3197" s="3">
        <v>1529</v>
      </c>
      <c r="K3197" s="3">
        <v>388</v>
      </c>
      <c r="L3197" t="s">
        <v>113</v>
      </c>
      <c r="M3197">
        <v>12</v>
      </c>
      <c r="N3197" t="s">
        <v>26</v>
      </c>
      <c r="O3197" t="s">
        <v>11</v>
      </c>
      <c r="P3197" t="s">
        <v>12</v>
      </c>
      <c r="Q3197" t="s">
        <v>13</v>
      </c>
      <c r="R3197" t="s">
        <v>13</v>
      </c>
      <c r="S3197" t="s">
        <v>144</v>
      </c>
      <c r="T3197" s="2">
        <f>MASTER[[#This Row],[CANTIDAD]]*MASTER[[#This Row],[PRECIO DE VENTA]]</f>
        <v>1529</v>
      </c>
      <c r="U3197" s="2">
        <f>MASTER[[#This Row],[CANTIDAD]]*MASTER[[#This Row],[COSTO UNITARIO]]</f>
        <v>388</v>
      </c>
      <c r="V3197" s="2">
        <f>MASTER[[#This Row],[MONTO VENDIDO]]-MASTER[[#This Row],[COSTO DE VENTA]]</f>
        <v>1141</v>
      </c>
    </row>
    <row r="3198" spans="1:22" x14ac:dyDescent="0.3">
      <c r="A3198">
        <v>51355</v>
      </c>
      <c r="B3198">
        <v>1</v>
      </c>
      <c r="C3198" t="s">
        <v>90</v>
      </c>
      <c r="D3198" t="s">
        <v>91</v>
      </c>
      <c r="E3198" s="1">
        <v>44209</v>
      </c>
      <c r="F3198">
        <v>1</v>
      </c>
      <c r="G3198" t="s">
        <v>24</v>
      </c>
      <c r="H3198" t="s">
        <v>25</v>
      </c>
      <c r="I3198" s="3">
        <v>2102</v>
      </c>
      <c r="J3198" s="3">
        <v>2017</v>
      </c>
      <c r="K3198" s="3">
        <v>420</v>
      </c>
      <c r="L3198" t="s">
        <v>9</v>
      </c>
      <c r="M3198">
        <v>6</v>
      </c>
      <c r="N3198" t="s">
        <v>75</v>
      </c>
      <c r="O3198" t="s">
        <v>70</v>
      </c>
      <c r="P3198" t="s">
        <v>12</v>
      </c>
      <c r="Q3198" t="s">
        <v>13</v>
      </c>
      <c r="R3198" t="s">
        <v>13</v>
      </c>
      <c r="S3198" t="s">
        <v>144</v>
      </c>
      <c r="T3198" s="2">
        <f>MASTER[[#This Row],[CANTIDAD]]*MASTER[[#This Row],[PRECIO DE VENTA]]</f>
        <v>2017</v>
      </c>
      <c r="U3198" s="2">
        <f>MASTER[[#This Row],[CANTIDAD]]*MASTER[[#This Row],[COSTO UNITARIO]]</f>
        <v>420</v>
      </c>
      <c r="V3198" s="2">
        <f>MASTER[[#This Row],[MONTO VENDIDO]]-MASTER[[#This Row],[COSTO DE VENTA]]</f>
        <v>1597</v>
      </c>
    </row>
    <row r="3199" spans="1:22" x14ac:dyDescent="0.3">
      <c r="A3199">
        <v>51362</v>
      </c>
      <c r="B3199">
        <v>1</v>
      </c>
      <c r="C3199" t="s">
        <v>96</v>
      </c>
      <c r="D3199" t="s">
        <v>97</v>
      </c>
      <c r="E3199" s="1">
        <v>44209</v>
      </c>
      <c r="F3199">
        <v>3</v>
      </c>
      <c r="G3199" t="s">
        <v>67</v>
      </c>
      <c r="H3199" t="s">
        <v>68</v>
      </c>
      <c r="I3199" s="3">
        <v>1272</v>
      </c>
      <c r="J3199" s="3">
        <v>1272</v>
      </c>
      <c r="K3199" s="3">
        <v>397</v>
      </c>
      <c r="L3199" t="s">
        <v>98</v>
      </c>
      <c r="M3199">
        <v>19</v>
      </c>
      <c r="N3199" t="s">
        <v>89</v>
      </c>
      <c r="O3199" t="s">
        <v>81</v>
      </c>
      <c r="P3199" t="s">
        <v>15</v>
      </c>
      <c r="Q3199" t="s">
        <v>16</v>
      </c>
      <c r="R3199" t="s">
        <v>16</v>
      </c>
      <c r="S3199" t="s">
        <v>144</v>
      </c>
      <c r="T3199" s="2">
        <f>MASTER[[#This Row],[CANTIDAD]]*MASTER[[#This Row],[PRECIO DE VENTA]]</f>
        <v>3816</v>
      </c>
      <c r="U3199" s="2">
        <f>MASTER[[#This Row],[CANTIDAD]]*MASTER[[#This Row],[COSTO UNITARIO]]</f>
        <v>1191</v>
      </c>
      <c r="V3199" s="2">
        <f>MASTER[[#This Row],[MONTO VENDIDO]]-MASTER[[#This Row],[COSTO DE VENTA]]</f>
        <v>2625</v>
      </c>
    </row>
    <row r="3200" spans="1:22" x14ac:dyDescent="0.3">
      <c r="A3200">
        <v>51363</v>
      </c>
      <c r="B3200">
        <v>1</v>
      </c>
      <c r="C3200" t="s">
        <v>96</v>
      </c>
      <c r="D3200" t="s">
        <v>97</v>
      </c>
      <c r="E3200" s="1">
        <v>44209</v>
      </c>
      <c r="F3200">
        <v>1</v>
      </c>
      <c r="G3200" t="s">
        <v>29</v>
      </c>
      <c r="H3200" t="s">
        <v>30</v>
      </c>
      <c r="I3200" s="3">
        <v>1196</v>
      </c>
      <c r="J3200" s="3">
        <v>1196</v>
      </c>
      <c r="K3200" s="3">
        <v>397</v>
      </c>
      <c r="L3200" t="s">
        <v>98</v>
      </c>
      <c r="M3200">
        <v>12</v>
      </c>
      <c r="N3200" t="s">
        <v>26</v>
      </c>
      <c r="O3200" t="s">
        <v>11</v>
      </c>
      <c r="P3200" t="s">
        <v>12</v>
      </c>
      <c r="Q3200" t="s">
        <v>13</v>
      </c>
      <c r="R3200" t="s">
        <v>13</v>
      </c>
      <c r="S3200" t="s">
        <v>144</v>
      </c>
      <c r="T3200" s="2">
        <f>MASTER[[#This Row],[CANTIDAD]]*MASTER[[#This Row],[PRECIO DE VENTA]]</f>
        <v>1196</v>
      </c>
      <c r="U3200" s="2">
        <f>MASTER[[#This Row],[CANTIDAD]]*MASTER[[#This Row],[COSTO UNITARIO]]</f>
        <v>397</v>
      </c>
      <c r="V3200" s="2">
        <f>MASTER[[#This Row],[MONTO VENDIDO]]-MASTER[[#This Row],[COSTO DE VENTA]]</f>
        <v>799</v>
      </c>
    </row>
    <row r="3201" spans="1:22" x14ac:dyDescent="0.3">
      <c r="A3201">
        <v>51369</v>
      </c>
      <c r="B3201">
        <v>1</v>
      </c>
      <c r="C3201" t="s">
        <v>107</v>
      </c>
      <c r="D3201" t="s">
        <v>108</v>
      </c>
      <c r="E3201" s="1">
        <v>44209</v>
      </c>
      <c r="F3201">
        <v>1</v>
      </c>
      <c r="G3201" t="s">
        <v>61</v>
      </c>
      <c r="H3201" t="s">
        <v>62</v>
      </c>
      <c r="I3201" s="3">
        <v>1333</v>
      </c>
      <c r="J3201" s="3">
        <v>1333</v>
      </c>
      <c r="K3201" s="3">
        <v>380</v>
      </c>
      <c r="L3201" t="s">
        <v>98</v>
      </c>
      <c r="M3201">
        <v>4</v>
      </c>
      <c r="N3201" t="s">
        <v>82</v>
      </c>
      <c r="O3201" t="s">
        <v>81</v>
      </c>
      <c r="P3201" t="s">
        <v>71</v>
      </c>
      <c r="Q3201" t="s">
        <v>72</v>
      </c>
      <c r="R3201" t="s">
        <v>139</v>
      </c>
      <c r="S3201" t="s">
        <v>144</v>
      </c>
      <c r="T3201" s="2">
        <f>MASTER[[#This Row],[CANTIDAD]]*MASTER[[#This Row],[PRECIO DE VENTA]]</f>
        <v>1333</v>
      </c>
      <c r="U3201" s="2">
        <f>MASTER[[#This Row],[CANTIDAD]]*MASTER[[#This Row],[COSTO UNITARIO]]</f>
        <v>380</v>
      </c>
      <c r="V3201" s="2">
        <f>MASTER[[#This Row],[MONTO VENDIDO]]-MASTER[[#This Row],[COSTO DE VENTA]]</f>
        <v>953</v>
      </c>
    </row>
    <row r="3202" spans="1:22" x14ac:dyDescent="0.3">
      <c r="A3202">
        <v>51375</v>
      </c>
      <c r="B3202">
        <v>1</v>
      </c>
      <c r="C3202" t="s">
        <v>101</v>
      </c>
      <c r="D3202" t="s">
        <v>102</v>
      </c>
      <c r="E3202" s="1">
        <v>44209</v>
      </c>
      <c r="F3202">
        <v>1</v>
      </c>
      <c r="G3202" t="s">
        <v>39</v>
      </c>
      <c r="H3202" t="s">
        <v>40</v>
      </c>
      <c r="I3202" s="3">
        <v>1357</v>
      </c>
      <c r="J3202" s="3">
        <v>1275</v>
      </c>
      <c r="K3202" s="3">
        <v>442</v>
      </c>
      <c r="L3202" t="s">
        <v>98</v>
      </c>
      <c r="M3202">
        <v>1</v>
      </c>
      <c r="N3202" t="s">
        <v>77</v>
      </c>
      <c r="O3202" t="s">
        <v>70</v>
      </c>
      <c r="P3202" t="s">
        <v>71</v>
      </c>
      <c r="Q3202" t="s">
        <v>72</v>
      </c>
      <c r="R3202" t="s">
        <v>139</v>
      </c>
      <c r="S3202" t="s">
        <v>144</v>
      </c>
      <c r="T3202" s="2">
        <f>MASTER[[#This Row],[CANTIDAD]]*MASTER[[#This Row],[PRECIO DE VENTA]]</f>
        <v>1275</v>
      </c>
      <c r="U3202" s="2">
        <f>MASTER[[#This Row],[CANTIDAD]]*MASTER[[#This Row],[COSTO UNITARIO]]</f>
        <v>442</v>
      </c>
      <c r="V3202" s="2">
        <f>MASTER[[#This Row],[MONTO VENDIDO]]-MASTER[[#This Row],[COSTO DE VENTA]]</f>
        <v>833</v>
      </c>
    </row>
    <row r="3203" spans="1:22" x14ac:dyDescent="0.3">
      <c r="A3203">
        <v>51392</v>
      </c>
      <c r="B3203">
        <v>1</v>
      </c>
      <c r="C3203" t="s">
        <v>114</v>
      </c>
      <c r="D3203" t="s">
        <v>115</v>
      </c>
      <c r="E3203" s="1">
        <v>44210</v>
      </c>
      <c r="F3203">
        <v>1</v>
      </c>
      <c r="G3203" t="s">
        <v>45</v>
      </c>
      <c r="H3203" t="s">
        <v>46</v>
      </c>
      <c r="I3203" s="3">
        <v>1583</v>
      </c>
      <c r="J3203" s="3">
        <v>1583</v>
      </c>
      <c r="K3203" s="3">
        <v>394</v>
      </c>
      <c r="L3203" t="s">
        <v>113</v>
      </c>
      <c r="M3203">
        <v>11</v>
      </c>
      <c r="N3203" t="s">
        <v>10</v>
      </c>
      <c r="O3203" t="s">
        <v>11</v>
      </c>
      <c r="P3203" t="s">
        <v>12</v>
      </c>
      <c r="Q3203" t="s">
        <v>13</v>
      </c>
      <c r="R3203" t="s">
        <v>13</v>
      </c>
      <c r="S3203" t="s">
        <v>144</v>
      </c>
      <c r="T3203" s="2">
        <f>MASTER[[#This Row],[CANTIDAD]]*MASTER[[#This Row],[PRECIO DE VENTA]]</f>
        <v>1583</v>
      </c>
      <c r="U3203" s="2">
        <f>MASTER[[#This Row],[CANTIDAD]]*MASTER[[#This Row],[COSTO UNITARIO]]</f>
        <v>394</v>
      </c>
      <c r="V3203" s="2">
        <f>MASTER[[#This Row],[MONTO VENDIDO]]-MASTER[[#This Row],[COSTO DE VENTA]]</f>
        <v>1189</v>
      </c>
    </row>
    <row r="3204" spans="1:22" x14ac:dyDescent="0.3">
      <c r="A3204">
        <v>51396</v>
      </c>
      <c r="B3204">
        <v>2</v>
      </c>
      <c r="C3204" t="s">
        <v>92</v>
      </c>
      <c r="D3204" t="s">
        <v>93</v>
      </c>
      <c r="E3204" s="1">
        <v>44210</v>
      </c>
      <c r="F3204">
        <v>1</v>
      </c>
      <c r="G3204" t="s">
        <v>24</v>
      </c>
      <c r="H3204" t="s">
        <v>25</v>
      </c>
      <c r="I3204" s="3">
        <v>1866</v>
      </c>
      <c r="J3204" s="3">
        <v>1735</v>
      </c>
      <c r="K3204" s="3">
        <v>396</v>
      </c>
      <c r="L3204" t="s">
        <v>9</v>
      </c>
      <c r="M3204">
        <v>1</v>
      </c>
      <c r="N3204" t="s">
        <v>77</v>
      </c>
      <c r="O3204" t="s">
        <v>70</v>
      </c>
      <c r="P3204" t="s">
        <v>71</v>
      </c>
      <c r="Q3204" t="s">
        <v>72</v>
      </c>
      <c r="R3204" t="s">
        <v>139</v>
      </c>
      <c r="S3204" t="s">
        <v>144</v>
      </c>
      <c r="T3204" s="2">
        <f>MASTER[[#This Row],[CANTIDAD]]*MASTER[[#This Row],[PRECIO DE VENTA]]</f>
        <v>1735</v>
      </c>
      <c r="U3204" s="2">
        <f>MASTER[[#This Row],[CANTIDAD]]*MASTER[[#This Row],[COSTO UNITARIO]]</f>
        <v>396</v>
      </c>
      <c r="V3204" s="2">
        <f>MASTER[[#This Row],[MONTO VENDIDO]]-MASTER[[#This Row],[COSTO DE VENTA]]</f>
        <v>1339</v>
      </c>
    </row>
    <row r="3205" spans="1:22" x14ac:dyDescent="0.3">
      <c r="A3205">
        <v>51396</v>
      </c>
      <c r="B3205">
        <v>1</v>
      </c>
      <c r="C3205" t="s">
        <v>116</v>
      </c>
      <c r="D3205" t="s">
        <v>117</v>
      </c>
      <c r="E3205" s="1">
        <v>44210</v>
      </c>
      <c r="F3205">
        <v>1</v>
      </c>
      <c r="G3205" t="s">
        <v>67</v>
      </c>
      <c r="H3205" t="s">
        <v>68</v>
      </c>
      <c r="I3205" s="3">
        <v>1999</v>
      </c>
      <c r="J3205" s="3">
        <v>1999</v>
      </c>
      <c r="K3205" s="3">
        <v>388</v>
      </c>
      <c r="L3205" t="s">
        <v>113</v>
      </c>
      <c r="M3205">
        <v>1</v>
      </c>
      <c r="N3205" t="s">
        <v>77</v>
      </c>
      <c r="O3205" t="s">
        <v>70</v>
      </c>
      <c r="P3205" t="s">
        <v>71</v>
      </c>
      <c r="Q3205" t="s">
        <v>72</v>
      </c>
      <c r="R3205" t="s">
        <v>139</v>
      </c>
      <c r="S3205" t="s">
        <v>144</v>
      </c>
      <c r="T3205" s="2">
        <f>MASTER[[#This Row],[CANTIDAD]]*MASTER[[#This Row],[PRECIO DE VENTA]]</f>
        <v>1999</v>
      </c>
      <c r="U3205" s="2">
        <f>MASTER[[#This Row],[CANTIDAD]]*MASTER[[#This Row],[COSTO UNITARIO]]</f>
        <v>388</v>
      </c>
      <c r="V3205" s="2">
        <f>MASTER[[#This Row],[MONTO VENDIDO]]-MASTER[[#This Row],[COSTO DE VENTA]]</f>
        <v>1611</v>
      </c>
    </row>
    <row r="3206" spans="1:22" x14ac:dyDescent="0.3">
      <c r="A3206">
        <v>51422</v>
      </c>
      <c r="B3206">
        <v>1</v>
      </c>
      <c r="C3206" t="s">
        <v>94</v>
      </c>
      <c r="D3206" t="s">
        <v>95</v>
      </c>
      <c r="E3206" s="1">
        <v>44210</v>
      </c>
      <c r="F3206">
        <v>3</v>
      </c>
      <c r="G3206" t="s">
        <v>63</v>
      </c>
      <c r="H3206" t="s">
        <v>64</v>
      </c>
      <c r="I3206" s="3">
        <v>901</v>
      </c>
      <c r="J3206" s="3">
        <v>901</v>
      </c>
      <c r="K3206" s="3">
        <v>392</v>
      </c>
      <c r="L3206" t="s">
        <v>9</v>
      </c>
      <c r="M3206">
        <v>16</v>
      </c>
      <c r="N3206" t="s">
        <v>17</v>
      </c>
      <c r="O3206" t="s">
        <v>11</v>
      </c>
      <c r="P3206" t="s">
        <v>18</v>
      </c>
      <c r="Q3206" t="s">
        <v>19</v>
      </c>
      <c r="R3206" t="s">
        <v>138</v>
      </c>
      <c r="S3206" t="s">
        <v>144</v>
      </c>
      <c r="T3206" s="2">
        <f>MASTER[[#This Row],[CANTIDAD]]*MASTER[[#This Row],[PRECIO DE VENTA]]</f>
        <v>2703</v>
      </c>
      <c r="U3206" s="2">
        <f>MASTER[[#This Row],[CANTIDAD]]*MASTER[[#This Row],[COSTO UNITARIO]]</f>
        <v>1176</v>
      </c>
      <c r="V3206" s="2">
        <f>MASTER[[#This Row],[MONTO VENDIDO]]-MASTER[[#This Row],[COSTO DE VENTA]]</f>
        <v>1527</v>
      </c>
    </row>
    <row r="3207" spans="1:22" x14ac:dyDescent="0.3">
      <c r="A3207">
        <v>51426</v>
      </c>
      <c r="B3207">
        <v>1</v>
      </c>
      <c r="C3207" t="s">
        <v>107</v>
      </c>
      <c r="D3207" t="s">
        <v>108</v>
      </c>
      <c r="E3207" s="1">
        <v>44210</v>
      </c>
      <c r="F3207">
        <v>3</v>
      </c>
      <c r="G3207" t="s">
        <v>49</v>
      </c>
      <c r="H3207" t="s">
        <v>50</v>
      </c>
      <c r="I3207" s="3">
        <v>1333</v>
      </c>
      <c r="J3207" s="3">
        <v>1333</v>
      </c>
      <c r="K3207" s="3">
        <v>380</v>
      </c>
      <c r="L3207" t="s">
        <v>98</v>
      </c>
      <c r="M3207">
        <v>4</v>
      </c>
      <c r="N3207" t="s">
        <v>82</v>
      </c>
      <c r="O3207" t="s">
        <v>81</v>
      </c>
      <c r="P3207" t="s">
        <v>71</v>
      </c>
      <c r="Q3207" t="s">
        <v>72</v>
      </c>
      <c r="R3207" t="s">
        <v>139</v>
      </c>
      <c r="S3207" t="s">
        <v>144</v>
      </c>
      <c r="T3207" s="2">
        <f>MASTER[[#This Row],[CANTIDAD]]*MASTER[[#This Row],[PRECIO DE VENTA]]</f>
        <v>3999</v>
      </c>
      <c r="U3207" s="2">
        <f>MASTER[[#This Row],[CANTIDAD]]*MASTER[[#This Row],[COSTO UNITARIO]]</f>
        <v>1140</v>
      </c>
      <c r="V3207" s="2">
        <f>MASTER[[#This Row],[MONTO VENDIDO]]-MASTER[[#This Row],[COSTO DE VENTA]]</f>
        <v>2859</v>
      </c>
    </row>
    <row r="3208" spans="1:22" x14ac:dyDescent="0.3">
      <c r="A3208">
        <v>51454</v>
      </c>
      <c r="B3208">
        <v>1</v>
      </c>
      <c r="C3208" t="s">
        <v>99</v>
      </c>
      <c r="D3208" t="s">
        <v>100</v>
      </c>
      <c r="E3208" s="1">
        <v>44210</v>
      </c>
      <c r="F3208">
        <v>1</v>
      </c>
      <c r="G3208" t="s">
        <v>24</v>
      </c>
      <c r="H3208" t="s">
        <v>25</v>
      </c>
      <c r="I3208" s="3">
        <v>1328</v>
      </c>
      <c r="J3208" s="3">
        <v>1328</v>
      </c>
      <c r="K3208" s="3">
        <v>386</v>
      </c>
      <c r="L3208" t="s">
        <v>98</v>
      </c>
      <c r="M3208">
        <v>16</v>
      </c>
      <c r="N3208" t="s">
        <v>17</v>
      </c>
      <c r="O3208" t="s">
        <v>11</v>
      </c>
      <c r="P3208" t="s">
        <v>18</v>
      </c>
      <c r="Q3208" t="s">
        <v>19</v>
      </c>
      <c r="R3208" t="s">
        <v>138</v>
      </c>
      <c r="S3208" t="s">
        <v>144</v>
      </c>
      <c r="T3208" s="2">
        <f>MASTER[[#This Row],[CANTIDAD]]*MASTER[[#This Row],[PRECIO DE VENTA]]</f>
        <v>1328</v>
      </c>
      <c r="U3208" s="2">
        <f>MASTER[[#This Row],[CANTIDAD]]*MASTER[[#This Row],[COSTO UNITARIO]]</f>
        <v>386</v>
      </c>
      <c r="V3208" s="2">
        <f>MASTER[[#This Row],[MONTO VENDIDO]]-MASTER[[#This Row],[COSTO DE VENTA]]</f>
        <v>942</v>
      </c>
    </row>
    <row r="3209" spans="1:22" x14ac:dyDescent="0.3">
      <c r="A3209">
        <v>51456</v>
      </c>
      <c r="B3209">
        <v>1</v>
      </c>
      <c r="C3209" t="s">
        <v>111</v>
      </c>
      <c r="D3209" t="s">
        <v>112</v>
      </c>
      <c r="E3209" s="1">
        <v>44210</v>
      </c>
      <c r="F3209">
        <v>1</v>
      </c>
      <c r="G3209" t="s">
        <v>51</v>
      </c>
      <c r="H3209" t="s">
        <v>52</v>
      </c>
      <c r="I3209" s="3">
        <v>1621</v>
      </c>
      <c r="J3209" s="3">
        <v>1621</v>
      </c>
      <c r="K3209" s="3">
        <v>434</v>
      </c>
      <c r="L3209" t="s">
        <v>113</v>
      </c>
      <c r="M3209">
        <v>15</v>
      </c>
      <c r="N3209" t="s">
        <v>88</v>
      </c>
      <c r="O3209" t="s">
        <v>81</v>
      </c>
      <c r="P3209" t="s">
        <v>18</v>
      </c>
      <c r="Q3209" t="s">
        <v>19</v>
      </c>
      <c r="R3209" t="s">
        <v>138</v>
      </c>
      <c r="S3209" t="s">
        <v>144</v>
      </c>
      <c r="T3209" s="2">
        <f>MASTER[[#This Row],[CANTIDAD]]*MASTER[[#This Row],[PRECIO DE VENTA]]</f>
        <v>1621</v>
      </c>
      <c r="U3209" s="2">
        <f>MASTER[[#This Row],[CANTIDAD]]*MASTER[[#This Row],[COSTO UNITARIO]]</f>
        <v>434</v>
      </c>
      <c r="V3209" s="2">
        <f>MASTER[[#This Row],[MONTO VENDIDO]]-MASTER[[#This Row],[COSTO DE VENTA]]</f>
        <v>1187</v>
      </c>
    </row>
    <row r="3210" spans="1:22" x14ac:dyDescent="0.3">
      <c r="A3210">
        <v>51465</v>
      </c>
      <c r="B3210">
        <v>1</v>
      </c>
      <c r="C3210" t="s">
        <v>92</v>
      </c>
      <c r="D3210" t="s">
        <v>93</v>
      </c>
      <c r="E3210" s="1">
        <v>44210</v>
      </c>
      <c r="F3210">
        <v>1</v>
      </c>
      <c r="G3210" t="s">
        <v>37</v>
      </c>
      <c r="H3210" t="s">
        <v>38</v>
      </c>
      <c r="I3210" s="3">
        <v>1681</v>
      </c>
      <c r="J3210" s="3">
        <v>1681</v>
      </c>
      <c r="K3210" s="3">
        <v>396</v>
      </c>
      <c r="L3210" t="s">
        <v>9</v>
      </c>
      <c r="M3210">
        <v>2</v>
      </c>
      <c r="N3210" t="s">
        <v>86</v>
      </c>
      <c r="O3210" t="s">
        <v>81</v>
      </c>
      <c r="P3210" t="s">
        <v>71</v>
      </c>
      <c r="Q3210" t="s">
        <v>72</v>
      </c>
      <c r="R3210" t="s">
        <v>139</v>
      </c>
      <c r="S3210" t="s">
        <v>144</v>
      </c>
      <c r="T3210" s="2">
        <f>MASTER[[#This Row],[CANTIDAD]]*MASTER[[#This Row],[PRECIO DE VENTA]]</f>
        <v>1681</v>
      </c>
      <c r="U3210" s="2">
        <f>MASTER[[#This Row],[CANTIDAD]]*MASTER[[#This Row],[COSTO UNITARIO]]</f>
        <v>396</v>
      </c>
      <c r="V3210" s="2">
        <f>MASTER[[#This Row],[MONTO VENDIDO]]-MASTER[[#This Row],[COSTO DE VENTA]]</f>
        <v>1285</v>
      </c>
    </row>
    <row r="3211" spans="1:22" x14ac:dyDescent="0.3">
      <c r="A3211">
        <v>51473</v>
      </c>
      <c r="B3211">
        <v>1</v>
      </c>
      <c r="C3211" t="s">
        <v>92</v>
      </c>
      <c r="D3211" t="s">
        <v>93</v>
      </c>
      <c r="E3211" s="1">
        <v>44210</v>
      </c>
      <c r="F3211">
        <v>1</v>
      </c>
      <c r="G3211" t="s">
        <v>41</v>
      </c>
      <c r="H3211" t="s">
        <v>42</v>
      </c>
      <c r="I3211" s="3">
        <v>1681</v>
      </c>
      <c r="J3211" s="3">
        <v>1681</v>
      </c>
      <c r="K3211" s="3">
        <v>396</v>
      </c>
      <c r="L3211" t="s">
        <v>9</v>
      </c>
      <c r="M3211">
        <v>19</v>
      </c>
      <c r="N3211" t="s">
        <v>89</v>
      </c>
      <c r="O3211" t="s">
        <v>81</v>
      </c>
      <c r="P3211" t="s">
        <v>15</v>
      </c>
      <c r="Q3211" t="s">
        <v>16</v>
      </c>
      <c r="R3211" t="s">
        <v>16</v>
      </c>
      <c r="S3211" t="s">
        <v>144</v>
      </c>
      <c r="T3211" s="2">
        <f>MASTER[[#This Row],[CANTIDAD]]*MASTER[[#This Row],[PRECIO DE VENTA]]</f>
        <v>1681</v>
      </c>
      <c r="U3211" s="2">
        <f>MASTER[[#This Row],[CANTIDAD]]*MASTER[[#This Row],[COSTO UNITARIO]]</f>
        <v>396</v>
      </c>
      <c r="V3211" s="2">
        <f>MASTER[[#This Row],[MONTO VENDIDO]]-MASTER[[#This Row],[COSTO DE VENTA]]</f>
        <v>1285</v>
      </c>
    </row>
    <row r="3212" spans="1:22" x14ac:dyDescent="0.3">
      <c r="A3212">
        <v>51497</v>
      </c>
      <c r="B3212">
        <v>1</v>
      </c>
      <c r="C3212" t="s">
        <v>92</v>
      </c>
      <c r="D3212" t="s">
        <v>93</v>
      </c>
      <c r="E3212" s="1">
        <v>44210</v>
      </c>
      <c r="F3212">
        <v>1</v>
      </c>
      <c r="G3212" t="s">
        <v>41</v>
      </c>
      <c r="H3212" t="s">
        <v>42</v>
      </c>
      <c r="I3212" s="3">
        <v>1479</v>
      </c>
      <c r="J3212" s="3">
        <v>1479</v>
      </c>
      <c r="K3212" s="3">
        <v>396</v>
      </c>
      <c r="L3212" t="s">
        <v>9</v>
      </c>
      <c r="M3212">
        <v>17</v>
      </c>
      <c r="N3212" t="s">
        <v>14</v>
      </c>
      <c r="O3212" t="s">
        <v>11</v>
      </c>
      <c r="P3212" t="s">
        <v>15</v>
      </c>
      <c r="Q3212" t="s">
        <v>16</v>
      </c>
      <c r="R3212" t="s">
        <v>16</v>
      </c>
      <c r="S3212" t="s">
        <v>144</v>
      </c>
      <c r="T3212" s="2">
        <f>MASTER[[#This Row],[CANTIDAD]]*MASTER[[#This Row],[PRECIO DE VENTA]]</f>
        <v>1479</v>
      </c>
      <c r="U3212" s="2">
        <f>MASTER[[#This Row],[CANTIDAD]]*MASTER[[#This Row],[COSTO UNITARIO]]</f>
        <v>396</v>
      </c>
      <c r="V3212" s="2">
        <f>MASTER[[#This Row],[MONTO VENDIDO]]-MASTER[[#This Row],[COSTO DE VENTA]]</f>
        <v>1083</v>
      </c>
    </row>
    <row r="3213" spans="1:22" x14ac:dyDescent="0.3">
      <c r="A3213">
        <v>51498</v>
      </c>
      <c r="B3213">
        <v>1</v>
      </c>
      <c r="C3213" t="s">
        <v>105</v>
      </c>
      <c r="D3213" t="s">
        <v>106</v>
      </c>
      <c r="E3213" s="1">
        <v>44210</v>
      </c>
      <c r="F3213">
        <v>1</v>
      </c>
      <c r="G3213" t="s">
        <v>57</v>
      </c>
      <c r="H3213" t="s">
        <v>58</v>
      </c>
      <c r="I3213" s="3">
        <v>2033</v>
      </c>
      <c r="J3213" s="3">
        <v>2033</v>
      </c>
      <c r="K3213" s="3">
        <v>459</v>
      </c>
      <c r="L3213" t="s">
        <v>98</v>
      </c>
      <c r="M3213">
        <v>9</v>
      </c>
      <c r="N3213" t="s">
        <v>76</v>
      </c>
      <c r="O3213" t="s">
        <v>70</v>
      </c>
      <c r="P3213" t="s">
        <v>12</v>
      </c>
      <c r="Q3213" t="s">
        <v>13</v>
      </c>
      <c r="R3213" t="s">
        <v>13</v>
      </c>
      <c r="S3213" t="s">
        <v>144</v>
      </c>
      <c r="T3213" s="2">
        <f>MASTER[[#This Row],[CANTIDAD]]*MASTER[[#This Row],[PRECIO DE VENTA]]</f>
        <v>2033</v>
      </c>
      <c r="U3213" s="2">
        <f>MASTER[[#This Row],[CANTIDAD]]*MASTER[[#This Row],[COSTO UNITARIO]]</f>
        <v>459</v>
      </c>
      <c r="V3213" s="2">
        <f>MASTER[[#This Row],[MONTO VENDIDO]]-MASTER[[#This Row],[COSTO DE VENTA]]</f>
        <v>1574</v>
      </c>
    </row>
    <row r="3214" spans="1:22" x14ac:dyDescent="0.3">
      <c r="A3214">
        <v>51508</v>
      </c>
      <c r="B3214">
        <v>1</v>
      </c>
      <c r="C3214" t="s">
        <v>114</v>
      </c>
      <c r="D3214" t="s">
        <v>115</v>
      </c>
      <c r="E3214" s="1">
        <v>44210</v>
      </c>
      <c r="F3214">
        <v>4</v>
      </c>
      <c r="G3214" t="s">
        <v>43</v>
      </c>
      <c r="H3214" t="s">
        <v>44</v>
      </c>
      <c r="I3214" s="3">
        <v>1862</v>
      </c>
      <c r="J3214" s="3">
        <v>1862</v>
      </c>
      <c r="K3214" s="3">
        <v>394</v>
      </c>
      <c r="L3214" t="s">
        <v>113</v>
      </c>
      <c r="M3214">
        <v>4</v>
      </c>
      <c r="N3214" t="s">
        <v>82</v>
      </c>
      <c r="O3214" t="s">
        <v>81</v>
      </c>
      <c r="P3214" t="s">
        <v>71</v>
      </c>
      <c r="Q3214" t="s">
        <v>72</v>
      </c>
      <c r="R3214" t="s">
        <v>139</v>
      </c>
      <c r="S3214" t="s">
        <v>144</v>
      </c>
      <c r="T3214" s="2">
        <f>MASTER[[#This Row],[CANTIDAD]]*MASTER[[#This Row],[PRECIO DE VENTA]]</f>
        <v>7448</v>
      </c>
      <c r="U3214" s="2">
        <f>MASTER[[#This Row],[CANTIDAD]]*MASTER[[#This Row],[COSTO UNITARIO]]</f>
        <v>1576</v>
      </c>
      <c r="V3214" s="2">
        <f>MASTER[[#This Row],[MONTO VENDIDO]]-MASTER[[#This Row],[COSTO DE VENTA]]</f>
        <v>5872</v>
      </c>
    </row>
    <row r="3215" spans="1:22" x14ac:dyDescent="0.3">
      <c r="A3215">
        <v>51548</v>
      </c>
      <c r="B3215">
        <v>1</v>
      </c>
      <c r="C3215" t="s">
        <v>109</v>
      </c>
      <c r="D3215" t="s">
        <v>110</v>
      </c>
      <c r="E3215" s="1">
        <v>44210</v>
      </c>
      <c r="F3215">
        <v>1</v>
      </c>
      <c r="G3215" t="s">
        <v>33</v>
      </c>
      <c r="H3215" t="s">
        <v>34</v>
      </c>
      <c r="I3215" s="3">
        <v>1064</v>
      </c>
      <c r="J3215" s="3">
        <v>1064</v>
      </c>
      <c r="K3215" s="3">
        <v>387</v>
      </c>
      <c r="L3215" t="s">
        <v>98</v>
      </c>
      <c r="M3215">
        <v>8</v>
      </c>
      <c r="N3215" t="s">
        <v>80</v>
      </c>
      <c r="O3215" t="s">
        <v>81</v>
      </c>
      <c r="P3215" t="s">
        <v>12</v>
      </c>
      <c r="Q3215" t="s">
        <v>13</v>
      </c>
      <c r="R3215" t="s">
        <v>13</v>
      </c>
      <c r="S3215" t="s">
        <v>144</v>
      </c>
      <c r="T3215" s="2">
        <f>MASTER[[#This Row],[CANTIDAD]]*MASTER[[#This Row],[PRECIO DE VENTA]]</f>
        <v>1064</v>
      </c>
      <c r="U3215" s="2">
        <f>MASTER[[#This Row],[CANTIDAD]]*MASTER[[#This Row],[COSTO UNITARIO]]</f>
        <v>387</v>
      </c>
      <c r="V3215" s="2">
        <f>MASTER[[#This Row],[MONTO VENDIDO]]-MASTER[[#This Row],[COSTO DE VENTA]]</f>
        <v>677</v>
      </c>
    </row>
    <row r="3216" spans="1:22" x14ac:dyDescent="0.3">
      <c r="A3216">
        <v>51572</v>
      </c>
      <c r="B3216">
        <v>1</v>
      </c>
      <c r="C3216" t="s">
        <v>109</v>
      </c>
      <c r="D3216" t="s">
        <v>110</v>
      </c>
      <c r="E3216" s="1">
        <v>44211</v>
      </c>
      <c r="F3216">
        <v>1</v>
      </c>
      <c r="G3216" t="s">
        <v>49</v>
      </c>
      <c r="H3216" t="s">
        <v>50</v>
      </c>
      <c r="I3216" s="3">
        <v>1064</v>
      </c>
      <c r="J3216" s="3">
        <v>1064</v>
      </c>
      <c r="K3216" s="3">
        <v>387</v>
      </c>
      <c r="L3216" t="s">
        <v>98</v>
      </c>
      <c r="M3216">
        <v>4</v>
      </c>
      <c r="N3216" t="s">
        <v>82</v>
      </c>
      <c r="O3216" t="s">
        <v>81</v>
      </c>
      <c r="P3216" t="s">
        <v>71</v>
      </c>
      <c r="Q3216" t="s">
        <v>72</v>
      </c>
      <c r="R3216" t="s">
        <v>139</v>
      </c>
      <c r="S3216" t="s">
        <v>144</v>
      </c>
      <c r="T3216" s="2">
        <f>MASTER[[#This Row],[CANTIDAD]]*MASTER[[#This Row],[PRECIO DE VENTA]]</f>
        <v>1064</v>
      </c>
      <c r="U3216" s="2">
        <f>MASTER[[#This Row],[CANTIDAD]]*MASTER[[#This Row],[COSTO UNITARIO]]</f>
        <v>387</v>
      </c>
      <c r="V3216" s="2">
        <f>MASTER[[#This Row],[MONTO VENDIDO]]-MASTER[[#This Row],[COSTO DE VENTA]]</f>
        <v>677</v>
      </c>
    </row>
    <row r="3217" spans="1:22" x14ac:dyDescent="0.3">
      <c r="A3217">
        <v>51585</v>
      </c>
      <c r="B3217">
        <v>1</v>
      </c>
      <c r="C3217" t="s">
        <v>94</v>
      </c>
      <c r="D3217" t="s">
        <v>95</v>
      </c>
      <c r="E3217" s="1">
        <v>44211</v>
      </c>
      <c r="F3217">
        <v>1</v>
      </c>
      <c r="G3217" t="s">
        <v>63</v>
      </c>
      <c r="H3217" t="s">
        <v>64</v>
      </c>
      <c r="I3217" s="3">
        <v>1153</v>
      </c>
      <c r="J3217" s="3">
        <v>1153</v>
      </c>
      <c r="K3217" s="3">
        <v>392</v>
      </c>
      <c r="L3217" t="s">
        <v>9</v>
      </c>
      <c r="M3217">
        <v>3</v>
      </c>
      <c r="N3217" t="s">
        <v>69</v>
      </c>
      <c r="O3217" t="s">
        <v>70</v>
      </c>
      <c r="P3217" t="s">
        <v>71</v>
      </c>
      <c r="Q3217" t="s">
        <v>72</v>
      </c>
      <c r="R3217" t="s">
        <v>139</v>
      </c>
      <c r="S3217" t="s">
        <v>144</v>
      </c>
      <c r="T3217" s="2">
        <f>MASTER[[#This Row],[CANTIDAD]]*MASTER[[#This Row],[PRECIO DE VENTA]]</f>
        <v>1153</v>
      </c>
      <c r="U3217" s="2">
        <f>MASTER[[#This Row],[CANTIDAD]]*MASTER[[#This Row],[COSTO UNITARIO]]</f>
        <v>392</v>
      </c>
      <c r="V3217" s="2">
        <f>MASTER[[#This Row],[MONTO VENDIDO]]-MASTER[[#This Row],[COSTO DE VENTA]]</f>
        <v>761</v>
      </c>
    </row>
    <row r="3218" spans="1:22" x14ac:dyDescent="0.3">
      <c r="A3218">
        <v>51604</v>
      </c>
      <c r="B3218">
        <v>1</v>
      </c>
      <c r="C3218" t="s">
        <v>96</v>
      </c>
      <c r="D3218" t="s">
        <v>97</v>
      </c>
      <c r="E3218" s="1">
        <v>44211</v>
      </c>
      <c r="F3218">
        <v>1</v>
      </c>
      <c r="G3218" t="s">
        <v>22</v>
      </c>
      <c r="H3218" t="s">
        <v>23</v>
      </c>
      <c r="I3218" s="3">
        <v>1196</v>
      </c>
      <c r="J3218" s="3">
        <v>1196</v>
      </c>
      <c r="K3218" s="3">
        <v>397</v>
      </c>
      <c r="L3218" t="s">
        <v>98</v>
      </c>
      <c r="M3218">
        <v>11</v>
      </c>
      <c r="N3218" t="s">
        <v>10</v>
      </c>
      <c r="O3218" t="s">
        <v>11</v>
      </c>
      <c r="P3218" t="s">
        <v>12</v>
      </c>
      <c r="Q3218" t="s">
        <v>13</v>
      </c>
      <c r="R3218" t="s">
        <v>13</v>
      </c>
      <c r="S3218" t="s">
        <v>144</v>
      </c>
      <c r="T3218" s="2">
        <f>MASTER[[#This Row],[CANTIDAD]]*MASTER[[#This Row],[PRECIO DE VENTA]]</f>
        <v>1196</v>
      </c>
      <c r="U3218" s="2">
        <f>MASTER[[#This Row],[CANTIDAD]]*MASTER[[#This Row],[COSTO UNITARIO]]</f>
        <v>397</v>
      </c>
      <c r="V3218" s="2">
        <f>MASTER[[#This Row],[MONTO VENDIDO]]-MASTER[[#This Row],[COSTO DE VENTA]]</f>
        <v>799</v>
      </c>
    </row>
    <row r="3219" spans="1:22" x14ac:dyDescent="0.3">
      <c r="A3219">
        <v>51612</v>
      </c>
      <c r="B3219">
        <v>1</v>
      </c>
      <c r="C3219" t="s">
        <v>116</v>
      </c>
      <c r="D3219" t="s">
        <v>117</v>
      </c>
      <c r="E3219" s="1">
        <v>44211</v>
      </c>
      <c r="F3219">
        <v>1</v>
      </c>
      <c r="G3219" t="s">
        <v>49</v>
      </c>
      <c r="H3219" t="s">
        <v>50</v>
      </c>
      <c r="I3219" s="3">
        <v>1999</v>
      </c>
      <c r="J3219" s="3">
        <v>1999</v>
      </c>
      <c r="K3219" s="3">
        <v>388</v>
      </c>
      <c r="L3219" t="s">
        <v>113</v>
      </c>
      <c r="M3219">
        <v>9</v>
      </c>
      <c r="N3219" t="s">
        <v>76</v>
      </c>
      <c r="O3219" t="s">
        <v>70</v>
      </c>
      <c r="P3219" t="s">
        <v>12</v>
      </c>
      <c r="Q3219" t="s">
        <v>13</v>
      </c>
      <c r="R3219" t="s">
        <v>13</v>
      </c>
      <c r="S3219" t="s">
        <v>144</v>
      </c>
      <c r="T3219" s="2">
        <f>MASTER[[#This Row],[CANTIDAD]]*MASTER[[#This Row],[PRECIO DE VENTA]]</f>
        <v>1999</v>
      </c>
      <c r="U3219" s="2">
        <f>MASTER[[#This Row],[CANTIDAD]]*MASTER[[#This Row],[COSTO UNITARIO]]</f>
        <v>388</v>
      </c>
      <c r="V3219" s="2">
        <f>MASTER[[#This Row],[MONTO VENDIDO]]-MASTER[[#This Row],[COSTO DE VENTA]]</f>
        <v>1611</v>
      </c>
    </row>
    <row r="3220" spans="1:22" x14ac:dyDescent="0.3">
      <c r="A3220">
        <v>51614</v>
      </c>
      <c r="B3220">
        <v>1</v>
      </c>
      <c r="C3220" t="s">
        <v>114</v>
      </c>
      <c r="D3220" t="s">
        <v>115</v>
      </c>
      <c r="E3220" s="1">
        <v>44211</v>
      </c>
      <c r="F3220">
        <v>1</v>
      </c>
      <c r="G3220" t="s">
        <v>73</v>
      </c>
      <c r="H3220" t="s">
        <v>74</v>
      </c>
      <c r="I3220" s="3">
        <v>2030</v>
      </c>
      <c r="J3220" s="3">
        <v>2030</v>
      </c>
      <c r="K3220" s="3">
        <v>394</v>
      </c>
      <c r="L3220" t="s">
        <v>113</v>
      </c>
      <c r="M3220">
        <v>18</v>
      </c>
      <c r="N3220" t="s">
        <v>79</v>
      </c>
      <c r="O3220" t="s">
        <v>70</v>
      </c>
      <c r="P3220" t="s">
        <v>15</v>
      </c>
      <c r="Q3220" t="s">
        <v>16</v>
      </c>
      <c r="R3220" t="s">
        <v>16</v>
      </c>
      <c r="S3220" t="s">
        <v>144</v>
      </c>
      <c r="T3220" s="2">
        <f>MASTER[[#This Row],[CANTIDAD]]*MASTER[[#This Row],[PRECIO DE VENTA]]</f>
        <v>2030</v>
      </c>
      <c r="U3220" s="2">
        <f>MASTER[[#This Row],[CANTIDAD]]*MASTER[[#This Row],[COSTO UNITARIO]]</f>
        <v>394</v>
      </c>
      <c r="V3220" s="2">
        <f>MASTER[[#This Row],[MONTO VENDIDO]]-MASTER[[#This Row],[COSTO DE VENTA]]</f>
        <v>1636</v>
      </c>
    </row>
    <row r="3221" spans="1:22" x14ac:dyDescent="0.3">
      <c r="A3221">
        <v>51634</v>
      </c>
      <c r="B3221">
        <v>1</v>
      </c>
      <c r="C3221" t="s">
        <v>118</v>
      </c>
      <c r="D3221" t="s">
        <v>119</v>
      </c>
      <c r="E3221" s="1">
        <v>44211</v>
      </c>
      <c r="F3221">
        <v>1</v>
      </c>
      <c r="G3221" t="s">
        <v>47</v>
      </c>
      <c r="H3221" t="s">
        <v>48</v>
      </c>
      <c r="I3221" s="3">
        <v>1026</v>
      </c>
      <c r="J3221" s="3">
        <v>1026</v>
      </c>
      <c r="K3221" s="3">
        <v>424</v>
      </c>
      <c r="L3221" t="s">
        <v>120</v>
      </c>
      <c r="M3221">
        <v>13</v>
      </c>
      <c r="N3221" t="s">
        <v>78</v>
      </c>
      <c r="O3221" t="s">
        <v>70</v>
      </c>
      <c r="P3221" t="s">
        <v>18</v>
      </c>
      <c r="Q3221" t="s">
        <v>19</v>
      </c>
      <c r="R3221" t="s">
        <v>138</v>
      </c>
      <c r="S3221" t="s">
        <v>144</v>
      </c>
      <c r="T3221" s="2">
        <f>MASTER[[#This Row],[CANTIDAD]]*MASTER[[#This Row],[PRECIO DE VENTA]]</f>
        <v>1026</v>
      </c>
      <c r="U3221" s="2">
        <f>MASTER[[#This Row],[CANTIDAD]]*MASTER[[#This Row],[COSTO UNITARIO]]</f>
        <v>424</v>
      </c>
      <c r="V3221" s="2">
        <f>MASTER[[#This Row],[MONTO VENDIDO]]-MASTER[[#This Row],[COSTO DE VENTA]]</f>
        <v>602</v>
      </c>
    </row>
    <row r="3222" spans="1:22" x14ac:dyDescent="0.3">
      <c r="A3222">
        <v>51670</v>
      </c>
      <c r="B3222">
        <v>1</v>
      </c>
      <c r="C3222" t="s">
        <v>94</v>
      </c>
      <c r="D3222" t="s">
        <v>95</v>
      </c>
      <c r="E3222" s="1">
        <v>44211</v>
      </c>
      <c r="F3222">
        <v>1</v>
      </c>
      <c r="G3222" t="s">
        <v>43</v>
      </c>
      <c r="H3222" t="s">
        <v>44</v>
      </c>
      <c r="I3222" s="3">
        <v>1048</v>
      </c>
      <c r="J3222" s="3">
        <v>1048</v>
      </c>
      <c r="K3222" s="3">
        <v>392</v>
      </c>
      <c r="L3222" t="s">
        <v>9</v>
      </c>
      <c r="M3222">
        <v>7</v>
      </c>
      <c r="N3222" t="s">
        <v>84</v>
      </c>
      <c r="O3222" t="s">
        <v>81</v>
      </c>
      <c r="P3222" t="s">
        <v>12</v>
      </c>
      <c r="Q3222" t="s">
        <v>13</v>
      </c>
      <c r="R3222" t="s">
        <v>13</v>
      </c>
      <c r="S3222" t="s">
        <v>144</v>
      </c>
      <c r="T3222" s="2">
        <f>MASTER[[#This Row],[CANTIDAD]]*MASTER[[#This Row],[PRECIO DE VENTA]]</f>
        <v>1048</v>
      </c>
      <c r="U3222" s="2">
        <f>MASTER[[#This Row],[CANTIDAD]]*MASTER[[#This Row],[COSTO UNITARIO]]</f>
        <v>392</v>
      </c>
      <c r="V3222" s="2">
        <f>MASTER[[#This Row],[MONTO VENDIDO]]-MASTER[[#This Row],[COSTO DE VENTA]]</f>
        <v>656</v>
      </c>
    </row>
    <row r="3223" spans="1:22" x14ac:dyDescent="0.3">
      <c r="A3223">
        <v>51679</v>
      </c>
      <c r="B3223">
        <v>1</v>
      </c>
      <c r="C3223" t="s">
        <v>92</v>
      </c>
      <c r="D3223" t="s">
        <v>93</v>
      </c>
      <c r="E3223" s="1">
        <v>44211</v>
      </c>
      <c r="F3223">
        <v>1</v>
      </c>
      <c r="G3223" t="s">
        <v>67</v>
      </c>
      <c r="H3223" t="s">
        <v>68</v>
      </c>
      <c r="I3223" s="3">
        <v>1681</v>
      </c>
      <c r="J3223" s="3">
        <v>1681</v>
      </c>
      <c r="K3223" s="3">
        <v>396</v>
      </c>
      <c r="L3223" t="s">
        <v>9</v>
      </c>
      <c r="M3223">
        <v>5</v>
      </c>
      <c r="N3223" t="s">
        <v>85</v>
      </c>
      <c r="O3223" t="s">
        <v>81</v>
      </c>
      <c r="P3223" t="s">
        <v>12</v>
      </c>
      <c r="Q3223" t="s">
        <v>13</v>
      </c>
      <c r="R3223" t="s">
        <v>13</v>
      </c>
      <c r="S3223" t="s">
        <v>144</v>
      </c>
      <c r="T3223" s="2">
        <f>MASTER[[#This Row],[CANTIDAD]]*MASTER[[#This Row],[PRECIO DE VENTA]]</f>
        <v>1681</v>
      </c>
      <c r="U3223" s="2">
        <f>MASTER[[#This Row],[CANTIDAD]]*MASTER[[#This Row],[COSTO UNITARIO]]</f>
        <v>396</v>
      </c>
      <c r="V3223" s="2">
        <f>MASTER[[#This Row],[MONTO VENDIDO]]-MASTER[[#This Row],[COSTO DE VENTA]]</f>
        <v>1285</v>
      </c>
    </row>
    <row r="3224" spans="1:22" x14ac:dyDescent="0.3">
      <c r="A3224">
        <v>51702</v>
      </c>
      <c r="B3224">
        <v>1</v>
      </c>
      <c r="C3224" t="s">
        <v>103</v>
      </c>
      <c r="D3224" t="s">
        <v>104</v>
      </c>
      <c r="E3224" s="1">
        <v>44211</v>
      </c>
      <c r="F3224">
        <v>1</v>
      </c>
      <c r="G3224" t="s">
        <v>27</v>
      </c>
      <c r="H3224" t="s">
        <v>28</v>
      </c>
      <c r="I3224" s="3">
        <v>1591</v>
      </c>
      <c r="J3224" s="3">
        <v>1591</v>
      </c>
      <c r="K3224" s="3">
        <v>421</v>
      </c>
      <c r="L3224" t="s">
        <v>98</v>
      </c>
      <c r="M3224">
        <v>8</v>
      </c>
      <c r="N3224" t="s">
        <v>80</v>
      </c>
      <c r="O3224" t="s">
        <v>81</v>
      </c>
      <c r="P3224" t="s">
        <v>12</v>
      </c>
      <c r="Q3224" t="s">
        <v>13</v>
      </c>
      <c r="R3224" t="s">
        <v>13</v>
      </c>
      <c r="S3224" t="s">
        <v>144</v>
      </c>
      <c r="T3224" s="2">
        <f>MASTER[[#This Row],[CANTIDAD]]*MASTER[[#This Row],[PRECIO DE VENTA]]</f>
        <v>1591</v>
      </c>
      <c r="U3224" s="2">
        <f>MASTER[[#This Row],[CANTIDAD]]*MASTER[[#This Row],[COSTO UNITARIO]]</f>
        <v>421</v>
      </c>
      <c r="V3224" s="2">
        <f>MASTER[[#This Row],[MONTO VENDIDO]]-MASTER[[#This Row],[COSTO DE VENTA]]</f>
        <v>1170</v>
      </c>
    </row>
    <row r="3225" spans="1:22" x14ac:dyDescent="0.3">
      <c r="A3225">
        <v>51706</v>
      </c>
      <c r="B3225">
        <v>1</v>
      </c>
      <c r="C3225" t="s">
        <v>101</v>
      </c>
      <c r="D3225" t="s">
        <v>102</v>
      </c>
      <c r="E3225" s="1">
        <v>44211</v>
      </c>
      <c r="F3225">
        <v>1</v>
      </c>
      <c r="G3225" t="s">
        <v>57</v>
      </c>
      <c r="H3225" t="s">
        <v>58</v>
      </c>
      <c r="I3225" s="3">
        <v>1357</v>
      </c>
      <c r="J3225" s="3">
        <v>1357</v>
      </c>
      <c r="K3225" s="3">
        <v>442</v>
      </c>
      <c r="L3225" t="s">
        <v>98</v>
      </c>
      <c r="M3225">
        <v>3</v>
      </c>
      <c r="N3225" t="s">
        <v>69</v>
      </c>
      <c r="O3225" t="s">
        <v>70</v>
      </c>
      <c r="P3225" t="s">
        <v>71</v>
      </c>
      <c r="Q3225" t="s">
        <v>72</v>
      </c>
      <c r="R3225" t="s">
        <v>139</v>
      </c>
      <c r="S3225" t="s">
        <v>144</v>
      </c>
      <c r="T3225" s="2">
        <f>MASTER[[#This Row],[CANTIDAD]]*MASTER[[#This Row],[PRECIO DE VENTA]]</f>
        <v>1357</v>
      </c>
      <c r="U3225" s="2">
        <f>MASTER[[#This Row],[CANTIDAD]]*MASTER[[#This Row],[COSTO UNITARIO]]</f>
        <v>442</v>
      </c>
      <c r="V3225" s="2">
        <f>MASTER[[#This Row],[MONTO VENDIDO]]-MASTER[[#This Row],[COSTO DE VENTA]]</f>
        <v>915</v>
      </c>
    </row>
    <row r="3226" spans="1:22" x14ac:dyDescent="0.3">
      <c r="A3226">
        <v>51711</v>
      </c>
      <c r="B3226">
        <v>1</v>
      </c>
      <c r="C3226" t="s">
        <v>96</v>
      </c>
      <c r="D3226" t="s">
        <v>97</v>
      </c>
      <c r="E3226" s="1">
        <v>44211</v>
      </c>
      <c r="F3226">
        <v>1</v>
      </c>
      <c r="G3226" t="s">
        <v>53</v>
      </c>
      <c r="H3226" t="s">
        <v>54</v>
      </c>
      <c r="I3226" s="3">
        <v>1272</v>
      </c>
      <c r="J3226" s="3">
        <v>1272</v>
      </c>
      <c r="K3226" s="3">
        <v>397</v>
      </c>
      <c r="L3226" t="s">
        <v>98</v>
      </c>
      <c r="M3226">
        <v>19</v>
      </c>
      <c r="N3226" t="s">
        <v>89</v>
      </c>
      <c r="O3226" t="s">
        <v>81</v>
      </c>
      <c r="P3226" t="s">
        <v>15</v>
      </c>
      <c r="Q3226" t="s">
        <v>16</v>
      </c>
      <c r="R3226" t="s">
        <v>16</v>
      </c>
      <c r="S3226" t="s">
        <v>144</v>
      </c>
      <c r="T3226" s="2">
        <f>MASTER[[#This Row],[CANTIDAD]]*MASTER[[#This Row],[PRECIO DE VENTA]]</f>
        <v>1272</v>
      </c>
      <c r="U3226" s="2">
        <f>MASTER[[#This Row],[CANTIDAD]]*MASTER[[#This Row],[COSTO UNITARIO]]</f>
        <v>397</v>
      </c>
      <c r="V3226" s="2">
        <f>MASTER[[#This Row],[MONTO VENDIDO]]-MASTER[[#This Row],[COSTO DE VENTA]]</f>
        <v>875</v>
      </c>
    </row>
    <row r="3227" spans="1:22" x14ac:dyDescent="0.3">
      <c r="A3227">
        <v>51722</v>
      </c>
      <c r="B3227">
        <v>1</v>
      </c>
      <c r="C3227" t="s">
        <v>99</v>
      </c>
      <c r="D3227" t="s">
        <v>100</v>
      </c>
      <c r="E3227" s="1">
        <v>44211</v>
      </c>
      <c r="F3227">
        <v>1</v>
      </c>
      <c r="G3227" t="s">
        <v>57</v>
      </c>
      <c r="H3227" t="s">
        <v>58</v>
      </c>
      <c r="I3227" s="3">
        <v>1459</v>
      </c>
      <c r="J3227" s="3">
        <v>1459</v>
      </c>
      <c r="K3227" s="3">
        <v>386</v>
      </c>
      <c r="L3227" t="s">
        <v>98</v>
      </c>
      <c r="M3227">
        <v>15</v>
      </c>
      <c r="N3227" t="s">
        <v>88</v>
      </c>
      <c r="O3227" t="s">
        <v>81</v>
      </c>
      <c r="P3227" t="s">
        <v>18</v>
      </c>
      <c r="Q3227" t="s">
        <v>19</v>
      </c>
      <c r="R3227" t="s">
        <v>138</v>
      </c>
      <c r="S3227" t="s">
        <v>144</v>
      </c>
      <c r="T3227" s="2">
        <f>MASTER[[#This Row],[CANTIDAD]]*MASTER[[#This Row],[PRECIO DE VENTA]]</f>
        <v>1459</v>
      </c>
      <c r="U3227" s="2">
        <f>MASTER[[#This Row],[CANTIDAD]]*MASTER[[#This Row],[COSTO UNITARIO]]</f>
        <v>386</v>
      </c>
      <c r="V3227" s="2">
        <f>MASTER[[#This Row],[MONTO VENDIDO]]-MASTER[[#This Row],[COSTO DE VENTA]]</f>
        <v>1073</v>
      </c>
    </row>
    <row r="3228" spans="1:22" x14ac:dyDescent="0.3">
      <c r="A3228">
        <v>51729</v>
      </c>
      <c r="B3228">
        <v>1</v>
      </c>
      <c r="C3228" t="s">
        <v>90</v>
      </c>
      <c r="D3228" t="s">
        <v>91</v>
      </c>
      <c r="E3228" s="1">
        <v>44212</v>
      </c>
      <c r="F3228">
        <v>1</v>
      </c>
      <c r="G3228" t="s">
        <v>7</v>
      </c>
      <c r="H3228" t="s">
        <v>8</v>
      </c>
      <c r="I3228" s="3">
        <v>1660</v>
      </c>
      <c r="J3228" s="3">
        <v>1560</v>
      </c>
      <c r="K3228" s="3">
        <v>420</v>
      </c>
      <c r="L3228" t="s">
        <v>9</v>
      </c>
      <c r="M3228">
        <v>12</v>
      </c>
      <c r="N3228" t="s">
        <v>26</v>
      </c>
      <c r="O3228" t="s">
        <v>11</v>
      </c>
      <c r="P3228" t="s">
        <v>12</v>
      </c>
      <c r="Q3228" t="s">
        <v>13</v>
      </c>
      <c r="R3228" t="s">
        <v>13</v>
      </c>
      <c r="S3228" t="s">
        <v>144</v>
      </c>
      <c r="T3228" s="2">
        <f>MASTER[[#This Row],[CANTIDAD]]*MASTER[[#This Row],[PRECIO DE VENTA]]</f>
        <v>1560</v>
      </c>
      <c r="U3228" s="2">
        <f>MASTER[[#This Row],[CANTIDAD]]*MASTER[[#This Row],[COSTO UNITARIO]]</f>
        <v>420</v>
      </c>
      <c r="V3228" s="2">
        <f>MASTER[[#This Row],[MONTO VENDIDO]]-MASTER[[#This Row],[COSTO DE VENTA]]</f>
        <v>1140</v>
      </c>
    </row>
    <row r="3229" spans="1:22" x14ac:dyDescent="0.3">
      <c r="A3229">
        <v>51734</v>
      </c>
      <c r="B3229">
        <v>1</v>
      </c>
      <c r="C3229" t="s">
        <v>101</v>
      </c>
      <c r="D3229" t="s">
        <v>102</v>
      </c>
      <c r="E3229" s="1">
        <v>44212</v>
      </c>
      <c r="F3229">
        <v>1</v>
      </c>
      <c r="G3229" t="s">
        <v>43</v>
      </c>
      <c r="H3229" t="s">
        <v>44</v>
      </c>
      <c r="I3229" s="3">
        <v>1212</v>
      </c>
      <c r="J3229" s="3">
        <v>1212</v>
      </c>
      <c r="K3229" s="3">
        <v>442</v>
      </c>
      <c r="L3229" t="s">
        <v>98</v>
      </c>
      <c r="M3229">
        <v>10</v>
      </c>
      <c r="N3229" t="s">
        <v>83</v>
      </c>
      <c r="O3229" t="s">
        <v>81</v>
      </c>
      <c r="P3229" t="s">
        <v>12</v>
      </c>
      <c r="Q3229" t="s">
        <v>13</v>
      </c>
      <c r="R3229" t="s">
        <v>13</v>
      </c>
      <c r="S3229" t="s">
        <v>144</v>
      </c>
      <c r="T3229" s="2">
        <f>MASTER[[#This Row],[CANTIDAD]]*MASTER[[#This Row],[PRECIO DE VENTA]]</f>
        <v>1212</v>
      </c>
      <c r="U3229" s="2">
        <f>MASTER[[#This Row],[CANTIDAD]]*MASTER[[#This Row],[COSTO UNITARIO]]</f>
        <v>442</v>
      </c>
      <c r="V3229" s="2">
        <f>MASTER[[#This Row],[MONTO VENDIDO]]-MASTER[[#This Row],[COSTO DE VENTA]]</f>
        <v>770</v>
      </c>
    </row>
    <row r="3230" spans="1:22" x14ac:dyDescent="0.3">
      <c r="A3230">
        <v>51750</v>
      </c>
      <c r="B3230">
        <v>1</v>
      </c>
      <c r="C3230" t="s">
        <v>118</v>
      </c>
      <c r="D3230" t="s">
        <v>119</v>
      </c>
      <c r="E3230" s="1">
        <v>44212</v>
      </c>
      <c r="F3230">
        <v>1</v>
      </c>
      <c r="G3230" t="s">
        <v>45</v>
      </c>
      <c r="H3230" t="s">
        <v>46</v>
      </c>
      <c r="I3230" s="3">
        <v>1026</v>
      </c>
      <c r="J3230" s="3">
        <v>954</v>
      </c>
      <c r="K3230" s="3">
        <v>424</v>
      </c>
      <c r="L3230" t="s">
        <v>120</v>
      </c>
      <c r="M3230">
        <v>9</v>
      </c>
      <c r="N3230" t="s">
        <v>76</v>
      </c>
      <c r="O3230" t="s">
        <v>70</v>
      </c>
      <c r="P3230" t="s">
        <v>12</v>
      </c>
      <c r="Q3230" t="s">
        <v>13</v>
      </c>
      <c r="R3230" t="s">
        <v>13</v>
      </c>
      <c r="S3230" t="s">
        <v>144</v>
      </c>
      <c r="T3230" s="2">
        <f>MASTER[[#This Row],[CANTIDAD]]*MASTER[[#This Row],[PRECIO DE VENTA]]</f>
        <v>954</v>
      </c>
      <c r="U3230" s="2">
        <f>MASTER[[#This Row],[CANTIDAD]]*MASTER[[#This Row],[COSTO UNITARIO]]</f>
        <v>424</v>
      </c>
      <c r="V3230" s="2">
        <f>MASTER[[#This Row],[MONTO VENDIDO]]-MASTER[[#This Row],[COSTO DE VENTA]]</f>
        <v>530</v>
      </c>
    </row>
    <row r="3231" spans="1:22" x14ac:dyDescent="0.3">
      <c r="A3231">
        <v>51768</v>
      </c>
      <c r="B3231">
        <v>1</v>
      </c>
      <c r="C3231" t="s">
        <v>99</v>
      </c>
      <c r="D3231" t="s">
        <v>100</v>
      </c>
      <c r="E3231" s="1">
        <v>44212</v>
      </c>
      <c r="F3231">
        <v>1</v>
      </c>
      <c r="G3231" t="s">
        <v>27</v>
      </c>
      <c r="H3231" t="s">
        <v>28</v>
      </c>
      <c r="I3231" s="3">
        <v>1678</v>
      </c>
      <c r="J3231" s="3">
        <v>1678</v>
      </c>
      <c r="K3231" s="3">
        <v>386</v>
      </c>
      <c r="L3231" t="s">
        <v>98</v>
      </c>
      <c r="M3231">
        <v>9</v>
      </c>
      <c r="N3231" t="s">
        <v>76</v>
      </c>
      <c r="O3231" t="s">
        <v>70</v>
      </c>
      <c r="P3231" t="s">
        <v>12</v>
      </c>
      <c r="Q3231" t="s">
        <v>13</v>
      </c>
      <c r="R3231" t="s">
        <v>13</v>
      </c>
      <c r="S3231" t="s">
        <v>144</v>
      </c>
      <c r="T3231" s="2">
        <f>MASTER[[#This Row],[CANTIDAD]]*MASTER[[#This Row],[PRECIO DE VENTA]]</f>
        <v>1678</v>
      </c>
      <c r="U3231" s="2">
        <f>MASTER[[#This Row],[CANTIDAD]]*MASTER[[#This Row],[COSTO UNITARIO]]</f>
        <v>386</v>
      </c>
      <c r="V3231" s="2">
        <f>MASTER[[#This Row],[MONTO VENDIDO]]-MASTER[[#This Row],[COSTO DE VENTA]]</f>
        <v>1292</v>
      </c>
    </row>
    <row r="3232" spans="1:22" x14ac:dyDescent="0.3">
      <c r="A3232">
        <v>51777</v>
      </c>
      <c r="B3232">
        <v>1</v>
      </c>
      <c r="C3232" t="s">
        <v>111</v>
      </c>
      <c r="D3232" t="s">
        <v>112</v>
      </c>
      <c r="E3232" s="1">
        <v>44212</v>
      </c>
      <c r="F3232">
        <v>1</v>
      </c>
      <c r="G3232" t="s">
        <v>20</v>
      </c>
      <c r="H3232" t="s">
        <v>21</v>
      </c>
      <c r="I3232" s="3">
        <v>1621</v>
      </c>
      <c r="J3232" s="3">
        <v>1621</v>
      </c>
      <c r="K3232" s="3">
        <v>434</v>
      </c>
      <c r="L3232" t="s">
        <v>113</v>
      </c>
      <c r="M3232">
        <v>15</v>
      </c>
      <c r="N3232" t="s">
        <v>88</v>
      </c>
      <c r="O3232" t="s">
        <v>81</v>
      </c>
      <c r="P3232" t="s">
        <v>18</v>
      </c>
      <c r="Q3232" t="s">
        <v>19</v>
      </c>
      <c r="R3232" t="s">
        <v>138</v>
      </c>
      <c r="S3232" t="s">
        <v>144</v>
      </c>
      <c r="T3232" s="2">
        <f>MASTER[[#This Row],[CANTIDAD]]*MASTER[[#This Row],[PRECIO DE VENTA]]</f>
        <v>1621</v>
      </c>
      <c r="U3232" s="2">
        <f>MASTER[[#This Row],[CANTIDAD]]*MASTER[[#This Row],[COSTO UNITARIO]]</f>
        <v>434</v>
      </c>
      <c r="V3232" s="2">
        <f>MASTER[[#This Row],[MONTO VENDIDO]]-MASTER[[#This Row],[COSTO DE VENTA]]</f>
        <v>1187</v>
      </c>
    </row>
    <row r="3233" spans="1:22" x14ac:dyDescent="0.3">
      <c r="A3233">
        <v>51779</v>
      </c>
      <c r="B3233">
        <v>1</v>
      </c>
      <c r="C3233" t="s">
        <v>90</v>
      </c>
      <c r="D3233" t="s">
        <v>91</v>
      </c>
      <c r="E3233" s="1">
        <v>44212</v>
      </c>
      <c r="F3233">
        <v>1</v>
      </c>
      <c r="G3233" t="s">
        <v>24</v>
      </c>
      <c r="H3233" t="s">
        <v>25</v>
      </c>
      <c r="I3233" s="3">
        <v>2102</v>
      </c>
      <c r="J3233" s="3">
        <v>2102</v>
      </c>
      <c r="K3233" s="3">
        <v>420</v>
      </c>
      <c r="L3233" t="s">
        <v>9</v>
      </c>
      <c r="M3233">
        <v>1</v>
      </c>
      <c r="N3233" t="s">
        <v>77</v>
      </c>
      <c r="O3233" t="s">
        <v>70</v>
      </c>
      <c r="P3233" t="s">
        <v>71</v>
      </c>
      <c r="Q3233" t="s">
        <v>72</v>
      </c>
      <c r="R3233" t="s">
        <v>139</v>
      </c>
      <c r="S3233" t="s">
        <v>144</v>
      </c>
      <c r="T3233" s="2">
        <f>MASTER[[#This Row],[CANTIDAD]]*MASTER[[#This Row],[PRECIO DE VENTA]]</f>
        <v>2102</v>
      </c>
      <c r="U3233" s="2">
        <f>MASTER[[#This Row],[CANTIDAD]]*MASTER[[#This Row],[COSTO UNITARIO]]</f>
        <v>420</v>
      </c>
      <c r="V3233" s="2">
        <f>MASTER[[#This Row],[MONTO VENDIDO]]-MASTER[[#This Row],[COSTO DE VENTA]]</f>
        <v>1682</v>
      </c>
    </row>
    <row r="3234" spans="1:22" x14ac:dyDescent="0.3">
      <c r="A3234">
        <v>51797</v>
      </c>
      <c r="B3234">
        <v>1</v>
      </c>
      <c r="C3234" t="s">
        <v>111</v>
      </c>
      <c r="D3234" t="s">
        <v>112</v>
      </c>
      <c r="E3234" s="1">
        <v>44212</v>
      </c>
      <c r="F3234">
        <v>1</v>
      </c>
      <c r="G3234" t="s">
        <v>27</v>
      </c>
      <c r="H3234" t="s">
        <v>28</v>
      </c>
      <c r="I3234" s="3">
        <v>1799</v>
      </c>
      <c r="J3234" s="3">
        <v>1619</v>
      </c>
      <c r="K3234" s="3">
        <v>434</v>
      </c>
      <c r="L3234" t="s">
        <v>113</v>
      </c>
      <c r="M3234">
        <v>18</v>
      </c>
      <c r="N3234" t="s">
        <v>79</v>
      </c>
      <c r="O3234" t="s">
        <v>70</v>
      </c>
      <c r="P3234" t="s">
        <v>15</v>
      </c>
      <c r="Q3234" t="s">
        <v>16</v>
      </c>
      <c r="R3234" t="s">
        <v>16</v>
      </c>
      <c r="S3234" t="s">
        <v>144</v>
      </c>
      <c r="T3234" s="2">
        <f>MASTER[[#This Row],[CANTIDAD]]*MASTER[[#This Row],[PRECIO DE VENTA]]</f>
        <v>1619</v>
      </c>
      <c r="U3234" s="2">
        <f>MASTER[[#This Row],[CANTIDAD]]*MASTER[[#This Row],[COSTO UNITARIO]]</f>
        <v>434</v>
      </c>
      <c r="V3234" s="2">
        <f>MASTER[[#This Row],[MONTO VENDIDO]]-MASTER[[#This Row],[COSTO DE VENTA]]</f>
        <v>1185</v>
      </c>
    </row>
    <row r="3235" spans="1:22" x14ac:dyDescent="0.3">
      <c r="A3235">
        <v>51821</v>
      </c>
      <c r="B3235">
        <v>1</v>
      </c>
      <c r="C3235" t="s">
        <v>111</v>
      </c>
      <c r="D3235" t="s">
        <v>112</v>
      </c>
      <c r="E3235" s="1">
        <v>44212</v>
      </c>
      <c r="F3235">
        <v>1</v>
      </c>
      <c r="G3235" t="s">
        <v>7</v>
      </c>
      <c r="H3235" t="s">
        <v>8</v>
      </c>
      <c r="I3235" s="3">
        <v>1799</v>
      </c>
      <c r="J3235" s="3">
        <v>1799</v>
      </c>
      <c r="K3235" s="3">
        <v>434</v>
      </c>
      <c r="L3235" t="s">
        <v>113</v>
      </c>
      <c r="M3235">
        <v>13</v>
      </c>
      <c r="N3235" t="s">
        <v>78</v>
      </c>
      <c r="O3235" t="s">
        <v>70</v>
      </c>
      <c r="P3235" t="s">
        <v>18</v>
      </c>
      <c r="Q3235" t="s">
        <v>19</v>
      </c>
      <c r="R3235" t="s">
        <v>138</v>
      </c>
      <c r="S3235" t="s">
        <v>144</v>
      </c>
      <c r="T3235" s="2">
        <f>MASTER[[#This Row],[CANTIDAD]]*MASTER[[#This Row],[PRECIO DE VENTA]]</f>
        <v>1799</v>
      </c>
      <c r="U3235" s="2">
        <f>MASTER[[#This Row],[CANTIDAD]]*MASTER[[#This Row],[COSTO UNITARIO]]</f>
        <v>434</v>
      </c>
      <c r="V3235" s="2">
        <f>MASTER[[#This Row],[MONTO VENDIDO]]-MASTER[[#This Row],[COSTO DE VENTA]]</f>
        <v>1365</v>
      </c>
    </row>
    <row r="3236" spans="1:22" x14ac:dyDescent="0.3">
      <c r="A3236">
        <v>51842</v>
      </c>
      <c r="B3236">
        <v>1</v>
      </c>
      <c r="C3236" t="s">
        <v>103</v>
      </c>
      <c r="D3236" t="s">
        <v>104</v>
      </c>
      <c r="E3236" s="1">
        <v>44213</v>
      </c>
      <c r="F3236">
        <v>1</v>
      </c>
      <c r="G3236" t="s">
        <v>45</v>
      </c>
      <c r="H3236" t="s">
        <v>46</v>
      </c>
      <c r="I3236" s="3">
        <v>1448</v>
      </c>
      <c r="J3236" s="3">
        <v>1448</v>
      </c>
      <c r="K3236" s="3">
        <v>421</v>
      </c>
      <c r="L3236" t="s">
        <v>98</v>
      </c>
      <c r="M3236">
        <v>16</v>
      </c>
      <c r="N3236" t="s">
        <v>17</v>
      </c>
      <c r="O3236" t="s">
        <v>11</v>
      </c>
      <c r="P3236" t="s">
        <v>18</v>
      </c>
      <c r="Q3236" t="s">
        <v>19</v>
      </c>
      <c r="R3236" t="s">
        <v>138</v>
      </c>
      <c r="S3236" t="s">
        <v>144</v>
      </c>
      <c r="T3236" s="2">
        <f>MASTER[[#This Row],[CANTIDAD]]*MASTER[[#This Row],[PRECIO DE VENTA]]</f>
        <v>1448</v>
      </c>
      <c r="U3236" s="2">
        <f>MASTER[[#This Row],[CANTIDAD]]*MASTER[[#This Row],[COSTO UNITARIO]]</f>
        <v>421</v>
      </c>
      <c r="V3236" s="2">
        <f>MASTER[[#This Row],[MONTO VENDIDO]]-MASTER[[#This Row],[COSTO DE VENTA]]</f>
        <v>1027</v>
      </c>
    </row>
    <row r="3237" spans="1:22" x14ac:dyDescent="0.3">
      <c r="A3237">
        <v>51852</v>
      </c>
      <c r="B3237">
        <v>1</v>
      </c>
      <c r="C3237" t="s">
        <v>111</v>
      </c>
      <c r="D3237" t="s">
        <v>112</v>
      </c>
      <c r="E3237" s="1">
        <v>44213</v>
      </c>
      <c r="F3237">
        <v>1</v>
      </c>
      <c r="G3237" t="s">
        <v>24</v>
      </c>
      <c r="H3237" t="s">
        <v>25</v>
      </c>
      <c r="I3237" s="3">
        <v>1799</v>
      </c>
      <c r="J3237" s="3">
        <v>1799</v>
      </c>
      <c r="K3237" s="3">
        <v>434</v>
      </c>
      <c r="L3237" t="s">
        <v>113</v>
      </c>
      <c r="M3237">
        <v>6</v>
      </c>
      <c r="N3237" t="s">
        <v>75</v>
      </c>
      <c r="O3237" t="s">
        <v>70</v>
      </c>
      <c r="P3237" t="s">
        <v>12</v>
      </c>
      <c r="Q3237" t="s">
        <v>13</v>
      </c>
      <c r="R3237" t="s">
        <v>13</v>
      </c>
      <c r="S3237" t="s">
        <v>144</v>
      </c>
      <c r="T3237" s="2">
        <f>MASTER[[#This Row],[CANTIDAD]]*MASTER[[#This Row],[PRECIO DE VENTA]]</f>
        <v>1799</v>
      </c>
      <c r="U3237" s="2">
        <f>MASTER[[#This Row],[CANTIDAD]]*MASTER[[#This Row],[COSTO UNITARIO]]</f>
        <v>434</v>
      </c>
      <c r="V3237" s="2">
        <f>MASTER[[#This Row],[MONTO VENDIDO]]-MASTER[[#This Row],[COSTO DE VENTA]]</f>
        <v>1365</v>
      </c>
    </row>
    <row r="3238" spans="1:22" x14ac:dyDescent="0.3">
      <c r="A3238">
        <v>51859</v>
      </c>
      <c r="B3238">
        <v>1</v>
      </c>
      <c r="C3238" t="s">
        <v>114</v>
      </c>
      <c r="D3238" t="s">
        <v>115</v>
      </c>
      <c r="E3238" s="1">
        <v>44213</v>
      </c>
      <c r="F3238">
        <v>1</v>
      </c>
      <c r="G3238" t="s">
        <v>24</v>
      </c>
      <c r="H3238" t="s">
        <v>25</v>
      </c>
      <c r="I3238" s="3">
        <v>1583</v>
      </c>
      <c r="J3238" s="3">
        <v>1583</v>
      </c>
      <c r="K3238" s="3">
        <v>394</v>
      </c>
      <c r="L3238" t="s">
        <v>113</v>
      </c>
      <c r="M3238">
        <v>11</v>
      </c>
      <c r="N3238" t="s">
        <v>10</v>
      </c>
      <c r="O3238" t="s">
        <v>11</v>
      </c>
      <c r="P3238" t="s">
        <v>12</v>
      </c>
      <c r="Q3238" t="s">
        <v>13</v>
      </c>
      <c r="R3238" t="s">
        <v>13</v>
      </c>
      <c r="S3238" t="s">
        <v>144</v>
      </c>
      <c r="T3238" s="2">
        <f>MASTER[[#This Row],[CANTIDAD]]*MASTER[[#This Row],[PRECIO DE VENTA]]</f>
        <v>1583</v>
      </c>
      <c r="U3238" s="2">
        <f>MASTER[[#This Row],[CANTIDAD]]*MASTER[[#This Row],[COSTO UNITARIO]]</f>
        <v>394</v>
      </c>
      <c r="V3238" s="2">
        <f>MASTER[[#This Row],[MONTO VENDIDO]]-MASTER[[#This Row],[COSTO DE VENTA]]</f>
        <v>1189</v>
      </c>
    </row>
    <row r="3239" spans="1:22" x14ac:dyDescent="0.3">
      <c r="A3239">
        <v>51868</v>
      </c>
      <c r="B3239">
        <v>1</v>
      </c>
      <c r="C3239" t="s">
        <v>105</v>
      </c>
      <c r="D3239" t="s">
        <v>106</v>
      </c>
      <c r="E3239" s="1">
        <v>44213</v>
      </c>
      <c r="F3239">
        <v>1</v>
      </c>
      <c r="G3239" t="s">
        <v>35</v>
      </c>
      <c r="H3239" t="s">
        <v>36</v>
      </c>
      <c r="I3239" s="3">
        <v>1865</v>
      </c>
      <c r="J3239" s="3">
        <v>1865</v>
      </c>
      <c r="K3239" s="3">
        <v>459</v>
      </c>
      <c r="L3239" t="s">
        <v>98</v>
      </c>
      <c r="M3239">
        <v>5</v>
      </c>
      <c r="N3239" t="s">
        <v>85</v>
      </c>
      <c r="O3239" t="s">
        <v>81</v>
      </c>
      <c r="P3239" t="s">
        <v>12</v>
      </c>
      <c r="Q3239" t="s">
        <v>13</v>
      </c>
      <c r="R3239" t="s">
        <v>13</v>
      </c>
      <c r="S3239" t="s">
        <v>144</v>
      </c>
      <c r="T3239" s="2">
        <f>MASTER[[#This Row],[CANTIDAD]]*MASTER[[#This Row],[PRECIO DE VENTA]]</f>
        <v>1865</v>
      </c>
      <c r="U3239" s="2">
        <f>MASTER[[#This Row],[CANTIDAD]]*MASTER[[#This Row],[COSTO UNITARIO]]</f>
        <v>459</v>
      </c>
      <c r="V3239" s="2">
        <f>MASTER[[#This Row],[MONTO VENDIDO]]-MASTER[[#This Row],[COSTO DE VENTA]]</f>
        <v>1406</v>
      </c>
    </row>
    <row r="3240" spans="1:22" x14ac:dyDescent="0.3">
      <c r="A3240">
        <v>51871</v>
      </c>
      <c r="B3240">
        <v>1</v>
      </c>
      <c r="C3240" t="s">
        <v>94</v>
      </c>
      <c r="D3240" t="s">
        <v>95</v>
      </c>
      <c r="E3240" s="1">
        <v>44213</v>
      </c>
      <c r="F3240">
        <v>4</v>
      </c>
      <c r="G3240" t="s">
        <v>67</v>
      </c>
      <c r="H3240" t="s">
        <v>68</v>
      </c>
      <c r="I3240" s="3">
        <v>1048</v>
      </c>
      <c r="J3240" s="3">
        <v>1048</v>
      </c>
      <c r="K3240" s="3">
        <v>392</v>
      </c>
      <c r="L3240" t="s">
        <v>9</v>
      </c>
      <c r="M3240">
        <v>10</v>
      </c>
      <c r="N3240" t="s">
        <v>83</v>
      </c>
      <c r="O3240" t="s">
        <v>81</v>
      </c>
      <c r="P3240" t="s">
        <v>12</v>
      </c>
      <c r="Q3240" t="s">
        <v>13</v>
      </c>
      <c r="R3240" t="s">
        <v>13</v>
      </c>
      <c r="S3240" t="s">
        <v>144</v>
      </c>
      <c r="T3240" s="2">
        <f>MASTER[[#This Row],[CANTIDAD]]*MASTER[[#This Row],[PRECIO DE VENTA]]</f>
        <v>4192</v>
      </c>
      <c r="U3240" s="2">
        <f>MASTER[[#This Row],[CANTIDAD]]*MASTER[[#This Row],[COSTO UNITARIO]]</f>
        <v>1568</v>
      </c>
      <c r="V3240" s="2">
        <f>MASTER[[#This Row],[MONTO VENDIDO]]-MASTER[[#This Row],[COSTO DE VENTA]]</f>
        <v>2624</v>
      </c>
    </row>
    <row r="3241" spans="1:22" x14ac:dyDescent="0.3">
      <c r="A3241">
        <v>51895</v>
      </c>
      <c r="B3241">
        <v>1</v>
      </c>
      <c r="C3241" t="s">
        <v>94</v>
      </c>
      <c r="D3241" t="s">
        <v>95</v>
      </c>
      <c r="E3241" s="1">
        <v>44213</v>
      </c>
      <c r="F3241">
        <v>1</v>
      </c>
      <c r="G3241" t="s">
        <v>63</v>
      </c>
      <c r="H3241" t="s">
        <v>64</v>
      </c>
      <c r="I3241" s="3">
        <v>1153</v>
      </c>
      <c r="J3241" s="3">
        <v>1153</v>
      </c>
      <c r="K3241" s="3">
        <v>392</v>
      </c>
      <c r="L3241" t="s">
        <v>9</v>
      </c>
      <c r="M3241">
        <v>13</v>
      </c>
      <c r="N3241" t="s">
        <v>78</v>
      </c>
      <c r="O3241" t="s">
        <v>70</v>
      </c>
      <c r="P3241" t="s">
        <v>18</v>
      </c>
      <c r="Q3241" t="s">
        <v>19</v>
      </c>
      <c r="R3241" t="s">
        <v>138</v>
      </c>
      <c r="S3241" t="s">
        <v>144</v>
      </c>
      <c r="T3241" s="2">
        <f>MASTER[[#This Row],[CANTIDAD]]*MASTER[[#This Row],[PRECIO DE VENTA]]</f>
        <v>1153</v>
      </c>
      <c r="U3241" s="2">
        <f>MASTER[[#This Row],[CANTIDAD]]*MASTER[[#This Row],[COSTO UNITARIO]]</f>
        <v>392</v>
      </c>
      <c r="V3241" s="2">
        <f>MASTER[[#This Row],[MONTO VENDIDO]]-MASTER[[#This Row],[COSTO DE VENTA]]</f>
        <v>761</v>
      </c>
    </row>
    <row r="3242" spans="1:22" x14ac:dyDescent="0.3">
      <c r="A3242">
        <v>51904</v>
      </c>
      <c r="B3242">
        <v>1</v>
      </c>
      <c r="C3242" t="s">
        <v>94</v>
      </c>
      <c r="D3242" t="s">
        <v>95</v>
      </c>
      <c r="E3242" s="1">
        <v>44213</v>
      </c>
      <c r="F3242">
        <v>1</v>
      </c>
      <c r="G3242" t="s">
        <v>43</v>
      </c>
      <c r="H3242" t="s">
        <v>44</v>
      </c>
      <c r="I3242" s="3">
        <v>1153</v>
      </c>
      <c r="J3242" s="3">
        <v>1153</v>
      </c>
      <c r="K3242" s="3">
        <v>392</v>
      </c>
      <c r="L3242" t="s">
        <v>9</v>
      </c>
      <c r="M3242">
        <v>18</v>
      </c>
      <c r="N3242" t="s">
        <v>79</v>
      </c>
      <c r="O3242" t="s">
        <v>70</v>
      </c>
      <c r="P3242" t="s">
        <v>15</v>
      </c>
      <c r="Q3242" t="s">
        <v>16</v>
      </c>
      <c r="R3242" t="s">
        <v>16</v>
      </c>
      <c r="S3242" t="s">
        <v>144</v>
      </c>
      <c r="T3242" s="2">
        <f>MASTER[[#This Row],[CANTIDAD]]*MASTER[[#This Row],[PRECIO DE VENTA]]</f>
        <v>1153</v>
      </c>
      <c r="U3242" s="2">
        <f>MASTER[[#This Row],[CANTIDAD]]*MASTER[[#This Row],[COSTO UNITARIO]]</f>
        <v>392</v>
      </c>
      <c r="V3242" s="2">
        <f>MASTER[[#This Row],[MONTO VENDIDO]]-MASTER[[#This Row],[COSTO DE VENTA]]</f>
        <v>761</v>
      </c>
    </row>
    <row r="3243" spans="1:22" x14ac:dyDescent="0.3">
      <c r="A3243">
        <v>51908</v>
      </c>
      <c r="B3243">
        <v>1</v>
      </c>
      <c r="C3243" t="s">
        <v>109</v>
      </c>
      <c r="D3243" t="s">
        <v>110</v>
      </c>
      <c r="E3243" s="1">
        <v>44213</v>
      </c>
      <c r="F3243">
        <v>1</v>
      </c>
      <c r="G3243" t="s">
        <v>59</v>
      </c>
      <c r="H3243" t="s">
        <v>60</v>
      </c>
      <c r="I3243" s="3">
        <v>1064</v>
      </c>
      <c r="J3243" s="3">
        <v>1064</v>
      </c>
      <c r="K3243" s="3">
        <v>387</v>
      </c>
      <c r="L3243" t="s">
        <v>98</v>
      </c>
      <c r="M3243">
        <v>5</v>
      </c>
      <c r="N3243" t="s">
        <v>85</v>
      </c>
      <c r="O3243" t="s">
        <v>81</v>
      </c>
      <c r="P3243" t="s">
        <v>12</v>
      </c>
      <c r="Q3243" t="s">
        <v>13</v>
      </c>
      <c r="R3243" t="s">
        <v>13</v>
      </c>
      <c r="S3243" t="s">
        <v>144</v>
      </c>
      <c r="T3243" s="2">
        <f>MASTER[[#This Row],[CANTIDAD]]*MASTER[[#This Row],[PRECIO DE VENTA]]</f>
        <v>1064</v>
      </c>
      <c r="U3243" s="2">
        <f>MASTER[[#This Row],[CANTIDAD]]*MASTER[[#This Row],[COSTO UNITARIO]]</f>
        <v>387</v>
      </c>
      <c r="V3243" s="2">
        <f>MASTER[[#This Row],[MONTO VENDIDO]]-MASTER[[#This Row],[COSTO DE VENTA]]</f>
        <v>677</v>
      </c>
    </row>
    <row r="3244" spans="1:22" x14ac:dyDescent="0.3">
      <c r="A3244">
        <v>51915</v>
      </c>
      <c r="B3244">
        <v>1</v>
      </c>
      <c r="C3244" t="s">
        <v>96</v>
      </c>
      <c r="D3244" t="s">
        <v>97</v>
      </c>
      <c r="E3244" s="1">
        <v>44213</v>
      </c>
      <c r="F3244">
        <v>1</v>
      </c>
      <c r="G3244" t="s">
        <v>22</v>
      </c>
      <c r="H3244" t="s">
        <v>23</v>
      </c>
      <c r="I3244" s="3">
        <v>1272</v>
      </c>
      <c r="J3244" s="3">
        <v>1272</v>
      </c>
      <c r="K3244" s="3">
        <v>397</v>
      </c>
      <c r="L3244" t="s">
        <v>98</v>
      </c>
      <c r="M3244">
        <v>19</v>
      </c>
      <c r="N3244" t="s">
        <v>89</v>
      </c>
      <c r="O3244" t="s">
        <v>81</v>
      </c>
      <c r="P3244" t="s">
        <v>15</v>
      </c>
      <c r="Q3244" t="s">
        <v>16</v>
      </c>
      <c r="R3244" t="s">
        <v>16</v>
      </c>
      <c r="S3244" t="s">
        <v>144</v>
      </c>
      <c r="T3244" s="2">
        <f>MASTER[[#This Row],[CANTIDAD]]*MASTER[[#This Row],[PRECIO DE VENTA]]</f>
        <v>1272</v>
      </c>
      <c r="U3244" s="2">
        <f>MASTER[[#This Row],[CANTIDAD]]*MASTER[[#This Row],[COSTO UNITARIO]]</f>
        <v>397</v>
      </c>
      <c r="V3244" s="2">
        <f>MASTER[[#This Row],[MONTO VENDIDO]]-MASTER[[#This Row],[COSTO DE VENTA]]</f>
        <v>875</v>
      </c>
    </row>
    <row r="3245" spans="1:22" x14ac:dyDescent="0.3">
      <c r="A3245">
        <v>51926</v>
      </c>
      <c r="B3245">
        <v>1</v>
      </c>
      <c r="C3245" t="s">
        <v>107</v>
      </c>
      <c r="D3245" t="s">
        <v>108</v>
      </c>
      <c r="E3245" s="1">
        <v>44213</v>
      </c>
      <c r="F3245">
        <v>1</v>
      </c>
      <c r="G3245" t="s">
        <v>20</v>
      </c>
      <c r="H3245" t="s">
        <v>21</v>
      </c>
      <c r="I3245" s="3">
        <v>1333</v>
      </c>
      <c r="J3245" s="3">
        <v>1333</v>
      </c>
      <c r="K3245" s="3">
        <v>380</v>
      </c>
      <c r="L3245" t="s">
        <v>98</v>
      </c>
      <c r="M3245">
        <v>8</v>
      </c>
      <c r="N3245" t="s">
        <v>80</v>
      </c>
      <c r="O3245" t="s">
        <v>81</v>
      </c>
      <c r="P3245" t="s">
        <v>12</v>
      </c>
      <c r="Q3245" t="s">
        <v>13</v>
      </c>
      <c r="R3245" t="s">
        <v>13</v>
      </c>
      <c r="S3245" t="s">
        <v>144</v>
      </c>
      <c r="T3245" s="2">
        <f>MASTER[[#This Row],[CANTIDAD]]*MASTER[[#This Row],[PRECIO DE VENTA]]</f>
        <v>1333</v>
      </c>
      <c r="U3245" s="2">
        <f>MASTER[[#This Row],[CANTIDAD]]*MASTER[[#This Row],[COSTO UNITARIO]]</f>
        <v>380</v>
      </c>
      <c r="V3245" s="2">
        <f>MASTER[[#This Row],[MONTO VENDIDO]]-MASTER[[#This Row],[COSTO DE VENTA]]</f>
        <v>953</v>
      </c>
    </row>
    <row r="3246" spans="1:22" x14ac:dyDescent="0.3">
      <c r="A3246">
        <v>51939</v>
      </c>
      <c r="B3246">
        <v>1</v>
      </c>
      <c r="C3246" t="s">
        <v>92</v>
      </c>
      <c r="D3246" t="s">
        <v>93</v>
      </c>
      <c r="E3246" s="1">
        <v>44213</v>
      </c>
      <c r="F3246">
        <v>1</v>
      </c>
      <c r="G3246" t="s">
        <v>7</v>
      </c>
      <c r="H3246" t="s">
        <v>8</v>
      </c>
      <c r="I3246" s="3">
        <v>1479</v>
      </c>
      <c r="J3246" s="3">
        <v>1345</v>
      </c>
      <c r="K3246" s="3">
        <v>396</v>
      </c>
      <c r="L3246" t="s">
        <v>9</v>
      </c>
      <c r="M3246">
        <v>11</v>
      </c>
      <c r="N3246" t="s">
        <v>10</v>
      </c>
      <c r="O3246" t="s">
        <v>11</v>
      </c>
      <c r="P3246" t="s">
        <v>12</v>
      </c>
      <c r="Q3246" t="s">
        <v>13</v>
      </c>
      <c r="R3246" t="s">
        <v>13</v>
      </c>
      <c r="S3246" t="s">
        <v>144</v>
      </c>
      <c r="T3246" s="2">
        <f>MASTER[[#This Row],[CANTIDAD]]*MASTER[[#This Row],[PRECIO DE VENTA]]</f>
        <v>1345</v>
      </c>
      <c r="U3246" s="2">
        <f>MASTER[[#This Row],[CANTIDAD]]*MASTER[[#This Row],[COSTO UNITARIO]]</f>
        <v>396</v>
      </c>
      <c r="V3246" s="2">
        <f>MASTER[[#This Row],[MONTO VENDIDO]]-MASTER[[#This Row],[COSTO DE VENTA]]</f>
        <v>949</v>
      </c>
    </row>
    <row r="3247" spans="1:22" x14ac:dyDescent="0.3">
      <c r="A3247">
        <v>51949</v>
      </c>
      <c r="B3247">
        <v>1</v>
      </c>
      <c r="C3247" t="s">
        <v>96</v>
      </c>
      <c r="D3247" t="s">
        <v>97</v>
      </c>
      <c r="E3247" s="1">
        <v>44213</v>
      </c>
      <c r="F3247">
        <v>2</v>
      </c>
      <c r="G3247" t="s">
        <v>20</v>
      </c>
      <c r="H3247" t="s">
        <v>21</v>
      </c>
      <c r="I3247" s="3">
        <v>1361</v>
      </c>
      <c r="J3247" s="3">
        <v>1238</v>
      </c>
      <c r="K3247" s="3">
        <v>397</v>
      </c>
      <c r="L3247" t="s">
        <v>98</v>
      </c>
      <c r="M3247">
        <v>6</v>
      </c>
      <c r="N3247" t="s">
        <v>75</v>
      </c>
      <c r="O3247" t="s">
        <v>70</v>
      </c>
      <c r="P3247" t="s">
        <v>12</v>
      </c>
      <c r="Q3247" t="s">
        <v>13</v>
      </c>
      <c r="R3247" t="s">
        <v>13</v>
      </c>
      <c r="S3247" t="s">
        <v>144</v>
      </c>
      <c r="T3247" s="2">
        <f>MASTER[[#This Row],[CANTIDAD]]*MASTER[[#This Row],[PRECIO DE VENTA]]</f>
        <v>2476</v>
      </c>
      <c r="U3247" s="2">
        <f>MASTER[[#This Row],[CANTIDAD]]*MASTER[[#This Row],[COSTO UNITARIO]]</f>
        <v>794</v>
      </c>
      <c r="V3247" s="2">
        <f>MASTER[[#This Row],[MONTO VENDIDO]]-MASTER[[#This Row],[COSTO DE VENTA]]</f>
        <v>1682</v>
      </c>
    </row>
    <row r="3248" spans="1:22" x14ac:dyDescent="0.3">
      <c r="A3248">
        <v>51949</v>
      </c>
      <c r="B3248">
        <v>2</v>
      </c>
      <c r="C3248" t="s">
        <v>111</v>
      </c>
      <c r="D3248" t="s">
        <v>112</v>
      </c>
      <c r="E3248" s="1">
        <v>44213</v>
      </c>
      <c r="F3248">
        <v>2</v>
      </c>
      <c r="G3248" t="s">
        <v>49</v>
      </c>
      <c r="H3248" t="s">
        <v>50</v>
      </c>
      <c r="I3248" s="3">
        <v>1799</v>
      </c>
      <c r="J3248" s="3">
        <v>1799</v>
      </c>
      <c r="K3248" s="3">
        <v>434</v>
      </c>
      <c r="L3248" t="s">
        <v>113</v>
      </c>
      <c r="M3248">
        <v>6</v>
      </c>
      <c r="N3248" t="s">
        <v>75</v>
      </c>
      <c r="O3248" t="s">
        <v>70</v>
      </c>
      <c r="P3248" t="s">
        <v>12</v>
      </c>
      <c r="Q3248" t="s">
        <v>13</v>
      </c>
      <c r="R3248" t="s">
        <v>13</v>
      </c>
      <c r="S3248" t="s">
        <v>144</v>
      </c>
      <c r="T3248" s="2">
        <f>MASTER[[#This Row],[CANTIDAD]]*MASTER[[#This Row],[PRECIO DE VENTA]]</f>
        <v>3598</v>
      </c>
      <c r="U3248" s="2">
        <f>MASTER[[#This Row],[CANTIDAD]]*MASTER[[#This Row],[COSTO UNITARIO]]</f>
        <v>868</v>
      </c>
      <c r="V3248" s="2">
        <f>MASTER[[#This Row],[MONTO VENDIDO]]-MASTER[[#This Row],[COSTO DE VENTA]]</f>
        <v>2730</v>
      </c>
    </row>
    <row r="3249" spans="1:22" x14ac:dyDescent="0.3">
      <c r="A3249">
        <v>51952</v>
      </c>
      <c r="B3249">
        <v>1</v>
      </c>
      <c r="C3249" t="s">
        <v>96</v>
      </c>
      <c r="D3249" t="s">
        <v>97</v>
      </c>
      <c r="E3249" s="1">
        <v>44214</v>
      </c>
      <c r="F3249">
        <v>1</v>
      </c>
      <c r="G3249" t="s">
        <v>35</v>
      </c>
      <c r="H3249" t="s">
        <v>36</v>
      </c>
      <c r="I3249" s="3">
        <v>1196</v>
      </c>
      <c r="J3249" s="3">
        <v>1196</v>
      </c>
      <c r="K3249" s="3">
        <v>397</v>
      </c>
      <c r="L3249" t="s">
        <v>98</v>
      </c>
      <c r="M3249">
        <v>16</v>
      </c>
      <c r="N3249" t="s">
        <v>17</v>
      </c>
      <c r="O3249" t="s">
        <v>11</v>
      </c>
      <c r="P3249" t="s">
        <v>18</v>
      </c>
      <c r="Q3249" t="s">
        <v>19</v>
      </c>
      <c r="R3249" t="s">
        <v>138</v>
      </c>
      <c r="S3249" t="s">
        <v>144</v>
      </c>
      <c r="T3249" s="2">
        <f>MASTER[[#This Row],[CANTIDAD]]*MASTER[[#This Row],[PRECIO DE VENTA]]</f>
        <v>1196</v>
      </c>
      <c r="U3249" s="2">
        <f>MASTER[[#This Row],[CANTIDAD]]*MASTER[[#This Row],[COSTO UNITARIO]]</f>
        <v>397</v>
      </c>
      <c r="V3249" s="2">
        <f>MASTER[[#This Row],[MONTO VENDIDO]]-MASTER[[#This Row],[COSTO DE VENTA]]</f>
        <v>799</v>
      </c>
    </row>
    <row r="3250" spans="1:22" x14ac:dyDescent="0.3">
      <c r="A3250">
        <v>51953</v>
      </c>
      <c r="B3250">
        <v>1</v>
      </c>
      <c r="C3250" t="s">
        <v>96</v>
      </c>
      <c r="D3250" t="s">
        <v>97</v>
      </c>
      <c r="E3250" s="1">
        <v>44214</v>
      </c>
      <c r="F3250">
        <v>1</v>
      </c>
      <c r="G3250" t="s">
        <v>67</v>
      </c>
      <c r="H3250" t="s">
        <v>68</v>
      </c>
      <c r="I3250" s="3">
        <v>1272</v>
      </c>
      <c r="J3250" s="3">
        <v>1272</v>
      </c>
      <c r="K3250" s="3">
        <v>397</v>
      </c>
      <c r="L3250" t="s">
        <v>98</v>
      </c>
      <c r="M3250">
        <v>19</v>
      </c>
      <c r="N3250" t="s">
        <v>89</v>
      </c>
      <c r="O3250" t="s">
        <v>81</v>
      </c>
      <c r="P3250" t="s">
        <v>15</v>
      </c>
      <c r="Q3250" t="s">
        <v>16</v>
      </c>
      <c r="R3250" t="s">
        <v>16</v>
      </c>
      <c r="S3250" t="s">
        <v>144</v>
      </c>
      <c r="T3250" s="2">
        <f>MASTER[[#This Row],[CANTIDAD]]*MASTER[[#This Row],[PRECIO DE VENTA]]</f>
        <v>1272</v>
      </c>
      <c r="U3250" s="2">
        <f>MASTER[[#This Row],[CANTIDAD]]*MASTER[[#This Row],[COSTO UNITARIO]]</f>
        <v>397</v>
      </c>
      <c r="V3250" s="2">
        <f>MASTER[[#This Row],[MONTO VENDIDO]]-MASTER[[#This Row],[COSTO DE VENTA]]</f>
        <v>875</v>
      </c>
    </row>
    <row r="3251" spans="1:22" x14ac:dyDescent="0.3">
      <c r="A3251">
        <v>51984</v>
      </c>
      <c r="B3251">
        <v>1</v>
      </c>
      <c r="C3251" t="s">
        <v>111</v>
      </c>
      <c r="D3251" t="s">
        <v>112</v>
      </c>
      <c r="E3251" s="1">
        <v>44214</v>
      </c>
      <c r="F3251">
        <v>1</v>
      </c>
      <c r="G3251" t="s">
        <v>59</v>
      </c>
      <c r="H3251" t="s">
        <v>60</v>
      </c>
      <c r="I3251" s="3">
        <v>1621</v>
      </c>
      <c r="J3251" s="3">
        <v>1621</v>
      </c>
      <c r="K3251" s="3">
        <v>434</v>
      </c>
      <c r="L3251" t="s">
        <v>113</v>
      </c>
      <c r="M3251">
        <v>7</v>
      </c>
      <c r="N3251" t="s">
        <v>84</v>
      </c>
      <c r="O3251" t="s">
        <v>81</v>
      </c>
      <c r="P3251" t="s">
        <v>12</v>
      </c>
      <c r="Q3251" t="s">
        <v>13</v>
      </c>
      <c r="R3251" t="s">
        <v>13</v>
      </c>
      <c r="S3251" t="s">
        <v>144</v>
      </c>
      <c r="T3251" s="2">
        <f>MASTER[[#This Row],[CANTIDAD]]*MASTER[[#This Row],[PRECIO DE VENTA]]</f>
        <v>1621</v>
      </c>
      <c r="U3251" s="2">
        <f>MASTER[[#This Row],[CANTIDAD]]*MASTER[[#This Row],[COSTO UNITARIO]]</f>
        <v>434</v>
      </c>
      <c r="V3251" s="2">
        <f>MASTER[[#This Row],[MONTO VENDIDO]]-MASTER[[#This Row],[COSTO DE VENTA]]</f>
        <v>1187</v>
      </c>
    </row>
    <row r="3252" spans="1:22" x14ac:dyDescent="0.3">
      <c r="A3252">
        <v>51994</v>
      </c>
      <c r="B3252">
        <v>1</v>
      </c>
      <c r="C3252" t="s">
        <v>111</v>
      </c>
      <c r="D3252" t="s">
        <v>112</v>
      </c>
      <c r="E3252" s="1">
        <v>44214</v>
      </c>
      <c r="F3252">
        <v>1</v>
      </c>
      <c r="G3252" t="s">
        <v>63</v>
      </c>
      <c r="H3252" t="s">
        <v>64</v>
      </c>
      <c r="I3252" s="3">
        <v>1621</v>
      </c>
      <c r="J3252" s="3">
        <v>1523</v>
      </c>
      <c r="K3252" s="3">
        <v>434</v>
      </c>
      <c r="L3252" t="s">
        <v>113</v>
      </c>
      <c r="M3252">
        <v>5</v>
      </c>
      <c r="N3252" t="s">
        <v>85</v>
      </c>
      <c r="O3252" t="s">
        <v>81</v>
      </c>
      <c r="P3252" t="s">
        <v>12</v>
      </c>
      <c r="Q3252" t="s">
        <v>13</v>
      </c>
      <c r="R3252" t="s">
        <v>13</v>
      </c>
      <c r="S3252" t="s">
        <v>144</v>
      </c>
      <c r="T3252" s="2">
        <f>MASTER[[#This Row],[CANTIDAD]]*MASTER[[#This Row],[PRECIO DE VENTA]]</f>
        <v>1523</v>
      </c>
      <c r="U3252" s="2">
        <f>MASTER[[#This Row],[CANTIDAD]]*MASTER[[#This Row],[COSTO UNITARIO]]</f>
        <v>434</v>
      </c>
      <c r="V3252" s="2">
        <f>MASTER[[#This Row],[MONTO VENDIDO]]-MASTER[[#This Row],[COSTO DE VENTA]]</f>
        <v>1089</v>
      </c>
    </row>
    <row r="3253" spans="1:22" x14ac:dyDescent="0.3">
      <c r="A3253">
        <v>52002</v>
      </c>
      <c r="B3253">
        <v>1</v>
      </c>
      <c r="C3253" t="s">
        <v>103</v>
      </c>
      <c r="D3253" t="s">
        <v>104</v>
      </c>
      <c r="E3253" s="1">
        <v>44215</v>
      </c>
      <c r="F3253">
        <v>1</v>
      </c>
      <c r="G3253" t="s">
        <v>49</v>
      </c>
      <c r="H3253" t="s">
        <v>50</v>
      </c>
      <c r="I3253" s="3">
        <v>1591</v>
      </c>
      <c r="J3253" s="3">
        <v>1591</v>
      </c>
      <c r="K3253" s="3">
        <v>421</v>
      </c>
      <c r="L3253" t="s">
        <v>98</v>
      </c>
      <c r="M3253">
        <v>7</v>
      </c>
      <c r="N3253" t="s">
        <v>84</v>
      </c>
      <c r="O3253" t="s">
        <v>81</v>
      </c>
      <c r="P3253" t="s">
        <v>12</v>
      </c>
      <c r="Q3253" t="s">
        <v>13</v>
      </c>
      <c r="R3253" t="s">
        <v>13</v>
      </c>
      <c r="S3253" t="s">
        <v>144</v>
      </c>
      <c r="T3253" s="2">
        <f>MASTER[[#This Row],[CANTIDAD]]*MASTER[[#This Row],[PRECIO DE VENTA]]</f>
        <v>1591</v>
      </c>
      <c r="U3253" s="2">
        <f>MASTER[[#This Row],[CANTIDAD]]*MASTER[[#This Row],[COSTO UNITARIO]]</f>
        <v>421</v>
      </c>
      <c r="V3253" s="2">
        <f>MASTER[[#This Row],[MONTO VENDIDO]]-MASTER[[#This Row],[COSTO DE VENTA]]</f>
        <v>1170</v>
      </c>
    </row>
    <row r="3254" spans="1:22" x14ac:dyDescent="0.3">
      <c r="A3254">
        <v>52003</v>
      </c>
      <c r="B3254">
        <v>1</v>
      </c>
      <c r="C3254" t="s">
        <v>107</v>
      </c>
      <c r="D3254" t="s">
        <v>108</v>
      </c>
      <c r="E3254" s="1">
        <v>44215</v>
      </c>
      <c r="F3254">
        <v>1</v>
      </c>
      <c r="G3254" t="s">
        <v>65</v>
      </c>
      <c r="H3254" t="s">
        <v>66</v>
      </c>
      <c r="I3254" s="3">
        <v>1440</v>
      </c>
      <c r="J3254" s="3">
        <v>1440</v>
      </c>
      <c r="K3254" s="3">
        <v>380</v>
      </c>
      <c r="L3254" t="s">
        <v>98</v>
      </c>
      <c r="M3254">
        <v>13</v>
      </c>
      <c r="N3254" t="s">
        <v>78</v>
      </c>
      <c r="O3254" t="s">
        <v>70</v>
      </c>
      <c r="P3254" t="s">
        <v>18</v>
      </c>
      <c r="Q3254" t="s">
        <v>19</v>
      </c>
      <c r="R3254" t="s">
        <v>138</v>
      </c>
      <c r="S3254" t="s">
        <v>144</v>
      </c>
      <c r="T3254" s="2">
        <f>MASTER[[#This Row],[CANTIDAD]]*MASTER[[#This Row],[PRECIO DE VENTA]]</f>
        <v>1440</v>
      </c>
      <c r="U3254" s="2">
        <f>MASTER[[#This Row],[CANTIDAD]]*MASTER[[#This Row],[COSTO UNITARIO]]</f>
        <v>380</v>
      </c>
      <c r="V3254" s="2">
        <f>MASTER[[#This Row],[MONTO VENDIDO]]-MASTER[[#This Row],[COSTO DE VENTA]]</f>
        <v>1060</v>
      </c>
    </row>
    <row r="3255" spans="1:22" x14ac:dyDescent="0.3">
      <c r="A3255">
        <v>52007</v>
      </c>
      <c r="B3255">
        <v>1</v>
      </c>
      <c r="C3255" t="s">
        <v>94</v>
      </c>
      <c r="D3255" t="s">
        <v>95</v>
      </c>
      <c r="E3255" s="1">
        <v>44215</v>
      </c>
      <c r="F3255">
        <v>1</v>
      </c>
      <c r="G3255" t="s">
        <v>51</v>
      </c>
      <c r="H3255" t="s">
        <v>52</v>
      </c>
      <c r="I3255" s="3">
        <v>1153</v>
      </c>
      <c r="J3255" s="3">
        <v>1153</v>
      </c>
      <c r="K3255" s="3">
        <v>392</v>
      </c>
      <c r="L3255" t="s">
        <v>9</v>
      </c>
      <c r="M3255">
        <v>3</v>
      </c>
      <c r="N3255" t="s">
        <v>69</v>
      </c>
      <c r="O3255" t="s">
        <v>70</v>
      </c>
      <c r="P3255" t="s">
        <v>71</v>
      </c>
      <c r="Q3255" t="s">
        <v>72</v>
      </c>
      <c r="R3255" t="s">
        <v>139</v>
      </c>
      <c r="S3255" t="s">
        <v>144</v>
      </c>
      <c r="T3255" s="2">
        <f>MASTER[[#This Row],[CANTIDAD]]*MASTER[[#This Row],[PRECIO DE VENTA]]</f>
        <v>1153</v>
      </c>
      <c r="U3255" s="2">
        <f>MASTER[[#This Row],[CANTIDAD]]*MASTER[[#This Row],[COSTO UNITARIO]]</f>
        <v>392</v>
      </c>
      <c r="V3255" s="2">
        <f>MASTER[[#This Row],[MONTO VENDIDO]]-MASTER[[#This Row],[COSTO DE VENTA]]</f>
        <v>761</v>
      </c>
    </row>
    <row r="3256" spans="1:22" x14ac:dyDescent="0.3">
      <c r="A3256">
        <v>52017</v>
      </c>
      <c r="B3256">
        <v>1</v>
      </c>
      <c r="C3256" t="s">
        <v>5</v>
      </c>
      <c r="D3256" t="s">
        <v>6</v>
      </c>
      <c r="E3256" s="1">
        <v>44215</v>
      </c>
      <c r="F3256">
        <v>1</v>
      </c>
      <c r="G3256" t="s">
        <v>7</v>
      </c>
      <c r="H3256" t="s">
        <v>8</v>
      </c>
      <c r="I3256" s="3">
        <v>1311</v>
      </c>
      <c r="J3256" s="3">
        <v>1311</v>
      </c>
      <c r="K3256" s="3">
        <v>393</v>
      </c>
      <c r="L3256" t="s">
        <v>9</v>
      </c>
      <c r="M3256">
        <v>16</v>
      </c>
      <c r="N3256" t="s">
        <v>17</v>
      </c>
      <c r="O3256" t="s">
        <v>11</v>
      </c>
      <c r="P3256" t="s">
        <v>18</v>
      </c>
      <c r="Q3256" t="s">
        <v>19</v>
      </c>
      <c r="R3256" t="s">
        <v>138</v>
      </c>
      <c r="S3256" t="s">
        <v>144</v>
      </c>
      <c r="T3256" s="2">
        <f>MASTER[[#This Row],[CANTIDAD]]*MASTER[[#This Row],[PRECIO DE VENTA]]</f>
        <v>1311</v>
      </c>
      <c r="U3256" s="2">
        <f>MASTER[[#This Row],[CANTIDAD]]*MASTER[[#This Row],[COSTO UNITARIO]]</f>
        <v>393</v>
      </c>
      <c r="V3256" s="2">
        <f>MASTER[[#This Row],[MONTO VENDIDO]]-MASTER[[#This Row],[COSTO DE VENTA]]</f>
        <v>918</v>
      </c>
    </row>
    <row r="3257" spans="1:22" x14ac:dyDescent="0.3">
      <c r="A3257">
        <v>52029</v>
      </c>
      <c r="B3257">
        <v>1</v>
      </c>
      <c r="C3257" t="s">
        <v>109</v>
      </c>
      <c r="D3257" t="s">
        <v>110</v>
      </c>
      <c r="E3257" s="1">
        <v>44215</v>
      </c>
      <c r="F3257">
        <v>1</v>
      </c>
      <c r="G3257" t="s">
        <v>59</v>
      </c>
      <c r="H3257" t="s">
        <v>60</v>
      </c>
      <c r="I3257" s="3">
        <v>1128</v>
      </c>
      <c r="J3257" s="3">
        <v>1128</v>
      </c>
      <c r="K3257" s="3">
        <v>387</v>
      </c>
      <c r="L3257" t="s">
        <v>98</v>
      </c>
      <c r="M3257">
        <v>6</v>
      </c>
      <c r="N3257" t="s">
        <v>75</v>
      </c>
      <c r="O3257" t="s">
        <v>70</v>
      </c>
      <c r="P3257" t="s">
        <v>12</v>
      </c>
      <c r="Q3257" t="s">
        <v>13</v>
      </c>
      <c r="R3257" t="s">
        <v>13</v>
      </c>
      <c r="S3257" t="s">
        <v>144</v>
      </c>
      <c r="T3257" s="2">
        <f>MASTER[[#This Row],[CANTIDAD]]*MASTER[[#This Row],[PRECIO DE VENTA]]</f>
        <v>1128</v>
      </c>
      <c r="U3257" s="2">
        <f>MASTER[[#This Row],[CANTIDAD]]*MASTER[[#This Row],[COSTO UNITARIO]]</f>
        <v>387</v>
      </c>
      <c r="V3257" s="2">
        <f>MASTER[[#This Row],[MONTO VENDIDO]]-MASTER[[#This Row],[COSTO DE VENTA]]</f>
        <v>741</v>
      </c>
    </row>
    <row r="3258" spans="1:22" x14ac:dyDescent="0.3">
      <c r="A3258">
        <v>52036</v>
      </c>
      <c r="B3258">
        <v>1</v>
      </c>
      <c r="C3258" t="s">
        <v>118</v>
      </c>
      <c r="D3258" t="s">
        <v>119</v>
      </c>
      <c r="E3258" s="1">
        <v>44215</v>
      </c>
      <c r="F3258">
        <v>1</v>
      </c>
      <c r="G3258" t="s">
        <v>47</v>
      </c>
      <c r="H3258" t="s">
        <v>48</v>
      </c>
      <c r="I3258" s="3">
        <v>900</v>
      </c>
      <c r="J3258" s="3">
        <v>900</v>
      </c>
      <c r="K3258" s="3">
        <v>424</v>
      </c>
      <c r="L3258" t="s">
        <v>120</v>
      </c>
      <c r="M3258">
        <v>2</v>
      </c>
      <c r="N3258" t="s">
        <v>86</v>
      </c>
      <c r="O3258" t="s">
        <v>81</v>
      </c>
      <c r="P3258" t="s">
        <v>71</v>
      </c>
      <c r="Q3258" t="s">
        <v>72</v>
      </c>
      <c r="R3258" t="s">
        <v>139</v>
      </c>
      <c r="S3258" t="s">
        <v>144</v>
      </c>
      <c r="T3258" s="2">
        <f>MASTER[[#This Row],[CANTIDAD]]*MASTER[[#This Row],[PRECIO DE VENTA]]</f>
        <v>900</v>
      </c>
      <c r="U3258" s="2">
        <f>MASTER[[#This Row],[CANTIDAD]]*MASTER[[#This Row],[COSTO UNITARIO]]</f>
        <v>424</v>
      </c>
      <c r="V3258" s="2">
        <f>MASTER[[#This Row],[MONTO VENDIDO]]-MASTER[[#This Row],[COSTO DE VENTA]]</f>
        <v>476</v>
      </c>
    </row>
    <row r="3259" spans="1:22" x14ac:dyDescent="0.3">
      <c r="A3259">
        <v>52056</v>
      </c>
      <c r="B3259">
        <v>1</v>
      </c>
      <c r="C3259" t="s">
        <v>116</v>
      </c>
      <c r="D3259" t="s">
        <v>117</v>
      </c>
      <c r="E3259" s="1">
        <v>44215</v>
      </c>
      <c r="F3259">
        <v>1</v>
      </c>
      <c r="G3259" t="s">
        <v>57</v>
      </c>
      <c r="H3259" t="s">
        <v>58</v>
      </c>
      <c r="I3259" s="3">
        <v>1999</v>
      </c>
      <c r="J3259" s="3">
        <v>1999</v>
      </c>
      <c r="K3259" s="3">
        <v>388</v>
      </c>
      <c r="L3259" t="s">
        <v>113</v>
      </c>
      <c r="M3259">
        <v>3</v>
      </c>
      <c r="N3259" t="s">
        <v>69</v>
      </c>
      <c r="O3259" t="s">
        <v>70</v>
      </c>
      <c r="P3259" t="s">
        <v>71</v>
      </c>
      <c r="Q3259" t="s">
        <v>72</v>
      </c>
      <c r="R3259" t="s">
        <v>139</v>
      </c>
      <c r="S3259" t="s">
        <v>144</v>
      </c>
      <c r="T3259" s="2">
        <f>MASTER[[#This Row],[CANTIDAD]]*MASTER[[#This Row],[PRECIO DE VENTA]]</f>
        <v>1999</v>
      </c>
      <c r="U3259" s="2">
        <f>MASTER[[#This Row],[CANTIDAD]]*MASTER[[#This Row],[COSTO UNITARIO]]</f>
        <v>388</v>
      </c>
      <c r="V3259" s="2">
        <f>MASTER[[#This Row],[MONTO VENDIDO]]-MASTER[[#This Row],[COSTO DE VENTA]]</f>
        <v>1611</v>
      </c>
    </row>
    <row r="3260" spans="1:22" x14ac:dyDescent="0.3">
      <c r="A3260">
        <v>52061</v>
      </c>
      <c r="B3260">
        <v>1</v>
      </c>
      <c r="C3260" t="s">
        <v>90</v>
      </c>
      <c r="D3260" t="s">
        <v>91</v>
      </c>
      <c r="E3260" s="1">
        <v>44215</v>
      </c>
      <c r="F3260">
        <v>1</v>
      </c>
      <c r="G3260" t="s">
        <v>41</v>
      </c>
      <c r="H3260" t="s">
        <v>42</v>
      </c>
      <c r="I3260" s="3">
        <v>2102</v>
      </c>
      <c r="J3260" s="3">
        <v>2102</v>
      </c>
      <c r="K3260" s="3">
        <v>420</v>
      </c>
      <c r="L3260" t="s">
        <v>9</v>
      </c>
      <c r="M3260">
        <v>13</v>
      </c>
      <c r="N3260" t="s">
        <v>78</v>
      </c>
      <c r="O3260" t="s">
        <v>70</v>
      </c>
      <c r="P3260" t="s">
        <v>18</v>
      </c>
      <c r="Q3260" t="s">
        <v>19</v>
      </c>
      <c r="R3260" t="s">
        <v>138</v>
      </c>
      <c r="S3260" t="s">
        <v>144</v>
      </c>
      <c r="T3260" s="2">
        <f>MASTER[[#This Row],[CANTIDAD]]*MASTER[[#This Row],[PRECIO DE VENTA]]</f>
        <v>2102</v>
      </c>
      <c r="U3260" s="2">
        <f>MASTER[[#This Row],[CANTIDAD]]*MASTER[[#This Row],[COSTO UNITARIO]]</f>
        <v>420</v>
      </c>
      <c r="V3260" s="2">
        <f>MASTER[[#This Row],[MONTO VENDIDO]]-MASTER[[#This Row],[COSTO DE VENTA]]</f>
        <v>1682</v>
      </c>
    </row>
    <row r="3261" spans="1:22" x14ac:dyDescent="0.3">
      <c r="A3261">
        <v>52065</v>
      </c>
      <c r="B3261">
        <v>1</v>
      </c>
      <c r="C3261" t="s">
        <v>105</v>
      </c>
      <c r="D3261" t="s">
        <v>106</v>
      </c>
      <c r="E3261" s="1">
        <v>44216</v>
      </c>
      <c r="F3261">
        <v>1</v>
      </c>
      <c r="G3261" t="s">
        <v>57</v>
      </c>
      <c r="H3261" t="s">
        <v>58</v>
      </c>
      <c r="I3261" s="3">
        <v>1865</v>
      </c>
      <c r="J3261" s="3">
        <v>1865</v>
      </c>
      <c r="K3261" s="3">
        <v>459</v>
      </c>
      <c r="L3261" t="s">
        <v>98</v>
      </c>
      <c r="M3261">
        <v>15</v>
      </c>
      <c r="N3261" t="s">
        <v>88</v>
      </c>
      <c r="O3261" t="s">
        <v>81</v>
      </c>
      <c r="P3261" t="s">
        <v>18</v>
      </c>
      <c r="Q3261" t="s">
        <v>19</v>
      </c>
      <c r="R3261" t="s">
        <v>138</v>
      </c>
      <c r="S3261" t="s">
        <v>144</v>
      </c>
      <c r="T3261" s="2">
        <f>MASTER[[#This Row],[CANTIDAD]]*MASTER[[#This Row],[PRECIO DE VENTA]]</f>
        <v>1865</v>
      </c>
      <c r="U3261" s="2">
        <f>MASTER[[#This Row],[CANTIDAD]]*MASTER[[#This Row],[COSTO UNITARIO]]</f>
        <v>459</v>
      </c>
      <c r="V3261" s="2">
        <f>MASTER[[#This Row],[MONTO VENDIDO]]-MASTER[[#This Row],[COSTO DE VENTA]]</f>
        <v>1406</v>
      </c>
    </row>
    <row r="3262" spans="1:22" x14ac:dyDescent="0.3">
      <c r="A3262">
        <v>52084</v>
      </c>
      <c r="B3262">
        <v>1</v>
      </c>
      <c r="C3262" t="s">
        <v>107</v>
      </c>
      <c r="D3262" t="s">
        <v>108</v>
      </c>
      <c r="E3262" s="1">
        <v>44216</v>
      </c>
      <c r="F3262">
        <v>1</v>
      </c>
      <c r="G3262" t="s">
        <v>49</v>
      </c>
      <c r="H3262" t="s">
        <v>50</v>
      </c>
      <c r="I3262" s="3">
        <v>1333</v>
      </c>
      <c r="J3262" s="3">
        <v>1333</v>
      </c>
      <c r="K3262" s="3">
        <v>380</v>
      </c>
      <c r="L3262" t="s">
        <v>98</v>
      </c>
      <c r="M3262">
        <v>14</v>
      </c>
      <c r="N3262" t="s">
        <v>87</v>
      </c>
      <c r="O3262" t="s">
        <v>81</v>
      </c>
      <c r="P3262" t="s">
        <v>18</v>
      </c>
      <c r="Q3262" t="s">
        <v>19</v>
      </c>
      <c r="R3262" t="s">
        <v>138</v>
      </c>
      <c r="S3262" t="s">
        <v>144</v>
      </c>
      <c r="T3262" s="2">
        <f>MASTER[[#This Row],[CANTIDAD]]*MASTER[[#This Row],[PRECIO DE VENTA]]</f>
        <v>1333</v>
      </c>
      <c r="U3262" s="2">
        <f>MASTER[[#This Row],[CANTIDAD]]*MASTER[[#This Row],[COSTO UNITARIO]]</f>
        <v>380</v>
      </c>
      <c r="V3262" s="2">
        <f>MASTER[[#This Row],[MONTO VENDIDO]]-MASTER[[#This Row],[COSTO DE VENTA]]</f>
        <v>953</v>
      </c>
    </row>
    <row r="3263" spans="1:22" x14ac:dyDescent="0.3">
      <c r="A3263">
        <v>52119</v>
      </c>
      <c r="B3263">
        <v>1</v>
      </c>
      <c r="C3263" t="s">
        <v>109</v>
      </c>
      <c r="D3263" t="s">
        <v>110</v>
      </c>
      <c r="E3263" s="1">
        <v>44216</v>
      </c>
      <c r="F3263">
        <v>1</v>
      </c>
      <c r="G3263" t="s">
        <v>39</v>
      </c>
      <c r="H3263" t="s">
        <v>40</v>
      </c>
      <c r="I3263" s="3">
        <v>1128</v>
      </c>
      <c r="J3263" s="3">
        <v>1128</v>
      </c>
      <c r="K3263" s="3">
        <v>387</v>
      </c>
      <c r="L3263" t="s">
        <v>98</v>
      </c>
      <c r="M3263">
        <v>3</v>
      </c>
      <c r="N3263" t="s">
        <v>69</v>
      </c>
      <c r="O3263" t="s">
        <v>70</v>
      </c>
      <c r="P3263" t="s">
        <v>71</v>
      </c>
      <c r="Q3263" t="s">
        <v>72</v>
      </c>
      <c r="R3263" t="s">
        <v>139</v>
      </c>
      <c r="S3263" t="s">
        <v>144</v>
      </c>
      <c r="T3263" s="2">
        <f>MASTER[[#This Row],[CANTIDAD]]*MASTER[[#This Row],[PRECIO DE VENTA]]</f>
        <v>1128</v>
      </c>
      <c r="U3263" s="2">
        <f>MASTER[[#This Row],[CANTIDAD]]*MASTER[[#This Row],[COSTO UNITARIO]]</f>
        <v>387</v>
      </c>
      <c r="V3263" s="2">
        <f>MASTER[[#This Row],[MONTO VENDIDO]]-MASTER[[#This Row],[COSTO DE VENTA]]</f>
        <v>741</v>
      </c>
    </row>
    <row r="3264" spans="1:22" x14ac:dyDescent="0.3">
      <c r="A3264">
        <v>52144</v>
      </c>
      <c r="B3264">
        <v>1</v>
      </c>
      <c r="C3264" t="s">
        <v>92</v>
      </c>
      <c r="D3264" t="s">
        <v>93</v>
      </c>
      <c r="E3264" s="1">
        <v>44216</v>
      </c>
      <c r="F3264">
        <v>1</v>
      </c>
      <c r="G3264" t="s">
        <v>53</v>
      </c>
      <c r="H3264" t="s">
        <v>54</v>
      </c>
      <c r="I3264" s="3">
        <v>1681</v>
      </c>
      <c r="J3264" s="3">
        <v>1681</v>
      </c>
      <c r="K3264" s="3">
        <v>396</v>
      </c>
      <c r="L3264" t="s">
        <v>9</v>
      </c>
      <c r="M3264">
        <v>14</v>
      </c>
      <c r="N3264" t="s">
        <v>87</v>
      </c>
      <c r="O3264" t="s">
        <v>81</v>
      </c>
      <c r="P3264" t="s">
        <v>18</v>
      </c>
      <c r="Q3264" t="s">
        <v>19</v>
      </c>
      <c r="R3264" t="s">
        <v>138</v>
      </c>
      <c r="S3264" t="s">
        <v>144</v>
      </c>
      <c r="T3264" s="2">
        <f>MASTER[[#This Row],[CANTIDAD]]*MASTER[[#This Row],[PRECIO DE VENTA]]</f>
        <v>1681</v>
      </c>
      <c r="U3264" s="2">
        <f>MASTER[[#This Row],[CANTIDAD]]*MASTER[[#This Row],[COSTO UNITARIO]]</f>
        <v>396</v>
      </c>
      <c r="V3264" s="2">
        <f>MASTER[[#This Row],[MONTO VENDIDO]]-MASTER[[#This Row],[COSTO DE VENTA]]</f>
        <v>1285</v>
      </c>
    </row>
    <row r="3265" spans="1:22" x14ac:dyDescent="0.3">
      <c r="A3265">
        <v>52155</v>
      </c>
      <c r="B3265">
        <v>1</v>
      </c>
      <c r="C3265" t="s">
        <v>96</v>
      </c>
      <c r="D3265" t="s">
        <v>97</v>
      </c>
      <c r="E3265" s="1">
        <v>44216</v>
      </c>
      <c r="F3265">
        <v>2</v>
      </c>
      <c r="G3265" t="s">
        <v>57</v>
      </c>
      <c r="H3265" t="s">
        <v>58</v>
      </c>
      <c r="I3265" s="3">
        <v>1361</v>
      </c>
      <c r="J3265" s="3">
        <v>1292</v>
      </c>
      <c r="K3265" s="3">
        <v>397</v>
      </c>
      <c r="L3265" t="s">
        <v>98</v>
      </c>
      <c r="M3265">
        <v>13</v>
      </c>
      <c r="N3265" t="s">
        <v>78</v>
      </c>
      <c r="O3265" t="s">
        <v>70</v>
      </c>
      <c r="P3265" t="s">
        <v>18</v>
      </c>
      <c r="Q3265" t="s">
        <v>19</v>
      </c>
      <c r="R3265" t="s">
        <v>138</v>
      </c>
      <c r="S3265" t="s">
        <v>144</v>
      </c>
      <c r="T3265" s="2">
        <f>MASTER[[#This Row],[CANTIDAD]]*MASTER[[#This Row],[PRECIO DE VENTA]]</f>
        <v>2584</v>
      </c>
      <c r="U3265" s="2">
        <f>MASTER[[#This Row],[CANTIDAD]]*MASTER[[#This Row],[COSTO UNITARIO]]</f>
        <v>794</v>
      </c>
      <c r="V3265" s="2">
        <f>MASTER[[#This Row],[MONTO VENDIDO]]-MASTER[[#This Row],[COSTO DE VENTA]]</f>
        <v>1790</v>
      </c>
    </row>
    <row r="3266" spans="1:22" x14ac:dyDescent="0.3">
      <c r="A3266">
        <v>52168</v>
      </c>
      <c r="B3266">
        <v>1</v>
      </c>
      <c r="C3266" t="s">
        <v>103</v>
      </c>
      <c r="D3266" t="s">
        <v>104</v>
      </c>
      <c r="E3266" s="1">
        <v>44216</v>
      </c>
      <c r="F3266">
        <v>1</v>
      </c>
      <c r="G3266" t="s">
        <v>24</v>
      </c>
      <c r="H3266" t="s">
        <v>25</v>
      </c>
      <c r="I3266" s="3">
        <v>1591</v>
      </c>
      <c r="J3266" s="3">
        <v>1591</v>
      </c>
      <c r="K3266" s="3">
        <v>421</v>
      </c>
      <c r="L3266" t="s">
        <v>98</v>
      </c>
      <c r="M3266">
        <v>15</v>
      </c>
      <c r="N3266" t="s">
        <v>88</v>
      </c>
      <c r="O3266" t="s">
        <v>81</v>
      </c>
      <c r="P3266" t="s">
        <v>18</v>
      </c>
      <c r="Q3266" t="s">
        <v>19</v>
      </c>
      <c r="R3266" t="s">
        <v>138</v>
      </c>
      <c r="S3266" t="s">
        <v>144</v>
      </c>
      <c r="T3266" s="2">
        <f>MASTER[[#This Row],[CANTIDAD]]*MASTER[[#This Row],[PRECIO DE VENTA]]</f>
        <v>1591</v>
      </c>
      <c r="U3266" s="2">
        <f>MASTER[[#This Row],[CANTIDAD]]*MASTER[[#This Row],[COSTO UNITARIO]]</f>
        <v>421</v>
      </c>
      <c r="V3266" s="2">
        <f>MASTER[[#This Row],[MONTO VENDIDO]]-MASTER[[#This Row],[COSTO DE VENTA]]</f>
        <v>1170</v>
      </c>
    </row>
    <row r="3267" spans="1:22" x14ac:dyDescent="0.3">
      <c r="A3267">
        <v>52175</v>
      </c>
      <c r="B3267">
        <v>1</v>
      </c>
      <c r="C3267" t="s">
        <v>111</v>
      </c>
      <c r="D3267" t="s">
        <v>112</v>
      </c>
      <c r="E3267" s="1">
        <v>44216</v>
      </c>
      <c r="F3267">
        <v>1</v>
      </c>
      <c r="G3267" t="s">
        <v>43</v>
      </c>
      <c r="H3267" t="s">
        <v>44</v>
      </c>
      <c r="I3267" s="3">
        <v>1799</v>
      </c>
      <c r="J3267" s="3">
        <v>1799</v>
      </c>
      <c r="K3267" s="3">
        <v>434</v>
      </c>
      <c r="L3267" t="s">
        <v>113</v>
      </c>
      <c r="M3267">
        <v>18</v>
      </c>
      <c r="N3267" t="s">
        <v>79</v>
      </c>
      <c r="O3267" t="s">
        <v>70</v>
      </c>
      <c r="P3267" t="s">
        <v>15</v>
      </c>
      <c r="Q3267" t="s">
        <v>16</v>
      </c>
      <c r="R3267" t="s">
        <v>16</v>
      </c>
      <c r="S3267" t="s">
        <v>144</v>
      </c>
      <c r="T3267" s="2">
        <f>MASTER[[#This Row],[CANTIDAD]]*MASTER[[#This Row],[PRECIO DE VENTA]]</f>
        <v>1799</v>
      </c>
      <c r="U3267" s="2">
        <f>MASTER[[#This Row],[CANTIDAD]]*MASTER[[#This Row],[COSTO UNITARIO]]</f>
        <v>434</v>
      </c>
      <c r="V3267" s="2">
        <f>MASTER[[#This Row],[MONTO VENDIDO]]-MASTER[[#This Row],[COSTO DE VENTA]]</f>
        <v>1365</v>
      </c>
    </row>
    <row r="3268" spans="1:22" x14ac:dyDescent="0.3">
      <c r="A3268">
        <v>52190</v>
      </c>
      <c r="B3268">
        <v>1</v>
      </c>
      <c r="C3268" t="s">
        <v>111</v>
      </c>
      <c r="D3268" t="s">
        <v>112</v>
      </c>
      <c r="E3268" s="1">
        <v>44216</v>
      </c>
      <c r="F3268">
        <v>1</v>
      </c>
      <c r="G3268" t="s">
        <v>67</v>
      </c>
      <c r="H3268" t="s">
        <v>68</v>
      </c>
      <c r="I3268" s="3">
        <v>1621</v>
      </c>
      <c r="J3268" s="3">
        <v>1621</v>
      </c>
      <c r="K3268" s="3">
        <v>434</v>
      </c>
      <c r="L3268" t="s">
        <v>113</v>
      </c>
      <c r="M3268">
        <v>10</v>
      </c>
      <c r="N3268" t="s">
        <v>83</v>
      </c>
      <c r="O3268" t="s">
        <v>81</v>
      </c>
      <c r="P3268" t="s">
        <v>12</v>
      </c>
      <c r="Q3268" t="s">
        <v>13</v>
      </c>
      <c r="R3268" t="s">
        <v>13</v>
      </c>
      <c r="S3268" t="s">
        <v>144</v>
      </c>
      <c r="T3268" s="2">
        <f>MASTER[[#This Row],[CANTIDAD]]*MASTER[[#This Row],[PRECIO DE VENTA]]</f>
        <v>1621</v>
      </c>
      <c r="U3268" s="2">
        <f>MASTER[[#This Row],[CANTIDAD]]*MASTER[[#This Row],[COSTO UNITARIO]]</f>
        <v>434</v>
      </c>
      <c r="V3268" s="2">
        <f>MASTER[[#This Row],[MONTO VENDIDO]]-MASTER[[#This Row],[COSTO DE VENTA]]</f>
        <v>1187</v>
      </c>
    </row>
    <row r="3269" spans="1:22" x14ac:dyDescent="0.3">
      <c r="A3269">
        <v>52203</v>
      </c>
      <c r="B3269">
        <v>1</v>
      </c>
      <c r="C3269" t="s">
        <v>114</v>
      </c>
      <c r="D3269" t="s">
        <v>115</v>
      </c>
      <c r="E3269" s="1">
        <v>44216</v>
      </c>
      <c r="F3269">
        <v>1</v>
      </c>
      <c r="G3269" t="s">
        <v>57</v>
      </c>
      <c r="H3269" t="s">
        <v>58</v>
      </c>
      <c r="I3269" s="3">
        <v>1583</v>
      </c>
      <c r="J3269" s="3">
        <v>1583</v>
      </c>
      <c r="K3269" s="3">
        <v>394</v>
      </c>
      <c r="L3269" t="s">
        <v>113</v>
      </c>
      <c r="M3269">
        <v>11</v>
      </c>
      <c r="N3269" t="s">
        <v>10</v>
      </c>
      <c r="O3269" t="s">
        <v>11</v>
      </c>
      <c r="P3269" t="s">
        <v>12</v>
      </c>
      <c r="Q3269" t="s">
        <v>13</v>
      </c>
      <c r="R3269" t="s">
        <v>13</v>
      </c>
      <c r="S3269" t="s">
        <v>144</v>
      </c>
      <c r="T3269" s="2">
        <f>MASTER[[#This Row],[CANTIDAD]]*MASTER[[#This Row],[PRECIO DE VENTA]]</f>
        <v>1583</v>
      </c>
      <c r="U3269" s="2">
        <f>MASTER[[#This Row],[CANTIDAD]]*MASTER[[#This Row],[COSTO UNITARIO]]</f>
        <v>394</v>
      </c>
      <c r="V3269" s="2">
        <f>MASTER[[#This Row],[MONTO VENDIDO]]-MASTER[[#This Row],[COSTO DE VENTA]]</f>
        <v>1189</v>
      </c>
    </row>
    <row r="3270" spans="1:22" x14ac:dyDescent="0.3">
      <c r="A3270">
        <v>52213</v>
      </c>
      <c r="B3270">
        <v>1</v>
      </c>
      <c r="C3270" t="s">
        <v>92</v>
      </c>
      <c r="D3270" t="s">
        <v>93</v>
      </c>
      <c r="E3270" s="1">
        <v>44216</v>
      </c>
      <c r="F3270">
        <v>1</v>
      </c>
      <c r="G3270" t="s">
        <v>53</v>
      </c>
      <c r="H3270" t="s">
        <v>54</v>
      </c>
      <c r="I3270" s="3">
        <v>1681</v>
      </c>
      <c r="J3270" s="3">
        <v>1681</v>
      </c>
      <c r="K3270" s="3">
        <v>396</v>
      </c>
      <c r="L3270" t="s">
        <v>9</v>
      </c>
      <c r="M3270">
        <v>4</v>
      </c>
      <c r="N3270" t="s">
        <v>82</v>
      </c>
      <c r="O3270" t="s">
        <v>81</v>
      </c>
      <c r="P3270" t="s">
        <v>71</v>
      </c>
      <c r="Q3270" t="s">
        <v>72</v>
      </c>
      <c r="R3270" t="s">
        <v>139</v>
      </c>
      <c r="S3270" t="s">
        <v>144</v>
      </c>
      <c r="T3270" s="2">
        <f>MASTER[[#This Row],[CANTIDAD]]*MASTER[[#This Row],[PRECIO DE VENTA]]</f>
        <v>1681</v>
      </c>
      <c r="U3270" s="2">
        <f>MASTER[[#This Row],[CANTIDAD]]*MASTER[[#This Row],[COSTO UNITARIO]]</f>
        <v>396</v>
      </c>
      <c r="V3270" s="2">
        <f>MASTER[[#This Row],[MONTO VENDIDO]]-MASTER[[#This Row],[COSTO DE VENTA]]</f>
        <v>1285</v>
      </c>
    </row>
    <row r="3271" spans="1:22" x14ac:dyDescent="0.3">
      <c r="A3271">
        <v>52215</v>
      </c>
      <c r="B3271">
        <v>1</v>
      </c>
      <c r="C3271" t="s">
        <v>94</v>
      </c>
      <c r="D3271" t="s">
        <v>95</v>
      </c>
      <c r="E3271" s="1">
        <v>44216</v>
      </c>
      <c r="F3271">
        <v>1</v>
      </c>
      <c r="G3271" t="s">
        <v>63</v>
      </c>
      <c r="H3271" t="s">
        <v>64</v>
      </c>
      <c r="I3271" s="3">
        <v>1153</v>
      </c>
      <c r="J3271" s="3">
        <v>1153</v>
      </c>
      <c r="K3271" s="3">
        <v>392</v>
      </c>
      <c r="L3271" t="s">
        <v>9</v>
      </c>
      <c r="M3271">
        <v>1</v>
      </c>
      <c r="N3271" t="s">
        <v>77</v>
      </c>
      <c r="O3271" t="s">
        <v>70</v>
      </c>
      <c r="P3271" t="s">
        <v>71</v>
      </c>
      <c r="Q3271" t="s">
        <v>72</v>
      </c>
      <c r="R3271" t="s">
        <v>139</v>
      </c>
      <c r="S3271" t="s">
        <v>144</v>
      </c>
      <c r="T3271" s="2">
        <f>MASTER[[#This Row],[CANTIDAD]]*MASTER[[#This Row],[PRECIO DE VENTA]]</f>
        <v>1153</v>
      </c>
      <c r="U3271" s="2">
        <f>MASTER[[#This Row],[CANTIDAD]]*MASTER[[#This Row],[COSTO UNITARIO]]</f>
        <v>392</v>
      </c>
      <c r="V3271" s="2">
        <f>MASTER[[#This Row],[MONTO VENDIDO]]-MASTER[[#This Row],[COSTO DE VENTA]]</f>
        <v>761</v>
      </c>
    </row>
    <row r="3272" spans="1:22" x14ac:dyDescent="0.3">
      <c r="A3272">
        <v>52227</v>
      </c>
      <c r="B3272">
        <v>1</v>
      </c>
      <c r="C3272" t="s">
        <v>114</v>
      </c>
      <c r="D3272" t="s">
        <v>115</v>
      </c>
      <c r="E3272" s="1">
        <v>44216</v>
      </c>
      <c r="F3272">
        <v>1</v>
      </c>
      <c r="G3272" t="s">
        <v>22</v>
      </c>
      <c r="H3272" t="s">
        <v>23</v>
      </c>
      <c r="I3272" s="3">
        <v>2030</v>
      </c>
      <c r="J3272" s="3">
        <v>2030</v>
      </c>
      <c r="K3272" s="3">
        <v>394</v>
      </c>
      <c r="L3272" t="s">
        <v>113</v>
      </c>
      <c r="M3272">
        <v>3</v>
      </c>
      <c r="N3272" t="s">
        <v>69</v>
      </c>
      <c r="O3272" t="s">
        <v>70</v>
      </c>
      <c r="P3272" t="s">
        <v>71</v>
      </c>
      <c r="Q3272" t="s">
        <v>72</v>
      </c>
      <c r="R3272" t="s">
        <v>139</v>
      </c>
      <c r="S3272" t="s">
        <v>144</v>
      </c>
      <c r="T3272" s="2">
        <f>MASTER[[#This Row],[CANTIDAD]]*MASTER[[#This Row],[PRECIO DE VENTA]]</f>
        <v>2030</v>
      </c>
      <c r="U3272" s="2">
        <f>MASTER[[#This Row],[CANTIDAD]]*MASTER[[#This Row],[COSTO UNITARIO]]</f>
        <v>394</v>
      </c>
      <c r="V3272" s="2">
        <f>MASTER[[#This Row],[MONTO VENDIDO]]-MASTER[[#This Row],[COSTO DE VENTA]]</f>
        <v>1636</v>
      </c>
    </row>
    <row r="3273" spans="1:22" x14ac:dyDescent="0.3">
      <c r="A3273">
        <v>52244</v>
      </c>
      <c r="B3273">
        <v>1</v>
      </c>
      <c r="C3273" t="s">
        <v>94</v>
      </c>
      <c r="D3273" t="s">
        <v>95</v>
      </c>
      <c r="E3273" s="1">
        <v>44217</v>
      </c>
      <c r="F3273">
        <v>1</v>
      </c>
      <c r="G3273" t="s">
        <v>59</v>
      </c>
      <c r="H3273" t="s">
        <v>60</v>
      </c>
      <c r="I3273" s="3">
        <v>1048</v>
      </c>
      <c r="J3273" s="3">
        <v>985</v>
      </c>
      <c r="K3273" s="3">
        <v>392</v>
      </c>
      <c r="L3273" t="s">
        <v>9</v>
      </c>
      <c r="M3273">
        <v>7</v>
      </c>
      <c r="N3273" t="s">
        <v>84</v>
      </c>
      <c r="O3273" t="s">
        <v>81</v>
      </c>
      <c r="P3273" t="s">
        <v>12</v>
      </c>
      <c r="Q3273" t="s">
        <v>13</v>
      </c>
      <c r="R3273" t="s">
        <v>13</v>
      </c>
      <c r="S3273" t="s">
        <v>144</v>
      </c>
      <c r="T3273" s="2">
        <f>MASTER[[#This Row],[CANTIDAD]]*MASTER[[#This Row],[PRECIO DE VENTA]]</f>
        <v>985</v>
      </c>
      <c r="U3273" s="2">
        <f>MASTER[[#This Row],[CANTIDAD]]*MASTER[[#This Row],[COSTO UNITARIO]]</f>
        <v>392</v>
      </c>
      <c r="V3273" s="2">
        <f>MASTER[[#This Row],[MONTO VENDIDO]]-MASTER[[#This Row],[COSTO DE VENTA]]</f>
        <v>593</v>
      </c>
    </row>
    <row r="3274" spans="1:22" x14ac:dyDescent="0.3">
      <c r="A3274">
        <v>52272</v>
      </c>
      <c r="B3274">
        <v>1</v>
      </c>
      <c r="C3274" t="s">
        <v>90</v>
      </c>
      <c r="D3274" t="s">
        <v>91</v>
      </c>
      <c r="E3274" s="1">
        <v>44217</v>
      </c>
      <c r="F3274">
        <v>1</v>
      </c>
      <c r="G3274" t="s">
        <v>31</v>
      </c>
      <c r="H3274" t="s">
        <v>32</v>
      </c>
      <c r="I3274" s="3">
        <v>2102</v>
      </c>
      <c r="J3274" s="3">
        <v>2102</v>
      </c>
      <c r="K3274" s="3">
        <v>420</v>
      </c>
      <c r="L3274" t="s">
        <v>9</v>
      </c>
      <c r="M3274">
        <v>1</v>
      </c>
      <c r="N3274" t="s">
        <v>77</v>
      </c>
      <c r="O3274" t="s">
        <v>70</v>
      </c>
      <c r="P3274" t="s">
        <v>71</v>
      </c>
      <c r="Q3274" t="s">
        <v>72</v>
      </c>
      <c r="R3274" t="s">
        <v>139</v>
      </c>
      <c r="S3274" t="s">
        <v>144</v>
      </c>
      <c r="T3274" s="2">
        <f>MASTER[[#This Row],[CANTIDAD]]*MASTER[[#This Row],[PRECIO DE VENTA]]</f>
        <v>2102</v>
      </c>
      <c r="U3274" s="2">
        <f>MASTER[[#This Row],[CANTIDAD]]*MASTER[[#This Row],[COSTO UNITARIO]]</f>
        <v>420</v>
      </c>
      <c r="V3274" s="2">
        <f>MASTER[[#This Row],[MONTO VENDIDO]]-MASTER[[#This Row],[COSTO DE VENTA]]</f>
        <v>1682</v>
      </c>
    </row>
    <row r="3275" spans="1:22" x14ac:dyDescent="0.3">
      <c r="A3275">
        <v>52285</v>
      </c>
      <c r="B3275">
        <v>1</v>
      </c>
      <c r="C3275" t="s">
        <v>99</v>
      </c>
      <c r="D3275" t="s">
        <v>100</v>
      </c>
      <c r="E3275" s="1">
        <v>44217</v>
      </c>
      <c r="F3275">
        <v>1</v>
      </c>
      <c r="G3275" t="s">
        <v>29</v>
      </c>
      <c r="H3275" t="s">
        <v>30</v>
      </c>
      <c r="I3275" s="3">
        <v>1328</v>
      </c>
      <c r="J3275" s="3">
        <v>1328</v>
      </c>
      <c r="K3275" s="3">
        <v>386</v>
      </c>
      <c r="L3275" t="s">
        <v>98</v>
      </c>
      <c r="M3275">
        <v>16</v>
      </c>
      <c r="N3275" t="s">
        <v>17</v>
      </c>
      <c r="O3275" t="s">
        <v>11</v>
      </c>
      <c r="P3275" t="s">
        <v>18</v>
      </c>
      <c r="Q3275" t="s">
        <v>19</v>
      </c>
      <c r="R3275" t="s">
        <v>138</v>
      </c>
      <c r="S3275" t="s">
        <v>144</v>
      </c>
      <c r="T3275" s="2">
        <f>MASTER[[#This Row],[CANTIDAD]]*MASTER[[#This Row],[PRECIO DE VENTA]]</f>
        <v>1328</v>
      </c>
      <c r="U3275" s="2">
        <f>MASTER[[#This Row],[CANTIDAD]]*MASTER[[#This Row],[COSTO UNITARIO]]</f>
        <v>386</v>
      </c>
      <c r="V3275" s="2">
        <f>MASTER[[#This Row],[MONTO VENDIDO]]-MASTER[[#This Row],[COSTO DE VENTA]]</f>
        <v>942</v>
      </c>
    </row>
    <row r="3276" spans="1:22" x14ac:dyDescent="0.3">
      <c r="A3276">
        <v>52297</v>
      </c>
      <c r="B3276">
        <v>1</v>
      </c>
      <c r="C3276" t="s">
        <v>118</v>
      </c>
      <c r="D3276" t="s">
        <v>119</v>
      </c>
      <c r="E3276" s="1">
        <v>44217</v>
      </c>
      <c r="F3276">
        <v>1</v>
      </c>
      <c r="G3276" t="s">
        <v>37</v>
      </c>
      <c r="H3276" t="s">
        <v>38</v>
      </c>
      <c r="I3276" s="3">
        <v>1026</v>
      </c>
      <c r="J3276" s="3">
        <v>1026</v>
      </c>
      <c r="K3276" s="3">
        <v>424</v>
      </c>
      <c r="L3276" t="s">
        <v>120</v>
      </c>
      <c r="M3276">
        <v>1</v>
      </c>
      <c r="N3276" t="s">
        <v>77</v>
      </c>
      <c r="O3276" t="s">
        <v>70</v>
      </c>
      <c r="P3276" t="s">
        <v>71</v>
      </c>
      <c r="Q3276" t="s">
        <v>72</v>
      </c>
      <c r="R3276" t="s">
        <v>139</v>
      </c>
      <c r="S3276" t="s">
        <v>144</v>
      </c>
      <c r="T3276" s="2">
        <f>MASTER[[#This Row],[CANTIDAD]]*MASTER[[#This Row],[PRECIO DE VENTA]]</f>
        <v>1026</v>
      </c>
      <c r="U3276" s="2">
        <f>MASTER[[#This Row],[CANTIDAD]]*MASTER[[#This Row],[COSTO UNITARIO]]</f>
        <v>424</v>
      </c>
      <c r="V3276" s="2">
        <f>MASTER[[#This Row],[MONTO VENDIDO]]-MASTER[[#This Row],[COSTO DE VENTA]]</f>
        <v>602</v>
      </c>
    </row>
    <row r="3277" spans="1:22" x14ac:dyDescent="0.3">
      <c r="A3277">
        <v>52309</v>
      </c>
      <c r="B3277">
        <v>1</v>
      </c>
      <c r="C3277" t="s">
        <v>103</v>
      </c>
      <c r="D3277" t="s">
        <v>104</v>
      </c>
      <c r="E3277" s="1">
        <v>44217</v>
      </c>
      <c r="F3277">
        <v>1</v>
      </c>
      <c r="G3277" t="s">
        <v>53</v>
      </c>
      <c r="H3277" t="s">
        <v>54</v>
      </c>
      <c r="I3277" s="3">
        <v>1448</v>
      </c>
      <c r="J3277" s="3">
        <v>1448</v>
      </c>
      <c r="K3277" s="3">
        <v>421</v>
      </c>
      <c r="L3277" t="s">
        <v>98</v>
      </c>
      <c r="M3277">
        <v>16</v>
      </c>
      <c r="N3277" t="s">
        <v>17</v>
      </c>
      <c r="O3277" t="s">
        <v>11</v>
      </c>
      <c r="P3277" t="s">
        <v>18</v>
      </c>
      <c r="Q3277" t="s">
        <v>19</v>
      </c>
      <c r="R3277" t="s">
        <v>138</v>
      </c>
      <c r="S3277" t="s">
        <v>144</v>
      </c>
      <c r="T3277" s="2">
        <f>MASTER[[#This Row],[CANTIDAD]]*MASTER[[#This Row],[PRECIO DE VENTA]]</f>
        <v>1448</v>
      </c>
      <c r="U3277" s="2">
        <f>MASTER[[#This Row],[CANTIDAD]]*MASTER[[#This Row],[COSTO UNITARIO]]</f>
        <v>421</v>
      </c>
      <c r="V3277" s="2">
        <f>MASTER[[#This Row],[MONTO VENDIDO]]-MASTER[[#This Row],[COSTO DE VENTA]]</f>
        <v>1027</v>
      </c>
    </row>
    <row r="3278" spans="1:22" x14ac:dyDescent="0.3">
      <c r="A3278">
        <v>52312</v>
      </c>
      <c r="B3278">
        <v>1</v>
      </c>
      <c r="C3278" t="s">
        <v>105</v>
      </c>
      <c r="D3278" t="s">
        <v>106</v>
      </c>
      <c r="E3278" s="1">
        <v>44217</v>
      </c>
      <c r="F3278">
        <v>1</v>
      </c>
      <c r="G3278" t="s">
        <v>53</v>
      </c>
      <c r="H3278" t="s">
        <v>54</v>
      </c>
      <c r="I3278" s="3">
        <v>2033</v>
      </c>
      <c r="J3278" s="3">
        <v>2033</v>
      </c>
      <c r="K3278" s="3">
        <v>459</v>
      </c>
      <c r="L3278" t="s">
        <v>98</v>
      </c>
      <c r="M3278">
        <v>3</v>
      </c>
      <c r="N3278" t="s">
        <v>69</v>
      </c>
      <c r="O3278" t="s">
        <v>70</v>
      </c>
      <c r="P3278" t="s">
        <v>71</v>
      </c>
      <c r="Q3278" t="s">
        <v>72</v>
      </c>
      <c r="R3278" t="s">
        <v>139</v>
      </c>
      <c r="S3278" t="s">
        <v>144</v>
      </c>
      <c r="T3278" s="2">
        <f>MASTER[[#This Row],[CANTIDAD]]*MASTER[[#This Row],[PRECIO DE VENTA]]</f>
        <v>2033</v>
      </c>
      <c r="U3278" s="2">
        <f>MASTER[[#This Row],[CANTIDAD]]*MASTER[[#This Row],[COSTO UNITARIO]]</f>
        <v>459</v>
      </c>
      <c r="V3278" s="2">
        <f>MASTER[[#This Row],[MONTO VENDIDO]]-MASTER[[#This Row],[COSTO DE VENTA]]</f>
        <v>1574</v>
      </c>
    </row>
    <row r="3279" spans="1:22" x14ac:dyDescent="0.3">
      <c r="A3279">
        <v>52330</v>
      </c>
      <c r="B3279">
        <v>1</v>
      </c>
      <c r="C3279" t="s">
        <v>5</v>
      </c>
      <c r="D3279" t="s">
        <v>6</v>
      </c>
      <c r="E3279" s="1">
        <v>44217</v>
      </c>
      <c r="F3279">
        <v>1</v>
      </c>
      <c r="G3279" t="s">
        <v>45</v>
      </c>
      <c r="H3279" t="s">
        <v>46</v>
      </c>
      <c r="I3279" s="3">
        <v>1311</v>
      </c>
      <c r="J3279" s="3">
        <v>1311</v>
      </c>
      <c r="K3279" s="3">
        <v>393</v>
      </c>
      <c r="L3279" t="s">
        <v>9</v>
      </c>
      <c r="M3279">
        <v>16</v>
      </c>
      <c r="N3279" t="s">
        <v>17</v>
      </c>
      <c r="O3279" t="s">
        <v>11</v>
      </c>
      <c r="P3279" t="s">
        <v>18</v>
      </c>
      <c r="Q3279" t="s">
        <v>19</v>
      </c>
      <c r="R3279" t="s">
        <v>138</v>
      </c>
      <c r="S3279" t="s">
        <v>144</v>
      </c>
      <c r="T3279" s="2">
        <f>MASTER[[#This Row],[CANTIDAD]]*MASTER[[#This Row],[PRECIO DE VENTA]]</f>
        <v>1311</v>
      </c>
      <c r="U3279" s="2">
        <f>MASTER[[#This Row],[CANTIDAD]]*MASTER[[#This Row],[COSTO UNITARIO]]</f>
        <v>393</v>
      </c>
      <c r="V3279" s="2">
        <f>MASTER[[#This Row],[MONTO VENDIDO]]-MASTER[[#This Row],[COSTO DE VENTA]]</f>
        <v>918</v>
      </c>
    </row>
    <row r="3280" spans="1:22" x14ac:dyDescent="0.3">
      <c r="A3280">
        <v>52332</v>
      </c>
      <c r="B3280">
        <v>1</v>
      </c>
      <c r="C3280" t="s">
        <v>101</v>
      </c>
      <c r="D3280" t="s">
        <v>102</v>
      </c>
      <c r="E3280" s="1">
        <v>44218</v>
      </c>
      <c r="F3280">
        <v>1</v>
      </c>
      <c r="G3280" t="s">
        <v>57</v>
      </c>
      <c r="H3280" t="s">
        <v>58</v>
      </c>
      <c r="I3280" s="3">
        <v>1357</v>
      </c>
      <c r="J3280" s="3">
        <v>1357</v>
      </c>
      <c r="K3280" s="3">
        <v>442</v>
      </c>
      <c r="L3280" t="s">
        <v>98</v>
      </c>
      <c r="M3280">
        <v>6</v>
      </c>
      <c r="N3280" t="s">
        <v>75</v>
      </c>
      <c r="O3280" t="s">
        <v>70</v>
      </c>
      <c r="P3280" t="s">
        <v>12</v>
      </c>
      <c r="Q3280" t="s">
        <v>13</v>
      </c>
      <c r="R3280" t="s">
        <v>13</v>
      </c>
      <c r="S3280" t="s">
        <v>144</v>
      </c>
      <c r="T3280" s="2">
        <f>MASTER[[#This Row],[CANTIDAD]]*MASTER[[#This Row],[PRECIO DE VENTA]]</f>
        <v>1357</v>
      </c>
      <c r="U3280" s="2">
        <f>MASTER[[#This Row],[CANTIDAD]]*MASTER[[#This Row],[COSTO UNITARIO]]</f>
        <v>442</v>
      </c>
      <c r="V3280" s="2">
        <f>MASTER[[#This Row],[MONTO VENDIDO]]-MASTER[[#This Row],[COSTO DE VENTA]]</f>
        <v>915</v>
      </c>
    </row>
    <row r="3281" spans="1:22" x14ac:dyDescent="0.3">
      <c r="A3281">
        <v>52336</v>
      </c>
      <c r="B3281">
        <v>1</v>
      </c>
      <c r="C3281" t="s">
        <v>111</v>
      </c>
      <c r="D3281" t="s">
        <v>112</v>
      </c>
      <c r="E3281" s="1">
        <v>44218</v>
      </c>
      <c r="F3281">
        <v>1</v>
      </c>
      <c r="G3281" t="s">
        <v>55</v>
      </c>
      <c r="H3281" t="s">
        <v>56</v>
      </c>
      <c r="I3281" s="3">
        <v>1799</v>
      </c>
      <c r="J3281" s="3">
        <v>1799</v>
      </c>
      <c r="K3281" s="3">
        <v>434</v>
      </c>
      <c r="L3281" t="s">
        <v>113</v>
      </c>
      <c r="M3281">
        <v>3</v>
      </c>
      <c r="N3281" t="s">
        <v>69</v>
      </c>
      <c r="O3281" t="s">
        <v>70</v>
      </c>
      <c r="P3281" t="s">
        <v>71</v>
      </c>
      <c r="Q3281" t="s">
        <v>72</v>
      </c>
      <c r="R3281" t="s">
        <v>139</v>
      </c>
      <c r="S3281" t="s">
        <v>144</v>
      </c>
      <c r="T3281" s="2">
        <f>MASTER[[#This Row],[CANTIDAD]]*MASTER[[#This Row],[PRECIO DE VENTA]]</f>
        <v>1799</v>
      </c>
      <c r="U3281" s="2">
        <f>MASTER[[#This Row],[CANTIDAD]]*MASTER[[#This Row],[COSTO UNITARIO]]</f>
        <v>434</v>
      </c>
      <c r="V3281" s="2">
        <f>MASTER[[#This Row],[MONTO VENDIDO]]-MASTER[[#This Row],[COSTO DE VENTA]]</f>
        <v>1365</v>
      </c>
    </row>
    <row r="3282" spans="1:22" x14ac:dyDescent="0.3">
      <c r="A3282">
        <v>52350</v>
      </c>
      <c r="B3282">
        <v>1</v>
      </c>
      <c r="C3282" t="s">
        <v>99</v>
      </c>
      <c r="D3282" t="s">
        <v>100</v>
      </c>
      <c r="E3282" s="1">
        <v>44218</v>
      </c>
      <c r="F3282">
        <v>1</v>
      </c>
      <c r="G3282" t="s">
        <v>61</v>
      </c>
      <c r="H3282" t="s">
        <v>62</v>
      </c>
      <c r="I3282" s="3">
        <v>1678</v>
      </c>
      <c r="J3282" s="3">
        <v>1678</v>
      </c>
      <c r="K3282" s="3">
        <v>386</v>
      </c>
      <c r="L3282" t="s">
        <v>98</v>
      </c>
      <c r="M3282">
        <v>13</v>
      </c>
      <c r="N3282" t="s">
        <v>78</v>
      </c>
      <c r="O3282" t="s">
        <v>70</v>
      </c>
      <c r="P3282" t="s">
        <v>18</v>
      </c>
      <c r="Q3282" t="s">
        <v>19</v>
      </c>
      <c r="R3282" t="s">
        <v>138</v>
      </c>
      <c r="S3282" t="s">
        <v>144</v>
      </c>
      <c r="T3282" s="2">
        <f>MASTER[[#This Row],[CANTIDAD]]*MASTER[[#This Row],[PRECIO DE VENTA]]</f>
        <v>1678</v>
      </c>
      <c r="U3282" s="2">
        <f>MASTER[[#This Row],[CANTIDAD]]*MASTER[[#This Row],[COSTO UNITARIO]]</f>
        <v>386</v>
      </c>
      <c r="V3282" s="2">
        <f>MASTER[[#This Row],[MONTO VENDIDO]]-MASTER[[#This Row],[COSTO DE VENTA]]</f>
        <v>1292</v>
      </c>
    </row>
    <row r="3283" spans="1:22" x14ac:dyDescent="0.3">
      <c r="A3283">
        <v>52350</v>
      </c>
      <c r="B3283">
        <v>2</v>
      </c>
      <c r="C3283" t="s">
        <v>99</v>
      </c>
      <c r="D3283" t="s">
        <v>100</v>
      </c>
      <c r="E3283" s="1">
        <v>44218</v>
      </c>
      <c r="F3283">
        <v>1</v>
      </c>
      <c r="G3283" t="s">
        <v>45</v>
      </c>
      <c r="H3283" t="s">
        <v>46</v>
      </c>
      <c r="I3283" s="3">
        <v>1678</v>
      </c>
      <c r="J3283" s="3">
        <v>1678</v>
      </c>
      <c r="K3283" s="3">
        <v>386</v>
      </c>
      <c r="L3283" t="s">
        <v>98</v>
      </c>
      <c r="M3283">
        <v>13</v>
      </c>
      <c r="N3283" t="s">
        <v>78</v>
      </c>
      <c r="O3283" t="s">
        <v>70</v>
      </c>
      <c r="P3283" t="s">
        <v>18</v>
      </c>
      <c r="Q3283" t="s">
        <v>19</v>
      </c>
      <c r="R3283" t="s">
        <v>138</v>
      </c>
      <c r="S3283" t="s">
        <v>144</v>
      </c>
      <c r="T3283" s="2">
        <f>MASTER[[#This Row],[CANTIDAD]]*MASTER[[#This Row],[PRECIO DE VENTA]]</f>
        <v>1678</v>
      </c>
      <c r="U3283" s="2">
        <f>MASTER[[#This Row],[CANTIDAD]]*MASTER[[#This Row],[COSTO UNITARIO]]</f>
        <v>386</v>
      </c>
      <c r="V3283" s="2">
        <f>MASTER[[#This Row],[MONTO VENDIDO]]-MASTER[[#This Row],[COSTO DE VENTA]]</f>
        <v>1292</v>
      </c>
    </row>
    <row r="3284" spans="1:22" x14ac:dyDescent="0.3">
      <c r="A3284">
        <v>52371</v>
      </c>
      <c r="B3284">
        <v>1</v>
      </c>
      <c r="C3284" t="s">
        <v>5</v>
      </c>
      <c r="D3284" t="s">
        <v>6</v>
      </c>
      <c r="E3284" s="1">
        <v>44218</v>
      </c>
      <c r="F3284">
        <v>1</v>
      </c>
      <c r="G3284" t="s">
        <v>7</v>
      </c>
      <c r="H3284" t="s">
        <v>8</v>
      </c>
      <c r="I3284" s="3">
        <v>1296</v>
      </c>
      <c r="J3284" s="3">
        <v>1296</v>
      </c>
      <c r="K3284" s="3">
        <v>393</v>
      </c>
      <c r="L3284" t="s">
        <v>9</v>
      </c>
      <c r="M3284">
        <v>1</v>
      </c>
      <c r="N3284" t="s">
        <v>77</v>
      </c>
      <c r="O3284" t="s">
        <v>70</v>
      </c>
      <c r="P3284" t="s">
        <v>71</v>
      </c>
      <c r="Q3284" t="s">
        <v>72</v>
      </c>
      <c r="R3284" t="s">
        <v>139</v>
      </c>
      <c r="S3284" t="s">
        <v>144</v>
      </c>
      <c r="T3284" s="2">
        <f>MASTER[[#This Row],[CANTIDAD]]*MASTER[[#This Row],[PRECIO DE VENTA]]</f>
        <v>1296</v>
      </c>
      <c r="U3284" s="2">
        <f>MASTER[[#This Row],[CANTIDAD]]*MASTER[[#This Row],[COSTO UNITARIO]]</f>
        <v>393</v>
      </c>
      <c r="V3284" s="2">
        <f>MASTER[[#This Row],[MONTO VENDIDO]]-MASTER[[#This Row],[COSTO DE VENTA]]</f>
        <v>903</v>
      </c>
    </row>
    <row r="3285" spans="1:22" x14ac:dyDescent="0.3">
      <c r="A3285">
        <v>52375</v>
      </c>
      <c r="B3285">
        <v>1</v>
      </c>
      <c r="C3285" t="s">
        <v>105</v>
      </c>
      <c r="D3285" t="s">
        <v>106</v>
      </c>
      <c r="E3285" s="1">
        <v>44218</v>
      </c>
      <c r="F3285">
        <v>1</v>
      </c>
      <c r="G3285" t="s">
        <v>27</v>
      </c>
      <c r="H3285" t="s">
        <v>28</v>
      </c>
      <c r="I3285" s="3">
        <v>1585</v>
      </c>
      <c r="J3285" s="3">
        <v>1585</v>
      </c>
      <c r="K3285" s="3">
        <v>459</v>
      </c>
      <c r="L3285" t="s">
        <v>98</v>
      </c>
      <c r="M3285">
        <v>12</v>
      </c>
      <c r="N3285" t="s">
        <v>26</v>
      </c>
      <c r="O3285" t="s">
        <v>11</v>
      </c>
      <c r="P3285" t="s">
        <v>12</v>
      </c>
      <c r="Q3285" t="s">
        <v>13</v>
      </c>
      <c r="R3285" t="s">
        <v>13</v>
      </c>
      <c r="S3285" t="s">
        <v>144</v>
      </c>
      <c r="T3285" s="2">
        <f>MASTER[[#This Row],[CANTIDAD]]*MASTER[[#This Row],[PRECIO DE VENTA]]</f>
        <v>1585</v>
      </c>
      <c r="U3285" s="2">
        <f>MASTER[[#This Row],[CANTIDAD]]*MASTER[[#This Row],[COSTO UNITARIO]]</f>
        <v>459</v>
      </c>
      <c r="V3285" s="2">
        <f>MASTER[[#This Row],[MONTO VENDIDO]]-MASTER[[#This Row],[COSTO DE VENTA]]</f>
        <v>1126</v>
      </c>
    </row>
    <row r="3286" spans="1:22" x14ac:dyDescent="0.3">
      <c r="A3286">
        <v>52390</v>
      </c>
      <c r="B3286">
        <v>1</v>
      </c>
      <c r="C3286" t="s">
        <v>103</v>
      </c>
      <c r="D3286" t="s">
        <v>104</v>
      </c>
      <c r="E3286" s="1">
        <v>44218</v>
      </c>
      <c r="F3286">
        <v>1</v>
      </c>
      <c r="G3286" t="s">
        <v>24</v>
      </c>
      <c r="H3286" t="s">
        <v>25</v>
      </c>
      <c r="I3286" s="3">
        <v>1591</v>
      </c>
      <c r="J3286" s="3">
        <v>1591</v>
      </c>
      <c r="K3286" s="3">
        <v>421</v>
      </c>
      <c r="L3286" t="s">
        <v>98</v>
      </c>
      <c r="M3286">
        <v>5</v>
      </c>
      <c r="N3286" t="s">
        <v>85</v>
      </c>
      <c r="O3286" t="s">
        <v>81</v>
      </c>
      <c r="P3286" t="s">
        <v>12</v>
      </c>
      <c r="Q3286" t="s">
        <v>13</v>
      </c>
      <c r="R3286" t="s">
        <v>13</v>
      </c>
      <c r="S3286" t="s">
        <v>144</v>
      </c>
      <c r="T3286" s="2">
        <f>MASTER[[#This Row],[CANTIDAD]]*MASTER[[#This Row],[PRECIO DE VENTA]]</f>
        <v>1591</v>
      </c>
      <c r="U3286" s="2">
        <f>MASTER[[#This Row],[CANTIDAD]]*MASTER[[#This Row],[COSTO UNITARIO]]</f>
        <v>421</v>
      </c>
      <c r="V3286" s="2">
        <f>MASTER[[#This Row],[MONTO VENDIDO]]-MASTER[[#This Row],[COSTO DE VENTA]]</f>
        <v>1170</v>
      </c>
    </row>
    <row r="3287" spans="1:22" x14ac:dyDescent="0.3">
      <c r="A3287">
        <v>52397</v>
      </c>
      <c r="B3287">
        <v>1</v>
      </c>
      <c r="C3287" t="s">
        <v>5</v>
      </c>
      <c r="D3287" t="s">
        <v>6</v>
      </c>
      <c r="E3287" s="1">
        <v>44218</v>
      </c>
      <c r="F3287">
        <v>1</v>
      </c>
      <c r="G3287" t="s">
        <v>24</v>
      </c>
      <c r="H3287" t="s">
        <v>25</v>
      </c>
      <c r="I3287" s="3">
        <v>1311</v>
      </c>
      <c r="J3287" s="3">
        <v>1311</v>
      </c>
      <c r="K3287" s="3">
        <v>393</v>
      </c>
      <c r="L3287" t="s">
        <v>9</v>
      </c>
      <c r="M3287">
        <v>11</v>
      </c>
      <c r="N3287" t="s">
        <v>10</v>
      </c>
      <c r="O3287" t="s">
        <v>11</v>
      </c>
      <c r="P3287" t="s">
        <v>12</v>
      </c>
      <c r="Q3287" t="s">
        <v>13</v>
      </c>
      <c r="R3287" t="s">
        <v>13</v>
      </c>
      <c r="S3287" t="s">
        <v>144</v>
      </c>
      <c r="T3287" s="2">
        <f>MASTER[[#This Row],[CANTIDAD]]*MASTER[[#This Row],[PRECIO DE VENTA]]</f>
        <v>1311</v>
      </c>
      <c r="U3287" s="2">
        <f>MASTER[[#This Row],[CANTIDAD]]*MASTER[[#This Row],[COSTO UNITARIO]]</f>
        <v>393</v>
      </c>
      <c r="V3287" s="2">
        <f>MASTER[[#This Row],[MONTO VENDIDO]]-MASTER[[#This Row],[COSTO DE VENTA]]</f>
        <v>918</v>
      </c>
    </row>
    <row r="3288" spans="1:22" x14ac:dyDescent="0.3">
      <c r="A3288">
        <v>52403</v>
      </c>
      <c r="B3288">
        <v>1</v>
      </c>
      <c r="C3288" t="s">
        <v>114</v>
      </c>
      <c r="D3288" t="s">
        <v>115</v>
      </c>
      <c r="E3288" s="1">
        <v>44218</v>
      </c>
      <c r="F3288">
        <v>1</v>
      </c>
      <c r="G3288" t="s">
        <v>53</v>
      </c>
      <c r="H3288" t="s">
        <v>54</v>
      </c>
      <c r="I3288" s="3">
        <v>2030</v>
      </c>
      <c r="J3288" s="3">
        <v>2030</v>
      </c>
      <c r="K3288" s="3">
        <v>394</v>
      </c>
      <c r="L3288" t="s">
        <v>113</v>
      </c>
      <c r="M3288">
        <v>18</v>
      </c>
      <c r="N3288" t="s">
        <v>79</v>
      </c>
      <c r="O3288" t="s">
        <v>70</v>
      </c>
      <c r="P3288" t="s">
        <v>15</v>
      </c>
      <c r="Q3288" t="s">
        <v>16</v>
      </c>
      <c r="R3288" t="s">
        <v>16</v>
      </c>
      <c r="S3288" t="s">
        <v>144</v>
      </c>
      <c r="T3288" s="2">
        <f>MASTER[[#This Row],[CANTIDAD]]*MASTER[[#This Row],[PRECIO DE VENTA]]</f>
        <v>2030</v>
      </c>
      <c r="U3288" s="2">
        <f>MASTER[[#This Row],[CANTIDAD]]*MASTER[[#This Row],[COSTO UNITARIO]]</f>
        <v>394</v>
      </c>
      <c r="V3288" s="2">
        <f>MASTER[[#This Row],[MONTO VENDIDO]]-MASTER[[#This Row],[COSTO DE VENTA]]</f>
        <v>1636</v>
      </c>
    </row>
    <row r="3289" spans="1:22" x14ac:dyDescent="0.3">
      <c r="A3289">
        <v>52425</v>
      </c>
      <c r="B3289">
        <v>1</v>
      </c>
      <c r="C3289" t="s">
        <v>103</v>
      </c>
      <c r="D3289" t="s">
        <v>104</v>
      </c>
      <c r="E3289" s="1">
        <v>44218</v>
      </c>
      <c r="F3289">
        <v>1</v>
      </c>
      <c r="G3289" t="s">
        <v>43</v>
      </c>
      <c r="H3289" t="s">
        <v>44</v>
      </c>
      <c r="I3289" s="3">
        <v>1591</v>
      </c>
      <c r="J3289" s="3">
        <v>1591</v>
      </c>
      <c r="K3289" s="3">
        <v>421</v>
      </c>
      <c r="L3289" t="s">
        <v>98</v>
      </c>
      <c r="M3289">
        <v>8</v>
      </c>
      <c r="N3289" t="s">
        <v>80</v>
      </c>
      <c r="O3289" t="s">
        <v>81</v>
      </c>
      <c r="P3289" t="s">
        <v>12</v>
      </c>
      <c r="Q3289" t="s">
        <v>13</v>
      </c>
      <c r="R3289" t="s">
        <v>13</v>
      </c>
      <c r="S3289" t="s">
        <v>144</v>
      </c>
      <c r="T3289" s="2">
        <f>MASTER[[#This Row],[CANTIDAD]]*MASTER[[#This Row],[PRECIO DE VENTA]]</f>
        <v>1591</v>
      </c>
      <c r="U3289" s="2">
        <f>MASTER[[#This Row],[CANTIDAD]]*MASTER[[#This Row],[COSTO UNITARIO]]</f>
        <v>421</v>
      </c>
      <c r="V3289" s="2">
        <f>MASTER[[#This Row],[MONTO VENDIDO]]-MASTER[[#This Row],[COSTO DE VENTA]]</f>
        <v>1170</v>
      </c>
    </row>
    <row r="3290" spans="1:22" x14ac:dyDescent="0.3">
      <c r="A3290">
        <v>52426</v>
      </c>
      <c r="B3290">
        <v>1</v>
      </c>
      <c r="C3290" t="s">
        <v>99</v>
      </c>
      <c r="D3290" t="s">
        <v>100</v>
      </c>
      <c r="E3290" s="1">
        <v>44218</v>
      </c>
      <c r="F3290">
        <v>1</v>
      </c>
      <c r="G3290" t="s">
        <v>73</v>
      </c>
      <c r="H3290" t="s">
        <v>74</v>
      </c>
      <c r="I3290" s="3">
        <v>1678</v>
      </c>
      <c r="J3290" s="3">
        <v>1678</v>
      </c>
      <c r="K3290" s="3">
        <v>386</v>
      </c>
      <c r="L3290" t="s">
        <v>98</v>
      </c>
      <c r="M3290">
        <v>13</v>
      </c>
      <c r="N3290" t="s">
        <v>78</v>
      </c>
      <c r="O3290" t="s">
        <v>70</v>
      </c>
      <c r="P3290" t="s">
        <v>18</v>
      </c>
      <c r="Q3290" t="s">
        <v>19</v>
      </c>
      <c r="R3290" t="s">
        <v>138</v>
      </c>
      <c r="S3290" t="s">
        <v>144</v>
      </c>
      <c r="T3290" s="2">
        <f>MASTER[[#This Row],[CANTIDAD]]*MASTER[[#This Row],[PRECIO DE VENTA]]</f>
        <v>1678</v>
      </c>
      <c r="U3290" s="2">
        <f>MASTER[[#This Row],[CANTIDAD]]*MASTER[[#This Row],[COSTO UNITARIO]]</f>
        <v>386</v>
      </c>
      <c r="V3290" s="2">
        <f>MASTER[[#This Row],[MONTO VENDIDO]]-MASTER[[#This Row],[COSTO DE VENTA]]</f>
        <v>1292</v>
      </c>
    </row>
    <row r="3291" spans="1:22" x14ac:dyDescent="0.3">
      <c r="A3291">
        <v>52429</v>
      </c>
      <c r="B3291">
        <v>1</v>
      </c>
      <c r="C3291" t="s">
        <v>99</v>
      </c>
      <c r="D3291" t="s">
        <v>100</v>
      </c>
      <c r="E3291" s="1">
        <v>44218</v>
      </c>
      <c r="F3291">
        <v>1</v>
      </c>
      <c r="G3291" t="s">
        <v>24</v>
      </c>
      <c r="H3291" t="s">
        <v>25</v>
      </c>
      <c r="I3291" s="3">
        <v>1459</v>
      </c>
      <c r="J3291" s="3">
        <v>1459</v>
      </c>
      <c r="K3291" s="3">
        <v>386</v>
      </c>
      <c r="L3291" t="s">
        <v>98</v>
      </c>
      <c r="M3291">
        <v>2</v>
      </c>
      <c r="N3291" t="s">
        <v>86</v>
      </c>
      <c r="O3291" t="s">
        <v>81</v>
      </c>
      <c r="P3291" t="s">
        <v>71</v>
      </c>
      <c r="Q3291" t="s">
        <v>72</v>
      </c>
      <c r="R3291" t="s">
        <v>139</v>
      </c>
      <c r="S3291" t="s">
        <v>144</v>
      </c>
      <c r="T3291" s="2">
        <f>MASTER[[#This Row],[CANTIDAD]]*MASTER[[#This Row],[PRECIO DE VENTA]]</f>
        <v>1459</v>
      </c>
      <c r="U3291" s="2">
        <f>MASTER[[#This Row],[CANTIDAD]]*MASTER[[#This Row],[COSTO UNITARIO]]</f>
        <v>386</v>
      </c>
      <c r="V3291" s="2">
        <f>MASTER[[#This Row],[MONTO VENDIDO]]-MASTER[[#This Row],[COSTO DE VENTA]]</f>
        <v>1073</v>
      </c>
    </row>
    <row r="3292" spans="1:22" x14ac:dyDescent="0.3">
      <c r="A3292">
        <v>52470</v>
      </c>
      <c r="B3292">
        <v>1</v>
      </c>
      <c r="C3292" t="s">
        <v>107</v>
      </c>
      <c r="D3292" t="s">
        <v>108</v>
      </c>
      <c r="E3292" s="1">
        <v>44218</v>
      </c>
      <c r="F3292">
        <v>1</v>
      </c>
      <c r="G3292" t="s">
        <v>53</v>
      </c>
      <c r="H3292" t="s">
        <v>54</v>
      </c>
      <c r="I3292" s="3">
        <v>1333</v>
      </c>
      <c r="J3292" s="3">
        <v>1333</v>
      </c>
      <c r="K3292" s="3">
        <v>380</v>
      </c>
      <c r="L3292" t="s">
        <v>98</v>
      </c>
      <c r="M3292">
        <v>4</v>
      </c>
      <c r="N3292" t="s">
        <v>82</v>
      </c>
      <c r="O3292" t="s">
        <v>81</v>
      </c>
      <c r="P3292" t="s">
        <v>71</v>
      </c>
      <c r="Q3292" t="s">
        <v>72</v>
      </c>
      <c r="R3292" t="s">
        <v>139</v>
      </c>
      <c r="S3292" t="s">
        <v>144</v>
      </c>
      <c r="T3292" s="2">
        <f>MASTER[[#This Row],[CANTIDAD]]*MASTER[[#This Row],[PRECIO DE VENTA]]</f>
        <v>1333</v>
      </c>
      <c r="U3292" s="2">
        <f>MASTER[[#This Row],[CANTIDAD]]*MASTER[[#This Row],[COSTO UNITARIO]]</f>
        <v>380</v>
      </c>
      <c r="V3292" s="2">
        <f>MASTER[[#This Row],[MONTO VENDIDO]]-MASTER[[#This Row],[COSTO DE VENTA]]</f>
        <v>953</v>
      </c>
    </row>
    <row r="3293" spans="1:22" x14ac:dyDescent="0.3">
      <c r="A3293">
        <v>52473</v>
      </c>
      <c r="B3293">
        <v>1</v>
      </c>
      <c r="C3293" t="s">
        <v>103</v>
      </c>
      <c r="D3293" t="s">
        <v>104</v>
      </c>
      <c r="E3293" s="1">
        <v>44219</v>
      </c>
      <c r="F3293">
        <v>1</v>
      </c>
      <c r="G3293" t="s">
        <v>57</v>
      </c>
      <c r="H3293" t="s">
        <v>58</v>
      </c>
      <c r="I3293" s="3">
        <v>1591</v>
      </c>
      <c r="J3293" s="3">
        <v>1591</v>
      </c>
      <c r="K3293" s="3">
        <v>421</v>
      </c>
      <c r="L3293" t="s">
        <v>98</v>
      </c>
      <c r="M3293">
        <v>8</v>
      </c>
      <c r="N3293" t="s">
        <v>80</v>
      </c>
      <c r="O3293" t="s">
        <v>81</v>
      </c>
      <c r="P3293" t="s">
        <v>12</v>
      </c>
      <c r="Q3293" t="s">
        <v>13</v>
      </c>
      <c r="R3293" t="s">
        <v>13</v>
      </c>
      <c r="S3293" t="s">
        <v>144</v>
      </c>
      <c r="T3293" s="2">
        <f>MASTER[[#This Row],[CANTIDAD]]*MASTER[[#This Row],[PRECIO DE VENTA]]</f>
        <v>1591</v>
      </c>
      <c r="U3293" s="2">
        <f>MASTER[[#This Row],[CANTIDAD]]*MASTER[[#This Row],[COSTO UNITARIO]]</f>
        <v>421</v>
      </c>
      <c r="V3293" s="2">
        <f>MASTER[[#This Row],[MONTO VENDIDO]]-MASTER[[#This Row],[COSTO DE VENTA]]</f>
        <v>1170</v>
      </c>
    </row>
    <row r="3294" spans="1:22" x14ac:dyDescent="0.3">
      <c r="A3294">
        <v>52490</v>
      </c>
      <c r="B3294">
        <v>1</v>
      </c>
      <c r="C3294" t="s">
        <v>107</v>
      </c>
      <c r="D3294" t="s">
        <v>108</v>
      </c>
      <c r="E3294" s="1">
        <v>44219</v>
      </c>
      <c r="F3294">
        <v>1</v>
      </c>
      <c r="G3294" t="s">
        <v>39</v>
      </c>
      <c r="H3294" t="s">
        <v>40</v>
      </c>
      <c r="I3294" s="3">
        <v>1333</v>
      </c>
      <c r="J3294" s="3">
        <v>1333</v>
      </c>
      <c r="K3294" s="3">
        <v>380</v>
      </c>
      <c r="L3294" t="s">
        <v>98</v>
      </c>
      <c r="M3294">
        <v>2</v>
      </c>
      <c r="N3294" t="s">
        <v>86</v>
      </c>
      <c r="O3294" t="s">
        <v>81</v>
      </c>
      <c r="P3294" t="s">
        <v>71</v>
      </c>
      <c r="Q3294" t="s">
        <v>72</v>
      </c>
      <c r="R3294" t="s">
        <v>139</v>
      </c>
      <c r="S3294" t="s">
        <v>144</v>
      </c>
      <c r="T3294" s="2">
        <f>MASTER[[#This Row],[CANTIDAD]]*MASTER[[#This Row],[PRECIO DE VENTA]]</f>
        <v>1333</v>
      </c>
      <c r="U3294" s="2">
        <f>MASTER[[#This Row],[CANTIDAD]]*MASTER[[#This Row],[COSTO UNITARIO]]</f>
        <v>380</v>
      </c>
      <c r="V3294" s="2">
        <f>MASTER[[#This Row],[MONTO VENDIDO]]-MASTER[[#This Row],[COSTO DE VENTA]]</f>
        <v>953</v>
      </c>
    </row>
    <row r="3295" spans="1:22" x14ac:dyDescent="0.3">
      <c r="A3295">
        <v>52494</v>
      </c>
      <c r="B3295">
        <v>1</v>
      </c>
      <c r="C3295" t="s">
        <v>99</v>
      </c>
      <c r="D3295" t="s">
        <v>100</v>
      </c>
      <c r="E3295" s="1">
        <v>44219</v>
      </c>
      <c r="F3295">
        <v>1</v>
      </c>
      <c r="G3295" t="s">
        <v>73</v>
      </c>
      <c r="H3295" t="s">
        <v>74</v>
      </c>
      <c r="I3295" s="3">
        <v>1328</v>
      </c>
      <c r="J3295" s="3">
        <v>1328</v>
      </c>
      <c r="K3295" s="3">
        <v>386</v>
      </c>
      <c r="L3295" t="s">
        <v>98</v>
      </c>
      <c r="M3295">
        <v>17</v>
      </c>
      <c r="N3295" t="s">
        <v>14</v>
      </c>
      <c r="O3295" t="s">
        <v>11</v>
      </c>
      <c r="P3295" t="s">
        <v>15</v>
      </c>
      <c r="Q3295" t="s">
        <v>16</v>
      </c>
      <c r="R3295" t="s">
        <v>16</v>
      </c>
      <c r="S3295" t="s">
        <v>144</v>
      </c>
      <c r="T3295" s="2">
        <f>MASTER[[#This Row],[CANTIDAD]]*MASTER[[#This Row],[PRECIO DE VENTA]]</f>
        <v>1328</v>
      </c>
      <c r="U3295" s="2">
        <f>MASTER[[#This Row],[CANTIDAD]]*MASTER[[#This Row],[COSTO UNITARIO]]</f>
        <v>386</v>
      </c>
      <c r="V3295" s="2">
        <f>MASTER[[#This Row],[MONTO VENDIDO]]-MASTER[[#This Row],[COSTO DE VENTA]]</f>
        <v>942</v>
      </c>
    </row>
    <row r="3296" spans="1:22" x14ac:dyDescent="0.3">
      <c r="A3296">
        <v>52497</v>
      </c>
      <c r="B3296">
        <v>1</v>
      </c>
      <c r="C3296" t="s">
        <v>105</v>
      </c>
      <c r="D3296" t="s">
        <v>106</v>
      </c>
      <c r="E3296" s="1">
        <v>44219</v>
      </c>
      <c r="F3296">
        <v>1</v>
      </c>
      <c r="G3296" t="s">
        <v>49</v>
      </c>
      <c r="H3296" t="s">
        <v>50</v>
      </c>
      <c r="I3296" s="3">
        <v>1585</v>
      </c>
      <c r="J3296" s="3">
        <v>1585</v>
      </c>
      <c r="K3296" s="3">
        <v>459</v>
      </c>
      <c r="L3296" t="s">
        <v>98</v>
      </c>
      <c r="M3296">
        <v>12</v>
      </c>
      <c r="N3296" t="s">
        <v>26</v>
      </c>
      <c r="O3296" t="s">
        <v>11</v>
      </c>
      <c r="P3296" t="s">
        <v>12</v>
      </c>
      <c r="Q3296" t="s">
        <v>13</v>
      </c>
      <c r="R3296" t="s">
        <v>13</v>
      </c>
      <c r="S3296" t="s">
        <v>144</v>
      </c>
      <c r="T3296" s="2">
        <f>MASTER[[#This Row],[CANTIDAD]]*MASTER[[#This Row],[PRECIO DE VENTA]]</f>
        <v>1585</v>
      </c>
      <c r="U3296" s="2">
        <f>MASTER[[#This Row],[CANTIDAD]]*MASTER[[#This Row],[COSTO UNITARIO]]</f>
        <v>459</v>
      </c>
      <c r="V3296" s="2">
        <f>MASTER[[#This Row],[MONTO VENDIDO]]-MASTER[[#This Row],[COSTO DE VENTA]]</f>
        <v>1126</v>
      </c>
    </row>
    <row r="3297" spans="1:22" x14ac:dyDescent="0.3">
      <c r="A3297">
        <v>52517</v>
      </c>
      <c r="B3297">
        <v>1</v>
      </c>
      <c r="C3297" t="s">
        <v>105</v>
      </c>
      <c r="D3297" t="s">
        <v>106</v>
      </c>
      <c r="E3297" s="1">
        <v>44219</v>
      </c>
      <c r="F3297">
        <v>1</v>
      </c>
      <c r="G3297" t="s">
        <v>73</v>
      </c>
      <c r="H3297" t="s">
        <v>74</v>
      </c>
      <c r="I3297" s="3">
        <v>1865</v>
      </c>
      <c r="J3297" s="3">
        <v>1865</v>
      </c>
      <c r="K3297" s="3">
        <v>459</v>
      </c>
      <c r="L3297" t="s">
        <v>98</v>
      </c>
      <c r="M3297">
        <v>19</v>
      </c>
      <c r="N3297" t="s">
        <v>89</v>
      </c>
      <c r="O3297" t="s">
        <v>81</v>
      </c>
      <c r="P3297" t="s">
        <v>15</v>
      </c>
      <c r="Q3297" t="s">
        <v>16</v>
      </c>
      <c r="R3297" t="s">
        <v>16</v>
      </c>
      <c r="S3297" t="s">
        <v>144</v>
      </c>
      <c r="T3297" s="2">
        <f>MASTER[[#This Row],[CANTIDAD]]*MASTER[[#This Row],[PRECIO DE VENTA]]</f>
        <v>1865</v>
      </c>
      <c r="U3297" s="2">
        <f>MASTER[[#This Row],[CANTIDAD]]*MASTER[[#This Row],[COSTO UNITARIO]]</f>
        <v>459</v>
      </c>
      <c r="V3297" s="2">
        <f>MASTER[[#This Row],[MONTO VENDIDO]]-MASTER[[#This Row],[COSTO DE VENTA]]</f>
        <v>1406</v>
      </c>
    </row>
    <row r="3298" spans="1:22" x14ac:dyDescent="0.3">
      <c r="A3298">
        <v>52522</v>
      </c>
      <c r="B3298">
        <v>1</v>
      </c>
      <c r="C3298" t="s">
        <v>121</v>
      </c>
      <c r="D3298" t="s">
        <v>122</v>
      </c>
      <c r="E3298" s="1">
        <v>44219</v>
      </c>
      <c r="F3298">
        <v>1</v>
      </c>
      <c r="G3298" t="s">
        <v>39</v>
      </c>
      <c r="H3298" t="s">
        <v>40</v>
      </c>
      <c r="I3298" s="3">
        <v>1069</v>
      </c>
      <c r="J3298" s="3">
        <v>1069</v>
      </c>
      <c r="K3298" s="3">
        <v>460</v>
      </c>
      <c r="L3298" t="s">
        <v>120</v>
      </c>
      <c r="M3298">
        <v>10</v>
      </c>
      <c r="N3298" t="s">
        <v>83</v>
      </c>
      <c r="O3298" t="s">
        <v>81</v>
      </c>
      <c r="P3298" t="s">
        <v>12</v>
      </c>
      <c r="Q3298" t="s">
        <v>13</v>
      </c>
      <c r="R3298" t="s">
        <v>13</v>
      </c>
      <c r="S3298" t="s">
        <v>144</v>
      </c>
      <c r="T3298" s="2">
        <f>MASTER[[#This Row],[CANTIDAD]]*MASTER[[#This Row],[PRECIO DE VENTA]]</f>
        <v>1069</v>
      </c>
      <c r="U3298" s="2">
        <f>MASTER[[#This Row],[CANTIDAD]]*MASTER[[#This Row],[COSTO UNITARIO]]</f>
        <v>460</v>
      </c>
      <c r="V3298" s="2">
        <f>MASTER[[#This Row],[MONTO VENDIDO]]-MASTER[[#This Row],[COSTO DE VENTA]]</f>
        <v>609</v>
      </c>
    </row>
    <row r="3299" spans="1:22" x14ac:dyDescent="0.3">
      <c r="A3299">
        <v>52531</v>
      </c>
      <c r="B3299">
        <v>1</v>
      </c>
      <c r="C3299" t="s">
        <v>109</v>
      </c>
      <c r="D3299" t="s">
        <v>110</v>
      </c>
      <c r="E3299" s="1">
        <v>44219</v>
      </c>
      <c r="F3299">
        <v>1</v>
      </c>
      <c r="G3299" t="s">
        <v>61</v>
      </c>
      <c r="H3299" t="s">
        <v>62</v>
      </c>
      <c r="I3299" s="3">
        <v>947</v>
      </c>
      <c r="J3299" s="3">
        <v>947</v>
      </c>
      <c r="K3299" s="3">
        <v>387</v>
      </c>
      <c r="L3299" t="s">
        <v>98</v>
      </c>
      <c r="M3299">
        <v>12</v>
      </c>
      <c r="N3299" t="s">
        <v>26</v>
      </c>
      <c r="O3299" t="s">
        <v>11</v>
      </c>
      <c r="P3299" t="s">
        <v>12</v>
      </c>
      <c r="Q3299" t="s">
        <v>13</v>
      </c>
      <c r="R3299" t="s">
        <v>13</v>
      </c>
      <c r="S3299" t="s">
        <v>144</v>
      </c>
      <c r="T3299" s="2">
        <f>MASTER[[#This Row],[CANTIDAD]]*MASTER[[#This Row],[PRECIO DE VENTA]]</f>
        <v>947</v>
      </c>
      <c r="U3299" s="2">
        <f>MASTER[[#This Row],[CANTIDAD]]*MASTER[[#This Row],[COSTO UNITARIO]]</f>
        <v>387</v>
      </c>
      <c r="V3299" s="2">
        <f>MASTER[[#This Row],[MONTO VENDIDO]]-MASTER[[#This Row],[COSTO DE VENTA]]</f>
        <v>560</v>
      </c>
    </row>
    <row r="3300" spans="1:22" x14ac:dyDescent="0.3">
      <c r="A3300">
        <v>52539</v>
      </c>
      <c r="B3300">
        <v>1</v>
      </c>
      <c r="C3300" t="s">
        <v>116</v>
      </c>
      <c r="D3300" t="s">
        <v>117</v>
      </c>
      <c r="E3300" s="1">
        <v>44220</v>
      </c>
      <c r="F3300">
        <v>1</v>
      </c>
      <c r="G3300" t="s">
        <v>35</v>
      </c>
      <c r="H3300" t="s">
        <v>36</v>
      </c>
      <c r="I3300" s="3">
        <v>1738</v>
      </c>
      <c r="J3300" s="3">
        <v>1738</v>
      </c>
      <c r="K3300" s="3">
        <v>388</v>
      </c>
      <c r="L3300" t="s">
        <v>113</v>
      </c>
      <c r="M3300">
        <v>2</v>
      </c>
      <c r="N3300" t="s">
        <v>86</v>
      </c>
      <c r="O3300" t="s">
        <v>81</v>
      </c>
      <c r="P3300" t="s">
        <v>71</v>
      </c>
      <c r="Q3300" t="s">
        <v>72</v>
      </c>
      <c r="R3300" t="s">
        <v>139</v>
      </c>
      <c r="S3300" t="s">
        <v>144</v>
      </c>
      <c r="T3300" s="2">
        <f>MASTER[[#This Row],[CANTIDAD]]*MASTER[[#This Row],[PRECIO DE VENTA]]</f>
        <v>1738</v>
      </c>
      <c r="U3300" s="2">
        <f>MASTER[[#This Row],[CANTIDAD]]*MASTER[[#This Row],[COSTO UNITARIO]]</f>
        <v>388</v>
      </c>
      <c r="V3300" s="2">
        <f>MASTER[[#This Row],[MONTO VENDIDO]]-MASTER[[#This Row],[COSTO DE VENTA]]</f>
        <v>1350</v>
      </c>
    </row>
    <row r="3301" spans="1:22" x14ac:dyDescent="0.3">
      <c r="A3301">
        <v>52550</v>
      </c>
      <c r="B3301">
        <v>1</v>
      </c>
      <c r="C3301" t="s">
        <v>107</v>
      </c>
      <c r="D3301" t="s">
        <v>108</v>
      </c>
      <c r="E3301" s="1">
        <v>44220</v>
      </c>
      <c r="F3301">
        <v>1</v>
      </c>
      <c r="G3301" t="s">
        <v>47</v>
      </c>
      <c r="H3301" t="s">
        <v>48</v>
      </c>
      <c r="I3301" s="3">
        <v>1240</v>
      </c>
      <c r="J3301" s="3">
        <v>1240</v>
      </c>
      <c r="K3301" s="3">
        <v>380</v>
      </c>
      <c r="L3301" t="s">
        <v>98</v>
      </c>
      <c r="M3301">
        <v>11</v>
      </c>
      <c r="N3301" t="s">
        <v>10</v>
      </c>
      <c r="O3301" t="s">
        <v>11</v>
      </c>
      <c r="P3301" t="s">
        <v>12</v>
      </c>
      <c r="Q3301" t="s">
        <v>13</v>
      </c>
      <c r="R3301" t="s">
        <v>13</v>
      </c>
      <c r="S3301" t="s">
        <v>144</v>
      </c>
      <c r="T3301" s="2">
        <f>MASTER[[#This Row],[CANTIDAD]]*MASTER[[#This Row],[PRECIO DE VENTA]]</f>
        <v>1240</v>
      </c>
      <c r="U3301" s="2">
        <f>MASTER[[#This Row],[CANTIDAD]]*MASTER[[#This Row],[COSTO UNITARIO]]</f>
        <v>380</v>
      </c>
      <c r="V3301" s="2">
        <f>MASTER[[#This Row],[MONTO VENDIDO]]-MASTER[[#This Row],[COSTO DE VENTA]]</f>
        <v>860</v>
      </c>
    </row>
    <row r="3302" spans="1:22" x14ac:dyDescent="0.3">
      <c r="A3302">
        <v>52565</v>
      </c>
      <c r="B3302">
        <v>1</v>
      </c>
      <c r="C3302" t="s">
        <v>107</v>
      </c>
      <c r="D3302" t="s">
        <v>108</v>
      </c>
      <c r="E3302" s="1">
        <v>44220</v>
      </c>
      <c r="F3302">
        <v>4</v>
      </c>
      <c r="G3302" t="s">
        <v>35</v>
      </c>
      <c r="H3302" t="s">
        <v>36</v>
      </c>
      <c r="I3302" s="3">
        <v>1333</v>
      </c>
      <c r="J3302" s="3">
        <v>1333</v>
      </c>
      <c r="K3302" s="3">
        <v>380</v>
      </c>
      <c r="L3302" t="s">
        <v>98</v>
      </c>
      <c r="M3302">
        <v>5</v>
      </c>
      <c r="N3302" t="s">
        <v>85</v>
      </c>
      <c r="O3302" t="s">
        <v>81</v>
      </c>
      <c r="P3302" t="s">
        <v>12</v>
      </c>
      <c r="Q3302" t="s">
        <v>13</v>
      </c>
      <c r="R3302" t="s">
        <v>13</v>
      </c>
      <c r="S3302" t="s">
        <v>144</v>
      </c>
      <c r="T3302" s="2">
        <f>MASTER[[#This Row],[CANTIDAD]]*MASTER[[#This Row],[PRECIO DE VENTA]]</f>
        <v>5332</v>
      </c>
      <c r="U3302" s="2">
        <f>MASTER[[#This Row],[CANTIDAD]]*MASTER[[#This Row],[COSTO UNITARIO]]</f>
        <v>1520</v>
      </c>
      <c r="V3302" s="2">
        <f>MASTER[[#This Row],[MONTO VENDIDO]]-MASTER[[#This Row],[COSTO DE VENTA]]</f>
        <v>3812</v>
      </c>
    </row>
    <row r="3303" spans="1:22" x14ac:dyDescent="0.3">
      <c r="A3303">
        <v>52572</v>
      </c>
      <c r="B3303">
        <v>1</v>
      </c>
      <c r="C3303" t="s">
        <v>121</v>
      </c>
      <c r="D3303" t="s">
        <v>122</v>
      </c>
      <c r="E3303" s="1">
        <v>44220</v>
      </c>
      <c r="F3303">
        <v>1</v>
      </c>
      <c r="G3303" t="s">
        <v>73</v>
      </c>
      <c r="H3303" t="s">
        <v>74</v>
      </c>
      <c r="I3303" s="3">
        <v>1069</v>
      </c>
      <c r="J3303" s="3">
        <v>1069</v>
      </c>
      <c r="K3303" s="3">
        <v>460</v>
      </c>
      <c r="L3303" t="s">
        <v>120</v>
      </c>
      <c r="M3303">
        <v>15</v>
      </c>
      <c r="N3303" t="s">
        <v>88</v>
      </c>
      <c r="O3303" t="s">
        <v>81</v>
      </c>
      <c r="P3303" t="s">
        <v>18</v>
      </c>
      <c r="Q3303" t="s">
        <v>19</v>
      </c>
      <c r="R3303" t="s">
        <v>138</v>
      </c>
      <c r="S3303" t="s">
        <v>144</v>
      </c>
      <c r="T3303" s="2">
        <f>MASTER[[#This Row],[CANTIDAD]]*MASTER[[#This Row],[PRECIO DE VENTA]]</f>
        <v>1069</v>
      </c>
      <c r="U3303" s="2">
        <f>MASTER[[#This Row],[CANTIDAD]]*MASTER[[#This Row],[COSTO UNITARIO]]</f>
        <v>460</v>
      </c>
      <c r="V3303" s="2">
        <f>MASTER[[#This Row],[MONTO VENDIDO]]-MASTER[[#This Row],[COSTO DE VENTA]]</f>
        <v>609</v>
      </c>
    </row>
    <row r="3304" spans="1:22" x14ac:dyDescent="0.3">
      <c r="A3304">
        <v>52574</v>
      </c>
      <c r="B3304">
        <v>1</v>
      </c>
      <c r="C3304" t="s">
        <v>90</v>
      </c>
      <c r="D3304" t="s">
        <v>91</v>
      </c>
      <c r="E3304" s="1">
        <v>44220</v>
      </c>
      <c r="F3304">
        <v>1</v>
      </c>
      <c r="G3304" t="s">
        <v>49</v>
      </c>
      <c r="H3304" t="s">
        <v>50</v>
      </c>
      <c r="I3304" s="3">
        <v>1844</v>
      </c>
      <c r="J3304" s="3">
        <v>1844</v>
      </c>
      <c r="K3304" s="3">
        <v>420</v>
      </c>
      <c r="L3304" t="s">
        <v>9</v>
      </c>
      <c r="M3304">
        <v>5</v>
      </c>
      <c r="N3304" t="s">
        <v>85</v>
      </c>
      <c r="O3304" t="s">
        <v>81</v>
      </c>
      <c r="P3304" t="s">
        <v>12</v>
      </c>
      <c r="Q3304" t="s">
        <v>13</v>
      </c>
      <c r="R3304" t="s">
        <v>13</v>
      </c>
      <c r="S3304" t="s">
        <v>144</v>
      </c>
      <c r="T3304" s="2">
        <f>MASTER[[#This Row],[CANTIDAD]]*MASTER[[#This Row],[PRECIO DE VENTA]]</f>
        <v>1844</v>
      </c>
      <c r="U3304" s="2">
        <f>MASTER[[#This Row],[CANTIDAD]]*MASTER[[#This Row],[COSTO UNITARIO]]</f>
        <v>420</v>
      </c>
      <c r="V3304" s="2">
        <f>MASTER[[#This Row],[MONTO VENDIDO]]-MASTER[[#This Row],[COSTO DE VENTA]]</f>
        <v>1424</v>
      </c>
    </row>
    <row r="3305" spans="1:22" x14ac:dyDescent="0.3">
      <c r="A3305">
        <v>52601</v>
      </c>
      <c r="B3305">
        <v>1</v>
      </c>
      <c r="C3305" t="s">
        <v>105</v>
      </c>
      <c r="D3305" t="s">
        <v>106</v>
      </c>
      <c r="E3305" s="1">
        <v>44220</v>
      </c>
      <c r="F3305">
        <v>1</v>
      </c>
      <c r="G3305" t="s">
        <v>65</v>
      </c>
      <c r="H3305" t="s">
        <v>66</v>
      </c>
      <c r="I3305" s="3">
        <v>1585</v>
      </c>
      <c r="J3305" s="3">
        <v>1585</v>
      </c>
      <c r="K3305" s="3">
        <v>459</v>
      </c>
      <c r="L3305" t="s">
        <v>98</v>
      </c>
      <c r="M3305">
        <v>12</v>
      </c>
      <c r="N3305" t="s">
        <v>26</v>
      </c>
      <c r="O3305" t="s">
        <v>11</v>
      </c>
      <c r="P3305" t="s">
        <v>12</v>
      </c>
      <c r="Q3305" t="s">
        <v>13</v>
      </c>
      <c r="R3305" t="s">
        <v>13</v>
      </c>
      <c r="S3305" t="s">
        <v>144</v>
      </c>
      <c r="T3305" s="2">
        <f>MASTER[[#This Row],[CANTIDAD]]*MASTER[[#This Row],[PRECIO DE VENTA]]</f>
        <v>1585</v>
      </c>
      <c r="U3305" s="2">
        <f>MASTER[[#This Row],[CANTIDAD]]*MASTER[[#This Row],[COSTO UNITARIO]]</f>
        <v>459</v>
      </c>
      <c r="V3305" s="2">
        <f>MASTER[[#This Row],[MONTO VENDIDO]]-MASTER[[#This Row],[COSTO DE VENTA]]</f>
        <v>1126</v>
      </c>
    </row>
    <row r="3306" spans="1:22" x14ac:dyDescent="0.3">
      <c r="A3306">
        <v>52605</v>
      </c>
      <c r="B3306">
        <v>1</v>
      </c>
      <c r="C3306" t="s">
        <v>109</v>
      </c>
      <c r="D3306" t="s">
        <v>110</v>
      </c>
      <c r="E3306" s="1">
        <v>44220</v>
      </c>
      <c r="F3306">
        <v>1</v>
      </c>
      <c r="G3306" t="s">
        <v>39</v>
      </c>
      <c r="H3306" t="s">
        <v>40</v>
      </c>
      <c r="I3306" s="3">
        <v>1128</v>
      </c>
      <c r="J3306" s="3">
        <v>1128</v>
      </c>
      <c r="K3306" s="3">
        <v>387</v>
      </c>
      <c r="L3306" t="s">
        <v>98</v>
      </c>
      <c r="M3306">
        <v>9</v>
      </c>
      <c r="N3306" t="s">
        <v>76</v>
      </c>
      <c r="O3306" t="s">
        <v>70</v>
      </c>
      <c r="P3306" t="s">
        <v>12</v>
      </c>
      <c r="Q3306" t="s">
        <v>13</v>
      </c>
      <c r="R3306" t="s">
        <v>13</v>
      </c>
      <c r="S3306" t="s">
        <v>144</v>
      </c>
      <c r="T3306" s="2">
        <f>MASTER[[#This Row],[CANTIDAD]]*MASTER[[#This Row],[PRECIO DE VENTA]]</f>
        <v>1128</v>
      </c>
      <c r="U3306" s="2">
        <f>MASTER[[#This Row],[CANTIDAD]]*MASTER[[#This Row],[COSTO UNITARIO]]</f>
        <v>387</v>
      </c>
      <c r="V3306" s="2">
        <f>MASTER[[#This Row],[MONTO VENDIDO]]-MASTER[[#This Row],[COSTO DE VENTA]]</f>
        <v>741</v>
      </c>
    </row>
    <row r="3307" spans="1:22" x14ac:dyDescent="0.3">
      <c r="A3307">
        <v>52607</v>
      </c>
      <c r="B3307">
        <v>1</v>
      </c>
      <c r="C3307" t="s">
        <v>5</v>
      </c>
      <c r="D3307" t="s">
        <v>6</v>
      </c>
      <c r="E3307" s="1">
        <v>44220</v>
      </c>
      <c r="F3307">
        <v>1</v>
      </c>
      <c r="G3307" t="s">
        <v>59</v>
      </c>
      <c r="H3307" t="s">
        <v>60</v>
      </c>
      <c r="I3307" s="3">
        <v>1507</v>
      </c>
      <c r="J3307" s="3">
        <v>1507</v>
      </c>
      <c r="K3307" s="3">
        <v>393</v>
      </c>
      <c r="L3307" t="s">
        <v>9</v>
      </c>
      <c r="M3307">
        <v>5</v>
      </c>
      <c r="N3307" t="s">
        <v>85</v>
      </c>
      <c r="O3307" t="s">
        <v>81</v>
      </c>
      <c r="P3307" t="s">
        <v>12</v>
      </c>
      <c r="Q3307" t="s">
        <v>13</v>
      </c>
      <c r="R3307" t="s">
        <v>13</v>
      </c>
      <c r="S3307" t="s">
        <v>144</v>
      </c>
      <c r="T3307" s="2">
        <f>MASTER[[#This Row],[CANTIDAD]]*MASTER[[#This Row],[PRECIO DE VENTA]]</f>
        <v>1507</v>
      </c>
      <c r="U3307" s="2">
        <f>MASTER[[#This Row],[CANTIDAD]]*MASTER[[#This Row],[COSTO UNITARIO]]</f>
        <v>393</v>
      </c>
      <c r="V3307" s="2">
        <f>MASTER[[#This Row],[MONTO VENDIDO]]-MASTER[[#This Row],[COSTO DE VENTA]]</f>
        <v>1114</v>
      </c>
    </row>
    <row r="3308" spans="1:22" x14ac:dyDescent="0.3">
      <c r="A3308">
        <v>52613</v>
      </c>
      <c r="B3308">
        <v>1</v>
      </c>
      <c r="C3308" t="s">
        <v>99</v>
      </c>
      <c r="D3308" t="s">
        <v>100</v>
      </c>
      <c r="E3308" s="1">
        <v>44220</v>
      </c>
      <c r="F3308">
        <v>1</v>
      </c>
      <c r="G3308" t="s">
        <v>57</v>
      </c>
      <c r="H3308" t="s">
        <v>58</v>
      </c>
      <c r="I3308" s="3">
        <v>1459</v>
      </c>
      <c r="J3308" s="3">
        <v>1459</v>
      </c>
      <c r="K3308" s="3">
        <v>386</v>
      </c>
      <c r="L3308" t="s">
        <v>98</v>
      </c>
      <c r="M3308">
        <v>5</v>
      </c>
      <c r="N3308" t="s">
        <v>85</v>
      </c>
      <c r="O3308" t="s">
        <v>81</v>
      </c>
      <c r="P3308" t="s">
        <v>12</v>
      </c>
      <c r="Q3308" t="s">
        <v>13</v>
      </c>
      <c r="R3308" t="s">
        <v>13</v>
      </c>
      <c r="S3308" t="s">
        <v>144</v>
      </c>
      <c r="T3308" s="2">
        <f>MASTER[[#This Row],[CANTIDAD]]*MASTER[[#This Row],[PRECIO DE VENTA]]</f>
        <v>1459</v>
      </c>
      <c r="U3308" s="2">
        <f>MASTER[[#This Row],[CANTIDAD]]*MASTER[[#This Row],[COSTO UNITARIO]]</f>
        <v>386</v>
      </c>
      <c r="V3308" s="2">
        <f>MASTER[[#This Row],[MONTO VENDIDO]]-MASTER[[#This Row],[COSTO DE VENTA]]</f>
        <v>1073</v>
      </c>
    </row>
    <row r="3309" spans="1:22" x14ac:dyDescent="0.3">
      <c r="A3309">
        <v>52614</v>
      </c>
      <c r="B3309">
        <v>1</v>
      </c>
      <c r="C3309" t="s">
        <v>94</v>
      </c>
      <c r="D3309" t="s">
        <v>95</v>
      </c>
      <c r="E3309" s="1">
        <v>44220</v>
      </c>
      <c r="F3309">
        <v>1</v>
      </c>
      <c r="G3309" t="s">
        <v>73</v>
      </c>
      <c r="H3309" t="s">
        <v>74</v>
      </c>
      <c r="I3309" s="3">
        <v>901</v>
      </c>
      <c r="J3309" s="3">
        <v>901</v>
      </c>
      <c r="K3309" s="3">
        <v>392</v>
      </c>
      <c r="L3309" t="s">
        <v>9</v>
      </c>
      <c r="M3309">
        <v>17</v>
      </c>
      <c r="N3309" t="s">
        <v>14</v>
      </c>
      <c r="O3309" t="s">
        <v>11</v>
      </c>
      <c r="P3309" t="s">
        <v>15</v>
      </c>
      <c r="Q3309" t="s">
        <v>16</v>
      </c>
      <c r="R3309" t="s">
        <v>16</v>
      </c>
      <c r="S3309" t="s">
        <v>144</v>
      </c>
      <c r="T3309" s="2">
        <f>MASTER[[#This Row],[CANTIDAD]]*MASTER[[#This Row],[PRECIO DE VENTA]]</f>
        <v>901</v>
      </c>
      <c r="U3309" s="2">
        <f>MASTER[[#This Row],[CANTIDAD]]*MASTER[[#This Row],[COSTO UNITARIO]]</f>
        <v>392</v>
      </c>
      <c r="V3309" s="2">
        <f>MASTER[[#This Row],[MONTO VENDIDO]]-MASTER[[#This Row],[COSTO DE VENTA]]</f>
        <v>509</v>
      </c>
    </row>
    <row r="3310" spans="1:22" x14ac:dyDescent="0.3">
      <c r="A3310">
        <v>52639</v>
      </c>
      <c r="B3310">
        <v>1</v>
      </c>
      <c r="C3310" t="s">
        <v>96</v>
      </c>
      <c r="D3310" t="s">
        <v>97</v>
      </c>
      <c r="E3310" s="1">
        <v>44220</v>
      </c>
      <c r="F3310">
        <v>1</v>
      </c>
      <c r="G3310" t="s">
        <v>65</v>
      </c>
      <c r="H3310" t="s">
        <v>66</v>
      </c>
      <c r="I3310" s="3">
        <v>1361</v>
      </c>
      <c r="J3310" s="3">
        <v>1361</v>
      </c>
      <c r="K3310" s="3">
        <v>397</v>
      </c>
      <c r="L3310" t="s">
        <v>98</v>
      </c>
      <c r="M3310">
        <v>9</v>
      </c>
      <c r="N3310" t="s">
        <v>76</v>
      </c>
      <c r="O3310" t="s">
        <v>70</v>
      </c>
      <c r="P3310" t="s">
        <v>12</v>
      </c>
      <c r="Q3310" t="s">
        <v>13</v>
      </c>
      <c r="R3310" t="s">
        <v>13</v>
      </c>
      <c r="S3310" t="s">
        <v>144</v>
      </c>
      <c r="T3310" s="2">
        <f>MASTER[[#This Row],[CANTIDAD]]*MASTER[[#This Row],[PRECIO DE VENTA]]</f>
        <v>1361</v>
      </c>
      <c r="U3310" s="2">
        <f>MASTER[[#This Row],[CANTIDAD]]*MASTER[[#This Row],[COSTO UNITARIO]]</f>
        <v>397</v>
      </c>
      <c r="V3310" s="2">
        <f>MASTER[[#This Row],[MONTO VENDIDO]]-MASTER[[#This Row],[COSTO DE VENTA]]</f>
        <v>964</v>
      </c>
    </row>
    <row r="3311" spans="1:22" x14ac:dyDescent="0.3">
      <c r="A3311">
        <v>52645</v>
      </c>
      <c r="B3311">
        <v>1</v>
      </c>
      <c r="C3311" t="s">
        <v>92</v>
      </c>
      <c r="D3311" t="s">
        <v>93</v>
      </c>
      <c r="E3311" s="1">
        <v>44220</v>
      </c>
      <c r="F3311">
        <v>1</v>
      </c>
      <c r="G3311" t="s">
        <v>63</v>
      </c>
      <c r="H3311" t="s">
        <v>64</v>
      </c>
      <c r="I3311" s="3">
        <v>1681</v>
      </c>
      <c r="J3311" s="3">
        <v>1681</v>
      </c>
      <c r="K3311" s="3">
        <v>396</v>
      </c>
      <c r="L3311" t="s">
        <v>9</v>
      </c>
      <c r="M3311">
        <v>14</v>
      </c>
      <c r="N3311" t="s">
        <v>87</v>
      </c>
      <c r="O3311" t="s">
        <v>81</v>
      </c>
      <c r="P3311" t="s">
        <v>18</v>
      </c>
      <c r="Q3311" t="s">
        <v>19</v>
      </c>
      <c r="R3311" t="s">
        <v>138</v>
      </c>
      <c r="S3311" t="s">
        <v>144</v>
      </c>
      <c r="T3311" s="2">
        <f>MASTER[[#This Row],[CANTIDAD]]*MASTER[[#This Row],[PRECIO DE VENTA]]</f>
        <v>1681</v>
      </c>
      <c r="U3311" s="2">
        <f>MASTER[[#This Row],[CANTIDAD]]*MASTER[[#This Row],[COSTO UNITARIO]]</f>
        <v>396</v>
      </c>
      <c r="V3311" s="2">
        <f>MASTER[[#This Row],[MONTO VENDIDO]]-MASTER[[#This Row],[COSTO DE VENTA]]</f>
        <v>1285</v>
      </c>
    </row>
    <row r="3312" spans="1:22" x14ac:dyDescent="0.3">
      <c r="A3312">
        <v>52647</v>
      </c>
      <c r="B3312">
        <v>1</v>
      </c>
      <c r="C3312" t="s">
        <v>103</v>
      </c>
      <c r="D3312" t="s">
        <v>104</v>
      </c>
      <c r="E3312" s="1">
        <v>44220</v>
      </c>
      <c r="F3312">
        <v>1</v>
      </c>
      <c r="G3312" t="s">
        <v>47</v>
      </c>
      <c r="H3312" t="s">
        <v>48</v>
      </c>
      <c r="I3312" s="3">
        <v>1591</v>
      </c>
      <c r="J3312" s="3">
        <v>1591</v>
      </c>
      <c r="K3312" s="3">
        <v>421</v>
      </c>
      <c r="L3312" t="s">
        <v>98</v>
      </c>
      <c r="M3312">
        <v>10</v>
      </c>
      <c r="N3312" t="s">
        <v>83</v>
      </c>
      <c r="O3312" t="s">
        <v>81</v>
      </c>
      <c r="P3312" t="s">
        <v>12</v>
      </c>
      <c r="Q3312" t="s">
        <v>13</v>
      </c>
      <c r="R3312" t="s">
        <v>13</v>
      </c>
      <c r="S3312" t="s">
        <v>144</v>
      </c>
      <c r="T3312" s="2">
        <f>MASTER[[#This Row],[CANTIDAD]]*MASTER[[#This Row],[PRECIO DE VENTA]]</f>
        <v>1591</v>
      </c>
      <c r="U3312" s="2">
        <f>MASTER[[#This Row],[CANTIDAD]]*MASTER[[#This Row],[COSTO UNITARIO]]</f>
        <v>421</v>
      </c>
      <c r="V3312" s="2">
        <f>MASTER[[#This Row],[MONTO VENDIDO]]-MASTER[[#This Row],[COSTO DE VENTA]]</f>
        <v>1170</v>
      </c>
    </row>
    <row r="3313" spans="1:22" x14ac:dyDescent="0.3">
      <c r="A3313">
        <v>52687</v>
      </c>
      <c r="B3313">
        <v>1</v>
      </c>
      <c r="C3313" t="s">
        <v>114</v>
      </c>
      <c r="D3313" t="s">
        <v>115</v>
      </c>
      <c r="E3313" s="1">
        <v>44220</v>
      </c>
      <c r="F3313">
        <v>1</v>
      </c>
      <c r="G3313" t="s">
        <v>7</v>
      </c>
      <c r="H3313" t="s">
        <v>8</v>
      </c>
      <c r="I3313" s="3">
        <v>1583</v>
      </c>
      <c r="J3313" s="3">
        <v>1583</v>
      </c>
      <c r="K3313" s="3">
        <v>394</v>
      </c>
      <c r="L3313" t="s">
        <v>113</v>
      </c>
      <c r="M3313">
        <v>12</v>
      </c>
      <c r="N3313" t="s">
        <v>26</v>
      </c>
      <c r="O3313" t="s">
        <v>11</v>
      </c>
      <c r="P3313" t="s">
        <v>12</v>
      </c>
      <c r="Q3313" t="s">
        <v>13</v>
      </c>
      <c r="R3313" t="s">
        <v>13</v>
      </c>
      <c r="S3313" t="s">
        <v>144</v>
      </c>
      <c r="T3313" s="2">
        <f>MASTER[[#This Row],[CANTIDAD]]*MASTER[[#This Row],[PRECIO DE VENTA]]</f>
        <v>1583</v>
      </c>
      <c r="U3313" s="2">
        <f>MASTER[[#This Row],[CANTIDAD]]*MASTER[[#This Row],[COSTO UNITARIO]]</f>
        <v>394</v>
      </c>
      <c r="V3313" s="2">
        <f>MASTER[[#This Row],[MONTO VENDIDO]]-MASTER[[#This Row],[COSTO DE VENTA]]</f>
        <v>1189</v>
      </c>
    </row>
    <row r="3314" spans="1:22" x14ac:dyDescent="0.3">
      <c r="A3314">
        <v>52701</v>
      </c>
      <c r="B3314">
        <v>1</v>
      </c>
      <c r="C3314" t="s">
        <v>94</v>
      </c>
      <c r="D3314" t="s">
        <v>95</v>
      </c>
      <c r="E3314" s="1">
        <v>44221</v>
      </c>
      <c r="F3314">
        <v>1</v>
      </c>
      <c r="G3314" t="s">
        <v>67</v>
      </c>
      <c r="H3314" t="s">
        <v>68</v>
      </c>
      <c r="I3314" s="3">
        <v>1048</v>
      </c>
      <c r="J3314" s="3">
        <v>1048</v>
      </c>
      <c r="K3314" s="3">
        <v>392</v>
      </c>
      <c r="L3314" t="s">
        <v>9</v>
      </c>
      <c r="M3314">
        <v>14</v>
      </c>
      <c r="N3314" t="s">
        <v>87</v>
      </c>
      <c r="O3314" t="s">
        <v>81</v>
      </c>
      <c r="P3314" t="s">
        <v>18</v>
      </c>
      <c r="Q3314" t="s">
        <v>19</v>
      </c>
      <c r="R3314" t="s">
        <v>138</v>
      </c>
      <c r="S3314" t="s">
        <v>144</v>
      </c>
      <c r="T3314" s="2">
        <f>MASTER[[#This Row],[CANTIDAD]]*MASTER[[#This Row],[PRECIO DE VENTA]]</f>
        <v>1048</v>
      </c>
      <c r="U3314" s="2">
        <f>MASTER[[#This Row],[CANTIDAD]]*MASTER[[#This Row],[COSTO UNITARIO]]</f>
        <v>392</v>
      </c>
      <c r="V3314" s="2">
        <f>MASTER[[#This Row],[MONTO VENDIDO]]-MASTER[[#This Row],[COSTO DE VENTA]]</f>
        <v>656</v>
      </c>
    </row>
    <row r="3315" spans="1:22" x14ac:dyDescent="0.3">
      <c r="A3315">
        <v>52723</v>
      </c>
      <c r="B3315">
        <v>1</v>
      </c>
      <c r="C3315" t="s">
        <v>103</v>
      </c>
      <c r="D3315" t="s">
        <v>104</v>
      </c>
      <c r="E3315" s="1">
        <v>44221</v>
      </c>
      <c r="F3315">
        <v>1</v>
      </c>
      <c r="G3315" t="s">
        <v>45</v>
      </c>
      <c r="H3315" t="s">
        <v>46</v>
      </c>
      <c r="I3315" s="3">
        <v>1591</v>
      </c>
      <c r="J3315" s="3">
        <v>1479</v>
      </c>
      <c r="K3315" s="3">
        <v>421</v>
      </c>
      <c r="L3315" t="s">
        <v>98</v>
      </c>
      <c r="M3315">
        <v>2</v>
      </c>
      <c r="N3315" t="s">
        <v>86</v>
      </c>
      <c r="O3315" t="s">
        <v>81</v>
      </c>
      <c r="P3315" t="s">
        <v>71</v>
      </c>
      <c r="Q3315" t="s">
        <v>72</v>
      </c>
      <c r="R3315" t="s">
        <v>139</v>
      </c>
      <c r="S3315" t="s">
        <v>144</v>
      </c>
      <c r="T3315" s="2">
        <f>MASTER[[#This Row],[CANTIDAD]]*MASTER[[#This Row],[PRECIO DE VENTA]]</f>
        <v>1479</v>
      </c>
      <c r="U3315" s="2">
        <f>MASTER[[#This Row],[CANTIDAD]]*MASTER[[#This Row],[COSTO UNITARIO]]</f>
        <v>421</v>
      </c>
      <c r="V3315" s="2">
        <f>MASTER[[#This Row],[MONTO VENDIDO]]-MASTER[[#This Row],[COSTO DE VENTA]]</f>
        <v>1058</v>
      </c>
    </row>
    <row r="3316" spans="1:22" x14ac:dyDescent="0.3">
      <c r="A3316">
        <v>52729</v>
      </c>
      <c r="B3316">
        <v>1</v>
      </c>
      <c r="C3316" t="s">
        <v>116</v>
      </c>
      <c r="D3316" t="s">
        <v>117</v>
      </c>
      <c r="E3316" s="1">
        <v>44221</v>
      </c>
      <c r="F3316">
        <v>1</v>
      </c>
      <c r="G3316" t="s">
        <v>49</v>
      </c>
      <c r="H3316" t="s">
        <v>50</v>
      </c>
      <c r="I3316" s="3">
        <v>1738</v>
      </c>
      <c r="J3316" s="3">
        <v>1738</v>
      </c>
      <c r="K3316" s="3">
        <v>388</v>
      </c>
      <c r="L3316" t="s">
        <v>113</v>
      </c>
      <c r="M3316">
        <v>7</v>
      </c>
      <c r="N3316" t="s">
        <v>84</v>
      </c>
      <c r="O3316" t="s">
        <v>81</v>
      </c>
      <c r="P3316" t="s">
        <v>12</v>
      </c>
      <c r="Q3316" t="s">
        <v>13</v>
      </c>
      <c r="R3316" t="s">
        <v>13</v>
      </c>
      <c r="S3316" t="s">
        <v>144</v>
      </c>
      <c r="T3316" s="2">
        <f>MASTER[[#This Row],[CANTIDAD]]*MASTER[[#This Row],[PRECIO DE VENTA]]</f>
        <v>1738</v>
      </c>
      <c r="U3316" s="2">
        <f>MASTER[[#This Row],[CANTIDAD]]*MASTER[[#This Row],[COSTO UNITARIO]]</f>
        <v>388</v>
      </c>
      <c r="V3316" s="2">
        <f>MASTER[[#This Row],[MONTO VENDIDO]]-MASTER[[#This Row],[COSTO DE VENTA]]</f>
        <v>1350</v>
      </c>
    </row>
    <row r="3317" spans="1:22" x14ac:dyDescent="0.3">
      <c r="A3317">
        <v>52735</v>
      </c>
      <c r="B3317">
        <v>1</v>
      </c>
      <c r="C3317" t="s">
        <v>114</v>
      </c>
      <c r="D3317" t="s">
        <v>115</v>
      </c>
      <c r="E3317" s="1">
        <v>44221</v>
      </c>
      <c r="F3317">
        <v>1</v>
      </c>
      <c r="G3317" t="s">
        <v>61</v>
      </c>
      <c r="H3317" t="s">
        <v>62</v>
      </c>
      <c r="I3317" s="3">
        <v>1583</v>
      </c>
      <c r="J3317" s="3">
        <v>1519</v>
      </c>
      <c r="K3317" s="3">
        <v>394</v>
      </c>
      <c r="L3317" t="s">
        <v>113</v>
      </c>
      <c r="M3317">
        <v>12</v>
      </c>
      <c r="N3317" t="s">
        <v>26</v>
      </c>
      <c r="O3317" t="s">
        <v>11</v>
      </c>
      <c r="P3317" t="s">
        <v>12</v>
      </c>
      <c r="Q3317" t="s">
        <v>13</v>
      </c>
      <c r="R3317" t="s">
        <v>13</v>
      </c>
      <c r="S3317" t="s">
        <v>144</v>
      </c>
      <c r="T3317" s="2">
        <f>MASTER[[#This Row],[CANTIDAD]]*MASTER[[#This Row],[PRECIO DE VENTA]]</f>
        <v>1519</v>
      </c>
      <c r="U3317" s="2">
        <f>MASTER[[#This Row],[CANTIDAD]]*MASTER[[#This Row],[COSTO UNITARIO]]</f>
        <v>394</v>
      </c>
      <c r="V3317" s="2">
        <f>MASTER[[#This Row],[MONTO VENDIDO]]-MASTER[[#This Row],[COSTO DE VENTA]]</f>
        <v>1125</v>
      </c>
    </row>
    <row r="3318" spans="1:22" x14ac:dyDescent="0.3">
      <c r="A3318">
        <v>52747</v>
      </c>
      <c r="B3318">
        <v>1</v>
      </c>
      <c r="C3318" t="s">
        <v>114</v>
      </c>
      <c r="D3318" t="s">
        <v>115</v>
      </c>
      <c r="E3318" s="1">
        <v>44221</v>
      </c>
      <c r="F3318">
        <v>1</v>
      </c>
      <c r="G3318" t="s">
        <v>73</v>
      </c>
      <c r="H3318" t="s">
        <v>74</v>
      </c>
      <c r="I3318" s="3">
        <v>1862</v>
      </c>
      <c r="J3318" s="3">
        <v>1862</v>
      </c>
      <c r="K3318" s="3">
        <v>394</v>
      </c>
      <c r="L3318" t="s">
        <v>113</v>
      </c>
      <c r="M3318">
        <v>5</v>
      </c>
      <c r="N3318" t="s">
        <v>85</v>
      </c>
      <c r="O3318" t="s">
        <v>81</v>
      </c>
      <c r="P3318" t="s">
        <v>12</v>
      </c>
      <c r="Q3318" t="s">
        <v>13</v>
      </c>
      <c r="R3318" t="s">
        <v>13</v>
      </c>
      <c r="S3318" t="s">
        <v>144</v>
      </c>
      <c r="T3318" s="2">
        <f>MASTER[[#This Row],[CANTIDAD]]*MASTER[[#This Row],[PRECIO DE VENTA]]</f>
        <v>1862</v>
      </c>
      <c r="U3318" s="2">
        <f>MASTER[[#This Row],[CANTIDAD]]*MASTER[[#This Row],[COSTO UNITARIO]]</f>
        <v>394</v>
      </c>
      <c r="V3318" s="2">
        <f>MASTER[[#This Row],[MONTO VENDIDO]]-MASTER[[#This Row],[COSTO DE VENTA]]</f>
        <v>1468</v>
      </c>
    </row>
    <row r="3319" spans="1:22" x14ac:dyDescent="0.3">
      <c r="A3319">
        <v>52750</v>
      </c>
      <c r="B3319">
        <v>1</v>
      </c>
      <c r="C3319" t="s">
        <v>109</v>
      </c>
      <c r="D3319" t="s">
        <v>110</v>
      </c>
      <c r="E3319" s="1">
        <v>44221</v>
      </c>
      <c r="F3319">
        <v>1</v>
      </c>
      <c r="G3319" t="s">
        <v>27</v>
      </c>
      <c r="H3319" t="s">
        <v>28</v>
      </c>
      <c r="I3319" s="3">
        <v>947</v>
      </c>
      <c r="J3319" s="3">
        <v>947</v>
      </c>
      <c r="K3319" s="3">
        <v>387</v>
      </c>
      <c r="L3319" t="s">
        <v>98</v>
      </c>
      <c r="M3319">
        <v>12</v>
      </c>
      <c r="N3319" t="s">
        <v>26</v>
      </c>
      <c r="O3319" t="s">
        <v>11</v>
      </c>
      <c r="P3319" t="s">
        <v>12</v>
      </c>
      <c r="Q3319" t="s">
        <v>13</v>
      </c>
      <c r="R3319" t="s">
        <v>13</v>
      </c>
      <c r="S3319" t="s">
        <v>144</v>
      </c>
      <c r="T3319" s="2">
        <f>MASTER[[#This Row],[CANTIDAD]]*MASTER[[#This Row],[PRECIO DE VENTA]]</f>
        <v>947</v>
      </c>
      <c r="U3319" s="2">
        <f>MASTER[[#This Row],[CANTIDAD]]*MASTER[[#This Row],[COSTO UNITARIO]]</f>
        <v>387</v>
      </c>
      <c r="V3319" s="2">
        <f>MASTER[[#This Row],[MONTO VENDIDO]]-MASTER[[#This Row],[COSTO DE VENTA]]</f>
        <v>560</v>
      </c>
    </row>
    <row r="3320" spans="1:22" x14ac:dyDescent="0.3">
      <c r="A3320">
        <v>52753</v>
      </c>
      <c r="B3320">
        <v>1</v>
      </c>
      <c r="C3320" t="s">
        <v>94</v>
      </c>
      <c r="D3320" t="s">
        <v>95</v>
      </c>
      <c r="E3320" s="1">
        <v>44221</v>
      </c>
      <c r="F3320">
        <v>1</v>
      </c>
      <c r="G3320" t="s">
        <v>57</v>
      </c>
      <c r="H3320" t="s">
        <v>58</v>
      </c>
      <c r="I3320" s="3">
        <v>1153</v>
      </c>
      <c r="J3320" s="3">
        <v>1153</v>
      </c>
      <c r="K3320" s="3">
        <v>392</v>
      </c>
      <c r="L3320" t="s">
        <v>9</v>
      </c>
      <c r="M3320">
        <v>9</v>
      </c>
      <c r="N3320" t="s">
        <v>76</v>
      </c>
      <c r="O3320" t="s">
        <v>70</v>
      </c>
      <c r="P3320" t="s">
        <v>12</v>
      </c>
      <c r="Q3320" t="s">
        <v>13</v>
      </c>
      <c r="R3320" t="s">
        <v>13</v>
      </c>
      <c r="S3320" t="s">
        <v>144</v>
      </c>
      <c r="T3320" s="2">
        <f>MASTER[[#This Row],[CANTIDAD]]*MASTER[[#This Row],[PRECIO DE VENTA]]</f>
        <v>1153</v>
      </c>
      <c r="U3320" s="2">
        <f>MASTER[[#This Row],[CANTIDAD]]*MASTER[[#This Row],[COSTO UNITARIO]]</f>
        <v>392</v>
      </c>
      <c r="V3320" s="2">
        <f>MASTER[[#This Row],[MONTO VENDIDO]]-MASTER[[#This Row],[COSTO DE VENTA]]</f>
        <v>761</v>
      </c>
    </row>
    <row r="3321" spans="1:22" x14ac:dyDescent="0.3">
      <c r="A3321">
        <v>52756</v>
      </c>
      <c r="B3321">
        <v>1</v>
      </c>
      <c r="C3321" t="s">
        <v>101</v>
      </c>
      <c r="D3321" t="s">
        <v>102</v>
      </c>
      <c r="E3321" s="1">
        <v>44221</v>
      </c>
      <c r="F3321">
        <v>1</v>
      </c>
      <c r="G3321" t="s">
        <v>7</v>
      </c>
      <c r="H3321" t="s">
        <v>8</v>
      </c>
      <c r="I3321" s="3">
        <v>1212</v>
      </c>
      <c r="J3321" s="3">
        <v>1212</v>
      </c>
      <c r="K3321" s="3">
        <v>442</v>
      </c>
      <c r="L3321" t="s">
        <v>98</v>
      </c>
      <c r="M3321">
        <v>15</v>
      </c>
      <c r="N3321" t="s">
        <v>88</v>
      </c>
      <c r="O3321" t="s">
        <v>81</v>
      </c>
      <c r="P3321" t="s">
        <v>18</v>
      </c>
      <c r="Q3321" t="s">
        <v>19</v>
      </c>
      <c r="R3321" t="s">
        <v>138</v>
      </c>
      <c r="S3321" t="s">
        <v>144</v>
      </c>
      <c r="T3321" s="2">
        <f>MASTER[[#This Row],[CANTIDAD]]*MASTER[[#This Row],[PRECIO DE VENTA]]</f>
        <v>1212</v>
      </c>
      <c r="U3321" s="2">
        <f>MASTER[[#This Row],[CANTIDAD]]*MASTER[[#This Row],[COSTO UNITARIO]]</f>
        <v>442</v>
      </c>
      <c r="V3321" s="2">
        <f>MASTER[[#This Row],[MONTO VENDIDO]]-MASTER[[#This Row],[COSTO DE VENTA]]</f>
        <v>770</v>
      </c>
    </row>
    <row r="3322" spans="1:22" x14ac:dyDescent="0.3">
      <c r="A3322">
        <v>52778</v>
      </c>
      <c r="B3322">
        <v>1</v>
      </c>
      <c r="C3322" t="s">
        <v>96</v>
      </c>
      <c r="D3322" t="s">
        <v>97</v>
      </c>
      <c r="E3322" s="1">
        <v>44221</v>
      </c>
      <c r="F3322">
        <v>1</v>
      </c>
      <c r="G3322" t="s">
        <v>45</v>
      </c>
      <c r="H3322" t="s">
        <v>46</v>
      </c>
      <c r="I3322" s="3">
        <v>1272</v>
      </c>
      <c r="J3322" s="3">
        <v>1272</v>
      </c>
      <c r="K3322" s="3">
        <v>397</v>
      </c>
      <c r="L3322" t="s">
        <v>98</v>
      </c>
      <c r="M3322">
        <v>4</v>
      </c>
      <c r="N3322" t="s">
        <v>82</v>
      </c>
      <c r="O3322" t="s">
        <v>81</v>
      </c>
      <c r="P3322" t="s">
        <v>71</v>
      </c>
      <c r="Q3322" t="s">
        <v>72</v>
      </c>
      <c r="R3322" t="s">
        <v>139</v>
      </c>
      <c r="S3322" t="s">
        <v>144</v>
      </c>
      <c r="T3322" s="2">
        <f>MASTER[[#This Row],[CANTIDAD]]*MASTER[[#This Row],[PRECIO DE VENTA]]</f>
        <v>1272</v>
      </c>
      <c r="U3322" s="2">
        <f>MASTER[[#This Row],[CANTIDAD]]*MASTER[[#This Row],[COSTO UNITARIO]]</f>
        <v>397</v>
      </c>
      <c r="V3322" s="2">
        <f>MASTER[[#This Row],[MONTO VENDIDO]]-MASTER[[#This Row],[COSTO DE VENTA]]</f>
        <v>875</v>
      </c>
    </row>
    <row r="3323" spans="1:22" x14ac:dyDescent="0.3">
      <c r="A3323">
        <v>52793</v>
      </c>
      <c r="B3323">
        <v>1</v>
      </c>
      <c r="C3323" t="s">
        <v>94</v>
      </c>
      <c r="D3323" t="s">
        <v>95</v>
      </c>
      <c r="E3323" s="1">
        <v>44222</v>
      </c>
      <c r="F3323">
        <v>1</v>
      </c>
      <c r="G3323" t="s">
        <v>31</v>
      </c>
      <c r="H3323" t="s">
        <v>32</v>
      </c>
      <c r="I3323" s="3">
        <v>1153</v>
      </c>
      <c r="J3323" s="3">
        <v>1153</v>
      </c>
      <c r="K3323" s="3">
        <v>392</v>
      </c>
      <c r="L3323" t="s">
        <v>9</v>
      </c>
      <c r="M3323">
        <v>1</v>
      </c>
      <c r="N3323" t="s">
        <v>77</v>
      </c>
      <c r="O3323" t="s">
        <v>70</v>
      </c>
      <c r="P3323" t="s">
        <v>71</v>
      </c>
      <c r="Q3323" t="s">
        <v>72</v>
      </c>
      <c r="R3323" t="s">
        <v>139</v>
      </c>
      <c r="S3323" t="s">
        <v>144</v>
      </c>
      <c r="T3323" s="2">
        <f>MASTER[[#This Row],[CANTIDAD]]*MASTER[[#This Row],[PRECIO DE VENTA]]</f>
        <v>1153</v>
      </c>
      <c r="U3323" s="2">
        <f>MASTER[[#This Row],[CANTIDAD]]*MASTER[[#This Row],[COSTO UNITARIO]]</f>
        <v>392</v>
      </c>
      <c r="V3323" s="2">
        <f>MASTER[[#This Row],[MONTO VENDIDO]]-MASTER[[#This Row],[COSTO DE VENTA]]</f>
        <v>761</v>
      </c>
    </row>
    <row r="3324" spans="1:22" x14ac:dyDescent="0.3">
      <c r="A3324">
        <v>52799</v>
      </c>
      <c r="B3324">
        <v>1</v>
      </c>
      <c r="C3324" t="s">
        <v>5</v>
      </c>
      <c r="D3324" t="s">
        <v>6</v>
      </c>
      <c r="E3324" s="1">
        <v>44222</v>
      </c>
      <c r="F3324">
        <v>1</v>
      </c>
      <c r="G3324" t="s">
        <v>65</v>
      </c>
      <c r="H3324" t="s">
        <v>66</v>
      </c>
      <c r="I3324" s="3">
        <v>1507</v>
      </c>
      <c r="J3324" s="3">
        <v>1507</v>
      </c>
      <c r="K3324" s="3">
        <v>393</v>
      </c>
      <c r="L3324" t="s">
        <v>9</v>
      </c>
      <c r="M3324">
        <v>8</v>
      </c>
      <c r="N3324" t="s">
        <v>80</v>
      </c>
      <c r="O3324" t="s">
        <v>81</v>
      </c>
      <c r="P3324" t="s">
        <v>12</v>
      </c>
      <c r="Q3324" t="s">
        <v>13</v>
      </c>
      <c r="R3324" t="s">
        <v>13</v>
      </c>
      <c r="S3324" t="s">
        <v>144</v>
      </c>
      <c r="T3324" s="2">
        <f>MASTER[[#This Row],[CANTIDAD]]*MASTER[[#This Row],[PRECIO DE VENTA]]</f>
        <v>1507</v>
      </c>
      <c r="U3324" s="2">
        <f>MASTER[[#This Row],[CANTIDAD]]*MASTER[[#This Row],[COSTO UNITARIO]]</f>
        <v>393</v>
      </c>
      <c r="V3324" s="2">
        <f>MASTER[[#This Row],[MONTO VENDIDO]]-MASTER[[#This Row],[COSTO DE VENTA]]</f>
        <v>1114</v>
      </c>
    </row>
    <row r="3325" spans="1:22" x14ac:dyDescent="0.3">
      <c r="A3325">
        <v>52807</v>
      </c>
      <c r="B3325">
        <v>1</v>
      </c>
      <c r="C3325" t="s">
        <v>109</v>
      </c>
      <c r="D3325" t="s">
        <v>110</v>
      </c>
      <c r="E3325" s="1">
        <v>44222</v>
      </c>
      <c r="F3325">
        <v>1</v>
      </c>
      <c r="G3325" t="s">
        <v>39</v>
      </c>
      <c r="H3325" t="s">
        <v>40</v>
      </c>
      <c r="I3325" s="3">
        <v>1128</v>
      </c>
      <c r="J3325" s="3">
        <v>1128</v>
      </c>
      <c r="K3325" s="3">
        <v>387</v>
      </c>
      <c r="L3325" t="s">
        <v>98</v>
      </c>
      <c r="M3325">
        <v>13</v>
      </c>
      <c r="N3325" t="s">
        <v>78</v>
      </c>
      <c r="O3325" t="s">
        <v>70</v>
      </c>
      <c r="P3325" t="s">
        <v>18</v>
      </c>
      <c r="Q3325" t="s">
        <v>19</v>
      </c>
      <c r="R3325" t="s">
        <v>138</v>
      </c>
      <c r="S3325" t="s">
        <v>144</v>
      </c>
      <c r="T3325" s="2">
        <f>MASTER[[#This Row],[CANTIDAD]]*MASTER[[#This Row],[PRECIO DE VENTA]]</f>
        <v>1128</v>
      </c>
      <c r="U3325" s="2">
        <f>MASTER[[#This Row],[CANTIDAD]]*MASTER[[#This Row],[COSTO UNITARIO]]</f>
        <v>387</v>
      </c>
      <c r="V3325" s="2">
        <f>MASTER[[#This Row],[MONTO VENDIDO]]-MASTER[[#This Row],[COSTO DE VENTA]]</f>
        <v>741</v>
      </c>
    </row>
    <row r="3326" spans="1:22" x14ac:dyDescent="0.3">
      <c r="A3326">
        <v>52824</v>
      </c>
      <c r="B3326">
        <v>1</v>
      </c>
      <c r="C3326" t="s">
        <v>101</v>
      </c>
      <c r="D3326" t="s">
        <v>102</v>
      </c>
      <c r="E3326" s="1">
        <v>44222</v>
      </c>
      <c r="F3326">
        <v>1</v>
      </c>
      <c r="G3326" t="s">
        <v>53</v>
      </c>
      <c r="H3326" t="s">
        <v>54</v>
      </c>
      <c r="I3326" s="3">
        <v>1054</v>
      </c>
      <c r="J3326" s="3">
        <v>1054</v>
      </c>
      <c r="K3326" s="3">
        <v>442</v>
      </c>
      <c r="L3326" t="s">
        <v>98</v>
      </c>
      <c r="M3326">
        <v>16</v>
      </c>
      <c r="N3326" t="s">
        <v>17</v>
      </c>
      <c r="O3326" t="s">
        <v>11</v>
      </c>
      <c r="P3326" t="s">
        <v>18</v>
      </c>
      <c r="Q3326" t="s">
        <v>19</v>
      </c>
      <c r="R3326" t="s">
        <v>138</v>
      </c>
      <c r="S3326" t="s">
        <v>144</v>
      </c>
      <c r="T3326" s="2">
        <f>MASTER[[#This Row],[CANTIDAD]]*MASTER[[#This Row],[PRECIO DE VENTA]]</f>
        <v>1054</v>
      </c>
      <c r="U3326" s="2">
        <f>MASTER[[#This Row],[CANTIDAD]]*MASTER[[#This Row],[COSTO UNITARIO]]</f>
        <v>442</v>
      </c>
      <c r="V3326" s="2">
        <f>MASTER[[#This Row],[MONTO VENDIDO]]-MASTER[[#This Row],[COSTO DE VENTA]]</f>
        <v>612</v>
      </c>
    </row>
    <row r="3327" spans="1:22" x14ac:dyDescent="0.3">
      <c r="A3327">
        <v>52842</v>
      </c>
      <c r="B3327">
        <v>1</v>
      </c>
      <c r="C3327" t="s">
        <v>90</v>
      </c>
      <c r="D3327" t="s">
        <v>91</v>
      </c>
      <c r="E3327" s="1">
        <v>44222</v>
      </c>
      <c r="F3327">
        <v>1</v>
      </c>
      <c r="G3327" t="s">
        <v>59</v>
      </c>
      <c r="H3327" t="s">
        <v>60</v>
      </c>
      <c r="I3327" s="3">
        <v>1844</v>
      </c>
      <c r="J3327" s="3">
        <v>1844</v>
      </c>
      <c r="K3327" s="3">
        <v>420</v>
      </c>
      <c r="L3327" t="s">
        <v>9</v>
      </c>
      <c r="M3327">
        <v>15</v>
      </c>
      <c r="N3327" t="s">
        <v>88</v>
      </c>
      <c r="O3327" t="s">
        <v>81</v>
      </c>
      <c r="P3327" t="s">
        <v>18</v>
      </c>
      <c r="Q3327" t="s">
        <v>19</v>
      </c>
      <c r="R3327" t="s">
        <v>138</v>
      </c>
      <c r="S3327" t="s">
        <v>144</v>
      </c>
      <c r="T3327" s="2">
        <f>MASTER[[#This Row],[CANTIDAD]]*MASTER[[#This Row],[PRECIO DE VENTA]]</f>
        <v>1844</v>
      </c>
      <c r="U3327" s="2">
        <f>MASTER[[#This Row],[CANTIDAD]]*MASTER[[#This Row],[COSTO UNITARIO]]</f>
        <v>420</v>
      </c>
      <c r="V3327" s="2">
        <f>MASTER[[#This Row],[MONTO VENDIDO]]-MASTER[[#This Row],[COSTO DE VENTA]]</f>
        <v>1424</v>
      </c>
    </row>
    <row r="3328" spans="1:22" x14ac:dyDescent="0.3">
      <c r="A3328">
        <v>52855</v>
      </c>
      <c r="B3328">
        <v>1</v>
      </c>
      <c r="C3328" t="s">
        <v>94</v>
      </c>
      <c r="D3328" t="s">
        <v>95</v>
      </c>
      <c r="E3328" s="1">
        <v>44222</v>
      </c>
      <c r="F3328">
        <v>1</v>
      </c>
      <c r="G3328" t="s">
        <v>51</v>
      </c>
      <c r="H3328" t="s">
        <v>52</v>
      </c>
      <c r="I3328" s="3">
        <v>1153</v>
      </c>
      <c r="J3328" s="3">
        <v>1153</v>
      </c>
      <c r="K3328" s="3">
        <v>392</v>
      </c>
      <c r="L3328" t="s">
        <v>9</v>
      </c>
      <c r="M3328">
        <v>9</v>
      </c>
      <c r="N3328" t="s">
        <v>76</v>
      </c>
      <c r="O3328" t="s">
        <v>70</v>
      </c>
      <c r="P3328" t="s">
        <v>12</v>
      </c>
      <c r="Q3328" t="s">
        <v>13</v>
      </c>
      <c r="R3328" t="s">
        <v>13</v>
      </c>
      <c r="S3328" t="s">
        <v>144</v>
      </c>
      <c r="T3328" s="2">
        <f>MASTER[[#This Row],[CANTIDAD]]*MASTER[[#This Row],[PRECIO DE VENTA]]</f>
        <v>1153</v>
      </c>
      <c r="U3328" s="2">
        <f>MASTER[[#This Row],[CANTIDAD]]*MASTER[[#This Row],[COSTO UNITARIO]]</f>
        <v>392</v>
      </c>
      <c r="V3328" s="2">
        <f>MASTER[[#This Row],[MONTO VENDIDO]]-MASTER[[#This Row],[COSTO DE VENTA]]</f>
        <v>761</v>
      </c>
    </row>
    <row r="3329" spans="1:22" x14ac:dyDescent="0.3">
      <c r="A3329">
        <v>52863</v>
      </c>
      <c r="B3329">
        <v>1</v>
      </c>
      <c r="C3329" t="s">
        <v>92</v>
      </c>
      <c r="D3329" t="s">
        <v>93</v>
      </c>
      <c r="E3329" s="1">
        <v>44222</v>
      </c>
      <c r="F3329">
        <v>1</v>
      </c>
      <c r="G3329" t="s">
        <v>65</v>
      </c>
      <c r="H3329" t="s">
        <v>66</v>
      </c>
      <c r="I3329" s="3">
        <v>1479</v>
      </c>
      <c r="J3329" s="3">
        <v>1479</v>
      </c>
      <c r="K3329" s="3">
        <v>396</v>
      </c>
      <c r="L3329" t="s">
        <v>9</v>
      </c>
      <c r="M3329">
        <v>17</v>
      </c>
      <c r="N3329" t="s">
        <v>14</v>
      </c>
      <c r="O3329" t="s">
        <v>11</v>
      </c>
      <c r="P3329" t="s">
        <v>15</v>
      </c>
      <c r="Q3329" t="s">
        <v>16</v>
      </c>
      <c r="R3329" t="s">
        <v>16</v>
      </c>
      <c r="S3329" t="s">
        <v>144</v>
      </c>
      <c r="T3329" s="2">
        <f>MASTER[[#This Row],[CANTIDAD]]*MASTER[[#This Row],[PRECIO DE VENTA]]</f>
        <v>1479</v>
      </c>
      <c r="U3329" s="2">
        <f>MASTER[[#This Row],[CANTIDAD]]*MASTER[[#This Row],[COSTO UNITARIO]]</f>
        <v>396</v>
      </c>
      <c r="V3329" s="2">
        <f>MASTER[[#This Row],[MONTO VENDIDO]]-MASTER[[#This Row],[COSTO DE VENTA]]</f>
        <v>1083</v>
      </c>
    </row>
    <row r="3330" spans="1:22" x14ac:dyDescent="0.3">
      <c r="A3330">
        <v>52894</v>
      </c>
      <c r="B3330">
        <v>1</v>
      </c>
      <c r="C3330" t="s">
        <v>90</v>
      </c>
      <c r="D3330" t="s">
        <v>91</v>
      </c>
      <c r="E3330" s="1">
        <v>44222</v>
      </c>
      <c r="F3330">
        <v>1</v>
      </c>
      <c r="G3330" t="s">
        <v>20</v>
      </c>
      <c r="H3330" t="s">
        <v>21</v>
      </c>
      <c r="I3330" s="3">
        <v>1844</v>
      </c>
      <c r="J3330" s="3">
        <v>1844</v>
      </c>
      <c r="K3330" s="3">
        <v>420</v>
      </c>
      <c r="L3330" t="s">
        <v>9</v>
      </c>
      <c r="M3330">
        <v>5</v>
      </c>
      <c r="N3330" t="s">
        <v>85</v>
      </c>
      <c r="O3330" t="s">
        <v>81</v>
      </c>
      <c r="P3330" t="s">
        <v>12</v>
      </c>
      <c r="Q3330" t="s">
        <v>13</v>
      </c>
      <c r="R3330" t="s">
        <v>13</v>
      </c>
      <c r="S3330" t="s">
        <v>144</v>
      </c>
      <c r="T3330" s="2">
        <f>MASTER[[#This Row],[CANTIDAD]]*MASTER[[#This Row],[PRECIO DE VENTA]]</f>
        <v>1844</v>
      </c>
      <c r="U3330" s="2">
        <f>MASTER[[#This Row],[CANTIDAD]]*MASTER[[#This Row],[COSTO UNITARIO]]</f>
        <v>420</v>
      </c>
      <c r="V3330" s="2">
        <f>MASTER[[#This Row],[MONTO VENDIDO]]-MASTER[[#This Row],[COSTO DE VENTA]]</f>
        <v>1424</v>
      </c>
    </row>
    <row r="3331" spans="1:22" x14ac:dyDescent="0.3">
      <c r="A3331">
        <v>52897</v>
      </c>
      <c r="B3331">
        <v>1</v>
      </c>
      <c r="C3331" t="s">
        <v>99</v>
      </c>
      <c r="D3331" t="s">
        <v>100</v>
      </c>
      <c r="E3331" s="1">
        <v>44222</v>
      </c>
      <c r="F3331">
        <v>1</v>
      </c>
      <c r="G3331" t="s">
        <v>33</v>
      </c>
      <c r="H3331" t="s">
        <v>34</v>
      </c>
      <c r="I3331" s="3">
        <v>1459</v>
      </c>
      <c r="J3331" s="3">
        <v>1459</v>
      </c>
      <c r="K3331" s="3">
        <v>386</v>
      </c>
      <c r="L3331" t="s">
        <v>98</v>
      </c>
      <c r="M3331">
        <v>8</v>
      </c>
      <c r="N3331" t="s">
        <v>80</v>
      </c>
      <c r="O3331" t="s">
        <v>81</v>
      </c>
      <c r="P3331" t="s">
        <v>12</v>
      </c>
      <c r="Q3331" t="s">
        <v>13</v>
      </c>
      <c r="R3331" t="s">
        <v>13</v>
      </c>
      <c r="S3331" t="s">
        <v>144</v>
      </c>
      <c r="T3331" s="2">
        <f>MASTER[[#This Row],[CANTIDAD]]*MASTER[[#This Row],[PRECIO DE VENTA]]</f>
        <v>1459</v>
      </c>
      <c r="U3331" s="2">
        <f>MASTER[[#This Row],[CANTIDAD]]*MASTER[[#This Row],[COSTO UNITARIO]]</f>
        <v>386</v>
      </c>
      <c r="V3331" s="2">
        <f>MASTER[[#This Row],[MONTO VENDIDO]]-MASTER[[#This Row],[COSTO DE VENTA]]</f>
        <v>1073</v>
      </c>
    </row>
    <row r="3332" spans="1:22" x14ac:dyDescent="0.3">
      <c r="A3332">
        <v>52904</v>
      </c>
      <c r="B3332">
        <v>1</v>
      </c>
      <c r="C3332" t="s">
        <v>5</v>
      </c>
      <c r="D3332" t="s">
        <v>6</v>
      </c>
      <c r="E3332" s="1">
        <v>44222</v>
      </c>
      <c r="F3332">
        <v>4</v>
      </c>
      <c r="G3332" t="s">
        <v>41</v>
      </c>
      <c r="H3332" t="s">
        <v>42</v>
      </c>
      <c r="I3332" s="3">
        <v>1311</v>
      </c>
      <c r="J3332" s="3">
        <v>1311</v>
      </c>
      <c r="K3332" s="3">
        <v>393</v>
      </c>
      <c r="L3332" t="s">
        <v>9</v>
      </c>
      <c r="M3332">
        <v>17</v>
      </c>
      <c r="N3332" t="s">
        <v>14</v>
      </c>
      <c r="O3332" t="s">
        <v>11</v>
      </c>
      <c r="P3332" t="s">
        <v>15</v>
      </c>
      <c r="Q3332" t="s">
        <v>16</v>
      </c>
      <c r="R3332" t="s">
        <v>16</v>
      </c>
      <c r="S3332" t="s">
        <v>144</v>
      </c>
      <c r="T3332" s="2">
        <f>MASTER[[#This Row],[CANTIDAD]]*MASTER[[#This Row],[PRECIO DE VENTA]]</f>
        <v>5244</v>
      </c>
      <c r="U3332" s="2">
        <f>MASTER[[#This Row],[CANTIDAD]]*MASTER[[#This Row],[COSTO UNITARIO]]</f>
        <v>1572</v>
      </c>
      <c r="V3332" s="2">
        <f>MASTER[[#This Row],[MONTO VENDIDO]]-MASTER[[#This Row],[COSTO DE VENTA]]</f>
        <v>3672</v>
      </c>
    </row>
    <row r="3333" spans="1:22" x14ac:dyDescent="0.3">
      <c r="A3333">
        <v>52912</v>
      </c>
      <c r="B3333">
        <v>1</v>
      </c>
      <c r="C3333" t="s">
        <v>96</v>
      </c>
      <c r="D3333" t="s">
        <v>97</v>
      </c>
      <c r="E3333" s="1">
        <v>44222</v>
      </c>
      <c r="F3333">
        <v>1</v>
      </c>
      <c r="G3333" t="s">
        <v>24</v>
      </c>
      <c r="H3333" t="s">
        <v>25</v>
      </c>
      <c r="I3333" s="3">
        <v>1272</v>
      </c>
      <c r="J3333" s="3">
        <v>1272</v>
      </c>
      <c r="K3333" s="3">
        <v>397</v>
      </c>
      <c r="L3333" t="s">
        <v>98</v>
      </c>
      <c r="M3333">
        <v>5</v>
      </c>
      <c r="N3333" t="s">
        <v>85</v>
      </c>
      <c r="O3333" t="s">
        <v>81</v>
      </c>
      <c r="P3333" t="s">
        <v>12</v>
      </c>
      <c r="Q3333" t="s">
        <v>13</v>
      </c>
      <c r="R3333" t="s">
        <v>13</v>
      </c>
      <c r="S3333" t="s">
        <v>144</v>
      </c>
      <c r="T3333" s="2">
        <f>MASTER[[#This Row],[CANTIDAD]]*MASTER[[#This Row],[PRECIO DE VENTA]]</f>
        <v>1272</v>
      </c>
      <c r="U3333" s="2">
        <f>MASTER[[#This Row],[CANTIDAD]]*MASTER[[#This Row],[COSTO UNITARIO]]</f>
        <v>397</v>
      </c>
      <c r="V3333" s="2">
        <f>MASTER[[#This Row],[MONTO VENDIDO]]-MASTER[[#This Row],[COSTO DE VENTA]]</f>
        <v>875</v>
      </c>
    </row>
    <row r="3334" spans="1:22" x14ac:dyDescent="0.3">
      <c r="A3334">
        <v>52916</v>
      </c>
      <c r="B3334">
        <v>1</v>
      </c>
      <c r="C3334" t="s">
        <v>118</v>
      </c>
      <c r="D3334" t="s">
        <v>119</v>
      </c>
      <c r="E3334" s="1">
        <v>44222</v>
      </c>
      <c r="F3334">
        <v>1</v>
      </c>
      <c r="G3334" t="s">
        <v>35</v>
      </c>
      <c r="H3334" t="s">
        <v>36</v>
      </c>
      <c r="I3334" s="3">
        <v>1026</v>
      </c>
      <c r="J3334" s="3">
        <v>923</v>
      </c>
      <c r="K3334" s="3">
        <v>424</v>
      </c>
      <c r="L3334" t="s">
        <v>120</v>
      </c>
      <c r="M3334">
        <v>1</v>
      </c>
      <c r="N3334" t="s">
        <v>77</v>
      </c>
      <c r="O3334" t="s">
        <v>70</v>
      </c>
      <c r="P3334" t="s">
        <v>71</v>
      </c>
      <c r="Q3334" t="s">
        <v>72</v>
      </c>
      <c r="R3334" t="s">
        <v>139</v>
      </c>
      <c r="S3334" t="s">
        <v>144</v>
      </c>
      <c r="T3334" s="2">
        <f>MASTER[[#This Row],[CANTIDAD]]*MASTER[[#This Row],[PRECIO DE VENTA]]</f>
        <v>923</v>
      </c>
      <c r="U3334" s="2">
        <f>MASTER[[#This Row],[CANTIDAD]]*MASTER[[#This Row],[COSTO UNITARIO]]</f>
        <v>424</v>
      </c>
      <c r="V3334" s="2">
        <f>MASTER[[#This Row],[MONTO VENDIDO]]-MASTER[[#This Row],[COSTO DE VENTA]]</f>
        <v>499</v>
      </c>
    </row>
    <row r="3335" spans="1:22" x14ac:dyDescent="0.3">
      <c r="A3335">
        <v>52928</v>
      </c>
      <c r="B3335">
        <v>1</v>
      </c>
      <c r="C3335" t="s">
        <v>107</v>
      </c>
      <c r="D3335" t="s">
        <v>108</v>
      </c>
      <c r="E3335" s="1">
        <v>44222</v>
      </c>
      <c r="F3335">
        <v>1</v>
      </c>
      <c r="G3335" t="s">
        <v>29</v>
      </c>
      <c r="H3335" t="s">
        <v>30</v>
      </c>
      <c r="I3335" s="3">
        <v>1440</v>
      </c>
      <c r="J3335" s="3">
        <v>1440</v>
      </c>
      <c r="K3335" s="3">
        <v>380</v>
      </c>
      <c r="L3335" t="s">
        <v>98</v>
      </c>
      <c r="M3335">
        <v>3</v>
      </c>
      <c r="N3335" t="s">
        <v>69</v>
      </c>
      <c r="O3335" t="s">
        <v>70</v>
      </c>
      <c r="P3335" t="s">
        <v>71</v>
      </c>
      <c r="Q3335" t="s">
        <v>72</v>
      </c>
      <c r="R3335" t="s">
        <v>139</v>
      </c>
      <c r="S3335" t="s">
        <v>144</v>
      </c>
      <c r="T3335" s="2">
        <f>MASTER[[#This Row],[CANTIDAD]]*MASTER[[#This Row],[PRECIO DE VENTA]]</f>
        <v>1440</v>
      </c>
      <c r="U3335" s="2">
        <f>MASTER[[#This Row],[CANTIDAD]]*MASTER[[#This Row],[COSTO UNITARIO]]</f>
        <v>380</v>
      </c>
      <c r="V3335" s="2">
        <f>MASTER[[#This Row],[MONTO VENDIDO]]-MASTER[[#This Row],[COSTO DE VENTA]]</f>
        <v>1060</v>
      </c>
    </row>
    <row r="3336" spans="1:22" x14ac:dyDescent="0.3">
      <c r="A3336">
        <v>52951</v>
      </c>
      <c r="B3336">
        <v>1</v>
      </c>
      <c r="C3336" t="s">
        <v>109</v>
      </c>
      <c r="D3336" t="s">
        <v>110</v>
      </c>
      <c r="E3336" s="1">
        <v>44223</v>
      </c>
      <c r="F3336">
        <v>1</v>
      </c>
      <c r="G3336" t="s">
        <v>7</v>
      </c>
      <c r="H3336" t="s">
        <v>8</v>
      </c>
      <c r="I3336" s="3">
        <v>1064</v>
      </c>
      <c r="J3336" s="3">
        <v>1064</v>
      </c>
      <c r="K3336" s="3">
        <v>387</v>
      </c>
      <c r="L3336" t="s">
        <v>98</v>
      </c>
      <c r="M3336">
        <v>15</v>
      </c>
      <c r="N3336" t="s">
        <v>88</v>
      </c>
      <c r="O3336" t="s">
        <v>81</v>
      </c>
      <c r="P3336" t="s">
        <v>18</v>
      </c>
      <c r="Q3336" t="s">
        <v>19</v>
      </c>
      <c r="R3336" t="s">
        <v>138</v>
      </c>
      <c r="S3336" t="s">
        <v>144</v>
      </c>
      <c r="T3336" s="2">
        <f>MASTER[[#This Row],[CANTIDAD]]*MASTER[[#This Row],[PRECIO DE VENTA]]</f>
        <v>1064</v>
      </c>
      <c r="U3336" s="2">
        <f>MASTER[[#This Row],[CANTIDAD]]*MASTER[[#This Row],[COSTO UNITARIO]]</f>
        <v>387</v>
      </c>
      <c r="V3336" s="2">
        <f>MASTER[[#This Row],[MONTO VENDIDO]]-MASTER[[#This Row],[COSTO DE VENTA]]</f>
        <v>677</v>
      </c>
    </row>
    <row r="3337" spans="1:22" x14ac:dyDescent="0.3">
      <c r="A3337">
        <v>52957</v>
      </c>
      <c r="B3337">
        <v>1</v>
      </c>
      <c r="C3337" t="s">
        <v>118</v>
      </c>
      <c r="D3337" t="s">
        <v>119</v>
      </c>
      <c r="E3337" s="1">
        <v>44223</v>
      </c>
      <c r="F3337">
        <v>1</v>
      </c>
      <c r="G3337" t="s">
        <v>61</v>
      </c>
      <c r="H3337" t="s">
        <v>62</v>
      </c>
      <c r="I3337" s="3">
        <v>900</v>
      </c>
      <c r="J3337" s="3">
        <v>900</v>
      </c>
      <c r="K3337" s="3">
        <v>424</v>
      </c>
      <c r="L3337" t="s">
        <v>120</v>
      </c>
      <c r="M3337">
        <v>19</v>
      </c>
      <c r="N3337" t="s">
        <v>89</v>
      </c>
      <c r="O3337" t="s">
        <v>81</v>
      </c>
      <c r="P3337" t="s">
        <v>15</v>
      </c>
      <c r="Q3337" t="s">
        <v>16</v>
      </c>
      <c r="R3337" t="s">
        <v>16</v>
      </c>
      <c r="S3337" t="s">
        <v>144</v>
      </c>
      <c r="T3337" s="2">
        <f>MASTER[[#This Row],[CANTIDAD]]*MASTER[[#This Row],[PRECIO DE VENTA]]</f>
        <v>900</v>
      </c>
      <c r="U3337" s="2">
        <f>MASTER[[#This Row],[CANTIDAD]]*MASTER[[#This Row],[COSTO UNITARIO]]</f>
        <v>424</v>
      </c>
      <c r="V3337" s="2">
        <f>MASTER[[#This Row],[MONTO VENDIDO]]-MASTER[[#This Row],[COSTO DE VENTA]]</f>
        <v>476</v>
      </c>
    </row>
    <row r="3338" spans="1:22" x14ac:dyDescent="0.3">
      <c r="A3338">
        <v>52962</v>
      </c>
      <c r="B3338">
        <v>1</v>
      </c>
      <c r="C3338" t="s">
        <v>114</v>
      </c>
      <c r="D3338" t="s">
        <v>115</v>
      </c>
      <c r="E3338" s="1">
        <v>44223</v>
      </c>
      <c r="F3338">
        <v>1</v>
      </c>
      <c r="G3338" t="s">
        <v>24</v>
      </c>
      <c r="H3338" t="s">
        <v>25</v>
      </c>
      <c r="I3338" s="3">
        <v>2030</v>
      </c>
      <c r="J3338" s="3">
        <v>2030</v>
      </c>
      <c r="K3338" s="3">
        <v>394</v>
      </c>
      <c r="L3338" t="s">
        <v>113</v>
      </c>
      <c r="M3338">
        <v>1</v>
      </c>
      <c r="N3338" t="s">
        <v>77</v>
      </c>
      <c r="O3338" t="s">
        <v>70</v>
      </c>
      <c r="P3338" t="s">
        <v>71</v>
      </c>
      <c r="Q3338" t="s">
        <v>72</v>
      </c>
      <c r="R3338" t="s">
        <v>139</v>
      </c>
      <c r="S3338" t="s">
        <v>144</v>
      </c>
      <c r="T3338" s="2">
        <f>MASTER[[#This Row],[CANTIDAD]]*MASTER[[#This Row],[PRECIO DE VENTA]]</f>
        <v>2030</v>
      </c>
      <c r="U3338" s="2">
        <f>MASTER[[#This Row],[CANTIDAD]]*MASTER[[#This Row],[COSTO UNITARIO]]</f>
        <v>394</v>
      </c>
      <c r="V3338" s="2">
        <f>MASTER[[#This Row],[MONTO VENDIDO]]-MASTER[[#This Row],[COSTO DE VENTA]]</f>
        <v>1636</v>
      </c>
    </row>
    <row r="3339" spans="1:22" x14ac:dyDescent="0.3">
      <c r="A3339">
        <v>52984</v>
      </c>
      <c r="B3339">
        <v>1</v>
      </c>
      <c r="C3339" t="s">
        <v>5</v>
      </c>
      <c r="D3339" t="s">
        <v>6</v>
      </c>
      <c r="E3339" s="1">
        <v>44223</v>
      </c>
      <c r="F3339">
        <v>1</v>
      </c>
      <c r="G3339" t="s">
        <v>63</v>
      </c>
      <c r="H3339" t="s">
        <v>64</v>
      </c>
      <c r="I3339" s="3">
        <v>1296</v>
      </c>
      <c r="J3339" s="3">
        <v>1296</v>
      </c>
      <c r="K3339" s="3">
        <v>393</v>
      </c>
      <c r="L3339" t="s">
        <v>9</v>
      </c>
      <c r="M3339">
        <v>18</v>
      </c>
      <c r="N3339" t="s">
        <v>79</v>
      </c>
      <c r="O3339" t="s">
        <v>70</v>
      </c>
      <c r="P3339" t="s">
        <v>15</v>
      </c>
      <c r="Q3339" t="s">
        <v>16</v>
      </c>
      <c r="R3339" t="s">
        <v>16</v>
      </c>
      <c r="S3339" t="s">
        <v>144</v>
      </c>
      <c r="T3339" s="2">
        <f>MASTER[[#This Row],[CANTIDAD]]*MASTER[[#This Row],[PRECIO DE VENTA]]</f>
        <v>1296</v>
      </c>
      <c r="U3339" s="2">
        <f>MASTER[[#This Row],[CANTIDAD]]*MASTER[[#This Row],[COSTO UNITARIO]]</f>
        <v>393</v>
      </c>
      <c r="V3339" s="2">
        <f>MASTER[[#This Row],[MONTO VENDIDO]]-MASTER[[#This Row],[COSTO DE VENTA]]</f>
        <v>903</v>
      </c>
    </row>
    <row r="3340" spans="1:22" x14ac:dyDescent="0.3">
      <c r="A3340">
        <v>52990</v>
      </c>
      <c r="B3340">
        <v>1</v>
      </c>
      <c r="C3340" t="s">
        <v>5</v>
      </c>
      <c r="D3340" t="s">
        <v>6</v>
      </c>
      <c r="E3340" s="1">
        <v>44223</v>
      </c>
      <c r="F3340">
        <v>1</v>
      </c>
      <c r="G3340" t="s">
        <v>55</v>
      </c>
      <c r="H3340" t="s">
        <v>56</v>
      </c>
      <c r="I3340" s="3">
        <v>1311</v>
      </c>
      <c r="J3340" s="3">
        <v>1311</v>
      </c>
      <c r="K3340" s="3">
        <v>393</v>
      </c>
      <c r="L3340" t="s">
        <v>9</v>
      </c>
      <c r="M3340">
        <v>11</v>
      </c>
      <c r="N3340" t="s">
        <v>10</v>
      </c>
      <c r="O3340" t="s">
        <v>11</v>
      </c>
      <c r="P3340" t="s">
        <v>12</v>
      </c>
      <c r="Q3340" t="s">
        <v>13</v>
      </c>
      <c r="R3340" t="s">
        <v>13</v>
      </c>
      <c r="S3340" t="s">
        <v>144</v>
      </c>
      <c r="T3340" s="2">
        <f>MASTER[[#This Row],[CANTIDAD]]*MASTER[[#This Row],[PRECIO DE VENTA]]</f>
        <v>1311</v>
      </c>
      <c r="U3340" s="2">
        <f>MASTER[[#This Row],[CANTIDAD]]*MASTER[[#This Row],[COSTO UNITARIO]]</f>
        <v>393</v>
      </c>
      <c r="V3340" s="2">
        <f>MASTER[[#This Row],[MONTO VENDIDO]]-MASTER[[#This Row],[COSTO DE VENTA]]</f>
        <v>918</v>
      </c>
    </row>
    <row r="3341" spans="1:22" x14ac:dyDescent="0.3">
      <c r="A3341">
        <v>52990</v>
      </c>
      <c r="B3341">
        <v>2</v>
      </c>
      <c r="C3341" t="s">
        <v>99</v>
      </c>
      <c r="D3341" t="s">
        <v>100</v>
      </c>
      <c r="E3341" s="1">
        <v>44223</v>
      </c>
      <c r="F3341">
        <v>1</v>
      </c>
      <c r="G3341" t="s">
        <v>53</v>
      </c>
      <c r="H3341" t="s">
        <v>54</v>
      </c>
      <c r="I3341" s="3">
        <v>1328</v>
      </c>
      <c r="J3341" s="3">
        <v>1328</v>
      </c>
      <c r="K3341" s="3">
        <v>386</v>
      </c>
      <c r="L3341" t="s">
        <v>98</v>
      </c>
      <c r="M3341">
        <v>11</v>
      </c>
      <c r="N3341" t="s">
        <v>10</v>
      </c>
      <c r="O3341" t="s">
        <v>11</v>
      </c>
      <c r="P3341" t="s">
        <v>12</v>
      </c>
      <c r="Q3341" t="s">
        <v>13</v>
      </c>
      <c r="R3341" t="s">
        <v>13</v>
      </c>
      <c r="S3341" t="s">
        <v>144</v>
      </c>
      <c r="T3341" s="2">
        <f>MASTER[[#This Row],[CANTIDAD]]*MASTER[[#This Row],[PRECIO DE VENTA]]</f>
        <v>1328</v>
      </c>
      <c r="U3341" s="2">
        <f>MASTER[[#This Row],[CANTIDAD]]*MASTER[[#This Row],[COSTO UNITARIO]]</f>
        <v>386</v>
      </c>
      <c r="V3341" s="2">
        <f>MASTER[[#This Row],[MONTO VENDIDO]]-MASTER[[#This Row],[COSTO DE VENTA]]</f>
        <v>942</v>
      </c>
    </row>
    <row r="3342" spans="1:22" x14ac:dyDescent="0.3">
      <c r="A3342">
        <v>53001</v>
      </c>
      <c r="B3342">
        <v>1</v>
      </c>
      <c r="C3342" t="s">
        <v>118</v>
      </c>
      <c r="D3342" t="s">
        <v>119</v>
      </c>
      <c r="E3342" s="1">
        <v>44223</v>
      </c>
      <c r="F3342">
        <v>1</v>
      </c>
      <c r="G3342" t="s">
        <v>22</v>
      </c>
      <c r="H3342" t="s">
        <v>23</v>
      </c>
      <c r="I3342" s="3">
        <v>900</v>
      </c>
      <c r="J3342" s="3">
        <v>900</v>
      </c>
      <c r="K3342" s="3">
        <v>424</v>
      </c>
      <c r="L3342" t="s">
        <v>120</v>
      </c>
      <c r="M3342">
        <v>8</v>
      </c>
      <c r="N3342" t="s">
        <v>80</v>
      </c>
      <c r="O3342" t="s">
        <v>81</v>
      </c>
      <c r="P3342" t="s">
        <v>12</v>
      </c>
      <c r="Q3342" t="s">
        <v>13</v>
      </c>
      <c r="R3342" t="s">
        <v>13</v>
      </c>
      <c r="S3342" t="s">
        <v>144</v>
      </c>
      <c r="T3342" s="2">
        <f>MASTER[[#This Row],[CANTIDAD]]*MASTER[[#This Row],[PRECIO DE VENTA]]</f>
        <v>900</v>
      </c>
      <c r="U3342" s="2">
        <f>MASTER[[#This Row],[CANTIDAD]]*MASTER[[#This Row],[COSTO UNITARIO]]</f>
        <v>424</v>
      </c>
      <c r="V3342" s="2">
        <f>MASTER[[#This Row],[MONTO VENDIDO]]-MASTER[[#This Row],[COSTO DE VENTA]]</f>
        <v>476</v>
      </c>
    </row>
    <row r="3343" spans="1:22" x14ac:dyDescent="0.3">
      <c r="A3343">
        <v>53007</v>
      </c>
      <c r="B3343">
        <v>1</v>
      </c>
      <c r="C3343" t="s">
        <v>94</v>
      </c>
      <c r="D3343" t="s">
        <v>95</v>
      </c>
      <c r="E3343" s="1">
        <v>44223</v>
      </c>
      <c r="F3343">
        <v>1</v>
      </c>
      <c r="G3343" t="s">
        <v>47</v>
      </c>
      <c r="H3343" t="s">
        <v>48</v>
      </c>
      <c r="I3343" s="3">
        <v>1048</v>
      </c>
      <c r="J3343" s="3">
        <v>943</v>
      </c>
      <c r="K3343" s="3">
        <v>392</v>
      </c>
      <c r="L3343" t="s">
        <v>9</v>
      </c>
      <c r="M3343">
        <v>5</v>
      </c>
      <c r="N3343" t="s">
        <v>85</v>
      </c>
      <c r="O3343" t="s">
        <v>81</v>
      </c>
      <c r="P3343" t="s">
        <v>12</v>
      </c>
      <c r="Q3343" t="s">
        <v>13</v>
      </c>
      <c r="R3343" t="s">
        <v>13</v>
      </c>
      <c r="S3343" t="s">
        <v>144</v>
      </c>
      <c r="T3343" s="2">
        <f>MASTER[[#This Row],[CANTIDAD]]*MASTER[[#This Row],[PRECIO DE VENTA]]</f>
        <v>943</v>
      </c>
      <c r="U3343" s="2">
        <f>MASTER[[#This Row],[CANTIDAD]]*MASTER[[#This Row],[COSTO UNITARIO]]</f>
        <v>392</v>
      </c>
      <c r="V3343" s="2">
        <f>MASTER[[#This Row],[MONTO VENDIDO]]-MASTER[[#This Row],[COSTO DE VENTA]]</f>
        <v>551</v>
      </c>
    </row>
    <row r="3344" spans="1:22" x14ac:dyDescent="0.3">
      <c r="A3344">
        <v>53028</v>
      </c>
      <c r="B3344">
        <v>1</v>
      </c>
      <c r="C3344" t="s">
        <v>101</v>
      </c>
      <c r="D3344" t="s">
        <v>102</v>
      </c>
      <c r="E3344" s="1">
        <v>44223</v>
      </c>
      <c r="F3344">
        <v>1</v>
      </c>
      <c r="G3344" t="s">
        <v>57</v>
      </c>
      <c r="H3344" t="s">
        <v>58</v>
      </c>
      <c r="I3344" s="3">
        <v>1357</v>
      </c>
      <c r="J3344" s="3">
        <v>1357</v>
      </c>
      <c r="K3344" s="3">
        <v>442</v>
      </c>
      <c r="L3344" t="s">
        <v>98</v>
      </c>
      <c r="M3344">
        <v>3</v>
      </c>
      <c r="N3344" t="s">
        <v>69</v>
      </c>
      <c r="O3344" t="s">
        <v>70</v>
      </c>
      <c r="P3344" t="s">
        <v>71</v>
      </c>
      <c r="Q3344" t="s">
        <v>72</v>
      </c>
      <c r="R3344" t="s">
        <v>139</v>
      </c>
      <c r="S3344" t="s">
        <v>144</v>
      </c>
      <c r="T3344" s="2">
        <f>MASTER[[#This Row],[CANTIDAD]]*MASTER[[#This Row],[PRECIO DE VENTA]]</f>
        <v>1357</v>
      </c>
      <c r="U3344" s="2">
        <f>MASTER[[#This Row],[CANTIDAD]]*MASTER[[#This Row],[COSTO UNITARIO]]</f>
        <v>442</v>
      </c>
      <c r="V3344" s="2">
        <f>MASTER[[#This Row],[MONTO VENDIDO]]-MASTER[[#This Row],[COSTO DE VENTA]]</f>
        <v>915</v>
      </c>
    </row>
    <row r="3345" spans="1:22" x14ac:dyDescent="0.3">
      <c r="A3345">
        <v>53032</v>
      </c>
      <c r="B3345">
        <v>1</v>
      </c>
      <c r="C3345" t="s">
        <v>101</v>
      </c>
      <c r="D3345" t="s">
        <v>102</v>
      </c>
      <c r="E3345" s="1">
        <v>44223</v>
      </c>
      <c r="F3345">
        <v>1</v>
      </c>
      <c r="G3345" t="s">
        <v>29</v>
      </c>
      <c r="H3345" t="s">
        <v>30</v>
      </c>
      <c r="I3345" s="3">
        <v>1212</v>
      </c>
      <c r="J3345" s="3">
        <v>1212</v>
      </c>
      <c r="K3345" s="3">
        <v>442</v>
      </c>
      <c r="L3345" t="s">
        <v>98</v>
      </c>
      <c r="M3345">
        <v>19</v>
      </c>
      <c r="N3345" t="s">
        <v>89</v>
      </c>
      <c r="O3345" t="s">
        <v>81</v>
      </c>
      <c r="P3345" t="s">
        <v>15</v>
      </c>
      <c r="Q3345" t="s">
        <v>16</v>
      </c>
      <c r="R3345" t="s">
        <v>16</v>
      </c>
      <c r="S3345" t="s">
        <v>144</v>
      </c>
      <c r="T3345" s="2">
        <f>MASTER[[#This Row],[CANTIDAD]]*MASTER[[#This Row],[PRECIO DE VENTA]]</f>
        <v>1212</v>
      </c>
      <c r="U3345" s="2">
        <f>MASTER[[#This Row],[CANTIDAD]]*MASTER[[#This Row],[COSTO UNITARIO]]</f>
        <v>442</v>
      </c>
      <c r="V3345" s="2">
        <f>MASTER[[#This Row],[MONTO VENDIDO]]-MASTER[[#This Row],[COSTO DE VENTA]]</f>
        <v>770</v>
      </c>
    </row>
    <row r="3346" spans="1:22" x14ac:dyDescent="0.3">
      <c r="A3346">
        <v>53038</v>
      </c>
      <c r="B3346">
        <v>1</v>
      </c>
      <c r="C3346" t="s">
        <v>94</v>
      </c>
      <c r="D3346" t="s">
        <v>95</v>
      </c>
      <c r="E3346" s="1">
        <v>44223</v>
      </c>
      <c r="F3346">
        <v>1</v>
      </c>
      <c r="G3346" t="s">
        <v>20</v>
      </c>
      <c r="H3346" t="s">
        <v>21</v>
      </c>
      <c r="I3346" s="3">
        <v>901</v>
      </c>
      <c r="J3346" s="3">
        <v>901</v>
      </c>
      <c r="K3346" s="3">
        <v>392</v>
      </c>
      <c r="L3346" t="s">
        <v>9</v>
      </c>
      <c r="M3346">
        <v>16</v>
      </c>
      <c r="N3346" t="s">
        <v>17</v>
      </c>
      <c r="O3346" t="s">
        <v>11</v>
      </c>
      <c r="P3346" t="s">
        <v>18</v>
      </c>
      <c r="Q3346" t="s">
        <v>19</v>
      </c>
      <c r="R3346" t="s">
        <v>138</v>
      </c>
      <c r="S3346" t="s">
        <v>144</v>
      </c>
      <c r="T3346" s="2">
        <f>MASTER[[#This Row],[CANTIDAD]]*MASTER[[#This Row],[PRECIO DE VENTA]]</f>
        <v>901</v>
      </c>
      <c r="U3346" s="2">
        <f>MASTER[[#This Row],[CANTIDAD]]*MASTER[[#This Row],[COSTO UNITARIO]]</f>
        <v>392</v>
      </c>
      <c r="V3346" s="2">
        <f>MASTER[[#This Row],[MONTO VENDIDO]]-MASTER[[#This Row],[COSTO DE VENTA]]</f>
        <v>509</v>
      </c>
    </row>
    <row r="3347" spans="1:22" x14ac:dyDescent="0.3">
      <c r="A3347">
        <v>53045</v>
      </c>
      <c r="B3347">
        <v>1</v>
      </c>
      <c r="C3347" t="s">
        <v>101</v>
      </c>
      <c r="D3347" t="s">
        <v>102</v>
      </c>
      <c r="E3347" s="1">
        <v>44223</v>
      </c>
      <c r="F3347">
        <v>1</v>
      </c>
      <c r="G3347" t="s">
        <v>22</v>
      </c>
      <c r="H3347" t="s">
        <v>23</v>
      </c>
      <c r="I3347" s="3">
        <v>1212</v>
      </c>
      <c r="J3347" s="3">
        <v>1212</v>
      </c>
      <c r="K3347" s="3">
        <v>442</v>
      </c>
      <c r="L3347" t="s">
        <v>98</v>
      </c>
      <c r="M3347">
        <v>8</v>
      </c>
      <c r="N3347" t="s">
        <v>80</v>
      </c>
      <c r="O3347" t="s">
        <v>81</v>
      </c>
      <c r="P3347" t="s">
        <v>12</v>
      </c>
      <c r="Q3347" t="s">
        <v>13</v>
      </c>
      <c r="R3347" t="s">
        <v>13</v>
      </c>
      <c r="S3347" t="s">
        <v>144</v>
      </c>
      <c r="T3347" s="2">
        <f>MASTER[[#This Row],[CANTIDAD]]*MASTER[[#This Row],[PRECIO DE VENTA]]</f>
        <v>1212</v>
      </c>
      <c r="U3347" s="2">
        <f>MASTER[[#This Row],[CANTIDAD]]*MASTER[[#This Row],[COSTO UNITARIO]]</f>
        <v>442</v>
      </c>
      <c r="V3347" s="2">
        <f>MASTER[[#This Row],[MONTO VENDIDO]]-MASTER[[#This Row],[COSTO DE VENTA]]</f>
        <v>770</v>
      </c>
    </row>
    <row r="3348" spans="1:22" x14ac:dyDescent="0.3">
      <c r="A3348">
        <v>53047</v>
      </c>
      <c r="B3348">
        <v>1</v>
      </c>
      <c r="C3348" t="s">
        <v>92</v>
      </c>
      <c r="D3348" t="s">
        <v>93</v>
      </c>
      <c r="E3348" s="1">
        <v>44223</v>
      </c>
      <c r="F3348">
        <v>1</v>
      </c>
      <c r="G3348" t="s">
        <v>31</v>
      </c>
      <c r="H3348" t="s">
        <v>32</v>
      </c>
      <c r="I3348" s="3">
        <v>1681</v>
      </c>
      <c r="J3348" s="3">
        <v>1681</v>
      </c>
      <c r="K3348" s="3">
        <v>396</v>
      </c>
      <c r="L3348" t="s">
        <v>9</v>
      </c>
      <c r="M3348">
        <v>7</v>
      </c>
      <c r="N3348" t="s">
        <v>84</v>
      </c>
      <c r="O3348" t="s">
        <v>81</v>
      </c>
      <c r="P3348" t="s">
        <v>12</v>
      </c>
      <c r="Q3348" t="s">
        <v>13</v>
      </c>
      <c r="R3348" t="s">
        <v>13</v>
      </c>
      <c r="S3348" t="s">
        <v>144</v>
      </c>
      <c r="T3348" s="2">
        <f>MASTER[[#This Row],[CANTIDAD]]*MASTER[[#This Row],[PRECIO DE VENTA]]</f>
        <v>1681</v>
      </c>
      <c r="U3348" s="2">
        <f>MASTER[[#This Row],[CANTIDAD]]*MASTER[[#This Row],[COSTO UNITARIO]]</f>
        <v>396</v>
      </c>
      <c r="V3348" s="2">
        <f>MASTER[[#This Row],[MONTO VENDIDO]]-MASTER[[#This Row],[COSTO DE VENTA]]</f>
        <v>1285</v>
      </c>
    </row>
    <row r="3349" spans="1:22" x14ac:dyDescent="0.3">
      <c r="A3349">
        <v>53051</v>
      </c>
      <c r="B3349">
        <v>1</v>
      </c>
      <c r="C3349" t="s">
        <v>105</v>
      </c>
      <c r="D3349" t="s">
        <v>106</v>
      </c>
      <c r="E3349" s="1">
        <v>44223</v>
      </c>
      <c r="F3349">
        <v>1</v>
      </c>
      <c r="G3349" t="s">
        <v>51</v>
      </c>
      <c r="H3349" t="s">
        <v>52</v>
      </c>
      <c r="I3349" s="3">
        <v>2033</v>
      </c>
      <c r="J3349" s="3">
        <v>2033</v>
      </c>
      <c r="K3349" s="3">
        <v>459</v>
      </c>
      <c r="L3349" t="s">
        <v>98</v>
      </c>
      <c r="M3349">
        <v>6</v>
      </c>
      <c r="N3349" t="s">
        <v>75</v>
      </c>
      <c r="O3349" t="s">
        <v>70</v>
      </c>
      <c r="P3349" t="s">
        <v>12</v>
      </c>
      <c r="Q3349" t="s">
        <v>13</v>
      </c>
      <c r="R3349" t="s">
        <v>13</v>
      </c>
      <c r="S3349" t="s">
        <v>144</v>
      </c>
      <c r="T3349" s="2">
        <f>MASTER[[#This Row],[CANTIDAD]]*MASTER[[#This Row],[PRECIO DE VENTA]]</f>
        <v>2033</v>
      </c>
      <c r="U3349" s="2">
        <f>MASTER[[#This Row],[CANTIDAD]]*MASTER[[#This Row],[COSTO UNITARIO]]</f>
        <v>459</v>
      </c>
      <c r="V3349" s="2">
        <f>MASTER[[#This Row],[MONTO VENDIDO]]-MASTER[[#This Row],[COSTO DE VENTA]]</f>
        <v>1574</v>
      </c>
    </row>
    <row r="3350" spans="1:22" x14ac:dyDescent="0.3">
      <c r="A3350">
        <v>53059</v>
      </c>
      <c r="B3350">
        <v>1</v>
      </c>
      <c r="C3350" t="s">
        <v>99</v>
      </c>
      <c r="D3350" t="s">
        <v>100</v>
      </c>
      <c r="E3350" s="1">
        <v>44223</v>
      </c>
      <c r="F3350">
        <v>1</v>
      </c>
      <c r="G3350" t="s">
        <v>7</v>
      </c>
      <c r="H3350" t="s">
        <v>8</v>
      </c>
      <c r="I3350" s="3">
        <v>1459</v>
      </c>
      <c r="J3350" s="3">
        <v>1459</v>
      </c>
      <c r="K3350" s="3">
        <v>386</v>
      </c>
      <c r="L3350" t="s">
        <v>98</v>
      </c>
      <c r="M3350">
        <v>19</v>
      </c>
      <c r="N3350" t="s">
        <v>89</v>
      </c>
      <c r="O3350" t="s">
        <v>81</v>
      </c>
      <c r="P3350" t="s">
        <v>15</v>
      </c>
      <c r="Q3350" t="s">
        <v>16</v>
      </c>
      <c r="R3350" t="s">
        <v>16</v>
      </c>
      <c r="S3350" t="s">
        <v>144</v>
      </c>
      <c r="T3350" s="2">
        <f>MASTER[[#This Row],[CANTIDAD]]*MASTER[[#This Row],[PRECIO DE VENTA]]</f>
        <v>1459</v>
      </c>
      <c r="U3350" s="2">
        <f>MASTER[[#This Row],[CANTIDAD]]*MASTER[[#This Row],[COSTO UNITARIO]]</f>
        <v>386</v>
      </c>
      <c r="V3350" s="2">
        <f>MASTER[[#This Row],[MONTO VENDIDO]]-MASTER[[#This Row],[COSTO DE VENTA]]</f>
        <v>1073</v>
      </c>
    </row>
    <row r="3351" spans="1:22" x14ac:dyDescent="0.3">
      <c r="A3351">
        <v>53069</v>
      </c>
      <c r="B3351">
        <v>1</v>
      </c>
      <c r="C3351" t="s">
        <v>109</v>
      </c>
      <c r="D3351" t="s">
        <v>110</v>
      </c>
      <c r="E3351" s="1">
        <v>44223</v>
      </c>
      <c r="F3351">
        <v>1</v>
      </c>
      <c r="G3351" t="s">
        <v>24</v>
      </c>
      <c r="H3351" t="s">
        <v>25</v>
      </c>
      <c r="I3351" s="3">
        <v>1128</v>
      </c>
      <c r="J3351" s="3">
        <v>1128</v>
      </c>
      <c r="K3351" s="3">
        <v>387</v>
      </c>
      <c r="L3351" t="s">
        <v>98</v>
      </c>
      <c r="M3351">
        <v>18</v>
      </c>
      <c r="N3351" t="s">
        <v>79</v>
      </c>
      <c r="O3351" t="s">
        <v>70</v>
      </c>
      <c r="P3351" t="s">
        <v>15</v>
      </c>
      <c r="Q3351" t="s">
        <v>16</v>
      </c>
      <c r="R3351" t="s">
        <v>16</v>
      </c>
      <c r="S3351" t="s">
        <v>144</v>
      </c>
      <c r="T3351" s="2">
        <f>MASTER[[#This Row],[CANTIDAD]]*MASTER[[#This Row],[PRECIO DE VENTA]]</f>
        <v>1128</v>
      </c>
      <c r="U3351" s="2">
        <f>MASTER[[#This Row],[CANTIDAD]]*MASTER[[#This Row],[COSTO UNITARIO]]</f>
        <v>387</v>
      </c>
      <c r="V3351" s="2">
        <f>MASTER[[#This Row],[MONTO VENDIDO]]-MASTER[[#This Row],[COSTO DE VENTA]]</f>
        <v>741</v>
      </c>
    </row>
    <row r="3352" spans="1:22" x14ac:dyDescent="0.3">
      <c r="A3352">
        <v>53077</v>
      </c>
      <c r="B3352">
        <v>1</v>
      </c>
      <c r="C3352" t="s">
        <v>121</v>
      </c>
      <c r="D3352" t="s">
        <v>122</v>
      </c>
      <c r="E3352" s="1">
        <v>44224</v>
      </c>
      <c r="F3352">
        <v>1</v>
      </c>
      <c r="G3352" t="s">
        <v>53</v>
      </c>
      <c r="H3352" t="s">
        <v>54</v>
      </c>
      <c r="I3352" s="3">
        <v>1144</v>
      </c>
      <c r="J3352" s="3">
        <v>1144</v>
      </c>
      <c r="K3352" s="3">
        <v>460</v>
      </c>
      <c r="L3352" t="s">
        <v>120</v>
      </c>
      <c r="M3352">
        <v>6</v>
      </c>
      <c r="N3352" t="s">
        <v>75</v>
      </c>
      <c r="O3352" t="s">
        <v>70</v>
      </c>
      <c r="P3352" t="s">
        <v>12</v>
      </c>
      <c r="Q3352" t="s">
        <v>13</v>
      </c>
      <c r="R3352" t="s">
        <v>13</v>
      </c>
      <c r="S3352" t="s">
        <v>144</v>
      </c>
      <c r="T3352" s="2">
        <f>MASTER[[#This Row],[CANTIDAD]]*MASTER[[#This Row],[PRECIO DE VENTA]]</f>
        <v>1144</v>
      </c>
      <c r="U3352" s="2">
        <f>MASTER[[#This Row],[CANTIDAD]]*MASTER[[#This Row],[COSTO UNITARIO]]</f>
        <v>460</v>
      </c>
      <c r="V3352" s="2">
        <f>MASTER[[#This Row],[MONTO VENDIDO]]-MASTER[[#This Row],[COSTO DE VENTA]]</f>
        <v>684</v>
      </c>
    </row>
    <row r="3353" spans="1:22" x14ac:dyDescent="0.3">
      <c r="A3353">
        <v>53080</v>
      </c>
      <c r="B3353">
        <v>1</v>
      </c>
      <c r="C3353" t="s">
        <v>90</v>
      </c>
      <c r="D3353" t="s">
        <v>91</v>
      </c>
      <c r="E3353" s="1">
        <v>44224</v>
      </c>
      <c r="F3353">
        <v>1</v>
      </c>
      <c r="G3353" t="s">
        <v>45</v>
      </c>
      <c r="H3353" t="s">
        <v>46</v>
      </c>
      <c r="I3353" s="3">
        <v>1844</v>
      </c>
      <c r="J3353" s="3">
        <v>1844</v>
      </c>
      <c r="K3353" s="3">
        <v>420</v>
      </c>
      <c r="L3353" t="s">
        <v>9</v>
      </c>
      <c r="M3353">
        <v>10</v>
      </c>
      <c r="N3353" t="s">
        <v>83</v>
      </c>
      <c r="O3353" t="s">
        <v>81</v>
      </c>
      <c r="P3353" t="s">
        <v>12</v>
      </c>
      <c r="Q3353" t="s">
        <v>13</v>
      </c>
      <c r="R3353" t="s">
        <v>13</v>
      </c>
      <c r="S3353" t="s">
        <v>144</v>
      </c>
      <c r="T3353" s="2">
        <f>MASTER[[#This Row],[CANTIDAD]]*MASTER[[#This Row],[PRECIO DE VENTA]]</f>
        <v>1844</v>
      </c>
      <c r="U3353" s="2">
        <f>MASTER[[#This Row],[CANTIDAD]]*MASTER[[#This Row],[COSTO UNITARIO]]</f>
        <v>420</v>
      </c>
      <c r="V3353" s="2">
        <f>MASTER[[#This Row],[MONTO VENDIDO]]-MASTER[[#This Row],[COSTO DE VENTA]]</f>
        <v>1424</v>
      </c>
    </row>
    <row r="3354" spans="1:22" x14ac:dyDescent="0.3">
      <c r="A3354">
        <v>53100</v>
      </c>
      <c r="B3354">
        <v>1</v>
      </c>
      <c r="C3354" t="s">
        <v>107</v>
      </c>
      <c r="D3354" t="s">
        <v>108</v>
      </c>
      <c r="E3354" s="1">
        <v>44224</v>
      </c>
      <c r="F3354">
        <v>1</v>
      </c>
      <c r="G3354" t="s">
        <v>73</v>
      </c>
      <c r="H3354" t="s">
        <v>74</v>
      </c>
      <c r="I3354" s="3">
        <v>1333</v>
      </c>
      <c r="J3354" s="3">
        <v>1333</v>
      </c>
      <c r="K3354" s="3">
        <v>380</v>
      </c>
      <c r="L3354" t="s">
        <v>98</v>
      </c>
      <c r="M3354">
        <v>14</v>
      </c>
      <c r="N3354" t="s">
        <v>87</v>
      </c>
      <c r="O3354" t="s">
        <v>81</v>
      </c>
      <c r="P3354" t="s">
        <v>18</v>
      </c>
      <c r="Q3354" t="s">
        <v>19</v>
      </c>
      <c r="R3354" t="s">
        <v>138</v>
      </c>
      <c r="S3354" t="s">
        <v>144</v>
      </c>
      <c r="T3354" s="2">
        <f>MASTER[[#This Row],[CANTIDAD]]*MASTER[[#This Row],[PRECIO DE VENTA]]</f>
        <v>1333</v>
      </c>
      <c r="U3354" s="2">
        <f>MASTER[[#This Row],[CANTIDAD]]*MASTER[[#This Row],[COSTO UNITARIO]]</f>
        <v>380</v>
      </c>
      <c r="V3354" s="2">
        <f>MASTER[[#This Row],[MONTO VENDIDO]]-MASTER[[#This Row],[COSTO DE VENTA]]</f>
        <v>953</v>
      </c>
    </row>
    <row r="3355" spans="1:22" x14ac:dyDescent="0.3">
      <c r="A3355">
        <v>53120</v>
      </c>
      <c r="B3355">
        <v>1</v>
      </c>
      <c r="C3355" t="s">
        <v>96</v>
      </c>
      <c r="D3355" t="s">
        <v>97</v>
      </c>
      <c r="E3355" s="1">
        <v>44224</v>
      </c>
      <c r="F3355">
        <v>1</v>
      </c>
      <c r="G3355" t="s">
        <v>27</v>
      </c>
      <c r="H3355" t="s">
        <v>28</v>
      </c>
      <c r="I3355" s="3">
        <v>1196</v>
      </c>
      <c r="J3355" s="3">
        <v>1196</v>
      </c>
      <c r="K3355" s="3">
        <v>397</v>
      </c>
      <c r="L3355" t="s">
        <v>98</v>
      </c>
      <c r="M3355">
        <v>12</v>
      </c>
      <c r="N3355" t="s">
        <v>26</v>
      </c>
      <c r="O3355" t="s">
        <v>11</v>
      </c>
      <c r="P3355" t="s">
        <v>12</v>
      </c>
      <c r="Q3355" t="s">
        <v>13</v>
      </c>
      <c r="R3355" t="s">
        <v>13</v>
      </c>
      <c r="S3355" t="s">
        <v>144</v>
      </c>
      <c r="T3355" s="2">
        <f>MASTER[[#This Row],[CANTIDAD]]*MASTER[[#This Row],[PRECIO DE VENTA]]</f>
        <v>1196</v>
      </c>
      <c r="U3355" s="2">
        <f>MASTER[[#This Row],[CANTIDAD]]*MASTER[[#This Row],[COSTO UNITARIO]]</f>
        <v>397</v>
      </c>
      <c r="V3355" s="2">
        <f>MASTER[[#This Row],[MONTO VENDIDO]]-MASTER[[#This Row],[COSTO DE VENTA]]</f>
        <v>799</v>
      </c>
    </row>
    <row r="3356" spans="1:22" x14ac:dyDescent="0.3">
      <c r="A3356">
        <v>53122</v>
      </c>
      <c r="B3356">
        <v>1</v>
      </c>
      <c r="C3356" t="s">
        <v>92</v>
      </c>
      <c r="D3356" t="s">
        <v>93</v>
      </c>
      <c r="E3356" s="1">
        <v>44224</v>
      </c>
      <c r="F3356">
        <v>1</v>
      </c>
      <c r="G3356" t="s">
        <v>55</v>
      </c>
      <c r="H3356" t="s">
        <v>56</v>
      </c>
      <c r="I3356" s="3">
        <v>1866</v>
      </c>
      <c r="J3356" s="3">
        <v>1866</v>
      </c>
      <c r="K3356" s="3">
        <v>396</v>
      </c>
      <c r="L3356" t="s">
        <v>9</v>
      </c>
      <c r="M3356">
        <v>13</v>
      </c>
      <c r="N3356" t="s">
        <v>78</v>
      </c>
      <c r="O3356" t="s">
        <v>70</v>
      </c>
      <c r="P3356" t="s">
        <v>18</v>
      </c>
      <c r="Q3356" t="s">
        <v>19</v>
      </c>
      <c r="R3356" t="s">
        <v>138</v>
      </c>
      <c r="S3356" t="s">
        <v>144</v>
      </c>
      <c r="T3356" s="2">
        <f>MASTER[[#This Row],[CANTIDAD]]*MASTER[[#This Row],[PRECIO DE VENTA]]</f>
        <v>1866</v>
      </c>
      <c r="U3356" s="2">
        <f>MASTER[[#This Row],[CANTIDAD]]*MASTER[[#This Row],[COSTO UNITARIO]]</f>
        <v>396</v>
      </c>
      <c r="V3356" s="2">
        <f>MASTER[[#This Row],[MONTO VENDIDO]]-MASTER[[#This Row],[COSTO DE VENTA]]</f>
        <v>1470</v>
      </c>
    </row>
    <row r="3357" spans="1:22" x14ac:dyDescent="0.3">
      <c r="A3357">
        <v>53158</v>
      </c>
      <c r="B3357">
        <v>1</v>
      </c>
      <c r="C3357" t="s">
        <v>103</v>
      </c>
      <c r="D3357" t="s">
        <v>104</v>
      </c>
      <c r="E3357" s="1">
        <v>44224</v>
      </c>
      <c r="F3357">
        <v>1</v>
      </c>
      <c r="G3357" t="s">
        <v>7</v>
      </c>
      <c r="H3357" t="s">
        <v>8</v>
      </c>
      <c r="I3357" s="3">
        <v>1830</v>
      </c>
      <c r="J3357" s="3">
        <v>1830</v>
      </c>
      <c r="K3357" s="3">
        <v>421</v>
      </c>
      <c r="L3357" t="s">
        <v>98</v>
      </c>
      <c r="M3357">
        <v>18</v>
      </c>
      <c r="N3357" t="s">
        <v>79</v>
      </c>
      <c r="O3357" t="s">
        <v>70</v>
      </c>
      <c r="P3357" t="s">
        <v>15</v>
      </c>
      <c r="Q3357" t="s">
        <v>16</v>
      </c>
      <c r="R3357" t="s">
        <v>16</v>
      </c>
      <c r="S3357" t="s">
        <v>144</v>
      </c>
      <c r="T3357" s="2">
        <f>MASTER[[#This Row],[CANTIDAD]]*MASTER[[#This Row],[PRECIO DE VENTA]]</f>
        <v>1830</v>
      </c>
      <c r="U3357" s="2">
        <f>MASTER[[#This Row],[CANTIDAD]]*MASTER[[#This Row],[COSTO UNITARIO]]</f>
        <v>421</v>
      </c>
      <c r="V3357" s="2">
        <f>MASTER[[#This Row],[MONTO VENDIDO]]-MASTER[[#This Row],[COSTO DE VENTA]]</f>
        <v>1409</v>
      </c>
    </row>
    <row r="3358" spans="1:22" x14ac:dyDescent="0.3">
      <c r="A3358">
        <v>53177</v>
      </c>
      <c r="B3358">
        <v>1</v>
      </c>
      <c r="C3358" t="s">
        <v>105</v>
      </c>
      <c r="D3358" t="s">
        <v>106</v>
      </c>
      <c r="E3358" s="1">
        <v>44224</v>
      </c>
      <c r="F3358">
        <v>1</v>
      </c>
      <c r="G3358" t="s">
        <v>27</v>
      </c>
      <c r="H3358" t="s">
        <v>28</v>
      </c>
      <c r="I3358" s="3">
        <v>2033</v>
      </c>
      <c r="J3358" s="3">
        <v>2033</v>
      </c>
      <c r="K3358" s="3">
        <v>459</v>
      </c>
      <c r="L3358" t="s">
        <v>98</v>
      </c>
      <c r="M3358">
        <v>18</v>
      </c>
      <c r="N3358" t="s">
        <v>79</v>
      </c>
      <c r="O3358" t="s">
        <v>70</v>
      </c>
      <c r="P3358" t="s">
        <v>15</v>
      </c>
      <c r="Q3358" t="s">
        <v>16</v>
      </c>
      <c r="R3358" t="s">
        <v>16</v>
      </c>
      <c r="S3358" t="s">
        <v>144</v>
      </c>
      <c r="T3358" s="2">
        <f>MASTER[[#This Row],[CANTIDAD]]*MASTER[[#This Row],[PRECIO DE VENTA]]</f>
        <v>2033</v>
      </c>
      <c r="U3358" s="2">
        <f>MASTER[[#This Row],[CANTIDAD]]*MASTER[[#This Row],[COSTO UNITARIO]]</f>
        <v>459</v>
      </c>
      <c r="V3358" s="2">
        <f>MASTER[[#This Row],[MONTO VENDIDO]]-MASTER[[#This Row],[COSTO DE VENTA]]</f>
        <v>1574</v>
      </c>
    </row>
    <row r="3359" spans="1:22" x14ac:dyDescent="0.3">
      <c r="A3359">
        <v>53194</v>
      </c>
      <c r="B3359">
        <v>1</v>
      </c>
      <c r="C3359" t="s">
        <v>5</v>
      </c>
      <c r="D3359" t="s">
        <v>6</v>
      </c>
      <c r="E3359" s="1">
        <v>44224</v>
      </c>
      <c r="F3359">
        <v>1</v>
      </c>
      <c r="G3359" t="s">
        <v>65</v>
      </c>
      <c r="H3359" t="s">
        <v>66</v>
      </c>
      <c r="I3359" s="3">
        <v>1507</v>
      </c>
      <c r="J3359" s="3">
        <v>1386</v>
      </c>
      <c r="K3359" s="3">
        <v>393</v>
      </c>
      <c r="L3359" t="s">
        <v>9</v>
      </c>
      <c r="M3359">
        <v>14</v>
      </c>
      <c r="N3359" t="s">
        <v>87</v>
      </c>
      <c r="O3359" t="s">
        <v>81</v>
      </c>
      <c r="P3359" t="s">
        <v>18</v>
      </c>
      <c r="Q3359" t="s">
        <v>19</v>
      </c>
      <c r="R3359" t="s">
        <v>138</v>
      </c>
      <c r="S3359" t="s">
        <v>144</v>
      </c>
      <c r="T3359" s="2">
        <f>MASTER[[#This Row],[CANTIDAD]]*MASTER[[#This Row],[PRECIO DE VENTA]]</f>
        <v>1386</v>
      </c>
      <c r="U3359" s="2">
        <f>MASTER[[#This Row],[CANTIDAD]]*MASTER[[#This Row],[COSTO UNITARIO]]</f>
        <v>393</v>
      </c>
      <c r="V3359" s="2">
        <f>MASTER[[#This Row],[MONTO VENDIDO]]-MASTER[[#This Row],[COSTO DE VENTA]]</f>
        <v>993</v>
      </c>
    </row>
    <row r="3360" spans="1:22" x14ac:dyDescent="0.3">
      <c r="A3360">
        <v>53197</v>
      </c>
      <c r="B3360">
        <v>1</v>
      </c>
      <c r="C3360" t="s">
        <v>109</v>
      </c>
      <c r="D3360" t="s">
        <v>110</v>
      </c>
      <c r="E3360" s="1">
        <v>44224</v>
      </c>
      <c r="F3360">
        <v>1</v>
      </c>
      <c r="G3360" t="s">
        <v>57</v>
      </c>
      <c r="H3360" t="s">
        <v>58</v>
      </c>
      <c r="I3360" s="3">
        <v>1128</v>
      </c>
      <c r="J3360" s="3">
        <v>1128</v>
      </c>
      <c r="K3360" s="3">
        <v>387</v>
      </c>
      <c r="L3360" t="s">
        <v>98</v>
      </c>
      <c r="M3360">
        <v>9</v>
      </c>
      <c r="N3360" t="s">
        <v>76</v>
      </c>
      <c r="O3360" t="s">
        <v>70</v>
      </c>
      <c r="P3360" t="s">
        <v>12</v>
      </c>
      <c r="Q3360" t="s">
        <v>13</v>
      </c>
      <c r="R3360" t="s">
        <v>13</v>
      </c>
      <c r="S3360" t="s">
        <v>144</v>
      </c>
      <c r="T3360" s="2">
        <f>MASTER[[#This Row],[CANTIDAD]]*MASTER[[#This Row],[PRECIO DE VENTA]]</f>
        <v>1128</v>
      </c>
      <c r="U3360" s="2">
        <f>MASTER[[#This Row],[CANTIDAD]]*MASTER[[#This Row],[COSTO UNITARIO]]</f>
        <v>387</v>
      </c>
      <c r="V3360" s="2">
        <f>MASTER[[#This Row],[MONTO VENDIDO]]-MASTER[[#This Row],[COSTO DE VENTA]]</f>
        <v>741</v>
      </c>
    </row>
    <row r="3361" spans="1:22" x14ac:dyDescent="0.3">
      <c r="A3361">
        <v>53206</v>
      </c>
      <c r="B3361">
        <v>1</v>
      </c>
      <c r="C3361" t="s">
        <v>116</v>
      </c>
      <c r="D3361" t="s">
        <v>117</v>
      </c>
      <c r="E3361" s="1">
        <v>44224</v>
      </c>
      <c r="F3361">
        <v>1</v>
      </c>
      <c r="G3361" t="s">
        <v>49</v>
      </c>
      <c r="H3361" t="s">
        <v>50</v>
      </c>
      <c r="I3361" s="3">
        <v>1738</v>
      </c>
      <c r="J3361" s="3">
        <v>1668</v>
      </c>
      <c r="K3361" s="3">
        <v>388</v>
      </c>
      <c r="L3361" t="s">
        <v>113</v>
      </c>
      <c r="M3361">
        <v>8</v>
      </c>
      <c r="N3361" t="s">
        <v>80</v>
      </c>
      <c r="O3361" t="s">
        <v>81</v>
      </c>
      <c r="P3361" t="s">
        <v>12</v>
      </c>
      <c r="Q3361" t="s">
        <v>13</v>
      </c>
      <c r="R3361" t="s">
        <v>13</v>
      </c>
      <c r="S3361" t="s">
        <v>144</v>
      </c>
      <c r="T3361" s="2">
        <f>MASTER[[#This Row],[CANTIDAD]]*MASTER[[#This Row],[PRECIO DE VENTA]]</f>
        <v>1668</v>
      </c>
      <c r="U3361" s="2">
        <f>MASTER[[#This Row],[CANTIDAD]]*MASTER[[#This Row],[COSTO UNITARIO]]</f>
        <v>388</v>
      </c>
      <c r="V3361" s="2">
        <f>MASTER[[#This Row],[MONTO VENDIDO]]-MASTER[[#This Row],[COSTO DE VENTA]]</f>
        <v>1280</v>
      </c>
    </row>
    <row r="3362" spans="1:22" x14ac:dyDescent="0.3">
      <c r="A3362">
        <v>53228</v>
      </c>
      <c r="B3362">
        <v>1</v>
      </c>
      <c r="C3362" t="s">
        <v>118</v>
      </c>
      <c r="D3362" t="s">
        <v>119</v>
      </c>
      <c r="E3362" s="1">
        <v>44224</v>
      </c>
      <c r="F3362">
        <v>1</v>
      </c>
      <c r="G3362" t="s">
        <v>61</v>
      </c>
      <c r="H3362" t="s">
        <v>62</v>
      </c>
      <c r="I3362" s="3">
        <v>1026</v>
      </c>
      <c r="J3362" s="3">
        <v>1026</v>
      </c>
      <c r="K3362" s="3">
        <v>424</v>
      </c>
      <c r="L3362" t="s">
        <v>120</v>
      </c>
      <c r="M3362">
        <v>1</v>
      </c>
      <c r="N3362" t="s">
        <v>77</v>
      </c>
      <c r="O3362" t="s">
        <v>70</v>
      </c>
      <c r="P3362" t="s">
        <v>71</v>
      </c>
      <c r="Q3362" t="s">
        <v>72</v>
      </c>
      <c r="R3362" t="s">
        <v>139</v>
      </c>
      <c r="S3362" t="s">
        <v>144</v>
      </c>
      <c r="T3362" s="2">
        <f>MASTER[[#This Row],[CANTIDAD]]*MASTER[[#This Row],[PRECIO DE VENTA]]</f>
        <v>1026</v>
      </c>
      <c r="U3362" s="2">
        <f>MASTER[[#This Row],[CANTIDAD]]*MASTER[[#This Row],[COSTO UNITARIO]]</f>
        <v>424</v>
      </c>
      <c r="V3362" s="2">
        <f>MASTER[[#This Row],[MONTO VENDIDO]]-MASTER[[#This Row],[COSTO DE VENTA]]</f>
        <v>602</v>
      </c>
    </row>
    <row r="3363" spans="1:22" x14ac:dyDescent="0.3">
      <c r="A3363">
        <v>53257</v>
      </c>
      <c r="B3363">
        <v>1</v>
      </c>
      <c r="C3363" t="s">
        <v>90</v>
      </c>
      <c r="D3363" t="s">
        <v>91</v>
      </c>
      <c r="E3363" s="1">
        <v>44224</v>
      </c>
      <c r="F3363">
        <v>1</v>
      </c>
      <c r="G3363" t="s">
        <v>53</v>
      </c>
      <c r="H3363" t="s">
        <v>54</v>
      </c>
      <c r="I3363" s="3">
        <v>1660</v>
      </c>
      <c r="J3363" s="3">
        <v>1527</v>
      </c>
      <c r="K3363" s="3">
        <v>420</v>
      </c>
      <c r="L3363" t="s">
        <v>9</v>
      </c>
      <c r="M3363">
        <v>11</v>
      </c>
      <c r="N3363" t="s">
        <v>10</v>
      </c>
      <c r="O3363" t="s">
        <v>11</v>
      </c>
      <c r="P3363" t="s">
        <v>12</v>
      </c>
      <c r="Q3363" t="s">
        <v>13</v>
      </c>
      <c r="R3363" t="s">
        <v>13</v>
      </c>
      <c r="S3363" t="s">
        <v>144</v>
      </c>
      <c r="T3363" s="2">
        <f>MASTER[[#This Row],[CANTIDAD]]*MASTER[[#This Row],[PRECIO DE VENTA]]</f>
        <v>1527</v>
      </c>
      <c r="U3363" s="2">
        <f>MASTER[[#This Row],[CANTIDAD]]*MASTER[[#This Row],[COSTO UNITARIO]]</f>
        <v>420</v>
      </c>
      <c r="V3363" s="2">
        <f>MASTER[[#This Row],[MONTO VENDIDO]]-MASTER[[#This Row],[COSTO DE VENTA]]</f>
        <v>1107</v>
      </c>
    </row>
    <row r="3364" spans="1:22" x14ac:dyDescent="0.3">
      <c r="A3364">
        <v>53262</v>
      </c>
      <c r="B3364">
        <v>1</v>
      </c>
      <c r="C3364" t="s">
        <v>118</v>
      </c>
      <c r="D3364" t="s">
        <v>119</v>
      </c>
      <c r="E3364" s="1">
        <v>44225</v>
      </c>
      <c r="F3364">
        <v>1</v>
      </c>
      <c r="G3364" t="s">
        <v>73</v>
      </c>
      <c r="H3364" t="s">
        <v>74</v>
      </c>
      <c r="I3364" s="3">
        <v>900</v>
      </c>
      <c r="J3364" s="3">
        <v>864</v>
      </c>
      <c r="K3364" s="3">
        <v>424</v>
      </c>
      <c r="L3364" t="s">
        <v>120</v>
      </c>
      <c r="M3364">
        <v>4</v>
      </c>
      <c r="N3364" t="s">
        <v>82</v>
      </c>
      <c r="O3364" t="s">
        <v>81</v>
      </c>
      <c r="P3364" t="s">
        <v>71</v>
      </c>
      <c r="Q3364" t="s">
        <v>72</v>
      </c>
      <c r="R3364" t="s">
        <v>139</v>
      </c>
      <c r="S3364" t="s">
        <v>144</v>
      </c>
      <c r="T3364" s="2">
        <f>MASTER[[#This Row],[CANTIDAD]]*MASTER[[#This Row],[PRECIO DE VENTA]]</f>
        <v>864</v>
      </c>
      <c r="U3364" s="2">
        <f>MASTER[[#This Row],[CANTIDAD]]*MASTER[[#This Row],[COSTO UNITARIO]]</f>
        <v>424</v>
      </c>
      <c r="V3364" s="2">
        <f>MASTER[[#This Row],[MONTO VENDIDO]]-MASTER[[#This Row],[COSTO DE VENTA]]</f>
        <v>440</v>
      </c>
    </row>
    <row r="3365" spans="1:22" x14ac:dyDescent="0.3">
      <c r="A3365">
        <v>53269</v>
      </c>
      <c r="B3365">
        <v>1</v>
      </c>
      <c r="C3365" t="s">
        <v>121</v>
      </c>
      <c r="D3365" t="s">
        <v>122</v>
      </c>
      <c r="E3365" s="1">
        <v>44225</v>
      </c>
      <c r="F3365">
        <v>1</v>
      </c>
      <c r="G3365" t="s">
        <v>29</v>
      </c>
      <c r="H3365" t="s">
        <v>30</v>
      </c>
      <c r="I3365" s="3">
        <v>1069</v>
      </c>
      <c r="J3365" s="3">
        <v>983</v>
      </c>
      <c r="K3365" s="3">
        <v>460</v>
      </c>
      <c r="L3365" t="s">
        <v>120</v>
      </c>
      <c r="M3365">
        <v>2</v>
      </c>
      <c r="N3365" t="s">
        <v>86</v>
      </c>
      <c r="O3365" t="s">
        <v>81</v>
      </c>
      <c r="P3365" t="s">
        <v>71</v>
      </c>
      <c r="Q3365" t="s">
        <v>72</v>
      </c>
      <c r="R3365" t="s">
        <v>139</v>
      </c>
      <c r="S3365" t="s">
        <v>144</v>
      </c>
      <c r="T3365" s="2">
        <f>MASTER[[#This Row],[CANTIDAD]]*MASTER[[#This Row],[PRECIO DE VENTA]]</f>
        <v>983</v>
      </c>
      <c r="U3365" s="2">
        <f>MASTER[[#This Row],[CANTIDAD]]*MASTER[[#This Row],[COSTO UNITARIO]]</f>
        <v>460</v>
      </c>
      <c r="V3365" s="2">
        <f>MASTER[[#This Row],[MONTO VENDIDO]]-MASTER[[#This Row],[COSTO DE VENTA]]</f>
        <v>523</v>
      </c>
    </row>
    <row r="3366" spans="1:22" x14ac:dyDescent="0.3">
      <c r="A3366">
        <v>53285</v>
      </c>
      <c r="B3366">
        <v>1</v>
      </c>
      <c r="C3366" t="s">
        <v>121</v>
      </c>
      <c r="D3366" t="s">
        <v>122</v>
      </c>
      <c r="E3366" s="1">
        <v>44225</v>
      </c>
      <c r="F3366">
        <v>1</v>
      </c>
      <c r="G3366" t="s">
        <v>31</v>
      </c>
      <c r="H3366" t="s">
        <v>32</v>
      </c>
      <c r="I3366" s="3">
        <v>941</v>
      </c>
      <c r="J3366" s="3">
        <v>846</v>
      </c>
      <c r="K3366" s="3">
        <v>460</v>
      </c>
      <c r="L3366" t="s">
        <v>120</v>
      </c>
      <c r="M3366">
        <v>17</v>
      </c>
      <c r="N3366" t="s">
        <v>14</v>
      </c>
      <c r="O3366" t="s">
        <v>11</v>
      </c>
      <c r="P3366" t="s">
        <v>15</v>
      </c>
      <c r="Q3366" t="s">
        <v>16</v>
      </c>
      <c r="R3366" t="s">
        <v>16</v>
      </c>
      <c r="S3366" t="s">
        <v>144</v>
      </c>
      <c r="T3366" s="2">
        <f>MASTER[[#This Row],[CANTIDAD]]*MASTER[[#This Row],[PRECIO DE VENTA]]</f>
        <v>846</v>
      </c>
      <c r="U3366" s="2">
        <f>MASTER[[#This Row],[CANTIDAD]]*MASTER[[#This Row],[COSTO UNITARIO]]</f>
        <v>460</v>
      </c>
      <c r="V3366" s="2">
        <f>MASTER[[#This Row],[MONTO VENDIDO]]-MASTER[[#This Row],[COSTO DE VENTA]]</f>
        <v>386</v>
      </c>
    </row>
    <row r="3367" spans="1:22" x14ac:dyDescent="0.3">
      <c r="A3367">
        <v>53286</v>
      </c>
      <c r="B3367">
        <v>1</v>
      </c>
      <c r="C3367" t="s">
        <v>116</v>
      </c>
      <c r="D3367" t="s">
        <v>117</v>
      </c>
      <c r="E3367" s="1">
        <v>44225</v>
      </c>
      <c r="F3367">
        <v>1</v>
      </c>
      <c r="G3367" t="s">
        <v>47</v>
      </c>
      <c r="H3367" t="s">
        <v>48</v>
      </c>
      <c r="I3367" s="3">
        <v>1738</v>
      </c>
      <c r="J3367" s="3">
        <v>1738</v>
      </c>
      <c r="K3367" s="3">
        <v>388</v>
      </c>
      <c r="L3367" t="s">
        <v>113</v>
      </c>
      <c r="M3367">
        <v>8</v>
      </c>
      <c r="N3367" t="s">
        <v>80</v>
      </c>
      <c r="O3367" t="s">
        <v>81</v>
      </c>
      <c r="P3367" t="s">
        <v>12</v>
      </c>
      <c r="Q3367" t="s">
        <v>13</v>
      </c>
      <c r="R3367" t="s">
        <v>13</v>
      </c>
      <c r="S3367" t="s">
        <v>144</v>
      </c>
      <c r="T3367" s="2">
        <f>MASTER[[#This Row],[CANTIDAD]]*MASTER[[#This Row],[PRECIO DE VENTA]]</f>
        <v>1738</v>
      </c>
      <c r="U3367" s="2">
        <f>MASTER[[#This Row],[CANTIDAD]]*MASTER[[#This Row],[COSTO UNITARIO]]</f>
        <v>388</v>
      </c>
      <c r="V3367" s="2">
        <f>MASTER[[#This Row],[MONTO VENDIDO]]-MASTER[[#This Row],[COSTO DE VENTA]]</f>
        <v>1350</v>
      </c>
    </row>
    <row r="3368" spans="1:22" x14ac:dyDescent="0.3">
      <c r="A3368">
        <v>53292</v>
      </c>
      <c r="B3368">
        <v>1</v>
      </c>
      <c r="C3368" t="s">
        <v>118</v>
      </c>
      <c r="D3368" t="s">
        <v>119</v>
      </c>
      <c r="E3368" s="1">
        <v>44225</v>
      </c>
      <c r="F3368">
        <v>1</v>
      </c>
      <c r="G3368" t="s">
        <v>27</v>
      </c>
      <c r="H3368" t="s">
        <v>28</v>
      </c>
      <c r="I3368" s="3">
        <v>1026</v>
      </c>
      <c r="J3368" s="3">
        <v>1026</v>
      </c>
      <c r="K3368" s="3">
        <v>424</v>
      </c>
      <c r="L3368" t="s">
        <v>120</v>
      </c>
      <c r="M3368">
        <v>18</v>
      </c>
      <c r="N3368" t="s">
        <v>79</v>
      </c>
      <c r="O3368" t="s">
        <v>70</v>
      </c>
      <c r="P3368" t="s">
        <v>15</v>
      </c>
      <c r="Q3368" t="s">
        <v>16</v>
      </c>
      <c r="R3368" t="s">
        <v>16</v>
      </c>
      <c r="S3368" t="s">
        <v>144</v>
      </c>
      <c r="T3368" s="2">
        <f>MASTER[[#This Row],[CANTIDAD]]*MASTER[[#This Row],[PRECIO DE VENTA]]</f>
        <v>1026</v>
      </c>
      <c r="U3368" s="2">
        <f>MASTER[[#This Row],[CANTIDAD]]*MASTER[[#This Row],[COSTO UNITARIO]]</f>
        <v>424</v>
      </c>
      <c r="V3368" s="2">
        <f>MASTER[[#This Row],[MONTO VENDIDO]]-MASTER[[#This Row],[COSTO DE VENTA]]</f>
        <v>602</v>
      </c>
    </row>
    <row r="3369" spans="1:22" x14ac:dyDescent="0.3">
      <c r="A3369">
        <v>53305</v>
      </c>
      <c r="B3369">
        <v>1</v>
      </c>
      <c r="C3369" t="s">
        <v>107</v>
      </c>
      <c r="D3369" t="s">
        <v>108</v>
      </c>
      <c r="E3369" s="1">
        <v>44225</v>
      </c>
      <c r="F3369">
        <v>1</v>
      </c>
      <c r="G3369" t="s">
        <v>67</v>
      </c>
      <c r="H3369" t="s">
        <v>68</v>
      </c>
      <c r="I3369" s="3">
        <v>1440</v>
      </c>
      <c r="J3369" s="3">
        <v>1440</v>
      </c>
      <c r="K3369" s="3">
        <v>380</v>
      </c>
      <c r="L3369" t="s">
        <v>98</v>
      </c>
      <c r="M3369">
        <v>1</v>
      </c>
      <c r="N3369" t="s">
        <v>77</v>
      </c>
      <c r="O3369" t="s">
        <v>70</v>
      </c>
      <c r="P3369" t="s">
        <v>71</v>
      </c>
      <c r="Q3369" t="s">
        <v>72</v>
      </c>
      <c r="R3369" t="s">
        <v>139</v>
      </c>
      <c r="S3369" t="s">
        <v>144</v>
      </c>
      <c r="T3369" s="2">
        <f>MASTER[[#This Row],[CANTIDAD]]*MASTER[[#This Row],[PRECIO DE VENTA]]</f>
        <v>1440</v>
      </c>
      <c r="U3369" s="2">
        <f>MASTER[[#This Row],[CANTIDAD]]*MASTER[[#This Row],[COSTO UNITARIO]]</f>
        <v>380</v>
      </c>
      <c r="V3369" s="2">
        <f>MASTER[[#This Row],[MONTO VENDIDO]]-MASTER[[#This Row],[COSTO DE VENTA]]</f>
        <v>1060</v>
      </c>
    </row>
    <row r="3370" spans="1:22" x14ac:dyDescent="0.3">
      <c r="A3370">
        <v>53321</v>
      </c>
      <c r="B3370">
        <v>1</v>
      </c>
      <c r="C3370" t="s">
        <v>109</v>
      </c>
      <c r="D3370" t="s">
        <v>110</v>
      </c>
      <c r="E3370" s="1">
        <v>44225</v>
      </c>
      <c r="F3370">
        <v>1</v>
      </c>
      <c r="G3370" t="s">
        <v>65</v>
      </c>
      <c r="H3370" t="s">
        <v>66</v>
      </c>
      <c r="I3370" s="3">
        <v>1128</v>
      </c>
      <c r="J3370" s="3">
        <v>1128</v>
      </c>
      <c r="K3370" s="3">
        <v>387</v>
      </c>
      <c r="L3370" t="s">
        <v>98</v>
      </c>
      <c r="M3370">
        <v>18</v>
      </c>
      <c r="N3370" t="s">
        <v>79</v>
      </c>
      <c r="O3370" t="s">
        <v>70</v>
      </c>
      <c r="P3370" t="s">
        <v>15</v>
      </c>
      <c r="Q3370" t="s">
        <v>16</v>
      </c>
      <c r="R3370" t="s">
        <v>16</v>
      </c>
      <c r="S3370" t="s">
        <v>144</v>
      </c>
      <c r="T3370" s="2">
        <f>MASTER[[#This Row],[CANTIDAD]]*MASTER[[#This Row],[PRECIO DE VENTA]]</f>
        <v>1128</v>
      </c>
      <c r="U3370" s="2">
        <f>MASTER[[#This Row],[CANTIDAD]]*MASTER[[#This Row],[COSTO UNITARIO]]</f>
        <v>387</v>
      </c>
      <c r="V3370" s="2">
        <f>MASTER[[#This Row],[MONTO VENDIDO]]-MASTER[[#This Row],[COSTO DE VENTA]]</f>
        <v>741</v>
      </c>
    </row>
    <row r="3371" spans="1:22" x14ac:dyDescent="0.3">
      <c r="A3371">
        <v>53322</v>
      </c>
      <c r="B3371">
        <v>1</v>
      </c>
      <c r="C3371" t="s">
        <v>109</v>
      </c>
      <c r="D3371" t="s">
        <v>110</v>
      </c>
      <c r="E3371" s="1">
        <v>44225</v>
      </c>
      <c r="F3371">
        <v>1</v>
      </c>
      <c r="G3371" t="s">
        <v>27</v>
      </c>
      <c r="H3371" t="s">
        <v>28</v>
      </c>
      <c r="I3371" s="3">
        <v>1128</v>
      </c>
      <c r="J3371" s="3">
        <v>1128</v>
      </c>
      <c r="K3371" s="3">
        <v>387</v>
      </c>
      <c r="L3371" t="s">
        <v>98</v>
      </c>
      <c r="M3371">
        <v>1</v>
      </c>
      <c r="N3371" t="s">
        <v>77</v>
      </c>
      <c r="O3371" t="s">
        <v>70</v>
      </c>
      <c r="P3371" t="s">
        <v>71</v>
      </c>
      <c r="Q3371" t="s">
        <v>72</v>
      </c>
      <c r="R3371" t="s">
        <v>139</v>
      </c>
      <c r="S3371" t="s">
        <v>144</v>
      </c>
      <c r="T3371" s="2">
        <f>MASTER[[#This Row],[CANTIDAD]]*MASTER[[#This Row],[PRECIO DE VENTA]]</f>
        <v>1128</v>
      </c>
      <c r="U3371" s="2">
        <f>MASTER[[#This Row],[CANTIDAD]]*MASTER[[#This Row],[COSTO UNITARIO]]</f>
        <v>387</v>
      </c>
      <c r="V3371" s="2">
        <f>MASTER[[#This Row],[MONTO VENDIDO]]-MASTER[[#This Row],[COSTO DE VENTA]]</f>
        <v>741</v>
      </c>
    </row>
    <row r="3372" spans="1:22" x14ac:dyDescent="0.3">
      <c r="A3372">
        <v>53334</v>
      </c>
      <c r="B3372">
        <v>1</v>
      </c>
      <c r="C3372" t="s">
        <v>5</v>
      </c>
      <c r="D3372" t="s">
        <v>6</v>
      </c>
      <c r="E3372" s="1">
        <v>44225</v>
      </c>
      <c r="F3372">
        <v>1</v>
      </c>
      <c r="G3372" t="s">
        <v>39</v>
      </c>
      <c r="H3372" t="s">
        <v>40</v>
      </c>
      <c r="I3372" s="3">
        <v>1296</v>
      </c>
      <c r="J3372" s="3">
        <v>1205</v>
      </c>
      <c r="K3372" s="3">
        <v>393</v>
      </c>
      <c r="L3372" t="s">
        <v>9</v>
      </c>
      <c r="M3372">
        <v>9</v>
      </c>
      <c r="N3372" t="s">
        <v>76</v>
      </c>
      <c r="O3372" t="s">
        <v>70</v>
      </c>
      <c r="P3372" t="s">
        <v>12</v>
      </c>
      <c r="Q3372" t="s">
        <v>13</v>
      </c>
      <c r="R3372" t="s">
        <v>13</v>
      </c>
      <c r="S3372" t="s">
        <v>144</v>
      </c>
      <c r="T3372" s="2">
        <f>MASTER[[#This Row],[CANTIDAD]]*MASTER[[#This Row],[PRECIO DE VENTA]]</f>
        <v>1205</v>
      </c>
      <c r="U3372" s="2">
        <f>MASTER[[#This Row],[CANTIDAD]]*MASTER[[#This Row],[COSTO UNITARIO]]</f>
        <v>393</v>
      </c>
      <c r="V3372" s="2">
        <f>MASTER[[#This Row],[MONTO VENDIDO]]-MASTER[[#This Row],[COSTO DE VENTA]]</f>
        <v>812</v>
      </c>
    </row>
    <row r="3373" spans="1:22" x14ac:dyDescent="0.3">
      <c r="A3373">
        <v>53364</v>
      </c>
      <c r="B3373">
        <v>1</v>
      </c>
      <c r="C3373" t="s">
        <v>92</v>
      </c>
      <c r="D3373" t="s">
        <v>93</v>
      </c>
      <c r="E3373" s="1">
        <v>44225</v>
      </c>
      <c r="F3373">
        <v>1</v>
      </c>
      <c r="G3373" t="s">
        <v>33</v>
      </c>
      <c r="H3373" t="s">
        <v>34</v>
      </c>
      <c r="I3373" s="3">
        <v>1681</v>
      </c>
      <c r="J3373" s="3">
        <v>1681</v>
      </c>
      <c r="K3373" s="3">
        <v>396</v>
      </c>
      <c r="L3373" t="s">
        <v>9</v>
      </c>
      <c r="M3373">
        <v>14</v>
      </c>
      <c r="N3373" t="s">
        <v>87</v>
      </c>
      <c r="O3373" t="s">
        <v>81</v>
      </c>
      <c r="P3373" t="s">
        <v>18</v>
      </c>
      <c r="Q3373" t="s">
        <v>19</v>
      </c>
      <c r="R3373" t="s">
        <v>138</v>
      </c>
      <c r="S3373" t="s">
        <v>144</v>
      </c>
      <c r="T3373" s="2">
        <f>MASTER[[#This Row],[CANTIDAD]]*MASTER[[#This Row],[PRECIO DE VENTA]]</f>
        <v>1681</v>
      </c>
      <c r="U3373" s="2">
        <f>MASTER[[#This Row],[CANTIDAD]]*MASTER[[#This Row],[COSTO UNITARIO]]</f>
        <v>396</v>
      </c>
      <c r="V3373" s="2">
        <f>MASTER[[#This Row],[MONTO VENDIDO]]-MASTER[[#This Row],[COSTO DE VENTA]]</f>
        <v>1285</v>
      </c>
    </row>
    <row r="3374" spans="1:22" x14ac:dyDescent="0.3">
      <c r="A3374">
        <v>53378</v>
      </c>
      <c r="B3374">
        <v>1</v>
      </c>
      <c r="C3374" t="s">
        <v>96</v>
      </c>
      <c r="D3374" t="s">
        <v>97</v>
      </c>
      <c r="E3374" s="1">
        <v>44225</v>
      </c>
      <c r="F3374">
        <v>1</v>
      </c>
      <c r="G3374" t="s">
        <v>59</v>
      </c>
      <c r="H3374" t="s">
        <v>60</v>
      </c>
      <c r="I3374" s="3">
        <v>1196</v>
      </c>
      <c r="J3374" s="3">
        <v>1196</v>
      </c>
      <c r="K3374" s="3">
        <v>397</v>
      </c>
      <c r="L3374" t="s">
        <v>98</v>
      </c>
      <c r="M3374">
        <v>11</v>
      </c>
      <c r="N3374" t="s">
        <v>10</v>
      </c>
      <c r="O3374" t="s">
        <v>11</v>
      </c>
      <c r="P3374" t="s">
        <v>12</v>
      </c>
      <c r="Q3374" t="s">
        <v>13</v>
      </c>
      <c r="R3374" t="s">
        <v>13</v>
      </c>
      <c r="S3374" t="s">
        <v>144</v>
      </c>
      <c r="T3374" s="2">
        <f>MASTER[[#This Row],[CANTIDAD]]*MASTER[[#This Row],[PRECIO DE VENTA]]</f>
        <v>1196</v>
      </c>
      <c r="U3374" s="2">
        <f>MASTER[[#This Row],[CANTIDAD]]*MASTER[[#This Row],[COSTO UNITARIO]]</f>
        <v>397</v>
      </c>
      <c r="V3374" s="2">
        <f>MASTER[[#This Row],[MONTO VENDIDO]]-MASTER[[#This Row],[COSTO DE VENTA]]</f>
        <v>799</v>
      </c>
    </row>
    <row r="3375" spans="1:22" x14ac:dyDescent="0.3">
      <c r="A3375">
        <v>53384</v>
      </c>
      <c r="B3375">
        <v>1</v>
      </c>
      <c r="C3375" t="s">
        <v>101</v>
      </c>
      <c r="D3375" t="s">
        <v>102</v>
      </c>
      <c r="E3375" s="1">
        <v>44225</v>
      </c>
      <c r="F3375">
        <v>1</v>
      </c>
      <c r="G3375" t="s">
        <v>39</v>
      </c>
      <c r="H3375" t="s">
        <v>40</v>
      </c>
      <c r="I3375" s="3">
        <v>1357</v>
      </c>
      <c r="J3375" s="3">
        <v>1357</v>
      </c>
      <c r="K3375" s="3">
        <v>442</v>
      </c>
      <c r="L3375" t="s">
        <v>98</v>
      </c>
      <c r="M3375">
        <v>1</v>
      </c>
      <c r="N3375" t="s">
        <v>77</v>
      </c>
      <c r="O3375" t="s">
        <v>70</v>
      </c>
      <c r="P3375" t="s">
        <v>71</v>
      </c>
      <c r="Q3375" t="s">
        <v>72</v>
      </c>
      <c r="R3375" t="s">
        <v>139</v>
      </c>
      <c r="S3375" t="s">
        <v>144</v>
      </c>
      <c r="T3375" s="2">
        <f>MASTER[[#This Row],[CANTIDAD]]*MASTER[[#This Row],[PRECIO DE VENTA]]</f>
        <v>1357</v>
      </c>
      <c r="U3375" s="2">
        <f>MASTER[[#This Row],[CANTIDAD]]*MASTER[[#This Row],[COSTO UNITARIO]]</f>
        <v>442</v>
      </c>
      <c r="V3375" s="2">
        <f>MASTER[[#This Row],[MONTO VENDIDO]]-MASTER[[#This Row],[COSTO DE VENTA]]</f>
        <v>915</v>
      </c>
    </row>
    <row r="3376" spans="1:22" x14ac:dyDescent="0.3">
      <c r="A3376">
        <v>53387</v>
      </c>
      <c r="B3376">
        <v>1</v>
      </c>
      <c r="C3376" t="s">
        <v>5</v>
      </c>
      <c r="D3376" t="s">
        <v>6</v>
      </c>
      <c r="E3376" s="1">
        <v>44225</v>
      </c>
      <c r="F3376">
        <v>1</v>
      </c>
      <c r="G3376" t="s">
        <v>57</v>
      </c>
      <c r="H3376" t="s">
        <v>58</v>
      </c>
      <c r="I3376" s="3">
        <v>1507</v>
      </c>
      <c r="J3376" s="3">
        <v>1507</v>
      </c>
      <c r="K3376" s="3">
        <v>393</v>
      </c>
      <c r="L3376" t="s">
        <v>9</v>
      </c>
      <c r="M3376">
        <v>5</v>
      </c>
      <c r="N3376" t="s">
        <v>85</v>
      </c>
      <c r="O3376" t="s">
        <v>81</v>
      </c>
      <c r="P3376" t="s">
        <v>12</v>
      </c>
      <c r="Q3376" t="s">
        <v>13</v>
      </c>
      <c r="R3376" t="s">
        <v>13</v>
      </c>
      <c r="S3376" t="s">
        <v>144</v>
      </c>
      <c r="T3376" s="2">
        <f>MASTER[[#This Row],[CANTIDAD]]*MASTER[[#This Row],[PRECIO DE VENTA]]</f>
        <v>1507</v>
      </c>
      <c r="U3376" s="2">
        <f>MASTER[[#This Row],[CANTIDAD]]*MASTER[[#This Row],[COSTO UNITARIO]]</f>
        <v>393</v>
      </c>
      <c r="V3376" s="2">
        <f>MASTER[[#This Row],[MONTO VENDIDO]]-MASTER[[#This Row],[COSTO DE VENTA]]</f>
        <v>1114</v>
      </c>
    </row>
    <row r="3377" spans="1:22" x14ac:dyDescent="0.3">
      <c r="A3377">
        <v>53426</v>
      </c>
      <c r="B3377">
        <v>1</v>
      </c>
      <c r="C3377" t="s">
        <v>96</v>
      </c>
      <c r="D3377" t="s">
        <v>97</v>
      </c>
      <c r="E3377" s="1">
        <v>44225</v>
      </c>
      <c r="F3377">
        <v>1</v>
      </c>
      <c r="G3377" t="s">
        <v>49</v>
      </c>
      <c r="H3377" t="s">
        <v>50</v>
      </c>
      <c r="I3377" s="3">
        <v>1361</v>
      </c>
      <c r="J3377" s="3">
        <v>1361</v>
      </c>
      <c r="K3377" s="3">
        <v>397</v>
      </c>
      <c r="L3377" t="s">
        <v>98</v>
      </c>
      <c r="M3377">
        <v>13</v>
      </c>
      <c r="N3377" t="s">
        <v>78</v>
      </c>
      <c r="O3377" t="s">
        <v>70</v>
      </c>
      <c r="P3377" t="s">
        <v>18</v>
      </c>
      <c r="Q3377" t="s">
        <v>19</v>
      </c>
      <c r="R3377" t="s">
        <v>138</v>
      </c>
      <c r="S3377" t="s">
        <v>144</v>
      </c>
      <c r="T3377" s="2">
        <f>MASTER[[#This Row],[CANTIDAD]]*MASTER[[#This Row],[PRECIO DE VENTA]]</f>
        <v>1361</v>
      </c>
      <c r="U3377" s="2">
        <f>MASTER[[#This Row],[CANTIDAD]]*MASTER[[#This Row],[COSTO UNITARIO]]</f>
        <v>397</v>
      </c>
      <c r="V3377" s="2">
        <f>MASTER[[#This Row],[MONTO VENDIDO]]-MASTER[[#This Row],[COSTO DE VENTA]]</f>
        <v>964</v>
      </c>
    </row>
    <row r="3378" spans="1:22" x14ac:dyDescent="0.3">
      <c r="A3378">
        <v>53429</v>
      </c>
      <c r="B3378">
        <v>1</v>
      </c>
      <c r="C3378" t="s">
        <v>103</v>
      </c>
      <c r="D3378" t="s">
        <v>104</v>
      </c>
      <c r="E3378" s="1">
        <v>44225</v>
      </c>
      <c r="F3378">
        <v>1</v>
      </c>
      <c r="G3378" t="s">
        <v>51</v>
      </c>
      <c r="H3378" t="s">
        <v>52</v>
      </c>
      <c r="I3378" s="3">
        <v>1591</v>
      </c>
      <c r="J3378" s="3">
        <v>1591</v>
      </c>
      <c r="K3378" s="3">
        <v>421</v>
      </c>
      <c r="L3378" t="s">
        <v>98</v>
      </c>
      <c r="M3378">
        <v>10</v>
      </c>
      <c r="N3378" t="s">
        <v>83</v>
      </c>
      <c r="O3378" t="s">
        <v>81</v>
      </c>
      <c r="P3378" t="s">
        <v>12</v>
      </c>
      <c r="Q3378" t="s">
        <v>13</v>
      </c>
      <c r="R3378" t="s">
        <v>13</v>
      </c>
      <c r="S3378" t="s">
        <v>144</v>
      </c>
      <c r="T3378" s="2">
        <f>MASTER[[#This Row],[CANTIDAD]]*MASTER[[#This Row],[PRECIO DE VENTA]]</f>
        <v>1591</v>
      </c>
      <c r="U3378" s="2">
        <f>MASTER[[#This Row],[CANTIDAD]]*MASTER[[#This Row],[COSTO UNITARIO]]</f>
        <v>421</v>
      </c>
      <c r="V3378" s="2">
        <f>MASTER[[#This Row],[MONTO VENDIDO]]-MASTER[[#This Row],[COSTO DE VENTA]]</f>
        <v>1170</v>
      </c>
    </row>
    <row r="3379" spans="1:22" x14ac:dyDescent="0.3">
      <c r="A3379">
        <v>53454</v>
      </c>
      <c r="B3379">
        <v>1</v>
      </c>
      <c r="C3379" t="s">
        <v>92</v>
      </c>
      <c r="D3379" t="s">
        <v>93</v>
      </c>
      <c r="E3379" s="1">
        <v>44226</v>
      </c>
      <c r="F3379">
        <v>1</v>
      </c>
      <c r="G3379" t="s">
        <v>61</v>
      </c>
      <c r="H3379" t="s">
        <v>62</v>
      </c>
      <c r="I3379" s="3">
        <v>1866</v>
      </c>
      <c r="J3379" s="3">
        <v>1772</v>
      </c>
      <c r="K3379" s="3">
        <v>396</v>
      </c>
      <c r="L3379" t="s">
        <v>9</v>
      </c>
      <c r="M3379">
        <v>9</v>
      </c>
      <c r="N3379" t="s">
        <v>76</v>
      </c>
      <c r="O3379" t="s">
        <v>70</v>
      </c>
      <c r="P3379" t="s">
        <v>12</v>
      </c>
      <c r="Q3379" t="s">
        <v>13</v>
      </c>
      <c r="R3379" t="s">
        <v>13</v>
      </c>
      <c r="S3379" t="s">
        <v>144</v>
      </c>
      <c r="T3379" s="2">
        <f>MASTER[[#This Row],[CANTIDAD]]*MASTER[[#This Row],[PRECIO DE VENTA]]</f>
        <v>1772</v>
      </c>
      <c r="U3379" s="2">
        <f>MASTER[[#This Row],[CANTIDAD]]*MASTER[[#This Row],[COSTO UNITARIO]]</f>
        <v>396</v>
      </c>
      <c r="V3379" s="2">
        <f>MASTER[[#This Row],[MONTO VENDIDO]]-MASTER[[#This Row],[COSTO DE VENTA]]</f>
        <v>1376</v>
      </c>
    </row>
    <row r="3380" spans="1:22" x14ac:dyDescent="0.3">
      <c r="A3380">
        <v>53462</v>
      </c>
      <c r="B3380">
        <v>1</v>
      </c>
      <c r="C3380" t="s">
        <v>5</v>
      </c>
      <c r="D3380" t="s">
        <v>6</v>
      </c>
      <c r="E3380" s="1">
        <v>44226</v>
      </c>
      <c r="F3380">
        <v>1</v>
      </c>
      <c r="G3380" t="s">
        <v>55</v>
      </c>
      <c r="H3380" t="s">
        <v>56</v>
      </c>
      <c r="I3380" s="3">
        <v>1507</v>
      </c>
      <c r="J3380" s="3">
        <v>1507</v>
      </c>
      <c r="K3380" s="3">
        <v>393</v>
      </c>
      <c r="L3380" t="s">
        <v>9</v>
      </c>
      <c r="M3380">
        <v>8</v>
      </c>
      <c r="N3380" t="s">
        <v>80</v>
      </c>
      <c r="O3380" t="s">
        <v>81</v>
      </c>
      <c r="P3380" t="s">
        <v>12</v>
      </c>
      <c r="Q3380" t="s">
        <v>13</v>
      </c>
      <c r="R3380" t="s">
        <v>13</v>
      </c>
      <c r="S3380" t="s">
        <v>144</v>
      </c>
      <c r="T3380" s="2">
        <f>MASTER[[#This Row],[CANTIDAD]]*MASTER[[#This Row],[PRECIO DE VENTA]]</f>
        <v>1507</v>
      </c>
      <c r="U3380" s="2">
        <f>MASTER[[#This Row],[CANTIDAD]]*MASTER[[#This Row],[COSTO UNITARIO]]</f>
        <v>393</v>
      </c>
      <c r="V3380" s="2">
        <f>MASTER[[#This Row],[MONTO VENDIDO]]-MASTER[[#This Row],[COSTO DE VENTA]]</f>
        <v>1114</v>
      </c>
    </row>
    <row r="3381" spans="1:22" x14ac:dyDescent="0.3">
      <c r="A3381">
        <v>53481</v>
      </c>
      <c r="B3381">
        <v>1</v>
      </c>
      <c r="C3381" t="s">
        <v>94</v>
      </c>
      <c r="D3381" t="s">
        <v>95</v>
      </c>
      <c r="E3381" s="1">
        <v>44226</v>
      </c>
      <c r="F3381">
        <v>1</v>
      </c>
      <c r="G3381" t="s">
        <v>47</v>
      </c>
      <c r="H3381" t="s">
        <v>48</v>
      </c>
      <c r="I3381" s="3">
        <v>1048</v>
      </c>
      <c r="J3381" s="3">
        <v>995</v>
      </c>
      <c r="K3381" s="3">
        <v>392</v>
      </c>
      <c r="L3381" t="s">
        <v>9</v>
      </c>
      <c r="M3381">
        <v>19</v>
      </c>
      <c r="N3381" t="s">
        <v>89</v>
      </c>
      <c r="O3381" t="s">
        <v>81</v>
      </c>
      <c r="P3381" t="s">
        <v>15</v>
      </c>
      <c r="Q3381" t="s">
        <v>16</v>
      </c>
      <c r="R3381" t="s">
        <v>16</v>
      </c>
      <c r="S3381" t="s">
        <v>144</v>
      </c>
      <c r="T3381" s="2">
        <f>MASTER[[#This Row],[CANTIDAD]]*MASTER[[#This Row],[PRECIO DE VENTA]]</f>
        <v>995</v>
      </c>
      <c r="U3381" s="2">
        <f>MASTER[[#This Row],[CANTIDAD]]*MASTER[[#This Row],[COSTO UNITARIO]]</f>
        <v>392</v>
      </c>
      <c r="V3381" s="2">
        <f>MASTER[[#This Row],[MONTO VENDIDO]]-MASTER[[#This Row],[COSTO DE VENTA]]</f>
        <v>603</v>
      </c>
    </row>
    <row r="3382" spans="1:22" x14ac:dyDescent="0.3">
      <c r="A3382">
        <v>53483</v>
      </c>
      <c r="B3382">
        <v>1</v>
      </c>
      <c r="C3382" t="s">
        <v>107</v>
      </c>
      <c r="D3382" t="s">
        <v>108</v>
      </c>
      <c r="E3382" s="1">
        <v>44226</v>
      </c>
      <c r="F3382">
        <v>1</v>
      </c>
      <c r="G3382" t="s">
        <v>47</v>
      </c>
      <c r="H3382" t="s">
        <v>48</v>
      </c>
      <c r="I3382" s="3">
        <v>1440</v>
      </c>
      <c r="J3382" s="3">
        <v>1440</v>
      </c>
      <c r="K3382" s="3">
        <v>380</v>
      </c>
      <c r="L3382" t="s">
        <v>98</v>
      </c>
      <c r="M3382">
        <v>9</v>
      </c>
      <c r="N3382" t="s">
        <v>76</v>
      </c>
      <c r="O3382" t="s">
        <v>70</v>
      </c>
      <c r="P3382" t="s">
        <v>12</v>
      </c>
      <c r="Q3382" t="s">
        <v>13</v>
      </c>
      <c r="R3382" t="s">
        <v>13</v>
      </c>
      <c r="S3382" t="s">
        <v>144</v>
      </c>
      <c r="T3382" s="2">
        <f>MASTER[[#This Row],[CANTIDAD]]*MASTER[[#This Row],[PRECIO DE VENTA]]</f>
        <v>1440</v>
      </c>
      <c r="U3382" s="2">
        <f>MASTER[[#This Row],[CANTIDAD]]*MASTER[[#This Row],[COSTO UNITARIO]]</f>
        <v>380</v>
      </c>
      <c r="V3382" s="2">
        <f>MASTER[[#This Row],[MONTO VENDIDO]]-MASTER[[#This Row],[COSTO DE VENTA]]</f>
        <v>1060</v>
      </c>
    </row>
    <row r="3383" spans="1:22" x14ac:dyDescent="0.3">
      <c r="A3383">
        <v>53491</v>
      </c>
      <c r="B3383">
        <v>1</v>
      </c>
      <c r="C3383" t="s">
        <v>92</v>
      </c>
      <c r="D3383" t="s">
        <v>93</v>
      </c>
      <c r="E3383" s="1">
        <v>44226</v>
      </c>
      <c r="F3383">
        <v>1</v>
      </c>
      <c r="G3383" t="s">
        <v>27</v>
      </c>
      <c r="H3383" t="s">
        <v>28</v>
      </c>
      <c r="I3383" s="3">
        <v>1479</v>
      </c>
      <c r="J3383" s="3">
        <v>1479</v>
      </c>
      <c r="K3383" s="3">
        <v>396</v>
      </c>
      <c r="L3383" t="s">
        <v>9</v>
      </c>
      <c r="M3383">
        <v>11</v>
      </c>
      <c r="N3383" t="s">
        <v>10</v>
      </c>
      <c r="O3383" t="s">
        <v>11</v>
      </c>
      <c r="P3383" t="s">
        <v>12</v>
      </c>
      <c r="Q3383" t="s">
        <v>13</v>
      </c>
      <c r="R3383" t="s">
        <v>13</v>
      </c>
      <c r="S3383" t="s">
        <v>144</v>
      </c>
      <c r="T3383" s="2">
        <f>MASTER[[#This Row],[CANTIDAD]]*MASTER[[#This Row],[PRECIO DE VENTA]]</f>
        <v>1479</v>
      </c>
      <c r="U3383" s="2">
        <f>MASTER[[#This Row],[CANTIDAD]]*MASTER[[#This Row],[COSTO UNITARIO]]</f>
        <v>396</v>
      </c>
      <c r="V3383" s="2">
        <f>MASTER[[#This Row],[MONTO VENDIDO]]-MASTER[[#This Row],[COSTO DE VENTA]]</f>
        <v>1083</v>
      </c>
    </row>
    <row r="3384" spans="1:22" x14ac:dyDescent="0.3">
      <c r="A3384">
        <v>53492</v>
      </c>
      <c r="B3384">
        <v>1</v>
      </c>
      <c r="C3384" t="s">
        <v>5</v>
      </c>
      <c r="D3384" t="s">
        <v>6</v>
      </c>
      <c r="E3384" s="1">
        <v>44226</v>
      </c>
      <c r="F3384">
        <v>1</v>
      </c>
      <c r="G3384" t="s">
        <v>43</v>
      </c>
      <c r="H3384" t="s">
        <v>44</v>
      </c>
      <c r="I3384" s="3">
        <v>1507</v>
      </c>
      <c r="J3384" s="3">
        <v>1507</v>
      </c>
      <c r="K3384" s="3">
        <v>393</v>
      </c>
      <c r="L3384" t="s">
        <v>9</v>
      </c>
      <c r="M3384">
        <v>10</v>
      </c>
      <c r="N3384" t="s">
        <v>83</v>
      </c>
      <c r="O3384" t="s">
        <v>81</v>
      </c>
      <c r="P3384" t="s">
        <v>12</v>
      </c>
      <c r="Q3384" t="s">
        <v>13</v>
      </c>
      <c r="R3384" t="s">
        <v>13</v>
      </c>
      <c r="S3384" t="s">
        <v>144</v>
      </c>
      <c r="T3384" s="2">
        <f>MASTER[[#This Row],[CANTIDAD]]*MASTER[[#This Row],[PRECIO DE VENTA]]</f>
        <v>1507</v>
      </c>
      <c r="U3384" s="2">
        <f>MASTER[[#This Row],[CANTIDAD]]*MASTER[[#This Row],[COSTO UNITARIO]]</f>
        <v>393</v>
      </c>
      <c r="V3384" s="2">
        <f>MASTER[[#This Row],[MONTO VENDIDO]]-MASTER[[#This Row],[COSTO DE VENTA]]</f>
        <v>1114</v>
      </c>
    </row>
    <row r="3385" spans="1:22" x14ac:dyDescent="0.3">
      <c r="A3385">
        <v>53498</v>
      </c>
      <c r="B3385">
        <v>1</v>
      </c>
      <c r="C3385" t="s">
        <v>94</v>
      </c>
      <c r="D3385" t="s">
        <v>95</v>
      </c>
      <c r="E3385" s="1">
        <v>44226</v>
      </c>
      <c r="F3385">
        <v>1</v>
      </c>
      <c r="G3385" t="s">
        <v>63</v>
      </c>
      <c r="H3385" t="s">
        <v>64</v>
      </c>
      <c r="I3385" s="3">
        <v>1048</v>
      </c>
      <c r="J3385" s="3">
        <v>1048</v>
      </c>
      <c r="K3385" s="3">
        <v>392</v>
      </c>
      <c r="L3385" t="s">
        <v>9</v>
      </c>
      <c r="M3385">
        <v>10</v>
      </c>
      <c r="N3385" t="s">
        <v>83</v>
      </c>
      <c r="O3385" t="s">
        <v>81</v>
      </c>
      <c r="P3385" t="s">
        <v>12</v>
      </c>
      <c r="Q3385" t="s">
        <v>13</v>
      </c>
      <c r="R3385" t="s">
        <v>13</v>
      </c>
      <c r="S3385" t="s">
        <v>144</v>
      </c>
      <c r="T3385" s="2">
        <f>MASTER[[#This Row],[CANTIDAD]]*MASTER[[#This Row],[PRECIO DE VENTA]]</f>
        <v>1048</v>
      </c>
      <c r="U3385" s="2">
        <f>MASTER[[#This Row],[CANTIDAD]]*MASTER[[#This Row],[COSTO UNITARIO]]</f>
        <v>392</v>
      </c>
      <c r="V3385" s="2">
        <f>MASTER[[#This Row],[MONTO VENDIDO]]-MASTER[[#This Row],[COSTO DE VENTA]]</f>
        <v>656</v>
      </c>
    </row>
    <row r="3386" spans="1:22" x14ac:dyDescent="0.3">
      <c r="A3386">
        <v>53534</v>
      </c>
      <c r="B3386">
        <v>1</v>
      </c>
      <c r="C3386" t="s">
        <v>107</v>
      </c>
      <c r="D3386" t="s">
        <v>108</v>
      </c>
      <c r="E3386" s="1">
        <v>44226</v>
      </c>
      <c r="F3386">
        <v>2</v>
      </c>
      <c r="G3386" t="s">
        <v>53</v>
      </c>
      <c r="H3386" t="s">
        <v>54</v>
      </c>
      <c r="I3386" s="3">
        <v>1240</v>
      </c>
      <c r="J3386" s="3">
        <v>1240</v>
      </c>
      <c r="K3386" s="3">
        <v>380</v>
      </c>
      <c r="L3386" t="s">
        <v>98</v>
      </c>
      <c r="M3386">
        <v>12</v>
      </c>
      <c r="N3386" t="s">
        <v>26</v>
      </c>
      <c r="O3386" t="s">
        <v>11</v>
      </c>
      <c r="P3386" t="s">
        <v>12</v>
      </c>
      <c r="Q3386" t="s">
        <v>13</v>
      </c>
      <c r="R3386" t="s">
        <v>13</v>
      </c>
      <c r="S3386" t="s">
        <v>144</v>
      </c>
      <c r="T3386" s="2">
        <f>MASTER[[#This Row],[CANTIDAD]]*MASTER[[#This Row],[PRECIO DE VENTA]]</f>
        <v>2480</v>
      </c>
      <c r="U3386" s="2">
        <f>MASTER[[#This Row],[CANTIDAD]]*MASTER[[#This Row],[COSTO UNITARIO]]</f>
        <v>760</v>
      </c>
      <c r="V3386" s="2">
        <f>MASTER[[#This Row],[MONTO VENDIDO]]-MASTER[[#This Row],[COSTO DE VENTA]]</f>
        <v>1720</v>
      </c>
    </row>
    <row r="3387" spans="1:22" x14ac:dyDescent="0.3">
      <c r="A3387">
        <v>53557</v>
      </c>
      <c r="B3387">
        <v>1</v>
      </c>
      <c r="C3387" t="s">
        <v>111</v>
      </c>
      <c r="D3387" t="s">
        <v>112</v>
      </c>
      <c r="E3387" s="1">
        <v>44226</v>
      </c>
      <c r="F3387">
        <v>1</v>
      </c>
      <c r="G3387" t="s">
        <v>73</v>
      </c>
      <c r="H3387" t="s">
        <v>74</v>
      </c>
      <c r="I3387" s="3">
        <v>1799</v>
      </c>
      <c r="J3387" s="3">
        <v>1799</v>
      </c>
      <c r="K3387" s="3">
        <v>434</v>
      </c>
      <c r="L3387" t="s">
        <v>113</v>
      </c>
      <c r="M3387">
        <v>3</v>
      </c>
      <c r="N3387" t="s">
        <v>69</v>
      </c>
      <c r="O3387" t="s">
        <v>70</v>
      </c>
      <c r="P3387" t="s">
        <v>71</v>
      </c>
      <c r="Q3387" t="s">
        <v>72</v>
      </c>
      <c r="R3387" t="s">
        <v>139</v>
      </c>
      <c r="S3387" t="s">
        <v>144</v>
      </c>
      <c r="T3387" s="2">
        <f>MASTER[[#This Row],[CANTIDAD]]*MASTER[[#This Row],[PRECIO DE VENTA]]</f>
        <v>1799</v>
      </c>
      <c r="U3387" s="2">
        <f>MASTER[[#This Row],[CANTIDAD]]*MASTER[[#This Row],[COSTO UNITARIO]]</f>
        <v>434</v>
      </c>
      <c r="V3387" s="2">
        <f>MASTER[[#This Row],[MONTO VENDIDO]]-MASTER[[#This Row],[COSTO DE VENTA]]</f>
        <v>1365</v>
      </c>
    </row>
    <row r="3388" spans="1:22" x14ac:dyDescent="0.3">
      <c r="A3388">
        <v>53558</v>
      </c>
      <c r="B3388">
        <v>1</v>
      </c>
      <c r="C3388" t="s">
        <v>111</v>
      </c>
      <c r="D3388" t="s">
        <v>112</v>
      </c>
      <c r="E3388" s="1">
        <v>44226</v>
      </c>
      <c r="F3388">
        <v>1</v>
      </c>
      <c r="G3388" t="s">
        <v>59</v>
      </c>
      <c r="H3388" t="s">
        <v>60</v>
      </c>
      <c r="I3388" s="3">
        <v>1799</v>
      </c>
      <c r="J3388" s="3">
        <v>1799</v>
      </c>
      <c r="K3388" s="3">
        <v>434</v>
      </c>
      <c r="L3388" t="s">
        <v>113</v>
      </c>
      <c r="M3388">
        <v>9</v>
      </c>
      <c r="N3388" t="s">
        <v>76</v>
      </c>
      <c r="O3388" t="s">
        <v>70</v>
      </c>
      <c r="P3388" t="s">
        <v>12</v>
      </c>
      <c r="Q3388" t="s">
        <v>13</v>
      </c>
      <c r="R3388" t="s">
        <v>13</v>
      </c>
      <c r="S3388" t="s">
        <v>144</v>
      </c>
      <c r="T3388" s="2">
        <f>MASTER[[#This Row],[CANTIDAD]]*MASTER[[#This Row],[PRECIO DE VENTA]]</f>
        <v>1799</v>
      </c>
      <c r="U3388" s="2">
        <f>MASTER[[#This Row],[CANTIDAD]]*MASTER[[#This Row],[COSTO UNITARIO]]</f>
        <v>434</v>
      </c>
      <c r="V3388" s="2">
        <f>MASTER[[#This Row],[MONTO VENDIDO]]-MASTER[[#This Row],[COSTO DE VENTA]]</f>
        <v>1365</v>
      </c>
    </row>
    <row r="3389" spans="1:22" x14ac:dyDescent="0.3">
      <c r="A3389">
        <v>53558</v>
      </c>
      <c r="B3389">
        <v>2</v>
      </c>
      <c r="C3389" t="s">
        <v>114</v>
      </c>
      <c r="D3389" t="s">
        <v>115</v>
      </c>
      <c r="E3389" s="1">
        <v>44226</v>
      </c>
      <c r="F3389">
        <v>2</v>
      </c>
      <c r="G3389" t="s">
        <v>41</v>
      </c>
      <c r="H3389" t="s">
        <v>42</v>
      </c>
      <c r="I3389" s="3">
        <v>2030</v>
      </c>
      <c r="J3389" s="3">
        <v>2030</v>
      </c>
      <c r="K3389" s="3">
        <v>394</v>
      </c>
      <c r="L3389" t="s">
        <v>113</v>
      </c>
      <c r="M3389">
        <v>9</v>
      </c>
      <c r="N3389" t="s">
        <v>76</v>
      </c>
      <c r="O3389" t="s">
        <v>70</v>
      </c>
      <c r="P3389" t="s">
        <v>12</v>
      </c>
      <c r="Q3389" t="s">
        <v>13</v>
      </c>
      <c r="R3389" t="s">
        <v>13</v>
      </c>
      <c r="S3389" t="s">
        <v>144</v>
      </c>
      <c r="T3389" s="2">
        <f>MASTER[[#This Row],[CANTIDAD]]*MASTER[[#This Row],[PRECIO DE VENTA]]</f>
        <v>4060</v>
      </c>
      <c r="U3389" s="2">
        <f>MASTER[[#This Row],[CANTIDAD]]*MASTER[[#This Row],[COSTO UNITARIO]]</f>
        <v>788</v>
      </c>
      <c r="V3389" s="2">
        <f>MASTER[[#This Row],[MONTO VENDIDO]]-MASTER[[#This Row],[COSTO DE VENTA]]</f>
        <v>3272</v>
      </c>
    </row>
    <row r="3390" spans="1:22" x14ac:dyDescent="0.3">
      <c r="A3390">
        <v>53562</v>
      </c>
      <c r="B3390">
        <v>1</v>
      </c>
      <c r="C3390" t="s">
        <v>105</v>
      </c>
      <c r="D3390" t="s">
        <v>106</v>
      </c>
      <c r="E3390" s="1">
        <v>44226</v>
      </c>
      <c r="F3390">
        <v>1</v>
      </c>
      <c r="G3390" t="s">
        <v>35</v>
      </c>
      <c r="H3390" t="s">
        <v>36</v>
      </c>
      <c r="I3390" s="3">
        <v>2033</v>
      </c>
      <c r="J3390" s="3">
        <v>2033</v>
      </c>
      <c r="K3390" s="3">
        <v>459</v>
      </c>
      <c r="L3390" t="s">
        <v>98</v>
      </c>
      <c r="M3390">
        <v>3</v>
      </c>
      <c r="N3390" t="s">
        <v>69</v>
      </c>
      <c r="O3390" t="s">
        <v>70</v>
      </c>
      <c r="P3390" t="s">
        <v>71</v>
      </c>
      <c r="Q3390" t="s">
        <v>72</v>
      </c>
      <c r="R3390" t="s">
        <v>139</v>
      </c>
      <c r="S3390" t="s">
        <v>144</v>
      </c>
      <c r="T3390" s="2">
        <f>MASTER[[#This Row],[CANTIDAD]]*MASTER[[#This Row],[PRECIO DE VENTA]]</f>
        <v>2033</v>
      </c>
      <c r="U3390" s="2">
        <f>MASTER[[#This Row],[CANTIDAD]]*MASTER[[#This Row],[COSTO UNITARIO]]</f>
        <v>459</v>
      </c>
      <c r="V3390" s="2">
        <f>MASTER[[#This Row],[MONTO VENDIDO]]-MASTER[[#This Row],[COSTO DE VENTA]]</f>
        <v>1574</v>
      </c>
    </row>
    <row r="3391" spans="1:22" x14ac:dyDescent="0.3">
      <c r="A3391">
        <v>53567</v>
      </c>
      <c r="B3391">
        <v>1</v>
      </c>
      <c r="C3391" t="s">
        <v>94</v>
      </c>
      <c r="D3391" t="s">
        <v>95</v>
      </c>
      <c r="E3391" s="1">
        <v>44226</v>
      </c>
      <c r="F3391">
        <v>1</v>
      </c>
      <c r="G3391" t="s">
        <v>20</v>
      </c>
      <c r="H3391" t="s">
        <v>21</v>
      </c>
      <c r="I3391" s="3">
        <v>1048</v>
      </c>
      <c r="J3391" s="3">
        <v>1048</v>
      </c>
      <c r="K3391" s="3">
        <v>392</v>
      </c>
      <c r="L3391" t="s">
        <v>9</v>
      </c>
      <c r="M3391">
        <v>4</v>
      </c>
      <c r="N3391" t="s">
        <v>82</v>
      </c>
      <c r="O3391" t="s">
        <v>81</v>
      </c>
      <c r="P3391" t="s">
        <v>71</v>
      </c>
      <c r="Q3391" t="s">
        <v>72</v>
      </c>
      <c r="R3391" t="s">
        <v>139</v>
      </c>
      <c r="S3391" t="s">
        <v>144</v>
      </c>
      <c r="T3391" s="2">
        <f>MASTER[[#This Row],[CANTIDAD]]*MASTER[[#This Row],[PRECIO DE VENTA]]</f>
        <v>1048</v>
      </c>
      <c r="U3391" s="2">
        <f>MASTER[[#This Row],[CANTIDAD]]*MASTER[[#This Row],[COSTO UNITARIO]]</f>
        <v>392</v>
      </c>
      <c r="V3391" s="2">
        <f>MASTER[[#This Row],[MONTO VENDIDO]]-MASTER[[#This Row],[COSTO DE VENTA]]</f>
        <v>656</v>
      </c>
    </row>
    <row r="3392" spans="1:22" x14ac:dyDescent="0.3">
      <c r="A3392">
        <v>53581</v>
      </c>
      <c r="B3392">
        <v>1</v>
      </c>
      <c r="C3392" t="s">
        <v>90</v>
      </c>
      <c r="D3392" t="s">
        <v>91</v>
      </c>
      <c r="E3392" s="1">
        <v>44227</v>
      </c>
      <c r="F3392">
        <v>1</v>
      </c>
      <c r="G3392" t="s">
        <v>51</v>
      </c>
      <c r="H3392" t="s">
        <v>52</v>
      </c>
      <c r="I3392" s="3">
        <v>2102</v>
      </c>
      <c r="J3392" s="3">
        <v>1975</v>
      </c>
      <c r="K3392" s="3">
        <v>420</v>
      </c>
      <c r="L3392" t="s">
        <v>9</v>
      </c>
      <c r="M3392">
        <v>6</v>
      </c>
      <c r="N3392" t="s">
        <v>75</v>
      </c>
      <c r="O3392" t="s">
        <v>70</v>
      </c>
      <c r="P3392" t="s">
        <v>12</v>
      </c>
      <c r="Q3392" t="s">
        <v>13</v>
      </c>
      <c r="R3392" t="s">
        <v>13</v>
      </c>
      <c r="S3392" t="s">
        <v>144</v>
      </c>
      <c r="T3392" s="2">
        <f>MASTER[[#This Row],[CANTIDAD]]*MASTER[[#This Row],[PRECIO DE VENTA]]</f>
        <v>1975</v>
      </c>
      <c r="U3392" s="2">
        <f>MASTER[[#This Row],[CANTIDAD]]*MASTER[[#This Row],[COSTO UNITARIO]]</f>
        <v>420</v>
      </c>
      <c r="V3392" s="2">
        <f>MASTER[[#This Row],[MONTO VENDIDO]]-MASTER[[#This Row],[COSTO DE VENTA]]</f>
        <v>1555</v>
      </c>
    </row>
    <row r="3393" spans="1:22" x14ac:dyDescent="0.3">
      <c r="A3393">
        <v>53584</v>
      </c>
      <c r="B3393">
        <v>1</v>
      </c>
      <c r="C3393" t="s">
        <v>99</v>
      </c>
      <c r="D3393" t="s">
        <v>100</v>
      </c>
      <c r="E3393" s="1">
        <v>44227</v>
      </c>
      <c r="F3393">
        <v>1</v>
      </c>
      <c r="G3393" t="s">
        <v>57</v>
      </c>
      <c r="H3393" t="s">
        <v>58</v>
      </c>
      <c r="I3393" s="3">
        <v>1678</v>
      </c>
      <c r="J3393" s="3">
        <v>1678</v>
      </c>
      <c r="K3393" s="3">
        <v>386</v>
      </c>
      <c r="L3393" t="s">
        <v>98</v>
      </c>
      <c r="M3393">
        <v>3</v>
      </c>
      <c r="N3393" t="s">
        <v>69</v>
      </c>
      <c r="O3393" t="s">
        <v>70</v>
      </c>
      <c r="P3393" t="s">
        <v>71</v>
      </c>
      <c r="Q3393" t="s">
        <v>72</v>
      </c>
      <c r="R3393" t="s">
        <v>139</v>
      </c>
      <c r="S3393" t="s">
        <v>144</v>
      </c>
      <c r="T3393" s="2">
        <f>MASTER[[#This Row],[CANTIDAD]]*MASTER[[#This Row],[PRECIO DE VENTA]]</f>
        <v>1678</v>
      </c>
      <c r="U3393" s="2">
        <f>MASTER[[#This Row],[CANTIDAD]]*MASTER[[#This Row],[COSTO UNITARIO]]</f>
        <v>386</v>
      </c>
      <c r="V3393" s="2">
        <f>MASTER[[#This Row],[MONTO VENDIDO]]-MASTER[[#This Row],[COSTO DE VENTA]]</f>
        <v>1292</v>
      </c>
    </row>
    <row r="3394" spans="1:22" x14ac:dyDescent="0.3">
      <c r="A3394">
        <v>53596</v>
      </c>
      <c r="B3394">
        <v>1</v>
      </c>
      <c r="C3394" t="s">
        <v>90</v>
      </c>
      <c r="D3394" t="s">
        <v>91</v>
      </c>
      <c r="E3394" s="1">
        <v>44227</v>
      </c>
      <c r="F3394">
        <v>1</v>
      </c>
      <c r="G3394" t="s">
        <v>29</v>
      </c>
      <c r="H3394" t="s">
        <v>30</v>
      </c>
      <c r="I3394" s="3">
        <v>2102</v>
      </c>
      <c r="J3394" s="3">
        <v>2102</v>
      </c>
      <c r="K3394" s="3">
        <v>420</v>
      </c>
      <c r="L3394" t="s">
        <v>9</v>
      </c>
      <c r="M3394">
        <v>1</v>
      </c>
      <c r="N3394" t="s">
        <v>77</v>
      </c>
      <c r="O3394" t="s">
        <v>70</v>
      </c>
      <c r="P3394" t="s">
        <v>71</v>
      </c>
      <c r="Q3394" t="s">
        <v>72</v>
      </c>
      <c r="R3394" t="s">
        <v>139</v>
      </c>
      <c r="S3394" t="s">
        <v>144</v>
      </c>
      <c r="T3394" s="2">
        <f>MASTER[[#This Row],[CANTIDAD]]*MASTER[[#This Row],[PRECIO DE VENTA]]</f>
        <v>2102</v>
      </c>
      <c r="U3394" s="2">
        <f>MASTER[[#This Row],[CANTIDAD]]*MASTER[[#This Row],[COSTO UNITARIO]]</f>
        <v>420</v>
      </c>
      <c r="V3394" s="2">
        <f>MASTER[[#This Row],[MONTO VENDIDO]]-MASTER[[#This Row],[COSTO DE VENTA]]</f>
        <v>1682</v>
      </c>
    </row>
    <row r="3395" spans="1:22" x14ac:dyDescent="0.3">
      <c r="A3395">
        <v>53620</v>
      </c>
      <c r="B3395">
        <v>1</v>
      </c>
      <c r="C3395" t="s">
        <v>101</v>
      </c>
      <c r="D3395" t="s">
        <v>102</v>
      </c>
      <c r="E3395" s="1">
        <v>44227</v>
      </c>
      <c r="F3395">
        <v>1</v>
      </c>
      <c r="G3395" t="s">
        <v>35</v>
      </c>
      <c r="H3395" t="s">
        <v>36</v>
      </c>
      <c r="I3395" s="3">
        <v>1212</v>
      </c>
      <c r="J3395" s="3">
        <v>1212</v>
      </c>
      <c r="K3395" s="3">
        <v>442</v>
      </c>
      <c r="L3395" t="s">
        <v>98</v>
      </c>
      <c r="M3395">
        <v>4</v>
      </c>
      <c r="N3395" t="s">
        <v>82</v>
      </c>
      <c r="O3395" t="s">
        <v>81</v>
      </c>
      <c r="P3395" t="s">
        <v>71</v>
      </c>
      <c r="Q3395" t="s">
        <v>72</v>
      </c>
      <c r="R3395" t="s">
        <v>139</v>
      </c>
      <c r="S3395" t="s">
        <v>144</v>
      </c>
      <c r="T3395" s="2">
        <f>MASTER[[#This Row],[CANTIDAD]]*MASTER[[#This Row],[PRECIO DE VENTA]]</f>
        <v>1212</v>
      </c>
      <c r="U3395" s="2">
        <f>MASTER[[#This Row],[CANTIDAD]]*MASTER[[#This Row],[COSTO UNITARIO]]</f>
        <v>442</v>
      </c>
      <c r="V3395" s="2">
        <f>MASTER[[#This Row],[MONTO VENDIDO]]-MASTER[[#This Row],[COSTO DE VENTA]]</f>
        <v>770</v>
      </c>
    </row>
    <row r="3396" spans="1:22" x14ac:dyDescent="0.3">
      <c r="A3396">
        <v>53637</v>
      </c>
      <c r="B3396">
        <v>1</v>
      </c>
      <c r="C3396" t="s">
        <v>116</v>
      </c>
      <c r="D3396" t="s">
        <v>117</v>
      </c>
      <c r="E3396" s="1">
        <v>44227</v>
      </c>
      <c r="F3396">
        <v>1</v>
      </c>
      <c r="G3396" t="s">
        <v>43</v>
      </c>
      <c r="H3396" t="s">
        <v>44</v>
      </c>
      <c r="I3396" s="3">
        <v>1738</v>
      </c>
      <c r="J3396" s="3">
        <v>1738</v>
      </c>
      <c r="K3396" s="3">
        <v>388</v>
      </c>
      <c r="L3396" t="s">
        <v>113</v>
      </c>
      <c r="M3396">
        <v>8</v>
      </c>
      <c r="N3396" t="s">
        <v>80</v>
      </c>
      <c r="O3396" t="s">
        <v>81</v>
      </c>
      <c r="P3396" t="s">
        <v>12</v>
      </c>
      <c r="Q3396" t="s">
        <v>13</v>
      </c>
      <c r="R3396" t="s">
        <v>13</v>
      </c>
      <c r="S3396" t="s">
        <v>144</v>
      </c>
      <c r="T3396" s="2">
        <f>MASTER[[#This Row],[CANTIDAD]]*MASTER[[#This Row],[PRECIO DE VENTA]]</f>
        <v>1738</v>
      </c>
      <c r="U3396" s="2">
        <f>MASTER[[#This Row],[CANTIDAD]]*MASTER[[#This Row],[COSTO UNITARIO]]</f>
        <v>388</v>
      </c>
      <c r="V3396" s="2">
        <f>MASTER[[#This Row],[MONTO VENDIDO]]-MASTER[[#This Row],[COSTO DE VENTA]]</f>
        <v>1350</v>
      </c>
    </row>
    <row r="3397" spans="1:22" x14ac:dyDescent="0.3">
      <c r="A3397">
        <v>53646</v>
      </c>
      <c r="B3397">
        <v>1</v>
      </c>
      <c r="C3397" t="s">
        <v>121</v>
      </c>
      <c r="D3397" t="s">
        <v>122</v>
      </c>
      <c r="E3397" s="1">
        <v>44227</v>
      </c>
      <c r="F3397">
        <v>1</v>
      </c>
      <c r="G3397" t="s">
        <v>47</v>
      </c>
      <c r="H3397" t="s">
        <v>48</v>
      </c>
      <c r="I3397" s="3">
        <v>941</v>
      </c>
      <c r="J3397" s="3">
        <v>941</v>
      </c>
      <c r="K3397" s="3">
        <v>460</v>
      </c>
      <c r="L3397" t="s">
        <v>120</v>
      </c>
      <c r="M3397">
        <v>12</v>
      </c>
      <c r="N3397" t="s">
        <v>26</v>
      </c>
      <c r="O3397" t="s">
        <v>11</v>
      </c>
      <c r="P3397" t="s">
        <v>12</v>
      </c>
      <c r="Q3397" t="s">
        <v>13</v>
      </c>
      <c r="R3397" t="s">
        <v>13</v>
      </c>
      <c r="S3397" t="s">
        <v>144</v>
      </c>
      <c r="T3397" s="2">
        <f>MASTER[[#This Row],[CANTIDAD]]*MASTER[[#This Row],[PRECIO DE VENTA]]</f>
        <v>941</v>
      </c>
      <c r="U3397" s="2">
        <f>MASTER[[#This Row],[CANTIDAD]]*MASTER[[#This Row],[COSTO UNITARIO]]</f>
        <v>460</v>
      </c>
      <c r="V3397" s="2">
        <f>MASTER[[#This Row],[MONTO VENDIDO]]-MASTER[[#This Row],[COSTO DE VENTA]]</f>
        <v>481</v>
      </c>
    </row>
    <row r="3398" spans="1:22" x14ac:dyDescent="0.3">
      <c r="A3398">
        <v>53656</v>
      </c>
      <c r="B3398">
        <v>1</v>
      </c>
      <c r="C3398" t="s">
        <v>96</v>
      </c>
      <c r="D3398" t="s">
        <v>97</v>
      </c>
      <c r="E3398" s="1">
        <v>44227</v>
      </c>
      <c r="F3398">
        <v>1</v>
      </c>
      <c r="G3398" t="s">
        <v>47</v>
      </c>
      <c r="H3398" t="s">
        <v>48</v>
      </c>
      <c r="I3398" s="3">
        <v>1361</v>
      </c>
      <c r="J3398" s="3">
        <v>1361</v>
      </c>
      <c r="K3398" s="3">
        <v>397</v>
      </c>
      <c r="L3398" t="s">
        <v>98</v>
      </c>
      <c r="M3398">
        <v>3</v>
      </c>
      <c r="N3398" t="s">
        <v>69</v>
      </c>
      <c r="O3398" t="s">
        <v>70</v>
      </c>
      <c r="P3398" t="s">
        <v>71</v>
      </c>
      <c r="Q3398" t="s">
        <v>72</v>
      </c>
      <c r="R3398" t="s">
        <v>139</v>
      </c>
      <c r="S3398" t="s">
        <v>144</v>
      </c>
      <c r="T3398" s="2">
        <f>MASTER[[#This Row],[CANTIDAD]]*MASTER[[#This Row],[PRECIO DE VENTA]]</f>
        <v>1361</v>
      </c>
      <c r="U3398" s="2">
        <f>MASTER[[#This Row],[CANTIDAD]]*MASTER[[#This Row],[COSTO UNITARIO]]</f>
        <v>397</v>
      </c>
      <c r="V3398" s="2">
        <f>MASTER[[#This Row],[MONTO VENDIDO]]-MASTER[[#This Row],[COSTO DE VENTA]]</f>
        <v>964</v>
      </c>
    </row>
    <row r="3399" spans="1:22" x14ac:dyDescent="0.3">
      <c r="A3399">
        <v>53658</v>
      </c>
      <c r="B3399">
        <v>1</v>
      </c>
      <c r="C3399" t="s">
        <v>116</v>
      </c>
      <c r="D3399" t="s">
        <v>117</v>
      </c>
      <c r="E3399" s="1">
        <v>44227</v>
      </c>
      <c r="F3399">
        <v>1</v>
      </c>
      <c r="G3399" t="s">
        <v>67</v>
      </c>
      <c r="H3399" t="s">
        <v>68</v>
      </c>
      <c r="I3399" s="3">
        <v>1738</v>
      </c>
      <c r="J3399" s="3">
        <v>1738</v>
      </c>
      <c r="K3399" s="3">
        <v>388</v>
      </c>
      <c r="L3399" t="s">
        <v>113</v>
      </c>
      <c r="M3399">
        <v>2</v>
      </c>
      <c r="N3399" t="s">
        <v>86</v>
      </c>
      <c r="O3399" t="s">
        <v>81</v>
      </c>
      <c r="P3399" t="s">
        <v>71</v>
      </c>
      <c r="Q3399" t="s">
        <v>72</v>
      </c>
      <c r="R3399" t="s">
        <v>139</v>
      </c>
      <c r="S3399" t="s">
        <v>144</v>
      </c>
      <c r="T3399" s="2">
        <f>MASTER[[#This Row],[CANTIDAD]]*MASTER[[#This Row],[PRECIO DE VENTA]]</f>
        <v>1738</v>
      </c>
      <c r="U3399" s="2">
        <f>MASTER[[#This Row],[CANTIDAD]]*MASTER[[#This Row],[COSTO UNITARIO]]</f>
        <v>388</v>
      </c>
      <c r="V3399" s="2">
        <f>MASTER[[#This Row],[MONTO VENDIDO]]-MASTER[[#This Row],[COSTO DE VENTA]]</f>
        <v>1350</v>
      </c>
    </row>
    <row r="3400" spans="1:22" x14ac:dyDescent="0.3">
      <c r="A3400">
        <v>53670</v>
      </c>
      <c r="B3400">
        <v>1</v>
      </c>
      <c r="C3400" t="s">
        <v>96</v>
      </c>
      <c r="D3400" t="s">
        <v>97</v>
      </c>
      <c r="E3400" s="1">
        <v>44227</v>
      </c>
      <c r="F3400">
        <v>1</v>
      </c>
      <c r="G3400" t="s">
        <v>45</v>
      </c>
      <c r="H3400" t="s">
        <v>46</v>
      </c>
      <c r="I3400" s="3">
        <v>1272</v>
      </c>
      <c r="J3400" s="3">
        <v>1272</v>
      </c>
      <c r="K3400" s="3">
        <v>397</v>
      </c>
      <c r="L3400" t="s">
        <v>98</v>
      </c>
      <c r="M3400">
        <v>14</v>
      </c>
      <c r="N3400" t="s">
        <v>87</v>
      </c>
      <c r="O3400" t="s">
        <v>81</v>
      </c>
      <c r="P3400" t="s">
        <v>18</v>
      </c>
      <c r="Q3400" t="s">
        <v>19</v>
      </c>
      <c r="R3400" t="s">
        <v>138</v>
      </c>
      <c r="S3400" t="s">
        <v>144</v>
      </c>
      <c r="T3400" s="2">
        <f>MASTER[[#This Row],[CANTIDAD]]*MASTER[[#This Row],[PRECIO DE VENTA]]</f>
        <v>1272</v>
      </c>
      <c r="U3400" s="2">
        <f>MASTER[[#This Row],[CANTIDAD]]*MASTER[[#This Row],[COSTO UNITARIO]]</f>
        <v>397</v>
      </c>
      <c r="V3400" s="2">
        <f>MASTER[[#This Row],[MONTO VENDIDO]]-MASTER[[#This Row],[COSTO DE VENTA]]</f>
        <v>875</v>
      </c>
    </row>
    <row r="3401" spans="1:22" x14ac:dyDescent="0.3">
      <c r="A3401">
        <v>53681</v>
      </c>
      <c r="B3401">
        <v>1</v>
      </c>
      <c r="C3401" t="s">
        <v>116</v>
      </c>
      <c r="D3401" t="s">
        <v>117</v>
      </c>
      <c r="E3401" s="1">
        <v>44227</v>
      </c>
      <c r="F3401">
        <v>1</v>
      </c>
      <c r="G3401" t="s">
        <v>39</v>
      </c>
      <c r="H3401" t="s">
        <v>40</v>
      </c>
      <c r="I3401" s="3">
        <v>1738</v>
      </c>
      <c r="J3401" s="3">
        <v>1738</v>
      </c>
      <c r="K3401" s="3">
        <v>388</v>
      </c>
      <c r="L3401" t="s">
        <v>113</v>
      </c>
      <c r="M3401">
        <v>5</v>
      </c>
      <c r="N3401" t="s">
        <v>85</v>
      </c>
      <c r="O3401" t="s">
        <v>81</v>
      </c>
      <c r="P3401" t="s">
        <v>12</v>
      </c>
      <c r="Q3401" t="s">
        <v>13</v>
      </c>
      <c r="R3401" t="s">
        <v>13</v>
      </c>
      <c r="S3401" t="s">
        <v>144</v>
      </c>
      <c r="T3401" s="2">
        <f>MASTER[[#This Row],[CANTIDAD]]*MASTER[[#This Row],[PRECIO DE VENTA]]</f>
        <v>1738</v>
      </c>
      <c r="U3401" s="2">
        <f>MASTER[[#This Row],[CANTIDAD]]*MASTER[[#This Row],[COSTO UNITARIO]]</f>
        <v>388</v>
      </c>
      <c r="V3401" s="2">
        <f>MASTER[[#This Row],[MONTO VENDIDO]]-MASTER[[#This Row],[COSTO DE VENTA]]</f>
        <v>1350</v>
      </c>
    </row>
    <row r="3402" spans="1:22" x14ac:dyDescent="0.3">
      <c r="A3402">
        <v>53696</v>
      </c>
      <c r="B3402">
        <v>1</v>
      </c>
      <c r="C3402" t="s">
        <v>121</v>
      </c>
      <c r="D3402" t="s">
        <v>122</v>
      </c>
      <c r="E3402" s="1">
        <v>44227</v>
      </c>
      <c r="F3402">
        <v>1</v>
      </c>
      <c r="G3402" t="s">
        <v>53</v>
      </c>
      <c r="H3402" t="s">
        <v>54</v>
      </c>
      <c r="I3402" s="3">
        <v>1069</v>
      </c>
      <c r="J3402" s="3">
        <v>1069</v>
      </c>
      <c r="K3402" s="3">
        <v>460</v>
      </c>
      <c r="L3402" t="s">
        <v>120</v>
      </c>
      <c r="M3402">
        <v>10</v>
      </c>
      <c r="N3402" t="s">
        <v>83</v>
      </c>
      <c r="O3402" t="s">
        <v>81</v>
      </c>
      <c r="P3402" t="s">
        <v>12</v>
      </c>
      <c r="Q3402" t="s">
        <v>13</v>
      </c>
      <c r="R3402" t="s">
        <v>13</v>
      </c>
      <c r="S3402" t="s">
        <v>144</v>
      </c>
      <c r="T3402" s="2">
        <f>MASTER[[#This Row],[CANTIDAD]]*MASTER[[#This Row],[PRECIO DE VENTA]]</f>
        <v>1069</v>
      </c>
      <c r="U3402" s="2">
        <f>MASTER[[#This Row],[CANTIDAD]]*MASTER[[#This Row],[COSTO UNITARIO]]</f>
        <v>460</v>
      </c>
      <c r="V3402" s="2">
        <f>MASTER[[#This Row],[MONTO VENDIDO]]-MASTER[[#This Row],[COSTO DE VENTA]]</f>
        <v>609</v>
      </c>
    </row>
    <row r="3403" spans="1:22" x14ac:dyDescent="0.3">
      <c r="A3403">
        <v>53701</v>
      </c>
      <c r="B3403">
        <v>1</v>
      </c>
      <c r="C3403" t="s">
        <v>109</v>
      </c>
      <c r="D3403" t="s">
        <v>110</v>
      </c>
      <c r="E3403" s="1">
        <v>44227</v>
      </c>
      <c r="F3403">
        <v>1</v>
      </c>
      <c r="G3403" t="s">
        <v>27</v>
      </c>
      <c r="H3403" t="s">
        <v>28</v>
      </c>
      <c r="I3403" s="3">
        <v>947</v>
      </c>
      <c r="J3403" s="3">
        <v>947</v>
      </c>
      <c r="K3403" s="3">
        <v>387</v>
      </c>
      <c r="L3403" t="s">
        <v>98</v>
      </c>
      <c r="M3403">
        <v>16</v>
      </c>
      <c r="N3403" t="s">
        <v>17</v>
      </c>
      <c r="O3403" t="s">
        <v>11</v>
      </c>
      <c r="P3403" t="s">
        <v>18</v>
      </c>
      <c r="Q3403" t="s">
        <v>19</v>
      </c>
      <c r="R3403" t="s">
        <v>138</v>
      </c>
      <c r="S3403" t="s">
        <v>144</v>
      </c>
      <c r="T3403" s="2">
        <f>MASTER[[#This Row],[CANTIDAD]]*MASTER[[#This Row],[PRECIO DE VENTA]]</f>
        <v>947</v>
      </c>
      <c r="U3403" s="2">
        <f>MASTER[[#This Row],[CANTIDAD]]*MASTER[[#This Row],[COSTO UNITARIO]]</f>
        <v>387</v>
      </c>
      <c r="V3403" s="2">
        <f>MASTER[[#This Row],[MONTO VENDIDO]]-MASTER[[#This Row],[COSTO DE VENTA]]</f>
        <v>560</v>
      </c>
    </row>
    <row r="3404" spans="1:22" x14ac:dyDescent="0.3">
      <c r="A3404">
        <v>53704</v>
      </c>
      <c r="B3404">
        <v>1</v>
      </c>
      <c r="C3404" t="s">
        <v>107</v>
      </c>
      <c r="D3404" t="s">
        <v>108</v>
      </c>
      <c r="E3404" s="1">
        <v>44228</v>
      </c>
      <c r="F3404">
        <v>1</v>
      </c>
      <c r="G3404" t="s">
        <v>45</v>
      </c>
      <c r="H3404" t="s">
        <v>46</v>
      </c>
      <c r="I3404" s="3">
        <v>1440</v>
      </c>
      <c r="J3404" s="3">
        <v>1440</v>
      </c>
      <c r="K3404" s="3">
        <v>380</v>
      </c>
      <c r="L3404" t="s">
        <v>98</v>
      </c>
      <c r="M3404">
        <v>1</v>
      </c>
      <c r="N3404" t="s">
        <v>77</v>
      </c>
      <c r="O3404" t="s">
        <v>70</v>
      </c>
      <c r="P3404" t="s">
        <v>71</v>
      </c>
      <c r="Q3404" t="s">
        <v>72</v>
      </c>
      <c r="R3404" t="s">
        <v>139</v>
      </c>
      <c r="S3404" t="s">
        <v>144</v>
      </c>
      <c r="T3404" s="2">
        <f>MASTER[[#This Row],[CANTIDAD]]*MASTER[[#This Row],[PRECIO DE VENTA]]</f>
        <v>1440</v>
      </c>
      <c r="U3404" s="2">
        <f>MASTER[[#This Row],[CANTIDAD]]*MASTER[[#This Row],[COSTO UNITARIO]]</f>
        <v>380</v>
      </c>
      <c r="V3404" s="2">
        <f>MASTER[[#This Row],[MONTO VENDIDO]]-MASTER[[#This Row],[COSTO DE VENTA]]</f>
        <v>1060</v>
      </c>
    </row>
    <row r="3405" spans="1:22" x14ac:dyDescent="0.3">
      <c r="A3405">
        <v>53733</v>
      </c>
      <c r="B3405">
        <v>1</v>
      </c>
      <c r="C3405" t="s">
        <v>99</v>
      </c>
      <c r="D3405" t="s">
        <v>100</v>
      </c>
      <c r="E3405" s="1">
        <v>44228</v>
      </c>
      <c r="F3405">
        <v>4</v>
      </c>
      <c r="G3405" t="s">
        <v>49</v>
      </c>
      <c r="H3405" t="s">
        <v>50</v>
      </c>
      <c r="I3405" s="3">
        <v>1678</v>
      </c>
      <c r="J3405" s="3">
        <v>1594</v>
      </c>
      <c r="K3405" s="3">
        <v>386</v>
      </c>
      <c r="L3405" t="s">
        <v>98</v>
      </c>
      <c r="M3405">
        <v>3</v>
      </c>
      <c r="N3405" t="s">
        <v>69</v>
      </c>
      <c r="O3405" t="s">
        <v>70</v>
      </c>
      <c r="P3405" t="s">
        <v>71</v>
      </c>
      <c r="Q3405" t="s">
        <v>72</v>
      </c>
      <c r="R3405" t="s">
        <v>139</v>
      </c>
      <c r="S3405" t="s">
        <v>144</v>
      </c>
      <c r="T3405" s="2">
        <f>MASTER[[#This Row],[CANTIDAD]]*MASTER[[#This Row],[PRECIO DE VENTA]]</f>
        <v>6376</v>
      </c>
      <c r="U3405" s="2">
        <f>MASTER[[#This Row],[CANTIDAD]]*MASTER[[#This Row],[COSTO UNITARIO]]</f>
        <v>1544</v>
      </c>
      <c r="V3405" s="2">
        <f>MASTER[[#This Row],[MONTO VENDIDO]]-MASTER[[#This Row],[COSTO DE VENTA]]</f>
        <v>4832</v>
      </c>
    </row>
    <row r="3406" spans="1:22" x14ac:dyDescent="0.3">
      <c r="A3406">
        <v>53768</v>
      </c>
      <c r="B3406">
        <v>1</v>
      </c>
      <c r="C3406" t="s">
        <v>96</v>
      </c>
      <c r="D3406" t="s">
        <v>97</v>
      </c>
      <c r="E3406" s="1">
        <v>44228</v>
      </c>
      <c r="F3406">
        <v>3</v>
      </c>
      <c r="G3406" t="s">
        <v>51</v>
      </c>
      <c r="H3406" t="s">
        <v>52</v>
      </c>
      <c r="I3406" s="3">
        <v>1361</v>
      </c>
      <c r="J3406" s="3">
        <v>1361</v>
      </c>
      <c r="K3406" s="3">
        <v>397</v>
      </c>
      <c r="L3406" t="s">
        <v>98</v>
      </c>
      <c r="M3406">
        <v>1</v>
      </c>
      <c r="N3406" t="s">
        <v>77</v>
      </c>
      <c r="O3406" t="s">
        <v>70</v>
      </c>
      <c r="P3406" t="s">
        <v>71</v>
      </c>
      <c r="Q3406" t="s">
        <v>72</v>
      </c>
      <c r="R3406" t="s">
        <v>139</v>
      </c>
      <c r="S3406" t="s">
        <v>144</v>
      </c>
      <c r="T3406" s="2">
        <f>MASTER[[#This Row],[CANTIDAD]]*MASTER[[#This Row],[PRECIO DE VENTA]]</f>
        <v>4083</v>
      </c>
      <c r="U3406" s="2">
        <f>MASTER[[#This Row],[CANTIDAD]]*MASTER[[#This Row],[COSTO UNITARIO]]</f>
        <v>1191</v>
      </c>
      <c r="V3406" s="2">
        <f>MASTER[[#This Row],[MONTO VENDIDO]]-MASTER[[#This Row],[COSTO DE VENTA]]</f>
        <v>2892</v>
      </c>
    </row>
    <row r="3407" spans="1:22" x14ac:dyDescent="0.3">
      <c r="A3407">
        <v>53778</v>
      </c>
      <c r="B3407">
        <v>1</v>
      </c>
      <c r="C3407" t="s">
        <v>103</v>
      </c>
      <c r="D3407" t="s">
        <v>104</v>
      </c>
      <c r="E3407" s="1">
        <v>44228</v>
      </c>
      <c r="F3407">
        <v>1</v>
      </c>
      <c r="G3407" t="s">
        <v>73</v>
      </c>
      <c r="H3407" t="s">
        <v>74</v>
      </c>
      <c r="I3407" s="3">
        <v>1591</v>
      </c>
      <c r="J3407" s="3">
        <v>1591</v>
      </c>
      <c r="K3407" s="3">
        <v>421</v>
      </c>
      <c r="L3407" t="s">
        <v>98</v>
      </c>
      <c r="M3407">
        <v>8</v>
      </c>
      <c r="N3407" t="s">
        <v>80</v>
      </c>
      <c r="O3407" t="s">
        <v>81</v>
      </c>
      <c r="P3407" t="s">
        <v>12</v>
      </c>
      <c r="Q3407" t="s">
        <v>13</v>
      </c>
      <c r="R3407" t="s">
        <v>13</v>
      </c>
      <c r="S3407" t="s">
        <v>144</v>
      </c>
      <c r="T3407" s="2">
        <f>MASTER[[#This Row],[CANTIDAD]]*MASTER[[#This Row],[PRECIO DE VENTA]]</f>
        <v>1591</v>
      </c>
      <c r="U3407" s="2">
        <f>MASTER[[#This Row],[CANTIDAD]]*MASTER[[#This Row],[COSTO UNITARIO]]</f>
        <v>421</v>
      </c>
      <c r="V3407" s="2">
        <f>MASTER[[#This Row],[MONTO VENDIDO]]-MASTER[[#This Row],[COSTO DE VENTA]]</f>
        <v>1170</v>
      </c>
    </row>
    <row r="3408" spans="1:22" x14ac:dyDescent="0.3">
      <c r="A3408">
        <v>53783</v>
      </c>
      <c r="B3408">
        <v>1</v>
      </c>
      <c r="C3408" t="s">
        <v>105</v>
      </c>
      <c r="D3408" t="s">
        <v>106</v>
      </c>
      <c r="E3408" s="1">
        <v>44228</v>
      </c>
      <c r="F3408">
        <v>1</v>
      </c>
      <c r="G3408" t="s">
        <v>33</v>
      </c>
      <c r="H3408" t="s">
        <v>34</v>
      </c>
      <c r="I3408" s="3">
        <v>1585</v>
      </c>
      <c r="J3408" s="3">
        <v>1585</v>
      </c>
      <c r="K3408" s="3">
        <v>459</v>
      </c>
      <c r="L3408" t="s">
        <v>98</v>
      </c>
      <c r="M3408">
        <v>16</v>
      </c>
      <c r="N3408" t="s">
        <v>17</v>
      </c>
      <c r="O3408" t="s">
        <v>11</v>
      </c>
      <c r="P3408" t="s">
        <v>18</v>
      </c>
      <c r="Q3408" t="s">
        <v>19</v>
      </c>
      <c r="R3408" t="s">
        <v>138</v>
      </c>
      <c r="S3408" t="s">
        <v>144</v>
      </c>
      <c r="T3408" s="2">
        <f>MASTER[[#This Row],[CANTIDAD]]*MASTER[[#This Row],[PRECIO DE VENTA]]</f>
        <v>1585</v>
      </c>
      <c r="U3408" s="2">
        <f>MASTER[[#This Row],[CANTIDAD]]*MASTER[[#This Row],[COSTO UNITARIO]]</f>
        <v>459</v>
      </c>
      <c r="V3408" s="2">
        <f>MASTER[[#This Row],[MONTO VENDIDO]]-MASTER[[#This Row],[COSTO DE VENTA]]</f>
        <v>1126</v>
      </c>
    </row>
    <row r="3409" spans="1:22" x14ac:dyDescent="0.3">
      <c r="A3409">
        <v>53801</v>
      </c>
      <c r="B3409">
        <v>1</v>
      </c>
      <c r="C3409" t="s">
        <v>109</v>
      </c>
      <c r="D3409" t="s">
        <v>110</v>
      </c>
      <c r="E3409" s="1">
        <v>44228</v>
      </c>
      <c r="F3409">
        <v>1</v>
      </c>
      <c r="G3409" t="s">
        <v>43</v>
      </c>
      <c r="H3409" t="s">
        <v>44</v>
      </c>
      <c r="I3409" s="3">
        <v>947</v>
      </c>
      <c r="J3409" s="3">
        <v>947</v>
      </c>
      <c r="K3409" s="3">
        <v>387</v>
      </c>
      <c r="L3409" t="s">
        <v>98</v>
      </c>
      <c r="M3409">
        <v>16</v>
      </c>
      <c r="N3409" t="s">
        <v>17</v>
      </c>
      <c r="O3409" t="s">
        <v>11</v>
      </c>
      <c r="P3409" t="s">
        <v>18</v>
      </c>
      <c r="Q3409" t="s">
        <v>19</v>
      </c>
      <c r="R3409" t="s">
        <v>138</v>
      </c>
      <c r="S3409" t="s">
        <v>144</v>
      </c>
      <c r="T3409" s="2">
        <f>MASTER[[#This Row],[CANTIDAD]]*MASTER[[#This Row],[PRECIO DE VENTA]]</f>
        <v>947</v>
      </c>
      <c r="U3409" s="2">
        <f>MASTER[[#This Row],[CANTIDAD]]*MASTER[[#This Row],[COSTO UNITARIO]]</f>
        <v>387</v>
      </c>
      <c r="V3409" s="2">
        <f>MASTER[[#This Row],[MONTO VENDIDO]]-MASTER[[#This Row],[COSTO DE VENTA]]</f>
        <v>560</v>
      </c>
    </row>
    <row r="3410" spans="1:22" x14ac:dyDescent="0.3">
      <c r="A3410">
        <v>53824</v>
      </c>
      <c r="B3410">
        <v>1</v>
      </c>
      <c r="C3410" t="s">
        <v>105</v>
      </c>
      <c r="D3410" t="s">
        <v>106</v>
      </c>
      <c r="E3410" s="1">
        <v>44228</v>
      </c>
      <c r="F3410">
        <v>1</v>
      </c>
      <c r="G3410" t="s">
        <v>67</v>
      </c>
      <c r="H3410" t="s">
        <v>68</v>
      </c>
      <c r="I3410" s="3">
        <v>1865</v>
      </c>
      <c r="J3410" s="3">
        <v>1865</v>
      </c>
      <c r="K3410" s="3">
        <v>459</v>
      </c>
      <c r="L3410" t="s">
        <v>98</v>
      </c>
      <c r="M3410">
        <v>5</v>
      </c>
      <c r="N3410" t="s">
        <v>85</v>
      </c>
      <c r="O3410" t="s">
        <v>81</v>
      </c>
      <c r="P3410" t="s">
        <v>12</v>
      </c>
      <c r="Q3410" t="s">
        <v>13</v>
      </c>
      <c r="R3410" t="s">
        <v>13</v>
      </c>
      <c r="S3410" t="s">
        <v>144</v>
      </c>
      <c r="T3410" s="2">
        <f>MASTER[[#This Row],[CANTIDAD]]*MASTER[[#This Row],[PRECIO DE VENTA]]</f>
        <v>1865</v>
      </c>
      <c r="U3410" s="2">
        <f>MASTER[[#This Row],[CANTIDAD]]*MASTER[[#This Row],[COSTO UNITARIO]]</f>
        <v>459</v>
      </c>
      <c r="V3410" s="2">
        <f>MASTER[[#This Row],[MONTO VENDIDO]]-MASTER[[#This Row],[COSTO DE VENTA]]</f>
        <v>1406</v>
      </c>
    </row>
    <row r="3411" spans="1:22" x14ac:dyDescent="0.3">
      <c r="A3411">
        <v>53870</v>
      </c>
      <c r="B3411">
        <v>1</v>
      </c>
      <c r="C3411" t="s">
        <v>101</v>
      </c>
      <c r="D3411" t="s">
        <v>102</v>
      </c>
      <c r="E3411" s="1">
        <v>44229</v>
      </c>
      <c r="F3411">
        <v>1</v>
      </c>
      <c r="G3411" t="s">
        <v>29</v>
      </c>
      <c r="H3411" t="s">
        <v>30</v>
      </c>
      <c r="I3411" s="3">
        <v>1357</v>
      </c>
      <c r="J3411" s="3">
        <v>1357</v>
      </c>
      <c r="K3411" s="3">
        <v>442</v>
      </c>
      <c r="L3411" t="s">
        <v>98</v>
      </c>
      <c r="M3411">
        <v>9</v>
      </c>
      <c r="N3411" t="s">
        <v>76</v>
      </c>
      <c r="O3411" t="s">
        <v>70</v>
      </c>
      <c r="P3411" t="s">
        <v>12</v>
      </c>
      <c r="Q3411" t="s">
        <v>13</v>
      </c>
      <c r="R3411" t="s">
        <v>13</v>
      </c>
      <c r="S3411" t="s">
        <v>144</v>
      </c>
      <c r="T3411" s="2">
        <f>MASTER[[#This Row],[CANTIDAD]]*MASTER[[#This Row],[PRECIO DE VENTA]]</f>
        <v>1357</v>
      </c>
      <c r="U3411" s="2">
        <f>MASTER[[#This Row],[CANTIDAD]]*MASTER[[#This Row],[COSTO UNITARIO]]</f>
        <v>442</v>
      </c>
      <c r="V3411" s="2">
        <f>MASTER[[#This Row],[MONTO VENDIDO]]-MASTER[[#This Row],[COSTO DE VENTA]]</f>
        <v>915</v>
      </c>
    </row>
    <row r="3412" spans="1:22" x14ac:dyDescent="0.3">
      <c r="A3412">
        <v>53875</v>
      </c>
      <c r="B3412">
        <v>1</v>
      </c>
      <c r="C3412" t="s">
        <v>109</v>
      </c>
      <c r="D3412" t="s">
        <v>110</v>
      </c>
      <c r="E3412" s="1">
        <v>44229</v>
      </c>
      <c r="F3412">
        <v>1</v>
      </c>
      <c r="G3412" t="s">
        <v>45</v>
      </c>
      <c r="H3412" t="s">
        <v>46</v>
      </c>
      <c r="I3412" s="3">
        <v>1128</v>
      </c>
      <c r="J3412" s="3">
        <v>1128</v>
      </c>
      <c r="K3412" s="3">
        <v>387</v>
      </c>
      <c r="L3412" t="s">
        <v>98</v>
      </c>
      <c r="M3412">
        <v>6</v>
      </c>
      <c r="N3412" t="s">
        <v>75</v>
      </c>
      <c r="O3412" t="s">
        <v>70</v>
      </c>
      <c r="P3412" t="s">
        <v>12</v>
      </c>
      <c r="Q3412" t="s">
        <v>13</v>
      </c>
      <c r="R3412" t="s">
        <v>13</v>
      </c>
      <c r="S3412" t="s">
        <v>144</v>
      </c>
      <c r="T3412" s="2">
        <f>MASTER[[#This Row],[CANTIDAD]]*MASTER[[#This Row],[PRECIO DE VENTA]]</f>
        <v>1128</v>
      </c>
      <c r="U3412" s="2">
        <f>MASTER[[#This Row],[CANTIDAD]]*MASTER[[#This Row],[COSTO UNITARIO]]</f>
        <v>387</v>
      </c>
      <c r="V3412" s="2">
        <f>MASTER[[#This Row],[MONTO VENDIDO]]-MASTER[[#This Row],[COSTO DE VENTA]]</f>
        <v>741</v>
      </c>
    </row>
    <row r="3413" spans="1:22" x14ac:dyDescent="0.3">
      <c r="A3413">
        <v>53878</v>
      </c>
      <c r="B3413">
        <v>1</v>
      </c>
      <c r="C3413" t="s">
        <v>90</v>
      </c>
      <c r="D3413" t="s">
        <v>91</v>
      </c>
      <c r="E3413" s="1">
        <v>44229</v>
      </c>
      <c r="F3413">
        <v>1</v>
      </c>
      <c r="G3413" t="s">
        <v>20</v>
      </c>
      <c r="H3413" t="s">
        <v>21</v>
      </c>
      <c r="I3413" s="3">
        <v>1660</v>
      </c>
      <c r="J3413" s="3">
        <v>1660</v>
      </c>
      <c r="K3413" s="3">
        <v>420</v>
      </c>
      <c r="L3413" t="s">
        <v>9</v>
      </c>
      <c r="M3413">
        <v>11</v>
      </c>
      <c r="N3413" t="s">
        <v>10</v>
      </c>
      <c r="O3413" t="s">
        <v>11</v>
      </c>
      <c r="P3413" t="s">
        <v>12</v>
      </c>
      <c r="Q3413" t="s">
        <v>13</v>
      </c>
      <c r="R3413" t="s">
        <v>13</v>
      </c>
      <c r="S3413" t="s">
        <v>144</v>
      </c>
      <c r="T3413" s="2">
        <f>MASTER[[#This Row],[CANTIDAD]]*MASTER[[#This Row],[PRECIO DE VENTA]]</f>
        <v>1660</v>
      </c>
      <c r="U3413" s="2">
        <f>MASTER[[#This Row],[CANTIDAD]]*MASTER[[#This Row],[COSTO UNITARIO]]</f>
        <v>420</v>
      </c>
      <c r="V3413" s="2">
        <f>MASTER[[#This Row],[MONTO VENDIDO]]-MASTER[[#This Row],[COSTO DE VENTA]]</f>
        <v>1240</v>
      </c>
    </row>
    <row r="3414" spans="1:22" x14ac:dyDescent="0.3">
      <c r="A3414">
        <v>53886</v>
      </c>
      <c r="B3414">
        <v>1</v>
      </c>
      <c r="C3414" t="s">
        <v>109</v>
      </c>
      <c r="D3414" t="s">
        <v>110</v>
      </c>
      <c r="E3414" s="1">
        <v>44229</v>
      </c>
      <c r="F3414">
        <v>2</v>
      </c>
      <c r="G3414" t="s">
        <v>73</v>
      </c>
      <c r="H3414" t="s">
        <v>74</v>
      </c>
      <c r="I3414" s="3">
        <v>1128</v>
      </c>
      <c r="J3414" s="3">
        <v>1128</v>
      </c>
      <c r="K3414" s="3">
        <v>387</v>
      </c>
      <c r="L3414" t="s">
        <v>98</v>
      </c>
      <c r="M3414">
        <v>9</v>
      </c>
      <c r="N3414" t="s">
        <v>76</v>
      </c>
      <c r="O3414" t="s">
        <v>70</v>
      </c>
      <c r="P3414" t="s">
        <v>12</v>
      </c>
      <c r="Q3414" t="s">
        <v>13</v>
      </c>
      <c r="R3414" t="s">
        <v>13</v>
      </c>
      <c r="S3414" t="s">
        <v>144</v>
      </c>
      <c r="T3414" s="2">
        <f>MASTER[[#This Row],[CANTIDAD]]*MASTER[[#This Row],[PRECIO DE VENTA]]</f>
        <v>2256</v>
      </c>
      <c r="U3414" s="2">
        <f>MASTER[[#This Row],[CANTIDAD]]*MASTER[[#This Row],[COSTO UNITARIO]]</f>
        <v>774</v>
      </c>
      <c r="V3414" s="2">
        <f>MASTER[[#This Row],[MONTO VENDIDO]]-MASTER[[#This Row],[COSTO DE VENTA]]</f>
        <v>1482</v>
      </c>
    </row>
    <row r="3415" spans="1:22" x14ac:dyDescent="0.3">
      <c r="A3415">
        <v>53890</v>
      </c>
      <c r="B3415">
        <v>1</v>
      </c>
      <c r="C3415" t="s">
        <v>116</v>
      </c>
      <c r="D3415" t="s">
        <v>117</v>
      </c>
      <c r="E3415" s="1">
        <v>44229</v>
      </c>
      <c r="F3415">
        <v>1</v>
      </c>
      <c r="G3415" t="s">
        <v>31</v>
      </c>
      <c r="H3415" t="s">
        <v>32</v>
      </c>
      <c r="I3415" s="3">
        <v>1999</v>
      </c>
      <c r="J3415" s="3">
        <v>1859</v>
      </c>
      <c r="K3415" s="3">
        <v>388</v>
      </c>
      <c r="L3415" t="s">
        <v>113</v>
      </c>
      <c r="M3415">
        <v>9</v>
      </c>
      <c r="N3415" t="s">
        <v>76</v>
      </c>
      <c r="O3415" t="s">
        <v>70</v>
      </c>
      <c r="P3415" t="s">
        <v>12</v>
      </c>
      <c r="Q3415" t="s">
        <v>13</v>
      </c>
      <c r="R3415" t="s">
        <v>13</v>
      </c>
      <c r="S3415" t="s">
        <v>144</v>
      </c>
      <c r="T3415" s="2">
        <f>MASTER[[#This Row],[CANTIDAD]]*MASTER[[#This Row],[PRECIO DE VENTA]]</f>
        <v>1859</v>
      </c>
      <c r="U3415" s="2">
        <f>MASTER[[#This Row],[CANTIDAD]]*MASTER[[#This Row],[COSTO UNITARIO]]</f>
        <v>388</v>
      </c>
      <c r="V3415" s="2">
        <f>MASTER[[#This Row],[MONTO VENDIDO]]-MASTER[[#This Row],[COSTO DE VENTA]]</f>
        <v>1471</v>
      </c>
    </row>
    <row r="3416" spans="1:22" x14ac:dyDescent="0.3">
      <c r="A3416">
        <v>53893</v>
      </c>
      <c r="B3416">
        <v>1</v>
      </c>
      <c r="C3416" t="s">
        <v>105</v>
      </c>
      <c r="D3416" t="s">
        <v>106</v>
      </c>
      <c r="E3416" s="1">
        <v>44229</v>
      </c>
      <c r="F3416">
        <v>1</v>
      </c>
      <c r="G3416" t="s">
        <v>53</v>
      </c>
      <c r="H3416" t="s">
        <v>54</v>
      </c>
      <c r="I3416" s="3">
        <v>1865</v>
      </c>
      <c r="J3416" s="3">
        <v>1865</v>
      </c>
      <c r="K3416" s="3">
        <v>459</v>
      </c>
      <c r="L3416" t="s">
        <v>98</v>
      </c>
      <c r="M3416">
        <v>7</v>
      </c>
      <c r="N3416" t="s">
        <v>84</v>
      </c>
      <c r="O3416" t="s">
        <v>81</v>
      </c>
      <c r="P3416" t="s">
        <v>12</v>
      </c>
      <c r="Q3416" t="s">
        <v>13</v>
      </c>
      <c r="R3416" t="s">
        <v>13</v>
      </c>
      <c r="S3416" t="s">
        <v>144</v>
      </c>
      <c r="T3416" s="2">
        <f>MASTER[[#This Row],[CANTIDAD]]*MASTER[[#This Row],[PRECIO DE VENTA]]</f>
        <v>1865</v>
      </c>
      <c r="U3416" s="2">
        <f>MASTER[[#This Row],[CANTIDAD]]*MASTER[[#This Row],[COSTO UNITARIO]]</f>
        <v>459</v>
      </c>
      <c r="V3416" s="2">
        <f>MASTER[[#This Row],[MONTO VENDIDO]]-MASTER[[#This Row],[COSTO DE VENTA]]</f>
        <v>1406</v>
      </c>
    </row>
    <row r="3417" spans="1:22" x14ac:dyDescent="0.3">
      <c r="A3417">
        <v>53900</v>
      </c>
      <c r="B3417">
        <v>1</v>
      </c>
      <c r="C3417" t="s">
        <v>121</v>
      </c>
      <c r="D3417" t="s">
        <v>122</v>
      </c>
      <c r="E3417" s="1">
        <v>44229</v>
      </c>
      <c r="F3417">
        <v>1</v>
      </c>
      <c r="G3417" t="s">
        <v>35</v>
      </c>
      <c r="H3417" t="s">
        <v>36</v>
      </c>
      <c r="I3417" s="3">
        <v>1144</v>
      </c>
      <c r="J3417" s="3">
        <v>1144</v>
      </c>
      <c r="K3417" s="3">
        <v>460</v>
      </c>
      <c r="L3417" t="s">
        <v>120</v>
      </c>
      <c r="M3417">
        <v>18</v>
      </c>
      <c r="N3417" t="s">
        <v>79</v>
      </c>
      <c r="O3417" t="s">
        <v>70</v>
      </c>
      <c r="P3417" t="s">
        <v>15</v>
      </c>
      <c r="Q3417" t="s">
        <v>16</v>
      </c>
      <c r="R3417" t="s">
        <v>16</v>
      </c>
      <c r="S3417" t="s">
        <v>144</v>
      </c>
      <c r="T3417" s="2">
        <f>MASTER[[#This Row],[CANTIDAD]]*MASTER[[#This Row],[PRECIO DE VENTA]]</f>
        <v>1144</v>
      </c>
      <c r="U3417" s="2">
        <f>MASTER[[#This Row],[CANTIDAD]]*MASTER[[#This Row],[COSTO UNITARIO]]</f>
        <v>460</v>
      </c>
      <c r="V3417" s="2">
        <f>MASTER[[#This Row],[MONTO VENDIDO]]-MASTER[[#This Row],[COSTO DE VENTA]]</f>
        <v>684</v>
      </c>
    </row>
    <row r="3418" spans="1:22" x14ac:dyDescent="0.3">
      <c r="A3418">
        <v>53916</v>
      </c>
      <c r="B3418">
        <v>1</v>
      </c>
      <c r="C3418" t="s">
        <v>107</v>
      </c>
      <c r="D3418" t="s">
        <v>108</v>
      </c>
      <c r="E3418" s="1">
        <v>44229</v>
      </c>
      <c r="F3418">
        <v>1</v>
      </c>
      <c r="G3418" t="s">
        <v>65</v>
      </c>
      <c r="H3418" t="s">
        <v>66</v>
      </c>
      <c r="I3418" s="3">
        <v>1240</v>
      </c>
      <c r="J3418" s="3">
        <v>1240</v>
      </c>
      <c r="K3418" s="3">
        <v>380</v>
      </c>
      <c r="L3418" t="s">
        <v>98</v>
      </c>
      <c r="M3418">
        <v>12</v>
      </c>
      <c r="N3418" t="s">
        <v>26</v>
      </c>
      <c r="O3418" t="s">
        <v>11</v>
      </c>
      <c r="P3418" t="s">
        <v>12</v>
      </c>
      <c r="Q3418" t="s">
        <v>13</v>
      </c>
      <c r="R3418" t="s">
        <v>13</v>
      </c>
      <c r="S3418" t="s">
        <v>144</v>
      </c>
      <c r="T3418" s="2">
        <f>MASTER[[#This Row],[CANTIDAD]]*MASTER[[#This Row],[PRECIO DE VENTA]]</f>
        <v>1240</v>
      </c>
      <c r="U3418" s="2">
        <f>MASTER[[#This Row],[CANTIDAD]]*MASTER[[#This Row],[COSTO UNITARIO]]</f>
        <v>380</v>
      </c>
      <c r="V3418" s="2">
        <f>MASTER[[#This Row],[MONTO VENDIDO]]-MASTER[[#This Row],[COSTO DE VENTA]]</f>
        <v>860</v>
      </c>
    </row>
    <row r="3419" spans="1:22" x14ac:dyDescent="0.3">
      <c r="A3419">
        <v>53929</v>
      </c>
      <c r="B3419">
        <v>1</v>
      </c>
      <c r="C3419" t="s">
        <v>107</v>
      </c>
      <c r="D3419" t="s">
        <v>108</v>
      </c>
      <c r="E3419" s="1">
        <v>44230</v>
      </c>
      <c r="F3419">
        <v>1</v>
      </c>
      <c r="G3419" t="s">
        <v>45</v>
      </c>
      <c r="H3419" t="s">
        <v>46</v>
      </c>
      <c r="I3419" s="3">
        <v>1240</v>
      </c>
      <c r="J3419" s="3">
        <v>1240</v>
      </c>
      <c r="K3419" s="3">
        <v>380</v>
      </c>
      <c r="L3419" t="s">
        <v>98</v>
      </c>
      <c r="M3419">
        <v>17</v>
      </c>
      <c r="N3419" t="s">
        <v>14</v>
      </c>
      <c r="O3419" t="s">
        <v>11</v>
      </c>
      <c r="P3419" t="s">
        <v>15</v>
      </c>
      <c r="Q3419" t="s">
        <v>16</v>
      </c>
      <c r="R3419" t="s">
        <v>16</v>
      </c>
      <c r="S3419" t="s">
        <v>144</v>
      </c>
      <c r="T3419" s="2">
        <f>MASTER[[#This Row],[CANTIDAD]]*MASTER[[#This Row],[PRECIO DE VENTA]]</f>
        <v>1240</v>
      </c>
      <c r="U3419" s="2">
        <f>MASTER[[#This Row],[CANTIDAD]]*MASTER[[#This Row],[COSTO UNITARIO]]</f>
        <v>380</v>
      </c>
      <c r="V3419" s="2">
        <f>MASTER[[#This Row],[MONTO VENDIDO]]-MASTER[[#This Row],[COSTO DE VENTA]]</f>
        <v>860</v>
      </c>
    </row>
    <row r="3420" spans="1:22" x14ac:dyDescent="0.3">
      <c r="A3420">
        <v>53939</v>
      </c>
      <c r="B3420">
        <v>1</v>
      </c>
      <c r="C3420" t="s">
        <v>109</v>
      </c>
      <c r="D3420" t="s">
        <v>110</v>
      </c>
      <c r="E3420" s="1">
        <v>44230</v>
      </c>
      <c r="F3420">
        <v>1</v>
      </c>
      <c r="G3420" t="s">
        <v>57</v>
      </c>
      <c r="H3420" t="s">
        <v>58</v>
      </c>
      <c r="I3420" s="3">
        <v>1128</v>
      </c>
      <c r="J3420" s="3">
        <v>1128</v>
      </c>
      <c r="K3420" s="3">
        <v>387</v>
      </c>
      <c r="L3420" t="s">
        <v>98</v>
      </c>
      <c r="M3420">
        <v>3</v>
      </c>
      <c r="N3420" t="s">
        <v>69</v>
      </c>
      <c r="O3420" t="s">
        <v>70</v>
      </c>
      <c r="P3420" t="s">
        <v>71</v>
      </c>
      <c r="Q3420" t="s">
        <v>72</v>
      </c>
      <c r="R3420" t="s">
        <v>139</v>
      </c>
      <c r="S3420" t="s">
        <v>144</v>
      </c>
      <c r="T3420" s="2">
        <f>MASTER[[#This Row],[CANTIDAD]]*MASTER[[#This Row],[PRECIO DE VENTA]]</f>
        <v>1128</v>
      </c>
      <c r="U3420" s="2">
        <f>MASTER[[#This Row],[CANTIDAD]]*MASTER[[#This Row],[COSTO UNITARIO]]</f>
        <v>387</v>
      </c>
      <c r="V3420" s="2">
        <f>MASTER[[#This Row],[MONTO VENDIDO]]-MASTER[[#This Row],[COSTO DE VENTA]]</f>
        <v>741</v>
      </c>
    </row>
    <row r="3421" spans="1:22" x14ac:dyDescent="0.3">
      <c r="A3421">
        <v>53941</v>
      </c>
      <c r="B3421">
        <v>1</v>
      </c>
      <c r="C3421" t="s">
        <v>105</v>
      </c>
      <c r="D3421" t="s">
        <v>106</v>
      </c>
      <c r="E3421" s="1">
        <v>44230</v>
      </c>
      <c r="F3421">
        <v>1</v>
      </c>
      <c r="G3421" t="s">
        <v>61</v>
      </c>
      <c r="H3421" t="s">
        <v>62</v>
      </c>
      <c r="I3421" s="3">
        <v>1865</v>
      </c>
      <c r="J3421" s="3">
        <v>1865</v>
      </c>
      <c r="K3421" s="3">
        <v>459</v>
      </c>
      <c r="L3421" t="s">
        <v>98</v>
      </c>
      <c r="M3421">
        <v>10</v>
      </c>
      <c r="N3421" t="s">
        <v>83</v>
      </c>
      <c r="O3421" t="s">
        <v>81</v>
      </c>
      <c r="P3421" t="s">
        <v>12</v>
      </c>
      <c r="Q3421" t="s">
        <v>13</v>
      </c>
      <c r="R3421" t="s">
        <v>13</v>
      </c>
      <c r="S3421" t="s">
        <v>144</v>
      </c>
      <c r="T3421" s="2">
        <f>MASTER[[#This Row],[CANTIDAD]]*MASTER[[#This Row],[PRECIO DE VENTA]]</f>
        <v>1865</v>
      </c>
      <c r="U3421" s="2">
        <f>MASTER[[#This Row],[CANTIDAD]]*MASTER[[#This Row],[COSTO UNITARIO]]</f>
        <v>459</v>
      </c>
      <c r="V3421" s="2">
        <f>MASTER[[#This Row],[MONTO VENDIDO]]-MASTER[[#This Row],[COSTO DE VENTA]]</f>
        <v>1406</v>
      </c>
    </row>
    <row r="3422" spans="1:22" x14ac:dyDescent="0.3">
      <c r="A3422">
        <v>53942</v>
      </c>
      <c r="B3422">
        <v>1</v>
      </c>
      <c r="C3422" t="s">
        <v>118</v>
      </c>
      <c r="D3422" t="s">
        <v>119</v>
      </c>
      <c r="E3422" s="1">
        <v>44230</v>
      </c>
      <c r="F3422">
        <v>1</v>
      </c>
      <c r="G3422" t="s">
        <v>55</v>
      </c>
      <c r="H3422" t="s">
        <v>56</v>
      </c>
      <c r="I3422" s="3">
        <v>801</v>
      </c>
      <c r="J3422" s="3">
        <v>801</v>
      </c>
      <c r="K3422" s="3">
        <v>424</v>
      </c>
      <c r="L3422" t="s">
        <v>120</v>
      </c>
      <c r="M3422">
        <v>16</v>
      </c>
      <c r="N3422" t="s">
        <v>17</v>
      </c>
      <c r="O3422" t="s">
        <v>11</v>
      </c>
      <c r="P3422" t="s">
        <v>18</v>
      </c>
      <c r="Q3422" t="s">
        <v>19</v>
      </c>
      <c r="R3422" t="s">
        <v>138</v>
      </c>
      <c r="S3422" t="s">
        <v>144</v>
      </c>
      <c r="T3422" s="2">
        <f>MASTER[[#This Row],[CANTIDAD]]*MASTER[[#This Row],[PRECIO DE VENTA]]</f>
        <v>801</v>
      </c>
      <c r="U3422" s="2">
        <f>MASTER[[#This Row],[CANTIDAD]]*MASTER[[#This Row],[COSTO UNITARIO]]</f>
        <v>424</v>
      </c>
      <c r="V3422" s="2">
        <f>MASTER[[#This Row],[MONTO VENDIDO]]-MASTER[[#This Row],[COSTO DE VENTA]]</f>
        <v>377</v>
      </c>
    </row>
    <row r="3423" spans="1:22" x14ac:dyDescent="0.3">
      <c r="A3423">
        <v>53983</v>
      </c>
      <c r="B3423">
        <v>1</v>
      </c>
      <c r="C3423" t="s">
        <v>5</v>
      </c>
      <c r="D3423" t="s">
        <v>6</v>
      </c>
      <c r="E3423" s="1">
        <v>44230</v>
      </c>
      <c r="F3423">
        <v>1</v>
      </c>
      <c r="G3423" t="s">
        <v>37</v>
      </c>
      <c r="H3423" t="s">
        <v>38</v>
      </c>
      <c r="I3423" s="3">
        <v>1507</v>
      </c>
      <c r="J3423" s="3">
        <v>1507</v>
      </c>
      <c r="K3423" s="3">
        <v>393</v>
      </c>
      <c r="L3423" t="s">
        <v>9</v>
      </c>
      <c r="M3423">
        <v>4</v>
      </c>
      <c r="N3423" t="s">
        <v>82</v>
      </c>
      <c r="O3423" t="s">
        <v>81</v>
      </c>
      <c r="P3423" t="s">
        <v>71</v>
      </c>
      <c r="Q3423" t="s">
        <v>72</v>
      </c>
      <c r="R3423" t="s">
        <v>139</v>
      </c>
      <c r="S3423" t="s">
        <v>144</v>
      </c>
      <c r="T3423" s="2">
        <f>MASTER[[#This Row],[CANTIDAD]]*MASTER[[#This Row],[PRECIO DE VENTA]]</f>
        <v>1507</v>
      </c>
      <c r="U3423" s="2">
        <f>MASTER[[#This Row],[CANTIDAD]]*MASTER[[#This Row],[COSTO UNITARIO]]</f>
        <v>393</v>
      </c>
      <c r="V3423" s="2">
        <f>MASTER[[#This Row],[MONTO VENDIDO]]-MASTER[[#This Row],[COSTO DE VENTA]]</f>
        <v>1114</v>
      </c>
    </row>
    <row r="3424" spans="1:22" x14ac:dyDescent="0.3">
      <c r="A3424">
        <v>53985</v>
      </c>
      <c r="B3424">
        <v>1</v>
      </c>
      <c r="C3424" t="s">
        <v>116</v>
      </c>
      <c r="D3424" t="s">
        <v>117</v>
      </c>
      <c r="E3424" s="1">
        <v>44230</v>
      </c>
      <c r="F3424">
        <v>1</v>
      </c>
      <c r="G3424" t="s">
        <v>65</v>
      </c>
      <c r="H3424" t="s">
        <v>66</v>
      </c>
      <c r="I3424" s="3">
        <v>1529</v>
      </c>
      <c r="J3424" s="3">
        <v>1529</v>
      </c>
      <c r="K3424" s="3">
        <v>388</v>
      </c>
      <c r="L3424" t="s">
        <v>113</v>
      </c>
      <c r="M3424">
        <v>17</v>
      </c>
      <c r="N3424" t="s">
        <v>14</v>
      </c>
      <c r="O3424" t="s">
        <v>11</v>
      </c>
      <c r="P3424" t="s">
        <v>15</v>
      </c>
      <c r="Q3424" t="s">
        <v>16</v>
      </c>
      <c r="R3424" t="s">
        <v>16</v>
      </c>
      <c r="S3424" t="s">
        <v>144</v>
      </c>
      <c r="T3424" s="2">
        <f>MASTER[[#This Row],[CANTIDAD]]*MASTER[[#This Row],[PRECIO DE VENTA]]</f>
        <v>1529</v>
      </c>
      <c r="U3424" s="2">
        <f>MASTER[[#This Row],[CANTIDAD]]*MASTER[[#This Row],[COSTO UNITARIO]]</f>
        <v>388</v>
      </c>
      <c r="V3424" s="2">
        <f>MASTER[[#This Row],[MONTO VENDIDO]]-MASTER[[#This Row],[COSTO DE VENTA]]</f>
        <v>1141</v>
      </c>
    </row>
    <row r="3425" spans="1:22" x14ac:dyDescent="0.3">
      <c r="A3425">
        <v>53987</v>
      </c>
      <c r="B3425">
        <v>1</v>
      </c>
      <c r="C3425" t="s">
        <v>92</v>
      </c>
      <c r="D3425" t="s">
        <v>93</v>
      </c>
      <c r="E3425" s="1">
        <v>44230</v>
      </c>
      <c r="F3425">
        <v>1</v>
      </c>
      <c r="G3425" t="s">
        <v>67</v>
      </c>
      <c r="H3425" t="s">
        <v>68</v>
      </c>
      <c r="I3425" s="3">
        <v>1681</v>
      </c>
      <c r="J3425" s="3">
        <v>1681</v>
      </c>
      <c r="K3425" s="3">
        <v>396</v>
      </c>
      <c r="L3425" t="s">
        <v>9</v>
      </c>
      <c r="M3425">
        <v>7</v>
      </c>
      <c r="N3425" t="s">
        <v>84</v>
      </c>
      <c r="O3425" t="s">
        <v>81</v>
      </c>
      <c r="P3425" t="s">
        <v>12</v>
      </c>
      <c r="Q3425" t="s">
        <v>13</v>
      </c>
      <c r="R3425" t="s">
        <v>13</v>
      </c>
      <c r="S3425" t="s">
        <v>144</v>
      </c>
      <c r="T3425" s="2">
        <f>MASTER[[#This Row],[CANTIDAD]]*MASTER[[#This Row],[PRECIO DE VENTA]]</f>
        <v>1681</v>
      </c>
      <c r="U3425" s="2">
        <f>MASTER[[#This Row],[CANTIDAD]]*MASTER[[#This Row],[COSTO UNITARIO]]</f>
        <v>396</v>
      </c>
      <c r="V3425" s="2">
        <f>MASTER[[#This Row],[MONTO VENDIDO]]-MASTER[[#This Row],[COSTO DE VENTA]]</f>
        <v>1285</v>
      </c>
    </row>
    <row r="3426" spans="1:22" x14ac:dyDescent="0.3">
      <c r="A3426">
        <v>54004</v>
      </c>
      <c r="B3426">
        <v>1</v>
      </c>
      <c r="C3426" t="s">
        <v>107</v>
      </c>
      <c r="D3426" t="s">
        <v>108</v>
      </c>
      <c r="E3426" s="1">
        <v>44230</v>
      </c>
      <c r="F3426">
        <v>1</v>
      </c>
      <c r="G3426" t="s">
        <v>22</v>
      </c>
      <c r="H3426" t="s">
        <v>23</v>
      </c>
      <c r="I3426" s="3">
        <v>1333</v>
      </c>
      <c r="J3426" s="3">
        <v>1333</v>
      </c>
      <c r="K3426" s="3">
        <v>380</v>
      </c>
      <c r="L3426" t="s">
        <v>98</v>
      </c>
      <c r="M3426">
        <v>7</v>
      </c>
      <c r="N3426" t="s">
        <v>84</v>
      </c>
      <c r="O3426" t="s">
        <v>81</v>
      </c>
      <c r="P3426" t="s">
        <v>12</v>
      </c>
      <c r="Q3426" t="s">
        <v>13</v>
      </c>
      <c r="R3426" t="s">
        <v>13</v>
      </c>
      <c r="S3426" t="s">
        <v>144</v>
      </c>
      <c r="T3426" s="2">
        <f>MASTER[[#This Row],[CANTIDAD]]*MASTER[[#This Row],[PRECIO DE VENTA]]</f>
        <v>1333</v>
      </c>
      <c r="U3426" s="2">
        <f>MASTER[[#This Row],[CANTIDAD]]*MASTER[[#This Row],[COSTO UNITARIO]]</f>
        <v>380</v>
      </c>
      <c r="V3426" s="2">
        <f>MASTER[[#This Row],[MONTO VENDIDO]]-MASTER[[#This Row],[COSTO DE VENTA]]</f>
        <v>953</v>
      </c>
    </row>
    <row r="3427" spans="1:22" x14ac:dyDescent="0.3">
      <c r="A3427">
        <v>54008</v>
      </c>
      <c r="B3427">
        <v>1</v>
      </c>
      <c r="C3427" t="s">
        <v>111</v>
      </c>
      <c r="D3427" t="s">
        <v>112</v>
      </c>
      <c r="E3427" s="1">
        <v>44230</v>
      </c>
      <c r="F3427">
        <v>1</v>
      </c>
      <c r="G3427" t="s">
        <v>24</v>
      </c>
      <c r="H3427" t="s">
        <v>25</v>
      </c>
      <c r="I3427" s="3">
        <v>1621</v>
      </c>
      <c r="J3427" s="3">
        <v>1621</v>
      </c>
      <c r="K3427" s="3">
        <v>434</v>
      </c>
      <c r="L3427" t="s">
        <v>113</v>
      </c>
      <c r="M3427">
        <v>2</v>
      </c>
      <c r="N3427" t="s">
        <v>86</v>
      </c>
      <c r="O3427" t="s">
        <v>81</v>
      </c>
      <c r="P3427" t="s">
        <v>71</v>
      </c>
      <c r="Q3427" t="s">
        <v>72</v>
      </c>
      <c r="R3427" t="s">
        <v>139</v>
      </c>
      <c r="S3427" t="s">
        <v>144</v>
      </c>
      <c r="T3427" s="2">
        <f>MASTER[[#This Row],[CANTIDAD]]*MASTER[[#This Row],[PRECIO DE VENTA]]</f>
        <v>1621</v>
      </c>
      <c r="U3427" s="2">
        <f>MASTER[[#This Row],[CANTIDAD]]*MASTER[[#This Row],[COSTO UNITARIO]]</f>
        <v>434</v>
      </c>
      <c r="V3427" s="2">
        <f>MASTER[[#This Row],[MONTO VENDIDO]]-MASTER[[#This Row],[COSTO DE VENTA]]</f>
        <v>1187</v>
      </c>
    </row>
    <row r="3428" spans="1:22" x14ac:dyDescent="0.3">
      <c r="A3428">
        <v>54020</v>
      </c>
      <c r="B3428">
        <v>1</v>
      </c>
      <c r="C3428" t="s">
        <v>105</v>
      </c>
      <c r="D3428" t="s">
        <v>106</v>
      </c>
      <c r="E3428" s="1">
        <v>44231</v>
      </c>
      <c r="F3428">
        <v>1</v>
      </c>
      <c r="G3428" t="s">
        <v>27</v>
      </c>
      <c r="H3428" t="s">
        <v>28</v>
      </c>
      <c r="I3428" s="3">
        <v>1585</v>
      </c>
      <c r="J3428" s="3">
        <v>1585</v>
      </c>
      <c r="K3428" s="3">
        <v>459</v>
      </c>
      <c r="L3428" t="s">
        <v>98</v>
      </c>
      <c r="M3428">
        <v>11</v>
      </c>
      <c r="N3428" t="s">
        <v>10</v>
      </c>
      <c r="O3428" t="s">
        <v>11</v>
      </c>
      <c r="P3428" t="s">
        <v>12</v>
      </c>
      <c r="Q3428" t="s">
        <v>13</v>
      </c>
      <c r="R3428" t="s">
        <v>13</v>
      </c>
      <c r="S3428" t="s">
        <v>144</v>
      </c>
      <c r="T3428" s="2">
        <f>MASTER[[#This Row],[CANTIDAD]]*MASTER[[#This Row],[PRECIO DE VENTA]]</f>
        <v>1585</v>
      </c>
      <c r="U3428" s="2">
        <f>MASTER[[#This Row],[CANTIDAD]]*MASTER[[#This Row],[COSTO UNITARIO]]</f>
        <v>459</v>
      </c>
      <c r="V3428" s="2">
        <f>MASTER[[#This Row],[MONTO VENDIDO]]-MASTER[[#This Row],[COSTO DE VENTA]]</f>
        <v>1126</v>
      </c>
    </row>
    <row r="3429" spans="1:22" x14ac:dyDescent="0.3">
      <c r="A3429">
        <v>54022</v>
      </c>
      <c r="B3429">
        <v>1</v>
      </c>
      <c r="C3429" t="s">
        <v>92</v>
      </c>
      <c r="D3429" t="s">
        <v>93</v>
      </c>
      <c r="E3429" s="1">
        <v>44231</v>
      </c>
      <c r="F3429">
        <v>1</v>
      </c>
      <c r="G3429" t="s">
        <v>55</v>
      </c>
      <c r="H3429" t="s">
        <v>56</v>
      </c>
      <c r="I3429" s="3">
        <v>1681</v>
      </c>
      <c r="J3429" s="3">
        <v>1681</v>
      </c>
      <c r="K3429" s="3">
        <v>396</v>
      </c>
      <c r="L3429" t="s">
        <v>9</v>
      </c>
      <c r="M3429">
        <v>15</v>
      </c>
      <c r="N3429" t="s">
        <v>88</v>
      </c>
      <c r="O3429" t="s">
        <v>81</v>
      </c>
      <c r="P3429" t="s">
        <v>18</v>
      </c>
      <c r="Q3429" t="s">
        <v>19</v>
      </c>
      <c r="R3429" t="s">
        <v>138</v>
      </c>
      <c r="S3429" t="s">
        <v>144</v>
      </c>
      <c r="T3429" s="2">
        <f>MASTER[[#This Row],[CANTIDAD]]*MASTER[[#This Row],[PRECIO DE VENTA]]</f>
        <v>1681</v>
      </c>
      <c r="U3429" s="2">
        <f>MASTER[[#This Row],[CANTIDAD]]*MASTER[[#This Row],[COSTO UNITARIO]]</f>
        <v>396</v>
      </c>
      <c r="V3429" s="2">
        <f>MASTER[[#This Row],[MONTO VENDIDO]]-MASTER[[#This Row],[COSTO DE VENTA]]</f>
        <v>1285</v>
      </c>
    </row>
    <row r="3430" spans="1:22" x14ac:dyDescent="0.3">
      <c r="A3430">
        <v>54027</v>
      </c>
      <c r="B3430">
        <v>1</v>
      </c>
      <c r="C3430" t="s">
        <v>90</v>
      </c>
      <c r="D3430" t="s">
        <v>91</v>
      </c>
      <c r="E3430" s="1">
        <v>44231</v>
      </c>
      <c r="F3430">
        <v>1</v>
      </c>
      <c r="G3430" t="s">
        <v>45</v>
      </c>
      <c r="H3430" t="s">
        <v>46</v>
      </c>
      <c r="I3430" s="3">
        <v>2102</v>
      </c>
      <c r="J3430" s="3">
        <v>2102</v>
      </c>
      <c r="K3430" s="3">
        <v>420</v>
      </c>
      <c r="L3430" t="s">
        <v>9</v>
      </c>
      <c r="M3430">
        <v>9</v>
      </c>
      <c r="N3430" t="s">
        <v>76</v>
      </c>
      <c r="O3430" t="s">
        <v>70</v>
      </c>
      <c r="P3430" t="s">
        <v>12</v>
      </c>
      <c r="Q3430" t="s">
        <v>13</v>
      </c>
      <c r="R3430" t="s">
        <v>13</v>
      </c>
      <c r="S3430" t="s">
        <v>144</v>
      </c>
      <c r="T3430" s="2">
        <f>MASTER[[#This Row],[CANTIDAD]]*MASTER[[#This Row],[PRECIO DE VENTA]]</f>
        <v>2102</v>
      </c>
      <c r="U3430" s="2">
        <f>MASTER[[#This Row],[CANTIDAD]]*MASTER[[#This Row],[COSTO UNITARIO]]</f>
        <v>420</v>
      </c>
      <c r="V3430" s="2">
        <f>MASTER[[#This Row],[MONTO VENDIDO]]-MASTER[[#This Row],[COSTO DE VENTA]]</f>
        <v>1682</v>
      </c>
    </row>
    <row r="3431" spans="1:22" x14ac:dyDescent="0.3">
      <c r="A3431">
        <v>54035</v>
      </c>
      <c r="B3431">
        <v>1</v>
      </c>
      <c r="C3431" t="s">
        <v>107</v>
      </c>
      <c r="D3431" t="s">
        <v>108</v>
      </c>
      <c r="E3431" s="1">
        <v>44231</v>
      </c>
      <c r="F3431">
        <v>1</v>
      </c>
      <c r="G3431" t="s">
        <v>47</v>
      </c>
      <c r="H3431" t="s">
        <v>48</v>
      </c>
      <c r="I3431" s="3">
        <v>1333</v>
      </c>
      <c r="J3431" s="3">
        <v>1333</v>
      </c>
      <c r="K3431" s="3">
        <v>380</v>
      </c>
      <c r="L3431" t="s">
        <v>98</v>
      </c>
      <c r="M3431">
        <v>5</v>
      </c>
      <c r="N3431" t="s">
        <v>85</v>
      </c>
      <c r="O3431" t="s">
        <v>81</v>
      </c>
      <c r="P3431" t="s">
        <v>12</v>
      </c>
      <c r="Q3431" t="s">
        <v>13</v>
      </c>
      <c r="R3431" t="s">
        <v>13</v>
      </c>
      <c r="S3431" t="s">
        <v>144</v>
      </c>
      <c r="T3431" s="2">
        <f>MASTER[[#This Row],[CANTIDAD]]*MASTER[[#This Row],[PRECIO DE VENTA]]</f>
        <v>1333</v>
      </c>
      <c r="U3431" s="2">
        <f>MASTER[[#This Row],[CANTIDAD]]*MASTER[[#This Row],[COSTO UNITARIO]]</f>
        <v>380</v>
      </c>
      <c r="V3431" s="2">
        <f>MASTER[[#This Row],[MONTO VENDIDO]]-MASTER[[#This Row],[COSTO DE VENTA]]</f>
        <v>953</v>
      </c>
    </row>
    <row r="3432" spans="1:22" x14ac:dyDescent="0.3">
      <c r="A3432">
        <v>54039</v>
      </c>
      <c r="B3432">
        <v>1</v>
      </c>
      <c r="C3432" t="s">
        <v>103</v>
      </c>
      <c r="D3432" t="s">
        <v>104</v>
      </c>
      <c r="E3432" s="1">
        <v>44231</v>
      </c>
      <c r="F3432">
        <v>1</v>
      </c>
      <c r="G3432" t="s">
        <v>51</v>
      </c>
      <c r="H3432" t="s">
        <v>52</v>
      </c>
      <c r="I3432" s="3">
        <v>1830</v>
      </c>
      <c r="J3432" s="3">
        <v>1830</v>
      </c>
      <c r="K3432" s="3">
        <v>421</v>
      </c>
      <c r="L3432" t="s">
        <v>98</v>
      </c>
      <c r="M3432">
        <v>3</v>
      </c>
      <c r="N3432" t="s">
        <v>69</v>
      </c>
      <c r="O3432" t="s">
        <v>70</v>
      </c>
      <c r="P3432" t="s">
        <v>71</v>
      </c>
      <c r="Q3432" t="s">
        <v>72</v>
      </c>
      <c r="R3432" t="s">
        <v>139</v>
      </c>
      <c r="S3432" t="s">
        <v>144</v>
      </c>
      <c r="T3432" s="2">
        <f>MASTER[[#This Row],[CANTIDAD]]*MASTER[[#This Row],[PRECIO DE VENTA]]</f>
        <v>1830</v>
      </c>
      <c r="U3432" s="2">
        <f>MASTER[[#This Row],[CANTIDAD]]*MASTER[[#This Row],[COSTO UNITARIO]]</f>
        <v>421</v>
      </c>
      <c r="V3432" s="2">
        <f>MASTER[[#This Row],[MONTO VENDIDO]]-MASTER[[#This Row],[COSTO DE VENTA]]</f>
        <v>1409</v>
      </c>
    </row>
    <row r="3433" spans="1:22" x14ac:dyDescent="0.3">
      <c r="A3433">
        <v>54075</v>
      </c>
      <c r="B3433">
        <v>1</v>
      </c>
      <c r="C3433" t="s">
        <v>103</v>
      </c>
      <c r="D3433" t="s">
        <v>104</v>
      </c>
      <c r="E3433" s="1">
        <v>44231</v>
      </c>
      <c r="F3433">
        <v>1</v>
      </c>
      <c r="G3433" t="s">
        <v>67</v>
      </c>
      <c r="H3433" t="s">
        <v>68</v>
      </c>
      <c r="I3433" s="3">
        <v>1591</v>
      </c>
      <c r="J3433" s="3">
        <v>1591</v>
      </c>
      <c r="K3433" s="3">
        <v>421</v>
      </c>
      <c r="L3433" t="s">
        <v>98</v>
      </c>
      <c r="M3433">
        <v>5</v>
      </c>
      <c r="N3433" t="s">
        <v>85</v>
      </c>
      <c r="O3433" t="s">
        <v>81</v>
      </c>
      <c r="P3433" t="s">
        <v>12</v>
      </c>
      <c r="Q3433" t="s">
        <v>13</v>
      </c>
      <c r="R3433" t="s">
        <v>13</v>
      </c>
      <c r="S3433" t="s">
        <v>144</v>
      </c>
      <c r="T3433" s="2">
        <f>MASTER[[#This Row],[CANTIDAD]]*MASTER[[#This Row],[PRECIO DE VENTA]]</f>
        <v>1591</v>
      </c>
      <c r="U3433" s="2">
        <f>MASTER[[#This Row],[CANTIDAD]]*MASTER[[#This Row],[COSTO UNITARIO]]</f>
        <v>421</v>
      </c>
      <c r="V3433" s="2">
        <f>MASTER[[#This Row],[MONTO VENDIDO]]-MASTER[[#This Row],[COSTO DE VENTA]]</f>
        <v>1170</v>
      </c>
    </row>
    <row r="3434" spans="1:22" x14ac:dyDescent="0.3">
      <c r="A3434">
        <v>54077</v>
      </c>
      <c r="B3434">
        <v>1</v>
      </c>
      <c r="C3434" t="s">
        <v>107</v>
      </c>
      <c r="D3434" t="s">
        <v>108</v>
      </c>
      <c r="E3434" s="1">
        <v>44231</v>
      </c>
      <c r="F3434">
        <v>2</v>
      </c>
      <c r="G3434" t="s">
        <v>27</v>
      </c>
      <c r="H3434" t="s">
        <v>28</v>
      </c>
      <c r="I3434" s="3">
        <v>1440</v>
      </c>
      <c r="J3434" s="3">
        <v>1440</v>
      </c>
      <c r="K3434" s="3">
        <v>380</v>
      </c>
      <c r="L3434" t="s">
        <v>98</v>
      </c>
      <c r="M3434">
        <v>3</v>
      </c>
      <c r="N3434" t="s">
        <v>69</v>
      </c>
      <c r="O3434" t="s">
        <v>70</v>
      </c>
      <c r="P3434" t="s">
        <v>71</v>
      </c>
      <c r="Q3434" t="s">
        <v>72</v>
      </c>
      <c r="R3434" t="s">
        <v>139</v>
      </c>
      <c r="S3434" t="s">
        <v>144</v>
      </c>
      <c r="T3434" s="2">
        <f>MASTER[[#This Row],[CANTIDAD]]*MASTER[[#This Row],[PRECIO DE VENTA]]</f>
        <v>2880</v>
      </c>
      <c r="U3434" s="2">
        <f>MASTER[[#This Row],[CANTIDAD]]*MASTER[[#This Row],[COSTO UNITARIO]]</f>
        <v>760</v>
      </c>
      <c r="V3434" s="2">
        <f>MASTER[[#This Row],[MONTO VENDIDO]]-MASTER[[#This Row],[COSTO DE VENTA]]</f>
        <v>2120</v>
      </c>
    </row>
    <row r="3435" spans="1:22" x14ac:dyDescent="0.3">
      <c r="A3435">
        <v>54078</v>
      </c>
      <c r="B3435">
        <v>1</v>
      </c>
      <c r="C3435" t="s">
        <v>111</v>
      </c>
      <c r="D3435" t="s">
        <v>112</v>
      </c>
      <c r="E3435" s="1">
        <v>44231</v>
      </c>
      <c r="F3435">
        <v>1</v>
      </c>
      <c r="G3435" t="s">
        <v>55</v>
      </c>
      <c r="H3435" t="s">
        <v>56</v>
      </c>
      <c r="I3435" s="3">
        <v>1621</v>
      </c>
      <c r="J3435" s="3">
        <v>1621</v>
      </c>
      <c r="K3435" s="3">
        <v>434</v>
      </c>
      <c r="L3435" t="s">
        <v>113</v>
      </c>
      <c r="M3435">
        <v>5</v>
      </c>
      <c r="N3435" t="s">
        <v>85</v>
      </c>
      <c r="O3435" t="s">
        <v>81</v>
      </c>
      <c r="P3435" t="s">
        <v>12</v>
      </c>
      <c r="Q3435" t="s">
        <v>13</v>
      </c>
      <c r="R3435" t="s">
        <v>13</v>
      </c>
      <c r="S3435" t="s">
        <v>144</v>
      </c>
      <c r="T3435" s="2">
        <f>MASTER[[#This Row],[CANTIDAD]]*MASTER[[#This Row],[PRECIO DE VENTA]]</f>
        <v>1621</v>
      </c>
      <c r="U3435" s="2">
        <f>MASTER[[#This Row],[CANTIDAD]]*MASTER[[#This Row],[COSTO UNITARIO]]</f>
        <v>434</v>
      </c>
      <c r="V3435" s="2">
        <f>MASTER[[#This Row],[MONTO VENDIDO]]-MASTER[[#This Row],[COSTO DE VENTA]]</f>
        <v>1187</v>
      </c>
    </row>
    <row r="3436" spans="1:22" x14ac:dyDescent="0.3">
      <c r="A3436">
        <v>54093</v>
      </c>
      <c r="B3436">
        <v>1</v>
      </c>
      <c r="C3436" t="s">
        <v>103</v>
      </c>
      <c r="D3436" t="s">
        <v>104</v>
      </c>
      <c r="E3436" s="1">
        <v>44231</v>
      </c>
      <c r="F3436">
        <v>1</v>
      </c>
      <c r="G3436" t="s">
        <v>35</v>
      </c>
      <c r="H3436" t="s">
        <v>36</v>
      </c>
      <c r="I3436" s="3">
        <v>1448</v>
      </c>
      <c r="J3436" s="3">
        <v>1448</v>
      </c>
      <c r="K3436" s="3">
        <v>421</v>
      </c>
      <c r="L3436" t="s">
        <v>98</v>
      </c>
      <c r="M3436">
        <v>11</v>
      </c>
      <c r="N3436" t="s">
        <v>10</v>
      </c>
      <c r="O3436" t="s">
        <v>11</v>
      </c>
      <c r="P3436" t="s">
        <v>12</v>
      </c>
      <c r="Q3436" t="s">
        <v>13</v>
      </c>
      <c r="R3436" t="s">
        <v>13</v>
      </c>
      <c r="S3436" t="s">
        <v>144</v>
      </c>
      <c r="T3436" s="2">
        <f>MASTER[[#This Row],[CANTIDAD]]*MASTER[[#This Row],[PRECIO DE VENTA]]</f>
        <v>1448</v>
      </c>
      <c r="U3436" s="2">
        <f>MASTER[[#This Row],[CANTIDAD]]*MASTER[[#This Row],[COSTO UNITARIO]]</f>
        <v>421</v>
      </c>
      <c r="V3436" s="2">
        <f>MASTER[[#This Row],[MONTO VENDIDO]]-MASTER[[#This Row],[COSTO DE VENTA]]</f>
        <v>1027</v>
      </c>
    </row>
    <row r="3437" spans="1:22" x14ac:dyDescent="0.3">
      <c r="A3437">
        <v>54106</v>
      </c>
      <c r="B3437">
        <v>1</v>
      </c>
      <c r="C3437" t="s">
        <v>94</v>
      </c>
      <c r="D3437" t="s">
        <v>95</v>
      </c>
      <c r="E3437" s="1">
        <v>44231</v>
      </c>
      <c r="F3437">
        <v>1</v>
      </c>
      <c r="G3437" t="s">
        <v>37</v>
      </c>
      <c r="H3437" t="s">
        <v>38</v>
      </c>
      <c r="I3437" s="3">
        <v>1048</v>
      </c>
      <c r="J3437" s="3">
        <v>1048</v>
      </c>
      <c r="K3437" s="3">
        <v>392</v>
      </c>
      <c r="L3437" t="s">
        <v>9</v>
      </c>
      <c r="M3437">
        <v>14</v>
      </c>
      <c r="N3437" t="s">
        <v>87</v>
      </c>
      <c r="O3437" t="s">
        <v>81</v>
      </c>
      <c r="P3437" t="s">
        <v>18</v>
      </c>
      <c r="Q3437" t="s">
        <v>19</v>
      </c>
      <c r="R3437" t="s">
        <v>138</v>
      </c>
      <c r="S3437" t="s">
        <v>144</v>
      </c>
      <c r="T3437" s="2">
        <f>MASTER[[#This Row],[CANTIDAD]]*MASTER[[#This Row],[PRECIO DE VENTA]]</f>
        <v>1048</v>
      </c>
      <c r="U3437" s="2">
        <f>MASTER[[#This Row],[CANTIDAD]]*MASTER[[#This Row],[COSTO UNITARIO]]</f>
        <v>392</v>
      </c>
      <c r="V3437" s="2">
        <f>MASTER[[#This Row],[MONTO VENDIDO]]-MASTER[[#This Row],[COSTO DE VENTA]]</f>
        <v>656</v>
      </c>
    </row>
    <row r="3438" spans="1:22" x14ac:dyDescent="0.3">
      <c r="A3438">
        <v>54111</v>
      </c>
      <c r="B3438">
        <v>1</v>
      </c>
      <c r="C3438" t="s">
        <v>5</v>
      </c>
      <c r="D3438" t="s">
        <v>6</v>
      </c>
      <c r="E3438" s="1">
        <v>44231</v>
      </c>
      <c r="F3438">
        <v>1</v>
      </c>
      <c r="G3438" t="s">
        <v>41</v>
      </c>
      <c r="H3438" t="s">
        <v>42</v>
      </c>
      <c r="I3438" s="3">
        <v>1507</v>
      </c>
      <c r="J3438" s="3">
        <v>1507</v>
      </c>
      <c r="K3438" s="3">
        <v>393</v>
      </c>
      <c r="L3438" t="s">
        <v>9</v>
      </c>
      <c r="M3438">
        <v>10</v>
      </c>
      <c r="N3438" t="s">
        <v>83</v>
      </c>
      <c r="O3438" t="s">
        <v>81</v>
      </c>
      <c r="P3438" t="s">
        <v>12</v>
      </c>
      <c r="Q3438" t="s">
        <v>13</v>
      </c>
      <c r="R3438" t="s">
        <v>13</v>
      </c>
      <c r="S3438" t="s">
        <v>144</v>
      </c>
      <c r="T3438" s="2">
        <f>MASTER[[#This Row],[CANTIDAD]]*MASTER[[#This Row],[PRECIO DE VENTA]]</f>
        <v>1507</v>
      </c>
      <c r="U3438" s="2">
        <f>MASTER[[#This Row],[CANTIDAD]]*MASTER[[#This Row],[COSTO UNITARIO]]</f>
        <v>393</v>
      </c>
      <c r="V3438" s="2">
        <f>MASTER[[#This Row],[MONTO VENDIDO]]-MASTER[[#This Row],[COSTO DE VENTA]]</f>
        <v>1114</v>
      </c>
    </row>
    <row r="3439" spans="1:22" x14ac:dyDescent="0.3">
      <c r="A3439">
        <v>54146</v>
      </c>
      <c r="B3439">
        <v>1</v>
      </c>
      <c r="C3439" t="s">
        <v>94</v>
      </c>
      <c r="D3439" t="s">
        <v>95</v>
      </c>
      <c r="E3439" s="1">
        <v>44231</v>
      </c>
      <c r="F3439">
        <v>1</v>
      </c>
      <c r="G3439" t="s">
        <v>73</v>
      </c>
      <c r="H3439" t="s">
        <v>74</v>
      </c>
      <c r="I3439" s="3">
        <v>1048</v>
      </c>
      <c r="J3439" s="3">
        <v>1048</v>
      </c>
      <c r="K3439" s="3">
        <v>392</v>
      </c>
      <c r="L3439" t="s">
        <v>9</v>
      </c>
      <c r="M3439">
        <v>15</v>
      </c>
      <c r="N3439" t="s">
        <v>88</v>
      </c>
      <c r="O3439" t="s">
        <v>81</v>
      </c>
      <c r="P3439" t="s">
        <v>18</v>
      </c>
      <c r="Q3439" t="s">
        <v>19</v>
      </c>
      <c r="R3439" t="s">
        <v>138</v>
      </c>
      <c r="S3439" t="s">
        <v>144</v>
      </c>
      <c r="T3439" s="2">
        <f>MASTER[[#This Row],[CANTIDAD]]*MASTER[[#This Row],[PRECIO DE VENTA]]</f>
        <v>1048</v>
      </c>
      <c r="U3439" s="2">
        <f>MASTER[[#This Row],[CANTIDAD]]*MASTER[[#This Row],[COSTO UNITARIO]]</f>
        <v>392</v>
      </c>
      <c r="V3439" s="2">
        <f>MASTER[[#This Row],[MONTO VENDIDO]]-MASTER[[#This Row],[COSTO DE VENTA]]</f>
        <v>656</v>
      </c>
    </row>
    <row r="3440" spans="1:22" x14ac:dyDescent="0.3">
      <c r="A3440">
        <v>54147</v>
      </c>
      <c r="B3440">
        <v>1</v>
      </c>
      <c r="C3440" t="s">
        <v>114</v>
      </c>
      <c r="D3440" t="s">
        <v>115</v>
      </c>
      <c r="E3440" s="1">
        <v>44231</v>
      </c>
      <c r="F3440">
        <v>1</v>
      </c>
      <c r="G3440" t="s">
        <v>20</v>
      </c>
      <c r="H3440" t="s">
        <v>21</v>
      </c>
      <c r="I3440" s="3">
        <v>1862</v>
      </c>
      <c r="J3440" s="3">
        <v>1862</v>
      </c>
      <c r="K3440" s="3">
        <v>394</v>
      </c>
      <c r="L3440" t="s">
        <v>113</v>
      </c>
      <c r="M3440">
        <v>7</v>
      </c>
      <c r="N3440" t="s">
        <v>84</v>
      </c>
      <c r="O3440" t="s">
        <v>81</v>
      </c>
      <c r="P3440" t="s">
        <v>12</v>
      </c>
      <c r="Q3440" t="s">
        <v>13</v>
      </c>
      <c r="R3440" t="s">
        <v>13</v>
      </c>
      <c r="S3440" t="s">
        <v>144</v>
      </c>
      <c r="T3440" s="2">
        <f>MASTER[[#This Row],[CANTIDAD]]*MASTER[[#This Row],[PRECIO DE VENTA]]</f>
        <v>1862</v>
      </c>
      <c r="U3440" s="2">
        <f>MASTER[[#This Row],[CANTIDAD]]*MASTER[[#This Row],[COSTO UNITARIO]]</f>
        <v>394</v>
      </c>
      <c r="V3440" s="2">
        <f>MASTER[[#This Row],[MONTO VENDIDO]]-MASTER[[#This Row],[COSTO DE VENTA]]</f>
        <v>1468</v>
      </c>
    </row>
    <row r="3441" spans="1:22" x14ac:dyDescent="0.3">
      <c r="A3441">
        <v>54154</v>
      </c>
      <c r="B3441">
        <v>1</v>
      </c>
      <c r="C3441" t="s">
        <v>101</v>
      </c>
      <c r="D3441" t="s">
        <v>102</v>
      </c>
      <c r="E3441" s="1">
        <v>44232</v>
      </c>
      <c r="F3441">
        <v>1</v>
      </c>
      <c r="G3441" t="s">
        <v>33</v>
      </c>
      <c r="H3441" t="s">
        <v>34</v>
      </c>
      <c r="I3441" s="3">
        <v>1212</v>
      </c>
      <c r="J3441" s="3">
        <v>1212</v>
      </c>
      <c r="K3441" s="3">
        <v>442</v>
      </c>
      <c r="L3441" t="s">
        <v>98</v>
      </c>
      <c r="M3441">
        <v>4</v>
      </c>
      <c r="N3441" t="s">
        <v>82</v>
      </c>
      <c r="O3441" t="s">
        <v>81</v>
      </c>
      <c r="P3441" t="s">
        <v>71</v>
      </c>
      <c r="Q3441" t="s">
        <v>72</v>
      </c>
      <c r="R3441" t="s">
        <v>139</v>
      </c>
      <c r="S3441" t="s">
        <v>144</v>
      </c>
      <c r="T3441" s="2">
        <f>MASTER[[#This Row],[CANTIDAD]]*MASTER[[#This Row],[PRECIO DE VENTA]]</f>
        <v>1212</v>
      </c>
      <c r="U3441" s="2">
        <f>MASTER[[#This Row],[CANTIDAD]]*MASTER[[#This Row],[COSTO UNITARIO]]</f>
        <v>442</v>
      </c>
      <c r="V3441" s="2">
        <f>MASTER[[#This Row],[MONTO VENDIDO]]-MASTER[[#This Row],[COSTO DE VENTA]]</f>
        <v>770</v>
      </c>
    </row>
    <row r="3442" spans="1:22" x14ac:dyDescent="0.3">
      <c r="A3442">
        <v>54171</v>
      </c>
      <c r="B3442">
        <v>1</v>
      </c>
      <c r="C3442" t="s">
        <v>109</v>
      </c>
      <c r="D3442" t="s">
        <v>110</v>
      </c>
      <c r="E3442" s="1">
        <v>44232</v>
      </c>
      <c r="F3442">
        <v>2</v>
      </c>
      <c r="G3442" t="s">
        <v>51</v>
      </c>
      <c r="H3442" t="s">
        <v>52</v>
      </c>
      <c r="I3442" s="3">
        <v>1128</v>
      </c>
      <c r="J3442" s="3">
        <v>1128</v>
      </c>
      <c r="K3442" s="3">
        <v>387</v>
      </c>
      <c r="L3442" t="s">
        <v>98</v>
      </c>
      <c r="M3442">
        <v>9</v>
      </c>
      <c r="N3442" t="s">
        <v>76</v>
      </c>
      <c r="O3442" t="s">
        <v>70</v>
      </c>
      <c r="P3442" t="s">
        <v>12</v>
      </c>
      <c r="Q3442" t="s">
        <v>13</v>
      </c>
      <c r="R3442" t="s">
        <v>13</v>
      </c>
      <c r="S3442" t="s">
        <v>144</v>
      </c>
      <c r="T3442" s="2">
        <f>MASTER[[#This Row],[CANTIDAD]]*MASTER[[#This Row],[PRECIO DE VENTA]]</f>
        <v>2256</v>
      </c>
      <c r="U3442" s="2">
        <f>MASTER[[#This Row],[CANTIDAD]]*MASTER[[#This Row],[COSTO UNITARIO]]</f>
        <v>774</v>
      </c>
      <c r="V3442" s="2">
        <f>MASTER[[#This Row],[MONTO VENDIDO]]-MASTER[[#This Row],[COSTO DE VENTA]]</f>
        <v>1482</v>
      </c>
    </row>
    <row r="3443" spans="1:22" x14ac:dyDescent="0.3">
      <c r="A3443">
        <v>54173</v>
      </c>
      <c r="B3443">
        <v>1</v>
      </c>
      <c r="C3443" t="s">
        <v>92</v>
      </c>
      <c r="D3443" t="s">
        <v>93</v>
      </c>
      <c r="E3443" s="1">
        <v>44232</v>
      </c>
      <c r="F3443">
        <v>1</v>
      </c>
      <c r="G3443" t="s">
        <v>7</v>
      </c>
      <c r="H3443" t="s">
        <v>8</v>
      </c>
      <c r="I3443" s="3">
        <v>1681</v>
      </c>
      <c r="J3443" s="3">
        <v>1681</v>
      </c>
      <c r="K3443" s="3">
        <v>396</v>
      </c>
      <c r="L3443" t="s">
        <v>9</v>
      </c>
      <c r="M3443">
        <v>19</v>
      </c>
      <c r="N3443" t="s">
        <v>89</v>
      </c>
      <c r="O3443" t="s">
        <v>81</v>
      </c>
      <c r="P3443" t="s">
        <v>15</v>
      </c>
      <c r="Q3443" t="s">
        <v>16</v>
      </c>
      <c r="R3443" t="s">
        <v>16</v>
      </c>
      <c r="S3443" t="s">
        <v>144</v>
      </c>
      <c r="T3443" s="2">
        <f>MASTER[[#This Row],[CANTIDAD]]*MASTER[[#This Row],[PRECIO DE VENTA]]</f>
        <v>1681</v>
      </c>
      <c r="U3443" s="2">
        <f>MASTER[[#This Row],[CANTIDAD]]*MASTER[[#This Row],[COSTO UNITARIO]]</f>
        <v>396</v>
      </c>
      <c r="V3443" s="2">
        <f>MASTER[[#This Row],[MONTO VENDIDO]]-MASTER[[#This Row],[COSTO DE VENTA]]</f>
        <v>1285</v>
      </c>
    </row>
    <row r="3444" spans="1:22" x14ac:dyDescent="0.3">
      <c r="A3444">
        <v>54181</v>
      </c>
      <c r="B3444">
        <v>1</v>
      </c>
      <c r="C3444" t="s">
        <v>92</v>
      </c>
      <c r="D3444" t="s">
        <v>93</v>
      </c>
      <c r="E3444" s="1">
        <v>44232</v>
      </c>
      <c r="F3444">
        <v>1</v>
      </c>
      <c r="G3444" t="s">
        <v>39</v>
      </c>
      <c r="H3444" t="s">
        <v>40</v>
      </c>
      <c r="I3444" s="3">
        <v>1681</v>
      </c>
      <c r="J3444" s="3">
        <v>1681</v>
      </c>
      <c r="K3444" s="3">
        <v>396</v>
      </c>
      <c r="L3444" t="s">
        <v>9</v>
      </c>
      <c r="M3444">
        <v>7</v>
      </c>
      <c r="N3444" t="s">
        <v>84</v>
      </c>
      <c r="O3444" t="s">
        <v>81</v>
      </c>
      <c r="P3444" t="s">
        <v>12</v>
      </c>
      <c r="Q3444" t="s">
        <v>13</v>
      </c>
      <c r="R3444" t="s">
        <v>13</v>
      </c>
      <c r="S3444" t="s">
        <v>144</v>
      </c>
      <c r="T3444" s="2">
        <f>MASTER[[#This Row],[CANTIDAD]]*MASTER[[#This Row],[PRECIO DE VENTA]]</f>
        <v>1681</v>
      </c>
      <c r="U3444" s="2">
        <f>MASTER[[#This Row],[CANTIDAD]]*MASTER[[#This Row],[COSTO UNITARIO]]</f>
        <v>396</v>
      </c>
      <c r="V3444" s="2">
        <f>MASTER[[#This Row],[MONTO VENDIDO]]-MASTER[[#This Row],[COSTO DE VENTA]]</f>
        <v>1285</v>
      </c>
    </row>
    <row r="3445" spans="1:22" x14ac:dyDescent="0.3">
      <c r="A3445">
        <v>54201</v>
      </c>
      <c r="B3445">
        <v>1</v>
      </c>
      <c r="C3445" t="s">
        <v>90</v>
      </c>
      <c r="D3445" t="s">
        <v>91</v>
      </c>
      <c r="E3445" s="1">
        <v>44232</v>
      </c>
      <c r="F3445">
        <v>1</v>
      </c>
      <c r="G3445" t="s">
        <v>43</v>
      </c>
      <c r="H3445" t="s">
        <v>44</v>
      </c>
      <c r="I3445" s="3">
        <v>1660</v>
      </c>
      <c r="J3445" s="3">
        <v>1593</v>
      </c>
      <c r="K3445" s="3">
        <v>420</v>
      </c>
      <c r="L3445" t="s">
        <v>9</v>
      </c>
      <c r="M3445">
        <v>11</v>
      </c>
      <c r="N3445" t="s">
        <v>10</v>
      </c>
      <c r="O3445" t="s">
        <v>11</v>
      </c>
      <c r="P3445" t="s">
        <v>12</v>
      </c>
      <c r="Q3445" t="s">
        <v>13</v>
      </c>
      <c r="R3445" t="s">
        <v>13</v>
      </c>
      <c r="S3445" t="s">
        <v>144</v>
      </c>
      <c r="T3445" s="2">
        <f>MASTER[[#This Row],[CANTIDAD]]*MASTER[[#This Row],[PRECIO DE VENTA]]</f>
        <v>1593</v>
      </c>
      <c r="U3445" s="2">
        <f>MASTER[[#This Row],[CANTIDAD]]*MASTER[[#This Row],[COSTO UNITARIO]]</f>
        <v>420</v>
      </c>
      <c r="V3445" s="2">
        <f>MASTER[[#This Row],[MONTO VENDIDO]]-MASTER[[#This Row],[COSTO DE VENTA]]</f>
        <v>1173</v>
      </c>
    </row>
    <row r="3446" spans="1:22" x14ac:dyDescent="0.3">
      <c r="A3446">
        <v>54231</v>
      </c>
      <c r="B3446">
        <v>1</v>
      </c>
      <c r="C3446" t="s">
        <v>99</v>
      </c>
      <c r="D3446" t="s">
        <v>100</v>
      </c>
      <c r="E3446" s="1">
        <v>44232</v>
      </c>
      <c r="F3446">
        <v>1</v>
      </c>
      <c r="G3446" t="s">
        <v>24</v>
      </c>
      <c r="H3446" t="s">
        <v>25</v>
      </c>
      <c r="I3446" s="3">
        <v>1678</v>
      </c>
      <c r="J3446" s="3">
        <v>1678</v>
      </c>
      <c r="K3446" s="3">
        <v>386</v>
      </c>
      <c r="L3446" t="s">
        <v>98</v>
      </c>
      <c r="M3446">
        <v>1</v>
      </c>
      <c r="N3446" t="s">
        <v>77</v>
      </c>
      <c r="O3446" t="s">
        <v>70</v>
      </c>
      <c r="P3446" t="s">
        <v>71</v>
      </c>
      <c r="Q3446" t="s">
        <v>72</v>
      </c>
      <c r="R3446" t="s">
        <v>139</v>
      </c>
      <c r="S3446" t="s">
        <v>144</v>
      </c>
      <c r="T3446" s="2">
        <f>MASTER[[#This Row],[CANTIDAD]]*MASTER[[#This Row],[PRECIO DE VENTA]]</f>
        <v>1678</v>
      </c>
      <c r="U3446" s="2">
        <f>MASTER[[#This Row],[CANTIDAD]]*MASTER[[#This Row],[COSTO UNITARIO]]</f>
        <v>386</v>
      </c>
      <c r="V3446" s="2">
        <f>MASTER[[#This Row],[MONTO VENDIDO]]-MASTER[[#This Row],[COSTO DE VENTA]]</f>
        <v>1292</v>
      </c>
    </row>
    <row r="3447" spans="1:22" x14ac:dyDescent="0.3">
      <c r="A3447">
        <v>54261</v>
      </c>
      <c r="B3447">
        <v>1</v>
      </c>
      <c r="C3447" t="s">
        <v>103</v>
      </c>
      <c r="D3447" t="s">
        <v>104</v>
      </c>
      <c r="E3447" s="1">
        <v>44232</v>
      </c>
      <c r="F3447">
        <v>1</v>
      </c>
      <c r="G3447" t="s">
        <v>51</v>
      </c>
      <c r="H3447" t="s">
        <v>52</v>
      </c>
      <c r="I3447" s="3">
        <v>1830</v>
      </c>
      <c r="J3447" s="3">
        <v>1830</v>
      </c>
      <c r="K3447" s="3">
        <v>421</v>
      </c>
      <c r="L3447" t="s">
        <v>98</v>
      </c>
      <c r="M3447">
        <v>3</v>
      </c>
      <c r="N3447" t="s">
        <v>69</v>
      </c>
      <c r="O3447" t="s">
        <v>70</v>
      </c>
      <c r="P3447" t="s">
        <v>71</v>
      </c>
      <c r="Q3447" t="s">
        <v>72</v>
      </c>
      <c r="R3447" t="s">
        <v>139</v>
      </c>
      <c r="S3447" t="s">
        <v>144</v>
      </c>
      <c r="T3447" s="2">
        <f>MASTER[[#This Row],[CANTIDAD]]*MASTER[[#This Row],[PRECIO DE VENTA]]</f>
        <v>1830</v>
      </c>
      <c r="U3447" s="2">
        <f>MASTER[[#This Row],[CANTIDAD]]*MASTER[[#This Row],[COSTO UNITARIO]]</f>
        <v>421</v>
      </c>
      <c r="V3447" s="2">
        <f>MASTER[[#This Row],[MONTO VENDIDO]]-MASTER[[#This Row],[COSTO DE VENTA]]</f>
        <v>1409</v>
      </c>
    </row>
    <row r="3448" spans="1:22" x14ac:dyDescent="0.3">
      <c r="A3448">
        <v>54273</v>
      </c>
      <c r="B3448">
        <v>1</v>
      </c>
      <c r="C3448" t="s">
        <v>5</v>
      </c>
      <c r="D3448" t="s">
        <v>6</v>
      </c>
      <c r="E3448" s="1">
        <v>44232</v>
      </c>
      <c r="F3448">
        <v>4</v>
      </c>
      <c r="G3448" t="s">
        <v>31</v>
      </c>
      <c r="H3448" t="s">
        <v>32</v>
      </c>
      <c r="I3448" s="3">
        <v>1296</v>
      </c>
      <c r="J3448" s="3">
        <v>1296</v>
      </c>
      <c r="K3448" s="3">
        <v>393</v>
      </c>
      <c r="L3448" t="s">
        <v>9</v>
      </c>
      <c r="M3448">
        <v>9</v>
      </c>
      <c r="N3448" t="s">
        <v>76</v>
      </c>
      <c r="O3448" t="s">
        <v>70</v>
      </c>
      <c r="P3448" t="s">
        <v>12</v>
      </c>
      <c r="Q3448" t="s">
        <v>13</v>
      </c>
      <c r="R3448" t="s">
        <v>13</v>
      </c>
      <c r="S3448" t="s">
        <v>144</v>
      </c>
      <c r="T3448" s="2">
        <f>MASTER[[#This Row],[CANTIDAD]]*MASTER[[#This Row],[PRECIO DE VENTA]]</f>
        <v>5184</v>
      </c>
      <c r="U3448" s="2">
        <f>MASTER[[#This Row],[CANTIDAD]]*MASTER[[#This Row],[COSTO UNITARIO]]</f>
        <v>1572</v>
      </c>
      <c r="V3448" s="2">
        <f>MASTER[[#This Row],[MONTO VENDIDO]]-MASTER[[#This Row],[COSTO DE VENTA]]</f>
        <v>3612</v>
      </c>
    </row>
    <row r="3449" spans="1:22" x14ac:dyDescent="0.3">
      <c r="A3449">
        <v>54288</v>
      </c>
      <c r="B3449">
        <v>1</v>
      </c>
      <c r="C3449" t="s">
        <v>107</v>
      </c>
      <c r="D3449" t="s">
        <v>108</v>
      </c>
      <c r="E3449" s="1">
        <v>44232</v>
      </c>
      <c r="F3449">
        <v>1</v>
      </c>
      <c r="G3449" t="s">
        <v>22</v>
      </c>
      <c r="H3449" t="s">
        <v>23</v>
      </c>
      <c r="I3449" s="3">
        <v>1333</v>
      </c>
      <c r="J3449" s="3">
        <v>1333</v>
      </c>
      <c r="K3449" s="3">
        <v>380</v>
      </c>
      <c r="L3449" t="s">
        <v>98</v>
      </c>
      <c r="M3449">
        <v>10</v>
      </c>
      <c r="N3449" t="s">
        <v>83</v>
      </c>
      <c r="O3449" t="s">
        <v>81</v>
      </c>
      <c r="P3449" t="s">
        <v>12</v>
      </c>
      <c r="Q3449" t="s">
        <v>13</v>
      </c>
      <c r="R3449" t="s">
        <v>13</v>
      </c>
      <c r="S3449" t="s">
        <v>144</v>
      </c>
      <c r="T3449" s="2">
        <f>MASTER[[#This Row],[CANTIDAD]]*MASTER[[#This Row],[PRECIO DE VENTA]]</f>
        <v>1333</v>
      </c>
      <c r="U3449" s="2">
        <f>MASTER[[#This Row],[CANTIDAD]]*MASTER[[#This Row],[COSTO UNITARIO]]</f>
        <v>380</v>
      </c>
      <c r="V3449" s="2">
        <f>MASTER[[#This Row],[MONTO VENDIDO]]-MASTER[[#This Row],[COSTO DE VENTA]]</f>
        <v>953</v>
      </c>
    </row>
    <row r="3450" spans="1:22" x14ac:dyDescent="0.3">
      <c r="A3450">
        <v>54316</v>
      </c>
      <c r="B3450">
        <v>1</v>
      </c>
      <c r="C3450" t="s">
        <v>90</v>
      </c>
      <c r="D3450" t="s">
        <v>91</v>
      </c>
      <c r="E3450" s="1">
        <v>44232</v>
      </c>
      <c r="F3450">
        <v>1</v>
      </c>
      <c r="G3450" t="s">
        <v>37</v>
      </c>
      <c r="H3450" t="s">
        <v>38</v>
      </c>
      <c r="I3450" s="3">
        <v>2102</v>
      </c>
      <c r="J3450" s="3">
        <v>2102</v>
      </c>
      <c r="K3450" s="3">
        <v>420</v>
      </c>
      <c r="L3450" t="s">
        <v>9</v>
      </c>
      <c r="M3450">
        <v>13</v>
      </c>
      <c r="N3450" t="s">
        <v>78</v>
      </c>
      <c r="O3450" t="s">
        <v>70</v>
      </c>
      <c r="P3450" t="s">
        <v>18</v>
      </c>
      <c r="Q3450" t="s">
        <v>19</v>
      </c>
      <c r="R3450" t="s">
        <v>138</v>
      </c>
      <c r="S3450" t="s">
        <v>144</v>
      </c>
      <c r="T3450" s="2">
        <f>MASTER[[#This Row],[CANTIDAD]]*MASTER[[#This Row],[PRECIO DE VENTA]]</f>
        <v>2102</v>
      </c>
      <c r="U3450" s="2">
        <f>MASTER[[#This Row],[CANTIDAD]]*MASTER[[#This Row],[COSTO UNITARIO]]</f>
        <v>420</v>
      </c>
      <c r="V3450" s="2">
        <f>MASTER[[#This Row],[MONTO VENDIDO]]-MASTER[[#This Row],[COSTO DE VENTA]]</f>
        <v>1682</v>
      </c>
    </row>
    <row r="3451" spans="1:22" x14ac:dyDescent="0.3">
      <c r="A3451">
        <v>54317</v>
      </c>
      <c r="B3451">
        <v>1</v>
      </c>
      <c r="C3451" t="s">
        <v>105</v>
      </c>
      <c r="D3451" t="s">
        <v>106</v>
      </c>
      <c r="E3451" s="1">
        <v>44232</v>
      </c>
      <c r="F3451">
        <v>1</v>
      </c>
      <c r="G3451" t="s">
        <v>39</v>
      </c>
      <c r="H3451" t="s">
        <v>40</v>
      </c>
      <c r="I3451" s="3">
        <v>1865</v>
      </c>
      <c r="J3451" s="3">
        <v>1865</v>
      </c>
      <c r="K3451" s="3">
        <v>459</v>
      </c>
      <c r="L3451" t="s">
        <v>98</v>
      </c>
      <c r="M3451">
        <v>4</v>
      </c>
      <c r="N3451" t="s">
        <v>82</v>
      </c>
      <c r="O3451" t="s">
        <v>81</v>
      </c>
      <c r="P3451" t="s">
        <v>71</v>
      </c>
      <c r="Q3451" t="s">
        <v>72</v>
      </c>
      <c r="R3451" t="s">
        <v>139</v>
      </c>
      <c r="S3451" t="s">
        <v>144</v>
      </c>
      <c r="T3451" s="2">
        <f>MASTER[[#This Row],[CANTIDAD]]*MASTER[[#This Row],[PRECIO DE VENTA]]</f>
        <v>1865</v>
      </c>
      <c r="U3451" s="2">
        <f>MASTER[[#This Row],[CANTIDAD]]*MASTER[[#This Row],[COSTO UNITARIO]]</f>
        <v>459</v>
      </c>
      <c r="V3451" s="2">
        <f>MASTER[[#This Row],[MONTO VENDIDO]]-MASTER[[#This Row],[COSTO DE VENTA]]</f>
        <v>1406</v>
      </c>
    </row>
    <row r="3452" spans="1:22" x14ac:dyDescent="0.3">
      <c r="A3452">
        <v>54357</v>
      </c>
      <c r="B3452">
        <v>1</v>
      </c>
      <c r="C3452" t="s">
        <v>92</v>
      </c>
      <c r="D3452" t="s">
        <v>93</v>
      </c>
      <c r="E3452" s="1">
        <v>44232</v>
      </c>
      <c r="F3452">
        <v>1</v>
      </c>
      <c r="G3452" t="s">
        <v>35</v>
      </c>
      <c r="H3452" t="s">
        <v>36</v>
      </c>
      <c r="I3452" s="3">
        <v>1479</v>
      </c>
      <c r="J3452" s="3">
        <v>1360</v>
      </c>
      <c r="K3452" s="3">
        <v>396</v>
      </c>
      <c r="L3452" t="s">
        <v>9</v>
      </c>
      <c r="M3452">
        <v>11</v>
      </c>
      <c r="N3452" t="s">
        <v>10</v>
      </c>
      <c r="O3452" t="s">
        <v>11</v>
      </c>
      <c r="P3452" t="s">
        <v>12</v>
      </c>
      <c r="Q3452" t="s">
        <v>13</v>
      </c>
      <c r="R3452" t="s">
        <v>13</v>
      </c>
      <c r="S3452" t="s">
        <v>144</v>
      </c>
      <c r="T3452" s="2">
        <f>MASTER[[#This Row],[CANTIDAD]]*MASTER[[#This Row],[PRECIO DE VENTA]]</f>
        <v>1360</v>
      </c>
      <c r="U3452" s="2">
        <f>MASTER[[#This Row],[CANTIDAD]]*MASTER[[#This Row],[COSTO UNITARIO]]</f>
        <v>396</v>
      </c>
      <c r="V3452" s="2">
        <f>MASTER[[#This Row],[MONTO VENDIDO]]-MASTER[[#This Row],[COSTO DE VENTA]]</f>
        <v>964</v>
      </c>
    </row>
    <row r="3453" spans="1:22" x14ac:dyDescent="0.3">
      <c r="A3453">
        <v>54373</v>
      </c>
      <c r="B3453">
        <v>1</v>
      </c>
      <c r="C3453" t="s">
        <v>103</v>
      </c>
      <c r="D3453" t="s">
        <v>104</v>
      </c>
      <c r="E3453" s="1">
        <v>44232</v>
      </c>
      <c r="F3453">
        <v>1</v>
      </c>
      <c r="G3453" t="s">
        <v>67</v>
      </c>
      <c r="H3453" t="s">
        <v>68</v>
      </c>
      <c r="I3453" s="3">
        <v>1591</v>
      </c>
      <c r="J3453" s="3">
        <v>1591</v>
      </c>
      <c r="K3453" s="3">
        <v>421</v>
      </c>
      <c r="L3453" t="s">
        <v>98</v>
      </c>
      <c r="M3453">
        <v>15</v>
      </c>
      <c r="N3453" t="s">
        <v>88</v>
      </c>
      <c r="O3453" t="s">
        <v>81</v>
      </c>
      <c r="P3453" t="s">
        <v>18</v>
      </c>
      <c r="Q3453" t="s">
        <v>19</v>
      </c>
      <c r="R3453" t="s">
        <v>138</v>
      </c>
      <c r="S3453" t="s">
        <v>144</v>
      </c>
      <c r="T3453" s="2">
        <f>MASTER[[#This Row],[CANTIDAD]]*MASTER[[#This Row],[PRECIO DE VENTA]]</f>
        <v>1591</v>
      </c>
      <c r="U3453" s="2">
        <f>MASTER[[#This Row],[CANTIDAD]]*MASTER[[#This Row],[COSTO UNITARIO]]</f>
        <v>421</v>
      </c>
      <c r="V3453" s="2">
        <f>MASTER[[#This Row],[MONTO VENDIDO]]-MASTER[[#This Row],[COSTO DE VENTA]]</f>
        <v>1170</v>
      </c>
    </row>
    <row r="3454" spans="1:22" x14ac:dyDescent="0.3">
      <c r="A3454">
        <v>54374</v>
      </c>
      <c r="B3454">
        <v>1</v>
      </c>
      <c r="C3454" t="s">
        <v>101</v>
      </c>
      <c r="D3454" t="s">
        <v>102</v>
      </c>
      <c r="E3454" s="1">
        <v>44232</v>
      </c>
      <c r="F3454">
        <v>1</v>
      </c>
      <c r="G3454" t="s">
        <v>65</v>
      </c>
      <c r="H3454" t="s">
        <v>66</v>
      </c>
      <c r="I3454" s="3">
        <v>1212</v>
      </c>
      <c r="J3454" s="3">
        <v>1212</v>
      </c>
      <c r="K3454" s="3">
        <v>442</v>
      </c>
      <c r="L3454" t="s">
        <v>98</v>
      </c>
      <c r="M3454">
        <v>15</v>
      </c>
      <c r="N3454" t="s">
        <v>88</v>
      </c>
      <c r="O3454" t="s">
        <v>81</v>
      </c>
      <c r="P3454" t="s">
        <v>18</v>
      </c>
      <c r="Q3454" t="s">
        <v>19</v>
      </c>
      <c r="R3454" t="s">
        <v>138</v>
      </c>
      <c r="S3454" t="s">
        <v>144</v>
      </c>
      <c r="T3454" s="2">
        <f>MASTER[[#This Row],[CANTIDAD]]*MASTER[[#This Row],[PRECIO DE VENTA]]</f>
        <v>1212</v>
      </c>
      <c r="U3454" s="2">
        <f>MASTER[[#This Row],[CANTIDAD]]*MASTER[[#This Row],[COSTO UNITARIO]]</f>
        <v>442</v>
      </c>
      <c r="V3454" s="2">
        <f>MASTER[[#This Row],[MONTO VENDIDO]]-MASTER[[#This Row],[COSTO DE VENTA]]</f>
        <v>770</v>
      </c>
    </row>
    <row r="3455" spans="1:22" x14ac:dyDescent="0.3">
      <c r="A3455">
        <v>54385</v>
      </c>
      <c r="B3455">
        <v>1</v>
      </c>
      <c r="C3455" t="s">
        <v>116</v>
      </c>
      <c r="D3455" t="s">
        <v>117</v>
      </c>
      <c r="E3455" s="1">
        <v>44233</v>
      </c>
      <c r="F3455">
        <v>1</v>
      </c>
      <c r="G3455" t="s">
        <v>31</v>
      </c>
      <c r="H3455" t="s">
        <v>32</v>
      </c>
      <c r="I3455" s="3">
        <v>1738</v>
      </c>
      <c r="J3455" s="3">
        <v>1738</v>
      </c>
      <c r="K3455" s="3">
        <v>388</v>
      </c>
      <c r="L3455" t="s">
        <v>113</v>
      </c>
      <c r="M3455">
        <v>14</v>
      </c>
      <c r="N3455" t="s">
        <v>87</v>
      </c>
      <c r="O3455" t="s">
        <v>81</v>
      </c>
      <c r="P3455" t="s">
        <v>18</v>
      </c>
      <c r="Q3455" t="s">
        <v>19</v>
      </c>
      <c r="R3455" t="s">
        <v>138</v>
      </c>
      <c r="S3455" t="s">
        <v>144</v>
      </c>
      <c r="T3455" s="2">
        <f>MASTER[[#This Row],[CANTIDAD]]*MASTER[[#This Row],[PRECIO DE VENTA]]</f>
        <v>1738</v>
      </c>
      <c r="U3455" s="2">
        <f>MASTER[[#This Row],[CANTIDAD]]*MASTER[[#This Row],[COSTO UNITARIO]]</f>
        <v>388</v>
      </c>
      <c r="V3455" s="2">
        <f>MASTER[[#This Row],[MONTO VENDIDO]]-MASTER[[#This Row],[COSTO DE VENTA]]</f>
        <v>1350</v>
      </c>
    </row>
    <row r="3456" spans="1:22" x14ac:dyDescent="0.3">
      <c r="A3456">
        <v>54398</v>
      </c>
      <c r="B3456">
        <v>1</v>
      </c>
      <c r="C3456" t="s">
        <v>116</v>
      </c>
      <c r="D3456" t="s">
        <v>117</v>
      </c>
      <c r="E3456" s="1">
        <v>44233</v>
      </c>
      <c r="F3456">
        <v>1</v>
      </c>
      <c r="G3456" t="s">
        <v>65</v>
      </c>
      <c r="H3456" t="s">
        <v>66</v>
      </c>
      <c r="I3456" s="3">
        <v>1738</v>
      </c>
      <c r="J3456" s="3">
        <v>1738</v>
      </c>
      <c r="K3456" s="3">
        <v>388</v>
      </c>
      <c r="L3456" t="s">
        <v>113</v>
      </c>
      <c r="M3456">
        <v>5</v>
      </c>
      <c r="N3456" t="s">
        <v>85</v>
      </c>
      <c r="O3456" t="s">
        <v>81</v>
      </c>
      <c r="P3456" t="s">
        <v>12</v>
      </c>
      <c r="Q3456" t="s">
        <v>13</v>
      </c>
      <c r="R3456" t="s">
        <v>13</v>
      </c>
      <c r="S3456" t="s">
        <v>144</v>
      </c>
      <c r="T3456" s="2">
        <f>MASTER[[#This Row],[CANTIDAD]]*MASTER[[#This Row],[PRECIO DE VENTA]]</f>
        <v>1738</v>
      </c>
      <c r="U3456" s="2">
        <f>MASTER[[#This Row],[CANTIDAD]]*MASTER[[#This Row],[COSTO UNITARIO]]</f>
        <v>388</v>
      </c>
      <c r="V3456" s="2">
        <f>MASTER[[#This Row],[MONTO VENDIDO]]-MASTER[[#This Row],[COSTO DE VENTA]]</f>
        <v>1350</v>
      </c>
    </row>
    <row r="3457" spans="1:22" x14ac:dyDescent="0.3">
      <c r="A3457">
        <v>54418</v>
      </c>
      <c r="B3457">
        <v>1</v>
      </c>
      <c r="C3457" t="s">
        <v>103</v>
      </c>
      <c r="D3457" t="s">
        <v>104</v>
      </c>
      <c r="E3457" s="1">
        <v>44233</v>
      </c>
      <c r="F3457">
        <v>1</v>
      </c>
      <c r="G3457" t="s">
        <v>61</v>
      </c>
      <c r="H3457" t="s">
        <v>62</v>
      </c>
      <c r="I3457" s="3">
        <v>1591</v>
      </c>
      <c r="J3457" s="3">
        <v>1527</v>
      </c>
      <c r="K3457" s="3">
        <v>421</v>
      </c>
      <c r="L3457" t="s">
        <v>98</v>
      </c>
      <c r="M3457">
        <v>4</v>
      </c>
      <c r="N3457" t="s">
        <v>82</v>
      </c>
      <c r="O3457" t="s">
        <v>81</v>
      </c>
      <c r="P3457" t="s">
        <v>71</v>
      </c>
      <c r="Q3457" t="s">
        <v>72</v>
      </c>
      <c r="R3457" t="s">
        <v>139</v>
      </c>
      <c r="S3457" t="s">
        <v>144</v>
      </c>
      <c r="T3457" s="2">
        <f>MASTER[[#This Row],[CANTIDAD]]*MASTER[[#This Row],[PRECIO DE VENTA]]</f>
        <v>1527</v>
      </c>
      <c r="U3457" s="2">
        <f>MASTER[[#This Row],[CANTIDAD]]*MASTER[[#This Row],[COSTO UNITARIO]]</f>
        <v>421</v>
      </c>
      <c r="V3457" s="2">
        <f>MASTER[[#This Row],[MONTO VENDIDO]]-MASTER[[#This Row],[COSTO DE VENTA]]</f>
        <v>1106</v>
      </c>
    </row>
    <row r="3458" spans="1:22" x14ac:dyDescent="0.3">
      <c r="A3458">
        <v>54423</v>
      </c>
      <c r="B3458">
        <v>1</v>
      </c>
      <c r="C3458" t="s">
        <v>103</v>
      </c>
      <c r="D3458" t="s">
        <v>104</v>
      </c>
      <c r="E3458" s="1">
        <v>44233</v>
      </c>
      <c r="F3458">
        <v>1</v>
      </c>
      <c r="G3458" t="s">
        <v>35</v>
      </c>
      <c r="H3458" t="s">
        <v>36</v>
      </c>
      <c r="I3458" s="3">
        <v>1591</v>
      </c>
      <c r="J3458" s="3">
        <v>1591</v>
      </c>
      <c r="K3458" s="3">
        <v>421</v>
      </c>
      <c r="L3458" t="s">
        <v>98</v>
      </c>
      <c r="M3458">
        <v>4</v>
      </c>
      <c r="N3458" t="s">
        <v>82</v>
      </c>
      <c r="O3458" t="s">
        <v>81</v>
      </c>
      <c r="P3458" t="s">
        <v>71</v>
      </c>
      <c r="Q3458" t="s">
        <v>72</v>
      </c>
      <c r="R3458" t="s">
        <v>139</v>
      </c>
      <c r="S3458" t="s">
        <v>144</v>
      </c>
      <c r="T3458" s="2">
        <f>MASTER[[#This Row],[CANTIDAD]]*MASTER[[#This Row],[PRECIO DE VENTA]]</f>
        <v>1591</v>
      </c>
      <c r="U3458" s="2">
        <f>MASTER[[#This Row],[CANTIDAD]]*MASTER[[#This Row],[COSTO UNITARIO]]</f>
        <v>421</v>
      </c>
      <c r="V3458" s="2">
        <f>MASTER[[#This Row],[MONTO VENDIDO]]-MASTER[[#This Row],[COSTO DE VENTA]]</f>
        <v>1170</v>
      </c>
    </row>
    <row r="3459" spans="1:22" x14ac:dyDescent="0.3">
      <c r="A3459">
        <v>54424</v>
      </c>
      <c r="B3459">
        <v>1</v>
      </c>
      <c r="C3459" t="s">
        <v>107</v>
      </c>
      <c r="D3459" t="s">
        <v>108</v>
      </c>
      <c r="E3459" s="1">
        <v>44233</v>
      </c>
      <c r="F3459">
        <v>1</v>
      </c>
      <c r="G3459" t="s">
        <v>27</v>
      </c>
      <c r="H3459" t="s">
        <v>28</v>
      </c>
      <c r="I3459" s="3">
        <v>1240</v>
      </c>
      <c r="J3459" s="3">
        <v>1240</v>
      </c>
      <c r="K3459" s="3">
        <v>380</v>
      </c>
      <c r="L3459" t="s">
        <v>98</v>
      </c>
      <c r="M3459">
        <v>17</v>
      </c>
      <c r="N3459" t="s">
        <v>14</v>
      </c>
      <c r="O3459" t="s">
        <v>11</v>
      </c>
      <c r="P3459" t="s">
        <v>15</v>
      </c>
      <c r="Q3459" t="s">
        <v>16</v>
      </c>
      <c r="R3459" t="s">
        <v>16</v>
      </c>
      <c r="S3459" t="s">
        <v>144</v>
      </c>
      <c r="T3459" s="2">
        <f>MASTER[[#This Row],[CANTIDAD]]*MASTER[[#This Row],[PRECIO DE VENTA]]</f>
        <v>1240</v>
      </c>
      <c r="U3459" s="2">
        <f>MASTER[[#This Row],[CANTIDAD]]*MASTER[[#This Row],[COSTO UNITARIO]]</f>
        <v>380</v>
      </c>
      <c r="V3459" s="2">
        <f>MASTER[[#This Row],[MONTO VENDIDO]]-MASTER[[#This Row],[COSTO DE VENTA]]</f>
        <v>860</v>
      </c>
    </row>
    <row r="3460" spans="1:22" x14ac:dyDescent="0.3">
      <c r="A3460">
        <v>54434</v>
      </c>
      <c r="B3460">
        <v>1</v>
      </c>
      <c r="C3460" t="s">
        <v>101</v>
      </c>
      <c r="D3460" t="s">
        <v>102</v>
      </c>
      <c r="E3460" s="1">
        <v>44233</v>
      </c>
      <c r="F3460">
        <v>1</v>
      </c>
      <c r="G3460" t="s">
        <v>53</v>
      </c>
      <c r="H3460" t="s">
        <v>54</v>
      </c>
      <c r="I3460" s="3">
        <v>1212</v>
      </c>
      <c r="J3460" s="3">
        <v>1212</v>
      </c>
      <c r="K3460" s="3">
        <v>442</v>
      </c>
      <c r="L3460" t="s">
        <v>98</v>
      </c>
      <c r="M3460">
        <v>5</v>
      </c>
      <c r="N3460" t="s">
        <v>85</v>
      </c>
      <c r="O3460" t="s">
        <v>81</v>
      </c>
      <c r="P3460" t="s">
        <v>12</v>
      </c>
      <c r="Q3460" t="s">
        <v>13</v>
      </c>
      <c r="R3460" t="s">
        <v>13</v>
      </c>
      <c r="S3460" t="s">
        <v>144</v>
      </c>
      <c r="T3460" s="2">
        <f>MASTER[[#This Row],[CANTIDAD]]*MASTER[[#This Row],[PRECIO DE VENTA]]</f>
        <v>1212</v>
      </c>
      <c r="U3460" s="2">
        <f>MASTER[[#This Row],[CANTIDAD]]*MASTER[[#This Row],[COSTO UNITARIO]]</f>
        <v>442</v>
      </c>
      <c r="V3460" s="2">
        <f>MASTER[[#This Row],[MONTO VENDIDO]]-MASTER[[#This Row],[COSTO DE VENTA]]</f>
        <v>770</v>
      </c>
    </row>
    <row r="3461" spans="1:22" x14ac:dyDescent="0.3">
      <c r="A3461">
        <v>54434</v>
      </c>
      <c r="B3461">
        <v>2</v>
      </c>
      <c r="C3461" t="s">
        <v>109</v>
      </c>
      <c r="D3461" t="s">
        <v>110</v>
      </c>
      <c r="E3461" s="1">
        <v>44233</v>
      </c>
      <c r="F3461">
        <v>1</v>
      </c>
      <c r="G3461" t="s">
        <v>27</v>
      </c>
      <c r="H3461" t="s">
        <v>28</v>
      </c>
      <c r="I3461" s="3">
        <v>1064</v>
      </c>
      <c r="J3461" s="3">
        <v>1064</v>
      </c>
      <c r="K3461" s="3">
        <v>387</v>
      </c>
      <c r="L3461" t="s">
        <v>98</v>
      </c>
      <c r="M3461">
        <v>5</v>
      </c>
      <c r="N3461" t="s">
        <v>85</v>
      </c>
      <c r="O3461" t="s">
        <v>81</v>
      </c>
      <c r="P3461" t="s">
        <v>12</v>
      </c>
      <c r="Q3461" t="s">
        <v>13</v>
      </c>
      <c r="R3461" t="s">
        <v>13</v>
      </c>
      <c r="S3461" t="s">
        <v>144</v>
      </c>
      <c r="T3461" s="2">
        <f>MASTER[[#This Row],[CANTIDAD]]*MASTER[[#This Row],[PRECIO DE VENTA]]</f>
        <v>1064</v>
      </c>
      <c r="U3461" s="2">
        <f>MASTER[[#This Row],[CANTIDAD]]*MASTER[[#This Row],[COSTO UNITARIO]]</f>
        <v>387</v>
      </c>
      <c r="V3461" s="2">
        <f>MASTER[[#This Row],[MONTO VENDIDO]]-MASTER[[#This Row],[COSTO DE VENTA]]</f>
        <v>677</v>
      </c>
    </row>
    <row r="3462" spans="1:22" x14ac:dyDescent="0.3">
      <c r="A3462">
        <v>54469</v>
      </c>
      <c r="B3462">
        <v>1</v>
      </c>
      <c r="C3462" t="s">
        <v>90</v>
      </c>
      <c r="D3462" t="s">
        <v>91</v>
      </c>
      <c r="E3462" s="1">
        <v>44233</v>
      </c>
      <c r="F3462">
        <v>4</v>
      </c>
      <c r="G3462" t="s">
        <v>37</v>
      </c>
      <c r="H3462" t="s">
        <v>38</v>
      </c>
      <c r="I3462" s="3">
        <v>1844</v>
      </c>
      <c r="J3462" s="3">
        <v>1844</v>
      </c>
      <c r="K3462" s="3">
        <v>420</v>
      </c>
      <c r="L3462" t="s">
        <v>9</v>
      </c>
      <c r="M3462">
        <v>2</v>
      </c>
      <c r="N3462" t="s">
        <v>86</v>
      </c>
      <c r="O3462" t="s">
        <v>81</v>
      </c>
      <c r="P3462" t="s">
        <v>71</v>
      </c>
      <c r="Q3462" t="s">
        <v>72</v>
      </c>
      <c r="R3462" t="s">
        <v>139</v>
      </c>
      <c r="S3462" t="s">
        <v>144</v>
      </c>
      <c r="T3462" s="2">
        <f>MASTER[[#This Row],[CANTIDAD]]*MASTER[[#This Row],[PRECIO DE VENTA]]</f>
        <v>7376</v>
      </c>
      <c r="U3462" s="2">
        <f>MASTER[[#This Row],[CANTIDAD]]*MASTER[[#This Row],[COSTO UNITARIO]]</f>
        <v>1680</v>
      </c>
      <c r="V3462" s="2">
        <f>MASTER[[#This Row],[MONTO VENDIDO]]-MASTER[[#This Row],[COSTO DE VENTA]]</f>
        <v>5696</v>
      </c>
    </row>
    <row r="3463" spans="1:22" x14ac:dyDescent="0.3">
      <c r="A3463">
        <v>54476</v>
      </c>
      <c r="B3463">
        <v>1</v>
      </c>
      <c r="C3463" t="s">
        <v>96</v>
      </c>
      <c r="D3463" t="s">
        <v>97</v>
      </c>
      <c r="E3463" s="1">
        <v>44233</v>
      </c>
      <c r="F3463">
        <v>3</v>
      </c>
      <c r="G3463" t="s">
        <v>43</v>
      </c>
      <c r="H3463" t="s">
        <v>44</v>
      </c>
      <c r="I3463" s="3">
        <v>1361</v>
      </c>
      <c r="J3463" s="3">
        <v>1361</v>
      </c>
      <c r="K3463" s="3">
        <v>397</v>
      </c>
      <c r="L3463" t="s">
        <v>98</v>
      </c>
      <c r="M3463">
        <v>1</v>
      </c>
      <c r="N3463" t="s">
        <v>77</v>
      </c>
      <c r="O3463" t="s">
        <v>70</v>
      </c>
      <c r="P3463" t="s">
        <v>71</v>
      </c>
      <c r="Q3463" t="s">
        <v>72</v>
      </c>
      <c r="R3463" t="s">
        <v>139</v>
      </c>
      <c r="S3463" t="s">
        <v>144</v>
      </c>
      <c r="T3463" s="2">
        <f>MASTER[[#This Row],[CANTIDAD]]*MASTER[[#This Row],[PRECIO DE VENTA]]</f>
        <v>4083</v>
      </c>
      <c r="U3463" s="2">
        <f>MASTER[[#This Row],[CANTIDAD]]*MASTER[[#This Row],[COSTO UNITARIO]]</f>
        <v>1191</v>
      </c>
      <c r="V3463" s="2">
        <f>MASTER[[#This Row],[MONTO VENDIDO]]-MASTER[[#This Row],[COSTO DE VENTA]]</f>
        <v>2892</v>
      </c>
    </row>
    <row r="3464" spans="1:22" x14ac:dyDescent="0.3">
      <c r="A3464">
        <v>54478</v>
      </c>
      <c r="B3464">
        <v>1</v>
      </c>
      <c r="C3464" t="s">
        <v>107</v>
      </c>
      <c r="D3464" t="s">
        <v>108</v>
      </c>
      <c r="E3464" s="1">
        <v>44233</v>
      </c>
      <c r="F3464">
        <v>1</v>
      </c>
      <c r="G3464" t="s">
        <v>22</v>
      </c>
      <c r="H3464" t="s">
        <v>23</v>
      </c>
      <c r="I3464" s="3">
        <v>1240</v>
      </c>
      <c r="J3464" s="3">
        <v>1240</v>
      </c>
      <c r="K3464" s="3">
        <v>380</v>
      </c>
      <c r="L3464" t="s">
        <v>98</v>
      </c>
      <c r="M3464">
        <v>12</v>
      </c>
      <c r="N3464" t="s">
        <v>26</v>
      </c>
      <c r="O3464" t="s">
        <v>11</v>
      </c>
      <c r="P3464" t="s">
        <v>12</v>
      </c>
      <c r="Q3464" t="s">
        <v>13</v>
      </c>
      <c r="R3464" t="s">
        <v>13</v>
      </c>
      <c r="S3464" t="s">
        <v>144</v>
      </c>
      <c r="T3464" s="2">
        <f>MASTER[[#This Row],[CANTIDAD]]*MASTER[[#This Row],[PRECIO DE VENTA]]</f>
        <v>1240</v>
      </c>
      <c r="U3464" s="2">
        <f>MASTER[[#This Row],[CANTIDAD]]*MASTER[[#This Row],[COSTO UNITARIO]]</f>
        <v>380</v>
      </c>
      <c r="V3464" s="2">
        <f>MASTER[[#This Row],[MONTO VENDIDO]]-MASTER[[#This Row],[COSTO DE VENTA]]</f>
        <v>860</v>
      </c>
    </row>
    <row r="3465" spans="1:22" x14ac:dyDescent="0.3">
      <c r="A3465">
        <v>54509</v>
      </c>
      <c r="B3465">
        <v>1</v>
      </c>
      <c r="C3465" t="s">
        <v>5</v>
      </c>
      <c r="D3465" t="s">
        <v>6</v>
      </c>
      <c r="E3465" s="1">
        <v>44233</v>
      </c>
      <c r="F3465">
        <v>1</v>
      </c>
      <c r="G3465" t="s">
        <v>61</v>
      </c>
      <c r="H3465" t="s">
        <v>62</v>
      </c>
      <c r="I3465" s="3">
        <v>1296</v>
      </c>
      <c r="J3465" s="3">
        <v>1296</v>
      </c>
      <c r="K3465" s="3">
        <v>393</v>
      </c>
      <c r="L3465" t="s">
        <v>9</v>
      </c>
      <c r="M3465">
        <v>9</v>
      </c>
      <c r="N3465" t="s">
        <v>76</v>
      </c>
      <c r="O3465" t="s">
        <v>70</v>
      </c>
      <c r="P3465" t="s">
        <v>12</v>
      </c>
      <c r="Q3465" t="s">
        <v>13</v>
      </c>
      <c r="R3465" t="s">
        <v>13</v>
      </c>
      <c r="S3465" t="s">
        <v>144</v>
      </c>
      <c r="T3465" s="2">
        <f>MASTER[[#This Row],[CANTIDAD]]*MASTER[[#This Row],[PRECIO DE VENTA]]</f>
        <v>1296</v>
      </c>
      <c r="U3465" s="2">
        <f>MASTER[[#This Row],[CANTIDAD]]*MASTER[[#This Row],[COSTO UNITARIO]]</f>
        <v>393</v>
      </c>
      <c r="V3465" s="2">
        <f>MASTER[[#This Row],[MONTO VENDIDO]]-MASTER[[#This Row],[COSTO DE VENTA]]</f>
        <v>903</v>
      </c>
    </row>
    <row r="3466" spans="1:22" x14ac:dyDescent="0.3">
      <c r="A3466">
        <v>54516</v>
      </c>
      <c r="B3466">
        <v>1</v>
      </c>
      <c r="C3466" t="s">
        <v>111</v>
      </c>
      <c r="D3466" t="s">
        <v>112</v>
      </c>
      <c r="E3466" s="1">
        <v>44234</v>
      </c>
      <c r="F3466">
        <v>1</v>
      </c>
      <c r="G3466" t="s">
        <v>45</v>
      </c>
      <c r="H3466" t="s">
        <v>46</v>
      </c>
      <c r="I3466" s="3">
        <v>1799</v>
      </c>
      <c r="J3466" s="3">
        <v>1799</v>
      </c>
      <c r="K3466" s="3">
        <v>434</v>
      </c>
      <c r="L3466" t="s">
        <v>113</v>
      </c>
      <c r="M3466">
        <v>6</v>
      </c>
      <c r="N3466" t="s">
        <v>75</v>
      </c>
      <c r="O3466" t="s">
        <v>70</v>
      </c>
      <c r="P3466" t="s">
        <v>12</v>
      </c>
      <c r="Q3466" t="s">
        <v>13</v>
      </c>
      <c r="R3466" t="s">
        <v>13</v>
      </c>
      <c r="S3466" t="s">
        <v>144</v>
      </c>
      <c r="T3466" s="2">
        <f>MASTER[[#This Row],[CANTIDAD]]*MASTER[[#This Row],[PRECIO DE VENTA]]</f>
        <v>1799</v>
      </c>
      <c r="U3466" s="2">
        <f>MASTER[[#This Row],[CANTIDAD]]*MASTER[[#This Row],[COSTO UNITARIO]]</f>
        <v>434</v>
      </c>
      <c r="V3466" s="2">
        <f>MASTER[[#This Row],[MONTO VENDIDO]]-MASTER[[#This Row],[COSTO DE VENTA]]</f>
        <v>1365</v>
      </c>
    </row>
    <row r="3467" spans="1:22" x14ac:dyDescent="0.3">
      <c r="A3467">
        <v>54518</v>
      </c>
      <c r="B3467">
        <v>1</v>
      </c>
      <c r="C3467" t="s">
        <v>114</v>
      </c>
      <c r="D3467" t="s">
        <v>115</v>
      </c>
      <c r="E3467" s="1">
        <v>44234</v>
      </c>
      <c r="F3467">
        <v>1</v>
      </c>
      <c r="G3467" t="s">
        <v>43</v>
      </c>
      <c r="H3467" t="s">
        <v>44</v>
      </c>
      <c r="I3467" s="3">
        <v>1862</v>
      </c>
      <c r="J3467" s="3">
        <v>1862</v>
      </c>
      <c r="K3467" s="3">
        <v>394</v>
      </c>
      <c r="L3467" t="s">
        <v>113</v>
      </c>
      <c r="M3467">
        <v>14</v>
      </c>
      <c r="N3467" t="s">
        <v>87</v>
      </c>
      <c r="O3467" t="s">
        <v>81</v>
      </c>
      <c r="P3467" t="s">
        <v>18</v>
      </c>
      <c r="Q3467" t="s">
        <v>19</v>
      </c>
      <c r="R3467" t="s">
        <v>138</v>
      </c>
      <c r="S3467" t="s">
        <v>144</v>
      </c>
      <c r="T3467" s="2">
        <f>MASTER[[#This Row],[CANTIDAD]]*MASTER[[#This Row],[PRECIO DE VENTA]]</f>
        <v>1862</v>
      </c>
      <c r="U3467" s="2">
        <f>MASTER[[#This Row],[CANTIDAD]]*MASTER[[#This Row],[COSTO UNITARIO]]</f>
        <v>394</v>
      </c>
      <c r="V3467" s="2">
        <f>MASTER[[#This Row],[MONTO VENDIDO]]-MASTER[[#This Row],[COSTO DE VENTA]]</f>
        <v>1468</v>
      </c>
    </row>
    <row r="3468" spans="1:22" x14ac:dyDescent="0.3">
      <c r="A3468">
        <v>54519</v>
      </c>
      <c r="B3468">
        <v>1</v>
      </c>
      <c r="C3468" t="s">
        <v>116</v>
      </c>
      <c r="D3468" t="s">
        <v>117</v>
      </c>
      <c r="E3468" s="1">
        <v>44234</v>
      </c>
      <c r="F3468">
        <v>1</v>
      </c>
      <c r="G3468" t="s">
        <v>7</v>
      </c>
      <c r="H3468" t="s">
        <v>8</v>
      </c>
      <c r="I3468" s="3">
        <v>1738</v>
      </c>
      <c r="J3468" s="3">
        <v>1738</v>
      </c>
      <c r="K3468" s="3">
        <v>388</v>
      </c>
      <c r="L3468" t="s">
        <v>113</v>
      </c>
      <c r="M3468">
        <v>2</v>
      </c>
      <c r="N3468" t="s">
        <v>86</v>
      </c>
      <c r="O3468" t="s">
        <v>81</v>
      </c>
      <c r="P3468" t="s">
        <v>71</v>
      </c>
      <c r="Q3468" t="s">
        <v>72</v>
      </c>
      <c r="R3468" t="s">
        <v>139</v>
      </c>
      <c r="S3468" t="s">
        <v>144</v>
      </c>
      <c r="T3468" s="2">
        <f>MASTER[[#This Row],[CANTIDAD]]*MASTER[[#This Row],[PRECIO DE VENTA]]</f>
        <v>1738</v>
      </c>
      <c r="U3468" s="2">
        <f>MASTER[[#This Row],[CANTIDAD]]*MASTER[[#This Row],[COSTO UNITARIO]]</f>
        <v>388</v>
      </c>
      <c r="V3468" s="2">
        <f>MASTER[[#This Row],[MONTO VENDIDO]]-MASTER[[#This Row],[COSTO DE VENTA]]</f>
        <v>1350</v>
      </c>
    </row>
    <row r="3469" spans="1:22" x14ac:dyDescent="0.3">
      <c r="A3469">
        <v>54540</v>
      </c>
      <c r="B3469">
        <v>1</v>
      </c>
      <c r="C3469" t="s">
        <v>118</v>
      </c>
      <c r="D3469" t="s">
        <v>119</v>
      </c>
      <c r="E3469" s="1">
        <v>44234</v>
      </c>
      <c r="F3469">
        <v>3</v>
      </c>
      <c r="G3469" t="s">
        <v>29</v>
      </c>
      <c r="H3469" t="s">
        <v>30</v>
      </c>
      <c r="I3469" s="3">
        <v>900</v>
      </c>
      <c r="J3469" s="3">
        <v>900</v>
      </c>
      <c r="K3469" s="3">
        <v>424</v>
      </c>
      <c r="L3469" t="s">
        <v>120</v>
      </c>
      <c r="M3469">
        <v>19</v>
      </c>
      <c r="N3469" t="s">
        <v>89</v>
      </c>
      <c r="O3469" t="s">
        <v>81</v>
      </c>
      <c r="P3469" t="s">
        <v>15</v>
      </c>
      <c r="Q3469" t="s">
        <v>16</v>
      </c>
      <c r="R3469" t="s">
        <v>16</v>
      </c>
      <c r="S3469" t="s">
        <v>144</v>
      </c>
      <c r="T3469" s="2">
        <f>MASTER[[#This Row],[CANTIDAD]]*MASTER[[#This Row],[PRECIO DE VENTA]]</f>
        <v>2700</v>
      </c>
      <c r="U3469" s="2">
        <f>MASTER[[#This Row],[CANTIDAD]]*MASTER[[#This Row],[COSTO UNITARIO]]</f>
        <v>1272</v>
      </c>
      <c r="V3469" s="2">
        <f>MASTER[[#This Row],[MONTO VENDIDO]]-MASTER[[#This Row],[COSTO DE VENTA]]</f>
        <v>1428</v>
      </c>
    </row>
    <row r="3470" spans="1:22" x14ac:dyDescent="0.3">
      <c r="A3470">
        <v>54545</v>
      </c>
      <c r="B3470">
        <v>1</v>
      </c>
      <c r="C3470" t="s">
        <v>111</v>
      </c>
      <c r="D3470" t="s">
        <v>112</v>
      </c>
      <c r="E3470" s="1">
        <v>44234</v>
      </c>
      <c r="F3470">
        <v>1</v>
      </c>
      <c r="G3470" t="s">
        <v>39</v>
      </c>
      <c r="H3470" t="s">
        <v>40</v>
      </c>
      <c r="I3470" s="3">
        <v>1621</v>
      </c>
      <c r="J3470" s="3">
        <v>1621</v>
      </c>
      <c r="K3470" s="3">
        <v>434</v>
      </c>
      <c r="L3470" t="s">
        <v>113</v>
      </c>
      <c r="M3470">
        <v>8</v>
      </c>
      <c r="N3470" t="s">
        <v>80</v>
      </c>
      <c r="O3470" t="s">
        <v>81</v>
      </c>
      <c r="P3470" t="s">
        <v>12</v>
      </c>
      <c r="Q3470" t="s">
        <v>13</v>
      </c>
      <c r="R3470" t="s">
        <v>13</v>
      </c>
      <c r="S3470" t="s">
        <v>144</v>
      </c>
      <c r="T3470" s="2">
        <f>MASTER[[#This Row],[CANTIDAD]]*MASTER[[#This Row],[PRECIO DE VENTA]]</f>
        <v>1621</v>
      </c>
      <c r="U3470" s="2">
        <f>MASTER[[#This Row],[CANTIDAD]]*MASTER[[#This Row],[COSTO UNITARIO]]</f>
        <v>434</v>
      </c>
      <c r="V3470" s="2">
        <f>MASTER[[#This Row],[MONTO VENDIDO]]-MASTER[[#This Row],[COSTO DE VENTA]]</f>
        <v>1187</v>
      </c>
    </row>
    <row r="3471" spans="1:22" x14ac:dyDescent="0.3">
      <c r="A3471">
        <v>54546</v>
      </c>
      <c r="B3471">
        <v>1</v>
      </c>
      <c r="C3471" t="s">
        <v>90</v>
      </c>
      <c r="D3471" t="s">
        <v>91</v>
      </c>
      <c r="E3471" s="1">
        <v>44234</v>
      </c>
      <c r="F3471">
        <v>1</v>
      </c>
      <c r="G3471" t="s">
        <v>63</v>
      </c>
      <c r="H3471" t="s">
        <v>64</v>
      </c>
      <c r="I3471" s="3">
        <v>1844</v>
      </c>
      <c r="J3471" s="3">
        <v>1844</v>
      </c>
      <c r="K3471" s="3">
        <v>420</v>
      </c>
      <c r="L3471" t="s">
        <v>9</v>
      </c>
      <c r="M3471">
        <v>19</v>
      </c>
      <c r="N3471" t="s">
        <v>89</v>
      </c>
      <c r="O3471" t="s">
        <v>81</v>
      </c>
      <c r="P3471" t="s">
        <v>15</v>
      </c>
      <c r="Q3471" t="s">
        <v>16</v>
      </c>
      <c r="R3471" t="s">
        <v>16</v>
      </c>
      <c r="S3471" t="s">
        <v>144</v>
      </c>
      <c r="T3471" s="2">
        <f>MASTER[[#This Row],[CANTIDAD]]*MASTER[[#This Row],[PRECIO DE VENTA]]</f>
        <v>1844</v>
      </c>
      <c r="U3471" s="2">
        <f>MASTER[[#This Row],[CANTIDAD]]*MASTER[[#This Row],[COSTO UNITARIO]]</f>
        <v>420</v>
      </c>
      <c r="V3471" s="2">
        <f>MASTER[[#This Row],[MONTO VENDIDO]]-MASTER[[#This Row],[COSTO DE VENTA]]</f>
        <v>1424</v>
      </c>
    </row>
    <row r="3472" spans="1:22" x14ac:dyDescent="0.3">
      <c r="A3472">
        <v>54559</v>
      </c>
      <c r="B3472">
        <v>1</v>
      </c>
      <c r="C3472" t="s">
        <v>107</v>
      </c>
      <c r="D3472" t="s">
        <v>108</v>
      </c>
      <c r="E3472" s="1">
        <v>44234</v>
      </c>
      <c r="F3472">
        <v>1</v>
      </c>
      <c r="G3472" t="s">
        <v>67</v>
      </c>
      <c r="H3472" t="s">
        <v>68</v>
      </c>
      <c r="I3472" s="3">
        <v>1333</v>
      </c>
      <c r="J3472" s="3">
        <v>1333</v>
      </c>
      <c r="K3472" s="3">
        <v>380</v>
      </c>
      <c r="L3472" t="s">
        <v>98</v>
      </c>
      <c r="M3472">
        <v>4</v>
      </c>
      <c r="N3472" t="s">
        <v>82</v>
      </c>
      <c r="O3472" t="s">
        <v>81</v>
      </c>
      <c r="P3472" t="s">
        <v>71</v>
      </c>
      <c r="Q3472" t="s">
        <v>72</v>
      </c>
      <c r="R3472" t="s">
        <v>139</v>
      </c>
      <c r="S3472" t="s">
        <v>144</v>
      </c>
      <c r="T3472" s="2">
        <f>MASTER[[#This Row],[CANTIDAD]]*MASTER[[#This Row],[PRECIO DE VENTA]]</f>
        <v>1333</v>
      </c>
      <c r="U3472" s="2">
        <f>MASTER[[#This Row],[CANTIDAD]]*MASTER[[#This Row],[COSTO UNITARIO]]</f>
        <v>380</v>
      </c>
      <c r="V3472" s="2">
        <f>MASTER[[#This Row],[MONTO VENDIDO]]-MASTER[[#This Row],[COSTO DE VENTA]]</f>
        <v>953</v>
      </c>
    </row>
    <row r="3473" spans="1:22" x14ac:dyDescent="0.3">
      <c r="A3473">
        <v>54572</v>
      </c>
      <c r="B3473">
        <v>1</v>
      </c>
      <c r="C3473" t="s">
        <v>114</v>
      </c>
      <c r="D3473" t="s">
        <v>115</v>
      </c>
      <c r="E3473" s="1">
        <v>44234</v>
      </c>
      <c r="F3473">
        <v>1</v>
      </c>
      <c r="G3473" t="s">
        <v>7</v>
      </c>
      <c r="H3473" t="s">
        <v>8</v>
      </c>
      <c r="I3473" s="3">
        <v>1862</v>
      </c>
      <c r="J3473" s="3">
        <v>1862</v>
      </c>
      <c r="K3473" s="3">
        <v>394</v>
      </c>
      <c r="L3473" t="s">
        <v>113</v>
      </c>
      <c r="M3473">
        <v>8</v>
      </c>
      <c r="N3473" t="s">
        <v>80</v>
      </c>
      <c r="O3473" t="s">
        <v>81</v>
      </c>
      <c r="P3473" t="s">
        <v>12</v>
      </c>
      <c r="Q3473" t="s">
        <v>13</v>
      </c>
      <c r="R3473" t="s">
        <v>13</v>
      </c>
      <c r="S3473" t="s">
        <v>144</v>
      </c>
      <c r="T3473" s="2">
        <f>MASTER[[#This Row],[CANTIDAD]]*MASTER[[#This Row],[PRECIO DE VENTA]]</f>
        <v>1862</v>
      </c>
      <c r="U3473" s="2">
        <f>MASTER[[#This Row],[CANTIDAD]]*MASTER[[#This Row],[COSTO UNITARIO]]</f>
        <v>394</v>
      </c>
      <c r="V3473" s="2">
        <f>MASTER[[#This Row],[MONTO VENDIDO]]-MASTER[[#This Row],[COSTO DE VENTA]]</f>
        <v>1468</v>
      </c>
    </row>
    <row r="3474" spans="1:22" x14ac:dyDescent="0.3">
      <c r="A3474">
        <v>54577</v>
      </c>
      <c r="B3474">
        <v>1</v>
      </c>
      <c r="C3474" t="s">
        <v>109</v>
      </c>
      <c r="D3474" t="s">
        <v>110</v>
      </c>
      <c r="E3474" s="1">
        <v>44234</v>
      </c>
      <c r="F3474">
        <v>1</v>
      </c>
      <c r="G3474" t="s">
        <v>65</v>
      </c>
      <c r="H3474" t="s">
        <v>66</v>
      </c>
      <c r="I3474" s="3">
        <v>1064</v>
      </c>
      <c r="J3474" s="3">
        <v>1064</v>
      </c>
      <c r="K3474" s="3">
        <v>387</v>
      </c>
      <c r="L3474" t="s">
        <v>98</v>
      </c>
      <c r="M3474">
        <v>2</v>
      </c>
      <c r="N3474" t="s">
        <v>86</v>
      </c>
      <c r="O3474" t="s">
        <v>81</v>
      </c>
      <c r="P3474" t="s">
        <v>71</v>
      </c>
      <c r="Q3474" t="s">
        <v>72</v>
      </c>
      <c r="R3474" t="s">
        <v>139</v>
      </c>
      <c r="S3474" t="s">
        <v>144</v>
      </c>
      <c r="T3474" s="2">
        <f>MASTER[[#This Row],[CANTIDAD]]*MASTER[[#This Row],[PRECIO DE VENTA]]</f>
        <v>1064</v>
      </c>
      <c r="U3474" s="2">
        <f>MASTER[[#This Row],[CANTIDAD]]*MASTER[[#This Row],[COSTO UNITARIO]]</f>
        <v>387</v>
      </c>
      <c r="V3474" s="2">
        <f>MASTER[[#This Row],[MONTO VENDIDO]]-MASTER[[#This Row],[COSTO DE VENTA]]</f>
        <v>677</v>
      </c>
    </row>
    <row r="3475" spans="1:22" x14ac:dyDescent="0.3">
      <c r="A3475">
        <v>54605</v>
      </c>
      <c r="B3475">
        <v>1</v>
      </c>
      <c r="C3475" t="s">
        <v>96</v>
      </c>
      <c r="D3475" t="s">
        <v>97</v>
      </c>
      <c r="E3475" s="1">
        <v>44234</v>
      </c>
      <c r="F3475">
        <v>1</v>
      </c>
      <c r="G3475" t="s">
        <v>39</v>
      </c>
      <c r="H3475" t="s">
        <v>40</v>
      </c>
      <c r="I3475" s="3">
        <v>1272</v>
      </c>
      <c r="J3475" s="3">
        <v>1272</v>
      </c>
      <c r="K3475" s="3">
        <v>397</v>
      </c>
      <c r="L3475" t="s">
        <v>98</v>
      </c>
      <c r="M3475">
        <v>10</v>
      </c>
      <c r="N3475" t="s">
        <v>83</v>
      </c>
      <c r="O3475" t="s">
        <v>81</v>
      </c>
      <c r="P3475" t="s">
        <v>12</v>
      </c>
      <c r="Q3475" t="s">
        <v>13</v>
      </c>
      <c r="R3475" t="s">
        <v>13</v>
      </c>
      <c r="S3475" t="s">
        <v>144</v>
      </c>
      <c r="T3475" s="2">
        <f>MASTER[[#This Row],[CANTIDAD]]*MASTER[[#This Row],[PRECIO DE VENTA]]</f>
        <v>1272</v>
      </c>
      <c r="U3475" s="2">
        <f>MASTER[[#This Row],[CANTIDAD]]*MASTER[[#This Row],[COSTO UNITARIO]]</f>
        <v>397</v>
      </c>
      <c r="V3475" s="2">
        <f>MASTER[[#This Row],[MONTO VENDIDO]]-MASTER[[#This Row],[COSTO DE VENTA]]</f>
        <v>875</v>
      </c>
    </row>
    <row r="3476" spans="1:22" x14ac:dyDescent="0.3">
      <c r="A3476">
        <v>54607</v>
      </c>
      <c r="B3476">
        <v>1</v>
      </c>
      <c r="C3476" t="s">
        <v>5</v>
      </c>
      <c r="D3476" t="s">
        <v>6</v>
      </c>
      <c r="E3476" s="1">
        <v>44235</v>
      </c>
      <c r="F3476">
        <v>1</v>
      </c>
      <c r="G3476" t="s">
        <v>7</v>
      </c>
      <c r="H3476" t="s">
        <v>8</v>
      </c>
      <c r="I3476" s="3">
        <v>1311</v>
      </c>
      <c r="J3476" s="3">
        <v>1311</v>
      </c>
      <c r="K3476" s="3">
        <v>393</v>
      </c>
      <c r="L3476" t="s">
        <v>9</v>
      </c>
      <c r="M3476">
        <v>16</v>
      </c>
      <c r="N3476" t="s">
        <v>17</v>
      </c>
      <c r="O3476" t="s">
        <v>11</v>
      </c>
      <c r="P3476" t="s">
        <v>18</v>
      </c>
      <c r="Q3476" t="s">
        <v>19</v>
      </c>
      <c r="R3476" t="s">
        <v>138</v>
      </c>
      <c r="S3476" t="s">
        <v>144</v>
      </c>
      <c r="T3476" s="2">
        <f>MASTER[[#This Row],[CANTIDAD]]*MASTER[[#This Row],[PRECIO DE VENTA]]</f>
        <v>1311</v>
      </c>
      <c r="U3476" s="2">
        <f>MASTER[[#This Row],[CANTIDAD]]*MASTER[[#This Row],[COSTO UNITARIO]]</f>
        <v>393</v>
      </c>
      <c r="V3476" s="2">
        <f>MASTER[[#This Row],[MONTO VENDIDO]]-MASTER[[#This Row],[COSTO DE VENTA]]</f>
        <v>918</v>
      </c>
    </row>
    <row r="3477" spans="1:22" x14ac:dyDescent="0.3">
      <c r="A3477">
        <v>54630</v>
      </c>
      <c r="B3477">
        <v>1</v>
      </c>
      <c r="C3477" t="s">
        <v>103</v>
      </c>
      <c r="D3477" t="s">
        <v>104</v>
      </c>
      <c r="E3477" s="1">
        <v>44235</v>
      </c>
      <c r="F3477">
        <v>1</v>
      </c>
      <c r="G3477" t="s">
        <v>61</v>
      </c>
      <c r="H3477" t="s">
        <v>62</v>
      </c>
      <c r="I3477" s="3">
        <v>1591</v>
      </c>
      <c r="J3477" s="3">
        <v>1591</v>
      </c>
      <c r="K3477" s="3">
        <v>421</v>
      </c>
      <c r="L3477" t="s">
        <v>98</v>
      </c>
      <c r="M3477">
        <v>8</v>
      </c>
      <c r="N3477" t="s">
        <v>80</v>
      </c>
      <c r="O3477" t="s">
        <v>81</v>
      </c>
      <c r="P3477" t="s">
        <v>12</v>
      </c>
      <c r="Q3477" t="s">
        <v>13</v>
      </c>
      <c r="R3477" t="s">
        <v>13</v>
      </c>
      <c r="S3477" t="s">
        <v>144</v>
      </c>
      <c r="T3477" s="2">
        <f>MASTER[[#This Row],[CANTIDAD]]*MASTER[[#This Row],[PRECIO DE VENTA]]</f>
        <v>1591</v>
      </c>
      <c r="U3477" s="2">
        <f>MASTER[[#This Row],[CANTIDAD]]*MASTER[[#This Row],[COSTO UNITARIO]]</f>
        <v>421</v>
      </c>
      <c r="V3477" s="2">
        <f>MASTER[[#This Row],[MONTO VENDIDO]]-MASTER[[#This Row],[COSTO DE VENTA]]</f>
        <v>1170</v>
      </c>
    </row>
    <row r="3478" spans="1:22" x14ac:dyDescent="0.3">
      <c r="A3478">
        <v>54633</v>
      </c>
      <c r="B3478">
        <v>1</v>
      </c>
      <c r="C3478" t="s">
        <v>109</v>
      </c>
      <c r="D3478" t="s">
        <v>110</v>
      </c>
      <c r="E3478" s="1">
        <v>44235</v>
      </c>
      <c r="F3478">
        <v>4</v>
      </c>
      <c r="G3478" t="s">
        <v>39</v>
      </c>
      <c r="H3478" t="s">
        <v>40</v>
      </c>
      <c r="I3478" s="3">
        <v>947</v>
      </c>
      <c r="J3478" s="3">
        <v>947</v>
      </c>
      <c r="K3478" s="3">
        <v>387</v>
      </c>
      <c r="L3478" t="s">
        <v>98</v>
      </c>
      <c r="M3478">
        <v>16</v>
      </c>
      <c r="N3478" t="s">
        <v>17</v>
      </c>
      <c r="O3478" t="s">
        <v>11</v>
      </c>
      <c r="P3478" t="s">
        <v>18</v>
      </c>
      <c r="Q3478" t="s">
        <v>19</v>
      </c>
      <c r="R3478" t="s">
        <v>138</v>
      </c>
      <c r="S3478" t="s">
        <v>144</v>
      </c>
      <c r="T3478" s="2">
        <f>MASTER[[#This Row],[CANTIDAD]]*MASTER[[#This Row],[PRECIO DE VENTA]]</f>
        <v>3788</v>
      </c>
      <c r="U3478" s="2">
        <f>MASTER[[#This Row],[CANTIDAD]]*MASTER[[#This Row],[COSTO UNITARIO]]</f>
        <v>1548</v>
      </c>
      <c r="V3478" s="2">
        <f>MASTER[[#This Row],[MONTO VENDIDO]]-MASTER[[#This Row],[COSTO DE VENTA]]</f>
        <v>2240</v>
      </c>
    </row>
    <row r="3479" spans="1:22" x14ac:dyDescent="0.3">
      <c r="A3479">
        <v>54642</v>
      </c>
      <c r="B3479">
        <v>1</v>
      </c>
      <c r="C3479" t="s">
        <v>105</v>
      </c>
      <c r="D3479" t="s">
        <v>106</v>
      </c>
      <c r="E3479" s="1">
        <v>44235</v>
      </c>
      <c r="F3479">
        <v>1</v>
      </c>
      <c r="G3479" t="s">
        <v>57</v>
      </c>
      <c r="H3479" t="s">
        <v>58</v>
      </c>
      <c r="I3479" s="3">
        <v>1865</v>
      </c>
      <c r="J3479" s="3">
        <v>1865</v>
      </c>
      <c r="K3479" s="3">
        <v>459</v>
      </c>
      <c r="L3479" t="s">
        <v>98</v>
      </c>
      <c r="M3479">
        <v>15</v>
      </c>
      <c r="N3479" t="s">
        <v>88</v>
      </c>
      <c r="O3479" t="s">
        <v>81</v>
      </c>
      <c r="P3479" t="s">
        <v>18</v>
      </c>
      <c r="Q3479" t="s">
        <v>19</v>
      </c>
      <c r="R3479" t="s">
        <v>138</v>
      </c>
      <c r="S3479" t="s">
        <v>144</v>
      </c>
      <c r="T3479" s="2">
        <f>MASTER[[#This Row],[CANTIDAD]]*MASTER[[#This Row],[PRECIO DE VENTA]]</f>
        <v>1865</v>
      </c>
      <c r="U3479" s="2">
        <f>MASTER[[#This Row],[CANTIDAD]]*MASTER[[#This Row],[COSTO UNITARIO]]</f>
        <v>459</v>
      </c>
      <c r="V3479" s="2">
        <f>MASTER[[#This Row],[MONTO VENDIDO]]-MASTER[[#This Row],[COSTO DE VENTA]]</f>
        <v>1406</v>
      </c>
    </row>
    <row r="3480" spans="1:22" x14ac:dyDescent="0.3">
      <c r="A3480">
        <v>54643</v>
      </c>
      <c r="B3480">
        <v>1</v>
      </c>
      <c r="C3480" t="s">
        <v>90</v>
      </c>
      <c r="D3480" t="s">
        <v>91</v>
      </c>
      <c r="E3480" s="1">
        <v>44235</v>
      </c>
      <c r="F3480">
        <v>1</v>
      </c>
      <c r="G3480" t="s">
        <v>41</v>
      </c>
      <c r="H3480" t="s">
        <v>42</v>
      </c>
      <c r="I3480" s="3">
        <v>1844</v>
      </c>
      <c r="J3480" s="3">
        <v>1844</v>
      </c>
      <c r="K3480" s="3">
        <v>420</v>
      </c>
      <c r="L3480" t="s">
        <v>9</v>
      </c>
      <c r="M3480">
        <v>15</v>
      </c>
      <c r="N3480" t="s">
        <v>88</v>
      </c>
      <c r="O3480" t="s">
        <v>81</v>
      </c>
      <c r="P3480" t="s">
        <v>18</v>
      </c>
      <c r="Q3480" t="s">
        <v>19</v>
      </c>
      <c r="R3480" t="s">
        <v>138</v>
      </c>
      <c r="S3480" t="s">
        <v>144</v>
      </c>
      <c r="T3480" s="2">
        <f>MASTER[[#This Row],[CANTIDAD]]*MASTER[[#This Row],[PRECIO DE VENTA]]</f>
        <v>1844</v>
      </c>
      <c r="U3480" s="2">
        <f>MASTER[[#This Row],[CANTIDAD]]*MASTER[[#This Row],[COSTO UNITARIO]]</f>
        <v>420</v>
      </c>
      <c r="V3480" s="2">
        <f>MASTER[[#This Row],[MONTO VENDIDO]]-MASTER[[#This Row],[COSTO DE VENTA]]</f>
        <v>1424</v>
      </c>
    </row>
    <row r="3481" spans="1:22" x14ac:dyDescent="0.3">
      <c r="A3481">
        <v>54655</v>
      </c>
      <c r="B3481">
        <v>1</v>
      </c>
      <c r="C3481" t="s">
        <v>109</v>
      </c>
      <c r="D3481" t="s">
        <v>110</v>
      </c>
      <c r="E3481" s="1">
        <v>44235</v>
      </c>
      <c r="F3481">
        <v>1</v>
      </c>
      <c r="G3481" t="s">
        <v>53</v>
      </c>
      <c r="H3481" t="s">
        <v>54</v>
      </c>
      <c r="I3481" s="3">
        <v>1128</v>
      </c>
      <c r="J3481" s="3">
        <v>1128</v>
      </c>
      <c r="K3481" s="3">
        <v>387</v>
      </c>
      <c r="L3481" t="s">
        <v>98</v>
      </c>
      <c r="M3481">
        <v>9</v>
      </c>
      <c r="N3481" t="s">
        <v>76</v>
      </c>
      <c r="O3481" t="s">
        <v>70</v>
      </c>
      <c r="P3481" t="s">
        <v>12</v>
      </c>
      <c r="Q3481" t="s">
        <v>13</v>
      </c>
      <c r="R3481" t="s">
        <v>13</v>
      </c>
      <c r="S3481" t="s">
        <v>144</v>
      </c>
      <c r="T3481" s="2">
        <f>MASTER[[#This Row],[CANTIDAD]]*MASTER[[#This Row],[PRECIO DE VENTA]]</f>
        <v>1128</v>
      </c>
      <c r="U3481" s="2">
        <f>MASTER[[#This Row],[CANTIDAD]]*MASTER[[#This Row],[COSTO UNITARIO]]</f>
        <v>387</v>
      </c>
      <c r="V3481" s="2">
        <f>MASTER[[#This Row],[MONTO VENDIDO]]-MASTER[[#This Row],[COSTO DE VENTA]]</f>
        <v>741</v>
      </c>
    </row>
    <row r="3482" spans="1:22" x14ac:dyDescent="0.3">
      <c r="A3482">
        <v>54660</v>
      </c>
      <c r="B3482">
        <v>1</v>
      </c>
      <c r="C3482" t="s">
        <v>109</v>
      </c>
      <c r="D3482" t="s">
        <v>110</v>
      </c>
      <c r="E3482" s="1">
        <v>44235</v>
      </c>
      <c r="F3482">
        <v>1</v>
      </c>
      <c r="G3482" t="s">
        <v>22</v>
      </c>
      <c r="H3482" t="s">
        <v>23</v>
      </c>
      <c r="I3482" s="3">
        <v>1128</v>
      </c>
      <c r="J3482" s="3">
        <v>1128</v>
      </c>
      <c r="K3482" s="3">
        <v>387</v>
      </c>
      <c r="L3482" t="s">
        <v>98</v>
      </c>
      <c r="M3482">
        <v>13</v>
      </c>
      <c r="N3482" t="s">
        <v>78</v>
      </c>
      <c r="O3482" t="s">
        <v>70</v>
      </c>
      <c r="P3482" t="s">
        <v>18</v>
      </c>
      <c r="Q3482" t="s">
        <v>19</v>
      </c>
      <c r="R3482" t="s">
        <v>138</v>
      </c>
      <c r="S3482" t="s">
        <v>144</v>
      </c>
      <c r="T3482" s="2">
        <f>MASTER[[#This Row],[CANTIDAD]]*MASTER[[#This Row],[PRECIO DE VENTA]]</f>
        <v>1128</v>
      </c>
      <c r="U3482" s="2">
        <f>MASTER[[#This Row],[CANTIDAD]]*MASTER[[#This Row],[COSTO UNITARIO]]</f>
        <v>387</v>
      </c>
      <c r="V3482" s="2">
        <f>MASTER[[#This Row],[MONTO VENDIDO]]-MASTER[[#This Row],[COSTO DE VENTA]]</f>
        <v>741</v>
      </c>
    </row>
    <row r="3483" spans="1:22" x14ac:dyDescent="0.3">
      <c r="A3483">
        <v>54661</v>
      </c>
      <c r="B3483">
        <v>1</v>
      </c>
      <c r="C3483" t="s">
        <v>118</v>
      </c>
      <c r="D3483" t="s">
        <v>119</v>
      </c>
      <c r="E3483" s="1">
        <v>44235</v>
      </c>
      <c r="F3483">
        <v>2</v>
      </c>
      <c r="G3483" t="s">
        <v>43</v>
      </c>
      <c r="H3483" t="s">
        <v>44</v>
      </c>
      <c r="I3483" s="3">
        <v>900</v>
      </c>
      <c r="J3483" s="3">
        <v>900</v>
      </c>
      <c r="K3483" s="3">
        <v>424</v>
      </c>
      <c r="L3483" t="s">
        <v>120</v>
      </c>
      <c r="M3483">
        <v>15</v>
      </c>
      <c r="N3483" t="s">
        <v>88</v>
      </c>
      <c r="O3483" t="s">
        <v>81</v>
      </c>
      <c r="P3483" t="s">
        <v>18</v>
      </c>
      <c r="Q3483" t="s">
        <v>19</v>
      </c>
      <c r="R3483" t="s">
        <v>138</v>
      </c>
      <c r="S3483" t="s">
        <v>144</v>
      </c>
      <c r="T3483" s="2">
        <f>MASTER[[#This Row],[CANTIDAD]]*MASTER[[#This Row],[PRECIO DE VENTA]]</f>
        <v>1800</v>
      </c>
      <c r="U3483" s="2">
        <f>MASTER[[#This Row],[CANTIDAD]]*MASTER[[#This Row],[COSTO UNITARIO]]</f>
        <v>848</v>
      </c>
      <c r="V3483" s="2">
        <f>MASTER[[#This Row],[MONTO VENDIDO]]-MASTER[[#This Row],[COSTO DE VENTA]]</f>
        <v>952</v>
      </c>
    </row>
    <row r="3484" spans="1:22" x14ac:dyDescent="0.3">
      <c r="A3484">
        <v>54668</v>
      </c>
      <c r="B3484">
        <v>1</v>
      </c>
      <c r="C3484" t="s">
        <v>92</v>
      </c>
      <c r="D3484" t="s">
        <v>93</v>
      </c>
      <c r="E3484" s="1">
        <v>44235</v>
      </c>
      <c r="F3484">
        <v>1</v>
      </c>
      <c r="G3484" t="s">
        <v>55</v>
      </c>
      <c r="H3484" t="s">
        <v>56</v>
      </c>
      <c r="I3484" s="3">
        <v>1866</v>
      </c>
      <c r="J3484" s="3">
        <v>1866</v>
      </c>
      <c r="K3484" s="3">
        <v>396</v>
      </c>
      <c r="L3484" t="s">
        <v>9</v>
      </c>
      <c r="M3484">
        <v>9</v>
      </c>
      <c r="N3484" t="s">
        <v>76</v>
      </c>
      <c r="O3484" t="s">
        <v>70</v>
      </c>
      <c r="P3484" t="s">
        <v>12</v>
      </c>
      <c r="Q3484" t="s">
        <v>13</v>
      </c>
      <c r="R3484" t="s">
        <v>13</v>
      </c>
      <c r="S3484" t="s">
        <v>144</v>
      </c>
      <c r="T3484" s="2">
        <f>MASTER[[#This Row],[CANTIDAD]]*MASTER[[#This Row],[PRECIO DE VENTA]]</f>
        <v>1866</v>
      </c>
      <c r="U3484" s="2">
        <f>MASTER[[#This Row],[CANTIDAD]]*MASTER[[#This Row],[COSTO UNITARIO]]</f>
        <v>396</v>
      </c>
      <c r="V3484" s="2">
        <f>MASTER[[#This Row],[MONTO VENDIDO]]-MASTER[[#This Row],[COSTO DE VENTA]]</f>
        <v>1470</v>
      </c>
    </row>
    <row r="3485" spans="1:22" x14ac:dyDescent="0.3">
      <c r="A3485">
        <v>54679</v>
      </c>
      <c r="B3485">
        <v>1</v>
      </c>
      <c r="C3485" t="s">
        <v>96</v>
      </c>
      <c r="D3485" t="s">
        <v>97</v>
      </c>
      <c r="E3485" s="1">
        <v>44235</v>
      </c>
      <c r="F3485">
        <v>1</v>
      </c>
      <c r="G3485" t="s">
        <v>7</v>
      </c>
      <c r="H3485" t="s">
        <v>8</v>
      </c>
      <c r="I3485" s="3">
        <v>1272</v>
      </c>
      <c r="J3485" s="3">
        <v>1272</v>
      </c>
      <c r="K3485" s="3">
        <v>397</v>
      </c>
      <c r="L3485" t="s">
        <v>98</v>
      </c>
      <c r="M3485">
        <v>7</v>
      </c>
      <c r="N3485" t="s">
        <v>84</v>
      </c>
      <c r="O3485" t="s">
        <v>81</v>
      </c>
      <c r="P3485" t="s">
        <v>12</v>
      </c>
      <c r="Q3485" t="s">
        <v>13</v>
      </c>
      <c r="R3485" t="s">
        <v>13</v>
      </c>
      <c r="S3485" t="s">
        <v>144</v>
      </c>
      <c r="T3485" s="2">
        <f>MASTER[[#This Row],[CANTIDAD]]*MASTER[[#This Row],[PRECIO DE VENTA]]</f>
        <v>1272</v>
      </c>
      <c r="U3485" s="2">
        <f>MASTER[[#This Row],[CANTIDAD]]*MASTER[[#This Row],[COSTO UNITARIO]]</f>
        <v>397</v>
      </c>
      <c r="V3485" s="2">
        <f>MASTER[[#This Row],[MONTO VENDIDO]]-MASTER[[#This Row],[COSTO DE VENTA]]</f>
        <v>875</v>
      </c>
    </row>
    <row r="3486" spans="1:22" x14ac:dyDescent="0.3">
      <c r="A3486">
        <v>54690</v>
      </c>
      <c r="B3486">
        <v>1</v>
      </c>
      <c r="C3486" t="s">
        <v>118</v>
      </c>
      <c r="D3486" t="s">
        <v>119</v>
      </c>
      <c r="E3486" s="1">
        <v>44235</v>
      </c>
      <c r="F3486">
        <v>1</v>
      </c>
      <c r="G3486" t="s">
        <v>37</v>
      </c>
      <c r="H3486" t="s">
        <v>38</v>
      </c>
      <c r="I3486" s="3">
        <v>900</v>
      </c>
      <c r="J3486" s="3">
        <v>900</v>
      </c>
      <c r="K3486" s="3">
        <v>424</v>
      </c>
      <c r="L3486" t="s">
        <v>120</v>
      </c>
      <c r="M3486">
        <v>8</v>
      </c>
      <c r="N3486" t="s">
        <v>80</v>
      </c>
      <c r="O3486" t="s">
        <v>81</v>
      </c>
      <c r="P3486" t="s">
        <v>12</v>
      </c>
      <c r="Q3486" t="s">
        <v>13</v>
      </c>
      <c r="R3486" t="s">
        <v>13</v>
      </c>
      <c r="S3486" t="s">
        <v>144</v>
      </c>
      <c r="T3486" s="2">
        <f>MASTER[[#This Row],[CANTIDAD]]*MASTER[[#This Row],[PRECIO DE VENTA]]</f>
        <v>900</v>
      </c>
      <c r="U3486" s="2">
        <f>MASTER[[#This Row],[CANTIDAD]]*MASTER[[#This Row],[COSTO UNITARIO]]</f>
        <v>424</v>
      </c>
      <c r="V3486" s="2">
        <f>MASTER[[#This Row],[MONTO VENDIDO]]-MASTER[[#This Row],[COSTO DE VENTA]]</f>
        <v>476</v>
      </c>
    </row>
    <row r="3487" spans="1:22" x14ac:dyDescent="0.3">
      <c r="A3487">
        <v>54695</v>
      </c>
      <c r="B3487">
        <v>1</v>
      </c>
      <c r="C3487" t="s">
        <v>101</v>
      </c>
      <c r="D3487" t="s">
        <v>102</v>
      </c>
      <c r="E3487" s="1">
        <v>44235</v>
      </c>
      <c r="F3487">
        <v>1</v>
      </c>
      <c r="G3487" t="s">
        <v>59</v>
      </c>
      <c r="H3487" t="s">
        <v>60</v>
      </c>
      <c r="I3487" s="3">
        <v>1212</v>
      </c>
      <c r="J3487" s="3">
        <v>1212</v>
      </c>
      <c r="K3487" s="3">
        <v>442</v>
      </c>
      <c r="L3487" t="s">
        <v>98</v>
      </c>
      <c r="M3487">
        <v>10</v>
      </c>
      <c r="N3487" t="s">
        <v>83</v>
      </c>
      <c r="O3487" t="s">
        <v>81</v>
      </c>
      <c r="P3487" t="s">
        <v>12</v>
      </c>
      <c r="Q3487" t="s">
        <v>13</v>
      </c>
      <c r="R3487" t="s">
        <v>13</v>
      </c>
      <c r="S3487" t="s">
        <v>144</v>
      </c>
      <c r="T3487" s="2">
        <f>MASTER[[#This Row],[CANTIDAD]]*MASTER[[#This Row],[PRECIO DE VENTA]]</f>
        <v>1212</v>
      </c>
      <c r="U3487" s="2">
        <f>MASTER[[#This Row],[CANTIDAD]]*MASTER[[#This Row],[COSTO UNITARIO]]</f>
        <v>442</v>
      </c>
      <c r="V3487" s="2">
        <f>MASTER[[#This Row],[MONTO VENDIDO]]-MASTER[[#This Row],[COSTO DE VENTA]]</f>
        <v>770</v>
      </c>
    </row>
    <row r="3488" spans="1:22" x14ac:dyDescent="0.3">
      <c r="A3488">
        <v>54702</v>
      </c>
      <c r="B3488">
        <v>1</v>
      </c>
      <c r="C3488" t="s">
        <v>103</v>
      </c>
      <c r="D3488" t="s">
        <v>104</v>
      </c>
      <c r="E3488" s="1">
        <v>44236</v>
      </c>
      <c r="F3488">
        <v>1</v>
      </c>
      <c r="G3488" t="s">
        <v>73</v>
      </c>
      <c r="H3488" t="s">
        <v>74</v>
      </c>
      <c r="I3488" s="3">
        <v>1830</v>
      </c>
      <c r="J3488" s="3">
        <v>1830</v>
      </c>
      <c r="K3488" s="3">
        <v>421</v>
      </c>
      <c r="L3488" t="s">
        <v>98</v>
      </c>
      <c r="M3488">
        <v>6</v>
      </c>
      <c r="N3488" t="s">
        <v>75</v>
      </c>
      <c r="O3488" t="s">
        <v>70</v>
      </c>
      <c r="P3488" t="s">
        <v>12</v>
      </c>
      <c r="Q3488" t="s">
        <v>13</v>
      </c>
      <c r="R3488" t="s">
        <v>13</v>
      </c>
      <c r="S3488" t="s">
        <v>144</v>
      </c>
      <c r="T3488" s="2">
        <f>MASTER[[#This Row],[CANTIDAD]]*MASTER[[#This Row],[PRECIO DE VENTA]]</f>
        <v>1830</v>
      </c>
      <c r="U3488" s="2">
        <f>MASTER[[#This Row],[CANTIDAD]]*MASTER[[#This Row],[COSTO UNITARIO]]</f>
        <v>421</v>
      </c>
      <c r="V3488" s="2">
        <f>MASTER[[#This Row],[MONTO VENDIDO]]-MASTER[[#This Row],[COSTO DE VENTA]]</f>
        <v>1409</v>
      </c>
    </row>
    <row r="3489" spans="1:22" x14ac:dyDescent="0.3">
      <c r="A3489">
        <v>54707</v>
      </c>
      <c r="B3489">
        <v>1</v>
      </c>
      <c r="C3489" t="s">
        <v>109</v>
      </c>
      <c r="D3489" t="s">
        <v>110</v>
      </c>
      <c r="E3489" s="1">
        <v>44236</v>
      </c>
      <c r="F3489">
        <v>1</v>
      </c>
      <c r="G3489" t="s">
        <v>22</v>
      </c>
      <c r="H3489" t="s">
        <v>23</v>
      </c>
      <c r="I3489" s="3">
        <v>1128</v>
      </c>
      <c r="J3489" s="3">
        <v>1128</v>
      </c>
      <c r="K3489" s="3">
        <v>387</v>
      </c>
      <c r="L3489" t="s">
        <v>98</v>
      </c>
      <c r="M3489">
        <v>3</v>
      </c>
      <c r="N3489" t="s">
        <v>69</v>
      </c>
      <c r="O3489" t="s">
        <v>70</v>
      </c>
      <c r="P3489" t="s">
        <v>71</v>
      </c>
      <c r="Q3489" t="s">
        <v>72</v>
      </c>
      <c r="R3489" t="s">
        <v>139</v>
      </c>
      <c r="S3489" t="s">
        <v>144</v>
      </c>
      <c r="T3489" s="2">
        <f>MASTER[[#This Row],[CANTIDAD]]*MASTER[[#This Row],[PRECIO DE VENTA]]</f>
        <v>1128</v>
      </c>
      <c r="U3489" s="2">
        <f>MASTER[[#This Row],[CANTIDAD]]*MASTER[[#This Row],[COSTO UNITARIO]]</f>
        <v>387</v>
      </c>
      <c r="V3489" s="2">
        <f>MASTER[[#This Row],[MONTO VENDIDO]]-MASTER[[#This Row],[COSTO DE VENTA]]</f>
        <v>741</v>
      </c>
    </row>
    <row r="3490" spans="1:22" x14ac:dyDescent="0.3">
      <c r="A3490">
        <v>54708</v>
      </c>
      <c r="B3490">
        <v>1</v>
      </c>
      <c r="C3490" t="s">
        <v>121</v>
      </c>
      <c r="D3490" t="s">
        <v>122</v>
      </c>
      <c r="E3490" s="1">
        <v>44236</v>
      </c>
      <c r="F3490">
        <v>1</v>
      </c>
      <c r="G3490" t="s">
        <v>20</v>
      </c>
      <c r="H3490" t="s">
        <v>21</v>
      </c>
      <c r="I3490" s="3">
        <v>941</v>
      </c>
      <c r="J3490" s="3">
        <v>941</v>
      </c>
      <c r="K3490" s="3">
        <v>460</v>
      </c>
      <c r="L3490" t="s">
        <v>120</v>
      </c>
      <c r="M3490">
        <v>11</v>
      </c>
      <c r="N3490" t="s">
        <v>10</v>
      </c>
      <c r="O3490" t="s">
        <v>11</v>
      </c>
      <c r="P3490" t="s">
        <v>12</v>
      </c>
      <c r="Q3490" t="s">
        <v>13</v>
      </c>
      <c r="R3490" t="s">
        <v>13</v>
      </c>
      <c r="S3490" t="s">
        <v>144</v>
      </c>
      <c r="T3490" s="2">
        <f>MASTER[[#This Row],[CANTIDAD]]*MASTER[[#This Row],[PRECIO DE VENTA]]</f>
        <v>941</v>
      </c>
      <c r="U3490" s="2">
        <f>MASTER[[#This Row],[CANTIDAD]]*MASTER[[#This Row],[COSTO UNITARIO]]</f>
        <v>460</v>
      </c>
      <c r="V3490" s="2">
        <f>MASTER[[#This Row],[MONTO VENDIDO]]-MASTER[[#This Row],[COSTO DE VENTA]]</f>
        <v>481</v>
      </c>
    </row>
    <row r="3491" spans="1:22" x14ac:dyDescent="0.3">
      <c r="A3491">
        <v>54751</v>
      </c>
      <c r="B3491">
        <v>1</v>
      </c>
      <c r="C3491" t="s">
        <v>96</v>
      </c>
      <c r="D3491" t="s">
        <v>97</v>
      </c>
      <c r="E3491" s="1">
        <v>44236</v>
      </c>
      <c r="F3491">
        <v>1</v>
      </c>
      <c r="G3491" t="s">
        <v>22</v>
      </c>
      <c r="H3491" t="s">
        <v>23</v>
      </c>
      <c r="I3491" s="3">
        <v>1196</v>
      </c>
      <c r="J3491" s="3">
        <v>1196</v>
      </c>
      <c r="K3491" s="3">
        <v>397</v>
      </c>
      <c r="L3491" t="s">
        <v>98</v>
      </c>
      <c r="M3491">
        <v>12</v>
      </c>
      <c r="N3491" t="s">
        <v>26</v>
      </c>
      <c r="O3491" t="s">
        <v>11</v>
      </c>
      <c r="P3491" t="s">
        <v>12</v>
      </c>
      <c r="Q3491" t="s">
        <v>13</v>
      </c>
      <c r="R3491" t="s">
        <v>13</v>
      </c>
      <c r="S3491" t="s">
        <v>144</v>
      </c>
      <c r="T3491" s="2">
        <f>MASTER[[#This Row],[CANTIDAD]]*MASTER[[#This Row],[PRECIO DE VENTA]]</f>
        <v>1196</v>
      </c>
      <c r="U3491" s="2">
        <f>MASTER[[#This Row],[CANTIDAD]]*MASTER[[#This Row],[COSTO UNITARIO]]</f>
        <v>397</v>
      </c>
      <c r="V3491" s="2">
        <f>MASTER[[#This Row],[MONTO VENDIDO]]-MASTER[[#This Row],[COSTO DE VENTA]]</f>
        <v>799</v>
      </c>
    </row>
    <row r="3492" spans="1:22" x14ac:dyDescent="0.3">
      <c r="A3492">
        <v>54760</v>
      </c>
      <c r="B3492">
        <v>1</v>
      </c>
      <c r="C3492" t="s">
        <v>109</v>
      </c>
      <c r="D3492" t="s">
        <v>110</v>
      </c>
      <c r="E3492" s="1">
        <v>44236</v>
      </c>
      <c r="F3492">
        <v>1</v>
      </c>
      <c r="G3492" t="s">
        <v>57</v>
      </c>
      <c r="H3492" t="s">
        <v>58</v>
      </c>
      <c r="I3492" s="3">
        <v>1064</v>
      </c>
      <c r="J3492" s="3">
        <v>1064</v>
      </c>
      <c r="K3492" s="3">
        <v>387</v>
      </c>
      <c r="L3492" t="s">
        <v>98</v>
      </c>
      <c r="M3492">
        <v>4</v>
      </c>
      <c r="N3492" t="s">
        <v>82</v>
      </c>
      <c r="O3492" t="s">
        <v>81</v>
      </c>
      <c r="P3492" t="s">
        <v>71</v>
      </c>
      <c r="Q3492" t="s">
        <v>72</v>
      </c>
      <c r="R3492" t="s">
        <v>139</v>
      </c>
      <c r="S3492" t="s">
        <v>144</v>
      </c>
      <c r="T3492" s="2">
        <f>MASTER[[#This Row],[CANTIDAD]]*MASTER[[#This Row],[PRECIO DE VENTA]]</f>
        <v>1064</v>
      </c>
      <c r="U3492" s="2">
        <f>MASTER[[#This Row],[CANTIDAD]]*MASTER[[#This Row],[COSTO UNITARIO]]</f>
        <v>387</v>
      </c>
      <c r="V3492" s="2">
        <f>MASTER[[#This Row],[MONTO VENDIDO]]-MASTER[[#This Row],[COSTO DE VENTA]]</f>
        <v>677</v>
      </c>
    </row>
    <row r="3493" spans="1:22" x14ac:dyDescent="0.3">
      <c r="A3493">
        <v>54764</v>
      </c>
      <c r="B3493">
        <v>1</v>
      </c>
      <c r="C3493" t="s">
        <v>99</v>
      </c>
      <c r="D3493" t="s">
        <v>100</v>
      </c>
      <c r="E3493" s="1">
        <v>44236</v>
      </c>
      <c r="F3493">
        <v>1</v>
      </c>
      <c r="G3493" t="s">
        <v>49</v>
      </c>
      <c r="H3493" t="s">
        <v>50</v>
      </c>
      <c r="I3493" s="3">
        <v>1459</v>
      </c>
      <c r="J3493" s="3">
        <v>1459</v>
      </c>
      <c r="K3493" s="3">
        <v>386</v>
      </c>
      <c r="L3493" t="s">
        <v>98</v>
      </c>
      <c r="M3493">
        <v>14</v>
      </c>
      <c r="N3493" t="s">
        <v>87</v>
      </c>
      <c r="O3493" t="s">
        <v>81</v>
      </c>
      <c r="P3493" t="s">
        <v>18</v>
      </c>
      <c r="Q3493" t="s">
        <v>19</v>
      </c>
      <c r="R3493" t="s">
        <v>138</v>
      </c>
      <c r="S3493" t="s">
        <v>144</v>
      </c>
      <c r="T3493" s="2">
        <f>MASTER[[#This Row],[CANTIDAD]]*MASTER[[#This Row],[PRECIO DE VENTA]]</f>
        <v>1459</v>
      </c>
      <c r="U3493" s="2">
        <f>MASTER[[#This Row],[CANTIDAD]]*MASTER[[#This Row],[COSTO UNITARIO]]</f>
        <v>386</v>
      </c>
      <c r="V3493" s="2">
        <f>MASTER[[#This Row],[MONTO VENDIDO]]-MASTER[[#This Row],[COSTO DE VENTA]]</f>
        <v>1073</v>
      </c>
    </row>
    <row r="3494" spans="1:22" x14ac:dyDescent="0.3">
      <c r="A3494">
        <v>54797</v>
      </c>
      <c r="B3494">
        <v>1</v>
      </c>
      <c r="C3494" t="s">
        <v>107</v>
      </c>
      <c r="D3494" t="s">
        <v>108</v>
      </c>
      <c r="E3494" s="1">
        <v>44236</v>
      </c>
      <c r="F3494">
        <v>1</v>
      </c>
      <c r="G3494" t="s">
        <v>61</v>
      </c>
      <c r="H3494" t="s">
        <v>62</v>
      </c>
      <c r="I3494" s="3">
        <v>1440</v>
      </c>
      <c r="J3494" s="3">
        <v>1440</v>
      </c>
      <c r="K3494" s="3">
        <v>380</v>
      </c>
      <c r="L3494" t="s">
        <v>98</v>
      </c>
      <c r="M3494">
        <v>3</v>
      </c>
      <c r="N3494" t="s">
        <v>69</v>
      </c>
      <c r="O3494" t="s">
        <v>70</v>
      </c>
      <c r="P3494" t="s">
        <v>71</v>
      </c>
      <c r="Q3494" t="s">
        <v>72</v>
      </c>
      <c r="R3494" t="s">
        <v>139</v>
      </c>
      <c r="S3494" t="s">
        <v>144</v>
      </c>
      <c r="T3494" s="2">
        <f>MASTER[[#This Row],[CANTIDAD]]*MASTER[[#This Row],[PRECIO DE VENTA]]</f>
        <v>1440</v>
      </c>
      <c r="U3494" s="2">
        <f>MASTER[[#This Row],[CANTIDAD]]*MASTER[[#This Row],[COSTO UNITARIO]]</f>
        <v>380</v>
      </c>
      <c r="V3494" s="2">
        <f>MASTER[[#This Row],[MONTO VENDIDO]]-MASTER[[#This Row],[COSTO DE VENTA]]</f>
        <v>1060</v>
      </c>
    </row>
    <row r="3495" spans="1:22" x14ac:dyDescent="0.3">
      <c r="A3495">
        <v>54798</v>
      </c>
      <c r="B3495">
        <v>1</v>
      </c>
      <c r="C3495" t="s">
        <v>107</v>
      </c>
      <c r="D3495" t="s">
        <v>108</v>
      </c>
      <c r="E3495" s="1">
        <v>44236</v>
      </c>
      <c r="F3495">
        <v>1</v>
      </c>
      <c r="G3495" t="s">
        <v>57</v>
      </c>
      <c r="H3495" t="s">
        <v>58</v>
      </c>
      <c r="I3495" s="3">
        <v>1333</v>
      </c>
      <c r="J3495" s="3">
        <v>1333</v>
      </c>
      <c r="K3495" s="3">
        <v>380</v>
      </c>
      <c r="L3495" t="s">
        <v>98</v>
      </c>
      <c r="M3495">
        <v>8</v>
      </c>
      <c r="N3495" t="s">
        <v>80</v>
      </c>
      <c r="O3495" t="s">
        <v>81</v>
      </c>
      <c r="P3495" t="s">
        <v>12</v>
      </c>
      <c r="Q3495" t="s">
        <v>13</v>
      </c>
      <c r="R3495" t="s">
        <v>13</v>
      </c>
      <c r="S3495" t="s">
        <v>144</v>
      </c>
      <c r="T3495" s="2">
        <f>MASTER[[#This Row],[CANTIDAD]]*MASTER[[#This Row],[PRECIO DE VENTA]]</f>
        <v>1333</v>
      </c>
      <c r="U3495" s="2">
        <f>MASTER[[#This Row],[CANTIDAD]]*MASTER[[#This Row],[COSTO UNITARIO]]</f>
        <v>380</v>
      </c>
      <c r="V3495" s="2">
        <f>MASTER[[#This Row],[MONTO VENDIDO]]-MASTER[[#This Row],[COSTO DE VENTA]]</f>
        <v>953</v>
      </c>
    </row>
    <row r="3496" spans="1:22" x14ac:dyDescent="0.3">
      <c r="A3496">
        <v>54822</v>
      </c>
      <c r="B3496">
        <v>1</v>
      </c>
      <c r="C3496" t="s">
        <v>90</v>
      </c>
      <c r="D3496" t="s">
        <v>91</v>
      </c>
      <c r="E3496" s="1">
        <v>44236</v>
      </c>
      <c r="F3496">
        <v>1</v>
      </c>
      <c r="G3496" t="s">
        <v>65</v>
      </c>
      <c r="H3496" t="s">
        <v>66</v>
      </c>
      <c r="I3496" s="3">
        <v>1660</v>
      </c>
      <c r="J3496" s="3">
        <v>1660</v>
      </c>
      <c r="K3496" s="3">
        <v>420</v>
      </c>
      <c r="L3496" t="s">
        <v>9</v>
      </c>
      <c r="M3496">
        <v>11</v>
      </c>
      <c r="N3496" t="s">
        <v>10</v>
      </c>
      <c r="O3496" t="s">
        <v>11</v>
      </c>
      <c r="P3496" t="s">
        <v>12</v>
      </c>
      <c r="Q3496" t="s">
        <v>13</v>
      </c>
      <c r="R3496" t="s">
        <v>13</v>
      </c>
      <c r="S3496" t="s">
        <v>144</v>
      </c>
      <c r="T3496" s="2">
        <f>MASTER[[#This Row],[CANTIDAD]]*MASTER[[#This Row],[PRECIO DE VENTA]]</f>
        <v>1660</v>
      </c>
      <c r="U3496" s="2">
        <f>MASTER[[#This Row],[CANTIDAD]]*MASTER[[#This Row],[COSTO UNITARIO]]</f>
        <v>420</v>
      </c>
      <c r="V3496" s="2">
        <f>MASTER[[#This Row],[MONTO VENDIDO]]-MASTER[[#This Row],[COSTO DE VENTA]]</f>
        <v>1240</v>
      </c>
    </row>
    <row r="3497" spans="1:22" x14ac:dyDescent="0.3">
      <c r="A3497">
        <v>54831</v>
      </c>
      <c r="B3497">
        <v>1</v>
      </c>
      <c r="C3497" t="s">
        <v>109</v>
      </c>
      <c r="D3497" t="s">
        <v>110</v>
      </c>
      <c r="E3497" s="1">
        <v>44236</v>
      </c>
      <c r="F3497">
        <v>1</v>
      </c>
      <c r="G3497" t="s">
        <v>35</v>
      </c>
      <c r="H3497" t="s">
        <v>36</v>
      </c>
      <c r="I3497" s="3">
        <v>947</v>
      </c>
      <c r="J3497" s="3">
        <v>947</v>
      </c>
      <c r="K3497" s="3">
        <v>387</v>
      </c>
      <c r="L3497" t="s">
        <v>98</v>
      </c>
      <c r="M3497">
        <v>11</v>
      </c>
      <c r="N3497" t="s">
        <v>10</v>
      </c>
      <c r="O3497" t="s">
        <v>11</v>
      </c>
      <c r="P3497" t="s">
        <v>12</v>
      </c>
      <c r="Q3497" t="s">
        <v>13</v>
      </c>
      <c r="R3497" t="s">
        <v>13</v>
      </c>
      <c r="S3497" t="s">
        <v>144</v>
      </c>
      <c r="T3497" s="2">
        <f>MASTER[[#This Row],[CANTIDAD]]*MASTER[[#This Row],[PRECIO DE VENTA]]</f>
        <v>947</v>
      </c>
      <c r="U3497" s="2">
        <f>MASTER[[#This Row],[CANTIDAD]]*MASTER[[#This Row],[COSTO UNITARIO]]</f>
        <v>387</v>
      </c>
      <c r="V3497" s="2">
        <f>MASTER[[#This Row],[MONTO VENDIDO]]-MASTER[[#This Row],[COSTO DE VENTA]]</f>
        <v>560</v>
      </c>
    </row>
    <row r="3498" spans="1:22" x14ac:dyDescent="0.3">
      <c r="A3498">
        <v>54840</v>
      </c>
      <c r="B3498">
        <v>1</v>
      </c>
      <c r="C3498" t="s">
        <v>101</v>
      </c>
      <c r="D3498" t="s">
        <v>102</v>
      </c>
      <c r="E3498" s="1">
        <v>44237</v>
      </c>
      <c r="F3498">
        <v>1</v>
      </c>
      <c r="G3498" t="s">
        <v>45</v>
      </c>
      <c r="H3498" t="s">
        <v>46</v>
      </c>
      <c r="I3498" s="3">
        <v>1212</v>
      </c>
      <c r="J3498" s="3">
        <v>1212</v>
      </c>
      <c r="K3498" s="3">
        <v>442</v>
      </c>
      <c r="L3498" t="s">
        <v>98</v>
      </c>
      <c r="M3498">
        <v>7</v>
      </c>
      <c r="N3498" t="s">
        <v>84</v>
      </c>
      <c r="O3498" t="s">
        <v>81</v>
      </c>
      <c r="P3498" t="s">
        <v>12</v>
      </c>
      <c r="Q3498" t="s">
        <v>13</v>
      </c>
      <c r="R3498" t="s">
        <v>13</v>
      </c>
      <c r="S3498" t="s">
        <v>144</v>
      </c>
      <c r="T3498" s="2">
        <f>MASTER[[#This Row],[CANTIDAD]]*MASTER[[#This Row],[PRECIO DE VENTA]]</f>
        <v>1212</v>
      </c>
      <c r="U3498" s="2">
        <f>MASTER[[#This Row],[CANTIDAD]]*MASTER[[#This Row],[COSTO UNITARIO]]</f>
        <v>442</v>
      </c>
      <c r="V3498" s="2">
        <f>MASTER[[#This Row],[MONTO VENDIDO]]-MASTER[[#This Row],[COSTO DE VENTA]]</f>
        <v>770</v>
      </c>
    </row>
    <row r="3499" spans="1:22" x14ac:dyDescent="0.3">
      <c r="A3499">
        <v>54847</v>
      </c>
      <c r="B3499">
        <v>1</v>
      </c>
      <c r="C3499" t="s">
        <v>96</v>
      </c>
      <c r="D3499" t="s">
        <v>97</v>
      </c>
      <c r="E3499" s="1">
        <v>44237</v>
      </c>
      <c r="F3499">
        <v>1</v>
      </c>
      <c r="G3499" t="s">
        <v>27</v>
      </c>
      <c r="H3499" t="s">
        <v>28</v>
      </c>
      <c r="I3499" s="3">
        <v>1272</v>
      </c>
      <c r="J3499" s="3">
        <v>1272</v>
      </c>
      <c r="K3499" s="3">
        <v>397</v>
      </c>
      <c r="L3499" t="s">
        <v>98</v>
      </c>
      <c r="M3499">
        <v>7</v>
      </c>
      <c r="N3499" t="s">
        <v>84</v>
      </c>
      <c r="O3499" t="s">
        <v>81</v>
      </c>
      <c r="P3499" t="s">
        <v>12</v>
      </c>
      <c r="Q3499" t="s">
        <v>13</v>
      </c>
      <c r="R3499" t="s">
        <v>13</v>
      </c>
      <c r="S3499" t="s">
        <v>144</v>
      </c>
      <c r="T3499" s="2">
        <f>MASTER[[#This Row],[CANTIDAD]]*MASTER[[#This Row],[PRECIO DE VENTA]]</f>
        <v>1272</v>
      </c>
      <c r="U3499" s="2">
        <f>MASTER[[#This Row],[CANTIDAD]]*MASTER[[#This Row],[COSTO UNITARIO]]</f>
        <v>397</v>
      </c>
      <c r="V3499" s="2">
        <f>MASTER[[#This Row],[MONTO VENDIDO]]-MASTER[[#This Row],[COSTO DE VENTA]]</f>
        <v>875</v>
      </c>
    </row>
    <row r="3500" spans="1:22" x14ac:dyDescent="0.3">
      <c r="A3500">
        <v>54855</v>
      </c>
      <c r="B3500">
        <v>1</v>
      </c>
      <c r="C3500" t="s">
        <v>5</v>
      </c>
      <c r="D3500" t="s">
        <v>6</v>
      </c>
      <c r="E3500" s="1">
        <v>44237</v>
      </c>
      <c r="F3500">
        <v>1</v>
      </c>
      <c r="G3500" t="s">
        <v>63</v>
      </c>
      <c r="H3500" t="s">
        <v>64</v>
      </c>
      <c r="I3500" s="3">
        <v>1296</v>
      </c>
      <c r="J3500" s="3">
        <v>1205</v>
      </c>
      <c r="K3500" s="3">
        <v>393</v>
      </c>
      <c r="L3500" t="s">
        <v>9</v>
      </c>
      <c r="M3500">
        <v>9</v>
      </c>
      <c r="N3500" t="s">
        <v>76</v>
      </c>
      <c r="O3500" t="s">
        <v>70</v>
      </c>
      <c r="P3500" t="s">
        <v>12</v>
      </c>
      <c r="Q3500" t="s">
        <v>13</v>
      </c>
      <c r="R3500" t="s">
        <v>13</v>
      </c>
      <c r="S3500" t="s">
        <v>144</v>
      </c>
      <c r="T3500" s="2">
        <f>MASTER[[#This Row],[CANTIDAD]]*MASTER[[#This Row],[PRECIO DE VENTA]]</f>
        <v>1205</v>
      </c>
      <c r="U3500" s="2">
        <f>MASTER[[#This Row],[CANTIDAD]]*MASTER[[#This Row],[COSTO UNITARIO]]</f>
        <v>393</v>
      </c>
      <c r="V3500" s="2">
        <f>MASTER[[#This Row],[MONTO VENDIDO]]-MASTER[[#This Row],[COSTO DE VENTA]]</f>
        <v>812</v>
      </c>
    </row>
    <row r="3501" spans="1:22" x14ac:dyDescent="0.3">
      <c r="A3501">
        <v>54866</v>
      </c>
      <c r="B3501">
        <v>1</v>
      </c>
      <c r="C3501" t="s">
        <v>121</v>
      </c>
      <c r="D3501" t="s">
        <v>122</v>
      </c>
      <c r="E3501" s="1">
        <v>44237</v>
      </c>
      <c r="F3501">
        <v>1</v>
      </c>
      <c r="G3501" t="s">
        <v>51</v>
      </c>
      <c r="H3501" t="s">
        <v>52</v>
      </c>
      <c r="I3501" s="3">
        <v>941</v>
      </c>
      <c r="J3501" s="3">
        <v>941</v>
      </c>
      <c r="K3501" s="3">
        <v>460</v>
      </c>
      <c r="L3501" t="s">
        <v>120</v>
      </c>
      <c r="M3501">
        <v>12</v>
      </c>
      <c r="N3501" t="s">
        <v>26</v>
      </c>
      <c r="O3501" t="s">
        <v>11</v>
      </c>
      <c r="P3501" t="s">
        <v>12</v>
      </c>
      <c r="Q3501" t="s">
        <v>13</v>
      </c>
      <c r="R3501" t="s">
        <v>13</v>
      </c>
      <c r="S3501" t="s">
        <v>144</v>
      </c>
      <c r="T3501" s="2">
        <f>MASTER[[#This Row],[CANTIDAD]]*MASTER[[#This Row],[PRECIO DE VENTA]]</f>
        <v>941</v>
      </c>
      <c r="U3501" s="2">
        <f>MASTER[[#This Row],[CANTIDAD]]*MASTER[[#This Row],[COSTO UNITARIO]]</f>
        <v>460</v>
      </c>
      <c r="V3501" s="2">
        <f>MASTER[[#This Row],[MONTO VENDIDO]]-MASTER[[#This Row],[COSTO DE VENTA]]</f>
        <v>481</v>
      </c>
    </row>
    <row r="3502" spans="1:22" x14ac:dyDescent="0.3">
      <c r="A3502">
        <v>54876</v>
      </c>
      <c r="B3502">
        <v>1</v>
      </c>
      <c r="C3502" t="s">
        <v>103</v>
      </c>
      <c r="D3502" t="s">
        <v>104</v>
      </c>
      <c r="E3502" s="1">
        <v>44237</v>
      </c>
      <c r="F3502">
        <v>1</v>
      </c>
      <c r="G3502" t="s">
        <v>59</v>
      </c>
      <c r="H3502" t="s">
        <v>60</v>
      </c>
      <c r="I3502" s="3">
        <v>1591</v>
      </c>
      <c r="J3502" s="3">
        <v>1591</v>
      </c>
      <c r="K3502" s="3">
        <v>421</v>
      </c>
      <c r="L3502" t="s">
        <v>98</v>
      </c>
      <c r="M3502">
        <v>7</v>
      </c>
      <c r="N3502" t="s">
        <v>84</v>
      </c>
      <c r="O3502" t="s">
        <v>81</v>
      </c>
      <c r="P3502" t="s">
        <v>12</v>
      </c>
      <c r="Q3502" t="s">
        <v>13</v>
      </c>
      <c r="R3502" t="s">
        <v>13</v>
      </c>
      <c r="S3502" t="s">
        <v>144</v>
      </c>
      <c r="T3502" s="2">
        <f>MASTER[[#This Row],[CANTIDAD]]*MASTER[[#This Row],[PRECIO DE VENTA]]</f>
        <v>1591</v>
      </c>
      <c r="U3502" s="2">
        <f>MASTER[[#This Row],[CANTIDAD]]*MASTER[[#This Row],[COSTO UNITARIO]]</f>
        <v>421</v>
      </c>
      <c r="V3502" s="2">
        <f>MASTER[[#This Row],[MONTO VENDIDO]]-MASTER[[#This Row],[COSTO DE VENTA]]</f>
        <v>1170</v>
      </c>
    </row>
    <row r="3503" spans="1:22" x14ac:dyDescent="0.3">
      <c r="A3503">
        <v>54885</v>
      </c>
      <c r="B3503">
        <v>1</v>
      </c>
      <c r="C3503" t="s">
        <v>107</v>
      </c>
      <c r="D3503" t="s">
        <v>108</v>
      </c>
      <c r="E3503" s="1">
        <v>44237</v>
      </c>
      <c r="F3503">
        <v>1</v>
      </c>
      <c r="G3503" t="s">
        <v>29</v>
      </c>
      <c r="H3503" t="s">
        <v>30</v>
      </c>
      <c r="I3503" s="3">
        <v>1333</v>
      </c>
      <c r="J3503" s="3">
        <v>1333</v>
      </c>
      <c r="K3503" s="3">
        <v>380</v>
      </c>
      <c r="L3503" t="s">
        <v>98</v>
      </c>
      <c r="M3503">
        <v>15</v>
      </c>
      <c r="N3503" t="s">
        <v>88</v>
      </c>
      <c r="O3503" t="s">
        <v>81</v>
      </c>
      <c r="P3503" t="s">
        <v>18</v>
      </c>
      <c r="Q3503" t="s">
        <v>19</v>
      </c>
      <c r="R3503" t="s">
        <v>138</v>
      </c>
      <c r="S3503" t="s">
        <v>144</v>
      </c>
      <c r="T3503" s="2">
        <f>MASTER[[#This Row],[CANTIDAD]]*MASTER[[#This Row],[PRECIO DE VENTA]]</f>
        <v>1333</v>
      </c>
      <c r="U3503" s="2">
        <f>MASTER[[#This Row],[CANTIDAD]]*MASTER[[#This Row],[COSTO UNITARIO]]</f>
        <v>380</v>
      </c>
      <c r="V3503" s="2">
        <f>MASTER[[#This Row],[MONTO VENDIDO]]-MASTER[[#This Row],[COSTO DE VENTA]]</f>
        <v>953</v>
      </c>
    </row>
    <row r="3504" spans="1:22" x14ac:dyDescent="0.3">
      <c r="A3504">
        <v>54895</v>
      </c>
      <c r="B3504">
        <v>1</v>
      </c>
      <c r="C3504" t="s">
        <v>121</v>
      </c>
      <c r="D3504" t="s">
        <v>122</v>
      </c>
      <c r="E3504" s="1">
        <v>44237</v>
      </c>
      <c r="F3504">
        <v>1</v>
      </c>
      <c r="G3504" t="s">
        <v>65</v>
      </c>
      <c r="H3504" t="s">
        <v>66</v>
      </c>
      <c r="I3504" s="3">
        <v>1069</v>
      </c>
      <c r="J3504" s="3">
        <v>1026</v>
      </c>
      <c r="K3504" s="3">
        <v>460</v>
      </c>
      <c r="L3504" t="s">
        <v>120</v>
      </c>
      <c r="M3504">
        <v>19</v>
      </c>
      <c r="N3504" t="s">
        <v>89</v>
      </c>
      <c r="O3504" t="s">
        <v>81</v>
      </c>
      <c r="P3504" t="s">
        <v>15</v>
      </c>
      <c r="Q3504" t="s">
        <v>16</v>
      </c>
      <c r="R3504" t="s">
        <v>16</v>
      </c>
      <c r="S3504" t="s">
        <v>144</v>
      </c>
      <c r="T3504" s="2">
        <f>MASTER[[#This Row],[CANTIDAD]]*MASTER[[#This Row],[PRECIO DE VENTA]]</f>
        <v>1026</v>
      </c>
      <c r="U3504" s="2">
        <f>MASTER[[#This Row],[CANTIDAD]]*MASTER[[#This Row],[COSTO UNITARIO]]</f>
        <v>460</v>
      </c>
      <c r="V3504" s="2">
        <f>MASTER[[#This Row],[MONTO VENDIDO]]-MASTER[[#This Row],[COSTO DE VENTA]]</f>
        <v>566</v>
      </c>
    </row>
    <row r="3505" spans="1:22" x14ac:dyDescent="0.3">
      <c r="A3505">
        <v>54900</v>
      </c>
      <c r="B3505">
        <v>1</v>
      </c>
      <c r="C3505" t="s">
        <v>92</v>
      </c>
      <c r="D3505" t="s">
        <v>93</v>
      </c>
      <c r="E3505" s="1">
        <v>44237</v>
      </c>
      <c r="F3505">
        <v>1</v>
      </c>
      <c r="G3505" t="s">
        <v>57</v>
      </c>
      <c r="H3505" t="s">
        <v>58</v>
      </c>
      <c r="I3505" s="3">
        <v>1479</v>
      </c>
      <c r="J3505" s="3">
        <v>1479</v>
      </c>
      <c r="K3505" s="3">
        <v>396</v>
      </c>
      <c r="L3505" t="s">
        <v>9</v>
      </c>
      <c r="M3505">
        <v>16</v>
      </c>
      <c r="N3505" t="s">
        <v>17</v>
      </c>
      <c r="O3505" t="s">
        <v>11</v>
      </c>
      <c r="P3505" t="s">
        <v>18</v>
      </c>
      <c r="Q3505" t="s">
        <v>19</v>
      </c>
      <c r="R3505" t="s">
        <v>138</v>
      </c>
      <c r="S3505" t="s">
        <v>144</v>
      </c>
      <c r="T3505" s="2">
        <f>MASTER[[#This Row],[CANTIDAD]]*MASTER[[#This Row],[PRECIO DE VENTA]]</f>
        <v>1479</v>
      </c>
      <c r="U3505" s="2">
        <f>MASTER[[#This Row],[CANTIDAD]]*MASTER[[#This Row],[COSTO UNITARIO]]</f>
        <v>396</v>
      </c>
      <c r="V3505" s="2">
        <f>MASTER[[#This Row],[MONTO VENDIDO]]-MASTER[[#This Row],[COSTO DE VENTA]]</f>
        <v>1083</v>
      </c>
    </row>
    <row r="3506" spans="1:22" x14ac:dyDescent="0.3">
      <c r="A3506">
        <v>54924</v>
      </c>
      <c r="B3506">
        <v>1</v>
      </c>
      <c r="C3506" t="s">
        <v>107</v>
      </c>
      <c r="D3506" t="s">
        <v>108</v>
      </c>
      <c r="E3506" s="1">
        <v>44237</v>
      </c>
      <c r="F3506">
        <v>1</v>
      </c>
      <c r="G3506" t="s">
        <v>73</v>
      </c>
      <c r="H3506" t="s">
        <v>74</v>
      </c>
      <c r="I3506" s="3">
        <v>1440</v>
      </c>
      <c r="J3506" s="3">
        <v>1440</v>
      </c>
      <c r="K3506" s="3">
        <v>380</v>
      </c>
      <c r="L3506" t="s">
        <v>98</v>
      </c>
      <c r="M3506">
        <v>9</v>
      </c>
      <c r="N3506" t="s">
        <v>76</v>
      </c>
      <c r="O3506" t="s">
        <v>70</v>
      </c>
      <c r="P3506" t="s">
        <v>12</v>
      </c>
      <c r="Q3506" t="s">
        <v>13</v>
      </c>
      <c r="R3506" t="s">
        <v>13</v>
      </c>
      <c r="S3506" t="s">
        <v>144</v>
      </c>
      <c r="T3506" s="2">
        <f>MASTER[[#This Row],[CANTIDAD]]*MASTER[[#This Row],[PRECIO DE VENTA]]</f>
        <v>1440</v>
      </c>
      <c r="U3506" s="2">
        <f>MASTER[[#This Row],[CANTIDAD]]*MASTER[[#This Row],[COSTO UNITARIO]]</f>
        <v>380</v>
      </c>
      <c r="V3506" s="2">
        <f>MASTER[[#This Row],[MONTO VENDIDO]]-MASTER[[#This Row],[COSTO DE VENTA]]</f>
        <v>1060</v>
      </c>
    </row>
    <row r="3507" spans="1:22" x14ac:dyDescent="0.3">
      <c r="A3507">
        <v>54928</v>
      </c>
      <c r="B3507">
        <v>1</v>
      </c>
      <c r="C3507" t="s">
        <v>94</v>
      </c>
      <c r="D3507" t="s">
        <v>95</v>
      </c>
      <c r="E3507" s="1">
        <v>44238</v>
      </c>
      <c r="F3507">
        <v>1</v>
      </c>
      <c r="G3507" t="s">
        <v>35</v>
      </c>
      <c r="H3507" t="s">
        <v>36</v>
      </c>
      <c r="I3507" s="3">
        <v>1048</v>
      </c>
      <c r="J3507" s="3">
        <v>1048</v>
      </c>
      <c r="K3507" s="3">
        <v>392</v>
      </c>
      <c r="L3507" t="s">
        <v>9</v>
      </c>
      <c r="M3507">
        <v>10</v>
      </c>
      <c r="N3507" t="s">
        <v>83</v>
      </c>
      <c r="O3507" t="s">
        <v>81</v>
      </c>
      <c r="P3507" t="s">
        <v>12</v>
      </c>
      <c r="Q3507" t="s">
        <v>13</v>
      </c>
      <c r="R3507" t="s">
        <v>13</v>
      </c>
      <c r="S3507" t="s">
        <v>144</v>
      </c>
      <c r="T3507" s="2">
        <f>MASTER[[#This Row],[CANTIDAD]]*MASTER[[#This Row],[PRECIO DE VENTA]]</f>
        <v>1048</v>
      </c>
      <c r="U3507" s="2">
        <f>MASTER[[#This Row],[CANTIDAD]]*MASTER[[#This Row],[COSTO UNITARIO]]</f>
        <v>392</v>
      </c>
      <c r="V3507" s="2">
        <f>MASTER[[#This Row],[MONTO VENDIDO]]-MASTER[[#This Row],[COSTO DE VENTA]]</f>
        <v>656</v>
      </c>
    </row>
    <row r="3508" spans="1:22" x14ac:dyDescent="0.3">
      <c r="A3508">
        <v>54939</v>
      </c>
      <c r="B3508">
        <v>1</v>
      </c>
      <c r="C3508" t="s">
        <v>114</v>
      </c>
      <c r="D3508" t="s">
        <v>115</v>
      </c>
      <c r="E3508" s="1">
        <v>44238</v>
      </c>
      <c r="F3508">
        <v>1</v>
      </c>
      <c r="G3508" t="s">
        <v>51</v>
      </c>
      <c r="H3508" t="s">
        <v>52</v>
      </c>
      <c r="I3508" s="3">
        <v>2030</v>
      </c>
      <c r="J3508" s="3">
        <v>2030</v>
      </c>
      <c r="K3508" s="3">
        <v>394</v>
      </c>
      <c r="L3508" t="s">
        <v>113</v>
      </c>
      <c r="M3508">
        <v>9</v>
      </c>
      <c r="N3508" t="s">
        <v>76</v>
      </c>
      <c r="O3508" t="s">
        <v>70</v>
      </c>
      <c r="P3508" t="s">
        <v>12</v>
      </c>
      <c r="Q3508" t="s">
        <v>13</v>
      </c>
      <c r="R3508" t="s">
        <v>13</v>
      </c>
      <c r="S3508" t="s">
        <v>144</v>
      </c>
      <c r="T3508" s="2">
        <f>MASTER[[#This Row],[CANTIDAD]]*MASTER[[#This Row],[PRECIO DE VENTA]]</f>
        <v>2030</v>
      </c>
      <c r="U3508" s="2">
        <f>MASTER[[#This Row],[CANTIDAD]]*MASTER[[#This Row],[COSTO UNITARIO]]</f>
        <v>394</v>
      </c>
      <c r="V3508" s="2">
        <f>MASTER[[#This Row],[MONTO VENDIDO]]-MASTER[[#This Row],[COSTO DE VENTA]]</f>
        <v>1636</v>
      </c>
    </row>
    <row r="3509" spans="1:22" x14ac:dyDescent="0.3">
      <c r="A3509">
        <v>54957</v>
      </c>
      <c r="B3509">
        <v>3</v>
      </c>
      <c r="C3509" t="s">
        <v>96</v>
      </c>
      <c r="D3509" t="s">
        <v>97</v>
      </c>
      <c r="E3509" s="1">
        <v>44238</v>
      </c>
      <c r="F3509">
        <v>1</v>
      </c>
      <c r="G3509" t="s">
        <v>57</v>
      </c>
      <c r="H3509" t="s">
        <v>58</v>
      </c>
      <c r="I3509" s="3">
        <v>1272</v>
      </c>
      <c r="J3509" s="3">
        <v>1272</v>
      </c>
      <c r="K3509" s="3">
        <v>397</v>
      </c>
      <c r="L3509" t="s">
        <v>98</v>
      </c>
      <c r="M3509">
        <v>15</v>
      </c>
      <c r="N3509" t="s">
        <v>88</v>
      </c>
      <c r="O3509" t="s">
        <v>81</v>
      </c>
      <c r="P3509" t="s">
        <v>18</v>
      </c>
      <c r="Q3509" t="s">
        <v>19</v>
      </c>
      <c r="R3509" t="s">
        <v>138</v>
      </c>
      <c r="S3509" t="s">
        <v>144</v>
      </c>
      <c r="T3509" s="2">
        <f>MASTER[[#This Row],[CANTIDAD]]*MASTER[[#This Row],[PRECIO DE VENTA]]</f>
        <v>1272</v>
      </c>
      <c r="U3509" s="2">
        <f>MASTER[[#This Row],[CANTIDAD]]*MASTER[[#This Row],[COSTO UNITARIO]]</f>
        <v>397</v>
      </c>
      <c r="V3509" s="2">
        <f>MASTER[[#This Row],[MONTO VENDIDO]]-MASTER[[#This Row],[COSTO DE VENTA]]</f>
        <v>875</v>
      </c>
    </row>
    <row r="3510" spans="1:22" x14ac:dyDescent="0.3">
      <c r="A3510">
        <v>54957</v>
      </c>
      <c r="B3510">
        <v>1</v>
      </c>
      <c r="C3510" t="s">
        <v>114</v>
      </c>
      <c r="D3510" t="s">
        <v>115</v>
      </c>
      <c r="E3510" s="1">
        <v>44238</v>
      </c>
      <c r="F3510">
        <v>1</v>
      </c>
      <c r="G3510" t="s">
        <v>43</v>
      </c>
      <c r="H3510" t="s">
        <v>44</v>
      </c>
      <c r="I3510" s="3">
        <v>1862</v>
      </c>
      <c r="J3510" s="3">
        <v>1862</v>
      </c>
      <c r="K3510" s="3">
        <v>394</v>
      </c>
      <c r="L3510" t="s">
        <v>113</v>
      </c>
      <c r="M3510">
        <v>15</v>
      </c>
      <c r="N3510" t="s">
        <v>88</v>
      </c>
      <c r="O3510" t="s">
        <v>81</v>
      </c>
      <c r="P3510" t="s">
        <v>18</v>
      </c>
      <c r="Q3510" t="s">
        <v>19</v>
      </c>
      <c r="R3510" t="s">
        <v>138</v>
      </c>
      <c r="S3510" t="s">
        <v>144</v>
      </c>
      <c r="T3510" s="2">
        <f>MASTER[[#This Row],[CANTIDAD]]*MASTER[[#This Row],[PRECIO DE VENTA]]</f>
        <v>1862</v>
      </c>
      <c r="U3510" s="2">
        <f>MASTER[[#This Row],[CANTIDAD]]*MASTER[[#This Row],[COSTO UNITARIO]]</f>
        <v>394</v>
      </c>
      <c r="V3510" s="2">
        <f>MASTER[[#This Row],[MONTO VENDIDO]]-MASTER[[#This Row],[COSTO DE VENTA]]</f>
        <v>1468</v>
      </c>
    </row>
    <row r="3511" spans="1:22" x14ac:dyDescent="0.3">
      <c r="A3511">
        <v>54957</v>
      </c>
      <c r="B3511">
        <v>2</v>
      </c>
      <c r="C3511" t="s">
        <v>121</v>
      </c>
      <c r="D3511" t="s">
        <v>122</v>
      </c>
      <c r="E3511" s="1">
        <v>44238</v>
      </c>
      <c r="F3511">
        <v>1</v>
      </c>
      <c r="G3511" t="s">
        <v>29</v>
      </c>
      <c r="H3511" t="s">
        <v>30</v>
      </c>
      <c r="I3511" s="3">
        <v>1069</v>
      </c>
      <c r="J3511" s="3">
        <v>1069</v>
      </c>
      <c r="K3511" s="3">
        <v>460</v>
      </c>
      <c r="L3511" t="s">
        <v>120</v>
      </c>
      <c r="M3511">
        <v>15</v>
      </c>
      <c r="N3511" t="s">
        <v>88</v>
      </c>
      <c r="O3511" t="s">
        <v>81</v>
      </c>
      <c r="P3511" t="s">
        <v>18</v>
      </c>
      <c r="Q3511" t="s">
        <v>19</v>
      </c>
      <c r="R3511" t="s">
        <v>138</v>
      </c>
      <c r="S3511" t="s">
        <v>144</v>
      </c>
      <c r="T3511" s="2">
        <f>MASTER[[#This Row],[CANTIDAD]]*MASTER[[#This Row],[PRECIO DE VENTA]]</f>
        <v>1069</v>
      </c>
      <c r="U3511" s="2">
        <f>MASTER[[#This Row],[CANTIDAD]]*MASTER[[#This Row],[COSTO UNITARIO]]</f>
        <v>460</v>
      </c>
      <c r="V3511" s="2">
        <f>MASTER[[#This Row],[MONTO VENDIDO]]-MASTER[[#This Row],[COSTO DE VENTA]]</f>
        <v>609</v>
      </c>
    </row>
    <row r="3512" spans="1:22" x14ac:dyDescent="0.3">
      <c r="A3512">
        <v>55012</v>
      </c>
      <c r="B3512">
        <v>1</v>
      </c>
      <c r="C3512" t="s">
        <v>109</v>
      </c>
      <c r="D3512" t="s">
        <v>110</v>
      </c>
      <c r="E3512" s="1">
        <v>44238</v>
      </c>
      <c r="F3512">
        <v>1</v>
      </c>
      <c r="G3512" t="s">
        <v>73</v>
      </c>
      <c r="H3512" t="s">
        <v>74</v>
      </c>
      <c r="I3512" s="3">
        <v>1128</v>
      </c>
      <c r="J3512" s="3">
        <v>1128</v>
      </c>
      <c r="K3512" s="3">
        <v>387</v>
      </c>
      <c r="L3512" t="s">
        <v>98</v>
      </c>
      <c r="M3512">
        <v>13</v>
      </c>
      <c r="N3512" t="s">
        <v>78</v>
      </c>
      <c r="O3512" t="s">
        <v>70</v>
      </c>
      <c r="P3512" t="s">
        <v>18</v>
      </c>
      <c r="Q3512" t="s">
        <v>19</v>
      </c>
      <c r="R3512" t="s">
        <v>138</v>
      </c>
      <c r="S3512" t="s">
        <v>144</v>
      </c>
      <c r="T3512" s="2">
        <f>MASTER[[#This Row],[CANTIDAD]]*MASTER[[#This Row],[PRECIO DE VENTA]]</f>
        <v>1128</v>
      </c>
      <c r="U3512" s="2">
        <f>MASTER[[#This Row],[CANTIDAD]]*MASTER[[#This Row],[COSTO UNITARIO]]</f>
        <v>387</v>
      </c>
      <c r="V3512" s="2">
        <f>MASTER[[#This Row],[MONTO VENDIDO]]-MASTER[[#This Row],[COSTO DE VENTA]]</f>
        <v>741</v>
      </c>
    </row>
    <row r="3513" spans="1:22" x14ac:dyDescent="0.3">
      <c r="A3513">
        <v>55019</v>
      </c>
      <c r="B3513">
        <v>1</v>
      </c>
      <c r="C3513" t="s">
        <v>118</v>
      </c>
      <c r="D3513" t="s">
        <v>119</v>
      </c>
      <c r="E3513" s="1">
        <v>44238</v>
      </c>
      <c r="F3513">
        <v>1</v>
      </c>
      <c r="G3513" t="s">
        <v>29</v>
      </c>
      <c r="H3513" t="s">
        <v>30</v>
      </c>
      <c r="I3513" s="3">
        <v>900</v>
      </c>
      <c r="J3513" s="3">
        <v>900</v>
      </c>
      <c r="K3513" s="3">
        <v>424</v>
      </c>
      <c r="L3513" t="s">
        <v>120</v>
      </c>
      <c r="M3513">
        <v>2</v>
      </c>
      <c r="N3513" t="s">
        <v>86</v>
      </c>
      <c r="O3513" t="s">
        <v>81</v>
      </c>
      <c r="P3513" t="s">
        <v>71</v>
      </c>
      <c r="Q3513" t="s">
        <v>72</v>
      </c>
      <c r="R3513" t="s">
        <v>139</v>
      </c>
      <c r="S3513" t="s">
        <v>144</v>
      </c>
      <c r="T3513" s="2">
        <f>MASTER[[#This Row],[CANTIDAD]]*MASTER[[#This Row],[PRECIO DE VENTA]]</f>
        <v>900</v>
      </c>
      <c r="U3513" s="2">
        <f>MASTER[[#This Row],[CANTIDAD]]*MASTER[[#This Row],[COSTO UNITARIO]]</f>
        <v>424</v>
      </c>
      <c r="V3513" s="2">
        <f>MASTER[[#This Row],[MONTO VENDIDO]]-MASTER[[#This Row],[COSTO DE VENTA]]</f>
        <v>476</v>
      </c>
    </row>
    <row r="3514" spans="1:22" x14ac:dyDescent="0.3">
      <c r="A3514">
        <v>55043</v>
      </c>
      <c r="B3514">
        <v>1</v>
      </c>
      <c r="C3514" t="s">
        <v>99</v>
      </c>
      <c r="D3514" t="s">
        <v>100</v>
      </c>
      <c r="E3514" s="1">
        <v>44238</v>
      </c>
      <c r="F3514">
        <v>1</v>
      </c>
      <c r="G3514" t="s">
        <v>57</v>
      </c>
      <c r="H3514" t="s">
        <v>58</v>
      </c>
      <c r="I3514" s="3">
        <v>1328</v>
      </c>
      <c r="J3514" s="3">
        <v>1328</v>
      </c>
      <c r="K3514" s="3">
        <v>386</v>
      </c>
      <c r="L3514" t="s">
        <v>98</v>
      </c>
      <c r="M3514">
        <v>16</v>
      </c>
      <c r="N3514" t="s">
        <v>17</v>
      </c>
      <c r="O3514" t="s">
        <v>11</v>
      </c>
      <c r="P3514" t="s">
        <v>18</v>
      </c>
      <c r="Q3514" t="s">
        <v>19</v>
      </c>
      <c r="R3514" t="s">
        <v>138</v>
      </c>
      <c r="S3514" t="s">
        <v>144</v>
      </c>
      <c r="T3514" s="2">
        <f>MASTER[[#This Row],[CANTIDAD]]*MASTER[[#This Row],[PRECIO DE VENTA]]</f>
        <v>1328</v>
      </c>
      <c r="U3514" s="2">
        <f>MASTER[[#This Row],[CANTIDAD]]*MASTER[[#This Row],[COSTO UNITARIO]]</f>
        <v>386</v>
      </c>
      <c r="V3514" s="2">
        <f>MASTER[[#This Row],[MONTO VENDIDO]]-MASTER[[#This Row],[COSTO DE VENTA]]</f>
        <v>942</v>
      </c>
    </row>
    <row r="3515" spans="1:22" x14ac:dyDescent="0.3">
      <c r="A3515">
        <v>55046</v>
      </c>
      <c r="B3515">
        <v>1</v>
      </c>
      <c r="C3515" t="s">
        <v>118</v>
      </c>
      <c r="D3515" t="s">
        <v>119</v>
      </c>
      <c r="E3515" s="1">
        <v>44238</v>
      </c>
      <c r="F3515">
        <v>1</v>
      </c>
      <c r="G3515" t="s">
        <v>43</v>
      </c>
      <c r="H3515" t="s">
        <v>44</v>
      </c>
      <c r="I3515" s="3">
        <v>1026</v>
      </c>
      <c r="J3515" s="3">
        <v>1026</v>
      </c>
      <c r="K3515" s="3">
        <v>424</v>
      </c>
      <c r="L3515" t="s">
        <v>120</v>
      </c>
      <c r="M3515">
        <v>1</v>
      </c>
      <c r="N3515" t="s">
        <v>77</v>
      </c>
      <c r="O3515" t="s">
        <v>70</v>
      </c>
      <c r="P3515" t="s">
        <v>71</v>
      </c>
      <c r="Q3515" t="s">
        <v>72</v>
      </c>
      <c r="R3515" t="s">
        <v>139</v>
      </c>
      <c r="S3515" t="s">
        <v>144</v>
      </c>
      <c r="T3515" s="2">
        <f>MASTER[[#This Row],[CANTIDAD]]*MASTER[[#This Row],[PRECIO DE VENTA]]</f>
        <v>1026</v>
      </c>
      <c r="U3515" s="2">
        <f>MASTER[[#This Row],[CANTIDAD]]*MASTER[[#This Row],[COSTO UNITARIO]]</f>
        <v>424</v>
      </c>
      <c r="V3515" s="2">
        <f>MASTER[[#This Row],[MONTO VENDIDO]]-MASTER[[#This Row],[COSTO DE VENTA]]</f>
        <v>602</v>
      </c>
    </row>
    <row r="3516" spans="1:22" x14ac:dyDescent="0.3">
      <c r="A3516">
        <v>55060</v>
      </c>
      <c r="B3516">
        <v>1</v>
      </c>
      <c r="C3516" t="s">
        <v>107</v>
      </c>
      <c r="D3516" t="s">
        <v>108</v>
      </c>
      <c r="E3516" s="1">
        <v>44238</v>
      </c>
      <c r="F3516">
        <v>3</v>
      </c>
      <c r="G3516" t="s">
        <v>51</v>
      </c>
      <c r="H3516" t="s">
        <v>52</v>
      </c>
      <c r="I3516" s="3">
        <v>1440</v>
      </c>
      <c r="J3516" s="3">
        <v>1440</v>
      </c>
      <c r="K3516" s="3">
        <v>380</v>
      </c>
      <c r="L3516" t="s">
        <v>98</v>
      </c>
      <c r="M3516">
        <v>6</v>
      </c>
      <c r="N3516" t="s">
        <v>75</v>
      </c>
      <c r="O3516" t="s">
        <v>70</v>
      </c>
      <c r="P3516" t="s">
        <v>12</v>
      </c>
      <c r="Q3516" t="s">
        <v>13</v>
      </c>
      <c r="R3516" t="s">
        <v>13</v>
      </c>
      <c r="S3516" t="s">
        <v>144</v>
      </c>
      <c r="T3516" s="2">
        <f>MASTER[[#This Row],[CANTIDAD]]*MASTER[[#This Row],[PRECIO DE VENTA]]</f>
        <v>4320</v>
      </c>
      <c r="U3516" s="2">
        <f>MASTER[[#This Row],[CANTIDAD]]*MASTER[[#This Row],[COSTO UNITARIO]]</f>
        <v>1140</v>
      </c>
      <c r="V3516" s="2">
        <f>MASTER[[#This Row],[MONTO VENDIDO]]-MASTER[[#This Row],[COSTO DE VENTA]]</f>
        <v>3180</v>
      </c>
    </row>
    <row r="3517" spans="1:22" x14ac:dyDescent="0.3">
      <c r="A3517">
        <v>55086</v>
      </c>
      <c r="B3517">
        <v>2</v>
      </c>
      <c r="C3517" t="s">
        <v>101</v>
      </c>
      <c r="D3517" t="s">
        <v>102</v>
      </c>
      <c r="E3517" s="1">
        <v>44238</v>
      </c>
      <c r="F3517">
        <v>1</v>
      </c>
      <c r="G3517" t="s">
        <v>49</v>
      </c>
      <c r="H3517" t="s">
        <v>50</v>
      </c>
      <c r="I3517" s="3">
        <v>1054</v>
      </c>
      <c r="J3517" s="3">
        <v>1054</v>
      </c>
      <c r="K3517" s="3">
        <v>442</v>
      </c>
      <c r="L3517" t="s">
        <v>98</v>
      </c>
      <c r="M3517">
        <v>16</v>
      </c>
      <c r="N3517" t="s">
        <v>17</v>
      </c>
      <c r="O3517" t="s">
        <v>11</v>
      </c>
      <c r="P3517" t="s">
        <v>18</v>
      </c>
      <c r="Q3517" t="s">
        <v>19</v>
      </c>
      <c r="R3517" t="s">
        <v>138</v>
      </c>
      <c r="S3517" t="s">
        <v>144</v>
      </c>
      <c r="T3517" s="2">
        <f>MASTER[[#This Row],[CANTIDAD]]*MASTER[[#This Row],[PRECIO DE VENTA]]</f>
        <v>1054</v>
      </c>
      <c r="U3517" s="2">
        <f>MASTER[[#This Row],[CANTIDAD]]*MASTER[[#This Row],[COSTO UNITARIO]]</f>
        <v>442</v>
      </c>
      <c r="V3517" s="2">
        <f>MASTER[[#This Row],[MONTO VENDIDO]]-MASTER[[#This Row],[COSTO DE VENTA]]</f>
        <v>612</v>
      </c>
    </row>
    <row r="3518" spans="1:22" x14ac:dyDescent="0.3">
      <c r="A3518">
        <v>55086</v>
      </c>
      <c r="B3518">
        <v>1</v>
      </c>
      <c r="C3518" t="s">
        <v>109</v>
      </c>
      <c r="D3518" t="s">
        <v>110</v>
      </c>
      <c r="E3518" s="1">
        <v>44238</v>
      </c>
      <c r="F3518">
        <v>1</v>
      </c>
      <c r="G3518" t="s">
        <v>51</v>
      </c>
      <c r="H3518" t="s">
        <v>52</v>
      </c>
      <c r="I3518" s="3">
        <v>947</v>
      </c>
      <c r="J3518" s="3">
        <v>947</v>
      </c>
      <c r="K3518" s="3">
        <v>387</v>
      </c>
      <c r="L3518" t="s">
        <v>98</v>
      </c>
      <c r="M3518">
        <v>16</v>
      </c>
      <c r="N3518" t="s">
        <v>17</v>
      </c>
      <c r="O3518" t="s">
        <v>11</v>
      </c>
      <c r="P3518" t="s">
        <v>18</v>
      </c>
      <c r="Q3518" t="s">
        <v>19</v>
      </c>
      <c r="R3518" t="s">
        <v>138</v>
      </c>
      <c r="S3518" t="s">
        <v>144</v>
      </c>
      <c r="T3518" s="2">
        <f>MASTER[[#This Row],[CANTIDAD]]*MASTER[[#This Row],[PRECIO DE VENTA]]</f>
        <v>947</v>
      </c>
      <c r="U3518" s="2">
        <f>MASTER[[#This Row],[CANTIDAD]]*MASTER[[#This Row],[COSTO UNITARIO]]</f>
        <v>387</v>
      </c>
      <c r="V3518" s="2">
        <f>MASTER[[#This Row],[MONTO VENDIDO]]-MASTER[[#This Row],[COSTO DE VENTA]]</f>
        <v>560</v>
      </c>
    </row>
    <row r="3519" spans="1:22" x14ac:dyDescent="0.3">
      <c r="A3519">
        <v>55099</v>
      </c>
      <c r="B3519">
        <v>1</v>
      </c>
      <c r="C3519" t="s">
        <v>109</v>
      </c>
      <c r="D3519" t="s">
        <v>110</v>
      </c>
      <c r="E3519" s="1">
        <v>44239</v>
      </c>
      <c r="F3519">
        <v>1</v>
      </c>
      <c r="G3519" t="s">
        <v>33</v>
      </c>
      <c r="H3519" t="s">
        <v>34</v>
      </c>
      <c r="I3519" s="3">
        <v>947</v>
      </c>
      <c r="J3519" s="3">
        <v>947</v>
      </c>
      <c r="K3519" s="3">
        <v>387</v>
      </c>
      <c r="L3519" t="s">
        <v>98</v>
      </c>
      <c r="M3519">
        <v>12</v>
      </c>
      <c r="N3519" t="s">
        <v>26</v>
      </c>
      <c r="O3519" t="s">
        <v>11</v>
      </c>
      <c r="P3519" t="s">
        <v>12</v>
      </c>
      <c r="Q3519" t="s">
        <v>13</v>
      </c>
      <c r="R3519" t="s">
        <v>13</v>
      </c>
      <c r="S3519" t="s">
        <v>144</v>
      </c>
      <c r="T3519" s="2">
        <f>MASTER[[#This Row],[CANTIDAD]]*MASTER[[#This Row],[PRECIO DE VENTA]]</f>
        <v>947</v>
      </c>
      <c r="U3519" s="2">
        <f>MASTER[[#This Row],[CANTIDAD]]*MASTER[[#This Row],[COSTO UNITARIO]]</f>
        <v>387</v>
      </c>
      <c r="V3519" s="2">
        <f>MASTER[[#This Row],[MONTO VENDIDO]]-MASTER[[#This Row],[COSTO DE VENTA]]</f>
        <v>560</v>
      </c>
    </row>
    <row r="3520" spans="1:22" x14ac:dyDescent="0.3">
      <c r="A3520">
        <v>55112</v>
      </c>
      <c r="B3520">
        <v>1</v>
      </c>
      <c r="C3520" t="s">
        <v>118</v>
      </c>
      <c r="D3520" t="s">
        <v>119</v>
      </c>
      <c r="E3520" s="1">
        <v>44239</v>
      </c>
      <c r="F3520">
        <v>1</v>
      </c>
      <c r="G3520" t="s">
        <v>39</v>
      </c>
      <c r="H3520" t="s">
        <v>40</v>
      </c>
      <c r="I3520" s="3">
        <v>900</v>
      </c>
      <c r="J3520" s="3">
        <v>828</v>
      </c>
      <c r="K3520" s="3">
        <v>424</v>
      </c>
      <c r="L3520" t="s">
        <v>120</v>
      </c>
      <c r="M3520">
        <v>4</v>
      </c>
      <c r="N3520" t="s">
        <v>82</v>
      </c>
      <c r="O3520" t="s">
        <v>81</v>
      </c>
      <c r="P3520" t="s">
        <v>71</v>
      </c>
      <c r="Q3520" t="s">
        <v>72</v>
      </c>
      <c r="R3520" t="s">
        <v>139</v>
      </c>
      <c r="S3520" t="s">
        <v>144</v>
      </c>
      <c r="T3520" s="2">
        <f>MASTER[[#This Row],[CANTIDAD]]*MASTER[[#This Row],[PRECIO DE VENTA]]</f>
        <v>828</v>
      </c>
      <c r="U3520" s="2">
        <f>MASTER[[#This Row],[CANTIDAD]]*MASTER[[#This Row],[COSTO UNITARIO]]</f>
        <v>424</v>
      </c>
      <c r="V3520" s="2">
        <f>MASTER[[#This Row],[MONTO VENDIDO]]-MASTER[[#This Row],[COSTO DE VENTA]]</f>
        <v>404</v>
      </c>
    </row>
    <row r="3521" spans="1:22" x14ac:dyDescent="0.3">
      <c r="A3521">
        <v>55128</v>
      </c>
      <c r="B3521">
        <v>1</v>
      </c>
      <c r="C3521" t="s">
        <v>103</v>
      </c>
      <c r="D3521" t="s">
        <v>104</v>
      </c>
      <c r="E3521" s="1">
        <v>44239</v>
      </c>
      <c r="F3521">
        <v>1</v>
      </c>
      <c r="G3521" t="s">
        <v>24</v>
      </c>
      <c r="H3521" t="s">
        <v>25</v>
      </c>
      <c r="I3521" s="3">
        <v>1830</v>
      </c>
      <c r="J3521" s="3">
        <v>1830</v>
      </c>
      <c r="K3521" s="3">
        <v>421</v>
      </c>
      <c r="L3521" t="s">
        <v>98</v>
      </c>
      <c r="M3521">
        <v>9</v>
      </c>
      <c r="N3521" t="s">
        <v>76</v>
      </c>
      <c r="O3521" t="s">
        <v>70</v>
      </c>
      <c r="P3521" t="s">
        <v>12</v>
      </c>
      <c r="Q3521" t="s">
        <v>13</v>
      </c>
      <c r="R3521" t="s">
        <v>13</v>
      </c>
      <c r="S3521" t="s">
        <v>144</v>
      </c>
      <c r="T3521" s="2">
        <f>MASTER[[#This Row],[CANTIDAD]]*MASTER[[#This Row],[PRECIO DE VENTA]]</f>
        <v>1830</v>
      </c>
      <c r="U3521" s="2">
        <f>MASTER[[#This Row],[CANTIDAD]]*MASTER[[#This Row],[COSTO UNITARIO]]</f>
        <v>421</v>
      </c>
      <c r="V3521" s="2">
        <f>MASTER[[#This Row],[MONTO VENDIDO]]-MASTER[[#This Row],[COSTO DE VENTA]]</f>
        <v>1409</v>
      </c>
    </row>
    <row r="3522" spans="1:22" x14ac:dyDescent="0.3">
      <c r="A3522">
        <v>55175</v>
      </c>
      <c r="B3522">
        <v>1</v>
      </c>
      <c r="C3522" t="s">
        <v>96</v>
      </c>
      <c r="D3522" t="s">
        <v>97</v>
      </c>
      <c r="E3522" s="1">
        <v>44239</v>
      </c>
      <c r="F3522">
        <v>1</v>
      </c>
      <c r="G3522" t="s">
        <v>59</v>
      </c>
      <c r="H3522" t="s">
        <v>60</v>
      </c>
      <c r="I3522" s="3">
        <v>1272</v>
      </c>
      <c r="J3522" s="3">
        <v>1272</v>
      </c>
      <c r="K3522" s="3">
        <v>397</v>
      </c>
      <c r="L3522" t="s">
        <v>98</v>
      </c>
      <c r="M3522">
        <v>4</v>
      </c>
      <c r="N3522" t="s">
        <v>82</v>
      </c>
      <c r="O3522" t="s">
        <v>81</v>
      </c>
      <c r="P3522" t="s">
        <v>71</v>
      </c>
      <c r="Q3522" t="s">
        <v>72</v>
      </c>
      <c r="R3522" t="s">
        <v>139</v>
      </c>
      <c r="S3522" t="s">
        <v>144</v>
      </c>
      <c r="T3522" s="2">
        <f>MASTER[[#This Row],[CANTIDAD]]*MASTER[[#This Row],[PRECIO DE VENTA]]</f>
        <v>1272</v>
      </c>
      <c r="U3522" s="2">
        <f>MASTER[[#This Row],[CANTIDAD]]*MASTER[[#This Row],[COSTO UNITARIO]]</f>
        <v>397</v>
      </c>
      <c r="V3522" s="2">
        <f>MASTER[[#This Row],[MONTO VENDIDO]]-MASTER[[#This Row],[COSTO DE VENTA]]</f>
        <v>875</v>
      </c>
    </row>
    <row r="3523" spans="1:22" x14ac:dyDescent="0.3">
      <c r="A3523">
        <v>55177</v>
      </c>
      <c r="B3523">
        <v>1</v>
      </c>
      <c r="C3523" t="s">
        <v>90</v>
      </c>
      <c r="D3523" t="s">
        <v>91</v>
      </c>
      <c r="E3523" s="1">
        <v>44240</v>
      </c>
      <c r="F3523">
        <v>1</v>
      </c>
      <c r="G3523" t="s">
        <v>29</v>
      </c>
      <c r="H3523" t="s">
        <v>30</v>
      </c>
      <c r="I3523" s="3">
        <v>2102</v>
      </c>
      <c r="J3523" s="3">
        <v>2102</v>
      </c>
      <c r="K3523" s="3">
        <v>420</v>
      </c>
      <c r="L3523" t="s">
        <v>9</v>
      </c>
      <c r="M3523">
        <v>9</v>
      </c>
      <c r="N3523" t="s">
        <v>76</v>
      </c>
      <c r="O3523" t="s">
        <v>70</v>
      </c>
      <c r="P3523" t="s">
        <v>12</v>
      </c>
      <c r="Q3523" t="s">
        <v>13</v>
      </c>
      <c r="R3523" t="s">
        <v>13</v>
      </c>
      <c r="S3523" t="s">
        <v>144</v>
      </c>
      <c r="T3523" s="2">
        <f>MASTER[[#This Row],[CANTIDAD]]*MASTER[[#This Row],[PRECIO DE VENTA]]</f>
        <v>2102</v>
      </c>
      <c r="U3523" s="2">
        <f>MASTER[[#This Row],[CANTIDAD]]*MASTER[[#This Row],[COSTO UNITARIO]]</f>
        <v>420</v>
      </c>
      <c r="V3523" s="2">
        <f>MASTER[[#This Row],[MONTO VENDIDO]]-MASTER[[#This Row],[COSTO DE VENTA]]</f>
        <v>1682</v>
      </c>
    </row>
    <row r="3524" spans="1:22" x14ac:dyDescent="0.3">
      <c r="A3524">
        <v>55179</v>
      </c>
      <c r="B3524">
        <v>1</v>
      </c>
      <c r="C3524" t="s">
        <v>107</v>
      </c>
      <c r="D3524" t="s">
        <v>108</v>
      </c>
      <c r="E3524" s="1">
        <v>44240</v>
      </c>
      <c r="F3524">
        <v>1</v>
      </c>
      <c r="G3524" t="s">
        <v>49</v>
      </c>
      <c r="H3524" t="s">
        <v>50</v>
      </c>
      <c r="I3524" s="3">
        <v>1240</v>
      </c>
      <c r="J3524" s="3">
        <v>1240</v>
      </c>
      <c r="K3524" s="3">
        <v>380</v>
      </c>
      <c r="L3524" t="s">
        <v>98</v>
      </c>
      <c r="M3524">
        <v>16</v>
      </c>
      <c r="N3524" t="s">
        <v>17</v>
      </c>
      <c r="O3524" t="s">
        <v>11</v>
      </c>
      <c r="P3524" t="s">
        <v>18</v>
      </c>
      <c r="Q3524" t="s">
        <v>19</v>
      </c>
      <c r="R3524" t="s">
        <v>138</v>
      </c>
      <c r="S3524" t="s">
        <v>144</v>
      </c>
      <c r="T3524" s="2">
        <f>MASTER[[#This Row],[CANTIDAD]]*MASTER[[#This Row],[PRECIO DE VENTA]]</f>
        <v>1240</v>
      </c>
      <c r="U3524" s="2">
        <f>MASTER[[#This Row],[CANTIDAD]]*MASTER[[#This Row],[COSTO UNITARIO]]</f>
        <v>380</v>
      </c>
      <c r="V3524" s="2">
        <f>MASTER[[#This Row],[MONTO VENDIDO]]-MASTER[[#This Row],[COSTO DE VENTA]]</f>
        <v>860</v>
      </c>
    </row>
    <row r="3525" spans="1:22" x14ac:dyDescent="0.3">
      <c r="A3525">
        <v>55201</v>
      </c>
      <c r="B3525">
        <v>1</v>
      </c>
      <c r="C3525" t="s">
        <v>101</v>
      </c>
      <c r="D3525" t="s">
        <v>102</v>
      </c>
      <c r="E3525" s="1">
        <v>44240</v>
      </c>
      <c r="F3525">
        <v>4</v>
      </c>
      <c r="G3525" t="s">
        <v>22</v>
      </c>
      <c r="H3525" t="s">
        <v>23</v>
      </c>
      <c r="I3525" s="3">
        <v>1054</v>
      </c>
      <c r="J3525" s="3">
        <v>1054</v>
      </c>
      <c r="K3525" s="3">
        <v>442</v>
      </c>
      <c r="L3525" t="s">
        <v>98</v>
      </c>
      <c r="M3525">
        <v>12</v>
      </c>
      <c r="N3525" t="s">
        <v>26</v>
      </c>
      <c r="O3525" t="s">
        <v>11</v>
      </c>
      <c r="P3525" t="s">
        <v>12</v>
      </c>
      <c r="Q3525" t="s">
        <v>13</v>
      </c>
      <c r="R3525" t="s">
        <v>13</v>
      </c>
      <c r="S3525" t="s">
        <v>144</v>
      </c>
      <c r="T3525" s="2">
        <f>MASTER[[#This Row],[CANTIDAD]]*MASTER[[#This Row],[PRECIO DE VENTA]]</f>
        <v>4216</v>
      </c>
      <c r="U3525" s="2">
        <f>MASTER[[#This Row],[CANTIDAD]]*MASTER[[#This Row],[COSTO UNITARIO]]</f>
        <v>1768</v>
      </c>
      <c r="V3525" s="2">
        <f>MASTER[[#This Row],[MONTO VENDIDO]]-MASTER[[#This Row],[COSTO DE VENTA]]</f>
        <v>2448</v>
      </c>
    </row>
    <row r="3526" spans="1:22" x14ac:dyDescent="0.3">
      <c r="A3526">
        <v>55202</v>
      </c>
      <c r="B3526">
        <v>1</v>
      </c>
      <c r="C3526" t="s">
        <v>114</v>
      </c>
      <c r="D3526" t="s">
        <v>115</v>
      </c>
      <c r="E3526" s="1">
        <v>44240</v>
      </c>
      <c r="F3526">
        <v>1</v>
      </c>
      <c r="G3526" t="s">
        <v>47</v>
      </c>
      <c r="H3526" t="s">
        <v>48</v>
      </c>
      <c r="I3526" s="3">
        <v>1862</v>
      </c>
      <c r="J3526" s="3">
        <v>1862</v>
      </c>
      <c r="K3526" s="3">
        <v>394</v>
      </c>
      <c r="L3526" t="s">
        <v>113</v>
      </c>
      <c r="M3526">
        <v>14</v>
      </c>
      <c r="N3526" t="s">
        <v>87</v>
      </c>
      <c r="O3526" t="s">
        <v>81</v>
      </c>
      <c r="P3526" t="s">
        <v>18</v>
      </c>
      <c r="Q3526" t="s">
        <v>19</v>
      </c>
      <c r="R3526" t="s">
        <v>138</v>
      </c>
      <c r="S3526" t="s">
        <v>144</v>
      </c>
      <c r="T3526" s="2">
        <f>MASTER[[#This Row],[CANTIDAD]]*MASTER[[#This Row],[PRECIO DE VENTA]]</f>
        <v>1862</v>
      </c>
      <c r="U3526" s="2">
        <f>MASTER[[#This Row],[CANTIDAD]]*MASTER[[#This Row],[COSTO UNITARIO]]</f>
        <v>394</v>
      </c>
      <c r="V3526" s="2">
        <f>MASTER[[#This Row],[MONTO VENDIDO]]-MASTER[[#This Row],[COSTO DE VENTA]]</f>
        <v>1468</v>
      </c>
    </row>
    <row r="3527" spans="1:22" x14ac:dyDescent="0.3">
      <c r="A3527">
        <v>55230</v>
      </c>
      <c r="B3527">
        <v>1</v>
      </c>
      <c r="C3527" t="s">
        <v>105</v>
      </c>
      <c r="D3527" t="s">
        <v>106</v>
      </c>
      <c r="E3527" s="1">
        <v>44240</v>
      </c>
      <c r="F3527">
        <v>1</v>
      </c>
      <c r="G3527" t="s">
        <v>65</v>
      </c>
      <c r="H3527" t="s">
        <v>66</v>
      </c>
      <c r="I3527" s="3">
        <v>2033</v>
      </c>
      <c r="J3527" s="3">
        <v>2033</v>
      </c>
      <c r="K3527" s="3">
        <v>459</v>
      </c>
      <c r="L3527" t="s">
        <v>98</v>
      </c>
      <c r="M3527">
        <v>9</v>
      </c>
      <c r="N3527" t="s">
        <v>76</v>
      </c>
      <c r="O3527" t="s">
        <v>70</v>
      </c>
      <c r="P3527" t="s">
        <v>12</v>
      </c>
      <c r="Q3527" t="s">
        <v>13</v>
      </c>
      <c r="R3527" t="s">
        <v>13</v>
      </c>
      <c r="S3527" t="s">
        <v>144</v>
      </c>
      <c r="T3527" s="2">
        <f>MASTER[[#This Row],[CANTIDAD]]*MASTER[[#This Row],[PRECIO DE VENTA]]</f>
        <v>2033</v>
      </c>
      <c r="U3527" s="2">
        <f>MASTER[[#This Row],[CANTIDAD]]*MASTER[[#This Row],[COSTO UNITARIO]]</f>
        <v>459</v>
      </c>
      <c r="V3527" s="2">
        <f>MASTER[[#This Row],[MONTO VENDIDO]]-MASTER[[#This Row],[COSTO DE VENTA]]</f>
        <v>1574</v>
      </c>
    </row>
    <row r="3528" spans="1:22" x14ac:dyDescent="0.3">
      <c r="A3528">
        <v>55239</v>
      </c>
      <c r="B3528">
        <v>1</v>
      </c>
      <c r="C3528" t="s">
        <v>111</v>
      </c>
      <c r="D3528" t="s">
        <v>112</v>
      </c>
      <c r="E3528" s="1">
        <v>44240</v>
      </c>
      <c r="F3528">
        <v>1</v>
      </c>
      <c r="G3528" t="s">
        <v>59</v>
      </c>
      <c r="H3528" t="s">
        <v>60</v>
      </c>
      <c r="I3528" s="3">
        <v>1799</v>
      </c>
      <c r="J3528" s="3">
        <v>1799</v>
      </c>
      <c r="K3528" s="3">
        <v>434</v>
      </c>
      <c r="L3528" t="s">
        <v>113</v>
      </c>
      <c r="M3528">
        <v>6</v>
      </c>
      <c r="N3528" t="s">
        <v>75</v>
      </c>
      <c r="O3528" t="s">
        <v>70</v>
      </c>
      <c r="P3528" t="s">
        <v>12</v>
      </c>
      <c r="Q3528" t="s">
        <v>13</v>
      </c>
      <c r="R3528" t="s">
        <v>13</v>
      </c>
      <c r="S3528" t="s">
        <v>144</v>
      </c>
      <c r="T3528" s="2">
        <f>MASTER[[#This Row],[CANTIDAD]]*MASTER[[#This Row],[PRECIO DE VENTA]]</f>
        <v>1799</v>
      </c>
      <c r="U3528" s="2">
        <f>MASTER[[#This Row],[CANTIDAD]]*MASTER[[#This Row],[COSTO UNITARIO]]</f>
        <v>434</v>
      </c>
      <c r="V3528" s="2">
        <f>MASTER[[#This Row],[MONTO VENDIDO]]-MASTER[[#This Row],[COSTO DE VENTA]]</f>
        <v>1365</v>
      </c>
    </row>
    <row r="3529" spans="1:22" x14ac:dyDescent="0.3">
      <c r="A3529">
        <v>55242</v>
      </c>
      <c r="B3529">
        <v>1</v>
      </c>
      <c r="C3529" t="s">
        <v>109</v>
      </c>
      <c r="D3529" t="s">
        <v>110</v>
      </c>
      <c r="E3529" s="1">
        <v>44240</v>
      </c>
      <c r="F3529">
        <v>1</v>
      </c>
      <c r="G3529" t="s">
        <v>22</v>
      </c>
      <c r="H3529" t="s">
        <v>23</v>
      </c>
      <c r="I3529" s="3">
        <v>1064</v>
      </c>
      <c r="J3529" s="3">
        <v>1064</v>
      </c>
      <c r="K3529" s="3">
        <v>387</v>
      </c>
      <c r="L3529" t="s">
        <v>98</v>
      </c>
      <c r="M3529">
        <v>7</v>
      </c>
      <c r="N3529" t="s">
        <v>84</v>
      </c>
      <c r="O3529" t="s">
        <v>81</v>
      </c>
      <c r="P3529" t="s">
        <v>12</v>
      </c>
      <c r="Q3529" t="s">
        <v>13</v>
      </c>
      <c r="R3529" t="s">
        <v>13</v>
      </c>
      <c r="S3529" t="s">
        <v>144</v>
      </c>
      <c r="T3529" s="2">
        <f>MASTER[[#This Row],[CANTIDAD]]*MASTER[[#This Row],[PRECIO DE VENTA]]</f>
        <v>1064</v>
      </c>
      <c r="U3529" s="2">
        <f>MASTER[[#This Row],[CANTIDAD]]*MASTER[[#This Row],[COSTO UNITARIO]]</f>
        <v>387</v>
      </c>
      <c r="V3529" s="2">
        <f>MASTER[[#This Row],[MONTO VENDIDO]]-MASTER[[#This Row],[COSTO DE VENTA]]</f>
        <v>677</v>
      </c>
    </row>
    <row r="3530" spans="1:22" x14ac:dyDescent="0.3">
      <c r="A3530">
        <v>55245</v>
      </c>
      <c r="B3530">
        <v>1</v>
      </c>
      <c r="C3530" t="s">
        <v>96</v>
      </c>
      <c r="D3530" t="s">
        <v>97</v>
      </c>
      <c r="E3530" s="1">
        <v>44240</v>
      </c>
      <c r="F3530">
        <v>1</v>
      </c>
      <c r="G3530" t="s">
        <v>22</v>
      </c>
      <c r="H3530" t="s">
        <v>23</v>
      </c>
      <c r="I3530" s="3">
        <v>1361</v>
      </c>
      <c r="J3530" s="3">
        <v>1361</v>
      </c>
      <c r="K3530" s="3">
        <v>397</v>
      </c>
      <c r="L3530" t="s">
        <v>98</v>
      </c>
      <c r="M3530">
        <v>1</v>
      </c>
      <c r="N3530" t="s">
        <v>77</v>
      </c>
      <c r="O3530" t="s">
        <v>70</v>
      </c>
      <c r="P3530" t="s">
        <v>71</v>
      </c>
      <c r="Q3530" t="s">
        <v>72</v>
      </c>
      <c r="R3530" t="s">
        <v>139</v>
      </c>
      <c r="S3530" t="s">
        <v>144</v>
      </c>
      <c r="T3530" s="2">
        <f>MASTER[[#This Row],[CANTIDAD]]*MASTER[[#This Row],[PRECIO DE VENTA]]</f>
        <v>1361</v>
      </c>
      <c r="U3530" s="2">
        <f>MASTER[[#This Row],[CANTIDAD]]*MASTER[[#This Row],[COSTO UNITARIO]]</f>
        <v>397</v>
      </c>
      <c r="V3530" s="2">
        <f>MASTER[[#This Row],[MONTO VENDIDO]]-MASTER[[#This Row],[COSTO DE VENTA]]</f>
        <v>964</v>
      </c>
    </row>
    <row r="3531" spans="1:22" x14ac:dyDescent="0.3">
      <c r="A3531">
        <v>55266</v>
      </c>
      <c r="B3531">
        <v>1</v>
      </c>
      <c r="C3531" t="s">
        <v>90</v>
      </c>
      <c r="D3531" t="s">
        <v>91</v>
      </c>
      <c r="E3531" s="1">
        <v>44240</v>
      </c>
      <c r="F3531">
        <v>1</v>
      </c>
      <c r="G3531" t="s">
        <v>55</v>
      </c>
      <c r="H3531" t="s">
        <v>56</v>
      </c>
      <c r="I3531" s="3">
        <v>1660</v>
      </c>
      <c r="J3531" s="3">
        <v>1660</v>
      </c>
      <c r="K3531" s="3">
        <v>420</v>
      </c>
      <c r="L3531" t="s">
        <v>9</v>
      </c>
      <c r="M3531">
        <v>17</v>
      </c>
      <c r="N3531" t="s">
        <v>14</v>
      </c>
      <c r="O3531" t="s">
        <v>11</v>
      </c>
      <c r="P3531" t="s">
        <v>15</v>
      </c>
      <c r="Q3531" t="s">
        <v>16</v>
      </c>
      <c r="R3531" t="s">
        <v>16</v>
      </c>
      <c r="S3531" t="s">
        <v>144</v>
      </c>
      <c r="T3531" s="2">
        <f>MASTER[[#This Row],[CANTIDAD]]*MASTER[[#This Row],[PRECIO DE VENTA]]</f>
        <v>1660</v>
      </c>
      <c r="U3531" s="2">
        <f>MASTER[[#This Row],[CANTIDAD]]*MASTER[[#This Row],[COSTO UNITARIO]]</f>
        <v>420</v>
      </c>
      <c r="V3531" s="2">
        <f>MASTER[[#This Row],[MONTO VENDIDO]]-MASTER[[#This Row],[COSTO DE VENTA]]</f>
        <v>1240</v>
      </c>
    </row>
    <row r="3532" spans="1:22" x14ac:dyDescent="0.3">
      <c r="A3532">
        <v>55268</v>
      </c>
      <c r="B3532">
        <v>1</v>
      </c>
      <c r="C3532" t="s">
        <v>96</v>
      </c>
      <c r="D3532" t="s">
        <v>97</v>
      </c>
      <c r="E3532" s="1">
        <v>44240</v>
      </c>
      <c r="F3532">
        <v>1</v>
      </c>
      <c r="G3532" t="s">
        <v>51</v>
      </c>
      <c r="H3532" t="s">
        <v>52</v>
      </c>
      <c r="I3532" s="3">
        <v>1272</v>
      </c>
      <c r="J3532" s="3">
        <v>1272</v>
      </c>
      <c r="K3532" s="3">
        <v>397</v>
      </c>
      <c r="L3532" t="s">
        <v>98</v>
      </c>
      <c r="M3532">
        <v>8</v>
      </c>
      <c r="N3532" t="s">
        <v>80</v>
      </c>
      <c r="O3532" t="s">
        <v>81</v>
      </c>
      <c r="P3532" t="s">
        <v>12</v>
      </c>
      <c r="Q3532" t="s">
        <v>13</v>
      </c>
      <c r="R3532" t="s">
        <v>13</v>
      </c>
      <c r="S3532" t="s">
        <v>144</v>
      </c>
      <c r="T3532" s="2">
        <f>MASTER[[#This Row],[CANTIDAD]]*MASTER[[#This Row],[PRECIO DE VENTA]]</f>
        <v>1272</v>
      </c>
      <c r="U3532" s="2">
        <f>MASTER[[#This Row],[CANTIDAD]]*MASTER[[#This Row],[COSTO UNITARIO]]</f>
        <v>397</v>
      </c>
      <c r="V3532" s="2">
        <f>MASTER[[#This Row],[MONTO VENDIDO]]-MASTER[[#This Row],[COSTO DE VENTA]]</f>
        <v>875</v>
      </c>
    </row>
    <row r="3533" spans="1:22" x14ac:dyDescent="0.3">
      <c r="A3533">
        <v>55296</v>
      </c>
      <c r="B3533">
        <v>1</v>
      </c>
      <c r="C3533" t="s">
        <v>94</v>
      </c>
      <c r="D3533" t="s">
        <v>95</v>
      </c>
      <c r="E3533" s="1">
        <v>44240</v>
      </c>
      <c r="F3533">
        <v>1</v>
      </c>
      <c r="G3533" t="s">
        <v>24</v>
      </c>
      <c r="H3533" t="s">
        <v>25</v>
      </c>
      <c r="I3533" s="3">
        <v>1153</v>
      </c>
      <c r="J3533" s="3">
        <v>1153</v>
      </c>
      <c r="K3533" s="3">
        <v>392</v>
      </c>
      <c r="L3533" t="s">
        <v>9</v>
      </c>
      <c r="M3533">
        <v>9</v>
      </c>
      <c r="N3533" t="s">
        <v>76</v>
      </c>
      <c r="O3533" t="s">
        <v>70</v>
      </c>
      <c r="P3533" t="s">
        <v>12</v>
      </c>
      <c r="Q3533" t="s">
        <v>13</v>
      </c>
      <c r="R3533" t="s">
        <v>13</v>
      </c>
      <c r="S3533" t="s">
        <v>144</v>
      </c>
      <c r="T3533" s="2">
        <f>MASTER[[#This Row],[CANTIDAD]]*MASTER[[#This Row],[PRECIO DE VENTA]]</f>
        <v>1153</v>
      </c>
      <c r="U3533" s="2">
        <f>MASTER[[#This Row],[CANTIDAD]]*MASTER[[#This Row],[COSTO UNITARIO]]</f>
        <v>392</v>
      </c>
      <c r="V3533" s="2">
        <f>MASTER[[#This Row],[MONTO VENDIDO]]-MASTER[[#This Row],[COSTO DE VENTA]]</f>
        <v>761</v>
      </c>
    </row>
    <row r="3534" spans="1:22" x14ac:dyDescent="0.3">
      <c r="A3534">
        <v>55347</v>
      </c>
      <c r="B3534">
        <v>1</v>
      </c>
      <c r="C3534" t="s">
        <v>92</v>
      </c>
      <c r="D3534" t="s">
        <v>93</v>
      </c>
      <c r="E3534" s="1">
        <v>44240</v>
      </c>
      <c r="F3534">
        <v>1</v>
      </c>
      <c r="G3534" t="s">
        <v>47</v>
      </c>
      <c r="H3534" t="s">
        <v>48</v>
      </c>
      <c r="I3534" s="3">
        <v>1681</v>
      </c>
      <c r="J3534" s="3">
        <v>1681</v>
      </c>
      <c r="K3534" s="3">
        <v>396</v>
      </c>
      <c r="L3534" t="s">
        <v>9</v>
      </c>
      <c r="M3534">
        <v>7</v>
      </c>
      <c r="N3534" t="s">
        <v>84</v>
      </c>
      <c r="O3534" t="s">
        <v>81</v>
      </c>
      <c r="P3534" t="s">
        <v>12</v>
      </c>
      <c r="Q3534" t="s">
        <v>13</v>
      </c>
      <c r="R3534" t="s">
        <v>13</v>
      </c>
      <c r="S3534" t="s">
        <v>144</v>
      </c>
      <c r="T3534" s="2">
        <f>MASTER[[#This Row],[CANTIDAD]]*MASTER[[#This Row],[PRECIO DE VENTA]]</f>
        <v>1681</v>
      </c>
      <c r="U3534" s="2">
        <f>MASTER[[#This Row],[CANTIDAD]]*MASTER[[#This Row],[COSTO UNITARIO]]</f>
        <v>396</v>
      </c>
      <c r="V3534" s="2">
        <f>MASTER[[#This Row],[MONTO VENDIDO]]-MASTER[[#This Row],[COSTO DE VENTA]]</f>
        <v>1285</v>
      </c>
    </row>
    <row r="3535" spans="1:22" x14ac:dyDescent="0.3">
      <c r="A3535">
        <v>55348</v>
      </c>
      <c r="B3535">
        <v>1</v>
      </c>
      <c r="C3535" t="s">
        <v>107</v>
      </c>
      <c r="D3535" t="s">
        <v>108</v>
      </c>
      <c r="E3535" s="1">
        <v>44241</v>
      </c>
      <c r="F3535">
        <v>1</v>
      </c>
      <c r="G3535" t="s">
        <v>65</v>
      </c>
      <c r="H3535" t="s">
        <v>66</v>
      </c>
      <c r="I3535" s="3">
        <v>1240</v>
      </c>
      <c r="J3535" s="3">
        <v>1240</v>
      </c>
      <c r="K3535" s="3">
        <v>380</v>
      </c>
      <c r="L3535" t="s">
        <v>98</v>
      </c>
      <c r="M3535">
        <v>11</v>
      </c>
      <c r="N3535" t="s">
        <v>10</v>
      </c>
      <c r="O3535" t="s">
        <v>11</v>
      </c>
      <c r="P3535" t="s">
        <v>12</v>
      </c>
      <c r="Q3535" t="s">
        <v>13</v>
      </c>
      <c r="R3535" t="s">
        <v>13</v>
      </c>
      <c r="S3535" t="s">
        <v>144</v>
      </c>
      <c r="T3535" s="2">
        <f>MASTER[[#This Row],[CANTIDAD]]*MASTER[[#This Row],[PRECIO DE VENTA]]</f>
        <v>1240</v>
      </c>
      <c r="U3535" s="2">
        <f>MASTER[[#This Row],[CANTIDAD]]*MASTER[[#This Row],[COSTO UNITARIO]]</f>
        <v>380</v>
      </c>
      <c r="V3535" s="2">
        <f>MASTER[[#This Row],[MONTO VENDIDO]]-MASTER[[#This Row],[COSTO DE VENTA]]</f>
        <v>860</v>
      </c>
    </row>
    <row r="3536" spans="1:22" x14ac:dyDescent="0.3">
      <c r="A3536">
        <v>55358</v>
      </c>
      <c r="B3536">
        <v>1</v>
      </c>
      <c r="C3536" t="s">
        <v>92</v>
      </c>
      <c r="D3536" t="s">
        <v>93</v>
      </c>
      <c r="E3536" s="1">
        <v>44241</v>
      </c>
      <c r="F3536">
        <v>1</v>
      </c>
      <c r="G3536" t="s">
        <v>55</v>
      </c>
      <c r="H3536" t="s">
        <v>56</v>
      </c>
      <c r="I3536" s="3">
        <v>1681</v>
      </c>
      <c r="J3536" s="3">
        <v>1681</v>
      </c>
      <c r="K3536" s="3">
        <v>396</v>
      </c>
      <c r="L3536" t="s">
        <v>9</v>
      </c>
      <c r="M3536">
        <v>10</v>
      </c>
      <c r="N3536" t="s">
        <v>83</v>
      </c>
      <c r="O3536" t="s">
        <v>81</v>
      </c>
      <c r="P3536" t="s">
        <v>12</v>
      </c>
      <c r="Q3536" t="s">
        <v>13</v>
      </c>
      <c r="R3536" t="s">
        <v>13</v>
      </c>
      <c r="S3536" t="s">
        <v>144</v>
      </c>
      <c r="T3536" s="2">
        <f>MASTER[[#This Row],[CANTIDAD]]*MASTER[[#This Row],[PRECIO DE VENTA]]</f>
        <v>1681</v>
      </c>
      <c r="U3536" s="2">
        <f>MASTER[[#This Row],[CANTIDAD]]*MASTER[[#This Row],[COSTO UNITARIO]]</f>
        <v>396</v>
      </c>
      <c r="V3536" s="2">
        <f>MASTER[[#This Row],[MONTO VENDIDO]]-MASTER[[#This Row],[COSTO DE VENTA]]</f>
        <v>1285</v>
      </c>
    </row>
    <row r="3537" spans="1:22" x14ac:dyDescent="0.3">
      <c r="A3537">
        <v>55377</v>
      </c>
      <c r="B3537">
        <v>1</v>
      </c>
      <c r="C3537" t="s">
        <v>111</v>
      </c>
      <c r="D3537" t="s">
        <v>112</v>
      </c>
      <c r="E3537" s="1">
        <v>44241</v>
      </c>
      <c r="F3537">
        <v>1</v>
      </c>
      <c r="G3537" t="s">
        <v>7</v>
      </c>
      <c r="H3537" t="s">
        <v>8</v>
      </c>
      <c r="I3537" s="3">
        <v>1799</v>
      </c>
      <c r="J3537" s="3">
        <v>1799</v>
      </c>
      <c r="K3537" s="3">
        <v>434</v>
      </c>
      <c r="L3537" t="s">
        <v>113</v>
      </c>
      <c r="M3537">
        <v>6</v>
      </c>
      <c r="N3537" t="s">
        <v>75</v>
      </c>
      <c r="O3537" t="s">
        <v>70</v>
      </c>
      <c r="P3537" t="s">
        <v>12</v>
      </c>
      <c r="Q3537" t="s">
        <v>13</v>
      </c>
      <c r="R3537" t="s">
        <v>13</v>
      </c>
      <c r="S3537" t="s">
        <v>144</v>
      </c>
      <c r="T3537" s="2">
        <f>MASTER[[#This Row],[CANTIDAD]]*MASTER[[#This Row],[PRECIO DE VENTA]]</f>
        <v>1799</v>
      </c>
      <c r="U3537" s="2">
        <f>MASTER[[#This Row],[CANTIDAD]]*MASTER[[#This Row],[COSTO UNITARIO]]</f>
        <v>434</v>
      </c>
      <c r="V3537" s="2">
        <f>MASTER[[#This Row],[MONTO VENDIDO]]-MASTER[[#This Row],[COSTO DE VENTA]]</f>
        <v>1365</v>
      </c>
    </row>
    <row r="3538" spans="1:22" x14ac:dyDescent="0.3">
      <c r="A3538">
        <v>55381</v>
      </c>
      <c r="B3538">
        <v>1</v>
      </c>
      <c r="C3538" t="s">
        <v>109</v>
      </c>
      <c r="D3538" t="s">
        <v>110</v>
      </c>
      <c r="E3538" s="1">
        <v>44241</v>
      </c>
      <c r="F3538">
        <v>1</v>
      </c>
      <c r="G3538" t="s">
        <v>7</v>
      </c>
      <c r="H3538" t="s">
        <v>8</v>
      </c>
      <c r="I3538" s="3">
        <v>1064</v>
      </c>
      <c r="J3538" s="3">
        <v>1064</v>
      </c>
      <c r="K3538" s="3">
        <v>387</v>
      </c>
      <c r="L3538" t="s">
        <v>98</v>
      </c>
      <c r="M3538">
        <v>7</v>
      </c>
      <c r="N3538" t="s">
        <v>84</v>
      </c>
      <c r="O3538" t="s">
        <v>81</v>
      </c>
      <c r="P3538" t="s">
        <v>12</v>
      </c>
      <c r="Q3538" t="s">
        <v>13</v>
      </c>
      <c r="R3538" t="s">
        <v>13</v>
      </c>
      <c r="S3538" t="s">
        <v>144</v>
      </c>
      <c r="T3538" s="2">
        <f>MASTER[[#This Row],[CANTIDAD]]*MASTER[[#This Row],[PRECIO DE VENTA]]</f>
        <v>1064</v>
      </c>
      <c r="U3538" s="2">
        <f>MASTER[[#This Row],[CANTIDAD]]*MASTER[[#This Row],[COSTO UNITARIO]]</f>
        <v>387</v>
      </c>
      <c r="V3538" s="2">
        <f>MASTER[[#This Row],[MONTO VENDIDO]]-MASTER[[#This Row],[COSTO DE VENTA]]</f>
        <v>677</v>
      </c>
    </row>
    <row r="3539" spans="1:22" x14ac:dyDescent="0.3">
      <c r="A3539">
        <v>55398</v>
      </c>
      <c r="B3539">
        <v>1</v>
      </c>
      <c r="C3539" t="s">
        <v>114</v>
      </c>
      <c r="D3539" t="s">
        <v>115</v>
      </c>
      <c r="E3539" s="1">
        <v>44241</v>
      </c>
      <c r="F3539">
        <v>1</v>
      </c>
      <c r="G3539" t="s">
        <v>37</v>
      </c>
      <c r="H3539" t="s">
        <v>38</v>
      </c>
      <c r="I3539" s="3">
        <v>1862</v>
      </c>
      <c r="J3539" s="3">
        <v>1862</v>
      </c>
      <c r="K3539" s="3">
        <v>394</v>
      </c>
      <c r="L3539" t="s">
        <v>113</v>
      </c>
      <c r="M3539">
        <v>4</v>
      </c>
      <c r="N3539" t="s">
        <v>82</v>
      </c>
      <c r="O3539" t="s">
        <v>81</v>
      </c>
      <c r="P3539" t="s">
        <v>71</v>
      </c>
      <c r="Q3539" t="s">
        <v>72</v>
      </c>
      <c r="R3539" t="s">
        <v>139</v>
      </c>
      <c r="S3539" t="s">
        <v>144</v>
      </c>
      <c r="T3539" s="2">
        <f>MASTER[[#This Row],[CANTIDAD]]*MASTER[[#This Row],[PRECIO DE VENTA]]</f>
        <v>1862</v>
      </c>
      <c r="U3539" s="2">
        <f>MASTER[[#This Row],[CANTIDAD]]*MASTER[[#This Row],[COSTO UNITARIO]]</f>
        <v>394</v>
      </c>
      <c r="V3539" s="2">
        <f>MASTER[[#This Row],[MONTO VENDIDO]]-MASTER[[#This Row],[COSTO DE VENTA]]</f>
        <v>1468</v>
      </c>
    </row>
    <row r="3540" spans="1:22" x14ac:dyDescent="0.3">
      <c r="A3540">
        <v>55401</v>
      </c>
      <c r="B3540">
        <v>1</v>
      </c>
      <c r="C3540" t="s">
        <v>96</v>
      </c>
      <c r="D3540" t="s">
        <v>97</v>
      </c>
      <c r="E3540" s="1">
        <v>44241</v>
      </c>
      <c r="F3540">
        <v>1</v>
      </c>
      <c r="G3540" t="s">
        <v>51</v>
      </c>
      <c r="H3540" t="s">
        <v>52</v>
      </c>
      <c r="I3540" s="3">
        <v>1361</v>
      </c>
      <c r="J3540" s="3">
        <v>1361</v>
      </c>
      <c r="K3540" s="3">
        <v>397</v>
      </c>
      <c r="L3540" t="s">
        <v>98</v>
      </c>
      <c r="M3540">
        <v>9</v>
      </c>
      <c r="N3540" t="s">
        <v>76</v>
      </c>
      <c r="O3540" t="s">
        <v>70</v>
      </c>
      <c r="P3540" t="s">
        <v>12</v>
      </c>
      <c r="Q3540" t="s">
        <v>13</v>
      </c>
      <c r="R3540" t="s">
        <v>13</v>
      </c>
      <c r="S3540" t="s">
        <v>144</v>
      </c>
      <c r="T3540" s="2">
        <f>MASTER[[#This Row],[CANTIDAD]]*MASTER[[#This Row],[PRECIO DE VENTA]]</f>
        <v>1361</v>
      </c>
      <c r="U3540" s="2">
        <f>MASTER[[#This Row],[CANTIDAD]]*MASTER[[#This Row],[COSTO UNITARIO]]</f>
        <v>397</v>
      </c>
      <c r="V3540" s="2">
        <f>MASTER[[#This Row],[MONTO VENDIDO]]-MASTER[[#This Row],[COSTO DE VENTA]]</f>
        <v>964</v>
      </c>
    </row>
    <row r="3541" spans="1:22" x14ac:dyDescent="0.3">
      <c r="A3541">
        <v>55408</v>
      </c>
      <c r="B3541">
        <v>1</v>
      </c>
      <c r="C3541" t="s">
        <v>109</v>
      </c>
      <c r="D3541" t="s">
        <v>110</v>
      </c>
      <c r="E3541" s="1">
        <v>44241</v>
      </c>
      <c r="F3541">
        <v>1</v>
      </c>
      <c r="G3541" t="s">
        <v>27</v>
      </c>
      <c r="H3541" t="s">
        <v>28</v>
      </c>
      <c r="I3541" s="3">
        <v>947</v>
      </c>
      <c r="J3541" s="3">
        <v>947</v>
      </c>
      <c r="K3541" s="3">
        <v>387</v>
      </c>
      <c r="L3541" t="s">
        <v>98</v>
      </c>
      <c r="M3541">
        <v>17</v>
      </c>
      <c r="N3541" t="s">
        <v>14</v>
      </c>
      <c r="O3541" t="s">
        <v>11</v>
      </c>
      <c r="P3541" t="s">
        <v>15</v>
      </c>
      <c r="Q3541" t="s">
        <v>16</v>
      </c>
      <c r="R3541" t="s">
        <v>16</v>
      </c>
      <c r="S3541" t="s">
        <v>144</v>
      </c>
      <c r="T3541" s="2">
        <f>MASTER[[#This Row],[CANTIDAD]]*MASTER[[#This Row],[PRECIO DE VENTA]]</f>
        <v>947</v>
      </c>
      <c r="U3541" s="2">
        <f>MASTER[[#This Row],[CANTIDAD]]*MASTER[[#This Row],[COSTO UNITARIO]]</f>
        <v>387</v>
      </c>
      <c r="V3541" s="2">
        <f>MASTER[[#This Row],[MONTO VENDIDO]]-MASTER[[#This Row],[COSTO DE VENTA]]</f>
        <v>560</v>
      </c>
    </row>
    <row r="3542" spans="1:22" x14ac:dyDescent="0.3">
      <c r="A3542">
        <v>55409</v>
      </c>
      <c r="B3542">
        <v>1</v>
      </c>
      <c r="C3542" t="s">
        <v>101</v>
      </c>
      <c r="D3542" t="s">
        <v>102</v>
      </c>
      <c r="E3542" s="1">
        <v>44241</v>
      </c>
      <c r="F3542">
        <v>1</v>
      </c>
      <c r="G3542" t="s">
        <v>47</v>
      </c>
      <c r="H3542" t="s">
        <v>48</v>
      </c>
      <c r="I3542" s="3">
        <v>1212</v>
      </c>
      <c r="J3542" s="3">
        <v>1212</v>
      </c>
      <c r="K3542" s="3">
        <v>442</v>
      </c>
      <c r="L3542" t="s">
        <v>98</v>
      </c>
      <c r="M3542">
        <v>4</v>
      </c>
      <c r="N3542" t="s">
        <v>82</v>
      </c>
      <c r="O3542" t="s">
        <v>81</v>
      </c>
      <c r="P3542" t="s">
        <v>71</v>
      </c>
      <c r="Q3542" t="s">
        <v>72</v>
      </c>
      <c r="R3542" t="s">
        <v>139</v>
      </c>
      <c r="S3542" t="s">
        <v>144</v>
      </c>
      <c r="T3542" s="2">
        <f>MASTER[[#This Row],[CANTIDAD]]*MASTER[[#This Row],[PRECIO DE VENTA]]</f>
        <v>1212</v>
      </c>
      <c r="U3542" s="2">
        <f>MASTER[[#This Row],[CANTIDAD]]*MASTER[[#This Row],[COSTO UNITARIO]]</f>
        <v>442</v>
      </c>
      <c r="V3542" s="2">
        <f>MASTER[[#This Row],[MONTO VENDIDO]]-MASTER[[#This Row],[COSTO DE VENTA]]</f>
        <v>770</v>
      </c>
    </row>
    <row r="3543" spans="1:22" x14ac:dyDescent="0.3">
      <c r="A3543">
        <v>55419</v>
      </c>
      <c r="B3543">
        <v>1</v>
      </c>
      <c r="C3543" t="s">
        <v>111</v>
      </c>
      <c r="D3543" t="s">
        <v>112</v>
      </c>
      <c r="E3543" s="1">
        <v>44241</v>
      </c>
      <c r="F3543">
        <v>2</v>
      </c>
      <c r="G3543" t="s">
        <v>49</v>
      </c>
      <c r="H3543" t="s">
        <v>50</v>
      </c>
      <c r="I3543" s="3">
        <v>1621</v>
      </c>
      <c r="J3543" s="3">
        <v>1621</v>
      </c>
      <c r="K3543" s="3">
        <v>434</v>
      </c>
      <c r="L3543" t="s">
        <v>113</v>
      </c>
      <c r="M3543">
        <v>15</v>
      </c>
      <c r="N3543" t="s">
        <v>88</v>
      </c>
      <c r="O3543" t="s">
        <v>81</v>
      </c>
      <c r="P3543" t="s">
        <v>18</v>
      </c>
      <c r="Q3543" t="s">
        <v>19</v>
      </c>
      <c r="R3543" t="s">
        <v>138</v>
      </c>
      <c r="S3543" t="s">
        <v>144</v>
      </c>
      <c r="T3543" s="2">
        <f>MASTER[[#This Row],[CANTIDAD]]*MASTER[[#This Row],[PRECIO DE VENTA]]</f>
        <v>3242</v>
      </c>
      <c r="U3543" s="2">
        <f>MASTER[[#This Row],[CANTIDAD]]*MASTER[[#This Row],[COSTO UNITARIO]]</f>
        <v>868</v>
      </c>
      <c r="V3543" s="2">
        <f>MASTER[[#This Row],[MONTO VENDIDO]]-MASTER[[#This Row],[COSTO DE VENTA]]</f>
        <v>2374</v>
      </c>
    </row>
    <row r="3544" spans="1:22" x14ac:dyDescent="0.3">
      <c r="A3544">
        <v>55447</v>
      </c>
      <c r="B3544">
        <v>1</v>
      </c>
      <c r="C3544" t="s">
        <v>99</v>
      </c>
      <c r="D3544" t="s">
        <v>100</v>
      </c>
      <c r="E3544" s="1">
        <v>44242</v>
      </c>
      <c r="F3544">
        <v>1</v>
      </c>
      <c r="G3544" t="s">
        <v>53</v>
      </c>
      <c r="H3544" t="s">
        <v>54</v>
      </c>
      <c r="I3544" s="3">
        <v>1328</v>
      </c>
      <c r="J3544" s="3">
        <v>1328</v>
      </c>
      <c r="K3544" s="3">
        <v>386</v>
      </c>
      <c r="L3544" t="s">
        <v>98</v>
      </c>
      <c r="M3544">
        <v>16</v>
      </c>
      <c r="N3544" t="s">
        <v>17</v>
      </c>
      <c r="O3544" t="s">
        <v>11</v>
      </c>
      <c r="P3544" t="s">
        <v>18</v>
      </c>
      <c r="Q3544" t="s">
        <v>19</v>
      </c>
      <c r="R3544" t="s">
        <v>138</v>
      </c>
      <c r="S3544" t="s">
        <v>144</v>
      </c>
      <c r="T3544" s="2">
        <f>MASTER[[#This Row],[CANTIDAD]]*MASTER[[#This Row],[PRECIO DE VENTA]]</f>
        <v>1328</v>
      </c>
      <c r="U3544" s="2">
        <f>MASTER[[#This Row],[CANTIDAD]]*MASTER[[#This Row],[COSTO UNITARIO]]</f>
        <v>386</v>
      </c>
      <c r="V3544" s="2">
        <f>MASTER[[#This Row],[MONTO VENDIDO]]-MASTER[[#This Row],[COSTO DE VENTA]]</f>
        <v>942</v>
      </c>
    </row>
    <row r="3545" spans="1:22" x14ac:dyDescent="0.3">
      <c r="A3545">
        <v>55449</v>
      </c>
      <c r="B3545">
        <v>1</v>
      </c>
      <c r="C3545" t="s">
        <v>107</v>
      </c>
      <c r="D3545" t="s">
        <v>108</v>
      </c>
      <c r="E3545" s="1">
        <v>44242</v>
      </c>
      <c r="F3545">
        <v>3</v>
      </c>
      <c r="G3545" t="s">
        <v>47</v>
      </c>
      <c r="H3545" t="s">
        <v>48</v>
      </c>
      <c r="I3545" s="3">
        <v>1333</v>
      </c>
      <c r="J3545" s="3">
        <v>1333</v>
      </c>
      <c r="K3545" s="3">
        <v>380</v>
      </c>
      <c r="L3545" t="s">
        <v>98</v>
      </c>
      <c r="M3545">
        <v>15</v>
      </c>
      <c r="N3545" t="s">
        <v>88</v>
      </c>
      <c r="O3545" t="s">
        <v>81</v>
      </c>
      <c r="P3545" t="s">
        <v>18</v>
      </c>
      <c r="Q3545" t="s">
        <v>19</v>
      </c>
      <c r="R3545" t="s">
        <v>138</v>
      </c>
      <c r="S3545" t="s">
        <v>144</v>
      </c>
      <c r="T3545" s="2">
        <f>MASTER[[#This Row],[CANTIDAD]]*MASTER[[#This Row],[PRECIO DE VENTA]]</f>
        <v>3999</v>
      </c>
      <c r="U3545" s="2">
        <f>MASTER[[#This Row],[CANTIDAD]]*MASTER[[#This Row],[COSTO UNITARIO]]</f>
        <v>1140</v>
      </c>
      <c r="V3545" s="2">
        <f>MASTER[[#This Row],[MONTO VENDIDO]]-MASTER[[#This Row],[COSTO DE VENTA]]</f>
        <v>2859</v>
      </c>
    </row>
    <row r="3546" spans="1:22" x14ac:dyDescent="0.3">
      <c r="A3546">
        <v>55468</v>
      </c>
      <c r="B3546">
        <v>1</v>
      </c>
      <c r="C3546" t="s">
        <v>114</v>
      </c>
      <c r="D3546" t="s">
        <v>115</v>
      </c>
      <c r="E3546" s="1">
        <v>44242</v>
      </c>
      <c r="F3546">
        <v>1</v>
      </c>
      <c r="G3546" t="s">
        <v>53</v>
      </c>
      <c r="H3546" t="s">
        <v>54</v>
      </c>
      <c r="I3546" s="3">
        <v>2030</v>
      </c>
      <c r="J3546" s="3">
        <v>2030</v>
      </c>
      <c r="K3546" s="3">
        <v>394</v>
      </c>
      <c r="L3546" t="s">
        <v>113</v>
      </c>
      <c r="M3546">
        <v>13</v>
      </c>
      <c r="N3546" t="s">
        <v>78</v>
      </c>
      <c r="O3546" t="s">
        <v>70</v>
      </c>
      <c r="P3546" t="s">
        <v>18</v>
      </c>
      <c r="Q3546" t="s">
        <v>19</v>
      </c>
      <c r="R3546" t="s">
        <v>138</v>
      </c>
      <c r="S3546" t="s">
        <v>144</v>
      </c>
      <c r="T3546" s="2">
        <f>MASTER[[#This Row],[CANTIDAD]]*MASTER[[#This Row],[PRECIO DE VENTA]]</f>
        <v>2030</v>
      </c>
      <c r="U3546" s="2">
        <f>MASTER[[#This Row],[CANTIDAD]]*MASTER[[#This Row],[COSTO UNITARIO]]</f>
        <v>394</v>
      </c>
      <c r="V3546" s="2">
        <f>MASTER[[#This Row],[MONTO VENDIDO]]-MASTER[[#This Row],[COSTO DE VENTA]]</f>
        <v>1636</v>
      </c>
    </row>
    <row r="3547" spans="1:22" x14ac:dyDescent="0.3">
      <c r="A3547">
        <v>55487</v>
      </c>
      <c r="B3547">
        <v>1</v>
      </c>
      <c r="C3547" t="s">
        <v>96</v>
      </c>
      <c r="D3547" t="s">
        <v>97</v>
      </c>
      <c r="E3547" s="1">
        <v>44242</v>
      </c>
      <c r="F3547">
        <v>1</v>
      </c>
      <c r="G3547" t="s">
        <v>7</v>
      </c>
      <c r="H3547" t="s">
        <v>8</v>
      </c>
      <c r="I3547" s="3">
        <v>1196</v>
      </c>
      <c r="J3547" s="3">
        <v>1196</v>
      </c>
      <c r="K3547" s="3">
        <v>397</v>
      </c>
      <c r="L3547" t="s">
        <v>98</v>
      </c>
      <c r="M3547">
        <v>12</v>
      </c>
      <c r="N3547" t="s">
        <v>26</v>
      </c>
      <c r="O3547" t="s">
        <v>11</v>
      </c>
      <c r="P3547" t="s">
        <v>12</v>
      </c>
      <c r="Q3547" t="s">
        <v>13</v>
      </c>
      <c r="R3547" t="s">
        <v>13</v>
      </c>
      <c r="S3547" t="s">
        <v>144</v>
      </c>
      <c r="T3547" s="2">
        <f>MASTER[[#This Row],[CANTIDAD]]*MASTER[[#This Row],[PRECIO DE VENTA]]</f>
        <v>1196</v>
      </c>
      <c r="U3547" s="2">
        <f>MASTER[[#This Row],[CANTIDAD]]*MASTER[[#This Row],[COSTO UNITARIO]]</f>
        <v>397</v>
      </c>
      <c r="V3547" s="2">
        <f>MASTER[[#This Row],[MONTO VENDIDO]]-MASTER[[#This Row],[COSTO DE VENTA]]</f>
        <v>799</v>
      </c>
    </row>
    <row r="3548" spans="1:22" x14ac:dyDescent="0.3">
      <c r="A3548">
        <v>55502</v>
      </c>
      <c r="B3548">
        <v>1</v>
      </c>
      <c r="C3548" t="s">
        <v>116</v>
      </c>
      <c r="D3548" t="s">
        <v>117</v>
      </c>
      <c r="E3548" s="1">
        <v>44242</v>
      </c>
      <c r="F3548">
        <v>1</v>
      </c>
      <c r="G3548" t="s">
        <v>45</v>
      </c>
      <c r="H3548" t="s">
        <v>46</v>
      </c>
      <c r="I3548" s="3">
        <v>1529</v>
      </c>
      <c r="J3548" s="3">
        <v>1529</v>
      </c>
      <c r="K3548" s="3">
        <v>388</v>
      </c>
      <c r="L3548" t="s">
        <v>113</v>
      </c>
      <c r="M3548">
        <v>11</v>
      </c>
      <c r="N3548" t="s">
        <v>10</v>
      </c>
      <c r="O3548" t="s">
        <v>11</v>
      </c>
      <c r="P3548" t="s">
        <v>12</v>
      </c>
      <c r="Q3548" t="s">
        <v>13</v>
      </c>
      <c r="R3548" t="s">
        <v>13</v>
      </c>
      <c r="S3548" t="s">
        <v>144</v>
      </c>
      <c r="T3548" s="2">
        <f>MASTER[[#This Row],[CANTIDAD]]*MASTER[[#This Row],[PRECIO DE VENTA]]</f>
        <v>1529</v>
      </c>
      <c r="U3548" s="2">
        <f>MASTER[[#This Row],[CANTIDAD]]*MASTER[[#This Row],[COSTO UNITARIO]]</f>
        <v>388</v>
      </c>
      <c r="V3548" s="2">
        <f>MASTER[[#This Row],[MONTO VENDIDO]]-MASTER[[#This Row],[COSTO DE VENTA]]</f>
        <v>1141</v>
      </c>
    </row>
    <row r="3549" spans="1:22" x14ac:dyDescent="0.3">
      <c r="A3549">
        <v>55505</v>
      </c>
      <c r="B3549">
        <v>1</v>
      </c>
      <c r="C3549" t="s">
        <v>107</v>
      </c>
      <c r="D3549" t="s">
        <v>108</v>
      </c>
      <c r="E3549" s="1">
        <v>44242</v>
      </c>
      <c r="F3549">
        <v>1</v>
      </c>
      <c r="G3549" t="s">
        <v>29</v>
      </c>
      <c r="H3549" t="s">
        <v>30</v>
      </c>
      <c r="I3549" s="3">
        <v>1333</v>
      </c>
      <c r="J3549" s="3">
        <v>1226</v>
      </c>
      <c r="K3549" s="3">
        <v>380</v>
      </c>
      <c r="L3549" t="s">
        <v>98</v>
      </c>
      <c r="M3549">
        <v>4</v>
      </c>
      <c r="N3549" t="s">
        <v>82</v>
      </c>
      <c r="O3549" t="s">
        <v>81</v>
      </c>
      <c r="P3549" t="s">
        <v>71</v>
      </c>
      <c r="Q3549" t="s">
        <v>72</v>
      </c>
      <c r="R3549" t="s">
        <v>139</v>
      </c>
      <c r="S3549" t="s">
        <v>144</v>
      </c>
      <c r="T3549" s="2">
        <f>MASTER[[#This Row],[CANTIDAD]]*MASTER[[#This Row],[PRECIO DE VENTA]]</f>
        <v>1226</v>
      </c>
      <c r="U3549" s="2">
        <f>MASTER[[#This Row],[CANTIDAD]]*MASTER[[#This Row],[COSTO UNITARIO]]</f>
        <v>380</v>
      </c>
      <c r="V3549" s="2">
        <f>MASTER[[#This Row],[MONTO VENDIDO]]-MASTER[[#This Row],[COSTO DE VENTA]]</f>
        <v>846</v>
      </c>
    </row>
    <row r="3550" spans="1:22" x14ac:dyDescent="0.3">
      <c r="A3550">
        <v>55520</v>
      </c>
      <c r="B3550">
        <v>1</v>
      </c>
      <c r="C3550" t="s">
        <v>114</v>
      </c>
      <c r="D3550" t="s">
        <v>115</v>
      </c>
      <c r="E3550" s="1">
        <v>44242</v>
      </c>
      <c r="F3550">
        <v>1</v>
      </c>
      <c r="G3550" t="s">
        <v>61</v>
      </c>
      <c r="H3550" t="s">
        <v>62</v>
      </c>
      <c r="I3550" s="3">
        <v>1862</v>
      </c>
      <c r="J3550" s="3">
        <v>1862</v>
      </c>
      <c r="K3550" s="3">
        <v>394</v>
      </c>
      <c r="L3550" t="s">
        <v>113</v>
      </c>
      <c r="M3550">
        <v>8</v>
      </c>
      <c r="N3550" t="s">
        <v>80</v>
      </c>
      <c r="O3550" t="s">
        <v>81</v>
      </c>
      <c r="P3550" t="s">
        <v>12</v>
      </c>
      <c r="Q3550" t="s">
        <v>13</v>
      </c>
      <c r="R3550" t="s">
        <v>13</v>
      </c>
      <c r="S3550" t="s">
        <v>144</v>
      </c>
      <c r="T3550" s="2">
        <f>MASTER[[#This Row],[CANTIDAD]]*MASTER[[#This Row],[PRECIO DE VENTA]]</f>
        <v>1862</v>
      </c>
      <c r="U3550" s="2">
        <f>MASTER[[#This Row],[CANTIDAD]]*MASTER[[#This Row],[COSTO UNITARIO]]</f>
        <v>394</v>
      </c>
      <c r="V3550" s="2">
        <f>MASTER[[#This Row],[MONTO VENDIDO]]-MASTER[[#This Row],[COSTO DE VENTA]]</f>
        <v>1468</v>
      </c>
    </row>
    <row r="3551" spans="1:22" x14ac:dyDescent="0.3">
      <c r="A3551">
        <v>55526</v>
      </c>
      <c r="B3551">
        <v>1</v>
      </c>
      <c r="C3551" t="s">
        <v>99</v>
      </c>
      <c r="D3551" t="s">
        <v>100</v>
      </c>
      <c r="E3551" s="1">
        <v>44243</v>
      </c>
      <c r="F3551">
        <v>1</v>
      </c>
      <c r="G3551" t="s">
        <v>65</v>
      </c>
      <c r="H3551" t="s">
        <v>66</v>
      </c>
      <c r="I3551" s="3">
        <v>1459</v>
      </c>
      <c r="J3551" s="3">
        <v>1459</v>
      </c>
      <c r="K3551" s="3">
        <v>386</v>
      </c>
      <c r="L3551" t="s">
        <v>98</v>
      </c>
      <c r="M3551">
        <v>8</v>
      </c>
      <c r="N3551" t="s">
        <v>80</v>
      </c>
      <c r="O3551" t="s">
        <v>81</v>
      </c>
      <c r="P3551" t="s">
        <v>12</v>
      </c>
      <c r="Q3551" t="s">
        <v>13</v>
      </c>
      <c r="R3551" t="s">
        <v>13</v>
      </c>
      <c r="S3551" t="s">
        <v>144</v>
      </c>
      <c r="T3551" s="2">
        <f>MASTER[[#This Row],[CANTIDAD]]*MASTER[[#This Row],[PRECIO DE VENTA]]</f>
        <v>1459</v>
      </c>
      <c r="U3551" s="2">
        <f>MASTER[[#This Row],[CANTIDAD]]*MASTER[[#This Row],[COSTO UNITARIO]]</f>
        <v>386</v>
      </c>
      <c r="V3551" s="2">
        <f>MASTER[[#This Row],[MONTO VENDIDO]]-MASTER[[#This Row],[COSTO DE VENTA]]</f>
        <v>1073</v>
      </c>
    </row>
    <row r="3552" spans="1:22" x14ac:dyDescent="0.3">
      <c r="A3552">
        <v>55527</v>
      </c>
      <c r="B3552">
        <v>1</v>
      </c>
      <c r="C3552" t="s">
        <v>96</v>
      </c>
      <c r="D3552" t="s">
        <v>97</v>
      </c>
      <c r="E3552" s="1">
        <v>44243</v>
      </c>
      <c r="F3552">
        <v>1</v>
      </c>
      <c r="G3552" t="s">
        <v>73</v>
      </c>
      <c r="H3552" t="s">
        <v>74</v>
      </c>
      <c r="I3552" s="3">
        <v>1272</v>
      </c>
      <c r="J3552" s="3">
        <v>1272</v>
      </c>
      <c r="K3552" s="3">
        <v>397</v>
      </c>
      <c r="L3552" t="s">
        <v>98</v>
      </c>
      <c r="M3552">
        <v>4</v>
      </c>
      <c r="N3552" t="s">
        <v>82</v>
      </c>
      <c r="O3552" t="s">
        <v>81</v>
      </c>
      <c r="P3552" t="s">
        <v>71</v>
      </c>
      <c r="Q3552" t="s">
        <v>72</v>
      </c>
      <c r="R3552" t="s">
        <v>139</v>
      </c>
      <c r="S3552" t="s">
        <v>144</v>
      </c>
      <c r="T3552" s="2">
        <f>MASTER[[#This Row],[CANTIDAD]]*MASTER[[#This Row],[PRECIO DE VENTA]]</f>
        <v>1272</v>
      </c>
      <c r="U3552" s="2">
        <f>MASTER[[#This Row],[CANTIDAD]]*MASTER[[#This Row],[COSTO UNITARIO]]</f>
        <v>397</v>
      </c>
      <c r="V3552" s="2">
        <f>MASTER[[#This Row],[MONTO VENDIDO]]-MASTER[[#This Row],[COSTO DE VENTA]]</f>
        <v>875</v>
      </c>
    </row>
    <row r="3553" spans="1:22" x14ac:dyDescent="0.3">
      <c r="A3553">
        <v>55530</v>
      </c>
      <c r="B3553">
        <v>1</v>
      </c>
      <c r="C3553" t="s">
        <v>114</v>
      </c>
      <c r="D3553" t="s">
        <v>115</v>
      </c>
      <c r="E3553" s="1">
        <v>44243</v>
      </c>
      <c r="F3553">
        <v>1</v>
      </c>
      <c r="G3553" t="s">
        <v>45</v>
      </c>
      <c r="H3553" t="s">
        <v>46</v>
      </c>
      <c r="I3553" s="3">
        <v>1862</v>
      </c>
      <c r="J3553" s="3">
        <v>1862</v>
      </c>
      <c r="K3553" s="3">
        <v>394</v>
      </c>
      <c r="L3553" t="s">
        <v>113</v>
      </c>
      <c r="M3553">
        <v>5</v>
      </c>
      <c r="N3553" t="s">
        <v>85</v>
      </c>
      <c r="O3553" t="s">
        <v>81</v>
      </c>
      <c r="P3553" t="s">
        <v>12</v>
      </c>
      <c r="Q3553" t="s">
        <v>13</v>
      </c>
      <c r="R3553" t="s">
        <v>13</v>
      </c>
      <c r="S3553" t="s">
        <v>144</v>
      </c>
      <c r="T3553" s="2">
        <f>MASTER[[#This Row],[CANTIDAD]]*MASTER[[#This Row],[PRECIO DE VENTA]]</f>
        <v>1862</v>
      </c>
      <c r="U3553" s="2">
        <f>MASTER[[#This Row],[CANTIDAD]]*MASTER[[#This Row],[COSTO UNITARIO]]</f>
        <v>394</v>
      </c>
      <c r="V3553" s="2">
        <f>MASTER[[#This Row],[MONTO VENDIDO]]-MASTER[[#This Row],[COSTO DE VENTA]]</f>
        <v>1468</v>
      </c>
    </row>
    <row r="3554" spans="1:22" x14ac:dyDescent="0.3">
      <c r="A3554">
        <v>55533</v>
      </c>
      <c r="B3554">
        <v>1</v>
      </c>
      <c r="C3554" t="s">
        <v>90</v>
      </c>
      <c r="D3554" t="s">
        <v>91</v>
      </c>
      <c r="E3554" s="1">
        <v>44243</v>
      </c>
      <c r="F3554">
        <v>1</v>
      </c>
      <c r="G3554" t="s">
        <v>55</v>
      </c>
      <c r="H3554" t="s">
        <v>56</v>
      </c>
      <c r="I3554" s="3">
        <v>1844</v>
      </c>
      <c r="J3554" s="3">
        <v>1844</v>
      </c>
      <c r="K3554" s="3">
        <v>420</v>
      </c>
      <c r="L3554" t="s">
        <v>9</v>
      </c>
      <c r="M3554">
        <v>19</v>
      </c>
      <c r="N3554" t="s">
        <v>89</v>
      </c>
      <c r="O3554" t="s">
        <v>81</v>
      </c>
      <c r="P3554" t="s">
        <v>15</v>
      </c>
      <c r="Q3554" t="s">
        <v>16</v>
      </c>
      <c r="R3554" t="s">
        <v>16</v>
      </c>
      <c r="S3554" t="s">
        <v>144</v>
      </c>
      <c r="T3554" s="2">
        <f>MASTER[[#This Row],[CANTIDAD]]*MASTER[[#This Row],[PRECIO DE VENTA]]</f>
        <v>1844</v>
      </c>
      <c r="U3554" s="2">
        <f>MASTER[[#This Row],[CANTIDAD]]*MASTER[[#This Row],[COSTO UNITARIO]]</f>
        <v>420</v>
      </c>
      <c r="V3554" s="2">
        <f>MASTER[[#This Row],[MONTO VENDIDO]]-MASTER[[#This Row],[COSTO DE VENTA]]</f>
        <v>1424</v>
      </c>
    </row>
    <row r="3555" spans="1:22" x14ac:dyDescent="0.3">
      <c r="A3555">
        <v>55541</v>
      </c>
      <c r="B3555">
        <v>1</v>
      </c>
      <c r="C3555" t="s">
        <v>118</v>
      </c>
      <c r="D3555" t="s">
        <v>119</v>
      </c>
      <c r="E3555" s="1">
        <v>44243</v>
      </c>
      <c r="F3555">
        <v>1</v>
      </c>
      <c r="G3555" t="s">
        <v>65</v>
      </c>
      <c r="H3555" t="s">
        <v>66</v>
      </c>
      <c r="I3555" s="3">
        <v>900</v>
      </c>
      <c r="J3555" s="3">
        <v>900</v>
      </c>
      <c r="K3555" s="3">
        <v>424</v>
      </c>
      <c r="L3555" t="s">
        <v>120</v>
      </c>
      <c r="M3555">
        <v>4</v>
      </c>
      <c r="N3555" t="s">
        <v>82</v>
      </c>
      <c r="O3555" t="s">
        <v>81</v>
      </c>
      <c r="P3555" t="s">
        <v>71</v>
      </c>
      <c r="Q3555" t="s">
        <v>72</v>
      </c>
      <c r="R3555" t="s">
        <v>139</v>
      </c>
      <c r="S3555" t="s">
        <v>144</v>
      </c>
      <c r="T3555" s="2">
        <f>MASTER[[#This Row],[CANTIDAD]]*MASTER[[#This Row],[PRECIO DE VENTA]]</f>
        <v>900</v>
      </c>
      <c r="U3555" s="2">
        <f>MASTER[[#This Row],[CANTIDAD]]*MASTER[[#This Row],[COSTO UNITARIO]]</f>
        <v>424</v>
      </c>
      <c r="V3555" s="2">
        <f>MASTER[[#This Row],[MONTO VENDIDO]]-MASTER[[#This Row],[COSTO DE VENTA]]</f>
        <v>476</v>
      </c>
    </row>
    <row r="3556" spans="1:22" x14ac:dyDescent="0.3">
      <c r="A3556">
        <v>55543</v>
      </c>
      <c r="B3556">
        <v>1</v>
      </c>
      <c r="C3556" t="s">
        <v>121</v>
      </c>
      <c r="D3556" t="s">
        <v>122</v>
      </c>
      <c r="E3556" s="1">
        <v>44243</v>
      </c>
      <c r="F3556">
        <v>1</v>
      </c>
      <c r="G3556" t="s">
        <v>43</v>
      </c>
      <c r="H3556" t="s">
        <v>44</v>
      </c>
      <c r="I3556" s="3">
        <v>1144</v>
      </c>
      <c r="J3556" s="3">
        <v>1144</v>
      </c>
      <c r="K3556" s="3">
        <v>460</v>
      </c>
      <c r="L3556" t="s">
        <v>120</v>
      </c>
      <c r="M3556">
        <v>9</v>
      </c>
      <c r="N3556" t="s">
        <v>76</v>
      </c>
      <c r="O3556" t="s">
        <v>70</v>
      </c>
      <c r="P3556" t="s">
        <v>12</v>
      </c>
      <c r="Q3556" t="s">
        <v>13</v>
      </c>
      <c r="R3556" t="s">
        <v>13</v>
      </c>
      <c r="S3556" t="s">
        <v>144</v>
      </c>
      <c r="T3556" s="2">
        <f>MASTER[[#This Row],[CANTIDAD]]*MASTER[[#This Row],[PRECIO DE VENTA]]</f>
        <v>1144</v>
      </c>
      <c r="U3556" s="2">
        <f>MASTER[[#This Row],[CANTIDAD]]*MASTER[[#This Row],[COSTO UNITARIO]]</f>
        <v>460</v>
      </c>
      <c r="V3556" s="2">
        <f>MASTER[[#This Row],[MONTO VENDIDO]]-MASTER[[#This Row],[COSTO DE VENTA]]</f>
        <v>684</v>
      </c>
    </row>
    <row r="3557" spans="1:22" x14ac:dyDescent="0.3">
      <c r="A3557">
        <v>55564</v>
      </c>
      <c r="B3557">
        <v>1</v>
      </c>
      <c r="C3557" t="s">
        <v>105</v>
      </c>
      <c r="D3557" t="s">
        <v>106</v>
      </c>
      <c r="E3557" s="1">
        <v>44243</v>
      </c>
      <c r="F3557">
        <v>1</v>
      </c>
      <c r="G3557" t="s">
        <v>33</v>
      </c>
      <c r="H3557" t="s">
        <v>34</v>
      </c>
      <c r="I3557" s="3">
        <v>1865</v>
      </c>
      <c r="J3557" s="3">
        <v>1865</v>
      </c>
      <c r="K3557" s="3">
        <v>459</v>
      </c>
      <c r="L3557" t="s">
        <v>98</v>
      </c>
      <c r="M3557">
        <v>5</v>
      </c>
      <c r="N3557" t="s">
        <v>85</v>
      </c>
      <c r="O3557" t="s">
        <v>81</v>
      </c>
      <c r="P3557" t="s">
        <v>12</v>
      </c>
      <c r="Q3557" t="s">
        <v>13</v>
      </c>
      <c r="R3557" t="s">
        <v>13</v>
      </c>
      <c r="S3557" t="s">
        <v>144</v>
      </c>
      <c r="T3557" s="2">
        <f>MASTER[[#This Row],[CANTIDAD]]*MASTER[[#This Row],[PRECIO DE VENTA]]</f>
        <v>1865</v>
      </c>
      <c r="U3557" s="2">
        <f>MASTER[[#This Row],[CANTIDAD]]*MASTER[[#This Row],[COSTO UNITARIO]]</f>
        <v>459</v>
      </c>
      <c r="V3557" s="2">
        <f>MASTER[[#This Row],[MONTO VENDIDO]]-MASTER[[#This Row],[COSTO DE VENTA]]</f>
        <v>1406</v>
      </c>
    </row>
    <row r="3558" spans="1:22" x14ac:dyDescent="0.3">
      <c r="A3558">
        <v>55624</v>
      </c>
      <c r="B3558">
        <v>1</v>
      </c>
      <c r="C3558" t="s">
        <v>114</v>
      </c>
      <c r="D3558" t="s">
        <v>115</v>
      </c>
      <c r="E3558" s="1">
        <v>44243</v>
      </c>
      <c r="F3558">
        <v>1</v>
      </c>
      <c r="G3558" t="s">
        <v>73</v>
      </c>
      <c r="H3558" t="s">
        <v>74</v>
      </c>
      <c r="I3558" s="3">
        <v>1862</v>
      </c>
      <c r="J3558" s="3">
        <v>1862</v>
      </c>
      <c r="K3558" s="3">
        <v>394</v>
      </c>
      <c r="L3558" t="s">
        <v>113</v>
      </c>
      <c r="M3558">
        <v>4</v>
      </c>
      <c r="N3558" t="s">
        <v>82</v>
      </c>
      <c r="O3558" t="s">
        <v>81</v>
      </c>
      <c r="P3558" t="s">
        <v>71</v>
      </c>
      <c r="Q3558" t="s">
        <v>72</v>
      </c>
      <c r="R3558" t="s">
        <v>139</v>
      </c>
      <c r="S3558" t="s">
        <v>144</v>
      </c>
      <c r="T3558" s="2">
        <f>MASTER[[#This Row],[CANTIDAD]]*MASTER[[#This Row],[PRECIO DE VENTA]]</f>
        <v>1862</v>
      </c>
      <c r="U3558" s="2">
        <f>MASTER[[#This Row],[CANTIDAD]]*MASTER[[#This Row],[COSTO UNITARIO]]</f>
        <v>394</v>
      </c>
      <c r="V3558" s="2">
        <f>MASTER[[#This Row],[MONTO VENDIDO]]-MASTER[[#This Row],[COSTO DE VENTA]]</f>
        <v>1468</v>
      </c>
    </row>
    <row r="3559" spans="1:22" x14ac:dyDescent="0.3">
      <c r="A3559">
        <v>55627</v>
      </c>
      <c r="B3559">
        <v>1</v>
      </c>
      <c r="C3559" t="s">
        <v>105</v>
      </c>
      <c r="D3559" t="s">
        <v>106</v>
      </c>
      <c r="E3559" s="1">
        <v>44243</v>
      </c>
      <c r="F3559">
        <v>1</v>
      </c>
      <c r="G3559" t="s">
        <v>22</v>
      </c>
      <c r="H3559" t="s">
        <v>23</v>
      </c>
      <c r="I3559" s="3">
        <v>2033</v>
      </c>
      <c r="J3559" s="3">
        <v>2033</v>
      </c>
      <c r="K3559" s="3">
        <v>459</v>
      </c>
      <c r="L3559" t="s">
        <v>98</v>
      </c>
      <c r="M3559">
        <v>9</v>
      </c>
      <c r="N3559" t="s">
        <v>76</v>
      </c>
      <c r="O3559" t="s">
        <v>70</v>
      </c>
      <c r="P3559" t="s">
        <v>12</v>
      </c>
      <c r="Q3559" t="s">
        <v>13</v>
      </c>
      <c r="R3559" t="s">
        <v>13</v>
      </c>
      <c r="S3559" t="s">
        <v>144</v>
      </c>
      <c r="T3559" s="2">
        <f>MASTER[[#This Row],[CANTIDAD]]*MASTER[[#This Row],[PRECIO DE VENTA]]</f>
        <v>2033</v>
      </c>
      <c r="U3559" s="2">
        <f>MASTER[[#This Row],[CANTIDAD]]*MASTER[[#This Row],[COSTO UNITARIO]]</f>
        <v>459</v>
      </c>
      <c r="V3559" s="2">
        <f>MASTER[[#This Row],[MONTO VENDIDO]]-MASTER[[#This Row],[COSTO DE VENTA]]</f>
        <v>1574</v>
      </c>
    </row>
    <row r="3560" spans="1:22" x14ac:dyDescent="0.3">
      <c r="A3560">
        <v>55636</v>
      </c>
      <c r="B3560">
        <v>1</v>
      </c>
      <c r="C3560" t="s">
        <v>5</v>
      </c>
      <c r="D3560" t="s">
        <v>6</v>
      </c>
      <c r="E3560" s="1">
        <v>44244</v>
      </c>
      <c r="F3560">
        <v>1</v>
      </c>
      <c r="G3560" t="s">
        <v>63</v>
      </c>
      <c r="H3560" t="s">
        <v>64</v>
      </c>
      <c r="I3560" s="3">
        <v>1507</v>
      </c>
      <c r="J3560" s="3">
        <v>1507</v>
      </c>
      <c r="K3560" s="3">
        <v>393</v>
      </c>
      <c r="L3560" t="s">
        <v>9</v>
      </c>
      <c r="M3560">
        <v>8</v>
      </c>
      <c r="N3560" t="s">
        <v>80</v>
      </c>
      <c r="O3560" t="s">
        <v>81</v>
      </c>
      <c r="P3560" t="s">
        <v>12</v>
      </c>
      <c r="Q3560" t="s">
        <v>13</v>
      </c>
      <c r="R3560" t="s">
        <v>13</v>
      </c>
      <c r="S3560" t="s">
        <v>144</v>
      </c>
      <c r="T3560" s="2">
        <f>MASTER[[#This Row],[CANTIDAD]]*MASTER[[#This Row],[PRECIO DE VENTA]]</f>
        <v>1507</v>
      </c>
      <c r="U3560" s="2">
        <f>MASTER[[#This Row],[CANTIDAD]]*MASTER[[#This Row],[COSTO UNITARIO]]</f>
        <v>393</v>
      </c>
      <c r="V3560" s="2">
        <f>MASTER[[#This Row],[MONTO VENDIDO]]-MASTER[[#This Row],[COSTO DE VENTA]]</f>
        <v>1114</v>
      </c>
    </row>
    <row r="3561" spans="1:22" x14ac:dyDescent="0.3">
      <c r="A3561">
        <v>55654</v>
      </c>
      <c r="B3561">
        <v>1</v>
      </c>
      <c r="C3561" t="s">
        <v>90</v>
      </c>
      <c r="D3561" t="s">
        <v>91</v>
      </c>
      <c r="E3561" s="1">
        <v>44244</v>
      </c>
      <c r="F3561">
        <v>1</v>
      </c>
      <c r="G3561" t="s">
        <v>43</v>
      </c>
      <c r="H3561" t="s">
        <v>44</v>
      </c>
      <c r="I3561" s="3">
        <v>1844</v>
      </c>
      <c r="J3561" s="3">
        <v>1844</v>
      </c>
      <c r="K3561" s="3">
        <v>420</v>
      </c>
      <c r="L3561" t="s">
        <v>9</v>
      </c>
      <c r="M3561">
        <v>2</v>
      </c>
      <c r="N3561" t="s">
        <v>86</v>
      </c>
      <c r="O3561" t="s">
        <v>81</v>
      </c>
      <c r="P3561" t="s">
        <v>71</v>
      </c>
      <c r="Q3561" t="s">
        <v>72</v>
      </c>
      <c r="R3561" t="s">
        <v>139</v>
      </c>
      <c r="S3561" t="s">
        <v>144</v>
      </c>
      <c r="T3561" s="2">
        <f>MASTER[[#This Row],[CANTIDAD]]*MASTER[[#This Row],[PRECIO DE VENTA]]</f>
        <v>1844</v>
      </c>
      <c r="U3561" s="2">
        <f>MASTER[[#This Row],[CANTIDAD]]*MASTER[[#This Row],[COSTO UNITARIO]]</f>
        <v>420</v>
      </c>
      <c r="V3561" s="2">
        <f>MASTER[[#This Row],[MONTO VENDIDO]]-MASTER[[#This Row],[COSTO DE VENTA]]</f>
        <v>1424</v>
      </c>
    </row>
    <row r="3562" spans="1:22" x14ac:dyDescent="0.3">
      <c r="A3562">
        <v>55668</v>
      </c>
      <c r="B3562">
        <v>1</v>
      </c>
      <c r="C3562" t="s">
        <v>118</v>
      </c>
      <c r="D3562" t="s">
        <v>119</v>
      </c>
      <c r="E3562" s="1">
        <v>44244</v>
      </c>
      <c r="F3562">
        <v>1</v>
      </c>
      <c r="G3562" t="s">
        <v>33</v>
      </c>
      <c r="H3562" t="s">
        <v>34</v>
      </c>
      <c r="I3562" s="3">
        <v>801</v>
      </c>
      <c r="J3562" s="3">
        <v>801</v>
      </c>
      <c r="K3562" s="3">
        <v>424</v>
      </c>
      <c r="L3562" t="s">
        <v>120</v>
      </c>
      <c r="M3562">
        <v>12</v>
      </c>
      <c r="N3562" t="s">
        <v>26</v>
      </c>
      <c r="O3562" t="s">
        <v>11</v>
      </c>
      <c r="P3562" t="s">
        <v>12</v>
      </c>
      <c r="Q3562" t="s">
        <v>13</v>
      </c>
      <c r="R3562" t="s">
        <v>13</v>
      </c>
      <c r="S3562" t="s">
        <v>144</v>
      </c>
      <c r="T3562" s="2">
        <f>MASTER[[#This Row],[CANTIDAD]]*MASTER[[#This Row],[PRECIO DE VENTA]]</f>
        <v>801</v>
      </c>
      <c r="U3562" s="2">
        <f>MASTER[[#This Row],[CANTIDAD]]*MASTER[[#This Row],[COSTO UNITARIO]]</f>
        <v>424</v>
      </c>
      <c r="V3562" s="2">
        <f>MASTER[[#This Row],[MONTO VENDIDO]]-MASTER[[#This Row],[COSTO DE VENTA]]</f>
        <v>377</v>
      </c>
    </row>
    <row r="3563" spans="1:22" x14ac:dyDescent="0.3">
      <c r="A3563">
        <v>55669</v>
      </c>
      <c r="B3563">
        <v>1</v>
      </c>
      <c r="C3563" t="s">
        <v>103</v>
      </c>
      <c r="D3563" t="s">
        <v>104</v>
      </c>
      <c r="E3563" s="1">
        <v>44244</v>
      </c>
      <c r="F3563">
        <v>1</v>
      </c>
      <c r="G3563" t="s">
        <v>24</v>
      </c>
      <c r="H3563" t="s">
        <v>25</v>
      </c>
      <c r="I3563" s="3">
        <v>1591</v>
      </c>
      <c r="J3563" s="3">
        <v>1591</v>
      </c>
      <c r="K3563" s="3">
        <v>421</v>
      </c>
      <c r="L3563" t="s">
        <v>98</v>
      </c>
      <c r="M3563">
        <v>10</v>
      </c>
      <c r="N3563" t="s">
        <v>83</v>
      </c>
      <c r="O3563" t="s">
        <v>81</v>
      </c>
      <c r="P3563" t="s">
        <v>12</v>
      </c>
      <c r="Q3563" t="s">
        <v>13</v>
      </c>
      <c r="R3563" t="s">
        <v>13</v>
      </c>
      <c r="S3563" t="s">
        <v>144</v>
      </c>
      <c r="T3563" s="2">
        <f>MASTER[[#This Row],[CANTIDAD]]*MASTER[[#This Row],[PRECIO DE VENTA]]</f>
        <v>1591</v>
      </c>
      <c r="U3563" s="2">
        <f>MASTER[[#This Row],[CANTIDAD]]*MASTER[[#This Row],[COSTO UNITARIO]]</f>
        <v>421</v>
      </c>
      <c r="V3563" s="2">
        <f>MASTER[[#This Row],[MONTO VENDIDO]]-MASTER[[#This Row],[COSTO DE VENTA]]</f>
        <v>1170</v>
      </c>
    </row>
    <row r="3564" spans="1:22" x14ac:dyDescent="0.3">
      <c r="A3564">
        <v>55673</v>
      </c>
      <c r="B3564">
        <v>1</v>
      </c>
      <c r="C3564" t="s">
        <v>121</v>
      </c>
      <c r="D3564" t="s">
        <v>122</v>
      </c>
      <c r="E3564" s="1">
        <v>44244</v>
      </c>
      <c r="F3564">
        <v>1</v>
      </c>
      <c r="G3564" t="s">
        <v>31</v>
      </c>
      <c r="H3564" t="s">
        <v>32</v>
      </c>
      <c r="I3564" s="3">
        <v>941</v>
      </c>
      <c r="J3564" s="3">
        <v>941</v>
      </c>
      <c r="K3564" s="3">
        <v>460</v>
      </c>
      <c r="L3564" t="s">
        <v>120</v>
      </c>
      <c r="M3564">
        <v>17</v>
      </c>
      <c r="N3564" t="s">
        <v>14</v>
      </c>
      <c r="O3564" t="s">
        <v>11</v>
      </c>
      <c r="P3564" t="s">
        <v>15</v>
      </c>
      <c r="Q3564" t="s">
        <v>16</v>
      </c>
      <c r="R3564" t="s">
        <v>16</v>
      </c>
      <c r="S3564" t="s">
        <v>144</v>
      </c>
      <c r="T3564" s="2">
        <f>MASTER[[#This Row],[CANTIDAD]]*MASTER[[#This Row],[PRECIO DE VENTA]]</f>
        <v>941</v>
      </c>
      <c r="U3564" s="2">
        <f>MASTER[[#This Row],[CANTIDAD]]*MASTER[[#This Row],[COSTO UNITARIO]]</f>
        <v>460</v>
      </c>
      <c r="V3564" s="2">
        <f>MASTER[[#This Row],[MONTO VENDIDO]]-MASTER[[#This Row],[COSTO DE VENTA]]</f>
        <v>481</v>
      </c>
    </row>
    <row r="3565" spans="1:22" x14ac:dyDescent="0.3">
      <c r="A3565">
        <v>55709</v>
      </c>
      <c r="B3565">
        <v>1</v>
      </c>
      <c r="C3565" t="s">
        <v>116</v>
      </c>
      <c r="D3565" t="s">
        <v>117</v>
      </c>
      <c r="E3565" s="1">
        <v>44244</v>
      </c>
      <c r="F3565">
        <v>1</v>
      </c>
      <c r="G3565" t="s">
        <v>35</v>
      </c>
      <c r="H3565" t="s">
        <v>36</v>
      </c>
      <c r="I3565" s="3">
        <v>1999</v>
      </c>
      <c r="J3565" s="3">
        <v>1999</v>
      </c>
      <c r="K3565" s="3">
        <v>388</v>
      </c>
      <c r="L3565" t="s">
        <v>113</v>
      </c>
      <c r="M3565">
        <v>13</v>
      </c>
      <c r="N3565" t="s">
        <v>78</v>
      </c>
      <c r="O3565" t="s">
        <v>70</v>
      </c>
      <c r="P3565" t="s">
        <v>18</v>
      </c>
      <c r="Q3565" t="s">
        <v>19</v>
      </c>
      <c r="R3565" t="s">
        <v>138</v>
      </c>
      <c r="S3565" t="s">
        <v>144</v>
      </c>
      <c r="T3565" s="2">
        <f>MASTER[[#This Row],[CANTIDAD]]*MASTER[[#This Row],[PRECIO DE VENTA]]</f>
        <v>1999</v>
      </c>
      <c r="U3565" s="2">
        <f>MASTER[[#This Row],[CANTIDAD]]*MASTER[[#This Row],[COSTO UNITARIO]]</f>
        <v>388</v>
      </c>
      <c r="V3565" s="2">
        <f>MASTER[[#This Row],[MONTO VENDIDO]]-MASTER[[#This Row],[COSTO DE VENTA]]</f>
        <v>1611</v>
      </c>
    </row>
    <row r="3566" spans="1:22" x14ac:dyDescent="0.3">
      <c r="A3566">
        <v>55725</v>
      </c>
      <c r="B3566">
        <v>1</v>
      </c>
      <c r="C3566" t="s">
        <v>111</v>
      </c>
      <c r="D3566" t="s">
        <v>112</v>
      </c>
      <c r="E3566" s="1">
        <v>44245</v>
      </c>
      <c r="F3566">
        <v>1</v>
      </c>
      <c r="G3566" t="s">
        <v>33</v>
      </c>
      <c r="H3566" t="s">
        <v>34</v>
      </c>
      <c r="I3566" s="3">
        <v>1621</v>
      </c>
      <c r="J3566" s="3">
        <v>1621</v>
      </c>
      <c r="K3566" s="3">
        <v>434</v>
      </c>
      <c r="L3566" t="s">
        <v>113</v>
      </c>
      <c r="M3566">
        <v>10</v>
      </c>
      <c r="N3566" t="s">
        <v>83</v>
      </c>
      <c r="O3566" t="s">
        <v>81</v>
      </c>
      <c r="P3566" t="s">
        <v>12</v>
      </c>
      <c r="Q3566" t="s">
        <v>13</v>
      </c>
      <c r="R3566" t="s">
        <v>13</v>
      </c>
      <c r="S3566" t="s">
        <v>144</v>
      </c>
      <c r="T3566" s="2">
        <f>MASTER[[#This Row],[CANTIDAD]]*MASTER[[#This Row],[PRECIO DE VENTA]]</f>
        <v>1621</v>
      </c>
      <c r="U3566" s="2">
        <f>MASTER[[#This Row],[CANTIDAD]]*MASTER[[#This Row],[COSTO UNITARIO]]</f>
        <v>434</v>
      </c>
      <c r="V3566" s="2">
        <f>MASTER[[#This Row],[MONTO VENDIDO]]-MASTER[[#This Row],[COSTO DE VENTA]]</f>
        <v>1187</v>
      </c>
    </row>
    <row r="3567" spans="1:22" x14ac:dyDescent="0.3">
      <c r="A3567">
        <v>55747</v>
      </c>
      <c r="B3567">
        <v>1</v>
      </c>
      <c r="C3567" t="s">
        <v>94</v>
      </c>
      <c r="D3567" t="s">
        <v>95</v>
      </c>
      <c r="E3567" s="1">
        <v>44245</v>
      </c>
      <c r="F3567">
        <v>1</v>
      </c>
      <c r="G3567" t="s">
        <v>73</v>
      </c>
      <c r="H3567" t="s">
        <v>74</v>
      </c>
      <c r="I3567" s="3">
        <v>1153</v>
      </c>
      <c r="J3567" s="3">
        <v>1153</v>
      </c>
      <c r="K3567" s="3">
        <v>392</v>
      </c>
      <c r="L3567" t="s">
        <v>9</v>
      </c>
      <c r="M3567">
        <v>6</v>
      </c>
      <c r="N3567" t="s">
        <v>75</v>
      </c>
      <c r="O3567" t="s">
        <v>70</v>
      </c>
      <c r="P3567" t="s">
        <v>12</v>
      </c>
      <c r="Q3567" t="s">
        <v>13</v>
      </c>
      <c r="R3567" t="s">
        <v>13</v>
      </c>
      <c r="S3567" t="s">
        <v>144</v>
      </c>
      <c r="T3567" s="2">
        <f>MASTER[[#This Row],[CANTIDAD]]*MASTER[[#This Row],[PRECIO DE VENTA]]</f>
        <v>1153</v>
      </c>
      <c r="U3567" s="2">
        <f>MASTER[[#This Row],[CANTIDAD]]*MASTER[[#This Row],[COSTO UNITARIO]]</f>
        <v>392</v>
      </c>
      <c r="V3567" s="2">
        <f>MASTER[[#This Row],[MONTO VENDIDO]]-MASTER[[#This Row],[COSTO DE VENTA]]</f>
        <v>761</v>
      </c>
    </row>
    <row r="3568" spans="1:22" x14ac:dyDescent="0.3">
      <c r="A3568">
        <v>55754</v>
      </c>
      <c r="B3568">
        <v>1</v>
      </c>
      <c r="C3568" t="s">
        <v>103</v>
      </c>
      <c r="D3568" t="s">
        <v>104</v>
      </c>
      <c r="E3568" s="1">
        <v>44245</v>
      </c>
      <c r="F3568">
        <v>1</v>
      </c>
      <c r="G3568" t="s">
        <v>7</v>
      </c>
      <c r="H3568" t="s">
        <v>8</v>
      </c>
      <c r="I3568" s="3">
        <v>1830</v>
      </c>
      <c r="J3568" s="3">
        <v>1830</v>
      </c>
      <c r="K3568" s="3">
        <v>421</v>
      </c>
      <c r="L3568" t="s">
        <v>98</v>
      </c>
      <c r="M3568">
        <v>3</v>
      </c>
      <c r="N3568" t="s">
        <v>69</v>
      </c>
      <c r="O3568" t="s">
        <v>70</v>
      </c>
      <c r="P3568" t="s">
        <v>71</v>
      </c>
      <c r="Q3568" t="s">
        <v>72</v>
      </c>
      <c r="R3568" t="s">
        <v>139</v>
      </c>
      <c r="S3568" t="s">
        <v>144</v>
      </c>
      <c r="T3568" s="2">
        <f>MASTER[[#This Row],[CANTIDAD]]*MASTER[[#This Row],[PRECIO DE VENTA]]</f>
        <v>1830</v>
      </c>
      <c r="U3568" s="2">
        <f>MASTER[[#This Row],[CANTIDAD]]*MASTER[[#This Row],[COSTO UNITARIO]]</f>
        <v>421</v>
      </c>
      <c r="V3568" s="2">
        <f>MASTER[[#This Row],[MONTO VENDIDO]]-MASTER[[#This Row],[COSTO DE VENTA]]</f>
        <v>1409</v>
      </c>
    </row>
    <row r="3569" spans="1:22" x14ac:dyDescent="0.3">
      <c r="A3569">
        <v>55755</v>
      </c>
      <c r="B3569">
        <v>1</v>
      </c>
      <c r="C3569" t="s">
        <v>109</v>
      </c>
      <c r="D3569" t="s">
        <v>110</v>
      </c>
      <c r="E3569" s="1">
        <v>44245</v>
      </c>
      <c r="F3569">
        <v>1</v>
      </c>
      <c r="G3569" t="s">
        <v>7</v>
      </c>
      <c r="H3569" t="s">
        <v>8</v>
      </c>
      <c r="I3569" s="3">
        <v>947</v>
      </c>
      <c r="J3569" s="3">
        <v>947</v>
      </c>
      <c r="K3569" s="3">
        <v>387</v>
      </c>
      <c r="L3569" t="s">
        <v>98</v>
      </c>
      <c r="M3569">
        <v>16</v>
      </c>
      <c r="N3569" t="s">
        <v>17</v>
      </c>
      <c r="O3569" t="s">
        <v>11</v>
      </c>
      <c r="P3569" t="s">
        <v>18</v>
      </c>
      <c r="Q3569" t="s">
        <v>19</v>
      </c>
      <c r="R3569" t="s">
        <v>138</v>
      </c>
      <c r="S3569" t="s">
        <v>144</v>
      </c>
      <c r="T3569" s="2">
        <f>MASTER[[#This Row],[CANTIDAD]]*MASTER[[#This Row],[PRECIO DE VENTA]]</f>
        <v>947</v>
      </c>
      <c r="U3569" s="2">
        <f>MASTER[[#This Row],[CANTIDAD]]*MASTER[[#This Row],[COSTO UNITARIO]]</f>
        <v>387</v>
      </c>
      <c r="V3569" s="2">
        <f>MASTER[[#This Row],[MONTO VENDIDO]]-MASTER[[#This Row],[COSTO DE VENTA]]</f>
        <v>560</v>
      </c>
    </row>
    <row r="3570" spans="1:22" x14ac:dyDescent="0.3">
      <c r="A3570">
        <v>55765</v>
      </c>
      <c r="B3570">
        <v>1</v>
      </c>
      <c r="C3570" t="s">
        <v>5</v>
      </c>
      <c r="D3570" t="s">
        <v>6</v>
      </c>
      <c r="E3570" s="1">
        <v>44245</v>
      </c>
      <c r="F3570">
        <v>1</v>
      </c>
      <c r="G3570" t="s">
        <v>57</v>
      </c>
      <c r="H3570" t="s">
        <v>58</v>
      </c>
      <c r="I3570" s="3">
        <v>1311</v>
      </c>
      <c r="J3570" s="3">
        <v>1311</v>
      </c>
      <c r="K3570" s="3">
        <v>393</v>
      </c>
      <c r="L3570" t="s">
        <v>9</v>
      </c>
      <c r="M3570">
        <v>17</v>
      </c>
      <c r="N3570" t="s">
        <v>14</v>
      </c>
      <c r="O3570" t="s">
        <v>11</v>
      </c>
      <c r="P3570" t="s">
        <v>15</v>
      </c>
      <c r="Q3570" t="s">
        <v>16</v>
      </c>
      <c r="R3570" t="s">
        <v>16</v>
      </c>
      <c r="S3570" t="s">
        <v>144</v>
      </c>
      <c r="T3570" s="2">
        <f>MASTER[[#This Row],[CANTIDAD]]*MASTER[[#This Row],[PRECIO DE VENTA]]</f>
        <v>1311</v>
      </c>
      <c r="U3570" s="2">
        <f>MASTER[[#This Row],[CANTIDAD]]*MASTER[[#This Row],[COSTO UNITARIO]]</f>
        <v>393</v>
      </c>
      <c r="V3570" s="2">
        <f>MASTER[[#This Row],[MONTO VENDIDO]]-MASTER[[#This Row],[COSTO DE VENTA]]</f>
        <v>918</v>
      </c>
    </row>
    <row r="3571" spans="1:22" x14ac:dyDescent="0.3">
      <c r="A3571">
        <v>55772</v>
      </c>
      <c r="B3571">
        <v>1</v>
      </c>
      <c r="C3571" t="s">
        <v>109</v>
      </c>
      <c r="D3571" t="s">
        <v>110</v>
      </c>
      <c r="E3571" s="1">
        <v>44245</v>
      </c>
      <c r="F3571">
        <v>1</v>
      </c>
      <c r="G3571" t="s">
        <v>59</v>
      </c>
      <c r="H3571" t="s">
        <v>60</v>
      </c>
      <c r="I3571" s="3">
        <v>1128</v>
      </c>
      <c r="J3571" s="3">
        <v>1128</v>
      </c>
      <c r="K3571" s="3">
        <v>387</v>
      </c>
      <c r="L3571" t="s">
        <v>98</v>
      </c>
      <c r="M3571">
        <v>9</v>
      </c>
      <c r="N3571" t="s">
        <v>76</v>
      </c>
      <c r="O3571" t="s">
        <v>70</v>
      </c>
      <c r="P3571" t="s">
        <v>12</v>
      </c>
      <c r="Q3571" t="s">
        <v>13</v>
      </c>
      <c r="R3571" t="s">
        <v>13</v>
      </c>
      <c r="S3571" t="s">
        <v>144</v>
      </c>
      <c r="T3571" s="2">
        <f>MASTER[[#This Row],[CANTIDAD]]*MASTER[[#This Row],[PRECIO DE VENTA]]</f>
        <v>1128</v>
      </c>
      <c r="U3571" s="2">
        <f>MASTER[[#This Row],[CANTIDAD]]*MASTER[[#This Row],[COSTO UNITARIO]]</f>
        <v>387</v>
      </c>
      <c r="V3571" s="2">
        <f>MASTER[[#This Row],[MONTO VENDIDO]]-MASTER[[#This Row],[COSTO DE VENTA]]</f>
        <v>741</v>
      </c>
    </row>
    <row r="3572" spans="1:22" x14ac:dyDescent="0.3">
      <c r="A3572">
        <v>55833</v>
      </c>
      <c r="B3572">
        <v>1</v>
      </c>
      <c r="C3572" t="s">
        <v>101</v>
      </c>
      <c r="D3572" t="s">
        <v>102</v>
      </c>
      <c r="E3572" s="1">
        <v>44245</v>
      </c>
      <c r="F3572">
        <v>1</v>
      </c>
      <c r="G3572" t="s">
        <v>59</v>
      </c>
      <c r="H3572" t="s">
        <v>60</v>
      </c>
      <c r="I3572" s="3">
        <v>1212</v>
      </c>
      <c r="J3572" s="3">
        <v>1212</v>
      </c>
      <c r="K3572" s="3">
        <v>442</v>
      </c>
      <c r="L3572" t="s">
        <v>98</v>
      </c>
      <c r="M3572">
        <v>8</v>
      </c>
      <c r="N3572" t="s">
        <v>80</v>
      </c>
      <c r="O3572" t="s">
        <v>81</v>
      </c>
      <c r="P3572" t="s">
        <v>12</v>
      </c>
      <c r="Q3572" t="s">
        <v>13</v>
      </c>
      <c r="R3572" t="s">
        <v>13</v>
      </c>
      <c r="S3572" t="s">
        <v>144</v>
      </c>
      <c r="T3572" s="2">
        <f>MASTER[[#This Row],[CANTIDAD]]*MASTER[[#This Row],[PRECIO DE VENTA]]</f>
        <v>1212</v>
      </c>
      <c r="U3572" s="2">
        <f>MASTER[[#This Row],[CANTIDAD]]*MASTER[[#This Row],[COSTO UNITARIO]]</f>
        <v>442</v>
      </c>
      <c r="V3572" s="2">
        <f>MASTER[[#This Row],[MONTO VENDIDO]]-MASTER[[#This Row],[COSTO DE VENTA]]</f>
        <v>770</v>
      </c>
    </row>
    <row r="3573" spans="1:22" x14ac:dyDescent="0.3">
      <c r="A3573">
        <v>55844</v>
      </c>
      <c r="B3573">
        <v>1</v>
      </c>
      <c r="C3573" t="s">
        <v>111</v>
      </c>
      <c r="D3573" t="s">
        <v>112</v>
      </c>
      <c r="E3573" s="1">
        <v>44245</v>
      </c>
      <c r="F3573">
        <v>1</v>
      </c>
      <c r="G3573" t="s">
        <v>55</v>
      </c>
      <c r="H3573" t="s">
        <v>56</v>
      </c>
      <c r="I3573" s="3">
        <v>1621</v>
      </c>
      <c r="J3573" s="3">
        <v>1621</v>
      </c>
      <c r="K3573" s="3">
        <v>434</v>
      </c>
      <c r="L3573" t="s">
        <v>113</v>
      </c>
      <c r="M3573">
        <v>5</v>
      </c>
      <c r="N3573" t="s">
        <v>85</v>
      </c>
      <c r="O3573" t="s">
        <v>81</v>
      </c>
      <c r="P3573" t="s">
        <v>12</v>
      </c>
      <c r="Q3573" t="s">
        <v>13</v>
      </c>
      <c r="R3573" t="s">
        <v>13</v>
      </c>
      <c r="S3573" t="s">
        <v>144</v>
      </c>
      <c r="T3573" s="2">
        <f>MASTER[[#This Row],[CANTIDAD]]*MASTER[[#This Row],[PRECIO DE VENTA]]</f>
        <v>1621</v>
      </c>
      <c r="U3573" s="2">
        <f>MASTER[[#This Row],[CANTIDAD]]*MASTER[[#This Row],[COSTO UNITARIO]]</f>
        <v>434</v>
      </c>
      <c r="V3573" s="2">
        <f>MASTER[[#This Row],[MONTO VENDIDO]]-MASTER[[#This Row],[COSTO DE VENTA]]</f>
        <v>1187</v>
      </c>
    </row>
    <row r="3574" spans="1:22" x14ac:dyDescent="0.3">
      <c r="A3574">
        <v>55855</v>
      </c>
      <c r="B3574">
        <v>1</v>
      </c>
      <c r="C3574" t="s">
        <v>5</v>
      </c>
      <c r="D3574" t="s">
        <v>6</v>
      </c>
      <c r="E3574" s="1">
        <v>44245</v>
      </c>
      <c r="F3574">
        <v>1</v>
      </c>
      <c r="G3574" t="s">
        <v>41</v>
      </c>
      <c r="H3574" t="s">
        <v>42</v>
      </c>
      <c r="I3574" s="3">
        <v>1507</v>
      </c>
      <c r="J3574" s="3">
        <v>1507</v>
      </c>
      <c r="K3574" s="3">
        <v>393</v>
      </c>
      <c r="L3574" t="s">
        <v>9</v>
      </c>
      <c r="M3574">
        <v>8</v>
      </c>
      <c r="N3574" t="s">
        <v>80</v>
      </c>
      <c r="O3574" t="s">
        <v>81</v>
      </c>
      <c r="P3574" t="s">
        <v>12</v>
      </c>
      <c r="Q3574" t="s">
        <v>13</v>
      </c>
      <c r="R3574" t="s">
        <v>13</v>
      </c>
      <c r="S3574" t="s">
        <v>144</v>
      </c>
      <c r="T3574" s="2">
        <f>MASTER[[#This Row],[CANTIDAD]]*MASTER[[#This Row],[PRECIO DE VENTA]]</f>
        <v>1507</v>
      </c>
      <c r="U3574" s="2">
        <f>MASTER[[#This Row],[CANTIDAD]]*MASTER[[#This Row],[COSTO UNITARIO]]</f>
        <v>393</v>
      </c>
      <c r="V3574" s="2">
        <f>MASTER[[#This Row],[MONTO VENDIDO]]-MASTER[[#This Row],[COSTO DE VENTA]]</f>
        <v>1114</v>
      </c>
    </row>
    <row r="3575" spans="1:22" x14ac:dyDescent="0.3">
      <c r="A3575">
        <v>55857</v>
      </c>
      <c r="B3575">
        <v>1</v>
      </c>
      <c r="C3575" t="s">
        <v>116</v>
      </c>
      <c r="D3575" t="s">
        <v>117</v>
      </c>
      <c r="E3575" s="1">
        <v>44245</v>
      </c>
      <c r="F3575">
        <v>1</v>
      </c>
      <c r="G3575" t="s">
        <v>65</v>
      </c>
      <c r="H3575" t="s">
        <v>66</v>
      </c>
      <c r="I3575" s="3">
        <v>1999</v>
      </c>
      <c r="J3575" s="3">
        <v>1999</v>
      </c>
      <c r="K3575" s="3">
        <v>388</v>
      </c>
      <c r="L3575" t="s">
        <v>113</v>
      </c>
      <c r="M3575">
        <v>9</v>
      </c>
      <c r="N3575" t="s">
        <v>76</v>
      </c>
      <c r="O3575" t="s">
        <v>70</v>
      </c>
      <c r="P3575" t="s">
        <v>12</v>
      </c>
      <c r="Q3575" t="s">
        <v>13</v>
      </c>
      <c r="R3575" t="s">
        <v>13</v>
      </c>
      <c r="S3575" t="s">
        <v>144</v>
      </c>
      <c r="T3575" s="2">
        <f>MASTER[[#This Row],[CANTIDAD]]*MASTER[[#This Row],[PRECIO DE VENTA]]</f>
        <v>1999</v>
      </c>
      <c r="U3575" s="2">
        <f>MASTER[[#This Row],[CANTIDAD]]*MASTER[[#This Row],[COSTO UNITARIO]]</f>
        <v>388</v>
      </c>
      <c r="V3575" s="2">
        <f>MASTER[[#This Row],[MONTO VENDIDO]]-MASTER[[#This Row],[COSTO DE VENTA]]</f>
        <v>1611</v>
      </c>
    </row>
    <row r="3576" spans="1:22" x14ac:dyDescent="0.3">
      <c r="A3576">
        <v>55871</v>
      </c>
      <c r="B3576">
        <v>1</v>
      </c>
      <c r="C3576" t="s">
        <v>103</v>
      </c>
      <c r="D3576" t="s">
        <v>104</v>
      </c>
      <c r="E3576" s="1">
        <v>44245</v>
      </c>
      <c r="F3576">
        <v>1</v>
      </c>
      <c r="G3576" t="s">
        <v>45</v>
      </c>
      <c r="H3576" t="s">
        <v>46</v>
      </c>
      <c r="I3576" s="3">
        <v>1448</v>
      </c>
      <c r="J3576" s="3">
        <v>1448</v>
      </c>
      <c r="K3576" s="3">
        <v>421</v>
      </c>
      <c r="L3576" t="s">
        <v>98</v>
      </c>
      <c r="M3576">
        <v>11</v>
      </c>
      <c r="N3576" t="s">
        <v>10</v>
      </c>
      <c r="O3576" t="s">
        <v>11</v>
      </c>
      <c r="P3576" t="s">
        <v>12</v>
      </c>
      <c r="Q3576" t="s">
        <v>13</v>
      </c>
      <c r="R3576" t="s">
        <v>13</v>
      </c>
      <c r="S3576" t="s">
        <v>144</v>
      </c>
      <c r="T3576" s="2">
        <f>MASTER[[#This Row],[CANTIDAD]]*MASTER[[#This Row],[PRECIO DE VENTA]]</f>
        <v>1448</v>
      </c>
      <c r="U3576" s="2">
        <f>MASTER[[#This Row],[CANTIDAD]]*MASTER[[#This Row],[COSTO UNITARIO]]</f>
        <v>421</v>
      </c>
      <c r="V3576" s="2">
        <f>MASTER[[#This Row],[MONTO VENDIDO]]-MASTER[[#This Row],[COSTO DE VENTA]]</f>
        <v>1027</v>
      </c>
    </row>
    <row r="3577" spans="1:22" x14ac:dyDescent="0.3">
      <c r="A3577">
        <v>55881</v>
      </c>
      <c r="B3577">
        <v>1</v>
      </c>
      <c r="C3577" t="s">
        <v>111</v>
      </c>
      <c r="D3577" t="s">
        <v>112</v>
      </c>
      <c r="E3577" s="1">
        <v>44245</v>
      </c>
      <c r="F3577">
        <v>1</v>
      </c>
      <c r="G3577" t="s">
        <v>47</v>
      </c>
      <c r="H3577" t="s">
        <v>48</v>
      </c>
      <c r="I3577" s="3">
        <v>1799</v>
      </c>
      <c r="J3577" s="3">
        <v>1799</v>
      </c>
      <c r="K3577" s="3">
        <v>434</v>
      </c>
      <c r="L3577" t="s">
        <v>113</v>
      </c>
      <c r="M3577">
        <v>18</v>
      </c>
      <c r="N3577" t="s">
        <v>79</v>
      </c>
      <c r="O3577" t="s">
        <v>70</v>
      </c>
      <c r="P3577" t="s">
        <v>15</v>
      </c>
      <c r="Q3577" t="s">
        <v>16</v>
      </c>
      <c r="R3577" t="s">
        <v>16</v>
      </c>
      <c r="S3577" t="s">
        <v>144</v>
      </c>
      <c r="T3577" s="2">
        <f>MASTER[[#This Row],[CANTIDAD]]*MASTER[[#This Row],[PRECIO DE VENTA]]</f>
        <v>1799</v>
      </c>
      <c r="U3577" s="2">
        <f>MASTER[[#This Row],[CANTIDAD]]*MASTER[[#This Row],[COSTO UNITARIO]]</f>
        <v>434</v>
      </c>
      <c r="V3577" s="2">
        <f>MASTER[[#This Row],[MONTO VENDIDO]]-MASTER[[#This Row],[COSTO DE VENTA]]</f>
        <v>1365</v>
      </c>
    </row>
    <row r="3578" spans="1:22" x14ac:dyDescent="0.3">
      <c r="A3578">
        <v>55883</v>
      </c>
      <c r="B3578">
        <v>1</v>
      </c>
      <c r="C3578" t="s">
        <v>94</v>
      </c>
      <c r="D3578" t="s">
        <v>95</v>
      </c>
      <c r="E3578" s="1">
        <v>44245</v>
      </c>
      <c r="F3578">
        <v>1</v>
      </c>
      <c r="G3578" t="s">
        <v>47</v>
      </c>
      <c r="H3578" t="s">
        <v>48</v>
      </c>
      <c r="I3578" s="3">
        <v>1048</v>
      </c>
      <c r="J3578" s="3">
        <v>1048</v>
      </c>
      <c r="K3578" s="3">
        <v>392</v>
      </c>
      <c r="L3578" t="s">
        <v>9</v>
      </c>
      <c r="M3578">
        <v>4</v>
      </c>
      <c r="N3578" t="s">
        <v>82</v>
      </c>
      <c r="O3578" t="s">
        <v>81</v>
      </c>
      <c r="P3578" t="s">
        <v>71</v>
      </c>
      <c r="Q3578" t="s">
        <v>72</v>
      </c>
      <c r="R3578" t="s">
        <v>139</v>
      </c>
      <c r="S3578" t="s">
        <v>144</v>
      </c>
      <c r="T3578" s="2">
        <f>MASTER[[#This Row],[CANTIDAD]]*MASTER[[#This Row],[PRECIO DE VENTA]]</f>
        <v>1048</v>
      </c>
      <c r="U3578" s="2">
        <f>MASTER[[#This Row],[CANTIDAD]]*MASTER[[#This Row],[COSTO UNITARIO]]</f>
        <v>392</v>
      </c>
      <c r="V3578" s="2">
        <f>MASTER[[#This Row],[MONTO VENDIDO]]-MASTER[[#This Row],[COSTO DE VENTA]]</f>
        <v>656</v>
      </c>
    </row>
    <row r="3579" spans="1:22" x14ac:dyDescent="0.3">
      <c r="A3579">
        <v>55895</v>
      </c>
      <c r="B3579">
        <v>1</v>
      </c>
      <c r="C3579" t="s">
        <v>116</v>
      </c>
      <c r="D3579" t="s">
        <v>117</v>
      </c>
      <c r="E3579" s="1">
        <v>44246</v>
      </c>
      <c r="F3579">
        <v>1</v>
      </c>
      <c r="G3579" t="s">
        <v>57</v>
      </c>
      <c r="H3579" t="s">
        <v>58</v>
      </c>
      <c r="I3579" s="3">
        <v>1738</v>
      </c>
      <c r="J3579" s="3">
        <v>1738</v>
      </c>
      <c r="K3579" s="3">
        <v>388</v>
      </c>
      <c r="L3579" t="s">
        <v>113</v>
      </c>
      <c r="M3579">
        <v>19</v>
      </c>
      <c r="N3579" t="s">
        <v>89</v>
      </c>
      <c r="O3579" t="s">
        <v>81</v>
      </c>
      <c r="P3579" t="s">
        <v>15</v>
      </c>
      <c r="Q3579" t="s">
        <v>16</v>
      </c>
      <c r="R3579" t="s">
        <v>16</v>
      </c>
      <c r="S3579" t="s">
        <v>144</v>
      </c>
      <c r="T3579" s="2">
        <f>MASTER[[#This Row],[CANTIDAD]]*MASTER[[#This Row],[PRECIO DE VENTA]]</f>
        <v>1738</v>
      </c>
      <c r="U3579" s="2">
        <f>MASTER[[#This Row],[CANTIDAD]]*MASTER[[#This Row],[COSTO UNITARIO]]</f>
        <v>388</v>
      </c>
      <c r="V3579" s="2">
        <f>MASTER[[#This Row],[MONTO VENDIDO]]-MASTER[[#This Row],[COSTO DE VENTA]]</f>
        <v>1350</v>
      </c>
    </row>
    <row r="3580" spans="1:22" x14ac:dyDescent="0.3">
      <c r="A3580">
        <v>55913</v>
      </c>
      <c r="B3580">
        <v>1</v>
      </c>
      <c r="C3580" t="s">
        <v>111</v>
      </c>
      <c r="D3580" t="s">
        <v>112</v>
      </c>
      <c r="E3580" s="1">
        <v>44246</v>
      </c>
      <c r="F3580">
        <v>1</v>
      </c>
      <c r="G3580" t="s">
        <v>7</v>
      </c>
      <c r="H3580" t="s">
        <v>8</v>
      </c>
      <c r="I3580" s="3">
        <v>1621</v>
      </c>
      <c r="J3580" s="3">
        <v>1621</v>
      </c>
      <c r="K3580" s="3">
        <v>434</v>
      </c>
      <c r="L3580" t="s">
        <v>113</v>
      </c>
      <c r="M3580">
        <v>7</v>
      </c>
      <c r="N3580" t="s">
        <v>84</v>
      </c>
      <c r="O3580" t="s">
        <v>81</v>
      </c>
      <c r="P3580" t="s">
        <v>12</v>
      </c>
      <c r="Q3580" t="s">
        <v>13</v>
      </c>
      <c r="R3580" t="s">
        <v>13</v>
      </c>
      <c r="S3580" t="s">
        <v>144</v>
      </c>
      <c r="T3580" s="2">
        <f>MASTER[[#This Row],[CANTIDAD]]*MASTER[[#This Row],[PRECIO DE VENTA]]</f>
        <v>1621</v>
      </c>
      <c r="U3580" s="2">
        <f>MASTER[[#This Row],[CANTIDAD]]*MASTER[[#This Row],[COSTO UNITARIO]]</f>
        <v>434</v>
      </c>
      <c r="V3580" s="2">
        <f>MASTER[[#This Row],[MONTO VENDIDO]]-MASTER[[#This Row],[COSTO DE VENTA]]</f>
        <v>1187</v>
      </c>
    </row>
    <row r="3581" spans="1:22" x14ac:dyDescent="0.3">
      <c r="A3581">
        <v>55944</v>
      </c>
      <c r="B3581">
        <v>2</v>
      </c>
      <c r="C3581" t="s">
        <v>99</v>
      </c>
      <c r="D3581" t="s">
        <v>100</v>
      </c>
      <c r="E3581" s="1">
        <v>44246</v>
      </c>
      <c r="F3581">
        <v>1</v>
      </c>
      <c r="G3581" t="s">
        <v>65</v>
      </c>
      <c r="H3581" t="s">
        <v>66</v>
      </c>
      <c r="I3581" s="3">
        <v>1328</v>
      </c>
      <c r="J3581" s="3">
        <v>1328</v>
      </c>
      <c r="K3581" s="3">
        <v>386</v>
      </c>
      <c r="L3581" t="s">
        <v>98</v>
      </c>
      <c r="M3581">
        <v>16</v>
      </c>
      <c r="N3581" t="s">
        <v>17</v>
      </c>
      <c r="O3581" t="s">
        <v>11</v>
      </c>
      <c r="P3581" t="s">
        <v>18</v>
      </c>
      <c r="Q3581" t="s">
        <v>19</v>
      </c>
      <c r="R3581" t="s">
        <v>138</v>
      </c>
      <c r="S3581" t="s">
        <v>144</v>
      </c>
      <c r="T3581" s="2">
        <f>MASTER[[#This Row],[CANTIDAD]]*MASTER[[#This Row],[PRECIO DE VENTA]]</f>
        <v>1328</v>
      </c>
      <c r="U3581" s="2">
        <f>MASTER[[#This Row],[CANTIDAD]]*MASTER[[#This Row],[COSTO UNITARIO]]</f>
        <v>386</v>
      </c>
      <c r="V3581" s="2">
        <f>MASTER[[#This Row],[MONTO VENDIDO]]-MASTER[[#This Row],[COSTO DE VENTA]]</f>
        <v>942</v>
      </c>
    </row>
    <row r="3582" spans="1:22" x14ac:dyDescent="0.3">
      <c r="A3582">
        <v>55944</v>
      </c>
      <c r="B3582">
        <v>1</v>
      </c>
      <c r="C3582" t="s">
        <v>103</v>
      </c>
      <c r="D3582" t="s">
        <v>104</v>
      </c>
      <c r="E3582" s="1">
        <v>44246</v>
      </c>
      <c r="F3582">
        <v>1</v>
      </c>
      <c r="G3582" t="s">
        <v>59</v>
      </c>
      <c r="H3582" t="s">
        <v>60</v>
      </c>
      <c r="I3582" s="3">
        <v>1448</v>
      </c>
      <c r="J3582" s="3">
        <v>1448</v>
      </c>
      <c r="K3582" s="3">
        <v>421</v>
      </c>
      <c r="L3582" t="s">
        <v>98</v>
      </c>
      <c r="M3582">
        <v>16</v>
      </c>
      <c r="N3582" t="s">
        <v>17</v>
      </c>
      <c r="O3582" t="s">
        <v>11</v>
      </c>
      <c r="P3582" t="s">
        <v>18</v>
      </c>
      <c r="Q3582" t="s">
        <v>19</v>
      </c>
      <c r="R3582" t="s">
        <v>138</v>
      </c>
      <c r="S3582" t="s">
        <v>144</v>
      </c>
      <c r="T3582" s="2">
        <f>MASTER[[#This Row],[CANTIDAD]]*MASTER[[#This Row],[PRECIO DE VENTA]]</f>
        <v>1448</v>
      </c>
      <c r="U3582" s="2">
        <f>MASTER[[#This Row],[CANTIDAD]]*MASTER[[#This Row],[COSTO UNITARIO]]</f>
        <v>421</v>
      </c>
      <c r="V3582" s="2">
        <f>MASTER[[#This Row],[MONTO VENDIDO]]-MASTER[[#This Row],[COSTO DE VENTA]]</f>
        <v>1027</v>
      </c>
    </row>
    <row r="3583" spans="1:22" x14ac:dyDescent="0.3">
      <c r="A3583">
        <v>55951</v>
      </c>
      <c r="B3583">
        <v>1</v>
      </c>
      <c r="C3583" t="s">
        <v>111</v>
      </c>
      <c r="D3583" t="s">
        <v>112</v>
      </c>
      <c r="E3583" s="1">
        <v>44246</v>
      </c>
      <c r="F3583">
        <v>1</v>
      </c>
      <c r="G3583" t="s">
        <v>61</v>
      </c>
      <c r="H3583" t="s">
        <v>62</v>
      </c>
      <c r="I3583" s="3">
        <v>1799</v>
      </c>
      <c r="J3583" s="3">
        <v>1799</v>
      </c>
      <c r="K3583" s="3">
        <v>434</v>
      </c>
      <c r="L3583" t="s">
        <v>113</v>
      </c>
      <c r="M3583">
        <v>3</v>
      </c>
      <c r="N3583" t="s">
        <v>69</v>
      </c>
      <c r="O3583" t="s">
        <v>70</v>
      </c>
      <c r="P3583" t="s">
        <v>71</v>
      </c>
      <c r="Q3583" t="s">
        <v>72</v>
      </c>
      <c r="R3583" t="s">
        <v>139</v>
      </c>
      <c r="S3583" t="s">
        <v>144</v>
      </c>
      <c r="T3583" s="2">
        <f>MASTER[[#This Row],[CANTIDAD]]*MASTER[[#This Row],[PRECIO DE VENTA]]</f>
        <v>1799</v>
      </c>
      <c r="U3583" s="2">
        <f>MASTER[[#This Row],[CANTIDAD]]*MASTER[[#This Row],[COSTO UNITARIO]]</f>
        <v>434</v>
      </c>
      <c r="V3583" s="2">
        <f>MASTER[[#This Row],[MONTO VENDIDO]]-MASTER[[#This Row],[COSTO DE VENTA]]</f>
        <v>1365</v>
      </c>
    </row>
    <row r="3584" spans="1:22" x14ac:dyDescent="0.3">
      <c r="A3584">
        <v>55968</v>
      </c>
      <c r="B3584">
        <v>1</v>
      </c>
      <c r="C3584" t="s">
        <v>111</v>
      </c>
      <c r="D3584" t="s">
        <v>112</v>
      </c>
      <c r="E3584" s="1">
        <v>44246</v>
      </c>
      <c r="F3584">
        <v>1</v>
      </c>
      <c r="G3584" t="s">
        <v>65</v>
      </c>
      <c r="H3584" t="s">
        <v>66</v>
      </c>
      <c r="I3584" s="3">
        <v>1799</v>
      </c>
      <c r="J3584" s="3">
        <v>1799</v>
      </c>
      <c r="K3584" s="3">
        <v>434</v>
      </c>
      <c r="L3584" t="s">
        <v>113</v>
      </c>
      <c r="M3584">
        <v>6</v>
      </c>
      <c r="N3584" t="s">
        <v>75</v>
      </c>
      <c r="O3584" t="s">
        <v>70</v>
      </c>
      <c r="P3584" t="s">
        <v>12</v>
      </c>
      <c r="Q3584" t="s">
        <v>13</v>
      </c>
      <c r="R3584" t="s">
        <v>13</v>
      </c>
      <c r="S3584" t="s">
        <v>144</v>
      </c>
      <c r="T3584" s="2">
        <f>MASTER[[#This Row],[CANTIDAD]]*MASTER[[#This Row],[PRECIO DE VENTA]]</f>
        <v>1799</v>
      </c>
      <c r="U3584" s="2">
        <f>MASTER[[#This Row],[CANTIDAD]]*MASTER[[#This Row],[COSTO UNITARIO]]</f>
        <v>434</v>
      </c>
      <c r="V3584" s="2">
        <f>MASTER[[#This Row],[MONTO VENDIDO]]-MASTER[[#This Row],[COSTO DE VENTA]]</f>
        <v>1365</v>
      </c>
    </row>
    <row r="3585" spans="1:22" x14ac:dyDescent="0.3">
      <c r="A3585">
        <v>55975</v>
      </c>
      <c r="B3585">
        <v>1</v>
      </c>
      <c r="C3585" t="s">
        <v>5</v>
      </c>
      <c r="D3585" t="s">
        <v>6</v>
      </c>
      <c r="E3585" s="1">
        <v>44246</v>
      </c>
      <c r="F3585">
        <v>1</v>
      </c>
      <c r="G3585" t="s">
        <v>37</v>
      </c>
      <c r="H3585" t="s">
        <v>38</v>
      </c>
      <c r="I3585" s="3">
        <v>1311</v>
      </c>
      <c r="J3585" s="3">
        <v>1311</v>
      </c>
      <c r="K3585" s="3">
        <v>393</v>
      </c>
      <c r="L3585" t="s">
        <v>9</v>
      </c>
      <c r="M3585">
        <v>12</v>
      </c>
      <c r="N3585" t="s">
        <v>26</v>
      </c>
      <c r="O3585" t="s">
        <v>11</v>
      </c>
      <c r="P3585" t="s">
        <v>12</v>
      </c>
      <c r="Q3585" t="s">
        <v>13</v>
      </c>
      <c r="R3585" t="s">
        <v>13</v>
      </c>
      <c r="S3585" t="s">
        <v>144</v>
      </c>
      <c r="T3585" s="2">
        <f>MASTER[[#This Row],[CANTIDAD]]*MASTER[[#This Row],[PRECIO DE VENTA]]</f>
        <v>1311</v>
      </c>
      <c r="U3585" s="2">
        <f>MASTER[[#This Row],[CANTIDAD]]*MASTER[[#This Row],[COSTO UNITARIO]]</f>
        <v>393</v>
      </c>
      <c r="V3585" s="2">
        <f>MASTER[[#This Row],[MONTO VENDIDO]]-MASTER[[#This Row],[COSTO DE VENTA]]</f>
        <v>918</v>
      </c>
    </row>
    <row r="3586" spans="1:22" x14ac:dyDescent="0.3">
      <c r="A3586">
        <v>55977</v>
      </c>
      <c r="B3586">
        <v>1</v>
      </c>
      <c r="C3586" t="s">
        <v>99</v>
      </c>
      <c r="D3586" t="s">
        <v>100</v>
      </c>
      <c r="E3586" s="1">
        <v>44246</v>
      </c>
      <c r="F3586">
        <v>1</v>
      </c>
      <c r="G3586" t="s">
        <v>22</v>
      </c>
      <c r="H3586" t="s">
        <v>23</v>
      </c>
      <c r="I3586" s="3">
        <v>1459</v>
      </c>
      <c r="J3586" s="3">
        <v>1459</v>
      </c>
      <c r="K3586" s="3">
        <v>386</v>
      </c>
      <c r="L3586" t="s">
        <v>98</v>
      </c>
      <c r="M3586">
        <v>15</v>
      </c>
      <c r="N3586" t="s">
        <v>88</v>
      </c>
      <c r="O3586" t="s">
        <v>81</v>
      </c>
      <c r="P3586" t="s">
        <v>18</v>
      </c>
      <c r="Q3586" t="s">
        <v>19</v>
      </c>
      <c r="R3586" t="s">
        <v>138</v>
      </c>
      <c r="S3586" t="s">
        <v>144</v>
      </c>
      <c r="T3586" s="2">
        <f>MASTER[[#This Row],[CANTIDAD]]*MASTER[[#This Row],[PRECIO DE VENTA]]</f>
        <v>1459</v>
      </c>
      <c r="U3586" s="2">
        <f>MASTER[[#This Row],[CANTIDAD]]*MASTER[[#This Row],[COSTO UNITARIO]]</f>
        <v>386</v>
      </c>
      <c r="V3586" s="2">
        <f>MASTER[[#This Row],[MONTO VENDIDO]]-MASTER[[#This Row],[COSTO DE VENTA]]</f>
        <v>1073</v>
      </c>
    </row>
    <row r="3587" spans="1:22" x14ac:dyDescent="0.3">
      <c r="A3587">
        <v>55978</v>
      </c>
      <c r="B3587">
        <v>1</v>
      </c>
      <c r="C3587" t="s">
        <v>107</v>
      </c>
      <c r="D3587" t="s">
        <v>108</v>
      </c>
      <c r="E3587" s="1">
        <v>44246</v>
      </c>
      <c r="F3587">
        <v>1</v>
      </c>
      <c r="G3587" t="s">
        <v>59</v>
      </c>
      <c r="H3587" t="s">
        <v>60</v>
      </c>
      <c r="I3587" s="3">
        <v>1240</v>
      </c>
      <c r="J3587" s="3">
        <v>1240</v>
      </c>
      <c r="K3587" s="3">
        <v>380</v>
      </c>
      <c r="L3587" t="s">
        <v>98</v>
      </c>
      <c r="M3587">
        <v>11</v>
      </c>
      <c r="N3587" t="s">
        <v>10</v>
      </c>
      <c r="O3587" t="s">
        <v>11</v>
      </c>
      <c r="P3587" t="s">
        <v>12</v>
      </c>
      <c r="Q3587" t="s">
        <v>13</v>
      </c>
      <c r="R3587" t="s">
        <v>13</v>
      </c>
      <c r="S3587" t="s">
        <v>144</v>
      </c>
      <c r="T3587" s="2">
        <f>MASTER[[#This Row],[CANTIDAD]]*MASTER[[#This Row],[PRECIO DE VENTA]]</f>
        <v>1240</v>
      </c>
      <c r="U3587" s="2">
        <f>MASTER[[#This Row],[CANTIDAD]]*MASTER[[#This Row],[COSTO UNITARIO]]</f>
        <v>380</v>
      </c>
      <c r="V3587" s="2">
        <f>MASTER[[#This Row],[MONTO VENDIDO]]-MASTER[[#This Row],[COSTO DE VENTA]]</f>
        <v>860</v>
      </c>
    </row>
    <row r="3588" spans="1:22" x14ac:dyDescent="0.3">
      <c r="A3588">
        <v>55993</v>
      </c>
      <c r="B3588">
        <v>1</v>
      </c>
      <c r="C3588" t="s">
        <v>103</v>
      </c>
      <c r="D3588" t="s">
        <v>104</v>
      </c>
      <c r="E3588" s="1">
        <v>44247</v>
      </c>
      <c r="F3588">
        <v>1</v>
      </c>
      <c r="G3588" t="s">
        <v>39</v>
      </c>
      <c r="H3588" t="s">
        <v>40</v>
      </c>
      <c r="I3588" s="3">
        <v>1448</v>
      </c>
      <c r="J3588" s="3">
        <v>1448</v>
      </c>
      <c r="K3588" s="3">
        <v>421</v>
      </c>
      <c r="L3588" t="s">
        <v>98</v>
      </c>
      <c r="M3588">
        <v>16</v>
      </c>
      <c r="N3588" t="s">
        <v>17</v>
      </c>
      <c r="O3588" t="s">
        <v>11</v>
      </c>
      <c r="P3588" t="s">
        <v>18</v>
      </c>
      <c r="Q3588" t="s">
        <v>19</v>
      </c>
      <c r="R3588" t="s">
        <v>138</v>
      </c>
      <c r="S3588" t="s">
        <v>144</v>
      </c>
      <c r="T3588" s="2">
        <f>MASTER[[#This Row],[CANTIDAD]]*MASTER[[#This Row],[PRECIO DE VENTA]]</f>
        <v>1448</v>
      </c>
      <c r="U3588" s="2">
        <f>MASTER[[#This Row],[CANTIDAD]]*MASTER[[#This Row],[COSTO UNITARIO]]</f>
        <v>421</v>
      </c>
      <c r="V3588" s="2">
        <f>MASTER[[#This Row],[MONTO VENDIDO]]-MASTER[[#This Row],[COSTO DE VENTA]]</f>
        <v>1027</v>
      </c>
    </row>
    <row r="3589" spans="1:22" x14ac:dyDescent="0.3">
      <c r="A3589">
        <v>56007</v>
      </c>
      <c r="B3589">
        <v>1</v>
      </c>
      <c r="C3589" t="s">
        <v>109</v>
      </c>
      <c r="D3589" t="s">
        <v>110</v>
      </c>
      <c r="E3589" s="1">
        <v>44247</v>
      </c>
      <c r="F3589">
        <v>1</v>
      </c>
      <c r="G3589" t="s">
        <v>20</v>
      </c>
      <c r="H3589" t="s">
        <v>21</v>
      </c>
      <c r="I3589" s="3">
        <v>1128</v>
      </c>
      <c r="J3589" s="3">
        <v>1128</v>
      </c>
      <c r="K3589" s="3">
        <v>387</v>
      </c>
      <c r="L3589" t="s">
        <v>98</v>
      </c>
      <c r="M3589">
        <v>3</v>
      </c>
      <c r="N3589" t="s">
        <v>69</v>
      </c>
      <c r="O3589" t="s">
        <v>70</v>
      </c>
      <c r="P3589" t="s">
        <v>71</v>
      </c>
      <c r="Q3589" t="s">
        <v>72</v>
      </c>
      <c r="R3589" t="s">
        <v>139</v>
      </c>
      <c r="S3589" t="s">
        <v>144</v>
      </c>
      <c r="T3589" s="2">
        <f>MASTER[[#This Row],[CANTIDAD]]*MASTER[[#This Row],[PRECIO DE VENTA]]</f>
        <v>1128</v>
      </c>
      <c r="U3589" s="2">
        <f>MASTER[[#This Row],[CANTIDAD]]*MASTER[[#This Row],[COSTO UNITARIO]]</f>
        <v>387</v>
      </c>
      <c r="V3589" s="2">
        <f>MASTER[[#This Row],[MONTO VENDIDO]]-MASTER[[#This Row],[COSTO DE VENTA]]</f>
        <v>741</v>
      </c>
    </row>
    <row r="3590" spans="1:22" x14ac:dyDescent="0.3">
      <c r="A3590">
        <v>56030</v>
      </c>
      <c r="B3590">
        <v>1</v>
      </c>
      <c r="C3590" t="s">
        <v>118</v>
      </c>
      <c r="D3590" t="s">
        <v>119</v>
      </c>
      <c r="E3590" s="1">
        <v>44247</v>
      </c>
      <c r="F3590">
        <v>3</v>
      </c>
      <c r="G3590" t="s">
        <v>29</v>
      </c>
      <c r="H3590" t="s">
        <v>30</v>
      </c>
      <c r="I3590" s="3">
        <v>801</v>
      </c>
      <c r="J3590" s="3">
        <v>801</v>
      </c>
      <c r="K3590" s="3">
        <v>424</v>
      </c>
      <c r="L3590" t="s">
        <v>120</v>
      </c>
      <c r="M3590">
        <v>17</v>
      </c>
      <c r="N3590" t="s">
        <v>14</v>
      </c>
      <c r="O3590" t="s">
        <v>11</v>
      </c>
      <c r="P3590" t="s">
        <v>15</v>
      </c>
      <c r="Q3590" t="s">
        <v>16</v>
      </c>
      <c r="R3590" t="s">
        <v>16</v>
      </c>
      <c r="S3590" t="s">
        <v>144</v>
      </c>
      <c r="T3590" s="2">
        <f>MASTER[[#This Row],[CANTIDAD]]*MASTER[[#This Row],[PRECIO DE VENTA]]</f>
        <v>2403</v>
      </c>
      <c r="U3590" s="2">
        <f>MASTER[[#This Row],[CANTIDAD]]*MASTER[[#This Row],[COSTO UNITARIO]]</f>
        <v>1272</v>
      </c>
      <c r="V3590" s="2">
        <f>MASTER[[#This Row],[MONTO VENDIDO]]-MASTER[[#This Row],[COSTO DE VENTA]]</f>
        <v>1131</v>
      </c>
    </row>
    <row r="3591" spans="1:22" x14ac:dyDescent="0.3">
      <c r="A3591">
        <v>56051</v>
      </c>
      <c r="B3591">
        <v>1</v>
      </c>
      <c r="C3591" t="s">
        <v>121</v>
      </c>
      <c r="D3591" t="s">
        <v>122</v>
      </c>
      <c r="E3591" s="1">
        <v>44247</v>
      </c>
      <c r="F3591">
        <v>1</v>
      </c>
      <c r="G3591" t="s">
        <v>33</v>
      </c>
      <c r="H3591" t="s">
        <v>34</v>
      </c>
      <c r="I3591" s="3">
        <v>1069</v>
      </c>
      <c r="J3591" s="3">
        <v>1069</v>
      </c>
      <c r="K3591" s="3">
        <v>460</v>
      </c>
      <c r="L3591" t="s">
        <v>120</v>
      </c>
      <c r="M3591">
        <v>19</v>
      </c>
      <c r="N3591" t="s">
        <v>89</v>
      </c>
      <c r="O3591" t="s">
        <v>81</v>
      </c>
      <c r="P3591" t="s">
        <v>15</v>
      </c>
      <c r="Q3591" t="s">
        <v>16</v>
      </c>
      <c r="R3591" t="s">
        <v>16</v>
      </c>
      <c r="S3591" t="s">
        <v>144</v>
      </c>
      <c r="T3591" s="2">
        <f>MASTER[[#This Row],[CANTIDAD]]*MASTER[[#This Row],[PRECIO DE VENTA]]</f>
        <v>1069</v>
      </c>
      <c r="U3591" s="2">
        <f>MASTER[[#This Row],[CANTIDAD]]*MASTER[[#This Row],[COSTO UNITARIO]]</f>
        <v>460</v>
      </c>
      <c r="V3591" s="2">
        <f>MASTER[[#This Row],[MONTO VENDIDO]]-MASTER[[#This Row],[COSTO DE VENTA]]</f>
        <v>609</v>
      </c>
    </row>
    <row r="3592" spans="1:22" x14ac:dyDescent="0.3">
      <c r="A3592">
        <v>56067</v>
      </c>
      <c r="B3592">
        <v>1</v>
      </c>
      <c r="C3592" t="s">
        <v>96</v>
      </c>
      <c r="D3592" t="s">
        <v>97</v>
      </c>
      <c r="E3592" s="1">
        <v>44247</v>
      </c>
      <c r="F3592">
        <v>1</v>
      </c>
      <c r="G3592" t="s">
        <v>53</v>
      </c>
      <c r="H3592" t="s">
        <v>54</v>
      </c>
      <c r="I3592" s="3">
        <v>1361</v>
      </c>
      <c r="J3592" s="3">
        <v>1361</v>
      </c>
      <c r="K3592" s="3">
        <v>397</v>
      </c>
      <c r="L3592" t="s">
        <v>98</v>
      </c>
      <c r="M3592">
        <v>3</v>
      </c>
      <c r="N3592" t="s">
        <v>69</v>
      </c>
      <c r="O3592" t="s">
        <v>70</v>
      </c>
      <c r="P3592" t="s">
        <v>71</v>
      </c>
      <c r="Q3592" t="s">
        <v>72</v>
      </c>
      <c r="R3592" t="s">
        <v>139</v>
      </c>
      <c r="S3592" t="s">
        <v>144</v>
      </c>
      <c r="T3592" s="2">
        <f>MASTER[[#This Row],[CANTIDAD]]*MASTER[[#This Row],[PRECIO DE VENTA]]</f>
        <v>1361</v>
      </c>
      <c r="U3592" s="2">
        <f>MASTER[[#This Row],[CANTIDAD]]*MASTER[[#This Row],[COSTO UNITARIO]]</f>
        <v>397</v>
      </c>
      <c r="V3592" s="2">
        <f>MASTER[[#This Row],[MONTO VENDIDO]]-MASTER[[#This Row],[COSTO DE VENTA]]</f>
        <v>964</v>
      </c>
    </row>
    <row r="3593" spans="1:22" x14ac:dyDescent="0.3">
      <c r="A3593">
        <v>56069</v>
      </c>
      <c r="B3593">
        <v>1</v>
      </c>
      <c r="C3593" t="s">
        <v>101</v>
      </c>
      <c r="D3593" t="s">
        <v>102</v>
      </c>
      <c r="E3593" s="1">
        <v>44247</v>
      </c>
      <c r="F3593">
        <v>2</v>
      </c>
      <c r="G3593" t="s">
        <v>7</v>
      </c>
      <c r="H3593" t="s">
        <v>8</v>
      </c>
      <c r="I3593" s="3">
        <v>1357</v>
      </c>
      <c r="J3593" s="3">
        <v>1357</v>
      </c>
      <c r="K3593" s="3">
        <v>442</v>
      </c>
      <c r="L3593" t="s">
        <v>98</v>
      </c>
      <c r="M3593">
        <v>6</v>
      </c>
      <c r="N3593" t="s">
        <v>75</v>
      </c>
      <c r="O3593" t="s">
        <v>70</v>
      </c>
      <c r="P3593" t="s">
        <v>12</v>
      </c>
      <c r="Q3593" t="s">
        <v>13</v>
      </c>
      <c r="R3593" t="s">
        <v>13</v>
      </c>
      <c r="S3593" t="s">
        <v>144</v>
      </c>
      <c r="T3593" s="2">
        <f>MASTER[[#This Row],[CANTIDAD]]*MASTER[[#This Row],[PRECIO DE VENTA]]</f>
        <v>2714</v>
      </c>
      <c r="U3593" s="2">
        <f>MASTER[[#This Row],[CANTIDAD]]*MASTER[[#This Row],[COSTO UNITARIO]]</f>
        <v>884</v>
      </c>
      <c r="V3593" s="2">
        <f>MASTER[[#This Row],[MONTO VENDIDO]]-MASTER[[#This Row],[COSTO DE VENTA]]</f>
        <v>1830</v>
      </c>
    </row>
    <row r="3594" spans="1:22" x14ac:dyDescent="0.3">
      <c r="A3594">
        <v>56092</v>
      </c>
      <c r="B3594">
        <v>1</v>
      </c>
      <c r="C3594" t="s">
        <v>107</v>
      </c>
      <c r="D3594" t="s">
        <v>108</v>
      </c>
      <c r="E3594" s="1">
        <v>44247</v>
      </c>
      <c r="F3594">
        <v>1</v>
      </c>
      <c r="G3594" t="s">
        <v>57</v>
      </c>
      <c r="H3594" t="s">
        <v>58</v>
      </c>
      <c r="I3594" s="3">
        <v>1333</v>
      </c>
      <c r="J3594" s="3">
        <v>1333</v>
      </c>
      <c r="K3594" s="3">
        <v>380</v>
      </c>
      <c r="L3594" t="s">
        <v>98</v>
      </c>
      <c r="M3594">
        <v>4</v>
      </c>
      <c r="N3594" t="s">
        <v>82</v>
      </c>
      <c r="O3594" t="s">
        <v>81</v>
      </c>
      <c r="P3594" t="s">
        <v>71</v>
      </c>
      <c r="Q3594" t="s">
        <v>72</v>
      </c>
      <c r="R3594" t="s">
        <v>139</v>
      </c>
      <c r="S3594" t="s">
        <v>144</v>
      </c>
      <c r="T3594" s="2">
        <f>MASTER[[#This Row],[CANTIDAD]]*MASTER[[#This Row],[PRECIO DE VENTA]]</f>
        <v>1333</v>
      </c>
      <c r="U3594" s="2">
        <f>MASTER[[#This Row],[CANTIDAD]]*MASTER[[#This Row],[COSTO UNITARIO]]</f>
        <v>380</v>
      </c>
      <c r="V3594" s="2">
        <f>MASTER[[#This Row],[MONTO VENDIDO]]-MASTER[[#This Row],[COSTO DE VENTA]]</f>
        <v>953</v>
      </c>
    </row>
    <row r="3595" spans="1:22" x14ac:dyDescent="0.3">
      <c r="A3595">
        <v>56166</v>
      </c>
      <c r="B3595">
        <v>2</v>
      </c>
      <c r="C3595" t="s">
        <v>5</v>
      </c>
      <c r="D3595" t="s">
        <v>6</v>
      </c>
      <c r="E3595" s="1">
        <v>44247</v>
      </c>
      <c r="F3595">
        <v>1</v>
      </c>
      <c r="G3595" t="s">
        <v>73</v>
      </c>
      <c r="H3595" t="s">
        <v>74</v>
      </c>
      <c r="I3595" s="3">
        <v>1296</v>
      </c>
      <c r="J3595" s="3">
        <v>1296</v>
      </c>
      <c r="K3595" s="3">
        <v>393</v>
      </c>
      <c r="L3595" t="s">
        <v>9</v>
      </c>
      <c r="M3595">
        <v>9</v>
      </c>
      <c r="N3595" t="s">
        <v>76</v>
      </c>
      <c r="O3595" t="s">
        <v>70</v>
      </c>
      <c r="P3595" t="s">
        <v>12</v>
      </c>
      <c r="Q3595" t="s">
        <v>13</v>
      </c>
      <c r="R3595" t="s">
        <v>13</v>
      </c>
      <c r="S3595" t="s">
        <v>144</v>
      </c>
      <c r="T3595" s="2">
        <f>MASTER[[#This Row],[CANTIDAD]]*MASTER[[#This Row],[PRECIO DE VENTA]]</f>
        <v>1296</v>
      </c>
      <c r="U3595" s="2">
        <f>MASTER[[#This Row],[CANTIDAD]]*MASTER[[#This Row],[COSTO UNITARIO]]</f>
        <v>393</v>
      </c>
      <c r="V3595" s="2">
        <f>MASTER[[#This Row],[MONTO VENDIDO]]-MASTER[[#This Row],[COSTO DE VENTA]]</f>
        <v>903</v>
      </c>
    </row>
    <row r="3596" spans="1:22" x14ac:dyDescent="0.3">
      <c r="A3596">
        <v>56166</v>
      </c>
      <c r="B3596">
        <v>3</v>
      </c>
      <c r="C3596" t="s">
        <v>90</v>
      </c>
      <c r="D3596" t="s">
        <v>91</v>
      </c>
      <c r="E3596" s="1">
        <v>44247</v>
      </c>
      <c r="F3596">
        <v>1</v>
      </c>
      <c r="G3596" t="s">
        <v>33</v>
      </c>
      <c r="H3596" t="s">
        <v>34</v>
      </c>
      <c r="I3596" s="3">
        <v>2102</v>
      </c>
      <c r="J3596" s="3">
        <v>2102</v>
      </c>
      <c r="K3596" s="3">
        <v>420</v>
      </c>
      <c r="L3596" t="s">
        <v>9</v>
      </c>
      <c r="M3596">
        <v>9</v>
      </c>
      <c r="N3596" t="s">
        <v>76</v>
      </c>
      <c r="O3596" t="s">
        <v>70</v>
      </c>
      <c r="P3596" t="s">
        <v>12</v>
      </c>
      <c r="Q3596" t="s">
        <v>13</v>
      </c>
      <c r="R3596" t="s">
        <v>13</v>
      </c>
      <c r="S3596" t="s">
        <v>144</v>
      </c>
      <c r="T3596" s="2">
        <f>MASTER[[#This Row],[CANTIDAD]]*MASTER[[#This Row],[PRECIO DE VENTA]]</f>
        <v>2102</v>
      </c>
      <c r="U3596" s="2">
        <f>MASTER[[#This Row],[CANTIDAD]]*MASTER[[#This Row],[COSTO UNITARIO]]</f>
        <v>420</v>
      </c>
      <c r="V3596" s="2">
        <f>MASTER[[#This Row],[MONTO VENDIDO]]-MASTER[[#This Row],[COSTO DE VENTA]]</f>
        <v>1682</v>
      </c>
    </row>
    <row r="3597" spans="1:22" x14ac:dyDescent="0.3">
      <c r="A3597">
        <v>56166</v>
      </c>
      <c r="B3597">
        <v>1</v>
      </c>
      <c r="C3597" t="s">
        <v>118</v>
      </c>
      <c r="D3597" t="s">
        <v>119</v>
      </c>
      <c r="E3597" s="1">
        <v>44247</v>
      </c>
      <c r="F3597">
        <v>1</v>
      </c>
      <c r="G3597" t="s">
        <v>39</v>
      </c>
      <c r="H3597" t="s">
        <v>40</v>
      </c>
      <c r="I3597" s="3">
        <v>1026</v>
      </c>
      <c r="J3597" s="3">
        <v>1026</v>
      </c>
      <c r="K3597" s="3">
        <v>424</v>
      </c>
      <c r="L3597" t="s">
        <v>120</v>
      </c>
      <c r="M3597">
        <v>9</v>
      </c>
      <c r="N3597" t="s">
        <v>76</v>
      </c>
      <c r="O3597" t="s">
        <v>70</v>
      </c>
      <c r="P3597" t="s">
        <v>12</v>
      </c>
      <c r="Q3597" t="s">
        <v>13</v>
      </c>
      <c r="R3597" t="s">
        <v>13</v>
      </c>
      <c r="S3597" t="s">
        <v>144</v>
      </c>
      <c r="T3597" s="2">
        <f>MASTER[[#This Row],[CANTIDAD]]*MASTER[[#This Row],[PRECIO DE VENTA]]</f>
        <v>1026</v>
      </c>
      <c r="U3597" s="2">
        <f>MASTER[[#This Row],[CANTIDAD]]*MASTER[[#This Row],[COSTO UNITARIO]]</f>
        <v>424</v>
      </c>
      <c r="V3597" s="2">
        <f>MASTER[[#This Row],[MONTO VENDIDO]]-MASTER[[#This Row],[COSTO DE VENTA]]</f>
        <v>602</v>
      </c>
    </row>
    <row r="3598" spans="1:22" x14ac:dyDescent="0.3">
      <c r="A3598">
        <v>56210</v>
      </c>
      <c r="B3598">
        <v>1</v>
      </c>
      <c r="C3598" t="s">
        <v>96</v>
      </c>
      <c r="D3598" t="s">
        <v>97</v>
      </c>
      <c r="E3598" s="1">
        <v>44247</v>
      </c>
      <c r="F3598">
        <v>1</v>
      </c>
      <c r="G3598" t="s">
        <v>39</v>
      </c>
      <c r="H3598" t="s">
        <v>40</v>
      </c>
      <c r="I3598" s="3">
        <v>1196</v>
      </c>
      <c r="J3598" s="3">
        <v>1196</v>
      </c>
      <c r="K3598" s="3">
        <v>397</v>
      </c>
      <c r="L3598" t="s">
        <v>98</v>
      </c>
      <c r="M3598">
        <v>11</v>
      </c>
      <c r="N3598" t="s">
        <v>10</v>
      </c>
      <c r="O3598" t="s">
        <v>11</v>
      </c>
      <c r="P3598" t="s">
        <v>12</v>
      </c>
      <c r="Q3598" t="s">
        <v>13</v>
      </c>
      <c r="R3598" t="s">
        <v>13</v>
      </c>
      <c r="S3598" t="s">
        <v>144</v>
      </c>
      <c r="T3598" s="2">
        <f>MASTER[[#This Row],[CANTIDAD]]*MASTER[[#This Row],[PRECIO DE VENTA]]</f>
        <v>1196</v>
      </c>
      <c r="U3598" s="2">
        <f>MASTER[[#This Row],[CANTIDAD]]*MASTER[[#This Row],[COSTO UNITARIO]]</f>
        <v>397</v>
      </c>
      <c r="V3598" s="2">
        <f>MASTER[[#This Row],[MONTO VENDIDO]]-MASTER[[#This Row],[COSTO DE VENTA]]</f>
        <v>799</v>
      </c>
    </row>
    <row r="3599" spans="1:22" x14ac:dyDescent="0.3">
      <c r="A3599">
        <v>56214</v>
      </c>
      <c r="B3599">
        <v>1</v>
      </c>
      <c r="C3599" t="s">
        <v>99</v>
      </c>
      <c r="D3599" t="s">
        <v>100</v>
      </c>
      <c r="E3599" s="1">
        <v>44247</v>
      </c>
      <c r="F3599">
        <v>1</v>
      </c>
      <c r="G3599" t="s">
        <v>22</v>
      </c>
      <c r="H3599" t="s">
        <v>23</v>
      </c>
      <c r="I3599" s="3">
        <v>1678</v>
      </c>
      <c r="J3599" s="3">
        <v>1678</v>
      </c>
      <c r="K3599" s="3">
        <v>386</v>
      </c>
      <c r="L3599" t="s">
        <v>98</v>
      </c>
      <c r="M3599">
        <v>9</v>
      </c>
      <c r="N3599" t="s">
        <v>76</v>
      </c>
      <c r="O3599" t="s">
        <v>70</v>
      </c>
      <c r="P3599" t="s">
        <v>12</v>
      </c>
      <c r="Q3599" t="s">
        <v>13</v>
      </c>
      <c r="R3599" t="s">
        <v>13</v>
      </c>
      <c r="S3599" t="s">
        <v>144</v>
      </c>
      <c r="T3599" s="2">
        <f>MASTER[[#This Row],[CANTIDAD]]*MASTER[[#This Row],[PRECIO DE VENTA]]</f>
        <v>1678</v>
      </c>
      <c r="U3599" s="2">
        <f>MASTER[[#This Row],[CANTIDAD]]*MASTER[[#This Row],[COSTO UNITARIO]]</f>
        <v>386</v>
      </c>
      <c r="V3599" s="2">
        <f>MASTER[[#This Row],[MONTO VENDIDO]]-MASTER[[#This Row],[COSTO DE VENTA]]</f>
        <v>1292</v>
      </c>
    </row>
    <row r="3600" spans="1:22" x14ac:dyDescent="0.3">
      <c r="A3600">
        <v>56216</v>
      </c>
      <c r="B3600">
        <v>1</v>
      </c>
      <c r="C3600" t="s">
        <v>107</v>
      </c>
      <c r="D3600" t="s">
        <v>108</v>
      </c>
      <c r="E3600" s="1">
        <v>44247</v>
      </c>
      <c r="F3600">
        <v>1</v>
      </c>
      <c r="G3600" t="s">
        <v>20</v>
      </c>
      <c r="H3600" t="s">
        <v>21</v>
      </c>
      <c r="I3600" s="3">
        <v>1333</v>
      </c>
      <c r="J3600" s="3">
        <v>1333</v>
      </c>
      <c r="K3600" s="3">
        <v>380</v>
      </c>
      <c r="L3600" t="s">
        <v>98</v>
      </c>
      <c r="M3600">
        <v>14</v>
      </c>
      <c r="N3600" t="s">
        <v>87</v>
      </c>
      <c r="O3600" t="s">
        <v>81</v>
      </c>
      <c r="P3600" t="s">
        <v>18</v>
      </c>
      <c r="Q3600" t="s">
        <v>19</v>
      </c>
      <c r="R3600" t="s">
        <v>138</v>
      </c>
      <c r="S3600" t="s">
        <v>144</v>
      </c>
      <c r="T3600" s="2">
        <f>MASTER[[#This Row],[CANTIDAD]]*MASTER[[#This Row],[PRECIO DE VENTA]]</f>
        <v>1333</v>
      </c>
      <c r="U3600" s="2">
        <f>MASTER[[#This Row],[CANTIDAD]]*MASTER[[#This Row],[COSTO UNITARIO]]</f>
        <v>380</v>
      </c>
      <c r="V3600" s="2">
        <f>MASTER[[#This Row],[MONTO VENDIDO]]-MASTER[[#This Row],[COSTO DE VENTA]]</f>
        <v>953</v>
      </c>
    </row>
    <row r="3601" spans="1:22" x14ac:dyDescent="0.3">
      <c r="A3601">
        <v>56240</v>
      </c>
      <c r="B3601">
        <v>1</v>
      </c>
      <c r="C3601" t="s">
        <v>111</v>
      </c>
      <c r="D3601" t="s">
        <v>112</v>
      </c>
      <c r="E3601" s="1">
        <v>44247</v>
      </c>
      <c r="F3601">
        <v>1</v>
      </c>
      <c r="G3601" t="s">
        <v>49</v>
      </c>
      <c r="H3601" t="s">
        <v>50</v>
      </c>
      <c r="I3601" s="3">
        <v>1621</v>
      </c>
      <c r="J3601" s="3">
        <v>1621</v>
      </c>
      <c r="K3601" s="3">
        <v>434</v>
      </c>
      <c r="L3601" t="s">
        <v>113</v>
      </c>
      <c r="M3601">
        <v>2</v>
      </c>
      <c r="N3601" t="s">
        <v>86</v>
      </c>
      <c r="O3601" t="s">
        <v>81</v>
      </c>
      <c r="P3601" t="s">
        <v>71</v>
      </c>
      <c r="Q3601" t="s">
        <v>72</v>
      </c>
      <c r="R3601" t="s">
        <v>139</v>
      </c>
      <c r="S3601" t="s">
        <v>144</v>
      </c>
      <c r="T3601" s="2">
        <f>MASTER[[#This Row],[CANTIDAD]]*MASTER[[#This Row],[PRECIO DE VENTA]]</f>
        <v>1621</v>
      </c>
      <c r="U3601" s="2">
        <f>MASTER[[#This Row],[CANTIDAD]]*MASTER[[#This Row],[COSTO UNITARIO]]</f>
        <v>434</v>
      </c>
      <c r="V3601" s="2">
        <f>MASTER[[#This Row],[MONTO VENDIDO]]-MASTER[[#This Row],[COSTO DE VENTA]]</f>
        <v>1187</v>
      </c>
    </row>
    <row r="3602" spans="1:22" x14ac:dyDescent="0.3">
      <c r="A3602">
        <v>56241</v>
      </c>
      <c r="B3602">
        <v>1</v>
      </c>
      <c r="C3602" t="s">
        <v>121</v>
      </c>
      <c r="D3602" t="s">
        <v>122</v>
      </c>
      <c r="E3602" s="1">
        <v>44247</v>
      </c>
      <c r="F3602">
        <v>1</v>
      </c>
      <c r="G3602" t="s">
        <v>67</v>
      </c>
      <c r="H3602" t="s">
        <v>68</v>
      </c>
      <c r="I3602" s="3">
        <v>941</v>
      </c>
      <c r="J3602" s="3">
        <v>941</v>
      </c>
      <c r="K3602" s="3">
        <v>460</v>
      </c>
      <c r="L3602" t="s">
        <v>120</v>
      </c>
      <c r="M3602">
        <v>12</v>
      </c>
      <c r="N3602" t="s">
        <v>26</v>
      </c>
      <c r="O3602" t="s">
        <v>11</v>
      </c>
      <c r="P3602" t="s">
        <v>12</v>
      </c>
      <c r="Q3602" t="s">
        <v>13</v>
      </c>
      <c r="R3602" t="s">
        <v>13</v>
      </c>
      <c r="S3602" t="s">
        <v>144</v>
      </c>
      <c r="T3602" s="2">
        <f>MASTER[[#This Row],[CANTIDAD]]*MASTER[[#This Row],[PRECIO DE VENTA]]</f>
        <v>941</v>
      </c>
      <c r="U3602" s="2">
        <f>MASTER[[#This Row],[CANTIDAD]]*MASTER[[#This Row],[COSTO UNITARIO]]</f>
        <v>460</v>
      </c>
      <c r="V3602" s="2">
        <f>MASTER[[#This Row],[MONTO VENDIDO]]-MASTER[[#This Row],[COSTO DE VENTA]]</f>
        <v>481</v>
      </c>
    </row>
    <row r="3603" spans="1:22" x14ac:dyDescent="0.3">
      <c r="A3603">
        <v>56244</v>
      </c>
      <c r="B3603">
        <v>1</v>
      </c>
      <c r="C3603" t="s">
        <v>99</v>
      </c>
      <c r="D3603" t="s">
        <v>100</v>
      </c>
      <c r="E3603" s="1">
        <v>44247</v>
      </c>
      <c r="F3603">
        <v>1</v>
      </c>
      <c r="G3603" t="s">
        <v>65</v>
      </c>
      <c r="H3603" t="s">
        <v>66</v>
      </c>
      <c r="I3603" s="3">
        <v>1678</v>
      </c>
      <c r="J3603" s="3">
        <v>1678</v>
      </c>
      <c r="K3603" s="3">
        <v>386</v>
      </c>
      <c r="L3603" t="s">
        <v>98</v>
      </c>
      <c r="M3603">
        <v>6</v>
      </c>
      <c r="N3603" t="s">
        <v>75</v>
      </c>
      <c r="O3603" t="s">
        <v>70</v>
      </c>
      <c r="P3603" t="s">
        <v>12</v>
      </c>
      <c r="Q3603" t="s">
        <v>13</v>
      </c>
      <c r="R3603" t="s">
        <v>13</v>
      </c>
      <c r="S3603" t="s">
        <v>144</v>
      </c>
      <c r="T3603" s="2">
        <f>MASTER[[#This Row],[CANTIDAD]]*MASTER[[#This Row],[PRECIO DE VENTA]]</f>
        <v>1678</v>
      </c>
      <c r="U3603" s="2">
        <f>MASTER[[#This Row],[CANTIDAD]]*MASTER[[#This Row],[COSTO UNITARIO]]</f>
        <v>386</v>
      </c>
      <c r="V3603" s="2">
        <f>MASTER[[#This Row],[MONTO VENDIDO]]-MASTER[[#This Row],[COSTO DE VENTA]]</f>
        <v>1292</v>
      </c>
    </row>
    <row r="3604" spans="1:22" x14ac:dyDescent="0.3">
      <c r="A3604">
        <v>56269</v>
      </c>
      <c r="B3604">
        <v>1</v>
      </c>
      <c r="C3604" t="s">
        <v>114</v>
      </c>
      <c r="D3604" t="s">
        <v>115</v>
      </c>
      <c r="E3604" s="1">
        <v>44248</v>
      </c>
      <c r="F3604">
        <v>1</v>
      </c>
      <c r="G3604" t="s">
        <v>35</v>
      </c>
      <c r="H3604" t="s">
        <v>36</v>
      </c>
      <c r="I3604" s="3">
        <v>1862</v>
      </c>
      <c r="J3604" s="3">
        <v>1862</v>
      </c>
      <c r="K3604" s="3">
        <v>394</v>
      </c>
      <c r="L3604" t="s">
        <v>113</v>
      </c>
      <c r="M3604">
        <v>4</v>
      </c>
      <c r="N3604" t="s">
        <v>82</v>
      </c>
      <c r="O3604" t="s">
        <v>81</v>
      </c>
      <c r="P3604" t="s">
        <v>71</v>
      </c>
      <c r="Q3604" t="s">
        <v>72</v>
      </c>
      <c r="R3604" t="s">
        <v>139</v>
      </c>
      <c r="S3604" t="s">
        <v>144</v>
      </c>
      <c r="T3604" s="2">
        <f>MASTER[[#This Row],[CANTIDAD]]*MASTER[[#This Row],[PRECIO DE VENTA]]</f>
        <v>1862</v>
      </c>
      <c r="U3604" s="2">
        <f>MASTER[[#This Row],[CANTIDAD]]*MASTER[[#This Row],[COSTO UNITARIO]]</f>
        <v>394</v>
      </c>
      <c r="V3604" s="2">
        <f>MASTER[[#This Row],[MONTO VENDIDO]]-MASTER[[#This Row],[COSTO DE VENTA]]</f>
        <v>1468</v>
      </c>
    </row>
    <row r="3605" spans="1:22" x14ac:dyDescent="0.3">
      <c r="A3605">
        <v>56272</v>
      </c>
      <c r="B3605">
        <v>1</v>
      </c>
      <c r="C3605" t="s">
        <v>101</v>
      </c>
      <c r="D3605" t="s">
        <v>102</v>
      </c>
      <c r="E3605" s="1">
        <v>44248</v>
      </c>
      <c r="F3605">
        <v>1</v>
      </c>
      <c r="G3605" t="s">
        <v>33</v>
      </c>
      <c r="H3605" t="s">
        <v>34</v>
      </c>
      <c r="I3605" s="3">
        <v>1357</v>
      </c>
      <c r="J3605" s="3">
        <v>1289</v>
      </c>
      <c r="K3605" s="3">
        <v>442</v>
      </c>
      <c r="L3605" t="s">
        <v>98</v>
      </c>
      <c r="M3605">
        <v>13</v>
      </c>
      <c r="N3605" t="s">
        <v>78</v>
      </c>
      <c r="O3605" t="s">
        <v>70</v>
      </c>
      <c r="P3605" t="s">
        <v>18</v>
      </c>
      <c r="Q3605" t="s">
        <v>19</v>
      </c>
      <c r="R3605" t="s">
        <v>138</v>
      </c>
      <c r="S3605" t="s">
        <v>144</v>
      </c>
      <c r="T3605" s="2">
        <f>MASTER[[#This Row],[CANTIDAD]]*MASTER[[#This Row],[PRECIO DE VENTA]]</f>
        <v>1289</v>
      </c>
      <c r="U3605" s="2">
        <f>MASTER[[#This Row],[CANTIDAD]]*MASTER[[#This Row],[COSTO UNITARIO]]</f>
        <v>442</v>
      </c>
      <c r="V3605" s="2">
        <f>MASTER[[#This Row],[MONTO VENDIDO]]-MASTER[[#This Row],[COSTO DE VENTA]]</f>
        <v>847</v>
      </c>
    </row>
    <row r="3606" spans="1:22" x14ac:dyDescent="0.3">
      <c r="A3606">
        <v>56274</v>
      </c>
      <c r="B3606">
        <v>1</v>
      </c>
      <c r="C3606" t="s">
        <v>107</v>
      </c>
      <c r="D3606" t="s">
        <v>108</v>
      </c>
      <c r="E3606" s="1">
        <v>44248</v>
      </c>
      <c r="F3606">
        <v>1</v>
      </c>
      <c r="G3606" t="s">
        <v>29</v>
      </c>
      <c r="H3606" t="s">
        <v>30</v>
      </c>
      <c r="I3606" s="3">
        <v>1333</v>
      </c>
      <c r="J3606" s="3">
        <v>1333</v>
      </c>
      <c r="K3606" s="3">
        <v>380</v>
      </c>
      <c r="L3606" t="s">
        <v>98</v>
      </c>
      <c r="M3606">
        <v>14</v>
      </c>
      <c r="N3606" t="s">
        <v>87</v>
      </c>
      <c r="O3606" t="s">
        <v>81</v>
      </c>
      <c r="P3606" t="s">
        <v>18</v>
      </c>
      <c r="Q3606" t="s">
        <v>19</v>
      </c>
      <c r="R3606" t="s">
        <v>138</v>
      </c>
      <c r="S3606" t="s">
        <v>144</v>
      </c>
      <c r="T3606" s="2">
        <f>MASTER[[#This Row],[CANTIDAD]]*MASTER[[#This Row],[PRECIO DE VENTA]]</f>
        <v>1333</v>
      </c>
      <c r="U3606" s="2">
        <f>MASTER[[#This Row],[CANTIDAD]]*MASTER[[#This Row],[COSTO UNITARIO]]</f>
        <v>380</v>
      </c>
      <c r="V3606" s="2">
        <f>MASTER[[#This Row],[MONTO VENDIDO]]-MASTER[[#This Row],[COSTO DE VENTA]]</f>
        <v>953</v>
      </c>
    </row>
    <row r="3607" spans="1:22" x14ac:dyDescent="0.3">
      <c r="A3607">
        <v>56283</v>
      </c>
      <c r="B3607">
        <v>1</v>
      </c>
      <c r="C3607" t="s">
        <v>103</v>
      </c>
      <c r="D3607" t="s">
        <v>104</v>
      </c>
      <c r="E3607" s="1">
        <v>44248</v>
      </c>
      <c r="F3607">
        <v>1</v>
      </c>
      <c r="G3607" t="s">
        <v>59</v>
      </c>
      <c r="H3607" t="s">
        <v>60</v>
      </c>
      <c r="I3607" s="3">
        <v>1591</v>
      </c>
      <c r="J3607" s="3">
        <v>1479</v>
      </c>
      <c r="K3607" s="3">
        <v>421</v>
      </c>
      <c r="L3607" t="s">
        <v>98</v>
      </c>
      <c r="M3607">
        <v>4</v>
      </c>
      <c r="N3607" t="s">
        <v>82</v>
      </c>
      <c r="O3607" t="s">
        <v>81</v>
      </c>
      <c r="P3607" t="s">
        <v>71</v>
      </c>
      <c r="Q3607" t="s">
        <v>72</v>
      </c>
      <c r="R3607" t="s">
        <v>139</v>
      </c>
      <c r="S3607" t="s">
        <v>144</v>
      </c>
      <c r="T3607" s="2">
        <f>MASTER[[#This Row],[CANTIDAD]]*MASTER[[#This Row],[PRECIO DE VENTA]]</f>
        <v>1479</v>
      </c>
      <c r="U3607" s="2">
        <f>MASTER[[#This Row],[CANTIDAD]]*MASTER[[#This Row],[COSTO UNITARIO]]</f>
        <v>421</v>
      </c>
      <c r="V3607" s="2">
        <f>MASTER[[#This Row],[MONTO VENDIDO]]-MASTER[[#This Row],[COSTO DE VENTA]]</f>
        <v>1058</v>
      </c>
    </row>
    <row r="3608" spans="1:22" x14ac:dyDescent="0.3">
      <c r="A3608">
        <v>56293</v>
      </c>
      <c r="B3608">
        <v>1</v>
      </c>
      <c r="C3608" t="s">
        <v>111</v>
      </c>
      <c r="D3608" t="s">
        <v>112</v>
      </c>
      <c r="E3608" s="1">
        <v>44248</v>
      </c>
      <c r="F3608">
        <v>1</v>
      </c>
      <c r="G3608" t="s">
        <v>31</v>
      </c>
      <c r="H3608" t="s">
        <v>32</v>
      </c>
      <c r="I3608" s="3">
        <v>1621</v>
      </c>
      <c r="J3608" s="3">
        <v>1621</v>
      </c>
      <c r="K3608" s="3">
        <v>434</v>
      </c>
      <c r="L3608" t="s">
        <v>113</v>
      </c>
      <c r="M3608">
        <v>10</v>
      </c>
      <c r="N3608" t="s">
        <v>83</v>
      </c>
      <c r="O3608" t="s">
        <v>81</v>
      </c>
      <c r="P3608" t="s">
        <v>12</v>
      </c>
      <c r="Q3608" t="s">
        <v>13</v>
      </c>
      <c r="R3608" t="s">
        <v>13</v>
      </c>
      <c r="S3608" t="s">
        <v>144</v>
      </c>
      <c r="T3608" s="2">
        <f>MASTER[[#This Row],[CANTIDAD]]*MASTER[[#This Row],[PRECIO DE VENTA]]</f>
        <v>1621</v>
      </c>
      <c r="U3608" s="2">
        <f>MASTER[[#This Row],[CANTIDAD]]*MASTER[[#This Row],[COSTO UNITARIO]]</f>
        <v>434</v>
      </c>
      <c r="V3608" s="2">
        <f>MASTER[[#This Row],[MONTO VENDIDO]]-MASTER[[#This Row],[COSTO DE VENTA]]</f>
        <v>1187</v>
      </c>
    </row>
    <row r="3609" spans="1:22" x14ac:dyDescent="0.3">
      <c r="A3609">
        <v>56301</v>
      </c>
      <c r="B3609">
        <v>1</v>
      </c>
      <c r="C3609" t="s">
        <v>114</v>
      </c>
      <c r="D3609" t="s">
        <v>115</v>
      </c>
      <c r="E3609" s="1">
        <v>44248</v>
      </c>
      <c r="F3609">
        <v>1</v>
      </c>
      <c r="G3609" t="s">
        <v>39</v>
      </c>
      <c r="H3609" t="s">
        <v>40</v>
      </c>
      <c r="I3609" s="3">
        <v>2030</v>
      </c>
      <c r="J3609" s="3">
        <v>2030</v>
      </c>
      <c r="K3609" s="3">
        <v>394</v>
      </c>
      <c r="L3609" t="s">
        <v>113</v>
      </c>
      <c r="M3609">
        <v>9</v>
      </c>
      <c r="N3609" t="s">
        <v>76</v>
      </c>
      <c r="O3609" t="s">
        <v>70</v>
      </c>
      <c r="P3609" t="s">
        <v>12</v>
      </c>
      <c r="Q3609" t="s">
        <v>13</v>
      </c>
      <c r="R3609" t="s">
        <v>13</v>
      </c>
      <c r="S3609" t="s">
        <v>144</v>
      </c>
      <c r="T3609" s="2">
        <f>MASTER[[#This Row],[CANTIDAD]]*MASTER[[#This Row],[PRECIO DE VENTA]]</f>
        <v>2030</v>
      </c>
      <c r="U3609" s="2">
        <f>MASTER[[#This Row],[CANTIDAD]]*MASTER[[#This Row],[COSTO UNITARIO]]</f>
        <v>394</v>
      </c>
      <c r="V3609" s="2">
        <f>MASTER[[#This Row],[MONTO VENDIDO]]-MASTER[[#This Row],[COSTO DE VENTA]]</f>
        <v>1636</v>
      </c>
    </row>
    <row r="3610" spans="1:22" x14ac:dyDescent="0.3">
      <c r="A3610">
        <v>56319</v>
      </c>
      <c r="B3610">
        <v>1</v>
      </c>
      <c r="C3610" t="s">
        <v>90</v>
      </c>
      <c r="D3610" t="s">
        <v>91</v>
      </c>
      <c r="E3610" s="1">
        <v>44248</v>
      </c>
      <c r="F3610">
        <v>1</v>
      </c>
      <c r="G3610" t="s">
        <v>73</v>
      </c>
      <c r="H3610" t="s">
        <v>74</v>
      </c>
      <c r="I3610" s="3">
        <v>1660</v>
      </c>
      <c r="J3610" s="3">
        <v>1660</v>
      </c>
      <c r="K3610" s="3">
        <v>420</v>
      </c>
      <c r="L3610" t="s">
        <v>9</v>
      </c>
      <c r="M3610">
        <v>17</v>
      </c>
      <c r="N3610" t="s">
        <v>14</v>
      </c>
      <c r="O3610" t="s">
        <v>11</v>
      </c>
      <c r="P3610" t="s">
        <v>15</v>
      </c>
      <c r="Q3610" t="s">
        <v>16</v>
      </c>
      <c r="R3610" t="s">
        <v>16</v>
      </c>
      <c r="S3610" t="s">
        <v>144</v>
      </c>
      <c r="T3610" s="2">
        <f>MASTER[[#This Row],[CANTIDAD]]*MASTER[[#This Row],[PRECIO DE VENTA]]</f>
        <v>1660</v>
      </c>
      <c r="U3610" s="2">
        <f>MASTER[[#This Row],[CANTIDAD]]*MASTER[[#This Row],[COSTO UNITARIO]]</f>
        <v>420</v>
      </c>
      <c r="V3610" s="2">
        <f>MASTER[[#This Row],[MONTO VENDIDO]]-MASTER[[#This Row],[COSTO DE VENTA]]</f>
        <v>1240</v>
      </c>
    </row>
    <row r="3611" spans="1:22" x14ac:dyDescent="0.3">
      <c r="A3611">
        <v>56345</v>
      </c>
      <c r="B3611">
        <v>1</v>
      </c>
      <c r="C3611" t="s">
        <v>118</v>
      </c>
      <c r="D3611" t="s">
        <v>119</v>
      </c>
      <c r="E3611" s="1">
        <v>44248</v>
      </c>
      <c r="F3611">
        <v>1</v>
      </c>
      <c r="G3611" t="s">
        <v>24</v>
      </c>
      <c r="H3611" t="s">
        <v>25</v>
      </c>
      <c r="I3611" s="3">
        <v>900</v>
      </c>
      <c r="J3611" s="3">
        <v>900</v>
      </c>
      <c r="K3611" s="3">
        <v>424</v>
      </c>
      <c r="L3611" t="s">
        <v>120</v>
      </c>
      <c r="M3611">
        <v>10</v>
      </c>
      <c r="N3611" t="s">
        <v>83</v>
      </c>
      <c r="O3611" t="s">
        <v>81</v>
      </c>
      <c r="P3611" t="s">
        <v>12</v>
      </c>
      <c r="Q3611" t="s">
        <v>13</v>
      </c>
      <c r="R3611" t="s">
        <v>13</v>
      </c>
      <c r="S3611" t="s">
        <v>144</v>
      </c>
      <c r="T3611" s="2">
        <f>MASTER[[#This Row],[CANTIDAD]]*MASTER[[#This Row],[PRECIO DE VENTA]]</f>
        <v>900</v>
      </c>
      <c r="U3611" s="2">
        <f>MASTER[[#This Row],[CANTIDAD]]*MASTER[[#This Row],[COSTO UNITARIO]]</f>
        <v>424</v>
      </c>
      <c r="V3611" s="2">
        <f>MASTER[[#This Row],[MONTO VENDIDO]]-MASTER[[#This Row],[COSTO DE VENTA]]</f>
        <v>476</v>
      </c>
    </row>
    <row r="3612" spans="1:22" x14ac:dyDescent="0.3">
      <c r="A3612">
        <v>56369</v>
      </c>
      <c r="B3612">
        <v>1</v>
      </c>
      <c r="C3612" t="s">
        <v>121</v>
      </c>
      <c r="D3612" t="s">
        <v>122</v>
      </c>
      <c r="E3612" s="1">
        <v>44248</v>
      </c>
      <c r="F3612">
        <v>1</v>
      </c>
      <c r="G3612" t="s">
        <v>27</v>
      </c>
      <c r="H3612" t="s">
        <v>28</v>
      </c>
      <c r="I3612" s="3">
        <v>1144</v>
      </c>
      <c r="J3612" s="3">
        <v>1144</v>
      </c>
      <c r="K3612" s="3">
        <v>460</v>
      </c>
      <c r="L3612" t="s">
        <v>120</v>
      </c>
      <c r="M3612">
        <v>18</v>
      </c>
      <c r="N3612" t="s">
        <v>79</v>
      </c>
      <c r="O3612" t="s">
        <v>70</v>
      </c>
      <c r="P3612" t="s">
        <v>15</v>
      </c>
      <c r="Q3612" t="s">
        <v>16</v>
      </c>
      <c r="R3612" t="s">
        <v>16</v>
      </c>
      <c r="S3612" t="s">
        <v>144</v>
      </c>
      <c r="T3612" s="2">
        <f>MASTER[[#This Row],[CANTIDAD]]*MASTER[[#This Row],[PRECIO DE VENTA]]</f>
        <v>1144</v>
      </c>
      <c r="U3612" s="2">
        <f>MASTER[[#This Row],[CANTIDAD]]*MASTER[[#This Row],[COSTO UNITARIO]]</f>
        <v>460</v>
      </c>
      <c r="V3612" s="2">
        <f>MASTER[[#This Row],[MONTO VENDIDO]]-MASTER[[#This Row],[COSTO DE VENTA]]</f>
        <v>684</v>
      </c>
    </row>
    <row r="3613" spans="1:22" x14ac:dyDescent="0.3">
      <c r="A3613">
        <v>56371</v>
      </c>
      <c r="B3613">
        <v>1</v>
      </c>
      <c r="C3613" t="s">
        <v>90</v>
      </c>
      <c r="D3613" t="s">
        <v>91</v>
      </c>
      <c r="E3613" s="1">
        <v>44248</v>
      </c>
      <c r="F3613">
        <v>1</v>
      </c>
      <c r="G3613" t="s">
        <v>27</v>
      </c>
      <c r="H3613" t="s">
        <v>28</v>
      </c>
      <c r="I3613" s="3">
        <v>2102</v>
      </c>
      <c r="J3613" s="3">
        <v>2102</v>
      </c>
      <c r="K3613" s="3">
        <v>420</v>
      </c>
      <c r="L3613" t="s">
        <v>9</v>
      </c>
      <c r="M3613">
        <v>18</v>
      </c>
      <c r="N3613" t="s">
        <v>79</v>
      </c>
      <c r="O3613" t="s">
        <v>70</v>
      </c>
      <c r="P3613" t="s">
        <v>15</v>
      </c>
      <c r="Q3613" t="s">
        <v>16</v>
      </c>
      <c r="R3613" t="s">
        <v>16</v>
      </c>
      <c r="S3613" t="s">
        <v>144</v>
      </c>
      <c r="T3613" s="2">
        <f>MASTER[[#This Row],[CANTIDAD]]*MASTER[[#This Row],[PRECIO DE VENTA]]</f>
        <v>2102</v>
      </c>
      <c r="U3613" s="2">
        <f>MASTER[[#This Row],[CANTIDAD]]*MASTER[[#This Row],[COSTO UNITARIO]]</f>
        <v>420</v>
      </c>
      <c r="V3613" s="2">
        <f>MASTER[[#This Row],[MONTO VENDIDO]]-MASTER[[#This Row],[COSTO DE VENTA]]</f>
        <v>1682</v>
      </c>
    </row>
    <row r="3614" spans="1:22" x14ac:dyDescent="0.3">
      <c r="A3614">
        <v>56373</v>
      </c>
      <c r="B3614">
        <v>1</v>
      </c>
      <c r="C3614" t="s">
        <v>116</v>
      </c>
      <c r="D3614" t="s">
        <v>117</v>
      </c>
      <c r="E3614" s="1">
        <v>44249</v>
      </c>
      <c r="F3614">
        <v>1</v>
      </c>
      <c r="G3614" t="s">
        <v>51</v>
      </c>
      <c r="H3614" t="s">
        <v>52</v>
      </c>
      <c r="I3614" s="3">
        <v>1738</v>
      </c>
      <c r="J3614" s="3">
        <v>1668</v>
      </c>
      <c r="K3614" s="3">
        <v>388</v>
      </c>
      <c r="L3614" t="s">
        <v>113</v>
      </c>
      <c r="M3614">
        <v>5</v>
      </c>
      <c r="N3614" t="s">
        <v>85</v>
      </c>
      <c r="O3614" t="s">
        <v>81</v>
      </c>
      <c r="P3614" t="s">
        <v>12</v>
      </c>
      <c r="Q3614" t="s">
        <v>13</v>
      </c>
      <c r="R3614" t="s">
        <v>13</v>
      </c>
      <c r="S3614" t="s">
        <v>144</v>
      </c>
      <c r="T3614" s="2">
        <f>MASTER[[#This Row],[CANTIDAD]]*MASTER[[#This Row],[PRECIO DE VENTA]]</f>
        <v>1668</v>
      </c>
      <c r="U3614" s="2">
        <f>MASTER[[#This Row],[CANTIDAD]]*MASTER[[#This Row],[COSTO UNITARIO]]</f>
        <v>388</v>
      </c>
      <c r="V3614" s="2">
        <f>MASTER[[#This Row],[MONTO VENDIDO]]-MASTER[[#This Row],[COSTO DE VENTA]]</f>
        <v>1280</v>
      </c>
    </row>
    <row r="3615" spans="1:22" x14ac:dyDescent="0.3">
      <c r="A3615">
        <v>56387</v>
      </c>
      <c r="B3615">
        <v>1</v>
      </c>
      <c r="C3615" t="s">
        <v>99</v>
      </c>
      <c r="D3615" t="s">
        <v>100</v>
      </c>
      <c r="E3615" s="1">
        <v>44249</v>
      </c>
      <c r="F3615">
        <v>1</v>
      </c>
      <c r="G3615" t="s">
        <v>49</v>
      </c>
      <c r="H3615" t="s">
        <v>50</v>
      </c>
      <c r="I3615" s="3">
        <v>1459</v>
      </c>
      <c r="J3615" s="3">
        <v>1459</v>
      </c>
      <c r="K3615" s="3">
        <v>386</v>
      </c>
      <c r="L3615" t="s">
        <v>98</v>
      </c>
      <c r="M3615">
        <v>7</v>
      </c>
      <c r="N3615" t="s">
        <v>84</v>
      </c>
      <c r="O3615" t="s">
        <v>81</v>
      </c>
      <c r="P3615" t="s">
        <v>12</v>
      </c>
      <c r="Q3615" t="s">
        <v>13</v>
      </c>
      <c r="R3615" t="s">
        <v>13</v>
      </c>
      <c r="S3615" t="s">
        <v>144</v>
      </c>
      <c r="T3615" s="2">
        <f>MASTER[[#This Row],[CANTIDAD]]*MASTER[[#This Row],[PRECIO DE VENTA]]</f>
        <v>1459</v>
      </c>
      <c r="U3615" s="2">
        <f>MASTER[[#This Row],[CANTIDAD]]*MASTER[[#This Row],[COSTO UNITARIO]]</f>
        <v>386</v>
      </c>
      <c r="V3615" s="2">
        <f>MASTER[[#This Row],[MONTO VENDIDO]]-MASTER[[#This Row],[COSTO DE VENTA]]</f>
        <v>1073</v>
      </c>
    </row>
    <row r="3616" spans="1:22" x14ac:dyDescent="0.3">
      <c r="A3616">
        <v>56388</v>
      </c>
      <c r="B3616">
        <v>1</v>
      </c>
      <c r="C3616" t="s">
        <v>109</v>
      </c>
      <c r="D3616" t="s">
        <v>110</v>
      </c>
      <c r="E3616" s="1">
        <v>44249</v>
      </c>
      <c r="F3616">
        <v>1</v>
      </c>
      <c r="G3616" t="s">
        <v>24</v>
      </c>
      <c r="H3616" t="s">
        <v>25</v>
      </c>
      <c r="I3616" s="3">
        <v>1064</v>
      </c>
      <c r="J3616" s="3">
        <v>1064</v>
      </c>
      <c r="K3616" s="3">
        <v>387</v>
      </c>
      <c r="L3616" t="s">
        <v>98</v>
      </c>
      <c r="M3616">
        <v>8</v>
      </c>
      <c r="N3616" t="s">
        <v>80</v>
      </c>
      <c r="O3616" t="s">
        <v>81</v>
      </c>
      <c r="P3616" t="s">
        <v>12</v>
      </c>
      <c r="Q3616" t="s">
        <v>13</v>
      </c>
      <c r="R3616" t="s">
        <v>13</v>
      </c>
      <c r="S3616" t="s">
        <v>144</v>
      </c>
      <c r="T3616" s="2">
        <f>MASTER[[#This Row],[CANTIDAD]]*MASTER[[#This Row],[PRECIO DE VENTA]]</f>
        <v>1064</v>
      </c>
      <c r="U3616" s="2">
        <f>MASTER[[#This Row],[CANTIDAD]]*MASTER[[#This Row],[COSTO UNITARIO]]</f>
        <v>387</v>
      </c>
      <c r="V3616" s="2">
        <f>MASTER[[#This Row],[MONTO VENDIDO]]-MASTER[[#This Row],[COSTO DE VENTA]]</f>
        <v>677</v>
      </c>
    </row>
    <row r="3617" spans="1:22" x14ac:dyDescent="0.3">
      <c r="A3617">
        <v>56403</v>
      </c>
      <c r="B3617">
        <v>1</v>
      </c>
      <c r="C3617" t="s">
        <v>107</v>
      </c>
      <c r="D3617" t="s">
        <v>108</v>
      </c>
      <c r="E3617" s="1">
        <v>44249</v>
      </c>
      <c r="F3617">
        <v>1</v>
      </c>
      <c r="G3617" t="s">
        <v>57</v>
      </c>
      <c r="H3617" t="s">
        <v>58</v>
      </c>
      <c r="I3617" s="3">
        <v>1440</v>
      </c>
      <c r="J3617" s="3">
        <v>1440</v>
      </c>
      <c r="K3617" s="3">
        <v>380</v>
      </c>
      <c r="L3617" t="s">
        <v>98</v>
      </c>
      <c r="M3617">
        <v>6</v>
      </c>
      <c r="N3617" t="s">
        <v>75</v>
      </c>
      <c r="O3617" t="s">
        <v>70</v>
      </c>
      <c r="P3617" t="s">
        <v>12</v>
      </c>
      <c r="Q3617" t="s">
        <v>13</v>
      </c>
      <c r="R3617" t="s">
        <v>13</v>
      </c>
      <c r="S3617" t="s">
        <v>144</v>
      </c>
      <c r="T3617" s="2">
        <f>MASTER[[#This Row],[CANTIDAD]]*MASTER[[#This Row],[PRECIO DE VENTA]]</f>
        <v>1440</v>
      </c>
      <c r="U3617" s="2">
        <f>MASTER[[#This Row],[CANTIDAD]]*MASTER[[#This Row],[COSTO UNITARIO]]</f>
        <v>380</v>
      </c>
      <c r="V3617" s="2">
        <f>MASTER[[#This Row],[MONTO VENDIDO]]-MASTER[[#This Row],[COSTO DE VENTA]]</f>
        <v>1060</v>
      </c>
    </row>
    <row r="3618" spans="1:22" x14ac:dyDescent="0.3">
      <c r="A3618">
        <v>56418</v>
      </c>
      <c r="B3618">
        <v>1</v>
      </c>
      <c r="C3618" t="s">
        <v>111</v>
      </c>
      <c r="D3618" t="s">
        <v>112</v>
      </c>
      <c r="E3618" s="1">
        <v>44249</v>
      </c>
      <c r="F3618">
        <v>1</v>
      </c>
      <c r="G3618" t="s">
        <v>67</v>
      </c>
      <c r="H3618" t="s">
        <v>68</v>
      </c>
      <c r="I3618" s="3">
        <v>1799</v>
      </c>
      <c r="J3618" s="3">
        <v>1799</v>
      </c>
      <c r="K3618" s="3">
        <v>434</v>
      </c>
      <c r="L3618" t="s">
        <v>113</v>
      </c>
      <c r="M3618">
        <v>9</v>
      </c>
      <c r="N3618" t="s">
        <v>76</v>
      </c>
      <c r="O3618" t="s">
        <v>70</v>
      </c>
      <c r="P3618" t="s">
        <v>12</v>
      </c>
      <c r="Q3618" t="s">
        <v>13</v>
      </c>
      <c r="R3618" t="s">
        <v>13</v>
      </c>
      <c r="S3618" t="s">
        <v>144</v>
      </c>
      <c r="T3618" s="2">
        <f>MASTER[[#This Row],[CANTIDAD]]*MASTER[[#This Row],[PRECIO DE VENTA]]</f>
        <v>1799</v>
      </c>
      <c r="U3618" s="2">
        <f>MASTER[[#This Row],[CANTIDAD]]*MASTER[[#This Row],[COSTO UNITARIO]]</f>
        <v>434</v>
      </c>
      <c r="V3618" s="2">
        <f>MASTER[[#This Row],[MONTO VENDIDO]]-MASTER[[#This Row],[COSTO DE VENTA]]</f>
        <v>1365</v>
      </c>
    </row>
    <row r="3619" spans="1:22" x14ac:dyDescent="0.3">
      <c r="A3619">
        <v>56423</v>
      </c>
      <c r="B3619">
        <v>1</v>
      </c>
      <c r="C3619" t="s">
        <v>105</v>
      </c>
      <c r="D3619" t="s">
        <v>106</v>
      </c>
      <c r="E3619" s="1">
        <v>44249</v>
      </c>
      <c r="F3619">
        <v>1</v>
      </c>
      <c r="G3619" t="s">
        <v>47</v>
      </c>
      <c r="H3619" t="s">
        <v>48</v>
      </c>
      <c r="I3619" s="3">
        <v>1865</v>
      </c>
      <c r="J3619" s="3">
        <v>1865</v>
      </c>
      <c r="K3619" s="3">
        <v>459</v>
      </c>
      <c r="L3619" t="s">
        <v>98</v>
      </c>
      <c r="M3619">
        <v>10</v>
      </c>
      <c r="N3619" t="s">
        <v>83</v>
      </c>
      <c r="O3619" t="s">
        <v>81</v>
      </c>
      <c r="P3619" t="s">
        <v>12</v>
      </c>
      <c r="Q3619" t="s">
        <v>13</v>
      </c>
      <c r="R3619" t="s">
        <v>13</v>
      </c>
      <c r="S3619" t="s">
        <v>144</v>
      </c>
      <c r="T3619" s="2">
        <f>MASTER[[#This Row],[CANTIDAD]]*MASTER[[#This Row],[PRECIO DE VENTA]]</f>
        <v>1865</v>
      </c>
      <c r="U3619" s="2">
        <f>MASTER[[#This Row],[CANTIDAD]]*MASTER[[#This Row],[COSTO UNITARIO]]</f>
        <v>459</v>
      </c>
      <c r="V3619" s="2">
        <f>MASTER[[#This Row],[MONTO VENDIDO]]-MASTER[[#This Row],[COSTO DE VENTA]]</f>
        <v>1406</v>
      </c>
    </row>
    <row r="3620" spans="1:22" x14ac:dyDescent="0.3">
      <c r="A3620">
        <v>56426</v>
      </c>
      <c r="B3620">
        <v>1</v>
      </c>
      <c r="C3620" t="s">
        <v>96</v>
      </c>
      <c r="D3620" t="s">
        <v>97</v>
      </c>
      <c r="E3620" s="1">
        <v>44249</v>
      </c>
      <c r="F3620">
        <v>1</v>
      </c>
      <c r="G3620" t="s">
        <v>51</v>
      </c>
      <c r="H3620" t="s">
        <v>52</v>
      </c>
      <c r="I3620" s="3">
        <v>1272</v>
      </c>
      <c r="J3620" s="3">
        <v>1272</v>
      </c>
      <c r="K3620" s="3">
        <v>397</v>
      </c>
      <c r="L3620" t="s">
        <v>98</v>
      </c>
      <c r="M3620">
        <v>4</v>
      </c>
      <c r="N3620" t="s">
        <v>82</v>
      </c>
      <c r="O3620" t="s">
        <v>81</v>
      </c>
      <c r="P3620" t="s">
        <v>71</v>
      </c>
      <c r="Q3620" t="s">
        <v>72</v>
      </c>
      <c r="R3620" t="s">
        <v>139</v>
      </c>
      <c r="S3620" t="s">
        <v>144</v>
      </c>
      <c r="T3620" s="2">
        <f>MASTER[[#This Row],[CANTIDAD]]*MASTER[[#This Row],[PRECIO DE VENTA]]</f>
        <v>1272</v>
      </c>
      <c r="U3620" s="2">
        <f>MASTER[[#This Row],[CANTIDAD]]*MASTER[[#This Row],[COSTO UNITARIO]]</f>
        <v>397</v>
      </c>
      <c r="V3620" s="2">
        <f>MASTER[[#This Row],[MONTO VENDIDO]]-MASTER[[#This Row],[COSTO DE VENTA]]</f>
        <v>875</v>
      </c>
    </row>
    <row r="3621" spans="1:22" x14ac:dyDescent="0.3">
      <c r="A3621">
        <v>56461</v>
      </c>
      <c r="B3621">
        <v>1</v>
      </c>
      <c r="C3621" t="s">
        <v>94</v>
      </c>
      <c r="D3621" t="s">
        <v>95</v>
      </c>
      <c r="E3621" s="1">
        <v>44249</v>
      </c>
      <c r="F3621">
        <v>1</v>
      </c>
      <c r="G3621" t="s">
        <v>73</v>
      </c>
      <c r="H3621" t="s">
        <v>74</v>
      </c>
      <c r="I3621" s="3">
        <v>1048</v>
      </c>
      <c r="J3621" s="3">
        <v>1048</v>
      </c>
      <c r="K3621" s="3">
        <v>392</v>
      </c>
      <c r="L3621" t="s">
        <v>9</v>
      </c>
      <c r="M3621">
        <v>14</v>
      </c>
      <c r="N3621" t="s">
        <v>87</v>
      </c>
      <c r="O3621" t="s">
        <v>81</v>
      </c>
      <c r="P3621" t="s">
        <v>18</v>
      </c>
      <c r="Q3621" t="s">
        <v>19</v>
      </c>
      <c r="R3621" t="s">
        <v>138</v>
      </c>
      <c r="S3621" t="s">
        <v>144</v>
      </c>
      <c r="T3621" s="2">
        <f>MASTER[[#This Row],[CANTIDAD]]*MASTER[[#This Row],[PRECIO DE VENTA]]</f>
        <v>1048</v>
      </c>
      <c r="U3621" s="2">
        <f>MASTER[[#This Row],[CANTIDAD]]*MASTER[[#This Row],[COSTO UNITARIO]]</f>
        <v>392</v>
      </c>
      <c r="V3621" s="2">
        <f>MASTER[[#This Row],[MONTO VENDIDO]]-MASTER[[#This Row],[COSTO DE VENTA]]</f>
        <v>656</v>
      </c>
    </row>
    <row r="3622" spans="1:22" x14ac:dyDescent="0.3">
      <c r="A3622">
        <v>56466</v>
      </c>
      <c r="B3622">
        <v>1</v>
      </c>
      <c r="C3622" t="s">
        <v>92</v>
      </c>
      <c r="D3622" t="s">
        <v>93</v>
      </c>
      <c r="E3622" s="1">
        <v>44249</v>
      </c>
      <c r="F3622">
        <v>1</v>
      </c>
      <c r="G3622" t="s">
        <v>53</v>
      </c>
      <c r="H3622" t="s">
        <v>54</v>
      </c>
      <c r="I3622" s="3">
        <v>1681</v>
      </c>
      <c r="J3622" s="3">
        <v>1681</v>
      </c>
      <c r="K3622" s="3">
        <v>396</v>
      </c>
      <c r="L3622" t="s">
        <v>9</v>
      </c>
      <c r="M3622">
        <v>19</v>
      </c>
      <c r="N3622" t="s">
        <v>89</v>
      </c>
      <c r="O3622" t="s">
        <v>81</v>
      </c>
      <c r="P3622" t="s">
        <v>15</v>
      </c>
      <c r="Q3622" t="s">
        <v>16</v>
      </c>
      <c r="R3622" t="s">
        <v>16</v>
      </c>
      <c r="S3622" t="s">
        <v>144</v>
      </c>
      <c r="T3622" s="2">
        <f>MASTER[[#This Row],[CANTIDAD]]*MASTER[[#This Row],[PRECIO DE VENTA]]</f>
        <v>1681</v>
      </c>
      <c r="U3622" s="2">
        <f>MASTER[[#This Row],[CANTIDAD]]*MASTER[[#This Row],[COSTO UNITARIO]]</f>
        <v>396</v>
      </c>
      <c r="V3622" s="2">
        <f>MASTER[[#This Row],[MONTO VENDIDO]]-MASTER[[#This Row],[COSTO DE VENTA]]</f>
        <v>1285</v>
      </c>
    </row>
    <row r="3623" spans="1:22" x14ac:dyDescent="0.3">
      <c r="A3623">
        <v>56469</v>
      </c>
      <c r="B3623">
        <v>1</v>
      </c>
      <c r="C3623" t="s">
        <v>103</v>
      </c>
      <c r="D3623" t="s">
        <v>104</v>
      </c>
      <c r="E3623" s="1">
        <v>44250</v>
      </c>
      <c r="F3623">
        <v>1</v>
      </c>
      <c r="G3623" t="s">
        <v>45</v>
      </c>
      <c r="H3623" t="s">
        <v>46</v>
      </c>
      <c r="I3623" s="3">
        <v>1448</v>
      </c>
      <c r="J3623" s="3">
        <v>1448</v>
      </c>
      <c r="K3623" s="3">
        <v>421</v>
      </c>
      <c r="L3623" t="s">
        <v>98</v>
      </c>
      <c r="M3623">
        <v>16</v>
      </c>
      <c r="N3623" t="s">
        <v>17</v>
      </c>
      <c r="O3623" t="s">
        <v>11</v>
      </c>
      <c r="P3623" t="s">
        <v>18</v>
      </c>
      <c r="Q3623" t="s">
        <v>19</v>
      </c>
      <c r="R3623" t="s">
        <v>138</v>
      </c>
      <c r="S3623" t="s">
        <v>144</v>
      </c>
      <c r="T3623" s="2">
        <f>MASTER[[#This Row],[CANTIDAD]]*MASTER[[#This Row],[PRECIO DE VENTA]]</f>
        <v>1448</v>
      </c>
      <c r="U3623" s="2">
        <f>MASTER[[#This Row],[CANTIDAD]]*MASTER[[#This Row],[COSTO UNITARIO]]</f>
        <v>421</v>
      </c>
      <c r="V3623" s="2">
        <f>MASTER[[#This Row],[MONTO VENDIDO]]-MASTER[[#This Row],[COSTO DE VENTA]]</f>
        <v>1027</v>
      </c>
    </row>
    <row r="3624" spans="1:22" x14ac:dyDescent="0.3">
      <c r="A3624">
        <v>56496</v>
      </c>
      <c r="B3624">
        <v>1</v>
      </c>
      <c r="C3624" t="s">
        <v>96</v>
      </c>
      <c r="D3624" t="s">
        <v>97</v>
      </c>
      <c r="E3624" s="1">
        <v>44250</v>
      </c>
      <c r="F3624">
        <v>1</v>
      </c>
      <c r="G3624" t="s">
        <v>27</v>
      </c>
      <c r="H3624" t="s">
        <v>28</v>
      </c>
      <c r="I3624" s="3">
        <v>1361</v>
      </c>
      <c r="J3624" s="3">
        <v>1361</v>
      </c>
      <c r="K3624" s="3">
        <v>397</v>
      </c>
      <c r="L3624" t="s">
        <v>98</v>
      </c>
      <c r="M3624">
        <v>3</v>
      </c>
      <c r="N3624" t="s">
        <v>69</v>
      </c>
      <c r="O3624" t="s">
        <v>70</v>
      </c>
      <c r="P3624" t="s">
        <v>71</v>
      </c>
      <c r="Q3624" t="s">
        <v>72</v>
      </c>
      <c r="R3624" t="s">
        <v>139</v>
      </c>
      <c r="S3624" t="s">
        <v>144</v>
      </c>
      <c r="T3624" s="2">
        <f>MASTER[[#This Row],[CANTIDAD]]*MASTER[[#This Row],[PRECIO DE VENTA]]</f>
        <v>1361</v>
      </c>
      <c r="U3624" s="2">
        <f>MASTER[[#This Row],[CANTIDAD]]*MASTER[[#This Row],[COSTO UNITARIO]]</f>
        <v>397</v>
      </c>
      <c r="V3624" s="2">
        <f>MASTER[[#This Row],[MONTO VENDIDO]]-MASTER[[#This Row],[COSTO DE VENTA]]</f>
        <v>964</v>
      </c>
    </row>
    <row r="3625" spans="1:22" x14ac:dyDescent="0.3">
      <c r="A3625">
        <v>56506</v>
      </c>
      <c r="B3625">
        <v>1</v>
      </c>
      <c r="C3625" t="s">
        <v>118</v>
      </c>
      <c r="D3625" t="s">
        <v>119</v>
      </c>
      <c r="E3625" s="1">
        <v>44250</v>
      </c>
      <c r="F3625">
        <v>1</v>
      </c>
      <c r="G3625" t="s">
        <v>24</v>
      </c>
      <c r="H3625" t="s">
        <v>25</v>
      </c>
      <c r="I3625" s="3">
        <v>1026</v>
      </c>
      <c r="J3625" s="3">
        <v>1026</v>
      </c>
      <c r="K3625" s="3">
        <v>424</v>
      </c>
      <c r="L3625" t="s">
        <v>120</v>
      </c>
      <c r="M3625">
        <v>18</v>
      </c>
      <c r="N3625" t="s">
        <v>79</v>
      </c>
      <c r="O3625" t="s">
        <v>70</v>
      </c>
      <c r="P3625" t="s">
        <v>15</v>
      </c>
      <c r="Q3625" t="s">
        <v>16</v>
      </c>
      <c r="R3625" t="s">
        <v>16</v>
      </c>
      <c r="S3625" t="s">
        <v>144</v>
      </c>
      <c r="T3625" s="2">
        <f>MASTER[[#This Row],[CANTIDAD]]*MASTER[[#This Row],[PRECIO DE VENTA]]</f>
        <v>1026</v>
      </c>
      <c r="U3625" s="2">
        <f>MASTER[[#This Row],[CANTIDAD]]*MASTER[[#This Row],[COSTO UNITARIO]]</f>
        <v>424</v>
      </c>
      <c r="V3625" s="2">
        <f>MASTER[[#This Row],[MONTO VENDIDO]]-MASTER[[#This Row],[COSTO DE VENTA]]</f>
        <v>602</v>
      </c>
    </row>
    <row r="3626" spans="1:22" x14ac:dyDescent="0.3">
      <c r="A3626">
        <v>56527</v>
      </c>
      <c r="B3626">
        <v>1</v>
      </c>
      <c r="C3626" t="s">
        <v>5</v>
      </c>
      <c r="D3626" t="s">
        <v>6</v>
      </c>
      <c r="E3626" s="1">
        <v>44250</v>
      </c>
      <c r="F3626">
        <v>1</v>
      </c>
      <c r="G3626" t="s">
        <v>31</v>
      </c>
      <c r="H3626" t="s">
        <v>32</v>
      </c>
      <c r="I3626" s="3">
        <v>1507</v>
      </c>
      <c r="J3626" s="3">
        <v>1507</v>
      </c>
      <c r="K3626" s="3">
        <v>393</v>
      </c>
      <c r="L3626" t="s">
        <v>9</v>
      </c>
      <c r="M3626">
        <v>4</v>
      </c>
      <c r="N3626" t="s">
        <v>82</v>
      </c>
      <c r="O3626" t="s">
        <v>81</v>
      </c>
      <c r="P3626" t="s">
        <v>71</v>
      </c>
      <c r="Q3626" t="s">
        <v>72</v>
      </c>
      <c r="R3626" t="s">
        <v>139</v>
      </c>
      <c r="S3626" t="s">
        <v>144</v>
      </c>
      <c r="T3626" s="2">
        <f>MASTER[[#This Row],[CANTIDAD]]*MASTER[[#This Row],[PRECIO DE VENTA]]</f>
        <v>1507</v>
      </c>
      <c r="U3626" s="2">
        <f>MASTER[[#This Row],[CANTIDAD]]*MASTER[[#This Row],[COSTO UNITARIO]]</f>
        <v>393</v>
      </c>
      <c r="V3626" s="2">
        <f>MASTER[[#This Row],[MONTO VENDIDO]]-MASTER[[#This Row],[COSTO DE VENTA]]</f>
        <v>1114</v>
      </c>
    </row>
    <row r="3627" spans="1:22" x14ac:dyDescent="0.3">
      <c r="A3627">
        <v>56530</v>
      </c>
      <c r="B3627">
        <v>1</v>
      </c>
      <c r="C3627" t="s">
        <v>116</v>
      </c>
      <c r="D3627" t="s">
        <v>117</v>
      </c>
      <c r="E3627" s="1">
        <v>44250</v>
      </c>
      <c r="F3627">
        <v>1</v>
      </c>
      <c r="G3627" t="s">
        <v>24</v>
      </c>
      <c r="H3627" t="s">
        <v>25</v>
      </c>
      <c r="I3627" s="3">
        <v>1999</v>
      </c>
      <c r="J3627" s="3">
        <v>1999</v>
      </c>
      <c r="K3627" s="3">
        <v>388</v>
      </c>
      <c r="L3627" t="s">
        <v>113</v>
      </c>
      <c r="M3627">
        <v>13</v>
      </c>
      <c r="N3627" t="s">
        <v>78</v>
      </c>
      <c r="O3627" t="s">
        <v>70</v>
      </c>
      <c r="P3627" t="s">
        <v>18</v>
      </c>
      <c r="Q3627" t="s">
        <v>19</v>
      </c>
      <c r="R3627" t="s">
        <v>138</v>
      </c>
      <c r="S3627" t="s">
        <v>144</v>
      </c>
      <c r="T3627" s="2">
        <f>MASTER[[#This Row],[CANTIDAD]]*MASTER[[#This Row],[PRECIO DE VENTA]]</f>
        <v>1999</v>
      </c>
      <c r="U3627" s="2">
        <f>MASTER[[#This Row],[CANTIDAD]]*MASTER[[#This Row],[COSTO UNITARIO]]</f>
        <v>388</v>
      </c>
      <c r="V3627" s="2">
        <f>MASTER[[#This Row],[MONTO VENDIDO]]-MASTER[[#This Row],[COSTO DE VENTA]]</f>
        <v>1611</v>
      </c>
    </row>
    <row r="3628" spans="1:22" x14ac:dyDescent="0.3">
      <c r="A3628">
        <v>56537</v>
      </c>
      <c r="B3628">
        <v>1</v>
      </c>
      <c r="C3628" t="s">
        <v>94</v>
      </c>
      <c r="D3628" t="s">
        <v>95</v>
      </c>
      <c r="E3628" s="1">
        <v>44250</v>
      </c>
      <c r="F3628">
        <v>1</v>
      </c>
      <c r="G3628" t="s">
        <v>45</v>
      </c>
      <c r="H3628" t="s">
        <v>46</v>
      </c>
      <c r="I3628" s="3">
        <v>1048</v>
      </c>
      <c r="J3628" s="3">
        <v>1048</v>
      </c>
      <c r="K3628" s="3">
        <v>392</v>
      </c>
      <c r="L3628" t="s">
        <v>9</v>
      </c>
      <c r="M3628">
        <v>14</v>
      </c>
      <c r="N3628" t="s">
        <v>87</v>
      </c>
      <c r="O3628" t="s">
        <v>81</v>
      </c>
      <c r="P3628" t="s">
        <v>18</v>
      </c>
      <c r="Q3628" t="s">
        <v>19</v>
      </c>
      <c r="R3628" t="s">
        <v>138</v>
      </c>
      <c r="S3628" t="s">
        <v>144</v>
      </c>
      <c r="T3628" s="2">
        <f>MASTER[[#This Row],[CANTIDAD]]*MASTER[[#This Row],[PRECIO DE VENTA]]</f>
        <v>1048</v>
      </c>
      <c r="U3628" s="2">
        <f>MASTER[[#This Row],[CANTIDAD]]*MASTER[[#This Row],[COSTO UNITARIO]]</f>
        <v>392</v>
      </c>
      <c r="V3628" s="2">
        <f>MASTER[[#This Row],[MONTO VENDIDO]]-MASTER[[#This Row],[COSTO DE VENTA]]</f>
        <v>656</v>
      </c>
    </row>
    <row r="3629" spans="1:22" x14ac:dyDescent="0.3">
      <c r="A3629">
        <v>56538</v>
      </c>
      <c r="B3629">
        <v>1</v>
      </c>
      <c r="C3629" t="s">
        <v>92</v>
      </c>
      <c r="D3629" t="s">
        <v>93</v>
      </c>
      <c r="E3629" s="1">
        <v>44250</v>
      </c>
      <c r="F3629">
        <v>1</v>
      </c>
      <c r="G3629" t="s">
        <v>41</v>
      </c>
      <c r="H3629" t="s">
        <v>42</v>
      </c>
      <c r="I3629" s="3">
        <v>1681</v>
      </c>
      <c r="J3629" s="3">
        <v>1681</v>
      </c>
      <c r="K3629" s="3">
        <v>396</v>
      </c>
      <c r="L3629" t="s">
        <v>9</v>
      </c>
      <c r="M3629">
        <v>10</v>
      </c>
      <c r="N3629" t="s">
        <v>83</v>
      </c>
      <c r="O3629" t="s">
        <v>81</v>
      </c>
      <c r="P3629" t="s">
        <v>12</v>
      </c>
      <c r="Q3629" t="s">
        <v>13</v>
      </c>
      <c r="R3629" t="s">
        <v>13</v>
      </c>
      <c r="S3629" t="s">
        <v>144</v>
      </c>
      <c r="T3629" s="2">
        <f>MASTER[[#This Row],[CANTIDAD]]*MASTER[[#This Row],[PRECIO DE VENTA]]</f>
        <v>1681</v>
      </c>
      <c r="U3629" s="2">
        <f>MASTER[[#This Row],[CANTIDAD]]*MASTER[[#This Row],[COSTO UNITARIO]]</f>
        <v>396</v>
      </c>
      <c r="V3629" s="2">
        <f>MASTER[[#This Row],[MONTO VENDIDO]]-MASTER[[#This Row],[COSTO DE VENTA]]</f>
        <v>1285</v>
      </c>
    </row>
    <row r="3630" spans="1:22" x14ac:dyDescent="0.3">
      <c r="A3630">
        <v>56548</v>
      </c>
      <c r="B3630">
        <v>1</v>
      </c>
      <c r="C3630" t="s">
        <v>116</v>
      </c>
      <c r="D3630" t="s">
        <v>117</v>
      </c>
      <c r="E3630" s="1">
        <v>44250</v>
      </c>
      <c r="F3630">
        <v>1</v>
      </c>
      <c r="G3630" t="s">
        <v>22</v>
      </c>
      <c r="H3630" t="s">
        <v>23</v>
      </c>
      <c r="I3630" s="3">
        <v>1999</v>
      </c>
      <c r="J3630" s="3">
        <v>1999</v>
      </c>
      <c r="K3630" s="3">
        <v>388</v>
      </c>
      <c r="L3630" t="s">
        <v>113</v>
      </c>
      <c r="M3630">
        <v>3</v>
      </c>
      <c r="N3630" t="s">
        <v>69</v>
      </c>
      <c r="O3630" t="s">
        <v>70</v>
      </c>
      <c r="P3630" t="s">
        <v>71</v>
      </c>
      <c r="Q3630" t="s">
        <v>72</v>
      </c>
      <c r="R3630" t="s">
        <v>139</v>
      </c>
      <c r="S3630" t="s">
        <v>144</v>
      </c>
      <c r="T3630" s="2">
        <f>MASTER[[#This Row],[CANTIDAD]]*MASTER[[#This Row],[PRECIO DE VENTA]]</f>
        <v>1999</v>
      </c>
      <c r="U3630" s="2">
        <f>MASTER[[#This Row],[CANTIDAD]]*MASTER[[#This Row],[COSTO UNITARIO]]</f>
        <v>388</v>
      </c>
      <c r="V3630" s="2">
        <f>MASTER[[#This Row],[MONTO VENDIDO]]-MASTER[[#This Row],[COSTO DE VENTA]]</f>
        <v>1611</v>
      </c>
    </row>
    <row r="3631" spans="1:22" x14ac:dyDescent="0.3">
      <c r="A3631">
        <v>56550</v>
      </c>
      <c r="B3631">
        <v>1</v>
      </c>
      <c r="C3631" t="s">
        <v>90</v>
      </c>
      <c r="D3631" t="s">
        <v>91</v>
      </c>
      <c r="E3631" s="1">
        <v>44250</v>
      </c>
      <c r="F3631">
        <v>1</v>
      </c>
      <c r="G3631" t="s">
        <v>33</v>
      </c>
      <c r="H3631" t="s">
        <v>34</v>
      </c>
      <c r="I3631" s="3">
        <v>2102</v>
      </c>
      <c r="J3631" s="3">
        <v>2102</v>
      </c>
      <c r="K3631" s="3">
        <v>420</v>
      </c>
      <c r="L3631" t="s">
        <v>9</v>
      </c>
      <c r="M3631">
        <v>9</v>
      </c>
      <c r="N3631" t="s">
        <v>76</v>
      </c>
      <c r="O3631" t="s">
        <v>70</v>
      </c>
      <c r="P3631" t="s">
        <v>12</v>
      </c>
      <c r="Q3631" t="s">
        <v>13</v>
      </c>
      <c r="R3631" t="s">
        <v>13</v>
      </c>
      <c r="S3631" t="s">
        <v>144</v>
      </c>
      <c r="T3631" s="2">
        <f>MASTER[[#This Row],[CANTIDAD]]*MASTER[[#This Row],[PRECIO DE VENTA]]</f>
        <v>2102</v>
      </c>
      <c r="U3631" s="2">
        <f>MASTER[[#This Row],[CANTIDAD]]*MASTER[[#This Row],[COSTO UNITARIO]]</f>
        <v>420</v>
      </c>
      <c r="V3631" s="2">
        <f>MASTER[[#This Row],[MONTO VENDIDO]]-MASTER[[#This Row],[COSTO DE VENTA]]</f>
        <v>1682</v>
      </c>
    </row>
    <row r="3632" spans="1:22" x14ac:dyDescent="0.3">
      <c r="A3632">
        <v>56551</v>
      </c>
      <c r="B3632">
        <v>1</v>
      </c>
      <c r="C3632" t="s">
        <v>90</v>
      </c>
      <c r="D3632" t="s">
        <v>91</v>
      </c>
      <c r="E3632" s="1">
        <v>44250</v>
      </c>
      <c r="F3632">
        <v>1</v>
      </c>
      <c r="G3632" t="s">
        <v>53</v>
      </c>
      <c r="H3632" t="s">
        <v>54</v>
      </c>
      <c r="I3632" s="3">
        <v>1844</v>
      </c>
      <c r="J3632" s="3">
        <v>1844</v>
      </c>
      <c r="K3632" s="3">
        <v>420</v>
      </c>
      <c r="L3632" t="s">
        <v>9</v>
      </c>
      <c r="M3632">
        <v>14</v>
      </c>
      <c r="N3632" t="s">
        <v>87</v>
      </c>
      <c r="O3632" t="s">
        <v>81</v>
      </c>
      <c r="P3632" t="s">
        <v>18</v>
      </c>
      <c r="Q3632" t="s">
        <v>19</v>
      </c>
      <c r="R3632" t="s">
        <v>138</v>
      </c>
      <c r="S3632" t="s">
        <v>144</v>
      </c>
      <c r="T3632" s="2">
        <f>MASTER[[#This Row],[CANTIDAD]]*MASTER[[#This Row],[PRECIO DE VENTA]]</f>
        <v>1844</v>
      </c>
      <c r="U3632" s="2">
        <f>MASTER[[#This Row],[CANTIDAD]]*MASTER[[#This Row],[COSTO UNITARIO]]</f>
        <v>420</v>
      </c>
      <c r="V3632" s="2">
        <f>MASTER[[#This Row],[MONTO VENDIDO]]-MASTER[[#This Row],[COSTO DE VENTA]]</f>
        <v>1424</v>
      </c>
    </row>
    <row r="3633" spans="1:22" x14ac:dyDescent="0.3">
      <c r="A3633">
        <v>56553</v>
      </c>
      <c r="B3633">
        <v>1</v>
      </c>
      <c r="C3633" t="s">
        <v>101</v>
      </c>
      <c r="D3633" t="s">
        <v>102</v>
      </c>
      <c r="E3633" s="1">
        <v>44250</v>
      </c>
      <c r="F3633">
        <v>1</v>
      </c>
      <c r="G3633" t="s">
        <v>22</v>
      </c>
      <c r="H3633" t="s">
        <v>23</v>
      </c>
      <c r="I3633" s="3">
        <v>1357</v>
      </c>
      <c r="J3633" s="3">
        <v>1357</v>
      </c>
      <c r="K3633" s="3">
        <v>442</v>
      </c>
      <c r="L3633" t="s">
        <v>98</v>
      </c>
      <c r="M3633">
        <v>6</v>
      </c>
      <c r="N3633" t="s">
        <v>75</v>
      </c>
      <c r="O3633" t="s">
        <v>70</v>
      </c>
      <c r="P3633" t="s">
        <v>12</v>
      </c>
      <c r="Q3633" t="s">
        <v>13</v>
      </c>
      <c r="R3633" t="s">
        <v>13</v>
      </c>
      <c r="S3633" t="s">
        <v>144</v>
      </c>
      <c r="T3633" s="2">
        <f>MASTER[[#This Row],[CANTIDAD]]*MASTER[[#This Row],[PRECIO DE VENTA]]</f>
        <v>1357</v>
      </c>
      <c r="U3633" s="2">
        <f>MASTER[[#This Row],[CANTIDAD]]*MASTER[[#This Row],[COSTO UNITARIO]]</f>
        <v>442</v>
      </c>
      <c r="V3633" s="2">
        <f>MASTER[[#This Row],[MONTO VENDIDO]]-MASTER[[#This Row],[COSTO DE VENTA]]</f>
        <v>915</v>
      </c>
    </row>
    <row r="3634" spans="1:22" x14ac:dyDescent="0.3">
      <c r="A3634">
        <v>56557</v>
      </c>
      <c r="B3634">
        <v>1</v>
      </c>
      <c r="C3634" t="s">
        <v>114</v>
      </c>
      <c r="D3634" t="s">
        <v>115</v>
      </c>
      <c r="E3634" s="1">
        <v>44250</v>
      </c>
      <c r="F3634">
        <v>1</v>
      </c>
      <c r="G3634" t="s">
        <v>24</v>
      </c>
      <c r="H3634" t="s">
        <v>25</v>
      </c>
      <c r="I3634" s="3">
        <v>1583</v>
      </c>
      <c r="J3634" s="3">
        <v>1583</v>
      </c>
      <c r="K3634" s="3">
        <v>394</v>
      </c>
      <c r="L3634" t="s">
        <v>113</v>
      </c>
      <c r="M3634">
        <v>12</v>
      </c>
      <c r="N3634" t="s">
        <v>26</v>
      </c>
      <c r="O3634" t="s">
        <v>11</v>
      </c>
      <c r="P3634" t="s">
        <v>12</v>
      </c>
      <c r="Q3634" t="s">
        <v>13</v>
      </c>
      <c r="R3634" t="s">
        <v>13</v>
      </c>
      <c r="S3634" t="s">
        <v>144</v>
      </c>
      <c r="T3634" s="2">
        <f>MASTER[[#This Row],[CANTIDAD]]*MASTER[[#This Row],[PRECIO DE VENTA]]</f>
        <v>1583</v>
      </c>
      <c r="U3634" s="2">
        <f>MASTER[[#This Row],[CANTIDAD]]*MASTER[[#This Row],[COSTO UNITARIO]]</f>
        <v>394</v>
      </c>
      <c r="V3634" s="2">
        <f>MASTER[[#This Row],[MONTO VENDIDO]]-MASTER[[#This Row],[COSTO DE VENTA]]</f>
        <v>1189</v>
      </c>
    </row>
    <row r="3635" spans="1:22" x14ac:dyDescent="0.3">
      <c r="A3635">
        <v>56570</v>
      </c>
      <c r="B3635">
        <v>1</v>
      </c>
      <c r="C3635" t="s">
        <v>109</v>
      </c>
      <c r="D3635" t="s">
        <v>110</v>
      </c>
      <c r="E3635" s="1">
        <v>44251</v>
      </c>
      <c r="F3635">
        <v>1</v>
      </c>
      <c r="G3635" t="s">
        <v>51</v>
      </c>
      <c r="H3635" t="s">
        <v>52</v>
      </c>
      <c r="I3635" s="3">
        <v>1064</v>
      </c>
      <c r="J3635" s="3">
        <v>1064</v>
      </c>
      <c r="K3635" s="3">
        <v>387</v>
      </c>
      <c r="L3635" t="s">
        <v>98</v>
      </c>
      <c r="M3635">
        <v>5</v>
      </c>
      <c r="N3635" t="s">
        <v>85</v>
      </c>
      <c r="O3635" t="s">
        <v>81</v>
      </c>
      <c r="P3635" t="s">
        <v>12</v>
      </c>
      <c r="Q3635" t="s">
        <v>13</v>
      </c>
      <c r="R3635" t="s">
        <v>13</v>
      </c>
      <c r="S3635" t="s">
        <v>144</v>
      </c>
      <c r="T3635" s="2">
        <f>MASTER[[#This Row],[CANTIDAD]]*MASTER[[#This Row],[PRECIO DE VENTA]]</f>
        <v>1064</v>
      </c>
      <c r="U3635" s="2">
        <f>MASTER[[#This Row],[CANTIDAD]]*MASTER[[#This Row],[COSTO UNITARIO]]</f>
        <v>387</v>
      </c>
      <c r="V3635" s="2">
        <f>MASTER[[#This Row],[MONTO VENDIDO]]-MASTER[[#This Row],[COSTO DE VENTA]]</f>
        <v>677</v>
      </c>
    </row>
    <row r="3636" spans="1:22" x14ac:dyDescent="0.3">
      <c r="A3636">
        <v>56581</v>
      </c>
      <c r="B3636">
        <v>1</v>
      </c>
      <c r="C3636" t="s">
        <v>118</v>
      </c>
      <c r="D3636" t="s">
        <v>119</v>
      </c>
      <c r="E3636" s="1">
        <v>44251</v>
      </c>
      <c r="F3636">
        <v>1</v>
      </c>
      <c r="G3636" t="s">
        <v>27</v>
      </c>
      <c r="H3636" t="s">
        <v>28</v>
      </c>
      <c r="I3636" s="3">
        <v>1026</v>
      </c>
      <c r="J3636" s="3">
        <v>1026</v>
      </c>
      <c r="K3636" s="3">
        <v>424</v>
      </c>
      <c r="L3636" t="s">
        <v>120</v>
      </c>
      <c r="M3636">
        <v>1</v>
      </c>
      <c r="N3636" t="s">
        <v>77</v>
      </c>
      <c r="O3636" t="s">
        <v>70</v>
      </c>
      <c r="P3636" t="s">
        <v>71</v>
      </c>
      <c r="Q3636" t="s">
        <v>72</v>
      </c>
      <c r="R3636" t="s">
        <v>139</v>
      </c>
      <c r="S3636" t="s">
        <v>144</v>
      </c>
      <c r="T3636" s="2">
        <f>MASTER[[#This Row],[CANTIDAD]]*MASTER[[#This Row],[PRECIO DE VENTA]]</f>
        <v>1026</v>
      </c>
      <c r="U3636" s="2">
        <f>MASTER[[#This Row],[CANTIDAD]]*MASTER[[#This Row],[COSTO UNITARIO]]</f>
        <v>424</v>
      </c>
      <c r="V3636" s="2">
        <f>MASTER[[#This Row],[MONTO VENDIDO]]-MASTER[[#This Row],[COSTO DE VENTA]]</f>
        <v>602</v>
      </c>
    </row>
    <row r="3637" spans="1:22" x14ac:dyDescent="0.3">
      <c r="A3637">
        <v>56615</v>
      </c>
      <c r="B3637">
        <v>1</v>
      </c>
      <c r="C3637" t="s">
        <v>121</v>
      </c>
      <c r="D3637" t="s">
        <v>122</v>
      </c>
      <c r="E3637" s="1">
        <v>44251</v>
      </c>
      <c r="F3637">
        <v>1</v>
      </c>
      <c r="G3637" t="s">
        <v>49</v>
      </c>
      <c r="H3637" t="s">
        <v>50</v>
      </c>
      <c r="I3637" s="3">
        <v>1069</v>
      </c>
      <c r="J3637" s="3">
        <v>1069</v>
      </c>
      <c r="K3637" s="3">
        <v>460</v>
      </c>
      <c r="L3637" t="s">
        <v>120</v>
      </c>
      <c r="M3637">
        <v>4</v>
      </c>
      <c r="N3637" t="s">
        <v>82</v>
      </c>
      <c r="O3637" t="s">
        <v>81</v>
      </c>
      <c r="P3637" t="s">
        <v>71</v>
      </c>
      <c r="Q3637" t="s">
        <v>72</v>
      </c>
      <c r="R3637" t="s">
        <v>139</v>
      </c>
      <c r="S3637" t="s">
        <v>144</v>
      </c>
      <c r="T3637" s="2">
        <f>MASTER[[#This Row],[CANTIDAD]]*MASTER[[#This Row],[PRECIO DE VENTA]]</f>
        <v>1069</v>
      </c>
      <c r="U3637" s="2">
        <f>MASTER[[#This Row],[CANTIDAD]]*MASTER[[#This Row],[COSTO UNITARIO]]</f>
        <v>460</v>
      </c>
      <c r="V3637" s="2">
        <f>MASTER[[#This Row],[MONTO VENDIDO]]-MASTER[[#This Row],[COSTO DE VENTA]]</f>
        <v>609</v>
      </c>
    </row>
    <row r="3638" spans="1:22" x14ac:dyDescent="0.3">
      <c r="A3638">
        <v>56626</v>
      </c>
      <c r="B3638">
        <v>1</v>
      </c>
      <c r="C3638" t="s">
        <v>5</v>
      </c>
      <c r="D3638" t="s">
        <v>6</v>
      </c>
      <c r="E3638" s="1">
        <v>44251</v>
      </c>
      <c r="F3638">
        <v>1</v>
      </c>
      <c r="G3638" t="s">
        <v>41</v>
      </c>
      <c r="H3638" t="s">
        <v>42</v>
      </c>
      <c r="I3638" s="3">
        <v>1507</v>
      </c>
      <c r="J3638" s="3">
        <v>1507</v>
      </c>
      <c r="K3638" s="3">
        <v>393</v>
      </c>
      <c r="L3638" t="s">
        <v>9</v>
      </c>
      <c r="M3638">
        <v>8</v>
      </c>
      <c r="N3638" t="s">
        <v>80</v>
      </c>
      <c r="O3638" t="s">
        <v>81</v>
      </c>
      <c r="P3638" t="s">
        <v>12</v>
      </c>
      <c r="Q3638" t="s">
        <v>13</v>
      </c>
      <c r="R3638" t="s">
        <v>13</v>
      </c>
      <c r="S3638" t="s">
        <v>144</v>
      </c>
      <c r="T3638" s="2">
        <f>MASTER[[#This Row],[CANTIDAD]]*MASTER[[#This Row],[PRECIO DE VENTA]]</f>
        <v>1507</v>
      </c>
      <c r="U3638" s="2">
        <f>MASTER[[#This Row],[CANTIDAD]]*MASTER[[#This Row],[COSTO UNITARIO]]</f>
        <v>393</v>
      </c>
      <c r="V3638" s="2">
        <f>MASTER[[#This Row],[MONTO VENDIDO]]-MASTER[[#This Row],[COSTO DE VENTA]]</f>
        <v>1114</v>
      </c>
    </row>
    <row r="3639" spans="1:22" x14ac:dyDescent="0.3">
      <c r="A3639">
        <v>56648</v>
      </c>
      <c r="B3639">
        <v>1</v>
      </c>
      <c r="C3639" t="s">
        <v>101</v>
      </c>
      <c r="D3639" t="s">
        <v>102</v>
      </c>
      <c r="E3639" s="1">
        <v>44251</v>
      </c>
      <c r="F3639">
        <v>1</v>
      </c>
      <c r="G3639" t="s">
        <v>67</v>
      </c>
      <c r="H3639" t="s">
        <v>68</v>
      </c>
      <c r="I3639" s="3">
        <v>1212</v>
      </c>
      <c r="J3639" s="3">
        <v>1212</v>
      </c>
      <c r="K3639" s="3">
        <v>442</v>
      </c>
      <c r="L3639" t="s">
        <v>98</v>
      </c>
      <c r="M3639">
        <v>19</v>
      </c>
      <c r="N3639" t="s">
        <v>89</v>
      </c>
      <c r="O3639" t="s">
        <v>81</v>
      </c>
      <c r="P3639" t="s">
        <v>15</v>
      </c>
      <c r="Q3639" t="s">
        <v>16</v>
      </c>
      <c r="R3639" t="s">
        <v>16</v>
      </c>
      <c r="S3639" t="s">
        <v>144</v>
      </c>
      <c r="T3639" s="2">
        <f>MASTER[[#This Row],[CANTIDAD]]*MASTER[[#This Row],[PRECIO DE VENTA]]</f>
        <v>1212</v>
      </c>
      <c r="U3639" s="2">
        <f>MASTER[[#This Row],[CANTIDAD]]*MASTER[[#This Row],[COSTO UNITARIO]]</f>
        <v>442</v>
      </c>
      <c r="V3639" s="2">
        <f>MASTER[[#This Row],[MONTO VENDIDO]]-MASTER[[#This Row],[COSTO DE VENTA]]</f>
        <v>770</v>
      </c>
    </row>
    <row r="3640" spans="1:22" x14ac:dyDescent="0.3">
      <c r="A3640">
        <v>56649</v>
      </c>
      <c r="B3640">
        <v>1</v>
      </c>
      <c r="C3640" t="s">
        <v>109</v>
      </c>
      <c r="D3640" t="s">
        <v>110</v>
      </c>
      <c r="E3640" s="1">
        <v>44251</v>
      </c>
      <c r="F3640">
        <v>1</v>
      </c>
      <c r="G3640" t="s">
        <v>51</v>
      </c>
      <c r="H3640" t="s">
        <v>52</v>
      </c>
      <c r="I3640" s="3">
        <v>947</v>
      </c>
      <c r="J3640" s="3">
        <v>947</v>
      </c>
      <c r="K3640" s="3">
        <v>387</v>
      </c>
      <c r="L3640" t="s">
        <v>98</v>
      </c>
      <c r="M3640">
        <v>11</v>
      </c>
      <c r="N3640" t="s">
        <v>10</v>
      </c>
      <c r="O3640" t="s">
        <v>11</v>
      </c>
      <c r="P3640" t="s">
        <v>12</v>
      </c>
      <c r="Q3640" t="s">
        <v>13</v>
      </c>
      <c r="R3640" t="s">
        <v>13</v>
      </c>
      <c r="S3640" t="s">
        <v>144</v>
      </c>
      <c r="T3640" s="2">
        <f>MASTER[[#This Row],[CANTIDAD]]*MASTER[[#This Row],[PRECIO DE VENTA]]</f>
        <v>947</v>
      </c>
      <c r="U3640" s="2">
        <f>MASTER[[#This Row],[CANTIDAD]]*MASTER[[#This Row],[COSTO UNITARIO]]</f>
        <v>387</v>
      </c>
      <c r="V3640" s="2">
        <f>MASTER[[#This Row],[MONTO VENDIDO]]-MASTER[[#This Row],[COSTO DE VENTA]]</f>
        <v>560</v>
      </c>
    </row>
    <row r="3641" spans="1:22" x14ac:dyDescent="0.3">
      <c r="A3641">
        <v>56650</v>
      </c>
      <c r="B3641">
        <v>1</v>
      </c>
      <c r="C3641" t="s">
        <v>111</v>
      </c>
      <c r="D3641" t="s">
        <v>112</v>
      </c>
      <c r="E3641" s="1">
        <v>44251</v>
      </c>
      <c r="F3641">
        <v>1</v>
      </c>
      <c r="G3641" t="s">
        <v>63</v>
      </c>
      <c r="H3641" t="s">
        <v>64</v>
      </c>
      <c r="I3641" s="3">
        <v>1621</v>
      </c>
      <c r="J3641" s="3">
        <v>1621</v>
      </c>
      <c r="K3641" s="3">
        <v>434</v>
      </c>
      <c r="L3641" t="s">
        <v>113</v>
      </c>
      <c r="M3641">
        <v>8</v>
      </c>
      <c r="N3641" t="s">
        <v>80</v>
      </c>
      <c r="O3641" t="s">
        <v>81</v>
      </c>
      <c r="P3641" t="s">
        <v>12</v>
      </c>
      <c r="Q3641" t="s">
        <v>13</v>
      </c>
      <c r="R3641" t="s">
        <v>13</v>
      </c>
      <c r="S3641" t="s">
        <v>144</v>
      </c>
      <c r="T3641" s="2">
        <f>MASTER[[#This Row],[CANTIDAD]]*MASTER[[#This Row],[PRECIO DE VENTA]]</f>
        <v>1621</v>
      </c>
      <c r="U3641" s="2">
        <f>MASTER[[#This Row],[CANTIDAD]]*MASTER[[#This Row],[COSTO UNITARIO]]</f>
        <v>434</v>
      </c>
      <c r="V3641" s="2">
        <f>MASTER[[#This Row],[MONTO VENDIDO]]-MASTER[[#This Row],[COSTO DE VENTA]]</f>
        <v>1187</v>
      </c>
    </row>
    <row r="3642" spans="1:22" x14ac:dyDescent="0.3">
      <c r="A3642">
        <v>56653</v>
      </c>
      <c r="B3642">
        <v>1</v>
      </c>
      <c r="C3642" t="s">
        <v>96</v>
      </c>
      <c r="D3642" t="s">
        <v>97</v>
      </c>
      <c r="E3642" s="1">
        <v>44251</v>
      </c>
      <c r="F3642">
        <v>1</v>
      </c>
      <c r="G3642" t="s">
        <v>24</v>
      </c>
      <c r="H3642" t="s">
        <v>25</v>
      </c>
      <c r="I3642" s="3">
        <v>1361</v>
      </c>
      <c r="J3642" s="3">
        <v>1361</v>
      </c>
      <c r="K3642" s="3">
        <v>397</v>
      </c>
      <c r="L3642" t="s">
        <v>98</v>
      </c>
      <c r="M3642">
        <v>3</v>
      </c>
      <c r="N3642" t="s">
        <v>69</v>
      </c>
      <c r="O3642" t="s">
        <v>70</v>
      </c>
      <c r="P3642" t="s">
        <v>71</v>
      </c>
      <c r="Q3642" t="s">
        <v>72</v>
      </c>
      <c r="R3642" t="s">
        <v>139</v>
      </c>
      <c r="S3642" t="s">
        <v>144</v>
      </c>
      <c r="T3642" s="2">
        <f>MASTER[[#This Row],[CANTIDAD]]*MASTER[[#This Row],[PRECIO DE VENTA]]</f>
        <v>1361</v>
      </c>
      <c r="U3642" s="2">
        <f>MASTER[[#This Row],[CANTIDAD]]*MASTER[[#This Row],[COSTO UNITARIO]]</f>
        <v>397</v>
      </c>
      <c r="V3642" s="2">
        <f>MASTER[[#This Row],[MONTO VENDIDO]]-MASTER[[#This Row],[COSTO DE VENTA]]</f>
        <v>964</v>
      </c>
    </row>
    <row r="3643" spans="1:22" x14ac:dyDescent="0.3">
      <c r="A3643">
        <v>56667</v>
      </c>
      <c r="B3643">
        <v>1</v>
      </c>
      <c r="C3643" t="s">
        <v>96</v>
      </c>
      <c r="D3643" t="s">
        <v>97</v>
      </c>
      <c r="E3643" s="1">
        <v>44251</v>
      </c>
      <c r="F3643">
        <v>1</v>
      </c>
      <c r="G3643" t="s">
        <v>20</v>
      </c>
      <c r="H3643" t="s">
        <v>21</v>
      </c>
      <c r="I3643" s="3">
        <v>1272</v>
      </c>
      <c r="J3643" s="3">
        <v>1272</v>
      </c>
      <c r="K3643" s="3">
        <v>397</v>
      </c>
      <c r="L3643" t="s">
        <v>98</v>
      </c>
      <c r="M3643">
        <v>7</v>
      </c>
      <c r="N3643" t="s">
        <v>84</v>
      </c>
      <c r="O3643" t="s">
        <v>81</v>
      </c>
      <c r="P3643" t="s">
        <v>12</v>
      </c>
      <c r="Q3643" t="s">
        <v>13</v>
      </c>
      <c r="R3643" t="s">
        <v>13</v>
      </c>
      <c r="S3643" t="s">
        <v>144</v>
      </c>
      <c r="T3643" s="2">
        <f>MASTER[[#This Row],[CANTIDAD]]*MASTER[[#This Row],[PRECIO DE VENTA]]</f>
        <v>1272</v>
      </c>
      <c r="U3643" s="2">
        <f>MASTER[[#This Row],[CANTIDAD]]*MASTER[[#This Row],[COSTO UNITARIO]]</f>
        <v>397</v>
      </c>
      <c r="V3643" s="2">
        <f>MASTER[[#This Row],[MONTO VENDIDO]]-MASTER[[#This Row],[COSTO DE VENTA]]</f>
        <v>875</v>
      </c>
    </row>
    <row r="3644" spans="1:22" x14ac:dyDescent="0.3">
      <c r="A3644">
        <v>56669</v>
      </c>
      <c r="B3644">
        <v>1</v>
      </c>
      <c r="C3644" t="s">
        <v>109</v>
      </c>
      <c r="D3644" t="s">
        <v>110</v>
      </c>
      <c r="E3644" s="1">
        <v>44251</v>
      </c>
      <c r="F3644">
        <v>1</v>
      </c>
      <c r="G3644" t="s">
        <v>24</v>
      </c>
      <c r="H3644" t="s">
        <v>25</v>
      </c>
      <c r="I3644" s="3">
        <v>1128</v>
      </c>
      <c r="J3644" s="3">
        <v>1071</v>
      </c>
      <c r="K3644" s="3">
        <v>387</v>
      </c>
      <c r="L3644" t="s">
        <v>98</v>
      </c>
      <c r="M3644">
        <v>3</v>
      </c>
      <c r="N3644" t="s">
        <v>69</v>
      </c>
      <c r="O3644" t="s">
        <v>70</v>
      </c>
      <c r="P3644" t="s">
        <v>71</v>
      </c>
      <c r="Q3644" t="s">
        <v>72</v>
      </c>
      <c r="R3644" t="s">
        <v>139</v>
      </c>
      <c r="S3644" t="s">
        <v>144</v>
      </c>
      <c r="T3644" s="2">
        <f>MASTER[[#This Row],[CANTIDAD]]*MASTER[[#This Row],[PRECIO DE VENTA]]</f>
        <v>1071</v>
      </c>
      <c r="U3644" s="2">
        <f>MASTER[[#This Row],[CANTIDAD]]*MASTER[[#This Row],[COSTO UNITARIO]]</f>
        <v>387</v>
      </c>
      <c r="V3644" s="2">
        <f>MASTER[[#This Row],[MONTO VENDIDO]]-MASTER[[#This Row],[COSTO DE VENTA]]</f>
        <v>684</v>
      </c>
    </row>
    <row r="3645" spans="1:22" x14ac:dyDescent="0.3">
      <c r="A3645">
        <v>56672</v>
      </c>
      <c r="B3645">
        <v>1</v>
      </c>
      <c r="C3645" t="s">
        <v>114</v>
      </c>
      <c r="D3645" t="s">
        <v>115</v>
      </c>
      <c r="E3645" s="1">
        <v>44252</v>
      </c>
      <c r="F3645">
        <v>1</v>
      </c>
      <c r="G3645" t="s">
        <v>20</v>
      </c>
      <c r="H3645" t="s">
        <v>21</v>
      </c>
      <c r="I3645" s="3">
        <v>2030</v>
      </c>
      <c r="J3645" s="3">
        <v>2030</v>
      </c>
      <c r="K3645" s="3">
        <v>394</v>
      </c>
      <c r="L3645" t="s">
        <v>113</v>
      </c>
      <c r="M3645">
        <v>18</v>
      </c>
      <c r="N3645" t="s">
        <v>79</v>
      </c>
      <c r="O3645" t="s">
        <v>70</v>
      </c>
      <c r="P3645" t="s">
        <v>15</v>
      </c>
      <c r="Q3645" t="s">
        <v>16</v>
      </c>
      <c r="R3645" t="s">
        <v>16</v>
      </c>
      <c r="S3645" t="s">
        <v>144</v>
      </c>
      <c r="T3645" s="2">
        <f>MASTER[[#This Row],[CANTIDAD]]*MASTER[[#This Row],[PRECIO DE VENTA]]</f>
        <v>2030</v>
      </c>
      <c r="U3645" s="2">
        <f>MASTER[[#This Row],[CANTIDAD]]*MASTER[[#This Row],[COSTO UNITARIO]]</f>
        <v>394</v>
      </c>
      <c r="V3645" s="2">
        <f>MASTER[[#This Row],[MONTO VENDIDO]]-MASTER[[#This Row],[COSTO DE VENTA]]</f>
        <v>1636</v>
      </c>
    </row>
    <row r="3646" spans="1:22" x14ac:dyDescent="0.3">
      <c r="A3646">
        <v>56672</v>
      </c>
      <c r="B3646">
        <v>2</v>
      </c>
      <c r="C3646" t="s">
        <v>114</v>
      </c>
      <c r="D3646" t="s">
        <v>115</v>
      </c>
      <c r="E3646" s="1">
        <v>44252</v>
      </c>
      <c r="F3646">
        <v>1</v>
      </c>
      <c r="G3646" t="s">
        <v>31</v>
      </c>
      <c r="H3646" t="s">
        <v>32</v>
      </c>
      <c r="I3646" s="3">
        <v>2030</v>
      </c>
      <c r="J3646" s="3">
        <v>2030</v>
      </c>
      <c r="K3646" s="3">
        <v>394</v>
      </c>
      <c r="L3646" t="s">
        <v>113</v>
      </c>
      <c r="M3646">
        <v>18</v>
      </c>
      <c r="N3646" t="s">
        <v>79</v>
      </c>
      <c r="O3646" t="s">
        <v>70</v>
      </c>
      <c r="P3646" t="s">
        <v>15</v>
      </c>
      <c r="Q3646" t="s">
        <v>16</v>
      </c>
      <c r="R3646" t="s">
        <v>16</v>
      </c>
      <c r="S3646" t="s">
        <v>144</v>
      </c>
      <c r="T3646" s="2">
        <f>MASTER[[#This Row],[CANTIDAD]]*MASTER[[#This Row],[PRECIO DE VENTA]]</f>
        <v>2030</v>
      </c>
      <c r="U3646" s="2">
        <f>MASTER[[#This Row],[CANTIDAD]]*MASTER[[#This Row],[COSTO UNITARIO]]</f>
        <v>394</v>
      </c>
      <c r="V3646" s="2">
        <f>MASTER[[#This Row],[MONTO VENDIDO]]-MASTER[[#This Row],[COSTO DE VENTA]]</f>
        <v>1636</v>
      </c>
    </row>
    <row r="3647" spans="1:22" x14ac:dyDescent="0.3">
      <c r="A3647">
        <v>56681</v>
      </c>
      <c r="B3647">
        <v>1</v>
      </c>
      <c r="C3647" t="s">
        <v>105</v>
      </c>
      <c r="D3647" t="s">
        <v>106</v>
      </c>
      <c r="E3647" s="1">
        <v>44252</v>
      </c>
      <c r="F3647">
        <v>1</v>
      </c>
      <c r="G3647" t="s">
        <v>20</v>
      </c>
      <c r="H3647" t="s">
        <v>21</v>
      </c>
      <c r="I3647" s="3">
        <v>1585</v>
      </c>
      <c r="J3647" s="3">
        <v>1585</v>
      </c>
      <c r="K3647" s="3">
        <v>459</v>
      </c>
      <c r="L3647" t="s">
        <v>98</v>
      </c>
      <c r="M3647">
        <v>12</v>
      </c>
      <c r="N3647" t="s">
        <v>26</v>
      </c>
      <c r="O3647" t="s">
        <v>11</v>
      </c>
      <c r="P3647" t="s">
        <v>12</v>
      </c>
      <c r="Q3647" t="s">
        <v>13</v>
      </c>
      <c r="R3647" t="s">
        <v>13</v>
      </c>
      <c r="S3647" t="s">
        <v>144</v>
      </c>
      <c r="T3647" s="2">
        <f>MASTER[[#This Row],[CANTIDAD]]*MASTER[[#This Row],[PRECIO DE VENTA]]</f>
        <v>1585</v>
      </c>
      <c r="U3647" s="2">
        <f>MASTER[[#This Row],[CANTIDAD]]*MASTER[[#This Row],[COSTO UNITARIO]]</f>
        <v>459</v>
      </c>
      <c r="V3647" s="2">
        <f>MASTER[[#This Row],[MONTO VENDIDO]]-MASTER[[#This Row],[COSTO DE VENTA]]</f>
        <v>1126</v>
      </c>
    </row>
    <row r="3648" spans="1:22" x14ac:dyDescent="0.3">
      <c r="A3648">
        <v>56683</v>
      </c>
      <c r="B3648">
        <v>1</v>
      </c>
      <c r="C3648" t="s">
        <v>105</v>
      </c>
      <c r="D3648" t="s">
        <v>106</v>
      </c>
      <c r="E3648" s="1">
        <v>44252</v>
      </c>
      <c r="F3648">
        <v>1</v>
      </c>
      <c r="G3648" t="s">
        <v>45</v>
      </c>
      <c r="H3648" t="s">
        <v>46</v>
      </c>
      <c r="I3648" s="3">
        <v>1865</v>
      </c>
      <c r="J3648" s="3">
        <v>1865</v>
      </c>
      <c r="K3648" s="3">
        <v>459</v>
      </c>
      <c r="L3648" t="s">
        <v>98</v>
      </c>
      <c r="M3648">
        <v>15</v>
      </c>
      <c r="N3648" t="s">
        <v>88</v>
      </c>
      <c r="O3648" t="s">
        <v>81</v>
      </c>
      <c r="P3648" t="s">
        <v>18</v>
      </c>
      <c r="Q3648" t="s">
        <v>19</v>
      </c>
      <c r="R3648" t="s">
        <v>138</v>
      </c>
      <c r="S3648" t="s">
        <v>144</v>
      </c>
      <c r="T3648" s="2">
        <f>MASTER[[#This Row],[CANTIDAD]]*MASTER[[#This Row],[PRECIO DE VENTA]]</f>
        <v>1865</v>
      </c>
      <c r="U3648" s="2">
        <f>MASTER[[#This Row],[CANTIDAD]]*MASTER[[#This Row],[COSTO UNITARIO]]</f>
        <v>459</v>
      </c>
      <c r="V3648" s="2">
        <f>MASTER[[#This Row],[MONTO VENDIDO]]-MASTER[[#This Row],[COSTO DE VENTA]]</f>
        <v>1406</v>
      </c>
    </row>
    <row r="3649" spans="1:22" x14ac:dyDescent="0.3">
      <c r="A3649">
        <v>56696</v>
      </c>
      <c r="B3649">
        <v>1</v>
      </c>
      <c r="C3649" t="s">
        <v>111</v>
      </c>
      <c r="D3649" t="s">
        <v>112</v>
      </c>
      <c r="E3649" s="1">
        <v>44252</v>
      </c>
      <c r="F3649">
        <v>1</v>
      </c>
      <c r="G3649" t="s">
        <v>55</v>
      </c>
      <c r="H3649" t="s">
        <v>56</v>
      </c>
      <c r="I3649" s="3">
        <v>1621</v>
      </c>
      <c r="J3649" s="3">
        <v>1523</v>
      </c>
      <c r="K3649" s="3">
        <v>434</v>
      </c>
      <c r="L3649" t="s">
        <v>113</v>
      </c>
      <c r="M3649">
        <v>10</v>
      </c>
      <c r="N3649" t="s">
        <v>83</v>
      </c>
      <c r="O3649" t="s">
        <v>81</v>
      </c>
      <c r="P3649" t="s">
        <v>12</v>
      </c>
      <c r="Q3649" t="s">
        <v>13</v>
      </c>
      <c r="R3649" t="s">
        <v>13</v>
      </c>
      <c r="S3649" t="s">
        <v>144</v>
      </c>
      <c r="T3649" s="2">
        <f>MASTER[[#This Row],[CANTIDAD]]*MASTER[[#This Row],[PRECIO DE VENTA]]</f>
        <v>1523</v>
      </c>
      <c r="U3649" s="2">
        <f>MASTER[[#This Row],[CANTIDAD]]*MASTER[[#This Row],[COSTO UNITARIO]]</f>
        <v>434</v>
      </c>
      <c r="V3649" s="2">
        <f>MASTER[[#This Row],[MONTO VENDIDO]]-MASTER[[#This Row],[COSTO DE VENTA]]</f>
        <v>1089</v>
      </c>
    </row>
    <row r="3650" spans="1:22" x14ac:dyDescent="0.3">
      <c r="A3650">
        <v>56701</v>
      </c>
      <c r="B3650">
        <v>1</v>
      </c>
      <c r="C3650" t="s">
        <v>121</v>
      </c>
      <c r="D3650" t="s">
        <v>122</v>
      </c>
      <c r="E3650" s="1">
        <v>44252</v>
      </c>
      <c r="F3650">
        <v>1</v>
      </c>
      <c r="G3650" t="s">
        <v>33</v>
      </c>
      <c r="H3650" t="s">
        <v>34</v>
      </c>
      <c r="I3650" s="3">
        <v>941</v>
      </c>
      <c r="J3650" s="3">
        <v>941</v>
      </c>
      <c r="K3650" s="3">
        <v>460</v>
      </c>
      <c r="L3650" t="s">
        <v>120</v>
      </c>
      <c r="M3650">
        <v>12</v>
      </c>
      <c r="N3650" t="s">
        <v>26</v>
      </c>
      <c r="O3650" t="s">
        <v>11</v>
      </c>
      <c r="P3650" t="s">
        <v>12</v>
      </c>
      <c r="Q3650" t="s">
        <v>13</v>
      </c>
      <c r="R3650" t="s">
        <v>13</v>
      </c>
      <c r="S3650" t="s">
        <v>144</v>
      </c>
      <c r="T3650" s="2">
        <f>MASTER[[#This Row],[CANTIDAD]]*MASTER[[#This Row],[PRECIO DE VENTA]]</f>
        <v>941</v>
      </c>
      <c r="U3650" s="2">
        <f>MASTER[[#This Row],[CANTIDAD]]*MASTER[[#This Row],[COSTO UNITARIO]]</f>
        <v>460</v>
      </c>
      <c r="V3650" s="2">
        <f>MASTER[[#This Row],[MONTO VENDIDO]]-MASTER[[#This Row],[COSTO DE VENTA]]</f>
        <v>481</v>
      </c>
    </row>
    <row r="3651" spans="1:22" x14ac:dyDescent="0.3">
      <c r="A3651">
        <v>56724</v>
      </c>
      <c r="B3651">
        <v>1</v>
      </c>
      <c r="C3651" t="s">
        <v>109</v>
      </c>
      <c r="D3651" t="s">
        <v>110</v>
      </c>
      <c r="E3651" s="1">
        <v>44252</v>
      </c>
      <c r="F3651">
        <v>1</v>
      </c>
      <c r="G3651" t="s">
        <v>57</v>
      </c>
      <c r="H3651" t="s">
        <v>58</v>
      </c>
      <c r="I3651" s="3">
        <v>1064</v>
      </c>
      <c r="J3651" s="3">
        <v>1064</v>
      </c>
      <c r="K3651" s="3">
        <v>387</v>
      </c>
      <c r="L3651" t="s">
        <v>98</v>
      </c>
      <c r="M3651">
        <v>10</v>
      </c>
      <c r="N3651" t="s">
        <v>83</v>
      </c>
      <c r="O3651" t="s">
        <v>81</v>
      </c>
      <c r="P3651" t="s">
        <v>12</v>
      </c>
      <c r="Q3651" t="s">
        <v>13</v>
      </c>
      <c r="R3651" t="s">
        <v>13</v>
      </c>
      <c r="S3651" t="s">
        <v>144</v>
      </c>
      <c r="T3651" s="2">
        <f>MASTER[[#This Row],[CANTIDAD]]*MASTER[[#This Row],[PRECIO DE VENTA]]</f>
        <v>1064</v>
      </c>
      <c r="U3651" s="2">
        <f>MASTER[[#This Row],[CANTIDAD]]*MASTER[[#This Row],[COSTO UNITARIO]]</f>
        <v>387</v>
      </c>
      <c r="V3651" s="2">
        <f>MASTER[[#This Row],[MONTO VENDIDO]]-MASTER[[#This Row],[COSTO DE VENTA]]</f>
        <v>677</v>
      </c>
    </row>
    <row r="3652" spans="1:22" x14ac:dyDescent="0.3">
      <c r="A3652">
        <v>56731</v>
      </c>
      <c r="B3652">
        <v>1</v>
      </c>
      <c r="C3652" t="s">
        <v>114</v>
      </c>
      <c r="D3652" t="s">
        <v>115</v>
      </c>
      <c r="E3652" s="1">
        <v>44252</v>
      </c>
      <c r="F3652">
        <v>1</v>
      </c>
      <c r="G3652" t="s">
        <v>22</v>
      </c>
      <c r="H3652" t="s">
        <v>23</v>
      </c>
      <c r="I3652" s="3">
        <v>1862</v>
      </c>
      <c r="J3652" s="3">
        <v>1862</v>
      </c>
      <c r="K3652" s="3">
        <v>394</v>
      </c>
      <c r="L3652" t="s">
        <v>113</v>
      </c>
      <c r="M3652">
        <v>2</v>
      </c>
      <c r="N3652" t="s">
        <v>86</v>
      </c>
      <c r="O3652" t="s">
        <v>81</v>
      </c>
      <c r="P3652" t="s">
        <v>71</v>
      </c>
      <c r="Q3652" t="s">
        <v>72</v>
      </c>
      <c r="R3652" t="s">
        <v>139</v>
      </c>
      <c r="S3652" t="s">
        <v>144</v>
      </c>
      <c r="T3652" s="2">
        <f>MASTER[[#This Row],[CANTIDAD]]*MASTER[[#This Row],[PRECIO DE VENTA]]</f>
        <v>1862</v>
      </c>
      <c r="U3652" s="2">
        <f>MASTER[[#This Row],[CANTIDAD]]*MASTER[[#This Row],[COSTO UNITARIO]]</f>
        <v>394</v>
      </c>
      <c r="V3652" s="2">
        <f>MASTER[[#This Row],[MONTO VENDIDO]]-MASTER[[#This Row],[COSTO DE VENTA]]</f>
        <v>1468</v>
      </c>
    </row>
    <row r="3653" spans="1:22" x14ac:dyDescent="0.3">
      <c r="A3653">
        <v>56756</v>
      </c>
      <c r="B3653">
        <v>1</v>
      </c>
      <c r="C3653" t="s">
        <v>107</v>
      </c>
      <c r="D3653" t="s">
        <v>108</v>
      </c>
      <c r="E3653" s="1">
        <v>44252</v>
      </c>
      <c r="F3653">
        <v>1</v>
      </c>
      <c r="G3653" t="s">
        <v>65</v>
      </c>
      <c r="H3653" t="s">
        <v>66</v>
      </c>
      <c r="I3653" s="3">
        <v>1333</v>
      </c>
      <c r="J3653" s="3">
        <v>1333</v>
      </c>
      <c r="K3653" s="3">
        <v>380</v>
      </c>
      <c r="L3653" t="s">
        <v>98</v>
      </c>
      <c r="M3653">
        <v>8</v>
      </c>
      <c r="N3653" t="s">
        <v>80</v>
      </c>
      <c r="O3653" t="s">
        <v>81</v>
      </c>
      <c r="P3653" t="s">
        <v>12</v>
      </c>
      <c r="Q3653" t="s">
        <v>13</v>
      </c>
      <c r="R3653" t="s">
        <v>13</v>
      </c>
      <c r="S3653" t="s">
        <v>144</v>
      </c>
      <c r="T3653" s="2">
        <f>MASTER[[#This Row],[CANTIDAD]]*MASTER[[#This Row],[PRECIO DE VENTA]]</f>
        <v>1333</v>
      </c>
      <c r="U3653" s="2">
        <f>MASTER[[#This Row],[CANTIDAD]]*MASTER[[#This Row],[COSTO UNITARIO]]</f>
        <v>380</v>
      </c>
      <c r="V3653" s="2">
        <f>MASTER[[#This Row],[MONTO VENDIDO]]-MASTER[[#This Row],[COSTO DE VENTA]]</f>
        <v>953</v>
      </c>
    </row>
    <row r="3654" spans="1:22" x14ac:dyDescent="0.3">
      <c r="A3654">
        <v>56764</v>
      </c>
      <c r="B3654">
        <v>1</v>
      </c>
      <c r="C3654" t="s">
        <v>114</v>
      </c>
      <c r="D3654" t="s">
        <v>115</v>
      </c>
      <c r="E3654" s="1">
        <v>44252</v>
      </c>
      <c r="F3654">
        <v>1</v>
      </c>
      <c r="G3654" t="s">
        <v>43</v>
      </c>
      <c r="H3654" t="s">
        <v>44</v>
      </c>
      <c r="I3654" s="3">
        <v>1862</v>
      </c>
      <c r="J3654" s="3">
        <v>1862</v>
      </c>
      <c r="K3654" s="3">
        <v>394</v>
      </c>
      <c r="L3654" t="s">
        <v>113</v>
      </c>
      <c r="M3654">
        <v>2</v>
      </c>
      <c r="N3654" t="s">
        <v>86</v>
      </c>
      <c r="O3654" t="s">
        <v>81</v>
      </c>
      <c r="P3654" t="s">
        <v>71</v>
      </c>
      <c r="Q3654" t="s">
        <v>72</v>
      </c>
      <c r="R3654" t="s">
        <v>139</v>
      </c>
      <c r="S3654" t="s">
        <v>144</v>
      </c>
      <c r="T3654" s="2">
        <f>MASTER[[#This Row],[CANTIDAD]]*MASTER[[#This Row],[PRECIO DE VENTA]]</f>
        <v>1862</v>
      </c>
      <c r="U3654" s="2">
        <f>MASTER[[#This Row],[CANTIDAD]]*MASTER[[#This Row],[COSTO UNITARIO]]</f>
        <v>394</v>
      </c>
      <c r="V3654" s="2">
        <f>MASTER[[#This Row],[MONTO VENDIDO]]-MASTER[[#This Row],[COSTO DE VENTA]]</f>
        <v>1468</v>
      </c>
    </row>
    <row r="3655" spans="1:22" x14ac:dyDescent="0.3">
      <c r="A3655">
        <v>56774</v>
      </c>
      <c r="B3655">
        <v>1</v>
      </c>
      <c r="C3655" t="s">
        <v>92</v>
      </c>
      <c r="D3655" t="s">
        <v>93</v>
      </c>
      <c r="E3655" s="1">
        <v>44253</v>
      </c>
      <c r="F3655">
        <v>1</v>
      </c>
      <c r="G3655" t="s">
        <v>7</v>
      </c>
      <c r="H3655" t="s">
        <v>8</v>
      </c>
      <c r="I3655" s="3">
        <v>1866</v>
      </c>
      <c r="J3655" s="3">
        <v>1866</v>
      </c>
      <c r="K3655" s="3">
        <v>396</v>
      </c>
      <c r="L3655" t="s">
        <v>9</v>
      </c>
      <c r="M3655">
        <v>18</v>
      </c>
      <c r="N3655" t="s">
        <v>79</v>
      </c>
      <c r="O3655" t="s">
        <v>70</v>
      </c>
      <c r="P3655" t="s">
        <v>15</v>
      </c>
      <c r="Q3655" t="s">
        <v>16</v>
      </c>
      <c r="R3655" t="s">
        <v>16</v>
      </c>
      <c r="S3655" t="s">
        <v>144</v>
      </c>
      <c r="T3655" s="2">
        <f>MASTER[[#This Row],[CANTIDAD]]*MASTER[[#This Row],[PRECIO DE VENTA]]</f>
        <v>1866</v>
      </c>
      <c r="U3655" s="2">
        <f>MASTER[[#This Row],[CANTIDAD]]*MASTER[[#This Row],[COSTO UNITARIO]]</f>
        <v>396</v>
      </c>
      <c r="V3655" s="2">
        <f>MASTER[[#This Row],[MONTO VENDIDO]]-MASTER[[#This Row],[COSTO DE VENTA]]</f>
        <v>1470</v>
      </c>
    </row>
    <row r="3656" spans="1:22" x14ac:dyDescent="0.3">
      <c r="A3656">
        <v>56777</v>
      </c>
      <c r="B3656">
        <v>1</v>
      </c>
      <c r="C3656" t="s">
        <v>114</v>
      </c>
      <c r="D3656" t="s">
        <v>115</v>
      </c>
      <c r="E3656" s="1">
        <v>44253</v>
      </c>
      <c r="F3656">
        <v>1</v>
      </c>
      <c r="G3656" t="s">
        <v>7</v>
      </c>
      <c r="H3656" t="s">
        <v>8</v>
      </c>
      <c r="I3656" s="3">
        <v>1583</v>
      </c>
      <c r="J3656" s="3">
        <v>1583</v>
      </c>
      <c r="K3656" s="3">
        <v>394</v>
      </c>
      <c r="L3656" t="s">
        <v>113</v>
      </c>
      <c r="M3656">
        <v>11</v>
      </c>
      <c r="N3656" t="s">
        <v>10</v>
      </c>
      <c r="O3656" t="s">
        <v>11</v>
      </c>
      <c r="P3656" t="s">
        <v>12</v>
      </c>
      <c r="Q3656" t="s">
        <v>13</v>
      </c>
      <c r="R3656" t="s">
        <v>13</v>
      </c>
      <c r="S3656" t="s">
        <v>144</v>
      </c>
      <c r="T3656" s="2">
        <f>MASTER[[#This Row],[CANTIDAD]]*MASTER[[#This Row],[PRECIO DE VENTA]]</f>
        <v>1583</v>
      </c>
      <c r="U3656" s="2">
        <f>MASTER[[#This Row],[CANTIDAD]]*MASTER[[#This Row],[COSTO UNITARIO]]</f>
        <v>394</v>
      </c>
      <c r="V3656" s="2">
        <f>MASTER[[#This Row],[MONTO VENDIDO]]-MASTER[[#This Row],[COSTO DE VENTA]]</f>
        <v>1189</v>
      </c>
    </row>
    <row r="3657" spans="1:22" x14ac:dyDescent="0.3">
      <c r="A3657">
        <v>56779</v>
      </c>
      <c r="B3657">
        <v>1</v>
      </c>
      <c r="C3657" t="s">
        <v>105</v>
      </c>
      <c r="D3657" t="s">
        <v>106</v>
      </c>
      <c r="E3657" s="1">
        <v>44253</v>
      </c>
      <c r="F3657">
        <v>1</v>
      </c>
      <c r="G3657" t="s">
        <v>47</v>
      </c>
      <c r="H3657" t="s">
        <v>48</v>
      </c>
      <c r="I3657" s="3">
        <v>2033</v>
      </c>
      <c r="J3657" s="3">
        <v>2033</v>
      </c>
      <c r="K3657" s="3">
        <v>459</v>
      </c>
      <c r="L3657" t="s">
        <v>98</v>
      </c>
      <c r="M3657">
        <v>6</v>
      </c>
      <c r="N3657" t="s">
        <v>75</v>
      </c>
      <c r="O3657" t="s">
        <v>70</v>
      </c>
      <c r="P3657" t="s">
        <v>12</v>
      </c>
      <c r="Q3657" t="s">
        <v>13</v>
      </c>
      <c r="R3657" t="s">
        <v>13</v>
      </c>
      <c r="S3657" t="s">
        <v>144</v>
      </c>
      <c r="T3657" s="2">
        <f>MASTER[[#This Row],[CANTIDAD]]*MASTER[[#This Row],[PRECIO DE VENTA]]</f>
        <v>2033</v>
      </c>
      <c r="U3657" s="2">
        <f>MASTER[[#This Row],[CANTIDAD]]*MASTER[[#This Row],[COSTO UNITARIO]]</f>
        <v>459</v>
      </c>
      <c r="V3657" s="2">
        <f>MASTER[[#This Row],[MONTO VENDIDO]]-MASTER[[#This Row],[COSTO DE VENTA]]</f>
        <v>1574</v>
      </c>
    </row>
    <row r="3658" spans="1:22" x14ac:dyDescent="0.3">
      <c r="A3658">
        <v>56780</v>
      </c>
      <c r="B3658">
        <v>1</v>
      </c>
      <c r="C3658" t="s">
        <v>118</v>
      </c>
      <c r="D3658" t="s">
        <v>119</v>
      </c>
      <c r="E3658" s="1">
        <v>44253</v>
      </c>
      <c r="F3658">
        <v>1</v>
      </c>
      <c r="G3658" t="s">
        <v>31</v>
      </c>
      <c r="H3658" t="s">
        <v>32</v>
      </c>
      <c r="I3658" s="3">
        <v>1026</v>
      </c>
      <c r="J3658" s="3">
        <v>1026</v>
      </c>
      <c r="K3658" s="3">
        <v>424</v>
      </c>
      <c r="L3658" t="s">
        <v>120</v>
      </c>
      <c r="M3658">
        <v>13</v>
      </c>
      <c r="N3658" t="s">
        <v>78</v>
      </c>
      <c r="O3658" t="s">
        <v>70</v>
      </c>
      <c r="P3658" t="s">
        <v>18</v>
      </c>
      <c r="Q3658" t="s">
        <v>19</v>
      </c>
      <c r="R3658" t="s">
        <v>138</v>
      </c>
      <c r="S3658" t="s">
        <v>144</v>
      </c>
      <c r="T3658" s="2">
        <f>MASTER[[#This Row],[CANTIDAD]]*MASTER[[#This Row],[PRECIO DE VENTA]]</f>
        <v>1026</v>
      </c>
      <c r="U3658" s="2">
        <f>MASTER[[#This Row],[CANTIDAD]]*MASTER[[#This Row],[COSTO UNITARIO]]</f>
        <v>424</v>
      </c>
      <c r="V3658" s="2">
        <f>MASTER[[#This Row],[MONTO VENDIDO]]-MASTER[[#This Row],[COSTO DE VENTA]]</f>
        <v>602</v>
      </c>
    </row>
    <row r="3659" spans="1:22" x14ac:dyDescent="0.3">
      <c r="A3659">
        <v>56788</v>
      </c>
      <c r="B3659">
        <v>1</v>
      </c>
      <c r="C3659" t="s">
        <v>103</v>
      </c>
      <c r="D3659" t="s">
        <v>104</v>
      </c>
      <c r="E3659" s="1">
        <v>44253</v>
      </c>
      <c r="F3659">
        <v>1</v>
      </c>
      <c r="G3659" t="s">
        <v>73</v>
      </c>
      <c r="H3659" t="s">
        <v>74</v>
      </c>
      <c r="I3659" s="3">
        <v>1591</v>
      </c>
      <c r="J3659" s="3">
        <v>1591</v>
      </c>
      <c r="K3659" s="3">
        <v>421</v>
      </c>
      <c r="L3659" t="s">
        <v>98</v>
      </c>
      <c r="M3659">
        <v>14</v>
      </c>
      <c r="N3659" t="s">
        <v>87</v>
      </c>
      <c r="O3659" t="s">
        <v>81</v>
      </c>
      <c r="P3659" t="s">
        <v>18</v>
      </c>
      <c r="Q3659" t="s">
        <v>19</v>
      </c>
      <c r="R3659" t="s">
        <v>138</v>
      </c>
      <c r="S3659" t="s">
        <v>144</v>
      </c>
      <c r="T3659" s="2">
        <f>MASTER[[#This Row],[CANTIDAD]]*MASTER[[#This Row],[PRECIO DE VENTA]]</f>
        <v>1591</v>
      </c>
      <c r="U3659" s="2">
        <f>MASTER[[#This Row],[CANTIDAD]]*MASTER[[#This Row],[COSTO UNITARIO]]</f>
        <v>421</v>
      </c>
      <c r="V3659" s="2">
        <f>MASTER[[#This Row],[MONTO VENDIDO]]-MASTER[[#This Row],[COSTO DE VENTA]]</f>
        <v>1170</v>
      </c>
    </row>
    <row r="3660" spans="1:22" x14ac:dyDescent="0.3">
      <c r="A3660">
        <v>56795</v>
      </c>
      <c r="B3660">
        <v>1</v>
      </c>
      <c r="C3660" t="s">
        <v>103</v>
      </c>
      <c r="D3660" t="s">
        <v>104</v>
      </c>
      <c r="E3660" s="1">
        <v>44253</v>
      </c>
      <c r="F3660">
        <v>1</v>
      </c>
      <c r="G3660" t="s">
        <v>33</v>
      </c>
      <c r="H3660" t="s">
        <v>34</v>
      </c>
      <c r="I3660" s="3">
        <v>1830</v>
      </c>
      <c r="J3660" s="3">
        <v>1738</v>
      </c>
      <c r="K3660" s="3">
        <v>421</v>
      </c>
      <c r="L3660" t="s">
        <v>98</v>
      </c>
      <c r="M3660">
        <v>9</v>
      </c>
      <c r="N3660" t="s">
        <v>76</v>
      </c>
      <c r="O3660" t="s">
        <v>70</v>
      </c>
      <c r="P3660" t="s">
        <v>12</v>
      </c>
      <c r="Q3660" t="s">
        <v>13</v>
      </c>
      <c r="R3660" t="s">
        <v>13</v>
      </c>
      <c r="S3660" t="s">
        <v>144</v>
      </c>
      <c r="T3660" s="2">
        <f>MASTER[[#This Row],[CANTIDAD]]*MASTER[[#This Row],[PRECIO DE VENTA]]</f>
        <v>1738</v>
      </c>
      <c r="U3660" s="2">
        <f>MASTER[[#This Row],[CANTIDAD]]*MASTER[[#This Row],[COSTO UNITARIO]]</f>
        <v>421</v>
      </c>
      <c r="V3660" s="2">
        <f>MASTER[[#This Row],[MONTO VENDIDO]]-MASTER[[#This Row],[COSTO DE VENTA]]</f>
        <v>1317</v>
      </c>
    </row>
    <row r="3661" spans="1:22" x14ac:dyDescent="0.3">
      <c r="A3661">
        <v>56797</v>
      </c>
      <c r="B3661">
        <v>1</v>
      </c>
      <c r="C3661" t="s">
        <v>5</v>
      </c>
      <c r="D3661" t="s">
        <v>6</v>
      </c>
      <c r="E3661" s="1">
        <v>44253</v>
      </c>
      <c r="F3661">
        <v>1</v>
      </c>
      <c r="G3661" t="s">
        <v>45</v>
      </c>
      <c r="H3661" t="s">
        <v>46</v>
      </c>
      <c r="I3661" s="3">
        <v>1507</v>
      </c>
      <c r="J3661" s="3">
        <v>1507</v>
      </c>
      <c r="K3661" s="3">
        <v>393</v>
      </c>
      <c r="L3661" t="s">
        <v>9</v>
      </c>
      <c r="M3661">
        <v>14</v>
      </c>
      <c r="N3661" t="s">
        <v>87</v>
      </c>
      <c r="O3661" t="s">
        <v>81</v>
      </c>
      <c r="P3661" t="s">
        <v>18</v>
      </c>
      <c r="Q3661" t="s">
        <v>19</v>
      </c>
      <c r="R3661" t="s">
        <v>138</v>
      </c>
      <c r="S3661" t="s">
        <v>144</v>
      </c>
      <c r="T3661" s="2">
        <f>MASTER[[#This Row],[CANTIDAD]]*MASTER[[#This Row],[PRECIO DE VENTA]]</f>
        <v>1507</v>
      </c>
      <c r="U3661" s="2">
        <f>MASTER[[#This Row],[CANTIDAD]]*MASTER[[#This Row],[COSTO UNITARIO]]</f>
        <v>393</v>
      </c>
      <c r="V3661" s="2">
        <f>MASTER[[#This Row],[MONTO VENDIDO]]-MASTER[[#This Row],[COSTO DE VENTA]]</f>
        <v>1114</v>
      </c>
    </row>
    <row r="3662" spans="1:22" x14ac:dyDescent="0.3">
      <c r="A3662">
        <v>56810</v>
      </c>
      <c r="B3662">
        <v>1</v>
      </c>
      <c r="C3662" t="s">
        <v>94</v>
      </c>
      <c r="D3662" t="s">
        <v>95</v>
      </c>
      <c r="E3662" s="1">
        <v>44253</v>
      </c>
      <c r="F3662">
        <v>1</v>
      </c>
      <c r="G3662" t="s">
        <v>37</v>
      </c>
      <c r="H3662" t="s">
        <v>38</v>
      </c>
      <c r="I3662" s="3">
        <v>1048</v>
      </c>
      <c r="J3662" s="3">
        <v>1048</v>
      </c>
      <c r="K3662" s="3">
        <v>392</v>
      </c>
      <c r="L3662" t="s">
        <v>9</v>
      </c>
      <c r="M3662">
        <v>14</v>
      </c>
      <c r="N3662" t="s">
        <v>87</v>
      </c>
      <c r="O3662" t="s">
        <v>81</v>
      </c>
      <c r="P3662" t="s">
        <v>18</v>
      </c>
      <c r="Q3662" t="s">
        <v>19</v>
      </c>
      <c r="R3662" t="s">
        <v>138</v>
      </c>
      <c r="S3662" t="s">
        <v>144</v>
      </c>
      <c r="T3662" s="2">
        <f>MASTER[[#This Row],[CANTIDAD]]*MASTER[[#This Row],[PRECIO DE VENTA]]</f>
        <v>1048</v>
      </c>
      <c r="U3662" s="2">
        <f>MASTER[[#This Row],[CANTIDAD]]*MASTER[[#This Row],[COSTO UNITARIO]]</f>
        <v>392</v>
      </c>
      <c r="V3662" s="2">
        <f>MASTER[[#This Row],[MONTO VENDIDO]]-MASTER[[#This Row],[COSTO DE VENTA]]</f>
        <v>656</v>
      </c>
    </row>
    <row r="3663" spans="1:22" x14ac:dyDescent="0.3">
      <c r="A3663">
        <v>56834</v>
      </c>
      <c r="B3663">
        <v>1</v>
      </c>
      <c r="C3663" t="s">
        <v>105</v>
      </c>
      <c r="D3663" t="s">
        <v>106</v>
      </c>
      <c r="E3663" s="1">
        <v>44253</v>
      </c>
      <c r="F3663">
        <v>2</v>
      </c>
      <c r="G3663" t="s">
        <v>24</v>
      </c>
      <c r="H3663" t="s">
        <v>25</v>
      </c>
      <c r="I3663" s="3">
        <v>2033</v>
      </c>
      <c r="J3663" s="3">
        <v>1931</v>
      </c>
      <c r="K3663" s="3">
        <v>459</v>
      </c>
      <c r="L3663" t="s">
        <v>98</v>
      </c>
      <c r="M3663">
        <v>1</v>
      </c>
      <c r="N3663" t="s">
        <v>77</v>
      </c>
      <c r="O3663" t="s">
        <v>70</v>
      </c>
      <c r="P3663" t="s">
        <v>71</v>
      </c>
      <c r="Q3663" t="s">
        <v>72</v>
      </c>
      <c r="R3663" t="s">
        <v>139</v>
      </c>
      <c r="S3663" t="s">
        <v>144</v>
      </c>
      <c r="T3663" s="2">
        <f>MASTER[[#This Row],[CANTIDAD]]*MASTER[[#This Row],[PRECIO DE VENTA]]</f>
        <v>3862</v>
      </c>
      <c r="U3663" s="2">
        <f>MASTER[[#This Row],[CANTIDAD]]*MASTER[[#This Row],[COSTO UNITARIO]]</f>
        <v>918</v>
      </c>
      <c r="V3663" s="2">
        <f>MASTER[[#This Row],[MONTO VENDIDO]]-MASTER[[#This Row],[COSTO DE VENTA]]</f>
        <v>2944</v>
      </c>
    </row>
    <row r="3664" spans="1:22" x14ac:dyDescent="0.3">
      <c r="A3664">
        <v>56837</v>
      </c>
      <c r="B3664">
        <v>1</v>
      </c>
      <c r="C3664" t="s">
        <v>105</v>
      </c>
      <c r="D3664" t="s">
        <v>106</v>
      </c>
      <c r="E3664" s="1">
        <v>44254</v>
      </c>
      <c r="F3664">
        <v>1</v>
      </c>
      <c r="G3664" t="s">
        <v>65</v>
      </c>
      <c r="H3664" t="s">
        <v>66</v>
      </c>
      <c r="I3664" s="3">
        <v>1865</v>
      </c>
      <c r="J3664" s="3">
        <v>1865</v>
      </c>
      <c r="K3664" s="3">
        <v>459</v>
      </c>
      <c r="L3664" t="s">
        <v>98</v>
      </c>
      <c r="M3664">
        <v>10</v>
      </c>
      <c r="N3664" t="s">
        <v>83</v>
      </c>
      <c r="O3664" t="s">
        <v>81</v>
      </c>
      <c r="P3664" t="s">
        <v>12</v>
      </c>
      <c r="Q3664" t="s">
        <v>13</v>
      </c>
      <c r="R3664" t="s">
        <v>13</v>
      </c>
      <c r="S3664" t="s">
        <v>144</v>
      </c>
      <c r="T3664" s="2">
        <f>MASTER[[#This Row],[CANTIDAD]]*MASTER[[#This Row],[PRECIO DE VENTA]]</f>
        <v>1865</v>
      </c>
      <c r="U3664" s="2">
        <f>MASTER[[#This Row],[CANTIDAD]]*MASTER[[#This Row],[COSTO UNITARIO]]</f>
        <v>459</v>
      </c>
      <c r="V3664" s="2">
        <f>MASTER[[#This Row],[MONTO VENDIDO]]-MASTER[[#This Row],[COSTO DE VENTA]]</f>
        <v>1406</v>
      </c>
    </row>
    <row r="3665" spans="1:22" x14ac:dyDescent="0.3">
      <c r="A3665">
        <v>56856</v>
      </c>
      <c r="B3665">
        <v>1</v>
      </c>
      <c r="C3665" t="s">
        <v>109</v>
      </c>
      <c r="D3665" t="s">
        <v>110</v>
      </c>
      <c r="E3665" s="1">
        <v>44254</v>
      </c>
      <c r="F3665">
        <v>1</v>
      </c>
      <c r="G3665" t="s">
        <v>29</v>
      </c>
      <c r="H3665" t="s">
        <v>30</v>
      </c>
      <c r="I3665" s="3">
        <v>1064</v>
      </c>
      <c r="J3665" s="3">
        <v>1064</v>
      </c>
      <c r="K3665" s="3">
        <v>387</v>
      </c>
      <c r="L3665" t="s">
        <v>98</v>
      </c>
      <c r="M3665">
        <v>7</v>
      </c>
      <c r="N3665" t="s">
        <v>84</v>
      </c>
      <c r="O3665" t="s">
        <v>81</v>
      </c>
      <c r="P3665" t="s">
        <v>12</v>
      </c>
      <c r="Q3665" t="s">
        <v>13</v>
      </c>
      <c r="R3665" t="s">
        <v>13</v>
      </c>
      <c r="S3665" t="s">
        <v>144</v>
      </c>
      <c r="T3665" s="2">
        <f>MASTER[[#This Row],[CANTIDAD]]*MASTER[[#This Row],[PRECIO DE VENTA]]</f>
        <v>1064</v>
      </c>
      <c r="U3665" s="2">
        <f>MASTER[[#This Row],[CANTIDAD]]*MASTER[[#This Row],[COSTO UNITARIO]]</f>
        <v>387</v>
      </c>
      <c r="V3665" s="2">
        <f>MASTER[[#This Row],[MONTO VENDIDO]]-MASTER[[#This Row],[COSTO DE VENTA]]</f>
        <v>677</v>
      </c>
    </row>
    <row r="3666" spans="1:22" x14ac:dyDescent="0.3">
      <c r="A3666">
        <v>56863</v>
      </c>
      <c r="B3666">
        <v>1</v>
      </c>
      <c r="C3666" t="s">
        <v>92</v>
      </c>
      <c r="D3666" t="s">
        <v>93</v>
      </c>
      <c r="E3666" s="1">
        <v>44254</v>
      </c>
      <c r="F3666">
        <v>1</v>
      </c>
      <c r="G3666" t="s">
        <v>59</v>
      </c>
      <c r="H3666" t="s">
        <v>60</v>
      </c>
      <c r="I3666" s="3">
        <v>1866</v>
      </c>
      <c r="J3666" s="3">
        <v>1866</v>
      </c>
      <c r="K3666" s="3">
        <v>396</v>
      </c>
      <c r="L3666" t="s">
        <v>9</v>
      </c>
      <c r="M3666">
        <v>13</v>
      </c>
      <c r="N3666" t="s">
        <v>78</v>
      </c>
      <c r="O3666" t="s">
        <v>70</v>
      </c>
      <c r="P3666" t="s">
        <v>18</v>
      </c>
      <c r="Q3666" t="s">
        <v>19</v>
      </c>
      <c r="R3666" t="s">
        <v>138</v>
      </c>
      <c r="S3666" t="s">
        <v>144</v>
      </c>
      <c r="T3666" s="2">
        <f>MASTER[[#This Row],[CANTIDAD]]*MASTER[[#This Row],[PRECIO DE VENTA]]</f>
        <v>1866</v>
      </c>
      <c r="U3666" s="2">
        <f>MASTER[[#This Row],[CANTIDAD]]*MASTER[[#This Row],[COSTO UNITARIO]]</f>
        <v>396</v>
      </c>
      <c r="V3666" s="2">
        <f>MASTER[[#This Row],[MONTO VENDIDO]]-MASTER[[#This Row],[COSTO DE VENTA]]</f>
        <v>1470</v>
      </c>
    </row>
    <row r="3667" spans="1:22" x14ac:dyDescent="0.3">
      <c r="A3667">
        <v>56865</v>
      </c>
      <c r="B3667">
        <v>1</v>
      </c>
      <c r="C3667" t="s">
        <v>94</v>
      </c>
      <c r="D3667" t="s">
        <v>95</v>
      </c>
      <c r="E3667" s="1">
        <v>44254</v>
      </c>
      <c r="F3667">
        <v>1</v>
      </c>
      <c r="G3667" t="s">
        <v>57</v>
      </c>
      <c r="H3667" t="s">
        <v>58</v>
      </c>
      <c r="I3667" s="3">
        <v>1153</v>
      </c>
      <c r="J3667" s="3">
        <v>1153</v>
      </c>
      <c r="K3667" s="3">
        <v>392</v>
      </c>
      <c r="L3667" t="s">
        <v>9</v>
      </c>
      <c r="M3667">
        <v>1</v>
      </c>
      <c r="N3667" t="s">
        <v>77</v>
      </c>
      <c r="O3667" t="s">
        <v>70</v>
      </c>
      <c r="P3667" t="s">
        <v>71</v>
      </c>
      <c r="Q3667" t="s">
        <v>72</v>
      </c>
      <c r="R3667" t="s">
        <v>139</v>
      </c>
      <c r="S3667" t="s">
        <v>144</v>
      </c>
      <c r="T3667" s="2">
        <f>MASTER[[#This Row],[CANTIDAD]]*MASTER[[#This Row],[PRECIO DE VENTA]]</f>
        <v>1153</v>
      </c>
      <c r="U3667" s="2">
        <f>MASTER[[#This Row],[CANTIDAD]]*MASTER[[#This Row],[COSTO UNITARIO]]</f>
        <v>392</v>
      </c>
      <c r="V3667" s="2">
        <f>MASTER[[#This Row],[MONTO VENDIDO]]-MASTER[[#This Row],[COSTO DE VENTA]]</f>
        <v>761</v>
      </c>
    </row>
    <row r="3668" spans="1:22" x14ac:dyDescent="0.3">
      <c r="A3668">
        <v>56878</v>
      </c>
      <c r="B3668">
        <v>1</v>
      </c>
      <c r="C3668" t="s">
        <v>109</v>
      </c>
      <c r="D3668" t="s">
        <v>110</v>
      </c>
      <c r="E3668" s="1">
        <v>44254</v>
      </c>
      <c r="F3668">
        <v>1</v>
      </c>
      <c r="G3668" t="s">
        <v>39</v>
      </c>
      <c r="H3668" t="s">
        <v>40</v>
      </c>
      <c r="I3668" s="3">
        <v>1064</v>
      </c>
      <c r="J3668" s="3">
        <v>1064</v>
      </c>
      <c r="K3668" s="3">
        <v>387</v>
      </c>
      <c r="L3668" t="s">
        <v>98</v>
      </c>
      <c r="M3668">
        <v>7</v>
      </c>
      <c r="N3668" t="s">
        <v>84</v>
      </c>
      <c r="O3668" t="s">
        <v>81</v>
      </c>
      <c r="P3668" t="s">
        <v>12</v>
      </c>
      <c r="Q3668" t="s">
        <v>13</v>
      </c>
      <c r="R3668" t="s">
        <v>13</v>
      </c>
      <c r="S3668" t="s">
        <v>144</v>
      </c>
      <c r="T3668" s="2">
        <f>MASTER[[#This Row],[CANTIDAD]]*MASTER[[#This Row],[PRECIO DE VENTA]]</f>
        <v>1064</v>
      </c>
      <c r="U3668" s="2">
        <f>MASTER[[#This Row],[CANTIDAD]]*MASTER[[#This Row],[COSTO UNITARIO]]</f>
        <v>387</v>
      </c>
      <c r="V3668" s="2">
        <f>MASTER[[#This Row],[MONTO VENDIDO]]-MASTER[[#This Row],[COSTO DE VENTA]]</f>
        <v>677</v>
      </c>
    </row>
    <row r="3669" spans="1:22" x14ac:dyDescent="0.3">
      <c r="A3669">
        <v>56880</v>
      </c>
      <c r="B3669">
        <v>1</v>
      </c>
      <c r="C3669" t="s">
        <v>101</v>
      </c>
      <c r="D3669" t="s">
        <v>102</v>
      </c>
      <c r="E3669" s="1">
        <v>44254</v>
      </c>
      <c r="F3669">
        <v>1</v>
      </c>
      <c r="G3669" t="s">
        <v>20</v>
      </c>
      <c r="H3669" t="s">
        <v>21</v>
      </c>
      <c r="I3669" s="3">
        <v>1212</v>
      </c>
      <c r="J3669" s="3">
        <v>1212</v>
      </c>
      <c r="K3669" s="3">
        <v>442</v>
      </c>
      <c r="L3669" t="s">
        <v>98</v>
      </c>
      <c r="M3669">
        <v>7</v>
      </c>
      <c r="N3669" t="s">
        <v>84</v>
      </c>
      <c r="O3669" t="s">
        <v>81</v>
      </c>
      <c r="P3669" t="s">
        <v>12</v>
      </c>
      <c r="Q3669" t="s">
        <v>13</v>
      </c>
      <c r="R3669" t="s">
        <v>13</v>
      </c>
      <c r="S3669" t="s">
        <v>144</v>
      </c>
      <c r="T3669" s="2">
        <f>MASTER[[#This Row],[CANTIDAD]]*MASTER[[#This Row],[PRECIO DE VENTA]]</f>
        <v>1212</v>
      </c>
      <c r="U3669" s="2">
        <f>MASTER[[#This Row],[CANTIDAD]]*MASTER[[#This Row],[COSTO UNITARIO]]</f>
        <v>442</v>
      </c>
      <c r="V3669" s="2">
        <f>MASTER[[#This Row],[MONTO VENDIDO]]-MASTER[[#This Row],[COSTO DE VENTA]]</f>
        <v>770</v>
      </c>
    </row>
    <row r="3670" spans="1:22" x14ac:dyDescent="0.3">
      <c r="A3670">
        <v>56912</v>
      </c>
      <c r="B3670">
        <v>1</v>
      </c>
      <c r="C3670" t="s">
        <v>92</v>
      </c>
      <c r="D3670" t="s">
        <v>93</v>
      </c>
      <c r="E3670" s="1">
        <v>44254</v>
      </c>
      <c r="F3670">
        <v>1</v>
      </c>
      <c r="G3670" t="s">
        <v>59</v>
      </c>
      <c r="H3670" t="s">
        <v>60</v>
      </c>
      <c r="I3670" s="3">
        <v>1866</v>
      </c>
      <c r="J3670" s="3">
        <v>1866</v>
      </c>
      <c r="K3670" s="3">
        <v>396</v>
      </c>
      <c r="L3670" t="s">
        <v>9</v>
      </c>
      <c r="M3670">
        <v>6</v>
      </c>
      <c r="N3670" t="s">
        <v>75</v>
      </c>
      <c r="O3670" t="s">
        <v>70</v>
      </c>
      <c r="P3670" t="s">
        <v>12</v>
      </c>
      <c r="Q3670" t="s">
        <v>13</v>
      </c>
      <c r="R3670" t="s">
        <v>13</v>
      </c>
      <c r="S3670" t="s">
        <v>144</v>
      </c>
      <c r="T3670" s="2">
        <f>MASTER[[#This Row],[CANTIDAD]]*MASTER[[#This Row],[PRECIO DE VENTA]]</f>
        <v>1866</v>
      </c>
      <c r="U3670" s="2">
        <f>MASTER[[#This Row],[CANTIDAD]]*MASTER[[#This Row],[COSTO UNITARIO]]</f>
        <v>396</v>
      </c>
      <c r="V3670" s="2">
        <f>MASTER[[#This Row],[MONTO VENDIDO]]-MASTER[[#This Row],[COSTO DE VENTA]]</f>
        <v>1470</v>
      </c>
    </row>
    <row r="3671" spans="1:22" x14ac:dyDescent="0.3">
      <c r="A3671">
        <v>56932</v>
      </c>
      <c r="B3671">
        <v>1</v>
      </c>
      <c r="C3671" t="s">
        <v>105</v>
      </c>
      <c r="D3671" t="s">
        <v>106</v>
      </c>
      <c r="E3671" s="1">
        <v>44254</v>
      </c>
      <c r="F3671">
        <v>1</v>
      </c>
      <c r="G3671" t="s">
        <v>43</v>
      </c>
      <c r="H3671" t="s">
        <v>44</v>
      </c>
      <c r="I3671" s="3">
        <v>1585</v>
      </c>
      <c r="J3671" s="3">
        <v>1585</v>
      </c>
      <c r="K3671" s="3">
        <v>459</v>
      </c>
      <c r="L3671" t="s">
        <v>98</v>
      </c>
      <c r="M3671">
        <v>12</v>
      </c>
      <c r="N3671" t="s">
        <v>26</v>
      </c>
      <c r="O3671" t="s">
        <v>11</v>
      </c>
      <c r="P3671" t="s">
        <v>12</v>
      </c>
      <c r="Q3671" t="s">
        <v>13</v>
      </c>
      <c r="R3671" t="s">
        <v>13</v>
      </c>
      <c r="S3671" t="s">
        <v>144</v>
      </c>
      <c r="T3671" s="2">
        <f>MASTER[[#This Row],[CANTIDAD]]*MASTER[[#This Row],[PRECIO DE VENTA]]</f>
        <v>1585</v>
      </c>
      <c r="U3671" s="2">
        <f>MASTER[[#This Row],[CANTIDAD]]*MASTER[[#This Row],[COSTO UNITARIO]]</f>
        <v>459</v>
      </c>
      <c r="V3671" s="2">
        <f>MASTER[[#This Row],[MONTO VENDIDO]]-MASTER[[#This Row],[COSTO DE VENTA]]</f>
        <v>1126</v>
      </c>
    </row>
    <row r="3672" spans="1:22" x14ac:dyDescent="0.3">
      <c r="A3672">
        <v>56936</v>
      </c>
      <c r="B3672">
        <v>1</v>
      </c>
      <c r="C3672" t="s">
        <v>5</v>
      </c>
      <c r="D3672" t="s">
        <v>6</v>
      </c>
      <c r="E3672" s="1">
        <v>44254</v>
      </c>
      <c r="F3672">
        <v>1</v>
      </c>
      <c r="G3672" t="s">
        <v>39</v>
      </c>
      <c r="H3672" t="s">
        <v>40</v>
      </c>
      <c r="I3672" s="3">
        <v>1296</v>
      </c>
      <c r="J3672" s="3">
        <v>1296</v>
      </c>
      <c r="K3672" s="3">
        <v>393</v>
      </c>
      <c r="L3672" t="s">
        <v>9</v>
      </c>
      <c r="M3672">
        <v>3</v>
      </c>
      <c r="N3672" t="s">
        <v>69</v>
      </c>
      <c r="O3672" t="s">
        <v>70</v>
      </c>
      <c r="P3672" t="s">
        <v>71</v>
      </c>
      <c r="Q3672" t="s">
        <v>72</v>
      </c>
      <c r="R3672" t="s">
        <v>139</v>
      </c>
      <c r="S3672" t="s">
        <v>144</v>
      </c>
      <c r="T3672" s="2">
        <f>MASTER[[#This Row],[CANTIDAD]]*MASTER[[#This Row],[PRECIO DE VENTA]]</f>
        <v>1296</v>
      </c>
      <c r="U3672" s="2">
        <f>MASTER[[#This Row],[CANTIDAD]]*MASTER[[#This Row],[COSTO UNITARIO]]</f>
        <v>393</v>
      </c>
      <c r="V3672" s="2">
        <f>MASTER[[#This Row],[MONTO VENDIDO]]-MASTER[[#This Row],[COSTO DE VENTA]]</f>
        <v>903</v>
      </c>
    </row>
    <row r="3673" spans="1:22" x14ac:dyDescent="0.3">
      <c r="A3673">
        <v>56953</v>
      </c>
      <c r="B3673">
        <v>1</v>
      </c>
      <c r="C3673" t="s">
        <v>121</v>
      </c>
      <c r="D3673" t="s">
        <v>122</v>
      </c>
      <c r="E3673" s="1">
        <v>44254</v>
      </c>
      <c r="F3673">
        <v>1</v>
      </c>
      <c r="G3673" t="s">
        <v>41</v>
      </c>
      <c r="H3673" t="s">
        <v>42</v>
      </c>
      <c r="I3673" s="3">
        <v>941</v>
      </c>
      <c r="J3673" s="3">
        <v>941</v>
      </c>
      <c r="K3673" s="3">
        <v>460</v>
      </c>
      <c r="L3673" t="s">
        <v>120</v>
      </c>
      <c r="M3673">
        <v>11</v>
      </c>
      <c r="N3673" t="s">
        <v>10</v>
      </c>
      <c r="O3673" t="s">
        <v>11</v>
      </c>
      <c r="P3673" t="s">
        <v>12</v>
      </c>
      <c r="Q3673" t="s">
        <v>13</v>
      </c>
      <c r="R3673" t="s">
        <v>13</v>
      </c>
      <c r="S3673" t="s">
        <v>144</v>
      </c>
      <c r="T3673" s="2">
        <f>MASTER[[#This Row],[CANTIDAD]]*MASTER[[#This Row],[PRECIO DE VENTA]]</f>
        <v>941</v>
      </c>
      <c r="U3673" s="2">
        <f>MASTER[[#This Row],[CANTIDAD]]*MASTER[[#This Row],[COSTO UNITARIO]]</f>
        <v>460</v>
      </c>
      <c r="V3673" s="2">
        <f>MASTER[[#This Row],[MONTO VENDIDO]]-MASTER[[#This Row],[COSTO DE VENTA]]</f>
        <v>481</v>
      </c>
    </row>
    <row r="3674" spans="1:22" x14ac:dyDescent="0.3">
      <c r="A3674">
        <v>56955</v>
      </c>
      <c r="B3674">
        <v>1</v>
      </c>
      <c r="C3674" t="s">
        <v>121</v>
      </c>
      <c r="D3674" t="s">
        <v>122</v>
      </c>
      <c r="E3674" s="1">
        <v>44254</v>
      </c>
      <c r="F3674">
        <v>1</v>
      </c>
      <c r="G3674" t="s">
        <v>51</v>
      </c>
      <c r="H3674" t="s">
        <v>52</v>
      </c>
      <c r="I3674" s="3">
        <v>1069</v>
      </c>
      <c r="J3674" s="3">
        <v>1069</v>
      </c>
      <c r="K3674" s="3">
        <v>460</v>
      </c>
      <c r="L3674" t="s">
        <v>120</v>
      </c>
      <c r="M3674">
        <v>8</v>
      </c>
      <c r="N3674" t="s">
        <v>80</v>
      </c>
      <c r="O3674" t="s">
        <v>81</v>
      </c>
      <c r="P3674" t="s">
        <v>12</v>
      </c>
      <c r="Q3674" t="s">
        <v>13</v>
      </c>
      <c r="R3674" t="s">
        <v>13</v>
      </c>
      <c r="S3674" t="s">
        <v>144</v>
      </c>
      <c r="T3674" s="2">
        <f>MASTER[[#This Row],[CANTIDAD]]*MASTER[[#This Row],[PRECIO DE VENTA]]</f>
        <v>1069</v>
      </c>
      <c r="U3674" s="2">
        <f>MASTER[[#This Row],[CANTIDAD]]*MASTER[[#This Row],[COSTO UNITARIO]]</f>
        <v>460</v>
      </c>
      <c r="V3674" s="2">
        <f>MASTER[[#This Row],[MONTO VENDIDO]]-MASTER[[#This Row],[COSTO DE VENTA]]</f>
        <v>609</v>
      </c>
    </row>
    <row r="3675" spans="1:22" x14ac:dyDescent="0.3">
      <c r="A3675">
        <v>56958</v>
      </c>
      <c r="B3675">
        <v>1</v>
      </c>
      <c r="C3675" t="s">
        <v>114</v>
      </c>
      <c r="D3675" t="s">
        <v>115</v>
      </c>
      <c r="E3675" s="1">
        <v>44254</v>
      </c>
      <c r="F3675">
        <v>1</v>
      </c>
      <c r="G3675" t="s">
        <v>73</v>
      </c>
      <c r="H3675" t="s">
        <v>74</v>
      </c>
      <c r="I3675" s="3">
        <v>1862</v>
      </c>
      <c r="J3675" s="3">
        <v>1862</v>
      </c>
      <c r="K3675" s="3">
        <v>394</v>
      </c>
      <c r="L3675" t="s">
        <v>113</v>
      </c>
      <c r="M3675">
        <v>4</v>
      </c>
      <c r="N3675" t="s">
        <v>82</v>
      </c>
      <c r="O3675" t="s">
        <v>81</v>
      </c>
      <c r="P3675" t="s">
        <v>71</v>
      </c>
      <c r="Q3675" t="s">
        <v>72</v>
      </c>
      <c r="R3675" t="s">
        <v>139</v>
      </c>
      <c r="S3675" t="s">
        <v>144</v>
      </c>
      <c r="T3675" s="2">
        <f>MASTER[[#This Row],[CANTIDAD]]*MASTER[[#This Row],[PRECIO DE VENTA]]</f>
        <v>1862</v>
      </c>
      <c r="U3675" s="2">
        <f>MASTER[[#This Row],[CANTIDAD]]*MASTER[[#This Row],[COSTO UNITARIO]]</f>
        <v>394</v>
      </c>
      <c r="V3675" s="2">
        <f>MASTER[[#This Row],[MONTO VENDIDO]]-MASTER[[#This Row],[COSTO DE VENTA]]</f>
        <v>1468</v>
      </c>
    </row>
    <row r="3676" spans="1:22" x14ac:dyDescent="0.3">
      <c r="A3676">
        <v>56965</v>
      </c>
      <c r="B3676">
        <v>1</v>
      </c>
      <c r="C3676" t="s">
        <v>99</v>
      </c>
      <c r="D3676" t="s">
        <v>100</v>
      </c>
      <c r="E3676" s="1">
        <v>44254</v>
      </c>
      <c r="F3676">
        <v>1</v>
      </c>
      <c r="G3676" t="s">
        <v>57</v>
      </c>
      <c r="H3676" t="s">
        <v>58</v>
      </c>
      <c r="I3676" s="3">
        <v>1678</v>
      </c>
      <c r="J3676" s="3">
        <v>1560</v>
      </c>
      <c r="K3676" s="3">
        <v>386</v>
      </c>
      <c r="L3676" t="s">
        <v>98</v>
      </c>
      <c r="M3676">
        <v>9</v>
      </c>
      <c r="N3676" t="s">
        <v>76</v>
      </c>
      <c r="O3676" t="s">
        <v>70</v>
      </c>
      <c r="P3676" t="s">
        <v>12</v>
      </c>
      <c r="Q3676" t="s">
        <v>13</v>
      </c>
      <c r="R3676" t="s">
        <v>13</v>
      </c>
      <c r="S3676" t="s">
        <v>144</v>
      </c>
      <c r="T3676" s="2">
        <f>MASTER[[#This Row],[CANTIDAD]]*MASTER[[#This Row],[PRECIO DE VENTA]]</f>
        <v>1560</v>
      </c>
      <c r="U3676" s="2">
        <f>MASTER[[#This Row],[CANTIDAD]]*MASTER[[#This Row],[COSTO UNITARIO]]</f>
        <v>386</v>
      </c>
      <c r="V3676" s="2">
        <f>MASTER[[#This Row],[MONTO VENDIDO]]-MASTER[[#This Row],[COSTO DE VENTA]]</f>
        <v>1174</v>
      </c>
    </row>
    <row r="3677" spans="1:22" x14ac:dyDescent="0.3">
      <c r="A3677">
        <v>56966</v>
      </c>
      <c r="B3677">
        <v>1</v>
      </c>
      <c r="C3677" t="s">
        <v>101</v>
      </c>
      <c r="D3677" t="s">
        <v>102</v>
      </c>
      <c r="E3677" s="1">
        <v>44254</v>
      </c>
      <c r="F3677">
        <v>1</v>
      </c>
      <c r="G3677" t="s">
        <v>73</v>
      </c>
      <c r="H3677" t="s">
        <v>74</v>
      </c>
      <c r="I3677" s="3">
        <v>1212</v>
      </c>
      <c r="J3677" s="3">
        <v>1212</v>
      </c>
      <c r="K3677" s="3">
        <v>442</v>
      </c>
      <c r="L3677" t="s">
        <v>98</v>
      </c>
      <c r="M3677">
        <v>15</v>
      </c>
      <c r="N3677" t="s">
        <v>88</v>
      </c>
      <c r="O3677" t="s">
        <v>81</v>
      </c>
      <c r="P3677" t="s">
        <v>18</v>
      </c>
      <c r="Q3677" t="s">
        <v>19</v>
      </c>
      <c r="R3677" t="s">
        <v>138</v>
      </c>
      <c r="S3677" t="s">
        <v>144</v>
      </c>
      <c r="T3677" s="2">
        <f>MASTER[[#This Row],[CANTIDAD]]*MASTER[[#This Row],[PRECIO DE VENTA]]</f>
        <v>1212</v>
      </c>
      <c r="U3677" s="2">
        <f>MASTER[[#This Row],[CANTIDAD]]*MASTER[[#This Row],[COSTO UNITARIO]]</f>
        <v>442</v>
      </c>
      <c r="V3677" s="2">
        <f>MASTER[[#This Row],[MONTO VENDIDO]]-MASTER[[#This Row],[COSTO DE VENTA]]</f>
        <v>770</v>
      </c>
    </row>
    <row r="3678" spans="1:22" x14ac:dyDescent="0.3">
      <c r="A3678">
        <v>57003</v>
      </c>
      <c r="B3678">
        <v>1</v>
      </c>
      <c r="C3678" t="s">
        <v>96</v>
      </c>
      <c r="D3678" t="s">
        <v>97</v>
      </c>
      <c r="E3678" s="1">
        <v>44254</v>
      </c>
      <c r="F3678">
        <v>1</v>
      </c>
      <c r="G3678" t="s">
        <v>27</v>
      </c>
      <c r="H3678" t="s">
        <v>28</v>
      </c>
      <c r="I3678" s="3">
        <v>1272</v>
      </c>
      <c r="J3678" s="3">
        <v>1272</v>
      </c>
      <c r="K3678" s="3">
        <v>397</v>
      </c>
      <c r="L3678" t="s">
        <v>98</v>
      </c>
      <c r="M3678">
        <v>7</v>
      </c>
      <c r="N3678" t="s">
        <v>84</v>
      </c>
      <c r="O3678" t="s">
        <v>81</v>
      </c>
      <c r="P3678" t="s">
        <v>12</v>
      </c>
      <c r="Q3678" t="s">
        <v>13</v>
      </c>
      <c r="R3678" t="s">
        <v>13</v>
      </c>
      <c r="S3678" t="s">
        <v>144</v>
      </c>
      <c r="T3678" s="2">
        <f>MASTER[[#This Row],[CANTIDAD]]*MASTER[[#This Row],[PRECIO DE VENTA]]</f>
        <v>1272</v>
      </c>
      <c r="U3678" s="2">
        <f>MASTER[[#This Row],[CANTIDAD]]*MASTER[[#This Row],[COSTO UNITARIO]]</f>
        <v>397</v>
      </c>
      <c r="V3678" s="2">
        <f>MASTER[[#This Row],[MONTO VENDIDO]]-MASTER[[#This Row],[COSTO DE VENTA]]</f>
        <v>875</v>
      </c>
    </row>
    <row r="3679" spans="1:22" x14ac:dyDescent="0.3">
      <c r="A3679">
        <v>57006</v>
      </c>
      <c r="B3679">
        <v>1</v>
      </c>
      <c r="C3679" t="s">
        <v>107</v>
      </c>
      <c r="D3679" t="s">
        <v>108</v>
      </c>
      <c r="E3679" s="1">
        <v>44254</v>
      </c>
      <c r="F3679">
        <v>1</v>
      </c>
      <c r="G3679" t="s">
        <v>43</v>
      </c>
      <c r="H3679" t="s">
        <v>44</v>
      </c>
      <c r="I3679" s="3">
        <v>1240</v>
      </c>
      <c r="J3679" s="3">
        <v>1240</v>
      </c>
      <c r="K3679" s="3">
        <v>380</v>
      </c>
      <c r="L3679" t="s">
        <v>98</v>
      </c>
      <c r="M3679">
        <v>11</v>
      </c>
      <c r="N3679" t="s">
        <v>10</v>
      </c>
      <c r="O3679" t="s">
        <v>11</v>
      </c>
      <c r="P3679" t="s">
        <v>12</v>
      </c>
      <c r="Q3679" t="s">
        <v>13</v>
      </c>
      <c r="R3679" t="s">
        <v>13</v>
      </c>
      <c r="S3679" t="s">
        <v>144</v>
      </c>
      <c r="T3679" s="2">
        <f>MASTER[[#This Row],[CANTIDAD]]*MASTER[[#This Row],[PRECIO DE VENTA]]</f>
        <v>1240</v>
      </c>
      <c r="U3679" s="2">
        <f>MASTER[[#This Row],[CANTIDAD]]*MASTER[[#This Row],[COSTO UNITARIO]]</f>
        <v>380</v>
      </c>
      <c r="V3679" s="2">
        <f>MASTER[[#This Row],[MONTO VENDIDO]]-MASTER[[#This Row],[COSTO DE VENTA]]</f>
        <v>860</v>
      </c>
    </row>
    <row r="3680" spans="1:22" x14ac:dyDescent="0.3">
      <c r="A3680">
        <v>57036</v>
      </c>
      <c r="B3680">
        <v>1</v>
      </c>
      <c r="C3680" t="s">
        <v>96</v>
      </c>
      <c r="D3680" t="s">
        <v>97</v>
      </c>
      <c r="E3680" s="1">
        <v>44255</v>
      </c>
      <c r="F3680">
        <v>1</v>
      </c>
      <c r="G3680" t="s">
        <v>33</v>
      </c>
      <c r="H3680" t="s">
        <v>34</v>
      </c>
      <c r="I3680" s="3">
        <v>1272</v>
      </c>
      <c r="J3680" s="3">
        <v>1272</v>
      </c>
      <c r="K3680" s="3">
        <v>397</v>
      </c>
      <c r="L3680" t="s">
        <v>98</v>
      </c>
      <c r="M3680">
        <v>14</v>
      </c>
      <c r="N3680" t="s">
        <v>87</v>
      </c>
      <c r="O3680" t="s">
        <v>81</v>
      </c>
      <c r="P3680" t="s">
        <v>18</v>
      </c>
      <c r="Q3680" t="s">
        <v>19</v>
      </c>
      <c r="R3680" t="s">
        <v>138</v>
      </c>
      <c r="S3680" t="s">
        <v>144</v>
      </c>
      <c r="T3680" s="2">
        <f>MASTER[[#This Row],[CANTIDAD]]*MASTER[[#This Row],[PRECIO DE VENTA]]</f>
        <v>1272</v>
      </c>
      <c r="U3680" s="2">
        <f>MASTER[[#This Row],[CANTIDAD]]*MASTER[[#This Row],[COSTO UNITARIO]]</f>
        <v>397</v>
      </c>
      <c r="V3680" s="2">
        <f>MASTER[[#This Row],[MONTO VENDIDO]]-MASTER[[#This Row],[COSTO DE VENTA]]</f>
        <v>875</v>
      </c>
    </row>
    <row r="3681" spans="1:22" x14ac:dyDescent="0.3">
      <c r="A3681">
        <v>57046</v>
      </c>
      <c r="B3681">
        <v>3</v>
      </c>
      <c r="C3681" t="s">
        <v>92</v>
      </c>
      <c r="D3681" t="s">
        <v>93</v>
      </c>
      <c r="E3681" s="1">
        <v>44255</v>
      </c>
      <c r="F3681">
        <v>1</v>
      </c>
      <c r="G3681" t="s">
        <v>37</v>
      </c>
      <c r="H3681" t="s">
        <v>38</v>
      </c>
      <c r="I3681" s="3">
        <v>1681</v>
      </c>
      <c r="J3681" s="3">
        <v>1681</v>
      </c>
      <c r="K3681" s="3">
        <v>396</v>
      </c>
      <c r="L3681" t="s">
        <v>9</v>
      </c>
      <c r="M3681">
        <v>10</v>
      </c>
      <c r="N3681" t="s">
        <v>83</v>
      </c>
      <c r="O3681" t="s">
        <v>81</v>
      </c>
      <c r="P3681" t="s">
        <v>12</v>
      </c>
      <c r="Q3681" t="s">
        <v>13</v>
      </c>
      <c r="R3681" t="s">
        <v>13</v>
      </c>
      <c r="S3681" t="s">
        <v>144</v>
      </c>
      <c r="T3681" s="2">
        <f>MASTER[[#This Row],[CANTIDAD]]*MASTER[[#This Row],[PRECIO DE VENTA]]</f>
        <v>1681</v>
      </c>
      <c r="U3681" s="2">
        <f>MASTER[[#This Row],[CANTIDAD]]*MASTER[[#This Row],[COSTO UNITARIO]]</f>
        <v>396</v>
      </c>
      <c r="V3681" s="2">
        <f>MASTER[[#This Row],[MONTO VENDIDO]]-MASTER[[#This Row],[COSTO DE VENTA]]</f>
        <v>1285</v>
      </c>
    </row>
    <row r="3682" spans="1:22" x14ac:dyDescent="0.3">
      <c r="A3682">
        <v>57046</v>
      </c>
      <c r="B3682">
        <v>4</v>
      </c>
      <c r="C3682" t="s">
        <v>96</v>
      </c>
      <c r="D3682" t="s">
        <v>97</v>
      </c>
      <c r="E3682" s="1">
        <v>44255</v>
      </c>
      <c r="F3682">
        <v>1</v>
      </c>
      <c r="G3682" t="s">
        <v>49</v>
      </c>
      <c r="H3682" t="s">
        <v>50</v>
      </c>
      <c r="I3682" s="3">
        <v>1272</v>
      </c>
      <c r="J3682" s="3">
        <v>1272</v>
      </c>
      <c r="K3682" s="3">
        <v>397</v>
      </c>
      <c r="L3682" t="s">
        <v>98</v>
      </c>
      <c r="M3682">
        <v>10</v>
      </c>
      <c r="N3682" t="s">
        <v>83</v>
      </c>
      <c r="O3682" t="s">
        <v>81</v>
      </c>
      <c r="P3682" t="s">
        <v>12</v>
      </c>
      <c r="Q3682" t="s">
        <v>13</v>
      </c>
      <c r="R3682" t="s">
        <v>13</v>
      </c>
      <c r="S3682" t="s">
        <v>144</v>
      </c>
      <c r="T3682" s="2">
        <f>MASTER[[#This Row],[CANTIDAD]]*MASTER[[#This Row],[PRECIO DE VENTA]]</f>
        <v>1272</v>
      </c>
      <c r="U3682" s="2">
        <f>MASTER[[#This Row],[CANTIDAD]]*MASTER[[#This Row],[COSTO UNITARIO]]</f>
        <v>397</v>
      </c>
      <c r="V3682" s="2">
        <f>MASTER[[#This Row],[MONTO VENDIDO]]-MASTER[[#This Row],[COSTO DE VENTA]]</f>
        <v>875</v>
      </c>
    </row>
    <row r="3683" spans="1:22" x14ac:dyDescent="0.3">
      <c r="A3683">
        <v>57046</v>
      </c>
      <c r="B3683">
        <v>1</v>
      </c>
      <c r="C3683" t="s">
        <v>101</v>
      </c>
      <c r="D3683" t="s">
        <v>102</v>
      </c>
      <c r="E3683" s="1">
        <v>44255</v>
      </c>
      <c r="F3683">
        <v>1</v>
      </c>
      <c r="G3683" t="s">
        <v>47</v>
      </c>
      <c r="H3683" t="s">
        <v>48</v>
      </c>
      <c r="I3683" s="3">
        <v>1212</v>
      </c>
      <c r="J3683" s="3">
        <v>1212</v>
      </c>
      <c r="K3683" s="3">
        <v>442</v>
      </c>
      <c r="L3683" t="s">
        <v>98</v>
      </c>
      <c r="M3683">
        <v>10</v>
      </c>
      <c r="N3683" t="s">
        <v>83</v>
      </c>
      <c r="O3683" t="s">
        <v>81</v>
      </c>
      <c r="P3683" t="s">
        <v>12</v>
      </c>
      <c r="Q3683" t="s">
        <v>13</v>
      </c>
      <c r="R3683" t="s">
        <v>13</v>
      </c>
      <c r="S3683" t="s">
        <v>144</v>
      </c>
      <c r="T3683" s="2">
        <f>MASTER[[#This Row],[CANTIDAD]]*MASTER[[#This Row],[PRECIO DE VENTA]]</f>
        <v>1212</v>
      </c>
      <c r="U3683" s="2">
        <f>MASTER[[#This Row],[CANTIDAD]]*MASTER[[#This Row],[COSTO UNITARIO]]</f>
        <v>442</v>
      </c>
      <c r="V3683" s="2">
        <f>MASTER[[#This Row],[MONTO VENDIDO]]-MASTER[[#This Row],[COSTO DE VENTA]]</f>
        <v>770</v>
      </c>
    </row>
    <row r="3684" spans="1:22" x14ac:dyDescent="0.3">
      <c r="A3684">
        <v>57046</v>
      </c>
      <c r="B3684">
        <v>2</v>
      </c>
      <c r="C3684" t="s">
        <v>101</v>
      </c>
      <c r="D3684" t="s">
        <v>102</v>
      </c>
      <c r="E3684" s="1">
        <v>44255</v>
      </c>
      <c r="F3684">
        <v>1</v>
      </c>
      <c r="G3684" t="s">
        <v>59</v>
      </c>
      <c r="H3684" t="s">
        <v>60</v>
      </c>
      <c r="I3684" s="3">
        <v>1212</v>
      </c>
      <c r="J3684" s="3">
        <v>1212</v>
      </c>
      <c r="K3684" s="3">
        <v>442</v>
      </c>
      <c r="L3684" t="s">
        <v>98</v>
      </c>
      <c r="M3684">
        <v>10</v>
      </c>
      <c r="N3684" t="s">
        <v>83</v>
      </c>
      <c r="O3684" t="s">
        <v>81</v>
      </c>
      <c r="P3684" t="s">
        <v>12</v>
      </c>
      <c r="Q3684" t="s">
        <v>13</v>
      </c>
      <c r="R3684" t="s">
        <v>13</v>
      </c>
      <c r="S3684" t="s">
        <v>144</v>
      </c>
      <c r="T3684" s="2">
        <f>MASTER[[#This Row],[CANTIDAD]]*MASTER[[#This Row],[PRECIO DE VENTA]]</f>
        <v>1212</v>
      </c>
      <c r="U3684" s="2">
        <f>MASTER[[#This Row],[CANTIDAD]]*MASTER[[#This Row],[COSTO UNITARIO]]</f>
        <v>442</v>
      </c>
      <c r="V3684" s="2">
        <f>MASTER[[#This Row],[MONTO VENDIDO]]-MASTER[[#This Row],[COSTO DE VENTA]]</f>
        <v>770</v>
      </c>
    </row>
    <row r="3685" spans="1:22" x14ac:dyDescent="0.3">
      <c r="A3685">
        <v>57078</v>
      </c>
      <c r="B3685">
        <v>1</v>
      </c>
      <c r="C3685" t="s">
        <v>99</v>
      </c>
      <c r="D3685" t="s">
        <v>100</v>
      </c>
      <c r="E3685" s="1">
        <v>44255</v>
      </c>
      <c r="F3685">
        <v>1</v>
      </c>
      <c r="G3685" t="s">
        <v>53</v>
      </c>
      <c r="H3685" t="s">
        <v>54</v>
      </c>
      <c r="I3685" s="3">
        <v>1459</v>
      </c>
      <c r="J3685" s="3">
        <v>1459</v>
      </c>
      <c r="K3685" s="3">
        <v>386</v>
      </c>
      <c r="L3685" t="s">
        <v>98</v>
      </c>
      <c r="M3685">
        <v>14</v>
      </c>
      <c r="N3685" t="s">
        <v>87</v>
      </c>
      <c r="O3685" t="s">
        <v>81</v>
      </c>
      <c r="P3685" t="s">
        <v>18</v>
      </c>
      <c r="Q3685" t="s">
        <v>19</v>
      </c>
      <c r="R3685" t="s">
        <v>138</v>
      </c>
      <c r="S3685" t="s">
        <v>144</v>
      </c>
      <c r="T3685" s="2">
        <f>MASTER[[#This Row],[CANTIDAD]]*MASTER[[#This Row],[PRECIO DE VENTA]]</f>
        <v>1459</v>
      </c>
      <c r="U3685" s="2">
        <f>MASTER[[#This Row],[CANTIDAD]]*MASTER[[#This Row],[COSTO UNITARIO]]</f>
        <v>386</v>
      </c>
      <c r="V3685" s="2">
        <f>MASTER[[#This Row],[MONTO VENDIDO]]-MASTER[[#This Row],[COSTO DE VENTA]]</f>
        <v>1073</v>
      </c>
    </row>
    <row r="3686" spans="1:22" x14ac:dyDescent="0.3">
      <c r="A3686">
        <v>57083</v>
      </c>
      <c r="B3686">
        <v>1</v>
      </c>
      <c r="C3686" t="s">
        <v>94</v>
      </c>
      <c r="D3686" t="s">
        <v>95</v>
      </c>
      <c r="E3686" s="1">
        <v>44255</v>
      </c>
      <c r="F3686">
        <v>1</v>
      </c>
      <c r="G3686" t="s">
        <v>73</v>
      </c>
      <c r="H3686" t="s">
        <v>74</v>
      </c>
      <c r="I3686" s="3">
        <v>1153</v>
      </c>
      <c r="J3686" s="3">
        <v>1153</v>
      </c>
      <c r="K3686" s="3">
        <v>392</v>
      </c>
      <c r="L3686" t="s">
        <v>9</v>
      </c>
      <c r="M3686">
        <v>18</v>
      </c>
      <c r="N3686" t="s">
        <v>79</v>
      </c>
      <c r="O3686" t="s">
        <v>70</v>
      </c>
      <c r="P3686" t="s">
        <v>15</v>
      </c>
      <c r="Q3686" t="s">
        <v>16</v>
      </c>
      <c r="R3686" t="s">
        <v>16</v>
      </c>
      <c r="S3686" t="s">
        <v>144</v>
      </c>
      <c r="T3686" s="2">
        <f>MASTER[[#This Row],[CANTIDAD]]*MASTER[[#This Row],[PRECIO DE VENTA]]</f>
        <v>1153</v>
      </c>
      <c r="U3686" s="2">
        <f>MASTER[[#This Row],[CANTIDAD]]*MASTER[[#This Row],[COSTO UNITARIO]]</f>
        <v>392</v>
      </c>
      <c r="V3686" s="2">
        <f>MASTER[[#This Row],[MONTO VENDIDO]]-MASTER[[#This Row],[COSTO DE VENTA]]</f>
        <v>761</v>
      </c>
    </row>
    <row r="3687" spans="1:22" x14ac:dyDescent="0.3">
      <c r="A3687">
        <v>57091</v>
      </c>
      <c r="B3687">
        <v>1</v>
      </c>
      <c r="C3687" t="s">
        <v>116</v>
      </c>
      <c r="D3687" t="s">
        <v>117</v>
      </c>
      <c r="E3687" s="1">
        <v>44255</v>
      </c>
      <c r="F3687">
        <v>1</v>
      </c>
      <c r="G3687" t="s">
        <v>29</v>
      </c>
      <c r="H3687" t="s">
        <v>30</v>
      </c>
      <c r="I3687" s="3">
        <v>1738</v>
      </c>
      <c r="J3687" s="3">
        <v>1738</v>
      </c>
      <c r="K3687" s="3">
        <v>388</v>
      </c>
      <c r="L3687" t="s">
        <v>113</v>
      </c>
      <c r="M3687">
        <v>15</v>
      </c>
      <c r="N3687" t="s">
        <v>88</v>
      </c>
      <c r="O3687" t="s">
        <v>81</v>
      </c>
      <c r="P3687" t="s">
        <v>18</v>
      </c>
      <c r="Q3687" t="s">
        <v>19</v>
      </c>
      <c r="R3687" t="s">
        <v>138</v>
      </c>
      <c r="S3687" t="s">
        <v>144</v>
      </c>
      <c r="T3687" s="2">
        <f>MASTER[[#This Row],[CANTIDAD]]*MASTER[[#This Row],[PRECIO DE VENTA]]</f>
        <v>1738</v>
      </c>
      <c r="U3687" s="2">
        <f>MASTER[[#This Row],[CANTIDAD]]*MASTER[[#This Row],[COSTO UNITARIO]]</f>
        <v>388</v>
      </c>
      <c r="V3687" s="2">
        <f>MASTER[[#This Row],[MONTO VENDIDO]]-MASTER[[#This Row],[COSTO DE VENTA]]</f>
        <v>1350</v>
      </c>
    </row>
    <row r="3688" spans="1:22" x14ac:dyDescent="0.3">
      <c r="A3688">
        <v>57092</v>
      </c>
      <c r="B3688">
        <v>1</v>
      </c>
      <c r="C3688" t="s">
        <v>111</v>
      </c>
      <c r="D3688" t="s">
        <v>112</v>
      </c>
      <c r="E3688" s="1">
        <v>44255</v>
      </c>
      <c r="F3688">
        <v>1</v>
      </c>
      <c r="G3688" t="s">
        <v>57</v>
      </c>
      <c r="H3688" t="s">
        <v>58</v>
      </c>
      <c r="I3688" s="3">
        <v>1799</v>
      </c>
      <c r="J3688" s="3">
        <v>1799</v>
      </c>
      <c r="K3688" s="3">
        <v>434</v>
      </c>
      <c r="L3688" t="s">
        <v>113</v>
      </c>
      <c r="M3688">
        <v>6</v>
      </c>
      <c r="N3688" t="s">
        <v>75</v>
      </c>
      <c r="O3688" t="s">
        <v>70</v>
      </c>
      <c r="P3688" t="s">
        <v>12</v>
      </c>
      <c r="Q3688" t="s">
        <v>13</v>
      </c>
      <c r="R3688" t="s">
        <v>13</v>
      </c>
      <c r="S3688" t="s">
        <v>144</v>
      </c>
      <c r="T3688" s="2">
        <f>MASTER[[#This Row],[CANTIDAD]]*MASTER[[#This Row],[PRECIO DE VENTA]]</f>
        <v>1799</v>
      </c>
      <c r="U3688" s="2">
        <f>MASTER[[#This Row],[CANTIDAD]]*MASTER[[#This Row],[COSTO UNITARIO]]</f>
        <v>434</v>
      </c>
      <c r="V3688" s="2">
        <f>MASTER[[#This Row],[MONTO VENDIDO]]-MASTER[[#This Row],[COSTO DE VENTA]]</f>
        <v>1365</v>
      </c>
    </row>
    <row r="3689" spans="1:22" x14ac:dyDescent="0.3">
      <c r="A3689">
        <v>57111</v>
      </c>
      <c r="B3689">
        <v>1</v>
      </c>
      <c r="C3689" t="s">
        <v>96</v>
      </c>
      <c r="D3689" t="s">
        <v>97</v>
      </c>
      <c r="E3689" s="1">
        <v>44255</v>
      </c>
      <c r="F3689">
        <v>1</v>
      </c>
      <c r="G3689" t="s">
        <v>67</v>
      </c>
      <c r="H3689" t="s">
        <v>68</v>
      </c>
      <c r="I3689" s="3">
        <v>1272</v>
      </c>
      <c r="J3689" s="3">
        <v>1272</v>
      </c>
      <c r="K3689" s="3">
        <v>397</v>
      </c>
      <c r="L3689" t="s">
        <v>98</v>
      </c>
      <c r="M3689">
        <v>5</v>
      </c>
      <c r="N3689" t="s">
        <v>85</v>
      </c>
      <c r="O3689" t="s">
        <v>81</v>
      </c>
      <c r="P3689" t="s">
        <v>12</v>
      </c>
      <c r="Q3689" t="s">
        <v>13</v>
      </c>
      <c r="R3689" t="s">
        <v>13</v>
      </c>
      <c r="S3689" t="s">
        <v>144</v>
      </c>
      <c r="T3689" s="2">
        <f>MASTER[[#This Row],[CANTIDAD]]*MASTER[[#This Row],[PRECIO DE VENTA]]</f>
        <v>1272</v>
      </c>
      <c r="U3689" s="2">
        <f>MASTER[[#This Row],[CANTIDAD]]*MASTER[[#This Row],[COSTO UNITARIO]]</f>
        <v>397</v>
      </c>
      <c r="V3689" s="2">
        <f>MASTER[[#This Row],[MONTO VENDIDO]]-MASTER[[#This Row],[COSTO DE VENTA]]</f>
        <v>875</v>
      </c>
    </row>
    <row r="3690" spans="1:22" x14ac:dyDescent="0.3">
      <c r="A3690">
        <v>57112</v>
      </c>
      <c r="B3690">
        <v>1</v>
      </c>
      <c r="C3690" t="s">
        <v>107</v>
      </c>
      <c r="D3690" t="s">
        <v>108</v>
      </c>
      <c r="E3690" s="1">
        <v>44255</v>
      </c>
      <c r="F3690">
        <v>3</v>
      </c>
      <c r="G3690" t="s">
        <v>49</v>
      </c>
      <c r="H3690" t="s">
        <v>50</v>
      </c>
      <c r="I3690" s="3">
        <v>1440</v>
      </c>
      <c r="J3690" s="3">
        <v>1440</v>
      </c>
      <c r="K3690" s="3">
        <v>380</v>
      </c>
      <c r="L3690" t="s">
        <v>98</v>
      </c>
      <c r="M3690">
        <v>6</v>
      </c>
      <c r="N3690" t="s">
        <v>75</v>
      </c>
      <c r="O3690" t="s">
        <v>70</v>
      </c>
      <c r="P3690" t="s">
        <v>12</v>
      </c>
      <c r="Q3690" t="s">
        <v>13</v>
      </c>
      <c r="R3690" t="s">
        <v>13</v>
      </c>
      <c r="S3690" t="s">
        <v>144</v>
      </c>
      <c r="T3690" s="2">
        <f>MASTER[[#This Row],[CANTIDAD]]*MASTER[[#This Row],[PRECIO DE VENTA]]</f>
        <v>4320</v>
      </c>
      <c r="U3690" s="2">
        <f>MASTER[[#This Row],[CANTIDAD]]*MASTER[[#This Row],[COSTO UNITARIO]]</f>
        <v>1140</v>
      </c>
      <c r="V3690" s="2">
        <f>MASTER[[#This Row],[MONTO VENDIDO]]-MASTER[[#This Row],[COSTO DE VENTA]]</f>
        <v>3180</v>
      </c>
    </row>
    <row r="3691" spans="1:22" x14ac:dyDescent="0.3">
      <c r="A3691">
        <v>57119</v>
      </c>
      <c r="B3691">
        <v>1</v>
      </c>
      <c r="C3691" t="s">
        <v>101</v>
      </c>
      <c r="D3691" t="s">
        <v>102</v>
      </c>
      <c r="E3691" s="1">
        <v>44255</v>
      </c>
      <c r="F3691">
        <v>1</v>
      </c>
      <c r="G3691" t="s">
        <v>29</v>
      </c>
      <c r="H3691" t="s">
        <v>30</v>
      </c>
      <c r="I3691" s="3">
        <v>1357</v>
      </c>
      <c r="J3691" s="3">
        <v>1357</v>
      </c>
      <c r="K3691" s="3">
        <v>442</v>
      </c>
      <c r="L3691" t="s">
        <v>98</v>
      </c>
      <c r="M3691">
        <v>3</v>
      </c>
      <c r="N3691" t="s">
        <v>69</v>
      </c>
      <c r="O3691" t="s">
        <v>70</v>
      </c>
      <c r="P3691" t="s">
        <v>71</v>
      </c>
      <c r="Q3691" t="s">
        <v>72</v>
      </c>
      <c r="R3691" t="s">
        <v>139</v>
      </c>
      <c r="S3691" t="s">
        <v>144</v>
      </c>
      <c r="T3691" s="2">
        <f>MASTER[[#This Row],[CANTIDAD]]*MASTER[[#This Row],[PRECIO DE VENTA]]</f>
        <v>1357</v>
      </c>
      <c r="U3691" s="2">
        <f>MASTER[[#This Row],[CANTIDAD]]*MASTER[[#This Row],[COSTO UNITARIO]]</f>
        <v>442</v>
      </c>
      <c r="V3691" s="2">
        <f>MASTER[[#This Row],[MONTO VENDIDO]]-MASTER[[#This Row],[COSTO DE VENTA]]</f>
        <v>915</v>
      </c>
    </row>
    <row r="3692" spans="1:22" x14ac:dyDescent="0.3">
      <c r="A3692">
        <v>57150</v>
      </c>
      <c r="B3692">
        <v>1</v>
      </c>
      <c r="C3692" t="s">
        <v>101</v>
      </c>
      <c r="D3692" t="s">
        <v>102</v>
      </c>
      <c r="E3692" s="1">
        <v>44255</v>
      </c>
      <c r="F3692">
        <v>1</v>
      </c>
      <c r="G3692" t="s">
        <v>22</v>
      </c>
      <c r="H3692" t="s">
        <v>23</v>
      </c>
      <c r="I3692" s="3">
        <v>1357</v>
      </c>
      <c r="J3692" s="3">
        <v>1357</v>
      </c>
      <c r="K3692" s="3">
        <v>442</v>
      </c>
      <c r="L3692" t="s">
        <v>98</v>
      </c>
      <c r="M3692">
        <v>9</v>
      </c>
      <c r="N3692" t="s">
        <v>76</v>
      </c>
      <c r="O3692" t="s">
        <v>70</v>
      </c>
      <c r="P3692" t="s">
        <v>12</v>
      </c>
      <c r="Q3692" t="s">
        <v>13</v>
      </c>
      <c r="R3692" t="s">
        <v>13</v>
      </c>
      <c r="S3692" t="s">
        <v>144</v>
      </c>
      <c r="T3692" s="2">
        <f>MASTER[[#This Row],[CANTIDAD]]*MASTER[[#This Row],[PRECIO DE VENTA]]</f>
        <v>1357</v>
      </c>
      <c r="U3692" s="2">
        <f>MASTER[[#This Row],[CANTIDAD]]*MASTER[[#This Row],[COSTO UNITARIO]]</f>
        <v>442</v>
      </c>
      <c r="V3692" s="2">
        <f>MASTER[[#This Row],[MONTO VENDIDO]]-MASTER[[#This Row],[COSTO DE VENTA]]</f>
        <v>915</v>
      </c>
    </row>
    <row r="3693" spans="1:22" x14ac:dyDescent="0.3">
      <c r="A3693">
        <v>57153</v>
      </c>
      <c r="B3693">
        <v>1</v>
      </c>
      <c r="C3693" t="s">
        <v>94</v>
      </c>
      <c r="D3693" t="s">
        <v>95</v>
      </c>
      <c r="E3693" s="1">
        <v>44255</v>
      </c>
      <c r="F3693">
        <v>1</v>
      </c>
      <c r="G3693" t="s">
        <v>33</v>
      </c>
      <c r="H3693" t="s">
        <v>34</v>
      </c>
      <c r="I3693" s="3">
        <v>1048</v>
      </c>
      <c r="J3693" s="3">
        <v>1048</v>
      </c>
      <c r="K3693" s="3">
        <v>392</v>
      </c>
      <c r="L3693" t="s">
        <v>9</v>
      </c>
      <c r="M3693">
        <v>7</v>
      </c>
      <c r="N3693" t="s">
        <v>84</v>
      </c>
      <c r="O3693" t="s">
        <v>81</v>
      </c>
      <c r="P3693" t="s">
        <v>12</v>
      </c>
      <c r="Q3693" t="s">
        <v>13</v>
      </c>
      <c r="R3693" t="s">
        <v>13</v>
      </c>
      <c r="S3693" t="s">
        <v>144</v>
      </c>
      <c r="T3693" s="2">
        <f>MASTER[[#This Row],[CANTIDAD]]*MASTER[[#This Row],[PRECIO DE VENTA]]</f>
        <v>1048</v>
      </c>
      <c r="U3693" s="2">
        <f>MASTER[[#This Row],[CANTIDAD]]*MASTER[[#This Row],[COSTO UNITARIO]]</f>
        <v>392</v>
      </c>
      <c r="V3693" s="2">
        <f>MASTER[[#This Row],[MONTO VENDIDO]]-MASTER[[#This Row],[COSTO DE VENTA]]</f>
        <v>656</v>
      </c>
    </row>
    <row r="3694" spans="1:22" x14ac:dyDescent="0.3">
      <c r="A3694">
        <v>57161</v>
      </c>
      <c r="B3694">
        <v>1</v>
      </c>
      <c r="C3694" t="s">
        <v>114</v>
      </c>
      <c r="D3694" t="s">
        <v>115</v>
      </c>
      <c r="E3694" s="1">
        <v>44255</v>
      </c>
      <c r="F3694">
        <v>1</v>
      </c>
      <c r="G3694" t="s">
        <v>35</v>
      </c>
      <c r="H3694" t="s">
        <v>36</v>
      </c>
      <c r="I3694" s="3">
        <v>2030</v>
      </c>
      <c r="J3694" s="3">
        <v>2030</v>
      </c>
      <c r="K3694" s="3">
        <v>394</v>
      </c>
      <c r="L3694" t="s">
        <v>113</v>
      </c>
      <c r="M3694">
        <v>3</v>
      </c>
      <c r="N3694" t="s">
        <v>69</v>
      </c>
      <c r="O3694" t="s">
        <v>70</v>
      </c>
      <c r="P3694" t="s">
        <v>71</v>
      </c>
      <c r="Q3694" t="s">
        <v>72</v>
      </c>
      <c r="R3694" t="s">
        <v>139</v>
      </c>
      <c r="S3694" t="s">
        <v>144</v>
      </c>
      <c r="T3694" s="2">
        <f>MASTER[[#This Row],[CANTIDAD]]*MASTER[[#This Row],[PRECIO DE VENTA]]</f>
        <v>2030</v>
      </c>
      <c r="U3694" s="2">
        <f>MASTER[[#This Row],[CANTIDAD]]*MASTER[[#This Row],[COSTO UNITARIO]]</f>
        <v>394</v>
      </c>
      <c r="V3694" s="2">
        <f>MASTER[[#This Row],[MONTO VENDIDO]]-MASTER[[#This Row],[COSTO DE VENTA]]</f>
        <v>1636</v>
      </c>
    </row>
    <row r="3695" spans="1:22" x14ac:dyDescent="0.3">
      <c r="A3695">
        <v>57172</v>
      </c>
      <c r="B3695">
        <v>1</v>
      </c>
      <c r="C3695" t="s">
        <v>107</v>
      </c>
      <c r="D3695" t="s">
        <v>108</v>
      </c>
      <c r="E3695" s="1">
        <v>44255</v>
      </c>
      <c r="F3695">
        <v>1</v>
      </c>
      <c r="G3695" t="s">
        <v>29</v>
      </c>
      <c r="H3695" t="s">
        <v>30</v>
      </c>
      <c r="I3695" s="3">
        <v>1333</v>
      </c>
      <c r="J3695" s="3">
        <v>1333</v>
      </c>
      <c r="K3695" s="3">
        <v>380</v>
      </c>
      <c r="L3695" t="s">
        <v>98</v>
      </c>
      <c r="M3695">
        <v>14</v>
      </c>
      <c r="N3695" t="s">
        <v>87</v>
      </c>
      <c r="O3695" t="s">
        <v>81</v>
      </c>
      <c r="P3695" t="s">
        <v>18</v>
      </c>
      <c r="Q3695" t="s">
        <v>19</v>
      </c>
      <c r="R3695" t="s">
        <v>138</v>
      </c>
      <c r="S3695" t="s">
        <v>144</v>
      </c>
      <c r="T3695" s="2">
        <f>MASTER[[#This Row],[CANTIDAD]]*MASTER[[#This Row],[PRECIO DE VENTA]]</f>
        <v>1333</v>
      </c>
      <c r="U3695" s="2">
        <f>MASTER[[#This Row],[CANTIDAD]]*MASTER[[#This Row],[COSTO UNITARIO]]</f>
        <v>380</v>
      </c>
      <c r="V3695" s="2">
        <f>MASTER[[#This Row],[MONTO VENDIDO]]-MASTER[[#This Row],[COSTO DE VENTA]]</f>
        <v>953</v>
      </c>
    </row>
    <row r="3696" spans="1:22" x14ac:dyDescent="0.3">
      <c r="A3696">
        <v>57173</v>
      </c>
      <c r="B3696">
        <v>1</v>
      </c>
      <c r="C3696" t="s">
        <v>94</v>
      </c>
      <c r="D3696" t="s">
        <v>95</v>
      </c>
      <c r="E3696" s="1">
        <v>44255</v>
      </c>
      <c r="F3696">
        <v>1</v>
      </c>
      <c r="G3696" t="s">
        <v>31</v>
      </c>
      <c r="H3696" t="s">
        <v>32</v>
      </c>
      <c r="I3696" s="3">
        <v>1048</v>
      </c>
      <c r="J3696" s="3">
        <v>1048</v>
      </c>
      <c r="K3696" s="3">
        <v>392</v>
      </c>
      <c r="L3696" t="s">
        <v>9</v>
      </c>
      <c r="M3696">
        <v>15</v>
      </c>
      <c r="N3696" t="s">
        <v>88</v>
      </c>
      <c r="O3696" t="s">
        <v>81</v>
      </c>
      <c r="P3696" t="s">
        <v>18</v>
      </c>
      <c r="Q3696" t="s">
        <v>19</v>
      </c>
      <c r="R3696" t="s">
        <v>138</v>
      </c>
      <c r="S3696" t="s">
        <v>144</v>
      </c>
      <c r="T3696" s="2">
        <f>MASTER[[#This Row],[CANTIDAD]]*MASTER[[#This Row],[PRECIO DE VENTA]]</f>
        <v>1048</v>
      </c>
      <c r="U3696" s="2">
        <f>MASTER[[#This Row],[CANTIDAD]]*MASTER[[#This Row],[COSTO UNITARIO]]</f>
        <v>392</v>
      </c>
      <c r="V3696" s="2">
        <f>MASTER[[#This Row],[MONTO VENDIDO]]-MASTER[[#This Row],[COSTO DE VENTA]]</f>
        <v>656</v>
      </c>
    </row>
    <row r="3697" spans="1:22" x14ac:dyDescent="0.3">
      <c r="A3697">
        <v>57176</v>
      </c>
      <c r="B3697">
        <v>1</v>
      </c>
      <c r="C3697" t="s">
        <v>114</v>
      </c>
      <c r="D3697" t="s">
        <v>115</v>
      </c>
      <c r="E3697" s="1">
        <v>44256</v>
      </c>
      <c r="F3697">
        <v>1</v>
      </c>
      <c r="G3697" t="s">
        <v>73</v>
      </c>
      <c r="H3697" t="s">
        <v>74</v>
      </c>
      <c r="I3697" s="3">
        <v>1862</v>
      </c>
      <c r="J3697" s="3">
        <v>1862</v>
      </c>
      <c r="K3697" s="3">
        <v>394</v>
      </c>
      <c r="L3697" t="s">
        <v>113</v>
      </c>
      <c r="M3697">
        <v>8</v>
      </c>
      <c r="N3697" t="s">
        <v>80</v>
      </c>
      <c r="O3697" t="s">
        <v>81</v>
      </c>
      <c r="P3697" t="s">
        <v>12</v>
      </c>
      <c r="Q3697" t="s">
        <v>13</v>
      </c>
      <c r="R3697" t="s">
        <v>13</v>
      </c>
      <c r="S3697" t="s">
        <v>144</v>
      </c>
      <c r="T3697" s="2">
        <f>MASTER[[#This Row],[CANTIDAD]]*MASTER[[#This Row],[PRECIO DE VENTA]]</f>
        <v>1862</v>
      </c>
      <c r="U3697" s="2">
        <f>MASTER[[#This Row],[CANTIDAD]]*MASTER[[#This Row],[COSTO UNITARIO]]</f>
        <v>394</v>
      </c>
      <c r="V3697" s="2">
        <f>MASTER[[#This Row],[MONTO VENDIDO]]-MASTER[[#This Row],[COSTO DE VENTA]]</f>
        <v>1468</v>
      </c>
    </row>
    <row r="3698" spans="1:22" x14ac:dyDescent="0.3">
      <c r="A3698">
        <v>57201</v>
      </c>
      <c r="B3698">
        <v>1</v>
      </c>
      <c r="C3698" t="s">
        <v>101</v>
      </c>
      <c r="D3698" t="s">
        <v>102</v>
      </c>
      <c r="E3698" s="1">
        <v>44256</v>
      </c>
      <c r="F3698">
        <v>1</v>
      </c>
      <c r="G3698" t="s">
        <v>43</v>
      </c>
      <c r="H3698" t="s">
        <v>44</v>
      </c>
      <c r="I3698" s="3">
        <v>1212</v>
      </c>
      <c r="J3698" s="3">
        <v>1212</v>
      </c>
      <c r="K3698" s="3">
        <v>442</v>
      </c>
      <c r="L3698" t="s">
        <v>98</v>
      </c>
      <c r="M3698">
        <v>15</v>
      </c>
      <c r="N3698" t="s">
        <v>88</v>
      </c>
      <c r="O3698" t="s">
        <v>81</v>
      </c>
      <c r="P3698" t="s">
        <v>18</v>
      </c>
      <c r="Q3698" t="s">
        <v>19</v>
      </c>
      <c r="R3698" t="s">
        <v>138</v>
      </c>
      <c r="S3698" t="s">
        <v>144</v>
      </c>
      <c r="T3698" s="2">
        <f>MASTER[[#This Row],[CANTIDAD]]*MASTER[[#This Row],[PRECIO DE VENTA]]</f>
        <v>1212</v>
      </c>
      <c r="U3698" s="2">
        <f>MASTER[[#This Row],[CANTIDAD]]*MASTER[[#This Row],[COSTO UNITARIO]]</f>
        <v>442</v>
      </c>
      <c r="V3698" s="2">
        <f>MASTER[[#This Row],[MONTO VENDIDO]]-MASTER[[#This Row],[COSTO DE VENTA]]</f>
        <v>770</v>
      </c>
    </row>
    <row r="3699" spans="1:22" x14ac:dyDescent="0.3">
      <c r="A3699">
        <v>57213</v>
      </c>
      <c r="B3699">
        <v>1</v>
      </c>
      <c r="C3699" t="s">
        <v>96</v>
      </c>
      <c r="D3699" t="s">
        <v>97</v>
      </c>
      <c r="E3699" s="1">
        <v>44256</v>
      </c>
      <c r="F3699">
        <v>1</v>
      </c>
      <c r="G3699" t="s">
        <v>45</v>
      </c>
      <c r="H3699" t="s">
        <v>46</v>
      </c>
      <c r="I3699" s="3">
        <v>1196</v>
      </c>
      <c r="J3699" s="3">
        <v>1196</v>
      </c>
      <c r="K3699" s="3">
        <v>397</v>
      </c>
      <c r="L3699" t="s">
        <v>98</v>
      </c>
      <c r="M3699">
        <v>17</v>
      </c>
      <c r="N3699" t="s">
        <v>14</v>
      </c>
      <c r="O3699" t="s">
        <v>11</v>
      </c>
      <c r="P3699" t="s">
        <v>15</v>
      </c>
      <c r="Q3699" t="s">
        <v>16</v>
      </c>
      <c r="R3699" t="s">
        <v>16</v>
      </c>
      <c r="S3699" t="s">
        <v>144</v>
      </c>
      <c r="T3699" s="2">
        <f>MASTER[[#This Row],[CANTIDAD]]*MASTER[[#This Row],[PRECIO DE VENTA]]</f>
        <v>1196</v>
      </c>
      <c r="U3699" s="2">
        <f>MASTER[[#This Row],[CANTIDAD]]*MASTER[[#This Row],[COSTO UNITARIO]]</f>
        <v>397</v>
      </c>
      <c r="V3699" s="2">
        <f>MASTER[[#This Row],[MONTO VENDIDO]]-MASTER[[#This Row],[COSTO DE VENTA]]</f>
        <v>799</v>
      </c>
    </row>
    <row r="3700" spans="1:22" x14ac:dyDescent="0.3">
      <c r="A3700">
        <v>57224</v>
      </c>
      <c r="B3700">
        <v>1</v>
      </c>
      <c r="C3700" t="s">
        <v>114</v>
      </c>
      <c r="D3700" t="s">
        <v>115</v>
      </c>
      <c r="E3700" s="1">
        <v>44256</v>
      </c>
      <c r="F3700">
        <v>1</v>
      </c>
      <c r="G3700" t="s">
        <v>61</v>
      </c>
      <c r="H3700" t="s">
        <v>62</v>
      </c>
      <c r="I3700" s="3">
        <v>1862</v>
      </c>
      <c r="J3700" s="3">
        <v>1862</v>
      </c>
      <c r="K3700" s="3">
        <v>394</v>
      </c>
      <c r="L3700" t="s">
        <v>113</v>
      </c>
      <c r="M3700">
        <v>2</v>
      </c>
      <c r="N3700" t="s">
        <v>86</v>
      </c>
      <c r="O3700" t="s">
        <v>81</v>
      </c>
      <c r="P3700" t="s">
        <v>71</v>
      </c>
      <c r="Q3700" t="s">
        <v>72</v>
      </c>
      <c r="R3700" t="s">
        <v>139</v>
      </c>
      <c r="S3700" t="s">
        <v>144</v>
      </c>
      <c r="T3700" s="2">
        <f>MASTER[[#This Row],[CANTIDAD]]*MASTER[[#This Row],[PRECIO DE VENTA]]</f>
        <v>1862</v>
      </c>
      <c r="U3700" s="2">
        <f>MASTER[[#This Row],[CANTIDAD]]*MASTER[[#This Row],[COSTO UNITARIO]]</f>
        <v>394</v>
      </c>
      <c r="V3700" s="2">
        <f>MASTER[[#This Row],[MONTO VENDIDO]]-MASTER[[#This Row],[COSTO DE VENTA]]</f>
        <v>1468</v>
      </c>
    </row>
    <row r="3701" spans="1:22" x14ac:dyDescent="0.3">
      <c r="A3701">
        <v>57225</v>
      </c>
      <c r="B3701">
        <v>1</v>
      </c>
      <c r="C3701" t="s">
        <v>116</v>
      </c>
      <c r="D3701" t="s">
        <v>117</v>
      </c>
      <c r="E3701" s="1">
        <v>44256</v>
      </c>
      <c r="F3701">
        <v>1</v>
      </c>
      <c r="G3701" t="s">
        <v>41</v>
      </c>
      <c r="H3701" t="s">
        <v>42</v>
      </c>
      <c r="I3701" s="3">
        <v>1738</v>
      </c>
      <c r="J3701" s="3">
        <v>1738</v>
      </c>
      <c r="K3701" s="3">
        <v>388</v>
      </c>
      <c r="L3701" t="s">
        <v>113</v>
      </c>
      <c r="M3701">
        <v>19</v>
      </c>
      <c r="N3701" t="s">
        <v>89</v>
      </c>
      <c r="O3701" t="s">
        <v>81</v>
      </c>
      <c r="P3701" t="s">
        <v>15</v>
      </c>
      <c r="Q3701" t="s">
        <v>16</v>
      </c>
      <c r="R3701" t="s">
        <v>16</v>
      </c>
      <c r="S3701" t="s">
        <v>144</v>
      </c>
      <c r="T3701" s="2">
        <f>MASTER[[#This Row],[CANTIDAD]]*MASTER[[#This Row],[PRECIO DE VENTA]]</f>
        <v>1738</v>
      </c>
      <c r="U3701" s="2">
        <f>MASTER[[#This Row],[CANTIDAD]]*MASTER[[#This Row],[COSTO UNITARIO]]</f>
        <v>388</v>
      </c>
      <c r="V3701" s="2">
        <f>MASTER[[#This Row],[MONTO VENDIDO]]-MASTER[[#This Row],[COSTO DE VENTA]]</f>
        <v>1350</v>
      </c>
    </row>
    <row r="3702" spans="1:22" x14ac:dyDescent="0.3">
      <c r="A3702">
        <v>57234</v>
      </c>
      <c r="B3702">
        <v>1</v>
      </c>
      <c r="C3702" t="s">
        <v>107</v>
      </c>
      <c r="D3702" t="s">
        <v>108</v>
      </c>
      <c r="E3702" s="1">
        <v>44256</v>
      </c>
      <c r="F3702">
        <v>1</v>
      </c>
      <c r="G3702" t="s">
        <v>59</v>
      </c>
      <c r="H3702" t="s">
        <v>60</v>
      </c>
      <c r="I3702" s="3">
        <v>1440</v>
      </c>
      <c r="J3702" s="3">
        <v>1440</v>
      </c>
      <c r="K3702" s="3">
        <v>380</v>
      </c>
      <c r="L3702" t="s">
        <v>98</v>
      </c>
      <c r="M3702">
        <v>3</v>
      </c>
      <c r="N3702" t="s">
        <v>69</v>
      </c>
      <c r="O3702" t="s">
        <v>70</v>
      </c>
      <c r="P3702" t="s">
        <v>71</v>
      </c>
      <c r="Q3702" t="s">
        <v>72</v>
      </c>
      <c r="R3702" t="s">
        <v>139</v>
      </c>
      <c r="S3702" t="s">
        <v>144</v>
      </c>
      <c r="T3702" s="2">
        <f>MASTER[[#This Row],[CANTIDAD]]*MASTER[[#This Row],[PRECIO DE VENTA]]</f>
        <v>1440</v>
      </c>
      <c r="U3702" s="2">
        <f>MASTER[[#This Row],[CANTIDAD]]*MASTER[[#This Row],[COSTO UNITARIO]]</f>
        <v>380</v>
      </c>
      <c r="V3702" s="2">
        <f>MASTER[[#This Row],[MONTO VENDIDO]]-MASTER[[#This Row],[COSTO DE VENTA]]</f>
        <v>1060</v>
      </c>
    </row>
    <row r="3703" spans="1:22" x14ac:dyDescent="0.3">
      <c r="A3703">
        <v>57241</v>
      </c>
      <c r="B3703">
        <v>1</v>
      </c>
      <c r="C3703" t="s">
        <v>90</v>
      </c>
      <c r="D3703" t="s">
        <v>91</v>
      </c>
      <c r="E3703" s="1">
        <v>44257</v>
      </c>
      <c r="F3703">
        <v>1</v>
      </c>
      <c r="G3703" t="s">
        <v>24</v>
      </c>
      <c r="H3703" t="s">
        <v>25</v>
      </c>
      <c r="I3703" s="3">
        <v>2102</v>
      </c>
      <c r="J3703" s="3">
        <v>2102</v>
      </c>
      <c r="K3703" s="3">
        <v>420</v>
      </c>
      <c r="L3703" t="s">
        <v>9</v>
      </c>
      <c r="M3703">
        <v>6</v>
      </c>
      <c r="N3703" t="s">
        <v>75</v>
      </c>
      <c r="O3703" t="s">
        <v>70</v>
      </c>
      <c r="P3703" t="s">
        <v>12</v>
      </c>
      <c r="Q3703" t="s">
        <v>13</v>
      </c>
      <c r="R3703" t="s">
        <v>13</v>
      </c>
      <c r="S3703" t="s">
        <v>144</v>
      </c>
      <c r="T3703" s="2">
        <f>MASTER[[#This Row],[CANTIDAD]]*MASTER[[#This Row],[PRECIO DE VENTA]]</f>
        <v>2102</v>
      </c>
      <c r="U3703" s="2">
        <f>MASTER[[#This Row],[CANTIDAD]]*MASTER[[#This Row],[COSTO UNITARIO]]</f>
        <v>420</v>
      </c>
      <c r="V3703" s="2">
        <f>MASTER[[#This Row],[MONTO VENDIDO]]-MASTER[[#This Row],[COSTO DE VENTA]]</f>
        <v>1682</v>
      </c>
    </row>
    <row r="3704" spans="1:22" x14ac:dyDescent="0.3">
      <c r="A3704">
        <v>57291</v>
      </c>
      <c r="B3704">
        <v>1</v>
      </c>
      <c r="C3704" t="s">
        <v>96</v>
      </c>
      <c r="D3704" t="s">
        <v>97</v>
      </c>
      <c r="E3704" s="1">
        <v>44257</v>
      </c>
      <c r="F3704">
        <v>1</v>
      </c>
      <c r="G3704" t="s">
        <v>20</v>
      </c>
      <c r="H3704" t="s">
        <v>21</v>
      </c>
      <c r="I3704" s="3">
        <v>1272</v>
      </c>
      <c r="J3704" s="3">
        <v>1272</v>
      </c>
      <c r="K3704" s="3">
        <v>397</v>
      </c>
      <c r="L3704" t="s">
        <v>98</v>
      </c>
      <c r="M3704">
        <v>15</v>
      </c>
      <c r="N3704" t="s">
        <v>88</v>
      </c>
      <c r="O3704" t="s">
        <v>81</v>
      </c>
      <c r="P3704" t="s">
        <v>18</v>
      </c>
      <c r="Q3704" t="s">
        <v>19</v>
      </c>
      <c r="R3704" t="s">
        <v>138</v>
      </c>
      <c r="S3704" t="s">
        <v>144</v>
      </c>
      <c r="T3704" s="2">
        <f>MASTER[[#This Row],[CANTIDAD]]*MASTER[[#This Row],[PRECIO DE VENTA]]</f>
        <v>1272</v>
      </c>
      <c r="U3704" s="2">
        <f>MASTER[[#This Row],[CANTIDAD]]*MASTER[[#This Row],[COSTO UNITARIO]]</f>
        <v>397</v>
      </c>
      <c r="V3704" s="2">
        <f>MASTER[[#This Row],[MONTO VENDIDO]]-MASTER[[#This Row],[COSTO DE VENTA]]</f>
        <v>875</v>
      </c>
    </row>
    <row r="3705" spans="1:22" x14ac:dyDescent="0.3">
      <c r="A3705">
        <v>57302</v>
      </c>
      <c r="B3705">
        <v>1</v>
      </c>
      <c r="C3705" t="s">
        <v>109</v>
      </c>
      <c r="D3705" t="s">
        <v>110</v>
      </c>
      <c r="E3705" s="1">
        <v>44257</v>
      </c>
      <c r="F3705">
        <v>1</v>
      </c>
      <c r="G3705" t="s">
        <v>29</v>
      </c>
      <c r="H3705" t="s">
        <v>30</v>
      </c>
      <c r="I3705" s="3">
        <v>947</v>
      </c>
      <c r="J3705" s="3">
        <v>947</v>
      </c>
      <c r="K3705" s="3">
        <v>387</v>
      </c>
      <c r="L3705" t="s">
        <v>98</v>
      </c>
      <c r="M3705">
        <v>12</v>
      </c>
      <c r="N3705" t="s">
        <v>26</v>
      </c>
      <c r="O3705" t="s">
        <v>11</v>
      </c>
      <c r="P3705" t="s">
        <v>12</v>
      </c>
      <c r="Q3705" t="s">
        <v>13</v>
      </c>
      <c r="R3705" t="s">
        <v>13</v>
      </c>
      <c r="S3705" t="s">
        <v>144</v>
      </c>
      <c r="T3705" s="2">
        <f>MASTER[[#This Row],[CANTIDAD]]*MASTER[[#This Row],[PRECIO DE VENTA]]</f>
        <v>947</v>
      </c>
      <c r="U3705" s="2">
        <f>MASTER[[#This Row],[CANTIDAD]]*MASTER[[#This Row],[COSTO UNITARIO]]</f>
        <v>387</v>
      </c>
      <c r="V3705" s="2">
        <f>MASTER[[#This Row],[MONTO VENDIDO]]-MASTER[[#This Row],[COSTO DE VENTA]]</f>
        <v>560</v>
      </c>
    </row>
    <row r="3706" spans="1:22" x14ac:dyDescent="0.3">
      <c r="A3706">
        <v>57309</v>
      </c>
      <c r="B3706">
        <v>1</v>
      </c>
      <c r="C3706" t="s">
        <v>105</v>
      </c>
      <c r="D3706" t="s">
        <v>106</v>
      </c>
      <c r="E3706" s="1">
        <v>44257</v>
      </c>
      <c r="F3706">
        <v>1</v>
      </c>
      <c r="G3706" t="s">
        <v>57</v>
      </c>
      <c r="H3706" t="s">
        <v>58</v>
      </c>
      <c r="I3706" s="3">
        <v>2033</v>
      </c>
      <c r="J3706" s="3">
        <v>2033</v>
      </c>
      <c r="K3706" s="3">
        <v>459</v>
      </c>
      <c r="L3706" t="s">
        <v>98</v>
      </c>
      <c r="M3706">
        <v>18</v>
      </c>
      <c r="N3706" t="s">
        <v>79</v>
      </c>
      <c r="O3706" t="s">
        <v>70</v>
      </c>
      <c r="P3706" t="s">
        <v>15</v>
      </c>
      <c r="Q3706" t="s">
        <v>16</v>
      </c>
      <c r="R3706" t="s">
        <v>16</v>
      </c>
      <c r="S3706" t="s">
        <v>144</v>
      </c>
      <c r="T3706" s="2">
        <f>MASTER[[#This Row],[CANTIDAD]]*MASTER[[#This Row],[PRECIO DE VENTA]]</f>
        <v>2033</v>
      </c>
      <c r="U3706" s="2">
        <f>MASTER[[#This Row],[CANTIDAD]]*MASTER[[#This Row],[COSTO UNITARIO]]</f>
        <v>459</v>
      </c>
      <c r="V3706" s="2">
        <f>MASTER[[#This Row],[MONTO VENDIDO]]-MASTER[[#This Row],[COSTO DE VENTA]]</f>
        <v>1574</v>
      </c>
    </row>
    <row r="3707" spans="1:22" x14ac:dyDescent="0.3">
      <c r="A3707">
        <v>57313</v>
      </c>
      <c r="B3707">
        <v>1</v>
      </c>
      <c r="C3707" t="s">
        <v>107</v>
      </c>
      <c r="D3707" t="s">
        <v>108</v>
      </c>
      <c r="E3707" s="1">
        <v>44257</v>
      </c>
      <c r="F3707">
        <v>1</v>
      </c>
      <c r="G3707" t="s">
        <v>7</v>
      </c>
      <c r="H3707" t="s">
        <v>8</v>
      </c>
      <c r="I3707" s="3">
        <v>1440</v>
      </c>
      <c r="J3707" s="3">
        <v>1440</v>
      </c>
      <c r="K3707" s="3">
        <v>380</v>
      </c>
      <c r="L3707" t="s">
        <v>98</v>
      </c>
      <c r="M3707">
        <v>13</v>
      </c>
      <c r="N3707" t="s">
        <v>78</v>
      </c>
      <c r="O3707" t="s">
        <v>70</v>
      </c>
      <c r="P3707" t="s">
        <v>18</v>
      </c>
      <c r="Q3707" t="s">
        <v>19</v>
      </c>
      <c r="R3707" t="s">
        <v>138</v>
      </c>
      <c r="S3707" t="s">
        <v>144</v>
      </c>
      <c r="T3707" s="2">
        <f>MASTER[[#This Row],[CANTIDAD]]*MASTER[[#This Row],[PRECIO DE VENTA]]</f>
        <v>1440</v>
      </c>
      <c r="U3707" s="2">
        <f>MASTER[[#This Row],[CANTIDAD]]*MASTER[[#This Row],[COSTO UNITARIO]]</f>
        <v>380</v>
      </c>
      <c r="V3707" s="2">
        <f>MASTER[[#This Row],[MONTO VENDIDO]]-MASTER[[#This Row],[COSTO DE VENTA]]</f>
        <v>1060</v>
      </c>
    </row>
    <row r="3708" spans="1:22" x14ac:dyDescent="0.3">
      <c r="A3708">
        <v>57326</v>
      </c>
      <c r="B3708">
        <v>1</v>
      </c>
      <c r="C3708" t="s">
        <v>105</v>
      </c>
      <c r="D3708" t="s">
        <v>106</v>
      </c>
      <c r="E3708" s="1">
        <v>44257</v>
      </c>
      <c r="F3708">
        <v>1</v>
      </c>
      <c r="G3708" t="s">
        <v>49</v>
      </c>
      <c r="H3708" t="s">
        <v>50</v>
      </c>
      <c r="I3708" s="3">
        <v>1865</v>
      </c>
      <c r="J3708" s="3">
        <v>1865</v>
      </c>
      <c r="K3708" s="3">
        <v>459</v>
      </c>
      <c r="L3708" t="s">
        <v>98</v>
      </c>
      <c r="M3708">
        <v>19</v>
      </c>
      <c r="N3708" t="s">
        <v>89</v>
      </c>
      <c r="O3708" t="s">
        <v>81</v>
      </c>
      <c r="P3708" t="s">
        <v>15</v>
      </c>
      <c r="Q3708" t="s">
        <v>16</v>
      </c>
      <c r="R3708" t="s">
        <v>16</v>
      </c>
      <c r="S3708" t="s">
        <v>144</v>
      </c>
      <c r="T3708" s="2">
        <f>MASTER[[#This Row],[CANTIDAD]]*MASTER[[#This Row],[PRECIO DE VENTA]]</f>
        <v>1865</v>
      </c>
      <c r="U3708" s="2">
        <f>MASTER[[#This Row],[CANTIDAD]]*MASTER[[#This Row],[COSTO UNITARIO]]</f>
        <v>459</v>
      </c>
      <c r="V3708" s="2">
        <f>MASTER[[#This Row],[MONTO VENDIDO]]-MASTER[[#This Row],[COSTO DE VENTA]]</f>
        <v>1406</v>
      </c>
    </row>
    <row r="3709" spans="1:22" x14ac:dyDescent="0.3">
      <c r="A3709">
        <v>57345</v>
      </c>
      <c r="B3709">
        <v>1</v>
      </c>
      <c r="C3709" t="s">
        <v>96</v>
      </c>
      <c r="D3709" t="s">
        <v>97</v>
      </c>
      <c r="E3709" s="1">
        <v>44257</v>
      </c>
      <c r="F3709">
        <v>1</v>
      </c>
      <c r="G3709" t="s">
        <v>20</v>
      </c>
      <c r="H3709" t="s">
        <v>21</v>
      </c>
      <c r="I3709" s="3">
        <v>1272</v>
      </c>
      <c r="J3709" s="3">
        <v>1221</v>
      </c>
      <c r="K3709" s="3">
        <v>397</v>
      </c>
      <c r="L3709" t="s">
        <v>98</v>
      </c>
      <c r="M3709">
        <v>8</v>
      </c>
      <c r="N3709" t="s">
        <v>80</v>
      </c>
      <c r="O3709" t="s">
        <v>81</v>
      </c>
      <c r="P3709" t="s">
        <v>12</v>
      </c>
      <c r="Q3709" t="s">
        <v>13</v>
      </c>
      <c r="R3709" t="s">
        <v>13</v>
      </c>
      <c r="S3709" t="s">
        <v>144</v>
      </c>
      <c r="T3709" s="2">
        <f>MASTER[[#This Row],[CANTIDAD]]*MASTER[[#This Row],[PRECIO DE VENTA]]</f>
        <v>1221</v>
      </c>
      <c r="U3709" s="2">
        <f>MASTER[[#This Row],[CANTIDAD]]*MASTER[[#This Row],[COSTO UNITARIO]]</f>
        <v>397</v>
      </c>
      <c r="V3709" s="2">
        <f>MASTER[[#This Row],[MONTO VENDIDO]]-MASTER[[#This Row],[COSTO DE VENTA]]</f>
        <v>824</v>
      </c>
    </row>
    <row r="3710" spans="1:22" x14ac:dyDescent="0.3">
      <c r="A3710">
        <v>57348</v>
      </c>
      <c r="B3710">
        <v>1</v>
      </c>
      <c r="C3710" t="s">
        <v>90</v>
      </c>
      <c r="D3710" t="s">
        <v>91</v>
      </c>
      <c r="E3710" s="1">
        <v>44257</v>
      </c>
      <c r="F3710">
        <v>1</v>
      </c>
      <c r="G3710" t="s">
        <v>59</v>
      </c>
      <c r="H3710" t="s">
        <v>60</v>
      </c>
      <c r="I3710" s="3">
        <v>1844</v>
      </c>
      <c r="J3710" s="3">
        <v>1844</v>
      </c>
      <c r="K3710" s="3">
        <v>420</v>
      </c>
      <c r="L3710" t="s">
        <v>9</v>
      </c>
      <c r="M3710">
        <v>2</v>
      </c>
      <c r="N3710" t="s">
        <v>86</v>
      </c>
      <c r="O3710" t="s">
        <v>81</v>
      </c>
      <c r="P3710" t="s">
        <v>71</v>
      </c>
      <c r="Q3710" t="s">
        <v>72</v>
      </c>
      <c r="R3710" t="s">
        <v>139</v>
      </c>
      <c r="S3710" t="s">
        <v>144</v>
      </c>
      <c r="T3710" s="2">
        <f>MASTER[[#This Row],[CANTIDAD]]*MASTER[[#This Row],[PRECIO DE VENTA]]</f>
        <v>1844</v>
      </c>
      <c r="U3710" s="2">
        <f>MASTER[[#This Row],[CANTIDAD]]*MASTER[[#This Row],[COSTO UNITARIO]]</f>
        <v>420</v>
      </c>
      <c r="V3710" s="2">
        <f>MASTER[[#This Row],[MONTO VENDIDO]]-MASTER[[#This Row],[COSTO DE VENTA]]</f>
        <v>1424</v>
      </c>
    </row>
    <row r="3711" spans="1:22" x14ac:dyDescent="0.3">
      <c r="A3711">
        <v>57349</v>
      </c>
      <c r="B3711">
        <v>1</v>
      </c>
      <c r="C3711" t="s">
        <v>105</v>
      </c>
      <c r="D3711" t="s">
        <v>106</v>
      </c>
      <c r="E3711" s="1">
        <v>44257</v>
      </c>
      <c r="F3711">
        <v>1</v>
      </c>
      <c r="G3711" t="s">
        <v>29</v>
      </c>
      <c r="H3711" t="s">
        <v>30</v>
      </c>
      <c r="I3711" s="3">
        <v>2033</v>
      </c>
      <c r="J3711" s="3">
        <v>2033</v>
      </c>
      <c r="K3711" s="3">
        <v>459</v>
      </c>
      <c r="L3711" t="s">
        <v>98</v>
      </c>
      <c r="M3711">
        <v>13</v>
      </c>
      <c r="N3711" t="s">
        <v>78</v>
      </c>
      <c r="O3711" t="s">
        <v>70</v>
      </c>
      <c r="P3711" t="s">
        <v>18</v>
      </c>
      <c r="Q3711" t="s">
        <v>19</v>
      </c>
      <c r="R3711" t="s">
        <v>138</v>
      </c>
      <c r="S3711" t="s">
        <v>144</v>
      </c>
      <c r="T3711" s="2">
        <f>MASTER[[#This Row],[CANTIDAD]]*MASTER[[#This Row],[PRECIO DE VENTA]]</f>
        <v>2033</v>
      </c>
      <c r="U3711" s="2">
        <f>MASTER[[#This Row],[CANTIDAD]]*MASTER[[#This Row],[COSTO UNITARIO]]</f>
        <v>459</v>
      </c>
      <c r="V3711" s="2">
        <f>MASTER[[#This Row],[MONTO VENDIDO]]-MASTER[[#This Row],[COSTO DE VENTA]]</f>
        <v>1574</v>
      </c>
    </row>
    <row r="3712" spans="1:22" x14ac:dyDescent="0.3">
      <c r="A3712">
        <v>57363</v>
      </c>
      <c r="B3712">
        <v>1</v>
      </c>
      <c r="C3712" t="s">
        <v>101</v>
      </c>
      <c r="D3712" t="s">
        <v>102</v>
      </c>
      <c r="E3712" s="1">
        <v>44257</v>
      </c>
      <c r="F3712">
        <v>1</v>
      </c>
      <c r="G3712" t="s">
        <v>53</v>
      </c>
      <c r="H3712" t="s">
        <v>54</v>
      </c>
      <c r="I3712" s="3">
        <v>1054</v>
      </c>
      <c r="J3712" s="3">
        <v>1054</v>
      </c>
      <c r="K3712" s="3">
        <v>442</v>
      </c>
      <c r="L3712" t="s">
        <v>98</v>
      </c>
      <c r="M3712">
        <v>12</v>
      </c>
      <c r="N3712" t="s">
        <v>26</v>
      </c>
      <c r="O3712" t="s">
        <v>11</v>
      </c>
      <c r="P3712" t="s">
        <v>12</v>
      </c>
      <c r="Q3712" t="s">
        <v>13</v>
      </c>
      <c r="R3712" t="s">
        <v>13</v>
      </c>
      <c r="S3712" t="s">
        <v>144</v>
      </c>
      <c r="T3712" s="2">
        <f>MASTER[[#This Row],[CANTIDAD]]*MASTER[[#This Row],[PRECIO DE VENTA]]</f>
        <v>1054</v>
      </c>
      <c r="U3712" s="2">
        <f>MASTER[[#This Row],[CANTIDAD]]*MASTER[[#This Row],[COSTO UNITARIO]]</f>
        <v>442</v>
      </c>
      <c r="V3712" s="2">
        <f>MASTER[[#This Row],[MONTO VENDIDO]]-MASTER[[#This Row],[COSTO DE VENTA]]</f>
        <v>612</v>
      </c>
    </row>
    <row r="3713" spans="1:22" x14ac:dyDescent="0.3">
      <c r="A3713">
        <v>57364</v>
      </c>
      <c r="B3713">
        <v>1</v>
      </c>
      <c r="C3713" t="s">
        <v>103</v>
      </c>
      <c r="D3713" t="s">
        <v>104</v>
      </c>
      <c r="E3713" s="1">
        <v>44257</v>
      </c>
      <c r="F3713">
        <v>1</v>
      </c>
      <c r="G3713" t="s">
        <v>59</v>
      </c>
      <c r="H3713" t="s">
        <v>60</v>
      </c>
      <c r="I3713" s="3">
        <v>1448</v>
      </c>
      <c r="J3713" s="3">
        <v>1448</v>
      </c>
      <c r="K3713" s="3">
        <v>421</v>
      </c>
      <c r="L3713" t="s">
        <v>98</v>
      </c>
      <c r="M3713">
        <v>17</v>
      </c>
      <c r="N3713" t="s">
        <v>14</v>
      </c>
      <c r="O3713" t="s">
        <v>11</v>
      </c>
      <c r="P3713" t="s">
        <v>15</v>
      </c>
      <c r="Q3713" t="s">
        <v>16</v>
      </c>
      <c r="R3713" t="s">
        <v>16</v>
      </c>
      <c r="S3713" t="s">
        <v>144</v>
      </c>
      <c r="T3713" s="2">
        <f>MASTER[[#This Row],[CANTIDAD]]*MASTER[[#This Row],[PRECIO DE VENTA]]</f>
        <v>1448</v>
      </c>
      <c r="U3713" s="2">
        <f>MASTER[[#This Row],[CANTIDAD]]*MASTER[[#This Row],[COSTO UNITARIO]]</f>
        <v>421</v>
      </c>
      <c r="V3713" s="2">
        <f>MASTER[[#This Row],[MONTO VENDIDO]]-MASTER[[#This Row],[COSTO DE VENTA]]</f>
        <v>1027</v>
      </c>
    </row>
    <row r="3714" spans="1:22" x14ac:dyDescent="0.3">
      <c r="A3714">
        <v>57368</v>
      </c>
      <c r="B3714">
        <v>1</v>
      </c>
      <c r="C3714" t="s">
        <v>121</v>
      </c>
      <c r="D3714" t="s">
        <v>122</v>
      </c>
      <c r="E3714" s="1">
        <v>44258</v>
      </c>
      <c r="F3714">
        <v>1</v>
      </c>
      <c r="G3714" t="s">
        <v>39</v>
      </c>
      <c r="H3714" t="s">
        <v>40</v>
      </c>
      <c r="I3714" s="3">
        <v>941</v>
      </c>
      <c r="J3714" s="3">
        <v>941</v>
      </c>
      <c r="K3714" s="3">
        <v>460</v>
      </c>
      <c r="L3714" t="s">
        <v>120</v>
      </c>
      <c r="M3714">
        <v>11</v>
      </c>
      <c r="N3714" t="s">
        <v>10</v>
      </c>
      <c r="O3714" t="s">
        <v>11</v>
      </c>
      <c r="P3714" t="s">
        <v>12</v>
      </c>
      <c r="Q3714" t="s">
        <v>13</v>
      </c>
      <c r="R3714" t="s">
        <v>13</v>
      </c>
      <c r="S3714" t="s">
        <v>144</v>
      </c>
      <c r="T3714" s="2">
        <f>MASTER[[#This Row],[CANTIDAD]]*MASTER[[#This Row],[PRECIO DE VENTA]]</f>
        <v>941</v>
      </c>
      <c r="U3714" s="2">
        <f>MASTER[[#This Row],[CANTIDAD]]*MASTER[[#This Row],[COSTO UNITARIO]]</f>
        <v>460</v>
      </c>
      <c r="V3714" s="2">
        <f>MASTER[[#This Row],[MONTO VENDIDO]]-MASTER[[#This Row],[COSTO DE VENTA]]</f>
        <v>481</v>
      </c>
    </row>
    <row r="3715" spans="1:22" x14ac:dyDescent="0.3">
      <c r="A3715">
        <v>57373</v>
      </c>
      <c r="B3715">
        <v>1</v>
      </c>
      <c r="C3715" t="s">
        <v>94</v>
      </c>
      <c r="D3715" t="s">
        <v>95</v>
      </c>
      <c r="E3715" s="1">
        <v>44258</v>
      </c>
      <c r="F3715">
        <v>1</v>
      </c>
      <c r="G3715" t="s">
        <v>24</v>
      </c>
      <c r="H3715" t="s">
        <v>25</v>
      </c>
      <c r="I3715" s="3">
        <v>901</v>
      </c>
      <c r="J3715" s="3">
        <v>901</v>
      </c>
      <c r="K3715" s="3">
        <v>392</v>
      </c>
      <c r="L3715" t="s">
        <v>9</v>
      </c>
      <c r="M3715">
        <v>17</v>
      </c>
      <c r="N3715" t="s">
        <v>14</v>
      </c>
      <c r="O3715" t="s">
        <v>11</v>
      </c>
      <c r="P3715" t="s">
        <v>15</v>
      </c>
      <c r="Q3715" t="s">
        <v>16</v>
      </c>
      <c r="R3715" t="s">
        <v>16</v>
      </c>
      <c r="S3715" t="s">
        <v>144</v>
      </c>
      <c r="T3715" s="2">
        <f>MASTER[[#This Row],[CANTIDAD]]*MASTER[[#This Row],[PRECIO DE VENTA]]</f>
        <v>901</v>
      </c>
      <c r="U3715" s="2">
        <f>MASTER[[#This Row],[CANTIDAD]]*MASTER[[#This Row],[COSTO UNITARIO]]</f>
        <v>392</v>
      </c>
      <c r="V3715" s="2">
        <f>MASTER[[#This Row],[MONTO VENDIDO]]-MASTER[[#This Row],[COSTO DE VENTA]]</f>
        <v>509</v>
      </c>
    </row>
    <row r="3716" spans="1:22" x14ac:dyDescent="0.3">
      <c r="A3716">
        <v>57382</v>
      </c>
      <c r="B3716">
        <v>1</v>
      </c>
      <c r="C3716" t="s">
        <v>118</v>
      </c>
      <c r="D3716" t="s">
        <v>119</v>
      </c>
      <c r="E3716" s="1">
        <v>44258</v>
      </c>
      <c r="F3716">
        <v>1</v>
      </c>
      <c r="G3716" t="s">
        <v>73</v>
      </c>
      <c r="H3716" t="s">
        <v>74</v>
      </c>
      <c r="I3716" s="3">
        <v>1026</v>
      </c>
      <c r="J3716" s="3">
        <v>1026</v>
      </c>
      <c r="K3716" s="3">
        <v>424</v>
      </c>
      <c r="L3716" t="s">
        <v>120</v>
      </c>
      <c r="M3716">
        <v>13</v>
      </c>
      <c r="N3716" t="s">
        <v>78</v>
      </c>
      <c r="O3716" t="s">
        <v>70</v>
      </c>
      <c r="P3716" t="s">
        <v>18</v>
      </c>
      <c r="Q3716" t="s">
        <v>19</v>
      </c>
      <c r="R3716" t="s">
        <v>138</v>
      </c>
      <c r="S3716" t="s">
        <v>144</v>
      </c>
      <c r="T3716" s="2">
        <f>MASTER[[#This Row],[CANTIDAD]]*MASTER[[#This Row],[PRECIO DE VENTA]]</f>
        <v>1026</v>
      </c>
      <c r="U3716" s="2">
        <f>MASTER[[#This Row],[CANTIDAD]]*MASTER[[#This Row],[COSTO UNITARIO]]</f>
        <v>424</v>
      </c>
      <c r="V3716" s="2">
        <f>MASTER[[#This Row],[MONTO VENDIDO]]-MASTER[[#This Row],[COSTO DE VENTA]]</f>
        <v>602</v>
      </c>
    </row>
    <row r="3717" spans="1:22" x14ac:dyDescent="0.3">
      <c r="A3717">
        <v>57394</v>
      </c>
      <c r="B3717">
        <v>1</v>
      </c>
      <c r="C3717" t="s">
        <v>5</v>
      </c>
      <c r="D3717" t="s">
        <v>6</v>
      </c>
      <c r="E3717" s="1">
        <v>44258</v>
      </c>
      <c r="F3717">
        <v>1</v>
      </c>
      <c r="G3717" t="s">
        <v>29</v>
      </c>
      <c r="H3717" t="s">
        <v>30</v>
      </c>
      <c r="I3717" s="3">
        <v>1507</v>
      </c>
      <c r="J3717" s="3">
        <v>1507</v>
      </c>
      <c r="K3717" s="3">
        <v>393</v>
      </c>
      <c r="L3717" t="s">
        <v>9</v>
      </c>
      <c r="M3717">
        <v>14</v>
      </c>
      <c r="N3717" t="s">
        <v>87</v>
      </c>
      <c r="O3717" t="s">
        <v>81</v>
      </c>
      <c r="P3717" t="s">
        <v>18</v>
      </c>
      <c r="Q3717" t="s">
        <v>19</v>
      </c>
      <c r="R3717" t="s">
        <v>138</v>
      </c>
      <c r="S3717" t="s">
        <v>144</v>
      </c>
      <c r="T3717" s="2">
        <f>MASTER[[#This Row],[CANTIDAD]]*MASTER[[#This Row],[PRECIO DE VENTA]]</f>
        <v>1507</v>
      </c>
      <c r="U3717" s="2">
        <f>MASTER[[#This Row],[CANTIDAD]]*MASTER[[#This Row],[COSTO UNITARIO]]</f>
        <v>393</v>
      </c>
      <c r="V3717" s="2">
        <f>MASTER[[#This Row],[MONTO VENDIDO]]-MASTER[[#This Row],[COSTO DE VENTA]]</f>
        <v>1114</v>
      </c>
    </row>
    <row r="3718" spans="1:22" x14ac:dyDescent="0.3">
      <c r="A3718">
        <v>57398</v>
      </c>
      <c r="B3718">
        <v>1</v>
      </c>
      <c r="C3718" t="s">
        <v>5</v>
      </c>
      <c r="D3718" t="s">
        <v>6</v>
      </c>
      <c r="E3718" s="1">
        <v>44258</v>
      </c>
      <c r="F3718">
        <v>1</v>
      </c>
      <c r="G3718" t="s">
        <v>39</v>
      </c>
      <c r="H3718" t="s">
        <v>40</v>
      </c>
      <c r="I3718" s="3">
        <v>1296</v>
      </c>
      <c r="J3718" s="3">
        <v>1296</v>
      </c>
      <c r="K3718" s="3">
        <v>393</v>
      </c>
      <c r="L3718" t="s">
        <v>9</v>
      </c>
      <c r="M3718">
        <v>6</v>
      </c>
      <c r="N3718" t="s">
        <v>75</v>
      </c>
      <c r="O3718" t="s">
        <v>70</v>
      </c>
      <c r="P3718" t="s">
        <v>12</v>
      </c>
      <c r="Q3718" t="s">
        <v>13</v>
      </c>
      <c r="R3718" t="s">
        <v>13</v>
      </c>
      <c r="S3718" t="s">
        <v>144</v>
      </c>
      <c r="T3718" s="2">
        <f>MASTER[[#This Row],[CANTIDAD]]*MASTER[[#This Row],[PRECIO DE VENTA]]</f>
        <v>1296</v>
      </c>
      <c r="U3718" s="2">
        <f>MASTER[[#This Row],[CANTIDAD]]*MASTER[[#This Row],[COSTO UNITARIO]]</f>
        <v>393</v>
      </c>
      <c r="V3718" s="2">
        <f>MASTER[[#This Row],[MONTO VENDIDO]]-MASTER[[#This Row],[COSTO DE VENTA]]</f>
        <v>903</v>
      </c>
    </row>
    <row r="3719" spans="1:22" x14ac:dyDescent="0.3">
      <c r="A3719">
        <v>57404</v>
      </c>
      <c r="B3719">
        <v>1</v>
      </c>
      <c r="C3719" t="s">
        <v>92</v>
      </c>
      <c r="D3719" t="s">
        <v>93</v>
      </c>
      <c r="E3719" s="1">
        <v>44258</v>
      </c>
      <c r="F3719">
        <v>1</v>
      </c>
      <c r="G3719" t="s">
        <v>31</v>
      </c>
      <c r="H3719" t="s">
        <v>32</v>
      </c>
      <c r="I3719" s="3">
        <v>1681</v>
      </c>
      <c r="J3719" s="3">
        <v>1681</v>
      </c>
      <c r="K3719" s="3">
        <v>396</v>
      </c>
      <c r="L3719" t="s">
        <v>9</v>
      </c>
      <c r="M3719">
        <v>10</v>
      </c>
      <c r="N3719" t="s">
        <v>83</v>
      </c>
      <c r="O3719" t="s">
        <v>81</v>
      </c>
      <c r="P3719" t="s">
        <v>12</v>
      </c>
      <c r="Q3719" t="s">
        <v>13</v>
      </c>
      <c r="R3719" t="s">
        <v>13</v>
      </c>
      <c r="S3719" t="s">
        <v>144</v>
      </c>
      <c r="T3719" s="2">
        <f>MASTER[[#This Row],[CANTIDAD]]*MASTER[[#This Row],[PRECIO DE VENTA]]</f>
        <v>1681</v>
      </c>
      <c r="U3719" s="2">
        <f>MASTER[[#This Row],[CANTIDAD]]*MASTER[[#This Row],[COSTO UNITARIO]]</f>
        <v>396</v>
      </c>
      <c r="V3719" s="2">
        <f>MASTER[[#This Row],[MONTO VENDIDO]]-MASTER[[#This Row],[COSTO DE VENTA]]</f>
        <v>1285</v>
      </c>
    </row>
    <row r="3720" spans="1:22" x14ac:dyDescent="0.3">
      <c r="A3720">
        <v>57415</v>
      </c>
      <c r="B3720">
        <v>1</v>
      </c>
      <c r="C3720" t="s">
        <v>103</v>
      </c>
      <c r="D3720" t="s">
        <v>104</v>
      </c>
      <c r="E3720" s="1">
        <v>44258</v>
      </c>
      <c r="F3720">
        <v>1</v>
      </c>
      <c r="G3720" t="s">
        <v>65</v>
      </c>
      <c r="H3720" t="s">
        <v>66</v>
      </c>
      <c r="I3720" s="3">
        <v>1448</v>
      </c>
      <c r="J3720" s="3">
        <v>1332</v>
      </c>
      <c r="K3720" s="3">
        <v>421</v>
      </c>
      <c r="L3720" t="s">
        <v>98</v>
      </c>
      <c r="M3720">
        <v>16</v>
      </c>
      <c r="N3720" t="s">
        <v>17</v>
      </c>
      <c r="O3720" t="s">
        <v>11</v>
      </c>
      <c r="P3720" t="s">
        <v>18</v>
      </c>
      <c r="Q3720" t="s">
        <v>19</v>
      </c>
      <c r="R3720" t="s">
        <v>138</v>
      </c>
      <c r="S3720" t="s">
        <v>144</v>
      </c>
      <c r="T3720" s="2">
        <f>MASTER[[#This Row],[CANTIDAD]]*MASTER[[#This Row],[PRECIO DE VENTA]]</f>
        <v>1332</v>
      </c>
      <c r="U3720" s="2">
        <f>MASTER[[#This Row],[CANTIDAD]]*MASTER[[#This Row],[COSTO UNITARIO]]</f>
        <v>421</v>
      </c>
      <c r="V3720" s="2">
        <f>MASTER[[#This Row],[MONTO VENDIDO]]-MASTER[[#This Row],[COSTO DE VENTA]]</f>
        <v>911</v>
      </c>
    </row>
    <row r="3721" spans="1:22" x14ac:dyDescent="0.3">
      <c r="A3721">
        <v>57439</v>
      </c>
      <c r="B3721">
        <v>1</v>
      </c>
      <c r="C3721" t="s">
        <v>103</v>
      </c>
      <c r="D3721" t="s">
        <v>104</v>
      </c>
      <c r="E3721" s="1">
        <v>44258</v>
      </c>
      <c r="F3721">
        <v>1</v>
      </c>
      <c r="G3721" t="s">
        <v>43</v>
      </c>
      <c r="H3721" t="s">
        <v>44</v>
      </c>
      <c r="I3721" s="3">
        <v>1591</v>
      </c>
      <c r="J3721" s="3">
        <v>1591</v>
      </c>
      <c r="K3721" s="3">
        <v>421</v>
      </c>
      <c r="L3721" t="s">
        <v>98</v>
      </c>
      <c r="M3721">
        <v>15</v>
      </c>
      <c r="N3721" t="s">
        <v>88</v>
      </c>
      <c r="O3721" t="s">
        <v>81</v>
      </c>
      <c r="P3721" t="s">
        <v>18</v>
      </c>
      <c r="Q3721" t="s">
        <v>19</v>
      </c>
      <c r="R3721" t="s">
        <v>138</v>
      </c>
      <c r="S3721" t="s">
        <v>144</v>
      </c>
      <c r="T3721" s="2">
        <f>MASTER[[#This Row],[CANTIDAD]]*MASTER[[#This Row],[PRECIO DE VENTA]]</f>
        <v>1591</v>
      </c>
      <c r="U3721" s="2">
        <f>MASTER[[#This Row],[CANTIDAD]]*MASTER[[#This Row],[COSTO UNITARIO]]</f>
        <v>421</v>
      </c>
      <c r="V3721" s="2">
        <f>MASTER[[#This Row],[MONTO VENDIDO]]-MASTER[[#This Row],[COSTO DE VENTA]]</f>
        <v>1170</v>
      </c>
    </row>
    <row r="3722" spans="1:22" x14ac:dyDescent="0.3">
      <c r="A3722">
        <v>57439</v>
      </c>
      <c r="B3722">
        <v>2</v>
      </c>
      <c r="C3722" t="s">
        <v>109</v>
      </c>
      <c r="D3722" t="s">
        <v>110</v>
      </c>
      <c r="E3722" s="1">
        <v>44258</v>
      </c>
      <c r="F3722">
        <v>1</v>
      </c>
      <c r="G3722" t="s">
        <v>57</v>
      </c>
      <c r="H3722" t="s">
        <v>58</v>
      </c>
      <c r="I3722" s="3">
        <v>1064</v>
      </c>
      <c r="J3722" s="3">
        <v>1064</v>
      </c>
      <c r="K3722" s="3">
        <v>387</v>
      </c>
      <c r="L3722" t="s">
        <v>98</v>
      </c>
      <c r="M3722">
        <v>15</v>
      </c>
      <c r="N3722" t="s">
        <v>88</v>
      </c>
      <c r="O3722" t="s">
        <v>81</v>
      </c>
      <c r="P3722" t="s">
        <v>18</v>
      </c>
      <c r="Q3722" t="s">
        <v>19</v>
      </c>
      <c r="R3722" t="s">
        <v>138</v>
      </c>
      <c r="S3722" t="s">
        <v>144</v>
      </c>
      <c r="T3722" s="2">
        <f>MASTER[[#This Row],[CANTIDAD]]*MASTER[[#This Row],[PRECIO DE VENTA]]</f>
        <v>1064</v>
      </c>
      <c r="U3722" s="2">
        <f>MASTER[[#This Row],[CANTIDAD]]*MASTER[[#This Row],[COSTO UNITARIO]]</f>
        <v>387</v>
      </c>
      <c r="V3722" s="2">
        <f>MASTER[[#This Row],[MONTO VENDIDO]]-MASTER[[#This Row],[COSTO DE VENTA]]</f>
        <v>677</v>
      </c>
    </row>
    <row r="3723" spans="1:22" x14ac:dyDescent="0.3">
      <c r="A3723">
        <v>57525</v>
      </c>
      <c r="B3723">
        <v>1</v>
      </c>
      <c r="C3723" t="s">
        <v>111</v>
      </c>
      <c r="D3723" t="s">
        <v>112</v>
      </c>
      <c r="E3723" s="1">
        <v>44258</v>
      </c>
      <c r="F3723">
        <v>1</v>
      </c>
      <c r="G3723" t="s">
        <v>53</v>
      </c>
      <c r="H3723" t="s">
        <v>54</v>
      </c>
      <c r="I3723" s="3">
        <v>1799</v>
      </c>
      <c r="J3723" s="3">
        <v>1799</v>
      </c>
      <c r="K3723" s="3">
        <v>434</v>
      </c>
      <c r="L3723" t="s">
        <v>113</v>
      </c>
      <c r="M3723">
        <v>1</v>
      </c>
      <c r="N3723" t="s">
        <v>77</v>
      </c>
      <c r="O3723" t="s">
        <v>70</v>
      </c>
      <c r="P3723" t="s">
        <v>71</v>
      </c>
      <c r="Q3723" t="s">
        <v>72</v>
      </c>
      <c r="R3723" t="s">
        <v>139</v>
      </c>
      <c r="S3723" t="s">
        <v>144</v>
      </c>
      <c r="T3723" s="2">
        <f>MASTER[[#This Row],[CANTIDAD]]*MASTER[[#This Row],[PRECIO DE VENTA]]</f>
        <v>1799</v>
      </c>
      <c r="U3723" s="2">
        <f>MASTER[[#This Row],[CANTIDAD]]*MASTER[[#This Row],[COSTO UNITARIO]]</f>
        <v>434</v>
      </c>
      <c r="V3723" s="2">
        <f>MASTER[[#This Row],[MONTO VENDIDO]]-MASTER[[#This Row],[COSTO DE VENTA]]</f>
        <v>1365</v>
      </c>
    </row>
    <row r="3724" spans="1:22" x14ac:dyDescent="0.3">
      <c r="A3724">
        <v>57555</v>
      </c>
      <c r="B3724">
        <v>1</v>
      </c>
      <c r="C3724" t="s">
        <v>94</v>
      </c>
      <c r="D3724" t="s">
        <v>95</v>
      </c>
      <c r="E3724" s="1">
        <v>44258</v>
      </c>
      <c r="F3724">
        <v>1</v>
      </c>
      <c r="G3724" t="s">
        <v>49</v>
      </c>
      <c r="H3724" t="s">
        <v>50</v>
      </c>
      <c r="I3724" s="3">
        <v>901</v>
      </c>
      <c r="J3724" s="3">
        <v>901</v>
      </c>
      <c r="K3724" s="3">
        <v>392</v>
      </c>
      <c r="L3724" t="s">
        <v>9</v>
      </c>
      <c r="M3724">
        <v>16</v>
      </c>
      <c r="N3724" t="s">
        <v>17</v>
      </c>
      <c r="O3724" t="s">
        <v>11</v>
      </c>
      <c r="P3724" t="s">
        <v>18</v>
      </c>
      <c r="Q3724" t="s">
        <v>19</v>
      </c>
      <c r="R3724" t="s">
        <v>138</v>
      </c>
      <c r="S3724" t="s">
        <v>144</v>
      </c>
      <c r="T3724" s="2">
        <f>MASTER[[#This Row],[CANTIDAD]]*MASTER[[#This Row],[PRECIO DE VENTA]]</f>
        <v>901</v>
      </c>
      <c r="U3724" s="2">
        <f>MASTER[[#This Row],[CANTIDAD]]*MASTER[[#This Row],[COSTO UNITARIO]]</f>
        <v>392</v>
      </c>
      <c r="V3724" s="2">
        <f>MASTER[[#This Row],[MONTO VENDIDO]]-MASTER[[#This Row],[COSTO DE VENTA]]</f>
        <v>509</v>
      </c>
    </row>
    <row r="3725" spans="1:22" x14ac:dyDescent="0.3">
      <c r="A3725">
        <v>57627</v>
      </c>
      <c r="B3725">
        <v>1</v>
      </c>
      <c r="C3725" t="s">
        <v>101</v>
      </c>
      <c r="D3725" t="s">
        <v>102</v>
      </c>
      <c r="E3725" s="1">
        <v>44258</v>
      </c>
      <c r="F3725">
        <v>1</v>
      </c>
      <c r="G3725" t="s">
        <v>33</v>
      </c>
      <c r="H3725" t="s">
        <v>34</v>
      </c>
      <c r="I3725" s="3">
        <v>1212</v>
      </c>
      <c r="J3725" s="3">
        <v>1151</v>
      </c>
      <c r="K3725" s="3">
        <v>442</v>
      </c>
      <c r="L3725" t="s">
        <v>98</v>
      </c>
      <c r="M3725">
        <v>4</v>
      </c>
      <c r="N3725" t="s">
        <v>82</v>
      </c>
      <c r="O3725" t="s">
        <v>81</v>
      </c>
      <c r="P3725" t="s">
        <v>71</v>
      </c>
      <c r="Q3725" t="s">
        <v>72</v>
      </c>
      <c r="R3725" t="s">
        <v>139</v>
      </c>
      <c r="S3725" t="s">
        <v>144</v>
      </c>
      <c r="T3725" s="2">
        <f>MASTER[[#This Row],[CANTIDAD]]*MASTER[[#This Row],[PRECIO DE VENTA]]</f>
        <v>1151</v>
      </c>
      <c r="U3725" s="2">
        <f>MASTER[[#This Row],[CANTIDAD]]*MASTER[[#This Row],[COSTO UNITARIO]]</f>
        <v>442</v>
      </c>
      <c r="V3725" s="2">
        <f>MASTER[[#This Row],[MONTO VENDIDO]]-MASTER[[#This Row],[COSTO DE VENTA]]</f>
        <v>709</v>
      </c>
    </row>
    <row r="3726" spans="1:22" x14ac:dyDescent="0.3">
      <c r="A3726">
        <v>57662</v>
      </c>
      <c r="B3726">
        <v>1</v>
      </c>
      <c r="C3726" t="s">
        <v>121</v>
      </c>
      <c r="D3726" t="s">
        <v>122</v>
      </c>
      <c r="E3726" s="1">
        <v>44258</v>
      </c>
      <c r="F3726">
        <v>1</v>
      </c>
      <c r="G3726" t="s">
        <v>35</v>
      </c>
      <c r="H3726" t="s">
        <v>36</v>
      </c>
      <c r="I3726" s="3">
        <v>1069</v>
      </c>
      <c r="J3726" s="3">
        <v>1069</v>
      </c>
      <c r="K3726" s="3">
        <v>460</v>
      </c>
      <c r="L3726" t="s">
        <v>120</v>
      </c>
      <c r="M3726">
        <v>5</v>
      </c>
      <c r="N3726" t="s">
        <v>85</v>
      </c>
      <c r="O3726" t="s">
        <v>81</v>
      </c>
      <c r="P3726" t="s">
        <v>12</v>
      </c>
      <c r="Q3726" t="s">
        <v>13</v>
      </c>
      <c r="R3726" t="s">
        <v>13</v>
      </c>
      <c r="S3726" t="s">
        <v>144</v>
      </c>
      <c r="T3726" s="2">
        <f>MASTER[[#This Row],[CANTIDAD]]*MASTER[[#This Row],[PRECIO DE VENTA]]</f>
        <v>1069</v>
      </c>
      <c r="U3726" s="2">
        <f>MASTER[[#This Row],[CANTIDAD]]*MASTER[[#This Row],[COSTO UNITARIO]]</f>
        <v>460</v>
      </c>
      <c r="V3726" s="2">
        <f>MASTER[[#This Row],[MONTO VENDIDO]]-MASTER[[#This Row],[COSTO DE VENTA]]</f>
        <v>609</v>
      </c>
    </row>
    <row r="3727" spans="1:22" x14ac:dyDescent="0.3">
      <c r="A3727">
        <v>57672</v>
      </c>
      <c r="B3727">
        <v>1</v>
      </c>
      <c r="C3727" t="s">
        <v>116</v>
      </c>
      <c r="D3727" t="s">
        <v>117</v>
      </c>
      <c r="E3727" s="1">
        <v>44258</v>
      </c>
      <c r="F3727">
        <v>1</v>
      </c>
      <c r="G3727" t="s">
        <v>20</v>
      </c>
      <c r="H3727" t="s">
        <v>21</v>
      </c>
      <c r="I3727" s="3">
        <v>1999</v>
      </c>
      <c r="J3727" s="3">
        <v>1999</v>
      </c>
      <c r="K3727" s="3">
        <v>388</v>
      </c>
      <c r="L3727" t="s">
        <v>113</v>
      </c>
      <c r="M3727">
        <v>3</v>
      </c>
      <c r="N3727" t="s">
        <v>69</v>
      </c>
      <c r="O3727" t="s">
        <v>70</v>
      </c>
      <c r="P3727" t="s">
        <v>71</v>
      </c>
      <c r="Q3727" t="s">
        <v>72</v>
      </c>
      <c r="R3727" t="s">
        <v>139</v>
      </c>
      <c r="S3727" t="s">
        <v>144</v>
      </c>
      <c r="T3727" s="2">
        <f>MASTER[[#This Row],[CANTIDAD]]*MASTER[[#This Row],[PRECIO DE VENTA]]</f>
        <v>1999</v>
      </c>
      <c r="U3727" s="2">
        <f>MASTER[[#This Row],[CANTIDAD]]*MASTER[[#This Row],[COSTO UNITARIO]]</f>
        <v>388</v>
      </c>
      <c r="V3727" s="2">
        <f>MASTER[[#This Row],[MONTO VENDIDO]]-MASTER[[#This Row],[COSTO DE VENTA]]</f>
        <v>1611</v>
      </c>
    </row>
    <row r="3728" spans="1:22" x14ac:dyDescent="0.3">
      <c r="A3728">
        <v>57681</v>
      </c>
      <c r="B3728">
        <v>1</v>
      </c>
      <c r="C3728" t="s">
        <v>90</v>
      </c>
      <c r="D3728" t="s">
        <v>91</v>
      </c>
      <c r="E3728" s="1">
        <v>44258</v>
      </c>
      <c r="F3728">
        <v>1</v>
      </c>
      <c r="G3728" t="s">
        <v>35</v>
      </c>
      <c r="H3728" t="s">
        <v>36</v>
      </c>
      <c r="I3728" s="3">
        <v>1844</v>
      </c>
      <c r="J3728" s="3">
        <v>1844</v>
      </c>
      <c r="K3728" s="3">
        <v>420</v>
      </c>
      <c r="L3728" t="s">
        <v>9</v>
      </c>
      <c r="M3728">
        <v>10</v>
      </c>
      <c r="N3728" t="s">
        <v>83</v>
      </c>
      <c r="O3728" t="s">
        <v>81</v>
      </c>
      <c r="P3728" t="s">
        <v>12</v>
      </c>
      <c r="Q3728" t="s">
        <v>13</v>
      </c>
      <c r="R3728" t="s">
        <v>13</v>
      </c>
      <c r="S3728" t="s">
        <v>144</v>
      </c>
      <c r="T3728" s="2">
        <f>MASTER[[#This Row],[CANTIDAD]]*MASTER[[#This Row],[PRECIO DE VENTA]]</f>
        <v>1844</v>
      </c>
      <c r="U3728" s="2">
        <f>MASTER[[#This Row],[CANTIDAD]]*MASTER[[#This Row],[COSTO UNITARIO]]</f>
        <v>420</v>
      </c>
      <c r="V3728" s="2">
        <f>MASTER[[#This Row],[MONTO VENDIDO]]-MASTER[[#This Row],[COSTO DE VENTA]]</f>
        <v>1424</v>
      </c>
    </row>
    <row r="3729" spans="1:22" x14ac:dyDescent="0.3">
      <c r="A3729">
        <v>57683</v>
      </c>
      <c r="B3729">
        <v>1</v>
      </c>
      <c r="C3729" t="s">
        <v>92</v>
      </c>
      <c r="D3729" t="s">
        <v>93</v>
      </c>
      <c r="E3729" s="1">
        <v>44258</v>
      </c>
      <c r="F3729">
        <v>1</v>
      </c>
      <c r="G3729" t="s">
        <v>7</v>
      </c>
      <c r="H3729" t="s">
        <v>8</v>
      </c>
      <c r="I3729" s="3">
        <v>1681</v>
      </c>
      <c r="J3729" s="3">
        <v>1681</v>
      </c>
      <c r="K3729" s="3">
        <v>396</v>
      </c>
      <c r="L3729" t="s">
        <v>9</v>
      </c>
      <c r="M3729">
        <v>10</v>
      </c>
      <c r="N3729" t="s">
        <v>83</v>
      </c>
      <c r="O3729" t="s">
        <v>81</v>
      </c>
      <c r="P3729" t="s">
        <v>12</v>
      </c>
      <c r="Q3729" t="s">
        <v>13</v>
      </c>
      <c r="R3729" t="s">
        <v>13</v>
      </c>
      <c r="S3729" t="s">
        <v>144</v>
      </c>
      <c r="T3729" s="2">
        <f>MASTER[[#This Row],[CANTIDAD]]*MASTER[[#This Row],[PRECIO DE VENTA]]</f>
        <v>1681</v>
      </c>
      <c r="U3729" s="2">
        <f>MASTER[[#This Row],[CANTIDAD]]*MASTER[[#This Row],[COSTO UNITARIO]]</f>
        <v>396</v>
      </c>
      <c r="V3729" s="2">
        <f>MASTER[[#This Row],[MONTO VENDIDO]]-MASTER[[#This Row],[COSTO DE VENTA]]</f>
        <v>1285</v>
      </c>
    </row>
    <row r="3730" spans="1:22" x14ac:dyDescent="0.3">
      <c r="A3730">
        <v>57685</v>
      </c>
      <c r="B3730">
        <v>1</v>
      </c>
      <c r="C3730" t="s">
        <v>5</v>
      </c>
      <c r="D3730" t="s">
        <v>6</v>
      </c>
      <c r="E3730" s="1">
        <v>44259</v>
      </c>
      <c r="F3730">
        <v>4</v>
      </c>
      <c r="G3730" t="s">
        <v>37</v>
      </c>
      <c r="H3730" t="s">
        <v>38</v>
      </c>
      <c r="I3730" s="3">
        <v>1507</v>
      </c>
      <c r="J3730" s="3">
        <v>1507</v>
      </c>
      <c r="K3730" s="3">
        <v>393</v>
      </c>
      <c r="L3730" t="s">
        <v>9</v>
      </c>
      <c r="M3730">
        <v>2</v>
      </c>
      <c r="N3730" t="s">
        <v>86</v>
      </c>
      <c r="O3730" t="s">
        <v>81</v>
      </c>
      <c r="P3730" t="s">
        <v>71</v>
      </c>
      <c r="Q3730" t="s">
        <v>72</v>
      </c>
      <c r="R3730" t="s">
        <v>139</v>
      </c>
      <c r="S3730" t="s">
        <v>144</v>
      </c>
      <c r="T3730" s="2">
        <f>MASTER[[#This Row],[CANTIDAD]]*MASTER[[#This Row],[PRECIO DE VENTA]]</f>
        <v>6028</v>
      </c>
      <c r="U3730" s="2">
        <f>MASTER[[#This Row],[CANTIDAD]]*MASTER[[#This Row],[COSTO UNITARIO]]</f>
        <v>1572</v>
      </c>
      <c r="V3730" s="2">
        <f>MASTER[[#This Row],[MONTO VENDIDO]]-MASTER[[#This Row],[COSTO DE VENTA]]</f>
        <v>4456</v>
      </c>
    </row>
    <row r="3731" spans="1:22" x14ac:dyDescent="0.3">
      <c r="A3731">
        <v>57686</v>
      </c>
      <c r="B3731">
        <v>1</v>
      </c>
      <c r="C3731" t="s">
        <v>92</v>
      </c>
      <c r="D3731" t="s">
        <v>93</v>
      </c>
      <c r="E3731" s="1">
        <v>44259</v>
      </c>
      <c r="F3731">
        <v>1</v>
      </c>
      <c r="G3731" t="s">
        <v>22</v>
      </c>
      <c r="H3731" t="s">
        <v>23</v>
      </c>
      <c r="I3731" s="3">
        <v>1479</v>
      </c>
      <c r="J3731" s="3">
        <v>1479</v>
      </c>
      <c r="K3731" s="3">
        <v>396</v>
      </c>
      <c r="L3731" t="s">
        <v>9</v>
      </c>
      <c r="M3731">
        <v>11</v>
      </c>
      <c r="N3731" t="s">
        <v>10</v>
      </c>
      <c r="O3731" t="s">
        <v>11</v>
      </c>
      <c r="P3731" t="s">
        <v>12</v>
      </c>
      <c r="Q3731" t="s">
        <v>13</v>
      </c>
      <c r="R3731" t="s">
        <v>13</v>
      </c>
      <c r="S3731" t="s">
        <v>144</v>
      </c>
      <c r="T3731" s="2">
        <f>MASTER[[#This Row],[CANTIDAD]]*MASTER[[#This Row],[PRECIO DE VENTA]]</f>
        <v>1479</v>
      </c>
      <c r="U3731" s="2">
        <f>MASTER[[#This Row],[CANTIDAD]]*MASTER[[#This Row],[COSTO UNITARIO]]</f>
        <v>396</v>
      </c>
      <c r="V3731" s="2">
        <f>MASTER[[#This Row],[MONTO VENDIDO]]-MASTER[[#This Row],[COSTO DE VENTA]]</f>
        <v>1083</v>
      </c>
    </row>
    <row r="3732" spans="1:22" x14ac:dyDescent="0.3">
      <c r="A3732">
        <v>57693</v>
      </c>
      <c r="B3732">
        <v>1</v>
      </c>
      <c r="C3732" t="s">
        <v>111</v>
      </c>
      <c r="D3732" t="s">
        <v>112</v>
      </c>
      <c r="E3732" s="1">
        <v>44259</v>
      </c>
      <c r="F3732">
        <v>1</v>
      </c>
      <c r="G3732" t="s">
        <v>43</v>
      </c>
      <c r="H3732" t="s">
        <v>44</v>
      </c>
      <c r="I3732" s="3">
        <v>1799</v>
      </c>
      <c r="J3732" s="3">
        <v>1799</v>
      </c>
      <c r="K3732" s="3">
        <v>434</v>
      </c>
      <c r="L3732" t="s">
        <v>113</v>
      </c>
      <c r="M3732">
        <v>9</v>
      </c>
      <c r="N3732" t="s">
        <v>76</v>
      </c>
      <c r="O3732" t="s">
        <v>70</v>
      </c>
      <c r="P3732" t="s">
        <v>12</v>
      </c>
      <c r="Q3732" t="s">
        <v>13</v>
      </c>
      <c r="R3732" t="s">
        <v>13</v>
      </c>
      <c r="S3732" t="s">
        <v>144</v>
      </c>
      <c r="T3732" s="2">
        <f>MASTER[[#This Row],[CANTIDAD]]*MASTER[[#This Row],[PRECIO DE VENTA]]</f>
        <v>1799</v>
      </c>
      <c r="U3732" s="2">
        <f>MASTER[[#This Row],[CANTIDAD]]*MASTER[[#This Row],[COSTO UNITARIO]]</f>
        <v>434</v>
      </c>
      <c r="V3732" s="2">
        <f>MASTER[[#This Row],[MONTO VENDIDO]]-MASTER[[#This Row],[COSTO DE VENTA]]</f>
        <v>1365</v>
      </c>
    </row>
    <row r="3733" spans="1:22" x14ac:dyDescent="0.3">
      <c r="A3733">
        <v>57699</v>
      </c>
      <c r="B3733">
        <v>1</v>
      </c>
      <c r="C3733" t="s">
        <v>92</v>
      </c>
      <c r="D3733" t="s">
        <v>93</v>
      </c>
      <c r="E3733" s="1">
        <v>44259</v>
      </c>
      <c r="F3733">
        <v>1</v>
      </c>
      <c r="G3733" t="s">
        <v>39</v>
      </c>
      <c r="H3733" t="s">
        <v>40</v>
      </c>
      <c r="I3733" s="3">
        <v>1479</v>
      </c>
      <c r="J3733" s="3">
        <v>1479</v>
      </c>
      <c r="K3733" s="3">
        <v>396</v>
      </c>
      <c r="L3733" t="s">
        <v>9</v>
      </c>
      <c r="M3733">
        <v>11</v>
      </c>
      <c r="N3733" t="s">
        <v>10</v>
      </c>
      <c r="O3733" t="s">
        <v>11</v>
      </c>
      <c r="P3733" t="s">
        <v>12</v>
      </c>
      <c r="Q3733" t="s">
        <v>13</v>
      </c>
      <c r="R3733" t="s">
        <v>13</v>
      </c>
      <c r="S3733" t="s">
        <v>144</v>
      </c>
      <c r="T3733" s="2">
        <f>MASTER[[#This Row],[CANTIDAD]]*MASTER[[#This Row],[PRECIO DE VENTA]]</f>
        <v>1479</v>
      </c>
      <c r="U3733" s="2">
        <f>MASTER[[#This Row],[CANTIDAD]]*MASTER[[#This Row],[COSTO UNITARIO]]</f>
        <v>396</v>
      </c>
      <c r="V3733" s="2">
        <f>MASTER[[#This Row],[MONTO VENDIDO]]-MASTER[[#This Row],[COSTO DE VENTA]]</f>
        <v>1083</v>
      </c>
    </row>
    <row r="3734" spans="1:22" x14ac:dyDescent="0.3">
      <c r="A3734">
        <v>57702</v>
      </c>
      <c r="B3734">
        <v>1</v>
      </c>
      <c r="C3734" t="s">
        <v>96</v>
      </c>
      <c r="D3734" t="s">
        <v>97</v>
      </c>
      <c r="E3734" s="1">
        <v>44259</v>
      </c>
      <c r="F3734">
        <v>1</v>
      </c>
      <c r="G3734" t="s">
        <v>67</v>
      </c>
      <c r="H3734" t="s">
        <v>68</v>
      </c>
      <c r="I3734" s="3">
        <v>1272</v>
      </c>
      <c r="J3734" s="3">
        <v>1272</v>
      </c>
      <c r="K3734" s="3">
        <v>397</v>
      </c>
      <c r="L3734" t="s">
        <v>98</v>
      </c>
      <c r="M3734">
        <v>14</v>
      </c>
      <c r="N3734" t="s">
        <v>87</v>
      </c>
      <c r="O3734" t="s">
        <v>81</v>
      </c>
      <c r="P3734" t="s">
        <v>18</v>
      </c>
      <c r="Q3734" t="s">
        <v>19</v>
      </c>
      <c r="R3734" t="s">
        <v>138</v>
      </c>
      <c r="S3734" t="s">
        <v>144</v>
      </c>
      <c r="T3734" s="2">
        <f>MASTER[[#This Row],[CANTIDAD]]*MASTER[[#This Row],[PRECIO DE VENTA]]</f>
        <v>1272</v>
      </c>
      <c r="U3734" s="2">
        <f>MASTER[[#This Row],[CANTIDAD]]*MASTER[[#This Row],[COSTO UNITARIO]]</f>
        <v>397</v>
      </c>
      <c r="V3734" s="2">
        <f>MASTER[[#This Row],[MONTO VENDIDO]]-MASTER[[#This Row],[COSTO DE VENTA]]</f>
        <v>875</v>
      </c>
    </row>
    <row r="3735" spans="1:22" x14ac:dyDescent="0.3">
      <c r="A3735">
        <v>57703</v>
      </c>
      <c r="B3735">
        <v>1</v>
      </c>
      <c r="C3735" t="s">
        <v>105</v>
      </c>
      <c r="D3735" t="s">
        <v>106</v>
      </c>
      <c r="E3735" s="1">
        <v>44259</v>
      </c>
      <c r="F3735">
        <v>1</v>
      </c>
      <c r="G3735" t="s">
        <v>45</v>
      </c>
      <c r="H3735" t="s">
        <v>46</v>
      </c>
      <c r="I3735" s="3">
        <v>2033</v>
      </c>
      <c r="J3735" s="3">
        <v>2033</v>
      </c>
      <c r="K3735" s="3">
        <v>459</v>
      </c>
      <c r="L3735" t="s">
        <v>98</v>
      </c>
      <c r="M3735">
        <v>3</v>
      </c>
      <c r="N3735" t="s">
        <v>69</v>
      </c>
      <c r="O3735" t="s">
        <v>70</v>
      </c>
      <c r="P3735" t="s">
        <v>71</v>
      </c>
      <c r="Q3735" t="s">
        <v>72</v>
      </c>
      <c r="R3735" t="s">
        <v>139</v>
      </c>
      <c r="S3735" t="s">
        <v>144</v>
      </c>
      <c r="T3735" s="2">
        <f>MASTER[[#This Row],[CANTIDAD]]*MASTER[[#This Row],[PRECIO DE VENTA]]</f>
        <v>2033</v>
      </c>
      <c r="U3735" s="2">
        <f>MASTER[[#This Row],[CANTIDAD]]*MASTER[[#This Row],[COSTO UNITARIO]]</f>
        <v>459</v>
      </c>
      <c r="V3735" s="2">
        <f>MASTER[[#This Row],[MONTO VENDIDO]]-MASTER[[#This Row],[COSTO DE VENTA]]</f>
        <v>1574</v>
      </c>
    </row>
    <row r="3736" spans="1:22" x14ac:dyDescent="0.3">
      <c r="A3736">
        <v>57709</v>
      </c>
      <c r="B3736">
        <v>1</v>
      </c>
      <c r="C3736" t="s">
        <v>111</v>
      </c>
      <c r="D3736" t="s">
        <v>112</v>
      </c>
      <c r="E3736" s="1">
        <v>44259</v>
      </c>
      <c r="F3736">
        <v>1</v>
      </c>
      <c r="G3736" t="s">
        <v>35</v>
      </c>
      <c r="H3736" t="s">
        <v>36</v>
      </c>
      <c r="I3736" s="3">
        <v>1799</v>
      </c>
      <c r="J3736" s="3">
        <v>1799</v>
      </c>
      <c r="K3736" s="3">
        <v>434</v>
      </c>
      <c r="L3736" t="s">
        <v>113</v>
      </c>
      <c r="M3736">
        <v>13</v>
      </c>
      <c r="N3736" t="s">
        <v>78</v>
      </c>
      <c r="O3736" t="s">
        <v>70</v>
      </c>
      <c r="P3736" t="s">
        <v>18</v>
      </c>
      <c r="Q3736" t="s">
        <v>19</v>
      </c>
      <c r="R3736" t="s">
        <v>138</v>
      </c>
      <c r="S3736" t="s">
        <v>144</v>
      </c>
      <c r="T3736" s="2">
        <f>MASTER[[#This Row],[CANTIDAD]]*MASTER[[#This Row],[PRECIO DE VENTA]]</f>
        <v>1799</v>
      </c>
      <c r="U3736" s="2">
        <f>MASTER[[#This Row],[CANTIDAD]]*MASTER[[#This Row],[COSTO UNITARIO]]</f>
        <v>434</v>
      </c>
      <c r="V3736" s="2">
        <f>MASTER[[#This Row],[MONTO VENDIDO]]-MASTER[[#This Row],[COSTO DE VENTA]]</f>
        <v>1365</v>
      </c>
    </row>
    <row r="3737" spans="1:22" x14ac:dyDescent="0.3">
      <c r="A3737">
        <v>57721</v>
      </c>
      <c r="B3737">
        <v>1</v>
      </c>
      <c r="C3737" t="s">
        <v>94</v>
      </c>
      <c r="D3737" t="s">
        <v>95</v>
      </c>
      <c r="E3737" s="1">
        <v>44259</v>
      </c>
      <c r="F3737">
        <v>1</v>
      </c>
      <c r="G3737" t="s">
        <v>37</v>
      </c>
      <c r="H3737" t="s">
        <v>38</v>
      </c>
      <c r="I3737" s="3">
        <v>1153</v>
      </c>
      <c r="J3737" s="3">
        <v>1153</v>
      </c>
      <c r="K3737" s="3">
        <v>392</v>
      </c>
      <c r="L3737" t="s">
        <v>9</v>
      </c>
      <c r="M3737">
        <v>1</v>
      </c>
      <c r="N3737" t="s">
        <v>77</v>
      </c>
      <c r="O3737" t="s">
        <v>70</v>
      </c>
      <c r="P3737" t="s">
        <v>71</v>
      </c>
      <c r="Q3737" t="s">
        <v>72</v>
      </c>
      <c r="R3737" t="s">
        <v>139</v>
      </c>
      <c r="S3737" t="s">
        <v>144</v>
      </c>
      <c r="T3737" s="2">
        <f>MASTER[[#This Row],[CANTIDAD]]*MASTER[[#This Row],[PRECIO DE VENTA]]</f>
        <v>1153</v>
      </c>
      <c r="U3737" s="2">
        <f>MASTER[[#This Row],[CANTIDAD]]*MASTER[[#This Row],[COSTO UNITARIO]]</f>
        <v>392</v>
      </c>
      <c r="V3737" s="2">
        <f>MASTER[[#This Row],[MONTO VENDIDO]]-MASTER[[#This Row],[COSTO DE VENTA]]</f>
        <v>761</v>
      </c>
    </row>
    <row r="3738" spans="1:22" x14ac:dyDescent="0.3">
      <c r="A3738">
        <v>57749</v>
      </c>
      <c r="B3738">
        <v>1</v>
      </c>
      <c r="C3738" t="s">
        <v>105</v>
      </c>
      <c r="D3738" t="s">
        <v>106</v>
      </c>
      <c r="E3738" s="1">
        <v>44259</v>
      </c>
      <c r="F3738">
        <v>1</v>
      </c>
      <c r="G3738" t="s">
        <v>45</v>
      </c>
      <c r="H3738" t="s">
        <v>46</v>
      </c>
      <c r="I3738" s="3">
        <v>2033</v>
      </c>
      <c r="J3738" s="3">
        <v>2033</v>
      </c>
      <c r="K3738" s="3">
        <v>459</v>
      </c>
      <c r="L3738" t="s">
        <v>98</v>
      </c>
      <c r="M3738">
        <v>1</v>
      </c>
      <c r="N3738" t="s">
        <v>77</v>
      </c>
      <c r="O3738" t="s">
        <v>70</v>
      </c>
      <c r="P3738" t="s">
        <v>71</v>
      </c>
      <c r="Q3738" t="s">
        <v>72</v>
      </c>
      <c r="R3738" t="s">
        <v>139</v>
      </c>
      <c r="S3738" t="s">
        <v>144</v>
      </c>
      <c r="T3738" s="2">
        <f>MASTER[[#This Row],[CANTIDAD]]*MASTER[[#This Row],[PRECIO DE VENTA]]</f>
        <v>2033</v>
      </c>
      <c r="U3738" s="2">
        <f>MASTER[[#This Row],[CANTIDAD]]*MASTER[[#This Row],[COSTO UNITARIO]]</f>
        <v>459</v>
      </c>
      <c r="V3738" s="2">
        <f>MASTER[[#This Row],[MONTO VENDIDO]]-MASTER[[#This Row],[COSTO DE VENTA]]</f>
        <v>1574</v>
      </c>
    </row>
    <row r="3739" spans="1:22" x14ac:dyDescent="0.3">
      <c r="A3739">
        <v>57765</v>
      </c>
      <c r="B3739">
        <v>1</v>
      </c>
      <c r="C3739" t="s">
        <v>116</v>
      </c>
      <c r="D3739" t="s">
        <v>117</v>
      </c>
      <c r="E3739" s="1">
        <v>44260</v>
      </c>
      <c r="F3739">
        <v>1</v>
      </c>
      <c r="G3739" t="s">
        <v>33</v>
      </c>
      <c r="H3739" t="s">
        <v>34</v>
      </c>
      <c r="I3739" s="3">
        <v>1738</v>
      </c>
      <c r="J3739" s="3">
        <v>1738</v>
      </c>
      <c r="K3739" s="3">
        <v>388</v>
      </c>
      <c r="L3739" t="s">
        <v>113</v>
      </c>
      <c r="M3739">
        <v>14</v>
      </c>
      <c r="N3739" t="s">
        <v>87</v>
      </c>
      <c r="O3739" t="s">
        <v>81</v>
      </c>
      <c r="P3739" t="s">
        <v>18</v>
      </c>
      <c r="Q3739" t="s">
        <v>19</v>
      </c>
      <c r="R3739" t="s">
        <v>138</v>
      </c>
      <c r="S3739" t="s">
        <v>144</v>
      </c>
      <c r="T3739" s="2">
        <f>MASTER[[#This Row],[CANTIDAD]]*MASTER[[#This Row],[PRECIO DE VENTA]]</f>
        <v>1738</v>
      </c>
      <c r="U3739" s="2">
        <f>MASTER[[#This Row],[CANTIDAD]]*MASTER[[#This Row],[COSTO UNITARIO]]</f>
        <v>388</v>
      </c>
      <c r="V3739" s="2">
        <f>MASTER[[#This Row],[MONTO VENDIDO]]-MASTER[[#This Row],[COSTO DE VENTA]]</f>
        <v>1350</v>
      </c>
    </row>
    <row r="3740" spans="1:22" x14ac:dyDescent="0.3">
      <c r="A3740">
        <v>57768</v>
      </c>
      <c r="B3740">
        <v>1</v>
      </c>
      <c r="C3740" t="s">
        <v>5</v>
      </c>
      <c r="D3740" t="s">
        <v>6</v>
      </c>
      <c r="E3740" s="1">
        <v>44260</v>
      </c>
      <c r="F3740">
        <v>1</v>
      </c>
      <c r="G3740" t="s">
        <v>29</v>
      </c>
      <c r="H3740" t="s">
        <v>30</v>
      </c>
      <c r="I3740" s="3">
        <v>1296</v>
      </c>
      <c r="J3740" s="3">
        <v>1296</v>
      </c>
      <c r="K3740" s="3">
        <v>393</v>
      </c>
      <c r="L3740" t="s">
        <v>9</v>
      </c>
      <c r="M3740">
        <v>3</v>
      </c>
      <c r="N3740" t="s">
        <v>69</v>
      </c>
      <c r="O3740" t="s">
        <v>70</v>
      </c>
      <c r="P3740" t="s">
        <v>71</v>
      </c>
      <c r="Q3740" t="s">
        <v>72</v>
      </c>
      <c r="R3740" t="s">
        <v>139</v>
      </c>
      <c r="S3740" t="s">
        <v>144</v>
      </c>
      <c r="T3740" s="2">
        <f>MASTER[[#This Row],[CANTIDAD]]*MASTER[[#This Row],[PRECIO DE VENTA]]</f>
        <v>1296</v>
      </c>
      <c r="U3740" s="2">
        <f>MASTER[[#This Row],[CANTIDAD]]*MASTER[[#This Row],[COSTO UNITARIO]]</f>
        <v>393</v>
      </c>
      <c r="V3740" s="2">
        <f>MASTER[[#This Row],[MONTO VENDIDO]]-MASTER[[#This Row],[COSTO DE VENTA]]</f>
        <v>903</v>
      </c>
    </row>
    <row r="3741" spans="1:22" x14ac:dyDescent="0.3">
      <c r="A3741">
        <v>57772</v>
      </c>
      <c r="B3741">
        <v>1</v>
      </c>
      <c r="C3741" t="s">
        <v>105</v>
      </c>
      <c r="D3741" t="s">
        <v>106</v>
      </c>
      <c r="E3741" s="1">
        <v>44260</v>
      </c>
      <c r="F3741">
        <v>1</v>
      </c>
      <c r="G3741" t="s">
        <v>7</v>
      </c>
      <c r="H3741" t="s">
        <v>8</v>
      </c>
      <c r="I3741" s="3">
        <v>1585</v>
      </c>
      <c r="J3741" s="3">
        <v>1585</v>
      </c>
      <c r="K3741" s="3">
        <v>459</v>
      </c>
      <c r="L3741" t="s">
        <v>98</v>
      </c>
      <c r="M3741">
        <v>11</v>
      </c>
      <c r="N3741" t="s">
        <v>10</v>
      </c>
      <c r="O3741" t="s">
        <v>11</v>
      </c>
      <c r="P3741" t="s">
        <v>12</v>
      </c>
      <c r="Q3741" t="s">
        <v>13</v>
      </c>
      <c r="R3741" t="s">
        <v>13</v>
      </c>
      <c r="S3741" t="s">
        <v>144</v>
      </c>
      <c r="T3741" s="2">
        <f>MASTER[[#This Row],[CANTIDAD]]*MASTER[[#This Row],[PRECIO DE VENTA]]</f>
        <v>1585</v>
      </c>
      <c r="U3741" s="2">
        <f>MASTER[[#This Row],[CANTIDAD]]*MASTER[[#This Row],[COSTO UNITARIO]]</f>
        <v>459</v>
      </c>
      <c r="V3741" s="2">
        <f>MASTER[[#This Row],[MONTO VENDIDO]]-MASTER[[#This Row],[COSTO DE VENTA]]</f>
        <v>1126</v>
      </c>
    </row>
    <row r="3742" spans="1:22" x14ac:dyDescent="0.3">
      <c r="A3742">
        <v>57821</v>
      </c>
      <c r="B3742">
        <v>1</v>
      </c>
      <c r="C3742" t="s">
        <v>90</v>
      </c>
      <c r="D3742" t="s">
        <v>91</v>
      </c>
      <c r="E3742" s="1">
        <v>44260</v>
      </c>
      <c r="F3742">
        <v>1</v>
      </c>
      <c r="G3742" t="s">
        <v>41</v>
      </c>
      <c r="H3742" t="s">
        <v>42</v>
      </c>
      <c r="I3742" s="3">
        <v>2102</v>
      </c>
      <c r="J3742" s="3">
        <v>2102</v>
      </c>
      <c r="K3742" s="3">
        <v>420</v>
      </c>
      <c r="L3742" t="s">
        <v>9</v>
      </c>
      <c r="M3742">
        <v>6</v>
      </c>
      <c r="N3742" t="s">
        <v>75</v>
      </c>
      <c r="O3742" t="s">
        <v>70</v>
      </c>
      <c r="P3742" t="s">
        <v>12</v>
      </c>
      <c r="Q3742" t="s">
        <v>13</v>
      </c>
      <c r="R3742" t="s">
        <v>13</v>
      </c>
      <c r="S3742" t="s">
        <v>144</v>
      </c>
      <c r="T3742" s="2">
        <f>MASTER[[#This Row],[CANTIDAD]]*MASTER[[#This Row],[PRECIO DE VENTA]]</f>
        <v>2102</v>
      </c>
      <c r="U3742" s="2">
        <f>MASTER[[#This Row],[CANTIDAD]]*MASTER[[#This Row],[COSTO UNITARIO]]</f>
        <v>420</v>
      </c>
      <c r="V3742" s="2">
        <f>MASTER[[#This Row],[MONTO VENDIDO]]-MASTER[[#This Row],[COSTO DE VENTA]]</f>
        <v>1682</v>
      </c>
    </row>
    <row r="3743" spans="1:22" x14ac:dyDescent="0.3">
      <c r="A3743">
        <v>57823</v>
      </c>
      <c r="B3743">
        <v>1</v>
      </c>
      <c r="C3743" t="s">
        <v>109</v>
      </c>
      <c r="D3743" t="s">
        <v>110</v>
      </c>
      <c r="E3743" s="1">
        <v>44260</v>
      </c>
      <c r="F3743">
        <v>1</v>
      </c>
      <c r="G3743" t="s">
        <v>53</v>
      </c>
      <c r="H3743" t="s">
        <v>54</v>
      </c>
      <c r="I3743" s="3">
        <v>1128</v>
      </c>
      <c r="J3743" s="3">
        <v>1128</v>
      </c>
      <c r="K3743" s="3">
        <v>387</v>
      </c>
      <c r="L3743" t="s">
        <v>98</v>
      </c>
      <c r="M3743">
        <v>18</v>
      </c>
      <c r="N3743" t="s">
        <v>79</v>
      </c>
      <c r="O3743" t="s">
        <v>70</v>
      </c>
      <c r="P3743" t="s">
        <v>15</v>
      </c>
      <c r="Q3743" t="s">
        <v>16</v>
      </c>
      <c r="R3743" t="s">
        <v>16</v>
      </c>
      <c r="S3743" t="s">
        <v>144</v>
      </c>
      <c r="T3743" s="2">
        <f>MASTER[[#This Row],[CANTIDAD]]*MASTER[[#This Row],[PRECIO DE VENTA]]</f>
        <v>1128</v>
      </c>
      <c r="U3743" s="2">
        <f>MASTER[[#This Row],[CANTIDAD]]*MASTER[[#This Row],[COSTO UNITARIO]]</f>
        <v>387</v>
      </c>
      <c r="V3743" s="2">
        <f>MASTER[[#This Row],[MONTO VENDIDO]]-MASTER[[#This Row],[COSTO DE VENTA]]</f>
        <v>741</v>
      </c>
    </row>
    <row r="3744" spans="1:22" x14ac:dyDescent="0.3">
      <c r="A3744">
        <v>57825</v>
      </c>
      <c r="B3744">
        <v>1</v>
      </c>
      <c r="C3744" t="s">
        <v>103</v>
      </c>
      <c r="D3744" t="s">
        <v>104</v>
      </c>
      <c r="E3744" s="1">
        <v>44260</v>
      </c>
      <c r="F3744">
        <v>4</v>
      </c>
      <c r="G3744" t="s">
        <v>43</v>
      </c>
      <c r="H3744" t="s">
        <v>44</v>
      </c>
      <c r="I3744" s="3">
        <v>1830</v>
      </c>
      <c r="J3744" s="3">
        <v>1830</v>
      </c>
      <c r="K3744" s="3">
        <v>421</v>
      </c>
      <c r="L3744" t="s">
        <v>98</v>
      </c>
      <c r="M3744">
        <v>18</v>
      </c>
      <c r="N3744" t="s">
        <v>79</v>
      </c>
      <c r="O3744" t="s">
        <v>70</v>
      </c>
      <c r="P3744" t="s">
        <v>15</v>
      </c>
      <c r="Q3744" t="s">
        <v>16</v>
      </c>
      <c r="R3744" t="s">
        <v>16</v>
      </c>
      <c r="S3744" t="s">
        <v>144</v>
      </c>
      <c r="T3744" s="2">
        <f>MASTER[[#This Row],[CANTIDAD]]*MASTER[[#This Row],[PRECIO DE VENTA]]</f>
        <v>7320</v>
      </c>
      <c r="U3744" s="2">
        <f>MASTER[[#This Row],[CANTIDAD]]*MASTER[[#This Row],[COSTO UNITARIO]]</f>
        <v>1684</v>
      </c>
      <c r="V3744" s="2">
        <f>MASTER[[#This Row],[MONTO VENDIDO]]-MASTER[[#This Row],[COSTO DE VENTA]]</f>
        <v>5636</v>
      </c>
    </row>
    <row r="3745" spans="1:22" x14ac:dyDescent="0.3">
      <c r="A3745">
        <v>57828</v>
      </c>
      <c r="B3745">
        <v>1</v>
      </c>
      <c r="C3745" t="s">
        <v>101</v>
      </c>
      <c r="D3745" t="s">
        <v>102</v>
      </c>
      <c r="E3745" s="1">
        <v>44261</v>
      </c>
      <c r="F3745">
        <v>1</v>
      </c>
      <c r="G3745" t="s">
        <v>65</v>
      </c>
      <c r="H3745" t="s">
        <v>66</v>
      </c>
      <c r="I3745" s="3">
        <v>1212</v>
      </c>
      <c r="J3745" s="3">
        <v>1212</v>
      </c>
      <c r="K3745" s="3">
        <v>442</v>
      </c>
      <c r="L3745" t="s">
        <v>98</v>
      </c>
      <c r="M3745">
        <v>14</v>
      </c>
      <c r="N3745" t="s">
        <v>87</v>
      </c>
      <c r="O3745" t="s">
        <v>81</v>
      </c>
      <c r="P3745" t="s">
        <v>18</v>
      </c>
      <c r="Q3745" t="s">
        <v>19</v>
      </c>
      <c r="R3745" t="s">
        <v>138</v>
      </c>
      <c r="S3745" t="s">
        <v>144</v>
      </c>
      <c r="T3745" s="2">
        <f>MASTER[[#This Row],[CANTIDAD]]*MASTER[[#This Row],[PRECIO DE VENTA]]</f>
        <v>1212</v>
      </c>
      <c r="U3745" s="2">
        <f>MASTER[[#This Row],[CANTIDAD]]*MASTER[[#This Row],[COSTO UNITARIO]]</f>
        <v>442</v>
      </c>
      <c r="V3745" s="2">
        <f>MASTER[[#This Row],[MONTO VENDIDO]]-MASTER[[#This Row],[COSTO DE VENTA]]</f>
        <v>770</v>
      </c>
    </row>
    <row r="3746" spans="1:22" x14ac:dyDescent="0.3">
      <c r="A3746">
        <v>57845</v>
      </c>
      <c r="B3746">
        <v>1</v>
      </c>
      <c r="C3746" t="s">
        <v>105</v>
      </c>
      <c r="D3746" t="s">
        <v>106</v>
      </c>
      <c r="E3746" s="1">
        <v>44261</v>
      </c>
      <c r="F3746">
        <v>1</v>
      </c>
      <c r="G3746" t="s">
        <v>61</v>
      </c>
      <c r="H3746" t="s">
        <v>62</v>
      </c>
      <c r="I3746" s="3">
        <v>1865</v>
      </c>
      <c r="J3746" s="3">
        <v>1865</v>
      </c>
      <c r="K3746" s="3">
        <v>459</v>
      </c>
      <c r="L3746" t="s">
        <v>98</v>
      </c>
      <c r="M3746">
        <v>14</v>
      </c>
      <c r="N3746" t="s">
        <v>87</v>
      </c>
      <c r="O3746" t="s">
        <v>81</v>
      </c>
      <c r="P3746" t="s">
        <v>18</v>
      </c>
      <c r="Q3746" t="s">
        <v>19</v>
      </c>
      <c r="R3746" t="s">
        <v>138</v>
      </c>
      <c r="S3746" t="s">
        <v>144</v>
      </c>
      <c r="T3746" s="2">
        <f>MASTER[[#This Row],[CANTIDAD]]*MASTER[[#This Row],[PRECIO DE VENTA]]</f>
        <v>1865</v>
      </c>
      <c r="U3746" s="2">
        <f>MASTER[[#This Row],[CANTIDAD]]*MASTER[[#This Row],[COSTO UNITARIO]]</f>
        <v>459</v>
      </c>
      <c r="V3746" s="2">
        <f>MASTER[[#This Row],[MONTO VENDIDO]]-MASTER[[#This Row],[COSTO DE VENTA]]</f>
        <v>1406</v>
      </c>
    </row>
    <row r="3747" spans="1:22" x14ac:dyDescent="0.3">
      <c r="A3747">
        <v>57855</v>
      </c>
      <c r="B3747">
        <v>1</v>
      </c>
      <c r="C3747" t="s">
        <v>99</v>
      </c>
      <c r="D3747" t="s">
        <v>100</v>
      </c>
      <c r="E3747" s="1">
        <v>44261</v>
      </c>
      <c r="F3747">
        <v>1</v>
      </c>
      <c r="G3747" t="s">
        <v>61</v>
      </c>
      <c r="H3747" t="s">
        <v>62</v>
      </c>
      <c r="I3747" s="3">
        <v>1678</v>
      </c>
      <c r="J3747" s="3">
        <v>1678</v>
      </c>
      <c r="K3747" s="3">
        <v>386</v>
      </c>
      <c r="L3747" t="s">
        <v>98</v>
      </c>
      <c r="M3747">
        <v>13</v>
      </c>
      <c r="N3747" t="s">
        <v>78</v>
      </c>
      <c r="O3747" t="s">
        <v>70</v>
      </c>
      <c r="P3747" t="s">
        <v>18</v>
      </c>
      <c r="Q3747" t="s">
        <v>19</v>
      </c>
      <c r="R3747" t="s">
        <v>138</v>
      </c>
      <c r="S3747" t="s">
        <v>144</v>
      </c>
      <c r="T3747" s="2">
        <f>MASTER[[#This Row],[CANTIDAD]]*MASTER[[#This Row],[PRECIO DE VENTA]]</f>
        <v>1678</v>
      </c>
      <c r="U3747" s="2">
        <f>MASTER[[#This Row],[CANTIDAD]]*MASTER[[#This Row],[COSTO UNITARIO]]</f>
        <v>386</v>
      </c>
      <c r="V3747" s="2">
        <f>MASTER[[#This Row],[MONTO VENDIDO]]-MASTER[[#This Row],[COSTO DE VENTA]]</f>
        <v>1292</v>
      </c>
    </row>
    <row r="3748" spans="1:22" x14ac:dyDescent="0.3">
      <c r="A3748">
        <v>57863</v>
      </c>
      <c r="B3748">
        <v>1</v>
      </c>
      <c r="C3748" t="s">
        <v>101</v>
      </c>
      <c r="D3748" t="s">
        <v>102</v>
      </c>
      <c r="E3748" s="1">
        <v>44261</v>
      </c>
      <c r="F3748">
        <v>1</v>
      </c>
      <c r="G3748" t="s">
        <v>61</v>
      </c>
      <c r="H3748" t="s">
        <v>62</v>
      </c>
      <c r="I3748" s="3">
        <v>1357</v>
      </c>
      <c r="J3748" s="3">
        <v>1357</v>
      </c>
      <c r="K3748" s="3">
        <v>442</v>
      </c>
      <c r="L3748" t="s">
        <v>98</v>
      </c>
      <c r="M3748">
        <v>3</v>
      </c>
      <c r="N3748" t="s">
        <v>69</v>
      </c>
      <c r="O3748" t="s">
        <v>70</v>
      </c>
      <c r="P3748" t="s">
        <v>71</v>
      </c>
      <c r="Q3748" t="s">
        <v>72</v>
      </c>
      <c r="R3748" t="s">
        <v>139</v>
      </c>
      <c r="S3748" t="s">
        <v>144</v>
      </c>
      <c r="T3748" s="2">
        <f>MASTER[[#This Row],[CANTIDAD]]*MASTER[[#This Row],[PRECIO DE VENTA]]</f>
        <v>1357</v>
      </c>
      <c r="U3748" s="2">
        <f>MASTER[[#This Row],[CANTIDAD]]*MASTER[[#This Row],[COSTO UNITARIO]]</f>
        <v>442</v>
      </c>
      <c r="V3748" s="2">
        <f>MASTER[[#This Row],[MONTO VENDIDO]]-MASTER[[#This Row],[COSTO DE VENTA]]</f>
        <v>915</v>
      </c>
    </row>
    <row r="3749" spans="1:22" x14ac:dyDescent="0.3">
      <c r="A3749">
        <v>57882</v>
      </c>
      <c r="B3749">
        <v>1</v>
      </c>
      <c r="C3749" t="s">
        <v>105</v>
      </c>
      <c r="D3749" t="s">
        <v>106</v>
      </c>
      <c r="E3749" s="1">
        <v>44261</v>
      </c>
      <c r="F3749">
        <v>1</v>
      </c>
      <c r="G3749" t="s">
        <v>35</v>
      </c>
      <c r="H3749" t="s">
        <v>36</v>
      </c>
      <c r="I3749" s="3">
        <v>1865</v>
      </c>
      <c r="J3749" s="3">
        <v>1865</v>
      </c>
      <c r="K3749" s="3">
        <v>459</v>
      </c>
      <c r="L3749" t="s">
        <v>98</v>
      </c>
      <c r="M3749">
        <v>14</v>
      </c>
      <c r="N3749" t="s">
        <v>87</v>
      </c>
      <c r="O3749" t="s">
        <v>81</v>
      </c>
      <c r="P3749" t="s">
        <v>18</v>
      </c>
      <c r="Q3749" t="s">
        <v>19</v>
      </c>
      <c r="R3749" t="s">
        <v>138</v>
      </c>
      <c r="S3749" t="s">
        <v>144</v>
      </c>
      <c r="T3749" s="2">
        <f>MASTER[[#This Row],[CANTIDAD]]*MASTER[[#This Row],[PRECIO DE VENTA]]</f>
        <v>1865</v>
      </c>
      <c r="U3749" s="2">
        <f>MASTER[[#This Row],[CANTIDAD]]*MASTER[[#This Row],[COSTO UNITARIO]]</f>
        <v>459</v>
      </c>
      <c r="V3749" s="2">
        <f>MASTER[[#This Row],[MONTO VENDIDO]]-MASTER[[#This Row],[COSTO DE VENTA]]</f>
        <v>1406</v>
      </c>
    </row>
    <row r="3750" spans="1:22" x14ac:dyDescent="0.3">
      <c r="A3750">
        <v>57902</v>
      </c>
      <c r="B3750">
        <v>1</v>
      </c>
      <c r="C3750" t="s">
        <v>114</v>
      </c>
      <c r="D3750" t="s">
        <v>115</v>
      </c>
      <c r="E3750" s="1">
        <v>44261</v>
      </c>
      <c r="F3750">
        <v>1</v>
      </c>
      <c r="G3750" t="s">
        <v>35</v>
      </c>
      <c r="H3750" t="s">
        <v>36</v>
      </c>
      <c r="I3750" s="3">
        <v>1862</v>
      </c>
      <c r="J3750" s="3">
        <v>1862</v>
      </c>
      <c r="K3750" s="3">
        <v>394</v>
      </c>
      <c r="L3750" t="s">
        <v>113</v>
      </c>
      <c r="M3750">
        <v>2</v>
      </c>
      <c r="N3750" t="s">
        <v>86</v>
      </c>
      <c r="O3750" t="s">
        <v>81</v>
      </c>
      <c r="P3750" t="s">
        <v>71</v>
      </c>
      <c r="Q3750" t="s">
        <v>72</v>
      </c>
      <c r="R3750" t="s">
        <v>139</v>
      </c>
      <c r="S3750" t="s">
        <v>144</v>
      </c>
      <c r="T3750" s="2">
        <f>MASTER[[#This Row],[CANTIDAD]]*MASTER[[#This Row],[PRECIO DE VENTA]]</f>
        <v>1862</v>
      </c>
      <c r="U3750" s="2">
        <f>MASTER[[#This Row],[CANTIDAD]]*MASTER[[#This Row],[COSTO UNITARIO]]</f>
        <v>394</v>
      </c>
      <c r="V3750" s="2">
        <f>MASTER[[#This Row],[MONTO VENDIDO]]-MASTER[[#This Row],[COSTO DE VENTA]]</f>
        <v>1468</v>
      </c>
    </row>
    <row r="3751" spans="1:22" x14ac:dyDescent="0.3">
      <c r="A3751">
        <v>57907</v>
      </c>
      <c r="B3751">
        <v>1</v>
      </c>
      <c r="C3751" t="s">
        <v>96</v>
      </c>
      <c r="D3751" t="s">
        <v>97</v>
      </c>
      <c r="E3751" s="1">
        <v>44261</v>
      </c>
      <c r="F3751">
        <v>1</v>
      </c>
      <c r="G3751" t="s">
        <v>45</v>
      </c>
      <c r="H3751" t="s">
        <v>46</v>
      </c>
      <c r="I3751" s="3">
        <v>1272</v>
      </c>
      <c r="J3751" s="3">
        <v>1272</v>
      </c>
      <c r="K3751" s="3">
        <v>397</v>
      </c>
      <c r="L3751" t="s">
        <v>98</v>
      </c>
      <c r="M3751">
        <v>4</v>
      </c>
      <c r="N3751" t="s">
        <v>82</v>
      </c>
      <c r="O3751" t="s">
        <v>81</v>
      </c>
      <c r="P3751" t="s">
        <v>71</v>
      </c>
      <c r="Q3751" t="s">
        <v>72</v>
      </c>
      <c r="R3751" t="s">
        <v>139</v>
      </c>
      <c r="S3751" t="s">
        <v>144</v>
      </c>
      <c r="T3751" s="2">
        <f>MASTER[[#This Row],[CANTIDAD]]*MASTER[[#This Row],[PRECIO DE VENTA]]</f>
        <v>1272</v>
      </c>
      <c r="U3751" s="2">
        <f>MASTER[[#This Row],[CANTIDAD]]*MASTER[[#This Row],[COSTO UNITARIO]]</f>
        <v>397</v>
      </c>
      <c r="V3751" s="2">
        <f>MASTER[[#This Row],[MONTO VENDIDO]]-MASTER[[#This Row],[COSTO DE VENTA]]</f>
        <v>875</v>
      </c>
    </row>
    <row r="3752" spans="1:22" x14ac:dyDescent="0.3">
      <c r="A3752">
        <v>57910</v>
      </c>
      <c r="B3752">
        <v>1</v>
      </c>
      <c r="C3752" t="s">
        <v>92</v>
      </c>
      <c r="D3752" t="s">
        <v>93</v>
      </c>
      <c r="E3752" s="1">
        <v>44261</v>
      </c>
      <c r="F3752">
        <v>1</v>
      </c>
      <c r="G3752" t="s">
        <v>51</v>
      </c>
      <c r="H3752" t="s">
        <v>52</v>
      </c>
      <c r="I3752" s="3">
        <v>1866</v>
      </c>
      <c r="J3752" s="3">
        <v>1866</v>
      </c>
      <c r="K3752" s="3">
        <v>396</v>
      </c>
      <c r="L3752" t="s">
        <v>9</v>
      </c>
      <c r="M3752">
        <v>9</v>
      </c>
      <c r="N3752" t="s">
        <v>76</v>
      </c>
      <c r="O3752" t="s">
        <v>70</v>
      </c>
      <c r="P3752" t="s">
        <v>12</v>
      </c>
      <c r="Q3752" t="s">
        <v>13</v>
      </c>
      <c r="R3752" t="s">
        <v>13</v>
      </c>
      <c r="S3752" t="s">
        <v>144</v>
      </c>
      <c r="T3752" s="2">
        <f>MASTER[[#This Row],[CANTIDAD]]*MASTER[[#This Row],[PRECIO DE VENTA]]</f>
        <v>1866</v>
      </c>
      <c r="U3752" s="2">
        <f>MASTER[[#This Row],[CANTIDAD]]*MASTER[[#This Row],[COSTO UNITARIO]]</f>
        <v>396</v>
      </c>
      <c r="V3752" s="2">
        <f>MASTER[[#This Row],[MONTO VENDIDO]]-MASTER[[#This Row],[COSTO DE VENTA]]</f>
        <v>1470</v>
      </c>
    </row>
    <row r="3753" spans="1:22" x14ac:dyDescent="0.3">
      <c r="A3753">
        <v>57917</v>
      </c>
      <c r="B3753">
        <v>1</v>
      </c>
      <c r="C3753" t="s">
        <v>99</v>
      </c>
      <c r="D3753" t="s">
        <v>100</v>
      </c>
      <c r="E3753" s="1">
        <v>44261</v>
      </c>
      <c r="F3753">
        <v>1</v>
      </c>
      <c r="G3753" t="s">
        <v>73</v>
      </c>
      <c r="H3753" t="s">
        <v>74</v>
      </c>
      <c r="I3753" s="3">
        <v>1459</v>
      </c>
      <c r="J3753" s="3">
        <v>1371</v>
      </c>
      <c r="K3753" s="3">
        <v>386</v>
      </c>
      <c r="L3753" t="s">
        <v>98</v>
      </c>
      <c r="M3753">
        <v>19</v>
      </c>
      <c r="N3753" t="s">
        <v>89</v>
      </c>
      <c r="O3753" t="s">
        <v>81</v>
      </c>
      <c r="P3753" t="s">
        <v>15</v>
      </c>
      <c r="Q3753" t="s">
        <v>16</v>
      </c>
      <c r="R3753" t="s">
        <v>16</v>
      </c>
      <c r="S3753" t="s">
        <v>144</v>
      </c>
      <c r="T3753" s="2">
        <f>MASTER[[#This Row],[CANTIDAD]]*MASTER[[#This Row],[PRECIO DE VENTA]]</f>
        <v>1371</v>
      </c>
      <c r="U3753" s="2">
        <f>MASTER[[#This Row],[CANTIDAD]]*MASTER[[#This Row],[COSTO UNITARIO]]</f>
        <v>386</v>
      </c>
      <c r="V3753" s="2">
        <f>MASTER[[#This Row],[MONTO VENDIDO]]-MASTER[[#This Row],[COSTO DE VENTA]]</f>
        <v>985</v>
      </c>
    </row>
    <row r="3754" spans="1:22" x14ac:dyDescent="0.3">
      <c r="A3754">
        <v>57941</v>
      </c>
      <c r="B3754">
        <v>1</v>
      </c>
      <c r="C3754" t="s">
        <v>107</v>
      </c>
      <c r="D3754" t="s">
        <v>108</v>
      </c>
      <c r="E3754" s="1">
        <v>44261</v>
      </c>
      <c r="F3754">
        <v>1</v>
      </c>
      <c r="G3754" t="s">
        <v>29</v>
      </c>
      <c r="H3754" t="s">
        <v>30</v>
      </c>
      <c r="I3754" s="3">
        <v>1333</v>
      </c>
      <c r="J3754" s="3">
        <v>1333</v>
      </c>
      <c r="K3754" s="3">
        <v>380</v>
      </c>
      <c r="L3754" t="s">
        <v>98</v>
      </c>
      <c r="M3754">
        <v>5</v>
      </c>
      <c r="N3754" t="s">
        <v>85</v>
      </c>
      <c r="O3754" t="s">
        <v>81</v>
      </c>
      <c r="P3754" t="s">
        <v>12</v>
      </c>
      <c r="Q3754" t="s">
        <v>13</v>
      </c>
      <c r="R3754" t="s">
        <v>13</v>
      </c>
      <c r="S3754" t="s">
        <v>144</v>
      </c>
      <c r="T3754" s="2">
        <f>MASTER[[#This Row],[CANTIDAD]]*MASTER[[#This Row],[PRECIO DE VENTA]]</f>
        <v>1333</v>
      </c>
      <c r="U3754" s="2">
        <f>MASTER[[#This Row],[CANTIDAD]]*MASTER[[#This Row],[COSTO UNITARIO]]</f>
        <v>380</v>
      </c>
      <c r="V3754" s="2">
        <f>MASTER[[#This Row],[MONTO VENDIDO]]-MASTER[[#This Row],[COSTO DE VENTA]]</f>
        <v>953</v>
      </c>
    </row>
    <row r="3755" spans="1:22" x14ac:dyDescent="0.3">
      <c r="A3755">
        <v>57973</v>
      </c>
      <c r="B3755">
        <v>1</v>
      </c>
      <c r="C3755" t="s">
        <v>5</v>
      </c>
      <c r="D3755" t="s">
        <v>6</v>
      </c>
      <c r="E3755" s="1">
        <v>44262</v>
      </c>
      <c r="F3755">
        <v>1</v>
      </c>
      <c r="G3755" t="s">
        <v>59</v>
      </c>
      <c r="H3755" t="s">
        <v>60</v>
      </c>
      <c r="I3755" s="3">
        <v>1311</v>
      </c>
      <c r="J3755" s="3">
        <v>1311</v>
      </c>
      <c r="K3755" s="3">
        <v>393</v>
      </c>
      <c r="L3755" t="s">
        <v>9</v>
      </c>
      <c r="M3755">
        <v>12</v>
      </c>
      <c r="N3755" t="s">
        <v>26</v>
      </c>
      <c r="O3755" t="s">
        <v>11</v>
      </c>
      <c r="P3755" t="s">
        <v>12</v>
      </c>
      <c r="Q3755" t="s">
        <v>13</v>
      </c>
      <c r="R3755" t="s">
        <v>13</v>
      </c>
      <c r="S3755" t="s">
        <v>144</v>
      </c>
      <c r="T3755" s="2">
        <f>MASTER[[#This Row],[CANTIDAD]]*MASTER[[#This Row],[PRECIO DE VENTA]]</f>
        <v>1311</v>
      </c>
      <c r="U3755" s="2">
        <f>MASTER[[#This Row],[CANTIDAD]]*MASTER[[#This Row],[COSTO UNITARIO]]</f>
        <v>393</v>
      </c>
      <c r="V3755" s="2">
        <f>MASTER[[#This Row],[MONTO VENDIDO]]-MASTER[[#This Row],[COSTO DE VENTA]]</f>
        <v>918</v>
      </c>
    </row>
    <row r="3756" spans="1:22" x14ac:dyDescent="0.3">
      <c r="A3756">
        <v>57979</v>
      </c>
      <c r="B3756">
        <v>1</v>
      </c>
      <c r="C3756" t="s">
        <v>109</v>
      </c>
      <c r="D3756" t="s">
        <v>110</v>
      </c>
      <c r="E3756" s="1">
        <v>44262</v>
      </c>
      <c r="F3756">
        <v>1</v>
      </c>
      <c r="G3756" t="s">
        <v>7</v>
      </c>
      <c r="H3756" t="s">
        <v>8</v>
      </c>
      <c r="I3756" s="3">
        <v>1064</v>
      </c>
      <c r="J3756" s="3">
        <v>1064</v>
      </c>
      <c r="K3756" s="3">
        <v>387</v>
      </c>
      <c r="L3756" t="s">
        <v>98</v>
      </c>
      <c r="M3756">
        <v>15</v>
      </c>
      <c r="N3756" t="s">
        <v>88</v>
      </c>
      <c r="O3756" t="s">
        <v>81</v>
      </c>
      <c r="P3756" t="s">
        <v>18</v>
      </c>
      <c r="Q3756" t="s">
        <v>19</v>
      </c>
      <c r="R3756" t="s">
        <v>138</v>
      </c>
      <c r="S3756" t="s">
        <v>144</v>
      </c>
      <c r="T3756" s="2">
        <f>MASTER[[#This Row],[CANTIDAD]]*MASTER[[#This Row],[PRECIO DE VENTA]]</f>
        <v>1064</v>
      </c>
      <c r="U3756" s="2">
        <f>MASTER[[#This Row],[CANTIDAD]]*MASTER[[#This Row],[COSTO UNITARIO]]</f>
        <v>387</v>
      </c>
      <c r="V3756" s="2">
        <f>MASTER[[#This Row],[MONTO VENDIDO]]-MASTER[[#This Row],[COSTO DE VENTA]]</f>
        <v>677</v>
      </c>
    </row>
    <row r="3757" spans="1:22" x14ac:dyDescent="0.3">
      <c r="A3757">
        <v>57986</v>
      </c>
      <c r="B3757">
        <v>1</v>
      </c>
      <c r="C3757" t="s">
        <v>118</v>
      </c>
      <c r="D3757" t="s">
        <v>119</v>
      </c>
      <c r="E3757" s="1">
        <v>44262</v>
      </c>
      <c r="F3757">
        <v>4</v>
      </c>
      <c r="G3757" t="s">
        <v>59</v>
      </c>
      <c r="H3757" t="s">
        <v>60</v>
      </c>
      <c r="I3757" s="3">
        <v>801</v>
      </c>
      <c r="J3757" s="3">
        <v>752</v>
      </c>
      <c r="K3757" s="3">
        <v>424</v>
      </c>
      <c r="L3757" t="s">
        <v>120</v>
      </c>
      <c r="M3757">
        <v>11</v>
      </c>
      <c r="N3757" t="s">
        <v>10</v>
      </c>
      <c r="O3757" t="s">
        <v>11</v>
      </c>
      <c r="P3757" t="s">
        <v>12</v>
      </c>
      <c r="Q3757" t="s">
        <v>13</v>
      </c>
      <c r="R3757" t="s">
        <v>13</v>
      </c>
      <c r="S3757" t="s">
        <v>144</v>
      </c>
      <c r="T3757" s="2">
        <f>MASTER[[#This Row],[CANTIDAD]]*MASTER[[#This Row],[PRECIO DE VENTA]]</f>
        <v>3008</v>
      </c>
      <c r="U3757" s="2">
        <f>MASTER[[#This Row],[CANTIDAD]]*MASTER[[#This Row],[COSTO UNITARIO]]</f>
        <v>1696</v>
      </c>
      <c r="V3757" s="2">
        <f>MASTER[[#This Row],[MONTO VENDIDO]]-MASTER[[#This Row],[COSTO DE VENTA]]</f>
        <v>1312</v>
      </c>
    </row>
    <row r="3758" spans="1:22" x14ac:dyDescent="0.3">
      <c r="A3758">
        <v>57992</v>
      </c>
      <c r="B3758">
        <v>1</v>
      </c>
      <c r="C3758" t="s">
        <v>96</v>
      </c>
      <c r="D3758" t="s">
        <v>97</v>
      </c>
      <c r="E3758" s="1">
        <v>44262</v>
      </c>
      <c r="F3758">
        <v>1</v>
      </c>
      <c r="G3758" t="s">
        <v>7</v>
      </c>
      <c r="H3758" t="s">
        <v>8</v>
      </c>
      <c r="I3758" s="3">
        <v>1361</v>
      </c>
      <c r="J3758" s="3">
        <v>1265</v>
      </c>
      <c r="K3758" s="3">
        <v>397</v>
      </c>
      <c r="L3758" t="s">
        <v>98</v>
      </c>
      <c r="M3758">
        <v>9</v>
      </c>
      <c r="N3758" t="s">
        <v>76</v>
      </c>
      <c r="O3758" t="s">
        <v>70</v>
      </c>
      <c r="P3758" t="s">
        <v>12</v>
      </c>
      <c r="Q3758" t="s">
        <v>13</v>
      </c>
      <c r="R3758" t="s">
        <v>13</v>
      </c>
      <c r="S3758" t="s">
        <v>144</v>
      </c>
      <c r="T3758" s="2">
        <f>MASTER[[#This Row],[CANTIDAD]]*MASTER[[#This Row],[PRECIO DE VENTA]]</f>
        <v>1265</v>
      </c>
      <c r="U3758" s="2">
        <f>MASTER[[#This Row],[CANTIDAD]]*MASTER[[#This Row],[COSTO UNITARIO]]</f>
        <v>397</v>
      </c>
      <c r="V3758" s="2">
        <f>MASTER[[#This Row],[MONTO VENDIDO]]-MASTER[[#This Row],[COSTO DE VENTA]]</f>
        <v>868</v>
      </c>
    </row>
    <row r="3759" spans="1:22" x14ac:dyDescent="0.3">
      <c r="A3759">
        <v>58022</v>
      </c>
      <c r="B3759">
        <v>1</v>
      </c>
      <c r="C3759" t="s">
        <v>90</v>
      </c>
      <c r="D3759" t="s">
        <v>91</v>
      </c>
      <c r="E3759" s="1">
        <v>44263</v>
      </c>
      <c r="F3759">
        <v>1</v>
      </c>
      <c r="G3759" t="s">
        <v>53</v>
      </c>
      <c r="H3759" t="s">
        <v>54</v>
      </c>
      <c r="I3759" s="3">
        <v>2102</v>
      </c>
      <c r="J3759" s="3">
        <v>2102</v>
      </c>
      <c r="K3759" s="3">
        <v>420</v>
      </c>
      <c r="L3759" t="s">
        <v>9</v>
      </c>
      <c r="M3759">
        <v>9</v>
      </c>
      <c r="N3759" t="s">
        <v>76</v>
      </c>
      <c r="O3759" t="s">
        <v>70</v>
      </c>
      <c r="P3759" t="s">
        <v>12</v>
      </c>
      <c r="Q3759" t="s">
        <v>13</v>
      </c>
      <c r="R3759" t="s">
        <v>13</v>
      </c>
      <c r="S3759" t="s">
        <v>144</v>
      </c>
      <c r="T3759" s="2">
        <f>MASTER[[#This Row],[CANTIDAD]]*MASTER[[#This Row],[PRECIO DE VENTA]]</f>
        <v>2102</v>
      </c>
      <c r="U3759" s="2">
        <f>MASTER[[#This Row],[CANTIDAD]]*MASTER[[#This Row],[COSTO UNITARIO]]</f>
        <v>420</v>
      </c>
      <c r="V3759" s="2">
        <f>MASTER[[#This Row],[MONTO VENDIDO]]-MASTER[[#This Row],[COSTO DE VENTA]]</f>
        <v>1682</v>
      </c>
    </row>
    <row r="3760" spans="1:22" x14ac:dyDescent="0.3">
      <c r="A3760">
        <v>58030</v>
      </c>
      <c r="B3760">
        <v>1</v>
      </c>
      <c r="C3760" t="s">
        <v>103</v>
      </c>
      <c r="D3760" t="s">
        <v>104</v>
      </c>
      <c r="E3760" s="1">
        <v>44263</v>
      </c>
      <c r="F3760">
        <v>4</v>
      </c>
      <c r="G3760" t="s">
        <v>47</v>
      </c>
      <c r="H3760" t="s">
        <v>48</v>
      </c>
      <c r="I3760" s="3">
        <v>1591</v>
      </c>
      <c r="J3760" s="3">
        <v>1591</v>
      </c>
      <c r="K3760" s="3">
        <v>421</v>
      </c>
      <c r="L3760" t="s">
        <v>98</v>
      </c>
      <c r="M3760">
        <v>2</v>
      </c>
      <c r="N3760" t="s">
        <v>86</v>
      </c>
      <c r="O3760" t="s">
        <v>81</v>
      </c>
      <c r="P3760" t="s">
        <v>71</v>
      </c>
      <c r="Q3760" t="s">
        <v>72</v>
      </c>
      <c r="R3760" t="s">
        <v>139</v>
      </c>
      <c r="S3760" t="s">
        <v>144</v>
      </c>
      <c r="T3760" s="2">
        <f>MASTER[[#This Row],[CANTIDAD]]*MASTER[[#This Row],[PRECIO DE VENTA]]</f>
        <v>6364</v>
      </c>
      <c r="U3760" s="2">
        <f>MASTER[[#This Row],[CANTIDAD]]*MASTER[[#This Row],[COSTO UNITARIO]]</f>
        <v>1684</v>
      </c>
      <c r="V3760" s="2">
        <f>MASTER[[#This Row],[MONTO VENDIDO]]-MASTER[[#This Row],[COSTO DE VENTA]]</f>
        <v>4680</v>
      </c>
    </row>
    <row r="3761" spans="1:22" x14ac:dyDescent="0.3">
      <c r="A3761">
        <v>58039</v>
      </c>
      <c r="B3761">
        <v>1</v>
      </c>
      <c r="C3761" t="s">
        <v>109</v>
      </c>
      <c r="D3761" t="s">
        <v>110</v>
      </c>
      <c r="E3761" s="1">
        <v>44263</v>
      </c>
      <c r="F3761">
        <v>3</v>
      </c>
      <c r="G3761" t="s">
        <v>27</v>
      </c>
      <c r="H3761" t="s">
        <v>28</v>
      </c>
      <c r="I3761" s="3">
        <v>1064</v>
      </c>
      <c r="J3761" s="3">
        <v>1064</v>
      </c>
      <c r="K3761" s="3">
        <v>387</v>
      </c>
      <c r="L3761" t="s">
        <v>98</v>
      </c>
      <c r="M3761">
        <v>10</v>
      </c>
      <c r="N3761" t="s">
        <v>83</v>
      </c>
      <c r="O3761" t="s">
        <v>81</v>
      </c>
      <c r="P3761" t="s">
        <v>12</v>
      </c>
      <c r="Q3761" t="s">
        <v>13</v>
      </c>
      <c r="R3761" t="s">
        <v>13</v>
      </c>
      <c r="S3761" t="s">
        <v>144</v>
      </c>
      <c r="T3761" s="2">
        <f>MASTER[[#This Row],[CANTIDAD]]*MASTER[[#This Row],[PRECIO DE VENTA]]</f>
        <v>3192</v>
      </c>
      <c r="U3761" s="2">
        <f>MASTER[[#This Row],[CANTIDAD]]*MASTER[[#This Row],[COSTO UNITARIO]]</f>
        <v>1161</v>
      </c>
      <c r="V3761" s="2">
        <f>MASTER[[#This Row],[MONTO VENDIDO]]-MASTER[[#This Row],[COSTO DE VENTA]]</f>
        <v>2031</v>
      </c>
    </row>
    <row r="3762" spans="1:22" x14ac:dyDescent="0.3">
      <c r="A3762">
        <v>58042</v>
      </c>
      <c r="B3762">
        <v>1</v>
      </c>
      <c r="C3762" t="s">
        <v>107</v>
      </c>
      <c r="D3762" t="s">
        <v>108</v>
      </c>
      <c r="E3762" s="1">
        <v>44263</v>
      </c>
      <c r="F3762">
        <v>1</v>
      </c>
      <c r="G3762" t="s">
        <v>33</v>
      </c>
      <c r="H3762" t="s">
        <v>34</v>
      </c>
      <c r="I3762" s="3">
        <v>1333</v>
      </c>
      <c r="J3762" s="3">
        <v>1226</v>
      </c>
      <c r="K3762" s="3">
        <v>380</v>
      </c>
      <c r="L3762" t="s">
        <v>98</v>
      </c>
      <c r="M3762">
        <v>8</v>
      </c>
      <c r="N3762" t="s">
        <v>80</v>
      </c>
      <c r="O3762" t="s">
        <v>81</v>
      </c>
      <c r="P3762" t="s">
        <v>12</v>
      </c>
      <c r="Q3762" t="s">
        <v>13</v>
      </c>
      <c r="R3762" t="s">
        <v>13</v>
      </c>
      <c r="S3762" t="s">
        <v>144</v>
      </c>
      <c r="T3762" s="2">
        <f>MASTER[[#This Row],[CANTIDAD]]*MASTER[[#This Row],[PRECIO DE VENTA]]</f>
        <v>1226</v>
      </c>
      <c r="U3762" s="2">
        <f>MASTER[[#This Row],[CANTIDAD]]*MASTER[[#This Row],[COSTO UNITARIO]]</f>
        <v>380</v>
      </c>
      <c r="V3762" s="2">
        <f>MASTER[[#This Row],[MONTO VENDIDO]]-MASTER[[#This Row],[COSTO DE VENTA]]</f>
        <v>846</v>
      </c>
    </row>
    <row r="3763" spans="1:22" x14ac:dyDescent="0.3">
      <c r="A3763">
        <v>58045</v>
      </c>
      <c r="B3763">
        <v>1</v>
      </c>
      <c r="C3763" t="s">
        <v>94</v>
      </c>
      <c r="D3763" t="s">
        <v>95</v>
      </c>
      <c r="E3763" s="1">
        <v>44263</v>
      </c>
      <c r="F3763">
        <v>1</v>
      </c>
      <c r="G3763" t="s">
        <v>49</v>
      </c>
      <c r="H3763" t="s">
        <v>50</v>
      </c>
      <c r="I3763" s="3">
        <v>1048</v>
      </c>
      <c r="J3763" s="3">
        <v>1048</v>
      </c>
      <c r="K3763" s="3">
        <v>392</v>
      </c>
      <c r="L3763" t="s">
        <v>9</v>
      </c>
      <c r="M3763">
        <v>2</v>
      </c>
      <c r="N3763" t="s">
        <v>86</v>
      </c>
      <c r="O3763" t="s">
        <v>81</v>
      </c>
      <c r="P3763" t="s">
        <v>71</v>
      </c>
      <c r="Q3763" t="s">
        <v>72</v>
      </c>
      <c r="R3763" t="s">
        <v>139</v>
      </c>
      <c r="S3763" t="s">
        <v>144</v>
      </c>
      <c r="T3763" s="2">
        <f>MASTER[[#This Row],[CANTIDAD]]*MASTER[[#This Row],[PRECIO DE VENTA]]</f>
        <v>1048</v>
      </c>
      <c r="U3763" s="2">
        <f>MASTER[[#This Row],[CANTIDAD]]*MASTER[[#This Row],[COSTO UNITARIO]]</f>
        <v>392</v>
      </c>
      <c r="V3763" s="2">
        <f>MASTER[[#This Row],[MONTO VENDIDO]]-MASTER[[#This Row],[COSTO DE VENTA]]</f>
        <v>656</v>
      </c>
    </row>
    <row r="3764" spans="1:22" x14ac:dyDescent="0.3">
      <c r="A3764">
        <v>58056</v>
      </c>
      <c r="B3764">
        <v>1</v>
      </c>
      <c r="C3764" t="s">
        <v>111</v>
      </c>
      <c r="D3764" t="s">
        <v>112</v>
      </c>
      <c r="E3764" s="1">
        <v>44263</v>
      </c>
      <c r="F3764">
        <v>1</v>
      </c>
      <c r="G3764" t="s">
        <v>43</v>
      </c>
      <c r="H3764" t="s">
        <v>44</v>
      </c>
      <c r="I3764" s="3">
        <v>1524</v>
      </c>
      <c r="J3764" s="3">
        <v>1402</v>
      </c>
      <c r="K3764" s="3">
        <v>434</v>
      </c>
      <c r="L3764" t="s">
        <v>113</v>
      </c>
      <c r="M3764">
        <v>16</v>
      </c>
      <c r="N3764" t="s">
        <v>17</v>
      </c>
      <c r="O3764" t="s">
        <v>11</v>
      </c>
      <c r="P3764" t="s">
        <v>18</v>
      </c>
      <c r="Q3764" t="s">
        <v>19</v>
      </c>
      <c r="R3764" t="s">
        <v>138</v>
      </c>
      <c r="S3764" t="s">
        <v>144</v>
      </c>
      <c r="T3764" s="2">
        <f>MASTER[[#This Row],[CANTIDAD]]*MASTER[[#This Row],[PRECIO DE VENTA]]</f>
        <v>1402</v>
      </c>
      <c r="U3764" s="2">
        <f>MASTER[[#This Row],[CANTIDAD]]*MASTER[[#This Row],[COSTO UNITARIO]]</f>
        <v>434</v>
      </c>
      <c r="V3764" s="2">
        <f>MASTER[[#This Row],[MONTO VENDIDO]]-MASTER[[#This Row],[COSTO DE VENTA]]</f>
        <v>968</v>
      </c>
    </row>
    <row r="3765" spans="1:22" x14ac:dyDescent="0.3">
      <c r="A3765">
        <v>58078</v>
      </c>
      <c r="B3765">
        <v>1</v>
      </c>
      <c r="C3765" t="s">
        <v>111</v>
      </c>
      <c r="D3765" t="s">
        <v>112</v>
      </c>
      <c r="E3765" s="1">
        <v>44263</v>
      </c>
      <c r="F3765">
        <v>1</v>
      </c>
      <c r="G3765" t="s">
        <v>33</v>
      </c>
      <c r="H3765" t="s">
        <v>34</v>
      </c>
      <c r="I3765" s="3">
        <v>1524</v>
      </c>
      <c r="J3765" s="3">
        <v>1524</v>
      </c>
      <c r="K3765" s="3">
        <v>434</v>
      </c>
      <c r="L3765" t="s">
        <v>113</v>
      </c>
      <c r="M3765">
        <v>17</v>
      </c>
      <c r="N3765" t="s">
        <v>14</v>
      </c>
      <c r="O3765" t="s">
        <v>11</v>
      </c>
      <c r="P3765" t="s">
        <v>15</v>
      </c>
      <c r="Q3765" t="s">
        <v>16</v>
      </c>
      <c r="R3765" t="s">
        <v>16</v>
      </c>
      <c r="S3765" t="s">
        <v>144</v>
      </c>
      <c r="T3765" s="2">
        <f>MASTER[[#This Row],[CANTIDAD]]*MASTER[[#This Row],[PRECIO DE VENTA]]</f>
        <v>1524</v>
      </c>
      <c r="U3765" s="2">
        <f>MASTER[[#This Row],[CANTIDAD]]*MASTER[[#This Row],[COSTO UNITARIO]]</f>
        <v>434</v>
      </c>
      <c r="V3765" s="2">
        <f>MASTER[[#This Row],[MONTO VENDIDO]]-MASTER[[#This Row],[COSTO DE VENTA]]</f>
        <v>1090</v>
      </c>
    </row>
    <row r="3766" spans="1:22" x14ac:dyDescent="0.3">
      <c r="A3766">
        <v>58082</v>
      </c>
      <c r="B3766">
        <v>1</v>
      </c>
      <c r="C3766" t="s">
        <v>90</v>
      </c>
      <c r="D3766" t="s">
        <v>91</v>
      </c>
      <c r="E3766" s="1">
        <v>44263</v>
      </c>
      <c r="F3766">
        <v>1</v>
      </c>
      <c r="G3766" t="s">
        <v>35</v>
      </c>
      <c r="H3766" t="s">
        <v>36</v>
      </c>
      <c r="I3766" s="3">
        <v>1844</v>
      </c>
      <c r="J3766" s="3">
        <v>1844</v>
      </c>
      <c r="K3766" s="3">
        <v>420</v>
      </c>
      <c r="L3766" t="s">
        <v>9</v>
      </c>
      <c r="M3766">
        <v>7</v>
      </c>
      <c r="N3766" t="s">
        <v>84</v>
      </c>
      <c r="O3766" t="s">
        <v>81</v>
      </c>
      <c r="P3766" t="s">
        <v>12</v>
      </c>
      <c r="Q3766" t="s">
        <v>13</v>
      </c>
      <c r="R3766" t="s">
        <v>13</v>
      </c>
      <c r="S3766" t="s">
        <v>144</v>
      </c>
      <c r="T3766" s="2">
        <f>MASTER[[#This Row],[CANTIDAD]]*MASTER[[#This Row],[PRECIO DE VENTA]]</f>
        <v>1844</v>
      </c>
      <c r="U3766" s="2">
        <f>MASTER[[#This Row],[CANTIDAD]]*MASTER[[#This Row],[COSTO UNITARIO]]</f>
        <v>420</v>
      </c>
      <c r="V3766" s="2">
        <f>MASTER[[#This Row],[MONTO VENDIDO]]-MASTER[[#This Row],[COSTO DE VENTA]]</f>
        <v>1424</v>
      </c>
    </row>
    <row r="3767" spans="1:22" x14ac:dyDescent="0.3">
      <c r="A3767">
        <v>58085</v>
      </c>
      <c r="B3767">
        <v>1</v>
      </c>
      <c r="C3767" t="s">
        <v>99</v>
      </c>
      <c r="D3767" t="s">
        <v>100</v>
      </c>
      <c r="E3767" s="1">
        <v>44263</v>
      </c>
      <c r="F3767">
        <v>1</v>
      </c>
      <c r="G3767" t="s">
        <v>65</v>
      </c>
      <c r="H3767" t="s">
        <v>66</v>
      </c>
      <c r="I3767" s="3">
        <v>1328</v>
      </c>
      <c r="J3767" s="3">
        <v>1328</v>
      </c>
      <c r="K3767" s="3">
        <v>386</v>
      </c>
      <c r="L3767" t="s">
        <v>98</v>
      </c>
      <c r="M3767">
        <v>12</v>
      </c>
      <c r="N3767" t="s">
        <v>26</v>
      </c>
      <c r="O3767" t="s">
        <v>11</v>
      </c>
      <c r="P3767" t="s">
        <v>12</v>
      </c>
      <c r="Q3767" t="s">
        <v>13</v>
      </c>
      <c r="R3767" t="s">
        <v>13</v>
      </c>
      <c r="S3767" t="s">
        <v>144</v>
      </c>
      <c r="T3767" s="2">
        <f>MASTER[[#This Row],[CANTIDAD]]*MASTER[[#This Row],[PRECIO DE VENTA]]</f>
        <v>1328</v>
      </c>
      <c r="U3767" s="2">
        <f>MASTER[[#This Row],[CANTIDAD]]*MASTER[[#This Row],[COSTO UNITARIO]]</f>
        <v>386</v>
      </c>
      <c r="V3767" s="2">
        <f>MASTER[[#This Row],[MONTO VENDIDO]]-MASTER[[#This Row],[COSTO DE VENTA]]</f>
        <v>942</v>
      </c>
    </row>
    <row r="3768" spans="1:22" x14ac:dyDescent="0.3">
      <c r="A3768">
        <v>58114</v>
      </c>
      <c r="B3768">
        <v>1</v>
      </c>
      <c r="C3768" t="s">
        <v>90</v>
      </c>
      <c r="D3768" t="s">
        <v>91</v>
      </c>
      <c r="E3768" s="1">
        <v>44263</v>
      </c>
      <c r="F3768">
        <v>1</v>
      </c>
      <c r="G3768" t="s">
        <v>35</v>
      </c>
      <c r="H3768" t="s">
        <v>36</v>
      </c>
      <c r="I3768" s="3">
        <v>1660</v>
      </c>
      <c r="J3768" s="3">
        <v>1660</v>
      </c>
      <c r="K3768" s="3">
        <v>420</v>
      </c>
      <c r="L3768" t="s">
        <v>9</v>
      </c>
      <c r="M3768">
        <v>12</v>
      </c>
      <c r="N3768" t="s">
        <v>26</v>
      </c>
      <c r="O3768" t="s">
        <v>11</v>
      </c>
      <c r="P3768" t="s">
        <v>12</v>
      </c>
      <c r="Q3768" t="s">
        <v>13</v>
      </c>
      <c r="R3768" t="s">
        <v>13</v>
      </c>
      <c r="S3768" t="s">
        <v>144</v>
      </c>
      <c r="T3768" s="2">
        <f>MASTER[[#This Row],[CANTIDAD]]*MASTER[[#This Row],[PRECIO DE VENTA]]</f>
        <v>1660</v>
      </c>
      <c r="U3768" s="2">
        <f>MASTER[[#This Row],[CANTIDAD]]*MASTER[[#This Row],[COSTO UNITARIO]]</f>
        <v>420</v>
      </c>
      <c r="V3768" s="2">
        <f>MASTER[[#This Row],[MONTO VENDIDO]]-MASTER[[#This Row],[COSTO DE VENTA]]</f>
        <v>1240</v>
      </c>
    </row>
    <row r="3769" spans="1:22" x14ac:dyDescent="0.3">
      <c r="A3769">
        <v>58114</v>
      </c>
      <c r="B3769">
        <v>2</v>
      </c>
      <c r="C3769" t="s">
        <v>92</v>
      </c>
      <c r="D3769" t="s">
        <v>93</v>
      </c>
      <c r="E3769" s="1">
        <v>44263</v>
      </c>
      <c r="F3769">
        <v>1</v>
      </c>
      <c r="G3769" t="s">
        <v>53</v>
      </c>
      <c r="H3769" t="s">
        <v>54</v>
      </c>
      <c r="I3769" s="3">
        <v>1479</v>
      </c>
      <c r="J3769" s="3">
        <v>1479</v>
      </c>
      <c r="K3769" s="3">
        <v>396</v>
      </c>
      <c r="L3769" t="s">
        <v>9</v>
      </c>
      <c r="M3769">
        <v>12</v>
      </c>
      <c r="N3769" t="s">
        <v>26</v>
      </c>
      <c r="O3769" t="s">
        <v>11</v>
      </c>
      <c r="P3769" t="s">
        <v>12</v>
      </c>
      <c r="Q3769" t="s">
        <v>13</v>
      </c>
      <c r="R3769" t="s">
        <v>13</v>
      </c>
      <c r="S3769" t="s">
        <v>144</v>
      </c>
      <c r="T3769" s="2">
        <f>MASTER[[#This Row],[CANTIDAD]]*MASTER[[#This Row],[PRECIO DE VENTA]]</f>
        <v>1479</v>
      </c>
      <c r="U3769" s="2">
        <f>MASTER[[#This Row],[CANTIDAD]]*MASTER[[#This Row],[COSTO UNITARIO]]</f>
        <v>396</v>
      </c>
      <c r="V3769" s="2">
        <f>MASTER[[#This Row],[MONTO VENDIDO]]-MASTER[[#This Row],[COSTO DE VENTA]]</f>
        <v>1083</v>
      </c>
    </row>
    <row r="3770" spans="1:22" x14ac:dyDescent="0.3">
      <c r="A3770">
        <v>58124</v>
      </c>
      <c r="B3770">
        <v>1</v>
      </c>
      <c r="C3770" t="s">
        <v>105</v>
      </c>
      <c r="D3770" t="s">
        <v>106</v>
      </c>
      <c r="E3770" s="1">
        <v>44263</v>
      </c>
      <c r="F3770">
        <v>1</v>
      </c>
      <c r="G3770" t="s">
        <v>22</v>
      </c>
      <c r="H3770" t="s">
        <v>23</v>
      </c>
      <c r="I3770" s="3">
        <v>1865</v>
      </c>
      <c r="J3770" s="3">
        <v>1865</v>
      </c>
      <c r="K3770" s="3">
        <v>459</v>
      </c>
      <c r="L3770" t="s">
        <v>98</v>
      </c>
      <c r="M3770">
        <v>8</v>
      </c>
      <c r="N3770" t="s">
        <v>80</v>
      </c>
      <c r="O3770" t="s">
        <v>81</v>
      </c>
      <c r="P3770" t="s">
        <v>12</v>
      </c>
      <c r="Q3770" t="s">
        <v>13</v>
      </c>
      <c r="R3770" t="s">
        <v>13</v>
      </c>
      <c r="S3770" t="s">
        <v>144</v>
      </c>
      <c r="T3770" s="2">
        <f>MASTER[[#This Row],[CANTIDAD]]*MASTER[[#This Row],[PRECIO DE VENTA]]</f>
        <v>1865</v>
      </c>
      <c r="U3770" s="2">
        <f>MASTER[[#This Row],[CANTIDAD]]*MASTER[[#This Row],[COSTO UNITARIO]]</f>
        <v>459</v>
      </c>
      <c r="V3770" s="2">
        <f>MASTER[[#This Row],[MONTO VENDIDO]]-MASTER[[#This Row],[COSTO DE VENTA]]</f>
        <v>1406</v>
      </c>
    </row>
    <row r="3771" spans="1:22" x14ac:dyDescent="0.3">
      <c r="A3771">
        <v>58126</v>
      </c>
      <c r="B3771">
        <v>1</v>
      </c>
      <c r="C3771" t="s">
        <v>99</v>
      </c>
      <c r="D3771" t="s">
        <v>100</v>
      </c>
      <c r="E3771" s="1">
        <v>44263</v>
      </c>
      <c r="F3771">
        <v>1</v>
      </c>
      <c r="G3771" t="s">
        <v>43</v>
      </c>
      <c r="H3771" t="s">
        <v>44</v>
      </c>
      <c r="I3771" s="3">
        <v>1678</v>
      </c>
      <c r="J3771" s="3">
        <v>1678</v>
      </c>
      <c r="K3771" s="3">
        <v>386</v>
      </c>
      <c r="L3771" t="s">
        <v>98</v>
      </c>
      <c r="M3771">
        <v>18</v>
      </c>
      <c r="N3771" t="s">
        <v>79</v>
      </c>
      <c r="O3771" t="s">
        <v>70</v>
      </c>
      <c r="P3771" t="s">
        <v>15</v>
      </c>
      <c r="Q3771" t="s">
        <v>16</v>
      </c>
      <c r="R3771" t="s">
        <v>16</v>
      </c>
      <c r="S3771" t="s">
        <v>144</v>
      </c>
      <c r="T3771" s="2">
        <f>MASTER[[#This Row],[CANTIDAD]]*MASTER[[#This Row],[PRECIO DE VENTA]]</f>
        <v>1678</v>
      </c>
      <c r="U3771" s="2">
        <f>MASTER[[#This Row],[CANTIDAD]]*MASTER[[#This Row],[COSTO UNITARIO]]</f>
        <v>386</v>
      </c>
      <c r="V3771" s="2">
        <f>MASTER[[#This Row],[MONTO VENDIDO]]-MASTER[[#This Row],[COSTO DE VENTA]]</f>
        <v>1292</v>
      </c>
    </row>
    <row r="3772" spans="1:22" x14ac:dyDescent="0.3">
      <c r="A3772">
        <v>58157</v>
      </c>
      <c r="B3772">
        <v>1</v>
      </c>
      <c r="C3772" t="s">
        <v>103</v>
      </c>
      <c r="D3772" t="s">
        <v>104</v>
      </c>
      <c r="E3772" s="1">
        <v>44263</v>
      </c>
      <c r="F3772">
        <v>1</v>
      </c>
      <c r="G3772" t="s">
        <v>27</v>
      </c>
      <c r="H3772" t="s">
        <v>28</v>
      </c>
      <c r="I3772" s="3">
        <v>1591</v>
      </c>
      <c r="J3772" s="3">
        <v>1591</v>
      </c>
      <c r="K3772" s="3">
        <v>421</v>
      </c>
      <c r="L3772" t="s">
        <v>98</v>
      </c>
      <c r="M3772">
        <v>2</v>
      </c>
      <c r="N3772" t="s">
        <v>86</v>
      </c>
      <c r="O3772" t="s">
        <v>81</v>
      </c>
      <c r="P3772" t="s">
        <v>71</v>
      </c>
      <c r="Q3772" t="s">
        <v>72</v>
      </c>
      <c r="R3772" t="s">
        <v>139</v>
      </c>
      <c r="S3772" t="s">
        <v>144</v>
      </c>
      <c r="T3772" s="2">
        <f>MASTER[[#This Row],[CANTIDAD]]*MASTER[[#This Row],[PRECIO DE VENTA]]</f>
        <v>1591</v>
      </c>
      <c r="U3772" s="2">
        <f>MASTER[[#This Row],[CANTIDAD]]*MASTER[[#This Row],[COSTO UNITARIO]]</f>
        <v>421</v>
      </c>
      <c r="V3772" s="2">
        <f>MASTER[[#This Row],[MONTO VENDIDO]]-MASTER[[#This Row],[COSTO DE VENTA]]</f>
        <v>1170</v>
      </c>
    </row>
    <row r="3773" spans="1:22" x14ac:dyDescent="0.3">
      <c r="A3773">
        <v>58195</v>
      </c>
      <c r="B3773">
        <v>1</v>
      </c>
      <c r="C3773" t="s">
        <v>107</v>
      </c>
      <c r="D3773" t="s">
        <v>108</v>
      </c>
      <c r="E3773" s="1">
        <v>44263</v>
      </c>
      <c r="F3773">
        <v>1</v>
      </c>
      <c r="G3773" t="s">
        <v>47</v>
      </c>
      <c r="H3773" t="s">
        <v>48</v>
      </c>
      <c r="I3773" s="3">
        <v>1440</v>
      </c>
      <c r="J3773" s="3">
        <v>1440</v>
      </c>
      <c r="K3773" s="3">
        <v>380</v>
      </c>
      <c r="L3773" t="s">
        <v>98</v>
      </c>
      <c r="M3773">
        <v>3</v>
      </c>
      <c r="N3773" t="s">
        <v>69</v>
      </c>
      <c r="O3773" t="s">
        <v>70</v>
      </c>
      <c r="P3773" t="s">
        <v>71</v>
      </c>
      <c r="Q3773" t="s">
        <v>72</v>
      </c>
      <c r="R3773" t="s">
        <v>139</v>
      </c>
      <c r="S3773" t="s">
        <v>144</v>
      </c>
      <c r="T3773" s="2">
        <f>MASTER[[#This Row],[CANTIDAD]]*MASTER[[#This Row],[PRECIO DE VENTA]]</f>
        <v>1440</v>
      </c>
      <c r="U3773" s="2">
        <f>MASTER[[#This Row],[CANTIDAD]]*MASTER[[#This Row],[COSTO UNITARIO]]</f>
        <v>380</v>
      </c>
      <c r="V3773" s="2">
        <f>MASTER[[#This Row],[MONTO VENDIDO]]-MASTER[[#This Row],[COSTO DE VENTA]]</f>
        <v>1060</v>
      </c>
    </row>
    <row r="3774" spans="1:22" x14ac:dyDescent="0.3">
      <c r="A3774">
        <v>58201</v>
      </c>
      <c r="B3774">
        <v>1</v>
      </c>
      <c r="C3774" t="s">
        <v>90</v>
      </c>
      <c r="D3774" t="s">
        <v>91</v>
      </c>
      <c r="E3774" s="1">
        <v>44263</v>
      </c>
      <c r="F3774">
        <v>1</v>
      </c>
      <c r="G3774" t="s">
        <v>47</v>
      </c>
      <c r="H3774" t="s">
        <v>48</v>
      </c>
      <c r="I3774" s="3">
        <v>1660</v>
      </c>
      <c r="J3774" s="3">
        <v>1660</v>
      </c>
      <c r="K3774" s="3">
        <v>420</v>
      </c>
      <c r="L3774" t="s">
        <v>9</v>
      </c>
      <c r="M3774">
        <v>17</v>
      </c>
      <c r="N3774" t="s">
        <v>14</v>
      </c>
      <c r="O3774" t="s">
        <v>11</v>
      </c>
      <c r="P3774" t="s">
        <v>15</v>
      </c>
      <c r="Q3774" t="s">
        <v>16</v>
      </c>
      <c r="R3774" t="s">
        <v>16</v>
      </c>
      <c r="S3774" t="s">
        <v>144</v>
      </c>
      <c r="T3774" s="2">
        <f>MASTER[[#This Row],[CANTIDAD]]*MASTER[[#This Row],[PRECIO DE VENTA]]</f>
        <v>1660</v>
      </c>
      <c r="U3774" s="2">
        <f>MASTER[[#This Row],[CANTIDAD]]*MASTER[[#This Row],[COSTO UNITARIO]]</f>
        <v>420</v>
      </c>
      <c r="V3774" s="2">
        <f>MASTER[[#This Row],[MONTO VENDIDO]]-MASTER[[#This Row],[COSTO DE VENTA]]</f>
        <v>1240</v>
      </c>
    </row>
    <row r="3775" spans="1:22" x14ac:dyDescent="0.3">
      <c r="A3775">
        <v>58226</v>
      </c>
      <c r="B3775">
        <v>1</v>
      </c>
      <c r="C3775" t="s">
        <v>101</v>
      </c>
      <c r="D3775" t="s">
        <v>102</v>
      </c>
      <c r="E3775" s="1">
        <v>44263</v>
      </c>
      <c r="F3775">
        <v>1</v>
      </c>
      <c r="G3775" t="s">
        <v>22</v>
      </c>
      <c r="H3775" t="s">
        <v>23</v>
      </c>
      <c r="I3775" s="3">
        <v>1212</v>
      </c>
      <c r="J3775" s="3">
        <v>1212</v>
      </c>
      <c r="K3775" s="3">
        <v>442</v>
      </c>
      <c r="L3775" t="s">
        <v>98</v>
      </c>
      <c r="M3775">
        <v>4</v>
      </c>
      <c r="N3775" t="s">
        <v>82</v>
      </c>
      <c r="O3775" t="s">
        <v>81</v>
      </c>
      <c r="P3775" t="s">
        <v>71</v>
      </c>
      <c r="Q3775" t="s">
        <v>72</v>
      </c>
      <c r="R3775" t="s">
        <v>139</v>
      </c>
      <c r="S3775" t="s">
        <v>144</v>
      </c>
      <c r="T3775" s="2">
        <f>MASTER[[#This Row],[CANTIDAD]]*MASTER[[#This Row],[PRECIO DE VENTA]]</f>
        <v>1212</v>
      </c>
      <c r="U3775" s="2">
        <f>MASTER[[#This Row],[CANTIDAD]]*MASTER[[#This Row],[COSTO UNITARIO]]</f>
        <v>442</v>
      </c>
      <c r="V3775" s="2">
        <f>MASTER[[#This Row],[MONTO VENDIDO]]-MASTER[[#This Row],[COSTO DE VENTA]]</f>
        <v>770</v>
      </c>
    </row>
    <row r="3776" spans="1:22" x14ac:dyDescent="0.3">
      <c r="A3776">
        <v>58230</v>
      </c>
      <c r="B3776">
        <v>1</v>
      </c>
      <c r="C3776" t="s">
        <v>5</v>
      </c>
      <c r="D3776" t="s">
        <v>6</v>
      </c>
      <c r="E3776" s="1">
        <v>44263</v>
      </c>
      <c r="F3776">
        <v>1</v>
      </c>
      <c r="G3776" t="s">
        <v>20</v>
      </c>
      <c r="H3776" t="s">
        <v>21</v>
      </c>
      <c r="I3776" s="3">
        <v>1507</v>
      </c>
      <c r="J3776" s="3">
        <v>1507</v>
      </c>
      <c r="K3776" s="3">
        <v>393</v>
      </c>
      <c r="L3776" t="s">
        <v>9</v>
      </c>
      <c r="M3776">
        <v>5</v>
      </c>
      <c r="N3776" t="s">
        <v>85</v>
      </c>
      <c r="O3776" t="s">
        <v>81</v>
      </c>
      <c r="P3776" t="s">
        <v>12</v>
      </c>
      <c r="Q3776" t="s">
        <v>13</v>
      </c>
      <c r="R3776" t="s">
        <v>13</v>
      </c>
      <c r="S3776" t="s">
        <v>144</v>
      </c>
      <c r="T3776" s="2">
        <f>MASTER[[#This Row],[CANTIDAD]]*MASTER[[#This Row],[PRECIO DE VENTA]]</f>
        <v>1507</v>
      </c>
      <c r="U3776" s="2">
        <f>MASTER[[#This Row],[CANTIDAD]]*MASTER[[#This Row],[COSTO UNITARIO]]</f>
        <v>393</v>
      </c>
      <c r="V3776" s="2">
        <f>MASTER[[#This Row],[MONTO VENDIDO]]-MASTER[[#This Row],[COSTO DE VENTA]]</f>
        <v>1114</v>
      </c>
    </row>
    <row r="3777" spans="1:22" x14ac:dyDescent="0.3">
      <c r="A3777">
        <v>58232</v>
      </c>
      <c r="B3777">
        <v>1</v>
      </c>
      <c r="C3777" t="s">
        <v>5</v>
      </c>
      <c r="D3777" t="s">
        <v>6</v>
      </c>
      <c r="E3777" s="1">
        <v>44264</v>
      </c>
      <c r="F3777">
        <v>3</v>
      </c>
      <c r="G3777" t="s">
        <v>51</v>
      </c>
      <c r="H3777" t="s">
        <v>52</v>
      </c>
      <c r="I3777" s="3">
        <v>1296</v>
      </c>
      <c r="J3777" s="3">
        <v>1296</v>
      </c>
      <c r="K3777" s="3">
        <v>393</v>
      </c>
      <c r="L3777" t="s">
        <v>9</v>
      </c>
      <c r="M3777">
        <v>1</v>
      </c>
      <c r="N3777" t="s">
        <v>77</v>
      </c>
      <c r="O3777" t="s">
        <v>70</v>
      </c>
      <c r="P3777" t="s">
        <v>71</v>
      </c>
      <c r="Q3777" t="s">
        <v>72</v>
      </c>
      <c r="R3777" t="s">
        <v>139</v>
      </c>
      <c r="S3777" t="s">
        <v>144</v>
      </c>
      <c r="T3777" s="2">
        <f>MASTER[[#This Row],[CANTIDAD]]*MASTER[[#This Row],[PRECIO DE VENTA]]</f>
        <v>3888</v>
      </c>
      <c r="U3777" s="2">
        <f>MASTER[[#This Row],[CANTIDAD]]*MASTER[[#This Row],[COSTO UNITARIO]]</f>
        <v>1179</v>
      </c>
      <c r="V3777" s="2">
        <f>MASTER[[#This Row],[MONTO VENDIDO]]-MASTER[[#This Row],[COSTO DE VENTA]]</f>
        <v>2709</v>
      </c>
    </row>
    <row r="3778" spans="1:22" x14ac:dyDescent="0.3">
      <c r="A3778">
        <v>58237</v>
      </c>
      <c r="B3778">
        <v>1</v>
      </c>
      <c r="C3778" t="s">
        <v>5</v>
      </c>
      <c r="D3778" t="s">
        <v>6</v>
      </c>
      <c r="E3778" s="1">
        <v>44264</v>
      </c>
      <c r="F3778">
        <v>1</v>
      </c>
      <c r="G3778" t="s">
        <v>53</v>
      </c>
      <c r="H3778" t="s">
        <v>54</v>
      </c>
      <c r="I3778" s="3">
        <v>1507</v>
      </c>
      <c r="J3778" s="3">
        <v>1507</v>
      </c>
      <c r="K3778" s="3">
        <v>393</v>
      </c>
      <c r="L3778" t="s">
        <v>9</v>
      </c>
      <c r="M3778">
        <v>5</v>
      </c>
      <c r="N3778" t="s">
        <v>85</v>
      </c>
      <c r="O3778" t="s">
        <v>81</v>
      </c>
      <c r="P3778" t="s">
        <v>12</v>
      </c>
      <c r="Q3778" t="s">
        <v>13</v>
      </c>
      <c r="R3778" t="s">
        <v>13</v>
      </c>
      <c r="S3778" t="s">
        <v>144</v>
      </c>
      <c r="T3778" s="2">
        <f>MASTER[[#This Row],[CANTIDAD]]*MASTER[[#This Row],[PRECIO DE VENTA]]</f>
        <v>1507</v>
      </c>
      <c r="U3778" s="2">
        <f>MASTER[[#This Row],[CANTIDAD]]*MASTER[[#This Row],[COSTO UNITARIO]]</f>
        <v>393</v>
      </c>
      <c r="V3778" s="2">
        <f>MASTER[[#This Row],[MONTO VENDIDO]]-MASTER[[#This Row],[COSTO DE VENTA]]</f>
        <v>1114</v>
      </c>
    </row>
    <row r="3779" spans="1:22" x14ac:dyDescent="0.3">
      <c r="A3779">
        <v>58241</v>
      </c>
      <c r="B3779">
        <v>1</v>
      </c>
      <c r="C3779" t="s">
        <v>90</v>
      </c>
      <c r="D3779" t="s">
        <v>91</v>
      </c>
      <c r="E3779" s="1">
        <v>44264</v>
      </c>
      <c r="F3779">
        <v>1</v>
      </c>
      <c r="G3779" t="s">
        <v>24</v>
      </c>
      <c r="H3779" t="s">
        <v>25</v>
      </c>
      <c r="I3779" s="3">
        <v>2102</v>
      </c>
      <c r="J3779" s="3">
        <v>2102</v>
      </c>
      <c r="K3779" s="3">
        <v>420</v>
      </c>
      <c r="L3779" t="s">
        <v>9</v>
      </c>
      <c r="M3779">
        <v>9</v>
      </c>
      <c r="N3779" t="s">
        <v>76</v>
      </c>
      <c r="O3779" t="s">
        <v>70</v>
      </c>
      <c r="P3779" t="s">
        <v>12</v>
      </c>
      <c r="Q3779" t="s">
        <v>13</v>
      </c>
      <c r="R3779" t="s">
        <v>13</v>
      </c>
      <c r="S3779" t="s">
        <v>144</v>
      </c>
      <c r="T3779" s="2">
        <f>MASTER[[#This Row],[CANTIDAD]]*MASTER[[#This Row],[PRECIO DE VENTA]]</f>
        <v>2102</v>
      </c>
      <c r="U3779" s="2">
        <f>MASTER[[#This Row],[CANTIDAD]]*MASTER[[#This Row],[COSTO UNITARIO]]</f>
        <v>420</v>
      </c>
      <c r="V3779" s="2">
        <f>MASTER[[#This Row],[MONTO VENDIDO]]-MASTER[[#This Row],[COSTO DE VENTA]]</f>
        <v>1682</v>
      </c>
    </row>
    <row r="3780" spans="1:22" x14ac:dyDescent="0.3">
      <c r="A3780">
        <v>58262</v>
      </c>
      <c r="B3780">
        <v>1</v>
      </c>
      <c r="C3780" t="s">
        <v>90</v>
      </c>
      <c r="D3780" t="s">
        <v>91</v>
      </c>
      <c r="E3780" s="1">
        <v>44264</v>
      </c>
      <c r="F3780">
        <v>1</v>
      </c>
      <c r="G3780" t="s">
        <v>47</v>
      </c>
      <c r="H3780" t="s">
        <v>48</v>
      </c>
      <c r="I3780" s="3">
        <v>2102</v>
      </c>
      <c r="J3780" s="3">
        <v>2102</v>
      </c>
      <c r="K3780" s="3">
        <v>420</v>
      </c>
      <c r="L3780" t="s">
        <v>9</v>
      </c>
      <c r="M3780">
        <v>13</v>
      </c>
      <c r="N3780" t="s">
        <v>78</v>
      </c>
      <c r="O3780" t="s">
        <v>70</v>
      </c>
      <c r="P3780" t="s">
        <v>18</v>
      </c>
      <c r="Q3780" t="s">
        <v>19</v>
      </c>
      <c r="R3780" t="s">
        <v>138</v>
      </c>
      <c r="S3780" t="s">
        <v>144</v>
      </c>
      <c r="T3780" s="2">
        <f>MASTER[[#This Row],[CANTIDAD]]*MASTER[[#This Row],[PRECIO DE VENTA]]</f>
        <v>2102</v>
      </c>
      <c r="U3780" s="2">
        <f>MASTER[[#This Row],[CANTIDAD]]*MASTER[[#This Row],[COSTO UNITARIO]]</f>
        <v>420</v>
      </c>
      <c r="V3780" s="2">
        <f>MASTER[[#This Row],[MONTO VENDIDO]]-MASTER[[#This Row],[COSTO DE VENTA]]</f>
        <v>1682</v>
      </c>
    </row>
    <row r="3781" spans="1:22" x14ac:dyDescent="0.3">
      <c r="A3781">
        <v>58270</v>
      </c>
      <c r="B3781">
        <v>1</v>
      </c>
      <c r="C3781" t="s">
        <v>109</v>
      </c>
      <c r="D3781" t="s">
        <v>110</v>
      </c>
      <c r="E3781" s="1">
        <v>44264</v>
      </c>
      <c r="F3781">
        <v>1</v>
      </c>
      <c r="G3781" t="s">
        <v>57</v>
      </c>
      <c r="H3781" t="s">
        <v>58</v>
      </c>
      <c r="I3781" s="3">
        <v>1064</v>
      </c>
      <c r="J3781" s="3">
        <v>1064</v>
      </c>
      <c r="K3781" s="3">
        <v>387</v>
      </c>
      <c r="L3781" t="s">
        <v>98</v>
      </c>
      <c r="M3781">
        <v>4</v>
      </c>
      <c r="N3781" t="s">
        <v>82</v>
      </c>
      <c r="O3781" t="s">
        <v>81</v>
      </c>
      <c r="P3781" t="s">
        <v>71</v>
      </c>
      <c r="Q3781" t="s">
        <v>72</v>
      </c>
      <c r="R3781" t="s">
        <v>139</v>
      </c>
      <c r="S3781" t="s">
        <v>144</v>
      </c>
      <c r="T3781" s="2">
        <f>MASTER[[#This Row],[CANTIDAD]]*MASTER[[#This Row],[PRECIO DE VENTA]]</f>
        <v>1064</v>
      </c>
      <c r="U3781" s="2">
        <f>MASTER[[#This Row],[CANTIDAD]]*MASTER[[#This Row],[COSTO UNITARIO]]</f>
        <v>387</v>
      </c>
      <c r="V3781" s="2">
        <f>MASTER[[#This Row],[MONTO VENDIDO]]-MASTER[[#This Row],[COSTO DE VENTA]]</f>
        <v>677</v>
      </c>
    </row>
    <row r="3782" spans="1:22" x14ac:dyDescent="0.3">
      <c r="A3782">
        <v>58289</v>
      </c>
      <c r="B3782">
        <v>1</v>
      </c>
      <c r="C3782" t="s">
        <v>116</v>
      </c>
      <c r="D3782" t="s">
        <v>117</v>
      </c>
      <c r="E3782" s="1">
        <v>44264</v>
      </c>
      <c r="F3782">
        <v>1</v>
      </c>
      <c r="G3782" t="s">
        <v>20</v>
      </c>
      <c r="H3782" t="s">
        <v>21</v>
      </c>
      <c r="I3782" s="3">
        <v>1999</v>
      </c>
      <c r="J3782" s="3">
        <v>1879</v>
      </c>
      <c r="K3782" s="3">
        <v>388</v>
      </c>
      <c r="L3782" t="s">
        <v>113</v>
      </c>
      <c r="M3782">
        <v>13</v>
      </c>
      <c r="N3782" t="s">
        <v>78</v>
      </c>
      <c r="O3782" t="s">
        <v>70</v>
      </c>
      <c r="P3782" t="s">
        <v>18</v>
      </c>
      <c r="Q3782" t="s">
        <v>19</v>
      </c>
      <c r="R3782" t="s">
        <v>138</v>
      </c>
      <c r="S3782" t="s">
        <v>144</v>
      </c>
      <c r="T3782" s="2">
        <f>MASTER[[#This Row],[CANTIDAD]]*MASTER[[#This Row],[PRECIO DE VENTA]]</f>
        <v>1879</v>
      </c>
      <c r="U3782" s="2">
        <f>MASTER[[#This Row],[CANTIDAD]]*MASTER[[#This Row],[COSTO UNITARIO]]</f>
        <v>388</v>
      </c>
      <c r="V3782" s="2">
        <f>MASTER[[#This Row],[MONTO VENDIDO]]-MASTER[[#This Row],[COSTO DE VENTA]]</f>
        <v>1491</v>
      </c>
    </row>
    <row r="3783" spans="1:22" x14ac:dyDescent="0.3">
      <c r="A3783">
        <v>58312</v>
      </c>
      <c r="B3783">
        <v>1</v>
      </c>
      <c r="C3783" t="s">
        <v>99</v>
      </c>
      <c r="D3783" t="s">
        <v>100</v>
      </c>
      <c r="E3783" s="1">
        <v>44264</v>
      </c>
      <c r="F3783">
        <v>1</v>
      </c>
      <c r="G3783" t="s">
        <v>65</v>
      </c>
      <c r="H3783" t="s">
        <v>66</v>
      </c>
      <c r="I3783" s="3">
        <v>1678</v>
      </c>
      <c r="J3783" s="3">
        <v>1678</v>
      </c>
      <c r="K3783" s="3">
        <v>386</v>
      </c>
      <c r="L3783" t="s">
        <v>98</v>
      </c>
      <c r="M3783">
        <v>9</v>
      </c>
      <c r="N3783" t="s">
        <v>76</v>
      </c>
      <c r="O3783" t="s">
        <v>70</v>
      </c>
      <c r="P3783" t="s">
        <v>12</v>
      </c>
      <c r="Q3783" t="s">
        <v>13</v>
      </c>
      <c r="R3783" t="s">
        <v>13</v>
      </c>
      <c r="S3783" t="s">
        <v>144</v>
      </c>
      <c r="T3783" s="2">
        <f>MASTER[[#This Row],[CANTIDAD]]*MASTER[[#This Row],[PRECIO DE VENTA]]</f>
        <v>1678</v>
      </c>
      <c r="U3783" s="2">
        <f>MASTER[[#This Row],[CANTIDAD]]*MASTER[[#This Row],[COSTO UNITARIO]]</f>
        <v>386</v>
      </c>
      <c r="V3783" s="2">
        <f>MASTER[[#This Row],[MONTO VENDIDO]]-MASTER[[#This Row],[COSTO DE VENTA]]</f>
        <v>1292</v>
      </c>
    </row>
    <row r="3784" spans="1:22" x14ac:dyDescent="0.3">
      <c r="A3784">
        <v>58315</v>
      </c>
      <c r="B3784">
        <v>1</v>
      </c>
      <c r="C3784" t="s">
        <v>116</v>
      </c>
      <c r="D3784" t="s">
        <v>117</v>
      </c>
      <c r="E3784" s="1">
        <v>44264</v>
      </c>
      <c r="F3784">
        <v>1</v>
      </c>
      <c r="G3784" t="s">
        <v>27</v>
      </c>
      <c r="H3784" t="s">
        <v>28</v>
      </c>
      <c r="I3784" s="3">
        <v>1999</v>
      </c>
      <c r="J3784" s="3">
        <v>1999</v>
      </c>
      <c r="K3784" s="3">
        <v>388</v>
      </c>
      <c r="L3784" t="s">
        <v>113</v>
      </c>
      <c r="M3784">
        <v>13</v>
      </c>
      <c r="N3784" t="s">
        <v>78</v>
      </c>
      <c r="O3784" t="s">
        <v>70</v>
      </c>
      <c r="P3784" t="s">
        <v>18</v>
      </c>
      <c r="Q3784" t="s">
        <v>19</v>
      </c>
      <c r="R3784" t="s">
        <v>138</v>
      </c>
      <c r="S3784" t="s">
        <v>144</v>
      </c>
      <c r="T3784" s="2">
        <f>MASTER[[#This Row],[CANTIDAD]]*MASTER[[#This Row],[PRECIO DE VENTA]]</f>
        <v>1999</v>
      </c>
      <c r="U3784" s="2">
        <f>MASTER[[#This Row],[CANTIDAD]]*MASTER[[#This Row],[COSTO UNITARIO]]</f>
        <v>388</v>
      </c>
      <c r="V3784" s="2">
        <f>MASTER[[#This Row],[MONTO VENDIDO]]-MASTER[[#This Row],[COSTO DE VENTA]]</f>
        <v>1611</v>
      </c>
    </row>
    <row r="3785" spans="1:22" x14ac:dyDescent="0.3">
      <c r="A3785">
        <v>58329</v>
      </c>
      <c r="B3785">
        <v>1</v>
      </c>
      <c r="C3785" t="s">
        <v>5</v>
      </c>
      <c r="D3785" t="s">
        <v>6</v>
      </c>
      <c r="E3785" s="1">
        <v>44264</v>
      </c>
      <c r="F3785">
        <v>1</v>
      </c>
      <c r="G3785" t="s">
        <v>45</v>
      </c>
      <c r="H3785" t="s">
        <v>46</v>
      </c>
      <c r="I3785" s="3">
        <v>1311</v>
      </c>
      <c r="J3785" s="3">
        <v>1311</v>
      </c>
      <c r="K3785" s="3">
        <v>393</v>
      </c>
      <c r="L3785" t="s">
        <v>9</v>
      </c>
      <c r="M3785">
        <v>12</v>
      </c>
      <c r="N3785" t="s">
        <v>26</v>
      </c>
      <c r="O3785" t="s">
        <v>11</v>
      </c>
      <c r="P3785" t="s">
        <v>12</v>
      </c>
      <c r="Q3785" t="s">
        <v>13</v>
      </c>
      <c r="R3785" t="s">
        <v>13</v>
      </c>
      <c r="S3785" t="s">
        <v>144</v>
      </c>
      <c r="T3785" s="2">
        <f>MASTER[[#This Row],[CANTIDAD]]*MASTER[[#This Row],[PRECIO DE VENTA]]</f>
        <v>1311</v>
      </c>
      <c r="U3785" s="2">
        <f>MASTER[[#This Row],[CANTIDAD]]*MASTER[[#This Row],[COSTO UNITARIO]]</f>
        <v>393</v>
      </c>
      <c r="V3785" s="2">
        <f>MASTER[[#This Row],[MONTO VENDIDO]]-MASTER[[#This Row],[COSTO DE VENTA]]</f>
        <v>918</v>
      </c>
    </row>
    <row r="3786" spans="1:22" x14ac:dyDescent="0.3">
      <c r="A3786">
        <v>58336</v>
      </c>
      <c r="B3786">
        <v>1</v>
      </c>
      <c r="C3786" t="s">
        <v>118</v>
      </c>
      <c r="D3786" t="s">
        <v>119</v>
      </c>
      <c r="E3786" s="1">
        <v>44264</v>
      </c>
      <c r="F3786">
        <v>1</v>
      </c>
      <c r="G3786" t="s">
        <v>41</v>
      </c>
      <c r="H3786" t="s">
        <v>42</v>
      </c>
      <c r="I3786" s="3">
        <v>801</v>
      </c>
      <c r="J3786" s="3">
        <v>801</v>
      </c>
      <c r="K3786" s="3">
        <v>424</v>
      </c>
      <c r="L3786" t="s">
        <v>120</v>
      </c>
      <c r="M3786">
        <v>16</v>
      </c>
      <c r="N3786" t="s">
        <v>17</v>
      </c>
      <c r="O3786" t="s">
        <v>11</v>
      </c>
      <c r="P3786" t="s">
        <v>18</v>
      </c>
      <c r="Q3786" t="s">
        <v>19</v>
      </c>
      <c r="R3786" t="s">
        <v>138</v>
      </c>
      <c r="S3786" t="s">
        <v>144</v>
      </c>
      <c r="T3786" s="2">
        <f>MASTER[[#This Row],[CANTIDAD]]*MASTER[[#This Row],[PRECIO DE VENTA]]</f>
        <v>801</v>
      </c>
      <c r="U3786" s="2">
        <f>MASTER[[#This Row],[CANTIDAD]]*MASTER[[#This Row],[COSTO UNITARIO]]</f>
        <v>424</v>
      </c>
      <c r="V3786" s="2">
        <f>MASTER[[#This Row],[MONTO VENDIDO]]-MASTER[[#This Row],[COSTO DE VENTA]]</f>
        <v>377</v>
      </c>
    </row>
    <row r="3787" spans="1:22" x14ac:dyDescent="0.3">
      <c r="A3787">
        <v>58340</v>
      </c>
      <c r="B3787">
        <v>1</v>
      </c>
      <c r="C3787" t="s">
        <v>111</v>
      </c>
      <c r="D3787" t="s">
        <v>112</v>
      </c>
      <c r="E3787" s="1">
        <v>44264</v>
      </c>
      <c r="F3787">
        <v>1</v>
      </c>
      <c r="G3787" t="s">
        <v>53</v>
      </c>
      <c r="H3787" t="s">
        <v>54</v>
      </c>
      <c r="I3787" s="3">
        <v>1799</v>
      </c>
      <c r="J3787" s="3">
        <v>1799</v>
      </c>
      <c r="K3787" s="3">
        <v>434</v>
      </c>
      <c r="L3787" t="s">
        <v>113</v>
      </c>
      <c r="M3787">
        <v>13</v>
      </c>
      <c r="N3787" t="s">
        <v>78</v>
      </c>
      <c r="O3787" t="s">
        <v>70</v>
      </c>
      <c r="P3787" t="s">
        <v>18</v>
      </c>
      <c r="Q3787" t="s">
        <v>19</v>
      </c>
      <c r="R3787" t="s">
        <v>138</v>
      </c>
      <c r="S3787" t="s">
        <v>144</v>
      </c>
      <c r="T3787" s="2">
        <f>MASTER[[#This Row],[CANTIDAD]]*MASTER[[#This Row],[PRECIO DE VENTA]]</f>
        <v>1799</v>
      </c>
      <c r="U3787" s="2">
        <f>MASTER[[#This Row],[CANTIDAD]]*MASTER[[#This Row],[COSTO UNITARIO]]</f>
        <v>434</v>
      </c>
      <c r="V3787" s="2">
        <f>MASTER[[#This Row],[MONTO VENDIDO]]-MASTER[[#This Row],[COSTO DE VENTA]]</f>
        <v>1365</v>
      </c>
    </row>
    <row r="3788" spans="1:22" x14ac:dyDescent="0.3">
      <c r="A3788">
        <v>58341</v>
      </c>
      <c r="B3788">
        <v>1</v>
      </c>
      <c r="C3788" t="s">
        <v>5</v>
      </c>
      <c r="D3788" t="s">
        <v>6</v>
      </c>
      <c r="E3788" s="1">
        <v>44264</v>
      </c>
      <c r="F3788">
        <v>1</v>
      </c>
      <c r="G3788" t="s">
        <v>57</v>
      </c>
      <c r="H3788" t="s">
        <v>58</v>
      </c>
      <c r="I3788" s="3">
        <v>1296</v>
      </c>
      <c r="J3788" s="3">
        <v>1296</v>
      </c>
      <c r="K3788" s="3">
        <v>393</v>
      </c>
      <c r="L3788" t="s">
        <v>9</v>
      </c>
      <c r="M3788">
        <v>6</v>
      </c>
      <c r="N3788" t="s">
        <v>75</v>
      </c>
      <c r="O3788" t="s">
        <v>70</v>
      </c>
      <c r="P3788" t="s">
        <v>12</v>
      </c>
      <c r="Q3788" t="s">
        <v>13</v>
      </c>
      <c r="R3788" t="s">
        <v>13</v>
      </c>
      <c r="S3788" t="s">
        <v>144</v>
      </c>
      <c r="T3788" s="2">
        <f>MASTER[[#This Row],[CANTIDAD]]*MASTER[[#This Row],[PRECIO DE VENTA]]</f>
        <v>1296</v>
      </c>
      <c r="U3788" s="2">
        <f>MASTER[[#This Row],[CANTIDAD]]*MASTER[[#This Row],[COSTO UNITARIO]]</f>
        <v>393</v>
      </c>
      <c r="V3788" s="2">
        <f>MASTER[[#This Row],[MONTO VENDIDO]]-MASTER[[#This Row],[COSTO DE VENTA]]</f>
        <v>903</v>
      </c>
    </row>
    <row r="3789" spans="1:22" x14ac:dyDescent="0.3">
      <c r="A3789">
        <v>58346</v>
      </c>
      <c r="B3789">
        <v>1</v>
      </c>
      <c r="C3789" t="s">
        <v>107</v>
      </c>
      <c r="D3789" t="s">
        <v>108</v>
      </c>
      <c r="E3789" s="1">
        <v>44264</v>
      </c>
      <c r="F3789">
        <v>4</v>
      </c>
      <c r="G3789" t="s">
        <v>49</v>
      </c>
      <c r="H3789" t="s">
        <v>50</v>
      </c>
      <c r="I3789" s="3">
        <v>1333</v>
      </c>
      <c r="J3789" s="3">
        <v>1239</v>
      </c>
      <c r="K3789" s="3">
        <v>380</v>
      </c>
      <c r="L3789" t="s">
        <v>98</v>
      </c>
      <c r="M3789">
        <v>10</v>
      </c>
      <c r="N3789" t="s">
        <v>83</v>
      </c>
      <c r="O3789" t="s">
        <v>81</v>
      </c>
      <c r="P3789" t="s">
        <v>12</v>
      </c>
      <c r="Q3789" t="s">
        <v>13</v>
      </c>
      <c r="R3789" t="s">
        <v>13</v>
      </c>
      <c r="S3789" t="s">
        <v>144</v>
      </c>
      <c r="T3789" s="2">
        <f>MASTER[[#This Row],[CANTIDAD]]*MASTER[[#This Row],[PRECIO DE VENTA]]</f>
        <v>4956</v>
      </c>
      <c r="U3789" s="2">
        <f>MASTER[[#This Row],[CANTIDAD]]*MASTER[[#This Row],[COSTO UNITARIO]]</f>
        <v>1520</v>
      </c>
      <c r="V3789" s="2">
        <f>MASTER[[#This Row],[MONTO VENDIDO]]-MASTER[[#This Row],[COSTO DE VENTA]]</f>
        <v>3436</v>
      </c>
    </row>
    <row r="3790" spans="1:22" x14ac:dyDescent="0.3">
      <c r="A3790">
        <v>58361</v>
      </c>
      <c r="B3790">
        <v>1</v>
      </c>
      <c r="C3790" t="s">
        <v>90</v>
      </c>
      <c r="D3790" t="s">
        <v>91</v>
      </c>
      <c r="E3790" s="1">
        <v>44264</v>
      </c>
      <c r="F3790">
        <v>1</v>
      </c>
      <c r="G3790" t="s">
        <v>35</v>
      </c>
      <c r="H3790" t="s">
        <v>36</v>
      </c>
      <c r="I3790" s="3">
        <v>2102</v>
      </c>
      <c r="J3790" s="3">
        <v>2102</v>
      </c>
      <c r="K3790" s="3">
        <v>420</v>
      </c>
      <c r="L3790" t="s">
        <v>9</v>
      </c>
      <c r="M3790">
        <v>13</v>
      </c>
      <c r="N3790" t="s">
        <v>78</v>
      </c>
      <c r="O3790" t="s">
        <v>70</v>
      </c>
      <c r="P3790" t="s">
        <v>18</v>
      </c>
      <c r="Q3790" t="s">
        <v>19</v>
      </c>
      <c r="R3790" t="s">
        <v>138</v>
      </c>
      <c r="S3790" t="s">
        <v>144</v>
      </c>
      <c r="T3790" s="2">
        <f>MASTER[[#This Row],[CANTIDAD]]*MASTER[[#This Row],[PRECIO DE VENTA]]</f>
        <v>2102</v>
      </c>
      <c r="U3790" s="2">
        <f>MASTER[[#This Row],[CANTIDAD]]*MASTER[[#This Row],[COSTO UNITARIO]]</f>
        <v>420</v>
      </c>
      <c r="V3790" s="2">
        <f>MASTER[[#This Row],[MONTO VENDIDO]]-MASTER[[#This Row],[COSTO DE VENTA]]</f>
        <v>1682</v>
      </c>
    </row>
    <row r="3791" spans="1:22" x14ac:dyDescent="0.3">
      <c r="A3791">
        <v>58380</v>
      </c>
      <c r="B3791">
        <v>1</v>
      </c>
      <c r="C3791" t="s">
        <v>90</v>
      </c>
      <c r="D3791" t="s">
        <v>91</v>
      </c>
      <c r="E3791" s="1">
        <v>44264</v>
      </c>
      <c r="F3791">
        <v>1</v>
      </c>
      <c r="G3791" t="s">
        <v>47</v>
      </c>
      <c r="H3791" t="s">
        <v>48</v>
      </c>
      <c r="I3791" s="3">
        <v>2102</v>
      </c>
      <c r="J3791" s="3">
        <v>2102</v>
      </c>
      <c r="K3791" s="3">
        <v>420</v>
      </c>
      <c r="L3791" t="s">
        <v>9</v>
      </c>
      <c r="M3791">
        <v>3</v>
      </c>
      <c r="N3791" t="s">
        <v>69</v>
      </c>
      <c r="O3791" t="s">
        <v>70</v>
      </c>
      <c r="P3791" t="s">
        <v>71</v>
      </c>
      <c r="Q3791" t="s">
        <v>72</v>
      </c>
      <c r="R3791" t="s">
        <v>139</v>
      </c>
      <c r="S3791" t="s">
        <v>144</v>
      </c>
      <c r="T3791" s="2">
        <f>MASTER[[#This Row],[CANTIDAD]]*MASTER[[#This Row],[PRECIO DE VENTA]]</f>
        <v>2102</v>
      </c>
      <c r="U3791" s="2">
        <f>MASTER[[#This Row],[CANTIDAD]]*MASTER[[#This Row],[COSTO UNITARIO]]</f>
        <v>420</v>
      </c>
      <c r="V3791" s="2">
        <f>MASTER[[#This Row],[MONTO VENDIDO]]-MASTER[[#This Row],[COSTO DE VENTA]]</f>
        <v>1682</v>
      </c>
    </row>
    <row r="3792" spans="1:22" x14ac:dyDescent="0.3">
      <c r="A3792">
        <v>58383</v>
      </c>
      <c r="B3792">
        <v>1</v>
      </c>
      <c r="C3792" t="s">
        <v>103</v>
      </c>
      <c r="D3792" t="s">
        <v>104</v>
      </c>
      <c r="E3792" s="1">
        <v>44264</v>
      </c>
      <c r="F3792">
        <v>1</v>
      </c>
      <c r="G3792" t="s">
        <v>29</v>
      </c>
      <c r="H3792" t="s">
        <v>30</v>
      </c>
      <c r="I3792" s="3">
        <v>1591</v>
      </c>
      <c r="J3792" s="3">
        <v>1591</v>
      </c>
      <c r="K3792" s="3">
        <v>421</v>
      </c>
      <c r="L3792" t="s">
        <v>98</v>
      </c>
      <c r="M3792">
        <v>7</v>
      </c>
      <c r="N3792" t="s">
        <v>84</v>
      </c>
      <c r="O3792" t="s">
        <v>81</v>
      </c>
      <c r="P3792" t="s">
        <v>12</v>
      </c>
      <c r="Q3792" t="s">
        <v>13</v>
      </c>
      <c r="R3792" t="s">
        <v>13</v>
      </c>
      <c r="S3792" t="s">
        <v>144</v>
      </c>
      <c r="T3792" s="2">
        <f>MASTER[[#This Row],[CANTIDAD]]*MASTER[[#This Row],[PRECIO DE VENTA]]</f>
        <v>1591</v>
      </c>
      <c r="U3792" s="2">
        <f>MASTER[[#This Row],[CANTIDAD]]*MASTER[[#This Row],[COSTO UNITARIO]]</f>
        <v>421</v>
      </c>
      <c r="V3792" s="2">
        <f>MASTER[[#This Row],[MONTO VENDIDO]]-MASTER[[#This Row],[COSTO DE VENTA]]</f>
        <v>1170</v>
      </c>
    </row>
    <row r="3793" spans="1:22" x14ac:dyDescent="0.3">
      <c r="A3793">
        <v>58402</v>
      </c>
      <c r="B3793">
        <v>1</v>
      </c>
      <c r="C3793" t="s">
        <v>101</v>
      </c>
      <c r="D3793" t="s">
        <v>102</v>
      </c>
      <c r="E3793" s="1">
        <v>44265</v>
      </c>
      <c r="F3793">
        <v>1</v>
      </c>
      <c r="G3793" t="s">
        <v>43</v>
      </c>
      <c r="H3793" t="s">
        <v>44</v>
      </c>
      <c r="I3793" s="3">
        <v>1212</v>
      </c>
      <c r="J3793" s="3">
        <v>1212</v>
      </c>
      <c r="K3793" s="3">
        <v>442</v>
      </c>
      <c r="L3793" t="s">
        <v>98</v>
      </c>
      <c r="M3793">
        <v>10</v>
      </c>
      <c r="N3793" t="s">
        <v>83</v>
      </c>
      <c r="O3793" t="s">
        <v>81</v>
      </c>
      <c r="P3793" t="s">
        <v>12</v>
      </c>
      <c r="Q3793" t="s">
        <v>13</v>
      </c>
      <c r="R3793" t="s">
        <v>13</v>
      </c>
      <c r="S3793" t="s">
        <v>144</v>
      </c>
      <c r="T3793" s="2">
        <f>MASTER[[#This Row],[CANTIDAD]]*MASTER[[#This Row],[PRECIO DE VENTA]]</f>
        <v>1212</v>
      </c>
      <c r="U3793" s="2">
        <f>MASTER[[#This Row],[CANTIDAD]]*MASTER[[#This Row],[COSTO UNITARIO]]</f>
        <v>442</v>
      </c>
      <c r="V3793" s="2">
        <f>MASTER[[#This Row],[MONTO VENDIDO]]-MASTER[[#This Row],[COSTO DE VENTA]]</f>
        <v>770</v>
      </c>
    </row>
    <row r="3794" spans="1:22" x14ac:dyDescent="0.3">
      <c r="A3794">
        <v>58407</v>
      </c>
      <c r="B3794">
        <v>1</v>
      </c>
      <c r="C3794" t="s">
        <v>107</v>
      </c>
      <c r="D3794" t="s">
        <v>108</v>
      </c>
      <c r="E3794" s="1">
        <v>44265</v>
      </c>
      <c r="F3794">
        <v>1</v>
      </c>
      <c r="G3794" t="s">
        <v>47</v>
      </c>
      <c r="H3794" t="s">
        <v>48</v>
      </c>
      <c r="I3794" s="3">
        <v>1240</v>
      </c>
      <c r="J3794" s="3">
        <v>1240</v>
      </c>
      <c r="K3794" s="3">
        <v>380</v>
      </c>
      <c r="L3794" t="s">
        <v>98</v>
      </c>
      <c r="M3794">
        <v>11</v>
      </c>
      <c r="N3794" t="s">
        <v>10</v>
      </c>
      <c r="O3794" t="s">
        <v>11</v>
      </c>
      <c r="P3794" t="s">
        <v>12</v>
      </c>
      <c r="Q3794" t="s">
        <v>13</v>
      </c>
      <c r="R3794" t="s">
        <v>13</v>
      </c>
      <c r="S3794" t="s">
        <v>144</v>
      </c>
      <c r="T3794" s="2">
        <f>MASTER[[#This Row],[CANTIDAD]]*MASTER[[#This Row],[PRECIO DE VENTA]]</f>
        <v>1240</v>
      </c>
      <c r="U3794" s="2">
        <f>MASTER[[#This Row],[CANTIDAD]]*MASTER[[#This Row],[COSTO UNITARIO]]</f>
        <v>380</v>
      </c>
      <c r="V3794" s="2">
        <f>MASTER[[#This Row],[MONTO VENDIDO]]-MASTER[[#This Row],[COSTO DE VENTA]]</f>
        <v>860</v>
      </c>
    </row>
    <row r="3795" spans="1:22" x14ac:dyDescent="0.3">
      <c r="A3795">
        <v>58408</v>
      </c>
      <c r="B3795">
        <v>1</v>
      </c>
      <c r="C3795" t="s">
        <v>116</v>
      </c>
      <c r="D3795" t="s">
        <v>117</v>
      </c>
      <c r="E3795" s="1">
        <v>44265</v>
      </c>
      <c r="F3795">
        <v>1</v>
      </c>
      <c r="G3795" t="s">
        <v>27</v>
      </c>
      <c r="H3795" t="s">
        <v>28</v>
      </c>
      <c r="I3795" s="3">
        <v>1738</v>
      </c>
      <c r="J3795" s="3">
        <v>1738</v>
      </c>
      <c r="K3795" s="3">
        <v>388</v>
      </c>
      <c r="L3795" t="s">
        <v>113</v>
      </c>
      <c r="M3795">
        <v>8</v>
      </c>
      <c r="N3795" t="s">
        <v>80</v>
      </c>
      <c r="O3795" t="s">
        <v>81</v>
      </c>
      <c r="P3795" t="s">
        <v>12</v>
      </c>
      <c r="Q3795" t="s">
        <v>13</v>
      </c>
      <c r="R3795" t="s">
        <v>13</v>
      </c>
      <c r="S3795" t="s">
        <v>144</v>
      </c>
      <c r="T3795" s="2">
        <f>MASTER[[#This Row],[CANTIDAD]]*MASTER[[#This Row],[PRECIO DE VENTA]]</f>
        <v>1738</v>
      </c>
      <c r="U3795" s="2">
        <f>MASTER[[#This Row],[CANTIDAD]]*MASTER[[#This Row],[COSTO UNITARIO]]</f>
        <v>388</v>
      </c>
      <c r="V3795" s="2">
        <f>MASTER[[#This Row],[MONTO VENDIDO]]-MASTER[[#This Row],[COSTO DE VENTA]]</f>
        <v>1350</v>
      </c>
    </row>
    <row r="3796" spans="1:22" x14ac:dyDescent="0.3">
      <c r="A3796">
        <v>58416</v>
      </c>
      <c r="B3796">
        <v>1</v>
      </c>
      <c r="C3796" t="s">
        <v>118</v>
      </c>
      <c r="D3796" t="s">
        <v>119</v>
      </c>
      <c r="E3796" s="1">
        <v>44265</v>
      </c>
      <c r="F3796">
        <v>1</v>
      </c>
      <c r="G3796" t="s">
        <v>45</v>
      </c>
      <c r="H3796" t="s">
        <v>46</v>
      </c>
      <c r="I3796" s="3">
        <v>801</v>
      </c>
      <c r="J3796" s="3">
        <v>801</v>
      </c>
      <c r="K3796" s="3">
        <v>424</v>
      </c>
      <c r="L3796" t="s">
        <v>120</v>
      </c>
      <c r="M3796">
        <v>12</v>
      </c>
      <c r="N3796" t="s">
        <v>26</v>
      </c>
      <c r="O3796" t="s">
        <v>11</v>
      </c>
      <c r="P3796" t="s">
        <v>12</v>
      </c>
      <c r="Q3796" t="s">
        <v>13</v>
      </c>
      <c r="R3796" t="s">
        <v>13</v>
      </c>
      <c r="S3796" t="s">
        <v>144</v>
      </c>
      <c r="T3796" s="2">
        <f>MASTER[[#This Row],[CANTIDAD]]*MASTER[[#This Row],[PRECIO DE VENTA]]</f>
        <v>801</v>
      </c>
      <c r="U3796" s="2">
        <f>MASTER[[#This Row],[CANTIDAD]]*MASTER[[#This Row],[COSTO UNITARIO]]</f>
        <v>424</v>
      </c>
      <c r="V3796" s="2">
        <f>MASTER[[#This Row],[MONTO VENDIDO]]-MASTER[[#This Row],[COSTO DE VENTA]]</f>
        <v>377</v>
      </c>
    </row>
    <row r="3797" spans="1:22" x14ac:dyDescent="0.3">
      <c r="A3797">
        <v>58445</v>
      </c>
      <c r="B3797">
        <v>1</v>
      </c>
      <c r="C3797" t="s">
        <v>99</v>
      </c>
      <c r="D3797" t="s">
        <v>100</v>
      </c>
      <c r="E3797" s="1">
        <v>44265</v>
      </c>
      <c r="F3797">
        <v>1</v>
      </c>
      <c r="G3797" t="s">
        <v>45</v>
      </c>
      <c r="H3797" t="s">
        <v>46</v>
      </c>
      <c r="I3797" s="3">
        <v>1678</v>
      </c>
      <c r="J3797" s="3">
        <v>1678</v>
      </c>
      <c r="K3797" s="3">
        <v>386</v>
      </c>
      <c r="L3797" t="s">
        <v>98</v>
      </c>
      <c r="M3797">
        <v>9</v>
      </c>
      <c r="N3797" t="s">
        <v>76</v>
      </c>
      <c r="O3797" t="s">
        <v>70</v>
      </c>
      <c r="P3797" t="s">
        <v>12</v>
      </c>
      <c r="Q3797" t="s">
        <v>13</v>
      </c>
      <c r="R3797" t="s">
        <v>13</v>
      </c>
      <c r="S3797" t="s">
        <v>144</v>
      </c>
      <c r="T3797" s="2">
        <f>MASTER[[#This Row],[CANTIDAD]]*MASTER[[#This Row],[PRECIO DE VENTA]]</f>
        <v>1678</v>
      </c>
      <c r="U3797" s="2">
        <f>MASTER[[#This Row],[CANTIDAD]]*MASTER[[#This Row],[COSTO UNITARIO]]</f>
        <v>386</v>
      </c>
      <c r="V3797" s="2">
        <f>MASTER[[#This Row],[MONTO VENDIDO]]-MASTER[[#This Row],[COSTO DE VENTA]]</f>
        <v>1292</v>
      </c>
    </row>
    <row r="3798" spans="1:22" x14ac:dyDescent="0.3">
      <c r="A3798">
        <v>58454</v>
      </c>
      <c r="B3798">
        <v>1</v>
      </c>
      <c r="C3798" t="s">
        <v>96</v>
      </c>
      <c r="D3798" t="s">
        <v>97</v>
      </c>
      <c r="E3798" s="1">
        <v>44265</v>
      </c>
      <c r="F3798">
        <v>1</v>
      </c>
      <c r="G3798" t="s">
        <v>35</v>
      </c>
      <c r="H3798" t="s">
        <v>36</v>
      </c>
      <c r="I3798" s="3">
        <v>1361</v>
      </c>
      <c r="J3798" s="3">
        <v>1361</v>
      </c>
      <c r="K3798" s="3">
        <v>397</v>
      </c>
      <c r="L3798" t="s">
        <v>98</v>
      </c>
      <c r="M3798">
        <v>6</v>
      </c>
      <c r="N3798" t="s">
        <v>75</v>
      </c>
      <c r="O3798" t="s">
        <v>70</v>
      </c>
      <c r="P3798" t="s">
        <v>12</v>
      </c>
      <c r="Q3798" t="s">
        <v>13</v>
      </c>
      <c r="R3798" t="s">
        <v>13</v>
      </c>
      <c r="S3798" t="s">
        <v>144</v>
      </c>
      <c r="T3798" s="2">
        <f>MASTER[[#This Row],[CANTIDAD]]*MASTER[[#This Row],[PRECIO DE VENTA]]</f>
        <v>1361</v>
      </c>
      <c r="U3798" s="2">
        <f>MASTER[[#This Row],[CANTIDAD]]*MASTER[[#This Row],[COSTO UNITARIO]]</f>
        <v>397</v>
      </c>
      <c r="V3798" s="2">
        <f>MASTER[[#This Row],[MONTO VENDIDO]]-MASTER[[#This Row],[COSTO DE VENTA]]</f>
        <v>964</v>
      </c>
    </row>
    <row r="3799" spans="1:22" x14ac:dyDescent="0.3">
      <c r="A3799">
        <v>58455</v>
      </c>
      <c r="B3799">
        <v>1</v>
      </c>
      <c r="C3799" t="s">
        <v>107</v>
      </c>
      <c r="D3799" t="s">
        <v>108</v>
      </c>
      <c r="E3799" s="1">
        <v>44265</v>
      </c>
      <c r="F3799">
        <v>1</v>
      </c>
      <c r="G3799" t="s">
        <v>59</v>
      </c>
      <c r="H3799" t="s">
        <v>60</v>
      </c>
      <c r="I3799" s="3">
        <v>1333</v>
      </c>
      <c r="J3799" s="3">
        <v>1239</v>
      </c>
      <c r="K3799" s="3">
        <v>380</v>
      </c>
      <c r="L3799" t="s">
        <v>98</v>
      </c>
      <c r="M3799">
        <v>10</v>
      </c>
      <c r="N3799" t="s">
        <v>83</v>
      </c>
      <c r="O3799" t="s">
        <v>81</v>
      </c>
      <c r="P3799" t="s">
        <v>12</v>
      </c>
      <c r="Q3799" t="s">
        <v>13</v>
      </c>
      <c r="R3799" t="s">
        <v>13</v>
      </c>
      <c r="S3799" t="s">
        <v>144</v>
      </c>
      <c r="T3799" s="2">
        <f>MASTER[[#This Row],[CANTIDAD]]*MASTER[[#This Row],[PRECIO DE VENTA]]</f>
        <v>1239</v>
      </c>
      <c r="U3799" s="2">
        <f>MASTER[[#This Row],[CANTIDAD]]*MASTER[[#This Row],[COSTO UNITARIO]]</f>
        <v>380</v>
      </c>
      <c r="V3799" s="2">
        <f>MASTER[[#This Row],[MONTO VENDIDO]]-MASTER[[#This Row],[COSTO DE VENTA]]</f>
        <v>859</v>
      </c>
    </row>
    <row r="3800" spans="1:22" x14ac:dyDescent="0.3">
      <c r="A3800">
        <v>58458</v>
      </c>
      <c r="B3800">
        <v>1</v>
      </c>
      <c r="C3800" t="s">
        <v>96</v>
      </c>
      <c r="D3800" t="s">
        <v>97</v>
      </c>
      <c r="E3800" s="1">
        <v>44265</v>
      </c>
      <c r="F3800">
        <v>1</v>
      </c>
      <c r="G3800" t="s">
        <v>20</v>
      </c>
      <c r="H3800" t="s">
        <v>21</v>
      </c>
      <c r="I3800" s="3">
        <v>1196</v>
      </c>
      <c r="J3800" s="3">
        <v>1196</v>
      </c>
      <c r="K3800" s="3">
        <v>397</v>
      </c>
      <c r="L3800" t="s">
        <v>98</v>
      </c>
      <c r="M3800">
        <v>17</v>
      </c>
      <c r="N3800" t="s">
        <v>14</v>
      </c>
      <c r="O3800" t="s">
        <v>11</v>
      </c>
      <c r="P3800" t="s">
        <v>15</v>
      </c>
      <c r="Q3800" t="s">
        <v>16</v>
      </c>
      <c r="R3800" t="s">
        <v>16</v>
      </c>
      <c r="S3800" t="s">
        <v>144</v>
      </c>
      <c r="T3800" s="2">
        <f>MASTER[[#This Row],[CANTIDAD]]*MASTER[[#This Row],[PRECIO DE VENTA]]</f>
        <v>1196</v>
      </c>
      <c r="U3800" s="2">
        <f>MASTER[[#This Row],[CANTIDAD]]*MASTER[[#This Row],[COSTO UNITARIO]]</f>
        <v>397</v>
      </c>
      <c r="V3800" s="2">
        <f>MASTER[[#This Row],[MONTO VENDIDO]]-MASTER[[#This Row],[COSTO DE VENTA]]</f>
        <v>799</v>
      </c>
    </row>
    <row r="3801" spans="1:22" x14ac:dyDescent="0.3">
      <c r="A3801">
        <v>58466</v>
      </c>
      <c r="B3801">
        <v>1</v>
      </c>
      <c r="C3801" t="s">
        <v>101</v>
      </c>
      <c r="D3801" t="s">
        <v>102</v>
      </c>
      <c r="E3801" s="1">
        <v>44265</v>
      </c>
      <c r="F3801">
        <v>1</v>
      </c>
      <c r="G3801" t="s">
        <v>57</v>
      </c>
      <c r="H3801" t="s">
        <v>58</v>
      </c>
      <c r="I3801" s="3">
        <v>1212</v>
      </c>
      <c r="J3801" s="3">
        <v>1212</v>
      </c>
      <c r="K3801" s="3">
        <v>442</v>
      </c>
      <c r="L3801" t="s">
        <v>98</v>
      </c>
      <c r="M3801">
        <v>15</v>
      </c>
      <c r="N3801" t="s">
        <v>88</v>
      </c>
      <c r="O3801" t="s">
        <v>81</v>
      </c>
      <c r="P3801" t="s">
        <v>18</v>
      </c>
      <c r="Q3801" t="s">
        <v>19</v>
      </c>
      <c r="R3801" t="s">
        <v>138</v>
      </c>
      <c r="S3801" t="s">
        <v>144</v>
      </c>
      <c r="T3801" s="2">
        <f>MASTER[[#This Row],[CANTIDAD]]*MASTER[[#This Row],[PRECIO DE VENTA]]</f>
        <v>1212</v>
      </c>
      <c r="U3801" s="2">
        <f>MASTER[[#This Row],[CANTIDAD]]*MASTER[[#This Row],[COSTO UNITARIO]]</f>
        <v>442</v>
      </c>
      <c r="V3801" s="2">
        <f>MASTER[[#This Row],[MONTO VENDIDO]]-MASTER[[#This Row],[COSTO DE VENTA]]</f>
        <v>770</v>
      </c>
    </row>
    <row r="3802" spans="1:22" x14ac:dyDescent="0.3">
      <c r="A3802">
        <v>58469</v>
      </c>
      <c r="B3802">
        <v>1</v>
      </c>
      <c r="C3802" t="s">
        <v>114</v>
      </c>
      <c r="D3802" t="s">
        <v>115</v>
      </c>
      <c r="E3802" s="1">
        <v>44265</v>
      </c>
      <c r="F3802">
        <v>1</v>
      </c>
      <c r="G3802" t="s">
        <v>49</v>
      </c>
      <c r="H3802" t="s">
        <v>50</v>
      </c>
      <c r="I3802" s="3">
        <v>1583</v>
      </c>
      <c r="J3802" s="3">
        <v>1583</v>
      </c>
      <c r="K3802" s="3">
        <v>394</v>
      </c>
      <c r="L3802" t="s">
        <v>113</v>
      </c>
      <c r="M3802">
        <v>17</v>
      </c>
      <c r="N3802" t="s">
        <v>14</v>
      </c>
      <c r="O3802" t="s">
        <v>11</v>
      </c>
      <c r="P3802" t="s">
        <v>15</v>
      </c>
      <c r="Q3802" t="s">
        <v>16</v>
      </c>
      <c r="R3802" t="s">
        <v>16</v>
      </c>
      <c r="S3802" t="s">
        <v>144</v>
      </c>
      <c r="T3802" s="2">
        <f>MASTER[[#This Row],[CANTIDAD]]*MASTER[[#This Row],[PRECIO DE VENTA]]</f>
        <v>1583</v>
      </c>
      <c r="U3802" s="2">
        <f>MASTER[[#This Row],[CANTIDAD]]*MASTER[[#This Row],[COSTO UNITARIO]]</f>
        <v>394</v>
      </c>
      <c r="V3802" s="2">
        <f>MASTER[[#This Row],[MONTO VENDIDO]]-MASTER[[#This Row],[COSTO DE VENTA]]</f>
        <v>1189</v>
      </c>
    </row>
    <row r="3803" spans="1:22" x14ac:dyDescent="0.3">
      <c r="A3803">
        <v>58473</v>
      </c>
      <c r="B3803">
        <v>1</v>
      </c>
      <c r="C3803" t="s">
        <v>109</v>
      </c>
      <c r="D3803" t="s">
        <v>110</v>
      </c>
      <c r="E3803" s="1">
        <v>44265</v>
      </c>
      <c r="F3803">
        <v>1</v>
      </c>
      <c r="G3803" t="s">
        <v>61</v>
      </c>
      <c r="H3803" t="s">
        <v>62</v>
      </c>
      <c r="I3803" s="3">
        <v>1064</v>
      </c>
      <c r="J3803" s="3">
        <v>1064</v>
      </c>
      <c r="K3803" s="3">
        <v>387</v>
      </c>
      <c r="L3803" t="s">
        <v>98</v>
      </c>
      <c r="M3803">
        <v>5</v>
      </c>
      <c r="N3803" t="s">
        <v>85</v>
      </c>
      <c r="O3803" t="s">
        <v>81</v>
      </c>
      <c r="P3803" t="s">
        <v>12</v>
      </c>
      <c r="Q3803" t="s">
        <v>13</v>
      </c>
      <c r="R3803" t="s">
        <v>13</v>
      </c>
      <c r="S3803" t="s">
        <v>144</v>
      </c>
      <c r="T3803" s="2">
        <f>MASTER[[#This Row],[CANTIDAD]]*MASTER[[#This Row],[PRECIO DE VENTA]]</f>
        <v>1064</v>
      </c>
      <c r="U3803" s="2">
        <f>MASTER[[#This Row],[CANTIDAD]]*MASTER[[#This Row],[COSTO UNITARIO]]</f>
        <v>387</v>
      </c>
      <c r="V3803" s="2">
        <f>MASTER[[#This Row],[MONTO VENDIDO]]-MASTER[[#This Row],[COSTO DE VENTA]]</f>
        <v>677</v>
      </c>
    </row>
    <row r="3804" spans="1:22" x14ac:dyDescent="0.3">
      <c r="A3804">
        <v>58475</v>
      </c>
      <c r="B3804">
        <v>1</v>
      </c>
      <c r="C3804" t="s">
        <v>96</v>
      </c>
      <c r="D3804" t="s">
        <v>97</v>
      </c>
      <c r="E3804" s="1">
        <v>44265</v>
      </c>
      <c r="F3804">
        <v>1</v>
      </c>
      <c r="G3804" t="s">
        <v>45</v>
      </c>
      <c r="H3804" t="s">
        <v>46</v>
      </c>
      <c r="I3804" s="3">
        <v>1272</v>
      </c>
      <c r="J3804" s="3">
        <v>1272</v>
      </c>
      <c r="K3804" s="3">
        <v>397</v>
      </c>
      <c r="L3804" t="s">
        <v>98</v>
      </c>
      <c r="M3804">
        <v>2</v>
      </c>
      <c r="N3804" t="s">
        <v>86</v>
      </c>
      <c r="O3804" t="s">
        <v>81</v>
      </c>
      <c r="P3804" t="s">
        <v>71</v>
      </c>
      <c r="Q3804" t="s">
        <v>72</v>
      </c>
      <c r="R3804" t="s">
        <v>139</v>
      </c>
      <c r="S3804" t="s">
        <v>144</v>
      </c>
      <c r="T3804" s="2">
        <f>MASTER[[#This Row],[CANTIDAD]]*MASTER[[#This Row],[PRECIO DE VENTA]]</f>
        <v>1272</v>
      </c>
      <c r="U3804" s="2">
        <f>MASTER[[#This Row],[CANTIDAD]]*MASTER[[#This Row],[COSTO UNITARIO]]</f>
        <v>397</v>
      </c>
      <c r="V3804" s="2">
        <f>MASTER[[#This Row],[MONTO VENDIDO]]-MASTER[[#This Row],[COSTO DE VENTA]]</f>
        <v>875</v>
      </c>
    </row>
    <row r="3805" spans="1:22" x14ac:dyDescent="0.3">
      <c r="A3805">
        <v>58475</v>
      </c>
      <c r="B3805">
        <v>2</v>
      </c>
      <c r="C3805" t="s">
        <v>101</v>
      </c>
      <c r="D3805" t="s">
        <v>102</v>
      </c>
      <c r="E3805" s="1">
        <v>44265</v>
      </c>
      <c r="F3805">
        <v>1</v>
      </c>
      <c r="G3805" t="s">
        <v>57</v>
      </c>
      <c r="H3805" t="s">
        <v>58</v>
      </c>
      <c r="I3805" s="3">
        <v>1212</v>
      </c>
      <c r="J3805" s="3">
        <v>1212</v>
      </c>
      <c r="K3805" s="3">
        <v>442</v>
      </c>
      <c r="L3805" t="s">
        <v>98</v>
      </c>
      <c r="M3805">
        <v>2</v>
      </c>
      <c r="N3805" t="s">
        <v>86</v>
      </c>
      <c r="O3805" t="s">
        <v>81</v>
      </c>
      <c r="P3805" t="s">
        <v>71</v>
      </c>
      <c r="Q3805" t="s">
        <v>72</v>
      </c>
      <c r="R3805" t="s">
        <v>139</v>
      </c>
      <c r="S3805" t="s">
        <v>144</v>
      </c>
      <c r="T3805" s="2">
        <f>MASTER[[#This Row],[CANTIDAD]]*MASTER[[#This Row],[PRECIO DE VENTA]]</f>
        <v>1212</v>
      </c>
      <c r="U3805" s="2">
        <f>MASTER[[#This Row],[CANTIDAD]]*MASTER[[#This Row],[COSTO UNITARIO]]</f>
        <v>442</v>
      </c>
      <c r="V3805" s="2">
        <f>MASTER[[#This Row],[MONTO VENDIDO]]-MASTER[[#This Row],[COSTO DE VENTA]]</f>
        <v>770</v>
      </c>
    </row>
    <row r="3806" spans="1:22" x14ac:dyDescent="0.3">
      <c r="A3806">
        <v>58506</v>
      </c>
      <c r="B3806">
        <v>1</v>
      </c>
      <c r="C3806" t="s">
        <v>107</v>
      </c>
      <c r="D3806" t="s">
        <v>108</v>
      </c>
      <c r="E3806" s="1">
        <v>44266</v>
      </c>
      <c r="F3806">
        <v>1</v>
      </c>
      <c r="G3806" t="s">
        <v>73</v>
      </c>
      <c r="H3806" t="s">
        <v>74</v>
      </c>
      <c r="I3806" s="3">
        <v>1333</v>
      </c>
      <c r="J3806" s="3">
        <v>1333</v>
      </c>
      <c r="K3806" s="3">
        <v>380</v>
      </c>
      <c r="L3806" t="s">
        <v>98</v>
      </c>
      <c r="M3806">
        <v>4</v>
      </c>
      <c r="N3806" t="s">
        <v>82</v>
      </c>
      <c r="O3806" t="s">
        <v>81</v>
      </c>
      <c r="P3806" t="s">
        <v>71</v>
      </c>
      <c r="Q3806" t="s">
        <v>72</v>
      </c>
      <c r="R3806" t="s">
        <v>139</v>
      </c>
      <c r="S3806" t="s">
        <v>144</v>
      </c>
      <c r="T3806" s="2">
        <f>MASTER[[#This Row],[CANTIDAD]]*MASTER[[#This Row],[PRECIO DE VENTA]]</f>
        <v>1333</v>
      </c>
      <c r="U3806" s="2">
        <f>MASTER[[#This Row],[CANTIDAD]]*MASTER[[#This Row],[COSTO UNITARIO]]</f>
        <v>380</v>
      </c>
      <c r="V3806" s="2">
        <f>MASTER[[#This Row],[MONTO VENDIDO]]-MASTER[[#This Row],[COSTO DE VENTA]]</f>
        <v>953</v>
      </c>
    </row>
    <row r="3807" spans="1:22" x14ac:dyDescent="0.3">
      <c r="A3807">
        <v>58514</v>
      </c>
      <c r="B3807">
        <v>1</v>
      </c>
      <c r="C3807" t="s">
        <v>94</v>
      </c>
      <c r="D3807" t="s">
        <v>95</v>
      </c>
      <c r="E3807" s="1">
        <v>44266</v>
      </c>
      <c r="F3807">
        <v>1</v>
      </c>
      <c r="G3807" t="s">
        <v>59</v>
      </c>
      <c r="H3807" t="s">
        <v>60</v>
      </c>
      <c r="I3807" s="3">
        <v>1048</v>
      </c>
      <c r="J3807" s="3">
        <v>1048</v>
      </c>
      <c r="K3807" s="3">
        <v>392</v>
      </c>
      <c r="L3807" t="s">
        <v>9</v>
      </c>
      <c r="M3807">
        <v>4</v>
      </c>
      <c r="N3807" t="s">
        <v>82</v>
      </c>
      <c r="O3807" t="s">
        <v>81</v>
      </c>
      <c r="P3807" t="s">
        <v>71</v>
      </c>
      <c r="Q3807" t="s">
        <v>72</v>
      </c>
      <c r="R3807" t="s">
        <v>139</v>
      </c>
      <c r="S3807" t="s">
        <v>144</v>
      </c>
      <c r="T3807" s="2">
        <f>MASTER[[#This Row],[CANTIDAD]]*MASTER[[#This Row],[PRECIO DE VENTA]]</f>
        <v>1048</v>
      </c>
      <c r="U3807" s="2">
        <f>MASTER[[#This Row],[CANTIDAD]]*MASTER[[#This Row],[COSTO UNITARIO]]</f>
        <v>392</v>
      </c>
      <c r="V3807" s="2">
        <f>MASTER[[#This Row],[MONTO VENDIDO]]-MASTER[[#This Row],[COSTO DE VENTA]]</f>
        <v>656</v>
      </c>
    </row>
    <row r="3808" spans="1:22" x14ac:dyDescent="0.3">
      <c r="A3808">
        <v>58527</v>
      </c>
      <c r="B3808">
        <v>1</v>
      </c>
      <c r="C3808" t="s">
        <v>90</v>
      </c>
      <c r="D3808" t="s">
        <v>91</v>
      </c>
      <c r="E3808" s="1">
        <v>44266</v>
      </c>
      <c r="F3808">
        <v>1</v>
      </c>
      <c r="G3808" t="s">
        <v>55</v>
      </c>
      <c r="H3808" t="s">
        <v>56</v>
      </c>
      <c r="I3808" s="3">
        <v>1844</v>
      </c>
      <c r="J3808" s="3">
        <v>1844</v>
      </c>
      <c r="K3808" s="3">
        <v>420</v>
      </c>
      <c r="L3808" t="s">
        <v>9</v>
      </c>
      <c r="M3808">
        <v>7</v>
      </c>
      <c r="N3808" t="s">
        <v>84</v>
      </c>
      <c r="O3808" t="s">
        <v>81</v>
      </c>
      <c r="P3808" t="s">
        <v>12</v>
      </c>
      <c r="Q3808" t="s">
        <v>13</v>
      </c>
      <c r="R3808" t="s">
        <v>13</v>
      </c>
      <c r="S3808" t="s">
        <v>144</v>
      </c>
      <c r="T3808" s="2">
        <f>MASTER[[#This Row],[CANTIDAD]]*MASTER[[#This Row],[PRECIO DE VENTA]]</f>
        <v>1844</v>
      </c>
      <c r="U3808" s="2">
        <f>MASTER[[#This Row],[CANTIDAD]]*MASTER[[#This Row],[COSTO UNITARIO]]</f>
        <v>420</v>
      </c>
      <c r="V3808" s="2">
        <f>MASTER[[#This Row],[MONTO VENDIDO]]-MASTER[[#This Row],[COSTO DE VENTA]]</f>
        <v>1424</v>
      </c>
    </row>
    <row r="3809" spans="1:22" x14ac:dyDescent="0.3">
      <c r="A3809">
        <v>58532</v>
      </c>
      <c r="B3809">
        <v>1</v>
      </c>
      <c r="C3809" t="s">
        <v>92</v>
      </c>
      <c r="D3809" t="s">
        <v>93</v>
      </c>
      <c r="E3809" s="1">
        <v>44266</v>
      </c>
      <c r="F3809">
        <v>1</v>
      </c>
      <c r="G3809" t="s">
        <v>65</v>
      </c>
      <c r="H3809" t="s">
        <v>66</v>
      </c>
      <c r="I3809" s="3">
        <v>1681</v>
      </c>
      <c r="J3809" s="3">
        <v>1681</v>
      </c>
      <c r="K3809" s="3">
        <v>396</v>
      </c>
      <c r="L3809" t="s">
        <v>9</v>
      </c>
      <c r="M3809">
        <v>5</v>
      </c>
      <c r="N3809" t="s">
        <v>85</v>
      </c>
      <c r="O3809" t="s">
        <v>81</v>
      </c>
      <c r="P3809" t="s">
        <v>12</v>
      </c>
      <c r="Q3809" t="s">
        <v>13</v>
      </c>
      <c r="R3809" t="s">
        <v>13</v>
      </c>
      <c r="S3809" t="s">
        <v>144</v>
      </c>
      <c r="T3809" s="2">
        <f>MASTER[[#This Row],[CANTIDAD]]*MASTER[[#This Row],[PRECIO DE VENTA]]</f>
        <v>1681</v>
      </c>
      <c r="U3809" s="2">
        <f>MASTER[[#This Row],[CANTIDAD]]*MASTER[[#This Row],[COSTO UNITARIO]]</f>
        <v>396</v>
      </c>
      <c r="V3809" s="2">
        <f>MASTER[[#This Row],[MONTO VENDIDO]]-MASTER[[#This Row],[COSTO DE VENTA]]</f>
        <v>1285</v>
      </c>
    </row>
    <row r="3810" spans="1:22" x14ac:dyDescent="0.3">
      <c r="A3810">
        <v>58534</v>
      </c>
      <c r="B3810">
        <v>1</v>
      </c>
      <c r="C3810" t="s">
        <v>90</v>
      </c>
      <c r="D3810" t="s">
        <v>91</v>
      </c>
      <c r="E3810" s="1">
        <v>44266</v>
      </c>
      <c r="F3810">
        <v>1</v>
      </c>
      <c r="G3810" t="s">
        <v>49</v>
      </c>
      <c r="H3810" t="s">
        <v>50</v>
      </c>
      <c r="I3810" s="3">
        <v>1844</v>
      </c>
      <c r="J3810" s="3">
        <v>1844</v>
      </c>
      <c r="K3810" s="3">
        <v>420</v>
      </c>
      <c r="L3810" t="s">
        <v>9</v>
      </c>
      <c r="M3810">
        <v>10</v>
      </c>
      <c r="N3810" t="s">
        <v>83</v>
      </c>
      <c r="O3810" t="s">
        <v>81</v>
      </c>
      <c r="P3810" t="s">
        <v>12</v>
      </c>
      <c r="Q3810" t="s">
        <v>13</v>
      </c>
      <c r="R3810" t="s">
        <v>13</v>
      </c>
      <c r="S3810" t="s">
        <v>144</v>
      </c>
      <c r="T3810" s="2">
        <f>MASTER[[#This Row],[CANTIDAD]]*MASTER[[#This Row],[PRECIO DE VENTA]]</f>
        <v>1844</v>
      </c>
      <c r="U3810" s="2">
        <f>MASTER[[#This Row],[CANTIDAD]]*MASTER[[#This Row],[COSTO UNITARIO]]</f>
        <v>420</v>
      </c>
      <c r="V3810" s="2">
        <f>MASTER[[#This Row],[MONTO VENDIDO]]-MASTER[[#This Row],[COSTO DE VENTA]]</f>
        <v>1424</v>
      </c>
    </row>
    <row r="3811" spans="1:22" x14ac:dyDescent="0.3">
      <c r="A3811">
        <v>58542</v>
      </c>
      <c r="B3811">
        <v>1</v>
      </c>
      <c r="C3811" t="s">
        <v>105</v>
      </c>
      <c r="D3811" t="s">
        <v>106</v>
      </c>
      <c r="E3811" s="1">
        <v>44266</v>
      </c>
      <c r="F3811">
        <v>1</v>
      </c>
      <c r="G3811" t="s">
        <v>59</v>
      </c>
      <c r="H3811" t="s">
        <v>60</v>
      </c>
      <c r="I3811" s="3">
        <v>1865</v>
      </c>
      <c r="J3811" s="3">
        <v>1865</v>
      </c>
      <c r="K3811" s="3">
        <v>459</v>
      </c>
      <c r="L3811" t="s">
        <v>98</v>
      </c>
      <c r="M3811">
        <v>4</v>
      </c>
      <c r="N3811" t="s">
        <v>82</v>
      </c>
      <c r="O3811" t="s">
        <v>81</v>
      </c>
      <c r="P3811" t="s">
        <v>71</v>
      </c>
      <c r="Q3811" t="s">
        <v>72</v>
      </c>
      <c r="R3811" t="s">
        <v>139</v>
      </c>
      <c r="S3811" t="s">
        <v>144</v>
      </c>
      <c r="T3811" s="2">
        <f>MASTER[[#This Row],[CANTIDAD]]*MASTER[[#This Row],[PRECIO DE VENTA]]</f>
        <v>1865</v>
      </c>
      <c r="U3811" s="2">
        <f>MASTER[[#This Row],[CANTIDAD]]*MASTER[[#This Row],[COSTO UNITARIO]]</f>
        <v>459</v>
      </c>
      <c r="V3811" s="2">
        <f>MASTER[[#This Row],[MONTO VENDIDO]]-MASTER[[#This Row],[COSTO DE VENTA]]</f>
        <v>1406</v>
      </c>
    </row>
    <row r="3812" spans="1:22" x14ac:dyDescent="0.3">
      <c r="A3812">
        <v>58545</v>
      </c>
      <c r="B3812">
        <v>1</v>
      </c>
      <c r="C3812" t="s">
        <v>109</v>
      </c>
      <c r="D3812" t="s">
        <v>110</v>
      </c>
      <c r="E3812" s="1">
        <v>44266</v>
      </c>
      <c r="F3812">
        <v>1</v>
      </c>
      <c r="G3812" t="s">
        <v>65</v>
      </c>
      <c r="H3812" t="s">
        <v>66</v>
      </c>
      <c r="I3812" s="3">
        <v>947</v>
      </c>
      <c r="J3812" s="3">
        <v>947</v>
      </c>
      <c r="K3812" s="3">
        <v>387</v>
      </c>
      <c r="L3812" t="s">
        <v>98</v>
      </c>
      <c r="M3812">
        <v>16</v>
      </c>
      <c r="N3812" t="s">
        <v>17</v>
      </c>
      <c r="O3812" t="s">
        <v>11</v>
      </c>
      <c r="P3812" t="s">
        <v>18</v>
      </c>
      <c r="Q3812" t="s">
        <v>19</v>
      </c>
      <c r="R3812" t="s">
        <v>138</v>
      </c>
      <c r="S3812" t="s">
        <v>144</v>
      </c>
      <c r="T3812" s="2">
        <f>MASTER[[#This Row],[CANTIDAD]]*MASTER[[#This Row],[PRECIO DE VENTA]]</f>
        <v>947</v>
      </c>
      <c r="U3812" s="2">
        <f>MASTER[[#This Row],[CANTIDAD]]*MASTER[[#This Row],[COSTO UNITARIO]]</f>
        <v>387</v>
      </c>
      <c r="V3812" s="2">
        <f>MASTER[[#This Row],[MONTO VENDIDO]]-MASTER[[#This Row],[COSTO DE VENTA]]</f>
        <v>560</v>
      </c>
    </row>
    <row r="3813" spans="1:22" x14ac:dyDescent="0.3">
      <c r="A3813">
        <v>58556</v>
      </c>
      <c r="B3813">
        <v>1</v>
      </c>
      <c r="C3813" t="s">
        <v>109</v>
      </c>
      <c r="D3813" t="s">
        <v>110</v>
      </c>
      <c r="E3813" s="1">
        <v>44266</v>
      </c>
      <c r="F3813">
        <v>1</v>
      </c>
      <c r="G3813" t="s">
        <v>49</v>
      </c>
      <c r="H3813" t="s">
        <v>50</v>
      </c>
      <c r="I3813" s="3">
        <v>1064</v>
      </c>
      <c r="J3813" s="3">
        <v>1064</v>
      </c>
      <c r="K3813" s="3">
        <v>387</v>
      </c>
      <c r="L3813" t="s">
        <v>98</v>
      </c>
      <c r="M3813">
        <v>19</v>
      </c>
      <c r="N3813" t="s">
        <v>89</v>
      </c>
      <c r="O3813" t="s">
        <v>81</v>
      </c>
      <c r="P3813" t="s">
        <v>15</v>
      </c>
      <c r="Q3813" t="s">
        <v>16</v>
      </c>
      <c r="R3813" t="s">
        <v>16</v>
      </c>
      <c r="S3813" t="s">
        <v>144</v>
      </c>
      <c r="T3813" s="2">
        <f>MASTER[[#This Row],[CANTIDAD]]*MASTER[[#This Row],[PRECIO DE VENTA]]</f>
        <v>1064</v>
      </c>
      <c r="U3813" s="2">
        <f>MASTER[[#This Row],[CANTIDAD]]*MASTER[[#This Row],[COSTO UNITARIO]]</f>
        <v>387</v>
      </c>
      <c r="V3813" s="2">
        <f>MASTER[[#This Row],[MONTO VENDIDO]]-MASTER[[#This Row],[COSTO DE VENTA]]</f>
        <v>677</v>
      </c>
    </row>
    <row r="3814" spans="1:22" x14ac:dyDescent="0.3">
      <c r="A3814">
        <v>58585</v>
      </c>
      <c r="B3814">
        <v>1</v>
      </c>
      <c r="C3814" t="s">
        <v>105</v>
      </c>
      <c r="D3814" t="s">
        <v>106</v>
      </c>
      <c r="E3814" s="1">
        <v>44266</v>
      </c>
      <c r="F3814">
        <v>1</v>
      </c>
      <c r="G3814" t="s">
        <v>35</v>
      </c>
      <c r="H3814" t="s">
        <v>36</v>
      </c>
      <c r="I3814" s="3">
        <v>1865</v>
      </c>
      <c r="J3814" s="3">
        <v>1865</v>
      </c>
      <c r="K3814" s="3">
        <v>459</v>
      </c>
      <c r="L3814" t="s">
        <v>98</v>
      </c>
      <c r="M3814">
        <v>4</v>
      </c>
      <c r="N3814" t="s">
        <v>82</v>
      </c>
      <c r="O3814" t="s">
        <v>81</v>
      </c>
      <c r="P3814" t="s">
        <v>71</v>
      </c>
      <c r="Q3814" t="s">
        <v>72</v>
      </c>
      <c r="R3814" t="s">
        <v>139</v>
      </c>
      <c r="S3814" t="s">
        <v>144</v>
      </c>
      <c r="T3814" s="2">
        <f>MASTER[[#This Row],[CANTIDAD]]*MASTER[[#This Row],[PRECIO DE VENTA]]</f>
        <v>1865</v>
      </c>
      <c r="U3814" s="2">
        <f>MASTER[[#This Row],[CANTIDAD]]*MASTER[[#This Row],[COSTO UNITARIO]]</f>
        <v>459</v>
      </c>
      <c r="V3814" s="2">
        <f>MASTER[[#This Row],[MONTO VENDIDO]]-MASTER[[#This Row],[COSTO DE VENTA]]</f>
        <v>1406</v>
      </c>
    </row>
    <row r="3815" spans="1:22" x14ac:dyDescent="0.3">
      <c r="A3815">
        <v>58587</v>
      </c>
      <c r="B3815">
        <v>1</v>
      </c>
      <c r="C3815" t="s">
        <v>101</v>
      </c>
      <c r="D3815" t="s">
        <v>102</v>
      </c>
      <c r="E3815" s="1">
        <v>44266</v>
      </c>
      <c r="F3815">
        <v>1</v>
      </c>
      <c r="G3815" t="s">
        <v>59</v>
      </c>
      <c r="H3815" t="s">
        <v>60</v>
      </c>
      <c r="I3815" s="3">
        <v>1357</v>
      </c>
      <c r="J3815" s="3">
        <v>1357</v>
      </c>
      <c r="K3815" s="3">
        <v>442</v>
      </c>
      <c r="L3815" t="s">
        <v>98</v>
      </c>
      <c r="M3815">
        <v>18</v>
      </c>
      <c r="N3815" t="s">
        <v>79</v>
      </c>
      <c r="O3815" t="s">
        <v>70</v>
      </c>
      <c r="P3815" t="s">
        <v>15</v>
      </c>
      <c r="Q3815" t="s">
        <v>16</v>
      </c>
      <c r="R3815" t="s">
        <v>16</v>
      </c>
      <c r="S3815" t="s">
        <v>144</v>
      </c>
      <c r="T3815" s="2">
        <f>MASTER[[#This Row],[CANTIDAD]]*MASTER[[#This Row],[PRECIO DE VENTA]]</f>
        <v>1357</v>
      </c>
      <c r="U3815" s="2">
        <f>MASTER[[#This Row],[CANTIDAD]]*MASTER[[#This Row],[COSTO UNITARIO]]</f>
        <v>442</v>
      </c>
      <c r="V3815" s="2">
        <f>MASTER[[#This Row],[MONTO VENDIDO]]-MASTER[[#This Row],[COSTO DE VENTA]]</f>
        <v>915</v>
      </c>
    </row>
    <row r="3816" spans="1:22" x14ac:dyDescent="0.3">
      <c r="A3816">
        <v>58591</v>
      </c>
      <c r="B3816">
        <v>1</v>
      </c>
      <c r="C3816" t="s">
        <v>105</v>
      </c>
      <c r="D3816" t="s">
        <v>106</v>
      </c>
      <c r="E3816" s="1">
        <v>44266</v>
      </c>
      <c r="F3816">
        <v>1</v>
      </c>
      <c r="G3816" t="s">
        <v>33</v>
      </c>
      <c r="H3816" t="s">
        <v>34</v>
      </c>
      <c r="I3816" s="3">
        <v>2033</v>
      </c>
      <c r="J3816" s="3">
        <v>2033</v>
      </c>
      <c r="K3816" s="3">
        <v>459</v>
      </c>
      <c r="L3816" t="s">
        <v>98</v>
      </c>
      <c r="M3816">
        <v>18</v>
      </c>
      <c r="N3816" t="s">
        <v>79</v>
      </c>
      <c r="O3816" t="s">
        <v>70</v>
      </c>
      <c r="P3816" t="s">
        <v>15</v>
      </c>
      <c r="Q3816" t="s">
        <v>16</v>
      </c>
      <c r="R3816" t="s">
        <v>16</v>
      </c>
      <c r="S3816" t="s">
        <v>144</v>
      </c>
      <c r="T3816" s="2">
        <f>MASTER[[#This Row],[CANTIDAD]]*MASTER[[#This Row],[PRECIO DE VENTA]]</f>
        <v>2033</v>
      </c>
      <c r="U3816" s="2">
        <f>MASTER[[#This Row],[CANTIDAD]]*MASTER[[#This Row],[COSTO UNITARIO]]</f>
        <v>459</v>
      </c>
      <c r="V3816" s="2">
        <f>MASTER[[#This Row],[MONTO VENDIDO]]-MASTER[[#This Row],[COSTO DE VENTA]]</f>
        <v>1574</v>
      </c>
    </row>
    <row r="3817" spans="1:22" x14ac:dyDescent="0.3">
      <c r="A3817">
        <v>58620</v>
      </c>
      <c r="B3817">
        <v>1</v>
      </c>
      <c r="C3817" t="s">
        <v>121</v>
      </c>
      <c r="D3817" t="s">
        <v>122</v>
      </c>
      <c r="E3817" s="1">
        <v>44266</v>
      </c>
      <c r="F3817">
        <v>1</v>
      </c>
      <c r="G3817" t="s">
        <v>59</v>
      </c>
      <c r="H3817" t="s">
        <v>60</v>
      </c>
      <c r="I3817" s="3">
        <v>941</v>
      </c>
      <c r="J3817" s="3">
        <v>941</v>
      </c>
      <c r="K3817" s="3">
        <v>460</v>
      </c>
      <c r="L3817" t="s">
        <v>120</v>
      </c>
      <c r="M3817">
        <v>12</v>
      </c>
      <c r="N3817" t="s">
        <v>26</v>
      </c>
      <c r="O3817" t="s">
        <v>11</v>
      </c>
      <c r="P3817" t="s">
        <v>12</v>
      </c>
      <c r="Q3817" t="s">
        <v>13</v>
      </c>
      <c r="R3817" t="s">
        <v>13</v>
      </c>
      <c r="S3817" t="s">
        <v>144</v>
      </c>
      <c r="T3817" s="2">
        <f>MASTER[[#This Row],[CANTIDAD]]*MASTER[[#This Row],[PRECIO DE VENTA]]</f>
        <v>941</v>
      </c>
      <c r="U3817" s="2">
        <f>MASTER[[#This Row],[CANTIDAD]]*MASTER[[#This Row],[COSTO UNITARIO]]</f>
        <v>460</v>
      </c>
      <c r="V3817" s="2">
        <f>MASTER[[#This Row],[MONTO VENDIDO]]-MASTER[[#This Row],[COSTO DE VENTA]]</f>
        <v>481</v>
      </c>
    </row>
    <row r="3818" spans="1:22" x14ac:dyDescent="0.3">
      <c r="A3818">
        <v>58622</v>
      </c>
      <c r="B3818">
        <v>1</v>
      </c>
      <c r="C3818" t="s">
        <v>111</v>
      </c>
      <c r="D3818" t="s">
        <v>112</v>
      </c>
      <c r="E3818" s="1">
        <v>44267</v>
      </c>
      <c r="F3818">
        <v>1</v>
      </c>
      <c r="G3818" t="s">
        <v>37</v>
      </c>
      <c r="H3818" t="s">
        <v>38</v>
      </c>
      <c r="I3818" s="3">
        <v>1524</v>
      </c>
      <c r="J3818" s="3">
        <v>1524</v>
      </c>
      <c r="K3818" s="3">
        <v>434</v>
      </c>
      <c r="L3818" t="s">
        <v>113</v>
      </c>
      <c r="M3818">
        <v>17</v>
      </c>
      <c r="N3818" t="s">
        <v>14</v>
      </c>
      <c r="O3818" t="s">
        <v>11</v>
      </c>
      <c r="P3818" t="s">
        <v>15</v>
      </c>
      <c r="Q3818" t="s">
        <v>16</v>
      </c>
      <c r="R3818" t="s">
        <v>16</v>
      </c>
      <c r="S3818" t="s">
        <v>144</v>
      </c>
      <c r="T3818" s="2">
        <f>MASTER[[#This Row],[CANTIDAD]]*MASTER[[#This Row],[PRECIO DE VENTA]]</f>
        <v>1524</v>
      </c>
      <c r="U3818" s="2">
        <f>MASTER[[#This Row],[CANTIDAD]]*MASTER[[#This Row],[COSTO UNITARIO]]</f>
        <v>434</v>
      </c>
      <c r="V3818" s="2">
        <f>MASTER[[#This Row],[MONTO VENDIDO]]-MASTER[[#This Row],[COSTO DE VENTA]]</f>
        <v>1090</v>
      </c>
    </row>
    <row r="3819" spans="1:22" x14ac:dyDescent="0.3">
      <c r="A3819">
        <v>58627</v>
      </c>
      <c r="B3819">
        <v>1</v>
      </c>
      <c r="C3819" t="s">
        <v>118</v>
      </c>
      <c r="D3819" t="s">
        <v>119</v>
      </c>
      <c r="E3819" s="1">
        <v>44267</v>
      </c>
      <c r="F3819">
        <v>1</v>
      </c>
      <c r="G3819" t="s">
        <v>22</v>
      </c>
      <c r="H3819" t="s">
        <v>23</v>
      </c>
      <c r="I3819" s="3">
        <v>900</v>
      </c>
      <c r="J3819" s="3">
        <v>900</v>
      </c>
      <c r="K3819" s="3">
        <v>424</v>
      </c>
      <c r="L3819" t="s">
        <v>120</v>
      </c>
      <c r="M3819">
        <v>15</v>
      </c>
      <c r="N3819" t="s">
        <v>88</v>
      </c>
      <c r="O3819" t="s">
        <v>81</v>
      </c>
      <c r="P3819" t="s">
        <v>18</v>
      </c>
      <c r="Q3819" t="s">
        <v>19</v>
      </c>
      <c r="R3819" t="s">
        <v>138</v>
      </c>
      <c r="S3819" t="s">
        <v>144</v>
      </c>
      <c r="T3819" s="2">
        <f>MASTER[[#This Row],[CANTIDAD]]*MASTER[[#This Row],[PRECIO DE VENTA]]</f>
        <v>900</v>
      </c>
      <c r="U3819" s="2">
        <f>MASTER[[#This Row],[CANTIDAD]]*MASTER[[#This Row],[COSTO UNITARIO]]</f>
        <v>424</v>
      </c>
      <c r="V3819" s="2">
        <f>MASTER[[#This Row],[MONTO VENDIDO]]-MASTER[[#This Row],[COSTO DE VENTA]]</f>
        <v>476</v>
      </c>
    </row>
    <row r="3820" spans="1:22" x14ac:dyDescent="0.3">
      <c r="A3820">
        <v>58659</v>
      </c>
      <c r="B3820">
        <v>1</v>
      </c>
      <c r="C3820" t="s">
        <v>114</v>
      </c>
      <c r="D3820" t="s">
        <v>115</v>
      </c>
      <c r="E3820" s="1">
        <v>44267</v>
      </c>
      <c r="F3820">
        <v>1</v>
      </c>
      <c r="G3820" t="s">
        <v>7</v>
      </c>
      <c r="H3820" t="s">
        <v>8</v>
      </c>
      <c r="I3820" s="3">
        <v>1862</v>
      </c>
      <c r="J3820" s="3">
        <v>1862</v>
      </c>
      <c r="K3820" s="3">
        <v>394</v>
      </c>
      <c r="L3820" t="s">
        <v>113</v>
      </c>
      <c r="M3820">
        <v>19</v>
      </c>
      <c r="N3820" t="s">
        <v>89</v>
      </c>
      <c r="O3820" t="s">
        <v>81</v>
      </c>
      <c r="P3820" t="s">
        <v>15</v>
      </c>
      <c r="Q3820" t="s">
        <v>16</v>
      </c>
      <c r="R3820" t="s">
        <v>16</v>
      </c>
      <c r="S3820" t="s">
        <v>144</v>
      </c>
      <c r="T3820" s="2">
        <f>MASTER[[#This Row],[CANTIDAD]]*MASTER[[#This Row],[PRECIO DE VENTA]]</f>
        <v>1862</v>
      </c>
      <c r="U3820" s="2">
        <f>MASTER[[#This Row],[CANTIDAD]]*MASTER[[#This Row],[COSTO UNITARIO]]</f>
        <v>394</v>
      </c>
      <c r="V3820" s="2">
        <f>MASTER[[#This Row],[MONTO VENDIDO]]-MASTER[[#This Row],[COSTO DE VENTA]]</f>
        <v>1468</v>
      </c>
    </row>
    <row r="3821" spans="1:22" x14ac:dyDescent="0.3">
      <c r="A3821">
        <v>58662</v>
      </c>
      <c r="B3821">
        <v>1</v>
      </c>
      <c r="C3821" t="s">
        <v>118</v>
      </c>
      <c r="D3821" t="s">
        <v>119</v>
      </c>
      <c r="E3821" s="1">
        <v>44267</v>
      </c>
      <c r="F3821">
        <v>1</v>
      </c>
      <c r="G3821" t="s">
        <v>59</v>
      </c>
      <c r="H3821" t="s">
        <v>60</v>
      </c>
      <c r="I3821" s="3">
        <v>1026</v>
      </c>
      <c r="J3821" s="3">
        <v>1026</v>
      </c>
      <c r="K3821" s="3">
        <v>424</v>
      </c>
      <c r="L3821" t="s">
        <v>120</v>
      </c>
      <c r="M3821">
        <v>13</v>
      </c>
      <c r="N3821" t="s">
        <v>78</v>
      </c>
      <c r="O3821" t="s">
        <v>70</v>
      </c>
      <c r="P3821" t="s">
        <v>18</v>
      </c>
      <c r="Q3821" t="s">
        <v>19</v>
      </c>
      <c r="R3821" t="s">
        <v>138</v>
      </c>
      <c r="S3821" t="s">
        <v>144</v>
      </c>
      <c r="T3821" s="2">
        <f>MASTER[[#This Row],[CANTIDAD]]*MASTER[[#This Row],[PRECIO DE VENTA]]</f>
        <v>1026</v>
      </c>
      <c r="U3821" s="2">
        <f>MASTER[[#This Row],[CANTIDAD]]*MASTER[[#This Row],[COSTO UNITARIO]]</f>
        <v>424</v>
      </c>
      <c r="V3821" s="2">
        <f>MASTER[[#This Row],[MONTO VENDIDO]]-MASTER[[#This Row],[COSTO DE VENTA]]</f>
        <v>602</v>
      </c>
    </row>
    <row r="3822" spans="1:22" x14ac:dyDescent="0.3">
      <c r="A3822">
        <v>58670</v>
      </c>
      <c r="B3822">
        <v>1</v>
      </c>
      <c r="C3822" t="s">
        <v>118</v>
      </c>
      <c r="D3822" t="s">
        <v>119</v>
      </c>
      <c r="E3822" s="1">
        <v>44267</v>
      </c>
      <c r="F3822">
        <v>3</v>
      </c>
      <c r="G3822" t="s">
        <v>51</v>
      </c>
      <c r="H3822" t="s">
        <v>52</v>
      </c>
      <c r="I3822" s="3">
        <v>1026</v>
      </c>
      <c r="J3822" s="3">
        <v>1026</v>
      </c>
      <c r="K3822" s="3">
        <v>424</v>
      </c>
      <c r="L3822" t="s">
        <v>120</v>
      </c>
      <c r="M3822">
        <v>13</v>
      </c>
      <c r="N3822" t="s">
        <v>78</v>
      </c>
      <c r="O3822" t="s">
        <v>70</v>
      </c>
      <c r="P3822" t="s">
        <v>18</v>
      </c>
      <c r="Q3822" t="s">
        <v>19</v>
      </c>
      <c r="R3822" t="s">
        <v>138</v>
      </c>
      <c r="S3822" t="s">
        <v>144</v>
      </c>
      <c r="T3822" s="2">
        <f>MASTER[[#This Row],[CANTIDAD]]*MASTER[[#This Row],[PRECIO DE VENTA]]</f>
        <v>3078</v>
      </c>
      <c r="U3822" s="2">
        <f>MASTER[[#This Row],[CANTIDAD]]*MASTER[[#This Row],[COSTO UNITARIO]]</f>
        <v>1272</v>
      </c>
      <c r="V3822" s="2">
        <f>MASTER[[#This Row],[MONTO VENDIDO]]-MASTER[[#This Row],[COSTO DE VENTA]]</f>
        <v>1806</v>
      </c>
    </row>
    <row r="3823" spans="1:22" x14ac:dyDescent="0.3">
      <c r="A3823">
        <v>58689</v>
      </c>
      <c r="B3823">
        <v>1</v>
      </c>
      <c r="C3823" t="s">
        <v>116</v>
      </c>
      <c r="D3823" t="s">
        <v>117</v>
      </c>
      <c r="E3823" s="1">
        <v>44267</v>
      </c>
      <c r="F3823">
        <v>1</v>
      </c>
      <c r="G3823" t="s">
        <v>24</v>
      </c>
      <c r="H3823" t="s">
        <v>25</v>
      </c>
      <c r="I3823" s="3">
        <v>1529</v>
      </c>
      <c r="J3823" s="3">
        <v>1529</v>
      </c>
      <c r="K3823" s="3">
        <v>388</v>
      </c>
      <c r="L3823" t="s">
        <v>113</v>
      </c>
      <c r="M3823">
        <v>16</v>
      </c>
      <c r="N3823" t="s">
        <v>17</v>
      </c>
      <c r="O3823" t="s">
        <v>11</v>
      </c>
      <c r="P3823" t="s">
        <v>18</v>
      </c>
      <c r="Q3823" t="s">
        <v>19</v>
      </c>
      <c r="R3823" t="s">
        <v>138</v>
      </c>
      <c r="S3823" t="s">
        <v>144</v>
      </c>
      <c r="T3823" s="2">
        <f>MASTER[[#This Row],[CANTIDAD]]*MASTER[[#This Row],[PRECIO DE VENTA]]</f>
        <v>1529</v>
      </c>
      <c r="U3823" s="2">
        <f>MASTER[[#This Row],[CANTIDAD]]*MASTER[[#This Row],[COSTO UNITARIO]]</f>
        <v>388</v>
      </c>
      <c r="V3823" s="2">
        <f>MASTER[[#This Row],[MONTO VENDIDO]]-MASTER[[#This Row],[COSTO DE VENTA]]</f>
        <v>1141</v>
      </c>
    </row>
    <row r="3824" spans="1:22" x14ac:dyDescent="0.3">
      <c r="A3824">
        <v>58699</v>
      </c>
      <c r="B3824">
        <v>1</v>
      </c>
      <c r="C3824" t="s">
        <v>118</v>
      </c>
      <c r="D3824" t="s">
        <v>119</v>
      </c>
      <c r="E3824" s="1">
        <v>44267</v>
      </c>
      <c r="F3824">
        <v>1</v>
      </c>
      <c r="G3824" t="s">
        <v>59</v>
      </c>
      <c r="H3824" t="s">
        <v>60</v>
      </c>
      <c r="I3824" s="3">
        <v>1026</v>
      </c>
      <c r="J3824" s="3">
        <v>1026</v>
      </c>
      <c r="K3824" s="3">
        <v>424</v>
      </c>
      <c r="L3824" t="s">
        <v>120</v>
      </c>
      <c r="M3824">
        <v>18</v>
      </c>
      <c r="N3824" t="s">
        <v>79</v>
      </c>
      <c r="O3824" t="s">
        <v>70</v>
      </c>
      <c r="P3824" t="s">
        <v>15</v>
      </c>
      <c r="Q3824" t="s">
        <v>16</v>
      </c>
      <c r="R3824" t="s">
        <v>16</v>
      </c>
      <c r="S3824" t="s">
        <v>144</v>
      </c>
      <c r="T3824" s="2">
        <f>MASTER[[#This Row],[CANTIDAD]]*MASTER[[#This Row],[PRECIO DE VENTA]]</f>
        <v>1026</v>
      </c>
      <c r="U3824" s="2">
        <f>MASTER[[#This Row],[CANTIDAD]]*MASTER[[#This Row],[COSTO UNITARIO]]</f>
        <v>424</v>
      </c>
      <c r="V3824" s="2">
        <f>MASTER[[#This Row],[MONTO VENDIDO]]-MASTER[[#This Row],[COSTO DE VENTA]]</f>
        <v>602</v>
      </c>
    </row>
    <row r="3825" spans="1:22" x14ac:dyDescent="0.3">
      <c r="A3825">
        <v>58709</v>
      </c>
      <c r="B3825">
        <v>1</v>
      </c>
      <c r="C3825" t="s">
        <v>114</v>
      </c>
      <c r="D3825" t="s">
        <v>115</v>
      </c>
      <c r="E3825" s="1">
        <v>44267</v>
      </c>
      <c r="F3825">
        <v>1</v>
      </c>
      <c r="G3825" t="s">
        <v>22</v>
      </c>
      <c r="H3825" t="s">
        <v>23</v>
      </c>
      <c r="I3825" s="3">
        <v>1862</v>
      </c>
      <c r="J3825" s="3">
        <v>1862</v>
      </c>
      <c r="K3825" s="3">
        <v>394</v>
      </c>
      <c r="L3825" t="s">
        <v>113</v>
      </c>
      <c r="M3825">
        <v>19</v>
      </c>
      <c r="N3825" t="s">
        <v>89</v>
      </c>
      <c r="O3825" t="s">
        <v>81</v>
      </c>
      <c r="P3825" t="s">
        <v>15</v>
      </c>
      <c r="Q3825" t="s">
        <v>16</v>
      </c>
      <c r="R3825" t="s">
        <v>16</v>
      </c>
      <c r="S3825" t="s">
        <v>144</v>
      </c>
      <c r="T3825" s="2">
        <f>MASTER[[#This Row],[CANTIDAD]]*MASTER[[#This Row],[PRECIO DE VENTA]]</f>
        <v>1862</v>
      </c>
      <c r="U3825" s="2">
        <f>MASTER[[#This Row],[CANTIDAD]]*MASTER[[#This Row],[COSTO UNITARIO]]</f>
        <v>394</v>
      </c>
      <c r="V3825" s="2">
        <f>MASTER[[#This Row],[MONTO VENDIDO]]-MASTER[[#This Row],[COSTO DE VENTA]]</f>
        <v>1468</v>
      </c>
    </row>
    <row r="3826" spans="1:22" x14ac:dyDescent="0.3">
      <c r="A3826">
        <v>58722</v>
      </c>
      <c r="B3826">
        <v>1</v>
      </c>
      <c r="C3826" t="s">
        <v>99</v>
      </c>
      <c r="D3826" t="s">
        <v>100</v>
      </c>
      <c r="E3826" s="1">
        <v>44267</v>
      </c>
      <c r="F3826">
        <v>1</v>
      </c>
      <c r="G3826" t="s">
        <v>57</v>
      </c>
      <c r="H3826" t="s">
        <v>58</v>
      </c>
      <c r="I3826" s="3">
        <v>1328</v>
      </c>
      <c r="J3826" s="3">
        <v>1328</v>
      </c>
      <c r="K3826" s="3">
        <v>386</v>
      </c>
      <c r="L3826" t="s">
        <v>98</v>
      </c>
      <c r="M3826">
        <v>17</v>
      </c>
      <c r="N3826" t="s">
        <v>14</v>
      </c>
      <c r="O3826" t="s">
        <v>11</v>
      </c>
      <c r="P3826" t="s">
        <v>15</v>
      </c>
      <c r="Q3826" t="s">
        <v>16</v>
      </c>
      <c r="R3826" t="s">
        <v>16</v>
      </c>
      <c r="S3826" t="s">
        <v>144</v>
      </c>
      <c r="T3826" s="2">
        <f>MASTER[[#This Row],[CANTIDAD]]*MASTER[[#This Row],[PRECIO DE VENTA]]</f>
        <v>1328</v>
      </c>
      <c r="U3826" s="2">
        <f>MASTER[[#This Row],[CANTIDAD]]*MASTER[[#This Row],[COSTO UNITARIO]]</f>
        <v>386</v>
      </c>
      <c r="V3826" s="2">
        <f>MASTER[[#This Row],[MONTO VENDIDO]]-MASTER[[#This Row],[COSTO DE VENTA]]</f>
        <v>942</v>
      </c>
    </row>
    <row r="3827" spans="1:22" x14ac:dyDescent="0.3">
      <c r="A3827">
        <v>58729</v>
      </c>
      <c r="B3827">
        <v>1</v>
      </c>
      <c r="C3827" t="s">
        <v>5</v>
      </c>
      <c r="D3827" t="s">
        <v>6</v>
      </c>
      <c r="E3827" s="1">
        <v>44267</v>
      </c>
      <c r="F3827">
        <v>1</v>
      </c>
      <c r="G3827" t="s">
        <v>37</v>
      </c>
      <c r="H3827" t="s">
        <v>38</v>
      </c>
      <c r="I3827" s="3">
        <v>1507</v>
      </c>
      <c r="J3827" s="3">
        <v>1507</v>
      </c>
      <c r="K3827" s="3">
        <v>393</v>
      </c>
      <c r="L3827" t="s">
        <v>9</v>
      </c>
      <c r="M3827">
        <v>10</v>
      </c>
      <c r="N3827" t="s">
        <v>83</v>
      </c>
      <c r="O3827" t="s">
        <v>81</v>
      </c>
      <c r="P3827" t="s">
        <v>12</v>
      </c>
      <c r="Q3827" t="s">
        <v>13</v>
      </c>
      <c r="R3827" t="s">
        <v>13</v>
      </c>
      <c r="S3827" t="s">
        <v>144</v>
      </c>
      <c r="T3827" s="2">
        <f>MASTER[[#This Row],[CANTIDAD]]*MASTER[[#This Row],[PRECIO DE VENTA]]</f>
        <v>1507</v>
      </c>
      <c r="U3827" s="2">
        <f>MASTER[[#This Row],[CANTIDAD]]*MASTER[[#This Row],[COSTO UNITARIO]]</f>
        <v>393</v>
      </c>
      <c r="V3827" s="2">
        <f>MASTER[[#This Row],[MONTO VENDIDO]]-MASTER[[#This Row],[COSTO DE VENTA]]</f>
        <v>1114</v>
      </c>
    </row>
    <row r="3828" spans="1:22" x14ac:dyDescent="0.3">
      <c r="A3828">
        <v>58730</v>
      </c>
      <c r="B3828">
        <v>1</v>
      </c>
      <c r="C3828" t="s">
        <v>121</v>
      </c>
      <c r="D3828" t="s">
        <v>122</v>
      </c>
      <c r="E3828" s="1">
        <v>44267</v>
      </c>
      <c r="F3828">
        <v>1</v>
      </c>
      <c r="G3828" t="s">
        <v>41</v>
      </c>
      <c r="H3828" t="s">
        <v>42</v>
      </c>
      <c r="I3828" s="3">
        <v>1069</v>
      </c>
      <c r="J3828" s="3">
        <v>1069</v>
      </c>
      <c r="K3828" s="3">
        <v>460</v>
      </c>
      <c r="L3828" t="s">
        <v>120</v>
      </c>
      <c r="M3828">
        <v>5</v>
      </c>
      <c r="N3828" t="s">
        <v>85</v>
      </c>
      <c r="O3828" t="s">
        <v>81</v>
      </c>
      <c r="P3828" t="s">
        <v>12</v>
      </c>
      <c r="Q3828" t="s">
        <v>13</v>
      </c>
      <c r="R3828" t="s">
        <v>13</v>
      </c>
      <c r="S3828" t="s">
        <v>144</v>
      </c>
      <c r="T3828" s="2">
        <f>MASTER[[#This Row],[CANTIDAD]]*MASTER[[#This Row],[PRECIO DE VENTA]]</f>
        <v>1069</v>
      </c>
      <c r="U3828" s="2">
        <f>MASTER[[#This Row],[CANTIDAD]]*MASTER[[#This Row],[COSTO UNITARIO]]</f>
        <v>460</v>
      </c>
      <c r="V3828" s="2">
        <f>MASTER[[#This Row],[MONTO VENDIDO]]-MASTER[[#This Row],[COSTO DE VENTA]]</f>
        <v>609</v>
      </c>
    </row>
    <row r="3829" spans="1:22" x14ac:dyDescent="0.3">
      <c r="A3829">
        <v>58733</v>
      </c>
      <c r="B3829">
        <v>1</v>
      </c>
      <c r="C3829" t="s">
        <v>103</v>
      </c>
      <c r="D3829" t="s">
        <v>104</v>
      </c>
      <c r="E3829" s="1">
        <v>44267</v>
      </c>
      <c r="F3829">
        <v>1</v>
      </c>
      <c r="G3829" t="s">
        <v>7</v>
      </c>
      <c r="H3829" t="s">
        <v>8</v>
      </c>
      <c r="I3829" s="3">
        <v>1591</v>
      </c>
      <c r="J3829" s="3">
        <v>1511</v>
      </c>
      <c r="K3829" s="3">
        <v>421</v>
      </c>
      <c r="L3829" t="s">
        <v>98</v>
      </c>
      <c r="M3829">
        <v>8</v>
      </c>
      <c r="N3829" t="s">
        <v>80</v>
      </c>
      <c r="O3829" t="s">
        <v>81</v>
      </c>
      <c r="P3829" t="s">
        <v>12</v>
      </c>
      <c r="Q3829" t="s">
        <v>13</v>
      </c>
      <c r="R3829" t="s">
        <v>13</v>
      </c>
      <c r="S3829" t="s">
        <v>144</v>
      </c>
      <c r="T3829" s="2">
        <f>MASTER[[#This Row],[CANTIDAD]]*MASTER[[#This Row],[PRECIO DE VENTA]]</f>
        <v>1511</v>
      </c>
      <c r="U3829" s="2">
        <f>MASTER[[#This Row],[CANTIDAD]]*MASTER[[#This Row],[COSTO UNITARIO]]</f>
        <v>421</v>
      </c>
      <c r="V3829" s="2">
        <f>MASTER[[#This Row],[MONTO VENDIDO]]-MASTER[[#This Row],[COSTO DE VENTA]]</f>
        <v>1090</v>
      </c>
    </row>
    <row r="3830" spans="1:22" x14ac:dyDescent="0.3">
      <c r="A3830">
        <v>58772</v>
      </c>
      <c r="B3830">
        <v>1</v>
      </c>
      <c r="C3830" t="s">
        <v>94</v>
      </c>
      <c r="D3830" t="s">
        <v>95</v>
      </c>
      <c r="E3830" s="1">
        <v>44267</v>
      </c>
      <c r="F3830">
        <v>1</v>
      </c>
      <c r="G3830" t="s">
        <v>67</v>
      </c>
      <c r="H3830" t="s">
        <v>68</v>
      </c>
      <c r="I3830" s="3">
        <v>1153</v>
      </c>
      <c r="J3830" s="3">
        <v>1153</v>
      </c>
      <c r="K3830" s="3">
        <v>392</v>
      </c>
      <c r="L3830" t="s">
        <v>9</v>
      </c>
      <c r="M3830">
        <v>18</v>
      </c>
      <c r="N3830" t="s">
        <v>79</v>
      </c>
      <c r="O3830" t="s">
        <v>70</v>
      </c>
      <c r="P3830" t="s">
        <v>15</v>
      </c>
      <c r="Q3830" t="s">
        <v>16</v>
      </c>
      <c r="R3830" t="s">
        <v>16</v>
      </c>
      <c r="S3830" t="s">
        <v>144</v>
      </c>
      <c r="T3830" s="2">
        <f>MASTER[[#This Row],[CANTIDAD]]*MASTER[[#This Row],[PRECIO DE VENTA]]</f>
        <v>1153</v>
      </c>
      <c r="U3830" s="2">
        <f>MASTER[[#This Row],[CANTIDAD]]*MASTER[[#This Row],[COSTO UNITARIO]]</f>
        <v>392</v>
      </c>
      <c r="V3830" s="2">
        <f>MASTER[[#This Row],[MONTO VENDIDO]]-MASTER[[#This Row],[COSTO DE VENTA]]</f>
        <v>761</v>
      </c>
    </row>
    <row r="3831" spans="1:22" x14ac:dyDescent="0.3">
      <c r="A3831">
        <v>58774</v>
      </c>
      <c r="B3831">
        <v>1</v>
      </c>
      <c r="C3831" t="s">
        <v>90</v>
      </c>
      <c r="D3831" t="s">
        <v>91</v>
      </c>
      <c r="E3831" s="1">
        <v>44267</v>
      </c>
      <c r="F3831">
        <v>1</v>
      </c>
      <c r="G3831" t="s">
        <v>27</v>
      </c>
      <c r="H3831" t="s">
        <v>28</v>
      </c>
      <c r="I3831" s="3">
        <v>1660</v>
      </c>
      <c r="J3831" s="3">
        <v>1660</v>
      </c>
      <c r="K3831" s="3">
        <v>420</v>
      </c>
      <c r="L3831" t="s">
        <v>9</v>
      </c>
      <c r="M3831">
        <v>16</v>
      </c>
      <c r="N3831" t="s">
        <v>17</v>
      </c>
      <c r="O3831" t="s">
        <v>11</v>
      </c>
      <c r="P3831" t="s">
        <v>18</v>
      </c>
      <c r="Q3831" t="s">
        <v>19</v>
      </c>
      <c r="R3831" t="s">
        <v>138</v>
      </c>
      <c r="S3831" t="s">
        <v>144</v>
      </c>
      <c r="T3831" s="2">
        <f>MASTER[[#This Row],[CANTIDAD]]*MASTER[[#This Row],[PRECIO DE VENTA]]</f>
        <v>1660</v>
      </c>
      <c r="U3831" s="2">
        <f>MASTER[[#This Row],[CANTIDAD]]*MASTER[[#This Row],[COSTO UNITARIO]]</f>
        <v>420</v>
      </c>
      <c r="V3831" s="2">
        <f>MASTER[[#This Row],[MONTO VENDIDO]]-MASTER[[#This Row],[COSTO DE VENTA]]</f>
        <v>1240</v>
      </c>
    </row>
    <row r="3832" spans="1:22" x14ac:dyDescent="0.3">
      <c r="A3832">
        <v>58777</v>
      </c>
      <c r="B3832">
        <v>1</v>
      </c>
      <c r="C3832" t="s">
        <v>96</v>
      </c>
      <c r="D3832" t="s">
        <v>97</v>
      </c>
      <c r="E3832" s="1">
        <v>44267</v>
      </c>
      <c r="F3832">
        <v>1</v>
      </c>
      <c r="G3832" t="s">
        <v>65</v>
      </c>
      <c r="H3832" t="s">
        <v>66</v>
      </c>
      <c r="I3832" s="3">
        <v>1272</v>
      </c>
      <c r="J3832" s="3">
        <v>1221</v>
      </c>
      <c r="K3832" s="3">
        <v>397</v>
      </c>
      <c r="L3832" t="s">
        <v>98</v>
      </c>
      <c r="M3832">
        <v>10</v>
      </c>
      <c r="N3832" t="s">
        <v>83</v>
      </c>
      <c r="O3832" t="s">
        <v>81</v>
      </c>
      <c r="P3832" t="s">
        <v>12</v>
      </c>
      <c r="Q3832" t="s">
        <v>13</v>
      </c>
      <c r="R3832" t="s">
        <v>13</v>
      </c>
      <c r="S3832" t="s">
        <v>144</v>
      </c>
      <c r="T3832" s="2">
        <f>MASTER[[#This Row],[CANTIDAD]]*MASTER[[#This Row],[PRECIO DE VENTA]]</f>
        <v>1221</v>
      </c>
      <c r="U3832" s="2">
        <f>MASTER[[#This Row],[CANTIDAD]]*MASTER[[#This Row],[COSTO UNITARIO]]</f>
        <v>397</v>
      </c>
      <c r="V3832" s="2">
        <f>MASTER[[#This Row],[MONTO VENDIDO]]-MASTER[[#This Row],[COSTO DE VENTA]]</f>
        <v>824</v>
      </c>
    </row>
    <row r="3833" spans="1:22" x14ac:dyDescent="0.3">
      <c r="A3833">
        <v>58780</v>
      </c>
      <c r="B3833">
        <v>1</v>
      </c>
      <c r="C3833" t="s">
        <v>111</v>
      </c>
      <c r="D3833" t="s">
        <v>112</v>
      </c>
      <c r="E3833" s="1">
        <v>44267</v>
      </c>
      <c r="F3833">
        <v>1</v>
      </c>
      <c r="G3833" t="s">
        <v>55</v>
      </c>
      <c r="H3833" t="s">
        <v>56</v>
      </c>
      <c r="I3833" s="3">
        <v>1621</v>
      </c>
      <c r="J3833" s="3">
        <v>1621</v>
      </c>
      <c r="K3833" s="3">
        <v>434</v>
      </c>
      <c r="L3833" t="s">
        <v>113</v>
      </c>
      <c r="M3833">
        <v>7</v>
      </c>
      <c r="N3833" t="s">
        <v>84</v>
      </c>
      <c r="O3833" t="s">
        <v>81</v>
      </c>
      <c r="P3833" t="s">
        <v>12</v>
      </c>
      <c r="Q3833" t="s">
        <v>13</v>
      </c>
      <c r="R3833" t="s">
        <v>13</v>
      </c>
      <c r="S3833" t="s">
        <v>144</v>
      </c>
      <c r="T3833" s="2">
        <f>MASTER[[#This Row],[CANTIDAD]]*MASTER[[#This Row],[PRECIO DE VENTA]]</f>
        <v>1621</v>
      </c>
      <c r="U3833" s="2">
        <f>MASTER[[#This Row],[CANTIDAD]]*MASTER[[#This Row],[COSTO UNITARIO]]</f>
        <v>434</v>
      </c>
      <c r="V3833" s="2">
        <f>MASTER[[#This Row],[MONTO VENDIDO]]-MASTER[[#This Row],[COSTO DE VENTA]]</f>
        <v>1187</v>
      </c>
    </row>
    <row r="3834" spans="1:22" x14ac:dyDescent="0.3">
      <c r="A3834">
        <v>58782</v>
      </c>
      <c r="B3834">
        <v>1</v>
      </c>
      <c r="C3834" t="s">
        <v>121</v>
      </c>
      <c r="D3834" t="s">
        <v>122</v>
      </c>
      <c r="E3834" s="1">
        <v>44268</v>
      </c>
      <c r="F3834">
        <v>1</v>
      </c>
      <c r="G3834" t="s">
        <v>49</v>
      </c>
      <c r="H3834" t="s">
        <v>50</v>
      </c>
      <c r="I3834" s="3">
        <v>1069</v>
      </c>
      <c r="J3834" s="3">
        <v>1069</v>
      </c>
      <c r="K3834" s="3">
        <v>460</v>
      </c>
      <c r="L3834" t="s">
        <v>120</v>
      </c>
      <c r="M3834">
        <v>14</v>
      </c>
      <c r="N3834" t="s">
        <v>87</v>
      </c>
      <c r="O3834" t="s">
        <v>81</v>
      </c>
      <c r="P3834" t="s">
        <v>18</v>
      </c>
      <c r="Q3834" t="s">
        <v>19</v>
      </c>
      <c r="R3834" t="s">
        <v>138</v>
      </c>
      <c r="S3834" t="s">
        <v>144</v>
      </c>
      <c r="T3834" s="2">
        <f>MASTER[[#This Row],[CANTIDAD]]*MASTER[[#This Row],[PRECIO DE VENTA]]</f>
        <v>1069</v>
      </c>
      <c r="U3834" s="2">
        <f>MASTER[[#This Row],[CANTIDAD]]*MASTER[[#This Row],[COSTO UNITARIO]]</f>
        <v>460</v>
      </c>
      <c r="V3834" s="2">
        <f>MASTER[[#This Row],[MONTO VENDIDO]]-MASTER[[#This Row],[COSTO DE VENTA]]</f>
        <v>609</v>
      </c>
    </row>
    <row r="3835" spans="1:22" x14ac:dyDescent="0.3">
      <c r="A3835">
        <v>58789</v>
      </c>
      <c r="B3835">
        <v>1</v>
      </c>
      <c r="C3835" t="s">
        <v>116</v>
      </c>
      <c r="D3835" t="s">
        <v>117</v>
      </c>
      <c r="E3835" s="1">
        <v>44268</v>
      </c>
      <c r="F3835">
        <v>1</v>
      </c>
      <c r="G3835" t="s">
        <v>33</v>
      </c>
      <c r="H3835" t="s">
        <v>34</v>
      </c>
      <c r="I3835" s="3">
        <v>1738</v>
      </c>
      <c r="J3835" s="3">
        <v>1738</v>
      </c>
      <c r="K3835" s="3">
        <v>388</v>
      </c>
      <c r="L3835" t="s">
        <v>113</v>
      </c>
      <c r="M3835">
        <v>2</v>
      </c>
      <c r="N3835" t="s">
        <v>86</v>
      </c>
      <c r="O3835" t="s">
        <v>81</v>
      </c>
      <c r="P3835" t="s">
        <v>71</v>
      </c>
      <c r="Q3835" t="s">
        <v>72</v>
      </c>
      <c r="R3835" t="s">
        <v>139</v>
      </c>
      <c r="S3835" t="s">
        <v>144</v>
      </c>
      <c r="T3835" s="2">
        <f>MASTER[[#This Row],[CANTIDAD]]*MASTER[[#This Row],[PRECIO DE VENTA]]</f>
        <v>1738</v>
      </c>
      <c r="U3835" s="2">
        <f>MASTER[[#This Row],[CANTIDAD]]*MASTER[[#This Row],[COSTO UNITARIO]]</f>
        <v>388</v>
      </c>
      <c r="V3835" s="2">
        <f>MASTER[[#This Row],[MONTO VENDIDO]]-MASTER[[#This Row],[COSTO DE VENTA]]</f>
        <v>1350</v>
      </c>
    </row>
    <row r="3836" spans="1:22" x14ac:dyDescent="0.3">
      <c r="A3836">
        <v>58793</v>
      </c>
      <c r="B3836">
        <v>1</v>
      </c>
      <c r="C3836" t="s">
        <v>96</v>
      </c>
      <c r="D3836" t="s">
        <v>97</v>
      </c>
      <c r="E3836" s="1">
        <v>44268</v>
      </c>
      <c r="F3836">
        <v>1</v>
      </c>
      <c r="G3836" t="s">
        <v>29</v>
      </c>
      <c r="H3836" t="s">
        <v>30</v>
      </c>
      <c r="I3836" s="3">
        <v>1361</v>
      </c>
      <c r="J3836" s="3">
        <v>1361</v>
      </c>
      <c r="K3836" s="3">
        <v>397</v>
      </c>
      <c r="L3836" t="s">
        <v>98</v>
      </c>
      <c r="M3836">
        <v>13</v>
      </c>
      <c r="N3836" t="s">
        <v>78</v>
      </c>
      <c r="O3836" t="s">
        <v>70</v>
      </c>
      <c r="P3836" t="s">
        <v>18</v>
      </c>
      <c r="Q3836" t="s">
        <v>19</v>
      </c>
      <c r="R3836" t="s">
        <v>138</v>
      </c>
      <c r="S3836" t="s">
        <v>144</v>
      </c>
      <c r="T3836" s="2">
        <f>MASTER[[#This Row],[CANTIDAD]]*MASTER[[#This Row],[PRECIO DE VENTA]]</f>
        <v>1361</v>
      </c>
      <c r="U3836" s="2">
        <f>MASTER[[#This Row],[CANTIDAD]]*MASTER[[#This Row],[COSTO UNITARIO]]</f>
        <v>397</v>
      </c>
      <c r="V3836" s="2">
        <f>MASTER[[#This Row],[MONTO VENDIDO]]-MASTER[[#This Row],[COSTO DE VENTA]]</f>
        <v>964</v>
      </c>
    </row>
    <row r="3837" spans="1:22" x14ac:dyDescent="0.3">
      <c r="A3837">
        <v>58794</v>
      </c>
      <c r="B3837">
        <v>1</v>
      </c>
      <c r="C3837" t="s">
        <v>111</v>
      </c>
      <c r="D3837" t="s">
        <v>112</v>
      </c>
      <c r="E3837" s="1">
        <v>44268</v>
      </c>
      <c r="F3837">
        <v>1</v>
      </c>
      <c r="G3837" t="s">
        <v>57</v>
      </c>
      <c r="H3837" t="s">
        <v>58</v>
      </c>
      <c r="I3837" s="3">
        <v>1621</v>
      </c>
      <c r="J3837" s="3">
        <v>1621</v>
      </c>
      <c r="K3837" s="3">
        <v>434</v>
      </c>
      <c r="L3837" t="s">
        <v>113</v>
      </c>
      <c r="M3837">
        <v>14</v>
      </c>
      <c r="N3837" t="s">
        <v>87</v>
      </c>
      <c r="O3837" t="s">
        <v>81</v>
      </c>
      <c r="P3837" t="s">
        <v>18</v>
      </c>
      <c r="Q3837" t="s">
        <v>19</v>
      </c>
      <c r="R3837" t="s">
        <v>138</v>
      </c>
      <c r="S3837" t="s">
        <v>144</v>
      </c>
      <c r="T3837" s="2">
        <f>MASTER[[#This Row],[CANTIDAD]]*MASTER[[#This Row],[PRECIO DE VENTA]]</f>
        <v>1621</v>
      </c>
      <c r="U3837" s="2">
        <f>MASTER[[#This Row],[CANTIDAD]]*MASTER[[#This Row],[COSTO UNITARIO]]</f>
        <v>434</v>
      </c>
      <c r="V3837" s="2">
        <f>MASTER[[#This Row],[MONTO VENDIDO]]-MASTER[[#This Row],[COSTO DE VENTA]]</f>
        <v>1187</v>
      </c>
    </row>
    <row r="3838" spans="1:22" x14ac:dyDescent="0.3">
      <c r="A3838">
        <v>58813</v>
      </c>
      <c r="B3838">
        <v>1</v>
      </c>
      <c r="C3838" t="s">
        <v>105</v>
      </c>
      <c r="D3838" t="s">
        <v>106</v>
      </c>
      <c r="E3838" s="1">
        <v>44268</v>
      </c>
      <c r="F3838">
        <v>1</v>
      </c>
      <c r="G3838" t="s">
        <v>57</v>
      </c>
      <c r="H3838" t="s">
        <v>58</v>
      </c>
      <c r="I3838" s="3">
        <v>1865</v>
      </c>
      <c r="J3838" s="3">
        <v>1734</v>
      </c>
      <c r="K3838" s="3">
        <v>459</v>
      </c>
      <c r="L3838" t="s">
        <v>98</v>
      </c>
      <c r="M3838">
        <v>2</v>
      </c>
      <c r="N3838" t="s">
        <v>86</v>
      </c>
      <c r="O3838" t="s">
        <v>81</v>
      </c>
      <c r="P3838" t="s">
        <v>71</v>
      </c>
      <c r="Q3838" t="s">
        <v>72</v>
      </c>
      <c r="R3838" t="s">
        <v>139</v>
      </c>
      <c r="S3838" t="s">
        <v>144</v>
      </c>
      <c r="T3838" s="2">
        <f>MASTER[[#This Row],[CANTIDAD]]*MASTER[[#This Row],[PRECIO DE VENTA]]</f>
        <v>1734</v>
      </c>
      <c r="U3838" s="2">
        <f>MASTER[[#This Row],[CANTIDAD]]*MASTER[[#This Row],[COSTO UNITARIO]]</f>
        <v>459</v>
      </c>
      <c r="V3838" s="2">
        <f>MASTER[[#This Row],[MONTO VENDIDO]]-MASTER[[#This Row],[COSTO DE VENTA]]</f>
        <v>1275</v>
      </c>
    </row>
    <row r="3839" spans="1:22" x14ac:dyDescent="0.3">
      <c r="A3839">
        <v>58819</v>
      </c>
      <c r="B3839">
        <v>1</v>
      </c>
      <c r="C3839" t="s">
        <v>92</v>
      </c>
      <c r="D3839" t="s">
        <v>93</v>
      </c>
      <c r="E3839" s="1">
        <v>44268</v>
      </c>
      <c r="F3839">
        <v>1</v>
      </c>
      <c r="G3839" t="s">
        <v>29</v>
      </c>
      <c r="H3839" t="s">
        <v>30</v>
      </c>
      <c r="I3839" s="3">
        <v>1866</v>
      </c>
      <c r="J3839" s="3">
        <v>1866</v>
      </c>
      <c r="K3839" s="3">
        <v>396</v>
      </c>
      <c r="L3839" t="s">
        <v>9</v>
      </c>
      <c r="M3839">
        <v>13</v>
      </c>
      <c r="N3839" t="s">
        <v>78</v>
      </c>
      <c r="O3839" t="s">
        <v>70</v>
      </c>
      <c r="P3839" t="s">
        <v>18</v>
      </c>
      <c r="Q3839" t="s">
        <v>19</v>
      </c>
      <c r="R3839" t="s">
        <v>138</v>
      </c>
      <c r="S3839" t="s">
        <v>144</v>
      </c>
      <c r="T3839" s="2">
        <f>MASTER[[#This Row],[CANTIDAD]]*MASTER[[#This Row],[PRECIO DE VENTA]]</f>
        <v>1866</v>
      </c>
      <c r="U3839" s="2">
        <f>MASTER[[#This Row],[CANTIDAD]]*MASTER[[#This Row],[COSTO UNITARIO]]</f>
        <v>396</v>
      </c>
      <c r="V3839" s="2">
        <f>MASTER[[#This Row],[MONTO VENDIDO]]-MASTER[[#This Row],[COSTO DE VENTA]]</f>
        <v>1470</v>
      </c>
    </row>
    <row r="3840" spans="1:22" x14ac:dyDescent="0.3">
      <c r="A3840">
        <v>58838</v>
      </c>
      <c r="B3840">
        <v>1</v>
      </c>
      <c r="C3840" t="s">
        <v>94</v>
      </c>
      <c r="D3840" t="s">
        <v>95</v>
      </c>
      <c r="E3840" s="1">
        <v>44268</v>
      </c>
      <c r="F3840">
        <v>1</v>
      </c>
      <c r="G3840" t="s">
        <v>45</v>
      </c>
      <c r="H3840" t="s">
        <v>46</v>
      </c>
      <c r="I3840" s="3">
        <v>1048</v>
      </c>
      <c r="J3840" s="3">
        <v>1048</v>
      </c>
      <c r="K3840" s="3">
        <v>392</v>
      </c>
      <c r="L3840" t="s">
        <v>9</v>
      </c>
      <c r="M3840">
        <v>2</v>
      </c>
      <c r="N3840" t="s">
        <v>86</v>
      </c>
      <c r="O3840" t="s">
        <v>81</v>
      </c>
      <c r="P3840" t="s">
        <v>71</v>
      </c>
      <c r="Q3840" t="s">
        <v>72</v>
      </c>
      <c r="R3840" t="s">
        <v>139</v>
      </c>
      <c r="S3840" t="s">
        <v>144</v>
      </c>
      <c r="T3840" s="2">
        <f>MASTER[[#This Row],[CANTIDAD]]*MASTER[[#This Row],[PRECIO DE VENTA]]</f>
        <v>1048</v>
      </c>
      <c r="U3840" s="2">
        <f>MASTER[[#This Row],[CANTIDAD]]*MASTER[[#This Row],[COSTO UNITARIO]]</f>
        <v>392</v>
      </c>
      <c r="V3840" s="2">
        <f>MASTER[[#This Row],[MONTO VENDIDO]]-MASTER[[#This Row],[COSTO DE VENTA]]</f>
        <v>656</v>
      </c>
    </row>
    <row r="3841" spans="1:22" x14ac:dyDescent="0.3">
      <c r="A3841">
        <v>58839</v>
      </c>
      <c r="B3841">
        <v>1</v>
      </c>
      <c r="C3841" t="s">
        <v>96</v>
      </c>
      <c r="D3841" t="s">
        <v>97</v>
      </c>
      <c r="E3841" s="1">
        <v>44268</v>
      </c>
      <c r="F3841">
        <v>1</v>
      </c>
      <c r="G3841" t="s">
        <v>67</v>
      </c>
      <c r="H3841" t="s">
        <v>68</v>
      </c>
      <c r="I3841" s="3">
        <v>1196</v>
      </c>
      <c r="J3841" s="3">
        <v>1196</v>
      </c>
      <c r="K3841" s="3">
        <v>397</v>
      </c>
      <c r="L3841" t="s">
        <v>98</v>
      </c>
      <c r="M3841">
        <v>12</v>
      </c>
      <c r="N3841" t="s">
        <v>26</v>
      </c>
      <c r="O3841" t="s">
        <v>11</v>
      </c>
      <c r="P3841" t="s">
        <v>12</v>
      </c>
      <c r="Q3841" t="s">
        <v>13</v>
      </c>
      <c r="R3841" t="s">
        <v>13</v>
      </c>
      <c r="S3841" t="s">
        <v>144</v>
      </c>
      <c r="T3841" s="2">
        <f>MASTER[[#This Row],[CANTIDAD]]*MASTER[[#This Row],[PRECIO DE VENTA]]</f>
        <v>1196</v>
      </c>
      <c r="U3841" s="2">
        <f>MASTER[[#This Row],[CANTIDAD]]*MASTER[[#This Row],[COSTO UNITARIO]]</f>
        <v>397</v>
      </c>
      <c r="V3841" s="2">
        <f>MASTER[[#This Row],[MONTO VENDIDO]]-MASTER[[#This Row],[COSTO DE VENTA]]</f>
        <v>799</v>
      </c>
    </row>
    <row r="3842" spans="1:22" x14ac:dyDescent="0.3">
      <c r="A3842">
        <v>58840</v>
      </c>
      <c r="B3842">
        <v>1</v>
      </c>
      <c r="C3842" t="s">
        <v>101</v>
      </c>
      <c r="D3842" t="s">
        <v>102</v>
      </c>
      <c r="E3842" s="1">
        <v>44268</v>
      </c>
      <c r="F3842">
        <v>1</v>
      </c>
      <c r="G3842" t="s">
        <v>45</v>
      </c>
      <c r="H3842" t="s">
        <v>46</v>
      </c>
      <c r="I3842" s="3">
        <v>1054</v>
      </c>
      <c r="J3842" s="3">
        <v>1054</v>
      </c>
      <c r="K3842" s="3">
        <v>442</v>
      </c>
      <c r="L3842" t="s">
        <v>98</v>
      </c>
      <c r="M3842">
        <v>17</v>
      </c>
      <c r="N3842" t="s">
        <v>14</v>
      </c>
      <c r="O3842" t="s">
        <v>11</v>
      </c>
      <c r="P3842" t="s">
        <v>15</v>
      </c>
      <c r="Q3842" t="s">
        <v>16</v>
      </c>
      <c r="R3842" t="s">
        <v>16</v>
      </c>
      <c r="S3842" t="s">
        <v>144</v>
      </c>
      <c r="T3842" s="2">
        <f>MASTER[[#This Row],[CANTIDAD]]*MASTER[[#This Row],[PRECIO DE VENTA]]</f>
        <v>1054</v>
      </c>
      <c r="U3842" s="2">
        <f>MASTER[[#This Row],[CANTIDAD]]*MASTER[[#This Row],[COSTO UNITARIO]]</f>
        <v>442</v>
      </c>
      <c r="V3842" s="2">
        <f>MASTER[[#This Row],[MONTO VENDIDO]]-MASTER[[#This Row],[COSTO DE VENTA]]</f>
        <v>612</v>
      </c>
    </row>
    <row r="3843" spans="1:22" x14ac:dyDescent="0.3">
      <c r="A3843">
        <v>58841</v>
      </c>
      <c r="B3843">
        <v>1</v>
      </c>
      <c r="C3843" t="s">
        <v>96</v>
      </c>
      <c r="D3843" t="s">
        <v>97</v>
      </c>
      <c r="E3843" s="1">
        <v>44269</v>
      </c>
      <c r="F3843">
        <v>1</v>
      </c>
      <c r="G3843" t="s">
        <v>59</v>
      </c>
      <c r="H3843" t="s">
        <v>60</v>
      </c>
      <c r="I3843" s="3">
        <v>1272</v>
      </c>
      <c r="J3843" s="3">
        <v>1272</v>
      </c>
      <c r="K3843" s="3">
        <v>397</v>
      </c>
      <c r="L3843" t="s">
        <v>98</v>
      </c>
      <c r="M3843">
        <v>14</v>
      </c>
      <c r="N3843" t="s">
        <v>87</v>
      </c>
      <c r="O3843" t="s">
        <v>81</v>
      </c>
      <c r="P3843" t="s">
        <v>18</v>
      </c>
      <c r="Q3843" t="s">
        <v>19</v>
      </c>
      <c r="R3843" t="s">
        <v>138</v>
      </c>
      <c r="S3843" t="s">
        <v>144</v>
      </c>
      <c r="T3843" s="2">
        <f>MASTER[[#This Row],[CANTIDAD]]*MASTER[[#This Row],[PRECIO DE VENTA]]</f>
        <v>1272</v>
      </c>
      <c r="U3843" s="2">
        <f>MASTER[[#This Row],[CANTIDAD]]*MASTER[[#This Row],[COSTO UNITARIO]]</f>
        <v>397</v>
      </c>
      <c r="V3843" s="2">
        <f>MASTER[[#This Row],[MONTO VENDIDO]]-MASTER[[#This Row],[COSTO DE VENTA]]</f>
        <v>875</v>
      </c>
    </row>
    <row r="3844" spans="1:22" x14ac:dyDescent="0.3">
      <c r="A3844">
        <v>58847</v>
      </c>
      <c r="B3844">
        <v>1</v>
      </c>
      <c r="C3844" t="s">
        <v>90</v>
      </c>
      <c r="D3844" t="s">
        <v>91</v>
      </c>
      <c r="E3844" s="1">
        <v>44269</v>
      </c>
      <c r="F3844">
        <v>1</v>
      </c>
      <c r="G3844" t="s">
        <v>43</v>
      </c>
      <c r="H3844" t="s">
        <v>44</v>
      </c>
      <c r="I3844" s="3">
        <v>1660</v>
      </c>
      <c r="J3844" s="3">
        <v>1660</v>
      </c>
      <c r="K3844" s="3">
        <v>420</v>
      </c>
      <c r="L3844" t="s">
        <v>9</v>
      </c>
      <c r="M3844">
        <v>12</v>
      </c>
      <c r="N3844" t="s">
        <v>26</v>
      </c>
      <c r="O3844" t="s">
        <v>11</v>
      </c>
      <c r="P3844" t="s">
        <v>12</v>
      </c>
      <c r="Q3844" t="s">
        <v>13</v>
      </c>
      <c r="R3844" t="s">
        <v>13</v>
      </c>
      <c r="S3844" t="s">
        <v>144</v>
      </c>
      <c r="T3844" s="2">
        <f>MASTER[[#This Row],[CANTIDAD]]*MASTER[[#This Row],[PRECIO DE VENTA]]</f>
        <v>1660</v>
      </c>
      <c r="U3844" s="2">
        <f>MASTER[[#This Row],[CANTIDAD]]*MASTER[[#This Row],[COSTO UNITARIO]]</f>
        <v>420</v>
      </c>
      <c r="V3844" s="2">
        <f>MASTER[[#This Row],[MONTO VENDIDO]]-MASTER[[#This Row],[COSTO DE VENTA]]</f>
        <v>1240</v>
      </c>
    </row>
    <row r="3845" spans="1:22" x14ac:dyDescent="0.3">
      <c r="A3845">
        <v>58857</v>
      </c>
      <c r="B3845">
        <v>1</v>
      </c>
      <c r="C3845" t="s">
        <v>5</v>
      </c>
      <c r="D3845" t="s">
        <v>6</v>
      </c>
      <c r="E3845" s="1">
        <v>44269</v>
      </c>
      <c r="F3845">
        <v>1</v>
      </c>
      <c r="G3845" t="s">
        <v>27</v>
      </c>
      <c r="H3845" t="s">
        <v>28</v>
      </c>
      <c r="I3845" s="3">
        <v>1507</v>
      </c>
      <c r="J3845" s="3">
        <v>1507</v>
      </c>
      <c r="K3845" s="3">
        <v>393</v>
      </c>
      <c r="L3845" t="s">
        <v>9</v>
      </c>
      <c r="M3845">
        <v>2</v>
      </c>
      <c r="N3845" t="s">
        <v>86</v>
      </c>
      <c r="O3845" t="s">
        <v>81</v>
      </c>
      <c r="P3845" t="s">
        <v>71</v>
      </c>
      <c r="Q3845" t="s">
        <v>72</v>
      </c>
      <c r="R3845" t="s">
        <v>139</v>
      </c>
      <c r="S3845" t="s">
        <v>144</v>
      </c>
      <c r="T3845" s="2">
        <f>MASTER[[#This Row],[CANTIDAD]]*MASTER[[#This Row],[PRECIO DE VENTA]]</f>
        <v>1507</v>
      </c>
      <c r="U3845" s="2">
        <f>MASTER[[#This Row],[CANTIDAD]]*MASTER[[#This Row],[COSTO UNITARIO]]</f>
        <v>393</v>
      </c>
      <c r="V3845" s="2">
        <f>MASTER[[#This Row],[MONTO VENDIDO]]-MASTER[[#This Row],[COSTO DE VENTA]]</f>
        <v>1114</v>
      </c>
    </row>
    <row r="3846" spans="1:22" x14ac:dyDescent="0.3">
      <c r="A3846">
        <v>58873</v>
      </c>
      <c r="B3846">
        <v>1</v>
      </c>
      <c r="C3846" t="s">
        <v>111</v>
      </c>
      <c r="D3846" t="s">
        <v>112</v>
      </c>
      <c r="E3846" s="1">
        <v>44269</v>
      </c>
      <c r="F3846">
        <v>1</v>
      </c>
      <c r="G3846" t="s">
        <v>53</v>
      </c>
      <c r="H3846" t="s">
        <v>54</v>
      </c>
      <c r="I3846" s="3">
        <v>1621</v>
      </c>
      <c r="J3846" s="3">
        <v>1621</v>
      </c>
      <c r="K3846" s="3">
        <v>434</v>
      </c>
      <c r="L3846" t="s">
        <v>113</v>
      </c>
      <c r="M3846">
        <v>2</v>
      </c>
      <c r="N3846" t="s">
        <v>86</v>
      </c>
      <c r="O3846" t="s">
        <v>81</v>
      </c>
      <c r="P3846" t="s">
        <v>71</v>
      </c>
      <c r="Q3846" t="s">
        <v>72</v>
      </c>
      <c r="R3846" t="s">
        <v>139</v>
      </c>
      <c r="S3846" t="s">
        <v>144</v>
      </c>
      <c r="T3846" s="2">
        <f>MASTER[[#This Row],[CANTIDAD]]*MASTER[[#This Row],[PRECIO DE VENTA]]</f>
        <v>1621</v>
      </c>
      <c r="U3846" s="2">
        <f>MASTER[[#This Row],[CANTIDAD]]*MASTER[[#This Row],[COSTO UNITARIO]]</f>
        <v>434</v>
      </c>
      <c r="V3846" s="2">
        <f>MASTER[[#This Row],[MONTO VENDIDO]]-MASTER[[#This Row],[COSTO DE VENTA]]</f>
        <v>1187</v>
      </c>
    </row>
    <row r="3847" spans="1:22" x14ac:dyDescent="0.3">
      <c r="A3847">
        <v>58874</v>
      </c>
      <c r="B3847">
        <v>1</v>
      </c>
      <c r="C3847" t="s">
        <v>90</v>
      </c>
      <c r="D3847" t="s">
        <v>91</v>
      </c>
      <c r="E3847" s="1">
        <v>44269</v>
      </c>
      <c r="F3847">
        <v>1</v>
      </c>
      <c r="G3847" t="s">
        <v>65</v>
      </c>
      <c r="H3847" t="s">
        <v>66</v>
      </c>
      <c r="I3847" s="3">
        <v>1844</v>
      </c>
      <c r="J3847" s="3">
        <v>1844</v>
      </c>
      <c r="K3847" s="3">
        <v>420</v>
      </c>
      <c r="L3847" t="s">
        <v>9</v>
      </c>
      <c r="M3847">
        <v>14</v>
      </c>
      <c r="N3847" t="s">
        <v>87</v>
      </c>
      <c r="O3847" t="s">
        <v>81</v>
      </c>
      <c r="P3847" t="s">
        <v>18</v>
      </c>
      <c r="Q3847" t="s">
        <v>19</v>
      </c>
      <c r="R3847" t="s">
        <v>138</v>
      </c>
      <c r="S3847" t="s">
        <v>144</v>
      </c>
      <c r="T3847" s="2">
        <f>MASTER[[#This Row],[CANTIDAD]]*MASTER[[#This Row],[PRECIO DE VENTA]]</f>
        <v>1844</v>
      </c>
      <c r="U3847" s="2">
        <f>MASTER[[#This Row],[CANTIDAD]]*MASTER[[#This Row],[COSTO UNITARIO]]</f>
        <v>420</v>
      </c>
      <c r="V3847" s="2">
        <f>MASTER[[#This Row],[MONTO VENDIDO]]-MASTER[[#This Row],[COSTO DE VENTA]]</f>
        <v>1424</v>
      </c>
    </row>
    <row r="3848" spans="1:22" x14ac:dyDescent="0.3">
      <c r="A3848">
        <v>58879</v>
      </c>
      <c r="B3848">
        <v>1</v>
      </c>
      <c r="C3848" t="s">
        <v>111</v>
      </c>
      <c r="D3848" t="s">
        <v>112</v>
      </c>
      <c r="E3848" s="1">
        <v>44269</v>
      </c>
      <c r="F3848">
        <v>1</v>
      </c>
      <c r="G3848" t="s">
        <v>22</v>
      </c>
      <c r="H3848" t="s">
        <v>23</v>
      </c>
      <c r="I3848" s="3">
        <v>1621</v>
      </c>
      <c r="J3848" s="3">
        <v>1621</v>
      </c>
      <c r="K3848" s="3">
        <v>434</v>
      </c>
      <c r="L3848" t="s">
        <v>113</v>
      </c>
      <c r="M3848">
        <v>2</v>
      </c>
      <c r="N3848" t="s">
        <v>86</v>
      </c>
      <c r="O3848" t="s">
        <v>81</v>
      </c>
      <c r="P3848" t="s">
        <v>71</v>
      </c>
      <c r="Q3848" t="s">
        <v>72</v>
      </c>
      <c r="R3848" t="s">
        <v>139</v>
      </c>
      <c r="S3848" t="s">
        <v>144</v>
      </c>
      <c r="T3848" s="2">
        <f>MASTER[[#This Row],[CANTIDAD]]*MASTER[[#This Row],[PRECIO DE VENTA]]</f>
        <v>1621</v>
      </c>
      <c r="U3848" s="2">
        <f>MASTER[[#This Row],[CANTIDAD]]*MASTER[[#This Row],[COSTO UNITARIO]]</f>
        <v>434</v>
      </c>
      <c r="V3848" s="2">
        <f>MASTER[[#This Row],[MONTO VENDIDO]]-MASTER[[#This Row],[COSTO DE VENTA]]</f>
        <v>1187</v>
      </c>
    </row>
    <row r="3849" spans="1:22" x14ac:dyDescent="0.3">
      <c r="A3849">
        <v>58936</v>
      </c>
      <c r="B3849">
        <v>1</v>
      </c>
      <c r="C3849" t="s">
        <v>116</v>
      </c>
      <c r="D3849" t="s">
        <v>117</v>
      </c>
      <c r="E3849" s="1">
        <v>44269</v>
      </c>
      <c r="F3849">
        <v>1</v>
      </c>
      <c r="G3849" t="s">
        <v>39</v>
      </c>
      <c r="H3849" t="s">
        <v>40</v>
      </c>
      <c r="I3849" s="3">
        <v>1529</v>
      </c>
      <c r="J3849" s="3">
        <v>1529</v>
      </c>
      <c r="K3849" s="3">
        <v>388</v>
      </c>
      <c r="L3849" t="s">
        <v>113</v>
      </c>
      <c r="M3849">
        <v>12</v>
      </c>
      <c r="N3849" t="s">
        <v>26</v>
      </c>
      <c r="O3849" t="s">
        <v>11</v>
      </c>
      <c r="P3849" t="s">
        <v>12</v>
      </c>
      <c r="Q3849" t="s">
        <v>13</v>
      </c>
      <c r="R3849" t="s">
        <v>13</v>
      </c>
      <c r="S3849" t="s">
        <v>144</v>
      </c>
      <c r="T3849" s="2">
        <f>MASTER[[#This Row],[CANTIDAD]]*MASTER[[#This Row],[PRECIO DE VENTA]]</f>
        <v>1529</v>
      </c>
      <c r="U3849" s="2">
        <f>MASTER[[#This Row],[CANTIDAD]]*MASTER[[#This Row],[COSTO UNITARIO]]</f>
        <v>388</v>
      </c>
      <c r="V3849" s="2">
        <f>MASTER[[#This Row],[MONTO VENDIDO]]-MASTER[[#This Row],[COSTO DE VENTA]]</f>
        <v>1141</v>
      </c>
    </row>
    <row r="3850" spans="1:22" x14ac:dyDescent="0.3">
      <c r="A3850">
        <v>58937</v>
      </c>
      <c r="B3850">
        <v>1</v>
      </c>
      <c r="C3850" t="s">
        <v>92</v>
      </c>
      <c r="D3850" t="s">
        <v>93</v>
      </c>
      <c r="E3850" s="1">
        <v>44269</v>
      </c>
      <c r="F3850">
        <v>2</v>
      </c>
      <c r="G3850" t="s">
        <v>35</v>
      </c>
      <c r="H3850" t="s">
        <v>36</v>
      </c>
      <c r="I3850" s="3">
        <v>1866</v>
      </c>
      <c r="J3850" s="3">
        <v>1866</v>
      </c>
      <c r="K3850" s="3">
        <v>396</v>
      </c>
      <c r="L3850" t="s">
        <v>9</v>
      </c>
      <c r="M3850">
        <v>1</v>
      </c>
      <c r="N3850" t="s">
        <v>77</v>
      </c>
      <c r="O3850" t="s">
        <v>70</v>
      </c>
      <c r="P3850" t="s">
        <v>71</v>
      </c>
      <c r="Q3850" t="s">
        <v>72</v>
      </c>
      <c r="R3850" t="s">
        <v>139</v>
      </c>
      <c r="S3850" t="s">
        <v>144</v>
      </c>
      <c r="T3850" s="2">
        <f>MASTER[[#This Row],[CANTIDAD]]*MASTER[[#This Row],[PRECIO DE VENTA]]</f>
        <v>3732</v>
      </c>
      <c r="U3850" s="2">
        <f>MASTER[[#This Row],[CANTIDAD]]*MASTER[[#This Row],[COSTO UNITARIO]]</f>
        <v>792</v>
      </c>
      <c r="V3850" s="2">
        <f>MASTER[[#This Row],[MONTO VENDIDO]]-MASTER[[#This Row],[COSTO DE VENTA]]</f>
        <v>2940</v>
      </c>
    </row>
    <row r="3851" spans="1:22" x14ac:dyDescent="0.3">
      <c r="A3851">
        <v>58940</v>
      </c>
      <c r="B3851">
        <v>1</v>
      </c>
      <c r="C3851" t="s">
        <v>5</v>
      </c>
      <c r="D3851" t="s">
        <v>6</v>
      </c>
      <c r="E3851" s="1">
        <v>44269</v>
      </c>
      <c r="F3851">
        <v>1</v>
      </c>
      <c r="G3851" t="s">
        <v>55</v>
      </c>
      <c r="H3851" t="s">
        <v>56</v>
      </c>
      <c r="I3851" s="3">
        <v>1507</v>
      </c>
      <c r="J3851" s="3">
        <v>1507</v>
      </c>
      <c r="K3851" s="3">
        <v>393</v>
      </c>
      <c r="L3851" t="s">
        <v>9</v>
      </c>
      <c r="M3851">
        <v>5</v>
      </c>
      <c r="N3851" t="s">
        <v>85</v>
      </c>
      <c r="O3851" t="s">
        <v>81</v>
      </c>
      <c r="P3851" t="s">
        <v>12</v>
      </c>
      <c r="Q3851" t="s">
        <v>13</v>
      </c>
      <c r="R3851" t="s">
        <v>13</v>
      </c>
      <c r="S3851" t="s">
        <v>144</v>
      </c>
      <c r="T3851" s="2">
        <f>MASTER[[#This Row],[CANTIDAD]]*MASTER[[#This Row],[PRECIO DE VENTA]]</f>
        <v>1507</v>
      </c>
      <c r="U3851" s="2">
        <f>MASTER[[#This Row],[CANTIDAD]]*MASTER[[#This Row],[COSTO UNITARIO]]</f>
        <v>393</v>
      </c>
      <c r="V3851" s="2">
        <f>MASTER[[#This Row],[MONTO VENDIDO]]-MASTER[[#This Row],[COSTO DE VENTA]]</f>
        <v>1114</v>
      </c>
    </row>
    <row r="3852" spans="1:22" x14ac:dyDescent="0.3">
      <c r="A3852">
        <v>58941</v>
      </c>
      <c r="B3852">
        <v>1</v>
      </c>
      <c r="C3852" t="s">
        <v>109</v>
      </c>
      <c r="D3852" t="s">
        <v>110</v>
      </c>
      <c r="E3852" s="1">
        <v>44269</v>
      </c>
      <c r="F3852">
        <v>1</v>
      </c>
      <c r="G3852" t="s">
        <v>27</v>
      </c>
      <c r="H3852" t="s">
        <v>28</v>
      </c>
      <c r="I3852" s="3">
        <v>947</v>
      </c>
      <c r="J3852" s="3">
        <v>947</v>
      </c>
      <c r="K3852" s="3">
        <v>387</v>
      </c>
      <c r="L3852" t="s">
        <v>98</v>
      </c>
      <c r="M3852">
        <v>11</v>
      </c>
      <c r="N3852" t="s">
        <v>10</v>
      </c>
      <c r="O3852" t="s">
        <v>11</v>
      </c>
      <c r="P3852" t="s">
        <v>12</v>
      </c>
      <c r="Q3852" t="s">
        <v>13</v>
      </c>
      <c r="R3852" t="s">
        <v>13</v>
      </c>
      <c r="S3852" t="s">
        <v>144</v>
      </c>
      <c r="T3852" s="2">
        <f>MASTER[[#This Row],[CANTIDAD]]*MASTER[[#This Row],[PRECIO DE VENTA]]</f>
        <v>947</v>
      </c>
      <c r="U3852" s="2">
        <f>MASTER[[#This Row],[CANTIDAD]]*MASTER[[#This Row],[COSTO UNITARIO]]</f>
        <v>387</v>
      </c>
      <c r="V3852" s="2">
        <f>MASTER[[#This Row],[MONTO VENDIDO]]-MASTER[[#This Row],[COSTO DE VENTA]]</f>
        <v>560</v>
      </c>
    </row>
    <row r="3853" spans="1:22" x14ac:dyDescent="0.3">
      <c r="A3853">
        <v>58943</v>
      </c>
      <c r="B3853">
        <v>1</v>
      </c>
      <c r="C3853" t="s">
        <v>92</v>
      </c>
      <c r="D3853" t="s">
        <v>93</v>
      </c>
      <c r="E3853" s="1">
        <v>44269</v>
      </c>
      <c r="F3853">
        <v>1</v>
      </c>
      <c r="G3853" t="s">
        <v>59</v>
      </c>
      <c r="H3853" t="s">
        <v>60</v>
      </c>
      <c r="I3853" s="3">
        <v>1681</v>
      </c>
      <c r="J3853" s="3">
        <v>1681</v>
      </c>
      <c r="K3853" s="3">
        <v>396</v>
      </c>
      <c r="L3853" t="s">
        <v>9</v>
      </c>
      <c r="M3853">
        <v>4</v>
      </c>
      <c r="N3853" t="s">
        <v>82</v>
      </c>
      <c r="O3853" t="s">
        <v>81</v>
      </c>
      <c r="P3853" t="s">
        <v>71</v>
      </c>
      <c r="Q3853" t="s">
        <v>72</v>
      </c>
      <c r="R3853" t="s">
        <v>139</v>
      </c>
      <c r="S3853" t="s">
        <v>144</v>
      </c>
      <c r="T3853" s="2">
        <f>MASTER[[#This Row],[CANTIDAD]]*MASTER[[#This Row],[PRECIO DE VENTA]]</f>
        <v>1681</v>
      </c>
      <c r="U3853" s="2">
        <f>MASTER[[#This Row],[CANTIDAD]]*MASTER[[#This Row],[COSTO UNITARIO]]</f>
        <v>396</v>
      </c>
      <c r="V3853" s="2">
        <f>MASTER[[#This Row],[MONTO VENDIDO]]-MASTER[[#This Row],[COSTO DE VENTA]]</f>
        <v>1285</v>
      </c>
    </row>
    <row r="3854" spans="1:22" x14ac:dyDescent="0.3">
      <c r="A3854">
        <v>58956</v>
      </c>
      <c r="B3854">
        <v>1</v>
      </c>
      <c r="C3854" t="s">
        <v>5</v>
      </c>
      <c r="D3854" t="s">
        <v>6</v>
      </c>
      <c r="E3854" s="1">
        <v>44269</v>
      </c>
      <c r="F3854">
        <v>2</v>
      </c>
      <c r="G3854" t="s">
        <v>22</v>
      </c>
      <c r="H3854" t="s">
        <v>23</v>
      </c>
      <c r="I3854" s="3">
        <v>1507</v>
      </c>
      <c r="J3854" s="3">
        <v>1507</v>
      </c>
      <c r="K3854" s="3">
        <v>393</v>
      </c>
      <c r="L3854" t="s">
        <v>9</v>
      </c>
      <c r="M3854">
        <v>10</v>
      </c>
      <c r="N3854" t="s">
        <v>83</v>
      </c>
      <c r="O3854" t="s">
        <v>81</v>
      </c>
      <c r="P3854" t="s">
        <v>12</v>
      </c>
      <c r="Q3854" t="s">
        <v>13</v>
      </c>
      <c r="R3854" t="s">
        <v>13</v>
      </c>
      <c r="S3854" t="s">
        <v>144</v>
      </c>
      <c r="T3854" s="2">
        <f>MASTER[[#This Row],[CANTIDAD]]*MASTER[[#This Row],[PRECIO DE VENTA]]</f>
        <v>3014</v>
      </c>
      <c r="U3854" s="2">
        <f>MASTER[[#This Row],[CANTIDAD]]*MASTER[[#This Row],[COSTO UNITARIO]]</f>
        <v>786</v>
      </c>
      <c r="V3854" s="2">
        <f>MASTER[[#This Row],[MONTO VENDIDO]]-MASTER[[#This Row],[COSTO DE VENTA]]</f>
        <v>2228</v>
      </c>
    </row>
    <row r="3855" spans="1:22" x14ac:dyDescent="0.3">
      <c r="A3855">
        <v>58967</v>
      </c>
      <c r="B3855">
        <v>1</v>
      </c>
      <c r="C3855" t="s">
        <v>114</v>
      </c>
      <c r="D3855" t="s">
        <v>115</v>
      </c>
      <c r="E3855" s="1">
        <v>44269</v>
      </c>
      <c r="F3855">
        <v>3</v>
      </c>
      <c r="G3855" t="s">
        <v>61</v>
      </c>
      <c r="H3855" t="s">
        <v>62</v>
      </c>
      <c r="I3855" s="3">
        <v>1862</v>
      </c>
      <c r="J3855" s="3">
        <v>1862</v>
      </c>
      <c r="K3855" s="3">
        <v>394</v>
      </c>
      <c r="L3855" t="s">
        <v>113</v>
      </c>
      <c r="M3855">
        <v>14</v>
      </c>
      <c r="N3855" t="s">
        <v>87</v>
      </c>
      <c r="O3855" t="s">
        <v>81</v>
      </c>
      <c r="P3855" t="s">
        <v>18</v>
      </c>
      <c r="Q3855" t="s">
        <v>19</v>
      </c>
      <c r="R3855" t="s">
        <v>138</v>
      </c>
      <c r="S3855" t="s">
        <v>144</v>
      </c>
      <c r="T3855" s="2">
        <f>MASTER[[#This Row],[CANTIDAD]]*MASTER[[#This Row],[PRECIO DE VENTA]]</f>
        <v>5586</v>
      </c>
      <c r="U3855" s="2">
        <f>MASTER[[#This Row],[CANTIDAD]]*MASTER[[#This Row],[COSTO UNITARIO]]</f>
        <v>1182</v>
      </c>
      <c r="V3855" s="2">
        <f>MASTER[[#This Row],[MONTO VENDIDO]]-MASTER[[#This Row],[COSTO DE VENTA]]</f>
        <v>4404</v>
      </c>
    </row>
    <row r="3856" spans="1:22" x14ac:dyDescent="0.3">
      <c r="A3856">
        <v>58970</v>
      </c>
      <c r="B3856">
        <v>1</v>
      </c>
      <c r="C3856" t="s">
        <v>90</v>
      </c>
      <c r="D3856" t="s">
        <v>91</v>
      </c>
      <c r="E3856" s="1">
        <v>44269</v>
      </c>
      <c r="F3856">
        <v>1</v>
      </c>
      <c r="G3856" t="s">
        <v>43</v>
      </c>
      <c r="H3856" t="s">
        <v>44</v>
      </c>
      <c r="I3856" s="3">
        <v>2102</v>
      </c>
      <c r="J3856" s="3">
        <v>2102</v>
      </c>
      <c r="K3856" s="3">
        <v>420</v>
      </c>
      <c r="L3856" t="s">
        <v>9</v>
      </c>
      <c r="M3856">
        <v>9</v>
      </c>
      <c r="N3856" t="s">
        <v>76</v>
      </c>
      <c r="O3856" t="s">
        <v>70</v>
      </c>
      <c r="P3856" t="s">
        <v>12</v>
      </c>
      <c r="Q3856" t="s">
        <v>13</v>
      </c>
      <c r="R3856" t="s">
        <v>13</v>
      </c>
      <c r="S3856" t="s">
        <v>144</v>
      </c>
      <c r="T3856" s="2">
        <f>MASTER[[#This Row],[CANTIDAD]]*MASTER[[#This Row],[PRECIO DE VENTA]]</f>
        <v>2102</v>
      </c>
      <c r="U3856" s="2">
        <f>MASTER[[#This Row],[CANTIDAD]]*MASTER[[#This Row],[COSTO UNITARIO]]</f>
        <v>420</v>
      </c>
      <c r="V3856" s="2">
        <f>MASTER[[#This Row],[MONTO VENDIDO]]-MASTER[[#This Row],[COSTO DE VENTA]]</f>
        <v>1682</v>
      </c>
    </row>
    <row r="3857" spans="1:22" x14ac:dyDescent="0.3">
      <c r="A3857">
        <v>58995</v>
      </c>
      <c r="B3857">
        <v>1</v>
      </c>
      <c r="C3857" t="s">
        <v>99</v>
      </c>
      <c r="D3857" t="s">
        <v>100</v>
      </c>
      <c r="E3857" s="1">
        <v>44269</v>
      </c>
      <c r="F3857">
        <v>1</v>
      </c>
      <c r="G3857" t="s">
        <v>7</v>
      </c>
      <c r="H3857" t="s">
        <v>8</v>
      </c>
      <c r="I3857" s="3">
        <v>1459</v>
      </c>
      <c r="J3857" s="3">
        <v>1459</v>
      </c>
      <c r="K3857" s="3">
        <v>386</v>
      </c>
      <c r="L3857" t="s">
        <v>98</v>
      </c>
      <c r="M3857">
        <v>15</v>
      </c>
      <c r="N3857" t="s">
        <v>88</v>
      </c>
      <c r="O3857" t="s">
        <v>81</v>
      </c>
      <c r="P3857" t="s">
        <v>18</v>
      </c>
      <c r="Q3857" t="s">
        <v>19</v>
      </c>
      <c r="R3857" t="s">
        <v>138</v>
      </c>
      <c r="S3857" t="s">
        <v>144</v>
      </c>
      <c r="T3857" s="2">
        <f>MASTER[[#This Row],[CANTIDAD]]*MASTER[[#This Row],[PRECIO DE VENTA]]</f>
        <v>1459</v>
      </c>
      <c r="U3857" s="2">
        <f>MASTER[[#This Row],[CANTIDAD]]*MASTER[[#This Row],[COSTO UNITARIO]]</f>
        <v>386</v>
      </c>
      <c r="V3857" s="2">
        <f>MASTER[[#This Row],[MONTO VENDIDO]]-MASTER[[#This Row],[COSTO DE VENTA]]</f>
        <v>1073</v>
      </c>
    </row>
    <row r="3858" spans="1:22" x14ac:dyDescent="0.3">
      <c r="A3858">
        <v>59012</v>
      </c>
      <c r="B3858">
        <v>1</v>
      </c>
      <c r="C3858" t="s">
        <v>90</v>
      </c>
      <c r="D3858" t="s">
        <v>91</v>
      </c>
      <c r="E3858" s="1">
        <v>44270</v>
      </c>
      <c r="F3858">
        <v>1</v>
      </c>
      <c r="G3858" t="s">
        <v>63</v>
      </c>
      <c r="H3858" t="s">
        <v>64</v>
      </c>
      <c r="I3858" s="3">
        <v>1844</v>
      </c>
      <c r="J3858" s="3">
        <v>1844</v>
      </c>
      <c r="K3858" s="3">
        <v>420</v>
      </c>
      <c r="L3858" t="s">
        <v>9</v>
      </c>
      <c r="M3858">
        <v>14</v>
      </c>
      <c r="N3858" t="s">
        <v>87</v>
      </c>
      <c r="O3858" t="s">
        <v>81</v>
      </c>
      <c r="P3858" t="s">
        <v>18</v>
      </c>
      <c r="Q3858" t="s">
        <v>19</v>
      </c>
      <c r="R3858" t="s">
        <v>138</v>
      </c>
      <c r="S3858" t="s">
        <v>144</v>
      </c>
      <c r="T3858" s="2">
        <f>MASTER[[#This Row],[CANTIDAD]]*MASTER[[#This Row],[PRECIO DE VENTA]]</f>
        <v>1844</v>
      </c>
      <c r="U3858" s="2">
        <f>MASTER[[#This Row],[CANTIDAD]]*MASTER[[#This Row],[COSTO UNITARIO]]</f>
        <v>420</v>
      </c>
      <c r="V3858" s="2">
        <f>MASTER[[#This Row],[MONTO VENDIDO]]-MASTER[[#This Row],[COSTO DE VENTA]]</f>
        <v>1424</v>
      </c>
    </row>
    <row r="3859" spans="1:22" x14ac:dyDescent="0.3">
      <c r="A3859">
        <v>59024</v>
      </c>
      <c r="B3859">
        <v>1</v>
      </c>
      <c r="C3859" t="s">
        <v>111</v>
      </c>
      <c r="D3859" t="s">
        <v>112</v>
      </c>
      <c r="E3859" s="1">
        <v>44270</v>
      </c>
      <c r="F3859">
        <v>1</v>
      </c>
      <c r="G3859" t="s">
        <v>51</v>
      </c>
      <c r="H3859" t="s">
        <v>52</v>
      </c>
      <c r="I3859" s="3">
        <v>1621</v>
      </c>
      <c r="J3859" s="3">
        <v>1621</v>
      </c>
      <c r="K3859" s="3">
        <v>434</v>
      </c>
      <c r="L3859" t="s">
        <v>113</v>
      </c>
      <c r="M3859">
        <v>2</v>
      </c>
      <c r="N3859" t="s">
        <v>86</v>
      </c>
      <c r="O3859" t="s">
        <v>81</v>
      </c>
      <c r="P3859" t="s">
        <v>71</v>
      </c>
      <c r="Q3859" t="s">
        <v>72</v>
      </c>
      <c r="R3859" t="s">
        <v>139</v>
      </c>
      <c r="S3859" t="s">
        <v>144</v>
      </c>
      <c r="T3859" s="2">
        <f>MASTER[[#This Row],[CANTIDAD]]*MASTER[[#This Row],[PRECIO DE VENTA]]</f>
        <v>1621</v>
      </c>
      <c r="U3859" s="2">
        <f>MASTER[[#This Row],[CANTIDAD]]*MASTER[[#This Row],[COSTO UNITARIO]]</f>
        <v>434</v>
      </c>
      <c r="V3859" s="2">
        <f>MASTER[[#This Row],[MONTO VENDIDO]]-MASTER[[#This Row],[COSTO DE VENTA]]</f>
        <v>1187</v>
      </c>
    </row>
    <row r="3860" spans="1:22" x14ac:dyDescent="0.3">
      <c r="A3860">
        <v>59032</v>
      </c>
      <c r="B3860">
        <v>1</v>
      </c>
      <c r="C3860" t="s">
        <v>103</v>
      </c>
      <c r="D3860" t="s">
        <v>104</v>
      </c>
      <c r="E3860" s="1">
        <v>44270</v>
      </c>
      <c r="F3860">
        <v>1</v>
      </c>
      <c r="G3860" t="s">
        <v>51</v>
      </c>
      <c r="H3860" t="s">
        <v>52</v>
      </c>
      <c r="I3860" s="3">
        <v>1830</v>
      </c>
      <c r="J3860" s="3">
        <v>1830</v>
      </c>
      <c r="K3860" s="3">
        <v>421</v>
      </c>
      <c r="L3860" t="s">
        <v>98</v>
      </c>
      <c r="M3860">
        <v>9</v>
      </c>
      <c r="N3860" t="s">
        <v>76</v>
      </c>
      <c r="O3860" t="s">
        <v>70</v>
      </c>
      <c r="P3860" t="s">
        <v>12</v>
      </c>
      <c r="Q3860" t="s">
        <v>13</v>
      </c>
      <c r="R3860" t="s">
        <v>13</v>
      </c>
      <c r="S3860" t="s">
        <v>144</v>
      </c>
      <c r="T3860" s="2">
        <f>MASTER[[#This Row],[CANTIDAD]]*MASTER[[#This Row],[PRECIO DE VENTA]]</f>
        <v>1830</v>
      </c>
      <c r="U3860" s="2">
        <f>MASTER[[#This Row],[CANTIDAD]]*MASTER[[#This Row],[COSTO UNITARIO]]</f>
        <v>421</v>
      </c>
      <c r="V3860" s="2">
        <f>MASTER[[#This Row],[MONTO VENDIDO]]-MASTER[[#This Row],[COSTO DE VENTA]]</f>
        <v>1409</v>
      </c>
    </row>
    <row r="3861" spans="1:22" x14ac:dyDescent="0.3">
      <c r="A3861">
        <v>59040</v>
      </c>
      <c r="B3861">
        <v>1</v>
      </c>
      <c r="C3861" t="s">
        <v>107</v>
      </c>
      <c r="D3861" t="s">
        <v>108</v>
      </c>
      <c r="E3861" s="1">
        <v>44270</v>
      </c>
      <c r="F3861">
        <v>1</v>
      </c>
      <c r="G3861" t="s">
        <v>59</v>
      </c>
      <c r="H3861" t="s">
        <v>60</v>
      </c>
      <c r="I3861" s="3">
        <v>1333</v>
      </c>
      <c r="J3861" s="3">
        <v>1333</v>
      </c>
      <c r="K3861" s="3">
        <v>380</v>
      </c>
      <c r="L3861" t="s">
        <v>98</v>
      </c>
      <c r="M3861">
        <v>5</v>
      </c>
      <c r="N3861" t="s">
        <v>85</v>
      </c>
      <c r="O3861" t="s">
        <v>81</v>
      </c>
      <c r="P3861" t="s">
        <v>12</v>
      </c>
      <c r="Q3861" t="s">
        <v>13</v>
      </c>
      <c r="R3861" t="s">
        <v>13</v>
      </c>
      <c r="S3861" t="s">
        <v>144</v>
      </c>
      <c r="T3861" s="2">
        <f>MASTER[[#This Row],[CANTIDAD]]*MASTER[[#This Row],[PRECIO DE VENTA]]</f>
        <v>1333</v>
      </c>
      <c r="U3861" s="2">
        <f>MASTER[[#This Row],[CANTIDAD]]*MASTER[[#This Row],[COSTO UNITARIO]]</f>
        <v>380</v>
      </c>
      <c r="V3861" s="2">
        <f>MASTER[[#This Row],[MONTO VENDIDO]]-MASTER[[#This Row],[COSTO DE VENTA]]</f>
        <v>953</v>
      </c>
    </row>
    <row r="3862" spans="1:22" x14ac:dyDescent="0.3">
      <c r="A3862">
        <v>59042</v>
      </c>
      <c r="B3862">
        <v>1</v>
      </c>
      <c r="C3862" t="s">
        <v>105</v>
      </c>
      <c r="D3862" t="s">
        <v>106</v>
      </c>
      <c r="E3862" s="1">
        <v>44270</v>
      </c>
      <c r="F3862">
        <v>1</v>
      </c>
      <c r="G3862" t="s">
        <v>51</v>
      </c>
      <c r="H3862" t="s">
        <v>52</v>
      </c>
      <c r="I3862" s="3">
        <v>2033</v>
      </c>
      <c r="J3862" s="3">
        <v>2033</v>
      </c>
      <c r="K3862" s="3">
        <v>459</v>
      </c>
      <c r="L3862" t="s">
        <v>98</v>
      </c>
      <c r="M3862">
        <v>18</v>
      </c>
      <c r="N3862" t="s">
        <v>79</v>
      </c>
      <c r="O3862" t="s">
        <v>70</v>
      </c>
      <c r="P3862" t="s">
        <v>15</v>
      </c>
      <c r="Q3862" t="s">
        <v>16</v>
      </c>
      <c r="R3862" t="s">
        <v>16</v>
      </c>
      <c r="S3862" t="s">
        <v>144</v>
      </c>
      <c r="T3862" s="2">
        <f>MASTER[[#This Row],[CANTIDAD]]*MASTER[[#This Row],[PRECIO DE VENTA]]</f>
        <v>2033</v>
      </c>
      <c r="U3862" s="2">
        <f>MASTER[[#This Row],[CANTIDAD]]*MASTER[[#This Row],[COSTO UNITARIO]]</f>
        <v>459</v>
      </c>
      <c r="V3862" s="2">
        <f>MASTER[[#This Row],[MONTO VENDIDO]]-MASTER[[#This Row],[COSTO DE VENTA]]</f>
        <v>1574</v>
      </c>
    </row>
    <row r="3863" spans="1:22" x14ac:dyDescent="0.3">
      <c r="A3863">
        <v>59048</v>
      </c>
      <c r="B3863">
        <v>1</v>
      </c>
      <c r="C3863" t="s">
        <v>103</v>
      </c>
      <c r="D3863" t="s">
        <v>104</v>
      </c>
      <c r="E3863" s="1">
        <v>44270</v>
      </c>
      <c r="F3863">
        <v>4</v>
      </c>
      <c r="G3863" t="s">
        <v>20</v>
      </c>
      <c r="H3863" t="s">
        <v>21</v>
      </c>
      <c r="I3863" s="3">
        <v>1591</v>
      </c>
      <c r="J3863" s="3">
        <v>1591</v>
      </c>
      <c r="K3863" s="3">
        <v>421</v>
      </c>
      <c r="L3863" t="s">
        <v>98</v>
      </c>
      <c r="M3863">
        <v>5</v>
      </c>
      <c r="N3863" t="s">
        <v>85</v>
      </c>
      <c r="O3863" t="s">
        <v>81</v>
      </c>
      <c r="P3863" t="s">
        <v>12</v>
      </c>
      <c r="Q3863" t="s">
        <v>13</v>
      </c>
      <c r="R3863" t="s">
        <v>13</v>
      </c>
      <c r="S3863" t="s">
        <v>144</v>
      </c>
      <c r="T3863" s="2">
        <f>MASTER[[#This Row],[CANTIDAD]]*MASTER[[#This Row],[PRECIO DE VENTA]]</f>
        <v>6364</v>
      </c>
      <c r="U3863" s="2">
        <f>MASTER[[#This Row],[CANTIDAD]]*MASTER[[#This Row],[COSTO UNITARIO]]</f>
        <v>1684</v>
      </c>
      <c r="V3863" s="2">
        <f>MASTER[[#This Row],[MONTO VENDIDO]]-MASTER[[#This Row],[COSTO DE VENTA]]</f>
        <v>4680</v>
      </c>
    </row>
    <row r="3864" spans="1:22" x14ac:dyDescent="0.3">
      <c r="A3864">
        <v>59056</v>
      </c>
      <c r="B3864">
        <v>1</v>
      </c>
      <c r="C3864" t="s">
        <v>118</v>
      </c>
      <c r="D3864" t="s">
        <v>119</v>
      </c>
      <c r="E3864" s="1">
        <v>44270</v>
      </c>
      <c r="F3864">
        <v>1</v>
      </c>
      <c r="G3864" t="s">
        <v>22</v>
      </c>
      <c r="H3864" t="s">
        <v>23</v>
      </c>
      <c r="I3864" s="3">
        <v>1026</v>
      </c>
      <c r="J3864" s="3">
        <v>1026</v>
      </c>
      <c r="K3864" s="3">
        <v>424</v>
      </c>
      <c r="L3864" t="s">
        <v>120</v>
      </c>
      <c r="M3864">
        <v>1</v>
      </c>
      <c r="N3864" t="s">
        <v>77</v>
      </c>
      <c r="O3864" t="s">
        <v>70</v>
      </c>
      <c r="P3864" t="s">
        <v>71</v>
      </c>
      <c r="Q3864" t="s">
        <v>72</v>
      </c>
      <c r="R3864" t="s">
        <v>139</v>
      </c>
      <c r="S3864" t="s">
        <v>144</v>
      </c>
      <c r="T3864" s="2">
        <f>MASTER[[#This Row],[CANTIDAD]]*MASTER[[#This Row],[PRECIO DE VENTA]]</f>
        <v>1026</v>
      </c>
      <c r="U3864" s="2">
        <f>MASTER[[#This Row],[CANTIDAD]]*MASTER[[#This Row],[COSTO UNITARIO]]</f>
        <v>424</v>
      </c>
      <c r="V3864" s="2">
        <f>MASTER[[#This Row],[MONTO VENDIDO]]-MASTER[[#This Row],[COSTO DE VENTA]]</f>
        <v>602</v>
      </c>
    </row>
    <row r="3865" spans="1:22" x14ac:dyDescent="0.3">
      <c r="A3865">
        <v>59068</v>
      </c>
      <c r="B3865">
        <v>1</v>
      </c>
      <c r="C3865" t="s">
        <v>121</v>
      </c>
      <c r="D3865" t="s">
        <v>122</v>
      </c>
      <c r="E3865" s="1">
        <v>44270</v>
      </c>
      <c r="F3865">
        <v>2</v>
      </c>
      <c r="G3865" t="s">
        <v>73</v>
      </c>
      <c r="H3865" t="s">
        <v>74</v>
      </c>
      <c r="I3865" s="3">
        <v>1144</v>
      </c>
      <c r="J3865" s="3">
        <v>1144</v>
      </c>
      <c r="K3865" s="3">
        <v>460</v>
      </c>
      <c r="L3865" t="s">
        <v>120</v>
      </c>
      <c r="M3865">
        <v>1</v>
      </c>
      <c r="N3865" t="s">
        <v>77</v>
      </c>
      <c r="O3865" t="s">
        <v>70</v>
      </c>
      <c r="P3865" t="s">
        <v>71</v>
      </c>
      <c r="Q3865" t="s">
        <v>72</v>
      </c>
      <c r="R3865" t="s">
        <v>139</v>
      </c>
      <c r="S3865" t="s">
        <v>144</v>
      </c>
      <c r="T3865" s="2">
        <f>MASTER[[#This Row],[CANTIDAD]]*MASTER[[#This Row],[PRECIO DE VENTA]]</f>
        <v>2288</v>
      </c>
      <c r="U3865" s="2">
        <f>MASTER[[#This Row],[CANTIDAD]]*MASTER[[#This Row],[COSTO UNITARIO]]</f>
        <v>920</v>
      </c>
      <c r="V3865" s="2">
        <f>MASTER[[#This Row],[MONTO VENDIDO]]-MASTER[[#This Row],[COSTO DE VENTA]]</f>
        <v>1368</v>
      </c>
    </row>
    <row r="3866" spans="1:22" x14ac:dyDescent="0.3">
      <c r="A3866">
        <v>59074</v>
      </c>
      <c r="B3866">
        <v>1</v>
      </c>
      <c r="C3866" t="s">
        <v>107</v>
      </c>
      <c r="D3866" t="s">
        <v>108</v>
      </c>
      <c r="E3866" s="1">
        <v>44270</v>
      </c>
      <c r="F3866">
        <v>1</v>
      </c>
      <c r="G3866" t="s">
        <v>73</v>
      </c>
      <c r="H3866" t="s">
        <v>74</v>
      </c>
      <c r="I3866" s="3">
        <v>1333</v>
      </c>
      <c r="J3866" s="3">
        <v>1333</v>
      </c>
      <c r="K3866" s="3">
        <v>380</v>
      </c>
      <c r="L3866" t="s">
        <v>98</v>
      </c>
      <c r="M3866">
        <v>5</v>
      </c>
      <c r="N3866" t="s">
        <v>85</v>
      </c>
      <c r="O3866" t="s">
        <v>81</v>
      </c>
      <c r="P3866" t="s">
        <v>12</v>
      </c>
      <c r="Q3866" t="s">
        <v>13</v>
      </c>
      <c r="R3866" t="s">
        <v>13</v>
      </c>
      <c r="S3866" t="s">
        <v>144</v>
      </c>
      <c r="T3866" s="2">
        <f>MASTER[[#This Row],[CANTIDAD]]*MASTER[[#This Row],[PRECIO DE VENTA]]</f>
        <v>1333</v>
      </c>
      <c r="U3866" s="2">
        <f>MASTER[[#This Row],[CANTIDAD]]*MASTER[[#This Row],[COSTO UNITARIO]]</f>
        <v>380</v>
      </c>
      <c r="V3866" s="2">
        <f>MASTER[[#This Row],[MONTO VENDIDO]]-MASTER[[#This Row],[COSTO DE VENTA]]</f>
        <v>953</v>
      </c>
    </row>
    <row r="3867" spans="1:22" x14ac:dyDescent="0.3">
      <c r="A3867">
        <v>59083</v>
      </c>
      <c r="B3867">
        <v>3</v>
      </c>
      <c r="C3867" t="s">
        <v>101</v>
      </c>
      <c r="D3867" t="s">
        <v>102</v>
      </c>
      <c r="E3867" s="1">
        <v>44270</v>
      </c>
      <c r="F3867">
        <v>1</v>
      </c>
      <c r="G3867" t="s">
        <v>22</v>
      </c>
      <c r="H3867" t="s">
        <v>23</v>
      </c>
      <c r="I3867" s="3">
        <v>1054</v>
      </c>
      <c r="J3867" s="3">
        <v>1054</v>
      </c>
      <c r="K3867" s="3">
        <v>442</v>
      </c>
      <c r="L3867" t="s">
        <v>98</v>
      </c>
      <c r="M3867">
        <v>12</v>
      </c>
      <c r="N3867" t="s">
        <v>26</v>
      </c>
      <c r="O3867" t="s">
        <v>11</v>
      </c>
      <c r="P3867" t="s">
        <v>12</v>
      </c>
      <c r="Q3867" t="s">
        <v>13</v>
      </c>
      <c r="R3867" t="s">
        <v>13</v>
      </c>
      <c r="S3867" t="s">
        <v>144</v>
      </c>
      <c r="T3867" s="2">
        <f>MASTER[[#This Row],[CANTIDAD]]*MASTER[[#This Row],[PRECIO DE VENTA]]</f>
        <v>1054</v>
      </c>
      <c r="U3867" s="2">
        <f>MASTER[[#This Row],[CANTIDAD]]*MASTER[[#This Row],[COSTO UNITARIO]]</f>
        <v>442</v>
      </c>
      <c r="V3867" s="2">
        <f>MASTER[[#This Row],[MONTO VENDIDO]]-MASTER[[#This Row],[COSTO DE VENTA]]</f>
        <v>612</v>
      </c>
    </row>
    <row r="3868" spans="1:22" x14ac:dyDescent="0.3">
      <c r="A3868">
        <v>59083</v>
      </c>
      <c r="B3868">
        <v>2</v>
      </c>
      <c r="C3868" t="s">
        <v>111</v>
      </c>
      <c r="D3868" t="s">
        <v>112</v>
      </c>
      <c r="E3868" s="1">
        <v>44270</v>
      </c>
      <c r="F3868">
        <v>1</v>
      </c>
      <c r="G3868" t="s">
        <v>7</v>
      </c>
      <c r="H3868" t="s">
        <v>8</v>
      </c>
      <c r="I3868" s="3">
        <v>1524</v>
      </c>
      <c r="J3868" s="3">
        <v>1524</v>
      </c>
      <c r="K3868" s="3">
        <v>434</v>
      </c>
      <c r="L3868" t="s">
        <v>113</v>
      </c>
      <c r="M3868">
        <v>12</v>
      </c>
      <c r="N3868" t="s">
        <v>26</v>
      </c>
      <c r="O3868" t="s">
        <v>11</v>
      </c>
      <c r="P3868" t="s">
        <v>12</v>
      </c>
      <c r="Q3868" t="s">
        <v>13</v>
      </c>
      <c r="R3868" t="s">
        <v>13</v>
      </c>
      <c r="S3868" t="s">
        <v>144</v>
      </c>
      <c r="T3868" s="2">
        <f>MASTER[[#This Row],[CANTIDAD]]*MASTER[[#This Row],[PRECIO DE VENTA]]</f>
        <v>1524</v>
      </c>
      <c r="U3868" s="2">
        <f>MASTER[[#This Row],[CANTIDAD]]*MASTER[[#This Row],[COSTO UNITARIO]]</f>
        <v>434</v>
      </c>
      <c r="V3868" s="2">
        <f>MASTER[[#This Row],[MONTO VENDIDO]]-MASTER[[#This Row],[COSTO DE VENTA]]</f>
        <v>1090</v>
      </c>
    </row>
    <row r="3869" spans="1:22" x14ac:dyDescent="0.3">
      <c r="A3869">
        <v>59083</v>
      </c>
      <c r="B3869">
        <v>1</v>
      </c>
      <c r="C3869" t="s">
        <v>114</v>
      </c>
      <c r="D3869" t="s">
        <v>115</v>
      </c>
      <c r="E3869" s="1">
        <v>44270</v>
      </c>
      <c r="F3869">
        <v>1</v>
      </c>
      <c r="G3869" t="s">
        <v>53</v>
      </c>
      <c r="H3869" t="s">
        <v>54</v>
      </c>
      <c r="I3869" s="3">
        <v>1583</v>
      </c>
      <c r="J3869" s="3">
        <v>1519</v>
      </c>
      <c r="K3869" s="3">
        <v>394</v>
      </c>
      <c r="L3869" t="s">
        <v>113</v>
      </c>
      <c r="M3869">
        <v>12</v>
      </c>
      <c r="N3869" t="s">
        <v>26</v>
      </c>
      <c r="O3869" t="s">
        <v>11</v>
      </c>
      <c r="P3869" t="s">
        <v>12</v>
      </c>
      <c r="Q3869" t="s">
        <v>13</v>
      </c>
      <c r="R3869" t="s">
        <v>13</v>
      </c>
      <c r="S3869" t="s">
        <v>144</v>
      </c>
      <c r="T3869" s="2">
        <f>MASTER[[#This Row],[CANTIDAD]]*MASTER[[#This Row],[PRECIO DE VENTA]]</f>
        <v>1519</v>
      </c>
      <c r="U3869" s="2">
        <f>MASTER[[#This Row],[CANTIDAD]]*MASTER[[#This Row],[COSTO UNITARIO]]</f>
        <v>394</v>
      </c>
      <c r="V3869" s="2">
        <f>MASTER[[#This Row],[MONTO VENDIDO]]-MASTER[[#This Row],[COSTO DE VENTA]]</f>
        <v>1125</v>
      </c>
    </row>
    <row r="3870" spans="1:22" x14ac:dyDescent="0.3">
      <c r="A3870">
        <v>59114</v>
      </c>
      <c r="B3870">
        <v>1</v>
      </c>
      <c r="C3870" t="s">
        <v>121</v>
      </c>
      <c r="D3870" t="s">
        <v>122</v>
      </c>
      <c r="E3870" s="1">
        <v>44270</v>
      </c>
      <c r="F3870">
        <v>3</v>
      </c>
      <c r="G3870" t="s">
        <v>47</v>
      </c>
      <c r="H3870" t="s">
        <v>48</v>
      </c>
      <c r="I3870" s="3">
        <v>1144</v>
      </c>
      <c r="J3870" s="3">
        <v>1144</v>
      </c>
      <c r="K3870" s="3">
        <v>460</v>
      </c>
      <c r="L3870" t="s">
        <v>120</v>
      </c>
      <c r="M3870">
        <v>18</v>
      </c>
      <c r="N3870" t="s">
        <v>79</v>
      </c>
      <c r="O3870" t="s">
        <v>70</v>
      </c>
      <c r="P3870" t="s">
        <v>15</v>
      </c>
      <c r="Q3870" t="s">
        <v>16</v>
      </c>
      <c r="R3870" t="s">
        <v>16</v>
      </c>
      <c r="S3870" t="s">
        <v>144</v>
      </c>
      <c r="T3870" s="2">
        <f>MASTER[[#This Row],[CANTIDAD]]*MASTER[[#This Row],[PRECIO DE VENTA]]</f>
        <v>3432</v>
      </c>
      <c r="U3870" s="2">
        <f>MASTER[[#This Row],[CANTIDAD]]*MASTER[[#This Row],[COSTO UNITARIO]]</f>
        <v>1380</v>
      </c>
      <c r="V3870" s="2">
        <f>MASTER[[#This Row],[MONTO VENDIDO]]-MASTER[[#This Row],[COSTO DE VENTA]]</f>
        <v>2052</v>
      </c>
    </row>
    <row r="3871" spans="1:22" x14ac:dyDescent="0.3">
      <c r="A3871">
        <v>59118</v>
      </c>
      <c r="B3871">
        <v>1</v>
      </c>
      <c r="C3871" t="s">
        <v>103</v>
      </c>
      <c r="D3871" t="s">
        <v>104</v>
      </c>
      <c r="E3871" s="1">
        <v>44270</v>
      </c>
      <c r="F3871">
        <v>1</v>
      </c>
      <c r="G3871" t="s">
        <v>7</v>
      </c>
      <c r="H3871" t="s">
        <v>8</v>
      </c>
      <c r="I3871" s="3">
        <v>1830</v>
      </c>
      <c r="J3871" s="3">
        <v>1830</v>
      </c>
      <c r="K3871" s="3">
        <v>421</v>
      </c>
      <c r="L3871" t="s">
        <v>98</v>
      </c>
      <c r="M3871">
        <v>1</v>
      </c>
      <c r="N3871" t="s">
        <v>77</v>
      </c>
      <c r="O3871" t="s">
        <v>70</v>
      </c>
      <c r="P3871" t="s">
        <v>71</v>
      </c>
      <c r="Q3871" t="s">
        <v>72</v>
      </c>
      <c r="R3871" t="s">
        <v>139</v>
      </c>
      <c r="S3871" t="s">
        <v>144</v>
      </c>
      <c r="T3871" s="2">
        <f>MASTER[[#This Row],[CANTIDAD]]*MASTER[[#This Row],[PRECIO DE VENTA]]</f>
        <v>1830</v>
      </c>
      <c r="U3871" s="2">
        <f>MASTER[[#This Row],[CANTIDAD]]*MASTER[[#This Row],[COSTO UNITARIO]]</f>
        <v>421</v>
      </c>
      <c r="V3871" s="2">
        <f>MASTER[[#This Row],[MONTO VENDIDO]]-MASTER[[#This Row],[COSTO DE VENTA]]</f>
        <v>1409</v>
      </c>
    </row>
    <row r="3872" spans="1:22" x14ac:dyDescent="0.3">
      <c r="A3872">
        <v>59127</v>
      </c>
      <c r="B3872">
        <v>1</v>
      </c>
      <c r="C3872" t="s">
        <v>107</v>
      </c>
      <c r="D3872" t="s">
        <v>108</v>
      </c>
      <c r="E3872" s="1">
        <v>44270</v>
      </c>
      <c r="F3872">
        <v>1</v>
      </c>
      <c r="G3872" t="s">
        <v>7</v>
      </c>
      <c r="H3872" t="s">
        <v>8</v>
      </c>
      <c r="I3872" s="3">
        <v>1333</v>
      </c>
      <c r="J3872" s="3">
        <v>1333</v>
      </c>
      <c r="K3872" s="3">
        <v>380</v>
      </c>
      <c r="L3872" t="s">
        <v>98</v>
      </c>
      <c r="M3872">
        <v>14</v>
      </c>
      <c r="N3872" t="s">
        <v>87</v>
      </c>
      <c r="O3872" t="s">
        <v>81</v>
      </c>
      <c r="P3872" t="s">
        <v>18</v>
      </c>
      <c r="Q3872" t="s">
        <v>19</v>
      </c>
      <c r="R3872" t="s">
        <v>138</v>
      </c>
      <c r="S3872" t="s">
        <v>144</v>
      </c>
      <c r="T3872" s="2">
        <f>MASTER[[#This Row],[CANTIDAD]]*MASTER[[#This Row],[PRECIO DE VENTA]]</f>
        <v>1333</v>
      </c>
      <c r="U3872" s="2">
        <f>MASTER[[#This Row],[CANTIDAD]]*MASTER[[#This Row],[COSTO UNITARIO]]</f>
        <v>380</v>
      </c>
      <c r="V3872" s="2">
        <f>MASTER[[#This Row],[MONTO VENDIDO]]-MASTER[[#This Row],[COSTO DE VENTA]]</f>
        <v>953</v>
      </c>
    </row>
    <row r="3873" spans="1:22" x14ac:dyDescent="0.3">
      <c r="A3873">
        <v>59132</v>
      </c>
      <c r="B3873">
        <v>1</v>
      </c>
      <c r="C3873" t="s">
        <v>121</v>
      </c>
      <c r="D3873" t="s">
        <v>122</v>
      </c>
      <c r="E3873" s="1">
        <v>44271</v>
      </c>
      <c r="F3873">
        <v>1</v>
      </c>
      <c r="G3873" t="s">
        <v>57</v>
      </c>
      <c r="H3873" t="s">
        <v>58</v>
      </c>
      <c r="I3873" s="3">
        <v>1069</v>
      </c>
      <c r="J3873" s="3">
        <v>1069</v>
      </c>
      <c r="K3873" s="3">
        <v>460</v>
      </c>
      <c r="L3873" t="s">
        <v>120</v>
      </c>
      <c r="M3873">
        <v>14</v>
      </c>
      <c r="N3873" t="s">
        <v>87</v>
      </c>
      <c r="O3873" t="s">
        <v>81</v>
      </c>
      <c r="P3873" t="s">
        <v>18</v>
      </c>
      <c r="Q3873" t="s">
        <v>19</v>
      </c>
      <c r="R3873" t="s">
        <v>138</v>
      </c>
      <c r="S3873" t="s">
        <v>144</v>
      </c>
      <c r="T3873" s="2">
        <f>MASTER[[#This Row],[CANTIDAD]]*MASTER[[#This Row],[PRECIO DE VENTA]]</f>
        <v>1069</v>
      </c>
      <c r="U3873" s="2">
        <f>MASTER[[#This Row],[CANTIDAD]]*MASTER[[#This Row],[COSTO UNITARIO]]</f>
        <v>460</v>
      </c>
      <c r="V3873" s="2">
        <f>MASTER[[#This Row],[MONTO VENDIDO]]-MASTER[[#This Row],[COSTO DE VENTA]]</f>
        <v>609</v>
      </c>
    </row>
    <row r="3874" spans="1:22" x14ac:dyDescent="0.3">
      <c r="A3874">
        <v>59138</v>
      </c>
      <c r="B3874">
        <v>1</v>
      </c>
      <c r="C3874" t="s">
        <v>114</v>
      </c>
      <c r="D3874" t="s">
        <v>115</v>
      </c>
      <c r="E3874" s="1">
        <v>44271</v>
      </c>
      <c r="F3874">
        <v>1</v>
      </c>
      <c r="G3874" t="s">
        <v>59</v>
      </c>
      <c r="H3874" t="s">
        <v>60</v>
      </c>
      <c r="I3874" s="3">
        <v>2030</v>
      </c>
      <c r="J3874" s="3">
        <v>2030</v>
      </c>
      <c r="K3874" s="3">
        <v>394</v>
      </c>
      <c r="L3874" t="s">
        <v>113</v>
      </c>
      <c r="M3874">
        <v>9</v>
      </c>
      <c r="N3874" t="s">
        <v>76</v>
      </c>
      <c r="O3874" t="s">
        <v>70</v>
      </c>
      <c r="P3874" t="s">
        <v>12</v>
      </c>
      <c r="Q3874" t="s">
        <v>13</v>
      </c>
      <c r="R3874" t="s">
        <v>13</v>
      </c>
      <c r="S3874" t="s">
        <v>144</v>
      </c>
      <c r="T3874" s="2">
        <f>MASTER[[#This Row],[CANTIDAD]]*MASTER[[#This Row],[PRECIO DE VENTA]]</f>
        <v>2030</v>
      </c>
      <c r="U3874" s="2">
        <f>MASTER[[#This Row],[CANTIDAD]]*MASTER[[#This Row],[COSTO UNITARIO]]</f>
        <v>394</v>
      </c>
      <c r="V3874" s="2">
        <f>MASTER[[#This Row],[MONTO VENDIDO]]-MASTER[[#This Row],[COSTO DE VENTA]]</f>
        <v>1636</v>
      </c>
    </row>
    <row r="3875" spans="1:22" x14ac:dyDescent="0.3">
      <c r="A3875">
        <v>59142</v>
      </c>
      <c r="B3875">
        <v>1</v>
      </c>
      <c r="C3875" t="s">
        <v>101</v>
      </c>
      <c r="D3875" t="s">
        <v>102</v>
      </c>
      <c r="E3875" s="1">
        <v>44271</v>
      </c>
      <c r="F3875">
        <v>1</v>
      </c>
      <c r="G3875" t="s">
        <v>61</v>
      </c>
      <c r="H3875" t="s">
        <v>62</v>
      </c>
      <c r="I3875" s="3">
        <v>1054</v>
      </c>
      <c r="J3875" s="3">
        <v>1054</v>
      </c>
      <c r="K3875" s="3">
        <v>442</v>
      </c>
      <c r="L3875" t="s">
        <v>98</v>
      </c>
      <c r="M3875">
        <v>12</v>
      </c>
      <c r="N3875" t="s">
        <v>26</v>
      </c>
      <c r="O3875" t="s">
        <v>11</v>
      </c>
      <c r="P3875" t="s">
        <v>12</v>
      </c>
      <c r="Q3875" t="s">
        <v>13</v>
      </c>
      <c r="R3875" t="s">
        <v>13</v>
      </c>
      <c r="S3875" t="s">
        <v>144</v>
      </c>
      <c r="T3875" s="2">
        <f>MASTER[[#This Row],[CANTIDAD]]*MASTER[[#This Row],[PRECIO DE VENTA]]</f>
        <v>1054</v>
      </c>
      <c r="U3875" s="2">
        <f>MASTER[[#This Row],[CANTIDAD]]*MASTER[[#This Row],[COSTO UNITARIO]]</f>
        <v>442</v>
      </c>
      <c r="V3875" s="2">
        <f>MASTER[[#This Row],[MONTO VENDIDO]]-MASTER[[#This Row],[COSTO DE VENTA]]</f>
        <v>612</v>
      </c>
    </row>
    <row r="3876" spans="1:22" x14ac:dyDescent="0.3">
      <c r="A3876">
        <v>59164</v>
      </c>
      <c r="B3876">
        <v>1</v>
      </c>
      <c r="C3876" t="s">
        <v>5</v>
      </c>
      <c r="D3876" t="s">
        <v>6</v>
      </c>
      <c r="E3876" s="1">
        <v>44272</v>
      </c>
      <c r="F3876">
        <v>1</v>
      </c>
      <c r="G3876" t="s">
        <v>27</v>
      </c>
      <c r="H3876" t="s">
        <v>28</v>
      </c>
      <c r="I3876" s="3">
        <v>1311</v>
      </c>
      <c r="J3876" s="3">
        <v>1179</v>
      </c>
      <c r="K3876" s="3">
        <v>393</v>
      </c>
      <c r="L3876" t="s">
        <v>9</v>
      </c>
      <c r="M3876">
        <v>11</v>
      </c>
      <c r="N3876" t="s">
        <v>10</v>
      </c>
      <c r="O3876" t="s">
        <v>11</v>
      </c>
      <c r="P3876" t="s">
        <v>12</v>
      </c>
      <c r="Q3876" t="s">
        <v>13</v>
      </c>
      <c r="R3876" t="s">
        <v>13</v>
      </c>
      <c r="S3876" t="s">
        <v>144</v>
      </c>
      <c r="T3876" s="2">
        <f>MASTER[[#This Row],[CANTIDAD]]*MASTER[[#This Row],[PRECIO DE VENTA]]</f>
        <v>1179</v>
      </c>
      <c r="U3876" s="2">
        <f>MASTER[[#This Row],[CANTIDAD]]*MASTER[[#This Row],[COSTO UNITARIO]]</f>
        <v>393</v>
      </c>
      <c r="V3876" s="2">
        <f>MASTER[[#This Row],[MONTO VENDIDO]]-MASTER[[#This Row],[COSTO DE VENTA]]</f>
        <v>786</v>
      </c>
    </row>
    <row r="3877" spans="1:22" x14ac:dyDescent="0.3">
      <c r="A3877">
        <v>59169</v>
      </c>
      <c r="B3877">
        <v>1</v>
      </c>
      <c r="C3877" t="s">
        <v>121</v>
      </c>
      <c r="D3877" t="s">
        <v>122</v>
      </c>
      <c r="E3877" s="1">
        <v>44272</v>
      </c>
      <c r="F3877">
        <v>1</v>
      </c>
      <c r="G3877" t="s">
        <v>7</v>
      </c>
      <c r="H3877" t="s">
        <v>8</v>
      </c>
      <c r="I3877" s="3">
        <v>1069</v>
      </c>
      <c r="J3877" s="3">
        <v>1069</v>
      </c>
      <c r="K3877" s="3">
        <v>460</v>
      </c>
      <c r="L3877" t="s">
        <v>120</v>
      </c>
      <c r="M3877">
        <v>8</v>
      </c>
      <c r="N3877" t="s">
        <v>80</v>
      </c>
      <c r="O3877" t="s">
        <v>81</v>
      </c>
      <c r="P3877" t="s">
        <v>12</v>
      </c>
      <c r="Q3877" t="s">
        <v>13</v>
      </c>
      <c r="R3877" t="s">
        <v>13</v>
      </c>
      <c r="S3877" t="s">
        <v>144</v>
      </c>
      <c r="T3877" s="2">
        <f>MASTER[[#This Row],[CANTIDAD]]*MASTER[[#This Row],[PRECIO DE VENTA]]</f>
        <v>1069</v>
      </c>
      <c r="U3877" s="2">
        <f>MASTER[[#This Row],[CANTIDAD]]*MASTER[[#This Row],[COSTO UNITARIO]]</f>
        <v>460</v>
      </c>
      <c r="V3877" s="2">
        <f>MASTER[[#This Row],[MONTO VENDIDO]]-MASTER[[#This Row],[COSTO DE VENTA]]</f>
        <v>609</v>
      </c>
    </row>
    <row r="3878" spans="1:22" x14ac:dyDescent="0.3">
      <c r="A3878">
        <v>59175</v>
      </c>
      <c r="B3878">
        <v>1</v>
      </c>
      <c r="C3878" t="s">
        <v>107</v>
      </c>
      <c r="D3878" t="s">
        <v>108</v>
      </c>
      <c r="E3878" s="1">
        <v>44272</v>
      </c>
      <c r="F3878">
        <v>1</v>
      </c>
      <c r="G3878" t="s">
        <v>51</v>
      </c>
      <c r="H3878" t="s">
        <v>52</v>
      </c>
      <c r="I3878" s="3">
        <v>1440</v>
      </c>
      <c r="J3878" s="3">
        <v>1440</v>
      </c>
      <c r="K3878" s="3">
        <v>380</v>
      </c>
      <c r="L3878" t="s">
        <v>98</v>
      </c>
      <c r="M3878">
        <v>6</v>
      </c>
      <c r="N3878" t="s">
        <v>75</v>
      </c>
      <c r="O3878" t="s">
        <v>70</v>
      </c>
      <c r="P3878" t="s">
        <v>12</v>
      </c>
      <c r="Q3878" t="s">
        <v>13</v>
      </c>
      <c r="R3878" t="s">
        <v>13</v>
      </c>
      <c r="S3878" t="s">
        <v>144</v>
      </c>
      <c r="T3878" s="2">
        <f>MASTER[[#This Row],[CANTIDAD]]*MASTER[[#This Row],[PRECIO DE VENTA]]</f>
        <v>1440</v>
      </c>
      <c r="U3878" s="2">
        <f>MASTER[[#This Row],[CANTIDAD]]*MASTER[[#This Row],[COSTO UNITARIO]]</f>
        <v>380</v>
      </c>
      <c r="V3878" s="2">
        <f>MASTER[[#This Row],[MONTO VENDIDO]]-MASTER[[#This Row],[COSTO DE VENTA]]</f>
        <v>1060</v>
      </c>
    </row>
    <row r="3879" spans="1:22" x14ac:dyDescent="0.3">
      <c r="A3879">
        <v>59196</v>
      </c>
      <c r="B3879">
        <v>1</v>
      </c>
      <c r="C3879" t="s">
        <v>107</v>
      </c>
      <c r="D3879" t="s">
        <v>108</v>
      </c>
      <c r="E3879" s="1">
        <v>44272</v>
      </c>
      <c r="F3879">
        <v>1</v>
      </c>
      <c r="G3879" t="s">
        <v>65</v>
      </c>
      <c r="H3879" t="s">
        <v>66</v>
      </c>
      <c r="I3879" s="3">
        <v>1440</v>
      </c>
      <c r="J3879" s="3">
        <v>1440</v>
      </c>
      <c r="K3879" s="3">
        <v>380</v>
      </c>
      <c r="L3879" t="s">
        <v>98</v>
      </c>
      <c r="M3879">
        <v>3</v>
      </c>
      <c r="N3879" t="s">
        <v>69</v>
      </c>
      <c r="O3879" t="s">
        <v>70</v>
      </c>
      <c r="P3879" t="s">
        <v>71</v>
      </c>
      <c r="Q3879" t="s">
        <v>72</v>
      </c>
      <c r="R3879" t="s">
        <v>139</v>
      </c>
      <c r="S3879" t="s">
        <v>144</v>
      </c>
      <c r="T3879" s="2">
        <f>MASTER[[#This Row],[CANTIDAD]]*MASTER[[#This Row],[PRECIO DE VENTA]]</f>
        <v>1440</v>
      </c>
      <c r="U3879" s="2">
        <f>MASTER[[#This Row],[CANTIDAD]]*MASTER[[#This Row],[COSTO UNITARIO]]</f>
        <v>380</v>
      </c>
      <c r="V3879" s="2">
        <f>MASTER[[#This Row],[MONTO VENDIDO]]-MASTER[[#This Row],[COSTO DE VENTA]]</f>
        <v>1060</v>
      </c>
    </row>
    <row r="3880" spans="1:22" x14ac:dyDescent="0.3">
      <c r="A3880">
        <v>59197</v>
      </c>
      <c r="B3880">
        <v>1</v>
      </c>
      <c r="C3880" t="s">
        <v>90</v>
      </c>
      <c r="D3880" t="s">
        <v>91</v>
      </c>
      <c r="E3880" s="1">
        <v>44272</v>
      </c>
      <c r="F3880">
        <v>4</v>
      </c>
      <c r="G3880" t="s">
        <v>20</v>
      </c>
      <c r="H3880" t="s">
        <v>21</v>
      </c>
      <c r="I3880" s="3">
        <v>1844</v>
      </c>
      <c r="J3880" s="3">
        <v>1844</v>
      </c>
      <c r="K3880" s="3">
        <v>420</v>
      </c>
      <c r="L3880" t="s">
        <v>9</v>
      </c>
      <c r="M3880">
        <v>19</v>
      </c>
      <c r="N3880" t="s">
        <v>89</v>
      </c>
      <c r="O3880" t="s">
        <v>81</v>
      </c>
      <c r="P3880" t="s">
        <v>15</v>
      </c>
      <c r="Q3880" t="s">
        <v>16</v>
      </c>
      <c r="R3880" t="s">
        <v>16</v>
      </c>
      <c r="S3880" t="s">
        <v>144</v>
      </c>
      <c r="T3880" s="2">
        <f>MASTER[[#This Row],[CANTIDAD]]*MASTER[[#This Row],[PRECIO DE VENTA]]</f>
        <v>7376</v>
      </c>
      <c r="U3880" s="2">
        <f>MASTER[[#This Row],[CANTIDAD]]*MASTER[[#This Row],[COSTO UNITARIO]]</f>
        <v>1680</v>
      </c>
      <c r="V3880" s="2">
        <f>MASTER[[#This Row],[MONTO VENDIDO]]-MASTER[[#This Row],[COSTO DE VENTA]]</f>
        <v>5696</v>
      </c>
    </row>
    <row r="3881" spans="1:22" x14ac:dyDescent="0.3">
      <c r="A3881">
        <v>59201</v>
      </c>
      <c r="B3881">
        <v>1</v>
      </c>
      <c r="C3881" t="s">
        <v>90</v>
      </c>
      <c r="D3881" t="s">
        <v>91</v>
      </c>
      <c r="E3881" s="1">
        <v>44272</v>
      </c>
      <c r="F3881">
        <v>1</v>
      </c>
      <c r="G3881" t="s">
        <v>49</v>
      </c>
      <c r="H3881" t="s">
        <v>50</v>
      </c>
      <c r="I3881" s="3">
        <v>1660</v>
      </c>
      <c r="J3881" s="3">
        <v>1660</v>
      </c>
      <c r="K3881" s="3">
        <v>420</v>
      </c>
      <c r="L3881" t="s">
        <v>9</v>
      </c>
      <c r="M3881">
        <v>11</v>
      </c>
      <c r="N3881" t="s">
        <v>10</v>
      </c>
      <c r="O3881" t="s">
        <v>11</v>
      </c>
      <c r="P3881" t="s">
        <v>12</v>
      </c>
      <c r="Q3881" t="s">
        <v>13</v>
      </c>
      <c r="R3881" t="s">
        <v>13</v>
      </c>
      <c r="S3881" t="s">
        <v>144</v>
      </c>
      <c r="T3881" s="2">
        <f>MASTER[[#This Row],[CANTIDAD]]*MASTER[[#This Row],[PRECIO DE VENTA]]</f>
        <v>1660</v>
      </c>
      <c r="U3881" s="2">
        <f>MASTER[[#This Row],[CANTIDAD]]*MASTER[[#This Row],[COSTO UNITARIO]]</f>
        <v>420</v>
      </c>
      <c r="V3881" s="2">
        <f>MASTER[[#This Row],[MONTO VENDIDO]]-MASTER[[#This Row],[COSTO DE VENTA]]</f>
        <v>1240</v>
      </c>
    </row>
    <row r="3882" spans="1:22" x14ac:dyDescent="0.3">
      <c r="A3882">
        <v>59211</v>
      </c>
      <c r="B3882">
        <v>1</v>
      </c>
      <c r="C3882" t="s">
        <v>99</v>
      </c>
      <c r="D3882" t="s">
        <v>100</v>
      </c>
      <c r="E3882" s="1">
        <v>44272</v>
      </c>
      <c r="F3882">
        <v>3</v>
      </c>
      <c r="G3882" t="s">
        <v>35</v>
      </c>
      <c r="H3882" t="s">
        <v>36</v>
      </c>
      <c r="I3882" s="3">
        <v>1328</v>
      </c>
      <c r="J3882" s="3">
        <v>1328</v>
      </c>
      <c r="K3882" s="3">
        <v>386</v>
      </c>
      <c r="L3882" t="s">
        <v>98</v>
      </c>
      <c r="M3882">
        <v>12</v>
      </c>
      <c r="N3882" t="s">
        <v>26</v>
      </c>
      <c r="O3882" t="s">
        <v>11</v>
      </c>
      <c r="P3882" t="s">
        <v>12</v>
      </c>
      <c r="Q3882" t="s">
        <v>13</v>
      </c>
      <c r="R3882" t="s">
        <v>13</v>
      </c>
      <c r="S3882" t="s">
        <v>144</v>
      </c>
      <c r="T3882" s="2">
        <f>MASTER[[#This Row],[CANTIDAD]]*MASTER[[#This Row],[PRECIO DE VENTA]]</f>
        <v>3984</v>
      </c>
      <c r="U3882" s="2">
        <f>MASTER[[#This Row],[CANTIDAD]]*MASTER[[#This Row],[COSTO UNITARIO]]</f>
        <v>1158</v>
      </c>
      <c r="V3882" s="2">
        <f>MASTER[[#This Row],[MONTO VENDIDO]]-MASTER[[#This Row],[COSTO DE VENTA]]</f>
        <v>2826</v>
      </c>
    </row>
    <row r="3883" spans="1:22" x14ac:dyDescent="0.3">
      <c r="A3883">
        <v>59227</v>
      </c>
      <c r="B3883">
        <v>1</v>
      </c>
      <c r="C3883" t="s">
        <v>118</v>
      </c>
      <c r="D3883" t="s">
        <v>119</v>
      </c>
      <c r="E3883" s="1">
        <v>44272</v>
      </c>
      <c r="F3883">
        <v>1</v>
      </c>
      <c r="G3883" t="s">
        <v>47</v>
      </c>
      <c r="H3883" t="s">
        <v>48</v>
      </c>
      <c r="I3883" s="3">
        <v>1026</v>
      </c>
      <c r="J3883" s="3">
        <v>943</v>
      </c>
      <c r="K3883" s="3">
        <v>424</v>
      </c>
      <c r="L3883" t="s">
        <v>120</v>
      </c>
      <c r="M3883">
        <v>13</v>
      </c>
      <c r="N3883" t="s">
        <v>78</v>
      </c>
      <c r="O3883" t="s">
        <v>70</v>
      </c>
      <c r="P3883" t="s">
        <v>18</v>
      </c>
      <c r="Q3883" t="s">
        <v>19</v>
      </c>
      <c r="R3883" t="s">
        <v>138</v>
      </c>
      <c r="S3883" t="s">
        <v>144</v>
      </c>
      <c r="T3883" s="2">
        <f>MASTER[[#This Row],[CANTIDAD]]*MASTER[[#This Row],[PRECIO DE VENTA]]</f>
        <v>943</v>
      </c>
      <c r="U3883" s="2">
        <f>MASTER[[#This Row],[CANTIDAD]]*MASTER[[#This Row],[COSTO UNITARIO]]</f>
        <v>424</v>
      </c>
      <c r="V3883" s="2">
        <f>MASTER[[#This Row],[MONTO VENDIDO]]-MASTER[[#This Row],[COSTO DE VENTA]]</f>
        <v>519</v>
      </c>
    </row>
    <row r="3884" spans="1:22" x14ac:dyDescent="0.3">
      <c r="A3884">
        <v>59230</v>
      </c>
      <c r="B3884">
        <v>1</v>
      </c>
      <c r="C3884" t="s">
        <v>92</v>
      </c>
      <c r="D3884" t="s">
        <v>93</v>
      </c>
      <c r="E3884" s="1">
        <v>44272</v>
      </c>
      <c r="F3884">
        <v>1</v>
      </c>
      <c r="G3884" t="s">
        <v>24</v>
      </c>
      <c r="H3884" t="s">
        <v>25</v>
      </c>
      <c r="I3884" s="3">
        <v>1681</v>
      </c>
      <c r="J3884" s="3">
        <v>1681</v>
      </c>
      <c r="K3884" s="3">
        <v>396</v>
      </c>
      <c r="L3884" t="s">
        <v>9</v>
      </c>
      <c r="M3884">
        <v>5</v>
      </c>
      <c r="N3884" t="s">
        <v>85</v>
      </c>
      <c r="O3884" t="s">
        <v>81</v>
      </c>
      <c r="P3884" t="s">
        <v>12</v>
      </c>
      <c r="Q3884" t="s">
        <v>13</v>
      </c>
      <c r="R3884" t="s">
        <v>13</v>
      </c>
      <c r="S3884" t="s">
        <v>144</v>
      </c>
      <c r="T3884" s="2">
        <f>MASTER[[#This Row],[CANTIDAD]]*MASTER[[#This Row],[PRECIO DE VENTA]]</f>
        <v>1681</v>
      </c>
      <c r="U3884" s="2">
        <f>MASTER[[#This Row],[CANTIDAD]]*MASTER[[#This Row],[COSTO UNITARIO]]</f>
        <v>396</v>
      </c>
      <c r="V3884" s="2">
        <f>MASTER[[#This Row],[MONTO VENDIDO]]-MASTER[[#This Row],[COSTO DE VENTA]]</f>
        <v>1285</v>
      </c>
    </row>
    <row r="3885" spans="1:22" x14ac:dyDescent="0.3">
      <c r="A3885">
        <v>59239</v>
      </c>
      <c r="B3885">
        <v>1</v>
      </c>
      <c r="C3885" t="s">
        <v>116</v>
      </c>
      <c r="D3885" t="s">
        <v>117</v>
      </c>
      <c r="E3885" s="1">
        <v>44272</v>
      </c>
      <c r="F3885">
        <v>1</v>
      </c>
      <c r="G3885" t="s">
        <v>57</v>
      </c>
      <c r="H3885" t="s">
        <v>58</v>
      </c>
      <c r="I3885" s="3">
        <v>1738</v>
      </c>
      <c r="J3885" s="3">
        <v>1738</v>
      </c>
      <c r="K3885" s="3">
        <v>388</v>
      </c>
      <c r="L3885" t="s">
        <v>113</v>
      </c>
      <c r="M3885">
        <v>15</v>
      </c>
      <c r="N3885" t="s">
        <v>88</v>
      </c>
      <c r="O3885" t="s">
        <v>81</v>
      </c>
      <c r="P3885" t="s">
        <v>18</v>
      </c>
      <c r="Q3885" t="s">
        <v>19</v>
      </c>
      <c r="R3885" t="s">
        <v>138</v>
      </c>
      <c r="S3885" t="s">
        <v>144</v>
      </c>
      <c r="T3885" s="2">
        <f>MASTER[[#This Row],[CANTIDAD]]*MASTER[[#This Row],[PRECIO DE VENTA]]</f>
        <v>1738</v>
      </c>
      <c r="U3885" s="2">
        <f>MASTER[[#This Row],[CANTIDAD]]*MASTER[[#This Row],[COSTO UNITARIO]]</f>
        <v>388</v>
      </c>
      <c r="V3885" s="2">
        <f>MASTER[[#This Row],[MONTO VENDIDO]]-MASTER[[#This Row],[COSTO DE VENTA]]</f>
        <v>1350</v>
      </c>
    </row>
    <row r="3886" spans="1:22" x14ac:dyDescent="0.3">
      <c r="A3886">
        <v>59247</v>
      </c>
      <c r="B3886">
        <v>1</v>
      </c>
      <c r="C3886" t="s">
        <v>116</v>
      </c>
      <c r="D3886" t="s">
        <v>117</v>
      </c>
      <c r="E3886" s="1">
        <v>44272</v>
      </c>
      <c r="F3886">
        <v>1</v>
      </c>
      <c r="G3886" t="s">
        <v>57</v>
      </c>
      <c r="H3886" t="s">
        <v>58</v>
      </c>
      <c r="I3886" s="3">
        <v>1738</v>
      </c>
      <c r="J3886" s="3">
        <v>1738</v>
      </c>
      <c r="K3886" s="3">
        <v>388</v>
      </c>
      <c r="L3886" t="s">
        <v>113</v>
      </c>
      <c r="M3886">
        <v>10</v>
      </c>
      <c r="N3886" t="s">
        <v>83</v>
      </c>
      <c r="O3886" t="s">
        <v>81</v>
      </c>
      <c r="P3886" t="s">
        <v>12</v>
      </c>
      <c r="Q3886" t="s">
        <v>13</v>
      </c>
      <c r="R3886" t="s">
        <v>13</v>
      </c>
      <c r="S3886" t="s">
        <v>144</v>
      </c>
      <c r="T3886" s="2">
        <f>MASTER[[#This Row],[CANTIDAD]]*MASTER[[#This Row],[PRECIO DE VENTA]]</f>
        <v>1738</v>
      </c>
      <c r="U3886" s="2">
        <f>MASTER[[#This Row],[CANTIDAD]]*MASTER[[#This Row],[COSTO UNITARIO]]</f>
        <v>388</v>
      </c>
      <c r="V3886" s="2">
        <f>MASTER[[#This Row],[MONTO VENDIDO]]-MASTER[[#This Row],[COSTO DE VENTA]]</f>
        <v>1350</v>
      </c>
    </row>
    <row r="3887" spans="1:22" x14ac:dyDescent="0.3">
      <c r="A3887">
        <v>59259</v>
      </c>
      <c r="B3887">
        <v>1</v>
      </c>
      <c r="C3887" t="s">
        <v>101</v>
      </c>
      <c r="D3887" t="s">
        <v>102</v>
      </c>
      <c r="E3887" s="1">
        <v>44272</v>
      </c>
      <c r="F3887">
        <v>1</v>
      </c>
      <c r="G3887" t="s">
        <v>53</v>
      </c>
      <c r="H3887" t="s">
        <v>54</v>
      </c>
      <c r="I3887" s="3">
        <v>1357</v>
      </c>
      <c r="J3887" s="3">
        <v>1357</v>
      </c>
      <c r="K3887" s="3">
        <v>442</v>
      </c>
      <c r="L3887" t="s">
        <v>98</v>
      </c>
      <c r="M3887">
        <v>1</v>
      </c>
      <c r="N3887" t="s">
        <v>77</v>
      </c>
      <c r="O3887" t="s">
        <v>70</v>
      </c>
      <c r="P3887" t="s">
        <v>71</v>
      </c>
      <c r="Q3887" t="s">
        <v>72</v>
      </c>
      <c r="R3887" t="s">
        <v>139</v>
      </c>
      <c r="S3887" t="s">
        <v>144</v>
      </c>
      <c r="T3887" s="2">
        <f>MASTER[[#This Row],[CANTIDAD]]*MASTER[[#This Row],[PRECIO DE VENTA]]</f>
        <v>1357</v>
      </c>
      <c r="U3887" s="2">
        <f>MASTER[[#This Row],[CANTIDAD]]*MASTER[[#This Row],[COSTO UNITARIO]]</f>
        <v>442</v>
      </c>
      <c r="V3887" s="2">
        <f>MASTER[[#This Row],[MONTO VENDIDO]]-MASTER[[#This Row],[COSTO DE VENTA]]</f>
        <v>915</v>
      </c>
    </row>
    <row r="3888" spans="1:22" x14ac:dyDescent="0.3">
      <c r="A3888">
        <v>59270</v>
      </c>
      <c r="B3888">
        <v>1</v>
      </c>
      <c r="C3888" t="s">
        <v>99</v>
      </c>
      <c r="D3888" t="s">
        <v>100</v>
      </c>
      <c r="E3888" s="1">
        <v>44272</v>
      </c>
      <c r="F3888">
        <v>1</v>
      </c>
      <c r="G3888" t="s">
        <v>59</v>
      </c>
      <c r="H3888" t="s">
        <v>60</v>
      </c>
      <c r="I3888" s="3">
        <v>1459</v>
      </c>
      <c r="J3888" s="3">
        <v>1459</v>
      </c>
      <c r="K3888" s="3">
        <v>386</v>
      </c>
      <c r="L3888" t="s">
        <v>98</v>
      </c>
      <c r="M3888">
        <v>7</v>
      </c>
      <c r="N3888" t="s">
        <v>84</v>
      </c>
      <c r="O3888" t="s">
        <v>81</v>
      </c>
      <c r="P3888" t="s">
        <v>12</v>
      </c>
      <c r="Q3888" t="s">
        <v>13</v>
      </c>
      <c r="R3888" t="s">
        <v>13</v>
      </c>
      <c r="S3888" t="s">
        <v>144</v>
      </c>
      <c r="T3888" s="2">
        <f>MASTER[[#This Row],[CANTIDAD]]*MASTER[[#This Row],[PRECIO DE VENTA]]</f>
        <v>1459</v>
      </c>
      <c r="U3888" s="2">
        <f>MASTER[[#This Row],[CANTIDAD]]*MASTER[[#This Row],[COSTO UNITARIO]]</f>
        <v>386</v>
      </c>
      <c r="V3888" s="2">
        <f>MASTER[[#This Row],[MONTO VENDIDO]]-MASTER[[#This Row],[COSTO DE VENTA]]</f>
        <v>1073</v>
      </c>
    </row>
    <row r="3889" spans="1:22" x14ac:dyDescent="0.3">
      <c r="A3889">
        <v>59274</v>
      </c>
      <c r="B3889">
        <v>1</v>
      </c>
      <c r="C3889" t="s">
        <v>118</v>
      </c>
      <c r="D3889" t="s">
        <v>119</v>
      </c>
      <c r="E3889" s="1">
        <v>44273</v>
      </c>
      <c r="F3889">
        <v>1</v>
      </c>
      <c r="G3889" t="s">
        <v>35</v>
      </c>
      <c r="H3889" t="s">
        <v>36</v>
      </c>
      <c r="I3889" s="3">
        <v>900</v>
      </c>
      <c r="J3889" s="3">
        <v>900</v>
      </c>
      <c r="K3889" s="3">
        <v>424</v>
      </c>
      <c r="L3889" t="s">
        <v>120</v>
      </c>
      <c r="M3889">
        <v>2</v>
      </c>
      <c r="N3889" t="s">
        <v>86</v>
      </c>
      <c r="O3889" t="s">
        <v>81</v>
      </c>
      <c r="P3889" t="s">
        <v>71</v>
      </c>
      <c r="Q3889" t="s">
        <v>72</v>
      </c>
      <c r="R3889" t="s">
        <v>139</v>
      </c>
      <c r="S3889" t="s">
        <v>144</v>
      </c>
      <c r="T3889" s="2">
        <f>MASTER[[#This Row],[CANTIDAD]]*MASTER[[#This Row],[PRECIO DE VENTA]]</f>
        <v>900</v>
      </c>
      <c r="U3889" s="2">
        <f>MASTER[[#This Row],[CANTIDAD]]*MASTER[[#This Row],[COSTO UNITARIO]]</f>
        <v>424</v>
      </c>
      <c r="V3889" s="2">
        <f>MASTER[[#This Row],[MONTO VENDIDO]]-MASTER[[#This Row],[COSTO DE VENTA]]</f>
        <v>476</v>
      </c>
    </row>
    <row r="3890" spans="1:22" x14ac:dyDescent="0.3">
      <c r="A3890">
        <v>59279</v>
      </c>
      <c r="B3890">
        <v>1</v>
      </c>
      <c r="C3890" t="s">
        <v>116</v>
      </c>
      <c r="D3890" t="s">
        <v>117</v>
      </c>
      <c r="E3890" s="1">
        <v>44273</v>
      </c>
      <c r="F3890">
        <v>1</v>
      </c>
      <c r="G3890" t="s">
        <v>29</v>
      </c>
      <c r="H3890" t="s">
        <v>30</v>
      </c>
      <c r="I3890" s="3">
        <v>1738</v>
      </c>
      <c r="J3890" s="3">
        <v>1738</v>
      </c>
      <c r="K3890" s="3">
        <v>388</v>
      </c>
      <c r="L3890" t="s">
        <v>113</v>
      </c>
      <c r="M3890">
        <v>8</v>
      </c>
      <c r="N3890" t="s">
        <v>80</v>
      </c>
      <c r="O3890" t="s">
        <v>81</v>
      </c>
      <c r="P3890" t="s">
        <v>12</v>
      </c>
      <c r="Q3890" t="s">
        <v>13</v>
      </c>
      <c r="R3890" t="s">
        <v>13</v>
      </c>
      <c r="S3890" t="s">
        <v>144</v>
      </c>
      <c r="T3890" s="2">
        <f>MASTER[[#This Row],[CANTIDAD]]*MASTER[[#This Row],[PRECIO DE VENTA]]</f>
        <v>1738</v>
      </c>
      <c r="U3890" s="2">
        <f>MASTER[[#This Row],[CANTIDAD]]*MASTER[[#This Row],[COSTO UNITARIO]]</f>
        <v>388</v>
      </c>
      <c r="V3890" s="2">
        <f>MASTER[[#This Row],[MONTO VENDIDO]]-MASTER[[#This Row],[COSTO DE VENTA]]</f>
        <v>1350</v>
      </c>
    </row>
    <row r="3891" spans="1:22" x14ac:dyDescent="0.3">
      <c r="A3891">
        <v>59297</v>
      </c>
      <c r="B3891">
        <v>1</v>
      </c>
      <c r="C3891" t="s">
        <v>114</v>
      </c>
      <c r="D3891" t="s">
        <v>115</v>
      </c>
      <c r="E3891" s="1">
        <v>44273</v>
      </c>
      <c r="F3891">
        <v>1</v>
      </c>
      <c r="G3891" t="s">
        <v>43</v>
      </c>
      <c r="H3891" t="s">
        <v>44</v>
      </c>
      <c r="I3891" s="3">
        <v>1583</v>
      </c>
      <c r="J3891" s="3">
        <v>1583</v>
      </c>
      <c r="K3891" s="3">
        <v>394</v>
      </c>
      <c r="L3891" t="s">
        <v>113</v>
      </c>
      <c r="M3891">
        <v>16</v>
      </c>
      <c r="N3891" t="s">
        <v>17</v>
      </c>
      <c r="O3891" t="s">
        <v>11</v>
      </c>
      <c r="P3891" t="s">
        <v>18</v>
      </c>
      <c r="Q3891" t="s">
        <v>19</v>
      </c>
      <c r="R3891" t="s">
        <v>138</v>
      </c>
      <c r="S3891" t="s">
        <v>144</v>
      </c>
      <c r="T3891" s="2">
        <f>MASTER[[#This Row],[CANTIDAD]]*MASTER[[#This Row],[PRECIO DE VENTA]]</f>
        <v>1583</v>
      </c>
      <c r="U3891" s="2">
        <f>MASTER[[#This Row],[CANTIDAD]]*MASTER[[#This Row],[COSTO UNITARIO]]</f>
        <v>394</v>
      </c>
      <c r="V3891" s="2">
        <f>MASTER[[#This Row],[MONTO VENDIDO]]-MASTER[[#This Row],[COSTO DE VENTA]]</f>
        <v>1189</v>
      </c>
    </row>
    <row r="3892" spans="1:22" x14ac:dyDescent="0.3">
      <c r="A3892">
        <v>59300</v>
      </c>
      <c r="B3892">
        <v>1</v>
      </c>
      <c r="C3892" t="s">
        <v>101</v>
      </c>
      <c r="D3892" t="s">
        <v>102</v>
      </c>
      <c r="E3892" s="1">
        <v>44273</v>
      </c>
      <c r="F3892">
        <v>1</v>
      </c>
      <c r="G3892" t="s">
        <v>27</v>
      </c>
      <c r="H3892" t="s">
        <v>28</v>
      </c>
      <c r="I3892" s="3">
        <v>1212</v>
      </c>
      <c r="J3892" s="3">
        <v>1212</v>
      </c>
      <c r="K3892" s="3">
        <v>442</v>
      </c>
      <c r="L3892" t="s">
        <v>98</v>
      </c>
      <c r="M3892">
        <v>2</v>
      </c>
      <c r="N3892" t="s">
        <v>86</v>
      </c>
      <c r="O3892" t="s">
        <v>81</v>
      </c>
      <c r="P3892" t="s">
        <v>71</v>
      </c>
      <c r="Q3892" t="s">
        <v>72</v>
      </c>
      <c r="R3892" t="s">
        <v>139</v>
      </c>
      <c r="S3892" t="s">
        <v>144</v>
      </c>
      <c r="T3892" s="2">
        <f>MASTER[[#This Row],[CANTIDAD]]*MASTER[[#This Row],[PRECIO DE VENTA]]</f>
        <v>1212</v>
      </c>
      <c r="U3892" s="2">
        <f>MASTER[[#This Row],[CANTIDAD]]*MASTER[[#This Row],[COSTO UNITARIO]]</f>
        <v>442</v>
      </c>
      <c r="V3892" s="2">
        <f>MASTER[[#This Row],[MONTO VENDIDO]]-MASTER[[#This Row],[COSTO DE VENTA]]</f>
        <v>770</v>
      </c>
    </row>
    <row r="3893" spans="1:22" x14ac:dyDescent="0.3">
      <c r="A3893">
        <v>59302</v>
      </c>
      <c r="B3893">
        <v>1</v>
      </c>
      <c r="C3893" t="s">
        <v>118</v>
      </c>
      <c r="D3893" t="s">
        <v>119</v>
      </c>
      <c r="E3893" s="1">
        <v>44273</v>
      </c>
      <c r="F3893">
        <v>1</v>
      </c>
      <c r="G3893" t="s">
        <v>43</v>
      </c>
      <c r="H3893" t="s">
        <v>44</v>
      </c>
      <c r="I3893" s="3">
        <v>900</v>
      </c>
      <c r="J3893" s="3">
        <v>900</v>
      </c>
      <c r="K3893" s="3">
        <v>424</v>
      </c>
      <c r="L3893" t="s">
        <v>120</v>
      </c>
      <c r="M3893">
        <v>7</v>
      </c>
      <c r="N3893" t="s">
        <v>84</v>
      </c>
      <c r="O3893" t="s">
        <v>81</v>
      </c>
      <c r="P3893" t="s">
        <v>12</v>
      </c>
      <c r="Q3893" t="s">
        <v>13</v>
      </c>
      <c r="R3893" t="s">
        <v>13</v>
      </c>
      <c r="S3893" t="s">
        <v>144</v>
      </c>
      <c r="T3893" s="2">
        <f>MASTER[[#This Row],[CANTIDAD]]*MASTER[[#This Row],[PRECIO DE VENTA]]</f>
        <v>900</v>
      </c>
      <c r="U3893" s="2">
        <f>MASTER[[#This Row],[CANTIDAD]]*MASTER[[#This Row],[COSTO UNITARIO]]</f>
        <v>424</v>
      </c>
      <c r="V3893" s="2">
        <f>MASTER[[#This Row],[MONTO VENDIDO]]-MASTER[[#This Row],[COSTO DE VENTA]]</f>
        <v>476</v>
      </c>
    </row>
    <row r="3894" spans="1:22" x14ac:dyDescent="0.3">
      <c r="A3894">
        <v>59306</v>
      </c>
      <c r="B3894">
        <v>1</v>
      </c>
      <c r="C3894" t="s">
        <v>105</v>
      </c>
      <c r="D3894" t="s">
        <v>106</v>
      </c>
      <c r="E3894" s="1">
        <v>44273</v>
      </c>
      <c r="F3894">
        <v>1</v>
      </c>
      <c r="G3894" t="s">
        <v>24</v>
      </c>
      <c r="H3894" t="s">
        <v>25</v>
      </c>
      <c r="I3894" s="3">
        <v>2033</v>
      </c>
      <c r="J3894" s="3">
        <v>2033</v>
      </c>
      <c r="K3894" s="3">
        <v>459</v>
      </c>
      <c r="L3894" t="s">
        <v>98</v>
      </c>
      <c r="M3894">
        <v>13</v>
      </c>
      <c r="N3894" t="s">
        <v>78</v>
      </c>
      <c r="O3894" t="s">
        <v>70</v>
      </c>
      <c r="P3894" t="s">
        <v>18</v>
      </c>
      <c r="Q3894" t="s">
        <v>19</v>
      </c>
      <c r="R3894" t="s">
        <v>138</v>
      </c>
      <c r="S3894" t="s">
        <v>144</v>
      </c>
      <c r="T3894" s="2">
        <f>MASTER[[#This Row],[CANTIDAD]]*MASTER[[#This Row],[PRECIO DE VENTA]]</f>
        <v>2033</v>
      </c>
      <c r="U3894" s="2">
        <f>MASTER[[#This Row],[CANTIDAD]]*MASTER[[#This Row],[COSTO UNITARIO]]</f>
        <v>459</v>
      </c>
      <c r="V3894" s="2">
        <f>MASTER[[#This Row],[MONTO VENDIDO]]-MASTER[[#This Row],[COSTO DE VENTA]]</f>
        <v>1574</v>
      </c>
    </row>
    <row r="3895" spans="1:22" x14ac:dyDescent="0.3">
      <c r="A3895">
        <v>59326</v>
      </c>
      <c r="B3895">
        <v>1</v>
      </c>
      <c r="C3895" t="s">
        <v>92</v>
      </c>
      <c r="D3895" t="s">
        <v>93</v>
      </c>
      <c r="E3895" s="1">
        <v>44273</v>
      </c>
      <c r="F3895">
        <v>1</v>
      </c>
      <c r="G3895" t="s">
        <v>73</v>
      </c>
      <c r="H3895" t="s">
        <v>74</v>
      </c>
      <c r="I3895" s="3">
        <v>1866</v>
      </c>
      <c r="J3895" s="3">
        <v>1866</v>
      </c>
      <c r="K3895" s="3">
        <v>396</v>
      </c>
      <c r="L3895" t="s">
        <v>9</v>
      </c>
      <c r="M3895">
        <v>1</v>
      </c>
      <c r="N3895" t="s">
        <v>77</v>
      </c>
      <c r="O3895" t="s">
        <v>70</v>
      </c>
      <c r="P3895" t="s">
        <v>71</v>
      </c>
      <c r="Q3895" t="s">
        <v>72</v>
      </c>
      <c r="R3895" t="s">
        <v>139</v>
      </c>
      <c r="S3895" t="s">
        <v>144</v>
      </c>
      <c r="T3895" s="2">
        <f>MASTER[[#This Row],[CANTIDAD]]*MASTER[[#This Row],[PRECIO DE VENTA]]</f>
        <v>1866</v>
      </c>
      <c r="U3895" s="2">
        <f>MASTER[[#This Row],[CANTIDAD]]*MASTER[[#This Row],[COSTO UNITARIO]]</f>
        <v>396</v>
      </c>
      <c r="V3895" s="2">
        <f>MASTER[[#This Row],[MONTO VENDIDO]]-MASTER[[#This Row],[COSTO DE VENTA]]</f>
        <v>1470</v>
      </c>
    </row>
    <row r="3896" spans="1:22" x14ac:dyDescent="0.3">
      <c r="A3896">
        <v>59350</v>
      </c>
      <c r="B3896">
        <v>1</v>
      </c>
      <c r="C3896" t="s">
        <v>103</v>
      </c>
      <c r="D3896" t="s">
        <v>104</v>
      </c>
      <c r="E3896" s="1">
        <v>44273</v>
      </c>
      <c r="F3896">
        <v>1</v>
      </c>
      <c r="G3896" t="s">
        <v>57</v>
      </c>
      <c r="H3896" t="s">
        <v>58</v>
      </c>
      <c r="I3896" s="3">
        <v>1591</v>
      </c>
      <c r="J3896" s="3">
        <v>1591</v>
      </c>
      <c r="K3896" s="3">
        <v>421</v>
      </c>
      <c r="L3896" t="s">
        <v>98</v>
      </c>
      <c r="M3896">
        <v>10</v>
      </c>
      <c r="N3896" t="s">
        <v>83</v>
      </c>
      <c r="O3896" t="s">
        <v>81</v>
      </c>
      <c r="P3896" t="s">
        <v>12</v>
      </c>
      <c r="Q3896" t="s">
        <v>13</v>
      </c>
      <c r="R3896" t="s">
        <v>13</v>
      </c>
      <c r="S3896" t="s">
        <v>144</v>
      </c>
      <c r="T3896" s="2">
        <f>MASTER[[#This Row],[CANTIDAD]]*MASTER[[#This Row],[PRECIO DE VENTA]]</f>
        <v>1591</v>
      </c>
      <c r="U3896" s="2">
        <f>MASTER[[#This Row],[CANTIDAD]]*MASTER[[#This Row],[COSTO UNITARIO]]</f>
        <v>421</v>
      </c>
      <c r="V3896" s="2">
        <f>MASTER[[#This Row],[MONTO VENDIDO]]-MASTER[[#This Row],[COSTO DE VENTA]]</f>
        <v>1170</v>
      </c>
    </row>
    <row r="3897" spans="1:22" x14ac:dyDescent="0.3">
      <c r="A3897">
        <v>59360</v>
      </c>
      <c r="B3897">
        <v>1</v>
      </c>
      <c r="C3897" t="s">
        <v>101</v>
      </c>
      <c r="D3897" t="s">
        <v>102</v>
      </c>
      <c r="E3897" s="1">
        <v>44273</v>
      </c>
      <c r="F3897">
        <v>1</v>
      </c>
      <c r="G3897" t="s">
        <v>47</v>
      </c>
      <c r="H3897" t="s">
        <v>48</v>
      </c>
      <c r="I3897" s="3">
        <v>1357</v>
      </c>
      <c r="J3897" s="3">
        <v>1357</v>
      </c>
      <c r="K3897" s="3">
        <v>442</v>
      </c>
      <c r="L3897" t="s">
        <v>98</v>
      </c>
      <c r="M3897">
        <v>9</v>
      </c>
      <c r="N3897" t="s">
        <v>76</v>
      </c>
      <c r="O3897" t="s">
        <v>70</v>
      </c>
      <c r="P3897" t="s">
        <v>12</v>
      </c>
      <c r="Q3897" t="s">
        <v>13</v>
      </c>
      <c r="R3897" t="s">
        <v>13</v>
      </c>
      <c r="S3897" t="s">
        <v>144</v>
      </c>
      <c r="T3897" s="2">
        <f>MASTER[[#This Row],[CANTIDAD]]*MASTER[[#This Row],[PRECIO DE VENTA]]</f>
        <v>1357</v>
      </c>
      <c r="U3897" s="2">
        <f>MASTER[[#This Row],[CANTIDAD]]*MASTER[[#This Row],[COSTO UNITARIO]]</f>
        <v>442</v>
      </c>
      <c r="V3897" s="2">
        <f>MASTER[[#This Row],[MONTO VENDIDO]]-MASTER[[#This Row],[COSTO DE VENTA]]</f>
        <v>915</v>
      </c>
    </row>
    <row r="3898" spans="1:22" x14ac:dyDescent="0.3">
      <c r="A3898">
        <v>59363</v>
      </c>
      <c r="B3898">
        <v>1</v>
      </c>
      <c r="C3898" t="s">
        <v>107</v>
      </c>
      <c r="D3898" t="s">
        <v>108</v>
      </c>
      <c r="E3898" s="1">
        <v>44273</v>
      </c>
      <c r="F3898">
        <v>1</v>
      </c>
      <c r="G3898" t="s">
        <v>45</v>
      </c>
      <c r="H3898" t="s">
        <v>46</v>
      </c>
      <c r="I3898" s="3">
        <v>1333</v>
      </c>
      <c r="J3898" s="3">
        <v>1333</v>
      </c>
      <c r="K3898" s="3">
        <v>380</v>
      </c>
      <c r="L3898" t="s">
        <v>98</v>
      </c>
      <c r="M3898">
        <v>15</v>
      </c>
      <c r="N3898" t="s">
        <v>88</v>
      </c>
      <c r="O3898" t="s">
        <v>81</v>
      </c>
      <c r="P3898" t="s">
        <v>18</v>
      </c>
      <c r="Q3898" t="s">
        <v>19</v>
      </c>
      <c r="R3898" t="s">
        <v>138</v>
      </c>
      <c r="S3898" t="s">
        <v>144</v>
      </c>
      <c r="T3898" s="2">
        <f>MASTER[[#This Row],[CANTIDAD]]*MASTER[[#This Row],[PRECIO DE VENTA]]</f>
        <v>1333</v>
      </c>
      <c r="U3898" s="2">
        <f>MASTER[[#This Row],[CANTIDAD]]*MASTER[[#This Row],[COSTO UNITARIO]]</f>
        <v>380</v>
      </c>
      <c r="V3898" s="2">
        <f>MASTER[[#This Row],[MONTO VENDIDO]]-MASTER[[#This Row],[COSTO DE VENTA]]</f>
        <v>953</v>
      </c>
    </row>
    <row r="3899" spans="1:22" x14ac:dyDescent="0.3">
      <c r="A3899">
        <v>59375</v>
      </c>
      <c r="B3899">
        <v>1</v>
      </c>
      <c r="C3899" t="s">
        <v>103</v>
      </c>
      <c r="D3899" t="s">
        <v>104</v>
      </c>
      <c r="E3899" s="1">
        <v>44273</v>
      </c>
      <c r="F3899">
        <v>1</v>
      </c>
      <c r="G3899" t="s">
        <v>7</v>
      </c>
      <c r="H3899" t="s">
        <v>8</v>
      </c>
      <c r="I3899" s="3">
        <v>1830</v>
      </c>
      <c r="J3899" s="3">
        <v>1830</v>
      </c>
      <c r="K3899" s="3">
        <v>421</v>
      </c>
      <c r="L3899" t="s">
        <v>98</v>
      </c>
      <c r="M3899">
        <v>18</v>
      </c>
      <c r="N3899" t="s">
        <v>79</v>
      </c>
      <c r="O3899" t="s">
        <v>70</v>
      </c>
      <c r="P3899" t="s">
        <v>15</v>
      </c>
      <c r="Q3899" t="s">
        <v>16</v>
      </c>
      <c r="R3899" t="s">
        <v>16</v>
      </c>
      <c r="S3899" t="s">
        <v>144</v>
      </c>
      <c r="T3899" s="2">
        <f>MASTER[[#This Row],[CANTIDAD]]*MASTER[[#This Row],[PRECIO DE VENTA]]</f>
        <v>1830</v>
      </c>
      <c r="U3899" s="2">
        <f>MASTER[[#This Row],[CANTIDAD]]*MASTER[[#This Row],[COSTO UNITARIO]]</f>
        <v>421</v>
      </c>
      <c r="V3899" s="2">
        <f>MASTER[[#This Row],[MONTO VENDIDO]]-MASTER[[#This Row],[COSTO DE VENTA]]</f>
        <v>1409</v>
      </c>
    </row>
    <row r="3900" spans="1:22" x14ac:dyDescent="0.3">
      <c r="A3900">
        <v>59378</v>
      </c>
      <c r="B3900">
        <v>1</v>
      </c>
      <c r="C3900" t="s">
        <v>5</v>
      </c>
      <c r="D3900" t="s">
        <v>6</v>
      </c>
      <c r="E3900" s="1">
        <v>44273</v>
      </c>
      <c r="F3900">
        <v>1</v>
      </c>
      <c r="G3900" t="s">
        <v>37</v>
      </c>
      <c r="H3900" t="s">
        <v>38</v>
      </c>
      <c r="I3900" s="3">
        <v>1507</v>
      </c>
      <c r="J3900" s="3">
        <v>1507</v>
      </c>
      <c r="K3900" s="3">
        <v>393</v>
      </c>
      <c r="L3900" t="s">
        <v>9</v>
      </c>
      <c r="M3900">
        <v>7</v>
      </c>
      <c r="N3900" t="s">
        <v>84</v>
      </c>
      <c r="O3900" t="s">
        <v>81</v>
      </c>
      <c r="P3900" t="s">
        <v>12</v>
      </c>
      <c r="Q3900" t="s">
        <v>13</v>
      </c>
      <c r="R3900" t="s">
        <v>13</v>
      </c>
      <c r="S3900" t="s">
        <v>144</v>
      </c>
      <c r="T3900" s="2">
        <f>MASTER[[#This Row],[CANTIDAD]]*MASTER[[#This Row],[PRECIO DE VENTA]]</f>
        <v>1507</v>
      </c>
      <c r="U3900" s="2">
        <f>MASTER[[#This Row],[CANTIDAD]]*MASTER[[#This Row],[COSTO UNITARIO]]</f>
        <v>393</v>
      </c>
      <c r="V3900" s="2">
        <f>MASTER[[#This Row],[MONTO VENDIDO]]-MASTER[[#This Row],[COSTO DE VENTA]]</f>
        <v>1114</v>
      </c>
    </row>
    <row r="3901" spans="1:22" x14ac:dyDescent="0.3">
      <c r="A3901">
        <v>59386</v>
      </c>
      <c r="B3901">
        <v>1</v>
      </c>
      <c r="C3901" t="s">
        <v>99</v>
      </c>
      <c r="D3901" t="s">
        <v>100</v>
      </c>
      <c r="E3901" s="1">
        <v>44274</v>
      </c>
      <c r="F3901">
        <v>4</v>
      </c>
      <c r="G3901" t="s">
        <v>73</v>
      </c>
      <c r="H3901" t="s">
        <v>74</v>
      </c>
      <c r="I3901" s="3">
        <v>1328</v>
      </c>
      <c r="J3901" s="3">
        <v>1328</v>
      </c>
      <c r="K3901" s="3">
        <v>386</v>
      </c>
      <c r="L3901" t="s">
        <v>98</v>
      </c>
      <c r="M3901">
        <v>16</v>
      </c>
      <c r="N3901" t="s">
        <v>17</v>
      </c>
      <c r="O3901" t="s">
        <v>11</v>
      </c>
      <c r="P3901" t="s">
        <v>18</v>
      </c>
      <c r="Q3901" t="s">
        <v>19</v>
      </c>
      <c r="R3901" t="s">
        <v>138</v>
      </c>
      <c r="S3901" t="s">
        <v>144</v>
      </c>
      <c r="T3901" s="2">
        <f>MASTER[[#This Row],[CANTIDAD]]*MASTER[[#This Row],[PRECIO DE VENTA]]</f>
        <v>5312</v>
      </c>
      <c r="U3901" s="2">
        <f>MASTER[[#This Row],[CANTIDAD]]*MASTER[[#This Row],[COSTO UNITARIO]]</f>
        <v>1544</v>
      </c>
      <c r="V3901" s="2">
        <f>MASTER[[#This Row],[MONTO VENDIDO]]-MASTER[[#This Row],[COSTO DE VENTA]]</f>
        <v>3768</v>
      </c>
    </row>
    <row r="3902" spans="1:22" x14ac:dyDescent="0.3">
      <c r="A3902">
        <v>59388</v>
      </c>
      <c r="B3902">
        <v>1</v>
      </c>
      <c r="C3902" t="s">
        <v>103</v>
      </c>
      <c r="D3902" t="s">
        <v>104</v>
      </c>
      <c r="E3902" s="1">
        <v>44274</v>
      </c>
      <c r="F3902">
        <v>1</v>
      </c>
      <c r="G3902" t="s">
        <v>33</v>
      </c>
      <c r="H3902" t="s">
        <v>34</v>
      </c>
      <c r="I3902" s="3">
        <v>1591</v>
      </c>
      <c r="J3902" s="3">
        <v>1591</v>
      </c>
      <c r="K3902" s="3">
        <v>421</v>
      </c>
      <c r="L3902" t="s">
        <v>98</v>
      </c>
      <c r="M3902">
        <v>2</v>
      </c>
      <c r="N3902" t="s">
        <v>86</v>
      </c>
      <c r="O3902" t="s">
        <v>81</v>
      </c>
      <c r="P3902" t="s">
        <v>71</v>
      </c>
      <c r="Q3902" t="s">
        <v>72</v>
      </c>
      <c r="R3902" t="s">
        <v>139</v>
      </c>
      <c r="S3902" t="s">
        <v>144</v>
      </c>
      <c r="T3902" s="2">
        <f>MASTER[[#This Row],[CANTIDAD]]*MASTER[[#This Row],[PRECIO DE VENTA]]</f>
        <v>1591</v>
      </c>
      <c r="U3902" s="2">
        <f>MASTER[[#This Row],[CANTIDAD]]*MASTER[[#This Row],[COSTO UNITARIO]]</f>
        <v>421</v>
      </c>
      <c r="V3902" s="2">
        <f>MASTER[[#This Row],[MONTO VENDIDO]]-MASTER[[#This Row],[COSTO DE VENTA]]</f>
        <v>1170</v>
      </c>
    </row>
    <row r="3903" spans="1:22" x14ac:dyDescent="0.3">
      <c r="A3903">
        <v>59394</v>
      </c>
      <c r="B3903">
        <v>1</v>
      </c>
      <c r="C3903" t="s">
        <v>101</v>
      </c>
      <c r="D3903" t="s">
        <v>102</v>
      </c>
      <c r="E3903" s="1">
        <v>44274</v>
      </c>
      <c r="F3903">
        <v>1</v>
      </c>
      <c r="G3903" t="s">
        <v>61</v>
      </c>
      <c r="H3903" t="s">
        <v>62</v>
      </c>
      <c r="I3903" s="3">
        <v>1212</v>
      </c>
      <c r="J3903" s="3">
        <v>1212</v>
      </c>
      <c r="K3903" s="3">
        <v>442</v>
      </c>
      <c r="L3903" t="s">
        <v>98</v>
      </c>
      <c r="M3903">
        <v>5</v>
      </c>
      <c r="N3903" t="s">
        <v>85</v>
      </c>
      <c r="O3903" t="s">
        <v>81</v>
      </c>
      <c r="P3903" t="s">
        <v>12</v>
      </c>
      <c r="Q3903" t="s">
        <v>13</v>
      </c>
      <c r="R3903" t="s">
        <v>13</v>
      </c>
      <c r="S3903" t="s">
        <v>144</v>
      </c>
      <c r="T3903" s="2">
        <f>MASTER[[#This Row],[CANTIDAD]]*MASTER[[#This Row],[PRECIO DE VENTA]]</f>
        <v>1212</v>
      </c>
      <c r="U3903" s="2">
        <f>MASTER[[#This Row],[CANTIDAD]]*MASTER[[#This Row],[COSTO UNITARIO]]</f>
        <v>442</v>
      </c>
      <c r="V3903" s="2">
        <f>MASTER[[#This Row],[MONTO VENDIDO]]-MASTER[[#This Row],[COSTO DE VENTA]]</f>
        <v>770</v>
      </c>
    </row>
    <row r="3904" spans="1:22" x14ac:dyDescent="0.3">
      <c r="A3904">
        <v>59421</v>
      </c>
      <c r="B3904">
        <v>1</v>
      </c>
      <c r="C3904" t="s">
        <v>103</v>
      </c>
      <c r="D3904" t="s">
        <v>104</v>
      </c>
      <c r="E3904" s="1">
        <v>44274</v>
      </c>
      <c r="F3904">
        <v>1</v>
      </c>
      <c r="G3904" t="s">
        <v>43</v>
      </c>
      <c r="H3904" t="s">
        <v>44</v>
      </c>
      <c r="I3904" s="3">
        <v>1830</v>
      </c>
      <c r="J3904" s="3">
        <v>1830</v>
      </c>
      <c r="K3904" s="3">
        <v>421</v>
      </c>
      <c r="L3904" t="s">
        <v>98</v>
      </c>
      <c r="M3904">
        <v>6</v>
      </c>
      <c r="N3904" t="s">
        <v>75</v>
      </c>
      <c r="O3904" t="s">
        <v>70</v>
      </c>
      <c r="P3904" t="s">
        <v>12</v>
      </c>
      <c r="Q3904" t="s">
        <v>13</v>
      </c>
      <c r="R3904" t="s">
        <v>13</v>
      </c>
      <c r="S3904" t="s">
        <v>144</v>
      </c>
      <c r="T3904" s="2">
        <f>MASTER[[#This Row],[CANTIDAD]]*MASTER[[#This Row],[PRECIO DE VENTA]]</f>
        <v>1830</v>
      </c>
      <c r="U3904" s="2">
        <f>MASTER[[#This Row],[CANTIDAD]]*MASTER[[#This Row],[COSTO UNITARIO]]</f>
        <v>421</v>
      </c>
      <c r="V3904" s="2">
        <f>MASTER[[#This Row],[MONTO VENDIDO]]-MASTER[[#This Row],[COSTO DE VENTA]]</f>
        <v>1409</v>
      </c>
    </row>
    <row r="3905" spans="1:22" x14ac:dyDescent="0.3">
      <c r="A3905">
        <v>59424</v>
      </c>
      <c r="B3905">
        <v>1</v>
      </c>
      <c r="C3905" t="s">
        <v>90</v>
      </c>
      <c r="D3905" t="s">
        <v>91</v>
      </c>
      <c r="E3905" s="1">
        <v>44274</v>
      </c>
      <c r="F3905">
        <v>1</v>
      </c>
      <c r="G3905" t="s">
        <v>35</v>
      </c>
      <c r="H3905" t="s">
        <v>36</v>
      </c>
      <c r="I3905" s="3">
        <v>2102</v>
      </c>
      <c r="J3905" s="3">
        <v>2102</v>
      </c>
      <c r="K3905" s="3">
        <v>420</v>
      </c>
      <c r="L3905" t="s">
        <v>9</v>
      </c>
      <c r="M3905">
        <v>18</v>
      </c>
      <c r="N3905" t="s">
        <v>79</v>
      </c>
      <c r="O3905" t="s">
        <v>70</v>
      </c>
      <c r="P3905" t="s">
        <v>15</v>
      </c>
      <c r="Q3905" t="s">
        <v>16</v>
      </c>
      <c r="R3905" t="s">
        <v>16</v>
      </c>
      <c r="S3905" t="s">
        <v>144</v>
      </c>
      <c r="T3905" s="2">
        <f>MASTER[[#This Row],[CANTIDAD]]*MASTER[[#This Row],[PRECIO DE VENTA]]</f>
        <v>2102</v>
      </c>
      <c r="U3905" s="2">
        <f>MASTER[[#This Row],[CANTIDAD]]*MASTER[[#This Row],[COSTO UNITARIO]]</f>
        <v>420</v>
      </c>
      <c r="V3905" s="2">
        <f>MASTER[[#This Row],[MONTO VENDIDO]]-MASTER[[#This Row],[COSTO DE VENTA]]</f>
        <v>1682</v>
      </c>
    </row>
    <row r="3906" spans="1:22" x14ac:dyDescent="0.3">
      <c r="A3906">
        <v>59431</v>
      </c>
      <c r="B3906">
        <v>1</v>
      </c>
      <c r="C3906" t="s">
        <v>109</v>
      </c>
      <c r="D3906" t="s">
        <v>110</v>
      </c>
      <c r="E3906" s="1">
        <v>44274</v>
      </c>
      <c r="F3906">
        <v>1</v>
      </c>
      <c r="G3906" t="s">
        <v>24</v>
      </c>
      <c r="H3906" t="s">
        <v>25</v>
      </c>
      <c r="I3906" s="3">
        <v>1128</v>
      </c>
      <c r="J3906" s="3">
        <v>1128</v>
      </c>
      <c r="K3906" s="3">
        <v>387</v>
      </c>
      <c r="L3906" t="s">
        <v>98</v>
      </c>
      <c r="M3906">
        <v>18</v>
      </c>
      <c r="N3906" t="s">
        <v>79</v>
      </c>
      <c r="O3906" t="s">
        <v>70</v>
      </c>
      <c r="P3906" t="s">
        <v>15</v>
      </c>
      <c r="Q3906" t="s">
        <v>16</v>
      </c>
      <c r="R3906" t="s">
        <v>16</v>
      </c>
      <c r="S3906" t="s">
        <v>144</v>
      </c>
      <c r="T3906" s="2">
        <f>MASTER[[#This Row],[CANTIDAD]]*MASTER[[#This Row],[PRECIO DE VENTA]]</f>
        <v>1128</v>
      </c>
      <c r="U3906" s="2">
        <f>MASTER[[#This Row],[CANTIDAD]]*MASTER[[#This Row],[COSTO UNITARIO]]</f>
        <v>387</v>
      </c>
      <c r="V3906" s="2">
        <f>MASTER[[#This Row],[MONTO VENDIDO]]-MASTER[[#This Row],[COSTO DE VENTA]]</f>
        <v>741</v>
      </c>
    </row>
    <row r="3907" spans="1:22" x14ac:dyDescent="0.3">
      <c r="A3907">
        <v>59437</v>
      </c>
      <c r="B3907">
        <v>1</v>
      </c>
      <c r="C3907" t="s">
        <v>90</v>
      </c>
      <c r="D3907" t="s">
        <v>91</v>
      </c>
      <c r="E3907" s="1">
        <v>44274</v>
      </c>
      <c r="F3907">
        <v>1</v>
      </c>
      <c r="G3907" t="s">
        <v>53</v>
      </c>
      <c r="H3907" t="s">
        <v>54</v>
      </c>
      <c r="I3907" s="3">
        <v>1844</v>
      </c>
      <c r="J3907" s="3">
        <v>1844</v>
      </c>
      <c r="K3907" s="3">
        <v>420</v>
      </c>
      <c r="L3907" t="s">
        <v>9</v>
      </c>
      <c r="M3907">
        <v>2</v>
      </c>
      <c r="N3907" t="s">
        <v>86</v>
      </c>
      <c r="O3907" t="s">
        <v>81</v>
      </c>
      <c r="P3907" t="s">
        <v>71</v>
      </c>
      <c r="Q3907" t="s">
        <v>72</v>
      </c>
      <c r="R3907" t="s">
        <v>139</v>
      </c>
      <c r="S3907" t="s">
        <v>144</v>
      </c>
      <c r="T3907" s="2">
        <f>MASTER[[#This Row],[CANTIDAD]]*MASTER[[#This Row],[PRECIO DE VENTA]]</f>
        <v>1844</v>
      </c>
      <c r="U3907" s="2">
        <f>MASTER[[#This Row],[CANTIDAD]]*MASTER[[#This Row],[COSTO UNITARIO]]</f>
        <v>420</v>
      </c>
      <c r="V3907" s="2">
        <f>MASTER[[#This Row],[MONTO VENDIDO]]-MASTER[[#This Row],[COSTO DE VENTA]]</f>
        <v>1424</v>
      </c>
    </row>
    <row r="3908" spans="1:22" x14ac:dyDescent="0.3">
      <c r="A3908">
        <v>59467</v>
      </c>
      <c r="B3908">
        <v>1</v>
      </c>
      <c r="C3908" t="s">
        <v>5</v>
      </c>
      <c r="D3908" t="s">
        <v>6</v>
      </c>
      <c r="E3908" s="1">
        <v>44274</v>
      </c>
      <c r="F3908">
        <v>1</v>
      </c>
      <c r="G3908" t="s">
        <v>27</v>
      </c>
      <c r="H3908" t="s">
        <v>28</v>
      </c>
      <c r="I3908" s="3">
        <v>1507</v>
      </c>
      <c r="J3908" s="3">
        <v>1507</v>
      </c>
      <c r="K3908" s="3">
        <v>393</v>
      </c>
      <c r="L3908" t="s">
        <v>9</v>
      </c>
      <c r="M3908">
        <v>15</v>
      </c>
      <c r="N3908" t="s">
        <v>88</v>
      </c>
      <c r="O3908" t="s">
        <v>81</v>
      </c>
      <c r="P3908" t="s">
        <v>18</v>
      </c>
      <c r="Q3908" t="s">
        <v>19</v>
      </c>
      <c r="R3908" t="s">
        <v>138</v>
      </c>
      <c r="S3908" t="s">
        <v>144</v>
      </c>
      <c r="T3908" s="2">
        <f>MASTER[[#This Row],[CANTIDAD]]*MASTER[[#This Row],[PRECIO DE VENTA]]</f>
        <v>1507</v>
      </c>
      <c r="U3908" s="2">
        <f>MASTER[[#This Row],[CANTIDAD]]*MASTER[[#This Row],[COSTO UNITARIO]]</f>
        <v>393</v>
      </c>
      <c r="V3908" s="2">
        <f>MASTER[[#This Row],[MONTO VENDIDO]]-MASTER[[#This Row],[COSTO DE VENTA]]</f>
        <v>1114</v>
      </c>
    </row>
    <row r="3909" spans="1:22" x14ac:dyDescent="0.3">
      <c r="A3909">
        <v>59488</v>
      </c>
      <c r="B3909">
        <v>1</v>
      </c>
      <c r="C3909" t="s">
        <v>121</v>
      </c>
      <c r="D3909" t="s">
        <v>122</v>
      </c>
      <c r="E3909" s="1">
        <v>44274</v>
      </c>
      <c r="F3909">
        <v>1</v>
      </c>
      <c r="G3909" t="s">
        <v>53</v>
      </c>
      <c r="H3909" t="s">
        <v>54</v>
      </c>
      <c r="I3909" s="3">
        <v>941</v>
      </c>
      <c r="J3909" s="3">
        <v>941</v>
      </c>
      <c r="K3909" s="3">
        <v>460</v>
      </c>
      <c r="L3909" t="s">
        <v>120</v>
      </c>
      <c r="M3909">
        <v>12</v>
      </c>
      <c r="N3909" t="s">
        <v>26</v>
      </c>
      <c r="O3909" t="s">
        <v>11</v>
      </c>
      <c r="P3909" t="s">
        <v>12</v>
      </c>
      <c r="Q3909" t="s">
        <v>13</v>
      </c>
      <c r="R3909" t="s">
        <v>13</v>
      </c>
      <c r="S3909" t="s">
        <v>144</v>
      </c>
      <c r="T3909" s="2">
        <f>MASTER[[#This Row],[CANTIDAD]]*MASTER[[#This Row],[PRECIO DE VENTA]]</f>
        <v>941</v>
      </c>
      <c r="U3909" s="2">
        <f>MASTER[[#This Row],[CANTIDAD]]*MASTER[[#This Row],[COSTO UNITARIO]]</f>
        <v>460</v>
      </c>
      <c r="V3909" s="2">
        <f>MASTER[[#This Row],[MONTO VENDIDO]]-MASTER[[#This Row],[COSTO DE VENTA]]</f>
        <v>481</v>
      </c>
    </row>
    <row r="3910" spans="1:22" x14ac:dyDescent="0.3">
      <c r="A3910">
        <v>59514</v>
      </c>
      <c r="B3910">
        <v>1</v>
      </c>
      <c r="C3910" t="s">
        <v>103</v>
      </c>
      <c r="D3910" t="s">
        <v>104</v>
      </c>
      <c r="E3910" s="1">
        <v>44274</v>
      </c>
      <c r="F3910">
        <v>1</v>
      </c>
      <c r="G3910" t="s">
        <v>45</v>
      </c>
      <c r="H3910" t="s">
        <v>46</v>
      </c>
      <c r="I3910" s="3">
        <v>1591</v>
      </c>
      <c r="J3910" s="3">
        <v>1591</v>
      </c>
      <c r="K3910" s="3">
        <v>421</v>
      </c>
      <c r="L3910" t="s">
        <v>98</v>
      </c>
      <c r="M3910">
        <v>4</v>
      </c>
      <c r="N3910" t="s">
        <v>82</v>
      </c>
      <c r="O3910" t="s">
        <v>81</v>
      </c>
      <c r="P3910" t="s">
        <v>71</v>
      </c>
      <c r="Q3910" t="s">
        <v>72</v>
      </c>
      <c r="R3910" t="s">
        <v>139</v>
      </c>
      <c r="S3910" t="s">
        <v>144</v>
      </c>
      <c r="T3910" s="2">
        <f>MASTER[[#This Row],[CANTIDAD]]*MASTER[[#This Row],[PRECIO DE VENTA]]</f>
        <v>1591</v>
      </c>
      <c r="U3910" s="2">
        <f>MASTER[[#This Row],[CANTIDAD]]*MASTER[[#This Row],[COSTO UNITARIO]]</f>
        <v>421</v>
      </c>
      <c r="V3910" s="2">
        <f>MASTER[[#This Row],[MONTO VENDIDO]]-MASTER[[#This Row],[COSTO DE VENTA]]</f>
        <v>1170</v>
      </c>
    </row>
    <row r="3911" spans="1:22" x14ac:dyDescent="0.3">
      <c r="A3911">
        <v>59516</v>
      </c>
      <c r="B3911">
        <v>1</v>
      </c>
      <c r="C3911" t="s">
        <v>101</v>
      </c>
      <c r="D3911" t="s">
        <v>102</v>
      </c>
      <c r="E3911" s="1">
        <v>44274</v>
      </c>
      <c r="F3911">
        <v>1</v>
      </c>
      <c r="G3911" t="s">
        <v>43</v>
      </c>
      <c r="H3911" t="s">
        <v>44</v>
      </c>
      <c r="I3911" s="3">
        <v>1357</v>
      </c>
      <c r="J3911" s="3">
        <v>1357</v>
      </c>
      <c r="K3911" s="3">
        <v>442</v>
      </c>
      <c r="L3911" t="s">
        <v>98</v>
      </c>
      <c r="M3911">
        <v>9</v>
      </c>
      <c r="N3911" t="s">
        <v>76</v>
      </c>
      <c r="O3911" t="s">
        <v>70</v>
      </c>
      <c r="P3911" t="s">
        <v>12</v>
      </c>
      <c r="Q3911" t="s">
        <v>13</v>
      </c>
      <c r="R3911" t="s">
        <v>13</v>
      </c>
      <c r="S3911" t="s">
        <v>144</v>
      </c>
      <c r="T3911" s="2">
        <f>MASTER[[#This Row],[CANTIDAD]]*MASTER[[#This Row],[PRECIO DE VENTA]]</f>
        <v>1357</v>
      </c>
      <c r="U3911" s="2">
        <f>MASTER[[#This Row],[CANTIDAD]]*MASTER[[#This Row],[COSTO UNITARIO]]</f>
        <v>442</v>
      </c>
      <c r="V3911" s="2">
        <f>MASTER[[#This Row],[MONTO VENDIDO]]-MASTER[[#This Row],[COSTO DE VENTA]]</f>
        <v>915</v>
      </c>
    </row>
    <row r="3912" spans="1:22" x14ac:dyDescent="0.3">
      <c r="A3912">
        <v>59526</v>
      </c>
      <c r="B3912">
        <v>1</v>
      </c>
      <c r="C3912" t="s">
        <v>103</v>
      </c>
      <c r="D3912" t="s">
        <v>104</v>
      </c>
      <c r="E3912" s="1">
        <v>44274</v>
      </c>
      <c r="F3912">
        <v>1</v>
      </c>
      <c r="G3912" t="s">
        <v>51</v>
      </c>
      <c r="H3912" t="s">
        <v>52</v>
      </c>
      <c r="I3912" s="3">
        <v>1830</v>
      </c>
      <c r="J3912" s="3">
        <v>1830</v>
      </c>
      <c r="K3912" s="3">
        <v>421</v>
      </c>
      <c r="L3912" t="s">
        <v>98</v>
      </c>
      <c r="M3912">
        <v>13</v>
      </c>
      <c r="N3912" t="s">
        <v>78</v>
      </c>
      <c r="O3912" t="s">
        <v>70</v>
      </c>
      <c r="P3912" t="s">
        <v>18</v>
      </c>
      <c r="Q3912" t="s">
        <v>19</v>
      </c>
      <c r="R3912" t="s">
        <v>138</v>
      </c>
      <c r="S3912" t="s">
        <v>144</v>
      </c>
      <c r="T3912" s="2">
        <f>MASTER[[#This Row],[CANTIDAD]]*MASTER[[#This Row],[PRECIO DE VENTA]]</f>
        <v>1830</v>
      </c>
      <c r="U3912" s="2">
        <f>MASTER[[#This Row],[CANTIDAD]]*MASTER[[#This Row],[COSTO UNITARIO]]</f>
        <v>421</v>
      </c>
      <c r="V3912" s="2">
        <f>MASTER[[#This Row],[MONTO VENDIDO]]-MASTER[[#This Row],[COSTO DE VENTA]]</f>
        <v>1409</v>
      </c>
    </row>
    <row r="3913" spans="1:22" x14ac:dyDescent="0.3">
      <c r="A3913">
        <v>59543</v>
      </c>
      <c r="B3913">
        <v>1</v>
      </c>
      <c r="C3913" t="s">
        <v>111</v>
      </c>
      <c r="D3913" t="s">
        <v>112</v>
      </c>
      <c r="E3913" s="1">
        <v>44275</v>
      </c>
      <c r="F3913">
        <v>1</v>
      </c>
      <c r="G3913" t="s">
        <v>49</v>
      </c>
      <c r="H3913" t="s">
        <v>50</v>
      </c>
      <c r="I3913" s="3">
        <v>1799</v>
      </c>
      <c r="J3913" s="3">
        <v>1799</v>
      </c>
      <c r="K3913" s="3">
        <v>434</v>
      </c>
      <c r="L3913" t="s">
        <v>113</v>
      </c>
      <c r="M3913">
        <v>6</v>
      </c>
      <c r="N3913" t="s">
        <v>75</v>
      </c>
      <c r="O3913" t="s">
        <v>70</v>
      </c>
      <c r="P3913" t="s">
        <v>12</v>
      </c>
      <c r="Q3913" t="s">
        <v>13</v>
      </c>
      <c r="R3913" t="s">
        <v>13</v>
      </c>
      <c r="S3913" t="s">
        <v>144</v>
      </c>
      <c r="T3913" s="2">
        <f>MASTER[[#This Row],[CANTIDAD]]*MASTER[[#This Row],[PRECIO DE VENTA]]</f>
        <v>1799</v>
      </c>
      <c r="U3913" s="2">
        <f>MASTER[[#This Row],[CANTIDAD]]*MASTER[[#This Row],[COSTO UNITARIO]]</f>
        <v>434</v>
      </c>
      <c r="V3913" s="2">
        <f>MASTER[[#This Row],[MONTO VENDIDO]]-MASTER[[#This Row],[COSTO DE VENTA]]</f>
        <v>1365</v>
      </c>
    </row>
    <row r="3914" spans="1:22" x14ac:dyDescent="0.3">
      <c r="A3914">
        <v>59572</v>
      </c>
      <c r="B3914">
        <v>1</v>
      </c>
      <c r="C3914" t="s">
        <v>114</v>
      </c>
      <c r="D3914" t="s">
        <v>115</v>
      </c>
      <c r="E3914" s="1">
        <v>44275</v>
      </c>
      <c r="F3914">
        <v>1</v>
      </c>
      <c r="G3914" t="s">
        <v>43</v>
      </c>
      <c r="H3914" t="s">
        <v>44</v>
      </c>
      <c r="I3914" s="3">
        <v>1583</v>
      </c>
      <c r="J3914" s="3">
        <v>1583</v>
      </c>
      <c r="K3914" s="3">
        <v>394</v>
      </c>
      <c r="L3914" t="s">
        <v>113</v>
      </c>
      <c r="M3914">
        <v>16</v>
      </c>
      <c r="N3914" t="s">
        <v>17</v>
      </c>
      <c r="O3914" t="s">
        <v>11</v>
      </c>
      <c r="P3914" t="s">
        <v>18</v>
      </c>
      <c r="Q3914" t="s">
        <v>19</v>
      </c>
      <c r="R3914" t="s">
        <v>138</v>
      </c>
      <c r="S3914" t="s">
        <v>144</v>
      </c>
      <c r="T3914" s="2">
        <f>MASTER[[#This Row],[CANTIDAD]]*MASTER[[#This Row],[PRECIO DE VENTA]]</f>
        <v>1583</v>
      </c>
      <c r="U3914" s="2">
        <f>MASTER[[#This Row],[CANTIDAD]]*MASTER[[#This Row],[COSTO UNITARIO]]</f>
        <v>394</v>
      </c>
      <c r="V3914" s="2">
        <f>MASTER[[#This Row],[MONTO VENDIDO]]-MASTER[[#This Row],[COSTO DE VENTA]]</f>
        <v>1189</v>
      </c>
    </row>
    <row r="3915" spans="1:22" x14ac:dyDescent="0.3">
      <c r="A3915">
        <v>59578</v>
      </c>
      <c r="B3915">
        <v>1</v>
      </c>
      <c r="C3915" t="s">
        <v>90</v>
      </c>
      <c r="D3915" t="s">
        <v>91</v>
      </c>
      <c r="E3915" s="1">
        <v>44275</v>
      </c>
      <c r="F3915">
        <v>1</v>
      </c>
      <c r="G3915" t="s">
        <v>33</v>
      </c>
      <c r="H3915" t="s">
        <v>34</v>
      </c>
      <c r="I3915" s="3">
        <v>1844</v>
      </c>
      <c r="J3915" s="3">
        <v>1844</v>
      </c>
      <c r="K3915" s="3">
        <v>420</v>
      </c>
      <c r="L3915" t="s">
        <v>9</v>
      </c>
      <c r="M3915">
        <v>14</v>
      </c>
      <c r="N3915" t="s">
        <v>87</v>
      </c>
      <c r="O3915" t="s">
        <v>81</v>
      </c>
      <c r="P3915" t="s">
        <v>18</v>
      </c>
      <c r="Q3915" t="s">
        <v>19</v>
      </c>
      <c r="R3915" t="s">
        <v>138</v>
      </c>
      <c r="S3915" t="s">
        <v>144</v>
      </c>
      <c r="T3915" s="2">
        <f>MASTER[[#This Row],[CANTIDAD]]*MASTER[[#This Row],[PRECIO DE VENTA]]</f>
        <v>1844</v>
      </c>
      <c r="U3915" s="2">
        <f>MASTER[[#This Row],[CANTIDAD]]*MASTER[[#This Row],[COSTO UNITARIO]]</f>
        <v>420</v>
      </c>
      <c r="V3915" s="2">
        <f>MASTER[[#This Row],[MONTO VENDIDO]]-MASTER[[#This Row],[COSTO DE VENTA]]</f>
        <v>1424</v>
      </c>
    </row>
    <row r="3916" spans="1:22" x14ac:dyDescent="0.3">
      <c r="A3916">
        <v>59581</v>
      </c>
      <c r="B3916">
        <v>1</v>
      </c>
      <c r="C3916" t="s">
        <v>96</v>
      </c>
      <c r="D3916" t="s">
        <v>97</v>
      </c>
      <c r="E3916" s="1">
        <v>44275</v>
      </c>
      <c r="F3916">
        <v>1</v>
      </c>
      <c r="G3916" t="s">
        <v>22</v>
      </c>
      <c r="H3916" t="s">
        <v>23</v>
      </c>
      <c r="I3916" s="3">
        <v>1361</v>
      </c>
      <c r="J3916" s="3">
        <v>1361</v>
      </c>
      <c r="K3916" s="3">
        <v>397</v>
      </c>
      <c r="L3916" t="s">
        <v>98</v>
      </c>
      <c r="M3916">
        <v>1</v>
      </c>
      <c r="N3916" t="s">
        <v>77</v>
      </c>
      <c r="O3916" t="s">
        <v>70</v>
      </c>
      <c r="P3916" t="s">
        <v>71</v>
      </c>
      <c r="Q3916" t="s">
        <v>72</v>
      </c>
      <c r="R3916" t="s">
        <v>139</v>
      </c>
      <c r="S3916" t="s">
        <v>144</v>
      </c>
      <c r="T3916" s="2">
        <f>MASTER[[#This Row],[CANTIDAD]]*MASTER[[#This Row],[PRECIO DE VENTA]]</f>
        <v>1361</v>
      </c>
      <c r="U3916" s="2">
        <f>MASTER[[#This Row],[CANTIDAD]]*MASTER[[#This Row],[COSTO UNITARIO]]</f>
        <v>397</v>
      </c>
      <c r="V3916" s="2">
        <f>MASTER[[#This Row],[MONTO VENDIDO]]-MASTER[[#This Row],[COSTO DE VENTA]]</f>
        <v>964</v>
      </c>
    </row>
    <row r="3917" spans="1:22" x14ac:dyDescent="0.3">
      <c r="A3917">
        <v>59585</v>
      </c>
      <c r="B3917">
        <v>1</v>
      </c>
      <c r="C3917" t="s">
        <v>111</v>
      </c>
      <c r="D3917" t="s">
        <v>112</v>
      </c>
      <c r="E3917" s="1">
        <v>44275</v>
      </c>
      <c r="F3917">
        <v>1</v>
      </c>
      <c r="G3917" t="s">
        <v>57</v>
      </c>
      <c r="H3917" t="s">
        <v>58</v>
      </c>
      <c r="I3917" s="3">
        <v>1799</v>
      </c>
      <c r="J3917" s="3">
        <v>1799</v>
      </c>
      <c r="K3917" s="3">
        <v>434</v>
      </c>
      <c r="L3917" t="s">
        <v>113</v>
      </c>
      <c r="M3917">
        <v>3</v>
      </c>
      <c r="N3917" t="s">
        <v>69</v>
      </c>
      <c r="O3917" t="s">
        <v>70</v>
      </c>
      <c r="P3917" t="s">
        <v>71</v>
      </c>
      <c r="Q3917" t="s">
        <v>72</v>
      </c>
      <c r="R3917" t="s">
        <v>139</v>
      </c>
      <c r="S3917" t="s">
        <v>144</v>
      </c>
      <c r="T3917" s="2">
        <f>MASTER[[#This Row],[CANTIDAD]]*MASTER[[#This Row],[PRECIO DE VENTA]]</f>
        <v>1799</v>
      </c>
      <c r="U3917" s="2">
        <f>MASTER[[#This Row],[CANTIDAD]]*MASTER[[#This Row],[COSTO UNITARIO]]</f>
        <v>434</v>
      </c>
      <c r="V3917" s="2">
        <f>MASTER[[#This Row],[MONTO VENDIDO]]-MASTER[[#This Row],[COSTO DE VENTA]]</f>
        <v>1365</v>
      </c>
    </row>
    <row r="3918" spans="1:22" x14ac:dyDescent="0.3">
      <c r="A3918">
        <v>59585</v>
      </c>
      <c r="B3918">
        <v>2</v>
      </c>
      <c r="C3918" t="s">
        <v>121</v>
      </c>
      <c r="D3918" t="s">
        <v>122</v>
      </c>
      <c r="E3918" s="1">
        <v>44275</v>
      </c>
      <c r="F3918">
        <v>2</v>
      </c>
      <c r="G3918" t="s">
        <v>57</v>
      </c>
      <c r="H3918" t="s">
        <v>58</v>
      </c>
      <c r="I3918" s="3">
        <v>1144</v>
      </c>
      <c r="J3918" s="3">
        <v>1144</v>
      </c>
      <c r="K3918" s="3">
        <v>460</v>
      </c>
      <c r="L3918" t="s">
        <v>120</v>
      </c>
      <c r="M3918">
        <v>3</v>
      </c>
      <c r="N3918" t="s">
        <v>69</v>
      </c>
      <c r="O3918" t="s">
        <v>70</v>
      </c>
      <c r="P3918" t="s">
        <v>71</v>
      </c>
      <c r="Q3918" t="s">
        <v>72</v>
      </c>
      <c r="R3918" t="s">
        <v>139</v>
      </c>
      <c r="S3918" t="s">
        <v>144</v>
      </c>
      <c r="T3918" s="2">
        <f>MASTER[[#This Row],[CANTIDAD]]*MASTER[[#This Row],[PRECIO DE VENTA]]</f>
        <v>2288</v>
      </c>
      <c r="U3918" s="2">
        <f>MASTER[[#This Row],[CANTIDAD]]*MASTER[[#This Row],[COSTO UNITARIO]]</f>
        <v>920</v>
      </c>
      <c r="V3918" s="2">
        <f>MASTER[[#This Row],[MONTO VENDIDO]]-MASTER[[#This Row],[COSTO DE VENTA]]</f>
        <v>1368</v>
      </c>
    </row>
    <row r="3919" spans="1:22" x14ac:dyDescent="0.3">
      <c r="A3919">
        <v>59595</v>
      </c>
      <c r="B3919">
        <v>1</v>
      </c>
      <c r="C3919" t="s">
        <v>105</v>
      </c>
      <c r="D3919" t="s">
        <v>106</v>
      </c>
      <c r="E3919" s="1">
        <v>44275</v>
      </c>
      <c r="F3919">
        <v>1</v>
      </c>
      <c r="G3919" t="s">
        <v>59</v>
      </c>
      <c r="H3919" t="s">
        <v>60</v>
      </c>
      <c r="I3919" s="3">
        <v>1865</v>
      </c>
      <c r="J3919" s="3">
        <v>1865</v>
      </c>
      <c r="K3919" s="3">
        <v>459</v>
      </c>
      <c r="L3919" t="s">
        <v>98</v>
      </c>
      <c r="M3919">
        <v>14</v>
      </c>
      <c r="N3919" t="s">
        <v>87</v>
      </c>
      <c r="O3919" t="s">
        <v>81</v>
      </c>
      <c r="P3919" t="s">
        <v>18</v>
      </c>
      <c r="Q3919" t="s">
        <v>19</v>
      </c>
      <c r="R3919" t="s">
        <v>138</v>
      </c>
      <c r="S3919" t="s">
        <v>144</v>
      </c>
      <c r="T3919" s="2">
        <f>MASTER[[#This Row],[CANTIDAD]]*MASTER[[#This Row],[PRECIO DE VENTA]]</f>
        <v>1865</v>
      </c>
      <c r="U3919" s="2">
        <f>MASTER[[#This Row],[CANTIDAD]]*MASTER[[#This Row],[COSTO UNITARIO]]</f>
        <v>459</v>
      </c>
      <c r="V3919" s="2">
        <f>MASTER[[#This Row],[MONTO VENDIDO]]-MASTER[[#This Row],[COSTO DE VENTA]]</f>
        <v>1406</v>
      </c>
    </row>
    <row r="3920" spans="1:22" x14ac:dyDescent="0.3">
      <c r="A3920">
        <v>59603</v>
      </c>
      <c r="B3920">
        <v>1</v>
      </c>
      <c r="C3920" t="s">
        <v>90</v>
      </c>
      <c r="D3920" t="s">
        <v>91</v>
      </c>
      <c r="E3920" s="1">
        <v>44275</v>
      </c>
      <c r="F3920">
        <v>1</v>
      </c>
      <c r="G3920" t="s">
        <v>29</v>
      </c>
      <c r="H3920" t="s">
        <v>30</v>
      </c>
      <c r="I3920" s="3">
        <v>1660</v>
      </c>
      <c r="J3920" s="3">
        <v>1660</v>
      </c>
      <c r="K3920" s="3">
        <v>420</v>
      </c>
      <c r="L3920" t="s">
        <v>9</v>
      </c>
      <c r="M3920">
        <v>16</v>
      </c>
      <c r="N3920" t="s">
        <v>17</v>
      </c>
      <c r="O3920" t="s">
        <v>11</v>
      </c>
      <c r="P3920" t="s">
        <v>18</v>
      </c>
      <c r="Q3920" t="s">
        <v>19</v>
      </c>
      <c r="R3920" t="s">
        <v>138</v>
      </c>
      <c r="S3920" t="s">
        <v>144</v>
      </c>
      <c r="T3920" s="2">
        <f>MASTER[[#This Row],[CANTIDAD]]*MASTER[[#This Row],[PRECIO DE VENTA]]</f>
        <v>1660</v>
      </c>
      <c r="U3920" s="2">
        <f>MASTER[[#This Row],[CANTIDAD]]*MASTER[[#This Row],[COSTO UNITARIO]]</f>
        <v>420</v>
      </c>
      <c r="V3920" s="2">
        <f>MASTER[[#This Row],[MONTO VENDIDO]]-MASTER[[#This Row],[COSTO DE VENTA]]</f>
        <v>1240</v>
      </c>
    </row>
    <row r="3921" spans="1:22" x14ac:dyDescent="0.3">
      <c r="A3921">
        <v>59610</v>
      </c>
      <c r="B3921">
        <v>1</v>
      </c>
      <c r="C3921" t="s">
        <v>111</v>
      </c>
      <c r="D3921" t="s">
        <v>112</v>
      </c>
      <c r="E3921" s="1">
        <v>44276</v>
      </c>
      <c r="F3921">
        <v>1</v>
      </c>
      <c r="G3921" t="s">
        <v>45</v>
      </c>
      <c r="H3921" t="s">
        <v>46</v>
      </c>
      <c r="I3921" s="3">
        <v>1524</v>
      </c>
      <c r="J3921" s="3">
        <v>1524</v>
      </c>
      <c r="K3921" s="3">
        <v>434</v>
      </c>
      <c r="L3921" t="s">
        <v>113</v>
      </c>
      <c r="M3921">
        <v>17</v>
      </c>
      <c r="N3921" t="s">
        <v>14</v>
      </c>
      <c r="O3921" t="s">
        <v>11</v>
      </c>
      <c r="P3921" t="s">
        <v>15</v>
      </c>
      <c r="Q3921" t="s">
        <v>16</v>
      </c>
      <c r="R3921" t="s">
        <v>16</v>
      </c>
      <c r="S3921" t="s">
        <v>144</v>
      </c>
      <c r="T3921" s="2">
        <f>MASTER[[#This Row],[CANTIDAD]]*MASTER[[#This Row],[PRECIO DE VENTA]]</f>
        <v>1524</v>
      </c>
      <c r="U3921" s="2">
        <f>MASTER[[#This Row],[CANTIDAD]]*MASTER[[#This Row],[COSTO UNITARIO]]</f>
        <v>434</v>
      </c>
      <c r="V3921" s="2">
        <f>MASTER[[#This Row],[MONTO VENDIDO]]-MASTER[[#This Row],[COSTO DE VENTA]]</f>
        <v>1090</v>
      </c>
    </row>
    <row r="3922" spans="1:22" x14ac:dyDescent="0.3">
      <c r="A3922">
        <v>59615</v>
      </c>
      <c r="B3922">
        <v>1</v>
      </c>
      <c r="C3922" t="s">
        <v>94</v>
      </c>
      <c r="D3922" t="s">
        <v>95</v>
      </c>
      <c r="E3922" s="1">
        <v>44276</v>
      </c>
      <c r="F3922">
        <v>1</v>
      </c>
      <c r="G3922" t="s">
        <v>49</v>
      </c>
      <c r="H3922" t="s">
        <v>50</v>
      </c>
      <c r="I3922" s="3">
        <v>1153</v>
      </c>
      <c r="J3922" s="3">
        <v>1153</v>
      </c>
      <c r="K3922" s="3">
        <v>392</v>
      </c>
      <c r="L3922" t="s">
        <v>9</v>
      </c>
      <c r="M3922">
        <v>13</v>
      </c>
      <c r="N3922" t="s">
        <v>78</v>
      </c>
      <c r="O3922" t="s">
        <v>70</v>
      </c>
      <c r="P3922" t="s">
        <v>18</v>
      </c>
      <c r="Q3922" t="s">
        <v>19</v>
      </c>
      <c r="R3922" t="s">
        <v>138</v>
      </c>
      <c r="S3922" t="s">
        <v>144</v>
      </c>
      <c r="T3922" s="2">
        <f>MASTER[[#This Row],[CANTIDAD]]*MASTER[[#This Row],[PRECIO DE VENTA]]</f>
        <v>1153</v>
      </c>
      <c r="U3922" s="2">
        <f>MASTER[[#This Row],[CANTIDAD]]*MASTER[[#This Row],[COSTO UNITARIO]]</f>
        <v>392</v>
      </c>
      <c r="V3922" s="2">
        <f>MASTER[[#This Row],[MONTO VENDIDO]]-MASTER[[#This Row],[COSTO DE VENTA]]</f>
        <v>761</v>
      </c>
    </row>
    <row r="3923" spans="1:22" x14ac:dyDescent="0.3">
      <c r="A3923">
        <v>59622</v>
      </c>
      <c r="B3923">
        <v>1</v>
      </c>
      <c r="C3923" t="s">
        <v>118</v>
      </c>
      <c r="D3923" t="s">
        <v>119</v>
      </c>
      <c r="E3923" s="1">
        <v>44276</v>
      </c>
      <c r="F3923">
        <v>1</v>
      </c>
      <c r="G3923" t="s">
        <v>31</v>
      </c>
      <c r="H3923" t="s">
        <v>32</v>
      </c>
      <c r="I3923" s="3">
        <v>900</v>
      </c>
      <c r="J3923" s="3">
        <v>900</v>
      </c>
      <c r="K3923" s="3">
        <v>424</v>
      </c>
      <c r="L3923" t="s">
        <v>120</v>
      </c>
      <c r="M3923">
        <v>14</v>
      </c>
      <c r="N3923" t="s">
        <v>87</v>
      </c>
      <c r="O3923" t="s">
        <v>81</v>
      </c>
      <c r="P3923" t="s">
        <v>18</v>
      </c>
      <c r="Q3923" t="s">
        <v>19</v>
      </c>
      <c r="R3923" t="s">
        <v>138</v>
      </c>
      <c r="S3923" t="s">
        <v>144</v>
      </c>
      <c r="T3923" s="2">
        <f>MASTER[[#This Row],[CANTIDAD]]*MASTER[[#This Row],[PRECIO DE VENTA]]</f>
        <v>900</v>
      </c>
      <c r="U3923" s="2">
        <f>MASTER[[#This Row],[CANTIDAD]]*MASTER[[#This Row],[COSTO UNITARIO]]</f>
        <v>424</v>
      </c>
      <c r="V3923" s="2">
        <f>MASTER[[#This Row],[MONTO VENDIDO]]-MASTER[[#This Row],[COSTO DE VENTA]]</f>
        <v>476</v>
      </c>
    </row>
    <row r="3924" spans="1:22" x14ac:dyDescent="0.3">
      <c r="A3924">
        <v>59633</v>
      </c>
      <c r="B3924">
        <v>1</v>
      </c>
      <c r="C3924" t="s">
        <v>94</v>
      </c>
      <c r="D3924" t="s">
        <v>95</v>
      </c>
      <c r="E3924" s="1">
        <v>44276</v>
      </c>
      <c r="F3924">
        <v>1</v>
      </c>
      <c r="G3924" t="s">
        <v>37</v>
      </c>
      <c r="H3924" t="s">
        <v>38</v>
      </c>
      <c r="I3924" s="3">
        <v>901</v>
      </c>
      <c r="J3924" s="3">
        <v>901</v>
      </c>
      <c r="K3924" s="3">
        <v>392</v>
      </c>
      <c r="L3924" t="s">
        <v>9</v>
      </c>
      <c r="M3924">
        <v>11</v>
      </c>
      <c r="N3924" t="s">
        <v>10</v>
      </c>
      <c r="O3924" t="s">
        <v>11</v>
      </c>
      <c r="P3924" t="s">
        <v>12</v>
      </c>
      <c r="Q3924" t="s">
        <v>13</v>
      </c>
      <c r="R3924" t="s">
        <v>13</v>
      </c>
      <c r="S3924" t="s">
        <v>144</v>
      </c>
      <c r="T3924" s="2">
        <f>MASTER[[#This Row],[CANTIDAD]]*MASTER[[#This Row],[PRECIO DE VENTA]]</f>
        <v>901</v>
      </c>
      <c r="U3924" s="2">
        <f>MASTER[[#This Row],[CANTIDAD]]*MASTER[[#This Row],[COSTO UNITARIO]]</f>
        <v>392</v>
      </c>
      <c r="V3924" s="2">
        <f>MASTER[[#This Row],[MONTO VENDIDO]]-MASTER[[#This Row],[COSTO DE VENTA]]</f>
        <v>509</v>
      </c>
    </row>
    <row r="3925" spans="1:22" x14ac:dyDescent="0.3">
      <c r="A3925">
        <v>59635</v>
      </c>
      <c r="B3925">
        <v>1</v>
      </c>
      <c r="C3925" t="s">
        <v>111</v>
      </c>
      <c r="D3925" t="s">
        <v>112</v>
      </c>
      <c r="E3925" s="1">
        <v>44276</v>
      </c>
      <c r="F3925">
        <v>1</v>
      </c>
      <c r="G3925" t="s">
        <v>7</v>
      </c>
      <c r="H3925" t="s">
        <v>8</v>
      </c>
      <c r="I3925" s="3">
        <v>1621</v>
      </c>
      <c r="J3925" s="3">
        <v>1621</v>
      </c>
      <c r="K3925" s="3">
        <v>434</v>
      </c>
      <c r="L3925" t="s">
        <v>113</v>
      </c>
      <c r="M3925">
        <v>4</v>
      </c>
      <c r="N3925" t="s">
        <v>82</v>
      </c>
      <c r="O3925" t="s">
        <v>81</v>
      </c>
      <c r="P3925" t="s">
        <v>71</v>
      </c>
      <c r="Q3925" t="s">
        <v>72</v>
      </c>
      <c r="R3925" t="s">
        <v>139</v>
      </c>
      <c r="S3925" t="s">
        <v>144</v>
      </c>
      <c r="T3925" s="2">
        <f>MASTER[[#This Row],[CANTIDAD]]*MASTER[[#This Row],[PRECIO DE VENTA]]</f>
        <v>1621</v>
      </c>
      <c r="U3925" s="2">
        <f>MASTER[[#This Row],[CANTIDAD]]*MASTER[[#This Row],[COSTO UNITARIO]]</f>
        <v>434</v>
      </c>
      <c r="V3925" s="2">
        <f>MASTER[[#This Row],[MONTO VENDIDO]]-MASTER[[#This Row],[COSTO DE VENTA]]</f>
        <v>1187</v>
      </c>
    </row>
    <row r="3926" spans="1:22" x14ac:dyDescent="0.3">
      <c r="A3926">
        <v>59646</v>
      </c>
      <c r="B3926">
        <v>1</v>
      </c>
      <c r="C3926" t="s">
        <v>107</v>
      </c>
      <c r="D3926" t="s">
        <v>108</v>
      </c>
      <c r="E3926" s="1">
        <v>44276</v>
      </c>
      <c r="F3926">
        <v>1</v>
      </c>
      <c r="G3926" t="s">
        <v>43</v>
      </c>
      <c r="H3926" t="s">
        <v>44</v>
      </c>
      <c r="I3926" s="3">
        <v>1333</v>
      </c>
      <c r="J3926" s="3">
        <v>1333</v>
      </c>
      <c r="K3926" s="3">
        <v>380</v>
      </c>
      <c r="L3926" t="s">
        <v>98</v>
      </c>
      <c r="M3926">
        <v>14</v>
      </c>
      <c r="N3926" t="s">
        <v>87</v>
      </c>
      <c r="O3926" t="s">
        <v>81</v>
      </c>
      <c r="P3926" t="s">
        <v>18</v>
      </c>
      <c r="Q3926" t="s">
        <v>19</v>
      </c>
      <c r="R3926" t="s">
        <v>138</v>
      </c>
      <c r="S3926" t="s">
        <v>144</v>
      </c>
      <c r="T3926" s="2">
        <f>MASTER[[#This Row],[CANTIDAD]]*MASTER[[#This Row],[PRECIO DE VENTA]]</f>
        <v>1333</v>
      </c>
      <c r="U3926" s="2">
        <f>MASTER[[#This Row],[CANTIDAD]]*MASTER[[#This Row],[COSTO UNITARIO]]</f>
        <v>380</v>
      </c>
      <c r="V3926" s="2">
        <f>MASTER[[#This Row],[MONTO VENDIDO]]-MASTER[[#This Row],[COSTO DE VENTA]]</f>
        <v>953</v>
      </c>
    </row>
    <row r="3927" spans="1:22" x14ac:dyDescent="0.3">
      <c r="A3927">
        <v>59656</v>
      </c>
      <c r="B3927">
        <v>1</v>
      </c>
      <c r="C3927" t="s">
        <v>94</v>
      </c>
      <c r="D3927" t="s">
        <v>95</v>
      </c>
      <c r="E3927" s="1">
        <v>44276</v>
      </c>
      <c r="F3927">
        <v>1</v>
      </c>
      <c r="G3927" t="s">
        <v>57</v>
      </c>
      <c r="H3927" t="s">
        <v>58</v>
      </c>
      <c r="I3927" s="3">
        <v>1048</v>
      </c>
      <c r="J3927" s="3">
        <v>985</v>
      </c>
      <c r="K3927" s="3">
        <v>392</v>
      </c>
      <c r="L3927" t="s">
        <v>9</v>
      </c>
      <c r="M3927">
        <v>19</v>
      </c>
      <c r="N3927" t="s">
        <v>89</v>
      </c>
      <c r="O3927" t="s">
        <v>81</v>
      </c>
      <c r="P3927" t="s">
        <v>15</v>
      </c>
      <c r="Q3927" t="s">
        <v>16</v>
      </c>
      <c r="R3927" t="s">
        <v>16</v>
      </c>
      <c r="S3927" t="s">
        <v>144</v>
      </c>
      <c r="T3927" s="2">
        <f>MASTER[[#This Row],[CANTIDAD]]*MASTER[[#This Row],[PRECIO DE VENTA]]</f>
        <v>985</v>
      </c>
      <c r="U3927" s="2">
        <f>MASTER[[#This Row],[CANTIDAD]]*MASTER[[#This Row],[COSTO UNITARIO]]</f>
        <v>392</v>
      </c>
      <c r="V3927" s="2">
        <f>MASTER[[#This Row],[MONTO VENDIDO]]-MASTER[[#This Row],[COSTO DE VENTA]]</f>
        <v>593</v>
      </c>
    </row>
    <row r="3928" spans="1:22" x14ac:dyDescent="0.3">
      <c r="A3928">
        <v>59665</v>
      </c>
      <c r="B3928">
        <v>1</v>
      </c>
      <c r="C3928" t="s">
        <v>121</v>
      </c>
      <c r="D3928" t="s">
        <v>122</v>
      </c>
      <c r="E3928" s="1">
        <v>44276</v>
      </c>
      <c r="F3928">
        <v>1</v>
      </c>
      <c r="G3928" t="s">
        <v>47</v>
      </c>
      <c r="H3928" t="s">
        <v>48</v>
      </c>
      <c r="I3928" s="3">
        <v>1144</v>
      </c>
      <c r="J3928" s="3">
        <v>1144</v>
      </c>
      <c r="K3928" s="3">
        <v>460</v>
      </c>
      <c r="L3928" t="s">
        <v>120</v>
      </c>
      <c r="M3928">
        <v>18</v>
      </c>
      <c r="N3928" t="s">
        <v>79</v>
      </c>
      <c r="O3928" t="s">
        <v>70</v>
      </c>
      <c r="P3928" t="s">
        <v>15</v>
      </c>
      <c r="Q3928" t="s">
        <v>16</v>
      </c>
      <c r="R3928" t="s">
        <v>16</v>
      </c>
      <c r="S3928" t="s">
        <v>144</v>
      </c>
      <c r="T3928" s="2">
        <f>MASTER[[#This Row],[CANTIDAD]]*MASTER[[#This Row],[PRECIO DE VENTA]]</f>
        <v>1144</v>
      </c>
      <c r="U3928" s="2">
        <f>MASTER[[#This Row],[CANTIDAD]]*MASTER[[#This Row],[COSTO UNITARIO]]</f>
        <v>460</v>
      </c>
      <c r="V3928" s="2">
        <f>MASTER[[#This Row],[MONTO VENDIDO]]-MASTER[[#This Row],[COSTO DE VENTA]]</f>
        <v>684</v>
      </c>
    </row>
    <row r="3929" spans="1:22" x14ac:dyDescent="0.3">
      <c r="A3929">
        <v>59669</v>
      </c>
      <c r="B3929">
        <v>1</v>
      </c>
      <c r="C3929" t="s">
        <v>5</v>
      </c>
      <c r="D3929" t="s">
        <v>6</v>
      </c>
      <c r="E3929" s="1">
        <v>44276</v>
      </c>
      <c r="F3929">
        <v>1</v>
      </c>
      <c r="G3929" t="s">
        <v>27</v>
      </c>
      <c r="H3929" t="s">
        <v>28</v>
      </c>
      <c r="I3929" s="3">
        <v>1507</v>
      </c>
      <c r="J3929" s="3">
        <v>1507</v>
      </c>
      <c r="K3929" s="3">
        <v>393</v>
      </c>
      <c r="L3929" t="s">
        <v>9</v>
      </c>
      <c r="M3929">
        <v>15</v>
      </c>
      <c r="N3929" t="s">
        <v>88</v>
      </c>
      <c r="O3929" t="s">
        <v>81</v>
      </c>
      <c r="P3929" t="s">
        <v>18</v>
      </c>
      <c r="Q3929" t="s">
        <v>19</v>
      </c>
      <c r="R3929" t="s">
        <v>138</v>
      </c>
      <c r="S3929" t="s">
        <v>144</v>
      </c>
      <c r="T3929" s="2">
        <f>MASTER[[#This Row],[CANTIDAD]]*MASTER[[#This Row],[PRECIO DE VENTA]]</f>
        <v>1507</v>
      </c>
      <c r="U3929" s="2">
        <f>MASTER[[#This Row],[CANTIDAD]]*MASTER[[#This Row],[COSTO UNITARIO]]</f>
        <v>393</v>
      </c>
      <c r="V3929" s="2">
        <f>MASTER[[#This Row],[MONTO VENDIDO]]-MASTER[[#This Row],[COSTO DE VENTA]]</f>
        <v>1114</v>
      </c>
    </row>
    <row r="3930" spans="1:22" x14ac:dyDescent="0.3">
      <c r="A3930">
        <v>59684</v>
      </c>
      <c r="B3930">
        <v>1</v>
      </c>
      <c r="C3930" t="s">
        <v>90</v>
      </c>
      <c r="D3930" t="s">
        <v>91</v>
      </c>
      <c r="E3930" s="1">
        <v>44276</v>
      </c>
      <c r="F3930">
        <v>1</v>
      </c>
      <c r="G3930" t="s">
        <v>33</v>
      </c>
      <c r="H3930" t="s">
        <v>34</v>
      </c>
      <c r="I3930" s="3">
        <v>1660</v>
      </c>
      <c r="J3930" s="3">
        <v>1660</v>
      </c>
      <c r="K3930" s="3">
        <v>420</v>
      </c>
      <c r="L3930" t="s">
        <v>9</v>
      </c>
      <c r="M3930">
        <v>11</v>
      </c>
      <c r="N3930" t="s">
        <v>10</v>
      </c>
      <c r="O3930" t="s">
        <v>11</v>
      </c>
      <c r="P3930" t="s">
        <v>12</v>
      </c>
      <c r="Q3930" t="s">
        <v>13</v>
      </c>
      <c r="R3930" t="s">
        <v>13</v>
      </c>
      <c r="S3930" t="s">
        <v>144</v>
      </c>
      <c r="T3930" s="2">
        <f>MASTER[[#This Row],[CANTIDAD]]*MASTER[[#This Row],[PRECIO DE VENTA]]</f>
        <v>1660</v>
      </c>
      <c r="U3930" s="2">
        <f>MASTER[[#This Row],[CANTIDAD]]*MASTER[[#This Row],[COSTO UNITARIO]]</f>
        <v>420</v>
      </c>
      <c r="V3930" s="2">
        <f>MASTER[[#This Row],[MONTO VENDIDO]]-MASTER[[#This Row],[COSTO DE VENTA]]</f>
        <v>1240</v>
      </c>
    </row>
    <row r="3931" spans="1:22" x14ac:dyDescent="0.3">
      <c r="A3931">
        <v>59687</v>
      </c>
      <c r="B3931">
        <v>1</v>
      </c>
      <c r="C3931" t="s">
        <v>116</v>
      </c>
      <c r="D3931" t="s">
        <v>117</v>
      </c>
      <c r="E3931" s="1">
        <v>44276</v>
      </c>
      <c r="F3931">
        <v>4</v>
      </c>
      <c r="G3931" t="s">
        <v>37</v>
      </c>
      <c r="H3931" t="s">
        <v>38</v>
      </c>
      <c r="I3931" s="3">
        <v>1738</v>
      </c>
      <c r="J3931" s="3">
        <v>1738</v>
      </c>
      <c r="K3931" s="3">
        <v>388</v>
      </c>
      <c r="L3931" t="s">
        <v>113</v>
      </c>
      <c r="M3931">
        <v>15</v>
      </c>
      <c r="N3931" t="s">
        <v>88</v>
      </c>
      <c r="O3931" t="s">
        <v>81</v>
      </c>
      <c r="P3931" t="s">
        <v>18</v>
      </c>
      <c r="Q3931" t="s">
        <v>19</v>
      </c>
      <c r="R3931" t="s">
        <v>138</v>
      </c>
      <c r="S3931" t="s">
        <v>144</v>
      </c>
      <c r="T3931" s="2">
        <f>MASTER[[#This Row],[CANTIDAD]]*MASTER[[#This Row],[PRECIO DE VENTA]]</f>
        <v>6952</v>
      </c>
      <c r="U3931" s="2">
        <f>MASTER[[#This Row],[CANTIDAD]]*MASTER[[#This Row],[COSTO UNITARIO]]</f>
        <v>1552</v>
      </c>
      <c r="V3931" s="2">
        <f>MASTER[[#This Row],[MONTO VENDIDO]]-MASTER[[#This Row],[COSTO DE VENTA]]</f>
        <v>5400</v>
      </c>
    </row>
    <row r="3932" spans="1:22" x14ac:dyDescent="0.3">
      <c r="A3932">
        <v>59711</v>
      </c>
      <c r="B3932">
        <v>1</v>
      </c>
      <c r="C3932" t="s">
        <v>92</v>
      </c>
      <c r="D3932" t="s">
        <v>93</v>
      </c>
      <c r="E3932" s="1">
        <v>44277</v>
      </c>
      <c r="F3932">
        <v>1</v>
      </c>
      <c r="G3932" t="s">
        <v>39</v>
      </c>
      <c r="H3932" t="s">
        <v>40</v>
      </c>
      <c r="I3932" s="3">
        <v>1866</v>
      </c>
      <c r="J3932" s="3">
        <v>1866</v>
      </c>
      <c r="K3932" s="3">
        <v>396</v>
      </c>
      <c r="L3932" t="s">
        <v>9</v>
      </c>
      <c r="M3932">
        <v>9</v>
      </c>
      <c r="N3932" t="s">
        <v>76</v>
      </c>
      <c r="O3932" t="s">
        <v>70</v>
      </c>
      <c r="P3932" t="s">
        <v>12</v>
      </c>
      <c r="Q3932" t="s">
        <v>13</v>
      </c>
      <c r="R3932" t="s">
        <v>13</v>
      </c>
      <c r="S3932" t="s">
        <v>144</v>
      </c>
      <c r="T3932" s="2">
        <f>MASTER[[#This Row],[CANTIDAD]]*MASTER[[#This Row],[PRECIO DE VENTA]]</f>
        <v>1866</v>
      </c>
      <c r="U3932" s="2">
        <f>MASTER[[#This Row],[CANTIDAD]]*MASTER[[#This Row],[COSTO UNITARIO]]</f>
        <v>396</v>
      </c>
      <c r="V3932" s="2">
        <f>MASTER[[#This Row],[MONTO VENDIDO]]-MASTER[[#This Row],[COSTO DE VENTA]]</f>
        <v>1470</v>
      </c>
    </row>
    <row r="3933" spans="1:22" x14ac:dyDescent="0.3">
      <c r="A3933">
        <v>59718</v>
      </c>
      <c r="B3933">
        <v>1</v>
      </c>
      <c r="C3933" t="s">
        <v>109</v>
      </c>
      <c r="D3933" t="s">
        <v>110</v>
      </c>
      <c r="E3933" s="1">
        <v>44277</v>
      </c>
      <c r="F3933">
        <v>1</v>
      </c>
      <c r="G3933" t="s">
        <v>65</v>
      </c>
      <c r="H3933" t="s">
        <v>66</v>
      </c>
      <c r="I3933" s="3">
        <v>1128</v>
      </c>
      <c r="J3933" s="3">
        <v>1128</v>
      </c>
      <c r="K3933" s="3">
        <v>387</v>
      </c>
      <c r="L3933" t="s">
        <v>98</v>
      </c>
      <c r="M3933">
        <v>18</v>
      </c>
      <c r="N3933" t="s">
        <v>79</v>
      </c>
      <c r="O3933" t="s">
        <v>70</v>
      </c>
      <c r="P3933" t="s">
        <v>15</v>
      </c>
      <c r="Q3933" t="s">
        <v>16</v>
      </c>
      <c r="R3933" t="s">
        <v>16</v>
      </c>
      <c r="S3933" t="s">
        <v>144</v>
      </c>
      <c r="T3933" s="2">
        <f>MASTER[[#This Row],[CANTIDAD]]*MASTER[[#This Row],[PRECIO DE VENTA]]</f>
        <v>1128</v>
      </c>
      <c r="U3933" s="2">
        <f>MASTER[[#This Row],[CANTIDAD]]*MASTER[[#This Row],[COSTO UNITARIO]]</f>
        <v>387</v>
      </c>
      <c r="V3933" s="2">
        <f>MASTER[[#This Row],[MONTO VENDIDO]]-MASTER[[#This Row],[COSTO DE VENTA]]</f>
        <v>741</v>
      </c>
    </row>
    <row r="3934" spans="1:22" x14ac:dyDescent="0.3">
      <c r="A3934">
        <v>59725</v>
      </c>
      <c r="B3934">
        <v>1</v>
      </c>
      <c r="C3934" t="s">
        <v>116</v>
      </c>
      <c r="D3934" t="s">
        <v>117</v>
      </c>
      <c r="E3934" s="1">
        <v>44277</v>
      </c>
      <c r="F3934">
        <v>1</v>
      </c>
      <c r="G3934" t="s">
        <v>24</v>
      </c>
      <c r="H3934" t="s">
        <v>25</v>
      </c>
      <c r="I3934" s="3">
        <v>1738</v>
      </c>
      <c r="J3934" s="3">
        <v>1738</v>
      </c>
      <c r="K3934" s="3">
        <v>388</v>
      </c>
      <c r="L3934" t="s">
        <v>113</v>
      </c>
      <c r="M3934">
        <v>10</v>
      </c>
      <c r="N3934" t="s">
        <v>83</v>
      </c>
      <c r="O3934" t="s">
        <v>81</v>
      </c>
      <c r="P3934" t="s">
        <v>12</v>
      </c>
      <c r="Q3934" t="s">
        <v>13</v>
      </c>
      <c r="R3934" t="s">
        <v>13</v>
      </c>
      <c r="S3934" t="s">
        <v>144</v>
      </c>
      <c r="T3934" s="2">
        <f>MASTER[[#This Row],[CANTIDAD]]*MASTER[[#This Row],[PRECIO DE VENTA]]</f>
        <v>1738</v>
      </c>
      <c r="U3934" s="2">
        <f>MASTER[[#This Row],[CANTIDAD]]*MASTER[[#This Row],[COSTO UNITARIO]]</f>
        <v>388</v>
      </c>
      <c r="V3934" s="2">
        <f>MASTER[[#This Row],[MONTO VENDIDO]]-MASTER[[#This Row],[COSTO DE VENTA]]</f>
        <v>1350</v>
      </c>
    </row>
    <row r="3935" spans="1:22" x14ac:dyDescent="0.3">
      <c r="A3935">
        <v>59742</v>
      </c>
      <c r="B3935">
        <v>1</v>
      </c>
      <c r="C3935" t="s">
        <v>101</v>
      </c>
      <c r="D3935" t="s">
        <v>102</v>
      </c>
      <c r="E3935" s="1">
        <v>44277</v>
      </c>
      <c r="F3935">
        <v>1</v>
      </c>
      <c r="G3935" t="s">
        <v>61</v>
      </c>
      <c r="H3935" t="s">
        <v>62</v>
      </c>
      <c r="I3935" s="3">
        <v>1212</v>
      </c>
      <c r="J3935" s="3">
        <v>1212</v>
      </c>
      <c r="K3935" s="3">
        <v>442</v>
      </c>
      <c r="L3935" t="s">
        <v>98</v>
      </c>
      <c r="M3935">
        <v>10</v>
      </c>
      <c r="N3935" t="s">
        <v>83</v>
      </c>
      <c r="O3935" t="s">
        <v>81</v>
      </c>
      <c r="P3935" t="s">
        <v>12</v>
      </c>
      <c r="Q3935" t="s">
        <v>13</v>
      </c>
      <c r="R3935" t="s">
        <v>13</v>
      </c>
      <c r="S3935" t="s">
        <v>144</v>
      </c>
      <c r="T3935" s="2">
        <f>MASTER[[#This Row],[CANTIDAD]]*MASTER[[#This Row],[PRECIO DE VENTA]]</f>
        <v>1212</v>
      </c>
      <c r="U3935" s="2">
        <f>MASTER[[#This Row],[CANTIDAD]]*MASTER[[#This Row],[COSTO UNITARIO]]</f>
        <v>442</v>
      </c>
      <c r="V3935" s="2">
        <f>MASTER[[#This Row],[MONTO VENDIDO]]-MASTER[[#This Row],[COSTO DE VENTA]]</f>
        <v>770</v>
      </c>
    </row>
    <row r="3936" spans="1:22" x14ac:dyDescent="0.3">
      <c r="A3936">
        <v>59750</v>
      </c>
      <c r="B3936">
        <v>1</v>
      </c>
      <c r="C3936" t="s">
        <v>111</v>
      </c>
      <c r="D3936" t="s">
        <v>112</v>
      </c>
      <c r="E3936" s="1">
        <v>44277</v>
      </c>
      <c r="F3936">
        <v>1</v>
      </c>
      <c r="G3936" t="s">
        <v>73</v>
      </c>
      <c r="H3936" t="s">
        <v>74</v>
      </c>
      <c r="I3936" s="3">
        <v>1524</v>
      </c>
      <c r="J3936" s="3">
        <v>1524</v>
      </c>
      <c r="K3936" s="3">
        <v>434</v>
      </c>
      <c r="L3936" t="s">
        <v>113</v>
      </c>
      <c r="M3936">
        <v>17</v>
      </c>
      <c r="N3936" t="s">
        <v>14</v>
      </c>
      <c r="O3936" t="s">
        <v>11</v>
      </c>
      <c r="P3936" t="s">
        <v>15</v>
      </c>
      <c r="Q3936" t="s">
        <v>16</v>
      </c>
      <c r="R3936" t="s">
        <v>16</v>
      </c>
      <c r="S3936" t="s">
        <v>144</v>
      </c>
      <c r="T3936" s="2">
        <f>MASTER[[#This Row],[CANTIDAD]]*MASTER[[#This Row],[PRECIO DE VENTA]]</f>
        <v>1524</v>
      </c>
      <c r="U3936" s="2">
        <f>MASTER[[#This Row],[CANTIDAD]]*MASTER[[#This Row],[COSTO UNITARIO]]</f>
        <v>434</v>
      </c>
      <c r="V3936" s="2">
        <f>MASTER[[#This Row],[MONTO VENDIDO]]-MASTER[[#This Row],[COSTO DE VENTA]]</f>
        <v>1090</v>
      </c>
    </row>
    <row r="3937" spans="1:22" x14ac:dyDescent="0.3">
      <c r="A3937">
        <v>59761</v>
      </c>
      <c r="B3937">
        <v>1</v>
      </c>
      <c r="C3937" t="s">
        <v>103</v>
      </c>
      <c r="D3937" t="s">
        <v>104</v>
      </c>
      <c r="E3937" s="1">
        <v>44277</v>
      </c>
      <c r="F3937">
        <v>1</v>
      </c>
      <c r="G3937" t="s">
        <v>47</v>
      </c>
      <c r="H3937" t="s">
        <v>48</v>
      </c>
      <c r="I3937" s="3">
        <v>1830</v>
      </c>
      <c r="J3937" s="3">
        <v>1756</v>
      </c>
      <c r="K3937" s="3">
        <v>421</v>
      </c>
      <c r="L3937" t="s">
        <v>98</v>
      </c>
      <c r="M3937">
        <v>13</v>
      </c>
      <c r="N3937" t="s">
        <v>78</v>
      </c>
      <c r="O3937" t="s">
        <v>70</v>
      </c>
      <c r="P3937" t="s">
        <v>18</v>
      </c>
      <c r="Q3937" t="s">
        <v>19</v>
      </c>
      <c r="R3937" t="s">
        <v>138</v>
      </c>
      <c r="S3937" t="s">
        <v>144</v>
      </c>
      <c r="T3937" s="2">
        <f>MASTER[[#This Row],[CANTIDAD]]*MASTER[[#This Row],[PRECIO DE VENTA]]</f>
        <v>1756</v>
      </c>
      <c r="U3937" s="2">
        <f>MASTER[[#This Row],[CANTIDAD]]*MASTER[[#This Row],[COSTO UNITARIO]]</f>
        <v>421</v>
      </c>
      <c r="V3937" s="2">
        <f>MASTER[[#This Row],[MONTO VENDIDO]]-MASTER[[#This Row],[COSTO DE VENTA]]</f>
        <v>1335</v>
      </c>
    </row>
    <row r="3938" spans="1:22" x14ac:dyDescent="0.3">
      <c r="A3938">
        <v>59771</v>
      </c>
      <c r="B3938">
        <v>1</v>
      </c>
      <c r="C3938" t="s">
        <v>90</v>
      </c>
      <c r="D3938" t="s">
        <v>91</v>
      </c>
      <c r="E3938" s="1">
        <v>44278</v>
      </c>
      <c r="F3938">
        <v>1</v>
      </c>
      <c r="G3938" t="s">
        <v>33</v>
      </c>
      <c r="H3938" t="s">
        <v>34</v>
      </c>
      <c r="I3938" s="3">
        <v>2102</v>
      </c>
      <c r="J3938" s="3">
        <v>2102</v>
      </c>
      <c r="K3938" s="3">
        <v>420</v>
      </c>
      <c r="L3938" t="s">
        <v>9</v>
      </c>
      <c r="M3938">
        <v>13</v>
      </c>
      <c r="N3938" t="s">
        <v>78</v>
      </c>
      <c r="O3938" t="s">
        <v>70</v>
      </c>
      <c r="P3938" t="s">
        <v>18</v>
      </c>
      <c r="Q3938" t="s">
        <v>19</v>
      </c>
      <c r="R3938" t="s">
        <v>138</v>
      </c>
      <c r="S3938" t="s">
        <v>144</v>
      </c>
      <c r="T3938" s="2">
        <f>MASTER[[#This Row],[CANTIDAD]]*MASTER[[#This Row],[PRECIO DE VENTA]]</f>
        <v>2102</v>
      </c>
      <c r="U3938" s="2">
        <f>MASTER[[#This Row],[CANTIDAD]]*MASTER[[#This Row],[COSTO UNITARIO]]</f>
        <v>420</v>
      </c>
      <c r="V3938" s="2">
        <f>MASTER[[#This Row],[MONTO VENDIDO]]-MASTER[[#This Row],[COSTO DE VENTA]]</f>
        <v>1682</v>
      </c>
    </row>
    <row r="3939" spans="1:22" x14ac:dyDescent="0.3">
      <c r="A3939">
        <v>59802</v>
      </c>
      <c r="B3939">
        <v>1</v>
      </c>
      <c r="C3939" t="s">
        <v>109</v>
      </c>
      <c r="D3939" t="s">
        <v>110</v>
      </c>
      <c r="E3939" s="1">
        <v>44278</v>
      </c>
      <c r="F3939">
        <v>1</v>
      </c>
      <c r="G3939" t="s">
        <v>29</v>
      </c>
      <c r="H3939" t="s">
        <v>30</v>
      </c>
      <c r="I3939" s="3">
        <v>1128</v>
      </c>
      <c r="J3939" s="3">
        <v>1128</v>
      </c>
      <c r="K3939" s="3">
        <v>387</v>
      </c>
      <c r="L3939" t="s">
        <v>98</v>
      </c>
      <c r="M3939">
        <v>18</v>
      </c>
      <c r="N3939" t="s">
        <v>79</v>
      </c>
      <c r="O3939" t="s">
        <v>70</v>
      </c>
      <c r="P3939" t="s">
        <v>15</v>
      </c>
      <c r="Q3939" t="s">
        <v>16</v>
      </c>
      <c r="R3939" t="s">
        <v>16</v>
      </c>
      <c r="S3939" t="s">
        <v>144</v>
      </c>
      <c r="T3939" s="2">
        <f>MASTER[[#This Row],[CANTIDAD]]*MASTER[[#This Row],[PRECIO DE VENTA]]</f>
        <v>1128</v>
      </c>
      <c r="U3939" s="2">
        <f>MASTER[[#This Row],[CANTIDAD]]*MASTER[[#This Row],[COSTO UNITARIO]]</f>
        <v>387</v>
      </c>
      <c r="V3939" s="2">
        <f>MASTER[[#This Row],[MONTO VENDIDO]]-MASTER[[#This Row],[COSTO DE VENTA]]</f>
        <v>741</v>
      </c>
    </row>
    <row r="3940" spans="1:22" x14ac:dyDescent="0.3">
      <c r="A3940">
        <v>59803</v>
      </c>
      <c r="B3940">
        <v>1</v>
      </c>
      <c r="C3940" t="s">
        <v>96</v>
      </c>
      <c r="D3940" t="s">
        <v>97</v>
      </c>
      <c r="E3940" s="1">
        <v>44278</v>
      </c>
      <c r="F3940">
        <v>1</v>
      </c>
      <c r="G3940" t="s">
        <v>49</v>
      </c>
      <c r="H3940" t="s">
        <v>50</v>
      </c>
      <c r="I3940" s="3">
        <v>1272</v>
      </c>
      <c r="J3940" s="3">
        <v>1272</v>
      </c>
      <c r="K3940" s="3">
        <v>397</v>
      </c>
      <c r="L3940" t="s">
        <v>98</v>
      </c>
      <c r="M3940">
        <v>10</v>
      </c>
      <c r="N3940" t="s">
        <v>83</v>
      </c>
      <c r="O3940" t="s">
        <v>81</v>
      </c>
      <c r="P3940" t="s">
        <v>12</v>
      </c>
      <c r="Q3940" t="s">
        <v>13</v>
      </c>
      <c r="R3940" t="s">
        <v>13</v>
      </c>
      <c r="S3940" t="s">
        <v>144</v>
      </c>
      <c r="T3940" s="2">
        <f>MASTER[[#This Row],[CANTIDAD]]*MASTER[[#This Row],[PRECIO DE VENTA]]</f>
        <v>1272</v>
      </c>
      <c r="U3940" s="2">
        <f>MASTER[[#This Row],[CANTIDAD]]*MASTER[[#This Row],[COSTO UNITARIO]]</f>
        <v>397</v>
      </c>
      <c r="V3940" s="2">
        <f>MASTER[[#This Row],[MONTO VENDIDO]]-MASTER[[#This Row],[COSTO DE VENTA]]</f>
        <v>875</v>
      </c>
    </row>
    <row r="3941" spans="1:22" x14ac:dyDescent="0.3">
      <c r="A3941">
        <v>59806</v>
      </c>
      <c r="B3941">
        <v>1</v>
      </c>
      <c r="C3941" t="s">
        <v>109</v>
      </c>
      <c r="D3941" t="s">
        <v>110</v>
      </c>
      <c r="E3941" s="1">
        <v>44278</v>
      </c>
      <c r="F3941">
        <v>1</v>
      </c>
      <c r="G3941" t="s">
        <v>73</v>
      </c>
      <c r="H3941" t="s">
        <v>74</v>
      </c>
      <c r="I3941" s="3">
        <v>1064</v>
      </c>
      <c r="J3941" s="3">
        <v>1064</v>
      </c>
      <c r="K3941" s="3">
        <v>387</v>
      </c>
      <c r="L3941" t="s">
        <v>98</v>
      </c>
      <c r="M3941">
        <v>14</v>
      </c>
      <c r="N3941" t="s">
        <v>87</v>
      </c>
      <c r="O3941" t="s">
        <v>81</v>
      </c>
      <c r="P3941" t="s">
        <v>18</v>
      </c>
      <c r="Q3941" t="s">
        <v>19</v>
      </c>
      <c r="R3941" t="s">
        <v>138</v>
      </c>
      <c r="S3941" t="s">
        <v>144</v>
      </c>
      <c r="T3941" s="2">
        <f>MASTER[[#This Row],[CANTIDAD]]*MASTER[[#This Row],[PRECIO DE VENTA]]</f>
        <v>1064</v>
      </c>
      <c r="U3941" s="2">
        <f>MASTER[[#This Row],[CANTIDAD]]*MASTER[[#This Row],[COSTO UNITARIO]]</f>
        <v>387</v>
      </c>
      <c r="V3941" s="2">
        <f>MASTER[[#This Row],[MONTO VENDIDO]]-MASTER[[#This Row],[COSTO DE VENTA]]</f>
        <v>677</v>
      </c>
    </row>
    <row r="3942" spans="1:22" x14ac:dyDescent="0.3">
      <c r="A3942">
        <v>59816</v>
      </c>
      <c r="B3942">
        <v>1</v>
      </c>
      <c r="C3942" t="s">
        <v>90</v>
      </c>
      <c r="D3942" t="s">
        <v>91</v>
      </c>
      <c r="E3942" s="1">
        <v>44278</v>
      </c>
      <c r="F3942">
        <v>1</v>
      </c>
      <c r="G3942" t="s">
        <v>35</v>
      </c>
      <c r="H3942" t="s">
        <v>36</v>
      </c>
      <c r="I3942" s="3">
        <v>1660</v>
      </c>
      <c r="J3942" s="3">
        <v>1660</v>
      </c>
      <c r="K3942" s="3">
        <v>420</v>
      </c>
      <c r="L3942" t="s">
        <v>9</v>
      </c>
      <c r="M3942">
        <v>11</v>
      </c>
      <c r="N3942" t="s">
        <v>10</v>
      </c>
      <c r="O3942" t="s">
        <v>11</v>
      </c>
      <c r="P3942" t="s">
        <v>12</v>
      </c>
      <c r="Q3942" t="s">
        <v>13</v>
      </c>
      <c r="R3942" t="s">
        <v>13</v>
      </c>
      <c r="S3942" t="s">
        <v>144</v>
      </c>
      <c r="T3942" s="2">
        <f>MASTER[[#This Row],[CANTIDAD]]*MASTER[[#This Row],[PRECIO DE VENTA]]</f>
        <v>1660</v>
      </c>
      <c r="U3942" s="2">
        <f>MASTER[[#This Row],[CANTIDAD]]*MASTER[[#This Row],[COSTO UNITARIO]]</f>
        <v>420</v>
      </c>
      <c r="V3942" s="2">
        <f>MASTER[[#This Row],[MONTO VENDIDO]]-MASTER[[#This Row],[COSTO DE VENTA]]</f>
        <v>1240</v>
      </c>
    </row>
    <row r="3943" spans="1:22" x14ac:dyDescent="0.3">
      <c r="A3943">
        <v>59847</v>
      </c>
      <c r="B3943">
        <v>1</v>
      </c>
      <c r="C3943" t="s">
        <v>116</v>
      </c>
      <c r="D3943" t="s">
        <v>117</v>
      </c>
      <c r="E3943" s="1">
        <v>44278</v>
      </c>
      <c r="F3943">
        <v>1</v>
      </c>
      <c r="G3943" t="s">
        <v>27</v>
      </c>
      <c r="H3943" t="s">
        <v>28</v>
      </c>
      <c r="I3943" s="3">
        <v>1999</v>
      </c>
      <c r="J3943" s="3">
        <v>1999</v>
      </c>
      <c r="K3943" s="3">
        <v>388</v>
      </c>
      <c r="L3943" t="s">
        <v>113</v>
      </c>
      <c r="M3943">
        <v>9</v>
      </c>
      <c r="N3943" t="s">
        <v>76</v>
      </c>
      <c r="O3943" t="s">
        <v>70</v>
      </c>
      <c r="P3943" t="s">
        <v>12</v>
      </c>
      <c r="Q3943" t="s">
        <v>13</v>
      </c>
      <c r="R3943" t="s">
        <v>13</v>
      </c>
      <c r="S3943" t="s">
        <v>144</v>
      </c>
      <c r="T3943" s="2">
        <f>MASTER[[#This Row],[CANTIDAD]]*MASTER[[#This Row],[PRECIO DE VENTA]]</f>
        <v>1999</v>
      </c>
      <c r="U3943" s="2">
        <f>MASTER[[#This Row],[CANTIDAD]]*MASTER[[#This Row],[COSTO UNITARIO]]</f>
        <v>388</v>
      </c>
      <c r="V3943" s="2">
        <f>MASTER[[#This Row],[MONTO VENDIDO]]-MASTER[[#This Row],[COSTO DE VENTA]]</f>
        <v>1611</v>
      </c>
    </row>
    <row r="3944" spans="1:22" x14ac:dyDescent="0.3">
      <c r="A3944">
        <v>59849</v>
      </c>
      <c r="B3944">
        <v>1</v>
      </c>
      <c r="C3944" t="s">
        <v>109</v>
      </c>
      <c r="D3944" t="s">
        <v>110</v>
      </c>
      <c r="E3944" s="1">
        <v>44278</v>
      </c>
      <c r="F3944">
        <v>1</v>
      </c>
      <c r="G3944" t="s">
        <v>73</v>
      </c>
      <c r="H3944" t="s">
        <v>74</v>
      </c>
      <c r="I3944" s="3">
        <v>947</v>
      </c>
      <c r="J3944" s="3">
        <v>947</v>
      </c>
      <c r="K3944" s="3">
        <v>387</v>
      </c>
      <c r="L3944" t="s">
        <v>98</v>
      </c>
      <c r="M3944">
        <v>12</v>
      </c>
      <c r="N3944" t="s">
        <v>26</v>
      </c>
      <c r="O3944" t="s">
        <v>11</v>
      </c>
      <c r="P3944" t="s">
        <v>12</v>
      </c>
      <c r="Q3944" t="s">
        <v>13</v>
      </c>
      <c r="R3944" t="s">
        <v>13</v>
      </c>
      <c r="S3944" t="s">
        <v>144</v>
      </c>
      <c r="T3944" s="2">
        <f>MASTER[[#This Row],[CANTIDAD]]*MASTER[[#This Row],[PRECIO DE VENTA]]</f>
        <v>947</v>
      </c>
      <c r="U3944" s="2">
        <f>MASTER[[#This Row],[CANTIDAD]]*MASTER[[#This Row],[COSTO UNITARIO]]</f>
        <v>387</v>
      </c>
      <c r="V3944" s="2">
        <f>MASTER[[#This Row],[MONTO VENDIDO]]-MASTER[[#This Row],[COSTO DE VENTA]]</f>
        <v>560</v>
      </c>
    </row>
    <row r="3945" spans="1:22" x14ac:dyDescent="0.3">
      <c r="A3945">
        <v>59852</v>
      </c>
      <c r="B3945">
        <v>1</v>
      </c>
      <c r="C3945" t="s">
        <v>103</v>
      </c>
      <c r="D3945" t="s">
        <v>104</v>
      </c>
      <c r="E3945" s="1">
        <v>44278</v>
      </c>
      <c r="F3945">
        <v>1</v>
      </c>
      <c r="G3945" t="s">
        <v>53</v>
      </c>
      <c r="H3945" t="s">
        <v>54</v>
      </c>
      <c r="I3945" s="3">
        <v>1830</v>
      </c>
      <c r="J3945" s="3">
        <v>1830</v>
      </c>
      <c r="K3945" s="3">
        <v>421</v>
      </c>
      <c r="L3945" t="s">
        <v>98</v>
      </c>
      <c r="M3945">
        <v>6</v>
      </c>
      <c r="N3945" t="s">
        <v>75</v>
      </c>
      <c r="O3945" t="s">
        <v>70</v>
      </c>
      <c r="P3945" t="s">
        <v>12</v>
      </c>
      <c r="Q3945" t="s">
        <v>13</v>
      </c>
      <c r="R3945" t="s">
        <v>13</v>
      </c>
      <c r="S3945" t="s">
        <v>144</v>
      </c>
      <c r="T3945" s="2">
        <f>MASTER[[#This Row],[CANTIDAD]]*MASTER[[#This Row],[PRECIO DE VENTA]]</f>
        <v>1830</v>
      </c>
      <c r="U3945" s="2">
        <f>MASTER[[#This Row],[CANTIDAD]]*MASTER[[#This Row],[COSTO UNITARIO]]</f>
        <v>421</v>
      </c>
      <c r="V3945" s="2">
        <f>MASTER[[#This Row],[MONTO VENDIDO]]-MASTER[[#This Row],[COSTO DE VENTA]]</f>
        <v>1409</v>
      </c>
    </row>
    <row r="3946" spans="1:22" x14ac:dyDescent="0.3">
      <c r="A3946">
        <v>59853</v>
      </c>
      <c r="B3946">
        <v>1</v>
      </c>
      <c r="C3946" t="s">
        <v>103</v>
      </c>
      <c r="D3946" t="s">
        <v>104</v>
      </c>
      <c r="E3946" s="1">
        <v>44278</v>
      </c>
      <c r="F3946">
        <v>1</v>
      </c>
      <c r="G3946" t="s">
        <v>51</v>
      </c>
      <c r="H3946" t="s">
        <v>52</v>
      </c>
      <c r="I3946" s="3">
        <v>1830</v>
      </c>
      <c r="J3946" s="3">
        <v>1830</v>
      </c>
      <c r="K3946" s="3">
        <v>421</v>
      </c>
      <c r="L3946" t="s">
        <v>98</v>
      </c>
      <c r="M3946">
        <v>1</v>
      </c>
      <c r="N3946" t="s">
        <v>77</v>
      </c>
      <c r="O3946" t="s">
        <v>70</v>
      </c>
      <c r="P3946" t="s">
        <v>71</v>
      </c>
      <c r="Q3946" t="s">
        <v>72</v>
      </c>
      <c r="R3946" t="s">
        <v>139</v>
      </c>
      <c r="S3946" t="s">
        <v>144</v>
      </c>
      <c r="T3946" s="2">
        <f>MASTER[[#This Row],[CANTIDAD]]*MASTER[[#This Row],[PRECIO DE VENTA]]</f>
        <v>1830</v>
      </c>
      <c r="U3946" s="2">
        <f>MASTER[[#This Row],[CANTIDAD]]*MASTER[[#This Row],[COSTO UNITARIO]]</f>
        <v>421</v>
      </c>
      <c r="V3946" s="2">
        <f>MASTER[[#This Row],[MONTO VENDIDO]]-MASTER[[#This Row],[COSTO DE VENTA]]</f>
        <v>1409</v>
      </c>
    </row>
    <row r="3947" spans="1:22" x14ac:dyDescent="0.3">
      <c r="A3947">
        <v>59862</v>
      </c>
      <c r="B3947">
        <v>1</v>
      </c>
      <c r="C3947" t="s">
        <v>5</v>
      </c>
      <c r="D3947" t="s">
        <v>6</v>
      </c>
      <c r="E3947" s="1">
        <v>44278</v>
      </c>
      <c r="F3947">
        <v>1</v>
      </c>
      <c r="G3947" t="s">
        <v>39</v>
      </c>
      <c r="H3947" t="s">
        <v>40</v>
      </c>
      <c r="I3947" s="3">
        <v>1507</v>
      </c>
      <c r="J3947" s="3">
        <v>1507</v>
      </c>
      <c r="K3947" s="3">
        <v>393</v>
      </c>
      <c r="L3947" t="s">
        <v>9</v>
      </c>
      <c r="M3947">
        <v>15</v>
      </c>
      <c r="N3947" t="s">
        <v>88</v>
      </c>
      <c r="O3947" t="s">
        <v>81</v>
      </c>
      <c r="P3947" t="s">
        <v>18</v>
      </c>
      <c r="Q3947" t="s">
        <v>19</v>
      </c>
      <c r="R3947" t="s">
        <v>138</v>
      </c>
      <c r="S3947" t="s">
        <v>144</v>
      </c>
      <c r="T3947" s="2">
        <f>MASTER[[#This Row],[CANTIDAD]]*MASTER[[#This Row],[PRECIO DE VENTA]]</f>
        <v>1507</v>
      </c>
      <c r="U3947" s="2">
        <f>MASTER[[#This Row],[CANTIDAD]]*MASTER[[#This Row],[COSTO UNITARIO]]</f>
        <v>393</v>
      </c>
      <c r="V3947" s="2">
        <f>MASTER[[#This Row],[MONTO VENDIDO]]-MASTER[[#This Row],[COSTO DE VENTA]]</f>
        <v>1114</v>
      </c>
    </row>
    <row r="3948" spans="1:22" x14ac:dyDescent="0.3">
      <c r="A3948">
        <v>59881</v>
      </c>
      <c r="B3948">
        <v>1</v>
      </c>
      <c r="C3948" t="s">
        <v>111</v>
      </c>
      <c r="D3948" t="s">
        <v>112</v>
      </c>
      <c r="E3948" s="1">
        <v>44279</v>
      </c>
      <c r="F3948">
        <v>1</v>
      </c>
      <c r="G3948" t="s">
        <v>41</v>
      </c>
      <c r="H3948" t="s">
        <v>42</v>
      </c>
      <c r="I3948" s="3">
        <v>1799</v>
      </c>
      <c r="J3948" s="3">
        <v>1799</v>
      </c>
      <c r="K3948" s="3">
        <v>434</v>
      </c>
      <c r="L3948" t="s">
        <v>113</v>
      </c>
      <c r="M3948">
        <v>13</v>
      </c>
      <c r="N3948" t="s">
        <v>78</v>
      </c>
      <c r="O3948" t="s">
        <v>70</v>
      </c>
      <c r="P3948" t="s">
        <v>18</v>
      </c>
      <c r="Q3948" t="s">
        <v>19</v>
      </c>
      <c r="R3948" t="s">
        <v>138</v>
      </c>
      <c r="S3948" t="s">
        <v>144</v>
      </c>
      <c r="T3948" s="2">
        <f>MASTER[[#This Row],[CANTIDAD]]*MASTER[[#This Row],[PRECIO DE VENTA]]</f>
        <v>1799</v>
      </c>
      <c r="U3948" s="2">
        <f>MASTER[[#This Row],[CANTIDAD]]*MASTER[[#This Row],[COSTO UNITARIO]]</f>
        <v>434</v>
      </c>
      <c r="V3948" s="2">
        <f>MASTER[[#This Row],[MONTO VENDIDO]]-MASTER[[#This Row],[COSTO DE VENTA]]</f>
        <v>1365</v>
      </c>
    </row>
    <row r="3949" spans="1:22" x14ac:dyDescent="0.3">
      <c r="A3949">
        <v>59902</v>
      </c>
      <c r="B3949">
        <v>1</v>
      </c>
      <c r="C3949" t="s">
        <v>101</v>
      </c>
      <c r="D3949" t="s">
        <v>102</v>
      </c>
      <c r="E3949" s="1">
        <v>44279</v>
      </c>
      <c r="F3949">
        <v>1</v>
      </c>
      <c r="G3949" t="s">
        <v>47</v>
      </c>
      <c r="H3949" t="s">
        <v>48</v>
      </c>
      <c r="I3949" s="3">
        <v>1212</v>
      </c>
      <c r="J3949" s="3">
        <v>1212</v>
      </c>
      <c r="K3949" s="3">
        <v>442</v>
      </c>
      <c r="L3949" t="s">
        <v>98</v>
      </c>
      <c r="M3949">
        <v>2</v>
      </c>
      <c r="N3949" t="s">
        <v>86</v>
      </c>
      <c r="O3949" t="s">
        <v>81</v>
      </c>
      <c r="P3949" t="s">
        <v>71</v>
      </c>
      <c r="Q3949" t="s">
        <v>72</v>
      </c>
      <c r="R3949" t="s">
        <v>139</v>
      </c>
      <c r="S3949" t="s">
        <v>144</v>
      </c>
      <c r="T3949" s="2">
        <f>MASTER[[#This Row],[CANTIDAD]]*MASTER[[#This Row],[PRECIO DE VENTA]]</f>
        <v>1212</v>
      </c>
      <c r="U3949" s="2">
        <f>MASTER[[#This Row],[CANTIDAD]]*MASTER[[#This Row],[COSTO UNITARIO]]</f>
        <v>442</v>
      </c>
      <c r="V3949" s="2">
        <f>MASTER[[#This Row],[MONTO VENDIDO]]-MASTER[[#This Row],[COSTO DE VENTA]]</f>
        <v>770</v>
      </c>
    </row>
    <row r="3950" spans="1:22" x14ac:dyDescent="0.3">
      <c r="A3950">
        <v>59911</v>
      </c>
      <c r="B3950">
        <v>1</v>
      </c>
      <c r="C3950" t="s">
        <v>107</v>
      </c>
      <c r="D3950" t="s">
        <v>108</v>
      </c>
      <c r="E3950" s="1">
        <v>44279</v>
      </c>
      <c r="F3950">
        <v>1</v>
      </c>
      <c r="G3950" t="s">
        <v>43</v>
      </c>
      <c r="H3950" t="s">
        <v>44</v>
      </c>
      <c r="I3950" s="3">
        <v>1333</v>
      </c>
      <c r="J3950" s="3">
        <v>1333</v>
      </c>
      <c r="K3950" s="3">
        <v>380</v>
      </c>
      <c r="L3950" t="s">
        <v>98</v>
      </c>
      <c r="M3950">
        <v>10</v>
      </c>
      <c r="N3950" t="s">
        <v>83</v>
      </c>
      <c r="O3950" t="s">
        <v>81</v>
      </c>
      <c r="P3950" t="s">
        <v>12</v>
      </c>
      <c r="Q3950" t="s">
        <v>13</v>
      </c>
      <c r="R3950" t="s">
        <v>13</v>
      </c>
      <c r="S3950" t="s">
        <v>144</v>
      </c>
      <c r="T3950" s="2">
        <f>MASTER[[#This Row],[CANTIDAD]]*MASTER[[#This Row],[PRECIO DE VENTA]]</f>
        <v>1333</v>
      </c>
      <c r="U3950" s="2">
        <f>MASTER[[#This Row],[CANTIDAD]]*MASTER[[#This Row],[COSTO UNITARIO]]</f>
        <v>380</v>
      </c>
      <c r="V3950" s="2">
        <f>MASTER[[#This Row],[MONTO VENDIDO]]-MASTER[[#This Row],[COSTO DE VENTA]]</f>
        <v>953</v>
      </c>
    </row>
    <row r="3951" spans="1:22" x14ac:dyDescent="0.3">
      <c r="A3951">
        <v>59912</v>
      </c>
      <c r="B3951">
        <v>2</v>
      </c>
      <c r="C3951" t="s">
        <v>105</v>
      </c>
      <c r="D3951" t="s">
        <v>106</v>
      </c>
      <c r="E3951" s="1">
        <v>44279</v>
      </c>
      <c r="F3951">
        <v>1</v>
      </c>
      <c r="G3951" t="s">
        <v>24</v>
      </c>
      <c r="H3951" t="s">
        <v>25</v>
      </c>
      <c r="I3951" s="3">
        <v>2033</v>
      </c>
      <c r="J3951" s="3">
        <v>2033</v>
      </c>
      <c r="K3951" s="3">
        <v>459</v>
      </c>
      <c r="L3951" t="s">
        <v>98</v>
      </c>
      <c r="M3951">
        <v>1</v>
      </c>
      <c r="N3951" t="s">
        <v>77</v>
      </c>
      <c r="O3951" t="s">
        <v>70</v>
      </c>
      <c r="P3951" t="s">
        <v>71</v>
      </c>
      <c r="Q3951" t="s">
        <v>72</v>
      </c>
      <c r="R3951" t="s">
        <v>139</v>
      </c>
      <c r="S3951" t="s">
        <v>144</v>
      </c>
      <c r="T3951" s="2">
        <f>MASTER[[#This Row],[CANTIDAD]]*MASTER[[#This Row],[PRECIO DE VENTA]]</f>
        <v>2033</v>
      </c>
      <c r="U3951" s="2">
        <f>MASTER[[#This Row],[CANTIDAD]]*MASTER[[#This Row],[COSTO UNITARIO]]</f>
        <v>459</v>
      </c>
      <c r="V3951" s="2">
        <f>MASTER[[#This Row],[MONTO VENDIDO]]-MASTER[[#This Row],[COSTO DE VENTA]]</f>
        <v>1574</v>
      </c>
    </row>
    <row r="3952" spans="1:22" x14ac:dyDescent="0.3">
      <c r="A3952">
        <v>59912</v>
      </c>
      <c r="B3952">
        <v>1</v>
      </c>
      <c r="C3952" t="s">
        <v>107</v>
      </c>
      <c r="D3952" t="s">
        <v>108</v>
      </c>
      <c r="E3952" s="1">
        <v>44279</v>
      </c>
      <c r="F3952">
        <v>1</v>
      </c>
      <c r="G3952" t="s">
        <v>20</v>
      </c>
      <c r="H3952" t="s">
        <v>21</v>
      </c>
      <c r="I3952" s="3">
        <v>1440</v>
      </c>
      <c r="J3952" s="3">
        <v>1440</v>
      </c>
      <c r="K3952" s="3">
        <v>380</v>
      </c>
      <c r="L3952" t="s">
        <v>98</v>
      </c>
      <c r="M3952">
        <v>1</v>
      </c>
      <c r="N3952" t="s">
        <v>77</v>
      </c>
      <c r="O3952" t="s">
        <v>70</v>
      </c>
      <c r="P3952" t="s">
        <v>71</v>
      </c>
      <c r="Q3952" t="s">
        <v>72</v>
      </c>
      <c r="R3952" t="s">
        <v>139</v>
      </c>
      <c r="S3952" t="s">
        <v>144</v>
      </c>
      <c r="T3952" s="2">
        <f>MASTER[[#This Row],[CANTIDAD]]*MASTER[[#This Row],[PRECIO DE VENTA]]</f>
        <v>1440</v>
      </c>
      <c r="U3952" s="2">
        <f>MASTER[[#This Row],[CANTIDAD]]*MASTER[[#This Row],[COSTO UNITARIO]]</f>
        <v>380</v>
      </c>
      <c r="V3952" s="2">
        <f>MASTER[[#This Row],[MONTO VENDIDO]]-MASTER[[#This Row],[COSTO DE VENTA]]</f>
        <v>1060</v>
      </c>
    </row>
    <row r="3953" spans="1:22" x14ac:dyDescent="0.3">
      <c r="A3953">
        <v>59927</v>
      </c>
      <c r="B3953">
        <v>1</v>
      </c>
      <c r="C3953" t="s">
        <v>94</v>
      </c>
      <c r="D3953" t="s">
        <v>95</v>
      </c>
      <c r="E3953" s="1">
        <v>44279</v>
      </c>
      <c r="F3953">
        <v>1</v>
      </c>
      <c r="G3953" t="s">
        <v>35</v>
      </c>
      <c r="H3953" t="s">
        <v>36</v>
      </c>
      <c r="I3953" s="3">
        <v>901</v>
      </c>
      <c r="J3953" s="3">
        <v>901</v>
      </c>
      <c r="K3953" s="3">
        <v>392</v>
      </c>
      <c r="L3953" t="s">
        <v>9</v>
      </c>
      <c r="M3953">
        <v>16</v>
      </c>
      <c r="N3953" t="s">
        <v>17</v>
      </c>
      <c r="O3953" t="s">
        <v>11</v>
      </c>
      <c r="P3953" t="s">
        <v>18</v>
      </c>
      <c r="Q3953" t="s">
        <v>19</v>
      </c>
      <c r="R3953" t="s">
        <v>138</v>
      </c>
      <c r="S3953" t="s">
        <v>144</v>
      </c>
      <c r="T3953" s="2">
        <f>MASTER[[#This Row],[CANTIDAD]]*MASTER[[#This Row],[PRECIO DE VENTA]]</f>
        <v>901</v>
      </c>
      <c r="U3953" s="2">
        <f>MASTER[[#This Row],[CANTIDAD]]*MASTER[[#This Row],[COSTO UNITARIO]]</f>
        <v>392</v>
      </c>
      <c r="V3953" s="2">
        <f>MASTER[[#This Row],[MONTO VENDIDO]]-MASTER[[#This Row],[COSTO DE VENTA]]</f>
        <v>509</v>
      </c>
    </row>
    <row r="3954" spans="1:22" x14ac:dyDescent="0.3">
      <c r="A3954">
        <v>59938</v>
      </c>
      <c r="B3954">
        <v>1</v>
      </c>
      <c r="C3954" t="s">
        <v>96</v>
      </c>
      <c r="D3954" t="s">
        <v>97</v>
      </c>
      <c r="E3954" s="1">
        <v>44279</v>
      </c>
      <c r="F3954">
        <v>1</v>
      </c>
      <c r="G3954" t="s">
        <v>22</v>
      </c>
      <c r="H3954" t="s">
        <v>23</v>
      </c>
      <c r="I3954" s="3">
        <v>1361</v>
      </c>
      <c r="J3954" s="3">
        <v>1361</v>
      </c>
      <c r="K3954" s="3">
        <v>397</v>
      </c>
      <c r="L3954" t="s">
        <v>98</v>
      </c>
      <c r="M3954">
        <v>1</v>
      </c>
      <c r="N3954" t="s">
        <v>77</v>
      </c>
      <c r="O3954" t="s">
        <v>70</v>
      </c>
      <c r="P3954" t="s">
        <v>71</v>
      </c>
      <c r="Q3954" t="s">
        <v>72</v>
      </c>
      <c r="R3954" t="s">
        <v>139</v>
      </c>
      <c r="S3954" t="s">
        <v>144</v>
      </c>
      <c r="T3954" s="2">
        <f>MASTER[[#This Row],[CANTIDAD]]*MASTER[[#This Row],[PRECIO DE VENTA]]</f>
        <v>1361</v>
      </c>
      <c r="U3954" s="2">
        <f>MASTER[[#This Row],[CANTIDAD]]*MASTER[[#This Row],[COSTO UNITARIO]]</f>
        <v>397</v>
      </c>
      <c r="V3954" s="2">
        <f>MASTER[[#This Row],[MONTO VENDIDO]]-MASTER[[#This Row],[COSTO DE VENTA]]</f>
        <v>964</v>
      </c>
    </row>
    <row r="3955" spans="1:22" x14ac:dyDescent="0.3">
      <c r="A3955">
        <v>59947</v>
      </c>
      <c r="B3955">
        <v>1</v>
      </c>
      <c r="C3955" t="s">
        <v>103</v>
      </c>
      <c r="D3955" t="s">
        <v>104</v>
      </c>
      <c r="E3955" s="1">
        <v>44279</v>
      </c>
      <c r="F3955">
        <v>1</v>
      </c>
      <c r="G3955" t="s">
        <v>65</v>
      </c>
      <c r="H3955" t="s">
        <v>66</v>
      </c>
      <c r="I3955" s="3">
        <v>1830</v>
      </c>
      <c r="J3955" s="3">
        <v>1830</v>
      </c>
      <c r="K3955" s="3">
        <v>421</v>
      </c>
      <c r="L3955" t="s">
        <v>98</v>
      </c>
      <c r="M3955">
        <v>6</v>
      </c>
      <c r="N3955" t="s">
        <v>75</v>
      </c>
      <c r="O3955" t="s">
        <v>70</v>
      </c>
      <c r="P3955" t="s">
        <v>12</v>
      </c>
      <c r="Q3955" t="s">
        <v>13</v>
      </c>
      <c r="R3955" t="s">
        <v>13</v>
      </c>
      <c r="S3955" t="s">
        <v>144</v>
      </c>
      <c r="T3955" s="2">
        <f>MASTER[[#This Row],[CANTIDAD]]*MASTER[[#This Row],[PRECIO DE VENTA]]</f>
        <v>1830</v>
      </c>
      <c r="U3955" s="2">
        <f>MASTER[[#This Row],[CANTIDAD]]*MASTER[[#This Row],[COSTO UNITARIO]]</f>
        <v>421</v>
      </c>
      <c r="V3955" s="2">
        <f>MASTER[[#This Row],[MONTO VENDIDO]]-MASTER[[#This Row],[COSTO DE VENTA]]</f>
        <v>1409</v>
      </c>
    </row>
    <row r="3956" spans="1:22" x14ac:dyDescent="0.3">
      <c r="A3956">
        <v>59953</v>
      </c>
      <c r="B3956">
        <v>1</v>
      </c>
      <c r="C3956" t="s">
        <v>118</v>
      </c>
      <c r="D3956" t="s">
        <v>119</v>
      </c>
      <c r="E3956" s="1">
        <v>44279</v>
      </c>
      <c r="F3956">
        <v>1</v>
      </c>
      <c r="G3956" t="s">
        <v>49</v>
      </c>
      <c r="H3956" t="s">
        <v>50</v>
      </c>
      <c r="I3956" s="3">
        <v>900</v>
      </c>
      <c r="J3956" s="3">
        <v>855</v>
      </c>
      <c r="K3956" s="3">
        <v>424</v>
      </c>
      <c r="L3956" t="s">
        <v>120</v>
      </c>
      <c r="M3956">
        <v>7</v>
      </c>
      <c r="N3956" t="s">
        <v>84</v>
      </c>
      <c r="O3956" t="s">
        <v>81</v>
      </c>
      <c r="P3956" t="s">
        <v>12</v>
      </c>
      <c r="Q3956" t="s">
        <v>13</v>
      </c>
      <c r="R3956" t="s">
        <v>13</v>
      </c>
      <c r="S3956" t="s">
        <v>144</v>
      </c>
      <c r="T3956" s="2">
        <f>MASTER[[#This Row],[CANTIDAD]]*MASTER[[#This Row],[PRECIO DE VENTA]]</f>
        <v>855</v>
      </c>
      <c r="U3956" s="2">
        <f>MASTER[[#This Row],[CANTIDAD]]*MASTER[[#This Row],[COSTO UNITARIO]]</f>
        <v>424</v>
      </c>
      <c r="V3956" s="2">
        <f>MASTER[[#This Row],[MONTO VENDIDO]]-MASTER[[#This Row],[COSTO DE VENTA]]</f>
        <v>431</v>
      </c>
    </row>
    <row r="3957" spans="1:22" x14ac:dyDescent="0.3">
      <c r="A3957">
        <v>59954</v>
      </c>
      <c r="B3957">
        <v>1</v>
      </c>
      <c r="C3957" t="s">
        <v>121</v>
      </c>
      <c r="D3957" t="s">
        <v>122</v>
      </c>
      <c r="E3957" s="1">
        <v>44279</v>
      </c>
      <c r="F3957">
        <v>1</v>
      </c>
      <c r="G3957" t="s">
        <v>67</v>
      </c>
      <c r="H3957" t="s">
        <v>68</v>
      </c>
      <c r="I3957" s="3">
        <v>1144</v>
      </c>
      <c r="J3957" s="3">
        <v>1144</v>
      </c>
      <c r="K3957" s="3">
        <v>460</v>
      </c>
      <c r="L3957" t="s">
        <v>120</v>
      </c>
      <c r="M3957">
        <v>18</v>
      </c>
      <c r="N3957" t="s">
        <v>79</v>
      </c>
      <c r="O3957" t="s">
        <v>70</v>
      </c>
      <c r="P3957" t="s">
        <v>15</v>
      </c>
      <c r="Q3957" t="s">
        <v>16</v>
      </c>
      <c r="R3957" t="s">
        <v>16</v>
      </c>
      <c r="S3957" t="s">
        <v>144</v>
      </c>
      <c r="T3957" s="2">
        <f>MASTER[[#This Row],[CANTIDAD]]*MASTER[[#This Row],[PRECIO DE VENTA]]</f>
        <v>1144</v>
      </c>
      <c r="U3957" s="2">
        <f>MASTER[[#This Row],[CANTIDAD]]*MASTER[[#This Row],[COSTO UNITARIO]]</f>
        <v>460</v>
      </c>
      <c r="V3957" s="2">
        <f>MASTER[[#This Row],[MONTO VENDIDO]]-MASTER[[#This Row],[COSTO DE VENTA]]</f>
        <v>684</v>
      </c>
    </row>
    <row r="3958" spans="1:22" x14ac:dyDescent="0.3">
      <c r="A3958">
        <v>59969</v>
      </c>
      <c r="B3958">
        <v>1</v>
      </c>
      <c r="C3958" t="s">
        <v>118</v>
      </c>
      <c r="D3958" t="s">
        <v>119</v>
      </c>
      <c r="E3958" s="1">
        <v>44279</v>
      </c>
      <c r="F3958">
        <v>1</v>
      </c>
      <c r="G3958" t="s">
        <v>22</v>
      </c>
      <c r="H3958" t="s">
        <v>23</v>
      </c>
      <c r="I3958" s="3">
        <v>900</v>
      </c>
      <c r="J3958" s="3">
        <v>900</v>
      </c>
      <c r="K3958" s="3">
        <v>424</v>
      </c>
      <c r="L3958" t="s">
        <v>120</v>
      </c>
      <c r="M3958">
        <v>10</v>
      </c>
      <c r="N3958" t="s">
        <v>83</v>
      </c>
      <c r="O3958" t="s">
        <v>81</v>
      </c>
      <c r="P3958" t="s">
        <v>12</v>
      </c>
      <c r="Q3958" t="s">
        <v>13</v>
      </c>
      <c r="R3958" t="s">
        <v>13</v>
      </c>
      <c r="S3958" t="s">
        <v>144</v>
      </c>
      <c r="T3958" s="2">
        <f>MASTER[[#This Row],[CANTIDAD]]*MASTER[[#This Row],[PRECIO DE VENTA]]</f>
        <v>900</v>
      </c>
      <c r="U3958" s="2">
        <f>MASTER[[#This Row],[CANTIDAD]]*MASTER[[#This Row],[COSTO UNITARIO]]</f>
        <v>424</v>
      </c>
      <c r="V3958" s="2">
        <f>MASTER[[#This Row],[MONTO VENDIDO]]-MASTER[[#This Row],[COSTO DE VENTA]]</f>
        <v>476</v>
      </c>
    </row>
    <row r="3959" spans="1:22" x14ac:dyDescent="0.3">
      <c r="A3959">
        <v>59970</v>
      </c>
      <c r="B3959">
        <v>1</v>
      </c>
      <c r="C3959" t="s">
        <v>99</v>
      </c>
      <c r="D3959" t="s">
        <v>100</v>
      </c>
      <c r="E3959" s="1">
        <v>44279</v>
      </c>
      <c r="F3959">
        <v>1</v>
      </c>
      <c r="G3959" t="s">
        <v>24</v>
      </c>
      <c r="H3959" t="s">
        <v>25</v>
      </c>
      <c r="I3959" s="3">
        <v>1328</v>
      </c>
      <c r="J3959" s="3">
        <v>1328</v>
      </c>
      <c r="K3959" s="3">
        <v>386</v>
      </c>
      <c r="L3959" t="s">
        <v>98</v>
      </c>
      <c r="M3959">
        <v>11</v>
      </c>
      <c r="N3959" t="s">
        <v>10</v>
      </c>
      <c r="O3959" t="s">
        <v>11</v>
      </c>
      <c r="P3959" t="s">
        <v>12</v>
      </c>
      <c r="Q3959" t="s">
        <v>13</v>
      </c>
      <c r="R3959" t="s">
        <v>13</v>
      </c>
      <c r="S3959" t="s">
        <v>144</v>
      </c>
      <c r="T3959" s="2">
        <f>MASTER[[#This Row],[CANTIDAD]]*MASTER[[#This Row],[PRECIO DE VENTA]]</f>
        <v>1328</v>
      </c>
      <c r="U3959" s="2">
        <f>MASTER[[#This Row],[CANTIDAD]]*MASTER[[#This Row],[COSTO UNITARIO]]</f>
        <v>386</v>
      </c>
      <c r="V3959" s="2">
        <f>MASTER[[#This Row],[MONTO VENDIDO]]-MASTER[[#This Row],[COSTO DE VENTA]]</f>
        <v>942</v>
      </c>
    </row>
    <row r="3960" spans="1:22" x14ac:dyDescent="0.3">
      <c r="A3960">
        <v>59977</v>
      </c>
      <c r="B3960">
        <v>1</v>
      </c>
      <c r="C3960" t="s">
        <v>5</v>
      </c>
      <c r="D3960" t="s">
        <v>6</v>
      </c>
      <c r="E3960" s="1">
        <v>44280</v>
      </c>
      <c r="F3960">
        <v>1</v>
      </c>
      <c r="G3960" t="s">
        <v>20</v>
      </c>
      <c r="H3960" t="s">
        <v>21</v>
      </c>
      <c r="I3960" s="3">
        <v>1296</v>
      </c>
      <c r="J3960" s="3">
        <v>1296</v>
      </c>
      <c r="K3960" s="3">
        <v>393</v>
      </c>
      <c r="L3960" t="s">
        <v>9</v>
      </c>
      <c r="M3960">
        <v>9</v>
      </c>
      <c r="N3960" t="s">
        <v>76</v>
      </c>
      <c r="O3960" t="s">
        <v>70</v>
      </c>
      <c r="P3960" t="s">
        <v>12</v>
      </c>
      <c r="Q3960" t="s">
        <v>13</v>
      </c>
      <c r="R3960" t="s">
        <v>13</v>
      </c>
      <c r="S3960" t="s">
        <v>144</v>
      </c>
      <c r="T3960" s="2">
        <f>MASTER[[#This Row],[CANTIDAD]]*MASTER[[#This Row],[PRECIO DE VENTA]]</f>
        <v>1296</v>
      </c>
      <c r="U3960" s="2">
        <f>MASTER[[#This Row],[CANTIDAD]]*MASTER[[#This Row],[COSTO UNITARIO]]</f>
        <v>393</v>
      </c>
      <c r="V3960" s="2">
        <f>MASTER[[#This Row],[MONTO VENDIDO]]-MASTER[[#This Row],[COSTO DE VENTA]]</f>
        <v>903</v>
      </c>
    </row>
    <row r="3961" spans="1:22" x14ac:dyDescent="0.3">
      <c r="A3961">
        <v>59984</v>
      </c>
      <c r="B3961">
        <v>1</v>
      </c>
      <c r="C3961" t="s">
        <v>114</v>
      </c>
      <c r="D3961" t="s">
        <v>115</v>
      </c>
      <c r="E3961" s="1">
        <v>44280</v>
      </c>
      <c r="F3961">
        <v>1</v>
      </c>
      <c r="G3961" t="s">
        <v>67</v>
      </c>
      <c r="H3961" t="s">
        <v>68</v>
      </c>
      <c r="I3961" s="3">
        <v>2030</v>
      </c>
      <c r="J3961" s="3">
        <v>2030</v>
      </c>
      <c r="K3961" s="3">
        <v>394</v>
      </c>
      <c r="L3961" t="s">
        <v>113</v>
      </c>
      <c r="M3961">
        <v>1</v>
      </c>
      <c r="N3961" t="s">
        <v>77</v>
      </c>
      <c r="O3961" t="s">
        <v>70</v>
      </c>
      <c r="P3961" t="s">
        <v>71</v>
      </c>
      <c r="Q3961" t="s">
        <v>72</v>
      </c>
      <c r="R3961" t="s">
        <v>139</v>
      </c>
      <c r="S3961" t="s">
        <v>144</v>
      </c>
      <c r="T3961" s="2">
        <f>MASTER[[#This Row],[CANTIDAD]]*MASTER[[#This Row],[PRECIO DE VENTA]]</f>
        <v>2030</v>
      </c>
      <c r="U3961" s="2">
        <f>MASTER[[#This Row],[CANTIDAD]]*MASTER[[#This Row],[COSTO UNITARIO]]</f>
        <v>394</v>
      </c>
      <c r="V3961" s="2">
        <f>MASTER[[#This Row],[MONTO VENDIDO]]-MASTER[[#This Row],[COSTO DE VENTA]]</f>
        <v>1636</v>
      </c>
    </row>
    <row r="3962" spans="1:22" x14ac:dyDescent="0.3">
      <c r="A3962">
        <v>59990</v>
      </c>
      <c r="B3962">
        <v>1</v>
      </c>
      <c r="C3962" t="s">
        <v>111</v>
      </c>
      <c r="D3962" t="s">
        <v>112</v>
      </c>
      <c r="E3962" s="1">
        <v>44280</v>
      </c>
      <c r="F3962">
        <v>1</v>
      </c>
      <c r="G3962" t="s">
        <v>73</v>
      </c>
      <c r="H3962" t="s">
        <v>74</v>
      </c>
      <c r="I3962" s="3">
        <v>1621</v>
      </c>
      <c r="J3962" s="3">
        <v>1621</v>
      </c>
      <c r="K3962" s="3">
        <v>434</v>
      </c>
      <c r="L3962" t="s">
        <v>113</v>
      </c>
      <c r="M3962">
        <v>5</v>
      </c>
      <c r="N3962" t="s">
        <v>85</v>
      </c>
      <c r="O3962" t="s">
        <v>81</v>
      </c>
      <c r="P3962" t="s">
        <v>12</v>
      </c>
      <c r="Q3962" t="s">
        <v>13</v>
      </c>
      <c r="R3962" t="s">
        <v>13</v>
      </c>
      <c r="S3962" t="s">
        <v>144</v>
      </c>
      <c r="T3962" s="2">
        <f>MASTER[[#This Row],[CANTIDAD]]*MASTER[[#This Row],[PRECIO DE VENTA]]</f>
        <v>1621</v>
      </c>
      <c r="U3962" s="2">
        <f>MASTER[[#This Row],[CANTIDAD]]*MASTER[[#This Row],[COSTO UNITARIO]]</f>
        <v>434</v>
      </c>
      <c r="V3962" s="2">
        <f>MASTER[[#This Row],[MONTO VENDIDO]]-MASTER[[#This Row],[COSTO DE VENTA]]</f>
        <v>1187</v>
      </c>
    </row>
    <row r="3963" spans="1:22" x14ac:dyDescent="0.3">
      <c r="A3963">
        <v>59991</v>
      </c>
      <c r="B3963">
        <v>1</v>
      </c>
      <c r="C3963" t="s">
        <v>121</v>
      </c>
      <c r="D3963" t="s">
        <v>122</v>
      </c>
      <c r="E3963" s="1">
        <v>44280</v>
      </c>
      <c r="F3963">
        <v>1</v>
      </c>
      <c r="G3963" t="s">
        <v>29</v>
      </c>
      <c r="H3963" t="s">
        <v>30</v>
      </c>
      <c r="I3963" s="3">
        <v>1069</v>
      </c>
      <c r="J3963" s="3">
        <v>1069</v>
      </c>
      <c r="K3963" s="3">
        <v>460</v>
      </c>
      <c r="L3963" t="s">
        <v>120</v>
      </c>
      <c r="M3963">
        <v>4</v>
      </c>
      <c r="N3963" t="s">
        <v>82</v>
      </c>
      <c r="O3963" t="s">
        <v>81</v>
      </c>
      <c r="P3963" t="s">
        <v>71</v>
      </c>
      <c r="Q3963" t="s">
        <v>72</v>
      </c>
      <c r="R3963" t="s">
        <v>139</v>
      </c>
      <c r="S3963" t="s">
        <v>144</v>
      </c>
      <c r="T3963" s="2">
        <f>MASTER[[#This Row],[CANTIDAD]]*MASTER[[#This Row],[PRECIO DE VENTA]]</f>
        <v>1069</v>
      </c>
      <c r="U3963" s="2">
        <f>MASTER[[#This Row],[CANTIDAD]]*MASTER[[#This Row],[COSTO UNITARIO]]</f>
        <v>460</v>
      </c>
      <c r="V3963" s="2">
        <f>MASTER[[#This Row],[MONTO VENDIDO]]-MASTER[[#This Row],[COSTO DE VENTA]]</f>
        <v>609</v>
      </c>
    </row>
    <row r="3964" spans="1:22" x14ac:dyDescent="0.3">
      <c r="A3964">
        <v>59995</v>
      </c>
      <c r="B3964">
        <v>1</v>
      </c>
      <c r="C3964" t="s">
        <v>116</v>
      </c>
      <c r="D3964" t="s">
        <v>117</v>
      </c>
      <c r="E3964" s="1">
        <v>44280</v>
      </c>
      <c r="F3964">
        <v>1</v>
      </c>
      <c r="G3964" t="s">
        <v>67</v>
      </c>
      <c r="H3964" t="s">
        <v>68</v>
      </c>
      <c r="I3964" s="3">
        <v>1999</v>
      </c>
      <c r="J3964" s="3">
        <v>1999</v>
      </c>
      <c r="K3964" s="3">
        <v>388</v>
      </c>
      <c r="L3964" t="s">
        <v>113</v>
      </c>
      <c r="M3964">
        <v>3</v>
      </c>
      <c r="N3964" t="s">
        <v>69</v>
      </c>
      <c r="O3964" t="s">
        <v>70</v>
      </c>
      <c r="P3964" t="s">
        <v>71</v>
      </c>
      <c r="Q3964" t="s">
        <v>72</v>
      </c>
      <c r="R3964" t="s">
        <v>139</v>
      </c>
      <c r="S3964" t="s">
        <v>144</v>
      </c>
      <c r="T3964" s="2">
        <f>MASTER[[#This Row],[CANTIDAD]]*MASTER[[#This Row],[PRECIO DE VENTA]]</f>
        <v>1999</v>
      </c>
      <c r="U3964" s="2">
        <f>MASTER[[#This Row],[CANTIDAD]]*MASTER[[#This Row],[COSTO UNITARIO]]</f>
        <v>388</v>
      </c>
      <c r="V3964" s="2">
        <f>MASTER[[#This Row],[MONTO VENDIDO]]-MASTER[[#This Row],[COSTO DE VENTA]]</f>
        <v>1611</v>
      </c>
    </row>
    <row r="3965" spans="1:22" x14ac:dyDescent="0.3">
      <c r="A3965">
        <v>59999</v>
      </c>
      <c r="B3965">
        <v>1</v>
      </c>
      <c r="C3965" t="s">
        <v>96</v>
      </c>
      <c r="D3965" t="s">
        <v>97</v>
      </c>
      <c r="E3965" s="1">
        <v>44280</v>
      </c>
      <c r="F3965">
        <v>3</v>
      </c>
      <c r="G3965" t="s">
        <v>35</v>
      </c>
      <c r="H3965" t="s">
        <v>36</v>
      </c>
      <c r="I3965" s="3">
        <v>1272</v>
      </c>
      <c r="J3965" s="3">
        <v>1272</v>
      </c>
      <c r="K3965" s="3">
        <v>397</v>
      </c>
      <c r="L3965" t="s">
        <v>98</v>
      </c>
      <c r="M3965">
        <v>2</v>
      </c>
      <c r="N3965" t="s">
        <v>86</v>
      </c>
      <c r="O3965" t="s">
        <v>81</v>
      </c>
      <c r="P3965" t="s">
        <v>71</v>
      </c>
      <c r="Q3965" t="s">
        <v>72</v>
      </c>
      <c r="R3965" t="s">
        <v>139</v>
      </c>
      <c r="S3965" t="s">
        <v>144</v>
      </c>
      <c r="T3965" s="2">
        <f>MASTER[[#This Row],[CANTIDAD]]*MASTER[[#This Row],[PRECIO DE VENTA]]</f>
        <v>3816</v>
      </c>
      <c r="U3965" s="2">
        <f>MASTER[[#This Row],[CANTIDAD]]*MASTER[[#This Row],[COSTO UNITARIO]]</f>
        <v>1191</v>
      </c>
      <c r="V3965" s="2">
        <f>MASTER[[#This Row],[MONTO VENDIDO]]-MASTER[[#This Row],[COSTO DE VENTA]]</f>
        <v>2625</v>
      </c>
    </row>
    <row r="3966" spans="1:22" x14ac:dyDescent="0.3">
      <c r="A3966">
        <v>60007</v>
      </c>
      <c r="B3966">
        <v>1</v>
      </c>
      <c r="C3966" t="s">
        <v>5</v>
      </c>
      <c r="D3966" t="s">
        <v>6</v>
      </c>
      <c r="E3966" s="1">
        <v>44281</v>
      </c>
      <c r="F3966">
        <v>1</v>
      </c>
      <c r="G3966" t="s">
        <v>49</v>
      </c>
      <c r="H3966" t="s">
        <v>50</v>
      </c>
      <c r="I3966" s="3">
        <v>1296</v>
      </c>
      <c r="J3966" s="3">
        <v>1296</v>
      </c>
      <c r="K3966" s="3">
        <v>393</v>
      </c>
      <c r="L3966" t="s">
        <v>9</v>
      </c>
      <c r="M3966">
        <v>9</v>
      </c>
      <c r="N3966" t="s">
        <v>76</v>
      </c>
      <c r="O3966" t="s">
        <v>70</v>
      </c>
      <c r="P3966" t="s">
        <v>12</v>
      </c>
      <c r="Q3966" t="s">
        <v>13</v>
      </c>
      <c r="R3966" t="s">
        <v>13</v>
      </c>
      <c r="S3966" t="s">
        <v>144</v>
      </c>
      <c r="T3966" s="2">
        <f>MASTER[[#This Row],[CANTIDAD]]*MASTER[[#This Row],[PRECIO DE VENTA]]</f>
        <v>1296</v>
      </c>
      <c r="U3966" s="2">
        <f>MASTER[[#This Row],[CANTIDAD]]*MASTER[[#This Row],[COSTO UNITARIO]]</f>
        <v>393</v>
      </c>
      <c r="V3966" s="2">
        <f>MASTER[[#This Row],[MONTO VENDIDO]]-MASTER[[#This Row],[COSTO DE VENTA]]</f>
        <v>903</v>
      </c>
    </row>
    <row r="3967" spans="1:22" x14ac:dyDescent="0.3">
      <c r="A3967">
        <v>60013</v>
      </c>
      <c r="B3967">
        <v>1</v>
      </c>
      <c r="C3967" t="s">
        <v>101</v>
      </c>
      <c r="D3967" t="s">
        <v>102</v>
      </c>
      <c r="E3967" s="1">
        <v>44281</v>
      </c>
      <c r="F3967">
        <v>1</v>
      </c>
      <c r="G3967" t="s">
        <v>73</v>
      </c>
      <c r="H3967" t="s">
        <v>74</v>
      </c>
      <c r="I3967" s="3">
        <v>1212</v>
      </c>
      <c r="J3967" s="3">
        <v>1212</v>
      </c>
      <c r="K3967" s="3">
        <v>442</v>
      </c>
      <c r="L3967" t="s">
        <v>98</v>
      </c>
      <c r="M3967">
        <v>14</v>
      </c>
      <c r="N3967" t="s">
        <v>87</v>
      </c>
      <c r="O3967" t="s">
        <v>81</v>
      </c>
      <c r="P3967" t="s">
        <v>18</v>
      </c>
      <c r="Q3967" t="s">
        <v>19</v>
      </c>
      <c r="R3967" t="s">
        <v>138</v>
      </c>
      <c r="S3967" t="s">
        <v>144</v>
      </c>
      <c r="T3967" s="2">
        <f>MASTER[[#This Row],[CANTIDAD]]*MASTER[[#This Row],[PRECIO DE VENTA]]</f>
        <v>1212</v>
      </c>
      <c r="U3967" s="2">
        <f>MASTER[[#This Row],[CANTIDAD]]*MASTER[[#This Row],[COSTO UNITARIO]]</f>
        <v>442</v>
      </c>
      <c r="V3967" s="2">
        <f>MASTER[[#This Row],[MONTO VENDIDO]]-MASTER[[#This Row],[COSTO DE VENTA]]</f>
        <v>770</v>
      </c>
    </row>
    <row r="3968" spans="1:22" x14ac:dyDescent="0.3">
      <c r="A3968">
        <v>60029</v>
      </c>
      <c r="B3968">
        <v>1</v>
      </c>
      <c r="C3968" t="s">
        <v>90</v>
      </c>
      <c r="D3968" t="s">
        <v>91</v>
      </c>
      <c r="E3968" s="1">
        <v>44281</v>
      </c>
      <c r="F3968">
        <v>1</v>
      </c>
      <c r="G3968" t="s">
        <v>7</v>
      </c>
      <c r="H3968" t="s">
        <v>8</v>
      </c>
      <c r="I3968" s="3">
        <v>1844</v>
      </c>
      <c r="J3968" s="3">
        <v>1844</v>
      </c>
      <c r="K3968" s="3">
        <v>420</v>
      </c>
      <c r="L3968" t="s">
        <v>9</v>
      </c>
      <c r="M3968">
        <v>15</v>
      </c>
      <c r="N3968" t="s">
        <v>88</v>
      </c>
      <c r="O3968" t="s">
        <v>81</v>
      </c>
      <c r="P3968" t="s">
        <v>18</v>
      </c>
      <c r="Q3968" t="s">
        <v>19</v>
      </c>
      <c r="R3968" t="s">
        <v>138</v>
      </c>
      <c r="S3968" t="s">
        <v>144</v>
      </c>
      <c r="T3968" s="2">
        <f>MASTER[[#This Row],[CANTIDAD]]*MASTER[[#This Row],[PRECIO DE VENTA]]</f>
        <v>1844</v>
      </c>
      <c r="U3968" s="2">
        <f>MASTER[[#This Row],[CANTIDAD]]*MASTER[[#This Row],[COSTO UNITARIO]]</f>
        <v>420</v>
      </c>
      <c r="V3968" s="2">
        <f>MASTER[[#This Row],[MONTO VENDIDO]]-MASTER[[#This Row],[COSTO DE VENTA]]</f>
        <v>1424</v>
      </c>
    </row>
    <row r="3969" spans="1:22" x14ac:dyDescent="0.3">
      <c r="A3969">
        <v>60034</v>
      </c>
      <c r="B3969">
        <v>1</v>
      </c>
      <c r="C3969" t="s">
        <v>101</v>
      </c>
      <c r="D3969" t="s">
        <v>102</v>
      </c>
      <c r="E3969" s="1">
        <v>44281</v>
      </c>
      <c r="F3969">
        <v>1</v>
      </c>
      <c r="G3969" t="s">
        <v>51</v>
      </c>
      <c r="H3969" t="s">
        <v>52</v>
      </c>
      <c r="I3969" s="3">
        <v>1357</v>
      </c>
      <c r="J3969" s="3">
        <v>1357</v>
      </c>
      <c r="K3969" s="3">
        <v>442</v>
      </c>
      <c r="L3969" t="s">
        <v>98</v>
      </c>
      <c r="M3969">
        <v>9</v>
      </c>
      <c r="N3969" t="s">
        <v>76</v>
      </c>
      <c r="O3969" t="s">
        <v>70</v>
      </c>
      <c r="P3969" t="s">
        <v>12</v>
      </c>
      <c r="Q3969" t="s">
        <v>13</v>
      </c>
      <c r="R3969" t="s">
        <v>13</v>
      </c>
      <c r="S3969" t="s">
        <v>144</v>
      </c>
      <c r="T3969" s="2">
        <f>MASTER[[#This Row],[CANTIDAD]]*MASTER[[#This Row],[PRECIO DE VENTA]]</f>
        <v>1357</v>
      </c>
      <c r="U3969" s="2">
        <f>MASTER[[#This Row],[CANTIDAD]]*MASTER[[#This Row],[COSTO UNITARIO]]</f>
        <v>442</v>
      </c>
      <c r="V3969" s="2">
        <f>MASTER[[#This Row],[MONTO VENDIDO]]-MASTER[[#This Row],[COSTO DE VENTA]]</f>
        <v>915</v>
      </c>
    </row>
    <row r="3970" spans="1:22" x14ac:dyDescent="0.3">
      <c r="A3970">
        <v>60038</v>
      </c>
      <c r="B3970">
        <v>1</v>
      </c>
      <c r="C3970" t="s">
        <v>118</v>
      </c>
      <c r="D3970" t="s">
        <v>119</v>
      </c>
      <c r="E3970" s="1">
        <v>44281</v>
      </c>
      <c r="F3970">
        <v>1</v>
      </c>
      <c r="G3970" t="s">
        <v>59</v>
      </c>
      <c r="H3970" t="s">
        <v>60</v>
      </c>
      <c r="I3970" s="3">
        <v>1026</v>
      </c>
      <c r="J3970" s="3">
        <v>1026</v>
      </c>
      <c r="K3970" s="3">
        <v>424</v>
      </c>
      <c r="L3970" t="s">
        <v>120</v>
      </c>
      <c r="M3970">
        <v>9</v>
      </c>
      <c r="N3970" t="s">
        <v>76</v>
      </c>
      <c r="O3970" t="s">
        <v>70</v>
      </c>
      <c r="P3970" t="s">
        <v>12</v>
      </c>
      <c r="Q3970" t="s">
        <v>13</v>
      </c>
      <c r="R3970" t="s">
        <v>13</v>
      </c>
      <c r="S3970" t="s">
        <v>144</v>
      </c>
      <c r="T3970" s="2">
        <f>MASTER[[#This Row],[CANTIDAD]]*MASTER[[#This Row],[PRECIO DE VENTA]]</f>
        <v>1026</v>
      </c>
      <c r="U3970" s="2">
        <f>MASTER[[#This Row],[CANTIDAD]]*MASTER[[#This Row],[COSTO UNITARIO]]</f>
        <v>424</v>
      </c>
      <c r="V3970" s="2">
        <f>MASTER[[#This Row],[MONTO VENDIDO]]-MASTER[[#This Row],[COSTO DE VENTA]]</f>
        <v>602</v>
      </c>
    </row>
    <row r="3971" spans="1:22" x14ac:dyDescent="0.3">
      <c r="A3971">
        <v>60040</v>
      </c>
      <c r="B3971">
        <v>1</v>
      </c>
      <c r="C3971" t="s">
        <v>116</v>
      </c>
      <c r="D3971" t="s">
        <v>117</v>
      </c>
      <c r="E3971" s="1">
        <v>44281</v>
      </c>
      <c r="F3971">
        <v>1</v>
      </c>
      <c r="G3971" t="s">
        <v>59</v>
      </c>
      <c r="H3971" t="s">
        <v>60</v>
      </c>
      <c r="I3971" s="3">
        <v>1738</v>
      </c>
      <c r="J3971" s="3">
        <v>1738</v>
      </c>
      <c r="K3971" s="3">
        <v>388</v>
      </c>
      <c r="L3971" t="s">
        <v>113</v>
      </c>
      <c r="M3971">
        <v>5</v>
      </c>
      <c r="N3971" t="s">
        <v>85</v>
      </c>
      <c r="O3971" t="s">
        <v>81</v>
      </c>
      <c r="P3971" t="s">
        <v>12</v>
      </c>
      <c r="Q3971" t="s">
        <v>13</v>
      </c>
      <c r="R3971" t="s">
        <v>13</v>
      </c>
      <c r="S3971" t="s">
        <v>144</v>
      </c>
      <c r="T3971" s="2">
        <f>MASTER[[#This Row],[CANTIDAD]]*MASTER[[#This Row],[PRECIO DE VENTA]]</f>
        <v>1738</v>
      </c>
      <c r="U3971" s="2">
        <f>MASTER[[#This Row],[CANTIDAD]]*MASTER[[#This Row],[COSTO UNITARIO]]</f>
        <v>388</v>
      </c>
      <c r="V3971" s="2">
        <f>MASTER[[#This Row],[MONTO VENDIDO]]-MASTER[[#This Row],[COSTO DE VENTA]]</f>
        <v>1350</v>
      </c>
    </row>
    <row r="3972" spans="1:22" x14ac:dyDescent="0.3">
      <c r="A3972">
        <v>60041</v>
      </c>
      <c r="B3972">
        <v>1</v>
      </c>
      <c r="C3972" t="s">
        <v>96</v>
      </c>
      <c r="D3972" t="s">
        <v>97</v>
      </c>
      <c r="E3972" s="1">
        <v>44281</v>
      </c>
      <c r="F3972">
        <v>1</v>
      </c>
      <c r="G3972" t="s">
        <v>45</v>
      </c>
      <c r="H3972" t="s">
        <v>46</v>
      </c>
      <c r="I3972" s="3">
        <v>1361</v>
      </c>
      <c r="J3972" s="3">
        <v>1361</v>
      </c>
      <c r="K3972" s="3">
        <v>397</v>
      </c>
      <c r="L3972" t="s">
        <v>98</v>
      </c>
      <c r="M3972">
        <v>3</v>
      </c>
      <c r="N3972" t="s">
        <v>69</v>
      </c>
      <c r="O3972" t="s">
        <v>70</v>
      </c>
      <c r="P3972" t="s">
        <v>71</v>
      </c>
      <c r="Q3972" t="s">
        <v>72</v>
      </c>
      <c r="R3972" t="s">
        <v>139</v>
      </c>
      <c r="S3972" t="s">
        <v>144</v>
      </c>
      <c r="T3972" s="2">
        <f>MASTER[[#This Row],[CANTIDAD]]*MASTER[[#This Row],[PRECIO DE VENTA]]</f>
        <v>1361</v>
      </c>
      <c r="U3972" s="2">
        <f>MASTER[[#This Row],[CANTIDAD]]*MASTER[[#This Row],[COSTO UNITARIO]]</f>
        <v>397</v>
      </c>
      <c r="V3972" s="2">
        <f>MASTER[[#This Row],[MONTO VENDIDO]]-MASTER[[#This Row],[COSTO DE VENTA]]</f>
        <v>964</v>
      </c>
    </row>
    <row r="3973" spans="1:22" x14ac:dyDescent="0.3">
      <c r="A3973">
        <v>60059</v>
      </c>
      <c r="B3973">
        <v>1</v>
      </c>
      <c r="C3973" t="s">
        <v>111</v>
      </c>
      <c r="D3973" t="s">
        <v>112</v>
      </c>
      <c r="E3973" s="1">
        <v>44281</v>
      </c>
      <c r="F3973">
        <v>1</v>
      </c>
      <c r="G3973" t="s">
        <v>22</v>
      </c>
      <c r="H3973" t="s">
        <v>23</v>
      </c>
      <c r="I3973" s="3">
        <v>1799</v>
      </c>
      <c r="J3973" s="3">
        <v>1799</v>
      </c>
      <c r="K3973" s="3">
        <v>434</v>
      </c>
      <c r="L3973" t="s">
        <v>113</v>
      </c>
      <c r="M3973">
        <v>6</v>
      </c>
      <c r="N3973" t="s">
        <v>75</v>
      </c>
      <c r="O3973" t="s">
        <v>70</v>
      </c>
      <c r="P3973" t="s">
        <v>12</v>
      </c>
      <c r="Q3973" t="s">
        <v>13</v>
      </c>
      <c r="R3973" t="s">
        <v>13</v>
      </c>
      <c r="S3973" t="s">
        <v>144</v>
      </c>
      <c r="T3973" s="2">
        <f>MASTER[[#This Row],[CANTIDAD]]*MASTER[[#This Row],[PRECIO DE VENTA]]</f>
        <v>1799</v>
      </c>
      <c r="U3973" s="2">
        <f>MASTER[[#This Row],[CANTIDAD]]*MASTER[[#This Row],[COSTO UNITARIO]]</f>
        <v>434</v>
      </c>
      <c r="V3973" s="2">
        <f>MASTER[[#This Row],[MONTO VENDIDO]]-MASTER[[#This Row],[COSTO DE VENTA]]</f>
        <v>1365</v>
      </c>
    </row>
    <row r="3974" spans="1:22" x14ac:dyDescent="0.3">
      <c r="A3974">
        <v>60068</v>
      </c>
      <c r="B3974">
        <v>1</v>
      </c>
      <c r="C3974" t="s">
        <v>103</v>
      </c>
      <c r="D3974" t="s">
        <v>104</v>
      </c>
      <c r="E3974" s="1">
        <v>44281</v>
      </c>
      <c r="F3974">
        <v>1</v>
      </c>
      <c r="G3974" t="s">
        <v>45</v>
      </c>
      <c r="H3974" t="s">
        <v>46</v>
      </c>
      <c r="I3974" s="3">
        <v>1448</v>
      </c>
      <c r="J3974" s="3">
        <v>1448</v>
      </c>
      <c r="K3974" s="3">
        <v>421</v>
      </c>
      <c r="L3974" t="s">
        <v>98</v>
      </c>
      <c r="M3974">
        <v>11</v>
      </c>
      <c r="N3974" t="s">
        <v>10</v>
      </c>
      <c r="O3974" t="s">
        <v>11</v>
      </c>
      <c r="P3974" t="s">
        <v>12</v>
      </c>
      <c r="Q3974" t="s">
        <v>13</v>
      </c>
      <c r="R3974" t="s">
        <v>13</v>
      </c>
      <c r="S3974" t="s">
        <v>144</v>
      </c>
      <c r="T3974" s="2">
        <f>MASTER[[#This Row],[CANTIDAD]]*MASTER[[#This Row],[PRECIO DE VENTA]]</f>
        <v>1448</v>
      </c>
      <c r="U3974" s="2">
        <f>MASTER[[#This Row],[CANTIDAD]]*MASTER[[#This Row],[COSTO UNITARIO]]</f>
        <v>421</v>
      </c>
      <c r="V3974" s="2">
        <f>MASTER[[#This Row],[MONTO VENDIDO]]-MASTER[[#This Row],[COSTO DE VENTA]]</f>
        <v>1027</v>
      </c>
    </row>
    <row r="3975" spans="1:22" x14ac:dyDescent="0.3">
      <c r="A3975">
        <v>60088</v>
      </c>
      <c r="B3975">
        <v>1</v>
      </c>
      <c r="C3975" t="s">
        <v>5</v>
      </c>
      <c r="D3975" t="s">
        <v>6</v>
      </c>
      <c r="E3975" s="1">
        <v>44281</v>
      </c>
      <c r="F3975">
        <v>1</v>
      </c>
      <c r="G3975" t="s">
        <v>27</v>
      </c>
      <c r="H3975" t="s">
        <v>28</v>
      </c>
      <c r="I3975" s="3">
        <v>1507</v>
      </c>
      <c r="J3975" s="3">
        <v>1507</v>
      </c>
      <c r="K3975" s="3">
        <v>393</v>
      </c>
      <c r="L3975" t="s">
        <v>9</v>
      </c>
      <c r="M3975">
        <v>10</v>
      </c>
      <c r="N3975" t="s">
        <v>83</v>
      </c>
      <c r="O3975" t="s">
        <v>81</v>
      </c>
      <c r="P3975" t="s">
        <v>12</v>
      </c>
      <c r="Q3975" t="s">
        <v>13</v>
      </c>
      <c r="R3975" t="s">
        <v>13</v>
      </c>
      <c r="S3975" t="s">
        <v>144</v>
      </c>
      <c r="T3975" s="2">
        <f>MASTER[[#This Row],[CANTIDAD]]*MASTER[[#This Row],[PRECIO DE VENTA]]</f>
        <v>1507</v>
      </c>
      <c r="U3975" s="2">
        <f>MASTER[[#This Row],[CANTIDAD]]*MASTER[[#This Row],[COSTO UNITARIO]]</f>
        <v>393</v>
      </c>
      <c r="V3975" s="2">
        <f>MASTER[[#This Row],[MONTO VENDIDO]]-MASTER[[#This Row],[COSTO DE VENTA]]</f>
        <v>1114</v>
      </c>
    </row>
    <row r="3976" spans="1:22" x14ac:dyDescent="0.3">
      <c r="A3976">
        <v>60110</v>
      </c>
      <c r="B3976">
        <v>1</v>
      </c>
      <c r="C3976" t="s">
        <v>111</v>
      </c>
      <c r="D3976" t="s">
        <v>112</v>
      </c>
      <c r="E3976" s="1">
        <v>44281</v>
      </c>
      <c r="F3976">
        <v>1</v>
      </c>
      <c r="G3976" t="s">
        <v>22</v>
      </c>
      <c r="H3976" t="s">
        <v>23</v>
      </c>
      <c r="I3976" s="3">
        <v>1621</v>
      </c>
      <c r="J3976" s="3">
        <v>1621</v>
      </c>
      <c r="K3976" s="3">
        <v>434</v>
      </c>
      <c r="L3976" t="s">
        <v>113</v>
      </c>
      <c r="M3976">
        <v>7</v>
      </c>
      <c r="N3976" t="s">
        <v>84</v>
      </c>
      <c r="O3976" t="s">
        <v>81</v>
      </c>
      <c r="P3976" t="s">
        <v>12</v>
      </c>
      <c r="Q3976" t="s">
        <v>13</v>
      </c>
      <c r="R3976" t="s">
        <v>13</v>
      </c>
      <c r="S3976" t="s">
        <v>144</v>
      </c>
      <c r="T3976" s="2">
        <f>MASTER[[#This Row],[CANTIDAD]]*MASTER[[#This Row],[PRECIO DE VENTA]]</f>
        <v>1621</v>
      </c>
      <c r="U3976" s="2">
        <f>MASTER[[#This Row],[CANTIDAD]]*MASTER[[#This Row],[COSTO UNITARIO]]</f>
        <v>434</v>
      </c>
      <c r="V3976" s="2">
        <f>MASTER[[#This Row],[MONTO VENDIDO]]-MASTER[[#This Row],[COSTO DE VENTA]]</f>
        <v>1187</v>
      </c>
    </row>
    <row r="3977" spans="1:22" x14ac:dyDescent="0.3">
      <c r="A3977">
        <v>60115</v>
      </c>
      <c r="B3977">
        <v>1</v>
      </c>
      <c r="C3977" t="s">
        <v>99</v>
      </c>
      <c r="D3977" t="s">
        <v>100</v>
      </c>
      <c r="E3977" s="1">
        <v>44281</v>
      </c>
      <c r="F3977">
        <v>1</v>
      </c>
      <c r="G3977" t="s">
        <v>29</v>
      </c>
      <c r="H3977" t="s">
        <v>30</v>
      </c>
      <c r="I3977" s="3">
        <v>1459</v>
      </c>
      <c r="J3977" s="3">
        <v>1459</v>
      </c>
      <c r="K3977" s="3">
        <v>386</v>
      </c>
      <c r="L3977" t="s">
        <v>98</v>
      </c>
      <c r="M3977">
        <v>4</v>
      </c>
      <c r="N3977" t="s">
        <v>82</v>
      </c>
      <c r="O3977" t="s">
        <v>81</v>
      </c>
      <c r="P3977" t="s">
        <v>71</v>
      </c>
      <c r="Q3977" t="s">
        <v>72</v>
      </c>
      <c r="R3977" t="s">
        <v>139</v>
      </c>
      <c r="S3977" t="s">
        <v>144</v>
      </c>
      <c r="T3977" s="2">
        <f>MASTER[[#This Row],[CANTIDAD]]*MASTER[[#This Row],[PRECIO DE VENTA]]</f>
        <v>1459</v>
      </c>
      <c r="U3977" s="2">
        <f>MASTER[[#This Row],[CANTIDAD]]*MASTER[[#This Row],[COSTO UNITARIO]]</f>
        <v>386</v>
      </c>
      <c r="V3977" s="2">
        <f>MASTER[[#This Row],[MONTO VENDIDO]]-MASTER[[#This Row],[COSTO DE VENTA]]</f>
        <v>1073</v>
      </c>
    </row>
    <row r="3978" spans="1:22" x14ac:dyDescent="0.3">
      <c r="A3978">
        <v>60129</v>
      </c>
      <c r="B3978">
        <v>1</v>
      </c>
      <c r="C3978" t="s">
        <v>92</v>
      </c>
      <c r="D3978" t="s">
        <v>93</v>
      </c>
      <c r="E3978" s="1">
        <v>44282</v>
      </c>
      <c r="F3978">
        <v>1</v>
      </c>
      <c r="G3978" t="s">
        <v>7</v>
      </c>
      <c r="H3978" t="s">
        <v>8</v>
      </c>
      <c r="I3978" s="3">
        <v>1681</v>
      </c>
      <c r="J3978" s="3">
        <v>1681</v>
      </c>
      <c r="K3978" s="3">
        <v>396</v>
      </c>
      <c r="L3978" t="s">
        <v>9</v>
      </c>
      <c r="M3978">
        <v>14</v>
      </c>
      <c r="N3978" t="s">
        <v>87</v>
      </c>
      <c r="O3978" t="s">
        <v>81</v>
      </c>
      <c r="P3978" t="s">
        <v>18</v>
      </c>
      <c r="Q3978" t="s">
        <v>19</v>
      </c>
      <c r="R3978" t="s">
        <v>138</v>
      </c>
      <c r="S3978" t="s">
        <v>144</v>
      </c>
      <c r="T3978" s="2">
        <f>MASTER[[#This Row],[CANTIDAD]]*MASTER[[#This Row],[PRECIO DE VENTA]]</f>
        <v>1681</v>
      </c>
      <c r="U3978" s="2">
        <f>MASTER[[#This Row],[CANTIDAD]]*MASTER[[#This Row],[COSTO UNITARIO]]</f>
        <v>396</v>
      </c>
      <c r="V3978" s="2">
        <f>MASTER[[#This Row],[MONTO VENDIDO]]-MASTER[[#This Row],[COSTO DE VENTA]]</f>
        <v>1285</v>
      </c>
    </row>
    <row r="3979" spans="1:22" x14ac:dyDescent="0.3">
      <c r="A3979">
        <v>60135</v>
      </c>
      <c r="B3979">
        <v>1</v>
      </c>
      <c r="C3979" t="s">
        <v>105</v>
      </c>
      <c r="D3979" t="s">
        <v>106</v>
      </c>
      <c r="E3979" s="1">
        <v>44282</v>
      </c>
      <c r="F3979">
        <v>1</v>
      </c>
      <c r="G3979" t="s">
        <v>43</v>
      </c>
      <c r="H3979" t="s">
        <v>44</v>
      </c>
      <c r="I3979" s="3">
        <v>1865</v>
      </c>
      <c r="J3979" s="3">
        <v>1865</v>
      </c>
      <c r="K3979" s="3">
        <v>459</v>
      </c>
      <c r="L3979" t="s">
        <v>98</v>
      </c>
      <c r="M3979">
        <v>14</v>
      </c>
      <c r="N3979" t="s">
        <v>87</v>
      </c>
      <c r="O3979" t="s">
        <v>81</v>
      </c>
      <c r="P3979" t="s">
        <v>18</v>
      </c>
      <c r="Q3979" t="s">
        <v>19</v>
      </c>
      <c r="R3979" t="s">
        <v>138</v>
      </c>
      <c r="S3979" t="s">
        <v>144</v>
      </c>
      <c r="T3979" s="2">
        <f>MASTER[[#This Row],[CANTIDAD]]*MASTER[[#This Row],[PRECIO DE VENTA]]</f>
        <v>1865</v>
      </c>
      <c r="U3979" s="2">
        <f>MASTER[[#This Row],[CANTIDAD]]*MASTER[[#This Row],[COSTO UNITARIO]]</f>
        <v>459</v>
      </c>
      <c r="V3979" s="2">
        <f>MASTER[[#This Row],[MONTO VENDIDO]]-MASTER[[#This Row],[COSTO DE VENTA]]</f>
        <v>1406</v>
      </c>
    </row>
    <row r="3980" spans="1:22" x14ac:dyDescent="0.3">
      <c r="A3980">
        <v>60151</v>
      </c>
      <c r="B3980">
        <v>1</v>
      </c>
      <c r="C3980" t="s">
        <v>118</v>
      </c>
      <c r="D3980" t="s">
        <v>119</v>
      </c>
      <c r="E3980" s="1">
        <v>44282</v>
      </c>
      <c r="F3980">
        <v>1</v>
      </c>
      <c r="G3980" t="s">
        <v>33</v>
      </c>
      <c r="H3980" t="s">
        <v>34</v>
      </c>
      <c r="I3980" s="3">
        <v>1026</v>
      </c>
      <c r="J3980" s="3">
        <v>1026</v>
      </c>
      <c r="K3980" s="3">
        <v>424</v>
      </c>
      <c r="L3980" t="s">
        <v>120</v>
      </c>
      <c r="M3980">
        <v>6</v>
      </c>
      <c r="N3980" t="s">
        <v>75</v>
      </c>
      <c r="O3980" t="s">
        <v>70</v>
      </c>
      <c r="P3980" t="s">
        <v>12</v>
      </c>
      <c r="Q3980" t="s">
        <v>13</v>
      </c>
      <c r="R3980" t="s">
        <v>13</v>
      </c>
      <c r="S3980" t="s">
        <v>144</v>
      </c>
      <c r="T3980" s="2">
        <f>MASTER[[#This Row],[CANTIDAD]]*MASTER[[#This Row],[PRECIO DE VENTA]]</f>
        <v>1026</v>
      </c>
      <c r="U3980" s="2">
        <f>MASTER[[#This Row],[CANTIDAD]]*MASTER[[#This Row],[COSTO UNITARIO]]</f>
        <v>424</v>
      </c>
      <c r="V3980" s="2">
        <f>MASTER[[#This Row],[MONTO VENDIDO]]-MASTER[[#This Row],[COSTO DE VENTA]]</f>
        <v>602</v>
      </c>
    </row>
    <row r="3981" spans="1:22" x14ac:dyDescent="0.3">
      <c r="A3981">
        <v>60173</v>
      </c>
      <c r="B3981">
        <v>1</v>
      </c>
      <c r="C3981" t="s">
        <v>116</v>
      </c>
      <c r="D3981" t="s">
        <v>117</v>
      </c>
      <c r="E3981" s="1">
        <v>44282</v>
      </c>
      <c r="F3981">
        <v>1</v>
      </c>
      <c r="G3981" t="s">
        <v>39</v>
      </c>
      <c r="H3981" t="s">
        <v>40</v>
      </c>
      <c r="I3981" s="3">
        <v>1738</v>
      </c>
      <c r="J3981" s="3">
        <v>1738</v>
      </c>
      <c r="K3981" s="3">
        <v>388</v>
      </c>
      <c r="L3981" t="s">
        <v>113</v>
      </c>
      <c r="M3981">
        <v>10</v>
      </c>
      <c r="N3981" t="s">
        <v>83</v>
      </c>
      <c r="O3981" t="s">
        <v>81</v>
      </c>
      <c r="P3981" t="s">
        <v>12</v>
      </c>
      <c r="Q3981" t="s">
        <v>13</v>
      </c>
      <c r="R3981" t="s">
        <v>13</v>
      </c>
      <c r="S3981" t="s">
        <v>144</v>
      </c>
      <c r="T3981" s="2">
        <f>MASTER[[#This Row],[CANTIDAD]]*MASTER[[#This Row],[PRECIO DE VENTA]]</f>
        <v>1738</v>
      </c>
      <c r="U3981" s="2">
        <f>MASTER[[#This Row],[CANTIDAD]]*MASTER[[#This Row],[COSTO UNITARIO]]</f>
        <v>388</v>
      </c>
      <c r="V3981" s="2">
        <f>MASTER[[#This Row],[MONTO VENDIDO]]-MASTER[[#This Row],[COSTO DE VENTA]]</f>
        <v>1350</v>
      </c>
    </row>
    <row r="3982" spans="1:22" x14ac:dyDescent="0.3">
      <c r="A3982">
        <v>60182</v>
      </c>
      <c r="B3982">
        <v>1</v>
      </c>
      <c r="C3982" t="s">
        <v>107</v>
      </c>
      <c r="D3982" t="s">
        <v>108</v>
      </c>
      <c r="E3982" s="1">
        <v>44283</v>
      </c>
      <c r="F3982">
        <v>1</v>
      </c>
      <c r="G3982" t="s">
        <v>45</v>
      </c>
      <c r="H3982" t="s">
        <v>46</v>
      </c>
      <c r="I3982" s="3">
        <v>1333</v>
      </c>
      <c r="J3982" s="3">
        <v>1279</v>
      </c>
      <c r="K3982" s="3">
        <v>380</v>
      </c>
      <c r="L3982" t="s">
        <v>98</v>
      </c>
      <c r="M3982">
        <v>19</v>
      </c>
      <c r="N3982" t="s">
        <v>89</v>
      </c>
      <c r="O3982" t="s">
        <v>81</v>
      </c>
      <c r="P3982" t="s">
        <v>15</v>
      </c>
      <c r="Q3982" t="s">
        <v>16</v>
      </c>
      <c r="R3982" t="s">
        <v>16</v>
      </c>
      <c r="S3982" t="s">
        <v>144</v>
      </c>
      <c r="T3982" s="2">
        <f>MASTER[[#This Row],[CANTIDAD]]*MASTER[[#This Row],[PRECIO DE VENTA]]</f>
        <v>1279</v>
      </c>
      <c r="U3982" s="2">
        <f>MASTER[[#This Row],[CANTIDAD]]*MASTER[[#This Row],[COSTO UNITARIO]]</f>
        <v>380</v>
      </c>
      <c r="V3982" s="2">
        <f>MASTER[[#This Row],[MONTO VENDIDO]]-MASTER[[#This Row],[COSTO DE VENTA]]</f>
        <v>899</v>
      </c>
    </row>
    <row r="3983" spans="1:22" x14ac:dyDescent="0.3">
      <c r="A3983">
        <v>60217</v>
      </c>
      <c r="B3983">
        <v>1</v>
      </c>
      <c r="C3983" t="s">
        <v>111</v>
      </c>
      <c r="D3983" t="s">
        <v>112</v>
      </c>
      <c r="E3983" s="1">
        <v>44283</v>
      </c>
      <c r="F3983">
        <v>1</v>
      </c>
      <c r="G3983" t="s">
        <v>27</v>
      </c>
      <c r="H3983" t="s">
        <v>28</v>
      </c>
      <c r="I3983" s="3">
        <v>1799</v>
      </c>
      <c r="J3983" s="3">
        <v>1799</v>
      </c>
      <c r="K3983" s="3">
        <v>434</v>
      </c>
      <c r="L3983" t="s">
        <v>113</v>
      </c>
      <c r="M3983">
        <v>13</v>
      </c>
      <c r="N3983" t="s">
        <v>78</v>
      </c>
      <c r="O3983" t="s">
        <v>70</v>
      </c>
      <c r="P3983" t="s">
        <v>18</v>
      </c>
      <c r="Q3983" t="s">
        <v>19</v>
      </c>
      <c r="R3983" t="s">
        <v>138</v>
      </c>
      <c r="S3983" t="s">
        <v>144</v>
      </c>
      <c r="T3983" s="2">
        <f>MASTER[[#This Row],[CANTIDAD]]*MASTER[[#This Row],[PRECIO DE VENTA]]</f>
        <v>1799</v>
      </c>
      <c r="U3983" s="2">
        <f>MASTER[[#This Row],[CANTIDAD]]*MASTER[[#This Row],[COSTO UNITARIO]]</f>
        <v>434</v>
      </c>
      <c r="V3983" s="2">
        <f>MASTER[[#This Row],[MONTO VENDIDO]]-MASTER[[#This Row],[COSTO DE VENTA]]</f>
        <v>1365</v>
      </c>
    </row>
    <row r="3984" spans="1:22" x14ac:dyDescent="0.3">
      <c r="A3984">
        <v>60219</v>
      </c>
      <c r="B3984">
        <v>1</v>
      </c>
      <c r="C3984" t="s">
        <v>5</v>
      </c>
      <c r="D3984" t="s">
        <v>6</v>
      </c>
      <c r="E3984" s="1">
        <v>44283</v>
      </c>
      <c r="F3984">
        <v>1</v>
      </c>
      <c r="G3984" t="s">
        <v>41</v>
      </c>
      <c r="H3984" t="s">
        <v>42</v>
      </c>
      <c r="I3984" s="3">
        <v>1507</v>
      </c>
      <c r="J3984" s="3">
        <v>1507</v>
      </c>
      <c r="K3984" s="3">
        <v>393</v>
      </c>
      <c r="L3984" t="s">
        <v>9</v>
      </c>
      <c r="M3984">
        <v>2</v>
      </c>
      <c r="N3984" t="s">
        <v>86</v>
      </c>
      <c r="O3984" t="s">
        <v>81</v>
      </c>
      <c r="P3984" t="s">
        <v>71</v>
      </c>
      <c r="Q3984" t="s">
        <v>72</v>
      </c>
      <c r="R3984" t="s">
        <v>139</v>
      </c>
      <c r="S3984" t="s">
        <v>144</v>
      </c>
      <c r="T3984" s="2">
        <f>MASTER[[#This Row],[CANTIDAD]]*MASTER[[#This Row],[PRECIO DE VENTA]]</f>
        <v>1507</v>
      </c>
      <c r="U3984" s="2">
        <f>MASTER[[#This Row],[CANTIDAD]]*MASTER[[#This Row],[COSTO UNITARIO]]</f>
        <v>393</v>
      </c>
      <c r="V3984" s="2">
        <f>MASTER[[#This Row],[MONTO VENDIDO]]-MASTER[[#This Row],[COSTO DE VENTA]]</f>
        <v>1114</v>
      </c>
    </row>
    <row r="3985" spans="1:22" x14ac:dyDescent="0.3">
      <c r="A3985">
        <v>60224</v>
      </c>
      <c r="B3985">
        <v>1</v>
      </c>
      <c r="C3985" t="s">
        <v>96</v>
      </c>
      <c r="D3985" t="s">
        <v>97</v>
      </c>
      <c r="E3985" s="1">
        <v>44283</v>
      </c>
      <c r="F3985">
        <v>1</v>
      </c>
      <c r="G3985" t="s">
        <v>20</v>
      </c>
      <c r="H3985" t="s">
        <v>21</v>
      </c>
      <c r="I3985" s="3">
        <v>1196</v>
      </c>
      <c r="J3985" s="3">
        <v>1196</v>
      </c>
      <c r="K3985" s="3">
        <v>397</v>
      </c>
      <c r="L3985" t="s">
        <v>98</v>
      </c>
      <c r="M3985">
        <v>11</v>
      </c>
      <c r="N3985" t="s">
        <v>10</v>
      </c>
      <c r="O3985" t="s">
        <v>11</v>
      </c>
      <c r="P3985" t="s">
        <v>12</v>
      </c>
      <c r="Q3985" t="s">
        <v>13</v>
      </c>
      <c r="R3985" t="s">
        <v>13</v>
      </c>
      <c r="S3985" t="s">
        <v>144</v>
      </c>
      <c r="T3985" s="2">
        <f>MASTER[[#This Row],[CANTIDAD]]*MASTER[[#This Row],[PRECIO DE VENTA]]</f>
        <v>1196</v>
      </c>
      <c r="U3985" s="2">
        <f>MASTER[[#This Row],[CANTIDAD]]*MASTER[[#This Row],[COSTO UNITARIO]]</f>
        <v>397</v>
      </c>
      <c r="V3985" s="2">
        <f>MASTER[[#This Row],[MONTO VENDIDO]]-MASTER[[#This Row],[COSTO DE VENTA]]</f>
        <v>799</v>
      </c>
    </row>
    <row r="3986" spans="1:22" x14ac:dyDescent="0.3">
      <c r="A3986">
        <v>60234</v>
      </c>
      <c r="B3986">
        <v>1</v>
      </c>
      <c r="C3986" t="s">
        <v>118</v>
      </c>
      <c r="D3986" t="s">
        <v>119</v>
      </c>
      <c r="E3986" s="1">
        <v>44283</v>
      </c>
      <c r="F3986">
        <v>1</v>
      </c>
      <c r="G3986" t="s">
        <v>47</v>
      </c>
      <c r="H3986" t="s">
        <v>48</v>
      </c>
      <c r="I3986" s="3">
        <v>900</v>
      </c>
      <c r="J3986" s="3">
        <v>900</v>
      </c>
      <c r="K3986" s="3">
        <v>424</v>
      </c>
      <c r="L3986" t="s">
        <v>120</v>
      </c>
      <c r="M3986">
        <v>4</v>
      </c>
      <c r="N3986" t="s">
        <v>82</v>
      </c>
      <c r="O3986" t="s">
        <v>81</v>
      </c>
      <c r="P3986" t="s">
        <v>71</v>
      </c>
      <c r="Q3986" t="s">
        <v>72</v>
      </c>
      <c r="R3986" t="s">
        <v>139</v>
      </c>
      <c r="S3986" t="s">
        <v>144</v>
      </c>
      <c r="T3986" s="2">
        <f>MASTER[[#This Row],[CANTIDAD]]*MASTER[[#This Row],[PRECIO DE VENTA]]</f>
        <v>900</v>
      </c>
      <c r="U3986" s="2">
        <f>MASTER[[#This Row],[CANTIDAD]]*MASTER[[#This Row],[COSTO UNITARIO]]</f>
        <v>424</v>
      </c>
      <c r="V3986" s="2">
        <f>MASTER[[#This Row],[MONTO VENDIDO]]-MASTER[[#This Row],[COSTO DE VENTA]]</f>
        <v>476</v>
      </c>
    </row>
    <row r="3987" spans="1:22" x14ac:dyDescent="0.3">
      <c r="A3987">
        <v>60246</v>
      </c>
      <c r="B3987">
        <v>1</v>
      </c>
      <c r="C3987" t="s">
        <v>111</v>
      </c>
      <c r="D3987" t="s">
        <v>112</v>
      </c>
      <c r="E3987" s="1">
        <v>44283</v>
      </c>
      <c r="F3987">
        <v>1</v>
      </c>
      <c r="G3987" t="s">
        <v>29</v>
      </c>
      <c r="H3987" t="s">
        <v>30</v>
      </c>
      <c r="I3987" s="3">
        <v>1621</v>
      </c>
      <c r="J3987" s="3">
        <v>1621</v>
      </c>
      <c r="K3987" s="3">
        <v>434</v>
      </c>
      <c r="L3987" t="s">
        <v>113</v>
      </c>
      <c r="M3987">
        <v>5</v>
      </c>
      <c r="N3987" t="s">
        <v>85</v>
      </c>
      <c r="O3987" t="s">
        <v>81</v>
      </c>
      <c r="P3987" t="s">
        <v>12</v>
      </c>
      <c r="Q3987" t="s">
        <v>13</v>
      </c>
      <c r="R3987" t="s">
        <v>13</v>
      </c>
      <c r="S3987" t="s">
        <v>144</v>
      </c>
      <c r="T3987" s="2">
        <f>MASTER[[#This Row],[CANTIDAD]]*MASTER[[#This Row],[PRECIO DE VENTA]]</f>
        <v>1621</v>
      </c>
      <c r="U3987" s="2">
        <f>MASTER[[#This Row],[CANTIDAD]]*MASTER[[#This Row],[COSTO UNITARIO]]</f>
        <v>434</v>
      </c>
      <c r="V3987" s="2">
        <f>MASTER[[#This Row],[MONTO VENDIDO]]-MASTER[[#This Row],[COSTO DE VENTA]]</f>
        <v>1187</v>
      </c>
    </row>
    <row r="3988" spans="1:22" x14ac:dyDescent="0.3">
      <c r="A3988">
        <v>60250</v>
      </c>
      <c r="B3988">
        <v>1</v>
      </c>
      <c r="C3988" t="s">
        <v>5</v>
      </c>
      <c r="D3988" t="s">
        <v>6</v>
      </c>
      <c r="E3988" s="1">
        <v>44283</v>
      </c>
      <c r="F3988">
        <v>1</v>
      </c>
      <c r="G3988" t="s">
        <v>65</v>
      </c>
      <c r="H3988" t="s">
        <v>66</v>
      </c>
      <c r="I3988" s="3">
        <v>1296</v>
      </c>
      <c r="J3988" s="3">
        <v>1296</v>
      </c>
      <c r="K3988" s="3">
        <v>393</v>
      </c>
      <c r="L3988" t="s">
        <v>9</v>
      </c>
      <c r="M3988">
        <v>13</v>
      </c>
      <c r="N3988" t="s">
        <v>78</v>
      </c>
      <c r="O3988" t="s">
        <v>70</v>
      </c>
      <c r="P3988" t="s">
        <v>18</v>
      </c>
      <c r="Q3988" t="s">
        <v>19</v>
      </c>
      <c r="R3988" t="s">
        <v>138</v>
      </c>
      <c r="S3988" t="s">
        <v>144</v>
      </c>
      <c r="T3988" s="2">
        <f>MASTER[[#This Row],[CANTIDAD]]*MASTER[[#This Row],[PRECIO DE VENTA]]</f>
        <v>1296</v>
      </c>
      <c r="U3988" s="2">
        <f>MASTER[[#This Row],[CANTIDAD]]*MASTER[[#This Row],[COSTO UNITARIO]]</f>
        <v>393</v>
      </c>
      <c r="V3988" s="2">
        <f>MASTER[[#This Row],[MONTO VENDIDO]]-MASTER[[#This Row],[COSTO DE VENTA]]</f>
        <v>903</v>
      </c>
    </row>
    <row r="3989" spans="1:22" x14ac:dyDescent="0.3">
      <c r="A3989">
        <v>60259</v>
      </c>
      <c r="B3989">
        <v>1</v>
      </c>
      <c r="C3989" t="s">
        <v>96</v>
      </c>
      <c r="D3989" t="s">
        <v>97</v>
      </c>
      <c r="E3989" s="1">
        <v>44283</v>
      </c>
      <c r="F3989">
        <v>1</v>
      </c>
      <c r="G3989" t="s">
        <v>73</v>
      </c>
      <c r="H3989" t="s">
        <v>74</v>
      </c>
      <c r="I3989" s="3">
        <v>1196</v>
      </c>
      <c r="J3989" s="3">
        <v>1196</v>
      </c>
      <c r="K3989" s="3">
        <v>397</v>
      </c>
      <c r="L3989" t="s">
        <v>98</v>
      </c>
      <c r="M3989">
        <v>16</v>
      </c>
      <c r="N3989" t="s">
        <v>17</v>
      </c>
      <c r="O3989" t="s">
        <v>11</v>
      </c>
      <c r="P3989" t="s">
        <v>18</v>
      </c>
      <c r="Q3989" t="s">
        <v>19</v>
      </c>
      <c r="R3989" t="s">
        <v>138</v>
      </c>
      <c r="S3989" t="s">
        <v>144</v>
      </c>
      <c r="T3989" s="2">
        <f>MASTER[[#This Row],[CANTIDAD]]*MASTER[[#This Row],[PRECIO DE VENTA]]</f>
        <v>1196</v>
      </c>
      <c r="U3989" s="2">
        <f>MASTER[[#This Row],[CANTIDAD]]*MASTER[[#This Row],[COSTO UNITARIO]]</f>
        <v>397</v>
      </c>
      <c r="V3989" s="2">
        <f>MASTER[[#This Row],[MONTO VENDIDO]]-MASTER[[#This Row],[COSTO DE VENTA]]</f>
        <v>799</v>
      </c>
    </row>
    <row r="3990" spans="1:22" x14ac:dyDescent="0.3">
      <c r="A3990">
        <v>60266</v>
      </c>
      <c r="B3990">
        <v>1</v>
      </c>
      <c r="C3990" t="s">
        <v>111</v>
      </c>
      <c r="D3990" t="s">
        <v>112</v>
      </c>
      <c r="E3990" s="1">
        <v>44283</v>
      </c>
      <c r="F3990">
        <v>1</v>
      </c>
      <c r="G3990" t="s">
        <v>65</v>
      </c>
      <c r="H3990" t="s">
        <v>66</v>
      </c>
      <c r="I3990" s="3">
        <v>1621</v>
      </c>
      <c r="J3990" s="3">
        <v>1523</v>
      </c>
      <c r="K3990" s="3">
        <v>434</v>
      </c>
      <c r="L3990" t="s">
        <v>113</v>
      </c>
      <c r="M3990">
        <v>19</v>
      </c>
      <c r="N3990" t="s">
        <v>89</v>
      </c>
      <c r="O3990" t="s">
        <v>81</v>
      </c>
      <c r="P3990" t="s">
        <v>15</v>
      </c>
      <c r="Q3990" t="s">
        <v>16</v>
      </c>
      <c r="R3990" t="s">
        <v>16</v>
      </c>
      <c r="S3990" t="s">
        <v>144</v>
      </c>
      <c r="T3990" s="2">
        <f>MASTER[[#This Row],[CANTIDAD]]*MASTER[[#This Row],[PRECIO DE VENTA]]</f>
        <v>1523</v>
      </c>
      <c r="U3990" s="2">
        <f>MASTER[[#This Row],[CANTIDAD]]*MASTER[[#This Row],[COSTO UNITARIO]]</f>
        <v>434</v>
      </c>
      <c r="V3990" s="2">
        <f>MASTER[[#This Row],[MONTO VENDIDO]]-MASTER[[#This Row],[COSTO DE VENTA]]</f>
        <v>1089</v>
      </c>
    </row>
    <row r="3991" spans="1:22" x14ac:dyDescent="0.3">
      <c r="A3991">
        <v>60276</v>
      </c>
      <c r="B3991">
        <v>1</v>
      </c>
      <c r="C3991" t="s">
        <v>111</v>
      </c>
      <c r="D3991" t="s">
        <v>112</v>
      </c>
      <c r="E3991" s="1">
        <v>44283</v>
      </c>
      <c r="F3991">
        <v>1</v>
      </c>
      <c r="G3991" t="s">
        <v>29</v>
      </c>
      <c r="H3991" t="s">
        <v>30</v>
      </c>
      <c r="I3991" s="3">
        <v>1621</v>
      </c>
      <c r="J3991" s="3">
        <v>1621</v>
      </c>
      <c r="K3991" s="3">
        <v>434</v>
      </c>
      <c r="L3991" t="s">
        <v>113</v>
      </c>
      <c r="M3991">
        <v>14</v>
      </c>
      <c r="N3991" t="s">
        <v>87</v>
      </c>
      <c r="O3991" t="s">
        <v>81</v>
      </c>
      <c r="P3991" t="s">
        <v>18</v>
      </c>
      <c r="Q3991" t="s">
        <v>19</v>
      </c>
      <c r="R3991" t="s">
        <v>138</v>
      </c>
      <c r="S3991" t="s">
        <v>144</v>
      </c>
      <c r="T3991" s="2">
        <f>MASTER[[#This Row],[CANTIDAD]]*MASTER[[#This Row],[PRECIO DE VENTA]]</f>
        <v>1621</v>
      </c>
      <c r="U3991" s="2">
        <f>MASTER[[#This Row],[CANTIDAD]]*MASTER[[#This Row],[COSTO UNITARIO]]</f>
        <v>434</v>
      </c>
      <c r="V3991" s="2">
        <f>MASTER[[#This Row],[MONTO VENDIDO]]-MASTER[[#This Row],[COSTO DE VENTA]]</f>
        <v>1187</v>
      </c>
    </row>
    <row r="3992" spans="1:22" x14ac:dyDescent="0.3">
      <c r="A3992">
        <v>60327</v>
      </c>
      <c r="B3992">
        <v>1</v>
      </c>
      <c r="C3992" t="s">
        <v>118</v>
      </c>
      <c r="D3992" t="s">
        <v>119</v>
      </c>
      <c r="E3992" s="1">
        <v>44283</v>
      </c>
      <c r="F3992">
        <v>1</v>
      </c>
      <c r="G3992" t="s">
        <v>73</v>
      </c>
      <c r="H3992" t="s">
        <v>74</v>
      </c>
      <c r="I3992" s="3">
        <v>900</v>
      </c>
      <c r="J3992" s="3">
        <v>900</v>
      </c>
      <c r="K3992" s="3">
        <v>424</v>
      </c>
      <c r="L3992" t="s">
        <v>120</v>
      </c>
      <c r="M3992">
        <v>5</v>
      </c>
      <c r="N3992" t="s">
        <v>85</v>
      </c>
      <c r="O3992" t="s">
        <v>81</v>
      </c>
      <c r="P3992" t="s">
        <v>12</v>
      </c>
      <c r="Q3992" t="s">
        <v>13</v>
      </c>
      <c r="R3992" t="s">
        <v>13</v>
      </c>
      <c r="S3992" t="s">
        <v>144</v>
      </c>
      <c r="T3992" s="2">
        <f>MASTER[[#This Row],[CANTIDAD]]*MASTER[[#This Row],[PRECIO DE VENTA]]</f>
        <v>900</v>
      </c>
      <c r="U3992" s="2">
        <f>MASTER[[#This Row],[CANTIDAD]]*MASTER[[#This Row],[COSTO UNITARIO]]</f>
        <v>424</v>
      </c>
      <c r="V3992" s="2">
        <f>MASTER[[#This Row],[MONTO VENDIDO]]-MASTER[[#This Row],[COSTO DE VENTA]]</f>
        <v>476</v>
      </c>
    </row>
    <row r="3993" spans="1:22" x14ac:dyDescent="0.3">
      <c r="A3993">
        <v>60331</v>
      </c>
      <c r="B3993">
        <v>1</v>
      </c>
      <c r="C3993" t="s">
        <v>5</v>
      </c>
      <c r="D3993" t="s">
        <v>6</v>
      </c>
      <c r="E3993" s="1">
        <v>44283</v>
      </c>
      <c r="F3993">
        <v>1</v>
      </c>
      <c r="G3993" t="s">
        <v>41</v>
      </c>
      <c r="H3993" t="s">
        <v>42</v>
      </c>
      <c r="I3993" s="3">
        <v>1311</v>
      </c>
      <c r="J3993" s="3">
        <v>1258</v>
      </c>
      <c r="K3993" s="3">
        <v>393</v>
      </c>
      <c r="L3993" t="s">
        <v>9</v>
      </c>
      <c r="M3993">
        <v>11</v>
      </c>
      <c r="N3993" t="s">
        <v>10</v>
      </c>
      <c r="O3993" t="s">
        <v>11</v>
      </c>
      <c r="P3993" t="s">
        <v>12</v>
      </c>
      <c r="Q3993" t="s">
        <v>13</v>
      </c>
      <c r="R3993" t="s">
        <v>13</v>
      </c>
      <c r="S3993" t="s">
        <v>144</v>
      </c>
      <c r="T3993" s="2">
        <f>MASTER[[#This Row],[CANTIDAD]]*MASTER[[#This Row],[PRECIO DE VENTA]]</f>
        <v>1258</v>
      </c>
      <c r="U3993" s="2">
        <f>MASTER[[#This Row],[CANTIDAD]]*MASTER[[#This Row],[COSTO UNITARIO]]</f>
        <v>393</v>
      </c>
      <c r="V3993" s="2">
        <f>MASTER[[#This Row],[MONTO VENDIDO]]-MASTER[[#This Row],[COSTO DE VENTA]]</f>
        <v>865</v>
      </c>
    </row>
    <row r="3994" spans="1:22" x14ac:dyDescent="0.3">
      <c r="A3994">
        <v>60339</v>
      </c>
      <c r="B3994">
        <v>1</v>
      </c>
      <c r="C3994" t="s">
        <v>99</v>
      </c>
      <c r="D3994" t="s">
        <v>100</v>
      </c>
      <c r="E3994" s="1">
        <v>44283</v>
      </c>
      <c r="F3994">
        <v>1</v>
      </c>
      <c r="G3994" t="s">
        <v>59</v>
      </c>
      <c r="H3994" t="s">
        <v>60</v>
      </c>
      <c r="I3994" s="3">
        <v>1459</v>
      </c>
      <c r="J3994" s="3">
        <v>1459</v>
      </c>
      <c r="K3994" s="3">
        <v>386</v>
      </c>
      <c r="L3994" t="s">
        <v>98</v>
      </c>
      <c r="M3994">
        <v>15</v>
      </c>
      <c r="N3994" t="s">
        <v>88</v>
      </c>
      <c r="O3994" t="s">
        <v>81</v>
      </c>
      <c r="P3994" t="s">
        <v>18</v>
      </c>
      <c r="Q3994" t="s">
        <v>19</v>
      </c>
      <c r="R3994" t="s">
        <v>138</v>
      </c>
      <c r="S3994" t="s">
        <v>144</v>
      </c>
      <c r="T3994" s="2">
        <f>MASTER[[#This Row],[CANTIDAD]]*MASTER[[#This Row],[PRECIO DE VENTA]]</f>
        <v>1459</v>
      </c>
      <c r="U3994" s="2">
        <f>MASTER[[#This Row],[CANTIDAD]]*MASTER[[#This Row],[COSTO UNITARIO]]</f>
        <v>386</v>
      </c>
      <c r="V3994" s="2">
        <f>MASTER[[#This Row],[MONTO VENDIDO]]-MASTER[[#This Row],[COSTO DE VENTA]]</f>
        <v>1073</v>
      </c>
    </row>
    <row r="3995" spans="1:22" x14ac:dyDescent="0.3">
      <c r="A3995">
        <v>60365</v>
      </c>
      <c r="B3995">
        <v>1</v>
      </c>
      <c r="C3995" t="s">
        <v>101</v>
      </c>
      <c r="D3995" t="s">
        <v>102</v>
      </c>
      <c r="E3995" s="1">
        <v>44283</v>
      </c>
      <c r="F3995">
        <v>1</v>
      </c>
      <c r="G3995" t="s">
        <v>7</v>
      </c>
      <c r="H3995" t="s">
        <v>8</v>
      </c>
      <c r="I3995" s="3">
        <v>1212</v>
      </c>
      <c r="J3995" s="3">
        <v>1212</v>
      </c>
      <c r="K3995" s="3">
        <v>442</v>
      </c>
      <c r="L3995" t="s">
        <v>98</v>
      </c>
      <c r="M3995">
        <v>7</v>
      </c>
      <c r="N3995" t="s">
        <v>84</v>
      </c>
      <c r="O3995" t="s">
        <v>81</v>
      </c>
      <c r="P3995" t="s">
        <v>12</v>
      </c>
      <c r="Q3995" t="s">
        <v>13</v>
      </c>
      <c r="R3995" t="s">
        <v>13</v>
      </c>
      <c r="S3995" t="s">
        <v>144</v>
      </c>
      <c r="T3995" s="2">
        <f>MASTER[[#This Row],[CANTIDAD]]*MASTER[[#This Row],[PRECIO DE VENTA]]</f>
        <v>1212</v>
      </c>
      <c r="U3995" s="2">
        <f>MASTER[[#This Row],[CANTIDAD]]*MASTER[[#This Row],[COSTO UNITARIO]]</f>
        <v>442</v>
      </c>
      <c r="V3995" s="2">
        <f>MASTER[[#This Row],[MONTO VENDIDO]]-MASTER[[#This Row],[COSTO DE VENTA]]</f>
        <v>770</v>
      </c>
    </row>
    <row r="3996" spans="1:22" x14ac:dyDescent="0.3">
      <c r="A3996">
        <v>60382</v>
      </c>
      <c r="B3996">
        <v>1</v>
      </c>
      <c r="C3996" t="s">
        <v>105</v>
      </c>
      <c r="D3996" t="s">
        <v>106</v>
      </c>
      <c r="E3996" s="1">
        <v>44284</v>
      </c>
      <c r="F3996">
        <v>1</v>
      </c>
      <c r="G3996" t="s">
        <v>73</v>
      </c>
      <c r="H3996" t="s">
        <v>74</v>
      </c>
      <c r="I3996" s="3">
        <v>1585</v>
      </c>
      <c r="J3996" s="3">
        <v>1585</v>
      </c>
      <c r="K3996" s="3">
        <v>459</v>
      </c>
      <c r="L3996" t="s">
        <v>98</v>
      </c>
      <c r="M3996">
        <v>12</v>
      </c>
      <c r="N3996" t="s">
        <v>26</v>
      </c>
      <c r="O3996" t="s">
        <v>11</v>
      </c>
      <c r="P3996" t="s">
        <v>12</v>
      </c>
      <c r="Q3996" t="s">
        <v>13</v>
      </c>
      <c r="R3996" t="s">
        <v>13</v>
      </c>
      <c r="S3996" t="s">
        <v>144</v>
      </c>
      <c r="T3996" s="2">
        <f>MASTER[[#This Row],[CANTIDAD]]*MASTER[[#This Row],[PRECIO DE VENTA]]</f>
        <v>1585</v>
      </c>
      <c r="U3996" s="2">
        <f>MASTER[[#This Row],[CANTIDAD]]*MASTER[[#This Row],[COSTO UNITARIO]]</f>
        <v>459</v>
      </c>
      <c r="V3996" s="2">
        <f>MASTER[[#This Row],[MONTO VENDIDO]]-MASTER[[#This Row],[COSTO DE VENTA]]</f>
        <v>1126</v>
      </c>
    </row>
    <row r="3997" spans="1:22" x14ac:dyDescent="0.3">
      <c r="A3997">
        <v>60394</v>
      </c>
      <c r="B3997">
        <v>1</v>
      </c>
      <c r="C3997" t="s">
        <v>114</v>
      </c>
      <c r="D3997" t="s">
        <v>115</v>
      </c>
      <c r="E3997" s="1">
        <v>44284</v>
      </c>
      <c r="F3997">
        <v>1</v>
      </c>
      <c r="G3997" t="s">
        <v>24</v>
      </c>
      <c r="H3997" t="s">
        <v>25</v>
      </c>
      <c r="I3997" s="3">
        <v>1862</v>
      </c>
      <c r="J3997" s="3">
        <v>1862</v>
      </c>
      <c r="K3997" s="3">
        <v>394</v>
      </c>
      <c r="L3997" t="s">
        <v>113</v>
      </c>
      <c r="M3997">
        <v>4</v>
      </c>
      <c r="N3997" t="s">
        <v>82</v>
      </c>
      <c r="O3997" t="s">
        <v>81</v>
      </c>
      <c r="P3997" t="s">
        <v>71</v>
      </c>
      <c r="Q3997" t="s">
        <v>72</v>
      </c>
      <c r="R3997" t="s">
        <v>139</v>
      </c>
      <c r="S3997" t="s">
        <v>144</v>
      </c>
      <c r="T3997" s="2">
        <f>MASTER[[#This Row],[CANTIDAD]]*MASTER[[#This Row],[PRECIO DE VENTA]]</f>
        <v>1862</v>
      </c>
      <c r="U3997" s="2">
        <f>MASTER[[#This Row],[CANTIDAD]]*MASTER[[#This Row],[COSTO UNITARIO]]</f>
        <v>394</v>
      </c>
      <c r="V3997" s="2">
        <f>MASTER[[#This Row],[MONTO VENDIDO]]-MASTER[[#This Row],[COSTO DE VENTA]]</f>
        <v>1468</v>
      </c>
    </row>
    <row r="3998" spans="1:22" x14ac:dyDescent="0.3">
      <c r="A3998">
        <v>60408</v>
      </c>
      <c r="B3998">
        <v>1</v>
      </c>
      <c r="C3998" t="s">
        <v>90</v>
      </c>
      <c r="D3998" t="s">
        <v>91</v>
      </c>
      <c r="E3998" s="1">
        <v>44284</v>
      </c>
      <c r="F3998">
        <v>1</v>
      </c>
      <c r="G3998" t="s">
        <v>73</v>
      </c>
      <c r="H3998" t="s">
        <v>74</v>
      </c>
      <c r="I3998" s="3">
        <v>1844</v>
      </c>
      <c r="J3998" s="3">
        <v>1844</v>
      </c>
      <c r="K3998" s="3">
        <v>420</v>
      </c>
      <c r="L3998" t="s">
        <v>9</v>
      </c>
      <c r="M3998">
        <v>4</v>
      </c>
      <c r="N3998" t="s">
        <v>82</v>
      </c>
      <c r="O3998" t="s">
        <v>81</v>
      </c>
      <c r="P3998" t="s">
        <v>71</v>
      </c>
      <c r="Q3998" t="s">
        <v>72</v>
      </c>
      <c r="R3998" t="s">
        <v>139</v>
      </c>
      <c r="S3998" t="s">
        <v>144</v>
      </c>
      <c r="T3998" s="2">
        <f>MASTER[[#This Row],[CANTIDAD]]*MASTER[[#This Row],[PRECIO DE VENTA]]</f>
        <v>1844</v>
      </c>
      <c r="U3998" s="2">
        <f>MASTER[[#This Row],[CANTIDAD]]*MASTER[[#This Row],[COSTO UNITARIO]]</f>
        <v>420</v>
      </c>
      <c r="V3998" s="2">
        <f>MASTER[[#This Row],[MONTO VENDIDO]]-MASTER[[#This Row],[COSTO DE VENTA]]</f>
        <v>1424</v>
      </c>
    </row>
    <row r="3999" spans="1:22" x14ac:dyDescent="0.3">
      <c r="A3999">
        <v>60414</v>
      </c>
      <c r="B3999">
        <v>2</v>
      </c>
      <c r="C3999" t="s">
        <v>5</v>
      </c>
      <c r="D3999" t="s">
        <v>6</v>
      </c>
      <c r="E3999" s="1">
        <v>44284</v>
      </c>
      <c r="F3999">
        <v>1</v>
      </c>
      <c r="G3999" t="s">
        <v>43</v>
      </c>
      <c r="H3999" t="s">
        <v>44</v>
      </c>
      <c r="I3999" s="3">
        <v>1296</v>
      </c>
      <c r="J3999" s="3">
        <v>1296</v>
      </c>
      <c r="K3999" s="3">
        <v>393</v>
      </c>
      <c r="L3999" t="s">
        <v>9</v>
      </c>
      <c r="M3999">
        <v>18</v>
      </c>
      <c r="N3999" t="s">
        <v>79</v>
      </c>
      <c r="O3999" t="s">
        <v>70</v>
      </c>
      <c r="P3999" t="s">
        <v>15</v>
      </c>
      <c r="Q3999" t="s">
        <v>16</v>
      </c>
      <c r="R3999" t="s">
        <v>16</v>
      </c>
      <c r="S3999" t="s">
        <v>144</v>
      </c>
      <c r="T3999" s="2">
        <f>MASTER[[#This Row],[CANTIDAD]]*MASTER[[#This Row],[PRECIO DE VENTA]]</f>
        <v>1296</v>
      </c>
      <c r="U3999" s="2">
        <f>MASTER[[#This Row],[CANTIDAD]]*MASTER[[#This Row],[COSTO UNITARIO]]</f>
        <v>393</v>
      </c>
      <c r="V3999" s="2">
        <f>MASTER[[#This Row],[MONTO VENDIDO]]-MASTER[[#This Row],[COSTO DE VENTA]]</f>
        <v>903</v>
      </c>
    </row>
    <row r="4000" spans="1:22" x14ac:dyDescent="0.3">
      <c r="A4000">
        <v>60414</v>
      </c>
      <c r="B4000">
        <v>1</v>
      </c>
      <c r="C4000" t="s">
        <v>105</v>
      </c>
      <c r="D4000" t="s">
        <v>106</v>
      </c>
      <c r="E4000" s="1">
        <v>44284</v>
      </c>
      <c r="F4000">
        <v>1</v>
      </c>
      <c r="G4000" t="s">
        <v>47</v>
      </c>
      <c r="H4000" t="s">
        <v>48</v>
      </c>
      <c r="I4000" s="3">
        <v>2033</v>
      </c>
      <c r="J4000" s="3">
        <v>2033</v>
      </c>
      <c r="K4000" s="3">
        <v>459</v>
      </c>
      <c r="L4000" t="s">
        <v>98</v>
      </c>
      <c r="M4000">
        <v>18</v>
      </c>
      <c r="N4000" t="s">
        <v>79</v>
      </c>
      <c r="O4000" t="s">
        <v>70</v>
      </c>
      <c r="P4000" t="s">
        <v>15</v>
      </c>
      <c r="Q4000" t="s">
        <v>16</v>
      </c>
      <c r="R4000" t="s">
        <v>16</v>
      </c>
      <c r="S4000" t="s">
        <v>144</v>
      </c>
      <c r="T4000" s="2">
        <f>MASTER[[#This Row],[CANTIDAD]]*MASTER[[#This Row],[PRECIO DE VENTA]]</f>
        <v>2033</v>
      </c>
      <c r="U4000" s="2">
        <f>MASTER[[#This Row],[CANTIDAD]]*MASTER[[#This Row],[COSTO UNITARIO]]</f>
        <v>459</v>
      </c>
      <c r="V4000" s="2">
        <f>MASTER[[#This Row],[MONTO VENDIDO]]-MASTER[[#This Row],[COSTO DE VENTA]]</f>
        <v>1574</v>
      </c>
    </row>
    <row r="4001" spans="1:22" x14ac:dyDescent="0.3">
      <c r="A4001">
        <v>60433</v>
      </c>
      <c r="B4001">
        <v>1</v>
      </c>
      <c r="C4001" t="s">
        <v>103</v>
      </c>
      <c r="D4001" t="s">
        <v>104</v>
      </c>
      <c r="E4001" s="1">
        <v>44284</v>
      </c>
      <c r="F4001">
        <v>1</v>
      </c>
      <c r="G4001" t="s">
        <v>43</v>
      </c>
      <c r="H4001" t="s">
        <v>44</v>
      </c>
      <c r="I4001" s="3">
        <v>1591</v>
      </c>
      <c r="J4001" s="3">
        <v>1591</v>
      </c>
      <c r="K4001" s="3">
        <v>421</v>
      </c>
      <c r="L4001" t="s">
        <v>98</v>
      </c>
      <c r="M4001">
        <v>15</v>
      </c>
      <c r="N4001" t="s">
        <v>88</v>
      </c>
      <c r="O4001" t="s">
        <v>81</v>
      </c>
      <c r="P4001" t="s">
        <v>18</v>
      </c>
      <c r="Q4001" t="s">
        <v>19</v>
      </c>
      <c r="R4001" t="s">
        <v>138</v>
      </c>
      <c r="S4001" t="s">
        <v>144</v>
      </c>
      <c r="T4001" s="2">
        <f>MASTER[[#This Row],[CANTIDAD]]*MASTER[[#This Row],[PRECIO DE VENTA]]</f>
        <v>1591</v>
      </c>
      <c r="U4001" s="2">
        <f>MASTER[[#This Row],[CANTIDAD]]*MASTER[[#This Row],[COSTO UNITARIO]]</f>
        <v>421</v>
      </c>
      <c r="V4001" s="2">
        <f>MASTER[[#This Row],[MONTO VENDIDO]]-MASTER[[#This Row],[COSTO DE VENTA]]</f>
        <v>1170</v>
      </c>
    </row>
    <row r="4002" spans="1:22" x14ac:dyDescent="0.3">
      <c r="A4002">
        <v>60438</v>
      </c>
      <c r="B4002">
        <v>1</v>
      </c>
      <c r="C4002" t="s">
        <v>107</v>
      </c>
      <c r="D4002" t="s">
        <v>108</v>
      </c>
      <c r="E4002" s="1">
        <v>44284</v>
      </c>
      <c r="F4002">
        <v>1</v>
      </c>
      <c r="G4002" t="s">
        <v>65</v>
      </c>
      <c r="H4002" t="s">
        <v>66</v>
      </c>
      <c r="I4002" s="3">
        <v>1240</v>
      </c>
      <c r="J4002" s="3">
        <v>1240</v>
      </c>
      <c r="K4002" s="3">
        <v>380</v>
      </c>
      <c r="L4002" t="s">
        <v>98</v>
      </c>
      <c r="M4002">
        <v>11</v>
      </c>
      <c r="N4002" t="s">
        <v>10</v>
      </c>
      <c r="O4002" t="s">
        <v>11</v>
      </c>
      <c r="P4002" t="s">
        <v>12</v>
      </c>
      <c r="Q4002" t="s">
        <v>13</v>
      </c>
      <c r="R4002" t="s">
        <v>13</v>
      </c>
      <c r="S4002" t="s">
        <v>144</v>
      </c>
      <c r="T4002" s="2">
        <f>MASTER[[#This Row],[CANTIDAD]]*MASTER[[#This Row],[PRECIO DE VENTA]]</f>
        <v>1240</v>
      </c>
      <c r="U4002" s="2">
        <f>MASTER[[#This Row],[CANTIDAD]]*MASTER[[#This Row],[COSTO UNITARIO]]</f>
        <v>380</v>
      </c>
      <c r="V4002" s="2">
        <f>MASTER[[#This Row],[MONTO VENDIDO]]-MASTER[[#This Row],[COSTO DE VENTA]]</f>
        <v>860</v>
      </c>
    </row>
    <row r="4003" spans="1:22" x14ac:dyDescent="0.3">
      <c r="A4003">
        <v>60440</v>
      </c>
      <c r="B4003">
        <v>1</v>
      </c>
      <c r="C4003" t="s">
        <v>107</v>
      </c>
      <c r="D4003" t="s">
        <v>108</v>
      </c>
      <c r="E4003" s="1">
        <v>44284</v>
      </c>
      <c r="F4003">
        <v>1</v>
      </c>
      <c r="G4003" t="s">
        <v>27</v>
      </c>
      <c r="H4003" t="s">
        <v>28</v>
      </c>
      <c r="I4003" s="3">
        <v>1333</v>
      </c>
      <c r="J4003" s="3">
        <v>1333</v>
      </c>
      <c r="K4003" s="3">
        <v>380</v>
      </c>
      <c r="L4003" t="s">
        <v>98</v>
      </c>
      <c r="M4003">
        <v>2</v>
      </c>
      <c r="N4003" t="s">
        <v>86</v>
      </c>
      <c r="O4003" t="s">
        <v>81</v>
      </c>
      <c r="P4003" t="s">
        <v>71</v>
      </c>
      <c r="Q4003" t="s">
        <v>72</v>
      </c>
      <c r="R4003" t="s">
        <v>139</v>
      </c>
      <c r="S4003" t="s">
        <v>144</v>
      </c>
      <c r="T4003" s="2">
        <f>MASTER[[#This Row],[CANTIDAD]]*MASTER[[#This Row],[PRECIO DE VENTA]]</f>
        <v>1333</v>
      </c>
      <c r="U4003" s="2">
        <f>MASTER[[#This Row],[CANTIDAD]]*MASTER[[#This Row],[COSTO UNITARIO]]</f>
        <v>380</v>
      </c>
      <c r="V4003" s="2">
        <f>MASTER[[#This Row],[MONTO VENDIDO]]-MASTER[[#This Row],[COSTO DE VENTA]]</f>
        <v>953</v>
      </c>
    </row>
    <row r="4004" spans="1:22" x14ac:dyDescent="0.3">
      <c r="A4004">
        <v>60445</v>
      </c>
      <c r="B4004">
        <v>1</v>
      </c>
      <c r="C4004" t="s">
        <v>114</v>
      </c>
      <c r="D4004" t="s">
        <v>115</v>
      </c>
      <c r="E4004" s="1">
        <v>44284</v>
      </c>
      <c r="F4004">
        <v>1</v>
      </c>
      <c r="G4004" t="s">
        <v>49</v>
      </c>
      <c r="H4004" t="s">
        <v>50</v>
      </c>
      <c r="I4004" s="3">
        <v>1583</v>
      </c>
      <c r="J4004" s="3">
        <v>1583</v>
      </c>
      <c r="K4004" s="3">
        <v>394</v>
      </c>
      <c r="L4004" t="s">
        <v>113</v>
      </c>
      <c r="M4004">
        <v>12</v>
      </c>
      <c r="N4004" t="s">
        <v>26</v>
      </c>
      <c r="O4004" t="s">
        <v>11</v>
      </c>
      <c r="P4004" t="s">
        <v>12</v>
      </c>
      <c r="Q4004" t="s">
        <v>13</v>
      </c>
      <c r="R4004" t="s">
        <v>13</v>
      </c>
      <c r="S4004" t="s">
        <v>144</v>
      </c>
      <c r="T4004" s="2">
        <f>MASTER[[#This Row],[CANTIDAD]]*MASTER[[#This Row],[PRECIO DE VENTA]]</f>
        <v>1583</v>
      </c>
      <c r="U4004" s="2">
        <f>MASTER[[#This Row],[CANTIDAD]]*MASTER[[#This Row],[COSTO UNITARIO]]</f>
        <v>394</v>
      </c>
      <c r="V4004" s="2">
        <f>MASTER[[#This Row],[MONTO VENDIDO]]-MASTER[[#This Row],[COSTO DE VENTA]]</f>
        <v>1189</v>
      </c>
    </row>
    <row r="4005" spans="1:22" x14ac:dyDescent="0.3">
      <c r="A4005">
        <v>60461</v>
      </c>
      <c r="B4005">
        <v>1</v>
      </c>
      <c r="C4005" t="s">
        <v>114</v>
      </c>
      <c r="D4005" t="s">
        <v>115</v>
      </c>
      <c r="E4005" s="1">
        <v>44285</v>
      </c>
      <c r="F4005">
        <v>1</v>
      </c>
      <c r="G4005" t="s">
        <v>59</v>
      </c>
      <c r="H4005" t="s">
        <v>60</v>
      </c>
      <c r="I4005" s="3">
        <v>1862</v>
      </c>
      <c r="J4005" s="3">
        <v>1787</v>
      </c>
      <c r="K4005" s="3">
        <v>394</v>
      </c>
      <c r="L4005" t="s">
        <v>113</v>
      </c>
      <c r="M4005">
        <v>5</v>
      </c>
      <c r="N4005" t="s">
        <v>85</v>
      </c>
      <c r="O4005" t="s">
        <v>81</v>
      </c>
      <c r="P4005" t="s">
        <v>12</v>
      </c>
      <c r="Q4005" t="s">
        <v>13</v>
      </c>
      <c r="R4005" t="s">
        <v>13</v>
      </c>
      <c r="S4005" t="s">
        <v>144</v>
      </c>
      <c r="T4005" s="2">
        <f>MASTER[[#This Row],[CANTIDAD]]*MASTER[[#This Row],[PRECIO DE VENTA]]</f>
        <v>1787</v>
      </c>
      <c r="U4005" s="2">
        <f>MASTER[[#This Row],[CANTIDAD]]*MASTER[[#This Row],[COSTO UNITARIO]]</f>
        <v>394</v>
      </c>
      <c r="V4005" s="2">
        <f>MASTER[[#This Row],[MONTO VENDIDO]]-MASTER[[#This Row],[COSTO DE VENTA]]</f>
        <v>1393</v>
      </c>
    </row>
    <row r="4006" spans="1:22" x14ac:dyDescent="0.3">
      <c r="A4006">
        <v>60475</v>
      </c>
      <c r="B4006">
        <v>1</v>
      </c>
      <c r="C4006" t="s">
        <v>118</v>
      </c>
      <c r="D4006" t="s">
        <v>119</v>
      </c>
      <c r="E4006" s="1">
        <v>44285</v>
      </c>
      <c r="F4006">
        <v>1</v>
      </c>
      <c r="G4006" t="s">
        <v>59</v>
      </c>
      <c r="H4006" t="s">
        <v>60</v>
      </c>
      <c r="I4006" s="3">
        <v>900</v>
      </c>
      <c r="J4006" s="3">
        <v>900</v>
      </c>
      <c r="K4006" s="3">
        <v>424</v>
      </c>
      <c r="L4006" t="s">
        <v>120</v>
      </c>
      <c r="M4006">
        <v>15</v>
      </c>
      <c r="N4006" t="s">
        <v>88</v>
      </c>
      <c r="O4006" t="s">
        <v>81</v>
      </c>
      <c r="P4006" t="s">
        <v>18</v>
      </c>
      <c r="Q4006" t="s">
        <v>19</v>
      </c>
      <c r="R4006" t="s">
        <v>138</v>
      </c>
      <c r="S4006" t="s">
        <v>144</v>
      </c>
      <c r="T4006" s="2">
        <f>MASTER[[#This Row],[CANTIDAD]]*MASTER[[#This Row],[PRECIO DE VENTA]]</f>
        <v>900</v>
      </c>
      <c r="U4006" s="2">
        <f>MASTER[[#This Row],[CANTIDAD]]*MASTER[[#This Row],[COSTO UNITARIO]]</f>
        <v>424</v>
      </c>
      <c r="V4006" s="2">
        <f>MASTER[[#This Row],[MONTO VENDIDO]]-MASTER[[#This Row],[COSTO DE VENTA]]</f>
        <v>476</v>
      </c>
    </row>
    <row r="4007" spans="1:22" x14ac:dyDescent="0.3">
      <c r="A4007">
        <v>60519</v>
      </c>
      <c r="B4007">
        <v>1</v>
      </c>
      <c r="C4007" t="s">
        <v>118</v>
      </c>
      <c r="D4007" t="s">
        <v>119</v>
      </c>
      <c r="E4007" s="1">
        <v>44285</v>
      </c>
      <c r="F4007">
        <v>1</v>
      </c>
      <c r="G4007" t="s">
        <v>49</v>
      </c>
      <c r="H4007" t="s">
        <v>50</v>
      </c>
      <c r="I4007" s="3">
        <v>1026</v>
      </c>
      <c r="J4007" s="3">
        <v>943</v>
      </c>
      <c r="K4007" s="3">
        <v>424</v>
      </c>
      <c r="L4007" t="s">
        <v>120</v>
      </c>
      <c r="M4007">
        <v>18</v>
      </c>
      <c r="N4007" t="s">
        <v>79</v>
      </c>
      <c r="O4007" t="s">
        <v>70</v>
      </c>
      <c r="P4007" t="s">
        <v>15</v>
      </c>
      <c r="Q4007" t="s">
        <v>16</v>
      </c>
      <c r="R4007" t="s">
        <v>16</v>
      </c>
      <c r="S4007" t="s">
        <v>144</v>
      </c>
      <c r="T4007" s="2">
        <f>MASTER[[#This Row],[CANTIDAD]]*MASTER[[#This Row],[PRECIO DE VENTA]]</f>
        <v>943</v>
      </c>
      <c r="U4007" s="2">
        <f>MASTER[[#This Row],[CANTIDAD]]*MASTER[[#This Row],[COSTO UNITARIO]]</f>
        <v>424</v>
      </c>
      <c r="V4007" s="2">
        <f>MASTER[[#This Row],[MONTO VENDIDO]]-MASTER[[#This Row],[COSTO DE VENTA]]</f>
        <v>519</v>
      </c>
    </row>
    <row r="4008" spans="1:22" x14ac:dyDescent="0.3">
      <c r="A4008">
        <v>60529</v>
      </c>
      <c r="B4008">
        <v>1</v>
      </c>
      <c r="C4008" t="s">
        <v>118</v>
      </c>
      <c r="D4008" t="s">
        <v>119</v>
      </c>
      <c r="E4008" s="1">
        <v>44285</v>
      </c>
      <c r="F4008">
        <v>1</v>
      </c>
      <c r="G4008" t="s">
        <v>65</v>
      </c>
      <c r="H4008" t="s">
        <v>66</v>
      </c>
      <c r="I4008" s="3">
        <v>900</v>
      </c>
      <c r="J4008" s="3">
        <v>900</v>
      </c>
      <c r="K4008" s="3">
        <v>424</v>
      </c>
      <c r="L4008" t="s">
        <v>120</v>
      </c>
      <c r="M4008">
        <v>4</v>
      </c>
      <c r="N4008" t="s">
        <v>82</v>
      </c>
      <c r="O4008" t="s">
        <v>81</v>
      </c>
      <c r="P4008" t="s">
        <v>71</v>
      </c>
      <c r="Q4008" t="s">
        <v>72</v>
      </c>
      <c r="R4008" t="s">
        <v>139</v>
      </c>
      <c r="S4008" t="s">
        <v>144</v>
      </c>
      <c r="T4008" s="2">
        <f>MASTER[[#This Row],[CANTIDAD]]*MASTER[[#This Row],[PRECIO DE VENTA]]</f>
        <v>900</v>
      </c>
      <c r="U4008" s="2">
        <f>MASTER[[#This Row],[CANTIDAD]]*MASTER[[#This Row],[COSTO UNITARIO]]</f>
        <v>424</v>
      </c>
      <c r="V4008" s="2">
        <f>MASTER[[#This Row],[MONTO VENDIDO]]-MASTER[[#This Row],[COSTO DE VENTA]]</f>
        <v>476</v>
      </c>
    </row>
    <row r="4009" spans="1:22" x14ac:dyDescent="0.3">
      <c r="A4009">
        <v>60553</v>
      </c>
      <c r="B4009">
        <v>1</v>
      </c>
      <c r="C4009" t="s">
        <v>109</v>
      </c>
      <c r="D4009" t="s">
        <v>110</v>
      </c>
      <c r="E4009" s="1">
        <v>44286</v>
      </c>
      <c r="F4009">
        <v>1</v>
      </c>
      <c r="G4009" t="s">
        <v>27</v>
      </c>
      <c r="H4009" t="s">
        <v>28</v>
      </c>
      <c r="I4009" s="3">
        <v>1064</v>
      </c>
      <c r="J4009" s="3">
        <v>1064</v>
      </c>
      <c r="K4009" s="3">
        <v>387</v>
      </c>
      <c r="L4009" t="s">
        <v>98</v>
      </c>
      <c r="M4009">
        <v>8</v>
      </c>
      <c r="N4009" t="s">
        <v>80</v>
      </c>
      <c r="O4009" t="s">
        <v>81</v>
      </c>
      <c r="P4009" t="s">
        <v>12</v>
      </c>
      <c r="Q4009" t="s">
        <v>13</v>
      </c>
      <c r="R4009" t="s">
        <v>13</v>
      </c>
      <c r="S4009" t="s">
        <v>144</v>
      </c>
      <c r="T4009" s="2">
        <f>MASTER[[#This Row],[CANTIDAD]]*MASTER[[#This Row],[PRECIO DE VENTA]]</f>
        <v>1064</v>
      </c>
      <c r="U4009" s="2">
        <f>MASTER[[#This Row],[CANTIDAD]]*MASTER[[#This Row],[COSTO UNITARIO]]</f>
        <v>387</v>
      </c>
      <c r="V4009" s="2">
        <f>MASTER[[#This Row],[MONTO VENDIDO]]-MASTER[[#This Row],[COSTO DE VENTA]]</f>
        <v>677</v>
      </c>
    </row>
    <row r="4010" spans="1:22" x14ac:dyDescent="0.3">
      <c r="A4010">
        <v>60565</v>
      </c>
      <c r="B4010">
        <v>1</v>
      </c>
      <c r="C4010" t="s">
        <v>94</v>
      </c>
      <c r="D4010" t="s">
        <v>95</v>
      </c>
      <c r="E4010" s="1">
        <v>44286</v>
      </c>
      <c r="F4010">
        <v>1</v>
      </c>
      <c r="G4010" t="s">
        <v>27</v>
      </c>
      <c r="H4010" t="s">
        <v>28</v>
      </c>
      <c r="I4010" s="3">
        <v>1153</v>
      </c>
      <c r="J4010" s="3">
        <v>1153</v>
      </c>
      <c r="K4010" s="3">
        <v>392</v>
      </c>
      <c r="L4010" t="s">
        <v>9</v>
      </c>
      <c r="M4010">
        <v>1</v>
      </c>
      <c r="N4010" t="s">
        <v>77</v>
      </c>
      <c r="O4010" t="s">
        <v>70</v>
      </c>
      <c r="P4010" t="s">
        <v>71</v>
      </c>
      <c r="Q4010" t="s">
        <v>72</v>
      </c>
      <c r="R4010" t="s">
        <v>139</v>
      </c>
      <c r="S4010" t="s">
        <v>144</v>
      </c>
      <c r="T4010" s="2">
        <f>MASTER[[#This Row],[CANTIDAD]]*MASTER[[#This Row],[PRECIO DE VENTA]]</f>
        <v>1153</v>
      </c>
      <c r="U4010" s="2">
        <f>MASTER[[#This Row],[CANTIDAD]]*MASTER[[#This Row],[COSTO UNITARIO]]</f>
        <v>392</v>
      </c>
      <c r="V4010" s="2">
        <f>MASTER[[#This Row],[MONTO VENDIDO]]-MASTER[[#This Row],[COSTO DE VENTA]]</f>
        <v>761</v>
      </c>
    </row>
    <row r="4011" spans="1:22" x14ac:dyDescent="0.3">
      <c r="A4011">
        <v>60585</v>
      </c>
      <c r="B4011">
        <v>1</v>
      </c>
      <c r="C4011" t="s">
        <v>121</v>
      </c>
      <c r="D4011" t="s">
        <v>122</v>
      </c>
      <c r="E4011" s="1">
        <v>44286</v>
      </c>
      <c r="F4011">
        <v>1</v>
      </c>
      <c r="G4011" t="s">
        <v>65</v>
      </c>
      <c r="H4011" t="s">
        <v>66</v>
      </c>
      <c r="I4011" s="3">
        <v>1069</v>
      </c>
      <c r="J4011" s="3">
        <v>1069</v>
      </c>
      <c r="K4011" s="3">
        <v>460</v>
      </c>
      <c r="L4011" t="s">
        <v>120</v>
      </c>
      <c r="M4011">
        <v>14</v>
      </c>
      <c r="N4011" t="s">
        <v>87</v>
      </c>
      <c r="O4011" t="s">
        <v>81</v>
      </c>
      <c r="P4011" t="s">
        <v>18</v>
      </c>
      <c r="Q4011" t="s">
        <v>19</v>
      </c>
      <c r="R4011" t="s">
        <v>138</v>
      </c>
      <c r="S4011" t="s">
        <v>144</v>
      </c>
      <c r="T4011" s="2">
        <f>MASTER[[#This Row],[CANTIDAD]]*MASTER[[#This Row],[PRECIO DE VENTA]]</f>
        <v>1069</v>
      </c>
      <c r="U4011" s="2">
        <f>MASTER[[#This Row],[CANTIDAD]]*MASTER[[#This Row],[COSTO UNITARIO]]</f>
        <v>460</v>
      </c>
      <c r="V4011" s="2">
        <f>MASTER[[#This Row],[MONTO VENDIDO]]-MASTER[[#This Row],[COSTO DE VENTA]]</f>
        <v>609</v>
      </c>
    </row>
    <row r="4012" spans="1:22" x14ac:dyDescent="0.3">
      <c r="A4012">
        <v>60604</v>
      </c>
      <c r="B4012">
        <v>1</v>
      </c>
      <c r="C4012" t="s">
        <v>105</v>
      </c>
      <c r="D4012" t="s">
        <v>106</v>
      </c>
      <c r="E4012" s="1">
        <v>44286</v>
      </c>
      <c r="F4012">
        <v>1</v>
      </c>
      <c r="G4012" t="s">
        <v>61</v>
      </c>
      <c r="H4012" t="s">
        <v>62</v>
      </c>
      <c r="I4012" s="3">
        <v>1865</v>
      </c>
      <c r="J4012" s="3">
        <v>1865</v>
      </c>
      <c r="K4012" s="3">
        <v>459</v>
      </c>
      <c r="L4012" t="s">
        <v>98</v>
      </c>
      <c r="M4012">
        <v>14</v>
      </c>
      <c r="N4012" t="s">
        <v>87</v>
      </c>
      <c r="O4012" t="s">
        <v>81</v>
      </c>
      <c r="P4012" t="s">
        <v>18</v>
      </c>
      <c r="Q4012" t="s">
        <v>19</v>
      </c>
      <c r="R4012" t="s">
        <v>138</v>
      </c>
      <c r="S4012" t="s">
        <v>144</v>
      </c>
      <c r="T4012" s="2">
        <f>MASTER[[#This Row],[CANTIDAD]]*MASTER[[#This Row],[PRECIO DE VENTA]]</f>
        <v>1865</v>
      </c>
      <c r="U4012" s="2">
        <f>MASTER[[#This Row],[CANTIDAD]]*MASTER[[#This Row],[COSTO UNITARIO]]</f>
        <v>459</v>
      </c>
      <c r="V4012" s="2">
        <f>MASTER[[#This Row],[MONTO VENDIDO]]-MASTER[[#This Row],[COSTO DE VENTA]]</f>
        <v>1406</v>
      </c>
    </row>
    <row r="4013" spans="1:22" x14ac:dyDescent="0.3">
      <c r="A4013">
        <v>60618</v>
      </c>
      <c r="B4013">
        <v>1</v>
      </c>
      <c r="C4013" t="s">
        <v>103</v>
      </c>
      <c r="D4013" t="s">
        <v>104</v>
      </c>
      <c r="E4013" s="1">
        <v>44286</v>
      </c>
      <c r="F4013">
        <v>1</v>
      </c>
      <c r="G4013" t="s">
        <v>53</v>
      </c>
      <c r="H4013" t="s">
        <v>54</v>
      </c>
      <c r="I4013" s="3">
        <v>1591</v>
      </c>
      <c r="J4013" s="3">
        <v>1591</v>
      </c>
      <c r="K4013" s="3">
        <v>421</v>
      </c>
      <c r="L4013" t="s">
        <v>98</v>
      </c>
      <c r="M4013">
        <v>19</v>
      </c>
      <c r="N4013" t="s">
        <v>89</v>
      </c>
      <c r="O4013" t="s">
        <v>81</v>
      </c>
      <c r="P4013" t="s">
        <v>15</v>
      </c>
      <c r="Q4013" t="s">
        <v>16</v>
      </c>
      <c r="R4013" t="s">
        <v>16</v>
      </c>
      <c r="S4013" t="s">
        <v>144</v>
      </c>
      <c r="T4013" s="2">
        <f>MASTER[[#This Row],[CANTIDAD]]*MASTER[[#This Row],[PRECIO DE VENTA]]</f>
        <v>1591</v>
      </c>
      <c r="U4013" s="2">
        <f>MASTER[[#This Row],[CANTIDAD]]*MASTER[[#This Row],[COSTO UNITARIO]]</f>
        <v>421</v>
      </c>
      <c r="V4013" s="2">
        <f>MASTER[[#This Row],[MONTO VENDIDO]]-MASTER[[#This Row],[COSTO DE VENTA]]</f>
        <v>1170</v>
      </c>
    </row>
    <row r="4014" spans="1:22" x14ac:dyDescent="0.3">
      <c r="A4014">
        <v>60622</v>
      </c>
      <c r="B4014">
        <v>1</v>
      </c>
      <c r="C4014" t="s">
        <v>101</v>
      </c>
      <c r="D4014" t="s">
        <v>102</v>
      </c>
      <c r="E4014" s="1">
        <v>44286</v>
      </c>
      <c r="F4014">
        <v>1</v>
      </c>
      <c r="G4014" t="s">
        <v>53</v>
      </c>
      <c r="H4014" t="s">
        <v>54</v>
      </c>
      <c r="I4014" s="3">
        <v>1357</v>
      </c>
      <c r="J4014" s="3">
        <v>1357</v>
      </c>
      <c r="K4014" s="3">
        <v>442</v>
      </c>
      <c r="L4014" t="s">
        <v>98</v>
      </c>
      <c r="M4014">
        <v>9</v>
      </c>
      <c r="N4014" t="s">
        <v>76</v>
      </c>
      <c r="O4014" t="s">
        <v>70</v>
      </c>
      <c r="P4014" t="s">
        <v>12</v>
      </c>
      <c r="Q4014" t="s">
        <v>13</v>
      </c>
      <c r="R4014" t="s">
        <v>13</v>
      </c>
      <c r="S4014" t="s">
        <v>144</v>
      </c>
      <c r="T4014" s="2">
        <f>MASTER[[#This Row],[CANTIDAD]]*MASTER[[#This Row],[PRECIO DE VENTA]]</f>
        <v>1357</v>
      </c>
      <c r="U4014" s="2">
        <f>MASTER[[#This Row],[CANTIDAD]]*MASTER[[#This Row],[COSTO UNITARIO]]</f>
        <v>442</v>
      </c>
      <c r="V4014" s="2">
        <f>MASTER[[#This Row],[MONTO VENDIDO]]-MASTER[[#This Row],[COSTO DE VENTA]]</f>
        <v>915</v>
      </c>
    </row>
    <row r="4015" spans="1:22" x14ac:dyDescent="0.3">
      <c r="A4015">
        <v>60623</v>
      </c>
      <c r="B4015">
        <v>1</v>
      </c>
      <c r="C4015" t="s">
        <v>114</v>
      </c>
      <c r="D4015" t="s">
        <v>115</v>
      </c>
      <c r="E4015" s="1">
        <v>44286</v>
      </c>
      <c r="F4015">
        <v>1</v>
      </c>
      <c r="G4015" t="s">
        <v>61</v>
      </c>
      <c r="H4015" t="s">
        <v>62</v>
      </c>
      <c r="I4015" s="3">
        <v>1862</v>
      </c>
      <c r="J4015" s="3">
        <v>1862</v>
      </c>
      <c r="K4015" s="3">
        <v>394</v>
      </c>
      <c r="L4015" t="s">
        <v>113</v>
      </c>
      <c r="M4015">
        <v>10</v>
      </c>
      <c r="N4015" t="s">
        <v>83</v>
      </c>
      <c r="O4015" t="s">
        <v>81</v>
      </c>
      <c r="P4015" t="s">
        <v>12</v>
      </c>
      <c r="Q4015" t="s">
        <v>13</v>
      </c>
      <c r="R4015" t="s">
        <v>13</v>
      </c>
      <c r="S4015" t="s">
        <v>144</v>
      </c>
      <c r="T4015" s="2">
        <f>MASTER[[#This Row],[CANTIDAD]]*MASTER[[#This Row],[PRECIO DE VENTA]]</f>
        <v>1862</v>
      </c>
      <c r="U4015" s="2">
        <f>MASTER[[#This Row],[CANTIDAD]]*MASTER[[#This Row],[COSTO UNITARIO]]</f>
        <v>394</v>
      </c>
      <c r="V4015" s="2">
        <f>MASTER[[#This Row],[MONTO VENDIDO]]-MASTER[[#This Row],[COSTO DE VENTA]]</f>
        <v>1468</v>
      </c>
    </row>
    <row r="4016" spans="1:22" x14ac:dyDescent="0.3">
      <c r="A4016">
        <v>60626</v>
      </c>
      <c r="B4016">
        <v>1</v>
      </c>
      <c r="C4016" t="s">
        <v>118</v>
      </c>
      <c r="D4016" t="s">
        <v>119</v>
      </c>
      <c r="E4016" s="1">
        <v>44286</v>
      </c>
      <c r="F4016">
        <v>1</v>
      </c>
      <c r="G4016" t="s">
        <v>45</v>
      </c>
      <c r="H4016" t="s">
        <v>46</v>
      </c>
      <c r="I4016" s="3">
        <v>900</v>
      </c>
      <c r="J4016" s="3">
        <v>900</v>
      </c>
      <c r="K4016" s="3">
        <v>424</v>
      </c>
      <c r="L4016" t="s">
        <v>120</v>
      </c>
      <c r="M4016">
        <v>14</v>
      </c>
      <c r="N4016" t="s">
        <v>87</v>
      </c>
      <c r="O4016" t="s">
        <v>81</v>
      </c>
      <c r="P4016" t="s">
        <v>18</v>
      </c>
      <c r="Q4016" t="s">
        <v>19</v>
      </c>
      <c r="R4016" t="s">
        <v>138</v>
      </c>
      <c r="S4016" t="s">
        <v>144</v>
      </c>
      <c r="T4016" s="2">
        <f>MASTER[[#This Row],[CANTIDAD]]*MASTER[[#This Row],[PRECIO DE VENTA]]</f>
        <v>900</v>
      </c>
      <c r="U4016" s="2">
        <f>MASTER[[#This Row],[CANTIDAD]]*MASTER[[#This Row],[COSTO UNITARIO]]</f>
        <v>424</v>
      </c>
      <c r="V4016" s="2">
        <f>MASTER[[#This Row],[MONTO VENDIDO]]-MASTER[[#This Row],[COSTO DE VENTA]]</f>
        <v>476</v>
      </c>
    </row>
    <row r="4017" spans="1:22" x14ac:dyDescent="0.3">
      <c r="A4017">
        <v>60661</v>
      </c>
      <c r="B4017">
        <v>1</v>
      </c>
      <c r="C4017" t="s">
        <v>101</v>
      </c>
      <c r="D4017" t="s">
        <v>102</v>
      </c>
      <c r="E4017" s="1">
        <v>44286</v>
      </c>
      <c r="F4017">
        <v>1</v>
      </c>
      <c r="G4017" t="s">
        <v>20</v>
      </c>
      <c r="H4017" t="s">
        <v>21</v>
      </c>
      <c r="I4017" s="3">
        <v>1212</v>
      </c>
      <c r="J4017" s="3">
        <v>1212</v>
      </c>
      <c r="K4017" s="3">
        <v>442</v>
      </c>
      <c r="L4017" t="s">
        <v>98</v>
      </c>
      <c r="M4017">
        <v>4</v>
      </c>
      <c r="N4017" t="s">
        <v>82</v>
      </c>
      <c r="O4017" t="s">
        <v>81</v>
      </c>
      <c r="P4017" t="s">
        <v>71</v>
      </c>
      <c r="Q4017" t="s">
        <v>72</v>
      </c>
      <c r="R4017" t="s">
        <v>139</v>
      </c>
      <c r="S4017" t="s">
        <v>144</v>
      </c>
      <c r="T4017" s="2">
        <f>MASTER[[#This Row],[CANTIDAD]]*MASTER[[#This Row],[PRECIO DE VENTA]]</f>
        <v>1212</v>
      </c>
      <c r="U4017" s="2">
        <f>MASTER[[#This Row],[CANTIDAD]]*MASTER[[#This Row],[COSTO UNITARIO]]</f>
        <v>442</v>
      </c>
      <c r="V4017" s="2">
        <f>MASTER[[#This Row],[MONTO VENDIDO]]-MASTER[[#This Row],[COSTO DE VENTA]]</f>
        <v>770</v>
      </c>
    </row>
    <row r="4018" spans="1:22" x14ac:dyDescent="0.3">
      <c r="A4018">
        <v>60662</v>
      </c>
      <c r="B4018">
        <v>1</v>
      </c>
      <c r="C4018" t="s">
        <v>111</v>
      </c>
      <c r="D4018" t="s">
        <v>112</v>
      </c>
      <c r="E4018" s="1">
        <v>44286</v>
      </c>
      <c r="F4018">
        <v>1</v>
      </c>
      <c r="G4018" t="s">
        <v>43</v>
      </c>
      <c r="H4018" t="s">
        <v>44</v>
      </c>
      <c r="I4018" s="3">
        <v>1621</v>
      </c>
      <c r="J4018" s="3">
        <v>1621</v>
      </c>
      <c r="K4018" s="3">
        <v>434</v>
      </c>
      <c r="L4018" t="s">
        <v>113</v>
      </c>
      <c r="M4018">
        <v>2</v>
      </c>
      <c r="N4018" t="s">
        <v>86</v>
      </c>
      <c r="O4018" t="s">
        <v>81</v>
      </c>
      <c r="P4018" t="s">
        <v>71</v>
      </c>
      <c r="Q4018" t="s">
        <v>72</v>
      </c>
      <c r="R4018" t="s">
        <v>139</v>
      </c>
      <c r="S4018" t="s">
        <v>144</v>
      </c>
      <c r="T4018" s="2">
        <f>MASTER[[#This Row],[CANTIDAD]]*MASTER[[#This Row],[PRECIO DE VENTA]]</f>
        <v>1621</v>
      </c>
      <c r="U4018" s="2">
        <f>MASTER[[#This Row],[CANTIDAD]]*MASTER[[#This Row],[COSTO UNITARIO]]</f>
        <v>434</v>
      </c>
      <c r="V4018" s="2">
        <f>MASTER[[#This Row],[MONTO VENDIDO]]-MASTER[[#This Row],[COSTO DE VENTA]]</f>
        <v>1187</v>
      </c>
    </row>
    <row r="4019" spans="1:22" x14ac:dyDescent="0.3">
      <c r="A4019">
        <v>60671</v>
      </c>
      <c r="B4019">
        <v>1</v>
      </c>
      <c r="C4019" t="s">
        <v>96</v>
      </c>
      <c r="D4019" t="s">
        <v>97</v>
      </c>
      <c r="E4019" s="1">
        <v>44286</v>
      </c>
      <c r="F4019">
        <v>1</v>
      </c>
      <c r="G4019" t="s">
        <v>73</v>
      </c>
      <c r="H4019" t="s">
        <v>74</v>
      </c>
      <c r="I4019" s="3">
        <v>1272</v>
      </c>
      <c r="J4019" s="3">
        <v>1272</v>
      </c>
      <c r="K4019" s="3">
        <v>397</v>
      </c>
      <c r="L4019" t="s">
        <v>98</v>
      </c>
      <c r="M4019">
        <v>4</v>
      </c>
      <c r="N4019" t="s">
        <v>82</v>
      </c>
      <c r="O4019" t="s">
        <v>81</v>
      </c>
      <c r="P4019" t="s">
        <v>71</v>
      </c>
      <c r="Q4019" t="s">
        <v>72</v>
      </c>
      <c r="R4019" t="s">
        <v>139</v>
      </c>
      <c r="S4019" t="s">
        <v>144</v>
      </c>
      <c r="T4019" s="2">
        <f>MASTER[[#This Row],[CANTIDAD]]*MASTER[[#This Row],[PRECIO DE VENTA]]</f>
        <v>1272</v>
      </c>
      <c r="U4019" s="2">
        <f>MASTER[[#This Row],[CANTIDAD]]*MASTER[[#This Row],[COSTO UNITARIO]]</f>
        <v>397</v>
      </c>
      <c r="V4019" s="2">
        <f>MASTER[[#This Row],[MONTO VENDIDO]]-MASTER[[#This Row],[COSTO DE VENTA]]</f>
        <v>875</v>
      </c>
    </row>
    <row r="4020" spans="1:22" x14ac:dyDescent="0.3">
      <c r="A4020">
        <v>60675</v>
      </c>
      <c r="B4020">
        <v>1</v>
      </c>
      <c r="C4020" t="s">
        <v>116</v>
      </c>
      <c r="D4020" t="s">
        <v>117</v>
      </c>
      <c r="E4020" s="1">
        <v>44286</v>
      </c>
      <c r="F4020">
        <v>1</v>
      </c>
      <c r="G4020" t="s">
        <v>33</v>
      </c>
      <c r="H4020" t="s">
        <v>34</v>
      </c>
      <c r="I4020" s="3">
        <v>1738</v>
      </c>
      <c r="J4020" s="3">
        <v>1633</v>
      </c>
      <c r="K4020" s="3">
        <v>388</v>
      </c>
      <c r="L4020" t="s">
        <v>113</v>
      </c>
      <c r="M4020">
        <v>7</v>
      </c>
      <c r="N4020" t="s">
        <v>84</v>
      </c>
      <c r="O4020" t="s">
        <v>81</v>
      </c>
      <c r="P4020" t="s">
        <v>12</v>
      </c>
      <c r="Q4020" t="s">
        <v>13</v>
      </c>
      <c r="R4020" t="s">
        <v>13</v>
      </c>
      <c r="S4020" t="s">
        <v>144</v>
      </c>
      <c r="T4020" s="2">
        <f>MASTER[[#This Row],[CANTIDAD]]*MASTER[[#This Row],[PRECIO DE VENTA]]</f>
        <v>1633</v>
      </c>
      <c r="U4020" s="2">
        <f>MASTER[[#This Row],[CANTIDAD]]*MASTER[[#This Row],[COSTO UNITARIO]]</f>
        <v>388</v>
      </c>
      <c r="V4020" s="2">
        <f>MASTER[[#This Row],[MONTO VENDIDO]]-MASTER[[#This Row],[COSTO DE VENTA]]</f>
        <v>1245</v>
      </c>
    </row>
    <row r="4021" spans="1:22" x14ac:dyDescent="0.3">
      <c r="A4021">
        <v>60692</v>
      </c>
      <c r="B4021">
        <v>1</v>
      </c>
      <c r="C4021" t="s">
        <v>94</v>
      </c>
      <c r="D4021" t="s">
        <v>95</v>
      </c>
      <c r="E4021" s="1">
        <v>44286</v>
      </c>
      <c r="F4021">
        <v>1</v>
      </c>
      <c r="G4021" t="s">
        <v>22</v>
      </c>
      <c r="H4021" t="s">
        <v>23</v>
      </c>
      <c r="I4021" s="3">
        <v>1153</v>
      </c>
      <c r="J4021" s="3">
        <v>1153</v>
      </c>
      <c r="K4021" s="3">
        <v>392</v>
      </c>
      <c r="L4021" t="s">
        <v>9</v>
      </c>
      <c r="M4021">
        <v>13</v>
      </c>
      <c r="N4021" t="s">
        <v>78</v>
      </c>
      <c r="O4021" t="s">
        <v>70</v>
      </c>
      <c r="P4021" t="s">
        <v>18</v>
      </c>
      <c r="Q4021" t="s">
        <v>19</v>
      </c>
      <c r="R4021" t="s">
        <v>138</v>
      </c>
      <c r="S4021" t="s">
        <v>144</v>
      </c>
      <c r="T4021" s="2">
        <f>MASTER[[#This Row],[CANTIDAD]]*MASTER[[#This Row],[PRECIO DE VENTA]]</f>
        <v>1153</v>
      </c>
      <c r="U4021" s="2">
        <f>MASTER[[#This Row],[CANTIDAD]]*MASTER[[#This Row],[COSTO UNITARIO]]</f>
        <v>392</v>
      </c>
      <c r="V4021" s="2">
        <f>MASTER[[#This Row],[MONTO VENDIDO]]-MASTER[[#This Row],[COSTO DE VENTA]]</f>
        <v>761</v>
      </c>
    </row>
    <row r="4022" spans="1:22" x14ac:dyDescent="0.3">
      <c r="A4022">
        <v>60726</v>
      </c>
      <c r="B4022">
        <v>1</v>
      </c>
      <c r="C4022" t="s">
        <v>99</v>
      </c>
      <c r="D4022" t="s">
        <v>100</v>
      </c>
      <c r="E4022" s="1">
        <v>44287</v>
      </c>
      <c r="F4022">
        <v>1</v>
      </c>
      <c r="G4022" t="s">
        <v>53</v>
      </c>
      <c r="H4022" t="s">
        <v>54</v>
      </c>
      <c r="I4022" s="3">
        <v>1459</v>
      </c>
      <c r="J4022" s="3">
        <v>1459</v>
      </c>
      <c r="K4022" s="3">
        <v>386</v>
      </c>
      <c r="L4022" t="s">
        <v>98</v>
      </c>
      <c r="M4022">
        <v>5</v>
      </c>
      <c r="N4022" t="s">
        <v>85</v>
      </c>
      <c r="O4022" t="s">
        <v>81</v>
      </c>
      <c r="P4022" t="s">
        <v>12</v>
      </c>
      <c r="Q4022" t="s">
        <v>13</v>
      </c>
      <c r="R4022" t="s">
        <v>13</v>
      </c>
      <c r="S4022" t="s">
        <v>144</v>
      </c>
      <c r="T4022" s="2">
        <f>MASTER[[#This Row],[CANTIDAD]]*MASTER[[#This Row],[PRECIO DE VENTA]]</f>
        <v>1459</v>
      </c>
      <c r="U4022" s="2">
        <f>MASTER[[#This Row],[CANTIDAD]]*MASTER[[#This Row],[COSTO UNITARIO]]</f>
        <v>386</v>
      </c>
      <c r="V4022" s="2">
        <f>MASTER[[#This Row],[MONTO VENDIDO]]-MASTER[[#This Row],[COSTO DE VENTA]]</f>
        <v>1073</v>
      </c>
    </row>
    <row r="4023" spans="1:22" x14ac:dyDescent="0.3">
      <c r="A4023">
        <v>60735</v>
      </c>
      <c r="B4023">
        <v>1</v>
      </c>
      <c r="C4023" t="s">
        <v>111</v>
      </c>
      <c r="D4023" t="s">
        <v>112</v>
      </c>
      <c r="E4023" s="1">
        <v>44287</v>
      </c>
      <c r="F4023">
        <v>1</v>
      </c>
      <c r="G4023" t="s">
        <v>20</v>
      </c>
      <c r="H4023" t="s">
        <v>21</v>
      </c>
      <c r="I4023" s="3">
        <v>1799</v>
      </c>
      <c r="J4023" s="3">
        <v>1799</v>
      </c>
      <c r="K4023" s="3">
        <v>434</v>
      </c>
      <c r="L4023" t="s">
        <v>113</v>
      </c>
      <c r="M4023">
        <v>18</v>
      </c>
      <c r="N4023" t="s">
        <v>79</v>
      </c>
      <c r="O4023" t="s">
        <v>70</v>
      </c>
      <c r="P4023" t="s">
        <v>15</v>
      </c>
      <c r="Q4023" t="s">
        <v>16</v>
      </c>
      <c r="R4023" t="s">
        <v>16</v>
      </c>
      <c r="S4023" t="s">
        <v>144</v>
      </c>
      <c r="T4023" s="2">
        <f>MASTER[[#This Row],[CANTIDAD]]*MASTER[[#This Row],[PRECIO DE VENTA]]</f>
        <v>1799</v>
      </c>
      <c r="U4023" s="2">
        <f>MASTER[[#This Row],[CANTIDAD]]*MASTER[[#This Row],[COSTO UNITARIO]]</f>
        <v>434</v>
      </c>
      <c r="V4023" s="2">
        <f>MASTER[[#This Row],[MONTO VENDIDO]]-MASTER[[#This Row],[COSTO DE VENTA]]</f>
        <v>1365</v>
      </c>
    </row>
    <row r="4024" spans="1:22" x14ac:dyDescent="0.3">
      <c r="A4024">
        <v>60767</v>
      </c>
      <c r="B4024">
        <v>1</v>
      </c>
      <c r="C4024" t="s">
        <v>105</v>
      </c>
      <c r="D4024" t="s">
        <v>106</v>
      </c>
      <c r="E4024" s="1">
        <v>44287</v>
      </c>
      <c r="F4024">
        <v>1</v>
      </c>
      <c r="G4024" t="s">
        <v>47</v>
      </c>
      <c r="H4024" t="s">
        <v>48</v>
      </c>
      <c r="I4024" s="3">
        <v>1585</v>
      </c>
      <c r="J4024" s="3">
        <v>1585</v>
      </c>
      <c r="K4024" s="3">
        <v>459</v>
      </c>
      <c r="L4024" t="s">
        <v>98</v>
      </c>
      <c r="M4024">
        <v>11</v>
      </c>
      <c r="N4024" t="s">
        <v>10</v>
      </c>
      <c r="O4024" t="s">
        <v>11</v>
      </c>
      <c r="P4024" t="s">
        <v>12</v>
      </c>
      <c r="Q4024" t="s">
        <v>13</v>
      </c>
      <c r="R4024" t="s">
        <v>13</v>
      </c>
      <c r="S4024" t="s">
        <v>144</v>
      </c>
      <c r="T4024" s="2">
        <f>MASTER[[#This Row],[CANTIDAD]]*MASTER[[#This Row],[PRECIO DE VENTA]]</f>
        <v>1585</v>
      </c>
      <c r="U4024" s="2">
        <f>MASTER[[#This Row],[CANTIDAD]]*MASTER[[#This Row],[COSTO UNITARIO]]</f>
        <v>459</v>
      </c>
      <c r="V4024" s="2">
        <f>MASTER[[#This Row],[MONTO VENDIDO]]-MASTER[[#This Row],[COSTO DE VENTA]]</f>
        <v>1126</v>
      </c>
    </row>
    <row r="4025" spans="1:22" x14ac:dyDescent="0.3">
      <c r="A4025">
        <v>60773</v>
      </c>
      <c r="B4025">
        <v>1</v>
      </c>
      <c r="C4025" t="s">
        <v>121</v>
      </c>
      <c r="D4025" t="s">
        <v>122</v>
      </c>
      <c r="E4025" s="1">
        <v>44287</v>
      </c>
      <c r="F4025">
        <v>1</v>
      </c>
      <c r="G4025" t="s">
        <v>61</v>
      </c>
      <c r="H4025" t="s">
        <v>62</v>
      </c>
      <c r="I4025" s="3">
        <v>1144</v>
      </c>
      <c r="J4025" s="3">
        <v>1144</v>
      </c>
      <c r="K4025" s="3">
        <v>460</v>
      </c>
      <c r="L4025" t="s">
        <v>120</v>
      </c>
      <c r="M4025">
        <v>13</v>
      </c>
      <c r="N4025" t="s">
        <v>78</v>
      </c>
      <c r="O4025" t="s">
        <v>70</v>
      </c>
      <c r="P4025" t="s">
        <v>18</v>
      </c>
      <c r="Q4025" t="s">
        <v>19</v>
      </c>
      <c r="R4025" t="s">
        <v>138</v>
      </c>
      <c r="S4025" t="s">
        <v>144</v>
      </c>
      <c r="T4025" s="2">
        <f>MASTER[[#This Row],[CANTIDAD]]*MASTER[[#This Row],[PRECIO DE VENTA]]</f>
        <v>1144</v>
      </c>
      <c r="U4025" s="2">
        <f>MASTER[[#This Row],[CANTIDAD]]*MASTER[[#This Row],[COSTO UNITARIO]]</f>
        <v>460</v>
      </c>
      <c r="V4025" s="2">
        <f>MASTER[[#This Row],[MONTO VENDIDO]]-MASTER[[#This Row],[COSTO DE VENTA]]</f>
        <v>684</v>
      </c>
    </row>
    <row r="4026" spans="1:22" x14ac:dyDescent="0.3">
      <c r="A4026">
        <v>60784</v>
      </c>
      <c r="B4026">
        <v>1</v>
      </c>
      <c r="C4026" t="s">
        <v>121</v>
      </c>
      <c r="D4026" t="s">
        <v>122</v>
      </c>
      <c r="E4026" s="1">
        <v>44287</v>
      </c>
      <c r="F4026">
        <v>1</v>
      </c>
      <c r="G4026" t="s">
        <v>61</v>
      </c>
      <c r="H4026" t="s">
        <v>62</v>
      </c>
      <c r="I4026" s="3">
        <v>1069</v>
      </c>
      <c r="J4026" s="3">
        <v>972</v>
      </c>
      <c r="K4026" s="3">
        <v>460</v>
      </c>
      <c r="L4026" t="s">
        <v>120</v>
      </c>
      <c r="M4026">
        <v>15</v>
      </c>
      <c r="N4026" t="s">
        <v>88</v>
      </c>
      <c r="O4026" t="s">
        <v>81</v>
      </c>
      <c r="P4026" t="s">
        <v>18</v>
      </c>
      <c r="Q4026" t="s">
        <v>19</v>
      </c>
      <c r="R4026" t="s">
        <v>138</v>
      </c>
      <c r="S4026" t="s">
        <v>144</v>
      </c>
      <c r="T4026" s="2">
        <f>MASTER[[#This Row],[CANTIDAD]]*MASTER[[#This Row],[PRECIO DE VENTA]]</f>
        <v>972</v>
      </c>
      <c r="U4026" s="2">
        <f>MASTER[[#This Row],[CANTIDAD]]*MASTER[[#This Row],[COSTO UNITARIO]]</f>
        <v>460</v>
      </c>
      <c r="V4026" s="2">
        <f>MASTER[[#This Row],[MONTO VENDIDO]]-MASTER[[#This Row],[COSTO DE VENTA]]</f>
        <v>512</v>
      </c>
    </row>
    <row r="4027" spans="1:22" x14ac:dyDescent="0.3">
      <c r="A4027">
        <v>60809</v>
      </c>
      <c r="B4027">
        <v>1</v>
      </c>
      <c r="C4027" t="s">
        <v>94</v>
      </c>
      <c r="D4027" t="s">
        <v>95</v>
      </c>
      <c r="E4027" s="1">
        <v>44287</v>
      </c>
      <c r="F4027">
        <v>1</v>
      </c>
      <c r="G4027" t="s">
        <v>33</v>
      </c>
      <c r="H4027" t="s">
        <v>34</v>
      </c>
      <c r="I4027" s="3">
        <v>1048</v>
      </c>
      <c r="J4027" s="3">
        <v>1048</v>
      </c>
      <c r="K4027" s="3">
        <v>392</v>
      </c>
      <c r="L4027" t="s">
        <v>9</v>
      </c>
      <c r="M4027">
        <v>10</v>
      </c>
      <c r="N4027" t="s">
        <v>83</v>
      </c>
      <c r="O4027" t="s">
        <v>81</v>
      </c>
      <c r="P4027" t="s">
        <v>12</v>
      </c>
      <c r="Q4027" t="s">
        <v>13</v>
      </c>
      <c r="R4027" t="s">
        <v>13</v>
      </c>
      <c r="S4027" t="s">
        <v>144</v>
      </c>
      <c r="T4027" s="2">
        <f>MASTER[[#This Row],[CANTIDAD]]*MASTER[[#This Row],[PRECIO DE VENTA]]</f>
        <v>1048</v>
      </c>
      <c r="U4027" s="2">
        <f>MASTER[[#This Row],[CANTIDAD]]*MASTER[[#This Row],[COSTO UNITARIO]]</f>
        <v>392</v>
      </c>
      <c r="V4027" s="2">
        <f>MASTER[[#This Row],[MONTO VENDIDO]]-MASTER[[#This Row],[COSTO DE VENTA]]</f>
        <v>656</v>
      </c>
    </row>
    <row r="4028" spans="1:22" x14ac:dyDescent="0.3">
      <c r="A4028">
        <v>60851</v>
      </c>
      <c r="B4028">
        <v>1</v>
      </c>
      <c r="C4028" t="s">
        <v>90</v>
      </c>
      <c r="D4028" t="s">
        <v>91</v>
      </c>
      <c r="E4028" s="1">
        <v>44287</v>
      </c>
      <c r="F4028">
        <v>1</v>
      </c>
      <c r="G4028" t="s">
        <v>20</v>
      </c>
      <c r="H4028" t="s">
        <v>21</v>
      </c>
      <c r="I4028" s="3">
        <v>1844</v>
      </c>
      <c r="J4028" s="3">
        <v>1844</v>
      </c>
      <c r="K4028" s="3">
        <v>420</v>
      </c>
      <c r="L4028" t="s">
        <v>9</v>
      </c>
      <c r="M4028">
        <v>15</v>
      </c>
      <c r="N4028" t="s">
        <v>88</v>
      </c>
      <c r="O4028" t="s">
        <v>81</v>
      </c>
      <c r="P4028" t="s">
        <v>18</v>
      </c>
      <c r="Q4028" t="s">
        <v>19</v>
      </c>
      <c r="R4028" t="s">
        <v>138</v>
      </c>
      <c r="S4028" t="s">
        <v>144</v>
      </c>
      <c r="T4028" s="2">
        <f>MASTER[[#This Row],[CANTIDAD]]*MASTER[[#This Row],[PRECIO DE VENTA]]</f>
        <v>1844</v>
      </c>
      <c r="U4028" s="2">
        <f>MASTER[[#This Row],[CANTIDAD]]*MASTER[[#This Row],[COSTO UNITARIO]]</f>
        <v>420</v>
      </c>
      <c r="V4028" s="2">
        <f>MASTER[[#This Row],[MONTO VENDIDO]]-MASTER[[#This Row],[COSTO DE VENTA]]</f>
        <v>1424</v>
      </c>
    </row>
    <row r="4029" spans="1:22" x14ac:dyDescent="0.3">
      <c r="A4029">
        <v>60858</v>
      </c>
      <c r="B4029">
        <v>1</v>
      </c>
      <c r="C4029" t="s">
        <v>5</v>
      </c>
      <c r="D4029" t="s">
        <v>6</v>
      </c>
      <c r="E4029" s="1">
        <v>44287</v>
      </c>
      <c r="F4029">
        <v>1</v>
      </c>
      <c r="G4029" t="s">
        <v>31</v>
      </c>
      <c r="H4029" t="s">
        <v>32</v>
      </c>
      <c r="I4029" s="3">
        <v>1311</v>
      </c>
      <c r="J4029" s="3">
        <v>1311</v>
      </c>
      <c r="K4029" s="3">
        <v>393</v>
      </c>
      <c r="L4029" t="s">
        <v>9</v>
      </c>
      <c r="M4029">
        <v>16</v>
      </c>
      <c r="N4029" t="s">
        <v>17</v>
      </c>
      <c r="O4029" t="s">
        <v>11</v>
      </c>
      <c r="P4029" t="s">
        <v>18</v>
      </c>
      <c r="Q4029" t="s">
        <v>19</v>
      </c>
      <c r="R4029" t="s">
        <v>138</v>
      </c>
      <c r="S4029" t="s">
        <v>144</v>
      </c>
      <c r="T4029" s="2">
        <f>MASTER[[#This Row],[CANTIDAD]]*MASTER[[#This Row],[PRECIO DE VENTA]]</f>
        <v>1311</v>
      </c>
      <c r="U4029" s="2">
        <f>MASTER[[#This Row],[CANTIDAD]]*MASTER[[#This Row],[COSTO UNITARIO]]</f>
        <v>393</v>
      </c>
      <c r="V4029" s="2">
        <f>MASTER[[#This Row],[MONTO VENDIDO]]-MASTER[[#This Row],[COSTO DE VENTA]]</f>
        <v>918</v>
      </c>
    </row>
    <row r="4030" spans="1:22" x14ac:dyDescent="0.3">
      <c r="A4030">
        <v>60868</v>
      </c>
      <c r="B4030">
        <v>1</v>
      </c>
      <c r="C4030" t="s">
        <v>121</v>
      </c>
      <c r="D4030" t="s">
        <v>122</v>
      </c>
      <c r="E4030" s="1">
        <v>44287</v>
      </c>
      <c r="F4030">
        <v>1</v>
      </c>
      <c r="G4030" t="s">
        <v>35</v>
      </c>
      <c r="H4030" t="s">
        <v>36</v>
      </c>
      <c r="I4030" s="3">
        <v>941</v>
      </c>
      <c r="J4030" s="3">
        <v>941</v>
      </c>
      <c r="K4030" s="3">
        <v>460</v>
      </c>
      <c r="L4030" t="s">
        <v>120</v>
      </c>
      <c r="M4030">
        <v>16</v>
      </c>
      <c r="N4030" t="s">
        <v>17</v>
      </c>
      <c r="O4030" t="s">
        <v>11</v>
      </c>
      <c r="P4030" t="s">
        <v>18</v>
      </c>
      <c r="Q4030" t="s">
        <v>19</v>
      </c>
      <c r="R4030" t="s">
        <v>138</v>
      </c>
      <c r="S4030" t="s">
        <v>144</v>
      </c>
      <c r="T4030" s="2">
        <f>MASTER[[#This Row],[CANTIDAD]]*MASTER[[#This Row],[PRECIO DE VENTA]]</f>
        <v>941</v>
      </c>
      <c r="U4030" s="2">
        <f>MASTER[[#This Row],[CANTIDAD]]*MASTER[[#This Row],[COSTO UNITARIO]]</f>
        <v>460</v>
      </c>
      <c r="V4030" s="2">
        <f>MASTER[[#This Row],[MONTO VENDIDO]]-MASTER[[#This Row],[COSTO DE VENTA]]</f>
        <v>481</v>
      </c>
    </row>
    <row r="4031" spans="1:22" x14ac:dyDescent="0.3">
      <c r="A4031">
        <v>60873</v>
      </c>
      <c r="B4031">
        <v>1</v>
      </c>
      <c r="C4031" t="s">
        <v>109</v>
      </c>
      <c r="D4031" t="s">
        <v>110</v>
      </c>
      <c r="E4031" s="1">
        <v>44288</v>
      </c>
      <c r="F4031">
        <v>1</v>
      </c>
      <c r="G4031" t="s">
        <v>47</v>
      </c>
      <c r="H4031" t="s">
        <v>48</v>
      </c>
      <c r="I4031" s="3">
        <v>1064</v>
      </c>
      <c r="J4031" s="3">
        <v>1064</v>
      </c>
      <c r="K4031" s="3">
        <v>387</v>
      </c>
      <c r="L4031" t="s">
        <v>98</v>
      </c>
      <c r="M4031">
        <v>7</v>
      </c>
      <c r="N4031" t="s">
        <v>84</v>
      </c>
      <c r="O4031" t="s">
        <v>81</v>
      </c>
      <c r="P4031" t="s">
        <v>12</v>
      </c>
      <c r="Q4031" t="s">
        <v>13</v>
      </c>
      <c r="R4031" t="s">
        <v>13</v>
      </c>
      <c r="S4031" t="s">
        <v>144</v>
      </c>
      <c r="T4031" s="2">
        <f>MASTER[[#This Row],[CANTIDAD]]*MASTER[[#This Row],[PRECIO DE VENTA]]</f>
        <v>1064</v>
      </c>
      <c r="U4031" s="2">
        <f>MASTER[[#This Row],[CANTIDAD]]*MASTER[[#This Row],[COSTO UNITARIO]]</f>
        <v>387</v>
      </c>
      <c r="V4031" s="2">
        <f>MASTER[[#This Row],[MONTO VENDIDO]]-MASTER[[#This Row],[COSTO DE VENTA]]</f>
        <v>677</v>
      </c>
    </row>
    <row r="4032" spans="1:22" x14ac:dyDescent="0.3">
      <c r="A4032">
        <v>60878</v>
      </c>
      <c r="B4032">
        <v>1</v>
      </c>
      <c r="C4032" t="s">
        <v>99</v>
      </c>
      <c r="D4032" t="s">
        <v>100</v>
      </c>
      <c r="E4032" s="1">
        <v>44288</v>
      </c>
      <c r="F4032">
        <v>1</v>
      </c>
      <c r="G4032" t="s">
        <v>65</v>
      </c>
      <c r="H4032" t="s">
        <v>66</v>
      </c>
      <c r="I4032" s="3">
        <v>1678</v>
      </c>
      <c r="J4032" s="3">
        <v>1678</v>
      </c>
      <c r="K4032" s="3">
        <v>386</v>
      </c>
      <c r="L4032" t="s">
        <v>98</v>
      </c>
      <c r="M4032">
        <v>18</v>
      </c>
      <c r="N4032" t="s">
        <v>79</v>
      </c>
      <c r="O4032" t="s">
        <v>70</v>
      </c>
      <c r="P4032" t="s">
        <v>15</v>
      </c>
      <c r="Q4032" t="s">
        <v>16</v>
      </c>
      <c r="R4032" t="s">
        <v>16</v>
      </c>
      <c r="S4032" t="s">
        <v>144</v>
      </c>
      <c r="T4032" s="2">
        <f>MASTER[[#This Row],[CANTIDAD]]*MASTER[[#This Row],[PRECIO DE VENTA]]</f>
        <v>1678</v>
      </c>
      <c r="U4032" s="2">
        <f>MASTER[[#This Row],[CANTIDAD]]*MASTER[[#This Row],[COSTO UNITARIO]]</f>
        <v>386</v>
      </c>
      <c r="V4032" s="2">
        <f>MASTER[[#This Row],[MONTO VENDIDO]]-MASTER[[#This Row],[COSTO DE VENTA]]</f>
        <v>1292</v>
      </c>
    </row>
    <row r="4033" spans="1:22" x14ac:dyDescent="0.3">
      <c r="A4033">
        <v>60889</v>
      </c>
      <c r="B4033">
        <v>1</v>
      </c>
      <c r="C4033" t="s">
        <v>118</v>
      </c>
      <c r="D4033" t="s">
        <v>119</v>
      </c>
      <c r="E4033" s="1">
        <v>44288</v>
      </c>
      <c r="F4033">
        <v>1</v>
      </c>
      <c r="G4033" t="s">
        <v>20</v>
      </c>
      <c r="H4033" t="s">
        <v>21</v>
      </c>
      <c r="I4033" s="3">
        <v>801</v>
      </c>
      <c r="J4033" s="3">
        <v>801</v>
      </c>
      <c r="K4033" s="3">
        <v>424</v>
      </c>
      <c r="L4033" t="s">
        <v>120</v>
      </c>
      <c r="M4033">
        <v>16</v>
      </c>
      <c r="N4033" t="s">
        <v>17</v>
      </c>
      <c r="O4033" t="s">
        <v>11</v>
      </c>
      <c r="P4033" t="s">
        <v>18</v>
      </c>
      <c r="Q4033" t="s">
        <v>19</v>
      </c>
      <c r="R4033" t="s">
        <v>138</v>
      </c>
      <c r="S4033" t="s">
        <v>144</v>
      </c>
      <c r="T4033" s="2">
        <f>MASTER[[#This Row],[CANTIDAD]]*MASTER[[#This Row],[PRECIO DE VENTA]]</f>
        <v>801</v>
      </c>
      <c r="U4033" s="2">
        <f>MASTER[[#This Row],[CANTIDAD]]*MASTER[[#This Row],[COSTO UNITARIO]]</f>
        <v>424</v>
      </c>
      <c r="V4033" s="2">
        <f>MASTER[[#This Row],[MONTO VENDIDO]]-MASTER[[#This Row],[COSTO DE VENTA]]</f>
        <v>377</v>
      </c>
    </row>
    <row r="4034" spans="1:22" x14ac:dyDescent="0.3">
      <c r="A4034">
        <v>60895</v>
      </c>
      <c r="B4034">
        <v>1</v>
      </c>
      <c r="C4034" t="s">
        <v>116</v>
      </c>
      <c r="D4034" t="s">
        <v>117</v>
      </c>
      <c r="E4034" s="1">
        <v>44288</v>
      </c>
      <c r="F4034">
        <v>1</v>
      </c>
      <c r="G4034" t="s">
        <v>33</v>
      </c>
      <c r="H4034" t="s">
        <v>34</v>
      </c>
      <c r="I4034" s="3">
        <v>1738</v>
      </c>
      <c r="J4034" s="3">
        <v>1738</v>
      </c>
      <c r="K4034" s="3">
        <v>388</v>
      </c>
      <c r="L4034" t="s">
        <v>113</v>
      </c>
      <c r="M4034">
        <v>4</v>
      </c>
      <c r="N4034" t="s">
        <v>82</v>
      </c>
      <c r="O4034" t="s">
        <v>81</v>
      </c>
      <c r="P4034" t="s">
        <v>71</v>
      </c>
      <c r="Q4034" t="s">
        <v>72</v>
      </c>
      <c r="R4034" t="s">
        <v>139</v>
      </c>
      <c r="S4034" t="s">
        <v>144</v>
      </c>
      <c r="T4034" s="2">
        <f>MASTER[[#This Row],[CANTIDAD]]*MASTER[[#This Row],[PRECIO DE VENTA]]</f>
        <v>1738</v>
      </c>
      <c r="U4034" s="2">
        <f>MASTER[[#This Row],[CANTIDAD]]*MASTER[[#This Row],[COSTO UNITARIO]]</f>
        <v>388</v>
      </c>
      <c r="V4034" s="2">
        <f>MASTER[[#This Row],[MONTO VENDIDO]]-MASTER[[#This Row],[COSTO DE VENTA]]</f>
        <v>1350</v>
      </c>
    </row>
    <row r="4035" spans="1:22" x14ac:dyDescent="0.3">
      <c r="A4035">
        <v>60935</v>
      </c>
      <c r="B4035">
        <v>1</v>
      </c>
      <c r="C4035" t="s">
        <v>90</v>
      </c>
      <c r="D4035" t="s">
        <v>91</v>
      </c>
      <c r="E4035" s="1">
        <v>44288</v>
      </c>
      <c r="F4035">
        <v>1</v>
      </c>
      <c r="G4035" t="s">
        <v>51</v>
      </c>
      <c r="H4035" t="s">
        <v>52</v>
      </c>
      <c r="I4035" s="3">
        <v>1844</v>
      </c>
      <c r="J4035" s="3">
        <v>1844</v>
      </c>
      <c r="K4035" s="3">
        <v>420</v>
      </c>
      <c r="L4035" t="s">
        <v>9</v>
      </c>
      <c r="M4035">
        <v>5</v>
      </c>
      <c r="N4035" t="s">
        <v>85</v>
      </c>
      <c r="O4035" t="s">
        <v>81</v>
      </c>
      <c r="P4035" t="s">
        <v>12</v>
      </c>
      <c r="Q4035" t="s">
        <v>13</v>
      </c>
      <c r="R4035" t="s">
        <v>13</v>
      </c>
      <c r="S4035" t="s">
        <v>144</v>
      </c>
      <c r="T4035" s="2">
        <f>MASTER[[#This Row],[CANTIDAD]]*MASTER[[#This Row],[PRECIO DE VENTA]]</f>
        <v>1844</v>
      </c>
      <c r="U4035" s="2">
        <f>MASTER[[#This Row],[CANTIDAD]]*MASTER[[#This Row],[COSTO UNITARIO]]</f>
        <v>420</v>
      </c>
      <c r="V4035" s="2">
        <f>MASTER[[#This Row],[MONTO VENDIDO]]-MASTER[[#This Row],[COSTO DE VENTA]]</f>
        <v>1424</v>
      </c>
    </row>
    <row r="4036" spans="1:22" x14ac:dyDescent="0.3">
      <c r="A4036">
        <v>60939</v>
      </c>
      <c r="B4036">
        <v>1</v>
      </c>
      <c r="C4036" t="s">
        <v>94</v>
      </c>
      <c r="D4036" t="s">
        <v>95</v>
      </c>
      <c r="E4036" s="1">
        <v>44288</v>
      </c>
      <c r="F4036">
        <v>1</v>
      </c>
      <c r="G4036" t="s">
        <v>24</v>
      </c>
      <c r="H4036" t="s">
        <v>25</v>
      </c>
      <c r="I4036" s="3">
        <v>901</v>
      </c>
      <c r="J4036" s="3">
        <v>901</v>
      </c>
      <c r="K4036" s="3">
        <v>392</v>
      </c>
      <c r="L4036" t="s">
        <v>9</v>
      </c>
      <c r="M4036">
        <v>16</v>
      </c>
      <c r="N4036" t="s">
        <v>17</v>
      </c>
      <c r="O4036" t="s">
        <v>11</v>
      </c>
      <c r="P4036" t="s">
        <v>18</v>
      </c>
      <c r="Q4036" t="s">
        <v>19</v>
      </c>
      <c r="R4036" t="s">
        <v>138</v>
      </c>
      <c r="S4036" t="s">
        <v>144</v>
      </c>
      <c r="T4036" s="2">
        <f>MASTER[[#This Row],[CANTIDAD]]*MASTER[[#This Row],[PRECIO DE VENTA]]</f>
        <v>901</v>
      </c>
      <c r="U4036" s="2">
        <f>MASTER[[#This Row],[CANTIDAD]]*MASTER[[#This Row],[COSTO UNITARIO]]</f>
        <v>392</v>
      </c>
      <c r="V4036" s="2">
        <f>MASTER[[#This Row],[MONTO VENDIDO]]-MASTER[[#This Row],[COSTO DE VENTA]]</f>
        <v>509</v>
      </c>
    </row>
    <row r="4037" spans="1:22" x14ac:dyDescent="0.3">
      <c r="A4037">
        <v>60949</v>
      </c>
      <c r="B4037">
        <v>1</v>
      </c>
      <c r="C4037" t="s">
        <v>118</v>
      </c>
      <c r="D4037" t="s">
        <v>119</v>
      </c>
      <c r="E4037" s="1">
        <v>44288</v>
      </c>
      <c r="F4037">
        <v>1</v>
      </c>
      <c r="G4037" t="s">
        <v>59</v>
      </c>
      <c r="H4037" t="s">
        <v>60</v>
      </c>
      <c r="I4037" s="3">
        <v>900</v>
      </c>
      <c r="J4037" s="3">
        <v>900</v>
      </c>
      <c r="K4037" s="3">
        <v>424</v>
      </c>
      <c r="L4037" t="s">
        <v>120</v>
      </c>
      <c r="M4037">
        <v>19</v>
      </c>
      <c r="N4037" t="s">
        <v>89</v>
      </c>
      <c r="O4037" t="s">
        <v>81</v>
      </c>
      <c r="P4037" t="s">
        <v>15</v>
      </c>
      <c r="Q4037" t="s">
        <v>16</v>
      </c>
      <c r="R4037" t="s">
        <v>16</v>
      </c>
      <c r="S4037" t="s">
        <v>144</v>
      </c>
      <c r="T4037" s="2">
        <f>MASTER[[#This Row],[CANTIDAD]]*MASTER[[#This Row],[PRECIO DE VENTA]]</f>
        <v>900</v>
      </c>
      <c r="U4037" s="2">
        <f>MASTER[[#This Row],[CANTIDAD]]*MASTER[[#This Row],[COSTO UNITARIO]]</f>
        <v>424</v>
      </c>
      <c r="V4037" s="2">
        <f>MASTER[[#This Row],[MONTO VENDIDO]]-MASTER[[#This Row],[COSTO DE VENTA]]</f>
        <v>476</v>
      </c>
    </row>
    <row r="4038" spans="1:22" x14ac:dyDescent="0.3">
      <c r="A4038">
        <v>60957</v>
      </c>
      <c r="B4038">
        <v>1</v>
      </c>
      <c r="C4038" t="s">
        <v>105</v>
      </c>
      <c r="D4038" t="s">
        <v>106</v>
      </c>
      <c r="E4038" s="1">
        <v>44288</v>
      </c>
      <c r="F4038">
        <v>1</v>
      </c>
      <c r="G4038" t="s">
        <v>57</v>
      </c>
      <c r="H4038" t="s">
        <v>58</v>
      </c>
      <c r="I4038" s="3">
        <v>1585</v>
      </c>
      <c r="J4038" s="3">
        <v>1585</v>
      </c>
      <c r="K4038" s="3">
        <v>459</v>
      </c>
      <c r="L4038" t="s">
        <v>98</v>
      </c>
      <c r="M4038">
        <v>12</v>
      </c>
      <c r="N4038" t="s">
        <v>26</v>
      </c>
      <c r="O4038" t="s">
        <v>11</v>
      </c>
      <c r="P4038" t="s">
        <v>12</v>
      </c>
      <c r="Q4038" t="s">
        <v>13</v>
      </c>
      <c r="R4038" t="s">
        <v>13</v>
      </c>
      <c r="S4038" t="s">
        <v>144</v>
      </c>
      <c r="T4038" s="2">
        <f>MASTER[[#This Row],[CANTIDAD]]*MASTER[[#This Row],[PRECIO DE VENTA]]</f>
        <v>1585</v>
      </c>
      <c r="U4038" s="2">
        <f>MASTER[[#This Row],[CANTIDAD]]*MASTER[[#This Row],[COSTO UNITARIO]]</f>
        <v>459</v>
      </c>
      <c r="V4038" s="2">
        <f>MASTER[[#This Row],[MONTO VENDIDO]]-MASTER[[#This Row],[COSTO DE VENTA]]</f>
        <v>1126</v>
      </c>
    </row>
    <row r="4039" spans="1:22" x14ac:dyDescent="0.3">
      <c r="A4039">
        <v>60991</v>
      </c>
      <c r="B4039">
        <v>1</v>
      </c>
      <c r="C4039" t="s">
        <v>109</v>
      </c>
      <c r="D4039" t="s">
        <v>110</v>
      </c>
      <c r="E4039" s="1">
        <v>44288</v>
      </c>
      <c r="F4039">
        <v>1</v>
      </c>
      <c r="G4039" t="s">
        <v>57</v>
      </c>
      <c r="H4039" t="s">
        <v>58</v>
      </c>
      <c r="I4039" s="3">
        <v>1128</v>
      </c>
      <c r="J4039" s="3">
        <v>1128</v>
      </c>
      <c r="K4039" s="3">
        <v>387</v>
      </c>
      <c r="L4039" t="s">
        <v>98</v>
      </c>
      <c r="M4039">
        <v>6</v>
      </c>
      <c r="N4039" t="s">
        <v>75</v>
      </c>
      <c r="O4039" t="s">
        <v>70</v>
      </c>
      <c r="P4039" t="s">
        <v>12</v>
      </c>
      <c r="Q4039" t="s">
        <v>13</v>
      </c>
      <c r="R4039" t="s">
        <v>13</v>
      </c>
      <c r="S4039" t="s">
        <v>144</v>
      </c>
      <c r="T4039" s="2">
        <f>MASTER[[#This Row],[CANTIDAD]]*MASTER[[#This Row],[PRECIO DE VENTA]]</f>
        <v>1128</v>
      </c>
      <c r="U4039" s="2">
        <f>MASTER[[#This Row],[CANTIDAD]]*MASTER[[#This Row],[COSTO UNITARIO]]</f>
        <v>387</v>
      </c>
      <c r="V4039" s="2">
        <f>MASTER[[#This Row],[MONTO VENDIDO]]-MASTER[[#This Row],[COSTO DE VENTA]]</f>
        <v>741</v>
      </c>
    </row>
    <row r="4040" spans="1:22" x14ac:dyDescent="0.3">
      <c r="A4040">
        <v>61005</v>
      </c>
      <c r="B4040">
        <v>1</v>
      </c>
      <c r="C4040" t="s">
        <v>94</v>
      </c>
      <c r="D4040" t="s">
        <v>95</v>
      </c>
      <c r="E4040" s="1">
        <v>44288</v>
      </c>
      <c r="F4040">
        <v>1</v>
      </c>
      <c r="G4040" t="s">
        <v>45</v>
      </c>
      <c r="H4040" t="s">
        <v>46</v>
      </c>
      <c r="I4040" s="3">
        <v>1153</v>
      </c>
      <c r="J4040" s="3">
        <v>1153</v>
      </c>
      <c r="K4040" s="3">
        <v>392</v>
      </c>
      <c r="L4040" t="s">
        <v>9</v>
      </c>
      <c r="M4040">
        <v>13</v>
      </c>
      <c r="N4040" t="s">
        <v>78</v>
      </c>
      <c r="O4040" t="s">
        <v>70</v>
      </c>
      <c r="P4040" t="s">
        <v>18</v>
      </c>
      <c r="Q4040" t="s">
        <v>19</v>
      </c>
      <c r="R4040" t="s">
        <v>138</v>
      </c>
      <c r="S4040" t="s">
        <v>144</v>
      </c>
      <c r="T4040" s="2">
        <f>MASTER[[#This Row],[CANTIDAD]]*MASTER[[#This Row],[PRECIO DE VENTA]]</f>
        <v>1153</v>
      </c>
      <c r="U4040" s="2">
        <f>MASTER[[#This Row],[CANTIDAD]]*MASTER[[#This Row],[COSTO UNITARIO]]</f>
        <v>392</v>
      </c>
      <c r="V4040" s="2">
        <f>MASTER[[#This Row],[MONTO VENDIDO]]-MASTER[[#This Row],[COSTO DE VENTA]]</f>
        <v>761</v>
      </c>
    </row>
    <row r="4041" spans="1:22" x14ac:dyDescent="0.3">
      <c r="A4041">
        <v>61007</v>
      </c>
      <c r="B4041">
        <v>1</v>
      </c>
      <c r="C4041" t="s">
        <v>118</v>
      </c>
      <c r="D4041" t="s">
        <v>119</v>
      </c>
      <c r="E4041" s="1">
        <v>44288</v>
      </c>
      <c r="F4041">
        <v>1</v>
      </c>
      <c r="G4041" t="s">
        <v>61</v>
      </c>
      <c r="H4041" t="s">
        <v>62</v>
      </c>
      <c r="I4041" s="3">
        <v>1026</v>
      </c>
      <c r="J4041" s="3">
        <v>1026</v>
      </c>
      <c r="K4041" s="3">
        <v>424</v>
      </c>
      <c r="L4041" t="s">
        <v>120</v>
      </c>
      <c r="M4041">
        <v>1</v>
      </c>
      <c r="N4041" t="s">
        <v>77</v>
      </c>
      <c r="O4041" t="s">
        <v>70</v>
      </c>
      <c r="P4041" t="s">
        <v>71</v>
      </c>
      <c r="Q4041" t="s">
        <v>72</v>
      </c>
      <c r="R4041" t="s">
        <v>139</v>
      </c>
      <c r="S4041" t="s">
        <v>144</v>
      </c>
      <c r="T4041" s="2">
        <f>MASTER[[#This Row],[CANTIDAD]]*MASTER[[#This Row],[PRECIO DE VENTA]]</f>
        <v>1026</v>
      </c>
      <c r="U4041" s="2">
        <f>MASTER[[#This Row],[CANTIDAD]]*MASTER[[#This Row],[COSTO UNITARIO]]</f>
        <v>424</v>
      </c>
      <c r="V4041" s="2">
        <f>MASTER[[#This Row],[MONTO VENDIDO]]-MASTER[[#This Row],[COSTO DE VENTA]]</f>
        <v>602</v>
      </c>
    </row>
    <row r="4042" spans="1:22" x14ac:dyDescent="0.3">
      <c r="A4042">
        <v>61013</v>
      </c>
      <c r="B4042">
        <v>1</v>
      </c>
      <c r="C4042" t="s">
        <v>103</v>
      </c>
      <c r="D4042" t="s">
        <v>104</v>
      </c>
      <c r="E4042" s="1">
        <v>44288</v>
      </c>
      <c r="F4042">
        <v>1</v>
      </c>
      <c r="G4042" t="s">
        <v>57</v>
      </c>
      <c r="H4042" t="s">
        <v>58</v>
      </c>
      <c r="I4042" s="3">
        <v>1830</v>
      </c>
      <c r="J4042" s="3">
        <v>1830</v>
      </c>
      <c r="K4042" s="3">
        <v>421</v>
      </c>
      <c r="L4042" t="s">
        <v>98</v>
      </c>
      <c r="M4042">
        <v>18</v>
      </c>
      <c r="N4042" t="s">
        <v>79</v>
      </c>
      <c r="O4042" t="s">
        <v>70</v>
      </c>
      <c r="P4042" t="s">
        <v>15</v>
      </c>
      <c r="Q4042" t="s">
        <v>16</v>
      </c>
      <c r="R4042" t="s">
        <v>16</v>
      </c>
      <c r="S4042" t="s">
        <v>144</v>
      </c>
      <c r="T4042" s="2">
        <f>MASTER[[#This Row],[CANTIDAD]]*MASTER[[#This Row],[PRECIO DE VENTA]]</f>
        <v>1830</v>
      </c>
      <c r="U4042" s="2">
        <f>MASTER[[#This Row],[CANTIDAD]]*MASTER[[#This Row],[COSTO UNITARIO]]</f>
        <v>421</v>
      </c>
      <c r="V4042" s="2">
        <f>MASTER[[#This Row],[MONTO VENDIDO]]-MASTER[[#This Row],[COSTO DE VENTA]]</f>
        <v>1409</v>
      </c>
    </row>
    <row r="4043" spans="1:22" x14ac:dyDescent="0.3">
      <c r="A4043">
        <v>61017</v>
      </c>
      <c r="B4043">
        <v>1</v>
      </c>
      <c r="C4043" t="s">
        <v>114</v>
      </c>
      <c r="D4043" t="s">
        <v>115</v>
      </c>
      <c r="E4043" s="1">
        <v>44288</v>
      </c>
      <c r="F4043">
        <v>1</v>
      </c>
      <c r="G4043" t="s">
        <v>35</v>
      </c>
      <c r="H4043" t="s">
        <v>36</v>
      </c>
      <c r="I4043" s="3">
        <v>2030</v>
      </c>
      <c r="J4043" s="3">
        <v>2030</v>
      </c>
      <c r="K4043" s="3">
        <v>394</v>
      </c>
      <c r="L4043" t="s">
        <v>113</v>
      </c>
      <c r="M4043">
        <v>6</v>
      </c>
      <c r="N4043" t="s">
        <v>75</v>
      </c>
      <c r="O4043" t="s">
        <v>70</v>
      </c>
      <c r="P4043" t="s">
        <v>12</v>
      </c>
      <c r="Q4043" t="s">
        <v>13</v>
      </c>
      <c r="R4043" t="s">
        <v>13</v>
      </c>
      <c r="S4043" t="s">
        <v>144</v>
      </c>
      <c r="T4043" s="2">
        <f>MASTER[[#This Row],[CANTIDAD]]*MASTER[[#This Row],[PRECIO DE VENTA]]</f>
        <v>2030</v>
      </c>
      <c r="U4043" s="2">
        <f>MASTER[[#This Row],[CANTIDAD]]*MASTER[[#This Row],[COSTO UNITARIO]]</f>
        <v>394</v>
      </c>
      <c r="V4043" s="2">
        <f>MASTER[[#This Row],[MONTO VENDIDO]]-MASTER[[#This Row],[COSTO DE VENTA]]</f>
        <v>1636</v>
      </c>
    </row>
    <row r="4044" spans="1:22" x14ac:dyDescent="0.3">
      <c r="A4044">
        <v>61027</v>
      </c>
      <c r="B4044">
        <v>1</v>
      </c>
      <c r="C4044" t="s">
        <v>118</v>
      </c>
      <c r="D4044" t="s">
        <v>119</v>
      </c>
      <c r="E4044" s="1">
        <v>44288</v>
      </c>
      <c r="F4044">
        <v>1</v>
      </c>
      <c r="G4044" t="s">
        <v>31</v>
      </c>
      <c r="H4044" t="s">
        <v>32</v>
      </c>
      <c r="I4044" s="3">
        <v>1026</v>
      </c>
      <c r="J4044" s="3">
        <v>1026</v>
      </c>
      <c r="K4044" s="3">
        <v>424</v>
      </c>
      <c r="L4044" t="s">
        <v>120</v>
      </c>
      <c r="M4044">
        <v>3</v>
      </c>
      <c r="N4044" t="s">
        <v>69</v>
      </c>
      <c r="O4044" t="s">
        <v>70</v>
      </c>
      <c r="P4044" t="s">
        <v>71</v>
      </c>
      <c r="Q4044" t="s">
        <v>72</v>
      </c>
      <c r="R4044" t="s">
        <v>139</v>
      </c>
      <c r="S4044" t="s">
        <v>144</v>
      </c>
      <c r="T4044" s="2">
        <f>MASTER[[#This Row],[CANTIDAD]]*MASTER[[#This Row],[PRECIO DE VENTA]]</f>
        <v>1026</v>
      </c>
      <c r="U4044" s="2">
        <f>MASTER[[#This Row],[CANTIDAD]]*MASTER[[#This Row],[COSTO UNITARIO]]</f>
        <v>424</v>
      </c>
      <c r="V4044" s="2">
        <f>MASTER[[#This Row],[MONTO VENDIDO]]-MASTER[[#This Row],[COSTO DE VENTA]]</f>
        <v>602</v>
      </c>
    </row>
    <row r="4045" spans="1:22" x14ac:dyDescent="0.3">
      <c r="A4045">
        <v>61035</v>
      </c>
      <c r="B4045">
        <v>1</v>
      </c>
      <c r="C4045" t="s">
        <v>103</v>
      </c>
      <c r="D4045" t="s">
        <v>104</v>
      </c>
      <c r="E4045" s="1">
        <v>44288</v>
      </c>
      <c r="F4045">
        <v>1</v>
      </c>
      <c r="G4045" t="s">
        <v>73</v>
      </c>
      <c r="H4045" t="s">
        <v>74</v>
      </c>
      <c r="I4045" s="3">
        <v>1448</v>
      </c>
      <c r="J4045" s="3">
        <v>1448</v>
      </c>
      <c r="K4045" s="3">
        <v>421</v>
      </c>
      <c r="L4045" t="s">
        <v>98</v>
      </c>
      <c r="M4045">
        <v>11</v>
      </c>
      <c r="N4045" t="s">
        <v>10</v>
      </c>
      <c r="O4045" t="s">
        <v>11</v>
      </c>
      <c r="P4045" t="s">
        <v>12</v>
      </c>
      <c r="Q4045" t="s">
        <v>13</v>
      </c>
      <c r="R4045" t="s">
        <v>13</v>
      </c>
      <c r="S4045" t="s">
        <v>144</v>
      </c>
      <c r="T4045" s="2">
        <f>MASTER[[#This Row],[CANTIDAD]]*MASTER[[#This Row],[PRECIO DE VENTA]]</f>
        <v>1448</v>
      </c>
      <c r="U4045" s="2">
        <f>MASTER[[#This Row],[CANTIDAD]]*MASTER[[#This Row],[COSTO UNITARIO]]</f>
        <v>421</v>
      </c>
      <c r="V4045" s="2">
        <f>MASTER[[#This Row],[MONTO VENDIDO]]-MASTER[[#This Row],[COSTO DE VENTA]]</f>
        <v>1027</v>
      </c>
    </row>
    <row r="4046" spans="1:22" x14ac:dyDescent="0.3">
      <c r="A4046">
        <v>61044</v>
      </c>
      <c r="B4046">
        <v>1</v>
      </c>
      <c r="C4046" t="s">
        <v>114</v>
      </c>
      <c r="D4046" t="s">
        <v>115</v>
      </c>
      <c r="E4046" s="1">
        <v>44288</v>
      </c>
      <c r="F4046">
        <v>1</v>
      </c>
      <c r="G4046" t="s">
        <v>63</v>
      </c>
      <c r="H4046" t="s">
        <v>64</v>
      </c>
      <c r="I4046" s="3">
        <v>2030</v>
      </c>
      <c r="J4046" s="3">
        <v>2030</v>
      </c>
      <c r="K4046" s="3">
        <v>394</v>
      </c>
      <c r="L4046" t="s">
        <v>113</v>
      </c>
      <c r="M4046">
        <v>6</v>
      </c>
      <c r="N4046" t="s">
        <v>75</v>
      </c>
      <c r="O4046" t="s">
        <v>70</v>
      </c>
      <c r="P4046" t="s">
        <v>12</v>
      </c>
      <c r="Q4046" t="s">
        <v>13</v>
      </c>
      <c r="R4046" t="s">
        <v>13</v>
      </c>
      <c r="S4046" t="s">
        <v>144</v>
      </c>
      <c r="T4046" s="2">
        <f>MASTER[[#This Row],[CANTIDAD]]*MASTER[[#This Row],[PRECIO DE VENTA]]</f>
        <v>2030</v>
      </c>
      <c r="U4046" s="2">
        <f>MASTER[[#This Row],[CANTIDAD]]*MASTER[[#This Row],[COSTO UNITARIO]]</f>
        <v>394</v>
      </c>
      <c r="V4046" s="2">
        <f>MASTER[[#This Row],[MONTO VENDIDO]]-MASTER[[#This Row],[COSTO DE VENTA]]</f>
        <v>1636</v>
      </c>
    </row>
    <row r="4047" spans="1:22" x14ac:dyDescent="0.3">
      <c r="A4047">
        <v>61045</v>
      </c>
      <c r="B4047">
        <v>1</v>
      </c>
      <c r="C4047" t="s">
        <v>101</v>
      </c>
      <c r="D4047" t="s">
        <v>102</v>
      </c>
      <c r="E4047" s="1">
        <v>44289</v>
      </c>
      <c r="F4047">
        <v>1</v>
      </c>
      <c r="G4047" t="s">
        <v>7</v>
      </c>
      <c r="H4047" t="s">
        <v>8</v>
      </c>
      <c r="I4047" s="3">
        <v>1212</v>
      </c>
      <c r="J4047" s="3">
        <v>1151</v>
      </c>
      <c r="K4047" s="3">
        <v>442</v>
      </c>
      <c r="L4047" t="s">
        <v>98</v>
      </c>
      <c r="M4047">
        <v>8</v>
      </c>
      <c r="N4047" t="s">
        <v>80</v>
      </c>
      <c r="O4047" t="s">
        <v>81</v>
      </c>
      <c r="P4047" t="s">
        <v>12</v>
      </c>
      <c r="Q4047" t="s">
        <v>13</v>
      </c>
      <c r="R4047" t="s">
        <v>13</v>
      </c>
      <c r="S4047" t="s">
        <v>144</v>
      </c>
      <c r="T4047" s="2">
        <f>MASTER[[#This Row],[CANTIDAD]]*MASTER[[#This Row],[PRECIO DE VENTA]]</f>
        <v>1151</v>
      </c>
      <c r="U4047" s="2">
        <f>MASTER[[#This Row],[CANTIDAD]]*MASTER[[#This Row],[COSTO UNITARIO]]</f>
        <v>442</v>
      </c>
      <c r="V4047" s="2">
        <f>MASTER[[#This Row],[MONTO VENDIDO]]-MASTER[[#This Row],[COSTO DE VENTA]]</f>
        <v>709</v>
      </c>
    </row>
    <row r="4048" spans="1:22" x14ac:dyDescent="0.3">
      <c r="A4048">
        <v>61057</v>
      </c>
      <c r="B4048">
        <v>1</v>
      </c>
      <c r="C4048" t="s">
        <v>103</v>
      </c>
      <c r="D4048" t="s">
        <v>104</v>
      </c>
      <c r="E4048" s="1">
        <v>44289</v>
      </c>
      <c r="F4048">
        <v>1</v>
      </c>
      <c r="G4048" t="s">
        <v>24</v>
      </c>
      <c r="H4048" t="s">
        <v>25</v>
      </c>
      <c r="I4048" s="3">
        <v>1591</v>
      </c>
      <c r="J4048" s="3">
        <v>1591</v>
      </c>
      <c r="K4048" s="3">
        <v>421</v>
      </c>
      <c r="L4048" t="s">
        <v>98</v>
      </c>
      <c r="M4048">
        <v>19</v>
      </c>
      <c r="N4048" t="s">
        <v>89</v>
      </c>
      <c r="O4048" t="s">
        <v>81</v>
      </c>
      <c r="P4048" t="s">
        <v>15</v>
      </c>
      <c r="Q4048" t="s">
        <v>16</v>
      </c>
      <c r="R4048" t="s">
        <v>16</v>
      </c>
      <c r="S4048" t="s">
        <v>144</v>
      </c>
      <c r="T4048" s="2">
        <f>MASTER[[#This Row],[CANTIDAD]]*MASTER[[#This Row],[PRECIO DE VENTA]]</f>
        <v>1591</v>
      </c>
      <c r="U4048" s="2">
        <f>MASTER[[#This Row],[CANTIDAD]]*MASTER[[#This Row],[COSTO UNITARIO]]</f>
        <v>421</v>
      </c>
      <c r="V4048" s="2">
        <f>MASTER[[#This Row],[MONTO VENDIDO]]-MASTER[[#This Row],[COSTO DE VENTA]]</f>
        <v>1170</v>
      </c>
    </row>
    <row r="4049" spans="1:22" x14ac:dyDescent="0.3">
      <c r="A4049">
        <v>61065</v>
      </c>
      <c r="B4049">
        <v>1</v>
      </c>
      <c r="C4049" t="s">
        <v>114</v>
      </c>
      <c r="D4049" t="s">
        <v>115</v>
      </c>
      <c r="E4049" s="1">
        <v>44289</v>
      </c>
      <c r="F4049">
        <v>1</v>
      </c>
      <c r="G4049" t="s">
        <v>43</v>
      </c>
      <c r="H4049" t="s">
        <v>44</v>
      </c>
      <c r="I4049" s="3">
        <v>1583</v>
      </c>
      <c r="J4049" s="3">
        <v>1583</v>
      </c>
      <c r="K4049" s="3">
        <v>394</v>
      </c>
      <c r="L4049" t="s">
        <v>113</v>
      </c>
      <c r="M4049">
        <v>17</v>
      </c>
      <c r="N4049" t="s">
        <v>14</v>
      </c>
      <c r="O4049" t="s">
        <v>11</v>
      </c>
      <c r="P4049" t="s">
        <v>15</v>
      </c>
      <c r="Q4049" t="s">
        <v>16</v>
      </c>
      <c r="R4049" t="s">
        <v>16</v>
      </c>
      <c r="S4049" t="s">
        <v>144</v>
      </c>
      <c r="T4049" s="2">
        <f>MASTER[[#This Row],[CANTIDAD]]*MASTER[[#This Row],[PRECIO DE VENTA]]</f>
        <v>1583</v>
      </c>
      <c r="U4049" s="2">
        <f>MASTER[[#This Row],[CANTIDAD]]*MASTER[[#This Row],[COSTO UNITARIO]]</f>
        <v>394</v>
      </c>
      <c r="V4049" s="2">
        <f>MASTER[[#This Row],[MONTO VENDIDO]]-MASTER[[#This Row],[COSTO DE VENTA]]</f>
        <v>1189</v>
      </c>
    </row>
    <row r="4050" spans="1:22" x14ac:dyDescent="0.3">
      <c r="A4050">
        <v>61069</v>
      </c>
      <c r="B4050">
        <v>1</v>
      </c>
      <c r="C4050" t="s">
        <v>109</v>
      </c>
      <c r="D4050" t="s">
        <v>110</v>
      </c>
      <c r="E4050" s="1">
        <v>44289</v>
      </c>
      <c r="F4050">
        <v>1</v>
      </c>
      <c r="G4050" t="s">
        <v>7</v>
      </c>
      <c r="H4050" t="s">
        <v>8</v>
      </c>
      <c r="I4050" s="3">
        <v>947</v>
      </c>
      <c r="J4050" s="3">
        <v>947</v>
      </c>
      <c r="K4050" s="3">
        <v>387</v>
      </c>
      <c r="L4050" t="s">
        <v>98</v>
      </c>
      <c r="M4050">
        <v>16</v>
      </c>
      <c r="N4050" t="s">
        <v>17</v>
      </c>
      <c r="O4050" t="s">
        <v>11</v>
      </c>
      <c r="P4050" t="s">
        <v>18</v>
      </c>
      <c r="Q4050" t="s">
        <v>19</v>
      </c>
      <c r="R4050" t="s">
        <v>138</v>
      </c>
      <c r="S4050" t="s">
        <v>144</v>
      </c>
      <c r="T4050" s="2">
        <f>MASTER[[#This Row],[CANTIDAD]]*MASTER[[#This Row],[PRECIO DE VENTA]]</f>
        <v>947</v>
      </c>
      <c r="U4050" s="2">
        <f>MASTER[[#This Row],[CANTIDAD]]*MASTER[[#This Row],[COSTO UNITARIO]]</f>
        <v>387</v>
      </c>
      <c r="V4050" s="2">
        <f>MASTER[[#This Row],[MONTO VENDIDO]]-MASTER[[#This Row],[COSTO DE VENTA]]</f>
        <v>560</v>
      </c>
    </row>
    <row r="4051" spans="1:22" x14ac:dyDescent="0.3">
      <c r="A4051">
        <v>61069</v>
      </c>
      <c r="B4051">
        <v>2</v>
      </c>
      <c r="C4051" t="s">
        <v>118</v>
      </c>
      <c r="D4051" t="s">
        <v>119</v>
      </c>
      <c r="E4051" s="1">
        <v>44289</v>
      </c>
      <c r="F4051">
        <v>1</v>
      </c>
      <c r="G4051" t="s">
        <v>67</v>
      </c>
      <c r="H4051" t="s">
        <v>68</v>
      </c>
      <c r="I4051" s="3">
        <v>801</v>
      </c>
      <c r="J4051" s="3">
        <v>801</v>
      </c>
      <c r="K4051" s="3">
        <v>424</v>
      </c>
      <c r="L4051" t="s">
        <v>120</v>
      </c>
      <c r="M4051">
        <v>16</v>
      </c>
      <c r="N4051" t="s">
        <v>17</v>
      </c>
      <c r="O4051" t="s">
        <v>11</v>
      </c>
      <c r="P4051" t="s">
        <v>18</v>
      </c>
      <c r="Q4051" t="s">
        <v>19</v>
      </c>
      <c r="R4051" t="s">
        <v>138</v>
      </c>
      <c r="S4051" t="s">
        <v>144</v>
      </c>
      <c r="T4051" s="2">
        <f>MASTER[[#This Row],[CANTIDAD]]*MASTER[[#This Row],[PRECIO DE VENTA]]</f>
        <v>801</v>
      </c>
      <c r="U4051" s="2">
        <f>MASTER[[#This Row],[CANTIDAD]]*MASTER[[#This Row],[COSTO UNITARIO]]</f>
        <v>424</v>
      </c>
      <c r="V4051" s="2">
        <f>MASTER[[#This Row],[MONTO VENDIDO]]-MASTER[[#This Row],[COSTO DE VENTA]]</f>
        <v>377</v>
      </c>
    </row>
    <row r="4052" spans="1:22" x14ac:dyDescent="0.3">
      <c r="A4052">
        <v>61148</v>
      </c>
      <c r="B4052">
        <v>1</v>
      </c>
      <c r="C4052" t="s">
        <v>111</v>
      </c>
      <c r="D4052" t="s">
        <v>112</v>
      </c>
      <c r="E4052" s="1">
        <v>44289</v>
      </c>
      <c r="F4052">
        <v>1</v>
      </c>
      <c r="G4052" t="s">
        <v>22</v>
      </c>
      <c r="H4052" t="s">
        <v>23</v>
      </c>
      <c r="I4052" s="3">
        <v>1621</v>
      </c>
      <c r="J4052" s="3">
        <v>1621</v>
      </c>
      <c r="K4052" s="3">
        <v>434</v>
      </c>
      <c r="L4052" t="s">
        <v>113</v>
      </c>
      <c r="M4052">
        <v>15</v>
      </c>
      <c r="N4052" t="s">
        <v>88</v>
      </c>
      <c r="O4052" t="s">
        <v>81</v>
      </c>
      <c r="P4052" t="s">
        <v>18</v>
      </c>
      <c r="Q4052" t="s">
        <v>19</v>
      </c>
      <c r="R4052" t="s">
        <v>138</v>
      </c>
      <c r="S4052" t="s">
        <v>144</v>
      </c>
      <c r="T4052" s="2">
        <f>MASTER[[#This Row],[CANTIDAD]]*MASTER[[#This Row],[PRECIO DE VENTA]]</f>
        <v>1621</v>
      </c>
      <c r="U4052" s="2">
        <f>MASTER[[#This Row],[CANTIDAD]]*MASTER[[#This Row],[COSTO UNITARIO]]</f>
        <v>434</v>
      </c>
      <c r="V4052" s="2">
        <f>MASTER[[#This Row],[MONTO VENDIDO]]-MASTER[[#This Row],[COSTO DE VENTA]]</f>
        <v>1187</v>
      </c>
    </row>
    <row r="4053" spans="1:22" x14ac:dyDescent="0.3">
      <c r="A4053">
        <v>61170</v>
      </c>
      <c r="B4053">
        <v>1</v>
      </c>
      <c r="C4053" t="s">
        <v>94</v>
      </c>
      <c r="D4053" t="s">
        <v>95</v>
      </c>
      <c r="E4053" s="1">
        <v>44289</v>
      </c>
      <c r="F4053">
        <v>1</v>
      </c>
      <c r="G4053" t="s">
        <v>63</v>
      </c>
      <c r="H4053" t="s">
        <v>64</v>
      </c>
      <c r="I4053" s="3">
        <v>901</v>
      </c>
      <c r="J4053" s="3">
        <v>901</v>
      </c>
      <c r="K4053" s="3">
        <v>392</v>
      </c>
      <c r="L4053" t="s">
        <v>9</v>
      </c>
      <c r="M4053">
        <v>12</v>
      </c>
      <c r="N4053" t="s">
        <v>26</v>
      </c>
      <c r="O4053" t="s">
        <v>11</v>
      </c>
      <c r="P4053" t="s">
        <v>12</v>
      </c>
      <c r="Q4053" t="s">
        <v>13</v>
      </c>
      <c r="R4053" t="s">
        <v>13</v>
      </c>
      <c r="S4053" t="s">
        <v>144</v>
      </c>
      <c r="T4053" s="2">
        <f>MASTER[[#This Row],[CANTIDAD]]*MASTER[[#This Row],[PRECIO DE VENTA]]</f>
        <v>901</v>
      </c>
      <c r="U4053" s="2">
        <f>MASTER[[#This Row],[CANTIDAD]]*MASTER[[#This Row],[COSTO UNITARIO]]</f>
        <v>392</v>
      </c>
      <c r="V4053" s="2">
        <f>MASTER[[#This Row],[MONTO VENDIDO]]-MASTER[[#This Row],[COSTO DE VENTA]]</f>
        <v>509</v>
      </c>
    </row>
    <row r="4054" spans="1:22" x14ac:dyDescent="0.3">
      <c r="A4054">
        <v>61192</v>
      </c>
      <c r="B4054">
        <v>1</v>
      </c>
      <c r="C4054" t="s">
        <v>99</v>
      </c>
      <c r="D4054" t="s">
        <v>100</v>
      </c>
      <c r="E4054" s="1">
        <v>44289</v>
      </c>
      <c r="F4054">
        <v>1</v>
      </c>
      <c r="G4054" t="s">
        <v>22</v>
      </c>
      <c r="H4054" t="s">
        <v>23</v>
      </c>
      <c r="I4054" s="3">
        <v>1678</v>
      </c>
      <c r="J4054" s="3">
        <v>1678</v>
      </c>
      <c r="K4054" s="3">
        <v>386</v>
      </c>
      <c r="L4054" t="s">
        <v>98</v>
      </c>
      <c r="M4054">
        <v>18</v>
      </c>
      <c r="N4054" t="s">
        <v>79</v>
      </c>
      <c r="O4054" t="s">
        <v>70</v>
      </c>
      <c r="P4054" t="s">
        <v>15</v>
      </c>
      <c r="Q4054" t="s">
        <v>16</v>
      </c>
      <c r="R4054" t="s">
        <v>16</v>
      </c>
      <c r="S4054" t="s">
        <v>144</v>
      </c>
      <c r="T4054" s="2">
        <f>MASTER[[#This Row],[CANTIDAD]]*MASTER[[#This Row],[PRECIO DE VENTA]]</f>
        <v>1678</v>
      </c>
      <c r="U4054" s="2">
        <f>MASTER[[#This Row],[CANTIDAD]]*MASTER[[#This Row],[COSTO UNITARIO]]</f>
        <v>386</v>
      </c>
      <c r="V4054" s="2">
        <f>MASTER[[#This Row],[MONTO VENDIDO]]-MASTER[[#This Row],[COSTO DE VENTA]]</f>
        <v>1292</v>
      </c>
    </row>
    <row r="4055" spans="1:22" x14ac:dyDescent="0.3">
      <c r="A4055">
        <v>61209</v>
      </c>
      <c r="B4055">
        <v>1</v>
      </c>
      <c r="C4055" t="s">
        <v>96</v>
      </c>
      <c r="D4055" t="s">
        <v>97</v>
      </c>
      <c r="E4055" s="1">
        <v>44289</v>
      </c>
      <c r="F4055">
        <v>1</v>
      </c>
      <c r="G4055" t="s">
        <v>22</v>
      </c>
      <c r="H4055" t="s">
        <v>23</v>
      </c>
      <c r="I4055" s="3">
        <v>1272</v>
      </c>
      <c r="J4055" s="3">
        <v>1272</v>
      </c>
      <c r="K4055" s="3">
        <v>397</v>
      </c>
      <c r="L4055" t="s">
        <v>98</v>
      </c>
      <c r="M4055">
        <v>10</v>
      </c>
      <c r="N4055" t="s">
        <v>83</v>
      </c>
      <c r="O4055" t="s">
        <v>81</v>
      </c>
      <c r="P4055" t="s">
        <v>12</v>
      </c>
      <c r="Q4055" t="s">
        <v>13</v>
      </c>
      <c r="R4055" t="s">
        <v>13</v>
      </c>
      <c r="S4055" t="s">
        <v>144</v>
      </c>
      <c r="T4055" s="2">
        <f>MASTER[[#This Row],[CANTIDAD]]*MASTER[[#This Row],[PRECIO DE VENTA]]</f>
        <v>1272</v>
      </c>
      <c r="U4055" s="2">
        <f>MASTER[[#This Row],[CANTIDAD]]*MASTER[[#This Row],[COSTO UNITARIO]]</f>
        <v>397</v>
      </c>
      <c r="V4055" s="2">
        <f>MASTER[[#This Row],[MONTO VENDIDO]]-MASTER[[#This Row],[COSTO DE VENTA]]</f>
        <v>875</v>
      </c>
    </row>
    <row r="4056" spans="1:22" x14ac:dyDescent="0.3">
      <c r="A4056">
        <v>61227</v>
      </c>
      <c r="B4056">
        <v>1</v>
      </c>
      <c r="C4056" t="s">
        <v>116</v>
      </c>
      <c r="D4056" t="s">
        <v>117</v>
      </c>
      <c r="E4056" s="1">
        <v>44289</v>
      </c>
      <c r="F4056">
        <v>1</v>
      </c>
      <c r="G4056" t="s">
        <v>29</v>
      </c>
      <c r="H4056" t="s">
        <v>30</v>
      </c>
      <c r="I4056" s="3">
        <v>1738</v>
      </c>
      <c r="J4056" s="3">
        <v>1738</v>
      </c>
      <c r="K4056" s="3">
        <v>388</v>
      </c>
      <c r="L4056" t="s">
        <v>113</v>
      </c>
      <c r="M4056">
        <v>2</v>
      </c>
      <c r="N4056" t="s">
        <v>86</v>
      </c>
      <c r="O4056" t="s">
        <v>81</v>
      </c>
      <c r="P4056" t="s">
        <v>71</v>
      </c>
      <c r="Q4056" t="s">
        <v>72</v>
      </c>
      <c r="R4056" t="s">
        <v>139</v>
      </c>
      <c r="S4056" t="s">
        <v>144</v>
      </c>
      <c r="T4056" s="2">
        <f>MASTER[[#This Row],[CANTIDAD]]*MASTER[[#This Row],[PRECIO DE VENTA]]</f>
        <v>1738</v>
      </c>
      <c r="U4056" s="2">
        <f>MASTER[[#This Row],[CANTIDAD]]*MASTER[[#This Row],[COSTO UNITARIO]]</f>
        <v>388</v>
      </c>
      <c r="V4056" s="2">
        <f>MASTER[[#This Row],[MONTO VENDIDO]]-MASTER[[#This Row],[COSTO DE VENTA]]</f>
        <v>1350</v>
      </c>
    </row>
    <row r="4057" spans="1:22" x14ac:dyDescent="0.3">
      <c r="A4057">
        <v>61235</v>
      </c>
      <c r="B4057">
        <v>1</v>
      </c>
      <c r="C4057" t="s">
        <v>105</v>
      </c>
      <c r="D4057" t="s">
        <v>106</v>
      </c>
      <c r="E4057" s="1">
        <v>44290</v>
      </c>
      <c r="F4057">
        <v>1</v>
      </c>
      <c r="G4057" t="s">
        <v>29</v>
      </c>
      <c r="H4057" t="s">
        <v>30</v>
      </c>
      <c r="I4057" s="3">
        <v>2033</v>
      </c>
      <c r="J4057" s="3">
        <v>2033</v>
      </c>
      <c r="K4057" s="3">
        <v>459</v>
      </c>
      <c r="L4057" t="s">
        <v>98</v>
      </c>
      <c r="M4057">
        <v>6</v>
      </c>
      <c r="N4057" t="s">
        <v>75</v>
      </c>
      <c r="O4057" t="s">
        <v>70</v>
      </c>
      <c r="P4057" t="s">
        <v>12</v>
      </c>
      <c r="Q4057" t="s">
        <v>13</v>
      </c>
      <c r="R4057" t="s">
        <v>13</v>
      </c>
      <c r="S4057" t="s">
        <v>144</v>
      </c>
      <c r="T4057" s="2">
        <f>MASTER[[#This Row],[CANTIDAD]]*MASTER[[#This Row],[PRECIO DE VENTA]]</f>
        <v>2033</v>
      </c>
      <c r="U4057" s="2">
        <f>MASTER[[#This Row],[CANTIDAD]]*MASTER[[#This Row],[COSTO UNITARIO]]</f>
        <v>459</v>
      </c>
      <c r="V4057" s="2">
        <f>MASTER[[#This Row],[MONTO VENDIDO]]-MASTER[[#This Row],[COSTO DE VENTA]]</f>
        <v>1574</v>
      </c>
    </row>
    <row r="4058" spans="1:22" x14ac:dyDescent="0.3">
      <c r="A4058">
        <v>61267</v>
      </c>
      <c r="B4058">
        <v>1</v>
      </c>
      <c r="C4058" t="s">
        <v>114</v>
      </c>
      <c r="D4058" t="s">
        <v>115</v>
      </c>
      <c r="E4058" s="1">
        <v>44290</v>
      </c>
      <c r="F4058">
        <v>1</v>
      </c>
      <c r="G4058" t="s">
        <v>45</v>
      </c>
      <c r="H4058" t="s">
        <v>46</v>
      </c>
      <c r="I4058" s="3">
        <v>1862</v>
      </c>
      <c r="J4058" s="3">
        <v>1862</v>
      </c>
      <c r="K4058" s="3">
        <v>394</v>
      </c>
      <c r="L4058" t="s">
        <v>113</v>
      </c>
      <c r="M4058">
        <v>5</v>
      </c>
      <c r="N4058" t="s">
        <v>85</v>
      </c>
      <c r="O4058" t="s">
        <v>81</v>
      </c>
      <c r="P4058" t="s">
        <v>12</v>
      </c>
      <c r="Q4058" t="s">
        <v>13</v>
      </c>
      <c r="R4058" t="s">
        <v>13</v>
      </c>
      <c r="S4058" t="s">
        <v>144</v>
      </c>
      <c r="T4058" s="2">
        <f>MASTER[[#This Row],[CANTIDAD]]*MASTER[[#This Row],[PRECIO DE VENTA]]</f>
        <v>1862</v>
      </c>
      <c r="U4058" s="2">
        <f>MASTER[[#This Row],[CANTIDAD]]*MASTER[[#This Row],[COSTO UNITARIO]]</f>
        <v>394</v>
      </c>
      <c r="V4058" s="2">
        <f>MASTER[[#This Row],[MONTO VENDIDO]]-MASTER[[#This Row],[COSTO DE VENTA]]</f>
        <v>1468</v>
      </c>
    </row>
    <row r="4059" spans="1:22" x14ac:dyDescent="0.3">
      <c r="A4059">
        <v>61273</v>
      </c>
      <c r="B4059">
        <v>1</v>
      </c>
      <c r="C4059" t="s">
        <v>109</v>
      </c>
      <c r="D4059" t="s">
        <v>110</v>
      </c>
      <c r="E4059" s="1">
        <v>44290</v>
      </c>
      <c r="F4059">
        <v>1</v>
      </c>
      <c r="G4059" t="s">
        <v>65</v>
      </c>
      <c r="H4059" t="s">
        <v>66</v>
      </c>
      <c r="I4059" s="3">
        <v>947</v>
      </c>
      <c r="J4059" s="3">
        <v>947</v>
      </c>
      <c r="K4059" s="3">
        <v>387</v>
      </c>
      <c r="L4059" t="s">
        <v>98</v>
      </c>
      <c r="M4059">
        <v>11</v>
      </c>
      <c r="N4059" t="s">
        <v>10</v>
      </c>
      <c r="O4059" t="s">
        <v>11</v>
      </c>
      <c r="P4059" t="s">
        <v>12</v>
      </c>
      <c r="Q4059" t="s">
        <v>13</v>
      </c>
      <c r="R4059" t="s">
        <v>13</v>
      </c>
      <c r="S4059" t="s">
        <v>144</v>
      </c>
      <c r="T4059" s="2">
        <f>MASTER[[#This Row],[CANTIDAD]]*MASTER[[#This Row],[PRECIO DE VENTA]]</f>
        <v>947</v>
      </c>
      <c r="U4059" s="2">
        <f>MASTER[[#This Row],[CANTIDAD]]*MASTER[[#This Row],[COSTO UNITARIO]]</f>
        <v>387</v>
      </c>
      <c r="V4059" s="2">
        <f>MASTER[[#This Row],[MONTO VENDIDO]]-MASTER[[#This Row],[COSTO DE VENTA]]</f>
        <v>560</v>
      </c>
    </row>
    <row r="4060" spans="1:22" x14ac:dyDescent="0.3">
      <c r="A4060">
        <v>61274</v>
      </c>
      <c r="B4060">
        <v>1</v>
      </c>
      <c r="C4060" t="s">
        <v>121</v>
      </c>
      <c r="D4060" t="s">
        <v>122</v>
      </c>
      <c r="E4060" s="1">
        <v>44290</v>
      </c>
      <c r="F4060">
        <v>1</v>
      </c>
      <c r="G4060" t="s">
        <v>61</v>
      </c>
      <c r="H4060" t="s">
        <v>62</v>
      </c>
      <c r="I4060" s="3">
        <v>1144</v>
      </c>
      <c r="J4060" s="3">
        <v>1144</v>
      </c>
      <c r="K4060" s="3">
        <v>460</v>
      </c>
      <c r="L4060" t="s">
        <v>120</v>
      </c>
      <c r="M4060">
        <v>1</v>
      </c>
      <c r="N4060" t="s">
        <v>77</v>
      </c>
      <c r="O4060" t="s">
        <v>70</v>
      </c>
      <c r="P4060" t="s">
        <v>71</v>
      </c>
      <c r="Q4060" t="s">
        <v>72</v>
      </c>
      <c r="R4060" t="s">
        <v>139</v>
      </c>
      <c r="S4060" t="s">
        <v>144</v>
      </c>
      <c r="T4060" s="2">
        <f>MASTER[[#This Row],[CANTIDAD]]*MASTER[[#This Row],[PRECIO DE VENTA]]</f>
        <v>1144</v>
      </c>
      <c r="U4060" s="2">
        <f>MASTER[[#This Row],[CANTIDAD]]*MASTER[[#This Row],[COSTO UNITARIO]]</f>
        <v>460</v>
      </c>
      <c r="V4060" s="2">
        <f>MASTER[[#This Row],[MONTO VENDIDO]]-MASTER[[#This Row],[COSTO DE VENTA]]</f>
        <v>684</v>
      </c>
    </row>
    <row r="4061" spans="1:22" x14ac:dyDescent="0.3">
      <c r="A4061">
        <v>61281</v>
      </c>
      <c r="B4061">
        <v>1</v>
      </c>
      <c r="C4061" t="s">
        <v>92</v>
      </c>
      <c r="D4061" t="s">
        <v>93</v>
      </c>
      <c r="E4061" s="1">
        <v>44290</v>
      </c>
      <c r="F4061">
        <v>1</v>
      </c>
      <c r="G4061" t="s">
        <v>47</v>
      </c>
      <c r="H4061" t="s">
        <v>48</v>
      </c>
      <c r="I4061" s="3">
        <v>1681</v>
      </c>
      <c r="J4061" s="3">
        <v>1681</v>
      </c>
      <c r="K4061" s="3">
        <v>396</v>
      </c>
      <c r="L4061" t="s">
        <v>9</v>
      </c>
      <c r="M4061">
        <v>4</v>
      </c>
      <c r="N4061" t="s">
        <v>82</v>
      </c>
      <c r="O4061" t="s">
        <v>81</v>
      </c>
      <c r="P4061" t="s">
        <v>71</v>
      </c>
      <c r="Q4061" t="s">
        <v>72</v>
      </c>
      <c r="R4061" t="s">
        <v>139</v>
      </c>
      <c r="S4061" t="s">
        <v>144</v>
      </c>
      <c r="T4061" s="2">
        <f>MASTER[[#This Row],[CANTIDAD]]*MASTER[[#This Row],[PRECIO DE VENTA]]</f>
        <v>1681</v>
      </c>
      <c r="U4061" s="2">
        <f>MASTER[[#This Row],[CANTIDAD]]*MASTER[[#This Row],[COSTO UNITARIO]]</f>
        <v>396</v>
      </c>
      <c r="V4061" s="2">
        <f>MASTER[[#This Row],[MONTO VENDIDO]]-MASTER[[#This Row],[COSTO DE VENTA]]</f>
        <v>1285</v>
      </c>
    </row>
    <row r="4062" spans="1:22" x14ac:dyDescent="0.3">
      <c r="A4062">
        <v>61307</v>
      </c>
      <c r="B4062">
        <v>1</v>
      </c>
      <c r="C4062" t="s">
        <v>90</v>
      </c>
      <c r="D4062" t="s">
        <v>91</v>
      </c>
      <c r="E4062" s="1">
        <v>44291</v>
      </c>
      <c r="F4062">
        <v>1</v>
      </c>
      <c r="G4062" t="s">
        <v>24</v>
      </c>
      <c r="H4062" t="s">
        <v>25</v>
      </c>
      <c r="I4062" s="3">
        <v>2102</v>
      </c>
      <c r="J4062" s="3">
        <v>2102</v>
      </c>
      <c r="K4062" s="3">
        <v>420</v>
      </c>
      <c r="L4062" t="s">
        <v>9</v>
      </c>
      <c r="M4062">
        <v>1</v>
      </c>
      <c r="N4062" t="s">
        <v>77</v>
      </c>
      <c r="O4062" t="s">
        <v>70</v>
      </c>
      <c r="P4062" t="s">
        <v>71</v>
      </c>
      <c r="Q4062" t="s">
        <v>72</v>
      </c>
      <c r="R4062" t="s">
        <v>139</v>
      </c>
      <c r="S4062" t="s">
        <v>144</v>
      </c>
      <c r="T4062" s="2">
        <f>MASTER[[#This Row],[CANTIDAD]]*MASTER[[#This Row],[PRECIO DE VENTA]]</f>
        <v>2102</v>
      </c>
      <c r="U4062" s="2">
        <f>MASTER[[#This Row],[CANTIDAD]]*MASTER[[#This Row],[COSTO UNITARIO]]</f>
        <v>420</v>
      </c>
      <c r="V4062" s="2">
        <f>MASTER[[#This Row],[MONTO VENDIDO]]-MASTER[[#This Row],[COSTO DE VENTA]]</f>
        <v>1682</v>
      </c>
    </row>
    <row r="4063" spans="1:22" x14ac:dyDescent="0.3">
      <c r="A4063">
        <v>61315</v>
      </c>
      <c r="B4063">
        <v>1</v>
      </c>
      <c r="C4063" t="s">
        <v>92</v>
      </c>
      <c r="D4063" t="s">
        <v>93</v>
      </c>
      <c r="E4063" s="1">
        <v>44291</v>
      </c>
      <c r="F4063">
        <v>1</v>
      </c>
      <c r="G4063" t="s">
        <v>43</v>
      </c>
      <c r="H4063" t="s">
        <v>44</v>
      </c>
      <c r="I4063" s="3">
        <v>1681</v>
      </c>
      <c r="J4063" s="3">
        <v>1681</v>
      </c>
      <c r="K4063" s="3">
        <v>396</v>
      </c>
      <c r="L4063" t="s">
        <v>9</v>
      </c>
      <c r="M4063">
        <v>4</v>
      </c>
      <c r="N4063" t="s">
        <v>82</v>
      </c>
      <c r="O4063" t="s">
        <v>81</v>
      </c>
      <c r="P4063" t="s">
        <v>71</v>
      </c>
      <c r="Q4063" t="s">
        <v>72</v>
      </c>
      <c r="R4063" t="s">
        <v>139</v>
      </c>
      <c r="S4063" t="s">
        <v>144</v>
      </c>
      <c r="T4063" s="2">
        <f>MASTER[[#This Row],[CANTIDAD]]*MASTER[[#This Row],[PRECIO DE VENTA]]</f>
        <v>1681</v>
      </c>
      <c r="U4063" s="2">
        <f>MASTER[[#This Row],[CANTIDAD]]*MASTER[[#This Row],[COSTO UNITARIO]]</f>
        <v>396</v>
      </c>
      <c r="V4063" s="2">
        <f>MASTER[[#This Row],[MONTO VENDIDO]]-MASTER[[#This Row],[COSTO DE VENTA]]</f>
        <v>1285</v>
      </c>
    </row>
    <row r="4064" spans="1:22" x14ac:dyDescent="0.3">
      <c r="A4064">
        <v>61319</v>
      </c>
      <c r="B4064">
        <v>1</v>
      </c>
      <c r="C4064" t="s">
        <v>121</v>
      </c>
      <c r="D4064" t="s">
        <v>122</v>
      </c>
      <c r="E4064" s="1">
        <v>44291</v>
      </c>
      <c r="F4064">
        <v>1</v>
      </c>
      <c r="G4064" t="s">
        <v>73</v>
      </c>
      <c r="H4064" t="s">
        <v>74</v>
      </c>
      <c r="I4064" s="3">
        <v>1144</v>
      </c>
      <c r="J4064" s="3">
        <v>1144</v>
      </c>
      <c r="K4064" s="3">
        <v>460</v>
      </c>
      <c r="L4064" t="s">
        <v>120</v>
      </c>
      <c r="M4064">
        <v>9</v>
      </c>
      <c r="N4064" t="s">
        <v>76</v>
      </c>
      <c r="O4064" t="s">
        <v>70</v>
      </c>
      <c r="P4064" t="s">
        <v>12</v>
      </c>
      <c r="Q4064" t="s">
        <v>13</v>
      </c>
      <c r="R4064" t="s">
        <v>13</v>
      </c>
      <c r="S4064" t="s">
        <v>144</v>
      </c>
      <c r="T4064" s="2">
        <f>MASTER[[#This Row],[CANTIDAD]]*MASTER[[#This Row],[PRECIO DE VENTA]]</f>
        <v>1144</v>
      </c>
      <c r="U4064" s="2">
        <f>MASTER[[#This Row],[CANTIDAD]]*MASTER[[#This Row],[COSTO UNITARIO]]</f>
        <v>460</v>
      </c>
      <c r="V4064" s="2">
        <f>MASTER[[#This Row],[MONTO VENDIDO]]-MASTER[[#This Row],[COSTO DE VENTA]]</f>
        <v>684</v>
      </c>
    </row>
    <row r="4065" spans="1:22" x14ac:dyDescent="0.3">
      <c r="A4065">
        <v>61320</v>
      </c>
      <c r="B4065">
        <v>1</v>
      </c>
      <c r="C4065" t="s">
        <v>121</v>
      </c>
      <c r="D4065" t="s">
        <v>122</v>
      </c>
      <c r="E4065" s="1">
        <v>44291</v>
      </c>
      <c r="F4065">
        <v>1</v>
      </c>
      <c r="G4065" t="s">
        <v>31</v>
      </c>
      <c r="H4065" t="s">
        <v>32</v>
      </c>
      <c r="I4065" s="3">
        <v>1069</v>
      </c>
      <c r="J4065" s="3">
        <v>1069</v>
      </c>
      <c r="K4065" s="3">
        <v>460</v>
      </c>
      <c r="L4065" t="s">
        <v>120</v>
      </c>
      <c r="M4065">
        <v>10</v>
      </c>
      <c r="N4065" t="s">
        <v>83</v>
      </c>
      <c r="O4065" t="s">
        <v>81</v>
      </c>
      <c r="P4065" t="s">
        <v>12</v>
      </c>
      <c r="Q4065" t="s">
        <v>13</v>
      </c>
      <c r="R4065" t="s">
        <v>13</v>
      </c>
      <c r="S4065" t="s">
        <v>144</v>
      </c>
      <c r="T4065" s="2">
        <f>MASTER[[#This Row],[CANTIDAD]]*MASTER[[#This Row],[PRECIO DE VENTA]]</f>
        <v>1069</v>
      </c>
      <c r="U4065" s="2">
        <f>MASTER[[#This Row],[CANTIDAD]]*MASTER[[#This Row],[COSTO UNITARIO]]</f>
        <v>460</v>
      </c>
      <c r="V4065" s="2">
        <f>MASTER[[#This Row],[MONTO VENDIDO]]-MASTER[[#This Row],[COSTO DE VENTA]]</f>
        <v>609</v>
      </c>
    </row>
    <row r="4066" spans="1:22" x14ac:dyDescent="0.3">
      <c r="A4066">
        <v>61325</v>
      </c>
      <c r="B4066">
        <v>1</v>
      </c>
      <c r="C4066" t="s">
        <v>118</v>
      </c>
      <c r="D4066" t="s">
        <v>119</v>
      </c>
      <c r="E4066" s="1">
        <v>44291</v>
      </c>
      <c r="F4066">
        <v>1</v>
      </c>
      <c r="G4066" t="s">
        <v>65</v>
      </c>
      <c r="H4066" t="s">
        <v>66</v>
      </c>
      <c r="I4066" s="3">
        <v>900</v>
      </c>
      <c r="J4066" s="3">
        <v>900</v>
      </c>
      <c r="K4066" s="3">
        <v>424</v>
      </c>
      <c r="L4066" t="s">
        <v>120</v>
      </c>
      <c r="M4066">
        <v>10</v>
      </c>
      <c r="N4066" t="s">
        <v>83</v>
      </c>
      <c r="O4066" t="s">
        <v>81</v>
      </c>
      <c r="P4066" t="s">
        <v>12</v>
      </c>
      <c r="Q4066" t="s">
        <v>13</v>
      </c>
      <c r="R4066" t="s">
        <v>13</v>
      </c>
      <c r="S4066" t="s">
        <v>144</v>
      </c>
      <c r="T4066" s="2">
        <f>MASTER[[#This Row],[CANTIDAD]]*MASTER[[#This Row],[PRECIO DE VENTA]]</f>
        <v>900</v>
      </c>
      <c r="U4066" s="2">
        <f>MASTER[[#This Row],[CANTIDAD]]*MASTER[[#This Row],[COSTO UNITARIO]]</f>
        <v>424</v>
      </c>
      <c r="V4066" s="2">
        <f>MASTER[[#This Row],[MONTO VENDIDO]]-MASTER[[#This Row],[COSTO DE VENTA]]</f>
        <v>476</v>
      </c>
    </row>
    <row r="4067" spans="1:22" x14ac:dyDescent="0.3">
      <c r="A4067">
        <v>61330</v>
      </c>
      <c r="B4067">
        <v>2</v>
      </c>
      <c r="C4067" t="s">
        <v>109</v>
      </c>
      <c r="D4067" t="s">
        <v>110</v>
      </c>
      <c r="E4067" s="1">
        <v>44291</v>
      </c>
      <c r="F4067">
        <v>1</v>
      </c>
      <c r="G4067" t="s">
        <v>43</v>
      </c>
      <c r="H4067" t="s">
        <v>44</v>
      </c>
      <c r="I4067" s="3">
        <v>1128</v>
      </c>
      <c r="J4067" s="3">
        <v>1128</v>
      </c>
      <c r="K4067" s="3">
        <v>387</v>
      </c>
      <c r="L4067" t="s">
        <v>98</v>
      </c>
      <c r="M4067">
        <v>3</v>
      </c>
      <c r="N4067" t="s">
        <v>69</v>
      </c>
      <c r="O4067" t="s">
        <v>70</v>
      </c>
      <c r="P4067" t="s">
        <v>71</v>
      </c>
      <c r="Q4067" t="s">
        <v>72</v>
      </c>
      <c r="R4067" t="s">
        <v>139</v>
      </c>
      <c r="S4067" t="s">
        <v>144</v>
      </c>
      <c r="T4067" s="2">
        <f>MASTER[[#This Row],[CANTIDAD]]*MASTER[[#This Row],[PRECIO DE VENTA]]</f>
        <v>1128</v>
      </c>
      <c r="U4067" s="2">
        <f>MASTER[[#This Row],[CANTIDAD]]*MASTER[[#This Row],[COSTO UNITARIO]]</f>
        <v>387</v>
      </c>
      <c r="V4067" s="2">
        <f>MASTER[[#This Row],[MONTO VENDIDO]]-MASTER[[#This Row],[COSTO DE VENTA]]</f>
        <v>741</v>
      </c>
    </row>
    <row r="4068" spans="1:22" x14ac:dyDescent="0.3">
      <c r="A4068">
        <v>61330</v>
      </c>
      <c r="B4068">
        <v>1</v>
      </c>
      <c r="C4068" t="s">
        <v>116</v>
      </c>
      <c r="D4068" t="s">
        <v>117</v>
      </c>
      <c r="E4068" s="1">
        <v>44291</v>
      </c>
      <c r="F4068">
        <v>1</v>
      </c>
      <c r="G4068" t="s">
        <v>57</v>
      </c>
      <c r="H4068" t="s">
        <v>58</v>
      </c>
      <c r="I4068" s="3">
        <v>1999</v>
      </c>
      <c r="J4068" s="3">
        <v>1999</v>
      </c>
      <c r="K4068" s="3">
        <v>388</v>
      </c>
      <c r="L4068" t="s">
        <v>113</v>
      </c>
      <c r="M4068">
        <v>3</v>
      </c>
      <c r="N4068" t="s">
        <v>69</v>
      </c>
      <c r="O4068" t="s">
        <v>70</v>
      </c>
      <c r="P4068" t="s">
        <v>71</v>
      </c>
      <c r="Q4068" t="s">
        <v>72</v>
      </c>
      <c r="R4068" t="s">
        <v>139</v>
      </c>
      <c r="S4068" t="s">
        <v>144</v>
      </c>
      <c r="T4068" s="2">
        <f>MASTER[[#This Row],[CANTIDAD]]*MASTER[[#This Row],[PRECIO DE VENTA]]</f>
        <v>1999</v>
      </c>
      <c r="U4068" s="2">
        <f>MASTER[[#This Row],[CANTIDAD]]*MASTER[[#This Row],[COSTO UNITARIO]]</f>
        <v>388</v>
      </c>
      <c r="V4068" s="2">
        <f>MASTER[[#This Row],[MONTO VENDIDO]]-MASTER[[#This Row],[COSTO DE VENTA]]</f>
        <v>1611</v>
      </c>
    </row>
    <row r="4069" spans="1:22" x14ac:dyDescent="0.3">
      <c r="A4069">
        <v>61338</v>
      </c>
      <c r="B4069">
        <v>1</v>
      </c>
      <c r="C4069" t="s">
        <v>99</v>
      </c>
      <c r="D4069" t="s">
        <v>100</v>
      </c>
      <c r="E4069" s="1">
        <v>44292</v>
      </c>
      <c r="F4069">
        <v>1</v>
      </c>
      <c r="G4069" t="s">
        <v>22</v>
      </c>
      <c r="H4069" t="s">
        <v>23</v>
      </c>
      <c r="I4069" s="3">
        <v>1678</v>
      </c>
      <c r="J4069" s="3">
        <v>1678</v>
      </c>
      <c r="K4069" s="3">
        <v>386</v>
      </c>
      <c r="L4069" t="s">
        <v>98</v>
      </c>
      <c r="M4069">
        <v>13</v>
      </c>
      <c r="N4069" t="s">
        <v>78</v>
      </c>
      <c r="O4069" t="s">
        <v>70</v>
      </c>
      <c r="P4069" t="s">
        <v>18</v>
      </c>
      <c r="Q4069" t="s">
        <v>19</v>
      </c>
      <c r="R4069" t="s">
        <v>138</v>
      </c>
      <c r="S4069" t="s">
        <v>144</v>
      </c>
      <c r="T4069" s="2">
        <f>MASTER[[#This Row],[CANTIDAD]]*MASTER[[#This Row],[PRECIO DE VENTA]]</f>
        <v>1678</v>
      </c>
      <c r="U4069" s="2">
        <f>MASTER[[#This Row],[CANTIDAD]]*MASTER[[#This Row],[COSTO UNITARIO]]</f>
        <v>386</v>
      </c>
      <c r="V4069" s="2">
        <f>MASTER[[#This Row],[MONTO VENDIDO]]-MASTER[[#This Row],[COSTO DE VENTA]]</f>
        <v>1292</v>
      </c>
    </row>
    <row r="4070" spans="1:22" x14ac:dyDescent="0.3">
      <c r="A4070">
        <v>61360</v>
      </c>
      <c r="B4070">
        <v>1</v>
      </c>
      <c r="C4070" t="s">
        <v>107</v>
      </c>
      <c r="D4070" t="s">
        <v>108</v>
      </c>
      <c r="E4070" s="1">
        <v>44292</v>
      </c>
      <c r="F4070">
        <v>1</v>
      </c>
      <c r="G4070" t="s">
        <v>35</v>
      </c>
      <c r="H4070" t="s">
        <v>36</v>
      </c>
      <c r="I4070" s="3">
        <v>1440</v>
      </c>
      <c r="J4070" s="3">
        <v>1440</v>
      </c>
      <c r="K4070" s="3">
        <v>380</v>
      </c>
      <c r="L4070" t="s">
        <v>98</v>
      </c>
      <c r="M4070">
        <v>9</v>
      </c>
      <c r="N4070" t="s">
        <v>76</v>
      </c>
      <c r="O4070" t="s">
        <v>70</v>
      </c>
      <c r="P4070" t="s">
        <v>12</v>
      </c>
      <c r="Q4070" t="s">
        <v>13</v>
      </c>
      <c r="R4070" t="s">
        <v>13</v>
      </c>
      <c r="S4070" t="s">
        <v>144</v>
      </c>
      <c r="T4070" s="2">
        <f>MASTER[[#This Row],[CANTIDAD]]*MASTER[[#This Row],[PRECIO DE VENTA]]</f>
        <v>1440</v>
      </c>
      <c r="U4070" s="2">
        <f>MASTER[[#This Row],[CANTIDAD]]*MASTER[[#This Row],[COSTO UNITARIO]]</f>
        <v>380</v>
      </c>
      <c r="V4070" s="2">
        <f>MASTER[[#This Row],[MONTO VENDIDO]]-MASTER[[#This Row],[COSTO DE VENTA]]</f>
        <v>1060</v>
      </c>
    </row>
    <row r="4071" spans="1:22" x14ac:dyDescent="0.3">
      <c r="A4071">
        <v>61366</v>
      </c>
      <c r="B4071">
        <v>1</v>
      </c>
      <c r="C4071" t="s">
        <v>5</v>
      </c>
      <c r="D4071" t="s">
        <v>6</v>
      </c>
      <c r="E4071" s="1">
        <v>44292</v>
      </c>
      <c r="F4071">
        <v>1</v>
      </c>
      <c r="G4071" t="s">
        <v>67</v>
      </c>
      <c r="H4071" t="s">
        <v>68</v>
      </c>
      <c r="I4071" s="3">
        <v>1296</v>
      </c>
      <c r="J4071" s="3">
        <v>1218</v>
      </c>
      <c r="K4071" s="3">
        <v>393</v>
      </c>
      <c r="L4071" t="s">
        <v>9</v>
      </c>
      <c r="M4071">
        <v>18</v>
      </c>
      <c r="N4071" t="s">
        <v>79</v>
      </c>
      <c r="O4071" t="s">
        <v>70</v>
      </c>
      <c r="P4071" t="s">
        <v>15</v>
      </c>
      <c r="Q4071" t="s">
        <v>16</v>
      </c>
      <c r="R4071" t="s">
        <v>16</v>
      </c>
      <c r="S4071" t="s">
        <v>144</v>
      </c>
      <c r="T4071" s="2">
        <f>MASTER[[#This Row],[CANTIDAD]]*MASTER[[#This Row],[PRECIO DE VENTA]]</f>
        <v>1218</v>
      </c>
      <c r="U4071" s="2">
        <f>MASTER[[#This Row],[CANTIDAD]]*MASTER[[#This Row],[COSTO UNITARIO]]</f>
        <v>393</v>
      </c>
      <c r="V4071" s="2">
        <f>MASTER[[#This Row],[MONTO VENDIDO]]-MASTER[[#This Row],[COSTO DE VENTA]]</f>
        <v>825</v>
      </c>
    </row>
    <row r="4072" spans="1:22" x14ac:dyDescent="0.3">
      <c r="A4072">
        <v>61378</v>
      </c>
      <c r="B4072">
        <v>1</v>
      </c>
      <c r="C4072" t="s">
        <v>107</v>
      </c>
      <c r="D4072" t="s">
        <v>108</v>
      </c>
      <c r="E4072" s="1">
        <v>44292</v>
      </c>
      <c r="F4072">
        <v>1</v>
      </c>
      <c r="G4072" t="s">
        <v>43</v>
      </c>
      <c r="H4072" t="s">
        <v>44</v>
      </c>
      <c r="I4072" s="3">
        <v>1240</v>
      </c>
      <c r="J4072" s="3">
        <v>1165</v>
      </c>
      <c r="K4072" s="3">
        <v>380</v>
      </c>
      <c r="L4072" t="s">
        <v>98</v>
      </c>
      <c r="M4072">
        <v>12</v>
      </c>
      <c r="N4072" t="s">
        <v>26</v>
      </c>
      <c r="O4072" t="s">
        <v>11</v>
      </c>
      <c r="P4072" t="s">
        <v>12</v>
      </c>
      <c r="Q4072" t="s">
        <v>13</v>
      </c>
      <c r="R4072" t="s">
        <v>13</v>
      </c>
      <c r="S4072" t="s">
        <v>144</v>
      </c>
      <c r="T4072" s="2">
        <f>MASTER[[#This Row],[CANTIDAD]]*MASTER[[#This Row],[PRECIO DE VENTA]]</f>
        <v>1165</v>
      </c>
      <c r="U4072" s="2">
        <f>MASTER[[#This Row],[CANTIDAD]]*MASTER[[#This Row],[COSTO UNITARIO]]</f>
        <v>380</v>
      </c>
      <c r="V4072" s="2">
        <f>MASTER[[#This Row],[MONTO VENDIDO]]-MASTER[[#This Row],[COSTO DE VENTA]]</f>
        <v>785</v>
      </c>
    </row>
    <row r="4073" spans="1:22" x14ac:dyDescent="0.3">
      <c r="A4073">
        <v>61379</v>
      </c>
      <c r="B4073">
        <v>1</v>
      </c>
      <c r="C4073" t="s">
        <v>103</v>
      </c>
      <c r="D4073" t="s">
        <v>104</v>
      </c>
      <c r="E4073" s="1">
        <v>44292</v>
      </c>
      <c r="F4073">
        <v>1</v>
      </c>
      <c r="G4073" t="s">
        <v>22</v>
      </c>
      <c r="H4073" t="s">
        <v>23</v>
      </c>
      <c r="I4073" s="3">
        <v>1591</v>
      </c>
      <c r="J4073" s="3">
        <v>1591</v>
      </c>
      <c r="K4073" s="3">
        <v>421</v>
      </c>
      <c r="L4073" t="s">
        <v>98</v>
      </c>
      <c r="M4073">
        <v>2</v>
      </c>
      <c r="N4073" t="s">
        <v>86</v>
      </c>
      <c r="O4073" t="s">
        <v>81</v>
      </c>
      <c r="P4073" t="s">
        <v>71</v>
      </c>
      <c r="Q4073" t="s">
        <v>72</v>
      </c>
      <c r="R4073" t="s">
        <v>139</v>
      </c>
      <c r="S4073" t="s">
        <v>144</v>
      </c>
      <c r="T4073" s="2">
        <f>MASTER[[#This Row],[CANTIDAD]]*MASTER[[#This Row],[PRECIO DE VENTA]]</f>
        <v>1591</v>
      </c>
      <c r="U4073" s="2">
        <f>MASTER[[#This Row],[CANTIDAD]]*MASTER[[#This Row],[COSTO UNITARIO]]</f>
        <v>421</v>
      </c>
      <c r="V4073" s="2">
        <f>MASTER[[#This Row],[MONTO VENDIDO]]-MASTER[[#This Row],[COSTO DE VENTA]]</f>
        <v>1170</v>
      </c>
    </row>
    <row r="4074" spans="1:22" x14ac:dyDescent="0.3">
      <c r="A4074">
        <v>61381</v>
      </c>
      <c r="B4074">
        <v>1</v>
      </c>
      <c r="C4074" t="s">
        <v>5</v>
      </c>
      <c r="D4074" t="s">
        <v>6</v>
      </c>
      <c r="E4074" s="1">
        <v>44292</v>
      </c>
      <c r="F4074">
        <v>1</v>
      </c>
      <c r="G4074" t="s">
        <v>41</v>
      </c>
      <c r="H4074" t="s">
        <v>42</v>
      </c>
      <c r="I4074" s="3">
        <v>1311</v>
      </c>
      <c r="J4074" s="3">
        <v>1311</v>
      </c>
      <c r="K4074" s="3">
        <v>393</v>
      </c>
      <c r="L4074" t="s">
        <v>9</v>
      </c>
      <c r="M4074">
        <v>16</v>
      </c>
      <c r="N4074" t="s">
        <v>17</v>
      </c>
      <c r="O4074" t="s">
        <v>11</v>
      </c>
      <c r="P4074" t="s">
        <v>18</v>
      </c>
      <c r="Q4074" t="s">
        <v>19</v>
      </c>
      <c r="R4074" t="s">
        <v>138</v>
      </c>
      <c r="S4074" t="s">
        <v>144</v>
      </c>
      <c r="T4074" s="2">
        <f>MASTER[[#This Row],[CANTIDAD]]*MASTER[[#This Row],[PRECIO DE VENTA]]</f>
        <v>1311</v>
      </c>
      <c r="U4074" s="2">
        <f>MASTER[[#This Row],[CANTIDAD]]*MASTER[[#This Row],[COSTO UNITARIO]]</f>
        <v>393</v>
      </c>
      <c r="V4074" s="2">
        <f>MASTER[[#This Row],[MONTO VENDIDO]]-MASTER[[#This Row],[COSTO DE VENTA]]</f>
        <v>918</v>
      </c>
    </row>
    <row r="4075" spans="1:22" x14ac:dyDescent="0.3">
      <c r="A4075">
        <v>61394</v>
      </c>
      <c r="B4075">
        <v>1</v>
      </c>
      <c r="C4075" t="s">
        <v>116</v>
      </c>
      <c r="D4075" t="s">
        <v>117</v>
      </c>
      <c r="E4075" s="1">
        <v>44292</v>
      </c>
      <c r="F4075">
        <v>1</v>
      </c>
      <c r="G4075" t="s">
        <v>53</v>
      </c>
      <c r="H4075" t="s">
        <v>54</v>
      </c>
      <c r="I4075" s="3">
        <v>1999</v>
      </c>
      <c r="J4075" s="3">
        <v>1999</v>
      </c>
      <c r="K4075" s="3">
        <v>388</v>
      </c>
      <c r="L4075" t="s">
        <v>113</v>
      </c>
      <c r="M4075">
        <v>1</v>
      </c>
      <c r="N4075" t="s">
        <v>77</v>
      </c>
      <c r="O4075" t="s">
        <v>70</v>
      </c>
      <c r="P4075" t="s">
        <v>71</v>
      </c>
      <c r="Q4075" t="s">
        <v>72</v>
      </c>
      <c r="R4075" t="s">
        <v>139</v>
      </c>
      <c r="S4075" t="s">
        <v>144</v>
      </c>
      <c r="T4075" s="2">
        <f>MASTER[[#This Row],[CANTIDAD]]*MASTER[[#This Row],[PRECIO DE VENTA]]</f>
        <v>1999</v>
      </c>
      <c r="U4075" s="2">
        <f>MASTER[[#This Row],[CANTIDAD]]*MASTER[[#This Row],[COSTO UNITARIO]]</f>
        <v>388</v>
      </c>
      <c r="V4075" s="2">
        <f>MASTER[[#This Row],[MONTO VENDIDO]]-MASTER[[#This Row],[COSTO DE VENTA]]</f>
        <v>1611</v>
      </c>
    </row>
    <row r="4076" spans="1:22" x14ac:dyDescent="0.3">
      <c r="A4076">
        <v>61401</v>
      </c>
      <c r="B4076">
        <v>1</v>
      </c>
      <c r="C4076" t="s">
        <v>90</v>
      </c>
      <c r="D4076" t="s">
        <v>91</v>
      </c>
      <c r="E4076" s="1">
        <v>44292</v>
      </c>
      <c r="F4076">
        <v>1</v>
      </c>
      <c r="G4076" t="s">
        <v>49</v>
      </c>
      <c r="H4076" t="s">
        <v>50</v>
      </c>
      <c r="I4076" s="3">
        <v>1844</v>
      </c>
      <c r="J4076" s="3">
        <v>1844</v>
      </c>
      <c r="K4076" s="3">
        <v>420</v>
      </c>
      <c r="L4076" t="s">
        <v>9</v>
      </c>
      <c r="M4076">
        <v>8</v>
      </c>
      <c r="N4076" t="s">
        <v>80</v>
      </c>
      <c r="O4076" t="s">
        <v>81</v>
      </c>
      <c r="P4076" t="s">
        <v>12</v>
      </c>
      <c r="Q4076" t="s">
        <v>13</v>
      </c>
      <c r="R4076" t="s">
        <v>13</v>
      </c>
      <c r="S4076" t="s">
        <v>144</v>
      </c>
      <c r="T4076" s="2">
        <f>MASTER[[#This Row],[CANTIDAD]]*MASTER[[#This Row],[PRECIO DE VENTA]]</f>
        <v>1844</v>
      </c>
      <c r="U4076" s="2">
        <f>MASTER[[#This Row],[CANTIDAD]]*MASTER[[#This Row],[COSTO UNITARIO]]</f>
        <v>420</v>
      </c>
      <c r="V4076" s="2">
        <f>MASTER[[#This Row],[MONTO VENDIDO]]-MASTER[[#This Row],[COSTO DE VENTA]]</f>
        <v>1424</v>
      </c>
    </row>
    <row r="4077" spans="1:22" x14ac:dyDescent="0.3">
      <c r="A4077">
        <v>61416</v>
      </c>
      <c r="B4077">
        <v>1</v>
      </c>
      <c r="C4077" t="s">
        <v>92</v>
      </c>
      <c r="D4077" t="s">
        <v>93</v>
      </c>
      <c r="E4077" s="1">
        <v>44292</v>
      </c>
      <c r="F4077">
        <v>1</v>
      </c>
      <c r="G4077" t="s">
        <v>53</v>
      </c>
      <c r="H4077" t="s">
        <v>54</v>
      </c>
      <c r="I4077" s="3">
        <v>1479</v>
      </c>
      <c r="J4077" s="3">
        <v>1479</v>
      </c>
      <c r="K4077" s="3">
        <v>396</v>
      </c>
      <c r="L4077" t="s">
        <v>9</v>
      </c>
      <c r="M4077">
        <v>12</v>
      </c>
      <c r="N4077" t="s">
        <v>26</v>
      </c>
      <c r="O4077" t="s">
        <v>11</v>
      </c>
      <c r="P4077" t="s">
        <v>12</v>
      </c>
      <c r="Q4077" t="s">
        <v>13</v>
      </c>
      <c r="R4077" t="s">
        <v>13</v>
      </c>
      <c r="S4077" t="s">
        <v>144</v>
      </c>
      <c r="T4077" s="2">
        <f>MASTER[[#This Row],[CANTIDAD]]*MASTER[[#This Row],[PRECIO DE VENTA]]</f>
        <v>1479</v>
      </c>
      <c r="U4077" s="2">
        <f>MASTER[[#This Row],[CANTIDAD]]*MASTER[[#This Row],[COSTO UNITARIO]]</f>
        <v>396</v>
      </c>
      <c r="V4077" s="2">
        <f>MASTER[[#This Row],[MONTO VENDIDO]]-MASTER[[#This Row],[COSTO DE VENTA]]</f>
        <v>1083</v>
      </c>
    </row>
    <row r="4078" spans="1:22" x14ac:dyDescent="0.3">
      <c r="A4078">
        <v>61428</v>
      </c>
      <c r="B4078">
        <v>1</v>
      </c>
      <c r="C4078" t="s">
        <v>101</v>
      </c>
      <c r="D4078" t="s">
        <v>102</v>
      </c>
      <c r="E4078" s="1">
        <v>44292</v>
      </c>
      <c r="F4078">
        <v>1</v>
      </c>
      <c r="G4078" t="s">
        <v>24</v>
      </c>
      <c r="H4078" t="s">
        <v>25</v>
      </c>
      <c r="I4078" s="3">
        <v>1357</v>
      </c>
      <c r="J4078" s="3">
        <v>1357</v>
      </c>
      <c r="K4078" s="3">
        <v>442</v>
      </c>
      <c r="L4078" t="s">
        <v>98</v>
      </c>
      <c r="M4078">
        <v>18</v>
      </c>
      <c r="N4078" t="s">
        <v>79</v>
      </c>
      <c r="O4078" t="s">
        <v>70</v>
      </c>
      <c r="P4078" t="s">
        <v>15</v>
      </c>
      <c r="Q4078" t="s">
        <v>16</v>
      </c>
      <c r="R4078" t="s">
        <v>16</v>
      </c>
      <c r="S4078" t="s">
        <v>144</v>
      </c>
      <c r="T4078" s="2">
        <f>MASTER[[#This Row],[CANTIDAD]]*MASTER[[#This Row],[PRECIO DE VENTA]]</f>
        <v>1357</v>
      </c>
      <c r="U4078" s="2">
        <f>MASTER[[#This Row],[CANTIDAD]]*MASTER[[#This Row],[COSTO UNITARIO]]</f>
        <v>442</v>
      </c>
      <c r="V4078" s="2">
        <f>MASTER[[#This Row],[MONTO VENDIDO]]-MASTER[[#This Row],[COSTO DE VENTA]]</f>
        <v>915</v>
      </c>
    </row>
    <row r="4079" spans="1:22" x14ac:dyDescent="0.3">
      <c r="A4079">
        <v>61432</v>
      </c>
      <c r="B4079">
        <v>1</v>
      </c>
      <c r="C4079" t="s">
        <v>111</v>
      </c>
      <c r="D4079" t="s">
        <v>112</v>
      </c>
      <c r="E4079" s="1">
        <v>44292</v>
      </c>
      <c r="F4079">
        <v>1</v>
      </c>
      <c r="G4079" t="s">
        <v>24</v>
      </c>
      <c r="H4079" t="s">
        <v>25</v>
      </c>
      <c r="I4079" s="3">
        <v>1799</v>
      </c>
      <c r="J4079" s="3">
        <v>1799</v>
      </c>
      <c r="K4079" s="3">
        <v>434</v>
      </c>
      <c r="L4079" t="s">
        <v>113</v>
      </c>
      <c r="M4079">
        <v>6</v>
      </c>
      <c r="N4079" t="s">
        <v>75</v>
      </c>
      <c r="O4079" t="s">
        <v>70</v>
      </c>
      <c r="P4079" t="s">
        <v>12</v>
      </c>
      <c r="Q4079" t="s">
        <v>13</v>
      </c>
      <c r="R4079" t="s">
        <v>13</v>
      </c>
      <c r="S4079" t="s">
        <v>144</v>
      </c>
      <c r="T4079" s="2">
        <f>MASTER[[#This Row],[CANTIDAD]]*MASTER[[#This Row],[PRECIO DE VENTA]]</f>
        <v>1799</v>
      </c>
      <c r="U4079" s="2">
        <f>MASTER[[#This Row],[CANTIDAD]]*MASTER[[#This Row],[COSTO UNITARIO]]</f>
        <v>434</v>
      </c>
      <c r="V4079" s="2">
        <f>MASTER[[#This Row],[MONTO VENDIDO]]-MASTER[[#This Row],[COSTO DE VENTA]]</f>
        <v>1365</v>
      </c>
    </row>
    <row r="4080" spans="1:22" x14ac:dyDescent="0.3">
      <c r="A4080">
        <v>61463</v>
      </c>
      <c r="B4080">
        <v>1</v>
      </c>
      <c r="C4080" t="s">
        <v>92</v>
      </c>
      <c r="D4080" t="s">
        <v>93</v>
      </c>
      <c r="E4080" s="1">
        <v>44292</v>
      </c>
      <c r="F4080">
        <v>1</v>
      </c>
      <c r="G4080" t="s">
        <v>63</v>
      </c>
      <c r="H4080" t="s">
        <v>64</v>
      </c>
      <c r="I4080" s="3">
        <v>1866</v>
      </c>
      <c r="J4080" s="3">
        <v>1866</v>
      </c>
      <c r="K4080" s="3">
        <v>396</v>
      </c>
      <c r="L4080" t="s">
        <v>9</v>
      </c>
      <c r="M4080">
        <v>1</v>
      </c>
      <c r="N4080" t="s">
        <v>77</v>
      </c>
      <c r="O4080" t="s">
        <v>70</v>
      </c>
      <c r="P4080" t="s">
        <v>71</v>
      </c>
      <c r="Q4080" t="s">
        <v>72</v>
      </c>
      <c r="R4080" t="s">
        <v>139</v>
      </c>
      <c r="S4080" t="s">
        <v>144</v>
      </c>
      <c r="T4080" s="2">
        <f>MASTER[[#This Row],[CANTIDAD]]*MASTER[[#This Row],[PRECIO DE VENTA]]</f>
        <v>1866</v>
      </c>
      <c r="U4080" s="2">
        <f>MASTER[[#This Row],[CANTIDAD]]*MASTER[[#This Row],[COSTO UNITARIO]]</f>
        <v>396</v>
      </c>
      <c r="V4080" s="2">
        <f>MASTER[[#This Row],[MONTO VENDIDO]]-MASTER[[#This Row],[COSTO DE VENTA]]</f>
        <v>1470</v>
      </c>
    </row>
    <row r="4081" spans="1:22" x14ac:dyDescent="0.3">
      <c r="A4081">
        <v>61474</v>
      </c>
      <c r="B4081">
        <v>1</v>
      </c>
      <c r="C4081" t="s">
        <v>109</v>
      </c>
      <c r="D4081" t="s">
        <v>110</v>
      </c>
      <c r="E4081" s="1">
        <v>44292</v>
      </c>
      <c r="F4081">
        <v>1</v>
      </c>
      <c r="G4081" t="s">
        <v>35</v>
      </c>
      <c r="H4081" t="s">
        <v>36</v>
      </c>
      <c r="I4081" s="3">
        <v>1128</v>
      </c>
      <c r="J4081" s="3">
        <v>1128</v>
      </c>
      <c r="K4081" s="3">
        <v>387</v>
      </c>
      <c r="L4081" t="s">
        <v>98</v>
      </c>
      <c r="M4081">
        <v>3</v>
      </c>
      <c r="N4081" t="s">
        <v>69</v>
      </c>
      <c r="O4081" t="s">
        <v>70</v>
      </c>
      <c r="P4081" t="s">
        <v>71</v>
      </c>
      <c r="Q4081" t="s">
        <v>72</v>
      </c>
      <c r="R4081" t="s">
        <v>139</v>
      </c>
      <c r="S4081" t="s">
        <v>144</v>
      </c>
      <c r="T4081" s="2">
        <f>MASTER[[#This Row],[CANTIDAD]]*MASTER[[#This Row],[PRECIO DE VENTA]]</f>
        <v>1128</v>
      </c>
      <c r="U4081" s="2">
        <f>MASTER[[#This Row],[CANTIDAD]]*MASTER[[#This Row],[COSTO UNITARIO]]</f>
        <v>387</v>
      </c>
      <c r="V4081" s="2">
        <f>MASTER[[#This Row],[MONTO VENDIDO]]-MASTER[[#This Row],[COSTO DE VENTA]]</f>
        <v>741</v>
      </c>
    </row>
    <row r="4082" spans="1:22" x14ac:dyDescent="0.3">
      <c r="A4082">
        <v>61478</v>
      </c>
      <c r="B4082">
        <v>1</v>
      </c>
      <c r="C4082" t="s">
        <v>107</v>
      </c>
      <c r="D4082" t="s">
        <v>108</v>
      </c>
      <c r="E4082" s="1">
        <v>44292</v>
      </c>
      <c r="F4082">
        <v>4</v>
      </c>
      <c r="G4082" t="s">
        <v>51</v>
      </c>
      <c r="H4082" t="s">
        <v>52</v>
      </c>
      <c r="I4082" s="3">
        <v>1333</v>
      </c>
      <c r="J4082" s="3">
        <v>1333</v>
      </c>
      <c r="K4082" s="3">
        <v>380</v>
      </c>
      <c r="L4082" t="s">
        <v>98</v>
      </c>
      <c r="M4082">
        <v>2</v>
      </c>
      <c r="N4082" t="s">
        <v>86</v>
      </c>
      <c r="O4082" t="s">
        <v>81</v>
      </c>
      <c r="P4082" t="s">
        <v>71</v>
      </c>
      <c r="Q4082" t="s">
        <v>72</v>
      </c>
      <c r="R4082" t="s">
        <v>139</v>
      </c>
      <c r="S4082" t="s">
        <v>144</v>
      </c>
      <c r="T4082" s="2">
        <f>MASTER[[#This Row],[CANTIDAD]]*MASTER[[#This Row],[PRECIO DE VENTA]]</f>
        <v>5332</v>
      </c>
      <c r="U4082" s="2">
        <f>MASTER[[#This Row],[CANTIDAD]]*MASTER[[#This Row],[COSTO UNITARIO]]</f>
        <v>1520</v>
      </c>
      <c r="V4082" s="2">
        <f>MASTER[[#This Row],[MONTO VENDIDO]]-MASTER[[#This Row],[COSTO DE VENTA]]</f>
        <v>3812</v>
      </c>
    </row>
    <row r="4083" spans="1:22" x14ac:dyDescent="0.3">
      <c r="A4083">
        <v>61480</v>
      </c>
      <c r="B4083">
        <v>1</v>
      </c>
      <c r="C4083" t="s">
        <v>90</v>
      </c>
      <c r="D4083" t="s">
        <v>91</v>
      </c>
      <c r="E4083" s="1">
        <v>44292</v>
      </c>
      <c r="F4083">
        <v>1</v>
      </c>
      <c r="G4083" t="s">
        <v>67</v>
      </c>
      <c r="H4083" t="s">
        <v>68</v>
      </c>
      <c r="I4083" s="3">
        <v>2102</v>
      </c>
      <c r="J4083" s="3">
        <v>2102</v>
      </c>
      <c r="K4083" s="3">
        <v>420</v>
      </c>
      <c r="L4083" t="s">
        <v>9</v>
      </c>
      <c r="M4083">
        <v>3</v>
      </c>
      <c r="N4083" t="s">
        <v>69</v>
      </c>
      <c r="O4083" t="s">
        <v>70</v>
      </c>
      <c r="P4083" t="s">
        <v>71</v>
      </c>
      <c r="Q4083" t="s">
        <v>72</v>
      </c>
      <c r="R4083" t="s">
        <v>139</v>
      </c>
      <c r="S4083" t="s">
        <v>144</v>
      </c>
      <c r="T4083" s="2">
        <f>MASTER[[#This Row],[CANTIDAD]]*MASTER[[#This Row],[PRECIO DE VENTA]]</f>
        <v>2102</v>
      </c>
      <c r="U4083" s="2">
        <f>MASTER[[#This Row],[CANTIDAD]]*MASTER[[#This Row],[COSTO UNITARIO]]</f>
        <v>420</v>
      </c>
      <c r="V4083" s="2">
        <f>MASTER[[#This Row],[MONTO VENDIDO]]-MASTER[[#This Row],[COSTO DE VENTA]]</f>
        <v>1682</v>
      </c>
    </row>
    <row r="4084" spans="1:22" x14ac:dyDescent="0.3">
      <c r="A4084">
        <v>61497</v>
      </c>
      <c r="B4084">
        <v>1</v>
      </c>
      <c r="C4084" t="s">
        <v>116</v>
      </c>
      <c r="D4084" t="s">
        <v>117</v>
      </c>
      <c r="E4084" s="1">
        <v>44293</v>
      </c>
      <c r="F4084">
        <v>1</v>
      </c>
      <c r="G4084" t="s">
        <v>57</v>
      </c>
      <c r="H4084" t="s">
        <v>58</v>
      </c>
      <c r="I4084" s="3">
        <v>1738</v>
      </c>
      <c r="J4084" s="3">
        <v>1738</v>
      </c>
      <c r="K4084" s="3">
        <v>388</v>
      </c>
      <c r="L4084" t="s">
        <v>113</v>
      </c>
      <c r="M4084">
        <v>2</v>
      </c>
      <c r="N4084" t="s">
        <v>86</v>
      </c>
      <c r="O4084" t="s">
        <v>81</v>
      </c>
      <c r="P4084" t="s">
        <v>71</v>
      </c>
      <c r="Q4084" t="s">
        <v>72</v>
      </c>
      <c r="R4084" t="s">
        <v>139</v>
      </c>
      <c r="S4084" t="s">
        <v>144</v>
      </c>
      <c r="T4084" s="2">
        <f>MASTER[[#This Row],[CANTIDAD]]*MASTER[[#This Row],[PRECIO DE VENTA]]</f>
        <v>1738</v>
      </c>
      <c r="U4084" s="2">
        <f>MASTER[[#This Row],[CANTIDAD]]*MASTER[[#This Row],[COSTO UNITARIO]]</f>
        <v>388</v>
      </c>
      <c r="V4084" s="2">
        <f>MASTER[[#This Row],[MONTO VENDIDO]]-MASTER[[#This Row],[COSTO DE VENTA]]</f>
        <v>1350</v>
      </c>
    </row>
    <row r="4085" spans="1:22" x14ac:dyDescent="0.3">
      <c r="A4085">
        <v>61498</v>
      </c>
      <c r="B4085">
        <v>1</v>
      </c>
      <c r="C4085" t="s">
        <v>94</v>
      </c>
      <c r="D4085" t="s">
        <v>95</v>
      </c>
      <c r="E4085" s="1">
        <v>44293</v>
      </c>
      <c r="F4085">
        <v>1</v>
      </c>
      <c r="G4085" t="s">
        <v>43</v>
      </c>
      <c r="H4085" t="s">
        <v>44</v>
      </c>
      <c r="I4085" s="3">
        <v>1048</v>
      </c>
      <c r="J4085" s="3">
        <v>1048</v>
      </c>
      <c r="K4085" s="3">
        <v>392</v>
      </c>
      <c r="L4085" t="s">
        <v>9</v>
      </c>
      <c r="M4085">
        <v>19</v>
      </c>
      <c r="N4085" t="s">
        <v>89</v>
      </c>
      <c r="O4085" t="s">
        <v>81</v>
      </c>
      <c r="P4085" t="s">
        <v>15</v>
      </c>
      <c r="Q4085" t="s">
        <v>16</v>
      </c>
      <c r="R4085" t="s">
        <v>16</v>
      </c>
      <c r="S4085" t="s">
        <v>144</v>
      </c>
      <c r="T4085" s="2">
        <f>MASTER[[#This Row],[CANTIDAD]]*MASTER[[#This Row],[PRECIO DE VENTA]]</f>
        <v>1048</v>
      </c>
      <c r="U4085" s="2">
        <f>MASTER[[#This Row],[CANTIDAD]]*MASTER[[#This Row],[COSTO UNITARIO]]</f>
        <v>392</v>
      </c>
      <c r="V4085" s="2">
        <f>MASTER[[#This Row],[MONTO VENDIDO]]-MASTER[[#This Row],[COSTO DE VENTA]]</f>
        <v>656</v>
      </c>
    </row>
    <row r="4086" spans="1:22" x14ac:dyDescent="0.3">
      <c r="A4086">
        <v>61505</v>
      </c>
      <c r="B4086">
        <v>1</v>
      </c>
      <c r="C4086" t="s">
        <v>118</v>
      </c>
      <c r="D4086" t="s">
        <v>119</v>
      </c>
      <c r="E4086" s="1">
        <v>44293</v>
      </c>
      <c r="F4086">
        <v>1</v>
      </c>
      <c r="G4086" t="s">
        <v>51</v>
      </c>
      <c r="H4086" t="s">
        <v>52</v>
      </c>
      <c r="I4086" s="3">
        <v>801</v>
      </c>
      <c r="J4086" s="3">
        <v>801</v>
      </c>
      <c r="K4086" s="3">
        <v>424</v>
      </c>
      <c r="L4086" t="s">
        <v>120</v>
      </c>
      <c r="M4086">
        <v>12</v>
      </c>
      <c r="N4086" t="s">
        <v>26</v>
      </c>
      <c r="O4086" t="s">
        <v>11</v>
      </c>
      <c r="P4086" t="s">
        <v>12</v>
      </c>
      <c r="Q4086" t="s">
        <v>13</v>
      </c>
      <c r="R4086" t="s">
        <v>13</v>
      </c>
      <c r="S4086" t="s">
        <v>144</v>
      </c>
      <c r="T4086" s="2">
        <f>MASTER[[#This Row],[CANTIDAD]]*MASTER[[#This Row],[PRECIO DE VENTA]]</f>
        <v>801</v>
      </c>
      <c r="U4086" s="2">
        <f>MASTER[[#This Row],[CANTIDAD]]*MASTER[[#This Row],[COSTO UNITARIO]]</f>
        <v>424</v>
      </c>
      <c r="V4086" s="2">
        <f>MASTER[[#This Row],[MONTO VENDIDO]]-MASTER[[#This Row],[COSTO DE VENTA]]</f>
        <v>377</v>
      </c>
    </row>
    <row r="4087" spans="1:22" x14ac:dyDescent="0.3">
      <c r="A4087">
        <v>61516</v>
      </c>
      <c r="B4087">
        <v>1</v>
      </c>
      <c r="C4087" t="s">
        <v>107</v>
      </c>
      <c r="D4087" t="s">
        <v>108</v>
      </c>
      <c r="E4087" s="1">
        <v>44293</v>
      </c>
      <c r="F4087">
        <v>1</v>
      </c>
      <c r="G4087" t="s">
        <v>39</v>
      </c>
      <c r="H4087" t="s">
        <v>40</v>
      </c>
      <c r="I4087" s="3">
        <v>1440</v>
      </c>
      <c r="J4087" s="3">
        <v>1440</v>
      </c>
      <c r="K4087" s="3">
        <v>380</v>
      </c>
      <c r="L4087" t="s">
        <v>98</v>
      </c>
      <c r="M4087">
        <v>18</v>
      </c>
      <c r="N4087" t="s">
        <v>79</v>
      </c>
      <c r="O4087" t="s">
        <v>70</v>
      </c>
      <c r="P4087" t="s">
        <v>15</v>
      </c>
      <c r="Q4087" t="s">
        <v>16</v>
      </c>
      <c r="R4087" t="s">
        <v>16</v>
      </c>
      <c r="S4087" t="s">
        <v>144</v>
      </c>
      <c r="T4087" s="2">
        <f>MASTER[[#This Row],[CANTIDAD]]*MASTER[[#This Row],[PRECIO DE VENTA]]</f>
        <v>1440</v>
      </c>
      <c r="U4087" s="2">
        <f>MASTER[[#This Row],[CANTIDAD]]*MASTER[[#This Row],[COSTO UNITARIO]]</f>
        <v>380</v>
      </c>
      <c r="V4087" s="2">
        <f>MASTER[[#This Row],[MONTO VENDIDO]]-MASTER[[#This Row],[COSTO DE VENTA]]</f>
        <v>1060</v>
      </c>
    </row>
    <row r="4088" spans="1:22" x14ac:dyDescent="0.3">
      <c r="A4088">
        <v>61551</v>
      </c>
      <c r="B4088">
        <v>1</v>
      </c>
      <c r="C4088" t="s">
        <v>96</v>
      </c>
      <c r="D4088" t="s">
        <v>97</v>
      </c>
      <c r="E4088" s="1">
        <v>44293</v>
      </c>
      <c r="F4088">
        <v>1</v>
      </c>
      <c r="G4088" t="s">
        <v>24</v>
      </c>
      <c r="H4088" t="s">
        <v>25</v>
      </c>
      <c r="I4088" s="3">
        <v>1272</v>
      </c>
      <c r="J4088" s="3">
        <v>1272</v>
      </c>
      <c r="K4088" s="3">
        <v>397</v>
      </c>
      <c r="L4088" t="s">
        <v>98</v>
      </c>
      <c r="M4088">
        <v>5</v>
      </c>
      <c r="N4088" t="s">
        <v>85</v>
      </c>
      <c r="O4088" t="s">
        <v>81</v>
      </c>
      <c r="P4088" t="s">
        <v>12</v>
      </c>
      <c r="Q4088" t="s">
        <v>13</v>
      </c>
      <c r="R4088" t="s">
        <v>13</v>
      </c>
      <c r="S4088" t="s">
        <v>144</v>
      </c>
      <c r="T4088" s="2">
        <f>MASTER[[#This Row],[CANTIDAD]]*MASTER[[#This Row],[PRECIO DE VENTA]]</f>
        <v>1272</v>
      </c>
      <c r="U4088" s="2">
        <f>MASTER[[#This Row],[CANTIDAD]]*MASTER[[#This Row],[COSTO UNITARIO]]</f>
        <v>397</v>
      </c>
      <c r="V4088" s="2">
        <f>MASTER[[#This Row],[MONTO VENDIDO]]-MASTER[[#This Row],[COSTO DE VENTA]]</f>
        <v>875</v>
      </c>
    </row>
    <row r="4089" spans="1:22" x14ac:dyDescent="0.3">
      <c r="A4089">
        <v>61556</v>
      </c>
      <c r="B4089">
        <v>1</v>
      </c>
      <c r="C4089" t="s">
        <v>116</v>
      </c>
      <c r="D4089" t="s">
        <v>117</v>
      </c>
      <c r="E4089" s="1">
        <v>44293</v>
      </c>
      <c r="F4089">
        <v>1</v>
      </c>
      <c r="G4089" t="s">
        <v>57</v>
      </c>
      <c r="H4089" t="s">
        <v>58</v>
      </c>
      <c r="I4089" s="3">
        <v>1738</v>
      </c>
      <c r="J4089" s="3">
        <v>1738</v>
      </c>
      <c r="K4089" s="3">
        <v>388</v>
      </c>
      <c r="L4089" t="s">
        <v>113</v>
      </c>
      <c r="M4089">
        <v>8</v>
      </c>
      <c r="N4089" t="s">
        <v>80</v>
      </c>
      <c r="O4089" t="s">
        <v>81</v>
      </c>
      <c r="P4089" t="s">
        <v>12</v>
      </c>
      <c r="Q4089" t="s">
        <v>13</v>
      </c>
      <c r="R4089" t="s">
        <v>13</v>
      </c>
      <c r="S4089" t="s">
        <v>144</v>
      </c>
      <c r="T4089" s="2">
        <f>MASTER[[#This Row],[CANTIDAD]]*MASTER[[#This Row],[PRECIO DE VENTA]]</f>
        <v>1738</v>
      </c>
      <c r="U4089" s="2">
        <f>MASTER[[#This Row],[CANTIDAD]]*MASTER[[#This Row],[COSTO UNITARIO]]</f>
        <v>388</v>
      </c>
      <c r="V4089" s="2">
        <f>MASTER[[#This Row],[MONTO VENDIDO]]-MASTER[[#This Row],[COSTO DE VENTA]]</f>
        <v>1350</v>
      </c>
    </row>
    <row r="4090" spans="1:22" x14ac:dyDescent="0.3">
      <c r="A4090">
        <v>61557</v>
      </c>
      <c r="B4090">
        <v>1</v>
      </c>
      <c r="C4090" t="s">
        <v>5</v>
      </c>
      <c r="D4090" t="s">
        <v>6</v>
      </c>
      <c r="E4090" s="1">
        <v>44293</v>
      </c>
      <c r="F4090">
        <v>1</v>
      </c>
      <c r="G4090" t="s">
        <v>37</v>
      </c>
      <c r="H4090" t="s">
        <v>38</v>
      </c>
      <c r="I4090" s="3">
        <v>1507</v>
      </c>
      <c r="J4090" s="3">
        <v>1507</v>
      </c>
      <c r="K4090" s="3">
        <v>393</v>
      </c>
      <c r="L4090" t="s">
        <v>9</v>
      </c>
      <c r="M4090">
        <v>10</v>
      </c>
      <c r="N4090" t="s">
        <v>83</v>
      </c>
      <c r="O4090" t="s">
        <v>81</v>
      </c>
      <c r="P4090" t="s">
        <v>12</v>
      </c>
      <c r="Q4090" t="s">
        <v>13</v>
      </c>
      <c r="R4090" t="s">
        <v>13</v>
      </c>
      <c r="S4090" t="s">
        <v>144</v>
      </c>
      <c r="T4090" s="2">
        <f>MASTER[[#This Row],[CANTIDAD]]*MASTER[[#This Row],[PRECIO DE VENTA]]</f>
        <v>1507</v>
      </c>
      <c r="U4090" s="2">
        <f>MASTER[[#This Row],[CANTIDAD]]*MASTER[[#This Row],[COSTO UNITARIO]]</f>
        <v>393</v>
      </c>
      <c r="V4090" s="2">
        <f>MASTER[[#This Row],[MONTO VENDIDO]]-MASTER[[#This Row],[COSTO DE VENTA]]</f>
        <v>1114</v>
      </c>
    </row>
    <row r="4091" spans="1:22" x14ac:dyDescent="0.3">
      <c r="A4091">
        <v>61559</v>
      </c>
      <c r="B4091">
        <v>1</v>
      </c>
      <c r="C4091" t="s">
        <v>99</v>
      </c>
      <c r="D4091" t="s">
        <v>100</v>
      </c>
      <c r="E4091" s="1">
        <v>44293</v>
      </c>
      <c r="F4091">
        <v>1</v>
      </c>
      <c r="G4091" t="s">
        <v>7</v>
      </c>
      <c r="H4091" t="s">
        <v>8</v>
      </c>
      <c r="I4091" s="3">
        <v>1459</v>
      </c>
      <c r="J4091" s="3">
        <v>1459</v>
      </c>
      <c r="K4091" s="3">
        <v>386</v>
      </c>
      <c r="L4091" t="s">
        <v>98</v>
      </c>
      <c r="M4091">
        <v>14</v>
      </c>
      <c r="N4091" t="s">
        <v>87</v>
      </c>
      <c r="O4091" t="s">
        <v>81</v>
      </c>
      <c r="P4091" t="s">
        <v>18</v>
      </c>
      <c r="Q4091" t="s">
        <v>19</v>
      </c>
      <c r="R4091" t="s">
        <v>138</v>
      </c>
      <c r="S4091" t="s">
        <v>144</v>
      </c>
      <c r="T4091" s="2">
        <f>MASTER[[#This Row],[CANTIDAD]]*MASTER[[#This Row],[PRECIO DE VENTA]]</f>
        <v>1459</v>
      </c>
      <c r="U4091" s="2">
        <f>MASTER[[#This Row],[CANTIDAD]]*MASTER[[#This Row],[COSTO UNITARIO]]</f>
        <v>386</v>
      </c>
      <c r="V4091" s="2">
        <f>MASTER[[#This Row],[MONTO VENDIDO]]-MASTER[[#This Row],[COSTO DE VENTA]]</f>
        <v>1073</v>
      </c>
    </row>
    <row r="4092" spans="1:22" x14ac:dyDescent="0.3">
      <c r="A4092">
        <v>61591</v>
      </c>
      <c r="B4092">
        <v>1</v>
      </c>
      <c r="C4092" t="s">
        <v>111</v>
      </c>
      <c r="D4092" t="s">
        <v>112</v>
      </c>
      <c r="E4092" s="1">
        <v>44293</v>
      </c>
      <c r="F4092">
        <v>1</v>
      </c>
      <c r="G4092" t="s">
        <v>63</v>
      </c>
      <c r="H4092" t="s">
        <v>64</v>
      </c>
      <c r="I4092" s="3">
        <v>1621</v>
      </c>
      <c r="J4092" s="3">
        <v>1621</v>
      </c>
      <c r="K4092" s="3">
        <v>434</v>
      </c>
      <c r="L4092" t="s">
        <v>113</v>
      </c>
      <c r="M4092">
        <v>2</v>
      </c>
      <c r="N4092" t="s">
        <v>86</v>
      </c>
      <c r="O4092" t="s">
        <v>81</v>
      </c>
      <c r="P4092" t="s">
        <v>71</v>
      </c>
      <c r="Q4092" t="s">
        <v>72</v>
      </c>
      <c r="R4092" t="s">
        <v>139</v>
      </c>
      <c r="S4092" t="s">
        <v>144</v>
      </c>
      <c r="T4092" s="2">
        <f>MASTER[[#This Row],[CANTIDAD]]*MASTER[[#This Row],[PRECIO DE VENTA]]</f>
        <v>1621</v>
      </c>
      <c r="U4092" s="2">
        <f>MASTER[[#This Row],[CANTIDAD]]*MASTER[[#This Row],[COSTO UNITARIO]]</f>
        <v>434</v>
      </c>
      <c r="V4092" s="2">
        <f>MASTER[[#This Row],[MONTO VENDIDO]]-MASTER[[#This Row],[COSTO DE VENTA]]</f>
        <v>1187</v>
      </c>
    </row>
    <row r="4093" spans="1:22" x14ac:dyDescent="0.3">
      <c r="A4093">
        <v>61597</v>
      </c>
      <c r="B4093">
        <v>1</v>
      </c>
      <c r="C4093" t="s">
        <v>121</v>
      </c>
      <c r="D4093" t="s">
        <v>122</v>
      </c>
      <c r="E4093" s="1">
        <v>44293</v>
      </c>
      <c r="F4093">
        <v>1</v>
      </c>
      <c r="G4093" t="s">
        <v>67</v>
      </c>
      <c r="H4093" t="s">
        <v>68</v>
      </c>
      <c r="I4093" s="3">
        <v>1069</v>
      </c>
      <c r="J4093" s="3">
        <v>1069</v>
      </c>
      <c r="K4093" s="3">
        <v>460</v>
      </c>
      <c r="L4093" t="s">
        <v>120</v>
      </c>
      <c r="M4093">
        <v>7</v>
      </c>
      <c r="N4093" t="s">
        <v>84</v>
      </c>
      <c r="O4093" t="s">
        <v>81</v>
      </c>
      <c r="P4093" t="s">
        <v>12</v>
      </c>
      <c r="Q4093" t="s">
        <v>13</v>
      </c>
      <c r="R4093" t="s">
        <v>13</v>
      </c>
      <c r="S4093" t="s">
        <v>144</v>
      </c>
      <c r="T4093" s="2">
        <f>MASTER[[#This Row],[CANTIDAD]]*MASTER[[#This Row],[PRECIO DE VENTA]]</f>
        <v>1069</v>
      </c>
      <c r="U4093" s="2">
        <f>MASTER[[#This Row],[CANTIDAD]]*MASTER[[#This Row],[COSTO UNITARIO]]</f>
        <v>460</v>
      </c>
      <c r="V4093" s="2">
        <f>MASTER[[#This Row],[MONTO VENDIDO]]-MASTER[[#This Row],[COSTO DE VENTA]]</f>
        <v>609</v>
      </c>
    </row>
    <row r="4094" spans="1:22" x14ac:dyDescent="0.3">
      <c r="A4094">
        <v>61598</v>
      </c>
      <c r="B4094">
        <v>1</v>
      </c>
      <c r="C4094" t="s">
        <v>105</v>
      </c>
      <c r="D4094" t="s">
        <v>106</v>
      </c>
      <c r="E4094" s="1">
        <v>44294</v>
      </c>
      <c r="F4094">
        <v>4</v>
      </c>
      <c r="G4094" t="s">
        <v>59</v>
      </c>
      <c r="H4094" t="s">
        <v>60</v>
      </c>
      <c r="I4094" s="3">
        <v>1585</v>
      </c>
      <c r="J4094" s="3">
        <v>1585</v>
      </c>
      <c r="K4094" s="3">
        <v>459</v>
      </c>
      <c r="L4094" t="s">
        <v>98</v>
      </c>
      <c r="M4094">
        <v>16</v>
      </c>
      <c r="N4094" t="s">
        <v>17</v>
      </c>
      <c r="O4094" t="s">
        <v>11</v>
      </c>
      <c r="P4094" t="s">
        <v>18</v>
      </c>
      <c r="Q4094" t="s">
        <v>19</v>
      </c>
      <c r="R4094" t="s">
        <v>138</v>
      </c>
      <c r="S4094" t="s">
        <v>144</v>
      </c>
      <c r="T4094" s="2">
        <f>MASTER[[#This Row],[CANTIDAD]]*MASTER[[#This Row],[PRECIO DE VENTA]]</f>
        <v>6340</v>
      </c>
      <c r="U4094" s="2">
        <f>MASTER[[#This Row],[CANTIDAD]]*MASTER[[#This Row],[COSTO UNITARIO]]</f>
        <v>1836</v>
      </c>
      <c r="V4094" s="2">
        <f>MASTER[[#This Row],[MONTO VENDIDO]]-MASTER[[#This Row],[COSTO DE VENTA]]</f>
        <v>4504</v>
      </c>
    </row>
    <row r="4095" spans="1:22" x14ac:dyDescent="0.3">
      <c r="A4095">
        <v>61621</v>
      </c>
      <c r="B4095">
        <v>1</v>
      </c>
      <c r="C4095" t="s">
        <v>92</v>
      </c>
      <c r="D4095" t="s">
        <v>93</v>
      </c>
      <c r="E4095" s="1">
        <v>44294</v>
      </c>
      <c r="F4095">
        <v>1</v>
      </c>
      <c r="G4095" t="s">
        <v>27</v>
      </c>
      <c r="H4095" t="s">
        <v>28</v>
      </c>
      <c r="I4095" s="3">
        <v>1681</v>
      </c>
      <c r="J4095" s="3">
        <v>1546</v>
      </c>
      <c r="K4095" s="3">
        <v>396</v>
      </c>
      <c r="L4095" t="s">
        <v>9</v>
      </c>
      <c r="M4095">
        <v>2</v>
      </c>
      <c r="N4095" t="s">
        <v>86</v>
      </c>
      <c r="O4095" t="s">
        <v>81</v>
      </c>
      <c r="P4095" t="s">
        <v>71</v>
      </c>
      <c r="Q4095" t="s">
        <v>72</v>
      </c>
      <c r="R4095" t="s">
        <v>139</v>
      </c>
      <c r="S4095" t="s">
        <v>144</v>
      </c>
      <c r="T4095" s="2">
        <f>MASTER[[#This Row],[CANTIDAD]]*MASTER[[#This Row],[PRECIO DE VENTA]]</f>
        <v>1546</v>
      </c>
      <c r="U4095" s="2">
        <f>MASTER[[#This Row],[CANTIDAD]]*MASTER[[#This Row],[COSTO UNITARIO]]</f>
        <v>396</v>
      </c>
      <c r="V4095" s="2">
        <f>MASTER[[#This Row],[MONTO VENDIDO]]-MASTER[[#This Row],[COSTO DE VENTA]]</f>
        <v>1150</v>
      </c>
    </row>
    <row r="4096" spans="1:22" x14ac:dyDescent="0.3">
      <c r="A4096">
        <v>61623</v>
      </c>
      <c r="B4096">
        <v>1</v>
      </c>
      <c r="C4096" t="s">
        <v>116</v>
      </c>
      <c r="D4096" t="s">
        <v>117</v>
      </c>
      <c r="E4096" s="1">
        <v>44294</v>
      </c>
      <c r="F4096">
        <v>1</v>
      </c>
      <c r="G4096" t="s">
        <v>7</v>
      </c>
      <c r="H4096" t="s">
        <v>8</v>
      </c>
      <c r="I4096" s="3">
        <v>1738</v>
      </c>
      <c r="J4096" s="3">
        <v>1738</v>
      </c>
      <c r="K4096" s="3">
        <v>388</v>
      </c>
      <c r="L4096" t="s">
        <v>113</v>
      </c>
      <c r="M4096">
        <v>5</v>
      </c>
      <c r="N4096" t="s">
        <v>85</v>
      </c>
      <c r="O4096" t="s">
        <v>81</v>
      </c>
      <c r="P4096" t="s">
        <v>12</v>
      </c>
      <c r="Q4096" t="s">
        <v>13</v>
      </c>
      <c r="R4096" t="s">
        <v>13</v>
      </c>
      <c r="S4096" t="s">
        <v>144</v>
      </c>
      <c r="T4096" s="2">
        <f>MASTER[[#This Row],[CANTIDAD]]*MASTER[[#This Row],[PRECIO DE VENTA]]</f>
        <v>1738</v>
      </c>
      <c r="U4096" s="2">
        <f>MASTER[[#This Row],[CANTIDAD]]*MASTER[[#This Row],[COSTO UNITARIO]]</f>
        <v>388</v>
      </c>
      <c r="V4096" s="2">
        <f>MASTER[[#This Row],[MONTO VENDIDO]]-MASTER[[#This Row],[COSTO DE VENTA]]</f>
        <v>1350</v>
      </c>
    </row>
    <row r="4097" spans="1:22" x14ac:dyDescent="0.3">
      <c r="A4097">
        <v>61645</v>
      </c>
      <c r="B4097">
        <v>1</v>
      </c>
      <c r="C4097" t="s">
        <v>5</v>
      </c>
      <c r="D4097" t="s">
        <v>6</v>
      </c>
      <c r="E4097" s="1">
        <v>44294</v>
      </c>
      <c r="F4097">
        <v>2</v>
      </c>
      <c r="G4097" t="s">
        <v>61</v>
      </c>
      <c r="H4097" t="s">
        <v>62</v>
      </c>
      <c r="I4097" s="3">
        <v>1311</v>
      </c>
      <c r="J4097" s="3">
        <v>1311</v>
      </c>
      <c r="K4097" s="3">
        <v>393</v>
      </c>
      <c r="L4097" t="s">
        <v>9</v>
      </c>
      <c r="M4097">
        <v>11</v>
      </c>
      <c r="N4097" t="s">
        <v>10</v>
      </c>
      <c r="O4097" t="s">
        <v>11</v>
      </c>
      <c r="P4097" t="s">
        <v>12</v>
      </c>
      <c r="Q4097" t="s">
        <v>13</v>
      </c>
      <c r="R4097" t="s">
        <v>13</v>
      </c>
      <c r="S4097" t="s">
        <v>144</v>
      </c>
      <c r="T4097" s="2">
        <f>MASTER[[#This Row],[CANTIDAD]]*MASTER[[#This Row],[PRECIO DE VENTA]]</f>
        <v>2622</v>
      </c>
      <c r="U4097" s="2">
        <f>MASTER[[#This Row],[CANTIDAD]]*MASTER[[#This Row],[COSTO UNITARIO]]</f>
        <v>786</v>
      </c>
      <c r="V4097" s="2">
        <f>MASTER[[#This Row],[MONTO VENDIDO]]-MASTER[[#This Row],[COSTO DE VENTA]]</f>
        <v>1836</v>
      </c>
    </row>
    <row r="4098" spans="1:22" x14ac:dyDescent="0.3">
      <c r="A4098">
        <v>61646</v>
      </c>
      <c r="B4098">
        <v>1</v>
      </c>
      <c r="C4098" t="s">
        <v>90</v>
      </c>
      <c r="D4098" t="s">
        <v>91</v>
      </c>
      <c r="E4098" s="1">
        <v>44294</v>
      </c>
      <c r="F4098">
        <v>1</v>
      </c>
      <c r="G4098" t="s">
        <v>43</v>
      </c>
      <c r="H4098" t="s">
        <v>44</v>
      </c>
      <c r="I4098" s="3">
        <v>2102</v>
      </c>
      <c r="J4098" s="3">
        <v>2102</v>
      </c>
      <c r="K4098" s="3">
        <v>420</v>
      </c>
      <c r="L4098" t="s">
        <v>9</v>
      </c>
      <c r="M4098">
        <v>3</v>
      </c>
      <c r="N4098" t="s">
        <v>69</v>
      </c>
      <c r="O4098" t="s">
        <v>70</v>
      </c>
      <c r="P4098" t="s">
        <v>71</v>
      </c>
      <c r="Q4098" t="s">
        <v>72</v>
      </c>
      <c r="R4098" t="s">
        <v>139</v>
      </c>
      <c r="S4098" t="s">
        <v>144</v>
      </c>
      <c r="T4098" s="2">
        <f>MASTER[[#This Row],[CANTIDAD]]*MASTER[[#This Row],[PRECIO DE VENTA]]</f>
        <v>2102</v>
      </c>
      <c r="U4098" s="2">
        <f>MASTER[[#This Row],[CANTIDAD]]*MASTER[[#This Row],[COSTO UNITARIO]]</f>
        <v>420</v>
      </c>
      <c r="V4098" s="2">
        <f>MASTER[[#This Row],[MONTO VENDIDO]]-MASTER[[#This Row],[COSTO DE VENTA]]</f>
        <v>1682</v>
      </c>
    </row>
    <row r="4099" spans="1:22" x14ac:dyDescent="0.3">
      <c r="A4099">
        <v>61660</v>
      </c>
      <c r="B4099">
        <v>1</v>
      </c>
      <c r="C4099" t="s">
        <v>94</v>
      </c>
      <c r="D4099" t="s">
        <v>95</v>
      </c>
      <c r="E4099" s="1">
        <v>44294</v>
      </c>
      <c r="F4099">
        <v>1</v>
      </c>
      <c r="G4099" t="s">
        <v>49</v>
      </c>
      <c r="H4099" t="s">
        <v>50</v>
      </c>
      <c r="I4099" s="3">
        <v>1048</v>
      </c>
      <c r="J4099" s="3">
        <v>1048</v>
      </c>
      <c r="K4099" s="3">
        <v>392</v>
      </c>
      <c r="L4099" t="s">
        <v>9</v>
      </c>
      <c r="M4099">
        <v>8</v>
      </c>
      <c r="N4099" t="s">
        <v>80</v>
      </c>
      <c r="O4099" t="s">
        <v>81</v>
      </c>
      <c r="P4099" t="s">
        <v>12</v>
      </c>
      <c r="Q4099" t="s">
        <v>13</v>
      </c>
      <c r="R4099" t="s">
        <v>13</v>
      </c>
      <c r="S4099" t="s">
        <v>144</v>
      </c>
      <c r="T4099" s="2">
        <f>MASTER[[#This Row],[CANTIDAD]]*MASTER[[#This Row],[PRECIO DE VENTA]]</f>
        <v>1048</v>
      </c>
      <c r="U4099" s="2">
        <f>MASTER[[#This Row],[CANTIDAD]]*MASTER[[#This Row],[COSTO UNITARIO]]</f>
        <v>392</v>
      </c>
      <c r="V4099" s="2">
        <f>MASTER[[#This Row],[MONTO VENDIDO]]-MASTER[[#This Row],[COSTO DE VENTA]]</f>
        <v>656</v>
      </c>
    </row>
    <row r="4100" spans="1:22" x14ac:dyDescent="0.3">
      <c r="A4100">
        <v>61665</v>
      </c>
      <c r="B4100">
        <v>1</v>
      </c>
      <c r="C4100" t="s">
        <v>114</v>
      </c>
      <c r="D4100" t="s">
        <v>115</v>
      </c>
      <c r="E4100" s="1">
        <v>44295</v>
      </c>
      <c r="F4100">
        <v>1</v>
      </c>
      <c r="G4100" t="s">
        <v>61</v>
      </c>
      <c r="H4100" t="s">
        <v>62</v>
      </c>
      <c r="I4100" s="3">
        <v>1862</v>
      </c>
      <c r="J4100" s="3">
        <v>1862</v>
      </c>
      <c r="K4100" s="3">
        <v>394</v>
      </c>
      <c r="L4100" t="s">
        <v>113</v>
      </c>
      <c r="M4100">
        <v>14</v>
      </c>
      <c r="N4100" t="s">
        <v>87</v>
      </c>
      <c r="O4100" t="s">
        <v>81</v>
      </c>
      <c r="P4100" t="s">
        <v>18</v>
      </c>
      <c r="Q4100" t="s">
        <v>19</v>
      </c>
      <c r="R4100" t="s">
        <v>138</v>
      </c>
      <c r="S4100" t="s">
        <v>144</v>
      </c>
      <c r="T4100" s="2">
        <f>MASTER[[#This Row],[CANTIDAD]]*MASTER[[#This Row],[PRECIO DE VENTA]]</f>
        <v>1862</v>
      </c>
      <c r="U4100" s="2">
        <f>MASTER[[#This Row],[CANTIDAD]]*MASTER[[#This Row],[COSTO UNITARIO]]</f>
        <v>394</v>
      </c>
      <c r="V4100" s="2">
        <f>MASTER[[#This Row],[MONTO VENDIDO]]-MASTER[[#This Row],[COSTO DE VENTA]]</f>
        <v>1468</v>
      </c>
    </row>
    <row r="4101" spans="1:22" x14ac:dyDescent="0.3">
      <c r="A4101">
        <v>61679</v>
      </c>
      <c r="B4101">
        <v>1</v>
      </c>
      <c r="C4101" t="s">
        <v>90</v>
      </c>
      <c r="D4101" t="s">
        <v>91</v>
      </c>
      <c r="E4101" s="1">
        <v>44295</v>
      </c>
      <c r="F4101">
        <v>1</v>
      </c>
      <c r="G4101" t="s">
        <v>65</v>
      </c>
      <c r="H4101" t="s">
        <v>66</v>
      </c>
      <c r="I4101" s="3">
        <v>1844</v>
      </c>
      <c r="J4101" s="3">
        <v>1844</v>
      </c>
      <c r="K4101" s="3">
        <v>420</v>
      </c>
      <c r="L4101" t="s">
        <v>9</v>
      </c>
      <c r="M4101">
        <v>2</v>
      </c>
      <c r="N4101" t="s">
        <v>86</v>
      </c>
      <c r="O4101" t="s">
        <v>81</v>
      </c>
      <c r="P4101" t="s">
        <v>71</v>
      </c>
      <c r="Q4101" t="s">
        <v>72</v>
      </c>
      <c r="R4101" t="s">
        <v>139</v>
      </c>
      <c r="S4101" t="s">
        <v>144</v>
      </c>
      <c r="T4101" s="2">
        <f>MASTER[[#This Row],[CANTIDAD]]*MASTER[[#This Row],[PRECIO DE VENTA]]</f>
        <v>1844</v>
      </c>
      <c r="U4101" s="2">
        <f>MASTER[[#This Row],[CANTIDAD]]*MASTER[[#This Row],[COSTO UNITARIO]]</f>
        <v>420</v>
      </c>
      <c r="V4101" s="2">
        <f>MASTER[[#This Row],[MONTO VENDIDO]]-MASTER[[#This Row],[COSTO DE VENTA]]</f>
        <v>1424</v>
      </c>
    </row>
    <row r="4102" spans="1:22" x14ac:dyDescent="0.3">
      <c r="A4102">
        <v>61699</v>
      </c>
      <c r="B4102">
        <v>1</v>
      </c>
      <c r="C4102" t="s">
        <v>121</v>
      </c>
      <c r="D4102" t="s">
        <v>122</v>
      </c>
      <c r="E4102" s="1">
        <v>44295</v>
      </c>
      <c r="F4102">
        <v>1</v>
      </c>
      <c r="G4102" t="s">
        <v>24</v>
      </c>
      <c r="H4102" t="s">
        <v>25</v>
      </c>
      <c r="I4102" s="3">
        <v>1069</v>
      </c>
      <c r="J4102" s="3">
        <v>1069</v>
      </c>
      <c r="K4102" s="3">
        <v>460</v>
      </c>
      <c r="L4102" t="s">
        <v>120</v>
      </c>
      <c r="M4102">
        <v>19</v>
      </c>
      <c r="N4102" t="s">
        <v>89</v>
      </c>
      <c r="O4102" t="s">
        <v>81</v>
      </c>
      <c r="P4102" t="s">
        <v>15</v>
      </c>
      <c r="Q4102" t="s">
        <v>16</v>
      </c>
      <c r="R4102" t="s">
        <v>16</v>
      </c>
      <c r="S4102" t="s">
        <v>144</v>
      </c>
      <c r="T4102" s="2">
        <f>MASTER[[#This Row],[CANTIDAD]]*MASTER[[#This Row],[PRECIO DE VENTA]]</f>
        <v>1069</v>
      </c>
      <c r="U4102" s="2">
        <f>MASTER[[#This Row],[CANTIDAD]]*MASTER[[#This Row],[COSTO UNITARIO]]</f>
        <v>460</v>
      </c>
      <c r="V4102" s="2">
        <f>MASTER[[#This Row],[MONTO VENDIDO]]-MASTER[[#This Row],[COSTO DE VENTA]]</f>
        <v>609</v>
      </c>
    </row>
    <row r="4103" spans="1:22" x14ac:dyDescent="0.3">
      <c r="A4103">
        <v>61701</v>
      </c>
      <c r="B4103">
        <v>1</v>
      </c>
      <c r="C4103" t="s">
        <v>121</v>
      </c>
      <c r="D4103" t="s">
        <v>122</v>
      </c>
      <c r="E4103" s="1">
        <v>44295</v>
      </c>
      <c r="F4103">
        <v>1</v>
      </c>
      <c r="G4103" t="s">
        <v>47</v>
      </c>
      <c r="H4103" t="s">
        <v>48</v>
      </c>
      <c r="I4103" s="3">
        <v>1069</v>
      </c>
      <c r="J4103" s="3">
        <v>1069</v>
      </c>
      <c r="K4103" s="3">
        <v>460</v>
      </c>
      <c r="L4103" t="s">
        <v>120</v>
      </c>
      <c r="M4103">
        <v>10</v>
      </c>
      <c r="N4103" t="s">
        <v>83</v>
      </c>
      <c r="O4103" t="s">
        <v>81</v>
      </c>
      <c r="P4103" t="s">
        <v>12</v>
      </c>
      <c r="Q4103" t="s">
        <v>13</v>
      </c>
      <c r="R4103" t="s">
        <v>13</v>
      </c>
      <c r="S4103" t="s">
        <v>144</v>
      </c>
      <c r="T4103" s="2">
        <f>MASTER[[#This Row],[CANTIDAD]]*MASTER[[#This Row],[PRECIO DE VENTA]]</f>
        <v>1069</v>
      </c>
      <c r="U4103" s="2">
        <f>MASTER[[#This Row],[CANTIDAD]]*MASTER[[#This Row],[COSTO UNITARIO]]</f>
        <v>460</v>
      </c>
      <c r="V4103" s="2">
        <f>MASTER[[#This Row],[MONTO VENDIDO]]-MASTER[[#This Row],[COSTO DE VENTA]]</f>
        <v>609</v>
      </c>
    </row>
    <row r="4104" spans="1:22" x14ac:dyDescent="0.3">
      <c r="A4104">
        <v>61721</v>
      </c>
      <c r="B4104">
        <v>1</v>
      </c>
      <c r="C4104" t="s">
        <v>99</v>
      </c>
      <c r="D4104" t="s">
        <v>100</v>
      </c>
      <c r="E4104" s="1">
        <v>44295</v>
      </c>
      <c r="F4104">
        <v>1</v>
      </c>
      <c r="G4104" t="s">
        <v>61</v>
      </c>
      <c r="H4104" t="s">
        <v>62</v>
      </c>
      <c r="I4104" s="3">
        <v>1678</v>
      </c>
      <c r="J4104" s="3">
        <v>1678</v>
      </c>
      <c r="K4104" s="3">
        <v>386</v>
      </c>
      <c r="L4104" t="s">
        <v>98</v>
      </c>
      <c r="M4104">
        <v>6</v>
      </c>
      <c r="N4104" t="s">
        <v>75</v>
      </c>
      <c r="O4104" t="s">
        <v>70</v>
      </c>
      <c r="P4104" t="s">
        <v>12</v>
      </c>
      <c r="Q4104" t="s">
        <v>13</v>
      </c>
      <c r="R4104" t="s">
        <v>13</v>
      </c>
      <c r="S4104" t="s">
        <v>144</v>
      </c>
      <c r="T4104" s="2">
        <f>MASTER[[#This Row],[CANTIDAD]]*MASTER[[#This Row],[PRECIO DE VENTA]]</f>
        <v>1678</v>
      </c>
      <c r="U4104" s="2">
        <f>MASTER[[#This Row],[CANTIDAD]]*MASTER[[#This Row],[COSTO UNITARIO]]</f>
        <v>386</v>
      </c>
      <c r="V4104" s="2">
        <f>MASTER[[#This Row],[MONTO VENDIDO]]-MASTER[[#This Row],[COSTO DE VENTA]]</f>
        <v>1292</v>
      </c>
    </row>
    <row r="4105" spans="1:22" x14ac:dyDescent="0.3">
      <c r="A4105">
        <v>61744</v>
      </c>
      <c r="B4105">
        <v>1</v>
      </c>
      <c r="C4105" t="s">
        <v>96</v>
      </c>
      <c r="D4105" t="s">
        <v>97</v>
      </c>
      <c r="E4105" s="1">
        <v>44295</v>
      </c>
      <c r="F4105">
        <v>1</v>
      </c>
      <c r="G4105" t="s">
        <v>39</v>
      </c>
      <c r="H4105" t="s">
        <v>40</v>
      </c>
      <c r="I4105" s="3">
        <v>1361</v>
      </c>
      <c r="J4105" s="3">
        <v>1361</v>
      </c>
      <c r="K4105" s="3">
        <v>397</v>
      </c>
      <c r="L4105" t="s">
        <v>98</v>
      </c>
      <c r="M4105">
        <v>1</v>
      </c>
      <c r="N4105" t="s">
        <v>77</v>
      </c>
      <c r="O4105" t="s">
        <v>70</v>
      </c>
      <c r="P4105" t="s">
        <v>71</v>
      </c>
      <c r="Q4105" t="s">
        <v>72</v>
      </c>
      <c r="R4105" t="s">
        <v>139</v>
      </c>
      <c r="S4105" t="s">
        <v>144</v>
      </c>
      <c r="T4105" s="2">
        <f>MASTER[[#This Row],[CANTIDAD]]*MASTER[[#This Row],[PRECIO DE VENTA]]</f>
        <v>1361</v>
      </c>
      <c r="U4105" s="2">
        <f>MASTER[[#This Row],[CANTIDAD]]*MASTER[[#This Row],[COSTO UNITARIO]]</f>
        <v>397</v>
      </c>
      <c r="V4105" s="2">
        <f>MASTER[[#This Row],[MONTO VENDIDO]]-MASTER[[#This Row],[COSTO DE VENTA]]</f>
        <v>964</v>
      </c>
    </row>
    <row r="4106" spans="1:22" x14ac:dyDescent="0.3">
      <c r="A4106">
        <v>61757</v>
      </c>
      <c r="B4106">
        <v>1</v>
      </c>
      <c r="C4106" t="s">
        <v>103</v>
      </c>
      <c r="D4106" t="s">
        <v>104</v>
      </c>
      <c r="E4106" s="1">
        <v>44295</v>
      </c>
      <c r="F4106">
        <v>1</v>
      </c>
      <c r="G4106" t="s">
        <v>51</v>
      </c>
      <c r="H4106" t="s">
        <v>52</v>
      </c>
      <c r="I4106" s="3">
        <v>1591</v>
      </c>
      <c r="J4106" s="3">
        <v>1591</v>
      </c>
      <c r="K4106" s="3">
        <v>421</v>
      </c>
      <c r="L4106" t="s">
        <v>98</v>
      </c>
      <c r="M4106">
        <v>19</v>
      </c>
      <c r="N4106" t="s">
        <v>89</v>
      </c>
      <c r="O4106" t="s">
        <v>81</v>
      </c>
      <c r="P4106" t="s">
        <v>15</v>
      </c>
      <c r="Q4106" t="s">
        <v>16</v>
      </c>
      <c r="R4106" t="s">
        <v>16</v>
      </c>
      <c r="S4106" t="s">
        <v>144</v>
      </c>
      <c r="T4106" s="2">
        <f>MASTER[[#This Row],[CANTIDAD]]*MASTER[[#This Row],[PRECIO DE VENTA]]</f>
        <v>1591</v>
      </c>
      <c r="U4106" s="2">
        <f>MASTER[[#This Row],[CANTIDAD]]*MASTER[[#This Row],[COSTO UNITARIO]]</f>
        <v>421</v>
      </c>
      <c r="V4106" s="2">
        <f>MASTER[[#This Row],[MONTO VENDIDO]]-MASTER[[#This Row],[COSTO DE VENTA]]</f>
        <v>1170</v>
      </c>
    </row>
    <row r="4107" spans="1:22" x14ac:dyDescent="0.3">
      <c r="A4107">
        <v>61770</v>
      </c>
      <c r="B4107">
        <v>1</v>
      </c>
      <c r="C4107" t="s">
        <v>109</v>
      </c>
      <c r="D4107" t="s">
        <v>110</v>
      </c>
      <c r="E4107" s="1">
        <v>44295</v>
      </c>
      <c r="F4107">
        <v>1</v>
      </c>
      <c r="G4107" t="s">
        <v>45</v>
      </c>
      <c r="H4107" t="s">
        <v>46</v>
      </c>
      <c r="I4107" s="3">
        <v>1064</v>
      </c>
      <c r="J4107" s="3">
        <v>1064</v>
      </c>
      <c r="K4107" s="3">
        <v>387</v>
      </c>
      <c r="L4107" t="s">
        <v>98</v>
      </c>
      <c r="M4107">
        <v>15</v>
      </c>
      <c r="N4107" t="s">
        <v>88</v>
      </c>
      <c r="O4107" t="s">
        <v>81</v>
      </c>
      <c r="P4107" t="s">
        <v>18</v>
      </c>
      <c r="Q4107" t="s">
        <v>19</v>
      </c>
      <c r="R4107" t="s">
        <v>138</v>
      </c>
      <c r="S4107" t="s">
        <v>144</v>
      </c>
      <c r="T4107" s="2">
        <f>MASTER[[#This Row],[CANTIDAD]]*MASTER[[#This Row],[PRECIO DE VENTA]]</f>
        <v>1064</v>
      </c>
      <c r="U4107" s="2">
        <f>MASTER[[#This Row],[CANTIDAD]]*MASTER[[#This Row],[COSTO UNITARIO]]</f>
        <v>387</v>
      </c>
      <c r="V4107" s="2">
        <f>MASTER[[#This Row],[MONTO VENDIDO]]-MASTER[[#This Row],[COSTO DE VENTA]]</f>
        <v>677</v>
      </c>
    </row>
    <row r="4108" spans="1:22" x14ac:dyDescent="0.3">
      <c r="A4108">
        <v>61773</v>
      </c>
      <c r="B4108">
        <v>1</v>
      </c>
      <c r="C4108" t="s">
        <v>107</v>
      </c>
      <c r="D4108" t="s">
        <v>108</v>
      </c>
      <c r="E4108" s="1">
        <v>44295</v>
      </c>
      <c r="F4108">
        <v>1</v>
      </c>
      <c r="G4108" t="s">
        <v>65</v>
      </c>
      <c r="H4108" t="s">
        <v>66</v>
      </c>
      <c r="I4108" s="3">
        <v>1240</v>
      </c>
      <c r="J4108" s="3">
        <v>1240</v>
      </c>
      <c r="K4108" s="3">
        <v>380</v>
      </c>
      <c r="L4108" t="s">
        <v>98</v>
      </c>
      <c r="M4108">
        <v>12</v>
      </c>
      <c r="N4108" t="s">
        <v>26</v>
      </c>
      <c r="O4108" t="s">
        <v>11</v>
      </c>
      <c r="P4108" t="s">
        <v>12</v>
      </c>
      <c r="Q4108" t="s">
        <v>13</v>
      </c>
      <c r="R4108" t="s">
        <v>13</v>
      </c>
      <c r="S4108" t="s">
        <v>144</v>
      </c>
      <c r="T4108" s="2">
        <f>MASTER[[#This Row],[CANTIDAD]]*MASTER[[#This Row],[PRECIO DE VENTA]]</f>
        <v>1240</v>
      </c>
      <c r="U4108" s="2">
        <f>MASTER[[#This Row],[CANTIDAD]]*MASTER[[#This Row],[COSTO UNITARIO]]</f>
        <v>380</v>
      </c>
      <c r="V4108" s="2">
        <f>MASTER[[#This Row],[MONTO VENDIDO]]-MASTER[[#This Row],[COSTO DE VENTA]]</f>
        <v>860</v>
      </c>
    </row>
    <row r="4109" spans="1:22" x14ac:dyDescent="0.3">
      <c r="A4109">
        <v>61776</v>
      </c>
      <c r="B4109">
        <v>1</v>
      </c>
      <c r="C4109" t="s">
        <v>103</v>
      </c>
      <c r="D4109" t="s">
        <v>104</v>
      </c>
      <c r="E4109" s="1">
        <v>44295</v>
      </c>
      <c r="F4109">
        <v>1</v>
      </c>
      <c r="G4109" t="s">
        <v>29</v>
      </c>
      <c r="H4109" t="s">
        <v>30</v>
      </c>
      <c r="I4109" s="3">
        <v>1830</v>
      </c>
      <c r="J4109" s="3">
        <v>1830</v>
      </c>
      <c r="K4109" s="3">
        <v>421</v>
      </c>
      <c r="L4109" t="s">
        <v>98</v>
      </c>
      <c r="M4109">
        <v>3</v>
      </c>
      <c r="N4109" t="s">
        <v>69</v>
      </c>
      <c r="O4109" t="s">
        <v>70</v>
      </c>
      <c r="P4109" t="s">
        <v>71</v>
      </c>
      <c r="Q4109" t="s">
        <v>72</v>
      </c>
      <c r="R4109" t="s">
        <v>139</v>
      </c>
      <c r="S4109" t="s">
        <v>144</v>
      </c>
      <c r="T4109" s="2">
        <f>MASTER[[#This Row],[CANTIDAD]]*MASTER[[#This Row],[PRECIO DE VENTA]]</f>
        <v>1830</v>
      </c>
      <c r="U4109" s="2">
        <f>MASTER[[#This Row],[CANTIDAD]]*MASTER[[#This Row],[COSTO UNITARIO]]</f>
        <v>421</v>
      </c>
      <c r="V4109" s="2">
        <f>MASTER[[#This Row],[MONTO VENDIDO]]-MASTER[[#This Row],[COSTO DE VENTA]]</f>
        <v>1409</v>
      </c>
    </row>
    <row r="4110" spans="1:22" x14ac:dyDescent="0.3">
      <c r="A4110">
        <v>61783</v>
      </c>
      <c r="B4110">
        <v>1</v>
      </c>
      <c r="C4110" t="s">
        <v>116</v>
      </c>
      <c r="D4110" t="s">
        <v>117</v>
      </c>
      <c r="E4110" s="1">
        <v>44296</v>
      </c>
      <c r="F4110">
        <v>1</v>
      </c>
      <c r="G4110" t="s">
        <v>43</v>
      </c>
      <c r="H4110" t="s">
        <v>44</v>
      </c>
      <c r="I4110" s="3">
        <v>1529</v>
      </c>
      <c r="J4110" s="3">
        <v>1529</v>
      </c>
      <c r="K4110" s="3">
        <v>388</v>
      </c>
      <c r="L4110" t="s">
        <v>113</v>
      </c>
      <c r="M4110">
        <v>12</v>
      </c>
      <c r="N4110" t="s">
        <v>26</v>
      </c>
      <c r="O4110" t="s">
        <v>11</v>
      </c>
      <c r="P4110" t="s">
        <v>12</v>
      </c>
      <c r="Q4110" t="s">
        <v>13</v>
      </c>
      <c r="R4110" t="s">
        <v>13</v>
      </c>
      <c r="S4110" t="s">
        <v>144</v>
      </c>
      <c r="T4110" s="2">
        <f>MASTER[[#This Row],[CANTIDAD]]*MASTER[[#This Row],[PRECIO DE VENTA]]</f>
        <v>1529</v>
      </c>
      <c r="U4110" s="2">
        <f>MASTER[[#This Row],[CANTIDAD]]*MASTER[[#This Row],[COSTO UNITARIO]]</f>
        <v>388</v>
      </c>
      <c r="V4110" s="2">
        <f>MASTER[[#This Row],[MONTO VENDIDO]]-MASTER[[#This Row],[COSTO DE VENTA]]</f>
        <v>1141</v>
      </c>
    </row>
    <row r="4111" spans="1:22" x14ac:dyDescent="0.3">
      <c r="A4111">
        <v>61802</v>
      </c>
      <c r="B4111">
        <v>1</v>
      </c>
      <c r="C4111" t="s">
        <v>96</v>
      </c>
      <c r="D4111" t="s">
        <v>97</v>
      </c>
      <c r="E4111" s="1">
        <v>44296</v>
      </c>
      <c r="F4111">
        <v>1</v>
      </c>
      <c r="G4111" t="s">
        <v>57</v>
      </c>
      <c r="H4111" t="s">
        <v>58</v>
      </c>
      <c r="I4111" s="3">
        <v>1361</v>
      </c>
      <c r="J4111" s="3">
        <v>1361</v>
      </c>
      <c r="K4111" s="3">
        <v>397</v>
      </c>
      <c r="L4111" t="s">
        <v>98</v>
      </c>
      <c r="M4111">
        <v>3</v>
      </c>
      <c r="N4111" t="s">
        <v>69</v>
      </c>
      <c r="O4111" t="s">
        <v>70</v>
      </c>
      <c r="P4111" t="s">
        <v>71</v>
      </c>
      <c r="Q4111" t="s">
        <v>72</v>
      </c>
      <c r="R4111" t="s">
        <v>139</v>
      </c>
      <c r="S4111" t="s">
        <v>144</v>
      </c>
      <c r="T4111" s="2">
        <f>MASTER[[#This Row],[CANTIDAD]]*MASTER[[#This Row],[PRECIO DE VENTA]]</f>
        <v>1361</v>
      </c>
      <c r="U4111" s="2">
        <f>MASTER[[#This Row],[CANTIDAD]]*MASTER[[#This Row],[COSTO UNITARIO]]</f>
        <v>397</v>
      </c>
      <c r="V4111" s="2">
        <f>MASTER[[#This Row],[MONTO VENDIDO]]-MASTER[[#This Row],[COSTO DE VENTA]]</f>
        <v>964</v>
      </c>
    </row>
    <row r="4112" spans="1:22" x14ac:dyDescent="0.3">
      <c r="A4112">
        <v>61812</v>
      </c>
      <c r="B4112">
        <v>1</v>
      </c>
      <c r="C4112" t="s">
        <v>121</v>
      </c>
      <c r="D4112" t="s">
        <v>122</v>
      </c>
      <c r="E4112" s="1">
        <v>44296</v>
      </c>
      <c r="F4112">
        <v>1</v>
      </c>
      <c r="G4112" t="s">
        <v>27</v>
      </c>
      <c r="H4112" t="s">
        <v>28</v>
      </c>
      <c r="I4112" s="3">
        <v>1144</v>
      </c>
      <c r="J4112" s="3">
        <v>1144</v>
      </c>
      <c r="K4112" s="3">
        <v>460</v>
      </c>
      <c r="L4112" t="s">
        <v>120</v>
      </c>
      <c r="M4112">
        <v>9</v>
      </c>
      <c r="N4112" t="s">
        <v>76</v>
      </c>
      <c r="O4112" t="s">
        <v>70</v>
      </c>
      <c r="P4112" t="s">
        <v>12</v>
      </c>
      <c r="Q4112" t="s">
        <v>13</v>
      </c>
      <c r="R4112" t="s">
        <v>13</v>
      </c>
      <c r="S4112" t="s">
        <v>144</v>
      </c>
      <c r="T4112" s="2">
        <f>MASTER[[#This Row],[CANTIDAD]]*MASTER[[#This Row],[PRECIO DE VENTA]]</f>
        <v>1144</v>
      </c>
      <c r="U4112" s="2">
        <f>MASTER[[#This Row],[CANTIDAD]]*MASTER[[#This Row],[COSTO UNITARIO]]</f>
        <v>460</v>
      </c>
      <c r="V4112" s="2">
        <f>MASTER[[#This Row],[MONTO VENDIDO]]-MASTER[[#This Row],[COSTO DE VENTA]]</f>
        <v>684</v>
      </c>
    </row>
    <row r="4113" spans="1:22" x14ac:dyDescent="0.3">
      <c r="A4113">
        <v>61818</v>
      </c>
      <c r="B4113">
        <v>1</v>
      </c>
      <c r="C4113" t="s">
        <v>5</v>
      </c>
      <c r="D4113" t="s">
        <v>6</v>
      </c>
      <c r="E4113" s="1">
        <v>44296</v>
      </c>
      <c r="F4113">
        <v>1</v>
      </c>
      <c r="G4113" t="s">
        <v>73</v>
      </c>
      <c r="H4113" t="s">
        <v>74</v>
      </c>
      <c r="I4113" s="3">
        <v>1507</v>
      </c>
      <c r="J4113" s="3">
        <v>1507</v>
      </c>
      <c r="K4113" s="3">
        <v>393</v>
      </c>
      <c r="L4113" t="s">
        <v>9</v>
      </c>
      <c r="M4113">
        <v>2</v>
      </c>
      <c r="N4113" t="s">
        <v>86</v>
      </c>
      <c r="O4113" t="s">
        <v>81</v>
      </c>
      <c r="P4113" t="s">
        <v>71</v>
      </c>
      <c r="Q4113" t="s">
        <v>72</v>
      </c>
      <c r="R4113" t="s">
        <v>139</v>
      </c>
      <c r="S4113" t="s">
        <v>144</v>
      </c>
      <c r="T4113" s="2">
        <f>MASTER[[#This Row],[CANTIDAD]]*MASTER[[#This Row],[PRECIO DE VENTA]]</f>
        <v>1507</v>
      </c>
      <c r="U4113" s="2">
        <f>MASTER[[#This Row],[CANTIDAD]]*MASTER[[#This Row],[COSTO UNITARIO]]</f>
        <v>393</v>
      </c>
      <c r="V4113" s="2">
        <f>MASTER[[#This Row],[MONTO VENDIDO]]-MASTER[[#This Row],[COSTO DE VENTA]]</f>
        <v>1114</v>
      </c>
    </row>
    <row r="4114" spans="1:22" x14ac:dyDescent="0.3">
      <c r="A4114">
        <v>61819</v>
      </c>
      <c r="B4114">
        <v>1</v>
      </c>
      <c r="C4114" t="s">
        <v>109</v>
      </c>
      <c r="D4114" t="s">
        <v>110</v>
      </c>
      <c r="E4114" s="1">
        <v>44296</v>
      </c>
      <c r="F4114">
        <v>1</v>
      </c>
      <c r="G4114" t="s">
        <v>35</v>
      </c>
      <c r="H4114" t="s">
        <v>36</v>
      </c>
      <c r="I4114" s="3">
        <v>1128</v>
      </c>
      <c r="J4114" s="3">
        <v>1128</v>
      </c>
      <c r="K4114" s="3">
        <v>387</v>
      </c>
      <c r="L4114" t="s">
        <v>98</v>
      </c>
      <c r="M4114">
        <v>18</v>
      </c>
      <c r="N4114" t="s">
        <v>79</v>
      </c>
      <c r="O4114" t="s">
        <v>70</v>
      </c>
      <c r="P4114" t="s">
        <v>15</v>
      </c>
      <c r="Q4114" t="s">
        <v>16</v>
      </c>
      <c r="R4114" t="s">
        <v>16</v>
      </c>
      <c r="S4114" t="s">
        <v>144</v>
      </c>
      <c r="T4114" s="2">
        <f>MASTER[[#This Row],[CANTIDAD]]*MASTER[[#This Row],[PRECIO DE VENTA]]</f>
        <v>1128</v>
      </c>
      <c r="U4114" s="2">
        <f>MASTER[[#This Row],[CANTIDAD]]*MASTER[[#This Row],[COSTO UNITARIO]]</f>
        <v>387</v>
      </c>
      <c r="V4114" s="2">
        <f>MASTER[[#This Row],[MONTO VENDIDO]]-MASTER[[#This Row],[COSTO DE VENTA]]</f>
        <v>741</v>
      </c>
    </row>
    <row r="4115" spans="1:22" x14ac:dyDescent="0.3">
      <c r="A4115">
        <v>61821</v>
      </c>
      <c r="B4115">
        <v>1</v>
      </c>
      <c r="C4115" t="s">
        <v>90</v>
      </c>
      <c r="D4115" t="s">
        <v>91</v>
      </c>
      <c r="E4115" s="1">
        <v>44296</v>
      </c>
      <c r="F4115">
        <v>1</v>
      </c>
      <c r="G4115" t="s">
        <v>7</v>
      </c>
      <c r="H4115" t="s">
        <v>8</v>
      </c>
      <c r="I4115" s="3">
        <v>1660</v>
      </c>
      <c r="J4115" s="3">
        <v>1660</v>
      </c>
      <c r="K4115" s="3">
        <v>420</v>
      </c>
      <c r="L4115" t="s">
        <v>9</v>
      </c>
      <c r="M4115">
        <v>11</v>
      </c>
      <c r="N4115" t="s">
        <v>10</v>
      </c>
      <c r="O4115" t="s">
        <v>11</v>
      </c>
      <c r="P4115" t="s">
        <v>12</v>
      </c>
      <c r="Q4115" t="s">
        <v>13</v>
      </c>
      <c r="R4115" t="s">
        <v>13</v>
      </c>
      <c r="S4115" t="s">
        <v>144</v>
      </c>
      <c r="T4115" s="2">
        <f>MASTER[[#This Row],[CANTIDAD]]*MASTER[[#This Row],[PRECIO DE VENTA]]</f>
        <v>1660</v>
      </c>
      <c r="U4115" s="2">
        <f>MASTER[[#This Row],[CANTIDAD]]*MASTER[[#This Row],[COSTO UNITARIO]]</f>
        <v>420</v>
      </c>
      <c r="V4115" s="2">
        <f>MASTER[[#This Row],[MONTO VENDIDO]]-MASTER[[#This Row],[COSTO DE VENTA]]</f>
        <v>1240</v>
      </c>
    </row>
    <row r="4116" spans="1:22" x14ac:dyDescent="0.3">
      <c r="A4116">
        <v>61823</v>
      </c>
      <c r="B4116">
        <v>1</v>
      </c>
      <c r="C4116" t="s">
        <v>90</v>
      </c>
      <c r="D4116" t="s">
        <v>91</v>
      </c>
      <c r="E4116" s="1">
        <v>44296</v>
      </c>
      <c r="F4116">
        <v>1</v>
      </c>
      <c r="G4116" t="s">
        <v>55</v>
      </c>
      <c r="H4116" t="s">
        <v>56</v>
      </c>
      <c r="I4116" s="3">
        <v>1844</v>
      </c>
      <c r="J4116" s="3">
        <v>1844</v>
      </c>
      <c r="K4116" s="3">
        <v>420</v>
      </c>
      <c r="L4116" t="s">
        <v>9</v>
      </c>
      <c r="M4116">
        <v>15</v>
      </c>
      <c r="N4116" t="s">
        <v>88</v>
      </c>
      <c r="O4116" t="s">
        <v>81</v>
      </c>
      <c r="P4116" t="s">
        <v>18</v>
      </c>
      <c r="Q4116" t="s">
        <v>19</v>
      </c>
      <c r="R4116" t="s">
        <v>138</v>
      </c>
      <c r="S4116" t="s">
        <v>144</v>
      </c>
      <c r="T4116" s="2">
        <f>MASTER[[#This Row],[CANTIDAD]]*MASTER[[#This Row],[PRECIO DE VENTA]]</f>
        <v>1844</v>
      </c>
      <c r="U4116" s="2">
        <f>MASTER[[#This Row],[CANTIDAD]]*MASTER[[#This Row],[COSTO UNITARIO]]</f>
        <v>420</v>
      </c>
      <c r="V4116" s="2">
        <f>MASTER[[#This Row],[MONTO VENDIDO]]-MASTER[[#This Row],[COSTO DE VENTA]]</f>
        <v>1424</v>
      </c>
    </row>
    <row r="4117" spans="1:22" x14ac:dyDescent="0.3">
      <c r="A4117">
        <v>61826</v>
      </c>
      <c r="B4117">
        <v>1</v>
      </c>
      <c r="C4117" t="s">
        <v>99</v>
      </c>
      <c r="D4117" t="s">
        <v>100</v>
      </c>
      <c r="E4117" s="1">
        <v>44296</v>
      </c>
      <c r="F4117">
        <v>1</v>
      </c>
      <c r="G4117" t="s">
        <v>51</v>
      </c>
      <c r="H4117" t="s">
        <v>52</v>
      </c>
      <c r="I4117" s="3">
        <v>1459</v>
      </c>
      <c r="J4117" s="3">
        <v>1459</v>
      </c>
      <c r="K4117" s="3">
        <v>386</v>
      </c>
      <c r="L4117" t="s">
        <v>98</v>
      </c>
      <c r="M4117">
        <v>8</v>
      </c>
      <c r="N4117" t="s">
        <v>80</v>
      </c>
      <c r="O4117" t="s">
        <v>81</v>
      </c>
      <c r="P4117" t="s">
        <v>12</v>
      </c>
      <c r="Q4117" t="s">
        <v>13</v>
      </c>
      <c r="R4117" t="s">
        <v>13</v>
      </c>
      <c r="S4117" t="s">
        <v>144</v>
      </c>
      <c r="T4117" s="2">
        <f>MASTER[[#This Row],[CANTIDAD]]*MASTER[[#This Row],[PRECIO DE VENTA]]</f>
        <v>1459</v>
      </c>
      <c r="U4117" s="2">
        <f>MASTER[[#This Row],[CANTIDAD]]*MASTER[[#This Row],[COSTO UNITARIO]]</f>
        <v>386</v>
      </c>
      <c r="V4117" s="2">
        <f>MASTER[[#This Row],[MONTO VENDIDO]]-MASTER[[#This Row],[COSTO DE VENTA]]</f>
        <v>1073</v>
      </c>
    </row>
    <row r="4118" spans="1:22" x14ac:dyDescent="0.3">
      <c r="A4118">
        <v>61826</v>
      </c>
      <c r="B4118">
        <v>2</v>
      </c>
      <c r="C4118" t="s">
        <v>114</v>
      </c>
      <c r="D4118" t="s">
        <v>115</v>
      </c>
      <c r="E4118" s="1">
        <v>44296</v>
      </c>
      <c r="F4118">
        <v>1</v>
      </c>
      <c r="G4118" t="s">
        <v>27</v>
      </c>
      <c r="H4118" t="s">
        <v>28</v>
      </c>
      <c r="I4118" s="3">
        <v>1862</v>
      </c>
      <c r="J4118" s="3">
        <v>1862</v>
      </c>
      <c r="K4118" s="3">
        <v>394</v>
      </c>
      <c r="L4118" t="s">
        <v>113</v>
      </c>
      <c r="M4118">
        <v>8</v>
      </c>
      <c r="N4118" t="s">
        <v>80</v>
      </c>
      <c r="O4118" t="s">
        <v>81</v>
      </c>
      <c r="P4118" t="s">
        <v>12</v>
      </c>
      <c r="Q4118" t="s">
        <v>13</v>
      </c>
      <c r="R4118" t="s">
        <v>13</v>
      </c>
      <c r="S4118" t="s">
        <v>144</v>
      </c>
      <c r="T4118" s="2">
        <f>MASTER[[#This Row],[CANTIDAD]]*MASTER[[#This Row],[PRECIO DE VENTA]]</f>
        <v>1862</v>
      </c>
      <c r="U4118" s="2">
        <f>MASTER[[#This Row],[CANTIDAD]]*MASTER[[#This Row],[COSTO UNITARIO]]</f>
        <v>394</v>
      </c>
      <c r="V4118" s="2">
        <f>MASTER[[#This Row],[MONTO VENDIDO]]-MASTER[[#This Row],[COSTO DE VENTA]]</f>
        <v>1468</v>
      </c>
    </row>
    <row r="4119" spans="1:22" x14ac:dyDescent="0.3">
      <c r="A4119">
        <v>61836</v>
      </c>
      <c r="B4119">
        <v>1</v>
      </c>
      <c r="C4119" t="s">
        <v>99</v>
      </c>
      <c r="D4119" t="s">
        <v>100</v>
      </c>
      <c r="E4119" s="1">
        <v>44296</v>
      </c>
      <c r="F4119">
        <v>1</v>
      </c>
      <c r="G4119" t="s">
        <v>57</v>
      </c>
      <c r="H4119" t="s">
        <v>58</v>
      </c>
      <c r="I4119" s="3">
        <v>1678</v>
      </c>
      <c r="J4119" s="3">
        <v>1678</v>
      </c>
      <c r="K4119" s="3">
        <v>386</v>
      </c>
      <c r="L4119" t="s">
        <v>98</v>
      </c>
      <c r="M4119">
        <v>3</v>
      </c>
      <c r="N4119" t="s">
        <v>69</v>
      </c>
      <c r="O4119" t="s">
        <v>70</v>
      </c>
      <c r="P4119" t="s">
        <v>71</v>
      </c>
      <c r="Q4119" t="s">
        <v>72</v>
      </c>
      <c r="R4119" t="s">
        <v>139</v>
      </c>
      <c r="S4119" t="s">
        <v>144</v>
      </c>
      <c r="T4119" s="2">
        <f>MASTER[[#This Row],[CANTIDAD]]*MASTER[[#This Row],[PRECIO DE VENTA]]</f>
        <v>1678</v>
      </c>
      <c r="U4119" s="2">
        <f>MASTER[[#This Row],[CANTIDAD]]*MASTER[[#This Row],[COSTO UNITARIO]]</f>
        <v>386</v>
      </c>
      <c r="V4119" s="2">
        <f>MASTER[[#This Row],[MONTO VENDIDO]]-MASTER[[#This Row],[COSTO DE VENTA]]</f>
        <v>1292</v>
      </c>
    </row>
    <row r="4120" spans="1:22" x14ac:dyDescent="0.3">
      <c r="A4120">
        <v>61865</v>
      </c>
      <c r="B4120">
        <v>1</v>
      </c>
      <c r="C4120" t="s">
        <v>96</v>
      </c>
      <c r="D4120" t="s">
        <v>97</v>
      </c>
      <c r="E4120" s="1">
        <v>44296</v>
      </c>
      <c r="F4120">
        <v>1</v>
      </c>
      <c r="G4120" t="s">
        <v>20</v>
      </c>
      <c r="H4120" t="s">
        <v>21</v>
      </c>
      <c r="I4120" s="3">
        <v>1272</v>
      </c>
      <c r="J4120" s="3">
        <v>1272</v>
      </c>
      <c r="K4120" s="3">
        <v>397</v>
      </c>
      <c r="L4120" t="s">
        <v>98</v>
      </c>
      <c r="M4120">
        <v>2</v>
      </c>
      <c r="N4120" t="s">
        <v>86</v>
      </c>
      <c r="O4120" t="s">
        <v>81</v>
      </c>
      <c r="P4120" t="s">
        <v>71</v>
      </c>
      <c r="Q4120" t="s">
        <v>72</v>
      </c>
      <c r="R4120" t="s">
        <v>139</v>
      </c>
      <c r="S4120" t="s">
        <v>144</v>
      </c>
      <c r="T4120" s="2">
        <f>MASTER[[#This Row],[CANTIDAD]]*MASTER[[#This Row],[PRECIO DE VENTA]]</f>
        <v>1272</v>
      </c>
      <c r="U4120" s="2">
        <f>MASTER[[#This Row],[CANTIDAD]]*MASTER[[#This Row],[COSTO UNITARIO]]</f>
        <v>397</v>
      </c>
      <c r="V4120" s="2">
        <f>MASTER[[#This Row],[MONTO VENDIDO]]-MASTER[[#This Row],[COSTO DE VENTA]]</f>
        <v>875</v>
      </c>
    </row>
    <row r="4121" spans="1:22" x14ac:dyDescent="0.3">
      <c r="A4121">
        <v>61872</v>
      </c>
      <c r="B4121">
        <v>1</v>
      </c>
      <c r="C4121" t="s">
        <v>90</v>
      </c>
      <c r="D4121" t="s">
        <v>91</v>
      </c>
      <c r="E4121" s="1">
        <v>44296</v>
      </c>
      <c r="F4121">
        <v>1</v>
      </c>
      <c r="G4121" t="s">
        <v>49</v>
      </c>
      <c r="H4121" t="s">
        <v>50</v>
      </c>
      <c r="I4121" s="3">
        <v>2102</v>
      </c>
      <c r="J4121" s="3">
        <v>2102</v>
      </c>
      <c r="K4121" s="3">
        <v>420</v>
      </c>
      <c r="L4121" t="s">
        <v>9</v>
      </c>
      <c r="M4121">
        <v>13</v>
      </c>
      <c r="N4121" t="s">
        <v>78</v>
      </c>
      <c r="O4121" t="s">
        <v>70</v>
      </c>
      <c r="P4121" t="s">
        <v>18</v>
      </c>
      <c r="Q4121" t="s">
        <v>19</v>
      </c>
      <c r="R4121" t="s">
        <v>138</v>
      </c>
      <c r="S4121" t="s">
        <v>144</v>
      </c>
      <c r="T4121" s="2">
        <f>MASTER[[#This Row],[CANTIDAD]]*MASTER[[#This Row],[PRECIO DE VENTA]]</f>
        <v>2102</v>
      </c>
      <c r="U4121" s="2">
        <f>MASTER[[#This Row],[CANTIDAD]]*MASTER[[#This Row],[COSTO UNITARIO]]</f>
        <v>420</v>
      </c>
      <c r="V4121" s="2">
        <f>MASTER[[#This Row],[MONTO VENDIDO]]-MASTER[[#This Row],[COSTO DE VENTA]]</f>
        <v>1682</v>
      </c>
    </row>
    <row r="4122" spans="1:22" x14ac:dyDescent="0.3">
      <c r="A4122">
        <v>61874</v>
      </c>
      <c r="B4122">
        <v>1</v>
      </c>
      <c r="C4122" t="s">
        <v>116</v>
      </c>
      <c r="D4122" t="s">
        <v>117</v>
      </c>
      <c r="E4122" s="1">
        <v>44297</v>
      </c>
      <c r="F4122">
        <v>1</v>
      </c>
      <c r="G4122" t="s">
        <v>29</v>
      </c>
      <c r="H4122" t="s">
        <v>30</v>
      </c>
      <c r="I4122" s="3">
        <v>1738</v>
      </c>
      <c r="J4122" s="3">
        <v>1738</v>
      </c>
      <c r="K4122" s="3">
        <v>388</v>
      </c>
      <c r="L4122" t="s">
        <v>113</v>
      </c>
      <c r="M4122">
        <v>10</v>
      </c>
      <c r="N4122" t="s">
        <v>83</v>
      </c>
      <c r="O4122" t="s">
        <v>81</v>
      </c>
      <c r="P4122" t="s">
        <v>12</v>
      </c>
      <c r="Q4122" t="s">
        <v>13</v>
      </c>
      <c r="R4122" t="s">
        <v>13</v>
      </c>
      <c r="S4122" t="s">
        <v>144</v>
      </c>
      <c r="T4122" s="2">
        <f>MASTER[[#This Row],[CANTIDAD]]*MASTER[[#This Row],[PRECIO DE VENTA]]</f>
        <v>1738</v>
      </c>
      <c r="U4122" s="2">
        <f>MASTER[[#This Row],[CANTIDAD]]*MASTER[[#This Row],[COSTO UNITARIO]]</f>
        <v>388</v>
      </c>
      <c r="V4122" s="2">
        <f>MASTER[[#This Row],[MONTO VENDIDO]]-MASTER[[#This Row],[COSTO DE VENTA]]</f>
        <v>1350</v>
      </c>
    </row>
    <row r="4123" spans="1:22" x14ac:dyDescent="0.3">
      <c r="A4123">
        <v>61881</v>
      </c>
      <c r="B4123">
        <v>1</v>
      </c>
      <c r="C4123" t="s">
        <v>103</v>
      </c>
      <c r="D4123" t="s">
        <v>104</v>
      </c>
      <c r="E4123" s="1">
        <v>44297</v>
      </c>
      <c r="F4123">
        <v>1</v>
      </c>
      <c r="G4123" t="s">
        <v>20</v>
      </c>
      <c r="H4123" t="s">
        <v>21</v>
      </c>
      <c r="I4123" s="3">
        <v>1830</v>
      </c>
      <c r="J4123" s="3">
        <v>1830</v>
      </c>
      <c r="K4123" s="3">
        <v>421</v>
      </c>
      <c r="L4123" t="s">
        <v>98</v>
      </c>
      <c r="M4123">
        <v>18</v>
      </c>
      <c r="N4123" t="s">
        <v>79</v>
      </c>
      <c r="O4123" t="s">
        <v>70</v>
      </c>
      <c r="P4123" t="s">
        <v>15</v>
      </c>
      <c r="Q4123" t="s">
        <v>16</v>
      </c>
      <c r="R4123" t="s">
        <v>16</v>
      </c>
      <c r="S4123" t="s">
        <v>144</v>
      </c>
      <c r="T4123" s="2">
        <f>MASTER[[#This Row],[CANTIDAD]]*MASTER[[#This Row],[PRECIO DE VENTA]]</f>
        <v>1830</v>
      </c>
      <c r="U4123" s="2">
        <f>MASTER[[#This Row],[CANTIDAD]]*MASTER[[#This Row],[COSTO UNITARIO]]</f>
        <v>421</v>
      </c>
      <c r="V4123" s="2">
        <f>MASTER[[#This Row],[MONTO VENDIDO]]-MASTER[[#This Row],[COSTO DE VENTA]]</f>
        <v>1409</v>
      </c>
    </row>
    <row r="4124" spans="1:22" x14ac:dyDescent="0.3">
      <c r="A4124">
        <v>61883</v>
      </c>
      <c r="B4124">
        <v>1</v>
      </c>
      <c r="C4124" t="s">
        <v>99</v>
      </c>
      <c r="D4124" t="s">
        <v>100</v>
      </c>
      <c r="E4124" s="1">
        <v>44297</v>
      </c>
      <c r="F4124">
        <v>1</v>
      </c>
      <c r="G4124" t="s">
        <v>7</v>
      </c>
      <c r="H4124" t="s">
        <v>8</v>
      </c>
      <c r="I4124" s="3">
        <v>1459</v>
      </c>
      <c r="J4124" s="3">
        <v>1459</v>
      </c>
      <c r="K4124" s="3">
        <v>386</v>
      </c>
      <c r="L4124" t="s">
        <v>98</v>
      </c>
      <c r="M4124">
        <v>14</v>
      </c>
      <c r="N4124" t="s">
        <v>87</v>
      </c>
      <c r="O4124" t="s">
        <v>81</v>
      </c>
      <c r="P4124" t="s">
        <v>18</v>
      </c>
      <c r="Q4124" t="s">
        <v>19</v>
      </c>
      <c r="R4124" t="s">
        <v>138</v>
      </c>
      <c r="S4124" t="s">
        <v>144</v>
      </c>
      <c r="T4124" s="2">
        <f>MASTER[[#This Row],[CANTIDAD]]*MASTER[[#This Row],[PRECIO DE VENTA]]</f>
        <v>1459</v>
      </c>
      <c r="U4124" s="2">
        <f>MASTER[[#This Row],[CANTIDAD]]*MASTER[[#This Row],[COSTO UNITARIO]]</f>
        <v>386</v>
      </c>
      <c r="V4124" s="2">
        <f>MASTER[[#This Row],[MONTO VENDIDO]]-MASTER[[#This Row],[COSTO DE VENTA]]</f>
        <v>1073</v>
      </c>
    </row>
    <row r="4125" spans="1:22" x14ac:dyDescent="0.3">
      <c r="A4125">
        <v>61885</v>
      </c>
      <c r="B4125">
        <v>1</v>
      </c>
      <c r="C4125" t="s">
        <v>107</v>
      </c>
      <c r="D4125" t="s">
        <v>108</v>
      </c>
      <c r="E4125" s="1">
        <v>44297</v>
      </c>
      <c r="F4125">
        <v>1</v>
      </c>
      <c r="G4125" t="s">
        <v>45</v>
      </c>
      <c r="H4125" t="s">
        <v>46</v>
      </c>
      <c r="I4125" s="3">
        <v>1440</v>
      </c>
      <c r="J4125" s="3">
        <v>1440</v>
      </c>
      <c r="K4125" s="3">
        <v>380</v>
      </c>
      <c r="L4125" t="s">
        <v>98</v>
      </c>
      <c r="M4125">
        <v>6</v>
      </c>
      <c r="N4125" t="s">
        <v>75</v>
      </c>
      <c r="O4125" t="s">
        <v>70</v>
      </c>
      <c r="P4125" t="s">
        <v>12</v>
      </c>
      <c r="Q4125" t="s">
        <v>13</v>
      </c>
      <c r="R4125" t="s">
        <v>13</v>
      </c>
      <c r="S4125" t="s">
        <v>144</v>
      </c>
      <c r="T4125" s="2">
        <f>MASTER[[#This Row],[CANTIDAD]]*MASTER[[#This Row],[PRECIO DE VENTA]]</f>
        <v>1440</v>
      </c>
      <c r="U4125" s="2">
        <f>MASTER[[#This Row],[CANTIDAD]]*MASTER[[#This Row],[COSTO UNITARIO]]</f>
        <v>380</v>
      </c>
      <c r="V4125" s="2">
        <f>MASTER[[#This Row],[MONTO VENDIDO]]-MASTER[[#This Row],[COSTO DE VENTA]]</f>
        <v>1060</v>
      </c>
    </row>
    <row r="4126" spans="1:22" x14ac:dyDescent="0.3">
      <c r="A4126">
        <v>61886</v>
      </c>
      <c r="B4126">
        <v>1</v>
      </c>
      <c r="C4126" t="s">
        <v>96</v>
      </c>
      <c r="D4126" t="s">
        <v>97</v>
      </c>
      <c r="E4126" s="1">
        <v>44297</v>
      </c>
      <c r="F4126">
        <v>1</v>
      </c>
      <c r="G4126" t="s">
        <v>45</v>
      </c>
      <c r="H4126" t="s">
        <v>46</v>
      </c>
      <c r="I4126" s="3">
        <v>1196</v>
      </c>
      <c r="J4126" s="3">
        <v>1196</v>
      </c>
      <c r="K4126" s="3">
        <v>397</v>
      </c>
      <c r="L4126" t="s">
        <v>98</v>
      </c>
      <c r="M4126">
        <v>17</v>
      </c>
      <c r="N4126" t="s">
        <v>14</v>
      </c>
      <c r="O4126" t="s">
        <v>11</v>
      </c>
      <c r="P4126" t="s">
        <v>15</v>
      </c>
      <c r="Q4126" t="s">
        <v>16</v>
      </c>
      <c r="R4126" t="s">
        <v>16</v>
      </c>
      <c r="S4126" t="s">
        <v>144</v>
      </c>
      <c r="T4126" s="2">
        <f>MASTER[[#This Row],[CANTIDAD]]*MASTER[[#This Row],[PRECIO DE VENTA]]</f>
        <v>1196</v>
      </c>
      <c r="U4126" s="2">
        <f>MASTER[[#This Row],[CANTIDAD]]*MASTER[[#This Row],[COSTO UNITARIO]]</f>
        <v>397</v>
      </c>
      <c r="V4126" s="2">
        <f>MASTER[[#This Row],[MONTO VENDIDO]]-MASTER[[#This Row],[COSTO DE VENTA]]</f>
        <v>799</v>
      </c>
    </row>
    <row r="4127" spans="1:22" x14ac:dyDescent="0.3">
      <c r="A4127">
        <v>61926</v>
      </c>
      <c r="B4127">
        <v>1</v>
      </c>
      <c r="C4127" t="s">
        <v>94</v>
      </c>
      <c r="D4127" t="s">
        <v>95</v>
      </c>
      <c r="E4127" s="1">
        <v>44297</v>
      </c>
      <c r="F4127">
        <v>1</v>
      </c>
      <c r="G4127" t="s">
        <v>59</v>
      </c>
      <c r="H4127" t="s">
        <v>60</v>
      </c>
      <c r="I4127" s="3">
        <v>1048</v>
      </c>
      <c r="J4127" s="3">
        <v>1048</v>
      </c>
      <c r="K4127" s="3">
        <v>392</v>
      </c>
      <c r="L4127" t="s">
        <v>9</v>
      </c>
      <c r="M4127">
        <v>15</v>
      </c>
      <c r="N4127" t="s">
        <v>88</v>
      </c>
      <c r="O4127" t="s">
        <v>81</v>
      </c>
      <c r="P4127" t="s">
        <v>18</v>
      </c>
      <c r="Q4127" t="s">
        <v>19</v>
      </c>
      <c r="R4127" t="s">
        <v>138</v>
      </c>
      <c r="S4127" t="s">
        <v>144</v>
      </c>
      <c r="T4127" s="2">
        <f>MASTER[[#This Row],[CANTIDAD]]*MASTER[[#This Row],[PRECIO DE VENTA]]</f>
        <v>1048</v>
      </c>
      <c r="U4127" s="2">
        <f>MASTER[[#This Row],[CANTIDAD]]*MASTER[[#This Row],[COSTO UNITARIO]]</f>
        <v>392</v>
      </c>
      <c r="V4127" s="2">
        <f>MASTER[[#This Row],[MONTO VENDIDO]]-MASTER[[#This Row],[COSTO DE VENTA]]</f>
        <v>656</v>
      </c>
    </row>
    <row r="4128" spans="1:22" x14ac:dyDescent="0.3">
      <c r="A4128">
        <v>61948</v>
      </c>
      <c r="B4128">
        <v>1</v>
      </c>
      <c r="C4128" t="s">
        <v>107</v>
      </c>
      <c r="D4128" t="s">
        <v>108</v>
      </c>
      <c r="E4128" s="1">
        <v>44297</v>
      </c>
      <c r="F4128">
        <v>1</v>
      </c>
      <c r="G4128" t="s">
        <v>22</v>
      </c>
      <c r="H4128" t="s">
        <v>23</v>
      </c>
      <c r="I4128" s="3">
        <v>1440</v>
      </c>
      <c r="J4128" s="3">
        <v>1440</v>
      </c>
      <c r="K4128" s="3">
        <v>380</v>
      </c>
      <c r="L4128" t="s">
        <v>98</v>
      </c>
      <c r="M4128">
        <v>13</v>
      </c>
      <c r="N4128" t="s">
        <v>78</v>
      </c>
      <c r="O4128" t="s">
        <v>70</v>
      </c>
      <c r="P4128" t="s">
        <v>18</v>
      </c>
      <c r="Q4128" t="s">
        <v>19</v>
      </c>
      <c r="R4128" t="s">
        <v>138</v>
      </c>
      <c r="S4128" t="s">
        <v>144</v>
      </c>
      <c r="T4128" s="2">
        <f>MASTER[[#This Row],[CANTIDAD]]*MASTER[[#This Row],[PRECIO DE VENTA]]</f>
        <v>1440</v>
      </c>
      <c r="U4128" s="2">
        <f>MASTER[[#This Row],[CANTIDAD]]*MASTER[[#This Row],[COSTO UNITARIO]]</f>
        <v>380</v>
      </c>
      <c r="V4128" s="2">
        <f>MASTER[[#This Row],[MONTO VENDIDO]]-MASTER[[#This Row],[COSTO DE VENTA]]</f>
        <v>1060</v>
      </c>
    </row>
    <row r="4129" spans="1:22" x14ac:dyDescent="0.3">
      <c r="A4129">
        <v>61956</v>
      </c>
      <c r="B4129">
        <v>1</v>
      </c>
      <c r="C4129" t="s">
        <v>118</v>
      </c>
      <c r="D4129" t="s">
        <v>119</v>
      </c>
      <c r="E4129" s="1">
        <v>44297</v>
      </c>
      <c r="F4129">
        <v>1</v>
      </c>
      <c r="G4129" t="s">
        <v>51</v>
      </c>
      <c r="H4129" t="s">
        <v>52</v>
      </c>
      <c r="I4129" s="3">
        <v>900</v>
      </c>
      <c r="J4129" s="3">
        <v>900</v>
      </c>
      <c r="K4129" s="3">
        <v>424</v>
      </c>
      <c r="L4129" t="s">
        <v>120</v>
      </c>
      <c r="M4129">
        <v>5</v>
      </c>
      <c r="N4129" t="s">
        <v>85</v>
      </c>
      <c r="O4129" t="s">
        <v>81</v>
      </c>
      <c r="P4129" t="s">
        <v>12</v>
      </c>
      <c r="Q4129" t="s">
        <v>13</v>
      </c>
      <c r="R4129" t="s">
        <v>13</v>
      </c>
      <c r="S4129" t="s">
        <v>144</v>
      </c>
      <c r="T4129" s="2">
        <f>MASTER[[#This Row],[CANTIDAD]]*MASTER[[#This Row],[PRECIO DE VENTA]]</f>
        <v>900</v>
      </c>
      <c r="U4129" s="2">
        <f>MASTER[[#This Row],[CANTIDAD]]*MASTER[[#This Row],[COSTO UNITARIO]]</f>
        <v>424</v>
      </c>
      <c r="V4129" s="2">
        <f>MASTER[[#This Row],[MONTO VENDIDO]]-MASTER[[#This Row],[COSTO DE VENTA]]</f>
        <v>476</v>
      </c>
    </row>
    <row r="4130" spans="1:22" x14ac:dyDescent="0.3">
      <c r="A4130">
        <v>61964</v>
      </c>
      <c r="B4130">
        <v>1</v>
      </c>
      <c r="C4130" t="s">
        <v>99</v>
      </c>
      <c r="D4130" t="s">
        <v>100</v>
      </c>
      <c r="E4130" s="1">
        <v>44297</v>
      </c>
      <c r="F4130">
        <v>1</v>
      </c>
      <c r="G4130" t="s">
        <v>29</v>
      </c>
      <c r="H4130" t="s">
        <v>30</v>
      </c>
      <c r="I4130" s="3">
        <v>1678</v>
      </c>
      <c r="J4130" s="3">
        <v>1678</v>
      </c>
      <c r="K4130" s="3">
        <v>386</v>
      </c>
      <c r="L4130" t="s">
        <v>98</v>
      </c>
      <c r="M4130">
        <v>1</v>
      </c>
      <c r="N4130" t="s">
        <v>77</v>
      </c>
      <c r="O4130" t="s">
        <v>70</v>
      </c>
      <c r="P4130" t="s">
        <v>71</v>
      </c>
      <c r="Q4130" t="s">
        <v>72</v>
      </c>
      <c r="R4130" t="s">
        <v>139</v>
      </c>
      <c r="S4130" t="s">
        <v>144</v>
      </c>
      <c r="T4130" s="2">
        <f>MASTER[[#This Row],[CANTIDAD]]*MASTER[[#This Row],[PRECIO DE VENTA]]</f>
        <v>1678</v>
      </c>
      <c r="U4130" s="2">
        <f>MASTER[[#This Row],[CANTIDAD]]*MASTER[[#This Row],[COSTO UNITARIO]]</f>
        <v>386</v>
      </c>
      <c r="V4130" s="2">
        <f>MASTER[[#This Row],[MONTO VENDIDO]]-MASTER[[#This Row],[COSTO DE VENTA]]</f>
        <v>1292</v>
      </c>
    </row>
    <row r="4131" spans="1:22" x14ac:dyDescent="0.3">
      <c r="A4131">
        <v>61966</v>
      </c>
      <c r="B4131">
        <v>1</v>
      </c>
      <c r="C4131" t="s">
        <v>114</v>
      </c>
      <c r="D4131" t="s">
        <v>115</v>
      </c>
      <c r="E4131" s="1">
        <v>44297</v>
      </c>
      <c r="F4131">
        <v>1</v>
      </c>
      <c r="G4131" t="s">
        <v>31</v>
      </c>
      <c r="H4131" t="s">
        <v>32</v>
      </c>
      <c r="I4131" s="3">
        <v>2030</v>
      </c>
      <c r="J4131" s="3">
        <v>2030</v>
      </c>
      <c r="K4131" s="3">
        <v>394</v>
      </c>
      <c r="L4131" t="s">
        <v>113</v>
      </c>
      <c r="M4131">
        <v>3</v>
      </c>
      <c r="N4131" t="s">
        <v>69</v>
      </c>
      <c r="O4131" t="s">
        <v>70</v>
      </c>
      <c r="P4131" t="s">
        <v>71</v>
      </c>
      <c r="Q4131" t="s">
        <v>72</v>
      </c>
      <c r="R4131" t="s">
        <v>139</v>
      </c>
      <c r="S4131" t="s">
        <v>144</v>
      </c>
      <c r="T4131" s="2">
        <f>MASTER[[#This Row],[CANTIDAD]]*MASTER[[#This Row],[PRECIO DE VENTA]]</f>
        <v>2030</v>
      </c>
      <c r="U4131" s="2">
        <f>MASTER[[#This Row],[CANTIDAD]]*MASTER[[#This Row],[COSTO UNITARIO]]</f>
        <v>394</v>
      </c>
      <c r="V4131" s="2">
        <f>MASTER[[#This Row],[MONTO VENDIDO]]-MASTER[[#This Row],[COSTO DE VENTA]]</f>
        <v>1636</v>
      </c>
    </row>
    <row r="4132" spans="1:22" x14ac:dyDescent="0.3">
      <c r="A4132">
        <v>61969</v>
      </c>
      <c r="B4132">
        <v>1</v>
      </c>
      <c r="C4132" t="s">
        <v>101</v>
      </c>
      <c r="D4132" t="s">
        <v>102</v>
      </c>
      <c r="E4132" s="1">
        <v>44297</v>
      </c>
      <c r="F4132">
        <v>1</v>
      </c>
      <c r="G4132" t="s">
        <v>47</v>
      </c>
      <c r="H4132" t="s">
        <v>48</v>
      </c>
      <c r="I4132" s="3">
        <v>1054</v>
      </c>
      <c r="J4132" s="3">
        <v>1054</v>
      </c>
      <c r="K4132" s="3">
        <v>442</v>
      </c>
      <c r="L4132" t="s">
        <v>98</v>
      </c>
      <c r="M4132">
        <v>12</v>
      </c>
      <c r="N4132" t="s">
        <v>26</v>
      </c>
      <c r="O4132" t="s">
        <v>11</v>
      </c>
      <c r="P4132" t="s">
        <v>12</v>
      </c>
      <c r="Q4132" t="s">
        <v>13</v>
      </c>
      <c r="R4132" t="s">
        <v>13</v>
      </c>
      <c r="S4132" t="s">
        <v>144</v>
      </c>
      <c r="T4132" s="2">
        <f>MASTER[[#This Row],[CANTIDAD]]*MASTER[[#This Row],[PRECIO DE VENTA]]</f>
        <v>1054</v>
      </c>
      <c r="U4132" s="2">
        <f>MASTER[[#This Row],[CANTIDAD]]*MASTER[[#This Row],[COSTO UNITARIO]]</f>
        <v>442</v>
      </c>
      <c r="V4132" s="2">
        <f>MASTER[[#This Row],[MONTO VENDIDO]]-MASTER[[#This Row],[COSTO DE VENTA]]</f>
        <v>612</v>
      </c>
    </row>
    <row r="4133" spans="1:22" x14ac:dyDescent="0.3">
      <c r="A4133">
        <v>61973</v>
      </c>
      <c r="B4133">
        <v>1</v>
      </c>
      <c r="C4133" t="s">
        <v>109</v>
      </c>
      <c r="D4133" t="s">
        <v>110</v>
      </c>
      <c r="E4133" s="1">
        <v>44298</v>
      </c>
      <c r="F4133">
        <v>1</v>
      </c>
      <c r="G4133" t="s">
        <v>24</v>
      </c>
      <c r="H4133" t="s">
        <v>25</v>
      </c>
      <c r="I4133" s="3">
        <v>1064</v>
      </c>
      <c r="J4133" s="3">
        <v>1064</v>
      </c>
      <c r="K4133" s="3">
        <v>387</v>
      </c>
      <c r="L4133" t="s">
        <v>98</v>
      </c>
      <c r="M4133">
        <v>19</v>
      </c>
      <c r="N4133" t="s">
        <v>89</v>
      </c>
      <c r="O4133" t="s">
        <v>81</v>
      </c>
      <c r="P4133" t="s">
        <v>15</v>
      </c>
      <c r="Q4133" t="s">
        <v>16</v>
      </c>
      <c r="R4133" t="s">
        <v>16</v>
      </c>
      <c r="S4133" t="s">
        <v>144</v>
      </c>
      <c r="T4133" s="2">
        <f>MASTER[[#This Row],[CANTIDAD]]*MASTER[[#This Row],[PRECIO DE VENTA]]</f>
        <v>1064</v>
      </c>
      <c r="U4133" s="2">
        <f>MASTER[[#This Row],[CANTIDAD]]*MASTER[[#This Row],[COSTO UNITARIO]]</f>
        <v>387</v>
      </c>
      <c r="V4133" s="2">
        <f>MASTER[[#This Row],[MONTO VENDIDO]]-MASTER[[#This Row],[COSTO DE VENTA]]</f>
        <v>677</v>
      </c>
    </row>
    <row r="4134" spans="1:22" x14ac:dyDescent="0.3">
      <c r="A4134">
        <v>61974</v>
      </c>
      <c r="B4134">
        <v>1</v>
      </c>
      <c r="C4134" t="s">
        <v>109</v>
      </c>
      <c r="D4134" t="s">
        <v>110</v>
      </c>
      <c r="E4134" s="1">
        <v>44298</v>
      </c>
      <c r="F4134">
        <v>1</v>
      </c>
      <c r="G4134" t="s">
        <v>67</v>
      </c>
      <c r="H4134" t="s">
        <v>68</v>
      </c>
      <c r="I4134" s="3">
        <v>947</v>
      </c>
      <c r="J4134" s="3">
        <v>947</v>
      </c>
      <c r="K4134" s="3">
        <v>387</v>
      </c>
      <c r="L4134" t="s">
        <v>98</v>
      </c>
      <c r="M4134">
        <v>11</v>
      </c>
      <c r="N4134" t="s">
        <v>10</v>
      </c>
      <c r="O4134" t="s">
        <v>11</v>
      </c>
      <c r="P4134" t="s">
        <v>12</v>
      </c>
      <c r="Q4134" t="s">
        <v>13</v>
      </c>
      <c r="R4134" t="s">
        <v>13</v>
      </c>
      <c r="S4134" t="s">
        <v>144</v>
      </c>
      <c r="T4134" s="2">
        <f>MASTER[[#This Row],[CANTIDAD]]*MASTER[[#This Row],[PRECIO DE VENTA]]</f>
        <v>947</v>
      </c>
      <c r="U4134" s="2">
        <f>MASTER[[#This Row],[CANTIDAD]]*MASTER[[#This Row],[COSTO UNITARIO]]</f>
        <v>387</v>
      </c>
      <c r="V4134" s="2">
        <f>MASTER[[#This Row],[MONTO VENDIDO]]-MASTER[[#This Row],[COSTO DE VENTA]]</f>
        <v>560</v>
      </c>
    </row>
    <row r="4135" spans="1:22" x14ac:dyDescent="0.3">
      <c r="A4135">
        <v>61979</v>
      </c>
      <c r="B4135">
        <v>1</v>
      </c>
      <c r="C4135" t="s">
        <v>107</v>
      </c>
      <c r="D4135" t="s">
        <v>108</v>
      </c>
      <c r="E4135" s="1">
        <v>44298</v>
      </c>
      <c r="F4135">
        <v>4</v>
      </c>
      <c r="G4135" t="s">
        <v>57</v>
      </c>
      <c r="H4135" t="s">
        <v>58</v>
      </c>
      <c r="I4135" s="3">
        <v>1333</v>
      </c>
      <c r="J4135" s="3">
        <v>1333</v>
      </c>
      <c r="K4135" s="3">
        <v>380</v>
      </c>
      <c r="L4135" t="s">
        <v>98</v>
      </c>
      <c r="M4135">
        <v>7</v>
      </c>
      <c r="N4135" t="s">
        <v>84</v>
      </c>
      <c r="O4135" t="s">
        <v>81</v>
      </c>
      <c r="P4135" t="s">
        <v>12</v>
      </c>
      <c r="Q4135" t="s">
        <v>13</v>
      </c>
      <c r="R4135" t="s">
        <v>13</v>
      </c>
      <c r="S4135" t="s">
        <v>144</v>
      </c>
      <c r="T4135" s="2">
        <f>MASTER[[#This Row],[CANTIDAD]]*MASTER[[#This Row],[PRECIO DE VENTA]]</f>
        <v>5332</v>
      </c>
      <c r="U4135" s="2">
        <f>MASTER[[#This Row],[CANTIDAD]]*MASTER[[#This Row],[COSTO UNITARIO]]</f>
        <v>1520</v>
      </c>
      <c r="V4135" s="2">
        <f>MASTER[[#This Row],[MONTO VENDIDO]]-MASTER[[#This Row],[COSTO DE VENTA]]</f>
        <v>3812</v>
      </c>
    </row>
    <row r="4136" spans="1:22" x14ac:dyDescent="0.3">
      <c r="A4136">
        <v>61986</v>
      </c>
      <c r="B4136">
        <v>1</v>
      </c>
      <c r="C4136" t="s">
        <v>121</v>
      </c>
      <c r="D4136" t="s">
        <v>122</v>
      </c>
      <c r="E4136" s="1">
        <v>44298</v>
      </c>
      <c r="F4136">
        <v>1</v>
      </c>
      <c r="G4136" t="s">
        <v>20</v>
      </c>
      <c r="H4136" t="s">
        <v>21</v>
      </c>
      <c r="I4136" s="3">
        <v>1144</v>
      </c>
      <c r="J4136" s="3">
        <v>1144</v>
      </c>
      <c r="K4136" s="3">
        <v>460</v>
      </c>
      <c r="L4136" t="s">
        <v>120</v>
      </c>
      <c r="M4136">
        <v>6</v>
      </c>
      <c r="N4136" t="s">
        <v>75</v>
      </c>
      <c r="O4136" t="s">
        <v>70</v>
      </c>
      <c r="P4136" t="s">
        <v>12</v>
      </c>
      <c r="Q4136" t="s">
        <v>13</v>
      </c>
      <c r="R4136" t="s">
        <v>13</v>
      </c>
      <c r="S4136" t="s">
        <v>144</v>
      </c>
      <c r="T4136" s="2">
        <f>MASTER[[#This Row],[CANTIDAD]]*MASTER[[#This Row],[PRECIO DE VENTA]]</f>
        <v>1144</v>
      </c>
      <c r="U4136" s="2">
        <f>MASTER[[#This Row],[CANTIDAD]]*MASTER[[#This Row],[COSTO UNITARIO]]</f>
        <v>460</v>
      </c>
      <c r="V4136" s="2">
        <f>MASTER[[#This Row],[MONTO VENDIDO]]-MASTER[[#This Row],[COSTO DE VENTA]]</f>
        <v>684</v>
      </c>
    </row>
    <row r="4137" spans="1:22" x14ac:dyDescent="0.3">
      <c r="A4137">
        <v>62003</v>
      </c>
      <c r="B4137">
        <v>1</v>
      </c>
      <c r="C4137" t="s">
        <v>109</v>
      </c>
      <c r="D4137" t="s">
        <v>110</v>
      </c>
      <c r="E4137" s="1">
        <v>44298</v>
      </c>
      <c r="F4137">
        <v>1</v>
      </c>
      <c r="G4137" t="s">
        <v>24</v>
      </c>
      <c r="H4137" t="s">
        <v>25</v>
      </c>
      <c r="I4137" s="3">
        <v>947</v>
      </c>
      <c r="J4137" s="3">
        <v>947</v>
      </c>
      <c r="K4137" s="3">
        <v>387</v>
      </c>
      <c r="L4137" t="s">
        <v>98</v>
      </c>
      <c r="M4137">
        <v>11</v>
      </c>
      <c r="N4137" t="s">
        <v>10</v>
      </c>
      <c r="O4137" t="s">
        <v>11</v>
      </c>
      <c r="P4137" t="s">
        <v>12</v>
      </c>
      <c r="Q4137" t="s">
        <v>13</v>
      </c>
      <c r="R4137" t="s">
        <v>13</v>
      </c>
      <c r="S4137" t="s">
        <v>144</v>
      </c>
      <c r="T4137" s="2">
        <f>MASTER[[#This Row],[CANTIDAD]]*MASTER[[#This Row],[PRECIO DE VENTA]]</f>
        <v>947</v>
      </c>
      <c r="U4137" s="2">
        <f>MASTER[[#This Row],[CANTIDAD]]*MASTER[[#This Row],[COSTO UNITARIO]]</f>
        <v>387</v>
      </c>
      <c r="V4137" s="2">
        <f>MASTER[[#This Row],[MONTO VENDIDO]]-MASTER[[#This Row],[COSTO DE VENTA]]</f>
        <v>560</v>
      </c>
    </row>
    <row r="4138" spans="1:22" x14ac:dyDescent="0.3">
      <c r="A4138">
        <v>62005</v>
      </c>
      <c r="B4138">
        <v>1</v>
      </c>
      <c r="C4138" t="s">
        <v>5</v>
      </c>
      <c r="D4138" t="s">
        <v>6</v>
      </c>
      <c r="E4138" s="1">
        <v>44298</v>
      </c>
      <c r="F4138">
        <v>1</v>
      </c>
      <c r="G4138" t="s">
        <v>63</v>
      </c>
      <c r="H4138" t="s">
        <v>64</v>
      </c>
      <c r="I4138" s="3">
        <v>1311</v>
      </c>
      <c r="J4138" s="3">
        <v>1311</v>
      </c>
      <c r="K4138" s="3">
        <v>393</v>
      </c>
      <c r="L4138" t="s">
        <v>9</v>
      </c>
      <c r="M4138">
        <v>16</v>
      </c>
      <c r="N4138" t="s">
        <v>17</v>
      </c>
      <c r="O4138" t="s">
        <v>11</v>
      </c>
      <c r="P4138" t="s">
        <v>18</v>
      </c>
      <c r="Q4138" t="s">
        <v>19</v>
      </c>
      <c r="R4138" t="s">
        <v>138</v>
      </c>
      <c r="S4138" t="s">
        <v>144</v>
      </c>
      <c r="T4138" s="2">
        <f>MASTER[[#This Row],[CANTIDAD]]*MASTER[[#This Row],[PRECIO DE VENTA]]</f>
        <v>1311</v>
      </c>
      <c r="U4138" s="2">
        <f>MASTER[[#This Row],[CANTIDAD]]*MASTER[[#This Row],[COSTO UNITARIO]]</f>
        <v>393</v>
      </c>
      <c r="V4138" s="2">
        <f>MASTER[[#This Row],[MONTO VENDIDO]]-MASTER[[#This Row],[COSTO DE VENTA]]</f>
        <v>918</v>
      </c>
    </row>
    <row r="4139" spans="1:22" x14ac:dyDescent="0.3">
      <c r="A4139">
        <v>62018</v>
      </c>
      <c r="B4139">
        <v>1</v>
      </c>
      <c r="C4139" t="s">
        <v>105</v>
      </c>
      <c r="D4139" t="s">
        <v>106</v>
      </c>
      <c r="E4139" s="1">
        <v>44299</v>
      </c>
      <c r="F4139">
        <v>1</v>
      </c>
      <c r="G4139" t="s">
        <v>22</v>
      </c>
      <c r="H4139" t="s">
        <v>23</v>
      </c>
      <c r="I4139" s="3">
        <v>1865</v>
      </c>
      <c r="J4139" s="3">
        <v>1865</v>
      </c>
      <c r="K4139" s="3">
        <v>459</v>
      </c>
      <c r="L4139" t="s">
        <v>98</v>
      </c>
      <c r="M4139">
        <v>19</v>
      </c>
      <c r="N4139" t="s">
        <v>89</v>
      </c>
      <c r="O4139" t="s">
        <v>81</v>
      </c>
      <c r="P4139" t="s">
        <v>15</v>
      </c>
      <c r="Q4139" t="s">
        <v>16</v>
      </c>
      <c r="R4139" t="s">
        <v>16</v>
      </c>
      <c r="S4139" t="s">
        <v>144</v>
      </c>
      <c r="T4139" s="2">
        <f>MASTER[[#This Row],[CANTIDAD]]*MASTER[[#This Row],[PRECIO DE VENTA]]</f>
        <v>1865</v>
      </c>
      <c r="U4139" s="2">
        <f>MASTER[[#This Row],[CANTIDAD]]*MASTER[[#This Row],[COSTO UNITARIO]]</f>
        <v>459</v>
      </c>
      <c r="V4139" s="2">
        <f>MASTER[[#This Row],[MONTO VENDIDO]]-MASTER[[#This Row],[COSTO DE VENTA]]</f>
        <v>1406</v>
      </c>
    </row>
    <row r="4140" spans="1:22" x14ac:dyDescent="0.3">
      <c r="A4140">
        <v>62029</v>
      </c>
      <c r="B4140">
        <v>1</v>
      </c>
      <c r="C4140" t="s">
        <v>105</v>
      </c>
      <c r="D4140" t="s">
        <v>106</v>
      </c>
      <c r="E4140" s="1">
        <v>44299</v>
      </c>
      <c r="F4140">
        <v>1</v>
      </c>
      <c r="G4140" t="s">
        <v>49</v>
      </c>
      <c r="H4140" t="s">
        <v>50</v>
      </c>
      <c r="I4140" s="3">
        <v>2033</v>
      </c>
      <c r="J4140" s="3">
        <v>2033</v>
      </c>
      <c r="K4140" s="3">
        <v>459</v>
      </c>
      <c r="L4140" t="s">
        <v>98</v>
      </c>
      <c r="M4140">
        <v>3</v>
      </c>
      <c r="N4140" t="s">
        <v>69</v>
      </c>
      <c r="O4140" t="s">
        <v>70</v>
      </c>
      <c r="P4140" t="s">
        <v>71</v>
      </c>
      <c r="Q4140" t="s">
        <v>72</v>
      </c>
      <c r="R4140" t="s">
        <v>139</v>
      </c>
      <c r="S4140" t="s">
        <v>144</v>
      </c>
      <c r="T4140" s="2">
        <f>MASTER[[#This Row],[CANTIDAD]]*MASTER[[#This Row],[PRECIO DE VENTA]]</f>
        <v>2033</v>
      </c>
      <c r="U4140" s="2">
        <f>MASTER[[#This Row],[CANTIDAD]]*MASTER[[#This Row],[COSTO UNITARIO]]</f>
        <v>459</v>
      </c>
      <c r="V4140" s="2">
        <f>MASTER[[#This Row],[MONTO VENDIDO]]-MASTER[[#This Row],[COSTO DE VENTA]]</f>
        <v>1574</v>
      </c>
    </row>
    <row r="4141" spans="1:22" x14ac:dyDescent="0.3">
      <c r="A4141">
        <v>62039</v>
      </c>
      <c r="B4141">
        <v>1</v>
      </c>
      <c r="C4141" t="s">
        <v>92</v>
      </c>
      <c r="D4141" t="s">
        <v>93</v>
      </c>
      <c r="E4141" s="1">
        <v>44299</v>
      </c>
      <c r="F4141">
        <v>1</v>
      </c>
      <c r="G4141" t="s">
        <v>65</v>
      </c>
      <c r="H4141" t="s">
        <v>66</v>
      </c>
      <c r="I4141" s="3">
        <v>1681</v>
      </c>
      <c r="J4141" s="3">
        <v>1681</v>
      </c>
      <c r="K4141" s="3">
        <v>396</v>
      </c>
      <c r="L4141" t="s">
        <v>9</v>
      </c>
      <c r="M4141">
        <v>5</v>
      </c>
      <c r="N4141" t="s">
        <v>85</v>
      </c>
      <c r="O4141" t="s">
        <v>81</v>
      </c>
      <c r="P4141" t="s">
        <v>12</v>
      </c>
      <c r="Q4141" t="s">
        <v>13</v>
      </c>
      <c r="R4141" t="s">
        <v>13</v>
      </c>
      <c r="S4141" t="s">
        <v>144</v>
      </c>
      <c r="T4141" s="2">
        <f>MASTER[[#This Row],[CANTIDAD]]*MASTER[[#This Row],[PRECIO DE VENTA]]</f>
        <v>1681</v>
      </c>
      <c r="U4141" s="2">
        <f>MASTER[[#This Row],[CANTIDAD]]*MASTER[[#This Row],[COSTO UNITARIO]]</f>
        <v>396</v>
      </c>
      <c r="V4141" s="2">
        <f>MASTER[[#This Row],[MONTO VENDIDO]]-MASTER[[#This Row],[COSTO DE VENTA]]</f>
        <v>1285</v>
      </c>
    </row>
    <row r="4142" spans="1:22" x14ac:dyDescent="0.3">
      <c r="A4142">
        <v>62089</v>
      </c>
      <c r="B4142">
        <v>1</v>
      </c>
      <c r="C4142" t="s">
        <v>99</v>
      </c>
      <c r="D4142" t="s">
        <v>100</v>
      </c>
      <c r="E4142" s="1">
        <v>44299</v>
      </c>
      <c r="F4142">
        <v>1</v>
      </c>
      <c r="G4142" t="s">
        <v>7</v>
      </c>
      <c r="H4142" t="s">
        <v>8</v>
      </c>
      <c r="I4142" s="3">
        <v>1459</v>
      </c>
      <c r="J4142" s="3">
        <v>1327</v>
      </c>
      <c r="K4142" s="3">
        <v>386</v>
      </c>
      <c r="L4142" t="s">
        <v>98</v>
      </c>
      <c r="M4142">
        <v>10</v>
      </c>
      <c r="N4142" t="s">
        <v>83</v>
      </c>
      <c r="O4142" t="s">
        <v>81</v>
      </c>
      <c r="P4142" t="s">
        <v>12</v>
      </c>
      <c r="Q4142" t="s">
        <v>13</v>
      </c>
      <c r="R4142" t="s">
        <v>13</v>
      </c>
      <c r="S4142" t="s">
        <v>144</v>
      </c>
      <c r="T4142" s="2">
        <f>MASTER[[#This Row],[CANTIDAD]]*MASTER[[#This Row],[PRECIO DE VENTA]]</f>
        <v>1327</v>
      </c>
      <c r="U4142" s="2">
        <f>MASTER[[#This Row],[CANTIDAD]]*MASTER[[#This Row],[COSTO UNITARIO]]</f>
        <v>386</v>
      </c>
      <c r="V4142" s="2">
        <f>MASTER[[#This Row],[MONTO VENDIDO]]-MASTER[[#This Row],[COSTO DE VENTA]]</f>
        <v>941</v>
      </c>
    </row>
    <row r="4143" spans="1:22" x14ac:dyDescent="0.3">
      <c r="A4143">
        <v>62091</v>
      </c>
      <c r="B4143">
        <v>1</v>
      </c>
      <c r="C4143" t="s">
        <v>111</v>
      </c>
      <c r="D4143" t="s">
        <v>112</v>
      </c>
      <c r="E4143" s="1">
        <v>44299</v>
      </c>
      <c r="F4143">
        <v>1</v>
      </c>
      <c r="G4143" t="s">
        <v>73</v>
      </c>
      <c r="H4143" t="s">
        <v>74</v>
      </c>
      <c r="I4143" s="3">
        <v>1621</v>
      </c>
      <c r="J4143" s="3">
        <v>1621</v>
      </c>
      <c r="K4143" s="3">
        <v>434</v>
      </c>
      <c r="L4143" t="s">
        <v>113</v>
      </c>
      <c r="M4143">
        <v>10</v>
      </c>
      <c r="N4143" t="s">
        <v>83</v>
      </c>
      <c r="O4143" t="s">
        <v>81</v>
      </c>
      <c r="P4143" t="s">
        <v>12</v>
      </c>
      <c r="Q4143" t="s">
        <v>13</v>
      </c>
      <c r="R4143" t="s">
        <v>13</v>
      </c>
      <c r="S4143" t="s">
        <v>144</v>
      </c>
      <c r="T4143" s="2">
        <f>MASTER[[#This Row],[CANTIDAD]]*MASTER[[#This Row],[PRECIO DE VENTA]]</f>
        <v>1621</v>
      </c>
      <c r="U4143" s="2">
        <f>MASTER[[#This Row],[CANTIDAD]]*MASTER[[#This Row],[COSTO UNITARIO]]</f>
        <v>434</v>
      </c>
      <c r="V4143" s="2">
        <f>MASTER[[#This Row],[MONTO VENDIDO]]-MASTER[[#This Row],[COSTO DE VENTA]]</f>
        <v>1187</v>
      </c>
    </row>
    <row r="4144" spans="1:22" x14ac:dyDescent="0.3">
      <c r="A4144">
        <v>62110</v>
      </c>
      <c r="B4144">
        <v>1</v>
      </c>
      <c r="C4144" t="s">
        <v>111</v>
      </c>
      <c r="D4144" t="s">
        <v>112</v>
      </c>
      <c r="E4144" s="1">
        <v>44299</v>
      </c>
      <c r="F4144">
        <v>1</v>
      </c>
      <c r="G4144" t="s">
        <v>49</v>
      </c>
      <c r="H4144" t="s">
        <v>50</v>
      </c>
      <c r="I4144" s="3">
        <v>1799</v>
      </c>
      <c r="J4144" s="3">
        <v>1799</v>
      </c>
      <c r="K4144" s="3">
        <v>434</v>
      </c>
      <c r="L4144" t="s">
        <v>113</v>
      </c>
      <c r="M4144">
        <v>13</v>
      </c>
      <c r="N4144" t="s">
        <v>78</v>
      </c>
      <c r="O4144" t="s">
        <v>70</v>
      </c>
      <c r="P4144" t="s">
        <v>18</v>
      </c>
      <c r="Q4144" t="s">
        <v>19</v>
      </c>
      <c r="R4144" t="s">
        <v>138</v>
      </c>
      <c r="S4144" t="s">
        <v>144</v>
      </c>
      <c r="T4144" s="2">
        <f>MASTER[[#This Row],[CANTIDAD]]*MASTER[[#This Row],[PRECIO DE VENTA]]</f>
        <v>1799</v>
      </c>
      <c r="U4144" s="2">
        <f>MASTER[[#This Row],[CANTIDAD]]*MASTER[[#This Row],[COSTO UNITARIO]]</f>
        <v>434</v>
      </c>
      <c r="V4144" s="2">
        <f>MASTER[[#This Row],[MONTO VENDIDO]]-MASTER[[#This Row],[COSTO DE VENTA]]</f>
        <v>1365</v>
      </c>
    </row>
    <row r="4145" spans="1:22" x14ac:dyDescent="0.3">
      <c r="A4145">
        <v>62125</v>
      </c>
      <c r="B4145">
        <v>1</v>
      </c>
      <c r="C4145" t="s">
        <v>5</v>
      </c>
      <c r="D4145" t="s">
        <v>6</v>
      </c>
      <c r="E4145" s="1">
        <v>44299</v>
      </c>
      <c r="F4145">
        <v>1</v>
      </c>
      <c r="G4145" t="s">
        <v>51</v>
      </c>
      <c r="H4145" t="s">
        <v>52</v>
      </c>
      <c r="I4145" s="3">
        <v>1507</v>
      </c>
      <c r="J4145" s="3">
        <v>1507</v>
      </c>
      <c r="K4145" s="3">
        <v>393</v>
      </c>
      <c r="L4145" t="s">
        <v>9</v>
      </c>
      <c r="M4145">
        <v>7</v>
      </c>
      <c r="N4145" t="s">
        <v>84</v>
      </c>
      <c r="O4145" t="s">
        <v>81</v>
      </c>
      <c r="P4145" t="s">
        <v>12</v>
      </c>
      <c r="Q4145" t="s">
        <v>13</v>
      </c>
      <c r="R4145" t="s">
        <v>13</v>
      </c>
      <c r="S4145" t="s">
        <v>144</v>
      </c>
      <c r="T4145" s="2">
        <f>MASTER[[#This Row],[CANTIDAD]]*MASTER[[#This Row],[PRECIO DE VENTA]]</f>
        <v>1507</v>
      </c>
      <c r="U4145" s="2">
        <f>MASTER[[#This Row],[CANTIDAD]]*MASTER[[#This Row],[COSTO UNITARIO]]</f>
        <v>393</v>
      </c>
      <c r="V4145" s="2">
        <f>MASTER[[#This Row],[MONTO VENDIDO]]-MASTER[[#This Row],[COSTO DE VENTA]]</f>
        <v>1114</v>
      </c>
    </row>
    <row r="4146" spans="1:22" x14ac:dyDescent="0.3">
      <c r="A4146">
        <v>62127</v>
      </c>
      <c r="B4146">
        <v>1</v>
      </c>
      <c r="C4146" t="s">
        <v>96</v>
      </c>
      <c r="D4146" t="s">
        <v>97</v>
      </c>
      <c r="E4146" s="1">
        <v>44300</v>
      </c>
      <c r="F4146">
        <v>1</v>
      </c>
      <c r="G4146" t="s">
        <v>29</v>
      </c>
      <c r="H4146" t="s">
        <v>30</v>
      </c>
      <c r="I4146" s="3">
        <v>1272</v>
      </c>
      <c r="J4146" s="3">
        <v>1272</v>
      </c>
      <c r="K4146" s="3">
        <v>397</v>
      </c>
      <c r="L4146" t="s">
        <v>98</v>
      </c>
      <c r="M4146">
        <v>2</v>
      </c>
      <c r="N4146" t="s">
        <v>86</v>
      </c>
      <c r="O4146" t="s">
        <v>81</v>
      </c>
      <c r="P4146" t="s">
        <v>71</v>
      </c>
      <c r="Q4146" t="s">
        <v>72</v>
      </c>
      <c r="R4146" t="s">
        <v>139</v>
      </c>
      <c r="S4146" t="s">
        <v>144</v>
      </c>
      <c r="T4146" s="2">
        <f>MASTER[[#This Row],[CANTIDAD]]*MASTER[[#This Row],[PRECIO DE VENTA]]</f>
        <v>1272</v>
      </c>
      <c r="U4146" s="2">
        <f>MASTER[[#This Row],[CANTIDAD]]*MASTER[[#This Row],[COSTO UNITARIO]]</f>
        <v>397</v>
      </c>
      <c r="V4146" s="2">
        <f>MASTER[[#This Row],[MONTO VENDIDO]]-MASTER[[#This Row],[COSTO DE VENTA]]</f>
        <v>875</v>
      </c>
    </row>
    <row r="4147" spans="1:22" x14ac:dyDescent="0.3">
      <c r="A4147">
        <v>62131</v>
      </c>
      <c r="B4147">
        <v>1</v>
      </c>
      <c r="C4147" t="s">
        <v>96</v>
      </c>
      <c r="D4147" t="s">
        <v>97</v>
      </c>
      <c r="E4147" s="1">
        <v>44300</v>
      </c>
      <c r="F4147">
        <v>1</v>
      </c>
      <c r="G4147" t="s">
        <v>22</v>
      </c>
      <c r="H4147" t="s">
        <v>23</v>
      </c>
      <c r="I4147" s="3">
        <v>1196</v>
      </c>
      <c r="J4147" s="3">
        <v>1196</v>
      </c>
      <c r="K4147" s="3">
        <v>397</v>
      </c>
      <c r="L4147" t="s">
        <v>98</v>
      </c>
      <c r="M4147">
        <v>16</v>
      </c>
      <c r="N4147" t="s">
        <v>17</v>
      </c>
      <c r="O4147" t="s">
        <v>11</v>
      </c>
      <c r="P4147" t="s">
        <v>18</v>
      </c>
      <c r="Q4147" t="s">
        <v>19</v>
      </c>
      <c r="R4147" t="s">
        <v>138</v>
      </c>
      <c r="S4147" t="s">
        <v>144</v>
      </c>
      <c r="T4147" s="2">
        <f>MASTER[[#This Row],[CANTIDAD]]*MASTER[[#This Row],[PRECIO DE VENTA]]</f>
        <v>1196</v>
      </c>
      <c r="U4147" s="2">
        <f>MASTER[[#This Row],[CANTIDAD]]*MASTER[[#This Row],[COSTO UNITARIO]]</f>
        <v>397</v>
      </c>
      <c r="V4147" s="2">
        <f>MASTER[[#This Row],[MONTO VENDIDO]]-MASTER[[#This Row],[COSTO DE VENTA]]</f>
        <v>799</v>
      </c>
    </row>
    <row r="4148" spans="1:22" x14ac:dyDescent="0.3">
      <c r="A4148">
        <v>62139</v>
      </c>
      <c r="B4148">
        <v>1</v>
      </c>
      <c r="C4148" t="s">
        <v>101</v>
      </c>
      <c r="D4148" t="s">
        <v>102</v>
      </c>
      <c r="E4148" s="1">
        <v>44300</v>
      </c>
      <c r="F4148">
        <v>1</v>
      </c>
      <c r="G4148" t="s">
        <v>47</v>
      </c>
      <c r="H4148" t="s">
        <v>48</v>
      </c>
      <c r="I4148" s="3">
        <v>1054</v>
      </c>
      <c r="J4148" s="3">
        <v>1054</v>
      </c>
      <c r="K4148" s="3">
        <v>442</v>
      </c>
      <c r="L4148" t="s">
        <v>98</v>
      </c>
      <c r="M4148">
        <v>12</v>
      </c>
      <c r="N4148" t="s">
        <v>26</v>
      </c>
      <c r="O4148" t="s">
        <v>11</v>
      </c>
      <c r="P4148" t="s">
        <v>12</v>
      </c>
      <c r="Q4148" t="s">
        <v>13</v>
      </c>
      <c r="R4148" t="s">
        <v>13</v>
      </c>
      <c r="S4148" t="s">
        <v>144</v>
      </c>
      <c r="T4148" s="2">
        <f>MASTER[[#This Row],[CANTIDAD]]*MASTER[[#This Row],[PRECIO DE VENTA]]</f>
        <v>1054</v>
      </c>
      <c r="U4148" s="2">
        <f>MASTER[[#This Row],[CANTIDAD]]*MASTER[[#This Row],[COSTO UNITARIO]]</f>
        <v>442</v>
      </c>
      <c r="V4148" s="2">
        <f>MASTER[[#This Row],[MONTO VENDIDO]]-MASTER[[#This Row],[COSTO DE VENTA]]</f>
        <v>612</v>
      </c>
    </row>
    <row r="4149" spans="1:22" x14ac:dyDescent="0.3">
      <c r="A4149">
        <v>62153</v>
      </c>
      <c r="B4149">
        <v>1</v>
      </c>
      <c r="C4149" t="s">
        <v>5</v>
      </c>
      <c r="D4149" t="s">
        <v>6</v>
      </c>
      <c r="E4149" s="1">
        <v>44300</v>
      </c>
      <c r="F4149">
        <v>1</v>
      </c>
      <c r="G4149" t="s">
        <v>22</v>
      </c>
      <c r="H4149" t="s">
        <v>23</v>
      </c>
      <c r="I4149" s="3">
        <v>1507</v>
      </c>
      <c r="J4149" s="3">
        <v>1507</v>
      </c>
      <c r="K4149" s="3">
        <v>393</v>
      </c>
      <c r="L4149" t="s">
        <v>9</v>
      </c>
      <c r="M4149">
        <v>5</v>
      </c>
      <c r="N4149" t="s">
        <v>85</v>
      </c>
      <c r="O4149" t="s">
        <v>81</v>
      </c>
      <c r="P4149" t="s">
        <v>12</v>
      </c>
      <c r="Q4149" t="s">
        <v>13</v>
      </c>
      <c r="R4149" t="s">
        <v>13</v>
      </c>
      <c r="S4149" t="s">
        <v>144</v>
      </c>
      <c r="T4149" s="2">
        <f>MASTER[[#This Row],[CANTIDAD]]*MASTER[[#This Row],[PRECIO DE VENTA]]</f>
        <v>1507</v>
      </c>
      <c r="U4149" s="2">
        <f>MASTER[[#This Row],[CANTIDAD]]*MASTER[[#This Row],[COSTO UNITARIO]]</f>
        <v>393</v>
      </c>
      <c r="V4149" s="2">
        <f>MASTER[[#This Row],[MONTO VENDIDO]]-MASTER[[#This Row],[COSTO DE VENTA]]</f>
        <v>1114</v>
      </c>
    </row>
    <row r="4150" spans="1:22" x14ac:dyDescent="0.3">
      <c r="A4150">
        <v>62154</v>
      </c>
      <c r="B4150">
        <v>1</v>
      </c>
      <c r="C4150" t="s">
        <v>121</v>
      </c>
      <c r="D4150" t="s">
        <v>122</v>
      </c>
      <c r="E4150" s="1">
        <v>44300</v>
      </c>
      <c r="F4150">
        <v>1</v>
      </c>
      <c r="G4150" t="s">
        <v>31</v>
      </c>
      <c r="H4150" t="s">
        <v>32</v>
      </c>
      <c r="I4150" s="3">
        <v>1144</v>
      </c>
      <c r="J4150" s="3">
        <v>1029</v>
      </c>
      <c r="K4150" s="3">
        <v>460</v>
      </c>
      <c r="L4150" t="s">
        <v>120</v>
      </c>
      <c r="M4150">
        <v>9</v>
      </c>
      <c r="N4150" t="s">
        <v>76</v>
      </c>
      <c r="O4150" t="s">
        <v>70</v>
      </c>
      <c r="P4150" t="s">
        <v>12</v>
      </c>
      <c r="Q4150" t="s">
        <v>13</v>
      </c>
      <c r="R4150" t="s">
        <v>13</v>
      </c>
      <c r="S4150" t="s">
        <v>144</v>
      </c>
      <c r="T4150" s="2">
        <f>MASTER[[#This Row],[CANTIDAD]]*MASTER[[#This Row],[PRECIO DE VENTA]]</f>
        <v>1029</v>
      </c>
      <c r="U4150" s="2">
        <f>MASTER[[#This Row],[CANTIDAD]]*MASTER[[#This Row],[COSTO UNITARIO]]</f>
        <v>460</v>
      </c>
      <c r="V4150" s="2">
        <f>MASTER[[#This Row],[MONTO VENDIDO]]-MASTER[[#This Row],[COSTO DE VENTA]]</f>
        <v>569</v>
      </c>
    </row>
    <row r="4151" spans="1:22" x14ac:dyDescent="0.3">
      <c r="A4151">
        <v>62158</v>
      </c>
      <c r="B4151">
        <v>1</v>
      </c>
      <c r="C4151" t="s">
        <v>116</v>
      </c>
      <c r="D4151" t="s">
        <v>117</v>
      </c>
      <c r="E4151" s="1">
        <v>44300</v>
      </c>
      <c r="F4151">
        <v>1</v>
      </c>
      <c r="G4151" t="s">
        <v>29</v>
      </c>
      <c r="H4151" t="s">
        <v>30</v>
      </c>
      <c r="I4151" s="3">
        <v>1738</v>
      </c>
      <c r="J4151" s="3">
        <v>1738</v>
      </c>
      <c r="K4151" s="3">
        <v>388</v>
      </c>
      <c r="L4151" t="s">
        <v>113</v>
      </c>
      <c r="M4151">
        <v>2</v>
      </c>
      <c r="N4151" t="s">
        <v>86</v>
      </c>
      <c r="O4151" t="s">
        <v>81</v>
      </c>
      <c r="P4151" t="s">
        <v>71</v>
      </c>
      <c r="Q4151" t="s">
        <v>72</v>
      </c>
      <c r="R4151" t="s">
        <v>139</v>
      </c>
      <c r="S4151" t="s">
        <v>144</v>
      </c>
      <c r="T4151" s="2">
        <f>MASTER[[#This Row],[CANTIDAD]]*MASTER[[#This Row],[PRECIO DE VENTA]]</f>
        <v>1738</v>
      </c>
      <c r="U4151" s="2">
        <f>MASTER[[#This Row],[CANTIDAD]]*MASTER[[#This Row],[COSTO UNITARIO]]</f>
        <v>388</v>
      </c>
      <c r="V4151" s="2">
        <f>MASTER[[#This Row],[MONTO VENDIDO]]-MASTER[[#This Row],[COSTO DE VENTA]]</f>
        <v>1350</v>
      </c>
    </row>
    <row r="4152" spans="1:22" x14ac:dyDescent="0.3">
      <c r="A4152">
        <v>62207</v>
      </c>
      <c r="B4152">
        <v>1</v>
      </c>
      <c r="C4152" t="s">
        <v>116</v>
      </c>
      <c r="D4152" t="s">
        <v>117</v>
      </c>
      <c r="E4152" s="1">
        <v>44300</v>
      </c>
      <c r="F4152">
        <v>1</v>
      </c>
      <c r="G4152" t="s">
        <v>65</v>
      </c>
      <c r="H4152" t="s">
        <v>66</v>
      </c>
      <c r="I4152" s="3">
        <v>1999</v>
      </c>
      <c r="J4152" s="3">
        <v>1999</v>
      </c>
      <c r="K4152" s="3">
        <v>388</v>
      </c>
      <c r="L4152" t="s">
        <v>113</v>
      </c>
      <c r="M4152">
        <v>3</v>
      </c>
      <c r="N4152" t="s">
        <v>69</v>
      </c>
      <c r="O4152" t="s">
        <v>70</v>
      </c>
      <c r="P4152" t="s">
        <v>71</v>
      </c>
      <c r="Q4152" t="s">
        <v>72</v>
      </c>
      <c r="R4152" t="s">
        <v>139</v>
      </c>
      <c r="S4152" t="s">
        <v>144</v>
      </c>
      <c r="T4152" s="2">
        <f>MASTER[[#This Row],[CANTIDAD]]*MASTER[[#This Row],[PRECIO DE VENTA]]</f>
        <v>1999</v>
      </c>
      <c r="U4152" s="2">
        <f>MASTER[[#This Row],[CANTIDAD]]*MASTER[[#This Row],[COSTO UNITARIO]]</f>
        <v>388</v>
      </c>
      <c r="V4152" s="2">
        <f>MASTER[[#This Row],[MONTO VENDIDO]]-MASTER[[#This Row],[COSTO DE VENTA]]</f>
        <v>1611</v>
      </c>
    </row>
    <row r="4153" spans="1:22" x14ac:dyDescent="0.3">
      <c r="A4153">
        <v>62216</v>
      </c>
      <c r="B4153">
        <v>1</v>
      </c>
      <c r="C4153" t="s">
        <v>109</v>
      </c>
      <c r="D4153" t="s">
        <v>110</v>
      </c>
      <c r="E4153" s="1">
        <v>44300</v>
      </c>
      <c r="F4153">
        <v>1</v>
      </c>
      <c r="G4153" t="s">
        <v>51</v>
      </c>
      <c r="H4153" t="s">
        <v>52</v>
      </c>
      <c r="I4153" s="3">
        <v>1064</v>
      </c>
      <c r="J4153" s="3">
        <v>1064</v>
      </c>
      <c r="K4153" s="3">
        <v>387</v>
      </c>
      <c r="L4153" t="s">
        <v>98</v>
      </c>
      <c r="M4153">
        <v>10</v>
      </c>
      <c r="N4153" t="s">
        <v>83</v>
      </c>
      <c r="O4153" t="s">
        <v>81</v>
      </c>
      <c r="P4153" t="s">
        <v>12</v>
      </c>
      <c r="Q4153" t="s">
        <v>13</v>
      </c>
      <c r="R4153" t="s">
        <v>13</v>
      </c>
      <c r="S4153" t="s">
        <v>144</v>
      </c>
      <c r="T4153" s="2">
        <f>MASTER[[#This Row],[CANTIDAD]]*MASTER[[#This Row],[PRECIO DE VENTA]]</f>
        <v>1064</v>
      </c>
      <c r="U4153" s="2">
        <f>MASTER[[#This Row],[CANTIDAD]]*MASTER[[#This Row],[COSTO UNITARIO]]</f>
        <v>387</v>
      </c>
      <c r="V4153" s="2">
        <f>MASTER[[#This Row],[MONTO VENDIDO]]-MASTER[[#This Row],[COSTO DE VENTA]]</f>
        <v>677</v>
      </c>
    </row>
    <row r="4154" spans="1:22" x14ac:dyDescent="0.3">
      <c r="A4154">
        <v>62217</v>
      </c>
      <c r="B4154">
        <v>1</v>
      </c>
      <c r="C4154" t="s">
        <v>90</v>
      </c>
      <c r="D4154" t="s">
        <v>91</v>
      </c>
      <c r="E4154" s="1">
        <v>44300</v>
      </c>
      <c r="F4154">
        <v>1</v>
      </c>
      <c r="G4154" t="s">
        <v>24</v>
      </c>
      <c r="H4154" t="s">
        <v>25</v>
      </c>
      <c r="I4154" s="3">
        <v>1844</v>
      </c>
      <c r="J4154" s="3">
        <v>1678</v>
      </c>
      <c r="K4154" s="3">
        <v>420</v>
      </c>
      <c r="L4154" t="s">
        <v>9</v>
      </c>
      <c r="M4154">
        <v>14</v>
      </c>
      <c r="N4154" t="s">
        <v>87</v>
      </c>
      <c r="O4154" t="s">
        <v>81</v>
      </c>
      <c r="P4154" t="s">
        <v>18</v>
      </c>
      <c r="Q4154" t="s">
        <v>19</v>
      </c>
      <c r="R4154" t="s">
        <v>138</v>
      </c>
      <c r="S4154" t="s">
        <v>144</v>
      </c>
      <c r="T4154" s="2">
        <f>MASTER[[#This Row],[CANTIDAD]]*MASTER[[#This Row],[PRECIO DE VENTA]]</f>
        <v>1678</v>
      </c>
      <c r="U4154" s="2">
        <f>MASTER[[#This Row],[CANTIDAD]]*MASTER[[#This Row],[COSTO UNITARIO]]</f>
        <v>420</v>
      </c>
      <c r="V4154" s="2">
        <f>MASTER[[#This Row],[MONTO VENDIDO]]-MASTER[[#This Row],[COSTO DE VENTA]]</f>
        <v>1258</v>
      </c>
    </row>
    <row r="4155" spans="1:22" x14ac:dyDescent="0.3">
      <c r="A4155">
        <v>62260</v>
      </c>
      <c r="B4155">
        <v>1</v>
      </c>
      <c r="C4155" t="s">
        <v>101</v>
      </c>
      <c r="D4155" t="s">
        <v>102</v>
      </c>
      <c r="E4155" s="1">
        <v>44300</v>
      </c>
      <c r="F4155">
        <v>1</v>
      </c>
      <c r="G4155" t="s">
        <v>24</v>
      </c>
      <c r="H4155" t="s">
        <v>25</v>
      </c>
      <c r="I4155" s="3">
        <v>1357</v>
      </c>
      <c r="J4155" s="3">
        <v>1357</v>
      </c>
      <c r="K4155" s="3">
        <v>442</v>
      </c>
      <c r="L4155" t="s">
        <v>98</v>
      </c>
      <c r="M4155">
        <v>1</v>
      </c>
      <c r="N4155" t="s">
        <v>77</v>
      </c>
      <c r="O4155" t="s">
        <v>70</v>
      </c>
      <c r="P4155" t="s">
        <v>71</v>
      </c>
      <c r="Q4155" t="s">
        <v>72</v>
      </c>
      <c r="R4155" t="s">
        <v>139</v>
      </c>
      <c r="S4155" t="s">
        <v>144</v>
      </c>
      <c r="T4155" s="2">
        <f>MASTER[[#This Row],[CANTIDAD]]*MASTER[[#This Row],[PRECIO DE VENTA]]</f>
        <v>1357</v>
      </c>
      <c r="U4155" s="2">
        <f>MASTER[[#This Row],[CANTIDAD]]*MASTER[[#This Row],[COSTO UNITARIO]]</f>
        <v>442</v>
      </c>
      <c r="V4155" s="2">
        <f>MASTER[[#This Row],[MONTO VENDIDO]]-MASTER[[#This Row],[COSTO DE VENTA]]</f>
        <v>915</v>
      </c>
    </row>
    <row r="4156" spans="1:22" x14ac:dyDescent="0.3">
      <c r="A4156">
        <v>62291</v>
      </c>
      <c r="B4156">
        <v>1</v>
      </c>
      <c r="C4156" t="s">
        <v>103</v>
      </c>
      <c r="D4156" t="s">
        <v>104</v>
      </c>
      <c r="E4156" s="1">
        <v>44301</v>
      </c>
      <c r="F4156">
        <v>1</v>
      </c>
      <c r="G4156" t="s">
        <v>43</v>
      </c>
      <c r="H4156" t="s">
        <v>44</v>
      </c>
      <c r="I4156" s="3">
        <v>1448</v>
      </c>
      <c r="J4156" s="3">
        <v>1303</v>
      </c>
      <c r="K4156" s="3">
        <v>421</v>
      </c>
      <c r="L4156" t="s">
        <v>98</v>
      </c>
      <c r="M4156">
        <v>11</v>
      </c>
      <c r="N4156" t="s">
        <v>10</v>
      </c>
      <c r="O4156" t="s">
        <v>11</v>
      </c>
      <c r="P4156" t="s">
        <v>12</v>
      </c>
      <c r="Q4156" t="s">
        <v>13</v>
      </c>
      <c r="R4156" t="s">
        <v>13</v>
      </c>
      <c r="S4156" t="s">
        <v>144</v>
      </c>
      <c r="T4156" s="2">
        <f>MASTER[[#This Row],[CANTIDAD]]*MASTER[[#This Row],[PRECIO DE VENTA]]</f>
        <v>1303</v>
      </c>
      <c r="U4156" s="2">
        <f>MASTER[[#This Row],[CANTIDAD]]*MASTER[[#This Row],[COSTO UNITARIO]]</f>
        <v>421</v>
      </c>
      <c r="V4156" s="2">
        <f>MASTER[[#This Row],[MONTO VENDIDO]]-MASTER[[#This Row],[COSTO DE VENTA]]</f>
        <v>882</v>
      </c>
    </row>
    <row r="4157" spans="1:22" x14ac:dyDescent="0.3">
      <c r="A4157">
        <v>62316</v>
      </c>
      <c r="B4157">
        <v>1</v>
      </c>
      <c r="C4157" t="s">
        <v>90</v>
      </c>
      <c r="D4157" t="s">
        <v>91</v>
      </c>
      <c r="E4157" s="1">
        <v>44301</v>
      </c>
      <c r="F4157">
        <v>1</v>
      </c>
      <c r="G4157" t="s">
        <v>51</v>
      </c>
      <c r="H4157" t="s">
        <v>52</v>
      </c>
      <c r="I4157" s="3">
        <v>1844</v>
      </c>
      <c r="J4157" s="3">
        <v>1844</v>
      </c>
      <c r="K4157" s="3">
        <v>420</v>
      </c>
      <c r="L4157" t="s">
        <v>9</v>
      </c>
      <c r="M4157">
        <v>5</v>
      </c>
      <c r="N4157" t="s">
        <v>85</v>
      </c>
      <c r="O4157" t="s">
        <v>81</v>
      </c>
      <c r="P4157" t="s">
        <v>12</v>
      </c>
      <c r="Q4157" t="s">
        <v>13</v>
      </c>
      <c r="R4157" t="s">
        <v>13</v>
      </c>
      <c r="S4157" t="s">
        <v>144</v>
      </c>
      <c r="T4157" s="2">
        <f>MASTER[[#This Row],[CANTIDAD]]*MASTER[[#This Row],[PRECIO DE VENTA]]</f>
        <v>1844</v>
      </c>
      <c r="U4157" s="2">
        <f>MASTER[[#This Row],[CANTIDAD]]*MASTER[[#This Row],[COSTO UNITARIO]]</f>
        <v>420</v>
      </c>
      <c r="V4157" s="2">
        <f>MASTER[[#This Row],[MONTO VENDIDO]]-MASTER[[#This Row],[COSTO DE VENTA]]</f>
        <v>1424</v>
      </c>
    </row>
    <row r="4158" spans="1:22" x14ac:dyDescent="0.3">
      <c r="A4158">
        <v>62327</v>
      </c>
      <c r="B4158">
        <v>1</v>
      </c>
      <c r="C4158" t="s">
        <v>101</v>
      </c>
      <c r="D4158" t="s">
        <v>102</v>
      </c>
      <c r="E4158" s="1">
        <v>44301</v>
      </c>
      <c r="F4158">
        <v>1</v>
      </c>
      <c r="G4158" t="s">
        <v>29</v>
      </c>
      <c r="H4158" t="s">
        <v>30</v>
      </c>
      <c r="I4158" s="3">
        <v>1212</v>
      </c>
      <c r="J4158" s="3">
        <v>1212</v>
      </c>
      <c r="K4158" s="3">
        <v>442</v>
      </c>
      <c r="L4158" t="s">
        <v>98</v>
      </c>
      <c r="M4158">
        <v>7</v>
      </c>
      <c r="N4158" t="s">
        <v>84</v>
      </c>
      <c r="O4158" t="s">
        <v>81</v>
      </c>
      <c r="P4158" t="s">
        <v>12</v>
      </c>
      <c r="Q4158" t="s">
        <v>13</v>
      </c>
      <c r="R4158" t="s">
        <v>13</v>
      </c>
      <c r="S4158" t="s">
        <v>144</v>
      </c>
      <c r="T4158" s="2">
        <f>MASTER[[#This Row],[CANTIDAD]]*MASTER[[#This Row],[PRECIO DE VENTA]]</f>
        <v>1212</v>
      </c>
      <c r="U4158" s="2">
        <f>MASTER[[#This Row],[CANTIDAD]]*MASTER[[#This Row],[COSTO UNITARIO]]</f>
        <v>442</v>
      </c>
      <c r="V4158" s="2">
        <f>MASTER[[#This Row],[MONTO VENDIDO]]-MASTER[[#This Row],[COSTO DE VENTA]]</f>
        <v>770</v>
      </c>
    </row>
    <row r="4159" spans="1:22" x14ac:dyDescent="0.3">
      <c r="A4159">
        <v>62331</v>
      </c>
      <c r="B4159">
        <v>1</v>
      </c>
      <c r="C4159" t="s">
        <v>103</v>
      </c>
      <c r="D4159" t="s">
        <v>104</v>
      </c>
      <c r="E4159" s="1">
        <v>44301</v>
      </c>
      <c r="F4159">
        <v>1</v>
      </c>
      <c r="G4159" t="s">
        <v>67</v>
      </c>
      <c r="H4159" t="s">
        <v>68</v>
      </c>
      <c r="I4159" s="3">
        <v>1830</v>
      </c>
      <c r="J4159" s="3">
        <v>1830</v>
      </c>
      <c r="K4159" s="3">
        <v>421</v>
      </c>
      <c r="L4159" t="s">
        <v>98</v>
      </c>
      <c r="M4159">
        <v>18</v>
      </c>
      <c r="N4159" t="s">
        <v>79</v>
      </c>
      <c r="O4159" t="s">
        <v>70</v>
      </c>
      <c r="P4159" t="s">
        <v>15</v>
      </c>
      <c r="Q4159" t="s">
        <v>16</v>
      </c>
      <c r="R4159" t="s">
        <v>16</v>
      </c>
      <c r="S4159" t="s">
        <v>144</v>
      </c>
      <c r="T4159" s="2">
        <f>MASTER[[#This Row],[CANTIDAD]]*MASTER[[#This Row],[PRECIO DE VENTA]]</f>
        <v>1830</v>
      </c>
      <c r="U4159" s="2">
        <f>MASTER[[#This Row],[CANTIDAD]]*MASTER[[#This Row],[COSTO UNITARIO]]</f>
        <v>421</v>
      </c>
      <c r="V4159" s="2">
        <f>MASTER[[#This Row],[MONTO VENDIDO]]-MASTER[[#This Row],[COSTO DE VENTA]]</f>
        <v>1409</v>
      </c>
    </row>
    <row r="4160" spans="1:22" x14ac:dyDescent="0.3">
      <c r="A4160">
        <v>62335</v>
      </c>
      <c r="B4160">
        <v>1</v>
      </c>
      <c r="C4160" t="s">
        <v>96</v>
      </c>
      <c r="D4160" t="s">
        <v>97</v>
      </c>
      <c r="E4160" s="1">
        <v>44301</v>
      </c>
      <c r="F4160">
        <v>1</v>
      </c>
      <c r="G4160" t="s">
        <v>67</v>
      </c>
      <c r="H4160" t="s">
        <v>68</v>
      </c>
      <c r="I4160" s="3">
        <v>1196</v>
      </c>
      <c r="J4160" s="3">
        <v>1196</v>
      </c>
      <c r="K4160" s="3">
        <v>397</v>
      </c>
      <c r="L4160" t="s">
        <v>98</v>
      </c>
      <c r="M4160">
        <v>17</v>
      </c>
      <c r="N4160" t="s">
        <v>14</v>
      </c>
      <c r="O4160" t="s">
        <v>11</v>
      </c>
      <c r="P4160" t="s">
        <v>15</v>
      </c>
      <c r="Q4160" t="s">
        <v>16</v>
      </c>
      <c r="R4160" t="s">
        <v>16</v>
      </c>
      <c r="S4160" t="s">
        <v>144</v>
      </c>
      <c r="T4160" s="2">
        <f>MASTER[[#This Row],[CANTIDAD]]*MASTER[[#This Row],[PRECIO DE VENTA]]</f>
        <v>1196</v>
      </c>
      <c r="U4160" s="2">
        <f>MASTER[[#This Row],[CANTIDAD]]*MASTER[[#This Row],[COSTO UNITARIO]]</f>
        <v>397</v>
      </c>
      <c r="V4160" s="2">
        <f>MASTER[[#This Row],[MONTO VENDIDO]]-MASTER[[#This Row],[COSTO DE VENTA]]</f>
        <v>799</v>
      </c>
    </row>
    <row r="4161" spans="1:22" x14ac:dyDescent="0.3">
      <c r="A4161">
        <v>62350</v>
      </c>
      <c r="B4161">
        <v>1</v>
      </c>
      <c r="C4161" t="s">
        <v>103</v>
      </c>
      <c r="D4161" t="s">
        <v>104</v>
      </c>
      <c r="E4161" s="1">
        <v>44301</v>
      </c>
      <c r="F4161">
        <v>1</v>
      </c>
      <c r="G4161" t="s">
        <v>59</v>
      </c>
      <c r="H4161" t="s">
        <v>60</v>
      </c>
      <c r="I4161" s="3">
        <v>1591</v>
      </c>
      <c r="J4161" s="3">
        <v>1591</v>
      </c>
      <c r="K4161" s="3">
        <v>421</v>
      </c>
      <c r="L4161" t="s">
        <v>98</v>
      </c>
      <c r="M4161">
        <v>15</v>
      </c>
      <c r="N4161" t="s">
        <v>88</v>
      </c>
      <c r="O4161" t="s">
        <v>81</v>
      </c>
      <c r="P4161" t="s">
        <v>18</v>
      </c>
      <c r="Q4161" t="s">
        <v>19</v>
      </c>
      <c r="R4161" t="s">
        <v>138</v>
      </c>
      <c r="S4161" t="s">
        <v>144</v>
      </c>
      <c r="T4161" s="2">
        <f>MASTER[[#This Row],[CANTIDAD]]*MASTER[[#This Row],[PRECIO DE VENTA]]</f>
        <v>1591</v>
      </c>
      <c r="U4161" s="2">
        <f>MASTER[[#This Row],[CANTIDAD]]*MASTER[[#This Row],[COSTO UNITARIO]]</f>
        <v>421</v>
      </c>
      <c r="V4161" s="2">
        <f>MASTER[[#This Row],[MONTO VENDIDO]]-MASTER[[#This Row],[COSTO DE VENTA]]</f>
        <v>1170</v>
      </c>
    </row>
    <row r="4162" spans="1:22" x14ac:dyDescent="0.3">
      <c r="A4162">
        <v>62358</v>
      </c>
      <c r="B4162">
        <v>1</v>
      </c>
      <c r="C4162" t="s">
        <v>105</v>
      </c>
      <c r="D4162" t="s">
        <v>106</v>
      </c>
      <c r="E4162" s="1">
        <v>44301</v>
      </c>
      <c r="F4162">
        <v>1</v>
      </c>
      <c r="G4162" t="s">
        <v>24</v>
      </c>
      <c r="H4162" t="s">
        <v>25</v>
      </c>
      <c r="I4162" s="3">
        <v>1865</v>
      </c>
      <c r="J4162" s="3">
        <v>1771</v>
      </c>
      <c r="K4162" s="3">
        <v>459</v>
      </c>
      <c r="L4162" t="s">
        <v>98</v>
      </c>
      <c r="M4162">
        <v>10</v>
      </c>
      <c r="N4162" t="s">
        <v>83</v>
      </c>
      <c r="O4162" t="s">
        <v>81</v>
      </c>
      <c r="P4162" t="s">
        <v>12</v>
      </c>
      <c r="Q4162" t="s">
        <v>13</v>
      </c>
      <c r="R4162" t="s">
        <v>13</v>
      </c>
      <c r="S4162" t="s">
        <v>144</v>
      </c>
      <c r="T4162" s="2">
        <f>MASTER[[#This Row],[CANTIDAD]]*MASTER[[#This Row],[PRECIO DE VENTA]]</f>
        <v>1771</v>
      </c>
      <c r="U4162" s="2">
        <f>MASTER[[#This Row],[CANTIDAD]]*MASTER[[#This Row],[COSTO UNITARIO]]</f>
        <v>459</v>
      </c>
      <c r="V4162" s="2">
        <f>MASTER[[#This Row],[MONTO VENDIDO]]-MASTER[[#This Row],[COSTO DE VENTA]]</f>
        <v>1312</v>
      </c>
    </row>
    <row r="4163" spans="1:22" x14ac:dyDescent="0.3">
      <c r="A4163">
        <v>62372</v>
      </c>
      <c r="B4163">
        <v>1</v>
      </c>
      <c r="C4163" t="s">
        <v>101</v>
      </c>
      <c r="D4163" t="s">
        <v>102</v>
      </c>
      <c r="E4163" s="1">
        <v>44301</v>
      </c>
      <c r="F4163">
        <v>1</v>
      </c>
      <c r="G4163" t="s">
        <v>22</v>
      </c>
      <c r="H4163" t="s">
        <v>23</v>
      </c>
      <c r="I4163" s="3">
        <v>1212</v>
      </c>
      <c r="J4163" s="3">
        <v>1212</v>
      </c>
      <c r="K4163" s="3">
        <v>442</v>
      </c>
      <c r="L4163" t="s">
        <v>98</v>
      </c>
      <c r="M4163">
        <v>2</v>
      </c>
      <c r="N4163" t="s">
        <v>86</v>
      </c>
      <c r="O4163" t="s">
        <v>81</v>
      </c>
      <c r="P4163" t="s">
        <v>71</v>
      </c>
      <c r="Q4163" t="s">
        <v>72</v>
      </c>
      <c r="R4163" t="s">
        <v>139</v>
      </c>
      <c r="S4163" t="s">
        <v>144</v>
      </c>
      <c r="T4163" s="2">
        <f>MASTER[[#This Row],[CANTIDAD]]*MASTER[[#This Row],[PRECIO DE VENTA]]</f>
        <v>1212</v>
      </c>
      <c r="U4163" s="2">
        <f>MASTER[[#This Row],[CANTIDAD]]*MASTER[[#This Row],[COSTO UNITARIO]]</f>
        <v>442</v>
      </c>
      <c r="V4163" s="2">
        <f>MASTER[[#This Row],[MONTO VENDIDO]]-MASTER[[#This Row],[COSTO DE VENTA]]</f>
        <v>770</v>
      </c>
    </row>
    <row r="4164" spans="1:22" x14ac:dyDescent="0.3">
      <c r="A4164">
        <v>62385</v>
      </c>
      <c r="B4164">
        <v>1</v>
      </c>
      <c r="C4164" t="s">
        <v>103</v>
      </c>
      <c r="D4164" t="s">
        <v>104</v>
      </c>
      <c r="E4164" s="1">
        <v>44301</v>
      </c>
      <c r="F4164">
        <v>1</v>
      </c>
      <c r="G4164" t="s">
        <v>67</v>
      </c>
      <c r="H4164" t="s">
        <v>68</v>
      </c>
      <c r="I4164" s="3">
        <v>1830</v>
      </c>
      <c r="J4164" s="3">
        <v>1830</v>
      </c>
      <c r="K4164" s="3">
        <v>421</v>
      </c>
      <c r="L4164" t="s">
        <v>98</v>
      </c>
      <c r="M4164">
        <v>3</v>
      </c>
      <c r="N4164" t="s">
        <v>69</v>
      </c>
      <c r="O4164" t="s">
        <v>70</v>
      </c>
      <c r="P4164" t="s">
        <v>71</v>
      </c>
      <c r="Q4164" t="s">
        <v>72</v>
      </c>
      <c r="R4164" t="s">
        <v>139</v>
      </c>
      <c r="S4164" t="s">
        <v>144</v>
      </c>
      <c r="T4164" s="2">
        <f>MASTER[[#This Row],[CANTIDAD]]*MASTER[[#This Row],[PRECIO DE VENTA]]</f>
        <v>1830</v>
      </c>
      <c r="U4164" s="2">
        <f>MASTER[[#This Row],[CANTIDAD]]*MASTER[[#This Row],[COSTO UNITARIO]]</f>
        <v>421</v>
      </c>
      <c r="V4164" s="2">
        <f>MASTER[[#This Row],[MONTO VENDIDO]]-MASTER[[#This Row],[COSTO DE VENTA]]</f>
        <v>1409</v>
      </c>
    </row>
    <row r="4165" spans="1:22" x14ac:dyDescent="0.3">
      <c r="A4165">
        <v>62394</v>
      </c>
      <c r="B4165">
        <v>1</v>
      </c>
      <c r="C4165" t="s">
        <v>116</v>
      </c>
      <c r="D4165" t="s">
        <v>117</v>
      </c>
      <c r="E4165" s="1">
        <v>44301</v>
      </c>
      <c r="F4165">
        <v>1</v>
      </c>
      <c r="G4165" t="s">
        <v>67</v>
      </c>
      <c r="H4165" t="s">
        <v>68</v>
      </c>
      <c r="I4165" s="3">
        <v>1738</v>
      </c>
      <c r="J4165" s="3">
        <v>1738</v>
      </c>
      <c r="K4165" s="3">
        <v>388</v>
      </c>
      <c r="L4165" t="s">
        <v>113</v>
      </c>
      <c r="M4165">
        <v>5</v>
      </c>
      <c r="N4165" t="s">
        <v>85</v>
      </c>
      <c r="O4165" t="s">
        <v>81</v>
      </c>
      <c r="P4165" t="s">
        <v>12</v>
      </c>
      <c r="Q4165" t="s">
        <v>13</v>
      </c>
      <c r="R4165" t="s">
        <v>13</v>
      </c>
      <c r="S4165" t="s">
        <v>144</v>
      </c>
      <c r="T4165" s="2">
        <f>MASTER[[#This Row],[CANTIDAD]]*MASTER[[#This Row],[PRECIO DE VENTA]]</f>
        <v>1738</v>
      </c>
      <c r="U4165" s="2">
        <f>MASTER[[#This Row],[CANTIDAD]]*MASTER[[#This Row],[COSTO UNITARIO]]</f>
        <v>388</v>
      </c>
      <c r="V4165" s="2">
        <f>MASTER[[#This Row],[MONTO VENDIDO]]-MASTER[[#This Row],[COSTO DE VENTA]]</f>
        <v>1350</v>
      </c>
    </row>
    <row r="4166" spans="1:22" x14ac:dyDescent="0.3">
      <c r="A4166">
        <v>62415</v>
      </c>
      <c r="B4166">
        <v>1</v>
      </c>
      <c r="C4166" t="s">
        <v>105</v>
      </c>
      <c r="D4166" t="s">
        <v>106</v>
      </c>
      <c r="E4166" s="1">
        <v>44301</v>
      </c>
      <c r="F4166">
        <v>1</v>
      </c>
      <c r="G4166" t="s">
        <v>73</v>
      </c>
      <c r="H4166" t="s">
        <v>74</v>
      </c>
      <c r="I4166" s="3">
        <v>1865</v>
      </c>
      <c r="J4166" s="3">
        <v>1865</v>
      </c>
      <c r="K4166" s="3">
        <v>459</v>
      </c>
      <c r="L4166" t="s">
        <v>98</v>
      </c>
      <c r="M4166">
        <v>15</v>
      </c>
      <c r="N4166" t="s">
        <v>88</v>
      </c>
      <c r="O4166" t="s">
        <v>81</v>
      </c>
      <c r="P4166" t="s">
        <v>18</v>
      </c>
      <c r="Q4166" t="s">
        <v>19</v>
      </c>
      <c r="R4166" t="s">
        <v>138</v>
      </c>
      <c r="S4166" t="s">
        <v>144</v>
      </c>
      <c r="T4166" s="2">
        <f>MASTER[[#This Row],[CANTIDAD]]*MASTER[[#This Row],[PRECIO DE VENTA]]</f>
        <v>1865</v>
      </c>
      <c r="U4166" s="2">
        <f>MASTER[[#This Row],[CANTIDAD]]*MASTER[[#This Row],[COSTO UNITARIO]]</f>
        <v>459</v>
      </c>
      <c r="V4166" s="2">
        <f>MASTER[[#This Row],[MONTO VENDIDO]]-MASTER[[#This Row],[COSTO DE VENTA]]</f>
        <v>1406</v>
      </c>
    </row>
    <row r="4167" spans="1:22" x14ac:dyDescent="0.3">
      <c r="A4167">
        <v>62416</v>
      </c>
      <c r="B4167">
        <v>1</v>
      </c>
      <c r="C4167" t="s">
        <v>90</v>
      </c>
      <c r="D4167" t="s">
        <v>91</v>
      </c>
      <c r="E4167" s="1">
        <v>44301</v>
      </c>
      <c r="F4167">
        <v>1</v>
      </c>
      <c r="G4167" t="s">
        <v>63</v>
      </c>
      <c r="H4167" t="s">
        <v>64</v>
      </c>
      <c r="I4167" s="3">
        <v>1844</v>
      </c>
      <c r="J4167" s="3">
        <v>1844</v>
      </c>
      <c r="K4167" s="3">
        <v>420</v>
      </c>
      <c r="L4167" t="s">
        <v>9</v>
      </c>
      <c r="M4167">
        <v>10</v>
      </c>
      <c r="N4167" t="s">
        <v>83</v>
      </c>
      <c r="O4167" t="s">
        <v>81</v>
      </c>
      <c r="P4167" t="s">
        <v>12</v>
      </c>
      <c r="Q4167" t="s">
        <v>13</v>
      </c>
      <c r="R4167" t="s">
        <v>13</v>
      </c>
      <c r="S4167" t="s">
        <v>144</v>
      </c>
      <c r="T4167" s="2">
        <f>MASTER[[#This Row],[CANTIDAD]]*MASTER[[#This Row],[PRECIO DE VENTA]]</f>
        <v>1844</v>
      </c>
      <c r="U4167" s="2">
        <f>MASTER[[#This Row],[CANTIDAD]]*MASTER[[#This Row],[COSTO UNITARIO]]</f>
        <v>420</v>
      </c>
      <c r="V4167" s="2">
        <f>MASTER[[#This Row],[MONTO VENDIDO]]-MASTER[[#This Row],[COSTO DE VENTA]]</f>
        <v>1424</v>
      </c>
    </row>
    <row r="4168" spans="1:22" x14ac:dyDescent="0.3">
      <c r="A4168">
        <v>62424</v>
      </c>
      <c r="B4168">
        <v>1</v>
      </c>
      <c r="C4168" t="s">
        <v>116</v>
      </c>
      <c r="D4168" t="s">
        <v>117</v>
      </c>
      <c r="E4168" s="1">
        <v>44301</v>
      </c>
      <c r="F4168">
        <v>1</v>
      </c>
      <c r="G4168" t="s">
        <v>41</v>
      </c>
      <c r="H4168" t="s">
        <v>42</v>
      </c>
      <c r="I4168" s="3">
        <v>1738</v>
      </c>
      <c r="J4168" s="3">
        <v>1598</v>
      </c>
      <c r="K4168" s="3">
        <v>388</v>
      </c>
      <c r="L4168" t="s">
        <v>113</v>
      </c>
      <c r="M4168">
        <v>14</v>
      </c>
      <c r="N4168" t="s">
        <v>87</v>
      </c>
      <c r="O4168" t="s">
        <v>81</v>
      </c>
      <c r="P4168" t="s">
        <v>18</v>
      </c>
      <c r="Q4168" t="s">
        <v>19</v>
      </c>
      <c r="R4168" t="s">
        <v>138</v>
      </c>
      <c r="S4168" t="s">
        <v>144</v>
      </c>
      <c r="T4168" s="2">
        <f>MASTER[[#This Row],[CANTIDAD]]*MASTER[[#This Row],[PRECIO DE VENTA]]</f>
        <v>1598</v>
      </c>
      <c r="U4168" s="2">
        <f>MASTER[[#This Row],[CANTIDAD]]*MASTER[[#This Row],[COSTO UNITARIO]]</f>
        <v>388</v>
      </c>
      <c r="V4168" s="2">
        <f>MASTER[[#This Row],[MONTO VENDIDO]]-MASTER[[#This Row],[COSTO DE VENTA]]</f>
        <v>1210</v>
      </c>
    </row>
    <row r="4169" spans="1:22" x14ac:dyDescent="0.3">
      <c r="A4169">
        <v>62452</v>
      </c>
      <c r="B4169">
        <v>1</v>
      </c>
      <c r="C4169" t="s">
        <v>103</v>
      </c>
      <c r="D4169" t="s">
        <v>104</v>
      </c>
      <c r="E4169" s="1">
        <v>44301</v>
      </c>
      <c r="F4169">
        <v>1</v>
      </c>
      <c r="G4169" t="s">
        <v>51</v>
      </c>
      <c r="H4169" t="s">
        <v>52</v>
      </c>
      <c r="I4169" s="3">
        <v>1830</v>
      </c>
      <c r="J4169" s="3">
        <v>1683</v>
      </c>
      <c r="K4169" s="3">
        <v>421</v>
      </c>
      <c r="L4169" t="s">
        <v>98</v>
      </c>
      <c r="M4169">
        <v>18</v>
      </c>
      <c r="N4169" t="s">
        <v>79</v>
      </c>
      <c r="O4169" t="s">
        <v>70</v>
      </c>
      <c r="P4169" t="s">
        <v>15</v>
      </c>
      <c r="Q4169" t="s">
        <v>16</v>
      </c>
      <c r="R4169" t="s">
        <v>16</v>
      </c>
      <c r="S4169" t="s">
        <v>144</v>
      </c>
      <c r="T4169" s="2">
        <f>MASTER[[#This Row],[CANTIDAD]]*MASTER[[#This Row],[PRECIO DE VENTA]]</f>
        <v>1683</v>
      </c>
      <c r="U4169" s="2">
        <f>MASTER[[#This Row],[CANTIDAD]]*MASTER[[#This Row],[COSTO UNITARIO]]</f>
        <v>421</v>
      </c>
      <c r="V4169" s="2">
        <f>MASTER[[#This Row],[MONTO VENDIDO]]-MASTER[[#This Row],[COSTO DE VENTA]]</f>
        <v>1262</v>
      </c>
    </row>
    <row r="4170" spans="1:22" x14ac:dyDescent="0.3">
      <c r="A4170">
        <v>62462</v>
      </c>
      <c r="B4170">
        <v>1</v>
      </c>
      <c r="C4170" t="s">
        <v>94</v>
      </c>
      <c r="D4170" t="s">
        <v>95</v>
      </c>
      <c r="E4170" s="1">
        <v>44301</v>
      </c>
      <c r="F4170">
        <v>1</v>
      </c>
      <c r="G4170" t="s">
        <v>7</v>
      </c>
      <c r="H4170" t="s">
        <v>8</v>
      </c>
      <c r="I4170" s="3">
        <v>1153</v>
      </c>
      <c r="J4170" s="3">
        <v>1153</v>
      </c>
      <c r="K4170" s="3">
        <v>392</v>
      </c>
      <c r="L4170" t="s">
        <v>9</v>
      </c>
      <c r="M4170">
        <v>6</v>
      </c>
      <c r="N4170" t="s">
        <v>75</v>
      </c>
      <c r="O4170" t="s">
        <v>70</v>
      </c>
      <c r="P4170" t="s">
        <v>12</v>
      </c>
      <c r="Q4170" t="s">
        <v>13</v>
      </c>
      <c r="R4170" t="s">
        <v>13</v>
      </c>
      <c r="S4170" t="s">
        <v>144</v>
      </c>
      <c r="T4170" s="2">
        <f>MASTER[[#This Row],[CANTIDAD]]*MASTER[[#This Row],[PRECIO DE VENTA]]</f>
        <v>1153</v>
      </c>
      <c r="U4170" s="2">
        <f>MASTER[[#This Row],[CANTIDAD]]*MASTER[[#This Row],[COSTO UNITARIO]]</f>
        <v>392</v>
      </c>
      <c r="V4170" s="2">
        <f>MASTER[[#This Row],[MONTO VENDIDO]]-MASTER[[#This Row],[COSTO DE VENTA]]</f>
        <v>761</v>
      </c>
    </row>
    <row r="4171" spans="1:22" x14ac:dyDescent="0.3">
      <c r="A4171">
        <v>62467</v>
      </c>
      <c r="B4171">
        <v>1</v>
      </c>
      <c r="C4171" t="s">
        <v>121</v>
      </c>
      <c r="D4171" t="s">
        <v>122</v>
      </c>
      <c r="E4171" s="1">
        <v>44301</v>
      </c>
      <c r="F4171">
        <v>1</v>
      </c>
      <c r="G4171" t="s">
        <v>20</v>
      </c>
      <c r="H4171" t="s">
        <v>21</v>
      </c>
      <c r="I4171" s="3">
        <v>1069</v>
      </c>
      <c r="J4171" s="3">
        <v>1069</v>
      </c>
      <c r="K4171" s="3">
        <v>460</v>
      </c>
      <c r="L4171" t="s">
        <v>120</v>
      </c>
      <c r="M4171">
        <v>5</v>
      </c>
      <c r="N4171" t="s">
        <v>85</v>
      </c>
      <c r="O4171" t="s">
        <v>81</v>
      </c>
      <c r="P4171" t="s">
        <v>12</v>
      </c>
      <c r="Q4171" t="s">
        <v>13</v>
      </c>
      <c r="R4171" t="s">
        <v>13</v>
      </c>
      <c r="S4171" t="s">
        <v>144</v>
      </c>
      <c r="T4171" s="2">
        <f>MASTER[[#This Row],[CANTIDAD]]*MASTER[[#This Row],[PRECIO DE VENTA]]</f>
        <v>1069</v>
      </c>
      <c r="U4171" s="2">
        <f>MASTER[[#This Row],[CANTIDAD]]*MASTER[[#This Row],[COSTO UNITARIO]]</f>
        <v>460</v>
      </c>
      <c r="V4171" s="2">
        <f>MASTER[[#This Row],[MONTO VENDIDO]]-MASTER[[#This Row],[COSTO DE VENTA]]</f>
        <v>609</v>
      </c>
    </row>
    <row r="4172" spans="1:22" x14ac:dyDescent="0.3">
      <c r="A4172">
        <v>62493</v>
      </c>
      <c r="B4172">
        <v>1</v>
      </c>
      <c r="C4172" t="s">
        <v>116</v>
      </c>
      <c r="D4172" t="s">
        <v>117</v>
      </c>
      <c r="E4172" s="1">
        <v>44301</v>
      </c>
      <c r="F4172">
        <v>1</v>
      </c>
      <c r="G4172" t="s">
        <v>51</v>
      </c>
      <c r="H4172" t="s">
        <v>52</v>
      </c>
      <c r="I4172" s="3">
        <v>1529</v>
      </c>
      <c r="J4172" s="3">
        <v>1529</v>
      </c>
      <c r="K4172" s="3">
        <v>388</v>
      </c>
      <c r="L4172" t="s">
        <v>113</v>
      </c>
      <c r="M4172">
        <v>12</v>
      </c>
      <c r="N4172" t="s">
        <v>26</v>
      </c>
      <c r="O4172" t="s">
        <v>11</v>
      </c>
      <c r="P4172" t="s">
        <v>12</v>
      </c>
      <c r="Q4172" t="s">
        <v>13</v>
      </c>
      <c r="R4172" t="s">
        <v>13</v>
      </c>
      <c r="S4172" t="s">
        <v>144</v>
      </c>
      <c r="T4172" s="2">
        <f>MASTER[[#This Row],[CANTIDAD]]*MASTER[[#This Row],[PRECIO DE VENTA]]</f>
        <v>1529</v>
      </c>
      <c r="U4172" s="2">
        <f>MASTER[[#This Row],[CANTIDAD]]*MASTER[[#This Row],[COSTO UNITARIO]]</f>
        <v>388</v>
      </c>
      <c r="V4172" s="2">
        <f>MASTER[[#This Row],[MONTO VENDIDO]]-MASTER[[#This Row],[COSTO DE VENTA]]</f>
        <v>1141</v>
      </c>
    </row>
    <row r="4173" spans="1:22" x14ac:dyDescent="0.3">
      <c r="A4173">
        <v>62497</v>
      </c>
      <c r="B4173">
        <v>1</v>
      </c>
      <c r="C4173" t="s">
        <v>118</v>
      </c>
      <c r="D4173" t="s">
        <v>119</v>
      </c>
      <c r="E4173" s="1">
        <v>44302</v>
      </c>
      <c r="F4173">
        <v>1</v>
      </c>
      <c r="G4173" t="s">
        <v>20</v>
      </c>
      <c r="H4173" t="s">
        <v>21</v>
      </c>
      <c r="I4173" s="3">
        <v>1026</v>
      </c>
      <c r="J4173" s="3">
        <v>1026</v>
      </c>
      <c r="K4173" s="3">
        <v>424</v>
      </c>
      <c r="L4173" t="s">
        <v>120</v>
      </c>
      <c r="M4173">
        <v>18</v>
      </c>
      <c r="N4173" t="s">
        <v>79</v>
      </c>
      <c r="O4173" t="s">
        <v>70</v>
      </c>
      <c r="P4173" t="s">
        <v>15</v>
      </c>
      <c r="Q4173" t="s">
        <v>16</v>
      </c>
      <c r="R4173" t="s">
        <v>16</v>
      </c>
      <c r="S4173" t="s">
        <v>144</v>
      </c>
      <c r="T4173" s="2">
        <f>MASTER[[#This Row],[CANTIDAD]]*MASTER[[#This Row],[PRECIO DE VENTA]]</f>
        <v>1026</v>
      </c>
      <c r="U4173" s="2">
        <f>MASTER[[#This Row],[CANTIDAD]]*MASTER[[#This Row],[COSTO UNITARIO]]</f>
        <v>424</v>
      </c>
      <c r="V4173" s="2">
        <f>MASTER[[#This Row],[MONTO VENDIDO]]-MASTER[[#This Row],[COSTO DE VENTA]]</f>
        <v>602</v>
      </c>
    </row>
    <row r="4174" spans="1:22" x14ac:dyDescent="0.3">
      <c r="A4174">
        <v>62514</v>
      </c>
      <c r="B4174">
        <v>1</v>
      </c>
      <c r="C4174" t="s">
        <v>94</v>
      </c>
      <c r="D4174" t="s">
        <v>95</v>
      </c>
      <c r="E4174" s="1">
        <v>44302</v>
      </c>
      <c r="F4174">
        <v>1</v>
      </c>
      <c r="G4174" t="s">
        <v>47</v>
      </c>
      <c r="H4174" t="s">
        <v>48</v>
      </c>
      <c r="I4174" s="3">
        <v>1048</v>
      </c>
      <c r="J4174" s="3">
        <v>1048</v>
      </c>
      <c r="K4174" s="3">
        <v>392</v>
      </c>
      <c r="L4174" t="s">
        <v>9</v>
      </c>
      <c r="M4174">
        <v>19</v>
      </c>
      <c r="N4174" t="s">
        <v>89</v>
      </c>
      <c r="O4174" t="s">
        <v>81</v>
      </c>
      <c r="P4174" t="s">
        <v>15</v>
      </c>
      <c r="Q4174" t="s">
        <v>16</v>
      </c>
      <c r="R4174" t="s">
        <v>16</v>
      </c>
      <c r="S4174" t="s">
        <v>144</v>
      </c>
      <c r="T4174" s="2">
        <f>MASTER[[#This Row],[CANTIDAD]]*MASTER[[#This Row],[PRECIO DE VENTA]]</f>
        <v>1048</v>
      </c>
      <c r="U4174" s="2">
        <f>MASTER[[#This Row],[CANTIDAD]]*MASTER[[#This Row],[COSTO UNITARIO]]</f>
        <v>392</v>
      </c>
      <c r="V4174" s="2">
        <f>MASTER[[#This Row],[MONTO VENDIDO]]-MASTER[[#This Row],[COSTO DE VENTA]]</f>
        <v>656</v>
      </c>
    </row>
    <row r="4175" spans="1:22" x14ac:dyDescent="0.3">
      <c r="A4175">
        <v>62514</v>
      </c>
      <c r="B4175">
        <v>3</v>
      </c>
      <c r="C4175" t="s">
        <v>94</v>
      </c>
      <c r="D4175" t="s">
        <v>95</v>
      </c>
      <c r="E4175" s="1">
        <v>44302</v>
      </c>
      <c r="F4175">
        <v>1</v>
      </c>
      <c r="G4175" t="s">
        <v>47</v>
      </c>
      <c r="H4175" t="s">
        <v>48</v>
      </c>
      <c r="I4175" s="3">
        <v>1048</v>
      </c>
      <c r="J4175" s="3">
        <v>1048</v>
      </c>
      <c r="K4175" s="3">
        <v>392</v>
      </c>
      <c r="L4175" t="s">
        <v>9</v>
      </c>
      <c r="M4175">
        <v>19</v>
      </c>
      <c r="N4175" t="s">
        <v>89</v>
      </c>
      <c r="O4175" t="s">
        <v>81</v>
      </c>
      <c r="P4175" t="s">
        <v>15</v>
      </c>
      <c r="Q4175" t="s">
        <v>16</v>
      </c>
      <c r="R4175" t="s">
        <v>16</v>
      </c>
      <c r="S4175" t="s">
        <v>144</v>
      </c>
      <c r="T4175" s="2">
        <f>MASTER[[#This Row],[CANTIDAD]]*MASTER[[#This Row],[PRECIO DE VENTA]]</f>
        <v>1048</v>
      </c>
      <c r="U4175" s="2">
        <f>MASTER[[#This Row],[CANTIDAD]]*MASTER[[#This Row],[COSTO UNITARIO]]</f>
        <v>392</v>
      </c>
      <c r="V4175" s="2">
        <f>MASTER[[#This Row],[MONTO VENDIDO]]-MASTER[[#This Row],[COSTO DE VENTA]]</f>
        <v>656</v>
      </c>
    </row>
    <row r="4176" spans="1:22" x14ac:dyDescent="0.3">
      <c r="A4176">
        <v>62514</v>
      </c>
      <c r="B4176">
        <v>2</v>
      </c>
      <c r="C4176" t="s">
        <v>114</v>
      </c>
      <c r="D4176" t="s">
        <v>115</v>
      </c>
      <c r="E4176" s="1">
        <v>44302</v>
      </c>
      <c r="F4176">
        <v>1</v>
      </c>
      <c r="G4176" t="s">
        <v>27</v>
      </c>
      <c r="H4176" t="s">
        <v>28</v>
      </c>
      <c r="I4176" s="3">
        <v>1862</v>
      </c>
      <c r="J4176" s="3">
        <v>1862</v>
      </c>
      <c r="K4176" s="3">
        <v>394</v>
      </c>
      <c r="L4176" t="s">
        <v>113</v>
      </c>
      <c r="M4176">
        <v>19</v>
      </c>
      <c r="N4176" t="s">
        <v>89</v>
      </c>
      <c r="O4176" t="s">
        <v>81</v>
      </c>
      <c r="P4176" t="s">
        <v>15</v>
      </c>
      <c r="Q4176" t="s">
        <v>16</v>
      </c>
      <c r="R4176" t="s">
        <v>16</v>
      </c>
      <c r="S4176" t="s">
        <v>144</v>
      </c>
      <c r="T4176" s="2">
        <f>MASTER[[#This Row],[CANTIDAD]]*MASTER[[#This Row],[PRECIO DE VENTA]]</f>
        <v>1862</v>
      </c>
      <c r="U4176" s="2">
        <f>MASTER[[#This Row],[CANTIDAD]]*MASTER[[#This Row],[COSTO UNITARIO]]</f>
        <v>394</v>
      </c>
      <c r="V4176" s="2">
        <f>MASTER[[#This Row],[MONTO VENDIDO]]-MASTER[[#This Row],[COSTO DE VENTA]]</f>
        <v>1468</v>
      </c>
    </row>
    <row r="4177" spans="1:22" x14ac:dyDescent="0.3">
      <c r="A4177">
        <v>62522</v>
      </c>
      <c r="B4177">
        <v>1</v>
      </c>
      <c r="C4177" t="s">
        <v>96</v>
      </c>
      <c r="D4177" t="s">
        <v>97</v>
      </c>
      <c r="E4177" s="1">
        <v>44302</v>
      </c>
      <c r="F4177">
        <v>3</v>
      </c>
      <c r="G4177" t="s">
        <v>43</v>
      </c>
      <c r="H4177" t="s">
        <v>44</v>
      </c>
      <c r="I4177" s="3">
        <v>1361</v>
      </c>
      <c r="J4177" s="3">
        <v>1361</v>
      </c>
      <c r="K4177" s="3">
        <v>397</v>
      </c>
      <c r="L4177" t="s">
        <v>98</v>
      </c>
      <c r="M4177">
        <v>3</v>
      </c>
      <c r="N4177" t="s">
        <v>69</v>
      </c>
      <c r="O4177" t="s">
        <v>70</v>
      </c>
      <c r="P4177" t="s">
        <v>71</v>
      </c>
      <c r="Q4177" t="s">
        <v>72</v>
      </c>
      <c r="R4177" t="s">
        <v>139</v>
      </c>
      <c r="S4177" t="s">
        <v>144</v>
      </c>
      <c r="T4177" s="2">
        <f>MASTER[[#This Row],[CANTIDAD]]*MASTER[[#This Row],[PRECIO DE VENTA]]</f>
        <v>4083</v>
      </c>
      <c r="U4177" s="2">
        <f>MASTER[[#This Row],[CANTIDAD]]*MASTER[[#This Row],[COSTO UNITARIO]]</f>
        <v>1191</v>
      </c>
      <c r="V4177" s="2">
        <f>MASTER[[#This Row],[MONTO VENDIDO]]-MASTER[[#This Row],[COSTO DE VENTA]]</f>
        <v>2892</v>
      </c>
    </row>
    <row r="4178" spans="1:22" x14ac:dyDescent="0.3">
      <c r="A4178">
        <v>62546</v>
      </c>
      <c r="B4178">
        <v>1</v>
      </c>
      <c r="C4178" t="s">
        <v>101</v>
      </c>
      <c r="D4178" t="s">
        <v>102</v>
      </c>
      <c r="E4178" s="1">
        <v>44302</v>
      </c>
      <c r="F4178">
        <v>1</v>
      </c>
      <c r="G4178" t="s">
        <v>53</v>
      </c>
      <c r="H4178" t="s">
        <v>54</v>
      </c>
      <c r="I4178" s="3">
        <v>1212</v>
      </c>
      <c r="J4178" s="3">
        <v>1212</v>
      </c>
      <c r="K4178" s="3">
        <v>442</v>
      </c>
      <c r="L4178" t="s">
        <v>98</v>
      </c>
      <c r="M4178">
        <v>10</v>
      </c>
      <c r="N4178" t="s">
        <v>83</v>
      </c>
      <c r="O4178" t="s">
        <v>81</v>
      </c>
      <c r="P4178" t="s">
        <v>12</v>
      </c>
      <c r="Q4178" t="s">
        <v>13</v>
      </c>
      <c r="R4178" t="s">
        <v>13</v>
      </c>
      <c r="S4178" t="s">
        <v>144</v>
      </c>
      <c r="T4178" s="2">
        <f>MASTER[[#This Row],[CANTIDAD]]*MASTER[[#This Row],[PRECIO DE VENTA]]</f>
        <v>1212</v>
      </c>
      <c r="U4178" s="2">
        <f>MASTER[[#This Row],[CANTIDAD]]*MASTER[[#This Row],[COSTO UNITARIO]]</f>
        <v>442</v>
      </c>
      <c r="V4178" s="2">
        <f>MASTER[[#This Row],[MONTO VENDIDO]]-MASTER[[#This Row],[COSTO DE VENTA]]</f>
        <v>770</v>
      </c>
    </row>
    <row r="4179" spans="1:22" x14ac:dyDescent="0.3">
      <c r="A4179">
        <v>62557</v>
      </c>
      <c r="B4179">
        <v>1</v>
      </c>
      <c r="C4179" t="s">
        <v>105</v>
      </c>
      <c r="D4179" t="s">
        <v>106</v>
      </c>
      <c r="E4179" s="1">
        <v>44302</v>
      </c>
      <c r="F4179">
        <v>1</v>
      </c>
      <c r="G4179" t="s">
        <v>49</v>
      </c>
      <c r="H4179" t="s">
        <v>50</v>
      </c>
      <c r="I4179" s="3">
        <v>1865</v>
      </c>
      <c r="J4179" s="3">
        <v>1865</v>
      </c>
      <c r="K4179" s="3">
        <v>459</v>
      </c>
      <c r="L4179" t="s">
        <v>98</v>
      </c>
      <c r="M4179">
        <v>2</v>
      </c>
      <c r="N4179" t="s">
        <v>86</v>
      </c>
      <c r="O4179" t="s">
        <v>81</v>
      </c>
      <c r="P4179" t="s">
        <v>71</v>
      </c>
      <c r="Q4179" t="s">
        <v>72</v>
      </c>
      <c r="R4179" t="s">
        <v>139</v>
      </c>
      <c r="S4179" t="s">
        <v>144</v>
      </c>
      <c r="T4179" s="2">
        <f>MASTER[[#This Row],[CANTIDAD]]*MASTER[[#This Row],[PRECIO DE VENTA]]</f>
        <v>1865</v>
      </c>
      <c r="U4179" s="2">
        <f>MASTER[[#This Row],[CANTIDAD]]*MASTER[[#This Row],[COSTO UNITARIO]]</f>
        <v>459</v>
      </c>
      <c r="V4179" s="2">
        <f>MASTER[[#This Row],[MONTO VENDIDO]]-MASTER[[#This Row],[COSTO DE VENTA]]</f>
        <v>1406</v>
      </c>
    </row>
    <row r="4180" spans="1:22" x14ac:dyDescent="0.3">
      <c r="A4180">
        <v>62566</v>
      </c>
      <c r="B4180">
        <v>1</v>
      </c>
      <c r="C4180" t="s">
        <v>94</v>
      </c>
      <c r="D4180" t="s">
        <v>95</v>
      </c>
      <c r="E4180" s="1">
        <v>44302</v>
      </c>
      <c r="F4180">
        <v>1</v>
      </c>
      <c r="G4180" t="s">
        <v>31</v>
      </c>
      <c r="H4180" t="s">
        <v>32</v>
      </c>
      <c r="I4180" s="3">
        <v>1048</v>
      </c>
      <c r="J4180" s="3">
        <v>1048</v>
      </c>
      <c r="K4180" s="3">
        <v>392</v>
      </c>
      <c r="L4180" t="s">
        <v>9</v>
      </c>
      <c r="M4180">
        <v>15</v>
      </c>
      <c r="N4180" t="s">
        <v>88</v>
      </c>
      <c r="O4180" t="s">
        <v>81</v>
      </c>
      <c r="P4180" t="s">
        <v>18</v>
      </c>
      <c r="Q4180" t="s">
        <v>19</v>
      </c>
      <c r="R4180" t="s">
        <v>138</v>
      </c>
      <c r="S4180" t="s">
        <v>144</v>
      </c>
      <c r="T4180" s="2">
        <f>MASTER[[#This Row],[CANTIDAD]]*MASTER[[#This Row],[PRECIO DE VENTA]]</f>
        <v>1048</v>
      </c>
      <c r="U4180" s="2">
        <f>MASTER[[#This Row],[CANTIDAD]]*MASTER[[#This Row],[COSTO UNITARIO]]</f>
        <v>392</v>
      </c>
      <c r="V4180" s="2">
        <f>MASTER[[#This Row],[MONTO VENDIDO]]-MASTER[[#This Row],[COSTO DE VENTA]]</f>
        <v>656</v>
      </c>
    </row>
    <row r="4181" spans="1:22" x14ac:dyDescent="0.3">
      <c r="A4181">
        <v>62581</v>
      </c>
      <c r="B4181">
        <v>1</v>
      </c>
      <c r="C4181" t="s">
        <v>99</v>
      </c>
      <c r="D4181" t="s">
        <v>100</v>
      </c>
      <c r="E4181" s="1">
        <v>44302</v>
      </c>
      <c r="F4181">
        <v>1</v>
      </c>
      <c r="G4181" t="s">
        <v>51</v>
      </c>
      <c r="H4181" t="s">
        <v>52</v>
      </c>
      <c r="I4181" s="3">
        <v>1459</v>
      </c>
      <c r="J4181" s="3">
        <v>1459</v>
      </c>
      <c r="K4181" s="3">
        <v>386</v>
      </c>
      <c r="L4181" t="s">
        <v>98</v>
      </c>
      <c r="M4181">
        <v>10</v>
      </c>
      <c r="N4181" t="s">
        <v>83</v>
      </c>
      <c r="O4181" t="s">
        <v>81</v>
      </c>
      <c r="P4181" t="s">
        <v>12</v>
      </c>
      <c r="Q4181" t="s">
        <v>13</v>
      </c>
      <c r="R4181" t="s">
        <v>13</v>
      </c>
      <c r="S4181" t="s">
        <v>144</v>
      </c>
      <c r="T4181" s="2">
        <f>MASTER[[#This Row],[CANTIDAD]]*MASTER[[#This Row],[PRECIO DE VENTA]]</f>
        <v>1459</v>
      </c>
      <c r="U4181" s="2">
        <f>MASTER[[#This Row],[CANTIDAD]]*MASTER[[#This Row],[COSTO UNITARIO]]</f>
        <v>386</v>
      </c>
      <c r="V4181" s="2">
        <f>MASTER[[#This Row],[MONTO VENDIDO]]-MASTER[[#This Row],[COSTO DE VENTA]]</f>
        <v>1073</v>
      </c>
    </row>
    <row r="4182" spans="1:22" x14ac:dyDescent="0.3">
      <c r="A4182">
        <v>62587</v>
      </c>
      <c r="B4182">
        <v>1</v>
      </c>
      <c r="C4182" t="s">
        <v>111</v>
      </c>
      <c r="D4182" t="s">
        <v>112</v>
      </c>
      <c r="E4182" s="1">
        <v>44302</v>
      </c>
      <c r="F4182">
        <v>1</v>
      </c>
      <c r="G4182" t="s">
        <v>61</v>
      </c>
      <c r="H4182" t="s">
        <v>62</v>
      </c>
      <c r="I4182" s="3">
        <v>1621</v>
      </c>
      <c r="J4182" s="3">
        <v>1491</v>
      </c>
      <c r="K4182" s="3">
        <v>434</v>
      </c>
      <c r="L4182" t="s">
        <v>113</v>
      </c>
      <c r="M4182">
        <v>5</v>
      </c>
      <c r="N4182" t="s">
        <v>85</v>
      </c>
      <c r="O4182" t="s">
        <v>81</v>
      </c>
      <c r="P4182" t="s">
        <v>12</v>
      </c>
      <c r="Q4182" t="s">
        <v>13</v>
      </c>
      <c r="R4182" t="s">
        <v>13</v>
      </c>
      <c r="S4182" t="s">
        <v>144</v>
      </c>
      <c r="T4182" s="2">
        <f>MASTER[[#This Row],[CANTIDAD]]*MASTER[[#This Row],[PRECIO DE VENTA]]</f>
        <v>1491</v>
      </c>
      <c r="U4182" s="2">
        <f>MASTER[[#This Row],[CANTIDAD]]*MASTER[[#This Row],[COSTO UNITARIO]]</f>
        <v>434</v>
      </c>
      <c r="V4182" s="2">
        <f>MASTER[[#This Row],[MONTO VENDIDO]]-MASTER[[#This Row],[COSTO DE VENTA]]</f>
        <v>1057</v>
      </c>
    </row>
    <row r="4183" spans="1:22" x14ac:dyDescent="0.3">
      <c r="A4183">
        <v>62599</v>
      </c>
      <c r="B4183">
        <v>1</v>
      </c>
      <c r="C4183" t="s">
        <v>92</v>
      </c>
      <c r="D4183" t="s">
        <v>93</v>
      </c>
      <c r="E4183" s="1">
        <v>44302</v>
      </c>
      <c r="F4183">
        <v>1</v>
      </c>
      <c r="G4183" t="s">
        <v>29</v>
      </c>
      <c r="H4183" t="s">
        <v>30</v>
      </c>
      <c r="I4183" s="3">
        <v>1866</v>
      </c>
      <c r="J4183" s="3">
        <v>1866</v>
      </c>
      <c r="K4183" s="3">
        <v>396</v>
      </c>
      <c r="L4183" t="s">
        <v>9</v>
      </c>
      <c r="M4183">
        <v>1</v>
      </c>
      <c r="N4183" t="s">
        <v>77</v>
      </c>
      <c r="O4183" t="s">
        <v>70</v>
      </c>
      <c r="P4183" t="s">
        <v>71</v>
      </c>
      <c r="Q4183" t="s">
        <v>72</v>
      </c>
      <c r="R4183" t="s">
        <v>139</v>
      </c>
      <c r="S4183" t="s">
        <v>144</v>
      </c>
      <c r="T4183" s="2">
        <f>MASTER[[#This Row],[CANTIDAD]]*MASTER[[#This Row],[PRECIO DE VENTA]]</f>
        <v>1866</v>
      </c>
      <c r="U4183" s="2">
        <f>MASTER[[#This Row],[CANTIDAD]]*MASTER[[#This Row],[COSTO UNITARIO]]</f>
        <v>396</v>
      </c>
      <c r="V4183" s="2">
        <f>MASTER[[#This Row],[MONTO VENDIDO]]-MASTER[[#This Row],[COSTO DE VENTA]]</f>
        <v>1470</v>
      </c>
    </row>
    <row r="4184" spans="1:22" x14ac:dyDescent="0.3">
      <c r="A4184">
        <v>62602</v>
      </c>
      <c r="B4184">
        <v>1</v>
      </c>
      <c r="C4184" t="s">
        <v>96</v>
      </c>
      <c r="D4184" t="s">
        <v>97</v>
      </c>
      <c r="E4184" s="1">
        <v>44302</v>
      </c>
      <c r="F4184">
        <v>1</v>
      </c>
      <c r="G4184" t="s">
        <v>20</v>
      </c>
      <c r="H4184" t="s">
        <v>21</v>
      </c>
      <c r="I4184" s="3">
        <v>1361</v>
      </c>
      <c r="J4184" s="3">
        <v>1306</v>
      </c>
      <c r="K4184" s="3">
        <v>397</v>
      </c>
      <c r="L4184" t="s">
        <v>98</v>
      </c>
      <c r="M4184">
        <v>9</v>
      </c>
      <c r="N4184" t="s">
        <v>76</v>
      </c>
      <c r="O4184" t="s">
        <v>70</v>
      </c>
      <c r="P4184" t="s">
        <v>12</v>
      </c>
      <c r="Q4184" t="s">
        <v>13</v>
      </c>
      <c r="R4184" t="s">
        <v>13</v>
      </c>
      <c r="S4184" t="s">
        <v>144</v>
      </c>
      <c r="T4184" s="2">
        <f>MASTER[[#This Row],[CANTIDAD]]*MASTER[[#This Row],[PRECIO DE VENTA]]</f>
        <v>1306</v>
      </c>
      <c r="U4184" s="2">
        <f>MASTER[[#This Row],[CANTIDAD]]*MASTER[[#This Row],[COSTO UNITARIO]]</f>
        <v>397</v>
      </c>
      <c r="V4184" s="2">
        <f>MASTER[[#This Row],[MONTO VENDIDO]]-MASTER[[#This Row],[COSTO DE VENTA]]</f>
        <v>909</v>
      </c>
    </row>
    <row r="4185" spans="1:22" x14ac:dyDescent="0.3">
      <c r="A4185">
        <v>62610</v>
      </c>
      <c r="B4185">
        <v>1</v>
      </c>
      <c r="C4185" t="s">
        <v>90</v>
      </c>
      <c r="D4185" t="s">
        <v>91</v>
      </c>
      <c r="E4185" s="1">
        <v>44302</v>
      </c>
      <c r="F4185">
        <v>1</v>
      </c>
      <c r="G4185" t="s">
        <v>47</v>
      </c>
      <c r="H4185" t="s">
        <v>48</v>
      </c>
      <c r="I4185" s="3">
        <v>2102</v>
      </c>
      <c r="J4185" s="3">
        <v>2102</v>
      </c>
      <c r="K4185" s="3">
        <v>420</v>
      </c>
      <c r="L4185" t="s">
        <v>9</v>
      </c>
      <c r="M4185">
        <v>13</v>
      </c>
      <c r="N4185" t="s">
        <v>78</v>
      </c>
      <c r="O4185" t="s">
        <v>70</v>
      </c>
      <c r="P4185" t="s">
        <v>18</v>
      </c>
      <c r="Q4185" t="s">
        <v>19</v>
      </c>
      <c r="R4185" t="s">
        <v>138</v>
      </c>
      <c r="S4185" t="s">
        <v>144</v>
      </c>
      <c r="T4185" s="2">
        <f>MASTER[[#This Row],[CANTIDAD]]*MASTER[[#This Row],[PRECIO DE VENTA]]</f>
        <v>2102</v>
      </c>
      <c r="U4185" s="2">
        <f>MASTER[[#This Row],[CANTIDAD]]*MASTER[[#This Row],[COSTO UNITARIO]]</f>
        <v>420</v>
      </c>
      <c r="V4185" s="2">
        <f>MASTER[[#This Row],[MONTO VENDIDO]]-MASTER[[#This Row],[COSTO DE VENTA]]</f>
        <v>1682</v>
      </c>
    </row>
    <row r="4186" spans="1:22" x14ac:dyDescent="0.3">
      <c r="A4186">
        <v>62615</v>
      </c>
      <c r="B4186">
        <v>1</v>
      </c>
      <c r="C4186" t="s">
        <v>111</v>
      </c>
      <c r="D4186" t="s">
        <v>112</v>
      </c>
      <c r="E4186" s="1">
        <v>44303</v>
      </c>
      <c r="F4186">
        <v>1</v>
      </c>
      <c r="G4186" t="s">
        <v>39</v>
      </c>
      <c r="H4186" t="s">
        <v>40</v>
      </c>
      <c r="I4186" s="3">
        <v>1621</v>
      </c>
      <c r="J4186" s="3">
        <v>1621</v>
      </c>
      <c r="K4186" s="3">
        <v>434</v>
      </c>
      <c r="L4186" t="s">
        <v>113</v>
      </c>
      <c r="M4186">
        <v>19</v>
      </c>
      <c r="N4186" t="s">
        <v>89</v>
      </c>
      <c r="O4186" t="s">
        <v>81</v>
      </c>
      <c r="P4186" t="s">
        <v>15</v>
      </c>
      <c r="Q4186" t="s">
        <v>16</v>
      </c>
      <c r="R4186" t="s">
        <v>16</v>
      </c>
      <c r="S4186" t="s">
        <v>144</v>
      </c>
      <c r="T4186" s="2">
        <f>MASTER[[#This Row],[CANTIDAD]]*MASTER[[#This Row],[PRECIO DE VENTA]]</f>
        <v>1621</v>
      </c>
      <c r="U4186" s="2">
        <f>MASTER[[#This Row],[CANTIDAD]]*MASTER[[#This Row],[COSTO UNITARIO]]</f>
        <v>434</v>
      </c>
      <c r="V4186" s="2">
        <f>MASTER[[#This Row],[MONTO VENDIDO]]-MASTER[[#This Row],[COSTO DE VENTA]]</f>
        <v>1187</v>
      </c>
    </row>
    <row r="4187" spans="1:22" x14ac:dyDescent="0.3">
      <c r="A4187">
        <v>62628</v>
      </c>
      <c r="B4187">
        <v>1</v>
      </c>
      <c r="C4187" t="s">
        <v>99</v>
      </c>
      <c r="D4187" t="s">
        <v>100</v>
      </c>
      <c r="E4187" s="1">
        <v>44303</v>
      </c>
      <c r="F4187">
        <v>1</v>
      </c>
      <c r="G4187" t="s">
        <v>39</v>
      </c>
      <c r="H4187" t="s">
        <v>40</v>
      </c>
      <c r="I4187" s="3">
        <v>1678</v>
      </c>
      <c r="J4187" s="3">
        <v>1678</v>
      </c>
      <c r="K4187" s="3">
        <v>386</v>
      </c>
      <c r="L4187" t="s">
        <v>98</v>
      </c>
      <c r="M4187">
        <v>9</v>
      </c>
      <c r="N4187" t="s">
        <v>76</v>
      </c>
      <c r="O4187" t="s">
        <v>70</v>
      </c>
      <c r="P4187" t="s">
        <v>12</v>
      </c>
      <c r="Q4187" t="s">
        <v>13</v>
      </c>
      <c r="R4187" t="s">
        <v>13</v>
      </c>
      <c r="S4187" t="s">
        <v>144</v>
      </c>
      <c r="T4187" s="2">
        <f>MASTER[[#This Row],[CANTIDAD]]*MASTER[[#This Row],[PRECIO DE VENTA]]</f>
        <v>1678</v>
      </c>
      <c r="U4187" s="2">
        <f>MASTER[[#This Row],[CANTIDAD]]*MASTER[[#This Row],[COSTO UNITARIO]]</f>
        <v>386</v>
      </c>
      <c r="V4187" s="2">
        <f>MASTER[[#This Row],[MONTO VENDIDO]]-MASTER[[#This Row],[COSTO DE VENTA]]</f>
        <v>1292</v>
      </c>
    </row>
    <row r="4188" spans="1:22" x14ac:dyDescent="0.3">
      <c r="A4188">
        <v>62643</v>
      </c>
      <c r="B4188">
        <v>1</v>
      </c>
      <c r="C4188" t="s">
        <v>5</v>
      </c>
      <c r="D4188" t="s">
        <v>6</v>
      </c>
      <c r="E4188" s="1">
        <v>44303</v>
      </c>
      <c r="F4188">
        <v>2</v>
      </c>
      <c r="G4188" t="s">
        <v>29</v>
      </c>
      <c r="H4188" t="s">
        <v>30</v>
      </c>
      <c r="I4188" s="3">
        <v>1296</v>
      </c>
      <c r="J4188" s="3">
        <v>1296</v>
      </c>
      <c r="K4188" s="3">
        <v>393</v>
      </c>
      <c r="L4188" t="s">
        <v>9</v>
      </c>
      <c r="M4188">
        <v>3</v>
      </c>
      <c r="N4188" t="s">
        <v>69</v>
      </c>
      <c r="O4188" t="s">
        <v>70</v>
      </c>
      <c r="P4188" t="s">
        <v>71</v>
      </c>
      <c r="Q4188" t="s">
        <v>72</v>
      </c>
      <c r="R4188" t="s">
        <v>139</v>
      </c>
      <c r="S4188" t="s">
        <v>144</v>
      </c>
      <c r="T4188" s="2">
        <f>MASTER[[#This Row],[CANTIDAD]]*MASTER[[#This Row],[PRECIO DE VENTA]]</f>
        <v>2592</v>
      </c>
      <c r="U4188" s="2">
        <f>MASTER[[#This Row],[CANTIDAD]]*MASTER[[#This Row],[COSTO UNITARIO]]</f>
        <v>786</v>
      </c>
      <c r="V4188" s="2">
        <f>MASTER[[#This Row],[MONTO VENDIDO]]-MASTER[[#This Row],[COSTO DE VENTA]]</f>
        <v>1806</v>
      </c>
    </row>
    <row r="4189" spans="1:22" x14ac:dyDescent="0.3">
      <c r="A4189">
        <v>62658</v>
      </c>
      <c r="B4189">
        <v>1</v>
      </c>
      <c r="C4189" t="s">
        <v>105</v>
      </c>
      <c r="D4189" t="s">
        <v>106</v>
      </c>
      <c r="E4189" s="1">
        <v>44303</v>
      </c>
      <c r="F4189">
        <v>1</v>
      </c>
      <c r="G4189" t="s">
        <v>33</v>
      </c>
      <c r="H4189" t="s">
        <v>34</v>
      </c>
      <c r="I4189" s="3">
        <v>1865</v>
      </c>
      <c r="J4189" s="3">
        <v>1865</v>
      </c>
      <c r="K4189" s="3">
        <v>459</v>
      </c>
      <c r="L4189" t="s">
        <v>98</v>
      </c>
      <c r="M4189">
        <v>5</v>
      </c>
      <c r="N4189" t="s">
        <v>85</v>
      </c>
      <c r="O4189" t="s">
        <v>81</v>
      </c>
      <c r="P4189" t="s">
        <v>12</v>
      </c>
      <c r="Q4189" t="s">
        <v>13</v>
      </c>
      <c r="R4189" t="s">
        <v>13</v>
      </c>
      <c r="S4189" t="s">
        <v>144</v>
      </c>
      <c r="T4189" s="2">
        <f>MASTER[[#This Row],[CANTIDAD]]*MASTER[[#This Row],[PRECIO DE VENTA]]</f>
        <v>1865</v>
      </c>
      <c r="U4189" s="2">
        <f>MASTER[[#This Row],[CANTIDAD]]*MASTER[[#This Row],[COSTO UNITARIO]]</f>
        <v>459</v>
      </c>
      <c r="V4189" s="2">
        <f>MASTER[[#This Row],[MONTO VENDIDO]]-MASTER[[#This Row],[COSTO DE VENTA]]</f>
        <v>1406</v>
      </c>
    </row>
    <row r="4190" spans="1:22" x14ac:dyDescent="0.3">
      <c r="A4190">
        <v>62659</v>
      </c>
      <c r="B4190">
        <v>1</v>
      </c>
      <c r="C4190" t="s">
        <v>90</v>
      </c>
      <c r="D4190" t="s">
        <v>91</v>
      </c>
      <c r="E4190" s="1">
        <v>44303</v>
      </c>
      <c r="F4190">
        <v>1</v>
      </c>
      <c r="G4190" t="s">
        <v>43</v>
      </c>
      <c r="H4190" t="s">
        <v>44</v>
      </c>
      <c r="I4190" s="3">
        <v>1844</v>
      </c>
      <c r="J4190" s="3">
        <v>1844</v>
      </c>
      <c r="K4190" s="3">
        <v>420</v>
      </c>
      <c r="L4190" t="s">
        <v>9</v>
      </c>
      <c r="M4190">
        <v>2</v>
      </c>
      <c r="N4190" t="s">
        <v>86</v>
      </c>
      <c r="O4190" t="s">
        <v>81</v>
      </c>
      <c r="P4190" t="s">
        <v>71</v>
      </c>
      <c r="Q4190" t="s">
        <v>72</v>
      </c>
      <c r="R4190" t="s">
        <v>139</v>
      </c>
      <c r="S4190" t="s">
        <v>144</v>
      </c>
      <c r="T4190" s="2">
        <f>MASTER[[#This Row],[CANTIDAD]]*MASTER[[#This Row],[PRECIO DE VENTA]]</f>
        <v>1844</v>
      </c>
      <c r="U4190" s="2">
        <f>MASTER[[#This Row],[CANTIDAD]]*MASTER[[#This Row],[COSTO UNITARIO]]</f>
        <v>420</v>
      </c>
      <c r="V4190" s="2">
        <f>MASTER[[#This Row],[MONTO VENDIDO]]-MASTER[[#This Row],[COSTO DE VENTA]]</f>
        <v>1424</v>
      </c>
    </row>
    <row r="4191" spans="1:22" x14ac:dyDescent="0.3">
      <c r="A4191">
        <v>62670</v>
      </c>
      <c r="B4191">
        <v>1</v>
      </c>
      <c r="C4191" t="s">
        <v>114</v>
      </c>
      <c r="D4191" t="s">
        <v>115</v>
      </c>
      <c r="E4191" s="1">
        <v>44303</v>
      </c>
      <c r="F4191">
        <v>1</v>
      </c>
      <c r="G4191" t="s">
        <v>57</v>
      </c>
      <c r="H4191" t="s">
        <v>58</v>
      </c>
      <c r="I4191" s="3">
        <v>1862</v>
      </c>
      <c r="J4191" s="3">
        <v>1862</v>
      </c>
      <c r="K4191" s="3">
        <v>394</v>
      </c>
      <c r="L4191" t="s">
        <v>113</v>
      </c>
      <c r="M4191">
        <v>19</v>
      </c>
      <c r="N4191" t="s">
        <v>89</v>
      </c>
      <c r="O4191" t="s">
        <v>81</v>
      </c>
      <c r="P4191" t="s">
        <v>15</v>
      </c>
      <c r="Q4191" t="s">
        <v>16</v>
      </c>
      <c r="R4191" t="s">
        <v>16</v>
      </c>
      <c r="S4191" t="s">
        <v>144</v>
      </c>
      <c r="T4191" s="2">
        <f>MASTER[[#This Row],[CANTIDAD]]*MASTER[[#This Row],[PRECIO DE VENTA]]</f>
        <v>1862</v>
      </c>
      <c r="U4191" s="2">
        <f>MASTER[[#This Row],[CANTIDAD]]*MASTER[[#This Row],[COSTO UNITARIO]]</f>
        <v>394</v>
      </c>
      <c r="V4191" s="2">
        <f>MASTER[[#This Row],[MONTO VENDIDO]]-MASTER[[#This Row],[COSTO DE VENTA]]</f>
        <v>1468</v>
      </c>
    </row>
    <row r="4192" spans="1:22" x14ac:dyDescent="0.3">
      <c r="A4192">
        <v>62671</v>
      </c>
      <c r="B4192">
        <v>1</v>
      </c>
      <c r="C4192" t="s">
        <v>90</v>
      </c>
      <c r="D4192" t="s">
        <v>91</v>
      </c>
      <c r="E4192" s="1">
        <v>44303</v>
      </c>
      <c r="F4192">
        <v>1</v>
      </c>
      <c r="G4192" t="s">
        <v>59</v>
      </c>
      <c r="H4192" t="s">
        <v>60</v>
      </c>
      <c r="I4192" s="3">
        <v>1844</v>
      </c>
      <c r="J4192" s="3">
        <v>1678</v>
      </c>
      <c r="K4192" s="3">
        <v>420</v>
      </c>
      <c r="L4192" t="s">
        <v>9</v>
      </c>
      <c r="M4192">
        <v>7</v>
      </c>
      <c r="N4192" t="s">
        <v>84</v>
      </c>
      <c r="O4192" t="s">
        <v>81</v>
      </c>
      <c r="P4192" t="s">
        <v>12</v>
      </c>
      <c r="Q4192" t="s">
        <v>13</v>
      </c>
      <c r="R4192" t="s">
        <v>13</v>
      </c>
      <c r="S4192" t="s">
        <v>144</v>
      </c>
      <c r="T4192" s="2">
        <f>MASTER[[#This Row],[CANTIDAD]]*MASTER[[#This Row],[PRECIO DE VENTA]]</f>
        <v>1678</v>
      </c>
      <c r="U4192" s="2">
        <f>MASTER[[#This Row],[CANTIDAD]]*MASTER[[#This Row],[COSTO UNITARIO]]</f>
        <v>420</v>
      </c>
      <c r="V4192" s="2">
        <f>MASTER[[#This Row],[MONTO VENDIDO]]-MASTER[[#This Row],[COSTO DE VENTA]]</f>
        <v>1258</v>
      </c>
    </row>
    <row r="4193" spans="1:22" x14ac:dyDescent="0.3">
      <c r="A4193">
        <v>62685</v>
      </c>
      <c r="B4193">
        <v>2</v>
      </c>
      <c r="C4193" t="s">
        <v>5</v>
      </c>
      <c r="D4193" t="s">
        <v>6</v>
      </c>
      <c r="E4193" s="1">
        <v>44303</v>
      </c>
      <c r="F4193">
        <v>1</v>
      </c>
      <c r="G4193" t="s">
        <v>67</v>
      </c>
      <c r="H4193" t="s">
        <v>68</v>
      </c>
      <c r="I4193" s="3">
        <v>1507</v>
      </c>
      <c r="J4193" s="3">
        <v>1356</v>
      </c>
      <c r="K4193" s="3">
        <v>393</v>
      </c>
      <c r="L4193" t="s">
        <v>9</v>
      </c>
      <c r="M4193">
        <v>14</v>
      </c>
      <c r="N4193" t="s">
        <v>87</v>
      </c>
      <c r="O4193" t="s">
        <v>81</v>
      </c>
      <c r="P4193" t="s">
        <v>18</v>
      </c>
      <c r="Q4193" t="s">
        <v>19</v>
      </c>
      <c r="R4193" t="s">
        <v>138</v>
      </c>
      <c r="S4193" t="s">
        <v>144</v>
      </c>
      <c r="T4193" s="2">
        <f>MASTER[[#This Row],[CANTIDAD]]*MASTER[[#This Row],[PRECIO DE VENTA]]</f>
        <v>1356</v>
      </c>
      <c r="U4193" s="2">
        <f>MASTER[[#This Row],[CANTIDAD]]*MASTER[[#This Row],[COSTO UNITARIO]]</f>
        <v>393</v>
      </c>
      <c r="V4193" s="2">
        <f>MASTER[[#This Row],[MONTO VENDIDO]]-MASTER[[#This Row],[COSTO DE VENTA]]</f>
        <v>963</v>
      </c>
    </row>
    <row r="4194" spans="1:22" x14ac:dyDescent="0.3">
      <c r="A4194">
        <v>62685</v>
      </c>
      <c r="B4194">
        <v>1</v>
      </c>
      <c r="C4194" t="s">
        <v>109</v>
      </c>
      <c r="D4194" t="s">
        <v>110</v>
      </c>
      <c r="E4194" s="1">
        <v>44303</v>
      </c>
      <c r="F4194">
        <v>1</v>
      </c>
      <c r="G4194" t="s">
        <v>53</v>
      </c>
      <c r="H4194" t="s">
        <v>54</v>
      </c>
      <c r="I4194" s="3">
        <v>1064</v>
      </c>
      <c r="J4194" s="3">
        <v>1064</v>
      </c>
      <c r="K4194" s="3">
        <v>387</v>
      </c>
      <c r="L4194" t="s">
        <v>98</v>
      </c>
      <c r="M4194">
        <v>14</v>
      </c>
      <c r="N4194" t="s">
        <v>87</v>
      </c>
      <c r="O4194" t="s">
        <v>81</v>
      </c>
      <c r="P4194" t="s">
        <v>18</v>
      </c>
      <c r="Q4194" t="s">
        <v>19</v>
      </c>
      <c r="R4194" t="s">
        <v>138</v>
      </c>
      <c r="S4194" t="s">
        <v>144</v>
      </c>
      <c r="T4194" s="2">
        <f>MASTER[[#This Row],[CANTIDAD]]*MASTER[[#This Row],[PRECIO DE VENTA]]</f>
        <v>1064</v>
      </c>
      <c r="U4194" s="2">
        <f>MASTER[[#This Row],[CANTIDAD]]*MASTER[[#This Row],[COSTO UNITARIO]]</f>
        <v>387</v>
      </c>
      <c r="V4194" s="2">
        <f>MASTER[[#This Row],[MONTO VENDIDO]]-MASTER[[#This Row],[COSTO DE VENTA]]</f>
        <v>677</v>
      </c>
    </row>
    <row r="4195" spans="1:22" x14ac:dyDescent="0.3">
      <c r="A4195">
        <v>62697</v>
      </c>
      <c r="B4195">
        <v>1</v>
      </c>
      <c r="C4195" t="s">
        <v>99</v>
      </c>
      <c r="D4195" t="s">
        <v>100</v>
      </c>
      <c r="E4195" s="1">
        <v>44303</v>
      </c>
      <c r="F4195">
        <v>1</v>
      </c>
      <c r="G4195" t="s">
        <v>22</v>
      </c>
      <c r="H4195" t="s">
        <v>23</v>
      </c>
      <c r="I4195" s="3">
        <v>1459</v>
      </c>
      <c r="J4195" s="3">
        <v>1459</v>
      </c>
      <c r="K4195" s="3">
        <v>386</v>
      </c>
      <c r="L4195" t="s">
        <v>98</v>
      </c>
      <c r="M4195">
        <v>14</v>
      </c>
      <c r="N4195" t="s">
        <v>87</v>
      </c>
      <c r="O4195" t="s">
        <v>81</v>
      </c>
      <c r="P4195" t="s">
        <v>18</v>
      </c>
      <c r="Q4195" t="s">
        <v>19</v>
      </c>
      <c r="R4195" t="s">
        <v>138</v>
      </c>
      <c r="S4195" t="s">
        <v>144</v>
      </c>
      <c r="T4195" s="2">
        <f>MASTER[[#This Row],[CANTIDAD]]*MASTER[[#This Row],[PRECIO DE VENTA]]</f>
        <v>1459</v>
      </c>
      <c r="U4195" s="2">
        <f>MASTER[[#This Row],[CANTIDAD]]*MASTER[[#This Row],[COSTO UNITARIO]]</f>
        <v>386</v>
      </c>
      <c r="V4195" s="2">
        <f>MASTER[[#This Row],[MONTO VENDIDO]]-MASTER[[#This Row],[COSTO DE VENTA]]</f>
        <v>1073</v>
      </c>
    </row>
    <row r="4196" spans="1:22" x14ac:dyDescent="0.3">
      <c r="A4196">
        <v>62708</v>
      </c>
      <c r="B4196">
        <v>1</v>
      </c>
      <c r="C4196" t="s">
        <v>111</v>
      </c>
      <c r="D4196" t="s">
        <v>112</v>
      </c>
      <c r="E4196" s="1">
        <v>44303</v>
      </c>
      <c r="F4196">
        <v>1</v>
      </c>
      <c r="G4196" t="s">
        <v>61</v>
      </c>
      <c r="H4196" t="s">
        <v>62</v>
      </c>
      <c r="I4196" s="3">
        <v>1524</v>
      </c>
      <c r="J4196" s="3">
        <v>1524</v>
      </c>
      <c r="K4196" s="3">
        <v>434</v>
      </c>
      <c r="L4196" t="s">
        <v>113</v>
      </c>
      <c r="M4196">
        <v>12</v>
      </c>
      <c r="N4196" t="s">
        <v>26</v>
      </c>
      <c r="O4196" t="s">
        <v>11</v>
      </c>
      <c r="P4196" t="s">
        <v>12</v>
      </c>
      <c r="Q4196" t="s">
        <v>13</v>
      </c>
      <c r="R4196" t="s">
        <v>13</v>
      </c>
      <c r="S4196" t="s">
        <v>144</v>
      </c>
      <c r="T4196" s="2">
        <f>MASTER[[#This Row],[CANTIDAD]]*MASTER[[#This Row],[PRECIO DE VENTA]]</f>
        <v>1524</v>
      </c>
      <c r="U4196" s="2">
        <f>MASTER[[#This Row],[CANTIDAD]]*MASTER[[#This Row],[COSTO UNITARIO]]</f>
        <v>434</v>
      </c>
      <c r="V4196" s="2">
        <f>MASTER[[#This Row],[MONTO VENDIDO]]-MASTER[[#This Row],[COSTO DE VENTA]]</f>
        <v>1090</v>
      </c>
    </row>
    <row r="4197" spans="1:22" x14ac:dyDescent="0.3">
      <c r="A4197">
        <v>62713</v>
      </c>
      <c r="B4197">
        <v>1</v>
      </c>
      <c r="C4197" t="s">
        <v>5</v>
      </c>
      <c r="D4197" t="s">
        <v>6</v>
      </c>
      <c r="E4197" s="1">
        <v>44303</v>
      </c>
      <c r="F4197">
        <v>1</v>
      </c>
      <c r="G4197" t="s">
        <v>57</v>
      </c>
      <c r="H4197" t="s">
        <v>58</v>
      </c>
      <c r="I4197" s="3">
        <v>1311</v>
      </c>
      <c r="J4197" s="3">
        <v>1206</v>
      </c>
      <c r="K4197" s="3">
        <v>393</v>
      </c>
      <c r="L4197" t="s">
        <v>9</v>
      </c>
      <c r="M4197">
        <v>11</v>
      </c>
      <c r="N4197" t="s">
        <v>10</v>
      </c>
      <c r="O4197" t="s">
        <v>11</v>
      </c>
      <c r="P4197" t="s">
        <v>12</v>
      </c>
      <c r="Q4197" t="s">
        <v>13</v>
      </c>
      <c r="R4197" t="s">
        <v>13</v>
      </c>
      <c r="S4197" t="s">
        <v>144</v>
      </c>
      <c r="T4197" s="2">
        <f>MASTER[[#This Row],[CANTIDAD]]*MASTER[[#This Row],[PRECIO DE VENTA]]</f>
        <v>1206</v>
      </c>
      <c r="U4197" s="2">
        <f>MASTER[[#This Row],[CANTIDAD]]*MASTER[[#This Row],[COSTO UNITARIO]]</f>
        <v>393</v>
      </c>
      <c r="V4197" s="2">
        <f>MASTER[[#This Row],[MONTO VENDIDO]]-MASTER[[#This Row],[COSTO DE VENTA]]</f>
        <v>813</v>
      </c>
    </row>
    <row r="4198" spans="1:22" x14ac:dyDescent="0.3">
      <c r="A4198">
        <v>62716</v>
      </c>
      <c r="B4198">
        <v>1</v>
      </c>
      <c r="C4198" t="s">
        <v>92</v>
      </c>
      <c r="D4198" t="s">
        <v>93</v>
      </c>
      <c r="E4198" s="1">
        <v>44303</v>
      </c>
      <c r="F4198">
        <v>3</v>
      </c>
      <c r="G4198" t="s">
        <v>39</v>
      </c>
      <c r="H4198" t="s">
        <v>40</v>
      </c>
      <c r="I4198" s="3">
        <v>1866</v>
      </c>
      <c r="J4198" s="3">
        <v>1866</v>
      </c>
      <c r="K4198" s="3">
        <v>396</v>
      </c>
      <c r="L4198" t="s">
        <v>9</v>
      </c>
      <c r="M4198">
        <v>13</v>
      </c>
      <c r="N4198" t="s">
        <v>78</v>
      </c>
      <c r="O4198" t="s">
        <v>70</v>
      </c>
      <c r="P4198" t="s">
        <v>18</v>
      </c>
      <c r="Q4198" t="s">
        <v>19</v>
      </c>
      <c r="R4198" t="s">
        <v>138</v>
      </c>
      <c r="S4198" t="s">
        <v>144</v>
      </c>
      <c r="T4198" s="2">
        <f>MASTER[[#This Row],[CANTIDAD]]*MASTER[[#This Row],[PRECIO DE VENTA]]</f>
        <v>5598</v>
      </c>
      <c r="U4198" s="2">
        <f>MASTER[[#This Row],[CANTIDAD]]*MASTER[[#This Row],[COSTO UNITARIO]]</f>
        <v>1188</v>
      </c>
      <c r="V4198" s="2">
        <f>MASTER[[#This Row],[MONTO VENDIDO]]-MASTER[[#This Row],[COSTO DE VENTA]]</f>
        <v>4410</v>
      </c>
    </row>
    <row r="4199" spans="1:22" x14ac:dyDescent="0.3">
      <c r="A4199">
        <v>62722</v>
      </c>
      <c r="B4199">
        <v>1</v>
      </c>
      <c r="C4199" t="s">
        <v>103</v>
      </c>
      <c r="D4199" t="s">
        <v>104</v>
      </c>
      <c r="E4199" s="1">
        <v>44303</v>
      </c>
      <c r="F4199">
        <v>1</v>
      </c>
      <c r="G4199" t="s">
        <v>49</v>
      </c>
      <c r="H4199" t="s">
        <v>50</v>
      </c>
      <c r="I4199" s="3">
        <v>1591</v>
      </c>
      <c r="J4199" s="3">
        <v>1591</v>
      </c>
      <c r="K4199" s="3">
        <v>421</v>
      </c>
      <c r="L4199" t="s">
        <v>98</v>
      </c>
      <c r="M4199">
        <v>14</v>
      </c>
      <c r="N4199" t="s">
        <v>87</v>
      </c>
      <c r="O4199" t="s">
        <v>81</v>
      </c>
      <c r="P4199" t="s">
        <v>18</v>
      </c>
      <c r="Q4199" t="s">
        <v>19</v>
      </c>
      <c r="R4199" t="s">
        <v>138</v>
      </c>
      <c r="S4199" t="s">
        <v>144</v>
      </c>
      <c r="T4199" s="2">
        <f>MASTER[[#This Row],[CANTIDAD]]*MASTER[[#This Row],[PRECIO DE VENTA]]</f>
        <v>1591</v>
      </c>
      <c r="U4199" s="2">
        <f>MASTER[[#This Row],[CANTIDAD]]*MASTER[[#This Row],[COSTO UNITARIO]]</f>
        <v>421</v>
      </c>
      <c r="V4199" s="2">
        <f>MASTER[[#This Row],[MONTO VENDIDO]]-MASTER[[#This Row],[COSTO DE VENTA]]</f>
        <v>1170</v>
      </c>
    </row>
    <row r="4200" spans="1:22" x14ac:dyDescent="0.3">
      <c r="A4200">
        <v>62767</v>
      </c>
      <c r="B4200">
        <v>1</v>
      </c>
      <c r="C4200" t="s">
        <v>107</v>
      </c>
      <c r="D4200" t="s">
        <v>108</v>
      </c>
      <c r="E4200" s="1">
        <v>44303</v>
      </c>
      <c r="F4200">
        <v>1</v>
      </c>
      <c r="G4200" t="s">
        <v>39</v>
      </c>
      <c r="H4200" t="s">
        <v>40</v>
      </c>
      <c r="I4200" s="3">
        <v>1440</v>
      </c>
      <c r="J4200" s="3">
        <v>1440</v>
      </c>
      <c r="K4200" s="3">
        <v>380</v>
      </c>
      <c r="L4200" t="s">
        <v>98</v>
      </c>
      <c r="M4200">
        <v>6</v>
      </c>
      <c r="N4200" t="s">
        <v>75</v>
      </c>
      <c r="O4200" t="s">
        <v>70</v>
      </c>
      <c r="P4200" t="s">
        <v>12</v>
      </c>
      <c r="Q4200" t="s">
        <v>13</v>
      </c>
      <c r="R4200" t="s">
        <v>13</v>
      </c>
      <c r="S4200" t="s">
        <v>144</v>
      </c>
      <c r="T4200" s="2">
        <f>MASTER[[#This Row],[CANTIDAD]]*MASTER[[#This Row],[PRECIO DE VENTA]]</f>
        <v>1440</v>
      </c>
      <c r="U4200" s="2">
        <f>MASTER[[#This Row],[CANTIDAD]]*MASTER[[#This Row],[COSTO UNITARIO]]</f>
        <v>380</v>
      </c>
      <c r="V4200" s="2">
        <f>MASTER[[#This Row],[MONTO VENDIDO]]-MASTER[[#This Row],[COSTO DE VENTA]]</f>
        <v>1060</v>
      </c>
    </row>
    <row r="4201" spans="1:22" x14ac:dyDescent="0.3">
      <c r="A4201">
        <v>62776</v>
      </c>
      <c r="B4201">
        <v>1</v>
      </c>
      <c r="C4201" t="s">
        <v>92</v>
      </c>
      <c r="D4201" t="s">
        <v>93</v>
      </c>
      <c r="E4201" s="1">
        <v>44304</v>
      </c>
      <c r="F4201">
        <v>1</v>
      </c>
      <c r="G4201" t="s">
        <v>41</v>
      </c>
      <c r="H4201" t="s">
        <v>42</v>
      </c>
      <c r="I4201" s="3">
        <v>1479</v>
      </c>
      <c r="J4201" s="3">
        <v>1479</v>
      </c>
      <c r="K4201" s="3">
        <v>396</v>
      </c>
      <c r="L4201" t="s">
        <v>9</v>
      </c>
      <c r="M4201">
        <v>17</v>
      </c>
      <c r="N4201" t="s">
        <v>14</v>
      </c>
      <c r="O4201" t="s">
        <v>11</v>
      </c>
      <c r="P4201" t="s">
        <v>15</v>
      </c>
      <c r="Q4201" t="s">
        <v>16</v>
      </c>
      <c r="R4201" t="s">
        <v>16</v>
      </c>
      <c r="S4201" t="s">
        <v>144</v>
      </c>
      <c r="T4201" s="2">
        <f>MASTER[[#This Row],[CANTIDAD]]*MASTER[[#This Row],[PRECIO DE VENTA]]</f>
        <v>1479</v>
      </c>
      <c r="U4201" s="2">
        <f>MASTER[[#This Row],[CANTIDAD]]*MASTER[[#This Row],[COSTO UNITARIO]]</f>
        <v>396</v>
      </c>
      <c r="V4201" s="2">
        <f>MASTER[[#This Row],[MONTO VENDIDO]]-MASTER[[#This Row],[COSTO DE VENTA]]</f>
        <v>1083</v>
      </c>
    </row>
    <row r="4202" spans="1:22" x14ac:dyDescent="0.3">
      <c r="A4202">
        <v>62790</v>
      </c>
      <c r="B4202">
        <v>1</v>
      </c>
      <c r="C4202" t="s">
        <v>118</v>
      </c>
      <c r="D4202" t="s">
        <v>119</v>
      </c>
      <c r="E4202" s="1">
        <v>44304</v>
      </c>
      <c r="F4202">
        <v>1</v>
      </c>
      <c r="G4202" t="s">
        <v>41</v>
      </c>
      <c r="H4202" t="s">
        <v>42</v>
      </c>
      <c r="I4202" s="3">
        <v>900</v>
      </c>
      <c r="J4202" s="3">
        <v>900</v>
      </c>
      <c r="K4202" s="3">
        <v>424</v>
      </c>
      <c r="L4202" t="s">
        <v>120</v>
      </c>
      <c r="M4202">
        <v>19</v>
      </c>
      <c r="N4202" t="s">
        <v>89</v>
      </c>
      <c r="O4202" t="s">
        <v>81</v>
      </c>
      <c r="P4202" t="s">
        <v>15</v>
      </c>
      <c r="Q4202" t="s">
        <v>16</v>
      </c>
      <c r="R4202" t="s">
        <v>16</v>
      </c>
      <c r="S4202" t="s">
        <v>144</v>
      </c>
      <c r="T4202" s="2">
        <f>MASTER[[#This Row],[CANTIDAD]]*MASTER[[#This Row],[PRECIO DE VENTA]]</f>
        <v>900</v>
      </c>
      <c r="U4202" s="2">
        <f>MASTER[[#This Row],[CANTIDAD]]*MASTER[[#This Row],[COSTO UNITARIO]]</f>
        <v>424</v>
      </c>
      <c r="V4202" s="2">
        <f>MASTER[[#This Row],[MONTO VENDIDO]]-MASTER[[#This Row],[COSTO DE VENTA]]</f>
        <v>476</v>
      </c>
    </row>
    <row r="4203" spans="1:22" x14ac:dyDescent="0.3">
      <c r="A4203">
        <v>62843</v>
      </c>
      <c r="B4203">
        <v>1</v>
      </c>
      <c r="C4203" t="s">
        <v>94</v>
      </c>
      <c r="D4203" t="s">
        <v>95</v>
      </c>
      <c r="E4203" s="1">
        <v>44304</v>
      </c>
      <c r="F4203">
        <v>1</v>
      </c>
      <c r="G4203" t="s">
        <v>43</v>
      </c>
      <c r="H4203" t="s">
        <v>44</v>
      </c>
      <c r="I4203" s="3">
        <v>1048</v>
      </c>
      <c r="J4203" s="3">
        <v>1048</v>
      </c>
      <c r="K4203" s="3">
        <v>392</v>
      </c>
      <c r="L4203" t="s">
        <v>9</v>
      </c>
      <c r="M4203">
        <v>10</v>
      </c>
      <c r="N4203" t="s">
        <v>83</v>
      </c>
      <c r="O4203" t="s">
        <v>81</v>
      </c>
      <c r="P4203" t="s">
        <v>12</v>
      </c>
      <c r="Q4203" t="s">
        <v>13</v>
      </c>
      <c r="R4203" t="s">
        <v>13</v>
      </c>
      <c r="S4203" t="s">
        <v>144</v>
      </c>
      <c r="T4203" s="2">
        <f>MASTER[[#This Row],[CANTIDAD]]*MASTER[[#This Row],[PRECIO DE VENTA]]</f>
        <v>1048</v>
      </c>
      <c r="U4203" s="2">
        <f>MASTER[[#This Row],[CANTIDAD]]*MASTER[[#This Row],[COSTO UNITARIO]]</f>
        <v>392</v>
      </c>
      <c r="V4203" s="2">
        <f>MASTER[[#This Row],[MONTO VENDIDO]]-MASTER[[#This Row],[COSTO DE VENTA]]</f>
        <v>656</v>
      </c>
    </row>
    <row r="4204" spans="1:22" x14ac:dyDescent="0.3">
      <c r="A4204">
        <v>62850</v>
      </c>
      <c r="B4204">
        <v>1</v>
      </c>
      <c r="C4204" t="s">
        <v>94</v>
      </c>
      <c r="D4204" t="s">
        <v>95</v>
      </c>
      <c r="E4204" s="1">
        <v>44304</v>
      </c>
      <c r="F4204">
        <v>1</v>
      </c>
      <c r="G4204" t="s">
        <v>57</v>
      </c>
      <c r="H4204" t="s">
        <v>58</v>
      </c>
      <c r="I4204" s="3">
        <v>1048</v>
      </c>
      <c r="J4204" s="3">
        <v>1048</v>
      </c>
      <c r="K4204" s="3">
        <v>392</v>
      </c>
      <c r="L4204" t="s">
        <v>9</v>
      </c>
      <c r="M4204">
        <v>10</v>
      </c>
      <c r="N4204" t="s">
        <v>83</v>
      </c>
      <c r="O4204" t="s">
        <v>81</v>
      </c>
      <c r="P4204" t="s">
        <v>12</v>
      </c>
      <c r="Q4204" t="s">
        <v>13</v>
      </c>
      <c r="R4204" t="s">
        <v>13</v>
      </c>
      <c r="S4204" t="s">
        <v>144</v>
      </c>
      <c r="T4204" s="2">
        <f>MASTER[[#This Row],[CANTIDAD]]*MASTER[[#This Row],[PRECIO DE VENTA]]</f>
        <v>1048</v>
      </c>
      <c r="U4204" s="2">
        <f>MASTER[[#This Row],[CANTIDAD]]*MASTER[[#This Row],[COSTO UNITARIO]]</f>
        <v>392</v>
      </c>
      <c r="V4204" s="2">
        <f>MASTER[[#This Row],[MONTO VENDIDO]]-MASTER[[#This Row],[COSTO DE VENTA]]</f>
        <v>656</v>
      </c>
    </row>
    <row r="4205" spans="1:22" x14ac:dyDescent="0.3">
      <c r="A4205">
        <v>62861</v>
      </c>
      <c r="B4205">
        <v>1</v>
      </c>
      <c r="C4205" t="s">
        <v>103</v>
      </c>
      <c r="D4205" t="s">
        <v>104</v>
      </c>
      <c r="E4205" s="1">
        <v>44304</v>
      </c>
      <c r="F4205">
        <v>1</v>
      </c>
      <c r="G4205" t="s">
        <v>65</v>
      </c>
      <c r="H4205" t="s">
        <v>66</v>
      </c>
      <c r="I4205" s="3">
        <v>1591</v>
      </c>
      <c r="J4205" s="3">
        <v>1591</v>
      </c>
      <c r="K4205" s="3">
        <v>421</v>
      </c>
      <c r="L4205" t="s">
        <v>98</v>
      </c>
      <c r="M4205">
        <v>8</v>
      </c>
      <c r="N4205" t="s">
        <v>80</v>
      </c>
      <c r="O4205" t="s">
        <v>81</v>
      </c>
      <c r="P4205" t="s">
        <v>12</v>
      </c>
      <c r="Q4205" t="s">
        <v>13</v>
      </c>
      <c r="R4205" t="s">
        <v>13</v>
      </c>
      <c r="S4205" t="s">
        <v>144</v>
      </c>
      <c r="T4205" s="2">
        <f>MASTER[[#This Row],[CANTIDAD]]*MASTER[[#This Row],[PRECIO DE VENTA]]</f>
        <v>1591</v>
      </c>
      <c r="U4205" s="2">
        <f>MASTER[[#This Row],[CANTIDAD]]*MASTER[[#This Row],[COSTO UNITARIO]]</f>
        <v>421</v>
      </c>
      <c r="V4205" s="2">
        <f>MASTER[[#This Row],[MONTO VENDIDO]]-MASTER[[#This Row],[COSTO DE VENTA]]</f>
        <v>1170</v>
      </c>
    </row>
    <row r="4206" spans="1:22" x14ac:dyDescent="0.3">
      <c r="A4206">
        <v>62868</v>
      </c>
      <c r="B4206">
        <v>1</v>
      </c>
      <c r="C4206" t="s">
        <v>105</v>
      </c>
      <c r="D4206" t="s">
        <v>106</v>
      </c>
      <c r="E4206" s="1">
        <v>44305</v>
      </c>
      <c r="F4206">
        <v>1</v>
      </c>
      <c r="G4206" t="s">
        <v>24</v>
      </c>
      <c r="H4206" t="s">
        <v>25</v>
      </c>
      <c r="I4206" s="3">
        <v>1865</v>
      </c>
      <c r="J4206" s="3">
        <v>1865</v>
      </c>
      <c r="K4206" s="3">
        <v>459</v>
      </c>
      <c r="L4206" t="s">
        <v>98</v>
      </c>
      <c r="M4206">
        <v>19</v>
      </c>
      <c r="N4206" t="s">
        <v>89</v>
      </c>
      <c r="O4206" t="s">
        <v>81</v>
      </c>
      <c r="P4206" t="s">
        <v>15</v>
      </c>
      <c r="Q4206" t="s">
        <v>16</v>
      </c>
      <c r="R4206" t="s">
        <v>16</v>
      </c>
      <c r="S4206" t="s">
        <v>144</v>
      </c>
      <c r="T4206" s="2">
        <f>MASTER[[#This Row],[CANTIDAD]]*MASTER[[#This Row],[PRECIO DE VENTA]]</f>
        <v>1865</v>
      </c>
      <c r="U4206" s="2">
        <f>MASTER[[#This Row],[CANTIDAD]]*MASTER[[#This Row],[COSTO UNITARIO]]</f>
        <v>459</v>
      </c>
      <c r="V4206" s="2">
        <f>MASTER[[#This Row],[MONTO VENDIDO]]-MASTER[[#This Row],[COSTO DE VENTA]]</f>
        <v>1406</v>
      </c>
    </row>
    <row r="4207" spans="1:22" x14ac:dyDescent="0.3">
      <c r="A4207">
        <v>62872</v>
      </c>
      <c r="B4207">
        <v>1</v>
      </c>
      <c r="C4207" t="s">
        <v>103</v>
      </c>
      <c r="D4207" t="s">
        <v>104</v>
      </c>
      <c r="E4207" s="1">
        <v>44305</v>
      </c>
      <c r="F4207">
        <v>4</v>
      </c>
      <c r="G4207" t="s">
        <v>53</v>
      </c>
      <c r="H4207" t="s">
        <v>54</v>
      </c>
      <c r="I4207" s="3">
        <v>1830</v>
      </c>
      <c r="J4207" s="3">
        <v>1830</v>
      </c>
      <c r="K4207" s="3">
        <v>421</v>
      </c>
      <c r="L4207" t="s">
        <v>98</v>
      </c>
      <c r="M4207">
        <v>9</v>
      </c>
      <c r="N4207" t="s">
        <v>76</v>
      </c>
      <c r="O4207" t="s">
        <v>70</v>
      </c>
      <c r="P4207" t="s">
        <v>12</v>
      </c>
      <c r="Q4207" t="s">
        <v>13</v>
      </c>
      <c r="R4207" t="s">
        <v>13</v>
      </c>
      <c r="S4207" t="s">
        <v>144</v>
      </c>
      <c r="T4207" s="2">
        <f>MASTER[[#This Row],[CANTIDAD]]*MASTER[[#This Row],[PRECIO DE VENTA]]</f>
        <v>7320</v>
      </c>
      <c r="U4207" s="2">
        <f>MASTER[[#This Row],[CANTIDAD]]*MASTER[[#This Row],[COSTO UNITARIO]]</f>
        <v>1684</v>
      </c>
      <c r="V4207" s="2">
        <f>MASTER[[#This Row],[MONTO VENDIDO]]-MASTER[[#This Row],[COSTO DE VENTA]]</f>
        <v>5636</v>
      </c>
    </row>
    <row r="4208" spans="1:22" x14ac:dyDescent="0.3">
      <c r="A4208">
        <v>62894</v>
      </c>
      <c r="B4208">
        <v>1</v>
      </c>
      <c r="C4208" t="s">
        <v>111</v>
      </c>
      <c r="D4208" t="s">
        <v>112</v>
      </c>
      <c r="E4208" s="1">
        <v>44305</v>
      </c>
      <c r="F4208">
        <v>1</v>
      </c>
      <c r="G4208" t="s">
        <v>45</v>
      </c>
      <c r="H4208" t="s">
        <v>46</v>
      </c>
      <c r="I4208" s="3">
        <v>1799</v>
      </c>
      <c r="J4208" s="3">
        <v>1799</v>
      </c>
      <c r="K4208" s="3">
        <v>434</v>
      </c>
      <c r="L4208" t="s">
        <v>113</v>
      </c>
      <c r="M4208">
        <v>3</v>
      </c>
      <c r="N4208" t="s">
        <v>69</v>
      </c>
      <c r="O4208" t="s">
        <v>70</v>
      </c>
      <c r="P4208" t="s">
        <v>71</v>
      </c>
      <c r="Q4208" t="s">
        <v>72</v>
      </c>
      <c r="R4208" t="s">
        <v>139</v>
      </c>
      <c r="S4208" t="s">
        <v>144</v>
      </c>
      <c r="T4208" s="2">
        <f>MASTER[[#This Row],[CANTIDAD]]*MASTER[[#This Row],[PRECIO DE VENTA]]</f>
        <v>1799</v>
      </c>
      <c r="U4208" s="2">
        <f>MASTER[[#This Row],[CANTIDAD]]*MASTER[[#This Row],[COSTO UNITARIO]]</f>
        <v>434</v>
      </c>
      <c r="V4208" s="2">
        <f>MASTER[[#This Row],[MONTO VENDIDO]]-MASTER[[#This Row],[COSTO DE VENTA]]</f>
        <v>1365</v>
      </c>
    </row>
    <row r="4209" spans="1:22" x14ac:dyDescent="0.3">
      <c r="A4209">
        <v>62913</v>
      </c>
      <c r="B4209">
        <v>1</v>
      </c>
      <c r="C4209" t="s">
        <v>114</v>
      </c>
      <c r="D4209" t="s">
        <v>115</v>
      </c>
      <c r="E4209" s="1">
        <v>44305</v>
      </c>
      <c r="F4209">
        <v>1</v>
      </c>
      <c r="G4209" t="s">
        <v>59</v>
      </c>
      <c r="H4209" t="s">
        <v>60</v>
      </c>
      <c r="I4209" s="3">
        <v>1862</v>
      </c>
      <c r="J4209" s="3">
        <v>1862</v>
      </c>
      <c r="K4209" s="3">
        <v>394</v>
      </c>
      <c r="L4209" t="s">
        <v>113</v>
      </c>
      <c r="M4209">
        <v>4</v>
      </c>
      <c r="N4209" t="s">
        <v>82</v>
      </c>
      <c r="O4209" t="s">
        <v>81</v>
      </c>
      <c r="P4209" t="s">
        <v>71</v>
      </c>
      <c r="Q4209" t="s">
        <v>72</v>
      </c>
      <c r="R4209" t="s">
        <v>139</v>
      </c>
      <c r="S4209" t="s">
        <v>144</v>
      </c>
      <c r="T4209" s="2">
        <f>MASTER[[#This Row],[CANTIDAD]]*MASTER[[#This Row],[PRECIO DE VENTA]]</f>
        <v>1862</v>
      </c>
      <c r="U4209" s="2">
        <f>MASTER[[#This Row],[CANTIDAD]]*MASTER[[#This Row],[COSTO UNITARIO]]</f>
        <v>394</v>
      </c>
      <c r="V4209" s="2">
        <f>MASTER[[#This Row],[MONTO VENDIDO]]-MASTER[[#This Row],[COSTO DE VENTA]]</f>
        <v>1468</v>
      </c>
    </row>
    <row r="4210" spans="1:22" x14ac:dyDescent="0.3">
      <c r="A4210">
        <v>62946</v>
      </c>
      <c r="B4210">
        <v>1</v>
      </c>
      <c r="C4210" t="s">
        <v>111</v>
      </c>
      <c r="D4210" t="s">
        <v>112</v>
      </c>
      <c r="E4210" s="1">
        <v>44305</v>
      </c>
      <c r="F4210">
        <v>1</v>
      </c>
      <c r="G4210" t="s">
        <v>37</v>
      </c>
      <c r="H4210" t="s">
        <v>38</v>
      </c>
      <c r="I4210" s="3">
        <v>1524</v>
      </c>
      <c r="J4210" s="3">
        <v>1524</v>
      </c>
      <c r="K4210" s="3">
        <v>434</v>
      </c>
      <c r="L4210" t="s">
        <v>113</v>
      </c>
      <c r="M4210">
        <v>12</v>
      </c>
      <c r="N4210" t="s">
        <v>26</v>
      </c>
      <c r="O4210" t="s">
        <v>11</v>
      </c>
      <c r="P4210" t="s">
        <v>12</v>
      </c>
      <c r="Q4210" t="s">
        <v>13</v>
      </c>
      <c r="R4210" t="s">
        <v>13</v>
      </c>
      <c r="S4210" t="s">
        <v>144</v>
      </c>
      <c r="T4210" s="2">
        <f>MASTER[[#This Row],[CANTIDAD]]*MASTER[[#This Row],[PRECIO DE VENTA]]</f>
        <v>1524</v>
      </c>
      <c r="U4210" s="2">
        <f>MASTER[[#This Row],[CANTIDAD]]*MASTER[[#This Row],[COSTO UNITARIO]]</f>
        <v>434</v>
      </c>
      <c r="V4210" s="2">
        <f>MASTER[[#This Row],[MONTO VENDIDO]]-MASTER[[#This Row],[COSTO DE VENTA]]</f>
        <v>1090</v>
      </c>
    </row>
    <row r="4211" spans="1:22" x14ac:dyDescent="0.3">
      <c r="A4211">
        <v>62948</v>
      </c>
      <c r="B4211">
        <v>1</v>
      </c>
      <c r="C4211" t="s">
        <v>105</v>
      </c>
      <c r="D4211" t="s">
        <v>106</v>
      </c>
      <c r="E4211" s="1">
        <v>44305</v>
      </c>
      <c r="F4211">
        <v>1</v>
      </c>
      <c r="G4211" t="s">
        <v>61</v>
      </c>
      <c r="H4211" t="s">
        <v>62</v>
      </c>
      <c r="I4211" s="3">
        <v>1865</v>
      </c>
      <c r="J4211" s="3">
        <v>1865</v>
      </c>
      <c r="K4211" s="3">
        <v>459</v>
      </c>
      <c r="L4211" t="s">
        <v>98</v>
      </c>
      <c r="M4211">
        <v>7</v>
      </c>
      <c r="N4211" t="s">
        <v>84</v>
      </c>
      <c r="O4211" t="s">
        <v>81</v>
      </c>
      <c r="P4211" t="s">
        <v>12</v>
      </c>
      <c r="Q4211" t="s">
        <v>13</v>
      </c>
      <c r="R4211" t="s">
        <v>13</v>
      </c>
      <c r="S4211" t="s">
        <v>144</v>
      </c>
      <c r="T4211" s="2">
        <f>MASTER[[#This Row],[CANTIDAD]]*MASTER[[#This Row],[PRECIO DE VENTA]]</f>
        <v>1865</v>
      </c>
      <c r="U4211" s="2">
        <f>MASTER[[#This Row],[CANTIDAD]]*MASTER[[#This Row],[COSTO UNITARIO]]</f>
        <v>459</v>
      </c>
      <c r="V4211" s="2">
        <f>MASTER[[#This Row],[MONTO VENDIDO]]-MASTER[[#This Row],[COSTO DE VENTA]]</f>
        <v>1406</v>
      </c>
    </row>
    <row r="4212" spans="1:22" x14ac:dyDescent="0.3">
      <c r="A4212">
        <v>62958</v>
      </c>
      <c r="B4212">
        <v>1</v>
      </c>
      <c r="C4212" t="s">
        <v>101</v>
      </c>
      <c r="D4212" t="s">
        <v>102</v>
      </c>
      <c r="E4212" s="1">
        <v>44305</v>
      </c>
      <c r="F4212">
        <v>1</v>
      </c>
      <c r="G4212" t="s">
        <v>27</v>
      </c>
      <c r="H4212" t="s">
        <v>28</v>
      </c>
      <c r="I4212" s="3">
        <v>1212</v>
      </c>
      <c r="J4212" s="3">
        <v>1212</v>
      </c>
      <c r="K4212" s="3">
        <v>442</v>
      </c>
      <c r="L4212" t="s">
        <v>98</v>
      </c>
      <c r="M4212">
        <v>19</v>
      </c>
      <c r="N4212" t="s">
        <v>89</v>
      </c>
      <c r="O4212" t="s">
        <v>81</v>
      </c>
      <c r="P4212" t="s">
        <v>15</v>
      </c>
      <c r="Q4212" t="s">
        <v>16</v>
      </c>
      <c r="R4212" t="s">
        <v>16</v>
      </c>
      <c r="S4212" t="s">
        <v>144</v>
      </c>
      <c r="T4212" s="2">
        <f>MASTER[[#This Row],[CANTIDAD]]*MASTER[[#This Row],[PRECIO DE VENTA]]</f>
        <v>1212</v>
      </c>
      <c r="U4212" s="2">
        <f>MASTER[[#This Row],[CANTIDAD]]*MASTER[[#This Row],[COSTO UNITARIO]]</f>
        <v>442</v>
      </c>
      <c r="V4212" s="2">
        <f>MASTER[[#This Row],[MONTO VENDIDO]]-MASTER[[#This Row],[COSTO DE VENTA]]</f>
        <v>770</v>
      </c>
    </row>
    <row r="4213" spans="1:22" x14ac:dyDescent="0.3">
      <c r="A4213">
        <v>62959</v>
      </c>
      <c r="B4213">
        <v>1</v>
      </c>
      <c r="C4213" t="s">
        <v>116</v>
      </c>
      <c r="D4213" t="s">
        <v>117</v>
      </c>
      <c r="E4213" s="1">
        <v>44305</v>
      </c>
      <c r="F4213">
        <v>1</v>
      </c>
      <c r="G4213" t="s">
        <v>35</v>
      </c>
      <c r="H4213" t="s">
        <v>36</v>
      </c>
      <c r="I4213" s="3">
        <v>1999</v>
      </c>
      <c r="J4213" s="3">
        <v>1999</v>
      </c>
      <c r="K4213" s="3">
        <v>388</v>
      </c>
      <c r="L4213" t="s">
        <v>113</v>
      </c>
      <c r="M4213">
        <v>18</v>
      </c>
      <c r="N4213" t="s">
        <v>79</v>
      </c>
      <c r="O4213" t="s">
        <v>70</v>
      </c>
      <c r="P4213" t="s">
        <v>15</v>
      </c>
      <c r="Q4213" t="s">
        <v>16</v>
      </c>
      <c r="R4213" t="s">
        <v>16</v>
      </c>
      <c r="S4213" t="s">
        <v>144</v>
      </c>
      <c r="T4213" s="2">
        <f>MASTER[[#This Row],[CANTIDAD]]*MASTER[[#This Row],[PRECIO DE VENTA]]</f>
        <v>1999</v>
      </c>
      <c r="U4213" s="2">
        <f>MASTER[[#This Row],[CANTIDAD]]*MASTER[[#This Row],[COSTO UNITARIO]]</f>
        <v>388</v>
      </c>
      <c r="V4213" s="2">
        <f>MASTER[[#This Row],[MONTO VENDIDO]]-MASTER[[#This Row],[COSTO DE VENTA]]</f>
        <v>1611</v>
      </c>
    </row>
    <row r="4214" spans="1:22" x14ac:dyDescent="0.3">
      <c r="A4214">
        <v>62963</v>
      </c>
      <c r="B4214">
        <v>1</v>
      </c>
      <c r="C4214" t="s">
        <v>5</v>
      </c>
      <c r="D4214" t="s">
        <v>6</v>
      </c>
      <c r="E4214" s="1">
        <v>44305</v>
      </c>
      <c r="F4214">
        <v>1</v>
      </c>
      <c r="G4214" t="s">
        <v>61</v>
      </c>
      <c r="H4214" t="s">
        <v>62</v>
      </c>
      <c r="I4214" s="3">
        <v>1507</v>
      </c>
      <c r="J4214" s="3">
        <v>1507</v>
      </c>
      <c r="K4214" s="3">
        <v>393</v>
      </c>
      <c r="L4214" t="s">
        <v>9</v>
      </c>
      <c r="M4214">
        <v>4</v>
      </c>
      <c r="N4214" t="s">
        <v>82</v>
      </c>
      <c r="O4214" t="s">
        <v>81</v>
      </c>
      <c r="P4214" t="s">
        <v>71</v>
      </c>
      <c r="Q4214" t="s">
        <v>72</v>
      </c>
      <c r="R4214" t="s">
        <v>139</v>
      </c>
      <c r="S4214" t="s">
        <v>144</v>
      </c>
      <c r="T4214" s="2">
        <f>MASTER[[#This Row],[CANTIDAD]]*MASTER[[#This Row],[PRECIO DE VENTA]]</f>
        <v>1507</v>
      </c>
      <c r="U4214" s="2">
        <f>MASTER[[#This Row],[CANTIDAD]]*MASTER[[#This Row],[COSTO UNITARIO]]</f>
        <v>393</v>
      </c>
      <c r="V4214" s="2">
        <f>MASTER[[#This Row],[MONTO VENDIDO]]-MASTER[[#This Row],[COSTO DE VENTA]]</f>
        <v>1114</v>
      </c>
    </row>
    <row r="4215" spans="1:22" x14ac:dyDescent="0.3">
      <c r="A4215">
        <v>62987</v>
      </c>
      <c r="B4215">
        <v>1</v>
      </c>
      <c r="C4215" t="s">
        <v>5</v>
      </c>
      <c r="D4215" t="s">
        <v>6</v>
      </c>
      <c r="E4215" s="1">
        <v>44305</v>
      </c>
      <c r="F4215">
        <v>1</v>
      </c>
      <c r="G4215" t="s">
        <v>37</v>
      </c>
      <c r="H4215" t="s">
        <v>38</v>
      </c>
      <c r="I4215" s="3">
        <v>1296</v>
      </c>
      <c r="J4215" s="3">
        <v>1296</v>
      </c>
      <c r="K4215" s="3">
        <v>393</v>
      </c>
      <c r="L4215" t="s">
        <v>9</v>
      </c>
      <c r="M4215">
        <v>3</v>
      </c>
      <c r="N4215" t="s">
        <v>69</v>
      </c>
      <c r="O4215" t="s">
        <v>70</v>
      </c>
      <c r="P4215" t="s">
        <v>71</v>
      </c>
      <c r="Q4215" t="s">
        <v>72</v>
      </c>
      <c r="R4215" t="s">
        <v>139</v>
      </c>
      <c r="S4215" t="s">
        <v>144</v>
      </c>
      <c r="T4215" s="2">
        <f>MASTER[[#This Row],[CANTIDAD]]*MASTER[[#This Row],[PRECIO DE VENTA]]</f>
        <v>1296</v>
      </c>
      <c r="U4215" s="2">
        <f>MASTER[[#This Row],[CANTIDAD]]*MASTER[[#This Row],[COSTO UNITARIO]]</f>
        <v>393</v>
      </c>
      <c r="V4215" s="2">
        <f>MASTER[[#This Row],[MONTO VENDIDO]]-MASTER[[#This Row],[COSTO DE VENTA]]</f>
        <v>903</v>
      </c>
    </row>
    <row r="4216" spans="1:22" x14ac:dyDescent="0.3">
      <c r="A4216">
        <v>63006</v>
      </c>
      <c r="B4216">
        <v>1</v>
      </c>
      <c r="C4216" t="s">
        <v>103</v>
      </c>
      <c r="D4216" t="s">
        <v>104</v>
      </c>
      <c r="E4216" s="1">
        <v>44305</v>
      </c>
      <c r="F4216">
        <v>1</v>
      </c>
      <c r="G4216" t="s">
        <v>27</v>
      </c>
      <c r="H4216" t="s">
        <v>28</v>
      </c>
      <c r="I4216" s="3">
        <v>1448</v>
      </c>
      <c r="J4216" s="3">
        <v>1448</v>
      </c>
      <c r="K4216" s="3">
        <v>421</v>
      </c>
      <c r="L4216" t="s">
        <v>98</v>
      </c>
      <c r="M4216">
        <v>12</v>
      </c>
      <c r="N4216" t="s">
        <v>26</v>
      </c>
      <c r="O4216" t="s">
        <v>11</v>
      </c>
      <c r="P4216" t="s">
        <v>12</v>
      </c>
      <c r="Q4216" t="s">
        <v>13</v>
      </c>
      <c r="R4216" t="s">
        <v>13</v>
      </c>
      <c r="S4216" t="s">
        <v>144</v>
      </c>
      <c r="T4216" s="2">
        <f>MASTER[[#This Row],[CANTIDAD]]*MASTER[[#This Row],[PRECIO DE VENTA]]</f>
        <v>1448</v>
      </c>
      <c r="U4216" s="2">
        <f>MASTER[[#This Row],[CANTIDAD]]*MASTER[[#This Row],[COSTO UNITARIO]]</f>
        <v>421</v>
      </c>
      <c r="V4216" s="2">
        <f>MASTER[[#This Row],[MONTO VENDIDO]]-MASTER[[#This Row],[COSTO DE VENTA]]</f>
        <v>1027</v>
      </c>
    </row>
    <row r="4217" spans="1:22" x14ac:dyDescent="0.3">
      <c r="A4217">
        <v>63009</v>
      </c>
      <c r="B4217">
        <v>1</v>
      </c>
      <c r="C4217" t="s">
        <v>99</v>
      </c>
      <c r="D4217" t="s">
        <v>100</v>
      </c>
      <c r="E4217" s="1">
        <v>44305</v>
      </c>
      <c r="F4217">
        <v>1</v>
      </c>
      <c r="G4217" t="s">
        <v>7</v>
      </c>
      <c r="H4217" t="s">
        <v>8</v>
      </c>
      <c r="I4217" s="3">
        <v>1678</v>
      </c>
      <c r="J4217" s="3">
        <v>1678</v>
      </c>
      <c r="K4217" s="3">
        <v>386</v>
      </c>
      <c r="L4217" t="s">
        <v>98</v>
      </c>
      <c r="M4217">
        <v>9</v>
      </c>
      <c r="N4217" t="s">
        <v>76</v>
      </c>
      <c r="O4217" t="s">
        <v>70</v>
      </c>
      <c r="P4217" t="s">
        <v>12</v>
      </c>
      <c r="Q4217" t="s">
        <v>13</v>
      </c>
      <c r="R4217" t="s">
        <v>13</v>
      </c>
      <c r="S4217" t="s">
        <v>144</v>
      </c>
      <c r="T4217" s="2">
        <f>MASTER[[#This Row],[CANTIDAD]]*MASTER[[#This Row],[PRECIO DE VENTA]]</f>
        <v>1678</v>
      </c>
      <c r="U4217" s="2">
        <f>MASTER[[#This Row],[CANTIDAD]]*MASTER[[#This Row],[COSTO UNITARIO]]</f>
        <v>386</v>
      </c>
      <c r="V4217" s="2">
        <f>MASTER[[#This Row],[MONTO VENDIDO]]-MASTER[[#This Row],[COSTO DE VENTA]]</f>
        <v>1292</v>
      </c>
    </row>
    <row r="4218" spans="1:22" x14ac:dyDescent="0.3">
      <c r="A4218">
        <v>63050</v>
      </c>
      <c r="B4218">
        <v>1</v>
      </c>
      <c r="C4218" t="s">
        <v>121</v>
      </c>
      <c r="D4218" t="s">
        <v>122</v>
      </c>
      <c r="E4218" s="1">
        <v>44305</v>
      </c>
      <c r="F4218">
        <v>1</v>
      </c>
      <c r="G4218" t="s">
        <v>57</v>
      </c>
      <c r="H4218" t="s">
        <v>58</v>
      </c>
      <c r="I4218" s="3">
        <v>941</v>
      </c>
      <c r="J4218" s="3">
        <v>846</v>
      </c>
      <c r="K4218" s="3">
        <v>460</v>
      </c>
      <c r="L4218" t="s">
        <v>120</v>
      </c>
      <c r="M4218">
        <v>17</v>
      </c>
      <c r="N4218" t="s">
        <v>14</v>
      </c>
      <c r="O4218" t="s">
        <v>11</v>
      </c>
      <c r="P4218" t="s">
        <v>15</v>
      </c>
      <c r="Q4218" t="s">
        <v>16</v>
      </c>
      <c r="R4218" t="s">
        <v>16</v>
      </c>
      <c r="S4218" t="s">
        <v>144</v>
      </c>
      <c r="T4218" s="2">
        <f>MASTER[[#This Row],[CANTIDAD]]*MASTER[[#This Row],[PRECIO DE VENTA]]</f>
        <v>846</v>
      </c>
      <c r="U4218" s="2">
        <f>MASTER[[#This Row],[CANTIDAD]]*MASTER[[#This Row],[COSTO UNITARIO]]</f>
        <v>460</v>
      </c>
      <c r="V4218" s="2">
        <f>MASTER[[#This Row],[MONTO VENDIDO]]-MASTER[[#This Row],[COSTO DE VENTA]]</f>
        <v>386</v>
      </c>
    </row>
    <row r="4219" spans="1:22" x14ac:dyDescent="0.3">
      <c r="A4219">
        <v>63055</v>
      </c>
      <c r="B4219">
        <v>1</v>
      </c>
      <c r="C4219" t="s">
        <v>118</v>
      </c>
      <c r="D4219" t="s">
        <v>119</v>
      </c>
      <c r="E4219" s="1">
        <v>44306</v>
      </c>
      <c r="F4219">
        <v>1</v>
      </c>
      <c r="G4219" t="s">
        <v>67</v>
      </c>
      <c r="H4219" t="s">
        <v>68</v>
      </c>
      <c r="I4219" s="3">
        <v>900</v>
      </c>
      <c r="J4219" s="3">
        <v>900</v>
      </c>
      <c r="K4219" s="3">
        <v>424</v>
      </c>
      <c r="L4219" t="s">
        <v>120</v>
      </c>
      <c r="M4219">
        <v>5</v>
      </c>
      <c r="N4219" t="s">
        <v>85</v>
      </c>
      <c r="O4219" t="s">
        <v>81</v>
      </c>
      <c r="P4219" t="s">
        <v>12</v>
      </c>
      <c r="Q4219" t="s">
        <v>13</v>
      </c>
      <c r="R4219" t="s">
        <v>13</v>
      </c>
      <c r="S4219" t="s">
        <v>144</v>
      </c>
      <c r="T4219" s="2">
        <f>MASTER[[#This Row],[CANTIDAD]]*MASTER[[#This Row],[PRECIO DE VENTA]]</f>
        <v>900</v>
      </c>
      <c r="U4219" s="2">
        <f>MASTER[[#This Row],[CANTIDAD]]*MASTER[[#This Row],[COSTO UNITARIO]]</f>
        <v>424</v>
      </c>
      <c r="V4219" s="2">
        <f>MASTER[[#This Row],[MONTO VENDIDO]]-MASTER[[#This Row],[COSTO DE VENTA]]</f>
        <v>476</v>
      </c>
    </row>
    <row r="4220" spans="1:22" x14ac:dyDescent="0.3">
      <c r="A4220">
        <v>63090</v>
      </c>
      <c r="B4220">
        <v>1</v>
      </c>
      <c r="C4220" t="s">
        <v>107</v>
      </c>
      <c r="D4220" t="s">
        <v>108</v>
      </c>
      <c r="E4220" s="1">
        <v>44306</v>
      </c>
      <c r="F4220">
        <v>1</v>
      </c>
      <c r="G4220" t="s">
        <v>67</v>
      </c>
      <c r="H4220" t="s">
        <v>68</v>
      </c>
      <c r="I4220" s="3">
        <v>1440</v>
      </c>
      <c r="J4220" s="3">
        <v>1440</v>
      </c>
      <c r="K4220" s="3">
        <v>380</v>
      </c>
      <c r="L4220" t="s">
        <v>98</v>
      </c>
      <c r="M4220">
        <v>13</v>
      </c>
      <c r="N4220" t="s">
        <v>78</v>
      </c>
      <c r="O4220" t="s">
        <v>70</v>
      </c>
      <c r="P4220" t="s">
        <v>18</v>
      </c>
      <c r="Q4220" t="s">
        <v>19</v>
      </c>
      <c r="R4220" t="s">
        <v>138</v>
      </c>
      <c r="S4220" t="s">
        <v>144</v>
      </c>
      <c r="T4220" s="2">
        <f>MASTER[[#This Row],[CANTIDAD]]*MASTER[[#This Row],[PRECIO DE VENTA]]</f>
        <v>1440</v>
      </c>
      <c r="U4220" s="2">
        <f>MASTER[[#This Row],[CANTIDAD]]*MASTER[[#This Row],[COSTO UNITARIO]]</f>
        <v>380</v>
      </c>
      <c r="V4220" s="2">
        <f>MASTER[[#This Row],[MONTO VENDIDO]]-MASTER[[#This Row],[COSTO DE VENTA]]</f>
        <v>1060</v>
      </c>
    </row>
    <row r="4221" spans="1:22" x14ac:dyDescent="0.3">
      <c r="A4221">
        <v>63094</v>
      </c>
      <c r="B4221">
        <v>1</v>
      </c>
      <c r="C4221" t="s">
        <v>114</v>
      </c>
      <c r="D4221" t="s">
        <v>115</v>
      </c>
      <c r="E4221" s="1">
        <v>44306</v>
      </c>
      <c r="F4221">
        <v>2</v>
      </c>
      <c r="G4221" t="s">
        <v>24</v>
      </c>
      <c r="H4221" t="s">
        <v>25</v>
      </c>
      <c r="I4221" s="3">
        <v>1862</v>
      </c>
      <c r="J4221" s="3">
        <v>1862</v>
      </c>
      <c r="K4221" s="3">
        <v>394</v>
      </c>
      <c r="L4221" t="s">
        <v>113</v>
      </c>
      <c r="M4221">
        <v>4</v>
      </c>
      <c r="N4221" t="s">
        <v>82</v>
      </c>
      <c r="O4221" t="s">
        <v>81</v>
      </c>
      <c r="P4221" t="s">
        <v>71</v>
      </c>
      <c r="Q4221" t="s">
        <v>72</v>
      </c>
      <c r="R4221" t="s">
        <v>139</v>
      </c>
      <c r="S4221" t="s">
        <v>144</v>
      </c>
      <c r="T4221" s="2">
        <f>MASTER[[#This Row],[CANTIDAD]]*MASTER[[#This Row],[PRECIO DE VENTA]]</f>
        <v>3724</v>
      </c>
      <c r="U4221" s="2">
        <f>MASTER[[#This Row],[CANTIDAD]]*MASTER[[#This Row],[COSTO UNITARIO]]</f>
        <v>788</v>
      </c>
      <c r="V4221" s="2">
        <f>MASTER[[#This Row],[MONTO VENDIDO]]-MASTER[[#This Row],[COSTO DE VENTA]]</f>
        <v>2936</v>
      </c>
    </row>
    <row r="4222" spans="1:22" x14ac:dyDescent="0.3">
      <c r="A4222">
        <v>63107</v>
      </c>
      <c r="B4222">
        <v>1</v>
      </c>
      <c r="C4222" t="s">
        <v>118</v>
      </c>
      <c r="D4222" t="s">
        <v>119</v>
      </c>
      <c r="E4222" s="1">
        <v>44306</v>
      </c>
      <c r="F4222">
        <v>1</v>
      </c>
      <c r="G4222" t="s">
        <v>39</v>
      </c>
      <c r="H4222" t="s">
        <v>40</v>
      </c>
      <c r="I4222" s="3">
        <v>801</v>
      </c>
      <c r="J4222" s="3">
        <v>752</v>
      </c>
      <c r="K4222" s="3">
        <v>424</v>
      </c>
      <c r="L4222" t="s">
        <v>120</v>
      </c>
      <c r="M4222">
        <v>17</v>
      </c>
      <c r="N4222" t="s">
        <v>14</v>
      </c>
      <c r="O4222" t="s">
        <v>11</v>
      </c>
      <c r="P4222" t="s">
        <v>15</v>
      </c>
      <c r="Q4222" t="s">
        <v>16</v>
      </c>
      <c r="R4222" t="s">
        <v>16</v>
      </c>
      <c r="S4222" t="s">
        <v>144</v>
      </c>
      <c r="T4222" s="2">
        <f>MASTER[[#This Row],[CANTIDAD]]*MASTER[[#This Row],[PRECIO DE VENTA]]</f>
        <v>752</v>
      </c>
      <c r="U4222" s="2">
        <f>MASTER[[#This Row],[CANTIDAD]]*MASTER[[#This Row],[COSTO UNITARIO]]</f>
        <v>424</v>
      </c>
      <c r="V4222" s="2">
        <f>MASTER[[#This Row],[MONTO VENDIDO]]-MASTER[[#This Row],[COSTO DE VENTA]]</f>
        <v>328</v>
      </c>
    </row>
    <row r="4223" spans="1:22" x14ac:dyDescent="0.3">
      <c r="A4223">
        <v>63108</v>
      </c>
      <c r="B4223">
        <v>1</v>
      </c>
      <c r="C4223" t="s">
        <v>107</v>
      </c>
      <c r="D4223" t="s">
        <v>108</v>
      </c>
      <c r="E4223" s="1">
        <v>44306</v>
      </c>
      <c r="F4223">
        <v>1</v>
      </c>
      <c r="G4223" t="s">
        <v>57</v>
      </c>
      <c r="H4223" t="s">
        <v>58</v>
      </c>
      <c r="I4223" s="3">
        <v>1333</v>
      </c>
      <c r="J4223" s="3">
        <v>1333</v>
      </c>
      <c r="K4223" s="3">
        <v>380</v>
      </c>
      <c r="L4223" t="s">
        <v>98</v>
      </c>
      <c r="M4223">
        <v>10</v>
      </c>
      <c r="N4223" t="s">
        <v>83</v>
      </c>
      <c r="O4223" t="s">
        <v>81</v>
      </c>
      <c r="P4223" t="s">
        <v>12</v>
      </c>
      <c r="Q4223" t="s">
        <v>13</v>
      </c>
      <c r="R4223" t="s">
        <v>13</v>
      </c>
      <c r="S4223" t="s">
        <v>144</v>
      </c>
      <c r="T4223" s="2">
        <f>MASTER[[#This Row],[CANTIDAD]]*MASTER[[#This Row],[PRECIO DE VENTA]]</f>
        <v>1333</v>
      </c>
      <c r="U4223" s="2">
        <f>MASTER[[#This Row],[CANTIDAD]]*MASTER[[#This Row],[COSTO UNITARIO]]</f>
        <v>380</v>
      </c>
      <c r="V4223" s="2">
        <f>MASTER[[#This Row],[MONTO VENDIDO]]-MASTER[[#This Row],[COSTO DE VENTA]]</f>
        <v>953</v>
      </c>
    </row>
    <row r="4224" spans="1:22" x14ac:dyDescent="0.3">
      <c r="A4224">
        <v>63127</v>
      </c>
      <c r="B4224">
        <v>1</v>
      </c>
      <c r="C4224" t="s">
        <v>114</v>
      </c>
      <c r="D4224" t="s">
        <v>115</v>
      </c>
      <c r="E4224" s="1">
        <v>44306</v>
      </c>
      <c r="F4224">
        <v>1</v>
      </c>
      <c r="G4224" t="s">
        <v>29</v>
      </c>
      <c r="H4224" t="s">
        <v>30</v>
      </c>
      <c r="I4224" s="3">
        <v>2030</v>
      </c>
      <c r="J4224" s="3">
        <v>1827</v>
      </c>
      <c r="K4224" s="3">
        <v>394</v>
      </c>
      <c r="L4224" t="s">
        <v>113</v>
      </c>
      <c r="M4224">
        <v>13</v>
      </c>
      <c r="N4224" t="s">
        <v>78</v>
      </c>
      <c r="O4224" t="s">
        <v>70</v>
      </c>
      <c r="P4224" t="s">
        <v>18</v>
      </c>
      <c r="Q4224" t="s">
        <v>19</v>
      </c>
      <c r="R4224" t="s">
        <v>138</v>
      </c>
      <c r="S4224" t="s">
        <v>144</v>
      </c>
      <c r="T4224" s="2">
        <f>MASTER[[#This Row],[CANTIDAD]]*MASTER[[#This Row],[PRECIO DE VENTA]]</f>
        <v>1827</v>
      </c>
      <c r="U4224" s="2">
        <f>MASTER[[#This Row],[CANTIDAD]]*MASTER[[#This Row],[COSTO UNITARIO]]</f>
        <v>394</v>
      </c>
      <c r="V4224" s="2">
        <f>MASTER[[#This Row],[MONTO VENDIDO]]-MASTER[[#This Row],[COSTO DE VENTA]]</f>
        <v>1433</v>
      </c>
    </row>
    <row r="4225" spans="1:22" x14ac:dyDescent="0.3">
      <c r="A4225">
        <v>63129</v>
      </c>
      <c r="B4225">
        <v>1</v>
      </c>
      <c r="C4225" t="s">
        <v>109</v>
      </c>
      <c r="D4225" t="s">
        <v>110</v>
      </c>
      <c r="E4225" s="1">
        <v>44306</v>
      </c>
      <c r="F4225">
        <v>1</v>
      </c>
      <c r="G4225" t="s">
        <v>65</v>
      </c>
      <c r="H4225" t="s">
        <v>66</v>
      </c>
      <c r="I4225" s="3">
        <v>1128</v>
      </c>
      <c r="J4225" s="3">
        <v>1128</v>
      </c>
      <c r="K4225" s="3">
        <v>387</v>
      </c>
      <c r="L4225" t="s">
        <v>98</v>
      </c>
      <c r="M4225">
        <v>3</v>
      </c>
      <c r="N4225" t="s">
        <v>69</v>
      </c>
      <c r="O4225" t="s">
        <v>70</v>
      </c>
      <c r="P4225" t="s">
        <v>71</v>
      </c>
      <c r="Q4225" t="s">
        <v>72</v>
      </c>
      <c r="R4225" t="s">
        <v>139</v>
      </c>
      <c r="S4225" t="s">
        <v>144</v>
      </c>
      <c r="T4225" s="2">
        <f>MASTER[[#This Row],[CANTIDAD]]*MASTER[[#This Row],[PRECIO DE VENTA]]</f>
        <v>1128</v>
      </c>
      <c r="U4225" s="2">
        <f>MASTER[[#This Row],[CANTIDAD]]*MASTER[[#This Row],[COSTO UNITARIO]]</f>
        <v>387</v>
      </c>
      <c r="V4225" s="2">
        <f>MASTER[[#This Row],[MONTO VENDIDO]]-MASTER[[#This Row],[COSTO DE VENTA]]</f>
        <v>741</v>
      </c>
    </row>
    <row r="4226" spans="1:22" x14ac:dyDescent="0.3">
      <c r="A4226">
        <v>63156</v>
      </c>
      <c r="B4226">
        <v>1</v>
      </c>
      <c r="C4226" t="s">
        <v>101</v>
      </c>
      <c r="D4226" t="s">
        <v>102</v>
      </c>
      <c r="E4226" s="1">
        <v>44306</v>
      </c>
      <c r="F4226">
        <v>1</v>
      </c>
      <c r="G4226" t="s">
        <v>27</v>
      </c>
      <c r="H4226" t="s">
        <v>28</v>
      </c>
      <c r="I4226" s="3">
        <v>1212</v>
      </c>
      <c r="J4226" s="3">
        <v>1212</v>
      </c>
      <c r="K4226" s="3">
        <v>442</v>
      </c>
      <c r="L4226" t="s">
        <v>98</v>
      </c>
      <c r="M4226">
        <v>5</v>
      </c>
      <c r="N4226" t="s">
        <v>85</v>
      </c>
      <c r="O4226" t="s">
        <v>81</v>
      </c>
      <c r="P4226" t="s">
        <v>12</v>
      </c>
      <c r="Q4226" t="s">
        <v>13</v>
      </c>
      <c r="R4226" t="s">
        <v>13</v>
      </c>
      <c r="S4226" t="s">
        <v>144</v>
      </c>
      <c r="T4226" s="2">
        <f>MASTER[[#This Row],[CANTIDAD]]*MASTER[[#This Row],[PRECIO DE VENTA]]</f>
        <v>1212</v>
      </c>
      <c r="U4226" s="2">
        <f>MASTER[[#This Row],[CANTIDAD]]*MASTER[[#This Row],[COSTO UNITARIO]]</f>
        <v>442</v>
      </c>
      <c r="V4226" s="2">
        <f>MASTER[[#This Row],[MONTO VENDIDO]]-MASTER[[#This Row],[COSTO DE VENTA]]</f>
        <v>770</v>
      </c>
    </row>
    <row r="4227" spans="1:22" x14ac:dyDescent="0.3">
      <c r="A4227">
        <v>63161</v>
      </c>
      <c r="B4227">
        <v>1</v>
      </c>
      <c r="C4227" t="s">
        <v>118</v>
      </c>
      <c r="D4227" t="s">
        <v>119</v>
      </c>
      <c r="E4227" s="1">
        <v>44306</v>
      </c>
      <c r="F4227">
        <v>1</v>
      </c>
      <c r="G4227" t="s">
        <v>47</v>
      </c>
      <c r="H4227" t="s">
        <v>48</v>
      </c>
      <c r="I4227" s="3">
        <v>900</v>
      </c>
      <c r="J4227" s="3">
        <v>900</v>
      </c>
      <c r="K4227" s="3">
        <v>424</v>
      </c>
      <c r="L4227" t="s">
        <v>120</v>
      </c>
      <c r="M4227">
        <v>2</v>
      </c>
      <c r="N4227" t="s">
        <v>86</v>
      </c>
      <c r="O4227" t="s">
        <v>81</v>
      </c>
      <c r="P4227" t="s">
        <v>71</v>
      </c>
      <c r="Q4227" t="s">
        <v>72</v>
      </c>
      <c r="R4227" t="s">
        <v>139</v>
      </c>
      <c r="S4227" t="s">
        <v>144</v>
      </c>
      <c r="T4227" s="2">
        <f>MASTER[[#This Row],[CANTIDAD]]*MASTER[[#This Row],[PRECIO DE VENTA]]</f>
        <v>900</v>
      </c>
      <c r="U4227" s="2">
        <f>MASTER[[#This Row],[CANTIDAD]]*MASTER[[#This Row],[COSTO UNITARIO]]</f>
        <v>424</v>
      </c>
      <c r="V4227" s="2">
        <f>MASTER[[#This Row],[MONTO VENDIDO]]-MASTER[[#This Row],[COSTO DE VENTA]]</f>
        <v>476</v>
      </c>
    </row>
    <row r="4228" spans="1:22" x14ac:dyDescent="0.3">
      <c r="A4228">
        <v>63203</v>
      </c>
      <c r="B4228">
        <v>1</v>
      </c>
      <c r="C4228" t="s">
        <v>116</v>
      </c>
      <c r="D4228" t="s">
        <v>117</v>
      </c>
      <c r="E4228" s="1">
        <v>44306</v>
      </c>
      <c r="F4228">
        <v>1</v>
      </c>
      <c r="G4228" t="s">
        <v>63</v>
      </c>
      <c r="H4228" t="s">
        <v>64</v>
      </c>
      <c r="I4228" s="3">
        <v>1738</v>
      </c>
      <c r="J4228" s="3">
        <v>1738</v>
      </c>
      <c r="K4228" s="3">
        <v>388</v>
      </c>
      <c r="L4228" t="s">
        <v>113</v>
      </c>
      <c r="M4228">
        <v>2</v>
      </c>
      <c r="N4228" t="s">
        <v>86</v>
      </c>
      <c r="O4228" t="s">
        <v>81</v>
      </c>
      <c r="P4228" t="s">
        <v>71</v>
      </c>
      <c r="Q4228" t="s">
        <v>72</v>
      </c>
      <c r="R4228" t="s">
        <v>139</v>
      </c>
      <c r="S4228" t="s">
        <v>144</v>
      </c>
      <c r="T4228" s="2">
        <f>MASTER[[#This Row],[CANTIDAD]]*MASTER[[#This Row],[PRECIO DE VENTA]]</f>
        <v>1738</v>
      </c>
      <c r="U4228" s="2">
        <f>MASTER[[#This Row],[CANTIDAD]]*MASTER[[#This Row],[COSTO UNITARIO]]</f>
        <v>388</v>
      </c>
      <c r="V4228" s="2">
        <f>MASTER[[#This Row],[MONTO VENDIDO]]-MASTER[[#This Row],[COSTO DE VENTA]]</f>
        <v>1350</v>
      </c>
    </row>
    <row r="4229" spans="1:22" x14ac:dyDescent="0.3">
      <c r="A4229">
        <v>63210</v>
      </c>
      <c r="B4229">
        <v>1</v>
      </c>
      <c r="C4229" t="s">
        <v>94</v>
      </c>
      <c r="D4229" t="s">
        <v>95</v>
      </c>
      <c r="E4229" s="1">
        <v>44306</v>
      </c>
      <c r="F4229">
        <v>1</v>
      </c>
      <c r="G4229" t="s">
        <v>61</v>
      </c>
      <c r="H4229" t="s">
        <v>62</v>
      </c>
      <c r="I4229" s="3">
        <v>901</v>
      </c>
      <c r="J4229" s="3">
        <v>901</v>
      </c>
      <c r="K4229" s="3">
        <v>392</v>
      </c>
      <c r="L4229" t="s">
        <v>9</v>
      </c>
      <c r="M4229">
        <v>11</v>
      </c>
      <c r="N4229" t="s">
        <v>10</v>
      </c>
      <c r="O4229" t="s">
        <v>11</v>
      </c>
      <c r="P4229" t="s">
        <v>12</v>
      </c>
      <c r="Q4229" t="s">
        <v>13</v>
      </c>
      <c r="R4229" t="s">
        <v>13</v>
      </c>
      <c r="S4229" t="s">
        <v>144</v>
      </c>
      <c r="T4229" s="2">
        <f>MASTER[[#This Row],[CANTIDAD]]*MASTER[[#This Row],[PRECIO DE VENTA]]</f>
        <v>901</v>
      </c>
      <c r="U4229" s="2">
        <f>MASTER[[#This Row],[CANTIDAD]]*MASTER[[#This Row],[COSTO UNITARIO]]</f>
        <v>392</v>
      </c>
      <c r="V4229" s="2">
        <f>MASTER[[#This Row],[MONTO VENDIDO]]-MASTER[[#This Row],[COSTO DE VENTA]]</f>
        <v>509</v>
      </c>
    </row>
    <row r="4230" spans="1:22" x14ac:dyDescent="0.3">
      <c r="A4230">
        <v>63225</v>
      </c>
      <c r="B4230">
        <v>1</v>
      </c>
      <c r="C4230" t="s">
        <v>99</v>
      </c>
      <c r="D4230" t="s">
        <v>100</v>
      </c>
      <c r="E4230" s="1">
        <v>44306</v>
      </c>
      <c r="F4230">
        <v>1</v>
      </c>
      <c r="G4230" t="s">
        <v>61</v>
      </c>
      <c r="H4230" t="s">
        <v>62</v>
      </c>
      <c r="I4230" s="3">
        <v>1328</v>
      </c>
      <c r="J4230" s="3">
        <v>1328</v>
      </c>
      <c r="K4230" s="3">
        <v>386</v>
      </c>
      <c r="L4230" t="s">
        <v>98</v>
      </c>
      <c r="M4230">
        <v>16</v>
      </c>
      <c r="N4230" t="s">
        <v>17</v>
      </c>
      <c r="O4230" t="s">
        <v>11</v>
      </c>
      <c r="P4230" t="s">
        <v>18</v>
      </c>
      <c r="Q4230" t="s">
        <v>19</v>
      </c>
      <c r="R4230" t="s">
        <v>138</v>
      </c>
      <c r="S4230" t="s">
        <v>144</v>
      </c>
      <c r="T4230" s="2">
        <f>MASTER[[#This Row],[CANTIDAD]]*MASTER[[#This Row],[PRECIO DE VENTA]]</f>
        <v>1328</v>
      </c>
      <c r="U4230" s="2">
        <f>MASTER[[#This Row],[CANTIDAD]]*MASTER[[#This Row],[COSTO UNITARIO]]</f>
        <v>386</v>
      </c>
      <c r="V4230" s="2">
        <f>MASTER[[#This Row],[MONTO VENDIDO]]-MASTER[[#This Row],[COSTO DE VENTA]]</f>
        <v>942</v>
      </c>
    </row>
    <row r="4231" spans="1:22" x14ac:dyDescent="0.3">
      <c r="A4231">
        <v>63228</v>
      </c>
      <c r="B4231">
        <v>1</v>
      </c>
      <c r="C4231" t="s">
        <v>5</v>
      </c>
      <c r="D4231" t="s">
        <v>6</v>
      </c>
      <c r="E4231" s="1">
        <v>44306</v>
      </c>
      <c r="F4231">
        <v>1</v>
      </c>
      <c r="G4231" t="s">
        <v>22</v>
      </c>
      <c r="H4231" t="s">
        <v>23</v>
      </c>
      <c r="I4231" s="3">
        <v>1296</v>
      </c>
      <c r="J4231" s="3">
        <v>1296</v>
      </c>
      <c r="K4231" s="3">
        <v>393</v>
      </c>
      <c r="L4231" t="s">
        <v>9</v>
      </c>
      <c r="M4231">
        <v>1</v>
      </c>
      <c r="N4231" t="s">
        <v>77</v>
      </c>
      <c r="O4231" t="s">
        <v>70</v>
      </c>
      <c r="P4231" t="s">
        <v>71</v>
      </c>
      <c r="Q4231" t="s">
        <v>72</v>
      </c>
      <c r="R4231" t="s">
        <v>139</v>
      </c>
      <c r="S4231" t="s">
        <v>144</v>
      </c>
      <c r="T4231" s="2">
        <f>MASTER[[#This Row],[CANTIDAD]]*MASTER[[#This Row],[PRECIO DE VENTA]]</f>
        <v>1296</v>
      </c>
      <c r="U4231" s="2">
        <f>MASTER[[#This Row],[CANTIDAD]]*MASTER[[#This Row],[COSTO UNITARIO]]</f>
        <v>393</v>
      </c>
      <c r="V4231" s="2">
        <f>MASTER[[#This Row],[MONTO VENDIDO]]-MASTER[[#This Row],[COSTO DE VENTA]]</f>
        <v>903</v>
      </c>
    </row>
    <row r="4232" spans="1:22" x14ac:dyDescent="0.3">
      <c r="A4232">
        <v>63249</v>
      </c>
      <c r="B4232">
        <v>1</v>
      </c>
      <c r="C4232" t="s">
        <v>111</v>
      </c>
      <c r="D4232" t="s">
        <v>112</v>
      </c>
      <c r="E4232" s="1">
        <v>44306</v>
      </c>
      <c r="F4232">
        <v>1</v>
      </c>
      <c r="G4232" t="s">
        <v>57</v>
      </c>
      <c r="H4232" t="s">
        <v>58</v>
      </c>
      <c r="I4232" s="3">
        <v>1524</v>
      </c>
      <c r="J4232" s="3">
        <v>1524</v>
      </c>
      <c r="K4232" s="3">
        <v>434</v>
      </c>
      <c r="L4232" t="s">
        <v>113</v>
      </c>
      <c r="M4232">
        <v>17</v>
      </c>
      <c r="N4232" t="s">
        <v>14</v>
      </c>
      <c r="O4232" t="s">
        <v>11</v>
      </c>
      <c r="P4232" t="s">
        <v>15</v>
      </c>
      <c r="Q4232" t="s">
        <v>16</v>
      </c>
      <c r="R4232" t="s">
        <v>16</v>
      </c>
      <c r="S4232" t="s">
        <v>144</v>
      </c>
      <c r="T4232" s="2">
        <f>MASTER[[#This Row],[CANTIDAD]]*MASTER[[#This Row],[PRECIO DE VENTA]]</f>
        <v>1524</v>
      </c>
      <c r="U4232" s="2">
        <f>MASTER[[#This Row],[CANTIDAD]]*MASTER[[#This Row],[COSTO UNITARIO]]</f>
        <v>434</v>
      </c>
      <c r="V4232" s="2">
        <f>MASTER[[#This Row],[MONTO VENDIDO]]-MASTER[[#This Row],[COSTO DE VENTA]]</f>
        <v>1090</v>
      </c>
    </row>
    <row r="4233" spans="1:22" x14ac:dyDescent="0.3">
      <c r="A4233">
        <v>63265</v>
      </c>
      <c r="B4233">
        <v>1</v>
      </c>
      <c r="C4233" t="s">
        <v>101</v>
      </c>
      <c r="D4233" t="s">
        <v>102</v>
      </c>
      <c r="E4233" s="1">
        <v>44307</v>
      </c>
      <c r="F4233">
        <v>1</v>
      </c>
      <c r="G4233" t="s">
        <v>53</v>
      </c>
      <c r="H4233" t="s">
        <v>54</v>
      </c>
      <c r="I4233" s="3">
        <v>1054</v>
      </c>
      <c r="J4233" s="3">
        <v>1054</v>
      </c>
      <c r="K4233" s="3">
        <v>442</v>
      </c>
      <c r="L4233" t="s">
        <v>98</v>
      </c>
      <c r="M4233">
        <v>16</v>
      </c>
      <c r="N4233" t="s">
        <v>17</v>
      </c>
      <c r="O4233" t="s">
        <v>11</v>
      </c>
      <c r="P4233" t="s">
        <v>18</v>
      </c>
      <c r="Q4233" t="s">
        <v>19</v>
      </c>
      <c r="R4233" t="s">
        <v>138</v>
      </c>
      <c r="S4233" t="s">
        <v>144</v>
      </c>
      <c r="T4233" s="2">
        <f>MASTER[[#This Row],[CANTIDAD]]*MASTER[[#This Row],[PRECIO DE VENTA]]</f>
        <v>1054</v>
      </c>
      <c r="U4233" s="2">
        <f>MASTER[[#This Row],[CANTIDAD]]*MASTER[[#This Row],[COSTO UNITARIO]]</f>
        <v>442</v>
      </c>
      <c r="V4233" s="2">
        <f>MASTER[[#This Row],[MONTO VENDIDO]]-MASTER[[#This Row],[COSTO DE VENTA]]</f>
        <v>612</v>
      </c>
    </row>
    <row r="4234" spans="1:22" x14ac:dyDescent="0.3">
      <c r="A4234">
        <v>63295</v>
      </c>
      <c r="B4234">
        <v>1</v>
      </c>
      <c r="C4234" t="s">
        <v>99</v>
      </c>
      <c r="D4234" t="s">
        <v>100</v>
      </c>
      <c r="E4234" s="1">
        <v>44307</v>
      </c>
      <c r="F4234">
        <v>2</v>
      </c>
      <c r="G4234" t="s">
        <v>49</v>
      </c>
      <c r="H4234" t="s">
        <v>50</v>
      </c>
      <c r="I4234" s="3">
        <v>1328</v>
      </c>
      <c r="J4234" s="3">
        <v>1328</v>
      </c>
      <c r="K4234" s="3">
        <v>386</v>
      </c>
      <c r="L4234" t="s">
        <v>98</v>
      </c>
      <c r="M4234">
        <v>16</v>
      </c>
      <c r="N4234" t="s">
        <v>17</v>
      </c>
      <c r="O4234" t="s">
        <v>11</v>
      </c>
      <c r="P4234" t="s">
        <v>18</v>
      </c>
      <c r="Q4234" t="s">
        <v>19</v>
      </c>
      <c r="R4234" t="s">
        <v>138</v>
      </c>
      <c r="S4234" t="s">
        <v>144</v>
      </c>
      <c r="T4234" s="2">
        <f>MASTER[[#This Row],[CANTIDAD]]*MASTER[[#This Row],[PRECIO DE VENTA]]</f>
        <v>2656</v>
      </c>
      <c r="U4234" s="2">
        <f>MASTER[[#This Row],[CANTIDAD]]*MASTER[[#This Row],[COSTO UNITARIO]]</f>
        <v>772</v>
      </c>
      <c r="V4234" s="2">
        <f>MASTER[[#This Row],[MONTO VENDIDO]]-MASTER[[#This Row],[COSTO DE VENTA]]</f>
        <v>1884</v>
      </c>
    </row>
    <row r="4235" spans="1:22" x14ac:dyDescent="0.3">
      <c r="A4235">
        <v>63299</v>
      </c>
      <c r="B4235">
        <v>1</v>
      </c>
      <c r="C4235" t="s">
        <v>94</v>
      </c>
      <c r="D4235" t="s">
        <v>95</v>
      </c>
      <c r="E4235" s="1">
        <v>44307</v>
      </c>
      <c r="F4235">
        <v>2</v>
      </c>
      <c r="G4235" t="s">
        <v>57</v>
      </c>
      <c r="H4235" t="s">
        <v>58</v>
      </c>
      <c r="I4235" s="3">
        <v>1153</v>
      </c>
      <c r="J4235" s="3">
        <v>1153</v>
      </c>
      <c r="K4235" s="3">
        <v>392</v>
      </c>
      <c r="L4235" t="s">
        <v>9</v>
      </c>
      <c r="M4235">
        <v>3</v>
      </c>
      <c r="N4235" t="s">
        <v>69</v>
      </c>
      <c r="O4235" t="s">
        <v>70</v>
      </c>
      <c r="P4235" t="s">
        <v>71</v>
      </c>
      <c r="Q4235" t="s">
        <v>72</v>
      </c>
      <c r="R4235" t="s">
        <v>139</v>
      </c>
      <c r="S4235" t="s">
        <v>144</v>
      </c>
      <c r="T4235" s="2">
        <f>MASTER[[#This Row],[CANTIDAD]]*MASTER[[#This Row],[PRECIO DE VENTA]]</f>
        <v>2306</v>
      </c>
      <c r="U4235" s="2">
        <f>MASTER[[#This Row],[CANTIDAD]]*MASTER[[#This Row],[COSTO UNITARIO]]</f>
        <v>784</v>
      </c>
      <c r="V4235" s="2">
        <f>MASTER[[#This Row],[MONTO VENDIDO]]-MASTER[[#This Row],[COSTO DE VENTA]]</f>
        <v>1522</v>
      </c>
    </row>
    <row r="4236" spans="1:22" x14ac:dyDescent="0.3">
      <c r="A4236">
        <v>63301</v>
      </c>
      <c r="B4236">
        <v>1</v>
      </c>
      <c r="C4236" t="s">
        <v>114</v>
      </c>
      <c r="D4236" t="s">
        <v>115</v>
      </c>
      <c r="E4236" s="1">
        <v>44307</v>
      </c>
      <c r="F4236">
        <v>1</v>
      </c>
      <c r="G4236" t="s">
        <v>31</v>
      </c>
      <c r="H4236" t="s">
        <v>32</v>
      </c>
      <c r="I4236" s="3">
        <v>1862</v>
      </c>
      <c r="J4236" s="3">
        <v>1862</v>
      </c>
      <c r="K4236" s="3">
        <v>394</v>
      </c>
      <c r="L4236" t="s">
        <v>113</v>
      </c>
      <c r="M4236">
        <v>19</v>
      </c>
      <c r="N4236" t="s">
        <v>89</v>
      </c>
      <c r="O4236" t="s">
        <v>81</v>
      </c>
      <c r="P4236" t="s">
        <v>15</v>
      </c>
      <c r="Q4236" t="s">
        <v>16</v>
      </c>
      <c r="R4236" t="s">
        <v>16</v>
      </c>
      <c r="S4236" t="s">
        <v>144</v>
      </c>
      <c r="T4236" s="2">
        <f>MASTER[[#This Row],[CANTIDAD]]*MASTER[[#This Row],[PRECIO DE VENTA]]</f>
        <v>1862</v>
      </c>
      <c r="U4236" s="2">
        <f>MASTER[[#This Row],[CANTIDAD]]*MASTER[[#This Row],[COSTO UNITARIO]]</f>
        <v>394</v>
      </c>
      <c r="V4236" s="2">
        <f>MASTER[[#This Row],[MONTO VENDIDO]]-MASTER[[#This Row],[COSTO DE VENTA]]</f>
        <v>1468</v>
      </c>
    </row>
    <row r="4237" spans="1:22" x14ac:dyDescent="0.3">
      <c r="A4237">
        <v>63304</v>
      </c>
      <c r="B4237">
        <v>1</v>
      </c>
      <c r="C4237" t="s">
        <v>90</v>
      </c>
      <c r="D4237" t="s">
        <v>91</v>
      </c>
      <c r="E4237" s="1">
        <v>44307</v>
      </c>
      <c r="F4237">
        <v>3</v>
      </c>
      <c r="G4237" t="s">
        <v>61</v>
      </c>
      <c r="H4237" t="s">
        <v>62</v>
      </c>
      <c r="I4237" s="3">
        <v>2102</v>
      </c>
      <c r="J4237" s="3">
        <v>2102</v>
      </c>
      <c r="K4237" s="3">
        <v>420</v>
      </c>
      <c r="L4237" t="s">
        <v>9</v>
      </c>
      <c r="M4237">
        <v>3</v>
      </c>
      <c r="N4237" t="s">
        <v>69</v>
      </c>
      <c r="O4237" t="s">
        <v>70</v>
      </c>
      <c r="P4237" t="s">
        <v>71</v>
      </c>
      <c r="Q4237" t="s">
        <v>72</v>
      </c>
      <c r="R4237" t="s">
        <v>139</v>
      </c>
      <c r="S4237" t="s">
        <v>144</v>
      </c>
      <c r="T4237" s="2">
        <f>MASTER[[#This Row],[CANTIDAD]]*MASTER[[#This Row],[PRECIO DE VENTA]]</f>
        <v>6306</v>
      </c>
      <c r="U4237" s="2">
        <f>MASTER[[#This Row],[CANTIDAD]]*MASTER[[#This Row],[COSTO UNITARIO]]</f>
        <v>1260</v>
      </c>
      <c r="V4237" s="2">
        <f>MASTER[[#This Row],[MONTO VENDIDO]]-MASTER[[#This Row],[COSTO DE VENTA]]</f>
        <v>5046</v>
      </c>
    </row>
    <row r="4238" spans="1:22" x14ac:dyDescent="0.3">
      <c r="A4238">
        <v>63309</v>
      </c>
      <c r="B4238">
        <v>1</v>
      </c>
      <c r="C4238" t="s">
        <v>94</v>
      </c>
      <c r="D4238" t="s">
        <v>95</v>
      </c>
      <c r="E4238" s="1">
        <v>44307</v>
      </c>
      <c r="F4238">
        <v>1</v>
      </c>
      <c r="G4238" t="s">
        <v>55</v>
      </c>
      <c r="H4238" t="s">
        <v>56</v>
      </c>
      <c r="I4238" s="3">
        <v>901</v>
      </c>
      <c r="J4238" s="3">
        <v>901</v>
      </c>
      <c r="K4238" s="3">
        <v>392</v>
      </c>
      <c r="L4238" t="s">
        <v>9</v>
      </c>
      <c r="M4238">
        <v>11</v>
      </c>
      <c r="N4238" t="s">
        <v>10</v>
      </c>
      <c r="O4238" t="s">
        <v>11</v>
      </c>
      <c r="P4238" t="s">
        <v>12</v>
      </c>
      <c r="Q4238" t="s">
        <v>13</v>
      </c>
      <c r="R4238" t="s">
        <v>13</v>
      </c>
      <c r="S4238" t="s">
        <v>144</v>
      </c>
      <c r="T4238" s="2">
        <f>MASTER[[#This Row],[CANTIDAD]]*MASTER[[#This Row],[PRECIO DE VENTA]]</f>
        <v>901</v>
      </c>
      <c r="U4238" s="2">
        <f>MASTER[[#This Row],[CANTIDAD]]*MASTER[[#This Row],[COSTO UNITARIO]]</f>
        <v>392</v>
      </c>
      <c r="V4238" s="2">
        <f>MASTER[[#This Row],[MONTO VENDIDO]]-MASTER[[#This Row],[COSTO DE VENTA]]</f>
        <v>509</v>
      </c>
    </row>
    <row r="4239" spans="1:22" x14ac:dyDescent="0.3">
      <c r="A4239">
        <v>63322</v>
      </c>
      <c r="B4239">
        <v>1</v>
      </c>
      <c r="C4239" t="s">
        <v>118</v>
      </c>
      <c r="D4239" t="s">
        <v>119</v>
      </c>
      <c r="E4239" s="1">
        <v>44307</v>
      </c>
      <c r="F4239">
        <v>1</v>
      </c>
      <c r="G4239" t="s">
        <v>43</v>
      </c>
      <c r="H4239" t="s">
        <v>44</v>
      </c>
      <c r="I4239" s="3">
        <v>900</v>
      </c>
      <c r="J4239" s="3">
        <v>900</v>
      </c>
      <c r="K4239" s="3">
        <v>424</v>
      </c>
      <c r="L4239" t="s">
        <v>120</v>
      </c>
      <c r="M4239">
        <v>19</v>
      </c>
      <c r="N4239" t="s">
        <v>89</v>
      </c>
      <c r="O4239" t="s">
        <v>81</v>
      </c>
      <c r="P4239" t="s">
        <v>15</v>
      </c>
      <c r="Q4239" t="s">
        <v>16</v>
      </c>
      <c r="R4239" t="s">
        <v>16</v>
      </c>
      <c r="S4239" t="s">
        <v>144</v>
      </c>
      <c r="T4239" s="2">
        <f>MASTER[[#This Row],[CANTIDAD]]*MASTER[[#This Row],[PRECIO DE VENTA]]</f>
        <v>900</v>
      </c>
      <c r="U4239" s="2">
        <f>MASTER[[#This Row],[CANTIDAD]]*MASTER[[#This Row],[COSTO UNITARIO]]</f>
        <v>424</v>
      </c>
      <c r="V4239" s="2">
        <f>MASTER[[#This Row],[MONTO VENDIDO]]-MASTER[[#This Row],[COSTO DE VENTA]]</f>
        <v>476</v>
      </c>
    </row>
    <row r="4240" spans="1:22" x14ac:dyDescent="0.3">
      <c r="A4240">
        <v>63336</v>
      </c>
      <c r="B4240">
        <v>1</v>
      </c>
      <c r="C4240" t="s">
        <v>105</v>
      </c>
      <c r="D4240" t="s">
        <v>106</v>
      </c>
      <c r="E4240" s="1">
        <v>44307</v>
      </c>
      <c r="F4240">
        <v>2</v>
      </c>
      <c r="G4240" t="s">
        <v>24</v>
      </c>
      <c r="H4240" t="s">
        <v>25</v>
      </c>
      <c r="I4240" s="3">
        <v>2033</v>
      </c>
      <c r="J4240" s="3">
        <v>2033</v>
      </c>
      <c r="K4240" s="3">
        <v>459</v>
      </c>
      <c r="L4240" t="s">
        <v>98</v>
      </c>
      <c r="M4240">
        <v>6</v>
      </c>
      <c r="N4240" t="s">
        <v>75</v>
      </c>
      <c r="O4240" t="s">
        <v>70</v>
      </c>
      <c r="P4240" t="s">
        <v>12</v>
      </c>
      <c r="Q4240" t="s">
        <v>13</v>
      </c>
      <c r="R4240" t="s">
        <v>13</v>
      </c>
      <c r="S4240" t="s">
        <v>144</v>
      </c>
      <c r="T4240" s="2">
        <f>MASTER[[#This Row],[CANTIDAD]]*MASTER[[#This Row],[PRECIO DE VENTA]]</f>
        <v>4066</v>
      </c>
      <c r="U4240" s="2">
        <f>MASTER[[#This Row],[CANTIDAD]]*MASTER[[#This Row],[COSTO UNITARIO]]</f>
        <v>918</v>
      </c>
      <c r="V4240" s="2">
        <f>MASTER[[#This Row],[MONTO VENDIDO]]-MASTER[[#This Row],[COSTO DE VENTA]]</f>
        <v>3148</v>
      </c>
    </row>
    <row r="4241" spans="1:22" x14ac:dyDescent="0.3">
      <c r="A4241">
        <v>63344</v>
      </c>
      <c r="B4241">
        <v>1</v>
      </c>
      <c r="C4241" t="s">
        <v>101</v>
      </c>
      <c r="D4241" t="s">
        <v>102</v>
      </c>
      <c r="E4241" s="1">
        <v>44307</v>
      </c>
      <c r="F4241">
        <v>1</v>
      </c>
      <c r="G4241" t="s">
        <v>29</v>
      </c>
      <c r="H4241" t="s">
        <v>30</v>
      </c>
      <c r="I4241" s="3">
        <v>1357</v>
      </c>
      <c r="J4241" s="3">
        <v>1357</v>
      </c>
      <c r="K4241" s="3">
        <v>442</v>
      </c>
      <c r="L4241" t="s">
        <v>98</v>
      </c>
      <c r="M4241">
        <v>6</v>
      </c>
      <c r="N4241" t="s">
        <v>75</v>
      </c>
      <c r="O4241" t="s">
        <v>70</v>
      </c>
      <c r="P4241" t="s">
        <v>12</v>
      </c>
      <c r="Q4241" t="s">
        <v>13</v>
      </c>
      <c r="R4241" t="s">
        <v>13</v>
      </c>
      <c r="S4241" t="s">
        <v>144</v>
      </c>
      <c r="T4241" s="2">
        <f>MASTER[[#This Row],[CANTIDAD]]*MASTER[[#This Row],[PRECIO DE VENTA]]</f>
        <v>1357</v>
      </c>
      <c r="U4241" s="2">
        <f>MASTER[[#This Row],[CANTIDAD]]*MASTER[[#This Row],[COSTO UNITARIO]]</f>
        <v>442</v>
      </c>
      <c r="V4241" s="2">
        <f>MASTER[[#This Row],[MONTO VENDIDO]]-MASTER[[#This Row],[COSTO DE VENTA]]</f>
        <v>915</v>
      </c>
    </row>
    <row r="4242" spans="1:22" x14ac:dyDescent="0.3">
      <c r="A4242">
        <v>63346</v>
      </c>
      <c r="B4242">
        <v>1</v>
      </c>
      <c r="C4242" t="s">
        <v>107</v>
      </c>
      <c r="D4242" t="s">
        <v>108</v>
      </c>
      <c r="E4242" s="1">
        <v>44307</v>
      </c>
      <c r="F4242">
        <v>1</v>
      </c>
      <c r="G4242" t="s">
        <v>24</v>
      </c>
      <c r="H4242" t="s">
        <v>25</v>
      </c>
      <c r="I4242" s="3">
        <v>1240</v>
      </c>
      <c r="J4242" s="3">
        <v>1240</v>
      </c>
      <c r="K4242" s="3">
        <v>380</v>
      </c>
      <c r="L4242" t="s">
        <v>98</v>
      </c>
      <c r="M4242">
        <v>17</v>
      </c>
      <c r="N4242" t="s">
        <v>14</v>
      </c>
      <c r="O4242" t="s">
        <v>11</v>
      </c>
      <c r="P4242" t="s">
        <v>15</v>
      </c>
      <c r="Q4242" t="s">
        <v>16</v>
      </c>
      <c r="R4242" t="s">
        <v>16</v>
      </c>
      <c r="S4242" t="s">
        <v>144</v>
      </c>
      <c r="T4242" s="2">
        <f>MASTER[[#This Row],[CANTIDAD]]*MASTER[[#This Row],[PRECIO DE VENTA]]</f>
        <v>1240</v>
      </c>
      <c r="U4242" s="2">
        <f>MASTER[[#This Row],[CANTIDAD]]*MASTER[[#This Row],[COSTO UNITARIO]]</f>
        <v>380</v>
      </c>
      <c r="V4242" s="2">
        <f>MASTER[[#This Row],[MONTO VENDIDO]]-MASTER[[#This Row],[COSTO DE VENTA]]</f>
        <v>860</v>
      </c>
    </row>
    <row r="4243" spans="1:22" x14ac:dyDescent="0.3">
      <c r="A4243">
        <v>63372</v>
      </c>
      <c r="B4243">
        <v>1</v>
      </c>
      <c r="C4243" t="s">
        <v>101</v>
      </c>
      <c r="D4243" t="s">
        <v>102</v>
      </c>
      <c r="E4243" s="1">
        <v>44307</v>
      </c>
      <c r="F4243">
        <v>1</v>
      </c>
      <c r="G4243" t="s">
        <v>57</v>
      </c>
      <c r="H4243" t="s">
        <v>58</v>
      </c>
      <c r="I4243" s="3">
        <v>1212</v>
      </c>
      <c r="J4243" s="3">
        <v>1212</v>
      </c>
      <c r="K4243" s="3">
        <v>442</v>
      </c>
      <c r="L4243" t="s">
        <v>98</v>
      </c>
      <c r="M4243">
        <v>14</v>
      </c>
      <c r="N4243" t="s">
        <v>87</v>
      </c>
      <c r="O4243" t="s">
        <v>81</v>
      </c>
      <c r="P4243" t="s">
        <v>18</v>
      </c>
      <c r="Q4243" t="s">
        <v>19</v>
      </c>
      <c r="R4243" t="s">
        <v>138</v>
      </c>
      <c r="S4243" t="s">
        <v>144</v>
      </c>
      <c r="T4243" s="2">
        <f>MASTER[[#This Row],[CANTIDAD]]*MASTER[[#This Row],[PRECIO DE VENTA]]</f>
        <v>1212</v>
      </c>
      <c r="U4243" s="2">
        <f>MASTER[[#This Row],[CANTIDAD]]*MASTER[[#This Row],[COSTO UNITARIO]]</f>
        <v>442</v>
      </c>
      <c r="V4243" s="2">
        <f>MASTER[[#This Row],[MONTO VENDIDO]]-MASTER[[#This Row],[COSTO DE VENTA]]</f>
        <v>770</v>
      </c>
    </row>
    <row r="4244" spans="1:22" x14ac:dyDescent="0.3">
      <c r="A4244">
        <v>63429</v>
      </c>
      <c r="B4244">
        <v>1</v>
      </c>
      <c r="C4244" t="s">
        <v>111</v>
      </c>
      <c r="D4244" t="s">
        <v>112</v>
      </c>
      <c r="E4244" s="1">
        <v>44307</v>
      </c>
      <c r="F4244">
        <v>1</v>
      </c>
      <c r="G4244" t="s">
        <v>55</v>
      </c>
      <c r="H4244" t="s">
        <v>56</v>
      </c>
      <c r="I4244" s="3">
        <v>1621</v>
      </c>
      <c r="J4244" s="3">
        <v>1539</v>
      </c>
      <c r="K4244" s="3">
        <v>434</v>
      </c>
      <c r="L4244" t="s">
        <v>113</v>
      </c>
      <c r="M4244">
        <v>10</v>
      </c>
      <c r="N4244" t="s">
        <v>83</v>
      </c>
      <c r="O4244" t="s">
        <v>81</v>
      </c>
      <c r="P4244" t="s">
        <v>12</v>
      </c>
      <c r="Q4244" t="s">
        <v>13</v>
      </c>
      <c r="R4244" t="s">
        <v>13</v>
      </c>
      <c r="S4244" t="s">
        <v>144</v>
      </c>
      <c r="T4244" s="2">
        <f>MASTER[[#This Row],[CANTIDAD]]*MASTER[[#This Row],[PRECIO DE VENTA]]</f>
        <v>1539</v>
      </c>
      <c r="U4244" s="2">
        <f>MASTER[[#This Row],[CANTIDAD]]*MASTER[[#This Row],[COSTO UNITARIO]]</f>
        <v>434</v>
      </c>
      <c r="V4244" s="2">
        <f>MASTER[[#This Row],[MONTO VENDIDO]]-MASTER[[#This Row],[COSTO DE VENTA]]</f>
        <v>1105</v>
      </c>
    </row>
    <row r="4245" spans="1:22" x14ac:dyDescent="0.3">
      <c r="A4245">
        <v>63430</v>
      </c>
      <c r="B4245">
        <v>1</v>
      </c>
      <c r="C4245" t="s">
        <v>111</v>
      </c>
      <c r="D4245" t="s">
        <v>112</v>
      </c>
      <c r="E4245" s="1">
        <v>44308</v>
      </c>
      <c r="F4245">
        <v>1</v>
      </c>
      <c r="G4245" t="s">
        <v>57</v>
      </c>
      <c r="H4245" t="s">
        <v>58</v>
      </c>
      <c r="I4245" s="3">
        <v>1621</v>
      </c>
      <c r="J4245" s="3">
        <v>1621</v>
      </c>
      <c r="K4245" s="3">
        <v>434</v>
      </c>
      <c r="L4245" t="s">
        <v>113</v>
      </c>
      <c r="M4245">
        <v>5</v>
      </c>
      <c r="N4245" t="s">
        <v>85</v>
      </c>
      <c r="O4245" t="s">
        <v>81</v>
      </c>
      <c r="P4245" t="s">
        <v>12</v>
      </c>
      <c r="Q4245" t="s">
        <v>13</v>
      </c>
      <c r="R4245" t="s">
        <v>13</v>
      </c>
      <c r="S4245" t="s">
        <v>144</v>
      </c>
      <c r="T4245" s="2">
        <f>MASTER[[#This Row],[CANTIDAD]]*MASTER[[#This Row],[PRECIO DE VENTA]]</f>
        <v>1621</v>
      </c>
      <c r="U4245" s="2">
        <f>MASTER[[#This Row],[CANTIDAD]]*MASTER[[#This Row],[COSTO UNITARIO]]</f>
        <v>434</v>
      </c>
      <c r="V4245" s="2">
        <f>MASTER[[#This Row],[MONTO VENDIDO]]-MASTER[[#This Row],[COSTO DE VENTA]]</f>
        <v>1187</v>
      </c>
    </row>
    <row r="4246" spans="1:22" x14ac:dyDescent="0.3">
      <c r="A4246">
        <v>63452</v>
      </c>
      <c r="B4246">
        <v>1</v>
      </c>
      <c r="C4246" t="s">
        <v>103</v>
      </c>
      <c r="D4246" t="s">
        <v>104</v>
      </c>
      <c r="E4246" s="1">
        <v>44308</v>
      </c>
      <c r="F4246">
        <v>1</v>
      </c>
      <c r="G4246" t="s">
        <v>73</v>
      </c>
      <c r="H4246" t="s">
        <v>74</v>
      </c>
      <c r="I4246" s="3">
        <v>1830</v>
      </c>
      <c r="J4246" s="3">
        <v>1830</v>
      </c>
      <c r="K4246" s="3">
        <v>421</v>
      </c>
      <c r="L4246" t="s">
        <v>98</v>
      </c>
      <c r="M4246">
        <v>1</v>
      </c>
      <c r="N4246" t="s">
        <v>77</v>
      </c>
      <c r="O4246" t="s">
        <v>70</v>
      </c>
      <c r="P4246" t="s">
        <v>71</v>
      </c>
      <c r="Q4246" t="s">
        <v>72</v>
      </c>
      <c r="R4246" t="s">
        <v>139</v>
      </c>
      <c r="S4246" t="s">
        <v>144</v>
      </c>
      <c r="T4246" s="2">
        <f>MASTER[[#This Row],[CANTIDAD]]*MASTER[[#This Row],[PRECIO DE VENTA]]</f>
        <v>1830</v>
      </c>
      <c r="U4246" s="2">
        <f>MASTER[[#This Row],[CANTIDAD]]*MASTER[[#This Row],[COSTO UNITARIO]]</f>
        <v>421</v>
      </c>
      <c r="V4246" s="2">
        <f>MASTER[[#This Row],[MONTO VENDIDO]]-MASTER[[#This Row],[COSTO DE VENTA]]</f>
        <v>1409</v>
      </c>
    </row>
    <row r="4247" spans="1:22" x14ac:dyDescent="0.3">
      <c r="A4247">
        <v>63458</v>
      </c>
      <c r="B4247">
        <v>1</v>
      </c>
      <c r="C4247" t="s">
        <v>105</v>
      </c>
      <c r="D4247" t="s">
        <v>106</v>
      </c>
      <c r="E4247" s="1">
        <v>44308</v>
      </c>
      <c r="F4247">
        <v>1</v>
      </c>
      <c r="G4247" t="s">
        <v>27</v>
      </c>
      <c r="H4247" t="s">
        <v>28</v>
      </c>
      <c r="I4247" s="3">
        <v>1585</v>
      </c>
      <c r="J4247" s="3">
        <v>1426</v>
      </c>
      <c r="K4247" s="3">
        <v>459</v>
      </c>
      <c r="L4247" t="s">
        <v>98</v>
      </c>
      <c r="M4247">
        <v>12</v>
      </c>
      <c r="N4247" t="s">
        <v>26</v>
      </c>
      <c r="O4247" t="s">
        <v>11</v>
      </c>
      <c r="P4247" t="s">
        <v>12</v>
      </c>
      <c r="Q4247" t="s">
        <v>13</v>
      </c>
      <c r="R4247" t="s">
        <v>13</v>
      </c>
      <c r="S4247" t="s">
        <v>144</v>
      </c>
      <c r="T4247" s="2">
        <f>MASTER[[#This Row],[CANTIDAD]]*MASTER[[#This Row],[PRECIO DE VENTA]]</f>
        <v>1426</v>
      </c>
      <c r="U4247" s="2">
        <f>MASTER[[#This Row],[CANTIDAD]]*MASTER[[#This Row],[COSTO UNITARIO]]</f>
        <v>459</v>
      </c>
      <c r="V4247" s="2">
        <f>MASTER[[#This Row],[MONTO VENDIDO]]-MASTER[[#This Row],[COSTO DE VENTA]]</f>
        <v>967</v>
      </c>
    </row>
    <row r="4248" spans="1:22" x14ac:dyDescent="0.3">
      <c r="A4248">
        <v>63488</v>
      </c>
      <c r="B4248">
        <v>1</v>
      </c>
      <c r="C4248" t="s">
        <v>5</v>
      </c>
      <c r="D4248" t="s">
        <v>6</v>
      </c>
      <c r="E4248" s="1">
        <v>44308</v>
      </c>
      <c r="F4248">
        <v>1</v>
      </c>
      <c r="G4248" t="s">
        <v>37</v>
      </c>
      <c r="H4248" t="s">
        <v>38</v>
      </c>
      <c r="I4248" s="3">
        <v>1311</v>
      </c>
      <c r="J4248" s="3">
        <v>1193</v>
      </c>
      <c r="K4248" s="3">
        <v>393</v>
      </c>
      <c r="L4248" t="s">
        <v>9</v>
      </c>
      <c r="M4248">
        <v>17</v>
      </c>
      <c r="N4248" t="s">
        <v>14</v>
      </c>
      <c r="O4248" t="s">
        <v>11</v>
      </c>
      <c r="P4248" t="s">
        <v>15</v>
      </c>
      <c r="Q4248" t="s">
        <v>16</v>
      </c>
      <c r="R4248" t="s">
        <v>16</v>
      </c>
      <c r="S4248" t="s">
        <v>144</v>
      </c>
      <c r="T4248" s="2">
        <f>MASTER[[#This Row],[CANTIDAD]]*MASTER[[#This Row],[PRECIO DE VENTA]]</f>
        <v>1193</v>
      </c>
      <c r="U4248" s="2">
        <f>MASTER[[#This Row],[CANTIDAD]]*MASTER[[#This Row],[COSTO UNITARIO]]</f>
        <v>393</v>
      </c>
      <c r="V4248" s="2">
        <f>MASTER[[#This Row],[MONTO VENDIDO]]-MASTER[[#This Row],[COSTO DE VENTA]]</f>
        <v>800</v>
      </c>
    </row>
    <row r="4249" spans="1:22" x14ac:dyDescent="0.3">
      <c r="A4249">
        <v>63489</v>
      </c>
      <c r="B4249">
        <v>1</v>
      </c>
      <c r="C4249" t="s">
        <v>105</v>
      </c>
      <c r="D4249" t="s">
        <v>106</v>
      </c>
      <c r="E4249" s="1">
        <v>44308</v>
      </c>
      <c r="F4249">
        <v>1</v>
      </c>
      <c r="G4249" t="s">
        <v>49</v>
      </c>
      <c r="H4249" t="s">
        <v>50</v>
      </c>
      <c r="I4249" s="3">
        <v>1865</v>
      </c>
      <c r="J4249" s="3">
        <v>1865</v>
      </c>
      <c r="K4249" s="3">
        <v>459</v>
      </c>
      <c r="L4249" t="s">
        <v>98</v>
      </c>
      <c r="M4249">
        <v>14</v>
      </c>
      <c r="N4249" t="s">
        <v>87</v>
      </c>
      <c r="O4249" t="s">
        <v>81</v>
      </c>
      <c r="P4249" t="s">
        <v>18</v>
      </c>
      <c r="Q4249" t="s">
        <v>19</v>
      </c>
      <c r="R4249" t="s">
        <v>138</v>
      </c>
      <c r="S4249" t="s">
        <v>144</v>
      </c>
      <c r="T4249" s="2">
        <f>MASTER[[#This Row],[CANTIDAD]]*MASTER[[#This Row],[PRECIO DE VENTA]]</f>
        <v>1865</v>
      </c>
      <c r="U4249" s="2">
        <f>MASTER[[#This Row],[CANTIDAD]]*MASTER[[#This Row],[COSTO UNITARIO]]</f>
        <v>459</v>
      </c>
      <c r="V4249" s="2">
        <f>MASTER[[#This Row],[MONTO VENDIDO]]-MASTER[[#This Row],[COSTO DE VENTA]]</f>
        <v>1406</v>
      </c>
    </row>
    <row r="4250" spans="1:22" x14ac:dyDescent="0.3">
      <c r="A4250">
        <v>63496</v>
      </c>
      <c r="B4250">
        <v>1</v>
      </c>
      <c r="C4250" t="s">
        <v>118</v>
      </c>
      <c r="D4250" t="s">
        <v>119</v>
      </c>
      <c r="E4250" s="1">
        <v>44308</v>
      </c>
      <c r="F4250">
        <v>1</v>
      </c>
      <c r="G4250" t="s">
        <v>67</v>
      </c>
      <c r="H4250" t="s">
        <v>68</v>
      </c>
      <c r="I4250" s="3">
        <v>1026</v>
      </c>
      <c r="J4250" s="3">
        <v>974</v>
      </c>
      <c r="K4250" s="3">
        <v>424</v>
      </c>
      <c r="L4250" t="s">
        <v>120</v>
      </c>
      <c r="M4250">
        <v>6</v>
      </c>
      <c r="N4250" t="s">
        <v>75</v>
      </c>
      <c r="O4250" t="s">
        <v>70</v>
      </c>
      <c r="P4250" t="s">
        <v>12</v>
      </c>
      <c r="Q4250" t="s">
        <v>13</v>
      </c>
      <c r="R4250" t="s">
        <v>13</v>
      </c>
      <c r="S4250" t="s">
        <v>144</v>
      </c>
      <c r="T4250" s="2">
        <f>MASTER[[#This Row],[CANTIDAD]]*MASTER[[#This Row],[PRECIO DE VENTA]]</f>
        <v>974</v>
      </c>
      <c r="U4250" s="2">
        <f>MASTER[[#This Row],[CANTIDAD]]*MASTER[[#This Row],[COSTO UNITARIO]]</f>
        <v>424</v>
      </c>
      <c r="V4250" s="2">
        <f>MASTER[[#This Row],[MONTO VENDIDO]]-MASTER[[#This Row],[COSTO DE VENTA]]</f>
        <v>550</v>
      </c>
    </row>
    <row r="4251" spans="1:22" x14ac:dyDescent="0.3">
      <c r="A4251">
        <v>63516</v>
      </c>
      <c r="B4251">
        <v>1</v>
      </c>
      <c r="C4251" t="s">
        <v>118</v>
      </c>
      <c r="D4251" t="s">
        <v>119</v>
      </c>
      <c r="E4251" s="1">
        <v>44308</v>
      </c>
      <c r="F4251">
        <v>1</v>
      </c>
      <c r="G4251" t="s">
        <v>37</v>
      </c>
      <c r="H4251" t="s">
        <v>38</v>
      </c>
      <c r="I4251" s="3">
        <v>801</v>
      </c>
      <c r="J4251" s="3">
        <v>801</v>
      </c>
      <c r="K4251" s="3">
        <v>424</v>
      </c>
      <c r="L4251" t="s">
        <v>120</v>
      </c>
      <c r="M4251">
        <v>17</v>
      </c>
      <c r="N4251" t="s">
        <v>14</v>
      </c>
      <c r="O4251" t="s">
        <v>11</v>
      </c>
      <c r="P4251" t="s">
        <v>15</v>
      </c>
      <c r="Q4251" t="s">
        <v>16</v>
      </c>
      <c r="R4251" t="s">
        <v>16</v>
      </c>
      <c r="S4251" t="s">
        <v>144</v>
      </c>
      <c r="T4251" s="2">
        <f>MASTER[[#This Row],[CANTIDAD]]*MASTER[[#This Row],[PRECIO DE VENTA]]</f>
        <v>801</v>
      </c>
      <c r="U4251" s="2">
        <f>MASTER[[#This Row],[CANTIDAD]]*MASTER[[#This Row],[COSTO UNITARIO]]</f>
        <v>424</v>
      </c>
      <c r="V4251" s="2">
        <f>MASTER[[#This Row],[MONTO VENDIDO]]-MASTER[[#This Row],[COSTO DE VENTA]]</f>
        <v>377</v>
      </c>
    </row>
    <row r="4252" spans="1:22" x14ac:dyDescent="0.3">
      <c r="A4252">
        <v>63550</v>
      </c>
      <c r="B4252">
        <v>1</v>
      </c>
      <c r="C4252" t="s">
        <v>121</v>
      </c>
      <c r="D4252" t="s">
        <v>122</v>
      </c>
      <c r="E4252" s="1">
        <v>44308</v>
      </c>
      <c r="F4252">
        <v>1</v>
      </c>
      <c r="G4252" t="s">
        <v>65</v>
      </c>
      <c r="H4252" t="s">
        <v>66</v>
      </c>
      <c r="I4252" s="3">
        <v>1069</v>
      </c>
      <c r="J4252" s="3">
        <v>1069</v>
      </c>
      <c r="K4252" s="3">
        <v>460</v>
      </c>
      <c r="L4252" t="s">
        <v>120</v>
      </c>
      <c r="M4252">
        <v>10</v>
      </c>
      <c r="N4252" t="s">
        <v>83</v>
      </c>
      <c r="O4252" t="s">
        <v>81</v>
      </c>
      <c r="P4252" t="s">
        <v>12</v>
      </c>
      <c r="Q4252" t="s">
        <v>13</v>
      </c>
      <c r="R4252" t="s">
        <v>13</v>
      </c>
      <c r="S4252" t="s">
        <v>144</v>
      </c>
      <c r="T4252" s="2">
        <f>MASTER[[#This Row],[CANTIDAD]]*MASTER[[#This Row],[PRECIO DE VENTA]]</f>
        <v>1069</v>
      </c>
      <c r="U4252" s="2">
        <f>MASTER[[#This Row],[CANTIDAD]]*MASTER[[#This Row],[COSTO UNITARIO]]</f>
        <v>460</v>
      </c>
      <c r="V4252" s="2">
        <f>MASTER[[#This Row],[MONTO VENDIDO]]-MASTER[[#This Row],[COSTO DE VENTA]]</f>
        <v>609</v>
      </c>
    </row>
    <row r="4253" spans="1:22" x14ac:dyDescent="0.3">
      <c r="A4253">
        <v>63562</v>
      </c>
      <c r="B4253">
        <v>1</v>
      </c>
      <c r="C4253" t="s">
        <v>92</v>
      </c>
      <c r="D4253" t="s">
        <v>93</v>
      </c>
      <c r="E4253" s="1">
        <v>44308</v>
      </c>
      <c r="F4253">
        <v>1</v>
      </c>
      <c r="G4253" t="s">
        <v>51</v>
      </c>
      <c r="H4253" t="s">
        <v>52</v>
      </c>
      <c r="I4253" s="3">
        <v>1681</v>
      </c>
      <c r="J4253" s="3">
        <v>1681</v>
      </c>
      <c r="K4253" s="3">
        <v>396</v>
      </c>
      <c r="L4253" t="s">
        <v>9</v>
      </c>
      <c r="M4253">
        <v>7</v>
      </c>
      <c r="N4253" t="s">
        <v>84</v>
      </c>
      <c r="O4253" t="s">
        <v>81</v>
      </c>
      <c r="P4253" t="s">
        <v>12</v>
      </c>
      <c r="Q4253" t="s">
        <v>13</v>
      </c>
      <c r="R4253" t="s">
        <v>13</v>
      </c>
      <c r="S4253" t="s">
        <v>144</v>
      </c>
      <c r="T4253" s="2">
        <f>MASTER[[#This Row],[CANTIDAD]]*MASTER[[#This Row],[PRECIO DE VENTA]]</f>
        <v>1681</v>
      </c>
      <c r="U4253" s="2">
        <f>MASTER[[#This Row],[CANTIDAD]]*MASTER[[#This Row],[COSTO UNITARIO]]</f>
        <v>396</v>
      </c>
      <c r="V4253" s="2">
        <f>MASTER[[#This Row],[MONTO VENDIDO]]-MASTER[[#This Row],[COSTO DE VENTA]]</f>
        <v>1285</v>
      </c>
    </row>
    <row r="4254" spans="1:22" x14ac:dyDescent="0.3">
      <c r="A4254">
        <v>63568</v>
      </c>
      <c r="B4254">
        <v>1</v>
      </c>
      <c r="C4254" t="s">
        <v>96</v>
      </c>
      <c r="D4254" t="s">
        <v>97</v>
      </c>
      <c r="E4254" s="1">
        <v>44309</v>
      </c>
      <c r="F4254">
        <v>1</v>
      </c>
      <c r="G4254" t="s">
        <v>49</v>
      </c>
      <c r="H4254" t="s">
        <v>50</v>
      </c>
      <c r="I4254" s="3">
        <v>1272</v>
      </c>
      <c r="J4254" s="3">
        <v>1272</v>
      </c>
      <c r="K4254" s="3">
        <v>397</v>
      </c>
      <c r="L4254" t="s">
        <v>98</v>
      </c>
      <c r="M4254">
        <v>2</v>
      </c>
      <c r="N4254" t="s">
        <v>86</v>
      </c>
      <c r="O4254" t="s">
        <v>81</v>
      </c>
      <c r="P4254" t="s">
        <v>71</v>
      </c>
      <c r="Q4254" t="s">
        <v>72</v>
      </c>
      <c r="R4254" t="s">
        <v>139</v>
      </c>
      <c r="S4254" t="s">
        <v>144</v>
      </c>
      <c r="T4254" s="2">
        <f>MASTER[[#This Row],[CANTIDAD]]*MASTER[[#This Row],[PRECIO DE VENTA]]</f>
        <v>1272</v>
      </c>
      <c r="U4254" s="2">
        <f>MASTER[[#This Row],[CANTIDAD]]*MASTER[[#This Row],[COSTO UNITARIO]]</f>
        <v>397</v>
      </c>
      <c r="V4254" s="2">
        <f>MASTER[[#This Row],[MONTO VENDIDO]]-MASTER[[#This Row],[COSTO DE VENTA]]</f>
        <v>875</v>
      </c>
    </row>
    <row r="4255" spans="1:22" x14ac:dyDescent="0.3">
      <c r="A4255">
        <v>63606</v>
      </c>
      <c r="B4255">
        <v>1</v>
      </c>
      <c r="C4255" t="s">
        <v>90</v>
      </c>
      <c r="D4255" t="s">
        <v>91</v>
      </c>
      <c r="E4255" s="1">
        <v>44309</v>
      </c>
      <c r="F4255">
        <v>1</v>
      </c>
      <c r="G4255" t="s">
        <v>43</v>
      </c>
      <c r="H4255" t="s">
        <v>44</v>
      </c>
      <c r="I4255" s="3">
        <v>1844</v>
      </c>
      <c r="J4255" s="3">
        <v>1844</v>
      </c>
      <c r="K4255" s="3">
        <v>420</v>
      </c>
      <c r="L4255" t="s">
        <v>9</v>
      </c>
      <c r="M4255">
        <v>15</v>
      </c>
      <c r="N4255" t="s">
        <v>88</v>
      </c>
      <c r="O4255" t="s">
        <v>81</v>
      </c>
      <c r="P4255" t="s">
        <v>18</v>
      </c>
      <c r="Q4255" t="s">
        <v>19</v>
      </c>
      <c r="R4255" t="s">
        <v>138</v>
      </c>
      <c r="S4255" t="s">
        <v>144</v>
      </c>
      <c r="T4255" s="2">
        <f>MASTER[[#This Row],[CANTIDAD]]*MASTER[[#This Row],[PRECIO DE VENTA]]</f>
        <v>1844</v>
      </c>
      <c r="U4255" s="2">
        <f>MASTER[[#This Row],[CANTIDAD]]*MASTER[[#This Row],[COSTO UNITARIO]]</f>
        <v>420</v>
      </c>
      <c r="V4255" s="2">
        <f>MASTER[[#This Row],[MONTO VENDIDO]]-MASTER[[#This Row],[COSTO DE VENTA]]</f>
        <v>1424</v>
      </c>
    </row>
    <row r="4256" spans="1:22" x14ac:dyDescent="0.3">
      <c r="A4256">
        <v>63608</v>
      </c>
      <c r="B4256">
        <v>1</v>
      </c>
      <c r="C4256" t="s">
        <v>105</v>
      </c>
      <c r="D4256" t="s">
        <v>106</v>
      </c>
      <c r="E4256" s="1">
        <v>44309</v>
      </c>
      <c r="F4256">
        <v>1</v>
      </c>
      <c r="G4256" t="s">
        <v>61</v>
      </c>
      <c r="H4256" t="s">
        <v>62</v>
      </c>
      <c r="I4256" s="3">
        <v>2033</v>
      </c>
      <c r="J4256" s="3">
        <v>2033</v>
      </c>
      <c r="K4256" s="3">
        <v>459</v>
      </c>
      <c r="L4256" t="s">
        <v>98</v>
      </c>
      <c r="M4256">
        <v>3</v>
      </c>
      <c r="N4256" t="s">
        <v>69</v>
      </c>
      <c r="O4256" t="s">
        <v>70</v>
      </c>
      <c r="P4256" t="s">
        <v>71</v>
      </c>
      <c r="Q4256" t="s">
        <v>72</v>
      </c>
      <c r="R4256" t="s">
        <v>139</v>
      </c>
      <c r="S4256" t="s">
        <v>144</v>
      </c>
      <c r="T4256" s="2">
        <f>MASTER[[#This Row],[CANTIDAD]]*MASTER[[#This Row],[PRECIO DE VENTA]]</f>
        <v>2033</v>
      </c>
      <c r="U4256" s="2">
        <f>MASTER[[#This Row],[CANTIDAD]]*MASTER[[#This Row],[COSTO UNITARIO]]</f>
        <v>459</v>
      </c>
      <c r="V4256" s="2">
        <f>MASTER[[#This Row],[MONTO VENDIDO]]-MASTER[[#This Row],[COSTO DE VENTA]]</f>
        <v>1574</v>
      </c>
    </row>
    <row r="4257" spans="1:22" x14ac:dyDescent="0.3">
      <c r="A4257">
        <v>63608</v>
      </c>
      <c r="B4257">
        <v>2</v>
      </c>
      <c r="C4257" t="s">
        <v>109</v>
      </c>
      <c r="D4257" t="s">
        <v>110</v>
      </c>
      <c r="E4257" s="1">
        <v>44309</v>
      </c>
      <c r="F4257">
        <v>1</v>
      </c>
      <c r="G4257" t="s">
        <v>47</v>
      </c>
      <c r="H4257" t="s">
        <v>48</v>
      </c>
      <c r="I4257" s="3">
        <v>1128</v>
      </c>
      <c r="J4257" s="3">
        <v>1128</v>
      </c>
      <c r="K4257" s="3">
        <v>387</v>
      </c>
      <c r="L4257" t="s">
        <v>98</v>
      </c>
      <c r="M4257">
        <v>3</v>
      </c>
      <c r="N4257" t="s">
        <v>69</v>
      </c>
      <c r="O4257" t="s">
        <v>70</v>
      </c>
      <c r="P4257" t="s">
        <v>71</v>
      </c>
      <c r="Q4257" t="s">
        <v>72</v>
      </c>
      <c r="R4257" t="s">
        <v>139</v>
      </c>
      <c r="S4257" t="s">
        <v>144</v>
      </c>
      <c r="T4257" s="2">
        <f>MASTER[[#This Row],[CANTIDAD]]*MASTER[[#This Row],[PRECIO DE VENTA]]</f>
        <v>1128</v>
      </c>
      <c r="U4257" s="2">
        <f>MASTER[[#This Row],[CANTIDAD]]*MASTER[[#This Row],[COSTO UNITARIO]]</f>
        <v>387</v>
      </c>
      <c r="V4257" s="2">
        <f>MASTER[[#This Row],[MONTO VENDIDO]]-MASTER[[#This Row],[COSTO DE VENTA]]</f>
        <v>741</v>
      </c>
    </row>
    <row r="4258" spans="1:22" x14ac:dyDescent="0.3">
      <c r="A4258">
        <v>63620</v>
      </c>
      <c r="B4258">
        <v>1</v>
      </c>
      <c r="C4258" t="s">
        <v>101</v>
      </c>
      <c r="D4258" t="s">
        <v>102</v>
      </c>
      <c r="E4258" s="1">
        <v>44309</v>
      </c>
      <c r="F4258">
        <v>1</v>
      </c>
      <c r="G4258" t="s">
        <v>73</v>
      </c>
      <c r="H4258" t="s">
        <v>74</v>
      </c>
      <c r="I4258" s="3">
        <v>1212</v>
      </c>
      <c r="J4258" s="3">
        <v>1212</v>
      </c>
      <c r="K4258" s="3">
        <v>442</v>
      </c>
      <c r="L4258" t="s">
        <v>98</v>
      </c>
      <c r="M4258">
        <v>2</v>
      </c>
      <c r="N4258" t="s">
        <v>86</v>
      </c>
      <c r="O4258" t="s">
        <v>81</v>
      </c>
      <c r="P4258" t="s">
        <v>71</v>
      </c>
      <c r="Q4258" t="s">
        <v>72</v>
      </c>
      <c r="R4258" t="s">
        <v>139</v>
      </c>
      <c r="S4258" t="s">
        <v>144</v>
      </c>
      <c r="T4258" s="2">
        <f>MASTER[[#This Row],[CANTIDAD]]*MASTER[[#This Row],[PRECIO DE VENTA]]</f>
        <v>1212</v>
      </c>
      <c r="U4258" s="2">
        <f>MASTER[[#This Row],[CANTIDAD]]*MASTER[[#This Row],[COSTO UNITARIO]]</f>
        <v>442</v>
      </c>
      <c r="V4258" s="2">
        <f>MASTER[[#This Row],[MONTO VENDIDO]]-MASTER[[#This Row],[COSTO DE VENTA]]</f>
        <v>770</v>
      </c>
    </row>
    <row r="4259" spans="1:22" x14ac:dyDescent="0.3">
      <c r="A4259">
        <v>63624</v>
      </c>
      <c r="B4259">
        <v>1</v>
      </c>
      <c r="C4259" t="s">
        <v>92</v>
      </c>
      <c r="D4259" t="s">
        <v>93</v>
      </c>
      <c r="E4259" s="1">
        <v>44309</v>
      </c>
      <c r="F4259">
        <v>1</v>
      </c>
      <c r="G4259" t="s">
        <v>45</v>
      </c>
      <c r="H4259" t="s">
        <v>46</v>
      </c>
      <c r="I4259" s="3">
        <v>1866</v>
      </c>
      <c r="J4259" s="3">
        <v>1866</v>
      </c>
      <c r="K4259" s="3">
        <v>396</v>
      </c>
      <c r="L4259" t="s">
        <v>9</v>
      </c>
      <c r="M4259">
        <v>3</v>
      </c>
      <c r="N4259" t="s">
        <v>69</v>
      </c>
      <c r="O4259" t="s">
        <v>70</v>
      </c>
      <c r="P4259" t="s">
        <v>71</v>
      </c>
      <c r="Q4259" t="s">
        <v>72</v>
      </c>
      <c r="R4259" t="s">
        <v>139</v>
      </c>
      <c r="S4259" t="s">
        <v>144</v>
      </c>
      <c r="T4259" s="2">
        <f>MASTER[[#This Row],[CANTIDAD]]*MASTER[[#This Row],[PRECIO DE VENTA]]</f>
        <v>1866</v>
      </c>
      <c r="U4259" s="2">
        <f>MASTER[[#This Row],[CANTIDAD]]*MASTER[[#This Row],[COSTO UNITARIO]]</f>
        <v>396</v>
      </c>
      <c r="V4259" s="2">
        <f>MASTER[[#This Row],[MONTO VENDIDO]]-MASTER[[#This Row],[COSTO DE VENTA]]</f>
        <v>1470</v>
      </c>
    </row>
    <row r="4260" spans="1:22" x14ac:dyDescent="0.3">
      <c r="A4260">
        <v>63639</v>
      </c>
      <c r="B4260">
        <v>1</v>
      </c>
      <c r="C4260" t="s">
        <v>90</v>
      </c>
      <c r="D4260" t="s">
        <v>91</v>
      </c>
      <c r="E4260" s="1">
        <v>44309</v>
      </c>
      <c r="F4260">
        <v>1</v>
      </c>
      <c r="G4260" t="s">
        <v>20</v>
      </c>
      <c r="H4260" t="s">
        <v>21</v>
      </c>
      <c r="I4260" s="3">
        <v>1844</v>
      </c>
      <c r="J4260" s="3">
        <v>1844</v>
      </c>
      <c r="K4260" s="3">
        <v>420</v>
      </c>
      <c r="L4260" t="s">
        <v>9</v>
      </c>
      <c r="M4260">
        <v>8</v>
      </c>
      <c r="N4260" t="s">
        <v>80</v>
      </c>
      <c r="O4260" t="s">
        <v>81</v>
      </c>
      <c r="P4260" t="s">
        <v>12</v>
      </c>
      <c r="Q4260" t="s">
        <v>13</v>
      </c>
      <c r="R4260" t="s">
        <v>13</v>
      </c>
      <c r="S4260" t="s">
        <v>144</v>
      </c>
      <c r="T4260" s="2">
        <f>MASTER[[#This Row],[CANTIDAD]]*MASTER[[#This Row],[PRECIO DE VENTA]]</f>
        <v>1844</v>
      </c>
      <c r="U4260" s="2">
        <f>MASTER[[#This Row],[CANTIDAD]]*MASTER[[#This Row],[COSTO UNITARIO]]</f>
        <v>420</v>
      </c>
      <c r="V4260" s="2">
        <f>MASTER[[#This Row],[MONTO VENDIDO]]-MASTER[[#This Row],[COSTO DE VENTA]]</f>
        <v>1424</v>
      </c>
    </row>
    <row r="4261" spans="1:22" x14ac:dyDescent="0.3">
      <c r="A4261">
        <v>63648</v>
      </c>
      <c r="B4261">
        <v>1</v>
      </c>
      <c r="C4261" t="s">
        <v>99</v>
      </c>
      <c r="D4261" t="s">
        <v>100</v>
      </c>
      <c r="E4261" s="1">
        <v>44309</v>
      </c>
      <c r="F4261">
        <v>1</v>
      </c>
      <c r="G4261" t="s">
        <v>45</v>
      </c>
      <c r="H4261" t="s">
        <v>46</v>
      </c>
      <c r="I4261" s="3">
        <v>1328</v>
      </c>
      <c r="J4261" s="3">
        <v>1328</v>
      </c>
      <c r="K4261" s="3">
        <v>386</v>
      </c>
      <c r="L4261" t="s">
        <v>98</v>
      </c>
      <c r="M4261">
        <v>16</v>
      </c>
      <c r="N4261" t="s">
        <v>17</v>
      </c>
      <c r="O4261" t="s">
        <v>11</v>
      </c>
      <c r="P4261" t="s">
        <v>18</v>
      </c>
      <c r="Q4261" t="s">
        <v>19</v>
      </c>
      <c r="R4261" t="s">
        <v>138</v>
      </c>
      <c r="S4261" t="s">
        <v>144</v>
      </c>
      <c r="T4261" s="2">
        <f>MASTER[[#This Row],[CANTIDAD]]*MASTER[[#This Row],[PRECIO DE VENTA]]</f>
        <v>1328</v>
      </c>
      <c r="U4261" s="2">
        <f>MASTER[[#This Row],[CANTIDAD]]*MASTER[[#This Row],[COSTO UNITARIO]]</f>
        <v>386</v>
      </c>
      <c r="V4261" s="2">
        <f>MASTER[[#This Row],[MONTO VENDIDO]]-MASTER[[#This Row],[COSTO DE VENTA]]</f>
        <v>942</v>
      </c>
    </row>
    <row r="4262" spans="1:22" x14ac:dyDescent="0.3">
      <c r="A4262">
        <v>63688</v>
      </c>
      <c r="B4262">
        <v>1</v>
      </c>
      <c r="C4262" t="s">
        <v>103</v>
      </c>
      <c r="D4262" t="s">
        <v>104</v>
      </c>
      <c r="E4262" s="1">
        <v>44309</v>
      </c>
      <c r="F4262">
        <v>1</v>
      </c>
      <c r="G4262" t="s">
        <v>33</v>
      </c>
      <c r="H4262" t="s">
        <v>34</v>
      </c>
      <c r="I4262" s="3">
        <v>1591</v>
      </c>
      <c r="J4262" s="3">
        <v>1591</v>
      </c>
      <c r="K4262" s="3">
        <v>421</v>
      </c>
      <c r="L4262" t="s">
        <v>98</v>
      </c>
      <c r="M4262">
        <v>10</v>
      </c>
      <c r="N4262" t="s">
        <v>83</v>
      </c>
      <c r="O4262" t="s">
        <v>81</v>
      </c>
      <c r="P4262" t="s">
        <v>12</v>
      </c>
      <c r="Q4262" t="s">
        <v>13</v>
      </c>
      <c r="R4262" t="s">
        <v>13</v>
      </c>
      <c r="S4262" t="s">
        <v>144</v>
      </c>
      <c r="T4262" s="2">
        <f>MASTER[[#This Row],[CANTIDAD]]*MASTER[[#This Row],[PRECIO DE VENTA]]</f>
        <v>1591</v>
      </c>
      <c r="U4262" s="2">
        <f>MASTER[[#This Row],[CANTIDAD]]*MASTER[[#This Row],[COSTO UNITARIO]]</f>
        <v>421</v>
      </c>
      <c r="V4262" s="2">
        <f>MASTER[[#This Row],[MONTO VENDIDO]]-MASTER[[#This Row],[COSTO DE VENTA]]</f>
        <v>1170</v>
      </c>
    </row>
    <row r="4263" spans="1:22" x14ac:dyDescent="0.3">
      <c r="A4263">
        <v>63694</v>
      </c>
      <c r="B4263">
        <v>1</v>
      </c>
      <c r="C4263" t="s">
        <v>114</v>
      </c>
      <c r="D4263" t="s">
        <v>115</v>
      </c>
      <c r="E4263" s="1">
        <v>44309</v>
      </c>
      <c r="F4263">
        <v>1</v>
      </c>
      <c r="G4263" t="s">
        <v>27</v>
      </c>
      <c r="H4263" t="s">
        <v>28</v>
      </c>
      <c r="I4263" s="3">
        <v>2030</v>
      </c>
      <c r="J4263" s="3">
        <v>2030</v>
      </c>
      <c r="K4263" s="3">
        <v>394</v>
      </c>
      <c r="L4263" t="s">
        <v>113</v>
      </c>
      <c r="M4263">
        <v>3</v>
      </c>
      <c r="N4263" t="s">
        <v>69</v>
      </c>
      <c r="O4263" t="s">
        <v>70</v>
      </c>
      <c r="P4263" t="s">
        <v>71</v>
      </c>
      <c r="Q4263" t="s">
        <v>72</v>
      </c>
      <c r="R4263" t="s">
        <v>139</v>
      </c>
      <c r="S4263" t="s">
        <v>144</v>
      </c>
      <c r="T4263" s="2">
        <f>MASTER[[#This Row],[CANTIDAD]]*MASTER[[#This Row],[PRECIO DE VENTA]]</f>
        <v>2030</v>
      </c>
      <c r="U4263" s="2">
        <f>MASTER[[#This Row],[CANTIDAD]]*MASTER[[#This Row],[COSTO UNITARIO]]</f>
        <v>394</v>
      </c>
      <c r="V4263" s="2">
        <f>MASTER[[#This Row],[MONTO VENDIDO]]-MASTER[[#This Row],[COSTO DE VENTA]]</f>
        <v>1636</v>
      </c>
    </row>
    <row r="4264" spans="1:22" x14ac:dyDescent="0.3">
      <c r="A4264">
        <v>63715</v>
      </c>
      <c r="B4264">
        <v>1</v>
      </c>
      <c r="C4264" t="s">
        <v>114</v>
      </c>
      <c r="D4264" t="s">
        <v>115</v>
      </c>
      <c r="E4264" s="1">
        <v>44309</v>
      </c>
      <c r="F4264">
        <v>1</v>
      </c>
      <c r="G4264" t="s">
        <v>24</v>
      </c>
      <c r="H4264" t="s">
        <v>25</v>
      </c>
      <c r="I4264" s="3">
        <v>1583</v>
      </c>
      <c r="J4264" s="3">
        <v>1583</v>
      </c>
      <c r="K4264" s="3">
        <v>394</v>
      </c>
      <c r="L4264" t="s">
        <v>113</v>
      </c>
      <c r="M4264">
        <v>16</v>
      </c>
      <c r="N4264" t="s">
        <v>17</v>
      </c>
      <c r="O4264" t="s">
        <v>11</v>
      </c>
      <c r="P4264" t="s">
        <v>18</v>
      </c>
      <c r="Q4264" t="s">
        <v>19</v>
      </c>
      <c r="R4264" t="s">
        <v>138</v>
      </c>
      <c r="S4264" t="s">
        <v>144</v>
      </c>
      <c r="T4264" s="2">
        <f>MASTER[[#This Row],[CANTIDAD]]*MASTER[[#This Row],[PRECIO DE VENTA]]</f>
        <v>1583</v>
      </c>
      <c r="U4264" s="2">
        <f>MASTER[[#This Row],[CANTIDAD]]*MASTER[[#This Row],[COSTO UNITARIO]]</f>
        <v>394</v>
      </c>
      <c r="V4264" s="2">
        <f>MASTER[[#This Row],[MONTO VENDIDO]]-MASTER[[#This Row],[COSTO DE VENTA]]</f>
        <v>1189</v>
      </c>
    </row>
    <row r="4265" spans="1:22" x14ac:dyDescent="0.3">
      <c r="A4265">
        <v>63729</v>
      </c>
      <c r="B4265">
        <v>1</v>
      </c>
      <c r="C4265" t="s">
        <v>116</v>
      </c>
      <c r="D4265" t="s">
        <v>117</v>
      </c>
      <c r="E4265" s="1">
        <v>44309</v>
      </c>
      <c r="F4265">
        <v>1</v>
      </c>
      <c r="G4265" t="s">
        <v>47</v>
      </c>
      <c r="H4265" t="s">
        <v>48</v>
      </c>
      <c r="I4265" s="3">
        <v>1999</v>
      </c>
      <c r="J4265" s="3">
        <v>1999</v>
      </c>
      <c r="K4265" s="3">
        <v>388</v>
      </c>
      <c r="L4265" t="s">
        <v>113</v>
      </c>
      <c r="M4265">
        <v>1</v>
      </c>
      <c r="N4265" t="s">
        <v>77</v>
      </c>
      <c r="O4265" t="s">
        <v>70</v>
      </c>
      <c r="P4265" t="s">
        <v>71</v>
      </c>
      <c r="Q4265" t="s">
        <v>72</v>
      </c>
      <c r="R4265" t="s">
        <v>139</v>
      </c>
      <c r="S4265" t="s">
        <v>144</v>
      </c>
      <c r="T4265" s="2">
        <f>MASTER[[#This Row],[CANTIDAD]]*MASTER[[#This Row],[PRECIO DE VENTA]]</f>
        <v>1999</v>
      </c>
      <c r="U4265" s="2">
        <f>MASTER[[#This Row],[CANTIDAD]]*MASTER[[#This Row],[COSTO UNITARIO]]</f>
        <v>388</v>
      </c>
      <c r="V4265" s="2">
        <f>MASTER[[#This Row],[MONTO VENDIDO]]-MASTER[[#This Row],[COSTO DE VENTA]]</f>
        <v>1611</v>
      </c>
    </row>
    <row r="4266" spans="1:22" x14ac:dyDescent="0.3">
      <c r="A4266">
        <v>63764</v>
      </c>
      <c r="B4266">
        <v>1</v>
      </c>
      <c r="C4266" t="s">
        <v>94</v>
      </c>
      <c r="D4266" t="s">
        <v>95</v>
      </c>
      <c r="E4266" s="1">
        <v>44309</v>
      </c>
      <c r="F4266">
        <v>1</v>
      </c>
      <c r="G4266" t="s">
        <v>20</v>
      </c>
      <c r="H4266" t="s">
        <v>21</v>
      </c>
      <c r="I4266" s="3">
        <v>1048</v>
      </c>
      <c r="J4266" s="3">
        <v>1048</v>
      </c>
      <c r="K4266" s="3">
        <v>392</v>
      </c>
      <c r="L4266" t="s">
        <v>9</v>
      </c>
      <c r="M4266">
        <v>2</v>
      </c>
      <c r="N4266" t="s">
        <v>86</v>
      </c>
      <c r="O4266" t="s">
        <v>81</v>
      </c>
      <c r="P4266" t="s">
        <v>71</v>
      </c>
      <c r="Q4266" t="s">
        <v>72</v>
      </c>
      <c r="R4266" t="s">
        <v>139</v>
      </c>
      <c r="S4266" t="s">
        <v>144</v>
      </c>
      <c r="T4266" s="2">
        <f>MASTER[[#This Row],[CANTIDAD]]*MASTER[[#This Row],[PRECIO DE VENTA]]</f>
        <v>1048</v>
      </c>
      <c r="U4266" s="2">
        <f>MASTER[[#This Row],[CANTIDAD]]*MASTER[[#This Row],[COSTO UNITARIO]]</f>
        <v>392</v>
      </c>
      <c r="V4266" s="2">
        <f>MASTER[[#This Row],[MONTO VENDIDO]]-MASTER[[#This Row],[COSTO DE VENTA]]</f>
        <v>656</v>
      </c>
    </row>
    <row r="4267" spans="1:22" x14ac:dyDescent="0.3">
      <c r="A4267">
        <v>63767</v>
      </c>
      <c r="B4267">
        <v>1</v>
      </c>
      <c r="C4267" t="s">
        <v>107</v>
      </c>
      <c r="D4267" t="s">
        <v>108</v>
      </c>
      <c r="E4267" s="1">
        <v>44309</v>
      </c>
      <c r="F4267">
        <v>1</v>
      </c>
      <c r="G4267" t="s">
        <v>43</v>
      </c>
      <c r="H4267" t="s">
        <v>44</v>
      </c>
      <c r="I4267" s="3">
        <v>1440</v>
      </c>
      <c r="J4267" s="3">
        <v>1440</v>
      </c>
      <c r="K4267" s="3">
        <v>380</v>
      </c>
      <c r="L4267" t="s">
        <v>98</v>
      </c>
      <c r="M4267">
        <v>13</v>
      </c>
      <c r="N4267" t="s">
        <v>78</v>
      </c>
      <c r="O4267" t="s">
        <v>70</v>
      </c>
      <c r="P4267" t="s">
        <v>18</v>
      </c>
      <c r="Q4267" t="s">
        <v>19</v>
      </c>
      <c r="R4267" t="s">
        <v>138</v>
      </c>
      <c r="S4267" t="s">
        <v>144</v>
      </c>
      <c r="T4267" s="2">
        <f>MASTER[[#This Row],[CANTIDAD]]*MASTER[[#This Row],[PRECIO DE VENTA]]</f>
        <v>1440</v>
      </c>
      <c r="U4267" s="2">
        <f>MASTER[[#This Row],[CANTIDAD]]*MASTER[[#This Row],[COSTO UNITARIO]]</f>
        <v>380</v>
      </c>
      <c r="V4267" s="2">
        <f>MASTER[[#This Row],[MONTO VENDIDO]]-MASTER[[#This Row],[COSTO DE VENTA]]</f>
        <v>1060</v>
      </c>
    </row>
    <row r="4268" spans="1:22" x14ac:dyDescent="0.3">
      <c r="A4268">
        <v>63768</v>
      </c>
      <c r="B4268">
        <v>1</v>
      </c>
      <c r="C4268" t="s">
        <v>121</v>
      </c>
      <c r="D4268" t="s">
        <v>122</v>
      </c>
      <c r="E4268" s="1">
        <v>44310</v>
      </c>
      <c r="F4268">
        <v>1</v>
      </c>
      <c r="G4268" t="s">
        <v>27</v>
      </c>
      <c r="H4268" t="s">
        <v>28</v>
      </c>
      <c r="I4268" s="3">
        <v>1069</v>
      </c>
      <c r="J4268" s="3">
        <v>1069</v>
      </c>
      <c r="K4268" s="3">
        <v>460</v>
      </c>
      <c r="L4268" t="s">
        <v>120</v>
      </c>
      <c r="M4268">
        <v>4</v>
      </c>
      <c r="N4268" t="s">
        <v>82</v>
      </c>
      <c r="O4268" t="s">
        <v>81</v>
      </c>
      <c r="P4268" t="s">
        <v>71</v>
      </c>
      <c r="Q4268" t="s">
        <v>72</v>
      </c>
      <c r="R4268" t="s">
        <v>139</v>
      </c>
      <c r="S4268" t="s">
        <v>144</v>
      </c>
      <c r="T4268" s="2">
        <f>MASTER[[#This Row],[CANTIDAD]]*MASTER[[#This Row],[PRECIO DE VENTA]]</f>
        <v>1069</v>
      </c>
      <c r="U4268" s="2">
        <f>MASTER[[#This Row],[CANTIDAD]]*MASTER[[#This Row],[COSTO UNITARIO]]</f>
        <v>460</v>
      </c>
      <c r="V4268" s="2">
        <f>MASTER[[#This Row],[MONTO VENDIDO]]-MASTER[[#This Row],[COSTO DE VENTA]]</f>
        <v>609</v>
      </c>
    </row>
    <row r="4269" spans="1:22" x14ac:dyDescent="0.3">
      <c r="A4269">
        <v>63771</v>
      </c>
      <c r="B4269">
        <v>1</v>
      </c>
      <c r="C4269" t="s">
        <v>90</v>
      </c>
      <c r="D4269" t="s">
        <v>91</v>
      </c>
      <c r="E4269" s="1">
        <v>44310</v>
      </c>
      <c r="F4269">
        <v>1</v>
      </c>
      <c r="G4269" t="s">
        <v>27</v>
      </c>
      <c r="H4269" t="s">
        <v>28</v>
      </c>
      <c r="I4269" s="3">
        <v>2102</v>
      </c>
      <c r="J4269" s="3">
        <v>2102</v>
      </c>
      <c r="K4269" s="3">
        <v>420</v>
      </c>
      <c r="L4269" t="s">
        <v>9</v>
      </c>
      <c r="M4269">
        <v>6</v>
      </c>
      <c r="N4269" t="s">
        <v>75</v>
      </c>
      <c r="O4269" t="s">
        <v>70</v>
      </c>
      <c r="P4269" t="s">
        <v>12</v>
      </c>
      <c r="Q4269" t="s">
        <v>13</v>
      </c>
      <c r="R4269" t="s">
        <v>13</v>
      </c>
      <c r="S4269" t="s">
        <v>144</v>
      </c>
      <c r="T4269" s="2">
        <f>MASTER[[#This Row],[CANTIDAD]]*MASTER[[#This Row],[PRECIO DE VENTA]]</f>
        <v>2102</v>
      </c>
      <c r="U4269" s="2">
        <f>MASTER[[#This Row],[CANTIDAD]]*MASTER[[#This Row],[COSTO UNITARIO]]</f>
        <v>420</v>
      </c>
      <c r="V4269" s="2">
        <f>MASTER[[#This Row],[MONTO VENDIDO]]-MASTER[[#This Row],[COSTO DE VENTA]]</f>
        <v>1682</v>
      </c>
    </row>
    <row r="4270" spans="1:22" x14ac:dyDescent="0.3">
      <c r="A4270">
        <v>63772</v>
      </c>
      <c r="B4270">
        <v>1</v>
      </c>
      <c r="C4270" t="s">
        <v>105</v>
      </c>
      <c r="D4270" t="s">
        <v>106</v>
      </c>
      <c r="E4270" s="1">
        <v>44310</v>
      </c>
      <c r="F4270">
        <v>1</v>
      </c>
      <c r="G4270" t="s">
        <v>57</v>
      </c>
      <c r="H4270" t="s">
        <v>58</v>
      </c>
      <c r="I4270" s="3">
        <v>1585</v>
      </c>
      <c r="J4270" s="3">
        <v>1585</v>
      </c>
      <c r="K4270" s="3">
        <v>459</v>
      </c>
      <c r="L4270" t="s">
        <v>98</v>
      </c>
      <c r="M4270">
        <v>12</v>
      </c>
      <c r="N4270" t="s">
        <v>26</v>
      </c>
      <c r="O4270" t="s">
        <v>11</v>
      </c>
      <c r="P4270" t="s">
        <v>12</v>
      </c>
      <c r="Q4270" t="s">
        <v>13</v>
      </c>
      <c r="R4270" t="s">
        <v>13</v>
      </c>
      <c r="S4270" t="s">
        <v>144</v>
      </c>
      <c r="T4270" s="2">
        <f>MASTER[[#This Row],[CANTIDAD]]*MASTER[[#This Row],[PRECIO DE VENTA]]</f>
        <v>1585</v>
      </c>
      <c r="U4270" s="2">
        <f>MASTER[[#This Row],[CANTIDAD]]*MASTER[[#This Row],[COSTO UNITARIO]]</f>
        <v>459</v>
      </c>
      <c r="V4270" s="2">
        <f>MASTER[[#This Row],[MONTO VENDIDO]]-MASTER[[#This Row],[COSTO DE VENTA]]</f>
        <v>1126</v>
      </c>
    </row>
    <row r="4271" spans="1:22" x14ac:dyDescent="0.3">
      <c r="A4271">
        <v>63777</v>
      </c>
      <c r="B4271">
        <v>1</v>
      </c>
      <c r="C4271" t="s">
        <v>94</v>
      </c>
      <c r="D4271" t="s">
        <v>95</v>
      </c>
      <c r="E4271" s="1">
        <v>44310</v>
      </c>
      <c r="F4271">
        <v>1</v>
      </c>
      <c r="G4271" t="s">
        <v>35</v>
      </c>
      <c r="H4271" t="s">
        <v>36</v>
      </c>
      <c r="I4271" s="3">
        <v>901</v>
      </c>
      <c r="J4271" s="3">
        <v>837</v>
      </c>
      <c r="K4271" s="3">
        <v>392</v>
      </c>
      <c r="L4271" t="s">
        <v>9</v>
      </c>
      <c r="M4271">
        <v>11</v>
      </c>
      <c r="N4271" t="s">
        <v>10</v>
      </c>
      <c r="O4271" t="s">
        <v>11</v>
      </c>
      <c r="P4271" t="s">
        <v>12</v>
      </c>
      <c r="Q4271" t="s">
        <v>13</v>
      </c>
      <c r="R4271" t="s">
        <v>13</v>
      </c>
      <c r="S4271" t="s">
        <v>144</v>
      </c>
      <c r="T4271" s="2">
        <f>MASTER[[#This Row],[CANTIDAD]]*MASTER[[#This Row],[PRECIO DE VENTA]]</f>
        <v>837</v>
      </c>
      <c r="U4271" s="2">
        <f>MASTER[[#This Row],[CANTIDAD]]*MASTER[[#This Row],[COSTO UNITARIO]]</f>
        <v>392</v>
      </c>
      <c r="V4271" s="2">
        <f>MASTER[[#This Row],[MONTO VENDIDO]]-MASTER[[#This Row],[COSTO DE VENTA]]</f>
        <v>445</v>
      </c>
    </row>
    <row r="4272" spans="1:22" x14ac:dyDescent="0.3">
      <c r="A4272">
        <v>63790</v>
      </c>
      <c r="B4272">
        <v>1</v>
      </c>
      <c r="C4272" t="s">
        <v>116</v>
      </c>
      <c r="D4272" t="s">
        <v>117</v>
      </c>
      <c r="E4272" s="1">
        <v>44310</v>
      </c>
      <c r="F4272">
        <v>1</v>
      </c>
      <c r="G4272" t="s">
        <v>63</v>
      </c>
      <c r="H4272" t="s">
        <v>64</v>
      </c>
      <c r="I4272" s="3">
        <v>1738</v>
      </c>
      <c r="J4272" s="3">
        <v>1738</v>
      </c>
      <c r="K4272" s="3">
        <v>388</v>
      </c>
      <c r="L4272" t="s">
        <v>113</v>
      </c>
      <c r="M4272">
        <v>14</v>
      </c>
      <c r="N4272" t="s">
        <v>87</v>
      </c>
      <c r="O4272" t="s">
        <v>81</v>
      </c>
      <c r="P4272" t="s">
        <v>18</v>
      </c>
      <c r="Q4272" t="s">
        <v>19</v>
      </c>
      <c r="R4272" t="s">
        <v>138</v>
      </c>
      <c r="S4272" t="s">
        <v>144</v>
      </c>
      <c r="T4272" s="2">
        <f>MASTER[[#This Row],[CANTIDAD]]*MASTER[[#This Row],[PRECIO DE VENTA]]</f>
        <v>1738</v>
      </c>
      <c r="U4272" s="2">
        <f>MASTER[[#This Row],[CANTIDAD]]*MASTER[[#This Row],[COSTO UNITARIO]]</f>
        <v>388</v>
      </c>
      <c r="V4272" s="2">
        <f>MASTER[[#This Row],[MONTO VENDIDO]]-MASTER[[#This Row],[COSTO DE VENTA]]</f>
        <v>1350</v>
      </c>
    </row>
    <row r="4273" spans="1:22" x14ac:dyDescent="0.3">
      <c r="A4273">
        <v>63839</v>
      </c>
      <c r="B4273">
        <v>1</v>
      </c>
      <c r="C4273" t="s">
        <v>118</v>
      </c>
      <c r="D4273" t="s">
        <v>119</v>
      </c>
      <c r="E4273" s="1">
        <v>44310</v>
      </c>
      <c r="F4273">
        <v>1</v>
      </c>
      <c r="G4273" t="s">
        <v>35</v>
      </c>
      <c r="H4273" t="s">
        <v>36</v>
      </c>
      <c r="I4273" s="3">
        <v>1026</v>
      </c>
      <c r="J4273" s="3">
        <v>1026</v>
      </c>
      <c r="K4273" s="3">
        <v>424</v>
      </c>
      <c r="L4273" t="s">
        <v>120</v>
      </c>
      <c r="M4273">
        <v>13</v>
      </c>
      <c r="N4273" t="s">
        <v>78</v>
      </c>
      <c r="O4273" t="s">
        <v>70</v>
      </c>
      <c r="P4273" t="s">
        <v>18</v>
      </c>
      <c r="Q4273" t="s">
        <v>19</v>
      </c>
      <c r="R4273" t="s">
        <v>138</v>
      </c>
      <c r="S4273" t="s">
        <v>144</v>
      </c>
      <c r="T4273" s="2">
        <f>MASTER[[#This Row],[CANTIDAD]]*MASTER[[#This Row],[PRECIO DE VENTA]]</f>
        <v>1026</v>
      </c>
      <c r="U4273" s="2">
        <f>MASTER[[#This Row],[CANTIDAD]]*MASTER[[#This Row],[COSTO UNITARIO]]</f>
        <v>424</v>
      </c>
      <c r="V4273" s="2">
        <f>MASTER[[#This Row],[MONTO VENDIDO]]-MASTER[[#This Row],[COSTO DE VENTA]]</f>
        <v>602</v>
      </c>
    </row>
    <row r="4274" spans="1:22" x14ac:dyDescent="0.3">
      <c r="A4274">
        <v>63844</v>
      </c>
      <c r="B4274">
        <v>1</v>
      </c>
      <c r="C4274" t="s">
        <v>116</v>
      </c>
      <c r="D4274" t="s">
        <v>117</v>
      </c>
      <c r="E4274" s="1">
        <v>44310</v>
      </c>
      <c r="F4274">
        <v>1</v>
      </c>
      <c r="G4274" t="s">
        <v>61</v>
      </c>
      <c r="H4274" t="s">
        <v>62</v>
      </c>
      <c r="I4274" s="3">
        <v>1738</v>
      </c>
      <c r="J4274" s="3">
        <v>1738</v>
      </c>
      <c r="K4274" s="3">
        <v>388</v>
      </c>
      <c r="L4274" t="s">
        <v>113</v>
      </c>
      <c r="M4274">
        <v>4</v>
      </c>
      <c r="N4274" t="s">
        <v>82</v>
      </c>
      <c r="O4274" t="s">
        <v>81</v>
      </c>
      <c r="P4274" t="s">
        <v>71</v>
      </c>
      <c r="Q4274" t="s">
        <v>72</v>
      </c>
      <c r="R4274" t="s">
        <v>139</v>
      </c>
      <c r="S4274" t="s">
        <v>144</v>
      </c>
      <c r="T4274" s="2">
        <f>MASTER[[#This Row],[CANTIDAD]]*MASTER[[#This Row],[PRECIO DE VENTA]]</f>
        <v>1738</v>
      </c>
      <c r="U4274" s="2">
        <f>MASTER[[#This Row],[CANTIDAD]]*MASTER[[#This Row],[COSTO UNITARIO]]</f>
        <v>388</v>
      </c>
      <c r="V4274" s="2">
        <f>MASTER[[#This Row],[MONTO VENDIDO]]-MASTER[[#This Row],[COSTO DE VENTA]]</f>
        <v>1350</v>
      </c>
    </row>
    <row r="4275" spans="1:22" x14ac:dyDescent="0.3">
      <c r="A4275">
        <v>63880</v>
      </c>
      <c r="B4275">
        <v>1</v>
      </c>
      <c r="C4275" t="s">
        <v>114</v>
      </c>
      <c r="D4275" t="s">
        <v>115</v>
      </c>
      <c r="E4275" s="1">
        <v>44310</v>
      </c>
      <c r="F4275">
        <v>1</v>
      </c>
      <c r="G4275" t="s">
        <v>22</v>
      </c>
      <c r="H4275" t="s">
        <v>23</v>
      </c>
      <c r="I4275" s="3">
        <v>1862</v>
      </c>
      <c r="J4275" s="3">
        <v>1862</v>
      </c>
      <c r="K4275" s="3">
        <v>394</v>
      </c>
      <c r="L4275" t="s">
        <v>113</v>
      </c>
      <c r="M4275">
        <v>19</v>
      </c>
      <c r="N4275" t="s">
        <v>89</v>
      </c>
      <c r="O4275" t="s">
        <v>81</v>
      </c>
      <c r="P4275" t="s">
        <v>15</v>
      </c>
      <c r="Q4275" t="s">
        <v>16</v>
      </c>
      <c r="R4275" t="s">
        <v>16</v>
      </c>
      <c r="S4275" t="s">
        <v>144</v>
      </c>
      <c r="T4275" s="2">
        <f>MASTER[[#This Row],[CANTIDAD]]*MASTER[[#This Row],[PRECIO DE VENTA]]</f>
        <v>1862</v>
      </c>
      <c r="U4275" s="2">
        <f>MASTER[[#This Row],[CANTIDAD]]*MASTER[[#This Row],[COSTO UNITARIO]]</f>
        <v>394</v>
      </c>
      <c r="V4275" s="2">
        <f>MASTER[[#This Row],[MONTO VENDIDO]]-MASTER[[#This Row],[COSTO DE VENTA]]</f>
        <v>1468</v>
      </c>
    </row>
    <row r="4276" spans="1:22" x14ac:dyDescent="0.3">
      <c r="A4276">
        <v>63881</v>
      </c>
      <c r="B4276">
        <v>1</v>
      </c>
      <c r="C4276" t="s">
        <v>118</v>
      </c>
      <c r="D4276" t="s">
        <v>119</v>
      </c>
      <c r="E4276" s="1">
        <v>44311</v>
      </c>
      <c r="F4276">
        <v>3</v>
      </c>
      <c r="G4276" t="s">
        <v>73</v>
      </c>
      <c r="H4276" t="s">
        <v>74</v>
      </c>
      <c r="I4276" s="3">
        <v>1026</v>
      </c>
      <c r="J4276" s="3">
        <v>1026</v>
      </c>
      <c r="K4276" s="3">
        <v>424</v>
      </c>
      <c r="L4276" t="s">
        <v>120</v>
      </c>
      <c r="M4276">
        <v>6</v>
      </c>
      <c r="N4276" t="s">
        <v>75</v>
      </c>
      <c r="O4276" t="s">
        <v>70</v>
      </c>
      <c r="P4276" t="s">
        <v>12</v>
      </c>
      <c r="Q4276" t="s">
        <v>13</v>
      </c>
      <c r="R4276" t="s">
        <v>13</v>
      </c>
      <c r="S4276" t="s">
        <v>144</v>
      </c>
      <c r="T4276" s="2">
        <f>MASTER[[#This Row],[CANTIDAD]]*MASTER[[#This Row],[PRECIO DE VENTA]]</f>
        <v>3078</v>
      </c>
      <c r="U4276" s="2">
        <f>MASTER[[#This Row],[CANTIDAD]]*MASTER[[#This Row],[COSTO UNITARIO]]</f>
        <v>1272</v>
      </c>
      <c r="V4276" s="2">
        <f>MASTER[[#This Row],[MONTO VENDIDO]]-MASTER[[#This Row],[COSTO DE VENTA]]</f>
        <v>1806</v>
      </c>
    </row>
    <row r="4277" spans="1:22" x14ac:dyDescent="0.3">
      <c r="A4277">
        <v>63883</v>
      </c>
      <c r="B4277">
        <v>1</v>
      </c>
      <c r="C4277" t="s">
        <v>114</v>
      </c>
      <c r="D4277" t="s">
        <v>115</v>
      </c>
      <c r="E4277" s="1">
        <v>44311</v>
      </c>
      <c r="F4277">
        <v>1</v>
      </c>
      <c r="G4277" t="s">
        <v>59</v>
      </c>
      <c r="H4277" t="s">
        <v>60</v>
      </c>
      <c r="I4277" s="3">
        <v>1862</v>
      </c>
      <c r="J4277" s="3">
        <v>1750</v>
      </c>
      <c r="K4277" s="3">
        <v>394</v>
      </c>
      <c r="L4277" t="s">
        <v>113</v>
      </c>
      <c r="M4277">
        <v>8</v>
      </c>
      <c r="N4277" t="s">
        <v>80</v>
      </c>
      <c r="O4277" t="s">
        <v>81</v>
      </c>
      <c r="P4277" t="s">
        <v>12</v>
      </c>
      <c r="Q4277" t="s">
        <v>13</v>
      </c>
      <c r="R4277" t="s">
        <v>13</v>
      </c>
      <c r="S4277" t="s">
        <v>144</v>
      </c>
      <c r="T4277" s="2">
        <f>MASTER[[#This Row],[CANTIDAD]]*MASTER[[#This Row],[PRECIO DE VENTA]]</f>
        <v>1750</v>
      </c>
      <c r="U4277" s="2">
        <f>MASTER[[#This Row],[CANTIDAD]]*MASTER[[#This Row],[COSTO UNITARIO]]</f>
        <v>394</v>
      </c>
      <c r="V4277" s="2">
        <f>MASTER[[#This Row],[MONTO VENDIDO]]-MASTER[[#This Row],[COSTO DE VENTA]]</f>
        <v>1356</v>
      </c>
    </row>
    <row r="4278" spans="1:22" x14ac:dyDescent="0.3">
      <c r="A4278">
        <v>63884</v>
      </c>
      <c r="B4278">
        <v>1</v>
      </c>
      <c r="C4278" t="s">
        <v>103</v>
      </c>
      <c r="D4278" t="s">
        <v>104</v>
      </c>
      <c r="E4278" s="1">
        <v>44311</v>
      </c>
      <c r="F4278">
        <v>1</v>
      </c>
      <c r="G4278" t="s">
        <v>59</v>
      </c>
      <c r="H4278" t="s">
        <v>60</v>
      </c>
      <c r="I4278" s="3">
        <v>1591</v>
      </c>
      <c r="J4278" s="3">
        <v>1591</v>
      </c>
      <c r="K4278" s="3">
        <v>421</v>
      </c>
      <c r="L4278" t="s">
        <v>98</v>
      </c>
      <c r="M4278">
        <v>2</v>
      </c>
      <c r="N4278" t="s">
        <v>86</v>
      </c>
      <c r="O4278" t="s">
        <v>81</v>
      </c>
      <c r="P4278" t="s">
        <v>71</v>
      </c>
      <c r="Q4278" t="s">
        <v>72</v>
      </c>
      <c r="R4278" t="s">
        <v>139</v>
      </c>
      <c r="S4278" t="s">
        <v>144</v>
      </c>
      <c r="T4278" s="2">
        <f>MASTER[[#This Row],[CANTIDAD]]*MASTER[[#This Row],[PRECIO DE VENTA]]</f>
        <v>1591</v>
      </c>
      <c r="U4278" s="2">
        <f>MASTER[[#This Row],[CANTIDAD]]*MASTER[[#This Row],[COSTO UNITARIO]]</f>
        <v>421</v>
      </c>
      <c r="V4278" s="2">
        <f>MASTER[[#This Row],[MONTO VENDIDO]]-MASTER[[#This Row],[COSTO DE VENTA]]</f>
        <v>1170</v>
      </c>
    </row>
    <row r="4279" spans="1:22" x14ac:dyDescent="0.3">
      <c r="A4279">
        <v>63903</v>
      </c>
      <c r="B4279">
        <v>1</v>
      </c>
      <c r="C4279" t="s">
        <v>118</v>
      </c>
      <c r="D4279" t="s">
        <v>119</v>
      </c>
      <c r="E4279" s="1">
        <v>44311</v>
      </c>
      <c r="F4279">
        <v>1</v>
      </c>
      <c r="G4279" t="s">
        <v>31</v>
      </c>
      <c r="H4279" t="s">
        <v>32</v>
      </c>
      <c r="I4279" s="3">
        <v>900</v>
      </c>
      <c r="J4279" s="3">
        <v>900</v>
      </c>
      <c r="K4279" s="3">
        <v>424</v>
      </c>
      <c r="L4279" t="s">
        <v>120</v>
      </c>
      <c r="M4279">
        <v>19</v>
      </c>
      <c r="N4279" t="s">
        <v>89</v>
      </c>
      <c r="O4279" t="s">
        <v>81</v>
      </c>
      <c r="P4279" t="s">
        <v>15</v>
      </c>
      <c r="Q4279" t="s">
        <v>16</v>
      </c>
      <c r="R4279" t="s">
        <v>16</v>
      </c>
      <c r="S4279" t="s">
        <v>144</v>
      </c>
      <c r="T4279" s="2">
        <f>MASTER[[#This Row],[CANTIDAD]]*MASTER[[#This Row],[PRECIO DE VENTA]]</f>
        <v>900</v>
      </c>
      <c r="U4279" s="2">
        <f>MASTER[[#This Row],[CANTIDAD]]*MASTER[[#This Row],[COSTO UNITARIO]]</f>
        <v>424</v>
      </c>
      <c r="V4279" s="2">
        <f>MASTER[[#This Row],[MONTO VENDIDO]]-MASTER[[#This Row],[COSTO DE VENTA]]</f>
        <v>476</v>
      </c>
    </row>
    <row r="4280" spans="1:22" x14ac:dyDescent="0.3">
      <c r="A4280">
        <v>63906</v>
      </c>
      <c r="B4280">
        <v>1</v>
      </c>
      <c r="C4280" t="s">
        <v>92</v>
      </c>
      <c r="D4280" t="s">
        <v>93</v>
      </c>
      <c r="E4280" s="1">
        <v>44311</v>
      </c>
      <c r="F4280">
        <v>1</v>
      </c>
      <c r="G4280" t="s">
        <v>39</v>
      </c>
      <c r="H4280" t="s">
        <v>40</v>
      </c>
      <c r="I4280" s="3">
        <v>1681</v>
      </c>
      <c r="J4280" s="3">
        <v>1681</v>
      </c>
      <c r="K4280" s="3">
        <v>396</v>
      </c>
      <c r="L4280" t="s">
        <v>9</v>
      </c>
      <c r="M4280">
        <v>14</v>
      </c>
      <c r="N4280" t="s">
        <v>87</v>
      </c>
      <c r="O4280" t="s">
        <v>81</v>
      </c>
      <c r="P4280" t="s">
        <v>18</v>
      </c>
      <c r="Q4280" t="s">
        <v>19</v>
      </c>
      <c r="R4280" t="s">
        <v>138</v>
      </c>
      <c r="S4280" t="s">
        <v>144</v>
      </c>
      <c r="T4280" s="2">
        <f>MASTER[[#This Row],[CANTIDAD]]*MASTER[[#This Row],[PRECIO DE VENTA]]</f>
        <v>1681</v>
      </c>
      <c r="U4280" s="2">
        <f>MASTER[[#This Row],[CANTIDAD]]*MASTER[[#This Row],[COSTO UNITARIO]]</f>
        <v>396</v>
      </c>
      <c r="V4280" s="2">
        <f>MASTER[[#This Row],[MONTO VENDIDO]]-MASTER[[#This Row],[COSTO DE VENTA]]</f>
        <v>1285</v>
      </c>
    </row>
    <row r="4281" spans="1:22" x14ac:dyDescent="0.3">
      <c r="A4281">
        <v>63917</v>
      </c>
      <c r="B4281">
        <v>1</v>
      </c>
      <c r="C4281" t="s">
        <v>105</v>
      </c>
      <c r="D4281" t="s">
        <v>106</v>
      </c>
      <c r="E4281" s="1">
        <v>44312</v>
      </c>
      <c r="F4281">
        <v>1</v>
      </c>
      <c r="G4281" t="s">
        <v>7</v>
      </c>
      <c r="H4281" t="s">
        <v>8</v>
      </c>
      <c r="I4281" s="3">
        <v>2033</v>
      </c>
      <c r="J4281" s="3">
        <v>2033</v>
      </c>
      <c r="K4281" s="3">
        <v>459</v>
      </c>
      <c r="L4281" t="s">
        <v>98</v>
      </c>
      <c r="M4281">
        <v>6</v>
      </c>
      <c r="N4281" t="s">
        <v>75</v>
      </c>
      <c r="O4281" t="s">
        <v>70</v>
      </c>
      <c r="P4281" t="s">
        <v>12</v>
      </c>
      <c r="Q4281" t="s">
        <v>13</v>
      </c>
      <c r="R4281" t="s">
        <v>13</v>
      </c>
      <c r="S4281" t="s">
        <v>144</v>
      </c>
      <c r="T4281" s="2">
        <f>MASTER[[#This Row],[CANTIDAD]]*MASTER[[#This Row],[PRECIO DE VENTA]]</f>
        <v>2033</v>
      </c>
      <c r="U4281" s="2">
        <f>MASTER[[#This Row],[CANTIDAD]]*MASTER[[#This Row],[COSTO UNITARIO]]</f>
        <v>459</v>
      </c>
      <c r="V4281" s="2">
        <f>MASTER[[#This Row],[MONTO VENDIDO]]-MASTER[[#This Row],[COSTO DE VENTA]]</f>
        <v>1574</v>
      </c>
    </row>
    <row r="4282" spans="1:22" x14ac:dyDescent="0.3">
      <c r="A4282">
        <v>63918</v>
      </c>
      <c r="B4282">
        <v>1</v>
      </c>
      <c r="C4282" t="s">
        <v>92</v>
      </c>
      <c r="D4282" t="s">
        <v>93</v>
      </c>
      <c r="E4282" s="1">
        <v>44312</v>
      </c>
      <c r="F4282">
        <v>1</v>
      </c>
      <c r="G4282" t="s">
        <v>22</v>
      </c>
      <c r="H4282" t="s">
        <v>23</v>
      </c>
      <c r="I4282" s="3">
        <v>1866</v>
      </c>
      <c r="J4282" s="3">
        <v>1791</v>
      </c>
      <c r="K4282" s="3">
        <v>396</v>
      </c>
      <c r="L4282" t="s">
        <v>9</v>
      </c>
      <c r="M4282">
        <v>1</v>
      </c>
      <c r="N4282" t="s">
        <v>77</v>
      </c>
      <c r="O4282" t="s">
        <v>70</v>
      </c>
      <c r="P4282" t="s">
        <v>71</v>
      </c>
      <c r="Q4282" t="s">
        <v>72</v>
      </c>
      <c r="R4282" t="s">
        <v>139</v>
      </c>
      <c r="S4282" t="s">
        <v>144</v>
      </c>
      <c r="T4282" s="2">
        <f>MASTER[[#This Row],[CANTIDAD]]*MASTER[[#This Row],[PRECIO DE VENTA]]</f>
        <v>1791</v>
      </c>
      <c r="U4282" s="2">
        <f>MASTER[[#This Row],[CANTIDAD]]*MASTER[[#This Row],[COSTO UNITARIO]]</f>
        <v>396</v>
      </c>
      <c r="V4282" s="2">
        <f>MASTER[[#This Row],[MONTO VENDIDO]]-MASTER[[#This Row],[COSTO DE VENTA]]</f>
        <v>1395</v>
      </c>
    </row>
    <row r="4283" spans="1:22" x14ac:dyDescent="0.3">
      <c r="A4283">
        <v>63921</v>
      </c>
      <c r="B4283">
        <v>1</v>
      </c>
      <c r="C4283" t="s">
        <v>118</v>
      </c>
      <c r="D4283" t="s">
        <v>119</v>
      </c>
      <c r="E4283" s="1">
        <v>44312</v>
      </c>
      <c r="F4283">
        <v>1</v>
      </c>
      <c r="G4283" t="s">
        <v>73</v>
      </c>
      <c r="H4283" t="s">
        <v>74</v>
      </c>
      <c r="I4283" s="3">
        <v>1026</v>
      </c>
      <c r="J4283" s="3">
        <v>1026</v>
      </c>
      <c r="K4283" s="3">
        <v>424</v>
      </c>
      <c r="L4283" t="s">
        <v>120</v>
      </c>
      <c r="M4283">
        <v>1</v>
      </c>
      <c r="N4283" t="s">
        <v>77</v>
      </c>
      <c r="O4283" t="s">
        <v>70</v>
      </c>
      <c r="P4283" t="s">
        <v>71</v>
      </c>
      <c r="Q4283" t="s">
        <v>72</v>
      </c>
      <c r="R4283" t="s">
        <v>139</v>
      </c>
      <c r="S4283" t="s">
        <v>144</v>
      </c>
      <c r="T4283" s="2">
        <f>MASTER[[#This Row],[CANTIDAD]]*MASTER[[#This Row],[PRECIO DE VENTA]]</f>
        <v>1026</v>
      </c>
      <c r="U4283" s="2">
        <f>MASTER[[#This Row],[CANTIDAD]]*MASTER[[#This Row],[COSTO UNITARIO]]</f>
        <v>424</v>
      </c>
      <c r="V4283" s="2">
        <f>MASTER[[#This Row],[MONTO VENDIDO]]-MASTER[[#This Row],[COSTO DE VENTA]]</f>
        <v>602</v>
      </c>
    </row>
    <row r="4284" spans="1:22" x14ac:dyDescent="0.3">
      <c r="A4284">
        <v>63924</v>
      </c>
      <c r="B4284">
        <v>1</v>
      </c>
      <c r="C4284" t="s">
        <v>99</v>
      </c>
      <c r="D4284" t="s">
        <v>100</v>
      </c>
      <c r="E4284" s="1">
        <v>44312</v>
      </c>
      <c r="F4284">
        <v>1</v>
      </c>
      <c r="G4284" t="s">
        <v>20</v>
      </c>
      <c r="H4284" t="s">
        <v>21</v>
      </c>
      <c r="I4284" s="3">
        <v>1328</v>
      </c>
      <c r="J4284" s="3">
        <v>1328</v>
      </c>
      <c r="K4284" s="3">
        <v>386</v>
      </c>
      <c r="L4284" t="s">
        <v>98</v>
      </c>
      <c r="M4284">
        <v>11</v>
      </c>
      <c r="N4284" t="s">
        <v>10</v>
      </c>
      <c r="O4284" t="s">
        <v>11</v>
      </c>
      <c r="P4284" t="s">
        <v>12</v>
      </c>
      <c r="Q4284" t="s">
        <v>13</v>
      </c>
      <c r="R4284" t="s">
        <v>13</v>
      </c>
      <c r="S4284" t="s">
        <v>144</v>
      </c>
      <c r="T4284" s="2">
        <f>MASTER[[#This Row],[CANTIDAD]]*MASTER[[#This Row],[PRECIO DE VENTA]]</f>
        <v>1328</v>
      </c>
      <c r="U4284" s="2">
        <f>MASTER[[#This Row],[CANTIDAD]]*MASTER[[#This Row],[COSTO UNITARIO]]</f>
        <v>386</v>
      </c>
      <c r="V4284" s="2">
        <f>MASTER[[#This Row],[MONTO VENDIDO]]-MASTER[[#This Row],[COSTO DE VENTA]]</f>
        <v>942</v>
      </c>
    </row>
    <row r="4285" spans="1:22" x14ac:dyDescent="0.3">
      <c r="A4285">
        <v>63939</v>
      </c>
      <c r="B4285">
        <v>1</v>
      </c>
      <c r="C4285" t="s">
        <v>118</v>
      </c>
      <c r="D4285" t="s">
        <v>119</v>
      </c>
      <c r="E4285" s="1">
        <v>44312</v>
      </c>
      <c r="F4285">
        <v>1</v>
      </c>
      <c r="G4285" t="s">
        <v>7</v>
      </c>
      <c r="H4285" t="s">
        <v>8</v>
      </c>
      <c r="I4285" s="3">
        <v>900</v>
      </c>
      <c r="J4285" s="3">
        <v>900</v>
      </c>
      <c r="K4285" s="3">
        <v>424</v>
      </c>
      <c r="L4285" t="s">
        <v>120</v>
      </c>
      <c r="M4285">
        <v>5</v>
      </c>
      <c r="N4285" t="s">
        <v>85</v>
      </c>
      <c r="O4285" t="s">
        <v>81</v>
      </c>
      <c r="P4285" t="s">
        <v>12</v>
      </c>
      <c r="Q4285" t="s">
        <v>13</v>
      </c>
      <c r="R4285" t="s">
        <v>13</v>
      </c>
      <c r="S4285" t="s">
        <v>144</v>
      </c>
      <c r="T4285" s="2">
        <f>MASTER[[#This Row],[CANTIDAD]]*MASTER[[#This Row],[PRECIO DE VENTA]]</f>
        <v>900</v>
      </c>
      <c r="U4285" s="2">
        <f>MASTER[[#This Row],[CANTIDAD]]*MASTER[[#This Row],[COSTO UNITARIO]]</f>
        <v>424</v>
      </c>
      <c r="V4285" s="2">
        <f>MASTER[[#This Row],[MONTO VENDIDO]]-MASTER[[#This Row],[COSTO DE VENTA]]</f>
        <v>476</v>
      </c>
    </row>
    <row r="4286" spans="1:22" x14ac:dyDescent="0.3">
      <c r="A4286">
        <v>63950</v>
      </c>
      <c r="B4286">
        <v>1</v>
      </c>
      <c r="C4286" t="s">
        <v>103</v>
      </c>
      <c r="D4286" t="s">
        <v>104</v>
      </c>
      <c r="E4286" s="1">
        <v>44312</v>
      </c>
      <c r="F4286">
        <v>1</v>
      </c>
      <c r="G4286" t="s">
        <v>43</v>
      </c>
      <c r="H4286" t="s">
        <v>44</v>
      </c>
      <c r="I4286" s="3">
        <v>1448</v>
      </c>
      <c r="J4286" s="3">
        <v>1448</v>
      </c>
      <c r="K4286" s="3">
        <v>421</v>
      </c>
      <c r="L4286" t="s">
        <v>98</v>
      </c>
      <c r="M4286">
        <v>17</v>
      </c>
      <c r="N4286" t="s">
        <v>14</v>
      </c>
      <c r="O4286" t="s">
        <v>11</v>
      </c>
      <c r="P4286" t="s">
        <v>15</v>
      </c>
      <c r="Q4286" t="s">
        <v>16</v>
      </c>
      <c r="R4286" t="s">
        <v>16</v>
      </c>
      <c r="S4286" t="s">
        <v>144</v>
      </c>
      <c r="T4286" s="2">
        <f>MASTER[[#This Row],[CANTIDAD]]*MASTER[[#This Row],[PRECIO DE VENTA]]</f>
        <v>1448</v>
      </c>
      <c r="U4286" s="2">
        <f>MASTER[[#This Row],[CANTIDAD]]*MASTER[[#This Row],[COSTO UNITARIO]]</f>
        <v>421</v>
      </c>
      <c r="V4286" s="2">
        <f>MASTER[[#This Row],[MONTO VENDIDO]]-MASTER[[#This Row],[COSTO DE VENTA]]</f>
        <v>1027</v>
      </c>
    </row>
    <row r="4287" spans="1:22" x14ac:dyDescent="0.3">
      <c r="A4287">
        <v>63963</v>
      </c>
      <c r="B4287">
        <v>1</v>
      </c>
      <c r="C4287" t="s">
        <v>92</v>
      </c>
      <c r="D4287" t="s">
        <v>93</v>
      </c>
      <c r="E4287" s="1">
        <v>44312</v>
      </c>
      <c r="F4287">
        <v>1</v>
      </c>
      <c r="G4287" t="s">
        <v>39</v>
      </c>
      <c r="H4287" t="s">
        <v>40</v>
      </c>
      <c r="I4287" s="3">
        <v>1681</v>
      </c>
      <c r="J4287" s="3">
        <v>1512</v>
      </c>
      <c r="K4287" s="3">
        <v>396</v>
      </c>
      <c r="L4287" t="s">
        <v>9</v>
      </c>
      <c r="M4287">
        <v>4</v>
      </c>
      <c r="N4287" t="s">
        <v>82</v>
      </c>
      <c r="O4287" t="s">
        <v>81</v>
      </c>
      <c r="P4287" t="s">
        <v>71</v>
      </c>
      <c r="Q4287" t="s">
        <v>72</v>
      </c>
      <c r="R4287" t="s">
        <v>139</v>
      </c>
      <c r="S4287" t="s">
        <v>144</v>
      </c>
      <c r="T4287" s="2">
        <f>MASTER[[#This Row],[CANTIDAD]]*MASTER[[#This Row],[PRECIO DE VENTA]]</f>
        <v>1512</v>
      </c>
      <c r="U4287" s="2">
        <f>MASTER[[#This Row],[CANTIDAD]]*MASTER[[#This Row],[COSTO UNITARIO]]</f>
        <v>396</v>
      </c>
      <c r="V4287" s="2">
        <f>MASTER[[#This Row],[MONTO VENDIDO]]-MASTER[[#This Row],[COSTO DE VENTA]]</f>
        <v>1116</v>
      </c>
    </row>
    <row r="4288" spans="1:22" x14ac:dyDescent="0.3">
      <c r="A4288">
        <v>63991</v>
      </c>
      <c r="B4288">
        <v>1</v>
      </c>
      <c r="C4288" t="s">
        <v>114</v>
      </c>
      <c r="D4288" t="s">
        <v>115</v>
      </c>
      <c r="E4288" s="1">
        <v>44312</v>
      </c>
      <c r="F4288">
        <v>1</v>
      </c>
      <c r="G4288" t="s">
        <v>55</v>
      </c>
      <c r="H4288" t="s">
        <v>56</v>
      </c>
      <c r="I4288" s="3">
        <v>2030</v>
      </c>
      <c r="J4288" s="3">
        <v>1928</v>
      </c>
      <c r="K4288" s="3">
        <v>394</v>
      </c>
      <c r="L4288" t="s">
        <v>113</v>
      </c>
      <c r="M4288">
        <v>18</v>
      </c>
      <c r="N4288" t="s">
        <v>79</v>
      </c>
      <c r="O4288" t="s">
        <v>70</v>
      </c>
      <c r="P4288" t="s">
        <v>15</v>
      </c>
      <c r="Q4288" t="s">
        <v>16</v>
      </c>
      <c r="R4288" t="s">
        <v>16</v>
      </c>
      <c r="S4288" t="s">
        <v>144</v>
      </c>
      <c r="T4288" s="2">
        <f>MASTER[[#This Row],[CANTIDAD]]*MASTER[[#This Row],[PRECIO DE VENTA]]</f>
        <v>1928</v>
      </c>
      <c r="U4288" s="2">
        <f>MASTER[[#This Row],[CANTIDAD]]*MASTER[[#This Row],[COSTO UNITARIO]]</f>
        <v>394</v>
      </c>
      <c r="V4288" s="2">
        <f>MASTER[[#This Row],[MONTO VENDIDO]]-MASTER[[#This Row],[COSTO DE VENTA]]</f>
        <v>1534</v>
      </c>
    </row>
    <row r="4289" spans="1:22" x14ac:dyDescent="0.3">
      <c r="A4289">
        <v>63992</v>
      </c>
      <c r="B4289">
        <v>1</v>
      </c>
      <c r="C4289" t="s">
        <v>121</v>
      </c>
      <c r="D4289" t="s">
        <v>122</v>
      </c>
      <c r="E4289" s="1">
        <v>44312</v>
      </c>
      <c r="F4289">
        <v>1</v>
      </c>
      <c r="G4289" t="s">
        <v>55</v>
      </c>
      <c r="H4289" t="s">
        <v>56</v>
      </c>
      <c r="I4289" s="3">
        <v>1069</v>
      </c>
      <c r="J4289" s="3">
        <v>1069</v>
      </c>
      <c r="K4289" s="3">
        <v>460</v>
      </c>
      <c r="L4289" t="s">
        <v>120</v>
      </c>
      <c r="M4289">
        <v>8</v>
      </c>
      <c r="N4289" t="s">
        <v>80</v>
      </c>
      <c r="O4289" t="s">
        <v>81</v>
      </c>
      <c r="P4289" t="s">
        <v>12</v>
      </c>
      <c r="Q4289" t="s">
        <v>13</v>
      </c>
      <c r="R4289" t="s">
        <v>13</v>
      </c>
      <c r="S4289" t="s">
        <v>144</v>
      </c>
      <c r="T4289" s="2">
        <f>MASTER[[#This Row],[CANTIDAD]]*MASTER[[#This Row],[PRECIO DE VENTA]]</f>
        <v>1069</v>
      </c>
      <c r="U4289" s="2">
        <f>MASTER[[#This Row],[CANTIDAD]]*MASTER[[#This Row],[COSTO UNITARIO]]</f>
        <v>460</v>
      </c>
      <c r="V4289" s="2">
        <f>MASTER[[#This Row],[MONTO VENDIDO]]-MASTER[[#This Row],[COSTO DE VENTA]]</f>
        <v>609</v>
      </c>
    </row>
    <row r="4290" spans="1:22" x14ac:dyDescent="0.3">
      <c r="A4290">
        <v>64000</v>
      </c>
      <c r="B4290">
        <v>1</v>
      </c>
      <c r="C4290" t="s">
        <v>105</v>
      </c>
      <c r="D4290" t="s">
        <v>106</v>
      </c>
      <c r="E4290" s="1">
        <v>44312</v>
      </c>
      <c r="F4290">
        <v>1</v>
      </c>
      <c r="G4290" t="s">
        <v>49</v>
      </c>
      <c r="H4290" t="s">
        <v>50</v>
      </c>
      <c r="I4290" s="3">
        <v>2033</v>
      </c>
      <c r="J4290" s="3">
        <v>1829</v>
      </c>
      <c r="K4290" s="3">
        <v>459</v>
      </c>
      <c r="L4290" t="s">
        <v>98</v>
      </c>
      <c r="M4290">
        <v>1</v>
      </c>
      <c r="N4290" t="s">
        <v>77</v>
      </c>
      <c r="O4290" t="s">
        <v>70</v>
      </c>
      <c r="P4290" t="s">
        <v>71</v>
      </c>
      <c r="Q4290" t="s">
        <v>72</v>
      </c>
      <c r="R4290" t="s">
        <v>139</v>
      </c>
      <c r="S4290" t="s">
        <v>144</v>
      </c>
      <c r="T4290" s="2">
        <f>MASTER[[#This Row],[CANTIDAD]]*MASTER[[#This Row],[PRECIO DE VENTA]]</f>
        <v>1829</v>
      </c>
      <c r="U4290" s="2">
        <f>MASTER[[#This Row],[CANTIDAD]]*MASTER[[#This Row],[COSTO UNITARIO]]</f>
        <v>459</v>
      </c>
      <c r="V4290" s="2">
        <f>MASTER[[#This Row],[MONTO VENDIDO]]-MASTER[[#This Row],[COSTO DE VENTA]]</f>
        <v>1370</v>
      </c>
    </row>
    <row r="4291" spans="1:22" x14ac:dyDescent="0.3">
      <c r="A4291">
        <v>64017</v>
      </c>
      <c r="B4291">
        <v>1</v>
      </c>
      <c r="C4291" t="s">
        <v>109</v>
      </c>
      <c r="D4291" t="s">
        <v>110</v>
      </c>
      <c r="E4291" s="1">
        <v>44312</v>
      </c>
      <c r="F4291">
        <v>1</v>
      </c>
      <c r="G4291" t="s">
        <v>49</v>
      </c>
      <c r="H4291" t="s">
        <v>50</v>
      </c>
      <c r="I4291" s="3">
        <v>1064</v>
      </c>
      <c r="J4291" s="3">
        <v>1064</v>
      </c>
      <c r="K4291" s="3">
        <v>387</v>
      </c>
      <c r="L4291" t="s">
        <v>98</v>
      </c>
      <c r="M4291">
        <v>10</v>
      </c>
      <c r="N4291" t="s">
        <v>83</v>
      </c>
      <c r="O4291" t="s">
        <v>81</v>
      </c>
      <c r="P4291" t="s">
        <v>12</v>
      </c>
      <c r="Q4291" t="s">
        <v>13</v>
      </c>
      <c r="R4291" t="s">
        <v>13</v>
      </c>
      <c r="S4291" t="s">
        <v>144</v>
      </c>
      <c r="T4291" s="2">
        <f>MASTER[[#This Row],[CANTIDAD]]*MASTER[[#This Row],[PRECIO DE VENTA]]</f>
        <v>1064</v>
      </c>
      <c r="U4291" s="2">
        <f>MASTER[[#This Row],[CANTIDAD]]*MASTER[[#This Row],[COSTO UNITARIO]]</f>
        <v>387</v>
      </c>
      <c r="V4291" s="2">
        <f>MASTER[[#This Row],[MONTO VENDIDO]]-MASTER[[#This Row],[COSTO DE VENTA]]</f>
        <v>677</v>
      </c>
    </row>
    <row r="4292" spans="1:22" x14ac:dyDescent="0.3">
      <c r="A4292">
        <v>64026</v>
      </c>
      <c r="B4292">
        <v>1</v>
      </c>
      <c r="C4292" t="s">
        <v>99</v>
      </c>
      <c r="D4292" t="s">
        <v>100</v>
      </c>
      <c r="E4292" s="1">
        <v>44312</v>
      </c>
      <c r="F4292">
        <v>1</v>
      </c>
      <c r="G4292" t="s">
        <v>33</v>
      </c>
      <c r="H4292" t="s">
        <v>34</v>
      </c>
      <c r="I4292" s="3">
        <v>1459</v>
      </c>
      <c r="J4292" s="3">
        <v>1459</v>
      </c>
      <c r="K4292" s="3">
        <v>386</v>
      </c>
      <c r="L4292" t="s">
        <v>98</v>
      </c>
      <c r="M4292">
        <v>14</v>
      </c>
      <c r="N4292" t="s">
        <v>87</v>
      </c>
      <c r="O4292" t="s">
        <v>81</v>
      </c>
      <c r="P4292" t="s">
        <v>18</v>
      </c>
      <c r="Q4292" t="s">
        <v>19</v>
      </c>
      <c r="R4292" t="s">
        <v>138</v>
      </c>
      <c r="S4292" t="s">
        <v>144</v>
      </c>
      <c r="T4292" s="2">
        <f>MASTER[[#This Row],[CANTIDAD]]*MASTER[[#This Row],[PRECIO DE VENTA]]</f>
        <v>1459</v>
      </c>
      <c r="U4292" s="2">
        <f>MASTER[[#This Row],[CANTIDAD]]*MASTER[[#This Row],[COSTO UNITARIO]]</f>
        <v>386</v>
      </c>
      <c r="V4292" s="2">
        <f>MASTER[[#This Row],[MONTO VENDIDO]]-MASTER[[#This Row],[COSTO DE VENTA]]</f>
        <v>1073</v>
      </c>
    </row>
    <row r="4293" spans="1:22" x14ac:dyDescent="0.3">
      <c r="A4293">
        <v>64027</v>
      </c>
      <c r="B4293">
        <v>1</v>
      </c>
      <c r="C4293" t="s">
        <v>103</v>
      </c>
      <c r="D4293" t="s">
        <v>104</v>
      </c>
      <c r="E4293" s="1">
        <v>44312</v>
      </c>
      <c r="F4293">
        <v>2</v>
      </c>
      <c r="G4293" t="s">
        <v>33</v>
      </c>
      <c r="H4293" t="s">
        <v>34</v>
      </c>
      <c r="I4293" s="3">
        <v>1591</v>
      </c>
      <c r="J4293" s="3">
        <v>1591</v>
      </c>
      <c r="K4293" s="3">
        <v>421</v>
      </c>
      <c r="L4293" t="s">
        <v>98</v>
      </c>
      <c r="M4293">
        <v>7</v>
      </c>
      <c r="N4293" t="s">
        <v>84</v>
      </c>
      <c r="O4293" t="s">
        <v>81</v>
      </c>
      <c r="P4293" t="s">
        <v>12</v>
      </c>
      <c r="Q4293" t="s">
        <v>13</v>
      </c>
      <c r="R4293" t="s">
        <v>13</v>
      </c>
      <c r="S4293" t="s">
        <v>144</v>
      </c>
      <c r="T4293" s="2">
        <f>MASTER[[#This Row],[CANTIDAD]]*MASTER[[#This Row],[PRECIO DE VENTA]]</f>
        <v>3182</v>
      </c>
      <c r="U4293" s="2">
        <f>MASTER[[#This Row],[CANTIDAD]]*MASTER[[#This Row],[COSTO UNITARIO]]</f>
        <v>842</v>
      </c>
      <c r="V4293" s="2">
        <f>MASTER[[#This Row],[MONTO VENDIDO]]-MASTER[[#This Row],[COSTO DE VENTA]]</f>
        <v>2340</v>
      </c>
    </row>
    <row r="4294" spans="1:22" x14ac:dyDescent="0.3">
      <c r="A4294">
        <v>64030</v>
      </c>
      <c r="B4294">
        <v>1</v>
      </c>
      <c r="C4294" t="s">
        <v>92</v>
      </c>
      <c r="D4294" t="s">
        <v>93</v>
      </c>
      <c r="E4294" s="1">
        <v>44312</v>
      </c>
      <c r="F4294">
        <v>1</v>
      </c>
      <c r="G4294" t="s">
        <v>29</v>
      </c>
      <c r="H4294" t="s">
        <v>30</v>
      </c>
      <c r="I4294" s="3">
        <v>1681</v>
      </c>
      <c r="J4294" s="3">
        <v>1681</v>
      </c>
      <c r="K4294" s="3">
        <v>396</v>
      </c>
      <c r="L4294" t="s">
        <v>9</v>
      </c>
      <c r="M4294">
        <v>15</v>
      </c>
      <c r="N4294" t="s">
        <v>88</v>
      </c>
      <c r="O4294" t="s">
        <v>81</v>
      </c>
      <c r="P4294" t="s">
        <v>18</v>
      </c>
      <c r="Q4294" t="s">
        <v>19</v>
      </c>
      <c r="R4294" t="s">
        <v>138</v>
      </c>
      <c r="S4294" t="s">
        <v>144</v>
      </c>
      <c r="T4294" s="2">
        <f>MASTER[[#This Row],[CANTIDAD]]*MASTER[[#This Row],[PRECIO DE VENTA]]</f>
        <v>1681</v>
      </c>
      <c r="U4294" s="2">
        <f>MASTER[[#This Row],[CANTIDAD]]*MASTER[[#This Row],[COSTO UNITARIO]]</f>
        <v>396</v>
      </c>
      <c r="V4294" s="2">
        <f>MASTER[[#This Row],[MONTO VENDIDO]]-MASTER[[#This Row],[COSTO DE VENTA]]</f>
        <v>1285</v>
      </c>
    </row>
    <row r="4295" spans="1:22" x14ac:dyDescent="0.3">
      <c r="A4295">
        <v>64041</v>
      </c>
      <c r="B4295">
        <v>1</v>
      </c>
      <c r="C4295" t="s">
        <v>99</v>
      </c>
      <c r="D4295" t="s">
        <v>100</v>
      </c>
      <c r="E4295" s="1">
        <v>44312</v>
      </c>
      <c r="F4295">
        <v>1</v>
      </c>
      <c r="G4295" t="s">
        <v>57</v>
      </c>
      <c r="H4295" t="s">
        <v>58</v>
      </c>
      <c r="I4295" s="3">
        <v>1459</v>
      </c>
      <c r="J4295" s="3">
        <v>1459</v>
      </c>
      <c r="K4295" s="3">
        <v>386</v>
      </c>
      <c r="L4295" t="s">
        <v>98</v>
      </c>
      <c r="M4295">
        <v>8</v>
      </c>
      <c r="N4295" t="s">
        <v>80</v>
      </c>
      <c r="O4295" t="s">
        <v>81</v>
      </c>
      <c r="P4295" t="s">
        <v>12</v>
      </c>
      <c r="Q4295" t="s">
        <v>13</v>
      </c>
      <c r="R4295" t="s">
        <v>13</v>
      </c>
      <c r="S4295" t="s">
        <v>144</v>
      </c>
      <c r="T4295" s="2">
        <f>MASTER[[#This Row],[CANTIDAD]]*MASTER[[#This Row],[PRECIO DE VENTA]]</f>
        <v>1459</v>
      </c>
      <c r="U4295" s="2">
        <f>MASTER[[#This Row],[CANTIDAD]]*MASTER[[#This Row],[COSTO UNITARIO]]</f>
        <v>386</v>
      </c>
      <c r="V4295" s="2">
        <f>MASTER[[#This Row],[MONTO VENDIDO]]-MASTER[[#This Row],[COSTO DE VENTA]]</f>
        <v>1073</v>
      </c>
    </row>
    <row r="4296" spans="1:22" x14ac:dyDescent="0.3">
      <c r="A4296">
        <v>64069</v>
      </c>
      <c r="B4296">
        <v>1</v>
      </c>
      <c r="C4296" t="s">
        <v>96</v>
      </c>
      <c r="D4296" t="s">
        <v>97</v>
      </c>
      <c r="E4296" s="1">
        <v>44313</v>
      </c>
      <c r="F4296">
        <v>1</v>
      </c>
      <c r="G4296" t="s">
        <v>27</v>
      </c>
      <c r="H4296" t="s">
        <v>28</v>
      </c>
      <c r="I4296" s="3">
        <v>1196</v>
      </c>
      <c r="J4296" s="3">
        <v>1196</v>
      </c>
      <c r="K4296" s="3">
        <v>397</v>
      </c>
      <c r="L4296" t="s">
        <v>98</v>
      </c>
      <c r="M4296">
        <v>12</v>
      </c>
      <c r="N4296" t="s">
        <v>26</v>
      </c>
      <c r="O4296" t="s">
        <v>11</v>
      </c>
      <c r="P4296" t="s">
        <v>12</v>
      </c>
      <c r="Q4296" t="s">
        <v>13</v>
      </c>
      <c r="R4296" t="s">
        <v>13</v>
      </c>
      <c r="S4296" t="s">
        <v>144</v>
      </c>
      <c r="T4296" s="2">
        <f>MASTER[[#This Row],[CANTIDAD]]*MASTER[[#This Row],[PRECIO DE VENTA]]</f>
        <v>1196</v>
      </c>
      <c r="U4296" s="2">
        <f>MASTER[[#This Row],[CANTIDAD]]*MASTER[[#This Row],[COSTO UNITARIO]]</f>
        <v>397</v>
      </c>
      <c r="V4296" s="2">
        <f>MASTER[[#This Row],[MONTO VENDIDO]]-MASTER[[#This Row],[COSTO DE VENTA]]</f>
        <v>799</v>
      </c>
    </row>
    <row r="4297" spans="1:22" x14ac:dyDescent="0.3">
      <c r="A4297">
        <v>64083</v>
      </c>
      <c r="B4297">
        <v>1</v>
      </c>
      <c r="C4297" t="s">
        <v>114</v>
      </c>
      <c r="D4297" t="s">
        <v>115</v>
      </c>
      <c r="E4297" s="1">
        <v>44313</v>
      </c>
      <c r="F4297">
        <v>1</v>
      </c>
      <c r="G4297" t="s">
        <v>24</v>
      </c>
      <c r="H4297" t="s">
        <v>25</v>
      </c>
      <c r="I4297" s="3">
        <v>1862</v>
      </c>
      <c r="J4297" s="3">
        <v>1862</v>
      </c>
      <c r="K4297" s="3">
        <v>394</v>
      </c>
      <c r="L4297" t="s">
        <v>113</v>
      </c>
      <c r="M4297">
        <v>7</v>
      </c>
      <c r="N4297" t="s">
        <v>84</v>
      </c>
      <c r="O4297" t="s">
        <v>81</v>
      </c>
      <c r="P4297" t="s">
        <v>12</v>
      </c>
      <c r="Q4297" t="s">
        <v>13</v>
      </c>
      <c r="R4297" t="s">
        <v>13</v>
      </c>
      <c r="S4297" t="s">
        <v>144</v>
      </c>
      <c r="T4297" s="2">
        <f>MASTER[[#This Row],[CANTIDAD]]*MASTER[[#This Row],[PRECIO DE VENTA]]</f>
        <v>1862</v>
      </c>
      <c r="U4297" s="2">
        <f>MASTER[[#This Row],[CANTIDAD]]*MASTER[[#This Row],[COSTO UNITARIO]]</f>
        <v>394</v>
      </c>
      <c r="V4297" s="2">
        <f>MASTER[[#This Row],[MONTO VENDIDO]]-MASTER[[#This Row],[COSTO DE VENTA]]</f>
        <v>1468</v>
      </c>
    </row>
    <row r="4298" spans="1:22" x14ac:dyDescent="0.3">
      <c r="A4298">
        <v>64084</v>
      </c>
      <c r="B4298">
        <v>1</v>
      </c>
      <c r="C4298" t="s">
        <v>118</v>
      </c>
      <c r="D4298" t="s">
        <v>119</v>
      </c>
      <c r="E4298" s="1">
        <v>44313</v>
      </c>
      <c r="F4298">
        <v>1</v>
      </c>
      <c r="G4298" t="s">
        <v>33</v>
      </c>
      <c r="H4298" t="s">
        <v>34</v>
      </c>
      <c r="I4298" s="3">
        <v>900</v>
      </c>
      <c r="J4298" s="3">
        <v>900</v>
      </c>
      <c r="K4298" s="3">
        <v>424</v>
      </c>
      <c r="L4298" t="s">
        <v>120</v>
      </c>
      <c r="M4298">
        <v>15</v>
      </c>
      <c r="N4298" t="s">
        <v>88</v>
      </c>
      <c r="O4298" t="s">
        <v>81</v>
      </c>
      <c r="P4298" t="s">
        <v>18</v>
      </c>
      <c r="Q4298" t="s">
        <v>19</v>
      </c>
      <c r="R4298" t="s">
        <v>138</v>
      </c>
      <c r="S4298" t="s">
        <v>144</v>
      </c>
      <c r="T4298" s="2">
        <f>MASTER[[#This Row],[CANTIDAD]]*MASTER[[#This Row],[PRECIO DE VENTA]]</f>
        <v>900</v>
      </c>
      <c r="U4298" s="2">
        <f>MASTER[[#This Row],[CANTIDAD]]*MASTER[[#This Row],[COSTO UNITARIO]]</f>
        <v>424</v>
      </c>
      <c r="V4298" s="2">
        <f>MASTER[[#This Row],[MONTO VENDIDO]]-MASTER[[#This Row],[COSTO DE VENTA]]</f>
        <v>476</v>
      </c>
    </row>
    <row r="4299" spans="1:22" x14ac:dyDescent="0.3">
      <c r="A4299">
        <v>64085</v>
      </c>
      <c r="B4299">
        <v>1</v>
      </c>
      <c r="C4299" t="s">
        <v>96</v>
      </c>
      <c r="D4299" t="s">
        <v>97</v>
      </c>
      <c r="E4299" s="1">
        <v>44313</v>
      </c>
      <c r="F4299">
        <v>1</v>
      </c>
      <c r="G4299" t="s">
        <v>73</v>
      </c>
      <c r="H4299" t="s">
        <v>74</v>
      </c>
      <c r="I4299" s="3">
        <v>1272</v>
      </c>
      <c r="J4299" s="3">
        <v>1272</v>
      </c>
      <c r="K4299" s="3">
        <v>397</v>
      </c>
      <c r="L4299" t="s">
        <v>98</v>
      </c>
      <c r="M4299">
        <v>19</v>
      </c>
      <c r="N4299" t="s">
        <v>89</v>
      </c>
      <c r="O4299" t="s">
        <v>81</v>
      </c>
      <c r="P4299" t="s">
        <v>15</v>
      </c>
      <c r="Q4299" t="s">
        <v>16</v>
      </c>
      <c r="R4299" t="s">
        <v>16</v>
      </c>
      <c r="S4299" t="s">
        <v>144</v>
      </c>
      <c r="T4299" s="2">
        <f>MASTER[[#This Row],[CANTIDAD]]*MASTER[[#This Row],[PRECIO DE VENTA]]</f>
        <v>1272</v>
      </c>
      <c r="U4299" s="2">
        <f>MASTER[[#This Row],[CANTIDAD]]*MASTER[[#This Row],[COSTO UNITARIO]]</f>
        <v>397</v>
      </c>
      <c r="V4299" s="2">
        <f>MASTER[[#This Row],[MONTO VENDIDO]]-MASTER[[#This Row],[COSTO DE VENTA]]</f>
        <v>875</v>
      </c>
    </row>
    <row r="4300" spans="1:22" x14ac:dyDescent="0.3">
      <c r="A4300">
        <v>64090</v>
      </c>
      <c r="B4300">
        <v>1</v>
      </c>
      <c r="C4300" t="s">
        <v>94</v>
      </c>
      <c r="D4300" t="s">
        <v>95</v>
      </c>
      <c r="E4300" s="1">
        <v>44313</v>
      </c>
      <c r="F4300">
        <v>1</v>
      </c>
      <c r="G4300" t="s">
        <v>33</v>
      </c>
      <c r="H4300" t="s">
        <v>34</v>
      </c>
      <c r="I4300" s="3">
        <v>1153</v>
      </c>
      <c r="J4300" s="3">
        <v>1153</v>
      </c>
      <c r="K4300" s="3">
        <v>392</v>
      </c>
      <c r="L4300" t="s">
        <v>9</v>
      </c>
      <c r="M4300">
        <v>1</v>
      </c>
      <c r="N4300" t="s">
        <v>77</v>
      </c>
      <c r="O4300" t="s">
        <v>70</v>
      </c>
      <c r="P4300" t="s">
        <v>71</v>
      </c>
      <c r="Q4300" t="s">
        <v>72</v>
      </c>
      <c r="R4300" t="s">
        <v>139</v>
      </c>
      <c r="S4300" t="s">
        <v>144</v>
      </c>
      <c r="T4300" s="2">
        <f>MASTER[[#This Row],[CANTIDAD]]*MASTER[[#This Row],[PRECIO DE VENTA]]</f>
        <v>1153</v>
      </c>
      <c r="U4300" s="2">
        <f>MASTER[[#This Row],[CANTIDAD]]*MASTER[[#This Row],[COSTO UNITARIO]]</f>
        <v>392</v>
      </c>
      <c r="V4300" s="2">
        <f>MASTER[[#This Row],[MONTO VENDIDO]]-MASTER[[#This Row],[COSTO DE VENTA]]</f>
        <v>761</v>
      </c>
    </row>
    <row r="4301" spans="1:22" x14ac:dyDescent="0.3">
      <c r="A4301">
        <v>64090</v>
      </c>
      <c r="B4301">
        <v>2</v>
      </c>
      <c r="C4301" t="s">
        <v>114</v>
      </c>
      <c r="D4301" t="s">
        <v>115</v>
      </c>
      <c r="E4301" s="1">
        <v>44313</v>
      </c>
      <c r="F4301">
        <v>1</v>
      </c>
      <c r="G4301" t="s">
        <v>65</v>
      </c>
      <c r="H4301" t="s">
        <v>66</v>
      </c>
      <c r="I4301" s="3">
        <v>2030</v>
      </c>
      <c r="J4301" s="3">
        <v>2030</v>
      </c>
      <c r="K4301" s="3">
        <v>394</v>
      </c>
      <c r="L4301" t="s">
        <v>113</v>
      </c>
      <c r="M4301">
        <v>1</v>
      </c>
      <c r="N4301" t="s">
        <v>77</v>
      </c>
      <c r="O4301" t="s">
        <v>70</v>
      </c>
      <c r="P4301" t="s">
        <v>71</v>
      </c>
      <c r="Q4301" t="s">
        <v>72</v>
      </c>
      <c r="R4301" t="s">
        <v>139</v>
      </c>
      <c r="S4301" t="s">
        <v>144</v>
      </c>
      <c r="T4301" s="2">
        <f>MASTER[[#This Row],[CANTIDAD]]*MASTER[[#This Row],[PRECIO DE VENTA]]</f>
        <v>2030</v>
      </c>
      <c r="U4301" s="2">
        <f>MASTER[[#This Row],[CANTIDAD]]*MASTER[[#This Row],[COSTO UNITARIO]]</f>
        <v>394</v>
      </c>
      <c r="V4301" s="2">
        <f>MASTER[[#This Row],[MONTO VENDIDO]]-MASTER[[#This Row],[COSTO DE VENTA]]</f>
        <v>1636</v>
      </c>
    </row>
    <row r="4302" spans="1:22" x14ac:dyDescent="0.3">
      <c r="A4302">
        <v>64110</v>
      </c>
      <c r="B4302">
        <v>1</v>
      </c>
      <c r="C4302" t="s">
        <v>96</v>
      </c>
      <c r="D4302" t="s">
        <v>97</v>
      </c>
      <c r="E4302" s="1">
        <v>44313</v>
      </c>
      <c r="F4302">
        <v>1</v>
      </c>
      <c r="G4302" t="s">
        <v>33</v>
      </c>
      <c r="H4302" t="s">
        <v>34</v>
      </c>
      <c r="I4302" s="3">
        <v>1361</v>
      </c>
      <c r="J4302" s="3">
        <v>1361</v>
      </c>
      <c r="K4302" s="3">
        <v>397</v>
      </c>
      <c r="L4302" t="s">
        <v>98</v>
      </c>
      <c r="M4302">
        <v>18</v>
      </c>
      <c r="N4302" t="s">
        <v>79</v>
      </c>
      <c r="O4302" t="s">
        <v>70</v>
      </c>
      <c r="P4302" t="s">
        <v>15</v>
      </c>
      <c r="Q4302" t="s">
        <v>16</v>
      </c>
      <c r="R4302" t="s">
        <v>16</v>
      </c>
      <c r="S4302" t="s">
        <v>144</v>
      </c>
      <c r="T4302" s="2">
        <f>MASTER[[#This Row],[CANTIDAD]]*MASTER[[#This Row],[PRECIO DE VENTA]]</f>
        <v>1361</v>
      </c>
      <c r="U4302" s="2">
        <f>MASTER[[#This Row],[CANTIDAD]]*MASTER[[#This Row],[COSTO UNITARIO]]</f>
        <v>397</v>
      </c>
      <c r="V4302" s="2">
        <f>MASTER[[#This Row],[MONTO VENDIDO]]-MASTER[[#This Row],[COSTO DE VENTA]]</f>
        <v>964</v>
      </c>
    </row>
    <row r="4303" spans="1:22" x14ac:dyDescent="0.3">
      <c r="A4303">
        <v>64115</v>
      </c>
      <c r="B4303">
        <v>1</v>
      </c>
      <c r="C4303" t="s">
        <v>92</v>
      </c>
      <c r="D4303" t="s">
        <v>93</v>
      </c>
      <c r="E4303" s="1">
        <v>44314</v>
      </c>
      <c r="F4303">
        <v>1</v>
      </c>
      <c r="G4303" t="s">
        <v>37</v>
      </c>
      <c r="H4303" t="s">
        <v>38</v>
      </c>
      <c r="I4303" s="3">
        <v>1479</v>
      </c>
      <c r="J4303" s="3">
        <v>1479</v>
      </c>
      <c r="K4303" s="3">
        <v>396</v>
      </c>
      <c r="L4303" t="s">
        <v>9</v>
      </c>
      <c r="M4303">
        <v>16</v>
      </c>
      <c r="N4303" t="s">
        <v>17</v>
      </c>
      <c r="O4303" t="s">
        <v>11</v>
      </c>
      <c r="P4303" t="s">
        <v>18</v>
      </c>
      <c r="Q4303" t="s">
        <v>19</v>
      </c>
      <c r="R4303" t="s">
        <v>138</v>
      </c>
      <c r="S4303" t="s">
        <v>144</v>
      </c>
      <c r="T4303" s="2">
        <f>MASTER[[#This Row],[CANTIDAD]]*MASTER[[#This Row],[PRECIO DE VENTA]]</f>
        <v>1479</v>
      </c>
      <c r="U4303" s="2">
        <f>MASTER[[#This Row],[CANTIDAD]]*MASTER[[#This Row],[COSTO UNITARIO]]</f>
        <v>396</v>
      </c>
      <c r="V4303" s="2">
        <f>MASTER[[#This Row],[MONTO VENDIDO]]-MASTER[[#This Row],[COSTO DE VENTA]]</f>
        <v>1083</v>
      </c>
    </row>
    <row r="4304" spans="1:22" x14ac:dyDescent="0.3">
      <c r="A4304">
        <v>64120</v>
      </c>
      <c r="B4304">
        <v>1</v>
      </c>
      <c r="C4304" t="s">
        <v>94</v>
      </c>
      <c r="D4304" t="s">
        <v>95</v>
      </c>
      <c r="E4304" s="1">
        <v>44314</v>
      </c>
      <c r="F4304">
        <v>1</v>
      </c>
      <c r="G4304" t="s">
        <v>31</v>
      </c>
      <c r="H4304" t="s">
        <v>32</v>
      </c>
      <c r="I4304" s="3">
        <v>1048</v>
      </c>
      <c r="J4304" s="3">
        <v>1048</v>
      </c>
      <c r="K4304" s="3">
        <v>392</v>
      </c>
      <c r="L4304" t="s">
        <v>9</v>
      </c>
      <c r="M4304">
        <v>19</v>
      </c>
      <c r="N4304" t="s">
        <v>89</v>
      </c>
      <c r="O4304" t="s">
        <v>81</v>
      </c>
      <c r="P4304" t="s">
        <v>15</v>
      </c>
      <c r="Q4304" t="s">
        <v>16</v>
      </c>
      <c r="R4304" t="s">
        <v>16</v>
      </c>
      <c r="S4304" t="s">
        <v>144</v>
      </c>
      <c r="T4304" s="2">
        <f>MASTER[[#This Row],[CANTIDAD]]*MASTER[[#This Row],[PRECIO DE VENTA]]</f>
        <v>1048</v>
      </c>
      <c r="U4304" s="2">
        <f>MASTER[[#This Row],[CANTIDAD]]*MASTER[[#This Row],[COSTO UNITARIO]]</f>
        <v>392</v>
      </c>
      <c r="V4304" s="2">
        <f>MASTER[[#This Row],[MONTO VENDIDO]]-MASTER[[#This Row],[COSTO DE VENTA]]</f>
        <v>656</v>
      </c>
    </row>
    <row r="4305" spans="1:22" x14ac:dyDescent="0.3">
      <c r="A4305">
        <v>64166</v>
      </c>
      <c r="B4305">
        <v>1</v>
      </c>
      <c r="C4305" t="s">
        <v>114</v>
      </c>
      <c r="D4305" t="s">
        <v>115</v>
      </c>
      <c r="E4305" s="1">
        <v>44314</v>
      </c>
      <c r="F4305">
        <v>1</v>
      </c>
      <c r="G4305" t="s">
        <v>49</v>
      </c>
      <c r="H4305" t="s">
        <v>50</v>
      </c>
      <c r="I4305" s="3">
        <v>1862</v>
      </c>
      <c r="J4305" s="3">
        <v>1862</v>
      </c>
      <c r="K4305" s="3">
        <v>394</v>
      </c>
      <c r="L4305" t="s">
        <v>113</v>
      </c>
      <c r="M4305">
        <v>15</v>
      </c>
      <c r="N4305" t="s">
        <v>88</v>
      </c>
      <c r="O4305" t="s">
        <v>81</v>
      </c>
      <c r="P4305" t="s">
        <v>18</v>
      </c>
      <c r="Q4305" t="s">
        <v>19</v>
      </c>
      <c r="R4305" t="s">
        <v>138</v>
      </c>
      <c r="S4305" t="s">
        <v>144</v>
      </c>
      <c r="T4305" s="2">
        <f>MASTER[[#This Row],[CANTIDAD]]*MASTER[[#This Row],[PRECIO DE VENTA]]</f>
        <v>1862</v>
      </c>
      <c r="U4305" s="2">
        <f>MASTER[[#This Row],[CANTIDAD]]*MASTER[[#This Row],[COSTO UNITARIO]]</f>
        <v>394</v>
      </c>
      <c r="V4305" s="2">
        <f>MASTER[[#This Row],[MONTO VENDIDO]]-MASTER[[#This Row],[COSTO DE VENTA]]</f>
        <v>1468</v>
      </c>
    </row>
    <row r="4306" spans="1:22" x14ac:dyDescent="0.3">
      <c r="A4306">
        <v>64172</v>
      </c>
      <c r="B4306">
        <v>1</v>
      </c>
      <c r="C4306" t="s">
        <v>105</v>
      </c>
      <c r="D4306" t="s">
        <v>106</v>
      </c>
      <c r="E4306" s="1">
        <v>44314</v>
      </c>
      <c r="F4306">
        <v>1</v>
      </c>
      <c r="G4306" t="s">
        <v>51</v>
      </c>
      <c r="H4306" t="s">
        <v>52</v>
      </c>
      <c r="I4306" s="3">
        <v>2033</v>
      </c>
      <c r="J4306" s="3">
        <v>2033</v>
      </c>
      <c r="K4306" s="3">
        <v>459</v>
      </c>
      <c r="L4306" t="s">
        <v>98</v>
      </c>
      <c r="M4306">
        <v>18</v>
      </c>
      <c r="N4306" t="s">
        <v>79</v>
      </c>
      <c r="O4306" t="s">
        <v>70</v>
      </c>
      <c r="P4306" t="s">
        <v>15</v>
      </c>
      <c r="Q4306" t="s">
        <v>16</v>
      </c>
      <c r="R4306" t="s">
        <v>16</v>
      </c>
      <c r="S4306" t="s">
        <v>144</v>
      </c>
      <c r="T4306" s="2">
        <f>MASTER[[#This Row],[CANTIDAD]]*MASTER[[#This Row],[PRECIO DE VENTA]]</f>
        <v>2033</v>
      </c>
      <c r="U4306" s="2">
        <f>MASTER[[#This Row],[CANTIDAD]]*MASTER[[#This Row],[COSTO UNITARIO]]</f>
        <v>459</v>
      </c>
      <c r="V4306" s="2">
        <f>MASTER[[#This Row],[MONTO VENDIDO]]-MASTER[[#This Row],[COSTO DE VENTA]]</f>
        <v>1574</v>
      </c>
    </row>
    <row r="4307" spans="1:22" x14ac:dyDescent="0.3">
      <c r="A4307">
        <v>64194</v>
      </c>
      <c r="B4307">
        <v>1</v>
      </c>
      <c r="C4307" t="s">
        <v>114</v>
      </c>
      <c r="D4307" t="s">
        <v>115</v>
      </c>
      <c r="E4307" s="1">
        <v>44314</v>
      </c>
      <c r="F4307">
        <v>3</v>
      </c>
      <c r="G4307" t="s">
        <v>67</v>
      </c>
      <c r="H4307" t="s">
        <v>68</v>
      </c>
      <c r="I4307" s="3">
        <v>2030</v>
      </c>
      <c r="J4307" s="3">
        <v>2030</v>
      </c>
      <c r="K4307" s="3">
        <v>394</v>
      </c>
      <c r="L4307" t="s">
        <v>113</v>
      </c>
      <c r="M4307">
        <v>18</v>
      </c>
      <c r="N4307" t="s">
        <v>79</v>
      </c>
      <c r="O4307" t="s">
        <v>70</v>
      </c>
      <c r="P4307" t="s">
        <v>15</v>
      </c>
      <c r="Q4307" t="s">
        <v>16</v>
      </c>
      <c r="R4307" t="s">
        <v>16</v>
      </c>
      <c r="S4307" t="s">
        <v>144</v>
      </c>
      <c r="T4307" s="2">
        <f>MASTER[[#This Row],[CANTIDAD]]*MASTER[[#This Row],[PRECIO DE VENTA]]</f>
        <v>6090</v>
      </c>
      <c r="U4307" s="2">
        <f>MASTER[[#This Row],[CANTIDAD]]*MASTER[[#This Row],[COSTO UNITARIO]]</f>
        <v>1182</v>
      </c>
      <c r="V4307" s="2">
        <f>MASTER[[#This Row],[MONTO VENDIDO]]-MASTER[[#This Row],[COSTO DE VENTA]]</f>
        <v>4908</v>
      </c>
    </row>
    <row r="4308" spans="1:22" x14ac:dyDescent="0.3">
      <c r="A4308">
        <v>64199</v>
      </c>
      <c r="B4308">
        <v>1</v>
      </c>
      <c r="C4308" t="s">
        <v>99</v>
      </c>
      <c r="D4308" t="s">
        <v>100</v>
      </c>
      <c r="E4308" s="1">
        <v>44314</v>
      </c>
      <c r="F4308">
        <v>1</v>
      </c>
      <c r="G4308" t="s">
        <v>39</v>
      </c>
      <c r="H4308" t="s">
        <v>40</v>
      </c>
      <c r="I4308" s="3">
        <v>1459</v>
      </c>
      <c r="J4308" s="3">
        <v>1459</v>
      </c>
      <c r="K4308" s="3">
        <v>386</v>
      </c>
      <c r="L4308" t="s">
        <v>98</v>
      </c>
      <c r="M4308">
        <v>4</v>
      </c>
      <c r="N4308" t="s">
        <v>82</v>
      </c>
      <c r="O4308" t="s">
        <v>81</v>
      </c>
      <c r="P4308" t="s">
        <v>71</v>
      </c>
      <c r="Q4308" t="s">
        <v>72</v>
      </c>
      <c r="R4308" t="s">
        <v>139</v>
      </c>
      <c r="S4308" t="s">
        <v>144</v>
      </c>
      <c r="T4308" s="2">
        <f>MASTER[[#This Row],[CANTIDAD]]*MASTER[[#This Row],[PRECIO DE VENTA]]</f>
        <v>1459</v>
      </c>
      <c r="U4308" s="2">
        <f>MASTER[[#This Row],[CANTIDAD]]*MASTER[[#This Row],[COSTO UNITARIO]]</f>
        <v>386</v>
      </c>
      <c r="V4308" s="2">
        <f>MASTER[[#This Row],[MONTO VENDIDO]]-MASTER[[#This Row],[COSTO DE VENTA]]</f>
        <v>1073</v>
      </c>
    </row>
    <row r="4309" spans="1:22" x14ac:dyDescent="0.3">
      <c r="A4309">
        <v>64238</v>
      </c>
      <c r="B4309">
        <v>1</v>
      </c>
      <c r="C4309" t="s">
        <v>5</v>
      </c>
      <c r="D4309" t="s">
        <v>6</v>
      </c>
      <c r="E4309" s="1">
        <v>44314</v>
      </c>
      <c r="F4309">
        <v>1</v>
      </c>
      <c r="G4309" t="s">
        <v>45</v>
      </c>
      <c r="H4309" t="s">
        <v>46</v>
      </c>
      <c r="I4309" s="3">
        <v>1507</v>
      </c>
      <c r="J4309" s="3">
        <v>1507</v>
      </c>
      <c r="K4309" s="3">
        <v>393</v>
      </c>
      <c r="L4309" t="s">
        <v>9</v>
      </c>
      <c r="M4309">
        <v>15</v>
      </c>
      <c r="N4309" t="s">
        <v>88</v>
      </c>
      <c r="O4309" t="s">
        <v>81</v>
      </c>
      <c r="P4309" t="s">
        <v>18</v>
      </c>
      <c r="Q4309" t="s">
        <v>19</v>
      </c>
      <c r="R4309" t="s">
        <v>138</v>
      </c>
      <c r="S4309" t="s">
        <v>144</v>
      </c>
      <c r="T4309" s="2">
        <f>MASTER[[#This Row],[CANTIDAD]]*MASTER[[#This Row],[PRECIO DE VENTA]]</f>
        <v>1507</v>
      </c>
      <c r="U4309" s="2">
        <f>MASTER[[#This Row],[CANTIDAD]]*MASTER[[#This Row],[COSTO UNITARIO]]</f>
        <v>393</v>
      </c>
      <c r="V4309" s="2">
        <f>MASTER[[#This Row],[MONTO VENDIDO]]-MASTER[[#This Row],[COSTO DE VENTA]]</f>
        <v>1114</v>
      </c>
    </row>
    <row r="4310" spans="1:22" x14ac:dyDescent="0.3">
      <c r="A4310">
        <v>64252</v>
      </c>
      <c r="B4310">
        <v>1</v>
      </c>
      <c r="C4310" t="s">
        <v>101</v>
      </c>
      <c r="D4310" t="s">
        <v>102</v>
      </c>
      <c r="E4310" s="1">
        <v>44314</v>
      </c>
      <c r="F4310">
        <v>1</v>
      </c>
      <c r="G4310" t="s">
        <v>39</v>
      </c>
      <c r="H4310" t="s">
        <v>40</v>
      </c>
      <c r="I4310" s="3">
        <v>1212</v>
      </c>
      <c r="J4310" s="3">
        <v>1212</v>
      </c>
      <c r="K4310" s="3">
        <v>442</v>
      </c>
      <c r="L4310" t="s">
        <v>98</v>
      </c>
      <c r="M4310">
        <v>7</v>
      </c>
      <c r="N4310" t="s">
        <v>84</v>
      </c>
      <c r="O4310" t="s">
        <v>81</v>
      </c>
      <c r="P4310" t="s">
        <v>12</v>
      </c>
      <c r="Q4310" t="s">
        <v>13</v>
      </c>
      <c r="R4310" t="s">
        <v>13</v>
      </c>
      <c r="S4310" t="s">
        <v>144</v>
      </c>
      <c r="T4310" s="2">
        <f>MASTER[[#This Row],[CANTIDAD]]*MASTER[[#This Row],[PRECIO DE VENTA]]</f>
        <v>1212</v>
      </c>
      <c r="U4310" s="2">
        <f>MASTER[[#This Row],[CANTIDAD]]*MASTER[[#This Row],[COSTO UNITARIO]]</f>
        <v>442</v>
      </c>
      <c r="V4310" s="2">
        <f>MASTER[[#This Row],[MONTO VENDIDO]]-MASTER[[#This Row],[COSTO DE VENTA]]</f>
        <v>770</v>
      </c>
    </row>
    <row r="4311" spans="1:22" x14ac:dyDescent="0.3">
      <c r="A4311">
        <v>64260</v>
      </c>
      <c r="B4311">
        <v>1</v>
      </c>
      <c r="C4311" t="s">
        <v>99</v>
      </c>
      <c r="D4311" t="s">
        <v>100</v>
      </c>
      <c r="E4311" s="1">
        <v>44315</v>
      </c>
      <c r="F4311">
        <v>1</v>
      </c>
      <c r="G4311" t="s">
        <v>67</v>
      </c>
      <c r="H4311" t="s">
        <v>68</v>
      </c>
      <c r="I4311" s="3">
        <v>1459</v>
      </c>
      <c r="J4311" s="3">
        <v>1459</v>
      </c>
      <c r="K4311" s="3">
        <v>386</v>
      </c>
      <c r="L4311" t="s">
        <v>98</v>
      </c>
      <c r="M4311">
        <v>19</v>
      </c>
      <c r="N4311" t="s">
        <v>89</v>
      </c>
      <c r="O4311" t="s">
        <v>81</v>
      </c>
      <c r="P4311" t="s">
        <v>15</v>
      </c>
      <c r="Q4311" t="s">
        <v>16</v>
      </c>
      <c r="R4311" t="s">
        <v>16</v>
      </c>
      <c r="S4311" t="s">
        <v>144</v>
      </c>
      <c r="T4311" s="2">
        <f>MASTER[[#This Row],[CANTIDAD]]*MASTER[[#This Row],[PRECIO DE VENTA]]</f>
        <v>1459</v>
      </c>
      <c r="U4311" s="2">
        <f>MASTER[[#This Row],[CANTIDAD]]*MASTER[[#This Row],[COSTO UNITARIO]]</f>
        <v>386</v>
      </c>
      <c r="V4311" s="2">
        <f>MASTER[[#This Row],[MONTO VENDIDO]]-MASTER[[#This Row],[COSTO DE VENTA]]</f>
        <v>1073</v>
      </c>
    </row>
    <row r="4312" spans="1:22" x14ac:dyDescent="0.3">
      <c r="A4312">
        <v>64287</v>
      </c>
      <c r="B4312">
        <v>1</v>
      </c>
      <c r="C4312" t="s">
        <v>118</v>
      </c>
      <c r="D4312" t="s">
        <v>119</v>
      </c>
      <c r="E4312" s="1">
        <v>44315</v>
      </c>
      <c r="F4312">
        <v>1</v>
      </c>
      <c r="G4312" t="s">
        <v>41</v>
      </c>
      <c r="H4312" t="s">
        <v>42</v>
      </c>
      <c r="I4312" s="3">
        <v>1026</v>
      </c>
      <c r="J4312" s="3">
        <v>1026</v>
      </c>
      <c r="K4312" s="3">
        <v>424</v>
      </c>
      <c r="L4312" t="s">
        <v>120</v>
      </c>
      <c r="M4312">
        <v>13</v>
      </c>
      <c r="N4312" t="s">
        <v>78</v>
      </c>
      <c r="O4312" t="s">
        <v>70</v>
      </c>
      <c r="P4312" t="s">
        <v>18</v>
      </c>
      <c r="Q4312" t="s">
        <v>19</v>
      </c>
      <c r="R4312" t="s">
        <v>138</v>
      </c>
      <c r="S4312" t="s">
        <v>144</v>
      </c>
      <c r="T4312" s="2">
        <f>MASTER[[#This Row],[CANTIDAD]]*MASTER[[#This Row],[PRECIO DE VENTA]]</f>
        <v>1026</v>
      </c>
      <c r="U4312" s="2">
        <f>MASTER[[#This Row],[CANTIDAD]]*MASTER[[#This Row],[COSTO UNITARIO]]</f>
        <v>424</v>
      </c>
      <c r="V4312" s="2">
        <f>MASTER[[#This Row],[MONTO VENDIDO]]-MASTER[[#This Row],[COSTO DE VENTA]]</f>
        <v>602</v>
      </c>
    </row>
    <row r="4313" spans="1:22" x14ac:dyDescent="0.3">
      <c r="A4313">
        <v>64294</v>
      </c>
      <c r="B4313">
        <v>1</v>
      </c>
      <c r="C4313" t="s">
        <v>92</v>
      </c>
      <c r="D4313" t="s">
        <v>93</v>
      </c>
      <c r="E4313" s="1">
        <v>44315</v>
      </c>
      <c r="F4313">
        <v>1</v>
      </c>
      <c r="G4313" t="s">
        <v>45</v>
      </c>
      <c r="H4313" t="s">
        <v>46</v>
      </c>
      <c r="I4313" s="3">
        <v>1681</v>
      </c>
      <c r="J4313" s="3">
        <v>1681</v>
      </c>
      <c r="K4313" s="3">
        <v>396</v>
      </c>
      <c r="L4313" t="s">
        <v>9</v>
      </c>
      <c r="M4313">
        <v>10</v>
      </c>
      <c r="N4313" t="s">
        <v>83</v>
      </c>
      <c r="O4313" t="s">
        <v>81</v>
      </c>
      <c r="P4313" t="s">
        <v>12</v>
      </c>
      <c r="Q4313" t="s">
        <v>13</v>
      </c>
      <c r="R4313" t="s">
        <v>13</v>
      </c>
      <c r="S4313" t="s">
        <v>144</v>
      </c>
      <c r="T4313" s="2">
        <f>MASTER[[#This Row],[CANTIDAD]]*MASTER[[#This Row],[PRECIO DE VENTA]]</f>
        <v>1681</v>
      </c>
      <c r="U4313" s="2">
        <f>MASTER[[#This Row],[CANTIDAD]]*MASTER[[#This Row],[COSTO UNITARIO]]</f>
        <v>396</v>
      </c>
      <c r="V4313" s="2">
        <f>MASTER[[#This Row],[MONTO VENDIDO]]-MASTER[[#This Row],[COSTO DE VENTA]]</f>
        <v>1285</v>
      </c>
    </row>
    <row r="4314" spans="1:22" x14ac:dyDescent="0.3">
      <c r="A4314">
        <v>64295</v>
      </c>
      <c r="B4314">
        <v>1</v>
      </c>
      <c r="C4314" t="s">
        <v>111</v>
      </c>
      <c r="D4314" t="s">
        <v>112</v>
      </c>
      <c r="E4314" s="1">
        <v>44315</v>
      </c>
      <c r="F4314">
        <v>4</v>
      </c>
      <c r="G4314" t="s">
        <v>35</v>
      </c>
      <c r="H4314" t="s">
        <v>36</v>
      </c>
      <c r="I4314" s="3">
        <v>1621</v>
      </c>
      <c r="J4314" s="3">
        <v>1621</v>
      </c>
      <c r="K4314" s="3">
        <v>434</v>
      </c>
      <c r="L4314" t="s">
        <v>113</v>
      </c>
      <c r="M4314">
        <v>8</v>
      </c>
      <c r="N4314" t="s">
        <v>80</v>
      </c>
      <c r="O4314" t="s">
        <v>81</v>
      </c>
      <c r="P4314" t="s">
        <v>12</v>
      </c>
      <c r="Q4314" t="s">
        <v>13</v>
      </c>
      <c r="R4314" t="s">
        <v>13</v>
      </c>
      <c r="S4314" t="s">
        <v>144</v>
      </c>
      <c r="T4314" s="2">
        <f>MASTER[[#This Row],[CANTIDAD]]*MASTER[[#This Row],[PRECIO DE VENTA]]</f>
        <v>6484</v>
      </c>
      <c r="U4314" s="2">
        <f>MASTER[[#This Row],[CANTIDAD]]*MASTER[[#This Row],[COSTO UNITARIO]]</f>
        <v>1736</v>
      </c>
      <c r="V4314" s="2">
        <f>MASTER[[#This Row],[MONTO VENDIDO]]-MASTER[[#This Row],[COSTO DE VENTA]]</f>
        <v>4748</v>
      </c>
    </row>
    <row r="4315" spans="1:22" x14ac:dyDescent="0.3">
      <c r="A4315">
        <v>64301</v>
      </c>
      <c r="B4315">
        <v>1</v>
      </c>
      <c r="C4315" t="s">
        <v>101</v>
      </c>
      <c r="D4315" t="s">
        <v>102</v>
      </c>
      <c r="E4315" s="1">
        <v>44315</v>
      </c>
      <c r="F4315">
        <v>1</v>
      </c>
      <c r="G4315" t="s">
        <v>20</v>
      </c>
      <c r="H4315" t="s">
        <v>21</v>
      </c>
      <c r="I4315" s="3">
        <v>1054</v>
      </c>
      <c r="J4315" s="3">
        <v>1054</v>
      </c>
      <c r="K4315" s="3">
        <v>442</v>
      </c>
      <c r="L4315" t="s">
        <v>98</v>
      </c>
      <c r="M4315">
        <v>16</v>
      </c>
      <c r="N4315" t="s">
        <v>17</v>
      </c>
      <c r="O4315" t="s">
        <v>11</v>
      </c>
      <c r="P4315" t="s">
        <v>18</v>
      </c>
      <c r="Q4315" t="s">
        <v>19</v>
      </c>
      <c r="R4315" t="s">
        <v>138</v>
      </c>
      <c r="S4315" t="s">
        <v>144</v>
      </c>
      <c r="T4315" s="2">
        <f>MASTER[[#This Row],[CANTIDAD]]*MASTER[[#This Row],[PRECIO DE VENTA]]</f>
        <v>1054</v>
      </c>
      <c r="U4315" s="2">
        <f>MASTER[[#This Row],[CANTIDAD]]*MASTER[[#This Row],[COSTO UNITARIO]]</f>
        <v>442</v>
      </c>
      <c r="V4315" s="2">
        <f>MASTER[[#This Row],[MONTO VENDIDO]]-MASTER[[#This Row],[COSTO DE VENTA]]</f>
        <v>612</v>
      </c>
    </row>
    <row r="4316" spans="1:22" x14ac:dyDescent="0.3">
      <c r="A4316">
        <v>64303</v>
      </c>
      <c r="B4316">
        <v>1</v>
      </c>
      <c r="C4316" t="s">
        <v>96</v>
      </c>
      <c r="D4316" t="s">
        <v>97</v>
      </c>
      <c r="E4316" s="1">
        <v>44315</v>
      </c>
      <c r="F4316">
        <v>1</v>
      </c>
      <c r="G4316" t="s">
        <v>51</v>
      </c>
      <c r="H4316" t="s">
        <v>52</v>
      </c>
      <c r="I4316" s="3">
        <v>1272</v>
      </c>
      <c r="J4316" s="3">
        <v>1272</v>
      </c>
      <c r="K4316" s="3">
        <v>397</v>
      </c>
      <c r="L4316" t="s">
        <v>98</v>
      </c>
      <c r="M4316">
        <v>7</v>
      </c>
      <c r="N4316" t="s">
        <v>84</v>
      </c>
      <c r="O4316" t="s">
        <v>81</v>
      </c>
      <c r="P4316" t="s">
        <v>12</v>
      </c>
      <c r="Q4316" t="s">
        <v>13</v>
      </c>
      <c r="R4316" t="s">
        <v>13</v>
      </c>
      <c r="S4316" t="s">
        <v>144</v>
      </c>
      <c r="T4316" s="2">
        <f>MASTER[[#This Row],[CANTIDAD]]*MASTER[[#This Row],[PRECIO DE VENTA]]</f>
        <v>1272</v>
      </c>
      <c r="U4316" s="2">
        <f>MASTER[[#This Row],[CANTIDAD]]*MASTER[[#This Row],[COSTO UNITARIO]]</f>
        <v>397</v>
      </c>
      <c r="V4316" s="2">
        <f>MASTER[[#This Row],[MONTO VENDIDO]]-MASTER[[#This Row],[COSTO DE VENTA]]</f>
        <v>875</v>
      </c>
    </row>
    <row r="4317" spans="1:22" x14ac:dyDescent="0.3">
      <c r="A4317">
        <v>64304</v>
      </c>
      <c r="B4317">
        <v>1</v>
      </c>
      <c r="C4317" t="s">
        <v>101</v>
      </c>
      <c r="D4317" t="s">
        <v>102</v>
      </c>
      <c r="E4317" s="1">
        <v>44316</v>
      </c>
      <c r="F4317">
        <v>1</v>
      </c>
      <c r="G4317" t="s">
        <v>53</v>
      </c>
      <c r="H4317" t="s">
        <v>54</v>
      </c>
      <c r="I4317" s="3">
        <v>1054</v>
      </c>
      <c r="J4317" s="3">
        <v>1054</v>
      </c>
      <c r="K4317" s="3">
        <v>442</v>
      </c>
      <c r="L4317" t="s">
        <v>98</v>
      </c>
      <c r="M4317">
        <v>16</v>
      </c>
      <c r="N4317" t="s">
        <v>17</v>
      </c>
      <c r="O4317" t="s">
        <v>11</v>
      </c>
      <c r="P4317" t="s">
        <v>18</v>
      </c>
      <c r="Q4317" t="s">
        <v>19</v>
      </c>
      <c r="R4317" t="s">
        <v>138</v>
      </c>
      <c r="S4317" t="s">
        <v>144</v>
      </c>
      <c r="T4317" s="2">
        <f>MASTER[[#This Row],[CANTIDAD]]*MASTER[[#This Row],[PRECIO DE VENTA]]</f>
        <v>1054</v>
      </c>
      <c r="U4317" s="2">
        <f>MASTER[[#This Row],[CANTIDAD]]*MASTER[[#This Row],[COSTO UNITARIO]]</f>
        <v>442</v>
      </c>
      <c r="V4317" s="2">
        <f>MASTER[[#This Row],[MONTO VENDIDO]]-MASTER[[#This Row],[COSTO DE VENTA]]</f>
        <v>612</v>
      </c>
    </row>
    <row r="4318" spans="1:22" x14ac:dyDescent="0.3">
      <c r="A4318">
        <v>64314</v>
      </c>
      <c r="B4318">
        <v>1</v>
      </c>
      <c r="C4318" t="s">
        <v>90</v>
      </c>
      <c r="D4318" t="s">
        <v>91</v>
      </c>
      <c r="E4318" s="1">
        <v>44316</v>
      </c>
      <c r="F4318">
        <v>1</v>
      </c>
      <c r="G4318" t="s">
        <v>59</v>
      </c>
      <c r="H4318" t="s">
        <v>60</v>
      </c>
      <c r="I4318" s="3">
        <v>1844</v>
      </c>
      <c r="J4318" s="3">
        <v>1844</v>
      </c>
      <c r="K4318" s="3">
        <v>420</v>
      </c>
      <c r="L4318" t="s">
        <v>9</v>
      </c>
      <c r="M4318">
        <v>14</v>
      </c>
      <c r="N4318" t="s">
        <v>87</v>
      </c>
      <c r="O4318" t="s">
        <v>81</v>
      </c>
      <c r="P4318" t="s">
        <v>18</v>
      </c>
      <c r="Q4318" t="s">
        <v>19</v>
      </c>
      <c r="R4318" t="s">
        <v>138</v>
      </c>
      <c r="S4318" t="s">
        <v>144</v>
      </c>
      <c r="T4318" s="2">
        <f>MASTER[[#This Row],[CANTIDAD]]*MASTER[[#This Row],[PRECIO DE VENTA]]</f>
        <v>1844</v>
      </c>
      <c r="U4318" s="2">
        <f>MASTER[[#This Row],[CANTIDAD]]*MASTER[[#This Row],[COSTO UNITARIO]]</f>
        <v>420</v>
      </c>
      <c r="V4318" s="2">
        <f>MASTER[[#This Row],[MONTO VENDIDO]]-MASTER[[#This Row],[COSTO DE VENTA]]</f>
        <v>1424</v>
      </c>
    </row>
    <row r="4319" spans="1:22" x14ac:dyDescent="0.3">
      <c r="A4319">
        <v>64318</v>
      </c>
      <c r="B4319">
        <v>1</v>
      </c>
      <c r="C4319" t="s">
        <v>5</v>
      </c>
      <c r="D4319" t="s">
        <v>6</v>
      </c>
      <c r="E4319" s="1">
        <v>44316</v>
      </c>
      <c r="F4319">
        <v>1</v>
      </c>
      <c r="G4319" t="s">
        <v>63</v>
      </c>
      <c r="H4319" t="s">
        <v>64</v>
      </c>
      <c r="I4319" s="3">
        <v>1296</v>
      </c>
      <c r="J4319" s="3">
        <v>1296</v>
      </c>
      <c r="K4319" s="3">
        <v>393</v>
      </c>
      <c r="L4319" t="s">
        <v>9</v>
      </c>
      <c r="M4319">
        <v>9</v>
      </c>
      <c r="N4319" t="s">
        <v>76</v>
      </c>
      <c r="O4319" t="s">
        <v>70</v>
      </c>
      <c r="P4319" t="s">
        <v>12</v>
      </c>
      <c r="Q4319" t="s">
        <v>13</v>
      </c>
      <c r="R4319" t="s">
        <v>13</v>
      </c>
      <c r="S4319" t="s">
        <v>144</v>
      </c>
      <c r="T4319" s="2">
        <f>MASTER[[#This Row],[CANTIDAD]]*MASTER[[#This Row],[PRECIO DE VENTA]]</f>
        <v>1296</v>
      </c>
      <c r="U4319" s="2">
        <f>MASTER[[#This Row],[CANTIDAD]]*MASTER[[#This Row],[COSTO UNITARIO]]</f>
        <v>393</v>
      </c>
      <c r="V4319" s="2">
        <f>MASTER[[#This Row],[MONTO VENDIDO]]-MASTER[[#This Row],[COSTO DE VENTA]]</f>
        <v>903</v>
      </c>
    </row>
    <row r="4320" spans="1:22" x14ac:dyDescent="0.3">
      <c r="A4320">
        <v>64322</v>
      </c>
      <c r="B4320">
        <v>1</v>
      </c>
      <c r="C4320" t="s">
        <v>114</v>
      </c>
      <c r="D4320" t="s">
        <v>115</v>
      </c>
      <c r="E4320" s="1">
        <v>44316</v>
      </c>
      <c r="F4320">
        <v>1</v>
      </c>
      <c r="G4320" t="s">
        <v>31</v>
      </c>
      <c r="H4320" t="s">
        <v>32</v>
      </c>
      <c r="I4320" s="3">
        <v>1583</v>
      </c>
      <c r="J4320" s="3">
        <v>1583</v>
      </c>
      <c r="K4320" s="3">
        <v>394</v>
      </c>
      <c r="L4320" t="s">
        <v>113</v>
      </c>
      <c r="M4320">
        <v>17</v>
      </c>
      <c r="N4320" t="s">
        <v>14</v>
      </c>
      <c r="O4320" t="s">
        <v>11</v>
      </c>
      <c r="P4320" t="s">
        <v>15</v>
      </c>
      <c r="Q4320" t="s">
        <v>16</v>
      </c>
      <c r="R4320" t="s">
        <v>16</v>
      </c>
      <c r="S4320" t="s">
        <v>144</v>
      </c>
      <c r="T4320" s="2">
        <f>MASTER[[#This Row],[CANTIDAD]]*MASTER[[#This Row],[PRECIO DE VENTA]]</f>
        <v>1583</v>
      </c>
      <c r="U4320" s="2">
        <f>MASTER[[#This Row],[CANTIDAD]]*MASTER[[#This Row],[COSTO UNITARIO]]</f>
        <v>394</v>
      </c>
      <c r="V4320" s="2">
        <f>MASTER[[#This Row],[MONTO VENDIDO]]-MASTER[[#This Row],[COSTO DE VENTA]]</f>
        <v>1189</v>
      </c>
    </row>
    <row r="4321" spans="1:22" x14ac:dyDescent="0.3">
      <c r="A4321">
        <v>64329</v>
      </c>
      <c r="B4321">
        <v>1</v>
      </c>
      <c r="C4321" t="s">
        <v>5</v>
      </c>
      <c r="D4321" t="s">
        <v>6</v>
      </c>
      <c r="E4321" s="1">
        <v>44316</v>
      </c>
      <c r="F4321">
        <v>1</v>
      </c>
      <c r="G4321" t="s">
        <v>49</v>
      </c>
      <c r="H4321" t="s">
        <v>50</v>
      </c>
      <c r="I4321" s="3">
        <v>1507</v>
      </c>
      <c r="J4321" s="3">
        <v>1507</v>
      </c>
      <c r="K4321" s="3">
        <v>393</v>
      </c>
      <c r="L4321" t="s">
        <v>9</v>
      </c>
      <c r="M4321">
        <v>15</v>
      </c>
      <c r="N4321" t="s">
        <v>88</v>
      </c>
      <c r="O4321" t="s">
        <v>81</v>
      </c>
      <c r="P4321" t="s">
        <v>18</v>
      </c>
      <c r="Q4321" t="s">
        <v>19</v>
      </c>
      <c r="R4321" t="s">
        <v>138</v>
      </c>
      <c r="S4321" t="s">
        <v>144</v>
      </c>
      <c r="T4321" s="2">
        <f>MASTER[[#This Row],[CANTIDAD]]*MASTER[[#This Row],[PRECIO DE VENTA]]</f>
        <v>1507</v>
      </c>
      <c r="U4321" s="2">
        <f>MASTER[[#This Row],[CANTIDAD]]*MASTER[[#This Row],[COSTO UNITARIO]]</f>
        <v>393</v>
      </c>
      <c r="V4321" s="2">
        <f>MASTER[[#This Row],[MONTO VENDIDO]]-MASTER[[#This Row],[COSTO DE VENTA]]</f>
        <v>1114</v>
      </c>
    </row>
    <row r="4322" spans="1:22" x14ac:dyDescent="0.3">
      <c r="A4322">
        <v>64335</v>
      </c>
      <c r="B4322">
        <v>1</v>
      </c>
      <c r="C4322" t="s">
        <v>107</v>
      </c>
      <c r="D4322" t="s">
        <v>108</v>
      </c>
      <c r="E4322" s="1">
        <v>44316</v>
      </c>
      <c r="F4322">
        <v>1</v>
      </c>
      <c r="G4322" t="s">
        <v>53</v>
      </c>
      <c r="H4322" t="s">
        <v>54</v>
      </c>
      <c r="I4322" s="3">
        <v>1333</v>
      </c>
      <c r="J4322" s="3">
        <v>1333</v>
      </c>
      <c r="K4322" s="3">
        <v>380</v>
      </c>
      <c r="L4322" t="s">
        <v>98</v>
      </c>
      <c r="M4322">
        <v>15</v>
      </c>
      <c r="N4322" t="s">
        <v>88</v>
      </c>
      <c r="O4322" t="s">
        <v>81</v>
      </c>
      <c r="P4322" t="s">
        <v>18</v>
      </c>
      <c r="Q4322" t="s">
        <v>19</v>
      </c>
      <c r="R4322" t="s">
        <v>138</v>
      </c>
      <c r="S4322" t="s">
        <v>144</v>
      </c>
      <c r="T4322" s="2">
        <f>MASTER[[#This Row],[CANTIDAD]]*MASTER[[#This Row],[PRECIO DE VENTA]]</f>
        <v>1333</v>
      </c>
      <c r="U4322" s="2">
        <f>MASTER[[#This Row],[CANTIDAD]]*MASTER[[#This Row],[COSTO UNITARIO]]</f>
        <v>380</v>
      </c>
      <c r="V4322" s="2">
        <f>MASTER[[#This Row],[MONTO VENDIDO]]-MASTER[[#This Row],[COSTO DE VENTA]]</f>
        <v>953</v>
      </c>
    </row>
    <row r="4323" spans="1:22" x14ac:dyDescent="0.3">
      <c r="A4323">
        <v>64336</v>
      </c>
      <c r="B4323">
        <v>1</v>
      </c>
      <c r="C4323" t="s">
        <v>5</v>
      </c>
      <c r="D4323" t="s">
        <v>6</v>
      </c>
      <c r="E4323" s="1">
        <v>44316</v>
      </c>
      <c r="F4323">
        <v>1</v>
      </c>
      <c r="G4323" t="s">
        <v>43</v>
      </c>
      <c r="H4323" t="s">
        <v>44</v>
      </c>
      <c r="I4323" s="3">
        <v>1296</v>
      </c>
      <c r="J4323" s="3">
        <v>1296</v>
      </c>
      <c r="K4323" s="3">
        <v>393</v>
      </c>
      <c r="L4323" t="s">
        <v>9</v>
      </c>
      <c r="M4323">
        <v>18</v>
      </c>
      <c r="N4323" t="s">
        <v>79</v>
      </c>
      <c r="O4323" t="s">
        <v>70</v>
      </c>
      <c r="P4323" t="s">
        <v>15</v>
      </c>
      <c r="Q4323" t="s">
        <v>16</v>
      </c>
      <c r="R4323" t="s">
        <v>16</v>
      </c>
      <c r="S4323" t="s">
        <v>144</v>
      </c>
      <c r="T4323" s="2">
        <f>MASTER[[#This Row],[CANTIDAD]]*MASTER[[#This Row],[PRECIO DE VENTA]]</f>
        <v>1296</v>
      </c>
      <c r="U4323" s="2">
        <f>MASTER[[#This Row],[CANTIDAD]]*MASTER[[#This Row],[COSTO UNITARIO]]</f>
        <v>393</v>
      </c>
      <c r="V4323" s="2">
        <f>MASTER[[#This Row],[MONTO VENDIDO]]-MASTER[[#This Row],[COSTO DE VENTA]]</f>
        <v>903</v>
      </c>
    </row>
    <row r="4324" spans="1:22" x14ac:dyDescent="0.3">
      <c r="A4324">
        <v>64337</v>
      </c>
      <c r="B4324">
        <v>1</v>
      </c>
      <c r="C4324" t="s">
        <v>5</v>
      </c>
      <c r="D4324" t="s">
        <v>6</v>
      </c>
      <c r="E4324" s="1">
        <v>44316</v>
      </c>
      <c r="F4324">
        <v>1</v>
      </c>
      <c r="G4324" t="s">
        <v>65</v>
      </c>
      <c r="H4324" t="s">
        <v>66</v>
      </c>
      <c r="I4324" s="3">
        <v>1311</v>
      </c>
      <c r="J4324" s="3">
        <v>1311</v>
      </c>
      <c r="K4324" s="3">
        <v>393</v>
      </c>
      <c r="L4324" t="s">
        <v>9</v>
      </c>
      <c r="M4324">
        <v>12</v>
      </c>
      <c r="N4324" t="s">
        <v>26</v>
      </c>
      <c r="O4324" t="s">
        <v>11</v>
      </c>
      <c r="P4324" t="s">
        <v>12</v>
      </c>
      <c r="Q4324" t="s">
        <v>13</v>
      </c>
      <c r="R4324" t="s">
        <v>13</v>
      </c>
      <c r="S4324" t="s">
        <v>144</v>
      </c>
      <c r="T4324" s="2">
        <f>MASTER[[#This Row],[CANTIDAD]]*MASTER[[#This Row],[PRECIO DE VENTA]]</f>
        <v>1311</v>
      </c>
      <c r="U4324" s="2">
        <f>MASTER[[#This Row],[CANTIDAD]]*MASTER[[#This Row],[COSTO UNITARIO]]</f>
        <v>393</v>
      </c>
      <c r="V4324" s="2">
        <f>MASTER[[#This Row],[MONTO VENDIDO]]-MASTER[[#This Row],[COSTO DE VENTA]]</f>
        <v>918</v>
      </c>
    </row>
    <row r="4325" spans="1:22" x14ac:dyDescent="0.3">
      <c r="A4325">
        <v>64340</v>
      </c>
      <c r="B4325">
        <v>1</v>
      </c>
      <c r="C4325" t="s">
        <v>109</v>
      </c>
      <c r="D4325" t="s">
        <v>110</v>
      </c>
      <c r="E4325" s="1">
        <v>44316</v>
      </c>
      <c r="F4325">
        <v>1</v>
      </c>
      <c r="G4325" t="s">
        <v>35</v>
      </c>
      <c r="H4325" t="s">
        <v>36</v>
      </c>
      <c r="I4325" s="3">
        <v>1064</v>
      </c>
      <c r="J4325" s="3">
        <v>1064</v>
      </c>
      <c r="K4325" s="3">
        <v>387</v>
      </c>
      <c r="L4325" t="s">
        <v>98</v>
      </c>
      <c r="M4325">
        <v>5</v>
      </c>
      <c r="N4325" t="s">
        <v>85</v>
      </c>
      <c r="O4325" t="s">
        <v>81</v>
      </c>
      <c r="P4325" t="s">
        <v>12</v>
      </c>
      <c r="Q4325" t="s">
        <v>13</v>
      </c>
      <c r="R4325" t="s">
        <v>13</v>
      </c>
      <c r="S4325" t="s">
        <v>144</v>
      </c>
      <c r="T4325" s="2">
        <f>MASTER[[#This Row],[CANTIDAD]]*MASTER[[#This Row],[PRECIO DE VENTA]]</f>
        <v>1064</v>
      </c>
      <c r="U4325" s="2">
        <f>MASTER[[#This Row],[CANTIDAD]]*MASTER[[#This Row],[COSTO UNITARIO]]</f>
        <v>387</v>
      </c>
      <c r="V4325" s="2">
        <f>MASTER[[#This Row],[MONTO VENDIDO]]-MASTER[[#This Row],[COSTO DE VENTA]]</f>
        <v>677</v>
      </c>
    </row>
    <row r="4326" spans="1:22" x14ac:dyDescent="0.3">
      <c r="A4326">
        <v>64341</v>
      </c>
      <c r="B4326">
        <v>1</v>
      </c>
      <c r="C4326" t="s">
        <v>90</v>
      </c>
      <c r="D4326" t="s">
        <v>91</v>
      </c>
      <c r="E4326" s="1">
        <v>44316</v>
      </c>
      <c r="F4326">
        <v>1</v>
      </c>
      <c r="G4326" t="s">
        <v>35</v>
      </c>
      <c r="H4326" t="s">
        <v>36</v>
      </c>
      <c r="I4326" s="3">
        <v>1660</v>
      </c>
      <c r="J4326" s="3">
        <v>1660</v>
      </c>
      <c r="K4326" s="3">
        <v>420</v>
      </c>
      <c r="L4326" t="s">
        <v>9</v>
      </c>
      <c r="M4326">
        <v>12</v>
      </c>
      <c r="N4326" t="s">
        <v>26</v>
      </c>
      <c r="O4326" t="s">
        <v>11</v>
      </c>
      <c r="P4326" t="s">
        <v>12</v>
      </c>
      <c r="Q4326" t="s">
        <v>13</v>
      </c>
      <c r="R4326" t="s">
        <v>13</v>
      </c>
      <c r="S4326" t="s">
        <v>144</v>
      </c>
      <c r="T4326" s="2">
        <f>MASTER[[#This Row],[CANTIDAD]]*MASTER[[#This Row],[PRECIO DE VENTA]]</f>
        <v>1660</v>
      </c>
      <c r="U4326" s="2">
        <f>MASTER[[#This Row],[CANTIDAD]]*MASTER[[#This Row],[COSTO UNITARIO]]</f>
        <v>420</v>
      </c>
      <c r="V4326" s="2">
        <f>MASTER[[#This Row],[MONTO VENDIDO]]-MASTER[[#This Row],[COSTO DE VENTA]]</f>
        <v>1240</v>
      </c>
    </row>
    <row r="4327" spans="1:22" x14ac:dyDescent="0.3">
      <c r="A4327">
        <v>64348</v>
      </c>
      <c r="B4327">
        <v>1</v>
      </c>
      <c r="C4327" t="s">
        <v>111</v>
      </c>
      <c r="D4327" t="s">
        <v>112</v>
      </c>
      <c r="E4327" s="1">
        <v>44316</v>
      </c>
      <c r="F4327">
        <v>1</v>
      </c>
      <c r="G4327" t="s">
        <v>53</v>
      </c>
      <c r="H4327" t="s">
        <v>54</v>
      </c>
      <c r="I4327" s="3">
        <v>1524</v>
      </c>
      <c r="J4327" s="3">
        <v>1524</v>
      </c>
      <c r="K4327" s="3">
        <v>434</v>
      </c>
      <c r="L4327" t="s">
        <v>113</v>
      </c>
      <c r="M4327">
        <v>11</v>
      </c>
      <c r="N4327" t="s">
        <v>10</v>
      </c>
      <c r="O4327" t="s">
        <v>11</v>
      </c>
      <c r="P4327" t="s">
        <v>12</v>
      </c>
      <c r="Q4327" t="s">
        <v>13</v>
      </c>
      <c r="R4327" t="s">
        <v>13</v>
      </c>
      <c r="S4327" t="s">
        <v>144</v>
      </c>
      <c r="T4327" s="2">
        <f>MASTER[[#This Row],[CANTIDAD]]*MASTER[[#This Row],[PRECIO DE VENTA]]</f>
        <v>1524</v>
      </c>
      <c r="U4327" s="2">
        <f>MASTER[[#This Row],[CANTIDAD]]*MASTER[[#This Row],[COSTO UNITARIO]]</f>
        <v>434</v>
      </c>
      <c r="V4327" s="2">
        <f>MASTER[[#This Row],[MONTO VENDIDO]]-MASTER[[#This Row],[COSTO DE VENTA]]</f>
        <v>1090</v>
      </c>
    </row>
    <row r="4328" spans="1:22" x14ac:dyDescent="0.3">
      <c r="A4328">
        <v>64361</v>
      </c>
      <c r="B4328">
        <v>1</v>
      </c>
      <c r="C4328" t="s">
        <v>94</v>
      </c>
      <c r="D4328" t="s">
        <v>95</v>
      </c>
      <c r="E4328" s="1">
        <v>44316</v>
      </c>
      <c r="F4328">
        <v>1</v>
      </c>
      <c r="G4328" t="s">
        <v>22</v>
      </c>
      <c r="H4328" t="s">
        <v>23</v>
      </c>
      <c r="I4328" s="3">
        <v>1153</v>
      </c>
      <c r="J4328" s="3">
        <v>1153</v>
      </c>
      <c r="K4328" s="3">
        <v>392</v>
      </c>
      <c r="L4328" t="s">
        <v>9</v>
      </c>
      <c r="M4328">
        <v>6</v>
      </c>
      <c r="N4328" t="s">
        <v>75</v>
      </c>
      <c r="O4328" t="s">
        <v>70</v>
      </c>
      <c r="P4328" t="s">
        <v>12</v>
      </c>
      <c r="Q4328" t="s">
        <v>13</v>
      </c>
      <c r="R4328" t="s">
        <v>13</v>
      </c>
      <c r="S4328" t="s">
        <v>144</v>
      </c>
      <c r="T4328" s="2">
        <f>MASTER[[#This Row],[CANTIDAD]]*MASTER[[#This Row],[PRECIO DE VENTA]]</f>
        <v>1153</v>
      </c>
      <c r="U4328" s="2">
        <f>MASTER[[#This Row],[CANTIDAD]]*MASTER[[#This Row],[COSTO UNITARIO]]</f>
        <v>392</v>
      </c>
      <c r="V4328" s="2">
        <f>MASTER[[#This Row],[MONTO VENDIDO]]-MASTER[[#This Row],[COSTO DE VENTA]]</f>
        <v>761</v>
      </c>
    </row>
    <row r="4329" spans="1:22" x14ac:dyDescent="0.3">
      <c r="A4329">
        <v>64373</v>
      </c>
      <c r="B4329">
        <v>1</v>
      </c>
      <c r="C4329" t="s">
        <v>118</v>
      </c>
      <c r="D4329" t="s">
        <v>119</v>
      </c>
      <c r="E4329" s="1">
        <v>44316</v>
      </c>
      <c r="F4329">
        <v>1</v>
      </c>
      <c r="G4329" t="s">
        <v>37</v>
      </c>
      <c r="H4329" t="s">
        <v>38</v>
      </c>
      <c r="I4329" s="3">
        <v>1026</v>
      </c>
      <c r="J4329" s="3">
        <v>1026</v>
      </c>
      <c r="K4329" s="3">
        <v>424</v>
      </c>
      <c r="L4329" t="s">
        <v>120</v>
      </c>
      <c r="M4329">
        <v>18</v>
      </c>
      <c r="N4329" t="s">
        <v>79</v>
      </c>
      <c r="O4329" t="s">
        <v>70</v>
      </c>
      <c r="P4329" t="s">
        <v>15</v>
      </c>
      <c r="Q4329" t="s">
        <v>16</v>
      </c>
      <c r="R4329" t="s">
        <v>16</v>
      </c>
      <c r="S4329" t="s">
        <v>144</v>
      </c>
      <c r="T4329" s="2">
        <f>MASTER[[#This Row],[CANTIDAD]]*MASTER[[#This Row],[PRECIO DE VENTA]]</f>
        <v>1026</v>
      </c>
      <c r="U4329" s="2">
        <f>MASTER[[#This Row],[CANTIDAD]]*MASTER[[#This Row],[COSTO UNITARIO]]</f>
        <v>424</v>
      </c>
      <c r="V4329" s="2">
        <f>MASTER[[#This Row],[MONTO VENDIDO]]-MASTER[[#This Row],[COSTO DE VENTA]]</f>
        <v>602</v>
      </c>
    </row>
    <row r="4330" spans="1:22" x14ac:dyDescent="0.3">
      <c r="A4330">
        <v>64381</v>
      </c>
      <c r="B4330">
        <v>1</v>
      </c>
      <c r="C4330" t="s">
        <v>92</v>
      </c>
      <c r="D4330" t="s">
        <v>93</v>
      </c>
      <c r="E4330" s="1">
        <v>44316</v>
      </c>
      <c r="F4330">
        <v>1</v>
      </c>
      <c r="G4330" t="s">
        <v>45</v>
      </c>
      <c r="H4330" t="s">
        <v>46</v>
      </c>
      <c r="I4330" s="3">
        <v>1866</v>
      </c>
      <c r="J4330" s="3">
        <v>1866</v>
      </c>
      <c r="K4330" s="3">
        <v>396</v>
      </c>
      <c r="L4330" t="s">
        <v>9</v>
      </c>
      <c r="M4330">
        <v>3</v>
      </c>
      <c r="N4330" t="s">
        <v>69</v>
      </c>
      <c r="O4330" t="s">
        <v>70</v>
      </c>
      <c r="P4330" t="s">
        <v>71</v>
      </c>
      <c r="Q4330" t="s">
        <v>72</v>
      </c>
      <c r="R4330" t="s">
        <v>139</v>
      </c>
      <c r="S4330" t="s">
        <v>144</v>
      </c>
      <c r="T4330" s="2">
        <f>MASTER[[#This Row],[CANTIDAD]]*MASTER[[#This Row],[PRECIO DE VENTA]]</f>
        <v>1866</v>
      </c>
      <c r="U4330" s="2">
        <f>MASTER[[#This Row],[CANTIDAD]]*MASTER[[#This Row],[COSTO UNITARIO]]</f>
        <v>396</v>
      </c>
      <c r="V4330" s="2">
        <f>MASTER[[#This Row],[MONTO VENDIDO]]-MASTER[[#This Row],[COSTO DE VENTA]]</f>
        <v>1470</v>
      </c>
    </row>
    <row r="4331" spans="1:22" x14ac:dyDescent="0.3">
      <c r="A4331">
        <v>64403</v>
      </c>
      <c r="B4331">
        <v>1</v>
      </c>
      <c r="C4331" t="s">
        <v>99</v>
      </c>
      <c r="D4331" t="s">
        <v>100</v>
      </c>
      <c r="E4331" s="1">
        <v>44316</v>
      </c>
      <c r="F4331">
        <v>1</v>
      </c>
      <c r="G4331" t="s">
        <v>47</v>
      </c>
      <c r="H4331" t="s">
        <v>48</v>
      </c>
      <c r="I4331" s="3">
        <v>1459</v>
      </c>
      <c r="J4331" s="3">
        <v>1459</v>
      </c>
      <c r="K4331" s="3">
        <v>386</v>
      </c>
      <c r="L4331" t="s">
        <v>98</v>
      </c>
      <c r="M4331">
        <v>8</v>
      </c>
      <c r="N4331" t="s">
        <v>80</v>
      </c>
      <c r="O4331" t="s">
        <v>81</v>
      </c>
      <c r="P4331" t="s">
        <v>12</v>
      </c>
      <c r="Q4331" t="s">
        <v>13</v>
      </c>
      <c r="R4331" t="s">
        <v>13</v>
      </c>
      <c r="S4331" t="s">
        <v>144</v>
      </c>
      <c r="T4331" s="2">
        <f>MASTER[[#This Row],[CANTIDAD]]*MASTER[[#This Row],[PRECIO DE VENTA]]</f>
        <v>1459</v>
      </c>
      <c r="U4331" s="2">
        <f>MASTER[[#This Row],[CANTIDAD]]*MASTER[[#This Row],[COSTO UNITARIO]]</f>
        <v>386</v>
      </c>
      <c r="V4331" s="2">
        <f>MASTER[[#This Row],[MONTO VENDIDO]]-MASTER[[#This Row],[COSTO DE VENTA]]</f>
        <v>1073</v>
      </c>
    </row>
    <row r="4332" spans="1:22" x14ac:dyDescent="0.3">
      <c r="A4332">
        <v>64409</v>
      </c>
      <c r="B4332">
        <v>1</v>
      </c>
      <c r="C4332" t="s">
        <v>114</v>
      </c>
      <c r="D4332" t="s">
        <v>115</v>
      </c>
      <c r="E4332" s="1">
        <v>44317</v>
      </c>
      <c r="F4332">
        <v>1</v>
      </c>
      <c r="G4332" t="s">
        <v>73</v>
      </c>
      <c r="H4332" t="s">
        <v>74</v>
      </c>
      <c r="I4332" s="3">
        <v>2030</v>
      </c>
      <c r="J4332" s="3">
        <v>2030</v>
      </c>
      <c r="K4332" s="3">
        <v>394</v>
      </c>
      <c r="L4332" t="s">
        <v>113</v>
      </c>
      <c r="M4332">
        <v>1</v>
      </c>
      <c r="N4332" t="s">
        <v>77</v>
      </c>
      <c r="O4332" t="s">
        <v>70</v>
      </c>
      <c r="P4332" t="s">
        <v>71</v>
      </c>
      <c r="Q4332" t="s">
        <v>72</v>
      </c>
      <c r="R4332" t="s">
        <v>139</v>
      </c>
      <c r="S4332" t="s">
        <v>144</v>
      </c>
      <c r="T4332" s="2">
        <f>MASTER[[#This Row],[CANTIDAD]]*MASTER[[#This Row],[PRECIO DE VENTA]]</f>
        <v>2030</v>
      </c>
      <c r="U4332" s="2">
        <f>MASTER[[#This Row],[CANTIDAD]]*MASTER[[#This Row],[COSTO UNITARIO]]</f>
        <v>394</v>
      </c>
      <c r="V4332" s="2">
        <f>MASTER[[#This Row],[MONTO VENDIDO]]-MASTER[[#This Row],[COSTO DE VENTA]]</f>
        <v>1636</v>
      </c>
    </row>
    <row r="4333" spans="1:22" x14ac:dyDescent="0.3">
      <c r="A4333">
        <v>64412</v>
      </c>
      <c r="B4333">
        <v>1</v>
      </c>
      <c r="C4333" t="s">
        <v>99</v>
      </c>
      <c r="D4333" t="s">
        <v>100</v>
      </c>
      <c r="E4333" s="1">
        <v>44317</v>
      </c>
      <c r="F4333">
        <v>1</v>
      </c>
      <c r="G4333" t="s">
        <v>24</v>
      </c>
      <c r="H4333" t="s">
        <v>25</v>
      </c>
      <c r="I4333" s="3">
        <v>1459</v>
      </c>
      <c r="J4333" s="3">
        <v>1459</v>
      </c>
      <c r="K4333" s="3">
        <v>386</v>
      </c>
      <c r="L4333" t="s">
        <v>98</v>
      </c>
      <c r="M4333">
        <v>4</v>
      </c>
      <c r="N4333" t="s">
        <v>82</v>
      </c>
      <c r="O4333" t="s">
        <v>81</v>
      </c>
      <c r="P4333" t="s">
        <v>71</v>
      </c>
      <c r="Q4333" t="s">
        <v>72</v>
      </c>
      <c r="R4333" t="s">
        <v>139</v>
      </c>
      <c r="S4333" t="s">
        <v>144</v>
      </c>
      <c r="T4333" s="2">
        <f>MASTER[[#This Row],[CANTIDAD]]*MASTER[[#This Row],[PRECIO DE VENTA]]</f>
        <v>1459</v>
      </c>
      <c r="U4333" s="2">
        <f>MASTER[[#This Row],[CANTIDAD]]*MASTER[[#This Row],[COSTO UNITARIO]]</f>
        <v>386</v>
      </c>
      <c r="V4333" s="2">
        <f>MASTER[[#This Row],[MONTO VENDIDO]]-MASTER[[#This Row],[COSTO DE VENTA]]</f>
        <v>1073</v>
      </c>
    </row>
    <row r="4334" spans="1:22" x14ac:dyDescent="0.3">
      <c r="A4334">
        <v>64431</v>
      </c>
      <c r="B4334">
        <v>1</v>
      </c>
      <c r="C4334" t="s">
        <v>114</v>
      </c>
      <c r="D4334" t="s">
        <v>115</v>
      </c>
      <c r="E4334" s="1">
        <v>44317</v>
      </c>
      <c r="F4334">
        <v>1</v>
      </c>
      <c r="G4334" t="s">
        <v>61</v>
      </c>
      <c r="H4334" t="s">
        <v>62</v>
      </c>
      <c r="I4334" s="3">
        <v>2030</v>
      </c>
      <c r="J4334" s="3">
        <v>2030</v>
      </c>
      <c r="K4334" s="3">
        <v>394</v>
      </c>
      <c r="L4334" t="s">
        <v>113</v>
      </c>
      <c r="M4334">
        <v>9</v>
      </c>
      <c r="N4334" t="s">
        <v>76</v>
      </c>
      <c r="O4334" t="s">
        <v>70</v>
      </c>
      <c r="P4334" t="s">
        <v>12</v>
      </c>
      <c r="Q4334" t="s">
        <v>13</v>
      </c>
      <c r="R4334" t="s">
        <v>13</v>
      </c>
      <c r="S4334" t="s">
        <v>144</v>
      </c>
      <c r="T4334" s="2">
        <f>MASTER[[#This Row],[CANTIDAD]]*MASTER[[#This Row],[PRECIO DE VENTA]]</f>
        <v>2030</v>
      </c>
      <c r="U4334" s="2">
        <f>MASTER[[#This Row],[CANTIDAD]]*MASTER[[#This Row],[COSTO UNITARIO]]</f>
        <v>394</v>
      </c>
      <c r="V4334" s="2">
        <f>MASTER[[#This Row],[MONTO VENDIDO]]-MASTER[[#This Row],[COSTO DE VENTA]]</f>
        <v>1636</v>
      </c>
    </row>
    <row r="4335" spans="1:22" x14ac:dyDescent="0.3">
      <c r="A4335">
        <v>64472</v>
      </c>
      <c r="B4335">
        <v>1</v>
      </c>
      <c r="C4335" t="s">
        <v>94</v>
      </c>
      <c r="D4335" t="s">
        <v>95</v>
      </c>
      <c r="E4335" s="1">
        <v>44317</v>
      </c>
      <c r="F4335">
        <v>1</v>
      </c>
      <c r="G4335" t="s">
        <v>65</v>
      </c>
      <c r="H4335" t="s">
        <v>66</v>
      </c>
      <c r="I4335" s="3">
        <v>1153</v>
      </c>
      <c r="J4335" s="3">
        <v>1153</v>
      </c>
      <c r="K4335" s="3">
        <v>392</v>
      </c>
      <c r="L4335" t="s">
        <v>9</v>
      </c>
      <c r="M4335">
        <v>1</v>
      </c>
      <c r="N4335" t="s">
        <v>77</v>
      </c>
      <c r="O4335" t="s">
        <v>70</v>
      </c>
      <c r="P4335" t="s">
        <v>71</v>
      </c>
      <c r="Q4335" t="s">
        <v>72</v>
      </c>
      <c r="R4335" t="s">
        <v>139</v>
      </c>
      <c r="S4335" t="s">
        <v>144</v>
      </c>
      <c r="T4335" s="2">
        <f>MASTER[[#This Row],[CANTIDAD]]*MASTER[[#This Row],[PRECIO DE VENTA]]</f>
        <v>1153</v>
      </c>
      <c r="U4335" s="2">
        <f>MASTER[[#This Row],[CANTIDAD]]*MASTER[[#This Row],[COSTO UNITARIO]]</f>
        <v>392</v>
      </c>
      <c r="V4335" s="2">
        <f>MASTER[[#This Row],[MONTO VENDIDO]]-MASTER[[#This Row],[COSTO DE VENTA]]</f>
        <v>761</v>
      </c>
    </row>
    <row r="4336" spans="1:22" x14ac:dyDescent="0.3">
      <c r="A4336">
        <v>64481</v>
      </c>
      <c r="B4336">
        <v>1</v>
      </c>
      <c r="C4336" t="s">
        <v>111</v>
      </c>
      <c r="D4336" t="s">
        <v>112</v>
      </c>
      <c r="E4336" s="1">
        <v>44317</v>
      </c>
      <c r="F4336">
        <v>1</v>
      </c>
      <c r="G4336" t="s">
        <v>20</v>
      </c>
      <c r="H4336" t="s">
        <v>21</v>
      </c>
      <c r="I4336" s="3">
        <v>1799</v>
      </c>
      <c r="J4336" s="3">
        <v>1799</v>
      </c>
      <c r="K4336" s="3">
        <v>434</v>
      </c>
      <c r="L4336" t="s">
        <v>113</v>
      </c>
      <c r="M4336">
        <v>3</v>
      </c>
      <c r="N4336" t="s">
        <v>69</v>
      </c>
      <c r="O4336" t="s">
        <v>70</v>
      </c>
      <c r="P4336" t="s">
        <v>71</v>
      </c>
      <c r="Q4336" t="s">
        <v>72</v>
      </c>
      <c r="R4336" t="s">
        <v>139</v>
      </c>
      <c r="S4336" t="s">
        <v>144</v>
      </c>
      <c r="T4336" s="2">
        <f>MASTER[[#This Row],[CANTIDAD]]*MASTER[[#This Row],[PRECIO DE VENTA]]</f>
        <v>1799</v>
      </c>
      <c r="U4336" s="2">
        <f>MASTER[[#This Row],[CANTIDAD]]*MASTER[[#This Row],[COSTO UNITARIO]]</f>
        <v>434</v>
      </c>
      <c r="V4336" s="2">
        <f>MASTER[[#This Row],[MONTO VENDIDO]]-MASTER[[#This Row],[COSTO DE VENTA]]</f>
        <v>1365</v>
      </c>
    </row>
    <row r="4337" spans="1:22" x14ac:dyDescent="0.3">
      <c r="A4337">
        <v>64519</v>
      </c>
      <c r="B4337">
        <v>1</v>
      </c>
      <c r="C4337" t="s">
        <v>101</v>
      </c>
      <c r="D4337" t="s">
        <v>102</v>
      </c>
      <c r="E4337" s="1">
        <v>44317</v>
      </c>
      <c r="F4337">
        <v>1</v>
      </c>
      <c r="G4337" t="s">
        <v>49</v>
      </c>
      <c r="H4337" t="s">
        <v>50</v>
      </c>
      <c r="I4337" s="3">
        <v>1054</v>
      </c>
      <c r="J4337" s="3">
        <v>1054</v>
      </c>
      <c r="K4337" s="3">
        <v>442</v>
      </c>
      <c r="L4337" t="s">
        <v>98</v>
      </c>
      <c r="M4337">
        <v>12</v>
      </c>
      <c r="N4337" t="s">
        <v>26</v>
      </c>
      <c r="O4337" t="s">
        <v>11</v>
      </c>
      <c r="P4337" t="s">
        <v>12</v>
      </c>
      <c r="Q4337" t="s">
        <v>13</v>
      </c>
      <c r="R4337" t="s">
        <v>13</v>
      </c>
      <c r="S4337" t="s">
        <v>144</v>
      </c>
      <c r="T4337" s="2">
        <f>MASTER[[#This Row],[CANTIDAD]]*MASTER[[#This Row],[PRECIO DE VENTA]]</f>
        <v>1054</v>
      </c>
      <c r="U4337" s="2">
        <f>MASTER[[#This Row],[CANTIDAD]]*MASTER[[#This Row],[COSTO UNITARIO]]</f>
        <v>442</v>
      </c>
      <c r="V4337" s="2">
        <f>MASTER[[#This Row],[MONTO VENDIDO]]-MASTER[[#This Row],[COSTO DE VENTA]]</f>
        <v>612</v>
      </c>
    </row>
    <row r="4338" spans="1:22" x14ac:dyDescent="0.3">
      <c r="A4338">
        <v>64519</v>
      </c>
      <c r="B4338">
        <v>2</v>
      </c>
      <c r="C4338" t="s">
        <v>101</v>
      </c>
      <c r="D4338" t="s">
        <v>102</v>
      </c>
      <c r="E4338" s="1">
        <v>44317</v>
      </c>
      <c r="F4338">
        <v>1</v>
      </c>
      <c r="G4338" t="s">
        <v>29</v>
      </c>
      <c r="H4338" t="s">
        <v>30</v>
      </c>
      <c r="I4338" s="3">
        <v>1054</v>
      </c>
      <c r="J4338" s="3">
        <v>1054</v>
      </c>
      <c r="K4338" s="3">
        <v>442</v>
      </c>
      <c r="L4338" t="s">
        <v>98</v>
      </c>
      <c r="M4338">
        <v>12</v>
      </c>
      <c r="N4338" t="s">
        <v>26</v>
      </c>
      <c r="O4338" t="s">
        <v>11</v>
      </c>
      <c r="P4338" t="s">
        <v>12</v>
      </c>
      <c r="Q4338" t="s">
        <v>13</v>
      </c>
      <c r="R4338" t="s">
        <v>13</v>
      </c>
      <c r="S4338" t="s">
        <v>144</v>
      </c>
      <c r="T4338" s="2">
        <f>MASTER[[#This Row],[CANTIDAD]]*MASTER[[#This Row],[PRECIO DE VENTA]]</f>
        <v>1054</v>
      </c>
      <c r="U4338" s="2">
        <f>MASTER[[#This Row],[CANTIDAD]]*MASTER[[#This Row],[COSTO UNITARIO]]</f>
        <v>442</v>
      </c>
      <c r="V4338" s="2">
        <f>MASTER[[#This Row],[MONTO VENDIDO]]-MASTER[[#This Row],[COSTO DE VENTA]]</f>
        <v>612</v>
      </c>
    </row>
    <row r="4339" spans="1:22" x14ac:dyDescent="0.3">
      <c r="A4339">
        <v>64548</v>
      </c>
      <c r="B4339">
        <v>1</v>
      </c>
      <c r="C4339" t="s">
        <v>94</v>
      </c>
      <c r="D4339" t="s">
        <v>95</v>
      </c>
      <c r="E4339" s="1">
        <v>44317</v>
      </c>
      <c r="F4339">
        <v>1</v>
      </c>
      <c r="G4339" t="s">
        <v>57</v>
      </c>
      <c r="H4339" t="s">
        <v>58</v>
      </c>
      <c r="I4339" s="3">
        <v>1048</v>
      </c>
      <c r="J4339" s="3">
        <v>1048</v>
      </c>
      <c r="K4339" s="3">
        <v>392</v>
      </c>
      <c r="L4339" t="s">
        <v>9</v>
      </c>
      <c r="M4339">
        <v>7</v>
      </c>
      <c r="N4339" t="s">
        <v>84</v>
      </c>
      <c r="O4339" t="s">
        <v>81</v>
      </c>
      <c r="P4339" t="s">
        <v>12</v>
      </c>
      <c r="Q4339" t="s">
        <v>13</v>
      </c>
      <c r="R4339" t="s">
        <v>13</v>
      </c>
      <c r="S4339" t="s">
        <v>144</v>
      </c>
      <c r="T4339" s="2">
        <f>MASTER[[#This Row],[CANTIDAD]]*MASTER[[#This Row],[PRECIO DE VENTA]]</f>
        <v>1048</v>
      </c>
      <c r="U4339" s="2">
        <f>MASTER[[#This Row],[CANTIDAD]]*MASTER[[#This Row],[COSTO UNITARIO]]</f>
        <v>392</v>
      </c>
      <c r="V4339" s="2">
        <f>MASTER[[#This Row],[MONTO VENDIDO]]-MASTER[[#This Row],[COSTO DE VENTA]]</f>
        <v>656</v>
      </c>
    </row>
    <row r="4340" spans="1:22" x14ac:dyDescent="0.3">
      <c r="A4340">
        <v>64557</v>
      </c>
      <c r="B4340">
        <v>1</v>
      </c>
      <c r="C4340" t="s">
        <v>107</v>
      </c>
      <c r="D4340" t="s">
        <v>108</v>
      </c>
      <c r="E4340" s="1">
        <v>44317</v>
      </c>
      <c r="F4340">
        <v>1</v>
      </c>
      <c r="G4340" t="s">
        <v>65</v>
      </c>
      <c r="H4340" t="s">
        <v>66</v>
      </c>
      <c r="I4340" s="3">
        <v>1333</v>
      </c>
      <c r="J4340" s="3">
        <v>1333</v>
      </c>
      <c r="K4340" s="3">
        <v>380</v>
      </c>
      <c r="L4340" t="s">
        <v>98</v>
      </c>
      <c r="M4340">
        <v>4</v>
      </c>
      <c r="N4340" t="s">
        <v>82</v>
      </c>
      <c r="O4340" t="s">
        <v>81</v>
      </c>
      <c r="P4340" t="s">
        <v>71</v>
      </c>
      <c r="Q4340" t="s">
        <v>72</v>
      </c>
      <c r="R4340" t="s">
        <v>139</v>
      </c>
      <c r="S4340" t="s">
        <v>144</v>
      </c>
      <c r="T4340" s="2">
        <f>MASTER[[#This Row],[CANTIDAD]]*MASTER[[#This Row],[PRECIO DE VENTA]]</f>
        <v>1333</v>
      </c>
      <c r="U4340" s="2">
        <f>MASTER[[#This Row],[CANTIDAD]]*MASTER[[#This Row],[COSTO UNITARIO]]</f>
        <v>380</v>
      </c>
      <c r="V4340" s="2">
        <f>MASTER[[#This Row],[MONTO VENDIDO]]-MASTER[[#This Row],[COSTO DE VENTA]]</f>
        <v>953</v>
      </c>
    </row>
    <row r="4341" spans="1:22" x14ac:dyDescent="0.3">
      <c r="A4341">
        <v>64566</v>
      </c>
      <c r="B4341">
        <v>1</v>
      </c>
      <c r="C4341" t="s">
        <v>94</v>
      </c>
      <c r="D4341" t="s">
        <v>95</v>
      </c>
      <c r="E4341" s="1">
        <v>44317</v>
      </c>
      <c r="F4341">
        <v>1</v>
      </c>
      <c r="G4341" t="s">
        <v>35</v>
      </c>
      <c r="H4341" t="s">
        <v>36</v>
      </c>
      <c r="I4341" s="3">
        <v>1153</v>
      </c>
      <c r="J4341" s="3">
        <v>1153</v>
      </c>
      <c r="K4341" s="3">
        <v>392</v>
      </c>
      <c r="L4341" t="s">
        <v>9</v>
      </c>
      <c r="M4341">
        <v>6</v>
      </c>
      <c r="N4341" t="s">
        <v>75</v>
      </c>
      <c r="O4341" t="s">
        <v>70</v>
      </c>
      <c r="P4341" t="s">
        <v>12</v>
      </c>
      <c r="Q4341" t="s">
        <v>13</v>
      </c>
      <c r="R4341" t="s">
        <v>13</v>
      </c>
      <c r="S4341" t="s">
        <v>144</v>
      </c>
      <c r="T4341" s="2">
        <f>MASTER[[#This Row],[CANTIDAD]]*MASTER[[#This Row],[PRECIO DE VENTA]]</f>
        <v>1153</v>
      </c>
      <c r="U4341" s="2">
        <f>MASTER[[#This Row],[CANTIDAD]]*MASTER[[#This Row],[COSTO UNITARIO]]</f>
        <v>392</v>
      </c>
      <c r="V4341" s="2">
        <f>MASTER[[#This Row],[MONTO VENDIDO]]-MASTER[[#This Row],[COSTO DE VENTA]]</f>
        <v>761</v>
      </c>
    </row>
    <row r="4342" spans="1:22" x14ac:dyDescent="0.3">
      <c r="A4342">
        <v>64572</v>
      </c>
      <c r="B4342">
        <v>1</v>
      </c>
      <c r="C4342" t="s">
        <v>105</v>
      </c>
      <c r="D4342" t="s">
        <v>106</v>
      </c>
      <c r="E4342" s="1">
        <v>44317</v>
      </c>
      <c r="F4342">
        <v>1</v>
      </c>
      <c r="G4342" t="s">
        <v>7</v>
      </c>
      <c r="H4342" t="s">
        <v>8</v>
      </c>
      <c r="I4342" s="3">
        <v>2033</v>
      </c>
      <c r="J4342" s="3">
        <v>2033</v>
      </c>
      <c r="K4342" s="3">
        <v>459</v>
      </c>
      <c r="L4342" t="s">
        <v>98</v>
      </c>
      <c r="M4342">
        <v>18</v>
      </c>
      <c r="N4342" t="s">
        <v>79</v>
      </c>
      <c r="O4342" t="s">
        <v>70</v>
      </c>
      <c r="P4342" t="s">
        <v>15</v>
      </c>
      <c r="Q4342" t="s">
        <v>16</v>
      </c>
      <c r="R4342" t="s">
        <v>16</v>
      </c>
      <c r="S4342" t="s">
        <v>144</v>
      </c>
      <c r="T4342" s="2">
        <f>MASTER[[#This Row],[CANTIDAD]]*MASTER[[#This Row],[PRECIO DE VENTA]]</f>
        <v>2033</v>
      </c>
      <c r="U4342" s="2">
        <f>MASTER[[#This Row],[CANTIDAD]]*MASTER[[#This Row],[COSTO UNITARIO]]</f>
        <v>459</v>
      </c>
      <c r="V4342" s="2">
        <f>MASTER[[#This Row],[MONTO VENDIDO]]-MASTER[[#This Row],[COSTO DE VENTA]]</f>
        <v>1574</v>
      </c>
    </row>
    <row r="4343" spans="1:22" x14ac:dyDescent="0.3">
      <c r="A4343">
        <v>64576</v>
      </c>
      <c r="B4343">
        <v>1</v>
      </c>
      <c r="C4343" t="s">
        <v>103</v>
      </c>
      <c r="D4343" t="s">
        <v>104</v>
      </c>
      <c r="E4343" s="1">
        <v>44318</v>
      </c>
      <c r="F4343">
        <v>1</v>
      </c>
      <c r="G4343" t="s">
        <v>65</v>
      </c>
      <c r="H4343" t="s">
        <v>66</v>
      </c>
      <c r="I4343" s="3">
        <v>1591</v>
      </c>
      <c r="J4343" s="3">
        <v>1591</v>
      </c>
      <c r="K4343" s="3">
        <v>421</v>
      </c>
      <c r="L4343" t="s">
        <v>98</v>
      </c>
      <c r="M4343">
        <v>15</v>
      </c>
      <c r="N4343" t="s">
        <v>88</v>
      </c>
      <c r="O4343" t="s">
        <v>81</v>
      </c>
      <c r="P4343" t="s">
        <v>18</v>
      </c>
      <c r="Q4343" t="s">
        <v>19</v>
      </c>
      <c r="R4343" t="s">
        <v>138</v>
      </c>
      <c r="S4343" t="s">
        <v>144</v>
      </c>
      <c r="T4343" s="2">
        <f>MASTER[[#This Row],[CANTIDAD]]*MASTER[[#This Row],[PRECIO DE VENTA]]</f>
        <v>1591</v>
      </c>
      <c r="U4343" s="2">
        <f>MASTER[[#This Row],[CANTIDAD]]*MASTER[[#This Row],[COSTO UNITARIO]]</f>
        <v>421</v>
      </c>
      <c r="V4343" s="2">
        <f>MASTER[[#This Row],[MONTO VENDIDO]]-MASTER[[#This Row],[COSTO DE VENTA]]</f>
        <v>1170</v>
      </c>
    </row>
    <row r="4344" spans="1:22" x14ac:dyDescent="0.3">
      <c r="A4344">
        <v>64581</v>
      </c>
      <c r="B4344">
        <v>1</v>
      </c>
      <c r="C4344" t="s">
        <v>107</v>
      </c>
      <c r="D4344" t="s">
        <v>108</v>
      </c>
      <c r="E4344" s="1">
        <v>44318</v>
      </c>
      <c r="F4344">
        <v>1</v>
      </c>
      <c r="G4344" t="s">
        <v>73</v>
      </c>
      <c r="H4344" t="s">
        <v>74</v>
      </c>
      <c r="I4344" s="3">
        <v>1240</v>
      </c>
      <c r="J4344" s="3">
        <v>1240</v>
      </c>
      <c r="K4344" s="3">
        <v>380</v>
      </c>
      <c r="L4344" t="s">
        <v>98</v>
      </c>
      <c r="M4344">
        <v>16</v>
      </c>
      <c r="N4344" t="s">
        <v>17</v>
      </c>
      <c r="O4344" t="s">
        <v>11</v>
      </c>
      <c r="P4344" t="s">
        <v>18</v>
      </c>
      <c r="Q4344" t="s">
        <v>19</v>
      </c>
      <c r="R4344" t="s">
        <v>138</v>
      </c>
      <c r="S4344" t="s">
        <v>144</v>
      </c>
      <c r="T4344" s="2">
        <f>MASTER[[#This Row],[CANTIDAD]]*MASTER[[#This Row],[PRECIO DE VENTA]]</f>
        <v>1240</v>
      </c>
      <c r="U4344" s="2">
        <f>MASTER[[#This Row],[CANTIDAD]]*MASTER[[#This Row],[COSTO UNITARIO]]</f>
        <v>380</v>
      </c>
      <c r="V4344" s="2">
        <f>MASTER[[#This Row],[MONTO VENDIDO]]-MASTER[[#This Row],[COSTO DE VENTA]]</f>
        <v>860</v>
      </c>
    </row>
    <row r="4345" spans="1:22" x14ac:dyDescent="0.3">
      <c r="A4345">
        <v>64583</v>
      </c>
      <c r="B4345">
        <v>1</v>
      </c>
      <c r="C4345" t="s">
        <v>5</v>
      </c>
      <c r="D4345" t="s">
        <v>6</v>
      </c>
      <c r="E4345" s="1">
        <v>44318</v>
      </c>
      <c r="F4345">
        <v>1</v>
      </c>
      <c r="G4345" t="s">
        <v>49</v>
      </c>
      <c r="H4345" t="s">
        <v>50</v>
      </c>
      <c r="I4345" s="3">
        <v>1296</v>
      </c>
      <c r="J4345" s="3">
        <v>1296</v>
      </c>
      <c r="K4345" s="3">
        <v>393</v>
      </c>
      <c r="L4345" t="s">
        <v>9</v>
      </c>
      <c r="M4345">
        <v>6</v>
      </c>
      <c r="N4345" t="s">
        <v>75</v>
      </c>
      <c r="O4345" t="s">
        <v>70</v>
      </c>
      <c r="P4345" t="s">
        <v>12</v>
      </c>
      <c r="Q4345" t="s">
        <v>13</v>
      </c>
      <c r="R4345" t="s">
        <v>13</v>
      </c>
      <c r="S4345" t="s">
        <v>144</v>
      </c>
      <c r="T4345" s="2">
        <f>MASTER[[#This Row],[CANTIDAD]]*MASTER[[#This Row],[PRECIO DE VENTA]]</f>
        <v>1296</v>
      </c>
      <c r="U4345" s="2">
        <f>MASTER[[#This Row],[CANTIDAD]]*MASTER[[#This Row],[COSTO UNITARIO]]</f>
        <v>393</v>
      </c>
      <c r="V4345" s="2">
        <f>MASTER[[#This Row],[MONTO VENDIDO]]-MASTER[[#This Row],[COSTO DE VENTA]]</f>
        <v>903</v>
      </c>
    </row>
    <row r="4346" spans="1:22" x14ac:dyDescent="0.3">
      <c r="A4346">
        <v>64587</v>
      </c>
      <c r="B4346">
        <v>1</v>
      </c>
      <c r="C4346" t="s">
        <v>101</v>
      </c>
      <c r="D4346" t="s">
        <v>102</v>
      </c>
      <c r="E4346" s="1">
        <v>44318</v>
      </c>
      <c r="F4346">
        <v>1</v>
      </c>
      <c r="G4346" t="s">
        <v>53</v>
      </c>
      <c r="H4346" t="s">
        <v>54</v>
      </c>
      <c r="I4346" s="3">
        <v>1212</v>
      </c>
      <c r="J4346" s="3">
        <v>1212</v>
      </c>
      <c r="K4346" s="3">
        <v>442</v>
      </c>
      <c r="L4346" t="s">
        <v>98</v>
      </c>
      <c r="M4346">
        <v>19</v>
      </c>
      <c r="N4346" t="s">
        <v>89</v>
      </c>
      <c r="O4346" t="s">
        <v>81</v>
      </c>
      <c r="P4346" t="s">
        <v>15</v>
      </c>
      <c r="Q4346" t="s">
        <v>16</v>
      </c>
      <c r="R4346" t="s">
        <v>16</v>
      </c>
      <c r="S4346" t="s">
        <v>144</v>
      </c>
      <c r="T4346" s="2">
        <f>MASTER[[#This Row],[CANTIDAD]]*MASTER[[#This Row],[PRECIO DE VENTA]]</f>
        <v>1212</v>
      </c>
      <c r="U4346" s="2">
        <f>MASTER[[#This Row],[CANTIDAD]]*MASTER[[#This Row],[COSTO UNITARIO]]</f>
        <v>442</v>
      </c>
      <c r="V4346" s="2">
        <f>MASTER[[#This Row],[MONTO VENDIDO]]-MASTER[[#This Row],[COSTO DE VENTA]]</f>
        <v>770</v>
      </c>
    </row>
    <row r="4347" spans="1:22" x14ac:dyDescent="0.3">
      <c r="A4347">
        <v>64588</v>
      </c>
      <c r="B4347">
        <v>1</v>
      </c>
      <c r="C4347" t="s">
        <v>121</v>
      </c>
      <c r="D4347" t="s">
        <v>122</v>
      </c>
      <c r="E4347" s="1">
        <v>44318</v>
      </c>
      <c r="F4347">
        <v>1</v>
      </c>
      <c r="G4347" t="s">
        <v>49</v>
      </c>
      <c r="H4347" t="s">
        <v>50</v>
      </c>
      <c r="I4347" s="3">
        <v>941</v>
      </c>
      <c r="J4347" s="3">
        <v>941</v>
      </c>
      <c r="K4347" s="3">
        <v>460</v>
      </c>
      <c r="L4347" t="s">
        <v>120</v>
      </c>
      <c r="M4347">
        <v>16</v>
      </c>
      <c r="N4347" t="s">
        <v>17</v>
      </c>
      <c r="O4347" t="s">
        <v>11</v>
      </c>
      <c r="P4347" t="s">
        <v>18</v>
      </c>
      <c r="Q4347" t="s">
        <v>19</v>
      </c>
      <c r="R4347" t="s">
        <v>138</v>
      </c>
      <c r="S4347" t="s">
        <v>144</v>
      </c>
      <c r="T4347" s="2">
        <f>MASTER[[#This Row],[CANTIDAD]]*MASTER[[#This Row],[PRECIO DE VENTA]]</f>
        <v>941</v>
      </c>
      <c r="U4347" s="2">
        <f>MASTER[[#This Row],[CANTIDAD]]*MASTER[[#This Row],[COSTO UNITARIO]]</f>
        <v>460</v>
      </c>
      <c r="V4347" s="2">
        <f>MASTER[[#This Row],[MONTO VENDIDO]]-MASTER[[#This Row],[COSTO DE VENTA]]</f>
        <v>481</v>
      </c>
    </row>
    <row r="4348" spans="1:22" x14ac:dyDescent="0.3">
      <c r="A4348">
        <v>64590</v>
      </c>
      <c r="B4348">
        <v>1</v>
      </c>
      <c r="C4348" t="s">
        <v>101</v>
      </c>
      <c r="D4348" t="s">
        <v>102</v>
      </c>
      <c r="E4348" s="1">
        <v>44318</v>
      </c>
      <c r="F4348">
        <v>1</v>
      </c>
      <c r="G4348" t="s">
        <v>59</v>
      </c>
      <c r="H4348" t="s">
        <v>60</v>
      </c>
      <c r="I4348" s="3">
        <v>1357</v>
      </c>
      <c r="J4348" s="3">
        <v>1357</v>
      </c>
      <c r="K4348" s="3">
        <v>442</v>
      </c>
      <c r="L4348" t="s">
        <v>98</v>
      </c>
      <c r="M4348">
        <v>9</v>
      </c>
      <c r="N4348" t="s">
        <v>76</v>
      </c>
      <c r="O4348" t="s">
        <v>70</v>
      </c>
      <c r="P4348" t="s">
        <v>12</v>
      </c>
      <c r="Q4348" t="s">
        <v>13</v>
      </c>
      <c r="R4348" t="s">
        <v>13</v>
      </c>
      <c r="S4348" t="s">
        <v>144</v>
      </c>
      <c r="T4348" s="2">
        <f>MASTER[[#This Row],[CANTIDAD]]*MASTER[[#This Row],[PRECIO DE VENTA]]</f>
        <v>1357</v>
      </c>
      <c r="U4348" s="2">
        <f>MASTER[[#This Row],[CANTIDAD]]*MASTER[[#This Row],[COSTO UNITARIO]]</f>
        <v>442</v>
      </c>
      <c r="V4348" s="2">
        <f>MASTER[[#This Row],[MONTO VENDIDO]]-MASTER[[#This Row],[COSTO DE VENTA]]</f>
        <v>915</v>
      </c>
    </row>
    <row r="4349" spans="1:22" x14ac:dyDescent="0.3">
      <c r="A4349">
        <v>64598</v>
      </c>
      <c r="B4349">
        <v>1</v>
      </c>
      <c r="C4349" t="s">
        <v>105</v>
      </c>
      <c r="D4349" t="s">
        <v>106</v>
      </c>
      <c r="E4349" s="1">
        <v>44318</v>
      </c>
      <c r="F4349">
        <v>1</v>
      </c>
      <c r="G4349" t="s">
        <v>59</v>
      </c>
      <c r="H4349" t="s">
        <v>60</v>
      </c>
      <c r="I4349" s="3">
        <v>2033</v>
      </c>
      <c r="J4349" s="3">
        <v>2033</v>
      </c>
      <c r="K4349" s="3">
        <v>459</v>
      </c>
      <c r="L4349" t="s">
        <v>98</v>
      </c>
      <c r="M4349">
        <v>1</v>
      </c>
      <c r="N4349" t="s">
        <v>77</v>
      </c>
      <c r="O4349" t="s">
        <v>70</v>
      </c>
      <c r="P4349" t="s">
        <v>71</v>
      </c>
      <c r="Q4349" t="s">
        <v>72</v>
      </c>
      <c r="R4349" t="s">
        <v>139</v>
      </c>
      <c r="S4349" t="s">
        <v>144</v>
      </c>
      <c r="T4349" s="2">
        <f>MASTER[[#This Row],[CANTIDAD]]*MASTER[[#This Row],[PRECIO DE VENTA]]</f>
        <v>2033</v>
      </c>
      <c r="U4349" s="2">
        <f>MASTER[[#This Row],[CANTIDAD]]*MASTER[[#This Row],[COSTO UNITARIO]]</f>
        <v>459</v>
      </c>
      <c r="V4349" s="2">
        <f>MASTER[[#This Row],[MONTO VENDIDO]]-MASTER[[#This Row],[COSTO DE VENTA]]</f>
        <v>1574</v>
      </c>
    </row>
    <row r="4350" spans="1:22" x14ac:dyDescent="0.3">
      <c r="A4350">
        <v>64620</v>
      </c>
      <c r="B4350">
        <v>1</v>
      </c>
      <c r="C4350" t="s">
        <v>121</v>
      </c>
      <c r="D4350" t="s">
        <v>122</v>
      </c>
      <c r="E4350" s="1">
        <v>44318</v>
      </c>
      <c r="F4350">
        <v>1</v>
      </c>
      <c r="G4350" t="s">
        <v>59</v>
      </c>
      <c r="H4350" t="s">
        <v>60</v>
      </c>
      <c r="I4350" s="3">
        <v>1144</v>
      </c>
      <c r="J4350" s="3">
        <v>1144</v>
      </c>
      <c r="K4350" s="3">
        <v>460</v>
      </c>
      <c r="L4350" t="s">
        <v>120</v>
      </c>
      <c r="M4350">
        <v>18</v>
      </c>
      <c r="N4350" t="s">
        <v>79</v>
      </c>
      <c r="O4350" t="s">
        <v>70</v>
      </c>
      <c r="P4350" t="s">
        <v>15</v>
      </c>
      <c r="Q4350" t="s">
        <v>16</v>
      </c>
      <c r="R4350" t="s">
        <v>16</v>
      </c>
      <c r="S4350" t="s">
        <v>144</v>
      </c>
      <c r="T4350" s="2">
        <f>MASTER[[#This Row],[CANTIDAD]]*MASTER[[#This Row],[PRECIO DE VENTA]]</f>
        <v>1144</v>
      </c>
      <c r="U4350" s="2">
        <f>MASTER[[#This Row],[CANTIDAD]]*MASTER[[#This Row],[COSTO UNITARIO]]</f>
        <v>460</v>
      </c>
      <c r="V4350" s="2">
        <f>MASTER[[#This Row],[MONTO VENDIDO]]-MASTER[[#This Row],[COSTO DE VENTA]]</f>
        <v>684</v>
      </c>
    </row>
    <row r="4351" spans="1:22" x14ac:dyDescent="0.3">
      <c r="A4351">
        <v>64622</v>
      </c>
      <c r="B4351">
        <v>1</v>
      </c>
      <c r="C4351" t="s">
        <v>5</v>
      </c>
      <c r="D4351" t="s">
        <v>6</v>
      </c>
      <c r="E4351" s="1">
        <v>44318</v>
      </c>
      <c r="F4351">
        <v>4</v>
      </c>
      <c r="G4351" t="s">
        <v>35</v>
      </c>
      <c r="H4351" t="s">
        <v>36</v>
      </c>
      <c r="I4351" s="3">
        <v>1507</v>
      </c>
      <c r="J4351" s="3">
        <v>1507</v>
      </c>
      <c r="K4351" s="3">
        <v>393</v>
      </c>
      <c r="L4351" t="s">
        <v>9</v>
      </c>
      <c r="M4351">
        <v>8</v>
      </c>
      <c r="N4351" t="s">
        <v>80</v>
      </c>
      <c r="O4351" t="s">
        <v>81</v>
      </c>
      <c r="P4351" t="s">
        <v>12</v>
      </c>
      <c r="Q4351" t="s">
        <v>13</v>
      </c>
      <c r="R4351" t="s">
        <v>13</v>
      </c>
      <c r="S4351" t="s">
        <v>144</v>
      </c>
      <c r="T4351" s="2">
        <f>MASTER[[#This Row],[CANTIDAD]]*MASTER[[#This Row],[PRECIO DE VENTA]]</f>
        <v>6028</v>
      </c>
      <c r="U4351" s="2">
        <f>MASTER[[#This Row],[CANTIDAD]]*MASTER[[#This Row],[COSTO UNITARIO]]</f>
        <v>1572</v>
      </c>
      <c r="V4351" s="2">
        <f>MASTER[[#This Row],[MONTO VENDIDO]]-MASTER[[#This Row],[COSTO DE VENTA]]</f>
        <v>4456</v>
      </c>
    </row>
    <row r="4352" spans="1:22" x14ac:dyDescent="0.3">
      <c r="A4352">
        <v>64645</v>
      </c>
      <c r="B4352">
        <v>1</v>
      </c>
      <c r="C4352" t="s">
        <v>107</v>
      </c>
      <c r="D4352" t="s">
        <v>108</v>
      </c>
      <c r="E4352" s="1">
        <v>44319</v>
      </c>
      <c r="F4352">
        <v>2</v>
      </c>
      <c r="G4352" t="s">
        <v>39</v>
      </c>
      <c r="H4352" t="s">
        <v>40</v>
      </c>
      <c r="I4352" s="3">
        <v>1333</v>
      </c>
      <c r="J4352" s="3">
        <v>1333</v>
      </c>
      <c r="K4352" s="3">
        <v>380</v>
      </c>
      <c r="L4352" t="s">
        <v>98</v>
      </c>
      <c r="M4352">
        <v>15</v>
      </c>
      <c r="N4352" t="s">
        <v>88</v>
      </c>
      <c r="O4352" t="s">
        <v>81</v>
      </c>
      <c r="P4352" t="s">
        <v>18</v>
      </c>
      <c r="Q4352" t="s">
        <v>19</v>
      </c>
      <c r="R4352" t="s">
        <v>138</v>
      </c>
      <c r="S4352" t="s">
        <v>144</v>
      </c>
      <c r="T4352" s="2">
        <f>MASTER[[#This Row],[CANTIDAD]]*MASTER[[#This Row],[PRECIO DE VENTA]]</f>
        <v>2666</v>
      </c>
      <c r="U4352" s="2">
        <f>MASTER[[#This Row],[CANTIDAD]]*MASTER[[#This Row],[COSTO UNITARIO]]</f>
        <v>760</v>
      </c>
      <c r="V4352" s="2">
        <f>MASTER[[#This Row],[MONTO VENDIDO]]-MASTER[[#This Row],[COSTO DE VENTA]]</f>
        <v>1906</v>
      </c>
    </row>
    <row r="4353" spans="1:22" x14ac:dyDescent="0.3">
      <c r="A4353">
        <v>64650</v>
      </c>
      <c r="B4353">
        <v>1</v>
      </c>
      <c r="C4353" t="s">
        <v>99</v>
      </c>
      <c r="D4353" t="s">
        <v>100</v>
      </c>
      <c r="E4353" s="1">
        <v>44319</v>
      </c>
      <c r="F4353">
        <v>1</v>
      </c>
      <c r="G4353" t="s">
        <v>39</v>
      </c>
      <c r="H4353" t="s">
        <v>40</v>
      </c>
      <c r="I4353" s="3">
        <v>1328</v>
      </c>
      <c r="J4353" s="3">
        <v>1328</v>
      </c>
      <c r="K4353" s="3">
        <v>386</v>
      </c>
      <c r="L4353" t="s">
        <v>98</v>
      </c>
      <c r="M4353">
        <v>17</v>
      </c>
      <c r="N4353" t="s">
        <v>14</v>
      </c>
      <c r="O4353" t="s">
        <v>11</v>
      </c>
      <c r="P4353" t="s">
        <v>15</v>
      </c>
      <c r="Q4353" t="s">
        <v>16</v>
      </c>
      <c r="R4353" t="s">
        <v>16</v>
      </c>
      <c r="S4353" t="s">
        <v>144</v>
      </c>
      <c r="T4353" s="2">
        <f>MASTER[[#This Row],[CANTIDAD]]*MASTER[[#This Row],[PRECIO DE VENTA]]</f>
        <v>1328</v>
      </c>
      <c r="U4353" s="2">
        <f>MASTER[[#This Row],[CANTIDAD]]*MASTER[[#This Row],[COSTO UNITARIO]]</f>
        <v>386</v>
      </c>
      <c r="V4353" s="2">
        <f>MASTER[[#This Row],[MONTO VENDIDO]]-MASTER[[#This Row],[COSTO DE VENTA]]</f>
        <v>942</v>
      </c>
    </row>
    <row r="4354" spans="1:22" x14ac:dyDescent="0.3">
      <c r="A4354">
        <v>64655</v>
      </c>
      <c r="B4354">
        <v>1</v>
      </c>
      <c r="C4354" t="s">
        <v>111</v>
      </c>
      <c r="D4354" t="s">
        <v>112</v>
      </c>
      <c r="E4354" s="1">
        <v>44319</v>
      </c>
      <c r="F4354">
        <v>1</v>
      </c>
      <c r="G4354" t="s">
        <v>35</v>
      </c>
      <c r="H4354" t="s">
        <v>36</v>
      </c>
      <c r="I4354" s="3">
        <v>1799</v>
      </c>
      <c r="J4354" s="3">
        <v>1799</v>
      </c>
      <c r="K4354" s="3">
        <v>434</v>
      </c>
      <c r="L4354" t="s">
        <v>113</v>
      </c>
      <c r="M4354">
        <v>3</v>
      </c>
      <c r="N4354" t="s">
        <v>69</v>
      </c>
      <c r="O4354" t="s">
        <v>70</v>
      </c>
      <c r="P4354" t="s">
        <v>71</v>
      </c>
      <c r="Q4354" t="s">
        <v>72</v>
      </c>
      <c r="R4354" t="s">
        <v>139</v>
      </c>
      <c r="S4354" t="s">
        <v>144</v>
      </c>
      <c r="T4354" s="2">
        <f>MASTER[[#This Row],[CANTIDAD]]*MASTER[[#This Row],[PRECIO DE VENTA]]</f>
        <v>1799</v>
      </c>
      <c r="U4354" s="2">
        <f>MASTER[[#This Row],[CANTIDAD]]*MASTER[[#This Row],[COSTO UNITARIO]]</f>
        <v>434</v>
      </c>
      <c r="V4354" s="2">
        <f>MASTER[[#This Row],[MONTO VENDIDO]]-MASTER[[#This Row],[COSTO DE VENTA]]</f>
        <v>1365</v>
      </c>
    </row>
    <row r="4355" spans="1:22" x14ac:dyDescent="0.3">
      <c r="A4355">
        <v>64673</v>
      </c>
      <c r="B4355">
        <v>1</v>
      </c>
      <c r="C4355" t="s">
        <v>101</v>
      </c>
      <c r="D4355" t="s">
        <v>102</v>
      </c>
      <c r="E4355" s="1">
        <v>44319</v>
      </c>
      <c r="F4355">
        <v>1</v>
      </c>
      <c r="G4355" t="s">
        <v>53</v>
      </c>
      <c r="H4355" t="s">
        <v>54</v>
      </c>
      <c r="I4355" s="3">
        <v>1357</v>
      </c>
      <c r="J4355" s="3">
        <v>1357</v>
      </c>
      <c r="K4355" s="3">
        <v>442</v>
      </c>
      <c r="L4355" t="s">
        <v>98</v>
      </c>
      <c r="M4355">
        <v>13</v>
      </c>
      <c r="N4355" t="s">
        <v>78</v>
      </c>
      <c r="O4355" t="s">
        <v>70</v>
      </c>
      <c r="P4355" t="s">
        <v>18</v>
      </c>
      <c r="Q4355" t="s">
        <v>19</v>
      </c>
      <c r="R4355" t="s">
        <v>138</v>
      </c>
      <c r="S4355" t="s">
        <v>144</v>
      </c>
      <c r="T4355" s="2">
        <f>MASTER[[#This Row],[CANTIDAD]]*MASTER[[#This Row],[PRECIO DE VENTA]]</f>
        <v>1357</v>
      </c>
      <c r="U4355" s="2">
        <f>MASTER[[#This Row],[CANTIDAD]]*MASTER[[#This Row],[COSTO UNITARIO]]</f>
        <v>442</v>
      </c>
      <c r="V4355" s="2">
        <f>MASTER[[#This Row],[MONTO VENDIDO]]-MASTER[[#This Row],[COSTO DE VENTA]]</f>
        <v>915</v>
      </c>
    </row>
    <row r="4356" spans="1:22" x14ac:dyDescent="0.3">
      <c r="A4356">
        <v>64687</v>
      </c>
      <c r="B4356">
        <v>1</v>
      </c>
      <c r="C4356" t="s">
        <v>101</v>
      </c>
      <c r="D4356" t="s">
        <v>102</v>
      </c>
      <c r="E4356" s="1">
        <v>44319</v>
      </c>
      <c r="F4356">
        <v>1</v>
      </c>
      <c r="G4356" t="s">
        <v>29</v>
      </c>
      <c r="H4356" t="s">
        <v>30</v>
      </c>
      <c r="I4356" s="3">
        <v>1212</v>
      </c>
      <c r="J4356" s="3">
        <v>1212</v>
      </c>
      <c r="K4356" s="3">
        <v>442</v>
      </c>
      <c r="L4356" t="s">
        <v>98</v>
      </c>
      <c r="M4356">
        <v>15</v>
      </c>
      <c r="N4356" t="s">
        <v>88</v>
      </c>
      <c r="O4356" t="s">
        <v>81</v>
      </c>
      <c r="P4356" t="s">
        <v>18</v>
      </c>
      <c r="Q4356" t="s">
        <v>19</v>
      </c>
      <c r="R4356" t="s">
        <v>138</v>
      </c>
      <c r="S4356" t="s">
        <v>144</v>
      </c>
      <c r="T4356" s="2">
        <f>MASTER[[#This Row],[CANTIDAD]]*MASTER[[#This Row],[PRECIO DE VENTA]]</f>
        <v>1212</v>
      </c>
      <c r="U4356" s="2">
        <f>MASTER[[#This Row],[CANTIDAD]]*MASTER[[#This Row],[COSTO UNITARIO]]</f>
        <v>442</v>
      </c>
      <c r="V4356" s="2">
        <f>MASTER[[#This Row],[MONTO VENDIDO]]-MASTER[[#This Row],[COSTO DE VENTA]]</f>
        <v>770</v>
      </c>
    </row>
    <row r="4357" spans="1:22" x14ac:dyDescent="0.3">
      <c r="A4357">
        <v>64697</v>
      </c>
      <c r="B4357">
        <v>1</v>
      </c>
      <c r="C4357" t="s">
        <v>111</v>
      </c>
      <c r="D4357" t="s">
        <v>112</v>
      </c>
      <c r="E4357" s="1">
        <v>44319</v>
      </c>
      <c r="F4357">
        <v>4</v>
      </c>
      <c r="G4357" t="s">
        <v>59</v>
      </c>
      <c r="H4357" t="s">
        <v>60</v>
      </c>
      <c r="I4357" s="3">
        <v>1621</v>
      </c>
      <c r="J4357" s="3">
        <v>1556</v>
      </c>
      <c r="K4357" s="3">
        <v>434</v>
      </c>
      <c r="L4357" t="s">
        <v>113</v>
      </c>
      <c r="M4357">
        <v>14</v>
      </c>
      <c r="N4357" t="s">
        <v>87</v>
      </c>
      <c r="O4357" t="s">
        <v>81</v>
      </c>
      <c r="P4357" t="s">
        <v>18</v>
      </c>
      <c r="Q4357" t="s">
        <v>19</v>
      </c>
      <c r="R4357" t="s">
        <v>138</v>
      </c>
      <c r="S4357" t="s">
        <v>144</v>
      </c>
      <c r="T4357" s="2">
        <f>MASTER[[#This Row],[CANTIDAD]]*MASTER[[#This Row],[PRECIO DE VENTA]]</f>
        <v>6224</v>
      </c>
      <c r="U4357" s="2">
        <f>MASTER[[#This Row],[CANTIDAD]]*MASTER[[#This Row],[COSTO UNITARIO]]</f>
        <v>1736</v>
      </c>
      <c r="V4357" s="2">
        <f>MASTER[[#This Row],[MONTO VENDIDO]]-MASTER[[#This Row],[COSTO DE VENTA]]</f>
        <v>4488</v>
      </c>
    </row>
    <row r="4358" spans="1:22" x14ac:dyDescent="0.3">
      <c r="A4358">
        <v>64699</v>
      </c>
      <c r="B4358">
        <v>1</v>
      </c>
      <c r="C4358" t="s">
        <v>107</v>
      </c>
      <c r="D4358" t="s">
        <v>108</v>
      </c>
      <c r="E4358" s="1">
        <v>44319</v>
      </c>
      <c r="F4358">
        <v>1</v>
      </c>
      <c r="G4358" t="s">
        <v>49</v>
      </c>
      <c r="H4358" t="s">
        <v>50</v>
      </c>
      <c r="I4358" s="3">
        <v>1440</v>
      </c>
      <c r="J4358" s="3">
        <v>1440</v>
      </c>
      <c r="K4358" s="3">
        <v>380</v>
      </c>
      <c r="L4358" t="s">
        <v>98</v>
      </c>
      <c r="M4358">
        <v>3</v>
      </c>
      <c r="N4358" t="s">
        <v>69</v>
      </c>
      <c r="O4358" t="s">
        <v>70</v>
      </c>
      <c r="P4358" t="s">
        <v>71</v>
      </c>
      <c r="Q4358" t="s">
        <v>72</v>
      </c>
      <c r="R4358" t="s">
        <v>139</v>
      </c>
      <c r="S4358" t="s">
        <v>144</v>
      </c>
      <c r="T4358" s="2">
        <f>MASTER[[#This Row],[CANTIDAD]]*MASTER[[#This Row],[PRECIO DE VENTA]]</f>
        <v>1440</v>
      </c>
      <c r="U4358" s="2">
        <f>MASTER[[#This Row],[CANTIDAD]]*MASTER[[#This Row],[COSTO UNITARIO]]</f>
        <v>380</v>
      </c>
      <c r="V4358" s="2">
        <f>MASTER[[#This Row],[MONTO VENDIDO]]-MASTER[[#This Row],[COSTO DE VENTA]]</f>
        <v>1060</v>
      </c>
    </row>
    <row r="4359" spans="1:22" x14ac:dyDescent="0.3">
      <c r="A4359">
        <v>64708</v>
      </c>
      <c r="B4359">
        <v>1</v>
      </c>
      <c r="C4359" t="s">
        <v>90</v>
      </c>
      <c r="D4359" t="s">
        <v>91</v>
      </c>
      <c r="E4359" s="1">
        <v>44319</v>
      </c>
      <c r="F4359">
        <v>1</v>
      </c>
      <c r="G4359" t="s">
        <v>35</v>
      </c>
      <c r="H4359" t="s">
        <v>36</v>
      </c>
      <c r="I4359" s="3">
        <v>1660</v>
      </c>
      <c r="J4359" s="3">
        <v>1660</v>
      </c>
      <c r="K4359" s="3">
        <v>420</v>
      </c>
      <c r="L4359" t="s">
        <v>9</v>
      </c>
      <c r="M4359">
        <v>16</v>
      </c>
      <c r="N4359" t="s">
        <v>17</v>
      </c>
      <c r="O4359" t="s">
        <v>11</v>
      </c>
      <c r="P4359" t="s">
        <v>18</v>
      </c>
      <c r="Q4359" t="s">
        <v>19</v>
      </c>
      <c r="R4359" t="s">
        <v>138</v>
      </c>
      <c r="S4359" t="s">
        <v>144</v>
      </c>
      <c r="T4359" s="2">
        <f>MASTER[[#This Row],[CANTIDAD]]*MASTER[[#This Row],[PRECIO DE VENTA]]</f>
        <v>1660</v>
      </c>
      <c r="U4359" s="2">
        <f>MASTER[[#This Row],[CANTIDAD]]*MASTER[[#This Row],[COSTO UNITARIO]]</f>
        <v>420</v>
      </c>
      <c r="V4359" s="2">
        <f>MASTER[[#This Row],[MONTO VENDIDO]]-MASTER[[#This Row],[COSTO DE VENTA]]</f>
        <v>1240</v>
      </c>
    </row>
    <row r="4360" spans="1:22" x14ac:dyDescent="0.3">
      <c r="A4360">
        <v>64727</v>
      </c>
      <c r="B4360">
        <v>1</v>
      </c>
      <c r="C4360" t="s">
        <v>90</v>
      </c>
      <c r="D4360" t="s">
        <v>91</v>
      </c>
      <c r="E4360" s="1">
        <v>44320</v>
      </c>
      <c r="F4360">
        <v>1</v>
      </c>
      <c r="G4360" t="s">
        <v>27</v>
      </c>
      <c r="H4360" t="s">
        <v>28</v>
      </c>
      <c r="I4360" s="3">
        <v>2102</v>
      </c>
      <c r="J4360" s="3">
        <v>2102</v>
      </c>
      <c r="K4360" s="3">
        <v>420</v>
      </c>
      <c r="L4360" t="s">
        <v>9</v>
      </c>
      <c r="M4360">
        <v>18</v>
      </c>
      <c r="N4360" t="s">
        <v>79</v>
      </c>
      <c r="O4360" t="s">
        <v>70</v>
      </c>
      <c r="P4360" t="s">
        <v>15</v>
      </c>
      <c r="Q4360" t="s">
        <v>16</v>
      </c>
      <c r="R4360" t="s">
        <v>16</v>
      </c>
      <c r="S4360" t="s">
        <v>144</v>
      </c>
      <c r="T4360" s="2">
        <f>MASTER[[#This Row],[CANTIDAD]]*MASTER[[#This Row],[PRECIO DE VENTA]]</f>
        <v>2102</v>
      </c>
      <c r="U4360" s="2">
        <f>MASTER[[#This Row],[CANTIDAD]]*MASTER[[#This Row],[COSTO UNITARIO]]</f>
        <v>420</v>
      </c>
      <c r="V4360" s="2">
        <f>MASTER[[#This Row],[MONTO VENDIDO]]-MASTER[[#This Row],[COSTO DE VENTA]]</f>
        <v>1682</v>
      </c>
    </row>
    <row r="4361" spans="1:22" x14ac:dyDescent="0.3">
      <c r="A4361">
        <v>64744</v>
      </c>
      <c r="B4361">
        <v>1</v>
      </c>
      <c r="C4361" t="s">
        <v>99</v>
      </c>
      <c r="D4361" t="s">
        <v>100</v>
      </c>
      <c r="E4361" s="1">
        <v>44320</v>
      </c>
      <c r="F4361">
        <v>1</v>
      </c>
      <c r="G4361" t="s">
        <v>22</v>
      </c>
      <c r="H4361" t="s">
        <v>23</v>
      </c>
      <c r="I4361" s="3">
        <v>1459</v>
      </c>
      <c r="J4361" s="3">
        <v>1459</v>
      </c>
      <c r="K4361" s="3">
        <v>386</v>
      </c>
      <c r="L4361" t="s">
        <v>98</v>
      </c>
      <c r="M4361">
        <v>19</v>
      </c>
      <c r="N4361" t="s">
        <v>89</v>
      </c>
      <c r="O4361" t="s">
        <v>81</v>
      </c>
      <c r="P4361" t="s">
        <v>15</v>
      </c>
      <c r="Q4361" t="s">
        <v>16</v>
      </c>
      <c r="R4361" t="s">
        <v>16</v>
      </c>
      <c r="S4361" t="s">
        <v>144</v>
      </c>
      <c r="T4361" s="2">
        <f>MASTER[[#This Row],[CANTIDAD]]*MASTER[[#This Row],[PRECIO DE VENTA]]</f>
        <v>1459</v>
      </c>
      <c r="U4361" s="2">
        <f>MASTER[[#This Row],[CANTIDAD]]*MASTER[[#This Row],[COSTO UNITARIO]]</f>
        <v>386</v>
      </c>
      <c r="V4361" s="2">
        <f>MASTER[[#This Row],[MONTO VENDIDO]]-MASTER[[#This Row],[COSTO DE VENTA]]</f>
        <v>1073</v>
      </c>
    </row>
    <row r="4362" spans="1:22" x14ac:dyDescent="0.3">
      <c r="A4362">
        <v>64748</v>
      </c>
      <c r="B4362">
        <v>1</v>
      </c>
      <c r="C4362" t="s">
        <v>5</v>
      </c>
      <c r="D4362" t="s">
        <v>6</v>
      </c>
      <c r="E4362" s="1">
        <v>44320</v>
      </c>
      <c r="F4362">
        <v>1</v>
      </c>
      <c r="G4362" t="s">
        <v>47</v>
      </c>
      <c r="H4362" t="s">
        <v>48</v>
      </c>
      <c r="I4362" s="3">
        <v>1507</v>
      </c>
      <c r="J4362" s="3">
        <v>1507</v>
      </c>
      <c r="K4362" s="3">
        <v>393</v>
      </c>
      <c r="L4362" t="s">
        <v>9</v>
      </c>
      <c r="M4362">
        <v>2</v>
      </c>
      <c r="N4362" t="s">
        <v>86</v>
      </c>
      <c r="O4362" t="s">
        <v>81</v>
      </c>
      <c r="P4362" t="s">
        <v>71</v>
      </c>
      <c r="Q4362" t="s">
        <v>72</v>
      </c>
      <c r="R4362" t="s">
        <v>139</v>
      </c>
      <c r="S4362" t="s">
        <v>144</v>
      </c>
      <c r="T4362" s="2">
        <f>MASTER[[#This Row],[CANTIDAD]]*MASTER[[#This Row],[PRECIO DE VENTA]]</f>
        <v>1507</v>
      </c>
      <c r="U4362" s="2">
        <f>MASTER[[#This Row],[CANTIDAD]]*MASTER[[#This Row],[COSTO UNITARIO]]</f>
        <v>393</v>
      </c>
      <c r="V4362" s="2">
        <f>MASTER[[#This Row],[MONTO VENDIDO]]-MASTER[[#This Row],[COSTO DE VENTA]]</f>
        <v>1114</v>
      </c>
    </row>
    <row r="4363" spans="1:22" x14ac:dyDescent="0.3">
      <c r="A4363">
        <v>64748</v>
      </c>
      <c r="B4363">
        <v>2</v>
      </c>
      <c r="C4363" t="s">
        <v>92</v>
      </c>
      <c r="D4363" t="s">
        <v>93</v>
      </c>
      <c r="E4363" s="1">
        <v>44320</v>
      </c>
      <c r="F4363">
        <v>1</v>
      </c>
      <c r="G4363" t="s">
        <v>7</v>
      </c>
      <c r="H4363" t="s">
        <v>8</v>
      </c>
      <c r="I4363" s="3">
        <v>1681</v>
      </c>
      <c r="J4363" s="3">
        <v>1681</v>
      </c>
      <c r="K4363" s="3">
        <v>396</v>
      </c>
      <c r="L4363" t="s">
        <v>9</v>
      </c>
      <c r="M4363">
        <v>2</v>
      </c>
      <c r="N4363" t="s">
        <v>86</v>
      </c>
      <c r="O4363" t="s">
        <v>81</v>
      </c>
      <c r="P4363" t="s">
        <v>71</v>
      </c>
      <c r="Q4363" t="s">
        <v>72</v>
      </c>
      <c r="R4363" t="s">
        <v>139</v>
      </c>
      <c r="S4363" t="s">
        <v>144</v>
      </c>
      <c r="T4363" s="2">
        <f>MASTER[[#This Row],[CANTIDAD]]*MASTER[[#This Row],[PRECIO DE VENTA]]</f>
        <v>1681</v>
      </c>
      <c r="U4363" s="2">
        <f>MASTER[[#This Row],[CANTIDAD]]*MASTER[[#This Row],[COSTO UNITARIO]]</f>
        <v>396</v>
      </c>
      <c r="V4363" s="2">
        <f>MASTER[[#This Row],[MONTO VENDIDO]]-MASTER[[#This Row],[COSTO DE VENTA]]</f>
        <v>1285</v>
      </c>
    </row>
    <row r="4364" spans="1:22" x14ac:dyDescent="0.3">
      <c r="A4364">
        <v>64769</v>
      </c>
      <c r="B4364">
        <v>1</v>
      </c>
      <c r="C4364" t="s">
        <v>5</v>
      </c>
      <c r="D4364" t="s">
        <v>6</v>
      </c>
      <c r="E4364" s="1">
        <v>44320</v>
      </c>
      <c r="F4364">
        <v>1</v>
      </c>
      <c r="G4364" t="s">
        <v>31</v>
      </c>
      <c r="H4364" t="s">
        <v>32</v>
      </c>
      <c r="I4364" s="3">
        <v>1311</v>
      </c>
      <c r="J4364" s="3">
        <v>1311</v>
      </c>
      <c r="K4364" s="3">
        <v>393</v>
      </c>
      <c r="L4364" t="s">
        <v>9</v>
      </c>
      <c r="M4364">
        <v>17</v>
      </c>
      <c r="N4364" t="s">
        <v>14</v>
      </c>
      <c r="O4364" t="s">
        <v>11</v>
      </c>
      <c r="P4364" t="s">
        <v>15</v>
      </c>
      <c r="Q4364" t="s">
        <v>16</v>
      </c>
      <c r="R4364" t="s">
        <v>16</v>
      </c>
      <c r="S4364" t="s">
        <v>144</v>
      </c>
      <c r="T4364" s="2">
        <f>MASTER[[#This Row],[CANTIDAD]]*MASTER[[#This Row],[PRECIO DE VENTA]]</f>
        <v>1311</v>
      </c>
      <c r="U4364" s="2">
        <f>MASTER[[#This Row],[CANTIDAD]]*MASTER[[#This Row],[COSTO UNITARIO]]</f>
        <v>393</v>
      </c>
      <c r="V4364" s="2">
        <f>MASTER[[#This Row],[MONTO VENDIDO]]-MASTER[[#This Row],[COSTO DE VENTA]]</f>
        <v>918</v>
      </c>
    </row>
    <row r="4365" spans="1:22" x14ac:dyDescent="0.3">
      <c r="A4365">
        <v>64778</v>
      </c>
      <c r="B4365">
        <v>1</v>
      </c>
      <c r="C4365" t="s">
        <v>121</v>
      </c>
      <c r="D4365" t="s">
        <v>122</v>
      </c>
      <c r="E4365" s="1">
        <v>44320</v>
      </c>
      <c r="F4365">
        <v>1</v>
      </c>
      <c r="G4365" t="s">
        <v>51</v>
      </c>
      <c r="H4365" t="s">
        <v>52</v>
      </c>
      <c r="I4365" s="3">
        <v>1069</v>
      </c>
      <c r="J4365" s="3">
        <v>1069</v>
      </c>
      <c r="K4365" s="3">
        <v>460</v>
      </c>
      <c r="L4365" t="s">
        <v>120</v>
      </c>
      <c r="M4365">
        <v>8</v>
      </c>
      <c r="N4365" t="s">
        <v>80</v>
      </c>
      <c r="O4365" t="s">
        <v>81</v>
      </c>
      <c r="P4365" t="s">
        <v>12</v>
      </c>
      <c r="Q4365" t="s">
        <v>13</v>
      </c>
      <c r="R4365" t="s">
        <v>13</v>
      </c>
      <c r="S4365" t="s">
        <v>144</v>
      </c>
      <c r="T4365" s="2">
        <f>MASTER[[#This Row],[CANTIDAD]]*MASTER[[#This Row],[PRECIO DE VENTA]]</f>
        <v>1069</v>
      </c>
      <c r="U4365" s="2">
        <f>MASTER[[#This Row],[CANTIDAD]]*MASTER[[#This Row],[COSTO UNITARIO]]</f>
        <v>460</v>
      </c>
      <c r="V4365" s="2">
        <f>MASTER[[#This Row],[MONTO VENDIDO]]-MASTER[[#This Row],[COSTO DE VENTA]]</f>
        <v>609</v>
      </c>
    </row>
    <row r="4366" spans="1:22" x14ac:dyDescent="0.3">
      <c r="A4366">
        <v>64779</v>
      </c>
      <c r="B4366">
        <v>1</v>
      </c>
      <c r="C4366" t="s">
        <v>103</v>
      </c>
      <c r="D4366" t="s">
        <v>104</v>
      </c>
      <c r="E4366" s="1">
        <v>44320</v>
      </c>
      <c r="F4366">
        <v>3</v>
      </c>
      <c r="G4366" t="s">
        <v>47</v>
      </c>
      <c r="H4366" t="s">
        <v>48</v>
      </c>
      <c r="I4366" s="3">
        <v>1830</v>
      </c>
      <c r="J4366" s="3">
        <v>1830</v>
      </c>
      <c r="K4366" s="3">
        <v>421</v>
      </c>
      <c r="L4366" t="s">
        <v>98</v>
      </c>
      <c r="M4366">
        <v>18</v>
      </c>
      <c r="N4366" t="s">
        <v>79</v>
      </c>
      <c r="O4366" t="s">
        <v>70</v>
      </c>
      <c r="P4366" t="s">
        <v>15</v>
      </c>
      <c r="Q4366" t="s">
        <v>16</v>
      </c>
      <c r="R4366" t="s">
        <v>16</v>
      </c>
      <c r="S4366" t="s">
        <v>144</v>
      </c>
      <c r="T4366" s="2">
        <f>MASTER[[#This Row],[CANTIDAD]]*MASTER[[#This Row],[PRECIO DE VENTA]]</f>
        <v>5490</v>
      </c>
      <c r="U4366" s="2">
        <f>MASTER[[#This Row],[CANTIDAD]]*MASTER[[#This Row],[COSTO UNITARIO]]</f>
        <v>1263</v>
      </c>
      <c r="V4366" s="2">
        <f>MASTER[[#This Row],[MONTO VENDIDO]]-MASTER[[#This Row],[COSTO DE VENTA]]</f>
        <v>4227</v>
      </c>
    </row>
    <row r="4367" spans="1:22" x14ac:dyDescent="0.3">
      <c r="A4367">
        <v>64793</v>
      </c>
      <c r="B4367">
        <v>1</v>
      </c>
      <c r="C4367" t="s">
        <v>114</v>
      </c>
      <c r="D4367" t="s">
        <v>115</v>
      </c>
      <c r="E4367" s="1">
        <v>44320</v>
      </c>
      <c r="F4367">
        <v>1</v>
      </c>
      <c r="G4367" t="s">
        <v>20</v>
      </c>
      <c r="H4367" t="s">
        <v>21</v>
      </c>
      <c r="I4367" s="3">
        <v>1583</v>
      </c>
      <c r="J4367" s="3">
        <v>1583</v>
      </c>
      <c r="K4367" s="3">
        <v>394</v>
      </c>
      <c r="L4367" t="s">
        <v>113</v>
      </c>
      <c r="M4367">
        <v>17</v>
      </c>
      <c r="N4367" t="s">
        <v>14</v>
      </c>
      <c r="O4367" t="s">
        <v>11</v>
      </c>
      <c r="P4367" t="s">
        <v>15</v>
      </c>
      <c r="Q4367" t="s">
        <v>16</v>
      </c>
      <c r="R4367" t="s">
        <v>16</v>
      </c>
      <c r="S4367" t="s">
        <v>144</v>
      </c>
      <c r="T4367" s="2">
        <f>MASTER[[#This Row],[CANTIDAD]]*MASTER[[#This Row],[PRECIO DE VENTA]]</f>
        <v>1583</v>
      </c>
      <c r="U4367" s="2">
        <f>MASTER[[#This Row],[CANTIDAD]]*MASTER[[#This Row],[COSTO UNITARIO]]</f>
        <v>394</v>
      </c>
      <c r="V4367" s="2">
        <f>MASTER[[#This Row],[MONTO VENDIDO]]-MASTER[[#This Row],[COSTO DE VENTA]]</f>
        <v>1189</v>
      </c>
    </row>
    <row r="4368" spans="1:22" x14ac:dyDescent="0.3">
      <c r="A4368">
        <v>64796</v>
      </c>
      <c r="B4368">
        <v>1</v>
      </c>
      <c r="C4368" t="s">
        <v>111</v>
      </c>
      <c r="D4368" t="s">
        <v>112</v>
      </c>
      <c r="E4368" s="1">
        <v>44320</v>
      </c>
      <c r="F4368">
        <v>1</v>
      </c>
      <c r="G4368" t="s">
        <v>55</v>
      </c>
      <c r="H4368" t="s">
        <v>56</v>
      </c>
      <c r="I4368" s="3">
        <v>1799</v>
      </c>
      <c r="J4368" s="3">
        <v>1799</v>
      </c>
      <c r="K4368" s="3">
        <v>434</v>
      </c>
      <c r="L4368" t="s">
        <v>113</v>
      </c>
      <c r="M4368">
        <v>3</v>
      </c>
      <c r="N4368" t="s">
        <v>69</v>
      </c>
      <c r="O4368" t="s">
        <v>70</v>
      </c>
      <c r="P4368" t="s">
        <v>71</v>
      </c>
      <c r="Q4368" t="s">
        <v>72</v>
      </c>
      <c r="R4368" t="s">
        <v>139</v>
      </c>
      <c r="S4368" t="s">
        <v>144</v>
      </c>
      <c r="T4368" s="2">
        <f>MASTER[[#This Row],[CANTIDAD]]*MASTER[[#This Row],[PRECIO DE VENTA]]</f>
        <v>1799</v>
      </c>
      <c r="U4368" s="2">
        <f>MASTER[[#This Row],[CANTIDAD]]*MASTER[[#This Row],[COSTO UNITARIO]]</f>
        <v>434</v>
      </c>
      <c r="V4368" s="2">
        <f>MASTER[[#This Row],[MONTO VENDIDO]]-MASTER[[#This Row],[COSTO DE VENTA]]</f>
        <v>1365</v>
      </c>
    </row>
    <row r="4369" spans="1:22" x14ac:dyDescent="0.3">
      <c r="A4369">
        <v>64800</v>
      </c>
      <c r="B4369">
        <v>1</v>
      </c>
      <c r="C4369" t="s">
        <v>121</v>
      </c>
      <c r="D4369" t="s">
        <v>122</v>
      </c>
      <c r="E4369" s="1">
        <v>44320</v>
      </c>
      <c r="F4369">
        <v>1</v>
      </c>
      <c r="G4369" t="s">
        <v>27</v>
      </c>
      <c r="H4369" t="s">
        <v>28</v>
      </c>
      <c r="I4369" s="3">
        <v>1069</v>
      </c>
      <c r="J4369" s="3">
        <v>1069</v>
      </c>
      <c r="K4369" s="3">
        <v>460</v>
      </c>
      <c r="L4369" t="s">
        <v>120</v>
      </c>
      <c r="M4369">
        <v>19</v>
      </c>
      <c r="N4369" t="s">
        <v>89</v>
      </c>
      <c r="O4369" t="s">
        <v>81</v>
      </c>
      <c r="P4369" t="s">
        <v>15</v>
      </c>
      <c r="Q4369" t="s">
        <v>16</v>
      </c>
      <c r="R4369" t="s">
        <v>16</v>
      </c>
      <c r="S4369" t="s">
        <v>144</v>
      </c>
      <c r="T4369" s="2">
        <f>MASTER[[#This Row],[CANTIDAD]]*MASTER[[#This Row],[PRECIO DE VENTA]]</f>
        <v>1069</v>
      </c>
      <c r="U4369" s="2">
        <f>MASTER[[#This Row],[CANTIDAD]]*MASTER[[#This Row],[COSTO UNITARIO]]</f>
        <v>460</v>
      </c>
      <c r="V4369" s="2">
        <f>MASTER[[#This Row],[MONTO VENDIDO]]-MASTER[[#This Row],[COSTO DE VENTA]]</f>
        <v>609</v>
      </c>
    </row>
    <row r="4370" spans="1:22" x14ac:dyDescent="0.3">
      <c r="A4370">
        <v>64807</v>
      </c>
      <c r="B4370">
        <v>1</v>
      </c>
      <c r="C4370" t="s">
        <v>94</v>
      </c>
      <c r="D4370" t="s">
        <v>95</v>
      </c>
      <c r="E4370" s="1">
        <v>44320</v>
      </c>
      <c r="F4370">
        <v>1</v>
      </c>
      <c r="G4370" t="s">
        <v>51</v>
      </c>
      <c r="H4370" t="s">
        <v>52</v>
      </c>
      <c r="I4370" s="3">
        <v>1153</v>
      </c>
      <c r="J4370" s="3">
        <v>1153</v>
      </c>
      <c r="K4370" s="3">
        <v>392</v>
      </c>
      <c r="L4370" t="s">
        <v>9</v>
      </c>
      <c r="M4370">
        <v>3</v>
      </c>
      <c r="N4370" t="s">
        <v>69</v>
      </c>
      <c r="O4370" t="s">
        <v>70</v>
      </c>
      <c r="P4370" t="s">
        <v>71</v>
      </c>
      <c r="Q4370" t="s">
        <v>72</v>
      </c>
      <c r="R4370" t="s">
        <v>139</v>
      </c>
      <c r="S4370" t="s">
        <v>144</v>
      </c>
      <c r="T4370" s="2">
        <f>MASTER[[#This Row],[CANTIDAD]]*MASTER[[#This Row],[PRECIO DE VENTA]]</f>
        <v>1153</v>
      </c>
      <c r="U4370" s="2">
        <f>MASTER[[#This Row],[CANTIDAD]]*MASTER[[#This Row],[COSTO UNITARIO]]</f>
        <v>392</v>
      </c>
      <c r="V4370" s="2">
        <f>MASTER[[#This Row],[MONTO VENDIDO]]-MASTER[[#This Row],[COSTO DE VENTA]]</f>
        <v>761</v>
      </c>
    </row>
    <row r="4371" spans="1:22" x14ac:dyDescent="0.3">
      <c r="A4371">
        <v>64811</v>
      </c>
      <c r="B4371">
        <v>1</v>
      </c>
      <c r="C4371" t="s">
        <v>94</v>
      </c>
      <c r="D4371" t="s">
        <v>95</v>
      </c>
      <c r="E4371" s="1">
        <v>44321</v>
      </c>
      <c r="F4371">
        <v>1</v>
      </c>
      <c r="G4371" t="s">
        <v>41</v>
      </c>
      <c r="H4371" t="s">
        <v>42</v>
      </c>
      <c r="I4371" s="3">
        <v>1048</v>
      </c>
      <c r="J4371" s="3">
        <v>1048</v>
      </c>
      <c r="K4371" s="3">
        <v>392</v>
      </c>
      <c r="L4371" t="s">
        <v>9</v>
      </c>
      <c r="M4371">
        <v>5</v>
      </c>
      <c r="N4371" t="s">
        <v>85</v>
      </c>
      <c r="O4371" t="s">
        <v>81</v>
      </c>
      <c r="P4371" t="s">
        <v>12</v>
      </c>
      <c r="Q4371" t="s">
        <v>13</v>
      </c>
      <c r="R4371" t="s">
        <v>13</v>
      </c>
      <c r="S4371" t="s">
        <v>144</v>
      </c>
      <c r="T4371" s="2">
        <f>MASTER[[#This Row],[CANTIDAD]]*MASTER[[#This Row],[PRECIO DE VENTA]]</f>
        <v>1048</v>
      </c>
      <c r="U4371" s="2">
        <f>MASTER[[#This Row],[CANTIDAD]]*MASTER[[#This Row],[COSTO UNITARIO]]</f>
        <v>392</v>
      </c>
      <c r="V4371" s="2">
        <f>MASTER[[#This Row],[MONTO VENDIDO]]-MASTER[[#This Row],[COSTO DE VENTA]]</f>
        <v>656</v>
      </c>
    </row>
    <row r="4372" spans="1:22" x14ac:dyDescent="0.3">
      <c r="A4372">
        <v>64814</v>
      </c>
      <c r="B4372">
        <v>1</v>
      </c>
      <c r="C4372" t="s">
        <v>99</v>
      </c>
      <c r="D4372" t="s">
        <v>100</v>
      </c>
      <c r="E4372" s="1">
        <v>44321</v>
      </c>
      <c r="F4372">
        <v>1</v>
      </c>
      <c r="G4372" t="s">
        <v>35</v>
      </c>
      <c r="H4372" t="s">
        <v>36</v>
      </c>
      <c r="I4372" s="3">
        <v>1678</v>
      </c>
      <c r="J4372" s="3">
        <v>1678</v>
      </c>
      <c r="K4372" s="3">
        <v>386</v>
      </c>
      <c r="L4372" t="s">
        <v>98</v>
      </c>
      <c r="M4372">
        <v>1</v>
      </c>
      <c r="N4372" t="s">
        <v>77</v>
      </c>
      <c r="O4372" t="s">
        <v>70</v>
      </c>
      <c r="P4372" t="s">
        <v>71</v>
      </c>
      <c r="Q4372" t="s">
        <v>72</v>
      </c>
      <c r="R4372" t="s">
        <v>139</v>
      </c>
      <c r="S4372" t="s">
        <v>144</v>
      </c>
      <c r="T4372" s="2">
        <f>MASTER[[#This Row],[CANTIDAD]]*MASTER[[#This Row],[PRECIO DE VENTA]]</f>
        <v>1678</v>
      </c>
      <c r="U4372" s="2">
        <f>MASTER[[#This Row],[CANTIDAD]]*MASTER[[#This Row],[COSTO UNITARIO]]</f>
        <v>386</v>
      </c>
      <c r="V4372" s="2">
        <f>MASTER[[#This Row],[MONTO VENDIDO]]-MASTER[[#This Row],[COSTO DE VENTA]]</f>
        <v>1292</v>
      </c>
    </row>
    <row r="4373" spans="1:22" x14ac:dyDescent="0.3">
      <c r="A4373">
        <v>64826</v>
      </c>
      <c r="B4373">
        <v>1</v>
      </c>
      <c r="C4373" t="s">
        <v>94</v>
      </c>
      <c r="D4373" t="s">
        <v>95</v>
      </c>
      <c r="E4373" s="1">
        <v>44321</v>
      </c>
      <c r="F4373">
        <v>1</v>
      </c>
      <c r="G4373" t="s">
        <v>45</v>
      </c>
      <c r="H4373" t="s">
        <v>46</v>
      </c>
      <c r="I4373" s="3">
        <v>1153</v>
      </c>
      <c r="J4373" s="3">
        <v>1153</v>
      </c>
      <c r="K4373" s="3">
        <v>392</v>
      </c>
      <c r="L4373" t="s">
        <v>9</v>
      </c>
      <c r="M4373">
        <v>9</v>
      </c>
      <c r="N4373" t="s">
        <v>76</v>
      </c>
      <c r="O4373" t="s">
        <v>70</v>
      </c>
      <c r="P4373" t="s">
        <v>12</v>
      </c>
      <c r="Q4373" t="s">
        <v>13</v>
      </c>
      <c r="R4373" t="s">
        <v>13</v>
      </c>
      <c r="S4373" t="s">
        <v>144</v>
      </c>
      <c r="T4373" s="2">
        <f>MASTER[[#This Row],[CANTIDAD]]*MASTER[[#This Row],[PRECIO DE VENTA]]</f>
        <v>1153</v>
      </c>
      <c r="U4373" s="2">
        <f>MASTER[[#This Row],[CANTIDAD]]*MASTER[[#This Row],[COSTO UNITARIO]]</f>
        <v>392</v>
      </c>
      <c r="V4373" s="2">
        <f>MASTER[[#This Row],[MONTO VENDIDO]]-MASTER[[#This Row],[COSTO DE VENTA]]</f>
        <v>761</v>
      </c>
    </row>
    <row r="4374" spans="1:22" x14ac:dyDescent="0.3">
      <c r="A4374">
        <v>64836</v>
      </c>
      <c r="B4374">
        <v>1</v>
      </c>
      <c r="C4374" t="s">
        <v>5</v>
      </c>
      <c r="D4374" t="s">
        <v>6</v>
      </c>
      <c r="E4374" s="1">
        <v>44321</v>
      </c>
      <c r="F4374">
        <v>1</v>
      </c>
      <c r="G4374" t="s">
        <v>7</v>
      </c>
      <c r="H4374" t="s">
        <v>8</v>
      </c>
      <c r="I4374" s="3">
        <v>1296</v>
      </c>
      <c r="J4374" s="3">
        <v>1296</v>
      </c>
      <c r="K4374" s="3">
        <v>393</v>
      </c>
      <c r="L4374" t="s">
        <v>9</v>
      </c>
      <c r="M4374">
        <v>9</v>
      </c>
      <c r="N4374" t="s">
        <v>76</v>
      </c>
      <c r="O4374" t="s">
        <v>70</v>
      </c>
      <c r="P4374" t="s">
        <v>12</v>
      </c>
      <c r="Q4374" t="s">
        <v>13</v>
      </c>
      <c r="R4374" t="s">
        <v>13</v>
      </c>
      <c r="S4374" t="s">
        <v>144</v>
      </c>
      <c r="T4374" s="2">
        <f>MASTER[[#This Row],[CANTIDAD]]*MASTER[[#This Row],[PRECIO DE VENTA]]</f>
        <v>1296</v>
      </c>
      <c r="U4374" s="2">
        <f>MASTER[[#This Row],[CANTIDAD]]*MASTER[[#This Row],[COSTO UNITARIO]]</f>
        <v>393</v>
      </c>
      <c r="V4374" s="2">
        <f>MASTER[[#This Row],[MONTO VENDIDO]]-MASTER[[#This Row],[COSTO DE VENTA]]</f>
        <v>903</v>
      </c>
    </row>
    <row r="4375" spans="1:22" x14ac:dyDescent="0.3">
      <c r="A4375">
        <v>64853</v>
      </c>
      <c r="B4375">
        <v>1</v>
      </c>
      <c r="C4375" t="s">
        <v>96</v>
      </c>
      <c r="D4375" t="s">
        <v>97</v>
      </c>
      <c r="E4375" s="1">
        <v>44321</v>
      </c>
      <c r="F4375">
        <v>1</v>
      </c>
      <c r="G4375" t="s">
        <v>22</v>
      </c>
      <c r="H4375" t="s">
        <v>23</v>
      </c>
      <c r="I4375" s="3">
        <v>1272</v>
      </c>
      <c r="J4375" s="3">
        <v>1272</v>
      </c>
      <c r="K4375" s="3">
        <v>397</v>
      </c>
      <c r="L4375" t="s">
        <v>98</v>
      </c>
      <c r="M4375">
        <v>5</v>
      </c>
      <c r="N4375" t="s">
        <v>85</v>
      </c>
      <c r="O4375" t="s">
        <v>81</v>
      </c>
      <c r="P4375" t="s">
        <v>12</v>
      </c>
      <c r="Q4375" t="s">
        <v>13</v>
      </c>
      <c r="R4375" t="s">
        <v>13</v>
      </c>
      <c r="S4375" t="s">
        <v>144</v>
      </c>
      <c r="T4375" s="2">
        <f>MASTER[[#This Row],[CANTIDAD]]*MASTER[[#This Row],[PRECIO DE VENTA]]</f>
        <v>1272</v>
      </c>
      <c r="U4375" s="2">
        <f>MASTER[[#This Row],[CANTIDAD]]*MASTER[[#This Row],[COSTO UNITARIO]]</f>
        <v>397</v>
      </c>
      <c r="V4375" s="2">
        <f>MASTER[[#This Row],[MONTO VENDIDO]]-MASTER[[#This Row],[COSTO DE VENTA]]</f>
        <v>875</v>
      </c>
    </row>
    <row r="4376" spans="1:22" x14ac:dyDescent="0.3">
      <c r="A4376">
        <v>64866</v>
      </c>
      <c r="B4376">
        <v>1</v>
      </c>
      <c r="C4376" t="s">
        <v>92</v>
      </c>
      <c r="D4376" t="s">
        <v>93</v>
      </c>
      <c r="E4376" s="1">
        <v>44321</v>
      </c>
      <c r="F4376">
        <v>1</v>
      </c>
      <c r="G4376" t="s">
        <v>63</v>
      </c>
      <c r="H4376" t="s">
        <v>64</v>
      </c>
      <c r="I4376" s="3">
        <v>1479</v>
      </c>
      <c r="J4376" s="3">
        <v>1479</v>
      </c>
      <c r="K4376" s="3">
        <v>396</v>
      </c>
      <c r="L4376" t="s">
        <v>9</v>
      </c>
      <c r="M4376">
        <v>12</v>
      </c>
      <c r="N4376" t="s">
        <v>26</v>
      </c>
      <c r="O4376" t="s">
        <v>11</v>
      </c>
      <c r="P4376" t="s">
        <v>12</v>
      </c>
      <c r="Q4376" t="s">
        <v>13</v>
      </c>
      <c r="R4376" t="s">
        <v>13</v>
      </c>
      <c r="S4376" t="s">
        <v>144</v>
      </c>
      <c r="T4376" s="2">
        <f>MASTER[[#This Row],[CANTIDAD]]*MASTER[[#This Row],[PRECIO DE VENTA]]</f>
        <v>1479</v>
      </c>
      <c r="U4376" s="2">
        <f>MASTER[[#This Row],[CANTIDAD]]*MASTER[[#This Row],[COSTO UNITARIO]]</f>
        <v>396</v>
      </c>
      <c r="V4376" s="2">
        <f>MASTER[[#This Row],[MONTO VENDIDO]]-MASTER[[#This Row],[COSTO DE VENTA]]</f>
        <v>1083</v>
      </c>
    </row>
    <row r="4377" spans="1:22" x14ac:dyDescent="0.3">
      <c r="A4377">
        <v>64893</v>
      </c>
      <c r="B4377">
        <v>1</v>
      </c>
      <c r="C4377" t="s">
        <v>92</v>
      </c>
      <c r="D4377" t="s">
        <v>93</v>
      </c>
      <c r="E4377" s="1">
        <v>44321</v>
      </c>
      <c r="F4377">
        <v>1</v>
      </c>
      <c r="G4377" t="s">
        <v>67</v>
      </c>
      <c r="H4377" t="s">
        <v>68</v>
      </c>
      <c r="I4377" s="3">
        <v>1479</v>
      </c>
      <c r="J4377" s="3">
        <v>1479</v>
      </c>
      <c r="K4377" s="3">
        <v>396</v>
      </c>
      <c r="L4377" t="s">
        <v>9</v>
      </c>
      <c r="M4377">
        <v>11</v>
      </c>
      <c r="N4377" t="s">
        <v>10</v>
      </c>
      <c r="O4377" t="s">
        <v>11</v>
      </c>
      <c r="P4377" t="s">
        <v>12</v>
      </c>
      <c r="Q4377" t="s">
        <v>13</v>
      </c>
      <c r="R4377" t="s">
        <v>13</v>
      </c>
      <c r="S4377" t="s">
        <v>144</v>
      </c>
      <c r="T4377" s="2">
        <f>MASTER[[#This Row],[CANTIDAD]]*MASTER[[#This Row],[PRECIO DE VENTA]]</f>
        <v>1479</v>
      </c>
      <c r="U4377" s="2">
        <f>MASTER[[#This Row],[CANTIDAD]]*MASTER[[#This Row],[COSTO UNITARIO]]</f>
        <v>396</v>
      </c>
      <c r="V4377" s="2">
        <f>MASTER[[#This Row],[MONTO VENDIDO]]-MASTER[[#This Row],[COSTO DE VENTA]]</f>
        <v>1083</v>
      </c>
    </row>
    <row r="4378" spans="1:22" x14ac:dyDescent="0.3">
      <c r="A4378">
        <v>64899</v>
      </c>
      <c r="B4378">
        <v>1</v>
      </c>
      <c r="C4378" t="s">
        <v>94</v>
      </c>
      <c r="D4378" t="s">
        <v>95</v>
      </c>
      <c r="E4378" s="1">
        <v>44321</v>
      </c>
      <c r="F4378">
        <v>1</v>
      </c>
      <c r="G4378" t="s">
        <v>31</v>
      </c>
      <c r="H4378" t="s">
        <v>32</v>
      </c>
      <c r="I4378" s="3">
        <v>1153</v>
      </c>
      <c r="J4378" s="3">
        <v>1153</v>
      </c>
      <c r="K4378" s="3">
        <v>392</v>
      </c>
      <c r="L4378" t="s">
        <v>9</v>
      </c>
      <c r="M4378">
        <v>18</v>
      </c>
      <c r="N4378" t="s">
        <v>79</v>
      </c>
      <c r="O4378" t="s">
        <v>70</v>
      </c>
      <c r="P4378" t="s">
        <v>15</v>
      </c>
      <c r="Q4378" t="s">
        <v>16</v>
      </c>
      <c r="R4378" t="s">
        <v>16</v>
      </c>
      <c r="S4378" t="s">
        <v>144</v>
      </c>
      <c r="T4378" s="2">
        <f>MASTER[[#This Row],[CANTIDAD]]*MASTER[[#This Row],[PRECIO DE VENTA]]</f>
        <v>1153</v>
      </c>
      <c r="U4378" s="2">
        <f>MASTER[[#This Row],[CANTIDAD]]*MASTER[[#This Row],[COSTO UNITARIO]]</f>
        <v>392</v>
      </c>
      <c r="V4378" s="2">
        <f>MASTER[[#This Row],[MONTO VENDIDO]]-MASTER[[#This Row],[COSTO DE VENTA]]</f>
        <v>761</v>
      </c>
    </row>
    <row r="4379" spans="1:22" x14ac:dyDescent="0.3">
      <c r="A4379">
        <v>64917</v>
      </c>
      <c r="B4379">
        <v>1</v>
      </c>
      <c r="C4379" t="s">
        <v>92</v>
      </c>
      <c r="D4379" t="s">
        <v>93</v>
      </c>
      <c r="E4379" s="1">
        <v>44321</v>
      </c>
      <c r="F4379">
        <v>1</v>
      </c>
      <c r="G4379" t="s">
        <v>27</v>
      </c>
      <c r="H4379" t="s">
        <v>28</v>
      </c>
      <c r="I4379" s="3">
        <v>1866</v>
      </c>
      <c r="J4379" s="3">
        <v>1866</v>
      </c>
      <c r="K4379" s="3">
        <v>396</v>
      </c>
      <c r="L4379" t="s">
        <v>9</v>
      </c>
      <c r="M4379">
        <v>13</v>
      </c>
      <c r="N4379" t="s">
        <v>78</v>
      </c>
      <c r="O4379" t="s">
        <v>70</v>
      </c>
      <c r="P4379" t="s">
        <v>18</v>
      </c>
      <c r="Q4379" t="s">
        <v>19</v>
      </c>
      <c r="R4379" t="s">
        <v>138</v>
      </c>
      <c r="S4379" t="s">
        <v>144</v>
      </c>
      <c r="T4379" s="2">
        <f>MASTER[[#This Row],[CANTIDAD]]*MASTER[[#This Row],[PRECIO DE VENTA]]</f>
        <v>1866</v>
      </c>
      <c r="U4379" s="2">
        <f>MASTER[[#This Row],[CANTIDAD]]*MASTER[[#This Row],[COSTO UNITARIO]]</f>
        <v>396</v>
      </c>
      <c r="V4379" s="2">
        <f>MASTER[[#This Row],[MONTO VENDIDO]]-MASTER[[#This Row],[COSTO DE VENTA]]</f>
        <v>1470</v>
      </c>
    </row>
    <row r="4380" spans="1:22" x14ac:dyDescent="0.3">
      <c r="A4380">
        <v>64925</v>
      </c>
      <c r="B4380">
        <v>1</v>
      </c>
      <c r="C4380" t="s">
        <v>99</v>
      </c>
      <c r="D4380" t="s">
        <v>100</v>
      </c>
      <c r="E4380" s="1">
        <v>44321</v>
      </c>
      <c r="F4380">
        <v>1</v>
      </c>
      <c r="G4380" t="s">
        <v>73</v>
      </c>
      <c r="H4380" t="s">
        <v>74</v>
      </c>
      <c r="I4380" s="3">
        <v>1678</v>
      </c>
      <c r="J4380" s="3">
        <v>1678</v>
      </c>
      <c r="K4380" s="3">
        <v>386</v>
      </c>
      <c r="L4380" t="s">
        <v>98</v>
      </c>
      <c r="M4380">
        <v>9</v>
      </c>
      <c r="N4380" t="s">
        <v>76</v>
      </c>
      <c r="O4380" t="s">
        <v>70</v>
      </c>
      <c r="P4380" t="s">
        <v>12</v>
      </c>
      <c r="Q4380" t="s">
        <v>13</v>
      </c>
      <c r="R4380" t="s">
        <v>13</v>
      </c>
      <c r="S4380" t="s">
        <v>144</v>
      </c>
      <c r="T4380" s="2">
        <f>MASTER[[#This Row],[CANTIDAD]]*MASTER[[#This Row],[PRECIO DE VENTA]]</f>
        <v>1678</v>
      </c>
      <c r="U4380" s="2">
        <f>MASTER[[#This Row],[CANTIDAD]]*MASTER[[#This Row],[COSTO UNITARIO]]</f>
        <v>386</v>
      </c>
      <c r="V4380" s="2">
        <f>MASTER[[#This Row],[MONTO VENDIDO]]-MASTER[[#This Row],[COSTO DE VENTA]]</f>
        <v>1292</v>
      </c>
    </row>
    <row r="4381" spans="1:22" x14ac:dyDescent="0.3">
      <c r="A4381">
        <v>64941</v>
      </c>
      <c r="B4381">
        <v>1</v>
      </c>
      <c r="C4381" t="s">
        <v>111</v>
      </c>
      <c r="D4381" t="s">
        <v>112</v>
      </c>
      <c r="E4381" s="1">
        <v>44321</v>
      </c>
      <c r="F4381">
        <v>1</v>
      </c>
      <c r="G4381" t="s">
        <v>67</v>
      </c>
      <c r="H4381" t="s">
        <v>68</v>
      </c>
      <c r="I4381" s="3">
        <v>1799</v>
      </c>
      <c r="J4381" s="3">
        <v>1673</v>
      </c>
      <c r="K4381" s="3">
        <v>434</v>
      </c>
      <c r="L4381" t="s">
        <v>113</v>
      </c>
      <c r="M4381">
        <v>13</v>
      </c>
      <c r="N4381" t="s">
        <v>78</v>
      </c>
      <c r="O4381" t="s">
        <v>70</v>
      </c>
      <c r="P4381" t="s">
        <v>18</v>
      </c>
      <c r="Q4381" t="s">
        <v>19</v>
      </c>
      <c r="R4381" t="s">
        <v>138</v>
      </c>
      <c r="S4381" t="s">
        <v>144</v>
      </c>
      <c r="T4381" s="2">
        <f>MASTER[[#This Row],[CANTIDAD]]*MASTER[[#This Row],[PRECIO DE VENTA]]</f>
        <v>1673</v>
      </c>
      <c r="U4381" s="2">
        <f>MASTER[[#This Row],[CANTIDAD]]*MASTER[[#This Row],[COSTO UNITARIO]]</f>
        <v>434</v>
      </c>
      <c r="V4381" s="2">
        <f>MASTER[[#This Row],[MONTO VENDIDO]]-MASTER[[#This Row],[COSTO DE VENTA]]</f>
        <v>1239</v>
      </c>
    </row>
    <row r="4382" spans="1:22" x14ac:dyDescent="0.3">
      <c r="A4382">
        <v>64946</v>
      </c>
      <c r="B4382">
        <v>1</v>
      </c>
      <c r="C4382" t="s">
        <v>111</v>
      </c>
      <c r="D4382" t="s">
        <v>112</v>
      </c>
      <c r="E4382" s="1">
        <v>44321</v>
      </c>
      <c r="F4382">
        <v>1</v>
      </c>
      <c r="G4382" t="s">
        <v>31</v>
      </c>
      <c r="H4382" t="s">
        <v>32</v>
      </c>
      <c r="I4382" s="3">
        <v>1799</v>
      </c>
      <c r="J4382" s="3">
        <v>1799</v>
      </c>
      <c r="K4382" s="3">
        <v>434</v>
      </c>
      <c r="L4382" t="s">
        <v>113</v>
      </c>
      <c r="M4382">
        <v>18</v>
      </c>
      <c r="N4382" t="s">
        <v>79</v>
      </c>
      <c r="O4382" t="s">
        <v>70</v>
      </c>
      <c r="P4382" t="s">
        <v>15</v>
      </c>
      <c r="Q4382" t="s">
        <v>16</v>
      </c>
      <c r="R4382" t="s">
        <v>16</v>
      </c>
      <c r="S4382" t="s">
        <v>144</v>
      </c>
      <c r="T4382" s="2">
        <f>MASTER[[#This Row],[CANTIDAD]]*MASTER[[#This Row],[PRECIO DE VENTA]]</f>
        <v>1799</v>
      </c>
      <c r="U4382" s="2">
        <f>MASTER[[#This Row],[CANTIDAD]]*MASTER[[#This Row],[COSTO UNITARIO]]</f>
        <v>434</v>
      </c>
      <c r="V4382" s="2">
        <f>MASTER[[#This Row],[MONTO VENDIDO]]-MASTER[[#This Row],[COSTO DE VENTA]]</f>
        <v>1365</v>
      </c>
    </row>
    <row r="4383" spans="1:22" x14ac:dyDescent="0.3">
      <c r="A4383">
        <v>64947</v>
      </c>
      <c r="B4383">
        <v>1</v>
      </c>
      <c r="C4383" t="s">
        <v>94</v>
      </c>
      <c r="D4383" t="s">
        <v>95</v>
      </c>
      <c r="E4383" s="1">
        <v>44321</v>
      </c>
      <c r="F4383">
        <v>1</v>
      </c>
      <c r="G4383" t="s">
        <v>31</v>
      </c>
      <c r="H4383" t="s">
        <v>32</v>
      </c>
      <c r="I4383" s="3">
        <v>1048</v>
      </c>
      <c r="J4383" s="3">
        <v>1048</v>
      </c>
      <c r="K4383" s="3">
        <v>392</v>
      </c>
      <c r="L4383" t="s">
        <v>9</v>
      </c>
      <c r="M4383">
        <v>5</v>
      </c>
      <c r="N4383" t="s">
        <v>85</v>
      </c>
      <c r="O4383" t="s">
        <v>81</v>
      </c>
      <c r="P4383" t="s">
        <v>12</v>
      </c>
      <c r="Q4383" t="s">
        <v>13</v>
      </c>
      <c r="R4383" t="s">
        <v>13</v>
      </c>
      <c r="S4383" t="s">
        <v>144</v>
      </c>
      <c r="T4383" s="2">
        <f>MASTER[[#This Row],[CANTIDAD]]*MASTER[[#This Row],[PRECIO DE VENTA]]</f>
        <v>1048</v>
      </c>
      <c r="U4383" s="2">
        <f>MASTER[[#This Row],[CANTIDAD]]*MASTER[[#This Row],[COSTO UNITARIO]]</f>
        <v>392</v>
      </c>
      <c r="V4383" s="2">
        <f>MASTER[[#This Row],[MONTO VENDIDO]]-MASTER[[#This Row],[COSTO DE VENTA]]</f>
        <v>656</v>
      </c>
    </row>
    <row r="4384" spans="1:22" x14ac:dyDescent="0.3">
      <c r="A4384">
        <v>64961</v>
      </c>
      <c r="B4384">
        <v>1</v>
      </c>
      <c r="C4384" t="s">
        <v>111</v>
      </c>
      <c r="D4384" t="s">
        <v>112</v>
      </c>
      <c r="E4384" s="1">
        <v>44321</v>
      </c>
      <c r="F4384">
        <v>1</v>
      </c>
      <c r="G4384" t="s">
        <v>20</v>
      </c>
      <c r="H4384" t="s">
        <v>21</v>
      </c>
      <c r="I4384" s="3">
        <v>1621</v>
      </c>
      <c r="J4384" s="3">
        <v>1621</v>
      </c>
      <c r="K4384" s="3">
        <v>434</v>
      </c>
      <c r="L4384" t="s">
        <v>113</v>
      </c>
      <c r="M4384">
        <v>4</v>
      </c>
      <c r="N4384" t="s">
        <v>82</v>
      </c>
      <c r="O4384" t="s">
        <v>81</v>
      </c>
      <c r="P4384" t="s">
        <v>71</v>
      </c>
      <c r="Q4384" t="s">
        <v>72</v>
      </c>
      <c r="R4384" t="s">
        <v>139</v>
      </c>
      <c r="S4384" t="s">
        <v>144</v>
      </c>
      <c r="T4384" s="2">
        <f>MASTER[[#This Row],[CANTIDAD]]*MASTER[[#This Row],[PRECIO DE VENTA]]</f>
        <v>1621</v>
      </c>
      <c r="U4384" s="2">
        <f>MASTER[[#This Row],[CANTIDAD]]*MASTER[[#This Row],[COSTO UNITARIO]]</f>
        <v>434</v>
      </c>
      <c r="V4384" s="2">
        <f>MASTER[[#This Row],[MONTO VENDIDO]]-MASTER[[#This Row],[COSTO DE VENTA]]</f>
        <v>1187</v>
      </c>
    </row>
    <row r="4385" spans="1:22" x14ac:dyDescent="0.3">
      <c r="A4385">
        <v>64976</v>
      </c>
      <c r="B4385">
        <v>1</v>
      </c>
      <c r="C4385" t="s">
        <v>105</v>
      </c>
      <c r="D4385" t="s">
        <v>106</v>
      </c>
      <c r="E4385" s="1">
        <v>44322</v>
      </c>
      <c r="F4385">
        <v>1</v>
      </c>
      <c r="G4385" t="s">
        <v>67</v>
      </c>
      <c r="H4385" t="s">
        <v>68</v>
      </c>
      <c r="I4385" s="3">
        <v>1585</v>
      </c>
      <c r="J4385" s="3">
        <v>1585</v>
      </c>
      <c r="K4385" s="3">
        <v>459</v>
      </c>
      <c r="L4385" t="s">
        <v>98</v>
      </c>
      <c r="M4385">
        <v>17</v>
      </c>
      <c r="N4385" t="s">
        <v>14</v>
      </c>
      <c r="O4385" t="s">
        <v>11</v>
      </c>
      <c r="P4385" t="s">
        <v>15</v>
      </c>
      <c r="Q4385" t="s">
        <v>16</v>
      </c>
      <c r="R4385" t="s">
        <v>16</v>
      </c>
      <c r="S4385" t="s">
        <v>144</v>
      </c>
      <c r="T4385" s="2">
        <f>MASTER[[#This Row],[CANTIDAD]]*MASTER[[#This Row],[PRECIO DE VENTA]]</f>
        <v>1585</v>
      </c>
      <c r="U4385" s="2">
        <f>MASTER[[#This Row],[CANTIDAD]]*MASTER[[#This Row],[COSTO UNITARIO]]</f>
        <v>459</v>
      </c>
      <c r="V4385" s="2">
        <f>MASTER[[#This Row],[MONTO VENDIDO]]-MASTER[[#This Row],[COSTO DE VENTA]]</f>
        <v>1126</v>
      </c>
    </row>
    <row r="4386" spans="1:22" x14ac:dyDescent="0.3">
      <c r="A4386">
        <v>64988</v>
      </c>
      <c r="B4386">
        <v>1</v>
      </c>
      <c r="C4386" t="s">
        <v>116</v>
      </c>
      <c r="D4386" t="s">
        <v>117</v>
      </c>
      <c r="E4386" s="1">
        <v>44322</v>
      </c>
      <c r="F4386">
        <v>1</v>
      </c>
      <c r="G4386" t="s">
        <v>20</v>
      </c>
      <c r="H4386" t="s">
        <v>21</v>
      </c>
      <c r="I4386" s="3">
        <v>1529</v>
      </c>
      <c r="J4386" s="3">
        <v>1529</v>
      </c>
      <c r="K4386" s="3">
        <v>388</v>
      </c>
      <c r="L4386" t="s">
        <v>113</v>
      </c>
      <c r="M4386">
        <v>12</v>
      </c>
      <c r="N4386" t="s">
        <v>26</v>
      </c>
      <c r="O4386" t="s">
        <v>11</v>
      </c>
      <c r="P4386" t="s">
        <v>12</v>
      </c>
      <c r="Q4386" t="s">
        <v>13</v>
      </c>
      <c r="R4386" t="s">
        <v>13</v>
      </c>
      <c r="S4386" t="s">
        <v>144</v>
      </c>
      <c r="T4386" s="2">
        <f>MASTER[[#This Row],[CANTIDAD]]*MASTER[[#This Row],[PRECIO DE VENTA]]</f>
        <v>1529</v>
      </c>
      <c r="U4386" s="2">
        <f>MASTER[[#This Row],[CANTIDAD]]*MASTER[[#This Row],[COSTO UNITARIO]]</f>
        <v>388</v>
      </c>
      <c r="V4386" s="2">
        <f>MASTER[[#This Row],[MONTO VENDIDO]]-MASTER[[#This Row],[COSTO DE VENTA]]</f>
        <v>1141</v>
      </c>
    </row>
    <row r="4387" spans="1:22" x14ac:dyDescent="0.3">
      <c r="A4387">
        <v>64997</v>
      </c>
      <c r="B4387">
        <v>1</v>
      </c>
      <c r="C4387" t="s">
        <v>107</v>
      </c>
      <c r="D4387" t="s">
        <v>108</v>
      </c>
      <c r="E4387" s="1">
        <v>44322</v>
      </c>
      <c r="F4387">
        <v>1</v>
      </c>
      <c r="G4387" t="s">
        <v>27</v>
      </c>
      <c r="H4387" t="s">
        <v>28</v>
      </c>
      <c r="I4387" s="3">
        <v>1440</v>
      </c>
      <c r="J4387" s="3">
        <v>1440</v>
      </c>
      <c r="K4387" s="3">
        <v>380</v>
      </c>
      <c r="L4387" t="s">
        <v>98</v>
      </c>
      <c r="M4387">
        <v>18</v>
      </c>
      <c r="N4387" t="s">
        <v>79</v>
      </c>
      <c r="O4387" t="s">
        <v>70</v>
      </c>
      <c r="P4387" t="s">
        <v>15</v>
      </c>
      <c r="Q4387" t="s">
        <v>16</v>
      </c>
      <c r="R4387" t="s">
        <v>16</v>
      </c>
      <c r="S4387" t="s">
        <v>144</v>
      </c>
      <c r="T4387" s="2">
        <f>MASTER[[#This Row],[CANTIDAD]]*MASTER[[#This Row],[PRECIO DE VENTA]]</f>
        <v>1440</v>
      </c>
      <c r="U4387" s="2">
        <f>MASTER[[#This Row],[CANTIDAD]]*MASTER[[#This Row],[COSTO UNITARIO]]</f>
        <v>380</v>
      </c>
      <c r="V4387" s="2">
        <f>MASTER[[#This Row],[MONTO VENDIDO]]-MASTER[[#This Row],[COSTO DE VENTA]]</f>
        <v>1060</v>
      </c>
    </row>
    <row r="4388" spans="1:22" x14ac:dyDescent="0.3">
      <c r="A4388">
        <v>64999</v>
      </c>
      <c r="B4388">
        <v>1</v>
      </c>
      <c r="C4388" t="s">
        <v>101</v>
      </c>
      <c r="D4388" t="s">
        <v>102</v>
      </c>
      <c r="E4388" s="1">
        <v>44322</v>
      </c>
      <c r="F4388">
        <v>1</v>
      </c>
      <c r="G4388" t="s">
        <v>49</v>
      </c>
      <c r="H4388" t="s">
        <v>50</v>
      </c>
      <c r="I4388" s="3">
        <v>1357</v>
      </c>
      <c r="J4388" s="3">
        <v>1357</v>
      </c>
      <c r="K4388" s="3">
        <v>442</v>
      </c>
      <c r="L4388" t="s">
        <v>98</v>
      </c>
      <c r="M4388">
        <v>9</v>
      </c>
      <c r="N4388" t="s">
        <v>76</v>
      </c>
      <c r="O4388" t="s">
        <v>70</v>
      </c>
      <c r="P4388" t="s">
        <v>12</v>
      </c>
      <c r="Q4388" t="s">
        <v>13</v>
      </c>
      <c r="R4388" t="s">
        <v>13</v>
      </c>
      <c r="S4388" t="s">
        <v>144</v>
      </c>
      <c r="T4388" s="2">
        <f>MASTER[[#This Row],[CANTIDAD]]*MASTER[[#This Row],[PRECIO DE VENTA]]</f>
        <v>1357</v>
      </c>
      <c r="U4388" s="2">
        <f>MASTER[[#This Row],[CANTIDAD]]*MASTER[[#This Row],[COSTO UNITARIO]]</f>
        <v>442</v>
      </c>
      <c r="V4388" s="2">
        <f>MASTER[[#This Row],[MONTO VENDIDO]]-MASTER[[#This Row],[COSTO DE VENTA]]</f>
        <v>915</v>
      </c>
    </row>
    <row r="4389" spans="1:22" x14ac:dyDescent="0.3">
      <c r="A4389">
        <v>65014</v>
      </c>
      <c r="B4389">
        <v>1</v>
      </c>
      <c r="C4389" t="s">
        <v>101</v>
      </c>
      <c r="D4389" t="s">
        <v>102</v>
      </c>
      <c r="E4389" s="1">
        <v>44322</v>
      </c>
      <c r="F4389">
        <v>1</v>
      </c>
      <c r="G4389" t="s">
        <v>53</v>
      </c>
      <c r="H4389" t="s">
        <v>54</v>
      </c>
      <c r="I4389" s="3">
        <v>1054</v>
      </c>
      <c r="J4389" s="3">
        <v>1011</v>
      </c>
      <c r="K4389" s="3">
        <v>442</v>
      </c>
      <c r="L4389" t="s">
        <v>98</v>
      </c>
      <c r="M4389">
        <v>12</v>
      </c>
      <c r="N4389" t="s">
        <v>26</v>
      </c>
      <c r="O4389" t="s">
        <v>11</v>
      </c>
      <c r="P4389" t="s">
        <v>12</v>
      </c>
      <c r="Q4389" t="s">
        <v>13</v>
      </c>
      <c r="R4389" t="s">
        <v>13</v>
      </c>
      <c r="S4389" t="s">
        <v>144</v>
      </c>
      <c r="T4389" s="2">
        <f>MASTER[[#This Row],[CANTIDAD]]*MASTER[[#This Row],[PRECIO DE VENTA]]</f>
        <v>1011</v>
      </c>
      <c r="U4389" s="2">
        <f>MASTER[[#This Row],[CANTIDAD]]*MASTER[[#This Row],[COSTO UNITARIO]]</f>
        <v>442</v>
      </c>
      <c r="V4389" s="2">
        <f>MASTER[[#This Row],[MONTO VENDIDO]]-MASTER[[#This Row],[COSTO DE VENTA]]</f>
        <v>569</v>
      </c>
    </row>
    <row r="4390" spans="1:22" x14ac:dyDescent="0.3">
      <c r="A4390">
        <v>65016</v>
      </c>
      <c r="B4390">
        <v>1</v>
      </c>
      <c r="C4390" t="s">
        <v>103</v>
      </c>
      <c r="D4390" t="s">
        <v>104</v>
      </c>
      <c r="E4390" s="1">
        <v>44322</v>
      </c>
      <c r="F4390">
        <v>4</v>
      </c>
      <c r="G4390" t="s">
        <v>33</v>
      </c>
      <c r="H4390" t="s">
        <v>34</v>
      </c>
      <c r="I4390" s="3">
        <v>1591</v>
      </c>
      <c r="J4390" s="3">
        <v>1591</v>
      </c>
      <c r="K4390" s="3">
        <v>421</v>
      </c>
      <c r="L4390" t="s">
        <v>98</v>
      </c>
      <c r="M4390">
        <v>8</v>
      </c>
      <c r="N4390" t="s">
        <v>80</v>
      </c>
      <c r="O4390" t="s">
        <v>81</v>
      </c>
      <c r="P4390" t="s">
        <v>12</v>
      </c>
      <c r="Q4390" t="s">
        <v>13</v>
      </c>
      <c r="R4390" t="s">
        <v>13</v>
      </c>
      <c r="S4390" t="s">
        <v>144</v>
      </c>
      <c r="T4390" s="2">
        <f>MASTER[[#This Row],[CANTIDAD]]*MASTER[[#This Row],[PRECIO DE VENTA]]</f>
        <v>6364</v>
      </c>
      <c r="U4390" s="2">
        <f>MASTER[[#This Row],[CANTIDAD]]*MASTER[[#This Row],[COSTO UNITARIO]]</f>
        <v>1684</v>
      </c>
      <c r="V4390" s="2">
        <f>MASTER[[#This Row],[MONTO VENDIDO]]-MASTER[[#This Row],[COSTO DE VENTA]]</f>
        <v>4680</v>
      </c>
    </row>
    <row r="4391" spans="1:22" x14ac:dyDescent="0.3">
      <c r="A4391">
        <v>65042</v>
      </c>
      <c r="B4391">
        <v>1</v>
      </c>
      <c r="C4391" t="s">
        <v>99</v>
      </c>
      <c r="D4391" t="s">
        <v>100</v>
      </c>
      <c r="E4391" s="1">
        <v>44322</v>
      </c>
      <c r="F4391">
        <v>1</v>
      </c>
      <c r="G4391" t="s">
        <v>29</v>
      </c>
      <c r="H4391" t="s">
        <v>30</v>
      </c>
      <c r="I4391" s="3">
        <v>1459</v>
      </c>
      <c r="J4391" s="3">
        <v>1459</v>
      </c>
      <c r="K4391" s="3">
        <v>386</v>
      </c>
      <c r="L4391" t="s">
        <v>98</v>
      </c>
      <c r="M4391">
        <v>8</v>
      </c>
      <c r="N4391" t="s">
        <v>80</v>
      </c>
      <c r="O4391" t="s">
        <v>81</v>
      </c>
      <c r="P4391" t="s">
        <v>12</v>
      </c>
      <c r="Q4391" t="s">
        <v>13</v>
      </c>
      <c r="R4391" t="s">
        <v>13</v>
      </c>
      <c r="S4391" t="s">
        <v>144</v>
      </c>
      <c r="T4391" s="2">
        <f>MASTER[[#This Row],[CANTIDAD]]*MASTER[[#This Row],[PRECIO DE VENTA]]</f>
        <v>1459</v>
      </c>
      <c r="U4391" s="2">
        <f>MASTER[[#This Row],[CANTIDAD]]*MASTER[[#This Row],[COSTO UNITARIO]]</f>
        <v>386</v>
      </c>
      <c r="V4391" s="2">
        <f>MASTER[[#This Row],[MONTO VENDIDO]]-MASTER[[#This Row],[COSTO DE VENTA]]</f>
        <v>1073</v>
      </c>
    </row>
    <row r="4392" spans="1:22" x14ac:dyDescent="0.3">
      <c r="A4392">
        <v>65050</v>
      </c>
      <c r="B4392">
        <v>1</v>
      </c>
      <c r="C4392" t="s">
        <v>107</v>
      </c>
      <c r="D4392" t="s">
        <v>108</v>
      </c>
      <c r="E4392" s="1">
        <v>44322</v>
      </c>
      <c r="F4392">
        <v>1</v>
      </c>
      <c r="G4392" t="s">
        <v>22</v>
      </c>
      <c r="H4392" t="s">
        <v>23</v>
      </c>
      <c r="I4392" s="3">
        <v>1240</v>
      </c>
      <c r="J4392" s="3">
        <v>1178</v>
      </c>
      <c r="K4392" s="3">
        <v>380</v>
      </c>
      <c r="L4392" t="s">
        <v>98</v>
      </c>
      <c r="M4392">
        <v>17</v>
      </c>
      <c r="N4392" t="s">
        <v>14</v>
      </c>
      <c r="O4392" t="s">
        <v>11</v>
      </c>
      <c r="P4392" t="s">
        <v>15</v>
      </c>
      <c r="Q4392" t="s">
        <v>16</v>
      </c>
      <c r="R4392" t="s">
        <v>16</v>
      </c>
      <c r="S4392" t="s">
        <v>144</v>
      </c>
      <c r="T4392" s="2">
        <f>MASTER[[#This Row],[CANTIDAD]]*MASTER[[#This Row],[PRECIO DE VENTA]]</f>
        <v>1178</v>
      </c>
      <c r="U4392" s="2">
        <f>MASTER[[#This Row],[CANTIDAD]]*MASTER[[#This Row],[COSTO UNITARIO]]</f>
        <v>380</v>
      </c>
      <c r="V4392" s="2">
        <f>MASTER[[#This Row],[MONTO VENDIDO]]-MASTER[[#This Row],[COSTO DE VENTA]]</f>
        <v>798</v>
      </c>
    </row>
    <row r="4393" spans="1:22" x14ac:dyDescent="0.3">
      <c r="A4393">
        <v>65056</v>
      </c>
      <c r="B4393">
        <v>1</v>
      </c>
      <c r="C4393" t="s">
        <v>92</v>
      </c>
      <c r="D4393" t="s">
        <v>93</v>
      </c>
      <c r="E4393" s="1">
        <v>44322</v>
      </c>
      <c r="F4393">
        <v>1</v>
      </c>
      <c r="G4393" t="s">
        <v>59</v>
      </c>
      <c r="H4393" t="s">
        <v>60</v>
      </c>
      <c r="I4393" s="3">
        <v>1681</v>
      </c>
      <c r="J4393" s="3">
        <v>1681</v>
      </c>
      <c r="K4393" s="3">
        <v>396</v>
      </c>
      <c r="L4393" t="s">
        <v>9</v>
      </c>
      <c r="M4393">
        <v>14</v>
      </c>
      <c r="N4393" t="s">
        <v>87</v>
      </c>
      <c r="O4393" t="s">
        <v>81</v>
      </c>
      <c r="P4393" t="s">
        <v>18</v>
      </c>
      <c r="Q4393" t="s">
        <v>19</v>
      </c>
      <c r="R4393" t="s">
        <v>138</v>
      </c>
      <c r="S4393" t="s">
        <v>144</v>
      </c>
      <c r="T4393" s="2">
        <f>MASTER[[#This Row],[CANTIDAD]]*MASTER[[#This Row],[PRECIO DE VENTA]]</f>
        <v>1681</v>
      </c>
      <c r="U4393" s="2">
        <f>MASTER[[#This Row],[CANTIDAD]]*MASTER[[#This Row],[COSTO UNITARIO]]</f>
        <v>396</v>
      </c>
      <c r="V4393" s="2">
        <f>MASTER[[#This Row],[MONTO VENDIDO]]-MASTER[[#This Row],[COSTO DE VENTA]]</f>
        <v>1285</v>
      </c>
    </row>
    <row r="4394" spans="1:22" x14ac:dyDescent="0.3">
      <c r="A4394">
        <v>65057</v>
      </c>
      <c r="B4394">
        <v>1</v>
      </c>
      <c r="C4394" t="s">
        <v>107</v>
      </c>
      <c r="D4394" t="s">
        <v>108</v>
      </c>
      <c r="E4394" s="1">
        <v>44322</v>
      </c>
      <c r="F4394">
        <v>1</v>
      </c>
      <c r="G4394" t="s">
        <v>35</v>
      </c>
      <c r="H4394" t="s">
        <v>36</v>
      </c>
      <c r="I4394" s="3">
        <v>1333</v>
      </c>
      <c r="J4394" s="3">
        <v>1333</v>
      </c>
      <c r="K4394" s="3">
        <v>380</v>
      </c>
      <c r="L4394" t="s">
        <v>98</v>
      </c>
      <c r="M4394">
        <v>2</v>
      </c>
      <c r="N4394" t="s">
        <v>86</v>
      </c>
      <c r="O4394" t="s">
        <v>81</v>
      </c>
      <c r="P4394" t="s">
        <v>71</v>
      </c>
      <c r="Q4394" t="s">
        <v>72</v>
      </c>
      <c r="R4394" t="s">
        <v>139</v>
      </c>
      <c r="S4394" t="s">
        <v>144</v>
      </c>
      <c r="T4394" s="2">
        <f>MASTER[[#This Row],[CANTIDAD]]*MASTER[[#This Row],[PRECIO DE VENTA]]</f>
        <v>1333</v>
      </c>
      <c r="U4394" s="2">
        <f>MASTER[[#This Row],[CANTIDAD]]*MASTER[[#This Row],[COSTO UNITARIO]]</f>
        <v>380</v>
      </c>
      <c r="V4394" s="2">
        <f>MASTER[[#This Row],[MONTO VENDIDO]]-MASTER[[#This Row],[COSTO DE VENTA]]</f>
        <v>953</v>
      </c>
    </row>
    <row r="4395" spans="1:22" x14ac:dyDescent="0.3">
      <c r="A4395">
        <v>65058</v>
      </c>
      <c r="B4395">
        <v>1</v>
      </c>
      <c r="C4395" t="s">
        <v>101</v>
      </c>
      <c r="D4395" t="s">
        <v>102</v>
      </c>
      <c r="E4395" s="1">
        <v>44322</v>
      </c>
      <c r="F4395">
        <v>1</v>
      </c>
      <c r="G4395" t="s">
        <v>43</v>
      </c>
      <c r="H4395" t="s">
        <v>44</v>
      </c>
      <c r="I4395" s="3">
        <v>1212</v>
      </c>
      <c r="J4395" s="3">
        <v>1212</v>
      </c>
      <c r="K4395" s="3">
        <v>442</v>
      </c>
      <c r="L4395" t="s">
        <v>98</v>
      </c>
      <c r="M4395">
        <v>8</v>
      </c>
      <c r="N4395" t="s">
        <v>80</v>
      </c>
      <c r="O4395" t="s">
        <v>81</v>
      </c>
      <c r="P4395" t="s">
        <v>12</v>
      </c>
      <c r="Q4395" t="s">
        <v>13</v>
      </c>
      <c r="R4395" t="s">
        <v>13</v>
      </c>
      <c r="S4395" t="s">
        <v>144</v>
      </c>
      <c r="T4395" s="2">
        <f>MASTER[[#This Row],[CANTIDAD]]*MASTER[[#This Row],[PRECIO DE VENTA]]</f>
        <v>1212</v>
      </c>
      <c r="U4395" s="2">
        <f>MASTER[[#This Row],[CANTIDAD]]*MASTER[[#This Row],[COSTO UNITARIO]]</f>
        <v>442</v>
      </c>
      <c r="V4395" s="2">
        <f>MASTER[[#This Row],[MONTO VENDIDO]]-MASTER[[#This Row],[COSTO DE VENTA]]</f>
        <v>770</v>
      </c>
    </row>
    <row r="4396" spans="1:22" x14ac:dyDescent="0.3">
      <c r="A4396">
        <v>65107</v>
      </c>
      <c r="B4396">
        <v>1</v>
      </c>
      <c r="C4396" t="s">
        <v>96</v>
      </c>
      <c r="D4396" t="s">
        <v>97</v>
      </c>
      <c r="E4396" s="1">
        <v>44323</v>
      </c>
      <c r="F4396">
        <v>1</v>
      </c>
      <c r="G4396" t="s">
        <v>27</v>
      </c>
      <c r="H4396" t="s">
        <v>28</v>
      </c>
      <c r="I4396" s="3">
        <v>1272</v>
      </c>
      <c r="J4396" s="3">
        <v>1272</v>
      </c>
      <c r="K4396" s="3">
        <v>397</v>
      </c>
      <c r="L4396" t="s">
        <v>98</v>
      </c>
      <c r="M4396">
        <v>4</v>
      </c>
      <c r="N4396" t="s">
        <v>82</v>
      </c>
      <c r="O4396" t="s">
        <v>81</v>
      </c>
      <c r="P4396" t="s">
        <v>71</v>
      </c>
      <c r="Q4396" t="s">
        <v>72</v>
      </c>
      <c r="R4396" t="s">
        <v>139</v>
      </c>
      <c r="S4396" t="s">
        <v>144</v>
      </c>
      <c r="T4396" s="2">
        <f>MASTER[[#This Row],[CANTIDAD]]*MASTER[[#This Row],[PRECIO DE VENTA]]</f>
        <v>1272</v>
      </c>
      <c r="U4396" s="2">
        <f>MASTER[[#This Row],[CANTIDAD]]*MASTER[[#This Row],[COSTO UNITARIO]]</f>
        <v>397</v>
      </c>
      <c r="V4396" s="2">
        <f>MASTER[[#This Row],[MONTO VENDIDO]]-MASTER[[#This Row],[COSTO DE VENTA]]</f>
        <v>875</v>
      </c>
    </row>
    <row r="4397" spans="1:22" x14ac:dyDescent="0.3">
      <c r="A4397">
        <v>65110</v>
      </c>
      <c r="B4397">
        <v>1</v>
      </c>
      <c r="C4397" t="s">
        <v>114</v>
      </c>
      <c r="D4397" t="s">
        <v>115</v>
      </c>
      <c r="E4397" s="1">
        <v>44323</v>
      </c>
      <c r="F4397">
        <v>1</v>
      </c>
      <c r="G4397" t="s">
        <v>41</v>
      </c>
      <c r="H4397" t="s">
        <v>42</v>
      </c>
      <c r="I4397" s="3">
        <v>2030</v>
      </c>
      <c r="J4397" s="3">
        <v>2030</v>
      </c>
      <c r="K4397" s="3">
        <v>394</v>
      </c>
      <c r="L4397" t="s">
        <v>113</v>
      </c>
      <c r="M4397">
        <v>3</v>
      </c>
      <c r="N4397" t="s">
        <v>69</v>
      </c>
      <c r="O4397" t="s">
        <v>70</v>
      </c>
      <c r="P4397" t="s">
        <v>71</v>
      </c>
      <c r="Q4397" t="s">
        <v>72</v>
      </c>
      <c r="R4397" t="s">
        <v>139</v>
      </c>
      <c r="S4397" t="s">
        <v>144</v>
      </c>
      <c r="T4397" s="2">
        <f>MASTER[[#This Row],[CANTIDAD]]*MASTER[[#This Row],[PRECIO DE VENTA]]</f>
        <v>2030</v>
      </c>
      <c r="U4397" s="2">
        <f>MASTER[[#This Row],[CANTIDAD]]*MASTER[[#This Row],[COSTO UNITARIO]]</f>
        <v>394</v>
      </c>
      <c r="V4397" s="2">
        <f>MASTER[[#This Row],[MONTO VENDIDO]]-MASTER[[#This Row],[COSTO DE VENTA]]</f>
        <v>1636</v>
      </c>
    </row>
    <row r="4398" spans="1:22" x14ac:dyDescent="0.3">
      <c r="A4398">
        <v>65116</v>
      </c>
      <c r="B4398">
        <v>1</v>
      </c>
      <c r="C4398" t="s">
        <v>116</v>
      </c>
      <c r="D4398" t="s">
        <v>117</v>
      </c>
      <c r="E4398" s="1">
        <v>44323</v>
      </c>
      <c r="F4398">
        <v>2</v>
      </c>
      <c r="G4398" t="s">
        <v>51</v>
      </c>
      <c r="H4398" t="s">
        <v>52</v>
      </c>
      <c r="I4398" s="3">
        <v>1999</v>
      </c>
      <c r="J4398" s="3">
        <v>1999</v>
      </c>
      <c r="K4398" s="3">
        <v>388</v>
      </c>
      <c r="L4398" t="s">
        <v>113</v>
      </c>
      <c r="M4398">
        <v>6</v>
      </c>
      <c r="N4398" t="s">
        <v>75</v>
      </c>
      <c r="O4398" t="s">
        <v>70</v>
      </c>
      <c r="P4398" t="s">
        <v>12</v>
      </c>
      <c r="Q4398" t="s">
        <v>13</v>
      </c>
      <c r="R4398" t="s">
        <v>13</v>
      </c>
      <c r="S4398" t="s">
        <v>144</v>
      </c>
      <c r="T4398" s="2">
        <f>MASTER[[#This Row],[CANTIDAD]]*MASTER[[#This Row],[PRECIO DE VENTA]]</f>
        <v>3998</v>
      </c>
      <c r="U4398" s="2">
        <f>MASTER[[#This Row],[CANTIDAD]]*MASTER[[#This Row],[COSTO UNITARIO]]</f>
        <v>776</v>
      </c>
      <c r="V4398" s="2">
        <f>MASTER[[#This Row],[MONTO VENDIDO]]-MASTER[[#This Row],[COSTO DE VENTA]]</f>
        <v>3222</v>
      </c>
    </row>
    <row r="4399" spans="1:22" x14ac:dyDescent="0.3">
      <c r="A4399">
        <v>65119</v>
      </c>
      <c r="B4399">
        <v>1</v>
      </c>
      <c r="C4399" t="s">
        <v>5</v>
      </c>
      <c r="D4399" t="s">
        <v>6</v>
      </c>
      <c r="E4399" s="1">
        <v>44323</v>
      </c>
      <c r="F4399">
        <v>1</v>
      </c>
      <c r="G4399" t="s">
        <v>67</v>
      </c>
      <c r="H4399" t="s">
        <v>68</v>
      </c>
      <c r="I4399" s="3">
        <v>1507</v>
      </c>
      <c r="J4399" s="3">
        <v>1507</v>
      </c>
      <c r="K4399" s="3">
        <v>393</v>
      </c>
      <c r="L4399" t="s">
        <v>9</v>
      </c>
      <c r="M4399">
        <v>5</v>
      </c>
      <c r="N4399" t="s">
        <v>85</v>
      </c>
      <c r="O4399" t="s">
        <v>81</v>
      </c>
      <c r="P4399" t="s">
        <v>12</v>
      </c>
      <c r="Q4399" t="s">
        <v>13</v>
      </c>
      <c r="R4399" t="s">
        <v>13</v>
      </c>
      <c r="S4399" t="s">
        <v>144</v>
      </c>
      <c r="T4399" s="2">
        <f>MASTER[[#This Row],[CANTIDAD]]*MASTER[[#This Row],[PRECIO DE VENTA]]</f>
        <v>1507</v>
      </c>
      <c r="U4399" s="2">
        <f>MASTER[[#This Row],[CANTIDAD]]*MASTER[[#This Row],[COSTO UNITARIO]]</f>
        <v>393</v>
      </c>
      <c r="V4399" s="2">
        <f>MASTER[[#This Row],[MONTO VENDIDO]]-MASTER[[#This Row],[COSTO DE VENTA]]</f>
        <v>1114</v>
      </c>
    </row>
    <row r="4400" spans="1:22" x14ac:dyDescent="0.3">
      <c r="A4400">
        <v>65148</v>
      </c>
      <c r="B4400">
        <v>1</v>
      </c>
      <c r="C4400" t="s">
        <v>101</v>
      </c>
      <c r="D4400" t="s">
        <v>102</v>
      </c>
      <c r="E4400" s="1">
        <v>44323</v>
      </c>
      <c r="F4400">
        <v>1</v>
      </c>
      <c r="G4400" t="s">
        <v>35</v>
      </c>
      <c r="H4400" t="s">
        <v>36</v>
      </c>
      <c r="I4400" s="3">
        <v>1212</v>
      </c>
      <c r="J4400" s="3">
        <v>1212</v>
      </c>
      <c r="K4400" s="3">
        <v>442</v>
      </c>
      <c r="L4400" t="s">
        <v>98</v>
      </c>
      <c r="M4400">
        <v>10</v>
      </c>
      <c r="N4400" t="s">
        <v>83</v>
      </c>
      <c r="O4400" t="s">
        <v>81</v>
      </c>
      <c r="P4400" t="s">
        <v>12</v>
      </c>
      <c r="Q4400" t="s">
        <v>13</v>
      </c>
      <c r="R4400" t="s">
        <v>13</v>
      </c>
      <c r="S4400" t="s">
        <v>144</v>
      </c>
      <c r="T4400" s="2">
        <f>MASTER[[#This Row],[CANTIDAD]]*MASTER[[#This Row],[PRECIO DE VENTA]]</f>
        <v>1212</v>
      </c>
      <c r="U4400" s="2">
        <f>MASTER[[#This Row],[CANTIDAD]]*MASTER[[#This Row],[COSTO UNITARIO]]</f>
        <v>442</v>
      </c>
      <c r="V4400" s="2">
        <f>MASTER[[#This Row],[MONTO VENDIDO]]-MASTER[[#This Row],[COSTO DE VENTA]]</f>
        <v>770</v>
      </c>
    </row>
    <row r="4401" spans="1:22" x14ac:dyDescent="0.3">
      <c r="A4401">
        <v>65152</v>
      </c>
      <c r="B4401">
        <v>1</v>
      </c>
      <c r="C4401" t="s">
        <v>118</v>
      </c>
      <c r="D4401" t="s">
        <v>119</v>
      </c>
      <c r="E4401" s="1">
        <v>44323</v>
      </c>
      <c r="F4401">
        <v>1</v>
      </c>
      <c r="G4401" t="s">
        <v>73</v>
      </c>
      <c r="H4401" t="s">
        <v>74</v>
      </c>
      <c r="I4401" s="3">
        <v>900</v>
      </c>
      <c r="J4401" s="3">
        <v>900</v>
      </c>
      <c r="K4401" s="3">
        <v>424</v>
      </c>
      <c r="L4401" t="s">
        <v>120</v>
      </c>
      <c r="M4401">
        <v>15</v>
      </c>
      <c r="N4401" t="s">
        <v>88</v>
      </c>
      <c r="O4401" t="s">
        <v>81</v>
      </c>
      <c r="P4401" t="s">
        <v>18</v>
      </c>
      <c r="Q4401" t="s">
        <v>19</v>
      </c>
      <c r="R4401" t="s">
        <v>138</v>
      </c>
      <c r="S4401" t="s">
        <v>144</v>
      </c>
      <c r="T4401" s="2">
        <f>MASTER[[#This Row],[CANTIDAD]]*MASTER[[#This Row],[PRECIO DE VENTA]]</f>
        <v>900</v>
      </c>
      <c r="U4401" s="2">
        <f>MASTER[[#This Row],[CANTIDAD]]*MASTER[[#This Row],[COSTO UNITARIO]]</f>
        <v>424</v>
      </c>
      <c r="V4401" s="2">
        <f>MASTER[[#This Row],[MONTO VENDIDO]]-MASTER[[#This Row],[COSTO DE VENTA]]</f>
        <v>476</v>
      </c>
    </row>
    <row r="4402" spans="1:22" x14ac:dyDescent="0.3">
      <c r="A4402">
        <v>65156</v>
      </c>
      <c r="B4402">
        <v>1</v>
      </c>
      <c r="C4402" t="s">
        <v>118</v>
      </c>
      <c r="D4402" t="s">
        <v>119</v>
      </c>
      <c r="E4402" s="1">
        <v>44323</v>
      </c>
      <c r="F4402">
        <v>1</v>
      </c>
      <c r="G4402" t="s">
        <v>39</v>
      </c>
      <c r="H4402" t="s">
        <v>40</v>
      </c>
      <c r="I4402" s="3">
        <v>900</v>
      </c>
      <c r="J4402" s="3">
        <v>810</v>
      </c>
      <c r="K4402" s="3">
        <v>424</v>
      </c>
      <c r="L4402" t="s">
        <v>120</v>
      </c>
      <c r="M4402">
        <v>15</v>
      </c>
      <c r="N4402" t="s">
        <v>88</v>
      </c>
      <c r="O4402" t="s">
        <v>81</v>
      </c>
      <c r="P4402" t="s">
        <v>18</v>
      </c>
      <c r="Q4402" t="s">
        <v>19</v>
      </c>
      <c r="R4402" t="s">
        <v>138</v>
      </c>
      <c r="S4402" t="s">
        <v>144</v>
      </c>
      <c r="T4402" s="2">
        <f>MASTER[[#This Row],[CANTIDAD]]*MASTER[[#This Row],[PRECIO DE VENTA]]</f>
        <v>810</v>
      </c>
      <c r="U4402" s="2">
        <f>MASTER[[#This Row],[CANTIDAD]]*MASTER[[#This Row],[COSTO UNITARIO]]</f>
        <v>424</v>
      </c>
      <c r="V4402" s="2">
        <f>MASTER[[#This Row],[MONTO VENDIDO]]-MASTER[[#This Row],[COSTO DE VENTA]]</f>
        <v>386</v>
      </c>
    </row>
    <row r="4403" spans="1:22" x14ac:dyDescent="0.3">
      <c r="A4403">
        <v>65166</v>
      </c>
      <c r="B4403">
        <v>1</v>
      </c>
      <c r="C4403" t="s">
        <v>105</v>
      </c>
      <c r="D4403" t="s">
        <v>106</v>
      </c>
      <c r="E4403" s="1">
        <v>44323</v>
      </c>
      <c r="F4403">
        <v>1</v>
      </c>
      <c r="G4403" t="s">
        <v>20</v>
      </c>
      <c r="H4403" t="s">
        <v>21</v>
      </c>
      <c r="I4403" s="3">
        <v>1865</v>
      </c>
      <c r="J4403" s="3">
        <v>1865</v>
      </c>
      <c r="K4403" s="3">
        <v>459</v>
      </c>
      <c r="L4403" t="s">
        <v>98</v>
      </c>
      <c r="M4403">
        <v>5</v>
      </c>
      <c r="N4403" t="s">
        <v>85</v>
      </c>
      <c r="O4403" t="s">
        <v>81</v>
      </c>
      <c r="P4403" t="s">
        <v>12</v>
      </c>
      <c r="Q4403" t="s">
        <v>13</v>
      </c>
      <c r="R4403" t="s">
        <v>13</v>
      </c>
      <c r="S4403" t="s">
        <v>144</v>
      </c>
      <c r="T4403" s="2">
        <f>MASTER[[#This Row],[CANTIDAD]]*MASTER[[#This Row],[PRECIO DE VENTA]]</f>
        <v>1865</v>
      </c>
      <c r="U4403" s="2">
        <f>MASTER[[#This Row],[CANTIDAD]]*MASTER[[#This Row],[COSTO UNITARIO]]</f>
        <v>459</v>
      </c>
      <c r="V4403" s="2">
        <f>MASTER[[#This Row],[MONTO VENDIDO]]-MASTER[[#This Row],[COSTO DE VENTA]]</f>
        <v>1406</v>
      </c>
    </row>
    <row r="4404" spans="1:22" x14ac:dyDescent="0.3">
      <c r="A4404">
        <v>65172</v>
      </c>
      <c r="B4404">
        <v>1</v>
      </c>
      <c r="C4404" t="s">
        <v>103</v>
      </c>
      <c r="D4404" t="s">
        <v>104</v>
      </c>
      <c r="E4404" s="1">
        <v>44323</v>
      </c>
      <c r="F4404">
        <v>1</v>
      </c>
      <c r="G4404" t="s">
        <v>53</v>
      </c>
      <c r="H4404" t="s">
        <v>54</v>
      </c>
      <c r="I4404" s="3">
        <v>1830</v>
      </c>
      <c r="J4404" s="3">
        <v>1738</v>
      </c>
      <c r="K4404" s="3">
        <v>421</v>
      </c>
      <c r="L4404" t="s">
        <v>98</v>
      </c>
      <c r="M4404">
        <v>6</v>
      </c>
      <c r="N4404" t="s">
        <v>75</v>
      </c>
      <c r="O4404" t="s">
        <v>70</v>
      </c>
      <c r="P4404" t="s">
        <v>12</v>
      </c>
      <c r="Q4404" t="s">
        <v>13</v>
      </c>
      <c r="R4404" t="s">
        <v>13</v>
      </c>
      <c r="S4404" t="s">
        <v>144</v>
      </c>
      <c r="T4404" s="2">
        <f>MASTER[[#This Row],[CANTIDAD]]*MASTER[[#This Row],[PRECIO DE VENTA]]</f>
        <v>1738</v>
      </c>
      <c r="U4404" s="2">
        <f>MASTER[[#This Row],[CANTIDAD]]*MASTER[[#This Row],[COSTO UNITARIO]]</f>
        <v>421</v>
      </c>
      <c r="V4404" s="2">
        <f>MASTER[[#This Row],[MONTO VENDIDO]]-MASTER[[#This Row],[COSTO DE VENTA]]</f>
        <v>1317</v>
      </c>
    </row>
    <row r="4405" spans="1:22" x14ac:dyDescent="0.3">
      <c r="A4405">
        <v>65180</v>
      </c>
      <c r="B4405">
        <v>1</v>
      </c>
      <c r="C4405" t="s">
        <v>96</v>
      </c>
      <c r="D4405" t="s">
        <v>97</v>
      </c>
      <c r="E4405" s="1">
        <v>44323</v>
      </c>
      <c r="F4405">
        <v>1</v>
      </c>
      <c r="G4405" t="s">
        <v>39</v>
      </c>
      <c r="H4405" t="s">
        <v>40</v>
      </c>
      <c r="I4405" s="3">
        <v>1361</v>
      </c>
      <c r="J4405" s="3">
        <v>1361</v>
      </c>
      <c r="K4405" s="3">
        <v>397</v>
      </c>
      <c r="L4405" t="s">
        <v>98</v>
      </c>
      <c r="M4405">
        <v>1</v>
      </c>
      <c r="N4405" t="s">
        <v>77</v>
      </c>
      <c r="O4405" t="s">
        <v>70</v>
      </c>
      <c r="P4405" t="s">
        <v>71</v>
      </c>
      <c r="Q4405" t="s">
        <v>72</v>
      </c>
      <c r="R4405" t="s">
        <v>139</v>
      </c>
      <c r="S4405" t="s">
        <v>144</v>
      </c>
      <c r="T4405" s="2">
        <f>MASTER[[#This Row],[CANTIDAD]]*MASTER[[#This Row],[PRECIO DE VENTA]]</f>
        <v>1361</v>
      </c>
      <c r="U4405" s="2">
        <f>MASTER[[#This Row],[CANTIDAD]]*MASTER[[#This Row],[COSTO UNITARIO]]</f>
        <v>397</v>
      </c>
      <c r="V4405" s="2">
        <f>MASTER[[#This Row],[MONTO VENDIDO]]-MASTER[[#This Row],[COSTO DE VENTA]]</f>
        <v>964</v>
      </c>
    </row>
    <row r="4406" spans="1:22" x14ac:dyDescent="0.3">
      <c r="A4406">
        <v>65194</v>
      </c>
      <c r="B4406">
        <v>1</v>
      </c>
      <c r="C4406" t="s">
        <v>90</v>
      </c>
      <c r="D4406" t="s">
        <v>91</v>
      </c>
      <c r="E4406" s="1">
        <v>44323</v>
      </c>
      <c r="F4406">
        <v>1</v>
      </c>
      <c r="G4406" t="s">
        <v>24</v>
      </c>
      <c r="H4406" t="s">
        <v>25</v>
      </c>
      <c r="I4406" s="3">
        <v>1844</v>
      </c>
      <c r="J4406" s="3">
        <v>1844</v>
      </c>
      <c r="K4406" s="3">
        <v>420</v>
      </c>
      <c r="L4406" t="s">
        <v>9</v>
      </c>
      <c r="M4406">
        <v>7</v>
      </c>
      <c r="N4406" t="s">
        <v>84</v>
      </c>
      <c r="O4406" t="s">
        <v>81</v>
      </c>
      <c r="P4406" t="s">
        <v>12</v>
      </c>
      <c r="Q4406" t="s">
        <v>13</v>
      </c>
      <c r="R4406" t="s">
        <v>13</v>
      </c>
      <c r="S4406" t="s">
        <v>144</v>
      </c>
      <c r="T4406" s="2">
        <f>MASTER[[#This Row],[CANTIDAD]]*MASTER[[#This Row],[PRECIO DE VENTA]]</f>
        <v>1844</v>
      </c>
      <c r="U4406" s="2">
        <f>MASTER[[#This Row],[CANTIDAD]]*MASTER[[#This Row],[COSTO UNITARIO]]</f>
        <v>420</v>
      </c>
      <c r="V4406" s="2">
        <f>MASTER[[#This Row],[MONTO VENDIDO]]-MASTER[[#This Row],[COSTO DE VENTA]]</f>
        <v>1424</v>
      </c>
    </row>
    <row r="4407" spans="1:22" x14ac:dyDescent="0.3">
      <c r="A4407">
        <v>65199</v>
      </c>
      <c r="B4407">
        <v>1</v>
      </c>
      <c r="C4407" t="s">
        <v>121</v>
      </c>
      <c r="D4407" t="s">
        <v>122</v>
      </c>
      <c r="E4407" s="1">
        <v>44324</v>
      </c>
      <c r="F4407">
        <v>1</v>
      </c>
      <c r="G4407" t="s">
        <v>49</v>
      </c>
      <c r="H4407" t="s">
        <v>50</v>
      </c>
      <c r="I4407" s="3">
        <v>1069</v>
      </c>
      <c r="J4407" s="3">
        <v>1069</v>
      </c>
      <c r="K4407" s="3">
        <v>460</v>
      </c>
      <c r="L4407" t="s">
        <v>120</v>
      </c>
      <c r="M4407">
        <v>8</v>
      </c>
      <c r="N4407" t="s">
        <v>80</v>
      </c>
      <c r="O4407" t="s">
        <v>81</v>
      </c>
      <c r="P4407" t="s">
        <v>12</v>
      </c>
      <c r="Q4407" t="s">
        <v>13</v>
      </c>
      <c r="R4407" t="s">
        <v>13</v>
      </c>
      <c r="S4407" t="s">
        <v>144</v>
      </c>
      <c r="T4407" s="2">
        <f>MASTER[[#This Row],[CANTIDAD]]*MASTER[[#This Row],[PRECIO DE VENTA]]</f>
        <v>1069</v>
      </c>
      <c r="U4407" s="2">
        <f>MASTER[[#This Row],[CANTIDAD]]*MASTER[[#This Row],[COSTO UNITARIO]]</f>
        <v>460</v>
      </c>
      <c r="V4407" s="2">
        <f>MASTER[[#This Row],[MONTO VENDIDO]]-MASTER[[#This Row],[COSTO DE VENTA]]</f>
        <v>609</v>
      </c>
    </row>
    <row r="4408" spans="1:22" x14ac:dyDescent="0.3">
      <c r="A4408">
        <v>65201</v>
      </c>
      <c r="B4408">
        <v>1</v>
      </c>
      <c r="C4408" t="s">
        <v>90</v>
      </c>
      <c r="D4408" t="s">
        <v>91</v>
      </c>
      <c r="E4408" s="1">
        <v>44324</v>
      </c>
      <c r="F4408">
        <v>1</v>
      </c>
      <c r="G4408" t="s">
        <v>45</v>
      </c>
      <c r="H4408" t="s">
        <v>46</v>
      </c>
      <c r="I4408" s="3">
        <v>2102</v>
      </c>
      <c r="J4408" s="3">
        <v>2102</v>
      </c>
      <c r="K4408" s="3">
        <v>420</v>
      </c>
      <c r="L4408" t="s">
        <v>9</v>
      </c>
      <c r="M4408">
        <v>3</v>
      </c>
      <c r="N4408" t="s">
        <v>69</v>
      </c>
      <c r="O4408" t="s">
        <v>70</v>
      </c>
      <c r="P4408" t="s">
        <v>71</v>
      </c>
      <c r="Q4408" t="s">
        <v>72</v>
      </c>
      <c r="R4408" t="s">
        <v>139</v>
      </c>
      <c r="S4408" t="s">
        <v>144</v>
      </c>
      <c r="T4408" s="2">
        <f>MASTER[[#This Row],[CANTIDAD]]*MASTER[[#This Row],[PRECIO DE VENTA]]</f>
        <v>2102</v>
      </c>
      <c r="U4408" s="2">
        <f>MASTER[[#This Row],[CANTIDAD]]*MASTER[[#This Row],[COSTO UNITARIO]]</f>
        <v>420</v>
      </c>
      <c r="V4408" s="2">
        <f>MASTER[[#This Row],[MONTO VENDIDO]]-MASTER[[#This Row],[COSTO DE VENTA]]</f>
        <v>1682</v>
      </c>
    </row>
    <row r="4409" spans="1:22" x14ac:dyDescent="0.3">
      <c r="A4409">
        <v>65203</v>
      </c>
      <c r="B4409">
        <v>1</v>
      </c>
      <c r="C4409" t="s">
        <v>109</v>
      </c>
      <c r="D4409" t="s">
        <v>110</v>
      </c>
      <c r="E4409" s="1">
        <v>44324</v>
      </c>
      <c r="F4409">
        <v>1</v>
      </c>
      <c r="G4409" t="s">
        <v>57</v>
      </c>
      <c r="H4409" t="s">
        <v>58</v>
      </c>
      <c r="I4409" s="3">
        <v>947</v>
      </c>
      <c r="J4409" s="3">
        <v>947</v>
      </c>
      <c r="K4409" s="3">
        <v>387</v>
      </c>
      <c r="L4409" t="s">
        <v>98</v>
      </c>
      <c r="M4409">
        <v>11</v>
      </c>
      <c r="N4409" t="s">
        <v>10</v>
      </c>
      <c r="O4409" t="s">
        <v>11</v>
      </c>
      <c r="P4409" t="s">
        <v>12</v>
      </c>
      <c r="Q4409" t="s">
        <v>13</v>
      </c>
      <c r="R4409" t="s">
        <v>13</v>
      </c>
      <c r="S4409" t="s">
        <v>144</v>
      </c>
      <c r="T4409" s="2">
        <f>MASTER[[#This Row],[CANTIDAD]]*MASTER[[#This Row],[PRECIO DE VENTA]]</f>
        <v>947</v>
      </c>
      <c r="U4409" s="2">
        <f>MASTER[[#This Row],[CANTIDAD]]*MASTER[[#This Row],[COSTO UNITARIO]]</f>
        <v>387</v>
      </c>
      <c r="V4409" s="2">
        <f>MASTER[[#This Row],[MONTO VENDIDO]]-MASTER[[#This Row],[COSTO DE VENTA]]</f>
        <v>560</v>
      </c>
    </row>
    <row r="4410" spans="1:22" x14ac:dyDescent="0.3">
      <c r="A4410">
        <v>65204</v>
      </c>
      <c r="B4410">
        <v>1</v>
      </c>
      <c r="C4410" t="s">
        <v>99</v>
      </c>
      <c r="D4410" t="s">
        <v>100</v>
      </c>
      <c r="E4410" s="1">
        <v>44324</v>
      </c>
      <c r="F4410">
        <v>1</v>
      </c>
      <c r="G4410" t="s">
        <v>35</v>
      </c>
      <c r="H4410" t="s">
        <v>36</v>
      </c>
      <c r="I4410" s="3">
        <v>1459</v>
      </c>
      <c r="J4410" s="3">
        <v>1371</v>
      </c>
      <c r="K4410" s="3">
        <v>386</v>
      </c>
      <c r="L4410" t="s">
        <v>98</v>
      </c>
      <c r="M4410">
        <v>4</v>
      </c>
      <c r="N4410" t="s">
        <v>82</v>
      </c>
      <c r="O4410" t="s">
        <v>81</v>
      </c>
      <c r="P4410" t="s">
        <v>71</v>
      </c>
      <c r="Q4410" t="s">
        <v>72</v>
      </c>
      <c r="R4410" t="s">
        <v>139</v>
      </c>
      <c r="S4410" t="s">
        <v>144</v>
      </c>
      <c r="T4410" s="2">
        <f>MASTER[[#This Row],[CANTIDAD]]*MASTER[[#This Row],[PRECIO DE VENTA]]</f>
        <v>1371</v>
      </c>
      <c r="U4410" s="2">
        <f>MASTER[[#This Row],[CANTIDAD]]*MASTER[[#This Row],[COSTO UNITARIO]]</f>
        <v>386</v>
      </c>
      <c r="V4410" s="2">
        <f>MASTER[[#This Row],[MONTO VENDIDO]]-MASTER[[#This Row],[COSTO DE VENTA]]</f>
        <v>985</v>
      </c>
    </row>
    <row r="4411" spans="1:22" x14ac:dyDescent="0.3">
      <c r="A4411">
        <v>65210</v>
      </c>
      <c r="B4411">
        <v>1</v>
      </c>
      <c r="C4411" t="s">
        <v>94</v>
      </c>
      <c r="D4411" t="s">
        <v>95</v>
      </c>
      <c r="E4411" s="1">
        <v>44324</v>
      </c>
      <c r="F4411">
        <v>1</v>
      </c>
      <c r="G4411" t="s">
        <v>27</v>
      </c>
      <c r="H4411" t="s">
        <v>28</v>
      </c>
      <c r="I4411" s="3">
        <v>1048</v>
      </c>
      <c r="J4411" s="3">
        <v>1048</v>
      </c>
      <c r="K4411" s="3">
        <v>392</v>
      </c>
      <c r="L4411" t="s">
        <v>9</v>
      </c>
      <c r="M4411">
        <v>10</v>
      </c>
      <c r="N4411" t="s">
        <v>83</v>
      </c>
      <c r="O4411" t="s">
        <v>81</v>
      </c>
      <c r="P4411" t="s">
        <v>12</v>
      </c>
      <c r="Q4411" t="s">
        <v>13</v>
      </c>
      <c r="R4411" t="s">
        <v>13</v>
      </c>
      <c r="S4411" t="s">
        <v>144</v>
      </c>
      <c r="T4411" s="2">
        <f>MASTER[[#This Row],[CANTIDAD]]*MASTER[[#This Row],[PRECIO DE VENTA]]</f>
        <v>1048</v>
      </c>
      <c r="U4411" s="2">
        <f>MASTER[[#This Row],[CANTIDAD]]*MASTER[[#This Row],[COSTO UNITARIO]]</f>
        <v>392</v>
      </c>
      <c r="V4411" s="2">
        <f>MASTER[[#This Row],[MONTO VENDIDO]]-MASTER[[#This Row],[COSTO DE VENTA]]</f>
        <v>656</v>
      </c>
    </row>
    <row r="4412" spans="1:22" x14ac:dyDescent="0.3">
      <c r="A4412">
        <v>65211</v>
      </c>
      <c r="B4412">
        <v>1</v>
      </c>
      <c r="C4412" t="s">
        <v>111</v>
      </c>
      <c r="D4412" t="s">
        <v>112</v>
      </c>
      <c r="E4412" s="1">
        <v>44324</v>
      </c>
      <c r="F4412">
        <v>1</v>
      </c>
      <c r="G4412" t="s">
        <v>51</v>
      </c>
      <c r="H4412" t="s">
        <v>52</v>
      </c>
      <c r="I4412" s="3">
        <v>1799</v>
      </c>
      <c r="J4412" s="3">
        <v>1619</v>
      </c>
      <c r="K4412" s="3">
        <v>434</v>
      </c>
      <c r="L4412" t="s">
        <v>113</v>
      </c>
      <c r="M4412">
        <v>1</v>
      </c>
      <c r="N4412" t="s">
        <v>77</v>
      </c>
      <c r="O4412" t="s">
        <v>70</v>
      </c>
      <c r="P4412" t="s">
        <v>71</v>
      </c>
      <c r="Q4412" t="s">
        <v>72</v>
      </c>
      <c r="R4412" t="s">
        <v>139</v>
      </c>
      <c r="S4412" t="s">
        <v>144</v>
      </c>
      <c r="T4412" s="2">
        <f>MASTER[[#This Row],[CANTIDAD]]*MASTER[[#This Row],[PRECIO DE VENTA]]</f>
        <v>1619</v>
      </c>
      <c r="U4412" s="2">
        <f>MASTER[[#This Row],[CANTIDAD]]*MASTER[[#This Row],[COSTO UNITARIO]]</f>
        <v>434</v>
      </c>
      <c r="V4412" s="2">
        <f>MASTER[[#This Row],[MONTO VENDIDO]]-MASTER[[#This Row],[COSTO DE VENTA]]</f>
        <v>1185</v>
      </c>
    </row>
    <row r="4413" spans="1:22" x14ac:dyDescent="0.3">
      <c r="A4413">
        <v>65217</v>
      </c>
      <c r="B4413">
        <v>1</v>
      </c>
      <c r="C4413" t="s">
        <v>114</v>
      </c>
      <c r="D4413" t="s">
        <v>115</v>
      </c>
      <c r="E4413" s="1">
        <v>44324</v>
      </c>
      <c r="F4413">
        <v>1</v>
      </c>
      <c r="G4413" t="s">
        <v>29</v>
      </c>
      <c r="H4413" t="s">
        <v>30</v>
      </c>
      <c r="I4413" s="3">
        <v>2030</v>
      </c>
      <c r="J4413" s="3">
        <v>2030</v>
      </c>
      <c r="K4413" s="3">
        <v>394</v>
      </c>
      <c r="L4413" t="s">
        <v>113</v>
      </c>
      <c r="M4413">
        <v>9</v>
      </c>
      <c r="N4413" t="s">
        <v>76</v>
      </c>
      <c r="O4413" t="s">
        <v>70</v>
      </c>
      <c r="P4413" t="s">
        <v>12</v>
      </c>
      <c r="Q4413" t="s">
        <v>13</v>
      </c>
      <c r="R4413" t="s">
        <v>13</v>
      </c>
      <c r="S4413" t="s">
        <v>144</v>
      </c>
      <c r="T4413" s="2">
        <f>MASTER[[#This Row],[CANTIDAD]]*MASTER[[#This Row],[PRECIO DE VENTA]]</f>
        <v>2030</v>
      </c>
      <c r="U4413" s="2">
        <f>MASTER[[#This Row],[CANTIDAD]]*MASTER[[#This Row],[COSTO UNITARIO]]</f>
        <v>394</v>
      </c>
      <c r="V4413" s="2">
        <f>MASTER[[#This Row],[MONTO VENDIDO]]-MASTER[[#This Row],[COSTO DE VENTA]]</f>
        <v>1636</v>
      </c>
    </row>
    <row r="4414" spans="1:22" x14ac:dyDescent="0.3">
      <c r="A4414">
        <v>65220</v>
      </c>
      <c r="B4414">
        <v>1</v>
      </c>
      <c r="C4414" t="s">
        <v>118</v>
      </c>
      <c r="D4414" t="s">
        <v>119</v>
      </c>
      <c r="E4414" s="1">
        <v>44324</v>
      </c>
      <c r="F4414">
        <v>1</v>
      </c>
      <c r="G4414" t="s">
        <v>37</v>
      </c>
      <c r="H4414" t="s">
        <v>38</v>
      </c>
      <c r="I4414" s="3">
        <v>900</v>
      </c>
      <c r="J4414" s="3">
        <v>900</v>
      </c>
      <c r="K4414" s="3">
        <v>424</v>
      </c>
      <c r="L4414" t="s">
        <v>120</v>
      </c>
      <c r="M4414">
        <v>5</v>
      </c>
      <c r="N4414" t="s">
        <v>85</v>
      </c>
      <c r="O4414" t="s">
        <v>81</v>
      </c>
      <c r="P4414" t="s">
        <v>12</v>
      </c>
      <c r="Q4414" t="s">
        <v>13</v>
      </c>
      <c r="R4414" t="s">
        <v>13</v>
      </c>
      <c r="S4414" t="s">
        <v>144</v>
      </c>
      <c r="T4414" s="2">
        <f>MASTER[[#This Row],[CANTIDAD]]*MASTER[[#This Row],[PRECIO DE VENTA]]</f>
        <v>900</v>
      </c>
      <c r="U4414" s="2">
        <f>MASTER[[#This Row],[CANTIDAD]]*MASTER[[#This Row],[COSTO UNITARIO]]</f>
        <v>424</v>
      </c>
      <c r="V4414" s="2">
        <f>MASTER[[#This Row],[MONTO VENDIDO]]-MASTER[[#This Row],[COSTO DE VENTA]]</f>
        <v>476</v>
      </c>
    </row>
    <row r="4415" spans="1:22" x14ac:dyDescent="0.3">
      <c r="A4415">
        <v>65222</v>
      </c>
      <c r="B4415">
        <v>1</v>
      </c>
      <c r="C4415" t="s">
        <v>114</v>
      </c>
      <c r="D4415" t="s">
        <v>115</v>
      </c>
      <c r="E4415" s="1">
        <v>44325</v>
      </c>
      <c r="F4415">
        <v>1</v>
      </c>
      <c r="G4415" t="s">
        <v>59</v>
      </c>
      <c r="H4415" t="s">
        <v>60</v>
      </c>
      <c r="I4415" s="3">
        <v>1583</v>
      </c>
      <c r="J4415" s="3">
        <v>1583</v>
      </c>
      <c r="K4415" s="3">
        <v>394</v>
      </c>
      <c r="L4415" t="s">
        <v>113</v>
      </c>
      <c r="M4415">
        <v>12</v>
      </c>
      <c r="N4415" t="s">
        <v>26</v>
      </c>
      <c r="O4415" t="s">
        <v>11</v>
      </c>
      <c r="P4415" t="s">
        <v>12</v>
      </c>
      <c r="Q4415" t="s">
        <v>13</v>
      </c>
      <c r="R4415" t="s">
        <v>13</v>
      </c>
      <c r="S4415" t="s">
        <v>144</v>
      </c>
      <c r="T4415" s="2">
        <f>MASTER[[#This Row],[CANTIDAD]]*MASTER[[#This Row],[PRECIO DE VENTA]]</f>
        <v>1583</v>
      </c>
      <c r="U4415" s="2">
        <f>MASTER[[#This Row],[CANTIDAD]]*MASTER[[#This Row],[COSTO UNITARIO]]</f>
        <v>394</v>
      </c>
      <c r="V4415" s="2">
        <f>MASTER[[#This Row],[MONTO VENDIDO]]-MASTER[[#This Row],[COSTO DE VENTA]]</f>
        <v>1189</v>
      </c>
    </row>
    <row r="4416" spans="1:22" x14ac:dyDescent="0.3">
      <c r="A4416">
        <v>65236</v>
      </c>
      <c r="B4416">
        <v>1</v>
      </c>
      <c r="C4416" t="s">
        <v>5</v>
      </c>
      <c r="D4416" t="s">
        <v>6</v>
      </c>
      <c r="E4416" s="1">
        <v>44325</v>
      </c>
      <c r="F4416">
        <v>1</v>
      </c>
      <c r="G4416" t="s">
        <v>29</v>
      </c>
      <c r="H4416" t="s">
        <v>30</v>
      </c>
      <c r="I4416" s="3">
        <v>1507</v>
      </c>
      <c r="J4416" s="3">
        <v>1507</v>
      </c>
      <c r="K4416" s="3">
        <v>393</v>
      </c>
      <c r="L4416" t="s">
        <v>9</v>
      </c>
      <c r="M4416">
        <v>7</v>
      </c>
      <c r="N4416" t="s">
        <v>84</v>
      </c>
      <c r="O4416" t="s">
        <v>81</v>
      </c>
      <c r="P4416" t="s">
        <v>12</v>
      </c>
      <c r="Q4416" t="s">
        <v>13</v>
      </c>
      <c r="R4416" t="s">
        <v>13</v>
      </c>
      <c r="S4416" t="s">
        <v>144</v>
      </c>
      <c r="T4416" s="2">
        <f>MASTER[[#This Row],[CANTIDAD]]*MASTER[[#This Row],[PRECIO DE VENTA]]</f>
        <v>1507</v>
      </c>
      <c r="U4416" s="2">
        <f>MASTER[[#This Row],[CANTIDAD]]*MASTER[[#This Row],[COSTO UNITARIO]]</f>
        <v>393</v>
      </c>
      <c r="V4416" s="2">
        <f>MASTER[[#This Row],[MONTO VENDIDO]]-MASTER[[#This Row],[COSTO DE VENTA]]</f>
        <v>1114</v>
      </c>
    </row>
    <row r="4417" spans="1:22" x14ac:dyDescent="0.3">
      <c r="A4417">
        <v>65239</v>
      </c>
      <c r="B4417">
        <v>1</v>
      </c>
      <c r="C4417" t="s">
        <v>111</v>
      </c>
      <c r="D4417" t="s">
        <v>112</v>
      </c>
      <c r="E4417" s="1">
        <v>44325</v>
      </c>
      <c r="F4417">
        <v>1</v>
      </c>
      <c r="G4417" t="s">
        <v>29</v>
      </c>
      <c r="H4417" t="s">
        <v>30</v>
      </c>
      <c r="I4417" s="3">
        <v>1524</v>
      </c>
      <c r="J4417" s="3">
        <v>1524</v>
      </c>
      <c r="K4417" s="3">
        <v>434</v>
      </c>
      <c r="L4417" t="s">
        <v>113</v>
      </c>
      <c r="M4417">
        <v>11</v>
      </c>
      <c r="N4417" t="s">
        <v>10</v>
      </c>
      <c r="O4417" t="s">
        <v>11</v>
      </c>
      <c r="P4417" t="s">
        <v>12</v>
      </c>
      <c r="Q4417" t="s">
        <v>13</v>
      </c>
      <c r="R4417" t="s">
        <v>13</v>
      </c>
      <c r="S4417" t="s">
        <v>144</v>
      </c>
      <c r="T4417" s="2">
        <f>MASTER[[#This Row],[CANTIDAD]]*MASTER[[#This Row],[PRECIO DE VENTA]]</f>
        <v>1524</v>
      </c>
      <c r="U4417" s="2">
        <f>MASTER[[#This Row],[CANTIDAD]]*MASTER[[#This Row],[COSTO UNITARIO]]</f>
        <v>434</v>
      </c>
      <c r="V4417" s="2">
        <f>MASTER[[#This Row],[MONTO VENDIDO]]-MASTER[[#This Row],[COSTO DE VENTA]]</f>
        <v>1090</v>
      </c>
    </row>
    <row r="4418" spans="1:22" x14ac:dyDescent="0.3">
      <c r="A4418">
        <v>65251</v>
      </c>
      <c r="B4418">
        <v>1</v>
      </c>
      <c r="C4418" t="s">
        <v>99</v>
      </c>
      <c r="D4418" t="s">
        <v>100</v>
      </c>
      <c r="E4418" s="1">
        <v>44325</v>
      </c>
      <c r="F4418">
        <v>1</v>
      </c>
      <c r="G4418" t="s">
        <v>20</v>
      </c>
      <c r="H4418" t="s">
        <v>21</v>
      </c>
      <c r="I4418" s="3">
        <v>1459</v>
      </c>
      <c r="J4418" s="3">
        <v>1459</v>
      </c>
      <c r="K4418" s="3">
        <v>386</v>
      </c>
      <c r="L4418" t="s">
        <v>98</v>
      </c>
      <c r="M4418">
        <v>19</v>
      </c>
      <c r="N4418" t="s">
        <v>89</v>
      </c>
      <c r="O4418" t="s">
        <v>81</v>
      </c>
      <c r="P4418" t="s">
        <v>15</v>
      </c>
      <c r="Q4418" t="s">
        <v>16</v>
      </c>
      <c r="R4418" t="s">
        <v>16</v>
      </c>
      <c r="S4418" t="s">
        <v>144</v>
      </c>
      <c r="T4418" s="2">
        <f>MASTER[[#This Row],[CANTIDAD]]*MASTER[[#This Row],[PRECIO DE VENTA]]</f>
        <v>1459</v>
      </c>
      <c r="U4418" s="2">
        <f>MASTER[[#This Row],[CANTIDAD]]*MASTER[[#This Row],[COSTO UNITARIO]]</f>
        <v>386</v>
      </c>
      <c r="V4418" s="2">
        <f>MASTER[[#This Row],[MONTO VENDIDO]]-MASTER[[#This Row],[COSTO DE VENTA]]</f>
        <v>1073</v>
      </c>
    </row>
    <row r="4419" spans="1:22" x14ac:dyDescent="0.3">
      <c r="A4419">
        <v>65254</v>
      </c>
      <c r="B4419">
        <v>1</v>
      </c>
      <c r="C4419" t="s">
        <v>118</v>
      </c>
      <c r="D4419" t="s">
        <v>119</v>
      </c>
      <c r="E4419" s="1">
        <v>44325</v>
      </c>
      <c r="F4419">
        <v>1</v>
      </c>
      <c r="G4419" t="s">
        <v>27</v>
      </c>
      <c r="H4419" t="s">
        <v>28</v>
      </c>
      <c r="I4419" s="3">
        <v>900</v>
      </c>
      <c r="J4419" s="3">
        <v>900</v>
      </c>
      <c r="K4419" s="3">
        <v>424</v>
      </c>
      <c r="L4419" t="s">
        <v>120</v>
      </c>
      <c r="M4419">
        <v>2</v>
      </c>
      <c r="N4419" t="s">
        <v>86</v>
      </c>
      <c r="O4419" t="s">
        <v>81</v>
      </c>
      <c r="P4419" t="s">
        <v>71</v>
      </c>
      <c r="Q4419" t="s">
        <v>72</v>
      </c>
      <c r="R4419" t="s">
        <v>139</v>
      </c>
      <c r="S4419" t="s">
        <v>144</v>
      </c>
      <c r="T4419" s="2">
        <f>MASTER[[#This Row],[CANTIDAD]]*MASTER[[#This Row],[PRECIO DE VENTA]]</f>
        <v>900</v>
      </c>
      <c r="U4419" s="2">
        <f>MASTER[[#This Row],[CANTIDAD]]*MASTER[[#This Row],[COSTO UNITARIO]]</f>
        <v>424</v>
      </c>
      <c r="V4419" s="2">
        <f>MASTER[[#This Row],[MONTO VENDIDO]]-MASTER[[#This Row],[COSTO DE VENTA]]</f>
        <v>476</v>
      </c>
    </row>
    <row r="4420" spans="1:22" x14ac:dyDescent="0.3">
      <c r="A4420">
        <v>65259</v>
      </c>
      <c r="B4420">
        <v>1</v>
      </c>
      <c r="C4420" t="s">
        <v>99</v>
      </c>
      <c r="D4420" t="s">
        <v>100</v>
      </c>
      <c r="E4420" s="1">
        <v>44325</v>
      </c>
      <c r="F4420">
        <v>1</v>
      </c>
      <c r="G4420" t="s">
        <v>43</v>
      </c>
      <c r="H4420" t="s">
        <v>44</v>
      </c>
      <c r="I4420" s="3">
        <v>1678</v>
      </c>
      <c r="J4420" s="3">
        <v>1678</v>
      </c>
      <c r="K4420" s="3">
        <v>386</v>
      </c>
      <c r="L4420" t="s">
        <v>98</v>
      </c>
      <c r="M4420">
        <v>6</v>
      </c>
      <c r="N4420" t="s">
        <v>75</v>
      </c>
      <c r="O4420" t="s">
        <v>70</v>
      </c>
      <c r="P4420" t="s">
        <v>12</v>
      </c>
      <c r="Q4420" t="s">
        <v>13</v>
      </c>
      <c r="R4420" t="s">
        <v>13</v>
      </c>
      <c r="S4420" t="s">
        <v>144</v>
      </c>
      <c r="T4420" s="2">
        <f>MASTER[[#This Row],[CANTIDAD]]*MASTER[[#This Row],[PRECIO DE VENTA]]</f>
        <v>1678</v>
      </c>
      <c r="U4420" s="2">
        <f>MASTER[[#This Row],[CANTIDAD]]*MASTER[[#This Row],[COSTO UNITARIO]]</f>
        <v>386</v>
      </c>
      <c r="V4420" s="2">
        <f>MASTER[[#This Row],[MONTO VENDIDO]]-MASTER[[#This Row],[COSTO DE VENTA]]</f>
        <v>1292</v>
      </c>
    </row>
    <row r="4421" spans="1:22" x14ac:dyDescent="0.3">
      <c r="A4421">
        <v>65280</v>
      </c>
      <c r="B4421">
        <v>1</v>
      </c>
      <c r="C4421" t="s">
        <v>116</v>
      </c>
      <c r="D4421" t="s">
        <v>117</v>
      </c>
      <c r="E4421" s="1">
        <v>44325</v>
      </c>
      <c r="F4421">
        <v>1</v>
      </c>
      <c r="G4421" t="s">
        <v>20</v>
      </c>
      <c r="H4421" t="s">
        <v>21</v>
      </c>
      <c r="I4421" s="3">
        <v>1999</v>
      </c>
      <c r="J4421" s="3">
        <v>1999</v>
      </c>
      <c r="K4421" s="3">
        <v>388</v>
      </c>
      <c r="L4421" t="s">
        <v>113</v>
      </c>
      <c r="M4421">
        <v>13</v>
      </c>
      <c r="N4421" t="s">
        <v>78</v>
      </c>
      <c r="O4421" t="s">
        <v>70</v>
      </c>
      <c r="P4421" t="s">
        <v>18</v>
      </c>
      <c r="Q4421" t="s">
        <v>19</v>
      </c>
      <c r="R4421" t="s">
        <v>138</v>
      </c>
      <c r="S4421" t="s">
        <v>144</v>
      </c>
      <c r="T4421" s="2">
        <f>MASTER[[#This Row],[CANTIDAD]]*MASTER[[#This Row],[PRECIO DE VENTA]]</f>
        <v>1999</v>
      </c>
      <c r="U4421" s="2">
        <f>MASTER[[#This Row],[CANTIDAD]]*MASTER[[#This Row],[COSTO UNITARIO]]</f>
        <v>388</v>
      </c>
      <c r="V4421" s="2">
        <f>MASTER[[#This Row],[MONTO VENDIDO]]-MASTER[[#This Row],[COSTO DE VENTA]]</f>
        <v>1611</v>
      </c>
    </row>
    <row r="4422" spans="1:22" x14ac:dyDescent="0.3">
      <c r="A4422">
        <v>65282</v>
      </c>
      <c r="B4422">
        <v>1</v>
      </c>
      <c r="C4422" t="s">
        <v>103</v>
      </c>
      <c r="D4422" t="s">
        <v>104</v>
      </c>
      <c r="E4422" s="1">
        <v>44325</v>
      </c>
      <c r="F4422">
        <v>1</v>
      </c>
      <c r="G4422" t="s">
        <v>59</v>
      </c>
      <c r="H4422" t="s">
        <v>60</v>
      </c>
      <c r="I4422" s="3">
        <v>1830</v>
      </c>
      <c r="J4422" s="3">
        <v>1830</v>
      </c>
      <c r="K4422" s="3">
        <v>421</v>
      </c>
      <c r="L4422" t="s">
        <v>98</v>
      </c>
      <c r="M4422">
        <v>13</v>
      </c>
      <c r="N4422" t="s">
        <v>78</v>
      </c>
      <c r="O4422" t="s">
        <v>70</v>
      </c>
      <c r="P4422" t="s">
        <v>18</v>
      </c>
      <c r="Q4422" t="s">
        <v>19</v>
      </c>
      <c r="R4422" t="s">
        <v>138</v>
      </c>
      <c r="S4422" t="s">
        <v>144</v>
      </c>
      <c r="T4422" s="2">
        <f>MASTER[[#This Row],[CANTIDAD]]*MASTER[[#This Row],[PRECIO DE VENTA]]</f>
        <v>1830</v>
      </c>
      <c r="U4422" s="2">
        <f>MASTER[[#This Row],[CANTIDAD]]*MASTER[[#This Row],[COSTO UNITARIO]]</f>
        <v>421</v>
      </c>
      <c r="V4422" s="2">
        <f>MASTER[[#This Row],[MONTO VENDIDO]]-MASTER[[#This Row],[COSTO DE VENTA]]</f>
        <v>1409</v>
      </c>
    </row>
    <row r="4423" spans="1:22" x14ac:dyDescent="0.3">
      <c r="A4423">
        <v>65285</v>
      </c>
      <c r="B4423">
        <v>1</v>
      </c>
      <c r="C4423" t="s">
        <v>114</v>
      </c>
      <c r="D4423" t="s">
        <v>115</v>
      </c>
      <c r="E4423" s="1">
        <v>44325</v>
      </c>
      <c r="F4423">
        <v>4</v>
      </c>
      <c r="G4423" t="s">
        <v>41</v>
      </c>
      <c r="H4423" t="s">
        <v>42</v>
      </c>
      <c r="I4423" s="3">
        <v>2030</v>
      </c>
      <c r="J4423" s="3">
        <v>1847</v>
      </c>
      <c r="K4423" s="3">
        <v>394</v>
      </c>
      <c r="L4423" t="s">
        <v>113</v>
      </c>
      <c r="M4423">
        <v>6</v>
      </c>
      <c r="N4423" t="s">
        <v>75</v>
      </c>
      <c r="O4423" t="s">
        <v>70</v>
      </c>
      <c r="P4423" t="s">
        <v>12</v>
      </c>
      <c r="Q4423" t="s">
        <v>13</v>
      </c>
      <c r="R4423" t="s">
        <v>13</v>
      </c>
      <c r="S4423" t="s">
        <v>144</v>
      </c>
      <c r="T4423" s="2">
        <f>MASTER[[#This Row],[CANTIDAD]]*MASTER[[#This Row],[PRECIO DE VENTA]]</f>
        <v>7388</v>
      </c>
      <c r="U4423" s="2">
        <f>MASTER[[#This Row],[CANTIDAD]]*MASTER[[#This Row],[COSTO UNITARIO]]</f>
        <v>1576</v>
      </c>
      <c r="V4423" s="2">
        <f>MASTER[[#This Row],[MONTO VENDIDO]]-MASTER[[#This Row],[COSTO DE VENTA]]</f>
        <v>5812</v>
      </c>
    </row>
    <row r="4424" spans="1:22" x14ac:dyDescent="0.3">
      <c r="A4424">
        <v>65287</v>
      </c>
      <c r="B4424">
        <v>1</v>
      </c>
      <c r="C4424" t="s">
        <v>109</v>
      </c>
      <c r="D4424" t="s">
        <v>110</v>
      </c>
      <c r="E4424" s="1">
        <v>44325</v>
      </c>
      <c r="F4424">
        <v>1</v>
      </c>
      <c r="G4424" t="s">
        <v>61</v>
      </c>
      <c r="H4424" t="s">
        <v>62</v>
      </c>
      <c r="I4424" s="3">
        <v>1128</v>
      </c>
      <c r="J4424" s="3">
        <v>1128</v>
      </c>
      <c r="K4424" s="3">
        <v>387</v>
      </c>
      <c r="L4424" t="s">
        <v>98</v>
      </c>
      <c r="M4424">
        <v>18</v>
      </c>
      <c r="N4424" t="s">
        <v>79</v>
      </c>
      <c r="O4424" t="s">
        <v>70</v>
      </c>
      <c r="P4424" t="s">
        <v>15</v>
      </c>
      <c r="Q4424" t="s">
        <v>16</v>
      </c>
      <c r="R4424" t="s">
        <v>16</v>
      </c>
      <c r="S4424" t="s">
        <v>144</v>
      </c>
      <c r="T4424" s="2">
        <f>MASTER[[#This Row],[CANTIDAD]]*MASTER[[#This Row],[PRECIO DE VENTA]]</f>
        <v>1128</v>
      </c>
      <c r="U4424" s="2">
        <f>MASTER[[#This Row],[CANTIDAD]]*MASTER[[#This Row],[COSTO UNITARIO]]</f>
        <v>387</v>
      </c>
      <c r="V4424" s="2">
        <f>MASTER[[#This Row],[MONTO VENDIDO]]-MASTER[[#This Row],[COSTO DE VENTA]]</f>
        <v>741</v>
      </c>
    </row>
    <row r="4425" spans="1:22" x14ac:dyDescent="0.3">
      <c r="A4425">
        <v>65287</v>
      </c>
      <c r="B4425">
        <v>2</v>
      </c>
      <c r="C4425" t="s">
        <v>111</v>
      </c>
      <c r="D4425" t="s">
        <v>112</v>
      </c>
      <c r="E4425" s="1">
        <v>44325</v>
      </c>
      <c r="F4425">
        <v>1</v>
      </c>
      <c r="G4425" t="s">
        <v>49</v>
      </c>
      <c r="H4425" t="s">
        <v>50</v>
      </c>
      <c r="I4425" s="3">
        <v>1799</v>
      </c>
      <c r="J4425" s="3">
        <v>1799</v>
      </c>
      <c r="K4425" s="3">
        <v>434</v>
      </c>
      <c r="L4425" t="s">
        <v>113</v>
      </c>
      <c r="M4425">
        <v>18</v>
      </c>
      <c r="N4425" t="s">
        <v>79</v>
      </c>
      <c r="O4425" t="s">
        <v>70</v>
      </c>
      <c r="P4425" t="s">
        <v>15</v>
      </c>
      <c r="Q4425" t="s">
        <v>16</v>
      </c>
      <c r="R4425" t="s">
        <v>16</v>
      </c>
      <c r="S4425" t="s">
        <v>144</v>
      </c>
      <c r="T4425" s="2">
        <f>MASTER[[#This Row],[CANTIDAD]]*MASTER[[#This Row],[PRECIO DE VENTA]]</f>
        <v>1799</v>
      </c>
      <c r="U4425" s="2">
        <f>MASTER[[#This Row],[CANTIDAD]]*MASTER[[#This Row],[COSTO UNITARIO]]</f>
        <v>434</v>
      </c>
      <c r="V4425" s="2">
        <f>MASTER[[#This Row],[MONTO VENDIDO]]-MASTER[[#This Row],[COSTO DE VENTA]]</f>
        <v>1365</v>
      </c>
    </row>
    <row r="4426" spans="1:22" x14ac:dyDescent="0.3">
      <c r="A4426">
        <v>65306</v>
      </c>
      <c r="B4426">
        <v>1</v>
      </c>
      <c r="C4426" t="s">
        <v>5</v>
      </c>
      <c r="D4426" t="s">
        <v>6</v>
      </c>
      <c r="E4426" s="1">
        <v>44325</v>
      </c>
      <c r="F4426">
        <v>1</v>
      </c>
      <c r="G4426" t="s">
        <v>47</v>
      </c>
      <c r="H4426" t="s">
        <v>48</v>
      </c>
      <c r="I4426" s="3">
        <v>1296</v>
      </c>
      <c r="J4426" s="3">
        <v>1296</v>
      </c>
      <c r="K4426" s="3">
        <v>393</v>
      </c>
      <c r="L4426" t="s">
        <v>9</v>
      </c>
      <c r="M4426">
        <v>9</v>
      </c>
      <c r="N4426" t="s">
        <v>76</v>
      </c>
      <c r="O4426" t="s">
        <v>70</v>
      </c>
      <c r="P4426" t="s">
        <v>12</v>
      </c>
      <c r="Q4426" t="s">
        <v>13</v>
      </c>
      <c r="R4426" t="s">
        <v>13</v>
      </c>
      <c r="S4426" t="s">
        <v>144</v>
      </c>
      <c r="T4426" s="2">
        <f>MASTER[[#This Row],[CANTIDAD]]*MASTER[[#This Row],[PRECIO DE VENTA]]</f>
        <v>1296</v>
      </c>
      <c r="U4426" s="2">
        <f>MASTER[[#This Row],[CANTIDAD]]*MASTER[[#This Row],[COSTO UNITARIO]]</f>
        <v>393</v>
      </c>
      <c r="V4426" s="2">
        <f>MASTER[[#This Row],[MONTO VENDIDO]]-MASTER[[#This Row],[COSTO DE VENTA]]</f>
        <v>903</v>
      </c>
    </row>
    <row r="4427" spans="1:22" x14ac:dyDescent="0.3">
      <c r="A4427">
        <v>65321</v>
      </c>
      <c r="B4427">
        <v>1</v>
      </c>
      <c r="C4427" t="s">
        <v>111</v>
      </c>
      <c r="D4427" t="s">
        <v>112</v>
      </c>
      <c r="E4427" s="1">
        <v>44325</v>
      </c>
      <c r="F4427">
        <v>1</v>
      </c>
      <c r="G4427" t="s">
        <v>57</v>
      </c>
      <c r="H4427" t="s">
        <v>58</v>
      </c>
      <c r="I4427" s="3">
        <v>1799</v>
      </c>
      <c r="J4427" s="3">
        <v>1799</v>
      </c>
      <c r="K4427" s="3">
        <v>434</v>
      </c>
      <c r="L4427" t="s">
        <v>113</v>
      </c>
      <c r="M4427">
        <v>13</v>
      </c>
      <c r="N4427" t="s">
        <v>78</v>
      </c>
      <c r="O4427" t="s">
        <v>70</v>
      </c>
      <c r="P4427" t="s">
        <v>18</v>
      </c>
      <c r="Q4427" t="s">
        <v>19</v>
      </c>
      <c r="R4427" t="s">
        <v>138</v>
      </c>
      <c r="S4427" t="s">
        <v>144</v>
      </c>
      <c r="T4427" s="2">
        <f>MASTER[[#This Row],[CANTIDAD]]*MASTER[[#This Row],[PRECIO DE VENTA]]</f>
        <v>1799</v>
      </c>
      <c r="U4427" s="2">
        <f>MASTER[[#This Row],[CANTIDAD]]*MASTER[[#This Row],[COSTO UNITARIO]]</f>
        <v>434</v>
      </c>
      <c r="V4427" s="2">
        <f>MASTER[[#This Row],[MONTO VENDIDO]]-MASTER[[#This Row],[COSTO DE VENTA]]</f>
        <v>1365</v>
      </c>
    </row>
    <row r="4428" spans="1:22" x14ac:dyDescent="0.3">
      <c r="A4428">
        <v>65332</v>
      </c>
      <c r="B4428">
        <v>1</v>
      </c>
      <c r="C4428" t="s">
        <v>109</v>
      </c>
      <c r="D4428" t="s">
        <v>110</v>
      </c>
      <c r="E4428" s="1">
        <v>44326</v>
      </c>
      <c r="F4428">
        <v>1</v>
      </c>
      <c r="G4428" t="s">
        <v>27</v>
      </c>
      <c r="H4428" t="s">
        <v>28</v>
      </c>
      <c r="I4428" s="3">
        <v>1128</v>
      </c>
      <c r="J4428" s="3">
        <v>1128</v>
      </c>
      <c r="K4428" s="3">
        <v>387</v>
      </c>
      <c r="L4428" t="s">
        <v>98</v>
      </c>
      <c r="M4428">
        <v>9</v>
      </c>
      <c r="N4428" t="s">
        <v>76</v>
      </c>
      <c r="O4428" t="s">
        <v>70</v>
      </c>
      <c r="P4428" t="s">
        <v>12</v>
      </c>
      <c r="Q4428" t="s">
        <v>13</v>
      </c>
      <c r="R4428" t="s">
        <v>13</v>
      </c>
      <c r="S4428" t="s">
        <v>144</v>
      </c>
      <c r="T4428" s="2">
        <f>MASTER[[#This Row],[CANTIDAD]]*MASTER[[#This Row],[PRECIO DE VENTA]]</f>
        <v>1128</v>
      </c>
      <c r="U4428" s="2">
        <f>MASTER[[#This Row],[CANTIDAD]]*MASTER[[#This Row],[COSTO UNITARIO]]</f>
        <v>387</v>
      </c>
      <c r="V4428" s="2">
        <f>MASTER[[#This Row],[MONTO VENDIDO]]-MASTER[[#This Row],[COSTO DE VENTA]]</f>
        <v>741</v>
      </c>
    </row>
    <row r="4429" spans="1:22" x14ac:dyDescent="0.3">
      <c r="A4429">
        <v>65365</v>
      </c>
      <c r="B4429">
        <v>1</v>
      </c>
      <c r="C4429" t="s">
        <v>105</v>
      </c>
      <c r="D4429" t="s">
        <v>106</v>
      </c>
      <c r="E4429" s="1">
        <v>44326</v>
      </c>
      <c r="F4429">
        <v>1</v>
      </c>
      <c r="G4429" t="s">
        <v>29</v>
      </c>
      <c r="H4429" t="s">
        <v>30</v>
      </c>
      <c r="I4429" s="3">
        <v>1865</v>
      </c>
      <c r="J4429" s="3">
        <v>1865</v>
      </c>
      <c r="K4429" s="3">
        <v>459</v>
      </c>
      <c r="L4429" t="s">
        <v>98</v>
      </c>
      <c r="M4429">
        <v>2</v>
      </c>
      <c r="N4429" t="s">
        <v>86</v>
      </c>
      <c r="O4429" t="s">
        <v>81</v>
      </c>
      <c r="P4429" t="s">
        <v>71</v>
      </c>
      <c r="Q4429" t="s">
        <v>72</v>
      </c>
      <c r="R4429" t="s">
        <v>139</v>
      </c>
      <c r="S4429" t="s">
        <v>144</v>
      </c>
      <c r="T4429" s="2">
        <f>MASTER[[#This Row],[CANTIDAD]]*MASTER[[#This Row],[PRECIO DE VENTA]]</f>
        <v>1865</v>
      </c>
      <c r="U4429" s="2">
        <f>MASTER[[#This Row],[CANTIDAD]]*MASTER[[#This Row],[COSTO UNITARIO]]</f>
        <v>459</v>
      </c>
      <c r="V4429" s="2">
        <f>MASTER[[#This Row],[MONTO VENDIDO]]-MASTER[[#This Row],[COSTO DE VENTA]]</f>
        <v>1406</v>
      </c>
    </row>
    <row r="4430" spans="1:22" x14ac:dyDescent="0.3">
      <c r="A4430">
        <v>65397</v>
      </c>
      <c r="B4430">
        <v>1</v>
      </c>
      <c r="C4430" t="s">
        <v>96</v>
      </c>
      <c r="D4430" t="s">
        <v>97</v>
      </c>
      <c r="E4430" s="1">
        <v>44326</v>
      </c>
      <c r="F4430">
        <v>1</v>
      </c>
      <c r="G4430" t="s">
        <v>53</v>
      </c>
      <c r="H4430" t="s">
        <v>54</v>
      </c>
      <c r="I4430" s="3">
        <v>1272</v>
      </c>
      <c r="J4430" s="3">
        <v>1272</v>
      </c>
      <c r="K4430" s="3">
        <v>397</v>
      </c>
      <c r="L4430" t="s">
        <v>98</v>
      </c>
      <c r="M4430">
        <v>14</v>
      </c>
      <c r="N4430" t="s">
        <v>87</v>
      </c>
      <c r="O4430" t="s">
        <v>81</v>
      </c>
      <c r="P4430" t="s">
        <v>18</v>
      </c>
      <c r="Q4430" t="s">
        <v>19</v>
      </c>
      <c r="R4430" t="s">
        <v>138</v>
      </c>
      <c r="S4430" t="s">
        <v>144</v>
      </c>
      <c r="T4430" s="2">
        <f>MASTER[[#This Row],[CANTIDAD]]*MASTER[[#This Row],[PRECIO DE VENTA]]</f>
        <v>1272</v>
      </c>
      <c r="U4430" s="2">
        <f>MASTER[[#This Row],[CANTIDAD]]*MASTER[[#This Row],[COSTO UNITARIO]]</f>
        <v>397</v>
      </c>
      <c r="V4430" s="2">
        <f>MASTER[[#This Row],[MONTO VENDIDO]]-MASTER[[#This Row],[COSTO DE VENTA]]</f>
        <v>875</v>
      </c>
    </row>
    <row r="4431" spans="1:22" x14ac:dyDescent="0.3">
      <c r="A4431">
        <v>65413</v>
      </c>
      <c r="B4431">
        <v>1</v>
      </c>
      <c r="C4431" t="s">
        <v>111</v>
      </c>
      <c r="D4431" t="s">
        <v>112</v>
      </c>
      <c r="E4431" s="1">
        <v>44326</v>
      </c>
      <c r="F4431">
        <v>3</v>
      </c>
      <c r="G4431" t="s">
        <v>65</v>
      </c>
      <c r="H4431" t="s">
        <v>66</v>
      </c>
      <c r="I4431" s="3">
        <v>1799</v>
      </c>
      <c r="J4431" s="3">
        <v>1799</v>
      </c>
      <c r="K4431" s="3">
        <v>434</v>
      </c>
      <c r="L4431" t="s">
        <v>113</v>
      </c>
      <c r="M4431">
        <v>13</v>
      </c>
      <c r="N4431" t="s">
        <v>78</v>
      </c>
      <c r="O4431" t="s">
        <v>70</v>
      </c>
      <c r="P4431" t="s">
        <v>18</v>
      </c>
      <c r="Q4431" t="s">
        <v>19</v>
      </c>
      <c r="R4431" t="s">
        <v>138</v>
      </c>
      <c r="S4431" t="s">
        <v>144</v>
      </c>
      <c r="T4431" s="2">
        <f>MASTER[[#This Row],[CANTIDAD]]*MASTER[[#This Row],[PRECIO DE VENTA]]</f>
        <v>5397</v>
      </c>
      <c r="U4431" s="2">
        <f>MASTER[[#This Row],[CANTIDAD]]*MASTER[[#This Row],[COSTO UNITARIO]]</f>
        <v>1302</v>
      </c>
      <c r="V4431" s="2">
        <f>MASTER[[#This Row],[MONTO VENDIDO]]-MASTER[[#This Row],[COSTO DE VENTA]]</f>
        <v>4095</v>
      </c>
    </row>
    <row r="4432" spans="1:22" x14ac:dyDescent="0.3">
      <c r="A4432">
        <v>65424</v>
      </c>
      <c r="B4432">
        <v>1</v>
      </c>
      <c r="C4432" t="s">
        <v>105</v>
      </c>
      <c r="D4432" t="s">
        <v>106</v>
      </c>
      <c r="E4432" s="1">
        <v>44326</v>
      </c>
      <c r="F4432">
        <v>1</v>
      </c>
      <c r="G4432" t="s">
        <v>73</v>
      </c>
      <c r="H4432" t="s">
        <v>74</v>
      </c>
      <c r="I4432" s="3">
        <v>1865</v>
      </c>
      <c r="J4432" s="3">
        <v>1865</v>
      </c>
      <c r="K4432" s="3">
        <v>459</v>
      </c>
      <c r="L4432" t="s">
        <v>98</v>
      </c>
      <c r="M4432">
        <v>2</v>
      </c>
      <c r="N4432" t="s">
        <v>86</v>
      </c>
      <c r="O4432" t="s">
        <v>81</v>
      </c>
      <c r="P4432" t="s">
        <v>71</v>
      </c>
      <c r="Q4432" t="s">
        <v>72</v>
      </c>
      <c r="R4432" t="s">
        <v>139</v>
      </c>
      <c r="S4432" t="s">
        <v>144</v>
      </c>
      <c r="T4432" s="2">
        <f>MASTER[[#This Row],[CANTIDAD]]*MASTER[[#This Row],[PRECIO DE VENTA]]</f>
        <v>1865</v>
      </c>
      <c r="U4432" s="2">
        <f>MASTER[[#This Row],[CANTIDAD]]*MASTER[[#This Row],[COSTO UNITARIO]]</f>
        <v>459</v>
      </c>
      <c r="V4432" s="2">
        <f>MASTER[[#This Row],[MONTO VENDIDO]]-MASTER[[#This Row],[COSTO DE VENTA]]</f>
        <v>1406</v>
      </c>
    </row>
    <row r="4433" spans="1:22" x14ac:dyDescent="0.3">
      <c r="A4433">
        <v>65425</v>
      </c>
      <c r="B4433">
        <v>1</v>
      </c>
      <c r="C4433" t="s">
        <v>92</v>
      </c>
      <c r="D4433" t="s">
        <v>93</v>
      </c>
      <c r="E4433" s="1">
        <v>44326</v>
      </c>
      <c r="F4433">
        <v>1</v>
      </c>
      <c r="G4433" t="s">
        <v>24</v>
      </c>
      <c r="H4433" t="s">
        <v>25</v>
      </c>
      <c r="I4433" s="3">
        <v>1479</v>
      </c>
      <c r="J4433" s="3">
        <v>1479</v>
      </c>
      <c r="K4433" s="3">
        <v>396</v>
      </c>
      <c r="L4433" t="s">
        <v>9</v>
      </c>
      <c r="M4433">
        <v>11</v>
      </c>
      <c r="N4433" t="s">
        <v>10</v>
      </c>
      <c r="O4433" t="s">
        <v>11</v>
      </c>
      <c r="P4433" t="s">
        <v>12</v>
      </c>
      <c r="Q4433" t="s">
        <v>13</v>
      </c>
      <c r="R4433" t="s">
        <v>13</v>
      </c>
      <c r="S4433" t="s">
        <v>144</v>
      </c>
      <c r="T4433" s="2">
        <f>MASTER[[#This Row],[CANTIDAD]]*MASTER[[#This Row],[PRECIO DE VENTA]]</f>
        <v>1479</v>
      </c>
      <c r="U4433" s="2">
        <f>MASTER[[#This Row],[CANTIDAD]]*MASTER[[#This Row],[COSTO UNITARIO]]</f>
        <v>396</v>
      </c>
      <c r="V4433" s="2">
        <f>MASTER[[#This Row],[MONTO VENDIDO]]-MASTER[[#This Row],[COSTO DE VENTA]]</f>
        <v>1083</v>
      </c>
    </row>
    <row r="4434" spans="1:22" x14ac:dyDescent="0.3">
      <c r="A4434">
        <v>65436</v>
      </c>
      <c r="B4434">
        <v>1</v>
      </c>
      <c r="C4434" t="s">
        <v>94</v>
      </c>
      <c r="D4434" t="s">
        <v>95</v>
      </c>
      <c r="E4434" s="1">
        <v>44327</v>
      </c>
      <c r="F4434">
        <v>1</v>
      </c>
      <c r="G4434" t="s">
        <v>7</v>
      </c>
      <c r="H4434" t="s">
        <v>8</v>
      </c>
      <c r="I4434" s="3">
        <v>901</v>
      </c>
      <c r="J4434" s="3">
        <v>901</v>
      </c>
      <c r="K4434" s="3">
        <v>392</v>
      </c>
      <c r="L4434" t="s">
        <v>9</v>
      </c>
      <c r="M4434">
        <v>16</v>
      </c>
      <c r="N4434" t="s">
        <v>17</v>
      </c>
      <c r="O4434" t="s">
        <v>11</v>
      </c>
      <c r="P4434" t="s">
        <v>18</v>
      </c>
      <c r="Q4434" t="s">
        <v>19</v>
      </c>
      <c r="R4434" t="s">
        <v>138</v>
      </c>
      <c r="S4434" t="s">
        <v>144</v>
      </c>
      <c r="T4434" s="2">
        <f>MASTER[[#This Row],[CANTIDAD]]*MASTER[[#This Row],[PRECIO DE VENTA]]</f>
        <v>901</v>
      </c>
      <c r="U4434" s="2">
        <f>MASTER[[#This Row],[CANTIDAD]]*MASTER[[#This Row],[COSTO UNITARIO]]</f>
        <v>392</v>
      </c>
      <c r="V4434" s="2">
        <f>MASTER[[#This Row],[MONTO VENDIDO]]-MASTER[[#This Row],[COSTO DE VENTA]]</f>
        <v>509</v>
      </c>
    </row>
    <row r="4435" spans="1:22" x14ac:dyDescent="0.3">
      <c r="A4435">
        <v>65442</v>
      </c>
      <c r="B4435">
        <v>1</v>
      </c>
      <c r="C4435" t="s">
        <v>105</v>
      </c>
      <c r="D4435" t="s">
        <v>106</v>
      </c>
      <c r="E4435" s="1">
        <v>44327</v>
      </c>
      <c r="F4435">
        <v>1</v>
      </c>
      <c r="G4435" t="s">
        <v>45</v>
      </c>
      <c r="H4435" t="s">
        <v>46</v>
      </c>
      <c r="I4435" s="3">
        <v>1585</v>
      </c>
      <c r="J4435" s="3">
        <v>1474</v>
      </c>
      <c r="K4435" s="3">
        <v>459</v>
      </c>
      <c r="L4435" t="s">
        <v>98</v>
      </c>
      <c r="M4435">
        <v>17</v>
      </c>
      <c r="N4435" t="s">
        <v>14</v>
      </c>
      <c r="O4435" t="s">
        <v>11</v>
      </c>
      <c r="P4435" t="s">
        <v>15</v>
      </c>
      <c r="Q4435" t="s">
        <v>16</v>
      </c>
      <c r="R4435" t="s">
        <v>16</v>
      </c>
      <c r="S4435" t="s">
        <v>144</v>
      </c>
      <c r="T4435" s="2">
        <f>MASTER[[#This Row],[CANTIDAD]]*MASTER[[#This Row],[PRECIO DE VENTA]]</f>
        <v>1474</v>
      </c>
      <c r="U4435" s="2">
        <f>MASTER[[#This Row],[CANTIDAD]]*MASTER[[#This Row],[COSTO UNITARIO]]</f>
        <v>459</v>
      </c>
      <c r="V4435" s="2">
        <f>MASTER[[#This Row],[MONTO VENDIDO]]-MASTER[[#This Row],[COSTO DE VENTA]]</f>
        <v>1015</v>
      </c>
    </row>
    <row r="4436" spans="1:22" x14ac:dyDescent="0.3">
      <c r="A4436">
        <v>65503</v>
      </c>
      <c r="B4436">
        <v>1</v>
      </c>
      <c r="C4436" t="s">
        <v>92</v>
      </c>
      <c r="D4436" t="s">
        <v>93</v>
      </c>
      <c r="E4436" s="1">
        <v>44327</v>
      </c>
      <c r="F4436">
        <v>1</v>
      </c>
      <c r="G4436" t="s">
        <v>73</v>
      </c>
      <c r="H4436" t="s">
        <v>74</v>
      </c>
      <c r="I4436" s="3">
        <v>1479</v>
      </c>
      <c r="J4436" s="3">
        <v>1479</v>
      </c>
      <c r="K4436" s="3">
        <v>396</v>
      </c>
      <c r="L4436" t="s">
        <v>9</v>
      </c>
      <c r="M4436">
        <v>17</v>
      </c>
      <c r="N4436" t="s">
        <v>14</v>
      </c>
      <c r="O4436" t="s">
        <v>11</v>
      </c>
      <c r="P4436" t="s">
        <v>15</v>
      </c>
      <c r="Q4436" t="s">
        <v>16</v>
      </c>
      <c r="R4436" t="s">
        <v>16</v>
      </c>
      <c r="S4436" t="s">
        <v>144</v>
      </c>
      <c r="T4436" s="2">
        <f>MASTER[[#This Row],[CANTIDAD]]*MASTER[[#This Row],[PRECIO DE VENTA]]</f>
        <v>1479</v>
      </c>
      <c r="U4436" s="2">
        <f>MASTER[[#This Row],[CANTIDAD]]*MASTER[[#This Row],[COSTO UNITARIO]]</f>
        <v>396</v>
      </c>
      <c r="V4436" s="2">
        <f>MASTER[[#This Row],[MONTO VENDIDO]]-MASTER[[#This Row],[COSTO DE VENTA]]</f>
        <v>1083</v>
      </c>
    </row>
    <row r="4437" spans="1:22" x14ac:dyDescent="0.3">
      <c r="A4437">
        <v>65504</v>
      </c>
      <c r="B4437">
        <v>1</v>
      </c>
      <c r="C4437" t="s">
        <v>99</v>
      </c>
      <c r="D4437" t="s">
        <v>100</v>
      </c>
      <c r="E4437" s="1">
        <v>44327</v>
      </c>
      <c r="F4437">
        <v>1</v>
      </c>
      <c r="G4437" t="s">
        <v>51</v>
      </c>
      <c r="H4437" t="s">
        <v>52</v>
      </c>
      <c r="I4437" s="3">
        <v>1678</v>
      </c>
      <c r="J4437" s="3">
        <v>1678</v>
      </c>
      <c r="K4437" s="3">
        <v>386</v>
      </c>
      <c r="L4437" t="s">
        <v>98</v>
      </c>
      <c r="M4437">
        <v>9</v>
      </c>
      <c r="N4437" t="s">
        <v>76</v>
      </c>
      <c r="O4437" t="s">
        <v>70</v>
      </c>
      <c r="P4437" t="s">
        <v>12</v>
      </c>
      <c r="Q4437" t="s">
        <v>13</v>
      </c>
      <c r="R4437" t="s">
        <v>13</v>
      </c>
      <c r="S4437" t="s">
        <v>144</v>
      </c>
      <c r="T4437" s="2">
        <f>MASTER[[#This Row],[CANTIDAD]]*MASTER[[#This Row],[PRECIO DE VENTA]]</f>
        <v>1678</v>
      </c>
      <c r="U4437" s="2">
        <f>MASTER[[#This Row],[CANTIDAD]]*MASTER[[#This Row],[COSTO UNITARIO]]</f>
        <v>386</v>
      </c>
      <c r="V4437" s="2">
        <f>MASTER[[#This Row],[MONTO VENDIDO]]-MASTER[[#This Row],[COSTO DE VENTA]]</f>
        <v>1292</v>
      </c>
    </row>
    <row r="4438" spans="1:22" x14ac:dyDescent="0.3">
      <c r="A4438">
        <v>65512</v>
      </c>
      <c r="B4438">
        <v>1</v>
      </c>
      <c r="C4438" t="s">
        <v>90</v>
      </c>
      <c r="D4438" t="s">
        <v>91</v>
      </c>
      <c r="E4438" s="1">
        <v>44327</v>
      </c>
      <c r="F4438">
        <v>1</v>
      </c>
      <c r="G4438" t="s">
        <v>45</v>
      </c>
      <c r="H4438" t="s">
        <v>46</v>
      </c>
      <c r="I4438" s="3">
        <v>1844</v>
      </c>
      <c r="J4438" s="3">
        <v>1844</v>
      </c>
      <c r="K4438" s="3">
        <v>420</v>
      </c>
      <c r="L4438" t="s">
        <v>9</v>
      </c>
      <c r="M4438">
        <v>19</v>
      </c>
      <c r="N4438" t="s">
        <v>89</v>
      </c>
      <c r="O4438" t="s">
        <v>81</v>
      </c>
      <c r="P4438" t="s">
        <v>15</v>
      </c>
      <c r="Q4438" t="s">
        <v>16</v>
      </c>
      <c r="R4438" t="s">
        <v>16</v>
      </c>
      <c r="S4438" t="s">
        <v>144</v>
      </c>
      <c r="T4438" s="2">
        <f>MASTER[[#This Row],[CANTIDAD]]*MASTER[[#This Row],[PRECIO DE VENTA]]</f>
        <v>1844</v>
      </c>
      <c r="U4438" s="2">
        <f>MASTER[[#This Row],[CANTIDAD]]*MASTER[[#This Row],[COSTO UNITARIO]]</f>
        <v>420</v>
      </c>
      <c r="V4438" s="2">
        <f>MASTER[[#This Row],[MONTO VENDIDO]]-MASTER[[#This Row],[COSTO DE VENTA]]</f>
        <v>1424</v>
      </c>
    </row>
    <row r="4439" spans="1:22" x14ac:dyDescent="0.3">
      <c r="A4439">
        <v>65534</v>
      </c>
      <c r="B4439">
        <v>1</v>
      </c>
      <c r="C4439" t="s">
        <v>111</v>
      </c>
      <c r="D4439" t="s">
        <v>112</v>
      </c>
      <c r="E4439" s="1">
        <v>44327</v>
      </c>
      <c r="F4439">
        <v>1</v>
      </c>
      <c r="G4439" t="s">
        <v>55</v>
      </c>
      <c r="H4439" t="s">
        <v>56</v>
      </c>
      <c r="I4439" s="3">
        <v>1524</v>
      </c>
      <c r="J4439" s="3">
        <v>1524</v>
      </c>
      <c r="K4439" s="3">
        <v>434</v>
      </c>
      <c r="L4439" t="s">
        <v>113</v>
      </c>
      <c r="M4439">
        <v>11</v>
      </c>
      <c r="N4439" t="s">
        <v>10</v>
      </c>
      <c r="O4439" t="s">
        <v>11</v>
      </c>
      <c r="P4439" t="s">
        <v>12</v>
      </c>
      <c r="Q4439" t="s">
        <v>13</v>
      </c>
      <c r="R4439" t="s">
        <v>13</v>
      </c>
      <c r="S4439" t="s">
        <v>144</v>
      </c>
      <c r="T4439" s="2">
        <f>MASTER[[#This Row],[CANTIDAD]]*MASTER[[#This Row],[PRECIO DE VENTA]]</f>
        <v>1524</v>
      </c>
      <c r="U4439" s="2">
        <f>MASTER[[#This Row],[CANTIDAD]]*MASTER[[#This Row],[COSTO UNITARIO]]</f>
        <v>434</v>
      </c>
      <c r="V4439" s="2">
        <f>MASTER[[#This Row],[MONTO VENDIDO]]-MASTER[[#This Row],[COSTO DE VENTA]]</f>
        <v>1090</v>
      </c>
    </row>
    <row r="4440" spans="1:22" x14ac:dyDescent="0.3">
      <c r="A4440">
        <v>65537</v>
      </c>
      <c r="B4440">
        <v>2</v>
      </c>
      <c r="C4440" t="s">
        <v>5</v>
      </c>
      <c r="D4440" t="s">
        <v>6</v>
      </c>
      <c r="E4440" s="1">
        <v>44327</v>
      </c>
      <c r="F4440">
        <v>1</v>
      </c>
      <c r="G4440" t="s">
        <v>63</v>
      </c>
      <c r="H4440" t="s">
        <v>64</v>
      </c>
      <c r="I4440" s="3">
        <v>1296</v>
      </c>
      <c r="J4440" s="3">
        <v>1166</v>
      </c>
      <c r="K4440" s="3">
        <v>393</v>
      </c>
      <c r="L4440" t="s">
        <v>9</v>
      </c>
      <c r="M4440">
        <v>3</v>
      </c>
      <c r="N4440" t="s">
        <v>69</v>
      </c>
      <c r="O4440" t="s">
        <v>70</v>
      </c>
      <c r="P4440" t="s">
        <v>71</v>
      </c>
      <c r="Q4440" t="s">
        <v>72</v>
      </c>
      <c r="R4440" t="s">
        <v>139</v>
      </c>
      <c r="S4440" t="s">
        <v>144</v>
      </c>
      <c r="T4440" s="2">
        <f>MASTER[[#This Row],[CANTIDAD]]*MASTER[[#This Row],[PRECIO DE VENTA]]</f>
        <v>1166</v>
      </c>
      <c r="U4440" s="2">
        <f>MASTER[[#This Row],[CANTIDAD]]*MASTER[[#This Row],[COSTO UNITARIO]]</f>
        <v>393</v>
      </c>
      <c r="V4440" s="2">
        <f>MASTER[[#This Row],[MONTO VENDIDO]]-MASTER[[#This Row],[COSTO DE VENTA]]</f>
        <v>773</v>
      </c>
    </row>
    <row r="4441" spans="1:22" x14ac:dyDescent="0.3">
      <c r="A4441">
        <v>65537</v>
      </c>
      <c r="B4441">
        <v>3</v>
      </c>
      <c r="C4441" t="s">
        <v>92</v>
      </c>
      <c r="D4441" t="s">
        <v>93</v>
      </c>
      <c r="E4441" s="1">
        <v>44327</v>
      </c>
      <c r="F4441">
        <v>1</v>
      </c>
      <c r="G4441" t="s">
        <v>35</v>
      </c>
      <c r="H4441" t="s">
        <v>36</v>
      </c>
      <c r="I4441" s="3">
        <v>1866</v>
      </c>
      <c r="J4441" s="3">
        <v>1754</v>
      </c>
      <c r="K4441" s="3">
        <v>396</v>
      </c>
      <c r="L4441" t="s">
        <v>9</v>
      </c>
      <c r="M4441">
        <v>3</v>
      </c>
      <c r="N4441" t="s">
        <v>69</v>
      </c>
      <c r="O4441" t="s">
        <v>70</v>
      </c>
      <c r="P4441" t="s">
        <v>71</v>
      </c>
      <c r="Q4441" t="s">
        <v>72</v>
      </c>
      <c r="R4441" t="s">
        <v>139</v>
      </c>
      <c r="S4441" t="s">
        <v>144</v>
      </c>
      <c r="T4441" s="2">
        <f>MASTER[[#This Row],[CANTIDAD]]*MASTER[[#This Row],[PRECIO DE VENTA]]</f>
        <v>1754</v>
      </c>
      <c r="U4441" s="2">
        <f>MASTER[[#This Row],[CANTIDAD]]*MASTER[[#This Row],[COSTO UNITARIO]]</f>
        <v>396</v>
      </c>
      <c r="V4441" s="2">
        <f>MASTER[[#This Row],[MONTO VENDIDO]]-MASTER[[#This Row],[COSTO DE VENTA]]</f>
        <v>1358</v>
      </c>
    </row>
    <row r="4442" spans="1:22" x14ac:dyDescent="0.3">
      <c r="A4442">
        <v>65537</v>
      </c>
      <c r="B4442">
        <v>1</v>
      </c>
      <c r="C4442" t="s">
        <v>118</v>
      </c>
      <c r="D4442" t="s">
        <v>119</v>
      </c>
      <c r="E4442" s="1">
        <v>44327</v>
      </c>
      <c r="F4442">
        <v>1</v>
      </c>
      <c r="G4442" t="s">
        <v>33</v>
      </c>
      <c r="H4442" t="s">
        <v>34</v>
      </c>
      <c r="I4442" s="3">
        <v>1026</v>
      </c>
      <c r="J4442" s="3">
        <v>933</v>
      </c>
      <c r="K4442" s="3">
        <v>424</v>
      </c>
      <c r="L4442" t="s">
        <v>120</v>
      </c>
      <c r="M4442">
        <v>3</v>
      </c>
      <c r="N4442" t="s">
        <v>69</v>
      </c>
      <c r="O4442" t="s">
        <v>70</v>
      </c>
      <c r="P4442" t="s">
        <v>71</v>
      </c>
      <c r="Q4442" t="s">
        <v>72</v>
      </c>
      <c r="R4442" t="s">
        <v>139</v>
      </c>
      <c r="S4442" t="s">
        <v>144</v>
      </c>
      <c r="T4442" s="2">
        <f>MASTER[[#This Row],[CANTIDAD]]*MASTER[[#This Row],[PRECIO DE VENTA]]</f>
        <v>933</v>
      </c>
      <c r="U4442" s="2">
        <f>MASTER[[#This Row],[CANTIDAD]]*MASTER[[#This Row],[COSTO UNITARIO]]</f>
        <v>424</v>
      </c>
      <c r="V4442" s="2">
        <f>MASTER[[#This Row],[MONTO VENDIDO]]-MASTER[[#This Row],[COSTO DE VENTA]]</f>
        <v>509</v>
      </c>
    </row>
    <row r="4443" spans="1:22" x14ac:dyDescent="0.3">
      <c r="A4443">
        <v>65570</v>
      </c>
      <c r="B4443">
        <v>1</v>
      </c>
      <c r="C4443" t="s">
        <v>94</v>
      </c>
      <c r="D4443" t="s">
        <v>95</v>
      </c>
      <c r="E4443" s="1">
        <v>44328</v>
      </c>
      <c r="F4443">
        <v>1</v>
      </c>
      <c r="G4443" t="s">
        <v>35</v>
      </c>
      <c r="H4443" t="s">
        <v>36</v>
      </c>
      <c r="I4443" s="3">
        <v>1153</v>
      </c>
      <c r="J4443" s="3">
        <v>1153</v>
      </c>
      <c r="K4443" s="3">
        <v>392</v>
      </c>
      <c r="L4443" t="s">
        <v>9</v>
      </c>
      <c r="M4443">
        <v>9</v>
      </c>
      <c r="N4443" t="s">
        <v>76</v>
      </c>
      <c r="O4443" t="s">
        <v>70</v>
      </c>
      <c r="P4443" t="s">
        <v>12</v>
      </c>
      <c r="Q4443" t="s">
        <v>13</v>
      </c>
      <c r="R4443" t="s">
        <v>13</v>
      </c>
      <c r="S4443" t="s">
        <v>144</v>
      </c>
      <c r="T4443" s="2">
        <f>MASTER[[#This Row],[CANTIDAD]]*MASTER[[#This Row],[PRECIO DE VENTA]]</f>
        <v>1153</v>
      </c>
      <c r="U4443" s="2">
        <f>MASTER[[#This Row],[CANTIDAD]]*MASTER[[#This Row],[COSTO UNITARIO]]</f>
        <v>392</v>
      </c>
      <c r="V4443" s="2">
        <f>MASTER[[#This Row],[MONTO VENDIDO]]-MASTER[[#This Row],[COSTO DE VENTA]]</f>
        <v>761</v>
      </c>
    </row>
    <row r="4444" spans="1:22" x14ac:dyDescent="0.3">
      <c r="A4444">
        <v>65575</v>
      </c>
      <c r="B4444">
        <v>1</v>
      </c>
      <c r="C4444" t="s">
        <v>96</v>
      </c>
      <c r="D4444" t="s">
        <v>97</v>
      </c>
      <c r="E4444" s="1">
        <v>44328</v>
      </c>
      <c r="F4444">
        <v>1</v>
      </c>
      <c r="G4444" t="s">
        <v>27</v>
      </c>
      <c r="H4444" t="s">
        <v>28</v>
      </c>
      <c r="I4444" s="3">
        <v>1272</v>
      </c>
      <c r="J4444" s="3">
        <v>1272</v>
      </c>
      <c r="K4444" s="3">
        <v>397</v>
      </c>
      <c r="L4444" t="s">
        <v>98</v>
      </c>
      <c r="M4444">
        <v>8</v>
      </c>
      <c r="N4444" t="s">
        <v>80</v>
      </c>
      <c r="O4444" t="s">
        <v>81</v>
      </c>
      <c r="P4444" t="s">
        <v>12</v>
      </c>
      <c r="Q4444" t="s">
        <v>13</v>
      </c>
      <c r="R4444" t="s">
        <v>13</v>
      </c>
      <c r="S4444" t="s">
        <v>144</v>
      </c>
      <c r="T4444" s="2">
        <f>MASTER[[#This Row],[CANTIDAD]]*MASTER[[#This Row],[PRECIO DE VENTA]]</f>
        <v>1272</v>
      </c>
      <c r="U4444" s="2">
        <f>MASTER[[#This Row],[CANTIDAD]]*MASTER[[#This Row],[COSTO UNITARIO]]</f>
        <v>397</v>
      </c>
      <c r="V4444" s="2">
        <f>MASTER[[#This Row],[MONTO VENDIDO]]-MASTER[[#This Row],[COSTO DE VENTA]]</f>
        <v>875</v>
      </c>
    </row>
    <row r="4445" spans="1:22" x14ac:dyDescent="0.3">
      <c r="A4445">
        <v>65594</v>
      </c>
      <c r="B4445">
        <v>1</v>
      </c>
      <c r="C4445" t="s">
        <v>103</v>
      </c>
      <c r="D4445" t="s">
        <v>104</v>
      </c>
      <c r="E4445" s="1">
        <v>44328</v>
      </c>
      <c r="F4445">
        <v>1</v>
      </c>
      <c r="G4445" t="s">
        <v>43</v>
      </c>
      <c r="H4445" t="s">
        <v>44</v>
      </c>
      <c r="I4445" s="3">
        <v>1830</v>
      </c>
      <c r="J4445" s="3">
        <v>1830</v>
      </c>
      <c r="K4445" s="3">
        <v>421</v>
      </c>
      <c r="L4445" t="s">
        <v>98</v>
      </c>
      <c r="M4445">
        <v>18</v>
      </c>
      <c r="N4445" t="s">
        <v>79</v>
      </c>
      <c r="O4445" t="s">
        <v>70</v>
      </c>
      <c r="P4445" t="s">
        <v>15</v>
      </c>
      <c r="Q4445" t="s">
        <v>16</v>
      </c>
      <c r="R4445" t="s">
        <v>16</v>
      </c>
      <c r="S4445" t="s">
        <v>144</v>
      </c>
      <c r="T4445" s="2">
        <f>MASTER[[#This Row],[CANTIDAD]]*MASTER[[#This Row],[PRECIO DE VENTA]]</f>
        <v>1830</v>
      </c>
      <c r="U4445" s="2">
        <f>MASTER[[#This Row],[CANTIDAD]]*MASTER[[#This Row],[COSTO UNITARIO]]</f>
        <v>421</v>
      </c>
      <c r="V4445" s="2">
        <f>MASTER[[#This Row],[MONTO VENDIDO]]-MASTER[[#This Row],[COSTO DE VENTA]]</f>
        <v>1409</v>
      </c>
    </row>
    <row r="4446" spans="1:22" x14ac:dyDescent="0.3">
      <c r="A4446">
        <v>65596</v>
      </c>
      <c r="B4446">
        <v>1</v>
      </c>
      <c r="C4446" t="s">
        <v>99</v>
      </c>
      <c r="D4446" t="s">
        <v>100</v>
      </c>
      <c r="E4446" s="1">
        <v>44328</v>
      </c>
      <c r="F4446">
        <v>1</v>
      </c>
      <c r="G4446" t="s">
        <v>29</v>
      </c>
      <c r="H4446" t="s">
        <v>30</v>
      </c>
      <c r="I4446" s="3">
        <v>1459</v>
      </c>
      <c r="J4446" s="3">
        <v>1459</v>
      </c>
      <c r="K4446" s="3">
        <v>386</v>
      </c>
      <c r="L4446" t="s">
        <v>98</v>
      </c>
      <c r="M4446">
        <v>8</v>
      </c>
      <c r="N4446" t="s">
        <v>80</v>
      </c>
      <c r="O4446" t="s">
        <v>81</v>
      </c>
      <c r="P4446" t="s">
        <v>12</v>
      </c>
      <c r="Q4446" t="s">
        <v>13</v>
      </c>
      <c r="R4446" t="s">
        <v>13</v>
      </c>
      <c r="S4446" t="s">
        <v>144</v>
      </c>
      <c r="T4446" s="2">
        <f>MASTER[[#This Row],[CANTIDAD]]*MASTER[[#This Row],[PRECIO DE VENTA]]</f>
        <v>1459</v>
      </c>
      <c r="U4446" s="2">
        <f>MASTER[[#This Row],[CANTIDAD]]*MASTER[[#This Row],[COSTO UNITARIO]]</f>
        <v>386</v>
      </c>
      <c r="V4446" s="2">
        <f>MASTER[[#This Row],[MONTO VENDIDO]]-MASTER[[#This Row],[COSTO DE VENTA]]</f>
        <v>1073</v>
      </c>
    </row>
    <row r="4447" spans="1:22" x14ac:dyDescent="0.3">
      <c r="A4447">
        <v>65598</v>
      </c>
      <c r="B4447">
        <v>1</v>
      </c>
      <c r="C4447" t="s">
        <v>96</v>
      </c>
      <c r="D4447" t="s">
        <v>97</v>
      </c>
      <c r="E4447" s="1">
        <v>44328</v>
      </c>
      <c r="F4447">
        <v>1</v>
      </c>
      <c r="G4447" t="s">
        <v>65</v>
      </c>
      <c r="H4447" t="s">
        <v>66</v>
      </c>
      <c r="I4447" s="3">
        <v>1272</v>
      </c>
      <c r="J4447" s="3">
        <v>1272</v>
      </c>
      <c r="K4447" s="3">
        <v>397</v>
      </c>
      <c r="L4447" t="s">
        <v>98</v>
      </c>
      <c r="M4447">
        <v>4</v>
      </c>
      <c r="N4447" t="s">
        <v>82</v>
      </c>
      <c r="O4447" t="s">
        <v>81</v>
      </c>
      <c r="P4447" t="s">
        <v>71</v>
      </c>
      <c r="Q4447" t="s">
        <v>72</v>
      </c>
      <c r="R4447" t="s">
        <v>139</v>
      </c>
      <c r="S4447" t="s">
        <v>144</v>
      </c>
      <c r="T4447" s="2">
        <f>MASTER[[#This Row],[CANTIDAD]]*MASTER[[#This Row],[PRECIO DE VENTA]]</f>
        <v>1272</v>
      </c>
      <c r="U4447" s="2">
        <f>MASTER[[#This Row],[CANTIDAD]]*MASTER[[#This Row],[COSTO UNITARIO]]</f>
        <v>397</v>
      </c>
      <c r="V4447" s="2">
        <f>MASTER[[#This Row],[MONTO VENDIDO]]-MASTER[[#This Row],[COSTO DE VENTA]]</f>
        <v>875</v>
      </c>
    </row>
    <row r="4448" spans="1:22" x14ac:dyDescent="0.3">
      <c r="A4448">
        <v>65604</v>
      </c>
      <c r="B4448">
        <v>1</v>
      </c>
      <c r="C4448" t="s">
        <v>116</v>
      </c>
      <c r="D4448" t="s">
        <v>117</v>
      </c>
      <c r="E4448" s="1">
        <v>44328</v>
      </c>
      <c r="F4448">
        <v>4</v>
      </c>
      <c r="G4448" t="s">
        <v>24</v>
      </c>
      <c r="H4448" t="s">
        <v>25</v>
      </c>
      <c r="I4448" s="3">
        <v>1738</v>
      </c>
      <c r="J4448" s="3">
        <v>1738</v>
      </c>
      <c r="K4448" s="3">
        <v>388</v>
      </c>
      <c r="L4448" t="s">
        <v>113</v>
      </c>
      <c r="M4448">
        <v>7</v>
      </c>
      <c r="N4448" t="s">
        <v>84</v>
      </c>
      <c r="O4448" t="s">
        <v>81</v>
      </c>
      <c r="P4448" t="s">
        <v>12</v>
      </c>
      <c r="Q4448" t="s">
        <v>13</v>
      </c>
      <c r="R4448" t="s">
        <v>13</v>
      </c>
      <c r="S4448" t="s">
        <v>144</v>
      </c>
      <c r="T4448" s="2">
        <f>MASTER[[#This Row],[CANTIDAD]]*MASTER[[#This Row],[PRECIO DE VENTA]]</f>
        <v>6952</v>
      </c>
      <c r="U4448" s="2">
        <f>MASTER[[#This Row],[CANTIDAD]]*MASTER[[#This Row],[COSTO UNITARIO]]</f>
        <v>1552</v>
      </c>
      <c r="V4448" s="2">
        <f>MASTER[[#This Row],[MONTO VENDIDO]]-MASTER[[#This Row],[COSTO DE VENTA]]</f>
        <v>5400</v>
      </c>
    </row>
    <row r="4449" spans="1:22" x14ac:dyDescent="0.3">
      <c r="A4449">
        <v>65612</v>
      </c>
      <c r="B4449">
        <v>1</v>
      </c>
      <c r="C4449" t="s">
        <v>92</v>
      </c>
      <c r="D4449" t="s">
        <v>93</v>
      </c>
      <c r="E4449" s="1">
        <v>44328</v>
      </c>
      <c r="F4449">
        <v>1</v>
      </c>
      <c r="G4449" t="s">
        <v>29</v>
      </c>
      <c r="H4449" t="s">
        <v>30</v>
      </c>
      <c r="I4449" s="3">
        <v>1866</v>
      </c>
      <c r="J4449" s="3">
        <v>1866</v>
      </c>
      <c r="K4449" s="3">
        <v>396</v>
      </c>
      <c r="L4449" t="s">
        <v>9</v>
      </c>
      <c r="M4449">
        <v>13</v>
      </c>
      <c r="N4449" t="s">
        <v>78</v>
      </c>
      <c r="O4449" t="s">
        <v>70</v>
      </c>
      <c r="P4449" t="s">
        <v>18</v>
      </c>
      <c r="Q4449" t="s">
        <v>19</v>
      </c>
      <c r="R4449" t="s">
        <v>138</v>
      </c>
      <c r="S4449" t="s">
        <v>144</v>
      </c>
      <c r="T4449" s="2">
        <f>MASTER[[#This Row],[CANTIDAD]]*MASTER[[#This Row],[PRECIO DE VENTA]]</f>
        <v>1866</v>
      </c>
      <c r="U4449" s="2">
        <f>MASTER[[#This Row],[CANTIDAD]]*MASTER[[#This Row],[COSTO UNITARIO]]</f>
        <v>396</v>
      </c>
      <c r="V4449" s="2">
        <f>MASTER[[#This Row],[MONTO VENDIDO]]-MASTER[[#This Row],[COSTO DE VENTA]]</f>
        <v>1470</v>
      </c>
    </row>
    <row r="4450" spans="1:22" x14ac:dyDescent="0.3">
      <c r="A4450">
        <v>65614</v>
      </c>
      <c r="B4450">
        <v>1</v>
      </c>
      <c r="C4450" t="s">
        <v>103</v>
      </c>
      <c r="D4450" t="s">
        <v>104</v>
      </c>
      <c r="E4450" s="1">
        <v>44328</v>
      </c>
      <c r="F4450">
        <v>1</v>
      </c>
      <c r="G4450" t="s">
        <v>47</v>
      </c>
      <c r="H4450" t="s">
        <v>48</v>
      </c>
      <c r="I4450" s="3">
        <v>1591</v>
      </c>
      <c r="J4450" s="3">
        <v>1591</v>
      </c>
      <c r="K4450" s="3">
        <v>421</v>
      </c>
      <c r="L4450" t="s">
        <v>98</v>
      </c>
      <c r="M4450">
        <v>19</v>
      </c>
      <c r="N4450" t="s">
        <v>89</v>
      </c>
      <c r="O4450" t="s">
        <v>81</v>
      </c>
      <c r="P4450" t="s">
        <v>15</v>
      </c>
      <c r="Q4450" t="s">
        <v>16</v>
      </c>
      <c r="R4450" t="s">
        <v>16</v>
      </c>
      <c r="S4450" t="s">
        <v>144</v>
      </c>
      <c r="T4450" s="2">
        <f>MASTER[[#This Row],[CANTIDAD]]*MASTER[[#This Row],[PRECIO DE VENTA]]</f>
        <v>1591</v>
      </c>
      <c r="U4450" s="2">
        <f>MASTER[[#This Row],[CANTIDAD]]*MASTER[[#This Row],[COSTO UNITARIO]]</f>
        <v>421</v>
      </c>
      <c r="V4450" s="2">
        <f>MASTER[[#This Row],[MONTO VENDIDO]]-MASTER[[#This Row],[COSTO DE VENTA]]</f>
        <v>1170</v>
      </c>
    </row>
    <row r="4451" spans="1:22" x14ac:dyDescent="0.3">
      <c r="A4451">
        <v>65637</v>
      </c>
      <c r="B4451">
        <v>1</v>
      </c>
      <c r="C4451" t="s">
        <v>103</v>
      </c>
      <c r="D4451" t="s">
        <v>104</v>
      </c>
      <c r="E4451" s="1">
        <v>44328</v>
      </c>
      <c r="F4451">
        <v>1</v>
      </c>
      <c r="G4451" t="s">
        <v>45</v>
      </c>
      <c r="H4451" t="s">
        <v>46</v>
      </c>
      <c r="I4451" s="3">
        <v>1448</v>
      </c>
      <c r="J4451" s="3">
        <v>1448</v>
      </c>
      <c r="K4451" s="3">
        <v>421</v>
      </c>
      <c r="L4451" t="s">
        <v>98</v>
      </c>
      <c r="M4451">
        <v>11</v>
      </c>
      <c r="N4451" t="s">
        <v>10</v>
      </c>
      <c r="O4451" t="s">
        <v>11</v>
      </c>
      <c r="P4451" t="s">
        <v>12</v>
      </c>
      <c r="Q4451" t="s">
        <v>13</v>
      </c>
      <c r="R4451" t="s">
        <v>13</v>
      </c>
      <c r="S4451" t="s">
        <v>144</v>
      </c>
      <c r="T4451" s="2">
        <f>MASTER[[#This Row],[CANTIDAD]]*MASTER[[#This Row],[PRECIO DE VENTA]]</f>
        <v>1448</v>
      </c>
      <c r="U4451" s="2">
        <f>MASTER[[#This Row],[CANTIDAD]]*MASTER[[#This Row],[COSTO UNITARIO]]</f>
        <v>421</v>
      </c>
      <c r="V4451" s="2">
        <f>MASTER[[#This Row],[MONTO VENDIDO]]-MASTER[[#This Row],[COSTO DE VENTA]]</f>
        <v>1027</v>
      </c>
    </row>
    <row r="4452" spans="1:22" x14ac:dyDescent="0.3">
      <c r="A4452">
        <v>65649</v>
      </c>
      <c r="B4452">
        <v>1</v>
      </c>
      <c r="C4452" t="s">
        <v>114</v>
      </c>
      <c r="D4452" t="s">
        <v>115</v>
      </c>
      <c r="E4452" s="1">
        <v>44329</v>
      </c>
      <c r="F4452">
        <v>2</v>
      </c>
      <c r="G4452" t="s">
        <v>73</v>
      </c>
      <c r="H4452" t="s">
        <v>74</v>
      </c>
      <c r="I4452" s="3">
        <v>1583</v>
      </c>
      <c r="J4452" s="3">
        <v>1583</v>
      </c>
      <c r="K4452" s="3">
        <v>394</v>
      </c>
      <c r="L4452" t="s">
        <v>113</v>
      </c>
      <c r="M4452">
        <v>16</v>
      </c>
      <c r="N4452" t="s">
        <v>17</v>
      </c>
      <c r="O4452" t="s">
        <v>11</v>
      </c>
      <c r="P4452" t="s">
        <v>18</v>
      </c>
      <c r="Q4452" t="s">
        <v>19</v>
      </c>
      <c r="R4452" t="s">
        <v>138</v>
      </c>
      <c r="S4452" t="s">
        <v>144</v>
      </c>
      <c r="T4452" s="2">
        <f>MASTER[[#This Row],[CANTIDAD]]*MASTER[[#This Row],[PRECIO DE VENTA]]</f>
        <v>3166</v>
      </c>
      <c r="U4452" s="2">
        <f>MASTER[[#This Row],[CANTIDAD]]*MASTER[[#This Row],[COSTO UNITARIO]]</f>
        <v>788</v>
      </c>
      <c r="V4452" s="2">
        <f>MASTER[[#This Row],[MONTO VENDIDO]]-MASTER[[#This Row],[COSTO DE VENTA]]</f>
        <v>2378</v>
      </c>
    </row>
    <row r="4453" spans="1:22" x14ac:dyDescent="0.3">
      <c r="A4453">
        <v>65665</v>
      </c>
      <c r="B4453">
        <v>1</v>
      </c>
      <c r="C4453" t="s">
        <v>118</v>
      </c>
      <c r="D4453" t="s">
        <v>119</v>
      </c>
      <c r="E4453" s="1">
        <v>44329</v>
      </c>
      <c r="F4453">
        <v>1</v>
      </c>
      <c r="G4453" t="s">
        <v>31</v>
      </c>
      <c r="H4453" t="s">
        <v>32</v>
      </c>
      <c r="I4453" s="3">
        <v>900</v>
      </c>
      <c r="J4453" s="3">
        <v>900</v>
      </c>
      <c r="K4453" s="3">
        <v>424</v>
      </c>
      <c r="L4453" t="s">
        <v>120</v>
      </c>
      <c r="M4453">
        <v>8</v>
      </c>
      <c r="N4453" t="s">
        <v>80</v>
      </c>
      <c r="O4453" t="s">
        <v>81</v>
      </c>
      <c r="P4453" t="s">
        <v>12</v>
      </c>
      <c r="Q4453" t="s">
        <v>13</v>
      </c>
      <c r="R4453" t="s">
        <v>13</v>
      </c>
      <c r="S4453" t="s">
        <v>144</v>
      </c>
      <c r="T4453" s="2">
        <f>MASTER[[#This Row],[CANTIDAD]]*MASTER[[#This Row],[PRECIO DE VENTA]]</f>
        <v>900</v>
      </c>
      <c r="U4453" s="2">
        <f>MASTER[[#This Row],[CANTIDAD]]*MASTER[[#This Row],[COSTO UNITARIO]]</f>
        <v>424</v>
      </c>
      <c r="V4453" s="2">
        <f>MASTER[[#This Row],[MONTO VENDIDO]]-MASTER[[#This Row],[COSTO DE VENTA]]</f>
        <v>476</v>
      </c>
    </row>
    <row r="4454" spans="1:22" x14ac:dyDescent="0.3">
      <c r="A4454">
        <v>65675</v>
      </c>
      <c r="B4454">
        <v>1</v>
      </c>
      <c r="C4454" t="s">
        <v>101</v>
      </c>
      <c r="D4454" t="s">
        <v>102</v>
      </c>
      <c r="E4454" s="1">
        <v>44329</v>
      </c>
      <c r="F4454">
        <v>1</v>
      </c>
      <c r="G4454" t="s">
        <v>39</v>
      </c>
      <c r="H4454" t="s">
        <v>40</v>
      </c>
      <c r="I4454" s="3">
        <v>1054</v>
      </c>
      <c r="J4454" s="3">
        <v>1054</v>
      </c>
      <c r="K4454" s="3">
        <v>442</v>
      </c>
      <c r="L4454" t="s">
        <v>98</v>
      </c>
      <c r="M4454">
        <v>16</v>
      </c>
      <c r="N4454" t="s">
        <v>17</v>
      </c>
      <c r="O4454" t="s">
        <v>11</v>
      </c>
      <c r="P4454" t="s">
        <v>18</v>
      </c>
      <c r="Q4454" t="s">
        <v>19</v>
      </c>
      <c r="R4454" t="s">
        <v>138</v>
      </c>
      <c r="S4454" t="s">
        <v>144</v>
      </c>
      <c r="T4454" s="2">
        <f>MASTER[[#This Row],[CANTIDAD]]*MASTER[[#This Row],[PRECIO DE VENTA]]</f>
        <v>1054</v>
      </c>
      <c r="U4454" s="2">
        <f>MASTER[[#This Row],[CANTIDAD]]*MASTER[[#This Row],[COSTO UNITARIO]]</f>
        <v>442</v>
      </c>
      <c r="V4454" s="2">
        <f>MASTER[[#This Row],[MONTO VENDIDO]]-MASTER[[#This Row],[COSTO DE VENTA]]</f>
        <v>612</v>
      </c>
    </row>
    <row r="4455" spans="1:22" x14ac:dyDescent="0.3">
      <c r="A4455">
        <v>65686</v>
      </c>
      <c r="B4455">
        <v>1</v>
      </c>
      <c r="C4455" t="s">
        <v>5</v>
      </c>
      <c r="D4455" t="s">
        <v>6</v>
      </c>
      <c r="E4455" s="1">
        <v>44329</v>
      </c>
      <c r="F4455">
        <v>1</v>
      </c>
      <c r="G4455" t="s">
        <v>35</v>
      </c>
      <c r="H4455" t="s">
        <v>36</v>
      </c>
      <c r="I4455" s="3">
        <v>1296</v>
      </c>
      <c r="J4455" s="3">
        <v>1296</v>
      </c>
      <c r="K4455" s="3">
        <v>393</v>
      </c>
      <c r="L4455" t="s">
        <v>9</v>
      </c>
      <c r="M4455">
        <v>13</v>
      </c>
      <c r="N4455" t="s">
        <v>78</v>
      </c>
      <c r="O4455" t="s">
        <v>70</v>
      </c>
      <c r="P4455" t="s">
        <v>18</v>
      </c>
      <c r="Q4455" t="s">
        <v>19</v>
      </c>
      <c r="R4455" t="s">
        <v>138</v>
      </c>
      <c r="S4455" t="s">
        <v>144</v>
      </c>
      <c r="T4455" s="2">
        <f>MASTER[[#This Row],[CANTIDAD]]*MASTER[[#This Row],[PRECIO DE VENTA]]</f>
        <v>1296</v>
      </c>
      <c r="U4455" s="2">
        <f>MASTER[[#This Row],[CANTIDAD]]*MASTER[[#This Row],[COSTO UNITARIO]]</f>
        <v>393</v>
      </c>
      <c r="V4455" s="2">
        <f>MASTER[[#This Row],[MONTO VENDIDO]]-MASTER[[#This Row],[COSTO DE VENTA]]</f>
        <v>903</v>
      </c>
    </row>
    <row r="4456" spans="1:22" x14ac:dyDescent="0.3">
      <c r="A4456">
        <v>65687</v>
      </c>
      <c r="B4456">
        <v>1</v>
      </c>
      <c r="C4456" t="s">
        <v>92</v>
      </c>
      <c r="D4456" t="s">
        <v>93</v>
      </c>
      <c r="E4456" s="1">
        <v>44329</v>
      </c>
      <c r="F4456">
        <v>1</v>
      </c>
      <c r="G4456" t="s">
        <v>37</v>
      </c>
      <c r="H4456" t="s">
        <v>38</v>
      </c>
      <c r="I4456" s="3">
        <v>1681</v>
      </c>
      <c r="J4456" s="3">
        <v>1681</v>
      </c>
      <c r="K4456" s="3">
        <v>396</v>
      </c>
      <c r="L4456" t="s">
        <v>9</v>
      </c>
      <c r="M4456">
        <v>5</v>
      </c>
      <c r="N4456" t="s">
        <v>85</v>
      </c>
      <c r="O4456" t="s">
        <v>81</v>
      </c>
      <c r="P4456" t="s">
        <v>12</v>
      </c>
      <c r="Q4456" t="s">
        <v>13</v>
      </c>
      <c r="R4456" t="s">
        <v>13</v>
      </c>
      <c r="S4456" t="s">
        <v>144</v>
      </c>
      <c r="T4456" s="2">
        <f>MASTER[[#This Row],[CANTIDAD]]*MASTER[[#This Row],[PRECIO DE VENTA]]</f>
        <v>1681</v>
      </c>
      <c r="U4456" s="2">
        <f>MASTER[[#This Row],[CANTIDAD]]*MASTER[[#This Row],[COSTO UNITARIO]]</f>
        <v>396</v>
      </c>
      <c r="V4456" s="2">
        <f>MASTER[[#This Row],[MONTO VENDIDO]]-MASTER[[#This Row],[COSTO DE VENTA]]</f>
        <v>1285</v>
      </c>
    </row>
    <row r="4457" spans="1:22" x14ac:dyDescent="0.3">
      <c r="A4457">
        <v>65694</v>
      </c>
      <c r="B4457">
        <v>1</v>
      </c>
      <c r="C4457" t="s">
        <v>92</v>
      </c>
      <c r="D4457" t="s">
        <v>93</v>
      </c>
      <c r="E4457" s="1">
        <v>44329</v>
      </c>
      <c r="F4457">
        <v>1</v>
      </c>
      <c r="G4457" t="s">
        <v>43</v>
      </c>
      <c r="H4457" t="s">
        <v>44</v>
      </c>
      <c r="I4457" s="3">
        <v>1681</v>
      </c>
      <c r="J4457" s="3">
        <v>1681</v>
      </c>
      <c r="K4457" s="3">
        <v>396</v>
      </c>
      <c r="L4457" t="s">
        <v>9</v>
      </c>
      <c r="M4457">
        <v>10</v>
      </c>
      <c r="N4457" t="s">
        <v>83</v>
      </c>
      <c r="O4457" t="s">
        <v>81</v>
      </c>
      <c r="P4457" t="s">
        <v>12</v>
      </c>
      <c r="Q4457" t="s">
        <v>13</v>
      </c>
      <c r="R4457" t="s">
        <v>13</v>
      </c>
      <c r="S4457" t="s">
        <v>144</v>
      </c>
      <c r="T4457" s="2">
        <f>MASTER[[#This Row],[CANTIDAD]]*MASTER[[#This Row],[PRECIO DE VENTA]]</f>
        <v>1681</v>
      </c>
      <c r="U4457" s="2">
        <f>MASTER[[#This Row],[CANTIDAD]]*MASTER[[#This Row],[COSTO UNITARIO]]</f>
        <v>396</v>
      </c>
      <c r="V4457" s="2">
        <f>MASTER[[#This Row],[MONTO VENDIDO]]-MASTER[[#This Row],[COSTO DE VENTA]]</f>
        <v>1285</v>
      </c>
    </row>
    <row r="4458" spans="1:22" x14ac:dyDescent="0.3">
      <c r="A4458">
        <v>65719</v>
      </c>
      <c r="B4458">
        <v>1</v>
      </c>
      <c r="C4458" t="s">
        <v>111</v>
      </c>
      <c r="D4458" t="s">
        <v>112</v>
      </c>
      <c r="E4458" s="1">
        <v>44329</v>
      </c>
      <c r="F4458">
        <v>1</v>
      </c>
      <c r="G4458" t="s">
        <v>22</v>
      </c>
      <c r="H4458" t="s">
        <v>23</v>
      </c>
      <c r="I4458" s="3">
        <v>1799</v>
      </c>
      <c r="J4458" s="3">
        <v>1799</v>
      </c>
      <c r="K4458" s="3">
        <v>434</v>
      </c>
      <c r="L4458" t="s">
        <v>113</v>
      </c>
      <c r="M4458">
        <v>3</v>
      </c>
      <c r="N4458" t="s">
        <v>69</v>
      </c>
      <c r="O4458" t="s">
        <v>70</v>
      </c>
      <c r="P4458" t="s">
        <v>71</v>
      </c>
      <c r="Q4458" t="s">
        <v>72</v>
      </c>
      <c r="R4458" t="s">
        <v>139</v>
      </c>
      <c r="S4458" t="s">
        <v>144</v>
      </c>
      <c r="T4458" s="2">
        <f>MASTER[[#This Row],[CANTIDAD]]*MASTER[[#This Row],[PRECIO DE VENTA]]</f>
        <v>1799</v>
      </c>
      <c r="U4458" s="2">
        <f>MASTER[[#This Row],[CANTIDAD]]*MASTER[[#This Row],[COSTO UNITARIO]]</f>
        <v>434</v>
      </c>
      <c r="V4458" s="2">
        <f>MASTER[[#This Row],[MONTO VENDIDO]]-MASTER[[#This Row],[COSTO DE VENTA]]</f>
        <v>1365</v>
      </c>
    </row>
    <row r="4459" spans="1:22" x14ac:dyDescent="0.3">
      <c r="A4459">
        <v>65729</v>
      </c>
      <c r="B4459">
        <v>1</v>
      </c>
      <c r="C4459" t="s">
        <v>90</v>
      </c>
      <c r="D4459" t="s">
        <v>91</v>
      </c>
      <c r="E4459" s="1">
        <v>44329</v>
      </c>
      <c r="F4459">
        <v>1</v>
      </c>
      <c r="G4459" t="s">
        <v>35</v>
      </c>
      <c r="H4459" t="s">
        <v>36</v>
      </c>
      <c r="I4459" s="3">
        <v>1844</v>
      </c>
      <c r="J4459" s="3">
        <v>1844</v>
      </c>
      <c r="K4459" s="3">
        <v>420</v>
      </c>
      <c r="L4459" t="s">
        <v>9</v>
      </c>
      <c r="M4459">
        <v>10</v>
      </c>
      <c r="N4459" t="s">
        <v>83</v>
      </c>
      <c r="O4459" t="s">
        <v>81</v>
      </c>
      <c r="P4459" t="s">
        <v>12</v>
      </c>
      <c r="Q4459" t="s">
        <v>13</v>
      </c>
      <c r="R4459" t="s">
        <v>13</v>
      </c>
      <c r="S4459" t="s">
        <v>144</v>
      </c>
      <c r="T4459" s="2">
        <f>MASTER[[#This Row],[CANTIDAD]]*MASTER[[#This Row],[PRECIO DE VENTA]]</f>
        <v>1844</v>
      </c>
      <c r="U4459" s="2">
        <f>MASTER[[#This Row],[CANTIDAD]]*MASTER[[#This Row],[COSTO UNITARIO]]</f>
        <v>420</v>
      </c>
      <c r="V4459" s="2">
        <f>MASTER[[#This Row],[MONTO VENDIDO]]-MASTER[[#This Row],[COSTO DE VENTA]]</f>
        <v>1424</v>
      </c>
    </row>
    <row r="4460" spans="1:22" x14ac:dyDescent="0.3">
      <c r="A4460">
        <v>65732</v>
      </c>
      <c r="B4460">
        <v>1</v>
      </c>
      <c r="C4460" t="s">
        <v>111</v>
      </c>
      <c r="D4460" t="s">
        <v>112</v>
      </c>
      <c r="E4460" s="1">
        <v>44329</v>
      </c>
      <c r="F4460">
        <v>1</v>
      </c>
      <c r="G4460" t="s">
        <v>65</v>
      </c>
      <c r="H4460" t="s">
        <v>66</v>
      </c>
      <c r="I4460" s="3">
        <v>1524</v>
      </c>
      <c r="J4460" s="3">
        <v>1524</v>
      </c>
      <c r="K4460" s="3">
        <v>434</v>
      </c>
      <c r="L4460" t="s">
        <v>113</v>
      </c>
      <c r="M4460">
        <v>11</v>
      </c>
      <c r="N4460" t="s">
        <v>10</v>
      </c>
      <c r="O4460" t="s">
        <v>11</v>
      </c>
      <c r="P4460" t="s">
        <v>12</v>
      </c>
      <c r="Q4460" t="s">
        <v>13</v>
      </c>
      <c r="R4460" t="s">
        <v>13</v>
      </c>
      <c r="S4460" t="s">
        <v>144</v>
      </c>
      <c r="T4460" s="2">
        <f>MASTER[[#This Row],[CANTIDAD]]*MASTER[[#This Row],[PRECIO DE VENTA]]</f>
        <v>1524</v>
      </c>
      <c r="U4460" s="2">
        <f>MASTER[[#This Row],[CANTIDAD]]*MASTER[[#This Row],[COSTO UNITARIO]]</f>
        <v>434</v>
      </c>
      <c r="V4460" s="2">
        <f>MASTER[[#This Row],[MONTO VENDIDO]]-MASTER[[#This Row],[COSTO DE VENTA]]</f>
        <v>1090</v>
      </c>
    </row>
    <row r="4461" spans="1:22" x14ac:dyDescent="0.3">
      <c r="A4461">
        <v>65734</v>
      </c>
      <c r="B4461">
        <v>1</v>
      </c>
      <c r="C4461" t="s">
        <v>96</v>
      </c>
      <c r="D4461" t="s">
        <v>97</v>
      </c>
      <c r="E4461" s="1">
        <v>44329</v>
      </c>
      <c r="F4461">
        <v>1</v>
      </c>
      <c r="G4461" t="s">
        <v>22</v>
      </c>
      <c r="H4461" t="s">
        <v>23</v>
      </c>
      <c r="I4461" s="3">
        <v>1196</v>
      </c>
      <c r="J4461" s="3">
        <v>1196</v>
      </c>
      <c r="K4461" s="3">
        <v>397</v>
      </c>
      <c r="L4461" t="s">
        <v>98</v>
      </c>
      <c r="M4461">
        <v>16</v>
      </c>
      <c r="N4461" t="s">
        <v>17</v>
      </c>
      <c r="O4461" t="s">
        <v>11</v>
      </c>
      <c r="P4461" t="s">
        <v>18</v>
      </c>
      <c r="Q4461" t="s">
        <v>19</v>
      </c>
      <c r="R4461" t="s">
        <v>138</v>
      </c>
      <c r="S4461" t="s">
        <v>144</v>
      </c>
      <c r="T4461" s="2">
        <f>MASTER[[#This Row],[CANTIDAD]]*MASTER[[#This Row],[PRECIO DE VENTA]]</f>
        <v>1196</v>
      </c>
      <c r="U4461" s="2">
        <f>MASTER[[#This Row],[CANTIDAD]]*MASTER[[#This Row],[COSTO UNITARIO]]</f>
        <v>397</v>
      </c>
      <c r="V4461" s="2">
        <f>MASTER[[#This Row],[MONTO VENDIDO]]-MASTER[[#This Row],[COSTO DE VENTA]]</f>
        <v>799</v>
      </c>
    </row>
    <row r="4462" spans="1:22" x14ac:dyDescent="0.3">
      <c r="A4462">
        <v>65752</v>
      </c>
      <c r="B4462">
        <v>1</v>
      </c>
      <c r="C4462" t="s">
        <v>118</v>
      </c>
      <c r="D4462" t="s">
        <v>119</v>
      </c>
      <c r="E4462" s="1">
        <v>44330</v>
      </c>
      <c r="F4462">
        <v>1</v>
      </c>
      <c r="G4462" t="s">
        <v>7</v>
      </c>
      <c r="H4462" t="s">
        <v>8</v>
      </c>
      <c r="I4462" s="3">
        <v>1026</v>
      </c>
      <c r="J4462" s="3">
        <v>1026</v>
      </c>
      <c r="K4462" s="3">
        <v>424</v>
      </c>
      <c r="L4462" t="s">
        <v>120</v>
      </c>
      <c r="M4462">
        <v>1</v>
      </c>
      <c r="N4462" t="s">
        <v>77</v>
      </c>
      <c r="O4462" t="s">
        <v>70</v>
      </c>
      <c r="P4462" t="s">
        <v>71</v>
      </c>
      <c r="Q4462" t="s">
        <v>72</v>
      </c>
      <c r="R4462" t="s">
        <v>139</v>
      </c>
      <c r="S4462" t="s">
        <v>144</v>
      </c>
      <c r="T4462" s="2">
        <f>MASTER[[#This Row],[CANTIDAD]]*MASTER[[#This Row],[PRECIO DE VENTA]]</f>
        <v>1026</v>
      </c>
      <c r="U4462" s="2">
        <f>MASTER[[#This Row],[CANTIDAD]]*MASTER[[#This Row],[COSTO UNITARIO]]</f>
        <v>424</v>
      </c>
      <c r="V4462" s="2">
        <f>MASTER[[#This Row],[MONTO VENDIDO]]-MASTER[[#This Row],[COSTO DE VENTA]]</f>
        <v>602</v>
      </c>
    </row>
    <row r="4463" spans="1:22" x14ac:dyDescent="0.3">
      <c r="A4463">
        <v>65764</v>
      </c>
      <c r="B4463">
        <v>1</v>
      </c>
      <c r="C4463" t="s">
        <v>107</v>
      </c>
      <c r="D4463" t="s">
        <v>108</v>
      </c>
      <c r="E4463" s="1">
        <v>44330</v>
      </c>
      <c r="F4463">
        <v>1</v>
      </c>
      <c r="G4463" t="s">
        <v>49</v>
      </c>
      <c r="H4463" t="s">
        <v>50</v>
      </c>
      <c r="I4463" s="3">
        <v>1333</v>
      </c>
      <c r="J4463" s="3">
        <v>1333</v>
      </c>
      <c r="K4463" s="3">
        <v>380</v>
      </c>
      <c r="L4463" t="s">
        <v>98</v>
      </c>
      <c r="M4463">
        <v>4</v>
      </c>
      <c r="N4463" t="s">
        <v>82</v>
      </c>
      <c r="O4463" t="s">
        <v>81</v>
      </c>
      <c r="P4463" t="s">
        <v>71</v>
      </c>
      <c r="Q4463" t="s">
        <v>72</v>
      </c>
      <c r="R4463" t="s">
        <v>139</v>
      </c>
      <c r="S4463" t="s">
        <v>144</v>
      </c>
      <c r="T4463" s="2">
        <f>MASTER[[#This Row],[CANTIDAD]]*MASTER[[#This Row],[PRECIO DE VENTA]]</f>
        <v>1333</v>
      </c>
      <c r="U4463" s="2">
        <f>MASTER[[#This Row],[CANTIDAD]]*MASTER[[#This Row],[COSTO UNITARIO]]</f>
        <v>380</v>
      </c>
      <c r="V4463" s="2">
        <f>MASTER[[#This Row],[MONTO VENDIDO]]-MASTER[[#This Row],[COSTO DE VENTA]]</f>
        <v>953</v>
      </c>
    </row>
    <row r="4464" spans="1:22" x14ac:dyDescent="0.3">
      <c r="A4464">
        <v>65775</v>
      </c>
      <c r="B4464">
        <v>1</v>
      </c>
      <c r="C4464" t="s">
        <v>99</v>
      </c>
      <c r="D4464" t="s">
        <v>100</v>
      </c>
      <c r="E4464" s="1">
        <v>44330</v>
      </c>
      <c r="F4464">
        <v>1</v>
      </c>
      <c r="G4464" t="s">
        <v>29</v>
      </c>
      <c r="H4464" t="s">
        <v>30</v>
      </c>
      <c r="I4464" s="3">
        <v>1459</v>
      </c>
      <c r="J4464" s="3">
        <v>1459</v>
      </c>
      <c r="K4464" s="3">
        <v>386</v>
      </c>
      <c r="L4464" t="s">
        <v>98</v>
      </c>
      <c r="M4464">
        <v>19</v>
      </c>
      <c r="N4464" t="s">
        <v>89</v>
      </c>
      <c r="O4464" t="s">
        <v>81</v>
      </c>
      <c r="P4464" t="s">
        <v>15</v>
      </c>
      <c r="Q4464" t="s">
        <v>16</v>
      </c>
      <c r="R4464" t="s">
        <v>16</v>
      </c>
      <c r="S4464" t="s">
        <v>144</v>
      </c>
      <c r="T4464" s="2">
        <f>MASTER[[#This Row],[CANTIDAD]]*MASTER[[#This Row],[PRECIO DE VENTA]]</f>
        <v>1459</v>
      </c>
      <c r="U4464" s="2">
        <f>MASTER[[#This Row],[CANTIDAD]]*MASTER[[#This Row],[COSTO UNITARIO]]</f>
        <v>386</v>
      </c>
      <c r="V4464" s="2">
        <f>MASTER[[#This Row],[MONTO VENDIDO]]-MASTER[[#This Row],[COSTO DE VENTA]]</f>
        <v>1073</v>
      </c>
    </row>
    <row r="4465" spans="1:22" x14ac:dyDescent="0.3">
      <c r="A4465">
        <v>65781</v>
      </c>
      <c r="B4465">
        <v>1</v>
      </c>
      <c r="C4465" t="s">
        <v>94</v>
      </c>
      <c r="D4465" t="s">
        <v>95</v>
      </c>
      <c r="E4465" s="1">
        <v>44330</v>
      </c>
      <c r="F4465">
        <v>1</v>
      </c>
      <c r="G4465" t="s">
        <v>27</v>
      </c>
      <c r="H4465" t="s">
        <v>28</v>
      </c>
      <c r="I4465" s="3">
        <v>1153</v>
      </c>
      <c r="J4465" s="3">
        <v>1153</v>
      </c>
      <c r="K4465" s="3">
        <v>392</v>
      </c>
      <c r="L4465" t="s">
        <v>9</v>
      </c>
      <c r="M4465">
        <v>6</v>
      </c>
      <c r="N4465" t="s">
        <v>75</v>
      </c>
      <c r="O4465" t="s">
        <v>70</v>
      </c>
      <c r="P4465" t="s">
        <v>12</v>
      </c>
      <c r="Q4465" t="s">
        <v>13</v>
      </c>
      <c r="R4465" t="s">
        <v>13</v>
      </c>
      <c r="S4465" t="s">
        <v>144</v>
      </c>
      <c r="T4465" s="2">
        <f>MASTER[[#This Row],[CANTIDAD]]*MASTER[[#This Row],[PRECIO DE VENTA]]</f>
        <v>1153</v>
      </c>
      <c r="U4465" s="2">
        <f>MASTER[[#This Row],[CANTIDAD]]*MASTER[[#This Row],[COSTO UNITARIO]]</f>
        <v>392</v>
      </c>
      <c r="V4465" s="2">
        <f>MASTER[[#This Row],[MONTO VENDIDO]]-MASTER[[#This Row],[COSTO DE VENTA]]</f>
        <v>761</v>
      </c>
    </row>
    <row r="4466" spans="1:22" x14ac:dyDescent="0.3">
      <c r="A4466">
        <v>65798</v>
      </c>
      <c r="B4466">
        <v>1</v>
      </c>
      <c r="C4466" t="s">
        <v>109</v>
      </c>
      <c r="D4466" t="s">
        <v>110</v>
      </c>
      <c r="E4466" s="1">
        <v>44330</v>
      </c>
      <c r="F4466">
        <v>1</v>
      </c>
      <c r="G4466" t="s">
        <v>24</v>
      </c>
      <c r="H4466" t="s">
        <v>25</v>
      </c>
      <c r="I4466" s="3">
        <v>1064</v>
      </c>
      <c r="J4466" s="3">
        <v>1064</v>
      </c>
      <c r="K4466" s="3">
        <v>387</v>
      </c>
      <c r="L4466" t="s">
        <v>98</v>
      </c>
      <c r="M4466">
        <v>5</v>
      </c>
      <c r="N4466" t="s">
        <v>85</v>
      </c>
      <c r="O4466" t="s">
        <v>81</v>
      </c>
      <c r="P4466" t="s">
        <v>12</v>
      </c>
      <c r="Q4466" t="s">
        <v>13</v>
      </c>
      <c r="R4466" t="s">
        <v>13</v>
      </c>
      <c r="S4466" t="s">
        <v>144</v>
      </c>
      <c r="T4466" s="2">
        <f>MASTER[[#This Row],[CANTIDAD]]*MASTER[[#This Row],[PRECIO DE VENTA]]</f>
        <v>1064</v>
      </c>
      <c r="U4466" s="2">
        <f>MASTER[[#This Row],[CANTIDAD]]*MASTER[[#This Row],[COSTO UNITARIO]]</f>
        <v>387</v>
      </c>
      <c r="V4466" s="2">
        <f>MASTER[[#This Row],[MONTO VENDIDO]]-MASTER[[#This Row],[COSTO DE VENTA]]</f>
        <v>677</v>
      </c>
    </row>
    <row r="4467" spans="1:22" x14ac:dyDescent="0.3">
      <c r="A4467">
        <v>65805</v>
      </c>
      <c r="B4467">
        <v>1</v>
      </c>
      <c r="C4467" t="s">
        <v>116</v>
      </c>
      <c r="D4467" t="s">
        <v>117</v>
      </c>
      <c r="E4467" s="1">
        <v>44330</v>
      </c>
      <c r="F4467">
        <v>1</v>
      </c>
      <c r="G4467" t="s">
        <v>43</v>
      </c>
      <c r="H4467" t="s">
        <v>44</v>
      </c>
      <c r="I4467" s="3">
        <v>1738</v>
      </c>
      <c r="J4467" s="3">
        <v>1738</v>
      </c>
      <c r="K4467" s="3">
        <v>388</v>
      </c>
      <c r="L4467" t="s">
        <v>113</v>
      </c>
      <c r="M4467">
        <v>5</v>
      </c>
      <c r="N4467" t="s">
        <v>85</v>
      </c>
      <c r="O4467" t="s">
        <v>81</v>
      </c>
      <c r="P4467" t="s">
        <v>12</v>
      </c>
      <c r="Q4467" t="s">
        <v>13</v>
      </c>
      <c r="R4467" t="s">
        <v>13</v>
      </c>
      <c r="S4467" t="s">
        <v>144</v>
      </c>
      <c r="T4467" s="2">
        <f>MASTER[[#This Row],[CANTIDAD]]*MASTER[[#This Row],[PRECIO DE VENTA]]</f>
        <v>1738</v>
      </c>
      <c r="U4467" s="2">
        <f>MASTER[[#This Row],[CANTIDAD]]*MASTER[[#This Row],[COSTO UNITARIO]]</f>
        <v>388</v>
      </c>
      <c r="V4467" s="2">
        <f>MASTER[[#This Row],[MONTO VENDIDO]]-MASTER[[#This Row],[COSTO DE VENTA]]</f>
        <v>1350</v>
      </c>
    </row>
    <row r="4468" spans="1:22" x14ac:dyDescent="0.3">
      <c r="A4468">
        <v>65822</v>
      </c>
      <c r="B4468">
        <v>1</v>
      </c>
      <c r="C4468" t="s">
        <v>105</v>
      </c>
      <c r="D4468" t="s">
        <v>106</v>
      </c>
      <c r="E4468" s="1">
        <v>44330</v>
      </c>
      <c r="F4468">
        <v>1</v>
      </c>
      <c r="G4468" t="s">
        <v>57</v>
      </c>
      <c r="H4468" t="s">
        <v>58</v>
      </c>
      <c r="I4468" s="3">
        <v>2033</v>
      </c>
      <c r="J4468" s="3">
        <v>2033</v>
      </c>
      <c r="K4468" s="3">
        <v>459</v>
      </c>
      <c r="L4468" t="s">
        <v>98</v>
      </c>
      <c r="M4468">
        <v>6</v>
      </c>
      <c r="N4468" t="s">
        <v>75</v>
      </c>
      <c r="O4468" t="s">
        <v>70</v>
      </c>
      <c r="P4468" t="s">
        <v>12</v>
      </c>
      <c r="Q4468" t="s">
        <v>13</v>
      </c>
      <c r="R4468" t="s">
        <v>13</v>
      </c>
      <c r="S4468" t="s">
        <v>144</v>
      </c>
      <c r="T4468" s="2">
        <f>MASTER[[#This Row],[CANTIDAD]]*MASTER[[#This Row],[PRECIO DE VENTA]]</f>
        <v>2033</v>
      </c>
      <c r="U4468" s="2">
        <f>MASTER[[#This Row],[CANTIDAD]]*MASTER[[#This Row],[COSTO UNITARIO]]</f>
        <v>459</v>
      </c>
      <c r="V4468" s="2">
        <f>MASTER[[#This Row],[MONTO VENDIDO]]-MASTER[[#This Row],[COSTO DE VENTA]]</f>
        <v>1574</v>
      </c>
    </row>
    <row r="4469" spans="1:22" x14ac:dyDescent="0.3">
      <c r="A4469">
        <v>65823</v>
      </c>
      <c r="B4469">
        <v>1</v>
      </c>
      <c r="C4469" t="s">
        <v>96</v>
      </c>
      <c r="D4469" t="s">
        <v>97</v>
      </c>
      <c r="E4469" s="1">
        <v>44330</v>
      </c>
      <c r="F4469">
        <v>1</v>
      </c>
      <c r="G4469" t="s">
        <v>22</v>
      </c>
      <c r="H4469" t="s">
        <v>23</v>
      </c>
      <c r="I4469" s="3">
        <v>1361</v>
      </c>
      <c r="J4469" s="3">
        <v>1361</v>
      </c>
      <c r="K4469" s="3">
        <v>397</v>
      </c>
      <c r="L4469" t="s">
        <v>98</v>
      </c>
      <c r="M4469">
        <v>6</v>
      </c>
      <c r="N4469" t="s">
        <v>75</v>
      </c>
      <c r="O4469" t="s">
        <v>70</v>
      </c>
      <c r="P4469" t="s">
        <v>12</v>
      </c>
      <c r="Q4469" t="s">
        <v>13</v>
      </c>
      <c r="R4469" t="s">
        <v>13</v>
      </c>
      <c r="S4469" t="s">
        <v>144</v>
      </c>
      <c r="T4469" s="2">
        <f>MASTER[[#This Row],[CANTIDAD]]*MASTER[[#This Row],[PRECIO DE VENTA]]</f>
        <v>1361</v>
      </c>
      <c r="U4469" s="2">
        <f>MASTER[[#This Row],[CANTIDAD]]*MASTER[[#This Row],[COSTO UNITARIO]]</f>
        <v>397</v>
      </c>
      <c r="V4469" s="2">
        <f>MASTER[[#This Row],[MONTO VENDIDO]]-MASTER[[#This Row],[COSTO DE VENTA]]</f>
        <v>964</v>
      </c>
    </row>
    <row r="4470" spans="1:22" x14ac:dyDescent="0.3">
      <c r="A4470">
        <v>65845</v>
      </c>
      <c r="B4470">
        <v>1</v>
      </c>
      <c r="C4470" t="s">
        <v>99</v>
      </c>
      <c r="D4470" t="s">
        <v>100</v>
      </c>
      <c r="E4470" s="1">
        <v>44330</v>
      </c>
      <c r="F4470">
        <v>1</v>
      </c>
      <c r="G4470" t="s">
        <v>53</v>
      </c>
      <c r="H4470" t="s">
        <v>54</v>
      </c>
      <c r="I4470" s="3">
        <v>1678</v>
      </c>
      <c r="J4470" s="3">
        <v>1678</v>
      </c>
      <c r="K4470" s="3">
        <v>386</v>
      </c>
      <c r="L4470" t="s">
        <v>98</v>
      </c>
      <c r="M4470">
        <v>13</v>
      </c>
      <c r="N4470" t="s">
        <v>78</v>
      </c>
      <c r="O4470" t="s">
        <v>70</v>
      </c>
      <c r="P4470" t="s">
        <v>18</v>
      </c>
      <c r="Q4470" t="s">
        <v>19</v>
      </c>
      <c r="R4470" t="s">
        <v>138</v>
      </c>
      <c r="S4470" t="s">
        <v>144</v>
      </c>
      <c r="T4470" s="2">
        <f>MASTER[[#This Row],[CANTIDAD]]*MASTER[[#This Row],[PRECIO DE VENTA]]</f>
        <v>1678</v>
      </c>
      <c r="U4470" s="2">
        <f>MASTER[[#This Row],[CANTIDAD]]*MASTER[[#This Row],[COSTO UNITARIO]]</f>
        <v>386</v>
      </c>
      <c r="V4470" s="2">
        <f>MASTER[[#This Row],[MONTO VENDIDO]]-MASTER[[#This Row],[COSTO DE VENTA]]</f>
        <v>1292</v>
      </c>
    </row>
    <row r="4471" spans="1:22" x14ac:dyDescent="0.3">
      <c r="A4471">
        <v>65848</v>
      </c>
      <c r="B4471">
        <v>1</v>
      </c>
      <c r="C4471" t="s">
        <v>114</v>
      </c>
      <c r="D4471" t="s">
        <v>115</v>
      </c>
      <c r="E4471" s="1">
        <v>44330</v>
      </c>
      <c r="F4471">
        <v>1</v>
      </c>
      <c r="G4471" t="s">
        <v>53</v>
      </c>
      <c r="H4471" t="s">
        <v>54</v>
      </c>
      <c r="I4471" s="3">
        <v>1583</v>
      </c>
      <c r="J4471" s="3">
        <v>1583</v>
      </c>
      <c r="K4471" s="3">
        <v>394</v>
      </c>
      <c r="L4471" t="s">
        <v>113</v>
      </c>
      <c r="M4471">
        <v>16</v>
      </c>
      <c r="N4471" t="s">
        <v>17</v>
      </c>
      <c r="O4471" t="s">
        <v>11</v>
      </c>
      <c r="P4471" t="s">
        <v>18</v>
      </c>
      <c r="Q4471" t="s">
        <v>19</v>
      </c>
      <c r="R4471" t="s">
        <v>138</v>
      </c>
      <c r="S4471" t="s">
        <v>144</v>
      </c>
      <c r="T4471" s="2">
        <f>MASTER[[#This Row],[CANTIDAD]]*MASTER[[#This Row],[PRECIO DE VENTA]]</f>
        <v>1583</v>
      </c>
      <c r="U4471" s="2">
        <f>MASTER[[#This Row],[CANTIDAD]]*MASTER[[#This Row],[COSTO UNITARIO]]</f>
        <v>394</v>
      </c>
      <c r="V4471" s="2">
        <f>MASTER[[#This Row],[MONTO VENDIDO]]-MASTER[[#This Row],[COSTO DE VENTA]]</f>
        <v>1189</v>
      </c>
    </row>
    <row r="4472" spans="1:22" x14ac:dyDescent="0.3">
      <c r="A4472">
        <v>65851</v>
      </c>
      <c r="B4472">
        <v>1</v>
      </c>
      <c r="C4472" t="s">
        <v>105</v>
      </c>
      <c r="D4472" t="s">
        <v>106</v>
      </c>
      <c r="E4472" s="1">
        <v>44330</v>
      </c>
      <c r="F4472">
        <v>2</v>
      </c>
      <c r="G4472" t="s">
        <v>7</v>
      </c>
      <c r="H4472" t="s">
        <v>8</v>
      </c>
      <c r="I4472" s="3">
        <v>1865</v>
      </c>
      <c r="J4472" s="3">
        <v>1865</v>
      </c>
      <c r="K4472" s="3">
        <v>459</v>
      </c>
      <c r="L4472" t="s">
        <v>98</v>
      </c>
      <c r="M4472">
        <v>14</v>
      </c>
      <c r="N4472" t="s">
        <v>87</v>
      </c>
      <c r="O4472" t="s">
        <v>81</v>
      </c>
      <c r="P4472" t="s">
        <v>18</v>
      </c>
      <c r="Q4472" t="s">
        <v>19</v>
      </c>
      <c r="R4472" t="s">
        <v>138</v>
      </c>
      <c r="S4472" t="s">
        <v>144</v>
      </c>
      <c r="T4472" s="2">
        <f>MASTER[[#This Row],[CANTIDAD]]*MASTER[[#This Row],[PRECIO DE VENTA]]</f>
        <v>3730</v>
      </c>
      <c r="U4472" s="2">
        <f>MASTER[[#This Row],[CANTIDAD]]*MASTER[[#This Row],[COSTO UNITARIO]]</f>
        <v>918</v>
      </c>
      <c r="V4472" s="2">
        <f>MASTER[[#This Row],[MONTO VENDIDO]]-MASTER[[#This Row],[COSTO DE VENTA]]</f>
        <v>2812</v>
      </c>
    </row>
    <row r="4473" spans="1:22" x14ac:dyDescent="0.3">
      <c r="A4473">
        <v>65862</v>
      </c>
      <c r="B4473">
        <v>1</v>
      </c>
      <c r="C4473" t="s">
        <v>107</v>
      </c>
      <c r="D4473" t="s">
        <v>108</v>
      </c>
      <c r="E4473" s="1">
        <v>44331</v>
      </c>
      <c r="F4473">
        <v>1</v>
      </c>
      <c r="G4473" t="s">
        <v>33</v>
      </c>
      <c r="H4473" t="s">
        <v>34</v>
      </c>
      <c r="I4473" s="3">
        <v>1240</v>
      </c>
      <c r="J4473" s="3">
        <v>1240</v>
      </c>
      <c r="K4473" s="3">
        <v>380</v>
      </c>
      <c r="L4473" t="s">
        <v>98</v>
      </c>
      <c r="M4473">
        <v>16</v>
      </c>
      <c r="N4473" t="s">
        <v>17</v>
      </c>
      <c r="O4473" t="s">
        <v>11</v>
      </c>
      <c r="P4473" t="s">
        <v>18</v>
      </c>
      <c r="Q4473" t="s">
        <v>19</v>
      </c>
      <c r="R4473" t="s">
        <v>138</v>
      </c>
      <c r="S4473" t="s">
        <v>144</v>
      </c>
      <c r="T4473" s="2">
        <f>MASTER[[#This Row],[CANTIDAD]]*MASTER[[#This Row],[PRECIO DE VENTA]]</f>
        <v>1240</v>
      </c>
      <c r="U4473" s="2">
        <f>MASTER[[#This Row],[CANTIDAD]]*MASTER[[#This Row],[COSTO UNITARIO]]</f>
        <v>380</v>
      </c>
      <c r="V4473" s="2">
        <f>MASTER[[#This Row],[MONTO VENDIDO]]-MASTER[[#This Row],[COSTO DE VENTA]]</f>
        <v>860</v>
      </c>
    </row>
    <row r="4474" spans="1:22" x14ac:dyDescent="0.3">
      <c r="A4474">
        <v>65873</v>
      </c>
      <c r="B4474">
        <v>1</v>
      </c>
      <c r="C4474" t="s">
        <v>114</v>
      </c>
      <c r="D4474" t="s">
        <v>115</v>
      </c>
      <c r="E4474" s="1">
        <v>44331</v>
      </c>
      <c r="F4474">
        <v>1</v>
      </c>
      <c r="G4474" t="s">
        <v>53</v>
      </c>
      <c r="H4474" t="s">
        <v>54</v>
      </c>
      <c r="I4474" s="3">
        <v>1862</v>
      </c>
      <c r="J4474" s="3">
        <v>1862</v>
      </c>
      <c r="K4474" s="3">
        <v>394</v>
      </c>
      <c r="L4474" t="s">
        <v>113</v>
      </c>
      <c r="M4474">
        <v>15</v>
      </c>
      <c r="N4474" t="s">
        <v>88</v>
      </c>
      <c r="O4474" t="s">
        <v>81</v>
      </c>
      <c r="P4474" t="s">
        <v>18</v>
      </c>
      <c r="Q4474" t="s">
        <v>19</v>
      </c>
      <c r="R4474" t="s">
        <v>138</v>
      </c>
      <c r="S4474" t="s">
        <v>144</v>
      </c>
      <c r="T4474" s="2">
        <f>MASTER[[#This Row],[CANTIDAD]]*MASTER[[#This Row],[PRECIO DE VENTA]]</f>
        <v>1862</v>
      </c>
      <c r="U4474" s="2">
        <f>MASTER[[#This Row],[CANTIDAD]]*MASTER[[#This Row],[COSTO UNITARIO]]</f>
        <v>394</v>
      </c>
      <c r="V4474" s="2">
        <f>MASTER[[#This Row],[MONTO VENDIDO]]-MASTER[[#This Row],[COSTO DE VENTA]]</f>
        <v>1468</v>
      </c>
    </row>
    <row r="4475" spans="1:22" x14ac:dyDescent="0.3">
      <c r="A4475">
        <v>65886</v>
      </c>
      <c r="B4475">
        <v>1</v>
      </c>
      <c r="C4475" t="s">
        <v>5</v>
      </c>
      <c r="D4475" t="s">
        <v>6</v>
      </c>
      <c r="E4475" s="1">
        <v>44331</v>
      </c>
      <c r="F4475">
        <v>3</v>
      </c>
      <c r="G4475" t="s">
        <v>61</v>
      </c>
      <c r="H4475" t="s">
        <v>62</v>
      </c>
      <c r="I4475" s="3">
        <v>1311</v>
      </c>
      <c r="J4475" s="3">
        <v>1311</v>
      </c>
      <c r="K4475" s="3">
        <v>393</v>
      </c>
      <c r="L4475" t="s">
        <v>9</v>
      </c>
      <c r="M4475">
        <v>12</v>
      </c>
      <c r="N4475" t="s">
        <v>26</v>
      </c>
      <c r="O4475" t="s">
        <v>11</v>
      </c>
      <c r="P4475" t="s">
        <v>12</v>
      </c>
      <c r="Q4475" t="s">
        <v>13</v>
      </c>
      <c r="R4475" t="s">
        <v>13</v>
      </c>
      <c r="S4475" t="s">
        <v>144</v>
      </c>
      <c r="T4475" s="2">
        <f>MASTER[[#This Row],[CANTIDAD]]*MASTER[[#This Row],[PRECIO DE VENTA]]</f>
        <v>3933</v>
      </c>
      <c r="U4475" s="2">
        <f>MASTER[[#This Row],[CANTIDAD]]*MASTER[[#This Row],[COSTO UNITARIO]]</f>
        <v>1179</v>
      </c>
      <c r="V4475" s="2">
        <f>MASTER[[#This Row],[MONTO VENDIDO]]-MASTER[[#This Row],[COSTO DE VENTA]]</f>
        <v>2754</v>
      </c>
    </row>
    <row r="4476" spans="1:22" x14ac:dyDescent="0.3">
      <c r="A4476">
        <v>65888</v>
      </c>
      <c r="B4476">
        <v>1</v>
      </c>
      <c r="C4476" t="s">
        <v>99</v>
      </c>
      <c r="D4476" t="s">
        <v>100</v>
      </c>
      <c r="E4476" s="1">
        <v>44331</v>
      </c>
      <c r="F4476">
        <v>1</v>
      </c>
      <c r="G4476" t="s">
        <v>33</v>
      </c>
      <c r="H4476" t="s">
        <v>34</v>
      </c>
      <c r="I4476" s="3">
        <v>1678</v>
      </c>
      <c r="J4476" s="3">
        <v>1678</v>
      </c>
      <c r="K4476" s="3">
        <v>386</v>
      </c>
      <c r="L4476" t="s">
        <v>98</v>
      </c>
      <c r="M4476">
        <v>3</v>
      </c>
      <c r="N4476" t="s">
        <v>69</v>
      </c>
      <c r="O4476" t="s">
        <v>70</v>
      </c>
      <c r="P4476" t="s">
        <v>71</v>
      </c>
      <c r="Q4476" t="s">
        <v>72</v>
      </c>
      <c r="R4476" t="s">
        <v>139</v>
      </c>
      <c r="S4476" t="s">
        <v>144</v>
      </c>
      <c r="T4476" s="2">
        <f>MASTER[[#This Row],[CANTIDAD]]*MASTER[[#This Row],[PRECIO DE VENTA]]</f>
        <v>1678</v>
      </c>
      <c r="U4476" s="2">
        <f>MASTER[[#This Row],[CANTIDAD]]*MASTER[[#This Row],[COSTO UNITARIO]]</f>
        <v>386</v>
      </c>
      <c r="V4476" s="2">
        <f>MASTER[[#This Row],[MONTO VENDIDO]]-MASTER[[#This Row],[COSTO DE VENTA]]</f>
        <v>1292</v>
      </c>
    </row>
    <row r="4477" spans="1:22" x14ac:dyDescent="0.3">
      <c r="A4477">
        <v>65893</v>
      </c>
      <c r="B4477">
        <v>1</v>
      </c>
      <c r="C4477" t="s">
        <v>109</v>
      </c>
      <c r="D4477" t="s">
        <v>110</v>
      </c>
      <c r="E4477" s="1">
        <v>44331</v>
      </c>
      <c r="F4477">
        <v>1</v>
      </c>
      <c r="G4477" t="s">
        <v>59</v>
      </c>
      <c r="H4477" t="s">
        <v>60</v>
      </c>
      <c r="I4477" s="3">
        <v>1064</v>
      </c>
      <c r="J4477" s="3">
        <v>1064</v>
      </c>
      <c r="K4477" s="3">
        <v>387</v>
      </c>
      <c r="L4477" t="s">
        <v>98</v>
      </c>
      <c r="M4477">
        <v>5</v>
      </c>
      <c r="N4477" t="s">
        <v>85</v>
      </c>
      <c r="O4477" t="s">
        <v>81</v>
      </c>
      <c r="P4477" t="s">
        <v>12</v>
      </c>
      <c r="Q4477" t="s">
        <v>13</v>
      </c>
      <c r="R4477" t="s">
        <v>13</v>
      </c>
      <c r="S4477" t="s">
        <v>144</v>
      </c>
      <c r="T4477" s="2">
        <f>MASTER[[#This Row],[CANTIDAD]]*MASTER[[#This Row],[PRECIO DE VENTA]]</f>
        <v>1064</v>
      </c>
      <c r="U4477" s="2">
        <f>MASTER[[#This Row],[CANTIDAD]]*MASTER[[#This Row],[COSTO UNITARIO]]</f>
        <v>387</v>
      </c>
      <c r="V4477" s="2">
        <f>MASTER[[#This Row],[MONTO VENDIDO]]-MASTER[[#This Row],[COSTO DE VENTA]]</f>
        <v>677</v>
      </c>
    </row>
    <row r="4478" spans="1:22" x14ac:dyDescent="0.3">
      <c r="A4478">
        <v>65902</v>
      </c>
      <c r="B4478">
        <v>1</v>
      </c>
      <c r="C4478" t="s">
        <v>101</v>
      </c>
      <c r="D4478" t="s">
        <v>102</v>
      </c>
      <c r="E4478" s="1">
        <v>44331</v>
      </c>
      <c r="F4478">
        <v>1</v>
      </c>
      <c r="G4478" t="s">
        <v>27</v>
      </c>
      <c r="H4478" t="s">
        <v>28</v>
      </c>
      <c r="I4478" s="3">
        <v>1357</v>
      </c>
      <c r="J4478" s="3">
        <v>1357</v>
      </c>
      <c r="K4478" s="3">
        <v>442</v>
      </c>
      <c r="L4478" t="s">
        <v>98</v>
      </c>
      <c r="M4478">
        <v>3</v>
      </c>
      <c r="N4478" t="s">
        <v>69</v>
      </c>
      <c r="O4478" t="s">
        <v>70</v>
      </c>
      <c r="P4478" t="s">
        <v>71</v>
      </c>
      <c r="Q4478" t="s">
        <v>72</v>
      </c>
      <c r="R4478" t="s">
        <v>139</v>
      </c>
      <c r="S4478" t="s">
        <v>144</v>
      </c>
      <c r="T4478" s="2">
        <f>MASTER[[#This Row],[CANTIDAD]]*MASTER[[#This Row],[PRECIO DE VENTA]]</f>
        <v>1357</v>
      </c>
      <c r="U4478" s="2">
        <f>MASTER[[#This Row],[CANTIDAD]]*MASTER[[#This Row],[COSTO UNITARIO]]</f>
        <v>442</v>
      </c>
      <c r="V4478" s="2">
        <f>MASTER[[#This Row],[MONTO VENDIDO]]-MASTER[[#This Row],[COSTO DE VENTA]]</f>
        <v>915</v>
      </c>
    </row>
    <row r="4479" spans="1:22" x14ac:dyDescent="0.3">
      <c r="A4479">
        <v>65923</v>
      </c>
      <c r="B4479">
        <v>1</v>
      </c>
      <c r="C4479" t="s">
        <v>90</v>
      </c>
      <c r="D4479" t="s">
        <v>91</v>
      </c>
      <c r="E4479" s="1">
        <v>44331</v>
      </c>
      <c r="F4479">
        <v>1</v>
      </c>
      <c r="G4479" t="s">
        <v>37</v>
      </c>
      <c r="H4479" t="s">
        <v>38</v>
      </c>
      <c r="I4479" s="3">
        <v>1660</v>
      </c>
      <c r="J4479" s="3">
        <v>1660</v>
      </c>
      <c r="K4479" s="3">
        <v>420</v>
      </c>
      <c r="L4479" t="s">
        <v>9</v>
      </c>
      <c r="M4479">
        <v>17</v>
      </c>
      <c r="N4479" t="s">
        <v>14</v>
      </c>
      <c r="O4479" t="s">
        <v>11</v>
      </c>
      <c r="P4479" t="s">
        <v>15</v>
      </c>
      <c r="Q4479" t="s">
        <v>16</v>
      </c>
      <c r="R4479" t="s">
        <v>16</v>
      </c>
      <c r="S4479" t="s">
        <v>144</v>
      </c>
      <c r="T4479" s="2">
        <f>MASTER[[#This Row],[CANTIDAD]]*MASTER[[#This Row],[PRECIO DE VENTA]]</f>
        <v>1660</v>
      </c>
      <c r="U4479" s="2">
        <f>MASTER[[#This Row],[CANTIDAD]]*MASTER[[#This Row],[COSTO UNITARIO]]</f>
        <v>420</v>
      </c>
      <c r="V4479" s="2">
        <f>MASTER[[#This Row],[MONTO VENDIDO]]-MASTER[[#This Row],[COSTO DE VENTA]]</f>
        <v>1240</v>
      </c>
    </row>
    <row r="4480" spans="1:22" x14ac:dyDescent="0.3">
      <c r="A4480">
        <v>65925</v>
      </c>
      <c r="B4480">
        <v>1</v>
      </c>
      <c r="C4480" t="s">
        <v>101</v>
      </c>
      <c r="D4480" t="s">
        <v>102</v>
      </c>
      <c r="E4480" s="1">
        <v>44331</v>
      </c>
      <c r="F4480">
        <v>1</v>
      </c>
      <c r="G4480" t="s">
        <v>22</v>
      </c>
      <c r="H4480" t="s">
        <v>23</v>
      </c>
      <c r="I4480" s="3">
        <v>1212</v>
      </c>
      <c r="J4480" s="3">
        <v>1212</v>
      </c>
      <c r="K4480" s="3">
        <v>442</v>
      </c>
      <c r="L4480" t="s">
        <v>98</v>
      </c>
      <c r="M4480">
        <v>7</v>
      </c>
      <c r="N4480" t="s">
        <v>84</v>
      </c>
      <c r="O4480" t="s">
        <v>81</v>
      </c>
      <c r="P4480" t="s">
        <v>12</v>
      </c>
      <c r="Q4480" t="s">
        <v>13</v>
      </c>
      <c r="R4480" t="s">
        <v>13</v>
      </c>
      <c r="S4480" t="s">
        <v>144</v>
      </c>
      <c r="T4480" s="2">
        <f>MASTER[[#This Row],[CANTIDAD]]*MASTER[[#This Row],[PRECIO DE VENTA]]</f>
        <v>1212</v>
      </c>
      <c r="U4480" s="2">
        <f>MASTER[[#This Row],[CANTIDAD]]*MASTER[[#This Row],[COSTO UNITARIO]]</f>
        <v>442</v>
      </c>
      <c r="V4480" s="2">
        <f>MASTER[[#This Row],[MONTO VENDIDO]]-MASTER[[#This Row],[COSTO DE VENTA]]</f>
        <v>770</v>
      </c>
    </row>
    <row r="4481" spans="1:22" x14ac:dyDescent="0.3">
      <c r="A4481">
        <v>65929</v>
      </c>
      <c r="B4481">
        <v>1</v>
      </c>
      <c r="C4481" t="s">
        <v>96</v>
      </c>
      <c r="D4481" t="s">
        <v>97</v>
      </c>
      <c r="E4481" s="1">
        <v>44331</v>
      </c>
      <c r="F4481">
        <v>1</v>
      </c>
      <c r="G4481" t="s">
        <v>45</v>
      </c>
      <c r="H4481" t="s">
        <v>46</v>
      </c>
      <c r="I4481" s="3">
        <v>1361</v>
      </c>
      <c r="J4481" s="3">
        <v>1361</v>
      </c>
      <c r="K4481" s="3">
        <v>397</v>
      </c>
      <c r="L4481" t="s">
        <v>98</v>
      </c>
      <c r="M4481">
        <v>9</v>
      </c>
      <c r="N4481" t="s">
        <v>76</v>
      </c>
      <c r="O4481" t="s">
        <v>70</v>
      </c>
      <c r="P4481" t="s">
        <v>12</v>
      </c>
      <c r="Q4481" t="s">
        <v>13</v>
      </c>
      <c r="R4481" t="s">
        <v>13</v>
      </c>
      <c r="S4481" t="s">
        <v>144</v>
      </c>
      <c r="T4481" s="2">
        <f>MASTER[[#This Row],[CANTIDAD]]*MASTER[[#This Row],[PRECIO DE VENTA]]</f>
        <v>1361</v>
      </c>
      <c r="U4481" s="2">
        <f>MASTER[[#This Row],[CANTIDAD]]*MASTER[[#This Row],[COSTO UNITARIO]]</f>
        <v>397</v>
      </c>
      <c r="V4481" s="2">
        <f>MASTER[[#This Row],[MONTO VENDIDO]]-MASTER[[#This Row],[COSTO DE VENTA]]</f>
        <v>964</v>
      </c>
    </row>
    <row r="4482" spans="1:22" x14ac:dyDescent="0.3">
      <c r="A4482">
        <v>65929</v>
      </c>
      <c r="B4482">
        <v>2</v>
      </c>
      <c r="C4482" t="s">
        <v>101</v>
      </c>
      <c r="D4482" t="s">
        <v>102</v>
      </c>
      <c r="E4482" s="1">
        <v>44331</v>
      </c>
      <c r="F4482">
        <v>1</v>
      </c>
      <c r="G4482" t="s">
        <v>7</v>
      </c>
      <c r="H4482" t="s">
        <v>8</v>
      </c>
      <c r="I4482" s="3">
        <v>1357</v>
      </c>
      <c r="J4482" s="3">
        <v>1221</v>
      </c>
      <c r="K4482" s="3">
        <v>442</v>
      </c>
      <c r="L4482" t="s">
        <v>98</v>
      </c>
      <c r="M4482">
        <v>9</v>
      </c>
      <c r="N4482" t="s">
        <v>76</v>
      </c>
      <c r="O4482" t="s">
        <v>70</v>
      </c>
      <c r="P4482" t="s">
        <v>12</v>
      </c>
      <c r="Q4482" t="s">
        <v>13</v>
      </c>
      <c r="R4482" t="s">
        <v>13</v>
      </c>
      <c r="S4482" t="s">
        <v>144</v>
      </c>
      <c r="T4482" s="2">
        <f>MASTER[[#This Row],[CANTIDAD]]*MASTER[[#This Row],[PRECIO DE VENTA]]</f>
        <v>1221</v>
      </c>
      <c r="U4482" s="2">
        <f>MASTER[[#This Row],[CANTIDAD]]*MASTER[[#This Row],[COSTO UNITARIO]]</f>
        <v>442</v>
      </c>
      <c r="V4482" s="2">
        <f>MASTER[[#This Row],[MONTO VENDIDO]]-MASTER[[#This Row],[COSTO DE VENTA]]</f>
        <v>779</v>
      </c>
    </row>
    <row r="4483" spans="1:22" x14ac:dyDescent="0.3">
      <c r="A4483">
        <v>65953</v>
      </c>
      <c r="B4483">
        <v>1</v>
      </c>
      <c r="C4483" t="s">
        <v>116</v>
      </c>
      <c r="D4483" t="s">
        <v>117</v>
      </c>
      <c r="E4483" s="1">
        <v>44332</v>
      </c>
      <c r="F4483">
        <v>1</v>
      </c>
      <c r="G4483" t="s">
        <v>59</v>
      </c>
      <c r="H4483" t="s">
        <v>60</v>
      </c>
      <c r="I4483" s="3">
        <v>1999</v>
      </c>
      <c r="J4483" s="3">
        <v>1999</v>
      </c>
      <c r="K4483" s="3">
        <v>388</v>
      </c>
      <c r="L4483" t="s">
        <v>113</v>
      </c>
      <c r="M4483">
        <v>6</v>
      </c>
      <c r="N4483" t="s">
        <v>75</v>
      </c>
      <c r="O4483" t="s">
        <v>70</v>
      </c>
      <c r="P4483" t="s">
        <v>12</v>
      </c>
      <c r="Q4483" t="s">
        <v>13</v>
      </c>
      <c r="R4483" t="s">
        <v>13</v>
      </c>
      <c r="S4483" t="s">
        <v>144</v>
      </c>
      <c r="T4483" s="2">
        <f>MASTER[[#This Row],[CANTIDAD]]*MASTER[[#This Row],[PRECIO DE VENTA]]</f>
        <v>1999</v>
      </c>
      <c r="U4483" s="2">
        <f>MASTER[[#This Row],[CANTIDAD]]*MASTER[[#This Row],[COSTO UNITARIO]]</f>
        <v>388</v>
      </c>
      <c r="V4483" s="2">
        <f>MASTER[[#This Row],[MONTO VENDIDO]]-MASTER[[#This Row],[COSTO DE VENTA]]</f>
        <v>1611</v>
      </c>
    </row>
    <row r="4484" spans="1:22" x14ac:dyDescent="0.3">
      <c r="A4484">
        <v>65958</v>
      </c>
      <c r="B4484">
        <v>1</v>
      </c>
      <c r="C4484" t="s">
        <v>5</v>
      </c>
      <c r="D4484" t="s">
        <v>6</v>
      </c>
      <c r="E4484" s="1">
        <v>44332</v>
      </c>
      <c r="F4484">
        <v>1</v>
      </c>
      <c r="G4484" t="s">
        <v>24</v>
      </c>
      <c r="H4484" t="s">
        <v>25</v>
      </c>
      <c r="I4484" s="3">
        <v>1296</v>
      </c>
      <c r="J4484" s="3">
        <v>1296</v>
      </c>
      <c r="K4484" s="3">
        <v>393</v>
      </c>
      <c r="L4484" t="s">
        <v>9</v>
      </c>
      <c r="M4484">
        <v>9</v>
      </c>
      <c r="N4484" t="s">
        <v>76</v>
      </c>
      <c r="O4484" t="s">
        <v>70</v>
      </c>
      <c r="P4484" t="s">
        <v>12</v>
      </c>
      <c r="Q4484" t="s">
        <v>13</v>
      </c>
      <c r="R4484" t="s">
        <v>13</v>
      </c>
      <c r="S4484" t="s">
        <v>144</v>
      </c>
      <c r="T4484" s="2">
        <f>MASTER[[#This Row],[CANTIDAD]]*MASTER[[#This Row],[PRECIO DE VENTA]]</f>
        <v>1296</v>
      </c>
      <c r="U4484" s="2">
        <f>MASTER[[#This Row],[CANTIDAD]]*MASTER[[#This Row],[COSTO UNITARIO]]</f>
        <v>393</v>
      </c>
      <c r="V4484" s="2">
        <f>MASTER[[#This Row],[MONTO VENDIDO]]-MASTER[[#This Row],[COSTO DE VENTA]]</f>
        <v>903</v>
      </c>
    </row>
    <row r="4485" spans="1:22" x14ac:dyDescent="0.3">
      <c r="A4485">
        <v>65969</v>
      </c>
      <c r="B4485">
        <v>1</v>
      </c>
      <c r="C4485" t="s">
        <v>5</v>
      </c>
      <c r="D4485" t="s">
        <v>6</v>
      </c>
      <c r="E4485" s="1">
        <v>44332</v>
      </c>
      <c r="F4485">
        <v>1</v>
      </c>
      <c r="G4485" t="s">
        <v>41</v>
      </c>
      <c r="H4485" t="s">
        <v>42</v>
      </c>
      <c r="I4485" s="3">
        <v>1296</v>
      </c>
      <c r="J4485" s="3">
        <v>1296</v>
      </c>
      <c r="K4485" s="3">
        <v>393</v>
      </c>
      <c r="L4485" t="s">
        <v>9</v>
      </c>
      <c r="M4485">
        <v>3</v>
      </c>
      <c r="N4485" t="s">
        <v>69</v>
      </c>
      <c r="O4485" t="s">
        <v>70</v>
      </c>
      <c r="P4485" t="s">
        <v>71</v>
      </c>
      <c r="Q4485" t="s">
        <v>72</v>
      </c>
      <c r="R4485" t="s">
        <v>139</v>
      </c>
      <c r="S4485" t="s">
        <v>144</v>
      </c>
      <c r="T4485" s="2">
        <f>MASTER[[#This Row],[CANTIDAD]]*MASTER[[#This Row],[PRECIO DE VENTA]]</f>
        <v>1296</v>
      </c>
      <c r="U4485" s="2">
        <f>MASTER[[#This Row],[CANTIDAD]]*MASTER[[#This Row],[COSTO UNITARIO]]</f>
        <v>393</v>
      </c>
      <c r="V4485" s="2">
        <f>MASTER[[#This Row],[MONTO VENDIDO]]-MASTER[[#This Row],[COSTO DE VENTA]]</f>
        <v>903</v>
      </c>
    </row>
    <row r="4486" spans="1:22" x14ac:dyDescent="0.3">
      <c r="A4486">
        <v>65970</v>
      </c>
      <c r="B4486">
        <v>1</v>
      </c>
      <c r="C4486" t="s">
        <v>116</v>
      </c>
      <c r="D4486" t="s">
        <v>117</v>
      </c>
      <c r="E4486" s="1">
        <v>44332</v>
      </c>
      <c r="F4486">
        <v>1</v>
      </c>
      <c r="G4486" t="s">
        <v>57</v>
      </c>
      <c r="H4486" t="s">
        <v>58</v>
      </c>
      <c r="I4486" s="3">
        <v>1999</v>
      </c>
      <c r="J4486" s="3">
        <v>1999</v>
      </c>
      <c r="K4486" s="3">
        <v>388</v>
      </c>
      <c r="L4486" t="s">
        <v>113</v>
      </c>
      <c r="M4486">
        <v>9</v>
      </c>
      <c r="N4486" t="s">
        <v>76</v>
      </c>
      <c r="O4486" t="s">
        <v>70</v>
      </c>
      <c r="P4486" t="s">
        <v>12</v>
      </c>
      <c r="Q4486" t="s">
        <v>13</v>
      </c>
      <c r="R4486" t="s">
        <v>13</v>
      </c>
      <c r="S4486" t="s">
        <v>144</v>
      </c>
      <c r="T4486" s="2">
        <f>MASTER[[#This Row],[CANTIDAD]]*MASTER[[#This Row],[PRECIO DE VENTA]]</f>
        <v>1999</v>
      </c>
      <c r="U4486" s="2">
        <f>MASTER[[#This Row],[CANTIDAD]]*MASTER[[#This Row],[COSTO UNITARIO]]</f>
        <v>388</v>
      </c>
      <c r="V4486" s="2">
        <f>MASTER[[#This Row],[MONTO VENDIDO]]-MASTER[[#This Row],[COSTO DE VENTA]]</f>
        <v>1611</v>
      </c>
    </row>
    <row r="4487" spans="1:22" x14ac:dyDescent="0.3">
      <c r="A4487">
        <v>65988</v>
      </c>
      <c r="B4487">
        <v>1</v>
      </c>
      <c r="C4487" t="s">
        <v>118</v>
      </c>
      <c r="D4487" t="s">
        <v>119</v>
      </c>
      <c r="E4487" s="1">
        <v>44332</v>
      </c>
      <c r="F4487">
        <v>1</v>
      </c>
      <c r="G4487" t="s">
        <v>45</v>
      </c>
      <c r="H4487" t="s">
        <v>46</v>
      </c>
      <c r="I4487" s="3">
        <v>1026</v>
      </c>
      <c r="J4487" s="3">
        <v>1026</v>
      </c>
      <c r="K4487" s="3">
        <v>424</v>
      </c>
      <c r="L4487" t="s">
        <v>120</v>
      </c>
      <c r="M4487">
        <v>6</v>
      </c>
      <c r="N4487" t="s">
        <v>75</v>
      </c>
      <c r="O4487" t="s">
        <v>70</v>
      </c>
      <c r="P4487" t="s">
        <v>12</v>
      </c>
      <c r="Q4487" t="s">
        <v>13</v>
      </c>
      <c r="R4487" t="s">
        <v>13</v>
      </c>
      <c r="S4487" t="s">
        <v>144</v>
      </c>
      <c r="T4487" s="2">
        <f>MASTER[[#This Row],[CANTIDAD]]*MASTER[[#This Row],[PRECIO DE VENTA]]</f>
        <v>1026</v>
      </c>
      <c r="U4487" s="2">
        <f>MASTER[[#This Row],[CANTIDAD]]*MASTER[[#This Row],[COSTO UNITARIO]]</f>
        <v>424</v>
      </c>
      <c r="V4487" s="2">
        <f>MASTER[[#This Row],[MONTO VENDIDO]]-MASTER[[#This Row],[COSTO DE VENTA]]</f>
        <v>602</v>
      </c>
    </row>
    <row r="4488" spans="1:22" x14ac:dyDescent="0.3">
      <c r="A4488">
        <v>66013</v>
      </c>
      <c r="B4488">
        <v>1</v>
      </c>
      <c r="C4488" t="s">
        <v>111</v>
      </c>
      <c r="D4488" t="s">
        <v>112</v>
      </c>
      <c r="E4488" s="1">
        <v>44332</v>
      </c>
      <c r="F4488">
        <v>1</v>
      </c>
      <c r="G4488" t="s">
        <v>67</v>
      </c>
      <c r="H4488" t="s">
        <v>68</v>
      </c>
      <c r="I4488" s="3">
        <v>1799</v>
      </c>
      <c r="J4488" s="3">
        <v>1799</v>
      </c>
      <c r="K4488" s="3">
        <v>434</v>
      </c>
      <c r="L4488" t="s">
        <v>113</v>
      </c>
      <c r="M4488">
        <v>9</v>
      </c>
      <c r="N4488" t="s">
        <v>76</v>
      </c>
      <c r="O4488" t="s">
        <v>70</v>
      </c>
      <c r="P4488" t="s">
        <v>12</v>
      </c>
      <c r="Q4488" t="s">
        <v>13</v>
      </c>
      <c r="R4488" t="s">
        <v>13</v>
      </c>
      <c r="S4488" t="s">
        <v>144</v>
      </c>
      <c r="T4488" s="2">
        <f>MASTER[[#This Row],[CANTIDAD]]*MASTER[[#This Row],[PRECIO DE VENTA]]</f>
        <v>1799</v>
      </c>
      <c r="U4488" s="2">
        <f>MASTER[[#This Row],[CANTIDAD]]*MASTER[[#This Row],[COSTO UNITARIO]]</f>
        <v>434</v>
      </c>
      <c r="V4488" s="2">
        <f>MASTER[[#This Row],[MONTO VENDIDO]]-MASTER[[#This Row],[COSTO DE VENTA]]</f>
        <v>1365</v>
      </c>
    </row>
    <row r="4489" spans="1:22" x14ac:dyDescent="0.3">
      <c r="A4489">
        <v>66017</v>
      </c>
      <c r="B4489">
        <v>1</v>
      </c>
      <c r="C4489" t="s">
        <v>94</v>
      </c>
      <c r="D4489" t="s">
        <v>95</v>
      </c>
      <c r="E4489" s="1">
        <v>44332</v>
      </c>
      <c r="F4489">
        <v>1</v>
      </c>
      <c r="G4489" t="s">
        <v>57</v>
      </c>
      <c r="H4489" t="s">
        <v>58</v>
      </c>
      <c r="I4489" s="3">
        <v>1153</v>
      </c>
      <c r="J4489" s="3">
        <v>1153</v>
      </c>
      <c r="K4489" s="3">
        <v>392</v>
      </c>
      <c r="L4489" t="s">
        <v>9</v>
      </c>
      <c r="M4489">
        <v>13</v>
      </c>
      <c r="N4489" t="s">
        <v>78</v>
      </c>
      <c r="O4489" t="s">
        <v>70</v>
      </c>
      <c r="P4489" t="s">
        <v>18</v>
      </c>
      <c r="Q4489" t="s">
        <v>19</v>
      </c>
      <c r="R4489" t="s">
        <v>138</v>
      </c>
      <c r="S4489" t="s">
        <v>144</v>
      </c>
      <c r="T4489" s="2">
        <f>MASTER[[#This Row],[CANTIDAD]]*MASTER[[#This Row],[PRECIO DE VENTA]]</f>
        <v>1153</v>
      </c>
      <c r="U4489" s="2">
        <f>MASTER[[#This Row],[CANTIDAD]]*MASTER[[#This Row],[COSTO UNITARIO]]</f>
        <v>392</v>
      </c>
      <c r="V4489" s="2">
        <f>MASTER[[#This Row],[MONTO VENDIDO]]-MASTER[[#This Row],[COSTO DE VENTA]]</f>
        <v>761</v>
      </c>
    </row>
    <row r="4490" spans="1:22" x14ac:dyDescent="0.3">
      <c r="A4490">
        <v>66039</v>
      </c>
      <c r="B4490">
        <v>1</v>
      </c>
      <c r="C4490" t="s">
        <v>103</v>
      </c>
      <c r="D4490" t="s">
        <v>104</v>
      </c>
      <c r="E4490" s="1">
        <v>44332</v>
      </c>
      <c r="F4490">
        <v>1</v>
      </c>
      <c r="G4490" t="s">
        <v>22</v>
      </c>
      <c r="H4490" t="s">
        <v>23</v>
      </c>
      <c r="I4490" s="3">
        <v>1448</v>
      </c>
      <c r="J4490" s="3">
        <v>1448</v>
      </c>
      <c r="K4490" s="3">
        <v>421</v>
      </c>
      <c r="L4490" t="s">
        <v>98</v>
      </c>
      <c r="M4490">
        <v>12</v>
      </c>
      <c r="N4490" t="s">
        <v>26</v>
      </c>
      <c r="O4490" t="s">
        <v>11</v>
      </c>
      <c r="P4490" t="s">
        <v>12</v>
      </c>
      <c r="Q4490" t="s">
        <v>13</v>
      </c>
      <c r="R4490" t="s">
        <v>13</v>
      </c>
      <c r="S4490" t="s">
        <v>144</v>
      </c>
      <c r="T4490" s="2">
        <f>MASTER[[#This Row],[CANTIDAD]]*MASTER[[#This Row],[PRECIO DE VENTA]]</f>
        <v>1448</v>
      </c>
      <c r="U4490" s="2">
        <f>MASTER[[#This Row],[CANTIDAD]]*MASTER[[#This Row],[COSTO UNITARIO]]</f>
        <v>421</v>
      </c>
      <c r="V4490" s="2">
        <f>MASTER[[#This Row],[MONTO VENDIDO]]-MASTER[[#This Row],[COSTO DE VENTA]]</f>
        <v>1027</v>
      </c>
    </row>
    <row r="4491" spans="1:22" x14ac:dyDescent="0.3">
      <c r="A4491">
        <v>66068</v>
      </c>
      <c r="B4491">
        <v>1</v>
      </c>
      <c r="C4491" t="s">
        <v>111</v>
      </c>
      <c r="D4491" t="s">
        <v>112</v>
      </c>
      <c r="E4491" s="1">
        <v>44333</v>
      </c>
      <c r="F4491">
        <v>1</v>
      </c>
      <c r="G4491" t="s">
        <v>7</v>
      </c>
      <c r="H4491" t="s">
        <v>8</v>
      </c>
      <c r="I4491" s="3">
        <v>1621</v>
      </c>
      <c r="J4491" s="3">
        <v>1621</v>
      </c>
      <c r="K4491" s="3">
        <v>434</v>
      </c>
      <c r="L4491" t="s">
        <v>113</v>
      </c>
      <c r="M4491">
        <v>19</v>
      </c>
      <c r="N4491" t="s">
        <v>89</v>
      </c>
      <c r="O4491" t="s">
        <v>81</v>
      </c>
      <c r="P4491" t="s">
        <v>15</v>
      </c>
      <c r="Q4491" t="s">
        <v>16</v>
      </c>
      <c r="R4491" t="s">
        <v>16</v>
      </c>
      <c r="S4491" t="s">
        <v>144</v>
      </c>
      <c r="T4491" s="2">
        <f>MASTER[[#This Row],[CANTIDAD]]*MASTER[[#This Row],[PRECIO DE VENTA]]</f>
        <v>1621</v>
      </c>
      <c r="U4491" s="2">
        <f>MASTER[[#This Row],[CANTIDAD]]*MASTER[[#This Row],[COSTO UNITARIO]]</f>
        <v>434</v>
      </c>
      <c r="V4491" s="2">
        <f>MASTER[[#This Row],[MONTO VENDIDO]]-MASTER[[#This Row],[COSTO DE VENTA]]</f>
        <v>1187</v>
      </c>
    </row>
    <row r="4492" spans="1:22" x14ac:dyDescent="0.3">
      <c r="A4492">
        <v>66092</v>
      </c>
      <c r="B4492">
        <v>1</v>
      </c>
      <c r="C4492" t="s">
        <v>103</v>
      </c>
      <c r="D4492" t="s">
        <v>104</v>
      </c>
      <c r="E4492" s="1">
        <v>44333</v>
      </c>
      <c r="F4492">
        <v>3</v>
      </c>
      <c r="G4492" t="s">
        <v>22</v>
      </c>
      <c r="H4492" t="s">
        <v>23</v>
      </c>
      <c r="I4492" s="3">
        <v>1830</v>
      </c>
      <c r="J4492" s="3">
        <v>1830</v>
      </c>
      <c r="K4492" s="3">
        <v>421</v>
      </c>
      <c r="L4492" t="s">
        <v>98</v>
      </c>
      <c r="M4492">
        <v>1</v>
      </c>
      <c r="N4492" t="s">
        <v>77</v>
      </c>
      <c r="O4492" t="s">
        <v>70</v>
      </c>
      <c r="P4492" t="s">
        <v>71</v>
      </c>
      <c r="Q4492" t="s">
        <v>72</v>
      </c>
      <c r="R4492" t="s">
        <v>139</v>
      </c>
      <c r="S4492" t="s">
        <v>144</v>
      </c>
      <c r="T4492" s="2">
        <f>MASTER[[#This Row],[CANTIDAD]]*MASTER[[#This Row],[PRECIO DE VENTA]]</f>
        <v>5490</v>
      </c>
      <c r="U4492" s="2">
        <f>MASTER[[#This Row],[CANTIDAD]]*MASTER[[#This Row],[COSTO UNITARIO]]</f>
        <v>1263</v>
      </c>
      <c r="V4492" s="2">
        <f>MASTER[[#This Row],[MONTO VENDIDO]]-MASTER[[#This Row],[COSTO DE VENTA]]</f>
        <v>4227</v>
      </c>
    </row>
    <row r="4493" spans="1:22" x14ac:dyDescent="0.3">
      <c r="A4493">
        <v>66117</v>
      </c>
      <c r="B4493">
        <v>1</v>
      </c>
      <c r="C4493" t="s">
        <v>99</v>
      </c>
      <c r="D4493" t="s">
        <v>100</v>
      </c>
      <c r="E4493" s="1">
        <v>44333</v>
      </c>
      <c r="F4493">
        <v>1</v>
      </c>
      <c r="G4493" t="s">
        <v>35</v>
      </c>
      <c r="H4493" t="s">
        <v>36</v>
      </c>
      <c r="I4493" s="3">
        <v>1459</v>
      </c>
      <c r="J4493" s="3">
        <v>1400</v>
      </c>
      <c r="K4493" s="3">
        <v>386</v>
      </c>
      <c r="L4493" t="s">
        <v>98</v>
      </c>
      <c r="M4493">
        <v>15</v>
      </c>
      <c r="N4493" t="s">
        <v>88</v>
      </c>
      <c r="O4493" t="s">
        <v>81</v>
      </c>
      <c r="P4493" t="s">
        <v>18</v>
      </c>
      <c r="Q4493" t="s">
        <v>19</v>
      </c>
      <c r="R4493" t="s">
        <v>138</v>
      </c>
      <c r="S4493" t="s">
        <v>144</v>
      </c>
      <c r="T4493" s="2">
        <f>MASTER[[#This Row],[CANTIDAD]]*MASTER[[#This Row],[PRECIO DE VENTA]]</f>
        <v>1400</v>
      </c>
      <c r="U4493" s="2">
        <f>MASTER[[#This Row],[CANTIDAD]]*MASTER[[#This Row],[COSTO UNITARIO]]</f>
        <v>386</v>
      </c>
      <c r="V4493" s="2">
        <f>MASTER[[#This Row],[MONTO VENDIDO]]-MASTER[[#This Row],[COSTO DE VENTA]]</f>
        <v>1014</v>
      </c>
    </row>
    <row r="4494" spans="1:22" x14ac:dyDescent="0.3">
      <c r="A4494">
        <v>66120</v>
      </c>
      <c r="B4494">
        <v>1</v>
      </c>
      <c r="C4494" t="s">
        <v>94</v>
      </c>
      <c r="D4494" t="s">
        <v>95</v>
      </c>
      <c r="E4494" s="1">
        <v>44333</v>
      </c>
      <c r="F4494">
        <v>1</v>
      </c>
      <c r="G4494" t="s">
        <v>37</v>
      </c>
      <c r="H4494" t="s">
        <v>38</v>
      </c>
      <c r="I4494" s="3">
        <v>1153</v>
      </c>
      <c r="J4494" s="3">
        <v>1153</v>
      </c>
      <c r="K4494" s="3">
        <v>392</v>
      </c>
      <c r="L4494" t="s">
        <v>9</v>
      </c>
      <c r="M4494">
        <v>6</v>
      </c>
      <c r="N4494" t="s">
        <v>75</v>
      </c>
      <c r="O4494" t="s">
        <v>70</v>
      </c>
      <c r="P4494" t="s">
        <v>12</v>
      </c>
      <c r="Q4494" t="s">
        <v>13</v>
      </c>
      <c r="R4494" t="s">
        <v>13</v>
      </c>
      <c r="S4494" t="s">
        <v>144</v>
      </c>
      <c r="T4494" s="2">
        <f>MASTER[[#This Row],[CANTIDAD]]*MASTER[[#This Row],[PRECIO DE VENTA]]</f>
        <v>1153</v>
      </c>
      <c r="U4494" s="2">
        <f>MASTER[[#This Row],[CANTIDAD]]*MASTER[[#This Row],[COSTO UNITARIO]]</f>
        <v>392</v>
      </c>
      <c r="V4494" s="2">
        <f>MASTER[[#This Row],[MONTO VENDIDO]]-MASTER[[#This Row],[COSTO DE VENTA]]</f>
        <v>761</v>
      </c>
    </row>
    <row r="4495" spans="1:22" x14ac:dyDescent="0.3">
      <c r="A4495">
        <v>66142</v>
      </c>
      <c r="B4495">
        <v>1</v>
      </c>
      <c r="C4495" t="s">
        <v>101</v>
      </c>
      <c r="D4495" t="s">
        <v>102</v>
      </c>
      <c r="E4495" s="1">
        <v>44333</v>
      </c>
      <c r="F4495">
        <v>1</v>
      </c>
      <c r="G4495" t="s">
        <v>45</v>
      </c>
      <c r="H4495" t="s">
        <v>46</v>
      </c>
      <c r="I4495" s="3">
        <v>1212</v>
      </c>
      <c r="J4495" s="3">
        <v>1212</v>
      </c>
      <c r="K4495" s="3">
        <v>442</v>
      </c>
      <c r="L4495" t="s">
        <v>98</v>
      </c>
      <c r="M4495">
        <v>4</v>
      </c>
      <c r="N4495" t="s">
        <v>82</v>
      </c>
      <c r="O4495" t="s">
        <v>81</v>
      </c>
      <c r="P4495" t="s">
        <v>71</v>
      </c>
      <c r="Q4495" t="s">
        <v>72</v>
      </c>
      <c r="R4495" t="s">
        <v>139</v>
      </c>
      <c r="S4495" t="s">
        <v>144</v>
      </c>
      <c r="T4495" s="2">
        <f>MASTER[[#This Row],[CANTIDAD]]*MASTER[[#This Row],[PRECIO DE VENTA]]</f>
        <v>1212</v>
      </c>
      <c r="U4495" s="2">
        <f>MASTER[[#This Row],[CANTIDAD]]*MASTER[[#This Row],[COSTO UNITARIO]]</f>
        <v>442</v>
      </c>
      <c r="V4495" s="2">
        <f>MASTER[[#This Row],[MONTO VENDIDO]]-MASTER[[#This Row],[COSTO DE VENTA]]</f>
        <v>770</v>
      </c>
    </row>
    <row r="4496" spans="1:22" x14ac:dyDescent="0.3">
      <c r="A4496">
        <v>66155</v>
      </c>
      <c r="B4496">
        <v>1</v>
      </c>
      <c r="C4496" t="s">
        <v>121</v>
      </c>
      <c r="D4496" t="s">
        <v>122</v>
      </c>
      <c r="E4496" s="1">
        <v>44333</v>
      </c>
      <c r="F4496">
        <v>1</v>
      </c>
      <c r="G4496" t="s">
        <v>63</v>
      </c>
      <c r="H4496" t="s">
        <v>64</v>
      </c>
      <c r="I4496" s="3">
        <v>1144</v>
      </c>
      <c r="J4496" s="3">
        <v>1144</v>
      </c>
      <c r="K4496" s="3">
        <v>460</v>
      </c>
      <c r="L4496" t="s">
        <v>120</v>
      </c>
      <c r="M4496">
        <v>18</v>
      </c>
      <c r="N4496" t="s">
        <v>79</v>
      </c>
      <c r="O4496" t="s">
        <v>70</v>
      </c>
      <c r="P4496" t="s">
        <v>15</v>
      </c>
      <c r="Q4496" t="s">
        <v>16</v>
      </c>
      <c r="R4496" t="s">
        <v>16</v>
      </c>
      <c r="S4496" t="s">
        <v>144</v>
      </c>
      <c r="T4496" s="2">
        <f>MASTER[[#This Row],[CANTIDAD]]*MASTER[[#This Row],[PRECIO DE VENTA]]</f>
        <v>1144</v>
      </c>
      <c r="U4496" s="2">
        <f>MASTER[[#This Row],[CANTIDAD]]*MASTER[[#This Row],[COSTO UNITARIO]]</f>
        <v>460</v>
      </c>
      <c r="V4496" s="2">
        <f>MASTER[[#This Row],[MONTO VENDIDO]]-MASTER[[#This Row],[COSTO DE VENTA]]</f>
        <v>684</v>
      </c>
    </row>
    <row r="4497" spans="1:22" x14ac:dyDescent="0.3">
      <c r="A4497">
        <v>66164</v>
      </c>
      <c r="B4497">
        <v>1</v>
      </c>
      <c r="C4497" t="s">
        <v>5</v>
      </c>
      <c r="D4497" t="s">
        <v>6</v>
      </c>
      <c r="E4497" s="1">
        <v>44333</v>
      </c>
      <c r="F4497">
        <v>1</v>
      </c>
      <c r="G4497" t="s">
        <v>73</v>
      </c>
      <c r="H4497" t="s">
        <v>74</v>
      </c>
      <c r="I4497" s="3">
        <v>1296</v>
      </c>
      <c r="J4497" s="3">
        <v>1296</v>
      </c>
      <c r="K4497" s="3">
        <v>393</v>
      </c>
      <c r="L4497" t="s">
        <v>9</v>
      </c>
      <c r="M4497">
        <v>18</v>
      </c>
      <c r="N4497" t="s">
        <v>79</v>
      </c>
      <c r="O4497" t="s">
        <v>70</v>
      </c>
      <c r="P4497" t="s">
        <v>15</v>
      </c>
      <c r="Q4497" t="s">
        <v>16</v>
      </c>
      <c r="R4497" t="s">
        <v>16</v>
      </c>
      <c r="S4497" t="s">
        <v>144</v>
      </c>
      <c r="T4497" s="2">
        <f>MASTER[[#This Row],[CANTIDAD]]*MASTER[[#This Row],[PRECIO DE VENTA]]</f>
        <v>1296</v>
      </c>
      <c r="U4497" s="2">
        <f>MASTER[[#This Row],[CANTIDAD]]*MASTER[[#This Row],[COSTO UNITARIO]]</f>
        <v>393</v>
      </c>
      <c r="V4497" s="2">
        <f>MASTER[[#This Row],[MONTO VENDIDO]]-MASTER[[#This Row],[COSTO DE VENTA]]</f>
        <v>903</v>
      </c>
    </row>
    <row r="4498" spans="1:22" x14ac:dyDescent="0.3">
      <c r="A4498">
        <v>66166</v>
      </c>
      <c r="B4498">
        <v>1</v>
      </c>
      <c r="C4498" t="s">
        <v>5</v>
      </c>
      <c r="D4498" t="s">
        <v>6</v>
      </c>
      <c r="E4498" s="1">
        <v>44333</v>
      </c>
      <c r="F4498">
        <v>1</v>
      </c>
      <c r="G4498" t="s">
        <v>45</v>
      </c>
      <c r="H4498" t="s">
        <v>46</v>
      </c>
      <c r="I4498" s="3">
        <v>1507</v>
      </c>
      <c r="J4498" s="3">
        <v>1507</v>
      </c>
      <c r="K4498" s="3">
        <v>393</v>
      </c>
      <c r="L4498" t="s">
        <v>9</v>
      </c>
      <c r="M4498">
        <v>8</v>
      </c>
      <c r="N4498" t="s">
        <v>80</v>
      </c>
      <c r="O4498" t="s">
        <v>81</v>
      </c>
      <c r="P4498" t="s">
        <v>12</v>
      </c>
      <c r="Q4498" t="s">
        <v>13</v>
      </c>
      <c r="R4498" t="s">
        <v>13</v>
      </c>
      <c r="S4498" t="s">
        <v>144</v>
      </c>
      <c r="T4498" s="2">
        <f>MASTER[[#This Row],[CANTIDAD]]*MASTER[[#This Row],[PRECIO DE VENTA]]</f>
        <v>1507</v>
      </c>
      <c r="U4498" s="2">
        <f>MASTER[[#This Row],[CANTIDAD]]*MASTER[[#This Row],[COSTO UNITARIO]]</f>
        <v>393</v>
      </c>
      <c r="V4498" s="2">
        <f>MASTER[[#This Row],[MONTO VENDIDO]]-MASTER[[#This Row],[COSTO DE VENTA]]</f>
        <v>1114</v>
      </c>
    </row>
    <row r="4499" spans="1:22" x14ac:dyDescent="0.3">
      <c r="A4499">
        <v>66174</v>
      </c>
      <c r="B4499">
        <v>1</v>
      </c>
      <c r="C4499" t="s">
        <v>109</v>
      </c>
      <c r="D4499" t="s">
        <v>110</v>
      </c>
      <c r="E4499" s="1">
        <v>44333</v>
      </c>
      <c r="F4499">
        <v>3</v>
      </c>
      <c r="G4499" t="s">
        <v>73</v>
      </c>
      <c r="H4499" t="s">
        <v>74</v>
      </c>
      <c r="I4499" s="3">
        <v>1064</v>
      </c>
      <c r="J4499" s="3">
        <v>1064</v>
      </c>
      <c r="K4499" s="3">
        <v>387</v>
      </c>
      <c r="L4499" t="s">
        <v>98</v>
      </c>
      <c r="M4499">
        <v>8</v>
      </c>
      <c r="N4499" t="s">
        <v>80</v>
      </c>
      <c r="O4499" t="s">
        <v>81</v>
      </c>
      <c r="P4499" t="s">
        <v>12</v>
      </c>
      <c r="Q4499" t="s">
        <v>13</v>
      </c>
      <c r="R4499" t="s">
        <v>13</v>
      </c>
      <c r="S4499" t="s">
        <v>144</v>
      </c>
      <c r="T4499" s="2">
        <f>MASTER[[#This Row],[CANTIDAD]]*MASTER[[#This Row],[PRECIO DE VENTA]]</f>
        <v>3192</v>
      </c>
      <c r="U4499" s="2">
        <f>MASTER[[#This Row],[CANTIDAD]]*MASTER[[#This Row],[COSTO UNITARIO]]</f>
        <v>1161</v>
      </c>
      <c r="V4499" s="2">
        <f>MASTER[[#This Row],[MONTO VENDIDO]]-MASTER[[#This Row],[COSTO DE VENTA]]</f>
        <v>2031</v>
      </c>
    </row>
    <row r="4500" spans="1:22" x14ac:dyDescent="0.3">
      <c r="A4500">
        <v>66185</v>
      </c>
      <c r="B4500">
        <v>1</v>
      </c>
      <c r="C4500" t="s">
        <v>105</v>
      </c>
      <c r="D4500" t="s">
        <v>106</v>
      </c>
      <c r="E4500" s="1">
        <v>44333</v>
      </c>
      <c r="F4500">
        <v>1</v>
      </c>
      <c r="G4500" t="s">
        <v>7</v>
      </c>
      <c r="H4500" t="s">
        <v>8</v>
      </c>
      <c r="I4500" s="3">
        <v>1585</v>
      </c>
      <c r="J4500" s="3">
        <v>1585</v>
      </c>
      <c r="K4500" s="3">
        <v>459</v>
      </c>
      <c r="L4500" t="s">
        <v>98</v>
      </c>
      <c r="M4500">
        <v>17</v>
      </c>
      <c r="N4500" t="s">
        <v>14</v>
      </c>
      <c r="O4500" t="s">
        <v>11</v>
      </c>
      <c r="P4500" t="s">
        <v>15</v>
      </c>
      <c r="Q4500" t="s">
        <v>16</v>
      </c>
      <c r="R4500" t="s">
        <v>16</v>
      </c>
      <c r="S4500" t="s">
        <v>144</v>
      </c>
      <c r="T4500" s="2">
        <f>MASTER[[#This Row],[CANTIDAD]]*MASTER[[#This Row],[PRECIO DE VENTA]]</f>
        <v>1585</v>
      </c>
      <c r="U4500" s="2">
        <f>MASTER[[#This Row],[CANTIDAD]]*MASTER[[#This Row],[COSTO UNITARIO]]</f>
        <v>459</v>
      </c>
      <c r="V4500" s="2">
        <f>MASTER[[#This Row],[MONTO VENDIDO]]-MASTER[[#This Row],[COSTO DE VENTA]]</f>
        <v>1126</v>
      </c>
    </row>
    <row r="4501" spans="1:22" x14ac:dyDescent="0.3">
      <c r="A4501">
        <v>66191</v>
      </c>
      <c r="B4501">
        <v>1</v>
      </c>
      <c r="C4501" t="s">
        <v>96</v>
      </c>
      <c r="D4501" t="s">
        <v>97</v>
      </c>
      <c r="E4501" s="1">
        <v>44334</v>
      </c>
      <c r="F4501">
        <v>1</v>
      </c>
      <c r="G4501" t="s">
        <v>39</v>
      </c>
      <c r="H4501" t="s">
        <v>40</v>
      </c>
      <c r="I4501" s="3">
        <v>1272</v>
      </c>
      <c r="J4501" s="3">
        <v>1170</v>
      </c>
      <c r="K4501" s="3">
        <v>397</v>
      </c>
      <c r="L4501" t="s">
        <v>98</v>
      </c>
      <c r="M4501">
        <v>8</v>
      </c>
      <c r="N4501" t="s">
        <v>80</v>
      </c>
      <c r="O4501" t="s">
        <v>81</v>
      </c>
      <c r="P4501" t="s">
        <v>12</v>
      </c>
      <c r="Q4501" t="s">
        <v>13</v>
      </c>
      <c r="R4501" t="s">
        <v>13</v>
      </c>
      <c r="S4501" t="s">
        <v>144</v>
      </c>
      <c r="T4501" s="2">
        <f>MASTER[[#This Row],[CANTIDAD]]*MASTER[[#This Row],[PRECIO DE VENTA]]</f>
        <v>1170</v>
      </c>
      <c r="U4501" s="2">
        <f>MASTER[[#This Row],[CANTIDAD]]*MASTER[[#This Row],[COSTO UNITARIO]]</f>
        <v>397</v>
      </c>
      <c r="V4501" s="2">
        <f>MASTER[[#This Row],[MONTO VENDIDO]]-MASTER[[#This Row],[COSTO DE VENTA]]</f>
        <v>773</v>
      </c>
    </row>
    <row r="4502" spans="1:22" x14ac:dyDescent="0.3">
      <c r="A4502">
        <v>66207</v>
      </c>
      <c r="B4502">
        <v>1</v>
      </c>
      <c r="C4502" t="s">
        <v>92</v>
      </c>
      <c r="D4502" t="s">
        <v>93</v>
      </c>
      <c r="E4502" s="1">
        <v>44334</v>
      </c>
      <c r="F4502">
        <v>1</v>
      </c>
      <c r="G4502" t="s">
        <v>73</v>
      </c>
      <c r="H4502" t="s">
        <v>74</v>
      </c>
      <c r="I4502" s="3">
        <v>1681</v>
      </c>
      <c r="J4502" s="3">
        <v>1681</v>
      </c>
      <c r="K4502" s="3">
        <v>396</v>
      </c>
      <c r="L4502" t="s">
        <v>9</v>
      </c>
      <c r="M4502">
        <v>2</v>
      </c>
      <c r="N4502" t="s">
        <v>86</v>
      </c>
      <c r="O4502" t="s">
        <v>81</v>
      </c>
      <c r="P4502" t="s">
        <v>71</v>
      </c>
      <c r="Q4502" t="s">
        <v>72</v>
      </c>
      <c r="R4502" t="s">
        <v>139</v>
      </c>
      <c r="S4502" t="s">
        <v>144</v>
      </c>
      <c r="T4502" s="2">
        <f>MASTER[[#This Row],[CANTIDAD]]*MASTER[[#This Row],[PRECIO DE VENTA]]</f>
        <v>1681</v>
      </c>
      <c r="U4502" s="2">
        <f>MASTER[[#This Row],[CANTIDAD]]*MASTER[[#This Row],[COSTO UNITARIO]]</f>
        <v>396</v>
      </c>
      <c r="V4502" s="2">
        <f>MASTER[[#This Row],[MONTO VENDIDO]]-MASTER[[#This Row],[COSTO DE VENTA]]</f>
        <v>1285</v>
      </c>
    </row>
    <row r="4503" spans="1:22" x14ac:dyDescent="0.3">
      <c r="A4503">
        <v>66209</v>
      </c>
      <c r="B4503">
        <v>1</v>
      </c>
      <c r="C4503" t="s">
        <v>109</v>
      </c>
      <c r="D4503" t="s">
        <v>110</v>
      </c>
      <c r="E4503" s="1">
        <v>44334</v>
      </c>
      <c r="F4503">
        <v>1</v>
      </c>
      <c r="G4503" t="s">
        <v>33</v>
      </c>
      <c r="H4503" t="s">
        <v>34</v>
      </c>
      <c r="I4503" s="3">
        <v>1064</v>
      </c>
      <c r="J4503" s="3">
        <v>1064</v>
      </c>
      <c r="K4503" s="3">
        <v>387</v>
      </c>
      <c r="L4503" t="s">
        <v>98</v>
      </c>
      <c r="M4503">
        <v>10</v>
      </c>
      <c r="N4503" t="s">
        <v>83</v>
      </c>
      <c r="O4503" t="s">
        <v>81</v>
      </c>
      <c r="P4503" t="s">
        <v>12</v>
      </c>
      <c r="Q4503" t="s">
        <v>13</v>
      </c>
      <c r="R4503" t="s">
        <v>13</v>
      </c>
      <c r="S4503" t="s">
        <v>144</v>
      </c>
      <c r="T4503" s="2">
        <f>MASTER[[#This Row],[CANTIDAD]]*MASTER[[#This Row],[PRECIO DE VENTA]]</f>
        <v>1064</v>
      </c>
      <c r="U4503" s="2">
        <f>MASTER[[#This Row],[CANTIDAD]]*MASTER[[#This Row],[COSTO UNITARIO]]</f>
        <v>387</v>
      </c>
      <c r="V4503" s="2">
        <f>MASTER[[#This Row],[MONTO VENDIDO]]-MASTER[[#This Row],[COSTO DE VENTA]]</f>
        <v>677</v>
      </c>
    </row>
    <row r="4504" spans="1:22" x14ac:dyDescent="0.3">
      <c r="A4504">
        <v>66219</v>
      </c>
      <c r="B4504">
        <v>1</v>
      </c>
      <c r="C4504" t="s">
        <v>111</v>
      </c>
      <c r="D4504" t="s">
        <v>112</v>
      </c>
      <c r="E4504" s="1">
        <v>44334</v>
      </c>
      <c r="F4504">
        <v>1</v>
      </c>
      <c r="G4504" t="s">
        <v>67</v>
      </c>
      <c r="H4504" t="s">
        <v>68</v>
      </c>
      <c r="I4504" s="3">
        <v>1799</v>
      </c>
      <c r="J4504" s="3">
        <v>1799</v>
      </c>
      <c r="K4504" s="3">
        <v>434</v>
      </c>
      <c r="L4504" t="s">
        <v>113</v>
      </c>
      <c r="M4504">
        <v>13</v>
      </c>
      <c r="N4504" t="s">
        <v>78</v>
      </c>
      <c r="O4504" t="s">
        <v>70</v>
      </c>
      <c r="P4504" t="s">
        <v>18</v>
      </c>
      <c r="Q4504" t="s">
        <v>19</v>
      </c>
      <c r="R4504" t="s">
        <v>138</v>
      </c>
      <c r="S4504" t="s">
        <v>144</v>
      </c>
      <c r="T4504" s="2">
        <f>MASTER[[#This Row],[CANTIDAD]]*MASTER[[#This Row],[PRECIO DE VENTA]]</f>
        <v>1799</v>
      </c>
      <c r="U4504" s="2">
        <f>MASTER[[#This Row],[CANTIDAD]]*MASTER[[#This Row],[COSTO UNITARIO]]</f>
        <v>434</v>
      </c>
      <c r="V4504" s="2">
        <f>MASTER[[#This Row],[MONTO VENDIDO]]-MASTER[[#This Row],[COSTO DE VENTA]]</f>
        <v>1365</v>
      </c>
    </row>
    <row r="4505" spans="1:22" x14ac:dyDescent="0.3">
      <c r="A4505">
        <v>66225</v>
      </c>
      <c r="B4505">
        <v>1</v>
      </c>
      <c r="C4505" t="s">
        <v>107</v>
      </c>
      <c r="D4505" t="s">
        <v>108</v>
      </c>
      <c r="E4505" s="1">
        <v>44334</v>
      </c>
      <c r="F4505">
        <v>1</v>
      </c>
      <c r="G4505" t="s">
        <v>22</v>
      </c>
      <c r="H4505" t="s">
        <v>23</v>
      </c>
      <c r="I4505" s="3">
        <v>1240</v>
      </c>
      <c r="J4505" s="3">
        <v>1240</v>
      </c>
      <c r="K4505" s="3">
        <v>380</v>
      </c>
      <c r="L4505" t="s">
        <v>98</v>
      </c>
      <c r="M4505">
        <v>12</v>
      </c>
      <c r="N4505" t="s">
        <v>26</v>
      </c>
      <c r="O4505" t="s">
        <v>11</v>
      </c>
      <c r="P4505" t="s">
        <v>12</v>
      </c>
      <c r="Q4505" t="s">
        <v>13</v>
      </c>
      <c r="R4505" t="s">
        <v>13</v>
      </c>
      <c r="S4505" t="s">
        <v>144</v>
      </c>
      <c r="T4505" s="2">
        <f>MASTER[[#This Row],[CANTIDAD]]*MASTER[[#This Row],[PRECIO DE VENTA]]</f>
        <v>1240</v>
      </c>
      <c r="U4505" s="2">
        <f>MASTER[[#This Row],[CANTIDAD]]*MASTER[[#This Row],[COSTO UNITARIO]]</f>
        <v>380</v>
      </c>
      <c r="V4505" s="2">
        <f>MASTER[[#This Row],[MONTO VENDIDO]]-MASTER[[#This Row],[COSTO DE VENTA]]</f>
        <v>860</v>
      </c>
    </row>
    <row r="4506" spans="1:22" x14ac:dyDescent="0.3">
      <c r="A4506">
        <v>66244</v>
      </c>
      <c r="B4506">
        <v>1</v>
      </c>
      <c r="C4506" t="s">
        <v>118</v>
      </c>
      <c r="D4506" t="s">
        <v>119</v>
      </c>
      <c r="E4506" s="1">
        <v>44334</v>
      </c>
      <c r="F4506">
        <v>2</v>
      </c>
      <c r="G4506" t="s">
        <v>27</v>
      </c>
      <c r="H4506" t="s">
        <v>28</v>
      </c>
      <c r="I4506" s="3">
        <v>900</v>
      </c>
      <c r="J4506" s="3">
        <v>900</v>
      </c>
      <c r="K4506" s="3">
        <v>424</v>
      </c>
      <c r="L4506" t="s">
        <v>120</v>
      </c>
      <c r="M4506">
        <v>4</v>
      </c>
      <c r="N4506" t="s">
        <v>82</v>
      </c>
      <c r="O4506" t="s">
        <v>81</v>
      </c>
      <c r="P4506" t="s">
        <v>71</v>
      </c>
      <c r="Q4506" t="s">
        <v>72</v>
      </c>
      <c r="R4506" t="s">
        <v>139</v>
      </c>
      <c r="S4506" t="s">
        <v>144</v>
      </c>
      <c r="T4506" s="2">
        <f>MASTER[[#This Row],[CANTIDAD]]*MASTER[[#This Row],[PRECIO DE VENTA]]</f>
        <v>1800</v>
      </c>
      <c r="U4506" s="2">
        <f>MASTER[[#This Row],[CANTIDAD]]*MASTER[[#This Row],[COSTO UNITARIO]]</f>
        <v>848</v>
      </c>
      <c r="V4506" s="2">
        <f>MASTER[[#This Row],[MONTO VENDIDO]]-MASTER[[#This Row],[COSTO DE VENTA]]</f>
        <v>952</v>
      </c>
    </row>
    <row r="4507" spans="1:22" x14ac:dyDescent="0.3">
      <c r="A4507">
        <v>66247</v>
      </c>
      <c r="B4507">
        <v>1</v>
      </c>
      <c r="C4507" t="s">
        <v>94</v>
      </c>
      <c r="D4507" t="s">
        <v>95</v>
      </c>
      <c r="E4507" s="1">
        <v>44334</v>
      </c>
      <c r="F4507">
        <v>3</v>
      </c>
      <c r="G4507" t="s">
        <v>43</v>
      </c>
      <c r="H4507" t="s">
        <v>44</v>
      </c>
      <c r="I4507" s="3">
        <v>1153</v>
      </c>
      <c r="J4507" s="3">
        <v>1037</v>
      </c>
      <c r="K4507" s="3">
        <v>392</v>
      </c>
      <c r="L4507" t="s">
        <v>9</v>
      </c>
      <c r="M4507">
        <v>18</v>
      </c>
      <c r="N4507" t="s">
        <v>79</v>
      </c>
      <c r="O4507" t="s">
        <v>70</v>
      </c>
      <c r="P4507" t="s">
        <v>15</v>
      </c>
      <c r="Q4507" t="s">
        <v>16</v>
      </c>
      <c r="R4507" t="s">
        <v>16</v>
      </c>
      <c r="S4507" t="s">
        <v>144</v>
      </c>
      <c r="T4507" s="2">
        <f>MASTER[[#This Row],[CANTIDAD]]*MASTER[[#This Row],[PRECIO DE VENTA]]</f>
        <v>3111</v>
      </c>
      <c r="U4507" s="2">
        <f>MASTER[[#This Row],[CANTIDAD]]*MASTER[[#This Row],[COSTO UNITARIO]]</f>
        <v>1176</v>
      </c>
      <c r="V4507" s="2">
        <f>MASTER[[#This Row],[MONTO VENDIDO]]-MASTER[[#This Row],[COSTO DE VENTA]]</f>
        <v>1935</v>
      </c>
    </row>
    <row r="4508" spans="1:22" x14ac:dyDescent="0.3">
      <c r="A4508">
        <v>66312</v>
      </c>
      <c r="B4508">
        <v>1</v>
      </c>
      <c r="C4508" t="s">
        <v>101</v>
      </c>
      <c r="D4508" t="s">
        <v>102</v>
      </c>
      <c r="E4508" s="1">
        <v>44334</v>
      </c>
      <c r="F4508">
        <v>1</v>
      </c>
      <c r="G4508" t="s">
        <v>43</v>
      </c>
      <c r="H4508" t="s">
        <v>44</v>
      </c>
      <c r="I4508" s="3">
        <v>1357</v>
      </c>
      <c r="J4508" s="3">
        <v>1357</v>
      </c>
      <c r="K4508" s="3">
        <v>442</v>
      </c>
      <c r="L4508" t="s">
        <v>98</v>
      </c>
      <c r="M4508">
        <v>3</v>
      </c>
      <c r="N4508" t="s">
        <v>69</v>
      </c>
      <c r="O4508" t="s">
        <v>70</v>
      </c>
      <c r="P4508" t="s">
        <v>71</v>
      </c>
      <c r="Q4508" t="s">
        <v>72</v>
      </c>
      <c r="R4508" t="s">
        <v>139</v>
      </c>
      <c r="S4508" t="s">
        <v>144</v>
      </c>
      <c r="T4508" s="2">
        <f>MASTER[[#This Row],[CANTIDAD]]*MASTER[[#This Row],[PRECIO DE VENTA]]</f>
        <v>1357</v>
      </c>
      <c r="U4508" s="2">
        <f>MASTER[[#This Row],[CANTIDAD]]*MASTER[[#This Row],[COSTO UNITARIO]]</f>
        <v>442</v>
      </c>
      <c r="V4508" s="2">
        <f>MASTER[[#This Row],[MONTO VENDIDO]]-MASTER[[#This Row],[COSTO DE VENTA]]</f>
        <v>915</v>
      </c>
    </row>
    <row r="4509" spans="1:22" x14ac:dyDescent="0.3">
      <c r="A4509">
        <v>66322</v>
      </c>
      <c r="B4509">
        <v>1</v>
      </c>
      <c r="C4509" t="s">
        <v>103</v>
      </c>
      <c r="D4509" t="s">
        <v>104</v>
      </c>
      <c r="E4509" s="1">
        <v>44334</v>
      </c>
      <c r="F4509">
        <v>1</v>
      </c>
      <c r="G4509" t="s">
        <v>22</v>
      </c>
      <c r="H4509" t="s">
        <v>23</v>
      </c>
      <c r="I4509" s="3">
        <v>1830</v>
      </c>
      <c r="J4509" s="3">
        <v>1830</v>
      </c>
      <c r="K4509" s="3">
        <v>421</v>
      </c>
      <c r="L4509" t="s">
        <v>98</v>
      </c>
      <c r="M4509">
        <v>18</v>
      </c>
      <c r="N4509" t="s">
        <v>79</v>
      </c>
      <c r="O4509" t="s">
        <v>70</v>
      </c>
      <c r="P4509" t="s">
        <v>15</v>
      </c>
      <c r="Q4509" t="s">
        <v>16</v>
      </c>
      <c r="R4509" t="s">
        <v>16</v>
      </c>
      <c r="S4509" t="s">
        <v>144</v>
      </c>
      <c r="T4509" s="2">
        <f>MASTER[[#This Row],[CANTIDAD]]*MASTER[[#This Row],[PRECIO DE VENTA]]</f>
        <v>1830</v>
      </c>
      <c r="U4509" s="2">
        <f>MASTER[[#This Row],[CANTIDAD]]*MASTER[[#This Row],[COSTO UNITARIO]]</f>
        <v>421</v>
      </c>
      <c r="V4509" s="2">
        <f>MASTER[[#This Row],[MONTO VENDIDO]]-MASTER[[#This Row],[COSTO DE VENTA]]</f>
        <v>1409</v>
      </c>
    </row>
    <row r="4510" spans="1:22" x14ac:dyDescent="0.3">
      <c r="A4510">
        <v>66322</v>
      </c>
      <c r="B4510">
        <v>2</v>
      </c>
      <c r="C4510" t="s">
        <v>107</v>
      </c>
      <c r="D4510" t="s">
        <v>108</v>
      </c>
      <c r="E4510" s="1">
        <v>44334</v>
      </c>
      <c r="F4510">
        <v>4</v>
      </c>
      <c r="G4510" t="s">
        <v>51</v>
      </c>
      <c r="H4510" t="s">
        <v>52</v>
      </c>
      <c r="I4510" s="3">
        <v>1440</v>
      </c>
      <c r="J4510" s="3">
        <v>1440</v>
      </c>
      <c r="K4510" s="3">
        <v>380</v>
      </c>
      <c r="L4510" t="s">
        <v>98</v>
      </c>
      <c r="M4510">
        <v>18</v>
      </c>
      <c r="N4510" t="s">
        <v>79</v>
      </c>
      <c r="O4510" t="s">
        <v>70</v>
      </c>
      <c r="P4510" t="s">
        <v>15</v>
      </c>
      <c r="Q4510" t="s">
        <v>16</v>
      </c>
      <c r="R4510" t="s">
        <v>16</v>
      </c>
      <c r="S4510" t="s">
        <v>144</v>
      </c>
      <c r="T4510" s="2">
        <f>MASTER[[#This Row],[CANTIDAD]]*MASTER[[#This Row],[PRECIO DE VENTA]]</f>
        <v>5760</v>
      </c>
      <c r="U4510" s="2">
        <f>MASTER[[#This Row],[CANTIDAD]]*MASTER[[#This Row],[COSTO UNITARIO]]</f>
        <v>1520</v>
      </c>
      <c r="V4510" s="2">
        <f>MASTER[[#This Row],[MONTO VENDIDO]]-MASTER[[#This Row],[COSTO DE VENTA]]</f>
        <v>4240</v>
      </c>
    </row>
    <row r="4511" spans="1:22" x14ac:dyDescent="0.3">
      <c r="A4511">
        <v>66358</v>
      </c>
      <c r="B4511">
        <v>1</v>
      </c>
      <c r="C4511" t="s">
        <v>5</v>
      </c>
      <c r="D4511" t="s">
        <v>6</v>
      </c>
      <c r="E4511" s="1">
        <v>44334</v>
      </c>
      <c r="F4511">
        <v>1</v>
      </c>
      <c r="G4511" t="s">
        <v>67</v>
      </c>
      <c r="H4511" t="s">
        <v>68</v>
      </c>
      <c r="I4511" s="3">
        <v>1507</v>
      </c>
      <c r="J4511" s="3">
        <v>1507</v>
      </c>
      <c r="K4511" s="3">
        <v>393</v>
      </c>
      <c r="L4511" t="s">
        <v>9</v>
      </c>
      <c r="M4511">
        <v>15</v>
      </c>
      <c r="N4511" t="s">
        <v>88</v>
      </c>
      <c r="O4511" t="s">
        <v>81</v>
      </c>
      <c r="P4511" t="s">
        <v>18</v>
      </c>
      <c r="Q4511" t="s">
        <v>19</v>
      </c>
      <c r="R4511" t="s">
        <v>138</v>
      </c>
      <c r="S4511" t="s">
        <v>144</v>
      </c>
      <c r="T4511" s="2">
        <f>MASTER[[#This Row],[CANTIDAD]]*MASTER[[#This Row],[PRECIO DE VENTA]]</f>
        <v>1507</v>
      </c>
      <c r="U4511" s="2">
        <f>MASTER[[#This Row],[CANTIDAD]]*MASTER[[#This Row],[COSTO UNITARIO]]</f>
        <v>393</v>
      </c>
      <c r="V4511" s="2">
        <f>MASTER[[#This Row],[MONTO VENDIDO]]-MASTER[[#This Row],[COSTO DE VENTA]]</f>
        <v>1114</v>
      </c>
    </row>
    <row r="4512" spans="1:22" x14ac:dyDescent="0.3">
      <c r="A4512">
        <v>66359</v>
      </c>
      <c r="B4512">
        <v>1</v>
      </c>
      <c r="C4512" t="s">
        <v>5</v>
      </c>
      <c r="D4512" t="s">
        <v>6</v>
      </c>
      <c r="E4512" s="1">
        <v>44334</v>
      </c>
      <c r="F4512">
        <v>1</v>
      </c>
      <c r="G4512" t="s">
        <v>22</v>
      </c>
      <c r="H4512" t="s">
        <v>23</v>
      </c>
      <c r="I4512" s="3">
        <v>1507</v>
      </c>
      <c r="J4512" s="3">
        <v>1507</v>
      </c>
      <c r="K4512" s="3">
        <v>393</v>
      </c>
      <c r="L4512" t="s">
        <v>9</v>
      </c>
      <c r="M4512">
        <v>7</v>
      </c>
      <c r="N4512" t="s">
        <v>84</v>
      </c>
      <c r="O4512" t="s">
        <v>81</v>
      </c>
      <c r="P4512" t="s">
        <v>12</v>
      </c>
      <c r="Q4512" t="s">
        <v>13</v>
      </c>
      <c r="R4512" t="s">
        <v>13</v>
      </c>
      <c r="S4512" t="s">
        <v>144</v>
      </c>
      <c r="T4512" s="2">
        <f>MASTER[[#This Row],[CANTIDAD]]*MASTER[[#This Row],[PRECIO DE VENTA]]</f>
        <v>1507</v>
      </c>
      <c r="U4512" s="2">
        <f>MASTER[[#This Row],[CANTIDAD]]*MASTER[[#This Row],[COSTO UNITARIO]]</f>
        <v>393</v>
      </c>
      <c r="V4512" s="2">
        <f>MASTER[[#This Row],[MONTO VENDIDO]]-MASTER[[#This Row],[COSTO DE VENTA]]</f>
        <v>1114</v>
      </c>
    </row>
    <row r="4513" spans="1:22" x14ac:dyDescent="0.3">
      <c r="A4513">
        <v>66390</v>
      </c>
      <c r="B4513">
        <v>1</v>
      </c>
      <c r="C4513" t="s">
        <v>101</v>
      </c>
      <c r="D4513" t="s">
        <v>102</v>
      </c>
      <c r="E4513" s="1">
        <v>44334</v>
      </c>
      <c r="F4513">
        <v>1</v>
      </c>
      <c r="G4513" t="s">
        <v>43</v>
      </c>
      <c r="H4513" t="s">
        <v>44</v>
      </c>
      <c r="I4513" s="3">
        <v>1054</v>
      </c>
      <c r="J4513" s="3">
        <v>1054</v>
      </c>
      <c r="K4513" s="3">
        <v>442</v>
      </c>
      <c r="L4513" t="s">
        <v>98</v>
      </c>
      <c r="M4513">
        <v>11</v>
      </c>
      <c r="N4513" t="s">
        <v>10</v>
      </c>
      <c r="O4513" t="s">
        <v>11</v>
      </c>
      <c r="P4513" t="s">
        <v>12</v>
      </c>
      <c r="Q4513" t="s">
        <v>13</v>
      </c>
      <c r="R4513" t="s">
        <v>13</v>
      </c>
      <c r="S4513" t="s">
        <v>144</v>
      </c>
      <c r="T4513" s="2">
        <f>MASTER[[#This Row],[CANTIDAD]]*MASTER[[#This Row],[PRECIO DE VENTA]]</f>
        <v>1054</v>
      </c>
      <c r="U4513" s="2">
        <f>MASTER[[#This Row],[CANTIDAD]]*MASTER[[#This Row],[COSTO UNITARIO]]</f>
        <v>442</v>
      </c>
      <c r="V4513" s="2">
        <f>MASTER[[#This Row],[MONTO VENDIDO]]-MASTER[[#This Row],[COSTO DE VENTA]]</f>
        <v>612</v>
      </c>
    </row>
    <row r="4514" spans="1:22" x14ac:dyDescent="0.3">
      <c r="A4514">
        <v>66396</v>
      </c>
      <c r="B4514">
        <v>1</v>
      </c>
      <c r="C4514" t="s">
        <v>5</v>
      </c>
      <c r="D4514" t="s">
        <v>6</v>
      </c>
      <c r="E4514" s="1">
        <v>44335</v>
      </c>
      <c r="F4514">
        <v>1</v>
      </c>
      <c r="G4514" t="s">
        <v>47</v>
      </c>
      <c r="H4514" t="s">
        <v>48</v>
      </c>
      <c r="I4514" s="3">
        <v>1296</v>
      </c>
      <c r="J4514" s="3">
        <v>1296</v>
      </c>
      <c r="K4514" s="3">
        <v>393</v>
      </c>
      <c r="L4514" t="s">
        <v>9</v>
      </c>
      <c r="M4514">
        <v>6</v>
      </c>
      <c r="N4514" t="s">
        <v>75</v>
      </c>
      <c r="O4514" t="s">
        <v>70</v>
      </c>
      <c r="P4514" t="s">
        <v>12</v>
      </c>
      <c r="Q4514" t="s">
        <v>13</v>
      </c>
      <c r="R4514" t="s">
        <v>13</v>
      </c>
      <c r="S4514" t="s">
        <v>144</v>
      </c>
      <c r="T4514" s="2">
        <f>MASTER[[#This Row],[CANTIDAD]]*MASTER[[#This Row],[PRECIO DE VENTA]]</f>
        <v>1296</v>
      </c>
      <c r="U4514" s="2">
        <f>MASTER[[#This Row],[CANTIDAD]]*MASTER[[#This Row],[COSTO UNITARIO]]</f>
        <v>393</v>
      </c>
      <c r="V4514" s="2">
        <f>MASTER[[#This Row],[MONTO VENDIDO]]-MASTER[[#This Row],[COSTO DE VENTA]]</f>
        <v>903</v>
      </c>
    </row>
    <row r="4515" spans="1:22" x14ac:dyDescent="0.3">
      <c r="A4515">
        <v>66411</v>
      </c>
      <c r="B4515">
        <v>1</v>
      </c>
      <c r="C4515" t="s">
        <v>121</v>
      </c>
      <c r="D4515" t="s">
        <v>122</v>
      </c>
      <c r="E4515" s="1">
        <v>44335</v>
      </c>
      <c r="F4515">
        <v>1</v>
      </c>
      <c r="G4515" t="s">
        <v>61</v>
      </c>
      <c r="H4515" t="s">
        <v>62</v>
      </c>
      <c r="I4515" s="3">
        <v>1069</v>
      </c>
      <c r="J4515" s="3">
        <v>1069</v>
      </c>
      <c r="K4515" s="3">
        <v>460</v>
      </c>
      <c r="L4515" t="s">
        <v>120</v>
      </c>
      <c r="M4515">
        <v>7</v>
      </c>
      <c r="N4515" t="s">
        <v>84</v>
      </c>
      <c r="O4515" t="s">
        <v>81</v>
      </c>
      <c r="P4515" t="s">
        <v>12</v>
      </c>
      <c r="Q4515" t="s">
        <v>13</v>
      </c>
      <c r="R4515" t="s">
        <v>13</v>
      </c>
      <c r="S4515" t="s">
        <v>144</v>
      </c>
      <c r="T4515" s="2">
        <f>MASTER[[#This Row],[CANTIDAD]]*MASTER[[#This Row],[PRECIO DE VENTA]]</f>
        <v>1069</v>
      </c>
      <c r="U4515" s="2">
        <f>MASTER[[#This Row],[CANTIDAD]]*MASTER[[#This Row],[COSTO UNITARIO]]</f>
        <v>460</v>
      </c>
      <c r="V4515" s="2">
        <f>MASTER[[#This Row],[MONTO VENDIDO]]-MASTER[[#This Row],[COSTO DE VENTA]]</f>
        <v>609</v>
      </c>
    </row>
    <row r="4516" spans="1:22" x14ac:dyDescent="0.3">
      <c r="A4516">
        <v>66419</v>
      </c>
      <c r="B4516">
        <v>1</v>
      </c>
      <c r="C4516" t="s">
        <v>107</v>
      </c>
      <c r="D4516" t="s">
        <v>108</v>
      </c>
      <c r="E4516" s="1">
        <v>44335</v>
      </c>
      <c r="F4516">
        <v>1</v>
      </c>
      <c r="G4516" t="s">
        <v>43</v>
      </c>
      <c r="H4516" t="s">
        <v>44</v>
      </c>
      <c r="I4516" s="3">
        <v>1333</v>
      </c>
      <c r="J4516" s="3">
        <v>1333</v>
      </c>
      <c r="K4516" s="3">
        <v>380</v>
      </c>
      <c r="L4516" t="s">
        <v>98</v>
      </c>
      <c r="M4516">
        <v>5</v>
      </c>
      <c r="N4516" t="s">
        <v>85</v>
      </c>
      <c r="O4516" t="s">
        <v>81</v>
      </c>
      <c r="P4516" t="s">
        <v>12</v>
      </c>
      <c r="Q4516" t="s">
        <v>13</v>
      </c>
      <c r="R4516" t="s">
        <v>13</v>
      </c>
      <c r="S4516" t="s">
        <v>144</v>
      </c>
      <c r="T4516" s="2">
        <f>MASTER[[#This Row],[CANTIDAD]]*MASTER[[#This Row],[PRECIO DE VENTA]]</f>
        <v>1333</v>
      </c>
      <c r="U4516" s="2">
        <f>MASTER[[#This Row],[CANTIDAD]]*MASTER[[#This Row],[COSTO UNITARIO]]</f>
        <v>380</v>
      </c>
      <c r="V4516" s="2">
        <f>MASTER[[#This Row],[MONTO VENDIDO]]-MASTER[[#This Row],[COSTO DE VENTA]]</f>
        <v>953</v>
      </c>
    </row>
    <row r="4517" spans="1:22" x14ac:dyDescent="0.3">
      <c r="A4517">
        <v>66426</v>
      </c>
      <c r="B4517">
        <v>1</v>
      </c>
      <c r="C4517" t="s">
        <v>99</v>
      </c>
      <c r="D4517" t="s">
        <v>100</v>
      </c>
      <c r="E4517" s="1">
        <v>44335</v>
      </c>
      <c r="F4517">
        <v>4</v>
      </c>
      <c r="G4517" t="s">
        <v>43</v>
      </c>
      <c r="H4517" t="s">
        <v>44</v>
      </c>
      <c r="I4517" s="3">
        <v>1328</v>
      </c>
      <c r="J4517" s="3">
        <v>1328</v>
      </c>
      <c r="K4517" s="3">
        <v>386</v>
      </c>
      <c r="L4517" t="s">
        <v>98</v>
      </c>
      <c r="M4517">
        <v>16</v>
      </c>
      <c r="N4517" t="s">
        <v>17</v>
      </c>
      <c r="O4517" t="s">
        <v>11</v>
      </c>
      <c r="P4517" t="s">
        <v>18</v>
      </c>
      <c r="Q4517" t="s">
        <v>19</v>
      </c>
      <c r="R4517" t="s">
        <v>138</v>
      </c>
      <c r="S4517" t="s">
        <v>144</v>
      </c>
      <c r="T4517" s="2">
        <f>MASTER[[#This Row],[CANTIDAD]]*MASTER[[#This Row],[PRECIO DE VENTA]]</f>
        <v>5312</v>
      </c>
      <c r="U4517" s="2">
        <f>MASTER[[#This Row],[CANTIDAD]]*MASTER[[#This Row],[COSTO UNITARIO]]</f>
        <v>1544</v>
      </c>
      <c r="V4517" s="2">
        <f>MASTER[[#This Row],[MONTO VENDIDO]]-MASTER[[#This Row],[COSTO DE VENTA]]</f>
        <v>3768</v>
      </c>
    </row>
    <row r="4518" spans="1:22" x14ac:dyDescent="0.3">
      <c r="A4518">
        <v>66427</v>
      </c>
      <c r="B4518">
        <v>1</v>
      </c>
      <c r="C4518" t="s">
        <v>103</v>
      </c>
      <c r="D4518" t="s">
        <v>104</v>
      </c>
      <c r="E4518" s="1">
        <v>44335</v>
      </c>
      <c r="F4518">
        <v>1</v>
      </c>
      <c r="G4518" t="s">
        <v>33</v>
      </c>
      <c r="H4518" t="s">
        <v>34</v>
      </c>
      <c r="I4518" s="3">
        <v>1448</v>
      </c>
      <c r="J4518" s="3">
        <v>1448</v>
      </c>
      <c r="K4518" s="3">
        <v>421</v>
      </c>
      <c r="L4518" t="s">
        <v>98</v>
      </c>
      <c r="M4518">
        <v>17</v>
      </c>
      <c r="N4518" t="s">
        <v>14</v>
      </c>
      <c r="O4518" t="s">
        <v>11</v>
      </c>
      <c r="P4518" t="s">
        <v>15</v>
      </c>
      <c r="Q4518" t="s">
        <v>16</v>
      </c>
      <c r="R4518" t="s">
        <v>16</v>
      </c>
      <c r="S4518" t="s">
        <v>144</v>
      </c>
      <c r="T4518" s="2">
        <f>MASTER[[#This Row],[CANTIDAD]]*MASTER[[#This Row],[PRECIO DE VENTA]]</f>
        <v>1448</v>
      </c>
      <c r="U4518" s="2">
        <f>MASTER[[#This Row],[CANTIDAD]]*MASTER[[#This Row],[COSTO UNITARIO]]</f>
        <v>421</v>
      </c>
      <c r="V4518" s="2">
        <f>MASTER[[#This Row],[MONTO VENDIDO]]-MASTER[[#This Row],[COSTO DE VENTA]]</f>
        <v>1027</v>
      </c>
    </row>
    <row r="4519" spans="1:22" x14ac:dyDescent="0.3">
      <c r="A4519">
        <v>66433</v>
      </c>
      <c r="B4519">
        <v>1</v>
      </c>
      <c r="C4519" t="s">
        <v>96</v>
      </c>
      <c r="D4519" t="s">
        <v>97</v>
      </c>
      <c r="E4519" s="1">
        <v>44335</v>
      </c>
      <c r="F4519">
        <v>1</v>
      </c>
      <c r="G4519" t="s">
        <v>20</v>
      </c>
      <c r="H4519" t="s">
        <v>21</v>
      </c>
      <c r="I4519" s="3">
        <v>1196</v>
      </c>
      <c r="J4519" s="3">
        <v>1196</v>
      </c>
      <c r="K4519" s="3">
        <v>397</v>
      </c>
      <c r="L4519" t="s">
        <v>98</v>
      </c>
      <c r="M4519">
        <v>16</v>
      </c>
      <c r="N4519" t="s">
        <v>17</v>
      </c>
      <c r="O4519" t="s">
        <v>11</v>
      </c>
      <c r="P4519" t="s">
        <v>18</v>
      </c>
      <c r="Q4519" t="s">
        <v>19</v>
      </c>
      <c r="R4519" t="s">
        <v>138</v>
      </c>
      <c r="S4519" t="s">
        <v>144</v>
      </c>
      <c r="T4519" s="2">
        <f>MASTER[[#This Row],[CANTIDAD]]*MASTER[[#This Row],[PRECIO DE VENTA]]</f>
        <v>1196</v>
      </c>
      <c r="U4519" s="2">
        <f>MASTER[[#This Row],[CANTIDAD]]*MASTER[[#This Row],[COSTO UNITARIO]]</f>
        <v>397</v>
      </c>
      <c r="V4519" s="2">
        <f>MASTER[[#This Row],[MONTO VENDIDO]]-MASTER[[#This Row],[COSTO DE VENTA]]</f>
        <v>799</v>
      </c>
    </row>
    <row r="4520" spans="1:22" x14ac:dyDescent="0.3">
      <c r="A4520">
        <v>66438</v>
      </c>
      <c r="B4520">
        <v>1</v>
      </c>
      <c r="C4520" t="s">
        <v>99</v>
      </c>
      <c r="D4520" t="s">
        <v>100</v>
      </c>
      <c r="E4520" s="1">
        <v>44335</v>
      </c>
      <c r="F4520">
        <v>1</v>
      </c>
      <c r="G4520" t="s">
        <v>43</v>
      </c>
      <c r="H4520" t="s">
        <v>44</v>
      </c>
      <c r="I4520" s="3">
        <v>1459</v>
      </c>
      <c r="J4520" s="3">
        <v>1342</v>
      </c>
      <c r="K4520" s="3">
        <v>386</v>
      </c>
      <c r="L4520" t="s">
        <v>98</v>
      </c>
      <c r="M4520">
        <v>4</v>
      </c>
      <c r="N4520" t="s">
        <v>82</v>
      </c>
      <c r="O4520" t="s">
        <v>81</v>
      </c>
      <c r="P4520" t="s">
        <v>71</v>
      </c>
      <c r="Q4520" t="s">
        <v>72</v>
      </c>
      <c r="R4520" t="s">
        <v>139</v>
      </c>
      <c r="S4520" t="s">
        <v>144</v>
      </c>
      <c r="T4520" s="2">
        <f>MASTER[[#This Row],[CANTIDAD]]*MASTER[[#This Row],[PRECIO DE VENTA]]</f>
        <v>1342</v>
      </c>
      <c r="U4520" s="2">
        <f>MASTER[[#This Row],[CANTIDAD]]*MASTER[[#This Row],[COSTO UNITARIO]]</f>
        <v>386</v>
      </c>
      <c r="V4520" s="2">
        <f>MASTER[[#This Row],[MONTO VENDIDO]]-MASTER[[#This Row],[COSTO DE VENTA]]</f>
        <v>956</v>
      </c>
    </row>
    <row r="4521" spans="1:22" x14ac:dyDescent="0.3">
      <c r="A4521">
        <v>66453</v>
      </c>
      <c r="B4521">
        <v>1</v>
      </c>
      <c r="C4521" t="s">
        <v>107</v>
      </c>
      <c r="D4521" t="s">
        <v>108</v>
      </c>
      <c r="E4521" s="1">
        <v>44335</v>
      </c>
      <c r="F4521">
        <v>1</v>
      </c>
      <c r="G4521" t="s">
        <v>53</v>
      </c>
      <c r="H4521" t="s">
        <v>54</v>
      </c>
      <c r="I4521" s="3">
        <v>1440</v>
      </c>
      <c r="J4521" s="3">
        <v>1440</v>
      </c>
      <c r="K4521" s="3">
        <v>380</v>
      </c>
      <c r="L4521" t="s">
        <v>98</v>
      </c>
      <c r="M4521">
        <v>18</v>
      </c>
      <c r="N4521" t="s">
        <v>79</v>
      </c>
      <c r="O4521" t="s">
        <v>70</v>
      </c>
      <c r="P4521" t="s">
        <v>15</v>
      </c>
      <c r="Q4521" t="s">
        <v>16</v>
      </c>
      <c r="R4521" t="s">
        <v>16</v>
      </c>
      <c r="S4521" t="s">
        <v>144</v>
      </c>
      <c r="T4521" s="2">
        <f>MASTER[[#This Row],[CANTIDAD]]*MASTER[[#This Row],[PRECIO DE VENTA]]</f>
        <v>1440</v>
      </c>
      <c r="U4521" s="2">
        <f>MASTER[[#This Row],[CANTIDAD]]*MASTER[[#This Row],[COSTO UNITARIO]]</f>
        <v>380</v>
      </c>
      <c r="V4521" s="2">
        <f>MASTER[[#This Row],[MONTO VENDIDO]]-MASTER[[#This Row],[COSTO DE VENTA]]</f>
        <v>1060</v>
      </c>
    </row>
    <row r="4522" spans="1:22" x14ac:dyDescent="0.3">
      <c r="A4522">
        <v>66453</v>
      </c>
      <c r="B4522">
        <v>2</v>
      </c>
      <c r="C4522" t="s">
        <v>118</v>
      </c>
      <c r="D4522" t="s">
        <v>119</v>
      </c>
      <c r="E4522" s="1">
        <v>44335</v>
      </c>
      <c r="F4522">
        <v>1</v>
      </c>
      <c r="G4522" t="s">
        <v>35</v>
      </c>
      <c r="H4522" t="s">
        <v>36</v>
      </c>
      <c r="I4522" s="3">
        <v>1026</v>
      </c>
      <c r="J4522" s="3">
        <v>1026</v>
      </c>
      <c r="K4522" s="3">
        <v>424</v>
      </c>
      <c r="L4522" t="s">
        <v>120</v>
      </c>
      <c r="M4522">
        <v>18</v>
      </c>
      <c r="N4522" t="s">
        <v>79</v>
      </c>
      <c r="O4522" t="s">
        <v>70</v>
      </c>
      <c r="P4522" t="s">
        <v>15</v>
      </c>
      <c r="Q4522" t="s">
        <v>16</v>
      </c>
      <c r="R4522" t="s">
        <v>16</v>
      </c>
      <c r="S4522" t="s">
        <v>144</v>
      </c>
      <c r="T4522" s="2">
        <f>MASTER[[#This Row],[CANTIDAD]]*MASTER[[#This Row],[PRECIO DE VENTA]]</f>
        <v>1026</v>
      </c>
      <c r="U4522" s="2">
        <f>MASTER[[#This Row],[CANTIDAD]]*MASTER[[#This Row],[COSTO UNITARIO]]</f>
        <v>424</v>
      </c>
      <c r="V4522" s="2">
        <f>MASTER[[#This Row],[MONTO VENDIDO]]-MASTER[[#This Row],[COSTO DE VENTA]]</f>
        <v>602</v>
      </c>
    </row>
    <row r="4523" spans="1:22" x14ac:dyDescent="0.3">
      <c r="A4523">
        <v>66473</v>
      </c>
      <c r="B4523">
        <v>1</v>
      </c>
      <c r="C4523" t="s">
        <v>99</v>
      </c>
      <c r="D4523" t="s">
        <v>100</v>
      </c>
      <c r="E4523" s="1">
        <v>44336</v>
      </c>
      <c r="F4523">
        <v>1</v>
      </c>
      <c r="G4523" t="s">
        <v>43</v>
      </c>
      <c r="H4523" t="s">
        <v>44</v>
      </c>
      <c r="I4523" s="3">
        <v>1328</v>
      </c>
      <c r="J4523" s="3">
        <v>1328</v>
      </c>
      <c r="K4523" s="3">
        <v>386</v>
      </c>
      <c r="L4523" t="s">
        <v>98</v>
      </c>
      <c r="M4523">
        <v>17</v>
      </c>
      <c r="N4523" t="s">
        <v>14</v>
      </c>
      <c r="O4523" t="s">
        <v>11</v>
      </c>
      <c r="P4523" t="s">
        <v>15</v>
      </c>
      <c r="Q4523" t="s">
        <v>16</v>
      </c>
      <c r="R4523" t="s">
        <v>16</v>
      </c>
      <c r="S4523" t="s">
        <v>144</v>
      </c>
      <c r="T4523" s="2">
        <f>MASTER[[#This Row],[CANTIDAD]]*MASTER[[#This Row],[PRECIO DE VENTA]]</f>
        <v>1328</v>
      </c>
      <c r="U4523" s="2">
        <f>MASTER[[#This Row],[CANTIDAD]]*MASTER[[#This Row],[COSTO UNITARIO]]</f>
        <v>386</v>
      </c>
      <c r="V4523" s="2">
        <f>MASTER[[#This Row],[MONTO VENDIDO]]-MASTER[[#This Row],[COSTO DE VENTA]]</f>
        <v>942</v>
      </c>
    </row>
    <row r="4524" spans="1:22" x14ac:dyDescent="0.3">
      <c r="A4524">
        <v>66480</v>
      </c>
      <c r="B4524">
        <v>1</v>
      </c>
      <c r="C4524" t="s">
        <v>92</v>
      </c>
      <c r="D4524" t="s">
        <v>93</v>
      </c>
      <c r="E4524" s="1">
        <v>44336</v>
      </c>
      <c r="F4524">
        <v>1</v>
      </c>
      <c r="G4524" t="s">
        <v>20</v>
      </c>
      <c r="H4524" t="s">
        <v>21</v>
      </c>
      <c r="I4524" s="3">
        <v>1866</v>
      </c>
      <c r="J4524" s="3">
        <v>1866</v>
      </c>
      <c r="K4524" s="3">
        <v>396</v>
      </c>
      <c r="L4524" t="s">
        <v>9</v>
      </c>
      <c r="M4524">
        <v>18</v>
      </c>
      <c r="N4524" t="s">
        <v>79</v>
      </c>
      <c r="O4524" t="s">
        <v>70</v>
      </c>
      <c r="P4524" t="s">
        <v>15</v>
      </c>
      <c r="Q4524" t="s">
        <v>16</v>
      </c>
      <c r="R4524" t="s">
        <v>16</v>
      </c>
      <c r="S4524" t="s">
        <v>144</v>
      </c>
      <c r="T4524" s="2">
        <f>MASTER[[#This Row],[CANTIDAD]]*MASTER[[#This Row],[PRECIO DE VENTA]]</f>
        <v>1866</v>
      </c>
      <c r="U4524" s="2">
        <f>MASTER[[#This Row],[CANTIDAD]]*MASTER[[#This Row],[COSTO UNITARIO]]</f>
        <v>396</v>
      </c>
      <c r="V4524" s="2">
        <f>MASTER[[#This Row],[MONTO VENDIDO]]-MASTER[[#This Row],[COSTO DE VENTA]]</f>
        <v>1470</v>
      </c>
    </row>
    <row r="4525" spans="1:22" x14ac:dyDescent="0.3">
      <c r="A4525">
        <v>66488</v>
      </c>
      <c r="B4525">
        <v>1</v>
      </c>
      <c r="C4525" t="s">
        <v>101</v>
      </c>
      <c r="D4525" t="s">
        <v>102</v>
      </c>
      <c r="E4525" s="1">
        <v>44336</v>
      </c>
      <c r="F4525">
        <v>1</v>
      </c>
      <c r="G4525" t="s">
        <v>57</v>
      </c>
      <c r="H4525" t="s">
        <v>58</v>
      </c>
      <c r="I4525" s="3">
        <v>1212</v>
      </c>
      <c r="J4525" s="3">
        <v>1212</v>
      </c>
      <c r="K4525" s="3">
        <v>442</v>
      </c>
      <c r="L4525" t="s">
        <v>98</v>
      </c>
      <c r="M4525">
        <v>15</v>
      </c>
      <c r="N4525" t="s">
        <v>88</v>
      </c>
      <c r="O4525" t="s">
        <v>81</v>
      </c>
      <c r="P4525" t="s">
        <v>18</v>
      </c>
      <c r="Q4525" t="s">
        <v>19</v>
      </c>
      <c r="R4525" t="s">
        <v>138</v>
      </c>
      <c r="S4525" t="s">
        <v>144</v>
      </c>
      <c r="T4525" s="2">
        <f>MASTER[[#This Row],[CANTIDAD]]*MASTER[[#This Row],[PRECIO DE VENTA]]</f>
        <v>1212</v>
      </c>
      <c r="U4525" s="2">
        <f>MASTER[[#This Row],[CANTIDAD]]*MASTER[[#This Row],[COSTO UNITARIO]]</f>
        <v>442</v>
      </c>
      <c r="V4525" s="2">
        <f>MASTER[[#This Row],[MONTO VENDIDO]]-MASTER[[#This Row],[COSTO DE VENTA]]</f>
        <v>770</v>
      </c>
    </row>
    <row r="4526" spans="1:22" x14ac:dyDescent="0.3">
      <c r="A4526">
        <v>66491</v>
      </c>
      <c r="B4526">
        <v>1</v>
      </c>
      <c r="C4526" t="s">
        <v>109</v>
      </c>
      <c r="D4526" t="s">
        <v>110</v>
      </c>
      <c r="E4526" s="1">
        <v>44336</v>
      </c>
      <c r="F4526">
        <v>1</v>
      </c>
      <c r="G4526" t="s">
        <v>27</v>
      </c>
      <c r="H4526" t="s">
        <v>28</v>
      </c>
      <c r="I4526" s="3">
        <v>1064</v>
      </c>
      <c r="J4526" s="3">
        <v>1064</v>
      </c>
      <c r="K4526" s="3">
        <v>387</v>
      </c>
      <c r="L4526" t="s">
        <v>98</v>
      </c>
      <c r="M4526">
        <v>4</v>
      </c>
      <c r="N4526" t="s">
        <v>82</v>
      </c>
      <c r="O4526" t="s">
        <v>81</v>
      </c>
      <c r="P4526" t="s">
        <v>71</v>
      </c>
      <c r="Q4526" t="s">
        <v>72</v>
      </c>
      <c r="R4526" t="s">
        <v>139</v>
      </c>
      <c r="S4526" t="s">
        <v>144</v>
      </c>
      <c r="T4526" s="2">
        <f>MASTER[[#This Row],[CANTIDAD]]*MASTER[[#This Row],[PRECIO DE VENTA]]</f>
        <v>1064</v>
      </c>
      <c r="U4526" s="2">
        <f>MASTER[[#This Row],[CANTIDAD]]*MASTER[[#This Row],[COSTO UNITARIO]]</f>
        <v>387</v>
      </c>
      <c r="V4526" s="2">
        <f>MASTER[[#This Row],[MONTO VENDIDO]]-MASTER[[#This Row],[COSTO DE VENTA]]</f>
        <v>677</v>
      </c>
    </row>
    <row r="4527" spans="1:22" x14ac:dyDescent="0.3">
      <c r="A4527">
        <v>66511</v>
      </c>
      <c r="B4527">
        <v>1</v>
      </c>
      <c r="C4527" t="s">
        <v>109</v>
      </c>
      <c r="D4527" t="s">
        <v>110</v>
      </c>
      <c r="E4527" s="1">
        <v>44336</v>
      </c>
      <c r="F4527">
        <v>1</v>
      </c>
      <c r="G4527" t="s">
        <v>24</v>
      </c>
      <c r="H4527" t="s">
        <v>25</v>
      </c>
      <c r="I4527" s="3">
        <v>1064</v>
      </c>
      <c r="J4527" s="3">
        <v>957</v>
      </c>
      <c r="K4527" s="3">
        <v>387</v>
      </c>
      <c r="L4527" t="s">
        <v>98</v>
      </c>
      <c r="M4527">
        <v>19</v>
      </c>
      <c r="N4527" t="s">
        <v>89</v>
      </c>
      <c r="O4527" t="s">
        <v>81</v>
      </c>
      <c r="P4527" t="s">
        <v>15</v>
      </c>
      <c r="Q4527" t="s">
        <v>16</v>
      </c>
      <c r="R4527" t="s">
        <v>16</v>
      </c>
      <c r="S4527" t="s">
        <v>144</v>
      </c>
      <c r="T4527" s="2">
        <f>MASTER[[#This Row],[CANTIDAD]]*MASTER[[#This Row],[PRECIO DE VENTA]]</f>
        <v>957</v>
      </c>
      <c r="U4527" s="2">
        <f>MASTER[[#This Row],[CANTIDAD]]*MASTER[[#This Row],[COSTO UNITARIO]]</f>
        <v>387</v>
      </c>
      <c r="V4527" s="2">
        <f>MASTER[[#This Row],[MONTO VENDIDO]]-MASTER[[#This Row],[COSTO DE VENTA]]</f>
        <v>570</v>
      </c>
    </row>
    <row r="4528" spans="1:22" x14ac:dyDescent="0.3">
      <c r="A4528">
        <v>66526</v>
      </c>
      <c r="B4528">
        <v>1</v>
      </c>
      <c r="C4528" t="s">
        <v>118</v>
      </c>
      <c r="D4528" t="s">
        <v>119</v>
      </c>
      <c r="E4528" s="1">
        <v>44336</v>
      </c>
      <c r="F4528">
        <v>1</v>
      </c>
      <c r="G4528" t="s">
        <v>55</v>
      </c>
      <c r="H4528" t="s">
        <v>56</v>
      </c>
      <c r="I4528" s="3">
        <v>900</v>
      </c>
      <c r="J4528" s="3">
        <v>900</v>
      </c>
      <c r="K4528" s="3">
        <v>424</v>
      </c>
      <c r="L4528" t="s">
        <v>120</v>
      </c>
      <c r="M4528">
        <v>7</v>
      </c>
      <c r="N4528" t="s">
        <v>84</v>
      </c>
      <c r="O4528" t="s">
        <v>81</v>
      </c>
      <c r="P4528" t="s">
        <v>12</v>
      </c>
      <c r="Q4528" t="s">
        <v>13</v>
      </c>
      <c r="R4528" t="s">
        <v>13</v>
      </c>
      <c r="S4528" t="s">
        <v>144</v>
      </c>
      <c r="T4528" s="2">
        <f>MASTER[[#This Row],[CANTIDAD]]*MASTER[[#This Row],[PRECIO DE VENTA]]</f>
        <v>900</v>
      </c>
      <c r="U4528" s="2">
        <f>MASTER[[#This Row],[CANTIDAD]]*MASTER[[#This Row],[COSTO UNITARIO]]</f>
        <v>424</v>
      </c>
      <c r="V4528" s="2">
        <f>MASTER[[#This Row],[MONTO VENDIDO]]-MASTER[[#This Row],[COSTO DE VENTA]]</f>
        <v>476</v>
      </c>
    </row>
    <row r="4529" spans="1:22" x14ac:dyDescent="0.3">
      <c r="A4529">
        <v>66527</v>
      </c>
      <c r="B4529">
        <v>1</v>
      </c>
      <c r="C4529" t="s">
        <v>94</v>
      </c>
      <c r="D4529" t="s">
        <v>95</v>
      </c>
      <c r="E4529" s="1">
        <v>44336</v>
      </c>
      <c r="F4529">
        <v>1</v>
      </c>
      <c r="G4529" t="s">
        <v>57</v>
      </c>
      <c r="H4529" t="s">
        <v>58</v>
      </c>
      <c r="I4529" s="3">
        <v>1048</v>
      </c>
      <c r="J4529" s="3">
        <v>943</v>
      </c>
      <c r="K4529" s="3">
        <v>392</v>
      </c>
      <c r="L4529" t="s">
        <v>9</v>
      </c>
      <c r="M4529">
        <v>15</v>
      </c>
      <c r="N4529" t="s">
        <v>88</v>
      </c>
      <c r="O4529" t="s">
        <v>81</v>
      </c>
      <c r="P4529" t="s">
        <v>18</v>
      </c>
      <c r="Q4529" t="s">
        <v>19</v>
      </c>
      <c r="R4529" t="s">
        <v>138</v>
      </c>
      <c r="S4529" t="s">
        <v>144</v>
      </c>
      <c r="T4529" s="2">
        <f>MASTER[[#This Row],[CANTIDAD]]*MASTER[[#This Row],[PRECIO DE VENTA]]</f>
        <v>943</v>
      </c>
      <c r="U4529" s="2">
        <f>MASTER[[#This Row],[CANTIDAD]]*MASTER[[#This Row],[COSTO UNITARIO]]</f>
        <v>392</v>
      </c>
      <c r="V4529" s="2">
        <f>MASTER[[#This Row],[MONTO VENDIDO]]-MASTER[[#This Row],[COSTO DE VENTA]]</f>
        <v>551</v>
      </c>
    </row>
    <row r="4530" spans="1:22" x14ac:dyDescent="0.3">
      <c r="A4530">
        <v>66529</v>
      </c>
      <c r="B4530">
        <v>1</v>
      </c>
      <c r="C4530" t="s">
        <v>101</v>
      </c>
      <c r="D4530" t="s">
        <v>102</v>
      </c>
      <c r="E4530" s="1">
        <v>44336</v>
      </c>
      <c r="F4530">
        <v>1</v>
      </c>
      <c r="G4530" t="s">
        <v>51</v>
      </c>
      <c r="H4530" t="s">
        <v>52</v>
      </c>
      <c r="I4530" s="3">
        <v>1212</v>
      </c>
      <c r="J4530" s="3">
        <v>1212</v>
      </c>
      <c r="K4530" s="3">
        <v>442</v>
      </c>
      <c r="L4530" t="s">
        <v>98</v>
      </c>
      <c r="M4530">
        <v>8</v>
      </c>
      <c r="N4530" t="s">
        <v>80</v>
      </c>
      <c r="O4530" t="s">
        <v>81</v>
      </c>
      <c r="P4530" t="s">
        <v>12</v>
      </c>
      <c r="Q4530" t="s">
        <v>13</v>
      </c>
      <c r="R4530" t="s">
        <v>13</v>
      </c>
      <c r="S4530" t="s">
        <v>144</v>
      </c>
      <c r="T4530" s="2">
        <f>MASTER[[#This Row],[CANTIDAD]]*MASTER[[#This Row],[PRECIO DE VENTA]]</f>
        <v>1212</v>
      </c>
      <c r="U4530" s="2">
        <f>MASTER[[#This Row],[CANTIDAD]]*MASTER[[#This Row],[COSTO UNITARIO]]</f>
        <v>442</v>
      </c>
      <c r="V4530" s="2">
        <f>MASTER[[#This Row],[MONTO VENDIDO]]-MASTER[[#This Row],[COSTO DE VENTA]]</f>
        <v>770</v>
      </c>
    </row>
    <row r="4531" spans="1:22" x14ac:dyDescent="0.3">
      <c r="A4531">
        <v>66532</v>
      </c>
      <c r="B4531">
        <v>1</v>
      </c>
      <c r="C4531" t="s">
        <v>107</v>
      </c>
      <c r="D4531" t="s">
        <v>108</v>
      </c>
      <c r="E4531" s="1">
        <v>44337</v>
      </c>
      <c r="F4531">
        <v>1</v>
      </c>
      <c r="G4531" t="s">
        <v>67</v>
      </c>
      <c r="H4531" t="s">
        <v>68</v>
      </c>
      <c r="I4531" s="3">
        <v>1333</v>
      </c>
      <c r="J4531" s="3">
        <v>1333</v>
      </c>
      <c r="K4531" s="3">
        <v>380</v>
      </c>
      <c r="L4531" t="s">
        <v>98</v>
      </c>
      <c r="M4531">
        <v>10</v>
      </c>
      <c r="N4531" t="s">
        <v>83</v>
      </c>
      <c r="O4531" t="s">
        <v>81</v>
      </c>
      <c r="P4531" t="s">
        <v>12</v>
      </c>
      <c r="Q4531" t="s">
        <v>13</v>
      </c>
      <c r="R4531" t="s">
        <v>13</v>
      </c>
      <c r="S4531" t="s">
        <v>144</v>
      </c>
      <c r="T4531" s="2">
        <f>MASTER[[#This Row],[CANTIDAD]]*MASTER[[#This Row],[PRECIO DE VENTA]]</f>
        <v>1333</v>
      </c>
      <c r="U4531" s="2">
        <f>MASTER[[#This Row],[CANTIDAD]]*MASTER[[#This Row],[COSTO UNITARIO]]</f>
        <v>380</v>
      </c>
      <c r="V4531" s="2">
        <f>MASTER[[#This Row],[MONTO VENDIDO]]-MASTER[[#This Row],[COSTO DE VENTA]]</f>
        <v>953</v>
      </c>
    </row>
    <row r="4532" spans="1:22" x14ac:dyDescent="0.3">
      <c r="A4532">
        <v>66536</v>
      </c>
      <c r="B4532">
        <v>1</v>
      </c>
      <c r="C4532" t="s">
        <v>103</v>
      </c>
      <c r="D4532" t="s">
        <v>104</v>
      </c>
      <c r="E4532" s="1">
        <v>44337</v>
      </c>
      <c r="F4532">
        <v>1</v>
      </c>
      <c r="G4532" t="s">
        <v>73</v>
      </c>
      <c r="H4532" t="s">
        <v>74</v>
      </c>
      <c r="I4532" s="3">
        <v>1448</v>
      </c>
      <c r="J4532" s="3">
        <v>1448</v>
      </c>
      <c r="K4532" s="3">
        <v>421</v>
      </c>
      <c r="L4532" t="s">
        <v>98</v>
      </c>
      <c r="M4532">
        <v>12</v>
      </c>
      <c r="N4532" t="s">
        <v>26</v>
      </c>
      <c r="O4532" t="s">
        <v>11</v>
      </c>
      <c r="P4532" t="s">
        <v>12</v>
      </c>
      <c r="Q4532" t="s">
        <v>13</v>
      </c>
      <c r="R4532" t="s">
        <v>13</v>
      </c>
      <c r="S4532" t="s">
        <v>144</v>
      </c>
      <c r="T4532" s="2">
        <f>MASTER[[#This Row],[CANTIDAD]]*MASTER[[#This Row],[PRECIO DE VENTA]]</f>
        <v>1448</v>
      </c>
      <c r="U4532" s="2">
        <f>MASTER[[#This Row],[CANTIDAD]]*MASTER[[#This Row],[COSTO UNITARIO]]</f>
        <v>421</v>
      </c>
      <c r="V4532" s="2">
        <f>MASTER[[#This Row],[MONTO VENDIDO]]-MASTER[[#This Row],[COSTO DE VENTA]]</f>
        <v>1027</v>
      </c>
    </row>
    <row r="4533" spans="1:22" x14ac:dyDescent="0.3">
      <c r="A4533">
        <v>66539</v>
      </c>
      <c r="B4533">
        <v>1</v>
      </c>
      <c r="C4533" t="s">
        <v>111</v>
      </c>
      <c r="D4533" t="s">
        <v>112</v>
      </c>
      <c r="E4533" s="1">
        <v>44337</v>
      </c>
      <c r="F4533">
        <v>1</v>
      </c>
      <c r="G4533" t="s">
        <v>24</v>
      </c>
      <c r="H4533" t="s">
        <v>25</v>
      </c>
      <c r="I4533" s="3">
        <v>1621</v>
      </c>
      <c r="J4533" s="3">
        <v>1621</v>
      </c>
      <c r="K4533" s="3">
        <v>434</v>
      </c>
      <c r="L4533" t="s">
        <v>113</v>
      </c>
      <c r="M4533">
        <v>4</v>
      </c>
      <c r="N4533" t="s">
        <v>82</v>
      </c>
      <c r="O4533" t="s">
        <v>81</v>
      </c>
      <c r="P4533" t="s">
        <v>71</v>
      </c>
      <c r="Q4533" t="s">
        <v>72</v>
      </c>
      <c r="R4533" t="s">
        <v>139</v>
      </c>
      <c r="S4533" t="s">
        <v>144</v>
      </c>
      <c r="T4533" s="2">
        <f>MASTER[[#This Row],[CANTIDAD]]*MASTER[[#This Row],[PRECIO DE VENTA]]</f>
        <v>1621</v>
      </c>
      <c r="U4533" s="2">
        <f>MASTER[[#This Row],[CANTIDAD]]*MASTER[[#This Row],[COSTO UNITARIO]]</f>
        <v>434</v>
      </c>
      <c r="V4533" s="2">
        <f>MASTER[[#This Row],[MONTO VENDIDO]]-MASTER[[#This Row],[COSTO DE VENTA]]</f>
        <v>1187</v>
      </c>
    </row>
    <row r="4534" spans="1:22" x14ac:dyDescent="0.3">
      <c r="A4534">
        <v>66546</v>
      </c>
      <c r="B4534">
        <v>1</v>
      </c>
      <c r="C4534" t="s">
        <v>107</v>
      </c>
      <c r="D4534" t="s">
        <v>108</v>
      </c>
      <c r="E4534" s="1">
        <v>44337</v>
      </c>
      <c r="F4534">
        <v>1</v>
      </c>
      <c r="G4534" t="s">
        <v>29</v>
      </c>
      <c r="H4534" t="s">
        <v>30</v>
      </c>
      <c r="I4534" s="3">
        <v>1333</v>
      </c>
      <c r="J4534" s="3">
        <v>1333</v>
      </c>
      <c r="K4534" s="3">
        <v>380</v>
      </c>
      <c r="L4534" t="s">
        <v>98</v>
      </c>
      <c r="M4534">
        <v>2</v>
      </c>
      <c r="N4534" t="s">
        <v>86</v>
      </c>
      <c r="O4534" t="s">
        <v>81</v>
      </c>
      <c r="P4534" t="s">
        <v>71</v>
      </c>
      <c r="Q4534" t="s">
        <v>72</v>
      </c>
      <c r="R4534" t="s">
        <v>139</v>
      </c>
      <c r="S4534" t="s">
        <v>144</v>
      </c>
      <c r="T4534" s="2">
        <f>MASTER[[#This Row],[CANTIDAD]]*MASTER[[#This Row],[PRECIO DE VENTA]]</f>
        <v>1333</v>
      </c>
      <c r="U4534" s="2">
        <f>MASTER[[#This Row],[CANTIDAD]]*MASTER[[#This Row],[COSTO UNITARIO]]</f>
        <v>380</v>
      </c>
      <c r="V4534" s="2">
        <f>MASTER[[#This Row],[MONTO VENDIDO]]-MASTER[[#This Row],[COSTO DE VENTA]]</f>
        <v>953</v>
      </c>
    </row>
    <row r="4535" spans="1:22" x14ac:dyDescent="0.3">
      <c r="A4535">
        <v>66551</v>
      </c>
      <c r="B4535">
        <v>1</v>
      </c>
      <c r="C4535" t="s">
        <v>90</v>
      </c>
      <c r="D4535" t="s">
        <v>91</v>
      </c>
      <c r="E4535" s="1">
        <v>44337</v>
      </c>
      <c r="F4535">
        <v>1</v>
      </c>
      <c r="G4535" t="s">
        <v>51</v>
      </c>
      <c r="H4535" t="s">
        <v>52</v>
      </c>
      <c r="I4535" s="3">
        <v>1844</v>
      </c>
      <c r="J4535" s="3">
        <v>1844</v>
      </c>
      <c r="K4535" s="3">
        <v>420</v>
      </c>
      <c r="L4535" t="s">
        <v>9</v>
      </c>
      <c r="M4535">
        <v>7</v>
      </c>
      <c r="N4535" t="s">
        <v>84</v>
      </c>
      <c r="O4535" t="s">
        <v>81</v>
      </c>
      <c r="P4535" t="s">
        <v>12</v>
      </c>
      <c r="Q4535" t="s">
        <v>13</v>
      </c>
      <c r="R4535" t="s">
        <v>13</v>
      </c>
      <c r="S4535" t="s">
        <v>144</v>
      </c>
      <c r="T4535" s="2">
        <f>MASTER[[#This Row],[CANTIDAD]]*MASTER[[#This Row],[PRECIO DE VENTA]]</f>
        <v>1844</v>
      </c>
      <c r="U4535" s="2">
        <f>MASTER[[#This Row],[CANTIDAD]]*MASTER[[#This Row],[COSTO UNITARIO]]</f>
        <v>420</v>
      </c>
      <c r="V4535" s="2">
        <f>MASTER[[#This Row],[MONTO VENDIDO]]-MASTER[[#This Row],[COSTO DE VENTA]]</f>
        <v>1424</v>
      </c>
    </row>
    <row r="4536" spans="1:22" x14ac:dyDescent="0.3">
      <c r="A4536">
        <v>66552</v>
      </c>
      <c r="B4536">
        <v>2</v>
      </c>
      <c r="C4536" t="s">
        <v>94</v>
      </c>
      <c r="D4536" t="s">
        <v>95</v>
      </c>
      <c r="E4536" s="1">
        <v>44337</v>
      </c>
      <c r="F4536">
        <v>1</v>
      </c>
      <c r="G4536" t="s">
        <v>24</v>
      </c>
      <c r="H4536" t="s">
        <v>25</v>
      </c>
      <c r="I4536" s="3">
        <v>1048</v>
      </c>
      <c r="J4536" s="3">
        <v>964</v>
      </c>
      <c r="K4536" s="3">
        <v>392</v>
      </c>
      <c r="L4536" t="s">
        <v>9</v>
      </c>
      <c r="M4536">
        <v>10</v>
      </c>
      <c r="N4536" t="s">
        <v>83</v>
      </c>
      <c r="O4536" t="s">
        <v>81</v>
      </c>
      <c r="P4536" t="s">
        <v>12</v>
      </c>
      <c r="Q4536" t="s">
        <v>13</v>
      </c>
      <c r="R4536" t="s">
        <v>13</v>
      </c>
      <c r="S4536" t="s">
        <v>144</v>
      </c>
      <c r="T4536" s="2">
        <f>MASTER[[#This Row],[CANTIDAD]]*MASTER[[#This Row],[PRECIO DE VENTA]]</f>
        <v>964</v>
      </c>
      <c r="U4536" s="2">
        <f>MASTER[[#This Row],[CANTIDAD]]*MASTER[[#This Row],[COSTO UNITARIO]]</f>
        <v>392</v>
      </c>
      <c r="V4536" s="2">
        <f>MASTER[[#This Row],[MONTO VENDIDO]]-MASTER[[#This Row],[COSTO DE VENTA]]</f>
        <v>572</v>
      </c>
    </row>
    <row r="4537" spans="1:22" x14ac:dyDescent="0.3">
      <c r="A4537">
        <v>66552</v>
      </c>
      <c r="B4537">
        <v>1</v>
      </c>
      <c r="C4537" t="s">
        <v>116</v>
      </c>
      <c r="D4537" t="s">
        <v>117</v>
      </c>
      <c r="E4537" s="1">
        <v>44337</v>
      </c>
      <c r="F4537">
        <v>1</v>
      </c>
      <c r="G4537" t="s">
        <v>29</v>
      </c>
      <c r="H4537" t="s">
        <v>30</v>
      </c>
      <c r="I4537" s="3">
        <v>1738</v>
      </c>
      <c r="J4537" s="3">
        <v>1668</v>
      </c>
      <c r="K4537" s="3">
        <v>388</v>
      </c>
      <c r="L4537" t="s">
        <v>113</v>
      </c>
      <c r="M4537">
        <v>10</v>
      </c>
      <c r="N4537" t="s">
        <v>83</v>
      </c>
      <c r="O4537" t="s">
        <v>81</v>
      </c>
      <c r="P4537" t="s">
        <v>12</v>
      </c>
      <c r="Q4537" t="s">
        <v>13</v>
      </c>
      <c r="R4537" t="s">
        <v>13</v>
      </c>
      <c r="S4537" t="s">
        <v>144</v>
      </c>
      <c r="T4537" s="2">
        <f>MASTER[[#This Row],[CANTIDAD]]*MASTER[[#This Row],[PRECIO DE VENTA]]</f>
        <v>1668</v>
      </c>
      <c r="U4537" s="2">
        <f>MASTER[[#This Row],[CANTIDAD]]*MASTER[[#This Row],[COSTO UNITARIO]]</f>
        <v>388</v>
      </c>
      <c r="V4537" s="2">
        <f>MASTER[[#This Row],[MONTO VENDIDO]]-MASTER[[#This Row],[COSTO DE VENTA]]</f>
        <v>1280</v>
      </c>
    </row>
    <row r="4538" spans="1:22" x14ac:dyDescent="0.3">
      <c r="A4538">
        <v>66569</v>
      </c>
      <c r="B4538">
        <v>1</v>
      </c>
      <c r="C4538" t="s">
        <v>92</v>
      </c>
      <c r="D4538" t="s">
        <v>93</v>
      </c>
      <c r="E4538" s="1">
        <v>44337</v>
      </c>
      <c r="F4538">
        <v>1</v>
      </c>
      <c r="G4538" t="s">
        <v>41</v>
      </c>
      <c r="H4538" t="s">
        <v>42</v>
      </c>
      <c r="I4538" s="3">
        <v>1866</v>
      </c>
      <c r="J4538" s="3">
        <v>1866</v>
      </c>
      <c r="K4538" s="3">
        <v>396</v>
      </c>
      <c r="L4538" t="s">
        <v>9</v>
      </c>
      <c r="M4538">
        <v>13</v>
      </c>
      <c r="N4538" t="s">
        <v>78</v>
      </c>
      <c r="O4538" t="s">
        <v>70</v>
      </c>
      <c r="P4538" t="s">
        <v>18</v>
      </c>
      <c r="Q4538" t="s">
        <v>19</v>
      </c>
      <c r="R4538" t="s">
        <v>138</v>
      </c>
      <c r="S4538" t="s">
        <v>144</v>
      </c>
      <c r="T4538" s="2">
        <f>MASTER[[#This Row],[CANTIDAD]]*MASTER[[#This Row],[PRECIO DE VENTA]]</f>
        <v>1866</v>
      </c>
      <c r="U4538" s="2">
        <f>MASTER[[#This Row],[CANTIDAD]]*MASTER[[#This Row],[COSTO UNITARIO]]</f>
        <v>396</v>
      </c>
      <c r="V4538" s="2">
        <f>MASTER[[#This Row],[MONTO VENDIDO]]-MASTER[[#This Row],[COSTO DE VENTA]]</f>
        <v>1470</v>
      </c>
    </row>
    <row r="4539" spans="1:22" x14ac:dyDescent="0.3">
      <c r="A4539">
        <v>66579</v>
      </c>
      <c r="B4539">
        <v>1</v>
      </c>
      <c r="C4539" t="s">
        <v>105</v>
      </c>
      <c r="D4539" t="s">
        <v>106</v>
      </c>
      <c r="E4539" s="1">
        <v>44337</v>
      </c>
      <c r="F4539">
        <v>1</v>
      </c>
      <c r="G4539" t="s">
        <v>57</v>
      </c>
      <c r="H4539" t="s">
        <v>58</v>
      </c>
      <c r="I4539" s="3">
        <v>1585</v>
      </c>
      <c r="J4539" s="3">
        <v>1585</v>
      </c>
      <c r="K4539" s="3">
        <v>459</v>
      </c>
      <c r="L4539" t="s">
        <v>98</v>
      </c>
      <c r="M4539">
        <v>17</v>
      </c>
      <c r="N4539" t="s">
        <v>14</v>
      </c>
      <c r="O4539" t="s">
        <v>11</v>
      </c>
      <c r="P4539" t="s">
        <v>15</v>
      </c>
      <c r="Q4539" t="s">
        <v>16</v>
      </c>
      <c r="R4539" t="s">
        <v>16</v>
      </c>
      <c r="S4539" t="s">
        <v>144</v>
      </c>
      <c r="T4539" s="2">
        <f>MASTER[[#This Row],[CANTIDAD]]*MASTER[[#This Row],[PRECIO DE VENTA]]</f>
        <v>1585</v>
      </c>
      <c r="U4539" s="2">
        <f>MASTER[[#This Row],[CANTIDAD]]*MASTER[[#This Row],[COSTO UNITARIO]]</f>
        <v>459</v>
      </c>
      <c r="V4539" s="2">
        <f>MASTER[[#This Row],[MONTO VENDIDO]]-MASTER[[#This Row],[COSTO DE VENTA]]</f>
        <v>1126</v>
      </c>
    </row>
    <row r="4540" spans="1:22" x14ac:dyDescent="0.3">
      <c r="A4540">
        <v>66580</v>
      </c>
      <c r="B4540">
        <v>1</v>
      </c>
      <c r="C4540" t="s">
        <v>92</v>
      </c>
      <c r="D4540" t="s">
        <v>93</v>
      </c>
      <c r="E4540" s="1">
        <v>44337</v>
      </c>
      <c r="F4540">
        <v>1</v>
      </c>
      <c r="G4540" t="s">
        <v>51</v>
      </c>
      <c r="H4540" t="s">
        <v>52</v>
      </c>
      <c r="I4540" s="3">
        <v>1681</v>
      </c>
      <c r="J4540" s="3">
        <v>1681</v>
      </c>
      <c r="K4540" s="3">
        <v>396</v>
      </c>
      <c r="L4540" t="s">
        <v>9</v>
      </c>
      <c r="M4540">
        <v>14</v>
      </c>
      <c r="N4540" t="s">
        <v>87</v>
      </c>
      <c r="O4540" t="s">
        <v>81</v>
      </c>
      <c r="P4540" t="s">
        <v>18</v>
      </c>
      <c r="Q4540" t="s">
        <v>19</v>
      </c>
      <c r="R4540" t="s">
        <v>138</v>
      </c>
      <c r="S4540" t="s">
        <v>144</v>
      </c>
      <c r="T4540" s="2">
        <f>MASTER[[#This Row],[CANTIDAD]]*MASTER[[#This Row],[PRECIO DE VENTA]]</f>
        <v>1681</v>
      </c>
      <c r="U4540" s="2">
        <f>MASTER[[#This Row],[CANTIDAD]]*MASTER[[#This Row],[COSTO UNITARIO]]</f>
        <v>396</v>
      </c>
      <c r="V4540" s="2">
        <f>MASTER[[#This Row],[MONTO VENDIDO]]-MASTER[[#This Row],[COSTO DE VENTA]]</f>
        <v>1285</v>
      </c>
    </row>
    <row r="4541" spans="1:22" x14ac:dyDescent="0.3">
      <c r="A4541">
        <v>66582</v>
      </c>
      <c r="B4541">
        <v>1</v>
      </c>
      <c r="C4541" t="s">
        <v>107</v>
      </c>
      <c r="D4541" t="s">
        <v>108</v>
      </c>
      <c r="E4541" s="1">
        <v>44337</v>
      </c>
      <c r="F4541">
        <v>1</v>
      </c>
      <c r="G4541" t="s">
        <v>49</v>
      </c>
      <c r="H4541" t="s">
        <v>50</v>
      </c>
      <c r="I4541" s="3">
        <v>1240</v>
      </c>
      <c r="J4541" s="3">
        <v>1240</v>
      </c>
      <c r="K4541" s="3">
        <v>380</v>
      </c>
      <c r="L4541" t="s">
        <v>98</v>
      </c>
      <c r="M4541">
        <v>11</v>
      </c>
      <c r="N4541" t="s">
        <v>10</v>
      </c>
      <c r="O4541" t="s">
        <v>11</v>
      </c>
      <c r="P4541" t="s">
        <v>12</v>
      </c>
      <c r="Q4541" t="s">
        <v>13</v>
      </c>
      <c r="R4541" t="s">
        <v>13</v>
      </c>
      <c r="S4541" t="s">
        <v>144</v>
      </c>
      <c r="T4541" s="2">
        <f>MASTER[[#This Row],[CANTIDAD]]*MASTER[[#This Row],[PRECIO DE VENTA]]</f>
        <v>1240</v>
      </c>
      <c r="U4541" s="2">
        <f>MASTER[[#This Row],[CANTIDAD]]*MASTER[[#This Row],[COSTO UNITARIO]]</f>
        <v>380</v>
      </c>
      <c r="V4541" s="2">
        <f>MASTER[[#This Row],[MONTO VENDIDO]]-MASTER[[#This Row],[COSTO DE VENTA]]</f>
        <v>860</v>
      </c>
    </row>
    <row r="4542" spans="1:22" x14ac:dyDescent="0.3">
      <c r="A4542">
        <v>66585</v>
      </c>
      <c r="B4542">
        <v>1</v>
      </c>
      <c r="C4542" t="s">
        <v>118</v>
      </c>
      <c r="D4542" t="s">
        <v>119</v>
      </c>
      <c r="E4542" s="1">
        <v>44337</v>
      </c>
      <c r="F4542">
        <v>1</v>
      </c>
      <c r="G4542" t="s">
        <v>63</v>
      </c>
      <c r="H4542" t="s">
        <v>64</v>
      </c>
      <c r="I4542" s="3">
        <v>1026</v>
      </c>
      <c r="J4542" s="3">
        <v>954</v>
      </c>
      <c r="K4542" s="3">
        <v>424</v>
      </c>
      <c r="L4542" t="s">
        <v>120</v>
      </c>
      <c r="M4542">
        <v>3</v>
      </c>
      <c r="N4542" t="s">
        <v>69</v>
      </c>
      <c r="O4542" t="s">
        <v>70</v>
      </c>
      <c r="P4542" t="s">
        <v>71</v>
      </c>
      <c r="Q4542" t="s">
        <v>72</v>
      </c>
      <c r="R4542" t="s">
        <v>139</v>
      </c>
      <c r="S4542" t="s">
        <v>144</v>
      </c>
      <c r="T4542" s="2">
        <f>MASTER[[#This Row],[CANTIDAD]]*MASTER[[#This Row],[PRECIO DE VENTA]]</f>
        <v>954</v>
      </c>
      <c r="U4542" s="2">
        <f>MASTER[[#This Row],[CANTIDAD]]*MASTER[[#This Row],[COSTO UNITARIO]]</f>
        <v>424</v>
      </c>
      <c r="V4542" s="2">
        <f>MASTER[[#This Row],[MONTO VENDIDO]]-MASTER[[#This Row],[COSTO DE VENTA]]</f>
        <v>530</v>
      </c>
    </row>
    <row r="4543" spans="1:22" x14ac:dyDescent="0.3">
      <c r="A4543">
        <v>66591</v>
      </c>
      <c r="B4543">
        <v>1</v>
      </c>
      <c r="C4543" t="s">
        <v>107</v>
      </c>
      <c r="D4543" t="s">
        <v>108</v>
      </c>
      <c r="E4543" s="1">
        <v>44337</v>
      </c>
      <c r="F4543">
        <v>1</v>
      </c>
      <c r="G4543" t="s">
        <v>67</v>
      </c>
      <c r="H4543" t="s">
        <v>68</v>
      </c>
      <c r="I4543" s="3">
        <v>1333</v>
      </c>
      <c r="J4543" s="3">
        <v>1333</v>
      </c>
      <c r="K4543" s="3">
        <v>380</v>
      </c>
      <c r="L4543" t="s">
        <v>98</v>
      </c>
      <c r="M4543">
        <v>15</v>
      </c>
      <c r="N4543" t="s">
        <v>88</v>
      </c>
      <c r="O4543" t="s">
        <v>81</v>
      </c>
      <c r="P4543" t="s">
        <v>18</v>
      </c>
      <c r="Q4543" t="s">
        <v>19</v>
      </c>
      <c r="R4543" t="s">
        <v>138</v>
      </c>
      <c r="S4543" t="s">
        <v>144</v>
      </c>
      <c r="T4543" s="2">
        <f>MASTER[[#This Row],[CANTIDAD]]*MASTER[[#This Row],[PRECIO DE VENTA]]</f>
        <v>1333</v>
      </c>
      <c r="U4543" s="2">
        <f>MASTER[[#This Row],[CANTIDAD]]*MASTER[[#This Row],[COSTO UNITARIO]]</f>
        <v>380</v>
      </c>
      <c r="V4543" s="2">
        <f>MASTER[[#This Row],[MONTO VENDIDO]]-MASTER[[#This Row],[COSTO DE VENTA]]</f>
        <v>953</v>
      </c>
    </row>
    <row r="4544" spans="1:22" x14ac:dyDescent="0.3">
      <c r="A4544">
        <v>66603</v>
      </c>
      <c r="B4544">
        <v>1</v>
      </c>
      <c r="C4544" t="s">
        <v>118</v>
      </c>
      <c r="D4544" t="s">
        <v>119</v>
      </c>
      <c r="E4544" s="1">
        <v>44337</v>
      </c>
      <c r="F4544">
        <v>1</v>
      </c>
      <c r="G4544" t="s">
        <v>37</v>
      </c>
      <c r="H4544" t="s">
        <v>38</v>
      </c>
      <c r="I4544" s="3">
        <v>900</v>
      </c>
      <c r="J4544" s="3">
        <v>900</v>
      </c>
      <c r="K4544" s="3">
        <v>424</v>
      </c>
      <c r="L4544" t="s">
        <v>120</v>
      </c>
      <c r="M4544">
        <v>15</v>
      </c>
      <c r="N4544" t="s">
        <v>88</v>
      </c>
      <c r="O4544" t="s">
        <v>81</v>
      </c>
      <c r="P4544" t="s">
        <v>18</v>
      </c>
      <c r="Q4544" t="s">
        <v>19</v>
      </c>
      <c r="R4544" t="s">
        <v>138</v>
      </c>
      <c r="S4544" t="s">
        <v>144</v>
      </c>
      <c r="T4544" s="2">
        <f>MASTER[[#This Row],[CANTIDAD]]*MASTER[[#This Row],[PRECIO DE VENTA]]</f>
        <v>900</v>
      </c>
      <c r="U4544" s="2">
        <f>MASTER[[#This Row],[CANTIDAD]]*MASTER[[#This Row],[COSTO UNITARIO]]</f>
        <v>424</v>
      </c>
      <c r="V4544" s="2">
        <f>MASTER[[#This Row],[MONTO VENDIDO]]-MASTER[[#This Row],[COSTO DE VENTA]]</f>
        <v>476</v>
      </c>
    </row>
    <row r="4545" spans="1:22" x14ac:dyDescent="0.3">
      <c r="A4545">
        <v>66619</v>
      </c>
      <c r="B4545">
        <v>1</v>
      </c>
      <c r="C4545" t="s">
        <v>96</v>
      </c>
      <c r="D4545" t="s">
        <v>97</v>
      </c>
      <c r="E4545" s="1">
        <v>44338</v>
      </c>
      <c r="F4545">
        <v>1</v>
      </c>
      <c r="G4545" t="s">
        <v>47</v>
      </c>
      <c r="H4545" t="s">
        <v>48</v>
      </c>
      <c r="I4545" s="3">
        <v>1361</v>
      </c>
      <c r="J4545" s="3">
        <v>1361</v>
      </c>
      <c r="K4545" s="3">
        <v>397</v>
      </c>
      <c r="L4545" t="s">
        <v>98</v>
      </c>
      <c r="M4545">
        <v>9</v>
      </c>
      <c r="N4545" t="s">
        <v>76</v>
      </c>
      <c r="O4545" t="s">
        <v>70</v>
      </c>
      <c r="P4545" t="s">
        <v>12</v>
      </c>
      <c r="Q4545" t="s">
        <v>13</v>
      </c>
      <c r="R4545" t="s">
        <v>13</v>
      </c>
      <c r="S4545" t="s">
        <v>144</v>
      </c>
      <c r="T4545" s="2">
        <f>MASTER[[#This Row],[CANTIDAD]]*MASTER[[#This Row],[PRECIO DE VENTA]]</f>
        <v>1361</v>
      </c>
      <c r="U4545" s="2">
        <f>MASTER[[#This Row],[CANTIDAD]]*MASTER[[#This Row],[COSTO UNITARIO]]</f>
        <v>397</v>
      </c>
      <c r="V4545" s="2">
        <f>MASTER[[#This Row],[MONTO VENDIDO]]-MASTER[[#This Row],[COSTO DE VENTA]]</f>
        <v>964</v>
      </c>
    </row>
    <row r="4546" spans="1:22" x14ac:dyDescent="0.3">
      <c r="A4546">
        <v>66620</v>
      </c>
      <c r="B4546">
        <v>1</v>
      </c>
      <c r="C4546" t="s">
        <v>5</v>
      </c>
      <c r="D4546" t="s">
        <v>6</v>
      </c>
      <c r="E4546" s="1">
        <v>44338</v>
      </c>
      <c r="F4546">
        <v>1</v>
      </c>
      <c r="G4546" t="s">
        <v>24</v>
      </c>
      <c r="H4546" t="s">
        <v>25</v>
      </c>
      <c r="I4546" s="3">
        <v>1296</v>
      </c>
      <c r="J4546" s="3">
        <v>1296</v>
      </c>
      <c r="K4546" s="3">
        <v>393</v>
      </c>
      <c r="L4546" t="s">
        <v>9</v>
      </c>
      <c r="M4546">
        <v>13</v>
      </c>
      <c r="N4546" t="s">
        <v>78</v>
      </c>
      <c r="O4546" t="s">
        <v>70</v>
      </c>
      <c r="P4546" t="s">
        <v>18</v>
      </c>
      <c r="Q4546" t="s">
        <v>19</v>
      </c>
      <c r="R4546" t="s">
        <v>138</v>
      </c>
      <c r="S4546" t="s">
        <v>144</v>
      </c>
      <c r="T4546" s="2">
        <f>MASTER[[#This Row],[CANTIDAD]]*MASTER[[#This Row],[PRECIO DE VENTA]]</f>
        <v>1296</v>
      </c>
      <c r="U4546" s="2">
        <f>MASTER[[#This Row],[CANTIDAD]]*MASTER[[#This Row],[COSTO UNITARIO]]</f>
        <v>393</v>
      </c>
      <c r="V4546" s="2">
        <f>MASTER[[#This Row],[MONTO VENDIDO]]-MASTER[[#This Row],[COSTO DE VENTA]]</f>
        <v>903</v>
      </c>
    </row>
    <row r="4547" spans="1:22" x14ac:dyDescent="0.3">
      <c r="A4547">
        <v>66632</v>
      </c>
      <c r="B4547">
        <v>1</v>
      </c>
      <c r="C4547" t="s">
        <v>99</v>
      </c>
      <c r="D4547" t="s">
        <v>100</v>
      </c>
      <c r="E4547" s="1">
        <v>44338</v>
      </c>
      <c r="F4547">
        <v>1</v>
      </c>
      <c r="G4547" t="s">
        <v>65</v>
      </c>
      <c r="H4547" t="s">
        <v>66</v>
      </c>
      <c r="I4547" s="3">
        <v>1459</v>
      </c>
      <c r="J4547" s="3">
        <v>1459</v>
      </c>
      <c r="K4547" s="3">
        <v>386</v>
      </c>
      <c r="L4547" t="s">
        <v>98</v>
      </c>
      <c r="M4547">
        <v>8</v>
      </c>
      <c r="N4547" t="s">
        <v>80</v>
      </c>
      <c r="O4547" t="s">
        <v>81</v>
      </c>
      <c r="P4547" t="s">
        <v>12</v>
      </c>
      <c r="Q4547" t="s">
        <v>13</v>
      </c>
      <c r="R4547" t="s">
        <v>13</v>
      </c>
      <c r="S4547" t="s">
        <v>144</v>
      </c>
      <c r="T4547" s="2">
        <f>MASTER[[#This Row],[CANTIDAD]]*MASTER[[#This Row],[PRECIO DE VENTA]]</f>
        <v>1459</v>
      </c>
      <c r="U4547" s="2">
        <f>MASTER[[#This Row],[CANTIDAD]]*MASTER[[#This Row],[COSTO UNITARIO]]</f>
        <v>386</v>
      </c>
      <c r="V4547" s="2">
        <f>MASTER[[#This Row],[MONTO VENDIDO]]-MASTER[[#This Row],[COSTO DE VENTA]]</f>
        <v>1073</v>
      </c>
    </row>
    <row r="4548" spans="1:22" x14ac:dyDescent="0.3">
      <c r="A4548">
        <v>66633</v>
      </c>
      <c r="B4548">
        <v>1</v>
      </c>
      <c r="C4548" t="s">
        <v>90</v>
      </c>
      <c r="D4548" t="s">
        <v>91</v>
      </c>
      <c r="E4548" s="1">
        <v>44338</v>
      </c>
      <c r="F4548">
        <v>1</v>
      </c>
      <c r="G4548" t="s">
        <v>55</v>
      </c>
      <c r="H4548" t="s">
        <v>56</v>
      </c>
      <c r="I4548" s="3">
        <v>1844</v>
      </c>
      <c r="J4548" s="3">
        <v>1696</v>
      </c>
      <c r="K4548" s="3">
        <v>420</v>
      </c>
      <c r="L4548" t="s">
        <v>9</v>
      </c>
      <c r="M4548">
        <v>2</v>
      </c>
      <c r="N4548" t="s">
        <v>86</v>
      </c>
      <c r="O4548" t="s">
        <v>81</v>
      </c>
      <c r="P4548" t="s">
        <v>71</v>
      </c>
      <c r="Q4548" t="s">
        <v>72</v>
      </c>
      <c r="R4548" t="s">
        <v>139</v>
      </c>
      <c r="S4548" t="s">
        <v>144</v>
      </c>
      <c r="T4548" s="2">
        <f>MASTER[[#This Row],[CANTIDAD]]*MASTER[[#This Row],[PRECIO DE VENTA]]</f>
        <v>1696</v>
      </c>
      <c r="U4548" s="2">
        <f>MASTER[[#This Row],[CANTIDAD]]*MASTER[[#This Row],[COSTO UNITARIO]]</f>
        <v>420</v>
      </c>
      <c r="V4548" s="2">
        <f>MASTER[[#This Row],[MONTO VENDIDO]]-MASTER[[#This Row],[COSTO DE VENTA]]</f>
        <v>1276</v>
      </c>
    </row>
    <row r="4549" spans="1:22" x14ac:dyDescent="0.3">
      <c r="A4549">
        <v>66658</v>
      </c>
      <c r="B4549">
        <v>1</v>
      </c>
      <c r="C4549" t="s">
        <v>111</v>
      </c>
      <c r="D4549" t="s">
        <v>112</v>
      </c>
      <c r="E4549" s="1">
        <v>44338</v>
      </c>
      <c r="F4549">
        <v>1</v>
      </c>
      <c r="G4549" t="s">
        <v>29</v>
      </c>
      <c r="H4549" t="s">
        <v>30</v>
      </c>
      <c r="I4549" s="3">
        <v>1524</v>
      </c>
      <c r="J4549" s="3">
        <v>1524</v>
      </c>
      <c r="K4549" s="3">
        <v>434</v>
      </c>
      <c r="L4549" t="s">
        <v>113</v>
      </c>
      <c r="M4549">
        <v>11</v>
      </c>
      <c r="N4549" t="s">
        <v>10</v>
      </c>
      <c r="O4549" t="s">
        <v>11</v>
      </c>
      <c r="P4549" t="s">
        <v>12</v>
      </c>
      <c r="Q4549" t="s">
        <v>13</v>
      </c>
      <c r="R4549" t="s">
        <v>13</v>
      </c>
      <c r="S4549" t="s">
        <v>144</v>
      </c>
      <c r="T4549" s="2">
        <f>MASTER[[#This Row],[CANTIDAD]]*MASTER[[#This Row],[PRECIO DE VENTA]]</f>
        <v>1524</v>
      </c>
      <c r="U4549" s="2">
        <f>MASTER[[#This Row],[CANTIDAD]]*MASTER[[#This Row],[COSTO UNITARIO]]</f>
        <v>434</v>
      </c>
      <c r="V4549" s="2">
        <f>MASTER[[#This Row],[MONTO VENDIDO]]-MASTER[[#This Row],[COSTO DE VENTA]]</f>
        <v>1090</v>
      </c>
    </row>
    <row r="4550" spans="1:22" x14ac:dyDescent="0.3">
      <c r="A4550">
        <v>66659</v>
      </c>
      <c r="B4550">
        <v>1</v>
      </c>
      <c r="C4550" t="s">
        <v>109</v>
      </c>
      <c r="D4550" t="s">
        <v>110</v>
      </c>
      <c r="E4550" s="1">
        <v>44338</v>
      </c>
      <c r="F4550">
        <v>4</v>
      </c>
      <c r="G4550" t="s">
        <v>67</v>
      </c>
      <c r="H4550" t="s">
        <v>68</v>
      </c>
      <c r="I4550" s="3">
        <v>1064</v>
      </c>
      <c r="J4550" s="3">
        <v>1064</v>
      </c>
      <c r="K4550" s="3">
        <v>387</v>
      </c>
      <c r="L4550" t="s">
        <v>98</v>
      </c>
      <c r="M4550">
        <v>14</v>
      </c>
      <c r="N4550" t="s">
        <v>87</v>
      </c>
      <c r="O4550" t="s">
        <v>81</v>
      </c>
      <c r="P4550" t="s">
        <v>18</v>
      </c>
      <c r="Q4550" t="s">
        <v>19</v>
      </c>
      <c r="R4550" t="s">
        <v>138</v>
      </c>
      <c r="S4550" t="s">
        <v>144</v>
      </c>
      <c r="T4550" s="2">
        <f>MASTER[[#This Row],[CANTIDAD]]*MASTER[[#This Row],[PRECIO DE VENTA]]</f>
        <v>4256</v>
      </c>
      <c r="U4550" s="2">
        <f>MASTER[[#This Row],[CANTIDAD]]*MASTER[[#This Row],[COSTO UNITARIO]]</f>
        <v>1548</v>
      </c>
      <c r="V4550" s="2">
        <f>MASTER[[#This Row],[MONTO VENDIDO]]-MASTER[[#This Row],[COSTO DE VENTA]]</f>
        <v>2708</v>
      </c>
    </row>
    <row r="4551" spans="1:22" x14ac:dyDescent="0.3">
      <c r="A4551">
        <v>66679</v>
      </c>
      <c r="B4551">
        <v>1</v>
      </c>
      <c r="C4551" t="s">
        <v>109</v>
      </c>
      <c r="D4551" t="s">
        <v>110</v>
      </c>
      <c r="E4551" s="1">
        <v>44338</v>
      </c>
      <c r="F4551">
        <v>1</v>
      </c>
      <c r="G4551" t="s">
        <v>45</v>
      </c>
      <c r="H4551" t="s">
        <v>46</v>
      </c>
      <c r="I4551" s="3">
        <v>1128</v>
      </c>
      <c r="J4551" s="3">
        <v>1128</v>
      </c>
      <c r="K4551" s="3">
        <v>387</v>
      </c>
      <c r="L4551" t="s">
        <v>98</v>
      </c>
      <c r="M4551">
        <v>3</v>
      </c>
      <c r="N4551" t="s">
        <v>69</v>
      </c>
      <c r="O4551" t="s">
        <v>70</v>
      </c>
      <c r="P4551" t="s">
        <v>71</v>
      </c>
      <c r="Q4551" t="s">
        <v>72</v>
      </c>
      <c r="R4551" t="s">
        <v>139</v>
      </c>
      <c r="S4551" t="s">
        <v>144</v>
      </c>
      <c r="T4551" s="2">
        <f>MASTER[[#This Row],[CANTIDAD]]*MASTER[[#This Row],[PRECIO DE VENTA]]</f>
        <v>1128</v>
      </c>
      <c r="U4551" s="2">
        <f>MASTER[[#This Row],[CANTIDAD]]*MASTER[[#This Row],[COSTO UNITARIO]]</f>
        <v>387</v>
      </c>
      <c r="V4551" s="2">
        <f>MASTER[[#This Row],[MONTO VENDIDO]]-MASTER[[#This Row],[COSTO DE VENTA]]</f>
        <v>741</v>
      </c>
    </row>
    <row r="4552" spans="1:22" x14ac:dyDescent="0.3">
      <c r="A4552">
        <v>66683</v>
      </c>
      <c r="B4552">
        <v>1</v>
      </c>
      <c r="C4552" t="s">
        <v>121</v>
      </c>
      <c r="D4552" t="s">
        <v>122</v>
      </c>
      <c r="E4552" s="1">
        <v>44338</v>
      </c>
      <c r="F4552">
        <v>1</v>
      </c>
      <c r="G4552" t="s">
        <v>73</v>
      </c>
      <c r="H4552" t="s">
        <v>74</v>
      </c>
      <c r="I4552" s="3">
        <v>1069</v>
      </c>
      <c r="J4552" s="3">
        <v>1069</v>
      </c>
      <c r="K4552" s="3">
        <v>460</v>
      </c>
      <c r="L4552" t="s">
        <v>120</v>
      </c>
      <c r="M4552">
        <v>5</v>
      </c>
      <c r="N4552" t="s">
        <v>85</v>
      </c>
      <c r="O4552" t="s">
        <v>81</v>
      </c>
      <c r="P4552" t="s">
        <v>12</v>
      </c>
      <c r="Q4552" t="s">
        <v>13</v>
      </c>
      <c r="R4552" t="s">
        <v>13</v>
      </c>
      <c r="S4552" t="s">
        <v>144</v>
      </c>
      <c r="T4552" s="2">
        <f>MASTER[[#This Row],[CANTIDAD]]*MASTER[[#This Row],[PRECIO DE VENTA]]</f>
        <v>1069</v>
      </c>
      <c r="U4552" s="2">
        <f>MASTER[[#This Row],[CANTIDAD]]*MASTER[[#This Row],[COSTO UNITARIO]]</f>
        <v>460</v>
      </c>
      <c r="V4552" s="2">
        <f>MASTER[[#This Row],[MONTO VENDIDO]]-MASTER[[#This Row],[COSTO DE VENTA]]</f>
        <v>609</v>
      </c>
    </row>
    <row r="4553" spans="1:22" x14ac:dyDescent="0.3">
      <c r="A4553">
        <v>66690</v>
      </c>
      <c r="B4553">
        <v>1</v>
      </c>
      <c r="C4553" t="s">
        <v>90</v>
      </c>
      <c r="D4553" t="s">
        <v>91</v>
      </c>
      <c r="E4553" s="1">
        <v>44338</v>
      </c>
      <c r="F4553">
        <v>1</v>
      </c>
      <c r="G4553" t="s">
        <v>31</v>
      </c>
      <c r="H4553" t="s">
        <v>32</v>
      </c>
      <c r="I4553" s="3">
        <v>2102</v>
      </c>
      <c r="J4553" s="3">
        <v>2102</v>
      </c>
      <c r="K4553" s="3">
        <v>420</v>
      </c>
      <c r="L4553" t="s">
        <v>9</v>
      </c>
      <c r="M4553">
        <v>3</v>
      </c>
      <c r="N4553" t="s">
        <v>69</v>
      </c>
      <c r="O4553" t="s">
        <v>70</v>
      </c>
      <c r="P4553" t="s">
        <v>71</v>
      </c>
      <c r="Q4553" t="s">
        <v>72</v>
      </c>
      <c r="R4553" t="s">
        <v>139</v>
      </c>
      <c r="S4553" t="s">
        <v>144</v>
      </c>
      <c r="T4553" s="2">
        <f>MASTER[[#This Row],[CANTIDAD]]*MASTER[[#This Row],[PRECIO DE VENTA]]</f>
        <v>2102</v>
      </c>
      <c r="U4553" s="2">
        <f>MASTER[[#This Row],[CANTIDAD]]*MASTER[[#This Row],[COSTO UNITARIO]]</f>
        <v>420</v>
      </c>
      <c r="V4553" s="2">
        <f>MASTER[[#This Row],[MONTO VENDIDO]]-MASTER[[#This Row],[COSTO DE VENTA]]</f>
        <v>1682</v>
      </c>
    </row>
    <row r="4554" spans="1:22" x14ac:dyDescent="0.3">
      <c r="A4554">
        <v>66706</v>
      </c>
      <c r="B4554">
        <v>1</v>
      </c>
      <c r="C4554" t="s">
        <v>118</v>
      </c>
      <c r="D4554" t="s">
        <v>119</v>
      </c>
      <c r="E4554" s="1">
        <v>44338</v>
      </c>
      <c r="F4554">
        <v>1</v>
      </c>
      <c r="G4554" t="s">
        <v>27</v>
      </c>
      <c r="H4554" t="s">
        <v>28</v>
      </c>
      <c r="I4554" s="3">
        <v>900</v>
      </c>
      <c r="J4554" s="3">
        <v>900</v>
      </c>
      <c r="K4554" s="3">
        <v>424</v>
      </c>
      <c r="L4554" t="s">
        <v>120</v>
      </c>
      <c r="M4554">
        <v>15</v>
      </c>
      <c r="N4554" t="s">
        <v>88</v>
      </c>
      <c r="O4554" t="s">
        <v>81</v>
      </c>
      <c r="P4554" t="s">
        <v>18</v>
      </c>
      <c r="Q4554" t="s">
        <v>19</v>
      </c>
      <c r="R4554" t="s">
        <v>138</v>
      </c>
      <c r="S4554" t="s">
        <v>144</v>
      </c>
      <c r="T4554" s="2">
        <f>MASTER[[#This Row],[CANTIDAD]]*MASTER[[#This Row],[PRECIO DE VENTA]]</f>
        <v>900</v>
      </c>
      <c r="U4554" s="2">
        <f>MASTER[[#This Row],[CANTIDAD]]*MASTER[[#This Row],[COSTO UNITARIO]]</f>
        <v>424</v>
      </c>
      <c r="V4554" s="2">
        <f>MASTER[[#This Row],[MONTO VENDIDO]]-MASTER[[#This Row],[COSTO DE VENTA]]</f>
        <v>476</v>
      </c>
    </row>
    <row r="4555" spans="1:22" x14ac:dyDescent="0.3">
      <c r="A4555">
        <v>66720</v>
      </c>
      <c r="B4555">
        <v>1</v>
      </c>
      <c r="C4555" t="s">
        <v>114</v>
      </c>
      <c r="D4555" t="s">
        <v>115</v>
      </c>
      <c r="E4555" s="1">
        <v>44339</v>
      </c>
      <c r="F4555">
        <v>1</v>
      </c>
      <c r="G4555" t="s">
        <v>49</v>
      </c>
      <c r="H4555" t="s">
        <v>50</v>
      </c>
      <c r="I4555" s="3">
        <v>2030</v>
      </c>
      <c r="J4555" s="3">
        <v>2030</v>
      </c>
      <c r="K4555" s="3">
        <v>394</v>
      </c>
      <c r="L4555" t="s">
        <v>113</v>
      </c>
      <c r="M4555">
        <v>6</v>
      </c>
      <c r="N4555" t="s">
        <v>75</v>
      </c>
      <c r="O4555" t="s">
        <v>70</v>
      </c>
      <c r="P4555" t="s">
        <v>12</v>
      </c>
      <c r="Q4555" t="s">
        <v>13</v>
      </c>
      <c r="R4555" t="s">
        <v>13</v>
      </c>
      <c r="S4555" t="s">
        <v>144</v>
      </c>
      <c r="T4555" s="2">
        <f>MASTER[[#This Row],[CANTIDAD]]*MASTER[[#This Row],[PRECIO DE VENTA]]</f>
        <v>2030</v>
      </c>
      <c r="U4555" s="2">
        <f>MASTER[[#This Row],[CANTIDAD]]*MASTER[[#This Row],[COSTO UNITARIO]]</f>
        <v>394</v>
      </c>
      <c r="V4555" s="2">
        <f>MASTER[[#This Row],[MONTO VENDIDO]]-MASTER[[#This Row],[COSTO DE VENTA]]</f>
        <v>1636</v>
      </c>
    </row>
    <row r="4556" spans="1:22" x14ac:dyDescent="0.3">
      <c r="A4556">
        <v>66723</v>
      </c>
      <c r="B4556">
        <v>1</v>
      </c>
      <c r="C4556" t="s">
        <v>109</v>
      </c>
      <c r="D4556" t="s">
        <v>110</v>
      </c>
      <c r="E4556" s="1">
        <v>44339</v>
      </c>
      <c r="F4556">
        <v>1</v>
      </c>
      <c r="G4556" t="s">
        <v>53</v>
      </c>
      <c r="H4556" t="s">
        <v>54</v>
      </c>
      <c r="I4556" s="3">
        <v>1128</v>
      </c>
      <c r="J4556" s="3">
        <v>1128</v>
      </c>
      <c r="K4556" s="3">
        <v>387</v>
      </c>
      <c r="L4556" t="s">
        <v>98</v>
      </c>
      <c r="M4556">
        <v>13</v>
      </c>
      <c r="N4556" t="s">
        <v>78</v>
      </c>
      <c r="O4556" t="s">
        <v>70</v>
      </c>
      <c r="P4556" t="s">
        <v>18</v>
      </c>
      <c r="Q4556" t="s">
        <v>19</v>
      </c>
      <c r="R4556" t="s">
        <v>138</v>
      </c>
      <c r="S4556" t="s">
        <v>144</v>
      </c>
      <c r="T4556" s="2">
        <f>MASTER[[#This Row],[CANTIDAD]]*MASTER[[#This Row],[PRECIO DE VENTA]]</f>
        <v>1128</v>
      </c>
      <c r="U4556" s="2">
        <f>MASTER[[#This Row],[CANTIDAD]]*MASTER[[#This Row],[COSTO UNITARIO]]</f>
        <v>387</v>
      </c>
      <c r="V4556" s="2">
        <f>MASTER[[#This Row],[MONTO VENDIDO]]-MASTER[[#This Row],[COSTO DE VENTA]]</f>
        <v>741</v>
      </c>
    </row>
    <row r="4557" spans="1:22" x14ac:dyDescent="0.3">
      <c r="A4557">
        <v>66749</v>
      </c>
      <c r="B4557">
        <v>1</v>
      </c>
      <c r="C4557" t="s">
        <v>116</v>
      </c>
      <c r="D4557" t="s">
        <v>117</v>
      </c>
      <c r="E4557" s="1">
        <v>44339</v>
      </c>
      <c r="F4557">
        <v>1</v>
      </c>
      <c r="G4557" t="s">
        <v>41</v>
      </c>
      <c r="H4557" t="s">
        <v>42</v>
      </c>
      <c r="I4557" s="3">
        <v>1738</v>
      </c>
      <c r="J4557" s="3">
        <v>1598</v>
      </c>
      <c r="K4557" s="3">
        <v>388</v>
      </c>
      <c r="L4557" t="s">
        <v>113</v>
      </c>
      <c r="M4557">
        <v>8</v>
      </c>
      <c r="N4557" t="s">
        <v>80</v>
      </c>
      <c r="O4557" t="s">
        <v>81</v>
      </c>
      <c r="P4557" t="s">
        <v>12</v>
      </c>
      <c r="Q4557" t="s">
        <v>13</v>
      </c>
      <c r="R4557" t="s">
        <v>13</v>
      </c>
      <c r="S4557" t="s">
        <v>144</v>
      </c>
      <c r="T4557" s="2">
        <f>MASTER[[#This Row],[CANTIDAD]]*MASTER[[#This Row],[PRECIO DE VENTA]]</f>
        <v>1598</v>
      </c>
      <c r="U4557" s="2">
        <f>MASTER[[#This Row],[CANTIDAD]]*MASTER[[#This Row],[COSTO UNITARIO]]</f>
        <v>388</v>
      </c>
      <c r="V4557" s="2">
        <f>MASTER[[#This Row],[MONTO VENDIDO]]-MASTER[[#This Row],[COSTO DE VENTA]]</f>
        <v>1210</v>
      </c>
    </row>
    <row r="4558" spans="1:22" x14ac:dyDescent="0.3">
      <c r="A4558">
        <v>66763</v>
      </c>
      <c r="B4558">
        <v>1</v>
      </c>
      <c r="C4558" t="s">
        <v>94</v>
      </c>
      <c r="D4558" t="s">
        <v>95</v>
      </c>
      <c r="E4558" s="1">
        <v>44339</v>
      </c>
      <c r="F4558">
        <v>1</v>
      </c>
      <c r="G4558" t="s">
        <v>49</v>
      </c>
      <c r="H4558" t="s">
        <v>50</v>
      </c>
      <c r="I4558" s="3">
        <v>1048</v>
      </c>
      <c r="J4558" s="3">
        <v>1048</v>
      </c>
      <c r="K4558" s="3">
        <v>392</v>
      </c>
      <c r="L4558" t="s">
        <v>9</v>
      </c>
      <c r="M4558">
        <v>7</v>
      </c>
      <c r="N4558" t="s">
        <v>84</v>
      </c>
      <c r="O4558" t="s">
        <v>81</v>
      </c>
      <c r="P4558" t="s">
        <v>12</v>
      </c>
      <c r="Q4558" t="s">
        <v>13</v>
      </c>
      <c r="R4558" t="s">
        <v>13</v>
      </c>
      <c r="S4558" t="s">
        <v>144</v>
      </c>
      <c r="T4558" s="2">
        <f>MASTER[[#This Row],[CANTIDAD]]*MASTER[[#This Row],[PRECIO DE VENTA]]</f>
        <v>1048</v>
      </c>
      <c r="U4558" s="2">
        <f>MASTER[[#This Row],[CANTIDAD]]*MASTER[[#This Row],[COSTO UNITARIO]]</f>
        <v>392</v>
      </c>
      <c r="V4558" s="2">
        <f>MASTER[[#This Row],[MONTO VENDIDO]]-MASTER[[#This Row],[COSTO DE VENTA]]</f>
        <v>656</v>
      </c>
    </row>
    <row r="4559" spans="1:22" x14ac:dyDescent="0.3">
      <c r="A4559">
        <v>66784</v>
      </c>
      <c r="B4559">
        <v>1</v>
      </c>
      <c r="C4559" t="s">
        <v>90</v>
      </c>
      <c r="D4559" t="s">
        <v>91</v>
      </c>
      <c r="E4559" s="1">
        <v>44339</v>
      </c>
      <c r="F4559">
        <v>1</v>
      </c>
      <c r="G4559" t="s">
        <v>47</v>
      </c>
      <c r="H4559" t="s">
        <v>48</v>
      </c>
      <c r="I4559" s="3">
        <v>2102</v>
      </c>
      <c r="J4559" s="3">
        <v>2017</v>
      </c>
      <c r="K4559" s="3">
        <v>420</v>
      </c>
      <c r="L4559" t="s">
        <v>9</v>
      </c>
      <c r="M4559">
        <v>13</v>
      </c>
      <c r="N4559" t="s">
        <v>78</v>
      </c>
      <c r="O4559" t="s">
        <v>70</v>
      </c>
      <c r="P4559" t="s">
        <v>18</v>
      </c>
      <c r="Q4559" t="s">
        <v>19</v>
      </c>
      <c r="R4559" t="s">
        <v>138</v>
      </c>
      <c r="S4559" t="s">
        <v>144</v>
      </c>
      <c r="T4559" s="2">
        <f>MASTER[[#This Row],[CANTIDAD]]*MASTER[[#This Row],[PRECIO DE VENTA]]</f>
        <v>2017</v>
      </c>
      <c r="U4559" s="2">
        <f>MASTER[[#This Row],[CANTIDAD]]*MASTER[[#This Row],[COSTO UNITARIO]]</f>
        <v>420</v>
      </c>
      <c r="V4559" s="2">
        <f>MASTER[[#This Row],[MONTO VENDIDO]]-MASTER[[#This Row],[COSTO DE VENTA]]</f>
        <v>1597</v>
      </c>
    </row>
    <row r="4560" spans="1:22" x14ac:dyDescent="0.3">
      <c r="A4560">
        <v>66800</v>
      </c>
      <c r="B4560">
        <v>1</v>
      </c>
      <c r="C4560" t="s">
        <v>109</v>
      </c>
      <c r="D4560" t="s">
        <v>110</v>
      </c>
      <c r="E4560" s="1">
        <v>44339</v>
      </c>
      <c r="F4560">
        <v>4</v>
      </c>
      <c r="G4560" t="s">
        <v>33</v>
      </c>
      <c r="H4560" t="s">
        <v>34</v>
      </c>
      <c r="I4560" s="3">
        <v>947</v>
      </c>
      <c r="J4560" s="3">
        <v>947</v>
      </c>
      <c r="K4560" s="3">
        <v>387</v>
      </c>
      <c r="L4560" t="s">
        <v>98</v>
      </c>
      <c r="M4560">
        <v>12</v>
      </c>
      <c r="N4560" t="s">
        <v>26</v>
      </c>
      <c r="O4560" t="s">
        <v>11</v>
      </c>
      <c r="P4560" t="s">
        <v>12</v>
      </c>
      <c r="Q4560" t="s">
        <v>13</v>
      </c>
      <c r="R4560" t="s">
        <v>13</v>
      </c>
      <c r="S4560" t="s">
        <v>144</v>
      </c>
      <c r="T4560" s="2">
        <f>MASTER[[#This Row],[CANTIDAD]]*MASTER[[#This Row],[PRECIO DE VENTA]]</f>
        <v>3788</v>
      </c>
      <c r="U4560" s="2">
        <f>MASTER[[#This Row],[CANTIDAD]]*MASTER[[#This Row],[COSTO UNITARIO]]</f>
        <v>1548</v>
      </c>
      <c r="V4560" s="2">
        <f>MASTER[[#This Row],[MONTO VENDIDO]]-MASTER[[#This Row],[COSTO DE VENTA]]</f>
        <v>2240</v>
      </c>
    </row>
    <row r="4561" spans="1:22" x14ac:dyDescent="0.3">
      <c r="A4561">
        <v>66830</v>
      </c>
      <c r="B4561">
        <v>1</v>
      </c>
      <c r="C4561" t="s">
        <v>107</v>
      </c>
      <c r="D4561" t="s">
        <v>108</v>
      </c>
      <c r="E4561" s="1">
        <v>44339</v>
      </c>
      <c r="F4561">
        <v>1</v>
      </c>
      <c r="G4561" t="s">
        <v>47</v>
      </c>
      <c r="H4561" t="s">
        <v>48</v>
      </c>
      <c r="I4561" s="3">
        <v>1440</v>
      </c>
      <c r="J4561" s="3">
        <v>1440</v>
      </c>
      <c r="K4561" s="3">
        <v>380</v>
      </c>
      <c r="L4561" t="s">
        <v>98</v>
      </c>
      <c r="M4561">
        <v>1</v>
      </c>
      <c r="N4561" t="s">
        <v>77</v>
      </c>
      <c r="O4561" t="s">
        <v>70</v>
      </c>
      <c r="P4561" t="s">
        <v>71</v>
      </c>
      <c r="Q4561" t="s">
        <v>72</v>
      </c>
      <c r="R4561" t="s">
        <v>139</v>
      </c>
      <c r="S4561" t="s">
        <v>144</v>
      </c>
      <c r="T4561" s="2">
        <f>MASTER[[#This Row],[CANTIDAD]]*MASTER[[#This Row],[PRECIO DE VENTA]]</f>
        <v>1440</v>
      </c>
      <c r="U4561" s="2">
        <f>MASTER[[#This Row],[CANTIDAD]]*MASTER[[#This Row],[COSTO UNITARIO]]</f>
        <v>380</v>
      </c>
      <c r="V4561" s="2">
        <f>MASTER[[#This Row],[MONTO VENDIDO]]-MASTER[[#This Row],[COSTO DE VENTA]]</f>
        <v>1060</v>
      </c>
    </row>
    <row r="4562" spans="1:22" x14ac:dyDescent="0.3">
      <c r="A4562">
        <v>66856</v>
      </c>
      <c r="B4562">
        <v>1</v>
      </c>
      <c r="C4562" t="s">
        <v>116</v>
      </c>
      <c r="D4562" t="s">
        <v>117</v>
      </c>
      <c r="E4562" s="1">
        <v>44339</v>
      </c>
      <c r="F4562">
        <v>1</v>
      </c>
      <c r="G4562" t="s">
        <v>33</v>
      </c>
      <c r="H4562" t="s">
        <v>34</v>
      </c>
      <c r="I4562" s="3">
        <v>1999</v>
      </c>
      <c r="J4562" s="3">
        <v>1919</v>
      </c>
      <c r="K4562" s="3">
        <v>388</v>
      </c>
      <c r="L4562" t="s">
        <v>113</v>
      </c>
      <c r="M4562">
        <v>3</v>
      </c>
      <c r="N4562" t="s">
        <v>69</v>
      </c>
      <c r="O4562" t="s">
        <v>70</v>
      </c>
      <c r="P4562" t="s">
        <v>71</v>
      </c>
      <c r="Q4562" t="s">
        <v>72</v>
      </c>
      <c r="R4562" t="s">
        <v>139</v>
      </c>
      <c r="S4562" t="s">
        <v>144</v>
      </c>
      <c r="T4562" s="2">
        <f>MASTER[[#This Row],[CANTIDAD]]*MASTER[[#This Row],[PRECIO DE VENTA]]</f>
        <v>1919</v>
      </c>
      <c r="U4562" s="2">
        <f>MASTER[[#This Row],[CANTIDAD]]*MASTER[[#This Row],[COSTO UNITARIO]]</f>
        <v>388</v>
      </c>
      <c r="V4562" s="2">
        <f>MASTER[[#This Row],[MONTO VENDIDO]]-MASTER[[#This Row],[COSTO DE VENTA]]</f>
        <v>1531</v>
      </c>
    </row>
    <row r="4563" spans="1:22" x14ac:dyDescent="0.3">
      <c r="A4563">
        <v>66864</v>
      </c>
      <c r="B4563">
        <v>1</v>
      </c>
      <c r="C4563" t="s">
        <v>90</v>
      </c>
      <c r="D4563" t="s">
        <v>91</v>
      </c>
      <c r="E4563" s="1">
        <v>44339</v>
      </c>
      <c r="F4563">
        <v>1</v>
      </c>
      <c r="G4563" t="s">
        <v>22</v>
      </c>
      <c r="H4563" t="s">
        <v>23</v>
      </c>
      <c r="I4563" s="3">
        <v>1660</v>
      </c>
      <c r="J4563" s="3">
        <v>1593</v>
      </c>
      <c r="K4563" s="3">
        <v>420</v>
      </c>
      <c r="L4563" t="s">
        <v>9</v>
      </c>
      <c r="M4563">
        <v>12</v>
      </c>
      <c r="N4563" t="s">
        <v>26</v>
      </c>
      <c r="O4563" t="s">
        <v>11</v>
      </c>
      <c r="P4563" t="s">
        <v>12</v>
      </c>
      <c r="Q4563" t="s">
        <v>13</v>
      </c>
      <c r="R4563" t="s">
        <v>13</v>
      </c>
      <c r="S4563" t="s">
        <v>144</v>
      </c>
      <c r="T4563" s="2">
        <f>MASTER[[#This Row],[CANTIDAD]]*MASTER[[#This Row],[PRECIO DE VENTA]]</f>
        <v>1593</v>
      </c>
      <c r="U4563" s="2">
        <f>MASTER[[#This Row],[CANTIDAD]]*MASTER[[#This Row],[COSTO UNITARIO]]</f>
        <v>420</v>
      </c>
      <c r="V4563" s="2">
        <f>MASTER[[#This Row],[MONTO VENDIDO]]-MASTER[[#This Row],[COSTO DE VENTA]]</f>
        <v>1173</v>
      </c>
    </row>
    <row r="4564" spans="1:22" x14ac:dyDescent="0.3">
      <c r="A4564">
        <v>66878</v>
      </c>
      <c r="B4564">
        <v>1</v>
      </c>
      <c r="C4564" t="s">
        <v>5</v>
      </c>
      <c r="D4564" t="s">
        <v>6</v>
      </c>
      <c r="E4564" s="1">
        <v>44339</v>
      </c>
      <c r="F4564">
        <v>1</v>
      </c>
      <c r="G4564" t="s">
        <v>73</v>
      </c>
      <c r="H4564" t="s">
        <v>74</v>
      </c>
      <c r="I4564" s="3">
        <v>1507</v>
      </c>
      <c r="J4564" s="3">
        <v>1507</v>
      </c>
      <c r="K4564" s="3">
        <v>393</v>
      </c>
      <c r="L4564" t="s">
        <v>9</v>
      </c>
      <c r="M4564">
        <v>8</v>
      </c>
      <c r="N4564" t="s">
        <v>80</v>
      </c>
      <c r="O4564" t="s">
        <v>81</v>
      </c>
      <c r="P4564" t="s">
        <v>12</v>
      </c>
      <c r="Q4564" t="s">
        <v>13</v>
      </c>
      <c r="R4564" t="s">
        <v>13</v>
      </c>
      <c r="S4564" t="s">
        <v>144</v>
      </c>
      <c r="T4564" s="2">
        <f>MASTER[[#This Row],[CANTIDAD]]*MASTER[[#This Row],[PRECIO DE VENTA]]</f>
        <v>1507</v>
      </c>
      <c r="U4564" s="2">
        <f>MASTER[[#This Row],[CANTIDAD]]*MASTER[[#This Row],[COSTO UNITARIO]]</f>
        <v>393</v>
      </c>
      <c r="V4564" s="2">
        <f>MASTER[[#This Row],[MONTO VENDIDO]]-MASTER[[#This Row],[COSTO DE VENTA]]</f>
        <v>1114</v>
      </c>
    </row>
    <row r="4565" spans="1:22" x14ac:dyDescent="0.3">
      <c r="A4565">
        <v>66903</v>
      </c>
      <c r="B4565">
        <v>1</v>
      </c>
      <c r="C4565" t="s">
        <v>114</v>
      </c>
      <c r="D4565" t="s">
        <v>115</v>
      </c>
      <c r="E4565" s="1">
        <v>44339</v>
      </c>
      <c r="F4565">
        <v>1</v>
      </c>
      <c r="G4565" t="s">
        <v>22</v>
      </c>
      <c r="H4565" t="s">
        <v>23</v>
      </c>
      <c r="I4565" s="3">
        <v>1862</v>
      </c>
      <c r="J4565" s="3">
        <v>1862</v>
      </c>
      <c r="K4565" s="3">
        <v>394</v>
      </c>
      <c r="L4565" t="s">
        <v>113</v>
      </c>
      <c r="M4565">
        <v>10</v>
      </c>
      <c r="N4565" t="s">
        <v>83</v>
      </c>
      <c r="O4565" t="s">
        <v>81</v>
      </c>
      <c r="P4565" t="s">
        <v>12</v>
      </c>
      <c r="Q4565" t="s">
        <v>13</v>
      </c>
      <c r="R4565" t="s">
        <v>13</v>
      </c>
      <c r="S4565" t="s">
        <v>144</v>
      </c>
      <c r="T4565" s="2">
        <f>MASTER[[#This Row],[CANTIDAD]]*MASTER[[#This Row],[PRECIO DE VENTA]]</f>
        <v>1862</v>
      </c>
      <c r="U4565" s="2">
        <f>MASTER[[#This Row],[CANTIDAD]]*MASTER[[#This Row],[COSTO UNITARIO]]</f>
        <v>394</v>
      </c>
      <c r="V4565" s="2">
        <f>MASTER[[#This Row],[MONTO VENDIDO]]-MASTER[[#This Row],[COSTO DE VENTA]]</f>
        <v>1468</v>
      </c>
    </row>
    <row r="4566" spans="1:22" x14ac:dyDescent="0.3">
      <c r="A4566">
        <v>66907</v>
      </c>
      <c r="B4566">
        <v>1</v>
      </c>
      <c r="C4566" t="s">
        <v>96</v>
      </c>
      <c r="D4566" t="s">
        <v>97</v>
      </c>
      <c r="E4566" s="1">
        <v>44339</v>
      </c>
      <c r="F4566">
        <v>1</v>
      </c>
      <c r="G4566" t="s">
        <v>39</v>
      </c>
      <c r="H4566" t="s">
        <v>40</v>
      </c>
      <c r="I4566" s="3">
        <v>1361</v>
      </c>
      <c r="J4566" s="3">
        <v>1361</v>
      </c>
      <c r="K4566" s="3">
        <v>397</v>
      </c>
      <c r="L4566" t="s">
        <v>98</v>
      </c>
      <c r="M4566">
        <v>1</v>
      </c>
      <c r="N4566" t="s">
        <v>77</v>
      </c>
      <c r="O4566" t="s">
        <v>70</v>
      </c>
      <c r="P4566" t="s">
        <v>71</v>
      </c>
      <c r="Q4566" t="s">
        <v>72</v>
      </c>
      <c r="R4566" t="s">
        <v>139</v>
      </c>
      <c r="S4566" t="s">
        <v>144</v>
      </c>
      <c r="T4566" s="2">
        <f>MASTER[[#This Row],[CANTIDAD]]*MASTER[[#This Row],[PRECIO DE VENTA]]</f>
        <v>1361</v>
      </c>
      <c r="U4566" s="2">
        <f>MASTER[[#This Row],[CANTIDAD]]*MASTER[[#This Row],[COSTO UNITARIO]]</f>
        <v>397</v>
      </c>
      <c r="V4566" s="2">
        <f>MASTER[[#This Row],[MONTO VENDIDO]]-MASTER[[#This Row],[COSTO DE VENTA]]</f>
        <v>964</v>
      </c>
    </row>
    <row r="4567" spans="1:22" x14ac:dyDescent="0.3">
      <c r="A4567">
        <v>66932</v>
      </c>
      <c r="B4567">
        <v>1</v>
      </c>
      <c r="C4567" t="s">
        <v>109</v>
      </c>
      <c r="D4567" t="s">
        <v>110</v>
      </c>
      <c r="E4567" s="1">
        <v>44340</v>
      </c>
      <c r="F4567">
        <v>1</v>
      </c>
      <c r="G4567" t="s">
        <v>39</v>
      </c>
      <c r="H4567" t="s">
        <v>40</v>
      </c>
      <c r="I4567" s="3">
        <v>947</v>
      </c>
      <c r="J4567" s="3">
        <v>947</v>
      </c>
      <c r="K4567" s="3">
        <v>387</v>
      </c>
      <c r="L4567" t="s">
        <v>98</v>
      </c>
      <c r="M4567">
        <v>17</v>
      </c>
      <c r="N4567" t="s">
        <v>14</v>
      </c>
      <c r="O4567" t="s">
        <v>11</v>
      </c>
      <c r="P4567" t="s">
        <v>15</v>
      </c>
      <c r="Q4567" t="s">
        <v>16</v>
      </c>
      <c r="R4567" t="s">
        <v>16</v>
      </c>
      <c r="S4567" t="s">
        <v>144</v>
      </c>
      <c r="T4567" s="2">
        <f>MASTER[[#This Row],[CANTIDAD]]*MASTER[[#This Row],[PRECIO DE VENTA]]</f>
        <v>947</v>
      </c>
      <c r="U4567" s="2">
        <f>MASTER[[#This Row],[CANTIDAD]]*MASTER[[#This Row],[COSTO UNITARIO]]</f>
        <v>387</v>
      </c>
      <c r="V4567" s="2">
        <f>MASTER[[#This Row],[MONTO VENDIDO]]-MASTER[[#This Row],[COSTO DE VENTA]]</f>
        <v>560</v>
      </c>
    </row>
    <row r="4568" spans="1:22" x14ac:dyDescent="0.3">
      <c r="A4568">
        <v>66940</v>
      </c>
      <c r="B4568">
        <v>1</v>
      </c>
      <c r="C4568" t="s">
        <v>116</v>
      </c>
      <c r="D4568" t="s">
        <v>117</v>
      </c>
      <c r="E4568" s="1">
        <v>44340</v>
      </c>
      <c r="F4568">
        <v>1</v>
      </c>
      <c r="G4568" t="s">
        <v>35</v>
      </c>
      <c r="H4568" t="s">
        <v>36</v>
      </c>
      <c r="I4568" s="3">
        <v>1529</v>
      </c>
      <c r="J4568" s="3">
        <v>1529</v>
      </c>
      <c r="K4568" s="3">
        <v>388</v>
      </c>
      <c r="L4568" t="s">
        <v>113</v>
      </c>
      <c r="M4568">
        <v>16</v>
      </c>
      <c r="N4568" t="s">
        <v>17</v>
      </c>
      <c r="O4568" t="s">
        <v>11</v>
      </c>
      <c r="P4568" t="s">
        <v>18</v>
      </c>
      <c r="Q4568" t="s">
        <v>19</v>
      </c>
      <c r="R4568" t="s">
        <v>138</v>
      </c>
      <c r="S4568" t="s">
        <v>144</v>
      </c>
      <c r="T4568" s="2">
        <f>MASTER[[#This Row],[CANTIDAD]]*MASTER[[#This Row],[PRECIO DE VENTA]]</f>
        <v>1529</v>
      </c>
      <c r="U4568" s="2">
        <f>MASTER[[#This Row],[CANTIDAD]]*MASTER[[#This Row],[COSTO UNITARIO]]</f>
        <v>388</v>
      </c>
      <c r="V4568" s="2">
        <f>MASTER[[#This Row],[MONTO VENDIDO]]-MASTER[[#This Row],[COSTO DE VENTA]]</f>
        <v>1141</v>
      </c>
    </row>
    <row r="4569" spans="1:22" x14ac:dyDescent="0.3">
      <c r="A4569">
        <v>66942</v>
      </c>
      <c r="B4569">
        <v>1</v>
      </c>
      <c r="C4569" t="s">
        <v>118</v>
      </c>
      <c r="D4569" t="s">
        <v>119</v>
      </c>
      <c r="E4569" s="1">
        <v>44340</v>
      </c>
      <c r="F4569">
        <v>1</v>
      </c>
      <c r="G4569" t="s">
        <v>57</v>
      </c>
      <c r="H4569" t="s">
        <v>58</v>
      </c>
      <c r="I4569" s="3">
        <v>1026</v>
      </c>
      <c r="J4569" s="3">
        <v>1026</v>
      </c>
      <c r="K4569" s="3">
        <v>424</v>
      </c>
      <c r="L4569" t="s">
        <v>120</v>
      </c>
      <c r="M4569">
        <v>3</v>
      </c>
      <c r="N4569" t="s">
        <v>69</v>
      </c>
      <c r="O4569" t="s">
        <v>70</v>
      </c>
      <c r="P4569" t="s">
        <v>71</v>
      </c>
      <c r="Q4569" t="s">
        <v>72</v>
      </c>
      <c r="R4569" t="s">
        <v>139</v>
      </c>
      <c r="S4569" t="s">
        <v>144</v>
      </c>
      <c r="T4569" s="2">
        <f>MASTER[[#This Row],[CANTIDAD]]*MASTER[[#This Row],[PRECIO DE VENTA]]</f>
        <v>1026</v>
      </c>
      <c r="U4569" s="2">
        <f>MASTER[[#This Row],[CANTIDAD]]*MASTER[[#This Row],[COSTO UNITARIO]]</f>
        <v>424</v>
      </c>
      <c r="V4569" s="2">
        <f>MASTER[[#This Row],[MONTO VENDIDO]]-MASTER[[#This Row],[COSTO DE VENTA]]</f>
        <v>602</v>
      </c>
    </row>
    <row r="4570" spans="1:22" x14ac:dyDescent="0.3">
      <c r="A4570">
        <v>66960</v>
      </c>
      <c r="B4570">
        <v>1</v>
      </c>
      <c r="C4570" t="s">
        <v>92</v>
      </c>
      <c r="D4570" t="s">
        <v>93</v>
      </c>
      <c r="E4570" s="1">
        <v>44340</v>
      </c>
      <c r="F4570">
        <v>1</v>
      </c>
      <c r="G4570" t="s">
        <v>49</v>
      </c>
      <c r="H4570" t="s">
        <v>50</v>
      </c>
      <c r="I4570" s="3">
        <v>1479</v>
      </c>
      <c r="J4570" s="3">
        <v>1390</v>
      </c>
      <c r="K4570" s="3">
        <v>396</v>
      </c>
      <c r="L4570" t="s">
        <v>9</v>
      </c>
      <c r="M4570">
        <v>12</v>
      </c>
      <c r="N4570" t="s">
        <v>26</v>
      </c>
      <c r="O4570" t="s">
        <v>11</v>
      </c>
      <c r="P4570" t="s">
        <v>12</v>
      </c>
      <c r="Q4570" t="s">
        <v>13</v>
      </c>
      <c r="R4570" t="s">
        <v>13</v>
      </c>
      <c r="S4570" t="s">
        <v>144</v>
      </c>
      <c r="T4570" s="2">
        <f>MASTER[[#This Row],[CANTIDAD]]*MASTER[[#This Row],[PRECIO DE VENTA]]</f>
        <v>1390</v>
      </c>
      <c r="U4570" s="2">
        <f>MASTER[[#This Row],[CANTIDAD]]*MASTER[[#This Row],[COSTO UNITARIO]]</f>
        <v>396</v>
      </c>
      <c r="V4570" s="2">
        <f>MASTER[[#This Row],[MONTO VENDIDO]]-MASTER[[#This Row],[COSTO DE VENTA]]</f>
        <v>994</v>
      </c>
    </row>
    <row r="4571" spans="1:22" x14ac:dyDescent="0.3">
      <c r="A4571">
        <v>66980</v>
      </c>
      <c r="B4571">
        <v>1</v>
      </c>
      <c r="C4571" t="s">
        <v>116</v>
      </c>
      <c r="D4571" t="s">
        <v>117</v>
      </c>
      <c r="E4571" s="1">
        <v>44340</v>
      </c>
      <c r="F4571">
        <v>1</v>
      </c>
      <c r="G4571" t="s">
        <v>73</v>
      </c>
      <c r="H4571" t="s">
        <v>74</v>
      </c>
      <c r="I4571" s="3">
        <v>1738</v>
      </c>
      <c r="J4571" s="3">
        <v>1738</v>
      </c>
      <c r="K4571" s="3">
        <v>388</v>
      </c>
      <c r="L4571" t="s">
        <v>113</v>
      </c>
      <c r="M4571">
        <v>5</v>
      </c>
      <c r="N4571" t="s">
        <v>85</v>
      </c>
      <c r="O4571" t="s">
        <v>81</v>
      </c>
      <c r="P4571" t="s">
        <v>12</v>
      </c>
      <c r="Q4571" t="s">
        <v>13</v>
      </c>
      <c r="R4571" t="s">
        <v>13</v>
      </c>
      <c r="S4571" t="s">
        <v>144</v>
      </c>
      <c r="T4571" s="2">
        <f>MASTER[[#This Row],[CANTIDAD]]*MASTER[[#This Row],[PRECIO DE VENTA]]</f>
        <v>1738</v>
      </c>
      <c r="U4571" s="2">
        <f>MASTER[[#This Row],[CANTIDAD]]*MASTER[[#This Row],[COSTO UNITARIO]]</f>
        <v>388</v>
      </c>
      <c r="V4571" s="2">
        <f>MASTER[[#This Row],[MONTO VENDIDO]]-MASTER[[#This Row],[COSTO DE VENTA]]</f>
        <v>1350</v>
      </c>
    </row>
    <row r="4572" spans="1:22" x14ac:dyDescent="0.3">
      <c r="A4572">
        <v>67037</v>
      </c>
      <c r="B4572">
        <v>1</v>
      </c>
      <c r="C4572" t="s">
        <v>118</v>
      </c>
      <c r="D4572" t="s">
        <v>119</v>
      </c>
      <c r="E4572" s="1">
        <v>44340</v>
      </c>
      <c r="F4572">
        <v>1</v>
      </c>
      <c r="G4572" t="s">
        <v>61</v>
      </c>
      <c r="H4572" t="s">
        <v>62</v>
      </c>
      <c r="I4572" s="3">
        <v>1026</v>
      </c>
      <c r="J4572" s="3">
        <v>1026</v>
      </c>
      <c r="K4572" s="3">
        <v>424</v>
      </c>
      <c r="L4572" t="s">
        <v>120</v>
      </c>
      <c r="M4572">
        <v>3</v>
      </c>
      <c r="N4572" t="s">
        <v>69</v>
      </c>
      <c r="O4572" t="s">
        <v>70</v>
      </c>
      <c r="P4572" t="s">
        <v>71</v>
      </c>
      <c r="Q4572" t="s">
        <v>72</v>
      </c>
      <c r="R4572" t="s">
        <v>139</v>
      </c>
      <c r="S4572" t="s">
        <v>144</v>
      </c>
      <c r="T4572" s="2">
        <f>MASTER[[#This Row],[CANTIDAD]]*MASTER[[#This Row],[PRECIO DE VENTA]]</f>
        <v>1026</v>
      </c>
      <c r="U4572" s="2">
        <f>MASTER[[#This Row],[CANTIDAD]]*MASTER[[#This Row],[COSTO UNITARIO]]</f>
        <v>424</v>
      </c>
      <c r="V4572" s="2">
        <f>MASTER[[#This Row],[MONTO VENDIDO]]-MASTER[[#This Row],[COSTO DE VENTA]]</f>
        <v>602</v>
      </c>
    </row>
    <row r="4573" spans="1:22" x14ac:dyDescent="0.3">
      <c r="A4573">
        <v>67038</v>
      </c>
      <c r="B4573">
        <v>1</v>
      </c>
      <c r="C4573" t="s">
        <v>105</v>
      </c>
      <c r="D4573" t="s">
        <v>106</v>
      </c>
      <c r="E4573" s="1">
        <v>44341</v>
      </c>
      <c r="F4573">
        <v>1</v>
      </c>
      <c r="G4573" t="s">
        <v>47</v>
      </c>
      <c r="H4573" t="s">
        <v>48</v>
      </c>
      <c r="I4573" s="3">
        <v>1865</v>
      </c>
      <c r="J4573" s="3">
        <v>1865</v>
      </c>
      <c r="K4573" s="3">
        <v>459</v>
      </c>
      <c r="L4573" t="s">
        <v>98</v>
      </c>
      <c r="M4573">
        <v>15</v>
      </c>
      <c r="N4573" t="s">
        <v>88</v>
      </c>
      <c r="O4573" t="s">
        <v>81</v>
      </c>
      <c r="P4573" t="s">
        <v>18</v>
      </c>
      <c r="Q4573" t="s">
        <v>19</v>
      </c>
      <c r="R4573" t="s">
        <v>138</v>
      </c>
      <c r="S4573" t="s">
        <v>144</v>
      </c>
      <c r="T4573" s="2">
        <f>MASTER[[#This Row],[CANTIDAD]]*MASTER[[#This Row],[PRECIO DE VENTA]]</f>
        <v>1865</v>
      </c>
      <c r="U4573" s="2">
        <f>MASTER[[#This Row],[CANTIDAD]]*MASTER[[#This Row],[COSTO UNITARIO]]</f>
        <v>459</v>
      </c>
      <c r="V4573" s="2">
        <f>MASTER[[#This Row],[MONTO VENDIDO]]-MASTER[[#This Row],[COSTO DE VENTA]]</f>
        <v>1406</v>
      </c>
    </row>
    <row r="4574" spans="1:22" x14ac:dyDescent="0.3">
      <c r="A4574">
        <v>67039</v>
      </c>
      <c r="B4574">
        <v>1</v>
      </c>
      <c r="C4574" t="s">
        <v>96</v>
      </c>
      <c r="D4574" t="s">
        <v>97</v>
      </c>
      <c r="E4574" s="1">
        <v>44341</v>
      </c>
      <c r="F4574">
        <v>1</v>
      </c>
      <c r="G4574" t="s">
        <v>7</v>
      </c>
      <c r="H4574" t="s">
        <v>8</v>
      </c>
      <c r="I4574" s="3">
        <v>1196</v>
      </c>
      <c r="J4574" s="3">
        <v>1196</v>
      </c>
      <c r="K4574" s="3">
        <v>397</v>
      </c>
      <c r="L4574" t="s">
        <v>98</v>
      </c>
      <c r="M4574">
        <v>16</v>
      </c>
      <c r="N4574" t="s">
        <v>17</v>
      </c>
      <c r="O4574" t="s">
        <v>11</v>
      </c>
      <c r="P4574" t="s">
        <v>18</v>
      </c>
      <c r="Q4574" t="s">
        <v>19</v>
      </c>
      <c r="R4574" t="s">
        <v>138</v>
      </c>
      <c r="S4574" t="s">
        <v>144</v>
      </c>
      <c r="T4574" s="2">
        <f>MASTER[[#This Row],[CANTIDAD]]*MASTER[[#This Row],[PRECIO DE VENTA]]</f>
        <v>1196</v>
      </c>
      <c r="U4574" s="2">
        <f>MASTER[[#This Row],[CANTIDAD]]*MASTER[[#This Row],[COSTO UNITARIO]]</f>
        <v>397</v>
      </c>
      <c r="V4574" s="2">
        <f>MASTER[[#This Row],[MONTO VENDIDO]]-MASTER[[#This Row],[COSTO DE VENTA]]</f>
        <v>799</v>
      </c>
    </row>
    <row r="4575" spans="1:22" x14ac:dyDescent="0.3">
      <c r="A4575">
        <v>67047</v>
      </c>
      <c r="B4575">
        <v>1</v>
      </c>
      <c r="C4575" t="s">
        <v>116</v>
      </c>
      <c r="D4575" t="s">
        <v>117</v>
      </c>
      <c r="E4575" s="1">
        <v>44341</v>
      </c>
      <c r="F4575">
        <v>1</v>
      </c>
      <c r="G4575" t="s">
        <v>43</v>
      </c>
      <c r="H4575" t="s">
        <v>44</v>
      </c>
      <c r="I4575" s="3">
        <v>1738</v>
      </c>
      <c r="J4575" s="3">
        <v>1738</v>
      </c>
      <c r="K4575" s="3">
        <v>388</v>
      </c>
      <c r="L4575" t="s">
        <v>113</v>
      </c>
      <c r="M4575">
        <v>8</v>
      </c>
      <c r="N4575" t="s">
        <v>80</v>
      </c>
      <c r="O4575" t="s">
        <v>81</v>
      </c>
      <c r="P4575" t="s">
        <v>12</v>
      </c>
      <c r="Q4575" t="s">
        <v>13</v>
      </c>
      <c r="R4575" t="s">
        <v>13</v>
      </c>
      <c r="S4575" t="s">
        <v>144</v>
      </c>
      <c r="T4575" s="2">
        <f>MASTER[[#This Row],[CANTIDAD]]*MASTER[[#This Row],[PRECIO DE VENTA]]</f>
        <v>1738</v>
      </c>
      <c r="U4575" s="2">
        <f>MASTER[[#This Row],[CANTIDAD]]*MASTER[[#This Row],[COSTO UNITARIO]]</f>
        <v>388</v>
      </c>
      <c r="V4575" s="2">
        <f>MASTER[[#This Row],[MONTO VENDIDO]]-MASTER[[#This Row],[COSTO DE VENTA]]</f>
        <v>1350</v>
      </c>
    </row>
    <row r="4576" spans="1:22" x14ac:dyDescent="0.3">
      <c r="A4576">
        <v>67110</v>
      </c>
      <c r="B4576">
        <v>1</v>
      </c>
      <c r="C4576" t="s">
        <v>90</v>
      </c>
      <c r="D4576" t="s">
        <v>91</v>
      </c>
      <c r="E4576" s="1">
        <v>44341</v>
      </c>
      <c r="F4576">
        <v>1</v>
      </c>
      <c r="G4576" t="s">
        <v>20</v>
      </c>
      <c r="H4576" t="s">
        <v>21</v>
      </c>
      <c r="I4576" s="3">
        <v>2102</v>
      </c>
      <c r="J4576" s="3">
        <v>2102</v>
      </c>
      <c r="K4576" s="3">
        <v>420</v>
      </c>
      <c r="L4576" t="s">
        <v>9</v>
      </c>
      <c r="M4576">
        <v>18</v>
      </c>
      <c r="N4576" t="s">
        <v>79</v>
      </c>
      <c r="O4576" t="s">
        <v>70</v>
      </c>
      <c r="P4576" t="s">
        <v>15</v>
      </c>
      <c r="Q4576" t="s">
        <v>16</v>
      </c>
      <c r="R4576" t="s">
        <v>16</v>
      </c>
      <c r="S4576" t="s">
        <v>144</v>
      </c>
      <c r="T4576" s="2">
        <f>MASTER[[#This Row],[CANTIDAD]]*MASTER[[#This Row],[PRECIO DE VENTA]]</f>
        <v>2102</v>
      </c>
      <c r="U4576" s="2">
        <f>MASTER[[#This Row],[CANTIDAD]]*MASTER[[#This Row],[COSTO UNITARIO]]</f>
        <v>420</v>
      </c>
      <c r="V4576" s="2">
        <f>MASTER[[#This Row],[MONTO VENDIDO]]-MASTER[[#This Row],[COSTO DE VENTA]]</f>
        <v>1682</v>
      </c>
    </row>
    <row r="4577" spans="1:22" x14ac:dyDescent="0.3">
      <c r="A4577">
        <v>67117</v>
      </c>
      <c r="B4577">
        <v>1</v>
      </c>
      <c r="C4577" t="s">
        <v>116</v>
      </c>
      <c r="D4577" t="s">
        <v>117</v>
      </c>
      <c r="E4577" s="1">
        <v>44341</v>
      </c>
      <c r="F4577">
        <v>1</v>
      </c>
      <c r="G4577" t="s">
        <v>41</v>
      </c>
      <c r="H4577" t="s">
        <v>42</v>
      </c>
      <c r="I4577" s="3">
        <v>1738</v>
      </c>
      <c r="J4577" s="3">
        <v>1738</v>
      </c>
      <c r="K4577" s="3">
        <v>388</v>
      </c>
      <c r="L4577" t="s">
        <v>113</v>
      </c>
      <c r="M4577">
        <v>4</v>
      </c>
      <c r="N4577" t="s">
        <v>82</v>
      </c>
      <c r="O4577" t="s">
        <v>81</v>
      </c>
      <c r="P4577" t="s">
        <v>71</v>
      </c>
      <c r="Q4577" t="s">
        <v>72</v>
      </c>
      <c r="R4577" t="s">
        <v>139</v>
      </c>
      <c r="S4577" t="s">
        <v>144</v>
      </c>
      <c r="T4577" s="2">
        <f>MASTER[[#This Row],[CANTIDAD]]*MASTER[[#This Row],[PRECIO DE VENTA]]</f>
        <v>1738</v>
      </c>
      <c r="U4577" s="2">
        <f>MASTER[[#This Row],[CANTIDAD]]*MASTER[[#This Row],[COSTO UNITARIO]]</f>
        <v>388</v>
      </c>
      <c r="V4577" s="2">
        <f>MASTER[[#This Row],[MONTO VENDIDO]]-MASTER[[#This Row],[COSTO DE VENTA]]</f>
        <v>1350</v>
      </c>
    </row>
    <row r="4578" spans="1:22" x14ac:dyDescent="0.3">
      <c r="A4578">
        <v>67124</v>
      </c>
      <c r="B4578">
        <v>1</v>
      </c>
      <c r="C4578" t="s">
        <v>107</v>
      </c>
      <c r="D4578" t="s">
        <v>108</v>
      </c>
      <c r="E4578" s="1">
        <v>44341</v>
      </c>
      <c r="F4578">
        <v>1</v>
      </c>
      <c r="G4578" t="s">
        <v>53</v>
      </c>
      <c r="H4578" t="s">
        <v>54</v>
      </c>
      <c r="I4578" s="3">
        <v>1440</v>
      </c>
      <c r="J4578" s="3">
        <v>1440</v>
      </c>
      <c r="K4578" s="3">
        <v>380</v>
      </c>
      <c r="L4578" t="s">
        <v>98</v>
      </c>
      <c r="M4578">
        <v>1</v>
      </c>
      <c r="N4578" t="s">
        <v>77</v>
      </c>
      <c r="O4578" t="s">
        <v>70</v>
      </c>
      <c r="P4578" t="s">
        <v>71</v>
      </c>
      <c r="Q4578" t="s">
        <v>72</v>
      </c>
      <c r="R4578" t="s">
        <v>139</v>
      </c>
      <c r="S4578" t="s">
        <v>144</v>
      </c>
      <c r="T4578" s="2">
        <f>MASTER[[#This Row],[CANTIDAD]]*MASTER[[#This Row],[PRECIO DE VENTA]]</f>
        <v>1440</v>
      </c>
      <c r="U4578" s="2">
        <f>MASTER[[#This Row],[CANTIDAD]]*MASTER[[#This Row],[COSTO UNITARIO]]</f>
        <v>380</v>
      </c>
      <c r="V4578" s="2">
        <f>MASTER[[#This Row],[MONTO VENDIDO]]-MASTER[[#This Row],[COSTO DE VENTA]]</f>
        <v>1060</v>
      </c>
    </row>
    <row r="4579" spans="1:22" x14ac:dyDescent="0.3">
      <c r="A4579">
        <v>67126</v>
      </c>
      <c r="B4579">
        <v>1</v>
      </c>
      <c r="C4579" t="s">
        <v>5</v>
      </c>
      <c r="D4579" t="s">
        <v>6</v>
      </c>
      <c r="E4579" s="1">
        <v>44341</v>
      </c>
      <c r="F4579">
        <v>1</v>
      </c>
      <c r="G4579" t="s">
        <v>67</v>
      </c>
      <c r="H4579" t="s">
        <v>68</v>
      </c>
      <c r="I4579" s="3">
        <v>1296</v>
      </c>
      <c r="J4579" s="3">
        <v>1179</v>
      </c>
      <c r="K4579" s="3">
        <v>393</v>
      </c>
      <c r="L4579" t="s">
        <v>9</v>
      </c>
      <c r="M4579">
        <v>1</v>
      </c>
      <c r="N4579" t="s">
        <v>77</v>
      </c>
      <c r="O4579" t="s">
        <v>70</v>
      </c>
      <c r="P4579" t="s">
        <v>71</v>
      </c>
      <c r="Q4579" t="s">
        <v>72</v>
      </c>
      <c r="R4579" t="s">
        <v>139</v>
      </c>
      <c r="S4579" t="s">
        <v>144</v>
      </c>
      <c r="T4579" s="2">
        <f>MASTER[[#This Row],[CANTIDAD]]*MASTER[[#This Row],[PRECIO DE VENTA]]</f>
        <v>1179</v>
      </c>
      <c r="U4579" s="2">
        <f>MASTER[[#This Row],[CANTIDAD]]*MASTER[[#This Row],[COSTO UNITARIO]]</f>
        <v>393</v>
      </c>
      <c r="V4579" s="2">
        <f>MASTER[[#This Row],[MONTO VENDIDO]]-MASTER[[#This Row],[COSTO DE VENTA]]</f>
        <v>786</v>
      </c>
    </row>
    <row r="4580" spans="1:22" x14ac:dyDescent="0.3">
      <c r="A4580">
        <v>67131</v>
      </c>
      <c r="B4580">
        <v>1</v>
      </c>
      <c r="C4580" t="s">
        <v>90</v>
      </c>
      <c r="D4580" t="s">
        <v>91</v>
      </c>
      <c r="E4580" s="1">
        <v>44341</v>
      </c>
      <c r="F4580">
        <v>1</v>
      </c>
      <c r="G4580" t="s">
        <v>27</v>
      </c>
      <c r="H4580" t="s">
        <v>28</v>
      </c>
      <c r="I4580" s="3">
        <v>2102</v>
      </c>
      <c r="J4580" s="3">
        <v>1975</v>
      </c>
      <c r="K4580" s="3">
        <v>420</v>
      </c>
      <c r="L4580" t="s">
        <v>9</v>
      </c>
      <c r="M4580">
        <v>1</v>
      </c>
      <c r="N4580" t="s">
        <v>77</v>
      </c>
      <c r="O4580" t="s">
        <v>70</v>
      </c>
      <c r="P4580" t="s">
        <v>71</v>
      </c>
      <c r="Q4580" t="s">
        <v>72</v>
      </c>
      <c r="R4580" t="s">
        <v>139</v>
      </c>
      <c r="S4580" t="s">
        <v>144</v>
      </c>
      <c r="T4580" s="2">
        <f>MASTER[[#This Row],[CANTIDAD]]*MASTER[[#This Row],[PRECIO DE VENTA]]</f>
        <v>1975</v>
      </c>
      <c r="U4580" s="2">
        <f>MASTER[[#This Row],[CANTIDAD]]*MASTER[[#This Row],[COSTO UNITARIO]]</f>
        <v>420</v>
      </c>
      <c r="V4580" s="2">
        <f>MASTER[[#This Row],[MONTO VENDIDO]]-MASTER[[#This Row],[COSTO DE VENTA]]</f>
        <v>1555</v>
      </c>
    </row>
    <row r="4581" spans="1:22" x14ac:dyDescent="0.3">
      <c r="A4581">
        <v>67141</v>
      </c>
      <c r="B4581">
        <v>1</v>
      </c>
      <c r="C4581" t="s">
        <v>121</v>
      </c>
      <c r="D4581" t="s">
        <v>122</v>
      </c>
      <c r="E4581" s="1">
        <v>44341</v>
      </c>
      <c r="F4581">
        <v>1</v>
      </c>
      <c r="G4581" t="s">
        <v>27</v>
      </c>
      <c r="H4581" t="s">
        <v>28</v>
      </c>
      <c r="I4581" s="3">
        <v>1069</v>
      </c>
      <c r="J4581" s="3">
        <v>1069</v>
      </c>
      <c r="K4581" s="3">
        <v>460</v>
      </c>
      <c r="L4581" t="s">
        <v>120</v>
      </c>
      <c r="M4581">
        <v>14</v>
      </c>
      <c r="N4581" t="s">
        <v>87</v>
      </c>
      <c r="O4581" t="s">
        <v>81</v>
      </c>
      <c r="P4581" t="s">
        <v>18</v>
      </c>
      <c r="Q4581" t="s">
        <v>19</v>
      </c>
      <c r="R4581" t="s">
        <v>138</v>
      </c>
      <c r="S4581" t="s">
        <v>144</v>
      </c>
      <c r="T4581" s="2">
        <f>MASTER[[#This Row],[CANTIDAD]]*MASTER[[#This Row],[PRECIO DE VENTA]]</f>
        <v>1069</v>
      </c>
      <c r="U4581" s="2">
        <f>MASTER[[#This Row],[CANTIDAD]]*MASTER[[#This Row],[COSTO UNITARIO]]</f>
        <v>460</v>
      </c>
      <c r="V4581" s="2">
        <f>MASTER[[#This Row],[MONTO VENDIDO]]-MASTER[[#This Row],[COSTO DE VENTA]]</f>
        <v>609</v>
      </c>
    </row>
    <row r="4582" spans="1:22" x14ac:dyDescent="0.3">
      <c r="A4582">
        <v>67147</v>
      </c>
      <c r="B4582">
        <v>1</v>
      </c>
      <c r="C4582" t="s">
        <v>111</v>
      </c>
      <c r="D4582" t="s">
        <v>112</v>
      </c>
      <c r="E4582" s="1">
        <v>44341</v>
      </c>
      <c r="F4582">
        <v>1</v>
      </c>
      <c r="G4582" t="s">
        <v>43</v>
      </c>
      <c r="H4582" t="s">
        <v>44</v>
      </c>
      <c r="I4582" s="3">
        <v>1524</v>
      </c>
      <c r="J4582" s="3">
        <v>1524</v>
      </c>
      <c r="K4582" s="3">
        <v>434</v>
      </c>
      <c r="L4582" t="s">
        <v>113</v>
      </c>
      <c r="M4582">
        <v>17</v>
      </c>
      <c r="N4582" t="s">
        <v>14</v>
      </c>
      <c r="O4582" t="s">
        <v>11</v>
      </c>
      <c r="P4582" t="s">
        <v>15</v>
      </c>
      <c r="Q4582" t="s">
        <v>16</v>
      </c>
      <c r="R4582" t="s">
        <v>16</v>
      </c>
      <c r="S4582" t="s">
        <v>144</v>
      </c>
      <c r="T4582" s="2">
        <f>MASTER[[#This Row],[CANTIDAD]]*MASTER[[#This Row],[PRECIO DE VENTA]]</f>
        <v>1524</v>
      </c>
      <c r="U4582" s="2">
        <f>MASTER[[#This Row],[CANTIDAD]]*MASTER[[#This Row],[COSTO UNITARIO]]</f>
        <v>434</v>
      </c>
      <c r="V4582" s="2">
        <f>MASTER[[#This Row],[MONTO VENDIDO]]-MASTER[[#This Row],[COSTO DE VENTA]]</f>
        <v>1090</v>
      </c>
    </row>
    <row r="4583" spans="1:22" x14ac:dyDescent="0.3">
      <c r="A4583">
        <v>67152</v>
      </c>
      <c r="B4583">
        <v>1</v>
      </c>
      <c r="C4583" t="s">
        <v>116</v>
      </c>
      <c r="D4583" t="s">
        <v>117</v>
      </c>
      <c r="E4583" s="1">
        <v>44342</v>
      </c>
      <c r="F4583">
        <v>1</v>
      </c>
      <c r="G4583" t="s">
        <v>49</v>
      </c>
      <c r="H4583" t="s">
        <v>50</v>
      </c>
      <c r="I4583" s="3">
        <v>1738</v>
      </c>
      <c r="J4583" s="3">
        <v>1651</v>
      </c>
      <c r="K4583" s="3">
        <v>388</v>
      </c>
      <c r="L4583" t="s">
        <v>113</v>
      </c>
      <c r="M4583">
        <v>5</v>
      </c>
      <c r="N4583" t="s">
        <v>85</v>
      </c>
      <c r="O4583" t="s">
        <v>81</v>
      </c>
      <c r="P4583" t="s">
        <v>12</v>
      </c>
      <c r="Q4583" t="s">
        <v>13</v>
      </c>
      <c r="R4583" t="s">
        <v>13</v>
      </c>
      <c r="S4583" t="s">
        <v>144</v>
      </c>
      <c r="T4583" s="2">
        <f>MASTER[[#This Row],[CANTIDAD]]*MASTER[[#This Row],[PRECIO DE VENTA]]</f>
        <v>1651</v>
      </c>
      <c r="U4583" s="2">
        <f>MASTER[[#This Row],[CANTIDAD]]*MASTER[[#This Row],[COSTO UNITARIO]]</f>
        <v>388</v>
      </c>
      <c r="V4583" s="2">
        <f>MASTER[[#This Row],[MONTO VENDIDO]]-MASTER[[#This Row],[COSTO DE VENTA]]</f>
        <v>1263</v>
      </c>
    </row>
    <row r="4584" spans="1:22" x14ac:dyDescent="0.3">
      <c r="A4584">
        <v>67164</v>
      </c>
      <c r="B4584">
        <v>1</v>
      </c>
      <c r="C4584" t="s">
        <v>111</v>
      </c>
      <c r="D4584" t="s">
        <v>112</v>
      </c>
      <c r="E4584" s="1">
        <v>44342</v>
      </c>
      <c r="F4584">
        <v>1</v>
      </c>
      <c r="G4584" t="s">
        <v>39</v>
      </c>
      <c r="H4584" t="s">
        <v>40</v>
      </c>
      <c r="I4584" s="3">
        <v>1799</v>
      </c>
      <c r="J4584" s="3">
        <v>1799</v>
      </c>
      <c r="K4584" s="3">
        <v>434</v>
      </c>
      <c r="L4584" t="s">
        <v>113</v>
      </c>
      <c r="M4584">
        <v>13</v>
      </c>
      <c r="N4584" t="s">
        <v>78</v>
      </c>
      <c r="O4584" t="s">
        <v>70</v>
      </c>
      <c r="P4584" t="s">
        <v>18</v>
      </c>
      <c r="Q4584" t="s">
        <v>19</v>
      </c>
      <c r="R4584" t="s">
        <v>138</v>
      </c>
      <c r="S4584" t="s">
        <v>144</v>
      </c>
      <c r="T4584" s="2">
        <f>MASTER[[#This Row],[CANTIDAD]]*MASTER[[#This Row],[PRECIO DE VENTA]]</f>
        <v>1799</v>
      </c>
      <c r="U4584" s="2">
        <f>MASTER[[#This Row],[CANTIDAD]]*MASTER[[#This Row],[COSTO UNITARIO]]</f>
        <v>434</v>
      </c>
      <c r="V4584" s="2">
        <f>MASTER[[#This Row],[MONTO VENDIDO]]-MASTER[[#This Row],[COSTO DE VENTA]]</f>
        <v>1365</v>
      </c>
    </row>
    <row r="4585" spans="1:22" x14ac:dyDescent="0.3">
      <c r="A4585">
        <v>67164</v>
      </c>
      <c r="B4585">
        <v>2</v>
      </c>
      <c r="C4585" t="s">
        <v>121</v>
      </c>
      <c r="D4585" t="s">
        <v>122</v>
      </c>
      <c r="E4585" s="1">
        <v>44342</v>
      </c>
      <c r="F4585">
        <v>1</v>
      </c>
      <c r="G4585" t="s">
        <v>31</v>
      </c>
      <c r="H4585" t="s">
        <v>32</v>
      </c>
      <c r="I4585" s="3">
        <v>1144</v>
      </c>
      <c r="J4585" s="3">
        <v>1144</v>
      </c>
      <c r="K4585" s="3">
        <v>460</v>
      </c>
      <c r="L4585" t="s">
        <v>120</v>
      </c>
      <c r="M4585">
        <v>13</v>
      </c>
      <c r="N4585" t="s">
        <v>78</v>
      </c>
      <c r="O4585" t="s">
        <v>70</v>
      </c>
      <c r="P4585" t="s">
        <v>18</v>
      </c>
      <c r="Q4585" t="s">
        <v>19</v>
      </c>
      <c r="R4585" t="s">
        <v>138</v>
      </c>
      <c r="S4585" t="s">
        <v>144</v>
      </c>
      <c r="T4585" s="2">
        <f>MASTER[[#This Row],[CANTIDAD]]*MASTER[[#This Row],[PRECIO DE VENTA]]</f>
        <v>1144</v>
      </c>
      <c r="U4585" s="2">
        <f>MASTER[[#This Row],[CANTIDAD]]*MASTER[[#This Row],[COSTO UNITARIO]]</f>
        <v>460</v>
      </c>
      <c r="V4585" s="2">
        <f>MASTER[[#This Row],[MONTO VENDIDO]]-MASTER[[#This Row],[COSTO DE VENTA]]</f>
        <v>684</v>
      </c>
    </row>
    <row r="4586" spans="1:22" x14ac:dyDescent="0.3">
      <c r="A4586">
        <v>67168</v>
      </c>
      <c r="B4586">
        <v>1</v>
      </c>
      <c r="C4586" t="s">
        <v>105</v>
      </c>
      <c r="D4586" t="s">
        <v>106</v>
      </c>
      <c r="E4586" s="1">
        <v>44342</v>
      </c>
      <c r="F4586">
        <v>1</v>
      </c>
      <c r="G4586" t="s">
        <v>67</v>
      </c>
      <c r="H4586" t="s">
        <v>68</v>
      </c>
      <c r="I4586" s="3">
        <v>1865</v>
      </c>
      <c r="J4586" s="3">
        <v>1865</v>
      </c>
      <c r="K4586" s="3">
        <v>459</v>
      </c>
      <c r="L4586" t="s">
        <v>98</v>
      </c>
      <c r="M4586">
        <v>14</v>
      </c>
      <c r="N4586" t="s">
        <v>87</v>
      </c>
      <c r="O4586" t="s">
        <v>81</v>
      </c>
      <c r="P4586" t="s">
        <v>18</v>
      </c>
      <c r="Q4586" t="s">
        <v>19</v>
      </c>
      <c r="R4586" t="s">
        <v>138</v>
      </c>
      <c r="S4586" t="s">
        <v>144</v>
      </c>
      <c r="T4586" s="2">
        <f>MASTER[[#This Row],[CANTIDAD]]*MASTER[[#This Row],[PRECIO DE VENTA]]</f>
        <v>1865</v>
      </c>
      <c r="U4586" s="2">
        <f>MASTER[[#This Row],[CANTIDAD]]*MASTER[[#This Row],[COSTO UNITARIO]]</f>
        <v>459</v>
      </c>
      <c r="V4586" s="2">
        <f>MASTER[[#This Row],[MONTO VENDIDO]]-MASTER[[#This Row],[COSTO DE VENTA]]</f>
        <v>1406</v>
      </c>
    </row>
    <row r="4587" spans="1:22" x14ac:dyDescent="0.3">
      <c r="A4587">
        <v>67190</v>
      </c>
      <c r="B4587">
        <v>1</v>
      </c>
      <c r="C4587" t="s">
        <v>109</v>
      </c>
      <c r="D4587" t="s">
        <v>110</v>
      </c>
      <c r="E4587" s="1">
        <v>44342</v>
      </c>
      <c r="F4587">
        <v>1</v>
      </c>
      <c r="G4587" t="s">
        <v>65</v>
      </c>
      <c r="H4587" t="s">
        <v>66</v>
      </c>
      <c r="I4587" s="3">
        <v>947</v>
      </c>
      <c r="J4587" s="3">
        <v>947</v>
      </c>
      <c r="K4587" s="3">
        <v>387</v>
      </c>
      <c r="L4587" t="s">
        <v>98</v>
      </c>
      <c r="M4587">
        <v>16</v>
      </c>
      <c r="N4587" t="s">
        <v>17</v>
      </c>
      <c r="O4587" t="s">
        <v>11</v>
      </c>
      <c r="P4587" t="s">
        <v>18</v>
      </c>
      <c r="Q4587" t="s">
        <v>19</v>
      </c>
      <c r="R4587" t="s">
        <v>138</v>
      </c>
      <c r="S4587" t="s">
        <v>144</v>
      </c>
      <c r="T4587" s="2">
        <f>MASTER[[#This Row],[CANTIDAD]]*MASTER[[#This Row],[PRECIO DE VENTA]]</f>
        <v>947</v>
      </c>
      <c r="U4587" s="2">
        <f>MASTER[[#This Row],[CANTIDAD]]*MASTER[[#This Row],[COSTO UNITARIO]]</f>
        <v>387</v>
      </c>
      <c r="V4587" s="2">
        <f>MASTER[[#This Row],[MONTO VENDIDO]]-MASTER[[#This Row],[COSTO DE VENTA]]</f>
        <v>560</v>
      </c>
    </row>
    <row r="4588" spans="1:22" x14ac:dyDescent="0.3">
      <c r="A4588">
        <v>67205</v>
      </c>
      <c r="B4588">
        <v>1</v>
      </c>
      <c r="C4588" t="s">
        <v>99</v>
      </c>
      <c r="D4588" t="s">
        <v>100</v>
      </c>
      <c r="E4588" s="1">
        <v>44342</v>
      </c>
      <c r="F4588">
        <v>1</v>
      </c>
      <c r="G4588" t="s">
        <v>51</v>
      </c>
      <c r="H4588" t="s">
        <v>52</v>
      </c>
      <c r="I4588" s="3">
        <v>1459</v>
      </c>
      <c r="J4588" s="3">
        <v>1459</v>
      </c>
      <c r="K4588" s="3">
        <v>386</v>
      </c>
      <c r="L4588" t="s">
        <v>98</v>
      </c>
      <c r="M4588">
        <v>7</v>
      </c>
      <c r="N4588" t="s">
        <v>84</v>
      </c>
      <c r="O4588" t="s">
        <v>81</v>
      </c>
      <c r="P4588" t="s">
        <v>12</v>
      </c>
      <c r="Q4588" t="s">
        <v>13</v>
      </c>
      <c r="R4588" t="s">
        <v>13</v>
      </c>
      <c r="S4588" t="s">
        <v>144</v>
      </c>
      <c r="T4588" s="2">
        <f>MASTER[[#This Row],[CANTIDAD]]*MASTER[[#This Row],[PRECIO DE VENTA]]</f>
        <v>1459</v>
      </c>
      <c r="U4588" s="2">
        <f>MASTER[[#This Row],[CANTIDAD]]*MASTER[[#This Row],[COSTO UNITARIO]]</f>
        <v>386</v>
      </c>
      <c r="V4588" s="2">
        <f>MASTER[[#This Row],[MONTO VENDIDO]]-MASTER[[#This Row],[COSTO DE VENTA]]</f>
        <v>1073</v>
      </c>
    </row>
    <row r="4589" spans="1:22" x14ac:dyDescent="0.3">
      <c r="A4589">
        <v>67207</v>
      </c>
      <c r="B4589">
        <v>1</v>
      </c>
      <c r="C4589" t="s">
        <v>105</v>
      </c>
      <c r="D4589" t="s">
        <v>106</v>
      </c>
      <c r="E4589" s="1">
        <v>44342</v>
      </c>
      <c r="F4589">
        <v>1</v>
      </c>
      <c r="G4589" t="s">
        <v>20</v>
      </c>
      <c r="H4589" t="s">
        <v>21</v>
      </c>
      <c r="I4589" s="3">
        <v>1865</v>
      </c>
      <c r="J4589" s="3">
        <v>1865</v>
      </c>
      <c r="K4589" s="3">
        <v>459</v>
      </c>
      <c r="L4589" t="s">
        <v>98</v>
      </c>
      <c r="M4589">
        <v>15</v>
      </c>
      <c r="N4589" t="s">
        <v>88</v>
      </c>
      <c r="O4589" t="s">
        <v>81</v>
      </c>
      <c r="P4589" t="s">
        <v>18</v>
      </c>
      <c r="Q4589" t="s">
        <v>19</v>
      </c>
      <c r="R4589" t="s">
        <v>138</v>
      </c>
      <c r="S4589" t="s">
        <v>144</v>
      </c>
      <c r="T4589" s="2">
        <f>MASTER[[#This Row],[CANTIDAD]]*MASTER[[#This Row],[PRECIO DE VENTA]]</f>
        <v>1865</v>
      </c>
      <c r="U4589" s="2">
        <f>MASTER[[#This Row],[CANTIDAD]]*MASTER[[#This Row],[COSTO UNITARIO]]</f>
        <v>459</v>
      </c>
      <c r="V4589" s="2">
        <f>MASTER[[#This Row],[MONTO VENDIDO]]-MASTER[[#This Row],[COSTO DE VENTA]]</f>
        <v>1406</v>
      </c>
    </row>
    <row r="4590" spans="1:22" x14ac:dyDescent="0.3">
      <c r="A4590">
        <v>67218</v>
      </c>
      <c r="B4590">
        <v>1</v>
      </c>
      <c r="C4590" t="s">
        <v>96</v>
      </c>
      <c r="D4590" t="s">
        <v>97</v>
      </c>
      <c r="E4590" s="1">
        <v>44342</v>
      </c>
      <c r="F4590">
        <v>1</v>
      </c>
      <c r="G4590" t="s">
        <v>61</v>
      </c>
      <c r="H4590" t="s">
        <v>62</v>
      </c>
      <c r="I4590" s="3">
        <v>1272</v>
      </c>
      <c r="J4590" s="3">
        <v>1272</v>
      </c>
      <c r="K4590" s="3">
        <v>397</v>
      </c>
      <c r="L4590" t="s">
        <v>98</v>
      </c>
      <c r="M4590">
        <v>15</v>
      </c>
      <c r="N4590" t="s">
        <v>88</v>
      </c>
      <c r="O4590" t="s">
        <v>81</v>
      </c>
      <c r="P4590" t="s">
        <v>18</v>
      </c>
      <c r="Q4590" t="s">
        <v>19</v>
      </c>
      <c r="R4590" t="s">
        <v>138</v>
      </c>
      <c r="S4590" t="s">
        <v>144</v>
      </c>
      <c r="T4590" s="2">
        <f>MASTER[[#This Row],[CANTIDAD]]*MASTER[[#This Row],[PRECIO DE VENTA]]</f>
        <v>1272</v>
      </c>
      <c r="U4590" s="2">
        <f>MASTER[[#This Row],[CANTIDAD]]*MASTER[[#This Row],[COSTO UNITARIO]]</f>
        <v>397</v>
      </c>
      <c r="V4590" s="2">
        <f>MASTER[[#This Row],[MONTO VENDIDO]]-MASTER[[#This Row],[COSTO DE VENTA]]</f>
        <v>875</v>
      </c>
    </row>
    <row r="4591" spans="1:22" x14ac:dyDescent="0.3">
      <c r="A4591">
        <v>67230</v>
      </c>
      <c r="B4591">
        <v>1</v>
      </c>
      <c r="C4591" t="s">
        <v>109</v>
      </c>
      <c r="D4591" t="s">
        <v>110</v>
      </c>
      <c r="E4591" s="1">
        <v>44342</v>
      </c>
      <c r="F4591">
        <v>1</v>
      </c>
      <c r="G4591" t="s">
        <v>39</v>
      </c>
      <c r="H4591" t="s">
        <v>40</v>
      </c>
      <c r="I4591" s="3">
        <v>1128</v>
      </c>
      <c r="J4591" s="3">
        <v>1128</v>
      </c>
      <c r="K4591" s="3">
        <v>387</v>
      </c>
      <c r="L4591" t="s">
        <v>98</v>
      </c>
      <c r="M4591">
        <v>1</v>
      </c>
      <c r="N4591" t="s">
        <v>77</v>
      </c>
      <c r="O4591" t="s">
        <v>70</v>
      </c>
      <c r="P4591" t="s">
        <v>71</v>
      </c>
      <c r="Q4591" t="s">
        <v>72</v>
      </c>
      <c r="R4591" t="s">
        <v>139</v>
      </c>
      <c r="S4591" t="s">
        <v>144</v>
      </c>
      <c r="T4591" s="2">
        <f>MASTER[[#This Row],[CANTIDAD]]*MASTER[[#This Row],[PRECIO DE VENTA]]</f>
        <v>1128</v>
      </c>
      <c r="U4591" s="2">
        <f>MASTER[[#This Row],[CANTIDAD]]*MASTER[[#This Row],[COSTO UNITARIO]]</f>
        <v>387</v>
      </c>
      <c r="V4591" s="2">
        <f>MASTER[[#This Row],[MONTO VENDIDO]]-MASTER[[#This Row],[COSTO DE VENTA]]</f>
        <v>741</v>
      </c>
    </row>
    <row r="4592" spans="1:22" x14ac:dyDescent="0.3">
      <c r="A4592">
        <v>67242</v>
      </c>
      <c r="B4592">
        <v>1</v>
      </c>
      <c r="C4592" t="s">
        <v>111</v>
      </c>
      <c r="D4592" t="s">
        <v>112</v>
      </c>
      <c r="E4592" s="1">
        <v>44342</v>
      </c>
      <c r="F4592">
        <v>1</v>
      </c>
      <c r="G4592" t="s">
        <v>33</v>
      </c>
      <c r="H4592" t="s">
        <v>34</v>
      </c>
      <c r="I4592" s="3">
        <v>1621</v>
      </c>
      <c r="J4592" s="3">
        <v>1621</v>
      </c>
      <c r="K4592" s="3">
        <v>434</v>
      </c>
      <c r="L4592" t="s">
        <v>113</v>
      </c>
      <c r="M4592">
        <v>8</v>
      </c>
      <c r="N4592" t="s">
        <v>80</v>
      </c>
      <c r="O4592" t="s">
        <v>81</v>
      </c>
      <c r="P4592" t="s">
        <v>12</v>
      </c>
      <c r="Q4592" t="s">
        <v>13</v>
      </c>
      <c r="R4592" t="s">
        <v>13</v>
      </c>
      <c r="S4592" t="s">
        <v>144</v>
      </c>
      <c r="T4592" s="2">
        <f>MASTER[[#This Row],[CANTIDAD]]*MASTER[[#This Row],[PRECIO DE VENTA]]</f>
        <v>1621</v>
      </c>
      <c r="U4592" s="2">
        <f>MASTER[[#This Row],[CANTIDAD]]*MASTER[[#This Row],[COSTO UNITARIO]]</f>
        <v>434</v>
      </c>
      <c r="V4592" s="2">
        <f>MASTER[[#This Row],[MONTO VENDIDO]]-MASTER[[#This Row],[COSTO DE VENTA]]</f>
        <v>1187</v>
      </c>
    </row>
    <row r="4593" spans="1:22" x14ac:dyDescent="0.3">
      <c r="A4593">
        <v>67283</v>
      </c>
      <c r="B4593">
        <v>1</v>
      </c>
      <c r="C4593" t="s">
        <v>109</v>
      </c>
      <c r="D4593" t="s">
        <v>110</v>
      </c>
      <c r="E4593" s="1">
        <v>44342</v>
      </c>
      <c r="F4593">
        <v>1</v>
      </c>
      <c r="G4593" t="s">
        <v>73</v>
      </c>
      <c r="H4593" t="s">
        <v>74</v>
      </c>
      <c r="I4593" s="3">
        <v>1064</v>
      </c>
      <c r="J4593" s="3">
        <v>1064</v>
      </c>
      <c r="K4593" s="3">
        <v>387</v>
      </c>
      <c r="L4593" t="s">
        <v>98</v>
      </c>
      <c r="M4593">
        <v>5</v>
      </c>
      <c r="N4593" t="s">
        <v>85</v>
      </c>
      <c r="O4593" t="s">
        <v>81</v>
      </c>
      <c r="P4593" t="s">
        <v>12</v>
      </c>
      <c r="Q4593" t="s">
        <v>13</v>
      </c>
      <c r="R4593" t="s">
        <v>13</v>
      </c>
      <c r="S4593" t="s">
        <v>144</v>
      </c>
      <c r="T4593" s="2">
        <f>MASTER[[#This Row],[CANTIDAD]]*MASTER[[#This Row],[PRECIO DE VENTA]]</f>
        <v>1064</v>
      </c>
      <c r="U4593" s="2">
        <f>MASTER[[#This Row],[CANTIDAD]]*MASTER[[#This Row],[COSTO UNITARIO]]</f>
        <v>387</v>
      </c>
      <c r="V4593" s="2">
        <f>MASTER[[#This Row],[MONTO VENDIDO]]-MASTER[[#This Row],[COSTO DE VENTA]]</f>
        <v>677</v>
      </c>
    </row>
    <row r="4594" spans="1:22" x14ac:dyDescent="0.3">
      <c r="A4594">
        <v>67284</v>
      </c>
      <c r="B4594">
        <v>1</v>
      </c>
      <c r="C4594" t="s">
        <v>96</v>
      </c>
      <c r="D4594" t="s">
        <v>97</v>
      </c>
      <c r="E4594" s="1">
        <v>44343</v>
      </c>
      <c r="F4594">
        <v>1</v>
      </c>
      <c r="G4594" t="s">
        <v>65</v>
      </c>
      <c r="H4594" t="s">
        <v>66</v>
      </c>
      <c r="I4594" s="3">
        <v>1272</v>
      </c>
      <c r="J4594" s="3">
        <v>1272</v>
      </c>
      <c r="K4594" s="3">
        <v>397</v>
      </c>
      <c r="L4594" t="s">
        <v>98</v>
      </c>
      <c r="M4594">
        <v>14</v>
      </c>
      <c r="N4594" t="s">
        <v>87</v>
      </c>
      <c r="O4594" t="s">
        <v>81</v>
      </c>
      <c r="P4594" t="s">
        <v>18</v>
      </c>
      <c r="Q4594" t="s">
        <v>19</v>
      </c>
      <c r="R4594" t="s">
        <v>138</v>
      </c>
      <c r="S4594" t="s">
        <v>144</v>
      </c>
      <c r="T4594" s="2">
        <f>MASTER[[#This Row],[CANTIDAD]]*MASTER[[#This Row],[PRECIO DE VENTA]]</f>
        <v>1272</v>
      </c>
      <c r="U4594" s="2">
        <f>MASTER[[#This Row],[CANTIDAD]]*MASTER[[#This Row],[COSTO UNITARIO]]</f>
        <v>397</v>
      </c>
      <c r="V4594" s="2">
        <f>MASTER[[#This Row],[MONTO VENDIDO]]-MASTER[[#This Row],[COSTO DE VENTA]]</f>
        <v>875</v>
      </c>
    </row>
    <row r="4595" spans="1:22" x14ac:dyDescent="0.3">
      <c r="A4595">
        <v>67300</v>
      </c>
      <c r="B4595">
        <v>1</v>
      </c>
      <c r="C4595" t="s">
        <v>103</v>
      </c>
      <c r="D4595" t="s">
        <v>104</v>
      </c>
      <c r="E4595" s="1">
        <v>44343</v>
      </c>
      <c r="F4595">
        <v>1</v>
      </c>
      <c r="G4595" t="s">
        <v>65</v>
      </c>
      <c r="H4595" t="s">
        <v>66</v>
      </c>
      <c r="I4595" s="3">
        <v>1591</v>
      </c>
      <c r="J4595" s="3">
        <v>1591</v>
      </c>
      <c r="K4595" s="3">
        <v>421</v>
      </c>
      <c r="L4595" t="s">
        <v>98</v>
      </c>
      <c r="M4595">
        <v>14</v>
      </c>
      <c r="N4595" t="s">
        <v>87</v>
      </c>
      <c r="O4595" t="s">
        <v>81</v>
      </c>
      <c r="P4595" t="s">
        <v>18</v>
      </c>
      <c r="Q4595" t="s">
        <v>19</v>
      </c>
      <c r="R4595" t="s">
        <v>138</v>
      </c>
      <c r="S4595" t="s">
        <v>144</v>
      </c>
      <c r="T4595" s="2">
        <f>MASTER[[#This Row],[CANTIDAD]]*MASTER[[#This Row],[PRECIO DE VENTA]]</f>
        <v>1591</v>
      </c>
      <c r="U4595" s="2">
        <f>MASTER[[#This Row],[CANTIDAD]]*MASTER[[#This Row],[COSTO UNITARIO]]</f>
        <v>421</v>
      </c>
      <c r="V4595" s="2">
        <f>MASTER[[#This Row],[MONTO VENDIDO]]-MASTER[[#This Row],[COSTO DE VENTA]]</f>
        <v>1170</v>
      </c>
    </row>
    <row r="4596" spans="1:22" x14ac:dyDescent="0.3">
      <c r="A4596">
        <v>67303</v>
      </c>
      <c r="B4596">
        <v>1</v>
      </c>
      <c r="C4596" t="s">
        <v>114</v>
      </c>
      <c r="D4596" t="s">
        <v>115</v>
      </c>
      <c r="E4596" s="1">
        <v>44343</v>
      </c>
      <c r="F4596">
        <v>1</v>
      </c>
      <c r="G4596" t="s">
        <v>41</v>
      </c>
      <c r="H4596" t="s">
        <v>42</v>
      </c>
      <c r="I4596" s="3">
        <v>1862</v>
      </c>
      <c r="J4596" s="3">
        <v>1750</v>
      </c>
      <c r="K4596" s="3">
        <v>394</v>
      </c>
      <c r="L4596" t="s">
        <v>113</v>
      </c>
      <c r="M4596">
        <v>5</v>
      </c>
      <c r="N4596" t="s">
        <v>85</v>
      </c>
      <c r="O4596" t="s">
        <v>81</v>
      </c>
      <c r="P4596" t="s">
        <v>12</v>
      </c>
      <c r="Q4596" t="s">
        <v>13</v>
      </c>
      <c r="R4596" t="s">
        <v>13</v>
      </c>
      <c r="S4596" t="s">
        <v>144</v>
      </c>
      <c r="T4596" s="2">
        <f>MASTER[[#This Row],[CANTIDAD]]*MASTER[[#This Row],[PRECIO DE VENTA]]</f>
        <v>1750</v>
      </c>
      <c r="U4596" s="2">
        <f>MASTER[[#This Row],[CANTIDAD]]*MASTER[[#This Row],[COSTO UNITARIO]]</f>
        <v>394</v>
      </c>
      <c r="V4596" s="2">
        <f>MASTER[[#This Row],[MONTO VENDIDO]]-MASTER[[#This Row],[COSTO DE VENTA]]</f>
        <v>1356</v>
      </c>
    </row>
    <row r="4597" spans="1:22" x14ac:dyDescent="0.3">
      <c r="A4597">
        <v>67307</v>
      </c>
      <c r="B4597">
        <v>1</v>
      </c>
      <c r="C4597" t="s">
        <v>109</v>
      </c>
      <c r="D4597" t="s">
        <v>110</v>
      </c>
      <c r="E4597" s="1">
        <v>44343</v>
      </c>
      <c r="F4597">
        <v>1</v>
      </c>
      <c r="G4597" t="s">
        <v>47</v>
      </c>
      <c r="H4597" t="s">
        <v>48</v>
      </c>
      <c r="I4597" s="3">
        <v>1064</v>
      </c>
      <c r="J4597" s="3">
        <v>1064</v>
      </c>
      <c r="K4597" s="3">
        <v>387</v>
      </c>
      <c r="L4597" t="s">
        <v>98</v>
      </c>
      <c r="M4597">
        <v>4</v>
      </c>
      <c r="N4597" t="s">
        <v>82</v>
      </c>
      <c r="O4597" t="s">
        <v>81</v>
      </c>
      <c r="P4597" t="s">
        <v>71</v>
      </c>
      <c r="Q4597" t="s">
        <v>72</v>
      </c>
      <c r="R4597" t="s">
        <v>139</v>
      </c>
      <c r="S4597" t="s">
        <v>144</v>
      </c>
      <c r="T4597" s="2">
        <f>MASTER[[#This Row],[CANTIDAD]]*MASTER[[#This Row],[PRECIO DE VENTA]]</f>
        <v>1064</v>
      </c>
      <c r="U4597" s="2">
        <f>MASTER[[#This Row],[CANTIDAD]]*MASTER[[#This Row],[COSTO UNITARIO]]</f>
        <v>387</v>
      </c>
      <c r="V4597" s="2">
        <f>MASTER[[#This Row],[MONTO VENDIDO]]-MASTER[[#This Row],[COSTO DE VENTA]]</f>
        <v>677</v>
      </c>
    </row>
    <row r="4598" spans="1:22" x14ac:dyDescent="0.3">
      <c r="A4598">
        <v>67315</v>
      </c>
      <c r="B4598">
        <v>1</v>
      </c>
      <c r="C4598" t="s">
        <v>107</v>
      </c>
      <c r="D4598" t="s">
        <v>108</v>
      </c>
      <c r="E4598" s="1">
        <v>44343</v>
      </c>
      <c r="F4598">
        <v>1</v>
      </c>
      <c r="G4598" t="s">
        <v>61</v>
      </c>
      <c r="H4598" t="s">
        <v>62</v>
      </c>
      <c r="I4598" s="3">
        <v>1333</v>
      </c>
      <c r="J4598" s="3">
        <v>1333</v>
      </c>
      <c r="K4598" s="3">
        <v>380</v>
      </c>
      <c r="L4598" t="s">
        <v>98</v>
      </c>
      <c r="M4598">
        <v>19</v>
      </c>
      <c r="N4598" t="s">
        <v>89</v>
      </c>
      <c r="O4598" t="s">
        <v>81</v>
      </c>
      <c r="P4598" t="s">
        <v>15</v>
      </c>
      <c r="Q4598" t="s">
        <v>16</v>
      </c>
      <c r="R4598" t="s">
        <v>16</v>
      </c>
      <c r="S4598" t="s">
        <v>144</v>
      </c>
      <c r="T4598" s="2">
        <f>MASTER[[#This Row],[CANTIDAD]]*MASTER[[#This Row],[PRECIO DE VENTA]]</f>
        <v>1333</v>
      </c>
      <c r="U4598" s="2">
        <f>MASTER[[#This Row],[CANTIDAD]]*MASTER[[#This Row],[COSTO UNITARIO]]</f>
        <v>380</v>
      </c>
      <c r="V4598" s="2">
        <f>MASTER[[#This Row],[MONTO VENDIDO]]-MASTER[[#This Row],[COSTO DE VENTA]]</f>
        <v>953</v>
      </c>
    </row>
    <row r="4599" spans="1:22" x14ac:dyDescent="0.3">
      <c r="A4599">
        <v>67322</v>
      </c>
      <c r="B4599">
        <v>1</v>
      </c>
      <c r="C4599" t="s">
        <v>99</v>
      </c>
      <c r="D4599" t="s">
        <v>100</v>
      </c>
      <c r="E4599" s="1">
        <v>44343</v>
      </c>
      <c r="F4599">
        <v>1</v>
      </c>
      <c r="G4599" t="s">
        <v>39</v>
      </c>
      <c r="H4599" t="s">
        <v>40</v>
      </c>
      <c r="I4599" s="3">
        <v>1459</v>
      </c>
      <c r="J4599" s="3">
        <v>1459</v>
      </c>
      <c r="K4599" s="3">
        <v>386</v>
      </c>
      <c r="L4599" t="s">
        <v>98</v>
      </c>
      <c r="M4599">
        <v>15</v>
      </c>
      <c r="N4599" t="s">
        <v>88</v>
      </c>
      <c r="O4599" t="s">
        <v>81</v>
      </c>
      <c r="P4599" t="s">
        <v>18</v>
      </c>
      <c r="Q4599" t="s">
        <v>19</v>
      </c>
      <c r="R4599" t="s">
        <v>138</v>
      </c>
      <c r="S4599" t="s">
        <v>144</v>
      </c>
      <c r="T4599" s="2">
        <f>MASTER[[#This Row],[CANTIDAD]]*MASTER[[#This Row],[PRECIO DE VENTA]]</f>
        <v>1459</v>
      </c>
      <c r="U4599" s="2">
        <f>MASTER[[#This Row],[CANTIDAD]]*MASTER[[#This Row],[COSTO UNITARIO]]</f>
        <v>386</v>
      </c>
      <c r="V4599" s="2">
        <f>MASTER[[#This Row],[MONTO VENDIDO]]-MASTER[[#This Row],[COSTO DE VENTA]]</f>
        <v>1073</v>
      </c>
    </row>
    <row r="4600" spans="1:22" x14ac:dyDescent="0.3">
      <c r="A4600">
        <v>67325</v>
      </c>
      <c r="B4600">
        <v>1</v>
      </c>
      <c r="C4600" t="s">
        <v>121</v>
      </c>
      <c r="D4600" t="s">
        <v>122</v>
      </c>
      <c r="E4600" s="1">
        <v>44343</v>
      </c>
      <c r="F4600">
        <v>1</v>
      </c>
      <c r="G4600" t="s">
        <v>20</v>
      </c>
      <c r="H4600" t="s">
        <v>21</v>
      </c>
      <c r="I4600" s="3">
        <v>1144</v>
      </c>
      <c r="J4600" s="3">
        <v>1144</v>
      </c>
      <c r="K4600" s="3">
        <v>460</v>
      </c>
      <c r="L4600" t="s">
        <v>120</v>
      </c>
      <c r="M4600">
        <v>18</v>
      </c>
      <c r="N4600" t="s">
        <v>79</v>
      </c>
      <c r="O4600" t="s">
        <v>70</v>
      </c>
      <c r="P4600" t="s">
        <v>15</v>
      </c>
      <c r="Q4600" t="s">
        <v>16</v>
      </c>
      <c r="R4600" t="s">
        <v>16</v>
      </c>
      <c r="S4600" t="s">
        <v>144</v>
      </c>
      <c r="T4600" s="2">
        <f>MASTER[[#This Row],[CANTIDAD]]*MASTER[[#This Row],[PRECIO DE VENTA]]</f>
        <v>1144</v>
      </c>
      <c r="U4600" s="2">
        <f>MASTER[[#This Row],[CANTIDAD]]*MASTER[[#This Row],[COSTO UNITARIO]]</f>
        <v>460</v>
      </c>
      <c r="V4600" s="2">
        <f>MASTER[[#This Row],[MONTO VENDIDO]]-MASTER[[#This Row],[COSTO DE VENTA]]</f>
        <v>684</v>
      </c>
    </row>
    <row r="4601" spans="1:22" x14ac:dyDescent="0.3">
      <c r="A4601">
        <v>67331</v>
      </c>
      <c r="B4601">
        <v>1</v>
      </c>
      <c r="C4601" t="s">
        <v>105</v>
      </c>
      <c r="D4601" t="s">
        <v>106</v>
      </c>
      <c r="E4601" s="1">
        <v>44343</v>
      </c>
      <c r="F4601">
        <v>1</v>
      </c>
      <c r="G4601" t="s">
        <v>43</v>
      </c>
      <c r="H4601" t="s">
        <v>44</v>
      </c>
      <c r="I4601" s="3">
        <v>1865</v>
      </c>
      <c r="J4601" s="3">
        <v>1865</v>
      </c>
      <c r="K4601" s="3">
        <v>459</v>
      </c>
      <c r="L4601" t="s">
        <v>98</v>
      </c>
      <c r="M4601">
        <v>5</v>
      </c>
      <c r="N4601" t="s">
        <v>85</v>
      </c>
      <c r="O4601" t="s">
        <v>81</v>
      </c>
      <c r="P4601" t="s">
        <v>12</v>
      </c>
      <c r="Q4601" t="s">
        <v>13</v>
      </c>
      <c r="R4601" t="s">
        <v>13</v>
      </c>
      <c r="S4601" t="s">
        <v>144</v>
      </c>
      <c r="T4601" s="2">
        <f>MASTER[[#This Row],[CANTIDAD]]*MASTER[[#This Row],[PRECIO DE VENTA]]</f>
        <v>1865</v>
      </c>
      <c r="U4601" s="2">
        <f>MASTER[[#This Row],[CANTIDAD]]*MASTER[[#This Row],[COSTO UNITARIO]]</f>
        <v>459</v>
      </c>
      <c r="V4601" s="2">
        <f>MASTER[[#This Row],[MONTO VENDIDO]]-MASTER[[#This Row],[COSTO DE VENTA]]</f>
        <v>1406</v>
      </c>
    </row>
    <row r="4602" spans="1:22" x14ac:dyDescent="0.3">
      <c r="A4602">
        <v>67335</v>
      </c>
      <c r="B4602">
        <v>1</v>
      </c>
      <c r="C4602" t="s">
        <v>105</v>
      </c>
      <c r="D4602" t="s">
        <v>106</v>
      </c>
      <c r="E4602" s="1">
        <v>44344</v>
      </c>
      <c r="F4602">
        <v>1</v>
      </c>
      <c r="G4602" t="s">
        <v>7</v>
      </c>
      <c r="H4602" t="s">
        <v>8</v>
      </c>
      <c r="I4602" s="3">
        <v>1865</v>
      </c>
      <c r="J4602" s="3">
        <v>1865</v>
      </c>
      <c r="K4602" s="3">
        <v>459</v>
      </c>
      <c r="L4602" t="s">
        <v>98</v>
      </c>
      <c r="M4602">
        <v>15</v>
      </c>
      <c r="N4602" t="s">
        <v>88</v>
      </c>
      <c r="O4602" t="s">
        <v>81</v>
      </c>
      <c r="P4602" t="s">
        <v>18</v>
      </c>
      <c r="Q4602" t="s">
        <v>19</v>
      </c>
      <c r="R4602" t="s">
        <v>138</v>
      </c>
      <c r="S4602" t="s">
        <v>144</v>
      </c>
      <c r="T4602" s="2">
        <f>MASTER[[#This Row],[CANTIDAD]]*MASTER[[#This Row],[PRECIO DE VENTA]]</f>
        <v>1865</v>
      </c>
      <c r="U4602" s="2">
        <f>MASTER[[#This Row],[CANTIDAD]]*MASTER[[#This Row],[COSTO UNITARIO]]</f>
        <v>459</v>
      </c>
      <c r="V4602" s="2">
        <f>MASTER[[#This Row],[MONTO VENDIDO]]-MASTER[[#This Row],[COSTO DE VENTA]]</f>
        <v>1406</v>
      </c>
    </row>
    <row r="4603" spans="1:22" x14ac:dyDescent="0.3">
      <c r="A4603">
        <v>67345</v>
      </c>
      <c r="B4603">
        <v>1</v>
      </c>
      <c r="C4603" t="s">
        <v>121</v>
      </c>
      <c r="D4603" t="s">
        <v>122</v>
      </c>
      <c r="E4603" s="1">
        <v>44344</v>
      </c>
      <c r="F4603">
        <v>1</v>
      </c>
      <c r="G4603" t="s">
        <v>67</v>
      </c>
      <c r="H4603" t="s">
        <v>68</v>
      </c>
      <c r="I4603" s="3">
        <v>941</v>
      </c>
      <c r="J4603" s="3">
        <v>941</v>
      </c>
      <c r="K4603" s="3">
        <v>460</v>
      </c>
      <c r="L4603" t="s">
        <v>120</v>
      </c>
      <c r="M4603">
        <v>17</v>
      </c>
      <c r="N4603" t="s">
        <v>14</v>
      </c>
      <c r="O4603" t="s">
        <v>11</v>
      </c>
      <c r="P4603" t="s">
        <v>15</v>
      </c>
      <c r="Q4603" t="s">
        <v>16</v>
      </c>
      <c r="R4603" t="s">
        <v>16</v>
      </c>
      <c r="S4603" t="s">
        <v>144</v>
      </c>
      <c r="T4603" s="2">
        <f>MASTER[[#This Row],[CANTIDAD]]*MASTER[[#This Row],[PRECIO DE VENTA]]</f>
        <v>941</v>
      </c>
      <c r="U4603" s="2">
        <f>MASTER[[#This Row],[CANTIDAD]]*MASTER[[#This Row],[COSTO UNITARIO]]</f>
        <v>460</v>
      </c>
      <c r="V4603" s="2">
        <f>MASTER[[#This Row],[MONTO VENDIDO]]-MASTER[[#This Row],[COSTO DE VENTA]]</f>
        <v>481</v>
      </c>
    </row>
    <row r="4604" spans="1:22" x14ac:dyDescent="0.3">
      <c r="A4604">
        <v>67354</v>
      </c>
      <c r="B4604">
        <v>1</v>
      </c>
      <c r="C4604" t="s">
        <v>101</v>
      </c>
      <c r="D4604" t="s">
        <v>102</v>
      </c>
      <c r="E4604" s="1">
        <v>44344</v>
      </c>
      <c r="F4604">
        <v>1</v>
      </c>
      <c r="G4604" t="s">
        <v>73</v>
      </c>
      <c r="H4604" t="s">
        <v>74</v>
      </c>
      <c r="I4604" s="3">
        <v>1212</v>
      </c>
      <c r="J4604" s="3">
        <v>1139</v>
      </c>
      <c r="K4604" s="3">
        <v>442</v>
      </c>
      <c r="L4604" t="s">
        <v>98</v>
      </c>
      <c r="M4604">
        <v>2</v>
      </c>
      <c r="N4604" t="s">
        <v>86</v>
      </c>
      <c r="O4604" t="s">
        <v>81</v>
      </c>
      <c r="P4604" t="s">
        <v>71</v>
      </c>
      <c r="Q4604" t="s">
        <v>72</v>
      </c>
      <c r="R4604" t="s">
        <v>139</v>
      </c>
      <c r="S4604" t="s">
        <v>144</v>
      </c>
      <c r="T4604" s="2">
        <f>MASTER[[#This Row],[CANTIDAD]]*MASTER[[#This Row],[PRECIO DE VENTA]]</f>
        <v>1139</v>
      </c>
      <c r="U4604" s="2">
        <f>MASTER[[#This Row],[CANTIDAD]]*MASTER[[#This Row],[COSTO UNITARIO]]</f>
        <v>442</v>
      </c>
      <c r="V4604" s="2">
        <f>MASTER[[#This Row],[MONTO VENDIDO]]-MASTER[[#This Row],[COSTO DE VENTA]]</f>
        <v>697</v>
      </c>
    </row>
    <row r="4605" spans="1:22" x14ac:dyDescent="0.3">
      <c r="A4605">
        <v>67358</v>
      </c>
      <c r="B4605">
        <v>1</v>
      </c>
      <c r="C4605" t="s">
        <v>5</v>
      </c>
      <c r="D4605" t="s">
        <v>6</v>
      </c>
      <c r="E4605" s="1">
        <v>44344</v>
      </c>
      <c r="F4605">
        <v>1</v>
      </c>
      <c r="G4605" t="s">
        <v>65</v>
      </c>
      <c r="H4605" t="s">
        <v>66</v>
      </c>
      <c r="I4605" s="3">
        <v>1311</v>
      </c>
      <c r="J4605" s="3">
        <v>1311</v>
      </c>
      <c r="K4605" s="3">
        <v>393</v>
      </c>
      <c r="L4605" t="s">
        <v>9</v>
      </c>
      <c r="M4605">
        <v>16</v>
      </c>
      <c r="N4605" t="s">
        <v>17</v>
      </c>
      <c r="O4605" t="s">
        <v>11</v>
      </c>
      <c r="P4605" t="s">
        <v>18</v>
      </c>
      <c r="Q4605" t="s">
        <v>19</v>
      </c>
      <c r="R4605" t="s">
        <v>138</v>
      </c>
      <c r="S4605" t="s">
        <v>144</v>
      </c>
      <c r="T4605" s="2">
        <f>MASTER[[#This Row],[CANTIDAD]]*MASTER[[#This Row],[PRECIO DE VENTA]]</f>
        <v>1311</v>
      </c>
      <c r="U4605" s="2">
        <f>MASTER[[#This Row],[CANTIDAD]]*MASTER[[#This Row],[COSTO UNITARIO]]</f>
        <v>393</v>
      </c>
      <c r="V4605" s="2">
        <f>MASTER[[#This Row],[MONTO VENDIDO]]-MASTER[[#This Row],[COSTO DE VENTA]]</f>
        <v>918</v>
      </c>
    </row>
    <row r="4606" spans="1:22" x14ac:dyDescent="0.3">
      <c r="A4606">
        <v>67404</v>
      </c>
      <c r="B4606">
        <v>1</v>
      </c>
      <c r="C4606" t="s">
        <v>5</v>
      </c>
      <c r="D4606" t="s">
        <v>6</v>
      </c>
      <c r="E4606" s="1">
        <v>44344</v>
      </c>
      <c r="F4606">
        <v>1</v>
      </c>
      <c r="G4606" t="s">
        <v>47</v>
      </c>
      <c r="H4606" t="s">
        <v>48</v>
      </c>
      <c r="I4606" s="3">
        <v>1507</v>
      </c>
      <c r="J4606" s="3">
        <v>1507</v>
      </c>
      <c r="K4606" s="3">
        <v>393</v>
      </c>
      <c r="L4606" t="s">
        <v>9</v>
      </c>
      <c r="M4606">
        <v>14</v>
      </c>
      <c r="N4606" t="s">
        <v>87</v>
      </c>
      <c r="O4606" t="s">
        <v>81</v>
      </c>
      <c r="P4606" t="s">
        <v>18</v>
      </c>
      <c r="Q4606" t="s">
        <v>19</v>
      </c>
      <c r="R4606" t="s">
        <v>138</v>
      </c>
      <c r="S4606" t="s">
        <v>144</v>
      </c>
      <c r="T4606" s="2">
        <f>MASTER[[#This Row],[CANTIDAD]]*MASTER[[#This Row],[PRECIO DE VENTA]]</f>
        <v>1507</v>
      </c>
      <c r="U4606" s="2">
        <f>MASTER[[#This Row],[CANTIDAD]]*MASTER[[#This Row],[COSTO UNITARIO]]</f>
        <v>393</v>
      </c>
      <c r="V4606" s="2">
        <f>MASTER[[#This Row],[MONTO VENDIDO]]-MASTER[[#This Row],[COSTO DE VENTA]]</f>
        <v>1114</v>
      </c>
    </row>
    <row r="4607" spans="1:22" x14ac:dyDescent="0.3">
      <c r="A4607">
        <v>67428</v>
      </c>
      <c r="B4607">
        <v>1</v>
      </c>
      <c r="C4607" t="s">
        <v>94</v>
      </c>
      <c r="D4607" t="s">
        <v>95</v>
      </c>
      <c r="E4607" s="1">
        <v>44344</v>
      </c>
      <c r="F4607">
        <v>1</v>
      </c>
      <c r="G4607" t="s">
        <v>67</v>
      </c>
      <c r="H4607" t="s">
        <v>68</v>
      </c>
      <c r="I4607" s="3">
        <v>1153</v>
      </c>
      <c r="J4607" s="3">
        <v>1153</v>
      </c>
      <c r="K4607" s="3">
        <v>392</v>
      </c>
      <c r="L4607" t="s">
        <v>9</v>
      </c>
      <c r="M4607">
        <v>3</v>
      </c>
      <c r="N4607" t="s">
        <v>69</v>
      </c>
      <c r="O4607" t="s">
        <v>70</v>
      </c>
      <c r="P4607" t="s">
        <v>71</v>
      </c>
      <c r="Q4607" t="s">
        <v>72</v>
      </c>
      <c r="R4607" t="s">
        <v>139</v>
      </c>
      <c r="S4607" t="s">
        <v>144</v>
      </c>
      <c r="T4607" s="2">
        <f>MASTER[[#This Row],[CANTIDAD]]*MASTER[[#This Row],[PRECIO DE VENTA]]</f>
        <v>1153</v>
      </c>
      <c r="U4607" s="2">
        <f>MASTER[[#This Row],[CANTIDAD]]*MASTER[[#This Row],[COSTO UNITARIO]]</f>
        <v>392</v>
      </c>
      <c r="V4607" s="2">
        <f>MASTER[[#This Row],[MONTO VENDIDO]]-MASTER[[#This Row],[COSTO DE VENTA]]</f>
        <v>761</v>
      </c>
    </row>
    <row r="4608" spans="1:22" x14ac:dyDescent="0.3">
      <c r="A4608">
        <v>67444</v>
      </c>
      <c r="B4608">
        <v>1</v>
      </c>
      <c r="C4608" t="s">
        <v>109</v>
      </c>
      <c r="D4608" t="s">
        <v>110</v>
      </c>
      <c r="E4608" s="1">
        <v>44344</v>
      </c>
      <c r="F4608">
        <v>1</v>
      </c>
      <c r="G4608" t="s">
        <v>20</v>
      </c>
      <c r="H4608" t="s">
        <v>21</v>
      </c>
      <c r="I4608" s="3">
        <v>1128</v>
      </c>
      <c r="J4608" s="3">
        <v>1082</v>
      </c>
      <c r="K4608" s="3">
        <v>387</v>
      </c>
      <c r="L4608" t="s">
        <v>98</v>
      </c>
      <c r="M4608">
        <v>6</v>
      </c>
      <c r="N4608" t="s">
        <v>75</v>
      </c>
      <c r="O4608" t="s">
        <v>70</v>
      </c>
      <c r="P4608" t="s">
        <v>12</v>
      </c>
      <c r="Q4608" t="s">
        <v>13</v>
      </c>
      <c r="R4608" t="s">
        <v>13</v>
      </c>
      <c r="S4608" t="s">
        <v>144</v>
      </c>
      <c r="T4608" s="2">
        <f>MASTER[[#This Row],[CANTIDAD]]*MASTER[[#This Row],[PRECIO DE VENTA]]</f>
        <v>1082</v>
      </c>
      <c r="U4608" s="2">
        <f>MASTER[[#This Row],[CANTIDAD]]*MASTER[[#This Row],[COSTO UNITARIO]]</f>
        <v>387</v>
      </c>
      <c r="V4608" s="2">
        <f>MASTER[[#This Row],[MONTO VENDIDO]]-MASTER[[#This Row],[COSTO DE VENTA]]</f>
        <v>695</v>
      </c>
    </row>
    <row r="4609" spans="1:22" x14ac:dyDescent="0.3">
      <c r="A4609">
        <v>67445</v>
      </c>
      <c r="B4609">
        <v>1</v>
      </c>
      <c r="C4609" t="s">
        <v>114</v>
      </c>
      <c r="D4609" t="s">
        <v>115</v>
      </c>
      <c r="E4609" s="1">
        <v>44344</v>
      </c>
      <c r="F4609">
        <v>1</v>
      </c>
      <c r="G4609" t="s">
        <v>51</v>
      </c>
      <c r="H4609" t="s">
        <v>52</v>
      </c>
      <c r="I4609" s="3">
        <v>1862</v>
      </c>
      <c r="J4609" s="3">
        <v>1862</v>
      </c>
      <c r="K4609" s="3">
        <v>394</v>
      </c>
      <c r="L4609" t="s">
        <v>113</v>
      </c>
      <c r="M4609">
        <v>5</v>
      </c>
      <c r="N4609" t="s">
        <v>85</v>
      </c>
      <c r="O4609" t="s">
        <v>81</v>
      </c>
      <c r="P4609" t="s">
        <v>12</v>
      </c>
      <c r="Q4609" t="s">
        <v>13</v>
      </c>
      <c r="R4609" t="s">
        <v>13</v>
      </c>
      <c r="S4609" t="s">
        <v>144</v>
      </c>
      <c r="T4609" s="2">
        <f>MASTER[[#This Row],[CANTIDAD]]*MASTER[[#This Row],[PRECIO DE VENTA]]</f>
        <v>1862</v>
      </c>
      <c r="U4609" s="2">
        <f>MASTER[[#This Row],[CANTIDAD]]*MASTER[[#This Row],[COSTO UNITARIO]]</f>
        <v>394</v>
      </c>
      <c r="V4609" s="2">
        <f>MASTER[[#This Row],[MONTO VENDIDO]]-MASTER[[#This Row],[COSTO DE VENTA]]</f>
        <v>1468</v>
      </c>
    </row>
    <row r="4610" spans="1:22" x14ac:dyDescent="0.3">
      <c r="A4610">
        <v>67455</v>
      </c>
      <c r="B4610">
        <v>1</v>
      </c>
      <c r="C4610" t="s">
        <v>121</v>
      </c>
      <c r="D4610" t="s">
        <v>122</v>
      </c>
      <c r="E4610" s="1">
        <v>44344</v>
      </c>
      <c r="F4610">
        <v>1</v>
      </c>
      <c r="G4610" t="s">
        <v>63</v>
      </c>
      <c r="H4610" t="s">
        <v>64</v>
      </c>
      <c r="I4610" s="3">
        <v>1069</v>
      </c>
      <c r="J4610" s="3">
        <v>1069</v>
      </c>
      <c r="K4610" s="3">
        <v>460</v>
      </c>
      <c r="L4610" t="s">
        <v>120</v>
      </c>
      <c r="M4610">
        <v>19</v>
      </c>
      <c r="N4610" t="s">
        <v>89</v>
      </c>
      <c r="O4610" t="s">
        <v>81</v>
      </c>
      <c r="P4610" t="s">
        <v>15</v>
      </c>
      <c r="Q4610" t="s">
        <v>16</v>
      </c>
      <c r="R4610" t="s">
        <v>16</v>
      </c>
      <c r="S4610" t="s">
        <v>144</v>
      </c>
      <c r="T4610" s="2">
        <f>MASTER[[#This Row],[CANTIDAD]]*MASTER[[#This Row],[PRECIO DE VENTA]]</f>
        <v>1069</v>
      </c>
      <c r="U4610" s="2">
        <f>MASTER[[#This Row],[CANTIDAD]]*MASTER[[#This Row],[COSTO UNITARIO]]</f>
        <v>460</v>
      </c>
      <c r="V4610" s="2">
        <f>MASTER[[#This Row],[MONTO VENDIDO]]-MASTER[[#This Row],[COSTO DE VENTA]]</f>
        <v>609</v>
      </c>
    </row>
    <row r="4611" spans="1:22" x14ac:dyDescent="0.3">
      <c r="A4611">
        <v>67459</v>
      </c>
      <c r="B4611">
        <v>1</v>
      </c>
      <c r="C4611" t="s">
        <v>121</v>
      </c>
      <c r="D4611" t="s">
        <v>122</v>
      </c>
      <c r="E4611" s="1">
        <v>44344</v>
      </c>
      <c r="F4611">
        <v>1</v>
      </c>
      <c r="G4611" t="s">
        <v>39</v>
      </c>
      <c r="H4611" t="s">
        <v>40</v>
      </c>
      <c r="I4611" s="3">
        <v>941</v>
      </c>
      <c r="J4611" s="3">
        <v>941</v>
      </c>
      <c r="K4611" s="3">
        <v>460</v>
      </c>
      <c r="L4611" t="s">
        <v>120</v>
      </c>
      <c r="M4611">
        <v>16</v>
      </c>
      <c r="N4611" t="s">
        <v>17</v>
      </c>
      <c r="O4611" t="s">
        <v>11</v>
      </c>
      <c r="P4611" t="s">
        <v>18</v>
      </c>
      <c r="Q4611" t="s">
        <v>19</v>
      </c>
      <c r="R4611" t="s">
        <v>138</v>
      </c>
      <c r="S4611" t="s">
        <v>144</v>
      </c>
      <c r="T4611" s="2">
        <f>MASTER[[#This Row],[CANTIDAD]]*MASTER[[#This Row],[PRECIO DE VENTA]]</f>
        <v>941</v>
      </c>
      <c r="U4611" s="2">
        <f>MASTER[[#This Row],[CANTIDAD]]*MASTER[[#This Row],[COSTO UNITARIO]]</f>
        <v>460</v>
      </c>
      <c r="V4611" s="2">
        <f>MASTER[[#This Row],[MONTO VENDIDO]]-MASTER[[#This Row],[COSTO DE VENTA]]</f>
        <v>481</v>
      </c>
    </row>
    <row r="4612" spans="1:22" x14ac:dyDescent="0.3">
      <c r="A4612">
        <v>67475</v>
      </c>
      <c r="B4612">
        <v>1</v>
      </c>
      <c r="C4612" t="s">
        <v>5</v>
      </c>
      <c r="D4612" t="s">
        <v>6</v>
      </c>
      <c r="E4612" s="1">
        <v>44344</v>
      </c>
      <c r="F4612">
        <v>1</v>
      </c>
      <c r="G4612" t="s">
        <v>33</v>
      </c>
      <c r="H4612" t="s">
        <v>34</v>
      </c>
      <c r="I4612" s="3">
        <v>1311</v>
      </c>
      <c r="J4612" s="3">
        <v>1311</v>
      </c>
      <c r="K4612" s="3">
        <v>393</v>
      </c>
      <c r="L4612" t="s">
        <v>9</v>
      </c>
      <c r="M4612">
        <v>12</v>
      </c>
      <c r="N4612" t="s">
        <v>26</v>
      </c>
      <c r="O4612" t="s">
        <v>11</v>
      </c>
      <c r="P4612" t="s">
        <v>12</v>
      </c>
      <c r="Q4612" t="s">
        <v>13</v>
      </c>
      <c r="R4612" t="s">
        <v>13</v>
      </c>
      <c r="S4612" t="s">
        <v>144</v>
      </c>
      <c r="T4612" s="2">
        <f>MASTER[[#This Row],[CANTIDAD]]*MASTER[[#This Row],[PRECIO DE VENTA]]</f>
        <v>1311</v>
      </c>
      <c r="U4612" s="2">
        <f>MASTER[[#This Row],[CANTIDAD]]*MASTER[[#This Row],[COSTO UNITARIO]]</f>
        <v>393</v>
      </c>
      <c r="V4612" s="2">
        <f>MASTER[[#This Row],[MONTO VENDIDO]]-MASTER[[#This Row],[COSTO DE VENTA]]</f>
        <v>918</v>
      </c>
    </row>
    <row r="4613" spans="1:22" x14ac:dyDescent="0.3">
      <c r="A4613">
        <v>67480</v>
      </c>
      <c r="B4613">
        <v>1</v>
      </c>
      <c r="C4613" t="s">
        <v>94</v>
      </c>
      <c r="D4613" t="s">
        <v>95</v>
      </c>
      <c r="E4613" s="1">
        <v>44344</v>
      </c>
      <c r="F4613">
        <v>1</v>
      </c>
      <c r="G4613" t="s">
        <v>7</v>
      </c>
      <c r="H4613" t="s">
        <v>8</v>
      </c>
      <c r="I4613" s="3">
        <v>1048</v>
      </c>
      <c r="J4613" s="3">
        <v>995</v>
      </c>
      <c r="K4613" s="3">
        <v>392</v>
      </c>
      <c r="L4613" t="s">
        <v>9</v>
      </c>
      <c r="M4613">
        <v>19</v>
      </c>
      <c r="N4613" t="s">
        <v>89</v>
      </c>
      <c r="O4613" t="s">
        <v>81</v>
      </c>
      <c r="P4613" t="s">
        <v>15</v>
      </c>
      <c r="Q4613" t="s">
        <v>16</v>
      </c>
      <c r="R4613" t="s">
        <v>16</v>
      </c>
      <c r="S4613" t="s">
        <v>144</v>
      </c>
      <c r="T4613" s="2">
        <f>MASTER[[#This Row],[CANTIDAD]]*MASTER[[#This Row],[PRECIO DE VENTA]]</f>
        <v>995</v>
      </c>
      <c r="U4613" s="2">
        <f>MASTER[[#This Row],[CANTIDAD]]*MASTER[[#This Row],[COSTO UNITARIO]]</f>
        <v>392</v>
      </c>
      <c r="V4613" s="2">
        <f>MASTER[[#This Row],[MONTO VENDIDO]]-MASTER[[#This Row],[COSTO DE VENTA]]</f>
        <v>603</v>
      </c>
    </row>
    <row r="4614" spans="1:22" x14ac:dyDescent="0.3">
      <c r="A4614">
        <v>67506</v>
      </c>
      <c r="B4614">
        <v>1</v>
      </c>
      <c r="C4614" t="s">
        <v>121</v>
      </c>
      <c r="D4614" t="s">
        <v>122</v>
      </c>
      <c r="E4614" s="1">
        <v>44344</v>
      </c>
      <c r="F4614">
        <v>1</v>
      </c>
      <c r="G4614" t="s">
        <v>59</v>
      </c>
      <c r="H4614" t="s">
        <v>60</v>
      </c>
      <c r="I4614" s="3">
        <v>1069</v>
      </c>
      <c r="J4614" s="3">
        <v>1026</v>
      </c>
      <c r="K4614" s="3">
        <v>460</v>
      </c>
      <c r="L4614" t="s">
        <v>120</v>
      </c>
      <c r="M4614">
        <v>5</v>
      </c>
      <c r="N4614" t="s">
        <v>85</v>
      </c>
      <c r="O4614" t="s">
        <v>81</v>
      </c>
      <c r="P4614" t="s">
        <v>12</v>
      </c>
      <c r="Q4614" t="s">
        <v>13</v>
      </c>
      <c r="R4614" t="s">
        <v>13</v>
      </c>
      <c r="S4614" t="s">
        <v>144</v>
      </c>
      <c r="T4614" s="2">
        <f>MASTER[[#This Row],[CANTIDAD]]*MASTER[[#This Row],[PRECIO DE VENTA]]</f>
        <v>1026</v>
      </c>
      <c r="U4614" s="2">
        <f>MASTER[[#This Row],[CANTIDAD]]*MASTER[[#This Row],[COSTO UNITARIO]]</f>
        <v>460</v>
      </c>
      <c r="V4614" s="2">
        <f>MASTER[[#This Row],[MONTO VENDIDO]]-MASTER[[#This Row],[COSTO DE VENTA]]</f>
        <v>566</v>
      </c>
    </row>
    <row r="4615" spans="1:22" x14ac:dyDescent="0.3">
      <c r="A4615">
        <v>67511</v>
      </c>
      <c r="B4615">
        <v>1</v>
      </c>
      <c r="C4615" t="s">
        <v>111</v>
      </c>
      <c r="D4615" t="s">
        <v>112</v>
      </c>
      <c r="E4615" s="1">
        <v>44344</v>
      </c>
      <c r="F4615">
        <v>1</v>
      </c>
      <c r="G4615" t="s">
        <v>49</v>
      </c>
      <c r="H4615" t="s">
        <v>50</v>
      </c>
      <c r="I4615" s="3">
        <v>1621</v>
      </c>
      <c r="J4615" s="3">
        <v>1556</v>
      </c>
      <c r="K4615" s="3">
        <v>434</v>
      </c>
      <c r="L4615" t="s">
        <v>113</v>
      </c>
      <c r="M4615">
        <v>10</v>
      </c>
      <c r="N4615" t="s">
        <v>83</v>
      </c>
      <c r="O4615" t="s">
        <v>81</v>
      </c>
      <c r="P4615" t="s">
        <v>12</v>
      </c>
      <c r="Q4615" t="s">
        <v>13</v>
      </c>
      <c r="R4615" t="s">
        <v>13</v>
      </c>
      <c r="S4615" t="s">
        <v>144</v>
      </c>
      <c r="T4615" s="2">
        <f>MASTER[[#This Row],[CANTIDAD]]*MASTER[[#This Row],[PRECIO DE VENTA]]</f>
        <v>1556</v>
      </c>
      <c r="U4615" s="2">
        <f>MASTER[[#This Row],[CANTIDAD]]*MASTER[[#This Row],[COSTO UNITARIO]]</f>
        <v>434</v>
      </c>
      <c r="V4615" s="2">
        <f>MASTER[[#This Row],[MONTO VENDIDO]]-MASTER[[#This Row],[COSTO DE VENTA]]</f>
        <v>1122</v>
      </c>
    </row>
    <row r="4616" spans="1:22" x14ac:dyDescent="0.3">
      <c r="A4616">
        <v>67523</v>
      </c>
      <c r="B4616">
        <v>1</v>
      </c>
      <c r="C4616" t="s">
        <v>96</v>
      </c>
      <c r="D4616" t="s">
        <v>97</v>
      </c>
      <c r="E4616" s="1">
        <v>44344</v>
      </c>
      <c r="F4616">
        <v>1</v>
      </c>
      <c r="G4616" t="s">
        <v>39</v>
      </c>
      <c r="H4616" t="s">
        <v>40</v>
      </c>
      <c r="I4616" s="3">
        <v>1196</v>
      </c>
      <c r="J4616" s="3">
        <v>1196</v>
      </c>
      <c r="K4616" s="3">
        <v>397</v>
      </c>
      <c r="L4616" t="s">
        <v>98</v>
      </c>
      <c r="M4616">
        <v>17</v>
      </c>
      <c r="N4616" t="s">
        <v>14</v>
      </c>
      <c r="O4616" t="s">
        <v>11</v>
      </c>
      <c r="P4616" t="s">
        <v>15</v>
      </c>
      <c r="Q4616" t="s">
        <v>16</v>
      </c>
      <c r="R4616" t="s">
        <v>16</v>
      </c>
      <c r="S4616" t="s">
        <v>144</v>
      </c>
      <c r="T4616" s="2">
        <f>MASTER[[#This Row],[CANTIDAD]]*MASTER[[#This Row],[PRECIO DE VENTA]]</f>
        <v>1196</v>
      </c>
      <c r="U4616" s="2">
        <f>MASTER[[#This Row],[CANTIDAD]]*MASTER[[#This Row],[COSTO UNITARIO]]</f>
        <v>397</v>
      </c>
      <c r="V4616" s="2">
        <f>MASTER[[#This Row],[MONTO VENDIDO]]-MASTER[[#This Row],[COSTO DE VENTA]]</f>
        <v>799</v>
      </c>
    </row>
    <row r="4617" spans="1:22" x14ac:dyDescent="0.3">
      <c r="A4617">
        <v>67528</v>
      </c>
      <c r="B4617">
        <v>1</v>
      </c>
      <c r="C4617" t="s">
        <v>99</v>
      </c>
      <c r="D4617" t="s">
        <v>100</v>
      </c>
      <c r="E4617" s="1">
        <v>44344</v>
      </c>
      <c r="F4617">
        <v>1</v>
      </c>
      <c r="G4617" t="s">
        <v>67</v>
      </c>
      <c r="H4617" t="s">
        <v>68</v>
      </c>
      <c r="I4617" s="3">
        <v>1678</v>
      </c>
      <c r="J4617" s="3">
        <v>1678</v>
      </c>
      <c r="K4617" s="3">
        <v>386</v>
      </c>
      <c r="L4617" t="s">
        <v>98</v>
      </c>
      <c r="M4617">
        <v>9</v>
      </c>
      <c r="N4617" t="s">
        <v>76</v>
      </c>
      <c r="O4617" t="s">
        <v>70</v>
      </c>
      <c r="P4617" t="s">
        <v>12</v>
      </c>
      <c r="Q4617" t="s">
        <v>13</v>
      </c>
      <c r="R4617" t="s">
        <v>13</v>
      </c>
      <c r="S4617" t="s">
        <v>144</v>
      </c>
      <c r="T4617" s="2">
        <f>MASTER[[#This Row],[CANTIDAD]]*MASTER[[#This Row],[PRECIO DE VENTA]]</f>
        <v>1678</v>
      </c>
      <c r="U4617" s="2">
        <f>MASTER[[#This Row],[CANTIDAD]]*MASTER[[#This Row],[COSTO UNITARIO]]</f>
        <v>386</v>
      </c>
      <c r="V4617" s="2">
        <f>MASTER[[#This Row],[MONTO VENDIDO]]-MASTER[[#This Row],[COSTO DE VENTA]]</f>
        <v>1292</v>
      </c>
    </row>
    <row r="4618" spans="1:22" x14ac:dyDescent="0.3">
      <c r="A4618">
        <v>67530</v>
      </c>
      <c r="B4618">
        <v>1</v>
      </c>
      <c r="C4618" t="s">
        <v>109</v>
      </c>
      <c r="D4618" t="s">
        <v>110</v>
      </c>
      <c r="E4618" s="1">
        <v>44344</v>
      </c>
      <c r="F4618">
        <v>1</v>
      </c>
      <c r="G4618" t="s">
        <v>29</v>
      </c>
      <c r="H4618" t="s">
        <v>30</v>
      </c>
      <c r="I4618" s="3">
        <v>947</v>
      </c>
      <c r="J4618" s="3">
        <v>947</v>
      </c>
      <c r="K4618" s="3">
        <v>387</v>
      </c>
      <c r="L4618" t="s">
        <v>98</v>
      </c>
      <c r="M4618">
        <v>16</v>
      </c>
      <c r="N4618" t="s">
        <v>17</v>
      </c>
      <c r="O4618" t="s">
        <v>11</v>
      </c>
      <c r="P4618" t="s">
        <v>18</v>
      </c>
      <c r="Q4618" t="s">
        <v>19</v>
      </c>
      <c r="R4618" t="s">
        <v>138</v>
      </c>
      <c r="S4618" t="s">
        <v>144</v>
      </c>
      <c r="T4618" s="2">
        <f>MASTER[[#This Row],[CANTIDAD]]*MASTER[[#This Row],[PRECIO DE VENTA]]</f>
        <v>947</v>
      </c>
      <c r="U4618" s="2">
        <f>MASTER[[#This Row],[CANTIDAD]]*MASTER[[#This Row],[COSTO UNITARIO]]</f>
        <v>387</v>
      </c>
      <c r="V4618" s="2">
        <f>MASTER[[#This Row],[MONTO VENDIDO]]-MASTER[[#This Row],[COSTO DE VENTA]]</f>
        <v>560</v>
      </c>
    </row>
    <row r="4619" spans="1:22" x14ac:dyDescent="0.3">
      <c r="A4619">
        <v>67531</v>
      </c>
      <c r="B4619">
        <v>1</v>
      </c>
      <c r="C4619" t="s">
        <v>92</v>
      </c>
      <c r="D4619" t="s">
        <v>93</v>
      </c>
      <c r="E4619" s="1">
        <v>44345</v>
      </c>
      <c r="F4619">
        <v>1</v>
      </c>
      <c r="G4619" t="s">
        <v>47</v>
      </c>
      <c r="H4619" t="s">
        <v>48</v>
      </c>
      <c r="I4619" s="3">
        <v>1681</v>
      </c>
      <c r="J4619" s="3">
        <v>1681</v>
      </c>
      <c r="K4619" s="3">
        <v>396</v>
      </c>
      <c r="L4619" t="s">
        <v>9</v>
      </c>
      <c r="M4619">
        <v>2</v>
      </c>
      <c r="N4619" t="s">
        <v>86</v>
      </c>
      <c r="O4619" t="s">
        <v>81</v>
      </c>
      <c r="P4619" t="s">
        <v>71</v>
      </c>
      <c r="Q4619" t="s">
        <v>72</v>
      </c>
      <c r="R4619" t="s">
        <v>139</v>
      </c>
      <c r="S4619" t="s">
        <v>144</v>
      </c>
      <c r="T4619" s="2">
        <f>MASTER[[#This Row],[CANTIDAD]]*MASTER[[#This Row],[PRECIO DE VENTA]]</f>
        <v>1681</v>
      </c>
      <c r="U4619" s="2">
        <f>MASTER[[#This Row],[CANTIDAD]]*MASTER[[#This Row],[COSTO UNITARIO]]</f>
        <v>396</v>
      </c>
      <c r="V4619" s="2">
        <f>MASTER[[#This Row],[MONTO VENDIDO]]-MASTER[[#This Row],[COSTO DE VENTA]]</f>
        <v>1285</v>
      </c>
    </row>
    <row r="4620" spans="1:22" x14ac:dyDescent="0.3">
      <c r="A4620">
        <v>67536</v>
      </c>
      <c r="B4620">
        <v>1</v>
      </c>
      <c r="C4620" t="s">
        <v>121</v>
      </c>
      <c r="D4620" t="s">
        <v>122</v>
      </c>
      <c r="E4620" s="1">
        <v>44345</v>
      </c>
      <c r="F4620">
        <v>1</v>
      </c>
      <c r="G4620" t="s">
        <v>47</v>
      </c>
      <c r="H4620" t="s">
        <v>48</v>
      </c>
      <c r="I4620" s="3">
        <v>1069</v>
      </c>
      <c r="J4620" s="3">
        <v>1069</v>
      </c>
      <c r="K4620" s="3">
        <v>460</v>
      </c>
      <c r="L4620" t="s">
        <v>120</v>
      </c>
      <c r="M4620">
        <v>2</v>
      </c>
      <c r="N4620" t="s">
        <v>86</v>
      </c>
      <c r="O4620" t="s">
        <v>81</v>
      </c>
      <c r="P4620" t="s">
        <v>71</v>
      </c>
      <c r="Q4620" t="s">
        <v>72</v>
      </c>
      <c r="R4620" t="s">
        <v>139</v>
      </c>
      <c r="S4620" t="s">
        <v>144</v>
      </c>
      <c r="T4620" s="2">
        <f>MASTER[[#This Row],[CANTIDAD]]*MASTER[[#This Row],[PRECIO DE VENTA]]</f>
        <v>1069</v>
      </c>
      <c r="U4620" s="2">
        <f>MASTER[[#This Row],[CANTIDAD]]*MASTER[[#This Row],[COSTO UNITARIO]]</f>
        <v>460</v>
      </c>
      <c r="V4620" s="2">
        <f>MASTER[[#This Row],[MONTO VENDIDO]]-MASTER[[#This Row],[COSTO DE VENTA]]</f>
        <v>609</v>
      </c>
    </row>
    <row r="4621" spans="1:22" x14ac:dyDescent="0.3">
      <c r="A4621">
        <v>67537</v>
      </c>
      <c r="B4621">
        <v>1</v>
      </c>
      <c r="C4621" t="s">
        <v>118</v>
      </c>
      <c r="D4621" t="s">
        <v>119</v>
      </c>
      <c r="E4621" s="1">
        <v>44345</v>
      </c>
      <c r="F4621">
        <v>1</v>
      </c>
      <c r="G4621" t="s">
        <v>67</v>
      </c>
      <c r="H4621" t="s">
        <v>68</v>
      </c>
      <c r="I4621" s="3">
        <v>1026</v>
      </c>
      <c r="J4621" s="3">
        <v>1026</v>
      </c>
      <c r="K4621" s="3">
        <v>424</v>
      </c>
      <c r="L4621" t="s">
        <v>120</v>
      </c>
      <c r="M4621">
        <v>13</v>
      </c>
      <c r="N4621" t="s">
        <v>78</v>
      </c>
      <c r="O4621" t="s">
        <v>70</v>
      </c>
      <c r="P4621" t="s">
        <v>18</v>
      </c>
      <c r="Q4621" t="s">
        <v>19</v>
      </c>
      <c r="R4621" t="s">
        <v>138</v>
      </c>
      <c r="S4621" t="s">
        <v>144</v>
      </c>
      <c r="T4621" s="2">
        <f>MASTER[[#This Row],[CANTIDAD]]*MASTER[[#This Row],[PRECIO DE VENTA]]</f>
        <v>1026</v>
      </c>
      <c r="U4621" s="2">
        <f>MASTER[[#This Row],[CANTIDAD]]*MASTER[[#This Row],[COSTO UNITARIO]]</f>
        <v>424</v>
      </c>
      <c r="V4621" s="2">
        <f>MASTER[[#This Row],[MONTO VENDIDO]]-MASTER[[#This Row],[COSTO DE VENTA]]</f>
        <v>602</v>
      </c>
    </row>
    <row r="4622" spans="1:22" x14ac:dyDescent="0.3">
      <c r="A4622">
        <v>67544</v>
      </c>
      <c r="B4622">
        <v>1</v>
      </c>
      <c r="C4622" t="s">
        <v>118</v>
      </c>
      <c r="D4622" t="s">
        <v>119</v>
      </c>
      <c r="E4622" s="1">
        <v>44345</v>
      </c>
      <c r="F4622">
        <v>1</v>
      </c>
      <c r="G4622" t="s">
        <v>39</v>
      </c>
      <c r="H4622" t="s">
        <v>40</v>
      </c>
      <c r="I4622" s="3">
        <v>1026</v>
      </c>
      <c r="J4622" s="3">
        <v>1026</v>
      </c>
      <c r="K4622" s="3">
        <v>424</v>
      </c>
      <c r="L4622" t="s">
        <v>120</v>
      </c>
      <c r="M4622">
        <v>1</v>
      </c>
      <c r="N4622" t="s">
        <v>77</v>
      </c>
      <c r="O4622" t="s">
        <v>70</v>
      </c>
      <c r="P4622" t="s">
        <v>71</v>
      </c>
      <c r="Q4622" t="s">
        <v>72</v>
      </c>
      <c r="R4622" t="s">
        <v>139</v>
      </c>
      <c r="S4622" t="s">
        <v>144</v>
      </c>
      <c r="T4622" s="2">
        <f>MASTER[[#This Row],[CANTIDAD]]*MASTER[[#This Row],[PRECIO DE VENTA]]</f>
        <v>1026</v>
      </c>
      <c r="U4622" s="2">
        <f>MASTER[[#This Row],[CANTIDAD]]*MASTER[[#This Row],[COSTO UNITARIO]]</f>
        <v>424</v>
      </c>
      <c r="V4622" s="2">
        <f>MASTER[[#This Row],[MONTO VENDIDO]]-MASTER[[#This Row],[COSTO DE VENTA]]</f>
        <v>602</v>
      </c>
    </row>
    <row r="4623" spans="1:22" x14ac:dyDescent="0.3">
      <c r="A4623">
        <v>67545</v>
      </c>
      <c r="B4623">
        <v>1</v>
      </c>
      <c r="C4623" t="s">
        <v>114</v>
      </c>
      <c r="D4623" t="s">
        <v>115</v>
      </c>
      <c r="E4623" s="1">
        <v>44345</v>
      </c>
      <c r="F4623">
        <v>3</v>
      </c>
      <c r="G4623" t="s">
        <v>41</v>
      </c>
      <c r="H4623" t="s">
        <v>42</v>
      </c>
      <c r="I4623" s="3">
        <v>2030</v>
      </c>
      <c r="J4623" s="3">
        <v>2030</v>
      </c>
      <c r="K4623" s="3">
        <v>394</v>
      </c>
      <c r="L4623" t="s">
        <v>113</v>
      </c>
      <c r="M4623">
        <v>1</v>
      </c>
      <c r="N4623" t="s">
        <v>77</v>
      </c>
      <c r="O4623" t="s">
        <v>70</v>
      </c>
      <c r="P4623" t="s">
        <v>71</v>
      </c>
      <c r="Q4623" t="s">
        <v>72</v>
      </c>
      <c r="R4623" t="s">
        <v>139</v>
      </c>
      <c r="S4623" t="s">
        <v>144</v>
      </c>
      <c r="T4623" s="2">
        <f>MASTER[[#This Row],[CANTIDAD]]*MASTER[[#This Row],[PRECIO DE VENTA]]</f>
        <v>6090</v>
      </c>
      <c r="U4623" s="2">
        <f>MASTER[[#This Row],[CANTIDAD]]*MASTER[[#This Row],[COSTO UNITARIO]]</f>
        <v>1182</v>
      </c>
      <c r="V4623" s="2">
        <f>MASTER[[#This Row],[MONTO VENDIDO]]-MASTER[[#This Row],[COSTO DE VENTA]]</f>
        <v>4908</v>
      </c>
    </row>
    <row r="4624" spans="1:22" x14ac:dyDescent="0.3">
      <c r="A4624">
        <v>67546</v>
      </c>
      <c r="B4624">
        <v>1</v>
      </c>
      <c r="C4624" t="s">
        <v>107</v>
      </c>
      <c r="D4624" t="s">
        <v>108</v>
      </c>
      <c r="E4624" s="1">
        <v>44345</v>
      </c>
      <c r="F4624">
        <v>1</v>
      </c>
      <c r="G4624" t="s">
        <v>22</v>
      </c>
      <c r="H4624" t="s">
        <v>23</v>
      </c>
      <c r="I4624" s="3">
        <v>1440</v>
      </c>
      <c r="J4624" s="3">
        <v>1440</v>
      </c>
      <c r="K4624" s="3">
        <v>380</v>
      </c>
      <c r="L4624" t="s">
        <v>98</v>
      </c>
      <c r="M4624">
        <v>3</v>
      </c>
      <c r="N4624" t="s">
        <v>69</v>
      </c>
      <c r="O4624" t="s">
        <v>70</v>
      </c>
      <c r="P4624" t="s">
        <v>71</v>
      </c>
      <c r="Q4624" t="s">
        <v>72</v>
      </c>
      <c r="R4624" t="s">
        <v>139</v>
      </c>
      <c r="S4624" t="s">
        <v>144</v>
      </c>
      <c r="T4624" s="2">
        <f>MASTER[[#This Row],[CANTIDAD]]*MASTER[[#This Row],[PRECIO DE VENTA]]</f>
        <v>1440</v>
      </c>
      <c r="U4624" s="2">
        <f>MASTER[[#This Row],[CANTIDAD]]*MASTER[[#This Row],[COSTO UNITARIO]]</f>
        <v>380</v>
      </c>
      <c r="V4624" s="2">
        <f>MASTER[[#This Row],[MONTO VENDIDO]]-MASTER[[#This Row],[COSTO DE VENTA]]</f>
        <v>1060</v>
      </c>
    </row>
    <row r="4625" spans="1:22" x14ac:dyDescent="0.3">
      <c r="A4625">
        <v>67552</v>
      </c>
      <c r="B4625">
        <v>1</v>
      </c>
      <c r="C4625" t="s">
        <v>111</v>
      </c>
      <c r="D4625" t="s">
        <v>112</v>
      </c>
      <c r="E4625" s="1">
        <v>44345</v>
      </c>
      <c r="F4625">
        <v>1</v>
      </c>
      <c r="G4625" t="s">
        <v>29</v>
      </c>
      <c r="H4625" t="s">
        <v>30</v>
      </c>
      <c r="I4625" s="3">
        <v>1524</v>
      </c>
      <c r="J4625" s="3">
        <v>1524</v>
      </c>
      <c r="K4625" s="3">
        <v>434</v>
      </c>
      <c r="L4625" t="s">
        <v>113</v>
      </c>
      <c r="M4625">
        <v>16</v>
      </c>
      <c r="N4625" t="s">
        <v>17</v>
      </c>
      <c r="O4625" t="s">
        <v>11</v>
      </c>
      <c r="P4625" t="s">
        <v>18</v>
      </c>
      <c r="Q4625" t="s">
        <v>19</v>
      </c>
      <c r="R4625" t="s">
        <v>138</v>
      </c>
      <c r="S4625" t="s">
        <v>144</v>
      </c>
      <c r="T4625" s="2">
        <f>MASTER[[#This Row],[CANTIDAD]]*MASTER[[#This Row],[PRECIO DE VENTA]]</f>
        <v>1524</v>
      </c>
      <c r="U4625" s="2">
        <f>MASTER[[#This Row],[CANTIDAD]]*MASTER[[#This Row],[COSTO UNITARIO]]</f>
        <v>434</v>
      </c>
      <c r="V4625" s="2">
        <f>MASTER[[#This Row],[MONTO VENDIDO]]-MASTER[[#This Row],[COSTO DE VENTA]]</f>
        <v>1090</v>
      </c>
    </row>
    <row r="4626" spans="1:22" x14ac:dyDescent="0.3">
      <c r="A4626">
        <v>67558</v>
      </c>
      <c r="B4626">
        <v>2</v>
      </c>
      <c r="C4626" t="s">
        <v>96</v>
      </c>
      <c r="D4626" t="s">
        <v>97</v>
      </c>
      <c r="E4626" s="1">
        <v>44345</v>
      </c>
      <c r="F4626">
        <v>1</v>
      </c>
      <c r="G4626" t="s">
        <v>67</v>
      </c>
      <c r="H4626" t="s">
        <v>68</v>
      </c>
      <c r="I4626" s="3">
        <v>1272</v>
      </c>
      <c r="J4626" s="3">
        <v>1272</v>
      </c>
      <c r="K4626" s="3">
        <v>397</v>
      </c>
      <c r="L4626" t="s">
        <v>98</v>
      </c>
      <c r="M4626">
        <v>14</v>
      </c>
      <c r="N4626" t="s">
        <v>87</v>
      </c>
      <c r="O4626" t="s">
        <v>81</v>
      </c>
      <c r="P4626" t="s">
        <v>18</v>
      </c>
      <c r="Q4626" t="s">
        <v>19</v>
      </c>
      <c r="R4626" t="s">
        <v>138</v>
      </c>
      <c r="S4626" t="s">
        <v>144</v>
      </c>
      <c r="T4626" s="2">
        <f>MASTER[[#This Row],[CANTIDAD]]*MASTER[[#This Row],[PRECIO DE VENTA]]</f>
        <v>1272</v>
      </c>
      <c r="U4626" s="2">
        <f>MASTER[[#This Row],[CANTIDAD]]*MASTER[[#This Row],[COSTO UNITARIO]]</f>
        <v>397</v>
      </c>
      <c r="V4626" s="2">
        <f>MASTER[[#This Row],[MONTO VENDIDO]]-MASTER[[#This Row],[COSTO DE VENTA]]</f>
        <v>875</v>
      </c>
    </row>
    <row r="4627" spans="1:22" x14ac:dyDescent="0.3">
      <c r="A4627">
        <v>67558</v>
      </c>
      <c r="B4627">
        <v>1</v>
      </c>
      <c r="C4627" t="s">
        <v>116</v>
      </c>
      <c r="D4627" t="s">
        <v>117</v>
      </c>
      <c r="E4627" s="1">
        <v>44345</v>
      </c>
      <c r="F4627">
        <v>1</v>
      </c>
      <c r="G4627" t="s">
        <v>53</v>
      </c>
      <c r="H4627" t="s">
        <v>54</v>
      </c>
      <c r="I4627" s="3">
        <v>1738</v>
      </c>
      <c r="J4627" s="3">
        <v>1738</v>
      </c>
      <c r="K4627" s="3">
        <v>388</v>
      </c>
      <c r="L4627" t="s">
        <v>113</v>
      </c>
      <c r="M4627">
        <v>14</v>
      </c>
      <c r="N4627" t="s">
        <v>87</v>
      </c>
      <c r="O4627" t="s">
        <v>81</v>
      </c>
      <c r="P4627" t="s">
        <v>18</v>
      </c>
      <c r="Q4627" t="s">
        <v>19</v>
      </c>
      <c r="R4627" t="s">
        <v>138</v>
      </c>
      <c r="S4627" t="s">
        <v>144</v>
      </c>
      <c r="T4627" s="2">
        <f>MASTER[[#This Row],[CANTIDAD]]*MASTER[[#This Row],[PRECIO DE VENTA]]</f>
        <v>1738</v>
      </c>
      <c r="U4627" s="2">
        <f>MASTER[[#This Row],[CANTIDAD]]*MASTER[[#This Row],[COSTO UNITARIO]]</f>
        <v>388</v>
      </c>
      <c r="V4627" s="2">
        <f>MASTER[[#This Row],[MONTO VENDIDO]]-MASTER[[#This Row],[COSTO DE VENTA]]</f>
        <v>1350</v>
      </c>
    </row>
    <row r="4628" spans="1:22" x14ac:dyDescent="0.3">
      <c r="A4628">
        <v>67572</v>
      </c>
      <c r="B4628">
        <v>1</v>
      </c>
      <c r="C4628" t="s">
        <v>111</v>
      </c>
      <c r="D4628" t="s">
        <v>112</v>
      </c>
      <c r="E4628" s="1">
        <v>44346</v>
      </c>
      <c r="F4628">
        <v>4</v>
      </c>
      <c r="G4628" t="s">
        <v>55</v>
      </c>
      <c r="H4628" t="s">
        <v>56</v>
      </c>
      <c r="I4628" s="3">
        <v>1621</v>
      </c>
      <c r="J4628" s="3">
        <v>1621</v>
      </c>
      <c r="K4628" s="3">
        <v>434</v>
      </c>
      <c r="L4628" t="s">
        <v>113</v>
      </c>
      <c r="M4628">
        <v>2</v>
      </c>
      <c r="N4628" t="s">
        <v>86</v>
      </c>
      <c r="O4628" t="s">
        <v>81</v>
      </c>
      <c r="P4628" t="s">
        <v>71</v>
      </c>
      <c r="Q4628" t="s">
        <v>72</v>
      </c>
      <c r="R4628" t="s">
        <v>139</v>
      </c>
      <c r="S4628" t="s">
        <v>144</v>
      </c>
      <c r="T4628" s="2">
        <f>MASTER[[#This Row],[CANTIDAD]]*MASTER[[#This Row],[PRECIO DE VENTA]]</f>
        <v>6484</v>
      </c>
      <c r="U4628" s="2">
        <f>MASTER[[#This Row],[CANTIDAD]]*MASTER[[#This Row],[COSTO UNITARIO]]</f>
        <v>1736</v>
      </c>
      <c r="V4628" s="2">
        <f>MASTER[[#This Row],[MONTO VENDIDO]]-MASTER[[#This Row],[COSTO DE VENTA]]</f>
        <v>4748</v>
      </c>
    </row>
    <row r="4629" spans="1:22" x14ac:dyDescent="0.3">
      <c r="A4629">
        <v>67584</v>
      </c>
      <c r="B4629">
        <v>1</v>
      </c>
      <c r="C4629" t="s">
        <v>99</v>
      </c>
      <c r="D4629" t="s">
        <v>100</v>
      </c>
      <c r="E4629" s="1">
        <v>44346</v>
      </c>
      <c r="F4629">
        <v>1</v>
      </c>
      <c r="G4629" t="s">
        <v>65</v>
      </c>
      <c r="H4629" t="s">
        <v>66</v>
      </c>
      <c r="I4629" s="3">
        <v>1328</v>
      </c>
      <c r="J4629" s="3">
        <v>1328</v>
      </c>
      <c r="K4629" s="3">
        <v>386</v>
      </c>
      <c r="L4629" t="s">
        <v>98</v>
      </c>
      <c r="M4629">
        <v>11</v>
      </c>
      <c r="N4629" t="s">
        <v>10</v>
      </c>
      <c r="O4629" t="s">
        <v>11</v>
      </c>
      <c r="P4629" t="s">
        <v>12</v>
      </c>
      <c r="Q4629" t="s">
        <v>13</v>
      </c>
      <c r="R4629" t="s">
        <v>13</v>
      </c>
      <c r="S4629" t="s">
        <v>144</v>
      </c>
      <c r="T4629" s="2">
        <f>MASTER[[#This Row],[CANTIDAD]]*MASTER[[#This Row],[PRECIO DE VENTA]]</f>
        <v>1328</v>
      </c>
      <c r="U4629" s="2">
        <f>MASTER[[#This Row],[CANTIDAD]]*MASTER[[#This Row],[COSTO UNITARIO]]</f>
        <v>386</v>
      </c>
      <c r="V4629" s="2">
        <f>MASTER[[#This Row],[MONTO VENDIDO]]-MASTER[[#This Row],[COSTO DE VENTA]]</f>
        <v>942</v>
      </c>
    </row>
    <row r="4630" spans="1:22" x14ac:dyDescent="0.3">
      <c r="A4630">
        <v>67610</v>
      </c>
      <c r="B4630">
        <v>1</v>
      </c>
      <c r="C4630" t="s">
        <v>105</v>
      </c>
      <c r="D4630" t="s">
        <v>106</v>
      </c>
      <c r="E4630" s="1">
        <v>44346</v>
      </c>
      <c r="F4630">
        <v>1</v>
      </c>
      <c r="G4630" t="s">
        <v>47</v>
      </c>
      <c r="H4630" t="s">
        <v>48</v>
      </c>
      <c r="I4630" s="3">
        <v>2033</v>
      </c>
      <c r="J4630" s="3">
        <v>2033</v>
      </c>
      <c r="K4630" s="3">
        <v>459</v>
      </c>
      <c r="L4630" t="s">
        <v>98</v>
      </c>
      <c r="M4630">
        <v>9</v>
      </c>
      <c r="N4630" t="s">
        <v>76</v>
      </c>
      <c r="O4630" t="s">
        <v>70</v>
      </c>
      <c r="P4630" t="s">
        <v>12</v>
      </c>
      <c r="Q4630" t="s">
        <v>13</v>
      </c>
      <c r="R4630" t="s">
        <v>13</v>
      </c>
      <c r="S4630" t="s">
        <v>144</v>
      </c>
      <c r="T4630" s="2">
        <f>MASTER[[#This Row],[CANTIDAD]]*MASTER[[#This Row],[PRECIO DE VENTA]]</f>
        <v>2033</v>
      </c>
      <c r="U4630" s="2">
        <f>MASTER[[#This Row],[CANTIDAD]]*MASTER[[#This Row],[COSTO UNITARIO]]</f>
        <v>459</v>
      </c>
      <c r="V4630" s="2">
        <f>MASTER[[#This Row],[MONTO VENDIDO]]-MASTER[[#This Row],[COSTO DE VENTA]]</f>
        <v>1574</v>
      </c>
    </row>
    <row r="4631" spans="1:22" x14ac:dyDescent="0.3">
      <c r="A4631">
        <v>67641</v>
      </c>
      <c r="B4631">
        <v>1</v>
      </c>
      <c r="C4631" t="s">
        <v>5</v>
      </c>
      <c r="D4631" t="s">
        <v>6</v>
      </c>
      <c r="E4631" s="1">
        <v>44346</v>
      </c>
      <c r="F4631">
        <v>1</v>
      </c>
      <c r="G4631" t="s">
        <v>47</v>
      </c>
      <c r="H4631" t="s">
        <v>48</v>
      </c>
      <c r="I4631" s="3">
        <v>1311</v>
      </c>
      <c r="J4631" s="3">
        <v>1311</v>
      </c>
      <c r="K4631" s="3">
        <v>393</v>
      </c>
      <c r="L4631" t="s">
        <v>9</v>
      </c>
      <c r="M4631">
        <v>11</v>
      </c>
      <c r="N4631" t="s">
        <v>10</v>
      </c>
      <c r="O4631" t="s">
        <v>11</v>
      </c>
      <c r="P4631" t="s">
        <v>12</v>
      </c>
      <c r="Q4631" t="s">
        <v>13</v>
      </c>
      <c r="R4631" t="s">
        <v>13</v>
      </c>
      <c r="S4631" t="s">
        <v>144</v>
      </c>
      <c r="T4631" s="2">
        <f>MASTER[[#This Row],[CANTIDAD]]*MASTER[[#This Row],[PRECIO DE VENTA]]</f>
        <v>1311</v>
      </c>
      <c r="U4631" s="2">
        <f>MASTER[[#This Row],[CANTIDAD]]*MASTER[[#This Row],[COSTO UNITARIO]]</f>
        <v>393</v>
      </c>
      <c r="V4631" s="2">
        <f>MASTER[[#This Row],[MONTO VENDIDO]]-MASTER[[#This Row],[COSTO DE VENTA]]</f>
        <v>918</v>
      </c>
    </row>
    <row r="4632" spans="1:22" x14ac:dyDescent="0.3">
      <c r="A4632">
        <v>67652</v>
      </c>
      <c r="B4632">
        <v>1</v>
      </c>
      <c r="C4632" t="s">
        <v>94</v>
      </c>
      <c r="D4632" t="s">
        <v>95</v>
      </c>
      <c r="E4632" s="1">
        <v>44346</v>
      </c>
      <c r="F4632">
        <v>1</v>
      </c>
      <c r="G4632" t="s">
        <v>35</v>
      </c>
      <c r="H4632" t="s">
        <v>36</v>
      </c>
      <c r="I4632" s="3">
        <v>1153</v>
      </c>
      <c r="J4632" s="3">
        <v>1153</v>
      </c>
      <c r="K4632" s="3">
        <v>392</v>
      </c>
      <c r="L4632" t="s">
        <v>9</v>
      </c>
      <c r="M4632">
        <v>13</v>
      </c>
      <c r="N4632" t="s">
        <v>78</v>
      </c>
      <c r="O4632" t="s">
        <v>70</v>
      </c>
      <c r="P4632" t="s">
        <v>18</v>
      </c>
      <c r="Q4632" t="s">
        <v>19</v>
      </c>
      <c r="R4632" t="s">
        <v>138</v>
      </c>
      <c r="S4632" t="s">
        <v>144</v>
      </c>
      <c r="T4632" s="2">
        <f>MASTER[[#This Row],[CANTIDAD]]*MASTER[[#This Row],[PRECIO DE VENTA]]</f>
        <v>1153</v>
      </c>
      <c r="U4632" s="2">
        <f>MASTER[[#This Row],[CANTIDAD]]*MASTER[[#This Row],[COSTO UNITARIO]]</f>
        <v>392</v>
      </c>
      <c r="V4632" s="2">
        <f>MASTER[[#This Row],[MONTO VENDIDO]]-MASTER[[#This Row],[COSTO DE VENTA]]</f>
        <v>761</v>
      </c>
    </row>
    <row r="4633" spans="1:22" x14ac:dyDescent="0.3">
      <c r="A4633">
        <v>67680</v>
      </c>
      <c r="B4633">
        <v>1</v>
      </c>
      <c r="C4633" t="s">
        <v>94</v>
      </c>
      <c r="D4633" t="s">
        <v>95</v>
      </c>
      <c r="E4633" s="1">
        <v>44346</v>
      </c>
      <c r="F4633">
        <v>1</v>
      </c>
      <c r="G4633" t="s">
        <v>7</v>
      </c>
      <c r="H4633" t="s">
        <v>8</v>
      </c>
      <c r="I4633" s="3">
        <v>1153</v>
      </c>
      <c r="J4633" s="3">
        <v>1153</v>
      </c>
      <c r="K4633" s="3">
        <v>392</v>
      </c>
      <c r="L4633" t="s">
        <v>9</v>
      </c>
      <c r="M4633">
        <v>1</v>
      </c>
      <c r="N4633" t="s">
        <v>77</v>
      </c>
      <c r="O4633" t="s">
        <v>70</v>
      </c>
      <c r="P4633" t="s">
        <v>71</v>
      </c>
      <c r="Q4633" t="s">
        <v>72</v>
      </c>
      <c r="R4633" t="s">
        <v>139</v>
      </c>
      <c r="S4633" t="s">
        <v>144</v>
      </c>
      <c r="T4633" s="2">
        <f>MASTER[[#This Row],[CANTIDAD]]*MASTER[[#This Row],[PRECIO DE VENTA]]</f>
        <v>1153</v>
      </c>
      <c r="U4633" s="2">
        <f>MASTER[[#This Row],[CANTIDAD]]*MASTER[[#This Row],[COSTO UNITARIO]]</f>
        <v>392</v>
      </c>
      <c r="V4633" s="2">
        <f>MASTER[[#This Row],[MONTO VENDIDO]]-MASTER[[#This Row],[COSTO DE VENTA]]</f>
        <v>761</v>
      </c>
    </row>
    <row r="4634" spans="1:22" x14ac:dyDescent="0.3">
      <c r="A4634">
        <v>67683</v>
      </c>
      <c r="B4634">
        <v>1</v>
      </c>
      <c r="C4634" t="s">
        <v>96</v>
      </c>
      <c r="D4634" t="s">
        <v>97</v>
      </c>
      <c r="E4634" s="1">
        <v>44346</v>
      </c>
      <c r="F4634">
        <v>1</v>
      </c>
      <c r="G4634" t="s">
        <v>29</v>
      </c>
      <c r="H4634" t="s">
        <v>30</v>
      </c>
      <c r="I4634" s="3">
        <v>1272</v>
      </c>
      <c r="J4634" s="3">
        <v>1272</v>
      </c>
      <c r="K4634" s="3">
        <v>397</v>
      </c>
      <c r="L4634" t="s">
        <v>98</v>
      </c>
      <c r="M4634">
        <v>19</v>
      </c>
      <c r="N4634" t="s">
        <v>89</v>
      </c>
      <c r="O4634" t="s">
        <v>81</v>
      </c>
      <c r="P4634" t="s">
        <v>15</v>
      </c>
      <c r="Q4634" t="s">
        <v>16</v>
      </c>
      <c r="R4634" t="s">
        <v>16</v>
      </c>
      <c r="S4634" t="s">
        <v>144</v>
      </c>
      <c r="T4634" s="2">
        <f>MASTER[[#This Row],[CANTIDAD]]*MASTER[[#This Row],[PRECIO DE VENTA]]</f>
        <v>1272</v>
      </c>
      <c r="U4634" s="2">
        <f>MASTER[[#This Row],[CANTIDAD]]*MASTER[[#This Row],[COSTO UNITARIO]]</f>
        <v>397</v>
      </c>
      <c r="V4634" s="2">
        <f>MASTER[[#This Row],[MONTO VENDIDO]]-MASTER[[#This Row],[COSTO DE VENTA]]</f>
        <v>875</v>
      </c>
    </row>
    <row r="4635" spans="1:22" x14ac:dyDescent="0.3">
      <c r="A4635">
        <v>67692</v>
      </c>
      <c r="B4635">
        <v>1</v>
      </c>
      <c r="C4635" t="s">
        <v>121</v>
      </c>
      <c r="D4635" t="s">
        <v>122</v>
      </c>
      <c r="E4635" s="1">
        <v>44346</v>
      </c>
      <c r="F4635">
        <v>1</v>
      </c>
      <c r="G4635" t="s">
        <v>45</v>
      </c>
      <c r="H4635" t="s">
        <v>46</v>
      </c>
      <c r="I4635" s="3">
        <v>1144</v>
      </c>
      <c r="J4635" s="3">
        <v>1144</v>
      </c>
      <c r="K4635" s="3">
        <v>460</v>
      </c>
      <c r="L4635" t="s">
        <v>120</v>
      </c>
      <c r="M4635">
        <v>9</v>
      </c>
      <c r="N4635" t="s">
        <v>76</v>
      </c>
      <c r="O4635" t="s">
        <v>70</v>
      </c>
      <c r="P4635" t="s">
        <v>12</v>
      </c>
      <c r="Q4635" t="s">
        <v>13</v>
      </c>
      <c r="R4635" t="s">
        <v>13</v>
      </c>
      <c r="S4635" t="s">
        <v>144</v>
      </c>
      <c r="T4635" s="2">
        <f>MASTER[[#This Row],[CANTIDAD]]*MASTER[[#This Row],[PRECIO DE VENTA]]</f>
        <v>1144</v>
      </c>
      <c r="U4635" s="2">
        <f>MASTER[[#This Row],[CANTIDAD]]*MASTER[[#This Row],[COSTO UNITARIO]]</f>
        <v>460</v>
      </c>
      <c r="V4635" s="2">
        <f>MASTER[[#This Row],[MONTO VENDIDO]]-MASTER[[#This Row],[COSTO DE VENTA]]</f>
        <v>684</v>
      </c>
    </row>
    <row r="4636" spans="1:22" x14ac:dyDescent="0.3">
      <c r="A4636">
        <v>67706</v>
      </c>
      <c r="B4636">
        <v>1</v>
      </c>
      <c r="C4636" t="s">
        <v>101</v>
      </c>
      <c r="D4636" t="s">
        <v>102</v>
      </c>
      <c r="E4636" s="1">
        <v>44346</v>
      </c>
      <c r="F4636">
        <v>1</v>
      </c>
      <c r="G4636" t="s">
        <v>33</v>
      </c>
      <c r="H4636" t="s">
        <v>34</v>
      </c>
      <c r="I4636" s="3">
        <v>1054</v>
      </c>
      <c r="J4636" s="3">
        <v>1054</v>
      </c>
      <c r="K4636" s="3">
        <v>442</v>
      </c>
      <c r="L4636" t="s">
        <v>98</v>
      </c>
      <c r="M4636">
        <v>16</v>
      </c>
      <c r="N4636" t="s">
        <v>17</v>
      </c>
      <c r="O4636" t="s">
        <v>11</v>
      </c>
      <c r="P4636" t="s">
        <v>18</v>
      </c>
      <c r="Q4636" t="s">
        <v>19</v>
      </c>
      <c r="R4636" t="s">
        <v>138</v>
      </c>
      <c r="S4636" t="s">
        <v>144</v>
      </c>
      <c r="T4636" s="2">
        <f>MASTER[[#This Row],[CANTIDAD]]*MASTER[[#This Row],[PRECIO DE VENTA]]</f>
        <v>1054</v>
      </c>
      <c r="U4636" s="2">
        <f>MASTER[[#This Row],[CANTIDAD]]*MASTER[[#This Row],[COSTO UNITARIO]]</f>
        <v>442</v>
      </c>
      <c r="V4636" s="2">
        <f>MASTER[[#This Row],[MONTO VENDIDO]]-MASTER[[#This Row],[COSTO DE VENTA]]</f>
        <v>612</v>
      </c>
    </row>
    <row r="4637" spans="1:22" x14ac:dyDescent="0.3">
      <c r="A4637">
        <v>67708</v>
      </c>
      <c r="B4637">
        <v>1</v>
      </c>
      <c r="C4637" t="s">
        <v>111</v>
      </c>
      <c r="D4637" t="s">
        <v>112</v>
      </c>
      <c r="E4637" s="1">
        <v>44346</v>
      </c>
      <c r="F4637">
        <v>1</v>
      </c>
      <c r="G4637" t="s">
        <v>22</v>
      </c>
      <c r="H4637" t="s">
        <v>23</v>
      </c>
      <c r="I4637" s="3">
        <v>1524</v>
      </c>
      <c r="J4637" s="3">
        <v>1524</v>
      </c>
      <c r="K4637" s="3">
        <v>434</v>
      </c>
      <c r="L4637" t="s">
        <v>113</v>
      </c>
      <c r="M4637">
        <v>17</v>
      </c>
      <c r="N4637" t="s">
        <v>14</v>
      </c>
      <c r="O4637" t="s">
        <v>11</v>
      </c>
      <c r="P4637" t="s">
        <v>15</v>
      </c>
      <c r="Q4637" t="s">
        <v>16</v>
      </c>
      <c r="R4637" t="s">
        <v>16</v>
      </c>
      <c r="S4637" t="s">
        <v>144</v>
      </c>
      <c r="T4637" s="2">
        <f>MASTER[[#This Row],[CANTIDAD]]*MASTER[[#This Row],[PRECIO DE VENTA]]</f>
        <v>1524</v>
      </c>
      <c r="U4637" s="2">
        <f>MASTER[[#This Row],[CANTIDAD]]*MASTER[[#This Row],[COSTO UNITARIO]]</f>
        <v>434</v>
      </c>
      <c r="V4637" s="2">
        <f>MASTER[[#This Row],[MONTO VENDIDO]]-MASTER[[#This Row],[COSTO DE VENTA]]</f>
        <v>1090</v>
      </c>
    </row>
    <row r="4638" spans="1:22" x14ac:dyDescent="0.3">
      <c r="A4638">
        <v>67739</v>
      </c>
      <c r="B4638">
        <v>1</v>
      </c>
      <c r="C4638" t="s">
        <v>96</v>
      </c>
      <c r="D4638" t="s">
        <v>97</v>
      </c>
      <c r="E4638" s="1">
        <v>44346</v>
      </c>
      <c r="F4638">
        <v>1</v>
      </c>
      <c r="G4638" t="s">
        <v>73</v>
      </c>
      <c r="H4638" t="s">
        <v>74</v>
      </c>
      <c r="I4638" s="3">
        <v>1361</v>
      </c>
      <c r="J4638" s="3">
        <v>1361</v>
      </c>
      <c r="K4638" s="3">
        <v>397</v>
      </c>
      <c r="L4638" t="s">
        <v>98</v>
      </c>
      <c r="M4638">
        <v>9</v>
      </c>
      <c r="N4638" t="s">
        <v>76</v>
      </c>
      <c r="O4638" t="s">
        <v>70</v>
      </c>
      <c r="P4638" t="s">
        <v>12</v>
      </c>
      <c r="Q4638" t="s">
        <v>13</v>
      </c>
      <c r="R4638" t="s">
        <v>13</v>
      </c>
      <c r="S4638" t="s">
        <v>144</v>
      </c>
      <c r="T4638" s="2">
        <f>MASTER[[#This Row],[CANTIDAD]]*MASTER[[#This Row],[PRECIO DE VENTA]]</f>
        <v>1361</v>
      </c>
      <c r="U4638" s="2">
        <f>MASTER[[#This Row],[CANTIDAD]]*MASTER[[#This Row],[COSTO UNITARIO]]</f>
        <v>397</v>
      </c>
      <c r="V4638" s="2">
        <f>MASTER[[#This Row],[MONTO VENDIDO]]-MASTER[[#This Row],[COSTO DE VENTA]]</f>
        <v>964</v>
      </c>
    </row>
    <row r="4639" spans="1:22" x14ac:dyDescent="0.3">
      <c r="A4639">
        <v>67755</v>
      </c>
      <c r="B4639">
        <v>1</v>
      </c>
      <c r="C4639" t="s">
        <v>5</v>
      </c>
      <c r="D4639" t="s">
        <v>6</v>
      </c>
      <c r="E4639" s="1">
        <v>44347</v>
      </c>
      <c r="F4639">
        <v>4</v>
      </c>
      <c r="G4639" t="s">
        <v>35</v>
      </c>
      <c r="H4639" t="s">
        <v>36</v>
      </c>
      <c r="I4639" s="3">
        <v>1296</v>
      </c>
      <c r="J4639" s="3">
        <v>1296</v>
      </c>
      <c r="K4639" s="3">
        <v>393</v>
      </c>
      <c r="L4639" t="s">
        <v>9</v>
      </c>
      <c r="M4639">
        <v>18</v>
      </c>
      <c r="N4639" t="s">
        <v>79</v>
      </c>
      <c r="O4639" t="s">
        <v>70</v>
      </c>
      <c r="P4639" t="s">
        <v>15</v>
      </c>
      <c r="Q4639" t="s">
        <v>16</v>
      </c>
      <c r="R4639" t="s">
        <v>16</v>
      </c>
      <c r="S4639" t="s">
        <v>144</v>
      </c>
      <c r="T4639" s="2">
        <f>MASTER[[#This Row],[CANTIDAD]]*MASTER[[#This Row],[PRECIO DE VENTA]]</f>
        <v>5184</v>
      </c>
      <c r="U4639" s="2">
        <f>MASTER[[#This Row],[CANTIDAD]]*MASTER[[#This Row],[COSTO UNITARIO]]</f>
        <v>1572</v>
      </c>
      <c r="V4639" s="2">
        <f>MASTER[[#This Row],[MONTO VENDIDO]]-MASTER[[#This Row],[COSTO DE VENTA]]</f>
        <v>3612</v>
      </c>
    </row>
    <row r="4640" spans="1:22" x14ac:dyDescent="0.3">
      <c r="A4640">
        <v>67759</v>
      </c>
      <c r="B4640">
        <v>1</v>
      </c>
      <c r="C4640" t="s">
        <v>109</v>
      </c>
      <c r="D4640" t="s">
        <v>110</v>
      </c>
      <c r="E4640" s="1">
        <v>44347</v>
      </c>
      <c r="F4640">
        <v>1</v>
      </c>
      <c r="G4640" t="s">
        <v>20</v>
      </c>
      <c r="H4640" t="s">
        <v>21</v>
      </c>
      <c r="I4640" s="3">
        <v>947</v>
      </c>
      <c r="J4640" s="3">
        <v>899</v>
      </c>
      <c r="K4640" s="3">
        <v>387</v>
      </c>
      <c r="L4640" t="s">
        <v>98</v>
      </c>
      <c r="M4640">
        <v>16</v>
      </c>
      <c r="N4640" t="s">
        <v>17</v>
      </c>
      <c r="O4640" t="s">
        <v>11</v>
      </c>
      <c r="P4640" t="s">
        <v>18</v>
      </c>
      <c r="Q4640" t="s">
        <v>19</v>
      </c>
      <c r="R4640" t="s">
        <v>138</v>
      </c>
      <c r="S4640" t="s">
        <v>144</v>
      </c>
      <c r="T4640" s="2">
        <f>MASTER[[#This Row],[CANTIDAD]]*MASTER[[#This Row],[PRECIO DE VENTA]]</f>
        <v>899</v>
      </c>
      <c r="U4640" s="2">
        <f>MASTER[[#This Row],[CANTIDAD]]*MASTER[[#This Row],[COSTO UNITARIO]]</f>
        <v>387</v>
      </c>
      <c r="V4640" s="2">
        <f>MASTER[[#This Row],[MONTO VENDIDO]]-MASTER[[#This Row],[COSTO DE VENTA]]</f>
        <v>512</v>
      </c>
    </row>
    <row r="4641" spans="1:22" x14ac:dyDescent="0.3">
      <c r="A4641">
        <v>67770</v>
      </c>
      <c r="B4641">
        <v>1</v>
      </c>
      <c r="C4641" t="s">
        <v>121</v>
      </c>
      <c r="D4641" t="s">
        <v>122</v>
      </c>
      <c r="E4641" s="1">
        <v>44347</v>
      </c>
      <c r="F4641">
        <v>1</v>
      </c>
      <c r="G4641" t="s">
        <v>37</v>
      </c>
      <c r="H4641" t="s">
        <v>38</v>
      </c>
      <c r="I4641" s="3">
        <v>941</v>
      </c>
      <c r="J4641" s="3">
        <v>941</v>
      </c>
      <c r="K4641" s="3">
        <v>460</v>
      </c>
      <c r="L4641" t="s">
        <v>120</v>
      </c>
      <c r="M4641">
        <v>11</v>
      </c>
      <c r="N4641" t="s">
        <v>10</v>
      </c>
      <c r="O4641" t="s">
        <v>11</v>
      </c>
      <c r="P4641" t="s">
        <v>12</v>
      </c>
      <c r="Q4641" t="s">
        <v>13</v>
      </c>
      <c r="R4641" t="s">
        <v>13</v>
      </c>
      <c r="S4641" t="s">
        <v>144</v>
      </c>
      <c r="T4641" s="2">
        <f>MASTER[[#This Row],[CANTIDAD]]*MASTER[[#This Row],[PRECIO DE VENTA]]</f>
        <v>941</v>
      </c>
      <c r="U4641" s="2">
        <f>MASTER[[#This Row],[CANTIDAD]]*MASTER[[#This Row],[COSTO UNITARIO]]</f>
        <v>460</v>
      </c>
      <c r="V4641" s="2">
        <f>MASTER[[#This Row],[MONTO VENDIDO]]-MASTER[[#This Row],[COSTO DE VENTA]]</f>
        <v>481</v>
      </c>
    </row>
    <row r="4642" spans="1:22" x14ac:dyDescent="0.3">
      <c r="A4642">
        <v>67774</v>
      </c>
      <c r="B4642">
        <v>1</v>
      </c>
      <c r="C4642" t="s">
        <v>107</v>
      </c>
      <c r="D4642" t="s">
        <v>108</v>
      </c>
      <c r="E4642" s="1">
        <v>44347</v>
      </c>
      <c r="F4642">
        <v>1</v>
      </c>
      <c r="G4642" t="s">
        <v>39</v>
      </c>
      <c r="H4642" t="s">
        <v>40</v>
      </c>
      <c r="I4642" s="3">
        <v>1440</v>
      </c>
      <c r="J4642" s="3">
        <v>1440</v>
      </c>
      <c r="K4642" s="3">
        <v>380</v>
      </c>
      <c r="L4642" t="s">
        <v>98</v>
      </c>
      <c r="M4642">
        <v>3</v>
      </c>
      <c r="N4642" t="s">
        <v>69</v>
      </c>
      <c r="O4642" t="s">
        <v>70</v>
      </c>
      <c r="P4642" t="s">
        <v>71</v>
      </c>
      <c r="Q4642" t="s">
        <v>72</v>
      </c>
      <c r="R4642" t="s">
        <v>139</v>
      </c>
      <c r="S4642" t="s">
        <v>144</v>
      </c>
      <c r="T4642" s="2">
        <f>MASTER[[#This Row],[CANTIDAD]]*MASTER[[#This Row],[PRECIO DE VENTA]]</f>
        <v>1440</v>
      </c>
      <c r="U4642" s="2">
        <f>MASTER[[#This Row],[CANTIDAD]]*MASTER[[#This Row],[COSTO UNITARIO]]</f>
        <v>380</v>
      </c>
      <c r="V4642" s="2">
        <f>MASTER[[#This Row],[MONTO VENDIDO]]-MASTER[[#This Row],[COSTO DE VENTA]]</f>
        <v>1060</v>
      </c>
    </row>
    <row r="4643" spans="1:22" x14ac:dyDescent="0.3">
      <c r="A4643">
        <v>67783</v>
      </c>
      <c r="B4643">
        <v>1</v>
      </c>
      <c r="C4643" t="s">
        <v>103</v>
      </c>
      <c r="D4643" t="s">
        <v>104</v>
      </c>
      <c r="E4643" s="1">
        <v>44347</v>
      </c>
      <c r="F4643">
        <v>1</v>
      </c>
      <c r="G4643" t="s">
        <v>59</v>
      </c>
      <c r="H4643" t="s">
        <v>60</v>
      </c>
      <c r="I4643" s="3">
        <v>1830</v>
      </c>
      <c r="J4643" s="3">
        <v>1830</v>
      </c>
      <c r="K4643" s="3">
        <v>421</v>
      </c>
      <c r="L4643" t="s">
        <v>98</v>
      </c>
      <c r="M4643">
        <v>13</v>
      </c>
      <c r="N4643" t="s">
        <v>78</v>
      </c>
      <c r="O4643" t="s">
        <v>70</v>
      </c>
      <c r="P4643" t="s">
        <v>18</v>
      </c>
      <c r="Q4643" t="s">
        <v>19</v>
      </c>
      <c r="R4643" t="s">
        <v>138</v>
      </c>
      <c r="S4643" t="s">
        <v>144</v>
      </c>
      <c r="T4643" s="2">
        <f>MASTER[[#This Row],[CANTIDAD]]*MASTER[[#This Row],[PRECIO DE VENTA]]</f>
        <v>1830</v>
      </c>
      <c r="U4643" s="2">
        <f>MASTER[[#This Row],[CANTIDAD]]*MASTER[[#This Row],[COSTO UNITARIO]]</f>
        <v>421</v>
      </c>
      <c r="V4643" s="2">
        <f>MASTER[[#This Row],[MONTO VENDIDO]]-MASTER[[#This Row],[COSTO DE VENTA]]</f>
        <v>1409</v>
      </c>
    </row>
    <row r="4644" spans="1:22" x14ac:dyDescent="0.3">
      <c r="A4644">
        <v>67802</v>
      </c>
      <c r="B4644">
        <v>1</v>
      </c>
      <c r="C4644" t="s">
        <v>105</v>
      </c>
      <c r="D4644" t="s">
        <v>106</v>
      </c>
      <c r="E4644" s="1">
        <v>44347</v>
      </c>
      <c r="F4644">
        <v>1</v>
      </c>
      <c r="G4644" t="s">
        <v>59</v>
      </c>
      <c r="H4644" t="s">
        <v>60</v>
      </c>
      <c r="I4644" s="3">
        <v>2033</v>
      </c>
      <c r="J4644" s="3">
        <v>2033</v>
      </c>
      <c r="K4644" s="3">
        <v>459</v>
      </c>
      <c r="L4644" t="s">
        <v>98</v>
      </c>
      <c r="M4644">
        <v>1</v>
      </c>
      <c r="N4644" t="s">
        <v>77</v>
      </c>
      <c r="O4644" t="s">
        <v>70</v>
      </c>
      <c r="P4644" t="s">
        <v>71</v>
      </c>
      <c r="Q4644" t="s">
        <v>72</v>
      </c>
      <c r="R4644" t="s">
        <v>139</v>
      </c>
      <c r="S4644" t="s">
        <v>144</v>
      </c>
      <c r="T4644" s="2">
        <f>MASTER[[#This Row],[CANTIDAD]]*MASTER[[#This Row],[PRECIO DE VENTA]]</f>
        <v>2033</v>
      </c>
      <c r="U4644" s="2">
        <f>MASTER[[#This Row],[CANTIDAD]]*MASTER[[#This Row],[COSTO UNITARIO]]</f>
        <v>459</v>
      </c>
      <c r="V4644" s="2">
        <f>MASTER[[#This Row],[MONTO VENDIDO]]-MASTER[[#This Row],[COSTO DE VENTA]]</f>
        <v>1574</v>
      </c>
    </row>
    <row r="4645" spans="1:22" x14ac:dyDescent="0.3">
      <c r="A4645">
        <v>67809</v>
      </c>
      <c r="B4645">
        <v>1</v>
      </c>
      <c r="C4645" t="s">
        <v>109</v>
      </c>
      <c r="D4645" t="s">
        <v>110</v>
      </c>
      <c r="E4645" s="1">
        <v>44347</v>
      </c>
      <c r="F4645">
        <v>1</v>
      </c>
      <c r="G4645" t="s">
        <v>39</v>
      </c>
      <c r="H4645" t="s">
        <v>40</v>
      </c>
      <c r="I4645" s="3">
        <v>1128</v>
      </c>
      <c r="J4645" s="3">
        <v>1128</v>
      </c>
      <c r="K4645" s="3">
        <v>387</v>
      </c>
      <c r="L4645" t="s">
        <v>98</v>
      </c>
      <c r="M4645">
        <v>13</v>
      </c>
      <c r="N4645" t="s">
        <v>78</v>
      </c>
      <c r="O4645" t="s">
        <v>70</v>
      </c>
      <c r="P4645" t="s">
        <v>18</v>
      </c>
      <c r="Q4645" t="s">
        <v>19</v>
      </c>
      <c r="R4645" t="s">
        <v>138</v>
      </c>
      <c r="S4645" t="s">
        <v>144</v>
      </c>
      <c r="T4645" s="2">
        <f>MASTER[[#This Row],[CANTIDAD]]*MASTER[[#This Row],[PRECIO DE VENTA]]</f>
        <v>1128</v>
      </c>
      <c r="U4645" s="2">
        <f>MASTER[[#This Row],[CANTIDAD]]*MASTER[[#This Row],[COSTO UNITARIO]]</f>
        <v>387</v>
      </c>
      <c r="V4645" s="2">
        <f>MASTER[[#This Row],[MONTO VENDIDO]]-MASTER[[#This Row],[COSTO DE VENTA]]</f>
        <v>741</v>
      </c>
    </row>
    <row r="4646" spans="1:22" x14ac:dyDescent="0.3">
      <c r="A4646">
        <v>67821</v>
      </c>
      <c r="B4646">
        <v>1</v>
      </c>
      <c r="C4646" t="s">
        <v>105</v>
      </c>
      <c r="D4646" t="s">
        <v>106</v>
      </c>
      <c r="E4646" s="1">
        <v>44347</v>
      </c>
      <c r="F4646">
        <v>1</v>
      </c>
      <c r="G4646" t="s">
        <v>47</v>
      </c>
      <c r="H4646" t="s">
        <v>48</v>
      </c>
      <c r="I4646" s="3">
        <v>1585</v>
      </c>
      <c r="J4646" s="3">
        <v>1585</v>
      </c>
      <c r="K4646" s="3">
        <v>459</v>
      </c>
      <c r="L4646" t="s">
        <v>98</v>
      </c>
      <c r="M4646">
        <v>17</v>
      </c>
      <c r="N4646" t="s">
        <v>14</v>
      </c>
      <c r="O4646" t="s">
        <v>11</v>
      </c>
      <c r="P4646" t="s">
        <v>15</v>
      </c>
      <c r="Q4646" t="s">
        <v>16</v>
      </c>
      <c r="R4646" t="s">
        <v>16</v>
      </c>
      <c r="S4646" t="s">
        <v>144</v>
      </c>
      <c r="T4646" s="2">
        <f>MASTER[[#This Row],[CANTIDAD]]*MASTER[[#This Row],[PRECIO DE VENTA]]</f>
        <v>1585</v>
      </c>
      <c r="U4646" s="2">
        <f>MASTER[[#This Row],[CANTIDAD]]*MASTER[[#This Row],[COSTO UNITARIO]]</f>
        <v>459</v>
      </c>
      <c r="V4646" s="2">
        <f>MASTER[[#This Row],[MONTO VENDIDO]]-MASTER[[#This Row],[COSTO DE VENTA]]</f>
        <v>1126</v>
      </c>
    </row>
    <row r="4647" spans="1:22" x14ac:dyDescent="0.3">
      <c r="A4647">
        <v>67841</v>
      </c>
      <c r="B4647">
        <v>1</v>
      </c>
      <c r="C4647" t="s">
        <v>5</v>
      </c>
      <c r="D4647" t="s">
        <v>6</v>
      </c>
      <c r="E4647" s="1">
        <v>44348</v>
      </c>
      <c r="F4647">
        <v>4</v>
      </c>
      <c r="G4647" t="s">
        <v>37</v>
      </c>
      <c r="H4647" t="s">
        <v>38</v>
      </c>
      <c r="I4647" s="3">
        <v>1296</v>
      </c>
      <c r="J4647" s="3">
        <v>1296</v>
      </c>
      <c r="K4647" s="3">
        <v>393</v>
      </c>
      <c r="L4647" t="s">
        <v>9</v>
      </c>
      <c r="M4647">
        <v>3</v>
      </c>
      <c r="N4647" t="s">
        <v>69</v>
      </c>
      <c r="O4647" t="s">
        <v>70</v>
      </c>
      <c r="P4647" t="s">
        <v>71</v>
      </c>
      <c r="Q4647" t="s">
        <v>72</v>
      </c>
      <c r="R4647" t="s">
        <v>139</v>
      </c>
      <c r="S4647" t="s">
        <v>144</v>
      </c>
      <c r="T4647" s="2">
        <f>MASTER[[#This Row],[CANTIDAD]]*MASTER[[#This Row],[PRECIO DE VENTA]]</f>
        <v>5184</v>
      </c>
      <c r="U4647" s="2">
        <f>MASTER[[#This Row],[CANTIDAD]]*MASTER[[#This Row],[COSTO UNITARIO]]</f>
        <v>1572</v>
      </c>
      <c r="V4647" s="2">
        <f>MASTER[[#This Row],[MONTO VENDIDO]]-MASTER[[#This Row],[COSTO DE VENTA]]</f>
        <v>3612</v>
      </c>
    </row>
    <row r="4648" spans="1:22" x14ac:dyDescent="0.3">
      <c r="A4648">
        <v>67842</v>
      </c>
      <c r="B4648">
        <v>1</v>
      </c>
      <c r="C4648" t="s">
        <v>99</v>
      </c>
      <c r="D4648" t="s">
        <v>100</v>
      </c>
      <c r="E4648" s="1">
        <v>44348</v>
      </c>
      <c r="F4648">
        <v>1</v>
      </c>
      <c r="G4648" t="s">
        <v>20</v>
      </c>
      <c r="H4648" t="s">
        <v>21</v>
      </c>
      <c r="I4648" s="3">
        <v>1678</v>
      </c>
      <c r="J4648" s="3">
        <v>1678</v>
      </c>
      <c r="K4648" s="3">
        <v>386</v>
      </c>
      <c r="L4648" t="s">
        <v>98</v>
      </c>
      <c r="M4648">
        <v>18</v>
      </c>
      <c r="N4648" t="s">
        <v>79</v>
      </c>
      <c r="O4648" t="s">
        <v>70</v>
      </c>
      <c r="P4648" t="s">
        <v>15</v>
      </c>
      <c r="Q4648" t="s">
        <v>16</v>
      </c>
      <c r="R4648" t="s">
        <v>16</v>
      </c>
      <c r="S4648" t="s">
        <v>144</v>
      </c>
      <c r="T4648" s="2">
        <f>MASTER[[#This Row],[CANTIDAD]]*MASTER[[#This Row],[PRECIO DE VENTA]]</f>
        <v>1678</v>
      </c>
      <c r="U4648" s="2">
        <f>MASTER[[#This Row],[CANTIDAD]]*MASTER[[#This Row],[COSTO UNITARIO]]</f>
        <v>386</v>
      </c>
      <c r="V4648" s="2">
        <f>MASTER[[#This Row],[MONTO VENDIDO]]-MASTER[[#This Row],[COSTO DE VENTA]]</f>
        <v>1292</v>
      </c>
    </row>
    <row r="4649" spans="1:22" x14ac:dyDescent="0.3">
      <c r="A4649">
        <v>67860</v>
      </c>
      <c r="B4649">
        <v>1</v>
      </c>
      <c r="C4649" t="s">
        <v>111</v>
      </c>
      <c r="D4649" t="s">
        <v>112</v>
      </c>
      <c r="E4649" s="1">
        <v>44348</v>
      </c>
      <c r="F4649">
        <v>1</v>
      </c>
      <c r="G4649" t="s">
        <v>47</v>
      </c>
      <c r="H4649" t="s">
        <v>48</v>
      </c>
      <c r="I4649" s="3">
        <v>1799</v>
      </c>
      <c r="J4649" s="3">
        <v>1799</v>
      </c>
      <c r="K4649" s="3">
        <v>434</v>
      </c>
      <c r="L4649" t="s">
        <v>113</v>
      </c>
      <c r="M4649">
        <v>3</v>
      </c>
      <c r="N4649" t="s">
        <v>69</v>
      </c>
      <c r="O4649" t="s">
        <v>70</v>
      </c>
      <c r="P4649" t="s">
        <v>71</v>
      </c>
      <c r="Q4649" t="s">
        <v>72</v>
      </c>
      <c r="R4649" t="s">
        <v>139</v>
      </c>
      <c r="S4649" t="s">
        <v>144</v>
      </c>
      <c r="T4649" s="2">
        <f>MASTER[[#This Row],[CANTIDAD]]*MASTER[[#This Row],[PRECIO DE VENTA]]</f>
        <v>1799</v>
      </c>
      <c r="U4649" s="2">
        <f>MASTER[[#This Row],[CANTIDAD]]*MASTER[[#This Row],[COSTO UNITARIO]]</f>
        <v>434</v>
      </c>
      <c r="V4649" s="2">
        <f>MASTER[[#This Row],[MONTO VENDIDO]]-MASTER[[#This Row],[COSTO DE VENTA]]</f>
        <v>1365</v>
      </c>
    </row>
    <row r="4650" spans="1:22" x14ac:dyDescent="0.3">
      <c r="A4650">
        <v>67861</v>
      </c>
      <c r="B4650">
        <v>1</v>
      </c>
      <c r="C4650" t="s">
        <v>118</v>
      </c>
      <c r="D4650" t="s">
        <v>119</v>
      </c>
      <c r="E4650" s="1">
        <v>44348</v>
      </c>
      <c r="F4650">
        <v>1</v>
      </c>
      <c r="G4650" t="s">
        <v>49</v>
      </c>
      <c r="H4650" t="s">
        <v>50</v>
      </c>
      <c r="I4650" s="3">
        <v>1026</v>
      </c>
      <c r="J4650" s="3">
        <v>1026</v>
      </c>
      <c r="K4650" s="3">
        <v>424</v>
      </c>
      <c r="L4650" t="s">
        <v>120</v>
      </c>
      <c r="M4650">
        <v>13</v>
      </c>
      <c r="N4650" t="s">
        <v>78</v>
      </c>
      <c r="O4650" t="s">
        <v>70</v>
      </c>
      <c r="P4650" t="s">
        <v>18</v>
      </c>
      <c r="Q4650" t="s">
        <v>19</v>
      </c>
      <c r="R4650" t="s">
        <v>138</v>
      </c>
      <c r="S4650" t="s">
        <v>144</v>
      </c>
      <c r="T4650" s="2">
        <f>MASTER[[#This Row],[CANTIDAD]]*MASTER[[#This Row],[PRECIO DE VENTA]]</f>
        <v>1026</v>
      </c>
      <c r="U4650" s="2">
        <f>MASTER[[#This Row],[CANTIDAD]]*MASTER[[#This Row],[COSTO UNITARIO]]</f>
        <v>424</v>
      </c>
      <c r="V4650" s="2">
        <f>MASTER[[#This Row],[MONTO VENDIDO]]-MASTER[[#This Row],[COSTO DE VENTA]]</f>
        <v>602</v>
      </c>
    </row>
    <row r="4651" spans="1:22" x14ac:dyDescent="0.3">
      <c r="A4651">
        <v>67868</v>
      </c>
      <c r="B4651">
        <v>1</v>
      </c>
      <c r="C4651" t="s">
        <v>107</v>
      </c>
      <c r="D4651" t="s">
        <v>108</v>
      </c>
      <c r="E4651" s="1">
        <v>44348</v>
      </c>
      <c r="F4651">
        <v>1</v>
      </c>
      <c r="G4651" t="s">
        <v>53</v>
      </c>
      <c r="H4651" t="s">
        <v>54</v>
      </c>
      <c r="I4651" s="3">
        <v>1333</v>
      </c>
      <c r="J4651" s="3">
        <v>1333</v>
      </c>
      <c r="K4651" s="3">
        <v>380</v>
      </c>
      <c r="L4651" t="s">
        <v>98</v>
      </c>
      <c r="M4651">
        <v>5</v>
      </c>
      <c r="N4651" t="s">
        <v>85</v>
      </c>
      <c r="O4651" t="s">
        <v>81</v>
      </c>
      <c r="P4651" t="s">
        <v>12</v>
      </c>
      <c r="Q4651" t="s">
        <v>13</v>
      </c>
      <c r="R4651" t="s">
        <v>13</v>
      </c>
      <c r="S4651" t="s">
        <v>144</v>
      </c>
      <c r="T4651" s="2">
        <f>MASTER[[#This Row],[CANTIDAD]]*MASTER[[#This Row],[PRECIO DE VENTA]]</f>
        <v>1333</v>
      </c>
      <c r="U4651" s="2">
        <f>MASTER[[#This Row],[CANTIDAD]]*MASTER[[#This Row],[COSTO UNITARIO]]</f>
        <v>380</v>
      </c>
      <c r="V4651" s="2">
        <f>MASTER[[#This Row],[MONTO VENDIDO]]-MASTER[[#This Row],[COSTO DE VENTA]]</f>
        <v>953</v>
      </c>
    </row>
    <row r="4652" spans="1:22" x14ac:dyDescent="0.3">
      <c r="A4652">
        <v>67878</v>
      </c>
      <c r="B4652">
        <v>1</v>
      </c>
      <c r="C4652" t="s">
        <v>92</v>
      </c>
      <c r="D4652" t="s">
        <v>93</v>
      </c>
      <c r="E4652" s="1">
        <v>44348</v>
      </c>
      <c r="F4652">
        <v>1</v>
      </c>
      <c r="G4652" t="s">
        <v>47</v>
      </c>
      <c r="H4652" t="s">
        <v>48</v>
      </c>
      <c r="I4652" s="3">
        <v>1479</v>
      </c>
      <c r="J4652" s="3">
        <v>1479</v>
      </c>
      <c r="K4652" s="3">
        <v>396</v>
      </c>
      <c r="L4652" t="s">
        <v>9</v>
      </c>
      <c r="M4652">
        <v>11</v>
      </c>
      <c r="N4652" t="s">
        <v>10</v>
      </c>
      <c r="O4652" t="s">
        <v>11</v>
      </c>
      <c r="P4652" t="s">
        <v>12</v>
      </c>
      <c r="Q4652" t="s">
        <v>13</v>
      </c>
      <c r="R4652" t="s">
        <v>13</v>
      </c>
      <c r="S4652" t="s">
        <v>144</v>
      </c>
      <c r="T4652" s="2">
        <f>MASTER[[#This Row],[CANTIDAD]]*MASTER[[#This Row],[PRECIO DE VENTA]]</f>
        <v>1479</v>
      </c>
      <c r="U4652" s="2">
        <f>MASTER[[#This Row],[CANTIDAD]]*MASTER[[#This Row],[COSTO UNITARIO]]</f>
        <v>396</v>
      </c>
      <c r="V4652" s="2">
        <f>MASTER[[#This Row],[MONTO VENDIDO]]-MASTER[[#This Row],[COSTO DE VENTA]]</f>
        <v>1083</v>
      </c>
    </row>
    <row r="4653" spans="1:22" x14ac:dyDescent="0.3">
      <c r="A4653">
        <v>67882</v>
      </c>
      <c r="B4653">
        <v>1</v>
      </c>
      <c r="C4653" t="s">
        <v>99</v>
      </c>
      <c r="D4653" t="s">
        <v>100</v>
      </c>
      <c r="E4653" s="1">
        <v>44348</v>
      </c>
      <c r="F4653">
        <v>1</v>
      </c>
      <c r="G4653" t="s">
        <v>24</v>
      </c>
      <c r="H4653" t="s">
        <v>25</v>
      </c>
      <c r="I4653" s="3">
        <v>1459</v>
      </c>
      <c r="J4653" s="3">
        <v>1459</v>
      </c>
      <c r="K4653" s="3">
        <v>386</v>
      </c>
      <c r="L4653" t="s">
        <v>98</v>
      </c>
      <c r="M4653">
        <v>5</v>
      </c>
      <c r="N4653" t="s">
        <v>85</v>
      </c>
      <c r="O4653" t="s">
        <v>81</v>
      </c>
      <c r="P4653" t="s">
        <v>12</v>
      </c>
      <c r="Q4653" t="s">
        <v>13</v>
      </c>
      <c r="R4653" t="s">
        <v>13</v>
      </c>
      <c r="S4653" t="s">
        <v>144</v>
      </c>
      <c r="T4653" s="2">
        <f>MASTER[[#This Row],[CANTIDAD]]*MASTER[[#This Row],[PRECIO DE VENTA]]</f>
        <v>1459</v>
      </c>
      <c r="U4653" s="2">
        <f>MASTER[[#This Row],[CANTIDAD]]*MASTER[[#This Row],[COSTO UNITARIO]]</f>
        <v>386</v>
      </c>
      <c r="V4653" s="2">
        <f>MASTER[[#This Row],[MONTO VENDIDO]]-MASTER[[#This Row],[COSTO DE VENTA]]</f>
        <v>1073</v>
      </c>
    </row>
    <row r="4654" spans="1:22" x14ac:dyDescent="0.3">
      <c r="A4654">
        <v>67907</v>
      </c>
      <c r="B4654">
        <v>1</v>
      </c>
      <c r="C4654" t="s">
        <v>116</v>
      </c>
      <c r="D4654" t="s">
        <v>117</v>
      </c>
      <c r="E4654" s="1">
        <v>44348</v>
      </c>
      <c r="F4654">
        <v>1</v>
      </c>
      <c r="G4654" t="s">
        <v>24</v>
      </c>
      <c r="H4654" t="s">
        <v>25</v>
      </c>
      <c r="I4654" s="3">
        <v>1738</v>
      </c>
      <c r="J4654" s="3">
        <v>1738</v>
      </c>
      <c r="K4654" s="3">
        <v>388</v>
      </c>
      <c r="L4654" t="s">
        <v>113</v>
      </c>
      <c r="M4654">
        <v>4</v>
      </c>
      <c r="N4654" t="s">
        <v>82</v>
      </c>
      <c r="O4654" t="s">
        <v>81</v>
      </c>
      <c r="P4654" t="s">
        <v>71</v>
      </c>
      <c r="Q4654" t="s">
        <v>72</v>
      </c>
      <c r="R4654" t="s">
        <v>139</v>
      </c>
      <c r="S4654" t="s">
        <v>144</v>
      </c>
      <c r="T4654" s="2">
        <f>MASTER[[#This Row],[CANTIDAD]]*MASTER[[#This Row],[PRECIO DE VENTA]]</f>
        <v>1738</v>
      </c>
      <c r="U4654" s="2">
        <f>MASTER[[#This Row],[CANTIDAD]]*MASTER[[#This Row],[COSTO UNITARIO]]</f>
        <v>388</v>
      </c>
      <c r="V4654" s="2">
        <f>MASTER[[#This Row],[MONTO VENDIDO]]-MASTER[[#This Row],[COSTO DE VENTA]]</f>
        <v>1350</v>
      </c>
    </row>
    <row r="4655" spans="1:22" x14ac:dyDescent="0.3">
      <c r="A4655">
        <v>67925</v>
      </c>
      <c r="B4655">
        <v>2</v>
      </c>
      <c r="C4655" t="s">
        <v>94</v>
      </c>
      <c r="D4655" t="s">
        <v>95</v>
      </c>
      <c r="E4655" s="1">
        <v>44349</v>
      </c>
      <c r="F4655">
        <v>1</v>
      </c>
      <c r="G4655" t="s">
        <v>59</v>
      </c>
      <c r="H4655" t="s">
        <v>60</v>
      </c>
      <c r="I4655" s="3">
        <v>1048</v>
      </c>
      <c r="J4655" s="3">
        <v>1048</v>
      </c>
      <c r="K4655" s="3">
        <v>392</v>
      </c>
      <c r="L4655" t="s">
        <v>9</v>
      </c>
      <c r="M4655">
        <v>5</v>
      </c>
      <c r="N4655" t="s">
        <v>85</v>
      </c>
      <c r="O4655" t="s">
        <v>81</v>
      </c>
      <c r="P4655" t="s">
        <v>12</v>
      </c>
      <c r="Q4655" t="s">
        <v>13</v>
      </c>
      <c r="R4655" t="s">
        <v>13</v>
      </c>
      <c r="S4655" t="s">
        <v>144</v>
      </c>
      <c r="T4655" s="2">
        <f>MASTER[[#This Row],[CANTIDAD]]*MASTER[[#This Row],[PRECIO DE VENTA]]</f>
        <v>1048</v>
      </c>
      <c r="U4655" s="2">
        <f>MASTER[[#This Row],[CANTIDAD]]*MASTER[[#This Row],[COSTO UNITARIO]]</f>
        <v>392</v>
      </c>
      <c r="V4655" s="2">
        <f>MASTER[[#This Row],[MONTO VENDIDO]]-MASTER[[#This Row],[COSTO DE VENTA]]</f>
        <v>656</v>
      </c>
    </row>
    <row r="4656" spans="1:22" x14ac:dyDescent="0.3">
      <c r="A4656">
        <v>67925</v>
      </c>
      <c r="B4656">
        <v>1</v>
      </c>
      <c r="C4656" t="s">
        <v>111</v>
      </c>
      <c r="D4656" t="s">
        <v>112</v>
      </c>
      <c r="E4656" s="1">
        <v>44349</v>
      </c>
      <c r="F4656">
        <v>1</v>
      </c>
      <c r="G4656" t="s">
        <v>33</v>
      </c>
      <c r="H4656" t="s">
        <v>34</v>
      </c>
      <c r="I4656" s="3">
        <v>1621</v>
      </c>
      <c r="J4656" s="3">
        <v>1621</v>
      </c>
      <c r="K4656" s="3">
        <v>434</v>
      </c>
      <c r="L4656" t="s">
        <v>113</v>
      </c>
      <c r="M4656">
        <v>5</v>
      </c>
      <c r="N4656" t="s">
        <v>85</v>
      </c>
      <c r="O4656" t="s">
        <v>81</v>
      </c>
      <c r="P4656" t="s">
        <v>12</v>
      </c>
      <c r="Q4656" t="s">
        <v>13</v>
      </c>
      <c r="R4656" t="s">
        <v>13</v>
      </c>
      <c r="S4656" t="s">
        <v>144</v>
      </c>
      <c r="T4656" s="2">
        <f>MASTER[[#This Row],[CANTIDAD]]*MASTER[[#This Row],[PRECIO DE VENTA]]</f>
        <v>1621</v>
      </c>
      <c r="U4656" s="2">
        <f>MASTER[[#This Row],[CANTIDAD]]*MASTER[[#This Row],[COSTO UNITARIO]]</f>
        <v>434</v>
      </c>
      <c r="V4656" s="2">
        <f>MASTER[[#This Row],[MONTO VENDIDO]]-MASTER[[#This Row],[COSTO DE VENTA]]</f>
        <v>1187</v>
      </c>
    </row>
    <row r="4657" spans="1:22" x14ac:dyDescent="0.3">
      <c r="A4657">
        <v>67933</v>
      </c>
      <c r="B4657">
        <v>1</v>
      </c>
      <c r="C4657" t="s">
        <v>118</v>
      </c>
      <c r="D4657" t="s">
        <v>119</v>
      </c>
      <c r="E4657" s="1">
        <v>44349</v>
      </c>
      <c r="F4657">
        <v>2</v>
      </c>
      <c r="G4657" t="s">
        <v>24</v>
      </c>
      <c r="H4657" t="s">
        <v>25</v>
      </c>
      <c r="I4657" s="3">
        <v>801</v>
      </c>
      <c r="J4657" s="3">
        <v>801</v>
      </c>
      <c r="K4657" s="3">
        <v>424</v>
      </c>
      <c r="L4657" t="s">
        <v>120</v>
      </c>
      <c r="M4657">
        <v>11</v>
      </c>
      <c r="N4657" t="s">
        <v>10</v>
      </c>
      <c r="O4657" t="s">
        <v>11</v>
      </c>
      <c r="P4657" t="s">
        <v>12</v>
      </c>
      <c r="Q4657" t="s">
        <v>13</v>
      </c>
      <c r="R4657" t="s">
        <v>13</v>
      </c>
      <c r="S4657" t="s">
        <v>144</v>
      </c>
      <c r="T4657" s="2">
        <f>MASTER[[#This Row],[CANTIDAD]]*MASTER[[#This Row],[PRECIO DE VENTA]]</f>
        <v>1602</v>
      </c>
      <c r="U4657" s="2">
        <f>MASTER[[#This Row],[CANTIDAD]]*MASTER[[#This Row],[COSTO UNITARIO]]</f>
        <v>848</v>
      </c>
      <c r="V4657" s="2">
        <f>MASTER[[#This Row],[MONTO VENDIDO]]-MASTER[[#This Row],[COSTO DE VENTA]]</f>
        <v>754</v>
      </c>
    </row>
    <row r="4658" spans="1:22" x14ac:dyDescent="0.3">
      <c r="A4658">
        <v>67940</v>
      </c>
      <c r="B4658">
        <v>1</v>
      </c>
      <c r="C4658" t="s">
        <v>116</v>
      </c>
      <c r="D4658" t="s">
        <v>117</v>
      </c>
      <c r="E4658" s="1">
        <v>44349</v>
      </c>
      <c r="F4658">
        <v>1</v>
      </c>
      <c r="G4658" t="s">
        <v>31</v>
      </c>
      <c r="H4658" t="s">
        <v>32</v>
      </c>
      <c r="I4658" s="3">
        <v>1738</v>
      </c>
      <c r="J4658" s="3">
        <v>1738</v>
      </c>
      <c r="K4658" s="3">
        <v>388</v>
      </c>
      <c r="L4658" t="s">
        <v>113</v>
      </c>
      <c r="M4658">
        <v>5</v>
      </c>
      <c r="N4658" t="s">
        <v>85</v>
      </c>
      <c r="O4658" t="s">
        <v>81</v>
      </c>
      <c r="P4658" t="s">
        <v>12</v>
      </c>
      <c r="Q4658" t="s">
        <v>13</v>
      </c>
      <c r="R4658" t="s">
        <v>13</v>
      </c>
      <c r="S4658" t="s">
        <v>144</v>
      </c>
      <c r="T4658" s="2">
        <f>MASTER[[#This Row],[CANTIDAD]]*MASTER[[#This Row],[PRECIO DE VENTA]]</f>
        <v>1738</v>
      </c>
      <c r="U4658" s="2">
        <f>MASTER[[#This Row],[CANTIDAD]]*MASTER[[#This Row],[COSTO UNITARIO]]</f>
        <v>388</v>
      </c>
      <c r="V4658" s="2">
        <f>MASTER[[#This Row],[MONTO VENDIDO]]-MASTER[[#This Row],[COSTO DE VENTA]]</f>
        <v>1350</v>
      </c>
    </row>
    <row r="4659" spans="1:22" x14ac:dyDescent="0.3">
      <c r="A4659">
        <v>67968</v>
      </c>
      <c r="B4659">
        <v>1</v>
      </c>
      <c r="C4659" t="s">
        <v>118</v>
      </c>
      <c r="D4659" t="s">
        <v>119</v>
      </c>
      <c r="E4659" s="1">
        <v>44349</v>
      </c>
      <c r="F4659">
        <v>1</v>
      </c>
      <c r="G4659" t="s">
        <v>37</v>
      </c>
      <c r="H4659" t="s">
        <v>38</v>
      </c>
      <c r="I4659" s="3">
        <v>900</v>
      </c>
      <c r="J4659" s="3">
        <v>900</v>
      </c>
      <c r="K4659" s="3">
        <v>424</v>
      </c>
      <c r="L4659" t="s">
        <v>120</v>
      </c>
      <c r="M4659">
        <v>19</v>
      </c>
      <c r="N4659" t="s">
        <v>89</v>
      </c>
      <c r="O4659" t="s">
        <v>81</v>
      </c>
      <c r="P4659" t="s">
        <v>15</v>
      </c>
      <c r="Q4659" t="s">
        <v>16</v>
      </c>
      <c r="R4659" t="s">
        <v>16</v>
      </c>
      <c r="S4659" t="s">
        <v>144</v>
      </c>
      <c r="T4659" s="2">
        <f>MASTER[[#This Row],[CANTIDAD]]*MASTER[[#This Row],[PRECIO DE VENTA]]</f>
        <v>900</v>
      </c>
      <c r="U4659" s="2">
        <f>MASTER[[#This Row],[CANTIDAD]]*MASTER[[#This Row],[COSTO UNITARIO]]</f>
        <v>424</v>
      </c>
      <c r="V4659" s="2">
        <f>MASTER[[#This Row],[MONTO VENDIDO]]-MASTER[[#This Row],[COSTO DE VENTA]]</f>
        <v>476</v>
      </c>
    </row>
    <row r="4660" spans="1:22" x14ac:dyDescent="0.3">
      <c r="A4660">
        <v>67969</v>
      </c>
      <c r="B4660">
        <v>1</v>
      </c>
      <c r="C4660" t="s">
        <v>99</v>
      </c>
      <c r="D4660" t="s">
        <v>100</v>
      </c>
      <c r="E4660" s="1">
        <v>44349</v>
      </c>
      <c r="F4660">
        <v>1</v>
      </c>
      <c r="G4660" t="s">
        <v>7</v>
      </c>
      <c r="H4660" t="s">
        <v>8</v>
      </c>
      <c r="I4660" s="3">
        <v>1328</v>
      </c>
      <c r="J4660" s="3">
        <v>1328</v>
      </c>
      <c r="K4660" s="3">
        <v>386</v>
      </c>
      <c r="L4660" t="s">
        <v>98</v>
      </c>
      <c r="M4660">
        <v>17</v>
      </c>
      <c r="N4660" t="s">
        <v>14</v>
      </c>
      <c r="O4660" t="s">
        <v>11</v>
      </c>
      <c r="P4660" t="s">
        <v>15</v>
      </c>
      <c r="Q4660" t="s">
        <v>16</v>
      </c>
      <c r="R4660" t="s">
        <v>16</v>
      </c>
      <c r="S4660" t="s">
        <v>144</v>
      </c>
      <c r="T4660" s="2">
        <f>MASTER[[#This Row],[CANTIDAD]]*MASTER[[#This Row],[PRECIO DE VENTA]]</f>
        <v>1328</v>
      </c>
      <c r="U4660" s="2">
        <f>MASTER[[#This Row],[CANTIDAD]]*MASTER[[#This Row],[COSTO UNITARIO]]</f>
        <v>386</v>
      </c>
      <c r="V4660" s="2">
        <f>MASTER[[#This Row],[MONTO VENDIDO]]-MASTER[[#This Row],[COSTO DE VENTA]]</f>
        <v>942</v>
      </c>
    </row>
    <row r="4661" spans="1:22" x14ac:dyDescent="0.3">
      <c r="A4661">
        <v>67975</v>
      </c>
      <c r="B4661">
        <v>1</v>
      </c>
      <c r="C4661" t="s">
        <v>96</v>
      </c>
      <c r="D4661" t="s">
        <v>97</v>
      </c>
      <c r="E4661" s="1">
        <v>44349</v>
      </c>
      <c r="F4661">
        <v>1</v>
      </c>
      <c r="G4661" t="s">
        <v>20</v>
      </c>
      <c r="H4661" t="s">
        <v>21</v>
      </c>
      <c r="I4661" s="3">
        <v>1272</v>
      </c>
      <c r="J4661" s="3">
        <v>1272</v>
      </c>
      <c r="K4661" s="3">
        <v>397</v>
      </c>
      <c r="L4661" t="s">
        <v>98</v>
      </c>
      <c r="M4661">
        <v>10</v>
      </c>
      <c r="N4661" t="s">
        <v>83</v>
      </c>
      <c r="O4661" t="s">
        <v>81</v>
      </c>
      <c r="P4661" t="s">
        <v>12</v>
      </c>
      <c r="Q4661" t="s">
        <v>13</v>
      </c>
      <c r="R4661" t="s">
        <v>13</v>
      </c>
      <c r="S4661" t="s">
        <v>144</v>
      </c>
      <c r="T4661" s="2">
        <f>MASTER[[#This Row],[CANTIDAD]]*MASTER[[#This Row],[PRECIO DE VENTA]]</f>
        <v>1272</v>
      </c>
      <c r="U4661" s="2">
        <f>MASTER[[#This Row],[CANTIDAD]]*MASTER[[#This Row],[COSTO UNITARIO]]</f>
        <v>397</v>
      </c>
      <c r="V4661" s="2">
        <f>MASTER[[#This Row],[MONTO VENDIDO]]-MASTER[[#This Row],[COSTO DE VENTA]]</f>
        <v>875</v>
      </c>
    </row>
    <row r="4662" spans="1:22" x14ac:dyDescent="0.3">
      <c r="A4662">
        <v>67996</v>
      </c>
      <c r="B4662">
        <v>1</v>
      </c>
      <c r="C4662" t="s">
        <v>107</v>
      </c>
      <c r="D4662" t="s">
        <v>108</v>
      </c>
      <c r="E4662" s="1">
        <v>44349</v>
      </c>
      <c r="F4662">
        <v>1</v>
      </c>
      <c r="G4662" t="s">
        <v>47</v>
      </c>
      <c r="H4662" t="s">
        <v>48</v>
      </c>
      <c r="I4662" s="3">
        <v>1333</v>
      </c>
      <c r="J4662" s="3">
        <v>1333</v>
      </c>
      <c r="K4662" s="3">
        <v>380</v>
      </c>
      <c r="L4662" t="s">
        <v>98</v>
      </c>
      <c r="M4662">
        <v>14</v>
      </c>
      <c r="N4662" t="s">
        <v>87</v>
      </c>
      <c r="O4662" t="s">
        <v>81</v>
      </c>
      <c r="P4662" t="s">
        <v>18</v>
      </c>
      <c r="Q4662" t="s">
        <v>19</v>
      </c>
      <c r="R4662" t="s">
        <v>138</v>
      </c>
      <c r="S4662" t="s">
        <v>144</v>
      </c>
      <c r="T4662" s="2">
        <f>MASTER[[#This Row],[CANTIDAD]]*MASTER[[#This Row],[PRECIO DE VENTA]]</f>
        <v>1333</v>
      </c>
      <c r="U4662" s="2">
        <f>MASTER[[#This Row],[CANTIDAD]]*MASTER[[#This Row],[COSTO UNITARIO]]</f>
        <v>380</v>
      </c>
      <c r="V4662" s="2">
        <f>MASTER[[#This Row],[MONTO VENDIDO]]-MASTER[[#This Row],[COSTO DE VENTA]]</f>
        <v>953</v>
      </c>
    </row>
    <row r="4663" spans="1:22" x14ac:dyDescent="0.3">
      <c r="A4663">
        <v>68010</v>
      </c>
      <c r="B4663">
        <v>1</v>
      </c>
      <c r="C4663" t="s">
        <v>116</v>
      </c>
      <c r="D4663" t="s">
        <v>117</v>
      </c>
      <c r="E4663" s="1">
        <v>44349</v>
      </c>
      <c r="F4663">
        <v>1</v>
      </c>
      <c r="G4663" t="s">
        <v>55</v>
      </c>
      <c r="H4663" t="s">
        <v>56</v>
      </c>
      <c r="I4663" s="3">
        <v>1999</v>
      </c>
      <c r="J4663" s="3">
        <v>1999</v>
      </c>
      <c r="K4663" s="3">
        <v>388</v>
      </c>
      <c r="L4663" t="s">
        <v>113</v>
      </c>
      <c r="M4663">
        <v>13</v>
      </c>
      <c r="N4663" t="s">
        <v>78</v>
      </c>
      <c r="O4663" t="s">
        <v>70</v>
      </c>
      <c r="P4663" t="s">
        <v>18</v>
      </c>
      <c r="Q4663" t="s">
        <v>19</v>
      </c>
      <c r="R4663" t="s">
        <v>138</v>
      </c>
      <c r="S4663" t="s">
        <v>144</v>
      </c>
      <c r="T4663" s="2">
        <f>MASTER[[#This Row],[CANTIDAD]]*MASTER[[#This Row],[PRECIO DE VENTA]]</f>
        <v>1999</v>
      </c>
      <c r="U4663" s="2">
        <f>MASTER[[#This Row],[CANTIDAD]]*MASTER[[#This Row],[COSTO UNITARIO]]</f>
        <v>388</v>
      </c>
      <c r="V4663" s="2">
        <f>MASTER[[#This Row],[MONTO VENDIDO]]-MASTER[[#This Row],[COSTO DE VENTA]]</f>
        <v>1611</v>
      </c>
    </row>
    <row r="4664" spans="1:22" x14ac:dyDescent="0.3">
      <c r="A4664">
        <v>68020</v>
      </c>
      <c r="B4664">
        <v>1</v>
      </c>
      <c r="C4664" t="s">
        <v>109</v>
      </c>
      <c r="D4664" t="s">
        <v>110</v>
      </c>
      <c r="E4664" s="1">
        <v>44349</v>
      </c>
      <c r="F4664">
        <v>1</v>
      </c>
      <c r="G4664" t="s">
        <v>53</v>
      </c>
      <c r="H4664" t="s">
        <v>54</v>
      </c>
      <c r="I4664" s="3">
        <v>1128</v>
      </c>
      <c r="J4664" s="3">
        <v>1128</v>
      </c>
      <c r="K4664" s="3">
        <v>387</v>
      </c>
      <c r="L4664" t="s">
        <v>98</v>
      </c>
      <c r="M4664">
        <v>3</v>
      </c>
      <c r="N4664" t="s">
        <v>69</v>
      </c>
      <c r="O4664" t="s">
        <v>70</v>
      </c>
      <c r="P4664" t="s">
        <v>71</v>
      </c>
      <c r="Q4664" t="s">
        <v>72</v>
      </c>
      <c r="R4664" t="s">
        <v>139</v>
      </c>
      <c r="S4664" t="s">
        <v>144</v>
      </c>
      <c r="T4664" s="2">
        <f>MASTER[[#This Row],[CANTIDAD]]*MASTER[[#This Row],[PRECIO DE VENTA]]</f>
        <v>1128</v>
      </c>
      <c r="U4664" s="2">
        <f>MASTER[[#This Row],[CANTIDAD]]*MASTER[[#This Row],[COSTO UNITARIO]]</f>
        <v>387</v>
      </c>
      <c r="V4664" s="2">
        <f>MASTER[[#This Row],[MONTO VENDIDO]]-MASTER[[#This Row],[COSTO DE VENTA]]</f>
        <v>741</v>
      </c>
    </row>
    <row r="4665" spans="1:22" x14ac:dyDescent="0.3">
      <c r="A4665">
        <v>68039</v>
      </c>
      <c r="B4665">
        <v>1</v>
      </c>
      <c r="C4665" t="s">
        <v>109</v>
      </c>
      <c r="D4665" t="s">
        <v>110</v>
      </c>
      <c r="E4665" s="1">
        <v>44350</v>
      </c>
      <c r="F4665">
        <v>1</v>
      </c>
      <c r="G4665" t="s">
        <v>27</v>
      </c>
      <c r="H4665" t="s">
        <v>28</v>
      </c>
      <c r="I4665" s="3">
        <v>1064</v>
      </c>
      <c r="J4665" s="3">
        <v>1064</v>
      </c>
      <c r="K4665" s="3">
        <v>387</v>
      </c>
      <c r="L4665" t="s">
        <v>98</v>
      </c>
      <c r="M4665">
        <v>4</v>
      </c>
      <c r="N4665" t="s">
        <v>82</v>
      </c>
      <c r="O4665" t="s">
        <v>81</v>
      </c>
      <c r="P4665" t="s">
        <v>71</v>
      </c>
      <c r="Q4665" t="s">
        <v>72</v>
      </c>
      <c r="R4665" t="s">
        <v>139</v>
      </c>
      <c r="S4665" t="s">
        <v>144</v>
      </c>
      <c r="T4665" s="2">
        <f>MASTER[[#This Row],[CANTIDAD]]*MASTER[[#This Row],[PRECIO DE VENTA]]</f>
        <v>1064</v>
      </c>
      <c r="U4665" s="2">
        <f>MASTER[[#This Row],[CANTIDAD]]*MASTER[[#This Row],[COSTO UNITARIO]]</f>
        <v>387</v>
      </c>
      <c r="V4665" s="2">
        <f>MASTER[[#This Row],[MONTO VENDIDO]]-MASTER[[#This Row],[COSTO DE VENTA]]</f>
        <v>677</v>
      </c>
    </row>
    <row r="4666" spans="1:22" x14ac:dyDescent="0.3">
      <c r="A4666">
        <v>68042</v>
      </c>
      <c r="B4666">
        <v>1</v>
      </c>
      <c r="C4666" t="s">
        <v>107</v>
      </c>
      <c r="D4666" t="s">
        <v>108</v>
      </c>
      <c r="E4666" s="1">
        <v>44350</v>
      </c>
      <c r="F4666">
        <v>1</v>
      </c>
      <c r="G4666" t="s">
        <v>57</v>
      </c>
      <c r="H4666" t="s">
        <v>58</v>
      </c>
      <c r="I4666" s="3">
        <v>1333</v>
      </c>
      <c r="J4666" s="3">
        <v>1333</v>
      </c>
      <c r="K4666" s="3">
        <v>380</v>
      </c>
      <c r="L4666" t="s">
        <v>98</v>
      </c>
      <c r="M4666">
        <v>7</v>
      </c>
      <c r="N4666" t="s">
        <v>84</v>
      </c>
      <c r="O4666" t="s">
        <v>81</v>
      </c>
      <c r="P4666" t="s">
        <v>12</v>
      </c>
      <c r="Q4666" t="s">
        <v>13</v>
      </c>
      <c r="R4666" t="s">
        <v>13</v>
      </c>
      <c r="S4666" t="s">
        <v>144</v>
      </c>
      <c r="T4666" s="2">
        <f>MASTER[[#This Row],[CANTIDAD]]*MASTER[[#This Row],[PRECIO DE VENTA]]</f>
        <v>1333</v>
      </c>
      <c r="U4666" s="2">
        <f>MASTER[[#This Row],[CANTIDAD]]*MASTER[[#This Row],[COSTO UNITARIO]]</f>
        <v>380</v>
      </c>
      <c r="V4666" s="2">
        <f>MASTER[[#This Row],[MONTO VENDIDO]]-MASTER[[#This Row],[COSTO DE VENTA]]</f>
        <v>953</v>
      </c>
    </row>
    <row r="4667" spans="1:22" x14ac:dyDescent="0.3">
      <c r="A4667">
        <v>68049</v>
      </c>
      <c r="B4667">
        <v>1</v>
      </c>
      <c r="C4667" t="s">
        <v>96</v>
      </c>
      <c r="D4667" t="s">
        <v>97</v>
      </c>
      <c r="E4667" s="1">
        <v>44350</v>
      </c>
      <c r="F4667">
        <v>1</v>
      </c>
      <c r="G4667" t="s">
        <v>67</v>
      </c>
      <c r="H4667" t="s">
        <v>68</v>
      </c>
      <c r="I4667" s="3">
        <v>1272</v>
      </c>
      <c r="J4667" s="3">
        <v>1195</v>
      </c>
      <c r="K4667" s="3">
        <v>397</v>
      </c>
      <c r="L4667" t="s">
        <v>98</v>
      </c>
      <c r="M4667">
        <v>19</v>
      </c>
      <c r="N4667" t="s">
        <v>89</v>
      </c>
      <c r="O4667" t="s">
        <v>81</v>
      </c>
      <c r="P4667" t="s">
        <v>15</v>
      </c>
      <c r="Q4667" t="s">
        <v>16</v>
      </c>
      <c r="R4667" t="s">
        <v>16</v>
      </c>
      <c r="S4667" t="s">
        <v>144</v>
      </c>
      <c r="T4667" s="2">
        <f>MASTER[[#This Row],[CANTIDAD]]*MASTER[[#This Row],[PRECIO DE VENTA]]</f>
        <v>1195</v>
      </c>
      <c r="U4667" s="2">
        <f>MASTER[[#This Row],[CANTIDAD]]*MASTER[[#This Row],[COSTO UNITARIO]]</f>
        <v>397</v>
      </c>
      <c r="V4667" s="2">
        <f>MASTER[[#This Row],[MONTO VENDIDO]]-MASTER[[#This Row],[COSTO DE VENTA]]</f>
        <v>798</v>
      </c>
    </row>
    <row r="4668" spans="1:22" x14ac:dyDescent="0.3">
      <c r="A4668">
        <v>68050</v>
      </c>
      <c r="B4668">
        <v>1</v>
      </c>
      <c r="C4668" t="s">
        <v>5</v>
      </c>
      <c r="D4668" t="s">
        <v>6</v>
      </c>
      <c r="E4668" s="1">
        <v>44350</v>
      </c>
      <c r="F4668">
        <v>1</v>
      </c>
      <c r="G4668" t="s">
        <v>55</v>
      </c>
      <c r="H4668" t="s">
        <v>56</v>
      </c>
      <c r="I4668" s="3">
        <v>1296</v>
      </c>
      <c r="J4668" s="3">
        <v>1296</v>
      </c>
      <c r="K4668" s="3">
        <v>393</v>
      </c>
      <c r="L4668" t="s">
        <v>9</v>
      </c>
      <c r="M4668">
        <v>1</v>
      </c>
      <c r="N4668" t="s">
        <v>77</v>
      </c>
      <c r="O4668" t="s">
        <v>70</v>
      </c>
      <c r="P4668" t="s">
        <v>71</v>
      </c>
      <c r="Q4668" t="s">
        <v>72</v>
      </c>
      <c r="R4668" t="s">
        <v>139</v>
      </c>
      <c r="S4668" t="s">
        <v>144</v>
      </c>
      <c r="T4668" s="2">
        <f>MASTER[[#This Row],[CANTIDAD]]*MASTER[[#This Row],[PRECIO DE VENTA]]</f>
        <v>1296</v>
      </c>
      <c r="U4668" s="2">
        <f>MASTER[[#This Row],[CANTIDAD]]*MASTER[[#This Row],[COSTO UNITARIO]]</f>
        <v>393</v>
      </c>
      <c r="V4668" s="2">
        <f>MASTER[[#This Row],[MONTO VENDIDO]]-MASTER[[#This Row],[COSTO DE VENTA]]</f>
        <v>903</v>
      </c>
    </row>
    <row r="4669" spans="1:22" x14ac:dyDescent="0.3">
      <c r="A4669">
        <v>68061</v>
      </c>
      <c r="B4669">
        <v>1</v>
      </c>
      <c r="C4669" t="s">
        <v>107</v>
      </c>
      <c r="D4669" t="s">
        <v>108</v>
      </c>
      <c r="E4669" s="1">
        <v>44350</v>
      </c>
      <c r="F4669">
        <v>1</v>
      </c>
      <c r="G4669" t="s">
        <v>73</v>
      </c>
      <c r="H4669" t="s">
        <v>74</v>
      </c>
      <c r="I4669" s="3">
        <v>1333</v>
      </c>
      <c r="J4669" s="3">
        <v>1333</v>
      </c>
      <c r="K4669" s="3">
        <v>380</v>
      </c>
      <c r="L4669" t="s">
        <v>98</v>
      </c>
      <c r="M4669">
        <v>8</v>
      </c>
      <c r="N4669" t="s">
        <v>80</v>
      </c>
      <c r="O4669" t="s">
        <v>81</v>
      </c>
      <c r="P4669" t="s">
        <v>12</v>
      </c>
      <c r="Q4669" t="s">
        <v>13</v>
      </c>
      <c r="R4669" t="s">
        <v>13</v>
      </c>
      <c r="S4669" t="s">
        <v>144</v>
      </c>
      <c r="T4669" s="2">
        <f>MASTER[[#This Row],[CANTIDAD]]*MASTER[[#This Row],[PRECIO DE VENTA]]</f>
        <v>1333</v>
      </c>
      <c r="U4669" s="2">
        <f>MASTER[[#This Row],[CANTIDAD]]*MASTER[[#This Row],[COSTO UNITARIO]]</f>
        <v>380</v>
      </c>
      <c r="V4669" s="2">
        <f>MASTER[[#This Row],[MONTO VENDIDO]]-MASTER[[#This Row],[COSTO DE VENTA]]</f>
        <v>953</v>
      </c>
    </row>
    <row r="4670" spans="1:22" x14ac:dyDescent="0.3">
      <c r="A4670">
        <v>68068</v>
      </c>
      <c r="B4670">
        <v>1</v>
      </c>
      <c r="C4670" t="s">
        <v>94</v>
      </c>
      <c r="D4670" t="s">
        <v>95</v>
      </c>
      <c r="E4670" s="1">
        <v>44350</v>
      </c>
      <c r="F4670">
        <v>1</v>
      </c>
      <c r="G4670" t="s">
        <v>49</v>
      </c>
      <c r="H4670" t="s">
        <v>50</v>
      </c>
      <c r="I4670" s="3">
        <v>1048</v>
      </c>
      <c r="J4670" s="3">
        <v>1048</v>
      </c>
      <c r="K4670" s="3">
        <v>392</v>
      </c>
      <c r="L4670" t="s">
        <v>9</v>
      </c>
      <c r="M4670">
        <v>2</v>
      </c>
      <c r="N4670" t="s">
        <v>86</v>
      </c>
      <c r="O4670" t="s">
        <v>81</v>
      </c>
      <c r="P4670" t="s">
        <v>71</v>
      </c>
      <c r="Q4670" t="s">
        <v>72</v>
      </c>
      <c r="R4670" t="s">
        <v>139</v>
      </c>
      <c r="S4670" t="s">
        <v>144</v>
      </c>
      <c r="T4670" s="2">
        <f>MASTER[[#This Row],[CANTIDAD]]*MASTER[[#This Row],[PRECIO DE VENTA]]</f>
        <v>1048</v>
      </c>
      <c r="U4670" s="2">
        <f>MASTER[[#This Row],[CANTIDAD]]*MASTER[[#This Row],[COSTO UNITARIO]]</f>
        <v>392</v>
      </c>
      <c r="V4670" s="2">
        <f>MASTER[[#This Row],[MONTO VENDIDO]]-MASTER[[#This Row],[COSTO DE VENTA]]</f>
        <v>656</v>
      </c>
    </row>
    <row r="4671" spans="1:22" x14ac:dyDescent="0.3">
      <c r="A4671">
        <v>68085</v>
      </c>
      <c r="B4671">
        <v>1</v>
      </c>
      <c r="C4671" t="s">
        <v>96</v>
      </c>
      <c r="D4671" t="s">
        <v>97</v>
      </c>
      <c r="E4671" s="1">
        <v>44350</v>
      </c>
      <c r="F4671">
        <v>1</v>
      </c>
      <c r="G4671" t="s">
        <v>45</v>
      </c>
      <c r="H4671" t="s">
        <v>46</v>
      </c>
      <c r="I4671" s="3">
        <v>1272</v>
      </c>
      <c r="J4671" s="3">
        <v>1272</v>
      </c>
      <c r="K4671" s="3">
        <v>397</v>
      </c>
      <c r="L4671" t="s">
        <v>98</v>
      </c>
      <c r="M4671">
        <v>4</v>
      </c>
      <c r="N4671" t="s">
        <v>82</v>
      </c>
      <c r="O4671" t="s">
        <v>81</v>
      </c>
      <c r="P4671" t="s">
        <v>71</v>
      </c>
      <c r="Q4671" t="s">
        <v>72</v>
      </c>
      <c r="R4671" t="s">
        <v>139</v>
      </c>
      <c r="S4671" t="s">
        <v>144</v>
      </c>
      <c r="T4671" s="2">
        <f>MASTER[[#This Row],[CANTIDAD]]*MASTER[[#This Row],[PRECIO DE VENTA]]</f>
        <v>1272</v>
      </c>
      <c r="U4671" s="2">
        <f>MASTER[[#This Row],[CANTIDAD]]*MASTER[[#This Row],[COSTO UNITARIO]]</f>
        <v>397</v>
      </c>
      <c r="V4671" s="2">
        <f>MASTER[[#This Row],[MONTO VENDIDO]]-MASTER[[#This Row],[COSTO DE VENTA]]</f>
        <v>875</v>
      </c>
    </row>
    <row r="4672" spans="1:22" x14ac:dyDescent="0.3">
      <c r="A4672">
        <v>68085</v>
      </c>
      <c r="B4672">
        <v>2</v>
      </c>
      <c r="C4672" t="s">
        <v>105</v>
      </c>
      <c r="D4672" t="s">
        <v>106</v>
      </c>
      <c r="E4672" s="1">
        <v>44350</v>
      </c>
      <c r="F4672">
        <v>1</v>
      </c>
      <c r="G4672" t="s">
        <v>59</v>
      </c>
      <c r="H4672" t="s">
        <v>60</v>
      </c>
      <c r="I4672" s="3">
        <v>1865</v>
      </c>
      <c r="J4672" s="3">
        <v>1865</v>
      </c>
      <c r="K4672" s="3">
        <v>459</v>
      </c>
      <c r="L4672" t="s">
        <v>98</v>
      </c>
      <c r="M4672">
        <v>4</v>
      </c>
      <c r="N4672" t="s">
        <v>82</v>
      </c>
      <c r="O4672" t="s">
        <v>81</v>
      </c>
      <c r="P4672" t="s">
        <v>71</v>
      </c>
      <c r="Q4672" t="s">
        <v>72</v>
      </c>
      <c r="R4672" t="s">
        <v>139</v>
      </c>
      <c r="S4672" t="s">
        <v>144</v>
      </c>
      <c r="T4672" s="2">
        <f>MASTER[[#This Row],[CANTIDAD]]*MASTER[[#This Row],[PRECIO DE VENTA]]</f>
        <v>1865</v>
      </c>
      <c r="U4672" s="2">
        <f>MASTER[[#This Row],[CANTIDAD]]*MASTER[[#This Row],[COSTO UNITARIO]]</f>
        <v>459</v>
      </c>
      <c r="V4672" s="2">
        <f>MASTER[[#This Row],[MONTO VENDIDO]]-MASTER[[#This Row],[COSTO DE VENTA]]</f>
        <v>1406</v>
      </c>
    </row>
    <row r="4673" spans="1:22" x14ac:dyDescent="0.3">
      <c r="A4673">
        <v>68085</v>
      </c>
      <c r="B4673">
        <v>3</v>
      </c>
      <c r="C4673" t="s">
        <v>121</v>
      </c>
      <c r="D4673" t="s">
        <v>122</v>
      </c>
      <c r="E4673" s="1">
        <v>44350</v>
      </c>
      <c r="F4673">
        <v>1</v>
      </c>
      <c r="G4673" t="s">
        <v>45</v>
      </c>
      <c r="H4673" t="s">
        <v>46</v>
      </c>
      <c r="I4673" s="3">
        <v>1069</v>
      </c>
      <c r="J4673" s="3">
        <v>1069</v>
      </c>
      <c r="K4673" s="3">
        <v>460</v>
      </c>
      <c r="L4673" t="s">
        <v>120</v>
      </c>
      <c r="M4673">
        <v>4</v>
      </c>
      <c r="N4673" t="s">
        <v>82</v>
      </c>
      <c r="O4673" t="s">
        <v>81</v>
      </c>
      <c r="P4673" t="s">
        <v>71</v>
      </c>
      <c r="Q4673" t="s">
        <v>72</v>
      </c>
      <c r="R4673" t="s">
        <v>139</v>
      </c>
      <c r="S4673" t="s">
        <v>144</v>
      </c>
      <c r="T4673" s="2">
        <f>MASTER[[#This Row],[CANTIDAD]]*MASTER[[#This Row],[PRECIO DE VENTA]]</f>
        <v>1069</v>
      </c>
      <c r="U4673" s="2">
        <f>MASTER[[#This Row],[CANTIDAD]]*MASTER[[#This Row],[COSTO UNITARIO]]</f>
        <v>460</v>
      </c>
      <c r="V4673" s="2">
        <f>MASTER[[#This Row],[MONTO VENDIDO]]-MASTER[[#This Row],[COSTO DE VENTA]]</f>
        <v>609</v>
      </c>
    </row>
    <row r="4674" spans="1:22" x14ac:dyDescent="0.3">
      <c r="A4674">
        <v>68114</v>
      </c>
      <c r="B4674">
        <v>1</v>
      </c>
      <c r="C4674" t="s">
        <v>111</v>
      </c>
      <c r="D4674" t="s">
        <v>112</v>
      </c>
      <c r="E4674" s="1">
        <v>44351</v>
      </c>
      <c r="F4674">
        <v>1</v>
      </c>
      <c r="G4674" t="s">
        <v>65</v>
      </c>
      <c r="H4674" t="s">
        <v>66</v>
      </c>
      <c r="I4674" s="3">
        <v>1621</v>
      </c>
      <c r="J4674" s="3">
        <v>1475</v>
      </c>
      <c r="K4674" s="3">
        <v>434</v>
      </c>
      <c r="L4674" t="s">
        <v>113</v>
      </c>
      <c r="M4674">
        <v>8</v>
      </c>
      <c r="N4674" t="s">
        <v>80</v>
      </c>
      <c r="O4674" t="s">
        <v>81</v>
      </c>
      <c r="P4674" t="s">
        <v>12</v>
      </c>
      <c r="Q4674" t="s">
        <v>13</v>
      </c>
      <c r="R4674" t="s">
        <v>13</v>
      </c>
      <c r="S4674" t="s">
        <v>144</v>
      </c>
      <c r="T4674" s="2">
        <f>MASTER[[#This Row],[CANTIDAD]]*MASTER[[#This Row],[PRECIO DE VENTA]]</f>
        <v>1475</v>
      </c>
      <c r="U4674" s="2">
        <f>MASTER[[#This Row],[CANTIDAD]]*MASTER[[#This Row],[COSTO UNITARIO]]</f>
        <v>434</v>
      </c>
      <c r="V4674" s="2">
        <f>MASTER[[#This Row],[MONTO VENDIDO]]-MASTER[[#This Row],[COSTO DE VENTA]]</f>
        <v>1041</v>
      </c>
    </row>
    <row r="4675" spans="1:22" x14ac:dyDescent="0.3">
      <c r="A4675">
        <v>68132</v>
      </c>
      <c r="B4675">
        <v>1</v>
      </c>
      <c r="C4675" t="s">
        <v>96</v>
      </c>
      <c r="D4675" t="s">
        <v>97</v>
      </c>
      <c r="E4675" s="1">
        <v>44351</v>
      </c>
      <c r="F4675">
        <v>1</v>
      </c>
      <c r="G4675" t="s">
        <v>51</v>
      </c>
      <c r="H4675" t="s">
        <v>52</v>
      </c>
      <c r="I4675" s="3">
        <v>1361</v>
      </c>
      <c r="J4675" s="3">
        <v>1361</v>
      </c>
      <c r="K4675" s="3">
        <v>397</v>
      </c>
      <c r="L4675" t="s">
        <v>98</v>
      </c>
      <c r="M4675">
        <v>18</v>
      </c>
      <c r="N4675" t="s">
        <v>79</v>
      </c>
      <c r="O4675" t="s">
        <v>70</v>
      </c>
      <c r="P4675" t="s">
        <v>15</v>
      </c>
      <c r="Q4675" t="s">
        <v>16</v>
      </c>
      <c r="R4675" t="s">
        <v>16</v>
      </c>
      <c r="S4675" t="s">
        <v>144</v>
      </c>
      <c r="T4675" s="2">
        <f>MASTER[[#This Row],[CANTIDAD]]*MASTER[[#This Row],[PRECIO DE VENTA]]</f>
        <v>1361</v>
      </c>
      <c r="U4675" s="2">
        <f>MASTER[[#This Row],[CANTIDAD]]*MASTER[[#This Row],[COSTO UNITARIO]]</f>
        <v>397</v>
      </c>
      <c r="V4675" s="2">
        <f>MASTER[[#This Row],[MONTO VENDIDO]]-MASTER[[#This Row],[COSTO DE VENTA]]</f>
        <v>964</v>
      </c>
    </row>
    <row r="4676" spans="1:22" x14ac:dyDescent="0.3">
      <c r="A4676">
        <v>68137</v>
      </c>
      <c r="B4676">
        <v>1</v>
      </c>
      <c r="C4676" t="s">
        <v>101</v>
      </c>
      <c r="D4676" t="s">
        <v>102</v>
      </c>
      <c r="E4676" s="1">
        <v>44351</v>
      </c>
      <c r="F4676">
        <v>1</v>
      </c>
      <c r="G4676" t="s">
        <v>47</v>
      </c>
      <c r="H4676" t="s">
        <v>48</v>
      </c>
      <c r="I4676" s="3">
        <v>1212</v>
      </c>
      <c r="J4676" s="3">
        <v>1212</v>
      </c>
      <c r="K4676" s="3">
        <v>442</v>
      </c>
      <c r="L4676" t="s">
        <v>98</v>
      </c>
      <c r="M4676">
        <v>5</v>
      </c>
      <c r="N4676" t="s">
        <v>85</v>
      </c>
      <c r="O4676" t="s">
        <v>81</v>
      </c>
      <c r="P4676" t="s">
        <v>12</v>
      </c>
      <c r="Q4676" t="s">
        <v>13</v>
      </c>
      <c r="R4676" t="s">
        <v>13</v>
      </c>
      <c r="S4676" t="s">
        <v>144</v>
      </c>
      <c r="T4676" s="2">
        <f>MASTER[[#This Row],[CANTIDAD]]*MASTER[[#This Row],[PRECIO DE VENTA]]</f>
        <v>1212</v>
      </c>
      <c r="U4676" s="2">
        <f>MASTER[[#This Row],[CANTIDAD]]*MASTER[[#This Row],[COSTO UNITARIO]]</f>
        <v>442</v>
      </c>
      <c r="V4676" s="2">
        <f>MASTER[[#This Row],[MONTO VENDIDO]]-MASTER[[#This Row],[COSTO DE VENTA]]</f>
        <v>770</v>
      </c>
    </row>
    <row r="4677" spans="1:22" x14ac:dyDescent="0.3">
      <c r="A4677">
        <v>68171</v>
      </c>
      <c r="B4677">
        <v>1</v>
      </c>
      <c r="C4677" t="s">
        <v>116</v>
      </c>
      <c r="D4677" t="s">
        <v>117</v>
      </c>
      <c r="E4677" s="1">
        <v>44351</v>
      </c>
      <c r="F4677">
        <v>1</v>
      </c>
      <c r="G4677" t="s">
        <v>37</v>
      </c>
      <c r="H4677" t="s">
        <v>38</v>
      </c>
      <c r="I4677" s="3">
        <v>1738</v>
      </c>
      <c r="J4677" s="3">
        <v>1581</v>
      </c>
      <c r="K4677" s="3">
        <v>388</v>
      </c>
      <c r="L4677" t="s">
        <v>113</v>
      </c>
      <c r="M4677">
        <v>15</v>
      </c>
      <c r="N4677" t="s">
        <v>88</v>
      </c>
      <c r="O4677" t="s">
        <v>81</v>
      </c>
      <c r="P4677" t="s">
        <v>18</v>
      </c>
      <c r="Q4677" t="s">
        <v>19</v>
      </c>
      <c r="R4677" t="s">
        <v>138</v>
      </c>
      <c r="S4677" t="s">
        <v>144</v>
      </c>
      <c r="T4677" s="2">
        <f>MASTER[[#This Row],[CANTIDAD]]*MASTER[[#This Row],[PRECIO DE VENTA]]</f>
        <v>1581</v>
      </c>
      <c r="U4677" s="2">
        <f>MASTER[[#This Row],[CANTIDAD]]*MASTER[[#This Row],[COSTO UNITARIO]]</f>
        <v>388</v>
      </c>
      <c r="V4677" s="2">
        <f>MASTER[[#This Row],[MONTO VENDIDO]]-MASTER[[#This Row],[COSTO DE VENTA]]</f>
        <v>1193</v>
      </c>
    </row>
    <row r="4678" spans="1:22" x14ac:dyDescent="0.3">
      <c r="A4678">
        <v>68183</v>
      </c>
      <c r="B4678">
        <v>1</v>
      </c>
      <c r="C4678" t="s">
        <v>121</v>
      </c>
      <c r="D4678" t="s">
        <v>122</v>
      </c>
      <c r="E4678" s="1">
        <v>44351</v>
      </c>
      <c r="F4678">
        <v>1</v>
      </c>
      <c r="G4678" t="s">
        <v>67</v>
      </c>
      <c r="H4678" t="s">
        <v>68</v>
      </c>
      <c r="I4678" s="3">
        <v>941</v>
      </c>
      <c r="J4678" s="3">
        <v>941</v>
      </c>
      <c r="K4678" s="3">
        <v>460</v>
      </c>
      <c r="L4678" t="s">
        <v>120</v>
      </c>
      <c r="M4678">
        <v>11</v>
      </c>
      <c r="N4678" t="s">
        <v>10</v>
      </c>
      <c r="O4678" t="s">
        <v>11</v>
      </c>
      <c r="P4678" t="s">
        <v>12</v>
      </c>
      <c r="Q4678" t="s">
        <v>13</v>
      </c>
      <c r="R4678" t="s">
        <v>13</v>
      </c>
      <c r="S4678" t="s">
        <v>144</v>
      </c>
      <c r="T4678" s="2">
        <f>MASTER[[#This Row],[CANTIDAD]]*MASTER[[#This Row],[PRECIO DE VENTA]]</f>
        <v>941</v>
      </c>
      <c r="U4678" s="2">
        <f>MASTER[[#This Row],[CANTIDAD]]*MASTER[[#This Row],[COSTO UNITARIO]]</f>
        <v>460</v>
      </c>
      <c r="V4678" s="2">
        <f>MASTER[[#This Row],[MONTO VENDIDO]]-MASTER[[#This Row],[COSTO DE VENTA]]</f>
        <v>481</v>
      </c>
    </row>
    <row r="4679" spans="1:22" x14ac:dyDescent="0.3">
      <c r="A4679">
        <v>68185</v>
      </c>
      <c r="B4679">
        <v>1</v>
      </c>
      <c r="C4679" t="s">
        <v>116</v>
      </c>
      <c r="D4679" t="s">
        <v>117</v>
      </c>
      <c r="E4679" s="1">
        <v>44351</v>
      </c>
      <c r="F4679">
        <v>1</v>
      </c>
      <c r="G4679" t="s">
        <v>45</v>
      </c>
      <c r="H4679" t="s">
        <v>46</v>
      </c>
      <c r="I4679" s="3">
        <v>1738</v>
      </c>
      <c r="J4679" s="3">
        <v>1738</v>
      </c>
      <c r="K4679" s="3">
        <v>388</v>
      </c>
      <c r="L4679" t="s">
        <v>113</v>
      </c>
      <c r="M4679">
        <v>8</v>
      </c>
      <c r="N4679" t="s">
        <v>80</v>
      </c>
      <c r="O4679" t="s">
        <v>81</v>
      </c>
      <c r="P4679" t="s">
        <v>12</v>
      </c>
      <c r="Q4679" t="s">
        <v>13</v>
      </c>
      <c r="R4679" t="s">
        <v>13</v>
      </c>
      <c r="S4679" t="s">
        <v>144</v>
      </c>
      <c r="T4679" s="2">
        <f>MASTER[[#This Row],[CANTIDAD]]*MASTER[[#This Row],[PRECIO DE VENTA]]</f>
        <v>1738</v>
      </c>
      <c r="U4679" s="2">
        <f>MASTER[[#This Row],[CANTIDAD]]*MASTER[[#This Row],[COSTO UNITARIO]]</f>
        <v>388</v>
      </c>
      <c r="V4679" s="2">
        <f>MASTER[[#This Row],[MONTO VENDIDO]]-MASTER[[#This Row],[COSTO DE VENTA]]</f>
        <v>1350</v>
      </c>
    </row>
    <row r="4680" spans="1:22" x14ac:dyDescent="0.3">
      <c r="A4680">
        <v>68198</v>
      </c>
      <c r="B4680">
        <v>1</v>
      </c>
      <c r="C4680" t="s">
        <v>114</v>
      </c>
      <c r="D4680" t="s">
        <v>115</v>
      </c>
      <c r="E4680" s="1">
        <v>44351</v>
      </c>
      <c r="F4680">
        <v>1</v>
      </c>
      <c r="G4680" t="s">
        <v>22</v>
      </c>
      <c r="H4680" t="s">
        <v>23</v>
      </c>
      <c r="I4680" s="3">
        <v>2030</v>
      </c>
      <c r="J4680" s="3">
        <v>1867</v>
      </c>
      <c r="K4680" s="3">
        <v>394</v>
      </c>
      <c r="L4680" t="s">
        <v>113</v>
      </c>
      <c r="M4680">
        <v>9</v>
      </c>
      <c r="N4680" t="s">
        <v>76</v>
      </c>
      <c r="O4680" t="s">
        <v>70</v>
      </c>
      <c r="P4680" t="s">
        <v>12</v>
      </c>
      <c r="Q4680" t="s">
        <v>13</v>
      </c>
      <c r="R4680" t="s">
        <v>13</v>
      </c>
      <c r="S4680" t="s">
        <v>144</v>
      </c>
      <c r="T4680" s="2">
        <f>MASTER[[#This Row],[CANTIDAD]]*MASTER[[#This Row],[PRECIO DE VENTA]]</f>
        <v>1867</v>
      </c>
      <c r="U4680" s="2">
        <f>MASTER[[#This Row],[CANTIDAD]]*MASTER[[#This Row],[COSTO UNITARIO]]</f>
        <v>394</v>
      </c>
      <c r="V4680" s="2">
        <f>MASTER[[#This Row],[MONTO VENDIDO]]-MASTER[[#This Row],[COSTO DE VENTA]]</f>
        <v>1473</v>
      </c>
    </row>
    <row r="4681" spans="1:22" x14ac:dyDescent="0.3">
      <c r="A4681">
        <v>68207</v>
      </c>
      <c r="B4681">
        <v>1</v>
      </c>
      <c r="C4681" t="s">
        <v>116</v>
      </c>
      <c r="D4681" t="s">
        <v>117</v>
      </c>
      <c r="E4681" s="1">
        <v>44351</v>
      </c>
      <c r="F4681">
        <v>1</v>
      </c>
      <c r="G4681" t="s">
        <v>45</v>
      </c>
      <c r="H4681" t="s">
        <v>46</v>
      </c>
      <c r="I4681" s="3">
        <v>1738</v>
      </c>
      <c r="J4681" s="3">
        <v>1738</v>
      </c>
      <c r="K4681" s="3">
        <v>388</v>
      </c>
      <c r="L4681" t="s">
        <v>113</v>
      </c>
      <c r="M4681">
        <v>7</v>
      </c>
      <c r="N4681" t="s">
        <v>84</v>
      </c>
      <c r="O4681" t="s">
        <v>81</v>
      </c>
      <c r="P4681" t="s">
        <v>12</v>
      </c>
      <c r="Q4681" t="s">
        <v>13</v>
      </c>
      <c r="R4681" t="s">
        <v>13</v>
      </c>
      <c r="S4681" t="s">
        <v>144</v>
      </c>
      <c r="T4681" s="2">
        <f>MASTER[[#This Row],[CANTIDAD]]*MASTER[[#This Row],[PRECIO DE VENTA]]</f>
        <v>1738</v>
      </c>
      <c r="U4681" s="2">
        <f>MASTER[[#This Row],[CANTIDAD]]*MASTER[[#This Row],[COSTO UNITARIO]]</f>
        <v>388</v>
      </c>
      <c r="V4681" s="2">
        <f>MASTER[[#This Row],[MONTO VENDIDO]]-MASTER[[#This Row],[COSTO DE VENTA]]</f>
        <v>1350</v>
      </c>
    </row>
    <row r="4682" spans="1:22" x14ac:dyDescent="0.3">
      <c r="A4682">
        <v>68212</v>
      </c>
      <c r="B4682">
        <v>1</v>
      </c>
      <c r="C4682" t="s">
        <v>109</v>
      </c>
      <c r="D4682" t="s">
        <v>110</v>
      </c>
      <c r="E4682" s="1">
        <v>44351</v>
      </c>
      <c r="F4682">
        <v>2</v>
      </c>
      <c r="G4682" t="s">
        <v>61</v>
      </c>
      <c r="H4682" t="s">
        <v>62</v>
      </c>
      <c r="I4682" s="3">
        <v>947</v>
      </c>
      <c r="J4682" s="3">
        <v>947</v>
      </c>
      <c r="K4682" s="3">
        <v>387</v>
      </c>
      <c r="L4682" t="s">
        <v>98</v>
      </c>
      <c r="M4682">
        <v>11</v>
      </c>
      <c r="N4682" t="s">
        <v>10</v>
      </c>
      <c r="O4682" t="s">
        <v>11</v>
      </c>
      <c r="P4682" t="s">
        <v>12</v>
      </c>
      <c r="Q4682" t="s">
        <v>13</v>
      </c>
      <c r="R4682" t="s">
        <v>13</v>
      </c>
      <c r="S4682" t="s">
        <v>144</v>
      </c>
      <c r="T4682" s="2">
        <f>MASTER[[#This Row],[CANTIDAD]]*MASTER[[#This Row],[PRECIO DE VENTA]]</f>
        <v>1894</v>
      </c>
      <c r="U4682" s="2">
        <f>MASTER[[#This Row],[CANTIDAD]]*MASTER[[#This Row],[COSTO UNITARIO]]</f>
        <v>774</v>
      </c>
      <c r="V4682" s="2">
        <f>MASTER[[#This Row],[MONTO VENDIDO]]-MASTER[[#This Row],[COSTO DE VENTA]]</f>
        <v>1120</v>
      </c>
    </row>
    <row r="4683" spans="1:22" x14ac:dyDescent="0.3">
      <c r="A4683">
        <v>68222</v>
      </c>
      <c r="B4683">
        <v>1</v>
      </c>
      <c r="C4683" t="s">
        <v>92</v>
      </c>
      <c r="D4683" t="s">
        <v>93</v>
      </c>
      <c r="E4683" s="1">
        <v>44352</v>
      </c>
      <c r="F4683">
        <v>1</v>
      </c>
      <c r="G4683" t="s">
        <v>35</v>
      </c>
      <c r="H4683" t="s">
        <v>36</v>
      </c>
      <c r="I4683" s="3">
        <v>1681</v>
      </c>
      <c r="J4683" s="3">
        <v>1681</v>
      </c>
      <c r="K4683" s="3">
        <v>396</v>
      </c>
      <c r="L4683" t="s">
        <v>9</v>
      </c>
      <c r="M4683">
        <v>4</v>
      </c>
      <c r="N4683" t="s">
        <v>82</v>
      </c>
      <c r="O4683" t="s">
        <v>81</v>
      </c>
      <c r="P4683" t="s">
        <v>71</v>
      </c>
      <c r="Q4683" t="s">
        <v>72</v>
      </c>
      <c r="R4683" t="s">
        <v>139</v>
      </c>
      <c r="S4683" t="s">
        <v>144</v>
      </c>
      <c r="T4683" s="2">
        <f>MASTER[[#This Row],[CANTIDAD]]*MASTER[[#This Row],[PRECIO DE VENTA]]</f>
        <v>1681</v>
      </c>
      <c r="U4683" s="2">
        <f>MASTER[[#This Row],[CANTIDAD]]*MASTER[[#This Row],[COSTO UNITARIO]]</f>
        <v>396</v>
      </c>
      <c r="V4683" s="2">
        <f>MASTER[[#This Row],[MONTO VENDIDO]]-MASTER[[#This Row],[COSTO DE VENTA]]</f>
        <v>1285</v>
      </c>
    </row>
    <row r="4684" spans="1:22" x14ac:dyDescent="0.3">
      <c r="A4684">
        <v>68231</v>
      </c>
      <c r="B4684">
        <v>1</v>
      </c>
      <c r="C4684" t="s">
        <v>114</v>
      </c>
      <c r="D4684" t="s">
        <v>115</v>
      </c>
      <c r="E4684" s="1">
        <v>44352</v>
      </c>
      <c r="F4684">
        <v>1</v>
      </c>
      <c r="G4684" t="s">
        <v>31</v>
      </c>
      <c r="H4684" t="s">
        <v>32</v>
      </c>
      <c r="I4684" s="3">
        <v>2030</v>
      </c>
      <c r="J4684" s="3">
        <v>2030</v>
      </c>
      <c r="K4684" s="3">
        <v>394</v>
      </c>
      <c r="L4684" t="s">
        <v>113</v>
      </c>
      <c r="M4684">
        <v>3</v>
      </c>
      <c r="N4684" t="s">
        <v>69</v>
      </c>
      <c r="O4684" t="s">
        <v>70</v>
      </c>
      <c r="P4684" t="s">
        <v>71</v>
      </c>
      <c r="Q4684" t="s">
        <v>72</v>
      </c>
      <c r="R4684" t="s">
        <v>139</v>
      </c>
      <c r="S4684" t="s">
        <v>144</v>
      </c>
      <c r="T4684" s="2">
        <f>MASTER[[#This Row],[CANTIDAD]]*MASTER[[#This Row],[PRECIO DE VENTA]]</f>
        <v>2030</v>
      </c>
      <c r="U4684" s="2">
        <f>MASTER[[#This Row],[CANTIDAD]]*MASTER[[#This Row],[COSTO UNITARIO]]</f>
        <v>394</v>
      </c>
      <c r="V4684" s="2">
        <f>MASTER[[#This Row],[MONTO VENDIDO]]-MASTER[[#This Row],[COSTO DE VENTA]]</f>
        <v>1636</v>
      </c>
    </row>
    <row r="4685" spans="1:22" x14ac:dyDescent="0.3">
      <c r="A4685">
        <v>68269</v>
      </c>
      <c r="B4685">
        <v>1</v>
      </c>
      <c r="C4685" t="s">
        <v>107</v>
      </c>
      <c r="D4685" t="s">
        <v>108</v>
      </c>
      <c r="E4685" s="1">
        <v>44352</v>
      </c>
      <c r="F4685">
        <v>1</v>
      </c>
      <c r="G4685" t="s">
        <v>24</v>
      </c>
      <c r="H4685" t="s">
        <v>25</v>
      </c>
      <c r="I4685" s="3">
        <v>1240</v>
      </c>
      <c r="J4685" s="3">
        <v>1240</v>
      </c>
      <c r="K4685" s="3">
        <v>380</v>
      </c>
      <c r="L4685" t="s">
        <v>98</v>
      </c>
      <c r="M4685">
        <v>12</v>
      </c>
      <c r="N4685" t="s">
        <v>26</v>
      </c>
      <c r="O4685" t="s">
        <v>11</v>
      </c>
      <c r="P4685" t="s">
        <v>12</v>
      </c>
      <c r="Q4685" t="s">
        <v>13</v>
      </c>
      <c r="R4685" t="s">
        <v>13</v>
      </c>
      <c r="S4685" t="s">
        <v>144</v>
      </c>
      <c r="T4685" s="2">
        <f>MASTER[[#This Row],[CANTIDAD]]*MASTER[[#This Row],[PRECIO DE VENTA]]</f>
        <v>1240</v>
      </c>
      <c r="U4685" s="2">
        <f>MASTER[[#This Row],[CANTIDAD]]*MASTER[[#This Row],[COSTO UNITARIO]]</f>
        <v>380</v>
      </c>
      <c r="V4685" s="2">
        <f>MASTER[[#This Row],[MONTO VENDIDO]]-MASTER[[#This Row],[COSTO DE VENTA]]</f>
        <v>860</v>
      </c>
    </row>
    <row r="4686" spans="1:22" x14ac:dyDescent="0.3">
      <c r="A4686">
        <v>68284</v>
      </c>
      <c r="B4686">
        <v>1</v>
      </c>
      <c r="C4686" t="s">
        <v>90</v>
      </c>
      <c r="D4686" t="s">
        <v>91</v>
      </c>
      <c r="E4686" s="1">
        <v>44352</v>
      </c>
      <c r="F4686">
        <v>1</v>
      </c>
      <c r="G4686" t="s">
        <v>55</v>
      </c>
      <c r="H4686" t="s">
        <v>56</v>
      </c>
      <c r="I4686" s="3">
        <v>2102</v>
      </c>
      <c r="J4686" s="3">
        <v>2102</v>
      </c>
      <c r="K4686" s="3">
        <v>420</v>
      </c>
      <c r="L4686" t="s">
        <v>9</v>
      </c>
      <c r="M4686">
        <v>18</v>
      </c>
      <c r="N4686" t="s">
        <v>79</v>
      </c>
      <c r="O4686" t="s">
        <v>70</v>
      </c>
      <c r="P4686" t="s">
        <v>15</v>
      </c>
      <c r="Q4686" t="s">
        <v>16</v>
      </c>
      <c r="R4686" t="s">
        <v>16</v>
      </c>
      <c r="S4686" t="s">
        <v>144</v>
      </c>
      <c r="T4686" s="2">
        <f>MASTER[[#This Row],[CANTIDAD]]*MASTER[[#This Row],[PRECIO DE VENTA]]</f>
        <v>2102</v>
      </c>
      <c r="U4686" s="2">
        <f>MASTER[[#This Row],[CANTIDAD]]*MASTER[[#This Row],[COSTO UNITARIO]]</f>
        <v>420</v>
      </c>
      <c r="V4686" s="2">
        <f>MASTER[[#This Row],[MONTO VENDIDO]]-MASTER[[#This Row],[COSTO DE VENTA]]</f>
        <v>1682</v>
      </c>
    </row>
    <row r="4687" spans="1:22" x14ac:dyDescent="0.3">
      <c r="A4687">
        <v>68286</v>
      </c>
      <c r="B4687">
        <v>1</v>
      </c>
      <c r="C4687" t="s">
        <v>99</v>
      </c>
      <c r="D4687" t="s">
        <v>100</v>
      </c>
      <c r="E4687" s="1">
        <v>44352</v>
      </c>
      <c r="F4687">
        <v>1</v>
      </c>
      <c r="G4687" t="s">
        <v>35</v>
      </c>
      <c r="H4687" t="s">
        <v>36</v>
      </c>
      <c r="I4687" s="3">
        <v>1678</v>
      </c>
      <c r="J4687" s="3">
        <v>1678</v>
      </c>
      <c r="K4687" s="3">
        <v>386</v>
      </c>
      <c r="L4687" t="s">
        <v>98</v>
      </c>
      <c r="M4687">
        <v>9</v>
      </c>
      <c r="N4687" t="s">
        <v>76</v>
      </c>
      <c r="O4687" t="s">
        <v>70</v>
      </c>
      <c r="P4687" t="s">
        <v>12</v>
      </c>
      <c r="Q4687" t="s">
        <v>13</v>
      </c>
      <c r="R4687" t="s">
        <v>13</v>
      </c>
      <c r="S4687" t="s">
        <v>144</v>
      </c>
      <c r="T4687" s="2">
        <f>MASTER[[#This Row],[CANTIDAD]]*MASTER[[#This Row],[PRECIO DE VENTA]]</f>
        <v>1678</v>
      </c>
      <c r="U4687" s="2">
        <f>MASTER[[#This Row],[CANTIDAD]]*MASTER[[#This Row],[COSTO UNITARIO]]</f>
        <v>386</v>
      </c>
      <c r="V4687" s="2">
        <f>MASTER[[#This Row],[MONTO VENDIDO]]-MASTER[[#This Row],[COSTO DE VENTA]]</f>
        <v>1292</v>
      </c>
    </row>
    <row r="4688" spans="1:22" x14ac:dyDescent="0.3">
      <c r="A4688">
        <v>68289</v>
      </c>
      <c r="B4688">
        <v>1</v>
      </c>
      <c r="C4688" t="s">
        <v>92</v>
      </c>
      <c r="D4688" t="s">
        <v>93</v>
      </c>
      <c r="E4688" s="1">
        <v>44352</v>
      </c>
      <c r="F4688">
        <v>1</v>
      </c>
      <c r="G4688" t="s">
        <v>31</v>
      </c>
      <c r="H4688" t="s">
        <v>32</v>
      </c>
      <c r="I4688" s="3">
        <v>1681</v>
      </c>
      <c r="J4688" s="3">
        <v>1681</v>
      </c>
      <c r="K4688" s="3">
        <v>396</v>
      </c>
      <c r="L4688" t="s">
        <v>9</v>
      </c>
      <c r="M4688">
        <v>10</v>
      </c>
      <c r="N4688" t="s">
        <v>83</v>
      </c>
      <c r="O4688" t="s">
        <v>81</v>
      </c>
      <c r="P4688" t="s">
        <v>12</v>
      </c>
      <c r="Q4688" t="s">
        <v>13</v>
      </c>
      <c r="R4688" t="s">
        <v>13</v>
      </c>
      <c r="S4688" t="s">
        <v>144</v>
      </c>
      <c r="T4688" s="2">
        <f>MASTER[[#This Row],[CANTIDAD]]*MASTER[[#This Row],[PRECIO DE VENTA]]</f>
        <v>1681</v>
      </c>
      <c r="U4688" s="2">
        <f>MASTER[[#This Row],[CANTIDAD]]*MASTER[[#This Row],[COSTO UNITARIO]]</f>
        <v>396</v>
      </c>
      <c r="V4688" s="2">
        <f>MASTER[[#This Row],[MONTO VENDIDO]]-MASTER[[#This Row],[COSTO DE VENTA]]</f>
        <v>1285</v>
      </c>
    </row>
    <row r="4689" spans="1:22" x14ac:dyDescent="0.3">
      <c r="A4689">
        <v>68312</v>
      </c>
      <c r="B4689">
        <v>1</v>
      </c>
      <c r="C4689" t="s">
        <v>111</v>
      </c>
      <c r="D4689" t="s">
        <v>112</v>
      </c>
      <c r="E4689" s="1">
        <v>44352</v>
      </c>
      <c r="F4689">
        <v>1</v>
      </c>
      <c r="G4689" t="s">
        <v>61</v>
      </c>
      <c r="H4689" t="s">
        <v>62</v>
      </c>
      <c r="I4689" s="3">
        <v>1799</v>
      </c>
      <c r="J4689" s="3">
        <v>1799</v>
      </c>
      <c r="K4689" s="3">
        <v>434</v>
      </c>
      <c r="L4689" t="s">
        <v>113</v>
      </c>
      <c r="M4689">
        <v>18</v>
      </c>
      <c r="N4689" t="s">
        <v>79</v>
      </c>
      <c r="O4689" t="s">
        <v>70</v>
      </c>
      <c r="P4689" t="s">
        <v>15</v>
      </c>
      <c r="Q4689" t="s">
        <v>16</v>
      </c>
      <c r="R4689" t="s">
        <v>16</v>
      </c>
      <c r="S4689" t="s">
        <v>144</v>
      </c>
      <c r="T4689" s="2">
        <f>MASTER[[#This Row],[CANTIDAD]]*MASTER[[#This Row],[PRECIO DE VENTA]]</f>
        <v>1799</v>
      </c>
      <c r="U4689" s="2">
        <f>MASTER[[#This Row],[CANTIDAD]]*MASTER[[#This Row],[COSTO UNITARIO]]</f>
        <v>434</v>
      </c>
      <c r="V4689" s="2">
        <f>MASTER[[#This Row],[MONTO VENDIDO]]-MASTER[[#This Row],[COSTO DE VENTA]]</f>
        <v>1365</v>
      </c>
    </row>
    <row r="4690" spans="1:22" x14ac:dyDescent="0.3">
      <c r="A4690">
        <v>68323</v>
      </c>
      <c r="B4690">
        <v>1</v>
      </c>
      <c r="C4690" t="s">
        <v>109</v>
      </c>
      <c r="D4690" t="s">
        <v>110</v>
      </c>
      <c r="E4690" s="1">
        <v>44352</v>
      </c>
      <c r="F4690">
        <v>1</v>
      </c>
      <c r="G4690" t="s">
        <v>47</v>
      </c>
      <c r="H4690" t="s">
        <v>48</v>
      </c>
      <c r="I4690" s="3">
        <v>1064</v>
      </c>
      <c r="J4690" s="3">
        <v>1064</v>
      </c>
      <c r="K4690" s="3">
        <v>387</v>
      </c>
      <c r="L4690" t="s">
        <v>98</v>
      </c>
      <c r="M4690">
        <v>15</v>
      </c>
      <c r="N4690" t="s">
        <v>88</v>
      </c>
      <c r="O4690" t="s">
        <v>81</v>
      </c>
      <c r="P4690" t="s">
        <v>18</v>
      </c>
      <c r="Q4690" t="s">
        <v>19</v>
      </c>
      <c r="R4690" t="s">
        <v>138</v>
      </c>
      <c r="S4690" t="s">
        <v>144</v>
      </c>
      <c r="T4690" s="2">
        <f>MASTER[[#This Row],[CANTIDAD]]*MASTER[[#This Row],[PRECIO DE VENTA]]</f>
        <v>1064</v>
      </c>
      <c r="U4690" s="2">
        <f>MASTER[[#This Row],[CANTIDAD]]*MASTER[[#This Row],[COSTO UNITARIO]]</f>
        <v>387</v>
      </c>
      <c r="V4690" s="2">
        <f>MASTER[[#This Row],[MONTO VENDIDO]]-MASTER[[#This Row],[COSTO DE VENTA]]</f>
        <v>677</v>
      </c>
    </row>
    <row r="4691" spans="1:22" x14ac:dyDescent="0.3">
      <c r="A4691">
        <v>68328</v>
      </c>
      <c r="B4691">
        <v>1</v>
      </c>
      <c r="C4691" t="s">
        <v>94</v>
      </c>
      <c r="D4691" t="s">
        <v>95</v>
      </c>
      <c r="E4691" s="1">
        <v>44352</v>
      </c>
      <c r="F4691">
        <v>1</v>
      </c>
      <c r="G4691" t="s">
        <v>27</v>
      </c>
      <c r="H4691" t="s">
        <v>28</v>
      </c>
      <c r="I4691" s="3">
        <v>1048</v>
      </c>
      <c r="J4691" s="3">
        <v>1048</v>
      </c>
      <c r="K4691" s="3">
        <v>392</v>
      </c>
      <c r="L4691" t="s">
        <v>9</v>
      </c>
      <c r="M4691">
        <v>4</v>
      </c>
      <c r="N4691" t="s">
        <v>82</v>
      </c>
      <c r="O4691" t="s">
        <v>81</v>
      </c>
      <c r="P4691" t="s">
        <v>71</v>
      </c>
      <c r="Q4691" t="s">
        <v>72</v>
      </c>
      <c r="R4691" t="s">
        <v>139</v>
      </c>
      <c r="S4691" t="s">
        <v>144</v>
      </c>
      <c r="T4691" s="2">
        <f>MASTER[[#This Row],[CANTIDAD]]*MASTER[[#This Row],[PRECIO DE VENTA]]</f>
        <v>1048</v>
      </c>
      <c r="U4691" s="2">
        <f>MASTER[[#This Row],[CANTIDAD]]*MASTER[[#This Row],[COSTO UNITARIO]]</f>
        <v>392</v>
      </c>
      <c r="V4691" s="2">
        <f>MASTER[[#This Row],[MONTO VENDIDO]]-MASTER[[#This Row],[COSTO DE VENTA]]</f>
        <v>656</v>
      </c>
    </row>
    <row r="4692" spans="1:22" x14ac:dyDescent="0.3">
      <c r="A4692">
        <v>68373</v>
      </c>
      <c r="B4692">
        <v>1</v>
      </c>
      <c r="C4692" t="s">
        <v>101</v>
      </c>
      <c r="D4692" t="s">
        <v>102</v>
      </c>
      <c r="E4692" s="1">
        <v>44352</v>
      </c>
      <c r="F4692">
        <v>1</v>
      </c>
      <c r="G4692" t="s">
        <v>53</v>
      </c>
      <c r="H4692" t="s">
        <v>54</v>
      </c>
      <c r="I4692" s="3">
        <v>1357</v>
      </c>
      <c r="J4692" s="3">
        <v>1302</v>
      </c>
      <c r="K4692" s="3">
        <v>442</v>
      </c>
      <c r="L4692" t="s">
        <v>98</v>
      </c>
      <c r="M4692">
        <v>3</v>
      </c>
      <c r="N4692" t="s">
        <v>69</v>
      </c>
      <c r="O4692" t="s">
        <v>70</v>
      </c>
      <c r="P4692" t="s">
        <v>71</v>
      </c>
      <c r="Q4692" t="s">
        <v>72</v>
      </c>
      <c r="R4692" t="s">
        <v>139</v>
      </c>
      <c r="S4692" t="s">
        <v>144</v>
      </c>
      <c r="T4692" s="2">
        <f>MASTER[[#This Row],[CANTIDAD]]*MASTER[[#This Row],[PRECIO DE VENTA]]</f>
        <v>1302</v>
      </c>
      <c r="U4692" s="2">
        <f>MASTER[[#This Row],[CANTIDAD]]*MASTER[[#This Row],[COSTO UNITARIO]]</f>
        <v>442</v>
      </c>
      <c r="V4692" s="2">
        <f>MASTER[[#This Row],[MONTO VENDIDO]]-MASTER[[#This Row],[COSTO DE VENTA]]</f>
        <v>860</v>
      </c>
    </row>
    <row r="4693" spans="1:22" x14ac:dyDescent="0.3">
      <c r="A4693">
        <v>68381</v>
      </c>
      <c r="B4693">
        <v>1</v>
      </c>
      <c r="C4693" t="s">
        <v>118</v>
      </c>
      <c r="D4693" t="s">
        <v>119</v>
      </c>
      <c r="E4693" s="1">
        <v>44352</v>
      </c>
      <c r="F4693">
        <v>2</v>
      </c>
      <c r="G4693" t="s">
        <v>29</v>
      </c>
      <c r="H4693" t="s">
        <v>30</v>
      </c>
      <c r="I4693" s="3">
        <v>801</v>
      </c>
      <c r="J4693" s="3">
        <v>801</v>
      </c>
      <c r="K4693" s="3">
        <v>424</v>
      </c>
      <c r="L4693" t="s">
        <v>120</v>
      </c>
      <c r="M4693">
        <v>17</v>
      </c>
      <c r="N4693" t="s">
        <v>14</v>
      </c>
      <c r="O4693" t="s">
        <v>11</v>
      </c>
      <c r="P4693" t="s">
        <v>15</v>
      </c>
      <c r="Q4693" t="s">
        <v>16</v>
      </c>
      <c r="R4693" t="s">
        <v>16</v>
      </c>
      <c r="S4693" t="s">
        <v>144</v>
      </c>
      <c r="T4693" s="2">
        <f>MASTER[[#This Row],[CANTIDAD]]*MASTER[[#This Row],[PRECIO DE VENTA]]</f>
        <v>1602</v>
      </c>
      <c r="U4693" s="2">
        <f>MASTER[[#This Row],[CANTIDAD]]*MASTER[[#This Row],[COSTO UNITARIO]]</f>
        <v>848</v>
      </c>
      <c r="V4693" s="2">
        <f>MASTER[[#This Row],[MONTO VENDIDO]]-MASTER[[#This Row],[COSTO DE VENTA]]</f>
        <v>754</v>
      </c>
    </row>
    <row r="4694" spans="1:22" x14ac:dyDescent="0.3">
      <c r="A4694">
        <v>68398</v>
      </c>
      <c r="B4694">
        <v>1</v>
      </c>
      <c r="C4694" t="s">
        <v>92</v>
      </c>
      <c r="D4694" t="s">
        <v>93</v>
      </c>
      <c r="E4694" s="1">
        <v>44352</v>
      </c>
      <c r="F4694">
        <v>1</v>
      </c>
      <c r="G4694" t="s">
        <v>7</v>
      </c>
      <c r="H4694" t="s">
        <v>8</v>
      </c>
      <c r="I4694" s="3">
        <v>1866</v>
      </c>
      <c r="J4694" s="3">
        <v>1679</v>
      </c>
      <c r="K4694" s="3">
        <v>396</v>
      </c>
      <c r="L4694" t="s">
        <v>9</v>
      </c>
      <c r="M4694">
        <v>3</v>
      </c>
      <c r="N4694" t="s">
        <v>69</v>
      </c>
      <c r="O4694" t="s">
        <v>70</v>
      </c>
      <c r="P4694" t="s">
        <v>71</v>
      </c>
      <c r="Q4694" t="s">
        <v>72</v>
      </c>
      <c r="R4694" t="s">
        <v>139</v>
      </c>
      <c r="S4694" t="s">
        <v>144</v>
      </c>
      <c r="T4694" s="2">
        <f>MASTER[[#This Row],[CANTIDAD]]*MASTER[[#This Row],[PRECIO DE VENTA]]</f>
        <v>1679</v>
      </c>
      <c r="U4694" s="2">
        <f>MASTER[[#This Row],[CANTIDAD]]*MASTER[[#This Row],[COSTO UNITARIO]]</f>
        <v>396</v>
      </c>
      <c r="V4694" s="2">
        <f>MASTER[[#This Row],[MONTO VENDIDO]]-MASTER[[#This Row],[COSTO DE VENTA]]</f>
        <v>1283</v>
      </c>
    </row>
    <row r="4695" spans="1:22" x14ac:dyDescent="0.3">
      <c r="A4695">
        <v>68403</v>
      </c>
      <c r="B4695">
        <v>1</v>
      </c>
      <c r="C4695" t="s">
        <v>105</v>
      </c>
      <c r="D4695" t="s">
        <v>106</v>
      </c>
      <c r="E4695" s="1">
        <v>44353</v>
      </c>
      <c r="F4695">
        <v>1</v>
      </c>
      <c r="G4695" t="s">
        <v>59</v>
      </c>
      <c r="H4695" t="s">
        <v>60</v>
      </c>
      <c r="I4695" s="3">
        <v>1585</v>
      </c>
      <c r="J4695" s="3">
        <v>1585</v>
      </c>
      <c r="K4695" s="3">
        <v>459</v>
      </c>
      <c r="L4695" t="s">
        <v>98</v>
      </c>
      <c r="M4695">
        <v>17</v>
      </c>
      <c r="N4695" t="s">
        <v>14</v>
      </c>
      <c r="O4695" t="s">
        <v>11</v>
      </c>
      <c r="P4695" t="s">
        <v>15</v>
      </c>
      <c r="Q4695" t="s">
        <v>16</v>
      </c>
      <c r="R4695" t="s">
        <v>16</v>
      </c>
      <c r="S4695" t="s">
        <v>144</v>
      </c>
      <c r="T4695" s="2">
        <f>MASTER[[#This Row],[CANTIDAD]]*MASTER[[#This Row],[PRECIO DE VENTA]]</f>
        <v>1585</v>
      </c>
      <c r="U4695" s="2">
        <f>MASTER[[#This Row],[CANTIDAD]]*MASTER[[#This Row],[COSTO UNITARIO]]</f>
        <v>459</v>
      </c>
      <c r="V4695" s="2">
        <f>MASTER[[#This Row],[MONTO VENDIDO]]-MASTER[[#This Row],[COSTO DE VENTA]]</f>
        <v>1126</v>
      </c>
    </row>
    <row r="4696" spans="1:22" x14ac:dyDescent="0.3">
      <c r="A4696">
        <v>68403</v>
      </c>
      <c r="B4696">
        <v>2</v>
      </c>
      <c r="C4696" t="s">
        <v>111</v>
      </c>
      <c r="D4696" t="s">
        <v>112</v>
      </c>
      <c r="E4696" s="1">
        <v>44353</v>
      </c>
      <c r="F4696">
        <v>1</v>
      </c>
      <c r="G4696" t="s">
        <v>59</v>
      </c>
      <c r="H4696" t="s">
        <v>60</v>
      </c>
      <c r="I4696" s="3">
        <v>1524</v>
      </c>
      <c r="J4696" s="3">
        <v>1524</v>
      </c>
      <c r="K4696" s="3">
        <v>434</v>
      </c>
      <c r="L4696" t="s">
        <v>113</v>
      </c>
      <c r="M4696">
        <v>17</v>
      </c>
      <c r="N4696" t="s">
        <v>14</v>
      </c>
      <c r="O4696" t="s">
        <v>11</v>
      </c>
      <c r="P4696" t="s">
        <v>15</v>
      </c>
      <c r="Q4696" t="s">
        <v>16</v>
      </c>
      <c r="R4696" t="s">
        <v>16</v>
      </c>
      <c r="S4696" t="s">
        <v>144</v>
      </c>
      <c r="T4696" s="2">
        <f>MASTER[[#This Row],[CANTIDAD]]*MASTER[[#This Row],[PRECIO DE VENTA]]</f>
        <v>1524</v>
      </c>
      <c r="U4696" s="2">
        <f>MASTER[[#This Row],[CANTIDAD]]*MASTER[[#This Row],[COSTO UNITARIO]]</f>
        <v>434</v>
      </c>
      <c r="V4696" s="2">
        <f>MASTER[[#This Row],[MONTO VENDIDO]]-MASTER[[#This Row],[COSTO DE VENTA]]</f>
        <v>1090</v>
      </c>
    </row>
    <row r="4697" spans="1:22" x14ac:dyDescent="0.3">
      <c r="A4697">
        <v>68443</v>
      </c>
      <c r="B4697">
        <v>1</v>
      </c>
      <c r="C4697" t="s">
        <v>96</v>
      </c>
      <c r="D4697" t="s">
        <v>97</v>
      </c>
      <c r="E4697" s="1">
        <v>44353</v>
      </c>
      <c r="F4697">
        <v>1</v>
      </c>
      <c r="G4697" t="s">
        <v>7</v>
      </c>
      <c r="H4697" t="s">
        <v>8</v>
      </c>
      <c r="I4697" s="3">
        <v>1361</v>
      </c>
      <c r="J4697" s="3">
        <v>1361</v>
      </c>
      <c r="K4697" s="3">
        <v>397</v>
      </c>
      <c r="L4697" t="s">
        <v>98</v>
      </c>
      <c r="M4697">
        <v>13</v>
      </c>
      <c r="N4697" t="s">
        <v>78</v>
      </c>
      <c r="O4697" t="s">
        <v>70</v>
      </c>
      <c r="P4697" t="s">
        <v>18</v>
      </c>
      <c r="Q4697" t="s">
        <v>19</v>
      </c>
      <c r="R4697" t="s">
        <v>138</v>
      </c>
      <c r="S4697" t="s">
        <v>144</v>
      </c>
      <c r="T4697" s="2">
        <f>MASTER[[#This Row],[CANTIDAD]]*MASTER[[#This Row],[PRECIO DE VENTA]]</f>
        <v>1361</v>
      </c>
      <c r="U4697" s="2">
        <f>MASTER[[#This Row],[CANTIDAD]]*MASTER[[#This Row],[COSTO UNITARIO]]</f>
        <v>397</v>
      </c>
      <c r="V4697" s="2">
        <f>MASTER[[#This Row],[MONTO VENDIDO]]-MASTER[[#This Row],[COSTO DE VENTA]]</f>
        <v>964</v>
      </c>
    </row>
    <row r="4698" spans="1:22" x14ac:dyDescent="0.3">
      <c r="A4698">
        <v>68473</v>
      </c>
      <c r="B4698">
        <v>1</v>
      </c>
      <c r="C4698" t="s">
        <v>94</v>
      </c>
      <c r="D4698" t="s">
        <v>95</v>
      </c>
      <c r="E4698" s="1">
        <v>44353</v>
      </c>
      <c r="F4698">
        <v>1</v>
      </c>
      <c r="G4698" t="s">
        <v>33</v>
      </c>
      <c r="H4698" t="s">
        <v>34</v>
      </c>
      <c r="I4698" s="3">
        <v>901</v>
      </c>
      <c r="J4698" s="3">
        <v>901</v>
      </c>
      <c r="K4698" s="3">
        <v>392</v>
      </c>
      <c r="L4698" t="s">
        <v>9</v>
      </c>
      <c r="M4698">
        <v>16</v>
      </c>
      <c r="N4698" t="s">
        <v>17</v>
      </c>
      <c r="O4698" t="s">
        <v>11</v>
      </c>
      <c r="P4698" t="s">
        <v>18</v>
      </c>
      <c r="Q4698" t="s">
        <v>19</v>
      </c>
      <c r="R4698" t="s">
        <v>138</v>
      </c>
      <c r="S4698" t="s">
        <v>144</v>
      </c>
      <c r="T4698" s="2">
        <f>MASTER[[#This Row],[CANTIDAD]]*MASTER[[#This Row],[PRECIO DE VENTA]]</f>
        <v>901</v>
      </c>
      <c r="U4698" s="2">
        <f>MASTER[[#This Row],[CANTIDAD]]*MASTER[[#This Row],[COSTO UNITARIO]]</f>
        <v>392</v>
      </c>
      <c r="V4698" s="2">
        <f>MASTER[[#This Row],[MONTO VENDIDO]]-MASTER[[#This Row],[COSTO DE VENTA]]</f>
        <v>509</v>
      </c>
    </row>
    <row r="4699" spans="1:22" x14ac:dyDescent="0.3">
      <c r="A4699">
        <v>68479</v>
      </c>
      <c r="B4699">
        <v>1</v>
      </c>
      <c r="C4699" t="s">
        <v>101</v>
      </c>
      <c r="D4699" t="s">
        <v>102</v>
      </c>
      <c r="E4699" s="1">
        <v>44353</v>
      </c>
      <c r="F4699">
        <v>1</v>
      </c>
      <c r="G4699" t="s">
        <v>65</v>
      </c>
      <c r="H4699" t="s">
        <v>66</v>
      </c>
      <c r="I4699" s="3">
        <v>1357</v>
      </c>
      <c r="J4699" s="3">
        <v>1357</v>
      </c>
      <c r="K4699" s="3">
        <v>442</v>
      </c>
      <c r="L4699" t="s">
        <v>98</v>
      </c>
      <c r="M4699">
        <v>18</v>
      </c>
      <c r="N4699" t="s">
        <v>79</v>
      </c>
      <c r="O4699" t="s">
        <v>70</v>
      </c>
      <c r="P4699" t="s">
        <v>15</v>
      </c>
      <c r="Q4699" t="s">
        <v>16</v>
      </c>
      <c r="R4699" t="s">
        <v>16</v>
      </c>
      <c r="S4699" t="s">
        <v>144</v>
      </c>
      <c r="T4699" s="2">
        <f>MASTER[[#This Row],[CANTIDAD]]*MASTER[[#This Row],[PRECIO DE VENTA]]</f>
        <v>1357</v>
      </c>
      <c r="U4699" s="2">
        <f>MASTER[[#This Row],[CANTIDAD]]*MASTER[[#This Row],[COSTO UNITARIO]]</f>
        <v>442</v>
      </c>
      <c r="V4699" s="2">
        <f>MASTER[[#This Row],[MONTO VENDIDO]]-MASTER[[#This Row],[COSTO DE VENTA]]</f>
        <v>915</v>
      </c>
    </row>
    <row r="4700" spans="1:22" x14ac:dyDescent="0.3">
      <c r="A4700">
        <v>68480</v>
      </c>
      <c r="B4700">
        <v>1</v>
      </c>
      <c r="C4700" t="s">
        <v>105</v>
      </c>
      <c r="D4700" t="s">
        <v>106</v>
      </c>
      <c r="E4700" s="1">
        <v>44353</v>
      </c>
      <c r="F4700">
        <v>1</v>
      </c>
      <c r="G4700" t="s">
        <v>39</v>
      </c>
      <c r="H4700" t="s">
        <v>40</v>
      </c>
      <c r="I4700" s="3">
        <v>1865</v>
      </c>
      <c r="J4700" s="3">
        <v>1753</v>
      </c>
      <c r="K4700" s="3">
        <v>459</v>
      </c>
      <c r="L4700" t="s">
        <v>98</v>
      </c>
      <c r="M4700">
        <v>19</v>
      </c>
      <c r="N4700" t="s">
        <v>89</v>
      </c>
      <c r="O4700" t="s">
        <v>81</v>
      </c>
      <c r="P4700" t="s">
        <v>15</v>
      </c>
      <c r="Q4700" t="s">
        <v>16</v>
      </c>
      <c r="R4700" t="s">
        <v>16</v>
      </c>
      <c r="S4700" t="s">
        <v>144</v>
      </c>
      <c r="T4700" s="2">
        <f>MASTER[[#This Row],[CANTIDAD]]*MASTER[[#This Row],[PRECIO DE VENTA]]</f>
        <v>1753</v>
      </c>
      <c r="U4700" s="2">
        <f>MASTER[[#This Row],[CANTIDAD]]*MASTER[[#This Row],[COSTO UNITARIO]]</f>
        <v>459</v>
      </c>
      <c r="V4700" s="2">
        <f>MASTER[[#This Row],[MONTO VENDIDO]]-MASTER[[#This Row],[COSTO DE VENTA]]</f>
        <v>1294</v>
      </c>
    </row>
    <row r="4701" spans="1:22" x14ac:dyDescent="0.3">
      <c r="A4701">
        <v>68502</v>
      </c>
      <c r="B4701">
        <v>1</v>
      </c>
      <c r="C4701" t="s">
        <v>90</v>
      </c>
      <c r="D4701" t="s">
        <v>91</v>
      </c>
      <c r="E4701" s="1">
        <v>44353</v>
      </c>
      <c r="F4701">
        <v>1</v>
      </c>
      <c r="G4701" t="s">
        <v>7</v>
      </c>
      <c r="H4701" t="s">
        <v>8</v>
      </c>
      <c r="I4701" s="3">
        <v>2102</v>
      </c>
      <c r="J4701" s="3">
        <v>2102</v>
      </c>
      <c r="K4701" s="3">
        <v>420</v>
      </c>
      <c r="L4701" t="s">
        <v>9</v>
      </c>
      <c r="M4701">
        <v>18</v>
      </c>
      <c r="N4701" t="s">
        <v>79</v>
      </c>
      <c r="O4701" t="s">
        <v>70</v>
      </c>
      <c r="P4701" t="s">
        <v>15</v>
      </c>
      <c r="Q4701" t="s">
        <v>16</v>
      </c>
      <c r="R4701" t="s">
        <v>16</v>
      </c>
      <c r="S4701" t="s">
        <v>144</v>
      </c>
      <c r="T4701" s="2">
        <f>MASTER[[#This Row],[CANTIDAD]]*MASTER[[#This Row],[PRECIO DE VENTA]]</f>
        <v>2102</v>
      </c>
      <c r="U4701" s="2">
        <f>MASTER[[#This Row],[CANTIDAD]]*MASTER[[#This Row],[COSTO UNITARIO]]</f>
        <v>420</v>
      </c>
      <c r="V4701" s="2">
        <f>MASTER[[#This Row],[MONTO VENDIDO]]-MASTER[[#This Row],[COSTO DE VENTA]]</f>
        <v>1682</v>
      </c>
    </row>
    <row r="4702" spans="1:22" x14ac:dyDescent="0.3">
      <c r="A4702">
        <v>68511</v>
      </c>
      <c r="B4702">
        <v>1</v>
      </c>
      <c r="C4702" t="s">
        <v>121</v>
      </c>
      <c r="D4702" t="s">
        <v>122</v>
      </c>
      <c r="E4702" s="1">
        <v>44353</v>
      </c>
      <c r="F4702">
        <v>1</v>
      </c>
      <c r="G4702" t="s">
        <v>43</v>
      </c>
      <c r="H4702" t="s">
        <v>44</v>
      </c>
      <c r="I4702" s="3">
        <v>1144</v>
      </c>
      <c r="J4702" s="3">
        <v>1144</v>
      </c>
      <c r="K4702" s="3">
        <v>460</v>
      </c>
      <c r="L4702" t="s">
        <v>120</v>
      </c>
      <c r="M4702">
        <v>6</v>
      </c>
      <c r="N4702" t="s">
        <v>75</v>
      </c>
      <c r="O4702" t="s">
        <v>70</v>
      </c>
      <c r="P4702" t="s">
        <v>12</v>
      </c>
      <c r="Q4702" t="s">
        <v>13</v>
      </c>
      <c r="R4702" t="s">
        <v>13</v>
      </c>
      <c r="S4702" t="s">
        <v>144</v>
      </c>
      <c r="T4702" s="2">
        <f>MASTER[[#This Row],[CANTIDAD]]*MASTER[[#This Row],[PRECIO DE VENTA]]</f>
        <v>1144</v>
      </c>
      <c r="U4702" s="2">
        <f>MASTER[[#This Row],[CANTIDAD]]*MASTER[[#This Row],[COSTO UNITARIO]]</f>
        <v>460</v>
      </c>
      <c r="V4702" s="2">
        <f>MASTER[[#This Row],[MONTO VENDIDO]]-MASTER[[#This Row],[COSTO DE VENTA]]</f>
        <v>684</v>
      </c>
    </row>
    <row r="4703" spans="1:22" x14ac:dyDescent="0.3">
      <c r="A4703">
        <v>68516</v>
      </c>
      <c r="B4703">
        <v>1</v>
      </c>
      <c r="C4703" t="s">
        <v>90</v>
      </c>
      <c r="D4703" t="s">
        <v>91</v>
      </c>
      <c r="E4703" s="1">
        <v>44353</v>
      </c>
      <c r="F4703">
        <v>1</v>
      </c>
      <c r="G4703" t="s">
        <v>43</v>
      </c>
      <c r="H4703" t="s">
        <v>44</v>
      </c>
      <c r="I4703" s="3">
        <v>1660</v>
      </c>
      <c r="J4703" s="3">
        <v>1660</v>
      </c>
      <c r="K4703" s="3">
        <v>420</v>
      </c>
      <c r="L4703" t="s">
        <v>9</v>
      </c>
      <c r="M4703">
        <v>17</v>
      </c>
      <c r="N4703" t="s">
        <v>14</v>
      </c>
      <c r="O4703" t="s">
        <v>11</v>
      </c>
      <c r="P4703" t="s">
        <v>15</v>
      </c>
      <c r="Q4703" t="s">
        <v>16</v>
      </c>
      <c r="R4703" t="s">
        <v>16</v>
      </c>
      <c r="S4703" t="s">
        <v>144</v>
      </c>
      <c r="T4703" s="2">
        <f>MASTER[[#This Row],[CANTIDAD]]*MASTER[[#This Row],[PRECIO DE VENTA]]</f>
        <v>1660</v>
      </c>
      <c r="U4703" s="2">
        <f>MASTER[[#This Row],[CANTIDAD]]*MASTER[[#This Row],[COSTO UNITARIO]]</f>
        <v>420</v>
      </c>
      <c r="V4703" s="2">
        <f>MASTER[[#This Row],[MONTO VENDIDO]]-MASTER[[#This Row],[COSTO DE VENTA]]</f>
        <v>1240</v>
      </c>
    </row>
    <row r="4704" spans="1:22" x14ac:dyDescent="0.3">
      <c r="A4704">
        <v>68518</v>
      </c>
      <c r="B4704">
        <v>1</v>
      </c>
      <c r="C4704" t="s">
        <v>101</v>
      </c>
      <c r="D4704" t="s">
        <v>102</v>
      </c>
      <c r="E4704" s="1">
        <v>44354</v>
      </c>
      <c r="F4704">
        <v>1</v>
      </c>
      <c r="G4704" t="s">
        <v>35</v>
      </c>
      <c r="H4704" t="s">
        <v>36</v>
      </c>
      <c r="I4704" s="3">
        <v>1054</v>
      </c>
      <c r="J4704" s="3">
        <v>1054</v>
      </c>
      <c r="K4704" s="3">
        <v>442</v>
      </c>
      <c r="L4704" t="s">
        <v>98</v>
      </c>
      <c r="M4704">
        <v>16</v>
      </c>
      <c r="N4704" t="s">
        <v>17</v>
      </c>
      <c r="O4704" t="s">
        <v>11</v>
      </c>
      <c r="P4704" t="s">
        <v>18</v>
      </c>
      <c r="Q4704" t="s">
        <v>19</v>
      </c>
      <c r="R4704" t="s">
        <v>138</v>
      </c>
      <c r="S4704" t="s">
        <v>144</v>
      </c>
      <c r="T4704" s="2">
        <f>MASTER[[#This Row],[CANTIDAD]]*MASTER[[#This Row],[PRECIO DE VENTA]]</f>
        <v>1054</v>
      </c>
      <c r="U4704" s="2">
        <f>MASTER[[#This Row],[CANTIDAD]]*MASTER[[#This Row],[COSTO UNITARIO]]</f>
        <v>442</v>
      </c>
      <c r="V4704" s="2">
        <f>MASTER[[#This Row],[MONTO VENDIDO]]-MASTER[[#This Row],[COSTO DE VENTA]]</f>
        <v>612</v>
      </c>
    </row>
    <row r="4705" spans="1:22" x14ac:dyDescent="0.3">
      <c r="A4705">
        <v>68533</v>
      </c>
      <c r="B4705">
        <v>1</v>
      </c>
      <c r="C4705" t="s">
        <v>96</v>
      </c>
      <c r="D4705" t="s">
        <v>97</v>
      </c>
      <c r="E4705" s="1">
        <v>44354</v>
      </c>
      <c r="F4705">
        <v>1</v>
      </c>
      <c r="G4705" t="s">
        <v>22</v>
      </c>
      <c r="H4705" t="s">
        <v>23</v>
      </c>
      <c r="I4705" s="3">
        <v>1272</v>
      </c>
      <c r="J4705" s="3">
        <v>1272</v>
      </c>
      <c r="K4705" s="3">
        <v>397</v>
      </c>
      <c r="L4705" t="s">
        <v>98</v>
      </c>
      <c r="M4705">
        <v>14</v>
      </c>
      <c r="N4705" t="s">
        <v>87</v>
      </c>
      <c r="O4705" t="s">
        <v>81</v>
      </c>
      <c r="P4705" t="s">
        <v>18</v>
      </c>
      <c r="Q4705" t="s">
        <v>19</v>
      </c>
      <c r="R4705" t="s">
        <v>138</v>
      </c>
      <c r="S4705" t="s">
        <v>144</v>
      </c>
      <c r="T4705" s="2">
        <f>MASTER[[#This Row],[CANTIDAD]]*MASTER[[#This Row],[PRECIO DE VENTA]]</f>
        <v>1272</v>
      </c>
      <c r="U4705" s="2">
        <f>MASTER[[#This Row],[CANTIDAD]]*MASTER[[#This Row],[COSTO UNITARIO]]</f>
        <v>397</v>
      </c>
      <c r="V4705" s="2">
        <f>MASTER[[#This Row],[MONTO VENDIDO]]-MASTER[[#This Row],[COSTO DE VENTA]]</f>
        <v>875</v>
      </c>
    </row>
    <row r="4706" spans="1:22" x14ac:dyDescent="0.3">
      <c r="A4706">
        <v>68617</v>
      </c>
      <c r="B4706">
        <v>1</v>
      </c>
      <c r="C4706" t="s">
        <v>121</v>
      </c>
      <c r="D4706" t="s">
        <v>122</v>
      </c>
      <c r="E4706" s="1">
        <v>44354</v>
      </c>
      <c r="F4706">
        <v>1</v>
      </c>
      <c r="G4706" t="s">
        <v>22</v>
      </c>
      <c r="H4706" t="s">
        <v>23</v>
      </c>
      <c r="I4706" s="3">
        <v>1144</v>
      </c>
      <c r="J4706" s="3">
        <v>1144</v>
      </c>
      <c r="K4706" s="3">
        <v>460</v>
      </c>
      <c r="L4706" t="s">
        <v>120</v>
      </c>
      <c r="M4706">
        <v>13</v>
      </c>
      <c r="N4706" t="s">
        <v>78</v>
      </c>
      <c r="O4706" t="s">
        <v>70</v>
      </c>
      <c r="P4706" t="s">
        <v>18</v>
      </c>
      <c r="Q4706" t="s">
        <v>19</v>
      </c>
      <c r="R4706" t="s">
        <v>138</v>
      </c>
      <c r="S4706" t="s">
        <v>144</v>
      </c>
      <c r="T4706" s="2">
        <f>MASTER[[#This Row],[CANTIDAD]]*MASTER[[#This Row],[PRECIO DE VENTA]]</f>
        <v>1144</v>
      </c>
      <c r="U4706" s="2">
        <f>MASTER[[#This Row],[CANTIDAD]]*MASTER[[#This Row],[COSTO UNITARIO]]</f>
        <v>460</v>
      </c>
      <c r="V4706" s="2">
        <f>MASTER[[#This Row],[MONTO VENDIDO]]-MASTER[[#This Row],[COSTO DE VENTA]]</f>
        <v>684</v>
      </c>
    </row>
    <row r="4707" spans="1:22" x14ac:dyDescent="0.3">
      <c r="A4707">
        <v>68626</v>
      </c>
      <c r="B4707">
        <v>1</v>
      </c>
      <c r="C4707" t="s">
        <v>94</v>
      </c>
      <c r="D4707" t="s">
        <v>95</v>
      </c>
      <c r="E4707" s="1">
        <v>44354</v>
      </c>
      <c r="F4707">
        <v>1</v>
      </c>
      <c r="G4707" t="s">
        <v>67</v>
      </c>
      <c r="H4707" t="s">
        <v>68</v>
      </c>
      <c r="I4707" s="3">
        <v>1153</v>
      </c>
      <c r="J4707" s="3">
        <v>1153</v>
      </c>
      <c r="K4707" s="3">
        <v>392</v>
      </c>
      <c r="L4707" t="s">
        <v>9</v>
      </c>
      <c r="M4707">
        <v>6</v>
      </c>
      <c r="N4707" t="s">
        <v>75</v>
      </c>
      <c r="O4707" t="s">
        <v>70</v>
      </c>
      <c r="P4707" t="s">
        <v>12</v>
      </c>
      <c r="Q4707" t="s">
        <v>13</v>
      </c>
      <c r="R4707" t="s">
        <v>13</v>
      </c>
      <c r="S4707" t="s">
        <v>144</v>
      </c>
      <c r="T4707" s="2">
        <f>MASTER[[#This Row],[CANTIDAD]]*MASTER[[#This Row],[PRECIO DE VENTA]]</f>
        <v>1153</v>
      </c>
      <c r="U4707" s="2">
        <f>MASTER[[#This Row],[CANTIDAD]]*MASTER[[#This Row],[COSTO UNITARIO]]</f>
        <v>392</v>
      </c>
      <c r="V4707" s="2">
        <f>MASTER[[#This Row],[MONTO VENDIDO]]-MASTER[[#This Row],[COSTO DE VENTA]]</f>
        <v>761</v>
      </c>
    </row>
    <row r="4708" spans="1:22" x14ac:dyDescent="0.3">
      <c r="A4708">
        <v>68629</v>
      </c>
      <c r="B4708">
        <v>1</v>
      </c>
      <c r="C4708" t="s">
        <v>107</v>
      </c>
      <c r="D4708" t="s">
        <v>108</v>
      </c>
      <c r="E4708" s="1">
        <v>44354</v>
      </c>
      <c r="F4708">
        <v>1</v>
      </c>
      <c r="G4708" t="s">
        <v>33</v>
      </c>
      <c r="H4708" t="s">
        <v>34</v>
      </c>
      <c r="I4708" s="3">
        <v>1240</v>
      </c>
      <c r="J4708" s="3">
        <v>1240</v>
      </c>
      <c r="K4708" s="3">
        <v>380</v>
      </c>
      <c r="L4708" t="s">
        <v>98</v>
      </c>
      <c r="M4708">
        <v>12</v>
      </c>
      <c r="N4708" t="s">
        <v>26</v>
      </c>
      <c r="O4708" t="s">
        <v>11</v>
      </c>
      <c r="P4708" t="s">
        <v>12</v>
      </c>
      <c r="Q4708" t="s">
        <v>13</v>
      </c>
      <c r="R4708" t="s">
        <v>13</v>
      </c>
      <c r="S4708" t="s">
        <v>144</v>
      </c>
      <c r="T4708" s="2">
        <f>MASTER[[#This Row],[CANTIDAD]]*MASTER[[#This Row],[PRECIO DE VENTA]]</f>
        <v>1240</v>
      </c>
      <c r="U4708" s="2">
        <f>MASTER[[#This Row],[CANTIDAD]]*MASTER[[#This Row],[COSTO UNITARIO]]</f>
        <v>380</v>
      </c>
      <c r="V4708" s="2">
        <f>MASTER[[#This Row],[MONTO VENDIDO]]-MASTER[[#This Row],[COSTO DE VENTA]]</f>
        <v>860</v>
      </c>
    </row>
    <row r="4709" spans="1:22" x14ac:dyDescent="0.3">
      <c r="A4709">
        <v>68637</v>
      </c>
      <c r="B4709">
        <v>1</v>
      </c>
      <c r="C4709" t="s">
        <v>118</v>
      </c>
      <c r="D4709" t="s">
        <v>119</v>
      </c>
      <c r="E4709" s="1">
        <v>44354</v>
      </c>
      <c r="F4709">
        <v>1</v>
      </c>
      <c r="G4709" t="s">
        <v>43</v>
      </c>
      <c r="H4709" t="s">
        <v>44</v>
      </c>
      <c r="I4709" s="3">
        <v>1026</v>
      </c>
      <c r="J4709" s="3">
        <v>1026</v>
      </c>
      <c r="K4709" s="3">
        <v>424</v>
      </c>
      <c r="L4709" t="s">
        <v>120</v>
      </c>
      <c r="M4709">
        <v>13</v>
      </c>
      <c r="N4709" t="s">
        <v>78</v>
      </c>
      <c r="O4709" t="s">
        <v>70</v>
      </c>
      <c r="P4709" t="s">
        <v>18</v>
      </c>
      <c r="Q4709" t="s">
        <v>19</v>
      </c>
      <c r="R4709" t="s">
        <v>138</v>
      </c>
      <c r="S4709" t="s">
        <v>144</v>
      </c>
      <c r="T4709" s="2">
        <f>MASTER[[#This Row],[CANTIDAD]]*MASTER[[#This Row],[PRECIO DE VENTA]]</f>
        <v>1026</v>
      </c>
      <c r="U4709" s="2">
        <f>MASTER[[#This Row],[CANTIDAD]]*MASTER[[#This Row],[COSTO UNITARIO]]</f>
        <v>424</v>
      </c>
      <c r="V4709" s="2">
        <f>MASTER[[#This Row],[MONTO VENDIDO]]-MASTER[[#This Row],[COSTO DE VENTA]]</f>
        <v>602</v>
      </c>
    </row>
    <row r="4710" spans="1:22" x14ac:dyDescent="0.3">
      <c r="A4710">
        <v>68677</v>
      </c>
      <c r="B4710">
        <v>1</v>
      </c>
      <c r="C4710" t="s">
        <v>99</v>
      </c>
      <c r="D4710" t="s">
        <v>100</v>
      </c>
      <c r="E4710" s="1">
        <v>44354</v>
      </c>
      <c r="F4710">
        <v>1</v>
      </c>
      <c r="G4710" t="s">
        <v>7</v>
      </c>
      <c r="H4710" t="s">
        <v>8</v>
      </c>
      <c r="I4710" s="3">
        <v>1678</v>
      </c>
      <c r="J4710" s="3">
        <v>1560</v>
      </c>
      <c r="K4710" s="3">
        <v>386</v>
      </c>
      <c r="L4710" t="s">
        <v>98</v>
      </c>
      <c r="M4710">
        <v>6</v>
      </c>
      <c r="N4710" t="s">
        <v>75</v>
      </c>
      <c r="O4710" t="s">
        <v>70</v>
      </c>
      <c r="P4710" t="s">
        <v>12</v>
      </c>
      <c r="Q4710" t="s">
        <v>13</v>
      </c>
      <c r="R4710" t="s">
        <v>13</v>
      </c>
      <c r="S4710" t="s">
        <v>144</v>
      </c>
      <c r="T4710" s="2">
        <f>MASTER[[#This Row],[CANTIDAD]]*MASTER[[#This Row],[PRECIO DE VENTA]]</f>
        <v>1560</v>
      </c>
      <c r="U4710" s="2">
        <f>MASTER[[#This Row],[CANTIDAD]]*MASTER[[#This Row],[COSTO UNITARIO]]</f>
        <v>386</v>
      </c>
      <c r="V4710" s="2">
        <f>MASTER[[#This Row],[MONTO VENDIDO]]-MASTER[[#This Row],[COSTO DE VENTA]]</f>
        <v>1174</v>
      </c>
    </row>
    <row r="4711" spans="1:22" x14ac:dyDescent="0.3">
      <c r="A4711">
        <v>68684</v>
      </c>
      <c r="B4711">
        <v>1</v>
      </c>
      <c r="C4711" t="s">
        <v>114</v>
      </c>
      <c r="D4711" t="s">
        <v>115</v>
      </c>
      <c r="E4711" s="1">
        <v>44354</v>
      </c>
      <c r="F4711">
        <v>1</v>
      </c>
      <c r="G4711" t="s">
        <v>7</v>
      </c>
      <c r="H4711" t="s">
        <v>8</v>
      </c>
      <c r="I4711" s="3">
        <v>2030</v>
      </c>
      <c r="J4711" s="3">
        <v>2030</v>
      </c>
      <c r="K4711" s="3">
        <v>394</v>
      </c>
      <c r="L4711" t="s">
        <v>113</v>
      </c>
      <c r="M4711">
        <v>6</v>
      </c>
      <c r="N4711" t="s">
        <v>75</v>
      </c>
      <c r="O4711" t="s">
        <v>70</v>
      </c>
      <c r="P4711" t="s">
        <v>12</v>
      </c>
      <c r="Q4711" t="s">
        <v>13</v>
      </c>
      <c r="R4711" t="s">
        <v>13</v>
      </c>
      <c r="S4711" t="s">
        <v>144</v>
      </c>
      <c r="T4711" s="2">
        <f>MASTER[[#This Row],[CANTIDAD]]*MASTER[[#This Row],[PRECIO DE VENTA]]</f>
        <v>2030</v>
      </c>
      <c r="U4711" s="2">
        <f>MASTER[[#This Row],[CANTIDAD]]*MASTER[[#This Row],[COSTO UNITARIO]]</f>
        <v>394</v>
      </c>
      <c r="V4711" s="2">
        <f>MASTER[[#This Row],[MONTO VENDIDO]]-MASTER[[#This Row],[COSTO DE VENTA]]</f>
        <v>1636</v>
      </c>
    </row>
    <row r="4712" spans="1:22" x14ac:dyDescent="0.3">
      <c r="A4712">
        <v>68712</v>
      </c>
      <c r="B4712">
        <v>1</v>
      </c>
      <c r="C4712" t="s">
        <v>121</v>
      </c>
      <c r="D4712" t="s">
        <v>122</v>
      </c>
      <c r="E4712" s="1">
        <v>44354</v>
      </c>
      <c r="F4712">
        <v>1</v>
      </c>
      <c r="G4712" t="s">
        <v>43</v>
      </c>
      <c r="H4712" t="s">
        <v>44</v>
      </c>
      <c r="I4712" s="3">
        <v>941</v>
      </c>
      <c r="J4712" s="3">
        <v>941</v>
      </c>
      <c r="K4712" s="3">
        <v>460</v>
      </c>
      <c r="L4712" t="s">
        <v>120</v>
      </c>
      <c r="M4712">
        <v>17</v>
      </c>
      <c r="N4712" t="s">
        <v>14</v>
      </c>
      <c r="O4712" t="s">
        <v>11</v>
      </c>
      <c r="P4712" t="s">
        <v>15</v>
      </c>
      <c r="Q4712" t="s">
        <v>16</v>
      </c>
      <c r="R4712" t="s">
        <v>16</v>
      </c>
      <c r="S4712" t="s">
        <v>144</v>
      </c>
      <c r="T4712" s="2">
        <f>MASTER[[#This Row],[CANTIDAD]]*MASTER[[#This Row],[PRECIO DE VENTA]]</f>
        <v>941</v>
      </c>
      <c r="U4712" s="2">
        <f>MASTER[[#This Row],[CANTIDAD]]*MASTER[[#This Row],[COSTO UNITARIO]]</f>
        <v>460</v>
      </c>
      <c r="V4712" s="2">
        <f>MASTER[[#This Row],[MONTO VENDIDO]]-MASTER[[#This Row],[COSTO DE VENTA]]</f>
        <v>481</v>
      </c>
    </row>
    <row r="4713" spans="1:22" x14ac:dyDescent="0.3">
      <c r="A4713">
        <v>68764</v>
      </c>
      <c r="B4713">
        <v>1</v>
      </c>
      <c r="C4713" t="s">
        <v>118</v>
      </c>
      <c r="D4713" t="s">
        <v>119</v>
      </c>
      <c r="E4713" s="1">
        <v>44355</v>
      </c>
      <c r="F4713">
        <v>1</v>
      </c>
      <c r="G4713" t="s">
        <v>51</v>
      </c>
      <c r="H4713" t="s">
        <v>52</v>
      </c>
      <c r="I4713" s="3">
        <v>1026</v>
      </c>
      <c r="J4713" s="3">
        <v>943</v>
      </c>
      <c r="K4713" s="3">
        <v>424</v>
      </c>
      <c r="L4713" t="s">
        <v>120</v>
      </c>
      <c r="M4713">
        <v>18</v>
      </c>
      <c r="N4713" t="s">
        <v>79</v>
      </c>
      <c r="O4713" t="s">
        <v>70</v>
      </c>
      <c r="P4713" t="s">
        <v>15</v>
      </c>
      <c r="Q4713" t="s">
        <v>16</v>
      </c>
      <c r="R4713" t="s">
        <v>16</v>
      </c>
      <c r="S4713" t="s">
        <v>144</v>
      </c>
      <c r="T4713" s="2">
        <f>MASTER[[#This Row],[CANTIDAD]]*MASTER[[#This Row],[PRECIO DE VENTA]]</f>
        <v>943</v>
      </c>
      <c r="U4713" s="2">
        <f>MASTER[[#This Row],[CANTIDAD]]*MASTER[[#This Row],[COSTO UNITARIO]]</f>
        <v>424</v>
      </c>
      <c r="V4713" s="2">
        <f>MASTER[[#This Row],[MONTO VENDIDO]]-MASTER[[#This Row],[COSTO DE VENTA]]</f>
        <v>519</v>
      </c>
    </row>
    <row r="4714" spans="1:22" x14ac:dyDescent="0.3">
      <c r="A4714">
        <v>68787</v>
      </c>
      <c r="B4714">
        <v>1</v>
      </c>
      <c r="C4714" t="s">
        <v>114</v>
      </c>
      <c r="D4714" t="s">
        <v>115</v>
      </c>
      <c r="E4714" s="1">
        <v>44355</v>
      </c>
      <c r="F4714">
        <v>3</v>
      </c>
      <c r="G4714" t="s">
        <v>63</v>
      </c>
      <c r="H4714" t="s">
        <v>64</v>
      </c>
      <c r="I4714" s="3">
        <v>1862</v>
      </c>
      <c r="J4714" s="3">
        <v>1862</v>
      </c>
      <c r="K4714" s="3">
        <v>394</v>
      </c>
      <c r="L4714" t="s">
        <v>113</v>
      </c>
      <c r="M4714">
        <v>5</v>
      </c>
      <c r="N4714" t="s">
        <v>85</v>
      </c>
      <c r="O4714" t="s">
        <v>81</v>
      </c>
      <c r="P4714" t="s">
        <v>12</v>
      </c>
      <c r="Q4714" t="s">
        <v>13</v>
      </c>
      <c r="R4714" t="s">
        <v>13</v>
      </c>
      <c r="S4714" t="s">
        <v>144</v>
      </c>
      <c r="T4714" s="2">
        <f>MASTER[[#This Row],[CANTIDAD]]*MASTER[[#This Row],[PRECIO DE VENTA]]</f>
        <v>5586</v>
      </c>
      <c r="U4714" s="2">
        <f>MASTER[[#This Row],[CANTIDAD]]*MASTER[[#This Row],[COSTO UNITARIO]]</f>
        <v>1182</v>
      </c>
      <c r="V4714" s="2">
        <f>MASTER[[#This Row],[MONTO VENDIDO]]-MASTER[[#This Row],[COSTO DE VENTA]]</f>
        <v>4404</v>
      </c>
    </row>
    <row r="4715" spans="1:22" x14ac:dyDescent="0.3">
      <c r="A4715">
        <v>68788</v>
      </c>
      <c r="B4715">
        <v>1</v>
      </c>
      <c r="C4715" t="s">
        <v>92</v>
      </c>
      <c r="D4715" t="s">
        <v>93</v>
      </c>
      <c r="E4715" s="1">
        <v>44355</v>
      </c>
      <c r="F4715">
        <v>1</v>
      </c>
      <c r="G4715" t="s">
        <v>57</v>
      </c>
      <c r="H4715" t="s">
        <v>58</v>
      </c>
      <c r="I4715" s="3">
        <v>1681</v>
      </c>
      <c r="J4715" s="3">
        <v>1681</v>
      </c>
      <c r="K4715" s="3">
        <v>396</v>
      </c>
      <c r="L4715" t="s">
        <v>9</v>
      </c>
      <c r="M4715">
        <v>14</v>
      </c>
      <c r="N4715" t="s">
        <v>87</v>
      </c>
      <c r="O4715" t="s">
        <v>81</v>
      </c>
      <c r="P4715" t="s">
        <v>18</v>
      </c>
      <c r="Q4715" t="s">
        <v>19</v>
      </c>
      <c r="R4715" t="s">
        <v>138</v>
      </c>
      <c r="S4715" t="s">
        <v>144</v>
      </c>
      <c r="T4715" s="2">
        <f>MASTER[[#This Row],[CANTIDAD]]*MASTER[[#This Row],[PRECIO DE VENTA]]</f>
        <v>1681</v>
      </c>
      <c r="U4715" s="2">
        <f>MASTER[[#This Row],[CANTIDAD]]*MASTER[[#This Row],[COSTO UNITARIO]]</f>
        <v>396</v>
      </c>
      <c r="V4715" s="2">
        <f>MASTER[[#This Row],[MONTO VENDIDO]]-MASTER[[#This Row],[COSTO DE VENTA]]</f>
        <v>1285</v>
      </c>
    </row>
    <row r="4716" spans="1:22" x14ac:dyDescent="0.3">
      <c r="A4716">
        <v>68805</v>
      </c>
      <c r="B4716">
        <v>1</v>
      </c>
      <c r="C4716" t="s">
        <v>116</v>
      </c>
      <c r="D4716" t="s">
        <v>117</v>
      </c>
      <c r="E4716" s="1">
        <v>44355</v>
      </c>
      <c r="F4716">
        <v>1</v>
      </c>
      <c r="G4716" t="s">
        <v>24</v>
      </c>
      <c r="H4716" t="s">
        <v>25</v>
      </c>
      <c r="I4716" s="3">
        <v>1999</v>
      </c>
      <c r="J4716" s="3">
        <v>1919</v>
      </c>
      <c r="K4716" s="3">
        <v>388</v>
      </c>
      <c r="L4716" t="s">
        <v>113</v>
      </c>
      <c r="M4716">
        <v>1</v>
      </c>
      <c r="N4716" t="s">
        <v>77</v>
      </c>
      <c r="O4716" t="s">
        <v>70</v>
      </c>
      <c r="P4716" t="s">
        <v>71</v>
      </c>
      <c r="Q4716" t="s">
        <v>72</v>
      </c>
      <c r="R4716" t="s">
        <v>139</v>
      </c>
      <c r="S4716" t="s">
        <v>144</v>
      </c>
      <c r="T4716" s="2">
        <f>MASTER[[#This Row],[CANTIDAD]]*MASTER[[#This Row],[PRECIO DE VENTA]]</f>
        <v>1919</v>
      </c>
      <c r="U4716" s="2">
        <f>MASTER[[#This Row],[CANTIDAD]]*MASTER[[#This Row],[COSTO UNITARIO]]</f>
        <v>388</v>
      </c>
      <c r="V4716" s="2">
        <f>MASTER[[#This Row],[MONTO VENDIDO]]-MASTER[[#This Row],[COSTO DE VENTA]]</f>
        <v>1531</v>
      </c>
    </row>
    <row r="4717" spans="1:22" x14ac:dyDescent="0.3">
      <c r="A4717">
        <v>68808</v>
      </c>
      <c r="B4717">
        <v>1</v>
      </c>
      <c r="C4717" t="s">
        <v>116</v>
      </c>
      <c r="D4717" t="s">
        <v>117</v>
      </c>
      <c r="E4717" s="1">
        <v>44355</v>
      </c>
      <c r="F4717">
        <v>2</v>
      </c>
      <c r="G4717" t="s">
        <v>24</v>
      </c>
      <c r="H4717" t="s">
        <v>25</v>
      </c>
      <c r="I4717" s="3">
        <v>1738</v>
      </c>
      <c r="J4717" s="3">
        <v>1738</v>
      </c>
      <c r="K4717" s="3">
        <v>388</v>
      </c>
      <c r="L4717" t="s">
        <v>113</v>
      </c>
      <c r="M4717">
        <v>10</v>
      </c>
      <c r="N4717" t="s">
        <v>83</v>
      </c>
      <c r="O4717" t="s">
        <v>81</v>
      </c>
      <c r="P4717" t="s">
        <v>12</v>
      </c>
      <c r="Q4717" t="s">
        <v>13</v>
      </c>
      <c r="R4717" t="s">
        <v>13</v>
      </c>
      <c r="S4717" t="s">
        <v>144</v>
      </c>
      <c r="T4717" s="2">
        <f>MASTER[[#This Row],[CANTIDAD]]*MASTER[[#This Row],[PRECIO DE VENTA]]</f>
        <v>3476</v>
      </c>
      <c r="U4717" s="2">
        <f>MASTER[[#This Row],[CANTIDAD]]*MASTER[[#This Row],[COSTO UNITARIO]]</f>
        <v>776</v>
      </c>
      <c r="V4717" s="2">
        <f>MASTER[[#This Row],[MONTO VENDIDO]]-MASTER[[#This Row],[COSTO DE VENTA]]</f>
        <v>2700</v>
      </c>
    </row>
    <row r="4718" spans="1:22" x14ac:dyDescent="0.3">
      <c r="A4718">
        <v>68811</v>
      </c>
      <c r="B4718">
        <v>1</v>
      </c>
      <c r="C4718" t="s">
        <v>116</v>
      </c>
      <c r="D4718" t="s">
        <v>117</v>
      </c>
      <c r="E4718" s="1">
        <v>44355</v>
      </c>
      <c r="F4718">
        <v>3</v>
      </c>
      <c r="G4718" t="s">
        <v>29</v>
      </c>
      <c r="H4718" t="s">
        <v>30</v>
      </c>
      <c r="I4718" s="3">
        <v>1999</v>
      </c>
      <c r="J4718" s="3">
        <v>1999</v>
      </c>
      <c r="K4718" s="3">
        <v>388</v>
      </c>
      <c r="L4718" t="s">
        <v>113</v>
      </c>
      <c r="M4718">
        <v>18</v>
      </c>
      <c r="N4718" t="s">
        <v>79</v>
      </c>
      <c r="O4718" t="s">
        <v>70</v>
      </c>
      <c r="P4718" t="s">
        <v>15</v>
      </c>
      <c r="Q4718" t="s">
        <v>16</v>
      </c>
      <c r="R4718" t="s">
        <v>16</v>
      </c>
      <c r="S4718" t="s">
        <v>144</v>
      </c>
      <c r="T4718" s="2">
        <f>MASTER[[#This Row],[CANTIDAD]]*MASTER[[#This Row],[PRECIO DE VENTA]]</f>
        <v>5997</v>
      </c>
      <c r="U4718" s="2">
        <f>MASTER[[#This Row],[CANTIDAD]]*MASTER[[#This Row],[COSTO UNITARIO]]</f>
        <v>1164</v>
      </c>
      <c r="V4718" s="2">
        <f>MASTER[[#This Row],[MONTO VENDIDO]]-MASTER[[#This Row],[COSTO DE VENTA]]</f>
        <v>4833</v>
      </c>
    </row>
    <row r="4719" spans="1:22" x14ac:dyDescent="0.3">
      <c r="A4719">
        <v>68816</v>
      </c>
      <c r="B4719">
        <v>1</v>
      </c>
      <c r="C4719" t="s">
        <v>90</v>
      </c>
      <c r="D4719" t="s">
        <v>91</v>
      </c>
      <c r="E4719" s="1">
        <v>44355</v>
      </c>
      <c r="F4719">
        <v>1</v>
      </c>
      <c r="G4719" t="s">
        <v>67</v>
      </c>
      <c r="H4719" t="s">
        <v>68</v>
      </c>
      <c r="I4719" s="3">
        <v>1660</v>
      </c>
      <c r="J4719" s="3">
        <v>1660</v>
      </c>
      <c r="K4719" s="3">
        <v>420</v>
      </c>
      <c r="L4719" t="s">
        <v>9</v>
      </c>
      <c r="M4719">
        <v>17</v>
      </c>
      <c r="N4719" t="s">
        <v>14</v>
      </c>
      <c r="O4719" t="s">
        <v>11</v>
      </c>
      <c r="P4719" t="s">
        <v>15</v>
      </c>
      <c r="Q4719" t="s">
        <v>16</v>
      </c>
      <c r="R4719" t="s">
        <v>16</v>
      </c>
      <c r="S4719" t="s">
        <v>144</v>
      </c>
      <c r="T4719" s="2">
        <f>MASTER[[#This Row],[CANTIDAD]]*MASTER[[#This Row],[PRECIO DE VENTA]]</f>
        <v>1660</v>
      </c>
      <c r="U4719" s="2">
        <f>MASTER[[#This Row],[CANTIDAD]]*MASTER[[#This Row],[COSTO UNITARIO]]</f>
        <v>420</v>
      </c>
      <c r="V4719" s="2">
        <f>MASTER[[#This Row],[MONTO VENDIDO]]-MASTER[[#This Row],[COSTO DE VENTA]]</f>
        <v>1240</v>
      </c>
    </row>
    <row r="4720" spans="1:22" x14ac:dyDescent="0.3">
      <c r="A4720">
        <v>68821</v>
      </c>
      <c r="B4720">
        <v>1</v>
      </c>
      <c r="C4720" t="s">
        <v>114</v>
      </c>
      <c r="D4720" t="s">
        <v>115</v>
      </c>
      <c r="E4720" s="1">
        <v>44355</v>
      </c>
      <c r="F4720">
        <v>1</v>
      </c>
      <c r="G4720" t="s">
        <v>53</v>
      </c>
      <c r="H4720" t="s">
        <v>54</v>
      </c>
      <c r="I4720" s="3">
        <v>2030</v>
      </c>
      <c r="J4720" s="3">
        <v>2030</v>
      </c>
      <c r="K4720" s="3">
        <v>394</v>
      </c>
      <c r="L4720" t="s">
        <v>113</v>
      </c>
      <c r="M4720">
        <v>18</v>
      </c>
      <c r="N4720" t="s">
        <v>79</v>
      </c>
      <c r="O4720" t="s">
        <v>70</v>
      </c>
      <c r="P4720" t="s">
        <v>15</v>
      </c>
      <c r="Q4720" t="s">
        <v>16</v>
      </c>
      <c r="R4720" t="s">
        <v>16</v>
      </c>
      <c r="S4720" t="s">
        <v>144</v>
      </c>
      <c r="T4720" s="2">
        <f>MASTER[[#This Row],[CANTIDAD]]*MASTER[[#This Row],[PRECIO DE VENTA]]</f>
        <v>2030</v>
      </c>
      <c r="U4720" s="2">
        <f>MASTER[[#This Row],[CANTIDAD]]*MASTER[[#This Row],[COSTO UNITARIO]]</f>
        <v>394</v>
      </c>
      <c r="V4720" s="2">
        <f>MASTER[[#This Row],[MONTO VENDIDO]]-MASTER[[#This Row],[COSTO DE VENTA]]</f>
        <v>1636</v>
      </c>
    </row>
    <row r="4721" spans="1:22" x14ac:dyDescent="0.3">
      <c r="A4721">
        <v>68833</v>
      </c>
      <c r="B4721">
        <v>1</v>
      </c>
      <c r="C4721" t="s">
        <v>107</v>
      </c>
      <c r="D4721" t="s">
        <v>108</v>
      </c>
      <c r="E4721" s="1">
        <v>44355</v>
      </c>
      <c r="F4721">
        <v>1</v>
      </c>
      <c r="G4721" t="s">
        <v>53</v>
      </c>
      <c r="H4721" t="s">
        <v>54</v>
      </c>
      <c r="I4721" s="3">
        <v>1240</v>
      </c>
      <c r="J4721" s="3">
        <v>1240</v>
      </c>
      <c r="K4721" s="3">
        <v>380</v>
      </c>
      <c r="L4721" t="s">
        <v>98</v>
      </c>
      <c r="M4721">
        <v>16</v>
      </c>
      <c r="N4721" t="s">
        <v>17</v>
      </c>
      <c r="O4721" t="s">
        <v>11</v>
      </c>
      <c r="P4721" t="s">
        <v>18</v>
      </c>
      <c r="Q4721" t="s">
        <v>19</v>
      </c>
      <c r="R4721" t="s">
        <v>138</v>
      </c>
      <c r="S4721" t="s">
        <v>144</v>
      </c>
      <c r="T4721" s="2">
        <f>MASTER[[#This Row],[CANTIDAD]]*MASTER[[#This Row],[PRECIO DE VENTA]]</f>
        <v>1240</v>
      </c>
      <c r="U4721" s="2">
        <f>MASTER[[#This Row],[CANTIDAD]]*MASTER[[#This Row],[COSTO UNITARIO]]</f>
        <v>380</v>
      </c>
      <c r="V4721" s="2">
        <f>MASTER[[#This Row],[MONTO VENDIDO]]-MASTER[[#This Row],[COSTO DE VENTA]]</f>
        <v>860</v>
      </c>
    </row>
    <row r="4722" spans="1:22" x14ac:dyDescent="0.3">
      <c r="A4722">
        <v>68835</v>
      </c>
      <c r="B4722">
        <v>1</v>
      </c>
      <c r="C4722" t="s">
        <v>5</v>
      </c>
      <c r="D4722" t="s">
        <v>6</v>
      </c>
      <c r="E4722" s="1">
        <v>44355</v>
      </c>
      <c r="F4722">
        <v>1</v>
      </c>
      <c r="G4722" t="s">
        <v>33</v>
      </c>
      <c r="H4722" t="s">
        <v>34</v>
      </c>
      <c r="I4722" s="3">
        <v>1296</v>
      </c>
      <c r="J4722" s="3">
        <v>1166</v>
      </c>
      <c r="K4722" s="3">
        <v>393</v>
      </c>
      <c r="L4722" t="s">
        <v>9</v>
      </c>
      <c r="M4722">
        <v>1</v>
      </c>
      <c r="N4722" t="s">
        <v>77</v>
      </c>
      <c r="O4722" t="s">
        <v>70</v>
      </c>
      <c r="P4722" t="s">
        <v>71</v>
      </c>
      <c r="Q4722" t="s">
        <v>72</v>
      </c>
      <c r="R4722" t="s">
        <v>139</v>
      </c>
      <c r="S4722" t="s">
        <v>144</v>
      </c>
      <c r="T4722" s="2">
        <f>MASTER[[#This Row],[CANTIDAD]]*MASTER[[#This Row],[PRECIO DE VENTA]]</f>
        <v>1166</v>
      </c>
      <c r="U4722" s="2">
        <f>MASTER[[#This Row],[CANTIDAD]]*MASTER[[#This Row],[COSTO UNITARIO]]</f>
        <v>393</v>
      </c>
      <c r="V4722" s="2">
        <f>MASTER[[#This Row],[MONTO VENDIDO]]-MASTER[[#This Row],[COSTO DE VENTA]]</f>
        <v>773</v>
      </c>
    </row>
    <row r="4723" spans="1:22" x14ac:dyDescent="0.3">
      <c r="A4723">
        <v>68838</v>
      </c>
      <c r="B4723">
        <v>1</v>
      </c>
      <c r="C4723" t="s">
        <v>118</v>
      </c>
      <c r="D4723" t="s">
        <v>119</v>
      </c>
      <c r="E4723" s="1">
        <v>44355</v>
      </c>
      <c r="F4723">
        <v>1</v>
      </c>
      <c r="G4723" t="s">
        <v>53</v>
      </c>
      <c r="H4723" t="s">
        <v>54</v>
      </c>
      <c r="I4723" s="3">
        <v>1026</v>
      </c>
      <c r="J4723" s="3">
        <v>1026</v>
      </c>
      <c r="K4723" s="3">
        <v>424</v>
      </c>
      <c r="L4723" t="s">
        <v>120</v>
      </c>
      <c r="M4723">
        <v>6</v>
      </c>
      <c r="N4723" t="s">
        <v>75</v>
      </c>
      <c r="O4723" t="s">
        <v>70</v>
      </c>
      <c r="P4723" t="s">
        <v>12</v>
      </c>
      <c r="Q4723" t="s">
        <v>13</v>
      </c>
      <c r="R4723" t="s">
        <v>13</v>
      </c>
      <c r="S4723" t="s">
        <v>144</v>
      </c>
      <c r="T4723" s="2">
        <f>MASTER[[#This Row],[CANTIDAD]]*MASTER[[#This Row],[PRECIO DE VENTA]]</f>
        <v>1026</v>
      </c>
      <c r="U4723" s="2">
        <f>MASTER[[#This Row],[CANTIDAD]]*MASTER[[#This Row],[COSTO UNITARIO]]</f>
        <v>424</v>
      </c>
      <c r="V4723" s="2">
        <f>MASTER[[#This Row],[MONTO VENDIDO]]-MASTER[[#This Row],[COSTO DE VENTA]]</f>
        <v>602</v>
      </c>
    </row>
    <row r="4724" spans="1:22" x14ac:dyDescent="0.3">
      <c r="A4724">
        <v>68840</v>
      </c>
      <c r="B4724">
        <v>1</v>
      </c>
      <c r="C4724" t="s">
        <v>5</v>
      </c>
      <c r="D4724" t="s">
        <v>6</v>
      </c>
      <c r="E4724" s="1">
        <v>44355</v>
      </c>
      <c r="F4724">
        <v>1</v>
      </c>
      <c r="G4724" t="s">
        <v>49</v>
      </c>
      <c r="H4724" t="s">
        <v>50</v>
      </c>
      <c r="I4724" s="3">
        <v>1296</v>
      </c>
      <c r="J4724" s="3">
        <v>1296</v>
      </c>
      <c r="K4724" s="3">
        <v>393</v>
      </c>
      <c r="L4724" t="s">
        <v>9</v>
      </c>
      <c r="M4724">
        <v>6</v>
      </c>
      <c r="N4724" t="s">
        <v>75</v>
      </c>
      <c r="O4724" t="s">
        <v>70</v>
      </c>
      <c r="P4724" t="s">
        <v>12</v>
      </c>
      <c r="Q4724" t="s">
        <v>13</v>
      </c>
      <c r="R4724" t="s">
        <v>13</v>
      </c>
      <c r="S4724" t="s">
        <v>144</v>
      </c>
      <c r="T4724" s="2">
        <f>MASTER[[#This Row],[CANTIDAD]]*MASTER[[#This Row],[PRECIO DE VENTA]]</f>
        <v>1296</v>
      </c>
      <c r="U4724" s="2">
        <f>MASTER[[#This Row],[CANTIDAD]]*MASTER[[#This Row],[COSTO UNITARIO]]</f>
        <v>393</v>
      </c>
      <c r="V4724" s="2">
        <f>MASTER[[#This Row],[MONTO VENDIDO]]-MASTER[[#This Row],[COSTO DE VENTA]]</f>
        <v>903</v>
      </c>
    </row>
    <row r="4725" spans="1:22" x14ac:dyDescent="0.3">
      <c r="A4725">
        <v>68847</v>
      </c>
      <c r="B4725">
        <v>2</v>
      </c>
      <c r="C4725" t="s">
        <v>92</v>
      </c>
      <c r="D4725" t="s">
        <v>93</v>
      </c>
      <c r="E4725" s="1">
        <v>44355</v>
      </c>
      <c r="F4725">
        <v>1</v>
      </c>
      <c r="G4725" t="s">
        <v>55</v>
      </c>
      <c r="H4725" t="s">
        <v>56</v>
      </c>
      <c r="I4725" s="3">
        <v>1866</v>
      </c>
      <c r="J4725" s="3">
        <v>1866</v>
      </c>
      <c r="K4725" s="3">
        <v>396</v>
      </c>
      <c r="L4725" t="s">
        <v>9</v>
      </c>
      <c r="M4725">
        <v>18</v>
      </c>
      <c r="N4725" t="s">
        <v>79</v>
      </c>
      <c r="O4725" t="s">
        <v>70</v>
      </c>
      <c r="P4725" t="s">
        <v>15</v>
      </c>
      <c r="Q4725" t="s">
        <v>16</v>
      </c>
      <c r="R4725" t="s">
        <v>16</v>
      </c>
      <c r="S4725" t="s">
        <v>144</v>
      </c>
      <c r="T4725" s="2">
        <f>MASTER[[#This Row],[CANTIDAD]]*MASTER[[#This Row],[PRECIO DE VENTA]]</f>
        <v>1866</v>
      </c>
      <c r="U4725" s="2">
        <f>MASTER[[#This Row],[CANTIDAD]]*MASTER[[#This Row],[COSTO UNITARIO]]</f>
        <v>396</v>
      </c>
      <c r="V4725" s="2">
        <f>MASTER[[#This Row],[MONTO VENDIDO]]-MASTER[[#This Row],[COSTO DE VENTA]]</f>
        <v>1470</v>
      </c>
    </row>
    <row r="4726" spans="1:22" x14ac:dyDescent="0.3">
      <c r="A4726">
        <v>68847</v>
      </c>
      <c r="B4726">
        <v>1</v>
      </c>
      <c r="C4726" t="s">
        <v>94</v>
      </c>
      <c r="D4726" t="s">
        <v>95</v>
      </c>
      <c r="E4726" s="1">
        <v>44355</v>
      </c>
      <c r="F4726">
        <v>1</v>
      </c>
      <c r="G4726" t="s">
        <v>65</v>
      </c>
      <c r="H4726" t="s">
        <v>66</v>
      </c>
      <c r="I4726" s="3">
        <v>1153</v>
      </c>
      <c r="J4726" s="3">
        <v>1153</v>
      </c>
      <c r="K4726" s="3">
        <v>392</v>
      </c>
      <c r="L4726" t="s">
        <v>9</v>
      </c>
      <c r="M4726">
        <v>18</v>
      </c>
      <c r="N4726" t="s">
        <v>79</v>
      </c>
      <c r="O4726" t="s">
        <v>70</v>
      </c>
      <c r="P4726" t="s">
        <v>15</v>
      </c>
      <c r="Q4726" t="s">
        <v>16</v>
      </c>
      <c r="R4726" t="s">
        <v>16</v>
      </c>
      <c r="S4726" t="s">
        <v>144</v>
      </c>
      <c r="T4726" s="2">
        <f>MASTER[[#This Row],[CANTIDAD]]*MASTER[[#This Row],[PRECIO DE VENTA]]</f>
        <v>1153</v>
      </c>
      <c r="U4726" s="2">
        <f>MASTER[[#This Row],[CANTIDAD]]*MASTER[[#This Row],[COSTO UNITARIO]]</f>
        <v>392</v>
      </c>
      <c r="V4726" s="2">
        <f>MASTER[[#This Row],[MONTO VENDIDO]]-MASTER[[#This Row],[COSTO DE VENTA]]</f>
        <v>761</v>
      </c>
    </row>
    <row r="4727" spans="1:22" x14ac:dyDescent="0.3">
      <c r="A4727">
        <v>68890</v>
      </c>
      <c r="B4727">
        <v>1</v>
      </c>
      <c r="C4727" t="s">
        <v>121</v>
      </c>
      <c r="D4727" t="s">
        <v>122</v>
      </c>
      <c r="E4727" s="1">
        <v>44355</v>
      </c>
      <c r="F4727">
        <v>1</v>
      </c>
      <c r="G4727" t="s">
        <v>57</v>
      </c>
      <c r="H4727" t="s">
        <v>58</v>
      </c>
      <c r="I4727" s="3">
        <v>1069</v>
      </c>
      <c r="J4727" s="3">
        <v>1069</v>
      </c>
      <c r="K4727" s="3">
        <v>460</v>
      </c>
      <c r="L4727" t="s">
        <v>120</v>
      </c>
      <c r="M4727">
        <v>15</v>
      </c>
      <c r="N4727" t="s">
        <v>88</v>
      </c>
      <c r="O4727" t="s">
        <v>81</v>
      </c>
      <c r="P4727" t="s">
        <v>18</v>
      </c>
      <c r="Q4727" t="s">
        <v>19</v>
      </c>
      <c r="R4727" t="s">
        <v>138</v>
      </c>
      <c r="S4727" t="s">
        <v>144</v>
      </c>
      <c r="T4727" s="2">
        <f>MASTER[[#This Row],[CANTIDAD]]*MASTER[[#This Row],[PRECIO DE VENTA]]</f>
        <v>1069</v>
      </c>
      <c r="U4727" s="2">
        <f>MASTER[[#This Row],[CANTIDAD]]*MASTER[[#This Row],[COSTO UNITARIO]]</f>
        <v>460</v>
      </c>
      <c r="V4727" s="2">
        <f>MASTER[[#This Row],[MONTO VENDIDO]]-MASTER[[#This Row],[COSTO DE VENTA]]</f>
        <v>609</v>
      </c>
    </row>
    <row r="4728" spans="1:22" x14ac:dyDescent="0.3">
      <c r="A4728">
        <v>68903</v>
      </c>
      <c r="B4728">
        <v>1</v>
      </c>
      <c r="C4728" t="s">
        <v>90</v>
      </c>
      <c r="D4728" t="s">
        <v>91</v>
      </c>
      <c r="E4728" s="1">
        <v>44355</v>
      </c>
      <c r="F4728">
        <v>1</v>
      </c>
      <c r="G4728" t="s">
        <v>47</v>
      </c>
      <c r="H4728" t="s">
        <v>48</v>
      </c>
      <c r="I4728" s="3">
        <v>1844</v>
      </c>
      <c r="J4728" s="3">
        <v>1844</v>
      </c>
      <c r="K4728" s="3">
        <v>420</v>
      </c>
      <c r="L4728" t="s">
        <v>9</v>
      </c>
      <c r="M4728">
        <v>15</v>
      </c>
      <c r="N4728" t="s">
        <v>88</v>
      </c>
      <c r="O4728" t="s">
        <v>81</v>
      </c>
      <c r="P4728" t="s">
        <v>18</v>
      </c>
      <c r="Q4728" t="s">
        <v>19</v>
      </c>
      <c r="R4728" t="s">
        <v>138</v>
      </c>
      <c r="S4728" t="s">
        <v>144</v>
      </c>
      <c r="T4728" s="2">
        <f>MASTER[[#This Row],[CANTIDAD]]*MASTER[[#This Row],[PRECIO DE VENTA]]</f>
        <v>1844</v>
      </c>
      <c r="U4728" s="2">
        <f>MASTER[[#This Row],[CANTIDAD]]*MASTER[[#This Row],[COSTO UNITARIO]]</f>
        <v>420</v>
      </c>
      <c r="V4728" s="2">
        <f>MASTER[[#This Row],[MONTO VENDIDO]]-MASTER[[#This Row],[COSTO DE VENTA]]</f>
        <v>1424</v>
      </c>
    </row>
    <row r="4729" spans="1:22" x14ac:dyDescent="0.3">
      <c r="A4729">
        <v>68906</v>
      </c>
      <c r="B4729">
        <v>1</v>
      </c>
      <c r="C4729" t="s">
        <v>111</v>
      </c>
      <c r="D4729" t="s">
        <v>112</v>
      </c>
      <c r="E4729" s="1">
        <v>44356</v>
      </c>
      <c r="F4729">
        <v>1</v>
      </c>
      <c r="G4729" t="s">
        <v>22</v>
      </c>
      <c r="H4729" t="s">
        <v>23</v>
      </c>
      <c r="I4729" s="3">
        <v>1524</v>
      </c>
      <c r="J4729" s="3">
        <v>1524</v>
      </c>
      <c r="K4729" s="3">
        <v>434</v>
      </c>
      <c r="L4729" t="s">
        <v>113</v>
      </c>
      <c r="M4729">
        <v>16</v>
      </c>
      <c r="N4729" t="s">
        <v>17</v>
      </c>
      <c r="O4729" t="s">
        <v>11</v>
      </c>
      <c r="P4729" t="s">
        <v>18</v>
      </c>
      <c r="Q4729" t="s">
        <v>19</v>
      </c>
      <c r="R4729" t="s">
        <v>138</v>
      </c>
      <c r="S4729" t="s">
        <v>144</v>
      </c>
      <c r="T4729" s="2">
        <f>MASTER[[#This Row],[CANTIDAD]]*MASTER[[#This Row],[PRECIO DE VENTA]]</f>
        <v>1524</v>
      </c>
      <c r="U4729" s="2">
        <f>MASTER[[#This Row],[CANTIDAD]]*MASTER[[#This Row],[COSTO UNITARIO]]</f>
        <v>434</v>
      </c>
      <c r="V4729" s="2">
        <f>MASTER[[#This Row],[MONTO VENDIDO]]-MASTER[[#This Row],[COSTO DE VENTA]]</f>
        <v>1090</v>
      </c>
    </row>
    <row r="4730" spans="1:22" x14ac:dyDescent="0.3">
      <c r="A4730">
        <v>68920</v>
      </c>
      <c r="B4730">
        <v>1</v>
      </c>
      <c r="C4730" t="s">
        <v>101</v>
      </c>
      <c r="D4730" t="s">
        <v>102</v>
      </c>
      <c r="E4730" s="1">
        <v>44356</v>
      </c>
      <c r="F4730">
        <v>1</v>
      </c>
      <c r="G4730" t="s">
        <v>43</v>
      </c>
      <c r="H4730" t="s">
        <v>44</v>
      </c>
      <c r="I4730" s="3">
        <v>1054</v>
      </c>
      <c r="J4730" s="3">
        <v>959</v>
      </c>
      <c r="K4730" s="3">
        <v>442</v>
      </c>
      <c r="L4730" t="s">
        <v>98</v>
      </c>
      <c r="M4730">
        <v>16</v>
      </c>
      <c r="N4730" t="s">
        <v>17</v>
      </c>
      <c r="O4730" t="s">
        <v>11</v>
      </c>
      <c r="P4730" t="s">
        <v>18</v>
      </c>
      <c r="Q4730" t="s">
        <v>19</v>
      </c>
      <c r="R4730" t="s">
        <v>138</v>
      </c>
      <c r="S4730" t="s">
        <v>144</v>
      </c>
      <c r="T4730" s="2">
        <f>MASTER[[#This Row],[CANTIDAD]]*MASTER[[#This Row],[PRECIO DE VENTA]]</f>
        <v>959</v>
      </c>
      <c r="U4730" s="2">
        <f>MASTER[[#This Row],[CANTIDAD]]*MASTER[[#This Row],[COSTO UNITARIO]]</f>
        <v>442</v>
      </c>
      <c r="V4730" s="2">
        <f>MASTER[[#This Row],[MONTO VENDIDO]]-MASTER[[#This Row],[COSTO DE VENTA]]</f>
        <v>517</v>
      </c>
    </row>
    <row r="4731" spans="1:22" x14ac:dyDescent="0.3">
      <c r="A4731">
        <v>68925</v>
      </c>
      <c r="B4731">
        <v>1</v>
      </c>
      <c r="C4731" t="s">
        <v>107</v>
      </c>
      <c r="D4731" t="s">
        <v>108</v>
      </c>
      <c r="E4731" s="1">
        <v>44356</v>
      </c>
      <c r="F4731">
        <v>1</v>
      </c>
      <c r="G4731" t="s">
        <v>22</v>
      </c>
      <c r="H4731" t="s">
        <v>23</v>
      </c>
      <c r="I4731" s="3">
        <v>1240</v>
      </c>
      <c r="J4731" s="3">
        <v>1240</v>
      </c>
      <c r="K4731" s="3">
        <v>380</v>
      </c>
      <c r="L4731" t="s">
        <v>98</v>
      </c>
      <c r="M4731">
        <v>11</v>
      </c>
      <c r="N4731" t="s">
        <v>10</v>
      </c>
      <c r="O4731" t="s">
        <v>11</v>
      </c>
      <c r="P4731" t="s">
        <v>12</v>
      </c>
      <c r="Q4731" t="s">
        <v>13</v>
      </c>
      <c r="R4731" t="s">
        <v>13</v>
      </c>
      <c r="S4731" t="s">
        <v>144</v>
      </c>
      <c r="T4731" s="2">
        <f>MASTER[[#This Row],[CANTIDAD]]*MASTER[[#This Row],[PRECIO DE VENTA]]</f>
        <v>1240</v>
      </c>
      <c r="U4731" s="2">
        <f>MASTER[[#This Row],[CANTIDAD]]*MASTER[[#This Row],[COSTO UNITARIO]]</f>
        <v>380</v>
      </c>
      <c r="V4731" s="2">
        <f>MASTER[[#This Row],[MONTO VENDIDO]]-MASTER[[#This Row],[COSTO DE VENTA]]</f>
        <v>860</v>
      </c>
    </row>
    <row r="4732" spans="1:22" x14ac:dyDescent="0.3">
      <c r="A4732">
        <v>68939</v>
      </c>
      <c r="B4732">
        <v>1</v>
      </c>
      <c r="C4732" t="s">
        <v>103</v>
      </c>
      <c r="D4732" t="s">
        <v>104</v>
      </c>
      <c r="E4732" s="1">
        <v>44356</v>
      </c>
      <c r="F4732">
        <v>1</v>
      </c>
      <c r="G4732" t="s">
        <v>22</v>
      </c>
      <c r="H4732" t="s">
        <v>23</v>
      </c>
      <c r="I4732" s="3">
        <v>1830</v>
      </c>
      <c r="J4732" s="3">
        <v>1830</v>
      </c>
      <c r="K4732" s="3">
        <v>421</v>
      </c>
      <c r="L4732" t="s">
        <v>98</v>
      </c>
      <c r="M4732">
        <v>6</v>
      </c>
      <c r="N4732" t="s">
        <v>75</v>
      </c>
      <c r="O4732" t="s">
        <v>70</v>
      </c>
      <c r="P4732" t="s">
        <v>12</v>
      </c>
      <c r="Q4732" t="s">
        <v>13</v>
      </c>
      <c r="R4732" t="s">
        <v>13</v>
      </c>
      <c r="S4732" t="s">
        <v>144</v>
      </c>
      <c r="T4732" s="2">
        <f>MASTER[[#This Row],[CANTIDAD]]*MASTER[[#This Row],[PRECIO DE VENTA]]</f>
        <v>1830</v>
      </c>
      <c r="U4732" s="2">
        <f>MASTER[[#This Row],[CANTIDAD]]*MASTER[[#This Row],[COSTO UNITARIO]]</f>
        <v>421</v>
      </c>
      <c r="V4732" s="2">
        <f>MASTER[[#This Row],[MONTO VENDIDO]]-MASTER[[#This Row],[COSTO DE VENTA]]</f>
        <v>1409</v>
      </c>
    </row>
    <row r="4733" spans="1:22" x14ac:dyDescent="0.3">
      <c r="A4733">
        <v>68952</v>
      </c>
      <c r="B4733">
        <v>1</v>
      </c>
      <c r="C4733" t="s">
        <v>111</v>
      </c>
      <c r="D4733" t="s">
        <v>112</v>
      </c>
      <c r="E4733" s="1">
        <v>44356</v>
      </c>
      <c r="F4733">
        <v>1</v>
      </c>
      <c r="G4733" t="s">
        <v>63</v>
      </c>
      <c r="H4733" t="s">
        <v>64</v>
      </c>
      <c r="I4733" s="3">
        <v>1621</v>
      </c>
      <c r="J4733" s="3">
        <v>1621</v>
      </c>
      <c r="K4733" s="3">
        <v>434</v>
      </c>
      <c r="L4733" t="s">
        <v>113</v>
      </c>
      <c r="M4733">
        <v>8</v>
      </c>
      <c r="N4733" t="s">
        <v>80</v>
      </c>
      <c r="O4733" t="s">
        <v>81</v>
      </c>
      <c r="P4733" t="s">
        <v>12</v>
      </c>
      <c r="Q4733" t="s">
        <v>13</v>
      </c>
      <c r="R4733" t="s">
        <v>13</v>
      </c>
      <c r="S4733" t="s">
        <v>144</v>
      </c>
      <c r="T4733" s="2">
        <f>MASTER[[#This Row],[CANTIDAD]]*MASTER[[#This Row],[PRECIO DE VENTA]]</f>
        <v>1621</v>
      </c>
      <c r="U4733" s="2">
        <f>MASTER[[#This Row],[CANTIDAD]]*MASTER[[#This Row],[COSTO UNITARIO]]</f>
        <v>434</v>
      </c>
      <c r="V4733" s="2">
        <f>MASTER[[#This Row],[MONTO VENDIDO]]-MASTER[[#This Row],[COSTO DE VENTA]]</f>
        <v>1187</v>
      </c>
    </row>
    <row r="4734" spans="1:22" x14ac:dyDescent="0.3">
      <c r="A4734">
        <v>68969</v>
      </c>
      <c r="B4734">
        <v>1</v>
      </c>
      <c r="C4734" t="s">
        <v>90</v>
      </c>
      <c r="D4734" t="s">
        <v>91</v>
      </c>
      <c r="E4734" s="1">
        <v>44356</v>
      </c>
      <c r="F4734">
        <v>1</v>
      </c>
      <c r="G4734" t="s">
        <v>43</v>
      </c>
      <c r="H4734" t="s">
        <v>44</v>
      </c>
      <c r="I4734" s="3">
        <v>1844</v>
      </c>
      <c r="J4734" s="3">
        <v>1844</v>
      </c>
      <c r="K4734" s="3">
        <v>420</v>
      </c>
      <c r="L4734" t="s">
        <v>9</v>
      </c>
      <c r="M4734">
        <v>7</v>
      </c>
      <c r="N4734" t="s">
        <v>84</v>
      </c>
      <c r="O4734" t="s">
        <v>81</v>
      </c>
      <c r="P4734" t="s">
        <v>12</v>
      </c>
      <c r="Q4734" t="s">
        <v>13</v>
      </c>
      <c r="R4734" t="s">
        <v>13</v>
      </c>
      <c r="S4734" t="s">
        <v>144</v>
      </c>
      <c r="T4734" s="2">
        <f>MASTER[[#This Row],[CANTIDAD]]*MASTER[[#This Row],[PRECIO DE VENTA]]</f>
        <v>1844</v>
      </c>
      <c r="U4734" s="2">
        <f>MASTER[[#This Row],[CANTIDAD]]*MASTER[[#This Row],[COSTO UNITARIO]]</f>
        <v>420</v>
      </c>
      <c r="V4734" s="2">
        <f>MASTER[[#This Row],[MONTO VENDIDO]]-MASTER[[#This Row],[COSTO DE VENTA]]</f>
        <v>1424</v>
      </c>
    </row>
    <row r="4735" spans="1:22" x14ac:dyDescent="0.3">
      <c r="A4735">
        <v>68976</v>
      </c>
      <c r="B4735">
        <v>1</v>
      </c>
      <c r="C4735" t="s">
        <v>92</v>
      </c>
      <c r="D4735" t="s">
        <v>93</v>
      </c>
      <c r="E4735" s="1">
        <v>44356</v>
      </c>
      <c r="F4735">
        <v>1</v>
      </c>
      <c r="G4735" t="s">
        <v>27</v>
      </c>
      <c r="H4735" t="s">
        <v>28</v>
      </c>
      <c r="I4735" s="3">
        <v>1681</v>
      </c>
      <c r="J4735" s="3">
        <v>1681</v>
      </c>
      <c r="K4735" s="3">
        <v>396</v>
      </c>
      <c r="L4735" t="s">
        <v>9</v>
      </c>
      <c r="M4735">
        <v>10</v>
      </c>
      <c r="N4735" t="s">
        <v>83</v>
      </c>
      <c r="O4735" t="s">
        <v>81</v>
      </c>
      <c r="P4735" t="s">
        <v>12</v>
      </c>
      <c r="Q4735" t="s">
        <v>13</v>
      </c>
      <c r="R4735" t="s">
        <v>13</v>
      </c>
      <c r="S4735" t="s">
        <v>144</v>
      </c>
      <c r="T4735" s="2">
        <f>MASTER[[#This Row],[CANTIDAD]]*MASTER[[#This Row],[PRECIO DE VENTA]]</f>
        <v>1681</v>
      </c>
      <c r="U4735" s="2">
        <f>MASTER[[#This Row],[CANTIDAD]]*MASTER[[#This Row],[COSTO UNITARIO]]</f>
        <v>396</v>
      </c>
      <c r="V4735" s="2">
        <f>MASTER[[#This Row],[MONTO VENDIDO]]-MASTER[[#This Row],[COSTO DE VENTA]]</f>
        <v>1285</v>
      </c>
    </row>
    <row r="4736" spans="1:22" x14ac:dyDescent="0.3">
      <c r="A4736">
        <v>68996</v>
      </c>
      <c r="B4736">
        <v>1</v>
      </c>
      <c r="C4736" t="s">
        <v>94</v>
      </c>
      <c r="D4736" t="s">
        <v>95</v>
      </c>
      <c r="E4736" s="1">
        <v>44356</v>
      </c>
      <c r="F4736">
        <v>1</v>
      </c>
      <c r="G4736" t="s">
        <v>45</v>
      </c>
      <c r="H4736" t="s">
        <v>46</v>
      </c>
      <c r="I4736" s="3">
        <v>901</v>
      </c>
      <c r="J4736" s="3">
        <v>901</v>
      </c>
      <c r="K4736" s="3">
        <v>392</v>
      </c>
      <c r="L4736" t="s">
        <v>9</v>
      </c>
      <c r="M4736">
        <v>12</v>
      </c>
      <c r="N4736" t="s">
        <v>26</v>
      </c>
      <c r="O4736" t="s">
        <v>11</v>
      </c>
      <c r="P4736" t="s">
        <v>12</v>
      </c>
      <c r="Q4736" t="s">
        <v>13</v>
      </c>
      <c r="R4736" t="s">
        <v>13</v>
      </c>
      <c r="S4736" t="s">
        <v>144</v>
      </c>
      <c r="T4736" s="2">
        <f>MASTER[[#This Row],[CANTIDAD]]*MASTER[[#This Row],[PRECIO DE VENTA]]</f>
        <v>901</v>
      </c>
      <c r="U4736" s="2">
        <f>MASTER[[#This Row],[CANTIDAD]]*MASTER[[#This Row],[COSTO UNITARIO]]</f>
        <v>392</v>
      </c>
      <c r="V4736" s="2">
        <f>MASTER[[#This Row],[MONTO VENDIDO]]-MASTER[[#This Row],[COSTO DE VENTA]]</f>
        <v>509</v>
      </c>
    </row>
    <row r="4737" spans="1:22" x14ac:dyDescent="0.3">
      <c r="A4737">
        <v>69018</v>
      </c>
      <c r="B4737">
        <v>1</v>
      </c>
      <c r="C4737" t="s">
        <v>121</v>
      </c>
      <c r="D4737" t="s">
        <v>122</v>
      </c>
      <c r="E4737" s="1">
        <v>44356</v>
      </c>
      <c r="F4737">
        <v>1</v>
      </c>
      <c r="G4737" t="s">
        <v>39</v>
      </c>
      <c r="H4737" t="s">
        <v>40</v>
      </c>
      <c r="I4737" s="3">
        <v>941</v>
      </c>
      <c r="J4737" s="3">
        <v>941</v>
      </c>
      <c r="K4737" s="3">
        <v>460</v>
      </c>
      <c r="L4737" t="s">
        <v>120</v>
      </c>
      <c r="M4737">
        <v>12</v>
      </c>
      <c r="N4737" t="s">
        <v>26</v>
      </c>
      <c r="O4737" t="s">
        <v>11</v>
      </c>
      <c r="P4737" t="s">
        <v>12</v>
      </c>
      <c r="Q4737" t="s">
        <v>13</v>
      </c>
      <c r="R4737" t="s">
        <v>13</v>
      </c>
      <c r="S4737" t="s">
        <v>144</v>
      </c>
      <c r="T4737" s="2">
        <f>MASTER[[#This Row],[CANTIDAD]]*MASTER[[#This Row],[PRECIO DE VENTA]]</f>
        <v>941</v>
      </c>
      <c r="U4737" s="2">
        <f>MASTER[[#This Row],[CANTIDAD]]*MASTER[[#This Row],[COSTO UNITARIO]]</f>
        <v>460</v>
      </c>
      <c r="V4737" s="2">
        <f>MASTER[[#This Row],[MONTO VENDIDO]]-MASTER[[#This Row],[COSTO DE VENTA]]</f>
        <v>481</v>
      </c>
    </row>
    <row r="4738" spans="1:22" x14ac:dyDescent="0.3">
      <c r="A4738">
        <v>69024</v>
      </c>
      <c r="B4738">
        <v>1</v>
      </c>
      <c r="C4738" t="s">
        <v>92</v>
      </c>
      <c r="D4738" t="s">
        <v>93</v>
      </c>
      <c r="E4738" s="1">
        <v>44356</v>
      </c>
      <c r="F4738">
        <v>1</v>
      </c>
      <c r="G4738" t="s">
        <v>39</v>
      </c>
      <c r="H4738" t="s">
        <v>40</v>
      </c>
      <c r="I4738" s="3">
        <v>1681</v>
      </c>
      <c r="J4738" s="3">
        <v>1546</v>
      </c>
      <c r="K4738" s="3">
        <v>396</v>
      </c>
      <c r="L4738" t="s">
        <v>9</v>
      </c>
      <c r="M4738">
        <v>14</v>
      </c>
      <c r="N4738" t="s">
        <v>87</v>
      </c>
      <c r="O4738" t="s">
        <v>81</v>
      </c>
      <c r="P4738" t="s">
        <v>18</v>
      </c>
      <c r="Q4738" t="s">
        <v>19</v>
      </c>
      <c r="R4738" t="s">
        <v>138</v>
      </c>
      <c r="S4738" t="s">
        <v>144</v>
      </c>
      <c r="T4738" s="2">
        <f>MASTER[[#This Row],[CANTIDAD]]*MASTER[[#This Row],[PRECIO DE VENTA]]</f>
        <v>1546</v>
      </c>
      <c r="U4738" s="2">
        <f>MASTER[[#This Row],[CANTIDAD]]*MASTER[[#This Row],[COSTO UNITARIO]]</f>
        <v>396</v>
      </c>
      <c r="V4738" s="2">
        <f>MASTER[[#This Row],[MONTO VENDIDO]]-MASTER[[#This Row],[COSTO DE VENTA]]</f>
        <v>1150</v>
      </c>
    </row>
    <row r="4739" spans="1:22" x14ac:dyDescent="0.3">
      <c r="A4739">
        <v>69030</v>
      </c>
      <c r="B4739">
        <v>1</v>
      </c>
      <c r="C4739" t="s">
        <v>118</v>
      </c>
      <c r="D4739" t="s">
        <v>119</v>
      </c>
      <c r="E4739" s="1">
        <v>44357</v>
      </c>
      <c r="F4739">
        <v>1</v>
      </c>
      <c r="G4739" t="s">
        <v>65</v>
      </c>
      <c r="H4739" t="s">
        <v>66</v>
      </c>
      <c r="I4739" s="3">
        <v>900</v>
      </c>
      <c r="J4739" s="3">
        <v>900</v>
      </c>
      <c r="K4739" s="3">
        <v>424</v>
      </c>
      <c r="L4739" t="s">
        <v>120</v>
      </c>
      <c r="M4739">
        <v>2</v>
      </c>
      <c r="N4739" t="s">
        <v>86</v>
      </c>
      <c r="O4739" t="s">
        <v>81</v>
      </c>
      <c r="P4739" t="s">
        <v>71</v>
      </c>
      <c r="Q4739" t="s">
        <v>72</v>
      </c>
      <c r="R4739" t="s">
        <v>139</v>
      </c>
      <c r="S4739" t="s">
        <v>144</v>
      </c>
      <c r="T4739" s="2">
        <f>MASTER[[#This Row],[CANTIDAD]]*MASTER[[#This Row],[PRECIO DE VENTA]]</f>
        <v>900</v>
      </c>
      <c r="U4739" s="2">
        <f>MASTER[[#This Row],[CANTIDAD]]*MASTER[[#This Row],[COSTO UNITARIO]]</f>
        <v>424</v>
      </c>
      <c r="V4739" s="2">
        <f>MASTER[[#This Row],[MONTO VENDIDO]]-MASTER[[#This Row],[COSTO DE VENTA]]</f>
        <v>476</v>
      </c>
    </row>
    <row r="4740" spans="1:22" x14ac:dyDescent="0.3">
      <c r="A4740">
        <v>69034</v>
      </c>
      <c r="B4740">
        <v>1</v>
      </c>
      <c r="C4740" t="s">
        <v>118</v>
      </c>
      <c r="D4740" t="s">
        <v>119</v>
      </c>
      <c r="E4740" s="1">
        <v>44357</v>
      </c>
      <c r="F4740">
        <v>1</v>
      </c>
      <c r="G4740" t="s">
        <v>49</v>
      </c>
      <c r="H4740" t="s">
        <v>50</v>
      </c>
      <c r="I4740" s="3">
        <v>900</v>
      </c>
      <c r="J4740" s="3">
        <v>900</v>
      </c>
      <c r="K4740" s="3">
        <v>424</v>
      </c>
      <c r="L4740" t="s">
        <v>120</v>
      </c>
      <c r="M4740">
        <v>15</v>
      </c>
      <c r="N4740" t="s">
        <v>88</v>
      </c>
      <c r="O4740" t="s">
        <v>81</v>
      </c>
      <c r="P4740" t="s">
        <v>18</v>
      </c>
      <c r="Q4740" t="s">
        <v>19</v>
      </c>
      <c r="R4740" t="s">
        <v>138</v>
      </c>
      <c r="S4740" t="s">
        <v>144</v>
      </c>
      <c r="T4740" s="2">
        <f>MASTER[[#This Row],[CANTIDAD]]*MASTER[[#This Row],[PRECIO DE VENTA]]</f>
        <v>900</v>
      </c>
      <c r="U4740" s="2">
        <f>MASTER[[#This Row],[CANTIDAD]]*MASTER[[#This Row],[COSTO UNITARIO]]</f>
        <v>424</v>
      </c>
      <c r="V4740" s="2">
        <f>MASTER[[#This Row],[MONTO VENDIDO]]-MASTER[[#This Row],[COSTO DE VENTA]]</f>
        <v>476</v>
      </c>
    </row>
    <row r="4741" spans="1:22" x14ac:dyDescent="0.3">
      <c r="A4741">
        <v>69107</v>
      </c>
      <c r="B4741">
        <v>1</v>
      </c>
      <c r="C4741" t="s">
        <v>118</v>
      </c>
      <c r="D4741" t="s">
        <v>119</v>
      </c>
      <c r="E4741" s="1">
        <v>44357</v>
      </c>
      <c r="F4741">
        <v>1</v>
      </c>
      <c r="G4741" t="s">
        <v>55</v>
      </c>
      <c r="H4741" t="s">
        <v>56</v>
      </c>
      <c r="I4741" s="3">
        <v>801</v>
      </c>
      <c r="J4741" s="3">
        <v>801</v>
      </c>
      <c r="K4741" s="3">
        <v>424</v>
      </c>
      <c r="L4741" t="s">
        <v>120</v>
      </c>
      <c r="M4741">
        <v>11</v>
      </c>
      <c r="N4741" t="s">
        <v>10</v>
      </c>
      <c r="O4741" t="s">
        <v>11</v>
      </c>
      <c r="P4741" t="s">
        <v>12</v>
      </c>
      <c r="Q4741" t="s">
        <v>13</v>
      </c>
      <c r="R4741" t="s">
        <v>13</v>
      </c>
      <c r="S4741" t="s">
        <v>144</v>
      </c>
      <c r="T4741" s="2">
        <f>MASTER[[#This Row],[CANTIDAD]]*MASTER[[#This Row],[PRECIO DE VENTA]]</f>
        <v>801</v>
      </c>
      <c r="U4741" s="2">
        <f>MASTER[[#This Row],[CANTIDAD]]*MASTER[[#This Row],[COSTO UNITARIO]]</f>
        <v>424</v>
      </c>
      <c r="V4741" s="2">
        <f>MASTER[[#This Row],[MONTO VENDIDO]]-MASTER[[#This Row],[COSTO DE VENTA]]</f>
        <v>377</v>
      </c>
    </row>
    <row r="4742" spans="1:22" x14ac:dyDescent="0.3">
      <c r="A4742">
        <v>69112</v>
      </c>
      <c r="B4742">
        <v>1</v>
      </c>
      <c r="C4742" t="s">
        <v>118</v>
      </c>
      <c r="D4742" t="s">
        <v>119</v>
      </c>
      <c r="E4742" s="1">
        <v>44357</v>
      </c>
      <c r="F4742">
        <v>1</v>
      </c>
      <c r="G4742" t="s">
        <v>39</v>
      </c>
      <c r="H4742" t="s">
        <v>40</v>
      </c>
      <c r="I4742" s="3">
        <v>801</v>
      </c>
      <c r="J4742" s="3">
        <v>801</v>
      </c>
      <c r="K4742" s="3">
        <v>424</v>
      </c>
      <c r="L4742" t="s">
        <v>120</v>
      </c>
      <c r="M4742">
        <v>16</v>
      </c>
      <c r="N4742" t="s">
        <v>17</v>
      </c>
      <c r="O4742" t="s">
        <v>11</v>
      </c>
      <c r="P4742" t="s">
        <v>18</v>
      </c>
      <c r="Q4742" t="s">
        <v>19</v>
      </c>
      <c r="R4742" t="s">
        <v>138</v>
      </c>
      <c r="S4742" t="s">
        <v>144</v>
      </c>
      <c r="T4742" s="2">
        <f>MASTER[[#This Row],[CANTIDAD]]*MASTER[[#This Row],[PRECIO DE VENTA]]</f>
        <v>801</v>
      </c>
      <c r="U4742" s="2">
        <f>MASTER[[#This Row],[CANTIDAD]]*MASTER[[#This Row],[COSTO UNITARIO]]</f>
        <v>424</v>
      </c>
      <c r="V4742" s="2">
        <f>MASTER[[#This Row],[MONTO VENDIDO]]-MASTER[[#This Row],[COSTO DE VENTA]]</f>
        <v>377</v>
      </c>
    </row>
    <row r="4743" spans="1:22" x14ac:dyDescent="0.3">
      <c r="A4743">
        <v>69118</v>
      </c>
      <c r="B4743">
        <v>1</v>
      </c>
      <c r="C4743" t="s">
        <v>92</v>
      </c>
      <c r="D4743" t="s">
        <v>93</v>
      </c>
      <c r="E4743" s="1">
        <v>44358</v>
      </c>
      <c r="F4743">
        <v>1</v>
      </c>
      <c r="G4743" t="s">
        <v>41</v>
      </c>
      <c r="H4743" t="s">
        <v>42</v>
      </c>
      <c r="I4743" s="3">
        <v>1866</v>
      </c>
      <c r="J4743" s="3">
        <v>1866</v>
      </c>
      <c r="K4743" s="3">
        <v>396</v>
      </c>
      <c r="L4743" t="s">
        <v>9</v>
      </c>
      <c r="M4743">
        <v>1</v>
      </c>
      <c r="N4743" t="s">
        <v>77</v>
      </c>
      <c r="O4743" t="s">
        <v>70</v>
      </c>
      <c r="P4743" t="s">
        <v>71</v>
      </c>
      <c r="Q4743" t="s">
        <v>72</v>
      </c>
      <c r="R4743" t="s">
        <v>139</v>
      </c>
      <c r="S4743" t="s">
        <v>144</v>
      </c>
      <c r="T4743" s="2">
        <f>MASTER[[#This Row],[CANTIDAD]]*MASTER[[#This Row],[PRECIO DE VENTA]]</f>
        <v>1866</v>
      </c>
      <c r="U4743" s="2">
        <f>MASTER[[#This Row],[CANTIDAD]]*MASTER[[#This Row],[COSTO UNITARIO]]</f>
        <v>396</v>
      </c>
      <c r="V4743" s="2">
        <f>MASTER[[#This Row],[MONTO VENDIDO]]-MASTER[[#This Row],[COSTO DE VENTA]]</f>
        <v>1470</v>
      </c>
    </row>
    <row r="4744" spans="1:22" x14ac:dyDescent="0.3">
      <c r="A4744">
        <v>69144</v>
      </c>
      <c r="B4744">
        <v>1</v>
      </c>
      <c r="C4744" t="s">
        <v>96</v>
      </c>
      <c r="D4744" t="s">
        <v>97</v>
      </c>
      <c r="E4744" s="1">
        <v>44358</v>
      </c>
      <c r="F4744">
        <v>1</v>
      </c>
      <c r="G4744" t="s">
        <v>45</v>
      </c>
      <c r="H4744" t="s">
        <v>46</v>
      </c>
      <c r="I4744" s="3">
        <v>1361</v>
      </c>
      <c r="J4744" s="3">
        <v>1361</v>
      </c>
      <c r="K4744" s="3">
        <v>397</v>
      </c>
      <c r="L4744" t="s">
        <v>98</v>
      </c>
      <c r="M4744">
        <v>3</v>
      </c>
      <c r="N4744" t="s">
        <v>69</v>
      </c>
      <c r="O4744" t="s">
        <v>70</v>
      </c>
      <c r="P4744" t="s">
        <v>71</v>
      </c>
      <c r="Q4744" t="s">
        <v>72</v>
      </c>
      <c r="R4744" t="s">
        <v>139</v>
      </c>
      <c r="S4744" t="s">
        <v>144</v>
      </c>
      <c r="T4744" s="2">
        <f>MASTER[[#This Row],[CANTIDAD]]*MASTER[[#This Row],[PRECIO DE VENTA]]</f>
        <v>1361</v>
      </c>
      <c r="U4744" s="2">
        <f>MASTER[[#This Row],[CANTIDAD]]*MASTER[[#This Row],[COSTO UNITARIO]]</f>
        <v>397</v>
      </c>
      <c r="V4744" s="2">
        <f>MASTER[[#This Row],[MONTO VENDIDO]]-MASTER[[#This Row],[COSTO DE VENTA]]</f>
        <v>964</v>
      </c>
    </row>
    <row r="4745" spans="1:22" x14ac:dyDescent="0.3">
      <c r="A4745">
        <v>69158</v>
      </c>
      <c r="B4745">
        <v>1</v>
      </c>
      <c r="C4745" t="s">
        <v>116</v>
      </c>
      <c r="D4745" t="s">
        <v>117</v>
      </c>
      <c r="E4745" s="1">
        <v>44358</v>
      </c>
      <c r="F4745">
        <v>1</v>
      </c>
      <c r="G4745" t="s">
        <v>57</v>
      </c>
      <c r="H4745" t="s">
        <v>58</v>
      </c>
      <c r="I4745" s="3">
        <v>1738</v>
      </c>
      <c r="J4745" s="3">
        <v>1651</v>
      </c>
      <c r="K4745" s="3">
        <v>388</v>
      </c>
      <c r="L4745" t="s">
        <v>113</v>
      </c>
      <c r="M4745">
        <v>2</v>
      </c>
      <c r="N4745" t="s">
        <v>86</v>
      </c>
      <c r="O4745" t="s">
        <v>81</v>
      </c>
      <c r="P4745" t="s">
        <v>71</v>
      </c>
      <c r="Q4745" t="s">
        <v>72</v>
      </c>
      <c r="R4745" t="s">
        <v>139</v>
      </c>
      <c r="S4745" t="s">
        <v>144</v>
      </c>
      <c r="T4745" s="2">
        <f>MASTER[[#This Row],[CANTIDAD]]*MASTER[[#This Row],[PRECIO DE VENTA]]</f>
        <v>1651</v>
      </c>
      <c r="U4745" s="2">
        <f>MASTER[[#This Row],[CANTIDAD]]*MASTER[[#This Row],[COSTO UNITARIO]]</f>
        <v>388</v>
      </c>
      <c r="V4745" s="2">
        <f>MASTER[[#This Row],[MONTO VENDIDO]]-MASTER[[#This Row],[COSTO DE VENTA]]</f>
        <v>1263</v>
      </c>
    </row>
    <row r="4746" spans="1:22" x14ac:dyDescent="0.3">
      <c r="A4746">
        <v>69164</v>
      </c>
      <c r="B4746">
        <v>1</v>
      </c>
      <c r="C4746" t="s">
        <v>109</v>
      </c>
      <c r="D4746" t="s">
        <v>110</v>
      </c>
      <c r="E4746" s="1">
        <v>44358</v>
      </c>
      <c r="F4746">
        <v>1</v>
      </c>
      <c r="G4746" t="s">
        <v>65</v>
      </c>
      <c r="H4746" t="s">
        <v>66</v>
      </c>
      <c r="I4746" s="3">
        <v>1064</v>
      </c>
      <c r="J4746" s="3">
        <v>1064</v>
      </c>
      <c r="K4746" s="3">
        <v>387</v>
      </c>
      <c r="L4746" t="s">
        <v>98</v>
      </c>
      <c r="M4746">
        <v>14</v>
      </c>
      <c r="N4746" t="s">
        <v>87</v>
      </c>
      <c r="O4746" t="s">
        <v>81</v>
      </c>
      <c r="P4746" t="s">
        <v>18</v>
      </c>
      <c r="Q4746" t="s">
        <v>19</v>
      </c>
      <c r="R4746" t="s">
        <v>138</v>
      </c>
      <c r="S4746" t="s">
        <v>144</v>
      </c>
      <c r="T4746" s="2">
        <f>MASTER[[#This Row],[CANTIDAD]]*MASTER[[#This Row],[PRECIO DE VENTA]]</f>
        <v>1064</v>
      </c>
      <c r="U4746" s="2">
        <f>MASTER[[#This Row],[CANTIDAD]]*MASTER[[#This Row],[COSTO UNITARIO]]</f>
        <v>387</v>
      </c>
      <c r="V4746" s="2">
        <f>MASTER[[#This Row],[MONTO VENDIDO]]-MASTER[[#This Row],[COSTO DE VENTA]]</f>
        <v>677</v>
      </c>
    </row>
    <row r="4747" spans="1:22" x14ac:dyDescent="0.3">
      <c r="A4747">
        <v>69167</v>
      </c>
      <c r="B4747">
        <v>1</v>
      </c>
      <c r="C4747" t="s">
        <v>99</v>
      </c>
      <c r="D4747" t="s">
        <v>100</v>
      </c>
      <c r="E4747" s="1">
        <v>44358</v>
      </c>
      <c r="F4747">
        <v>1</v>
      </c>
      <c r="G4747" t="s">
        <v>45</v>
      </c>
      <c r="H4747" t="s">
        <v>46</v>
      </c>
      <c r="I4747" s="3">
        <v>1459</v>
      </c>
      <c r="J4747" s="3">
        <v>1459</v>
      </c>
      <c r="K4747" s="3">
        <v>386</v>
      </c>
      <c r="L4747" t="s">
        <v>98</v>
      </c>
      <c r="M4747">
        <v>7</v>
      </c>
      <c r="N4747" t="s">
        <v>84</v>
      </c>
      <c r="O4747" t="s">
        <v>81</v>
      </c>
      <c r="P4747" t="s">
        <v>12</v>
      </c>
      <c r="Q4747" t="s">
        <v>13</v>
      </c>
      <c r="R4747" t="s">
        <v>13</v>
      </c>
      <c r="S4747" t="s">
        <v>144</v>
      </c>
      <c r="T4747" s="2">
        <f>MASTER[[#This Row],[CANTIDAD]]*MASTER[[#This Row],[PRECIO DE VENTA]]</f>
        <v>1459</v>
      </c>
      <c r="U4747" s="2">
        <f>MASTER[[#This Row],[CANTIDAD]]*MASTER[[#This Row],[COSTO UNITARIO]]</f>
        <v>386</v>
      </c>
      <c r="V4747" s="2">
        <f>MASTER[[#This Row],[MONTO VENDIDO]]-MASTER[[#This Row],[COSTO DE VENTA]]</f>
        <v>1073</v>
      </c>
    </row>
    <row r="4748" spans="1:22" x14ac:dyDescent="0.3">
      <c r="A4748">
        <v>69172</v>
      </c>
      <c r="B4748">
        <v>1</v>
      </c>
      <c r="C4748" t="s">
        <v>5</v>
      </c>
      <c r="D4748" t="s">
        <v>6</v>
      </c>
      <c r="E4748" s="1">
        <v>44358</v>
      </c>
      <c r="F4748">
        <v>1</v>
      </c>
      <c r="G4748" t="s">
        <v>53</v>
      </c>
      <c r="H4748" t="s">
        <v>54</v>
      </c>
      <c r="I4748" s="3">
        <v>1507</v>
      </c>
      <c r="J4748" s="3">
        <v>1446</v>
      </c>
      <c r="K4748" s="3">
        <v>393</v>
      </c>
      <c r="L4748" t="s">
        <v>9</v>
      </c>
      <c r="M4748">
        <v>7</v>
      </c>
      <c r="N4748" t="s">
        <v>84</v>
      </c>
      <c r="O4748" t="s">
        <v>81</v>
      </c>
      <c r="P4748" t="s">
        <v>12</v>
      </c>
      <c r="Q4748" t="s">
        <v>13</v>
      </c>
      <c r="R4748" t="s">
        <v>13</v>
      </c>
      <c r="S4748" t="s">
        <v>144</v>
      </c>
      <c r="T4748" s="2">
        <f>MASTER[[#This Row],[CANTIDAD]]*MASTER[[#This Row],[PRECIO DE VENTA]]</f>
        <v>1446</v>
      </c>
      <c r="U4748" s="2">
        <f>MASTER[[#This Row],[CANTIDAD]]*MASTER[[#This Row],[COSTO UNITARIO]]</f>
        <v>393</v>
      </c>
      <c r="V4748" s="2">
        <f>MASTER[[#This Row],[MONTO VENDIDO]]-MASTER[[#This Row],[COSTO DE VENTA]]</f>
        <v>1053</v>
      </c>
    </row>
    <row r="4749" spans="1:22" x14ac:dyDescent="0.3">
      <c r="A4749">
        <v>69174</v>
      </c>
      <c r="B4749">
        <v>1</v>
      </c>
      <c r="C4749" t="s">
        <v>99</v>
      </c>
      <c r="D4749" t="s">
        <v>100</v>
      </c>
      <c r="E4749" s="1">
        <v>44358</v>
      </c>
      <c r="F4749">
        <v>1</v>
      </c>
      <c r="G4749" t="s">
        <v>39</v>
      </c>
      <c r="H4749" t="s">
        <v>40</v>
      </c>
      <c r="I4749" s="3">
        <v>1459</v>
      </c>
      <c r="J4749" s="3">
        <v>1459</v>
      </c>
      <c r="K4749" s="3">
        <v>386</v>
      </c>
      <c r="L4749" t="s">
        <v>98</v>
      </c>
      <c r="M4749">
        <v>7</v>
      </c>
      <c r="N4749" t="s">
        <v>84</v>
      </c>
      <c r="O4749" t="s">
        <v>81</v>
      </c>
      <c r="P4749" t="s">
        <v>12</v>
      </c>
      <c r="Q4749" t="s">
        <v>13</v>
      </c>
      <c r="R4749" t="s">
        <v>13</v>
      </c>
      <c r="S4749" t="s">
        <v>144</v>
      </c>
      <c r="T4749" s="2">
        <f>MASTER[[#This Row],[CANTIDAD]]*MASTER[[#This Row],[PRECIO DE VENTA]]</f>
        <v>1459</v>
      </c>
      <c r="U4749" s="2">
        <f>MASTER[[#This Row],[CANTIDAD]]*MASTER[[#This Row],[COSTO UNITARIO]]</f>
        <v>386</v>
      </c>
      <c r="V4749" s="2">
        <f>MASTER[[#This Row],[MONTO VENDIDO]]-MASTER[[#This Row],[COSTO DE VENTA]]</f>
        <v>1073</v>
      </c>
    </row>
    <row r="4750" spans="1:22" x14ac:dyDescent="0.3">
      <c r="A4750">
        <v>69183</v>
      </c>
      <c r="B4750">
        <v>1</v>
      </c>
      <c r="C4750" t="s">
        <v>107</v>
      </c>
      <c r="D4750" t="s">
        <v>108</v>
      </c>
      <c r="E4750" s="1">
        <v>44358</v>
      </c>
      <c r="F4750">
        <v>1</v>
      </c>
      <c r="G4750" t="s">
        <v>61</v>
      </c>
      <c r="H4750" t="s">
        <v>62</v>
      </c>
      <c r="I4750" s="3">
        <v>1333</v>
      </c>
      <c r="J4750" s="3">
        <v>1333</v>
      </c>
      <c r="K4750" s="3">
        <v>380</v>
      </c>
      <c r="L4750" t="s">
        <v>98</v>
      </c>
      <c r="M4750">
        <v>8</v>
      </c>
      <c r="N4750" t="s">
        <v>80</v>
      </c>
      <c r="O4750" t="s">
        <v>81</v>
      </c>
      <c r="P4750" t="s">
        <v>12</v>
      </c>
      <c r="Q4750" t="s">
        <v>13</v>
      </c>
      <c r="R4750" t="s">
        <v>13</v>
      </c>
      <c r="S4750" t="s">
        <v>144</v>
      </c>
      <c r="T4750" s="2">
        <f>MASTER[[#This Row],[CANTIDAD]]*MASTER[[#This Row],[PRECIO DE VENTA]]</f>
        <v>1333</v>
      </c>
      <c r="U4750" s="2">
        <f>MASTER[[#This Row],[CANTIDAD]]*MASTER[[#This Row],[COSTO UNITARIO]]</f>
        <v>380</v>
      </c>
      <c r="V4750" s="2">
        <f>MASTER[[#This Row],[MONTO VENDIDO]]-MASTER[[#This Row],[COSTO DE VENTA]]</f>
        <v>953</v>
      </c>
    </row>
    <row r="4751" spans="1:22" x14ac:dyDescent="0.3">
      <c r="A4751">
        <v>69188</v>
      </c>
      <c r="B4751">
        <v>1</v>
      </c>
      <c r="C4751" t="s">
        <v>92</v>
      </c>
      <c r="D4751" t="s">
        <v>93</v>
      </c>
      <c r="E4751" s="1">
        <v>44358</v>
      </c>
      <c r="F4751">
        <v>1</v>
      </c>
      <c r="G4751" t="s">
        <v>61</v>
      </c>
      <c r="H4751" t="s">
        <v>62</v>
      </c>
      <c r="I4751" s="3">
        <v>1479</v>
      </c>
      <c r="J4751" s="3">
        <v>1479</v>
      </c>
      <c r="K4751" s="3">
        <v>396</v>
      </c>
      <c r="L4751" t="s">
        <v>9</v>
      </c>
      <c r="M4751">
        <v>11</v>
      </c>
      <c r="N4751" t="s">
        <v>10</v>
      </c>
      <c r="O4751" t="s">
        <v>11</v>
      </c>
      <c r="P4751" t="s">
        <v>12</v>
      </c>
      <c r="Q4751" t="s">
        <v>13</v>
      </c>
      <c r="R4751" t="s">
        <v>13</v>
      </c>
      <c r="S4751" t="s">
        <v>144</v>
      </c>
      <c r="T4751" s="2">
        <f>MASTER[[#This Row],[CANTIDAD]]*MASTER[[#This Row],[PRECIO DE VENTA]]</f>
        <v>1479</v>
      </c>
      <c r="U4751" s="2">
        <f>MASTER[[#This Row],[CANTIDAD]]*MASTER[[#This Row],[COSTO UNITARIO]]</f>
        <v>396</v>
      </c>
      <c r="V4751" s="2">
        <f>MASTER[[#This Row],[MONTO VENDIDO]]-MASTER[[#This Row],[COSTO DE VENTA]]</f>
        <v>1083</v>
      </c>
    </row>
    <row r="4752" spans="1:22" x14ac:dyDescent="0.3">
      <c r="A4752">
        <v>69199</v>
      </c>
      <c r="B4752">
        <v>1</v>
      </c>
      <c r="C4752" t="s">
        <v>121</v>
      </c>
      <c r="D4752" t="s">
        <v>122</v>
      </c>
      <c r="E4752" s="1">
        <v>44359</v>
      </c>
      <c r="F4752">
        <v>1</v>
      </c>
      <c r="G4752" t="s">
        <v>57</v>
      </c>
      <c r="H4752" t="s">
        <v>58</v>
      </c>
      <c r="I4752" s="3">
        <v>1069</v>
      </c>
      <c r="J4752" s="3">
        <v>1069</v>
      </c>
      <c r="K4752" s="3">
        <v>460</v>
      </c>
      <c r="L4752" t="s">
        <v>120</v>
      </c>
      <c r="M4752">
        <v>7</v>
      </c>
      <c r="N4752" t="s">
        <v>84</v>
      </c>
      <c r="O4752" t="s">
        <v>81</v>
      </c>
      <c r="P4752" t="s">
        <v>12</v>
      </c>
      <c r="Q4752" t="s">
        <v>13</v>
      </c>
      <c r="R4752" t="s">
        <v>13</v>
      </c>
      <c r="S4752" t="s">
        <v>144</v>
      </c>
      <c r="T4752" s="2">
        <f>MASTER[[#This Row],[CANTIDAD]]*MASTER[[#This Row],[PRECIO DE VENTA]]</f>
        <v>1069</v>
      </c>
      <c r="U4752" s="2">
        <f>MASTER[[#This Row],[CANTIDAD]]*MASTER[[#This Row],[COSTO UNITARIO]]</f>
        <v>460</v>
      </c>
      <c r="V4752" s="2">
        <f>MASTER[[#This Row],[MONTO VENDIDO]]-MASTER[[#This Row],[COSTO DE VENTA]]</f>
        <v>609</v>
      </c>
    </row>
    <row r="4753" spans="1:22" x14ac:dyDescent="0.3">
      <c r="A4753">
        <v>69215</v>
      </c>
      <c r="B4753">
        <v>1</v>
      </c>
      <c r="C4753" t="s">
        <v>5</v>
      </c>
      <c r="D4753" t="s">
        <v>6</v>
      </c>
      <c r="E4753" s="1">
        <v>44359</v>
      </c>
      <c r="F4753">
        <v>1</v>
      </c>
      <c r="G4753" t="s">
        <v>39</v>
      </c>
      <c r="H4753" t="s">
        <v>40</v>
      </c>
      <c r="I4753" s="3">
        <v>1296</v>
      </c>
      <c r="J4753" s="3">
        <v>1296</v>
      </c>
      <c r="K4753" s="3">
        <v>393</v>
      </c>
      <c r="L4753" t="s">
        <v>9</v>
      </c>
      <c r="M4753">
        <v>13</v>
      </c>
      <c r="N4753" t="s">
        <v>78</v>
      </c>
      <c r="O4753" t="s">
        <v>70</v>
      </c>
      <c r="P4753" t="s">
        <v>18</v>
      </c>
      <c r="Q4753" t="s">
        <v>19</v>
      </c>
      <c r="R4753" t="s">
        <v>138</v>
      </c>
      <c r="S4753" t="s">
        <v>144</v>
      </c>
      <c r="T4753" s="2">
        <f>MASTER[[#This Row],[CANTIDAD]]*MASTER[[#This Row],[PRECIO DE VENTA]]</f>
        <v>1296</v>
      </c>
      <c r="U4753" s="2">
        <f>MASTER[[#This Row],[CANTIDAD]]*MASTER[[#This Row],[COSTO UNITARIO]]</f>
        <v>393</v>
      </c>
      <c r="V4753" s="2">
        <f>MASTER[[#This Row],[MONTO VENDIDO]]-MASTER[[#This Row],[COSTO DE VENTA]]</f>
        <v>903</v>
      </c>
    </row>
    <row r="4754" spans="1:22" x14ac:dyDescent="0.3">
      <c r="A4754">
        <v>69217</v>
      </c>
      <c r="B4754">
        <v>1</v>
      </c>
      <c r="C4754" t="s">
        <v>94</v>
      </c>
      <c r="D4754" t="s">
        <v>95</v>
      </c>
      <c r="E4754" s="1">
        <v>44359</v>
      </c>
      <c r="F4754">
        <v>1</v>
      </c>
      <c r="G4754" t="s">
        <v>43</v>
      </c>
      <c r="H4754" t="s">
        <v>44</v>
      </c>
      <c r="I4754" s="3">
        <v>901</v>
      </c>
      <c r="J4754" s="3">
        <v>901</v>
      </c>
      <c r="K4754" s="3">
        <v>392</v>
      </c>
      <c r="L4754" t="s">
        <v>9</v>
      </c>
      <c r="M4754">
        <v>11</v>
      </c>
      <c r="N4754" t="s">
        <v>10</v>
      </c>
      <c r="O4754" t="s">
        <v>11</v>
      </c>
      <c r="P4754" t="s">
        <v>12</v>
      </c>
      <c r="Q4754" t="s">
        <v>13</v>
      </c>
      <c r="R4754" t="s">
        <v>13</v>
      </c>
      <c r="S4754" t="s">
        <v>144</v>
      </c>
      <c r="T4754" s="2">
        <f>MASTER[[#This Row],[CANTIDAD]]*MASTER[[#This Row],[PRECIO DE VENTA]]</f>
        <v>901</v>
      </c>
      <c r="U4754" s="2">
        <f>MASTER[[#This Row],[CANTIDAD]]*MASTER[[#This Row],[COSTO UNITARIO]]</f>
        <v>392</v>
      </c>
      <c r="V4754" s="2">
        <f>MASTER[[#This Row],[MONTO VENDIDO]]-MASTER[[#This Row],[COSTO DE VENTA]]</f>
        <v>509</v>
      </c>
    </row>
    <row r="4755" spans="1:22" x14ac:dyDescent="0.3">
      <c r="A4755">
        <v>69232</v>
      </c>
      <c r="B4755">
        <v>1</v>
      </c>
      <c r="C4755" t="s">
        <v>121</v>
      </c>
      <c r="D4755" t="s">
        <v>122</v>
      </c>
      <c r="E4755" s="1">
        <v>44359</v>
      </c>
      <c r="F4755">
        <v>1</v>
      </c>
      <c r="G4755" t="s">
        <v>53</v>
      </c>
      <c r="H4755" t="s">
        <v>54</v>
      </c>
      <c r="I4755" s="3">
        <v>1144</v>
      </c>
      <c r="J4755" s="3">
        <v>1144</v>
      </c>
      <c r="K4755" s="3">
        <v>460</v>
      </c>
      <c r="L4755" t="s">
        <v>120</v>
      </c>
      <c r="M4755">
        <v>6</v>
      </c>
      <c r="N4755" t="s">
        <v>75</v>
      </c>
      <c r="O4755" t="s">
        <v>70</v>
      </c>
      <c r="P4755" t="s">
        <v>12</v>
      </c>
      <c r="Q4755" t="s">
        <v>13</v>
      </c>
      <c r="R4755" t="s">
        <v>13</v>
      </c>
      <c r="S4755" t="s">
        <v>144</v>
      </c>
      <c r="T4755" s="2">
        <f>MASTER[[#This Row],[CANTIDAD]]*MASTER[[#This Row],[PRECIO DE VENTA]]</f>
        <v>1144</v>
      </c>
      <c r="U4755" s="2">
        <f>MASTER[[#This Row],[CANTIDAD]]*MASTER[[#This Row],[COSTO UNITARIO]]</f>
        <v>460</v>
      </c>
      <c r="V4755" s="2">
        <f>MASTER[[#This Row],[MONTO VENDIDO]]-MASTER[[#This Row],[COSTO DE VENTA]]</f>
        <v>684</v>
      </c>
    </row>
    <row r="4756" spans="1:22" x14ac:dyDescent="0.3">
      <c r="A4756">
        <v>69246</v>
      </c>
      <c r="B4756">
        <v>1</v>
      </c>
      <c r="C4756" t="s">
        <v>107</v>
      </c>
      <c r="D4756" t="s">
        <v>108</v>
      </c>
      <c r="E4756" s="1">
        <v>44359</v>
      </c>
      <c r="F4756">
        <v>1</v>
      </c>
      <c r="G4756" t="s">
        <v>73</v>
      </c>
      <c r="H4756" t="s">
        <v>74</v>
      </c>
      <c r="I4756" s="3">
        <v>1240</v>
      </c>
      <c r="J4756" s="3">
        <v>1240</v>
      </c>
      <c r="K4756" s="3">
        <v>380</v>
      </c>
      <c r="L4756" t="s">
        <v>98</v>
      </c>
      <c r="M4756">
        <v>17</v>
      </c>
      <c r="N4756" t="s">
        <v>14</v>
      </c>
      <c r="O4756" t="s">
        <v>11</v>
      </c>
      <c r="P4756" t="s">
        <v>15</v>
      </c>
      <c r="Q4756" t="s">
        <v>16</v>
      </c>
      <c r="R4756" t="s">
        <v>16</v>
      </c>
      <c r="S4756" t="s">
        <v>144</v>
      </c>
      <c r="T4756" s="2">
        <f>MASTER[[#This Row],[CANTIDAD]]*MASTER[[#This Row],[PRECIO DE VENTA]]</f>
        <v>1240</v>
      </c>
      <c r="U4756" s="2">
        <f>MASTER[[#This Row],[CANTIDAD]]*MASTER[[#This Row],[COSTO UNITARIO]]</f>
        <v>380</v>
      </c>
      <c r="V4756" s="2">
        <f>MASTER[[#This Row],[MONTO VENDIDO]]-MASTER[[#This Row],[COSTO DE VENTA]]</f>
        <v>860</v>
      </c>
    </row>
    <row r="4757" spans="1:22" x14ac:dyDescent="0.3">
      <c r="A4757">
        <v>69248</v>
      </c>
      <c r="B4757">
        <v>1</v>
      </c>
      <c r="C4757" t="s">
        <v>121</v>
      </c>
      <c r="D4757" t="s">
        <v>122</v>
      </c>
      <c r="E4757" s="1">
        <v>44359</v>
      </c>
      <c r="F4757">
        <v>1</v>
      </c>
      <c r="G4757" t="s">
        <v>37</v>
      </c>
      <c r="H4757" t="s">
        <v>38</v>
      </c>
      <c r="I4757" s="3">
        <v>1069</v>
      </c>
      <c r="J4757" s="3">
        <v>1069</v>
      </c>
      <c r="K4757" s="3">
        <v>460</v>
      </c>
      <c r="L4757" t="s">
        <v>120</v>
      </c>
      <c r="M4757">
        <v>14</v>
      </c>
      <c r="N4757" t="s">
        <v>87</v>
      </c>
      <c r="O4757" t="s">
        <v>81</v>
      </c>
      <c r="P4757" t="s">
        <v>18</v>
      </c>
      <c r="Q4757" t="s">
        <v>19</v>
      </c>
      <c r="R4757" t="s">
        <v>138</v>
      </c>
      <c r="S4757" t="s">
        <v>144</v>
      </c>
      <c r="T4757" s="2">
        <f>MASTER[[#This Row],[CANTIDAD]]*MASTER[[#This Row],[PRECIO DE VENTA]]</f>
        <v>1069</v>
      </c>
      <c r="U4757" s="2">
        <f>MASTER[[#This Row],[CANTIDAD]]*MASTER[[#This Row],[COSTO UNITARIO]]</f>
        <v>460</v>
      </c>
      <c r="V4757" s="2">
        <f>MASTER[[#This Row],[MONTO VENDIDO]]-MASTER[[#This Row],[COSTO DE VENTA]]</f>
        <v>609</v>
      </c>
    </row>
    <row r="4758" spans="1:22" x14ac:dyDescent="0.3">
      <c r="A4758">
        <v>69251</v>
      </c>
      <c r="B4758">
        <v>1</v>
      </c>
      <c r="C4758" t="s">
        <v>121</v>
      </c>
      <c r="D4758" t="s">
        <v>122</v>
      </c>
      <c r="E4758" s="1">
        <v>44359</v>
      </c>
      <c r="F4758">
        <v>1</v>
      </c>
      <c r="G4758" t="s">
        <v>20</v>
      </c>
      <c r="H4758" t="s">
        <v>21</v>
      </c>
      <c r="I4758" s="3">
        <v>1144</v>
      </c>
      <c r="J4758" s="3">
        <v>1144</v>
      </c>
      <c r="K4758" s="3">
        <v>460</v>
      </c>
      <c r="L4758" t="s">
        <v>120</v>
      </c>
      <c r="M4758">
        <v>9</v>
      </c>
      <c r="N4758" t="s">
        <v>76</v>
      </c>
      <c r="O4758" t="s">
        <v>70</v>
      </c>
      <c r="P4758" t="s">
        <v>12</v>
      </c>
      <c r="Q4758" t="s">
        <v>13</v>
      </c>
      <c r="R4758" t="s">
        <v>13</v>
      </c>
      <c r="S4758" t="s">
        <v>144</v>
      </c>
      <c r="T4758" s="2">
        <f>MASTER[[#This Row],[CANTIDAD]]*MASTER[[#This Row],[PRECIO DE VENTA]]</f>
        <v>1144</v>
      </c>
      <c r="U4758" s="2">
        <f>MASTER[[#This Row],[CANTIDAD]]*MASTER[[#This Row],[COSTO UNITARIO]]</f>
        <v>460</v>
      </c>
      <c r="V4758" s="2">
        <f>MASTER[[#This Row],[MONTO VENDIDO]]-MASTER[[#This Row],[COSTO DE VENTA]]</f>
        <v>684</v>
      </c>
    </row>
    <row r="4759" spans="1:22" x14ac:dyDescent="0.3">
      <c r="A4759">
        <v>69258</v>
      </c>
      <c r="B4759">
        <v>1</v>
      </c>
      <c r="C4759" t="s">
        <v>92</v>
      </c>
      <c r="D4759" t="s">
        <v>93</v>
      </c>
      <c r="E4759" s="1">
        <v>44359</v>
      </c>
      <c r="F4759">
        <v>1</v>
      </c>
      <c r="G4759" t="s">
        <v>47</v>
      </c>
      <c r="H4759" t="s">
        <v>48</v>
      </c>
      <c r="I4759" s="3">
        <v>1866</v>
      </c>
      <c r="J4759" s="3">
        <v>1866</v>
      </c>
      <c r="K4759" s="3">
        <v>396</v>
      </c>
      <c r="L4759" t="s">
        <v>9</v>
      </c>
      <c r="M4759">
        <v>1</v>
      </c>
      <c r="N4759" t="s">
        <v>77</v>
      </c>
      <c r="O4759" t="s">
        <v>70</v>
      </c>
      <c r="P4759" t="s">
        <v>71</v>
      </c>
      <c r="Q4759" t="s">
        <v>72</v>
      </c>
      <c r="R4759" t="s">
        <v>139</v>
      </c>
      <c r="S4759" t="s">
        <v>144</v>
      </c>
      <c r="T4759" s="2">
        <f>MASTER[[#This Row],[CANTIDAD]]*MASTER[[#This Row],[PRECIO DE VENTA]]</f>
        <v>1866</v>
      </c>
      <c r="U4759" s="2">
        <f>MASTER[[#This Row],[CANTIDAD]]*MASTER[[#This Row],[COSTO UNITARIO]]</f>
        <v>396</v>
      </c>
      <c r="V4759" s="2">
        <f>MASTER[[#This Row],[MONTO VENDIDO]]-MASTER[[#This Row],[COSTO DE VENTA]]</f>
        <v>1470</v>
      </c>
    </row>
    <row r="4760" spans="1:22" x14ac:dyDescent="0.3">
      <c r="A4760">
        <v>69266</v>
      </c>
      <c r="B4760">
        <v>1</v>
      </c>
      <c r="C4760" t="s">
        <v>111</v>
      </c>
      <c r="D4760" t="s">
        <v>112</v>
      </c>
      <c r="E4760" s="1">
        <v>44359</v>
      </c>
      <c r="F4760">
        <v>1</v>
      </c>
      <c r="G4760" t="s">
        <v>67</v>
      </c>
      <c r="H4760" t="s">
        <v>68</v>
      </c>
      <c r="I4760" s="3">
        <v>1799</v>
      </c>
      <c r="J4760" s="3">
        <v>1799</v>
      </c>
      <c r="K4760" s="3">
        <v>434</v>
      </c>
      <c r="L4760" t="s">
        <v>113</v>
      </c>
      <c r="M4760">
        <v>18</v>
      </c>
      <c r="N4760" t="s">
        <v>79</v>
      </c>
      <c r="O4760" t="s">
        <v>70</v>
      </c>
      <c r="P4760" t="s">
        <v>15</v>
      </c>
      <c r="Q4760" t="s">
        <v>16</v>
      </c>
      <c r="R4760" t="s">
        <v>16</v>
      </c>
      <c r="S4760" t="s">
        <v>144</v>
      </c>
      <c r="T4760" s="2">
        <f>MASTER[[#This Row],[CANTIDAD]]*MASTER[[#This Row],[PRECIO DE VENTA]]</f>
        <v>1799</v>
      </c>
      <c r="U4760" s="2">
        <f>MASTER[[#This Row],[CANTIDAD]]*MASTER[[#This Row],[COSTO UNITARIO]]</f>
        <v>434</v>
      </c>
      <c r="V4760" s="2">
        <f>MASTER[[#This Row],[MONTO VENDIDO]]-MASTER[[#This Row],[COSTO DE VENTA]]</f>
        <v>1365</v>
      </c>
    </row>
    <row r="4761" spans="1:22" x14ac:dyDescent="0.3">
      <c r="A4761">
        <v>69288</v>
      </c>
      <c r="B4761">
        <v>1</v>
      </c>
      <c r="C4761" t="s">
        <v>118</v>
      </c>
      <c r="D4761" t="s">
        <v>119</v>
      </c>
      <c r="E4761" s="1">
        <v>44359</v>
      </c>
      <c r="F4761">
        <v>1</v>
      </c>
      <c r="G4761" t="s">
        <v>57</v>
      </c>
      <c r="H4761" t="s">
        <v>58</v>
      </c>
      <c r="I4761" s="3">
        <v>900</v>
      </c>
      <c r="J4761" s="3">
        <v>900</v>
      </c>
      <c r="K4761" s="3">
        <v>424</v>
      </c>
      <c r="L4761" t="s">
        <v>120</v>
      </c>
      <c r="M4761">
        <v>19</v>
      </c>
      <c r="N4761" t="s">
        <v>89</v>
      </c>
      <c r="O4761" t="s">
        <v>81</v>
      </c>
      <c r="P4761" t="s">
        <v>15</v>
      </c>
      <c r="Q4761" t="s">
        <v>16</v>
      </c>
      <c r="R4761" t="s">
        <v>16</v>
      </c>
      <c r="S4761" t="s">
        <v>144</v>
      </c>
      <c r="T4761" s="2">
        <f>MASTER[[#This Row],[CANTIDAD]]*MASTER[[#This Row],[PRECIO DE VENTA]]</f>
        <v>900</v>
      </c>
      <c r="U4761" s="2">
        <f>MASTER[[#This Row],[CANTIDAD]]*MASTER[[#This Row],[COSTO UNITARIO]]</f>
        <v>424</v>
      </c>
      <c r="V4761" s="2">
        <f>MASTER[[#This Row],[MONTO VENDIDO]]-MASTER[[#This Row],[COSTO DE VENTA]]</f>
        <v>476</v>
      </c>
    </row>
    <row r="4762" spans="1:22" x14ac:dyDescent="0.3">
      <c r="A4762">
        <v>69307</v>
      </c>
      <c r="B4762">
        <v>1</v>
      </c>
      <c r="C4762" t="s">
        <v>118</v>
      </c>
      <c r="D4762" t="s">
        <v>119</v>
      </c>
      <c r="E4762" s="1">
        <v>44359</v>
      </c>
      <c r="F4762">
        <v>1</v>
      </c>
      <c r="G4762" t="s">
        <v>55</v>
      </c>
      <c r="H4762" t="s">
        <v>56</v>
      </c>
      <c r="I4762" s="3">
        <v>900</v>
      </c>
      <c r="J4762" s="3">
        <v>900</v>
      </c>
      <c r="K4762" s="3">
        <v>424</v>
      </c>
      <c r="L4762" t="s">
        <v>120</v>
      </c>
      <c r="M4762">
        <v>2</v>
      </c>
      <c r="N4762" t="s">
        <v>86</v>
      </c>
      <c r="O4762" t="s">
        <v>81</v>
      </c>
      <c r="P4762" t="s">
        <v>71</v>
      </c>
      <c r="Q4762" t="s">
        <v>72</v>
      </c>
      <c r="R4762" t="s">
        <v>139</v>
      </c>
      <c r="S4762" t="s">
        <v>144</v>
      </c>
      <c r="T4762" s="2">
        <f>MASTER[[#This Row],[CANTIDAD]]*MASTER[[#This Row],[PRECIO DE VENTA]]</f>
        <v>900</v>
      </c>
      <c r="U4762" s="2">
        <f>MASTER[[#This Row],[CANTIDAD]]*MASTER[[#This Row],[COSTO UNITARIO]]</f>
        <v>424</v>
      </c>
      <c r="V4762" s="2">
        <f>MASTER[[#This Row],[MONTO VENDIDO]]-MASTER[[#This Row],[COSTO DE VENTA]]</f>
        <v>476</v>
      </c>
    </row>
    <row r="4763" spans="1:22" x14ac:dyDescent="0.3">
      <c r="A4763">
        <v>69316</v>
      </c>
      <c r="B4763">
        <v>1</v>
      </c>
      <c r="C4763" t="s">
        <v>109</v>
      </c>
      <c r="D4763" t="s">
        <v>110</v>
      </c>
      <c r="E4763" s="1">
        <v>44359</v>
      </c>
      <c r="F4763">
        <v>1</v>
      </c>
      <c r="G4763" t="s">
        <v>7</v>
      </c>
      <c r="H4763" t="s">
        <v>8</v>
      </c>
      <c r="I4763" s="3">
        <v>1064</v>
      </c>
      <c r="J4763" s="3">
        <v>1064</v>
      </c>
      <c r="K4763" s="3">
        <v>387</v>
      </c>
      <c r="L4763" t="s">
        <v>98</v>
      </c>
      <c r="M4763">
        <v>8</v>
      </c>
      <c r="N4763" t="s">
        <v>80</v>
      </c>
      <c r="O4763" t="s">
        <v>81</v>
      </c>
      <c r="P4763" t="s">
        <v>12</v>
      </c>
      <c r="Q4763" t="s">
        <v>13</v>
      </c>
      <c r="R4763" t="s">
        <v>13</v>
      </c>
      <c r="S4763" t="s">
        <v>144</v>
      </c>
      <c r="T4763" s="2">
        <f>MASTER[[#This Row],[CANTIDAD]]*MASTER[[#This Row],[PRECIO DE VENTA]]</f>
        <v>1064</v>
      </c>
      <c r="U4763" s="2">
        <f>MASTER[[#This Row],[CANTIDAD]]*MASTER[[#This Row],[COSTO UNITARIO]]</f>
        <v>387</v>
      </c>
      <c r="V4763" s="2">
        <f>MASTER[[#This Row],[MONTO VENDIDO]]-MASTER[[#This Row],[COSTO DE VENTA]]</f>
        <v>677</v>
      </c>
    </row>
    <row r="4764" spans="1:22" x14ac:dyDescent="0.3">
      <c r="A4764">
        <v>69323</v>
      </c>
      <c r="B4764">
        <v>1</v>
      </c>
      <c r="C4764" t="s">
        <v>5</v>
      </c>
      <c r="D4764" t="s">
        <v>6</v>
      </c>
      <c r="E4764" s="1">
        <v>44360</v>
      </c>
      <c r="F4764">
        <v>1</v>
      </c>
      <c r="G4764" t="s">
        <v>45</v>
      </c>
      <c r="H4764" t="s">
        <v>46</v>
      </c>
      <c r="I4764" s="3">
        <v>1311</v>
      </c>
      <c r="J4764" s="3">
        <v>1311</v>
      </c>
      <c r="K4764" s="3">
        <v>393</v>
      </c>
      <c r="L4764" t="s">
        <v>9</v>
      </c>
      <c r="M4764">
        <v>16</v>
      </c>
      <c r="N4764" t="s">
        <v>17</v>
      </c>
      <c r="O4764" t="s">
        <v>11</v>
      </c>
      <c r="P4764" t="s">
        <v>18</v>
      </c>
      <c r="Q4764" t="s">
        <v>19</v>
      </c>
      <c r="R4764" t="s">
        <v>138</v>
      </c>
      <c r="S4764" t="s">
        <v>144</v>
      </c>
      <c r="T4764" s="2">
        <f>MASTER[[#This Row],[CANTIDAD]]*MASTER[[#This Row],[PRECIO DE VENTA]]</f>
        <v>1311</v>
      </c>
      <c r="U4764" s="2">
        <f>MASTER[[#This Row],[CANTIDAD]]*MASTER[[#This Row],[COSTO UNITARIO]]</f>
        <v>393</v>
      </c>
      <c r="V4764" s="2">
        <f>MASTER[[#This Row],[MONTO VENDIDO]]-MASTER[[#This Row],[COSTO DE VENTA]]</f>
        <v>918</v>
      </c>
    </row>
    <row r="4765" spans="1:22" x14ac:dyDescent="0.3">
      <c r="A4765">
        <v>69326</v>
      </c>
      <c r="B4765">
        <v>2</v>
      </c>
      <c r="C4765" t="s">
        <v>92</v>
      </c>
      <c r="D4765" t="s">
        <v>93</v>
      </c>
      <c r="E4765" s="1">
        <v>44360</v>
      </c>
      <c r="F4765">
        <v>4</v>
      </c>
      <c r="G4765" t="s">
        <v>63</v>
      </c>
      <c r="H4765" t="s">
        <v>64</v>
      </c>
      <c r="I4765" s="3">
        <v>1479</v>
      </c>
      <c r="J4765" s="3">
        <v>1479</v>
      </c>
      <c r="K4765" s="3">
        <v>396</v>
      </c>
      <c r="L4765" t="s">
        <v>9</v>
      </c>
      <c r="M4765">
        <v>11</v>
      </c>
      <c r="N4765" t="s">
        <v>10</v>
      </c>
      <c r="O4765" t="s">
        <v>11</v>
      </c>
      <c r="P4765" t="s">
        <v>12</v>
      </c>
      <c r="Q4765" t="s">
        <v>13</v>
      </c>
      <c r="R4765" t="s">
        <v>13</v>
      </c>
      <c r="S4765" t="s">
        <v>144</v>
      </c>
      <c r="T4765" s="2">
        <f>MASTER[[#This Row],[CANTIDAD]]*MASTER[[#This Row],[PRECIO DE VENTA]]</f>
        <v>5916</v>
      </c>
      <c r="U4765" s="2">
        <f>MASTER[[#This Row],[CANTIDAD]]*MASTER[[#This Row],[COSTO UNITARIO]]</f>
        <v>1584</v>
      </c>
      <c r="V4765" s="2">
        <f>MASTER[[#This Row],[MONTO VENDIDO]]-MASTER[[#This Row],[COSTO DE VENTA]]</f>
        <v>4332</v>
      </c>
    </row>
    <row r="4766" spans="1:22" x14ac:dyDescent="0.3">
      <c r="A4766">
        <v>69326</v>
      </c>
      <c r="B4766">
        <v>1</v>
      </c>
      <c r="C4766" t="s">
        <v>109</v>
      </c>
      <c r="D4766" t="s">
        <v>110</v>
      </c>
      <c r="E4766" s="1">
        <v>44360</v>
      </c>
      <c r="F4766">
        <v>1</v>
      </c>
      <c r="G4766" t="s">
        <v>7</v>
      </c>
      <c r="H4766" t="s">
        <v>8</v>
      </c>
      <c r="I4766" s="3">
        <v>947</v>
      </c>
      <c r="J4766" s="3">
        <v>947</v>
      </c>
      <c r="K4766" s="3">
        <v>387</v>
      </c>
      <c r="L4766" t="s">
        <v>98</v>
      </c>
      <c r="M4766">
        <v>11</v>
      </c>
      <c r="N4766" t="s">
        <v>10</v>
      </c>
      <c r="O4766" t="s">
        <v>11</v>
      </c>
      <c r="P4766" t="s">
        <v>12</v>
      </c>
      <c r="Q4766" t="s">
        <v>13</v>
      </c>
      <c r="R4766" t="s">
        <v>13</v>
      </c>
      <c r="S4766" t="s">
        <v>144</v>
      </c>
      <c r="T4766" s="2">
        <f>MASTER[[#This Row],[CANTIDAD]]*MASTER[[#This Row],[PRECIO DE VENTA]]</f>
        <v>947</v>
      </c>
      <c r="U4766" s="2">
        <f>MASTER[[#This Row],[CANTIDAD]]*MASTER[[#This Row],[COSTO UNITARIO]]</f>
        <v>387</v>
      </c>
      <c r="V4766" s="2">
        <f>MASTER[[#This Row],[MONTO VENDIDO]]-MASTER[[#This Row],[COSTO DE VENTA]]</f>
        <v>560</v>
      </c>
    </row>
    <row r="4767" spans="1:22" x14ac:dyDescent="0.3">
      <c r="A4767">
        <v>69345</v>
      </c>
      <c r="B4767">
        <v>1</v>
      </c>
      <c r="C4767" t="s">
        <v>101</v>
      </c>
      <c r="D4767" t="s">
        <v>102</v>
      </c>
      <c r="E4767" s="1">
        <v>44360</v>
      </c>
      <c r="F4767">
        <v>1</v>
      </c>
      <c r="G4767" t="s">
        <v>29</v>
      </c>
      <c r="H4767" t="s">
        <v>30</v>
      </c>
      <c r="I4767" s="3">
        <v>1212</v>
      </c>
      <c r="J4767" s="3">
        <v>1212</v>
      </c>
      <c r="K4767" s="3">
        <v>442</v>
      </c>
      <c r="L4767" t="s">
        <v>98</v>
      </c>
      <c r="M4767">
        <v>2</v>
      </c>
      <c r="N4767" t="s">
        <v>86</v>
      </c>
      <c r="O4767" t="s">
        <v>81</v>
      </c>
      <c r="P4767" t="s">
        <v>71</v>
      </c>
      <c r="Q4767" t="s">
        <v>72</v>
      </c>
      <c r="R4767" t="s">
        <v>139</v>
      </c>
      <c r="S4767" t="s">
        <v>144</v>
      </c>
      <c r="T4767" s="2">
        <f>MASTER[[#This Row],[CANTIDAD]]*MASTER[[#This Row],[PRECIO DE VENTA]]</f>
        <v>1212</v>
      </c>
      <c r="U4767" s="2">
        <f>MASTER[[#This Row],[CANTIDAD]]*MASTER[[#This Row],[COSTO UNITARIO]]</f>
        <v>442</v>
      </c>
      <c r="V4767" s="2">
        <f>MASTER[[#This Row],[MONTO VENDIDO]]-MASTER[[#This Row],[COSTO DE VENTA]]</f>
        <v>770</v>
      </c>
    </row>
    <row r="4768" spans="1:22" x14ac:dyDescent="0.3">
      <c r="A4768">
        <v>69346</v>
      </c>
      <c r="B4768">
        <v>1</v>
      </c>
      <c r="C4768" t="s">
        <v>103</v>
      </c>
      <c r="D4768" t="s">
        <v>104</v>
      </c>
      <c r="E4768" s="1">
        <v>44360</v>
      </c>
      <c r="F4768">
        <v>1</v>
      </c>
      <c r="G4768" t="s">
        <v>65</v>
      </c>
      <c r="H4768" t="s">
        <v>66</v>
      </c>
      <c r="I4768" s="3">
        <v>1448</v>
      </c>
      <c r="J4768" s="3">
        <v>1448</v>
      </c>
      <c r="K4768" s="3">
        <v>421</v>
      </c>
      <c r="L4768" t="s">
        <v>98</v>
      </c>
      <c r="M4768">
        <v>11</v>
      </c>
      <c r="N4768" t="s">
        <v>10</v>
      </c>
      <c r="O4768" t="s">
        <v>11</v>
      </c>
      <c r="P4768" t="s">
        <v>12</v>
      </c>
      <c r="Q4768" t="s">
        <v>13</v>
      </c>
      <c r="R4768" t="s">
        <v>13</v>
      </c>
      <c r="S4768" t="s">
        <v>144</v>
      </c>
      <c r="T4768" s="2">
        <f>MASTER[[#This Row],[CANTIDAD]]*MASTER[[#This Row],[PRECIO DE VENTA]]</f>
        <v>1448</v>
      </c>
      <c r="U4768" s="2">
        <f>MASTER[[#This Row],[CANTIDAD]]*MASTER[[#This Row],[COSTO UNITARIO]]</f>
        <v>421</v>
      </c>
      <c r="V4768" s="2">
        <f>MASTER[[#This Row],[MONTO VENDIDO]]-MASTER[[#This Row],[COSTO DE VENTA]]</f>
        <v>1027</v>
      </c>
    </row>
    <row r="4769" spans="1:22" x14ac:dyDescent="0.3">
      <c r="A4769">
        <v>69354</v>
      </c>
      <c r="B4769">
        <v>1</v>
      </c>
      <c r="C4769" t="s">
        <v>107</v>
      </c>
      <c r="D4769" t="s">
        <v>108</v>
      </c>
      <c r="E4769" s="1">
        <v>44360</v>
      </c>
      <c r="F4769">
        <v>1</v>
      </c>
      <c r="G4769" t="s">
        <v>45</v>
      </c>
      <c r="H4769" t="s">
        <v>46</v>
      </c>
      <c r="I4769" s="3">
        <v>1240</v>
      </c>
      <c r="J4769" s="3">
        <v>1240</v>
      </c>
      <c r="K4769" s="3">
        <v>380</v>
      </c>
      <c r="L4769" t="s">
        <v>98</v>
      </c>
      <c r="M4769">
        <v>16</v>
      </c>
      <c r="N4769" t="s">
        <v>17</v>
      </c>
      <c r="O4769" t="s">
        <v>11</v>
      </c>
      <c r="P4769" t="s">
        <v>18</v>
      </c>
      <c r="Q4769" t="s">
        <v>19</v>
      </c>
      <c r="R4769" t="s">
        <v>138</v>
      </c>
      <c r="S4769" t="s">
        <v>144</v>
      </c>
      <c r="T4769" s="2">
        <f>MASTER[[#This Row],[CANTIDAD]]*MASTER[[#This Row],[PRECIO DE VENTA]]</f>
        <v>1240</v>
      </c>
      <c r="U4769" s="2">
        <f>MASTER[[#This Row],[CANTIDAD]]*MASTER[[#This Row],[COSTO UNITARIO]]</f>
        <v>380</v>
      </c>
      <c r="V4769" s="2">
        <f>MASTER[[#This Row],[MONTO VENDIDO]]-MASTER[[#This Row],[COSTO DE VENTA]]</f>
        <v>860</v>
      </c>
    </row>
    <row r="4770" spans="1:22" x14ac:dyDescent="0.3">
      <c r="A4770">
        <v>69357</v>
      </c>
      <c r="B4770">
        <v>1</v>
      </c>
      <c r="C4770" t="s">
        <v>114</v>
      </c>
      <c r="D4770" t="s">
        <v>115</v>
      </c>
      <c r="E4770" s="1">
        <v>44360</v>
      </c>
      <c r="F4770">
        <v>1</v>
      </c>
      <c r="G4770" t="s">
        <v>37</v>
      </c>
      <c r="H4770" t="s">
        <v>38</v>
      </c>
      <c r="I4770" s="3">
        <v>1862</v>
      </c>
      <c r="J4770" s="3">
        <v>1862</v>
      </c>
      <c r="K4770" s="3">
        <v>394</v>
      </c>
      <c r="L4770" t="s">
        <v>113</v>
      </c>
      <c r="M4770">
        <v>19</v>
      </c>
      <c r="N4770" t="s">
        <v>89</v>
      </c>
      <c r="O4770" t="s">
        <v>81</v>
      </c>
      <c r="P4770" t="s">
        <v>15</v>
      </c>
      <c r="Q4770" t="s">
        <v>16</v>
      </c>
      <c r="R4770" t="s">
        <v>16</v>
      </c>
      <c r="S4770" t="s">
        <v>144</v>
      </c>
      <c r="T4770" s="2">
        <f>MASTER[[#This Row],[CANTIDAD]]*MASTER[[#This Row],[PRECIO DE VENTA]]</f>
        <v>1862</v>
      </c>
      <c r="U4770" s="2">
        <f>MASTER[[#This Row],[CANTIDAD]]*MASTER[[#This Row],[COSTO UNITARIO]]</f>
        <v>394</v>
      </c>
      <c r="V4770" s="2">
        <f>MASTER[[#This Row],[MONTO VENDIDO]]-MASTER[[#This Row],[COSTO DE VENTA]]</f>
        <v>1468</v>
      </c>
    </row>
    <row r="4771" spans="1:22" x14ac:dyDescent="0.3">
      <c r="A4771">
        <v>69373</v>
      </c>
      <c r="B4771">
        <v>1</v>
      </c>
      <c r="C4771" t="s">
        <v>116</v>
      </c>
      <c r="D4771" t="s">
        <v>117</v>
      </c>
      <c r="E4771" s="1">
        <v>44360</v>
      </c>
      <c r="F4771">
        <v>1</v>
      </c>
      <c r="G4771" t="s">
        <v>39</v>
      </c>
      <c r="H4771" t="s">
        <v>40</v>
      </c>
      <c r="I4771" s="3">
        <v>1999</v>
      </c>
      <c r="J4771" s="3">
        <v>1899</v>
      </c>
      <c r="K4771" s="3">
        <v>388</v>
      </c>
      <c r="L4771" t="s">
        <v>113</v>
      </c>
      <c r="M4771">
        <v>3</v>
      </c>
      <c r="N4771" t="s">
        <v>69</v>
      </c>
      <c r="O4771" t="s">
        <v>70</v>
      </c>
      <c r="P4771" t="s">
        <v>71</v>
      </c>
      <c r="Q4771" t="s">
        <v>72</v>
      </c>
      <c r="R4771" t="s">
        <v>139</v>
      </c>
      <c r="S4771" t="s">
        <v>144</v>
      </c>
      <c r="T4771" s="2">
        <f>MASTER[[#This Row],[CANTIDAD]]*MASTER[[#This Row],[PRECIO DE VENTA]]</f>
        <v>1899</v>
      </c>
      <c r="U4771" s="2">
        <f>MASTER[[#This Row],[CANTIDAD]]*MASTER[[#This Row],[COSTO UNITARIO]]</f>
        <v>388</v>
      </c>
      <c r="V4771" s="2">
        <f>MASTER[[#This Row],[MONTO VENDIDO]]-MASTER[[#This Row],[COSTO DE VENTA]]</f>
        <v>1511</v>
      </c>
    </row>
    <row r="4772" spans="1:22" x14ac:dyDescent="0.3">
      <c r="A4772">
        <v>69394</v>
      </c>
      <c r="B4772">
        <v>1</v>
      </c>
      <c r="C4772" t="s">
        <v>109</v>
      </c>
      <c r="D4772" t="s">
        <v>110</v>
      </c>
      <c r="E4772" s="1">
        <v>44360</v>
      </c>
      <c r="F4772">
        <v>1</v>
      </c>
      <c r="G4772" t="s">
        <v>73</v>
      </c>
      <c r="H4772" t="s">
        <v>74</v>
      </c>
      <c r="I4772" s="3">
        <v>1128</v>
      </c>
      <c r="J4772" s="3">
        <v>1128</v>
      </c>
      <c r="K4772" s="3">
        <v>387</v>
      </c>
      <c r="L4772" t="s">
        <v>98</v>
      </c>
      <c r="M4772">
        <v>6</v>
      </c>
      <c r="N4772" t="s">
        <v>75</v>
      </c>
      <c r="O4772" t="s">
        <v>70</v>
      </c>
      <c r="P4772" t="s">
        <v>12</v>
      </c>
      <c r="Q4772" t="s">
        <v>13</v>
      </c>
      <c r="R4772" t="s">
        <v>13</v>
      </c>
      <c r="S4772" t="s">
        <v>144</v>
      </c>
      <c r="T4772" s="2">
        <f>MASTER[[#This Row],[CANTIDAD]]*MASTER[[#This Row],[PRECIO DE VENTA]]</f>
        <v>1128</v>
      </c>
      <c r="U4772" s="2">
        <f>MASTER[[#This Row],[CANTIDAD]]*MASTER[[#This Row],[COSTO UNITARIO]]</f>
        <v>387</v>
      </c>
      <c r="V4772" s="2">
        <f>MASTER[[#This Row],[MONTO VENDIDO]]-MASTER[[#This Row],[COSTO DE VENTA]]</f>
        <v>741</v>
      </c>
    </row>
    <row r="4773" spans="1:22" x14ac:dyDescent="0.3">
      <c r="A4773">
        <v>69417</v>
      </c>
      <c r="B4773">
        <v>1</v>
      </c>
      <c r="C4773" t="s">
        <v>92</v>
      </c>
      <c r="D4773" t="s">
        <v>93</v>
      </c>
      <c r="E4773" s="1">
        <v>44360</v>
      </c>
      <c r="F4773">
        <v>1</v>
      </c>
      <c r="G4773" t="s">
        <v>24</v>
      </c>
      <c r="H4773" t="s">
        <v>25</v>
      </c>
      <c r="I4773" s="3">
        <v>1479</v>
      </c>
      <c r="J4773" s="3">
        <v>1479</v>
      </c>
      <c r="K4773" s="3">
        <v>396</v>
      </c>
      <c r="L4773" t="s">
        <v>9</v>
      </c>
      <c r="M4773">
        <v>17</v>
      </c>
      <c r="N4773" t="s">
        <v>14</v>
      </c>
      <c r="O4773" t="s">
        <v>11</v>
      </c>
      <c r="P4773" t="s">
        <v>15</v>
      </c>
      <c r="Q4773" t="s">
        <v>16</v>
      </c>
      <c r="R4773" t="s">
        <v>16</v>
      </c>
      <c r="S4773" t="s">
        <v>144</v>
      </c>
      <c r="T4773" s="2">
        <f>MASTER[[#This Row],[CANTIDAD]]*MASTER[[#This Row],[PRECIO DE VENTA]]</f>
        <v>1479</v>
      </c>
      <c r="U4773" s="2">
        <f>MASTER[[#This Row],[CANTIDAD]]*MASTER[[#This Row],[COSTO UNITARIO]]</f>
        <v>396</v>
      </c>
      <c r="V4773" s="2">
        <f>MASTER[[#This Row],[MONTO VENDIDO]]-MASTER[[#This Row],[COSTO DE VENTA]]</f>
        <v>1083</v>
      </c>
    </row>
    <row r="4774" spans="1:22" x14ac:dyDescent="0.3">
      <c r="A4774">
        <v>69420</v>
      </c>
      <c r="B4774">
        <v>1</v>
      </c>
      <c r="C4774" t="s">
        <v>118</v>
      </c>
      <c r="D4774" t="s">
        <v>119</v>
      </c>
      <c r="E4774" s="1">
        <v>44361</v>
      </c>
      <c r="F4774">
        <v>3</v>
      </c>
      <c r="G4774" t="s">
        <v>63</v>
      </c>
      <c r="H4774" t="s">
        <v>64</v>
      </c>
      <c r="I4774" s="3">
        <v>900</v>
      </c>
      <c r="J4774" s="3">
        <v>900</v>
      </c>
      <c r="K4774" s="3">
        <v>424</v>
      </c>
      <c r="L4774" t="s">
        <v>120</v>
      </c>
      <c r="M4774">
        <v>7</v>
      </c>
      <c r="N4774" t="s">
        <v>84</v>
      </c>
      <c r="O4774" t="s">
        <v>81</v>
      </c>
      <c r="P4774" t="s">
        <v>12</v>
      </c>
      <c r="Q4774" t="s">
        <v>13</v>
      </c>
      <c r="R4774" t="s">
        <v>13</v>
      </c>
      <c r="S4774" t="s">
        <v>144</v>
      </c>
      <c r="T4774" s="2">
        <f>MASTER[[#This Row],[CANTIDAD]]*MASTER[[#This Row],[PRECIO DE VENTA]]</f>
        <v>2700</v>
      </c>
      <c r="U4774" s="2">
        <f>MASTER[[#This Row],[CANTIDAD]]*MASTER[[#This Row],[COSTO UNITARIO]]</f>
        <v>1272</v>
      </c>
      <c r="V4774" s="2">
        <f>MASTER[[#This Row],[MONTO VENDIDO]]-MASTER[[#This Row],[COSTO DE VENTA]]</f>
        <v>1428</v>
      </c>
    </row>
    <row r="4775" spans="1:22" x14ac:dyDescent="0.3">
      <c r="A4775">
        <v>69421</v>
      </c>
      <c r="B4775">
        <v>1</v>
      </c>
      <c r="C4775" t="s">
        <v>103</v>
      </c>
      <c r="D4775" t="s">
        <v>104</v>
      </c>
      <c r="E4775" s="1">
        <v>44361</v>
      </c>
      <c r="F4775">
        <v>1</v>
      </c>
      <c r="G4775" t="s">
        <v>27</v>
      </c>
      <c r="H4775" t="s">
        <v>28</v>
      </c>
      <c r="I4775" s="3">
        <v>1591</v>
      </c>
      <c r="J4775" s="3">
        <v>1591</v>
      </c>
      <c r="K4775" s="3">
        <v>421</v>
      </c>
      <c r="L4775" t="s">
        <v>98</v>
      </c>
      <c r="M4775">
        <v>8</v>
      </c>
      <c r="N4775" t="s">
        <v>80</v>
      </c>
      <c r="O4775" t="s">
        <v>81</v>
      </c>
      <c r="P4775" t="s">
        <v>12</v>
      </c>
      <c r="Q4775" t="s">
        <v>13</v>
      </c>
      <c r="R4775" t="s">
        <v>13</v>
      </c>
      <c r="S4775" t="s">
        <v>144</v>
      </c>
      <c r="T4775" s="2">
        <f>MASTER[[#This Row],[CANTIDAD]]*MASTER[[#This Row],[PRECIO DE VENTA]]</f>
        <v>1591</v>
      </c>
      <c r="U4775" s="2">
        <f>MASTER[[#This Row],[CANTIDAD]]*MASTER[[#This Row],[COSTO UNITARIO]]</f>
        <v>421</v>
      </c>
      <c r="V4775" s="2">
        <f>MASTER[[#This Row],[MONTO VENDIDO]]-MASTER[[#This Row],[COSTO DE VENTA]]</f>
        <v>1170</v>
      </c>
    </row>
    <row r="4776" spans="1:22" x14ac:dyDescent="0.3">
      <c r="A4776">
        <v>69458</v>
      </c>
      <c r="B4776">
        <v>1</v>
      </c>
      <c r="C4776" t="s">
        <v>103</v>
      </c>
      <c r="D4776" t="s">
        <v>104</v>
      </c>
      <c r="E4776" s="1">
        <v>44361</v>
      </c>
      <c r="F4776">
        <v>1</v>
      </c>
      <c r="G4776" t="s">
        <v>24</v>
      </c>
      <c r="H4776" t="s">
        <v>25</v>
      </c>
      <c r="I4776" s="3">
        <v>1448</v>
      </c>
      <c r="J4776" s="3">
        <v>1448</v>
      </c>
      <c r="K4776" s="3">
        <v>421</v>
      </c>
      <c r="L4776" t="s">
        <v>98</v>
      </c>
      <c r="M4776">
        <v>16</v>
      </c>
      <c r="N4776" t="s">
        <v>17</v>
      </c>
      <c r="O4776" t="s">
        <v>11</v>
      </c>
      <c r="P4776" t="s">
        <v>18</v>
      </c>
      <c r="Q4776" t="s">
        <v>19</v>
      </c>
      <c r="R4776" t="s">
        <v>138</v>
      </c>
      <c r="S4776" t="s">
        <v>144</v>
      </c>
      <c r="T4776" s="2">
        <f>MASTER[[#This Row],[CANTIDAD]]*MASTER[[#This Row],[PRECIO DE VENTA]]</f>
        <v>1448</v>
      </c>
      <c r="U4776" s="2">
        <f>MASTER[[#This Row],[CANTIDAD]]*MASTER[[#This Row],[COSTO UNITARIO]]</f>
        <v>421</v>
      </c>
      <c r="V4776" s="2">
        <f>MASTER[[#This Row],[MONTO VENDIDO]]-MASTER[[#This Row],[COSTO DE VENTA]]</f>
        <v>1027</v>
      </c>
    </row>
    <row r="4777" spans="1:22" x14ac:dyDescent="0.3">
      <c r="A4777">
        <v>69464</v>
      </c>
      <c r="B4777">
        <v>1</v>
      </c>
      <c r="C4777" t="s">
        <v>5</v>
      </c>
      <c r="D4777" t="s">
        <v>6</v>
      </c>
      <c r="E4777" s="1">
        <v>44361</v>
      </c>
      <c r="F4777">
        <v>1</v>
      </c>
      <c r="G4777" t="s">
        <v>39</v>
      </c>
      <c r="H4777" t="s">
        <v>40</v>
      </c>
      <c r="I4777" s="3">
        <v>1507</v>
      </c>
      <c r="J4777" s="3">
        <v>1507</v>
      </c>
      <c r="K4777" s="3">
        <v>393</v>
      </c>
      <c r="L4777" t="s">
        <v>9</v>
      </c>
      <c r="M4777">
        <v>15</v>
      </c>
      <c r="N4777" t="s">
        <v>88</v>
      </c>
      <c r="O4777" t="s">
        <v>81</v>
      </c>
      <c r="P4777" t="s">
        <v>18</v>
      </c>
      <c r="Q4777" t="s">
        <v>19</v>
      </c>
      <c r="R4777" t="s">
        <v>138</v>
      </c>
      <c r="S4777" t="s">
        <v>144</v>
      </c>
      <c r="T4777" s="2">
        <f>MASTER[[#This Row],[CANTIDAD]]*MASTER[[#This Row],[PRECIO DE VENTA]]</f>
        <v>1507</v>
      </c>
      <c r="U4777" s="2">
        <f>MASTER[[#This Row],[CANTIDAD]]*MASTER[[#This Row],[COSTO UNITARIO]]</f>
        <v>393</v>
      </c>
      <c r="V4777" s="2">
        <f>MASTER[[#This Row],[MONTO VENDIDO]]-MASTER[[#This Row],[COSTO DE VENTA]]</f>
        <v>1114</v>
      </c>
    </row>
    <row r="4778" spans="1:22" x14ac:dyDescent="0.3">
      <c r="A4778">
        <v>69467</v>
      </c>
      <c r="B4778">
        <v>1</v>
      </c>
      <c r="C4778" t="s">
        <v>92</v>
      </c>
      <c r="D4778" t="s">
        <v>93</v>
      </c>
      <c r="E4778" s="1">
        <v>44361</v>
      </c>
      <c r="F4778">
        <v>1</v>
      </c>
      <c r="G4778" t="s">
        <v>39</v>
      </c>
      <c r="H4778" t="s">
        <v>40</v>
      </c>
      <c r="I4778" s="3">
        <v>1866</v>
      </c>
      <c r="J4778" s="3">
        <v>1698</v>
      </c>
      <c r="K4778" s="3">
        <v>396</v>
      </c>
      <c r="L4778" t="s">
        <v>9</v>
      </c>
      <c r="M4778">
        <v>13</v>
      </c>
      <c r="N4778" t="s">
        <v>78</v>
      </c>
      <c r="O4778" t="s">
        <v>70</v>
      </c>
      <c r="P4778" t="s">
        <v>18</v>
      </c>
      <c r="Q4778" t="s">
        <v>19</v>
      </c>
      <c r="R4778" t="s">
        <v>138</v>
      </c>
      <c r="S4778" t="s">
        <v>144</v>
      </c>
      <c r="T4778" s="2">
        <f>MASTER[[#This Row],[CANTIDAD]]*MASTER[[#This Row],[PRECIO DE VENTA]]</f>
        <v>1698</v>
      </c>
      <c r="U4778" s="2">
        <f>MASTER[[#This Row],[CANTIDAD]]*MASTER[[#This Row],[COSTO UNITARIO]]</f>
        <v>396</v>
      </c>
      <c r="V4778" s="2">
        <f>MASTER[[#This Row],[MONTO VENDIDO]]-MASTER[[#This Row],[COSTO DE VENTA]]</f>
        <v>1302</v>
      </c>
    </row>
    <row r="4779" spans="1:22" x14ac:dyDescent="0.3">
      <c r="A4779">
        <v>69468</v>
      </c>
      <c r="B4779">
        <v>1</v>
      </c>
      <c r="C4779" t="s">
        <v>116</v>
      </c>
      <c r="D4779" t="s">
        <v>117</v>
      </c>
      <c r="E4779" s="1">
        <v>44361</v>
      </c>
      <c r="F4779">
        <v>1</v>
      </c>
      <c r="G4779" t="s">
        <v>31</v>
      </c>
      <c r="H4779" t="s">
        <v>32</v>
      </c>
      <c r="I4779" s="3">
        <v>1999</v>
      </c>
      <c r="J4779" s="3">
        <v>1999</v>
      </c>
      <c r="K4779" s="3">
        <v>388</v>
      </c>
      <c r="L4779" t="s">
        <v>113</v>
      </c>
      <c r="M4779">
        <v>1</v>
      </c>
      <c r="N4779" t="s">
        <v>77</v>
      </c>
      <c r="O4779" t="s">
        <v>70</v>
      </c>
      <c r="P4779" t="s">
        <v>71</v>
      </c>
      <c r="Q4779" t="s">
        <v>72</v>
      </c>
      <c r="R4779" t="s">
        <v>139</v>
      </c>
      <c r="S4779" t="s">
        <v>144</v>
      </c>
      <c r="T4779" s="2">
        <f>MASTER[[#This Row],[CANTIDAD]]*MASTER[[#This Row],[PRECIO DE VENTA]]</f>
        <v>1999</v>
      </c>
      <c r="U4779" s="2">
        <f>MASTER[[#This Row],[CANTIDAD]]*MASTER[[#This Row],[COSTO UNITARIO]]</f>
        <v>388</v>
      </c>
      <c r="V4779" s="2">
        <f>MASTER[[#This Row],[MONTO VENDIDO]]-MASTER[[#This Row],[COSTO DE VENTA]]</f>
        <v>1611</v>
      </c>
    </row>
    <row r="4780" spans="1:22" x14ac:dyDescent="0.3">
      <c r="A4780">
        <v>69513</v>
      </c>
      <c r="B4780">
        <v>1</v>
      </c>
      <c r="C4780" t="s">
        <v>5</v>
      </c>
      <c r="D4780" t="s">
        <v>6</v>
      </c>
      <c r="E4780" s="1">
        <v>44361</v>
      </c>
      <c r="F4780">
        <v>1</v>
      </c>
      <c r="G4780" t="s">
        <v>39</v>
      </c>
      <c r="H4780" t="s">
        <v>40</v>
      </c>
      <c r="I4780" s="3">
        <v>1311</v>
      </c>
      <c r="J4780" s="3">
        <v>1311</v>
      </c>
      <c r="K4780" s="3">
        <v>393</v>
      </c>
      <c r="L4780" t="s">
        <v>9</v>
      </c>
      <c r="M4780">
        <v>16</v>
      </c>
      <c r="N4780" t="s">
        <v>17</v>
      </c>
      <c r="O4780" t="s">
        <v>11</v>
      </c>
      <c r="P4780" t="s">
        <v>18</v>
      </c>
      <c r="Q4780" t="s">
        <v>19</v>
      </c>
      <c r="R4780" t="s">
        <v>138</v>
      </c>
      <c r="S4780" t="s">
        <v>144</v>
      </c>
      <c r="T4780" s="2">
        <f>MASTER[[#This Row],[CANTIDAD]]*MASTER[[#This Row],[PRECIO DE VENTA]]</f>
        <v>1311</v>
      </c>
      <c r="U4780" s="2">
        <f>MASTER[[#This Row],[CANTIDAD]]*MASTER[[#This Row],[COSTO UNITARIO]]</f>
        <v>393</v>
      </c>
      <c r="V4780" s="2">
        <f>MASTER[[#This Row],[MONTO VENDIDO]]-MASTER[[#This Row],[COSTO DE VENTA]]</f>
        <v>918</v>
      </c>
    </row>
    <row r="4781" spans="1:22" x14ac:dyDescent="0.3">
      <c r="A4781">
        <v>69523</v>
      </c>
      <c r="B4781">
        <v>1</v>
      </c>
      <c r="C4781" t="s">
        <v>5</v>
      </c>
      <c r="D4781" t="s">
        <v>6</v>
      </c>
      <c r="E4781" s="1">
        <v>44361</v>
      </c>
      <c r="F4781">
        <v>1</v>
      </c>
      <c r="G4781" t="s">
        <v>45</v>
      </c>
      <c r="H4781" t="s">
        <v>46</v>
      </c>
      <c r="I4781" s="3">
        <v>1296</v>
      </c>
      <c r="J4781" s="3">
        <v>1296</v>
      </c>
      <c r="K4781" s="3">
        <v>393</v>
      </c>
      <c r="L4781" t="s">
        <v>9</v>
      </c>
      <c r="M4781">
        <v>18</v>
      </c>
      <c r="N4781" t="s">
        <v>79</v>
      </c>
      <c r="O4781" t="s">
        <v>70</v>
      </c>
      <c r="P4781" t="s">
        <v>15</v>
      </c>
      <c r="Q4781" t="s">
        <v>16</v>
      </c>
      <c r="R4781" t="s">
        <v>16</v>
      </c>
      <c r="S4781" t="s">
        <v>144</v>
      </c>
      <c r="T4781" s="2">
        <f>MASTER[[#This Row],[CANTIDAD]]*MASTER[[#This Row],[PRECIO DE VENTA]]</f>
        <v>1296</v>
      </c>
      <c r="U4781" s="2">
        <f>MASTER[[#This Row],[CANTIDAD]]*MASTER[[#This Row],[COSTO UNITARIO]]</f>
        <v>393</v>
      </c>
      <c r="V4781" s="2">
        <f>MASTER[[#This Row],[MONTO VENDIDO]]-MASTER[[#This Row],[COSTO DE VENTA]]</f>
        <v>903</v>
      </c>
    </row>
    <row r="4782" spans="1:22" x14ac:dyDescent="0.3">
      <c r="A4782">
        <v>69533</v>
      </c>
      <c r="B4782">
        <v>1</v>
      </c>
      <c r="C4782" t="s">
        <v>114</v>
      </c>
      <c r="D4782" t="s">
        <v>115</v>
      </c>
      <c r="E4782" s="1">
        <v>44361</v>
      </c>
      <c r="F4782">
        <v>1</v>
      </c>
      <c r="G4782" t="s">
        <v>20</v>
      </c>
      <c r="H4782" t="s">
        <v>21</v>
      </c>
      <c r="I4782" s="3">
        <v>1862</v>
      </c>
      <c r="J4782" s="3">
        <v>1862</v>
      </c>
      <c r="K4782" s="3">
        <v>394</v>
      </c>
      <c r="L4782" t="s">
        <v>113</v>
      </c>
      <c r="M4782">
        <v>15</v>
      </c>
      <c r="N4782" t="s">
        <v>88</v>
      </c>
      <c r="O4782" t="s">
        <v>81</v>
      </c>
      <c r="P4782" t="s">
        <v>18</v>
      </c>
      <c r="Q4782" t="s">
        <v>19</v>
      </c>
      <c r="R4782" t="s">
        <v>138</v>
      </c>
      <c r="S4782" t="s">
        <v>144</v>
      </c>
      <c r="T4782" s="2">
        <f>MASTER[[#This Row],[CANTIDAD]]*MASTER[[#This Row],[PRECIO DE VENTA]]</f>
        <v>1862</v>
      </c>
      <c r="U4782" s="2">
        <f>MASTER[[#This Row],[CANTIDAD]]*MASTER[[#This Row],[COSTO UNITARIO]]</f>
        <v>394</v>
      </c>
      <c r="V4782" s="2">
        <f>MASTER[[#This Row],[MONTO VENDIDO]]-MASTER[[#This Row],[COSTO DE VENTA]]</f>
        <v>1468</v>
      </c>
    </row>
    <row r="4783" spans="1:22" x14ac:dyDescent="0.3">
      <c r="A4783">
        <v>69536</v>
      </c>
      <c r="B4783">
        <v>1</v>
      </c>
      <c r="C4783" t="s">
        <v>92</v>
      </c>
      <c r="D4783" t="s">
        <v>93</v>
      </c>
      <c r="E4783" s="1">
        <v>44361</v>
      </c>
      <c r="F4783">
        <v>1</v>
      </c>
      <c r="G4783" t="s">
        <v>65</v>
      </c>
      <c r="H4783" t="s">
        <v>66</v>
      </c>
      <c r="I4783" s="3">
        <v>1866</v>
      </c>
      <c r="J4783" s="3">
        <v>1866</v>
      </c>
      <c r="K4783" s="3">
        <v>396</v>
      </c>
      <c r="L4783" t="s">
        <v>9</v>
      </c>
      <c r="M4783">
        <v>1</v>
      </c>
      <c r="N4783" t="s">
        <v>77</v>
      </c>
      <c r="O4783" t="s">
        <v>70</v>
      </c>
      <c r="P4783" t="s">
        <v>71</v>
      </c>
      <c r="Q4783" t="s">
        <v>72</v>
      </c>
      <c r="R4783" t="s">
        <v>139</v>
      </c>
      <c r="S4783" t="s">
        <v>144</v>
      </c>
      <c r="T4783" s="2">
        <f>MASTER[[#This Row],[CANTIDAD]]*MASTER[[#This Row],[PRECIO DE VENTA]]</f>
        <v>1866</v>
      </c>
      <c r="U4783" s="2">
        <f>MASTER[[#This Row],[CANTIDAD]]*MASTER[[#This Row],[COSTO UNITARIO]]</f>
        <v>396</v>
      </c>
      <c r="V4783" s="2">
        <f>MASTER[[#This Row],[MONTO VENDIDO]]-MASTER[[#This Row],[COSTO DE VENTA]]</f>
        <v>1470</v>
      </c>
    </row>
    <row r="4784" spans="1:22" x14ac:dyDescent="0.3">
      <c r="A4784">
        <v>69540</v>
      </c>
      <c r="B4784">
        <v>1</v>
      </c>
      <c r="C4784" t="s">
        <v>121</v>
      </c>
      <c r="D4784" t="s">
        <v>122</v>
      </c>
      <c r="E4784" s="1">
        <v>44361</v>
      </c>
      <c r="F4784">
        <v>1</v>
      </c>
      <c r="G4784" t="s">
        <v>27</v>
      </c>
      <c r="H4784" t="s">
        <v>28</v>
      </c>
      <c r="I4784" s="3">
        <v>941</v>
      </c>
      <c r="J4784" s="3">
        <v>941</v>
      </c>
      <c r="K4784" s="3">
        <v>460</v>
      </c>
      <c r="L4784" t="s">
        <v>120</v>
      </c>
      <c r="M4784">
        <v>16</v>
      </c>
      <c r="N4784" t="s">
        <v>17</v>
      </c>
      <c r="O4784" t="s">
        <v>11</v>
      </c>
      <c r="P4784" t="s">
        <v>18</v>
      </c>
      <c r="Q4784" t="s">
        <v>19</v>
      </c>
      <c r="R4784" t="s">
        <v>138</v>
      </c>
      <c r="S4784" t="s">
        <v>144</v>
      </c>
      <c r="T4784" s="2">
        <f>MASTER[[#This Row],[CANTIDAD]]*MASTER[[#This Row],[PRECIO DE VENTA]]</f>
        <v>941</v>
      </c>
      <c r="U4784" s="2">
        <f>MASTER[[#This Row],[CANTIDAD]]*MASTER[[#This Row],[COSTO UNITARIO]]</f>
        <v>460</v>
      </c>
      <c r="V4784" s="2">
        <f>MASTER[[#This Row],[MONTO VENDIDO]]-MASTER[[#This Row],[COSTO DE VENTA]]</f>
        <v>481</v>
      </c>
    </row>
    <row r="4785" spans="1:22" x14ac:dyDescent="0.3">
      <c r="A4785">
        <v>69543</v>
      </c>
      <c r="B4785">
        <v>1</v>
      </c>
      <c r="C4785" t="s">
        <v>5</v>
      </c>
      <c r="D4785" t="s">
        <v>6</v>
      </c>
      <c r="E4785" s="1">
        <v>44361</v>
      </c>
      <c r="F4785">
        <v>1</v>
      </c>
      <c r="G4785" t="s">
        <v>33</v>
      </c>
      <c r="H4785" t="s">
        <v>34</v>
      </c>
      <c r="I4785" s="3">
        <v>1311</v>
      </c>
      <c r="J4785" s="3">
        <v>1311</v>
      </c>
      <c r="K4785" s="3">
        <v>393</v>
      </c>
      <c r="L4785" t="s">
        <v>9</v>
      </c>
      <c r="M4785">
        <v>12</v>
      </c>
      <c r="N4785" t="s">
        <v>26</v>
      </c>
      <c r="O4785" t="s">
        <v>11</v>
      </c>
      <c r="P4785" t="s">
        <v>12</v>
      </c>
      <c r="Q4785" t="s">
        <v>13</v>
      </c>
      <c r="R4785" t="s">
        <v>13</v>
      </c>
      <c r="S4785" t="s">
        <v>144</v>
      </c>
      <c r="T4785" s="2">
        <f>MASTER[[#This Row],[CANTIDAD]]*MASTER[[#This Row],[PRECIO DE VENTA]]</f>
        <v>1311</v>
      </c>
      <c r="U4785" s="2">
        <f>MASTER[[#This Row],[CANTIDAD]]*MASTER[[#This Row],[COSTO UNITARIO]]</f>
        <v>393</v>
      </c>
      <c r="V4785" s="2">
        <f>MASTER[[#This Row],[MONTO VENDIDO]]-MASTER[[#This Row],[COSTO DE VENTA]]</f>
        <v>918</v>
      </c>
    </row>
    <row r="4786" spans="1:22" x14ac:dyDescent="0.3">
      <c r="A4786">
        <v>69548</v>
      </c>
      <c r="B4786">
        <v>1</v>
      </c>
      <c r="C4786" t="s">
        <v>92</v>
      </c>
      <c r="D4786" t="s">
        <v>93</v>
      </c>
      <c r="E4786" s="1">
        <v>44361</v>
      </c>
      <c r="F4786">
        <v>1</v>
      </c>
      <c r="G4786" t="s">
        <v>59</v>
      </c>
      <c r="H4786" t="s">
        <v>60</v>
      </c>
      <c r="I4786" s="3">
        <v>1866</v>
      </c>
      <c r="J4786" s="3">
        <v>1866</v>
      </c>
      <c r="K4786" s="3">
        <v>396</v>
      </c>
      <c r="L4786" t="s">
        <v>9</v>
      </c>
      <c r="M4786">
        <v>18</v>
      </c>
      <c r="N4786" t="s">
        <v>79</v>
      </c>
      <c r="O4786" t="s">
        <v>70</v>
      </c>
      <c r="P4786" t="s">
        <v>15</v>
      </c>
      <c r="Q4786" t="s">
        <v>16</v>
      </c>
      <c r="R4786" t="s">
        <v>16</v>
      </c>
      <c r="S4786" t="s">
        <v>144</v>
      </c>
      <c r="T4786" s="2">
        <f>MASTER[[#This Row],[CANTIDAD]]*MASTER[[#This Row],[PRECIO DE VENTA]]</f>
        <v>1866</v>
      </c>
      <c r="U4786" s="2">
        <f>MASTER[[#This Row],[CANTIDAD]]*MASTER[[#This Row],[COSTO UNITARIO]]</f>
        <v>396</v>
      </c>
      <c r="V4786" s="2">
        <f>MASTER[[#This Row],[MONTO VENDIDO]]-MASTER[[#This Row],[COSTO DE VENTA]]</f>
        <v>1470</v>
      </c>
    </row>
    <row r="4787" spans="1:22" x14ac:dyDescent="0.3">
      <c r="A4787">
        <v>69553</v>
      </c>
      <c r="B4787">
        <v>1</v>
      </c>
      <c r="C4787" t="s">
        <v>121</v>
      </c>
      <c r="D4787" t="s">
        <v>122</v>
      </c>
      <c r="E4787" s="1">
        <v>44361</v>
      </c>
      <c r="F4787">
        <v>1</v>
      </c>
      <c r="G4787" t="s">
        <v>59</v>
      </c>
      <c r="H4787" t="s">
        <v>60</v>
      </c>
      <c r="I4787" s="3">
        <v>1069</v>
      </c>
      <c r="J4787" s="3">
        <v>1069</v>
      </c>
      <c r="K4787" s="3">
        <v>460</v>
      </c>
      <c r="L4787" t="s">
        <v>120</v>
      </c>
      <c r="M4787">
        <v>5</v>
      </c>
      <c r="N4787" t="s">
        <v>85</v>
      </c>
      <c r="O4787" t="s">
        <v>81</v>
      </c>
      <c r="P4787" t="s">
        <v>12</v>
      </c>
      <c r="Q4787" t="s">
        <v>13</v>
      </c>
      <c r="R4787" t="s">
        <v>13</v>
      </c>
      <c r="S4787" t="s">
        <v>144</v>
      </c>
      <c r="T4787" s="2">
        <f>MASTER[[#This Row],[CANTIDAD]]*MASTER[[#This Row],[PRECIO DE VENTA]]</f>
        <v>1069</v>
      </c>
      <c r="U4787" s="2">
        <f>MASTER[[#This Row],[CANTIDAD]]*MASTER[[#This Row],[COSTO UNITARIO]]</f>
        <v>460</v>
      </c>
      <c r="V4787" s="2">
        <f>MASTER[[#This Row],[MONTO VENDIDO]]-MASTER[[#This Row],[COSTO DE VENTA]]</f>
        <v>609</v>
      </c>
    </row>
    <row r="4788" spans="1:22" x14ac:dyDescent="0.3">
      <c r="A4788">
        <v>69562</v>
      </c>
      <c r="B4788">
        <v>1</v>
      </c>
      <c r="C4788" t="s">
        <v>101</v>
      </c>
      <c r="D4788" t="s">
        <v>102</v>
      </c>
      <c r="E4788" s="1">
        <v>44361</v>
      </c>
      <c r="F4788">
        <v>1</v>
      </c>
      <c r="G4788" t="s">
        <v>53</v>
      </c>
      <c r="H4788" t="s">
        <v>54</v>
      </c>
      <c r="I4788" s="3">
        <v>1054</v>
      </c>
      <c r="J4788" s="3">
        <v>1054</v>
      </c>
      <c r="K4788" s="3">
        <v>442</v>
      </c>
      <c r="L4788" t="s">
        <v>98</v>
      </c>
      <c r="M4788">
        <v>17</v>
      </c>
      <c r="N4788" t="s">
        <v>14</v>
      </c>
      <c r="O4788" t="s">
        <v>11</v>
      </c>
      <c r="P4788" t="s">
        <v>15</v>
      </c>
      <c r="Q4788" t="s">
        <v>16</v>
      </c>
      <c r="R4788" t="s">
        <v>16</v>
      </c>
      <c r="S4788" t="s">
        <v>144</v>
      </c>
      <c r="T4788" s="2">
        <f>MASTER[[#This Row],[CANTIDAD]]*MASTER[[#This Row],[PRECIO DE VENTA]]</f>
        <v>1054</v>
      </c>
      <c r="U4788" s="2">
        <f>MASTER[[#This Row],[CANTIDAD]]*MASTER[[#This Row],[COSTO UNITARIO]]</f>
        <v>442</v>
      </c>
      <c r="V4788" s="2">
        <f>MASTER[[#This Row],[MONTO VENDIDO]]-MASTER[[#This Row],[COSTO DE VENTA]]</f>
        <v>612</v>
      </c>
    </row>
    <row r="4789" spans="1:22" x14ac:dyDescent="0.3">
      <c r="A4789">
        <v>69564</v>
      </c>
      <c r="B4789">
        <v>1</v>
      </c>
      <c r="C4789" t="s">
        <v>103</v>
      </c>
      <c r="D4789" t="s">
        <v>104</v>
      </c>
      <c r="E4789" s="1">
        <v>44361</v>
      </c>
      <c r="F4789">
        <v>1</v>
      </c>
      <c r="G4789" t="s">
        <v>35</v>
      </c>
      <c r="H4789" t="s">
        <v>36</v>
      </c>
      <c r="I4789" s="3">
        <v>1830</v>
      </c>
      <c r="J4789" s="3">
        <v>1830</v>
      </c>
      <c r="K4789" s="3">
        <v>421</v>
      </c>
      <c r="L4789" t="s">
        <v>98</v>
      </c>
      <c r="M4789">
        <v>3</v>
      </c>
      <c r="N4789" t="s">
        <v>69</v>
      </c>
      <c r="O4789" t="s">
        <v>70</v>
      </c>
      <c r="P4789" t="s">
        <v>71</v>
      </c>
      <c r="Q4789" t="s">
        <v>72</v>
      </c>
      <c r="R4789" t="s">
        <v>139</v>
      </c>
      <c r="S4789" t="s">
        <v>144</v>
      </c>
      <c r="T4789" s="2">
        <f>MASTER[[#This Row],[CANTIDAD]]*MASTER[[#This Row],[PRECIO DE VENTA]]</f>
        <v>1830</v>
      </c>
      <c r="U4789" s="2">
        <f>MASTER[[#This Row],[CANTIDAD]]*MASTER[[#This Row],[COSTO UNITARIO]]</f>
        <v>421</v>
      </c>
      <c r="V4789" s="2">
        <f>MASTER[[#This Row],[MONTO VENDIDO]]-MASTER[[#This Row],[COSTO DE VENTA]]</f>
        <v>1409</v>
      </c>
    </row>
    <row r="4790" spans="1:22" x14ac:dyDescent="0.3">
      <c r="A4790">
        <v>69576</v>
      </c>
      <c r="B4790">
        <v>1</v>
      </c>
      <c r="C4790" t="s">
        <v>107</v>
      </c>
      <c r="D4790" t="s">
        <v>108</v>
      </c>
      <c r="E4790" s="1">
        <v>44361</v>
      </c>
      <c r="F4790">
        <v>1</v>
      </c>
      <c r="G4790" t="s">
        <v>45</v>
      </c>
      <c r="H4790" t="s">
        <v>46</v>
      </c>
      <c r="I4790" s="3">
        <v>1240</v>
      </c>
      <c r="J4790" s="3">
        <v>1240</v>
      </c>
      <c r="K4790" s="3">
        <v>380</v>
      </c>
      <c r="L4790" t="s">
        <v>98</v>
      </c>
      <c r="M4790">
        <v>12</v>
      </c>
      <c r="N4790" t="s">
        <v>26</v>
      </c>
      <c r="O4790" t="s">
        <v>11</v>
      </c>
      <c r="P4790" t="s">
        <v>12</v>
      </c>
      <c r="Q4790" t="s">
        <v>13</v>
      </c>
      <c r="R4790" t="s">
        <v>13</v>
      </c>
      <c r="S4790" t="s">
        <v>144</v>
      </c>
      <c r="T4790" s="2">
        <f>MASTER[[#This Row],[CANTIDAD]]*MASTER[[#This Row],[PRECIO DE VENTA]]</f>
        <v>1240</v>
      </c>
      <c r="U4790" s="2">
        <f>MASTER[[#This Row],[CANTIDAD]]*MASTER[[#This Row],[COSTO UNITARIO]]</f>
        <v>380</v>
      </c>
      <c r="V4790" s="2">
        <f>MASTER[[#This Row],[MONTO VENDIDO]]-MASTER[[#This Row],[COSTO DE VENTA]]</f>
        <v>860</v>
      </c>
    </row>
    <row r="4791" spans="1:22" x14ac:dyDescent="0.3">
      <c r="A4791">
        <v>69579</v>
      </c>
      <c r="B4791">
        <v>1</v>
      </c>
      <c r="C4791" t="s">
        <v>101</v>
      </c>
      <c r="D4791" t="s">
        <v>102</v>
      </c>
      <c r="E4791" s="1">
        <v>44362</v>
      </c>
      <c r="F4791">
        <v>1</v>
      </c>
      <c r="G4791" t="s">
        <v>45</v>
      </c>
      <c r="H4791" t="s">
        <v>46</v>
      </c>
      <c r="I4791" s="3">
        <v>1357</v>
      </c>
      <c r="J4791" s="3">
        <v>1357</v>
      </c>
      <c r="K4791" s="3">
        <v>442</v>
      </c>
      <c r="L4791" t="s">
        <v>98</v>
      </c>
      <c r="M4791">
        <v>1</v>
      </c>
      <c r="N4791" t="s">
        <v>77</v>
      </c>
      <c r="O4791" t="s">
        <v>70</v>
      </c>
      <c r="P4791" t="s">
        <v>71</v>
      </c>
      <c r="Q4791" t="s">
        <v>72</v>
      </c>
      <c r="R4791" t="s">
        <v>139</v>
      </c>
      <c r="S4791" t="s">
        <v>144</v>
      </c>
      <c r="T4791" s="2">
        <f>MASTER[[#This Row],[CANTIDAD]]*MASTER[[#This Row],[PRECIO DE VENTA]]</f>
        <v>1357</v>
      </c>
      <c r="U4791" s="2">
        <f>MASTER[[#This Row],[CANTIDAD]]*MASTER[[#This Row],[COSTO UNITARIO]]</f>
        <v>442</v>
      </c>
      <c r="V4791" s="2">
        <f>MASTER[[#This Row],[MONTO VENDIDO]]-MASTER[[#This Row],[COSTO DE VENTA]]</f>
        <v>915</v>
      </c>
    </row>
    <row r="4792" spans="1:22" x14ac:dyDescent="0.3">
      <c r="A4792">
        <v>69597</v>
      </c>
      <c r="B4792">
        <v>1</v>
      </c>
      <c r="C4792" t="s">
        <v>107</v>
      </c>
      <c r="D4792" t="s">
        <v>108</v>
      </c>
      <c r="E4792" s="1">
        <v>44362</v>
      </c>
      <c r="F4792">
        <v>1</v>
      </c>
      <c r="G4792" t="s">
        <v>39</v>
      </c>
      <c r="H4792" t="s">
        <v>40</v>
      </c>
      <c r="I4792" s="3">
        <v>1440</v>
      </c>
      <c r="J4792" s="3">
        <v>1440</v>
      </c>
      <c r="K4792" s="3">
        <v>380</v>
      </c>
      <c r="L4792" t="s">
        <v>98</v>
      </c>
      <c r="M4792">
        <v>13</v>
      </c>
      <c r="N4792" t="s">
        <v>78</v>
      </c>
      <c r="O4792" t="s">
        <v>70</v>
      </c>
      <c r="P4792" t="s">
        <v>18</v>
      </c>
      <c r="Q4792" t="s">
        <v>19</v>
      </c>
      <c r="R4792" t="s">
        <v>138</v>
      </c>
      <c r="S4792" t="s">
        <v>144</v>
      </c>
      <c r="T4792" s="2">
        <f>MASTER[[#This Row],[CANTIDAD]]*MASTER[[#This Row],[PRECIO DE VENTA]]</f>
        <v>1440</v>
      </c>
      <c r="U4792" s="2">
        <f>MASTER[[#This Row],[CANTIDAD]]*MASTER[[#This Row],[COSTO UNITARIO]]</f>
        <v>380</v>
      </c>
      <c r="V4792" s="2">
        <f>MASTER[[#This Row],[MONTO VENDIDO]]-MASTER[[#This Row],[COSTO DE VENTA]]</f>
        <v>1060</v>
      </c>
    </row>
    <row r="4793" spans="1:22" x14ac:dyDescent="0.3">
      <c r="A4793">
        <v>69610</v>
      </c>
      <c r="B4793">
        <v>1</v>
      </c>
      <c r="C4793" t="s">
        <v>107</v>
      </c>
      <c r="D4793" t="s">
        <v>108</v>
      </c>
      <c r="E4793" s="1">
        <v>44362</v>
      </c>
      <c r="F4793">
        <v>1</v>
      </c>
      <c r="G4793" t="s">
        <v>73</v>
      </c>
      <c r="H4793" t="s">
        <v>74</v>
      </c>
      <c r="I4793" s="3">
        <v>1440</v>
      </c>
      <c r="J4793" s="3">
        <v>1440</v>
      </c>
      <c r="K4793" s="3">
        <v>380</v>
      </c>
      <c r="L4793" t="s">
        <v>98</v>
      </c>
      <c r="M4793">
        <v>13</v>
      </c>
      <c r="N4793" t="s">
        <v>78</v>
      </c>
      <c r="O4793" t="s">
        <v>70</v>
      </c>
      <c r="P4793" t="s">
        <v>18</v>
      </c>
      <c r="Q4793" t="s">
        <v>19</v>
      </c>
      <c r="R4793" t="s">
        <v>138</v>
      </c>
      <c r="S4793" t="s">
        <v>144</v>
      </c>
      <c r="T4793" s="2">
        <f>MASTER[[#This Row],[CANTIDAD]]*MASTER[[#This Row],[PRECIO DE VENTA]]</f>
        <v>1440</v>
      </c>
      <c r="U4793" s="2">
        <f>MASTER[[#This Row],[CANTIDAD]]*MASTER[[#This Row],[COSTO UNITARIO]]</f>
        <v>380</v>
      </c>
      <c r="V4793" s="2">
        <f>MASTER[[#This Row],[MONTO VENDIDO]]-MASTER[[#This Row],[COSTO DE VENTA]]</f>
        <v>1060</v>
      </c>
    </row>
    <row r="4794" spans="1:22" x14ac:dyDescent="0.3">
      <c r="A4794">
        <v>69626</v>
      </c>
      <c r="B4794">
        <v>1</v>
      </c>
      <c r="C4794" t="s">
        <v>107</v>
      </c>
      <c r="D4794" t="s">
        <v>108</v>
      </c>
      <c r="E4794" s="1">
        <v>44362</v>
      </c>
      <c r="F4794">
        <v>1</v>
      </c>
      <c r="G4794" t="s">
        <v>73</v>
      </c>
      <c r="H4794" t="s">
        <v>74</v>
      </c>
      <c r="I4794" s="3">
        <v>1240</v>
      </c>
      <c r="J4794" s="3">
        <v>1240</v>
      </c>
      <c r="K4794" s="3">
        <v>380</v>
      </c>
      <c r="L4794" t="s">
        <v>98</v>
      </c>
      <c r="M4794">
        <v>17</v>
      </c>
      <c r="N4794" t="s">
        <v>14</v>
      </c>
      <c r="O4794" t="s">
        <v>11</v>
      </c>
      <c r="P4794" t="s">
        <v>15</v>
      </c>
      <c r="Q4794" t="s">
        <v>16</v>
      </c>
      <c r="R4794" t="s">
        <v>16</v>
      </c>
      <c r="S4794" t="s">
        <v>144</v>
      </c>
      <c r="T4794" s="2">
        <f>MASTER[[#This Row],[CANTIDAD]]*MASTER[[#This Row],[PRECIO DE VENTA]]</f>
        <v>1240</v>
      </c>
      <c r="U4794" s="2">
        <f>MASTER[[#This Row],[CANTIDAD]]*MASTER[[#This Row],[COSTO UNITARIO]]</f>
        <v>380</v>
      </c>
      <c r="V4794" s="2">
        <f>MASTER[[#This Row],[MONTO VENDIDO]]-MASTER[[#This Row],[COSTO DE VENTA]]</f>
        <v>860</v>
      </c>
    </row>
    <row r="4795" spans="1:22" x14ac:dyDescent="0.3">
      <c r="A4795">
        <v>69635</v>
      </c>
      <c r="B4795">
        <v>1</v>
      </c>
      <c r="C4795" t="s">
        <v>109</v>
      </c>
      <c r="D4795" t="s">
        <v>110</v>
      </c>
      <c r="E4795" s="1">
        <v>44362</v>
      </c>
      <c r="F4795">
        <v>3</v>
      </c>
      <c r="G4795" t="s">
        <v>57</v>
      </c>
      <c r="H4795" t="s">
        <v>58</v>
      </c>
      <c r="I4795" s="3">
        <v>1128</v>
      </c>
      <c r="J4795" s="3">
        <v>1128</v>
      </c>
      <c r="K4795" s="3">
        <v>387</v>
      </c>
      <c r="L4795" t="s">
        <v>98</v>
      </c>
      <c r="M4795">
        <v>9</v>
      </c>
      <c r="N4795" t="s">
        <v>76</v>
      </c>
      <c r="O4795" t="s">
        <v>70</v>
      </c>
      <c r="P4795" t="s">
        <v>12</v>
      </c>
      <c r="Q4795" t="s">
        <v>13</v>
      </c>
      <c r="R4795" t="s">
        <v>13</v>
      </c>
      <c r="S4795" t="s">
        <v>144</v>
      </c>
      <c r="T4795" s="2">
        <f>MASTER[[#This Row],[CANTIDAD]]*MASTER[[#This Row],[PRECIO DE VENTA]]</f>
        <v>3384</v>
      </c>
      <c r="U4795" s="2">
        <f>MASTER[[#This Row],[CANTIDAD]]*MASTER[[#This Row],[COSTO UNITARIO]]</f>
        <v>1161</v>
      </c>
      <c r="V4795" s="2">
        <f>MASTER[[#This Row],[MONTO VENDIDO]]-MASTER[[#This Row],[COSTO DE VENTA]]</f>
        <v>2223</v>
      </c>
    </row>
    <row r="4796" spans="1:22" x14ac:dyDescent="0.3">
      <c r="A4796">
        <v>69644</v>
      </c>
      <c r="B4796">
        <v>1</v>
      </c>
      <c r="C4796" t="s">
        <v>90</v>
      </c>
      <c r="D4796" t="s">
        <v>91</v>
      </c>
      <c r="E4796" s="1">
        <v>44362</v>
      </c>
      <c r="F4796">
        <v>1</v>
      </c>
      <c r="G4796" t="s">
        <v>73</v>
      </c>
      <c r="H4796" t="s">
        <v>74</v>
      </c>
      <c r="I4796" s="3">
        <v>1844</v>
      </c>
      <c r="J4796" s="3">
        <v>1844</v>
      </c>
      <c r="K4796" s="3">
        <v>420</v>
      </c>
      <c r="L4796" t="s">
        <v>9</v>
      </c>
      <c r="M4796">
        <v>5</v>
      </c>
      <c r="N4796" t="s">
        <v>85</v>
      </c>
      <c r="O4796" t="s">
        <v>81</v>
      </c>
      <c r="P4796" t="s">
        <v>12</v>
      </c>
      <c r="Q4796" t="s">
        <v>13</v>
      </c>
      <c r="R4796" t="s">
        <v>13</v>
      </c>
      <c r="S4796" t="s">
        <v>144</v>
      </c>
      <c r="T4796" s="2">
        <f>MASTER[[#This Row],[CANTIDAD]]*MASTER[[#This Row],[PRECIO DE VENTA]]</f>
        <v>1844</v>
      </c>
      <c r="U4796" s="2">
        <f>MASTER[[#This Row],[CANTIDAD]]*MASTER[[#This Row],[COSTO UNITARIO]]</f>
        <v>420</v>
      </c>
      <c r="V4796" s="2">
        <f>MASTER[[#This Row],[MONTO VENDIDO]]-MASTER[[#This Row],[COSTO DE VENTA]]</f>
        <v>1424</v>
      </c>
    </row>
    <row r="4797" spans="1:22" x14ac:dyDescent="0.3">
      <c r="A4797">
        <v>69648</v>
      </c>
      <c r="B4797">
        <v>1</v>
      </c>
      <c r="C4797" t="s">
        <v>109</v>
      </c>
      <c r="D4797" t="s">
        <v>110</v>
      </c>
      <c r="E4797" s="1">
        <v>44362</v>
      </c>
      <c r="F4797">
        <v>1</v>
      </c>
      <c r="G4797" t="s">
        <v>24</v>
      </c>
      <c r="H4797" t="s">
        <v>25</v>
      </c>
      <c r="I4797" s="3">
        <v>1064</v>
      </c>
      <c r="J4797" s="3">
        <v>1064</v>
      </c>
      <c r="K4797" s="3">
        <v>387</v>
      </c>
      <c r="L4797" t="s">
        <v>98</v>
      </c>
      <c r="M4797">
        <v>14</v>
      </c>
      <c r="N4797" t="s">
        <v>87</v>
      </c>
      <c r="O4797" t="s">
        <v>81</v>
      </c>
      <c r="P4797" t="s">
        <v>18</v>
      </c>
      <c r="Q4797" t="s">
        <v>19</v>
      </c>
      <c r="R4797" t="s">
        <v>138</v>
      </c>
      <c r="S4797" t="s">
        <v>144</v>
      </c>
      <c r="T4797" s="2">
        <f>MASTER[[#This Row],[CANTIDAD]]*MASTER[[#This Row],[PRECIO DE VENTA]]</f>
        <v>1064</v>
      </c>
      <c r="U4797" s="2">
        <f>MASTER[[#This Row],[CANTIDAD]]*MASTER[[#This Row],[COSTO UNITARIO]]</f>
        <v>387</v>
      </c>
      <c r="V4797" s="2">
        <f>MASTER[[#This Row],[MONTO VENDIDO]]-MASTER[[#This Row],[COSTO DE VENTA]]</f>
        <v>677</v>
      </c>
    </row>
    <row r="4798" spans="1:22" x14ac:dyDescent="0.3">
      <c r="A4798">
        <v>69655</v>
      </c>
      <c r="B4798">
        <v>1</v>
      </c>
      <c r="C4798" t="s">
        <v>116</v>
      </c>
      <c r="D4798" t="s">
        <v>117</v>
      </c>
      <c r="E4798" s="1">
        <v>44362</v>
      </c>
      <c r="F4798">
        <v>1</v>
      </c>
      <c r="G4798" t="s">
        <v>7</v>
      </c>
      <c r="H4798" t="s">
        <v>8</v>
      </c>
      <c r="I4798" s="3">
        <v>1999</v>
      </c>
      <c r="J4798" s="3">
        <v>1999</v>
      </c>
      <c r="K4798" s="3">
        <v>388</v>
      </c>
      <c r="L4798" t="s">
        <v>113</v>
      </c>
      <c r="M4798">
        <v>3</v>
      </c>
      <c r="N4798" t="s">
        <v>69</v>
      </c>
      <c r="O4798" t="s">
        <v>70</v>
      </c>
      <c r="P4798" t="s">
        <v>71</v>
      </c>
      <c r="Q4798" t="s">
        <v>72</v>
      </c>
      <c r="R4798" t="s">
        <v>139</v>
      </c>
      <c r="S4798" t="s">
        <v>144</v>
      </c>
      <c r="T4798" s="2">
        <f>MASTER[[#This Row],[CANTIDAD]]*MASTER[[#This Row],[PRECIO DE VENTA]]</f>
        <v>1999</v>
      </c>
      <c r="U4798" s="2">
        <f>MASTER[[#This Row],[CANTIDAD]]*MASTER[[#This Row],[COSTO UNITARIO]]</f>
        <v>388</v>
      </c>
      <c r="V4798" s="2">
        <f>MASTER[[#This Row],[MONTO VENDIDO]]-MASTER[[#This Row],[COSTO DE VENTA]]</f>
        <v>1611</v>
      </c>
    </row>
    <row r="4799" spans="1:22" x14ac:dyDescent="0.3">
      <c r="A4799">
        <v>69674</v>
      </c>
      <c r="B4799">
        <v>1</v>
      </c>
      <c r="C4799" t="s">
        <v>92</v>
      </c>
      <c r="D4799" t="s">
        <v>93</v>
      </c>
      <c r="E4799" s="1">
        <v>44362</v>
      </c>
      <c r="F4799">
        <v>1</v>
      </c>
      <c r="G4799" t="s">
        <v>63</v>
      </c>
      <c r="H4799" t="s">
        <v>64</v>
      </c>
      <c r="I4799" s="3">
        <v>1479</v>
      </c>
      <c r="J4799" s="3">
        <v>1479</v>
      </c>
      <c r="K4799" s="3">
        <v>396</v>
      </c>
      <c r="L4799" t="s">
        <v>9</v>
      </c>
      <c r="M4799">
        <v>11</v>
      </c>
      <c r="N4799" t="s">
        <v>10</v>
      </c>
      <c r="O4799" t="s">
        <v>11</v>
      </c>
      <c r="P4799" t="s">
        <v>12</v>
      </c>
      <c r="Q4799" t="s">
        <v>13</v>
      </c>
      <c r="R4799" t="s">
        <v>13</v>
      </c>
      <c r="S4799" t="s">
        <v>144</v>
      </c>
      <c r="T4799" s="2">
        <f>MASTER[[#This Row],[CANTIDAD]]*MASTER[[#This Row],[PRECIO DE VENTA]]</f>
        <v>1479</v>
      </c>
      <c r="U4799" s="2">
        <f>MASTER[[#This Row],[CANTIDAD]]*MASTER[[#This Row],[COSTO UNITARIO]]</f>
        <v>396</v>
      </c>
      <c r="V4799" s="2">
        <f>MASTER[[#This Row],[MONTO VENDIDO]]-MASTER[[#This Row],[COSTO DE VENTA]]</f>
        <v>1083</v>
      </c>
    </row>
    <row r="4800" spans="1:22" x14ac:dyDescent="0.3">
      <c r="A4800">
        <v>69676</v>
      </c>
      <c r="B4800">
        <v>1</v>
      </c>
      <c r="C4800" t="s">
        <v>111</v>
      </c>
      <c r="D4800" t="s">
        <v>112</v>
      </c>
      <c r="E4800" s="1">
        <v>44363</v>
      </c>
      <c r="F4800">
        <v>1</v>
      </c>
      <c r="G4800" t="s">
        <v>49</v>
      </c>
      <c r="H4800" t="s">
        <v>50</v>
      </c>
      <c r="I4800" s="3">
        <v>1524</v>
      </c>
      <c r="J4800" s="3">
        <v>1524</v>
      </c>
      <c r="K4800" s="3">
        <v>434</v>
      </c>
      <c r="L4800" t="s">
        <v>113</v>
      </c>
      <c r="M4800">
        <v>11</v>
      </c>
      <c r="N4800" t="s">
        <v>10</v>
      </c>
      <c r="O4800" t="s">
        <v>11</v>
      </c>
      <c r="P4800" t="s">
        <v>12</v>
      </c>
      <c r="Q4800" t="s">
        <v>13</v>
      </c>
      <c r="R4800" t="s">
        <v>13</v>
      </c>
      <c r="S4800" t="s">
        <v>144</v>
      </c>
      <c r="T4800" s="2">
        <f>MASTER[[#This Row],[CANTIDAD]]*MASTER[[#This Row],[PRECIO DE VENTA]]</f>
        <v>1524</v>
      </c>
      <c r="U4800" s="2">
        <f>MASTER[[#This Row],[CANTIDAD]]*MASTER[[#This Row],[COSTO UNITARIO]]</f>
        <v>434</v>
      </c>
      <c r="V4800" s="2">
        <f>MASTER[[#This Row],[MONTO VENDIDO]]-MASTER[[#This Row],[COSTO DE VENTA]]</f>
        <v>1090</v>
      </c>
    </row>
    <row r="4801" spans="1:22" x14ac:dyDescent="0.3">
      <c r="A4801">
        <v>69703</v>
      </c>
      <c r="B4801">
        <v>1</v>
      </c>
      <c r="C4801" t="s">
        <v>92</v>
      </c>
      <c r="D4801" t="s">
        <v>93</v>
      </c>
      <c r="E4801" s="1">
        <v>44363</v>
      </c>
      <c r="F4801">
        <v>1</v>
      </c>
      <c r="G4801" t="s">
        <v>43</v>
      </c>
      <c r="H4801" t="s">
        <v>44</v>
      </c>
      <c r="I4801" s="3">
        <v>1681</v>
      </c>
      <c r="J4801" s="3">
        <v>1681</v>
      </c>
      <c r="K4801" s="3">
        <v>396</v>
      </c>
      <c r="L4801" t="s">
        <v>9</v>
      </c>
      <c r="M4801">
        <v>2</v>
      </c>
      <c r="N4801" t="s">
        <v>86</v>
      </c>
      <c r="O4801" t="s">
        <v>81</v>
      </c>
      <c r="P4801" t="s">
        <v>71</v>
      </c>
      <c r="Q4801" t="s">
        <v>72</v>
      </c>
      <c r="R4801" t="s">
        <v>139</v>
      </c>
      <c r="S4801" t="s">
        <v>144</v>
      </c>
      <c r="T4801" s="2">
        <f>MASTER[[#This Row],[CANTIDAD]]*MASTER[[#This Row],[PRECIO DE VENTA]]</f>
        <v>1681</v>
      </c>
      <c r="U4801" s="2">
        <f>MASTER[[#This Row],[CANTIDAD]]*MASTER[[#This Row],[COSTO UNITARIO]]</f>
        <v>396</v>
      </c>
      <c r="V4801" s="2">
        <f>MASTER[[#This Row],[MONTO VENDIDO]]-MASTER[[#This Row],[COSTO DE VENTA]]</f>
        <v>1285</v>
      </c>
    </row>
    <row r="4802" spans="1:22" x14ac:dyDescent="0.3">
      <c r="A4802">
        <v>69707</v>
      </c>
      <c r="B4802">
        <v>1</v>
      </c>
      <c r="C4802" t="s">
        <v>107</v>
      </c>
      <c r="D4802" t="s">
        <v>108</v>
      </c>
      <c r="E4802" s="1">
        <v>44363</v>
      </c>
      <c r="F4802">
        <v>3</v>
      </c>
      <c r="G4802" t="s">
        <v>27</v>
      </c>
      <c r="H4802" t="s">
        <v>28</v>
      </c>
      <c r="I4802" s="3">
        <v>1333</v>
      </c>
      <c r="J4802" s="3">
        <v>1333</v>
      </c>
      <c r="K4802" s="3">
        <v>380</v>
      </c>
      <c r="L4802" t="s">
        <v>98</v>
      </c>
      <c r="M4802">
        <v>2</v>
      </c>
      <c r="N4802" t="s">
        <v>86</v>
      </c>
      <c r="O4802" t="s">
        <v>81</v>
      </c>
      <c r="P4802" t="s">
        <v>71</v>
      </c>
      <c r="Q4802" t="s">
        <v>72</v>
      </c>
      <c r="R4802" t="s">
        <v>139</v>
      </c>
      <c r="S4802" t="s">
        <v>144</v>
      </c>
      <c r="T4802" s="2">
        <f>MASTER[[#This Row],[CANTIDAD]]*MASTER[[#This Row],[PRECIO DE VENTA]]</f>
        <v>3999</v>
      </c>
      <c r="U4802" s="2">
        <f>MASTER[[#This Row],[CANTIDAD]]*MASTER[[#This Row],[COSTO UNITARIO]]</f>
        <v>1140</v>
      </c>
      <c r="V4802" s="2">
        <f>MASTER[[#This Row],[MONTO VENDIDO]]-MASTER[[#This Row],[COSTO DE VENTA]]</f>
        <v>2859</v>
      </c>
    </row>
    <row r="4803" spans="1:22" x14ac:dyDescent="0.3">
      <c r="A4803">
        <v>69712</v>
      </c>
      <c r="B4803">
        <v>1</v>
      </c>
      <c r="C4803" t="s">
        <v>94</v>
      </c>
      <c r="D4803" t="s">
        <v>95</v>
      </c>
      <c r="E4803" s="1">
        <v>44363</v>
      </c>
      <c r="F4803">
        <v>1</v>
      </c>
      <c r="G4803" t="s">
        <v>29</v>
      </c>
      <c r="H4803" t="s">
        <v>30</v>
      </c>
      <c r="I4803" s="3">
        <v>901</v>
      </c>
      <c r="J4803" s="3">
        <v>846</v>
      </c>
      <c r="K4803" s="3">
        <v>392</v>
      </c>
      <c r="L4803" t="s">
        <v>9</v>
      </c>
      <c r="M4803">
        <v>12</v>
      </c>
      <c r="N4803" t="s">
        <v>26</v>
      </c>
      <c r="O4803" t="s">
        <v>11</v>
      </c>
      <c r="P4803" t="s">
        <v>12</v>
      </c>
      <c r="Q4803" t="s">
        <v>13</v>
      </c>
      <c r="R4803" t="s">
        <v>13</v>
      </c>
      <c r="S4803" t="s">
        <v>144</v>
      </c>
      <c r="T4803" s="2">
        <f>MASTER[[#This Row],[CANTIDAD]]*MASTER[[#This Row],[PRECIO DE VENTA]]</f>
        <v>846</v>
      </c>
      <c r="U4803" s="2">
        <f>MASTER[[#This Row],[CANTIDAD]]*MASTER[[#This Row],[COSTO UNITARIO]]</f>
        <v>392</v>
      </c>
      <c r="V4803" s="2">
        <f>MASTER[[#This Row],[MONTO VENDIDO]]-MASTER[[#This Row],[COSTO DE VENTA]]</f>
        <v>454</v>
      </c>
    </row>
    <row r="4804" spans="1:22" x14ac:dyDescent="0.3">
      <c r="A4804">
        <v>69725</v>
      </c>
      <c r="B4804">
        <v>1</v>
      </c>
      <c r="C4804" t="s">
        <v>94</v>
      </c>
      <c r="D4804" t="s">
        <v>95</v>
      </c>
      <c r="E4804" s="1">
        <v>44363</v>
      </c>
      <c r="F4804">
        <v>1</v>
      </c>
      <c r="G4804" t="s">
        <v>33</v>
      </c>
      <c r="H4804" t="s">
        <v>34</v>
      </c>
      <c r="I4804" s="3">
        <v>1048</v>
      </c>
      <c r="J4804" s="3">
        <v>1048</v>
      </c>
      <c r="K4804" s="3">
        <v>392</v>
      </c>
      <c r="L4804" t="s">
        <v>9</v>
      </c>
      <c r="M4804">
        <v>14</v>
      </c>
      <c r="N4804" t="s">
        <v>87</v>
      </c>
      <c r="O4804" t="s">
        <v>81</v>
      </c>
      <c r="P4804" t="s">
        <v>18</v>
      </c>
      <c r="Q4804" t="s">
        <v>19</v>
      </c>
      <c r="R4804" t="s">
        <v>138</v>
      </c>
      <c r="S4804" t="s">
        <v>144</v>
      </c>
      <c r="T4804" s="2">
        <f>MASTER[[#This Row],[CANTIDAD]]*MASTER[[#This Row],[PRECIO DE VENTA]]</f>
        <v>1048</v>
      </c>
      <c r="U4804" s="2">
        <f>MASTER[[#This Row],[CANTIDAD]]*MASTER[[#This Row],[COSTO UNITARIO]]</f>
        <v>392</v>
      </c>
      <c r="V4804" s="2">
        <f>MASTER[[#This Row],[MONTO VENDIDO]]-MASTER[[#This Row],[COSTO DE VENTA]]</f>
        <v>656</v>
      </c>
    </row>
    <row r="4805" spans="1:22" x14ac:dyDescent="0.3">
      <c r="A4805">
        <v>69725</v>
      </c>
      <c r="B4805">
        <v>2</v>
      </c>
      <c r="C4805" t="s">
        <v>105</v>
      </c>
      <c r="D4805" t="s">
        <v>106</v>
      </c>
      <c r="E4805" s="1">
        <v>44363</v>
      </c>
      <c r="F4805">
        <v>1</v>
      </c>
      <c r="G4805" t="s">
        <v>43</v>
      </c>
      <c r="H4805" t="s">
        <v>44</v>
      </c>
      <c r="I4805" s="3">
        <v>1865</v>
      </c>
      <c r="J4805" s="3">
        <v>1865</v>
      </c>
      <c r="K4805" s="3">
        <v>459</v>
      </c>
      <c r="L4805" t="s">
        <v>98</v>
      </c>
      <c r="M4805">
        <v>14</v>
      </c>
      <c r="N4805" t="s">
        <v>87</v>
      </c>
      <c r="O4805" t="s">
        <v>81</v>
      </c>
      <c r="P4805" t="s">
        <v>18</v>
      </c>
      <c r="Q4805" t="s">
        <v>19</v>
      </c>
      <c r="R4805" t="s">
        <v>138</v>
      </c>
      <c r="S4805" t="s">
        <v>144</v>
      </c>
      <c r="T4805" s="2">
        <f>MASTER[[#This Row],[CANTIDAD]]*MASTER[[#This Row],[PRECIO DE VENTA]]</f>
        <v>1865</v>
      </c>
      <c r="U4805" s="2">
        <f>MASTER[[#This Row],[CANTIDAD]]*MASTER[[#This Row],[COSTO UNITARIO]]</f>
        <v>459</v>
      </c>
      <c r="V4805" s="2">
        <f>MASTER[[#This Row],[MONTO VENDIDO]]-MASTER[[#This Row],[COSTO DE VENTA]]</f>
        <v>1406</v>
      </c>
    </row>
    <row r="4806" spans="1:22" x14ac:dyDescent="0.3">
      <c r="A4806">
        <v>69737</v>
      </c>
      <c r="B4806">
        <v>1</v>
      </c>
      <c r="C4806" t="s">
        <v>105</v>
      </c>
      <c r="D4806" t="s">
        <v>106</v>
      </c>
      <c r="E4806" s="1">
        <v>44363</v>
      </c>
      <c r="F4806">
        <v>1</v>
      </c>
      <c r="G4806" t="s">
        <v>29</v>
      </c>
      <c r="H4806" t="s">
        <v>30</v>
      </c>
      <c r="I4806" s="3">
        <v>2033</v>
      </c>
      <c r="J4806" s="3">
        <v>2033</v>
      </c>
      <c r="K4806" s="3">
        <v>459</v>
      </c>
      <c r="L4806" t="s">
        <v>98</v>
      </c>
      <c r="M4806">
        <v>18</v>
      </c>
      <c r="N4806" t="s">
        <v>79</v>
      </c>
      <c r="O4806" t="s">
        <v>70</v>
      </c>
      <c r="P4806" t="s">
        <v>15</v>
      </c>
      <c r="Q4806" t="s">
        <v>16</v>
      </c>
      <c r="R4806" t="s">
        <v>16</v>
      </c>
      <c r="S4806" t="s">
        <v>144</v>
      </c>
      <c r="T4806" s="2">
        <f>MASTER[[#This Row],[CANTIDAD]]*MASTER[[#This Row],[PRECIO DE VENTA]]</f>
        <v>2033</v>
      </c>
      <c r="U4806" s="2">
        <f>MASTER[[#This Row],[CANTIDAD]]*MASTER[[#This Row],[COSTO UNITARIO]]</f>
        <v>459</v>
      </c>
      <c r="V4806" s="2">
        <f>MASTER[[#This Row],[MONTO VENDIDO]]-MASTER[[#This Row],[COSTO DE VENTA]]</f>
        <v>1574</v>
      </c>
    </row>
    <row r="4807" spans="1:22" x14ac:dyDescent="0.3">
      <c r="A4807">
        <v>69746</v>
      </c>
      <c r="B4807">
        <v>1</v>
      </c>
      <c r="C4807" t="s">
        <v>111</v>
      </c>
      <c r="D4807" t="s">
        <v>112</v>
      </c>
      <c r="E4807" s="1">
        <v>44364</v>
      </c>
      <c r="F4807">
        <v>1</v>
      </c>
      <c r="G4807" t="s">
        <v>31</v>
      </c>
      <c r="H4807" t="s">
        <v>32</v>
      </c>
      <c r="I4807" s="3">
        <v>1524</v>
      </c>
      <c r="J4807" s="3">
        <v>1524</v>
      </c>
      <c r="K4807" s="3">
        <v>434</v>
      </c>
      <c r="L4807" t="s">
        <v>113</v>
      </c>
      <c r="M4807">
        <v>11</v>
      </c>
      <c r="N4807" t="s">
        <v>10</v>
      </c>
      <c r="O4807" t="s">
        <v>11</v>
      </c>
      <c r="P4807" t="s">
        <v>12</v>
      </c>
      <c r="Q4807" t="s">
        <v>13</v>
      </c>
      <c r="R4807" t="s">
        <v>13</v>
      </c>
      <c r="S4807" t="s">
        <v>144</v>
      </c>
      <c r="T4807" s="2">
        <f>MASTER[[#This Row],[CANTIDAD]]*MASTER[[#This Row],[PRECIO DE VENTA]]</f>
        <v>1524</v>
      </c>
      <c r="U4807" s="2">
        <f>MASTER[[#This Row],[CANTIDAD]]*MASTER[[#This Row],[COSTO UNITARIO]]</f>
        <v>434</v>
      </c>
      <c r="V4807" s="2">
        <f>MASTER[[#This Row],[MONTO VENDIDO]]-MASTER[[#This Row],[COSTO DE VENTA]]</f>
        <v>1090</v>
      </c>
    </row>
    <row r="4808" spans="1:22" x14ac:dyDescent="0.3">
      <c r="A4808">
        <v>69760</v>
      </c>
      <c r="B4808">
        <v>1</v>
      </c>
      <c r="C4808" t="s">
        <v>114</v>
      </c>
      <c r="D4808" t="s">
        <v>115</v>
      </c>
      <c r="E4808" s="1">
        <v>44364</v>
      </c>
      <c r="F4808">
        <v>1</v>
      </c>
      <c r="G4808" t="s">
        <v>35</v>
      </c>
      <c r="H4808" t="s">
        <v>36</v>
      </c>
      <c r="I4808" s="3">
        <v>2030</v>
      </c>
      <c r="J4808" s="3">
        <v>2030</v>
      </c>
      <c r="K4808" s="3">
        <v>394</v>
      </c>
      <c r="L4808" t="s">
        <v>113</v>
      </c>
      <c r="M4808">
        <v>1</v>
      </c>
      <c r="N4808" t="s">
        <v>77</v>
      </c>
      <c r="O4808" t="s">
        <v>70</v>
      </c>
      <c r="P4808" t="s">
        <v>71</v>
      </c>
      <c r="Q4808" t="s">
        <v>72</v>
      </c>
      <c r="R4808" t="s">
        <v>139</v>
      </c>
      <c r="S4808" t="s">
        <v>144</v>
      </c>
      <c r="T4808" s="2">
        <f>MASTER[[#This Row],[CANTIDAD]]*MASTER[[#This Row],[PRECIO DE VENTA]]</f>
        <v>2030</v>
      </c>
      <c r="U4808" s="2">
        <f>MASTER[[#This Row],[CANTIDAD]]*MASTER[[#This Row],[COSTO UNITARIO]]</f>
        <v>394</v>
      </c>
      <c r="V4808" s="2">
        <f>MASTER[[#This Row],[MONTO VENDIDO]]-MASTER[[#This Row],[COSTO DE VENTA]]</f>
        <v>1636</v>
      </c>
    </row>
    <row r="4809" spans="1:22" x14ac:dyDescent="0.3">
      <c r="A4809">
        <v>69768</v>
      </c>
      <c r="B4809">
        <v>1</v>
      </c>
      <c r="C4809" t="s">
        <v>5</v>
      </c>
      <c r="D4809" t="s">
        <v>6</v>
      </c>
      <c r="E4809" s="1">
        <v>44364</v>
      </c>
      <c r="F4809">
        <v>1</v>
      </c>
      <c r="G4809" t="s">
        <v>37</v>
      </c>
      <c r="H4809" t="s">
        <v>38</v>
      </c>
      <c r="I4809" s="3">
        <v>1296</v>
      </c>
      <c r="J4809" s="3">
        <v>1296</v>
      </c>
      <c r="K4809" s="3">
        <v>393</v>
      </c>
      <c r="L4809" t="s">
        <v>9</v>
      </c>
      <c r="M4809">
        <v>1</v>
      </c>
      <c r="N4809" t="s">
        <v>77</v>
      </c>
      <c r="O4809" t="s">
        <v>70</v>
      </c>
      <c r="P4809" t="s">
        <v>71</v>
      </c>
      <c r="Q4809" t="s">
        <v>72</v>
      </c>
      <c r="R4809" t="s">
        <v>139</v>
      </c>
      <c r="S4809" t="s">
        <v>144</v>
      </c>
      <c r="T4809" s="2">
        <f>MASTER[[#This Row],[CANTIDAD]]*MASTER[[#This Row],[PRECIO DE VENTA]]</f>
        <v>1296</v>
      </c>
      <c r="U4809" s="2">
        <f>MASTER[[#This Row],[CANTIDAD]]*MASTER[[#This Row],[COSTO UNITARIO]]</f>
        <v>393</v>
      </c>
      <c r="V4809" s="2">
        <f>MASTER[[#This Row],[MONTO VENDIDO]]-MASTER[[#This Row],[COSTO DE VENTA]]</f>
        <v>903</v>
      </c>
    </row>
    <row r="4810" spans="1:22" x14ac:dyDescent="0.3">
      <c r="A4810">
        <v>69775</v>
      </c>
      <c r="B4810">
        <v>1</v>
      </c>
      <c r="C4810" t="s">
        <v>5</v>
      </c>
      <c r="D4810" t="s">
        <v>6</v>
      </c>
      <c r="E4810" s="1">
        <v>44364</v>
      </c>
      <c r="F4810">
        <v>1</v>
      </c>
      <c r="G4810" t="s">
        <v>43</v>
      </c>
      <c r="H4810" t="s">
        <v>44</v>
      </c>
      <c r="I4810" s="3">
        <v>1311</v>
      </c>
      <c r="J4810" s="3">
        <v>1311</v>
      </c>
      <c r="K4810" s="3">
        <v>393</v>
      </c>
      <c r="L4810" t="s">
        <v>9</v>
      </c>
      <c r="M4810">
        <v>12</v>
      </c>
      <c r="N4810" t="s">
        <v>26</v>
      </c>
      <c r="O4810" t="s">
        <v>11</v>
      </c>
      <c r="P4810" t="s">
        <v>12</v>
      </c>
      <c r="Q4810" t="s">
        <v>13</v>
      </c>
      <c r="R4810" t="s">
        <v>13</v>
      </c>
      <c r="S4810" t="s">
        <v>144</v>
      </c>
      <c r="T4810" s="2">
        <f>MASTER[[#This Row],[CANTIDAD]]*MASTER[[#This Row],[PRECIO DE VENTA]]</f>
        <v>1311</v>
      </c>
      <c r="U4810" s="2">
        <f>MASTER[[#This Row],[CANTIDAD]]*MASTER[[#This Row],[COSTO UNITARIO]]</f>
        <v>393</v>
      </c>
      <c r="V4810" s="2">
        <f>MASTER[[#This Row],[MONTO VENDIDO]]-MASTER[[#This Row],[COSTO DE VENTA]]</f>
        <v>918</v>
      </c>
    </row>
    <row r="4811" spans="1:22" x14ac:dyDescent="0.3">
      <c r="A4811">
        <v>69787</v>
      </c>
      <c r="B4811">
        <v>2</v>
      </c>
      <c r="C4811" t="s">
        <v>90</v>
      </c>
      <c r="D4811" t="s">
        <v>91</v>
      </c>
      <c r="E4811" s="1">
        <v>44364</v>
      </c>
      <c r="F4811">
        <v>1</v>
      </c>
      <c r="G4811" t="s">
        <v>7</v>
      </c>
      <c r="H4811" t="s">
        <v>8</v>
      </c>
      <c r="I4811" s="3">
        <v>1844</v>
      </c>
      <c r="J4811" s="3">
        <v>1844</v>
      </c>
      <c r="K4811" s="3">
        <v>420</v>
      </c>
      <c r="L4811" t="s">
        <v>9</v>
      </c>
      <c r="M4811">
        <v>15</v>
      </c>
      <c r="N4811" t="s">
        <v>88</v>
      </c>
      <c r="O4811" t="s">
        <v>81</v>
      </c>
      <c r="P4811" t="s">
        <v>18</v>
      </c>
      <c r="Q4811" t="s">
        <v>19</v>
      </c>
      <c r="R4811" t="s">
        <v>138</v>
      </c>
      <c r="S4811" t="s">
        <v>144</v>
      </c>
      <c r="T4811" s="2">
        <f>MASTER[[#This Row],[CANTIDAD]]*MASTER[[#This Row],[PRECIO DE VENTA]]</f>
        <v>1844</v>
      </c>
      <c r="U4811" s="2">
        <f>MASTER[[#This Row],[CANTIDAD]]*MASTER[[#This Row],[COSTO UNITARIO]]</f>
        <v>420</v>
      </c>
      <c r="V4811" s="2">
        <f>MASTER[[#This Row],[MONTO VENDIDO]]-MASTER[[#This Row],[COSTO DE VENTA]]</f>
        <v>1424</v>
      </c>
    </row>
    <row r="4812" spans="1:22" x14ac:dyDescent="0.3">
      <c r="A4812">
        <v>69787</v>
      </c>
      <c r="B4812">
        <v>1</v>
      </c>
      <c r="C4812" t="s">
        <v>118</v>
      </c>
      <c r="D4812" t="s">
        <v>119</v>
      </c>
      <c r="E4812" s="1">
        <v>44364</v>
      </c>
      <c r="F4812">
        <v>1</v>
      </c>
      <c r="G4812" t="s">
        <v>49</v>
      </c>
      <c r="H4812" t="s">
        <v>50</v>
      </c>
      <c r="I4812" s="3">
        <v>900</v>
      </c>
      <c r="J4812" s="3">
        <v>900</v>
      </c>
      <c r="K4812" s="3">
        <v>424</v>
      </c>
      <c r="L4812" t="s">
        <v>120</v>
      </c>
      <c r="M4812">
        <v>15</v>
      </c>
      <c r="N4812" t="s">
        <v>88</v>
      </c>
      <c r="O4812" t="s">
        <v>81</v>
      </c>
      <c r="P4812" t="s">
        <v>18</v>
      </c>
      <c r="Q4812" t="s">
        <v>19</v>
      </c>
      <c r="R4812" t="s">
        <v>138</v>
      </c>
      <c r="S4812" t="s">
        <v>144</v>
      </c>
      <c r="T4812" s="2">
        <f>MASTER[[#This Row],[CANTIDAD]]*MASTER[[#This Row],[PRECIO DE VENTA]]</f>
        <v>900</v>
      </c>
      <c r="U4812" s="2">
        <f>MASTER[[#This Row],[CANTIDAD]]*MASTER[[#This Row],[COSTO UNITARIO]]</f>
        <v>424</v>
      </c>
      <c r="V4812" s="2">
        <f>MASTER[[#This Row],[MONTO VENDIDO]]-MASTER[[#This Row],[COSTO DE VENTA]]</f>
        <v>476</v>
      </c>
    </row>
    <row r="4813" spans="1:22" x14ac:dyDescent="0.3">
      <c r="A4813">
        <v>69796</v>
      </c>
      <c r="B4813">
        <v>1</v>
      </c>
      <c r="C4813" t="s">
        <v>111</v>
      </c>
      <c r="D4813" t="s">
        <v>112</v>
      </c>
      <c r="E4813" s="1">
        <v>44364</v>
      </c>
      <c r="F4813">
        <v>1</v>
      </c>
      <c r="G4813" t="s">
        <v>47</v>
      </c>
      <c r="H4813" t="s">
        <v>48</v>
      </c>
      <c r="I4813" s="3">
        <v>1621</v>
      </c>
      <c r="J4813" s="3">
        <v>1621</v>
      </c>
      <c r="K4813" s="3">
        <v>434</v>
      </c>
      <c r="L4813" t="s">
        <v>113</v>
      </c>
      <c r="M4813">
        <v>8</v>
      </c>
      <c r="N4813" t="s">
        <v>80</v>
      </c>
      <c r="O4813" t="s">
        <v>81</v>
      </c>
      <c r="P4813" t="s">
        <v>12</v>
      </c>
      <c r="Q4813" t="s">
        <v>13</v>
      </c>
      <c r="R4813" t="s">
        <v>13</v>
      </c>
      <c r="S4813" t="s">
        <v>144</v>
      </c>
      <c r="T4813" s="2">
        <f>MASTER[[#This Row],[CANTIDAD]]*MASTER[[#This Row],[PRECIO DE VENTA]]</f>
        <v>1621</v>
      </c>
      <c r="U4813" s="2">
        <f>MASTER[[#This Row],[CANTIDAD]]*MASTER[[#This Row],[COSTO UNITARIO]]</f>
        <v>434</v>
      </c>
      <c r="V4813" s="2">
        <f>MASTER[[#This Row],[MONTO VENDIDO]]-MASTER[[#This Row],[COSTO DE VENTA]]</f>
        <v>1187</v>
      </c>
    </row>
    <row r="4814" spans="1:22" x14ac:dyDescent="0.3">
      <c r="A4814">
        <v>69823</v>
      </c>
      <c r="B4814">
        <v>1</v>
      </c>
      <c r="C4814" t="s">
        <v>116</v>
      </c>
      <c r="D4814" t="s">
        <v>117</v>
      </c>
      <c r="E4814" s="1">
        <v>44364</v>
      </c>
      <c r="F4814">
        <v>1</v>
      </c>
      <c r="G4814" t="s">
        <v>24</v>
      </c>
      <c r="H4814" t="s">
        <v>25</v>
      </c>
      <c r="I4814" s="3">
        <v>1529</v>
      </c>
      <c r="J4814" s="3">
        <v>1529</v>
      </c>
      <c r="K4814" s="3">
        <v>388</v>
      </c>
      <c r="L4814" t="s">
        <v>113</v>
      </c>
      <c r="M4814">
        <v>11</v>
      </c>
      <c r="N4814" t="s">
        <v>10</v>
      </c>
      <c r="O4814" t="s">
        <v>11</v>
      </c>
      <c r="P4814" t="s">
        <v>12</v>
      </c>
      <c r="Q4814" t="s">
        <v>13</v>
      </c>
      <c r="R4814" t="s">
        <v>13</v>
      </c>
      <c r="S4814" t="s">
        <v>144</v>
      </c>
      <c r="T4814" s="2">
        <f>MASTER[[#This Row],[CANTIDAD]]*MASTER[[#This Row],[PRECIO DE VENTA]]</f>
        <v>1529</v>
      </c>
      <c r="U4814" s="2">
        <f>MASTER[[#This Row],[CANTIDAD]]*MASTER[[#This Row],[COSTO UNITARIO]]</f>
        <v>388</v>
      </c>
      <c r="V4814" s="2">
        <f>MASTER[[#This Row],[MONTO VENDIDO]]-MASTER[[#This Row],[COSTO DE VENTA]]</f>
        <v>1141</v>
      </c>
    </row>
    <row r="4815" spans="1:22" x14ac:dyDescent="0.3">
      <c r="A4815">
        <v>69842</v>
      </c>
      <c r="B4815">
        <v>1</v>
      </c>
      <c r="C4815" t="s">
        <v>118</v>
      </c>
      <c r="D4815" t="s">
        <v>119</v>
      </c>
      <c r="E4815" s="1">
        <v>44364</v>
      </c>
      <c r="F4815">
        <v>1</v>
      </c>
      <c r="G4815" t="s">
        <v>29</v>
      </c>
      <c r="H4815" t="s">
        <v>30</v>
      </c>
      <c r="I4815" s="3">
        <v>900</v>
      </c>
      <c r="J4815" s="3">
        <v>900</v>
      </c>
      <c r="K4815" s="3">
        <v>424</v>
      </c>
      <c r="L4815" t="s">
        <v>120</v>
      </c>
      <c r="M4815">
        <v>4</v>
      </c>
      <c r="N4815" t="s">
        <v>82</v>
      </c>
      <c r="O4815" t="s">
        <v>81</v>
      </c>
      <c r="P4815" t="s">
        <v>71</v>
      </c>
      <c r="Q4815" t="s">
        <v>72</v>
      </c>
      <c r="R4815" t="s">
        <v>139</v>
      </c>
      <c r="S4815" t="s">
        <v>144</v>
      </c>
      <c r="T4815" s="2">
        <f>MASTER[[#This Row],[CANTIDAD]]*MASTER[[#This Row],[PRECIO DE VENTA]]</f>
        <v>900</v>
      </c>
      <c r="U4815" s="2">
        <f>MASTER[[#This Row],[CANTIDAD]]*MASTER[[#This Row],[COSTO UNITARIO]]</f>
        <v>424</v>
      </c>
      <c r="V4815" s="2">
        <f>MASTER[[#This Row],[MONTO VENDIDO]]-MASTER[[#This Row],[COSTO DE VENTA]]</f>
        <v>476</v>
      </c>
    </row>
    <row r="4816" spans="1:22" x14ac:dyDescent="0.3">
      <c r="A4816">
        <v>69853</v>
      </c>
      <c r="B4816">
        <v>1</v>
      </c>
      <c r="C4816" t="s">
        <v>92</v>
      </c>
      <c r="D4816" t="s">
        <v>93</v>
      </c>
      <c r="E4816" s="1">
        <v>44365</v>
      </c>
      <c r="F4816">
        <v>1</v>
      </c>
      <c r="G4816" t="s">
        <v>35</v>
      </c>
      <c r="H4816" t="s">
        <v>36</v>
      </c>
      <c r="I4816" s="3">
        <v>1866</v>
      </c>
      <c r="J4816" s="3">
        <v>1866</v>
      </c>
      <c r="K4816" s="3">
        <v>396</v>
      </c>
      <c r="L4816" t="s">
        <v>9</v>
      </c>
      <c r="M4816">
        <v>1</v>
      </c>
      <c r="N4816" t="s">
        <v>77</v>
      </c>
      <c r="O4816" t="s">
        <v>70</v>
      </c>
      <c r="P4816" t="s">
        <v>71</v>
      </c>
      <c r="Q4816" t="s">
        <v>72</v>
      </c>
      <c r="R4816" t="s">
        <v>139</v>
      </c>
      <c r="S4816" t="s">
        <v>144</v>
      </c>
      <c r="T4816" s="2">
        <f>MASTER[[#This Row],[CANTIDAD]]*MASTER[[#This Row],[PRECIO DE VENTA]]</f>
        <v>1866</v>
      </c>
      <c r="U4816" s="2">
        <f>MASTER[[#This Row],[CANTIDAD]]*MASTER[[#This Row],[COSTO UNITARIO]]</f>
        <v>396</v>
      </c>
      <c r="V4816" s="2">
        <f>MASTER[[#This Row],[MONTO VENDIDO]]-MASTER[[#This Row],[COSTO DE VENTA]]</f>
        <v>1470</v>
      </c>
    </row>
    <row r="4817" spans="1:22" x14ac:dyDescent="0.3">
      <c r="A4817">
        <v>69859</v>
      </c>
      <c r="B4817">
        <v>1</v>
      </c>
      <c r="C4817" t="s">
        <v>92</v>
      </c>
      <c r="D4817" t="s">
        <v>93</v>
      </c>
      <c r="E4817" s="1">
        <v>44365</v>
      </c>
      <c r="F4817">
        <v>1</v>
      </c>
      <c r="G4817" t="s">
        <v>55</v>
      </c>
      <c r="H4817" t="s">
        <v>56</v>
      </c>
      <c r="I4817" s="3">
        <v>1866</v>
      </c>
      <c r="J4817" s="3">
        <v>1866</v>
      </c>
      <c r="K4817" s="3">
        <v>396</v>
      </c>
      <c r="L4817" t="s">
        <v>9</v>
      </c>
      <c r="M4817">
        <v>13</v>
      </c>
      <c r="N4817" t="s">
        <v>78</v>
      </c>
      <c r="O4817" t="s">
        <v>70</v>
      </c>
      <c r="P4817" t="s">
        <v>18</v>
      </c>
      <c r="Q4817" t="s">
        <v>19</v>
      </c>
      <c r="R4817" t="s">
        <v>138</v>
      </c>
      <c r="S4817" t="s">
        <v>144</v>
      </c>
      <c r="T4817" s="2">
        <f>MASTER[[#This Row],[CANTIDAD]]*MASTER[[#This Row],[PRECIO DE VENTA]]</f>
        <v>1866</v>
      </c>
      <c r="U4817" s="2">
        <f>MASTER[[#This Row],[CANTIDAD]]*MASTER[[#This Row],[COSTO UNITARIO]]</f>
        <v>396</v>
      </c>
      <c r="V4817" s="2">
        <f>MASTER[[#This Row],[MONTO VENDIDO]]-MASTER[[#This Row],[COSTO DE VENTA]]</f>
        <v>1470</v>
      </c>
    </row>
    <row r="4818" spans="1:22" x14ac:dyDescent="0.3">
      <c r="A4818">
        <v>69864</v>
      </c>
      <c r="B4818">
        <v>1</v>
      </c>
      <c r="C4818" t="s">
        <v>111</v>
      </c>
      <c r="D4818" t="s">
        <v>112</v>
      </c>
      <c r="E4818" s="1">
        <v>44365</v>
      </c>
      <c r="F4818">
        <v>1</v>
      </c>
      <c r="G4818" t="s">
        <v>65</v>
      </c>
      <c r="H4818" t="s">
        <v>66</v>
      </c>
      <c r="I4818" s="3">
        <v>1621</v>
      </c>
      <c r="J4818" s="3">
        <v>1621</v>
      </c>
      <c r="K4818" s="3">
        <v>434</v>
      </c>
      <c r="L4818" t="s">
        <v>113</v>
      </c>
      <c r="M4818">
        <v>15</v>
      </c>
      <c r="N4818" t="s">
        <v>88</v>
      </c>
      <c r="O4818" t="s">
        <v>81</v>
      </c>
      <c r="P4818" t="s">
        <v>18</v>
      </c>
      <c r="Q4818" t="s">
        <v>19</v>
      </c>
      <c r="R4818" t="s">
        <v>138</v>
      </c>
      <c r="S4818" t="s">
        <v>144</v>
      </c>
      <c r="T4818" s="2">
        <f>MASTER[[#This Row],[CANTIDAD]]*MASTER[[#This Row],[PRECIO DE VENTA]]</f>
        <v>1621</v>
      </c>
      <c r="U4818" s="2">
        <f>MASTER[[#This Row],[CANTIDAD]]*MASTER[[#This Row],[COSTO UNITARIO]]</f>
        <v>434</v>
      </c>
      <c r="V4818" s="2">
        <f>MASTER[[#This Row],[MONTO VENDIDO]]-MASTER[[#This Row],[COSTO DE VENTA]]</f>
        <v>1187</v>
      </c>
    </row>
    <row r="4819" spans="1:22" x14ac:dyDescent="0.3">
      <c r="A4819">
        <v>69865</v>
      </c>
      <c r="B4819">
        <v>1</v>
      </c>
      <c r="C4819" t="s">
        <v>92</v>
      </c>
      <c r="D4819" t="s">
        <v>93</v>
      </c>
      <c r="E4819" s="1">
        <v>44365</v>
      </c>
      <c r="F4819">
        <v>1</v>
      </c>
      <c r="G4819" t="s">
        <v>43</v>
      </c>
      <c r="H4819" t="s">
        <v>44</v>
      </c>
      <c r="I4819" s="3">
        <v>1866</v>
      </c>
      <c r="J4819" s="3">
        <v>1866</v>
      </c>
      <c r="K4819" s="3">
        <v>396</v>
      </c>
      <c r="L4819" t="s">
        <v>9</v>
      </c>
      <c r="M4819">
        <v>6</v>
      </c>
      <c r="N4819" t="s">
        <v>75</v>
      </c>
      <c r="O4819" t="s">
        <v>70</v>
      </c>
      <c r="P4819" t="s">
        <v>12</v>
      </c>
      <c r="Q4819" t="s">
        <v>13</v>
      </c>
      <c r="R4819" t="s">
        <v>13</v>
      </c>
      <c r="S4819" t="s">
        <v>144</v>
      </c>
      <c r="T4819" s="2">
        <f>MASTER[[#This Row],[CANTIDAD]]*MASTER[[#This Row],[PRECIO DE VENTA]]</f>
        <v>1866</v>
      </c>
      <c r="U4819" s="2">
        <f>MASTER[[#This Row],[CANTIDAD]]*MASTER[[#This Row],[COSTO UNITARIO]]</f>
        <v>396</v>
      </c>
      <c r="V4819" s="2">
        <f>MASTER[[#This Row],[MONTO VENDIDO]]-MASTER[[#This Row],[COSTO DE VENTA]]</f>
        <v>1470</v>
      </c>
    </row>
    <row r="4820" spans="1:22" x14ac:dyDescent="0.3">
      <c r="A4820">
        <v>69887</v>
      </c>
      <c r="B4820">
        <v>1</v>
      </c>
      <c r="C4820" t="s">
        <v>114</v>
      </c>
      <c r="D4820" t="s">
        <v>115</v>
      </c>
      <c r="E4820" s="1">
        <v>44365</v>
      </c>
      <c r="F4820">
        <v>1</v>
      </c>
      <c r="G4820" t="s">
        <v>29</v>
      </c>
      <c r="H4820" t="s">
        <v>30</v>
      </c>
      <c r="I4820" s="3">
        <v>1862</v>
      </c>
      <c r="J4820" s="3">
        <v>1862</v>
      </c>
      <c r="K4820" s="3">
        <v>394</v>
      </c>
      <c r="L4820" t="s">
        <v>113</v>
      </c>
      <c r="M4820">
        <v>7</v>
      </c>
      <c r="N4820" t="s">
        <v>84</v>
      </c>
      <c r="O4820" t="s">
        <v>81</v>
      </c>
      <c r="P4820" t="s">
        <v>12</v>
      </c>
      <c r="Q4820" t="s">
        <v>13</v>
      </c>
      <c r="R4820" t="s">
        <v>13</v>
      </c>
      <c r="S4820" t="s">
        <v>144</v>
      </c>
      <c r="T4820" s="2">
        <f>MASTER[[#This Row],[CANTIDAD]]*MASTER[[#This Row],[PRECIO DE VENTA]]</f>
        <v>1862</v>
      </c>
      <c r="U4820" s="2">
        <f>MASTER[[#This Row],[CANTIDAD]]*MASTER[[#This Row],[COSTO UNITARIO]]</f>
        <v>394</v>
      </c>
      <c r="V4820" s="2">
        <f>MASTER[[#This Row],[MONTO VENDIDO]]-MASTER[[#This Row],[COSTO DE VENTA]]</f>
        <v>1468</v>
      </c>
    </row>
    <row r="4821" spans="1:22" x14ac:dyDescent="0.3">
      <c r="A4821">
        <v>69896</v>
      </c>
      <c r="B4821">
        <v>1</v>
      </c>
      <c r="C4821" t="s">
        <v>94</v>
      </c>
      <c r="D4821" t="s">
        <v>95</v>
      </c>
      <c r="E4821" s="1">
        <v>44365</v>
      </c>
      <c r="F4821">
        <v>1</v>
      </c>
      <c r="G4821" t="s">
        <v>57</v>
      </c>
      <c r="H4821" t="s">
        <v>58</v>
      </c>
      <c r="I4821" s="3">
        <v>1048</v>
      </c>
      <c r="J4821" s="3">
        <v>1048</v>
      </c>
      <c r="K4821" s="3">
        <v>392</v>
      </c>
      <c r="L4821" t="s">
        <v>9</v>
      </c>
      <c r="M4821">
        <v>4</v>
      </c>
      <c r="N4821" t="s">
        <v>82</v>
      </c>
      <c r="O4821" t="s">
        <v>81</v>
      </c>
      <c r="P4821" t="s">
        <v>71</v>
      </c>
      <c r="Q4821" t="s">
        <v>72</v>
      </c>
      <c r="R4821" t="s">
        <v>139</v>
      </c>
      <c r="S4821" t="s">
        <v>144</v>
      </c>
      <c r="T4821" s="2">
        <f>MASTER[[#This Row],[CANTIDAD]]*MASTER[[#This Row],[PRECIO DE VENTA]]</f>
        <v>1048</v>
      </c>
      <c r="U4821" s="2">
        <f>MASTER[[#This Row],[CANTIDAD]]*MASTER[[#This Row],[COSTO UNITARIO]]</f>
        <v>392</v>
      </c>
      <c r="V4821" s="2">
        <f>MASTER[[#This Row],[MONTO VENDIDO]]-MASTER[[#This Row],[COSTO DE VENTA]]</f>
        <v>656</v>
      </c>
    </row>
    <row r="4822" spans="1:22" x14ac:dyDescent="0.3">
      <c r="A4822">
        <v>69901</v>
      </c>
      <c r="B4822">
        <v>1</v>
      </c>
      <c r="C4822" t="s">
        <v>103</v>
      </c>
      <c r="D4822" t="s">
        <v>104</v>
      </c>
      <c r="E4822" s="1">
        <v>44365</v>
      </c>
      <c r="F4822">
        <v>2</v>
      </c>
      <c r="G4822" t="s">
        <v>45</v>
      </c>
      <c r="H4822" t="s">
        <v>46</v>
      </c>
      <c r="I4822" s="3">
        <v>1448</v>
      </c>
      <c r="J4822" s="3">
        <v>1448</v>
      </c>
      <c r="K4822" s="3">
        <v>421</v>
      </c>
      <c r="L4822" t="s">
        <v>98</v>
      </c>
      <c r="M4822">
        <v>12</v>
      </c>
      <c r="N4822" t="s">
        <v>26</v>
      </c>
      <c r="O4822" t="s">
        <v>11</v>
      </c>
      <c r="P4822" t="s">
        <v>12</v>
      </c>
      <c r="Q4822" t="s">
        <v>13</v>
      </c>
      <c r="R4822" t="s">
        <v>13</v>
      </c>
      <c r="S4822" t="s">
        <v>144</v>
      </c>
      <c r="T4822" s="2">
        <f>MASTER[[#This Row],[CANTIDAD]]*MASTER[[#This Row],[PRECIO DE VENTA]]</f>
        <v>2896</v>
      </c>
      <c r="U4822" s="2">
        <f>MASTER[[#This Row],[CANTIDAD]]*MASTER[[#This Row],[COSTO UNITARIO]]</f>
        <v>842</v>
      </c>
      <c r="V4822" s="2">
        <f>MASTER[[#This Row],[MONTO VENDIDO]]-MASTER[[#This Row],[COSTO DE VENTA]]</f>
        <v>2054</v>
      </c>
    </row>
    <row r="4823" spans="1:22" x14ac:dyDescent="0.3">
      <c r="A4823">
        <v>69908</v>
      </c>
      <c r="B4823">
        <v>1</v>
      </c>
      <c r="C4823" t="s">
        <v>109</v>
      </c>
      <c r="D4823" t="s">
        <v>110</v>
      </c>
      <c r="E4823" s="1">
        <v>44365</v>
      </c>
      <c r="F4823">
        <v>1</v>
      </c>
      <c r="G4823" t="s">
        <v>29</v>
      </c>
      <c r="H4823" t="s">
        <v>30</v>
      </c>
      <c r="I4823" s="3">
        <v>947</v>
      </c>
      <c r="J4823" s="3">
        <v>947</v>
      </c>
      <c r="K4823" s="3">
        <v>387</v>
      </c>
      <c r="L4823" t="s">
        <v>98</v>
      </c>
      <c r="M4823">
        <v>17</v>
      </c>
      <c r="N4823" t="s">
        <v>14</v>
      </c>
      <c r="O4823" t="s">
        <v>11</v>
      </c>
      <c r="P4823" t="s">
        <v>15</v>
      </c>
      <c r="Q4823" t="s">
        <v>16</v>
      </c>
      <c r="R4823" t="s">
        <v>16</v>
      </c>
      <c r="S4823" t="s">
        <v>144</v>
      </c>
      <c r="T4823" s="2">
        <f>MASTER[[#This Row],[CANTIDAD]]*MASTER[[#This Row],[PRECIO DE VENTA]]</f>
        <v>947</v>
      </c>
      <c r="U4823" s="2">
        <f>MASTER[[#This Row],[CANTIDAD]]*MASTER[[#This Row],[COSTO UNITARIO]]</f>
        <v>387</v>
      </c>
      <c r="V4823" s="2">
        <f>MASTER[[#This Row],[MONTO VENDIDO]]-MASTER[[#This Row],[COSTO DE VENTA]]</f>
        <v>560</v>
      </c>
    </row>
    <row r="4824" spans="1:22" x14ac:dyDescent="0.3">
      <c r="A4824">
        <v>69946</v>
      </c>
      <c r="B4824">
        <v>1</v>
      </c>
      <c r="C4824" t="s">
        <v>121</v>
      </c>
      <c r="D4824" t="s">
        <v>122</v>
      </c>
      <c r="E4824" s="1">
        <v>44365</v>
      </c>
      <c r="F4824">
        <v>1</v>
      </c>
      <c r="G4824" t="s">
        <v>39</v>
      </c>
      <c r="H4824" t="s">
        <v>40</v>
      </c>
      <c r="I4824" s="3">
        <v>1069</v>
      </c>
      <c r="J4824" s="3">
        <v>1069</v>
      </c>
      <c r="K4824" s="3">
        <v>460</v>
      </c>
      <c r="L4824" t="s">
        <v>120</v>
      </c>
      <c r="M4824">
        <v>15</v>
      </c>
      <c r="N4824" t="s">
        <v>88</v>
      </c>
      <c r="O4824" t="s">
        <v>81</v>
      </c>
      <c r="P4824" t="s">
        <v>18</v>
      </c>
      <c r="Q4824" t="s">
        <v>19</v>
      </c>
      <c r="R4824" t="s">
        <v>138</v>
      </c>
      <c r="S4824" t="s">
        <v>144</v>
      </c>
      <c r="T4824" s="2">
        <f>MASTER[[#This Row],[CANTIDAD]]*MASTER[[#This Row],[PRECIO DE VENTA]]</f>
        <v>1069</v>
      </c>
      <c r="U4824" s="2">
        <f>MASTER[[#This Row],[CANTIDAD]]*MASTER[[#This Row],[COSTO UNITARIO]]</f>
        <v>460</v>
      </c>
      <c r="V4824" s="2">
        <f>MASTER[[#This Row],[MONTO VENDIDO]]-MASTER[[#This Row],[COSTO DE VENTA]]</f>
        <v>609</v>
      </c>
    </row>
    <row r="4825" spans="1:22" x14ac:dyDescent="0.3">
      <c r="A4825">
        <v>69957</v>
      </c>
      <c r="B4825">
        <v>1</v>
      </c>
      <c r="C4825" t="s">
        <v>111</v>
      </c>
      <c r="D4825" t="s">
        <v>112</v>
      </c>
      <c r="E4825" s="1">
        <v>44365</v>
      </c>
      <c r="F4825">
        <v>1</v>
      </c>
      <c r="G4825" t="s">
        <v>55</v>
      </c>
      <c r="H4825" t="s">
        <v>56</v>
      </c>
      <c r="I4825" s="3">
        <v>1621</v>
      </c>
      <c r="J4825" s="3">
        <v>1621</v>
      </c>
      <c r="K4825" s="3">
        <v>434</v>
      </c>
      <c r="L4825" t="s">
        <v>113</v>
      </c>
      <c r="M4825">
        <v>19</v>
      </c>
      <c r="N4825" t="s">
        <v>89</v>
      </c>
      <c r="O4825" t="s">
        <v>81</v>
      </c>
      <c r="P4825" t="s">
        <v>15</v>
      </c>
      <c r="Q4825" t="s">
        <v>16</v>
      </c>
      <c r="R4825" t="s">
        <v>16</v>
      </c>
      <c r="S4825" t="s">
        <v>144</v>
      </c>
      <c r="T4825" s="2">
        <f>MASTER[[#This Row],[CANTIDAD]]*MASTER[[#This Row],[PRECIO DE VENTA]]</f>
        <v>1621</v>
      </c>
      <c r="U4825" s="2">
        <f>MASTER[[#This Row],[CANTIDAD]]*MASTER[[#This Row],[COSTO UNITARIO]]</f>
        <v>434</v>
      </c>
      <c r="V4825" s="2">
        <f>MASTER[[#This Row],[MONTO VENDIDO]]-MASTER[[#This Row],[COSTO DE VENTA]]</f>
        <v>1187</v>
      </c>
    </row>
    <row r="4826" spans="1:22" x14ac:dyDescent="0.3">
      <c r="A4826">
        <v>69961</v>
      </c>
      <c r="B4826">
        <v>1</v>
      </c>
      <c r="C4826" t="s">
        <v>94</v>
      </c>
      <c r="D4826" t="s">
        <v>95</v>
      </c>
      <c r="E4826" s="1">
        <v>44365</v>
      </c>
      <c r="F4826">
        <v>2</v>
      </c>
      <c r="G4826" t="s">
        <v>55</v>
      </c>
      <c r="H4826" t="s">
        <v>56</v>
      </c>
      <c r="I4826" s="3">
        <v>901</v>
      </c>
      <c r="J4826" s="3">
        <v>901</v>
      </c>
      <c r="K4826" s="3">
        <v>392</v>
      </c>
      <c r="L4826" t="s">
        <v>9</v>
      </c>
      <c r="M4826">
        <v>11</v>
      </c>
      <c r="N4826" t="s">
        <v>10</v>
      </c>
      <c r="O4826" t="s">
        <v>11</v>
      </c>
      <c r="P4826" t="s">
        <v>12</v>
      </c>
      <c r="Q4826" t="s">
        <v>13</v>
      </c>
      <c r="R4826" t="s">
        <v>13</v>
      </c>
      <c r="S4826" t="s">
        <v>144</v>
      </c>
      <c r="T4826" s="2">
        <f>MASTER[[#This Row],[CANTIDAD]]*MASTER[[#This Row],[PRECIO DE VENTA]]</f>
        <v>1802</v>
      </c>
      <c r="U4826" s="2">
        <f>MASTER[[#This Row],[CANTIDAD]]*MASTER[[#This Row],[COSTO UNITARIO]]</f>
        <v>784</v>
      </c>
      <c r="V4826" s="2">
        <f>MASTER[[#This Row],[MONTO VENDIDO]]-MASTER[[#This Row],[COSTO DE VENTA]]</f>
        <v>1018</v>
      </c>
    </row>
    <row r="4827" spans="1:22" x14ac:dyDescent="0.3">
      <c r="A4827">
        <v>69968</v>
      </c>
      <c r="B4827">
        <v>1</v>
      </c>
      <c r="C4827" t="s">
        <v>92</v>
      </c>
      <c r="D4827" t="s">
        <v>93</v>
      </c>
      <c r="E4827" s="1">
        <v>44365</v>
      </c>
      <c r="F4827">
        <v>1</v>
      </c>
      <c r="G4827" t="s">
        <v>22</v>
      </c>
      <c r="H4827" t="s">
        <v>23</v>
      </c>
      <c r="I4827" s="3">
        <v>1681</v>
      </c>
      <c r="J4827" s="3">
        <v>1681</v>
      </c>
      <c r="K4827" s="3">
        <v>396</v>
      </c>
      <c r="L4827" t="s">
        <v>9</v>
      </c>
      <c r="M4827">
        <v>14</v>
      </c>
      <c r="N4827" t="s">
        <v>87</v>
      </c>
      <c r="O4827" t="s">
        <v>81</v>
      </c>
      <c r="P4827" t="s">
        <v>18</v>
      </c>
      <c r="Q4827" t="s">
        <v>19</v>
      </c>
      <c r="R4827" t="s">
        <v>138</v>
      </c>
      <c r="S4827" t="s">
        <v>144</v>
      </c>
      <c r="T4827" s="2">
        <f>MASTER[[#This Row],[CANTIDAD]]*MASTER[[#This Row],[PRECIO DE VENTA]]</f>
        <v>1681</v>
      </c>
      <c r="U4827" s="2">
        <f>MASTER[[#This Row],[CANTIDAD]]*MASTER[[#This Row],[COSTO UNITARIO]]</f>
        <v>396</v>
      </c>
      <c r="V4827" s="2">
        <f>MASTER[[#This Row],[MONTO VENDIDO]]-MASTER[[#This Row],[COSTO DE VENTA]]</f>
        <v>1285</v>
      </c>
    </row>
    <row r="4828" spans="1:22" x14ac:dyDescent="0.3">
      <c r="A4828">
        <v>69969</v>
      </c>
      <c r="B4828">
        <v>1</v>
      </c>
      <c r="C4828" t="s">
        <v>114</v>
      </c>
      <c r="D4828" t="s">
        <v>115</v>
      </c>
      <c r="E4828" s="1">
        <v>44365</v>
      </c>
      <c r="F4828">
        <v>1</v>
      </c>
      <c r="G4828" t="s">
        <v>20</v>
      </c>
      <c r="H4828" t="s">
        <v>21</v>
      </c>
      <c r="I4828" s="3">
        <v>1862</v>
      </c>
      <c r="J4828" s="3">
        <v>1862</v>
      </c>
      <c r="K4828" s="3">
        <v>394</v>
      </c>
      <c r="L4828" t="s">
        <v>113</v>
      </c>
      <c r="M4828">
        <v>4</v>
      </c>
      <c r="N4828" t="s">
        <v>82</v>
      </c>
      <c r="O4828" t="s">
        <v>81</v>
      </c>
      <c r="P4828" t="s">
        <v>71</v>
      </c>
      <c r="Q4828" t="s">
        <v>72</v>
      </c>
      <c r="R4828" t="s">
        <v>139</v>
      </c>
      <c r="S4828" t="s">
        <v>144</v>
      </c>
      <c r="T4828" s="2">
        <f>MASTER[[#This Row],[CANTIDAD]]*MASTER[[#This Row],[PRECIO DE VENTA]]</f>
        <v>1862</v>
      </c>
      <c r="U4828" s="2">
        <f>MASTER[[#This Row],[CANTIDAD]]*MASTER[[#This Row],[COSTO UNITARIO]]</f>
        <v>394</v>
      </c>
      <c r="V4828" s="2">
        <f>MASTER[[#This Row],[MONTO VENDIDO]]-MASTER[[#This Row],[COSTO DE VENTA]]</f>
        <v>1468</v>
      </c>
    </row>
    <row r="4829" spans="1:22" x14ac:dyDescent="0.3">
      <c r="A4829">
        <v>69976</v>
      </c>
      <c r="B4829">
        <v>1</v>
      </c>
      <c r="C4829" t="s">
        <v>121</v>
      </c>
      <c r="D4829" t="s">
        <v>122</v>
      </c>
      <c r="E4829" s="1">
        <v>44366</v>
      </c>
      <c r="F4829">
        <v>1</v>
      </c>
      <c r="G4829" t="s">
        <v>37</v>
      </c>
      <c r="H4829" t="s">
        <v>38</v>
      </c>
      <c r="I4829" s="3">
        <v>941</v>
      </c>
      <c r="J4829" s="3">
        <v>941</v>
      </c>
      <c r="K4829" s="3">
        <v>460</v>
      </c>
      <c r="L4829" t="s">
        <v>120</v>
      </c>
      <c r="M4829">
        <v>12</v>
      </c>
      <c r="N4829" t="s">
        <v>26</v>
      </c>
      <c r="O4829" t="s">
        <v>11</v>
      </c>
      <c r="P4829" t="s">
        <v>12</v>
      </c>
      <c r="Q4829" t="s">
        <v>13</v>
      </c>
      <c r="R4829" t="s">
        <v>13</v>
      </c>
      <c r="S4829" t="s">
        <v>144</v>
      </c>
      <c r="T4829" s="2">
        <f>MASTER[[#This Row],[CANTIDAD]]*MASTER[[#This Row],[PRECIO DE VENTA]]</f>
        <v>941</v>
      </c>
      <c r="U4829" s="2">
        <f>MASTER[[#This Row],[CANTIDAD]]*MASTER[[#This Row],[COSTO UNITARIO]]</f>
        <v>460</v>
      </c>
      <c r="V4829" s="2">
        <f>MASTER[[#This Row],[MONTO VENDIDO]]-MASTER[[#This Row],[COSTO DE VENTA]]</f>
        <v>481</v>
      </c>
    </row>
    <row r="4830" spans="1:22" x14ac:dyDescent="0.3">
      <c r="A4830">
        <v>69982</v>
      </c>
      <c r="B4830">
        <v>1</v>
      </c>
      <c r="C4830" t="s">
        <v>5</v>
      </c>
      <c r="D4830" t="s">
        <v>6</v>
      </c>
      <c r="E4830" s="1">
        <v>44366</v>
      </c>
      <c r="F4830">
        <v>1</v>
      </c>
      <c r="G4830" t="s">
        <v>20</v>
      </c>
      <c r="H4830" t="s">
        <v>21</v>
      </c>
      <c r="I4830" s="3">
        <v>1507</v>
      </c>
      <c r="J4830" s="3">
        <v>1431</v>
      </c>
      <c r="K4830" s="3">
        <v>393</v>
      </c>
      <c r="L4830" t="s">
        <v>9</v>
      </c>
      <c r="M4830">
        <v>5</v>
      </c>
      <c r="N4830" t="s">
        <v>85</v>
      </c>
      <c r="O4830" t="s">
        <v>81</v>
      </c>
      <c r="P4830" t="s">
        <v>12</v>
      </c>
      <c r="Q4830" t="s">
        <v>13</v>
      </c>
      <c r="R4830" t="s">
        <v>13</v>
      </c>
      <c r="S4830" t="s">
        <v>144</v>
      </c>
      <c r="T4830" s="2">
        <f>MASTER[[#This Row],[CANTIDAD]]*MASTER[[#This Row],[PRECIO DE VENTA]]</f>
        <v>1431</v>
      </c>
      <c r="U4830" s="2">
        <f>MASTER[[#This Row],[CANTIDAD]]*MASTER[[#This Row],[COSTO UNITARIO]]</f>
        <v>393</v>
      </c>
      <c r="V4830" s="2">
        <f>MASTER[[#This Row],[MONTO VENDIDO]]-MASTER[[#This Row],[COSTO DE VENTA]]</f>
        <v>1038</v>
      </c>
    </row>
    <row r="4831" spans="1:22" x14ac:dyDescent="0.3">
      <c r="A4831">
        <v>70010</v>
      </c>
      <c r="B4831">
        <v>1</v>
      </c>
      <c r="C4831" t="s">
        <v>114</v>
      </c>
      <c r="D4831" t="s">
        <v>115</v>
      </c>
      <c r="E4831" s="1">
        <v>44366</v>
      </c>
      <c r="F4831">
        <v>1</v>
      </c>
      <c r="G4831" t="s">
        <v>27</v>
      </c>
      <c r="H4831" t="s">
        <v>28</v>
      </c>
      <c r="I4831" s="3">
        <v>1583</v>
      </c>
      <c r="J4831" s="3">
        <v>1583</v>
      </c>
      <c r="K4831" s="3">
        <v>394</v>
      </c>
      <c r="L4831" t="s">
        <v>113</v>
      </c>
      <c r="M4831">
        <v>17</v>
      </c>
      <c r="N4831" t="s">
        <v>14</v>
      </c>
      <c r="O4831" t="s">
        <v>11</v>
      </c>
      <c r="P4831" t="s">
        <v>15</v>
      </c>
      <c r="Q4831" t="s">
        <v>16</v>
      </c>
      <c r="R4831" t="s">
        <v>16</v>
      </c>
      <c r="S4831" t="s">
        <v>144</v>
      </c>
      <c r="T4831" s="2">
        <f>MASTER[[#This Row],[CANTIDAD]]*MASTER[[#This Row],[PRECIO DE VENTA]]</f>
        <v>1583</v>
      </c>
      <c r="U4831" s="2">
        <f>MASTER[[#This Row],[CANTIDAD]]*MASTER[[#This Row],[COSTO UNITARIO]]</f>
        <v>394</v>
      </c>
      <c r="V4831" s="2">
        <f>MASTER[[#This Row],[MONTO VENDIDO]]-MASTER[[#This Row],[COSTO DE VENTA]]</f>
        <v>1189</v>
      </c>
    </row>
    <row r="4832" spans="1:22" x14ac:dyDescent="0.3">
      <c r="A4832">
        <v>70015</v>
      </c>
      <c r="B4832">
        <v>1</v>
      </c>
      <c r="C4832" t="s">
        <v>121</v>
      </c>
      <c r="D4832" t="s">
        <v>122</v>
      </c>
      <c r="E4832" s="1">
        <v>44366</v>
      </c>
      <c r="F4832">
        <v>1</v>
      </c>
      <c r="G4832" t="s">
        <v>29</v>
      </c>
      <c r="H4832" t="s">
        <v>30</v>
      </c>
      <c r="I4832" s="3">
        <v>1069</v>
      </c>
      <c r="J4832" s="3">
        <v>1069</v>
      </c>
      <c r="K4832" s="3">
        <v>460</v>
      </c>
      <c r="L4832" t="s">
        <v>120</v>
      </c>
      <c r="M4832">
        <v>2</v>
      </c>
      <c r="N4832" t="s">
        <v>86</v>
      </c>
      <c r="O4832" t="s">
        <v>81</v>
      </c>
      <c r="P4832" t="s">
        <v>71</v>
      </c>
      <c r="Q4832" t="s">
        <v>72</v>
      </c>
      <c r="R4832" t="s">
        <v>139</v>
      </c>
      <c r="S4832" t="s">
        <v>144</v>
      </c>
      <c r="T4832" s="2">
        <f>MASTER[[#This Row],[CANTIDAD]]*MASTER[[#This Row],[PRECIO DE VENTA]]</f>
        <v>1069</v>
      </c>
      <c r="U4832" s="2">
        <f>MASTER[[#This Row],[CANTIDAD]]*MASTER[[#This Row],[COSTO UNITARIO]]</f>
        <v>460</v>
      </c>
      <c r="V4832" s="2">
        <f>MASTER[[#This Row],[MONTO VENDIDO]]-MASTER[[#This Row],[COSTO DE VENTA]]</f>
        <v>609</v>
      </c>
    </row>
    <row r="4833" spans="1:22" x14ac:dyDescent="0.3">
      <c r="A4833">
        <v>70034</v>
      </c>
      <c r="B4833">
        <v>1</v>
      </c>
      <c r="C4833" t="s">
        <v>107</v>
      </c>
      <c r="D4833" t="s">
        <v>108</v>
      </c>
      <c r="E4833" s="1">
        <v>44366</v>
      </c>
      <c r="F4833">
        <v>1</v>
      </c>
      <c r="G4833" t="s">
        <v>49</v>
      </c>
      <c r="H4833" t="s">
        <v>50</v>
      </c>
      <c r="I4833" s="3">
        <v>1333</v>
      </c>
      <c r="J4833" s="3">
        <v>1333</v>
      </c>
      <c r="K4833" s="3">
        <v>380</v>
      </c>
      <c r="L4833" t="s">
        <v>98</v>
      </c>
      <c r="M4833">
        <v>2</v>
      </c>
      <c r="N4833" t="s">
        <v>86</v>
      </c>
      <c r="O4833" t="s">
        <v>81</v>
      </c>
      <c r="P4833" t="s">
        <v>71</v>
      </c>
      <c r="Q4833" t="s">
        <v>72</v>
      </c>
      <c r="R4833" t="s">
        <v>139</v>
      </c>
      <c r="S4833" t="s">
        <v>144</v>
      </c>
      <c r="T4833" s="2">
        <f>MASTER[[#This Row],[CANTIDAD]]*MASTER[[#This Row],[PRECIO DE VENTA]]</f>
        <v>1333</v>
      </c>
      <c r="U4833" s="2">
        <f>MASTER[[#This Row],[CANTIDAD]]*MASTER[[#This Row],[COSTO UNITARIO]]</f>
        <v>380</v>
      </c>
      <c r="V4833" s="2">
        <f>MASTER[[#This Row],[MONTO VENDIDO]]-MASTER[[#This Row],[COSTO DE VENTA]]</f>
        <v>953</v>
      </c>
    </row>
    <row r="4834" spans="1:22" x14ac:dyDescent="0.3">
      <c r="A4834">
        <v>70037</v>
      </c>
      <c r="B4834">
        <v>1</v>
      </c>
      <c r="C4834" t="s">
        <v>114</v>
      </c>
      <c r="D4834" t="s">
        <v>115</v>
      </c>
      <c r="E4834" s="1">
        <v>44366</v>
      </c>
      <c r="F4834">
        <v>1</v>
      </c>
      <c r="G4834" t="s">
        <v>35</v>
      </c>
      <c r="H4834" t="s">
        <v>36</v>
      </c>
      <c r="I4834" s="3">
        <v>2030</v>
      </c>
      <c r="J4834" s="3">
        <v>2030</v>
      </c>
      <c r="K4834" s="3">
        <v>394</v>
      </c>
      <c r="L4834" t="s">
        <v>113</v>
      </c>
      <c r="M4834">
        <v>18</v>
      </c>
      <c r="N4834" t="s">
        <v>79</v>
      </c>
      <c r="O4834" t="s">
        <v>70</v>
      </c>
      <c r="P4834" t="s">
        <v>15</v>
      </c>
      <c r="Q4834" t="s">
        <v>16</v>
      </c>
      <c r="R4834" t="s">
        <v>16</v>
      </c>
      <c r="S4834" t="s">
        <v>144</v>
      </c>
      <c r="T4834" s="2">
        <f>MASTER[[#This Row],[CANTIDAD]]*MASTER[[#This Row],[PRECIO DE VENTA]]</f>
        <v>2030</v>
      </c>
      <c r="U4834" s="2">
        <f>MASTER[[#This Row],[CANTIDAD]]*MASTER[[#This Row],[COSTO UNITARIO]]</f>
        <v>394</v>
      </c>
      <c r="V4834" s="2">
        <f>MASTER[[#This Row],[MONTO VENDIDO]]-MASTER[[#This Row],[COSTO DE VENTA]]</f>
        <v>1636</v>
      </c>
    </row>
    <row r="4835" spans="1:22" x14ac:dyDescent="0.3">
      <c r="A4835">
        <v>70045</v>
      </c>
      <c r="B4835">
        <v>1</v>
      </c>
      <c r="C4835" t="s">
        <v>99</v>
      </c>
      <c r="D4835" t="s">
        <v>100</v>
      </c>
      <c r="E4835" s="1">
        <v>44366</v>
      </c>
      <c r="F4835">
        <v>1</v>
      </c>
      <c r="G4835" t="s">
        <v>24</v>
      </c>
      <c r="H4835" t="s">
        <v>25</v>
      </c>
      <c r="I4835" s="3">
        <v>1328</v>
      </c>
      <c r="J4835" s="3">
        <v>1328</v>
      </c>
      <c r="K4835" s="3">
        <v>386</v>
      </c>
      <c r="L4835" t="s">
        <v>98</v>
      </c>
      <c r="M4835">
        <v>11</v>
      </c>
      <c r="N4835" t="s">
        <v>10</v>
      </c>
      <c r="O4835" t="s">
        <v>11</v>
      </c>
      <c r="P4835" t="s">
        <v>12</v>
      </c>
      <c r="Q4835" t="s">
        <v>13</v>
      </c>
      <c r="R4835" t="s">
        <v>13</v>
      </c>
      <c r="S4835" t="s">
        <v>144</v>
      </c>
      <c r="T4835" s="2">
        <f>MASTER[[#This Row],[CANTIDAD]]*MASTER[[#This Row],[PRECIO DE VENTA]]</f>
        <v>1328</v>
      </c>
      <c r="U4835" s="2">
        <f>MASTER[[#This Row],[CANTIDAD]]*MASTER[[#This Row],[COSTO UNITARIO]]</f>
        <v>386</v>
      </c>
      <c r="V4835" s="2">
        <f>MASTER[[#This Row],[MONTO VENDIDO]]-MASTER[[#This Row],[COSTO DE VENTA]]</f>
        <v>942</v>
      </c>
    </row>
    <row r="4836" spans="1:22" x14ac:dyDescent="0.3">
      <c r="A4836">
        <v>70048</v>
      </c>
      <c r="B4836">
        <v>1</v>
      </c>
      <c r="C4836" t="s">
        <v>99</v>
      </c>
      <c r="D4836" t="s">
        <v>100</v>
      </c>
      <c r="E4836" s="1">
        <v>44366</v>
      </c>
      <c r="F4836">
        <v>1</v>
      </c>
      <c r="G4836" t="s">
        <v>39</v>
      </c>
      <c r="H4836" t="s">
        <v>40</v>
      </c>
      <c r="I4836" s="3">
        <v>1678</v>
      </c>
      <c r="J4836" s="3">
        <v>1678</v>
      </c>
      <c r="K4836" s="3">
        <v>386</v>
      </c>
      <c r="L4836" t="s">
        <v>98</v>
      </c>
      <c r="M4836">
        <v>6</v>
      </c>
      <c r="N4836" t="s">
        <v>75</v>
      </c>
      <c r="O4836" t="s">
        <v>70</v>
      </c>
      <c r="P4836" t="s">
        <v>12</v>
      </c>
      <c r="Q4836" t="s">
        <v>13</v>
      </c>
      <c r="R4836" t="s">
        <v>13</v>
      </c>
      <c r="S4836" t="s">
        <v>144</v>
      </c>
      <c r="T4836" s="2">
        <f>MASTER[[#This Row],[CANTIDAD]]*MASTER[[#This Row],[PRECIO DE VENTA]]</f>
        <v>1678</v>
      </c>
      <c r="U4836" s="2">
        <f>MASTER[[#This Row],[CANTIDAD]]*MASTER[[#This Row],[COSTO UNITARIO]]</f>
        <v>386</v>
      </c>
      <c r="V4836" s="2">
        <f>MASTER[[#This Row],[MONTO VENDIDO]]-MASTER[[#This Row],[COSTO DE VENTA]]</f>
        <v>1292</v>
      </c>
    </row>
    <row r="4837" spans="1:22" x14ac:dyDescent="0.3">
      <c r="A4837">
        <v>70061</v>
      </c>
      <c r="B4837">
        <v>1</v>
      </c>
      <c r="C4837" t="s">
        <v>109</v>
      </c>
      <c r="D4837" t="s">
        <v>110</v>
      </c>
      <c r="E4837" s="1">
        <v>44366</v>
      </c>
      <c r="F4837">
        <v>1</v>
      </c>
      <c r="G4837" t="s">
        <v>57</v>
      </c>
      <c r="H4837" t="s">
        <v>58</v>
      </c>
      <c r="I4837" s="3">
        <v>1064</v>
      </c>
      <c r="J4837" s="3">
        <v>1064</v>
      </c>
      <c r="K4837" s="3">
        <v>387</v>
      </c>
      <c r="L4837" t="s">
        <v>98</v>
      </c>
      <c r="M4837">
        <v>8</v>
      </c>
      <c r="N4837" t="s">
        <v>80</v>
      </c>
      <c r="O4837" t="s">
        <v>81</v>
      </c>
      <c r="P4837" t="s">
        <v>12</v>
      </c>
      <c r="Q4837" t="s">
        <v>13</v>
      </c>
      <c r="R4837" t="s">
        <v>13</v>
      </c>
      <c r="S4837" t="s">
        <v>144</v>
      </c>
      <c r="T4837" s="2">
        <f>MASTER[[#This Row],[CANTIDAD]]*MASTER[[#This Row],[PRECIO DE VENTA]]</f>
        <v>1064</v>
      </c>
      <c r="U4837" s="2">
        <f>MASTER[[#This Row],[CANTIDAD]]*MASTER[[#This Row],[COSTO UNITARIO]]</f>
        <v>387</v>
      </c>
      <c r="V4837" s="2">
        <f>MASTER[[#This Row],[MONTO VENDIDO]]-MASTER[[#This Row],[COSTO DE VENTA]]</f>
        <v>677</v>
      </c>
    </row>
    <row r="4838" spans="1:22" x14ac:dyDescent="0.3">
      <c r="A4838">
        <v>70067</v>
      </c>
      <c r="B4838">
        <v>1</v>
      </c>
      <c r="C4838" t="s">
        <v>109</v>
      </c>
      <c r="D4838" t="s">
        <v>110</v>
      </c>
      <c r="E4838" s="1">
        <v>44366</v>
      </c>
      <c r="F4838">
        <v>1</v>
      </c>
      <c r="G4838" t="s">
        <v>57</v>
      </c>
      <c r="H4838" t="s">
        <v>58</v>
      </c>
      <c r="I4838" s="3">
        <v>947</v>
      </c>
      <c r="J4838" s="3">
        <v>947</v>
      </c>
      <c r="K4838" s="3">
        <v>387</v>
      </c>
      <c r="L4838" t="s">
        <v>98</v>
      </c>
      <c r="M4838">
        <v>16</v>
      </c>
      <c r="N4838" t="s">
        <v>17</v>
      </c>
      <c r="O4838" t="s">
        <v>11</v>
      </c>
      <c r="P4838" t="s">
        <v>18</v>
      </c>
      <c r="Q4838" t="s">
        <v>19</v>
      </c>
      <c r="R4838" t="s">
        <v>138</v>
      </c>
      <c r="S4838" t="s">
        <v>144</v>
      </c>
      <c r="T4838" s="2">
        <f>MASTER[[#This Row],[CANTIDAD]]*MASTER[[#This Row],[PRECIO DE VENTA]]</f>
        <v>947</v>
      </c>
      <c r="U4838" s="2">
        <f>MASTER[[#This Row],[CANTIDAD]]*MASTER[[#This Row],[COSTO UNITARIO]]</f>
        <v>387</v>
      </c>
      <c r="V4838" s="2">
        <f>MASTER[[#This Row],[MONTO VENDIDO]]-MASTER[[#This Row],[COSTO DE VENTA]]</f>
        <v>560</v>
      </c>
    </row>
    <row r="4839" spans="1:22" x14ac:dyDescent="0.3">
      <c r="A4839">
        <v>70073</v>
      </c>
      <c r="B4839">
        <v>1</v>
      </c>
      <c r="C4839" t="s">
        <v>105</v>
      </c>
      <c r="D4839" t="s">
        <v>106</v>
      </c>
      <c r="E4839" s="1">
        <v>44367</v>
      </c>
      <c r="F4839">
        <v>1</v>
      </c>
      <c r="G4839" t="s">
        <v>20</v>
      </c>
      <c r="H4839" t="s">
        <v>21</v>
      </c>
      <c r="I4839" s="3">
        <v>2033</v>
      </c>
      <c r="J4839" s="3">
        <v>2033</v>
      </c>
      <c r="K4839" s="3">
        <v>459</v>
      </c>
      <c r="L4839" t="s">
        <v>98</v>
      </c>
      <c r="M4839">
        <v>13</v>
      </c>
      <c r="N4839" t="s">
        <v>78</v>
      </c>
      <c r="O4839" t="s">
        <v>70</v>
      </c>
      <c r="P4839" t="s">
        <v>18</v>
      </c>
      <c r="Q4839" t="s">
        <v>19</v>
      </c>
      <c r="R4839" t="s">
        <v>138</v>
      </c>
      <c r="S4839" t="s">
        <v>144</v>
      </c>
      <c r="T4839" s="2">
        <f>MASTER[[#This Row],[CANTIDAD]]*MASTER[[#This Row],[PRECIO DE VENTA]]</f>
        <v>2033</v>
      </c>
      <c r="U4839" s="2">
        <f>MASTER[[#This Row],[CANTIDAD]]*MASTER[[#This Row],[COSTO UNITARIO]]</f>
        <v>459</v>
      </c>
      <c r="V4839" s="2">
        <f>MASTER[[#This Row],[MONTO VENDIDO]]-MASTER[[#This Row],[COSTO DE VENTA]]</f>
        <v>1574</v>
      </c>
    </row>
    <row r="4840" spans="1:22" x14ac:dyDescent="0.3">
      <c r="A4840">
        <v>70080</v>
      </c>
      <c r="B4840">
        <v>1</v>
      </c>
      <c r="C4840" t="s">
        <v>111</v>
      </c>
      <c r="D4840" t="s">
        <v>112</v>
      </c>
      <c r="E4840" s="1">
        <v>44367</v>
      </c>
      <c r="F4840">
        <v>1</v>
      </c>
      <c r="G4840" t="s">
        <v>27</v>
      </c>
      <c r="H4840" t="s">
        <v>28</v>
      </c>
      <c r="I4840" s="3">
        <v>1621</v>
      </c>
      <c r="J4840" s="3">
        <v>1458</v>
      </c>
      <c r="K4840" s="3">
        <v>434</v>
      </c>
      <c r="L4840" t="s">
        <v>113</v>
      </c>
      <c r="M4840">
        <v>15</v>
      </c>
      <c r="N4840" t="s">
        <v>88</v>
      </c>
      <c r="O4840" t="s">
        <v>81</v>
      </c>
      <c r="P4840" t="s">
        <v>18</v>
      </c>
      <c r="Q4840" t="s">
        <v>19</v>
      </c>
      <c r="R4840" t="s">
        <v>138</v>
      </c>
      <c r="S4840" t="s">
        <v>144</v>
      </c>
      <c r="T4840" s="2">
        <f>MASTER[[#This Row],[CANTIDAD]]*MASTER[[#This Row],[PRECIO DE VENTA]]</f>
        <v>1458</v>
      </c>
      <c r="U4840" s="2">
        <f>MASTER[[#This Row],[CANTIDAD]]*MASTER[[#This Row],[COSTO UNITARIO]]</f>
        <v>434</v>
      </c>
      <c r="V4840" s="2">
        <f>MASTER[[#This Row],[MONTO VENDIDO]]-MASTER[[#This Row],[COSTO DE VENTA]]</f>
        <v>1024</v>
      </c>
    </row>
    <row r="4841" spans="1:22" x14ac:dyDescent="0.3">
      <c r="A4841">
        <v>70100</v>
      </c>
      <c r="B4841">
        <v>1</v>
      </c>
      <c r="C4841" t="s">
        <v>105</v>
      </c>
      <c r="D4841" t="s">
        <v>106</v>
      </c>
      <c r="E4841" s="1">
        <v>44367</v>
      </c>
      <c r="F4841">
        <v>1</v>
      </c>
      <c r="G4841" t="s">
        <v>61</v>
      </c>
      <c r="H4841" t="s">
        <v>62</v>
      </c>
      <c r="I4841" s="3">
        <v>1865</v>
      </c>
      <c r="J4841" s="3">
        <v>1865</v>
      </c>
      <c r="K4841" s="3">
        <v>459</v>
      </c>
      <c r="L4841" t="s">
        <v>98</v>
      </c>
      <c r="M4841">
        <v>10</v>
      </c>
      <c r="N4841" t="s">
        <v>83</v>
      </c>
      <c r="O4841" t="s">
        <v>81</v>
      </c>
      <c r="P4841" t="s">
        <v>12</v>
      </c>
      <c r="Q4841" t="s">
        <v>13</v>
      </c>
      <c r="R4841" t="s">
        <v>13</v>
      </c>
      <c r="S4841" t="s">
        <v>144</v>
      </c>
      <c r="T4841" s="2">
        <f>MASTER[[#This Row],[CANTIDAD]]*MASTER[[#This Row],[PRECIO DE VENTA]]</f>
        <v>1865</v>
      </c>
      <c r="U4841" s="2">
        <f>MASTER[[#This Row],[CANTIDAD]]*MASTER[[#This Row],[COSTO UNITARIO]]</f>
        <v>459</v>
      </c>
      <c r="V4841" s="2">
        <f>MASTER[[#This Row],[MONTO VENDIDO]]-MASTER[[#This Row],[COSTO DE VENTA]]</f>
        <v>1406</v>
      </c>
    </row>
    <row r="4842" spans="1:22" x14ac:dyDescent="0.3">
      <c r="A4842">
        <v>70112</v>
      </c>
      <c r="B4842">
        <v>1</v>
      </c>
      <c r="C4842" t="s">
        <v>92</v>
      </c>
      <c r="D4842" t="s">
        <v>93</v>
      </c>
      <c r="E4842" s="1">
        <v>44367</v>
      </c>
      <c r="F4842">
        <v>1</v>
      </c>
      <c r="G4842" t="s">
        <v>7</v>
      </c>
      <c r="H4842" t="s">
        <v>8</v>
      </c>
      <c r="I4842" s="3">
        <v>1681</v>
      </c>
      <c r="J4842" s="3">
        <v>1681</v>
      </c>
      <c r="K4842" s="3">
        <v>396</v>
      </c>
      <c r="L4842" t="s">
        <v>9</v>
      </c>
      <c r="M4842">
        <v>15</v>
      </c>
      <c r="N4842" t="s">
        <v>88</v>
      </c>
      <c r="O4842" t="s">
        <v>81</v>
      </c>
      <c r="P4842" t="s">
        <v>18</v>
      </c>
      <c r="Q4842" t="s">
        <v>19</v>
      </c>
      <c r="R4842" t="s">
        <v>138</v>
      </c>
      <c r="S4842" t="s">
        <v>144</v>
      </c>
      <c r="T4842" s="2">
        <f>MASTER[[#This Row],[CANTIDAD]]*MASTER[[#This Row],[PRECIO DE VENTA]]</f>
        <v>1681</v>
      </c>
      <c r="U4842" s="2">
        <f>MASTER[[#This Row],[CANTIDAD]]*MASTER[[#This Row],[COSTO UNITARIO]]</f>
        <v>396</v>
      </c>
      <c r="V4842" s="2">
        <f>MASTER[[#This Row],[MONTO VENDIDO]]-MASTER[[#This Row],[COSTO DE VENTA]]</f>
        <v>1285</v>
      </c>
    </row>
    <row r="4843" spans="1:22" x14ac:dyDescent="0.3">
      <c r="A4843">
        <v>70113</v>
      </c>
      <c r="B4843">
        <v>1</v>
      </c>
      <c r="C4843" t="s">
        <v>92</v>
      </c>
      <c r="D4843" t="s">
        <v>93</v>
      </c>
      <c r="E4843" s="1">
        <v>44367</v>
      </c>
      <c r="F4843">
        <v>1</v>
      </c>
      <c r="G4843" t="s">
        <v>41</v>
      </c>
      <c r="H4843" t="s">
        <v>42</v>
      </c>
      <c r="I4843" s="3">
        <v>1866</v>
      </c>
      <c r="J4843" s="3">
        <v>1772</v>
      </c>
      <c r="K4843" s="3">
        <v>396</v>
      </c>
      <c r="L4843" t="s">
        <v>9</v>
      </c>
      <c r="M4843">
        <v>18</v>
      </c>
      <c r="N4843" t="s">
        <v>79</v>
      </c>
      <c r="O4843" t="s">
        <v>70</v>
      </c>
      <c r="P4843" t="s">
        <v>15</v>
      </c>
      <c r="Q4843" t="s">
        <v>16</v>
      </c>
      <c r="R4843" t="s">
        <v>16</v>
      </c>
      <c r="S4843" t="s">
        <v>144</v>
      </c>
      <c r="T4843" s="2">
        <f>MASTER[[#This Row],[CANTIDAD]]*MASTER[[#This Row],[PRECIO DE VENTA]]</f>
        <v>1772</v>
      </c>
      <c r="U4843" s="2">
        <f>MASTER[[#This Row],[CANTIDAD]]*MASTER[[#This Row],[COSTO UNITARIO]]</f>
        <v>396</v>
      </c>
      <c r="V4843" s="2">
        <f>MASTER[[#This Row],[MONTO VENDIDO]]-MASTER[[#This Row],[COSTO DE VENTA]]</f>
        <v>1376</v>
      </c>
    </row>
    <row r="4844" spans="1:22" x14ac:dyDescent="0.3">
      <c r="A4844">
        <v>70127</v>
      </c>
      <c r="B4844">
        <v>1</v>
      </c>
      <c r="C4844" t="s">
        <v>116</v>
      </c>
      <c r="D4844" t="s">
        <v>117</v>
      </c>
      <c r="E4844" s="1">
        <v>44367</v>
      </c>
      <c r="F4844">
        <v>1</v>
      </c>
      <c r="G4844" t="s">
        <v>33</v>
      </c>
      <c r="H4844" t="s">
        <v>34</v>
      </c>
      <c r="I4844" s="3">
        <v>1738</v>
      </c>
      <c r="J4844" s="3">
        <v>1738</v>
      </c>
      <c r="K4844" s="3">
        <v>388</v>
      </c>
      <c r="L4844" t="s">
        <v>113</v>
      </c>
      <c r="M4844">
        <v>4</v>
      </c>
      <c r="N4844" t="s">
        <v>82</v>
      </c>
      <c r="O4844" t="s">
        <v>81</v>
      </c>
      <c r="P4844" t="s">
        <v>71</v>
      </c>
      <c r="Q4844" t="s">
        <v>72</v>
      </c>
      <c r="R4844" t="s">
        <v>139</v>
      </c>
      <c r="S4844" t="s">
        <v>144</v>
      </c>
      <c r="T4844" s="2">
        <f>MASTER[[#This Row],[CANTIDAD]]*MASTER[[#This Row],[PRECIO DE VENTA]]</f>
        <v>1738</v>
      </c>
      <c r="U4844" s="2">
        <f>MASTER[[#This Row],[CANTIDAD]]*MASTER[[#This Row],[COSTO UNITARIO]]</f>
        <v>388</v>
      </c>
      <c r="V4844" s="2">
        <f>MASTER[[#This Row],[MONTO VENDIDO]]-MASTER[[#This Row],[COSTO DE VENTA]]</f>
        <v>1350</v>
      </c>
    </row>
    <row r="4845" spans="1:22" x14ac:dyDescent="0.3">
      <c r="A4845">
        <v>70129</v>
      </c>
      <c r="B4845">
        <v>1</v>
      </c>
      <c r="C4845" t="s">
        <v>94</v>
      </c>
      <c r="D4845" t="s">
        <v>95</v>
      </c>
      <c r="E4845" s="1">
        <v>44367</v>
      </c>
      <c r="F4845">
        <v>1</v>
      </c>
      <c r="G4845" t="s">
        <v>33</v>
      </c>
      <c r="H4845" t="s">
        <v>34</v>
      </c>
      <c r="I4845" s="3">
        <v>1048</v>
      </c>
      <c r="J4845" s="3">
        <v>1048</v>
      </c>
      <c r="K4845" s="3">
        <v>392</v>
      </c>
      <c r="L4845" t="s">
        <v>9</v>
      </c>
      <c r="M4845">
        <v>2</v>
      </c>
      <c r="N4845" t="s">
        <v>86</v>
      </c>
      <c r="O4845" t="s">
        <v>81</v>
      </c>
      <c r="P4845" t="s">
        <v>71</v>
      </c>
      <c r="Q4845" t="s">
        <v>72</v>
      </c>
      <c r="R4845" t="s">
        <v>139</v>
      </c>
      <c r="S4845" t="s">
        <v>144</v>
      </c>
      <c r="T4845" s="2">
        <f>MASTER[[#This Row],[CANTIDAD]]*MASTER[[#This Row],[PRECIO DE VENTA]]</f>
        <v>1048</v>
      </c>
      <c r="U4845" s="2">
        <f>MASTER[[#This Row],[CANTIDAD]]*MASTER[[#This Row],[COSTO UNITARIO]]</f>
        <v>392</v>
      </c>
      <c r="V4845" s="2">
        <f>MASTER[[#This Row],[MONTO VENDIDO]]-MASTER[[#This Row],[COSTO DE VENTA]]</f>
        <v>656</v>
      </c>
    </row>
    <row r="4846" spans="1:22" x14ac:dyDescent="0.3">
      <c r="A4846">
        <v>70134</v>
      </c>
      <c r="B4846">
        <v>1</v>
      </c>
      <c r="C4846" t="s">
        <v>101</v>
      </c>
      <c r="D4846" t="s">
        <v>102</v>
      </c>
      <c r="E4846" s="1">
        <v>44367</v>
      </c>
      <c r="F4846">
        <v>1</v>
      </c>
      <c r="G4846" t="s">
        <v>22</v>
      </c>
      <c r="H4846" t="s">
        <v>23</v>
      </c>
      <c r="I4846" s="3">
        <v>1357</v>
      </c>
      <c r="J4846" s="3">
        <v>1357</v>
      </c>
      <c r="K4846" s="3">
        <v>442</v>
      </c>
      <c r="L4846" t="s">
        <v>98</v>
      </c>
      <c r="M4846">
        <v>9</v>
      </c>
      <c r="N4846" t="s">
        <v>76</v>
      </c>
      <c r="O4846" t="s">
        <v>70</v>
      </c>
      <c r="P4846" t="s">
        <v>12</v>
      </c>
      <c r="Q4846" t="s">
        <v>13</v>
      </c>
      <c r="R4846" t="s">
        <v>13</v>
      </c>
      <c r="S4846" t="s">
        <v>144</v>
      </c>
      <c r="T4846" s="2">
        <f>MASTER[[#This Row],[CANTIDAD]]*MASTER[[#This Row],[PRECIO DE VENTA]]</f>
        <v>1357</v>
      </c>
      <c r="U4846" s="2">
        <f>MASTER[[#This Row],[CANTIDAD]]*MASTER[[#This Row],[COSTO UNITARIO]]</f>
        <v>442</v>
      </c>
      <c r="V4846" s="2">
        <f>MASTER[[#This Row],[MONTO VENDIDO]]-MASTER[[#This Row],[COSTO DE VENTA]]</f>
        <v>915</v>
      </c>
    </row>
    <row r="4847" spans="1:22" x14ac:dyDescent="0.3">
      <c r="A4847">
        <v>70141</v>
      </c>
      <c r="B4847">
        <v>1</v>
      </c>
      <c r="C4847" t="s">
        <v>107</v>
      </c>
      <c r="D4847" t="s">
        <v>108</v>
      </c>
      <c r="E4847" s="1">
        <v>44368</v>
      </c>
      <c r="F4847">
        <v>1</v>
      </c>
      <c r="G4847" t="s">
        <v>39</v>
      </c>
      <c r="H4847" t="s">
        <v>40</v>
      </c>
      <c r="I4847" s="3">
        <v>1333</v>
      </c>
      <c r="J4847" s="3">
        <v>1279</v>
      </c>
      <c r="K4847" s="3">
        <v>380</v>
      </c>
      <c r="L4847" t="s">
        <v>98</v>
      </c>
      <c r="M4847">
        <v>2</v>
      </c>
      <c r="N4847" t="s">
        <v>86</v>
      </c>
      <c r="O4847" t="s">
        <v>81</v>
      </c>
      <c r="P4847" t="s">
        <v>71</v>
      </c>
      <c r="Q4847" t="s">
        <v>72</v>
      </c>
      <c r="R4847" t="s">
        <v>139</v>
      </c>
      <c r="S4847" t="s">
        <v>144</v>
      </c>
      <c r="T4847" s="2">
        <f>MASTER[[#This Row],[CANTIDAD]]*MASTER[[#This Row],[PRECIO DE VENTA]]</f>
        <v>1279</v>
      </c>
      <c r="U4847" s="2">
        <f>MASTER[[#This Row],[CANTIDAD]]*MASTER[[#This Row],[COSTO UNITARIO]]</f>
        <v>380</v>
      </c>
      <c r="V4847" s="2">
        <f>MASTER[[#This Row],[MONTO VENDIDO]]-MASTER[[#This Row],[COSTO DE VENTA]]</f>
        <v>899</v>
      </c>
    </row>
    <row r="4848" spans="1:22" x14ac:dyDescent="0.3">
      <c r="A4848">
        <v>70153</v>
      </c>
      <c r="B4848">
        <v>1</v>
      </c>
      <c r="C4848" t="s">
        <v>107</v>
      </c>
      <c r="D4848" t="s">
        <v>108</v>
      </c>
      <c r="E4848" s="1">
        <v>44368</v>
      </c>
      <c r="F4848">
        <v>1</v>
      </c>
      <c r="G4848" t="s">
        <v>43</v>
      </c>
      <c r="H4848" t="s">
        <v>44</v>
      </c>
      <c r="I4848" s="3">
        <v>1440</v>
      </c>
      <c r="J4848" s="3">
        <v>1440</v>
      </c>
      <c r="K4848" s="3">
        <v>380</v>
      </c>
      <c r="L4848" t="s">
        <v>98</v>
      </c>
      <c r="M4848">
        <v>3</v>
      </c>
      <c r="N4848" t="s">
        <v>69</v>
      </c>
      <c r="O4848" t="s">
        <v>70</v>
      </c>
      <c r="P4848" t="s">
        <v>71</v>
      </c>
      <c r="Q4848" t="s">
        <v>72</v>
      </c>
      <c r="R4848" t="s">
        <v>139</v>
      </c>
      <c r="S4848" t="s">
        <v>144</v>
      </c>
      <c r="T4848" s="2">
        <f>MASTER[[#This Row],[CANTIDAD]]*MASTER[[#This Row],[PRECIO DE VENTA]]</f>
        <v>1440</v>
      </c>
      <c r="U4848" s="2">
        <f>MASTER[[#This Row],[CANTIDAD]]*MASTER[[#This Row],[COSTO UNITARIO]]</f>
        <v>380</v>
      </c>
      <c r="V4848" s="2">
        <f>MASTER[[#This Row],[MONTO VENDIDO]]-MASTER[[#This Row],[COSTO DE VENTA]]</f>
        <v>1060</v>
      </c>
    </row>
    <row r="4849" spans="1:22" x14ac:dyDescent="0.3">
      <c r="A4849">
        <v>70165</v>
      </c>
      <c r="B4849">
        <v>1</v>
      </c>
      <c r="C4849" t="s">
        <v>103</v>
      </c>
      <c r="D4849" t="s">
        <v>104</v>
      </c>
      <c r="E4849" s="1">
        <v>44368</v>
      </c>
      <c r="F4849">
        <v>1</v>
      </c>
      <c r="G4849" t="s">
        <v>59</v>
      </c>
      <c r="H4849" t="s">
        <v>60</v>
      </c>
      <c r="I4849" s="3">
        <v>1591</v>
      </c>
      <c r="J4849" s="3">
        <v>1591</v>
      </c>
      <c r="K4849" s="3">
        <v>421</v>
      </c>
      <c r="L4849" t="s">
        <v>98</v>
      </c>
      <c r="M4849">
        <v>4</v>
      </c>
      <c r="N4849" t="s">
        <v>82</v>
      </c>
      <c r="O4849" t="s">
        <v>81</v>
      </c>
      <c r="P4849" t="s">
        <v>71</v>
      </c>
      <c r="Q4849" t="s">
        <v>72</v>
      </c>
      <c r="R4849" t="s">
        <v>139</v>
      </c>
      <c r="S4849" t="s">
        <v>144</v>
      </c>
      <c r="T4849" s="2">
        <f>MASTER[[#This Row],[CANTIDAD]]*MASTER[[#This Row],[PRECIO DE VENTA]]</f>
        <v>1591</v>
      </c>
      <c r="U4849" s="2">
        <f>MASTER[[#This Row],[CANTIDAD]]*MASTER[[#This Row],[COSTO UNITARIO]]</f>
        <v>421</v>
      </c>
      <c r="V4849" s="2">
        <f>MASTER[[#This Row],[MONTO VENDIDO]]-MASTER[[#This Row],[COSTO DE VENTA]]</f>
        <v>1170</v>
      </c>
    </row>
    <row r="4850" spans="1:22" x14ac:dyDescent="0.3">
      <c r="A4850">
        <v>70181</v>
      </c>
      <c r="B4850">
        <v>1</v>
      </c>
      <c r="C4850" t="s">
        <v>114</v>
      </c>
      <c r="D4850" t="s">
        <v>115</v>
      </c>
      <c r="E4850" s="1">
        <v>44368</v>
      </c>
      <c r="F4850">
        <v>1</v>
      </c>
      <c r="G4850" t="s">
        <v>67</v>
      </c>
      <c r="H4850" t="s">
        <v>68</v>
      </c>
      <c r="I4850" s="3">
        <v>2030</v>
      </c>
      <c r="J4850" s="3">
        <v>1887</v>
      </c>
      <c r="K4850" s="3">
        <v>394</v>
      </c>
      <c r="L4850" t="s">
        <v>113</v>
      </c>
      <c r="M4850">
        <v>3</v>
      </c>
      <c r="N4850" t="s">
        <v>69</v>
      </c>
      <c r="O4850" t="s">
        <v>70</v>
      </c>
      <c r="P4850" t="s">
        <v>71</v>
      </c>
      <c r="Q4850" t="s">
        <v>72</v>
      </c>
      <c r="R4850" t="s">
        <v>139</v>
      </c>
      <c r="S4850" t="s">
        <v>144</v>
      </c>
      <c r="T4850" s="2">
        <f>MASTER[[#This Row],[CANTIDAD]]*MASTER[[#This Row],[PRECIO DE VENTA]]</f>
        <v>1887</v>
      </c>
      <c r="U4850" s="2">
        <f>MASTER[[#This Row],[CANTIDAD]]*MASTER[[#This Row],[COSTO UNITARIO]]</f>
        <v>394</v>
      </c>
      <c r="V4850" s="2">
        <f>MASTER[[#This Row],[MONTO VENDIDO]]-MASTER[[#This Row],[COSTO DE VENTA]]</f>
        <v>1493</v>
      </c>
    </row>
    <row r="4851" spans="1:22" x14ac:dyDescent="0.3">
      <c r="A4851">
        <v>70212</v>
      </c>
      <c r="B4851">
        <v>1</v>
      </c>
      <c r="C4851" t="s">
        <v>116</v>
      </c>
      <c r="D4851" t="s">
        <v>117</v>
      </c>
      <c r="E4851" s="1">
        <v>44368</v>
      </c>
      <c r="F4851">
        <v>1</v>
      </c>
      <c r="G4851" t="s">
        <v>59</v>
      </c>
      <c r="H4851" t="s">
        <v>60</v>
      </c>
      <c r="I4851" s="3">
        <v>1738</v>
      </c>
      <c r="J4851" s="3">
        <v>1738</v>
      </c>
      <c r="K4851" s="3">
        <v>388</v>
      </c>
      <c r="L4851" t="s">
        <v>113</v>
      </c>
      <c r="M4851">
        <v>14</v>
      </c>
      <c r="N4851" t="s">
        <v>87</v>
      </c>
      <c r="O4851" t="s">
        <v>81</v>
      </c>
      <c r="P4851" t="s">
        <v>18</v>
      </c>
      <c r="Q4851" t="s">
        <v>19</v>
      </c>
      <c r="R4851" t="s">
        <v>138</v>
      </c>
      <c r="S4851" t="s">
        <v>144</v>
      </c>
      <c r="T4851" s="2">
        <f>MASTER[[#This Row],[CANTIDAD]]*MASTER[[#This Row],[PRECIO DE VENTA]]</f>
        <v>1738</v>
      </c>
      <c r="U4851" s="2">
        <f>MASTER[[#This Row],[CANTIDAD]]*MASTER[[#This Row],[COSTO UNITARIO]]</f>
        <v>388</v>
      </c>
      <c r="V4851" s="2">
        <f>MASTER[[#This Row],[MONTO VENDIDO]]-MASTER[[#This Row],[COSTO DE VENTA]]</f>
        <v>1350</v>
      </c>
    </row>
    <row r="4852" spans="1:22" x14ac:dyDescent="0.3">
      <c r="A4852">
        <v>70215</v>
      </c>
      <c r="B4852">
        <v>1</v>
      </c>
      <c r="C4852" t="s">
        <v>111</v>
      </c>
      <c r="D4852" t="s">
        <v>112</v>
      </c>
      <c r="E4852" s="1">
        <v>44368</v>
      </c>
      <c r="F4852">
        <v>3</v>
      </c>
      <c r="G4852" t="s">
        <v>61</v>
      </c>
      <c r="H4852" t="s">
        <v>62</v>
      </c>
      <c r="I4852" s="3">
        <v>1524</v>
      </c>
      <c r="J4852" s="3">
        <v>1524</v>
      </c>
      <c r="K4852" s="3">
        <v>434</v>
      </c>
      <c r="L4852" t="s">
        <v>113</v>
      </c>
      <c r="M4852">
        <v>17</v>
      </c>
      <c r="N4852" t="s">
        <v>14</v>
      </c>
      <c r="O4852" t="s">
        <v>11</v>
      </c>
      <c r="P4852" t="s">
        <v>15</v>
      </c>
      <c r="Q4852" t="s">
        <v>16</v>
      </c>
      <c r="R4852" t="s">
        <v>16</v>
      </c>
      <c r="S4852" t="s">
        <v>144</v>
      </c>
      <c r="T4852" s="2">
        <f>MASTER[[#This Row],[CANTIDAD]]*MASTER[[#This Row],[PRECIO DE VENTA]]</f>
        <v>4572</v>
      </c>
      <c r="U4852" s="2">
        <f>MASTER[[#This Row],[CANTIDAD]]*MASTER[[#This Row],[COSTO UNITARIO]]</f>
        <v>1302</v>
      </c>
      <c r="V4852" s="2">
        <f>MASTER[[#This Row],[MONTO VENDIDO]]-MASTER[[#This Row],[COSTO DE VENTA]]</f>
        <v>3270</v>
      </c>
    </row>
    <row r="4853" spans="1:22" x14ac:dyDescent="0.3">
      <c r="A4853">
        <v>70225</v>
      </c>
      <c r="B4853">
        <v>1</v>
      </c>
      <c r="C4853" t="s">
        <v>116</v>
      </c>
      <c r="D4853" t="s">
        <v>117</v>
      </c>
      <c r="E4853" s="1">
        <v>44368</v>
      </c>
      <c r="F4853">
        <v>1</v>
      </c>
      <c r="G4853" t="s">
        <v>47</v>
      </c>
      <c r="H4853" t="s">
        <v>48</v>
      </c>
      <c r="I4853" s="3">
        <v>1738</v>
      </c>
      <c r="J4853" s="3">
        <v>1738</v>
      </c>
      <c r="K4853" s="3">
        <v>388</v>
      </c>
      <c r="L4853" t="s">
        <v>113</v>
      </c>
      <c r="M4853">
        <v>14</v>
      </c>
      <c r="N4853" t="s">
        <v>87</v>
      </c>
      <c r="O4853" t="s">
        <v>81</v>
      </c>
      <c r="P4853" t="s">
        <v>18</v>
      </c>
      <c r="Q4853" t="s">
        <v>19</v>
      </c>
      <c r="R4853" t="s">
        <v>138</v>
      </c>
      <c r="S4853" t="s">
        <v>144</v>
      </c>
      <c r="T4853" s="2">
        <f>MASTER[[#This Row],[CANTIDAD]]*MASTER[[#This Row],[PRECIO DE VENTA]]</f>
        <v>1738</v>
      </c>
      <c r="U4853" s="2">
        <f>MASTER[[#This Row],[CANTIDAD]]*MASTER[[#This Row],[COSTO UNITARIO]]</f>
        <v>388</v>
      </c>
      <c r="V4853" s="2">
        <f>MASTER[[#This Row],[MONTO VENDIDO]]-MASTER[[#This Row],[COSTO DE VENTA]]</f>
        <v>1350</v>
      </c>
    </row>
    <row r="4854" spans="1:22" x14ac:dyDescent="0.3">
      <c r="A4854">
        <v>70230</v>
      </c>
      <c r="B4854">
        <v>1</v>
      </c>
      <c r="C4854" t="s">
        <v>101</v>
      </c>
      <c r="D4854" t="s">
        <v>102</v>
      </c>
      <c r="E4854" s="1">
        <v>44369</v>
      </c>
      <c r="F4854">
        <v>1</v>
      </c>
      <c r="G4854" t="s">
        <v>51</v>
      </c>
      <c r="H4854" t="s">
        <v>52</v>
      </c>
      <c r="I4854" s="3">
        <v>1357</v>
      </c>
      <c r="J4854" s="3">
        <v>1357</v>
      </c>
      <c r="K4854" s="3">
        <v>442</v>
      </c>
      <c r="L4854" t="s">
        <v>98</v>
      </c>
      <c r="M4854">
        <v>3</v>
      </c>
      <c r="N4854" t="s">
        <v>69</v>
      </c>
      <c r="O4854" t="s">
        <v>70</v>
      </c>
      <c r="P4854" t="s">
        <v>71</v>
      </c>
      <c r="Q4854" t="s">
        <v>72</v>
      </c>
      <c r="R4854" t="s">
        <v>139</v>
      </c>
      <c r="S4854" t="s">
        <v>144</v>
      </c>
      <c r="T4854" s="2">
        <f>MASTER[[#This Row],[CANTIDAD]]*MASTER[[#This Row],[PRECIO DE VENTA]]</f>
        <v>1357</v>
      </c>
      <c r="U4854" s="2">
        <f>MASTER[[#This Row],[CANTIDAD]]*MASTER[[#This Row],[COSTO UNITARIO]]</f>
        <v>442</v>
      </c>
      <c r="V4854" s="2">
        <f>MASTER[[#This Row],[MONTO VENDIDO]]-MASTER[[#This Row],[COSTO DE VENTA]]</f>
        <v>915</v>
      </c>
    </row>
    <row r="4855" spans="1:22" x14ac:dyDescent="0.3">
      <c r="A4855">
        <v>70252</v>
      </c>
      <c r="B4855">
        <v>1</v>
      </c>
      <c r="C4855" t="s">
        <v>99</v>
      </c>
      <c r="D4855" t="s">
        <v>100</v>
      </c>
      <c r="E4855" s="1">
        <v>44369</v>
      </c>
      <c r="F4855">
        <v>1</v>
      </c>
      <c r="G4855" t="s">
        <v>49</v>
      </c>
      <c r="H4855" t="s">
        <v>50</v>
      </c>
      <c r="I4855" s="3">
        <v>1459</v>
      </c>
      <c r="J4855" s="3">
        <v>1459</v>
      </c>
      <c r="K4855" s="3">
        <v>386</v>
      </c>
      <c r="L4855" t="s">
        <v>98</v>
      </c>
      <c r="M4855">
        <v>7</v>
      </c>
      <c r="N4855" t="s">
        <v>84</v>
      </c>
      <c r="O4855" t="s">
        <v>81</v>
      </c>
      <c r="P4855" t="s">
        <v>12</v>
      </c>
      <c r="Q4855" t="s">
        <v>13</v>
      </c>
      <c r="R4855" t="s">
        <v>13</v>
      </c>
      <c r="S4855" t="s">
        <v>144</v>
      </c>
      <c r="T4855" s="2">
        <f>MASTER[[#This Row],[CANTIDAD]]*MASTER[[#This Row],[PRECIO DE VENTA]]</f>
        <v>1459</v>
      </c>
      <c r="U4855" s="2">
        <f>MASTER[[#This Row],[CANTIDAD]]*MASTER[[#This Row],[COSTO UNITARIO]]</f>
        <v>386</v>
      </c>
      <c r="V4855" s="2">
        <f>MASTER[[#This Row],[MONTO VENDIDO]]-MASTER[[#This Row],[COSTO DE VENTA]]</f>
        <v>1073</v>
      </c>
    </row>
    <row r="4856" spans="1:22" x14ac:dyDescent="0.3">
      <c r="A4856">
        <v>70268</v>
      </c>
      <c r="B4856">
        <v>1</v>
      </c>
      <c r="C4856" t="s">
        <v>101</v>
      </c>
      <c r="D4856" t="s">
        <v>102</v>
      </c>
      <c r="E4856" s="1">
        <v>44369</v>
      </c>
      <c r="F4856">
        <v>1</v>
      </c>
      <c r="G4856" t="s">
        <v>27</v>
      </c>
      <c r="H4856" t="s">
        <v>28</v>
      </c>
      <c r="I4856" s="3">
        <v>1054</v>
      </c>
      <c r="J4856" s="3">
        <v>1054</v>
      </c>
      <c r="K4856" s="3">
        <v>442</v>
      </c>
      <c r="L4856" t="s">
        <v>98</v>
      </c>
      <c r="M4856">
        <v>16</v>
      </c>
      <c r="N4856" t="s">
        <v>17</v>
      </c>
      <c r="O4856" t="s">
        <v>11</v>
      </c>
      <c r="P4856" t="s">
        <v>18</v>
      </c>
      <c r="Q4856" t="s">
        <v>19</v>
      </c>
      <c r="R4856" t="s">
        <v>138</v>
      </c>
      <c r="S4856" t="s">
        <v>144</v>
      </c>
      <c r="T4856" s="2">
        <f>MASTER[[#This Row],[CANTIDAD]]*MASTER[[#This Row],[PRECIO DE VENTA]]</f>
        <v>1054</v>
      </c>
      <c r="U4856" s="2">
        <f>MASTER[[#This Row],[CANTIDAD]]*MASTER[[#This Row],[COSTO UNITARIO]]</f>
        <v>442</v>
      </c>
      <c r="V4856" s="2">
        <f>MASTER[[#This Row],[MONTO VENDIDO]]-MASTER[[#This Row],[COSTO DE VENTA]]</f>
        <v>612</v>
      </c>
    </row>
    <row r="4857" spans="1:22" x14ac:dyDescent="0.3">
      <c r="A4857">
        <v>70274</v>
      </c>
      <c r="B4857">
        <v>1</v>
      </c>
      <c r="C4857" t="s">
        <v>101</v>
      </c>
      <c r="D4857" t="s">
        <v>102</v>
      </c>
      <c r="E4857" s="1">
        <v>44369</v>
      </c>
      <c r="F4857">
        <v>1</v>
      </c>
      <c r="G4857" t="s">
        <v>29</v>
      </c>
      <c r="H4857" t="s">
        <v>30</v>
      </c>
      <c r="I4857" s="3">
        <v>1212</v>
      </c>
      <c r="J4857" s="3">
        <v>1212</v>
      </c>
      <c r="K4857" s="3">
        <v>442</v>
      </c>
      <c r="L4857" t="s">
        <v>98</v>
      </c>
      <c r="M4857">
        <v>4</v>
      </c>
      <c r="N4857" t="s">
        <v>82</v>
      </c>
      <c r="O4857" t="s">
        <v>81</v>
      </c>
      <c r="P4857" t="s">
        <v>71</v>
      </c>
      <c r="Q4857" t="s">
        <v>72</v>
      </c>
      <c r="R4857" t="s">
        <v>139</v>
      </c>
      <c r="S4857" t="s">
        <v>144</v>
      </c>
      <c r="T4857" s="2">
        <f>MASTER[[#This Row],[CANTIDAD]]*MASTER[[#This Row],[PRECIO DE VENTA]]</f>
        <v>1212</v>
      </c>
      <c r="U4857" s="2">
        <f>MASTER[[#This Row],[CANTIDAD]]*MASTER[[#This Row],[COSTO UNITARIO]]</f>
        <v>442</v>
      </c>
      <c r="V4857" s="2">
        <f>MASTER[[#This Row],[MONTO VENDIDO]]-MASTER[[#This Row],[COSTO DE VENTA]]</f>
        <v>770</v>
      </c>
    </row>
    <row r="4858" spans="1:22" x14ac:dyDescent="0.3">
      <c r="A4858">
        <v>70288</v>
      </c>
      <c r="B4858">
        <v>1</v>
      </c>
      <c r="C4858" t="s">
        <v>101</v>
      </c>
      <c r="D4858" t="s">
        <v>102</v>
      </c>
      <c r="E4858" s="1">
        <v>44369</v>
      </c>
      <c r="F4858">
        <v>1</v>
      </c>
      <c r="G4858" t="s">
        <v>43</v>
      </c>
      <c r="H4858" t="s">
        <v>44</v>
      </c>
      <c r="I4858" s="3">
        <v>1212</v>
      </c>
      <c r="J4858" s="3">
        <v>1212</v>
      </c>
      <c r="K4858" s="3">
        <v>442</v>
      </c>
      <c r="L4858" t="s">
        <v>98</v>
      </c>
      <c r="M4858">
        <v>7</v>
      </c>
      <c r="N4858" t="s">
        <v>84</v>
      </c>
      <c r="O4858" t="s">
        <v>81</v>
      </c>
      <c r="P4858" t="s">
        <v>12</v>
      </c>
      <c r="Q4858" t="s">
        <v>13</v>
      </c>
      <c r="R4858" t="s">
        <v>13</v>
      </c>
      <c r="S4858" t="s">
        <v>144</v>
      </c>
      <c r="T4858" s="2">
        <f>MASTER[[#This Row],[CANTIDAD]]*MASTER[[#This Row],[PRECIO DE VENTA]]</f>
        <v>1212</v>
      </c>
      <c r="U4858" s="2">
        <f>MASTER[[#This Row],[CANTIDAD]]*MASTER[[#This Row],[COSTO UNITARIO]]</f>
        <v>442</v>
      </c>
      <c r="V4858" s="2">
        <f>MASTER[[#This Row],[MONTO VENDIDO]]-MASTER[[#This Row],[COSTO DE VENTA]]</f>
        <v>770</v>
      </c>
    </row>
    <row r="4859" spans="1:22" x14ac:dyDescent="0.3">
      <c r="A4859">
        <v>70293</v>
      </c>
      <c r="B4859">
        <v>1</v>
      </c>
      <c r="C4859" t="s">
        <v>103</v>
      </c>
      <c r="D4859" t="s">
        <v>104</v>
      </c>
      <c r="E4859" s="1">
        <v>44369</v>
      </c>
      <c r="F4859">
        <v>1</v>
      </c>
      <c r="G4859" t="s">
        <v>49</v>
      </c>
      <c r="H4859" t="s">
        <v>50</v>
      </c>
      <c r="I4859" s="3">
        <v>1830</v>
      </c>
      <c r="J4859" s="3">
        <v>1830</v>
      </c>
      <c r="K4859" s="3">
        <v>421</v>
      </c>
      <c r="L4859" t="s">
        <v>98</v>
      </c>
      <c r="M4859">
        <v>13</v>
      </c>
      <c r="N4859" t="s">
        <v>78</v>
      </c>
      <c r="O4859" t="s">
        <v>70</v>
      </c>
      <c r="P4859" t="s">
        <v>18</v>
      </c>
      <c r="Q4859" t="s">
        <v>19</v>
      </c>
      <c r="R4859" t="s">
        <v>138</v>
      </c>
      <c r="S4859" t="s">
        <v>144</v>
      </c>
      <c r="T4859" s="2">
        <f>MASTER[[#This Row],[CANTIDAD]]*MASTER[[#This Row],[PRECIO DE VENTA]]</f>
        <v>1830</v>
      </c>
      <c r="U4859" s="2">
        <f>MASTER[[#This Row],[CANTIDAD]]*MASTER[[#This Row],[COSTO UNITARIO]]</f>
        <v>421</v>
      </c>
      <c r="V4859" s="2">
        <f>MASTER[[#This Row],[MONTO VENDIDO]]-MASTER[[#This Row],[COSTO DE VENTA]]</f>
        <v>1409</v>
      </c>
    </row>
    <row r="4860" spans="1:22" x14ac:dyDescent="0.3">
      <c r="A4860">
        <v>70310</v>
      </c>
      <c r="B4860">
        <v>1</v>
      </c>
      <c r="C4860" t="s">
        <v>103</v>
      </c>
      <c r="D4860" t="s">
        <v>104</v>
      </c>
      <c r="E4860" s="1">
        <v>44369</v>
      </c>
      <c r="F4860">
        <v>1</v>
      </c>
      <c r="G4860" t="s">
        <v>35</v>
      </c>
      <c r="H4860" t="s">
        <v>36</v>
      </c>
      <c r="I4860" s="3">
        <v>1591</v>
      </c>
      <c r="J4860" s="3">
        <v>1463</v>
      </c>
      <c r="K4860" s="3">
        <v>421</v>
      </c>
      <c r="L4860" t="s">
        <v>98</v>
      </c>
      <c r="M4860">
        <v>8</v>
      </c>
      <c r="N4860" t="s">
        <v>80</v>
      </c>
      <c r="O4860" t="s">
        <v>81</v>
      </c>
      <c r="P4860" t="s">
        <v>12</v>
      </c>
      <c r="Q4860" t="s">
        <v>13</v>
      </c>
      <c r="R4860" t="s">
        <v>13</v>
      </c>
      <c r="S4860" t="s">
        <v>144</v>
      </c>
      <c r="T4860" s="2">
        <f>MASTER[[#This Row],[CANTIDAD]]*MASTER[[#This Row],[PRECIO DE VENTA]]</f>
        <v>1463</v>
      </c>
      <c r="U4860" s="2">
        <f>MASTER[[#This Row],[CANTIDAD]]*MASTER[[#This Row],[COSTO UNITARIO]]</f>
        <v>421</v>
      </c>
      <c r="V4860" s="2">
        <f>MASTER[[#This Row],[MONTO VENDIDO]]-MASTER[[#This Row],[COSTO DE VENTA]]</f>
        <v>1042</v>
      </c>
    </row>
    <row r="4861" spans="1:22" x14ac:dyDescent="0.3">
      <c r="A4861">
        <v>70316</v>
      </c>
      <c r="B4861">
        <v>1</v>
      </c>
      <c r="C4861" t="s">
        <v>118</v>
      </c>
      <c r="D4861" t="s">
        <v>119</v>
      </c>
      <c r="E4861" s="1">
        <v>44369</v>
      </c>
      <c r="F4861">
        <v>1</v>
      </c>
      <c r="G4861" t="s">
        <v>61</v>
      </c>
      <c r="H4861" t="s">
        <v>62</v>
      </c>
      <c r="I4861" s="3">
        <v>1026</v>
      </c>
      <c r="J4861" s="3">
        <v>1026</v>
      </c>
      <c r="K4861" s="3">
        <v>424</v>
      </c>
      <c r="L4861" t="s">
        <v>120</v>
      </c>
      <c r="M4861">
        <v>18</v>
      </c>
      <c r="N4861" t="s">
        <v>79</v>
      </c>
      <c r="O4861" t="s">
        <v>70</v>
      </c>
      <c r="P4861" t="s">
        <v>15</v>
      </c>
      <c r="Q4861" t="s">
        <v>16</v>
      </c>
      <c r="R4861" t="s">
        <v>16</v>
      </c>
      <c r="S4861" t="s">
        <v>144</v>
      </c>
      <c r="T4861" s="2">
        <f>MASTER[[#This Row],[CANTIDAD]]*MASTER[[#This Row],[PRECIO DE VENTA]]</f>
        <v>1026</v>
      </c>
      <c r="U4861" s="2">
        <f>MASTER[[#This Row],[CANTIDAD]]*MASTER[[#This Row],[COSTO UNITARIO]]</f>
        <v>424</v>
      </c>
      <c r="V4861" s="2">
        <f>MASTER[[#This Row],[MONTO VENDIDO]]-MASTER[[#This Row],[COSTO DE VENTA]]</f>
        <v>602</v>
      </c>
    </row>
    <row r="4862" spans="1:22" x14ac:dyDescent="0.3">
      <c r="A4862">
        <v>70317</v>
      </c>
      <c r="B4862">
        <v>2</v>
      </c>
      <c r="C4862" t="s">
        <v>5</v>
      </c>
      <c r="D4862" t="s">
        <v>6</v>
      </c>
      <c r="E4862" s="1">
        <v>44369</v>
      </c>
      <c r="F4862">
        <v>1</v>
      </c>
      <c r="G4862" t="s">
        <v>27</v>
      </c>
      <c r="H4862" t="s">
        <v>28</v>
      </c>
      <c r="I4862" s="3">
        <v>1507</v>
      </c>
      <c r="J4862" s="3">
        <v>1507</v>
      </c>
      <c r="K4862" s="3">
        <v>393</v>
      </c>
      <c r="L4862" t="s">
        <v>9</v>
      </c>
      <c r="M4862">
        <v>14</v>
      </c>
      <c r="N4862" t="s">
        <v>87</v>
      </c>
      <c r="O4862" t="s">
        <v>81</v>
      </c>
      <c r="P4862" t="s">
        <v>18</v>
      </c>
      <c r="Q4862" t="s">
        <v>19</v>
      </c>
      <c r="R4862" t="s">
        <v>138</v>
      </c>
      <c r="S4862" t="s">
        <v>144</v>
      </c>
      <c r="T4862" s="2">
        <f>MASTER[[#This Row],[CANTIDAD]]*MASTER[[#This Row],[PRECIO DE VENTA]]</f>
        <v>1507</v>
      </c>
      <c r="U4862" s="2">
        <f>MASTER[[#This Row],[CANTIDAD]]*MASTER[[#This Row],[COSTO UNITARIO]]</f>
        <v>393</v>
      </c>
      <c r="V4862" s="2">
        <f>MASTER[[#This Row],[MONTO VENDIDO]]-MASTER[[#This Row],[COSTO DE VENTA]]</f>
        <v>1114</v>
      </c>
    </row>
    <row r="4863" spans="1:22" x14ac:dyDescent="0.3">
      <c r="A4863">
        <v>70317</v>
      </c>
      <c r="B4863">
        <v>1</v>
      </c>
      <c r="C4863" t="s">
        <v>107</v>
      </c>
      <c r="D4863" t="s">
        <v>108</v>
      </c>
      <c r="E4863" s="1">
        <v>44369</v>
      </c>
      <c r="F4863">
        <v>1</v>
      </c>
      <c r="G4863" t="s">
        <v>67</v>
      </c>
      <c r="H4863" t="s">
        <v>68</v>
      </c>
      <c r="I4863" s="3">
        <v>1333</v>
      </c>
      <c r="J4863" s="3">
        <v>1333</v>
      </c>
      <c r="K4863" s="3">
        <v>380</v>
      </c>
      <c r="L4863" t="s">
        <v>98</v>
      </c>
      <c r="M4863">
        <v>14</v>
      </c>
      <c r="N4863" t="s">
        <v>87</v>
      </c>
      <c r="O4863" t="s">
        <v>81</v>
      </c>
      <c r="P4863" t="s">
        <v>18</v>
      </c>
      <c r="Q4863" t="s">
        <v>19</v>
      </c>
      <c r="R4863" t="s">
        <v>138</v>
      </c>
      <c r="S4863" t="s">
        <v>144</v>
      </c>
      <c r="T4863" s="2">
        <f>MASTER[[#This Row],[CANTIDAD]]*MASTER[[#This Row],[PRECIO DE VENTA]]</f>
        <v>1333</v>
      </c>
      <c r="U4863" s="2">
        <f>MASTER[[#This Row],[CANTIDAD]]*MASTER[[#This Row],[COSTO UNITARIO]]</f>
        <v>380</v>
      </c>
      <c r="V4863" s="2">
        <f>MASTER[[#This Row],[MONTO VENDIDO]]-MASTER[[#This Row],[COSTO DE VENTA]]</f>
        <v>953</v>
      </c>
    </row>
    <row r="4864" spans="1:22" x14ac:dyDescent="0.3">
      <c r="A4864">
        <v>70332</v>
      </c>
      <c r="B4864">
        <v>1</v>
      </c>
      <c r="C4864" t="s">
        <v>5</v>
      </c>
      <c r="D4864" t="s">
        <v>6</v>
      </c>
      <c r="E4864" s="1">
        <v>44369</v>
      </c>
      <c r="F4864">
        <v>1</v>
      </c>
      <c r="G4864" t="s">
        <v>33</v>
      </c>
      <c r="H4864" t="s">
        <v>34</v>
      </c>
      <c r="I4864" s="3">
        <v>1507</v>
      </c>
      <c r="J4864" s="3">
        <v>1507</v>
      </c>
      <c r="K4864" s="3">
        <v>393</v>
      </c>
      <c r="L4864" t="s">
        <v>9</v>
      </c>
      <c r="M4864">
        <v>4</v>
      </c>
      <c r="N4864" t="s">
        <v>82</v>
      </c>
      <c r="O4864" t="s">
        <v>81</v>
      </c>
      <c r="P4864" t="s">
        <v>71</v>
      </c>
      <c r="Q4864" t="s">
        <v>72</v>
      </c>
      <c r="R4864" t="s">
        <v>139</v>
      </c>
      <c r="S4864" t="s">
        <v>144</v>
      </c>
      <c r="T4864" s="2">
        <f>MASTER[[#This Row],[CANTIDAD]]*MASTER[[#This Row],[PRECIO DE VENTA]]</f>
        <v>1507</v>
      </c>
      <c r="U4864" s="2">
        <f>MASTER[[#This Row],[CANTIDAD]]*MASTER[[#This Row],[COSTO UNITARIO]]</f>
        <v>393</v>
      </c>
      <c r="V4864" s="2">
        <f>MASTER[[#This Row],[MONTO VENDIDO]]-MASTER[[#This Row],[COSTO DE VENTA]]</f>
        <v>1114</v>
      </c>
    </row>
    <row r="4865" spans="1:22" x14ac:dyDescent="0.3">
      <c r="A4865">
        <v>70333</v>
      </c>
      <c r="B4865">
        <v>1</v>
      </c>
      <c r="C4865" t="s">
        <v>92</v>
      </c>
      <c r="D4865" t="s">
        <v>93</v>
      </c>
      <c r="E4865" s="1">
        <v>44370</v>
      </c>
      <c r="F4865">
        <v>1</v>
      </c>
      <c r="G4865" t="s">
        <v>67</v>
      </c>
      <c r="H4865" t="s">
        <v>68</v>
      </c>
      <c r="I4865" s="3">
        <v>1479</v>
      </c>
      <c r="J4865" s="3">
        <v>1479</v>
      </c>
      <c r="K4865" s="3">
        <v>396</v>
      </c>
      <c r="L4865" t="s">
        <v>9</v>
      </c>
      <c r="M4865">
        <v>16</v>
      </c>
      <c r="N4865" t="s">
        <v>17</v>
      </c>
      <c r="O4865" t="s">
        <v>11</v>
      </c>
      <c r="P4865" t="s">
        <v>18</v>
      </c>
      <c r="Q4865" t="s">
        <v>19</v>
      </c>
      <c r="R4865" t="s">
        <v>138</v>
      </c>
      <c r="S4865" t="s">
        <v>144</v>
      </c>
      <c r="T4865" s="2">
        <f>MASTER[[#This Row],[CANTIDAD]]*MASTER[[#This Row],[PRECIO DE VENTA]]</f>
        <v>1479</v>
      </c>
      <c r="U4865" s="2">
        <f>MASTER[[#This Row],[CANTIDAD]]*MASTER[[#This Row],[COSTO UNITARIO]]</f>
        <v>396</v>
      </c>
      <c r="V4865" s="2">
        <f>MASTER[[#This Row],[MONTO VENDIDO]]-MASTER[[#This Row],[COSTO DE VENTA]]</f>
        <v>1083</v>
      </c>
    </row>
    <row r="4866" spans="1:22" x14ac:dyDescent="0.3">
      <c r="A4866">
        <v>70343</v>
      </c>
      <c r="B4866">
        <v>1</v>
      </c>
      <c r="C4866" t="s">
        <v>111</v>
      </c>
      <c r="D4866" t="s">
        <v>112</v>
      </c>
      <c r="E4866" s="1">
        <v>44370</v>
      </c>
      <c r="F4866">
        <v>1</v>
      </c>
      <c r="G4866" t="s">
        <v>47</v>
      </c>
      <c r="H4866" t="s">
        <v>48</v>
      </c>
      <c r="I4866" s="3">
        <v>1799</v>
      </c>
      <c r="J4866" s="3">
        <v>1799</v>
      </c>
      <c r="K4866" s="3">
        <v>434</v>
      </c>
      <c r="L4866" t="s">
        <v>113</v>
      </c>
      <c r="M4866">
        <v>6</v>
      </c>
      <c r="N4866" t="s">
        <v>75</v>
      </c>
      <c r="O4866" t="s">
        <v>70</v>
      </c>
      <c r="P4866" t="s">
        <v>12</v>
      </c>
      <c r="Q4866" t="s">
        <v>13</v>
      </c>
      <c r="R4866" t="s">
        <v>13</v>
      </c>
      <c r="S4866" t="s">
        <v>144</v>
      </c>
      <c r="T4866" s="2">
        <f>MASTER[[#This Row],[CANTIDAD]]*MASTER[[#This Row],[PRECIO DE VENTA]]</f>
        <v>1799</v>
      </c>
      <c r="U4866" s="2">
        <f>MASTER[[#This Row],[CANTIDAD]]*MASTER[[#This Row],[COSTO UNITARIO]]</f>
        <v>434</v>
      </c>
      <c r="V4866" s="2">
        <f>MASTER[[#This Row],[MONTO VENDIDO]]-MASTER[[#This Row],[COSTO DE VENTA]]</f>
        <v>1365</v>
      </c>
    </row>
    <row r="4867" spans="1:22" x14ac:dyDescent="0.3">
      <c r="A4867">
        <v>70349</v>
      </c>
      <c r="B4867">
        <v>1</v>
      </c>
      <c r="C4867" t="s">
        <v>101</v>
      </c>
      <c r="D4867" t="s">
        <v>102</v>
      </c>
      <c r="E4867" s="1">
        <v>44370</v>
      </c>
      <c r="F4867">
        <v>4</v>
      </c>
      <c r="G4867" t="s">
        <v>27</v>
      </c>
      <c r="H4867" t="s">
        <v>28</v>
      </c>
      <c r="I4867" s="3">
        <v>1212</v>
      </c>
      <c r="J4867" s="3">
        <v>1212</v>
      </c>
      <c r="K4867" s="3">
        <v>442</v>
      </c>
      <c r="L4867" t="s">
        <v>98</v>
      </c>
      <c r="M4867">
        <v>4</v>
      </c>
      <c r="N4867" t="s">
        <v>82</v>
      </c>
      <c r="O4867" t="s">
        <v>81</v>
      </c>
      <c r="P4867" t="s">
        <v>71</v>
      </c>
      <c r="Q4867" t="s">
        <v>72</v>
      </c>
      <c r="R4867" t="s">
        <v>139</v>
      </c>
      <c r="S4867" t="s">
        <v>144</v>
      </c>
      <c r="T4867" s="2">
        <f>MASTER[[#This Row],[CANTIDAD]]*MASTER[[#This Row],[PRECIO DE VENTA]]</f>
        <v>4848</v>
      </c>
      <c r="U4867" s="2">
        <f>MASTER[[#This Row],[CANTIDAD]]*MASTER[[#This Row],[COSTO UNITARIO]]</f>
        <v>1768</v>
      </c>
      <c r="V4867" s="2">
        <f>MASTER[[#This Row],[MONTO VENDIDO]]-MASTER[[#This Row],[COSTO DE VENTA]]</f>
        <v>3080</v>
      </c>
    </row>
    <row r="4868" spans="1:22" x14ac:dyDescent="0.3">
      <c r="A4868">
        <v>70363</v>
      </c>
      <c r="B4868">
        <v>1</v>
      </c>
      <c r="C4868" t="s">
        <v>5</v>
      </c>
      <c r="D4868" t="s">
        <v>6</v>
      </c>
      <c r="E4868" s="1">
        <v>44370</v>
      </c>
      <c r="F4868">
        <v>1</v>
      </c>
      <c r="G4868" t="s">
        <v>67</v>
      </c>
      <c r="H4868" t="s">
        <v>68</v>
      </c>
      <c r="I4868" s="3">
        <v>1296</v>
      </c>
      <c r="J4868" s="3">
        <v>1296</v>
      </c>
      <c r="K4868" s="3">
        <v>393</v>
      </c>
      <c r="L4868" t="s">
        <v>9</v>
      </c>
      <c r="M4868">
        <v>18</v>
      </c>
      <c r="N4868" t="s">
        <v>79</v>
      </c>
      <c r="O4868" t="s">
        <v>70</v>
      </c>
      <c r="P4868" t="s">
        <v>15</v>
      </c>
      <c r="Q4868" t="s">
        <v>16</v>
      </c>
      <c r="R4868" t="s">
        <v>16</v>
      </c>
      <c r="S4868" t="s">
        <v>144</v>
      </c>
      <c r="T4868" s="2">
        <f>MASTER[[#This Row],[CANTIDAD]]*MASTER[[#This Row],[PRECIO DE VENTA]]</f>
        <v>1296</v>
      </c>
      <c r="U4868" s="2">
        <f>MASTER[[#This Row],[CANTIDAD]]*MASTER[[#This Row],[COSTO UNITARIO]]</f>
        <v>393</v>
      </c>
      <c r="V4868" s="2">
        <f>MASTER[[#This Row],[MONTO VENDIDO]]-MASTER[[#This Row],[COSTO DE VENTA]]</f>
        <v>903</v>
      </c>
    </row>
    <row r="4869" spans="1:22" x14ac:dyDescent="0.3">
      <c r="A4869">
        <v>70371</v>
      </c>
      <c r="B4869">
        <v>1</v>
      </c>
      <c r="C4869" t="s">
        <v>5</v>
      </c>
      <c r="D4869" t="s">
        <v>6</v>
      </c>
      <c r="E4869" s="1">
        <v>44370</v>
      </c>
      <c r="F4869">
        <v>1</v>
      </c>
      <c r="G4869" t="s">
        <v>31</v>
      </c>
      <c r="H4869" t="s">
        <v>32</v>
      </c>
      <c r="I4869" s="3">
        <v>1507</v>
      </c>
      <c r="J4869" s="3">
        <v>1507</v>
      </c>
      <c r="K4869" s="3">
        <v>393</v>
      </c>
      <c r="L4869" t="s">
        <v>9</v>
      </c>
      <c r="M4869">
        <v>10</v>
      </c>
      <c r="N4869" t="s">
        <v>83</v>
      </c>
      <c r="O4869" t="s">
        <v>81</v>
      </c>
      <c r="P4869" t="s">
        <v>12</v>
      </c>
      <c r="Q4869" t="s">
        <v>13</v>
      </c>
      <c r="R4869" t="s">
        <v>13</v>
      </c>
      <c r="S4869" t="s">
        <v>144</v>
      </c>
      <c r="T4869" s="2">
        <f>MASTER[[#This Row],[CANTIDAD]]*MASTER[[#This Row],[PRECIO DE VENTA]]</f>
        <v>1507</v>
      </c>
      <c r="U4869" s="2">
        <f>MASTER[[#This Row],[CANTIDAD]]*MASTER[[#This Row],[COSTO UNITARIO]]</f>
        <v>393</v>
      </c>
      <c r="V4869" s="2">
        <f>MASTER[[#This Row],[MONTO VENDIDO]]-MASTER[[#This Row],[COSTO DE VENTA]]</f>
        <v>1114</v>
      </c>
    </row>
    <row r="4870" spans="1:22" x14ac:dyDescent="0.3">
      <c r="A4870">
        <v>70377</v>
      </c>
      <c r="B4870">
        <v>1</v>
      </c>
      <c r="C4870" t="s">
        <v>118</v>
      </c>
      <c r="D4870" t="s">
        <v>119</v>
      </c>
      <c r="E4870" s="1">
        <v>44370</v>
      </c>
      <c r="F4870">
        <v>1</v>
      </c>
      <c r="G4870" t="s">
        <v>20</v>
      </c>
      <c r="H4870" t="s">
        <v>21</v>
      </c>
      <c r="I4870" s="3">
        <v>900</v>
      </c>
      <c r="J4870" s="3">
        <v>900</v>
      </c>
      <c r="K4870" s="3">
        <v>424</v>
      </c>
      <c r="L4870" t="s">
        <v>120</v>
      </c>
      <c r="M4870">
        <v>7</v>
      </c>
      <c r="N4870" t="s">
        <v>84</v>
      </c>
      <c r="O4870" t="s">
        <v>81</v>
      </c>
      <c r="P4870" t="s">
        <v>12</v>
      </c>
      <c r="Q4870" t="s">
        <v>13</v>
      </c>
      <c r="R4870" t="s">
        <v>13</v>
      </c>
      <c r="S4870" t="s">
        <v>144</v>
      </c>
      <c r="T4870" s="2">
        <f>MASTER[[#This Row],[CANTIDAD]]*MASTER[[#This Row],[PRECIO DE VENTA]]</f>
        <v>900</v>
      </c>
      <c r="U4870" s="2">
        <f>MASTER[[#This Row],[CANTIDAD]]*MASTER[[#This Row],[COSTO UNITARIO]]</f>
        <v>424</v>
      </c>
      <c r="V4870" s="2">
        <f>MASTER[[#This Row],[MONTO VENDIDO]]-MASTER[[#This Row],[COSTO DE VENTA]]</f>
        <v>476</v>
      </c>
    </row>
    <row r="4871" spans="1:22" x14ac:dyDescent="0.3">
      <c r="A4871">
        <v>70389</v>
      </c>
      <c r="B4871">
        <v>1</v>
      </c>
      <c r="C4871" t="s">
        <v>101</v>
      </c>
      <c r="D4871" t="s">
        <v>102</v>
      </c>
      <c r="E4871" s="1">
        <v>44371</v>
      </c>
      <c r="F4871">
        <v>1</v>
      </c>
      <c r="G4871" t="s">
        <v>7</v>
      </c>
      <c r="H4871" t="s">
        <v>8</v>
      </c>
      <c r="I4871" s="3">
        <v>1212</v>
      </c>
      <c r="J4871" s="3">
        <v>1212</v>
      </c>
      <c r="K4871" s="3">
        <v>442</v>
      </c>
      <c r="L4871" t="s">
        <v>98</v>
      </c>
      <c r="M4871">
        <v>8</v>
      </c>
      <c r="N4871" t="s">
        <v>80</v>
      </c>
      <c r="O4871" t="s">
        <v>81</v>
      </c>
      <c r="P4871" t="s">
        <v>12</v>
      </c>
      <c r="Q4871" t="s">
        <v>13</v>
      </c>
      <c r="R4871" t="s">
        <v>13</v>
      </c>
      <c r="S4871" t="s">
        <v>144</v>
      </c>
      <c r="T4871" s="2">
        <f>MASTER[[#This Row],[CANTIDAD]]*MASTER[[#This Row],[PRECIO DE VENTA]]</f>
        <v>1212</v>
      </c>
      <c r="U4871" s="2">
        <f>MASTER[[#This Row],[CANTIDAD]]*MASTER[[#This Row],[COSTO UNITARIO]]</f>
        <v>442</v>
      </c>
      <c r="V4871" s="2">
        <f>MASTER[[#This Row],[MONTO VENDIDO]]-MASTER[[#This Row],[COSTO DE VENTA]]</f>
        <v>770</v>
      </c>
    </row>
    <row r="4872" spans="1:22" x14ac:dyDescent="0.3">
      <c r="A4872">
        <v>70390</v>
      </c>
      <c r="B4872">
        <v>1</v>
      </c>
      <c r="C4872" t="s">
        <v>99</v>
      </c>
      <c r="D4872" t="s">
        <v>100</v>
      </c>
      <c r="E4872" s="1">
        <v>44371</v>
      </c>
      <c r="F4872">
        <v>1</v>
      </c>
      <c r="G4872" t="s">
        <v>51</v>
      </c>
      <c r="H4872" t="s">
        <v>52</v>
      </c>
      <c r="I4872" s="3">
        <v>1328</v>
      </c>
      <c r="J4872" s="3">
        <v>1328</v>
      </c>
      <c r="K4872" s="3">
        <v>386</v>
      </c>
      <c r="L4872" t="s">
        <v>98</v>
      </c>
      <c r="M4872">
        <v>12</v>
      </c>
      <c r="N4872" t="s">
        <v>26</v>
      </c>
      <c r="O4872" t="s">
        <v>11</v>
      </c>
      <c r="P4872" t="s">
        <v>12</v>
      </c>
      <c r="Q4872" t="s">
        <v>13</v>
      </c>
      <c r="R4872" t="s">
        <v>13</v>
      </c>
      <c r="S4872" t="s">
        <v>144</v>
      </c>
      <c r="T4872" s="2">
        <f>MASTER[[#This Row],[CANTIDAD]]*MASTER[[#This Row],[PRECIO DE VENTA]]</f>
        <v>1328</v>
      </c>
      <c r="U4872" s="2">
        <f>MASTER[[#This Row],[CANTIDAD]]*MASTER[[#This Row],[COSTO UNITARIO]]</f>
        <v>386</v>
      </c>
      <c r="V4872" s="2">
        <f>MASTER[[#This Row],[MONTO VENDIDO]]-MASTER[[#This Row],[COSTO DE VENTA]]</f>
        <v>942</v>
      </c>
    </row>
    <row r="4873" spans="1:22" x14ac:dyDescent="0.3">
      <c r="A4873">
        <v>70406</v>
      </c>
      <c r="B4873">
        <v>1</v>
      </c>
      <c r="C4873" t="s">
        <v>90</v>
      </c>
      <c r="D4873" t="s">
        <v>91</v>
      </c>
      <c r="E4873" s="1">
        <v>44371</v>
      </c>
      <c r="F4873">
        <v>1</v>
      </c>
      <c r="G4873" t="s">
        <v>33</v>
      </c>
      <c r="H4873" t="s">
        <v>34</v>
      </c>
      <c r="I4873" s="3">
        <v>2102</v>
      </c>
      <c r="J4873" s="3">
        <v>2102</v>
      </c>
      <c r="K4873" s="3">
        <v>420</v>
      </c>
      <c r="L4873" t="s">
        <v>9</v>
      </c>
      <c r="M4873">
        <v>3</v>
      </c>
      <c r="N4873" t="s">
        <v>69</v>
      </c>
      <c r="O4873" t="s">
        <v>70</v>
      </c>
      <c r="P4873" t="s">
        <v>71</v>
      </c>
      <c r="Q4873" t="s">
        <v>72</v>
      </c>
      <c r="R4873" t="s">
        <v>139</v>
      </c>
      <c r="S4873" t="s">
        <v>144</v>
      </c>
      <c r="T4873" s="2">
        <f>MASTER[[#This Row],[CANTIDAD]]*MASTER[[#This Row],[PRECIO DE VENTA]]</f>
        <v>2102</v>
      </c>
      <c r="U4873" s="2">
        <f>MASTER[[#This Row],[CANTIDAD]]*MASTER[[#This Row],[COSTO UNITARIO]]</f>
        <v>420</v>
      </c>
      <c r="V4873" s="2">
        <f>MASTER[[#This Row],[MONTO VENDIDO]]-MASTER[[#This Row],[COSTO DE VENTA]]</f>
        <v>1682</v>
      </c>
    </row>
    <row r="4874" spans="1:22" x14ac:dyDescent="0.3">
      <c r="A4874">
        <v>70416</v>
      </c>
      <c r="B4874">
        <v>1</v>
      </c>
      <c r="C4874" t="s">
        <v>90</v>
      </c>
      <c r="D4874" t="s">
        <v>91</v>
      </c>
      <c r="E4874" s="1">
        <v>44371</v>
      </c>
      <c r="F4874">
        <v>1</v>
      </c>
      <c r="G4874" t="s">
        <v>35</v>
      </c>
      <c r="H4874" t="s">
        <v>36</v>
      </c>
      <c r="I4874" s="3">
        <v>1660</v>
      </c>
      <c r="J4874" s="3">
        <v>1660</v>
      </c>
      <c r="K4874" s="3">
        <v>420</v>
      </c>
      <c r="L4874" t="s">
        <v>9</v>
      </c>
      <c r="M4874">
        <v>17</v>
      </c>
      <c r="N4874" t="s">
        <v>14</v>
      </c>
      <c r="O4874" t="s">
        <v>11</v>
      </c>
      <c r="P4874" t="s">
        <v>15</v>
      </c>
      <c r="Q4874" t="s">
        <v>16</v>
      </c>
      <c r="R4874" t="s">
        <v>16</v>
      </c>
      <c r="S4874" t="s">
        <v>144</v>
      </c>
      <c r="T4874" s="2">
        <f>MASTER[[#This Row],[CANTIDAD]]*MASTER[[#This Row],[PRECIO DE VENTA]]</f>
        <v>1660</v>
      </c>
      <c r="U4874" s="2">
        <f>MASTER[[#This Row],[CANTIDAD]]*MASTER[[#This Row],[COSTO UNITARIO]]</f>
        <v>420</v>
      </c>
      <c r="V4874" s="2">
        <f>MASTER[[#This Row],[MONTO VENDIDO]]-MASTER[[#This Row],[COSTO DE VENTA]]</f>
        <v>1240</v>
      </c>
    </row>
    <row r="4875" spans="1:22" x14ac:dyDescent="0.3">
      <c r="A4875">
        <v>70435</v>
      </c>
      <c r="B4875">
        <v>1</v>
      </c>
      <c r="C4875" t="s">
        <v>99</v>
      </c>
      <c r="D4875" t="s">
        <v>100</v>
      </c>
      <c r="E4875" s="1">
        <v>44371</v>
      </c>
      <c r="F4875">
        <v>1</v>
      </c>
      <c r="G4875" t="s">
        <v>65</v>
      </c>
      <c r="H4875" t="s">
        <v>66</v>
      </c>
      <c r="I4875" s="3">
        <v>1459</v>
      </c>
      <c r="J4875" s="3">
        <v>1327</v>
      </c>
      <c r="K4875" s="3">
        <v>386</v>
      </c>
      <c r="L4875" t="s">
        <v>98</v>
      </c>
      <c r="M4875">
        <v>7</v>
      </c>
      <c r="N4875" t="s">
        <v>84</v>
      </c>
      <c r="O4875" t="s">
        <v>81</v>
      </c>
      <c r="P4875" t="s">
        <v>12</v>
      </c>
      <c r="Q4875" t="s">
        <v>13</v>
      </c>
      <c r="R4875" t="s">
        <v>13</v>
      </c>
      <c r="S4875" t="s">
        <v>144</v>
      </c>
      <c r="T4875" s="2">
        <f>MASTER[[#This Row],[CANTIDAD]]*MASTER[[#This Row],[PRECIO DE VENTA]]</f>
        <v>1327</v>
      </c>
      <c r="U4875" s="2">
        <f>MASTER[[#This Row],[CANTIDAD]]*MASTER[[#This Row],[COSTO UNITARIO]]</f>
        <v>386</v>
      </c>
      <c r="V4875" s="2">
        <f>MASTER[[#This Row],[MONTO VENDIDO]]-MASTER[[#This Row],[COSTO DE VENTA]]</f>
        <v>941</v>
      </c>
    </row>
    <row r="4876" spans="1:22" x14ac:dyDescent="0.3">
      <c r="A4876">
        <v>70444</v>
      </c>
      <c r="B4876">
        <v>1</v>
      </c>
      <c r="C4876" t="s">
        <v>118</v>
      </c>
      <c r="D4876" t="s">
        <v>119</v>
      </c>
      <c r="E4876" s="1">
        <v>44371</v>
      </c>
      <c r="F4876">
        <v>1</v>
      </c>
      <c r="G4876" t="s">
        <v>49</v>
      </c>
      <c r="H4876" t="s">
        <v>50</v>
      </c>
      <c r="I4876" s="3">
        <v>900</v>
      </c>
      <c r="J4876" s="3">
        <v>900</v>
      </c>
      <c r="K4876" s="3">
        <v>424</v>
      </c>
      <c r="L4876" t="s">
        <v>120</v>
      </c>
      <c r="M4876">
        <v>4</v>
      </c>
      <c r="N4876" t="s">
        <v>82</v>
      </c>
      <c r="O4876" t="s">
        <v>81</v>
      </c>
      <c r="P4876" t="s">
        <v>71</v>
      </c>
      <c r="Q4876" t="s">
        <v>72</v>
      </c>
      <c r="R4876" t="s">
        <v>139</v>
      </c>
      <c r="S4876" t="s">
        <v>144</v>
      </c>
      <c r="T4876" s="2">
        <f>MASTER[[#This Row],[CANTIDAD]]*MASTER[[#This Row],[PRECIO DE VENTA]]</f>
        <v>900</v>
      </c>
      <c r="U4876" s="2">
        <f>MASTER[[#This Row],[CANTIDAD]]*MASTER[[#This Row],[COSTO UNITARIO]]</f>
        <v>424</v>
      </c>
      <c r="V4876" s="2">
        <f>MASTER[[#This Row],[MONTO VENDIDO]]-MASTER[[#This Row],[COSTO DE VENTA]]</f>
        <v>476</v>
      </c>
    </row>
    <row r="4877" spans="1:22" x14ac:dyDescent="0.3">
      <c r="A4877">
        <v>70461</v>
      </c>
      <c r="B4877">
        <v>1</v>
      </c>
      <c r="C4877" t="s">
        <v>5</v>
      </c>
      <c r="D4877" t="s">
        <v>6</v>
      </c>
      <c r="E4877" s="1">
        <v>44371</v>
      </c>
      <c r="F4877">
        <v>1</v>
      </c>
      <c r="G4877" t="s">
        <v>61</v>
      </c>
      <c r="H4877" t="s">
        <v>62</v>
      </c>
      <c r="I4877" s="3">
        <v>1507</v>
      </c>
      <c r="J4877" s="3">
        <v>1507</v>
      </c>
      <c r="K4877" s="3">
        <v>393</v>
      </c>
      <c r="L4877" t="s">
        <v>9</v>
      </c>
      <c r="M4877">
        <v>15</v>
      </c>
      <c r="N4877" t="s">
        <v>88</v>
      </c>
      <c r="O4877" t="s">
        <v>81</v>
      </c>
      <c r="P4877" t="s">
        <v>18</v>
      </c>
      <c r="Q4877" t="s">
        <v>19</v>
      </c>
      <c r="R4877" t="s">
        <v>138</v>
      </c>
      <c r="S4877" t="s">
        <v>144</v>
      </c>
      <c r="T4877" s="2">
        <f>MASTER[[#This Row],[CANTIDAD]]*MASTER[[#This Row],[PRECIO DE VENTA]]</f>
        <v>1507</v>
      </c>
      <c r="U4877" s="2">
        <f>MASTER[[#This Row],[CANTIDAD]]*MASTER[[#This Row],[COSTO UNITARIO]]</f>
        <v>393</v>
      </c>
      <c r="V4877" s="2">
        <f>MASTER[[#This Row],[MONTO VENDIDO]]-MASTER[[#This Row],[COSTO DE VENTA]]</f>
        <v>1114</v>
      </c>
    </row>
    <row r="4878" spans="1:22" x14ac:dyDescent="0.3">
      <c r="A4878">
        <v>70469</v>
      </c>
      <c r="B4878">
        <v>1</v>
      </c>
      <c r="C4878" t="s">
        <v>96</v>
      </c>
      <c r="D4878" t="s">
        <v>97</v>
      </c>
      <c r="E4878" s="1">
        <v>44371</v>
      </c>
      <c r="F4878">
        <v>4</v>
      </c>
      <c r="G4878" t="s">
        <v>45</v>
      </c>
      <c r="H4878" t="s">
        <v>46</v>
      </c>
      <c r="I4878" s="3">
        <v>1361</v>
      </c>
      <c r="J4878" s="3">
        <v>1361</v>
      </c>
      <c r="K4878" s="3">
        <v>397</v>
      </c>
      <c r="L4878" t="s">
        <v>98</v>
      </c>
      <c r="M4878">
        <v>18</v>
      </c>
      <c r="N4878" t="s">
        <v>79</v>
      </c>
      <c r="O4878" t="s">
        <v>70</v>
      </c>
      <c r="P4878" t="s">
        <v>15</v>
      </c>
      <c r="Q4878" t="s">
        <v>16</v>
      </c>
      <c r="R4878" t="s">
        <v>16</v>
      </c>
      <c r="S4878" t="s">
        <v>144</v>
      </c>
      <c r="T4878" s="2">
        <f>MASTER[[#This Row],[CANTIDAD]]*MASTER[[#This Row],[PRECIO DE VENTA]]</f>
        <v>5444</v>
      </c>
      <c r="U4878" s="2">
        <f>MASTER[[#This Row],[CANTIDAD]]*MASTER[[#This Row],[COSTO UNITARIO]]</f>
        <v>1588</v>
      </c>
      <c r="V4878" s="2">
        <f>MASTER[[#This Row],[MONTO VENDIDO]]-MASTER[[#This Row],[COSTO DE VENTA]]</f>
        <v>3856</v>
      </c>
    </row>
    <row r="4879" spans="1:22" x14ac:dyDescent="0.3">
      <c r="A4879">
        <v>70475</v>
      </c>
      <c r="B4879">
        <v>1</v>
      </c>
      <c r="C4879" t="s">
        <v>101</v>
      </c>
      <c r="D4879" t="s">
        <v>102</v>
      </c>
      <c r="E4879" s="1">
        <v>44371</v>
      </c>
      <c r="F4879">
        <v>1</v>
      </c>
      <c r="G4879" t="s">
        <v>57</v>
      </c>
      <c r="H4879" t="s">
        <v>58</v>
      </c>
      <c r="I4879" s="3">
        <v>1357</v>
      </c>
      <c r="J4879" s="3">
        <v>1357</v>
      </c>
      <c r="K4879" s="3">
        <v>442</v>
      </c>
      <c r="L4879" t="s">
        <v>98</v>
      </c>
      <c r="M4879">
        <v>13</v>
      </c>
      <c r="N4879" t="s">
        <v>78</v>
      </c>
      <c r="O4879" t="s">
        <v>70</v>
      </c>
      <c r="P4879" t="s">
        <v>18</v>
      </c>
      <c r="Q4879" t="s">
        <v>19</v>
      </c>
      <c r="R4879" t="s">
        <v>138</v>
      </c>
      <c r="S4879" t="s">
        <v>144</v>
      </c>
      <c r="T4879" s="2">
        <f>MASTER[[#This Row],[CANTIDAD]]*MASTER[[#This Row],[PRECIO DE VENTA]]</f>
        <v>1357</v>
      </c>
      <c r="U4879" s="2">
        <f>MASTER[[#This Row],[CANTIDAD]]*MASTER[[#This Row],[COSTO UNITARIO]]</f>
        <v>442</v>
      </c>
      <c r="V4879" s="2">
        <f>MASTER[[#This Row],[MONTO VENDIDO]]-MASTER[[#This Row],[COSTO DE VENTA]]</f>
        <v>915</v>
      </c>
    </row>
    <row r="4880" spans="1:22" x14ac:dyDescent="0.3">
      <c r="A4880">
        <v>70492</v>
      </c>
      <c r="B4880">
        <v>1</v>
      </c>
      <c r="C4880" t="s">
        <v>94</v>
      </c>
      <c r="D4880" t="s">
        <v>95</v>
      </c>
      <c r="E4880" s="1">
        <v>44371</v>
      </c>
      <c r="F4880">
        <v>1</v>
      </c>
      <c r="G4880" t="s">
        <v>61</v>
      </c>
      <c r="H4880" t="s">
        <v>62</v>
      </c>
      <c r="I4880" s="3">
        <v>1153</v>
      </c>
      <c r="J4880" s="3">
        <v>1153</v>
      </c>
      <c r="K4880" s="3">
        <v>392</v>
      </c>
      <c r="L4880" t="s">
        <v>9</v>
      </c>
      <c r="M4880">
        <v>13</v>
      </c>
      <c r="N4880" t="s">
        <v>78</v>
      </c>
      <c r="O4880" t="s">
        <v>70</v>
      </c>
      <c r="P4880" t="s">
        <v>18</v>
      </c>
      <c r="Q4880" t="s">
        <v>19</v>
      </c>
      <c r="R4880" t="s">
        <v>138</v>
      </c>
      <c r="S4880" t="s">
        <v>144</v>
      </c>
      <c r="T4880" s="2">
        <f>MASTER[[#This Row],[CANTIDAD]]*MASTER[[#This Row],[PRECIO DE VENTA]]</f>
        <v>1153</v>
      </c>
      <c r="U4880" s="2">
        <f>MASTER[[#This Row],[CANTIDAD]]*MASTER[[#This Row],[COSTO UNITARIO]]</f>
        <v>392</v>
      </c>
      <c r="V4880" s="2">
        <f>MASTER[[#This Row],[MONTO VENDIDO]]-MASTER[[#This Row],[COSTO DE VENTA]]</f>
        <v>761</v>
      </c>
    </row>
    <row r="4881" spans="1:22" x14ac:dyDescent="0.3">
      <c r="A4881">
        <v>70494</v>
      </c>
      <c r="B4881">
        <v>1</v>
      </c>
      <c r="C4881" t="s">
        <v>111</v>
      </c>
      <c r="D4881" t="s">
        <v>112</v>
      </c>
      <c r="E4881" s="1">
        <v>44371</v>
      </c>
      <c r="F4881">
        <v>1</v>
      </c>
      <c r="G4881" t="s">
        <v>59</v>
      </c>
      <c r="H4881" t="s">
        <v>60</v>
      </c>
      <c r="I4881" s="3">
        <v>1799</v>
      </c>
      <c r="J4881" s="3">
        <v>1799</v>
      </c>
      <c r="K4881" s="3">
        <v>434</v>
      </c>
      <c r="L4881" t="s">
        <v>113</v>
      </c>
      <c r="M4881">
        <v>18</v>
      </c>
      <c r="N4881" t="s">
        <v>79</v>
      </c>
      <c r="O4881" t="s">
        <v>70</v>
      </c>
      <c r="P4881" t="s">
        <v>15</v>
      </c>
      <c r="Q4881" t="s">
        <v>16</v>
      </c>
      <c r="R4881" t="s">
        <v>16</v>
      </c>
      <c r="S4881" t="s">
        <v>144</v>
      </c>
      <c r="T4881" s="2">
        <f>MASTER[[#This Row],[CANTIDAD]]*MASTER[[#This Row],[PRECIO DE VENTA]]</f>
        <v>1799</v>
      </c>
      <c r="U4881" s="2">
        <f>MASTER[[#This Row],[CANTIDAD]]*MASTER[[#This Row],[COSTO UNITARIO]]</f>
        <v>434</v>
      </c>
      <c r="V4881" s="2">
        <f>MASTER[[#This Row],[MONTO VENDIDO]]-MASTER[[#This Row],[COSTO DE VENTA]]</f>
        <v>1365</v>
      </c>
    </row>
    <row r="4882" spans="1:22" x14ac:dyDescent="0.3">
      <c r="A4882">
        <v>70506</v>
      </c>
      <c r="B4882">
        <v>1</v>
      </c>
      <c r="C4882" t="s">
        <v>101</v>
      </c>
      <c r="D4882" t="s">
        <v>102</v>
      </c>
      <c r="E4882" s="1">
        <v>44371</v>
      </c>
      <c r="F4882">
        <v>1</v>
      </c>
      <c r="G4882" t="s">
        <v>49</v>
      </c>
      <c r="H4882" t="s">
        <v>50</v>
      </c>
      <c r="I4882" s="3">
        <v>1212</v>
      </c>
      <c r="J4882" s="3">
        <v>1212</v>
      </c>
      <c r="K4882" s="3">
        <v>442</v>
      </c>
      <c r="L4882" t="s">
        <v>98</v>
      </c>
      <c r="M4882">
        <v>10</v>
      </c>
      <c r="N4882" t="s">
        <v>83</v>
      </c>
      <c r="O4882" t="s">
        <v>81</v>
      </c>
      <c r="P4882" t="s">
        <v>12</v>
      </c>
      <c r="Q4882" t="s">
        <v>13</v>
      </c>
      <c r="R4882" t="s">
        <v>13</v>
      </c>
      <c r="S4882" t="s">
        <v>144</v>
      </c>
      <c r="T4882" s="2">
        <f>MASTER[[#This Row],[CANTIDAD]]*MASTER[[#This Row],[PRECIO DE VENTA]]</f>
        <v>1212</v>
      </c>
      <c r="U4882" s="2">
        <f>MASTER[[#This Row],[CANTIDAD]]*MASTER[[#This Row],[COSTO UNITARIO]]</f>
        <v>442</v>
      </c>
      <c r="V4882" s="2">
        <f>MASTER[[#This Row],[MONTO VENDIDO]]-MASTER[[#This Row],[COSTO DE VENTA]]</f>
        <v>770</v>
      </c>
    </row>
    <row r="4883" spans="1:22" x14ac:dyDescent="0.3">
      <c r="A4883">
        <v>70512</v>
      </c>
      <c r="B4883">
        <v>1</v>
      </c>
      <c r="C4883" t="s">
        <v>107</v>
      </c>
      <c r="D4883" t="s">
        <v>108</v>
      </c>
      <c r="E4883" s="1">
        <v>44371</v>
      </c>
      <c r="F4883">
        <v>1</v>
      </c>
      <c r="G4883" t="s">
        <v>67</v>
      </c>
      <c r="H4883" t="s">
        <v>68</v>
      </c>
      <c r="I4883" s="3">
        <v>1333</v>
      </c>
      <c r="J4883" s="3">
        <v>1333</v>
      </c>
      <c r="K4883" s="3">
        <v>380</v>
      </c>
      <c r="L4883" t="s">
        <v>98</v>
      </c>
      <c r="M4883">
        <v>14</v>
      </c>
      <c r="N4883" t="s">
        <v>87</v>
      </c>
      <c r="O4883" t="s">
        <v>81</v>
      </c>
      <c r="P4883" t="s">
        <v>18</v>
      </c>
      <c r="Q4883" t="s">
        <v>19</v>
      </c>
      <c r="R4883" t="s">
        <v>138</v>
      </c>
      <c r="S4883" t="s">
        <v>144</v>
      </c>
      <c r="T4883" s="2">
        <f>MASTER[[#This Row],[CANTIDAD]]*MASTER[[#This Row],[PRECIO DE VENTA]]</f>
        <v>1333</v>
      </c>
      <c r="U4883" s="2">
        <f>MASTER[[#This Row],[CANTIDAD]]*MASTER[[#This Row],[COSTO UNITARIO]]</f>
        <v>380</v>
      </c>
      <c r="V4883" s="2">
        <f>MASTER[[#This Row],[MONTO VENDIDO]]-MASTER[[#This Row],[COSTO DE VENTA]]</f>
        <v>953</v>
      </c>
    </row>
    <row r="4884" spans="1:22" x14ac:dyDescent="0.3">
      <c r="A4884">
        <v>70558</v>
      </c>
      <c r="B4884">
        <v>1</v>
      </c>
      <c r="C4884" t="s">
        <v>109</v>
      </c>
      <c r="D4884" t="s">
        <v>110</v>
      </c>
      <c r="E4884" s="1">
        <v>44371</v>
      </c>
      <c r="F4884">
        <v>1</v>
      </c>
      <c r="G4884" t="s">
        <v>67</v>
      </c>
      <c r="H4884" t="s">
        <v>68</v>
      </c>
      <c r="I4884" s="3">
        <v>1064</v>
      </c>
      <c r="J4884" s="3">
        <v>1064</v>
      </c>
      <c r="K4884" s="3">
        <v>387</v>
      </c>
      <c r="L4884" t="s">
        <v>98</v>
      </c>
      <c r="M4884">
        <v>15</v>
      </c>
      <c r="N4884" t="s">
        <v>88</v>
      </c>
      <c r="O4884" t="s">
        <v>81</v>
      </c>
      <c r="P4884" t="s">
        <v>18</v>
      </c>
      <c r="Q4884" t="s">
        <v>19</v>
      </c>
      <c r="R4884" t="s">
        <v>138</v>
      </c>
      <c r="S4884" t="s">
        <v>144</v>
      </c>
      <c r="T4884" s="2">
        <f>MASTER[[#This Row],[CANTIDAD]]*MASTER[[#This Row],[PRECIO DE VENTA]]</f>
        <v>1064</v>
      </c>
      <c r="U4884" s="2">
        <f>MASTER[[#This Row],[CANTIDAD]]*MASTER[[#This Row],[COSTO UNITARIO]]</f>
        <v>387</v>
      </c>
      <c r="V4884" s="2">
        <f>MASTER[[#This Row],[MONTO VENDIDO]]-MASTER[[#This Row],[COSTO DE VENTA]]</f>
        <v>677</v>
      </c>
    </row>
    <row r="4885" spans="1:22" x14ac:dyDescent="0.3">
      <c r="A4885">
        <v>70560</v>
      </c>
      <c r="B4885">
        <v>1</v>
      </c>
      <c r="C4885" t="s">
        <v>118</v>
      </c>
      <c r="D4885" t="s">
        <v>119</v>
      </c>
      <c r="E4885" s="1">
        <v>44371</v>
      </c>
      <c r="F4885">
        <v>1</v>
      </c>
      <c r="G4885" t="s">
        <v>55</v>
      </c>
      <c r="H4885" t="s">
        <v>56</v>
      </c>
      <c r="I4885" s="3">
        <v>1026</v>
      </c>
      <c r="J4885" s="3">
        <v>1026</v>
      </c>
      <c r="K4885" s="3">
        <v>424</v>
      </c>
      <c r="L4885" t="s">
        <v>120</v>
      </c>
      <c r="M4885">
        <v>3</v>
      </c>
      <c r="N4885" t="s">
        <v>69</v>
      </c>
      <c r="O4885" t="s">
        <v>70</v>
      </c>
      <c r="P4885" t="s">
        <v>71</v>
      </c>
      <c r="Q4885" t="s">
        <v>72</v>
      </c>
      <c r="R4885" t="s">
        <v>139</v>
      </c>
      <c r="S4885" t="s">
        <v>144</v>
      </c>
      <c r="T4885" s="2">
        <f>MASTER[[#This Row],[CANTIDAD]]*MASTER[[#This Row],[PRECIO DE VENTA]]</f>
        <v>1026</v>
      </c>
      <c r="U4885" s="2">
        <f>MASTER[[#This Row],[CANTIDAD]]*MASTER[[#This Row],[COSTO UNITARIO]]</f>
        <v>424</v>
      </c>
      <c r="V4885" s="2">
        <f>MASTER[[#This Row],[MONTO VENDIDO]]-MASTER[[#This Row],[COSTO DE VENTA]]</f>
        <v>602</v>
      </c>
    </row>
    <row r="4886" spans="1:22" x14ac:dyDescent="0.3">
      <c r="A4886">
        <v>70592</v>
      </c>
      <c r="B4886">
        <v>1</v>
      </c>
      <c r="C4886" t="s">
        <v>94</v>
      </c>
      <c r="D4886" t="s">
        <v>95</v>
      </c>
      <c r="E4886" s="1">
        <v>44371</v>
      </c>
      <c r="F4886">
        <v>2</v>
      </c>
      <c r="G4886" t="s">
        <v>53</v>
      </c>
      <c r="H4886" t="s">
        <v>54</v>
      </c>
      <c r="I4886" s="3">
        <v>1153</v>
      </c>
      <c r="J4886" s="3">
        <v>1153</v>
      </c>
      <c r="K4886" s="3">
        <v>392</v>
      </c>
      <c r="L4886" t="s">
        <v>9</v>
      </c>
      <c r="M4886">
        <v>6</v>
      </c>
      <c r="N4886" t="s">
        <v>75</v>
      </c>
      <c r="O4886" t="s">
        <v>70</v>
      </c>
      <c r="P4886" t="s">
        <v>12</v>
      </c>
      <c r="Q4886" t="s">
        <v>13</v>
      </c>
      <c r="R4886" t="s">
        <v>13</v>
      </c>
      <c r="S4886" t="s">
        <v>144</v>
      </c>
      <c r="T4886" s="2">
        <f>MASTER[[#This Row],[CANTIDAD]]*MASTER[[#This Row],[PRECIO DE VENTA]]</f>
        <v>2306</v>
      </c>
      <c r="U4886" s="2">
        <f>MASTER[[#This Row],[CANTIDAD]]*MASTER[[#This Row],[COSTO UNITARIO]]</f>
        <v>784</v>
      </c>
      <c r="V4886" s="2">
        <f>MASTER[[#This Row],[MONTO VENDIDO]]-MASTER[[#This Row],[COSTO DE VENTA]]</f>
        <v>1522</v>
      </c>
    </row>
    <row r="4887" spans="1:22" x14ac:dyDescent="0.3">
      <c r="A4887">
        <v>70602</v>
      </c>
      <c r="B4887">
        <v>1</v>
      </c>
      <c r="C4887" t="s">
        <v>118</v>
      </c>
      <c r="D4887" t="s">
        <v>119</v>
      </c>
      <c r="E4887" s="1">
        <v>44372</v>
      </c>
      <c r="F4887">
        <v>1</v>
      </c>
      <c r="G4887" t="s">
        <v>53</v>
      </c>
      <c r="H4887" t="s">
        <v>54</v>
      </c>
      <c r="I4887" s="3">
        <v>900</v>
      </c>
      <c r="J4887" s="3">
        <v>900</v>
      </c>
      <c r="K4887" s="3">
        <v>424</v>
      </c>
      <c r="L4887" t="s">
        <v>120</v>
      </c>
      <c r="M4887">
        <v>14</v>
      </c>
      <c r="N4887" t="s">
        <v>87</v>
      </c>
      <c r="O4887" t="s">
        <v>81</v>
      </c>
      <c r="P4887" t="s">
        <v>18</v>
      </c>
      <c r="Q4887" t="s">
        <v>19</v>
      </c>
      <c r="R4887" t="s">
        <v>138</v>
      </c>
      <c r="S4887" t="s">
        <v>144</v>
      </c>
      <c r="T4887" s="2">
        <f>MASTER[[#This Row],[CANTIDAD]]*MASTER[[#This Row],[PRECIO DE VENTA]]</f>
        <v>900</v>
      </c>
      <c r="U4887" s="2">
        <f>MASTER[[#This Row],[CANTIDAD]]*MASTER[[#This Row],[COSTO UNITARIO]]</f>
        <v>424</v>
      </c>
      <c r="V4887" s="2">
        <f>MASTER[[#This Row],[MONTO VENDIDO]]-MASTER[[#This Row],[COSTO DE VENTA]]</f>
        <v>476</v>
      </c>
    </row>
    <row r="4888" spans="1:22" x14ac:dyDescent="0.3">
      <c r="A4888">
        <v>70635</v>
      </c>
      <c r="B4888">
        <v>1</v>
      </c>
      <c r="C4888" t="s">
        <v>99</v>
      </c>
      <c r="D4888" t="s">
        <v>100</v>
      </c>
      <c r="E4888" s="1">
        <v>44372</v>
      </c>
      <c r="F4888">
        <v>1</v>
      </c>
      <c r="G4888" t="s">
        <v>45</v>
      </c>
      <c r="H4888" t="s">
        <v>46</v>
      </c>
      <c r="I4888" s="3">
        <v>1678</v>
      </c>
      <c r="J4888" s="3">
        <v>1678</v>
      </c>
      <c r="K4888" s="3">
        <v>386</v>
      </c>
      <c r="L4888" t="s">
        <v>98</v>
      </c>
      <c r="M4888">
        <v>13</v>
      </c>
      <c r="N4888" t="s">
        <v>78</v>
      </c>
      <c r="O4888" t="s">
        <v>70</v>
      </c>
      <c r="P4888" t="s">
        <v>18</v>
      </c>
      <c r="Q4888" t="s">
        <v>19</v>
      </c>
      <c r="R4888" t="s">
        <v>138</v>
      </c>
      <c r="S4888" t="s">
        <v>144</v>
      </c>
      <c r="T4888" s="2">
        <f>MASTER[[#This Row],[CANTIDAD]]*MASTER[[#This Row],[PRECIO DE VENTA]]</f>
        <v>1678</v>
      </c>
      <c r="U4888" s="2">
        <f>MASTER[[#This Row],[CANTIDAD]]*MASTER[[#This Row],[COSTO UNITARIO]]</f>
        <v>386</v>
      </c>
      <c r="V4888" s="2">
        <f>MASTER[[#This Row],[MONTO VENDIDO]]-MASTER[[#This Row],[COSTO DE VENTA]]</f>
        <v>1292</v>
      </c>
    </row>
    <row r="4889" spans="1:22" x14ac:dyDescent="0.3">
      <c r="A4889">
        <v>70636</v>
      </c>
      <c r="B4889">
        <v>1</v>
      </c>
      <c r="C4889" t="s">
        <v>5</v>
      </c>
      <c r="D4889" t="s">
        <v>6</v>
      </c>
      <c r="E4889" s="1">
        <v>44372</v>
      </c>
      <c r="F4889">
        <v>1</v>
      </c>
      <c r="G4889" t="s">
        <v>47</v>
      </c>
      <c r="H4889" t="s">
        <v>48</v>
      </c>
      <c r="I4889" s="3">
        <v>1507</v>
      </c>
      <c r="J4889" s="3">
        <v>1507</v>
      </c>
      <c r="K4889" s="3">
        <v>393</v>
      </c>
      <c r="L4889" t="s">
        <v>9</v>
      </c>
      <c r="M4889">
        <v>5</v>
      </c>
      <c r="N4889" t="s">
        <v>85</v>
      </c>
      <c r="O4889" t="s">
        <v>81</v>
      </c>
      <c r="P4889" t="s">
        <v>12</v>
      </c>
      <c r="Q4889" t="s">
        <v>13</v>
      </c>
      <c r="R4889" t="s">
        <v>13</v>
      </c>
      <c r="S4889" t="s">
        <v>144</v>
      </c>
      <c r="T4889" s="2">
        <f>MASTER[[#This Row],[CANTIDAD]]*MASTER[[#This Row],[PRECIO DE VENTA]]</f>
        <v>1507</v>
      </c>
      <c r="U4889" s="2">
        <f>MASTER[[#This Row],[CANTIDAD]]*MASTER[[#This Row],[COSTO UNITARIO]]</f>
        <v>393</v>
      </c>
      <c r="V4889" s="2">
        <f>MASTER[[#This Row],[MONTO VENDIDO]]-MASTER[[#This Row],[COSTO DE VENTA]]</f>
        <v>1114</v>
      </c>
    </row>
    <row r="4890" spans="1:22" x14ac:dyDescent="0.3">
      <c r="A4890">
        <v>70637</v>
      </c>
      <c r="B4890">
        <v>1</v>
      </c>
      <c r="C4890" t="s">
        <v>5</v>
      </c>
      <c r="D4890" t="s">
        <v>6</v>
      </c>
      <c r="E4890" s="1">
        <v>44372</v>
      </c>
      <c r="F4890">
        <v>1</v>
      </c>
      <c r="G4890" t="s">
        <v>7</v>
      </c>
      <c r="H4890" t="s">
        <v>8</v>
      </c>
      <c r="I4890" s="3">
        <v>1311</v>
      </c>
      <c r="J4890" s="3">
        <v>1311</v>
      </c>
      <c r="K4890" s="3">
        <v>393</v>
      </c>
      <c r="L4890" t="s">
        <v>9</v>
      </c>
      <c r="M4890">
        <v>11</v>
      </c>
      <c r="N4890" t="s">
        <v>10</v>
      </c>
      <c r="O4890" t="s">
        <v>11</v>
      </c>
      <c r="P4890" t="s">
        <v>12</v>
      </c>
      <c r="Q4890" t="s">
        <v>13</v>
      </c>
      <c r="R4890" t="s">
        <v>13</v>
      </c>
      <c r="S4890" t="s">
        <v>144</v>
      </c>
      <c r="T4890" s="2">
        <f>MASTER[[#This Row],[CANTIDAD]]*MASTER[[#This Row],[PRECIO DE VENTA]]</f>
        <v>1311</v>
      </c>
      <c r="U4890" s="2">
        <f>MASTER[[#This Row],[CANTIDAD]]*MASTER[[#This Row],[COSTO UNITARIO]]</f>
        <v>393</v>
      </c>
      <c r="V4890" s="2">
        <f>MASTER[[#This Row],[MONTO VENDIDO]]-MASTER[[#This Row],[COSTO DE VENTA]]</f>
        <v>918</v>
      </c>
    </row>
    <row r="4891" spans="1:22" x14ac:dyDescent="0.3">
      <c r="A4891">
        <v>70644</v>
      </c>
      <c r="B4891">
        <v>2</v>
      </c>
      <c r="C4891" t="s">
        <v>90</v>
      </c>
      <c r="D4891" t="s">
        <v>91</v>
      </c>
      <c r="E4891" s="1">
        <v>44372</v>
      </c>
      <c r="F4891">
        <v>1</v>
      </c>
      <c r="G4891" t="s">
        <v>7</v>
      </c>
      <c r="H4891" t="s">
        <v>8</v>
      </c>
      <c r="I4891" s="3">
        <v>1844</v>
      </c>
      <c r="J4891" s="3">
        <v>1659</v>
      </c>
      <c r="K4891" s="3">
        <v>420</v>
      </c>
      <c r="L4891" t="s">
        <v>9</v>
      </c>
      <c r="M4891">
        <v>10</v>
      </c>
      <c r="N4891" t="s">
        <v>83</v>
      </c>
      <c r="O4891" t="s">
        <v>81</v>
      </c>
      <c r="P4891" t="s">
        <v>12</v>
      </c>
      <c r="Q4891" t="s">
        <v>13</v>
      </c>
      <c r="R4891" t="s">
        <v>13</v>
      </c>
      <c r="S4891" t="s">
        <v>144</v>
      </c>
      <c r="T4891" s="2">
        <f>MASTER[[#This Row],[CANTIDAD]]*MASTER[[#This Row],[PRECIO DE VENTA]]</f>
        <v>1659</v>
      </c>
      <c r="U4891" s="2">
        <f>MASTER[[#This Row],[CANTIDAD]]*MASTER[[#This Row],[COSTO UNITARIO]]</f>
        <v>420</v>
      </c>
      <c r="V4891" s="2">
        <f>MASTER[[#This Row],[MONTO VENDIDO]]-MASTER[[#This Row],[COSTO DE VENTA]]</f>
        <v>1239</v>
      </c>
    </row>
    <row r="4892" spans="1:22" x14ac:dyDescent="0.3">
      <c r="A4892">
        <v>70644</v>
      </c>
      <c r="B4892">
        <v>1</v>
      </c>
      <c r="C4892" t="s">
        <v>118</v>
      </c>
      <c r="D4892" t="s">
        <v>119</v>
      </c>
      <c r="E4892" s="1">
        <v>44372</v>
      </c>
      <c r="F4892">
        <v>3</v>
      </c>
      <c r="G4892" t="s">
        <v>41</v>
      </c>
      <c r="H4892" t="s">
        <v>42</v>
      </c>
      <c r="I4892" s="3">
        <v>900</v>
      </c>
      <c r="J4892" s="3">
        <v>900</v>
      </c>
      <c r="K4892" s="3">
        <v>424</v>
      </c>
      <c r="L4892" t="s">
        <v>120</v>
      </c>
      <c r="M4892">
        <v>10</v>
      </c>
      <c r="N4892" t="s">
        <v>83</v>
      </c>
      <c r="O4892" t="s">
        <v>81</v>
      </c>
      <c r="P4892" t="s">
        <v>12</v>
      </c>
      <c r="Q4892" t="s">
        <v>13</v>
      </c>
      <c r="R4892" t="s">
        <v>13</v>
      </c>
      <c r="S4892" t="s">
        <v>144</v>
      </c>
      <c r="T4892" s="2">
        <f>MASTER[[#This Row],[CANTIDAD]]*MASTER[[#This Row],[PRECIO DE VENTA]]</f>
        <v>2700</v>
      </c>
      <c r="U4892" s="2">
        <f>MASTER[[#This Row],[CANTIDAD]]*MASTER[[#This Row],[COSTO UNITARIO]]</f>
        <v>1272</v>
      </c>
      <c r="V4892" s="2">
        <f>MASTER[[#This Row],[MONTO VENDIDO]]-MASTER[[#This Row],[COSTO DE VENTA]]</f>
        <v>1428</v>
      </c>
    </row>
    <row r="4893" spans="1:22" x14ac:dyDescent="0.3">
      <c r="A4893">
        <v>70648</v>
      </c>
      <c r="B4893">
        <v>1</v>
      </c>
      <c r="C4893" t="s">
        <v>96</v>
      </c>
      <c r="D4893" t="s">
        <v>97</v>
      </c>
      <c r="E4893" s="1">
        <v>44372</v>
      </c>
      <c r="F4893">
        <v>3</v>
      </c>
      <c r="G4893" t="s">
        <v>22</v>
      </c>
      <c r="H4893" t="s">
        <v>23</v>
      </c>
      <c r="I4893" s="3">
        <v>1361</v>
      </c>
      <c r="J4893" s="3">
        <v>1292</v>
      </c>
      <c r="K4893" s="3">
        <v>397</v>
      </c>
      <c r="L4893" t="s">
        <v>98</v>
      </c>
      <c r="M4893">
        <v>18</v>
      </c>
      <c r="N4893" t="s">
        <v>79</v>
      </c>
      <c r="O4893" t="s">
        <v>70</v>
      </c>
      <c r="P4893" t="s">
        <v>15</v>
      </c>
      <c r="Q4893" t="s">
        <v>16</v>
      </c>
      <c r="R4893" t="s">
        <v>16</v>
      </c>
      <c r="S4893" t="s">
        <v>144</v>
      </c>
      <c r="T4893" s="2">
        <f>MASTER[[#This Row],[CANTIDAD]]*MASTER[[#This Row],[PRECIO DE VENTA]]</f>
        <v>3876</v>
      </c>
      <c r="U4893" s="2">
        <f>MASTER[[#This Row],[CANTIDAD]]*MASTER[[#This Row],[COSTO UNITARIO]]</f>
        <v>1191</v>
      </c>
      <c r="V4893" s="2">
        <f>MASTER[[#This Row],[MONTO VENDIDO]]-MASTER[[#This Row],[COSTO DE VENTA]]</f>
        <v>2685</v>
      </c>
    </row>
    <row r="4894" spans="1:22" x14ac:dyDescent="0.3">
      <c r="A4894">
        <v>70693</v>
      </c>
      <c r="B4894">
        <v>1</v>
      </c>
      <c r="C4894" t="s">
        <v>92</v>
      </c>
      <c r="D4894" t="s">
        <v>93</v>
      </c>
      <c r="E4894" s="1">
        <v>44372</v>
      </c>
      <c r="F4894">
        <v>1</v>
      </c>
      <c r="G4894" t="s">
        <v>53</v>
      </c>
      <c r="H4894" t="s">
        <v>54</v>
      </c>
      <c r="I4894" s="3">
        <v>1681</v>
      </c>
      <c r="J4894" s="3">
        <v>1681</v>
      </c>
      <c r="K4894" s="3">
        <v>396</v>
      </c>
      <c r="L4894" t="s">
        <v>9</v>
      </c>
      <c r="M4894">
        <v>15</v>
      </c>
      <c r="N4894" t="s">
        <v>88</v>
      </c>
      <c r="O4894" t="s">
        <v>81</v>
      </c>
      <c r="P4894" t="s">
        <v>18</v>
      </c>
      <c r="Q4894" t="s">
        <v>19</v>
      </c>
      <c r="R4894" t="s">
        <v>138</v>
      </c>
      <c r="S4894" t="s">
        <v>144</v>
      </c>
      <c r="T4894" s="2">
        <f>MASTER[[#This Row],[CANTIDAD]]*MASTER[[#This Row],[PRECIO DE VENTA]]</f>
        <v>1681</v>
      </c>
      <c r="U4894" s="2">
        <f>MASTER[[#This Row],[CANTIDAD]]*MASTER[[#This Row],[COSTO UNITARIO]]</f>
        <v>396</v>
      </c>
      <c r="V4894" s="2">
        <f>MASTER[[#This Row],[MONTO VENDIDO]]-MASTER[[#This Row],[COSTO DE VENTA]]</f>
        <v>1285</v>
      </c>
    </row>
    <row r="4895" spans="1:22" x14ac:dyDescent="0.3">
      <c r="A4895">
        <v>70703</v>
      </c>
      <c r="B4895">
        <v>1</v>
      </c>
      <c r="C4895" t="s">
        <v>5</v>
      </c>
      <c r="D4895" t="s">
        <v>6</v>
      </c>
      <c r="E4895" s="1">
        <v>44373</v>
      </c>
      <c r="F4895">
        <v>4</v>
      </c>
      <c r="G4895" t="s">
        <v>63</v>
      </c>
      <c r="H4895" t="s">
        <v>64</v>
      </c>
      <c r="I4895" s="3">
        <v>1311</v>
      </c>
      <c r="J4895" s="3">
        <v>1311</v>
      </c>
      <c r="K4895" s="3">
        <v>393</v>
      </c>
      <c r="L4895" t="s">
        <v>9</v>
      </c>
      <c r="M4895">
        <v>17</v>
      </c>
      <c r="N4895" t="s">
        <v>14</v>
      </c>
      <c r="O4895" t="s">
        <v>11</v>
      </c>
      <c r="P4895" t="s">
        <v>15</v>
      </c>
      <c r="Q4895" t="s">
        <v>16</v>
      </c>
      <c r="R4895" t="s">
        <v>16</v>
      </c>
      <c r="S4895" t="s">
        <v>144</v>
      </c>
      <c r="T4895" s="2">
        <f>MASTER[[#This Row],[CANTIDAD]]*MASTER[[#This Row],[PRECIO DE VENTA]]</f>
        <v>5244</v>
      </c>
      <c r="U4895" s="2">
        <f>MASTER[[#This Row],[CANTIDAD]]*MASTER[[#This Row],[COSTO UNITARIO]]</f>
        <v>1572</v>
      </c>
      <c r="V4895" s="2">
        <f>MASTER[[#This Row],[MONTO VENDIDO]]-MASTER[[#This Row],[COSTO DE VENTA]]</f>
        <v>3672</v>
      </c>
    </row>
    <row r="4896" spans="1:22" x14ac:dyDescent="0.3">
      <c r="A4896">
        <v>70720</v>
      </c>
      <c r="B4896">
        <v>1</v>
      </c>
      <c r="C4896" t="s">
        <v>94</v>
      </c>
      <c r="D4896" t="s">
        <v>95</v>
      </c>
      <c r="E4896" s="1">
        <v>44373</v>
      </c>
      <c r="F4896">
        <v>1</v>
      </c>
      <c r="G4896" t="s">
        <v>29</v>
      </c>
      <c r="H4896" t="s">
        <v>30</v>
      </c>
      <c r="I4896" s="3">
        <v>1048</v>
      </c>
      <c r="J4896" s="3">
        <v>1048</v>
      </c>
      <c r="K4896" s="3">
        <v>392</v>
      </c>
      <c r="L4896" t="s">
        <v>9</v>
      </c>
      <c r="M4896">
        <v>15</v>
      </c>
      <c r="N4896" t="s">
        <v>88</v>
      </c>
      <c r="O4896" t="s">
        <v>81</v>
      </c>
      <c r="P4896" t="s">
        <v>18</v>
      </c>
      <c r="Q4896" t="s">
        <v>19</v>
      </c>
      <c r="R4896" t="s">
        <v>138</v>
      </c>
      <c r="S4896" t="s">
        <v>144</v>
      </c>
      <c r="T4896" s="2">
        <f>MASTER[[#This Row],[CANTIDAD]]*MASTER[[#This Row],[PRECIO DE VENTA]]</f>
        <v>1048</v>
      </c>
      <c r="U4896" s="2">
        <f>MASTER[[#This Row],[CANTIDAD]]*MASTER[[#This Row],[COSTO UNITARIO]]</f>
        <v>392</v>
      </c>
      <c r="V4896" s="2">
        <f>MASTER[[#This Row],[MONTO VENDIDO]]-MASTER[[#This Row],[COSTO DE VENTA]]</f>
        <v>656</v>
      </c>
    </row>
    <row r="4897" spans="1:22" x14ac:dyDescent="0.3">
      <c r="A4897">
        <v>70727</v>
      </c>
      <c r="B4897">
        <v>1</v>
      </c>
      <c r="C4897" t="s">
        <v>103</v>
      </c>
      <c r="D4897" t="s">
        <v>104</v>
      </c>
      <c r="E4897" s="1">
        <v>44373</v>
      </c>
      <c r="F4897">
        <v>1</v>
      </c>
      <c r="G4897" t="s">
        <v>73</v>
      </c>
      <c r="H4897" t="s">
        <v>74</v>
      </c>
      <c r="I4897" s="3">
        <v>1830</v>
      </c>
      <c r="J4897" s="3">
        <v>1830</v>
      </c>
      <c r="K4897" s="3">
        <v>421</v>
      </c>
      <c r="L4897" t="s">
        <v>98</v>
      </c>
      <c r="M4897">
        <v>18</v>
      </c>
      <c r="N4897" t="s">
        <v>79</v>
      </c>
      <c r="O4897" t="s">
        <v>70</v>
      </c>
      <c r="P4897" t="s">
        <v>15</v>
      </c>
      <c r="Q4897" t="s">
        <v>16</v>
      </c>
      <c r="R4897" t="s">
        <v>16</v>
      </c>
      <c r="S4897" t="s">
        <v>144</v>
      </c>
      <c r="T4897" s="2">
        <f>MASTER[[#This Row],[CANTIDAD]]*MASTER[[#This Row],[PRECIO DE VENTA]]</f>
        <v>1830</v>
      </c>
      <c r="U4897" s="2">
        <f>MASTER[[#This Row],[CANTIDAD]]*MASTER[[#This Row],[COSTO UNITARIO]]</f>
        <v>421</v>
      </c>
      <c r="V4897" s="2">
        <f>MASTER[[#This Row],[MONTO VENDIDO]]-MASTER[[#This Row],[COSTO DE VENTA]]</f>
        <v>1409</v>
      </c>
    </row>
    <row r="4898" spans="1:22" x14ac:dyDescent="0.3">
      <c r="A4898">
        <v>70731</v>
      </c>
      <c r="B4898">
        <v>1</v>
      </c>
      <c r="C4898" t="s">
        <v>94</v>
      </c>
      <c r="D4898" t="s">
        <v>95</v>
      </c>
      <c r="E4898" s="1">
        <v>44373</v>
      </c>
      <c r="F4898">
        <v>1</v>
      </c>
      <c r="G4898" t="s">
        <v>73</v>
      </c>
      <c r="H4898" t="s">
        <v>74</v>
      </c>
      <c r="I4898" s="3">
        <v>1048</v>
      </c>
      <c r="J4898" s="3">
        <v>1048</v>
      </c>
      <c r="K4898" s="3">
        <v>392</v>
      </c>
      <c r="L4898" t="s">
        <v>9</v>
      </c>
      <c r="M4898">
        <v>7</v>
      </c>
      <c r="N4898" t="s">
        <v>84</v>
      </c>
      <c r="O4898" t="s">
        <v>81</v>
      </c>
      <c r="P4898" t="s">
        <v>12</v>
      </c>
      <c r="Q4898" t="s">
        <v>13</v>
      </c>
      <c r="R4898" t="s">
        <v>13</v>
      </c>
      <c r="S4898" t="s">
        <v>144</v>
      </c>
      <c r="T4898" s="2">
        <f>MASTER[[#This Row],[CANTIDAD]]*MASTER[[#This Row],[PRECIO DE VENTA]]</f>
        <v>1048</v>
      </c>
      <c r="U4898" s="2">
        <f>MASTER[[#This Row],[CANTIDAD]]*MASTER[[#This Row],[COSTO UNITARIO]]</f>
        <v>392</v>
      </c>
      <c r="V4898" s="2">
        <f>MASTER[[#This Row],[MONTO VENDIDO]]-MASTER[[#This Row],[COSTO DE VENTA]]</f>
        <v>656</v>
      </c>
    </row>
    <row r="4899" spans="1:22" x14ac:dyDescent="0.3">
      <c r="A4899">
        <v>70735</v>
      </c>
      <c r="B4899">
        <v>1</v>
      </c>
      <c r="C4899" t="s">
        <v>103</v>
      </c>
      <c r="D4899" t="s">
        <v>104</v>
      </c>
      <c r="E4899" s="1">
        <v>44373</v>
      </c>
      <c r="F4899">
        <v>1</v>
      </c>
      <c r="G4899" t="s">
        <v>59</v>
      </c>
      <c r="H4899" t="s">
        <v>60</v>
      </c>
      <c r="I4899" s="3">
        <v>1830</v>
      </c>
      <c r="J4899" s="3">
        <v>1830</v>
      </c>
      <c r="K4899" s="3">
        <v>421</v>
      </c>
      <c r="L4899" t="s">
        <v>98</v>
      </c>
      <c r="M4899">
        <v>18</v>
      </c>
      <c r="N4899" t="s">
        <v>79</v>
      </c>
      <c r="O4899" t="s">
        <v>70</v>
      </c>
      <c r="P4899" t="s">
        <v>15</v>
      </c>
      <c r="Q4899" t="s">
        <v>16</v>
      </c>
      <c r="R4899" t="s">
        <v>16</v>
      </c>
      <c r="S4899" t="s">
        <v>144</v>
      </c>
      <c r="T4899" s="2">
        <f>MASTER[[#This Row],[CANTIDAD]]*MASTER[[#This Row],[PRECIO DE VENTA]]</f>
        <v>1830</v>
      </c>
      <c r="U4899" s="2">
        <f>MASTER[[#This Row],[CANTIDAD]]*MASTER[[#This Row],[COSTO UNITARIO]]</f>
        <v>421</v>
      </c>
      <c r="V4899" s="2">
        <f>MASTER[[#This Row],[MONTO VENDIDO]]-MASTER[[#This Row],[COSTO DE VENTA]]</f>
        <v>1409</v>
      </c>
    </row>
    <row r="4900" spans="1:22" x14ac:dyDescent="0.3">
      <c r="A4900">
        <v>70749</v>
      </c>
      <c r="B4900">
        <v>1</v>
      </c>
      <c r="C4900" t="s">
        <v>103</v>
      </c>
      <c r="D4900" t="s">
        <v>104</v>
      </c>
      <c r="E4900" s="1">
        <v>44373</v>
      </c>
      <c r="F4900">
        <v>1</v>
      </c>
      <c r="G4900" t="s">
        <v>51</v>
      </c>
      <c r="H4900" t="s">
        <v>52</v>
      </c>
      <c r="I4900" s="3">
        <v>1591</v>
      </c>
      <c r="J4900" s="3">
        <v>1591</v>
      </c>
      <c r="K4900" s="3">
        <v>421</v>
      </c>
      <c r="L4900" t="s">
        <v>98</v>
      </c>
      <c r="M4900">
        <v>7</v>
      </c>
      <c r="N4900" t="s">
        <v>84</v>
      </c>
      <c r="O4900" t="s">
        <v>81</v>
      </c>
      <c r="P4900" t="s">
        <v>12</v>
      </c>
      <c r="Q4900" t="s">
        <v>13</v>
      </c>
      <c r="R4900" t="s">
        <v>13</v>
      </c>
      <c r="S4900" t="s">
        <v>144</v>
      </c>
      <c r="T4900" s="2">
        <f>MASTER[[#This Row],[CANTIDAD]]*MASTER[[#This Row],[PRECIO DE VENTA]]</f>
        <v>1591</v>
      </c>
      <c r="U4900" s="2">
        <f>MASTER[[#This Row],[CANTIDAD]]*MASTER[[#This Row],[COSTO UNITARIO]]</f>
        <v>421</v>
      </c>
      <c r="V4900" s="2">
        <f>MASTER[[#This Row],[MONTO VENDIDO]]-MASTER[[#This Row],[COSTO DE VENTA]]</f>
        <v>1170</v>
      </c>
    </row>
    <row r="4901" spans="1:22" x14ac:dyDescent="0.3">
      <c r="A4901">
        <v>70755</v>
      </c>
      <c r="B4901">
        <v>1</v>
      </c>
      <c r="C4901" t="s">
        <v>90</v>
      </c>
      <c r="D4901" t="s">
        <v>91</v>
      </c>
      <c r="E4901" s="1">
        <v>44373</v>
      </c>
      <c r="F4901">
        <v>1</v>
      </c>
      <c r="G4901" t="s">
        <v>31</v>
      </c>
      <c r="H4901" t="s">
        <v>32</v>
      </c>
      <c r="I4901" s="3">
        <v>1844</v>
      </c>
      <c r="J4901" s="3">
        <v>1844</v>
      </c>
      <c r="K4901" s="3">
        <v>420</v>
      </c>
      <c r="L4901" t="s">
        <v>9</v>
      </c>
      <c r="M4901">
        <v>7</v>
      </c>
      <c r="N4901" t="s">
        <v>84</v>
      </c>
      <c r="O4901" t="s">
        <v>81</v>
      </c>
      <c r="P4901" t="s">
        <v>12</v>
      </c>
      <c r="Q4901" t="s">
        <v>13</v>
      </c>
      <c r="R4901" t="s">
        <v>13</v>
      </c>
      <c r="S4901" t="s">
        <v>144</v>
      </c>
      <c r="T4901" s="2">
        <f>MASTER[[#This Row],[CANTIDAD]]*MASTER[[#This Row],[PRECIO DE VENTA]]</f>
        <v>1844</v>
      </c>
      <c r="U4901" s="2">
        <f>MASTER[[#This Row],[CANTIDAD]]*MASTER[[#This Row],[COSTO UNITARIO]]</f>
        <v>420</v>
      </c>
      <c r="V4901" s="2">
        <f>MASTER[[#This Row],[MONTO VENDIDO]]-MASTER[[#This Row],[COSTO DE VENTA]]</f>
        <v>1424</v>
      </c>
    </row>
    <row r="4902" spans="1:22" x14ac:dyDescent="0.3">
      <c r="A4902">
        <v>70778</v>
      </c>
      <c r="B4902">
        <v>1</v>
      </c>
      <c r="C4902" t="s">
        <v>105</v>
      </c>
      <c r="D4902" t="s">
        <v>106</v>
      </c>
      <c r="E4902" s="1">
        <v>44373</v>
      </c>
      <c r="F4902">
        <v>1</v>
      </c>
      <c r="G4902" t="s">
        <v>53</v>
      </c>
      <c r="H4902" t="s">
        <v>54</v>
      </c>
      <c r="I4902" s="3">
        <v>2033</v>
      </c>
      <c r="J4902" s="3">
        <v>2033</v>
      </c>
      <c r="K4902" s="3">
        <v>459</v>
      </c>
      <c r="L4902" t="s">
        <v>98</v>
      </c>
      <c r="M4902">
        <v>6</v>
      </c>
      <c r="N4902" t="s">
        <v>75</v>
      </c>
      <c r="O4902" t="s">
        <v>70</v>
      </c>
      <c r="P4902" t="s">
        <v>12</v>
      </c>
      <c r="Q4902" t="s">
        <v>13</v>
      </c>
      <c r="R4902" t="s">
        <v>13</v>
      </c>
      <c r="S4902" t="s">
        <v>144</v>
      </c>
      <c r="T4902" s="2">
        <f>MASTER[[#This Row],[CANTIDAD]]*MASTER[[#This Row],[PRECIO DE VENTA]]</f>
        <v>2033</v>
      </c>
      <c r="U4902" s="2">
        <f>MASTER[[#This Row],[CANTIDAD]]*MASTER[[#This Row],[COSTO UNITARIO]]</f>
        <v>459</v>
      </c>
      <c r="V4902" s="2">
        <f>MASTER[[#This Row],[MONTO VENDIDO]]-MASTER[[#This Row],[COSTO DE VENTA]]</f>
        <v>1574</v>
      </c>
    </row>
    <row r="4903" spans="1:22" x14ac:dyDescent="0.3">
      <c r="A4903">
        <v>70781</v>
      </c>
      <c r="B4903">
        <v>1</v>
      </c>
      <c r="C4903" t="s">
        <v>103</v>
      </c>
      <c r="D4903" t="s">
        <v>104</v>
      </c>
      <c r="E4903" s="1">
        <v>44373</v>
      </c>
      <c r="F4903">
        <v>1</v>
      </c>
      <c r="G4903" t="s">
        <v>47</v>
      </c>
      <c r="H4903" t="s">
        <v>48</v>
      </c>
      <c r="I4903" s="3">
        <v>1591</v>
      </c>
      <c r="J4903" s="3">
        <v>1591</v>
      </c>
      <c r="K4903" s="3">
        <v>421</v>
      </c>
      <c r="L4903" t="s">
        <v>98</v>
      </c>
      <c r="M4903">
        <v>4</v>
      </c>
      <c r="N4903" t="s">
        <v>82</v>
      </c>
      <c r="O4903" t="s">
        <v>81</v>
      </c>
      <c r="P4903" t="s">
        <v>71</v>
      </c>
      <c r="Q4903" t="s">
        <v>72</v>
      </c>
      <c r="R4903" t="s">
        <v>139</v>
      </c>
      <c r="S4903" t="s">
        <v>144</v>
      </c>
      <c r="T4903" s="2">
        <f>MASTER[[#This Row],[CANTIDAD]]*MASTER[[#This Row],[PRECIO DE VENTA]]</f>
        <v>1591</v>
      </c>
      <c r="U4903" s="2">
        <f>MASTER[[#This Row],[CANTIDAD]]*MASTER[[#This Row],[COSTO UNITARIO]]</f>
        <v>421</v>
      </c>
      <c r="V4903" s="2">
        <f>MASTER[[#This Row],[MONTO VENDIDO]]-MASTER[[#This Row],[COSTO DE VENTA]]</f>
        <v>1170</v>
      </c>
    </row>
    <row r="4904" spans="1:22" x14ac:dyDescent="0.3">
      <c r="A4904">
        <v>70818</v>
      </c>
      <c r="B4904">
        <v>1</v>
      </c>
      <c r="C4904" t="s">
        <v>118</v>
      </c>
      <c r="D4904" t="s">
        <v>119</v>
      </c>
      <c r="E4904" s="1">
        <v>44374</v>
      </c>
      <c r="F4904">
        <v>1</v>
      </c>
      <c r="G4904" t="s">
        <v>7</v>
      </c>
      <c r="H4904" t="s">
        <v>8</v>
      </c>
      <c r="I4904" s="3">
        <v>900</v>
      </c>
      <c r="J4904" s="3">
        <v>900</v>
      </c>
      <c r="K4904" s="3">
        <v>424</v>
      </c>
      <c r="L4904" t="s">
        <v>120</v>
      </c>
      <c r="M4904">
        <v>4</v>
      </c>
      <c r="N4904" t="s">
        <v>82</v>
      </c>
      <c r="O4904" t="s">
        <v>81</v>
      </c>
      <c r="P4904" t="s">
        <v>71</v>
      </c>
      <c r="Q4904" t="s">
        <v>72</v>
      </c>
      <c r="R4904" t="s">
        <v>139</v>
      </c>
      <c r="S4904" t="s">
        <v>144</v>
      </c>
      <c r="T4904" s="2">
        <f>MASTER[[#This Row],[CANTIDAD]]*MASTER[[#This Row],[PRECIO DE VENTA]]</f>
        <v>900</v>
      </c>
      <c r="U4904" s="2">
        <f>MASTER[[#This Row],[CANTIDAD]]*MASTER[[#This Row],[COSTO UNITARIO]]</f>
        <v>424</v>
      </c>
      <c r="V4904" s="2">
        <f>MASTER[[#This Row],[MONTO VENDIDO]]-MASTER[[#This Row],[COSTO DE VENTA]]</f>
        <v>476</v>
      </c>
    </row>
    <row r="4905" spans="1:22" x14ac:dyDescent="0.3">
      <c r="A4905">
        <v>70827</v>
      </c>
      <c r="B4905">
        <v>1</v>
      </c>
      <c r="C4905" t="s">
        <v>94</v>
      </c>
      <c r="D4905" t="s">
        <v>95</v>
      </c>
      <c r="E4905" s="1">
        <v>44374</v>
      </c>
      <c r="F4905">
        <v>1</v>
      </c>
      <c r="G4905" t="s">
        <v>31</v>
      </c>
      <c r="H4905" t="s">
        <v>32</v>
      </c>
      <c r="I4905" s="3">
        <v>1048</v>
      </c>
      <c r="J4905" s="3">
        <v>1048</v>
      </c>
      <c r="K4905" s="3">
        <v>392</v>
      </c>
      <c r="L4905" t="s">
        <v>9</v>
      </c>
      <c r="M4905">
        <v>10</v>
      </c>
      <c r="N4905" t="s">
        <v>83</v>
      </c>
      <c r="O4905" t="s">
        <v>81</v>
      </c>
      <c r="P4905" t="s">
        <v>12</v>
      </c>
      <c r="Q4905" t="s">
        <v>13</v>
      </c>
      <c r="R4905" t="s">
        <v>13</v>
      </c>
      <c r="S4905" t="s">
        <v>144</v>
      </c>
      <c r="T4905" s="2">
        <f>MASTER[[#This Row],[CANTIDAD]]*MASTER[[#This Row],[PRECIO DE VENTA]]</f>
        <v>1048</v>
      </c>
      <c r="U4905" s="2">
        <f>MASTER[[#This Row],[CANTIDAD]]*MASTER[[#This Row],[COSTO UNITARIO]]</f>
        <v>392</v>
      </c>
      <c r="V4905" s="2">
        <f>MASTER[[#This Row],[MONTO VENDIDO]]-MASTER[[#This Row],[COSTO DE VENTA]]</f>
        <v>656</v>
      </c>
    </row>
    <row r="4906" spans="1:22" x14ac:dyDescent="0.3">
      <c r="A4906">
        <v>70835</v>
      </c>
      <c r="B4906">
        <v>1</v>
      </c>
      <c r="C4906" t="s">
        <v>118</v>
      </c>
      <c r="D4906" t="s">
        <v>119</v>
      </c>
      <c r="E4906" s="1">
        <v>44374</v>
      </c>
      <c r="F4906">
        <v>1</v>
      </c>
      <c r="G4906" t="s">
        <v>51</v>
      </c>
      <c r="H4906" t="s">
        <v>52</v>
      </c>
      <c r="I4906" s="3">
        <v>900</v>
      </c>
      <c r="J4906" s="3">
        <v>900</v>
      </c>
      <c r="K4906" s="3">
        <v>424</v>
      </c>
      <c r="L4906" t="s">
        <v>120</v>
      </c>
      <c r="M4906">
        <v>8</v>
      </c>
      <c r="N4906" t="s">
        <v>80</v>
      </c>
      <c r="O4906" t="s">
        <v>81</v>
      </c>
      <c r="P4906" t="s">
        <v>12</v>
      </c>
      <c r="Q4906" t="s">
        <v>13</v>
      </c>
      <c r="R4906" t="s">
        <v>13</v>
      </c>
      <c r="S4906" t="s">
        <v>144</v>
      </c>
      <c r="T4906" s="2">
        <f>MASTER[[#This Row],[CANTIDAD]]*MASTER[[#This Row],[PRECIO DE VENTA]]</f>
        <v>900</v>
      </c>
      <c r="U4906" s="2">
        <f>MASTER[[#This Row],[CANTIDAD]]*MASTER[[#This Row],[COSTO UNITARIO]]</f>
        <v>424</v>
      </c>
      <c r="V4906" s="2">
        <f>MASTER[[#This Row],[MONTO VENDIDO]]-MASTER[[#This Row],[COSTO DE VENTA]]</f>
        <v>476</v>
      </c>
    </row>
    <row r="4907" spans="1:22" x14ac:dyDescent="0.3">
      <c r="A4907">
        <v>70837</v>
      </c>
      <c r="B4907">
        <v>1</v>
      </c>
      <c r="C4907" t="s">
        <v>116</v>
      </c>
      <c r="D4907" t="s">
        <v>117</v>
      </c>
      <c r="E4907" s="1">
        <v>44374</v>
      </c>
      <c r="F4907">
        <v>1</v>
      </c>
      <c r="G4907" t="s">
        <v>29</v>
      </c>
      <c r="H4907" t="s">
        <v>30</v>
      </c>
      <c r="I4907" s="3">
        <v>1529</v>
      </c>
      <c r="J4907" s="3">
        <v>1529</v>
      </c>
      <c r="K4907" s="3">
        <v>388</v>
      </c>
      <c r="L4907" t="s">
        <v>113</v>
      </c>
      <c r="M4907">
        <v>16</v>
      </c>
      <c r="N4907" t="s">
        <v>17</v>
      </c>
      <c r="O4907" t="s">
        <v>11</v>
      </c>
      <c r="P4907" t="s">
        <v>18</v>
      </c>
      <c r="Q4907" t="s">
        <v>19</v>
      </c>
      <c r="R4907" t="s">
        <v>138</v>
      </c>
      <c r="S4907" t="s">
        <v>144</v>
      </c>
      <c r="T4907" s="2">
        <f>MASTER[[#This Row],[CANTIDAD]]*MASTER[[#This Row],[PRECIO DE VENTA]]</f>
        <v>1529</v>
      </c>
      <c r="U4907" s="2">
        <f>MASTER[[#This Row],[CANTIDAD]]*MASTER[[#This Row],[COSTO UNITARIO]]</f>
        <v>388</v>
      </c>
      <c r="V4907" s="2">
        <f>MASTER[[#This Row],[MONTO VENDIDO]]-MASTER[[#This Row],[COSTO DE VENTA]]</f>
        <v>1141</v>
      </c>
    </row>
    <row r="4908" spans="1:22" x14ac:dyDescent="0.3">
      <c r="A4908">
        <v>70841</v>
      </c>
      <c r="B4908">
        <v>1</v>
      </c>
      <c r="C4908" t="s">
        <v>111</v>
      </c>
      <c r="D4908" t="s">
        <v>112</v>
      </c>
      <c r="E4908" s="1">
        <v>44374</v>
      </c>
      <c r="F4908">
        <v>1</v>
      </c>
      <c r="G4908" t="s">
        <v>39</v>
      </c>
      <c r="H4908" t="s">
        <v>40</v>
      </c>
      <c r="I4908" s="3">
        <v>1799</v>
      </c>
      <c r="J4908" s="3">
        <v>1799</v>
      </c>
      <c r="K4908" s="3">
        <v>434</v>
      </c>
      <c r="L4908" t="s">
        <v>113</v>
      </c>
      <c r="M4908">
        <v>3</v>
      </c>
      <c r="N4908" t="s">
        <v>69</v>
      </c>
      <c r="O4908" t="s">
        <v>70</v>
      </c>
      <c r="P4908" t="s">
        <v>71</v>
      </c>
      <c r="Q4908" t="s">
        <v>72</v>
      </c>
      <c r="R4908" t="s">
        <v>139</v>
      </c>
      <c r="S4908" t="s">
        <v>144</v>
      </c>
      <c r="T4908" s="2">
        <f>MASTER[[#This Row],[CANTIDAD]]*MASTER[[#This Row],[PRECIO DE VENTA]]</f>
        <v>1799</v>
      </c>
      <c r="U4908" s="2">
        <f>MASTER[[#This Row],[CANTIDAD]]*MASTER[[#This Row],[COSTO UNITARIO]]</f>
        <v>434</v>
      </c>
      <c r="V4908" s="2">
        <f>MASTER[[#This Row],[MONTO VENDIDO]]-MASTER[[#This Row],[COSTO DE VENTA]]</f>
        <v>1365</v>
      </c>
    </row>
    <row r="4909" spans="1:22" x14ac:dyDescent="0.3">
      <c r="A4909">
        <v>70842</v>
      </c>
      <c r="B4909">
        <v>1</v>
      </c>
      <c r="C4909" t="s">
        <v>99</v>
      </c>
      <c r="D4909" t="s">
        <v>100</v>
      </c>
      <c r="E4909" s="1">
        <v>44374</v>
      </c>
      <c r="F4909">
        <v>1</v>
      </c>
      <c r="G4909" t="s">
        <v>43</v>
      </c>
      <c r="H4909" t="s">
        <v>44</v>
      </c>
      <c r="I4909" s="3">
        <v>1459</v>
      </c>
      <c r="J4909" s="3">
        <v>1459</v>
      </c>
      <c r="K4909" s="3">
        <v>386</v>
      </c>
      <c r="L4909" t="s">
        <v>98</v>
      </c>
      <c r="M4909">
        <v>7</v>
      </c>
      <c r="N4909" t="s">
        <v>84</v>
      </c>
      <c r="O4909" t="s">
        <v>81</v>
      </c>
      <c r="P4909" t="s">
        <v>12</v>
      </c>
      <c r="Q4909" t="s">
        <v>13</v>
      </c>
      <c r="R4909" t="s">
        <v>13</v>
      </c>
      <c r="S4909" t="s">
        <v>144</v>
      </c>
      <c r="T4909" s="2">
        <f>MASTER[[#This Row],[CANTIDAD]]*MASTER[[#This Row],[PRECIO DE VENTA]]</f>
        <v>1459</v>
      </c>
      <c r="U4909" s="2">
        <f>MASTER[[#This Row],[CANTIDAD]]*MASTER[[#This Row],[COSTO UNITARIO]]</f>
        <v>386</v>
      </c>
      <c r="V4909" s="2">
        <f>MASTER[[#This Row],[MONTO VENDIDO]]-MASTER[[#This Row],[COSTO DE VENTA]]</f>
        <v>1073</v>
      </c>
    </row>
    <row r="4910" spans="1:22" x14ac:dyDescent="0.3">
      <c r="A4910">
        <v>70842</v>
      </c>
      <c r="B4910">
        <v>2</v>
      </c>
      <c r="C4910" t="s">
        <v>121</v>
      </c>
      <c r="D4910" t="s">
        <v>122</v>
      </c>
      <c r="E4910" s="1">
        <v>44374</v>
      </c>
      <c r="F4910">
        <v>2</v>
      </c>
      <c r="G4910" t="s">
        <v>53</v>
      </c>
      <c r="H4910" t="s">
        <v>54</v>
      </c>
      <c r="I4910" s="3">
        <v>1069</v>
      </c>
      <c r="J4910" s="3">
        <v>1069</v>
      </c>
      <c r="K4910" s="3">
        <v>460</v>
      </c>
      <c r="L4910" t="s">
        <v>120</v>
      </c>
      <c r="M4910">
        <v>7</v>
      </c>
      <c r="N4910" t="s">
        <v>84</v>
      </c>
      <c r="O4910" t="s">
        <v>81</v>
      </c>
      <c r="P4910" t="s">
        <v>12</v>
      </c>
      <c r="Q4910" t="s">
        <v>13</v>
      </c>
      <c r="R4910" t="s">
        <v>13</v>
      </c>
      <c r="S4910" t="s">
        <v>144</v>
      </c>
      <c r="T4910" s="2">
        <f>MASTER[[#This Row],[CANTIDAD]]*MASTER[[#This Row],[PRECIO DE VENTA]]</f>
        <v>2138</v>
      </c>
      <c r="U4910" s="2">
        <f>MASTER[[#This Row],[CANTIDAD]]*MASTER[[#This Row],[COSTO UNITARIO]]</f>
        <v>920</v>
      </c>
      <c r="V4910" s="2">
        <f>MASTER[[#This Row],[MONTO VENDIDO]]-MASTER[[#This Row],[COSTO DE VENTA]]</f>
        <v>1218</v>
      </c>
    </row>
    <row r="4911" spans="1:22" x14ac:dyDescent="0.3">
      <c r="A4911">
        <v>70857</v>
      </c>
      <c r="B4911">
        <v>1</v>
      </c>
      <c r="C4911" t="s">
        <v>111</v>
      </c>
      <c r="D4911" t="s">
        <v>112</v>
      </c>
      <c r="E4911" s="1">
        <v>44374</v>
      </c>
      <c r="F4911">
        <v>1</v>
      </c>
      <c r="G4911" t="s">
        <v>39</v>
      </c>
      <c r="H4911" t="s">
        <v>40</v>
      </c>
      <c r="I4911" s="3">
        <v>1524</v>
      </c>
      <c r="J4911" s="3">
        <v>1524</v>
      </c>
      <c r="K4911" s="3">
        <v>434</v>
      </c>
      <c r="L4911" t="s">
        <v>113</v>
      </c>
      <c r="M4911">
        <v>17</v>
      </c>
      <c r="N4911" t="s">
        <v>14</v>
      </c>
      <c r="O4911" t="s">
        <v>11</v>
      </c>
      <c r="P4911" t="s">
        <v>15</v>
      </c>
      <c r="Q4911" t="s">
        <v>16</v>
      </c>
      <c r="R4911" t="s">
        <v>16</v>
      </c>
      <c r="S4911" t="s">
        <v>144</v>
      </c>
      <c r="T4911" s="2">
        <f>MASTER[[#This Row],[CANTIDAD]]*MASTER[[#This Row],[PRECIO DE VENTA]]</f>
        <v>1524</v>
      </c>
      <c r="U4911" s="2">
        <f>MASTER[[#This Row],[CANTIDAD]]*MASTER[[#This Row],[COSTO UNITARIO]]</f>
        <v>434</v>
      </c>
      <c r="V4911" s="2">
        <f>MASTER[[#This Row],[MONTO VENDIDO]]-MASTER[[#This Row],[COSTO DE VENTA]]</f>
        <v>1090</v>
      </c>
    </row>
    <row r="4912" spans="1:22" x14ac:dyDescent="0.3">
      <c r="A4912">
        <v>70863</v>
      </c>
      <c r="B4912">
        <v>1</v>
      </c>
      <c r="C4912" t="s">
        <v>118</v>
      </c>
      <c r="D4912" t="s">
        <v>119</v>
      </c>
      <c r="E4912" s="1">
        <v>44374</v>
      </c>
      <c r="F4912">
        <v>3</v>
      </c>
      <c r="G4912" t="s">
        <v>61</v>
      </c>
      <c r="H4912" t="s">
        <v>62</v>
      </c>
      <c r="I4912" s="3">
        <v>801</v>
      </c>
      <c r="J4912" s="3">
        <v>801</v>
      </c>
      <c r="K4912" s="3">
        <v>424</v>
      </c>
      <c r="L4912" t="s">
        <v>120</v>
      </c>
      <c r="M4912">
        <v>12</v>
      </c>
      <c r="N4912" t="s">
        <v>26</v>
      </c>
      <c r="O4912" t="s">
        <v>11</v>
      </c>
      <c r="P4912" t="s">
        <v>12</v>
      </c>
      <c r="Q4912" t="s">
        <v>13</v>
      </c>
      <c r="R4912" t="s">
        <v>13</v>
      </c>
      <c r="S4912" t="s">
        <v>144</v>
      </c>
      <c r="T4912" s="2">
        <f>MASTER[[#This Row],[CANTIDAD]]*MASTER[[#This Row],[PRECIO DE VENTA]]</f>
        <v>2403</v>
      </c>
      <c r="U4912" s="2">
        <f>MASTER[[#This Row],[CANTIDAD]]*MASTER[[#This Row],[COSTO UNITARIO]]</f>
        <v>1272</v>
      </c>
      <c r="V4912" s="2">
        <f>MASTER[[#This Row],[MONTO VENDIDO]]-MASTER[[#This Row],[COSTO DE VENTA]]</f>
        <v>1131</v>
      </c>
    </row>
    <row r="4913" spans="1:22" x14ac:dyDescent="0.3">
      <c r="A4913">
        <v>70867</v>
      </c>
      <c r="B4913">
        <v>1</v>
      </c>
      <c r="C4913" t="s">
        <v>92</v>
      </c>
      <c r="D4913" t="s">
        <v>93</v>
      </c>
      <c r="E4913" s="1">
        <v>44374</v>
      </c>
      <c r="F4913">
        <v>1</v>
      </c>
      <c r="G4913" t="s">
        <v>20</v>
      </c>
      <c r="H4913" t="s">
        <v>21</v>
      </c>
      <c r="I4913" s="3">
        <v>1866</v>
      </c>
      <c r="J4913" s="3">
        <v>1866</v>
      </c>
      <c r="K4913" s="3">
        <v>396</v>
      </c>
      <c r="L4913" t="s">
        <v>9</v>
      </c>
      <c r="M4913">
        <v>13</v>
      </c>
      <c r="N4913" t="s">
        <v>78</v>
      </c>
      <c r="O4913" t="s">
        <v>70</v>
      </c>
      <c r="P4913" t="s">
        <v>18</v>
      </c>
      <c r="Q4913" t="s">
        <v>19</v>
      </c>
      <c r="R4913" t="s">
        <v>138</v>
      </c>
      <c r="S4913" t="s">
        <v>144</v>
      </c>
      <c r="T4913" s="2">
        <f>MASTER[[#This Row],[CANTIDAD]]*MASTER[[#This Row],[PRECIO DE VENTA]]</f>
        <v>1866</v>
      </c>
      <c r="U4913" s="2">
        <f>MASTER[[#This Row],[CANTIDAD]]*MASTER[[#This Row],[COSTO UNITARIO]]</f>
        <v>396</v>
      </c>
      <c r="V4913" s="2">
        <f>MASTER[[#This Row],[MONTO VENDIDO]]-MASTER[[#This Row],[COSTO DE VENTA]]</f>
        <v>1470</v>
      </c>
    </row>
    <row r="4914" spans="1:22" x14ac:dyDescent="0.3">
      <c r="A4914">
        <v>70876</v>
      </c>
      <c r="B4914">
        <v>1</v>
      </c>
      <c r="C4914" t="s">
        <v>94</v>
      </c>
      <c r="D4914" t="s">
        <v>95</v>
      </c>
      <c r="E4914" s="1">
        <v>44374</v>
      </c>
      <c r="F4914">
        <v>1</v>
      </c>
      <c r="G4914" t="s">
        <v>45</v>
      </c>
      <c r="H4914" t="s">
        <v>46</v>
      </c>
      <c r="I4914" s="3">
        <v>1153</v>
      </c>
      <c r="J4914" s="3">
        <v>1153</v>
      </c>
      <c r="K4914" s="3">
        <v>392</v>
      </c>
      <c r="L4914" t="s">
        <v>9</v>
      </c>
      <c r="M4914">
        <v>3</v>
      </c>
      <c r="N4914" t="s">
        <v>69</v>
      </c>
      <c r="O4914" t="s">
        <v>70</v>
      </c>
      <c r="P4914" t="s">
        <v>71</v>
      </c>
      <c r="Q4914" t="s">
        <v>72</v>
      </c>
      <c r="R4914" t="s">
        <v>139</v>
      </c>
      <c r="S4914" t="s">
        <v>144</v>
      </c>
      <c r="T4914" s="2">
        <f>MASTER[[#This Row],[CANTIDAD]]*MASTER[[#This Row],[PRECIO DE VENTA]]</f>
        <v>1153</v>
      </c>
      <c r="U4914" s="2">
        <f>MASTER[[#This Row],[CANTIDAD]]*MASTER[[#This Row],[COSTO UNITARIO]]</f>
        <v>392</v>
      </c>
      <c r="V4914" s="2">
        <f>MASTER[[#This Row],[MONTO VENDIDO]]-MASTER[[#This Row],[COSTO DE VENTA]]</f>
        <v>761</v>
      </c>
    </row>
    <row r="4915" spans="1:22" x14ac:dyDescent="0.3">
      <c r="A4915">
        <v>70877</v>
      </c>
      <c r="B4915">
        <v>1</v>
      </c>
      <c r="C4915" t="s">
        <v>105</v>
      </c>
      <c r="D4915" t="s">
        <v>106</v>
      </c>
      <c r="E4915" s="1">
        <v>44374</v>
      </c>
      <c r="F4915">
        <v>1</v>
      </c>
      <c r="G4915" t="s">
        <v>61</v>
      </c>
      <c r="H4915" t="s">
        <v>62</v>
      </c>
      <c r="I4915" s="3">
        <v>1865</v>
      </c>
      <c r="J4915" s="3">
        <v>1865</v>
      </c>
      <c r="K4915" s="3">
        <v>459</v>
      </c>
      <c r="L4915" t="s">
        <v>98</v>
      </c>
      <c r="M4915">
        <v>4</v>
      </c>
      <c r="N4915" t="s">
        <v>82</v>
      </c>
      <c r="O4915" t="s">
        <v>81</v>
      </c>
      <c r="P4915" t="s">
        <v>71</v>
      </c>
      <c r="Q4915" t="s">
        <v>72</v>
      </c>
      <c r="R4915" t="s">
        <v>139</v>
      </c>
      <c r="S4915" t="s">
        <v>144</v>
      </c>
      <c r="T4915" s="2">
        <f>MASTER[[#This Row],[CANTIDAD]]*MASTER[[#This Row],[PRECIO DE VENTA]]</f>
        <v>1865</v>
      </c>
      <c r="U4915" s="2">
        <f>MASTER[[#This Row],[CANTIDAD]]*MASTER[[#This Row],[COSTO UNITARIO]]</f>
        <v>459</v>
      </c>
      <c r="V4915" s="2">
        <f>MASTER[[#This Row],[MONTO VENDIDO]]-MASTER[[#This Row],[COSTO DE VENTA]]</f>
        <v>1406</v>
      </c>
    </row>
    <row r="4916" spans="1:22" x14ac:dyDescent="0.3">
      <c r="A4916">
        <v>70880</v>
      </c>
      <c r="B4916">
        <v>1</v>
      </c>
      <c r="C4916" t="s">
        <v>118</v>
      </c>
      <c r="D4916" t="s">
        <v>119</v>
      </c>
      <c r="E4916" s="1">
        <v>44375</v>
      </c>
      <c r="F4916">
        <v>3</v>
      </c>
      <c r="G4916" t="s">
        <v>51</v>
      </c>
      <c r="H4916" t="s">
        <v>52</v>
      </c>
      <c r="I4916" s="3">
        <v>1026</v>
      </c>
      <c r="J4916" s="3">
        <v>1026</v>
      </c>
      <c r="K4916" s="3">
        <v>424</v>
      </c>
      <c r="L4916" t="s">
        <v>120</v>
      </c>
      <c r="M4916">
        <v>1</v>
      </c>
      <c r="N4916" t="s">
        <v>77</v>
      </c>
      <c r="O4916" t="s">
        <v>70</v>
      </c>
      <c r="P4916" t="s">
        <v>71</v>
      </c>
      <c r="Q4916" t="s">
        <v>72</v>
      </c>
      <c r="R4916" t="s">
        <v>139</v>
      </c>
      <c r="S4916" t="s">
        <v>144</v>
      </c>
      <c r="T4916" s="2">
        <f>MASTER[[#This Row],[CANTIDAD]]*MASTER[[#This Row],[PRECIO DE VENTA]]</f>
        <v>3078</v>
      </c>
      <c r="U4916" s="2">
        <f>MASTER[[#This Row],[CANTIDAD]]*MASTER[[#This Row],[COSTO UNITARIO]]</f>
        <v>1272</v>
      </c>
      <c r="V4916" s="2">
        <f>MASTER[[#This Row],[MONTO VENDIDO]]-MASTER[[#This Row],[COSTO DE VENTA]]</f>
        <v>1806</v>
      </c>
    </row>
    <row r="4917" spans="1:22" x14ac:dyDescent="0.3">
      <c r="A4917">
        <v>70882</v>
      </c>
      <c r="B4917">
        <v>1</v>
      </c>
      <c r="C4917" t="s">
        <v>107</v>
      </c>
      <c r="D4917" t="s">
        <v>108</v>
      </c>
      <c r="E4917" s="1">
        <v>44375</v>
      </c>
      <c r="F4917">
        <v>1</v>
      </c>
      <c r="G4917" t="s">
        <v>59</v>
      </c>
      <c r="H4917" t="s">
        <v>60</v>
      </c>
      <c r="I4917" s="3">
        <v>1333</v>
      </c>
      <c r="J4917" s="3">
        <v>1333</v>
      </c>
      <c r="K4917" s="3">
        <v>380</v>
      </c>
      <c r="L4917" t="s">
        <v>98</v>
      </c>
      <c r="M4917">
        <v>10</v>
      </c>
      <c r="N4917" t="s">
        <v>83</v>
      </c>
      <c r="O4917" t="s">
        <v>81</v>
      </c>
      <c r="P4917" t="s">
        <v>12</v>
      </c>
      <c r="Q4917" t="s">
        <v>13</v>
      </c>
      <c r="R4917" t="s">
        <v>13</v>
      </c>
      <c r="S4917" t="s">
        <v>144</v>
      </c>
      <c r="T4917" s="2">
        <f>MASTER[[#This Row],[CANTIDAD]]*MASTER[[#This Row],[PRECIO DE VENTA]]</f>
        <v>1333</v>
      </c>
      <c r="U4917" s="2">
        <f>MASTER[[#This Row],[CANTIDAD]]*MASTER[[#This Row],[COSTO UNITARIO]]</f>
        <v>380</v>
      </c>
      <c r="V4917" s="2">
        <f>MASTER[[#This Row],[MONTO VENDIDO]]-MASTER[[#This Row],[COSTO DE VENTA]]</f>
        <v>953</v>
      </c>
    </row>
    <row r="4918" spans="1:22" x14ac:dyDescent="0.3">
      <c r="A4918">
        <v>70890</v>
      </c>
      <c r="B4918">
        <v>1</v>
      </c>
      <c r="C4918" t="s">
        <v>96</v>
      </c>
      <c r="D4918" t="s">
        <v>97</v>
      </c>
      <c r="E4918" s="1">
        <v>44375</v>
      </c>
      <c r="F4918">
        <v>1</v>
      </c>
      <c r="G4918" t="s">
        <v>59</v>
      </c>
      <c r="H4918" t="s">
        <v>60</v>
      </c>
      <c r="I4918" s="3">
        <v>1272</v>
      </c>
      <c r="J4918" s="3">
        <v>1272</v>
      </c>
      <c r="K4918" s="3">
        <v>397</v>
      </c>
      <c r="L4918" t="s">
        <v>98</v>
      </c>
      <c r="M4918">
        <v>10</v>
      </c>
      <c r="N4918" t="s">
        <v>83</v>
      </c>
      <c r="O4918" t="s">
        <v>81</v>
      </c>
      <c r="P4918" t="s">
        <v>12</v>
      </c>
      <c r="Q4918" t="s">
        <v>13</v>
      </c>
      <c r="R4918" t="s">
        <v>13</v>
      </c>
      <c r="S4918" t="s">
        <v>144</v>
      </c>
      <c r="T4918" s="2">
        <f>MASTER[[#This Row],[CANTIDAD]]*MASTER[[#This Row],[PRECIO DE VENTA]]</f>
        <v>1272</v>
      </c>
      <c r="U4918" s="2">
        <f>MASTER[[#This Row],[CANTIDAD]]*MASTER[[#This Row],[COSTO UNITARIO]]</f>
        <v>397</v>
      </c>
      <c r="V4918" s="2">
        <f>MASTER[[#This Row],[MONTO VENDIDO]]-MASTER[[#This Row],[COSTO DE VENTA]]</f>
        <v>875</v>
      </c>
    </row>
    <row r="4919" spans="1:22" x14ac:dyDescent="0.3">
      <c r="A4919">
        <v>70910</v>
      </c>
      <c r="B4919">
        <v>1</v>
      </c>
      <c r="C4919" t="s">
        <v>118</v>
      </c>
      <c r="D4919" t="s">
        <v>119</v>
      </c>
      <c r="E4919" s="1">
        <v>44375</v>
      </c>
      <c r="F4919">
        <v>1</v>
      </c>
      <c r="G4919" t="s">
        <v>37</v>
      </c>
      <c r="H4919" t="s">
        <v>38</v>
      </c>
      <c r="I4919" s="3">
        <v>801</v>
      </c>
      <c r="J4919" s="3">
        <v>801</v>
      </c>
      <c r="K4919" s="3">
        <v>424</v>
      </c>
      <c r="L4919" t="s">
        <v>120</v>
      </c>
      <c r="M4919">
        <v>17</v>
      </c>
      <c r="N4919" t="s">
        <v>14</v>
      </c>
      <c r="O4919" t="s">
        <v>11</v>
      </c>
      <c r="P4919" t="s">
        <v>15</v>
      </c>
      <c r="Q4919" t="s">
        <v>16</v>
      </c>
      <c r="R4919" t="s">
        <v>16</v>
      </c>
      <c r="S4919" t="s">
        <v>144</v>
      </c>
      <c r="T4919" s="2">
        <f>MASTER[[#This Row],[CANTIDAD]]*MASTER[[#This Row],[PRECIO DE VENTA]]</f>
        <v>801</v>
      </c>
      <c r="U4919" s="2">
        <f>MASTER[[#This Row],[CANTIDAD]]*MASTER[[#This Row],[COSTO UNITARIO]]</f>
        <v>424</v>
      </c>
      <c r="V4919" s="2">
        <f>MASTER[[#This Row],[MONTO VENDIDO]]-MASTER[[#This Row],[COSTO DE VENTA]]</f>
        <v>377</v>
      </c>
    </row>
    <row r="4920" spans="1:22" x14ac:dyDescent="0.3">
      <c r="A4920">
        <v>70911</v>
      </c>
      <c r="B4920">
        <v>1</v>
      </c>
      <c r="C4920" t="s">
        <v>92</v>
      </c>
      <c r="D4920" t="s">
        <v>93</v>
      </c>
      <c r="E4920" s="1">
        <v>44375</v>
      </c>
      <c r="F4920">
        <v>1</v>
      </c>
      <c r="G4920" t="s">
        <v>57</v>
      </c>
      <c r="H4920" t="s">
        <v>58</v>
      </c>
      <c r="I4920" s="3">
        <v>1866</v>
      </c>
      <c r="J4920" s="3">
        <v>1866</v>
      </c>
      <c r="K4920" s="3">
        <v>396</v>
      </c>
      <c r="L4920" t="s">
        <v>9</v>
      </c>
      <c r="M4920">
        <v>1</v>
      </c>
      <c r="N4920" t="s">
        <v>77</v>
      </c>
      <c r="O4920" t="s">
        <v>70</v>
      </c>
      <c r="P4920" t="s">
        <v>71</v>
      </c>
      <c r="Q4920" t="s">
        <v>72</v>
      </c>
      <c r="R4920" t="s">
        <v>139</v>
      </c>
      <c r="S4920" t="s">
        <v>144</v>
      </c>
      <c r="T4920" s="2">
        <f>MASTER[[#This Row],[CANTIDAD]]*MASTER[[#This Row],[PRECIO DE VENTA]]</f>
        <v>1866</v>
      </c>
      <c r="U4920" s="2">
        <f>MASTER[[#This Row],[CANTIDAD]]*MASTER[[#This Row],[COSTO UNITARIO]]</f>
        <v>396</v>
      </c>
      <c r="V4920" s="2">
        <f>MASTER[[#This Row],[MONTO VENDIDO]]-MASTER[[#This Row],[COSTO DE VENTA]]</f>
        <v>1470</v>
      </c>
    </row>
    <row r="4921" spans="1:22" x14ac:dyDescent="0.3">
      <c r="A4921">
        <v>70915</v>
      </c>
      <c r="B4921">
        <v>1</v>
      </c>
      <c r="C4921" t="s">
        <v>111</v>
      </c>
      <c r="D4921" t="s">
        <v>112</v>
      </c>
      <c r="E4921" s="1">
        <v>44375</v>
      </c>
      <c r="F4921">
        <v>1</v>
      </c>
      <c r="G4921" t="s">
        <v>7</v>
      </c>
      <c r="H4921" t="s">
        <v>8</v>
      </c>
      <c r="I4921" s="3">
        <v>1799</v>
      </c>
      <c r="J4921" s="3">
        <v>1799</v>
      </c>
      <c r="K4921" s="3">
        <v>434</v>
      </c>
      <c r="L4921" t="s">
        <v>113</v>
      </c>
      <c r="M4921">
        <v>3</v>
      </c>
      <c r="N4921" t="s">
        <v>69</v>
      </c>
      <c r="O4921" t="s">
        <v>70</v>
      </c>
      <c r="P4921" t="s">
        <v>71</v>
      </c>
      <c r="Q4921" t="s">
        <v>72</v>
      </c>
      <c r="R4921" t="s">
        <v>139</v>
      </c>
      <c r="S4921" t="s">
        <v>144</v>
      </c>
      <c r="T4921" s="2">
        <f>MASTER[[#This Row],[CANTIDAD]]*MASTER[[#This Row],[PRECIO DE VENTA]]</f>
        <v>1799</v>
      </c>
      <c r="U4921" s="2">
        <f>MASTER[[#This Row],[CANTIDAD]]*MASTER[[#This Row],[COSTO UNITARIO]]</f>
        <v>434</v>
      </c>
      <c r="V4921" s="2">
        <f>MASTER[[#This Row],[MONTO VENDIDO]]-MASTER[[#This Row],[COSTO DE VENTA]]</f>
        <v>1365</v>
      </c>
    </row>
    <row r="4922" spans="1:22" x14ac:dyDescent="0.3">
      <c r="A4922">
        <v>70919</v>
      </c>
      <c r="B4922">
        <v>1</v>
      </c>
      <c r="C4922" t="s">
        <v>96</v>
      </c>
      <c r="D4922" t="s">
        <v>97</v>
      </c>
      <c r="E4922" s="1">
        <v>44375</v>
      </c>
      <c r="F4922">
        <v>1</v>
      </c>
      <c r="G4922" t="s">
        <v>51</v>
      </c>
      <c r="H4922" t="s">
        <v>52</v>
      </c>
      <c r="I4922" s="3">
        <v>1272</v>
      </c>
      <c r="J4922" s="3">
        <v>1272</v>
      </c>
      <c r="K4922" s="3">
        <v>397</v>
      </c>
      <c r="L4922" t="s">
        <v>98</v>
      </c>
      <c r="M4922">
        <v>7</v>
      </c>
      <c r="N4922" t="s">
        <v>84</v>
      </c>
      <c r="O4922" t="s">
        <v>81</v>
      </c>
      <c r="P4922" t="s">
        <v>12</v>
      </c>
      <c r="Q4922" t="s">
        <v>13</v>
      </c>
      <c r="R4922" t="s">
        <v>13</v>
      </c>
      <c r="S4922" t="s">
        <v>144</v>
      </c>
      <c r="T4922" s="2">
        <f>MASTER[[#This Row],[CANTIDAD]]*MASTER[[#This Row],[PRECIO DE VENTA]]</f>
        <v>1272</v>
      </c>
      <c r="U4922" s="2">
        <f>MASTER[[#This Row],[CANTIDAD]]*MASTER[[#This Row],[COSTO UNITARIO]]</f>
        <v>397</v>
      </c>
      <c r="V4922" s="2">
        <f>MASTER[[#This Row],[MONTO VENDIDO]]-MASTER[[#This Row],[COSTO DE VENTA]]</f>
        <v>875</v>
      </c>
    </row>
    <row r="4923" spans="1:22" x14ac:dyDescent="0.3">
      <c r="A4923">
        <v>70921</v>
      </c>
      <c r="B4923">
        <v>1</v>
      </c>
      <c r="C4923" t="s">
        <v>111</v>
      </c>
      <c r="D4923" t="s">
        <v>112</v>
      </c>
      <c r="E4923" s="1">
        <v>44375</v>
      </c>
      <c r="F4923">
        <v>4</v>
      </c>
      <c r="G4923" t="s">
        <v>39</v>
      </c>
      <c r="H4923" t="s">
        <v>40</v>
      </c>
      <c r="I4923" s="3">
        <v>1799</v>
      </c>
      <c r="J4923" s="3">
        <v>1799</v>
      </c>
      <c r="K4923" s="3">
        <v>434</v>
      </c>
      <c r="L4923" t="s">
        <v>113</v>
      </c>
      <c r="M4923">
        <v>1</v>
      </c>
      <c r="N4923" t="s">
        <v>77</v>
      </c>
      <c r="O4923" t="s">
        <v>70</v>
      </c>
      <c r="P4923" t="s">
        <v>71</v>
      </c>
      <c r="Q4923" t="s">
        <v>72</v>
      </c>
      <c r="R4923" t="s">
        <v>139</v>
      </c>
      <c r="S4923" t="s">
        <v>144</v>
      </c>
      <c r="T4923" s="2">
        <f>MASTER[[#This Row],[CANTIDAD]]*MASTER[[#This Row],[PRECIO DE VENTA]]</f>
        <v>7196</v>
      </c>
      <c r="U4923" s="2">
        <f>MASTER[[#This Row],[CANTIDAD]]*MASTER[[#This Row],[COSTO UNITARIO]]</f>
        <v>1736</v>
      </c>
      <c r="V4923" s="2">
        <f>MASTER[[#This Row],[MONTO VENDIDO]]-MASTER[[#This Row],[COSTO DE VENTA]]</f>
        <v>5460</v>
      </c>
    </row>
    <row r="4924" spans="1:22" x14ac:dyDescent="0.3">
      <c r="A4924">
        <v>70928</v>
      </c>
      <c r="B4924">
        <v>1</v>
      </c>
      <c r="C4924" t="s">
        <v>92</v>
      </c>
      <c r="D4924" t="s">
        <v>93</v>
      </c>
      <c r="E4924" s="1">
        <v>44375</v>
      </c>
      <c r="F4924">
        <v>1</v>
      </c>
      <c r="G4924" t="s">
        <v>53</v>
      </c>
      <c r="H4924" t="s">
        <v>54</v>
      </c>
      <c r="I4924" s="3">
        <v>1866</v>
      </c>
      <c r="J4924" s="3">
        <v>1866</v>
      </c>
      <c r="K4924" s="3">
        <v>396</v>
      </c>
      <c r="L4924" t="s">
        <v>9</v>
      </c>
      <c r="M4924">
        <v>18</v>
      </c>
      <c r="N4924" t="s">
        <v>79</v>
      </c>
      <c r="O4924" t="s">
        <v>70</v>
      </c>
      <c r="P4924" t="s">
        <v>15</v>
      </c>
      <c r="Q4924" t="s">
        <v>16</v>
      </c>
      <c r="R4924" t="s">
        <v>16</v>
      </c>
      <c r="S4924" t="s">
        <v>144</v>
      </c>
      <c r="T4924" s="2">
        <f>MASTER[[#This Row],[CANTIDAD]]*MASTER[[#This Row],[PRECIO DE VENTA]]</f>
        <v>1866</v>
      </c>
      <c r="U4924" s="2">
        <f>MASTER[[#This Row],[CANTIDAD]]*MASTER[[#This Row],[COSTO UNITARIO]]</f>
        <v>396</v>
      </c>
      <c r="V4924" s="2">
        <f>MASTER[[#This Row],[MONTO VENDIDO]]-MASTER[[#This Row],[COSTO DE VENTA]]</f>
        <v>1470</v>
      </c>
    </row>
    <row r="4925" spans="1:22" x14ac:dyDescent="0.3">
      <c r="A4925">
        <v>70934</v>
      </c>
      <c r="B4925">
        <v>1</v>
      </c>
      <c r="C4925" t="s">
        <v>111</v>
      </c>
      <c r="D4925" t="s">
        <v>112</v>
      </c>
      <c r="E4925" s="1">
        <v>44375</v>
      </c>
      <c r="F4925">
        <v>1</v>
      </c>
      <c r="G4925" t="s">
        <v>63</v>
      </c>
      <c r="H4925" t="s">
        <v>64</v>
      </c>
      <c r="I4925" s="3">
        <v>1799</v>
      </c>
      <c r="J4925" s="3">
        <v>1799</v>
      </c>
      <c r="K4925" s="3">
        <v>434</v>
      </c>
      <c r="L4925" t="s">
        <v>113</v>
      </c>
      <c r="M4925">
        <v>6</v>
      </c>
      <c r="N4925" t="s">
        <v>75</v>
      </c>
      <c r="O4925" t="s">
        <v>70</v>
      </c>
      <c r="P4925" t="s">
        <v>12</v>
      </c>
      <c r="Q4925" t="s">
        <v>13</v>
      </c>
      <c r="R4925" t="s">
        <v>13</v>
      </c>
      <c r="S4925" t="s">
        <v>144</v>
      </c>
      <c r="T4925" s="2">
        <f>MASTER[[#This Row],[CANTIDAD]]*MASTER[[#This Row],[PRECIO DE VENTA]]</f>
        <v>1799</v>
      </c>
      <c r="U4925" s="2">
        <f>MASTER[[#This Row],[CANTIDAD]]*MASTER[[#This Row],[COSTO UNITARIO]]</f>
        <v>434</v>
      </c>
      <c r="V4925" s="2">
        <f>MASTER[[#This Row],[MONTO VENDIDO]]-MASTER[[#This Row],[COSTO DE VENTA]]</f>
        <v>1365</v>
      </c>
    </row>
    <row r="4926" spans="1:22" x14ac:dyDescent="0.3">
      <c r="A4926">
        <v>70935</v>
      </c>
      <c r="B4926">
        <v>1</v>
      </c>
      <c r="C4926" t="s">
        <v>116</v>
      </c>
      <c r="D4926" t="s">
        <v>117</v>
      </c>
      <c r="E4926" s="1">
        <v>44375</v>
      </c>
      <c r="F4926">
        <v>1</v>
      </c>
      <c r="G4926" t="s">
        <v>49</v>
      </c>
      <c r="H4926" t="s">
        <v>50</v>
      </c>
      <c r="I4926" s="3">
        <v>1999</v>
      </c>
      <c r="J4926" s="3">
        <v>1999</v>
      </c>
      <c r="K4926" s="3">
        <v>388</v>
      </c>
      <c r="L4926" t="s">
        <v>113</v>
      </c>
      <c r="M4926">
        <v>1</v>
      </c>
      <c r="N4926" t="s">
        <v>77</v>
      </c>
      <c r="O4926" t="s">
        <v>70</v>
      </c>
      <c r="P4926" t="s">
        <v>71</v>
      </c>
      <c r="Q4926" t="s">
        <v>72</v>
      </c>
      <c r="R4926" t="s">
        <v>139</v>
      </c>
      <c r="S4926" t="s">
        <v>144</v>
      </c>
      <c r="T4926" s="2">
        <f>MASTER[[#This Row],[CANTIDAD]]*MASTER[[#This Row],[PRECIO DE VENTA]]</f>
        <v>1999</v>
      </c>
      <c r="U4926" s="2">
        <f>MASTER[[#This Row],[CANTIDAD]]*MASTER[[#This Row],[COSTO UNITARIO]]</f>
        <v>388</v>
      </c>
      <c r="V4926" s="2">
        <f>MASTER[[#This Row],[MONTO VENDIDO]]-MASTER[[#This Row],[COSTO DE VENTA]]</f>
        <v>1611</v>
      </c>
    </row>
    <row r="4927" spans="1:22" x14ac:dyDescent="0.3">
      <c r="A4927">
        <v>70950</v>
      </c>
      <c r="B4927">
        <v>1</v>
      </c>
      <c r="C4927" t="s">
        <v>96</v>
      </c>
      <c r="D4927" t="s">
        <v>97</v>
      </c>
      <c r="E4927" s="1">
        <v>44375</v>
      </c>
      <c r="F4927">
        <v>1</v>
      </c>
      <c r="G4927" t="s">
        <v>65</v>
      </c>
      <c r="H4927" t="s">
        <v>66</v>
      </c>
      <c r="I4927" s="3">
        <v>1196</v>
      </c>
      <c r="J4927" s="3">
        <v>1196</v>
      </c>
      <c r="K4927" s="3">
        <v>397</v>
      </c>
      <c r="L4927" t="s">
        <v>98</v>
      </c>
      <c r="M4927">
        <v>11</v>
      </c>
      <c r="N4927" t="s">
        <v>10</v>
      </c>
      <c r="O4927" t="s">
        <v>11</v>
      </c>
      <c r="P4927" t="s">
        <v>12</v>
      </c>
      <c r="Q4927" t="s">
        <v>13</v>
      </c>
      <c r="R4927" t="s">
        <v>13</v>
      </c>
      <c r="S4927" t="s">
        <v>144</v>
      </c>
      <c r="T4927" s="2">
        <f>MASTER[[#This Row],[CANTIDAD]]*MASTER[[#This Row],[PRECIO DE VENTA]]</f>
        <v>1196</v>
      </c>
      <c r="U4927" s="2">
        <f>MASTER[[#This Row],[CANTIDAD]]*MASTER[[#This Row],[COSTO UNITARIO]]</f>
        <v>397</v>
      </c>
      <c r="V4927" s="2">
        <f>MASTER[[#This Row],[MONTO VENDIDO]]-MASTER[[#This Row],[COSTO DE VENTA]]</f>
        <v>799</v>
      </c>
    </row>
    <row r="4928" spans="1:22" x14ac:dyDescent="0.3">
      <c r="A4928">
        <v>70965</v>
      </c>
      <c r="B4928">
        <v>2</v>
      </c>
      <c r="C4928" t="s">
        <v>94</v>
      </c>
      <c r="D4928" t="s">
        <v>95</v>
      </c>
      <c r="E4928" s="1">
        <v>44375</v>
      </c>
      <c r="F4928">
        <v>1</v>
      </c>
      <c r="G4928" t="s">
        <v>55</v>
      </c>
      <c r="H4928" t="s">
        <v>56</v>
      </c>
      <c r="I4928" s="3">
        <v>1153</v>
      </c>
      <c r="J4928" s="3">
        <v>1153</v>
      </c>
      <c r="K4928" s="3">
        <v>392</v>
      </c>
      <c r="L4928" t="s">
        <v>9</v>
      </c>
      <c r="M4928">
        <v>18</v>
      </c>
      <c r="N4928" t="s">
        <v>79</v>
      </c>
      <c r="O4928" t="s">
        <v>70</v>
      </c>
      <c r="P4928" t="s">
        <v>15</v>
      </c>
      <c r="Q4928" t="s">
        <v>16</v>
      </c>
      <c r="R4928" t="s">
        <v>16</v>
      </c>
      <c r="S4928" t="s">
        <v>144</v>
      </c>
      <c r="T4928" s="2">
        <f>MASTER[[#This Row],[CANTIDAD]]*MASTER[[#This Row],[PRECIO DE VENTA]]</f>
        <v>1153</v>
      </c>
      <c r="U4928" s="2">
        <f>MASTER[[#This Row],[CANTIDAD]]*MASTER[[#This Row],[COSTO UNITARIO]]</f>
        <v>392</v>
      </c>
      <c r="V4928" s="2">
        <f>MASTER[[#This Row],[MONTO VENDIDO]]-MASTER[[#This Row],[COSTO DE VENTA]]</f>
        <v>761</v>
      </c>
    </row>
    <row r="4929" spans="1:22" x14ac:dyDescent="0.3">
      <c r="A4929">
        <v>70965</v>
      </c>
      <c r="B4929">
        <v>1</v>
      </c>
      <c r="C4929" t="s">
        <v>107</v>
      </c>
      <c r="D4929" t="s">
        <v>108</v>
      </c>
      <c r="E4929" s="1">
        <v>44375</v>
      </c>
      <c r="F4929">
        <v>1</v>
      </c>
      <c r="G4929" t="s">
        <v>27</v>
      </c>
      <c r="H4929" t="s">
        <v>28</v>
      </c>
      <c r="I4929" s="3">
        <v>1440</v>
      </c>
      <c r="J4929" s="3">
        <v>1440</v>
      </c>
      <c r="K4929" s="3">
        <v>380</v>
      </c>
      <c r="L4929" t="s">
        <v>98</v>
      </c>
      <c r="M4929">
        <v>18</v>
      </c>
      <c r="N4929" t="s">
        <v>79</v>
      </c>
      <c r="O4929" t="s">
        <v>70</v>
      </c>
      <c r="P4929" t="s">
        <v>15</v>
      </c>
      <c r="Q4929" t="s">
        <v>16</v>
      </c>
      <c r="R4929" t="s">
        <v>16</v>
      </c>
      <c r="S4929" t="s">
        <v>144</v>
      </c>
      <c r="T4929" s="2">
        <f>MASTER[[#This Row],[CANTIDAD]]*MASTER[[#This Row],[PRECIO DE VENTA]]</f>
        <v>1440</v>
      </c>
      <c r="U4929" s="2">
        <f>MASTER[[#This Row],[CANTIDAD]]*MASTER[[#This Row],[COSTO UNITARIO]]</f>
        <v>380</v>
      </c>
      <c r="V4929" s="2">
        <f>MASTER[[#This Row],[MONTO VENDIDO]]-MASTER[[#This Row],[COSTO DE VENTA]]</f>
        <v>1060</v>
      </c>
    </row>
    <row r="4930" spans="1:22" x14ac:dyDescent="0.3">
      <c r="A4930">
        <v>70974</v>
      </c>
      <c r="B4930">
        <v>1</v>
      </c>
      <c r="C4930" t="s">
        <v>116</v>
      </c>
      <c r="D4930" t="s">
        <v>117</v>
      </c>
      <c r="E4930" s="1">
        <v>44376</v>
      </c>
      <c r="F4930">
        <v>1</v>
      </c>
      <c r="G4930" t="s">
        <v>55</v>
      </c>
      <c r="H4930" t="s">
        <v>56</v>
      </c>
      <c r="I4930" s="3">
        <v>1738</v>
      </c>
      <c r="J4930" s="3">
        <v>1738</v>
      </c>
      <c r="K4930" s="3">
        <v>388</v>
      </c>
      <c r="L4930" t="s">
        <v>113</v>
      </c>
      <c r="M4930">
        <v>7</v>
      </c>
      <c r="N4930" t="s">
        <v>84</v>
      </c>
      <c r="O4930" t="s">
        <v>81</v>
      </c>
      <c r="P4930" t="s">
        <v>12</v>
      </c>
      <c r="Q4930" t="s">
        <v>13</v>
      </c>
      <c r="R4930" t="s">
        <v>13</v>
      </c>
      <c r="S4930" t="s">
        <v>144</v>
      </c>
      <c r="T4930" s="2">
        <f>MASTER[[#This Row],[CANTIDAD]]*MASTER[[#This Row],[PRECIO DE VENTA]]</f>
        <v>1738</v>
      </c>
      <c r="U4930" s="2">
        <f>MASTER[[#This Row],[CANTIDAD]]*MASTER[[#This Row],[COSTO UNITARIO]]</f>
        <v>388</v>
      </c>
      <c r="V4930" s="2">
        <f>MASTER[[#This Row],[MONTO VENDIDO]]-MASTER[[#This Row],[COSTO DE VENTA]]</f>
        <v>1350</v>
      </c>
    </row>
    <row r="4931" spans="1:22" x14ac:dyDescent="0.3">
      <c r="A4931">
        <v>70981</v>
      </c>
      <c r="B4931">
        <v>1</v>
      </c>
      <c r="C4931" t="s">
        <v>107</v>
      </c>
      <c r="D4931" t="s">
        <v>108</v>
      </c>
      <c r="E4931" s="1">
        <v>44376</v>
      </c>
      <c r="F4931">
        <v>1</v>
      </c>
      <c r="G4931" t="s">
        <v>22</v>
      </c>
      <c r="H4931" t="s">
        <v>23</v>
      </c>
      <c r="I4931" s="3">
        <v>1333</v>
      </c>
      <c r="J4931" s="3">
        <v>1333</v>
      </c>
      <c r="K4931" s="3">
        <v>380</v>
      </c>
      <c r="L4931" t="s">
        <v>98</v>
      </c>
      <c r="M4931">
        <v>8</v>
      </c>
      <c r="N4931" t="s">
        <v>80</v>
      </c>
      <c r="O4931" t="s">
        <v>81</v>
      </c>
      <c r="P4931" t="s">
        <v>12</v>
      </c>
      <c r="Q4931" t="s">
        <v>13</v>
      </c>
      <c r="R4931" t="s">
        <v>13</v>
      </c>
      <c r="S4931" t="s">
        <v>144</v>
      </c>
      <c r="T4931" s="2">
        <f>MASTER[[#This Row],[CANTIDAD]]*MASTER[[#This Row],[PRECIO DE VENTA]]</f>
        <v>1333</v>
      </c>
      <c r="U4931" s="2">
        <f>MASTER[[#This Row],[CANTIDAD]]*MASTER[[#This Row],[COSTO UNITARIO]]</f>
        <v>380</v>
      </c>
      <c r="V4931" s="2">
        <f>MASTER[[#This Row],[MONTO VENDIDO]]-MASTER[[#This Row],[COSTO DE VENTA]]</f>
        <v>953</v>
      </c>
    </row>
    <row r="4932" spans="1:22" x14ac:dyDescent="0.3">
      <c r="A4932">
        <v>70994</v>
      </c>
      <c r="B4932">
        <v>1</v>
      </c>
      <c r="C4932" t="s">
        <v>92</v>
      </c>
      <c r="D4932" t="s">
        <v>93</v>
      </c>
      <c r="E4932" s="1">
        <v>44376</v>
      </c>
      <c r="F4932">
        <v>1</v>
      </c>
      <c r="G4932" t="s">
        <v>51</v>
      </c>
      <c r="H4932" t="s">
        <v>52</v>
      </c>
      <c r="I4932" s="3">
        <v>1866</v>
      </c>
      <c r="J4932" s="3">
        <v>1866</v>
      </c>
      <c r="K4932" s="3">
        <v>396</v>
      </c>
      <c r="L4932" t="s">
        <v>9</v>
      </c>
      <c r="M4932">
        <v>9</v>
      </c>
      <c r="N4932" t="s">
        <v>76</v>
      </c>
      <c r="O4932" t="s">
        <v>70</v>
      </c>
      <c r="P4932" t="s">
        <v>12</v>
      </c>
      <c r="Q4932" t="s">
        <v>13</v>
      </c>
      <c r="R4932" t="s">
        <v>13</v>
      </c>
      <c r="S4932" t="s">
        <v>144</v>
      </c>
      <c r="T4932" s="2">
        <f>MASTER[[#This Row],[CANTIDAD]]*MASTER[[#This Row],[PRECIO DE VENTA]]</f>
        <v>1866</v>
      </c>
      <c r="U4932" s="2">
        <f>MASTER[[#This Row],[CANTIDAD]]*MASTER[[#This Row],[COSTO UNITARIO]]</f>
        <v>396</v>
      </c>
      <c r="V4932" s="2">
        <f>MASTER[[#This Row],[MONTO VENDIDO]]-MASTER[[#This Row],[COSTO DE VENTA]]</f>
        <v>1470</v>
      </c>
    </row>
    <row r="4933" spans="1:22" x14ac:dyDescent="0.3">
      <c r="A4933">
        <v>70998</v>
      </c>
      <c r="B4933">
        <v>1</v>
      </c>
      <c r="C4933" t="s">
        <v>114</v>
      </c>
      <c r="D4933" t="s">
        <v>115</v>
      </c>
      <c r="E4933" s="1">
        <v>44376</v>
      </c>
      <c r="F4933">
        <v>1</v>
      </c>
      <c r="G4933" t="s">
        <v>31</v>
      </c>
      <c r="H4933" t="s">
        <v>32</v>
      </c>
      <c r="I4933" s="3">
        <v>1862</v>
      </c>
      <c r="J4933" s="3">
        <v>1862</v>
      </c>
      <c r="K4933" s="3">
        <v>394</v>
      </c>
      <c r="L4933" t="s">
        <v>113</v>
      </c>
      <c r="M4933">
        <v>15</v>
      </c>
      <c r="N4933" t="s">
        <v>88</v>
      </c>
      <c r="O4933" t="s">
        <v>81</v>
      </c>
      <c r="P4933" t="s">
        <v>18</v>
      </c>
      <c r="Q4933" t="s">
        <v>19</v>
      </c>
      <c r="R4933" t="s">
        <v>138</v>
      </c>
      <c r="S4933" t="s">
        <v>144</v>
      </c>
      <c r="T4933" s="2">
        <f>MASTER[[#This Row],[CANTIDAD]]*MASTER[[#This Row],[PRECIO DE VENTA]]</f>
        <v>1862</v>
      </c>
      <c r="U4933" s="2">
        <f>MASTER[[#This Row],[CANTIDAD]]*MASTER[[#This Row],[COSTO UNITARIO]]</f>
        <v>394</v>
      </c>
      <c r="V4933" s="2">
        <f>MASTER[[#This Row],[MONTO VENDIDO]]-MASTER[[#This Row],[COSTO DE VENTA]]</f>
        <v>1468</v>
      </c>
    </row>
    <row r="4934" spans="1:22" x14ac:dyDescent="0.3">
      <c r="A4934">
        <v>71005</v>
      </c>
      <c r="B4934">
        <v>1</v>
      </c>
      <c r="C4934" t="s">
        <v>109</v>
      </c>
      <c r="D4934" t="s">
        <v>110</v>
      </c>
      <c r="E4934" s="1">
        <v>44376</v>
      </c>
      <c r="F4934">
        <v>1</v>
      </c>
      <c r="G4934" t="s">
        <v>45</v>
      </c>
      <c r="H4934" t="s">
        <v>46</v>
      </c>
      <c r="I4934" s="3">
        <v>947</v>
      </c>
      <c r="J4934" s="3">
        <v>947</v>
      </c>
      <c r="K4934" s="3">
        <v>387</v>
      </c>
      <c r="L4934" t="s">
        <v>98</v>
      </c>
      <c r="M4934">
        <v>11</v>
      </c>
      <c r="N4934" t="s">
        <v>10</v>
      </c>
      <c r="O4934" t="s">
        <v>11</v>
      </c>
      <c r="P4934" t="s">
        <v>12</v>
      </c>
      <c r="Q4934" t="s">
        <v>13</v>
      </c>
      <c r="R4934" t="s">
        <v>13</v>
      </c>
      <c r="S4934" t="s">
        <v>144</v>
      </c>
      <c r="T4934" s="2">
        <f>MASTER[[#This Row],[CANTIDAD]]*MASTER[[#This Row],[PRECIO DE VENTA]]</f>
        <v>947</v>
      </c>
      <c r="U4934" s="2">
        <f>MASTER[[#This Row],[CANTIDAD]]*MASTER[[#This Row],[COSTO UNITARIO]]</f>
        <v>387</v>
      </c>
      <c r="V4934" s="2">
        <f>MASTER[[#This Row],[MONTO VENDIDO]]-MASTER[[#This Row],[COSTO DE VENTA]]</f>
        <v>560</v>
      </c>
    </row>
    <row r="4935" spans="1:22" x14ac:dyDescent="0.3">
      <c r="A4935">
        <v>71018</v>
      </c>
      <c r="B4935">
        <v>1</v>
      </c>
      <c r="C4935" t="s">
        <v>101</v>
      </c>
      <c r="D4935" t="s">
        <v>102</v>
      </c>
      <c r="E4935" s="1">
        <v>44376</v>
      </c>
      <c r="F4935">
        <v>1</v>
      </c>
      <c r="G4935" t="s">
        <v>39</v>
      </c>
      <c r="H4935" t="s">
        <v>40</v>
      </c>
      <c r="I4935" s="3">
        <v>1357</v>
      </c>
      <c r="J4935" s="3">
        <v>1357</v>
      </c>
      <c r="K4935" s="3">
        <v>442</v>
      </c>
      <c r="L4935" t="s">
        <v>98</v>
      </c>
      <c r="M4935">
        <v>1</v>
      </c>
      <c r="N4935" t="s">
        <v>77</v>
      </c>
      <c r="O4935" t="s">
        <v>70</v>
      </c>
      <c r="P4935" t="s">
        <v>71</v>
      </c>
      <c r="Q4935" t="s">
        <v>72</v>
      </c>
      <c r="R4935" t="s">
        <v>139</v>
      </c>
      <c r="S4935" t="s">
        <v>144</v>
      </c>
      <c r="T4935" s="2">
        <f>MASTER[[#This Row],[CANTIDAD]]*MASTER[[#This Row],[PRECIO DE VENTA]]</f>
        <v>1357</v>
      </c>
      <c r="U4935" s="2">
        <f>MASTER[[#This Row],[CANTIDAD]]*MASTER[[#This Row],[COSTO UNITARIO]]</f>
        <v>442</v>
      </c>
      <c r="V4935" s="2">
        <f>MASTER[[#This Row],[MONTO VENDIDO]]-MASTER[[#This Row],[COSTO DE VENTA]]</f>
        <v>915</v>
      </c>
    </row>
    <row r="4936" spans="1:22" x14ac:dyDescent="0.3">
      <c r="A4936">
        <v>71025</v>
      </c>
      <c r="B4936">
        <v>1</v>
      </c>
      <c r="C4936" t="s">
        <v>96</v>
      </c>
      <c r="D4936" t="s">
        <v>97</v>
      </c>
      <c r="E4936" s="1">
        <v>44376</v>
      </c>
      <c r="F4936">
        <v>1</v>
      </c>
      <c r="G4936" t="s">
        <v>43</v>
      </c>
      <c r="H4936" t="s">
        <v>44</v>
      </c>
      <c r="I4936" s="3">
        <v>1196</v>
      </c>
      <c r="J4936" s="3">
        <v>1196</v>
      </c>
      <c r="K4936" s="3">
        <v>397</v>
      </c>
      <c r="L4936" t="s">
        <v>98</v>
      </c>
      <c r="M4936">
        <v>12</v>
      </c>
      <c r="N4936" t="s">
        <v>26</v>
      </c>
      <c r="O4936" t="s">
        <v>11</v>
      </c>
      <c r="P4936" t="s">
        <v>12</v>
      </c>
      <c r="Q4936" t="s">
        <v>13</v>
      </c>
      <c r="R4936" t="s">
        <v>13</v>
      </c>
      <c r="S4936" t="s">
        <v>144</v>
      </c>
      <c r="T4936" s="2">
        <f>MASTER[[#This Row],[CANTIDAD]]*MASTER[[#This Row],[PRECIO DE VENTA]]</f>
        <v>1196</v>
      </c>
      <c r="U4936" s="2">
        <f>MASTER[[#This Row],[CANTIDAD]]*MASTER[[#This Row],[COSTO UNITARIO]]</f>
        <v>397</v>
      </c>
      <c r="V4936" s="2">
        <f>MASTER[[#This Row],[MONTO VENDIDO]]-MASTER[[#This Row],[COSTO DE VENTA]]</f>
        <v>799</v>
      </c>
    </row>
    <row r="4937" spans="1:22" x14ac:dyDescent="0.3">
      <c r="A4937">
        <v>71037</v>
      </c>
      <c r="B4937">
        <v>1</v>
      </c>
      <c r="C4937" t="s">
        <v>118</v>
      </c>
      <c r="D4937" t="s">
        <v>119</v>
      </c>
      <c r="E4937" s="1">
        <v>44376</v>
      </c>
      <c r="F4937">
        <v>1</v>
      </c>
      <c r="G4937" t="s">
        <v>35</v>
      </c>
      <c r="H4937" t="s">
        <v>36</v>
      </c>
      <c r="I4937" s="3">
        <v>1026</v>
      </c>
      <c r="J4937" s="3">
        <v>1026</v>
      </c>
      <c r="K4937" s="3">
        <v>424</v>
      </c>
      <c r="L4937" t="s">
        <v>120</v>
      </c>
      <c r="M4937">
        <v>6</v>
      </c>
      <c r="N4937" t="s">
        <v>75</v>
      </c>
      <c r="O4937" t="s">
        <v>70</v>
      </c>
      <c r="P4937" t="s">
        <v>12</v>
      </c>
      <c r="Q4937" t="s">
        <v>13</v>
      </c>
      <c r="R4937" t="s">
        <v>13</v>
      </c>
      <c r="S4937" t="s">
        <v>144</v>
      </c>
      <c r="T4937" s="2">
        <f>MASTER[[#This Row],[CANTIDAD]]*MASTER[[#This Row],[PRECIO DE VENTA]]</f>
        <v>1026</v>
      </c>
      <c r="U4937" s="2">
        <f>MASTER[[#This Row],[CANTIDAD]]*MASTER[[#This Row],[COSTO UNITARIO]]</f>
        <v>424</v>
      </c>
      <c r="V4937" s="2">
        <f>MASTER[[#This Row],[MONTO VENDIDO]]-MASTER[[#This Row],[COSTO DE VENTA]]</f>
        <v>602</v>
      </c>
    </row>
    <row r="4938" spans="1:22" x14ac:dyDescent="0.3">
      <c r="A4938">
        <v>71042</v>
      </c>
      <c r="B4938">
        <v>1</v>
      </c>
      <c r="C4938" t="s">
        <v>101</v>
      </c>
      <c r="D4938" t="s">
        <v>102</v>
      </c>
      <c r="E4938" s="1">
        <v>44376</v>
      </c>
      <c r="F4938">
        <v>1</v>
      </c>
      <c r="G4938" t="s">
        <v>53</v>
      </c>
      <c r="H4938" t="s">
        <v>54</v>
      </c>
      <c r="I4938" s="3">
        <v>1357</v>
      </c>
      <c r="J4938" s="3">
        <v>1357</v>
      </c>
      <c r="K4938" s="3">
        <v>442</v>
      </c>
      <c r="L4938" t="s">
        <v>98</v>
      </c>
      <c r="M4938">
        <v>6</v>
      </c>
      <c r="N4938" t="s">
        <v>75</v>
      </c>
      <c r="O4938" t="s">
        <v>70</v>
      </c>
      <c r="P4938" t="s">
        <v>12</v>
      </c>
      <c r="Q4938" t="s">
        <v>13</v>
      </c>
      <c r="R4938" t="s">
        <v>13</v>
      </c>
      <c r="S4938" t="s">
        <v>144</v>
      </c>
      <c r="T4938" s="2">
        <f>MASTER[[#This Row],[CANTIDAD]]*MASTER[[#This Row],[PRECIO DE VENTA]]</f>
        <v>1357</v>
      </c>
      <c r="U4938" s="2">
        <f>MASTER[[#This Row],[CANTIDAD]]*MASTER[[#This Row],[COSTO UNITARIO]]</f>
        <v>442</v>
      </c>
      <c r="V4938" s="2">
        <f>MASTER[[#This Row],[MONTO VENDIDO]]-MASTER[[#This Row],[COSTO DE VENTA]]</f>
        <v>915</v>
      </c>
    </row>
    <row r="4939" spans="1:22" x14ac:dyDescent="0.3">
      <c r="A4939">
        <v>71046</v>
      </c>
      <c r="B4939">
        <v>1</v>
      </c>
      <c r="C4939" t="s">
        <v>121</v>
      </c>
      <c r="D4939" t="s">
        <v>122</v>
      </c>
      <c r="E4939" s="1">
        <v>44377</v>
      </c>
      <c r="F4939">
        <v>1</v>
      </c>
      <c r="G4939" t="s">
        <v>51</v>
      </c>
      <c r="H4939" t="s">
        <v>52</v>
      </c>
      <c r="I4939" s="3">
        <v>1069</v>
      </c>
      <c r="J4939" s="3">
        <v>1069</v>
      </c>
      <c r="K4939" s="3">
        <v>460</v>
      </c>
      <c r="L4939" t="s">
        <v>120</v>
      </c>
      <c r="M4939">
        <v>14</v>
      </c>
      <c r="N4939" t="s">
        <v>87</v>
      </c>
      <c r="O4939" t="s">
        <v>81</v>
      </c>
      <c r="P4939" t="s">
        <v>18</v>
      </c>
      <c r="Q4939" t="s">
        <v>19</v>
      </c>
      <c r="R4939" t="s">
        <v>138</v>
      </c>
      <c r="S4939" t="s">
        <v>144</v>
      </c>
      <c r="T4939" s="2">
        <f>MASTER[[#This Row],[CANTIDAD]]*MASTER[[#This Row],[PRECIO DE VENTA]]</f>
        <v>1069</v>
      </c>
      <c r="U4939" s="2">
        <f>MASTER[[#This Row],[CANTIDAD]]*MASTER[[#This Row],[COSTO UNITARIO]]</f>
        <v>460</v>
      </c>
      <c r="V4939" s="2">
        <f>MASTER[[#This Row],[MONTO VENDIDO]]-MASTER[[#This Row],[COSTO DE VENTA]]</f>
        <v>609</v>
      </c>
    </row>
    <row r="4940" spans="1:22" x14ac:dyDescent="0.3">
      <c r="A4940">
        <v>71050</v>
      </c>
      <c r="B4940">
        <v>1</v>
      </c>
      <c r="C4940" t="s">
        <v>99</v>
      </c>
      <c r="D4940" t="s">
        <v>100</v>
      </c>
      <c r="E4940" s="1">
        <v>44377</v>
      </c>
      <c r="F4940">
        <v>1</v>
      </c>
      <c r="G4940" t="s">
        <v>20</v>
      </c>
      <c r="H4940" t="s">
        <v>21</v>
      </c>
      <c r="I4940" s="3">
        <v>1459</v>
      </c>
      <c r="J4940" s="3">
        <v>1459</v>
      </c>
      <c r="K4940" s="3">
        <v>386</v>
      </c>
      <c r="L4940" t="s">
        <v>98</v>
      </c>
      <c r="M4940">
        <v>5</v>
      </c>
      <c r="N4940" t="s">
        <v>85</v>
      </c>
      <c r="O4940" t="s">
        <v>81</v>
      </c>
      <c r="P4940" t="s">
        <v>12</v>
      </c>
      <c r="Q4940" t="s">
        <v>13</v>
      </c>
      <c r="R4940" t="s">
        <v>13</v>
      </c>
      <c r="S4940" t="s">
        <v>144</v>
      </c>
      <c r="T4940" s="2">
        <f>MASTER[[#This Row],[CANTIDAD]]*MASTER[[#This Row],[PRECIO DE VENTA]]</f>
        <v>1459</v>
      </c>
      <c r="U4940" s="2">
        <f>MASTER[[#This Row],[CANTIDAD]]*MASTER[[#This Row],[COSTO UNITARIO]]</f>
        <v>386</v>
      </c>
      <c r="V4940" s="2">
        <f>MASTER[[#This Row],[MONTO VENDIDO]]-MASTER[[#This Row],[COSTO DE VENTA]]</f>
        <v>1073</v>
      </c>
    </row>
    <row r="4941" spans="1:22" x14ac:dyDescent="0.3">
      <c r="A4941">
        <v>71059</v>
      </c>
      <c r="B4941">
        <v>1</v>
      </c>
      <c r="C4941" t="s">
        <v>114</v>
      </c>
      <c r="D4941" t="s">
        <v>115</v>
      </c>
      <c r="E4941" s="1">
        <v>44377</v>
      </c>
      <c r="F4941">
        <v>1</v>
      </c>
      <c r="G4941" t="s">
        <v>24</v>
      </c>
      <c r="H4941" t="s">
        <v>25</v>
      </c>
      <c r="I4941" s="3">
        <v>2030</v>
      </c>
      <c r="J4941" s="3">
        <v>2030</v>
      </c>
      <c r="K4941" s="3">
        <v>394</v>
      </c>
      <c r="L4941" t="s">
        <v>113</v>
      </c>
      <c r="M4941">
        <v>13</v>
      </c>
      <c r="N4941" t="s">
        <v>78</v>
      </c>
      <c r="O4941" t="s">
        <v>70</v>
      </c>
      <c r="P4941" t="s">
        <v>18</v>
      </c>
      <c r="Q4941" t="s">
        <v>19</v>
      </c>
      <c r="R4941" t="s">
        <v>138</v>
      </c>
      <c r="S4941" t="s">
        <v>144</v>
      </c>
      <c r="T4941" s="2">
        <f>MASTER[[#This Row],[CANTIDAD]]*MASTER[[#This Row],[PRECIO DE VENTA]]</f>
        <v>2030</v>
      </c>
      <c r="U4941" s="2">
        <f>MASTER[[#This Row],[CANTIDAD]]*MASTER[[#This Row],[COSTO UNITARIO]]</f>
        <v>394</v>
      </c>
      <c r="V4941" s="2">
        <f>MASTER[[#This Row],[MONTO VENDIDO]]-MASTER[[#This Row],[COSTO DE VENTA]]</f>
        <v>1636</v>
      </c>
    </row>
    <row r="4942" spans="1:22" x14ac:dyDescent="0.3">
      <c r="A4942">
        <v>71064</v>
      </c>
      <c r="B4942">
        <v>1</v>
      </c>
      <c r="C4942" t="s">
        <v>94</v>
      </c>
      <c r="D4942" t="s">
        <v>95</v>
      </c>
      <c r="E4942" s="1">
        <v>44377</v>
      </c>
      <c r="F4942">
        <v>1</v>
      </c>
      <c r="G4942" t="s">
        <v>35</v>
      </c>
      <c r="H4942" t="s">
        <v>36</v>
      </c>
      <c r="I4942" s="3">
        <v>1153</v>
      </c>
      <c r="J4942" s="3">
        <v>1153</v>
      </c>
      <c r="K4942" s="3">
        <v>392</v>
      </c>
      <c r="L4942" t="s">
        <v>9</v>
      </c>
      <c r="M4942">
        <v>13</v>
      </c>
      <c r="N4942" t="s">
        <v>78</v>
      </c>
      <c r="O4942" t="s">
        <v>70</v>
      </c>
      <c r="P4942" t="s">
        <v>18</v>
      </c>
      <c r="Q4942" t="s">
        <v>19</v>
      </c>
      <c r="R4942" t="s">
        <v>138</v>
      </c>
      <c r="S4942" t="s">
        <v>144</v>
      </c>
      <c r="T4942" s="2">
        <f>MASTER[[#This Row],[CANTIDAD]]*MASTER[[#This Row],[PRECIO DE VENTA]]</f>
        <v>1153</v>
      </c>
      <c r="U4942" s="2">
        <f>MASTER[[#This Row],[CANTIDAD]]*MASTER[[#This Row],[COSTO UNITARIO]]</f>
        <v>392</v>
      </c>
      <c r="V4942" s="2">
        <f>MASTER[[#This Row],[MONTO VENDIDO]]-MASTER[[#This Row],[COSTO DE VENTA]]</f>
        <v>761</v>
      </c>
    </row>
    <row r="4943" spans="1:22" x14ac:dyDescent="0.3">
      <c r="A4943">
        <v>71066</v>
      </c>
      <c r="B4943">
        <v>1</v>
      </c>
      <c r="C4943" t="s">
        <v>92</v>
      </c>
      <c r="D4943" t="s">
        <v>93</v>
      </c>
      <c r="E4943" s="1">
        <v>44377</v>
      </c>
      <c r="F4943">
        <v>1</v>
      </c>
      <c r="G4943" t="s">
        <v>35</v>
      </c>
      <c r="H4943" t="s">
        <v>36</v>
      </c>
      <c r="I4943" s="3">
        <v>1681</v>
      </c>
      <c r="J4943" s="3">
        <v>1681</v>
      </c>
      <c r="K4943" s="3">
        <v>396</v>
      </c>
      <c r="L4943" t="s">
        <v>9</v>
      </c>
      <c r="M4943">
        <v>8</v>
      </c>
      <c r="N4943" t="s">
        <v>80</v>
      </c>
      <c r="O4943" t="s">
        <v>81</v>
      </c>
      <c r="P4943" t="s">
        <v>12</v>
      </c>
      <c r="Q4943" t="s">
        <v>13</v>
      </c>
      <c r="R4943" t="s">
        <v>13</v>
      </c>
      <c r="S4943" t="s">
        <v>144</v>
      </c>
      <c r="T4943" s="2">
        <f>MASTER[[#This Row],[CANTIDAD]]*MASTER[[#This Row],[PRECIO DE VENTA]]</f>
        <v>1681</v>
      </c>
      <c r="U4943" s="2">
        <f>MASTER[[#This Row],[CANTIDAD]]*MASTER[[#This Row],[COSTO UNITARIO]]</f>
        <v>396</v>
      </c>
      <c r="V4943" s="2">
        <f>MASTER[[#This Row],[MONTO VENDIDO]]-MASTER[[#This Row],[COSTO DE VENTA]]</f>
        <v>1285</v>
      </c>
    </row>
    <row r="4944" spans="1:22" x14ac:dyDescent="0.3">
      <c r="A4944">
        <v>71086</v>
      </c>
      <c r="B4944">
        <v>1</v>
      </c>
      <c r="C4944" t="s">
        <v>5</v>
      </c>
      <c r="D4944" t="s">
        <v>6</v>
      </c>
      <c r="E4944" s="1">
        <v>44377</v>
      </c>
      <c r="F4944">
        <v>1</v>
      </c>
      <c r="G4944" t="s">
        <v>63</v>
      </c>
      <c r="H4944" t="s">
        <v>64</v>
      </c>
      <c r="I4944" s="3">
        <v>1296</v>
      </c>
      <c r="J4944" s="3">
        <v>1296</v>
      </c>
      <c r="K4944" s="3">
        <v>393</v>
      </c>
      <c r="L4944" t="s">
        <v>9</v>
      </c>
      <c r="M4944">
        <v>6</v>
      </c>
      <c r="N4944" t="s">
        <v>75</v>
      </c>
      <c r="O4944" t="s">
        <v>70</v>
      </c>
      <c r="P4944" t="s">
        <v>12</v>
      </c>
      <c r="Q4944" t="s">
        <v>13</v>
      </c>
      <c r="R4944" t="s">
        <v>13</v>
      </c>
      <c r="S4944" t="s">
        <v>144</v>
      </c>
      <c r="T4944" s="2">
        <f>MASTER[[#This Row],[CANTIDAD]]*MASTER[[#This Row],[PRECIO DE VENTA]]</f>
        <v>1296</v>
      </c>
      <c r="U4944" s="2">
        <f>MASTER[[#This Row],[CANTIDAD]]*MASTER[[#This Row],[COSTO UNITARIO]]</f>
        <v>393</v>
      </c>
      <c r="V4944" s="2">
        <f>MASTER[[#This Row],[MONTO VENDIDO]]-MASTER[[#This Row],[COSTO DE VENTA]]</f>
        <v>903</v>
      </c>
    </row>
    <row r="4945" spans="1:22" x14ac:dyDescent="0.3">
      <c r="A4945">
        <v>71092</v>
      </c>
      <c r="B4945">
        <v>1</v>
      </c>
      <c r="C4945" t="s">
        <v>92</v>
      </c>
      <c r="D4945" t="s">
        <v>93</v>
      </c>
      <c r="E4945" s="1">
        <v>44377</v>
      </c>
      <c r="F4945">
        <v>1</v>
      </c>
      <c r="G4945" t="s">
        <v>47</v>
      </c>
      <c r="H4945" t="s">
        <v>48</v>
      </c>
      <c r="I4945" s="3">
        <v>1681</v>
      </c>
      <c r="J4945" s="3">
        <v>1596</v>
      </c>
      <c r="K4945" s="3">
        <v>396</v>
      </c>
      <c r="L4945" t="s">
        <v>9</v>
      </c>
      <c r="M4945">
        <v>15</v>
      </c>
      <c r="N4945" t="s">
        <v>88</v>
      </c>
      <c r="O4945" t="s">
        <v>81</v>
      </c>
      <c r="P4945" t="s">
        <v>18</v>
      </c>
      <c r="Q4945" t="s">
        <v>19</v>
      </c>
      <c r="R4945" t="s">
        <v>138</v>
      </c>
      <c r="S4945" t="s">
        <v>144</v>
      </c>
      <c r="T4945" s="2">
        <f>MASTER[[#This Row],[CANTIDAD]]*MASTER[[#This Row],[PRECIO DE VENTA]]</f>
        <v>1596</v>
      </c>
      <c r="U4945" s="2">
        <f>MASTER[[#This Row],[CANTIDAD]]*MASTER[[#This Row],[COSTO UNITARIO]]</f>
        <v>396</v>
      </c>
      <c r="V4945" s="2">
        <f>MASTER[[#This Row],[MONTO VENDIDO]]-MASTER[[#This Row],[COSTO DE VENTA]]</f>
        <v>1200</v>
      </c>
    </row>
    <row r="4946" spans="1:22" x14ac:dyDescent="0.3">
      <c r="A4946">
        <v>71102</v>
      </c>
      <c r="B4946">
        <v>1</v>
      </c>
      <c r="C4946" t="s">
        <v>118</v>
      </c>
      <c r="D4946" t="s">
        <v>119</v>
      </c>
      <c r="E4946" s="1">
        <v>44377</v>
      </c>
      <c r="F4946">
        <v>1</v>
      </c>
      <c r="G4946" t="s">
        <v>29</v>
      </c>
      <c r="H4946" t="s">
        <v>30</v>
      </c>
      <c r="I4946" s="3">
        <v>900</v>
      </c>
      <c r="J4946" s="3">
        <v>900</v>
      </c>
      <c r="K4946" s="3">
        <v>424</v>
      </c>
      <c r="L4946" t="s">
        <v>120</v>
      </c>
      <c r="M4946">
        <v>2</v>
      </c>
      <c r="N4946" t="s">
        <v>86</v>
      </c>
      <c r="O4946" t="s">
        <v>81</v>
      </c>
      <c r="P4946" t="s">
        <v>71</v>
      </c>
      <c r="Q4946" t="s">
        <v>72</v>
      </c>
      <c r="R4946" t="s">
        <v>139</v>
      </c>
      <c r="S4946" t="s">
        <v>144</v>
      </c>
      <c r="T4946" s="2">
        <f>MASTER[[#This Row],[CANTIDAD]]*MASTER[[#This Row],[PRECIO DE VENTA]]</f>
        <v>900</v>
      </c>
      <c r="U4946" s="2">
        <f>MASTER[[#This Row],[CANTIDAD]]*MASTER[[#This Row],[COSTO UNITARIO]]</f>
        <v>424</v>
      </c>
      <c r="V4946" s="2">
        <f>MASTER[[#This Row],[MONTO VENDIDO]]-MASTER[[#This Row],[COSTO DE VENTA]]</f>
        <v>476</v>
      </c>
    </row>
    <row r="4947" spans="1:22" x14ac:dyDescent="0.3">
      <c r="A4947">
        <v>71106</v>
      </c>
      <c r="B4947">
        <v>1</v>
      </c>
      <c r="C4947" t="s">
        <v>5</v>
      </c>
      <c r="D4947" t="s">
        <v>6</v>
      </c>
      <c r="E4947" s="1">
        <v>44377</v>
      </c>
      <c r="F4947">
        <v>1</v>
      </c>
      <c r="G4947" t="s">
        <v>65</v>
      </c>
      <c r="H4947" t="s">
        <v>66</v>
      </c>
      <c r="I4947" s="3">
        <v>1507</v>
      </c>
      <c r="J4947" s="3">
        <v>1507</v>
      </c>
      <c r="K4947" s="3">
        <v>393</v>
      </c>
      <c r="L4947" t="s">
        <v>9</v>
      </c>
      <c r="M4947">
        <v>8</v>
      </c>
      <c r="N4947" t="s">
        <v>80</v>
      </c>
      <c r="O4947" t="s">
        <v>81</v>
      </c>
      <c r="P4947" t="s">
        <v>12</v>
      </c>
      <c r="Q4947" t="s">
        <v>13</v>
      </c>
      <c r="R4947" t="s">
        <v>13</v>
      </c>
      <c r="S4947" t="s">
        <v>144</v>
      </c>
      <c r="T4947" s="2">
        <f>MASTER[[#This Row],[CANTIDAD]]*MASTER[[#This Row],[PRECIO DE VENTA]]</f>
        <v>1507</v>
      </c>
      <c r="U4947" s="2">
        <f>MASTER[[#This Row],[CANTIDAD]]*MASTER[[#This Row],[COSTO UNITARIO]]</f>
        <v>393</v>
      </c>
      <c r="V4947" s="2">
        <f>MASTER[[#This Row],[MONTO VENDIDO]]-MASTER[[#This Row],[COSTO DE VENTA]]</f>
        <v>1114</v>
      </c>
    </row>
    <row r="4948" spans="1:22" x14ac:dyDescent="0.3">
      <c r="A4948">
        <v>71120</v>
      </c>
      <c r="B4948">
        <v>1</v>
      </c>
      <c r="C4948" t="s">
        <v>101</v>
      </c>
      <c r="D4948" t="s">
        <v>102</v>
      </c>
      <c r="E4948" s="1">
        <v>44377</v>
      </c>
      <c r="F4948">
        <v>1</v>
      </c>
      <c r="G4948" t="s">
        <v>33</v>
      </c>
      <c r="H4948" t="s">
        <v>34</v>
      </c>
      <c r="I4948" s="3">
        <v>1054</v>
      </c>
      <c r="J4948" s="3">
        <v>1054</v>
      </c>
      <c r="K4948" s="3">
        <v>442</v>
      </c>
      <c r="L4948" t="s">
        <v>98</v>
      </c>
      <c r="M4948">
        <v>17</v>
      </c>
      <c r="N4948" t="s">
        <v>14</v>
      </c>
      <c r="O4948" t="s">
        <v>11</v>
      </c>
      <c r="P4948" t="s">
        <v>15</v>
      </c>
      <c r="Q4948" t="s">
        <v>16</v>
      </c>
      <c r="R4948" t="s">
        <v>16</v>
      </c>
      <c r="S4948" t="s">
        <v>144</v>
      </c>
      <c r="T4948" s="2">
        <f>MASTER[[#This Row],[CANTIDAD]]*MASTER[[#This Row],[PRECIO DE VENTA]]</f>
        <v>1054</v>
      </c>
      <c r="U4948" s="2">
        <f>MASTER[[#This Row],[CANTIDAD]]*MASTER[[#This Row],[COSTO UNITARIO]]</f>
        <v>442</v>
      </c>
      <c r="V4948" s="2">
        <f>MASTER[[#This Row],[MONTO VENDIDO]]-MASTER[[#This Row],[COSTO DE VENTA]]</f>
        <v>612</v>
      </c>
    </row>
    <row r="4949" spans="1:22" x14ac:dyDescent="0.3">
      <c r="A4949">
        <v>71125</v>
      </c>
      <c r="B4949">
        <v>1</v>
      </c>
      <c r="C4949" t="s">
        <v>99</v>
      </c>
      <c r="D4949" t="s">
        <v>100</v>
      </c>
      <c r="E4949" s="1">
        <v>44377</v>
      </c>
      <c r="F4949">
        <v>1</v>
      </c>
      <c r="G4949" t="s">
        <v>27</v>
      </c>
      <c r="H4949" t="s">
        <v>28</v>
      </c>
      <c r="I4949" s="3">
        <v>1678</v>
      </c>
      <c r="J4949" s="3">
        <v>1678</v>
      </c>
      <c r="K4949" s="3">
        <v>386</v>
      </c>
      <c r="L4949" t="s">
        <v>98</v>
      </c>
      <c r="M4949">
        <v>1</v>
      </c>
      <c r="N4949" t="s">
        <v>77</v>
      </c>
      <c r="O4949" t="s">
        <v>70</v>
      </c>
      <c r="P4949" t="s">
        <v>71</v>
      </c>
      <c r="Q4949" t="s">
        <v>72</v>
      </c>
      <c r="R4949" t="s">
        <v>139</v>
      </c>
      <c r="S4949" t="s">
        <v>144</v>
      </c>
      <c r="T4949" s="2">
        <f>MASTER[[#This Row],[CANTIDAD]]*MASTER[[#This Row],[PRECIO DE VENTA]]</f>
        <v>1678</v>
      </c>
      <c r="U4949" s="2">
        <f>MASTER[[#This Row],[CANTIDAD]]*MASTER[[#This Row],[COSTO UNITARIO]]</f>
        <v>386</v>
      </c>
      <c r="V4949" s="2">
        <f>MASTER[[#This Row],[MONTO VENDIDO]]-MASTER[[#This Row],[COSTO DE VENTA]]</f>
        <v>1292</v>
      </c>
    </row>
    <row r="4950" spans="1:22" x14ac:dyDescent="0.3">
      <c r="A4950">
        <v>71161</v>
      </c>
      <c r="B4950">
        <v>1</v>
      </c>
      <c r="C4950" t="s">
        <v>109</v>
      </c>
      <c r="D4950" t="s">
        <v>110</v>
      </c>
      <c r="E4950" s="1">
        <v>44377</v>
      </c>
      <c r="F4950">
        <v>1</v>
      </c>
      <c r="G4950" t="s">
        <v>67</v>
      </c>
      <c r="H4950" t="s">
        <v>68</v>
      </c>
      <c r="I4950" s="3">
        <v>947</v>
      </c>
      <c r="J4950" s="3">
        <v>947</v>
      </c>
      <c r="K4950" s="3">
        <v>387</v>
      </c>
      <c r="L4950" t="s">
        <v>98</v>
      </c>
      <c r="M4950">
        <v>12</v>
      </c>
      <c r="N4950" t="s">
        <v>26</v>
      </c>
      <c r="O4950" t="s">
        <v>11</v>
      </c>
      <c r="P4950" t="s">
        <v>12</v>
      </c>
      <c r="Q4950" t="s">
        <v>13</v>
      </c>
      <c r="R4950" t="s">
        <v>13</v>
      </c>
      <c r="S4950" t="s">
        <v>144</v>
      </c>
      <c r="T4950" s="2">
        <f>MASTER[[#This Row],[CANTIDAD]]*MASTER[[#This Row],[PRECIO DE VENTA]]</f>
        <v>947</v>
      </c>
      <c r="U4950" s="2">
        <f>MASTER[[#This Row],[CANTIDAD]]*MASTER[[#This Row],[COSTO UNITARIO]]</f>
        <v>387</v>
      </c>
      <c r="V4950" s="2">
        <f>MASTER[[#This Row],[MONTO VENDIDO]]-MASTER[[#This Row],[COSTO DE VENTA]]</f>
        <v>560</v>
      </c>
    </row>
    <row r="4951" spans="1:22" x14ac:dyDescent="0.3">
      <c r="A4951">
        <v>71163</v>
      </c>
      <c r="B4951">
        <v>1</v>
      </c>
      <c r="C4951" t="s">
        <v>109</v>
      </c>
      <c r="D4951" t="s">
        <v>110</v>
      </c>
      <c r="E4951" s="1">
        <v>44377</v>
      </c>
      <c r="F4951">
        <v>1</v>
      </c>
      <c r="G4951" t="s">
        <v>29</v>
      </c>
      <c r="H4951" t="s">
        <v>30</v>
      </c>
      <c r="I4951" s="3">
        <v>1128</v>
      </c>
      <c r="J4951" s="3">
        <v>1128</v>
      </c>
      <c r="K4951" s="3">
        <v>387</v>
      </c>
      <c r="L4951" t="s">
        <v>98</v>
      </c>
      <c r="M4951">
        <v>6</v>
      </c>
      <c r="N4951" t="s">
        <v>75</v>
      </c>
      <c r="O4951" t="s">
        <v>70</v>
      </c>
      <c r="P4951" t="s">
        <v>12</v>
      </c>
      <c r="Q4951" t="s">
        <v>13</v>
      </c>
      <c r="R4951" t="s">
        <v>13</v>
      </c>
      <c r="S4951" t="s">
        <v>144</v>
      </c>
      <c r="T4951" s="2">
        <f>MASTER[[#This Row],[CANTIDAD]]*MASTER[[#This Row],[PRECIO DE VENTA]]</f>
        <v>1128</v>
      </c>
      <c r="U4951" s="2">
        <f>MASTER[[#This Row],[CANTIDAD]]*MASTER[[#This Row],[COSTO UNITARIO]]</f>
        <v>387</v>
      </c>
      <c r="V4951" s="2">
        <f>MASTER[[#This Row],[MONTO VENDIDO]]-MASTER[[#This Row],[COSTO DE VENTA]]</f>
        <v>741</v>
      </c>
    </row>
    <row r="4952" spans="1:22" x14ac:dyDescent="0.3">
      <c r="A4952">
        <v>71195</v>
      </c>
      <c r="B4952">
        <v>1</v>
      </c>
      <c r="C4952" t="s">
        <v>105</v>
      </c>
      <c r="D4952" t="s">
        <v>106</v>
      </c>
      <c r="E4952" s="1">
        <v>44377</v>
      </c>
      <c r="F4952">
        <v>1</v>
      </c>
      <c r="G4952" t="s">
        <v>47</v>
      </c>
      <c r="H4952" t="s">
        <v>48</v>
      </c>
      <c r="I4952" s="3">
        <v>2033</v>
      </c>
      <c r="J4952" s="3">
        <v>2033</v>
      </c>
      <c r="K4952" s="3">
        <v>459</v>
      </c>
      <c r="L4952" t="s">
        <v>98</v>
      </c>
      <c r="M4952">
        <v>9</v>
      </c>
      <c r="N4952" t="s">
        <v>76</v>
      </c>
      <c r="O4952" t="s">
        <v>70</v>
      </c>
      <c r="P4952" t="s">
        <v>12</v>
      </c>
      <c r="Q4952" t="s">
        <v>13</v>
      </c>
      <c r="R4952" t="s">
        <v>13</v>
      </c>
      <c r="S4952" t="s">
        <v>144</v>
      </c>
      <c r="T4952" s="2">
        <f>MASTER[[#This Row],[CANTIDAD]]*MASTER[[#This Row],[PRECIO DE VENTA]]</f>
        <v>2033</v>
      </c>
      <c r="U4952" s="2">
        <f>MASTER[[#This Row],[CANTIDAD]]*MASTER[[#This Row],[COSTO UNITARIO]]</f>
        <v>459</v>
      </c>
      <c r="V4952" s="2">
        <f>MASTER[[#This Row],[MONTO VENDIDO]]-MASTER[[#This Row],[COSTO DE VENTA]]</f>
        <v>1574</v>
      </c>
    </row>
    <row r="4953" spans="1:22" x14ac:dyDescent="0.3">
      <c r="A4953">
        <v>71196</v>
      </c>
      <c r="B4953">
        <v>1</v>
      </c>
      <c r="C4953" t="s">
        <v>107</v>
      </c>
      <c r="D4953" t="s">
        <v>108</v>
      </c>
      <c r="E4953" s="1">
        <v>44377</v>
      </c>
      <c r="F4953">
        <v>1</v>
      </c>
      <c r="G4953" t="s">
        <v>20</v>
      </c>
      <c r="H4953" t="s">
        <v>21</v>
      </c>
      <c r="I4953" s="3">
        <v>1440</v>
      </c>
      <c r="J4953" s="3">
        <v>1440</v>
      </c>
      <c r="K4953" s="3">
        <v>380</v>
      </c>
      <c r="L4953" t="s">
        <v>98</v>
      </c>
      <c r="M4953">
        <v>13</v>
      </c>
      <c r="N4953" t="s">
        <v>78</v>
      </c>
      <c r="O4953" t="s">
        <v>70</v>
      </c>
      <c r="P4953" t="s">
        <v>18</v>
      </c>
      <c r="Q4953" t="s">
        <v>19</v>
      </c>
      <c r="R4953" t="s">
        <v>138</v>
      </c>
      <c r="S4953" t="s">
        <v>144</v>
      </c>
      <c r="T4953" s="2">
        <f>MASTER[[#This Row],[CANTIDAD]]*MASTER[[#This Row],[PRECIO DE VENTA]]</f>
        <v>1440</v>
      </c>
      <c r="U4953" s="2">
        <f>MASTER[[#This Row],[CANTIDAD]]*MASTER[[#This Row],[COSTO UNITARIO]]</f>
        <v>380</v>
      </c>
      <c r="V4953" s="2">
        <f>MASTER[[#This Row],[MONTO VENDIDO]]-MASTER[[#This Row],[COSTO DE VENTA]]</f>
        <v>1060</v>
      </c>
    </row>
    <row r="4954" spans="1:22" x14ac:dyDescent="0.3">
      <c r="A4954">
        <v>71213</v>
      </c>
      <c r="B4954">
        <v>1</v>
      </c>
      <c r="C4954" t="s">
        <v>105</v>
      </c>
      <c r="D4954" t="s">
        <v>106</v>
      </c>
      <c r="E4954" s="1">
        <v>44378</v>
      </c>
      <c r="F4954">
        <v>1</v>
      </c>
      <c r="G4954" t="s">
        <v>53</v>
      </c>
      <c r="H4954" t="s">
        <v>54</v>
      </c>
      <c r="I4954" s="3">
        <v>1865</v>
      </c>
      <c r="J4954" s="3">
        <v>1865</v>
      </c>
      <c r="K4954" s="3">
        <v>459</v>
      </c>
      <c r="L4954" t="s">
        <v>98</v>
      </c>
      <c r="M4954">
        <v>19</v>
      </c>
      <c r="N4954" t="s">
        <v>89</v>
      </c>
      <c r="O4954" t="s">
        <v>81</v>
      </c>
      <c r="P4954" t="s">
        <v>15</v>
      </c>
      <c r="Q4954" t="s">
        <v>16</v>
      </c>
      <c r="R4954" t="s">
        <v>16</v>
      </c>
      <c r="S4954" t="s">
        <v>144</v>
      </c>
      <c r="T4954" s="2">
        <f>MASTER[[#This Row],[CANTIDAD]]*MASTER[[#This Row],[PRECIO DE VENTA]]</f>
        <v>1865</v>
      </c>
      <c r="U4954" s="2">
        <f>MASTER[[#This Row],[CANTIDAD]]*MASTER[[#This Row],[COSTO UNITARIO]]</f>
        <v>459</v>
      </c>
      <c r="V4954" s="2">
        <f>MASTER[[#This Row],[MONTO VENDIDO]]-MASTER[[#This Row],[COSTO DE VENTA]]</f>
        <v>1406</v>
      </c>
    </row>
    <row r="4955" spans="1:22" x14ac:dyDescent="0.3">
      <c r="A4955">
        <v>71229</v>
      </c>
      <c r="B4955">
        <v>1</v>
      </c>
      <c r="C4955" t="s">
        <v>118</v>
      </c>
      <c r="D4955" t="s">
        <v>119</v>
      </c>
      <c r="E4955" s="1">
        <v>44378</v>
      </c>
      <c r="F4955">
        <v>2</v>
      </c>
      <c r="G4955" t="s">
        <v>24</v>
      </c>
      <c r="H4955" t="s">
        <v>25</v>
      </c>
      <c r="I4955" s="3">
        <v>1026</v>
      </c>
      <c r="J4955" s="3">
        <v>1026</v>
      </c>
      <c r="K4955" s="3">
        <v>424</v>
      </c>
      <c r="L4955" t="s">
        <v>120</v>
      </c>
      <c r="M4955">
        <v>13</v>
      </c>
      <c r="N4955" t="s">
        <v>78</v>
      </c>
      <c r="O4955" t="s">
        <v>70</v>
      </c>
      <c r="P4955" t="s">
        <v>18</v>
      </c>
      <c r="Q4955" t="s">
        <v>19</v>
      </c>
      <c r="R4955" t="s">
        <v>138</v>
      </c>
      <c r="S4955" t="s">
        <v>144</v>
      </c>
      <c r="T4955" s="2">
        <f>MASTER[[#This Row],[CANTIDAD]]*MASTER[[#This Row],[PRECIO DE VENTA]]</f>
        <v>2052</v>
      </c>
      <c r="U4955" s="2">
        <f>MASTER[[#This Row],[CANTIDAD]]*MASTER[[#This Row],[COSTO UNITARIO]]</f>
        <v>848</v>
      </c>
      <c r="V4955" s="2">
        <f>MASTER[[#This Row],[MONTO VENDIDO]]-MASTER[[#This Row],[COSTO DE VENTA]]</f>
        <v>1204</v>
      </c>
    </row>
    <row r="4956" spans="1:22" x14ac:dyDescent="0.3">
      <c r="A4956">
        <v>71230</v>
      </c>
      <c r="B4956">
        <v>1</v>
      </c>
      <c r="C4956" t="s">
        <v>114</v>
      </c>
      <c r="D4956" t="s">
        <v>115</v>
      </c>
      <c r="E4956" s="1">
        <v>44378</v>
      </c>
      <c r="F4956">
        <v>1</v>
      </c>
      <c r="G4956" t="s">
        <v>49</v>
      </c>
      <c r="H4956" t="s">
        <v>50</v>
      </c>
      <c r="I4956" s="3">
        <v>1862</v>
      </c>
      <c r="J4956" s="3">
        <v>1862</v>
      </c>
      <c r="K4956" s="3">
        <v>394</v>
      </c>
      <c r="L4956" t="s">
        <v>113</v>
      </c>
      <c r="M4956">
        <v>5</v>
      </c>
      <c r="N4956" t="s">
        <v>85</v>
      </c>
      <c r="O4956" t="s">
        <v>81</v>
      </c>
      <c r="P4956" t="s">
        <v>12</v>
      </c>
      <c r="Q4956" t="s">
        <v>13</v>
      </c>
      <c r="R4956" t="s">
        <v>13</v>
      </c>
      <c r="S4956" t="s">
        <v>144</v>
      </c>
      <c r="T4956" s="2">
        <f>MASTER[[#This Row],[CANTIDAD]]*MASTER[[#This Row],[PRECIO DE VENTA]]</f>
        <v>1862</v>
      </c>
      <c r="U4956" s="2">
        <f>MASTER[[#This Row],[CANTIDAD]]*MASTER[[#This Row],[COSTO UNITARIO]]</f>
        <v>394</v>
      </c>
      <c r="V4956" s="2">
        <f>MASTER[[#This Row],[MONTO VENDIDO]]-MASTER[[#This Row],[COSTO DE VENTA]]</f>
        <v>1468</v>
      </c>
    </row>
    <row r="4957" spans="1:22" x14ac:dyDescent="0.3">
      <c r="A4957">
        <v>71238</v>
      </c>
      <c r="B4957">
        <v>1</v>
      </c>
      <c r="C4957" t="s">
        <v>90</v>
      </c>
      <c r="D4957" t="s">
        <v>91</v>
      </c>
      <c r="E4957" s="1">
        <v>44378</v>
      </c>
      <c r="F4957">
        <v>1</v>
      </c>
      <c r="G4957" t="s">
        <v>29</v>
      </c>
      <c r="H4957" t="s">
        <v>30</v>
      </c>
      <c r="I4957" s="3">
        <v>1844</v>
      </c>
      <c r="J4957" s="3">
        <v>1844</v>
      </c>
      <c r="K4957" s="3">
        <v>420</v>
      </c>
      <c r="L4957" t="s">
        <v>9</v>
      </c>
      <c r="M4957">
        <v>19</v>
      </c>
      <c r="N4957" t="s">
        <v>89</v>
      </c>
      <c r="O4957" t="s">
        <v>81</v>
      </c>
      <c r="P4957" t="s">
        <v>15</v>
      </c>
      <c r="Q4957" t="s">
        <v>16</v>
      </c>
      <c r="R4957" t="s">
        <v>16</v>
      </c>
      <c r="S4957" t="s">
        <v>144</v>
      </c>
      <c r="T4957" s="2">
        <f>MASTER[[#This Row],[CANTIDAD]]*MASTER[[#This Row],[PRECIO DE VENTA]]</f>
        <v>1844</v>
      </c>
      <c r="U4957" s="2">
        <f>MASTER[[#This Row],[CANTIDAD]]*MASTER[[#This Row],[COSTO UNITARIO]]</f>
        <v>420</v>
      </c>
      <c r="V4957" s="2">
        <f>MASTER[[#This Row],[MONTO VENDIDO]]-MASTER[[#This Row],[COSTO DE VENTA]]</f>
        <v>1424</v>
      </c>
    </row>
    <row r="4958" spans="1:22" x14ac:dyDescent="0.3">
      <c r="A4958">
        <v>71262</v>
      </c>
      <c r="B4958">
        <v>1</v>
      </c>
      <c r="C4958" t="s">
        <v>111</v>
      </c>
      <c r="D4958" t="s">
        <v>112</v>
      </c>
      <c r="E4958" s="1">
        <v>44378</v>
      </c>
      <c r="F4958">
        <v>1</v>
      </c>
      <c r="G4958" t="s">
        <v>47</v>
      </c>
      <c r="H4958" t="s">
        <v>48</v>
      </c>
      <c r="I4958" s="3">
        <v>1621</v>
      </c>
      <c r="J4958" s="3">
        <v>1621</v>
      </c>
      <c r="K4958" s="3">
        <v>434</v>
      </c>
      <c r="L4958" t="s">
        <v>113</v>
      </c>
      <c r="M4958">
        <v>15</v>
      </c>
      <c r="N4958" t="s">
        <v>88</v>
      </c>
      <c r="O4958" t="s">
        <v>81</v>
      </c>
      <c r="P4958" t="s">
        <v>18</v>
      </c>
      <c r="Q4958" t="s">
        <v>19</v>
      </c>
      <c r="R4958" t="s">
        <v>138</v>
      </c>
      <c r="S4958" t="s">
        <v>144</v>
      </c>
      <c r="T4958" s="2">
        <f>MASTER[[#This Row],[CANTIDAD]]*MASTER[[#This Row],[PRECIO DE VENTA]]</f>
        <v>1621</v>
      </c>
      <c r="U4958" s="2">
        <f>MASTER[[#This Row],[CANTIDAD]]*MASTER[[#This Row],[COSTO UNITARIO]]</f>
        <v>434</v>
      </c>
      <c r="V4958" s="2">
        <f>MASTER[[#This Row],[MONTO VENDIDO]]-MASTER[[#This Row],[COSTO DE VENTA]]</f>
        <v>1187</v>
      </c>
    </row>
    <row r="4959" spans="1:22" x14ac:dyDescent="0.3">
      <c r="A4959">
        <v>71264</v>
      </c>
      <c r="B4959">
        <v>1</v>
      </c>
      <c r="C4959" t="s">
        <v>96</v>
      </c>
      <c r="D4959" t="s">
        <v>97</v>
      </c>
      <c r="E4959" s="1">
        <v>44378</v>
      </c>
      <c r="F4959">
        <v>1</v>
      </c>
      <c r="G4959" t="s">
        <v>59</v>
      </c>
      <c r="H4959" t="s">
        <v>60</v>
      </c>
      <c r="I4959" s="3">
        <v>1361</v>
      </c>
      <c r="J4959" s="3">
        <v>1361</v>
      </c>
      <c r="K4959" s="3">
        <v>397</v>
      </c>
      <c r="L4959" t="s">
        <v>98</v>
      </c>
      <c r="M4959">
        <v>6</v>
      </c>
      <c r="N4959" t="s">
        <v>75</v>
      </c>
      <c r="O4959" t="s">
        <v>70</v>
      </c>
      <c r="P4959" t="s">
        <v>12</v>
      </c>
      <c r="Q4959" t="s">
        <v>13</v>
      </c>
      <c r="R4959" t="s">
        <v>13</v>
      </c>
      <c r="S4959" t="s">
        <v>144</v>
      </c>
      <c r="T4959" s="2">
        <f>MASTER[[#This Row],[CANTIDAD]]*MASTER[[#This Row],[PRECIO DE VENTA]]</f>
        <v>1361</v>
      </c>
      <c r="U4959" s="2">
        <f>MASTER[[#This Row],[CANTIDAD]]*MASTER[[#This Row],[COSTO UNITARIO]]</f>
        <v>397</v>
      </c>
      <c r="V4959" s="2">
        <f>MASTER[[#This Row],[MONTO VENDIDO]]-MASTER[[#This Row],[COSTO DE VENTA]]</f>
        <v>964</v>
      </c>
    </row>
    <row r="4960" spans="1:22" x14ac:dyDescent="0.3">
      <c r="A4960">
        <v>71271</v>
      </c>
      <c r="B4960">
        <v>1</v>
      </c>
      <c r="C4960" t="s">
        <v>121</v>
      </c>
      <c r="D4960" t="s">
        <v>122</v>
      </c>
      <c r="E4960" s="1">
        <v>44378</v>
      </c>
      <c r="F4960">
        <v>1</v>
      </c>
      <c r="G4960" t="s">
        <v>29</v>
      </c>
      <c r="H4960" t="s">
        <v>30</v>
      </c>
      <c r="I4960" s="3">
        <v>1144</v>
      </c>
      <c r="J4960" s="3">
        <v>1144</v>
      </c>
      <c r="K4960" s="3">
        <v>460</v>
      </c>
      <c r="L4960" t="s">
        <v>120</v>
      </c>
      <c r="M4960">
        <v>3</v>
      </c>
      <c r="N4960" t="s">
        <v>69</v>
      </c>
      <c r="O4960" t="s">
        <v>70</v>
      </c>
      <c r="P4960" t="s">
        <v>71</v>
      </c>
      <c r="Q4960" t="s">
        <v>72</v>
      </c>
      <c r="R4960" t="s">
        <v>139</v>
      </c>
      <c r="S4960" t="s">
        <v>144</v>
      </c>
      <c r="T4960" s="2">
        <f>MASTER[[#This Row],[CANTIDAD]]*MASTER[[#This Row],[PRECIO DE VENTA]]</f>
        <v>1144</v>
      </c>
      <c r="U4960" s="2">
        <f>MASTER[[#This Row],[CANTIDAD]]*MASTER[[#This Row],[COSTO UNITARIO]]</f>
        <v>460</v>
      </c>
      <c r="V4960" s="2">
        <f>MASTER[[#This Row],[MONTO VENDIDO]]-MASTER[[#This Row],[COSTO DE VENTA]]</f>
        <v>684</v>
      </c>
    </row>
    <row r="4961" spans="1:22" x14ac:dyDescent="0.3">
      <c r="A4961">
        <v>71284</v>
      </c>
      <c r="B4961">
        <v>1</v>
      </c>
      <c r="C4961" t="s">
        <v>109</v>
      </c>
      <c r="D4961" t="s">
        <v>110</v>
      </c>
      <c r="E4961" s="1">
        <v>44378</v>
      </c>
      <c r="F4961">
        <v>1</v>
      </c>
      <c r="G4961" t="s">
        <v>51</v>
      </c>
      <c r="H4961" t="s">
        <v>52</v>
      </c>
      <c r="I4961" s="3">
        <v>1064</v>
      </c>
      <c r="J4961" s="3">
        <v>1064</v>
      </c>
      <c r="K4961" s="3">
        <v>387</v>
      </c>
      <c r="L4961" t="s">
        <v>98</v>
      </c>
      <c r="M4961">
        <v>8</v>
      </c>
      <c r="N4961" t="s">
        <v>80</v>
      </c>
      <c r="O4961" t="s">
        <v>81</v>
      </c>
      <c r="P4961" t="s">
        <v>12</v>
      </c>
      <c r="Q4961" t="s">
        <v>13</v>
      </c>
      <c r="R4961" t="s">
        <v>13</v>
      </c>
      <c r="S4961" t="s">
        <v>144</v>
      </c>
      <c r="T4961" s="2">
        <f>MASTER[[#This Row],[CANTIDAD]]*MASTER[[#This Row],[PRECIO DE VENTA]]</f>
        <v>1064</v>
      </c>
      <c r="U4961" s="2">
        <f>MASTER[[#This Row],[CANTIDAD]]*MASTER[[#This Row],[COSTO UNITARIO]]</f>
        <v>387</v>
      </c>
      <c r="V4961" s="2">
        <f>MASTER[[#This Row],[MONTO VENDIDO]]-MASTER[[#This Row],[COSTO DE VENTA]]</f>
        <v>677</v>
      </c>
    </row>
    <row r="4962" spans="1:22" x14ac:dyDescent="0.3">
      <c r="A4962">
        <v>71287</v>
      </c>
      <c r="B4962">
        <v>1</v>
      </c>
      <c r="C4962" t="s">
        <v>116</v>
      </c>
      <c r="D4962" t="s">
        <v>117</v>
      </c>
      <c r="E4962" s="1">
        <v>44378</v>
      </c>
      <c r="F4962">
        <v>1</v>
      </c>
      <c r="G4962" t="s">
        <v>22</v>
      </c>
      <c r="H4962" t="s">
        <v>23</v>
      </c>
      <c r="I4962" s="3">
        <v>1999</v>
      </c>
      <c r="J4962" s="3">
        <v>1999</v>
      </c>
      <c r="K4962" s="3">
        <v>388</v>
      </c>
      <c r="L4962" t="s">
        <v>113</v>
      </c>
      <c r="M4962">
        <v>6</v>
      </c>
      <c r="N4962" t="s">
        <v>75</v>
      </c>
      <c r="O4962" t="s">
        <v>70</v>
      </c>
      <c r="P4962" t="s">
        <v>12</v>
      </c>
      <c r="Q4962" t="s">
        <v>13</v>
      </c>
      <c r="R4962" t="s">
        <v>13</v>
      </c>
      <c r="S4962" t="s">
        <v>144</v>
      </c>
      <c r="T4962" s="2">
        <f>MASTER[[#This Row],[CANTIDAD]]*MASTER[[#This Row],[PRECIO DE VENTA]]</f>
        <v>1999</v>
      </c>
      <c r="U4962" s="2">
        <f>MASTER[[#This Row],[CANTIDAD]]*MASTER[[#This Row],[COSTO UNITARIO]]</f>
        <v>388</v>
      </c>
      <c r="V4962" s="2">
        <f>MASTER[[#This Row],[MONTO VENDIDO]]-MASTER[[#This Row],[COSTO DE VENTA]]</f>
        <v>1611</v>
      </c>
    </row>
    <row r="4963" spans="1:22" x14ac:dyDescent="0.3">
      <c r="A4963">
        <v>71293</v>
      </c>
      <c r="B4963">
        <v>1</v>
      </c>
      <c r="C4963" t="s">
        <v>92</v>
      </c>
      <c r="D4963" t="s">
        <v>93</v>
      </c>
      <c r="E4963" s="1">
        <v>44378</v>
      </c>
      <c r="F4963">
        <v>1</v>
      </c>
      <c r="G4963" t="s">
        <v>39</v>
      </c>
      <c r="H4963" t="s">
        <v>40</v>
      </c>
      <c r="I4963" s="3">
        <v>1681</v>
      </c>
      <c r="J4963" s="3">
        <v>1681</v>
      </c>
      <c r="K4963" s="3">
        <v>396</v>
      </c>
      <c r="L4963" t="s">
        <v>9</v>
      </c>
      <c r="M4963">
        <v>14</v>
      </c>
      <c r="N4963" t="s">
        <v>87</v>
      </c>
      <c r="O4963" t="s">
        <v>81</v>
      </c>
      <c r="P4963" t="s">
        <v>18</v>
      </c>
      <c r="Q4963" t="s">
        <v>19</v>
      </c>
      <c r="R4963" t="s">
        <v>138</v>
      </c>
      <c r="S4963" t="s">
        <v>144</v>
      </c>
      <c r="T4963" s="2">
        <f>MASTER[[#This Row],[CANTIDAD]]*MASTER[[#This Row],[PRECIO DE VENTA]]</f>
        <v>1681</v>
      </c>
      <c r="U4963" s="2">
        <f>MASTER[[#This Row],[CANTIDAD]]*MASTER[[#This Row],[COSTO UNITARIO]]</f>
        <v>396</v>
      </c>
      <c r="V4963" s="2">
        <f>MASTER[[#This Row],[MONTO VENDIDO]]-MASTER[[#This Row],[COSTO DE VENTA]]</f>
        <v>1285</v>
      </c>
    </row>
    <row r="4964" spans="1:22" x14ac:dyDescent="0.3">
      <c r="A4964">
        <v>71298</v>
      </c>
      <c r="B4964">
        <v>1</v>
      </c>
      <c r="C4964" t="s">
        <v>103</v>
      </c>
      <c r="D4964" t="s">
        <v>104</v>
      </c>
      <c r="E4964" s="1">
        <v>44378</v>
      </c>
      <c r="F4964">
        <v>1</v>
      </c>
      <c r="G4964" t="s">
        <v>7</v>
      </c>
      <c r="H4964" t="s">
        <v>8</v>
      </c>
      <c r="I4964" s="3">
        <v>1591</v>
      </c>
      <c r="J4964" s="3">
        <v>1591</v>
      </c>
      <c r="K4964" s="3">
        <v>421</v>
      </c>
      <c r="L4964" t="s">
        <v>98</v>
      </c>
      <c r="M4964">
        <v>14</v>
      </c>
      <c r="N4964" t="s">
        <v>87</v>
      </c>
      <c r="O4964" t="s">
        <v>81</v>
      </c>
      <c r="P4964" t="s">
        <v>18</v>
      </c>
      <c r="Q4964" t="s">
        <v>19</v>
      </c>
      <c r="R4964" t="s">
        <v>138</v>
      </c>
      <c r="S4964" t="s">
        <v>144</v>
      </c>
      <c r="T4964" s="2">
        <f>MASTER[[#This Row],[CANTIDAD]]*MASTER[[#This Row],[PRECIO DE VENTA]]</f>
        <v>1591</v>
      </c>
      <c r="U4964" s="2">
        <f>MASTER[[#This Row],[CANTIDAD]]*MASTER[[#This Row],[COSTO UNITARIO]]</f>
        <v>421</v>
      </c>
      <c r="V4964" s="2">
        <f>MASTER[[#This Row],[MONTO VENDIDO]]-MASTER[[#This Row],[COSTO DE VENTA]]</f>
        <v>1170</v>
      </c>
    </row>
    <row r="4965" spans="1:22" x14ac:dyDescent="0.3">
      <c r="A4965">
        <v>71313</v>
      </c>
      <c r="B4965">
        <v>1</v>
      </c>
      <c r="C4965" t="s">
        <v>116</v>
      </c>
      <c r="D4965" t="s">
        <v>117</v>
      </c>
      <c r="E4965" s="1">
        <v>44378</v>
      </c>
      <c r="F4965">
        <v>1</v>
      </c>
      <c r="G4965" t="s">
        <v>47</v>
      </c>
      <c r="H4965" t="s">
        <v>48</v>
      </c>
      <c r="I4965" s="3">
        <v>1999</v>
      </c>
      <c r="J4965" s="3">
        <v>1999</v>
      </c>
      <c r="K4965" s="3">
        <v>388</v>
      </c>
      <c r="L4965" t="s">
        <v>113</v>
      </c>
      <c r="M4965">
        <v>1</v>
      </c>
      <c r="N4965" t="s">
        <v>77</v>
      </c>
      <c r="O4965" t="s">
        <v>70</v>
      </c>
      <c r="P4965" t="s">
        <v>71</v>
      </c>
      <c r="Q4965" t="s">
        <v>72</v>
      </c>
      <c r="R4965" t="s">
        <v>139</v>
      </c>
      <c r="S4965" t="s">
        <v>144</v>
      </c>
      <c r="T4965" s="2">
        <f>MASTER[[#This Row],[CANTIDAD]]*MASTER[[#This Row],[PRECIO DE VENTA]]</f>
        <v>1999</v>
      </c>
      <c r="U4965" s="2">
        <f>MASTER[[#This Row],[CANTIDAD]]*MASTER[[#This Row],[COSTO UNITARIO]]</f>
        <v>388</v>
      </c>
      <c r="V4965" s="2">
        <f>MASTER[[#This Row],[MONTO VENDIDO]]-MASTER[[#This Row],[COSTO DE VENTA]]</f>
        <v>1611</v>
      </c>
    </row>
    <row r="4966" spans="1:22" x14ac:dyDescent="0.3">
      <c r="A4966">
        <v>71317</v>
      </c>
      <c r="B4966">
        <v>1</v>
      </c>
      <c r="C4966" t="s">
        <v>107</v>
      </c>
      <c r="D4966" t="s">
        <v>108</v>
      </c>
      <c r="E4966" s="1">
        <v>44378</v>
      </c>
      <c r="F4966">
        <v>1</v>
      </c>
      <c r="G4966" t="s">
        <v>57</v>
      </c>
      <c r="H4966" t="s">
        <v>58</v>
      </c>
      <c r="I4966" s="3">
        <v>1440</v>
      </c>
      <c r="J4966" s="3">
        <v>1440</v>
      </c>
      <c r="K4966" s="3">
        <v>380</v>
      </c>
      <c r="L4966" t="s">
        <v>98</v>
      </c>
      <c r="M4966">
        <v>18</v>
      </c>
      <c r="N4966" t="s">
        <v>79</v>
      </c>
      <c r="O4966" t="s">
        <v>70</v>
      </c>
      <c r="P4966" t="s">
        <v>15</v>
      </c>
      <c r="Q4966" t="s">
        <v>16</v>
      </c>
      <c r="R4966" t="s">
        <v>16</v>
      </c>
      <c r="S4966" t="s">
        <v>144</v>
      </c>
      <c r="T4966" s="2">
        <f>MASTER[[#This Row],[CANTIDAD]]*MASTER[[#This Row],[PRECIO DE VENTA]]</f>
        <v>1440</v>
      </c>
      <c r="U4966" s="2">
        <f>MASTER[[#This Row],[CANTIDAD]]*MASTER[[#This Row],[COSTO UNITARIO]]</f>
        <v>380</v>
      </c>
      <c r="V4966" s="2">
        <f>MASTER[[#This Row],[MONTO VENDIDO]]-MASTER[[#This Row],[COSTO DE VENTA]]</f>
        <v>1060</v>
      </c>
    </row>
    <row r="4967" spans="1:22" x14ac:dyDescent="0.3">
      <c r="A4967">
        <v>71336</v>
      </c>
      <c r="B4967">
        <v>1</v>
      </c>
      <c r="C4967" t="s">
        <v>111</v>
      </c>
      <c r="D4967" t="s">
        <v>112</v>
      </c>
      <c r="E4967" s="1">
        <v>44378</v>
      </c>
      <c r="F4967">
        <v>1</v>
      </c>
      <c r="G4967" t="s">
        <v>61</v>
      </c>
      <c r="H4967" t="s">
        <v>62</v>
      </c>
      <c r="I4967" s="3">
        <v>1524</v>
      </c>
      <c r="J4967" s="3">
        <v>1524</v>
      </c>
      <c r="K4967" s="3">
        <v>434</v>
      </c>
      <c r="L4967" t="s">
        <v>113</v>
      </c>
      <c r="M4967">
        <v>16</v>
      </c>
      <c r="N4967" t="s">
        <v>17</v>
      </c>
      <c r="O4967" t="s">
        <v>11</v>
      </c>
      <c r="P4967" t="s">
        <v>18</v>
      </c>
      <c r="Q4967" t="s">
        <v>19</v>
      </c>
      <c r="R4967" t="s">
        <v>138</v>
      </c>
      <c r="S4967" t="s">
        <v>144</v>
      </c>
      <c r="T4967" s="2">
        <f>MASTER[[#This Row],[CANTIDAD]]*MASTER[[#This Row],[PRECIO DE VENTA]]</f>
        <v>1524</v>
      </c>
      <c r="U4967" s="2">
        <f>MASTER[[#This Row],[CANTIDAD]]*MASTER[[#This Row],[COSTO UNITARIO]]</f>
        <v>434</v>
      </c>
      <c r="V4967" s="2">
        <f>MASTER[[#This Row],[MONTO VENDIDO]]-MASTER[[#This Row],[COSTO DE VENTA]]</f>
        <v>1090</v>
      </c>
    </row>
    <row r="4968" spans="1:22" x14ac:dyDescent="0.3">
      <c r="A4968">
        <v>71337</v>
      </c>
      <c r="B4968">
        <v>1</v>
      </c>
      <c r="C4968" t="s">
        <v>118</v>
      </c>
      <c r="D4968" t="s">
        <v>119</v>
      </c>
      <c r="E4968" s="1">
        <v>44379</v>
      </c>
      <c r="F4968">
        <v>1</v>
      </c>
      <c r="G4968" t="s">
        <v>55</v>
      </c>
      <c r="H4968" t="s">
        <v>56</v>
      </c>
      <c r="I4968" s="3">
        <v>1026</v>
      </c>
      <c r="J4968" s="3">
        <v>1026</v>
      </c>
      <c r="K4968" s="3">
        <v>424</v>
      </c>
      <c r="L4968" t="s">
        <v>120</v>
      </c>
      <c r="M4968">
        <v>6</v>
      </c>
      <c r="N4968" t="s">
        <v>75</v>
      </c>
      <c r="O4968" t="s">
        <v>70</v>
      </c>
      <c r="P4968" t="s">
        <v>12</v>
      </c>
      <c r="Q4968" t="s">
        <v>13</v>
      </c>
      <c r="R4968" t="s">
        <v>13</v>
      </c>
      <c r="S4968" t="s">
        <v>144</v>
      </c>
      <c r="T4968" s="2">
        <f>MASTER[[#This Row],[CANTIDAD]]*MASTER[[#This Row],[PRECIO DE VENTA]]</f>
        <v>1026</v>
      </c>
      <c r="U4968" s="2">
        <f>MASTER[[#This Row],[CANTIDAD]]*MASTER[[#This Row],[COSTO UNITARIO]]</f>
        <v>424</v>
      </c>
      <c r="V4968" s="2">
        <f>MASTER[[#This Row],[MONTO VENDIDO]]-MASTER[[#This Row],[COSTO DE VENTA]]</f>
        <v>602</v>
      </c>
    </row>
    <row r="4969" spans="1:22" x14ac:dyDescent="0.3">
      <c r="A4969">
        <v>71366</v>
      </c>
      <c r="B4969">
        <v>1</v>
      </c>
      <c r="C4969" t="s">
        <v>114</v>
      </c>
      <c r="D4969" t="s">
        <v>115</v>
      </c>
      <c r="E4969" s="1">
        <v>44379</v>
      </c>
      <c r="F4969">
        <v>1</v>
      </c>
      <c r="G4969" t="s">
        <v>39</v>
      </c>
      <c r="H4969" t="s">
        <v>40</v>
      </c>
      <c r="I4969" s="3">
        <v>2030</v>
      </c>
      <c r="J4969" s="3">
        <v>2030</v>
      </c>
      <c r="K4969" s="3">
        <v>394</v>
      </c>
      <c r="L4969" t="s">
        <v>113</v>
      </c>
      <c r="M4969">
        <v>9</v>
      </c>
      <c r="N4969" t="s">
        <v>76</v>
      </c>
      <c r="O4969" t="s">
        <v>70</v>
      </c>
      <c r="P4969" t="s">
        <v>12</v>
      </c>
      <c r="Q4969" t="s">
        <v>13</v>
      </c>
      <c r="R4969" t="s">
        <v>13</v>
      </c>
      <c r="S4969" t="s">
        <v>144</v>
      </c>
      <c r="T4969" s="2">
        <f>MASTER[[#This Row],[CANTIDAD]]*MASTER[[#This Row],[PRECIO DE VENTA]]</f>
        <v>2030</v>
      </c>
      <c r="U4969" s="2">
        <f>MASTER[[#This Row],[CANTIDAD]]*MASTER[[#This Row],[COSTO UNITARIO]]</f>
        <v>394</v>
      </c>
      <c r="V4969" s="2">
        <f>MASTER[[#This Row],[MONTO VENDIDO]]-MASTER[[#This Row],[COSTO DE VENTA]]</f>
        <v>1636</v>
      </c>
    </row>
    <row r="4970" spans="1:22" x14ac:dyDescent="0.3">
      <c r="A4970">
        <v>71386</v>
      </c>
      <c r="B4970">
        <v>1</v>
      </c>
      <c r="C4970" t="s">
        <v>114</v>
      </c>
      <c r="D4970" t="s">
        <v>115</v>
      </c>
      <c r="E4970" s="1">
        <v>44379</v>
      </c>
      <c r="F4970">
        <v>1</v>
      </c>
      <c r="G4970" t="s">
        <v>65</v>
      </c>
      <c r="H4970" t="s">
        <v>66</v>
      </c>
      <c r="I4970" s="3">
        <v>2030</v>
      </c>
      <c r="J4970" s="3">
        <v>2030</v>
      </c>
      <c r="K4970" s="3">
        <v>394</v>
      </c>
      <c r="L4970" t="s">
        <v>113</v>
      </c>
      <c r="M4970">
        <v>3</v>
      </c>
      <c r="N4970" t="s">
        <v>69</v>
      </c>
      <c r="O4970" t="s">
        <v>70</v>
      </c>
      <c r="P4970" t="s">
        <v>71</v>
      </c>
      <c r="Q4970" t="s">
        <v>72</v>
      </c>
      <c r="R4970" t="s">
        <v>139</v>
      </c>
      <c r="S4970" t="s">
        <v>144</v>
      </c>
      <c r="T4970" s="2">
        <f>MASTER[[#This Row],[CANTIDAD]]*MASTER[[#This Row],[PRECIO DE VENTA]]</f>
        <v>2030</v>
      </c>
      <c r="U4970" s="2">
        <f>MASTER[[#This Row],[CANTIDAD]]*MASTER[[#This Row],[COSTO UNITARIO]]</f>
        <v>394</v>
      </c>
      <c r="V4970" s="2">
        <f>MASTER[[#This Row],[MONTO VENDIDO]]-MASTER[[#This Row],[COSTO DE VENTA]]</f>
        <v>1636</v>
      </c>
    </row>
    <row r="4971" spans="1:22" x14ac:dyDescent="0.3">
      <c r="A4971">
        <v>71387</v>
      </c>
      <c r="B4971">
        <v>1</v>
      </c>
      <c r="C4971" t="s">
        <v>96</v>
      </c>
      <c r="D4971" t="s">
        <v>97</v>
      </c>
      <c r="E4971" s="1">
        <v>44379</v>
      </c>
      <c r="F4971">
        <v>1</v>
      </c>
      <c r="G4971" t="s">
        <v>29</v>
      </c>
      <c r="H4971" t="s">
        <v>30</v>
      </c>
      <c r="I4971" s="3">
        <v>1361</v>
      </c>
      <c r="J4971" s="3">
        <v>1361</v>
      </c>
      <c r="K4971" s="3">
        <v>397</v>
      </c>
      <c r="L4971" t="s">
        <v>98</v>
      </c>
      <c r="M4971">
        <v>1</v>
      </c>
      <c r="N4971" t="s">
        <v>77</v>
      </c>
      <c r="O4971" t="s">
        <v>70</v>
      </c>
      <c r="P4971" t="s">
        <v>71</v>
      </c>
      <c r="Q4971" t="s">
        <v>72</v>
      </c>
      <c r="R4971" t="s">
        <v>139</v>
      </c>
      <c r="S4971" t="s">
        <v>144</v>
      </c>
      <c r="T4971" s="2">
        <f>MASTER[[#This Row],[CANTIDAD]]*MASTER[[#This Row],[PRECIO DE VENTA]]</f>
        <v>1361</v>
      </c>
      <c r="U4971" s="2">
        <f>MASTER[[#This Row],[CANTIDAD]]*MASTER[[#This Row],[COSTO UNITARIO]]</f>
        <v>397</v>
      </c>
      <c r="V4971" s="2">
        <f>MASTER[[#This Row],[MONTO VENDIDO]]-MASTER[[#This Row],[COSTO DE VENTA]]</f>
        <v>964</v>
      </c>
    </row>
    <row r="4972" spans="1:22" x14ac:dyDescent="0.3">
      <c r="A4972">
        <v>71406</v>
      </c>
      <c r="B4972">
        <v>1</v>
      </c>
      <c r="C4972" t="s">
        <v>101</v>
      </c>
      <c r="D4972" t="s">
        <v>102</v>
      </c>
      <c r="E4972" s="1">
        <v>44379</v>
      </c>
      <c r="F4972">
        <v>1</v>
      </c>
      <c r="G4972" t="s">
        <v>33</v>
      </c>
      <c r="H4972" t="s">
        <v>34</v>
      </c>
      <c r="I4972" s="3">
        <v>1212</v>
      </c>
      <c r="J4972" s="3">
        <v>1212</v>
      </c>
      <c r="K4972" s="3">
        <v>442</v>
      </c>
      <c r="L4972" t="s">
        <v>98</v>
      </c>
      <c r="M4972">
        <v>5</v>
      </c>
      <c r="N4972" t="s">
        <v>85</v>
      </c>
      <c r="O4972" t="s">
        <v>81</v>
      </c>
      <c r="P4972" t="s">
        <v>12</v>
      </c>
      <c r="Q4972" t="s">
        <v>13</v>
      </c>
      <c r="R4972" t="s">
        <v>13</v>
      </c>
      <c r="S4972" t="s">
        <v>144</v>
      </c>
      <c r="T4972" s="2">
        <f>MASTER[[#This Row],[CANTIDAD]]*MASTER[[#This Row],[PRECIO DE VENTA]]</f>
        <v>1212</v>
      </c>
      <c r="U4972" s="2">
        <f>MASTER[[#This Row],[CANTIDAD]]*MASTER[[#This Row],[COSTO UNITARIO]]</f>
        <v>442</v>
      </c>
      <c r="V4972" s="2">
        <f>MASTER[[#This Row],[MONTO VENDIDO]]-MASTER[[#This Row],[COSTO DE VENTA]]</f>
        <v>770</v>
      </c>
    </row>
    <row r="4973" spans="1:22" x14ac:dyDescent="0.3">
      <c r="A4973">
        <v>71408</v>
      </c>
      <c r="B4973">
        <v>1</v>
      </c>
      <c r="C4973" t="s">
        <v>101</v>
      </c>
      <c r="D4973" t="s">
        <v>102</v>
      </c>
      <c r="E4973" s="1">
        <v>44379</v>
      </c>
      <c r="F4973">
        <v>1</v>
      </c>
      <c r="G4973" t="s">
        <v>20</v>
      </c>
      <c r="H4973" t="s">
        <v>21</v>
      </c>
      <c r="I4973" s="3">
        <v>1212</v>
      </c>
      <c r="J4973" s="3">
        <v>1127</v>
      </c>
      <c r="K4973" s="3">
        <v>442</v>
      </c>
      <c r="L4973" t="s">
        <v>98</v>
      </c>
      <c r="M4973">
        <v>8</v>
      </c>
      <c r="N4973" t="s">
        <v>80</v>
      </c>
      <c r="O4973" t="s">
        <v>81</v>
      </c>
      <c r="P4973" t="s">
        <v>12</v>
      </c>
      <c r="Q4973" t="s">
        <v>13</v>
      </c>
      <c r="R4973" t="s">
        <v>13</v>
      </c>
      <c r="S4973" t="s">
        <v>144</v>
      </c>
      <c r="T4973" s="2">
        <f>MASTER[[#This Row],[CANTIDAD]]*MASTER[[#This Row],[PRECIO DE VENTA]]</f>
        <v>1127</v>
      </c>
      <c r="U4973" s="2">
        <f>MASTER[[#This Row],[CANTIDAD]]*MASTER[[#This Row],[COSTO UNITARIO]]</f>
        <v>442</v>
      </c>
      <c r="V4973" s="2">
        <f>MASTER[[#This Row],[MONTO VENDIDO]]-MASTER[[#This Row],[COSTO DE VENTA]]</f>
        <v>685</v>
      </c>
    </row>
    <row r="4974" spans="1:22" x14ac:dyDescent="0.3">
      <c r="A4974">
        <v>71408</v>
      </c>
      <c r="B4974">
        <v>2</v>
      </c>
      <c r="C4974" t="s">
        <v>121</v>
      </c>
      <c r="D4974" t="s">
        <v>122</v>
      </c>
      <c r="E4974" s="1">
        <v>44379</v>
      </c>
      <c r="F4974">
        <v>1</v>
      </c>
      <c r="G4974" t="s">
        <v>43</v>
      </c>
      <c r="H4974" t="s">
        <v>44</v>
      </c>
      <c r="I4974" s="3">
        <v>1069</v>
      </c>
      <c r="J4974" s="3">
        <v>1069</v>
      </c>
      <c r="K4974" s="3">
        <v>460</v>
      </c>
      <c r="L4974" t="s">
        <v>120</v>
      </c>
      <c r="M4974">
        <v>8</v>
      </c>
      <c r="N4974" t="s">
        <v>80</v>
      </c>
      <c r="O4974" t="s">
        <v>81</v>
      </c>
      <c r="P4974" t="s">
        <v>12</v>
      </c>
      <c r="Q4974" t="s">
        <v>13</v>
      </c>
      <c r="R4974" t="s">
        <v>13</v>
      </c>
      <c r="S4974" t="s">
        <v>144</v>
      </c>
      <c r="T4974" s="2">
        <f>MASTER[[#This Row],[CANTIDAD]]*MASTER[[#This Row],[PRECIO DE VENTA]]</f>
        <v>1069</v>
      </c>
      <c r="U4974" s="2">
        <f>MASTER[[#This Row],[CANTIDAD]]*MASTER[[#This Row],[COSTO UNITARIO]]</f>
        <v>460</v>
      </c>
      <c r="V4974" s="2">
        <f>MASTER[[#This Row],[MONTO VENDIDO]]-MASTER[[#This Row],[COSTO DE VENTA]]</f>
        <v>609</v>
      </c>
    </row>
    <row r="4975" spans="1:22" x14ac:dyDescent="0.3">
      <c r="A4975">
        <v>71431</v>
      </c>
      <c r="B4975">
        <v>1</v>
      </c>
      <c r="C4975" t="s">
        <v>90</v>
      </c>
      <c r="D4975" t="s">
        <v>91</v>
      </c>
      <c r="E4975" s="1">
        <v>44379</v>
      </c>
      <c r="F4975">
        <v>1</v>
      </c>
      <c r="G4975" t="s">
        <v>45</v>
      </c>
      <c r="H4975" t="s">
        <v>46</v>
      </c>
      <c r="I4975" s="3">
        <v>1844</v>
      </c>
      <c r="J4975" s="3">
        <v>1751</v>
      </c>
      <c r="K4975" s="3">
        <v>420</v>
      </c>
      <c r="L4975" t="s">
        <v>9</v>
      </c>
      <c r="M4975">
        <v>19</v>
      </c>
      <c r="N4975" t="s">
        <v>89</v>
      </c>
      <c r="O4975" t="s">
        <v>81</v>
      </c>
      <c r="P4975" t="s">
        <v>15</v>
      </c>
      <c r="Q4975" t="s">
        <v>16</v>
      </c>
      <c r="R4975" t="s">
        <v>16</v>
      </c>
      <c r="S4975" t="s">
        <v>144</v>
      </c>
      <c r="T4975" s="2">
        <f>MASTER[[#This Row],[CANTIDAD]]*MASTER[[#This Row],[PRECIO DE VENTA]]</f>
        <v>1751</v>
      </c>
      <c r="U4975" s="2">
        <f>MASTER[[#This Row],[CANTIDAD]]*MASTER[[#This Row],[COSTO UNITARIO]]</f>
        <v>420</v>
      </c>
      <c r="V4975" s="2">
        <f>MASTER[[#This Row],[MONTO VENDIDO]]-MASTER[[#This Row],[COSTO DE VENTA]]</f>
        <v>1331</v>
      </c>
    </row>
    <row r="4976" spans="1:22" x14ac:dyDescent="0.3">
      <c r="A4976">
        <v>71441</v>
      </c>
      <c r="B4976">
        <v>1</v>
      </c>
      <c r="C4976" t="s">
        <v>109</v>
      </c>
      <c r="D4976" t="s">
        <v>110</v>
      </c>
      <c r="E4976" s="1">
        <v>44379</v>
      </c>
      <c r="F4976">
        <v>1</v>
      </c>
      <c r="G4976" t="s">
        <v>43</v>
      </c>
      <c r="H4976" t="s">
        <v>44</v>
      </c>
      <c r="I4976" s="3">
        <v>1064</v>
      </c>
      <c r="J4976" s="3">
        <v>1064</v>
      </c>
      <c r="K4976" s="3">
        <v>387</v>
      </c>
      <c r="L4976" t="s">
        <v>98</v>
      </c>
      <c r="M4976">
        <v>10</v>
      </c>
      <c r="N4976" t="s">
        <v>83</v>
      </c>
      <c r="O4976" t="s">
        <v>81</v>
      </c>
      <c r="P4976" t="s">
        <v>12</v>
      </c>
      <c r="Q4976" t="s">
        <v>13</v>
      </c>
      <c r="R4976" t="s">
        <v>13</v>
      </c>
      <c r="S4976" t="s">
        <v>144</v>
      </c>
      <c r="T4976" s="2">
        <f>MASTER[[#This Row],[CANTIDAD]]*MASTER[[#This Row],[PRECIO DE VENTA]]</f>
        <v>1064</v>
      </c>
      <c r="U4976" s="2">
        <f>MASTER[[#This Row],[CANTIDAD]]*MASTER[[#This Row],[COSTO UNITARIO]]</f>
        <v>387</v>
      </c>
      <c r="V4976" s="2">
        <f>MASTER[[#This Row],[MONTO VENDIDO]]-MASTER[[#This Row],[COSTO DE VENTA]]</f>
        <v>677</v>
      </c>
    </row>
    <row r="4977" spans="1:22" x14ac:dyDescent="0.3">
      <c r="A4977">
        <v>71448</v>
      </c>
      <c r="B4977">
        <v>1</v>
      </c>
      <c r="C4977" t="s">
        <v>99</v>
      </c>
      <c r="D4977" t="s">
        <v>100</v>
      </c>
      <c r="E4977" s="1">
        <v>44379</v>
      </c>
      <c r="F4977">
        <v>1</v>
      </c>
      <c r="G4977" t="s">
        <v>73</v>
      </c>
      <c r="H4977" t="s">
        <v>74</v>
      </c>
      <c r="I4977" s="3">
        <v>1459</v>
      </c>
      <c r="J4977" s="3">
        <v>1459</v>
      </c>
      <c r="K4977" s="3">
        <v>386</v>
      </c>
      <c r="L4977" t="s">
        <v>98</v>
      </c>
      <c r="M4977">
        <v>5</v>
      </c>
      <c r="N4977" t="s">
        <v>85</v>
      </c>
      <c r="O4977" t="s">
        <v>81</v>
      </c>
      <c r="P4977" t="s">
        <v>12</v>
      </c>
      <c r="Q4977" t="s">
        <v>13</v>
      </c>
      <c r="R4977" t="s">
        <v>13</v>
      </c>
      <c r="S4977" t="s">
        <v>144</v>
      </c>
      <c r="T4977" s="2">
        <f>MASTER[[#This Row],[CANTIDAD]]*MASTER[[#This Row],[PRECIO DE VENTA]]</f>
        <v>1459</v>
      </c>
      <c r="U4977" s="2">
        <f>MASTER[[#This Row],[CANTIDAD]]*MASTER[[#This Row],[COSTO UNITARIO]]</f>
        <v>386</v>
      </c>
      <c r="V4977" s="2">
        <f>MASTER[[#This Row],[MONTO VENDIDO]]-MASTER[[#This Row],[COSTO DE VENTA]]</f>
        <v>1073</v>
      </c>
    </row>
    <row r="4978" spans="1:22" x14ac:dyDescent="0.3">
      <c r="A4978">
        <v>71454</v>
      </c>
      <c r="B4978">
        <v>1</v>
      </c>
      <c r="C4978" t="s">
        <v>92</v>
      </c>
      <c r="D4978" t="s">
        <v>93</v>
      </c>
      <c r="E4978" s="1">
        <v>44379</v>
      </c>
      <c r="F4978">
        <v>1</v>
      </c>
      <c r="G4978" t="s">
        <v>59</v>
      </c>
      <c r="H4978" t="s">
        <v>60</v>
      </c>
      <c r="I4978" s="3">
        <v>1866</v>
      </c>
      <c r="J4978" s="3">
        <v>1698</v>
      </c>
      <c r="K4978" s="3">
        <v>396</v>
      </c>
      <c r="L4978" t="s">
        <v>9</v>
      </c>
      <c r="M4978">
        <v>6</v>
      </c>
      <c r="N4978" t="s">
        <v>75</v>
      </c>
      <c r="O4978" t="s">
        <v>70</v>
      </c>
      <c r="P4978" t="s">
        <v>12</v>
      </c>
      <c r="Q4978" t="s">
        <v>13</v>
      </c>
      <c r="R4978" t="s">
        <v>13</v>
      </c>
      <c r="S4978" t="s">
        <v>144</v>
      </c>
      <c r="T4978" s="2">
        <f>MASTER[[#This Row],[CANTIDAD]]*MASTER[[#This Row],[PRECIO DE VENTA]]</f>
        <v>1698</v>
      </c>
      <c r="U4978" s="2">
        <f>MASTER[[#This Row],[CANTIDAD]]*MASTER[[#This Row],[COSTO UNITARIO]]</f>
        <v>396</v>
      </c>
      <c r="V4978" s="2">
        <f>MASTER[[#This Row],[MONTO VENDIDO]]-MASTER[[#This Row],[COSTO DE VENTA]]</f>
        <v>1302</v>
      </c>
    </row>
    <row r="4979" spans="1:22" x14ac:dyDescent="0.3">
      <c r="A4979">
        <v>71455</v>
      </c>
      <c r="B4979">
        <v>1</v>
      </c>
      <c r="C4979" t="s">
        <v>96</v>
      </c>
      <c r="D4979" t="s">
        <v>97</v>
      </c>
      <c r="E4979" s="1">
        <v>44379</v>
      </c>
      <c r="F4979">
        <v>1</v>
      </c>
      <c r="G4979" t="s">
        <v>43</v>
      </c>
      <c r="H4979" t="s">
        <v>44</v>
      </c>
      <c r="I4979" s="3">
        <v>1361</v>
      </c>
      <c r="J4979" s="3">
        <v>1361</v>
      </c>
      <c r="K4979" s="3">
        <v>397</v>
      </c>
      <c r="L4979" t="s">
        <v>98</v>
      </c>
      <c r="M4979">
        <v>13</v>
      </c>
      <c r="N4979" t="s">
        <v>78</v>
      </c>
      <c r="O4979" t="s">
        <v>70</v>
      </c>
      <c r="P4979" t="s">
        <v>18</v>
      </c>
      <c r="Q4979" t="s">
        <v>19</v>
      </c>
      <c r="R4979" t="s">
        <v>138</v>
      </c>
      <c r="S4979" t="s">
        <v>144</v>
      </c>
      <c r="T4979" s="2">
        <f>MASTER[[#This Row],[CANTIDAD]]*MASTER[[#This Row],[PRECIO DE VENTA]]</f>
        <v>1361</v>
      </c>
      <c r="U4979" s="2">
        <f>MASTER[[#This Row],[CANTIDAD]]*MASTER[[#This Row],[COSTO UNITARIO]]</f>
        <v>397</v>
      </c>
      <c r="V4979" s="2">
        <f>MASTER[[#This Row],[MONTO VENDIDO]]-MASTER[[#This Row],[COSTO DE VENTA]]</f>
        <v>964</v>
      </c>
    </row>
    <row r="4980" spans="1:22" x14ac:dyDescent="0.3">
      <c r="A4980">
        <v>71457</v>
      </c>
      <c r="B4980">
        <v>1</v>
      </c>
      <c r="C4980" t="s">
        <v>121</v>
      </c>
      <c r="D4980" t="s">
        <v>122</v>
      </c>
      <c r="E4980" s="1">
        <v>44380</v>
      </c>
      <c r="F4980">
        <v>1</v>
      </c>
      <c r="G4980" t="s">
        <v>63</v>
      </c>
      <c r="H4980" t="s">
        <v>64</v>
      </c>
      <c r="I4980" s="3">
        <v>1069</v>
      </c>
      <c r="J4980" s="3">
        <v>1069</v>
      </c>
      <c r="K4980" s="3">
        <v>460</v>
      </c>
      <c r="L4980" t="s">
        <v>120</v>
      </c>
      <c r="M4980">
        <v>14</v>
      </c>
      <c r="N4980" t="s">
        <v>87</v>
      </c>
      <c r="O4980" t="s">
        <v>81</v>
      </c>
      <c r="P4980" t="s">
        <v>18</v>
      </c>
      <c r="Q4980" t="s">
        <v>19</v>
      </c>
      <c r="R4980" t="s">
        <v>138</v>
      </c>
      <c r="S4980" t="s">
        <v>144</v>
      </c>
      <c r="T4980" s="2">
        <f>MASTER[[#This Row],[CANTIDAD]]*MASTER[[#This Row],[PRECIO DE VENTA]]</f>
        <v>1069</v>
      </c>
      <c r="U4980" s="2">
        <f>MASTER[[#This Row],[CANTIDAD]]*MASTER[[#This Row],[COSTO UNITARIO]]</f>
        <v>460</v>
      </c>
      <c r="V4980" s="2">
        <f>MASTER[[#This Row],[MONTO VENDIDO]]-MASTER[[#This Row],[COSTO DE VENTA]]</f>
        <v>609</v>
      </c>
    </row>
    <row r="4981" spans="1:22" x14ac:dyDescent="0.3">
      <c r="A4981">
        <v>71460</v>
      </c>
      <c r="B4981">
        <v>1</v>
      </c>
      <c r="C4981" t="s">
        <v>103</v>
      </c>
      <c r="D4981" t="s">
        <v>104</v>
      </c>
      <c r="E4981" s="1">
        <v>44380</v>
      </c>
      <c r="F4981">
        <v>1</v>
      </c>
      <c r="G4981" t="s">
        <v>33</v>
      </c>
      <c r="H4981" t="s">
        <v>34</v>
      </c>
      <c r="I4981" s="3">
        <v>1591</v>
      </c>
      <c r="J4981" s="3">
        <v>1591</v>
      </c>
      <c r="K4981" s="3">
        <v>421</v>
      </c>
      <c r="L4981" t="s">
        <v>98</v>
      </c>
      <c r="M4981">
        <v>15</v>
      </c>
      <c r="N4981" t="s">
        <v>88</v>
      </c>
      <c r="O4981" t="s">
        <v>81</v>
      </c>
      <c r="P4981" t="s">
        <v>18</v>
      </c>
      <c r="Q4981" t="s">
        <v>19</v>
      </c>
      <c r="R4981" t="s">
        <v>138</v>
      </c>
      <c r="S4981" t="s">
        <v>144</v>
      </c>
      <c r="T4981" s="2">
        <f>MASTER[[#This Row],[CANTIDAD]]*MASTER[[#This Row],[PRECIO DE VENTA]]</f>
        <v>1591</v>
      </c>
      <c r="U4981" s="2">
        <f>MASTER[[#This Row],[CANTIDAD]]*MASTER[[#This Row],[COSTO UNITARIO]]</f>
        <v>421</v>
      </c>
      <c r="V4981" s="2">
        <f>MASTER[[#This Row],[MONTO VENDIDO]]-MASTER[[#This Row],[COSTO DE VENTA]]</f>
        <v>1170</v>
      </c>
    </row>
    <row r="4982" spans="1:22" x14ac:dyDescent="0.3">
      <c r="A4982">
        <v>71469</v>
      </c>
      <c r="B4982">
        <v>1</v>
      </c>
      <c r="C4982" t="s">
        <v>105</v>
      </c>
      <c r="D4982" t="s">
        <v>106</v>
      </c>
      <c r="E4982" s="1">
        <v>44380</v>
      </c>
      <c r="F4982">
        <v>4</v>
      </c>
      <c r="G4982" t="s">
        <v>35</v>
      </c>
      <c r="H4982" t="s">
        <v>36</v>
      </c>
      <c r="I4982" s="3">
        <v>1865</v>
      </c>
      <c r="J4982" s="3">
        <v>1865</v>
      </c>
      <c r="K4982" s="3">
        <v>459</v>
      </c>
      <c r="L4982" t="s">
        <v>98</v>
      </c>
      <c r="M4982">
        <v>4</v>
      </c>
      <c r="N4982" t="s">
        <v>82</v>
      </c>
      <c r="O4982" t="s">
        <v>81</v>
      </c>
      <c r="P4982" t="s">
        <v>71</v>
      </c>
      <c r="Q4982" t="s">
        <v>72</v>
      </c>
      <c r="R4982" t="s">
        <v>139</v>
      </c>
      <c r="S4982" t="s">
        <v>144</v>
      </c>
      <c r="T4982" s="2">
        <f>MASTER[[#This Row],[CANTIDAD]]*MASTER[[#This Row],[PRECIO DE VENTA]]</f>
        <v>7460</v>
      </c>
      <c r="U4982" s="2">
        <f>MASTER[[#This Row],[CANTIDAD]]*MASTER[[#This Row],[COSTO UNITARIO]]</f>
        <v>1836</v>
      </c>
      <c r="V4982" s="2">
        <f>MASTER[[#This Row],[MONTO VENDIDO]]-MASTER[[#This Row],[COSTO DE VENTA]]</f>
        <v>5624</v>
      </c>
    </row>
    <row r="4983" spans="1:22" x14ac:dyDescent="0.3">
      <c r="A4983">
        <v>71486</v>
      </c>
      <c r="B4983">
        <v>1</v>
      </c>
      <c r="C4983" t="s">
        <v>107</v>
      </c>
      <c r="D4983" t="s">
        <v>108</v>
      </c>
      <c r="E4983" s="1">
        <v>44380</v>
      </c>
      <c r="F4983">
        <v>1</v>
      </c>
      <c r="G4983" t="s">
        <v>22</v>
      </c>
      <c r="H4983" t="s">
        <v>23</v>
      </c>
      <c r="I4983" s="3">
        <v>1333</v>
      </c>
      <c r="J4983" s="3">
        <v>1333</v>
      </c>
      <c r="K4983" s="3">
        <v>380</v>
      </c>
      <c r="L4983" t="s">
        <v>98</v>
      </c>
      <c r="M4983">
        <v>5</v>
      </c>
      <c r="N4983" t="s">
        <v>85</v>
      </c>
      <c r="O4983" t="s">
        <v>81</v>
      </c>
      <c r="P4983" t="s">
        <v>12</v>
      </c>
      <c r="Q4983" t="s">
        <v>13</v>
      </c>
      <c r="R4983" t="s">
        <v>13</v>
      </c>
      <c r="S4983" t="s">
        <v>144</v>
      </c>
      <c r="T4983" s="2">
        <f>MASTER[[#This Row],[CANTIDAD]]*MASTER[[#This Row],[PRECIO DE VENTA]]</f>
        <v>1333</v>
      </c>
      <c r="U4983" s="2">
        <f>MASTER[[#This Row],[CANTIDAD]]*MASTER[[#This Row],[COSTO UNITARIO]]</f>
        <v>380</v>
      </c>
      <c r="V4983" s="2">
        <f>MASTER[[#This Row],[MONTO VENDIDO]]-MASTER[[#This Row],[COSTO DE VENTA]]</f>
        <v>953</v>
      </c>
    </row>
    <row r="4984" spans="1:22" x14ac:dyDescent="0.3">
      <c r="A4984">
        <v>71488</v>
      </c>
      <c r="B4984">
        <v>1</v>
      </c>
      <c r="C4984" t="s">
        <v>101</v>
      </c>
      <c r="D4984" t="s">
        <v>102</v>
      </c>
      <c r="E4984" s="1">
        <v>44380</v>
      </c>
      <c r="F4984">
        <v>1</v>
      </c>
      <c r="G4984" t="s">
        <v>47</v>
      </c>
      <c r="H4984" t="s">
        <v>48</v>
      </c>
      <c r="I4984" s="3">
        <v>1212</v>
      </c>
      <c r="J4984" s="3">
        <v>1212</v>
      </c>
      <c r="K4984" s="3">
        <v>442</v>
      </c>
      <c r="L4984" t="s">
        <v>98</v>
      </c>
      <c r="M4984">
        <v>19</v>
      </c>
      <c r="N4984" t="s">
        <v>89</v>
      </c>
      <c r="O4984" t="s">
        <v>81</v>
      </c>
      <c r="P4984" t="s">
        <v>15</v>
      </c>
      <c r="Q4984" t="s">
        <v>16</v>
      </c>
      <c r="R4984" t="s">
        <v>16</v>
      </c>
      <c r="S4984" t="s">
        <v>144</v>
      </c>
      <c r="T4984" s="2">
        <f>MASTER[[#This Row],[CANTIDAD]]*MASTER[[#This Row],[PRECIO DE VENTA]]</f>
        <v>1212</v>
      </c>
      <c r="U4984" s="2">
        <f>MASTER[[#This Row],[CANTIDAD]]*MASTER[[#This Row],[COSTO UNITARIO]]</f>
        <v>442</v>
      </c>
      <c r="V4984" s="2">
        <f>MASTER[[#This Row],[MONTO VENDIDO]]-MASTER[[#This Row],[COSTO DE VENTA]]</f>
        <v>770</v>
      </c>
    </row>
    <row r="4985" spans="1:22" x14ac:dyDescent="0.3">
      <c r="A4985">
        <v>71491</v>
      </c>
      <c r="B4985">
        <v>1</v>
      </c>
      <c r="C4985" t="s">
        <v>107</v>
      </c>
      <c r="D4985" t="s">
        <v>108</v>
      </c>
      <c r="E4985" s="1">
        <v>44380</v>
      </c>
      <c r="F4985">
        <v>1</v>
      </c>
      <c r="G4985" t="s">
        <v>65</v>
      </c>
      <c r="H4985" t="s">
        <v>66</v>
      </c>
      <c r="I4985" s="3">
        <v>1440</v>
      </c>
      <c r="J4985" s="3">
        <v>1440</v>
      </c>
      <c r="K4985" s="3">
        <v>380</v>
      </c>
      <c r="L4985" t="s">
        <v>98</v>
      </c>
      <c r="M4985">
        <v>9</v>
      </c>
      <c r="N4985" t="s">
        <v>76</v>
      </c>
      <c r="O4985" t="s">
        <v>70</v>
      </c>
      <c r="P4985" t="s">
        <v>12</v>
      </c>
      <c r="Q4985" t="s">
        <v>13</v>
      </c>
      <c r="R4985" t="s">
        <v>13</v>
      </c>
      <c r="S4985" t="s">
        <v>144</v>
      </c>
      <c r="T4985" s="2">
        <f>MASTER[[#This Row],[CANTIDAD]]*MASTER[[#This Row],[PRECIO DE VENTA]]</f>
        <v>1440</v>
      </c>
      <c r="U4985" s="2">
        <f>MASTER[[#This Row],[CANTIDAD]]*MASTER[[#This Row],[COSTO UNITARIO]]</f>
        <v>380</v>
      </c>
      <c r="V4985" s="2">
        <f>MASTER[[#This Row],[MONTO VENDIDO]]-MASTER[[#This Row],[COSTO DE VENTA]]</f>
        <v>1060</v>
      </c>
    </row>
    <row r="4986" spans="1:22" x14ac:dyDescent="0.3">
      <c r="A4986">
        <v>71511</v>
      </c>
      <c r="B4986">
        <v>1</v>
      </c>
      <c r="C4986" t="s">
        <v>5</v>
      </c>
      <c r="D4986" t="s">
        <v>6</v>
      </c>
      <c r="E4986" s="1">
        <v>44380</v>
      </c>
      <c r="F4986">
        <v>1</v>
      </c>
      <c r="G4986" t="s">
        <v>24</v>
      </c>
      <c r="H4986" t="s">
        <v>25</v>
      </c>
      <c r="I4986" s="3">
        <v>1507</v>
      </c>
      <c r="J4986" s="3">
        <v>1507</v>
      </c>
      <c r="K4986" s="3">
        <v>393</v>
      </c>
      <c r="L4986" t="s">
        <v>9</v>
      </c>
      <c r="M4986">
        <v>14</v>
      </c>
      <c r="N4986" t="s">
        <v>87</v>
      </c>
      <c r="O4986" t="s">
        <v>81</v>
      </c>
      <c r="P4986" t="s">
        <v>18</v>
      </c>
      <c r="Q4986" t="s">
        <v>19</v>
      </c>
      <c r="R4986" t="s">
        <v>138</v>
      </c>
      <c r="S4986" t="s">
        <v>144</v>
      </c>
      <c r="T4986" s="2">
        <f>MASTER[[#This Row],[CANTIDAD]]*MASTER[[#This Row],[PRECIO DE VENTA]]</f>
        <v>1507</v>
      </c>
      <c r="U4986" s="2">
        <f>MASTER[[#This Row],[CANTIDAD]]*MASTER[[#This Row],[COSTO UNITARIO]]</f>
        <v>393</v>
      </c>
      <c r="V4986" s="2">
        <f>MASTER[[#This Row],[MONTO VENDIDO]]-MASTER[[#This Row],[COSTO DE VENTA]]</f>
        <v>1114</v>
      </c>
    </row>
    <row r="4987" spans="1:22" x14ac:dyDescent="0.3">
      <c r="A4987">
        <v>71527</v>
      </c>
      <c r="B4987">
        <v>1</v>
      </c>
      <c r="C4987" t="s">
        <v>111</v>
      </c>
      <c r="D4987" t="s">
        <v>112</v>
      </c>
      <c r="E4987" s="1">
        <v>44380</v>
      </c>
      <c r="F4987">
        <v>1</v>
      </c>
      <c r="G4987" t="s">
        <v>31</v>
      </c>
      <c r="H4987" t="s">
        <v>32</v>
      </c>
      <c r="I4987" s="3">
        <v>1621</v>
      </c>
      <c r="J4987" s="3">
        <v>1621</v>
      </c>
      <c r="K4987" s="3">
        <v>434</v>
      </c>
      <c r="L4987" t="s">
        <v>113</v>
      </c>
      <c r="M4987">
        <v>8</v>
      </c>
      <c r="N4987" t="s">
        <v>80</v>
      </c>
      <c r="O4987" t="s">
        <v>81</v>
      </c>
      <c r="P4987" t="s">
        <v>12</v>
      </c>
      <c r="Q4987" t="s">
        <v>13</v>
      </c>
      <c r="R4987" t="s">
        <v>13</v>
      </c>
      <c r="S4987" t="s">
        <v>144</v>
      </c>
      <c r="T4987" s="2">
        <f>MASTER[[#This Row],[CANTIDAD]]*MASTER[[#This Row],[PRECIO DE VENTA]]</f>
        <v>1621</v>
      </c>
      <c r="U4987" s="2">
        <f>MASTER[[#This Row],[CANTIDAD]]*MASTER[[#This Row],[COSTO UNITARIO]]</f>
        <v>434</v>
      </c>
      <c r="V4987" s="2">
        <f>MASTER[[#This Row],[MONTO VENDIDO]]-MASTER[[#This Row],[COSTO DE VENTA]]</f>
        <v>1187</v>
      </c>
    </row>
    <row r="4988" spans="1:22" x14ac:dyDescent="0.3">
      <c r="A4988">
        <v>71545</v>
      </c>
      <c r="B4988">
        <v>1</v>
      </c>
      <c r="C4988" t="s">
        <v>101</v>
      </c>
      <c r="D4988" t="s">
        <v>102</v>
      </c>
      <c r="E4988" s="1">
        <v>44380</v>
      </c>
      <c r="F4988">
        <v>1</v>
      </c>
      <c r="G4988" t="s">
        <v>67</v>
      </c>
      <c r="H4988" t="s">
        <v>68</v>
      </c>
      <c r="I4988" s="3">
        <v>1212</v>
      </c>
      <c r="J4988" s="3">
        <v>1212</v>
      </c>
      <c r="K4988" s="3">
        <v>442</v>
      </c>
      <c r="L4988" t="s">
        <v>98</v>
      </c>
      <c r="M4988">
        <v>8</v>
      </c>
      <c r="N4988" t="s">
        <v>80</v>
      </c>
      <c r="O4988" t="s">
        <v>81</v>
      </c>
      <c r="P4988" t="s">
        <v>12</v>
      </c>
      <c r="Q4988" t="s">
        <v>13</v>
      </c>
      <c r="R4988" t="s">
        <v>13</v>
      </c>
      <c r="S4988" t="s">
        <v>144</v>
      </c>
      <c r="T4988" s="2">
        <f>MASTER[[#This Row],[CANTIDAD]]*MASTER[[#This Row],[PRECIO DE VENTA]]</f>
        <v>1212</v>
      </c>
      <c r="U4988" s="2">
        <f>MASTER[[#This Row],[CANTIDAD]]*MASTER[[#This Row],[COSTO UNITARIO]]</f>
        <v>442</v>
      </c>
      <c r="V4988" s="2">
        <f>MASTER[[#This Row],[MONTO VENDIDO]]-MASTER[[#This Row],[COSTO DE VENTA]]</f>
        <v>770</v>
      </c>
    </row>
    <row r="4989" spans="1:22" x14ac:dyDescent="0.3">
      <c r="A4989">
        <v>71546</v>
      </c>
      <c r="B4989">
        <v>1</v>
      </c>
      <c r="C4989" t="s">
        <v>92</v>
      </c>
      <c r="D4989" t="s">
        <v>93</v>
      </c>
      <c r="E4989" s="1">
        <v>44380</v>
      </c>
      <c r="F4989">
        <v>1</v>
      </c>
      <c r="G4989" t="s">
        <v>67</v>
      </c>
      <c r="H4989" t="s">
        <v>68</v>
      </c>
      <c r="I4989" s="3">
        <v>1681</v>
      </c>
      <c r="J4989" s="3">
        <v>1681</v>
      </c>
      <c r="K4989" s="3">
        <v>396</v>
      </c>
      <c r="L4989" t="s">
        <v>9</v>
      </c>
      <c r="M4989">
        <v>15</v>
      </c>
      <c r="N4989" t="s">
        <v>88</v>
      </c>
      <c r="O4989" t="s">
        <v>81</v>
      </c>
      <c r="P4989" t="s">
        <v>18</v>
      </c>
      <c r="Q4989" t="s">
        <v>19</v>
      </c>
      <c r="R4989" t="s">
        <v>138</v>
      </c>
      <c r="S4989" t="s">
        <v>144</v>
      </c>
      <c r="T4989" s="2">
        <f>MASTER[[#This Row],[CANTIDAD]]*MASTER[[#This Row],[PRECIO DE VENTA]]</f>
        <v>1681</v>
      </c>
      <c r="U4989" s="2">
        <f>MASTER[[#This Row],[CANTIDAD]]*MASTER[[#This Row],[COSTO UNITARIO]]</f>
        <v>396</v>
      </c>
      <c r="V4989" s="2">
        <f>MASTER[[#This Row],[MONTO VENDIDO]]-MASTER[[#This Row],[COSTO DE VENTA]]</f>
        <v>1285</v>
      </c>
    </row>
    <row r="4990" spans="1:22" x14ac:dyDescent="0.3">
      <c r="A4990">
        <v>71550</v>
      </c>
      <c r="B4990">
        <v>1</v>
      </c>
      <c r="C4990" t="s">
        <v>101</v>
      </c>
      <c r="D4990" t="s">
        <v>102</v>
      </c>
      <c r="E4990" s="1">
        <v>44380</v>
      </c>
      <c r="F4990">
        <v>1</v>
      </c>
      <c r="G4990" t="s">
        <v>39</v>
      </c>
      <c r="H4990" t="s">
        <v>40</v>
      </c>
      <c r="I4990" s="3">
        <v>1212</v>
      </c>
      <c r="J4990" s="3">
        <v>1212</v>
      </c>
      <c r="K4990" s="3">
        <v>442</v>
      </c>
      <c r="L4990" t="s">
        <v>98</v>
      </c>
      <c r="M4990">
        <v>19</v>
      </c>
      <c r="N4990" t="s">
        <v>89</v>
      </c>
      <c r="O4990" t="s">
        <v>81</v>
      </c>
      <c r="P4990" t="s">
        <v>15</v>
      </c>
      <c r="Q4990" t="s">
        <v>16</v>
      </c>
      <c r="R4990" t="s">
        <v>16</v>
      </c>
      <c r="S4990" t="s">
        <v>144</v>
      </c>
      <c r="T4990" s="2">
        <f>MASTER[[#This Row],[CANTIDAD]]*MASTER[[#This Row],[PRECIO DE VENTA]]</f>
        <v>1212</v>
      </c>
      <c r="U4990" s="2">
        <f>MASTER[[#This Row],[CANTIDAD]]*MASTER[[#This Row],[COSTO UNITARIO]]</f>
        <v>442</v>
      </c>
      <c r="V4990" s="2">
        <f>MASTER[[#This Row],[MONTO VENDIDO]]-MASTER[[#This Row],[COSTO DE VENTA]]</f>
        <v>770</v>
      </c>
    </row>
    <row r="4991" spans="1:22" x14ac:dyDescent="0.3">
      <c r="A4991">
        <v>71559</v>
      </c>
      <c r="B4991">
        <v>1</v>
      </c>
      <c r="C4991" t="s">
        <v>103</v>
      </c>
      <c r="D4991" t="s">
        <v>104</v>
      </c>
      <c r="E4991" s="1">
        <v>44380</v>
      </c>
      <c r="F4991">
        <v>1</v>
      </c>
      <c r="G4991" t="s">
        <v>67</v>
      </c>
      <c r="H4991" t="s">
        <v>68</v>
      </c>
      <c r="I4991" s="3">
        <v>1591</v>
      </c>
      <c r="J4991" s="3">
        <v>1591</v>
      </c>
      <c r="K4991" s="3">
        <v>421</v>
      </c>
      <c r="L4991" t="s">
        <v>98</v>
      </c>
      <c r="M4991">
        <v>2</v>
      </c>
      <c r="N4991" t="s">
        <v>86</v>
      </c>
      <c r="O4991" t="s">
        <v>81</v>
      </c>
      <c r="P4991" t="s">
        <v>71</v>
      </c>
      <c r="Q4991" t="s">
        <v>72</v>
      </c>
      <c r="R4991" t="s">
        <v>139</v>
      </c>
      <c r="S4991" t="s">
        <v>144</v>
      </c>
      <c r="T4991" s="2">
        <f>MASTER[[#This Row],[CANTIDAD]]*MASTER[[#This Row],[PRECIO DE VENTA]]</f>
        <v>1591</v>
      </c>
      <c r="U4991" s="2">
        <f>MASTER[[#This Row],[CANTIDAD]]*MASTER[[#This Row],[COSTO UNITARIO]]</f>
        <v>421</v>
      </c>
      <c r="V4991" s="2">
        <f>MASTER[[#This Row],[MONTO VENDIDO]]-MASTER[[#This Row],[COSTO DE VENTA]]</f>
        <v>1170</v>
      </c>
    </row>
    <row r="4992" spans="1:22" x14ac:dyDescent="0.3">
      <c r="A4992">
        <v>71565</v>
      </c>
      <c r="B4992">
        <v>1</v>
      </c>
      <c r="C4992" t="s">
        <v>5</v>
      </c>
      <c r="D4992" t="s">
        <v>6</v>
      </c>
      <c r="E4992" s="1">
        <v>44381</v>
      </c>
      <c r="F4992">
        <v>1</v>
      </c>
      <c r="G4992" t="s">
        <v>59</v>
      </c>
      <c r="H4992" t="s">
        <v>60</v>
      </c>
      <c r="I4992" s="3">
        <v>1311</v>
      </c>
      <c r="J4992" s="3">
        <v>1311</v>
      </c>
      <c r="K4992" s="3">
        <v>393</v>
      </c>
      <c r="L4992" t="s">
        <v>9</v>
      </c>
      <c r="M4992">
        <v>17</v>
      </c>
      <c r="N4992" t="s">
        <v>14</v>
      </c>
      <c r="O4992" t="s">
        <v>11</v>
      </c>
      <c r="P4992" t="s">
        <v>15</v>
      </c>
      <c r="Q4992" t="s">
        <v>16</v>
      </c>
      <c r="R4992" t="s">
        <v>16</v>
      </c>
      <c r="S4992" t="s">
        <v>144</v>
      </c>
      <c r="T4992" s="2">
        <f>MASTER[[#This Row],[CANTIDAD]]*MASTER[[#This Row],[PRECIO DE VENTA]]</f>
        <v>1311</v>
      </c>
      <c r="U4992" s="2">
        <f>MASTER[[#This Row],[CANTIDAD]]*MASTER[[#This Row],[COSTO UNITARIO]]</f>
        <v>393</v>
      </c>
      <c r="V4992" s="2">
        <f>MASTER[[#This Row],[MONTO VENDIDO]]-MASTER[[#This Row],[COSTO DE VENTA]]</f>
        <v>918</v>
      </c>
    </row>
    <row r="4993" spans="1:22" x14ac:dyDescent="0.3">
      <c r="A4993">
        <v>71578</v>
      </c>
      <c r="B4993">
        <v>1</v>
      </c>
      <c r="C4993" t="s">
        <v>114</v>
      </c>
      <c r="D4993" t="s">
        <v>115</v>
      </c>
      <c r="E4993" s="1">
        <v>44381</v>
      </c>
      <c r="F4993">
        <v>1</v>
      </c>
      <c r="G4993" t="s">
        <v>37</v>
      </c>
      <c r="H4993" t="s">
        <v>38</v>
      </c>
      <c r="I4993" s="3">
        <v>1862</v>
      </c>
      <c r="J4993" s="3">
        <v>1862</v>
      </c>
      <c r="K4993" s="3">
        <v>394</v>
      </c>
      <c r="L4993" t="s">
        <v>113</v>
      </c>
      <c r="M4993">
        <v>10</v>
      </c>
      <c r="N4993" t="s">
        <v>83</v>
      </c>
      <c r="O4993" t="s">
        <v>81</v>
      </c>
      <c r="P4993" t="s">
        <v>12</v>
      </c>
      <c r="Q4993" t="s">
        <v>13</v>
      </c>
      <c r="R4993" t="s">
        <v>13</v>
      </c>
      <c r="S4993" t="s">
        <v>144</v>
      </c>
      <c r="T4993" s="2">
        <f>MASTER[[#This Row],[CANTIDAD]]*MASTER[[#This Row],[PRECIO DE VENTA]]</f>
        <v>1862</v>
      </c>
      <c r="U4993" s="2">
        <f>MASTER[[#This Row],[CANTIDAD]]*MASTER[[#This Row],[COSTO UNITARIO]]</f>
        <v>394</v>
      </c>
      <c r="V4993" s="2">
        <f>MASTER[[#This Row],[MONTO VENDIDO]]-MASTER[[#This Row],[COSTO DE VENTA]]</f>
        <v>1468</v>
      </c>
    </row>
    <row r="4994" spans="1:22" x14ac:dyDescent="0.3">
      <c r="A4994">
        <v>71579</v>
      </c>
      <c r="B4994">
        <v>1</v>
      </c>
      <c r="C4994" t="s">
        <v>96</v>
      </c>
      <c r="D4994" t="s">
        <v>97</v>
      </c>
      <c r="E4994" s="1">
        <v>44381</v>
      </c>
      <c r="F4994">
        <v>1</v>
      </c>
      <c r="G4994" t="s">
        <v>33</v>
      </c>
      <c r="H4994" t="s">
        <v>34</v>
      </c>
      <c r="I4994" s="3">
        <v>1361</v>
      </c>
      <c r="J4994" s="3">
        <v>1361</v>
      </c>
      <c r="K4994" s="3">
        <v>397</v>
      </c>
      <c r="L4994" t="s">
        <v>98</v>
      </c>
      <c r="M4994">
        <v>6</v>
      </c>
      <c r="N4994" t="s">
        <v>75</v>
      </c>
      <c r="O4994" t="s">
        <v>70</v>
      </c>
      <c r="P4994" t="s">
        <v>12</v>
      </c>
      <c r="Q4994" t="s">
        <v>13</v>
      </c>
      <c r="R4994" t="s">
        <v>13</v>
      </c>
      <c r="S4994" t="s">
        <v>144</v>
      </c>
      <c r="T4994" s="2">
        <f>MASTER[[#This Row],[CANTIDAD]]*MASTER[[#This Row],[PRECIO DE VENTA]]</f>
        <v>1361</v>
      </c>
      <c r="U4994" s="2">
        <f>MASTER[[#This Row],[CANTIDAD]]*MASTER[[#This Row],[COSTO UNITARIO]]</f>
        <v>397</v>
      </c>
      <c r="V4994" s="2">
        <f>MASTER[[#This Row],[MONTO VENDIDO]]-MASTER[[#This Row],[COSTO DE VENTA]]</f>
        <v>964</v>
      </c>
    </row>
    <row r="4995" spans="1:22" x14ac:dyDescent="0.3">
      <c r="A4995">
        <v>71580</v>
      </c>
      <c r="B4995">
        <v>1</v>
      </c>
      <c r="C4995" t="s">
        <v>109</v>
      </c>
      <c r="D4995" t="s">
        <v>110</v>
      </c>
      <c r="E4995" s="1">
        <v>44381</v>
      </c>
      <c r="F4995">
        <v>1</v>
      </c>
      <c r="G4995" t="s">
        <v>39</v>
      </c>
      <c r="H4995" t="s">
        <v>40</v>
      </c>
      <c r="I4995" s="3">
        <v>1128</v>
      </c>
      <c r="J4995" s="3">
        <v>1128</v>
      </c>
      <c r="K4995" s="3">
        <v>387</v>
      </c>
      <c r="L4995" t="s">
        <v>98</v>
      </c>
      <c r="M4995">
        <v>6</v>
      </c>
      <c r="N4995" t="s">
        <v>75</v>
      </c>
      <c r="O4995" t="s">
        <v>70</v>
      </c>
      <c r="P4995" t="s">
        <v>12</v>
      </c>
      <c r="Q4995" t="s">
        <v>13</v>
      </c>
      <c r="R4995" t="s">
        <v>13</v>
      </c>
      <c r="S4995" t="s">
        <v>144</v>
      </c>
      <c r="T4995" s="2">
        <f>MASTER[[#This Row],[CANTIDAD]]*MASTER[[#This Row],[PRECIO DE VENTA]]</f>
        <v>1128</v>
      </c>
      <c r="U4995" s="2">
        <f>MASTER[[#This Row],[CANTIDAD]]*MASTER[[#This Row],[COSTO UNITARIO]]</f>
        <v>387</v>
      </c>
      <c r="V4995" s="2">
        <f>MASTER[[#This Row],[MONTO VENDIDO]]-MASTER[[#This Row],[COSTO DE VENTA]]</f>
        <v>741</v>
      </c>
    </row>
    <row r="4996" spans="1:22" x14ac:dyDescent="0.3">
      <c r="A4996">
        <v>71582</v>
      </c>
      <c r="B4996">
        <v>1</v>
      </c>
      <c r="C4996" t="s">
        <v>5</v>
      </c>
      <c r="D4996" t="s">
        <v>6</v>
      </c>
      <c r="E4996" s="1">
        <v>44381</v>
      </c>
      <c r="F4996">
        <v>1</v>
      </c>
      <c r="G4996" t="s">
        <v>35</v>
      </c>
      <c r="H4996" t="s">
        <v>36</v>
      </c>
      <c r="I4996" s="3">
        <v>1507</v>
      </c>
      <c r="J4996" s="3">
        <v>1507</v>
      </c>
      <c r="K4996" s="3">
        <v>393</v>
      </c>
      <c r="L4996" t="s">
        <v>9</v>
      </c>
      <c r="M4996">
        <v>15</v>
      </c>
      <c r="N4996" t="s">
        <v>88</v>
      </c>
      <c r="O4996" t="s">
        <v>81</v>
      </c>
      <c r="P4996" t="s">
        <v>18</v>
      </c>
      <c r="Q4996" t="s">
        <v>19</v>
      </c>
      <c r="R4996" t="s">
        <v>138</v>
      </c>
      <c r="S4996" t="s">
        <v>144</v>
      </c>
      <c r="T4996" s="2">
        <f>MASTER[[#This Row],[CANTIDAD]]*MASTER[[#This Row],[PRECIO DE VENTA]]</f>
        <v>1507</v>
      </c>
      <c r="U4996" s="2">
        <f>MASTER[[#This Row],[CANTIDAD]]*MASTER[[#This Row],[COSTO UNITARIO]]</f>
        <v>393</v>
      </c>
      <c r="V4996" s="2">
        <f>MASTER[[#This Row],[MONTO VENDIDO]]-MASTER[[#This Row],[COSTO DE VENTA]]</f>
        <v>1114</v>
      </c>
    </row>
    <row r="4997" spans="1:22" x14ac:dyDescent="0.3">
      <c r="A4997">
        <v>71594</v>
      </c>
      <c r="B4997">
        <v>1</v>
      </c>
      <c r="C4997" t="s">
        <v>121</v>
      </c>
      <c r="D4997" t="s">
        <v>122</v>
      </c>
      <c r="E4997" s="1">
        <v>44381</v>
      </c>
      <c r="F4997">
        <v>1</v>
      </c>
      <c r="G4997" t="s">
        <v>37</v>
      </c>
      <c r="H4997" t="s">
        <v>38</v>
      </c>
      <c r="I4997" s="3">
        <v>1069</v>
      </c>
      <c r="J4997" s="3">
        <v>1069</v>
      </c>
      <c r="K4997" s="3">
        <v>460</v>
      </c>
      <c r="L4997" t="s">
        <v>120</v>
      </c>
      <c r="M4997">
        <v>4</v>
      </c>
      <c r="N4997" t="s">
        <v>82</v>
      </c>
      <c r="O4997" t="s">
        <v>81</v>
      </c>
      <c r="P4997" t="s">
        <v>71</v>
      </c>
      <c r="Q4997" t="s">
        <v>72</v>
      </c>
      <c r="R4997" t="s">
        <v>139</v>
      </c>
      <c r="S4997" t="s">
        <v>144</v>
      </c>
      <c r="T4997" s="2">
        <f>MASTER[[#This Row],[CANTIDAD]]*MASTER[[#This Row],[PRECIO DE VENTA]]</f>
        <v>1069</v>
      </c>
      <c r="U4997" s="2">
        <f>MASTER[[#This Row],[CANTIDAD]]*MASTER[[#This Row],[COSTO UNITARIO]]</f>
        <v>460</v>
      </c>
      <c r="V4997" s="2">
        <f>MASTER[[#This Row],[MONTO VENDIDO]]-MASTER[[#This Row],[COSTO DE VENTA]]</f>
        <v>609</v>
      </c>
    </row>
    <row r="4998" spans="1:22" x14ac:dyDescent="0.3">
      <c r="A4998">
        <v>71597</v>
      </c>
      <c r="B4998">
        <v>1</v>
      </c>
      <c r="C4998" t="s">
        <v>109</v>
      </c>
      <c r="D4998" t="s">
        <v>110</v>
      </c>
      <c r="E4998" s="1">
        <v>44381</v>
      </c>
      <c r="F4998">
        <v>1</v>
      </c>
      <c r="G4998" t="s">
        <v>27</v>
      </c>
      <c r="H4998" t="s">
        <v>28</v>
      </c>
      <c r="I4998" s="3">
        <v>1064</v>
      </c>
      <c r="J4998" s="3">
        <v>1064</v>
      </c>
      <c r="K4998" s="3">
        <v>387</v>
      </c>
      <c r="L4998" t="s">
        <v>98</v>
      </c>
      <c r="M4998">
        <v>10</v>
      </c>
      <c r="N4998" t="s">
        <v>83</v>
      </c>
      <c r="O4998" t="s">
        <v>81</v>
      </c>
      <c r="P4998" t="s">
        <v>12</v>
      </c>
      <c r="Q4998" t="s">
        <v>13</v>
      </c>
      <c r="R4998" t="s">
        <v>13</v>
      </c>
      <c r="S4998" t="s">
        <v>144</v>
      </c>
      <c r="T4998" s="2">
        <f>MASTER[[#This Row],[CANTIDAD]]*MASTER[[#This Row],[PRECIO DE VENTA]]</f>
        <v>1064</v>
      </c>
      <c r="U4998" s="2">
        <f>MASTER[[#This Row],[CANTIDAD]]*MASTER[[#This Row],[COSTO UNITARIO]]</f>
        <v>387</v>
      </c>
      <c r="V4998" s="2">
        <f>MASTER[[#This Row],[MONTO VENDIDO]]-MASTER[[#This Row],[COSTO DE VENTA]]</f>
        <v>677</v>
      </c>
    </row>
    <row r="4999" spans="1:22" x14ac:dyDescent="0.3">
      <c r="A4999">
        <v>71603</v>
      </c>
      <c r="B4999">
        <v>1</v>
      </c>
      <c r="C4999" t="s">
        <v>90</v>
      </c>
      <c r="D4999" t="s">
        <v>91</v>
      </c>
      <c r="E4999" s="1">
        <v>44381</v>
      </c>
      <c r="F4999">
        <v>1</v>
      </c>
      <c r="G4999" t="s">
        <v>63</v>
      </c>
      <c r="H4999" t="s">
        <v>64</v>
      </c>
      <c r="I4999" s="3">
        <v>1844</v>
      </c>
      <c r="J4999" s="3">
        <v>1844</v>
      </c>
      <c r="K4999" s="3">
        <v>420</v>
      </c>
      <c r="L4999" t="s">
        <v>9</v>
      </c>
      <c r="M4999">
        <v>14</v>
      </c>
      <c r="N4999" t="s">
        <v>87</v>
      </c>
      <c r="O4999" t="s">
        <v>81</v>
      </c>
      <c r="P4999" t="s">
        <v>18</v>
      </c>
      <c r="Q4999" t="s">
        <v>19</v>
      </c>
      <c r="R4999" t="s">
        <v>138</v>
      </c>
      <c r="S4999" t="s">
        <v>144</v>
      </c>
      <c r="T4999" s="2">
        <f>MASTER[[#This Row],[CANTIDAD]]*MASTER[[#This Row],[PRECIO DE VENTA]]</f>
        <v>1844</v>
      </c>
      <c r="U4999" s="2">
        <f>MASTER[[#This Row],[CANTIDAD]]*MASTER[[#This Row],[COSTO UNITARIO]]</f>
        <v>420</v>
      </c>
      <c r="V4999" s="2">
        <f>MASTER[[#This Row],[MONTO VENDIDO]]-MASTER[[#This Row],[COSTO DE VENTA]]</f>
        <v>1424</v>
      </c>
    </row>
    <row r="5000" spans="1:22" x14ac:dyDescent="0.3">
      <c r="A5000">
        <v>71626</v>
      </c>
      <c r="B5000">
        <v>1</v>
      </c>
      <c r="C5000" t="s">
        <v>105</v>
      </c>
      <c r="D5000" t="s">
        <v>106</v>
      </c>
      <c r="E5000" s="1">
        <v>44381</v>
      </c>
      <c r="F5000">
        <v>1</v>
      </c>
      <c r="G5000" t="s">
        <v>33</v>
      </c>
      <c r="H5000" t="s">
        <v>34</v>
      </c>
      <c r="I5000" s="3">
        <v>1865</v>
      </c>
      <c r="J5000" s="3">
        <v>1865</v>
      </c>
      <c r="K5000" s="3">
        <v>459</v>
      </c>
      <c r="L5000" t="s">
        <v>98</v>
      </c>
      <c r="M5000">
        <v>14</v>
      </c>
      <c r="N5000" t="s">
        <v>87</v>
      </c>
      <c r="O5000" t="s">
        <v>81</v>
      </c>
      <c r="P5000" t="s">
        <v>18</v>
      </c>
      <c r="Q5000" t="s">
        <v>19</v>
      </c>
      <c r="R5000" t="s">
        <v>138</v>
      </c>
      <c r="S5000" t="s">
        <v>144</v>
      </c>
      <c r="T5000" s="2">
        <f>MASTER[[#This Row],[CANTIDAD]]*MASTER[[#This Row],[PRECIO DE VENTA]]</f>
        <v>1865</v>
      </c>
      <c r="U5000" s="2">
        <f>MASTER[[#This Row],[CANTIDAD]]*MASTER[[#This Row],[COSTO UNITARIO]]</f>
        <v>459</v>
      </c>
      <c r="V5000" s="2">
        <f>MASTER[[#This Row],[MONTO VENDIDO]]-MASTER[[#This Row],[COSTO DE VENTA]]</f>
        <v>1406</v>
      </c>
    </row>
    <row r="5001" spans="1:22" x14ac:dyDescent="0.3">
      <c r="A5001">
        <v>71630</v>
      </c>
      <c r="B5001">
        <v>1</v>
      </c>
      <c r="C5001" t="s">
        <v>105</v>
      </c>
      <c r="D5001" t="s">
        <v>106</v>
      </c>
      <c r="E5001" s="1">
        <v>44381</v>
      </c>
      <c r="F5001">
        <v>1</v>
      </c>
      <c r="G5001" t="s">
        <v>67</v>
      </c>
      <c r="H5001" t="s">
        <v>68</v>
      </c>
      <c r="I5001" s="3">
        <v>1585</v>
      </c>
      <c r="J5001" s="3">
        <v>1585</v>
      </c>
      <c r="K5001" s="3">
        <v>459</v>
      </c>
      <c r="L5001" t="s">
        <v>98</v>
      </c>
      <c r="M5001">
        <v>16</v>
      </c>
      <c r="N5001" t="s">
        <v>17</v>
      </c>
      <c r="O5001" t="s">
        <v>11</v>
      </c>
      <c r="P5001" t="s">
        <v>18</v>
      </c>
      <c r="Q5001" t="s">
        <v>19</v>
      </c>
      <c r="R5001" t="s">
        <v>138</v>
      </c>
      <c r="S5001" t="s">
        <v>144</v>
      </c>
      <c r="T5001" s="2">
        <f>MASTER[[#This Row],[CANTIDAD]]*MASTER[[#This Row],[PRECIO DE VENTA]]</f>
        <v>1585</v>
      </c>
      <c r="U5001" s="2">
        <f>MASTER[[#This Row],[CANTIDAD]]*MASTER[[#This Row],[COSTO UNITARIO]]</f>
        <v>459</v>
      </c>
      <c r="V5001" s="2">
        <f>MASTER[[#This Row],[MONTO VENDIDO]]-MASTER[[#This Row],[COSTO DE VENTA]]</f>
        <v>1126</v>
      </c>
    </row>
    <row r="5002" spans="1:22" x14ac:dyDescent="0.3">
      <c r="A5002">
        <v>71633</v>
      </c>
      <c r="B5002">
        <v>1</v>
      </c>
      <c r="C5002" t="s">
        <v>90</v>
      </c>
      <c r="D5002" t="s">
        <v>91</v>
      </c>
      <c r="E5002" s="1">
        <v>44381</v>
      </c>
      <c r="F5002">
        <v>1</v>
      </c>
      <c r="G5002" t="s">
        <v>61</v>
      </c>
      <c r="H5002" t="s">
        <v>62</v>
      </c>
      <c r="I5002" s="3">
        <v>1660</v>
      </c>
      <c r="J5002" s="3">
        <v>1660</v>
      </c>
      <c r="K5002" s="3">
        <v>420</v>
      </c>
      <c r="L5002" t="s">
        <v>9</v>
      </c>
      <c r="M5002">
        <v>17</v>
      </c>
      <c r="N5002" t="s">
        <v>14</v>
      </c>
      <c r="O5002" t="s">
        <v>11</v>
      </c>
      <c r="P5002" t="s">
        <v>15</v>
      </c>
      <c r="Q5002" t="s">
        <v>16</v>
      </c>
      <c r="R5002" t="s">
        <v>16</v>
      </c>
      <c r="S5002" t="s">
        <v>144</v>
      </c>
      <c r="T5002" s="2">
        <f>MASTER[[#This Row],[CANTIDAD]]*MASTER[[#This Row],[PRECIO DE VENTA]]</f>
        <v>1660</v>
      </c>
      <c r="U5002" s="2">
        <f>MASTER[[#This Row],[CANTIDAD]]*MASTER[[#This Row],[COSTO UNITARIO]]</f>
        <v>420</v>
      </c>
      <c r="V5002" s="2">
        <f>MASTER[[#This Row],[MONTO VENDIDO]]-MASTER[[#This Row],[COSTO DE VENTA]]</f>
        <v>1240</v>
      </c>
    </row>
    <row r="5003" spans="1:22" x14ac:dyDescent="0.3">
      <c r="A5003">
        <v>71659</v>
      </c>
      <c r="B5003">
        <v>1</v>
      </c>
      <c r="C5003" t="s">
        <v>111</v>
      </c>
      <c r="D5003" t="s">
        <v>112</v>
      </c>
      <c r="E5003" s="1">
        <v>44381</v>
      </c>
      <c r="F5003">
        <v>1</v>
      </c>
      <c r="G5003" t="s">
        <v>61</v>
      </c>
      <c r="H5003" t="s">
        <v>62</v>
      </c>
      <c r="I5003" s="3">
        <v>1621</v>
      </c>
      <c r="J5003" s="3">
        <v>1621</v>
      </c>
      <c r="K5003" s="3">
        <v>434</v>
      </c>
      <c r="L5003" t="s">
        <v>113</v>
      </c>
      <c r="M5003">
        <v>19</v>
      </c>
      <c r="N5003" t="s">
        <v>89</v>
      </c>
      <c r="O5003" t="s">
        <v>81</v>
      </c>
      <c r="P5003" t="s">
        <v>15</v>
      </c>
      <c r="Q5003" t="s">
        <v>16</v>
      </c>
      <c r="R5003" t="s">
        <v>16</v>
      </c>
      <c r="S5003" t="s">
        <v>144</v>
      </c>
      <c r="T5003" s="2">
        <f>MASTER[[#This Row],[CANTIDAD]]*MASTER[[#This Row],[PRECIO DE VENTA]]</f>
        <v>1621</v>
      </c>
      <c r="U5003" s="2">
        <f>MASTER[[#This Row],[CANTIDAD]]*MASTER[[#This Row],[COSTO UNITARIO]]</f>
        <v>434</v>
      </c>
      <c r="V5003" s="2">
        <f>MASTER[[#This Row],[MONTO VENDIDO]]-MASTER[[#This Row],[COSTO DE VENTA]]</f>
        <v>1187</v>
      </c>
    </row>
    <row r="5004" spans="1:22" x14ac:dyDescent="0.3">
      <c r="A5004">
        <v>71675</v>
      </c>
      <c r="B5004">
        <v>1</v>
      </c>
      <c r="C5004" t="s">
        <v>96</v>
      </c>
      <c r="D5004" t="s">
        <v>97</v>
      </c>
      <c r="E5004" s="1">
        <v>44381</v>
      </c>
      <c r="F5004">
        <v>1</v>
      </c>
      <c r="G5004" t="s">
        <v>67</v>
      </c>
      <c r="H5004" t="s">
        <v>68</v>
      </c>
      <c r="I5004" s="3">
        <v>1361</v>
      </c>
      <c r="J5004" s="3">
        <v>1361</v>
      </c>
      <c r="K5004" s="3">
        <v>397</v>
      </c>
      <c r="L5004" t="s">
        <v>98</v>
      </c>
      <c r="M5004">
        <v>6</v>
      </c>
      <c r="N5004" t="s">
        <v>75</v>
      </c>
      <c r="O5004" t="s">
        <v>70</v>
      </c>
      <c r="P5004" t="s">
        <v>12</v>
      </c>
      <c r="Q5004" t="s">
        <v>13</v>
      </c>
      <c r="R5004" t="s">
        <v>13</v>
      </c>
      <c r="S5004" t="s">
        <v>144</v>
      </c>
      <c r="T5004" s="2">
        <f>MASTER[[#This Row],[CANTIDAD]]*MASTER[[#This Row],[PRECIO DE VENTA]]</f>
        <v>1361</v>
      </c>
      <c r="U5004" s="2">
        <f>MASTER[[#This Row],[CANTIDAD]]*MASTER[[#This Row],[COSTO UNITARIO]]</f>
        <v>397</v>
      </c>
      <c r="V5004" s="2">
        <f>MASTER[[#This Row],[MONTO VENDIDO]]-MASTER[[#This Row],[COSTO DE VENTA]]</f>
        <v>964</v>
      </c>
    </row>
    <row r="5005" spans="1:22" x14ac:dyDescent="0.3">
      <c r="A5005">
        <v>71677</v>
      </c>
      <c r="B5005">
        <v>1</v>
      </c>
      <c r="C5005" t="s">
        <v>92</v>
      </c>
      <c r="D5005" t="s">
        <v>93</v>
      </c>
      <c r="E5005" s="1">
        <v>44381</v>
      </c>
      <c r="F5005">
        <v>1</v>
      </c>
      <c r="G5005" t="s">
        <v>39</v>
      </c>
      <c r="H5005" t="s">
        <v>40</v>
      </c>
      <c r="I5005" s="3">
        <v>1866</v>
      </c>
      <c r="J5005" s="3">
        <v>1866</v>
      </c>
      <c r="K5005" s="3">
        <v>396</v>
      </c>
      <c r="L5005" t="s">
        <v>9</v>
      </c>
      <c r="M5005">
        <v>13</v>
      </c>
      <c r="N5005" t="s">
        <v>78</v>
      </c>
      <c r="O5005" t="s">
        <v>70</v>
      </c>
      <c r="P5005" t="s">
        <v>18</v>
      </c>
      <c r="Q5005" t="s">
        <v>19</v>
      </c>
      <c r="R5005" t="s">
        <v>138</v>
      </c>
      <c r="S5005" t="s">
        <v>144</v>
      </c>
      <c r="T5005" s="2">
        <f>MASTER[[#This Row],[CANTIDAD]]*MASTER[[#This Row],[PRECIO DE VENTA]]</f>
        <v>1866</v>
      </c>
      <c r="U5005" s="2">
        <f>MASTER[[#This Row],[CANTIDAD]]*MASTER[[#This Row],[COSTO UNITARIO]]</f>
        <v>396</v>
      </c>
      <c r="V5005" s="2">
        <f>MASTER[[#This Row],[MONTO VENDIDO]]-MASTER[[#This Row],[COSTO DE VENTA]]</f>
        <v>1470</v>
      </c>
    </row>
    <row r="5006" spans="1:22" x14ac:dyDescent="0.3">
      <c r="A5006">
        <v>71712</v>
      </c>
      <c r="B5006">
        <v>1</v>
      </c>
      <c r="C5006" t="s">
        <v>103</v>
      </c>
      <c r="D5006" t="s">
        <v>104</v>
      </c>
      <c r="E5006" s="1">
        <v>44382</v>
      </c>
      <c r="F5006">
        <v>1</v>
      </c>
      <c r="G5006" t="s">
        <v>65</v>
      </c>
      <c r="H5006" t="s">
        <v>66</v>
      </c>
      <c r="I5006" s="3">
        <v>1448</v>
      </c>
      <c r="J5006" s="3">
        <v>1448</v>
      </c>
      <c r="K5006" s="3">
        <v>421</v>
      </c>
      <c r="L5006" t="s">
        <v>98</v>
      </c>
      <c r="M5006">
        <v>12</v>
      </c>
      <c r="N5006" t="s">
        <v>26</v>
      </c>
      <c r="O5006" t="s">
        <v>11</v>
      </c>
      <c r="P5006" t="s">
        <v>12</v>
      </c>
      <c r="Q5006" t="s">
        <v>13</v>
      </c>
      <c r="R5006" t="s">
        <v>13</v>
      </c>
      <c r="S5006" t="s">
        <v>144</v>
      </c>
      <c r="T5006" s="2">
        <f>MASTER[[#This Row],[CANTIDAD]]*MASTER[[#This Row],[PRECIO DE VENTA]]</f>
        <v>1448</v>
      </c>
      <c r="U5006" s="2">
        <f>MASTER[[#This Row],[CANTIDAD]]*MASTER[[#This Row],[COSTO UNITARIO]]</f>
        <v>421</v>
      </c>
      <c r="V5006" s="2">
        <f>MASTER[[#This Row],[MONTO VENDIDO]]-MASTER[[#This Row],[COSTO DE VENTA]]</f>
        <v>1027</v>
      </c>
    </row>
    <row r="5007" spans="1:22" x14ac:dyDescent="0.3">
      <c r="A5007">
        <v>71722</v>
      </c>
      <c r="B5007">
        <v>1</v>
      </c>
      <c r="C5007" t="s">
        <v>121</v>
      </c>
      <c r="D5007" t="s">
        <v>122</v>
      </c>
      <c r="E5007" s="1">
        <v>44382</v>
      </c>
      <c r="F5007">
        <v>1</v>
      </c>
      <c r="G5007" t="s">
        <v>31</v>
      </c>
      <c r="H5007" t="s">
        <v>32</v>
      </c>
      <c r="I5007" s="3">
        <v>941</v>
      </c>
      <c r="J5007" s="3">
        <v>941</v>
      </c>
      <c r="K5007" s="3">
        <v>460</v>
      </c>
      <c r="L5007" t="s">
        <v>120</v>
      </c>
      <c r="M5007">
        <v>11</v>
      </c>
      <c r="N5007" t="s">
        <v>10</v>
      </c>
      <c r="O5007" t="s">
        <v>11</v>
      </c>
      <c r="P5007" t="s">
        <v>12</v>
      </c>
      <c r="Q5007" t="s">
        <v>13</v>
      </c>
      <c r="R5007" t="s">
        <v>13</v>
      </c>
      <c r="S5007" t="s">
        <v>144</v>
      </c>
      <c r="T5007" s="2">
        <f>MASTER[[#This Row],[CANTIDAD]]*MASTER[[#This Row],[PRECIO DE VENTA]]</f>
        <v>941</v>
      </c>
      <c r="U5007" s="2">
        <f>MASTER[[#This Row],[CANTIDAD]]*MASTER[[#This Row],[COSTO UNITARIO]]</f>
        <v>460</v>
      </c>
      <c r="V5007" s="2">
        <f>MASTER[[#This Row],[MONTO VENDIDO]]-MASTER[[#This Row],[COSTO DE VENTA]]</f>
        <v>481</v>
      </c>
    </row>
    <row r="5008" spans="1:22" x14ac:dyDescent="0.3">
      <c r="A5008">
        <v>71736</v>
      </c>
      <c r="B5008">
        <v>1</v>
      </c>
      <c r="C5008" t="s">
        <v>116</v>
      </c>
      <c r="D5008" t="s">
        <v>117</v>
      </c>
      <c r="E5008" s="1">
        <v>44382</v>
      </c>
      <c r="F5008">
        <v>1</v>
      </c>
      <c r="G5008" t="s">
        <v>22</v>
      </c>
      <c r="H5008" t="s">
        <v>23</v>
      </c>
      <c r="I5008" s="3">
        <v>1529</v>
      </c>
      <c r="J5008" s="3">
        <v>1529</v>
      </c>
      <c r="K5008" s="3">
        <v>388</v>
      </c>
      <c r="L5008" t="s">
        <v>113</v>
      </c>
      <c r="M5008">
        <v>11</v>
      </c>
      <c r="N5008" t="s">
        <v>10</v>
      </c>
      <c r="O5008" t="s">
        <v>11</v>
      </c>
      <c r="P5008" t="s">
        <v>12</v>
      </c>
      <c r="Q5008" t="s">
        <v>13</v>
      </c>
      <c r="R5008" t="s">
        <v>13</v>
      </c>
      <c r="S5008" t="s">
        <v>144</v>
      </c>
      <c r="T5008" s="2">
        <f>MASTER[[#This Row],[CANTIDAD]]*MASTER[[#This Row],[PRECIO DE VENTA]]</f>
        <v>1529</v>
      </c>
      <c r="U5008" s="2">
        <f>MASTER[[#This Row],[CANTIDAD]]*MASTER[[#This Row],[COSTO UNITARIO]]</f>
        <v>388</v>
      </c>
      <c r="V5008" s="2">
        <f>MASTER[[#This Row],[MONTO VENDIDO]]-MASTER[[#This Row],[COSTO DE VENTA]]</f>
        <v>1141</v>
      </c>
    </row>
    <row r="5009" spans="1:22" x14ac:dyDescent="0.3">
      <c r="A5009">
        <v>71755</v>
      </c>
      <c r="B5009">
        <v>1</v>
      </c>
      <c r="C5009" t="s">
        <v>105</v>
      </c>
      <c r="D5009" t="s">
        <v>106</v>
      </c>
      <c r="E5009" s="1">
        <v>44382</v>
      </c>
      <c r="F5009">
        <v>1</v>
      </c>
      <c r="G5009" t="s">
        <v>51</v>
      </c>
      <c r="H5009" t="s">
        <v>52</v>
      </c>
      <c r="I5009" s="3">
        <v>1865</v>
      </c>
      <c r="J5009" s="3">
        <v>1865</v>
      </c>
      <c r="K5009" s="3">
        <v>459</v>
      </c>
      <c r="L5009" t="s">
        <v>98</v>
      </c>
      <c r="M5009">
        <v>14</v>
      </c>
      <c r="N5009" t="s">
        <v>87</v>
      </c>
      <c r="O5009" t="s">
        <v>81</v>
      </c>
      <c r="P5009" t="s">
        <v>18</v>
      </c>
      <c r="Q5009" t="s">
        <v>19</v>
      </c>
      <c r="R5009" t="s">
        <v>138</v>
      </c>
      <c r="S5009" t="s">
        <v>144</v>
      </c>
      <c r="T5009" s="2">
        <f>MASTER[[#This Row],[CANTIDAD]]*MASTER[[#This Row],[PRECIO DE VENTA]]</f>
        <v>1865</v>
      </c>
      <c r="U5009" s="2">
        <f>MASTER[[#This Row],[CANTIDAD]]*MASTER[[#This Row],[COSTO UNITARIO]]</f>
        <v>459</v>
      </c>
      <c r="V5009" s="2">
        <f>MASTER[[#This Row],[MONTO VENDIDO]]-MASTER[[#This Row],[COSTO DE VENTA]]</f>
        <v>1406</v>
      </c>
    </row>
    <row r="5010" spans="1:22" x14ac:dyDescent="0.3">
      <c r="A5010">
        <v>71761</v>
      </c>
      <c r="B5010">
        <v>1</v>
      </c>
      <c r="C5010" t="s">
        <v>94</v>
      </c>
      <c r="D5010" t="s">
        <v>95</v>
      </c>
      <c r="E5010" s="1">
        <v>44382</v>
      </c>
      <c r="F5010">
        <v>1</v>
      </c>
      <c r="G5010" t="s">
        <v>45</v>
      </c>
      <c r="H5010" t="s">
        <v>46</v>
      </c>
      <c r="I5010" s="3">
        <v>1153</v>
      </c>
      <c r="J5010" s="3">
        <v>1153</v>
      </c>
      <c r="K5010" s="3">
        <v>392</v>
      </c>
      <c r="L5010" t="s">
        <v>9</v>
      </c>
      <c r="M5010">
        <v>1</v>
      </c>
      <c r="N5010" t="s">
        <v>77</v>
      </c>
      <c r="O5010" t="s">
        <v>70</v>
      </c>
      <c r="P5010" t="s">
        <v>71</v>
      </c>
      <c r="Q5010" t="s">
        <v>72</v>
      </c>
      <c r="R5010" t="s">
        <v>139</v>
      </c>
      <c r="S5010" t="s">
        <v>144</v>
      </c>
      <c r="T5010" s="2">
        <f>MASTER[[#This Row],[CANTIDAD]]*MASTER[[#This Row],[PRECIO DE VENTA]]</f>
        <v>1153</v>
      </c>
      <c r="U5010" s="2">
        <f>MASTER[[#This Row],[CANTIDAD]]*MASTER[[#This Row],[COSTO UNITARIO]]</f>
        <v>392</v>
      </c>
      <c r="V5010" s="2">
        <f>MASTER[[#This Row],[MONTO VENDIDO]]-MASTER[[#This Row],[COSTO DE VENTA]]</f>
        <v>761</v>
      </c>
    </row>
    <row r="5011" spans="1:22" x14ac:dyDescent="0.3">
      <c r="A5011">
        <v>71776</v>
      </c>
      <c r="B5011">
        <v>1</v>
      </c>
      <c r="C5011" t="s">
        <v>114</v>
      </c>
      <c r="D5011" t="s">
        <v>115</v>
      </c>
      <c r="E5011" s="1">
        <v>44382</v>
      </c>
      <c r="F5011">
        <v>3</v>
      </c>
      <c r="G5011" t="s">
        <v>31</v>
      </c>
      <c r="H5011" t="s">
        <v>32</v>
      </c>
      <c r="I5011" s="3">
        <v>1862</v>
      </c>
      <c r="J5011" s="3">
        <v>1862</v>
      </c>
      <c r="K5011" s="3">
        <v>394</v>
      </c>
      <c r="L5011" t="s">
        <v>113</v>
      </c>
      <c r="M5011">
        <v>7</v>
      </c>
      <c r="N5011" t="s">
        <v>84</v>
      </c>
      <c r="O5011" t="s">
        <v>81</v>
      </c>
      <c r="P5011" t="s">
        <v>12</v>
      </c>
      <c r="Q5011" t="s">
        <v>13</v>
      </c>
      <c r="R5011" t="s">
        <v>13</v>
      </c>
      <c r="S5011" t="s">
        <v>144</v>
      </c>
      <c r="T5011" s="2">
        <f>MASTER[[#This Row],[CANTIDAD]]*MASTER[[#This Row],[PRECIO DE VENTA]]</f>
        <v>5586</v>
      </c>
      <c r="U5011" s="2">
        <f>MASTER[[#This Row],[CANTIDAD]]*MASTER[[#This Row],[COSTO UNITARIO]]</f>
        <v>1182</v>
      </c>
      <c r="V5011" s="2">
        <f>MASTER[[#This Row],[MONTO VENDIDO]]-MASTER[[#This Row],[COSTO DE VENTA]]</f>
        <v>4404</v>
      </c>
    </row>
    <row r="5012" spans="1:22" x14ac:dyDescent="0.3">
      <c r="A5012">
        <v>71778</v>
      </c>
      <c r="B5012">
        <v>2</v>
      </c>
      <c r="C5012" t="s">
        <v>105</v>
      </c>
      <c r="D5012" t="s">
        <v>106</v>
      </c>
      <c r="E5012" s="1">
        <v>44382</v>
      </c>
      <c r="F5012">
        <v>4</v>
      </c>
      <c r="G5012" t="s">
        <v>22</v>
      </c>
      <c r="H5012" t="s">
        <v>23</v>
      </c>
      <c r="I5012" s="3">
        <v>2033</v>
      </c>
      <c r="J5012" s="3">
        <v>2033</v>
      </c>
      <c r="K5012" s="3">
        <v>459</v>
      </c>
      <c r="L5012" t="s">
        <v>98</v>
      </c>
      <c r="M5012">
        <v>6</v>
      </c>
      <c r="N5012" t="s">
        <v>75</v>
      </c>
      <c r="O5012" t="s">
        <v>70</v>
      </c>
      <c r="P5012" t="s">
        <v>12</v>
      </c>
      <c r="Q5012" t="s">
        <v>13</v>
      </c>
      <c r="R5012" t="s">
        <v>13</v>
      </c>
      <c r="S5012" t="s">
        <v>144</v>
      </c>
      <c r="T5012" s="2">
        <f>MASTER[[#This Row],[CANTIDAD]]*MASTER[[#This Row],[PRECIO DE VENTA]]</f>
        <v>8132</v>
      </c>
      <c r="U5012" s="2">
        <f>MASTER[[#This Row],[CANTIDAD]]*MASTER[[#This Row],[COSTO UNITARIO]]</f>
        <v>1836</v>
      </c>
      <c r="V5012" s="2">
        <f>MASTER[[#This Row],[MONTO VENDIDO]]-MASTER[[#This Row],[COSTO DE VENTA]]</f>
        <v>6296</v>
      </c>
    </row>
    <row r="5013" spans="1:22" x14ac:dyDescent="0.3">
      <c r="A5013">
        <v>71778</v>
      </c>
      <c r="B5013">
        <v>1</v>
      </c>
      <c r="C5013" t="s">
        <v>111</v>
      </c>
      <c r="D5013" t="s">
        <v>112</v>
      </c>
      <c r="E5013" s="1">
        <v>44382</v>
      </c>
      <c r="F5013">
        <v>1</v>
      </c>
      <c r="G5013" t="s">
        <v>24</v>
      </c>
      <c r="H5013" t="s">
        <v>25</v>
      </c>
      <c r="I5013" s="3">
        <v>1799</v>
      </c>
      <c r="J5013" s="3">
        <v>1799</v>
      </c>
      <c r="K5013" s="3">
        <v>434</v>
      </c>
      <c r="L5013" t="s">
        <v>113</v>
      </c>
      <c r="M5013">
        <v>6</v>
      </c>
      <c r="N5013" t="s">
        <v>75</v>
      </c>
      <c r="O5013" t="s">
        <v>70</v>
      </c>
      <c r="P5013" t="s">
        <v>12</v>
      </c>
      <c r="Q5013" t="s">
        <v>13</v>
      </c>
      <c r="R5013" t="s">
        <v>13</v>
      </c>
      <c r="S5013" t="s">
        <v>144</v>
      </c>
      <c r="T5013" s="2">
        <f>MASTER[[#This Row],[CANTIDAD]]*MASTER[[#This Row],[PRECIO DE VENTA]]</f>
        <v>1799</v>
      </c>
      <c r="U5013" s="2">
        <f>MASTER[[#This Row],[CANTIDAD]]*MASTER[[#This Row],[COSTO UNITARIO]]</f>
        <v>434</v>
      </c>
      <c r="V5013" s="2">
        <f>MASTER[[#This Row],[MONTO VENDIDO]]-MASTER[[#This Row],[COSTO DE VENTA]]</f>
        <v>1365</v>
      </c>
    </row>
    <row r="5014" spans="1:22" x14ac:dyDescent="0.3">
      <c r="A5014">
        <v>71795</v>
      </c>
      <c r="B5014">
        <v>1</v>
      </c>
      <c r="C5014" t="s">
        <v>111</v>
      </c>
      <c r="D5014" t="s">
        <v>112</v>
      </c>
      <c r="E5014" s="1">
        <v>44382</v>
      </c>
      <c r="F5014">
        <v>1</v>
      </c>
      <c r="G5014" t="s">
        <v>61</v>
      </c>
      <c r="H5014" t="s">
        <v>62</v>
      </c>
      <c r="I5014" s="3">
        <v>1799</v>
      </c>
      <c r="J5014" s="3">
        <v>1799</v>
      </c>
      <c r="K5014" s="3">
        <v>434</v>
      </c>
      <c r="L5014" t="s">
        <v>113</v>
      </c>
      <c r="M5014">
        <v>1</v>
      </c>
      <c r="N5014" t="s">
        <v>77</v>
      </c>
      <c r="O5014" t="s">
        <v>70</v>
      </c>
      <c r="P5014" t="s">
        <v>71</v>
      </c>
      <c r="Q5014" t="s">
        <v>72</v>
      </c>
      <c r="R5014" t="s">
        <v>139</v>
      </c>
      <c r="S5014" t="s">
        <v>144</v>
      </c>
      <c r="T5014" s="2">
        <f>MASTER[[#This Row],[CANTIDAD]]*MASTER[[#This Row],[PRECIO DE VENTA]]</f>
        <v>1799</v>
      </c>
      <c r="U5014" s="2">
        <f>MASTER[[#This Row],[CANTIDAD]]*MASTER[[#This Row],[COSTO UNITARIO]]</f>
        <v>434</v>
      </c>
      <c r="V5014" s="2">
        <f>MASTER[[#This Row],[MONTO VENDIDO]]-MASTER[[#This Row],[COSTO DE VENTA]]</f>
        <v>1365</v>
      </c>
    </row>
    <row r="5015" spans="1:22" x14ac:dyDescent="0.3">
      <c r="A5015">
        <v>71796</v>
      </c>
      <c r="B5015">
        <v>1</v>
      </c>
      <c r="C5015" t="s">
        <v>121</v>
      </c>
      <c r="D5015" t="s">
        <v>122</v>
      </c>
      <c r="E5015" s="1">
        <v>44383</v>
      </c>
      <c r="F5015">
        <v>1</v>
      </c>
      <c r="G5015" t="s">
        <v>37</v>
      </c>
      <c r="H5015" t="s">
        <v>38</v>
      </c>
      <c r="I5015" s="3">
        <v>1144</v>
      </c>
      <c r="J5015" s="3">
        <v>1144</v>
      </c>
      <c r="K5015" s="3">
        <v>460</v>
      </c>
      <c r="L5015" t="s">
        <v>120</v>
      </c>
      <c r="M5015">
        <v>9</v>
      </c>
      <c r="N5015" t="s">
        <v>76</v>
      </c>
      <c r="O5015" t="s">
        <v>70</v>
      </c>
      <c r="P5015" t="s">
        <v>12</v>
      </c>
      <c r="Q5015" t="s">
        <v>13</v>
      </c>
      <c r="R5015" t="s">
        <v>13</v>
      </c>
      <c r="S5015" t="s">
        <v>144</v>
      </c>
      <c r="T5015" s="2">
        <f>MASTER[[#This Row],[CANTIDAD]]*MASTER[[#This Row],[PRECIO DE VENTA]]</f>
        <v>1144</v>
      </c>
      <c r="U5015" s="2">
        <f>MASTER[[#This Row],[CANTIDAD]]*MASTER[[#This Row],[COSTO UNITARIO]]</f>
        <v>460</v>
      </c>
      <c r="V5015" s="2">
        <f>MASTER[[#This Row],[MONTO VENDIDO]]-MASTER[[#This Row],[COSTO DE VENTA]]</f>
        <v>684</v>
      </c>
    </row>
    <row r="5016" spans="1:22" x14ac:dyDescent="0.3">
      <c r="A5016">
        <v>71807</v>
      </c>
      <c r="B5016">
        <v>1</v>
      </c>
      <c r="C5016" t="s">
        <v>118</v>
      </c>
      <c r="D5016" t="s">
        <v>119</v>
      </c>
      <c r="E5016" s="1">
        <v>44383</v>
      </c>
      <c r="F5016">
        <v>1</v>
      </c>
      <c r="G5016" t="s">
        <v>49</v>
      </c>
      <c r="H5016" t="s">
        <v>50</v>
      </c>
      <c r="I5016" s="3">
        <v>900</v>
      </c>
      <c r="J5016" s="3">
        <v>900</v>
      </c>
      <c r="K5016" s="3">
        <v>424</v>
      </c>
      <c r="L5016" t="s">
        <v>120</v>
      </c>
      <c r="M5016">
        <v>5</v>
      </c>
      <c r="N5016" t="s">
        <v>85</v>
      </c>
      <c r="O5016" t="s">
        <v>81</v>
      </c>
      <c r="P5016" t="s">
        <v>12</v>
      </c>
      <c r="Q5016" t="s">
        <v>13</v>
      </c>
      <c r="R5016" t="s">
        <v>13</v>
      </c>
      <c r="S5016" t="s">
        <v>144</v>
      </c>
      <c r="T5016" s="2">
        <f>MASTER[[#This Row],[CANTIDAD]]*MASTER[[#This Row],[PRECIO DE VENTA]]</f>
        <v>900</v>
      </c>
      <c r="U5016" s="2">
        <f>MASTER[[#This Row],[CANTIDAD]]*MASTER[[#This Row],[COSTO UNITARIO]]</f>
        <v>424</v>
      </c>
      <c r="V5016" s="2">
        <f>MASTER[[#This Row],[MONTO VENDIDO]]-MASTER[[#This Row],[COSTO DE VENTA]]</f>
        <v>476</v>
      </c>
    </row>
    <row r="5017" spans="1:22" x14ac:dyDescent="0.3">
      <c r="A5017">
        <v>71811</v>
      </c>
      <c r="B5017">
        <v>1</v>
      </c>
      <c r="C5017" t="s">
        <v>92</v>
      </c>
      <c r="D5017" t="s">
        <v>93</v>
      </c>
      <c r="E5017" s="1">
        <v>44383</v>
      </c>
      <c r="F5017">
        <v>1</v>
      </c>
      <c r="G5017" t="s">
        <v>47</v>
      </c>
      <c r="H5017" t="s">
        <v>48</v>
      </c>
      <c r="I5017" s="3">
        <v>1681</v>
      </c>
      <c r="J5017" s="3">
        <v>1681</v>
      </c>
      <c r="K5017" s="3">
        <v>396</v>
      </c>
      <c r="L5017" t="s">
        <v>9</v>
      </c>
      <c r="M5017">
        <v>2</v>
      </c>
      <c r="N5017" t="s">
        <v>86</v>
      </c>
      <c r="O5017" t="s">
        <v>81</v>
      </c>
      <c r="P5017" t="s">
        <v>71</v>
      </c>
      <c r="Q5017" t="s">
        <v>72</v>
      </c>
      <c r="R5017" t="s">
        <v>139</v>
      </c>
      <c r="S5017" t="s">
        <v>144</v>
      </c>
      <c r="T5017" s="2">
        <f>MASTER[[#This Row],[CANTIDAD]]*MASTER[[#This Row],[PRECIO DE VENTA]]</f>
        <v>1681</v>
      </c>
      <c r="U5017" s="2">
        <f>MASTER[[#This Row],[CANTIDAD]]*MASTER[[#This Row],[COSTO UNITARIO]]</f>
        <v>396</v>
      </c>
      <c r="V5017" s="2">
        <f>MASTER[[#This Row],[MONTO VENDIDO]]-MASTER[[#This Row],[COSTO DE VENTA]]</f>
        <v>1285</v>
      </c>
    </row>
    <row r="5018" spans="1:22" x14ac:dyDescent="0.3">
      <c r="A5018">
        <v>71830</v>
      </c>
      <c r="B5018">
        <v>1</v>
      </c>
      <c r="C5018" t="s">
        <v>109</v>
      </c>
      <c r="D5018" t="s">
        <v>110</v>
      </c>
      <c r="E5018" s="1">
        <v>44383</v>
      </c>
      <c r="F5018">
        <v>1</v>
      </c>
      <c r="G5018" t="s">
        <v>35</v>
      </c>
      <c r="H5018" t="s">
        <v>36</v>
      </c>
      <c r="I5018" s="3">
        <v>1128</v>
      </c>
      <c r="J5018" s="3">
        <v>1128</v>
      </c>
      <c r="K5018" s="3">
        <v>387</v>
      </c>
      <c r="L5018" t="s">
        <v>98</v>
      </c>
      <c r="M5018">
        <v>6</v>
      </c>
      <c r="N5018" t="s">
        <v>75</v>
      </c>
      <c r="O5018" t="s">
        <v>70</v>
      </c>
      <c r="P5018" t="s">
        <v>12</v>
      </c>
      <c r="Q5018" t="s">
        <v>13</v>
      </c>
      <c r="R5018" t="s">
        <v>13</v>
      </c>
      <c r="S5018" t="s">
        <v>144</v>
      </c>
      <c r="T5018" s="2">
        <f>MASTER[[#This Row],[CANTIDAD]]*MASTER[[#This Row],[PRECIO DE VENTA]]</f>
        <v>1128</v>
      </c>
      <c r="U5018" s="2">
        <f>MASTER[[#This Row],[CANTIDAD]]*MASTER[[#This Row],[COSTO UNITARIO]]</f>
        <v>387</v>
      </c>
      <c r="V5018" s="2">
        <f>MASTER[[#This Row],[MONTO VENDIDO]]-MASTER[[#This Row],[COSTO DE VENTA]]</f>
        <v>741</v>
      </c>
    </row>
    <row r="5019" spans="1:22" x14ac:dyDescent="0.3">
      <c r="A5019">
        <v>71836</v>
      </c>
      <c r="B5019">
        <v>1</v>
      </c>
      <c r="C5019" t="s">
        <v>103</v>
      </c>
      <c r="D5019" t="s">
        <v>104</v>
      </c>
      <c r="E5019" s="1">
        <v>44383</v>
      </c>
      <c r="F5019">
        <v>1</v>
      </c>
      <c r="G5019" t="s">
        <v>39</v>
      </c>
      <c r="H5019" t="s">
        <v>40</v>
      </c>
      <c r="I5019" s="3">
        <v>1830</v>
      </c>
      <c r="J5019" s="3">
        <v>1830</v>
      </c>
      <c r="K5019" s="3">
        <v>421</v>
      </c>
      <c r="L5019" t="s">
        <v>98</v>
      </c>
      <c r="M5019">
        <v>13</v>
      </c>
      <c r="N5019" t="s">
        <v>78</v>
      </c>
      <c r="O5019" t="s">
        <v>70</v>
      </c>
      <c r="P5019" t="s">
        <v>18</v>
      </c>
      <c r="Q5019" t="s">
        <v>19</v>
      </c>
      <c r="R5019" t="s">
        <v>138</v>
      </c>
      <c r="S5019" t="s">
        <v>144</v>
      </c>
      <c r="T5019" s="2">
        <f>MASTER[[#This Row],[CANTIDAD]]*MASTER[[#This Row],[PRECIO DE VENTA]]</f>
        <v>1830</v>
      </c>
      <c r="U5019" s="2">
        <f>MASTER[[#This Row],[CANTIDAD]]*MASTER[[#This Row],[COSTO UNITARIO]]</f>
        <v>421</v>
      </c>
      <c r="V5019" s="2">
        <f>MASTER[[#This Row],[MONTO VENDIDO]]-MASTER[[#This Row],[COSTO DE VENTA]]</f>
        <v>1409</v>
      </c>
    </row>
    <row r="5020" spans="1:22" x14ac:dyDescent="0.3">
      <c r="A5020">
        <v>71837</v>
      </c>
      <c r="B5020">
        <v>1</v>
      </c>
      <c r="C5020" t="s">
        <v>111</v>
      </c>
      <c r="D5020" t="s">
        <v>112</v>
      </c>
      <c r="E5020" s="1">
        <v>44383</v>
      </c>
      <c r="F5020">
        <v>1</v>
      </c>
      <c r="G5020" t="s">
        <v>22</v>
      </c>
      <c r="H5020" t="s">
        <v>23</v>
      </c>
      <c r="I5020" s="3">
        <v>1621</v>
      </c>
      <c r="J5020" s="3">
        <v>1621</v>
      </c>
      <c r="K5020" s="3">
        <v>434</v>
      </c>
      <c r="L5020" t="s">
        <v>113</v>
      </c>
      <c r="M5020">
        <v>15</v>
      </c>
      <c r="N5020" t="s">
        <v>88</v>
      </c>
      <c r="O5020" t="s">
        <v>81</v>
      </c>
      <c r="P5020" t="s">
        <v>18</v>
      </c>
      <c r="Q5020" t="s">
        <v>19</v>
      </c>
      <c r="R5020" t="s">
        <v>138</v>
      </c>
      <c r="S5020" t="s">
        <v>144</v>
      </c>
      <c r="T5020" s="2">
        <f>MASTER[[#This Row],[CANTIDAD]]*MASTER[[#This Row],[PRECIO DE VENTA]]</f>
        <v>1621</v>
      </c>
      <c r="U5020" s="2">
        <f>MASTER[[#This Row],[CANTIDAD]]*MASTER[[#This Row],[COSTO UNITARIO]]</f>
        <v>434</v>
      </c>
      <c r="V5020" s="2">
        <f>MASTER[[#This Row],[MONTO VENDIDO]]-MASTER[[#This Row],[COSTO DE VENTA]]</f>
        <v>1187</v>
      </c>
    </row>
    <row r="5021" spans="1:22" x14ac:dyDescent="0.3">
      <c r="A5021">
        <v>71856</v>
      </c>
      <c r="B5021">
        <v>1</v>
      </c>
      <c r="C5021" t="s">
        <v>121</v>
      </c>
      <c r="D5021" t="s">
        <v>122</v>
      </c>
      <c r="E5021" s="1">
        <v>44383</v>
      </c>
      <c r="F5021">
        <v>1</v>
      </c>
      <c r="G5021" t="s">
        <v>55</v>
      </c>
      <c r="H5021" t="s">
        <v>56</v>
      </c>
      <c r="I5021" s="3">
        <v>1069</v>
      </c>
      <c r="J5021" s="3">
        <v>1069</v>
      </c>
      <c r="K5021" s="3">
        <v>460</v>
      </c>
      <c r="L5021" t="s">
        <v>120</v>
      </c>
      <c r="M5021">
        <v>5</v>
      </c>
      <c r="N5021" t="s">
        <v>85</v>
      </c>
      <c r="O5021" t="s">
        <v>81</v>
      </c>
      <c r="P5021" t="s">
        <v>12</v>
      </c>
      <c r="Q5021" t="s">
        <v>13</v>
      </c>
      <c r="R5021" t="s">
        <v>13</v>
      </c>
      <c r="S5021" t="s">
        <v>144</v>
      </c>
      <c r="T5021" s="2">
        <f>MASTER[[#This Row],[CANTIDAD]]*MASTER[[#This Row],[PRECIO DE VENTA]]</f>
        <v>1069</v>
      </c>
      <c r="U5021" s="2">
        <f>MASTER[[#This Row],[CANTIDAD]]*MASTER[[#This Row],[COSTO UNITARIO]]</f>
        <v>460</v>
      </c>
      <c r="V5021" s="2">
        <f>MASTER[[#This Row],[MONTO VENDIDO]]-MASTER[[#This Row],[COSTO DE VENTA]]</f>
        <v>609</v>
      </c>
    </row>
    <row r="5022" spans="1:22" x14ac:dyDescent="0.3">
      <c r="A5022">
        <v>71865</v>
      </c>
      <c r="B5022">
        <v>1</v>
      </c>
      <c r="C5022" t="s">
        <v>94</v>
      </c>
      <c r="D5022" t="s">
        <v>95</v>
      </c>
      <c r="E5022" s="1">
        <v>44383</v>
      </c>
      <c r="F5022">
        <v>1</v>
      </c>
      <c r="G5022" t="s">
        <v>39</v>
      </c>
      <c r="H5022" t="s">
        <v>40</v>
      </c>
      <c r="I5022" s="3">
        <v>1048</v>
      </c>
      <c r="J5022" s="3">
        <v>1048</v>
      </c>
      <c r="K5022" s="3">
        <v>392</v>
      </c>
      <c r="L5022" t="s">
        <v>9</v>
      </c>
      <c r="M5022">
        <v>14</v>
      </c>
      <c r="N5022" t="s">
        <v>87</v>
      </c>
      <c r="O5022" t="s">
        <v>81</v>
      </c>
      <c r="P5022" t="s">
        <v>18</v>
      </c>
      <c r="Q5022" t="s">
        <v>19</v>
      </c>
      <c r="R5022" t="s">
        <v>138</v>
      </c>
      <c r="S5022" t="s">
        <v>144</v>
      </c>
      <c r="T5022" s="2">
        <f>MASTER[[#This Row],[CANTIDAD]]*MASTER[[#This Row],[PRECIO DE VENTA]]</f>
        <v>1048</v>
      </c>
      <c r="U5022" s="2">
        <f>MASTER[[#This Row],[CANTIDAD]]*MASTER[[#This Row],[COSTO UNITARIO]]</f>
        <v>392</v>
      </c>
      <c r="V5022" s="2">
        <f>MASTER[[#This Row],[MONTO VENDIDO]]-MASTER[[#This Row],[COSTO DE VENTA]]</f>
        <v>656</v>
      </c>
    </row>
    <row r="5023" spans="1:22" x14ac:dyDescent="0.3">
      <c r="A5023">
        <v>71873</v>
      </c>
      <c r="B5023">
        <v>1</v>
      </c>
      <c r="C5023" t="s">
        <v>105</v>
      </c>
      <c r="D5023" t="s">
        <v>106</v>
      </c>
      <c r="E5023" s="1">
        <v>44383</v>
      </c>
      <c r="F5023">
        <v>1</v>
      </c>
      <c r="G5023" t="s">
        <v>67</v>
      </c>
      <c r="H5023" t="s">
        <v>68</v>
      </c>
      <c r="I5023" s="3">
        <v>1865</v>
      </c>
      <c r="J5023" s="3">
        <v>1865</v>
      </c>
      <c r="K5023" s="3">
        <v>459</v>
      </c>
      <c r="L5023" t="s">
        <v>98</v>
      </c>
      <c r="M5023">
        <v>4</v>
      </c>
      <c r="N5023" t="s">
        <v>82</v>
      </c>
      <c r="O5023" t="s">
        <v>81</v>
      </c>
      <c r="P5023" t="s">
        <v>71</v>
      </c>
      <c r="Q5023" t="s">
        <v>72</v>
      </c>
      <c r="R5023" t="s">
        <v>139</v>
      </c>
      <c r="S5023" t="s">
        <v>144</v>
      </c>
      <c r="T5023" s="2">
        <f>MASTER[[#This Row],[CANTIDAD]]*MASTER[[#This Row],[PRECIO DE VENTA]]</f>
        <v>1865</v>
      </c>
      <c r="U5023" s="2">
        <f>MASTER[[#This Row],[CANTIDAD]]*MASTER[[#This Row],[COSTO UNITARIO]]</f>
        <v>459</v>
      </c>
      <c r="V5023" s="2">
        <f>MASTER[[#This Row],[MONTO VENDIDO]]-MASTER[[#This Row],[COSTO DE VENTA]]</f>
        <v>1406</v>
      </c>
    </row>
    <row r="5024" spans="1:22" x14ac:dyDescent="0.3">
      <c r="A5024">
        <v>71896</v>
      </c>
      <c r="B5024">
        <v>1</v>
      </c>
      <c r="C5024" t="s">
        <v>105</v>
      </c>
      <c r="D5024" t="s">
        <v>106</v>
      </c>
      <c r="E5024" s="1">
        <v>44383</v>
      </c>
      <c r="F5024">
        <v>1</v>
      </c>
      <c r="G5024" t="s">
        <v>27</v>
      </c>
      <c r="H5024" t="s">
        <v>28</v>
      </c>
      <c r="I5024" s="3">
        <v>1865</v>
      </c>
      <c r="J5024" s="3">
        <v>1865</v>
      </c>
      <c r="K5024" s="3">
        <v>459</v>
      </c>
      <c r="L5024" t="s">
        <v>98</v>
      </c>
      <c r="M5024">
        <v>19</v>
      </c>
      <c r="N5024" t="s">
        <v>89</v>
      </c>
      <c r="O5024" t="s">
        <v>81</v>
      </c>
      <c r="P5024" t="s">
        <v>15</v>
      </c>
      <c r="Q5024" t="s">
        <v>16</v>
      </c>
      <c r="R5024" t="s">
        <v>16</v>
      </c>
      <c r="S5024" t="s">
        <v>144</v>
      </c>
      <c r="T5024" s="2">
        <f>MASTER[[#This Row],[CANTIDAD]]*MASTER[[#This Row],[PRECIO DE VENTA]]</f>
        <v>1865</v>
      </c>
      <c r="U5024" s="2">
        <f>MASTER[[#This Row],[CANTIDAD]]*MASTER[[#This Row],[COSTO UNITARIO]]</f>
        <v>459</v>
      </c>
      <c r="V5024" s="2">
        <f>MASTER[[#This Row],[MONTO VENDIDO]]-MASTER[[#This Row],[COSTO DE VENTA]]</f>
        <v>1406</v>
      </c>
    </row>
    <row r="5025" spans="1:22" x14ac:dyDescent="0.3">
      <c r="A5025">
        <v>71937</v>
      </c>
      <c r="B5025">
        <v>1</v>
      </c>
      <c r="C5025" t="s">
        <v>107</v>
      </c>
      <c r="D5025" t="s">
        <v>108</v>
      </c>
      <c r="E5025" s="1">
        <v>44383</v>
      </c>
      <c r="F5025">
        <v>1</v>
      </c>
      <c r="G5025" t="s">
        <v>35</v>
      </c>
      <c r="H5025" t="s">
        <v>36</v>
      </c>
      <c r="I5025" s="3">
        <v>1440</v>
      </c>
      <c r="J5025" s="3">
        <v>1440</v>
      </c>
      <c r="K5025" s="3">
        <v>380</v>
      </c>
      <c r="L5025" t="s">
        <v>98</v>
      </c>
      <c r="M5025">
        <v>1</v>
      </c>
      <c r="N5025" t="s">
        <v>77</v>
      </c>
      <c r="O5025" t="s">
        <v>70</v>
      </c>
      <c r="P5025" t="s">
        <v>71</v>
      </c>
      <c r="Q5025" t="s">
        <v>72</v>
      </c>
      <c r="R5025" t="s">
        <v>139</v>
      </c>
      <c r="S5025" t="s">
        <v>144</v>
      </c>
      <c r="T5025" s="2">
        <f>MASTER[[#This Row],[CANTIDAD]]*MASTER[[#This Row],[PRECIO DE VENTA]]</f>
        <v>1440</v>
      </c>
      <c r="U5025" s="2">
        <f>MASTER[[#This Row],[CANTIDAD]]*MASTER[[#This Row],[COSTO UNITARIO]]</f>
        <v>380</v>
      </c>
      <c r="V5025" s="2">
        <f>MASTER[[#This Row],[MONTO VENDIDO]]-MASTER[[#This Row],[COSTO DE VENTA]]</f>
        <v>1060</v>
      </c>
    </row>
    <row r="5026" spans="1:22" x14ac:dyDescent="0.3">
      <c r="A5026">
        <v>71950</v>
      </c>
      <c r="B5026">
        <v>1</v>
      </c>
      <c r="C5026" t="s">
        <v>96</v>
      </c>
      <c r="D5026" t="s">
        <v>97</v>
      </c>
      <c r="E5026" s="1">
        <v>44383</v>
      </c>
      <c r="F5026">
        <v>1</v>
      </c>
      <c r="G5026" t="s">
        <v>43</v>
      </c>
      <c r="H5026" t="s">
        <v>44</v>
      </c>
      <c r="I5026" s="3">
        <v>1272</v>
      </c>
      <c r="J5026" s="3">
        <v>1272</v>
      </c>
      <c r="K5026" s="3">
        <v>397</v>
      </c>
      <c r="L5026" t="s">
        <v>98</v>
      </c>
      <c r="M5026">
        <v>8</v>
      </c>
      <c r="N5026" t="s">
        <v>80</v>
      </c>
      <c r="O5026" t="s">
        <v>81</v>
      </c>
      <c r="P5026" t="s">
        <v>12</v>
      </c>
      <c r="Q5026" t="s">
        <v>13</v>
      </c>
      <c r="R5026" t="s">
        <v>13</v>
      </c>
      <c r="S5026" t="s">
        <v>144</v>
      </c>
      <c r="T5026" s="2">
        <f>MASTER[[#This Row],[CANTIDAD]]*MASTER[[#This Row],[PRECIO DE VENTA]]</f>
        <v>1272</v>
      </c>
      <c r="U5026" s="2">
        <f>MASTER[[#This Row],[CANTIDAD]]*MASTER[[#This Row],[COSTO UNITARIO]]</f>
        <v>397</v>
      </c>
      <c r="V5026" s="2">
        <f>MASTER[[#This Row],[MONTO VENDIDO]]-MASTER[[#This Row],[COSTO DE VENTA]]</f>
        <v>875</v>
      </c>
    </row>
    <row r="5027" spans="1:22" x14ac:dyDescent="0.3">
      <c r="A5027">
        <v>71959</v>
      </c>
      <c r="B5027">
        <v>1</v>
      </c>
      <c r="C5027" t="s">
        <v>109</v>
      </c>
      <c r="D5027" t="s">
        <v>110</v>
      </c>
      <c r="E5027" s="1">
        <v>44384</v>
      </c>
      <c r="F5027">
        <v>1</v>
      </c>
      <c r="G5027" t="s">
        <v>51</v>
      </c>
      <c r="H5027" t="s">
        <v>52</v>
      </c>
      <c r="I5027" s="3">
        <v>1128</v>
      </c>
      <c r="J5027" s="3">
        <v>1128</v>
      </c>
      <c r="K5027" s="3">
        <v>387</v>
      </c>
      <c r="L5027" t="s">
        <v>98</v>
      </c>
      <c r="M5027">
        <v>6</v>
      </c>
      <c r="N5027" t="s">
        <v>75</v>
      </c>
      <c r="O5027" t="s">
        <v>70</v>
      </c>
      <c r="P5027" t="s">
        <v>12</v>
      </c>
      <c r="Q5027" t="s">
        <v>13</v>
      </c>
      <c r="R5027" t="s">
        <v>13</v>
      </c>
      <c r="S5027" t="s">
        <v>144</v>
      </c>
      <c r="T5027" s="2">
        <f>MASTER[[#This Row],[CANTIDAD]]*MASTER[[#This Row],[PRECIO DE VENTA]]</f>
        <v>1128</v>
      </c>
      <c r="U5027" s="2">
        <f>MASTER[[#This Row],[CANTIDAD]]*MASTER[[#This Row],[COSTO UNITARIO]]</f>
        <v>387</v>
      </c>
      <c r="V5027" s="2">
        <f>MASTER[[#This Row],[MONTO VENDIDO]]-MASTER[[#This Row],[COSTO DE VENTA]]</f>
        <v>741</v>
      </c>
    </row>
    <row r="5028" spans="1:22" x14ac:dyDescent="0.3">
      <c r="A5028">
        <v>71965</v>
      </c>
      <c r="B5028">
        <v>1</v>
      </c>
      <c r="C5028" t="s">
        <v>5</v>
      </c>
      <c r="D5028" t="s">
        <v>6</v>
      </c>
      <c r="E5028" s="1">
        <v>44384</v>
      </c>
      <c r="F5028">
        <v>1</v>
      </c>
      <c r="G5028" t="s">
        <v>61</v>
      </c>
      <c r="H5028" t="s">
        <v>62</v>
      </c>
      <c r="I5028" s="3">
        <v>1507</v>
      </c>
      <c r="J5028" s="3">
        <v>1386</v>
      </c>
      <c r="K5028" s="3">
        <v>393</v>
      </c>
      <c r="L5028" t="s">
        <v>9</v>
      </c>
      <c r="M5028">
        <v>5</v>
      </c>
      <c r="N5028" t="s">
        <v>85</v>
      </c>
      <c r="O5028" t="s">
        <v>81</v>
      </c>
      <c r="P5028" t="s">
        <v>12</v>
      </c>
      <c r="Q5028" t="s">
        <v>13</v>
      </c>
      <c r="R5028" t="s">
        <v>13</v>
      </c>
      <c r="S5028" t="s">
        <v>144</v>
      </c>
      <c r="T5028" s="2">
        <f>MASTER[[#This Row],[CANTIDAD]]*MASTER[[#This Row],[PRECIO DE VENTA]]</f>
        <v>1386</v>
      </c>
      <c r="U5028" s="2">
        <f>MASTER[[#This Row],[CANTIDAD]]*MASTER[[#This Row],[COSTO UNITARIO]]</f>
        <v>393</v>
      </c>
      <c r="V5028" s="2">
        <f>MASTER[[#This Row],[MONTO VENDIDO]]-MASTER[[#This Row],[COSTO DE VENTA]]</f>
        <v>993</v>
      </c>
    </row>
    <row r="5029" spans="1:22" x14ac:dyDescent="0.3">
      <c r="A5029">
        <v>71970</v>
      </c>
      <c r="B5029">
        <v>1</v>
      </c>
      <c r="C5029" t="s">
        <v>105</v>
      </c>
      <c r="D5029" t="s">
        <v>106</v>
      </c>
      <c r="E5029" s="1">
        <v>44384</v>
      </c>
      <c r="F5029">
        <v>1</v>
      </c>
      <c r="G5029" t="s">
        <v>27</v>
      </c>
      <c r="H5029" t="s">
        <v>28</v>
      </c>
      <c r="I5029" s="3">
        <v>1865</v>
      </c>
      <c r="J5029" s="3">
        <v>1865</v>
      </c>
      <c r="K5029" s="3">
        <v>459</v>
      </c>
      <c r="L5029" t="s">
        <v>98</v>
      </c>
      <c r="M5029">
        <v>19</v>
      </c>
      <c r="N5029" t="s">
        <v>89</v>
      </c>
      <c r="O5029" t="s">
        <v>81</v>
      </c>
      <c r="P5029" t="s">
        <v>15</v>
      </c>
      <c r="Q5029" t="s">
        <v>16</v>
      </c>
      <c r="R5029" t="s">
        <v>16</v>
      </c>
      <c r="S5029" t="s">
        <v>144</v>
      </c>
      <c r="T5029" s="2">
        <f>MASTER[[#This Row],[CANTIDAD]]*MASTER[[#This Row],[PRECIO DE VENTA]]</f>
        <v>1865</v>
      </c>
      <c r="U5029" s="2">
        <f>MASTER[[#This Row],[CANTIDAD]]*MASTER[[#This Row],[COSTO UNITARIO]]</f>
        <v>459</v>
      </c>
      <c r="V5029" s="2">
        <f>MASTER[[#This Row],[MONTO VENDIDO]]-MASTER[[#This Row],[COSTO DE VENTA]]</f>
        <v>1406</v>
      </c>
    </row>
    <row r="5030" spans="1:22" x14ac:dyDescent="0.3">
      <c r="A5030">
        <v>71973</v>
      </c>
      <c r="B5030">
        <v>1</v>
      </c>
      <c r="C5030" t="s">
        <v>103</v>
      </c>
      <c r="D5030" t="s">
        <v>104</v>
      </c>
      <c r="E5030" s="1">
        <v>44384</v>
      </c>
      <c r="F5030">
        <v>1</v>
      </c>
      <c r="G5030" t="s">
        <v>24</v>
      </c>
      <c r="H5030" t="s">
        <v>25</v>
      </c>
      <c r="I5030" s="3">
        <v>1591</v>
      </c>
      <c r="J5030" s="3">
        <v>1591</v>
      </c>
      <c r="K5030" s="3">
        <v>421</v>
      </c>
      <c r="L5030" t="s">
        <v>98</v>
      </c>
      <c r="M5030">
        <v>4</v>
      </c>
      <c r="N5030" t="s">
        <v>82</v>
      </c>
      <c r="O5030" t="s">
        <v>81</v>
      </c>
      <c r="P5030" t="s">
        <v>71</v>
      </c>
      <c r="Q5030" t="s">
        <v>72</v>
      </c>
      <c r="R5030" t="s">
        <v>139</v>
      </c>
      <c r="S5030" t="s">
        <v>144</v>
      </c>
      <c r="T5030" s="2">
        <f>MASTER[[#This Row],[CANTIDAD]]*MASTER[[#This Row],[PRECIO DE VENTA]]</f>
        <v>1591</v>
      </c>
      <c r="U5030" s="2">
        <f>MASTER[[#This Row],[CANTIDAD]]*MASTER[[#This Row],[COSTO UNITARIO]]</f>
        <v>421</v>
      </c>
      <c r="V5030" s="2">
        <f>MASTER[[#This Row],[MONTO VENDIDO]]-MASTER[[#This Row],[COSTO DE VENTA]]</f>
        <v>1170</v>
      </c>
    </row>
    <row r="5031" spans="1:22" x14ac:dyDescent="0.3">
      <c r="A5031">
        <v>72006</v>
      </c>
      <c r="B5031">
        <v>1</v>
      </c>
      <c r="C5031" t="s">
        <v>96</v>
      </c>
      <c r="D5031" t="s">
        <v>97</v>
      </c>
      <c r="E5031" s="1">
        <v>44384</v>
      </c>
      <c r="F5031">
        <v>1</v>
      </c>
      <c r="G5031" t="s">
        <v>67</v>
      </c>
      <c r="H5031" t="s">
        <v>68</v>
      </c>
      <c r="I5031" s="3">
        <v>1272</v>
      </c>
      <c r="J5031" s="3">
        <v>1272</v>
      </c>
      <c r="K5031" s="3">
        <v>397</v>
      </c>
      <c r="L5031" t="s">
        <v>98</v>
      </c>
      <c r="M5031">
        <v>5</v>
      </c>
      <c r="N5031" t="s">
        <v>85</v>
      </c>
      <c r="O5031" t="s">
        <v>81</v>
      </c>
      <c r="P5031" t="s">
        <v>12</v>
      </c>
      <c r="Q5031" t="s">
        <v>13</v>
      </c>
      <c r="R5031" t="s">
        <v>13</v>
      </c>
      <c r="S5031" t="s">
        <v>144</v>
      </c>
      <c r="T5031" s="2">
        <f>MASTER[[#This Row],[CANTIDAD]]*MASTER[[#This Row],[PRECIO DE VENTA]]</f>
        <v>1272</v>
      </c>
      <c r="U5031" s="2">
        <f>MASTER[[#This Row],[CANTIDAD]]*MASTER[[#This Row],[COSTO UNITARIO]]</f>
        <v>397</v>
      </c>
      <c r="V5031" s="2">
        <f>MASTER[[#This Row],[MONTO VENDIDO]]-MASTER[[#This Row],[COSTO DE VENTA]]</f>
        <v>875</v>
      </c>
    </row>
    <row r="5032" spans="1:22" x14ac:dyDescent="0.3">
      <c r="A5032">
        <v>72016</v>
      </c>
      <c r="B5032">
        <v>1</v>
      </c>
      <c r="C5032" t="s">
        <v>111</v>
      </c>
      <c r="D5032" t="s">
        <v>112</v>
      </c>
      <c r="E5032" s="1">
        <v>44384</v>
      </c>
      <c r="F5032">
        <v>1</v>
      </c>
      <c r="G5032" t="s">
        <v>20</v>
      </c>
      <c r="H5032" t="s">
        <v>21</v>
      </c>
      <c r="I5032" s="3">
        <v>1799</v>
      </c>
      <c r="J5032" s="3">
        <v>1799</v>
      </c>
      <c r="K5032" s="3">
        <v>434</v>
      </c>
      <c r="L5032" t="s">
        <v>113</v>
      </c>
      <c r="M5032">
        <v>18</v>
      </c>
      <c r="N5032" t="s">
        <v>79</v>
      </c>
      <c r="O5032" t="s">
        <v>70</v>
      </c>
      <c r="P5032" t="s">
        <v>15</v>
      </c>
      <c r="Q5032" t="s">
        <v>16</v>
      </c>
      <c r="R5032" t="s">
        <v>16</v>
      </c>
      <c r="S5032" t="s">
        <v>144</v>
      </c>
      <c r="T5032" s="2">
        <f>MASTER[[#This Row],[CANTIDAD]]*MASTER[[#This Row],[PRECIO DE VENTA]]</f>
        <v>1799</v>
      </c>
      <c r="U5032" s="2">
        <f>MASTER[[#This Row],[CANTIDAD]]*MASTER[[#This Row],[COSTO UNITARIO]]</f>
        <v>434</v>
      </c>
      <c r="V5032" s="2">
        <f>MASTER[[#This Row],[MONTO VENDIDO]]-MASTER[[#This Row],[COSTO DE VENTA]]</f>
        <v>1365</v>
      </c>
    </row>
    <row r="5033" spans="1:22" x14ac:dyDescent="0.3">
      <c r="A5033">
        <v>72064</v>
      </c>
      <c r="B5033">
        <v>1</v>
      </c>
      <c r="C5033" t="s">
        <v>90</v>
      </c>
      <c r="D5033" t="s">
        <v>91</v>
      </c>
      <c r="E5033" s="1">
        <v>44384</v>
      </c>
      <c r="F5033">
        <v>4</v>
      </c>
      <c r="G5033" t="s">
        <v>55</v>
      </c>
      <c r="H5033" t="s">
        <v>56</v>
      </c>
      <c r="I5033" s="3">
        <v>2102</v>
      </c>
      <c r="J5033" s="3">
        <v>2102</v>
      </c>
      <c r="K5033" s="3">
        <v>420</v>
      </c>
      <c r="L5033" t="s">
        <v>9</v>
      </c>
      <c r="M5033">
        <v>6</v>
      </c>
      <c r="N5033" t="s">
        <v>75</v>
      </c>
      <c r="O5033" t="s">
        <v>70</v>
      </c>
      <c r="P5033" t="s">
        <v>12</v>
      </c>
      <c r="Q5033" t="s">
        <v>13</v>
      </c>
      <c r="R5033" t="s">
        <v>13</v>
      </c>
      <c r="S5033" t="s">
        <v>144</v>
      </c>
      <c r="T5033" s="2">
        <f>MASTER[[#This Row],[CANTIDAD]]*MASTER[[#This Row],[PRECIO DE VENTA]]</f>
        <v>8408</v>
      </c>
      <c r="U5033" s="2">
        <f>MASTER[[#This Row],[CANTIDAD]]*MASTER[[#This Row],[COSTO UNITARIO]]</f>
        <v>1680</v>
      </c>
      <c r="V5033" s="2">
        <f>MASTER[[#This Row],[MONTO VENDIDO]]-MASTER[[#This Row],[COSTO DE VENTA]]</f>
        <v>6728</v>
      </c>
    </row>
    <row r="5034" spans="1:22" x14ac:dyDescent="0.3">
      <c r="A5034">
        <v>72067</v>
      </c>
      <c r="B5034">
        <v>1</v>
      </c>
      <c r="C5034" t="s">
        <v>107</v>
      </c>
      <c r="D5034" t="s">
        <v>108</v>
      </c>
      <c r="E5034" s="1">
        <v>44384</v>
      </c>
      <c r="F5034">
        <v>1</v>
      </c>
      <c r="G5034" t="s">
        <v>39</v>
      </c>
      <c r="H5034" t="s">
        <v>40</v>
      </c>
      <c r="I5034" s="3">
        <v>1333</v>
      </c>
      <c r="J5034" s="3">
        <v>1333</v>
      </c>
      <c r="K5034" s="3">
        <v>380</v>
      </c>
      <c r="L5034" t="s">
        <v>98</v>
      </c>
      <c r="M5034">
        <v>19</v>
      </c>
      <c r="N5034" t="s">
        <v>89</v>
      </c>
      <c r="O5034" t="s">
        <v>81</v>
      </c>
      <c r="P5034" t="s">
        <v>15</v>
      </c>
      <c r="Q5034" t="s">
        <v>16</v>
      </c>
      <c r="R5034" t="s">
        <v>16</v>
      </c>
      <c r="S5034" t="s">
        <v>144</v>
      </c>
      <c r="T5034" s="2">
        <f>MASTER[[#This Row],[CANTIDAD]]*MASTER[[#This Row],[PRECIO DE VENTA]]</f>
        <v>1333</v>
      </c>
      <c r="U5034" s="2">
        <f>MASTER[[#This Row],[CANTIDAD]]*MASTER[[#This Row],[COSTO UNITARIO]]</f>
        <v>380</v>
      </c>
      <c r="V5034" s="2">
        <f>MASTER[[#This Row],[MONTO VENDIDO]]-MASTER[[#This Row],[COSTO DE VENTA]]</f>
        <v>953</v>
      </c>
    </row>
    <row r="5035" spans="1:22" x14ac:dyDescent="0.3">
      <c r="A5035">
        <v>72068</v>
      </c>
      <c r="B5035">
        <v>1</v>
      </c>
      <c r="C5035" t="s">
        <v>109</v>
      </c>
      <c r="D5035" t="s">
        <v>110</v>
      </c>
      <c r="E5035" s="1">
        <v>44385</v>
      </c>
      <c r="F5035">
        <v>1</v>
      </c>
      <c r="G5035" t="s">
        <v>33</v>
      </c>
      <c r="H5035" t="s">
        <v>34</v>
      </c>
      <c r="I5035" s="3">
        <v>1128</v>
      </c>
      <c r="J5035" s="3">
        <v>1128</v>
      </c>
      <c r="K5035" s="3">
        <v>387</v>
      </c>
      <c r="L5035" t="s">
        <v>98</v>
      </c>
      <c r="M5035">
        <v>13</v>
      </c>
      <c r="N5035" t="s">
        <v>78</v>
      </c>
      <c r="O5035" t="s">
        <v>70</v>
      </c>
      <c r="P5035" t="s">
        <v>18</v>
      </c>
      <c r="Q5035" t="s">
        <v>19</v>
      </c>
      <c r="R5035" t="s">
        <v>138</v>
      </c>
      <c r="S5035" t="s">
        <v>144</v>
      </c>
      <c r="T5035" s="2">
        <f>MASTER[[#This Row],[CANTIDAD]]*MASTER[[#This Row],[PRECIO DE VENTA]]</f>
        <v>1128</v>
      </c>
      <c r="U5035" s="2">
        <f>MASTER[[#This Row],[CANTIDAD]]*MASTER[[#This Row],[COSTO UNITARIO]]</f>
        <v>387</v>
      </c>
      <c r="V5035" s="2">
        <f>MASTER[[#This Row],[MONTO VENDIDO]]-MASTER[[#This Row],[COSTO DE VENTA]]</f>
        <v>741</v>
      </c>
    </row>
    <row r="5036" spans="1:22" x14ac:dyDescent="0.3">
      <c r="A5036">
        <v>72073</v>
      </c>
      <c r="B5036">
        <v>1</v>
      </c>
      <c r="C5036" t="s">
        <v>114</v>
      </c>
      <c r="D5036" t="s">
        <v>115</v>
      </c>
      <c r="E5036" s="1">
        <v>44385</v>
      </c>
      <c r="F5036">
        <v>1</v>
      </c>
      <c r="G5036" t="s">
        <v>35</v>
      </c>
      <c r="H5036" t="s">
        <v>36</v>
      </c>
      <c r="I5036" s="3">
        <v>2030</v>
      </c>
      <c r="J5036" s="3">
        <v>2030</v>
      </c>
      <c r="K5036" s="3">
        <v>394</v>
      </c>
      <c r="L5036" t="s">
        <v>113</v>
      </c>
      <c r="M5036">
        <v>3</v>
      </c>
      <c r="N5036" t="s">
        <v>69</v>
      </c>
      <c r="O5036" t="s">
        <v>70</v>
      </c>
      <c r="P5036" t="s">
        <v>71</v>
      </c>
      <c r="Q5036" t="s">
        <v>72</v>
      </c>
      <c r="R5036" t="s">
        <v>139</v>
      </c>
      <c r="S5036" t="s">
        <v>144</v>
      </c>
      <c r="T5036" s="2">
        <f>MASTER[[#This Row],[CANTIDAD]]*MASTER[[#This Row],[PRECIO DE VENTA]]</f>
        <v>2030</v>
      </c>
      <c r="U5036" s="2">
        <f>MASTER[[#This Row],[CANTIDAD]]*MASTER[[#This Row],[COSTO UNITARIO]]</f>
        <v>394</v>
      </c>
      <c r="V5036" s="2">
        <f>MASTER[[#This Row],[MONTO VENDIDO]]-MASTER[[#This Row],[COSTO DE VENTA]]</f>
        <v>1636</v>
      </c>
    </row>
    <row r="5037" spans="1:22" x14ac:dyDescent="0.3">
      <c r="A5037">
        <v>72106</v>
      </c>
      <c r="B5037">
        <v>1</v>
      </c>
      <c r="C5037" t="s">
        <v>90</v>
      </c>
      <c r="D5037" t="s">
        <v>91</v>
      </c>
      <c r="E5037" s="1">
        <v>44385</v>
      </c>
      <c r="F5037">
        <v>1</v>
      </c>
      <c r="G5037" t="s">
        <v>37</v>
      </c>
      <c r="H5037" t="s">
        <v>38</v>
      </c>
      <c r="I5037" s="3">
        <v>1844</v>
      </c>
      <c r="J5037" s="3">
        <v>1844</v>
      </c>
      <c r="K5037" s="3">
        <v>420</v>
      </c>
      <c r="L5037" t="s">
        <v>9</v>
      </c>
      <c r="M5037">
        <v>15</v>
      </c>
      <c r="N5037" t="s">
        <v>88</v>
      </c>
      <c r="O5037" t="s">
        <v>81</v>
      </c>
      <c r="P5037" t="s">
        <v>18</v>
      </c>
      <c r="Q5037" t="s">
        <v>19</v>
      </c>
      <c r="R5037" t="s">
        <v>138</v>
      </c>
      <c r="S5037" t="s">
        <v>144</v>
      </c>
      <c r="T5037" s="2">
        <f>MASTER[[#This Row],[CANTIDAD]]*MASTER[[#This Row],[PRECIO DE VENTA]]</f>
        <v>1844</v>
      </c>
      <c r="U5037" s="2">
        <f>MASTER[[#This Row],[CANTIDAD]]*MASTER[[#This Row],[COSTO UNITARIO]]</f>
        <v>420</v>
      </c>
      <c r="V5037" s="2">
        <f>MASTER[[#This Row],[MONTO VENDIDO]]-MASTER[[#This Row],[COSTO DE VENTA]]</f>
        <v>1424</v>
      </c>
    </row>
    <row r="5038" spans="1:22" x14ac:dyDescent="0.3">
      <c r="A5038">
        <v>72120</v>
      </c>
      <c r="B5038">
        <v>1</v>
      </c>
      <c r="C5038" t="s">
        <v>92</v>
      </c>
      <c r="D5038" t="s">
        <v>93</v>
      </c>
      <c r="E5038" s="1">
        <v>44385</v>
      </c>
      <c r="F5038">
        <v>1</v>
      </c>
      <c r="G5038" t="s">
        <v>20</v>
      </c>
      <c r="H5038" t="s">
        <v>21</v>
      </c>
      <c r="I5038" s="3">
        <v>1681</v>
      </c>
      <c r="J5038" s="3">
        <v>1681</v>
      </c>
      <c r="K5038" s="3">
        <v>396</v>
      </c>
      <c r="L5038" t="s">
        <v>9</v>
      </c>
      <c r="M5038">
        <v>7</v>
      </c>
      <c r="N5038" t="s">
        <v>84</v>
      </c>
      <c r="O5038" t="s">
        <v>81</v>
      </c>
      <c r="P5038" t="s">
        <v>12</v>
      </c>
      <c r="Q5038" t="s">
        <v>13</v>
      </c>
      <c r="R5038" t="s">
        <v>13</v>
      </c>
      <c r="S5038" t="s">
        <v>144</v>
      </c>
      <c r="T5038" s="2">
        <f>MASTER[[#This Row],[CANTIDAD]]*MASTER[[#This Row],[PRECIO DE VENTA]]</f>
        <v>1681</v>
      </c>
      <c r="U5038" s="2">
        <f>MASTER[[#This Row],[CANTIDAD]]*MASTER[[#This Row],[COSTO UNITARIO]]</f>
        <v>396</v>
      </c>
      <c r="V5038" s="2">
        <f>MASTER[[#This Row],[MONTO VENDIDO]]-MASTER[[#This Row],[COSTO DE VENTA]]</f>
        <v>1285</v>
      </c>
    </row>
    <row r="5039" spans="1:22" x14ac:dyDescent="0.3">
      <c r="A5039">
        <v>72140</v>
      </c>
      <c r="B5039">
        <v>1</v>
      </c>
      <c r="C5039" t="s">
        <v>103</v>
      </c>
      <c r="D5039" t="s">
        <v>104</v>
      </c>
      <c r="E5039" s="1">
        <v>44385</v>
      </c>
      <c r="F5039">
        <v>4</v>
      </c>
      <c r="G5039" t="s">
        <v>73</v>
      </c>
      <c r="H5039" t="s">
        <v>74</v>
      </c>
      <c r="I5039" s="3">
        <v>1591</v>
      </c>
      <c r="J5039" s="3">
        <v>1591</v>
      </c>
      <c r="K5039" s="3">
        <v>421</v>
      </c>
      <c r="L5039" t="s">
        <v>98</v>
      </c>
      <c r="M5039">
        <v>10</v>
      </c>
      <c r="N5039" t="s">
        <v>83</v>
      </c>
      <c r="O5039" t="s">
        <v>81</v>
      </c>
      <c r="P5039" t="s">
        <v>12</v>
      </c>
      <c r="Q5039" t="s">
        <v>13</v>
      </c>
      <c r="R5039" t="s">
        <v>13</v>
      </c>
      <c r="S5039" t="s">
        <v>144</v>
      </c>
      <c r="T5039" s="2">
        <f>MASTER[[#This Row],[CANTIDAD]]*MASTER[[#This Row],[PRECIO DE VENTA]]</f>
        <v>6364</v>
      </c>
      <c r="U5039" s="2">
        <f>MASTER[[#This Row],[CANTIDAD]]*MASTER[[#This Row],[COSTO UNITARIO]]</f>
        <v>1684</v>
      </c>
      <c r="V5039" s="2">
        <f>MASTER[[#This Row],[MONTO VENDIDO]]-MASTER[[#This Row],[COSTO DE VENTA]]</f>
        <v>4680</v>
      </c>
    </row>
    <row r="5040" spans="1:22" x14ac:dyDescent="0.3">
      <c r="A5040">
        <v>72157</v>
      </c>
      <c r="B5040">
        <v>1</v>
      </c>
      <c r="C5040" t="s">
        <v>5</v>
      </c>
      <c r="D5040" t="s">
        <v>6</v>
      </c>
      <c r="E5040" s="1">
        <v>44385</v>
      </c>
      <c r="F5040">
        <v>1</v>
      </c>
      <c r="G5040" t="s">
        <v>37</v>
      </c>
      <c r="H5040" t="s">
        <v>38</v>
      </c>
      <c r="I5040" s="3">
        <v>1296</v>
      </c>
      <c r="J5040" s="3">
        <v>1296</v>
      </c>
      <c r="K5040" s="3">
        <v>393</v>
      </c>
      <c r="L5040" t="s">
        <v>9</v>
      </c>
      <c r="M5040">
        <v>6</v>
      </c>
      <c r="N5040" t="s">
        <v>75</v>
      </c>
      <c r="O5040" t="s">
        <v>70</v>
      </c>
      <c r="P5040" t="s">
        <v>12</v>
      </c>
      <c r="Q5040" t="s">
        <v>13</v>
      </c>
      <c r="R5040" t="s">
        <v>13</v>
      </c>
      <c r="S5040" t="s">
        <v>144</v>
      </c>
      <c r="T5040" s="2">
        <f>MASTER[[#This Row],[CANTIDAD]]*MASTER[[#This Row],[PRECIO DE VENTA]]</f>
        <v>1296</v>
      </c>
      <c r="U5040" s="2">
        <f>MASTER[[#This Row],[CANTIDAD]]*MASTER[[#This Row],[COSTO UNITARIO]]</f>
        <v>393</v>
      </c>
      <c r="V5040" s="2">
        <f>MASTER[[#This Row],[MONTO VENDIDO]]-MASTER[[#This Row],[COSTO DE VENTA]]</f>
        <v>903</v>
      </c>
    </row>
    <row r="5041" spans="1:22" x14ac:dyDescent="0.3">
      <c r="A5041">
        <v>72168</v>
      </c>
      <c r="B5041">
        <v>1</v>
      </c>
      <c r="C5041" t="s">
        <v>109</v>
      </c>
      <c r="D5041" t="s">
        <v>110</v>
      </c>
      <c r="E5041" s="1">
        <v>44386</v>
      </c>
      <c r="F5041">
        <v>1</v>
      </c>
      <c r="G5041" t="s">
        <v>67</v>
      </c>
      <c r="H5041" t="s">
        <v>68</v>
      </c>
      <c r="I5041" s="3">
        <v>947</v>
      </c>
      <c r="J5041" s="3">
        <v>947</v>
      </c>
      <c r="K5041" s="3">
        <v>387</v>
      </c>
      <c r="L5041" t="s">
        <v>98</v>
      </c>
      <c r="M5041">
        <v>11</v>
      </c>
      <c r="N5041" t="s">
        <v>10</v>
      </c>
      <c r="O5041" t="s">
        <v>11</v>
      </c>
      <c r="P5041" t="s">
        <v>12</v>
      </c>
      <c r="Q5041" t="s">
        <v>13</v>
      </c>
      <c r="R5041" t="s">
        <v>13</v>
      </c>
      <c r="S5041" t="s">
        <v>144</v>
      </c>
      <c r="T5041" s="2">
        <f>MASTER[[#This Row],[CANTIDAD]]*MASTER[[#This Row],[PRECIO DE VENTA]]</f>
        <v>947</v>
      </c>
      <c r="U5041" s="2">
        <f>MASTER[[#This Row],[CANTIDAD]]*MASTER[[#This Row],[COSTO UNITARIO]]</f>
        <v>387</v>
      </c>
      <c r="V5041" s="2">
        <f>MASTER[[#This Row],[MONTO VENDIDO]]-MASTER[[#This Row],[COSTO DE VENTA]]</f>
        <v>560</v>
      </c>
    </row>
    <row r="5042" spans="1:22" x14ac:dyDescent="0.3">
      <c r="A5042">
        <v>72189</v>
      </c>
      <c r="B5042">
        <v>1</v>
      </c>
      <c r="C5042" t="s">
        <v>116</v>
      </c>
      <c r="D5042" t="s">
        <v>117</v>
      </c>
      <c r="E5042" s="1">
        <v>44386</v>
      </c>
      <c r="F5042">
        <v>1</v>
      </c>
      <c r="G5042" t="s">
        <v>59</v>
      </c>
      <c r="H5042" t="s">
        <v>60</v>
      </c>
      <c r="I5042" s="3">
        <v>1529</v>
      </c>
      <c r="J5042" s="3">
        <v>1529</v>
      </c>
      <c r="K5042" s="3">
        <v>388</v>
      </c>
      <c r="L5042" t="s">
        <v>113</v>
      </c>
      <c r="M5042">
        <v>16</v>
      </c>
      <c r="N5042" t="s">
        <v>17</v>
      </c>
      <c r="O5042" t="s">
        <v>11</v>
      </c>
      <c r="P5042" t="s">
        <v>18</v>
      </c>
      <c r="Q5042" t="s">
        <v>19</v>
      </c>
      <c r="R5042" t="s">
        <v>138</v>
      </c>
      <c r="S5042" t="s">
        <v>144</v>
      </c>
      <c r="T5042" s="2">
        <f>MASTER[[#This Row],[CANTIDAD]]*MASTER[[#This Row],[PRECIO DE VENTA]]</f>
        <v>1529</v>
      </c>
      <c r="U5042" s="2">
        <f>MASTER[[#This Row],[CANTIDAD]]*MASTER[[#This Row],[COSTO UNITARIO]]</f>
        <v>388</v>
      </c>
      <c r="V5042" s="2">
        <f>MASTER[[#This Row],[MONTO VENDIDO]]-MASTER[[#This Row],[COSTO DE VENTA]]</f>
        <v>1141</v>
      </c>
    </row>
    <row r="5043" spans="1:22" x14ac:dyDescent="0.3">
      <c r="A5043">
        <v>72213</v>
      </c>
      <c r="B5043">
        <v>1</v>
      </c>
      <c r="C5043" t="s">
        <v>101</v>
      </c>
      <c r="D5043" t="s">
        <v>102</v>
      </c>
      <c r="E5043" s="1">
        <v>44386</v>
      </c>
      <c r="F5043">
        <v>1</v>
      </c>
      <c r="G5043" t="s">
        <v>22</v>
      </c>
      <c r="H5043" t="s">
        <v>23</v>
      </c>
      <c r="I5043" s="3">
        <v>1212</v>
      </c>
      <c r="J5043" s="3">
        <v>1212</v>
      </c>
      <c r="K5043" s="3">
        <v>442</v>
      </c>
      <c r="L5043" t="s">
        <v>98</v>
      </c>
      <c r="M5043">
        <v>15</v>
      </c>
      <c r="N5043" t="s">
        <v>88</v>
      </c>
      <c r="O5043" t="s">
        <v>81</v>
      </c>
      <c r="P5043" t="s">
        <v>18</v>
      </c>
      <c r="Q5043" t="s">
        <v>19</v>
      </c>
      <c r="R5043" t="s">
        <v>138</v>
      </c>
      <c r="S5043" t="s">
        <v>144</v>
      </c>
      <c r="T5043" s="2">
        <f>MASTER[[#This Row],[CANTIDAD]]*MASTER[[#This Row],[PRECIO DE VENTA]]</f>
        <v>1212</v>
      </c>
      <c r="U5043" s="2">
        <f>MASTER[[#This Row],[CANTIDAD]]*MASTER[[#This Row],[COSTO UNITARIO]]</f>
        <v>442</v>
      </c>
      <c r="V5043" s="2">
        <f>MASTER[[#This Row],[MONTO VENDIDO]]-MASTER[[#This Row],[COSTO DE VENTA]]</f>
        <v>770</v>
      </c>
    </row>
    <row r="5044" spans="1:22" x14ac:dyDescent="0.3">
      <c r="A5044">
        <v>72260</v>
      </c>
      <c r="B5044">
        <v>2</v>
      </c>
      <c r="C5044" t="s">
        <v>90</v>
      </c>
      <c r="D5044" t="s">
        <v>91</v>
      </c>
      <c r="E5044" s="1">
        <v>44386</v>
      </c>
      <c r="F5044">
        <v>1</v>
      </c>
      <c r="G5044" t="s">
        <v>27</v>
      </c>
      <c r="H5044" t="s">
        <v>28</v>
      </c>
      <c r="I5044" s="3">
        <v>2102</v>
      </c>
      <c r="J5044" s="3">
        <v>2102</v>
      </c>
      <c r="K5044" s="3">
        <v>420</v>
      </c>
      <c r="L5044" t="s">
        <v>9</v>
      </c>
      <c r="M5044">
        <v>6</v>
      </c>
      <c r="N5044" t="s">
        <v>75</v>
      </c>
      <c r="O5044" t="s">
        <v>70</v>
      </c>
      <c r="P5044" t="s">
        <v>12</v>
      </c>
      <c r="Q5044" t="s">
        <v>13</v>
      </c>
      <c r="R5044" t="s">
        <v>13</v>
      </c>
      <c r="S5044" t="s">
        <v>144</v>
      </c>
      <c r="T5044" s="2">
        <f>MASTER[[#This Row],[CANTIDAD]]*MASTER[[#This Row],[PRECIO DE VENTA]]</f>
        <v>2102</v>
      </c>
      <c r="U5044" s="2">
        <f>MASTER[[#This Row],[CANTIDAD]]*MASTER[[#This Row],[COSTO UNITARIO]]</f>
        <v>420</v>
      </c>
      <c r="V5044" s="2">
        <f>MASTER[[#This Row],[MONTO VENDIDO]]-MASTER[[#This Row],[COSTO DE VENTA]]</f>
        <v>1682</v>
      </c>
    </row>
    <row r="5045" spans="1:22" x14ac:dyDescent="0.3">
      <c r="A5045">
        <v>72260</v>
      </c>
      <c r="B5045">
        <v>1</v>
      </c>
      <c r="C5045" t="s">
        <v>103</v>
      </c>
      <c r="D5045" t="s">
        <v>104</v>
      </c>
      <c r="E5045" s="1">
        <v>44386</v>
      </c>
      <c r="F5045">
        <v>1</v>
      </c>
      <c r="G5045" t="s">
        <v>59</v>
      </c>
      <c r="H5045" t="s">
        <v>60</v>
      </c>
      <c r="I5045" s="3">
        <v>1830</v>
      </c>
      <c r="J5045" s="3">
        <v>1830</v>
      </c>
      <c r="K5045" s="3">
        <v>421</v>
      </c>
      <c r="L5045" t="s">
        <v>98</v>
      </c>
      <c r="M5045">
        <v>6</v>
      </c>
      <c r="N5045" t="s">
        <v>75</v>
      </c>
      <c r="O5045" t="s">
        <v>70</v>
      </c>
      <c r="P5045" t="s">
        <v>12</v>
      </c>
      <c r="Q5045" t="s">
        <v>13</v>
      </c>
      <c r="R5045" t="s">
        <v>13</v>
      </c>
      <c r="S5045" t="s">
        <v>144</v>
      </c>
      <c r="T5045" s="2">
        <f>MASTER[[#This Row],[CANTIDAD]]*MASTER[[#This Row],[PRECIO DE VENTA]]</f>
        <v>1830</v>
      </c>
      <c r="U5045" s="2">
        <f>MASTER[[#This Row],[CANTIDAD]]*MASTER[[#This Row],[COSTO UNITARIO]]</f>
        <v>421</v>
      </c>
      <c r="V5045" s="2">
        <f>MASTER[[#This Row],[MONTO VENDIDO]]-MASTER[[#This Row],[COSTO DE VENTA]]</f>
        <v>1409</v>
      </c>
    </row>
    <row r="5046" spans="1:22" x14ac:dyDescent="0.3">
      <c r="A5046">
        <v>72268</v>
      </c>
      <c r="B5046">
        <v>1</v>
      </c>
      <c r="C5046" t="s">
        <v>99</v>
      </c>
      <c r="D5046" t="s">
        <v>100</v>
      </c>
      <c r="E5046" s="1">
        <v>44386</v>
      </c>
      <c r="F5046">
        <v>1</v>
      </c>
      <c r="G5046" t="s">
        <v>49</v>
      </c>
      <c r="H5046" t="s">
        <v>50</v>
      </c>
      <c r="I5046" s="3">
        <v>1459</v>
      </c>
      <c r="J5046" s="3">
        <v>1459</v>
      </c>
      <c r="K5046" s="3">
        <v>386</v>
      </c>
      <c r="L5046" t="s">
        <v>98</v>
      </c>
      <c r="M5046">
        <v>19</v>
      </c>
      <c r="N5046" t="s">
        <v>89</v>
      </c>
      <c r="O5046" t="s">
        <v>81</v>
      </c>
      <c r="P5046" t="s">
        <v>15</v>
      </c>
      <c r="Q5046" t="s">
        <v>16</v>
      </c>
      <c r="R5046" t="s">
        <v>16</v>
      </c>
      <c r="S5046" t="s">
        <v>144</v>
      </c>
      <c r="T5046" s="2">
        <f>MASTER[[#This Row],[CANTIDAD]]*MASTER[[#This Row],[PRECIO DE VENTA]]</f>
        <v>1459</v>
      </c>
      <c r="U5046" s="2">
        <f>MASTER[[#This Row],[CANTIDAD]]*MASTER[[#This Row],[COSTO UNITARIO]]</f>
        <v>386</v>
      </c>
      <c r="V5046" s="2">
        <f>MASTER[[#This Row],[MONTO VENDIDO]]-MASTER[[#This Row],[COSTO DE VENTA]]</f>
        <v>1073</v>
      </c>
    </row>
    <row r="5047" spans="1:22" x14ac:dyDescent="0.3">
      <c r="A5047">
        <v>72272</v>
      </c>
      <c r="B5047">
        <v>1</v>
      </c>
      <c r="C5047" t="s">
        <v>99</v>
      </c>
      <c r="D5047" t="s">
        <v>100</v>
      </c>
      <c r="E5047" s="1">
        <v>44386</v>
      </c>
      <c r="F5047">
        <v>4</v>
      </c>
      <c r="G5047" t="s">
        <v>27</v>
      </c>
      <c r="H5047" t="s">
        <v>28</v>
      </c>
      <c r="I5047" s="3">
        <v>1328</v>
      </c>
      <c r="J5047" s="3">
        <v>1328</v>
      </c>
      <c r="K5047" s="3">
        <v>386</v>
      </c>
      <c r="L5047" t="s">
        <v>98</v>
      </c>
      <c r="M5047">
        <v>11</v>
      </c>
      <c r="N5047" t="s">
        <v>10</v>
      </c>
      <c r="O5047" t="s">
        <v>11</v>
      </c>
      <c r="P5047" t="s">
        <v>12</v>
      </c>
      <c r="Q5047" t="s">
        <v>13</v>
      </c>
      <c r="R5047" t="s">
        <v>13</v>
      </c>
      <c r="S5047" t="s">
        <v>144</v>
      </c>
      <c r="T5047" s="2">
        <f>MASTER[[#This Row],[CANTIDAD]]*MASTER[[#This Row],[PRECIO DE VENTA]]</f>
        <v>5312</v>
      </c>
      <c r="U5047" s="2">
        <f>MASTER[[#This Row],[CANTIDAD]]*MASTER[[#This Row],[COSTO UNITARIO]]</f>
        <v>1544</v>
      </c>
      <c r="V5047" s="2">
        <f>MASTER[[#This Row],[MONTO VENDIDO]]-MASTER[[#This Row],[COSTO DE VENTA]]</f>
        <v>3768</v>
      </c>
    </row>
    <row r="5048" spans="1:22" x14ac:dyDescent="0.3">
      <c r="A5048">
        <v>72301</v>
      </c>
      <c r="B5048">
        <v>1</v>
      </c>
      <c r="C5048" t="s">
        <v>92</v>
      </c>
      <c r="D5048" t="s">
        <v>93</v>
      </c>
      <c r="E5048" s="1">
        <v>44386</v>
      </c>
      <c r="F5048">
        <v>1</v>
      </c>
      <c r="G5048" t="s">
        <v>35</v>
      </c>
      <c r="H5048" t="s">
        <v>36</v>
      </c>
      <c r="I5048" s="3">
        <v>1866</v>
      </c>
      <c r="J5048" s="3">
        <v>1866</v>
      </c>
      <c r="K5048" s="3">
        <v>396</v>
      </c>
      <c r="L5048" t="s">
        <v>9</v>
      </c>
      <c r="M5048">
        <v>9</v>
      </c>
      <c r="N5048" t="s">
        <v>76</v>
      </c>
      <c r="O5048" t="s">
        <v>70</v>
      </c>
      <c r="P5048" t="s">
        <v>12</v>
      </c>
      <c r="Q5048" t="s">
        <v>13</v>
      </c>
      <c r="R5048" t="s">
        <v>13</v>
      </c>
      <c r="S5048" t="s">
        <v>144</v>
      </c>
      <c r="T5048" s="2">
        <f>MASTER[[#This Row],[CANTIDAD]]*MASTER[[#This Row],[PRECIO DE VENTA]]</f>
        <v>1866</v>
      </c>
      <c r="U5048" s="2">
        <f>MASTER[[#This Row],[CANTIDAD]]*MASTER[[#This Row],[COSTO UNITARIO]]</f>
        <v>396</v>
      </c>
      <c r="V5048" s="2">
        <f>MASTER[[#This Row],[MONTO VENDIDO]]-MASTER[[#This Row],[COSTO DE VENTA]]</f>
        <v>1470</v>
      </c>
    </row>
    <row r="5049" spans="1:22" x14ac:dyDescent="0.3">
      <c r="A5049">
        <v>72309</v>
      </c>
      <c r="B5049">
        <v>1</v>
      </c>
      <c r="C5049" t="s">
        <v>99</v>
      </c>
      <c r="D5049" t="s">
        <v>100</v>
      </c>
      <c r="E5049" s="1">
        <v>44386</v>
      </c>
      <c r="F5049">
        <v>1</v>
      </c>
      <c r="G5049" t="s">
        <v>49</v>
      </c>
      <c r="H5049" t="s">
        <v>50</v>
      </c>
      <c r="I5049" s="3">
        <v>1328</v>
      </c>
      <c r="J5049" s="3">
        <v>1261</v>
      </c>
      <c r="K5049" s="3">
        <v>386</v>
      </c>
      <c r="L5049" t="s">
        <v>98</v>
      </c>
      <c r="M5049">
        <v>17</v>
      </c>
      <c r="N5049" t="s">
        <v>14</v>
      </c>
      <c r="O5049" t="s">
        <v>11</v>
      </c>
      <c r="P5049" t="s">
        <v>15</v>
      </c>
      <c r="Q5049" t="s">
        <v>16</v>
      </c>
      <c r="R5049" t="s">
        <v>16</v>
      </c>
      <c r="S5049" t="s">
        <v>144</v>
      </c>
      <c r="T5049" s="2">
        <f>MASTER[[#This Row],[CANTIDAD]]*MASTER[[#This Row],[PRECIO DE VENTA]]</f>
        <v>1261</v>
      </c>
      <c r="U5049" s="2">
        <f>MASTER[[#This Row],[CANTIDAD]]*MASTER[[#This Row],[COSTO UNITARIO]]</f>
        <v>386</v>
      </c>
      <c r="V5049" s="2">
        <f>MASTER[[#This Row],[MONTO VENDIDO]]-MASTER[[#This Row],[COSTO DE VENTA]]</f>
        <v>875</v>
      </c>
    </row>
    <row r="5050" spans="1:22" x14ac:dyDescent="0.3">
      <c r="A5050">
        <v>72318</v>
      </c>
      <c r="B5050">
        <v>1</v>
      </c>
      <c r="C5050" t="s">
        <v>92</v>
      </c>
      <c r="D5050" t="s">
        <v>93</v>
      </c>
      <c r="E5050" s="1">
        <v>44386</v>
      </c>
      <c r="F5050">
        <v>2</v>
      </c>
      <c r="G5050" t="s">
        <v>61</v>
      </c>
      <c r="H5050" t="s">
        <v>62</v>
      </c>
      <c r="I5050" s="3">
        <v>1479</v>
      </c>
      <c r="J5050" s="3">
        <v>1375</v>
      </c>
      <c r="K5050" s="3">
        <v>396</v>
      </c>
      <c r="L5050" t="s">
        <v>9</v>
      </c>
      <c r="M5050">
        <v>12</v>
      </c>
      <c r="N5050" t="s">
        <v>26</v>
      </c>
      <c r="O5050" t="s">
        <v>11</v>
      </c>
      <c r="P5050" t="s">
        <v>12</v>
      </c>
      <c r="Q5050" t="s">
        <v>13</v>
      </c>
      <c r="R5050" t="s">
        <v>13</v>
      </c>
      <c r="S5050" t="s">
        <v>144</v>
      </c>
      <c r="T5050" s="2">
        <f>MASTER[[#This Row],[CANTIDAD]]*MASTER[[#This Row],[PRECIO DE VENTA]]</f>
        <v>2750</v>
      </c>
      <c r="U5050" s="2">
        <f>MASTER[[#This Row],[CANTIDAD]]*MASTER[[#This Row],[COSTO UNITARIO]]</f>
        <v>792</v>
      </c>
      <c r="V5050" s="2">
        <f>MASTER[[#This Row],[MONTO VENDIDO]]-MASTER[[#This Row],[COSTO DE VENTA]]</f>
        <v>1958</v>
      </c>
    </row>
    <row r="5051" spans="1:22" x14ac:dyDescent="0.3">
      <c r="A5051">
        <v>72326</v>
      </c>
      <c r="B5051">
        <v>1</v>
      </c>
      <c r="C5051" t="s">
        <v>109</v>
      </c>
      <c r="D5051" t="s">
        <v>110</v>
      </c>
      <c r="E5051" s="1">
        <v>44386</v>
      </c>
      <c r="F5051">
        <v>1</v>
      </c>
      <c r="G5051" t="s">
        <v>73</v>
      </c>
      <c r="H5051" t="s">
        <v>74</v>
      </c>
      <c r="I5051" s="3">
        <v>1128</v>
      </c>
      <c r="J5051" s="3">
        <v>1128</v>
      </c>
      <c r="K5051" s="3">
        <v>387</v>
      </c>
      <c r="L5051" t="s">
        <v>98</v>
      </c>
      <c r="M5051">
        <v>1</v>
      </c>
      <c r="N5051" t="s">
        <v>77</v>
      </c>
      <c r="O5051" t="s">
        <v>70</v>
      </c>
      <c r="P5051" t="s">
        <v>71</v>
      </c>
      <c r="Q5051" t="s">
        <v>72</v>
      </c>
      <c r="R5051" t="s">
        <v>139</v>
      </c>
      <c r="S5051" t="s">
        <v>144</v>
      </c>
      <c r="T5051" s="2">
        <f>MASTER[[#This Row],[CANTIDAD]]*MASTER[[#This Row],[PRECIO DE VENTA]]</f>
        <v>1128</v>
      </c>
      <c r="U5051" s="2">
        <f>MASTER[[#This Row],[CANTIDAD]]*MASTER[[#This Row],[COSTO UNITARIO]]</f>
        <v>387</v>
      </c>
      <c r="V5051" s="2">
        <f>MASTER[[#This Row],[MONTO VENDIDO]]-MASTER[[#This Row],[COSTO DE VENTA]]</f>
        <v>741</v>
      </c>
    </row>
    <row r="5052" spans="1:22" x14ac:dyDescent="0.3">
      <c r="A5052">
        <v>72343</v>
      </c>
      <c r="B5052">
        <v>1</v>
      </c>
      <c r="C5052" t="s">
        <v>107</v>
      </c>
      <c r="D5052" t="s">
        <v>108</v>
      </c>
      <c r="E5052" s="1">
        <v>44387</v>
      </c>
      <c r="F5052">
        <v>1</v>
      </c>
      <c r="G5052" t="s">
        <v>65</v>
      </c>
      <c r="H5052" t="s">
        <v>66</v>
      </c>
      <c r="I5052" s="3">
        <v>1240</v>
      </c>
      <c r="J5052" s="3">
        <v>1240</v>
      </c>
      <c r="K5052" s="3">
        <v>380</v>
      </c>
      <c r="L5052" t="s">
        <v>98</v>
      </c>
      <c r="M5052">
        <v>17</v>
      </c>
      <c r="N5052" t="s">
        <v>14</v>
      </c>
      <c r="O5052" t="s">
        <v>11</v>
      </c>
      <c r="P5052" t="s">
        <v>15</v>
      </c>
      <c r="Q5052" t="s">
        <v>16</v>
      </c>
      <c r="R5052" t="s">
        <v>16</v>
      </c>
      <c r="S5052" t="s">
        <v>144</v>
      </c>
      <c r="T5052" s="2">
        <f>MASTER[[#This Row],[CANTIDAD]]*MASTER[[#This Row],[PRECIO DE VENTA]]</f>
        <v>1240</v>
      </c>
      <c r="U5052" s="2">
        <f>MASTER[[#This Row],[CANTIDAD]]*MASTER[[#This Row],[COSTO UNITARIO]]</f>
        <v>380</v>
      </c>
      <c r="V5052" s="2">
        <f>MASTER[[#This Row],[MONTO VENDIDO]]-MASTER[[#This Row],[COSTO DE VENTA]]</f>
        <v>860</v>
      </c>
    </row>
    <row r="5053" spans="1:22" x14ac:dyDescent="0.3">
      <c r="A5053">
        <v>72345</v>
      </c>
      <c r="B5053">
        <v>1</v>
      </c>
      <c r="C5053" t="s">
        <v>116</v>
      </c>
      <c r="D5053" t="s">
        <v>117</v>
      </c>
      <c r="E5053" s="1">
        <v>44387</v>
      </c>
      <c r="F5053">
        <v>1</v>
      </c>
      <c r="G5053" t="s">
        <v>59</v>
      </c>
      <c r="H5053" t="s">
        <v>60</v>
      </c>
      <c r="I5053" s="3">
        <v>1738</v>
      </c>
      <c r="J5053" s="3">
        <v>1738</v>
      </c>
      <c r="K5053" s="3">
        <v>388</v>
      </c>
      <c r="L5053" t="s">
        <v>113</v>
      </c>
      <c r="M5053">
        <v>5</v>
      </c>
      <c r="N5053" t="s">
        <v>85</v>
      </c>
      <c r="O5053" t="s">
        <v>81</v>
      </c>
      <c r="P5053" t="s">
        <v>12</v>
      </c>
      <c r="Q5053" t="s">
        <v>13</v>
      </c>
      <c r="R5053" t="s">
        <v>13</v>
      </c>
      <c r="S5053" t="s">
        <v>144</v>
      </c>
      <c r="T5053" s="2">
        <f>MASTER[[#This Row],[CANTIDAD]]*MASTER[[#This Row],[PRECIO DE VENTA]]</f>
        <v>1738</v>
      </c>
      <c r="U5053" s="2">
        <f>MASTER[[#This Row],[CANTIDAD]]*MASTER[[#This Row],[COSTO UNITARIO]]</f>
        <v>388</v>
      </c>
      <c r="V5053" s="2">
        <f>MASTER[[#This Row],[MONTO VENDIDO]]-MASTER[[#This Row],[COSTO DE VENTA]]</f>
        <v>1350</v>
      </c>
    </row>
    <row r="5054" spans="1:22" x14ac:dyDescent="0.3">
      <c r="A5054">
        <v>72347</v>
      </c>
      <c r="B5054">
        <v>1</v>
      </c>
      <c r="C5054" t="s">
        <v>5</v>
      </c>
      <c r="D5054" t="s">
        <v>6</v>
      </c>
      <c r="E5054" s="1">
        <v>44387</v>
      </c>
      <c r="F5054">
        <v>1</v>
      </c>
      <c r="G5054" t="s">
        <v>20</v>
      </c>
      <c r="H5054" t="s">
        <v>21</v>
      </c>
      <c r="I5054" s="3">
        <v>1296</v>
      </c>
      <c r="J5054" s="3">
        <v>1296</v>
      </c>
      <c r="K5054" s="3">
        <v>393</v>
      </c>
      <c r="L5054" t="s">
        <v>9</v>
      </c>
      <c r="M5054">
        <v>13</v>
      </c>
      <c r="N5054" t="s">
        <v>78</v>
      </c>
      <c r="O5054" t="s">
        <v>70</v>
      </c>
      <c r="P5054" t="s">
        <v>18</v>
      </c>
      <c r="Q5054" t="s">
        <v>19</v>
      </c>
      <c r="R5054" t="s">
        <v>138</v>
      </c>
      <c r="S5054" t="s">
        <v>144</v>
      </c>
      <c r="T5054" s="2">
        <f>MASTER[[#This Row],[CANTIDAD]]*MASTER[[#This Row],[PRECIO DE VENTA]]</f>
        <v>1296</v>
      </c>
      <c r="U5054" s="2">
        <f>MASTER[[#This Row],[CANTIDAD]]*MASTER[[#This Row],[COSTO UNITARIO]]</f>
        <v>393</v>
      </c>
      <c r="V5054" s="2">
        <f>MASTER[[#This Row],[MONTO VENDIDO]]-MASTER[[#This Row],[COSTO DE VENTA]]</f>
        <v>903</v>
      </c>
    </row>
    <row r="5055" spans="1:22" x14ac:dyDescent="0.3">
      <c r="A5055">
        <v>72360</v>
      </c>
      <c r="B5055">
        <v>1</v>
      </c>
      <c r="C5055" t="s">
        <v>101</v>
      </c>
      <c r="D5055" t="s">
        <v>102</v>
      </c>
      <c r="E5055" s="1">
        <v>44387</v>
      </c>
      <c r="F5055">
        <v>1</v>
      </c>
      <c r="G5055" t="s">
        <v>67</v>
      </c>
      <c r="H5055" t="s">
        <v>68</v>
      </c>
      <c r="I5055" s="3">
        <v>1357</v>
      </c>
      <c r="J5055" s="3">
        <v>1357</v>
      </c>
      <c r="K5055" s="3">
        <v>442</v>
      </c>
      <c r="L5055" t="s">
        <v>98</v>
      </c>
      <c r="M5055">
        <v>13</v>
      </c>
      <c r="N5055" t="s">
        <v>78</v>
      </c>
      <c r="O5055" t="s">
        <v>70</v>
      </c>
      <c r="P5055" t="s">
        <v>18</v>
      </c>
      <c r="Q5055" t="s">
        <v>19</v>
      </c>
      <c r="R5055" t="s">
        <v>138</v>
      </c>
      <c r="S5055" t="s">
        <v>144</v>
      </c>
      <c r="T5055" s="2">
        <f>MASTER[[#This Row],[CANTIDAD]]*MASTER[[#This Row],[PRECIO DE VENTA]]</f>
        <v>1357</v>
      </c>
      <c r="U5055" s="2">
        <f>MASTER[[#This Row],[CANTIDAD]]*MASTER[[#This Row],[COSTO UNITARIO]]</f>
        <v>442</v>
      </c>
      <c r="V5055" s="2">
        <f>MASTER[[#This Row],[MONTO VENDIDO]]-MASTER[[#This Row],[COSTO DE VENTA]]</f>
        <v>915</v>
      </c>
    </row>
    <row r="5056" spans="1:22" x14ac:dyDescent="0.3">
      <c r="A5056">
        <v>72384</v>
      </c>
      <c r="B5056">
        <v>1</v>
      </c>
      <c r="C5056" t="s">
        <v>103</v>
      </c>
      <c r="D5056" t="s">
        <v>104</v>
      </c>
      <c r="E5056" s="1">
        <v>44387</v>
      </c>
      <c r="F5056">
        <v>1</v>
      </c>
      <c r="G5056" t="s">
        <v>43</v>
      </c>
      <c r="H5056" t="s">
        <v>44</v>
      </c>
      <c r="I5056" s="3">
        <v>1591</v>
      </c>
      <c r="J5056" s="3">
        <v>1591</v>
      </c>
      <c r="K5056" s="3">
        <v>421</v>
      </c>
      <c r="L5056" t="s">
        <v>98</v>
      </c>
      <c r="M5056">
        <v>5</v>
      </c>
      <c r="N5056" t="s">
        <v>85</v>
      </c>
      <c r="O5056" t="s">
        <v>81</v>
      </c>
      <c r="P5056" t="s">
        <v>12</v>
      </c>
      <c r="Q5056" t="s">
        <v>13</v>
      </c>
      <c r="R5056" t="s">
        <v>13</v>
      </c>
      <c r="S5056" t="s">
        <v>144</v>
      </c>
      <c r="T5056" s="2">
        <f>MASTER[[#This Row],[CANTIDAD]]*MASTER[[#This Row],[PRECIO DE VENTA]]</f>
        <v>1591</v>
      </c>
      <c r="U5056" s="2">
        <f>MASTER[[#This Row],[CANTIDAD]]*MASTER[[#This Row],[COSTO UNITARIO]]</f>
        <v>421</v>
      </c>
      <c r="V5056" s="2">
        <f>MASTER[[#This Row],[MONTO VENDIDO]]-MASTER[[#This Row],[COSTO DE VENTA]]</f>
        <v>1170</v>
      </c>
    </row>
    <row r="5057" spans="1:22" x14ac:dyDescent="0.3">
      <c r="A5057">
        <v>72392</v>
      </c>
      <c r="B5057">
        <v>1</v>
      </c>
      <c r="C5057" t="s">
        <v>103</v>
      </c>
      <c r="D5057" t="s">
        <v>104</v>
      </c>
      <c r="E5057" s="1">
        <v>44387</v>
      </c>
      <c r="F5057">
        <v>1</v>
      </c>
      <c r="G5057" t="s">
        <v>49</v>
      </c>
      <c r="H5057" t="s">
        <v>50</v>
      </c>
      <c r="I5057" s="3">
        <v>1830</v>
      </c>
      <c r="J5057" s="3">
        <v>1830</v>
      </c>
      <c r="K5057" s="3">
        <v>421</v>
      </c>
      <c r="L5057" t="s">
        <v>98</v>
      </c>
      <c r="M5057">
        <v>9</v>
      </c>
      <c r="N5057" t="s">
        <v>76</v>
      </c>
      <c r="O5057" t="s">
        <v>70</v>
      </c>
      <c r="P5057" t="s">
        <v>12</v>
      </c>
      <c r="Q5057" t="s">
        <v>13</v>
      </c>
      <c r="R5057" t="s">
        <v>13</v>
      </c>
      <c r="S5057" t="s">
        <v>144</v>
      </c>
      <c r="T5057" s="2">
        <f>MASTER[[#This Row],[CANTIDAD]]*MASTER[[#This Row],[PRECIO DE VENTA]]</f>
        <v>1830</v>
      </c>
      <c r="U5057" s="2">
        <f>MASTER[[#This Row],[CANTIDAD]]*MASTER[[#This Row],[COSTO UNITARIO]]</f>
        <v>421</v>
      </c>
      <c r="V5057" s="2">
        <f>MASTER[[#This Row],[MONTO VENDIDO]]-MASTER[[#This Row],[COSTO DE VENTA]]</f>
        <v>1409</v>
      </c>
    </row>
    <row r="5058" spans="1:22" x14ac:dyDescent="0.3">
      <c r="A5058">
        <v>72395</v>
      </c>
      <c r="B5058">
        <v>1</v>
      </c>
      <c r="C5058" t="s">
        <v>96</v>
      </c>
      <c r="D5058" t="s">
        <v>97</v>
      </c>
      <c r="E5058" s="1">
        <v>44387</v>
      </c>
      <c r="F5058">
        <v>1</v>
      </c>
      <c r="G5058" t="s">
        <v>57</v>
      </c>
      <c r="H5058" t="s">
        <v>58</v>
      </c>
      <c r="I5058" s="3">
        <v>1272</v>
      </c>
      <c r="J5058" s="3">
        <v>1272</v>
      </c>
      <c r="K5058" s="3">
        <v>397</v>
      </c>
      <c r="L5058" t="s">
        <v>98</v>
      </c>
      <c r="M5058">
        <v>10</v>
      </c>
      <c r="N5058" t="s">
        <v>83</v>
      </c>
      <c r="O5058" t="s">
        <v>81</v>
      </c>
      <c r="P5058" t="s">
        <v>12</v>
      </c>
      <c r="Q5058" t="s">
        <v>13</v>
      </c>
      <c r="R5058" t="s">
        <v>13</v>
      </c>
      <c r="S5058" t="s">
        <v>144</v>
      </c>
      <c r="T5058" s="2">
        <f>MASTER[[#This Row],[CANTIDAD]]*MASTER[[#This Row],[PRECIO DE VENTA]]</f>
        <v>1272</v>
      </c>
      <c r="U5058" s="2">
        <f>MASTER[[#This Row],[CANTIDAD]]*MASTER[[#This Row],[COSTO UNITARIO]]</f>
        <v>397</v>
      </c>
      <c r="V5058" s="2">
        <f>MASTER[[#This Row],[MONTO VENDIDO]]-MASTER[[#This Row],[COSTO DE VENTA]]</f>
        <v>875</v>
      </c>
    </row>
    <row r="5059" spans="1:22" x14ac:dyDescent="0.3">
      <c r="A5059">
        <v>72407</v>
      </c>
      <c r="B5059">
        <v>1</v>
      </c>
      <c r="C5059" t="s">
        <v>101</v>
      </c>
      <c r="D5059" t="s">
        <v>102</v>
      </c>
      <c r="E5059" s="1">
        <v>44387</v>
      </c>
      <c r="F5059">
        <v>1</v>
      </c>
      <c r="G5059" t="s">
        <v>47</v>
      </c>
      <c r="H5059" t="s">
        <v>48</v>
      </c>
      <c r="I5059" s="3">
        <v>1212</v>
      </c>
      <c r="J5059" s="3">
        <v>1212</v>
      </c>
      <c r="K5059" s="3">
        <v>442</v>
      </c>
      <c r="L5059" t="s">
        <v>98</v>
      </c>
      <c r="M5059">
        <v>15</v>
      </c>
      <c r="N5059" t="s">
        <v>88</v>
      </c>
      <c r="O5059" t="s">
        <v>81</v>
      </c>
      <c r="P5059" t="s">
        <v>18</v>
      </c>
      <c r="Q5059" t="s">
        <v>19</v>
      </c>
      <c r="R5059" t="s">
        <v>138</v>
      </c>
      <c r="S5059" t="s">
        <v>144</v>
      </c>
      <c r="T5059" s="2">
        <f>MASTER[[#This Row],[CANTIDAD]]*MASTER[[#This Row],[PRECIO DE VENTA]]</f>
        <v>1212</v>
      </c>
      <c r="U5059" s="2">
        <f>MASTER[[#This Row],[CANTIDAD]]*MASTER[[#This Row],[COSTO UNITARIO]]</f>
        <v>442</v>
      </c>
      <c r="V5059" s="2">
        <f>MASTER[[#This Row],[MONTO VENDIDO]]-MASTER[[#This Row],[COSTO DE VENTA]]</f>
        <v>770</v>
      </c>
    </row>
    <row r="5060" spans="1:22" x14ac:dyDescent="0.3">
      <c r="A5060">
        <v>72413</v>
      </c>
      <c r="B5060">
        <v>1</v>
      </c>
      <c r="C5060" t="s">
        <v>114</v>
      </c>
      <c r="D5060" t="s">
        <v>115</v>
      </c>
      <c r="E5060" s="1">
        <v>44387</v>
      </c>
      <c r="F5060">
        <v>1</v>
      </c>
      <c r="G5060" t="s">
        <v>27</v>
      </c>
      <c r="H5060" t="s">
        <v>28</v>
      </c>
      <c r="I5060" s="3">
        <v>1862</v>
      </c>
      <c r="J5060" s="3">
        <v>1731</v>
      </c>
      <c r="K5060" s="3">
        <v>394</v>
      </c>
      <c r="L5060" t="s">
        <v>113</v>
      </c>
      <c r="M5060">
        <v>10</v>
      </c>
      <c r="N5060" t="s">
        <v>83</v>
      </c>
      <c r="O5060" t="s">
        <v>81</v>
      </c>
      <c r="P5060" t="s">
        <v>12</v>
      </c>
      <c r="Q5060" t="s">
        <v>13</v>
      </c>
      <c r="R5060" t="s">
        <v>13</v>
      </c>
      <c r="S5060" t="s">
        <v>144</v>
      </c>
      <c r="T5060" s="2">
        <f>MASTER[[#This Row],[CANTIDAD]]*MASTER[[#This Row],[PRECIO DE VENTA]]</f>
        <v>1731</v>
      </c>
      <c r="U5060" s="2">
        <f>MASTER[[#This Row],[CANTIDAD]]*MASTER[[#This Row],[COSTO UNITARIO]]</f>
        <v>394</v>
      </c>
      <c r="V5060" s="2">
        <f>MASTER[[#This Row],[MONTO VENDIDO]]-MASTER[[#This Row],[COSTO DE VENTA]]</f>
        <v>1337</v>
      </c>
    </row>
    <row r="5061" spans="1:22" x14ac:dyDescent="0.3">
      <c r="A5061">
        <v>72414</v>
      </c>
      <c r="B5061">
        <v>1</v>
      </c>
      <c r="C5061" t="s">
        <v>5</v>
      </c>
      <c r="D5061" t="s">
        <v>6</v>
      </c>
      <c r="E5061" s="1">
        <v>44387</v>
      </c>
      <c r="F5061">
        <v>1</v>
      </c>
      <c r="G5061" t="s">
        <v>67</v>
      </c>
      <c r="H5061" t="s">
        <v>68</v>
      </c>
      <c r="I5061" s="3">
        <v>1311</v>
      </c>
      <c r="J5061" s="3">
        <v>1311</v>
      </c>
      <c r="K5061" s="3">
        <v>393</v>
      </c>
      <c r="L5061" t="s">
        <v>9</v>
      </c>
      <c r="M5061">
        <v>12</v>
      </c>
      <c r="N5061" t="s">
        <v>26</v>
      </c>
      <c r="O5061" t="s">
        <v>11</v>
      </c>
      <c r="P5061" t="s">
        <v>12</v>
      </c>
      <c r="Q5061" t="s">
        <v>13</v>
      </c>
      <c r="R5061" t="s">
        <v>13</v>
      </c>
      <c r="S5061" t="s">
        <v>144</v>
      </c>
      <c r="T5061" s="2">
        <f>MASTER[[#This Row],[CANTIDAD]]*MASTER[[#This Row],[PRECIO DE VENTA]]</f>
        <v>1311</v>
      </c>
      <c r="U5061" s="2">
        <f>MASTER[[#This Row],[CANTIDAD]]*MASTER[[#This Row],[COSTO UNITARIO]]</f>
        <v>393</v>
      </c>
      <c r="V5061" s="2">
        <f>MASTER[[#This Row],[MONTO VENDIDO]]-MASTER[[#This Row],[COSTO DE VENTA]]</f>
        <v>918</v>
      </c>
    </row>
    <row r="5062" spans="1:22" x14ac:dyDescent="0.3">
      <c r="A5062">
        <v>72424</v>
      </c>
      <c r="B5062">
        <v>1</v>
      </c>
      <c r="C5062" t="s">
        <v>99</v>
      </c>
      <c r="D5062" t="s">
        <v>100</v>
      </c>
      <c r="E5062" s="1">
        <v>44388</v>
      </c>
      <c r="F5062">
        <v>1</v>
      </c>
      <c r="G5062" t="s">
        <v>67</v>
      </c>
      <c r="H5062" t="s">
        <v>68</v>
      </c>
      <c r="I5062" s="3">
        <v>1328</v>
      </c>
      <c r="J5062" s="3">
        <v>1328</v>
      </c>
      <c r="K5062" s="3">
        <v>386</v>
      </c>
      <c r="L5062" t="s">
        <v>98</v>
      </c>
      <c r="M5062">
        <v>12</v>
      </c>
      <c r="N5062" t="s">
        <v>26</v>
      </c>
      <c r="O5062" t="s">
        <v>11</v>
      </c>
      <c r="P5062" t="s">
        <v>12</v>
      </c>
      <c r="Q5062" t="s">
        <v>13</v>
      </c>
      <c r="R5062" t="s">
        <v>13</v>
      </c>
      <c r="S5062" t="s">
        <v>144</v>
      </c>
      <c r="T5062" s="2">
        <f>MASTER[[#This Row],[CANTIDAD]]*MASTER[[#This Row],[PRECIO DE VENTA]]</f>
        <v>1328</v>
      </c>
      <c r="U5062" s="2">
        <f>MASTER[[#This Row],[CANTIDAD]]*MASTER[[#This Row],[COSTO UNITARIO]]</f>
        <v>386</v>
      </c>
      <c r="V5062" s="2">
        <f>MASTER[[#This Row],[MONTO VENDIDO]]-MASTER[[#This Row],[COSTO DE VENTA]]</f>
        <v>942</v>
      </c>
    </row>
    <row r="5063" spans="1:22" x14ac:dyDescent="0.3">
      <c r="A5063">
        <v>72429</v>
      </c>
      <c r="B5063">
        <v>1</v>
      </c>
      <c r="C5063" t="s">
        <v>101</v>
      </c>
      <c r="D5063" t="s">
        <v>102</v>
      </c>
      <c r="E5063" s="1">
        <v>44388</v>
      </c>
      <c r="F5063">
        <v>1</v>
      </c>
      <c r="G5063" t="s">
        <v>73</v>
      </c>
      <c r="H5063" t="s">
        <v>74</v>
      </c>
      <c r="I5063" s="3">
        <v>1357</v>
      </c>
      <c r="J5063" s="3">
        <v>1357</v>
      </c>
      <c r="K5063" s="3">
        <v>442</v>
      </c>
      <c r="L5063" t="s">
        <v>98</v>
      </c>
      <c r="M5063">
        <v>18</v>
      </c>
      <c r="N5063" t="s">
        <v>79</v>
      </c>
      <c r="O5063" t="s">
        <v>70</v>
      </c>
      <c r="P5063" t="s">
        <v>15</v>
      </c>
      <c r="Q5063" t="s">
        <v>16</v>
      </c>
      <c r="R5063" t="s">
        <v>16</v>
      </c>
      <c r="S5063" t="s">
        <v>144</v>
      </c>
      <c r="T5063" s="2">
        <f>MASTER[[#This Row],[CANTIDAD]]*MASTER[[#This Row],[PRECIO DE VENTA]]</f>
        <v>1357</v>
      </c>
      <c r="U5063" s="2">
        <f>MASTER[[#This Row],[CANTIDAD]]*MASTER[[#This Row],[COSTO UNITARIO]]</f>
        <v>442</v>
      </c>
      <c r="V5063" s="2">
        <f>MASTER[[#This Row],[MONTO VENDIDO]]-MASTER[[#This Row],[COSTO DE VENTA]]</f>
        <v>915</v>
      </c>
    </row>
    <row r="5064" spans="1:22" x14ac:dyDescent="0.3">
      <c r="A5064">
        <v>72463</v>
      </c>
      <c r="B5064">
        <v>1</v>
      </c>
      <c r="C5064" t="s">
        <v>109</v>
      </c>
      <c r="D5064" t="s">
        <v>110</v>
      </c>
      <c r="E5064" s="1">
        <v>44388</v>
      </c>
      <c r="F5064">
        <v>1</v>
      </c>
      <c r="G5064" t="s">
        <v>59</v>
      </c>
      <c r="H5064" t="s">
        <v>60</v>
      </c>
      <c r="I5064" s="3">
        <v>1128</v>
      </c>
      <c r="J5064" s="3">
        <v>1128</v>
      </c>
      <c r="K5064" s="3">
        <v>387</v>
      </c>
      <c r="L5064" t="s">
        <v>98</v>
      </c>
      <c r="M5064">
        <v>1</v>
      </c>
      <c r="N5064" t="s">
        <v>77</v>
      </c>
      <c r="O5064" t="s">
        <v>70</v>
      </c>
      <c r="P5064" t="s">
        <v>71</v>
      </c>
      <c r="Q5064" t="s">
        <v>72</v>
      </c>
      <c r="R5064" t="s">
        <v>139</v>
      </c>
      <c r="S5064" t="s">
        <v>144</v>
      </c>
      <c r="T5064" s="2">
        <f>MASTER[[#This Row],[CANTIDAD]]*MASTER[[#This Row],[PRECIO DE VENTA]]</f>
        <v>1128</v>
      </c>
      <c r="U5064" s="2">
        <f>MASTER[[#This Row],[CANTIDAD]]*MASTER[[#This Row],[COSTO UNITARIO]]</f>
        <v>387</v>
      </c>
      <c r="V5064" s="2">
        <f>MASTER[[#This Row],[MONTO VENDIDO]]-MASTER[[#This Row],[COSTO DE VENTA]]</f>
        <v>741</v>
      </c>
    </row>
    <row r="5065" spans="1:22" x14ac:dyDescent="0.3">
      <c r="A5065">
        <v>72468</v>
      </c>
      <c r="B5065">
        <v>1</v>
      </c>
      <c r="C5065" t="s">
        <v>114</v>
      </c>
      <c r="D5065" t="s">
        <v>115</v>
      </c>
      <c r="E5065" s="1">
        <v>44389</v>
      </c>
      <c r="F5065">
        <v>1</v>
      </c>
      <c r="G5065" t="s">
        <v>45</v>
      </c>
      <c r="H5065" t="s">
        <v>46</v>
      </c>
      <c r="I5065" s="3">
        <v>2030</v>
      </c>
      <c r="J5065" s="3">
        <v>2030</v>
      </c>
      <c r="K5065" s="3">
        <v>394</v>
      </c>
      <c r="L5065" t="s">
        <v>113</v>
      </c>
      <c r="M5065">
        <v>13</v>
      </c>
      <c r="N5065" t="s">
        <v>78</v>
      </c>
      <c r="O5065" t="s">
        <v>70</v>
      </c>
      <c r="P5065" t="s">
        <v>18</v>
      </c>
      <c r="Q5065" t="s">
        <v>19</v>
      </c>
      <c r="R5065" t="s">
        <v>138</v>
      </c>
      <c r="S5065" t="s">
        <v>144</v>
      </c>
      <c r="T5065" s="2">
        <f>MASTER[[#This Row],[CANTIDAD]]*MASTER[[#This Row],[PRECIO DE VENTA]]</f>
        <v>2030</v>
      </c>
      <c r="U5065" s="2">
        <f>MASTER[[#This Row],[CANTIDAD]]*MASTER[[#This Row],[COSTO UNITARIO]]</f>
        <v>394</v>
      </c>
      <c r="V5065" s="2">
        <f>MASTER[[#This Row],[MONTO VENDIDO]]-MASTER[[#This Row],[COSTO DE VENTA]]</f>
        <v>1636</v>
      </c>
    </row>
    <row r="5066" spans="1:22" x14ac:dyDescent="0.3">
      <c r="A5066">
        <v>72471</v>
      </c>
      <c r="B5066">
        <v>1</v>
      </c>
      <c r="C5066" t="s">
        <v>103</v>
      </c>
      <c r="D5066" t="s">
        <v>104</v>
      </c>
      <c r="E5066" s="1">
        <v>44389</v>
      </c>
      <c r="F5066">
        <v>1</v>
      </c>
      <c r="G5066" t="s">
        <v>73</v>
      </c>
      <c r="H5066" t="s">
        <v>74</v>
      </c>
      <c r="I5066" s="3">
        <v>1830</v>
      </c>
      <c r="J5066" s="3">
        <v>1830</v>
      </c>
      <c r="K5066" s="3">
        <v>421</v>
      </c>
      <c r="L5066" t="s">
        <v>98</v>
      </c>
      <c r="M5066">
        <v>1</v>
      </c>
      <c r="N5066" t="s">
        <v>77</v>
      </c>
      <c r="O5066" t="s">
        <v>70</v>
      </c>
      <c r="P5066" t="s">
        <v>71</v>
      </c>
      <c r="Q5066" t="s">
        <v>72</v>
      </c>
      <c r="R5066" t="s">
        <v>139</v>
      </c>
      <c r="S5066" t="s">
        <v>144</v>
      </c>
      <c r="T5066" s="2">
        <f>MASTER[[#This Row],[CANTIDAD]]*MASTER[[#This Row],[PRECIO DE VENTA]]</f>
        <v>1830</v>
      </c>
      <c r="U5066" s="2">
        <f>MASTER[[#This Row],[CANTIDAD]]*MASTER[[#This Row],[COSTO UNITARIO]]</f>
        <v>421</v>
      </c>
      <c r="V5066" s="2">
        <f>MASTER[[#This Row],[MONTO VENDIDO]]-MASTER[[#This Row],[COSTO DE VENTA]]</f>
        <v>1409</v>
      </c>
    </row>
    <row r="5067" spans="1:22" x14ac:dyDescent="0.3">
      <c r="A5067">
        <v>72490</v>
      </c>
      <c r="B5067">
        <v>1</v>
      </c>
      <c r="C5067" t="s">
        <v>118</v>
      </c>
      <c r="D5067" t="s">
        <v>119</v>
      </c>
      <c r="E5067" s="1">
        <v>44389</v>
      </c>
      <c r="F5067">
        <v>1</v>
      </c>
      <c r="G5067" t="s">
        <v>27</v>
      </c>
      <c r="H5067" t="s">
        <v>28</v>
      </c>
      <c r="I5067" s="3">
        <v>1026</v>
      </c>
      <c r="J5067" s="3">
        <v>1026</v>
      </c>
      <c r="K5067" s="3">
        <v>424</v>
      </c>
      <c r="L5067" t="s">
        <v>120</v>
      </c>
      <c r="M5067">
        <v>6</v>
      </c>
      <c r="N5067" t="s">
        <v>75</v>
      </c>
      <c r="O5067" t="s">
        <v>70</v>
      </c>
      <c r="P5067" t="s">
        <v>12</v>
      </c>
      <c r="Q5067" t="s">
        <v>13</v>
      </c>
      <c r="R5067" t="s">
        <v>13</v>
      </c>
      <c r="S5067" t="s">
        <v>144</v>
      </c>
      <c r="T5067" s="2">
        <f>MASTER[[#This Row],[CANTIDAD]]*MASTER[[#This Row],[PRECIO DE VENTA]]</f>
        <v>1026</v>
      </c>
      <c r="U5067" s="2">
        <f>MASTER[[#This Row],[CANTIDAD]]*MASTER[[#This Row],[COSTO UNITARIO]]</f>
        <v>424</v>
      </c>
      <c r="V5067" s="2">
        <f>MASTER[[#This Row],[MONTO VENDIDO]]-MASTER[[#This Row],[COSTO DE VENTA]]</f>
        <v>602</v>
      </c>
    </row>
    <row r="5068" spans="1:22" x14ac:dyDescent="0.3">
      <c r="A5068">
        <v>72502</v>
      </c>
      <c r="B5068">
        <v>1</v>
      </c>
      <c r="C5068" t="s">
        <v>121</v>
      </c>
      <c r="D5068" t="s">
        <v>122</v>
      </c>
      <c r="E5068" s="1">
        <v>44389</v>
      </c>
      <c r="F5068">
        <v>4</v>
      </c>
      <c r="G5068" t="s">
        <v>63</v>
      </c>
      <c r="H5068" t="s">
        <v>64</v>
      </c>
      <c r="I5068" s="3">
        <v>941</v>
      </c>
      <c r="J5068" s="3">
        <v>941</v>
      </c>
      <c r="K5068" s="3">
        <v>460</v>
      </c>
      <c r="L5068" t="s">
        <v>120</v>
      </c>
      <c r="M5068">
        <v>16</v>
      </c>
      <c r="N5068" t="s">
        <v>17</v>
      </c>
      <c r="O5068" t="s">
        <v>11</v>
      </c>
      <c r="P5068" t="s">
        <v>18</v>
      </c>
      <c r="Q5068" t="s">
        <v>19</v>
      </c>
      <c r="R5068" t="s">
        <v>138</v>
      </c>
      <c r="S5068" t="s">
        <v>144</v>
      </c>
      <c r="T5068" s="2">
        <f>MASTER[[#This Row],[CANTIDAD]]*MASTER[[#This Row],[PRECIO DE VENTA]]</f>
        <v>3764</v>
      </c>
      <c r="U5068" s="2">
        <f>MASTER[[#This Row],[CANTIDAD]]*MASTER[[#This Row],[COSTO UNITARIO]]</f>
        <v>1840</v>
      </c>
      <c r="V5068" s="2">
        <f>MASTER[[#This Row],[MONTO VENDIDO]]-MASTER[[#This Row],[COSTO DE VENTA]]</f>
        <v>1924</v>
      </c>
    </row>
    <row r="5069" spans="1:22" x14ac:dyDescent="0.3">
      <c r="A5069">
        <v>72537</v>
      </c>
      <c r="B5069">
        <v>2</v>
      </c>
      <c r="C5069" t="s">
        <v>103</v>
      </c>
      <c r="D5069" t="s">
        <v>104</v>
      </c>
      <c r="E5069" s="1">
        <v>44389</v>
      </c>
      <c r="F5069">
        <v>1</v>
      </c>
      <c r="G5069" t="s">
        <v>57</v>
      </c>
      <c r="H5069" t="s">
        <v>58</v>
      </c>
      <c r="I5069" s="3">
        <v>1448</v>
      </c>
      <c r="J5069" s="3">
        <v>1448</v>
      </c>
      <c r="K5069" s="3">
        <v>421</v>
      </c>
      <c r="L5069" t="s">
        <v>98</v>
      </c>
      <c r="M5069">
        <v>17</v>
      </c>
      <c r="N5069" t="s">
        <v>14</v>
      </c>
      <c r="O5069" t="s">
        <v>11</v>
      </c>
      <c r="P5069" t="s">
        <v>15</v>
      </c>
      <c r="Q5069" t="s">
        <v>16</v>
      </c>
      <c r="R5069" t="s">
        <v>16</v>
      </c>
      <c r="S5069" t="s">
        <v>144</v>
      </c>
      <c r="T5069" s="2">
        <f>MASTER[[#This Row],[CANTIDAD]]*MASTER[[#This Row],[PRECIO DE VENTA]]</f>
        <v>1448</v>
      </c>
      <c r="U5069" s="2">
        <f>MASTER[[#This Row],[CANTIDAD]]*MASTER[[#This Row],[COSTO UNITARIO]]</f>
        <v>421</v>
      </c>
      <c r="V5069" s="2">
        <f>MASTER[[#This Row],[MONTO VENDIDO]]-MASTER[[#This Row],[COSTO DE VENTA]]</f>
        <v>1027</v>
      </c>
    </row>
    <row r="5070" spans="1:22" x14ac:dyDescent="0.3">
      <c r="A5070">
        <v>72537</v>
      </c>
      <c r="B5070">
        <v>1</v>
      </c>
      <c r="C5070" t="s">
        <v>111</v>
      </c>
      <c r="D5070" t="s">
        <v>112</v>
      </c>
      <c r="E5070" s="1">
        <v>44389</v>
      </c>
      <c r="F5070">
        <v>1</v>
      </c>
      <c r="G5070" t="s">
        <v>37</v>
      </c>
      <c r="H5070" t="s">
        <v>38</v>
      </c>
      <c r="I5070" s="3">
        <v>1524</v>
      </c>
      <c r="J5070" s="3">
        <v>1524</v>
      </c>
      <c r="K5070" s="3">
        <v>434</v>
      </c>
      <c r="L5070" t="s">
        <v>113</v>
      </c>
      <c r="M5070">
        <v>17</v>
      </c>
      <c r="N5070" t="s">
        <v>14</v>
      </c>
      <c r="O5070" t="s">
        <v>11</v>
      </c>
      <c r="P5070" t="s">
        <v>15</v>
      </c>
      <c r="Q5070" t="s">
        <v>16</v>
      </c>
      <c r="R5070" t="s">
        <v>16</v>
      </c>
      <c r="S5070" t="s">
        <v>144</v>
      </c>
      <c r="T5070" s="2">
        <f>MASTER[[#This Row],[CANTIDAD]]*MASTER[[#This Row],[PRECIO DE VENTA]]</f>
        <v>1524</v>
      </c>
      <c r="U5070" s="2">
        <f>MASTER[[#This Row],[CANTIDAD]]*MASTER[[#This Row],[COSTO UNITARIO]]</f>
        <v>434</v>
      </c>
      <c r="V5070" s="2">
        <f>MASTER[[#This Row],[MONTO VENDIDO]]-MASTER[[#This Row],[COSTO DE VENTA]]</f>
        <v>1090</v>
      </c>
    </row>
    <row r="5071" spans="1:22" x14ac:dyDescent="0.3">
      <c r="A5071">
        <v>72607</v>
      </c>
      <c r="B5071">
        <v>1</v>
      </c>
      <c r="C5071" t="s">
        <v>96</v>
      </c>
      <c r="D5071" t="s">
        <v>97</v>
      </c>
      <c r="E5071" s="1">
        <v>44389</v>
      </c>
      <c r="F5071">
        <v>1</v>
      </c>
      <c r="G5071" t="s">
        <v>67</v>
      </c>
      <c r="H5071" t="s">
        <v>68</v>
      </c>
      <c r="I5071" s="3">
        <v>1272</v>
      </c>
      <c r="J5071" s="3">
        <v>1272</v>
      </c>
      <c r="K5071" s="3">
        <v>397</v>
      </c>
      <c r="L5071" t="s">
        <v>98</v>
      </c>
      <c r="M5071">
        <v>14</v>
      </c>
      <c r="N5071" t="s">
        <v>87</v>
      </c>
      <c r="O5071" t="s">
        <v>81</v>
      </c>
      <c r="P5071" t="s">
        <v>18</v>
      </c>
      <c r="Q5071" t="s">
        <v>19</v>
      </c>
      <c r="R5071" t="s">
        <v>138</v>
      </c>
      <c r="S5071" t="s">
        <v>144</v>
      </c>
      <c r="T5071" s="2">
        <f>MASTER[[#This Row],[CANTIDAD]]*MASTER[[#This Row],[PRECIO DE VENTA]]</f>
        <v>1272</v>
      </c>
      <c r="U5071" s="2">
        <f>MASTER[[#This Row],[CANTIDAD]]*MASTER[[#This Row],[COSTO UNITARIO]]</f>
        <v>397</v>
      </c>
      <c r="V5071" s="2">
        <f>MASTER[[#This Row],[MONTO VENDIDO]]-MASTER[[#This Row],[COSTO DE VENTA]]</f>
        <v>875</v>
      </c>
    </row>
    <row r="5072" spans="1:22" x14ac:dyDescent="0.3">
      <c r="A5072">
        <v>72614</v>
      </c>
      <c r="B5072">
        <v>1</v>
      </c>
      <c r="C5072" t="s">
        <v>116</v>
      </c>
      <c r="D5072" t="s">
        <v>117</v>
      </c>
      <c r="E5072" s="1">
        <v>44389</v>
      </c>
      <c r="F5072">
        <v>1</v>
      </c>
      <c r="G5072" t="s">
        <v>53</v>
      </c>
      <c r="H5072" t="s">
        <v>54</v>
      </c>
      <c r="I5072" s="3">
        <v>1529</v>
      </c>
      <c r="J5072" s="3">
        <v>1529</v>
      </c>
      <c r="K5072" s="3">
        <v>388</v>
      </c>
      <c r="L5072" t="s">
        <v>113</v>
      </c>
      <c r="M5072">
        <v>16</v>
      </c>
      <c r="N5072" t="s">
        <v>17</v>
      </c>
      <c r="O5072" t="s">
        <v>11</v>
      </c>
      <c r="P5072" t="s">
        <v>18</v>
      </c>
      <c r="Q5072" t="s">
        <v>19</v>
      </c>
      <c r="R5072" t="s">
        <v>138</v>
      </c>
      <c r="S5072" t="s">
        <v>144</v>
      </c>
      <c r="T5072" s="2">
        <f>MASTER[[#This Row],[CANTIDAD]]*MASTER[[#This Row],[PRECIO DE VENTA]]</f>
        <v>1529</v>
      </c>
      <c r="U5072" s="2">
        <f>MASTER[[#This Row],[CANTIDAD]]*MASTER[[#This Row],[COSTO UNITARIO]]</f>
        <v>388</v>
      </c>
      <c r="V5072" s="2">
        <f>MASTER[[#This Row],[MONTO VENDIDO]]-MASTER[[#This Row],[COSTO DE VENTA]]</f>
        <v>1141</v>
      </c>
    </row>
    <row r="5073" spans="1:22" x14ac:dyDescent="0.3">
      <c r="A5073">
        <v>72645</v>
      </c>
      <c r="B5073">
        <v>1</v>
      </c>
      <c r="C5073" t="s">
        <v>90</v>
      </c>
      <c r="D5073" t="s">
        <v>91</v>
      </c>
      <c r="E5073" s="1">
        <v>44389</v>
      </c>
      <c r="F5073">
        <v>1</v>
      </c>
      <c r="G5073" t="s">
        <v>49</v>
      </c>
      <c r="H5073" t="s">
        <v>50</v>
      </c>
      <c r="I5073" s="3">
        <v>2102</v>
      </c>
      <c r="J5073" s="3">
        <v>2102</v>
      </c>
      <c r="K5073" s="3">
        <v>420</v>
      </c>
      <c r="L5073" t="s">
        <v>9</v>
      </c>
      <c r="M5073">
        <v>1</v>
      </c>
      <c r="N5073" t="s">
        <v>77</v>
      </c>
      <c r="O5073" t="s">
        <v>70</v>
      </c>
      <c r="P5073" t="s">
        <v>71</v>
      </c>
      <c r="Q5073" t="s">
        <v>72</v>
      </c>
      <c r="R5073" t="s">
        <v>139</v>
      </c>
      <c r="S5073" t="s">
        <v>144</v>
      </c>
      <c r="T5073" s="2">
        <f>MASTER[[#This Row],[CANTIDAD]]*MASTER[[#This Row],[PRECIO DE VENTA]]</f>
        <v>2102</v>
      </c>
      <c r="U5073" s="2">
        <f>MASTER[[#This Row],[CANTIDAD]]*MASTER[[#This Row],[COSTO UNITARIO]]</f>
        <v>420</v>
      </c>
      <c r="V5073" s="2">
        <f>MASTER[[#This Row],[MONTO VENDIDO]]-MASTER[[#This Row],[COSTO DE VENTA]]</f>
        <v>1682</v>
      </c>
    </row>
    <row r="5074" spans="1:22" x14ac:dyDescent="0.3">
      <c r="A5074">
        <v>72652</v>
      </c>
      <c r="B5074">
        <v>1</v>
      </c>
      <c r="C5074" t="s">
        <v>101</v>
      </c>
      <c r="D5074" t="s">
        <v>102</v>
      </c>
      <c r="E5074" s="1">
        <v>44389</v>
      </c>
      <c r="F5074">
        <v>1</v>
      </c>
      <c r="G5074" t="s">
        <v>73</v>
      </c>
      <c r="H5074" t="s">
        <v>74</v>
      </c>
      <c r="I5074" s="3">
        <v>1212</v>
      </c>
      <c r="J5074" s="3">
        <v>1151</v>
      </c>
      <c r="K5074" s="3">
        <v>442</v>
      </c>
      <c r="L5074" t="s">
        <v>98</v>
      </c>
      <c r="M5074">
        <v>5</v>
      </c>
      <c r="N5074" t="s">
        <v>85</v>
      </c>
      <c r="O5074" t="s">
        <v>81</v>
      </c>
      <c r="P5074" t="s">
        <v>12</v>
      </c>
      <c r="Q5074" t="s">
        <v>13</v>
      </c>
      <c r="R5074" t="s">
        <v>13</v>
      </c>
      <c r="S5074" t="s">
        <v>144</v>
      </c>
      <c r="T5074" s="2">
        <f>MASTER[[#This Row],[CANTIDAD]]*MASTER[[#This Row],[PRECIO DE VENTA]]</f>
        <v>1151</v>
      </c>
      <c r="U5074" s="2">
        <f>MASTER[[#This Row],[CANTIDAD]]*MASTER[[#This Row],[COSTO UNITARIO]]</f>
        <v>442</v>
      </c>
      <c r="V5074" s="2">
        <f>MASTER[[#This Row],[MONTO VENDIDO]]-MASTER[[#This Row],[COSTO DE VENTA]]</f>
        <v>709</v>
      </c>
    </row>
    <row r="5075" spans="1:22" x14ac:dyDescent="0.3">
      <c r="A5075">
        <v>72654</v>
      </c>
      <c r="B5075">
        <v>1</v>
      </c>
      <c r="C5075" t="s">
        <v>109</v>
      </c>
      <c r="D5075" t="s">
        <v>110</v>
      </c>
      <c r="E5075" s="1">
        <v>44389</v>
      </c>
      <c r="F5075">
        <v>1</v>
      </c>
      <c r="G5075" t="s">
        <v>20</v>
      </c>
      <c r="H5075" t="s">
        <v>21</v>
      </c>
      <c r="I5075" s="3">
        <v>1064</v>
      </c>
      <c r="J5075" s="3">
        <v>1064</v>
      </c>
      <c r="K5075" s="3">
        <v>387</v>
      </c>
      <c r="L5075" t="s">
        <v>98</v>
      </c>
      <c r="M5075">
        <v>8</v>
      </c>
      <c r="N5075" t="s">
        <v>80</v>
      </c>
      <c r="O5075" t="s">
        <v>81</v>
      </c>
      <c r="P5075" t="s">
        <v>12</v>
      </c>
      <c r="Q5075" t="s">
        <v>13</v>
      </c>
      <c r="R5075" t="s">
        <v>13</v>
      </c>
      <c r="S5075" t="s">
        <v>144</v>
      </c>
      <c r="T5075" s="2">
        <f>MASTER[[#This Row],[CANTIDAD]]*MASTER[[#This Row],[PRECIO DE VENTA]]</f>
        <v>1064</v>
      </c>
      <c r="U5075" s="2">
        <f>MASTER[[#This Row],[CANTIDAD]]*MASTER[[#This Row],[COSTO UNITARIO]]</f>
        <v>387</v>
      </c>
      <c r="V5075" s="2">
        <f>MASTER[[#This Row],[MONTO VENDIDO]]-MASTER[[#This Row],[COSTO DE VENTA]]</f>
        <v>677</v>
      </c>
    </row>
    <row r="5076" spans="1:22" x14ac:dyDescent="0.3">
      <c r="A5076">
        <v>72682</v>
      </c>
      <c r="B5076">
        <v>1</v>
      </c>
      <c r="C5076" t="s">
        <v>121</v>
      </c>
      <c r="D5076" t="s">
        <v>122</v>
      </c>
      <c r="E5076" s="1">
        <v>44389</v>
      </c>
      <c r="F5076">
        <v>1</v>
      </c>
      <c r="G5076" t="s">
        <v>22</v>
      </c>
      <c r="H5076" t="s">
        <v>23</v>
      </c>
      <c r="I5076" s="3">
        <v>1069</v>
      </c>
      <c r="J5076" s="3">
        <v>1069</v>
      </c>
      <c r="K5076" s="3">
        <v>460</v>
      </c>
      <c r="L5076" t="s">
        <v>120</v>
      </c>
      <c r="M5076">
        <v>10</v>
      </c>
      <c r="N5076" t="s">
        <v>83</v>
      </c>
      <c r="O5076" t="s">
        <v>81</v>
      </c>
      <c r="P5076" t="s">
        <v>12</v>
      </c>
      <c r="Q5076" t="s">
        <v>13</v>
      </c>
      <c r="R5076" t="s">
        <v>13</v>
      </c>
      <c r="S5076" t="s">
        <v>144</v>
      </c>
      <c r="T5076" s="2">
        <f>MASTER[[#This Row],[CANTIDAD]]*MASTER[[#This Row],[PRECIO DE VENTA]]</f>
        <v>1069</v>
      </c>
      <c r="U5076" s="2">
        <f>MASTER[[#This Row],[CANTIDAD]]*MASTER[[#This Row],[COSTO UNITARIO]]</f>
        <v>460</v>
      </c>
      <c r="V5076" s="2">
        <f>MASTER[[#This Row],[MONTO VENDIDO]]-MASTER[[#This Row],[COSTO DE VENTA]]</f>
        <v>609</v>
      </c>
    </row>
    <row r="5077" spans="1:22" x14ac:dyDescent="0.3">
      <c r="A5077">
        <v>72684</v>
      </c>
      <c r="B5077">
        <v>1</v>
      </c>
      <c r="C5077" t="s">
        <v>101</v>
      </c>
      <c r="D5077" t="s">
        <v>102</v>
      </c>
      <c r="E5077" s="1">
        <v>44389</v>
      </c>
      <c r="F5077">
        <v>4</v>
      </c>
      <c r="G5077" t="s">
        <v>24</v>
      </c>
      <c r="H5077" t="s">
        <v>25</v>
      </c>
      <c r="I5077" s="3">
        <v>1212</v>
      </c>
      <c r="J5077" s="3">
        <v>1212</v>
      </c>
      <c r="K5077" s="3">
        <v>442</v>
      </c>
      <c r="L5077" t="s">
        <v>98</v>
      </c>
      <c r="M5077">
        <v>10</v>
      </c>
      <c r="N5077" t="s">
        <v>83</v>
      </c>
      <c r="O5077" t="s">
        <v>81</v>
      </c>
      <c r="P5077" t="s">
        <v>12</v>
      </c>
      <c r="Q5077" t="s">
        <v>13</v>
      </c>
      <c r="R5077" t="s">
        <v>13</v>
      </c>
      <c r="S5077" t="s">
        <v>144</v>
      </c>
      <c r="T5077" s="2">
        <f>MASTER[[#This Row],[CANTIDAD]]*MASTER[[#This Row],[PRECIO DE VENTA]]</f>
        <v>4848</v>
      </c>
      <c r="U5077" s="2">
        <f>MASTER[[#This Row],[CANTIDAD]]*MASTER[[#This Row],[COSTO UNITARIO]]</f>
        <v>1768</v>
      </c>
      <c r="V5077" s="2">
        <f>MASTER[[#This Row],[MONTO VENDIDO]]-MASTER[[#This Row],[COSTO DE VENTA]]</f>
        <v>3080</v>
      </c>
    </row>
    <row r="5078" spans="1:22" x14ac:dyDescent="0.3">
      <c r="A5078">
        <v>72690</v>
      </c>
      <c r="B5078">
        <v>1</v>
      </c>
      <c r="C5078" t="s">
        <v>94</v>
      </c>
      <c r="D5078" t="s">
        <v>95</v>
      </c>
      <c r="E5078" s="1">
        <v>44390</v>
      </c>
      <c r="F5078">
        <v>1</v>
      </c>
      <c r="G5078" t="s">
        <v>57</v>
      </c>
      <c r="H5078" t="s">
        <v>58</v>
      </c>
      <c r="I5078" s="3">
        <v>1048</v>
      </c>
      <c r="J5078" s="3">
        <v>1048</v>
      </c>
      <c r="K5078" s="3">
        <v>392</v>
      </c>
      <c r="L5078" t="s">
        <v>9</v>
      </c>
      <c r="M5078">
        <v>15</v>
      </c>
      <c r="N5078" t="s">
        <v>88</v>
      </c>
      <c r="O5078" t="s">
        <v>81</v>
      </c>
      <c r="P5078" t="s">
        <v>18</v>
      </c>
      <c r="Q5078" t="s">
        <v>19</v>
      </c>
      <c r="R5078" t="s">
        <v>138</v>
      </c>
      <c r="S5078" t="s">
        <v>144</v>
      </c>
      <c r="T5078" s="2">
        <f>MASTER[[#This Row],[CANTIDAD]]*MASTER[[#This Row],[PRECIO DE VENTA]]</f>
        <v>1048</v>
      </c>
      <c r="U5078" s="2">
        <f>MASTER[[#This Row],[CANTIDAD]]*MASTER[[#This Row],[COSTO UNITARIO]]</f>
        <v>392</v>
      </c>
      <c r="V5078" s="2">
        <f>MASTER[[#This Row],[MONTO VENDIDO]]-MASTER[[#This Row],[COSTO DE VENTA]]</f>
        <v>656</v>
      </c>
    </row>
    <row r="5079" spans="1:22" x14ac:dyDescent="0.3">
      <c r="A5079">
        <v>72701</v>
      </c>
      <c r="B5079">
        <v>1</v>
      </c>
      <c r="C5079" t="s">
        <v>103</v>
      </c>
      <c r="D5079" t="s">
        <v>104</v>
      </c>
      <c r="E5079" s="1">
        <v>44390</v>
      </c>
      <c r="F5079">
        <v>1</v>
      </c>
      <c r="G5079" t="s">
        <v>43</v>
      </c>
      <c r="H5079" t="s">
        <v>44</v>
      </c>
      <c r="I5079" s="3">
        <v>1830</v>
      </c>
      <c r="J5079" s="3">
        <v>1830</v>
      </c>
      <c r="K5079" s="3">
        <v>421</v>
      </c>
      <c r="L5079" t="s">
        <v>98</v>
      </c>
      <c r="M5079">
        <v>18</v>
      </c>
      <c r="N5079" t="s">
        <v>79</v>
      </c>
      <c r="O5079" t="s">
        <v>70</v>
      </c>
      <c r="P5079" t="s">
        <v>15</v>
      </c>
      <c r="Q5079" t="s">
        <v>16</v>
      </c>
      <c r="R5079" t="s">
        <v>16</v>
      </c>
      <c r="S5079" t="s">
        <v>144</v>
      </c>
      <c r="T5079" s="2">
        <f>MASTER[[#This Row],[CANTIDAD]]*MASTER[[#This Row],[PRECIO DE VENTA]]</f>
        <v>1830</v>
      </c>
      <c r="U5079" s="2">
        <f>MASTER[[#This Row],[CANTIDAD]]*MASTER[[#This Row],[COSTO UNITARIO]]</f>
        <v>421</v>
      </c>
      <c r="V5079" s="2">
        <f>MASTER[[#This Row],[MONTO VENDIDO]]-MASTER[[#This Row],[COSTO DE VENTA]]</f>
        <v>1409</v>
      </c>
    </row>
    <row r="5080" spans="1:22" x14ac:dyDescent="0.3">
      <c r="A5080">
        <v>72716</v>
      </c>
      <c r="B5080">
        <v>1</v>
      </c>
      <c r="C5080" t="s">
        <v>116</v>
      </c>
      <c r="D5080" t="s">
        <v>117</v>
      </c>
      <c r="E5080" s="1">
        <v>44390</v>
      </c>
      <c r="F5080">
        <v>1</v>
      </c>
      <c r="G5080" t="s">
        <v>37</v>
      </c>
      <c r="H5080" t="s">
        <v>38</v>
      </c>
      <c r="I5080" s="3">
        <v>1529</v>
      </c>
      <c r="J5080" s="3">
        <v>1529</v>
      </c>
      <c r="K5080" s="3">
        <v>388</v>
      </c>
      <c r="L5080" t="s">
        <v>113</v>
      </c>
      <c r="M5080">
        <v>12</v>
      </c>
      <c r="N5080" t="s">
        <v>26</v>
      </c>
      <c r="O5080" t="s">
        <v>11</v>
      </c>
      <c r="P5080" t="s">
        <v>12</v>
      </c>
      <c r="Q5080" t="s">
        <v>13</v>
      </c>
      <c r="R5080" t="s">
        <v>13</v>
      </c>
      <c r="S5080" t="s">
        <v>144</v>
      </c>
      <c r="T5080" s="2">
        <f>MASTER[[#This Row],[CANTIDAD]]*MASTER[[#This Row],[PRECIO DE VENTA]]</f>
        <v>1529</v>
      </c>
      <c r="U5080" s="2">
        <f>MASTER[[#This Row],[CANTIDAD]]*MASTER[[#This Row],[COSTO UNITARIO]]</f>
        <v>388</v>
      </c>
      <c r="V5080" s="2">
        <f>MASTER[[#This Row],[MONTO VENDIDO]]-MASTER[[#This Row],[COSTO DE VENTA]]</f>
        <v>1141</v>
      </c>
    </row>
    <row r="5081" spans="1:22" x14ac:dyDescent="0.3">
      <c r="A5081">
        <v>72719</v>
      </c>
      <c r="B5081">
        <v>1</v>
      </c>
      <c r="C5081" t="s">
        <v>90</v>
      </c>
      <c r="D5081" t="s">
        <v>91</v>
      </c>
      <c r="E5081" s="1">
        <v>44390</v>
      </c>
      <c r="F5081">
        <v>1</v>
      </c>
      <c r="G5081" t="s">
        <v>24</v>
      </c>
      <c r="H5081" t="s">
        <v>25</v>
      </c>
      <c r="I5081" s="3">
        <v>1844</v>
      </c>
      <c r="J5081" s="3">
        <v>1844</v>
      </c>
      <c r="K5081" s="3">
        <v>420</v>
      </c>
      <c r="L5081" t="s">
        <v>9</v>
      </c>
      <c r="M5081">
        <v>2</v>
      </c>
      <c r="N5081" t="s">
        <v>86</v>
      </c>
      <c r="O5081" t="s">
        <v>81</v>
      </c>
      <c r="P5081" t="s">
        <v>71</v>
      </c>
      <c r="Q5081" t="s">
        <v>72</v>
      </c>
      <c r="R5081" t="s">
        <v>139</v>
      </c>
      <c r="S5081" t="s">
        <v>144</v>
      </c>
      <c r="T5081" s="2">
        <f>MASTER[[#This Row],[CANTIDAD]]*MASTER[[#This Row],[PRECIO DE VENTA]]</f>
        <v>1844</v>
      </c>
      <c r="U5081" s="2">
        <f>MASTER[[#This Row],[CANTIDAD]]*MASTER[[#This Row],[COSTO UNITARIO]]</f>
        <v>420</v>
      </c>
      <c r="V5081" s="2">
        <f>MASTER[[#This Row],[MONTO VENDIDO]]-MASTER[[#This Row],[COSTO DE VENTA]]</f>
        <v>1424</v>
      </c>
    </row>
    <row r="5082" spans="1:22" x14ac:dyDescent="0.3">
      <c r="A5082">
        <v>72720</v>
      </c>
      <c r="B5082">
        <v>1</v>
      </c>
      <c r="C5082" t="s">
        <v>105</v>
      </c>
      <c r="D5082" t="s">
        <v>106</v>
      </c>
      <c r="E5082" s="1">
        <v>44390</v>
      </c>
      <c r="F5082">
        <v>1</v>
      </c>
      <c r="G5082" t="s">
        <v>47</v>
      </c>
      <c r="H5082" t="s">
        <v>48</v>
      </c>
      <c r="I5082" s="3">
        <v>2033</v>
      </c>
      <c r="J5082" s="3">
        <v>2033</v>
      </c>
      <c r="K5082" s="3">
        <v>459</v>
      </c>
      <c r="L5082" t="s">
        <v>98</v>
      </c>
      <c r="M5082">
        <v>1</v>
      </c>
      <c r="N5082" t="s">
        <v>77</v>
      </c>
      <c r="O5082" t="s">
        <v>70</v>
      </c>
      <c r="P5082" t="s">
        <v>71</v>
      </c>
      <c r="Q5082" t="s">
        <v>72</v>
      </c>
      <c r="R5082" t="s">
        <v>139</v>
      </c>
      <c r="S5082" t="s">
        <v>144</v>
      </c>
      <c r="T5082" s="2">
        <f>MASTER[[#This Row],[CANTIDAD]]*MASTER[[#This Row],[PRECIO DE VENTA]]</f>
        <v>2033</v>
      </c>
      <c r="U5082" s="2">
        <f>MASTER[[#This Row],[CANTIDAD]]*MASTER[[#This Row],[COSTO UNITARIO]]</f>
        <v>459</v>
      </c>
      <c r="V5082" s="2">
        <f>MASTER[[#This Row],[MONTO VENDIDO]]-MASTER[[#This Row],[COSTO DE VENTA]]</f>
        <v>1574</v>
      </c>
    </row>
    <row r="5083" spans="1:22" x14ac:dyDescent="0.3">
      <c r="A5083">
        <v>72737</v>
      </c>
      <c r="B5083">
        <v>1</v>
      </c>
      <c r="C5083" t="s">
        <v>114</v>
      </c>
      <c r="D5083" t="s">
        <v>115</v>
      </c>
      <c r="E5083" s="1">
        <v>44390</v>
      </c>
      <c r="F5083">
        <v>1</v>
      </c>
      <c r="G5083" t="s">
        <v>33</v>
      </c>
      <c r="H5083" t="s">
        <v>34</v>
      </c>
      <c r="I5083" s="3">
        <v>1583</v>
      </c>
      <c r="J5083" s="3">
        <v>1583</v>
      </c>
      <c r="K5083" s="3">
        <v>394</v>
      </c>
      <c r="L5083" t="s">
        <v>113</v>
      </c>
      <c r="M5083">
        <v>12</v>
      </c>
      <c r="N5083" t="s">
        <v>26</v>
      </c>
      <c r="O5083" t="s">
        <v>11</v>
      </c>
      <c r="P5083" t="s">
        <v>12</v>
      </c>
      <c r="Q5083" t="s">
        <v>13</v>
      </c>
      <c r="R5083" t="s">
        <v>13</v>
      </c>
      <c r="S5083" t="s">
        <v>144</v>
      </c>
      <c r="T5083" s="2">
        <f>MASTER[[#This Row],[CANTIDAD]]*MASTER[[#This Row],[PRECIO DE VENTA]]</f>
        <v>1583</v>
      </c>
      <c r="U5083" s="2">
        <f>MASTER[[#This Row],[CANTIDAD]]*MASTER[[#This Row],[COSTO UNITARIO]]</f>
        <v>394</v>
      </c>
      <c r="V5083" s="2">
        <f>MASTER[[#This Row],[MONTO VENDIDO]]-MASTER[[#This Row],[COSTO DE VENTA]]</f>
        <v>1189</v>
      </c>
    </row>
    <row r="5084" spans="1:22" x14ac:dyDescent="0.3">
      <c r="A5084">
        <v>72753</v>
      </c>
      <c r="B5084">
        <v>1</v>
      </c>
      <c r="C5084" t="s">
        <v>101</v>
      </c>
      <c r="D5084" t="s">
        <v>102</v>
      </c>
      <c r="E5084" s="1">
        <v>44390</v>
      </c>
      <c r="F5084">
        <v>1</v>
      </c>
      <c r="G5084" t="s">
        <v>51</v>
      </c>
      <c r="H5084" t="s">
        <v>52</v>
      </c>
      <c r="I5084" s="3">
        <v>1357</v>
      </c>
      <c r="J5084" s="3">
        <v>1357</v>
      </c>
      <c r="K5084" s="3">
        <v>442</v>
      </c>
      <c r="L5084" t="s">
        <v>98</v>
      </c>
      <c r="M5084">
        <v>3</v>
      </c>
      <c r="N5084" t="s">
        <v>69</v>
      </c>
      <c r="O5084" t="s">
        <v>70</v>
      </c>
      <c r="P5084" t="s">
        <v>71</v>
      </c>
      <c r="Q5084" t="s">
        <v>72</v>
      </c>
      <c r="R5084" t="s">
        <v>139</v>
      </c>
      <c r="S5084" t="s">
        <v>144</v>
      </c>
      <c r="T5084" s="2">
        <f>MASTER[[#This Row],[CANTIDAD]]*MASTER[[#This Row],[PRECIO DE VENTA]]</f>
        <v>1357</v>
      </c>
      <c r="U5084" s="2">
        <f>MASTER[[#This Row],[CANTIDAD]]*MASTER[[#This Row],[COSTO UNITARIO]]</f>
        <v>442</v>
      </c>
      <c r="V5084" s="2">
        <f>MASTER[[#This Row],[MONTO VENDIDO]]-MASTER[[#This Row],[COSTO DE VENTA]]</f>
        <v>915</v>
      </c>
    </row>
    <row r="5085" spans="1:22" x14ac:dyDescent="0.3">
      <c r="A5085">
        <v>72771</v>
      </c>
      <c r="B5085">
        <v>1</v>
      </c>
      <c r="C5085" t="s">
        <v>121</v>
      </c>
      <c r="D5085" t="s">
        <v>122</v>
      </c>
      <c r="E5085" s="1">
        <v>44390</v>
      </c>
      <c r="F5085">
        <v>1</v>
      </c>
      <c r="G5085" t="s">
        <v>49</v>
      </c>
      <c r="H5085" t="s">
        <v>50</v>
      </c>
      <c r="I5085" s="3">
        <v>1069</v>
      </c>
      <c r="J5085" s="3">
        <v>1069</v>
      </c>
      <c r="K5085" s="3">
        <v>460</v>
      </c>
      <c r="L5085" t="s">
        <v>120</v>
      </c>
      <c r="M5085">
        <v>19</v>
      </c>
      <c r="N5085" t="s">
        <v>89</v>
      </c>
      <c r="O5085" t="s">
        <v>81</v>
      </c>
      <c r="P5085" t="s">
        <v>15</v>
      </c>
      <c r="Q5085" t="s">
        <v>16</v>
      </c>
      <c r="R5085" t="s">
        <v>16</v>
      </c>
      <c r="S5085" t="s">
        <v>144</v>
      </c>
      <c r="T5085" s="2">
        <f>MASTER[[#This Row],[CANTIDAD]]*MASTER[[#This Row],[PRECIO DE VENTA]]</f>
        <v>1069</v>
      </c>
      <c r="U5085" s="2">
        <f>MASTER[[#This Row],[CANTIDAD]]*MASTER[[#This Row],[COSTO UNITARIO]]</f>
        <v>460</v>
      </c>
      <c r="V5085" s="2">
        <f>MASTER[[#This Row],[MONTO VENDIDO]]-MASTER[[#This Row],[COSTO DE VENTA]]</f>
        <v>609</v>
      </c>
    </row>
    <row r="5086" spans="1:22" x14ac:dyDescent="0.3">
      <c r="A5086">
        <v>72775</v>
      </c>
      <c r="B5086">
        <v>1</v>
      </c>
      <c r="C5086" t="s">
        <v>90</v>
      </c>
      <c r="D5086" t="s">
        <v>91</v>
      </c>
      <c r="E5086" s="1">
        <v>44390</v>
      </c>
      <c r="F5086">
        <v>1</v>
      </c>
      <c r="G5086" t="s">
        <v>45</v>
      </c>
      <c r="H5086" t="s">
        <v>46</v>
      </c>
      <c r="I5086" s="3">
        <v>1844</v>
      </c>
      <c r="J5086" s="3">
        <v>1844</v>
      </c>
      <c r="K5086" s="3">
        <v>420</v>
      </c>
      <c r="L5086" t="s">
        <v>9</v>
      </c>
      <c r="M5086">
        <v>19</v>
      </c>
      <c r="N5086" t="s">
        <v>89</v>
      </c>
      <c r="O5086" t="s">
        <v>81</v>
      </c>
      <c r="P5086" t="s">
        <v>15</v>
      </c>
      <c r="Q5086" t="s">
        <v>16</v>
      </c>
      <c r="R5086" t="s">
        <v>16</v>
      </c>
      <c r="S5086" t="s">
        <v>144</v>
      </c>
      <c r="T5086" s="2">
        <f>MASTER[[#This Row],[CANTIDAD]]*MASTER[[#This Row],[PRECIO DE VENTA]]</f>
        <v>1844</v>
      </c>
      <c r="U5086" s="2">
        <f>MASTER[[#This Row],[CANTIDAD]]*MASTER[[#This Row],[COSTO UNITARIO]]</f>
        <v>420</v>
      </c>
      <c r="V5086" s="2">
        <f>MASTER[[#This Row],[MONTO VENDIDO]]-MASTER[[#This Row],[COSTO DE VENTA]]</f>
        <v>1424</v>
      </c>
    </row>
    <row r="5087" spans="1:22" x14ac:dyDescent="0.3">
      <c r="A5087">
        <v>72822</v>
      </c>
      <c r="B5087">
        <v>1</v>
      </c>
      <c r="C5087" t="s">
        <v>105</v>
      </c>
      <c r="D5087" t="s">
        <v>106</v>
      </c>
      <c r="E5087" s="1">
        <v>44390</v>
      </c>
      <c r="F5087">
        <v>1</v>
      </c>
      <c r="G5087" t="s">
        <v>24</v>
      </c>
      <c r="H5087" t="s">
        <v>25</v>
      </c>
      <c r="I5087" s="3">
        <v>1865</v>
      </c>
      <c r="J5087" s="3">
        <v>1734</v>
      </c>
      <c r="K5087" s="3">
        <v>459</v>
      </c>
      <c r="L5087" t="s">
        <v>98</v>
      </c>
      <c r="M5087">
        <v>10</v>
      </c>
      <c r="N5087" t="s">
        <v>83</v>
      </c>
      <c r="O5087" t="s">
        <v>81</v>
      </c>
      <c r="P5087" t="s">
        <v>12</v>
      </c>
      <c r="Q5087" t="s">
        <v>13</v>
      </c>
      <c r="R5087" t="s">
        <v>13</v>
      </c>
      <c r="S5087" t="s">
        <v>144</v>
      </c>
      <c r="T5087" s="2">
        <f>MASTER[[#This Row],[CANTIDAD]]*MASTER[[#This Row],[PRECIO DE VENTA]]</f>
        <v>1734</v>
      </c>
      <c r="U5087" s="2">
        <f>MASTER[[#This Row],[CANTIDAD]]*MASTER[[#This Row],[COSTO UNITARIO]]</f>
        <v>459</v>
      </c>
      <c r="V5087" s="2">
        <f>MASTER[[#This Row],[MONTO VENDIDO]]-MASTER[[#This Row],[COSTO DE VENTA]]</f>
        <v>1275</v>
      </c>
    </row>
    <row r="5088" spans="1:22" x14ac:dyDescent="0.3">
      <c r="A5088">
        <v>72831</v>
      </c>
      <c r="B5088">
        <v>1</v>
      </c>
      <c r="C5088" t="s">
        <v>116</v>
      </c>
      <c r="D5088" t="s">
        <v>117</v>
      </c>
      <c r="E5088" s="1">
        <v>44390</v>
      </c>
      <c r="F5088">
        <v>1</v>
      </c>
      <c r="G5088" t="s">
        <v>24</v>
      </c>
      <c r="H5088" t="s">
        <v>25</v>
      </c>
      <c r="I5088" s="3">
        <v>1738</v>
      </c>
      <c r="J5088" s="3">
        <v>1738</v>
      </c>
      <c r="K5088" s="3">
        <v>388</v>
      </c>
      <c r="L5088" t="s">
        <v>113</v>
      </c>
      <c r="M5088">
        <v>5</v>
      </c>
      <c r="N5088" t="s">
        <v>85</v>
      </c>
      <c r="O5088" t="s">
        <v>81</v>
      </c>
      <c r="P5088" t="s">
        <v>12</v>
      </c>
      <c r="Q5088" t="s">
        <v>13</v>
      </c>
      <c r="R5088" t="s">
        <v>13</v>
      </c>
      <c r="S5088" t="s">
        <v>144</v>
      </c>
      <c r="T5088" s="2">
        <f>MASTER[[#This Row],[CANTIDAD]]*MASTER[[#This Row],[PRECIO DE VENTA]]</f>
        <v>1738</v>
      </c>
      <c r="U5088" s="2">
        <f>MASTER[[#This Row],[CANTIDAD]]*MASTER[[#This Row],[COSTO UNITARIO]]</f>
        <v>388</v>
      </c>
      <c r="V5088" s="2">
        <f>MASTER[[#This Row],[MONTO VENDIDO]]-MASTER[[#This Row],[COSTO DE VENTA]]</f>
        <v>1350</v>
      </c>
    </row>
    <row r="5089" spans="1:22" x14ac:dyDescent="0.3">
      <c r="A5089">
        <v>72854</v>
      </c>
      <c r="B5089">
        <v>1</v>
      </c>
      <c r="C5089" t="s">
        <v>105</v>
      </c>
      <c r="D5089" t="s">
        <v>106</v>
      </c>
      <c r="E5089" s="1">
        <v>44390</v>
      </c>
      <c r="F5089">
        <v>1</v>
      </c>
      <c r="G5089" t="s">
        <v>45</v>
      </c>
      <c r="H5089" t="s">
        <v>46</v>
      </c>
      <c r="I5089" s="3">
        <v>2033</v>
      </c>
      <c r="J5089" s="3">
        <v>1890</v>
      </c>
      <c r="K5089" s="3">
        <v>459</v>
      </c>
      <c r="L5089" t="s">
        <v>98</v>
      </c>
      <c r="M5089">
        <v>13</v>
      </c>
      <c r="N5089" t="s">
        <v>78</v>
      </c>
      <c r="O5089" t="s">
        <v>70</v>
      </c>
      <c r="P5089" t="s">
        <v>18</v>
      </c>
      <c r="Q5089" t="s">
        <v>19</v>
      </c>
      <c r="R5089" t="s">
        <v>138</v>
      </c>
      <c r="S5089" t="s">
        <v>144</v>
      </c>
      <c r="T5089" s="2">
        <f>MASTER[[#This Row],[CANTIDAD]]*MASTER[[#This Row],[PRECIO DE VENTA]]</f>
        <v>1890</v>
      </c>
      <c r="U5089" s="2">
        <f>MASTER[[#This Row],[CANTIDAD]]*MASTER[[#This Row],[COSTO UNITARIO]]</f>
        <v>459</v>
      </c>
      <c r="V5089" s="2">
        <f>MASTER[[#This Row],[MONTO VENDIDO]]-MASTER[[#This Row],[COSTO DE VENTA]]</f>
        <v>1431</v>
      </c>
    </row>
    <row r="5090" spans="1:22" x14ac:dyDescent="0.3">
      <c r="A5090">
        <v>72866</v>
      </c>
      <c r="B5090">
        <v>1</v>
      </c>
      <c r="C5090" t="s">
        <v>101</v>
      </c>
      <c r="D5090" t="s">
        <v>102</v>
      </c>
      <c r="E5090" s="1">
        <v>44390</v>
      </c>
      <c r="F5090">
        <v>1</v>
      </c>
      <c r="G5090" t="s">
        <v>33</v>
      </c>
      <c r="H5090" t="s">
        <v>34</v>
      </c>
      <c r="I5090" s="3">
        <v>1054</v>
      </c>
      <c r="J5090" s="3">
        <v>1054</v>
      </c>
      <c r="K5090" s="3">
        <v>442</v>
      </c>
      <c r="L5090" t="s">
        <v>98</v>
      </c>
      <c r="M5090">
        <v>16</v>
      </c>
      <c r="N5090" t="s">
        <v>17</v>
      </c>
      <c r="O5090" t="s">
        <v>11</v>
      </c>
      <c r="P5090" t="s">
        <v>18</v>
      </c>
      <c r="Q5090" t="s">
        <v>19</v>
      </c>
      <c r="R5090" t="s">
        <v>138</v>
      </c>
      <c r="S5090" t="s">
        <v>144</v>
      </c>
      <c r="T5090" s="2">
        <f>MASTER[[#This Row],[CANTIDAD]]*MASTER[[#This Row],[PRECIO DE VENTA]]</f>
        <v>1054</v>
      </c>
      <c r="U5090" s="2">
        <f>MASTER[[#This Row],[CANTIDAD]]*MASTER[[#This Row],[COSTO UNITARIO]]</f>
        <v>442</v>
      </c>
      <c r="V5090" s="2">
        <f>MASTER[[#This Row],[MONTO VENDIDO]]-MASTER[[#This Row],[COSTO DE VENTA]]</f>
        <v>612</v>
      </c>
    </row>
    <row r="5091" spans="1:22" x14ac:dyDescent="0.3">
      <c r="A5091">
        <v>72868</v>
      </c>
      <c r="B5091">
        <v>1</v>
      </c>
      <c r="C5091" t="s">
        <v>109</v>
      </c>
      <c r="D5091" t="s">
        <v>110</v>
      </c>
      <c r="E5091" s="1">
        <v>44390</v>
      </c>
      <c r="F5091">
        <v>1</v>
      </c>
      <c r="G5091" t="s">
        <v>24</v>
      </c>
      <c r="H5091" t="s">
        <v>25</v>
      </c>
      <c r="I5091" s="3">
        <v>1128</v>
      </c>
      <c r="J5091" s="3">
        <v>1128</v>
      </c>
      <c r="K5091" s="3">
        <v>387</v>
      </c>
      <c r="L5091" t="s">
        <v>98</v>
      </c>
      <c r="M5091">
        <v>18</v>
      </c>
      <c r="N5091" t="s">
        <v>79</v>
      </c>
      <c r="O5091" t="s">
        <v>70</v>
      </c>
      <c r="P5091" t="s">
        <v>15</v>
      </c>
      <c r="Q5091" t="s">
        <v>16</v>
      </c>
      <c r="R5091" t="s">
        <v>16</v>
      </c>
      <c r="S5091" t="s">
        <v>144</v>
      </c>
      <c r="T5091" s="2">
        <f>MASTER[[#This Row],[CANTIDAD]]*MASTER[[#This Row],[PRECIO DE VENTA]]</f>
        <v>1128</v>
      </c>
      <c r="U5091" s="2">
        <f>MASTER[[#This Row],[CANTIDAD]]*MASTER[[#This Row],[COSTO UNITARIO]]</f>
        <v>387</v>
      </c>
      <c r="V5091" s="2">
        <f>MASTER[[#This Row],[MONTO VENDIDO]]-MASTER[[#This Row],[COSTO DE VENTA]]</f>
        <v>741</v>
      </c>
    </row>
    <row r="5092" spans="1:22" x14ac:dyDescent="0.3">
      <c r="A5092">
        <v>72885</v>
      </c>
      <c r="B5092">
        <v>1</v>
      </c>
      <c r="C5092" t="s">
        <v>94</v>
      </c>
      <c r="D5092" t="s">
        <v>95</v>
      </c>
      <c r="E5092" s="1">
        <v>44391</v>
      </c>
      <c r="F5092">
        <v>1</v>
      </c>
      <c r="G5092" t="s">
        <v>37</v>
      </c>
      <c r="H5092" t="s">
        <v>38</v>
      </c>
      <c r="I5092" s="3">
        <v>1153</v>
      </c>
      <c r="J5092" s="3">
        <v>1153</v>
      </c>
      <c r="K5092" s="3">
        <v>392</v>
      </c>
      <c r="L5092" t="s">
        <v>9</v>
      </c>
      <c r="M5092">
        <v>1</v>
      </c>
      <c r="N5092" t="s">
        <v>77</v>
      </c>
      <c r="O5092" t="s">
        <v>70</v>
      </c>
      <c r="P5092" t="s">
        <v>71</v>
      </c>
      <c r="Q5092" t="s">
        <v>72</v>
      </c>
      <c r="R5092" t="s">
        <v>139</v>
      </c>
      <c r="S5092" t="s">
        <v>144</v>
      </c>
      <c r="T5092" s="2">
        <f>MASTER[[#This Row],[CANTIDAD]]*MASTER[[#This Row],[PRECIO DE VENTA]]</f>
        <v>1153</v>
      </c>
      <c r="U5092" s="2">
        <f>MASTER[[#This Row],[CANTIDAD]]*MASTER[[#This Row],[COSTO UNITARIO]]</f>
        <v>392</v>
      </c>
      <c r="V5092" s="2">
        <f>MASTER[[#This Row],[MONTO VENDIDO]]-MASTER[[#This Row],[COSTO DE VENTA]]</f>
        <v>761</v>
      </c>
    </row>
    <row r="5093" spans="1:22" x14ac:dyDescent="0.3">
      <c r="A5093">
        <v>72925</v>
      </c>
      <c r="B5093">
        <v>1</v>
      </c>
      <c r="C5093" t="s">
        <v>109</v>
      </c>
      <c r="D5093" t="s">
        <v>110</v>
      </c>
      <c r="E5093" s="1">
        <v>44391</v>
      </c>
      <c r="F5093">
        <v>1</v>
      </c>
      <c r="G5093" t="s">
        <v>27</v>
      </c>
      <c r="H5093" t="s">
        <v>28</v>
      </c>
      <c r="I5093" s="3">
        <v>1064</v>
      </c>
      <c r="J5093" s="3">
        <v>1064</v>
      </c>
      <c r="K5093" s="3">
        <v>387</v>
      </c>
      <c r="L5093" t="s">
        <v>98</v>
      </c>
      <c r="M5093">
        <v>2</v>
      </c>
      <c r="N5093" t="s">
        <v>86</v>
      </c>
      <c r="O5093" t="s">
        <v>81</v>
      </c>
      <c r="P5093" t="s">
        <v>71</v>
      </c>
      <c r="Q5093" t="s">
        <v>72</v>
      </c>
      <c r="R5093" t="s">
        <v>139</v>
      </c>
      <c r="S5093" t="s">
        <v>144</v>
      </c>
      <c r="T5093" s="2">
        <f>MASTER[[#This Row],[CANTIDAD]]*MASTER[[#This Row],[PRECIO DE VENTA]]</f>
        <v>1064</v>
      </c>
      <c r="U5093" s="2">
        <f>MASTER[[#This Row],[CANTIDAD]]*MASTER[[#This Row],[COSTO UNITARIO]]</f>
        <v>387</v>
      </c>
      <c r="V5093" s="2">
        <f>MASTER[[#This Row],[MONTO VENDIDO]]-MASTER[[#This Row],[COSTO DE VENTA]]</f>
        <v>677</v>
      </c>
    </row>
    <row r="5094" spans="1:22" x14ac:dyDescent="0.3">
      <c r="A5094">
        <v>72932</v>
      </c>
      <c r="B5094">
        <v>1</v>
      </c>
      <c r="C5094" t="s">
        <v>96</v>
      </c>
      <c r="D5094" t="s">
        <v>97</v>
      </c>
      <c r="E5094" s="1">
        <v>44391</v>
      </c>
      <c r="F5094">
        <v>1</v>
      </c>
      <c r="G5094" t="s">
        <v>39</v>
      </c>
      <c r="H5094" t="s">
        <v>40</v>
      </c>
      <c r="I5094" s="3">
        <v>1196</v>
      </c>
      <c r="J5094" s="3">
        <v>1196</v>
      </c>
      <c r="K5094" s="3">
        <v>397</v>
      </c>
      <c r="L5094" t="s">
        <v>98</v>
      </c>
      <c r="M5094">
        <v>16</v>
      </c>
      <c r="N5094" t="s">
        <v>17</v>
      </c>
      <c r="O5094" t="s">
        <v>11</v>
      </c>
      <c r="P5094" t="s">
        <v>18</v>
      </c>
      <c r="Q5094" t="s">
        <v>19</v>
      </c>
      <c r="R5094" t="s">
        <v>138</v>
      </c>
      <c r="S5094" t="s">
        <v>144</v>
      </c>
      <c r="T5094" s="2">
        <f>MASTER[[#This Row],[CANTIDAD]]*MASTER[[#This Row],[PRECIO DE VENTA]]</f>
        <v>1196</v>
      </c>
      <c r="U5094" s="2">
        <f>MASTER[[#This Row],[CANTIDAD]]*MASTER[[#This Row],[COSTO UNITARIO]]</f>
        <v>397</v>
      </c>
      <c r="V5094" s="2">
        <f>MASTER[[#This Row],[MONTO VENDIDO]]-MASTER[[#This Row],[COSTO DE VENTA]]</f>
        <v>799</v>
      </c>
    </row>
    <row r="5095" spans="1:22" x14ac:dyDescent="0.3">
      <c r="A5095">
        <v>72942</v>
      </c>
      <c r="B5095">
        <v>1</v>
      </c>
      <c r="C5095" t="s">
        <v>114</v>
      </c>
      <c r="D5095" t="s">
        <v>115</v>
      </c>
      <c r="E5095" s="1">
        <v>44391</v>
      </c>
      <c r="F5095">
        <v>1</v>
      </c>
      <c r="G5095" t="s">
        <v>35</v>
      </c>
      <c r="H5095" t="s">
        <v>36</v>
      </c>
      <c r="I5095" s="3">
        <v>2030</v>
      </c>
      <c r="J5095" s="3">
        <v>2030</v>
      </c>
      <c r="K5095" s="3">
        <v>394</v>
      </c>
      <c r="L5095" t="s">
        <v>113</v>
      </c>
      <c r="M5095">
        <v>1</v>
      </c>
      <c r="N5095" t="s">
        <v>77</v>
      </c>
      <c r="O5095" t="s">
        <v>70</v>
      </c>
      <c r="P5095" t="s">
        <v>71</v>
      </c>
      <c r="Q5095" t="s">
        <v>72</v>
      </c>
      <c r="R5095" t="s">
        <v>139</v>
      </c>
      <c r="S5095" t="s">
        <v>144</v>
      </c>
      <c r="T5095" s="2">
        <f>MASTER[[#This Row],[CANTIDAD]]*MASTER[[#This Row],[PRECIO DE VENTA]]</f>
        <v>2030</v>
      </c>
      <c r="U5095" s="2">
        <f>MASTER[[#This Row],[CANTIDAD]]*MASTER[[#This Row],[COSTO UNITARIO]]</f>
        <v>394</v>
      </c>
      <c r="V5095" s="2">
        <f>MASTER[[#This Row],[MONTO VENDIDO]]-MASTER[[#This Row],[COSTO DE VENTA]]</f>
        <v>1636</v>
      </c>
    </row>
    <row r="5096" spans="1:22" x14ac:dyDescent="0.3">
      <c r="A5096">
        <v>72947</v>
      </c>
      <c r="B5096">
        <v>1</v>
      </c>
      <c r="C5096" t="s">
        <v>107</v>
      </c>
      <c r="D5096" t="s">
        <v>108</v>
      </c>
      <c r="E5096" s="1">
        <v>44391</v>
      </c>
      <c r="F5096">
        <v>1</v>
      </c>
      <c r="G5096" t="s">
        <v>49</v>
      </c>
      <c r="H5096" t="s">
        <v>50</v>
      </c>
      <c r="I5096" s="3">
        <v>1333</v>
      </c>
      <c r="J5096" s="3">
        <v>1333</v>
      </c>
      <c r="K5096" s="3">
        <v>380</v>
      </c>
      <c r="L5096" t="s">
        <v>98</v>
      </c>
      <c r="M5096">
        <v>5</v>
      </c>
      <c r="N5096" t="s">
        <v>85</v>
      </c>
      <c r="O5096" t="s">
        <v>81</v>
      </c>
      <c r="P5096" t="s">
        <v>12</v>
      </c>
      <c r="Q5096" t="s">
        <v>13</v>
      </c>
      <c r="R5096" t="s">
        <v>13</v>
      </c>
      <c r="S5096" t="s">
        <v>144</v>
      </c>
      <c r="T5096" s="2">
        <f>MASTER[[#This Row],[CANTIDAD]]*MASTER[[#This Row],[PRECIO DE VENTA]]</f>
        <v>1333</v>
      </c>
      <c r="U5096" s="2">
        <f>MASTER[[#This Row],[CANTIDAD]]*MASTER[[#This Row],[COSTO UNITARIO]]</f>
        <v>380</v>
      </c>
      <c r="V5096" s="2">
        <f>MASTER[[#This Row],[MONTO VENDIDO]]-MASTER[[#This Row],[COSTO DE VENTA]]</f>
        <v>953</v>
      </c>
    </row>
    <row r="5097" spans="1:22" x14ac:dyDescent="0.3">
      <c r="A5097">
        <v>72949</v>
      </c>
      <c r="B5097">
        <v>1</v>
      </c>
      <c r="C5097" t="s">
        <v>121</v>
      </c>
      <c r="D5097" t="s">
        <v>122</v>
      </c>
      <c r="E5097" s="1">
        <v>44391</v>
      </c>
      <c r="F5097">
        <v>1</v>
      </c>
      <c r="G5097" t="s">
        <v>7</v>
      </c>
      <c r="H5097" t="s">
        <v>8</v>
      </c>
      <c r="I5097" s="3">
        <v>1069</v>
      </c>
      <c r="J5097" s="3">
        <v>1069</v>
      </c>
      <c r="K5097" s="3">
        <v>460</v>
      </c>
      <c r="L5097" t="s">
        <v>120</v>
      </c>
      <c r="M5097">
        <v>15</v>
      </c>
      <c r="N5097" t="s">
        <v>88</v>
      </c>
      <c r="O5097" t="s">
        <v>81</v>
      </c>
      <c r="P5097" t="s">
        <v>18</v>
      </c>
      <c r="Q5097" t="s">
        <v>19</v>
      </c>
      <c r="R5097" t="s">
        <v>138</v>
      </c>
      <c r="S5097" t="s">
        <v>144</v>
      </c>
      <c r="T5097" s="2">
        <f>MASTER[[#This Row],[CANTIDAD]]*MASTER[[#This Row],[PRECIO DE VENTA]]</f>
        <v>1069</v>
      </c>
      <c r="U5097" s="2">
        <f>MASTER[[#This Row],[CANTIDAD]]*MASTER[[#This Row],[COSTO UNITARIO]]</f>
        <v>460</v>
      </c>
      <c r="V5097" s="2">
        <f>MASTER[[#This Row],[MONTO VENDIDO]]-MASTER[[#This Row],[COSTO DE VENTA]]</f>
        <v>609</v>
      </c>
    </row>
    <row r="5098" spans="1:22" x14ac:dyDescent="0.3">
      <c r="A5098">
        <v>72963</v>
      </c>
      <c r="B5098">
        <v>1</v>
      </c>
      <c r="C5098" t="s">
        <v>109</v>
      </c>
      <c r="D5098" t="s">
        <v>110</v>
      </c>
      <c r="E5098" s="1">
        <v>44391</v>
      </c>
      <c r="F5098">
        <v>1</v>
      </c>
      <c r="G5098" t="s">
        <v>47</v>
      </c>
      <c r="H5098" t="s">
        <v>48</v>
      </c>
      <c r="I5098" s="3">
        <v>1128</v>
      </c>
      <c r="J5098" s="3">
        <v>1128</v>
      </c>
      <c r="K5098" s="3">
        <v>387</v>
      </c>
      <c r="L5098" t="s">
        <v>98</v>
      </c>
      <c r="M5098">
        <v>18</v>
      </c>
      <c r="N5098" t="s">
        <v>79</v>
      </c>
      <c r="O5098" t="s">
        <v>70</v>
      </c>
      <c r="P5098" t="s">
        <v>15</v>
      </c>
      <c r="Q5098" t="s">
        <v>16</v>
      </c>
      <c r="R5098" t="s">
        <v>16</v>
      </c>
      <c r="S5098" t="s">
        <v>144</v>
      </c>
      <c r="T5098" s="2">
        <f>MASTER[[#This Row],[CANTIDAD]]*MASTER[[#This Row],[PRECIO DE VENTA]]</f>
        <v>1128</v>
      </c>
      <c r="U5098" s="2">
        <f>MASTER[[#This Row],[CANTIDAD]]*MASTER[[#This Row],[COSTO UNITARIO]]</f>
        <v>387</v>
      </c>
      <c r="V5098" s="2">
        <f>MASTER[[#This Row],[MONTO VENDIDO]]-MASTER[[#This Row],[COSTO DE VENTA]]</f>
        <v>741</v>
      </c>
    </row>
    <row r="5099" spans="1:22" x14ac:dyDescent="0.3">
      <c r="A5099">
        <v>72974</v>
      </c>
      <c r="B5099">
        <v>1</v>
      </c>
      <c r="C5099" t="s">
        <v>109</v>
      </c>
      <c r="D5099" t="s">
        <v>110</v>
      </c>
      <c r="E5099" s="1">
        <v>44391</v>
      </c>
      <c r="F5099">
        <v>1</v>
      </c>
      <c r="G5099" t="s">
        <v>57</v>
      </c>
      <c r="H5099" t="s">
        <v>58</v>
      </c>
      <c r="I5099" s="3">
        <v>947</v>
      </c>
      <c r="J5099" s="3">
        <v>947</v>
      </c>
      <c r="K5099" s="3">
        <v>387</v>
      </c>
      <c r="L5099" t="s">
        <v>98</v>
      </c>
      <c r="M5099">
        <v>17</v>
      </c>
      <c r="N5099" t="s">
        <v>14</v>
      </c>
      <c r="O5099" t="s">
        <v>11</v>
      </c>
      <c r="P5099" t="s">
        <v>15</v>
      </c>
      <c r="Q5099" t="s">
        <v>16</v>
      </c>
      <c r="R5099" t="s">
        <v>16</v>
      </c>
      <c r="S5099" t="s">
        <v>144</v>
      </c>
      <c r="T5099" s="2">
        <f>MASTER[[#This Row],[CANTIDAD]]*MASTER[[#This Row],[PRECIO DE VENTA]]</f>
        <v>947</v>
      </c>
      <c r="U5099" s="2">
        <f>MASTER[[#This Row],[CANTIDAD]]*MASTER[[#This Row],[COSTO UNITARIO]]</f>
        <v>387</v>
      </c>
      <c r="V5099" s="2">
        <f>MASTER[[#This Row],[MONTO VENDIDO]]-MASTER[[#This Row],[COSTO DE VENTA]]</f>
        <v>560</v>
      </c>
    </row>
    <row r="5100" spans="1:22" x14ac:dyDescent="0.3">
      <c r="A5100">
        <v>72994</v>
      </c>
      <c r="B5100">
        <v>1</v>
      </c>
      <c r="C5100" t="s">
        <v>92</v>
      </c>
      <c r="D5100" t="s">
        <v>93</v>
      </c>
      <c r="E5100" s="1">
        <v>44391</v>
      </c>
      <c r="F5100">
        <v>1</v>
      </c>
      <c r="G5100" t="s">
        <v>47</v>
      </c>
      <c r="H5100" t="s">
        <v>48</v>
      </c>
      <c r="I5100" s="3">
        <v>1479</v>
      </c>
      <c r="J5100" s="3">
        <v>1479</v>
      </c>
      <c r="K5100" s="3">
        <v>396</v>
      </c>
      <c r="L5100" t="s">
        <v>9</v>
      </c>
      <c r="M5100">
        <v>12</v>
      </c>
      <c r="N5100" t="s">
        <v>26</v>
      </c>
      <c r="O5100" t="s">
        <v>11</v>
      </c>
      <c r="P5100" t="s">
        <v>12</v>
      </c>
      <c r="Q5100" t="s">
        <v>13</v>
      </c>
      <c r="R5100" t="s">
        <v>13</v>
      </c>
      <c r="S5100" t="s">
        <v>144</v>
      </c>
      <c r="T5100" s="2">
        <f>MASTER[[#This Row],[CANTIDAD]]*MASTER[[#This Row],[PRECIO DE VENTA]]</f>
        <v>1479</v>
      </c>
      <c r="U5100" s="2">
        <f>MASTER[[#This Row],[CANTIDAD]]*MASTER[[#This Row],[COSTO UNITARIO]]</f>
        <v>396</v>
      </c>
      <c r="V5100" s="2">
        <f>MASTER[[#This Row],[MONTO VENDIDO]]-MASTER[[#This Row],[COSTO DE VENTA]]</f>
        <v>1083</v>
      </c>
    </row>
    <row r="5101" spans="1:22" x14ac:dyDescent="0.3">
      <c r="A5101">
        <v>73016</v>
      </c>
      <c r="B5101">
        <v>1</v>
      </c>
      <c r="C5101" t="s">
        <v>96</v>
      </c>
      <c r="D5101" t="s">
        <v>97</v>
      </c>
      <c r="E5101" s="1">
        <v>44391</v>
      </c>
      <c r="F5101">
        <v>1</v>
      </c>
      <c r="G5101" t="s">
        <v>65</v>
      </c>
      <c r="H5101" t="s">
        <v>66</v>
      </c>
      <c r="I5101" s="3">
        <v>1196</v>
      </c>
      <c r="J5101" s="3">
        <v>1196</v>
      </c>
      <c r="K5101" s="3">
        <v>397</v>
      </c>
      <c r="L5101" t="s">
        <v>98</v>
      </c>
      <c r="M5101">
        <v>16</v>
      </c>
      <c r="N5101" t="s">
        <v>17</v>
      </c>
      <c r="O5101" t="s">
        <v>11</v>
      </c>
      <c r="P5101" t="s">
        <v>18</v>
      </c>
      <c r="Q5101" t="s">
        <v>19</v>
      </c>
      <c r="R5101" t="s">
        <v>138</v>
      </c>
      <c r="S5101" t="s">
        <v>144</v>
      </c>
      <c r="T5101" s="2">
        <f>MASTER[[#This Row],[CANTIDAD]]*MASTER[[#This Row],[PRECIO DE VENTA]]</f>
        <v>1196</v>
      </c>
      <c r="U5101" s="2">
        <f>MASTER[[#This Row],[CANTIDAD]]*MASTER[[#This Row],[COSTO UNITARIO]]</f>
        <v>397</v>
      </c>
      <c r="V5101" s="2">
        <f>MASTER[[#This Row],[MONTO VENDIDO]]-MASTER[[#This Row],[COSTO DE VENTA]]</f>
        <v>799</v>
      </c>
    </row>
    <row r="5102" spans="1:22" x14ac:dyDescent="0.3">
      <c r="A5102">
        <v>73024</v>
      </c>
      <c r="B5102">
        <v>1</v>
      </c>
      <c r="C5102" t="s">
        <v>96</v>
      </c>
      <c r="D5102" t="s">
        <v>97</v>
      </c>
      <c r="E5102" s="1">
        <v>44391</v>
      </c>
      <c r="F5102">
        <v>1</v>
      </c>
      <c r="G5102" t="s">
        <v>43</v>
      </c>
      <c r="H5102" t="s">
        <v>44</v>
      </c>
      <c r="I5102" s="3">
        <v>1272</v>
      </c>
      <c r="J5102" s="3">
        <v>1272</v>
      </c>
      <c r="K5102" s="3">
        <v>397</v>
      </c>
      <c r="L5102" t="s">
        <v>98</v>
      </c>
      <c r="M5102">
        <v>10</v>
      </c>
      <c r="N5102" t="s">
        <v>83</v>
      </c>
      <c r="O5102" t="s">
        <v>81</v>
      </c>
      <c r="P5102" t="s">
        <v>12</v>
      </c>
      <c r="Q5102" t="s">
        <v>13</v>
      </c>
      <c r="R5102" t="s">
        <v>13</v>
      </c>
      <c r="S5102" t="s">
        <v>144</v>
      </c>
      <c r="T5102" s="2">
        <f>MASTER[[#This Row],[CANTIDAD]]*MASTER[[#This Row],[PRECIO DE VENTA]]</f>
        <v>1272</v>
      </c>
      <c r="U5102" s="2">
        <f>MASTER[[#This Row],[CANTIDAD]]*MASTER[[#This Row],[COSTO UNITARIO]]</f>
        <v>397</v>
      </c>
      <c r="V5102" s="2">
        <f>MASTER[[#This Row],[MONTO VENDIDO]]-MASTER[[#This Row],[COSTO DE VENTA]]</f>
        <v>875</v>
      </c>
    </row>
    <row r="5103" spans="1:22" x14ac:dyDescent="0.3">
      <c r="A5103">
        <v>73030</v>
      </c>
      <c r="B5103">
        <v>1</v>
      </c>
      <c r="C5103" t="s">
        <v>114</v>
      </c>
      <c r="D5103" t="s">
        <v>115</v>
      </c>
      <c r="E5103" s="1">
        <v>44391</v>
      </c>
      <c r="F5103">
        <v>1</v>
      </c>
      <c r="G5103" t="s">
        <v>37</v>
      </c>
      <c r="H5103" t="s">
        <v>38</v>
      </c>
      <c r="I5103" s="3">
        <v>1862</v>
      </c>
      <c r="J5103" s="3">
        <v>1862</v>
      </c>
      <c r="K5103" s="3">
        <v>394</v>
      </c>
      <c r="L5103" t="s">
        <v>113</v>
      </c>
      <c r="M5103">
        <v>14</v>
      </c>
      <c r="N5103" t="s">
        <v>87</v>
      </c>
      <c r="O5103" t="s">
        <v>81</v>
      </c>
      <c r="P5103" t="s">
        <v>18</v>
      </c>
      <c r="Q5103" t="s">
        <v>19</v>
      </c>
      <c r="R5103" t="s">
        <v>138</v>
      </c>
      <c r="S5103" t="s">
        <v>144</v>
      </c>
      <c r="T5103" s="2">
        <f>MASTER[[#This Row],[CANTIDAD]]*MASTER[[#This Row],[PRECIO DE VENTA]]</f>
        <v>1862</v>
      </c>
      <c r="U5103" s="2">
        <f>MASTER[[#This Row],[CANTIDAD]]*MASTER[[#This Row],[COSTO UNITARIO]]</f>
        <v>394</v>
      </c>
      <c r="V5103" s="2">
        <f>MASTER[[#This Row],[MONTO VENDIDO]]-MASTER[[#This Row],[COSTO DE VENTA]]</f>
        <v>1468</v>
      </c>
    </row>
    <row r="5104" spans="1:22" x14ac:dyDescent="0.3">
      <c r="A5104">
        <v>73043</v>
      </c>
      <c r="B5104">
        <v>1</v>
      </c>
      <c r="C5104" t="s">
        <v>101</v>
      </c>
      <c r="D5104" t="s">
        <v>102</v>
      </c>
      <c r="E5104" s="1">
        <v>44391</v>
      </c>
      <c r="F5104">
        <v>3</v>
      </c>
      <c r="G5104" t="s">
        <v>29</v>
      </c>
      <c r="H5104" t="s">
        <v>30</v>
      </c>
      <c r="I5104" s="3">
        <v>1212</v>
      </c>
      <c r="J5104" s="3">
        <v>1212</v>
      </c>
      <c r="K5104" s="3">
        <v>442</v>
      </c>
      <c r="L5104" t="s">
        <v>98</v>
      </c>
      <c r="M5104">
        <v>19</v>
      </c>
      <c r="N5104" t="s">
        <v>89</v>
      </c>
      <c r="O5104" t="s">
        <v>81</v>
      </c>
      <c r="P5104" t="s">
        <v>15</v>
      </c>
      <c r="Q5104" t="s">
        <v>16</v>
      </c>
      <c r="R5104" t="s">
        <v>16</v>
      </c>
      <c r="S5104" t="s">
        <v>144</v>
      </c>
      <c r="T5104" s="2">
        <f>MASTER[[#This Row],[CANTIDAD]]*MASTER[[#This Row],[PRECIO DE VENTA]]</f>
        <v>3636</v>
      </c>
      <c r="U5104" s="2">
        <f>MASTER[[#This Row],[CANTIDAD]]*MASTER[[#This Row],[COSTO UNITARIO]]</f>
        <v>1326</v>
      </c>
      <c r="V5104" s="2">
        <f>MASTER[[#This Row],[MONTO VENDIDO]]-MASTER[[#This Row],[COSTO DE VENTA]]</f>
        <v>2310</v>
      </c>
    </row>
    <row r="5105" spans="1:22" x14ac:dyDescent="0.3">
      <c r="A5105">
        <v>73058</v>
      </c>
      <c r="B5105">
        <v>1</v>
      </c>
      <c r="C5105" t="s">
        <v>114</v>
      </c>
      <c r="D5105" t="s">
        <v>115</v>
      </c>
      <c r="E5105" s="1">
        <v>44391</v>
      </c>
      <c r="F5105">
        <v>1</v>
      </c>
      <c r="G5105" t="s">
        <v>49</v>
      </c>
      <c r="H5105" t="s">
        <v>50</v>
      </c>
      <c r="I5105" s="3">
        <v>1862</v>
      </c>
      <c r="J5105" s="3">
        <v>1862</v>
      </c>
      <c r="K5105" s="3">
        <v>394</v>
      </c>
      <c r="L5105" t="s">
        <v>113</v>
      </c>
      <c r="M5105">
        <v>10</v>
      </c>
      <c r="N5105" t="s">
        <v>83</v>
      </c>
      <c r="O5105" t="s">
        <v>81</v>
      </c>
      <c r="P5105" t="s">
        <v>12</v>
      </c>
      <c r="Q5105" t="s">
        <v>13</v>
      </c>
      <c r="R5105" t="s">
        <v>13</v>
      </c>
      <c r="S5105" t="s">
        <v>144</v>
      </c>
      <c r="T5105" s="2">
        <f>MASTER[[#This Row],[CANTIDAD]]*MASTER[[#This Row],[PRECIO DE VENTA]]</f>
        <v>1862</v>
      </c>
      <c r="U5105" s="2">
        <f>MASTER[[#This Row],[CANTIDAD]]*MASTER[[#This Row],[COSTO UNITARIO]]</f>
        <v>394</v>
      </c>
      <c r="V5105" s="2">
        <f>MASTER[[#This Row],[MONTO VENDIDO]]-MASTER[[#This Row],[COSTO DE VENTA]]</f>
        <v>1468</v>
      </c>
    </row>
    <row r="5106" spans="1:22" x14ac:dyDescent="0.3">
      <c r="A5106">
        <v>73059</v>
      </c>
      <c r="B5106">
        <v>1</v>
      </c>
      <c r="C5106" t="s">
        <v>107</v>
      </c>
      <c r="D5106" t="s">
        <v>108</v>
      </c>
      <c r="E5106" s="1">
        <v>44391</v>
      </c>
      <c r="F5106">
        <v>1</v>
      </c>
      <c r="G5106" t="s">
        <v>22</v>
      </c>
      <c r="H5106" t="s">
        <v>23</v>
      </c>
      <c r="I5106" s="3">
        <v>1240</v>
      </c>
      <c r="J5106" s="3">
        <v>1240</v>
      </c>
      <c r="K5106" s="3">
        <v>380</v>
      </c>
      <c r="L5106" t="s">
        <v>98</v>
      </c>
      <c r="M5106">
        <v>11</v>
      </c>
      <c r="N5106" t="s">
        <v>10</v>
      </c>
      <c r="O5106" t="s">
        <v>11</v>
      </c>
      <c r="P5106" t="s">
        <v>12</v>
      </c>
      <c r="Q5106" t="s">
        <v>13</v>
      </c>
      <c r="R5106" t="s">
        <v>13</v>
      </c>
      <c r="S5106" t="s">
        <v>144</v>
      </c>
      <c r="T5106" s="2">
        <f>MASTER[[#This Row],[CANTIDAD]]*MASTER[[#This Row],[PRECIO DE VENTA]]</f>
        <v>1240</v>
      </c>
      <c r="U5106" s="2">
        <f>MASTER[[#This Row],[CANTIDAD]]*MASTER[[#This Row],[COSTO UNITARIO]]</f>
        <v>380</v>
      </c>
      <c r="V5106" s="2">
        <f>MASTER[[#This Row],[MONTO VENDIDO]]-MASTER[[#This Row],[COSTO DE VENTA]]</f>
        <v>860</v>
      </c>
    </row>
    <row r="5107" spans="1:22" x14ac:dyDescent="0.3">
      <c r="A5107">
        <v>73082</v>
      </c>
      <c r="B5107">
        <v>1</v>
      </c>
      <c r="C5107" t="s">
        <v>121</v>
      </c>
      <c r="D5107" t="s">
        <v>122</v>
      </c>
      <c r="E5107" s="1">
        <v>44391</v>
      </c>
      <c r="F5107">
        <v>1</v>
      </c>
      <c r="G5107" t="s">
        <v>57</v>
      </c>
      <c r="H5107" t="s">
        <v>58</v>
      </c>
      <c r="I5107" s="3">
        <v>1069</v>
      </c>
      <c r="J5107" s="3">
        <v>1069</v>
      </c>
      <c r="K5107" s="3">
        <v>460</v>
      </c>
      <c r="L5107" t="s">
        <v>120</v>
      </c>
      <c r="M5107">
        <v>2</v>
      </c>
      <c r="N5107" t="s">
        <v>86</v>
      </c>
      <c r="O5107" t="s">
        <v>81</v>
      </c>
      <c r="P5107" t="s">
        <v>71</v>
      </c>
      <c r="Q5107" t="s">
        <v>72</v>
      </c>
      <c r="R5107" t="s">
        <v>139</v>
      </c>
      <c r="S5107" t="s">
        <v>144</v>
      </c>
      <c r="T5107" s="2">
        <f>MASTER[[#This Row],[CANTIDAD]]*MASTER[[#This Row],[PRECIO DE VENTA]]</f>
        <v>1069</v>
      </c>
      <c r="U5107" s="2">
        <f>MASTER[[#This Row],[CANTIDAD]]*MASTER[[#This Row],[COSTO UNITARIO]]</f>
        <v>460</v>
      </c>
      <c r="V5107" s="2">
        <f>MASTER[[#This Row],[MONTO VENDIDO]]-MASTER[[#This Row],[COSTO DE VENTA]]</f>
        <v>609</v>
      </c>
    </row>
    <row r="5108" spans="1:22" x14ac:dyDescent="0.3">
      <c r="A5108">
        <v>73112</v>
      </c>
      <c r="B5108">
        <v>1</v>
      </c>
      <c r="C5108" t="s">
        <v>96</v>
      </c>
      <c r="D5108" t="s">
        <v>97</v>
      </c>
      <c r="E5108" s="1">
        <v>44391</v>
      </c>
      <c r="F5108">
        <v>1</v>
      </c>
      <c r="G5108" t="s">
        <v>67</v>
      </c>
      <c r="H5108" t="s">
        <v>68</v>
      </c>
      <c r="I5108" s="3">
        <v>1196</v>
      </c>
      <c r="J5108" s="3">
        <v>1196</v>
      </c>
      <c r="K5108" s="3">
        <v>397</v>
      </c>
      <c r="L5108" t="s">
        <v>98</v>
      </c>
      <c r="M5108">
        <v>12</v>
      </c>
      <c r="N5108" t="s">
        <v>26</v>
      </c>
      <c r="O5108" t="s">
        <v>11</v>
      </c>
      <c r="P5108" t="s">
        <v>12</v>
      </c>
      <c r="Q5108" t="s">
        <v>13</v>
      </c>
      <c r="R5108" t="s">
        <v>13</v>
      </c>
      <c r="S5108" t="s">
        <v>144</v>
      </c>
      <c r="T5108" s="2">
        <f>MASTER[[#This Row],[CANTIDAD]]*MASTER[[#This Row],[PRECIO DE VENTA]]</f>
        <v>1196</v>
      </c>
      <c r="U5108" s="2">
        <f>MASTER[[#This Row],[CANTIDAD]]*MASTER[[#This Row],[COSTO UNITARIO]]</f>
        <v>397</v>
      </c>
      <c r="V5108" s="2">
        <f>MASTER[[#This Row],[MONTO VENDIDO]]-MASTER[[#This Row],[COSTO DE VENTA]]</f>
        <v>799</v>
      </c>
    </row>
    <row r="5109" spans="1:22" x14ac:dyDescent="0.3">
      <c r="A5109">
        <v>73118</v>
      </c>
      <c r="B5109">
        <v>1</v>
      </c>
      <c r="C5109" t="s">
        <v>90</v>
      </c>
      <c r="D5109" t="s">
        <v>91</v>
      </c>
      <c r="E5109" s="1">
        <v>44391</v>
      </c>
      <c r="F5109">
        <v>2</v>
      </c>
      <c r="G5109" t="s">
        <v>57</v>
      </c>
      <c r="H5109" t="s">
        <v>58</v>
      </c>
      <c r="I5109" s="3">
        <v>1660</v>
      </c>
      <c r="J5109" s="3">
        <v>1660</v>
      </c>
      <c r="K5109" s="3">
        <v>420</v>
      </c>
      <c r="L5109" t="s">
        <v>9</v>
      </c>
      <c r="M5109">
        <v>12</v>
      </c>
      <c r="N5109" t="s">
        <v>26</v>
      </c>
      <c r="O5109" t="s">
        <v>11</v>
      </c>
      <c r="P5109" t="s">
        <v>12</v>
      </c>
      <c r="Q5109" t="s">
        <v>13</v>
      </c>
      <c r="R5109" t="s">
        <v>13</v>
      </c>
      <c r="S5109" t="s">
        <v>144</v>
      </c>
      <c r="T5109" s="2">
        <f>MASTER[[#This Row],[CANTIDAD]]*MASTER[[#This Row],[PRECIO DE VENTA]]</f>
        <v>3320</v>
      </c>
      <c r="U5109" s="2">
        <f>MASTER[[#This Row],[CANTIDAD]]*MASTER[[#This Row],[COSTO UNITARIO]]</f>
        <v>840</v>
      </c>
      <c r="V5109" s="2">
        <f>MASTER[[#This Row],[MONTO VENDIDO]]-MASTER[[#This Row],[COSTO DE VENTA]]</f>
        <v>2480</v>
      </c>
    </row>
    <row r="5110" spans="1:22" x14ac:dyDescent="0.3">
      <c r="A5110">
        <v>73121</v>
      </c>
      <c r="B5110">
        <v>1</v>
      </c>
      <c r="C5110" t="s">
        <v>101</v>
      </c>
      <c r="D5110" t="s">
        <v>102</v>
      </c>
      <c r="E5110" s="1">
        <v>44391</v>
      </c>
      <c r="F5110">
        <v>1</v>
      </c>
      <c r="G5110" t="s">
        <v>39</v>
      </c>
      <c r="H5110" t="s">
        <v>40</v>
      </c>
      <c r="I5110" s="3">
        <v>1357</v>
      </c>
      <c r="J5110" s="3">
        <v>1357</v>
      </c>
      <c r="K5110" s="3">
        <v>442</v>
      </c>
      <c r="L5110" t="s">
        <v>98</v>
      </c>
      <c r="M5110">
        <v>9</v>
      </c>
      <c r="N5110" t="s">
        <v>76</v>
      </c>
      <c r="O5110" t="s">
        <v>70</v>
      </c>
      <c r="P5110" t="s">
        <v>12</v>
      </c>
      <c r="Q5110" t="s">
        <v>13</v>
      </c>
      <c r="R5110" t="s">
        <v>13</v>
      </c>
      <c r="S5110" t="s">
        <v>144</v>
      </c>
      <c r="T5110" s="2">
        <f>MASTER[[#This Row],[CANTIDAD]]*MASTER[[#This Row],[PRECIO DE VENTA]]</f>
        <v>1357</v>
      </c>
      <c r="U5110" s="2">
        <f>MASTER[[#This Row],[CANTIDAD]]*MASTER[[#This Row],[COSTO UNITARIO]]</f>
        <v>442</v>
      </c>
      <c r="V5110" s="2">
        <f>MASTER[[#This Row],[MONTO VENDIDO]]-MASTER[[#This Row],[COSTO DE VENTA]]</f>
        <v>915</v>
      </c>
    </row>
    <row r="5111" spans="1:22" x14ac:dyDescent="0.3">
      <c r="A5111">
        <v>73122</v>
      </c>
      <c r="B5111">
        <v>1</v>
      </c>
      <c r="C5111" t="s">
        <v>92</v>
      </c>
      <c r="D5111" t="s">
        <v>93</v>
      </c>
      <c r="E5111" s="1">
        <v>44391</v>
      </c>
      <c r="F5111">
        <v>1</v>
      </c>
      <c r="G5111" t="s">
        <v>65</v>
      </c>
      <c r="H5111" t="s">
        <v>66</v>
      </c>
      <c r="I5111" s="3">
        <v>1866</v>
      </c>
      <c r="J5111" s="3">
        <v>1679</v>
      </c>
      <c r="K5111" s="3">
        <v>396</v>
      </c>
      <c r="L5111" t="s">
        <v>9</v>
      </c>
      <c r="M5111">
        <v>13</v>
      </c>
      <c r="N5111" t="s">
        <v>78</v>
      </c>
      <c r="O5111" t="s">
        <v>70</v>
      </c>
      <c r="P5111" t="s">
        <v>18</v>
      </c>
      <c r="Q5111" t="s">
        <v>19</v>
      </c>
      <c r="R5111" t="s">
        <v>138</v>
      </c>
      <c r="S5111" t="s">
        <v>144</v>
      </c>
      <c r="T5111" s="2">
        <f>MASTER[[#This Row],[CANTIDAD]]*MASTER[[#This Row],[PRECIO DE VENTA]]</f>
        <v>1679</v>
      </c>
      <c r="U5111" s="2">
        <f>MASTER[[#This Row],[CANTIDAD]]*MASTER[[#This Row],[COSTO UNITARIO]]</f>
        <v>396</v>
      </c>
      <c r="V5111" s="2">
        <f>MASTER[[#This Row],[MONTO VENDIDO]]-MASTER[[#This Row],[COSTO DE VENTA]]</f>
        <v>1283</v>
      </c>
    </row>
    <row r="5112" spans="1:22" x14ac:dyDescent="0.3">
      <c r="A5112">
        <v>73122</v>
      </c>
      <c r="B5112">
        <v>2</v>
      </c>
      <c r="C5112" t="s">
        <v>114</v>
      </c>
      <c r="D5112" t="s">
        <v>115</v>
      </c>
      <c r="E5112" s="1">
        <v>44391</v>
      </c>
      <c r="F5112">
        <v>1</v>
      </c>
      <c r="G5112" t="s">
        <v>49</v>
      </c>
      <c r="H5112" t="s">
        <v>50</v>
      </c>
      <c r="I5112" s="3">
        <v>2030</v>
      </c>
      <c r="J5112" s="3">
        <v>2030</v>
      </c>
      <c r="K5112" s="3">
        <v>394</v>
      </c>
      <c r="L5112" t="s">
        <v>113</v>
      </c>
      <c r="M5112">
        <v>13</v>
      </c>
      <c r="N5112" t="s">
        <v>78</v>
      </c>
      <c r="O5112" t="s">
        <v>70</v>
      </c>
      <c r="P5112" t="s">
        <v>18</v>
      </c>
      <c r="Q5112" t="s">
        <v>19</v>
      </c>
      <c r="R5112" t="s">
        <v>138</v>
      </c>
      <c r="S5112" t="s">
        <v>144</v>
      </c>
      <c r="T5112" s="2">
        <f>MASTER[[#This Row],[CANTIDAD]]*MASTER[[#This Row],[PRECIO DE VENTA]]</f>
        <v>2030</v>
      </c>
      <c r="U5112" s="2">
        <f>MASTER[[#This Row],[CANTIDAD]]*MASTER[[#This Row],[COSTO UNITARIO]]</f>
        <v>394</v>
      </c>
      <c r="V5112" s="2">
        <f>MASTER[[#This Row],[MONTO VENDIDO]]-MASTER[[#This Row],[COSTO DE VENTA]]</f>
        <v>1636</v>
      </c>
    </row>
    <row r="5113" spans="1:22" x14ac:dyDescent="0.3">
      <c r="A5113">
        <v>73127</v>
      </c>
      <c r="B5113">
        <v>1</v>
      </c>
      <c r="C5113" t="s">
        <v>103</v>
      </c>
      <c r="D5113" t="s">
        <v>104</v>
      </c>
      <c r="E5113" s="1">
        <v>44391</v>
      </c>
      <c r="F5113">
        <v>1</v>
      </c>
      <c r="G5113" t="s">
        <v>27</v>
      </c>
      <c r="H5113" t="s">
        <v>28</v>
      </c>
      <c r="I5113" s="3">
        <v>1830</v>
      </c>
      <c r="J5113" s="3">
        <v>1830</v>
      </c>
      <c r="K5113" s="3">
        <v>421</v>
      </c>
      <c r="L5113" t="s">
        <v>98</v>
      </c>
      <c r="M5113">
        <v>3</v>
      </c>
      <c r="N5113" t="s">
        <v>69</v>
      </c>
      <c r="O5113" t="s">
        <v>70</v>
      </c>
      <c r="P5113" t="s">
        <v>71</v>
      </c>
      <c r="Q5113" t="s">
        <v>72</v>
      </c>
      <c r="R5113" t="s">
        <v>139</v>
      </c>
      <c r="S5113" t="s">
        <v>144</v>
      </c>
      <c r="T5113" s="2">
        <f>MASTER[[#This Row],[CANTIDAD]]*MASTER[[#This Row],[PRECIO DE VENTA]]</f>
        <v>1830</v>
      </c>
      <c r="U5113" s="2">
        <f>MASTER[[#This Row],[CANTIDAD]]*MASTER[[#This Row],[COSTO UNITARIO]]</f>
        <v>421</v>
      </c>
      <c r="V5113" s="2">
        <f>MASTER[[#This Row],[MONTO VENDIDO]]-MASTER[[#This Row],[COSTO DE VENTA]]</f>
        <v>1409</v>
      </c>
    </row>
    <row r="5114" spans="1:22" x14ac:dyDescent="0.3">
      <c r="A5114">
        <v>73142</v>
      </c>
      <c r="B5114">
        <v>1</v>
      </c>
      <c r="C5114" t="s">
        <v>5</v>
      </c>
      <c r="D5114" t="s">
        <v>6</v>
      </c>
      <c r="E5114" s="1">
        <v>44392</v>
      </c>
      <c r="F5114">
        <v>1</v>
      </c>
      <c r="G5114" t="s">
        <v>65</v>
      </c>
      <c r="H5114" t="s">
        <v>66</v>
      </c>
      <c r="I5114" s="3">
        <v>1507</v>
      </c>
      <c r="J5114" s="3">
        <v>1507</v>
      </c>
      <c r="K5114" s="3">
        <v>393</v>
      </c>
      <c r="L5114" t="s">
        <v>9</v>
      </c>
      <c r="M5114">
        <v>8</v>
      </c>
      <c r="N5114" t="s">
        <v>80</v>
      </c>
      <c r="O5114" t="s">
        <v>81</v>
      </c>
      <c r="P5114" t="s">
        <v>12</v>
      </c>
      <c r="Q5114" t="s">
        <v>13</v>
      </c>
      <c r="R5114" t="s">
        <v>13</v>
      </c>
      <c r="S5114" t="s">
        <v>144</v>
      </c>
      <c r="T5114" s="2">
        <f>MASTER[[#This Row],[CANTIDAD]]*MASTER[[#This Row],[PRECIO DE VENTA]]</f>
        <v>1507</v>
      </c>
      <c r="U5114" s="2">
        <f>MASTER[[#This Row],[CANTIDAD]]*MASTER[[#This Row],[COSTO UNITARIO]]</f>
        <v>393</v>
      </c>
      <c r="V5114" s="2">
        <f>MASTER[[#This Row],[MONTO VENDIDO]]-MASTER[[#This Row],[COSTO DE VENTA]]</f>
        <v>1114</v>
      </c>
    </row>
    <row r="5115" spans="1:22" x14ac:dyDescent="0.3">
      <c r="A5115">
        <v>73150</v>
      </c>
      <c r="B5115">
        <v>1</v>
      </c>
      <c r="C5115" t="s">
        <v>5</v>
      </c>
      <c r="D5115" t="s">
        <v>6</v>
      </c>
      <c r="E5115" s="1">
        <v>44392</v>
      </c>
      <c r="F5115">
        <v>1</v>
      </c>
      <c r="G5115" t="s">
        <v>35</v>
      </c>
      <c r="H5115" t="s">
        <v>36</v>
      </c>
      <c r="I5115" s="3">
        <v>1507</v>
      </c>
      <c r="J5115" s="3">
        <v>1507</v>
      </c>
      <c r="K5115" s="3">
        <v>393</v>
      </c>
      <c r="L5115" t="s">
        <v>9</v>
      </c>
      <c r="M5115">
        <v>4</v>
      </c>
      <c r="N5115" t="s">
        <v>82</v>
      </c>
      <c r="O5115" t="s">
        <v>81</v>
      </c>
      <c r="P5115" t="s">
        <v>71</v>
      </c>
      <c r="Q5115" t="s">
        <v>72</v>
      </c>
      <c r="R5115" t="s">
        <v>139</v>
      </c>
      <c r="S5115" t="s">
        <v>144</v>
      </c>
      <c r="T5115" s="2">
        <f>MASTER[[#This Row],[CANTIDAD]]*MASTER[[#This Row],[PRECIO DE VENTA]]</f>
        <v>1507</v>
      </c>
      <c r="U5115" s="2">
        <f>MASTER[[#This Row],[CANTIDAD]]*MASTER[[#This Row],[COSTO UNITARIO]]</f>
        <v>393</v>
      </c>
      <c r="V5115" s="2">
        <f>MASTER[[#This Row],[MONTO VENDIDO]]-MASTER[[#This Row],[COSTO DE VENTA]]</f>
        <v>1114</v>
      </c>
    </row>
    <row r="5116" spans="1:22" x14ac:dyDescent="0.3">
      <c r="A5116">
        <v>73151</v>
      </c>
      <c r="B5116">
        <v>1</v>
      </c>
      <c r="C5116" t="s">
        <v>99</v>
      </c>
      <c r="D5116" t="s">
        <v>100</v>
      </c>
      <c r="E5116" s="1">
        <v>44392</v>
      </c>
      <c r="F5116">
        <v>1</v>
      </c>
      <c r="G5116" t="s">
        <v>59</v>
      </c>
      <c r="H5116" t="s">
        <v>60</v>
      </c>
      <c r="I5116" s="3">
        <v>1678</v>
      </c>
      <c r="J5116" s="3">
        <v>1678</v>
      </c>
      <c r="K5116" s="3">
        <v>386</v>
      </c>
      <c r="L5116" t="s">
        <v>98</v>
      </c>
      <c r="M5116">
        <v>1</v>
      </c>
      <c r="N5116" t="s">
        <v>77</v>
      </c>
      <c r="O5116" t="s">
        <v>70</v>
      </c>
      <c r="P5116" t="s">
        <v>71</v>
      </c>
      <c r="Q5116" t="s">
        <v>72</v>
      </c>
      <c r="R5116" t="s">
        <v>139</v>
      </c>
      <c r="S5116" t="s">
        <v>144</v>
      </c>
      <c r="T5116" s="2">
        <f>MASTER[[#This Row],[CANTIDAD]]*MASTER[[#This Row],[PRECIO DE VENTA]]</f>
        <v>1678</v>
      </c>
      <c r="U5116" s="2">
        <f>MASTER[[#This Row],[CANTIDAD]]*MASTER[[#This Row],[COSTO UNITARIO]]</f>
        <v>386</v>
      </c>
      <c r="V5116" s="2">
        <f>MASTER[[#This Row],[MONTO VENDIDO]]-MASTER[[#This Row],[COSTO DE VENTA]]</f>
        <v>1292</v>
      </c>
    </row>
    <row r="5117" spans="1:22" x14ac:dyDescent="0.3">
      <c r="A5117">
        <v>73178</v>
      </c>
      <c r="B5117">
        <v>1</v>
      </c>
      <c r="C5117" t="s">
        <v>118</v>
      </c>
      <c r="D5117" t="s">
        <v>119</v>
      </c>
      <c r="E5117" s="1">
        <v>44392</v>
      </c>
      <c r="F5117">
        <v>1</v>
      </c>
      <c r="G5117" t="s">
        <v>37</v>
      </c>
      <c r="H5117" t="s">
        <v>38</v>
      </c>
      <c r="I5117" s="3">
        <v>900</v>
      </c>
      <c r="J5117" s="3">
        <v>900</v>
      </c>
      <c r="K5117" s="3">
        <v>424</v>
      </c>
      <c r="L5117" t="s">
        <v>120</v>
      </c>
      <c r="M5117">
        <v>8</v>
      </c>
      <c r="N5117" t="s">
        <v>80</v>
      </c>
      <c r="O5117" t="s">
        <v>81</v>
      </c>
      <c r="P5117" t="s">
        <v>12</v>
      </c>
      <c r="Q5117" t="s">
        <v>13</v>
      </c>
      <c r="R5117" t="s">
        <v>13</v>
      </c>
      <c r="S5117" t="s">
        <v>144</v>
      </c>
      <c r="T5117" s="2">
        <f>MASTER[[#This Row],[CANTIDAD]]*MASTER[[#This Row],[PRECIO DE VENTA]]</f>
        <v>900</v>
      </c>
      <c r="U5117" s="2">
        <f>MASTER[[#This Row],[CANTIDAD]]*MASTER[[#This Row],[COSTO UNITARIO]]</f>
        <v>424</v>
      </c>
      <c r="V5117" s="2">
        <f>MASTER[[#This Row],[MONTO VENDIDO]]-MASTER[[#This Row],[COSTO DE VENTA]]</f>
        <v>476</v>
      </c>
    </row>
    <row r="5118" spans="1:22" x14ac:dyDescent="0.3">
      <c r="A5118">
        <v>73207</v>
      </c>
      <c r="B5118">
        <v>1</v>
      </c>
      <c r="C5118" t="s">
        <v>116</v>
      </c>
      <c r="D5118" t="s">
        <v>117</v>
      </c>
      <c r="E5118" s="1">
        <v>44392</v>
      </c>
      <c r="F5118">
        <v>1</v>
      </c>
      <c r="G5118" t="s">
        <v>49</v>
      </c>
      <c r="H5118" t="s">
        <v>50</v>
      </c>
      <c r="I5118" s="3">
        <v>1529</v>
      </c>
      <c r="J5118" s="3">
        <v>1529</v>
      </c>
      <c r="K5118" s="3">
        <v>388</v>
      </c>
      <c r="L5118" t="s">
        <v>113</v>
      </c>
      <c r="M5118">
        <v>12</v>
      </c>
      <c r="N5118" t="s">
        <v>26</v>
      </c>
      <c r="O5118" t="s">
        <v>11</v>
      </c>
      <c r="P5118" t="s">
        <v>12</v>
      </c>
      <c r="Q5118" t="s">
        <v>13</v>
      </c>
      <c r="R5118" t="s">
        <v>13</v>
      </c>
      <c r="S5118" t="s">
        <v>144</v>
      </c>
      <c r="T5118" s="2">
        <f>MASTER[[#This Row],[CANTIDAD]]*MASTER[[#This Row],[PRECIO DE VENTA]]</f>
        <v>1529</v>
      </c>
      <c r="U5118" s="2">
        <f>MASTER[[#This Row],[CANTIDAD]]*MASTER[[#This Row],[COSTO UNITARIO]]</f>
        <v>388</v>
      </c>
      <c r="V5118" s="2">
        <f>MASTER[[#This Row],[MONTO VENDIDO]]-MASTER[[#This Row],[COSTO DE VENTA]]</f>
        <v>1141</v>
      </c>
    </row>
    <row r="5119" spans="1:22" x14ac:dyDescent="0.3">
      <c r="A5119">
        <v>73229</v>
      </c>
      <c r="B5119">
        <v>1</v>
      </c>
      <c r="C5119" t="s">
        <v>101</v>
      </c>
      <c r="D5119" t="s">
        <v>102</v>
      </c>
      <c r="E5119" s="1">
        <v>44392</v>
      </c>
      <c r="F5119">
        <v>2</v>
      </c>
      <c r="G5119" t="s">
        <v>49</v>
      </c>
      <c r="H5119" t="s">
        <v>50</v>
      </c>
      <c r="I5119" s="3">
        <v>1054</v>
      </c>
      <c r="J5119" s="3">
        <v>1054</v>
      </c>
      <c r="K5119" s="3">
        <v>442</v>
      </c>
      <c r="L5119" t="s">
        <v>98</v>
      </c>
      <c r="M5119">
        <v>16</v>
      </c>
      <c r="N5119" t="s">
        <v>17</v>
      </c>
      <c r="O5119" t="s">
        <v>11</v>
      </c>
      <c r="P5119" t="s">
        <v>18</v>
      </c>
      <c r="Q5119" t="s">
        <v>19</v>
      </c>
      <c r="R5119" t="s">
        <v>138</v>
      </c>
      <c r="S5119" t="s">
        <v>144</v>
      </c>
      <c r="T5119" s="2">
        <f>MASTER[[#This Row],[CANTIDAD]]*MASTER[[#This Row],[PRECIO DE VENTA]]</f>
        <v>2108</v>
      </c>
      <c r="U5119" s="2">
        <f>MASTER[[#This Row],[CANTIDAD]]*MASTER[[#This Row],[COSTO UNITARIO]]</f>
        <v>884</v>
      </c>
      <c r="V5119" s="2">
        <f>MASTER[[#This Row],[MONTO VENDIDO]]-MASTER[[#This Row],[COSTO DE VENTA]]</f>
        <v>1224</v>
      </c>
    </row>
    <row r="5120" spans="1:22" x14ac:dyDescent="0.3">
      <c r="A5120">
        <v>73234</v>
      </c>
      <c r="B5120">
        <v>1</v>
      </c>
      <c r="C5120" t="s">
        <v>94</v>
      </c>
      <c r="D5120" t="s">
        <v>95</v>
      </c>
      <c r="E5120" s="1">
        <v>44392</v>
      </c>
      <c r="F5120">
        <v>1</v>
      </c>
      <c r="G5120" t="s">
        <v>24</v>
      </c>
      <c r="H5120" t="s">
        <v>25</v>
      </c>
      <c r="I5120" s="3">
        <v>1153</v>
      </c>
      <c r="J5120" s="3">
        <v>1153</v>
      </c>
      <c r="K5120" s="3">
        <v>392</v>
      </c>
      <c r="L5120" t="s">
        <v>9</v>
      </c>
      <c r="M5120">
        <v>1</v>
      </c>
      <c r="N5120" t="s">
        <v>77</v>
      </c>
      <c r="O5120" t="s">
        <v>70</v>
      </c>
      <c r="P5120" t="s">
        <v>71</v>
      </c>
      <c r="Q5120" t="s">
        <v>72</v>
      </c>
      <c r="R5120" t="s">
        <v>139</v>
      </c>
      <c r="S5120" t="s">
        <v>144</v>
      </c>
      <c r="T5120" s="2">
        <f>MASTER[[#This Row],[CANTIDAD]]*MASTER[[#This Row],[PRECIO DE VENTA]]</f>
        <v>1153</v>
      </c>
      <c r="U5120" s="2">
        <f>MASTER[[#This Row],[CANTIDAD]]*MASTER[[#This Row],[COSTO UNITARIO]]</f>
        <v>392</v>
      </c>
      <c r="V5120" s="2">
        <f>MASTER[[#This Row],[MONTO VENDIDO]]-MASTER[[#This Row],[COSTO DE VENTA]]</f>
        <v>761</v>
      </c>
    </row>
    <row r="5121" spans="1:22" x14ac:dyDescent="0.3">
      <c r="A5121">
        <v>73246</v>
      </c>
      <c r="B5121">
        <v>1</v>
      </c>
      <c r="C5121" t="s">
        <v>90</v>
      </c>
      <c r="D5121" t="s">
        <v>91</v>
      </c>
      <c r="E5121" s="1">
        <v>44392</v>
      </c>
      <c r="F5121">
        <v>1</v>
      </c>
      <c r="G5121" t="s">
        <v>47</v>
      </c>
      <c r="H5121" t="s">
        <v>48</v>
      </c>
      <c r="I5121" s="3">
        <v>2102</v>
      </c>
      <c r="J5121" s="3">
        <v>2102</v>
      </c>
      <c r="K5121" s="3">
        <v>420</v>
      </c>
      <c r="L5121" t="s">
        <v>9</v>
      </c>
      <c r="M5121">
        <v>6</v>
      </c>
      <c r="N5121" t="s">
        <v>75</v>
      </c>
      <c r="O5121" t="s">
        <v>70</v>
      </c>
      <c r="P5121" t="s">
        <v>12</v>
      </c>
      <c r="Q5121" t="s">
        <v>13</v>
      </c>
      <c r="R5121" t="s">
        <v>13</v>
      </c>
      <c r="S5121" t="s">
        <v>144</v>
      </c>
      <c r="T5121" s="2">
        <f>MASTER[[#This Row],[CANTIDAD]]*MASTER[[#This Row],[PRECIO DE VENTA]]</f>
        <v>2102</v>
      </c>
      <c r="U5121" s="2">
        <f>MASTER[[#This Row],[CANTIDAD]]*MASTER[[#This Row],[COSTO UNITARIO]]</f>
        <v>420</v>
      </c>
      <c r="V5121" s="2">
        <f>MASTER[[#This Row],[MONTO VENDIDO]]-MASTER[[#This Row],[COSTO DE VENTA]]</f>
        <v>1682</v>
      </c>
    </row>
    <row r="5122" spans="1:22" x14ac:dyDescent="0.3">
      <c r="A5122">
        <v>73251</v>
      </c>
      <c r="B5122">
        <v>1</v>
      </c>
      <c r="C5122" t="s">
        <v>103</v>
      </c>
      <c r="D5122" t="s">
        <v>104</v>
      </c>
      <c r="E5122" s="1">
        <v>44392</v>
      </c>
      <c r="F5122">
        <v>1</v>
      </c>
      <c r="G5122" t="s">
        <v>61</v>
      </c>
      <c r="H5122" t="s">
        <v>62</v>
      </c>
      <c r="I5122" s="3">
        <v>1591</v>
      </c>
      <c r="J5122" s="3">
        <v>1591</v>
      </c>
      <c r="K5122" s="3">
        <v>421</v>
      </c>
      <c r="L5122" t="s">
        <v>98</v>
      </c>
      <c r="M5122">
        <v>8</v>
      </c>
      <c r="N5122" t="s">
        <v>80</v>
      </c>
      <c r="O5122" t="s">
        <v>81</v>
      </c>
      <c r="P5122" t="s">
        <v>12</v>
      </c>
      <c r="Q5122" t="s">
        <v>13</v>
      </c>
      <c r="R5122" t="s">
        <v>13</v>
      </c>
      <c r="S5122" t="s">
        <v>144</v>
      </c>
      <c r="T5122" s="2">
        <f>MASTER[[#This Row],[CANTIDAD]]*MASTER[[#This Row],[PRECIO DE VENTA]]</f>
        <v>1591</v>
      </c>
      <c r="U5122" s="2">
        <f>MASTER[[#This Row],[CANTIDAD]]*MASTER[[#This Row],[COSTO UNITARIO]]</f>
        <v>421</v>
      </c>
      <c r="V5122" s="2">
        <f>MASTER[[#This Row],[MONTO VENDIDO]]-MASTER[[#This Row],[COSTO DE VENTA]]</f>
        <v>1170</v>
      </c>
    </row>
    <row r="5123" spans="1:22" x14ac:dyDescent="0.3">
      <c r="A5123">
        <v>73252</v>
      </c>
      <c r="B5123">
        <v>1</v>
      </c>
      <c r="C5123" t="s">
        <v>101</v>
      </c>
      <c r="D5123" t="s">
        <v>102</v>
      </c>
      <c r="E5123" s="1">
        <v>44393</v>
      </c>
      <c r="F5123">
        <v>1</v>
      </c>
      <c r="G5123" t="s">
        <v>65</v>
      </c>
      <c r="H5123" t="s">
        <v>66</v>
      </c>
      <c r="I5123" s="3">
        <v>1357</v>
      </c>
      <c r="J5123" s="3">
        <v>1357</v>
      </c>
      <c r="K5123" s="3">
        <v>442</v>
      </c>
      <c r="L5123" t="s">
        <v>98</v>
      </c>
      <c r="M5123">
        <v>9</v>
      </c>
      <c r="N5123" t="s">
        <v>76</v>
      </c>
      <c r="O5123" t="s">
        <v>70</v>
      </c>
      <c r="P5123" t="s">
        <v>12</v>
      </c>
      <c r="Q5123" t="s">
        <v>13</v>
      </c>
      <c r="R5123" t="s">
        <v>13</v>
      </c>
      <c r="S5123" t="s">
        <v>144</v>
      </c>
      <c r="T5123" s="2">
        <f>MASTER[[#This Row],[CANTIDAD]]*MASTER[[#This Row],[PRECIO DE VENTA]]</f>
        <v>1357</v>
      </c>
      <c r="U5123" s="2">
        <f>MASTER[[#This Row],[CANTIDAD]]*MASTER[[#This Row],[COSTO UNITARIO]]</f>
        <v>442</v>
      </c>
      <c r="V5123" s="2">
        <f>MASTER[[#This Row],[MONTO VENDIDO]]-MASTER[[#This Row],[COSTO DE VENTA]]</f>
        <v>915</v>
      </c>
    </row>
    <row r="5124" spans="1:22" x14ac:dyDescent="0.3">
      <c r="A5124">
        <v>73264</v>
      </c>
      <c r="B5124">
        <v>1</v>
      </c>
      <c r="C5124" t="s">
        <v>114</v>
      </c>
      <c r="D5124" t="s">
        <v>115</v>
      </c>
      <c r="E5124" s="1">
        <v>44393</v>
      </c>
      <c r="F5124">
        <v>4</v>
      </c>
      <c r="G5124" t="s">
        <v>49</v>
      </c>
      <c r="H5124" t="s">
        <v>50</v>
      </c>
      <c r="I5124" s="3">
        <v>2030</v>
      </c>
      <c r="J5124" s="3">
        <v>2030</v>
      </c>
      <c r="K5124" s="3">
        <v>394</v>
      </c>
      <c r="L5124" t="s">
        <v>113</v>
      </c>
      <c r="M5124">
        <v>3</v>
      </c>
      <c r="N5124" t="s">
        <v>69</v>
      </c>
      <c r="O5124" t="s">
        <v>70</v>
      </c>
      <c r="P5124" t="s">
        <v>71</v>
      </c>
      <c r="Q5124" t="s">
        <v>72</v>
      </c>
      <c r="R5124" t="s">
        <v>139</v>
      </c>
      <c r="S5124" t="s">
        <v>144</v>
      </c>
      <c r="T5124" s="2">
        <f>MASTER[[#This Row],[CANTIDAD]]*MASTER[[#This Row],[PRECIO DE VENTA]]</f>
        <v>8120</v>
      </c>
      <c r="U5124" s="2">
        <f>MASTER[[#This Row],[CANTIDAD]]*MASTER[[#This Row],[COSTO UNITARIO]]</f>
        <v>1576</v>
      </c>
      <c r="V5124" s="2">
        <f>MASTER[[#This Row],[MONTO VENDIDO]]-MASTER[[#This Row],[COSTO DE VENTA]]</f>
        <v>6544</v>
      </c>
    </row>
    <row r="5125" spans="1:22" x14ac:dyDescent="0.3">
      <c r="A5125">
        <v>73269</v>
      </c>
      <c r="B5125">
        <v>1</v>
      </c>
      <c r="C5125" t="s">
        <v>107</v>
      </c>
      <c r="D5125" t="s">
        <v>108</v>
      </c>
      <c r="E5125" s="1">
        <v>44393</v>
      </c>
      <c r="F5125">
        <v>1</v>
      </c>
      <c r="G5125" t="s">
        <v>27</v>
      </c>
      <c r="H5125" t="s">
        <v>28</v>
      </c>
      <c r="I5125" s="3">
        <v>1440</v>
      </c>
      <c r="J5125" s="3">
        <v>1440</v>
      </c>
      <c r="K5125" s="3">
        <v>380</v>
      </c>
      <c r="L5125" t="s">
        <v>98</v>
      </c>
      <c r="M5125">
        <v>13</v>
      </c>
      <c r="N5125" t="s">
        <v>78</v>
      </c>
      <c r="O5125" t="s">
        <v>70</v>
      </c>
      <c r="P5125" t="s">
        <v>18</v>
      </c>
      <c r="Q5125" t="s">
        <v>19</v>
      </c>
      <c r="R5125" t="s">
        <v>138</v>
      </c>
      <c r="S5125" t="s">
        <v>144</v>
      </c>
      <c r="T5125" s="2">
        <f>MASTER[[#This Row],[CANTIDAD]]*MASTER[[#This Row],[PRECIO DE VENTA]]</f>
        <v>1440</v>
      </c>
      <c r="U5125" s="2">
        <f>MASTER[[#This Row],[CANTIDAD]]*MASTER[[#This Row],[COSTO UNITARIO]]</f>
        <v>380</v>
      </c>
      <c r="V5125" s="2">
        <f>MASTER[[#This Row],[MONTO VENDIDO]]-MASTER[[#This Row],[COSTO DE VENTA]]</f>
        <v>1060</v>
      </c>
    </row>
    <row r="5126" spans="1:22" x14ac:dyDescent="0.3">
      <c r="A5126">
        <v>73288</v>
      </c>
      <c r="B5126">
        <v>1</v>
      </c>
      <c r="C5126" t="s">
        <v>103</v>
      </c>
      <c r="D5126" t="s">
        <v>104</v>
      </c>
      <c r="E5126" s="1">
        <v>44393</v>
      </c>
      <c r="F5126">
        <v>1</v>
      </c>
      <c r="G5126" t="s">
        <v>51</v>
      </c>
      <c r="H5126" t="s">
        <v>52</v>
      </c>
      <c r="I5126" s="3">
        <v>1591</v>
      </c>
      <c r="J5126" s="3">
        <v>1591</v>
      </c>
      <c r="K5126" s="3">
        <v>421</v>
      </c>
      <c r="L5126" t="s">
        <v>98</v>
      </c>
      <c r="M5126">
        <v>5</v>
      </c>
      <c r="N5126" t="s">
        <v>85</v>
      </c>
      <c r="O5126" t="s">
        <v>81</v>
      </c>
      <c r="P5126" t="s">
        <v>12</v>
      </c>
      <c r="Q5126" t="s">
        <v>13</v>
      </c>
      <c r="R5126" t="s">
        <v>13</v>
      </c>
      <c r="S5126" t="s">
        <v>144</v>
      </c>
      <c r="T5126" s="2">
        <f>MASTER[[#This Row],[CANTIDAD]]*MASTER[[#This Row],[PRECIO DE VENTA]]</f>
        <v>1591</v>
      </c>
      <c r="U5126" s="2">
        <f>MASTER[[#This Row],[CANTIDAD]]*MASTER[[#This Row],[COSTO UNITARIO]]</f>
        <v>421</v>
      </c>
      <c r="V5126" s="2">
        <f>MASTER[[#This Row],[MONTO VENDIDO]]-MASTER[[#This Row],[COSTO DE VENTA]]</f>
        <v>1170</v>
      </c>
    </row>
    <row r="5127" spans="1:22" x14ac:dyDescent="0.3">
      <c r="A5127">
        <v>73306</v>
      </c>
      <c r="B5127">
        <v>1</v>
      </c>
      <c r="C5127" t="s">
        <v>118</v>
      </c>
      <c r="D5127" t="s">
        <v>119</v>
      </c>
      <c r="E5127" s="1">
        <v>44393</v>
      </c>
      <c r="F5127">
        <v>1</v>
      </c>
      <c r="G5127" t="s">
        <v>24</v>
      </c>
      <c r="H5127" t="s">
        <v>25</v>
      </c>
      <c r="I5127" s="3">
        <v>900</v>
      </c>
      <c r="J5127" s="3">
        <v>900</v>
      </c>
      <c r="K5127" s="3">
        <v>424</v>
      </c>
      <c r="L5127" t="s">
        <v>120</v>
      </c>
      <c r="M5127">
        <v>14</v>
      </c>
      <c r="N5127" t="s">
        <v>87</v>
      </c>
      <c r="O5127" t="s">
        <v>81</v>
      </c>
      <c r="P5127" t="s">
        <v>18</v>
      </c>
      <c r="Q5127" t="s">
        <v>19</v>
      </c>
      <c r="R5127" t="s">
        <v>138</v>
      </c>
      <c r="S5127" t="s">
        <v>144</v>
      </c>
      <c r="T5127" s="2">
        <f>MASTER[[#This Row],[CANTIDAD]]*MASTER[[#This Row],[PRECIO DE VENTA]]</f>
        <v>900</v>
      </c>
      <c r="U5127" s="2">
        <f>MASTER[[#This Row],[CANTIDAD]]*MASTER[[#This Row],[COSTO UNITARIO]]</f>
        <v>424</v>
      </c>
      <c r="V5127" s="2">
        <f>MASTER[[#This Row],[MONTO VENDIDO]]-MASTER[[#This Row],[COSTO DE VENTA]]</f>
        <v>476</v>
      </c>
    </row>
    <row r="5128" spans="1:22" x14ac:dyDescent="0.3">
      <c r="A5128">
        <v>73309</v>
      </c>
      <c r="B5128">
        <v>1</v>
      </c>
      <c r="C5128" t="s">
        <v>5</v>
      </c>
      <c r="D5128" t="s">
        <v>6</v>
      </c>
      <c r="E5128" s="1">
        <v>44393</v>
      </c>
      <c r="F5128">
        <v>1</v>
      </c>
      <c r="G5128" t="s">
        <v>22</v>
      </c>
      <c r="H5128" t="s">
        <v>23</v>
      </c>
      <c r="I5128" s="3">
        <v>1311</v>
      </c>
      <c r="J5128" s="3">
        <v>1311</v>
      </c>
      <c r="K5128" s="3">
        <v>393</v>
      </c>
      <c r="L5128" t="s">
        <v>9</v>
      </c>
      <c r="M5128">
        <v>16</v>
      </c>
      <c r="N5128" t="s">
        <v>17</v>
      </c>
      <c r="O5128" t="s">
        <v>11</v>
      </c>
      <c r="P5128" t="s">
        <v>18</v>
      </c>
      <c r="Q5128" t="s">
        <v>19</v>
      </c>
      <c r="R5128" t="s">
        <v>138</v>
      </c>
      <c r="S5128" t="s">
        <v>144</v>
      </c>
      <c r="T5128" s="2">
        <f>MASTER[[#This Row],[CANTIDAD]]*MASTER[[#This Row],[PRECIO DE VENTA]]</f>
        <v>1311</v>
      </c>
      <c r="U5128" s="2">
        <f>MASTER[[#This Row],[CANTIDAD]]*MASTER[[#This Row],[COSTO UNITARIO]]</f>
        <v>393</v>
      </c>
      <c r="V5128" s="2">
        <f>MASTER[[#This Row],[MONTO VENDIDO]]-MASTER[[#This Row],[COSTO DE VENTA]]</f>
        <v>918</v>
      </c>
    </row>
    <row r="5129" spans="1:22" x14ac:dyDescent="0.3">
      <c r="A5129">
        <v>73314</v>
      </c>
      <c r="B5129">
        <v>1</v>
      </c>
      <c r="C5129" t="s">
        <v>103</v>
      </c>
      <c r="D5129" t="s">
        <v>104</v>
      </c>
      <c r="E5129" s="1">
        <v>44393</v>
      </c>
      <c r="F5129">
        <v>1</v>
      </c>
      <c r="G5129" t="s">
        <v>49</v>
      </c>
      <c r="H5129" t="s">
        <v>50</v>
      </c>
      <c r="I5129" s="3">
        <v>1591</v>
      </c>
      <c r="J5129" s="3">
        <v>1591</v>
      </c>
      <c r="K5129" s="3">
        <v>421</v>
      </c>
      <c r="L5129" t="s">
        <v>98</v>
      </c>
      <c r="M5129">
        <v>8</v>
      </c>
      <c r="N5129" t="s">
        <v>80</v>
      </c>
      <c r="O5129" t="s">
        <v>81</v>
      </c>
      <c r="P5129" t="s">
        <v>12</v>
      </c>
      <c r="Q5129" t="s">
        <v>13</v>
      </c>
      <c r="R5129" t="s">
        <v>13</v>
      </c>
      <c r="S5129" t="s">
        <v>144</v>
      </c>
      <c r="T5129" s="2">
        <f>MASTER[[#This Row],[CANTIDAD]]*MASTER[[#This Row],[PRECIO DE VENTA]]</f>
        <v>1591</v>
      </c>
      <c r="U5129" s="2">
        <f>MASTER[[#This Row],[CANTIDAD]]*MASTER[[#This Row],[COSTO UNITARIO]]</f>
        <v>421</v>
      </c>
      <c r="V5129" s="2">
        <f>MASTER[[#This Row],[MONTO VENDIDO]]-MASTER[[#This Row],[COSTO DE VENTA]]</f>
        <v>1170</v>
      </c>
    </row>
    <row r="5130" spans="1:22" x14ac:dyDescent="0.3">
      <c r="A5130">
        <v>73332</v>
      </c>
      <c r="B5130">
        <v>1</v>
      </c>
      <c r="C5130" t="s">
        <v>5</v>
      </c>
      <c r="D5130" t="s">
        <v>6</v>
      </c>
      <c r="E5130" s="1">
        <v>44393</v>
      </c>
      <c r="F5130">
        <v>1</v>
      </c>
      <c r="G5130" t="s">
        <v>27</v>
      </c>
      <c r="H5130" t="s">
        <v>28</v>
      </c>
      <c r="I5130" s="3">
        <v>1311</v>
      </c>
      <c r="J5130" s="3">
        <v>1311</v>
      </c>
      <c r="K5130" s="3">
        <v>393</v>
      </c>
      <c r="L5130" t="s">
        <v>9</v>
      </c>
      <c r="M5130">
        <v>17</v>
      </c>
      <c r="N5130" t="s">
        <v>14</v>
      </c>
      <c r="O5130" t="s">
        <v>11</v>
      </c>
      <c r="P5130" t="s">
        <v>15</v>
      </c>
      <c r="Q5130" t="s">
        <v>16</v>
      </c>
      <c r="R5130" t="s">
        <v>16</v>
      </c>
      <c r="S5130" t="s">
        <v>144</v>
      </c>
      <c r="T5130" s="2">
        <f>MASTER[[#This Row],[CANTIDAD]]*MASTER[[#This Row],[PRECIO DE VENTA]]</f>
        <v>1311</v>
      </c>
      <c r="U5130" s="2">
        <f>MASTER[[#This Row],[CANTIDAD]]*MASTER[[#This Row],[COSTO UNITARIO]]</f>
        <v>393</v>
      </c>
      <c r="V5130" s="2">
        <f>MASTER[[#This Row],[MONTO VENDIDO]]-MASTER[[#This Row],[COSTO DE VENTA]]</f>
        <v>918</v>
      </c>
    </row>
    <row r="5131" spans="1:22" x14ac:dyDescent="0.3">
      <c r="A5131">
        <v>73335</v>
      </c>
      <c r="B5131">
        <v>1</v>
      </c>
      <c r="C5131" t="s">
        <v>101</v>
      </c>
      <c r="D5131" t="s">
        <v>102</v>
      </c>
      <c r="E5131" s="1">
        <v>44393</v>
      </c>
      <c r="F5131">
        <v>1</v>
      </c>
      <c r="G5131" t="s">
        <v>24</v>
      </c>
      <c r="H5131" t="s">
        <v>25</v>
      </c>
      <c r="I5131" s="3">
        <v>1357</v>
      </c>
      <c r="J5131" s="3">
        <v>1357</v>
      </c>
      <c r="K5131" s="3">
        <v>442</v>
      </c>
      <c r="L5131" t="s">
        <v>98</v>
      </c>
      <c r="M5131">
        <v>13</v>
      </c>
      <c r="N5131" t="s">
        <v>78</v>
      </c>
      <c r="O5131" t="s">
        <v>70</v>
      </c>
      <c r="P5131" t="s">
        <v>18</v>
      </c>
      <c r="Q5131" t="s">
        <v>19</v>
      </c>
      <c r="R5131" t="s">
        <v>138</v>
      </c>
      <c r="S5131" t="s">
        <v>144</v>
      </c>
      <c r="T5131" s="2">
        <f>MASTER[[#This Row],[CANTIDAD]]*MASTER[[#This Row],[PRECIO DE VENTA]]</f>
        <v>1357</v>
      </c>
      <c r="U5131" s="2">
        <f>MASTER[[#This Row],[CANTIDAD]]*MASTER[[#This Row],[COSTO UNITARIO]]</f>
        <v>442</v>
      </c>
      <c r="V5131" s="2">
        <f>MASTER[[#This Row],[MONTO VENDIDO]]-MASTER[[#This Row],[COSTO DE VENTA]]</f>
        <v>915</v>
      </c>
    </row>
    <row r="5132" spans="1:22" x14ac:dyDescent="0.3">
      <c r="A5132">
        <v>73413</v>
      </c>
      <c r="B5132">
        <v>1</v>
      </c>
      <c r="C5132" t="s">
        <v>94</v>
      </c>
      <c r="D5132" t="s">
        <v>95</v>
      </c>
      <c r="E5132" s="1">
        <v>44393</v>
      </c>
      <c r="F5132">
        <v>1</v>
      </c>
      <c r="G5132" t="s">
        <v>65</v>
      </c>
      <c r="H5132" t="s">
        <v>66</v>
      </c>
      <c r="I5132" s="3">
        <v>1048</v>
      </c>
      <c r="J5132" s="3">
        <v>1048</v>
      </c>
      <c r="K5132" s="3">
        <v>392</v>
      </c>
      <c r="L5132" t="s">
        <v>9</v>
      </c>
      <c r="M5132">
        <v>14</v>
      </c>
      <c r="N5132" t="s">
        <v>87</v>
      </c>
      <c r="O5132" t="s">
        <v>81</v>
      </c>
      <c r="P5132" t="s">
        <v>18</v>
      </c>
      <c r="Q5132" t="s">
        <v>19</v>
      </c>
      <c r="R5132" t="s">
        <v>138</v>
      </c>
      <c r="S5132" t="s">
        <v>144</v>
      </c>
      <c r="T5132" s="2">
        <f>MASTER[[#This Row],[CANTIDAD]]*MASTER[[#This Row],[PRECIO DE VENTA]]</f>
        <v>1048</v>
      </c>
      <c r="U5132" s="2">
        <f>MASTER[[#This Row],[CANTIDAD]]*MASTER[[#This Row],[COSTO UNITARIO]]</f>
        <v>392</v>
      </c>
      <c r="V5132" s="2">
        <f>MASTER[[#This Row],[MONTO VENDIDO]]-MASTER[[#This Row],[COSTO DE VENTA]]</f>
        <v>656</v>
      </c>
    </row>
    <row r="5133" spans="1:22" x14ac:dyDescent="0.3">
      <c r="A5133">
        <v>73413</v>
      </c>
      <c r="B5133">
        <v>2</v>
      </c>
      <c r="C5133" t="s">
        <v>118</v>
      </c>
      <c r="D5133" t="s">
        <v>119</v>
      </c>
      <c r="E5133" s="1">
        <v>44393</v>
      </c>
      <c r="F5133">
        <v>1</v>
      </c>
      <c r="G5133" t="s">
        <v>63</v>
      </c>
      <c r="H5133" t="s">
        <v>64</v>
      </c>
      <c r="I5133" s="3">
        <v>900</v>
      </c>
      <c r="J5133" s="3">
        <v>900</v>
      </c>
      <c r="K5133" s="3">
        <v>424</v>
      </c>
      <c r="L5133" t="s">
        <v>120</v>
      </c>
      <c r="M5133">
        <v>14</v>
      </c>
      <c r="N5133" t="s">
        <v>87</v>
      </c>
      <c r="O5133" t="s">
        <v>81</v>
      </c>
      <c r="P5133" t="s">
        <v>18</v>
      </c>
      <c r="Q5133" t="s">
        <v>19</v>
      </c>
      <c r="R5133" t="s">
        <v>138</v>
      </c>
      <c r="S5133" t="s">
        <v>144</v>
      </c>
      <c r="T5133" s="2">
        <f>MASTER[[#This Row],[CANTIDAD]]*MASTER[[#This Row],[PRECIO DE VENTA]]</f>
        <v>900</v>
      </c>
      <c r="U5133" s="2">
        <f>MASTER[[#This Row],[CANTIDAD]]*MASTER[[#This Row],[COSTO UNITARIO]]</f>
        <v>424</v>
      </c>
      <c r="V5133" s="2">
        <f>MASTER[[#This Row],[MONTO VENDIDO]]-MASTER[[#This Row],[COSTO DE VENTA]]</f>
        <v>476</v>
      </c>
    </row>
    <row r="5134" spans="1:22" x14ac:dyDescent="0.3">
      <c r="A5134">
        <v>73423</v>
      </c>
      <c r="B5134">
        <v>1</v>
      </c>
      <c r="C5134" t="s">
        <v>116</v>
      </c>
      <c r="D5134" t="s">
        <v>117</v>
      </c>
      <c r="E5134" s="1">
        <v>44393</v>
      </c>
      <c r="F5134">
        <v>1</v>
      </c>
      <c r="G5134" t="s">
        <v>51</v>
      </c>
      <c r="H5134" t="s">
        <v>52</v>
      </c>
      <c r="I5134" s="3">
        <v>1738</v>
      </c>
      <c r="J5134" s="3">
        <v>1738</v>
      </c>
      <c r="K5134" s="3">
        <v>388</v>
      </c>
      <c r="L5134" t="s">
        <v>113</v>
      </c>
      <c r="M5134">
        <v>5</v>
      </c>
      <c r="N5134" t="s">
        <v>85</v>
      </c>
      <c r="O5134" t="s">
        <v>81</v>
      </c>
      <c r="P5134" t="s">
        <v>12</v>
      </c>
      <c r="Q5134" t="s">
        <v>13</v>
      </c>
      <c r="R5134" t="s">
        <v>13</v>
      </c>
      <c r="S5134" t="s">
        <v>144</v>
      </c>
      <c r="T5134" s="2">
        <f>MASTER[[#This Row],[CANTIDAD]]*MASTER[[#This Row],[PRECIO DE VENTA]]</f>
        <v>1738</v>
      </c>
      <c r="U5134" s="2">
        <f>MASTER[[#This Row],[CANTIDAD]]*MASTER[[#This Row],[COSTO UNITARIO]]</f>
        <v>388</v>
      </c>
      <c r="V5134" s="2">
        <f>MASTER[[#This Row],[MONTO VENDIDO]]-MASTER[[#This Row],[COSTO DE VENTA]]</f>
        <v>1350</v>
      </c>
    </row>
    <row r="5135" spans="1:22" x14ac:dyDescent="0.3">
      <c r="A5135">
        <v>73444</v>
      </c>
      <c r="B5135">
        <v>1</v>
      </c>
      <c r="C5135" t="s">
        <v>109</v>
      </c>
      <c r="D5135" t="s">
        <v>110</v>
      </c>
      <c r="E5135" s="1">
        <v>44393</v>
      </c>
      <c r="F5135">
        <v>1</v>
      </c>
      <c r="G5135" t="s">
        <v>57</v>
      </c>
      <c r="H5135" t="s">
        <v>58</v>
      </c>
      <c r="I5135" s="3">
        <v>947</v>
      </c>
      <c r="J5135" s="3">
        <v>947</v>
      </c>
      <c r="K5135" s="3">
        <v>387</v>
      </c>
      <c r="L5135" t="s">
        <v>98</v>
      </c>
      <c r="M5135">
        <v>16</v>
      </c>
      <c r="N5135" t="s">
        <v>17</v>
      </c>
      <c r="O5135" t="s">
        <v>11</v>
      </c>
      <c r="P5135" t="s">
        <v>18</v>
      </c>
      <c r="Q5135" t="s">
        <v>19</v>
      </c>
      <c r="R5135" t="s">
        <v>138</v>
      </c>
      <c r="S5135" t="s">
        <v>144</v>
      </c>
      <c r="T5135" s="2">
        <f>MASTER[[#This Row],[CANTIDAD]]*MASTER[[#This Row],[PRECIO DE VENTA]]</f>
        <v>947</v>
      </c>
      <c r="U5135" s="2">
        <f>MASTER[[#This Row],[CANTIDAD]]*MASTER[[#This Row],[COSTO UNITARIO]]</f>
        <v>387</v>
      </c>
      <c r="V5135" s="2">
        <f>MASTER[[#This Row],[MONTO VENDIDO]]-MASTER[[#This Row],[COSTO DE VENTA]]</f>
        <v>560</v>
      </c>
    </row>
    <row r="5136" spans="1:22" x14ac:dyDescent="0.3">
      <c r="A5136">
        <v>73452</v>
      </c>
      <c r="B5136">
        <v>1</v>
      </c>
      <c r="C5136" t="s">
        <v>114</v>
      </c>
      <c r="D5136" t="s">
        <v>115</v>
      </c>
      <c r="E5136" s="1">
        <v>44393</v>
      </c>
      <c r="F5136">
        <v>1</v>
      </c>
      <c r="G5136" t="s">
        <v>67</v>
      </c>
      <c r="H5136" t="s">
        <v>68</v>
      </c>
      <c r="I5136" s="3">
        <v>1583</v>
      </c>
      <c r="J5136" s="3">
        <v>1583</v>
      </c>
      <c r="K5136" s="3">
        <v>394</v>
      </c>
      <c r="L5136" t="s">
        <v>113</v>
      </c>
      <c r="M5136">
        <v>12</v>
      </c>
      <c r="N5136" t="s">
        <v>26</v>
      </c>
      <c r="O5136" t="s">
        <v>11</v>
      </c>
      <c r="P5136" t="s">
        <v>12</v>
      </c>
      <c r="Q5136" t="s">
        <v>13</v>
      </c>
      <c r="R5136" t="s">
        <v>13</v>
      </c>
      <c r="S5136" t="s">
        <v>144</v>
      </c>
      <c r="T5136" s="2">
        <f>MASTER[[#This Row],[CANTIDAD]]*MASTER[[#This Row],[PRECIO DE VENTA]]</f>
        <v>1583</v>
      </c>
      <c r="U5136" s="2">
        <f>MASTER[[#This Row],[CANTIDAD]]*MASTER[[#This Row],[COSTO UNITARIO]]</f>
        <v>394</v>
      </c>
      <c r="V5136" s="2">
        <f>MASTER[[#This Row],[MONTO VENDIDO]]-MASTER[[#This Row],[COSTO DE VENTA]]</f>
        <v>1189</v>
      </c>
    </row>
    <row r="5137" spans="1:22" x14ac:dyDescent="0.3">
      <c r="A5137">
        <v>73467</v>
      </c>
      <c r="B5137">
        <v>1</v>
      </c>
      <c r="C5137" t="s">
        <v>103</v>
      </c>
      <c r="D5137" t="s">
        <v>104</v>
      </c>
      <c r="E5137" s="1">
        <v>44394</v>
      </c>
      <c r="F5137">
        <v>1</v>
      </c>
      <c r="G5137" t="s">
        <v>27</v>
      </c>
      <c r="H5137" t="s">
        <v>28</v>
      </c>
      <c r="I5137" s="3">
        <v>1830</v>
      </c>
      <c r="J5137" s="3">
        <v>1830</v>
      </c>
      <c r="K5137" s="3">
        <v>421</v>
      </c>
      <c r="L5137" t="s">
        <v>98</v>
      </c>
      <c r="M5137">
        <v>1</v>
      </c>
      <c r="N5137" t="s">
        <v>77</v>
      </c>
      <c r="O5137" t="s">
        <v>70</v>
      </c>
      <c r="P5137" t="s">
        <v>71</v>
      </c>
      <c r="Q5137" t="s">
        <v>72</v>
      </c>
      <c r="R5137" t="s">
        <v>139</v>
      </c>
      <c r="S5137" t="s">
        <v>144</v>
      </c>
      <c r="T5137" s="2">
        <f>MASTER[[#This Row],[CANTIDAD]]*MASTER[[#This Row],[PRECIO DE VENTA]]</f>
        <v>1830</v>
      </c>
      <c r="U5137" s="2">
        <f>MASTER[[#This Row],[CANTIDAD]]*MASTER[[#This Row],[COSTO UNITARIO]]</f>
        <v>421</v>
      </c>
      <c r="V5137" s="2">
        <f>MASTER[[#This Row],[MONTO VENDIDO]]-MASTER[[#This Row],[COSTO DE VENTA]]</f>
        <v>1409</v>
      </c>
    </row>
    <row r="5138" spans="1:22" x14ac:dyDescent="0.3">
      <c r="A5138">
        <v>73471</v>
      </c>
      <c r="B5138">
        <v>1</v>
      </c>
      <c r="C5138" t="s">
        <v>116</v>
      </c>
      <c r="D5138" t="s">
        <v>117</v>
      </c>
      <c r="E5138" s="1">
        <v>44394</v>
      </c>
      <c r="F5138">
        <v>1</v>
      </c>
      <c r="G5138" t="s">
        <v>37</v>
      </c>
      <c r="H5138" t="s">
        <v>38</v>
      </c>
      <c r="I5138" s="3">
        <v>1529</v>
      </c>
      <c r="J5138" s="3">
        <v>1529</v>
      </c>
      <c r="K5138" s="3">
        <v>388</v>
      </c>
      <c r="L5138" t="s">
        <v>113</v>
      </c>
      <c r="M5138">
        <v>12</v>
      </c>
      <c r="N5138" t="s">
        <v>26</v>
      </c>
      <c r="O5138" t="s">
        <v>11</v>
      </c>
      <c r="P5138" t="s">
        <v>12</v>
      </c>
      <c r="Q5138" t="s">
        <v>13</v>
      </c>
      <c r="R5138" t="s">
        <v>13</v>
      </c>
      <c r="S5138" t="s">
        <v>144</v>
      </c>
      <c r="T5138" s="2">
        <f>MASTER[[#This Row],[CANTIDAD]]*MASTER[[#This Row],[PRECIO DE VENTA]]</f>
        <v>1529</v>
      </c>
      <c r="U5138" s="2">
        <f>MASTER[[#This Row],[CANTIDAD]]*MASTER[[#This Row],[COSTO UNITARIO]]</f>
        <v>388</v>
      </c>
      <c r="V5138" s="2">
        <f>MASTER[[#This Row],[MONTO VENDIDO]]-MASTER[[#This Row],[COSTO DE VENTA]]</f>
        <v>1141</v>
      </c>
    </row>
    <row r="5139" spans="1:22" x14ac:dyDescent="0.3">
      <c r="A5139">
        <v>73481</v>
      </c>
      <c r="B5139">
        <v>1</v>
      </c>
      <c r="C5139" t="s">
        <v>109</v>
      </c>
      <c r="D5139" t="s">
        <v>110</v>
      </c>
      <c r="E5139" s="1">
        <v>44394</v>
      </c>
      <c r="F5139">
        <v>1</v>
      </c>
      <c r="G5139" t="s">
        <v>33</v>
      </c>
      <c r="H5139" t="s">
        <v>34</v>
      </c>
      <c r="I5139" s="3">
        <v>947</v>
      </c>
      <c r="J5139" s="3">
        <v>947</v>
      </c>
      <c r="K5139" s="3">
        <v>387</v>
      </c>
      <c r="L5139" t="s">
        <v>98</v>
      </c>
      <c r="M5139">
        <v>12</v>
      </c>
      <c r="N5139" t="s">
        <v>26</v>
      </c>
      <c r="O5139" t="s">
        <v>11</v>
      </c>
      <c r="P5139" t="s">
        <v>12</v>
      </c>
      <c r="Q5139" t="s">
        <v>13</v>
      </c>
      <c r="R5139" t="s">
        <v>13</v>
      </c>
      <c r="S5139" t="s">
        <v>144</v>
      </c>
      <c r="T5139" s="2">
        <f>MASTER[[#This Row],[CANTIDAD]]*MASTER[[#This Row],[PRECIO DE VENTA]]</f>
        <v>947</v>
      </c>
      <c r="U5139" s="2">
        <f>MASTER[[#This Row],[CANTIDAD]]*MASTER[[#This Row],[COSTO UNITARIO]]</f>
        <v>387</v>
      </c>
      <c r="V5139" s="2">
        <f>MASTER[[#This Row],[MONTO VENDIDO]]-MASTER[[#This Row],[COSTO DE VENTA]]</f>
        <v>560</v>
      </c>
    </row>
    <row r="5140" spans="1:22" x14ac:dyDescent="0.3">
      <c r="A5140">
        <v>73490</v>
      </c>
      <c r="B5140">
        <v>1</v>
      </c>
      <c r="C5140" t="s">
        <v>94</v>
      </c>
      <c r="D5140" t="s">
        <v>95</v>
      </c>
      <c r="E5140" s="1">
        <v>44395</v>
      </c>
      <c r="F5140">
        <v>1</v>
      </c>
      <c r="G5140" t="s">
        <v>53</v>
      </c>
      <c r="H5140" t="s">
        <v>54</v>
      </c>
      <c r="I5140" s="3">
        <v>1048</v>
      </c>
      <c r="J5140" s="3">
        <v>1048</v>
      </c>
      <c r="K5140" s="3">
        <v>392</v>
      </c>
      <c r="L5140" t="s">
        <v>9</v>
      </c>
      <c r="M5140">
        <v>2</v>
      </c>
      <c r="N5140" t="s">
        <v>86</v>
      </c>
      <c r="O5140" t="s">
        <v>81</v>
      </c>
      <c r="P5140" t="s">
        <v>71</v>
      </c>
      <c r="Q5140" t="s">
        <v>72</v>
      </c>
      <c r="R5140" t="s">
        <v>139</v>
      </c>
      <c r="S5140" t="s">
        <v>144</v>
      </c>
      <c r="T5140" s="2">
        <f>MASTER[[#This Row],[CANTIDAD]]*MASTER[[#This Row],[PRECIO DE VENTA]]</f>
        <v>1048</v>
      </c>
      <c r="U5140" s="2">
        <f>MASTER[[#This Row],[CANTIDAD]]*MASTER[[#This Row],[COSTO UNITARIO]]</f>
        <v>392</v>
      </c>
      <c r="V5140" s="2">
        <f>MASTER[[#This Row],[MONTO VENDIDO]]-MASTER[[#This Row],[COSTO DE VENTA]]</f>
        <v>656</v>
      </c>
    </row>
    <row r="5141" spans="1:22" x14ac:dyDescent="0.3">
      <c r="A5141">
        <v>73504</v>
      </c>
      <c r="B5141">
        <v>1</v>
      </c>
      <c r="C5141" t="s">
        <v>111</v>
      </c>
      <c r="D5141" t="s">
        <v>112</v>
      </c>
      <c r="E5141" s="1">
        <v>44395</v>
      </c>
      <c r="F5141">
        <v>1</v>
      </c>
      <c r="G5141" t="s">
        <v>41</v>
      </c>
      <c r="H5141" t="s">
        <v>42</v>
      </c>
      <c r="I5141" s="3">
        <v>1799</v>
      </c>
      <c r="J5141" s="3">
        <v>1799</v>
      </c>
      <c r="K5141" s="3">
        <v>434</v>
      </c>
      <c r="L5141" t="s">
        <v>113</v>
      </c>
      <c r="M5141">
        <v>6</v>
      </c>
      <c r="N5141" t="s">
        <v>75</v>
      </c>
      <c r="O5141" t="s">
        <v>70</v>
      </c>
      <c r="P5141" t="s">
        <v>12</v>
      </c>
      <c r="Q5141" t="s">
        <v>13</v>
      </c>
      <c r="R5141" t="s">
        <v>13</v>
      </c>
      <c r="S5141" t="s">
        <v>144</v>
      </c>
      <c r="T5141" s="2">
        <f>MASTER[[#This Row],[CANTIDAD]]*MASTER[[#This Row],[PRECIO DE VENTA]]</f>
        <v>1799</v>
      </c>
      <c r="U5141" s="2">
        <f>MASTER[[#This Row],[CANTIDAD]]*MASTER[[#This Row],[COSTO UNITARIO]]</f>
        <v>434</v>
      </c>
      <c r="V5141" s="2">
        <f>MASTER[[#This Row],[MONTO VENDIDO]]-MASTER[[#This Row],[COSTO DE VENTA]]</f>
        <v>1365</v>
      </c>
    </row>
    <row r="5142" spans="1:22" x14ac:dyDescent="0.3">
      <c r="A5142">
        <v>73547</v>
      </c>
      <c r="B5142">
        <v>1</v>
      </c>
      <c r="C5142" t="s">
        <v>103</v>
      </c>
      <c r="D5142" t="s">
        <v>104</v>
      </c>
      <c r="E5142" s="1">
        <v>44395</v>
      </c>
      <c r="F5142">
        <v>1</v>
      </c>
      <c r="G5142" t="s">
        <v>61</v>
      </c>
      <c r="H5142" t="s">
        <v>62</v>
      </c>
      <c r="I5142" s="3">
        <v>1591</v>
      </c>
      <c r="J5142" s="3">
        <v>1591</v>
      </c>
      <c r="K5142" s="3">
        <v>421</v>
      </c>
      <c r="L5142" t="s">
        <v>98</v>
      </c>
      <c r="M5142">
        <v>4</v>
      </c>
      <c r="N5142" t="s">
        <v>82</v>
      </c>
      <c r="O5142" t="s">
        <v>81</v>
      </c>
      <c r="P5142" t="s">
        <v>71</v>
      </c>
      <c r="Q5142" t="s">
        <v>72</v>
      </c>
      <c r="R5142" t="s">
        <v>139</v>
      </c>
      <c r="S5142" t="s">
        <v>144</v>
      </c>
      <c r="T5142" s="2">
        <f>MASTER[[#This Row],[CANTIDAD]]*MASTER[[#This Row],[PRECIO DE VENTA]]</f>
        <v>1591</v>
      </c>
      <c r="U5142" s="2">
        <f>MASTER[[#This Row],[CANTIDAD]]*MASTER[[#This Row],[COSTO UNITARIO]]</f>
        <v>421</v>
      </c>
      <c r="V5142" s="2">
        <f>MASTER[[#This Row],[MONTO VENDIDO]]-MASTER[[#This Row],[COSTO DE VENTA]]</f>
        <v>1170</v>
      </c>
    </row>
    <row r="5143" spans="1:22" x14ac:dyDescent="0.3">
      <c r="A5143">
        <v>73549</v>
      </c>
      <c r="B5143">
        <v>1</v>
      </c>
      <c r="C5143" t="s">
        <v>103</v>
      </c>
      <c r="D5143" t="s">
        <v>104</v>
      </c>
      <c r="E5143" s="1">
        <v>44395</v>
      </c>
      <c r="F5143">
        <v>1</v>
      </c>
      <c r="G5143" t="s">
        <v>61</v>
      </c>
      <c r="H5143" t="s">
        <v>62</v>
      </c>
      <c r="I5143" s="3">
        <v>1591</v>
      </c>
      <c r="J5143" s="3">
        <v>1591</v>
      </c>
      <c r="K5143" s="3">
        <v>421</v>
      </c>
      <c r="L5143" t="s">
        <v>98</v>
      </c>
      <c r="M5143">
        <v>2</v>
      </c>
      <c r="N5143" t="s">
        <v>86</v>
      </c>
      <c r="O5143" t="s">
        <v>81</v>
      </c>
      <c r="P5143" t="s">
        <v>71</v>
      </c>
      <c r="Q5143" t="s">
        <v>72</v>
      </c>
      <c r="R5143" t="s">
        <v>139</v>
      </c>
      <c r="S5143" t="s">
        <v>144</v>
      </c>
      <c r="T5143" s="2">
        <f>MASTER[[#This Row],[CANTIDAD]]*MASTER[[#This Row],[PRECIO DE VENTA]]</f>
        <v>1591</v>
      </c>
      <c r="U5143" s="2">
        <f>MASTER[[#This Row],[CANTIDAD]]*MASTER[[#This Row],[COSTO UNITARIO]]</f>
        <v>421</v>
      </c>
      <c r="V5143" s="2">
        <f>MASTER[[#This Row],[MONTO VENDIDO]]-MASTER[[#This Row],[COSTO DE VENTA]]</f>
        <v>1170</v>
      </c>
    </row>
    <row r="5144" spans="1:22" x14ac:dyDescent="0.3">
      <c r="A5144">
        <v>73561</v>
      </c>
      <c r="B5144">
        <v>1</v>
      </c>
      <c r="C5144" t="s">
        <v>99</v>
      </c>
      <c r="D5144" t="s">
        <v>100</v>
      </c>
      <c r="E5144" s="1">
        <v>44395</v>
      </c>
      <c r="F5144">
        <v>1</v>
      </c>
      <c r="G5144" t="s">
        <v>47</v>
      </c>
      <c r="H5144" t="s">
        <v>48</v>
      </c>
      <c r="I5144" s="3">
        <v>1328</v>
      </c>
      <c r="J5144" s="3">
        <v>1328</v>
      </c>
      <c r="K5144" s="3">
        <v>386</v>
      </c>
      <c r="L5144" t="s">
        <v>98</v>
      </c>
      <c r="M5144">
        <v>12</v>
      </c>
      <c r="N5144" t="s">
        <v>26</v>
      </c>
      <c r="O5144" t="s">
        <v>11</v>
      </c>
      <c r="P5144" t="s">
        <v>12</v>
      </c>
      <c r="Q5144" t="s">
        <v>13</v>
      </c>
      <c r="R5144" t="s">
        <v>13</v>
      </c>
      <c r="S5144" t="s">
        <v>144</v>
      </c>
      <c r="T5144" s="2">
        <f>MASTER[[#This Row],[CANTIDAD]]*MASTER[[#This Row],[PRECIO DE VENTA]]</f>
        <v>1328</v>
      </c>
      <c r="U5144" s="2">
        <f>MASTER[[#This Row],[CANTIDAD]]*MASTER[[#This Row],[COSTO UNITARIO]]</f>
        <v>386</v>
      </c>
      <c r="V5144" s="2">
        <f>MASTER[[#This Row],[MONTO VENDIDO]]-MASTER[[#This Row],[COSTO DE VENTA]]</f>
        <v>942</v>
      </c>
    </row>
    <row r="5145" spans="1:22" x14ac:dyDescent="0.3">
      <c r="A5145">
        <v>73584</v>
      </c>
      <c r="B5145">
        <v>1</v>
      </c>
      <c r="C5145" t="s">
        <v>92</v>
      </c>
      <c r="D5145" t="s">
        <v>93</v>
      </c>
      <c r="E5145" s="1">
        <v>44395</v>
      </c>
      <c r="F5145">
        <v>1</v>
      </c>
      <c r="G5145" t="s">
        <v>47</v>
      </c>
      <c r="H5145" t="s">
        <v>48</v>
      </c>
      <c r="I5145" s="3">
        <v>1866</v>
      </c>
      <c r="J5145" s="3">
        <v>1866</v>
      </c>
      <c r="K5145" s="3">
        <v>396</v>
      </c>
      <c r="L5145" t="s">
        <v>9</v>
      </c>
      <c r="M5145">
        <v>18</v>
      </c>
      <c r="N5145" t="s">
        <v>79</v>
      </c>
      <c r="O5145" t="s">
        <v>70</v>
      </c>
      <c r="P5145" t="s">
        <v>15</v>
      </c>
      <c r="Q5145" t="s">
        <v>16</v>
      </c>
      <c r="R5145" t="s">
        <v>16</v>
      </c>
      <c r="S5145" t="s">
        <v>144</v>
      </c>
      <c r="T5145" s="2">
        <f>MASTER[[#This Row],[CANTIDAD]]*MASTER[[#This Row],[PRECIO DE VENTA]]</f>
        <v>1866</v>
      </c>
      <c r="U5145" s="2">
        <f>MASTER[[#This Row],[CANTIDAD]]*MASTER[[#This Row],[COSTO UNITARIO]]</f>
        <v>396</v>
      </c>
      <c r="V5145" s="2">
        <f>MASTER[[#This Row],[MONTO VENDIDO]]-MASTER[[#This Row],[COSTO DE VENTA]]</f>
        <v>1470</v>
      </c>
    </row>
    <row r="5146" spans="1:22" x14ac:dyDescent="0.3">
      <c r="A5146">
        <v>73616</v>
      </c>
      <c r="B5146">
        <v>1</v>
      </c>
      <c r="C5146" t="s">
        <v>109</v>
      </c>
      <c r="D5146" t="s">
        <v>110</v>
      </c>
      <c r="E5146" s="1">
        <v>44395</v>
      </c>
      <c r="F5146">
        <v>1</v>
      </c>
      <c r="G5146" t="s">
        <v>45</v>
      </c>
      <c r="H5146" t="s">
        <v>46</v>
      </c>
      <c r="I5146" s="3">
        <v>1064</v>
      </c>
      <c r="J5146" s="3">
        <v>1064</v>
      </c>
      <c r="K5146" s="3">
        <v>387</v>
      </c>
      <c r="L5146" t="s">
        <v>98</v>
      </c>
      <c r="M5146">
        <v>4</v>
      </c>
      <c r="N5146" t="s">
        <v>82</v>
      </c>
      <c r="O5146" t="s">
        <v>81</v>
      </c>
      <c r="P5146" t="s">
        <v>71</v>
      </c>
      <c r="Q5146" t="s">
        <v>72</v>
      </c>
      <c r="R5146" t="s">
        <v>139</v>
      </c>
      <c r="S5146" t="s">
        <v>144</v>
      </c>
      <c r="T5146" s="2">
        <f>MASTER[[#This Row],[CANTIDAD]]*MASTER[[#This Row],[PRECIO DE VENTA]]</f>
        <v>1064</v>
      </c>
      <c r="U5146" s="2">
        <f>MASTER[[#This Row],[CANTIDAD]]*MASTER[[#This Row],[COSTO UNITARIO]]</f>
        <v>387</v>
      </c>
      <c r="V5146" s="2">
        <f>MASTER[[#This Row],[MONTO VENDIDO]]-MASTER[[#This Row],[COSTO DE VENTA]]</f>
        <v>677</v>
      </c>
    </row>
    <row r="5147" spans="1:22" x14ac:dyDescent="0.3">
      <c r="A5147">
        <v>73619</v>
      </c>
      <c r="B5147">
        <v>1</v>
      </c>
      <c r="C5147" t="s">
        <v>90</v>
      </c>
      <c r="D5147" t="s">
        <v>91</v>
      </c>
      <c r="E5147" s="1">
        <v>44395</v>
      </c>
      <c r="F5147">
        <v>1</v>
      </c>
      <c r="G5147" t="s">
        <v>33</v>
      </c>
      <c r="H5147" t="s">
        <v>34</v>
      </c>
      <c r="I5147" s="3">
        <v>2102</v>
      </c>
      <c r="J5147" s="3">
        <v>2102</v>
      </c>
      <c r="K5147" s="3">
        <v>420</v>
      </c>
      <c r="L5147" t="s">
        <v>9</v>
      </c>
      <c r="M5147">
        <v>13</v>
      </c>
      <c r="N5147" t="s">
        <v>78</v>
      </c>
      <c r="O5147" t="s">
        <v>70</v>
      </c>
      <c r="P5147" t="s">
        <v>18</v>
      </c>
      <c r="Q5147" t="s">
        <v>19</v>
      </c>
      <c r="R5147" t="s">
        <v>138</v>
      </c>
      <c r="S5147" t="s">
        <v>144</v>
      </c>
      <c r="T5147" s="2">
        <f>MASTER[[#This Row],[CANTIDAD]]*MASTER[[#This Row],[PRECIO DE VENTA]]</f>
        <v>2102</v>
      </c>
      <c r="U5147" s="2">
        <f>MASTER[[#This Row],[CANTIDAD]]*MASTER[[#This Row],[COSTO UNITARIO]]</f>
        <v>420</v>
      </c>
      <c r="V5147" s="2">
        <f>MASTER[[#This Row],[MONTO VENDIDO]]-MASTER[[#This Row],[COSTO DE VENTA]]</f>
        <v>1682</v>
      </c>
    </row>
    <row r="5148" spans="1:22" x14ac:dyDescent="0.3">
      <c r="A5148">
        <v>73654</v>
      </c>
      <c r="B5148">
        <v>1</v>
      </c>
      <c r="C5148" t="s">
        <v>121</v>
      </c>
      <c r="D5148" t="s">
        <v>122</v>
      </c>
      <c r="E5148" s="1">
        <v>44395</v>
      </c>
      <c r="F5148">
        <v>1</v>
      </c>
      <c r="G5148" t="s">
        <v>20</v>
      </c>
      <c r="H5148" t="s">
        <v>21</v>
      </c>
      <c r="I5148" s="3">
        <v>1144</v>
      </c>
      <c r="J5148" s="3">
        <v>1144</v>
      </c>
      <c r="K5148" s="3">
        <v>460</v>
      </c>
      <c r="L5148" t="s">
        <v>120</v>
      </c>
      <c r="M5148">
        <v>3</v>
      </c>
      <c r="N5148" t="s">
        <v>69</v>
      </c>
      <c r="O5148" t="s">
        <v>70</v>
      </c>
      <c r="P5148" t="s">
        <v>71</v>
      </c>
      <c r="Q5148" t="s">
        <v>72</v>
      </c>
      <c r="R5148" t="s">
        <v>139</v>
      </c>
      <c r="S5148" t="s">
        <v>144</v>
      </c>
      <c r="T5148" s="2">
        <f>MASTER[[#This Row],[CANTIDAD]]*MASTER[[#This Row],[PRECIO DE VENTA]]</f>
        <v>1144</v>
      </c>
      <c r="U5148" s="2">
        <f>MASTER[[#This Row],[CANTIDAD]]*MASTER[[#This Row],[COSTO UNITARIO]]</f>
        <v>460</v>
      </c>
      <c r="V5148" s="2">
        <f>MASTER[[#This Row],[MONTO VENDIDO]]-MASTER[[#This Row],[COSTO DE VENTA]]</f>
        <v>684</v>
      </c>
    </row>
    <row r="5149" spans="1:22" x14ac:dyDescent="0.3">
      <c r="A5149">
        <v>73658</v>
      </c>
      <c r="B5149">
        <v>1</v>
      </c>
      <c r="C5149" t="s">
        <v>92</v>
      </c>
      <c r="D5149" t="s">
        <v>93</v>
      </c>
      <c r="E5149" s="1">
        <v>44395</v>
      </c>
      <c r="F5149">
        <v>1</v>
      </c>
      <c r="G5149" t="s">
        <v>41</v>
      </c>
      <c r="H5149" t="s">
        <v>42</v>
      </c>
      <c r="I5149" s="3">
        <v>1866</v>
      </c>
      <c r="J5149" s="3">
        <v>1866</v>
      </c>
      <c r="K5149" s="3">
        <v>396</v>
      </c>
      <c r="L5149" t="s">
        <v>9</v>
      </c>
      <c r="M5149">
        <v>9</v>
      </c>
      <c r="N5149" t="s">
        <v>76</v>
      </c>
      <c r="O5149" t="s">
        <v>70</v>
      </c>
      <c r="P5149" t="s">
        <v>12</v>
      </c>
      <c r="Q5149" t="s">
        <v>13</v>
      </c>
      <c r="R5149" t="s">
        <v>13</v>
      </c>
      <c r="S5149" t="s">
        <v>144</v>
      </c>
      <c r="T5149" s="2">
        <f>MASTER[[#This Row],[CANTIDAD]]*MASTER[[#This Row],[PRECIO DE VENTA]]</f>
        <v>1866</v>
      </c>
      <c r="U5149" s="2">
        <f>MASTER[[#This Row],[CANTIDAD]]*MASTER[[#This Row],[COSTO UNITARIO]]</f>
        <v>396</v>
      </c>
      <c r="V5149" s="2">
        <f>MASTER[[#This Row],[MONTO VENDIDO]]-MASTER[[#This Row],[COSTO DE VENTA]]</f>
        <v>1470</v>
      </c>
    </row>
    <row r="5150" spans="1:22" x14ac:dyDescent="0.3">
      <c r="A5150">
        <v>73659</v>
      </c>
      <c r="B5150">
        <v>1</v>
      </c>
      <c r="C5150" t="s">
        <v>92</v>
      </c>
      <c r="D5150" t="s">
        <v>93</v>
      </c>
      <c r="E5150" s="1">
        <v>44395</v>
      </c>
      <c r="F5150">
        <v>1</v>
      </c>
      <c r="G5150" t="s">
        <v>41</v>
      </c>
      <c r="H5150" t="s">
        <v>42</v>
      </c>
      <c r="I5150" s="3">
        <v>1866</v>
      </c>
      <c r="J5150" s="3">
        <v>1866</v>
      </c>
      <c r="K5150" s="3">
        <v>396</v>
      </c>
      <c r="L5150" t="s">
        <v>9</v>
      </c>
      <c r="M5150">
        <v>13</v>
      </c>
      <c r="N5150" t="s">
        <v>78</v>
      </c>
      <c r="O5150" t="s">
        <v>70</v>
      </c>
      <c r="P5150" t="s">
        <v>18</v>
      </c>
      <c r="Q5150" t="s">
        <v>19</v>
      </c>
      <c r="R5150" t="s">
        <v>138</v>
      </c>
      <c r="S5150" t="s">
        <v>144</v>
      </c>
      <c r="T5150" s="2">
        <f>MASTER[[#This Row],[CANTIDAD]]*MASTER[[#This Row],[PRECIO DE VENTA]]</f>
        <v>1866</v>
      </c>
      <c r="U5150" s="2">
        <f>MASTER[[#This Row],[CANTIDAD]]*MASTER[[#This Row],[COSTO UNITARIO]]</f>
        <v>396</v>
      </c>
      <c r="V5150" s="2">
        <f>MASTER[[#This Row],[MONTO VENDIDO]]-MASTER[[#This Row],[COSTO DE VENTA]]</f>
        <v>1470</v>
      </c>
    </row>
    <row r="5151" spans="1:22" x14ac:dyDescent="0.3">
      <c r="A5151">
        <v>73663</v>
      </c>
      <c r="B5151">
        <v>1</v>
      </c>
      <c r="C5151" t="s">
        <v>96</v>
      </c>
      <c r="D5151" t="s">
        <v>97</v>
      </c>
      <c r="E5151" s="1">
        <v>44395</v>
      </c>
      <c r="F5151">
        <v>1</v>
      </c>
      <c r="G5151" t="s">
        <v>29</v>
      </c>
      <c r="H5151" t="s">
        <v>30</v>
      </c>
      <c r="I5151" s="3">
        <v>1272</v>
      </c>
      <c r="J5151" s="3">
        <v>1272</v>
      </c>
      <c r="K5151" s="3">
        <v>397</v>
      </c>
      <c r="L5151" t="s">
        <v>98</v>
      </c>
      <c r="M5151">
        <v>7</v>
      </c>
      <c r="N5151" t="s">
        <v>84</v>
      </c>
      <c r="O5151" t="s">
        <v>81</v>
      </c>
      <c r="P5151" t="s">
        <v>12</v>
      </c>
      <c r="Q5151" t="s">
        <v>13</v>
      </c>
      <c r="R5151" t="s">
        <v>13</v>
      </c>
      <c r="S5151" t="s">
        <v>144</v>
      </c>
      <c r="T5151" s="2">
        <f>MASTER[[#This Row],[CANTIDAD]]*MASTER[[#This Row],[PRECIO DE VENTA]]</f>
        <v>1272</v>
      </c>
      <c r="U5151" s="2">
        <f>MASTER[[#This Row],[CANTIDAD]]*MASTER[[#This Row],[COSTO UNITARIO]]</f>
        <v>397</v>
      </c>
      <c r="V5151" s="2">
        <f>MASTER[[#This Row],[MONTO VENDIDO]]-MASTER[[#This Row],[COSTO DE VENTA]]</f>
        <v>875</v>
      </c>
    </row>
    <row r="5152" spans="1:22" x14ac:dyDescent="0.3">
      <c r="A5152">
        <v>73664</v>
      </c>
      <c r="B5152">
        <v>1</v>
      </c>
      <c r="C5152" t="s">
        <v>114</v>
      </c>
      <c r="D5152" t="s">
        <v>115</v>
      </c>
      <c r="E5152" s="1">
        <v>44395</v>
      </c>
      <c r="F5152">
        <v>1</v>
      </c>
      <c r="G5152" t="s">
        <v>73</v>
      </c>
      <c r="H5152" t="s">
        <v>74</v>
      </c>
      <c r="I5152" s="3">
        <v>2030</v>
      </c>
      <c r="J5152" s="3">
        <v>2030</v>
      </c>
      <c r="K5152" s="3">
        <v>394</v>
      </c>
      <c r="L5152" t="s">
        <v>113</v>
      </c>
      <c r="M5152">
        <v>3</v>
      </c>
      <c r="N5152" t="s">
        <v>69</v>
      </c>
      <c r="O5152" t="s">
        <v>70</v>
      </c>
      <c r="P5152" t="s">
        <v>71</v>
      </c>
      <c r="Q5152" t="s">
        <v>72</v>
      </c>
      <c r="R5152" t="s">
        <v>139</v>
      </c>
      <c r="S5152" t="s">
        <v>144</v>
      </c>
      <c r="T5152" s="2">
        <f>MASTER[[#This Row],[CANTIDAD]]*MASTER[[#This Row],[PRECIO DE VENTA]]</f>
        <v>2030</v>
      </c>
      <c r="U5152" s="2">
        <f>MASTER[[#This Row],[CANTIDAD]]*MASTER[[#This Row],[COSTO UNITARIO]]</f>
        <v>394</v>
      </c>
      <c r="V5152" s="2">
        <f>MASTER[[#This Row],[MONTO VENDIDO]]-MASTER[[#This Row],[COSTO DE VENTA]]</f>
        <v>1636</v>
      </c>
    </row>
    <row r="5153" spans="1:22" x14ac:dyDescent="0.3">
      <c r="A5153">
        <v>73668</v>
      </c>
      <c r="B5153">
        <v>1</v>
      </c>
      <c r="C5153" t="s">
        <v>103</v>
      </c>
      <c r="D5153" t="s">
        <v>104</v>
      </c>
      <c r="E5153" s="1">
        <v>44396</v>
      </c>
      <c r="F5153">
        <v>1</v>
      </c>
      <c r="G5153" t="s">
        <v>22</v>
      </c>
      <c r="H5153" t="s">
        <v>23</v>
      </c>
      <c r="I5153" s="3">
        <v>1591</v>
      </c>
      <c r="J5153" s="3">
        <v>1591</v>
      </c>
      <c r="K5153" s="3">
        <v>421</v>
      </c>
      <c r="L5153" t="s">
        <v>98</v>
      </c>
      <c r="M5153">
        <v>2</v>
      </c>
      <c r="N5153" t="s">
        <v>86</v>
      </c>
      <c r="O5153" t="s">
        <v>81</v>
      </c>
      <c r="P5153" t="s">
        <v>71</v>
      </c>
      <c r="Q5153" t="s">
        <v>72</v>
      </c>
      <c r="R5153" t="s">
        <v>139</v>
      </c>
      <c r="S5153" t="s">
        <v>144</v>
      </c>
      <c r="T5153" s="2">
        <f>MASTER[[#This Row],[CANTIDAD]]*MASTER[[#This Row],[PRECIO DE VENTA]]</f>
        <v>1591</v>
      </c>
      <c r="U5153" s="2">
        <f>MASTER[[#This Row],[CANTIDAD]]*MASTER[[#This Row],[COSTO UNITARIO]]</f>
        <v>421</v>
      </c>
      <c r="V5153" s="2">
        <f>MASTER[[#This Row],[MONTO VENDIDO]]-MASTER[[#This Row],[COSTO DE VENTA]]</f>
        <v>1170</v>
      </c>
    </row>
    <row r="5154" spans="1:22" x14ac:dyDescent="0.3">
      <c r="A5154">
        <v>73669</v>
      </c>
      <c r="B5154">
        <v>1</v>
      </c>
      <c r="C5154" t="s">
        <v>99</v>
      </c>
      <c r="D5154" t="s">
        <v>100</v>
      </c>
      <c r="E5154" s="1">
        <v>44396</v>
      </c>
      <c r="F5154">
        <v>4</v>
      </c>
      <c r="G5154" t="s">
        <v>35</v>
      </c>
      <c r="H5154" t="s">
        <v>36</v>
      </c>
      <c r="I5154" s="3">
        <v>1678</v>
      </c>
      <c r="J5154" s="3">
        <v>1678</v>
      </c>
      <c r="K5154" s="3">
        <v>386</v>
      </c>
      <c r="L5154" t="s">
        <v>98</v>
      </c>
      <c r="M5154">
        <v>6</v>
      </c>
      <c r="N5154" t="s">
        <v>75</v>
      </c>
      <c r="O5154" t="s">
        <v>70</v>
      </c>
      <c r="P5154" t="s">
        <v>12</v>
      </c>
      <c r="Q5154" t="s">
        <v>13</v>
      </c>
      <c r="R5154" t="s">
        <v>13</v>
      </c>
      <c r="S5154" t="s">
        <v>144</v>
      </c>
      <c r="T5154" s="2">
        <f>MASTER[[#This Row],[CANTIDAD]]*MASTER[[#This Row],[PRECIO DE VENTA]]</f>
        <v>6712</v>
      </c>
      <c r="U5154" s="2">
        <f>MASTER[[#This Row],[CANTIDAD]]*MASTER[[#This Row],[COSTO UNITARIO]]</f>
        <v>1544</v>
      </c>
      <c r="V5154" s="2">
        <f>MASTER[[#This Row],[MONTO VENDIDO]]-MASTER[[#This Row],[COSTO DE VENTA]]</f>
        <v>5168</v>
      </c>
    </row>
    <row r="5155" spans="1:22" x14ac:dyDescent="0.3">
      <c r="A5155">
        <v>73669</v>
      </c>
      <c r="B5155">
        <v>2</v>
      </c>
      <c r="C5155" t="s">
        <v>121</v>
      </c>
      <c r="D5155" t="s">
        <v>122</v>
      </c>
      <c r="E5155" s="1">
        <v>44396</v>
      </c>
      <c r="F5155">
        <v>1</v>
      </c>
      <c r="G5155" t="s">
        <v>37</v>
      </c>
      <c r="H5155" t="s">
        <v>38</v>
      </c>
      <c r="I5155" s="3">
        <v>1144</v>
      </c>
      <c r="J5155" s="3">
        <v>1144</v>
      </c>
      <c r="K5155" s="3">
        <v>460</v>
      </c>
      <c r="L5155" t="s">
        <v>120</v>
      </c>
      <c r="M5155">
        <v>6</v>
      </c>
      <c r="N5155" t="s">
        <v>75</v>
      </c>
      <c r="O5155" t="s">
        <v>70</v>
      </c>
      <c r="P5155" t="s">
        <v>12</v>
      </c>
      <c r="Q5155" t="s">
        <v>13</v>
      </c>
      <c r="R5155" t="s">
        <v>13</v>
      </c>
      <c r="S5155" t="s">
        <v>144</v>
      </c>
      <c r="T5155" s="2">
        <f>MASTER[[#This Row],[CANTIDAD]]*MASTER[[#This Row],[PRECIO DE VENTA]]</f>
        <v>1144</v>
      </c>
      <c r="U5155" s="2">
        <f>MASTER[[#This Row],[CANTIDAD]]*MASTER[[#This Row],[COSTO UNITARIO]]</f>
        <v>460</v>
      </c>
      <c r="V5155" s="2">
        <f>MASTER[[#This Row],[MONTO VENDIDO]]-MASTER[[#This Row],[COSTO DE VENTA]]</f>
        <v>684</v>
      </c>
    </row>
    <row r="5156" spans="1:22" x14ac:dyDescent="0.3">
      <c r="A5156">
        <v>73683</v>
      </c>
      <c r="B5156">
        <v>1</v>
      </c>
      <c r="C5156" t="s">
        <v>121</v>
      </c>
      <c r="D5156" t="s">
        <v>122</v>
      </c>
      <c r="E5156" s="1">
        <v>44396</v>
      </c>
      <c r="F5156">
        <v>1</v>
      </c>
      <c r="G5156" t="s">
        <v>37</v>
      </c>
      <c r="H5156" t="s">
        <v>38</v>
      </c>
      <c r="I5156" s="3">
        <v>941</v>
      </c>
      <c r="J5156" s="3">
        <v>941</v>
      </c>
      <c r="K5156" s="3">
        <v>460</v>
      </c>
      <c r="L5156" t="s">
        <v>120</v>
      </c>
      <c r="M5156">
        <v>11</v>
      </c>
      <c r="N5156" t="s">
        <v>10</v>
      </c>
      <c r="O5156" t="s">
        <v>11</v>
      </c>
      <c r="P5156" t="s">
        <v>12</v>
      </c>
      <c r="Q5156" t="s">
        <v>13</v>
      </c>
      <c r="R5156" t="s">
        <v>13</v>
      </c>
      <c r="S5156" t="s">
        <v>144</v>
      </c>
      <c r="T5156" s="2">
        <f>MASTER[[#This Row],[CANTIDAD]]*MASTER[[#This Row],[PRECIO DE VENTA]]</f>
        <v>941</v>
      </c>
      <c r="U5156" s="2">
        <f>MASTER[[#This Row],[CANTIDAD]]*MASTER[[#This Row],[COSTO UNITARIO]]</f>
        <v>460</v>
      </c>
      <c r="V5156" s="2">
        <f>MASTER[[#This Row],[MONTO VENDIDO]]-MASTER[[#This Row],[COSTO DE VENTA]]</f>
        <v>481</v>
      </c>
    </row>
    <row r="5157" spans="1:22" x14ac:dyDescent="0.3">
      <c r="A5157">
        <v>73689</v>
      </c>
      <c r="B5157">
        <v>1</v>
      </c>
      <c r="C5157" t="s">
        <v>109</v>
      </c>
      <c r="D5157" t="s">
        <v>110</v>
      </c>
      <c r="E5157" s="1">
        <v>44396</v>
      </c>
      <c r="F5157">
        <v>1</v>
      </c>
      <c r="G5157" t="s">
        <v>20</v>
      </c>
      <c r="H5157" t="s">
        <v>21</v>
      </c>
      <c r="I5157" s="3">
        <v>1128</v>
      </c>
      <c r="J5157" s="3">
        <v>1128</v>
      </c>
      <c r="K5157" s="3">
        <v>387</v>
      </c>
      <c r="L5157" t="s">
        <v>98</v>
      </c>
      <c r="M5157">
        <v>9</v>
      </c>
      <c r="N5157" t="s">
        <v>76</v>
      </c>
      <c r="O5157" t="s">
        <v>70</v>
      </c>
      <c r="P5157" t="s">
        <v>12</v>
      </c>
      <c r="Q5157" t="s">
        <v>13</v>
      </c>
      <c r="R5157" t="s">
        <v>13</v>
      </c>
      <c r="S5157" t="s">
        <v>144</v>
      </c>
      <c r="T5157" s="2">
        <f>MASTER[[#This Row],[CANTIDAD]]*MASTER[[#This Row],[PRECIO DE VENTA]]</f>
        <v>1128</v>
      </c>
      <c r="U5157" s="2">
        <f>MASTER[[#This Row],[CANTIDAD]]*MASTER[[#This Row],[COSTO UNITARIO]]</f>
        <v>387</v>
      </c>
      <c r="V5157" s="2">
        <f>MASTER[[#This Row],[MONTO VENDIDO]]-MASTER[[#This Row],[COSTO DE VENTA]]</f>
        <v>741</v>
      </c>
    </row>
    <row r="5158" spans="1:22" x14ac:dyDescent="0.3">
      <c r="A5158">
        <v>73695</v>
      </c>
      <c r="B5158">
        <v>1</v>
      </c>
      <c r="C5158" t="s">
        <v>101</v>
      </c>
      <c r="D5158" t="s">
        <v>102</v>
      </c>
      <c r="E5158" s="1">
        <v>44396</v>
      </c>
      <c r="F5158">
        <v>4</v>
      </c>
      <c r="G5158" t="s">
        <v>53</v>
      </c>
      <c r="H5158" t="s">
        <v>54</v>
      </c>
      <c r="I5158" s="3">
        <v>1357</v>
      </c>
      <c r="J5158" s="3">
        <v>1357</v>
      </c>
      <c r="K5158" s="3">
        <v>442</v>
      </c>
      <c r="L5158" t="s">
        <v>98</v>
      </c>
      <c r="M5158">
        <v>18</v>
      </c>
      <c r="N5158" t="s">
        <v>79</v>
      </c>
      <c r="O5158" t="s">
        <v>70</v>
      </c>
      <c r="P5158" t="s">
        <v>15</v>
      </c>
      <c r="Q5158" t="s">
        <v>16</v>
      </c>
      <c r="R5158" t="s">
        <v>16</v>
      </c>
      <c r="S5158" t="s">
        <v>144</v>
      </c>
      <c r="T5158" s="2">
        <f>MASTER[[#This Row],[CANTIDAD]]*MASTER[[#This Row],[PRECIO DE VENTA]]</f>
        <v>5428</v>
      </c>
      <c r="U5158" s="2">
        <f>MASTER[[#This Row],[CANTIDAD]]*MASTER[[#This Row],[COSTO UNITARIO]]</f>
        <v>1768</v>
      </c>
      <c r="V5158" s="2">
        <f>MASTER[[#This Row],[MONTO VENDIDO]]-MASTER[[#This Row],[COSTO DE VENTA]]</f>
        <v>3660</v>
      </c>
    </row>
    <row r="5159" spans="1:22" x14ac:dyDescent="0.3">
      <c r="A5159">
        <v>73705</v>
      </c>
      <c r="B5159">
        <v>1</v>
      </c>
      <c r="C5159" t="s">
        <v>90</v>
      </c>
      <c r="D5159" t="s">
        <v>91</v>
      </c>
      <c r="E5159" s="1">
        <v>44396</v>
      </c>
      <c r="F5159">
        <v>1</v>
      </c>
      <c r="G5159" t="s">
        <v>73</v>
      </c>
      <c r="H5159" t="s">
        <v>74</v>
      </c>
      <c r="I5159" s="3">
        <v>2102</v>
      </c>
      <c r="J5159" s="3">
        <v>2102</v>
      </c>
      <c r="K5159" s="3">
        <v>420</v>
      </c>
      <c r="L5159" t="s">
        <v>9</v>
      </c>
      <c r="M5159">
        <v>18</v>
      </c>
      <c r="N5159" t="s">
        <v>79</v>
      </c>
      <c r="O5159" t="s">
        <v>70</v>
      </c>
      <c r="P5159" t="s">
        <v>15</v>
      </c>
      <c r="Q5159" t="s">
        <v>16</v>
      </c>
      <c r="R5159" t="s">
        <v>16</v>
      </c>
      <c r="S5159" t="s">
        <v>144</v>
      </c>
      <c r="T5159" s="2">
        <f>MASTER[[#This Row],[CANTIDAD]]*MASTER[[#This Row],[PRECIO DE VENTA]]</f>
        <v>2102</v>
      </c>
      <c r="U5159" s="2">
        <f>MASTER[[#This Row],[CANTIDAD]]*MASTER[[#This Row],[COSTO UNITARIO]]</f>
        <v>420</v>
      </c>
      <c r="V5159" s="2">
        <f>MASTER[[#This Row],[MONTO VENDIDO]]-MASTER[[#This Row],[COSTO DE VENTA]]</f>
        <v>1682</v>
      </c>
    </row>
    <row r="5160" spans="1:22" x14ac:dyDescent="0.3">
      <c r="A5160">
        <v>73707</v>
      </c>
      <c r="B5160">
        <v>1</v>
      </c>
      <c r="C5160" t="s">
        <v>118</v>
      </c>
      <c r="D5160" t="s">
        <v>119</v>
      </c>
      <c r="E5160" s="1">
        <v>44396</v>
      </c>
      <c r="F5160">
        <v>1</v>
      </c>
      <c r="G5160" t="s">
        <v>41</v>
      </c>
      <c r="H5160" t="s">
        <v>42</v>
      </c>
      <c r="I5160" s="3">
        <v>1026</v>
      </c>
      <c r="J5160" s="3">
        <v>1026</v>
      </c>
      <c r="K5160" s="3">
        <v>424</v>
      </c>
      <c r="L5160" t="s">
        <v>120</v>
      </c>
      <c r="M5160">
        <v>9</v>
      </c>
      <c r="N5160" t="s">
        <v>76</v>
      </c>
      <c r="O5160" t="s">
        <v>70</v>
      </c>
      <c r="P5160" t="s">
        <v>12</v>
      </c>
      <c r="Q5160" t="s">
        <v>13</v>
      </c>
      <c r="R5160" t="s">
        <v>13</v>
      </c>
      <c r="S5160" t="s">
        <v>144</v>
      </c>
      <c r="T5160" s="2">
        <f>MASTER[[#This Row],[CANTIDAD]]*MASTER[[#This Row],[PRECIO DE VENTA]]</f>
        <v>1026</v>
      </c>
      <c r="U5160" s="2">
        <f>MASTER[[#This Row],[CANTIDAD]]*MASTER[[#This Row],[COSTO UNITARIO]]</f>
        <v>424</v>
      </c>
      <c r="V5160" s="2">
        <f>MASTER[[#This Row],[MONTO VENDIDO]]-MASTER[[#This Row],[COSTO DE VENTA]]</f>
        <v>602</v>
      </c>
    </row>
    <row r="5161" spans="1:22" x14ac:dyDescent="0.3">
      <c r="A5161">
        <v>73708</v>
      </c>
      <c r="B5161">
        <v>1</v>
      </c>
      <c r="C5161" t="s">
        <v>90</v>
      </c>
      <c r="D5161" t="s">
        <v>91</v>
      </c>
      <c r="E5161" s="1">
        <v>44396</v>
      </c>
      <c r="F5161">
        <v>1</v>
      </c>
      <c r="G5161" t="s">
        <v>45</v>
      </c>
      <c r="H5161" t="s">
        <v>46</v>
      </c>
      <c r="I5161" s="3">
        <v>2102</v>
      </c>
      <c r="J5161" s="3">
        <v>2102</v>
      </c>
      <c r="K5161" s="3">
        <v>420</v>
      </c>
      <c r="L5161" t="s">
        <v>9</v>
      </c>
      <c r="M5161">
        <v>3</v>
      </c>
      <c r="N5161" t="s">
        <v>69</v>
      </c>
      <c r="O5161" t="s">
        <v>70</v>
      </c>
      <c r="P5161" t="s">
        <v>71</v>
      </c>
      <c r="Q5161" t="s">
        <v>72</v>
      </c>
      <c r="R5161" t="s">
        <v>139</v>
      </c>
      <c r="S5161" t="s">
        <v>144</v>
      </c>
      <c r="T5161" s="2">
        <f>MASTER[[#This Row],[CANTIDAD]]*MASTER[[#This Row],[PRECIO DE VENTA]]</f>
        <v>2102</v>
      </c>
      <c r="U5161" s="2">
        <f>MASTER[[#This Row],[CANTIDAD]]*MASTER[[#This Row],[COSTO UNITARIO]]</f>
        <v>420</v>
      </c>
      <c r="V5161" s="2">
        <f>MASTER[[#This Row],[MONTO VENDIDO]]-MASTER[[#This Row],[COSTO DE VENTA]]</f>
        <v>1682</v>
      </c>
    </row>
    <row r="5162" spans="1:22" x14ac:dyDescent="0.3">
      <c r="A5162">
        <v>73746</v>
      </c>
      <c r="B5162">
        <v>1</v>
      </c>
      <c r="C5162" t="s">
        <v>114</v>
      </c>
      <c r="D5162" t="s">
        <v>115</v>
      </c>
      <c r="E5162" s="1">
        <v>44396</v>
      </c>
      <c r="F5162">
        <v>1</v>
      </c>
      <c r="G5162" t="s">
        <v>41</v>
      </c>
      <c r="H5162" t="s">
        <v>42</v>
      </c>
      <c r="I5162" s="3">
        <v>1862</v>
      </c>
      <c r="J5162" s="3">
        <v>1862</v>
      </c>
      <c r="K5162" s="3">
        <v>394</v>
      </c>
      <c r="L5162" t="s">
        <v>113</v>
      </c>
      <c r="M5162">
        <v>2</v>
      </c>
      <c r="N5162" t="s">
        <v>86</v>
      </c>
      <c r="O5162" t="s">
        <v>81</v>
      </c>
      <c r="P5162" t="s">
        <v>71</v>
      </c>
      <c r="Q5162" t="s">
        <v>72</v>
      </c>
      <c r="R5162" t="s">
        <v>139</v>
      </c>
      <c r="S5162" t="s">
        <v>144</v>
      </c>
      <c r="T5162" s="2">
        <f>MASTER[[#This Row],[CANTIDAD]]*MASTER[[#This Row],[PRECIO DE VENTA]]</f>
        <v>1862</v>
      </c>
      <c r="U5162" s="2">
        <f>MASTER[[#This Row],[CANTIDAD]]*MASTER[[#This Row],[COSTO UNITARIO]]</f>
        <v>394</v>
      </c>
      <c r="V5162" s="2">
        <f>MASTER[[#This Row],[MONTO VENDIDO]]-MASTER[[#This Row],[COSTO DE VENTA]]</f>
        <v>1468</v>
      </c>
    </row>
    <row r="5163" spans="1:22" x14ac:dyDescent="0.3">
      <c r="A5163">
        <v>73747</v>
      </c>
      <c r="B5163">
        <v>1</v>
      </c>
      <c r="C5163" t="s">
        <v>105</v>
      </c>
      <c r="D5163" t="s">
        <v>106</v>
      </c>
      <c r="E5163" s="1">
        <v>44397</v>
      </c>
      <c r="F5163">
        <v>1</v>
      </c>
      <c r="G5163" t="s">
        <v>7</v>
      </c>
      <c r="H5163" t="s">
        <v>8</v>
      </c>
      <c r="I5163" s="3">
        <v>1865</v>
      </c>
      <c r="J5163" s="3">
        <v>1865</v>
      </c>
      <c r="K5163" s="3">
        <v>459</v>
      </c>
      <c r="L5163" t="s">
        <v>98</v>
      </c>
      <c r="M5163">
        <v>7</v>
      </c>
      <c r="N5163" t="s">
        <v>84</v>
      </c>
      <c r="O5163" t="s">
        <v>81</v>
      </c>
      <c r="P5163" t="s">
        <v>12</v>
      </c>
      <c r="Q5163" t="s">
        <v>13</v>
      </c>
      <c r="R5163" t="s">
        <v>13</v>
      </c>
      <c r="S5163" t="s">
        <v>144</v>
      </c>
      <c r="T5163" s="2">
        <f>MASTER[[#This Row],[CANTIDAD]]*MASTER[[#This Row],[PRECIO DE VENTA]]</f>
        <v>1865</v>
      </c>
      <c r="U5163" s="2">
        <f>MASTER[[#This Row],[CANTIDAD]]*MASTER[[#This Row],[COSTO UNITARIO]]</f>
        <v>459</v>
      </c>
      <c r="V5163" s="2">
        <f>MASTER[[#This Row],[MONTO VENDIDO]]-MASTER[[#This Row],[COSTO DE VENTA]]</f>
        <v>1406</v>
      </c>
    </row>
    <row r="5164" spans="1:22" x14ac:dyDescent="0.3">
      <c r="A5164">
        <v>73753</v>
      </c>
      <c r="B5164">
        <v>1</v>
      </c>
      <c r="C5164" t="s">
        <v>90</v>
      </c>
      <c r="D5164" t="s">
        <v>91</v>
      </c>
      <c r="E5164" s="1">
        <v>44397</v>
      </c>
      <c r="F5164">
        <v>1</v>
      </c>
      <c r="G5164" t="s">
        <v>73</v>
      </c>
      <c r="H5164" t="s">
        <v>74</v>
      </c>
      <c r="I5164" s="3">
        <v>2102</v>
      </c>
      <c r="J5164" s="3">
        <v>2102</v>
      </c>
      <c r="K5164" s="3">
        <v>420</v>
      </c>
      <c r="L5164" t="s">
        <v>9</v>
      </c>
      <c r="M5164">
        <v>9</v>
      </c>
      <c r="N5164" t="s">
        <v>76</v>
      </c>
      <c r="O5164" t="s">
        <v>70</v>
      </c>
      <c r="P5164" t="s">
        <v>12</v>
      </c>
      <c r="Q5164" t="s">
        <v>13</v>
      </c>
      <c r="R5164" t="s">
        <v>13</v>
      </c>
      <c r="S5164" t="s">
        <v>144</v>
      </c>
      <c r="T5164" s="2">
        <f>MASTER[[#This Row],[CANTIDAD]]*MASTER[[#This Row],[PRECIO DE VENTA]]</f>
        <v>2102</v>
      </c>
      <c r="U5164" s="2">
        <f>MASTER[[#This Row],[CANTIDAD]]*MASTER[[#This Row],[COSTO UNITARIO]]</f>
        <v>420</v>
      </c>
      <c r="V5164" s="2">
        <f>MASTER[[#This Row],[MONTO VENDIDO]]-MASTER[[#This Row],[COSTO DE VENTA]]</f>
        <v>1682</v>
      </c>
    </row>
    <row r="5165" spans="1:22" x14ac:dyDescent="0.3">
      <c r="A5165">
        <v>73760</v>
      </c>
      <c r="B5165">
        <v>1</v>
      </c>
      <c r="C5165" t="s">
        <v>111</v>
      </c>
      <c r="D5165" t="s">
        <v>112</v>
      </c>
      <c r="E5165" s="1">
        <v>44397</v>
      </c>
      <c r="F5165">
        <v>1</v>
      </c>
      <c r="G5165" t="s">
        <v>41</v>
      </c>
      <c r="H5165" t="s">
        <v>42</v>
      </c>
      <c r="I5165" s="3">
        <v>1524</v>
      </c>
      <c r="J5165" s="3">
        <v>1524</v>
      </c>
      <c r="K5165" s="3">
        <v>434</v>
      </c>
      <c r="L5165" t="s">
        <v>113</v>
      </c>
      <c r="M5165">
        <v>12</v>
      </c>
      <c r="N5165" t="s">
        <v>26</v>
      </c>
      <c r="O5165" t="s">
        <v>11</v>
      </c>
      <c r="P5165" t="s">
        <v>12</v>
      </c>
      <c r="Q5165" t="s">
        <v>13</v>
      </c>
      <c r="R5165" t="s">
        <v>13</v>
      </c>
      <c r="S5165" t="s">
        <v>144</v>
      </c>
      <c r="T5165" s="2">
        <f>MASTER[[#This Row],[CANTIDAD]]*MASTER[[#This Row],[PRECIO DE VENTA]]</f>
        <v>1524</v>
      </c>
      <c r="U5165" s="2">
        <f>MASTER[[#This Row],[CANTIDAD]]*MASTER[[#This Row],[COSTO UNITARIO]]</f>
        <v>434</v>
      </c>
      <c r="V5165" s="2">
        <f>MASTER[[#This Row],[MONTO VENDIDO]]-MASTER[[#This Row],[COSTO DE VENTA]]</f>
        <v>1090</v>
      </c>
    </row>
    <row r="5166" spans="1:22" x14ac:dyDescent="0.3">
      <c r="A5166">
        <v>73774</v>
      </c>
      <c r="B5166">
        <v>1</v>
      </c>
      <c r="C5166" t="s">
        <v>99</v>
      </c>
      <c r="D5166" t="s">
        <v>100</v>
      </c>
      <c r="E5166" s="1">
        <v>44397</v>
      </c>
      <c r="F5166">
        <v>1</v>
      </c>
      <c r="G5166" t="s">
        <v>22</v>
      </c>
      <c r="H5166" t="s">
        <v>23</v>
      </c>
      <c r="I5166" s="3">
        <v>1459</v>
      </c>
      <c r="J5166" s="3">
        <v>1459</v>
      </c>
      <c r="K5166" s="3">
        <v>386</v>
      </c>
      <c r="L5166" t="s">
        <v>98</v>
      </c>
      <c r="M5166">
        <v>8</v>
      </c>
      <c r="N5166" t="s">
        <v>80</v>
      </c>
      <c r="O5166" t="s">
        <v>81</v>
      </c>
      <c r="P5166" t="s">
        <v>12</v>
      </c>
      <c r="Q5166" t="s">
        <v>13</v>
      </c>
      <c r="R5166" t="s">
        <v>13</v>
      </c>
      <c r="S5166" t="s">
        <v>144</v>
      </c>
      <c r="T5166" s="2">
        <f>MASTER[[#This Row],[CANTIDAD]]*MASTER[[#This Row],[PRECIO DE VENTA]]</f>
        <v>1459</v>
      </c>
      <c r="U5166" s="2">
        <f>MASTER[[#This Row],[CANTIDAD]]*MASTER[[#This Row],[COSTO UNITARIO]]</f>
        <v>386</v>
      </c>
      <c r="V5166" s="2">
        <f>MASTER[[#This Row],[MONTO VENDIDO]]-MASTER[[#This Row],[COSTO DE VENTA]]</f>
        <v>1073</v>
      </c>
    </row>
    <row r="5167" spans="1:22" x14ac:dyDescent="0.3">
      <c r="A5167">
        <v>73785</v>
      </c>
      <c r="B5167">
        <v>1</v>
      </c>
      <c r="C5167" t="s">
        <v>101</v>
      </c>
      <c r="D5167" t="s">
        <v>102</v>
      </c>
      <c r="E5167" s="1">
        <v>44397</v>
      </c>
      <c r="F5167">
        <v>1</v>
      </c>
      <c r="G5167" t="s">
        <v>73</v>
      </c>
      <c r="H5167" t="s">
        <v>74</v>
      </c>
      <c r="I5167" s="3">
        <v>1212</v>
      </c>
      <c r="J5167" s="3">
        <v>1212</v>
      </c>
      <c r="K5167" s="3">
        <v>442</v>
      </c>
      <c r="L5167" t="s">
        <v>98</v>
      </c>
      <c r="M5167">
        <v>19</v>
      </c>
      <c r="N5167" t="s">
        <v>89</v>
      </c>
      <c r="O5167" t="s">
        <v>81</v>
      </c>
      <c r="P5167" t="s">
        <v>15</v>
      </c>
      <c r="Q5167" t="s">
        <v>16</v>
      </c>
      <c r="R5167" t="s">
        <v>16</v>
      </c>
      <c r="S5167" t="s">
        <v>144</v>
      </c>
      <c r="T5167" s="2">
        <f>MASTER[[#This Row],[CANTIDAD]]*MASTER[[#This Row],[PRECIO DE VENTA]]</f>
        <v>1212</v>
      </c>
      <c r="U5167" s="2">
        <f>MASTER[[#This Row],[CANTIDAD]]*MASTER[[#This Row],[COSTO UNITARIO]]</f>
        <v>442</v>
      </c>
      <c r="V5167" s="2">
        <f>MASTER[[#This Row],[MONTO VENDIDO]]-MASTER[[#This Row],[COSTO DE VENTA]]</f>
        <v>770</v>
      </c>
    </row>
    <row r="5168" spans="1:22" x14ac:dyDescent="0.3">
      <c r="A5168">
        <v>73786</v>
      </c>
      <c r="B5168">
        <v>1</v>
      </c>
      <c r="C5168" t="s">
        <v>96</v>
      </c>
      <c r="D5168" t="s">
        <v>97</v>
      </c>
      <c r="E5168" s="1">
        <v>44397</v>
      </c>
      <c r="F5168">
        <v>1</v>
      </c>
      <c r="G5168" t="s">
        <v>35</v>
      </c>
      <c r="H5168" t="s">
        <v>36</v>
      </c>
      <c r="I5168" s="3">
        <v>1361</v>
      </c>
      <c r="J5168" s="3">
        <v>1361</v>
      </c>
      <c r="K5168" s="3">
        <v>397</v>
      </c>
      <c r="L5168" t="s">
        <v>98</v>
      </c>
      <c r="M5168">
        <v>9</v>
      </c>
      <c r="N5168" t="s">
        <v>76</v>
      </c>
      <c r="O5168" t="s">
        <v>70</v>
      </c>
      <c r="P5168" t="s">
        <v>12</v>
      </c>
      <c r="Q5168" t="s">
        <v>13</v>
      </c>
      <c r="R5168" t="s">
        <v>13</v>
      </c>
      <c r="S5168" t="s">
        <v>144</v>
      </c>
      <c r="T5168" s="2">
        <f>MASTER[[#This Row],[CANTIDAD]]*MASTER[[#This Row],[PRECIO DE VENTA]]</f>
        <v>1361</v>
      </c>
      <c r="U5168" s="2">
        <f>MASTER[[#This Row],[CANTIDAD]]*MASTER[[#This Row],[COSTO UNITARIO]]</f>
        <v>397</v>
      </c>
      <c r="V5168" s="2">
        <f>MASTER[[#This Row],[MONTO VENDIDO]]-MASTER[[#This Row],[COSTO DE VENTA]]</f>
        <v>964</v>
      </c>
    </row>
    <row r="5169" spans="1:22" x14ac:dyDescent="0.3">
      <c r="A5169">
        <v>73788</v>
      </c>
      <c r="B5169">
        <v>1</v>
      </c>
      <c r="C5169" t="s">
        <v>121</v>
      </c>
      <c r="D5169" t="s">
        <v>122</v>
      </c>
      <c r="E5169" s="1">
        <v>44397</v>
      </c>
      <c r="F5169">
        <v>1</v>
      </c>
      <c r="G5169" t="s">
        <v>35</v>
      </c>
      <c r="H5169" t="s">
        <v>36</v>
      </c>
      <c r="I5169" s="3">
        <v>1069</v>
      </c>
      <c r="J5169" s="3">
        <v>1069</v>
      </c>
      <c r="K5169" s="3">
        <v>460</v>
      </c>
      <c r="L5169" t="s">
        <v>120</v>
      </c>
      <c r="M5169">
        <v>7</v>
      </c>
      <c r="N5169" t="s">
        <v>84</v>
      </c>
      <c r="O5169" t="s">
        <v>81</v>
      </c>
      <c r="P5169" t="s">
        <v>12</v>
      </c>
      <c r="Q5169" t="s">
        <v>13</v>
      </c>
      <c r="R5169" t="s">
        <v>13</v>
      </c>
      <c r="S5169" t="s">
        <v>144</v>
      </c>
      <c r="T5169" s="2">
        <f>MASTER[[#This Row],[CANTIDAD]]*MASTER[[#This Row],[PRECIO DE VENTA]]</f>
        <v>1069</v>
      </c>
      <c r="U5169" s="2">
        <f>MASTER[[#This Row],[CANTIDAD]]*MASTER[[#This Row],[COSTO UNITARIO]]</f>
        <v>460</v>
      </c>
      <c r="V5169" s="2">
        <f>MASTER[[#This Row],[MONTO VENDIDO]]-MASTER[[#This Row],[COSTO DE VENTA]]</f>
        <v>609</v>
      </c>
    </row>
    <row r="5170" spans="1:22" x14ac:dyDescent="0.3">
      <c r="A5170">
        <v>73797</v>
      </c>
      <c r="B5170">
        <v>1</v>
      </c>
      <c r="C5170" t="s">
        <v>103</v>
      </c>
      <c r="D5170" t="s">
        <v>104</v>
      </c>
      <c r="E5170" s="1">
        <v>44397</v>
      </c>
      <c r="F5170">
        <v>1</v>
      </c>
      <c r="G5170" t="s">
        <v>61</v>
      </c>
      <c r="H5170" t="s">
        <v>62</v>
      </c>
      <c r="I5170" s="3">
        <v>1448</v>
      </c>
      <c r="J5170" s="3">
        <v>1448</v>
      </c>
      <c r="K5170" s="3">
        <v>421</v>
      </c>
      <c r="L5170" t="s">
        <v>98</v>
      </c>
      <c r="M5170">
        <v>11</v>
      </c>
      <c r="N5170" t="s">
        <v>10</v>
      </c>
      <c r="O5170" t="s">
        <v>11</v>
      </c>
      <c r="P5170" t="s">
        <v>12</v>
      </c>
      <c r="Q5170" t="s">
        <v>13</v>
      </c>
      <c r="R5170" t="s">
        <v>13</v>
      </c>
      <c r="S5170" t="s">
        <v>144</v>
      </c>
      <c r="T5170" s="2">
        <f>MASTER[[#This Row],[CANTIDAD]]*MASTER[[#This Row],[PRECIO DE VENTA]]</f>
        <v>1448</v>
      </c>
      <c r="U5170" s="2">
        <f>MASTER[[#This Row],[CANTIDAD]]*MASTER[[#This Row],[COSTO UNITARIO]]</f>
        <v>421</v>
      </c>
      <c r="V5170" s="2">
        <f>MASTER[[#This Row],[MONTO VENDIDO]]-MASTER[[#This Row],[COSTO DE VENTA]]</f>
        <v>1027</v>
      </c>
    </row>
    <row r="5171" spans="1:22" x14ac:dyDescent="0.3">
      <c r="A5171">
        <v>73843</v>
      </c>
      <c r="B5171">
        <v>1</v>
      </c>
      <c r="C5171" t="s">
        <v>107</v>
      </c>
      <c r="D5171" t="s">
        <v>108</v>
      </c>
      <c r="E5171" s="1">
        <v>44397</v>
      </c>
      <c r="F5171">
        <v>4</v>
      </c>
      <c r="G5171" t="s">
        <v>22</v>
      </c>
      <c r="H5171" t="s">
        <v>23</v>
      </c>
      <c r="I5171" s="3">
        <v>1333</v>
      </c>
      <c r="J5171" s="3">
        <v>1333</v>
      </c>
      <c r="K5171" s="3">
        <v>380</v>
      </c>
      <c r="L5171" t="s">
        <v>98</v>
      </c>
      <c r="M5171">
        <v>8</v>
      </c>
      <c r="N5171" t="s">
        <v>80</v>
      </c>
      <c r="O5171" t="s">
        <v>81</v>
      </c>
      <c r="P5171" t="s">
        <v>12</v>
      </c>
      <c r="Q5171" t="s">
        <v>13</v>
      </c>
      <c r="R5171" t="s">
        <v>13</v>
      </c>
      <c r="S5171" t="s">
        <v>144</v>
      </c>
      <c r="T5171" s="2">
        <f>MASTER[[#This Row],[CANTIDAD]]*MASTER[[#This Row],[PRECIO DE VENTA]]</f>
        <v>5332</v>
      </c>
      <c r="U5171" s="2">
        <f>MASTER[[#This Row],[CANTIDAD]]*MASTER[[#This Row],[COSTO UNITARIO]]</f>
        <v>1520</v>
      </c>
      <c r="V5171" s="2">
        <f>MASTER[[#This Row],[MONTO VENDIDO]]-MASTER[[#This Row],[COSTO DE VENTA]]</f>
        <v>3812</v>
      </c>
    </row>
    <row r="5172" spans="1:22" x14ac:dyDescent="0.3">
      <c r="A5172">
        <v>73851</v>
      </c>
      <c r="B5172">
        <v>1</v>
      </c>
      <c r="C5172" t="s">
        <v>99</v>
      </c>
      <c r="D5172" t="s">
        <v>100</v>
      </c>
      <c r="E5172" s="1">
        <v>44397</v>
      </c>
      <c r="F5172">
        <v>1</v>
      </c>
      <c r="G5172" t="s">
        <v>51</v>
      </c>
      <c r="H5172" t="s">
        <v>52</v>
      </c>
      <c r="I5172" s="3">
        <v>1678</v>
      </c>
      <c r="J5172" s="3">
        <v>1678</v>
      </c>
      <c r="K5172" s="3">
        <v>386</v>
      </c>
      <c r="L5172" t="s">
        <v>98</v>
      </c>
      <c r="M5172">
        <v>18</v>
      </c>
      <c r="N5172" t="s">
        <v>79</v>
      </c>
      <c r="O5172" t="s">
        <v>70</v>
      </c>
      <c r="P5172" t="s">
        <v>15</v>
      </c>
      <c r="Q5172" t="s">
        <v>16</v>
      </c>
      <c r="R5172" t="s">
        <v>16</v>
      </c>
      <c r="S5172" t="s">
        <v>144</v>
      </c>
      <c r="T5172" s="2">
        <f>MASTER[[#This Row],[CANTIDAD]]*MASTER[[#This Row],[PRECIO DE VENTA]]</f>
        <v>1678</v>
      </c>
      <c r="U5172" s="2">
        <f>MASTER[[#This Row],[CANTIDAD]]*MASTER[[#This Row],[COSTO UNITARIO]]</f>
        <v>386</v>
      </c>
      <c r="V5172" s="2">
        <f>MASTER[[#This Row],[MONTO VENDIDO]]-MASTER[[#This Row],[COSTO DE VENTA]]</f>
        <v>1292</v>
      </c>
    </row>
    <row r="5173" spans="1:22" x14ac:dyDescent="0.3">
      <c r="A5173">
        <v>73860</v>
      </c>
      <c r="B5173">
        <v>1</v>
      </c>
      <c r="C5173" t="s">
        <v>114</v>
      </c>
      <c r="D5173" t="s">
        <v>115</v>
      </c>
      <c r="E5173" s="1">
        <v>44397</v>
      </c>
      <c r="F5173">
        <v>1</v>
      </c>
      <c r="G5173" t="s">
        <v>33</v>
      </c>
      <c r="H5173" t="s">
        <v>34</v>
      </c>
      <c r="I5173" s="3">
        <v>1862</v>
      </c>
      <c r="J5173" s="3">
        <v>1862</v>
      </c>
      <c r="K5173" s="3">
        <v>394</v>
      </c>
      <c r="L5173" t="s">
        <v>113</v>
      </c>
      <c r="M5173">
        <v>15</v>
      </c>
      <c r="N5173" t="s">
        <v>88</v>
      </c>
      <c r="O5173" t="s">
        <v>81</v>
      </c>
      <c r="P5173" t="s">
        <v>18</v>
      </c>
      <c r="Q5173" t="s">
        <v>19</v>
      </c>
      <c r="R5173" t="s">
        <v>138</v>
      </c>
      <c r="S5173" t="s">
        <v>144</v>
      </c>
      <c r="T5173" s="2">
        <f>MASTER[[#This Row],[CANTIDAD]]*MASTER[[#This Row],[PRECIO DE VENTA]]</f>
        <v>1862</v>
      </c>
      <c r="U5173" s="2">
        <f>MASTER[[#This Row],[CANTIDAD]]*MASTER[[#This Row],[COSTO UNITARIO]]</f>
        <v>394</v>
      </c>
      <c r="V5173" s="2">
        <f>MASTER[[#This Row],[MONTO VENDIDO]]-MASTER[[#This Row],[COSTO DE VENTA]]</f>
        <v>1468</v>
      </c>
    </row>
    <row r="5174" spans="1:22" x14ac:dyDescent="0.3">
      <c r="A5174">
        <v>73865</v>
      </c>
      <c r="B5174">
        <v>1</v>
      </c>
      <c r="C5174" t="s">
        <v>118</v>
      </c>
      <c r="D5174" t="s">
        <v>119</v>
      </c>
      <c r="E5174" s="1">
        <v>44397</v>
      </c>
      <c r="F5174">
        <v>1</v>
      </c>
      <c r="G5174" t="s">
        <v>37</v>
      </c>
      <c r="H5174" t="s">
        <v>38</v>
      </c>
      <c r="I5174" s="3">
        <v>900</v>
      </c>
      <c r="J5174" s="3">
        <v>819</v>
      </c>
      <c r="K5174" s="3">
        <v>424</v>
      </c>
      <c r="L5174" t="s">
        <v>120</v>
      </c>
      <c r="M5174">
        <v>15</v>
      </c>
      <c r="N5174" t="s">
        <v>88</v>
      </c>
      <c r="O5174" t="s">
        <v>81</v>
      </c>
      <c r="P5174" t="s">
        <v>18</v>
      </c>
      <c r="Q5174" t="s">
        <v>19</v>
      </c>
      <c r="R5174" t="s">
        <v>138</v>
      </c>
      <c r="S5174" t="s">
        <v>144</v>
      </c>
      <c r="T5174" s="2">
        <f>MASTER[[#This Row],[CANTIDAD]]*MASTER[[#This Row],[PRECIO DE VENTA]]</f>
        <v>819</v>
      </c>
      <c r="U5174" s="2">
        <f>MASTER[[#This Row],[CANTIDAD]]*MASTER[[#This Row],[COSTO UNITARIO]]</f>
        <v>424</v>
      </c>
      <c r="V5174" s="2">
        <f>MASTER[[#This Row],[MONTO VENDIDO]]-MASTER[[#This Row],[COSTO DE VENTA]]</f>
        <v>395</v>
      </c>
    </row>
    <row r="5175" spans="1:22" x14ac:dyDescent="0.3">
      <c r="A5175">
        <v>73889</v>
      </c>
      <c r="B5175">
        <v>1</v>
      </c>
      <c r="C5175" t="s">
        <v>96</v>
      </c>
      <c r="D5175" t="s">
        <v>97</v>
      </c>
      <c r="E5175" s="1">
        <v>44397</v>
      </c>
      <c r="F5175">
        <v>1</v>
      </c>
      <c r="G5175" t="s">
        <v>51</v>
      </c>
      <c r="H5175" t="s">
        <v>52</v>
      </c>
      <c r="I5175" s="3">
        <v>1272</v>
      </c>
      <c r="J5175" s="3">
        <v>1272</v>
      </c>
      <c r="K5175" s="3">
        <v>397</v>
      </c>
      <c r="L5175" t="s">
        <v>98</v>
      </c>
      <c r="M5175">
        <v>5</v>
      </c>
      <c r="N5175" t="s">
        <v>85</v>
      </c>
      <c r="O5175" t="s">
        <v>81</v>
      </c>
      <c r="P5175" t="s">
        <v>12</v>
      </c>
      <c r="Q5175" t="s">
        <v>13</v>
      </c>
      <c r="R5175" t="s">
        <v>13</v>
      </c>
      <c r="S5175" t="s">
        <v>144</v>
      </c>
      <c r="T5175" s="2">
        <f>MASTER[[#This Row],[CANTIDAD]]*MASTER[[#This Row],[PRECIO DE VENTA]]</f>
        <v>1272</v>
      </c>
      <c r="U5175" s="2">
        <f>MASTER[[#This Row],[CANTIDAD]]*MASTER[[#This Row],[COSTO UNITARIO]]</f>
        <v>397</v>
      </c>
      <c r="V5175" s="2">
        <f>MASTER[[#This Row],[MONTO VENDIDO]]-MASTER[[#This Row],[COSTO DE VENTA]]</f>
        <v>875</v>
      </c>
    </row>
    <row r="5176" spans="1:22" x14ac:dyDescent="0.3">
      <c r="A5176">
        <v>73925</v>
      </c>
      <c r="B5176">
        <v>1</v>
      </c>
      <c r="C5176" t="s">
        <v>92</v>
      </c>
      <c r="D5176" t="s">
        <v>93</v>
      </c>
      <c r="E5176" s="1">
        <v>44397</v>
      </c>
      <c r="F5176">
        <v>1</v>
      </c>
      <c r="G5176" t="s">
        <v>53</v>
      </c>
      <c r="H5176" t="s">
        <v>54</v>
      </c>
      <c r="I5176" s="3">
        <v>1866</v>
      </c>
      <c r="J5176" s="3">
        <v>1866</v>
      </c>
      <c r="K5176" s="3">
        <v>396</v>
      </c>
      <c r="L5176" t="s">
        <v>9</v>
      </c>
      <c r="M5176">
        <v>18</v>
      </c>
      <c r="N5176" t="s">
        <v>79</v>
      </c>
      <c r="O5176" t="s">
        <v>70</v>
      </c>
      <c r="P5176" t="s">
        <v>15</v>
      </c>
      <c r="Q5176" t="s">
        <v>16</v>
      </c>
      <c r="R5176" t="s">
        <v>16</v>
      </c>
      <c r="S5176" t="s">
        <v>144</v>
      </c>
      <c r="T5176" s="2">
        <f>MASTER[[#This Row],[CANTIDAD]]*MASTER[[#This Row],[PRECIO DE VENTA]]</f>
        <v>1866</v>
      </c>
      <c r="U5176" s="2">
        <f>MASTER[[#This Row],[CANTIDAD]]*MASTER[[#This Row],[COSTO UNITARIO]]</f>
        <v>396</v>
      </c>
      <c r="V5176" s="2">
        <f>MASTER[[#This Row],[MONTO VENDIDO]]-MASTER[[#This Row],[COSTO DE VENTA]]</f>
        <v>1470</v>
      </c>
    </row>
    <row r="5177" spans="1:22" x14ac:dyDescent="0.3">
      <c r="A5177">
        <v>73934</v>
      </c>
      <c r="B5177">
        <v>1</v>
      </c>
      <c r="C5177" t="s">
        <v>105</v>
      </c>
      <c r="D5177" t="s">
        <v>106</v>
      </c>
      <c r="E5177" s="1">
        <v>44397</v>
      </c>
      <c r="F5177">
        <v>1</v>
      </c>
      <c r="G5177" t="s">
        <v>49</v>
      </c>
      <c r="H5177" t="s">
        <v>50</v>
      </c>
      <c r="I5177" s="3">
        <v>2033</v>
      </c>
      <c r="J5177" s="3">
        <v>2033</v>
      </c>
      <c r="K5177" s="3">
        <v>459</v>
      </c>
      <c r="L5177" t="s">
        <v>98</v>
      </c>
      <c r="M5177">
        <v>9</v>
      </c>
      <c r="N5177" t="s">
        <v>76</v>
      </c>
      <c r="O5177" t="s">
        <v>70</v>
      </c>
      <c r="P5177" t="s">
        <v>12</v>
      </c>
      <c r="Q5177" t="s">
        <v>13</v>
      </c>
      <c r="R5177" t="s">
        <v>13</v>
      </c>
      <c r="S5177" t="s">
        <v>144</v>
      </c>
      <c r="T5177" s="2">
        <f>MASTER[[#This Row],[CANTIDAD]]*MASTER[[#This Row],[PRECIO DE VENTA]]</f>
        <v>2033</v>
      </c>
      <c r="U5177" s="2">
        <f>MASTER[[#This Row],[CANTIDAD]]*MASTER[[#This Row],[COSTO UNITARIO]]</f>
        <v>459</v>
      </c>
      <c r="V5177" s="2">
        <f>MASTER[[#This Row],[MONTO VENDIDO]]-MASTER[[#This Row],[COSTO DE VENTA]]</f>
        <v>1574</v>
      </c>
    </row>
    <row r="5178" spans="1:22" x14ac:dyDescent="0.3">
      <c r="A5178">
        <v>73951</v>
      </c>
      <c r="B5178">
        <v>1</v>
      </c>
      <c r="C5178" t="s">
        <v>101</v>
      </c>
      <c r="D5178" t="s">
        <v>102</v>
      </c>
      <c r="E5178" s="1">
        <v>44397</v>
      </c>
      <c r="F5178">
        <v>1</v>
      </c>
      <c r="G5178" t="s">
        <v>73</v>
      </c>
      <c r="H5178" t="s">
        <v>74</v>
      </c>
      <c r="I5178" s="3">
        <v>1357</v>
      </c>
      <c r="J5178" s="3">
        <v>1357</v>
      </c>
      <c r="K5178" s="3">
        <v>442</v>
      </c>
      <c r="L5178" t="s">
        <v>98</v>
      </c>
      <c r="M5178">
        <v>1</v>
      </c>
      <c r="N5178" t="s">
        <v>77</v>
      </c>
      <c r="O5178" t="s">
        <v>70</v>
      </c>
      <c r="P5178" t="s">
        <v>71</v>
      </c>
      <c r="Q5178" t="s">
        <v>72</v>
      </c>
      <c r="R5178" t="s">
        <v>139</v>
      </c>
      <c r="S5178" t="s">
        <v>144</v>
      </c>
      <c r="T5178" s="2">
        <f>MASTER[[#This Row],[CANTIDAD]]*MASTER[[#This Row],[PRECIO DE VENTA]]</f>
        <v>1357</v>
      </c>
      <c r="U5178" s="2">
        <f>MASTER[[#This Row],[CANTIDAD]]*MASTER[[#This Row],[COSTO UNITARIO]]</f>
        <v>442</v>
      </c>
      <c r="V5178" s="2">
        <f>MASTER[[#This Row],[MONTO VENDIDO]]-MASTER[[#This Row],[COSTO DE VENTA]]</f>
        <v>915</v>
      </c>
    </row>
    <row r="5179" spans="1:22" x14ac:dyDescent="0.3">
      <c r="A5179">
        <v>73953</v>
      </c>
      <c r="B5179">
        <v>1</v>
      </c>
      <c r="C5179" t="s">
        <v>105</v>
      </c>
      <c r="D5179" t="s">
        <v>106</v>
      </c>
      <c r="E5179" s="1">
        <v>44397</v>
      </c>
      <c r="F5179">
        <v>1</v>
      </c>
      <c r="G5179" t="s">
        <v>67</v>
      </c>
      <c r="H5179" t="s">
        <v>68</v>
      </c>
      <c r="I5179" s="3">
        <v>1585</v>
      </c>
      <c r="J5179" s="3">
        <v>1585</v>
      </c>
      <c r="K5179" s="3">
        <v>459</v>
      </c>
      <c r="L5179" t="s">
        <v>98</v>
      </c>
      <c r="M5179">
        <v>17</v>
      </c>
      <c r="N5179" t="s">
        <v>14</v>
      </c>
      <c r="O5179" t="s">
        <v>11</v>
      </c>
      <c r="P5179" t="s">
        <v>15</v>
      </c>
      <c r="Q5179" t="s">
        <v>16</v>
      </c>
      <c r="R5179" t="s">
        <v>16</v>
      </c>
      <c r="S5179" t="s">
        <v>144</v>
      </c>
      <c r="T5179" s="2">
        <f>MASTER[[#This Row],[CANTIDAD]]*MASTER[[#This Row],[PRECIO DE VENTA]]</f>
        <v>1585</v>
      </c>
      <c r="U5179" s="2">
        <f>MASTER[[#This Row],[CANTIDAD]]*MASTER[[#This Row],[COSTO UNITARIO]]</f>
        <v>459</v>
      </c>
      <c r="V5179" s="2">
        <f>MASTER[[#This Row],[MONTO VENDIDO]]-MASTER[[#This Row],[COSTO DE VENTA]]</f>
        <v>1126</v>
      </c>
    </row>
    <row r="5180" spans="1:22" x14ac:dyDescent="0.3">
      <c r="A5180">
        <v>73959</v>
      </c>
      <c r="B5180">
        <v>1</v>
      </c>
      <c r="C5180" t="s">
        <v>101</v>
      </c>
      <c r="D5180" t="s">
        <v>102</v>
      </c>
      <c r="E5180" s="1">
        <v>44397</v>
      </c>
      <c r="F5180">
        <v>1</v>
      </c>
      <c r="G5180" t="s">
        <v>7</v>
      </c>
      <c r="H5180" t="s">
        <v>8</v>
      </c>
      <c r="I5180" s="3">
        <v>1212</v>
      </c>
      <c r="J5180" s="3">
        <v>1212</v>
      </c>
      <c r="K5180" s="3">
        <v>442</v>
      </c>
      <c r="L5180" t="s">
        <v>98</v>
      </c>
      <c r="M5180">
        <v>2</v>
      </c>
      <c r="N5180" t="s">
        <v>86</v>
      </c>
      <c r="O5180" t="s">
        <v>81</v>
      </c>
      <c r="P5180" t="s">
        <v>71</v>
      </c>
      <c r="Q5180" t="s">
        <v>72</v>
      </c>
      <c r="R5180" t="s">
        <v>139</v>
      </c>
      <c r="S5180" t="s">
        <v>144</v>
      </c>
      <c r="T5180" s="2">
        <f>MASTER[[#This Row],[CANTIDAD]]*MASTER[[#This Row],[PRECIO DE VENTA]]</f>
        <v>1212</v>
      </c>
      <c r="U5180" s="2">
        <f>MASTER[[#This Row],[CANTIDAD]]*MASTER[[#This Row],[COSTO UNITARIO]]</f>
        <v>442</v>
      </c>
      <c r="V5180" s="2">
        <f>MASTER[[#This Row],[MONTO VENDIDO]]-MASTER[[#This Row],[COSTO DE VENTA]]</f>
        <v>770</v>
      </c>
    </row>
    <row r="5181" spans="1:22" x14ac:dyDescent="0.3">
      <c r="A5181">
        <v>73961</v>
      </c>
      <c r="B5181">
        <v>1</v>
      </c>
      <c r="C5181" t="s">
        <v>94</v>
      </c>
      <c r="D5181" t="s">
        <v>95</v>
      </c>
      <c r="E5181" s="1">
        <v>44397</v>
      </c>
      <c r="F5181">
        <v>1</v>
      </c>
      <c r="G5181" t="s">
        <v>24</v>
      </c>
      <c r="H5181" t="s">
        <v>25</v>
      </c>
      <c r="I5181" s="3">
        <v>901</v>
      </c>
      <c r="J5181" s="3">
        <v>901</v>
      </c>
      <c r="K5181" s="3">
        <v>392</v>
      </c>
      <c r="L5181" t="s">
        <v>9</v>
      </c>
      <c r="M5181">
        <v>16</v>
      </c>
      <c r="N5181" t="s">
        <v>17</v>
      </c>
      <c r="O5181" t="s">
        <v>11</v>
      </c>
      <c r="P5181" t="s">
        <v>18</v>
      </c>
      <c r="Q5181" t="s">
        <v>19</v>
      </c>
      <c r="R5181" t="s">
        <v>138</v>
      </c>
      <c r="S5181" t="s">
        <v>144</v>
      </c>
      <c r="T5181" s="2">
        <f>MASTER[[#This Row],[CANTIDAD]]*MASTER[[#This Row],[PRECIO DE VENTA]]</f>
        <v>901</v>
      </c>
      <c r="U5181" s="2">
        <f>MASTER[[#This Row],[CANTIDAD]]*MASTER[[#This Row],[COSTO UNITARIO]]</f>
        <v>392</v>
      </c>
      <c r="V5181" s="2">
        <f>MASTER[[#This Row],[MONTO VENDIDO]]-MASTER[[#This Row],[COSTO DE VENTA]]</f>
        <v>509</v>
      </c>
    </row>
    <row r="5182" spans="1:22" x14ac:dyDescent="0.3">
      <c r="A5182">
        <v>73964</v>
      </c>
      <c r="B5182">
        <v>1</v>
      </c>
      <c r="C5182" t="s">
        <v>101</v>
      </c>
      <c r="D5182" t="s">
        <v>102</v>
      </c>
      <c r="E5182" s="1">
        <v>44397</v>
      </c>
      <c r="F5182">
        <v>1</v>
      </c>
      <c r="G5182" t="s">
        <v>53</v>
      </c>
      <c r="H5182" t="s">
        <v>54</v>
      </c>
      <c r="I5182" s="3">
        <v>1054</v>
      </c>
      <c r="J5182" s="3">
        <v>1054</v>
      </c>
      <c r="K5182" s="3">
        <v>442</v>
      </c>
      <c r="L5182" t="s">
        <v>98</v>
      </c>
      <c r="M5182">
        <v>12</v>
      </c>
      <c r="N5182" t="s">
        <v>26</v>
      </c>
      <c r="O5182" t="s">
        <v>11</v>
      </c>
      <c r="P5182" t="s">
        <v>12</v>
      </c>
      <c r="Q5182" t="s">
        <v>13</v>
      </c>
      <c r="R5182" t="s">
        <v>13</v>
      </c>
      <c r="S5182" t="s">
        <v>144</v>
      </c>
      <c r="T5182" s="2">
        <f>MASTER[[#This Row],[CANTIDAD]]*MASTER[[#This Row],[PRECIO DE VENTA]]</f>
        <v>1054</v>
      </c>
      <c r="U5182" s="2">
        <f>MASTER[[#This Row],[CANTIDAD]]*MASTER[[#This Row],[COSTO UNITARIO]]</f>
        <v>442</v>
      </c>
      <c r="V5182" s="2">
        <f>MASTER[[#This Row],[MONTO VENDIDO]]-MASTER[[#This Row],[COSTO DE VENTA]]</f>
        <v>612</v>
      </c>
    </row>
    <row r="5183" spans="1:22" x14ac:dyDescent="0.3">
      <c r="A5183">
        <v>73967</v>
      </c>
      <c r="B5183">
        <v>1</v>
      </c>
      <c r="C5183" t="s">
        <v>101</v>
      </c>
      <c r="D5183" t="s">
        <v>102</v>
      </c>
      <c r="E5183" s="1">
        <v>44397</v>
      </c>
      <c r="F5183">
        <v>1</v>
      </c>
      <c r="G5183" t="s">
        <v>7</v>
      </c>
      <c r="H5183" t="s">
        <v>8</v>
      </c>
      <c r="I5183" s="3">
        <v>1212</v>
      </c>
      <c r="J5183" s="3">
        <v>1102</v>
      </c>
      <c r="K5183" s="3">
        <v>442</v>
      </c>
      <c r="L5183" t="s">
        <v>98</v>
      </c>
      <c r="M5183">
        <v>5</v>
      </c>
      <c r="N5183" t="s">
        <v>85</v>
      </c>
      <c r="O5183" t="s">
        <v>81</v>
      </c>
      <c r="P5183" t="s">
        <v>12</v>
      </c>
      <c r="Q5183" t="s">
        <v>13</v>
      </c>
      <c r="R5183" t="s">
        <v>13</v>
      </c>
      <c r="S5183" t="s">
        <v>144</v>
      </c>
      <c r="T5183" s="2">
        <f>MASTER[[#This Row],[CANTIDAD]]*MASTER[[#This Row],[PRECIO DE VENTA]]</f>
        <v>1102</v>
      </c>
      <c r="U5183" s="2">
        <f>MASTER[[#This Row],[CANTIDAD]]*MASTER[[#This Row],[COSTO UNITARIO]]</f>
        <v>442</v>
      </c>
      <c r="V5183" s="2">
        <f>MASTER[[#This Row],[MONTO VENDIDO]]-MASTER[[#This Row],[COSTO DE VENTA]]</f>
        <v>660</v>
      </c>
    </row>
    <row r="5184" spans="1:22" x14ac:dyDescent="0.3">
      <c r="A5184">
        <v>73969</v>
      </c>
      <c r="B5184">
        <v>1</v>
      </c>
      <c r="C5184" t="s">
        <v>96</v>
      </c>
      <c r="D5184" t="s">
        <v>97</v>
      </c>
      <c r="E5184" s="1">
        <v>44398</v>
      </c>
      <c r="F5184">
        <v>1</v>
      </c>
      <c r="G5184" t="s">
        <v>61</v>
      </c>
      <c r="H5184" t="s">
        <v>62</v>
      </c>
      <c r="I5184" s="3">
        <v>1196</v>
      </c>
      <c r="J5184" s="3">
        <v>1196</v>
      </c>
      <c r="K5184" s="3">
        <v>397</v>
      </c>
      <c r="L5184" t="s">
        <v>98</v>
      </c>
      <c r="M5184">
        <v>11</v>
      </c>
      <c r="N5184" t="s">
        <v>10</v>
      </c>
      <c r="O5184" t="s">
        <v>11</v>
      </c>
      <c r="P5184" t="s">
        <v>12</v>
      </c>
      <c r="Q5184" t="s">
        <v>13</v>
      </c>
      <c r="R5184" t="s">
        <v>13</v>
      </c>
      <c r="S5184" t="s">
        <v>144</v>
      </c>
      <c r="T5184" s="2">
        <f>MASTER[[#This Row],[CANTIDAD]]*MASTER[[#This Row],[PRECIO DE VENTA]]</f>
        <v>1196</v>
      </c>
      <c r="U5184" s="2">
        <f>MASTER[[#This Row],[CANTIDAD]]*MASTER[[#This Row],[COSTO UNITARIO]]</f>
        <v>397</v>
      </c>
      <c r="V5184" s="2">
        <f>MASTER[[#This Row],[MONTO VENDIDO]]-MASTER[[#This Row],[COSTO DE VENTA]]</f>
        <v>799</v>
      </c>
    </row>
    <row r="5185" spans="1:22" x14ac:dyDescent="0.3">
      <c r="A5185">
        <v>73979</v>
      </c>
      <c r="B5185">
        <v>1</v>
      </c>
      <c r="C5185" t="s">
        <v>114</v>
      </c>
      <c r="D5185" t="s">
        <v>115</v>
      </c>
      <c r="E5185" s="1">
        <v>44398</v>
      </c>
      <c r="F5185">
        <v>1</v>
      </c>
      <c r="G5185" t="s">
        <v>59</v>
      </c>
      <c r="H5185" t="s">
        <v>60</v>
      </c>
      <c r="I5185" s="3">
        <v>2030</v>
      </c>
      <c r="J5185" s="3">
        <v>2030</v>
      </c>
      <c r="K5185" s="3">
        <v>394</v>
      </c>
      <c r="L5185" t="s">
        <v>113</v>
      </c>
      <c r="M5185">
        <v>1</v>
      </c>
      <c r="N5185" t="s">
        <v>77</v>
      </c>
      <c r="O5185" t="s">
        <v>70</v>
      </c>
      <c r="P5185" t="s">
        <v>71</v>
      </c>
      <c r="Q5185" t="s">
        <v>72</v>
      </c>
      <c r="R5185" t="s">
        <v>139</v>
      </c>
      <c r="S5185" t="s">
        <v>144</v>
      </c>
      <c r="T5185" s="2">
        <f>MASTER[[#This Row],[CANTIDAD]]*MASTER[[#This Row],[PRECIO DE VENTA]]</f>
        <v>2030</v>
      </c>
      <c r="U5185" s="2">
        <f>MASTER[[#This Row],[CANTIDAD]]*MASTER[[#This Row],[COSTO UNITARIO]]</f>
        <v>394</v>
      </c>
      <c r="V5185" s="2">
        <f>MASTER[[#This Row],[MONTO VENDIDO]]-MASTER[[#This Row],[COSTO DE VENTA]]</f>
        <v>1636</v>
      </c>
    </row>
    <row r="5186" spans="1:22" x14ac:dyDescent="0.3">
      <c r="A5186">
        <v>73984</v>
      </c>
      <c r="B5186">
        <v>1</v>
      </c>
      <c r="C5186" t="s">
        <v>92</v>
      </c>
      <c r="D5186" t="s">
        <v>93</v>
      </c>
      <c r="E5186" s="1">
        <v>44398</v>
      </c>
      <c r="F5186">
        <v>1</v>
      </c>
      <c r="G5186" t="s">
        <v>37</v>
      </c>
      <c r="H5186" t="s">
        <v>38</v>
      </c>
      <c r="I5186" s="3">
        <v>1866</v>
      </c>
      <c r="J5186" s="3">
        <v>1866</v>
      </c>
      <c r="K5186" s="3">
        <v>396</v>
      </c>
      <c r="L5186" t="s">
        <v>9</v>
      </c>
      <c r="M5186">
        <v>1</v>
      </c>
      <c r="N5186" t="s">
        <v>77</v>
      </c>
      <c r="O5186" t="s">
        <v>70</v>
      </c>
      <c r="P5186" t="s">
        <v>71</v>
      </c>
      <c r="Q5186" t="s">
        <v>72</v>
      </c>
      <c r="R5186" t="s">
        <v>139</v>
      </c>
      <c r="S5186" t="s">
        <v>144</v>
      </c>
      <c r="T5186" s="2">
        <f>MASTER[[#This Row],[CANTIDAD]]*MASTER[[#This Row],[PRECIO DE VENTA]]</f>
        <v>1866</v>
      </c>
      <c r="U5186" s="2">
        <f>MASTER[[#This Row],[CANTIDAD]]*MASTER[[#This Row],[COSTO UNITARIO]]</f>
        <v>396</v>
      </c>
      <c r="V5186" s="2">
        <f>MASTER[[#This Row],[MONTO VENDIDO]]-MASTER[[#This Row],[COSTO DE VENTA]]</f>
        <v>1470</v>
      </c>
    </row>
    <row r="5187" spans="1:22" x14ac:dyDescent="0.3">
      <c r="A5187">
        <v>73991</v>
      </c>
      <c r="B5187">
        <v>1</v>
      </c>
      <c r="C5187" t="s">
        <v>116</v>
      </c>
      <c r="D5187" t="s">
        <v>117</v>
      </c>
      <c r="E5187" s="1">
        <v>44398</v>
      </c>
      <c r="F5187">
        <v>1</v>
      </c>
      <c r="G5187" t="s">
        <v>59</v>
      </c>
      <c r="H5187" t="s">
        <v>60</v>
      </c>
      <c r="I5187" s="3">
        <v>1738</v>
      </c>
      <c r="J5187" s="3">
        <v>1738</v>
      </c>
      <c r="K5187" s="3">
        <v>388</v>
      </c>
      <c r="L5187" t="s">
        <v>113</v>
      </c>
      <c r="M5187">
        <v>2</v>
      </c>
      <c r="N5187" t="s">
        <v>86</v>
      </c>
      <c r="O5187" t="s">
        <v>81</v>
      </c>
      <c r="P5187" t="s">
        <v>71</v>
      </c>
      <c r="Q5187" t="s">
        <v>72</v>
      </c>
      <c r="R5187" t="s">
        <v>139</v>
      </c>
      <c r="S5187" t="s">
        <v>144</v>
      </c>
      <c r="T5187" s="2">
        <f>MASTER[[#This Row],[CANTIDAD]]*MASTER[[#This Row],[PRECIO DE VENTA]]</f>
        <v>1738</v>
      </c>
      <c r="U5187" s="2">
        <f>MASTER[[#This Row],[CANTIDAD]]*MASTER[[#This Row],[COSTO UNITARIO]]</f>
        <v>388</v>
      </c>
      <c r="V5187" s="2">
        <f>MASTER[[#This Row],[MONTO VENDIDO]]-MASTER[[#This Row],[COSTO DE VENTA]]</f>
        <v>1350</v>
      </c>
    </row>
    <row r="5188" spans="1:22" x14ac:dyDescent="0.3">
      <c r="A5188">
        <v>73992</v>
      </c>
      <c r="B5188">
        <v>1</v>
      </c>
      <c r="C5188" t="s">
        <v>109</v>
      </c>
      <c r="D5188" t="s">
        <v>110</v>
      </c>
      <c r="E5188" s="1">
        <v>44398</v>
      </c>
      <c r="F5188">
        <v>1</v>
      </c>
      <c r="G5188" t="s">
        <v>51</v>
      </c>
      <c r="H5188" t="s">
        <v>52</v>
      </c>
      <c r="I5188" s="3">
        <v>947</v>
      </c>
      <c r="J5188" s="3">
        <v>947</v>
      </c>
      <c r="K5188" s="3">
        <v>387</v>
      </c>
      <c r="L5188" t="s">
        <v>98</v>
      </c>
      <c r="M5188">
        <v>12</v>
      </c>
      <c r="N5188" t="s">
        <v>26</v>
      </c>
      <c r="O5188" t="s">
        <v>11</v>
      </c>
      <c r="P5188" t="s">
        <v>12</v>
      </c>
      <c r="Q5188" t="s">
        <v>13</v>
      </c>
      <c r="R5188" t="s">
        <v>13</v>
      </c>
      <c r="S5188" t="s">
        <v>144</v>
      </c>
      <c r="T5188" s="2">
        <f>MASTER[[#This Row],[CANTIDAD]]*MASTER[[#This Row],[PRECIO DE VENTA]]</f>
        <v>947</v>
      </c>
      <c r="U5188" s="2">
        <f>MASTER[[#This Row],[CANTIDAD]]*MASTER[[#This Row],[COSTO UNITARIO]]</f>
        <v>387</v>
      </c>
      <c r="V5188" s="2">
        <f>MASTER[[#This Row],[MONTO VENDIDO]]-MASTER[[#This Row],[COSTO DE VENTA]]</f>
        <v>560</v>
      </c>
    </row>
    <row r="5189" spans="1:22" x14ac:dyDescent="0.3">
      <c r="A5189">
        <v>73994</v>
      </c>
      <c r="B5189">
        <v>1</v>
      </c>
      <c r="C5189" t="s">
        <v>103</v>
      </c>
      <c r="D5189" t="s">
        <v>104</v>
      </c>
      <c r="E5189" s="1">
        <v>44398</v>
      </c>
      <c r="F5189">
        <v>1</v>
      </c>
      <c r="G5189" t="s">
        <v>53</v>
      </c>
      <c r="H5189" t="s">
        <v>54</v>
      </c>
      <c r="I5189" s="3">
        <v>1591</v>
      </c>
      <c r="J5189" s="3">
        <v>1591</v>
      </c>
      <c r="K5189" s="3">
        <v>421</v>
      </c>
      <c r="L5189" t="s">
        <v>98</v>
      </c>
      <c r="M5189">
        <v>15</v>
      </c>
      <c r="N5189" t="s">
        <v>88</v>
      </c>
      <c r="O5189" t="s">
        <v>81</v>
      </c>
      <c r="P5189" t="s">
        <v>18</v>
      </c>
      <c r="Q5189" t="s">
        <v>19</v>
      </c>
      <c r="R5189" t="s">
        <v>138</v>
      </c>
      <c r="S5189" t="s">
        <v>144</v>
      </c>
      <c r="T5189" s="2">
        <f>MASTER[[#This Row],[CANTIDAD]]*MASTER[[#This Row],[PRECIO DE VENTA]]</f>
        <v>1591</v>
      </c>
      <c r="U5189" s="2">
        <f>MASTER[[#This Row],[CANTIDAD]]*MASTER[[#This Row],[COSTO UNITARIO]]</f>
        <v>421</v>
      </c>
      <c r="V5189" s="2">
        <f>MASTER[[#This Row],[MONTO VENDIDO]]-MASTER[[#This Row],[COSTO DE VENTA]]</f>
        <v>1170</v>
      </c>
    </row>
    <row r="5190" spans="1:22" x14ac:dyDescent="0.3">
      <c r="A5190">
        <v>74021</v>
      </c>
      <c r="B5190">
        <v>1</v>
      </c>
      <c r="C5190" t="s">
        <v>94</v>
      </c>
      <c r="D5190" t="s">
        <v>95</v>
      </c>
      <c r="E5190" s="1">
        <v>44398</v>
      </c>
      <c r="F5190">
        <v>1</v>
      </c>
      <c r="G5190" t="s">
        <v>35</v>
      </c>
      <c r="H5190" t="s">
        <v>36</v>
      </c>
      <c r="I5190" s="3">
        <v>1153</v>
      </c>
      <c r="J5190" s="3">
        <v>1153</v>
      </c>
      <c r="K5190" s="3">
        <v>392</v>
      </c>
      <c r="L5190" t="s">
        <v>9</v>
      </c>
      <c r="M5190">
        <v>9</v>
      </c>
      <c r="N5190" t="s">
        <v>76</v>
      </c>
      <c r="O5190" t="s">
        <v>70</v>
      </c>
      <c r="P5190" t="s">
        <v>12</v>
      </c>
      <c r="Q5190" t="s">
        <v>13</v>
      </c>
      <c r="R5190" t="s">
        <v>13</v>
      </c>
      <c r="S5190" t="s">
        <v>144</v>
      </c>
      <c r="T5190" s="2">
        <f>MASTER[[#This Row],[CANTIDAD]]*MASTER[[#This Row],[PRECIO DE VENTA]]</f>
        <v>1153</v>
      </c>
      <c r="U5190" s="2">
        <f>MASTER[[#This Row],[CANTIDAD]]*MASTER[[#This Row],[COSTO UNITARIO]]</f>
        <v>392</v>
      </c>
      <c r="V5190" s="2">
        <f>MASTER[[#This Row],[MONTO VENDIDO]]-MASTER[[#This Row],[COSTO DE VENTA]]</f>
        <v>761</v>
      </c>
    </row>
    <row r="5191" spans="1:22" x14ac:dyDescent="0.3">
      <c r="A5191">
        <v>74042</v>
      </c>
      <c r="B5191">
        <v>1</v>
      </c>
      <c r="C5191" t="s">
        <v>107</v>
      </c>
      <c r="D5191" t="s">
        <v>108</v>
      </c>
      <c r="E5191" s="1">
        <v>44398</v>
      </c>
      <c r="F5191">
        <v>1</v>
      </c>
      <c r="G5191" t="s">
        <v>61</v>
      </c>
      <c r="H5191" t="s">
        <v>62</v>
      </c>
      <c r="I5191" s="3">
        <v>1440</v>
      </c>
      <c r="J5191" s="3">
        <v>1440</v>
      </c>
      <c r="K5191" s="3">
        <v>380</v>
      </c>
      <c r="L5191" t="s">
        <v>98</v>
      </c>
      <c r="M5191">
        <v>1</v>
      </c>
      <c r="N5191" t="s">
        <v>77</v>
      </c>
      <c r="O5191" t="s">
        <v>70</v>
      </c>
      <c r="P5191" t="s">
        <v>71</v>
      </c>
      <c r="Q5191" t="s">
        <v>72</v>
      </c>
      <c r="R5191" t="s">
        <v>139</v>
      </c>
      <c r="S5191" t="s">
        <v>144</v>
      </c>
      <c r="T5191" s="2">
        <f>MASTER[[#This Row],[CANTIDAD]]*MASTER[[#This Row],[PRECIO DE VENTA]]</f>
        <v>1440</v>
      </c>
      <c r="U5191" s="2">
        <f>MASTER[[#This Row],[CANTIDAD]]*MASTER[[#This Row],[COSTO UNITARIO]]</f>
        <v>380</v>
      </c>
      <c r="V5191" s="2">
        <f>MASTER[[#This Row],[MONTO VENDIDO]]-MASTER[[#This Row],[COSTO DE VENTA]]</f>
        <v>1060</v>
      </c>
    </row>
    <row r="5192" spans="1:22" x14ac:dyDescent="0.3">
      <c r="A5192">
        <v>74052</v>
      </c>
      <c r="B5192">
        <v>1</v>
      </c>
      <c r="C5192" t="s">
        <v>101</v>
      </c>
      <c r="D5192" t="s">
        <v>102</v>
      </c>
      <c r="E5192" s="1">
        <v>44398</v>
      </c>
      <c r="F5192">
        <v>4</v>
      </c>
      <c r="G5192" t="s">
        <v>59</v>
      </c>
      <c r="H5192" t="s">
        <v>60</v>
      </c>
      <c r="I5192" s="3">
        <v>1054</v>
      </c>
      <c r="J5192" s="3">
        <v>1054</v>
      </c>
      <c r="K5192" s="3">
        <v>442</v>
      </c>
      <c r="L5192" t="s">
        <v>98</v>
      </c>
      <c r="M5192">
        <v>17</v>
      </c>
      <c r="N5192" t="s">
        <v>14</v>
      </c>
      <c r="O5192" t="s">
        <v>11</v>
      </c>
      <c r="P5192" t="s">
        <v>15</v>
      </c>
      <c r="Q5192" t="s">
        <v>16</v>
      </c>
      <c r="R5192" t="s">
        <v>16</v>
      </c>
      <c r="S5192" t="s">
        <v>144</v>
      </c>
      <c r="T5192" s="2">
        <f>MASTER[[#This Row],[CANTIDAD]]*MASTER[[#This Row],[PRECIO DE VENTA]]</f>
        <v>4216</v>
      </c>
      <c r="U5192" s="2">
        <f>MASTER[[#This Row],[CANTIDAD]]*MASTER[[#This Row],[COSTO UNITARIO]]</f>
        <v>1768</v>
      </c>
      <c r="V5192" s="2">
        <f>MASTER[[#This Row],[MONTO VENDIDO]]-MASTER[[#This Row],[COSTO DE VENTA]]</f>
        <v>2448</v>
      </c>
    </row>
    <row r="5193" spans="1:22" x14ac:dyDescent="0.3">
      <c r="A5193">
        <v>74062</v>
      </c>
      <c r="B5193">
        <v>1</v>
      </c>
      <c r="C5193" t="s">
        <v>94</v>
      </c>
      <c r="D5193" t="s">
        <v>95</v>
      </c>
      <c r="E5193" s="1">
        <v>44398</v>
      </c>
      <c r="F5193">
        <v>1</v>
      </c>
      <c r="G5193" t="s">
        <v>45</v>
      </c>
      <c r="H5193" t="s">
        <v>46</v>
      </c>
      <c r="I5193" s="3">
        <v>1153</v>
      </c>
      <c r="J5193" s="3">
        <v>1153</v>
      </c>
      <c r="K5193" s="3">
        <v>392</v>
      </c>
      <c r="L5193" t="s">
        <v>9</v>
      </c>
      <c r="M5193">
        <v>3</v>
      </c>
      <c r="N5193" t="s">
        <v>69</v>
      </c>
      <c r="O5193" t="s">
        <v>70</v>
      </c>
      <c r="P5193" t="s">
        <v>71</v>
      </c>
      <c r="Q5193" t="s">
        <v>72</v>
      </c>
      <c r="R5193" t="s">
        <v>139</v>
      </c>
      <c r="S5193" t="s">
        <v>144</v>
      </c>
      <c r="T5193" s="2">
        <f>MASTER[[#This Row],[CANTIDAD]]*MASTER[[#This Row],[PRECIO DE VENTA]]</f>
        <v>1153</v>
      </c>
      <c r="U5193" s="2">
        <f>MASTER[[#This Row],[CANTIDAD]]*MASTER[[#This Row],[COSTO UNITARIO]]</f>
        <v>392</v>
      </c>
      <c r="V5193" s="2">
        <f>MASTER[[#This Row],[MONTO VENDIDO]]-MASTER[[#This Row],[COSTO DE VENTA]]</f>
        <v>761</v>
      </c>
    </row>
    <row r="5194" spans="1:22" x14ac:dyDescent="0.3">
      <c r="A5194">
        <v>74067</v>
      </c>
      <c r="B5194">
        <v>1</v>
      </c>
      <c r="C5194" t="s">
        <v>107</v>
      </c>
      <c r="D5194" t="s">
        <v>108</v>
      </c>
      <c r="E5194" s="1">
        <v>44398</v>
      </c>
      <c r="F5194">
        <v>1</v>
      </c>
      <c r="G5194" t="s">
        <v>47</v>
      </c>
      <c r="H5194" t="s">
        <v>48</v>
      </c>
      <c r="I5194" s="3">
        <v>1240</v>
      </c>
      <c r="J5194" s="3">
        <v>1240</v>
      </c>
      <c r="K5194" s="3">
        <v>380</v>
      </c>
      <c r="L5194" t="s">
        <v>98</v>
      </c>
      <c r="M5194">
        <v>12</v>
      </c>
      <c r="N5194" t="s">
        <v>26</v>
      </c>
      <c r="O5194" t="s">
        <v>11</v>
      </c>
      <c r="P5194" t="s">
        <v>12</v>
      </c>
      <c r="Q5194" t="s">
        <v>13</v>
      </c>
      <c r="R5194" t="s">
        <v>13</v>
      </c>
      <c r="S5194" t="s">
        <v>144</v>
      </c>
      <c r="T5194" s="2">
        <f>MASTER[[#This Row],[CANTIDAD]]*MASTER[[#This Row],[PRECIO DE VENTA]]</f>
        <v>1240</v>
      </c>
      <c r="U5194" s="2">
        <f>MASTER[[#This Row],[CANTIDAD]]*MASTER[[#This Row],[COSTO UNITARIO]]</f>
        <v>380</v>
      </c>
      <c r="V5194" s="2">
        <f>MASTER[[#This Row],[MONTO VENDIDO]]-MASTER[[#This Row],[COSTO DE VENTA]]</f>
        <v>860</v>
      </c>
    </row>
    <row r="5195" spans="1:22" x14ac:dyDescent="0.3">
      <c r="A5195">
        <v>74073</v>
      </c>
      <c r="B5195">
        <v>1</v>
      </c>
      <c r="C5195" t="s">
        <v>116</v>
      </c>
      <c r="D5195" t="s">
        <v>117</v>
      </c>
      <c r="E5195" s="1">
        <v>44398</v>
      </c>
      <c r="F5195">
        <v>1</v>
      </c>
      <c r="G5195" t="s">
        <v>27</v>
      </c>
      <c r="H5195" t="s">
        <v>28</v>
      </c>
      <c r="I5195" s="3">
        <v>1999</v>
      </c>
      <c r="J5195" s="3">
        <v>1999</v>
      </c>
      <c r="K5195" s="3">
        <v>388</v>
      </c>
      <c r="L5195" t="s">
        <v>113</v>
      </c>
      <c r="M5195">
        <v>1</v>
      </c>
      <c r="N5195" t="s">
        <v>77</v>
      </c>
      <c r="O5195" t="s">
        <v>70</v>
      </c>
      <c r="P5195" t="s">
        <v>71</v>
      </c>
      <c r="Q5195" t="s">
        <v>72</v>
      </c>
      <c r="R5195" t="s">
        <v>139</v>
      </c>
      <c r="S5195" t="s">
        <v>144</v>
      </c>
      <c r="T5195" s="2">
        <f>MASTER[[#This Row],[CANTIDAD]]*MASTER[[#This Row],[PRECIO DE VENTA]]</f>
        <v>1999</v>
      </c>
      <c r="U5195" s="2">
        <f>MASTER[[#This Row],[CANTIDAD]]*MASTER[[#This Row],[COSTO UNITARIO]]</f>
        <v>388</v>
      </c>
      <c r="V5195" s="2">
        <f>MASTER[[#This Row],[MONTO VENDIDO]]-MASTER[[#This Row],[COSTO DE VENTA]]</f>
        <v>1611</v>
      </c>
    </row>
    <row r="5196" spans="1:22" x14ac:dyDescent="0.3">
      <c r="A5196">
        <v>74104</v>
      </c>
      <c r="B5196">
        <v>1</v>
      </c>
      <c r="C5196" t="s">
        <v>96</v>
      </c>
      <c r="D5196" t="s">
        <v>97</v>
      </c>
      <c r="E5196" s="1">
        <v>44398</v>
      </c>
      <c r="F5196">
        <v>1</v>
      </c>
      <c r="G5196" t="s">
        <v>39</v>
      </c>
      <c r="H5196" t="s">
        <v>40</v>
      </c>
      <c r="I5196" s="3">
        <v>1196</v>
      </c>
      <c r="J5196" s="3">
        <v>1196</v>
      </c>
      <c r="K5196" s="3">
        <v>397</v>
      </c>
      <c r="L5196" t="s">
        <v>98</v>
      </c>
      <c r="M5196">
        <v>16</v>
      </c>
      <c r="N5196" t="s">
        <v>17</v>
      </c>
      <c r="O5196" t="s">
        <v>11</v>
      </c>
      <c r="P5196" t="s">
        <v>18</v>
      </c>
      <c r="Q5196" t="s">
        <v>19</v>
      </c>
      <c r="R5196" t="s">
        <v>138</v>
      </c>
      <c r="S5196" t="s">
        <v>144</v>
      </c>
      <c r="T5196" s="2">
        <f>MASTER[[#This Row],[CANTIDAD]]*MASTER[[#This Row],[PRECIO DE VENTA]]</f>
        <v>1196</v>
      </c>
      <c r="U5196" s="2">
        <f>MASTER[[#This Row],[CANTIDAD]]*MASTER[[#This Row],[COSTO UNITARIO]]</f>
        <v>397</v>
      </c>
      <c r="V5196" s="2">
        <f>MASTER[[#This Row],[MONTO VENDIDO]]-MASTER[[#This Row],[COSTO DE VENTA]]</f>
        <v>799</v>
      </c>
    </row>
    <row r="5197" spans="1:22" x14ac:dyDescent="0.3">
      <c r="A5197">
        <v>74108</v>
      </c>
      <c r="B5197">
        <v>1</v>
      </c>
      <c r="C5197" t="s">
        <v>121</v>
      </c>
      <c r="D5197" t="s">
        <v>122</v>
      </c>
      <c r="E5197" s="1">
        <v>44398</v>
      </c>
      <c r="F5197">
        <v>1</v>
      </c>
      <c r="G5197" t="s">
        <v>29</v>
      </c>
      <c r="H5197" t="s">
        <v>30</v>
      </c>
      <c r="I5197" s="3">
        <v>1069</v>
      </c>
      <c r="J5197" s="3">
        <v>1069</v>
      </c>
      <c r="K5197" s="3">
        <v>460</v>
      </c>
      <c r="L5197" t="s">
        <v>120</v>
      </c>
      <c r="M5197">
        <v>7</v>
      </c>
      <c r="N5197" t="s">
        <v>84</v>
      </c>
      <c r="O5197" t="s">
        <v>81</v>
      </c>
      <c r="P5197" t="s">
        <v>12</v>
      </c>
      <c r="Q5197" t="s">
        <v>13</v>
      </c>
      <c r="R5197" t="s">
        <v>13</v>
      </c>
      <c r="S5197" t="s">
        <v>144</v>
      </c>
      <c r="T5197" s="2">
        <f>MASTER[[#This Row],[CANTIDAD]]*MASTER[[#This Row],[PRECIO DE VENTA]]</f>
        <v>1069</v>
      </c>
      <c r="U5197" s="2">
        <f>MASTER[[#This Row],[CANTIDAD]]*MASTER[[#This Row],[COSTO UNITARIO]]</f>
        <v>460</v>
      </c>
      <c r="V5197" s="2">
        <f>MASTER[[#This Row],[MONTO VENDIDO]]-MASTER[[#This Row],[COSTO DE VENTA]]</f>
        <v>609</v>
      </c>
    </row>
    <row r="5198" spans="1:22" x14ac:dyDescent="0.3">
      <c r="A5198">
        <v>74111</v>
      </c>
      <c r="B5198">
        <v>1</v>
      </c>
      <c r="C5198" t="s">
        <v>90</v>
      </c>
      <c r="D5198" t="s">
        <v>91</v>
      </c>
      <c r="E5198" s="1">
        <v>44398</v>
      </c>
      <c r="F5198">
        <v>1</v>
      </c>
      <c r="G5198" t="s">
        <v>55</v>
      </c>
      <c r="H5198" t="s">
        <v>56</v>
      </c>
      <c r="I5198" s="3">
        <v>2102</v>
      </c>
      <c r="J5198" s="3">
        <v>2102</v>
      </c>
      <c r="K5198" s="3">
        <v>420</v>
      </c>
      <c r="L5198" t="s">
        <v>9</v>
      </c>
      <c r="M5198">
        <v>1</v>
      </c>
      <c r="N5198" t="s">
        <v>77</v>
      </c>
      <c r="O5198" t="s">
        <v>70</v>
      </c>
      <c r="P5198" t="s">
        <v>71</v>
      </c>
      <c r="Q5198" t="s">
        <v>72</v>
      </c>
      <c r="R5198" t="s">
        <v>139</v>
      </c>
      <c r="S5198" t="s">
        <v>144</v>
      </c>
      <c r="T5198" s="2">
        <f>MASTER[[#This Row],[CANTIDAD]]*MASTER[[#This Row],[PRECIO DE VENTA]]</f>
        <v>2102</v>
      </c>
      <c r="U5198" s="2">
        <f>MASTER[[#This Row],[CANTIDAD]]*MASTER[[#This Row],[COSTO UNITARIO]]</f>
        <v>420</v>
      </c>
      <c r="V5198" s="2">
        <f>MASTER[[#This Row],[MONTO VENDIDO]]-MASTER[[#This Row],[COSTO DE VENTA]]</f>
        <v>1682</v>
      </c>
    </row>
    <row r="5199" spans="1:22" x14ac:dyDescent="0.3">
      <c r="A5199">
        <v>74121</v>
      </c>
      <c r="B5199">
        <v>1</v>
      </c>
      <c r="C5199" t="s">
        <v>103</v>
      </c>
      <c r="D5199" t="s">
        <v>104</v>
      </c>
      <c r="E5199" s="1">
        <v>44399</v>
      </c>
      <c r="F5199">
        <v>1</v>
      </c>
      <c r="G5199" t="s">
        <v>59</v>
      </c>
      <c r="H5199" t="s">
        <v>60</v>
      </c>
      <c r="I5199" s="3">
        <v>1448</v>
      </c>
      <c r="J5199" s="3">
        <v>1448</v>
      </c>
      <c r="K5199" s="3">
        <v>421</v>
      </c>
      <c r="L5199" t="s">
        <v>98</v>
      </c>
      <c r="M5199">
        <v>16</v>
      </c>
      <c r="N5199" t="s">
        <v>17</v>
      </c>
      <c r="O5199" t="s">
        <v>11</v>
      </c>
      <c r="P5199" t="s">
        <v>18</v>
      </c>
      <c r="Q5199" t="s">
        <v>19</v>
      </c>
      <c r="R5199" t="s">
        <v>138</v>
      </c>
      <c r="S5199" t="s">
        <v>144</v>
      </c>
      <c r="T5199" s="2">
        <f>MASTER[[#This Row],[CANTIDAD]]*MASTER[[#This Row],[PRECIO DE VENTA]]</f>
        <v>1448</v>
      </c>
      <c r="U5199" s="2">
        <f>MASTER[[#This Row],[CANTIDAD]]*MASTER[[#This Row],[COSTO UNITARIO]]</f>
        <v>421</v>
      </c>
      <c r="V5199" s="2">
        <f>MASTER[[#This Row],[MONTO VENDIDO]]-MASTER[[#This Row],[COSTO DE VENTA]]</f>
        <v>1027</v>
      </c>
    </row>
    <row r="5200" spans="1:22" x14ac:dyDescent="0.3">
      <c r="A5200">
        <v>74136</v>
      </c>
      <c r="B5200">
        <v>1</v>
      </c>
      <c r="C5200" t="s">
        <v>92</v>
      </c>
      <c r="D5200" t="s">
        <v>93</v>
      </c>
      <c r="E5200" s="1">
        <v>44399</v>
      </c>
      <c r="F5200">
        <v>3</v>
      </c>
      <c r="G5200" t="s">
        <v>35</v>
      </c>
      <c r="H5200" t="s">
        <v>36</v>
      </c>
      <c r="I5200" s="3">
        <v>1681</v>
      </c>
      <c r="J5200" s="3">
        <v>1681</v>
      </c>
      <c r="K5200" s="3">
        <v>396</v>
      </c>
      <c r="L5200" t="s">
        <v>9</v>
      </c>
      <c r="M5200">
        <v>19</v>
      </c>
      <c r="N5200" t="s">
        <v>89</v>
      </c>
      <c r="O5200" t="s">
        <v>81</v>
      </c>
      <c r="P5200" t="s">
        <v>15</v>
      </c>
      <c r="Q5200" t="s">
        <v>16</v>
      </c>
      <c r="R5200" t="s">
        <v>16</v>
      </c>
      <c r="S5200" t="s">
        <v>144</v>
      </c>
      <c r="T5200" s="2">
        <f>MASTER[[#This Row],[CANTIDAD]]*MASTER[[#This Row],[PRECIO DE VENTA]]</f>
        <v>5043</v>
      </c>
      <c r="U5200" s="2">
        <f>MASTER[[#This Row],[CANTIDAD]]*MASTER[[#This Row],[COSTO UNITARIO]]</f>
        <v>1188</v>
      </c>
      <c r="V5200" s="2">
        <f>MASTER[[#This Row],[MONTO VENDIDO]]-MASTER[[#This Row],[COSTO DE VENTA]]</f>
        <v>3855</v>
      </c>
    </row>
    <row r="5201" spans="1:22" x14ac:dyDescent="0.3">
      <c r="A5201">
        <v>74147</v>
      </c>
      <c r="B5201">
        <v>1</v>
      </c>
      <c r="C5201" t="s">
        <v>121</v>
      </c>
      <c r="D5201" t="s">
        <v>122</v>
      </c>
      <c r="E5201" s="1">
        <v>44399</v>
      </c>
      <c r="F5201">
        <v>1</v>
      </c>
      <c r="G5201" t="s">
        <v>59</v>
      </c>
      <c r="H5201" t="s">
        <v>60</v>
      </c>
      <c r="I5201" s="3">
        <v>1144</v>
      </c>
      <c r="J5201" s="3">
        <v>1144</v>
      </c>
      <c r="K5201" s="3">
        <v>460</v>
      </c>
      <c r="L5201" t="s">
        <v>120</v>
      </c>
      <c r="M5201">
        <v>13</v>
      </c>
      <c r="N5201" t="s">
        <v>78</v>
      </c>
      <c r="O5201" t="s">
        <v>70</v>
      </c>
      <c r="P5201" t="s">
        <v>18</v>
      </c>
      <c r="Q5201" t="s">
        <v>19</v>
      </c>
      <c r="R5201" t="s">
        <v>138</v>
      </c>
      <c r="S5201" t="s">
        <v>144</v>
      </c>
      <c r="T5201" s="2">
        <f>MASTER[[#This Row],[CANTIDAD]]*MASTER[[#This Row],[PRECIO DE VENTA]]</f>
        <v>1144</v>
      </c>
      <c r="U5201" s="2">
        <f>MASTER[[#This Row],[CANTIDAD]]*MASTER[[#This Row],[COSTO UNITARIO]]</f>
        <v>460</v>
      </c>
      <c r="V5201" s="2">
        <f>MASTER[[#This Row],[MONTO VENDIDO]]-MASTER[[#This Row],[COSTO DE VENTA]]</f>
        <v>684</v>
      </c>
    </row>
    <row r="5202" spans="1:22" x14ac:dyDescent="0.3">
      <c r="A5202">
        <v>74149</v>
      </c>
      <c r="B5202">
        <v>1</v>
      </c>
      <c r="C5202" t="s">
        <v>103</v>
      </c>
      <c r="D5202" t="s">
        <v>104</v>
      </c>
      <c r="E5202" s="1">
        <v>44399</v>
      </c>
      <c r="F5202">
        <v>1</v>
      </c>
      <c r="G5202" t="s">
        <v>24</v>
      </c>
      <c r="H5202" t="s">
        <v>25</v>
      </c>
      <c r="I5202" s="3">
        <v>1830</v>
      </c>
      <c r="J5202" s="3">
        <v>1830</v>
      </c>
      <c r="K5202" s="3">
        <v>421</v>
      </c>
      <c r="L5202" t="s">
        <v>98</v>
      </c>
      <c r="M5202">
        <v>9</v>
      </c>
      <c r="N5202" t="s">
        <v>76</v>
      </c>
      <c r="O5202" t="s">
        <v>70</v>
      </c>
      <c r="P5202" t="s">
        <v>12</v>
      </c>
      <c r="Q5202" t="s">
        <v>13</v>
      </c>
      <c r="R5202" t="s">
        <v>13</v>
      </c>
      <c r="S5202" t="s">
        <v>144</v>
      </c>
      <c r="T5202" s="2">
        <f>MASTER[[#This Row],[CANTIDAD]]*MASTER[[#This Row],[PRECIO DE VENTA]]</f>
        <v>1830</v>
      </c>
      <c r="U5202" s="2">
        <f>MASTER[[#This Row],[CANTIDAD]]*MASTER[[#This Row],[COSTO UNITARIO]]</f>
        <v>421</v>
      </c>
      <c r="V5202" s="2">
        <f>MASTER[[#This Row],[MONTO VENDIDO]]-MASTER[[#This Row],[COSTO DE VENTA]]</f>
        <v>1409</v>
      </c>
    </row>
    <row r="5203" spans="1:22" x14ac:dyDescent="0.3">
      <c r="A5203">
        <v>74172</v>
      </c>
      <c r="B5203">
        <v>1</v>
      </c>
      <c r="C5203" t="s">
        <v>99</v>
      </c>
      <c r="D5203" t="s">
        <v>100</v>
      </c>
      <c r="E5203" s="1">
        <v>44399</v>
      </c>
      <c r="F5203">
        <v>1</v>
      </c>
      <c r="G5203" t="s">
        <v>33</v>
      </c>
      <c r="H5203" t="s">
        <v>34</v>
      </c>
      <c r="I5203" s="3">
        <v>1678</v>
      </c>
      <c r="J5203" s="3">
        <v>1678</v>
      </c>
      <c r="K5203" s="3">
        <v>386</v>
      </c>
      <c r="L5203" t="s">
        <v>98</v>
      </c>
      <c r="M5203">
        <v>1</v>
      </c>
      <c r="N5203" t="s">
        <v>77</v>
      </c>
      <c r="O5203" t="s">
        <v>70</v>
      </c>
      <c r="P5203" t="s">
        <v>71</v>
      </c>
      <c r="Q5203" t="s">
        <v>72</v>
      </c>
      <c r="R5203" t="s">
        <v>139</v>
      </c>
      <c r="S5203" t="s">
        <v>144</v>
      </c>
      <c r="T5203" s="2">
        <f>MASTER[[#This Row],[CANTIDAD]]*MASTER[[#This Row],[PRECIO DE VENTA]]</f>
        <v>1678</v>
      </c>
      <c r="U5203" s="2">
        <f>MASTER[[#This Row],[CANTIDAD]]*MASTER[[#This Row],[COSTO UNITARIO]]</f>
        <v>386</v>
      </c>
      <c r="V5203" s="2">
        <f>MASTER[[#This Row],[MONTO VENDIDO]]-MASTER[[#This Row],[COSTO DE VENTA]]</f>
        <v>1292</v>
      </c>
    </row>
    <row r="5204" spans="1:22" x14ac:dyDescent="0.3">
      <c r="A5204">
        <v>74190</v>
      </c>
      <c r="B5204">
        <v>1</v>
      </c>
      <c r="C5204" t="s">
        <v>5</v>
      </c>
      <c r="D5204" t="s">
        <v>6</v>
      </c>
      <c r="E5204" s="1">
        <v>44399</v>
      </c>
      <c r="F5204">
        <v>1</v>
      </c>
      <c r="G5204" t="s">
        <v>31</v>
      </c>
      <c r="H5204" t="s">
        <v>32</v>
      </c>
      <c r="I5204" s="3">
        <v>1507</v>
      </c>
      <c r="J5204" s="3">
        <v>1507</v>
      </c>
      <c r="K5204" s="3">
        <v>393</v>
      </c>
      <c r="L5204" t="s">
        <v>9</v>
      </c>
      <c r="M5204">
        <v>5</v>
      </c>
      <c r="N5204" t="s">
        <v>85</v>
      </c>
      <c r="O5204" t="s">
        <v>81</v>
      </c>
      <c r="P5204" t="s">
        <v>12</v>
      </c>
      <c r="Q5204" t="s">
        <v>13</v>
      </c>
      <c r="R5204" t="s">
        <v>13</v>
      </c>
      <c r="S5204" t="s">
        <v>144</v>
      </c>
      <c r="T5204" s="2">
        <f>MASTER[[#This Row],[CANTIDAD]]*MASTER[[#This Row],[PRECIO DE VENTA]]</f>
        <v>1507</v>
      </c>
      <c r="U5204" s="2">
        <f>MASTER[[#This Row],[CANTIDAD]]*MASTER[[#This Row],[COSTO UNITARIO]]</f>
        <v>393</v>
      </c>
      <c r="V5204" s="2">
        <f>MASTER[[#This Row],[MONTO VENDIDO]]-MASTER[[#This Row],[COSTO DE VENTA]]</f>
        <v>1114</v>
      </c>
    </row>
    <row r="5205" spans="1:22" x14ac:dyDescent="0.3">
      <c r="A5205">
        <v>74193</v>
      </c>
      <c r="B5205">
        <v>1</v>
      </c>
      <c r="C5205" t="s">
        <v>118</v>
      </c>
      <c r="D5205" t="s">
        <v>119</v>
      </c>
      <c r="E5205" s="1">
        <v>44399</v>
      </c>
      <c r="F5205">
        <v>1</v>
      </c>
      <c r="G5205" t="s">
        <v>63</v>
      </c>
      <c r="H5205" t="s">
        <v>64</v>
      </c>
      <c r="I5205" s="3">
        <v>900</v>
      </c>
      <c r="J5205" s="3">
        <v>900</v>
      </c>
      <c r="K5205" s="3">
        <v>424</v>
      </c>
      <c r="L5205" t="s">
        <v>120</v>
      </c>
      <c r="M5205">
        <v>15</v>
      </c>
      <c r="N5205" t="s">
        <v>88</v>
      </c>
      <c r="O5205" t="s">
        <v>81</v>
      </c>
      <c r="P5205" t="s">
        <v>18</v>
      </c>
      <c r="Q5205" t="s">
        <v>19</v>
      </c>
      <c r="R5205" t="s">
        <v>138</v>
      </c>
      <c r="S5205" t="s">
        <v>144</v>
      </c>
      <c r="T5205" s="2">
        <f>MASTER[[#This Row],[CANTIDAD]]*MASTER[[#This Row],[PRECIO DE VENTA]]</f>
        <v>900</v>
      </c>
      <c r="U5205" s="2">
        <f>MASTER[[#This Row],[CANTIDAD]]*MASTER[[#This Row],[COSTO UNITARIO]]</f>
        <v>424</v>
      </c>
      <c r="V5205" s="2">
        <f>MASTER[[#This Row],[MONTO VENDIDO]]-MASTER[[#This Row],[COSTO DE VENTA]]</f>
        <v>476</v>
      </c>
    </row>
    <row r="5206" spans="1:22" x14ac:dyDescent="0.3">
      <c r="A5206">
        <v>74200</v>
      </c>
      <c r="B5206">
        <v>1</v>
      </c>
      <c r="C5206" t="s">
        <v>109</v>
      </c>
      <c r="D5206" t="s">
        <v>110</v>
      </c>
      <c r="E5206" s="1">
        <v>44399</v>
      </c>
      <c r="F5206">
        <v>1</v>
      </c>
      <c r="G5206" t="s">
        <v>20</v>
      </c>
      <c r="H5206" t="s">
        <v>21</v>
      </c>
      <c r="I5206" s="3">
        <v>1064</v>
      </c>
      <c r="J5206" s="3">
        <v>1064</v>
      </c>
      <c r="K5206" s="3">
        <v>387</v>
      </c>
      <c r="L5206" t="s">
        <v>98</v>
      </c>
      <c r="M5206">
        <v>10</v>
      </c>
      <c r="N5206" t="s">
        <v>83</v>
      </c>
      <c r="O5206" t="s">
        <v>81</v>
      </c>
      <c r="P5206" t="s">
        <v>12</v>
      </c>
      <c r="Q5206" t="s">
        <v>13</v>
      </c>
      <c r="R5206" t="s">
        <v>13</v>
      </c>
      <c r="S5206" t="s">
        <v>144</v>
      </c>
      <c r="T5206" s="2">
        <f>MASTER[[#This Row],[CANTIDAD]]*MASTER[[#This Row],[PRECIO DE VENTA]]</f>
        <v>1064</v>
      </c>
      <c r="U5206" s="2">
        <f>MASTER[[#This Row],[CANTIDAD]]*MASTER[[#This Row],[COSTO UNITARIO]]</f>
        <v>387</v>
      </c>
      <c r="V5206" s="2">
        <f>MASTER[[#This Row],[MONTO VENDIDO]]-MASTER[[#This Row],[COSTO DE VENTA]]</f>
        <v>677</v>
      </c>
    </row>
    <row r="5207" spans="1:22" x14ac:dyDescent="0.3">
      <c r="A5207">
        <v>74224</v>
      </c>
      <c r="B5207">
        <v>2</v>
      </c>
      <c r="C5207" t="s">
        <v>103</v>
      </c>
      <c r="D5207" t="s">
        <v>104</v>
      </c>
      <c r="E5207" s="1">
        <v>44399</v>
      </c>
      <c r="F5207">
        <v>1</v>
      </c>
      <c r="G5207" t="s">
        <v>61</v>
      </c>
      <c r="H5207" t="s">
        <v>62</v>
      </c>
      <c r="I5207" s="3">
        <v>1830</v>
      </c>
      <c r="J5207" s="3">
        <v>1830</v>
      </c>
      <c r="K5207" s="3">
        <v>421</v>
      </c>
      <c r="L5207" t="s">
        <v>98</v>
      </c>
      <c r="M5207">
        <v>9</v>
      </c>
      <c r="N5207" t="s">
        <v>76</v>
      </c>
      <c r="O5207" t="s">
        <v>70</v>
      </c>
      <c r="P5207" t="s">
        <v>12</v>
      </c>
      <c r="Q5207" t="s">
        <v>13</v>
      </c>
      <c r="R5207" t="s">
        <v>13</v>
      </c>
      <c r="S5207" t="s">
        <v>144</v>
      </c>
      <c r="T5207" s="2">
        <f>MASTER[[#This Row],[CANTIDAD]]*MASTER[[#This Row],[PRECIO DE VENTA]]</f>
        <v>1830</v>
      </c>
      <c r="U5207" s="2">
        <f>MASTER[[#This Row],[CANTIDAD]]*MASTER[[#This Row],[COSTO UNITARIO]]</f>
        <v>421</v>
      </c>
      <c r="V5207" s="2">
        <f>MASTER[[#This Row],[MONTO VENDIDO]]-MASTER[[#This Row],[COSTO DE VENTA]]</f>
        <v>1409</v>
      </c>
    </row>
    <row r="5208" spans="1:22" x14ac:dyDescent="0.3">
      <c r="A5208">
        <v>74224</v>
      </c>
      <c r="B5208">
        <v>1</v>
      </c>
      <c r="C5208" t="s">
        <v>118</v>
      </c>
      <c r="D5208" t="s">
        <v>119</v>
      </c>
      <c r="E5208" s="1">
        <v>44399</v>
      </c>
      <c r="F5208">
        <v>1</v>
      </c>
      <c r="G5208" t="s">
        <v>51</v>
      </c>
      <c r="H5208" t="s">
        <v>52</v>
      </c>
      <c r="I5208" s="3">
        <v>1026</v>
      </c>
      <c r="J5208" s="3">
        <v>1026</v>
      </c>
      <c r="K5208" s="3">
        <v>424</v>
      </c>
      <c r="L5208" t="s">
        <v>120</v>
      </c>
      <c r="M5208">
        <v>9</v>
      </c>
      <c r="N5208" t="s">
        <v>76</v>
      </c>
      <c r="O5208" t="s">
        <v>70</v>
      </c>
      <c r="P5208" t="s">
        <v>12</v>
      </c>
      <c r="Q5208" t="s">
        <v>13</v>
      </c>
      <c r="R5208" t="s">
        <v>13</v>
      </c>
      <c r="S5208" t="s">
        <v>144</v>
      </c>
      <c r="T5208" s="2">
        <f>MASTER[[#This Row],[CANTIDAD]]*MASTER[[#This Row],[PRECIO DE VENTA]]</f>
        <v>1026</v>
      </c>
      <c r="U5208" s="2">
        <f>MASTER[[#This Row],[CANTIDAD]]*MASTER[[#This Row],[COSTO UNITARIO]]</f>
        <v>424</v>
      </c>
      <c r="V5208" s="2">
        <f>MASTER[[#This Row],[MONTO VENDIDO]]-MASTER[[#This Row],[COSTO DE VENTA]]</f>
        <v>602</v>
      </c>
    </row>
    <row r="5209" spans="1:22" x14ac:dyDescent="0.3">
      <c r="A5209">
        <v>74273</v>
      </c>
      <c r="B5209">
        <v>1</v>
      </c>
      <c r="C5209" t="s">
        <v>116</v>
      </c>
      <c r="D5209" t="s">
        <v>117</v>
      </c>
      <c r="E5209" s="1">
        <v>44399</v>
      </c>
      <c r="F5209">
        <v>1</v>
      </c>
      <c r="G5209" t="s">
        <v>53</v>
      </c>
      <c r="H5209" t="s">
        <v>54</v>
      </c>
      <c r="I5209" s="3">
        <v>1738</v>
      </c>
      <c r="J5209" s="3">
        <v>1738</v>
      </c>
      <c r="K5209" s="3">
        <v>388</v>
      </c>
      <c r="L5209" t="s">
        <v>113</v>
      </c>
      <c r="M5209">
        <v>4</v>
      </c>
      <c r="N5209" t="s">
        <v>82</v>
      </c>
      <c r="O5209" t="s">
        <v>81</v>
      </c>
      <c r="P5209" t="s">
        <v>71</v>
      </c>
      <c r="Q5209" t="s">
        <v>72</v>
      </c>
      <c r="R5209" t="s">
        <v>139</v>
      </c>
      <c r="S5209" t="s">
        <v>144</v>
      </c>
      <c r="T5209" s="2">
        <f>MASTER[[#This Row],[CANTIDAD]]*MASTER[[#This Row],[PRECIO DE VENTA]]</f>
        <v>1738</v>
      </c>
      <c r="U5209" s="2">
        <f>MASTER[[#This Row],[CANTIDAD]]*MASTER[[#This Row],[COSTO UNITARIO]]</f>
        <v>388</v>
      </c>
      <c r="V5209" s="2">
        <f>MASTER[[#This Row],[MONTO VENDIDO]]-MASTER[[#This Row],[COSTO DE VENTA]]</f>
        <v>1350</v>
      </c>
    </row>
    <row r="5210" spans="1:22" x14ac:dyDescent="0.3">
      <c r="A5210">
        <v>74274</v>
      </c>
      <c r="B5210">
        <v>1</v>
      </c>
      <c r="C5210" t="s">
        <v>121</v>
      </c>
      <c r="D5210" t="s">
        <v>122</v>
      </c>
      <c r="E5210" s="1">
        <v>44399</v>
      </c>
      <c r="F5210">
        <v>3</v>
      </c>
      <c r="G5210" t="s">
        <v>55</v>
      </c>
      <c r="H5210" t="s">
        <v>56</v>
      </c>
      <c r="I5210" s="3">
        <v>1069</v>
      </c>
      <c r="J5210" s="3">
        <v>1069</v>
      </c>
      <c r="K5210" s="3">
        <v>460</v>
      </c>
      <c r="L5210" t="s">
        <v>120</v>
      </c>
      <c r="M5210">
        <v>19</v>
      </c>
      <c r="N5210" t="s">
        <v>89</v>
      </c>
      <c r="O5210" t="s">
        <v>81</v>
      </c>
      <c r="P5210" t="s">
        <v>15</v>
      </c>
      <c r="Q5210" t="s">
        <v>16</v>
      </c>
      <c r="R5210" t="s">
        <v>16</v>
      </c>
      <c r="S5210" t="s">
        <v>144</v>
      </c>
      <c r="T5210" s="2">
        <f>MASTER[[#This Row],[CANTIDAD]]*MASTER[[#This Row],[PRECIO DE VENTA]]</f>
        <v>3207</v>
      </c>
      <c r="U5210" s="2">
        <f>MASTER[[#This Row],[CANTIDAD]]*MASTER[[#This Row],[COSTO UNITARIO]]</f>
        <v>1380</v>
      </c>
      <c r="V5210" s="2">
        <f>MASTER[[#This Row],[MONTO VENDIDO]]-MASTER[[#This Row],[COSTO DE VENTA]]</f>
        <v>1827</v>
      </c>
    </row>
    <row r="5211" spans="1:22" x14ac:dyDescent="0.3">
      <c r="A5211">
        <v>74287</v>
      </c>
      <c r="B5211">
        <v>1</v>
      </c>
      <c r="C5211" t="s">
        <v>105</v>
      </c>
      <c r="D5211" t="s">
        <v>106</v>
      </c>
      <c r="E5211" s="1">
        <v>44399</v>
      </c>
      <c r="F5211">
        <v>1</v>
      </c>
      <c r="G5211" t="s">
        <v>67</v>
      </c>
      <c r="H5211" t="s">
        <v>68</v>
      </c>
      <c r="I5211" s="3">
        <v>1585</v>
      </c>
      <c r="J5211" s="3">
        <v>1585</v>
      </c>
      <c r="K5211" s="3">
        <v>459</v>
      </c>
      <c r="L5211" t="s">
        <v>98</v>
      </c>
      <c r="M5211">
        <v>11</v>
      </c>
      <c r="N5211" t="s">
        <v>10</v>
      </c>
      <c r="O5211" t="s">
        <v>11</v>
      </c>
      <c r="P5211" t="s">
        <v>12</v>
      </c>
      <c r="Q5211" t="s">
        <v>13</v>
      </c>
      <c r="R5211" t="s">
        <v>13</v>
      </c>
      <c r="S5211" t="s">
        <v>144</v>
      </c>
      <c r="T5211" s="2">
        <f>MASTER[[#This Row],[CANTIDAD]]*MASTER[[#This Row],[PRECIO DE VENTA]]</f>
        <v>1585</v>
      </c>
      <c r="U5211" s="2">
        <f>MASTER[[#This Row],[CANTIDAD]]*MASTER[[#This Row],[COSTO UNITARIO]]</f>
        <v>459</v>
      </c>
      <c r="V5211" s="2">
        <f>MASTER[[#This Row],[MONTO VENDIDO]]-MASTER[[#This Row],[COSTO DE VENTA]]</f>
        <v>1126</v>
      </c>
    </row>
    <row r="5212" spans="1:22" x14ac:dyDescent="0.3">
      <c r="A5212">
        <v>74324</v>
      </c>
      <c r="B5212">
        <v>1</v>
      </c>
      <c r="C5212" t="s">
        <v>101</v>
      </c>
      <c r="D5212" t="s">
        <v>102</v>
      </c>
      <c r="E5212" s="1">
        <v>44399</v>
      </c>
      <c r="F5212">
        <v>1</v>
      </c>
      <c r="G5212" t="s">
        <v>39</v>
      </c>
      <c r="H5212" t="s">
        <v>40</v>
      </c>
      <c r="I5212" s="3">
        <v>1357</v>
      </c>
      <c r="J5212" s="3">
        <v>1357</v>
      </c>
      <c r="K5212" s="3">
        <v>442</v>
      </c>
      <c r="L5212" t="s">
        <v>98</v>
      </c>
      <c r="M5212">
        <v>3</v>
      </c>
      <c r="N5212" t="s">
        <v>69</v>
      </c>
      <c r="O5212" t="s">
        <v>70</v>
      </c>
      <c r="P5212" t="s">
        <v>71</v>
      </c>
      <c r="Q5212" t="s">
        <v>72</v>
      </c>
      <c r="R5212" t="s">
        <v>139</v>
      </c>
      <c r="S5212" t="s">
        <v>144</v>
      </c>
      <c r="T5212" s="2">
        <f>MASTER[[#This Row],[CANTIDAD]]*MASTER[[#This Row],[PRECIO DE VENTA]]</f>
        <v>1357</v>
      </c>
      <c r="U5212" s="2">
        <f>MASTER[[#This Row],[CANTIDAD]]*MASTER[[#This Row],[COSTO UNITARIO]]</f>
        <v>442</v>
      </c>
      <c r="V5212" s="2">
        <f>MASTER[[#This Row],[MONTO VENDIDO]]-MASTER[[#This Row],[COSTO DE VENTA]]</f>
        <v>915</v>
      </c>
    </row>
    <row r="5213" spans="1:22" x14ac:dyDescent="0.3">
      <c r="A5213">
        <v>74369</v>
      </c>
      <c r="B5213">
        <v>1</v>
      </c>
      <c r="C5213" t="s">
        <v>105</v>
      </c>
      <c r="D5213" t="s">
        <v>106</v>
      </c>
      <c r="E5213" s="1">
        <v>44399</v>
      </c>
      <c r="F5213">
        <v>1</v>
      </c>
      <c r="G5213" t="s">
        <v>27</v>
      </c>
      <c r="H5213" t="s">
        <v>28</v>
      </c>
      <c r="I5213" s="3">
        <v>2033</v>
      </c>
      <c r="J5213" s="3">
        <v>2033</v>
      </c>
      <c r="K5213" s="3">
        <v>459</v>
      </c>
      <c r="L5213" t="s">
        <v>98</v>
      </c>
      <c r="M5213">
        <v>3</v>
      </c>
      <c r="N5213" t="s">
        <v>69</v>
      </c>
      <c r="O5213" t="s">
        <v>70</v>
      </c>
      <c r="P5213" t="s">
        <v>71</v>
      </c>
      <c r="Q5213" t="s">
        <v>72</v>
      </c>
      <c r="R5213" t="s">
        <v>139</v>
      </c>
      <c r="S5213" t="s">
        <v>144</v>
      </c>
      <c r="T5213" s="2">
        <f>MASTER[[#This Row],[CANTIDAD]]*MASTER[[#This Row],[PRECIO DE VENTA]]</f>
        <v>2033</v>
      </c>
      <c r="U5213" s="2">
        <f>MASTER[[#This Row],[CANTIDAD]]*MASTER[[#This Row],[COSTO UNITARIO]]</f>
        <v>459</v>
      </c>
      <c r="V5213" s="2">
        <f>MASTER[[#This Row],[MONTO VENDIDO]]-MASTER[[#This Row],[COSTO DE VENTA]]</f>
        <v>1574</v>
      </c>
    </row>
    <row r="5214" spans="1:22" x14ac:dyDescent="0.3">
      <c r="A5214">
        <v>74392</v>
      </c>
      <c r="B5214">
        <v>1</v>
      </c>
      <c r="C5214" t="s">
        <v>90</v>
      </c>
      <c r="D5214" t="s">
        <v>91</v>
      </c>
      <c r="E5214" s="1">
        <v>44400</v>
      </c>
      <c r="F5214">
        <v>1</v>
      </c>
      <c r="G5214" t="s">
        <v>67</v>
      </c>
      <c r="H5214" t="s">
        <v>68</v>
      </c>
      <c r="I5214" s="3">
        <v>2102</v>
      </c>
      <c r="J5214" s="3">
        <v>2017</v>
      </c>
      <c r="K5214" s="3">
        <v>420</v>
      </c>
      <c r="L5214" t="s">
        <v>9</v>
      </c>
      <c r="M5214">
        <v>3</v>
      </c>
      <c r="N5214" t="s">
        <v>69</v>
      </c>
      <c r="O5214" t="s">
        <v>70</v>
      </c>
      <c r="P5214" t="s">
        <v>71</v>
      </c>
      <c r="Q5214" t="s">
        <v>72</v>
      </c>
      <c r="R5214" t="s">
        <v>139</v>
      </c>
      <c r="S5214" t="s">
        <v>144</v>
      </c>
      <c r="T5214" s="2">
        <f>MASTER[[#This Row],[CANTIDAD]]*MASTER[[#This Row],[PRECIO DE VENTA]]</f>
        <v>2017</v>
      </c>
      <c r="U5214" s="2">
        <f>MASTER[[#This Row],[CANTIDAD]]*MASTER[[#This Row],[COSTO UNITARIO]]</f>
        <v>420</v>
      </c>
      <c r="V5214" s="2">
        <f>MASTER[[#This Row],[MONTO VENDIDO]]-MASTER[[#This Row],[COSTO DE VENTA]]</f>
        <v>1597</v>
      </c>
    </row>
    <row r="5215" spans="1:22" x14ac:dyDescent="0.3">
      <c r="A5215">
        <v>74393</v>
      </c>
      <c r="B5215">
        <v>1</v>
      </c>
      <c r="C5215" t="s">
        <v>94</v>
      </c>
      <c r="D5215" t="s">
        <v>95</v>
      </c>
      <c r="E5215" s="1">
        <v>44400</v>
      </c>
      <c r="F5215">
        <v>1</v>
      </c>
      <c r="G5215" t="s">
        <v>29</v>
      </c>
      <c r="H5215" t="s">
        <v>30</v>
      </c>
      <c r="I5215" s="3">
        <v>1048</v>
      </c>
      <c r="J5215" s="3">
        <v>1048</v>
      </c>
      <c r="K5215" s="3">
        <v>392</v>
      </c>
      <c r="L5215" t="s">
        <v>9</v>
      </c>
      <c r="M5215">
        <v>14</v>
      </c>
      <c r="N5215" t="s">
        <v>87</v>
      </c>
      <c r="O5215" t="s">
        <v>81</v>
      </c>
      <c r="P5215" t="s">
        <v>18</v>
      </c>
      <c r="Q5215" t="s">
        <v>19</v>
      </c>
      <c r="R5215" t="s">
        <v>138</v>
      </c>
      <c r="S5215" t="s">
        <v>144</v>
      </c>
      <c r="T5215" s="2">
        <f>MASTER[[#This Row],[CANTIDAD]]*MASTER[[#This Row],[PRECIO DE VENTA]]</f>
        <v>1048</v>
      </c>
      <c r="U5215" s="2">
        <f>MASTER[[#This Row],[CANTIDAD]]*MASTER[[#This Row],[COSTO UNITARIO]]</f>
        <v>392</v>
      </c>
      <c r="V5215" s="2">
        <f>MASTER[[#This Row],[MONTO VENDIDO]]-MASTER[[#This Row],[COSTO DE VENTA]]</f>
        <v>656</v>
      </c>
    </row>
    <row r="5216" spans="1:22" x14ac:dyDescent="0.3">
      <c r="A5216">
        <v>74403</v>
      </c>
      <c r="B5216">
        <v>1</v>
      </c>
      <c r="C5216" t="s">
        <v>92</v>
      </c>
      <c r="D5216" t="s">
        <v>93</v>
      </c>
      <c r="E5216" s="1">
        <v>44400</v>
      </c>
      <c r="F5216">
        <v>4</v>
      </c>
      <c r="G5216" t="s">
        <v>51</v>
      </c>
      <c r="H5216" t="s">
        <v>52</v>
      </c>
      <c r="I5216" s="3">
        <v>1681</v>
      </c>
      <c r="J5216" s="3">
        <v>1580</v>
      </c>
      <c r="K5216" s="3">
        <v>396</v>
      </c>
      <c r="L5216" t="s">
        <v>9</v>
      </c>
      <c r="M5216">
        <v>4</v>
      </c>
      <c r="N5216" t="s">
        <v>82</v>
      </c>
      <c r="O5216" t="s">
        <v>81</v>
      </c>
      <c r="P5216" t="s">
        <v>71</v>
      </c>
      <c r="Q5216" t="s">
        <v>72</v>
      </c>
      <c r="R5216" t="s">
        <v>139</v>
      </c>
      <c r="S5216" t="s">
        <v>144</v>
      </c>
      <c r="T5216" s="2">
        <f>MASTER[[#This Row],[CANTIDAD]]*MASTER[[#This Row],[PRECIO DE VENTA]]</f>
        <v>6320</v>
      </c>
      <c r="U5216" s="2">
        <f>MASTER[[#This Row],[CANTIDAD]]*MASTER[[#This Row],[COSTO UNITARIO]]</f>
        <v>1584</v>
      </c>
      <c r="V5216" s="2">
        <f>MASTER[[#This Row],[MONTO VENDIDO]]-MASTER[[#This Row],[COSTO DE VENTA]]</f>
        <v>4736</v>
      </c>
    </row>
    <row r="5217" spans="1:22" x14ac:dyDescent="0.3">
      <c r="A5217">
        <v>74416</v>
      </c>
      <c r="B5217">
        <v>1</v>
      </c>
      <c r="C5217" t="s">
        <v>116</v>
      </c>
      <c r="D5217" t="s">
        <v>117</v>
      </c>
      <c r="E5217" s="1">
        <v>44400</v>
      </c>
      <c r="F5217">
        <v>4</v>
      </c>
      <c r="G5217" t="s">
        <v>67</v>
      </c>
      <c r="H5217" t="s">
        <v>68</v>
      </c>
      <c r="I5217" s="3">
        <v>1738</v>
      </c>
      <c r="J5217" s="3">
        <v>1738</v>
      </c>
      <c r="K5217" s="3">
        <v>388</v>
      </c>
      <c r="L5217" t="s">
        <v>113</v>
      </c>
      <c r="M5217">
        <v>10</v>
      </c>
      <c r="N5217" t="s">
        <v>83</v>
      </c>
      <c r="O5217" t="s">
        <v>81</v>
      </c>
      <c r="P5217" t="s">
        <v>12</v>
      </c>
      <c r="Q5217" t="s">
        <v>13</v>
      </c>
      <c r="R5217" t="s">
        <v>13</v>
      </c>
      <c r="S5217" t="s">
        <v>144</v>
      </c>
      <c r="T5217" s="2">
        <f>MASTER[[#This Row],[CANTIDAD]]*MASTER[[#This Row],[PRECIO DE VENTA]]</f>
        <v>6952</v>
      </c>
      <c r="U5217" s="2">
        <f>MASTER[[#This Row],[CANTIDAD]]*MASTER[[#This Row],[COSTO UNITARIO]]</f>
        <v>1552</v>
      </c>
      <c r="V5217" s="2">
        <f>MASTER[[#This Row],[MONTO VENDIDO]]-MASTER[[#This Row],[COSTO DE VENTA]]</f>
        <v>5400</v>
      </c>
    </row>
    <row r="5218" spans="1:22" x14ac:dyDescent="0.3">
      <c r="A5218">
        <v>74418</v>
      </c>
      <c r="B5218">
        <v>1</v>
      </c>
      <c r="C5218" t="s">
        <v>99</v>
      </c>
      <c r="D5218" t="s">
        <v>100</v>
      </c>
      <c r="E5218" s="1">
        <v>44400</v>
      </c>
      <c r="F5218">
        <v>1</v>
      </c>
      <c r="G5218" t="s">
        <v>24</v>
      </c>
      <c r="H5218" t="s">
        <v>25</v>
      </c>
      <c r="I5218" s="3">
        <v>1459</v>
      </c>
      <c r="J5218" s="3">
        <v>1386</v>
      </c>
      <c r="K5218" s="3">
        <v>386</v>
      </c>
      <c r="L5218" t="s">
        <v>98</v>
      </c>
      <c r="M5218">
        <v>2</v>
      </c>
      <c r="N5218" t="s">
        <v>86</v>
      </c>
      <c r="O5218" t="s">
        <v>81</v>
      </c>
      <c r="P5218" t="s">
        <v>71</v>
      </c>
      <c r="Q5218" t="s">
        <v>72</v>
      </c>
      <c r="R5218" t="s">
        <v>139</v>
      </c>
      <c r="S5218" t="s">
        <v>144</v>
      </c>
      <c r="T5218" s="2">
        <f>MASTER[[#This Row],[CANTIDAD]]*MASTER[[#This Row],[PRECIO DE VENTA]]</f>
        <v>1386</v>
      </c>
      <c r="U5218" s="2">
        <f>MASTER[[#This Row],[CANTIDAD]]*MASTER[[#This Row],[COSTO UNITARIO]]</f>
        <v>386</v>
      </c>
      <c r="V5218" s="2">
        <f>MASTER[[#This Row],[MONTO VENDIDO]]-MASTER[[#This Row],[COSTO DE VENTA]]</f>
        <v>1000</v>
      </c>
    </row>
    <row r="5219" spans="1:22" x14ac:dyDescent="0.3">
      <c r="A5219">
        <v>74452</v>
      </c>
      <c r="B5219">
        <v>1</v>
      </c>
      <c r="C5219" t="s">
        <v>94</v>
      </c>
      <c r="D5219" t="s">
        <v>95</v>
      </c>
      <c r="E5219" s="1">
        <v>44400</v>
      </c>
      <c r="F5219">
        <v>1</v>
      </c>
      <c r="G5219" t="s">
        <v>22</v>
      </c>
      <c r="H5219" t="s">
        <v>23</v>
      </c>
      <c r="I5219" s="3">
        <v>1048</v>
      </c>
      <c r="J5219" s="3">
        <v>1048</v>
      </c>
      <c r="K5219" s="3">
        <v>392</v>
      </c>
      <c r="L5219" t="s">
        <v>9</v>
      </c>
      <c r="M5219">
        <v>10</v>
      </c>
      <c r="N5219" t="s">
        <v>83</v>
      </c>
      <c r="O5219" t="s">
        <v>81</v>
      </c>
      <c r="P5219" t="s">
        <v>12</v>
      </c>
      <c r="Q5219" t="s">
        <v>13</v>
      </c>
      <c r="R5219" t="s">
        <v>13</v>
      </c>
      <c r="S5219" t="s">
        <v>144</v>
      </c>
      <c r="T5219" s="2">
        <f>MASTER[[#This Row],[CANTIDAD]]*MASTER[[#This Row],[PRECIO DE VENTA]]</f>
        <v>1048</v>
      </c>
      <c r="U5219" s="2">
        <f>MASTER[[#This Row],[CANTIDAD]]*MASTER[[#This Row],[COSTO UNITARIO]]</f>
        <v>392</v>
      </c>
      <c r="V5219" s="2">
        <f>MASTER[[#This Row],[MONTO VENDIDO]]-MASTER[[#This Row],[COSTO DE VENTA]]</f>
        <v>656</v>
      </c>
    </row>
    <row r="5220" spans="1:22" x14ac:dyDescent="0.3">
      <c r="A5220">
        <v>74458</v>
      </c>
      <c r="B5220">
        <v>1</v>
      </c>
      <c r="C5220" t="s">
        <v>5</v>
      </c>
      <c r="D5220" t="s">
        <v>6</v>
      </c>
      <c r="E5220" s="1">
        <v>44400</v>
      </c>
      <c r="F5220">
        <v>1</v>
      </c>
      <c r="G5220" t="s">
        <v>31</v>
      </c>
      <c r="H5220" t="s">
        <v>32</v>
      </c>
      <c r="I5220" s="3">
        <v>1296</v>
      </c>
      <c r="J5220" s="3">
        <v>1192</v>
      </c>
      <c r="K5220" s="3">
        <v>393</v>
      </c>
      <c r="L5220" t="s">
        <v>9</v>
      </c>
      <c r="M5220">
        <v>3</v>
      </c>
      <c r="N5220" t="s">
        <v>69</v>
      </c>
      <c r="O5220" t="s">
        <v>70</v>
      </c>
      <c r="P5220" t="s">
        <v>71</v>
      </c>
      <c r="Q5220" t="s">
        <v>72</v>
      </c>
      <c r="R5220" t="s">
        <v>139</v>
      </c>
      <c r="S5220" t="s">
        <v>144</v>
      </c>
      <c r="T5220" s="2">
        <f>MASTER[[#This Row],[CANTIDAD]]*MASTER[[#This Row],[PRECIO DE VENTA]]</f>
        <v>1192</v>
      </c>
      <c r="U5220" s="2">
        <f>MASTER[[#This Row],[CANTIDAD]]*MASTER[[#This Row],[COSTO UNITARIO]]</f>
        <v>393</v>
      </c>
      <c r="V5220" s="2">
        <f>MASTER[[#This Row],[MONTO VENDIDO]]-MASTER[[#This Row],[COSTO DE VENTA]]</f>
        <v>799</v>
      </c>
    </row>
    <row r="5221" spans="1:22" x14ac:dyDescent="0.3">
      <c r="A5221">
        <v>74489</v>
      </c>
      <c r="B5221">
        <v>1</v>
      </c>
      <c r="C5221" t="s">
        <v>94</v>
      </c>
      <c r="D5221" t="s">
        <v>95</v>
      </c>
      <c r="E5221" s="1">
        <v>44401</v>
      </c>
      <c r="F5221">
        <v>2</v>
      </c>
      <c r="G5221" t="s">
        <v>35</v>
      </c>
      <c r="H5221" t="s">
        <v>36</v>
      </c>
      <c r="I5221" s="3">
        <v>1048</v>
      </c>
      <c r="J5221" s="3">
        <v>1048</v>
      </c>
      <c r="K5221" s="3">
        <v>392</v>
      </c>
      <c r="L5221" t="s">
        <v>9</v>
      </c>
      <c r="M5221">
        <v>10</v>
      </c>
      <c r="N5221" t="s">
        <v>83</v>
      </c>
      <c r="O5221" t="s">
        <v>81</v>
      </c>
      <c r="P5221" t="s">
        <v>12</v>
      </c>
      <c r="Q5221" t="s">
        <v>13</v>
      </c>
      <c r="R5221" t="s">
        <v>13</v>
      </c>
      <c r="S5221" t="s">
        <v>144</v>
      </c>
      <c r="T5221" s="2">
        <f>MASTER[[#This Row],[CANTIDAD]]*MASTER[[#This Row],[PRECIO DE VENTA]]</f>
        <v>2096</v>
      </c>
      <c r="U5221" s="2">
        <f>MASTER[[#This Row],[CANTIDAD]]*MASTER[[#This Row],[COSTO UNITARIO]]</f>
        <v>784</v>
      </c>
      <c r="V5221" s="2">
        <f>MASTER[[#This Row],[MONTO VENDIDO]]-MASTER[[#This Row],[COSTO DE VENTA]]</f>
        <v>1312</v>
      </c>
    </row>
    <row r="5222" spans="1:22" x14ac:dyDescent="0.3">
      <c r="A5222">
        <v>74500</v>
      </c>
      <c r="B5222">
        <v>1</v>
      </c>
      <c r="C5222" t="s">
        <v>101</v>
      </c>
      <c r="D5222" t="s">
        <v>102</v>
      </c>
      <c r="E5222" s="1">
        <v>44401</v>
      </c>
      <c r="F5222">
        <v>1</v>
      </c>
      <c r="G5222" t="s">
        <v>43</v>
      </c>
      <c r="H5222" t="s">
        <v>44</v>
      </c>
      <c r="I5222" s="3">
        <v>1212</v>
      </c>
      <c r="J5222" s="3">
        <v>1212</v>
      </c>
      <c r="K5222" s="3">
        <v>442</v>
      </c>
      <c r="L5222" t="s">
        <v>98</v>
      </c>
      <c r="M5222">
        <v>2</v>
      </c>
      <c r="N5222" t="s">
        <v>86</v>
      </c>
      <c r="O5222" t="s">
        <v>81</v>
      </c>
      <c r="P5222" t="s">
        <v>71</v>
      </c>
      <c r="Q5222" t="s">
        <v>72</v>
      </c>
      <c r="R5222" t="s">
        <v>139</v>
      </c>
      <c r="S5222" t="s">
        <v>144</v>
      </c>
      <c r="T5222" s="2">
        <f>MASTER[[#This Row],[CANTIDAD]]*MASTER[[#This Row],[PRECIO DE VENTA]]</f>
        <v>1212</v>
      </c>
      <c r="U5222" s="2">
        <f>MASTER[[#This Row],[CANTIDAD]]*MASTER[[#This Row],[COSTO UNITARIO]]</f>
        <v>442</v>
      </c>
      <c r="V5222" s="2">
        <f>MASTER[[#This Row],[MONTO VENDIDO]]-MASTER[[#This Row],[COSTO DE VENTA]]</f>
        <v>770</v>
      </c>
    </row>
    <row r="5223" spans="1:22" x14ac:dyDescent="0.3">
      <c r="A5223">
        <v>74508</v>
      </c>
      <c r="B5223">
        <v>1</v>
      </c>
      <c r="C5223" t="s">
        <v>109</v>
      </c>
      <c r="D5223" t="s">
        <v>110</v>
      </c>
      <c r="E5223" s="1">
        <v>44401</v>
      </c>
      <c r="F5223">
        <v>1</v>
      </c>
      <c r="G5223" t="s">
        <v>47</v>
      </c>
      <c r="H5223" t="s">
        <v>48</v>
      </c>
      <c r="I5223" s="3">
        <v>1128</v>
      </c>
      <c r="J5223" s="3">
        <v>1128</v>
      </c>
      <c r="K5223" s="3">
        <v>387</v>
      </c>
      <c r="L5223" t="s">
        <v>98</v>
      </c>
      <c r="M5223">
        <v>6</v>
      </c>
      <c r="N5223" t="s">
        <v>75</v>
      </c>
      <c r="O5223" t="s">
        <v>70</v>
      </c>
      <c r="P5223" t="s">
        <v>12</v>
      </c>
      <c r="Q5223" t="s">
        <v>13</v>
      </c>
      <c r="R5223" t="s">
        <v>13</v>
      </c>
      <c r="S5223" t="s">
        <v>144</v>
      </c>
      <c r="T5223" s="2">
        <f>MASTER[[#This Row],[CANTIDAD]]*MASTER[[#This Row],[PRECIO DE VENTA]]</f>
        <v>1128</v>
      </c>
      <c r="U5223" s="2">
        <f>MASTER[[#This Row],[CANTIDAD]]*MASTER[[#This Row],[COSTO UNITARIO]]</f>
        <v>387</v>
      </c>
      <c r="V5223" s="2">
        <f>MASTER[[#This Row],[MONTO VENDIDO]]-MASTER[[#This Row],[COSTO DE VENTA]]</f>
        <v>741</v>
      </c>
    </row>
    <row r="5224" spans="1:22" x14ac:dyDescent="0.3">
      <c r="A5224">
        <v>74515</v>
      </c>
      <c r="B5224">
        <v>1</v>
      </c>
      <c r="C5224" t="s">
        <v>103</v>
      </c>
      <c r="D5224" t="s">
        <v>104</v>
      </c>
      <c r="E5224" s="1">
        <v>44401</v>
      </c>
      <c r="F5224">
        <v>1</v>
      </c>
      <c r="G5224" t="s">
        <v>29</v>
      </c>
      <c r="H5224" t="s">
        <v>30</v>
      </c>
      <c r="I5224" s="3">
        <v>1830</v>
      </c>
      <c r="J5224" s="3">
        <v>1830</v>
      </c>
      <c r="K5224" s="3">
        <v>421</v>
      </c>
      <c r="L5224" t="s">
        <v>98</v>
      </c>
      <c r="M5224">
        <v>9</v>
      </c>
      <c r="N5224" t="s">
        <v>76</v>
      </c>
      <c r="O5224" t="s">
        <v>70</v>
      </c>
      <c r="P5224" t="s">
        <v>12</v>
      </c>
      <c r="Q5224" t="s">
        <v>13</v>
      </c>
      <c r="R5224" t="s">
        <v>13</v>
      </c>
      <c r="S5224" t="s">
        <v>144</v>
      </c>
      <c r="T5224" s="2">
        <f>MASTER[[#This Row],[CANTIDAD]]*MASTER[[#This Row],[PRECIO DE VENTA]]</f>
        <v>1830</v>
      </c>
      <c r="U5224" s="2">
        <f>MASTER[[#This Row],[CANTIDAD]]*MASTER[[#This Row],[COSTO UNITARIO]]</f>
        <v>421</v>
      </c>
      <c r="V5224" s="2">
        <f>MASTER[[#This Row],[MONTO VENDIDO]]-MASTER[[#This Row],[COSTO DE VENTA]]</f>
        <v>1409</v>
      </c>
    </row>
    <row r="5225" spans="1:22" x14ac:dyDescent="0.3">
      <c r="A5225">
        <v>74530</v>
      </c>
      <c r="B5225">
        <v>1</v>
      </c>
      <c r="C5225" t="s">
        <v>99</v>
      </c>
      <c r="D5225" t="s">
        <v>100</v>
      </c>
      <c r="E5225" s="1">
        <v>44401</v>
      </c>
      <c r="F5225">
        <v>2</v>
      </c>
      <c r="G5225" t="s">
        <v>67</v>
      </c>
      <c r="H5225" t="s">
        <v>68</v>
      </c>
      <c r="I5225" s="3">
        <v>1459</v>
      </c>
      <c r="J5225" s="3">
        <v>1459</v>
      </c>
      <c r="K5225" s="3">
        <v>386</v>
      </c>
      <c r="L5225" t="s">
        <v>98</v>
      </c>
      <c r="M5225">
        <v>5</v>
      </c>
      <c r="N5225" t="s">
        <v>85</v>
      </c>
      <c r="O5225" t="s">
        <v>81</v>
      </c>
      <c r="P5225" t="s">
        <v>12</v>
      </c>
      <c r="Q5225" t="s">
        <v>13</v>
      </c>
      <c r="R5225" t="s">
        <v>13</v>
      </c>
      <c r="S5225" t="s">
        <v>144</v>
      </c>
      <c r="T5225" s="2">
        <f>MASTER[[#This Row],[CANTIDAD]]*MASTER[[#This Row],[PRECIO DE VENTA]]</f>
        <v>2918</v>
      </c>
      <c r="U5225" s="2">
        <f>MASTER[[#This Row],[CANTIDAD]]*MASTER[[#This Row],[COSTO UNITARIO]]</f>
        <v>772</v>
      </c>
      <c r="V5225" s="2">
        <f>MASTER[[#This Row],[MONTO VENDIDO]]-MASTER[[#This Row],[COSTO DE VENTA]]</f>
        <v>2146</v>
      </c>
    </row>
    <row r="5226" spans="1:22" x14ac:dyDescent="0.3">
      <c r="A5226">
        <v>74544</v>
      </c>
      <c r="B5226">
        <v>1</v>
      </c>
      <c r="C5226" t="s">
        <v>96</v>
      </c>
      <c r="D5226" t="s">
        <v>97</v>
      </c>
      <c r="E5226" s="1">
        <v>44401</v>
      </c>
      <c r="F5226">
        <v>1</v>
      </c>
      <c r="G5226" t="s">
        <v>65</v>
      </c>
      <c r="H5226" t="s">
        <v>66</v>
      </c>
      <c r="I5226" s="3">
        <v>1272</v>
      </c>
      <c r="J5226" s="3">
        <v>1272</v>
      </c>
      <c r="K5226" s="3">
        <v>397</v>
      </c>
      <c r="L5226" t="s">
        <v>98</v>
      </c>
      <c r="M5226">
        <v>10</v>
      </c>
      <c r="N5226" t="s">
        <v>83</v>
      </c>
      <c r="O5226" t="s">
        <v>81</v>
      </c>
      <c r="P5226" t="s">
        <v>12</v>
      </c>
      <c r="Q5226" t="s">
        <v>13</v>
      </c>
      <c r="R5226" t="s">
        <v>13</v>
      </c>
      <c r="S5226" t="s">
        <v>144</v>
      </c>
      <c r="T5226" s="2">
        <f>MASTER[[#This Row],[CANTIDAD]]*MASTER[[#This Row],[PRECIO DE VENTA]]</f>
        <v>1272</v>
      </c>
      <c r="U5226" s="2">
        <f>MASTER[[#This Row],[CANTIDAD]]*MASTER[[#This Row],[COSTO UNITARIO]]</f>
        <v>397</v>
      </c>
      <c r="V5226" s="2">
        <f>MASTER[[#This Row],[MONTO VENDIDO]]-MASTER[[#This Row],[COSTO DE VENTA]]</f>
        <v>875</v>
      </c>
    </row>
    <row r="5227" spans="1:22" x14ac:dyDescent="0.3">
      <c r="A5227">
        <v>74548</v>
      </c>
      <c r="B5227">
        <v>1</v>
      </c>
      <c r="C5227" t="s">
        <v>121</v>
      </c>
      <c r="D5227" t="s">
        <v>122</v>
      </c>
      <c r="E5227" s="1">
        <v>44401</v>
      </c>
      <c r="F5227">
        <v>1</v>
      </c>
      <c r="G5227" t="s">
        <v>47</v>
      </c>
      <c r="H5227" t="s">
        <v>48</v>
      </c>
      <c r="I5227" s="3">
        <v>1069</v>
      </c>
      <c r="J5227" s="3">
        <v>1069</v>
      </c>
      <c r="K5227" s="3">
        <v>460</v>
      </c>
      <c r="L5227" t="s">
        <v>120</v>
      </c>
      <c r="M5227">
        <v>7</v>
      </c>
      <c r="N5227" t="s">
        <v>84</v>
      </c>
      <c r="O5227" t="s">
        <v>81</v>
      </c>
      <c r="P5227" t="s">
        <v>12</v>
      </c>
      <c r="Q5227" t="s">
        <v>13</v>
      </c>
      <c r="R5227" t="s">
        <v>13</v>
      </c>
      <c r="S5227" t="s">
        <v>144</v>
      </c>
      <c r="T5227" s="2">
        <f>MASTER[[#This Row],[CANTIDAD]]*MASTER[[#This Row],[PRECIO DE VENTA]]</f>
        <v>1069</v>
      </c>
      <c r="U5227" s="2">
        <f>MASTER[[#This Row],[CANTIDAD]]*MASTER[[#This Row],[COSTO UNITARIO]]</f>
        <v>460</v>
      </c>
      <c r="V5227" s="2">
        <f>MASTER[[#This Row],[MONTO VENDIDO]]-MASTER[[#This Row],[COSTO DE VENTA]]</f>
        <v>609</v>
      </c>
    </row>
    <row r="5228" spans="1:22" x14ac:dyDescent="0.3">
      <c r="A5228">
        <v>74551</v>
      </c>
      <c r="B5228">
        <v>1</v>
      </c>
      <c r="C5228" t="s">
        <v>94</v>
      </c>
      <c r="D5228" t="s">
        <v>95</v>
      </c>
      <c r="E5228" s="1">
        <v>44402</v>
      </c>
      <c r="F5228">
        <v>1</v>
      </c>
      <c r="G5228" t="s">
        <v>45</v>
      </c>
      <c r="H5228" t="s">
        <v>46</v>
      </c>
      <c r="I5228" s="3">
        <v>1153</v>
      </c>
      <c r="J5228" s="3">
        <v>1153</v>
      </c>
      <c r="K5228" s="3">
        <v>392</v>
      </c>
      <c r="L5228" t="s">
        <v>9</v>
      </c>
      <c r="M5228">
        <v>13</v>
      </c>
      <c r="N5228" t="s">
        <v>78</v>
      </c>
      <c r="O5228" t="s">
        <v>70</v>
      </c>
      <c r="P5228" t="s">
        <v>18</v>
      </c>
      <c r="Q5228" t="s">
        <v>19</v>
      </c>
      <c r="R5228" t="s">
        <v>138</v>
      </c>
      <c r="S5228" t="s">
        <v>144</v>
      </c>
      <c r="T5228" s="2">
        <f>MASTER[[#This Row],[CANTIDAD]]*MASTER[[#This Row],[PRECIO DE VENTA]]</f>
        <v>1153</v>
      </c>
      <c r="U5228" s="2">
        <f>MASTER[[#This Row],[CANTIDAD]]*MASTER[[#This Row],[COSTO UNITARIO]]</f>
        <v>392</v>
      </c>
      <c r="V5228" s="2">
        <f>MASTER[[#This Row],[MONTO VENDIDO]]-MASTER[[#This Row],[COSTO DE VENTA]]</f>
        <v>761</v>
      </c>
    </row>
    <row r="5229" spans="1:22" x14ac:dyDescent="0.3">
      <c r="A5229">
        <v>74555</v>
      </c>
      <c r="B5229">
        <v>1</v>
      </c>
      <c r="C5229" t="s">
        <v>99</v>
      </c>
      <c r="D5229" t="s">
        <v>100</v>
      </c>
      <c r="E5229" s="1">
        <v>44402</v>
      </c>
      <c r="F5229">
        <v>4</v>
      </c>
      <c r="G5229" t="s">
        <v>7</v>
      </c>
      <c r="H5229" t="s">
        <v>8</v>
      </c>
      <c r="I5229" s="3">
        <v>1678</v>
      </c>
      <c r="J5229" s="3">
        <v>1678</v>
      </c>
      <c r="K5229" s="3">
        <v>386</v>
      </c>
      <c r="L5229" t="s">
        <v>98</v>
      </c>
      <c r="M5229">
        <v>3</v>
      </c>
      <c r="N5229" t="s">
        <v>69</v>
      </c>
      <c r="O5229" t="s">
        <v>70</v>
      </c>
      <c r="P5229" t="s">
        <v>71</v>
      </c>
      <c r="Q5229" t="s">
        <v>72</v>
      </c>
      <c r="R5229" t="s">
        <v>139</v>
      </c>
      <c r="S5229" t="s">
        <v>144</v>
      </c>
      <c r="T5229" s="2">
        <f>MASTER[[#This Row],[CANTIDAD]]*MASTER[[#This Row],[PRECIO DE VENTA]]</f>
        <v>6712</v>
      </c>
      <c r="U5229" s="2">
        <f>MASTER[[#This Row],[CANTIDAD]]*MASTER[[#This Row],[COSTO UNITARIO]]</f>
        <v>1544</v>
      </c>
      <c r="V5229" s="2">
        <f>MASTER[[#This Row],[MONTO VENDIDO]]-MASTER[[#This Row],[COSTO DE VENTA]]</f>
        <v>5168</v>
      </c>
    </row>
    <row r="5230" spans="1:22" x14ac:dyDescent="0.3">
      <c r="A5230">
        <v>74571</v>
      </c>
      <c r="B5230">
        <v>1</v>
      </c>
      <c r="C5230" t="s">
        <v>94</v>
      </c>
      <c r="D5230" t="s">
        <v>95</v>
      </c>
      <c r="E5230" s="1">
        <v>44402</v>
      </c>
      <c r="F5230">
        <v>1</v>
      </c>
      <c r="G5230" t="s">
        <v>67</v>
      </c>
      <c r="H5230" t="s">
        <v>68</v>
      </c>
      <c r="I5230" s="3">
        <v>1048</v>
      </c>
      <c r="J5230" s="3">
        <v>1048</v>
      </c>
      <c r="K5230" s="3">
        <v>392</v>
      </c>
      <c r="L5230" t="s">
        <v>9</v>
      </c>
      <c r="M5230">
        <v>19</v>
      </c>
      <c r="N5230" t="s">
        <v>89</v>
      </c>
      <c r="O5230" t="s">
        <v>81</v>
      </c>
      <c r="P5230" t="s">
        <v>15</v>
      </c>
      <c r="Q5230" t="s">
        <v>16</v>
      </c>
      <c r="R5230" t="s">
        <v>16</v>
      </c>
      <c r="S5230" t="s">
        <v>144</v>
      </c>
      <c r="T5230" s="2">
        <f>MASTER[[#This Row],[CANTIDAD]]*MASTER[[#This Row],[PRECIO DE VENTA]]</f>
        <v>1048</v>
      </c>
      <c r="U5230" s="2">
        <f>MASTER[[#This Row],[CANTIDAD]]*MASTER[[#This Row],[COSTO UNITARIO]]</f>
        <v>392</v>
      </c>
      <c r="V5230" s="2">
        <f>MASTER[[#This Row],[MONTO VENDIDO]]-MASTER[[#This Row],[COSTO DE VENTA]]</f>
        <v>656</v>
      </c>
    </row>
    <row r="5231" spans="1:22" x14ac:dyDescent="0.3">
      <c r="A5231">
        <v>74578</v>
      </c>
      <c r="B5231">
        <v>1</v>
      </c>
      <c r="C5231" t="s">
        <v>111</v>
      </c>
      <c r="D5231" t="s">
        <v>112</v>
      </c>
      <c r="E5231" s="1">
        <v>44402</v>
      </c>
      <c r="F5231">
        <v>1</v>
      </c>
      <c r="G5231" t="s">
        <v>67</v>
      </c>
      <c r="H5231" t="s">
        <v>68</v>
      </c>
      <c r="I5231" s="3">
        <v>1524</v>
      </c>
      <c r="J5231" s="3">
        <v>1524</v>
      </c>
      <c r="K5231" s="3">
        <v>434</v>
      </c>
      <c r="L5231" t="s">
        <v>113</v>
      </c>
      <c r="M5231">
        <v>12</v>
      </c>
      <c r="N5231" t="s">
        <v>26</v>
      </c>
      <c r="O5231" t="s">
        <v>11</v>
      </c>
      <c r="P5231" t="s">
        <v>12</v>
      </c>
      <c r="Q5231" t="s">
        <v>13</v>
      </c>
      <c r="R5231" t="s">
        <v>13</v>
      </c>
      <c r="S5231" t="s">
        <v>144</v>
      </c>
      <c r="T5231" s="2">
        <f>MASTER[[#This Row],[CANTIDAD]]*MASTER[[#This Row],[PRECIO DE VENTA]]</f>
        <v>1524</v>
      </c>
      <c r="U5231" s="2">
        <f>MASTER[[#This Row],[CANTIDAD]]*MASTER[[#This Row],[COSTO UNITARIO]]</f>
        <v>434</v>
      </c>
      <c r="V5231" s="2">
        <f>MASTER[[#This Row],[MONTO VENDIDO]]-MASTER[[#This Row],[COSTO DE VENTA]]</f>
        <v>1090</v>
      </c>
    </row>
    <row r="5232" spans="1:22" x14ac:dyDescent="0.3">
      <c r="A5232">
        <v>74595</v>
      </c>
      <c r="B5232">
        <v>1</v>
      </c>
      <c r="C5232" t="s">
        <v>116</v>
      </c>
      <c r="D5232" t="s">
        <v>117</v>
      </c>
      <c r="E5232" s="1">
        <v>44402</v>
      </c>
      <c r="F5232">
        <v>1</v>
      </c>
      <c r="G5232" t="s">
        <v>55</v>
      </c>
      <c r="H5232" t="s">
        <v>56</v>
      </c>
      <c r="I5232" s="3">
        <v>1738</v>
      </c>
      <c r="J5232" s="3">
        <v>1738</v>
      </c>
      <c r="K5232" s="3">
        <v>388</v>
      </c>
      <c r="L5232" t="s">
        <v>113</v>
      </c>
      <c r="M5232">
        <v>14</v>
      </c>
      <c r="N5232" t="s">
        <v>87</v>
      </c>
      <c r="O5232" t="s">
        <v>81</v>
      </c>
      <c r="P5232" t="s">
        <v>18</v>
      </c>
      <c r="Q5232" t="s">
        <v>19</v>
      </c>
      <c r="R5232" t="s">
        <v>138</v>
      </c>
      <c r="S5232" t="s">
        <v>144</v>
      </c>
      <c r="T5232" s="2">
        <f>MASTER[[#This Row],[CANTIDAD]]*MASTER[[#This Row],[PRECIO DE VENTA]]</f>
        <v>1738</v>
      </c>
      <c r="U5232" s="2">
        <f>MASTER[[#This Row],[CANTIDAD]]*MASTER[[#This Row],[COSTO UNITARIO]]</f>
        <v>388</v>
      </c>
      <c r="V5232" s="2">
        <f>MASTER[[#This Row],[MONTO VENDIDO]]-MASTER[[#This Row],[COSTO DE VENTA]]</f>
        <v>1350</v>
      </c>
    </row>
    <row r="5233" spans="1:22" x14ac:dyDescent="0.3">
      <c r="A5233">
        <v>74597</v>
      </c>
      <c r="B5233">
        <v>1</v>
      </c>
      <c r="C5233" t="s">
        <v>121</v>
      </c>
      <c r="D5233" t="s">
        <v>122</v>
      </c>
      <c r="E5233" s="1">
        <v>44402</v>
      </c>
      <c r="F5233">
        <v>1</v>
      </c>
      <c r="G5233" t="s">
        <v>59</v>
      </c>
      <c r="H5233" t="s">
        <v>60</v>
      </c>
      <c r="I5233" s="3">
        <v>1144</v>
      </c>
      <c r="J5233" s="3">
        <v>1144</v>
      </c>
      <c r="K5233" s="3">
        <v>460</v>
      </c>
      <c r="L5233" t="s">
        <v>120</v>
      </c>
      <c r="M5233">
        <v>9</v>
      </c>
      <c r="N5233" t="s">
        <v>76</v>
      </c>
      <c r="O5233" t="s">
        <v>70</v>
      </c>
      <c r="P5233" t="s">
        <v>12</v>
      </c>
      <c r="Q5233" t="s">
        <v>13</v>
      </c>
      <c r="R5233" t="s">
        <v>13</v>
      </c>
      <c r="S5233" t="s">
        <v>144</v>
      </c>
      <c r="T5233" s="2">
        <f>MASTER[[#This Row],[CANTIDAD]]*MASTER[[#This Row],[PRECIO DE VENTA]]</f>
        <v>1144</v>
      </c>
      <c r="U5233" s="2">
        <f>MASTER[[#This Row],[CANTIDAD]]*MASTER[[#This Row],[COSTO UNITARIO]]</f>
        <v>460</v>
      </c>
      <c r="V5233" s="2">
        <f>MASTER[[#This Row],[MONTO VENDIDO]]-MASTER[[#This Row],[COSTO DE VENTA]]</f>
        <v>684</v>
      </c>
    </row>
    <row r="5234" spans="1:22" x14ac:dyDescent="0.3">
      <c r="A5234">
        <v>74599</v>
      </c>
      <c r="B5234">
        <v>1</v>
      </c>
      <c r="C5234" t="s">
        <v>99</v>
      </c>
      <c r="D5234" t="s">
        <v>100</v>
      </c>
      <c r="E5234" s="1">
        <v>44402</v>
      </c>
      <c r="F5234">
        <v>1</v>
      </c>
      <c r="G5234" t="s">
        <v>43</v>
      </c>
      <c r="H5234" t="s">
        <v>44</v>
      </c>
      <c r="I5234" s="3">
        <v>1678</v>
      </c>
      <c r="J5234" s="3">
        <v>1594</v>
      </c>
      <c r="K5234" s="3">
        <v>386</v>
      </c>
      <c r="L5234" t="s">
        <v>98</v>
      </c>
      <c r="M5234">
        <v>1</v>
      </c>
      <c r="N5234" t="s">
        <v>77</v>
      </c>
      <c r="O5234" t="s">
        <v>70</v>
      </c>
      <c r="P5234" t="s">
        <v>71</v>
      </c>
      <c r="Q5234" t="s">
        <v>72</v>
      </c>
      <c r="R5234" t="s">
        <v>139</v>
      </c>
      <c r="S5234" t="s">
        <v>144</v>
      </c>
      <c r="T5234" s="2">
        <f>MASTER[[#This Row],[CANTIDAD]]*MASTER[[#This Row],[PRECIO DE VENTA]]</f>
        <v>1594</v>
      </c>
      <c r="U5234" s="2">
        <f>MASTER[[#This Row],[CANTIDAD]]*MASTER[[#This Row],[COSTO UNITARIO]]</f>
        <v>386</v>
      </c>
      <c r="V5234" s="2">
        <f>MASTER[[#This Row],[MONTO VENDIDO]]-MASTER[[#This Row],[COSTO DE VENTA]]</f>
        <v>1208</v>
      </c>
    </row>
    <row r="5235" spans="1:22" x14ac:dyDescent="0.3">
      <c r="A5235">
        <v>74600</v>
      </c>
      <c r="B5235">
        <v>1</v>
      </c>
      <c r="C5235" t="s">
        <v>99</v>
      </c>
      <c r="D5235" t="s">
        <v>100</v>
      </c>
      <c r="E5235" s="1">
        <v>44402</v>
      </c>
      <c r="F5235">
        <v>4</v>
      </c>
      <c r="G5235" t="s">
        <v>53</v>
      </c>
      <c r="H5235" t="s">
        <v>54</v>
      </c>
      <c r="I5235" s="3">
        <v>1328</v>
      </c>
      <c r="J5235" s="3">
        <v>1328</v>
      </c>
      <c r="K5235" s="3">
        <v>386</v>
      </c>
      <c r="L5235" t="s">
        <v>98</v>
      </c>
      <c r="M5235">
        <v>16</v>
      </c>
      <c r="N5235" t="s">
        <v>17</v>
      </c>
      <c r="O5235" t="s">
        <v>11</v>
      </c>
      <c r="P5235" t="s">
        <v>18</v>
      </c>
      <c r="Q5235" t="s">
        <v>19</v>
      </c>
      <c r="R5235" t="s">
        <v>138</v>
      </c>
      <c r="S5235" t="s">
        <v>144</v>
      </c>
      <c r="T5235" s="2">
        <f>MASTER[[#This Row],[CANTIDAD]]*MASTER[[#This Row],[PRECIO DE VENTA]]</f>
        <v>5312</v>
      </c>
      <c r="U5235" s="2">
        <f>MASTER[[#This Row],[CANTIDAD]]*MASTER[[#This Row],[COSTO UNITARIO]]</f>
        <v>1544</v>
      </c>
      <c r="V5235" s="2">
        <f>MASTER[[#This Row],[MONTO VENDIDO]]-MASTER[[#This Row],[COSTO DE VENTA]]</f>
        <v>3768</v>
      </c>
    </row>
    <row r="5236" spans="1:22" x14ac:dyDescent="0.3">
      <c r="A5236">
        <v>74618</v>
      </c>
      <c r="B5236">
        <v>1</v>
      </c>
      <c r="C5236" t="s">
        <v>103</v>
      </c>
      <c r="D5236" t="s">
        <v>104</v>
      </c>
      <c r="E5236" s="1">
        <v>44403</v>
      </c>
      <c r="F5236">
        <v>4</v>
      </c>
      <c r="G5236" t="s">
        <v>51</v>
      </c>
      <c r="H5236" t="s">
        <v>52</v>
      </c>
      <c r="I5236" s="3">
        <v>1830</v>
      </c>
      <c r="J5236" s="3">
        <v>1830</v>
      </c>
      <c r="K5236" s="3">
        <v>421</v>
      </c>
      <c r="L5236" t="s">
        <v>98</v>
      </c>
      <c r="M5236">
        <v>6</v>
      </c>
      <c r="N5236" t="s">
        <v>75</v>
      </c>
      <c r="O5236" t="s">
        <v>70</v>
      </c>
      <c r="P5236" t="s">
        <v>12</v>
      </c>
      <c r="Q5236" t="s">
        <v>13</v>
      </c>
      <c r="R5236" t="s">
        <v>13</v>
      </c>
      <c r="S5236" t="s">
        <v>144</v>
      </c>
      <c r="T5236" s="2">
        <f>MASTER[[#This Row],[CANTIDAD]]*MASTER[[#This Row],[PRECIO DE VENTA]]</f>
        <v>7320</v>
      </c>
      <c r="U5236" s="2">
        <f>MASTER[[#This Row],[CANTIDAD]]*MASTER[[#This Row],[COSTO UNITARIO]]</f>
        <v>1684</v>
      </c>
      <c r="V5236" s="2">
        <f>MASTER[[#This Row],[MONTO VENDIDO]]-MASTER[[#This Row],[COSTO DE VENTA]]</f>
        <v>5636</v>
      </c>
    </row>
    <row r="5237" spans="1:22" x14ac:dyDescent="0.3">
      <c r="A5237">
        <v>74636</v>
      </c>
      <c r="B5237">
        <v>1</v>
      </c>
      <c r="C5237" t="s">
        <v>107</v>
      </c>
      <c r="D5237" t="s">
        <v>108</v>
      </c>
      <c r="E5237" s="1">
        <v>44403</v>
      </c>
      <c r="F5237">
        <v>1</v>
      </c>
      <c r="G5237" t="s">
        <v>65</v>
      </c>
      <c r="H5237" t="s">
        <v>66</v>
      </c>
      <c r="I5237" s="3">
        <v>1240</v>
      </c>
      <c r="J5237" s="3">
        <v>1240</v>
      </c>
      <c r="K5237" s="3">
        <v>380</v>
      </c>
      <c r="L5237" t="s">
        <v>98</v>
      </c>
      <c r="M5237">
        <v>11</v>
      </c>
      <c r="N5237" t="s">
        <v>10</v>
      </c>
      <c r="O5237" t="s">
        <v>11</v>
      </c>
      <c r="P5237" t="s">
        <v>12</v>
      </c>
      <c r="Q5237" t="s">
        <v>13</v>
      </c>
      <c r="R5237" t="s">
        <v>13</v>
      </c>
      <c r="S5237" t="s">
        <v>144</v>
      </c>
      <c r="T5237" s="2">
        <f>MASTER[[#This Row],[CANTIDAD]]*MASTER[[#This Row],[PRECIO DE VENTA]]</f>
        <v>1240</v>
      </c>
      <c r="U5237" s="2">
        <f>MASTER[[#This Row],[CANTIDAD]]*MASTER[[#This Row],[COSTO UNITARIO]]</f>
        <v>380</v>
      </c>
      <c r="V5237" s="2">
        <f>MASTER[[#This Row],[MONTO VENDIDO]]-MASTER[[#This Row],[COSTO DE VENTA]]</f>
        <v>860</v>
      </c>
    </row>
    <row r="5238" spans="1:22" x14ac:dyDescent="0.3">
      <c r="A5238">
        <v>74636</v>
      </c>
      <c r="B5238">
        <v>2</v>
      </c>
      <c r="C5238" t="s">
        <v>111</v>
      </c>
      <c r="D5238" t="s">
        <v>112</v>
      </c>
      <c r="E5238" s="1">
        <v>44403</v>
      </c>
      <c r="F5238">
        <v>1</v>
      </c>
      <c r="G5238" t="s">
        <v>43</v>
      </c>
      <c r="H5238" t="s">
        <v>44</v>
      </c>
      <c r="I5238" s="3">
        <v>1524</v>
      </c>
      <c r="J5238" s="3">
        <v>1524</v>
      </c>
      <c r="K5238" s="3">
        <v>434</v>
      </c>
      <c r="L5238" t="s">
        <v>113</v>
      </c>
      <c r="M5238">
        <v>11</v>
      </c>
      <c r="N5238" t="s">
        <v>10</v>
      </c>
      <c r="O5238" t="s">
        <v>11</v>
      </c>
      <c r="P5238" t="s">
        <v>12</v>
      </c>
      <c r="Q5238" t="s">
        <v>13</v>
      </c>
      <c r="R5238" t="s">
        <v>13</v>
      </c>
      <c r="S5238" t="s">
        <v>144</v>
      </c>
      <c r="T5238" s="2">
        <f>MASTER[[#This Row],[CANTIDAD]]*MASTER[[#This Row],[PRECIO DE VENTA]]</f>
        <v>1524</v>
      </c>
      <c r="U5238" s="2">
        <f>MASTER[[#This Row],[CANTIDAD]]*MASTER[[#This Row],[COSTO UNITARIO]]</f>
        <v>434</v>
      </c>
      <c r="V5238" s="2">
        <f>MASTER[[#This Row],[MONTO VENDIDO]]-MASTER[[#This Row],[COSTO DE VENTA]]</f>
        <v>1090</v>
      </c>
    </row>
    <row r="5239" spans="1:22" x14ac:dyDescent="0.3">
      <c r="A5239">
        <v>74649</v>
      </c>
      <c r="B5239">
        <v>1</v>
      </c>
      <c r="C5239" t="s">
        <v>109</v>
      </c>
      <c r="D5239" t="s">
        <v>110</v>
      </c>
      <c r="E5239" s="1">
        <v>44403</v>
      </c>
      <c r="F5239">
        <v>1</v>
      </c>
      <c r="G5239" t="s">
        <v>43</v>
      </c>
      <c r="H5239" t="s">
        <v>44</v>
      </c>
      <c r="I5239" s="3">
        <v>947</v>
      </c>
      <c r="J5239" s="3">
        <v>947</v>
      </c>
      <c r="K5239" s="3">
        <v>387</v>
      </c>
      <c r="L5239" t="s">
        <v>98</v>
      </c>
      <c r="M5239">
        <v>17</v>
      </c>
      <c r="N5239" t="s">
        <v>14</v>
      </c>
      <c r="O5239" t="s">
        <v>11</v>
      </c>
      <c r="P5239" t="s">
        <v>15</v>
      </c>
      <c r="Q5239" t="s">
        <v>16</v>
      </c>
      <c r="R5239" t="s">
        <v>16</v>
      </c>
      <c r="S5239" t="s">
        <v>144</v>
      </c>
      <c r="T5239" s="2">
        <f>MASTER[[#This Row],[CANTIDAD]]*MASTER[[#This Row],[PRECIO DE VENTA]]</f>
        <v>947</v>
      </c>
      <c r="U5239" s="2">
        <f>MASTER[[#This Row],[CANTIDAD]]*MASTER[[#This Row],[COSTO UNITARIO]]</f>
        <v>387</v>
      </c>
      <c r="V5239" s="2">
        <f>MASTER[[#This Row],[MONTO VENDIDO]]-MASTER[[#This Row],[COSTO DE VENTA]]</f>
        <v>560</v>
      </c>
    </row>
    <row r="5240" spans="1:22" x14ac:dyDescent="0.3">
      <c r="A5240">
        <v>74664</v>
      </c>
      <c r="B5240">
        <v>1</v>
      </c>
      <c r="C5240" t="s">
        <v>96</v>
      </c>
      <c r="D5240" t="s">
        <v>97</v>
      </c>
      <c r="E5240" s="1">
        <v>44403</v>
      </c>
      <c r="F5240">
        <v>1</v>
      </c>
      <c r="G5240" t="s">
        <v>53</v>
      </c>
      <c r="H5240" t="s">
        <v>54</v>
      </c>
      <c r="I5240" s="3">
        <v>1361</v>
      </c>
      <c r="J5240" s="3">
        <v>1361</v>
      </c>
      <c r="K5240" s="3">
        <v>397</v>
      </c>
      <c r="L5240" t="s">
        <v>98</v>
      </c>
      <c r="M5240">
        <v>9</v>
      </c>
      <c r="N5240" t="s">
        <v>76</v>
      </c>
      <c r="O5240" t="s">
        <v>70</v>
      </c>
      <c r="P5240" t="s">
        <v>12</v>
      </c>
      <c r="Q5240" t="s">
        <v>13</v>
      </c>
      <c r="R5240" t="s">
        <v>13</v>
      </c>
      <c r="S5240" t="s">
        <v>144</v>
      </c>
      <c r="T5240" s="2">
        <f>MASTER[[#This Row],[CANTIDAD]]*MASTER[[#This Row],[PRECIO DE VENTA]]</f>
        <v>1361</v>
      </c>
      <c r="U5240" s="2">
        <f>MASTER[[#This Row],[CANTIDAD]]*MASTER[[#This Row],[COSTO UNITARIO]]</f>
        <v>397</v>
      </c>
      <c r="V5240" s="2">
        <f>MASTER[[#This Row],[MONTO VENDIDO]]-MASTER[[#This Row],[COSTO DE VENTA]]</f>
        <v>964</v>
      </c>
    </row>
    <row r="5241" spans="1:22" x14ac:dyDescent="0.3">
      <c r="A5241">
        <v>74668</v>
      </c>
      <c r="B5241">
        <v>1</v>
      </c>
      <c r="C5241" t="s">
        <v>103</v>
      </c>
      <c r="D5241" t="s">
        <v>104</v>
      </c>
      <c r="E5241" s="1">
        <v>44403</v>
      </c>
      <c r="F5241">
        <v>1</v>
      </c>
      <c r="G5241" t="s">
        <v>35</v>
      </c>
      <c r="H5241" t="s">
        <v>36</v>
      </c>
      <c r="I5241" s="3">
        <v>1830</v>
      </c>
      <c r="J5241" s="3">
        <v>1830</v>
      </c>
      <c r="K5241" s="3">
        <v>421</v>
      </c>
      <c r="L5241" t="s">
        <v>98</v>
      </c>
      <c r="M5241">
        <v>6</v>
      </c>
      <c r="N5241" t="s">
        <v>75</v>
      </c>
      <c r="O5241" t="s">
        <v>70</v>
      </c>
      <c r="P5241" t="s">
        <v>12</v>
      </c>
      <c r="Q5241" t="s">
        <v>13</v>
      </c>
      <c r="R5241" t="s">
        <v>13</v>
      </c>
      <c r="S5241" t="s">
        <v>144</v>
      </c>
      <c r="T5241" s="2">
        <f>MASTER[[#This Row],[CANTIDAD]]*MASTER[[#This Row],[PRECIO DE VENTA]]</f>
        <v>1830</v>
      </c>
      <c r="U5241" s="2">
        <f>MASTER[[#This Row],[CANTIDAD]]*MASTER[[#This Row],[COSTO UNITARIO]]</f>
        <v>421</v>
      </c>
      <c r="V5241" s="2">
        <f>MASTER[[#This Row],[MONTO VENDIDO]]-MASTER[[#This Row],[COSTO DE VENTA]]</f>
        <v>1409</v>
      </c>
    </row>
    <row r="5242" spans="1:22" x14ac:dyDescent="0.3">
      <c r="A5242">
        <v>74681</v>
      </c>
      <c r="B5242">
        <v>1</v>
      </c>
      <c r="C5242" t="s">
        <v>96</v>
      </c>
      <c r="D5242" t="s">
        <v>97</v>
      </c>
      <c r="E5242" s="1">
        <v>44403</v>
      </c>
      <c r="F5242">
        <v>1</v>
      </c>
      <c r="G5242" t="s">
        <v>73</v>
      </c>
      <c r="H5242" t="s">
        <v>74</v>
      </c>
      <c r="I5242" s="3">
        <v>1361</v>
      </c>
      <c r="J5242" s="3">
        <v>1361</v>
      </c>
      <c r="K5242" s="3">
        <v>397</v>
      </c>
      <c r="L5242" t="s">
        <v>98</v>
      </c>
      <c r="M5242">
        <v>18</v>
      </c>
      <c r="N5242" t="s">
        <v>79</v>
      </c>
      <c r="O5242" t="s">
        <v>70</v>
      </c>
      <c r="P5242" t="s">
        <v>15</v>
      </c>
      <c r="Q5242" t="s">
        <v>16</v>
      </c>
      <c r="R5242" t="s">
        <v>16</v>
      </c>
      <c r="S5242" t="s">
        <v>144</v>
      </c>
      <c r="T5242" s="2">
        <f>MASTER[[#This Row],[CANTIDAD]]*MASTER[[#This Row],[PRECIO DE VENTA]]</f>
        <v>1361</v>
      </c>
      <c r="U5242" s="2">
        <f>MASTER[[#This Row],[CANTIDAD]]*MASTER[[#This Row],[COSTO UNITARIO]]</f>
        <v>397</v>
      </c>
      <c r="V5242" s="2">
        <f>MASTER[[#This Row],[MONTO VENDIDO]]-MASTER[[#This Row],[COSTO DE VENTA]]</f>
        <v>964</v>
      </c>
    </row>
    <row r="5243" spans="1:22" x14ac:dyDescent="0.3">
      <c r="A5243">
        <v>74688</v>
      </c>
      <c r="B5243">
        <v>1</v>
      </c>
      <c r="C5243" t="s">
        <v>94</v>
      </c>
      <c r="D5243" t="s">
        <v>95</v>
      </c>
      <c r="E5243" s="1">
        <v>44403</v>
      </c>
      <c r="F5243">
        <v>1</v>
      </c>
      <c r="G5243" t="s">
        <v>67</v>
      </c>
      <c r="H5243" t="s">
        <v>68</v>
      </c>
      <c r="I5243" s="3">
        <v>1153</v>
      </c>
      <c r="J5243" s="3">
        <v>1153</v>
      </c>
      <c r="K5243" s="3">
        <v>392</v>
      </c>
      <c r="L5243" t="s">
        <v>9</v>
      </c>
      <c r="M5243">
        <v>6</v>
      </c>
      <c r="N5243" t="s">
        <v>75</v>
      </c>
      <c r="O5243" t="s">
        <v>70</v>
      </c>
      <c r="P5243" t="s">
        <v>12</v>
      </c>
      <c r="Q5243" t="s">
        <v>13</v>
      </c>
      <c r="R5243" t="s">
        <v>13</v>
      </c>
      <c r="S5243" t="s">
        <v>144</v>
      </c>
      <c r="T5243" s="2">
        <f>MASTER[[#This Row],[CANTIDAD]]*MASTER[[#This Row],[PRECIO DE VENTA]]</f>
        <v>1153</v>
      </c>
      <c r="U5243" s="2">
        <f>MASTER[[#This Row],[CANTIDAD]]*MASTER[[#This Row],[COSTO UNITARIO]]</f>
        <v>392</v>
      </c>
      <c r="V5243" s="2">
        <f>MASTER[[#This Row],[MONTO VENDIDO]]-MASTER[[#This Row],[COSTO DE VENTA]]</f>
        <v>761</v>
      </c>
    </row>
    <row r="5244" spans="1:22" x14ac:dyDescent="0.3">
      <c r="A5244">
        <v>74712</v>
      </c>
      <c r="B5244">
        <v>1</v>
      </c>
      <c r="C5244" t="s">
        <v>118</v>
      </c>
      <c r="D5244" t="s">
        <v>119</v>
      </c>
      <c r="E5244" s="1">
        <v>44403</v>
      </c>
      <c r="F5244">
        <v>1</v>
      </c>
      <c r="G5244" t="s">
        <v>47</v>
      </c>
      <c r="H5244" t="s">
        <v>48</v>
      </c>
      <c r="I5244" s="3">
        <v>801</v>
      </c>
      <c r="J5244" s="3">
        <v>801</v>
      </c>
      <c r="K5244" s="3">
        <v>424</v>
      </c>
      <c r="L5244" t="s">
        <v>120</v>
      </c>
      <c r="M5244">
        <v>17</v>
      </c>
      <c r="N5244" t="s">
        <v>14</v>
      </c>
      <c r="O5244" t="s">
        <v>11</v>
      </c>
      <c r="P5244" t="s">
        <v>15</v>
      </c>
      <c r="Q5244" t="s">
        <v>16</v>
      </c>
      <c r="R5244" t="s">
        <v>16</v>
      </c>
      <c r="S5244" t="s">
        <v>144</v>
      </c>
      <c r="T5244" s="2">
        <f>MASTER[[#This Row],[CANTIDAD]]*MASTER[[#This Row],[PRECIO DE VENTA]]</f>
        <v>801</v>
      </c>
      <c r="U5244" s="2">
        <f>MASTER[[#This Row],[CANTIDAD]]*MASTER[[#This Row],[COSTO UNITARIO]]</f>
        <v>424</v>
      </c>
      <c r="V5244" s="2">
        <f>MASTER[[#This Row],[MONTO VENDIDO]]-MASTER[[#This Row],[COSTO DE VENTA]]</f>
        <v>377</v>
      </c>
    </row>
    <row r="5245" spans="1:22" x14ac:dyDescent="0.3">
      <c r="A5245">
        <v>74714</v>
      </c>
      <c r="B5245">
        <v>1</v>
      </c>
      <c r="C5245" t="s">
        <v>101</v>
      </c>
      <c r="D5245" t="s">
        <v>102</v>
      </c>
      <c r="E5245" s="1">
        <v>44403</v>
      </c>
      <c r="F5245">
        <v>1</v>
      </c>
      <c r="G5245" t="s">
        <v>43</v>
      </c>
      <c r="H5245" t="s">
        <v>44</v>
      </c>
      <c r="I5245" s="3">
        <v>1054</v>
      </c>
      <c r="J5245" s="3">
        <v>1054</v>
      </c>
      <c r="K5245" s="3">
        <v>442</v>
      </c>
      <c r="L5245" t="s">
        <v>98</v>
      </c>
      <c r="M5245">
        <v>11</v>
      </c>
      <c r="N5245" t="s">
        <v>10</v>
      </c>
      <c r="O5245" t="s">
        <v>11</v>
      </c>
      <c r="P5245" t="s">
        <v>12</v>
      </c>
      <c r="Q5245" t="s">
        <v>13</v>
      </c>
      <c r="R5245" t="s">
        <v>13</v>
      </c>
      <c r="S5245" t="s">
        <v>144</v>
      </c>
      <c r="T5245" s="2">
        <f>MASTER[[#This Row],[CANTIDAD]]*MASTER[[#This Row],[PRECIO DE VENTA]]</f>
        <v>1054</v>
      </c>
      <c r="U5245" s="2">
        <f>MASTER[[#This Row],[CANTIDAD]]*MASTER[[#This Row],[COSTO UNITARIO]]</f>
        <v>442</v>
      </c>
      <c r="V5245" s="2">
        <f>MASTER[[#This Row],[MONTO VENDIDO]]-MASTER[[#This Row],[COSTO DE VENTA]]</f>
        <v>612</v>
      </c>
    </row>
    <row r="5246" spans="1:22" x14ac:dyDescent="0.3">
      <c r="A5246">
        <v>74722</v>
      </c>
      <c r="B5246">
        <v>1</v>
      </c>
      <c r="C5246" t="s">
        <v>99</v>
      </c>
      <c r="D5246" t="s">
        <v>100</v>
      </c>
      <c r="E5246" s="1">
        <v>44404</v>
      </c>
      <c r="F5246">
        <v>1</v>
      </c>
      <c r="G5246" t="s">
        <v>39</v>
      </c>
      <c r="H5246" t="s">
        <v>40</v>
      </c>
      <c r="I5246" s="3">
        <v>1459</v>
      </c>
      <c r="J5246" s="3">
        <v>1459</v>
      </c>
      <c r="K5246" s="3">
        <v>386</v>
      </c>
      <c r="L5246" t="s">
        <v>98</v>
      </c>
      <c r="M5246">
        <v>19</v>
      </c>
      <c r="N5246" t="s">
        <v>89</v>
      </c>
      <c r="O5246" t="s">
        <v>81</v>
      </c>
      <c r="P5246" t="s">
        <v>15</v>
      </c>
      <c r="Q5246" t="s">
        <v>16</v>
      </c>
      <c r="R5246" t="s">
        <v>16</v>
      </c>
      <c r="S5246" t="s">
        <v>144</v>
      </c>
      <c r="T5246" s="2">
        <f>MASTER[[#This Row],[CANTIDAD]]*MASTER[[#This Row],[PRECIO DE VENTA]]</f>
        <v>1459</v>
      </c>
      <c r="U5246" s="2">
        <f>MASTER[[#This Row],[CANTIDAD]]*MASTER[[#This Row],[COSTO UNITARIO]]</f>
        <v>386</v>
      </c>
      <c r="V5246" s="2">
        <f>MASTER[[#This Row],[MONTO VENDIDO]]-MASTER[[#This Row],[COSTO DE VENTA]]</f>
        <v>1073</v>
      </c>
    </row>
    <row r="5247" spans="1:22" x14ac:dyDescent="0.3">
      <c r="A5247">
        <v>74729</v>
      </c>
      <c r="B5247">
        <v>1</v>
      </c>
      <c r="C5247" t="s">
        <v>101</v>
      </c>
      <c r="D5247" t="s">
        <v>102</v>
      </c>
      <c r="E5247" s="1">
        <v>44404</v>
      </c>
      <c r="F5247">
        <v>1</v>
      </c>
      <c r="G5247" t="s">
        <v>65</v>
      </c>
      <c r="H5247" t="s">
        <v>66</v>
      </c>
      <c r="I5247" s="3">
        <v>1357</v>
      </c>
      <c r="J5247" s="3">
        <v>1357</v>
      </c>
      <c r="K5247" s="3">
        <v>442</v>
      </c>
      <c r="L5247" t="s">
        <v>98</v>
      </c>
      <c r="M5247">
        <v>3</v>
      </c>
      <c r="N5247" t="s">
        <v>69</v>
      </c>
      <c r="O5247" t="s">
        <v>70</v>
      </c>
      <c r="P5247" t="s">
        <v>71</v>
      </c>
      <c r="Q5247" t="s">
        <v>72</v>
      </c>
      <c r="R5247" t="s">
        <v>139</v>
      </c>
      <c r="S5247" t="s">
        <v>144</v>
      </c>
      <c r="T5247" s="2">
        <f>MASTER[[#This Row],[CANTIDAD]]*MASTER[[#This Row],[PRECIO DE VENTA]]</f>
        <v>1357</v>
      </c>
      <c r="U5247" s="2">
        <f>MASTER[[#This Row],[CANTIDAD]]*MASTER[[#This Row],[COSTO UNITARIO]]</f>
        <v>442</v>
      </c>
      <c r="V5247" s="2">
        <f>MASTER[[#This Row],[MONTO VENDIDO]]-MASTER[[#This Row],[COSTO DE VENTA]]</f>
        <v>915</v>
      </c>
    </row>
    <row r="5248" spans="1:22" x14ac:dyDescent="0.3">
      <c r="A5248">
        <v>74744</v>
      </c>
      <c r="B5248">
        <v>1</v>
      </c>
      <c r="C5248" t="s">
        <v>5</v>
      </c>
      <c r="D5248" t="s">
        <v>6</v>
      </c>
      <c r="E5248" s="1">
        <v>44404</v>
      </c>
      <c r="F5248">
        <v>1</v>
      </c>
      <c r="G5248" t="s">
        <v>24</v>
      </c>
      <c r="H5248" t="s">
        <v>25</v>
      </c>
      <c r="I5248" s="3">
        <v>1311</v>
      </c>
      <c r="J5248" s="3">
        <v>1311</v>
      </c>
      <c r="K5248" s="3">
        <v>393</v>
      </c>
      <c r="L5248" t="s">
        <v>9</v>
      </c>
      <c r="M5248">
        <v>17</v>
      </c>
      <c r="N5248" t="s">
        <v>14</v>
      </c>
      <c r="O5248" t="s">
        <v>11</v>
      </c>
      <c r="P5248" t="s">
        <v>15</v>
      </c>
      <c r="Q5248" t="s">
        <v>16</v>
      </c>
      <c r="R5248" t="s">
        <v>16</v>
      </c>
      <c r="S5248" t="s">
        <v>144</v>
      </c>
      <c r="T5248" s="2">
        <f>MASTER[[#This Row],[CANTIDAD]]*MASTER[[#This Row],[PRECIO DE VENTA]]</f>
        <v>1311</v>
      </c>
      <c r="U5248" s="2">
        <f>MASTER[[#This Row],[CANTIDAD]]*MASTER[[#This Row],[COSTO UNITARIO]]</f>
        <v>393</v>
      </c>
      <c r="V5248" s="2">
        <f>MASTER[[#This Row],[MONTO VENDIDO]]-MASTER[[#This Row],[COSTO DE VENTA]]</f>
        <v>918</v>
      </c>
    </row>
    <row r="5249" spans="1:22" x14ac:dyDescent="0.3">
      <c r="A5249">
        <v>74782</v>
      </c>
      <c r="B5249">
        <v>1</v>
      </c>
      <c r="C5249" t="s">
        <v>114</v>
      </c>
      <c r="D5249" t="s">
        <v>115</v>
      </c>
      <c r="E5249" s="1">
        <v>44404</v>
      </c>
      <c r="F5249">
        <v>1</v>
      </c>
      <c r="G5249" t="s">
        <v>35</v>
      </c>
      <c r="H5249" t="s">
        <v>36</v>
      </c>
      <c r="I5249" s="3">
        <v>1862</v>
      </c>
      <c r="J5249" s="3">
        <v>1768</v>
      </c>
      <c r="K5249" s="3">
        <v>394</v>
      </c>
      <c r="L5249" t="s">
        <v>113</v>
      </c>
      <c r="M5249">
        <v>2</v>
      </c>
      <c r="N5249" t="s">
        <v>86</v>
      </c>
      <c r="O5249" t="s">
        <v>81</v>
      </c>
      <c r="P5249" t="s">
        <v>71</v>
      </c>
      <c r="Q5249" t="s">
        <v>72</v>
      </c>
      <c r="R5249" t="s">
        <v>139</v>
      </c>
      <c r="S5249" t="s">
        <v>144</v>
      </c>
      <c r="T5249" s="2">
        <f>MASTER[[#This Row],[CANTIDAD]]*MASTER[[#This Row],[PRECIO DE VENTA]]</f>
        <v>1768</v>
      </c>
      <c r="U5249" s="2">
        <f>MASTER[[#This Row],[CANTIDAD]]*MASTER[[#This Row],[COSTO UNITARIO]]</f>
        <v>394</v>
      </c>
      <c r="V5249" s="2">
        <f>MASTER[[#This Row],[MONTO VENDIDO]]-MASTER[[#This Row],[COSTO DE VENTA]]</f>
        <v>1374</v>
      </c>
    </row>
    <row r="5250" spans="1:22" x14ac:dyDescent="0.3">
      <c r="A5250">
        <v>74783</v>
      </c>
      <c r="B5250">
        <v>1</v>
      </c>
      <c r="C5250" t="s">
        <v>121</v>
      </c>
      <c r="D5250" t="s">
        <v>122</v>
      </c>
      <c r="E5250" s="1">
        <v>44404</v>
      </c>
      <c r="F5250">
        <v>1</v>
      </c>
      <c r="G5250" t="s">
        <v>57</v>
      </c>
      <c r="H5250" t="s">
        <v>58</v>
      </c>
      <c r="I5250" s="3">
        <v>1144</v>
      </c>
      <c r="J5250" s="3">
        <v>1144</v>
      </c>
      <c r="K5250" s="3">
        <v>460</v>
      </c>
      <c r="L5250" t="s">
        <v>120</v>
      </c>
      <c r="M5250">
        <v>3</v>
      </c>
      <c r="N5250" t="s">
        <v>69</v>
      </c>
      <c r="O5250" t="s">
        <v>70</v>
      </c>
      <c r="P5250" t="s">
        <v>71</v>
      </c>
      <c r="Q5250" t="s">
        <v>72</v>
      </c>
      <c r="R5250" t="s">
        <v>139</v>
      </c>
      <c r="S5250" t="s">
        <v>144</v>
      </c>
      <c r="T5250" s="2">
        <f>MASTER[[#This Row],[CANTIDAD]]*MASTER[[#This Row],[PRECIO DE VENTA]]</f>
        <v>1144</v>
      </c>
      <c r="U5250" s="2">
        <f>MASTER[[#This Row],[CANTIDAD]]*MASTER[[#This Row],[COSTO UNITARIO]]</f>
        <v>460</v>
      </c>
      <c r="V5250" s="2">
        <f>MASTER[[#This Row],[MONTO VENDIDO]]-MASTER[[#This Row],[COSTO DE VENTA]]</f>
        <v>684</v>
      </c>
    </row>
    <row r="5251" spans="1:22" x14ac:dyDescent="0.3">
      <c r="A5251">
        <v>74789</v>
      </c>
      <c r="B5251">
        <v>1</v>
      </c>
      <c r="C5251" t="s">
        <v>118</v>
      </c>
      <c r="D5251" t="s">
        <v>119</v>
      </c>
      <c r="E5251" s="1">
        <v>44404</v>
      </c>
      <c r="F5251">
        <v>1</v>
      </c>
      <c r="G5251" t="s">
        <v>35</v>
      </c>
      <c r="H5251" t="s">
        <v>36</v>
      </c>
      <c r="I5251" s="3">
        <v>900</v>
      </c>
      <c r="J5251" s="3">
        <v>900</v>
      </c>
      <c r="K5251" s="3">
        <v>424</v>
      </c>
      <c r="L5251" t="s">
        <v>120</v>
      </c>
      <c r="M5251">
        <v>10</v>
      </c>
      <c r="N5251" t="s">
        <v>83</v>
      </c>
      <c r="O5251" t="s">
        <v>81</v>
      </c>
      <c r="P5251" t="s">
        <v>12</v>
      </c>
      <c r="Q5251" t="s">
        <v>13</v>
      </c>
      <c r="R5251" t="s">
        <v>13</v>
      </c>
      <c r="S5251" t="s">
        <v>144</v>
      </c>
      <c r="T5251" s="2">
        <f>MASTER[[#This Row],[CANTIDAD]]*MASTER[[#This Row],[PRECIO DE VENTA]]</f>
        <v>900</v>
      </c>
      <c r="U5251" s="2">
        <f>MASTER[[#This Row],[CANTIDAD]]*MASTER[[#This Row],[COSTO UNITARIO]]</f>
        <v>424</v>
      </c>
      <c r="V5251" s="2">
        <f>MASTER[[#This Row],[MONTO VENDIDO]]-MASTER[[#This Row],[COSTO DE VENTA]]</f>
        <v>476</v>
      </c>
    </row>
    <row r="5252" spans="1:22" x14ac:dyDescent="0.3">
      <c r="A5252">
        <v>74802</v>
      </c>
      <c r="B5252">
        <v>1</v>
      </c>
      <c r="C5252" t="s">
        <v>114</v>
      </c>
      <c r="D5252" t="s">
        <v>115</v>
      </c>
      <c r="E5252" s="1">
        <v>44404</v>
      </c>
      <c r="F5252">
        <v>1</v>
      </c>
      <c r="G5252" t="s">
        <v>65</v>
      </c>
      <c r="H5252" t="s">
        <v>66</v>
      </c>
      <c r="I5252" s="3">
        <v>1862</v>
      </c>
      <c r="J5252" s="3">
        <v>1862</v>
      </c>
      <c r="K5252" s="3">
        <v>394</v>
      </c>
      <c r="L5252" t="s">
        <v>113</v>
      </c>
      <c r="M5252">
        <v>5</v>
      </c>
      <c r="N5252" t="s">
        <v>85</v>
      </c>
      <c r="O5252" t="s">
        <v>81</v>
      </c>
      <c r="P5252" t="s">
        <v>12</v>
      </c>
      <c r="Q5252" t="s">
        <v>13</v>
      </c>
      <c r="R5252" t="s">
        <v>13</v>
      </c>
      <c r="S5252" t="s">
        <v>144</v>
      </c>
      <c r="T5252" s="2">
        <f>MASTER[[#This Row],[CANTIDAD]]*MASTER[[#This Row],[PRECIO DE VENTA]]</f>
        <v>1862</v>
      </c>
      <c r="U5252" s="2">
        <f>MASTER[[#This Row],[CANTIDAD]]*MASTER[[#This Row],[COSTO UNITARIO]]</f>
        <v>394</v>
      </c>
      <c r="V5252" s="2">
        <f>MASTER[[#This Row],[MONTO VENDIDO]]-MASTER[[#This Row],[COSTO DE VENTA]]</f>
        <v>1468</v>
      </c>
    </row>
    <row r="5253" spans="1:22" x14ac:dyDescent="0.3">
      <c r="A5253">
        <v>74807</v>
      </c>
      <c r="B5253">
        <v>1</v>
      </c>
      <c r="C5253" t="s">
        <v>114</v>
      </c>
      <c r="D5253" t="s">
        <v>115</v>
      </c>
      <c r="E5253" s="1">
        <v>44404</v>
      </c>
      <c r="F5253">
        <v>1</v>
      </c>
      <c r="G5253" t="s">
        <v>67</v>
      </c>
      <c r="H5253" t="s">
        <v>68</v>
      </c>
      <c r="I5253" s="3">
        <v>2030</v>
      </c>
      <c r="J5253" s="3">
        <v>2030</v>
      </c>
      <c r="K5253" s="3">
        <v>394</v>
      </c>
      <c r="L5253" t="s">
        <v>113</v>
      </c>
      <c r="M5253">
        <v>9</v>
      </c>
      <c r="N5253" t="s">
        <v>76</v>
      </c>
      <c r="O5253" t="s">
        <v>70</v>
      </c>
      <c r="P5253" t="s">
        <v>12</v>
      </c>
      <c r="Q5253" t="s">
        <v>13</v>
      </c>
      <c r="R5253" t="s">
        <v>13</v>
      </c>
      <c r="S5253" t="s">
        <v>144</v>
      </c>
      <c r="T5253" s="2">
        <f>MASTER[[#This Row],[CANTIDAD]]*MASTER[[#This Row],[PRECIO DE VENTA]]</f>
        <v>2030</v>
      </c>
      <c r="U5253" s="2">
        <f>MASTER[[#This Row],[CANTIDAD]]*MASTER[[#This Row],[COSTO UNITARIO]]</f>
        <v>394</v>
      </c>
      <c r="V5253" s="2">
        <f>MASTER[[#This Row],[MONTO VENDIDO]]-MASTER[[#This Row],[COSTO DE VENTA]]</f>
        <v>1636</v>
      </c>
    </row>
    <row r="5254" spans="1:22" x14ac:dyDescent="0.3">
      <c r="A5254">
        <v>74828</v>
      </c>
      <c r="B5254">
        <v>1</v>
      </c>
      <c r="C5254" t="s">
        <v>105</v>
      </c>
      <c r="D5254" t="s">
        <v>106</v>
      </c>
      <c r="E5254" s="1">
        <v>44404</v>
      </c>
      <c r="F5254">
        <v>1</v>
      </c>
      <c r="G5254" t="s">
        <v>20</v>
      </c>
      <c r="H5254" t="s">
        <v>21</v>
      </c>
      <c r="I5254" s="3">
        <v>1865</v>
      </c>
      <c r="J5254" s="3">
        <v>1865</v>
      </c>
      <c r="K5254" s="3">
        <v>459</v>
      </c>
      <c r="L5254" t="s">
        <v>98</v>
      </c>
      <c r="M5254">
        <v>14</v>
      </c>
      <c r="N5254" t="s">
        <v>87</v>
      </c>
      <c r="O5254" t="s">
        <v>81</v>
      </c>
      <c r="P5254" t="s">
        <v>18</v>
      </c>
      <c r="Q5254" t="s">
        <v>19</v>
      </c>
      <c r="R5254" t="s">
        <v>138</v>
      </c>
      <c r="S5254" t="s">
        <v>144</v>
      </c>
      <c r="T5254" s="2">
        <f>MASTER[[#This Row],[CANTIDAD]]*MASTER[[#This Row],[PRECIO DE VENTA]]</f>
        <v>1865</v>
      </c>
      <c r="U5254" s="2">
        <f>MASTER[[#This Row],[CANTIDAD]]*MASTER[[#This Row],[COSTO UNITARIO]]</f>
        <v>459</v>
      </c>
      <c r="V5254" s="2">
        <f>MASTER[[#This Row],[MONTO VENDIDO]]-MASTER[[#This Row],[COSTO DE VENTA]]</f>
        <v>1406</v>
      </c>
    </row>
    <row r="5255" spans="1:22" x14ac:dyDescent="0.3">
      <c r="A5255">
        <v>74844</v>
      </c>
      <c r="B5255">
        <v>1</v>
      </c>
      <c r="C5255" t="s">
        <v>121</v>
      </c>
      <c r="D5255" t="s">
        <v>122</v>
      </c>
      <c r="E5255" s="1">
        <v>44404</v>
      </c>
      <c r="F5255">
        <v>1</v>
      </c>
      <c r="G5255" t="s">
        <v>67</v>
      </c>
      <c r="H5255" t="s">
        <v>68</v>
      </c>
      <c r="I5255" s="3">
        <v>1144</v>
      </c>
      <c r="J5255" s="3">
        <v>1144</v>
      </c>
      <c r="K5255" s="3">
        <v>460</v>
      </c>
      <c r="L5255" t="s">
        <v>120</v>
      </c>
      <c r="M5255">
        <v>1</v>
      </c>
      <c r="N5255" t="s">
        <v>77</v>
      </c>
      <c r="O5255" t="s">
        <v>70</v>
      </c>
      <c r="P5255" t="s">
        <v>71</v>
      </c>
      <c r="Q5255" t="s">
        <v>72</v>
      </c>
      <c r="R5255" t="s">
        <v>139</v>
      </c>
      <c r="S5255" t="s">
        <v>144</v>
      </c>
      <c r="T5255" s="2">
        <f>MASTER[[#This Row],[CANTIDAD]]*MASTER[[#This Row],[PRECIO DE VENTA]]</f>
        <v>1144</v>
      </c>
      <c r="U5255" s="2">
        <f>MASTER[[#This Row],[CANTIDAD]]*MASTER[[#This Row],[COSTO UNITARIO]]</f>
        <v>460</v>
      </c>
      <c r="V5255" s="2">
        <f>MASTER[[#This Row],[MONTO VENDIDO]]-MASTER[[#This Row],[COSTO DE VENTA]]</f>
        <v>684</v>
      </c>
    </row>
    <row r="5256" spans="1:22" x14ac:dyDescent="0.3">
      <c r="A5256">
        <v>74847</v>
      </c>
      <c r="B5256">
        <v>1</v>
      </c>
      <c r="C5256" t="s">
        <v>103</v>
      </c>
      <c r="D5256" t="s">
        <v>104</v>
      </c>
      <c r="E5256" s="1">
        <v>44404</v>
      </c>
      <c r="F5256">
        <v>1</v>
      </c>
      <c r="G5256" t="s">
        <v>53</v>
      </c>
      <c r="H5256" t="s">
        <v>54</v>
      </c>
      <c r="I5256" s="3">
        <v>1448</v>
      </c>
      <c r="J5256" s="3">
        <v>1448</v>
      </c>
      <c r="K5256" s="3">
        <v>421</v>
      </c>
      <c r="L5256" t="s">
        <v>98</v>
      </c>
      <c r="M5256">
        <v>16</v>
      </c>
      <c r="N5256" t="s">
        <v>17</v>
      </c>
      <c r="O5256" t="s">
        <v>11</v>
      </c>
      <c r="P5256" t="s">
        <v>18</v>
      </c>
      <c r="Q5256" t="s">
        <v>19</v>
      </c>
      <c r="R5256" t="s">
        <v>138</v>
      </c>
      <c r="S5256" t="s">
        <v>144</v>
      </c>
      <c r="T5256" s="2">
        <f>MASTER[[#This Row],[CANTIDAD]]*MASTER[[#This Row],[PRECIO DE VENTA]]</f>
        <v>1448</v>
      </c>
      <c r="U5256" s="2">
        <f>MASTER[[#This Row],[CANTIDAD]]*MASTER[[#This Row],[COSTO UNITARIO]]</f>
        <v>421</v>
      </c>
      <c r="V5256" s="2">
        <f>MASTER[[#This Row],[MONTO VENDIDO]]-MASTER[[#This Row],[COSTO DE VENTA]]</f>
        <v>1027</v>
      </c>
    </row>
    <row r="5257" spans="1:22" x14ac:dyDescent="0.3">
      <c r="A5257">
        <v>74863</v>
      </c>
      <c r="B5257">
        <v>1</v>
      </c>
      <c r="C5257" t="s">
        <v>5</v>
      </c>
      <c r="D5257" t="s">
        <v>6</v>
      </c>
      <c r="E5257" s="1">
        <v>44404</v>
      </c>
      <c r="F5257">
        <v>1</v>
      </c>
      <c r="G5257" t="s">
        <v>33</v>
      </c>
      <c r="H5257" t="s">
        <v>34</v>
      </c>
      <c r="I5257" s="3">
        <v>1507</v>
      </c>
      <c r="J5257" s="3">
        <v>1507</v>
      </c>
      <c r="K5257" s="3">
        <v>393</v>
      </c>
      <c r="L5257" t="s">
        <v>9</v>
      </c>
      <c r="M5257">
        <v>10</v>
      </c>
      <c r="N5257" t="s">
        <v>83</v>
      </c>
      <c r="O5257" t="s">
        <v>81</v>
      </c>
      <c r="P5257" t="s">
        <v>12</v>
      </c>
      <c r="Q5257" t="s">
        <v>13</v>
      </c>
      <c r="R5257" t="s">
        <v>13</v>
      </c>
      <c r="S5257" t="s">
        <v>144</v>
      </c>
      <c r="T5257" s="2">
        <f>MASTER[[#This Row],[CANTIDAD]]*MASTER[[#This Row],[PRECIO DE VENTA]]</f>
        <v>1507</v>
      </c>
      <c r="U5257" s="2">
        <f>MASTER[[#This Row],[CANTIDAD]]*MASTER[[#This Row],[COSTO UNITARIO]]</f>
        <v>393</v>
      </c>
      <c r="V5257" s="2">
        <f>MASTER[[#This Row],[MONTO VENDIDO]]-MASTER[[#This Row],[COSTO DE VENTA]]</f>
        <v>1114</v>
      </c>
    </row>
    <row r="5258" spans="1:22" x14ac:dyDescent="0.3">
      <c r="A5258">
        <v>74875</v>
      </c>
      <c r="B5258">
        <v>1</v>
      </c>
      <c r="C5258" t="s">
        <v>121</v>
      </c>
      <c r="D5258" t="s">
        <v>122</v>
      </c>
      <c r="E5258" s="1">
        <v>44404</v>
      </c>
      <c r="F5258">
        <v>1</v>
      </c>
      <c r="G5258" t="s">
        <v>65</v>
      </c>
      <c r="H5258" t="s">
        <v>66</v>
      </c>
      <c r="I5258" s="3">
        <v>1144</v>
      </c>
      <c r="J5258" s="3">
        <v>1052</v>
      </c>
      <c r="K5258" s="3">
        <v>460</v>
      </c>
      <c r="L5258" t="s">
        <v>120</v>
      </c>
      <c r="M5258">
        <v>6</v>
      </c>
      <c r="N5258" t="s">
        <v>75</v>
      </c>
      <c r="O5258" t="s">
        <v>70</v>
      </c>
      <c r="P5258" t="s">
        <v>12</v>
      </c>
      <c r="Q5258" t="s">
        <v>13</v>
      </c>
      <c r="R5258" t="s">
        <v>13</v>
      </c>
      <c r="S5258" t="s">
        <v>144</v>
      </c>
      <c r="T5258" s="2">
        <f>MASTER[[#This Row],[CANTIDAD]]*MASTER[[#This Row],[PRECIO DE VENTA]]</f>
        <v>1052</v>
      </c>
      <c r="U5258" s="2">
        <f>MASTER[[#This Row],[CANTIDAD]]*MASTER[[#This Row],[COSTO UNITARIO]]</f>
        <v>460</v>
      </c>
      <c r="V5258" s="2">
        <f>MASTER[[#This Row],[MONTO VENDIDO]]-MASTER[[#This Row],[COSTO DE VENTA]]</f>
        <v>592</v>
      </c>
    </row>
    <row r="5259" spans="1:22" x14ac:dyDescent="0.3">
      <c r="A5259">
        <v>74885</v>
      </c>
      <c r="B5259">
        <v>1</v>
      </c>
      <c r="C5259" t="s">
        <v>101</v>
      </c>
      <c r="D5259" t="s">
        <v>102</v>
      </c>
      <c r="E5259" s="1">
        <v>44404</v>
      </c>
      <c r="F5259">
        <v>1</v>
      </c>
      <c r="G5259" t="s">
        <v>47</v>
      </c>
      <c r="H5259" t="s">
        <v>48</v>
      </c>
      <c r="I5259" s="3">
        <v>1212</v>
      </c>
      <c r="J5259" s="3">
        <v>1212</v>
      </c>
      <c r="K5259" s="3">
        <v>442</v>
      </c>
      <c r="L5259" t="s">
        <v>98</v>
      </c>
      <c r="M5259">
        <v>14</v>
      </c>
      <c r="N5259" t="s">
        <v>87</v>
      </c>
      <c r="O5259" t="s">
        <v>81</v>
      </c>
      <c r="P5259" t="s">
        <v>18</v>
      </c>
      <c r="Q5259" t="s">
        <v>19</v>
      </c>
      <c r="R5259" t="s">
        <v>138</v>
      </c>
      <c r="S5259" t="s">
        <v>144</v>
      </c>
      <c r="T5259" s="2">
        <f>MASTER[[#This Row],[CANTIDAD]]*MASTER[[#This Row],[PRECIO DE VENTA]]</f>
        <v>1212</v>
      </c>
      <c r="U5259" s="2">
        <f>MASTER[[#This Row],[CANTIDAD]]*MASTER[[#This Row],[COSTO UNITARIO]]</f>
        <v>442</v>
      </c>
      <c r="V5259" s="2">
        <f>MASTER[[#This Row],[MONTO VENDIDO]]-MASTER[[#This Row],[COSTO DE VENTA]]</f>
        <v>770</v>
      </c>
    </row>
    <row r="5260" spans="1:22" x14ac:dyDescent="0.3">
      <c r="A5260">
        <v>74915</v>
      </c>
      <c r="B5260">
        <v>1</v>
      </c>
      <c r="C5260" t="s">
        <v>114</v>
      </c>
      <c r="D5260" t="s">
        <v>115</v>
      </c>
      <c r="E5260" s="1">
        <v>44405</v>
      </c>
      <c r="F5260">
        <v>1</v>
      </c>
      <c r="G5260" t="s">
        <v>49</v>
      </c>
      <c r="H5260" t="s">
        <v>50</v>
      </c>
      <c r="I5260" s="3">
        <v>2030</v>
      </c>
      <c r="J5260" s="3">
        <v>2030</v>
      </c>
      <c r="K5260" s="3">
        <v>394</v>
      </c>
      <c r="L5260" t="s">
        <v>113</v>
      </c>
      <c r="M5260">
        <v>9</v>
      </c>
      <c r="N5260" t="s">
        <v>76</v>
      </c>
      <c r="O5260" t="s">
        <v>70</v>
      </c>
      <c r="P5260" t="s">
        <v>12</v>
      </c>
      <c r="Q5260" t="s">
        <v>13</v>
      </c>
      <c r="R5260" t="s">
        <v>13</v>
      </c>
      <c r="S5260" t="s">
        <v>144</v>
      </c>
      <c r="T5260" s="2">
        <f>MASTER[[#This Row],[CANTIDAD]]*MASTER[[#This Row],[PRECIO DE VENTA]]</f>
        <v>2030</v>
      </c>
      <c r="U5260" s="2">
        <f>MASTER[[#This Row],[CANTIDAD]]*MASTER[[#This Row],[COSTO UNITARIO]]</f>
        <v>394</v>
      </c>
      <c r="V5260" s="2">
        <f>MASTER[[#This Row],[MONTO VENDIDO]]-MASTER[[#This Row],[COSTO DE VENTA]]</f>
        <v>1636</v>
      </c>
    </row>
    <row r="5261" spans="1:22" x14ac:dyDescent="0.3">
      <c r="A5261">
        <v>74928</v>
      </c>
      <c r="B5261">
        <v>1</v>
      </c>
      <c r="C5261" t="s">
        <v>5</v>
      </c>
      <c r="D5261" t="s">
        <v>6</v>
      </c>
      <c r="E5261" s="1">
        <v>44405</v>
      </c>
      <c r="F5261">
        <v>1</v>
      </c>
      <c r="G5261" t="s">
        <v>47</v>
      </c>
      <c r="H5261" t="s">
        <v>48</v>
      </c>
      <c r="I5261" s="3">
        <v>1507</v>
      </c>
      <c r="J5261" s="3">
        <v>1507</v>
      </c>
      <c r="K5261" s="3">
        <v>393</v>
      </c>
      <c r="L5261" t="s">
        <v>9</v>
      </c>
      <c r="M5261">
        <v>5</v>
      </c>
      <c r="N5261" t="s">
        <v>85</v>
      </c>
      <c r="O5261" t="s">
        <v>81</v>
      </c>
      <c r="P5261" t="s">
        <v>12</v>
      </c>
      <c r="Q5261" t="s">
        <v>13</v>
      </c>
      <c r="R5261" t="s">
        <v>13</v>
      </c>
      <c r="S5261" t="s">
        <v>144</v>
      </c>
      <c r="T5261" s="2">
        <f>MASTER[[#This Row],[CANTIDAD]]*MASTER[[#This Row],[PRECIO DE VENTA]]</f>
        <v>1507</v>
      </c>
      <c r="U5261" s="2">
        <f>MASTER[[#This Row],[CANTIDAD]]*MASTER[[#This Row],[COSTO UNITARIO]]</f>
        <v>393</v>
      </c>
      <c r="V5261" s="2">
        <f>MASTER[[#This Row],[MONTO VENDIDO]]-MASTER[[#This Row],[COSTO DE VENTA]]</f>
        <v>1114</v>
      </c>
    </row>
    <row r="5262" spans="1:22" x14ac:dyDescent="0.3">
      <c r="A5262">
        <v>74937</v>
      </c>
      <c r="B5262">
        <v>1</v>
      </c>
      <c r="C5262" t="s">
        <v>92</v>
      </c>
      <c r="D5262" t="s">
        <v>93</v>
      </c>
      <c r="E5262" s="1">
        <v>44405</v>
      </c>
      <c r="F5262">
        <v>1</v>
      </c>
      <c r="G5262" t="s">
        <v>67</v>
      </c>
      <c r="H5262" t="s">
        <v>68</v>
      </c>
      <c r="I5262" s="3">
        <v>1681</v>
      </c>
      <c r="J5262" s="3">
        <v>1681</v>
      </c>
      <c r="K5262" s="3">
        <v>396</v>
      </c>
      <c r="L5262" t="s">
        <v>9</v>
      </c>
      <c r="M5262">
        <v>8</v>
      </c>
      <c r="N5262" t="s">
        <v>80</v>
      </c>
      <c r="O5262" t="s">
        <v>81</v>
      </c>
      <c r="P5262" t="s">
        <v>12</v>
      </c>
      <c r="Q5262" t="s">
        <v>13</v>
      </c>
      <c r="R5262" t="s">
        <v>13</v>
      </c>
      <c r="S5262" t="s">
        <v>144</v>
      </c>
      <c r="T5262" s="2">
        <f>MASTER[[#This Row],[CANTIDAD]]*MASTER[[#This Row],[PRECIO DE VENTA]]</f>
        <v>1681</v>
      </c>
      <c r="U5262" s="2">
        <f>MASTER[[#This Row],[CANTIDAD]]*MASTER[[#This Row],[COSTO UNITARIO]]</f>
        <v>396</v>
      </c>
      <c r="V5262" s="2">
        <f>MASTER[[#This Row],[MONTO VENDIDO]]-MASTER[[#This Row],[COSTO DE VENTA]]</f>
        <v>1285</v>
      </c>
    </row>
    <row r="5263" spans="1:22" x14ac:dyDescent="0.3">
      <c r="A5263">
        <v>74939</v>
      </c>
      <c r="B5263">
        <v>1</v>
      </c>
      <c r="C5263" t="s">
        <v>109</v>
      </c>
      <c r="D5263" t="s">
        <v>110</v>
      </c>
      <c r="E5263" s="1">
        <v>44405</v>
      </c>
      <c r="F5263">
        <v>1</v>
      </c>
      <c r="G5263" t="s">
        <v>47</v>
      </c>
      <c r="H5263" t="s">
        <v>48</v>
      </c>
      <c r="I5263" s="3">
        <v>947</v>
      </c>
      <c r="J5263" s="3">
        <v>861</v>
      </c>
      <c r="K5263" s="3">
        <v>387</v>
      </c>
      <c r="L5263" t="s">
        <v>98</v>
      </c>
      <c r="M5263">
        <v>11</v>
      </c>
      <c r="N5263" t="s">
        <v>10</v>
      </c>
      <c r="O5263" t="s">
        <v>11</v>
      </c>
      <c r="P5263" t="s">
        <v>12</v>
      </c>
      <c r="Q5263" t="s">
        <v>13</v>
      </c>
      <c r="R5263" t="s">
        <v>13</v>
      </c>
      <c r="S5263" t="s">
        <v>144</v>
      </c>
      <c r="T5263" s="2">
        <f>MASTER[[#This Row],[CANTIDAD]]*MASTER[[#This Row],[PRECIO DE VENTA]]</f>
        <v>861</v>
      </c>
      <c r="U5263" s="2">
        <f>MASTER[[#This Row],[CANTIDAD]]*MASTER[[#This Row],[COSTO UNITARIO]]</f>
        <v>387</v>
      </c>
      <c r="V5263" s="2">
        <f>MASTER[[#This Row],[MONTO VENDIDO]]-MASTER[[#This Row],[COSTO DE VENTA]]</f>
        <v>474</v>
      </c>
    </row>
    <row r="5264" spans="1:22" x14ac:dyDescent="0.3">
      <c r="A5264">
        <v>74944</v>
      </c>
      <c r="B5264">
        <v>1</v>
      </c>
      <c r="C5264" t="s">
        <v>103</v>
      </c>
      <c r="D5264" t="s">
        <v>104</v>
      </c>
      <c r="E5264" s="1">
        <v>44405</v>
      </c>
      <c r="F5264">
        <v>1</v>
      </c>
      <c r="G5264" t="s">
        <v>29</v>
      </c>
      <c r="H5264" t="s">
        <v>30</v>
      </c>
      <c r="I5264" s="3">
        <v>1591</v>
      </c>
      <c r="J5264" s="3">
        <v>1591</v>
      </c>
      <c r="K5264" s="3">
        <v>421</v>
      </c>
      <c r="L5264" t="s">
        <v>98</v>
      </c>
      <c r="M5264">
        <v>7</v>
      </c>
      <c r="N5264" t="s">
        <v>84</v>
      </c>
      <c r="O5264" t="s">
        <v>81</v>
      </c>
      <c r="P5264" t="s">
        <v>12</v>
      </c>
      <c r="Q5264" t="s">
        <v>13</v>
      </c>
      <c r="R5264" t="s">
        <v>13</v>
      </c>
      <c r="S5264" t="s">
        <v>144</v>
      </c>
      <c r="T5264" s="2">
        <f>MASTER[[#This Row],[CANTIDAD]]*MASTER[[#This Row],[PRECIO DE VENTA]]</f>
        <v>1591</v>
      </c>
      <c r="U5264" s="2">
        <f>MASTER[[#This Row],[CANTIDAD]]*MASTER[[#This Row],[COSTO UNITARIO]]</f>
        <v>421</v>
      </c>
      <c r="V5264" s="2">
        <f>MASTER[[#This Row],[MONTO VENDIDO]]-MASTER[[#This Row],[COSTO DE VENTA]]</f>
        <v>1170</v>
      </c>
    </row>
    <row r="5265" spans="1:22" x14ac:dyDescent="0.3">
      <c r="A5265">
        <v>74965</v>
      </c>
      <c r="B5265">
        <v>1</v>
      </c>
      <c r="C5265" t="s">
        <v>101</v>
      </c>
      <c r="D5265" t="s">
        <v>102</v>
      </c>
      <c r="E5265" s="1">
        <v>44405</v>
      </c>
      <c r="F5265">
        <v>1</v>
      </c>
      <c r="G5265" t="s">
        <v>39</v>
      </c>
      <c r="H5265" t="s">
        <v>40</v>
      </c>
      <c r="I5265" s="3">
        <v>1054</v>
      </c>
      <c r="J5265" s="3">
        <v>1054</v>
      </c>
      <c r="K5265" s="3">
        <v>442</v>
      </c>
      <c r="L5265" t="s">
        <v>98</v>
      </c>
      <c r="M5265">
        <v>16</v>
      </c>
      <c r="N5265" t="s">
        <v>17</v>
      </c>
      <c r="O5265" t="s">
        <v>11</v>
      </c>
      <c r="P5265" t="s">
        <v>18</v>
      </c>
      <c r="Q5265" t="s">
        <v>19</v>
      </c>
      <c r="R5265" t="s">
        <v>138</v>
      </c>
      <c r="S5265" t="s">
        <v>144</v>
      </c>
      <c r="T5265" s="2">
        <f>MASTER[[#This Row],[CANTIDAD]]*MASTER[[#This Row],[PRECIO DE VENTA]]</f>
        <v>1054</v>
      </c>
      <c r="U5265" s="2">
        <f>MASTER[[#This Row],[CANTIDAD]]*MASTER[[#This Row],[COSTO UNITARIO]]</f>
        <v>442</v>
      </c>
      <c r="V5265" s="2">
        <f>MASTER[[#This Row],[MONTO VENDIDO]]-MASTER[[#This Row],[COSTO DE VENTA]]</f>
        <v>612</v>
      </c>
    </row>
    <row r="5266" spans="1:22" x14ac:dyDescent="0.3">
      <c r="A5266">
        <v>74969</v>
      </c>
      <c r="B5266">
        <v>1</v>
      </c>
      <c r="C5266" t="s">
        <v>109</v>
      </c>
      <c r="D5266" t="s">
        <v>110</v>
      </c>
      <c r="E5266" s="1">
        <v>44405</v>
      </c>
      <c r="F5266">
        <v>1</v>
      </c>
      <c r="G5266" t="s">
        <v>27</v>
      </c>
      <c r="H5266" t="s">
        <v>28</v>
      </c>
      <c r="I5266" s="3">
        <v>1064</v>
      </c>
      <c r="J5266" s="3">
        <v>1064</v>
      </c>
      <c r="K5266" s="3">
        <v>387</v>
      </c>
      <c r="L5266" t="s">
        <v>98</v>
      </c>
      <c r="M5266">
        <v>15</v>
      </c>
      <c r="N5266" t="s">
        <v>88</v>
      </c>
      <c r="O5266" t="s">
        <v>81</v>
      </c>
      <c r="P5266" t="s">
        <v>18</v>
      </c>
      <c r="Q5266" t="s">
        <v>19</v>
      </c>
      <c r="R5266" t="s">
        <v>138</v>
      </c>
      <c r="S5266" t="s">
        <v>144</v>
      </c>
      <c r="T5266" s="2">
        <f>MASTER[[#This Row],[CANTIDAD]]*MASTER[[#This Row],[PRECIO DE VENTA]]</f>
        <v>1064</v>
      </c>
      <c r="U5266" s="2">
        <f>MASTER[[#This Row],[CANTIDAD]]*MASTER[[#This Row],[COSTO UNITARIO]]</f>
        <v>387</v>
      </c>
      <c r="V5266" s="2">
        <f>MASTER[[#This Row],[MONTO VENDIDO]]-MASTER[[#This Row],[COSTO DE VENTA]]</f>
        <v>677</v>
      </c>
    </row>
    <row r="5267" spans="1:22" x14ac:dyDescent="0.3">
      <c r="A5267">
        <v>74984</v>
      </c>
      <c r="B5267">
        <v>1</v>
      </c>
      <c r="C5267" t="s">
        <v>101</v>
      </c>
      <c r="D5267" t="s">
        <v>102</v>
      </c>
      <c r="E5267" s="1">
        <v>44405</v>
      </c>
      <c r="F5267">
        <v>1</v>
      </c>
      <c r="G5267" t="s">
        <v>49</v>
      </c>
      <c r="H5267" t="s">
        <v>50</v>
      </c>
      <c r="I5267" s="3">
        <v>1054</v>
      </c>
      <c r="J5267" s="3">
        <v>1054</v>
      </c>
      <c r="K5267" s="3">
        <v>442</v>
      </c>
      <c r="L5267" t="s">
        <v>98</v>
      </c>
      <c r="M5267">
        <v>12</v>
      </c>
      <c r="N5267" t="s">
        <v>26</v>
      </c>
      <c r="O5267" t="s">
        <v>11</v>
      </c>
      <c r="P5267" t="s">
        <v>12</v>
      </c>
      <c r="Q5267" t="s">
        <v>13</v>
      </c>
      <c r="R5267" t="s">
        <v>13</v>
      </c>
      <c r="S5267" t="s">
        <v>144</v>
      </c>
      <c r="T5267" s="2">
        <f>MASTER[[#This Row],[CANTIDAD]]*MASTER[[#This Row],[PRECIO DE VENTA]]</f>
        <v>1054</v>
      </c>
      <c r="U5267" s="2">
        <f>MASTER[[#This Row],[CANTIDAD]]*MASTER[[#This Row],[COSTO UNITARIO]]</f>
        <v>442</v>
      </c>
      <c r="V5267" s="2">
        <f>MASTER[[#This Row],[MONTO VENDIDO]]-MASTER[[#This Row],[COSTO DE VENTA]]</f>
        <v>612</v>
      </c>
    </row>
    <row r="5268" spans="1:22" x14ac:dyDescent="0.3">
      <c r="A5268">
        <v>74987</v>
      </c>
      <c r="B5268">
        <v>1</v>
      </c>
      <c r="C5268" t="s">
        <v>118</v>
      </c>
      <c r="D5268" t="s">
        <v>119</v>
      </c>
      <c r="E5268" s="1">
        <v>44405</v>
      </c>
      <c r="F5268">
        <v>1</v>
      </c>
      <c r="G5268" t="s">
        <v>45</v>
      </c>
      <c r="H5268" t="s">
        <v>46</v>
      </c>
      <c r="I5268" s="3">
        <v>900</v>
      </c>
      <c r="J5268" s="3">
        <v>900</v>
      </c>
      <c r="K5268" s="3">
        <v>424</v>
      </c>
      <c r="L5268" t="s">
        <v>120</v>
      </c>
      <c r="M5268">
        <v>7</v>
      </c>
      <c r="N5268" t="s">
        <v>84</v>
      </c>
      <c r="O5268" t="s">
        <v>81</v>
      </c>
      <c r="P5268" t="s">
        <v>12</v>
      </c>
      <c r="Q5268" t="s">
        <v>13</v>
      </c>
      <c r="R5268" t="s">
        <v>13</v>
      </c>
      <c r="S5268" t="s">
        <v>144</v>
      </c>
      <c r="T5268" s="2">
        <f>MASTER[[#This Row],[CANTIDAD]]*MASTER[[#This Row],[PRECIO DE VENTA]]</f>
        <v>900</v>
      </c>
      <c r="U5268" s="2">
        <f>MASTER[[#This Row],[CANTIDAD]]*MASTER[[#This Row],[COSTO UNITARIO]]</f>
        <v>424</v>
      </c>
      <c r="V5268" s="2">
        <f>MASTER[[#This Row],[MONTO VENDIDO]]-MASTER[[#This Row],[COSTO DE VENTA]]</f>
        <v>476</v>
      </c>
    </row>
    <row r="5269" spans="1:22" x14ac:dyDescent="0.3">
      <c r="A5269">
        <v>74994</v>
      </c>
      <c r="B5269">
        <v>1</v>
      </c>
      <c r="C5269" t="s">
        <v>116</v>
      </c>
      <c r="D5269" t="s">
        <v>117</v>
      </c>
      <c r="E5269" s="1">
        <v>44405</v>
      </c>
      <c r="F5269">
        <v>2</v>
      </c>
      <c r="G5269" t="s">
        <v>47</v>
      </c>
      <c r="H5269" t="s">
        <v>48</v>
      </c>
      <c r="I5269" s="3">
        <v>1999</v>
      </c>
      <c r="J5269" s="3">
        <v>1999</v>
      </c>
      <c r="K5269" s="3">
        <v>388</v>
      </c>
      <c r="L5269" t="s">
        <v>113</v>
      </c>
      <c r="M5269">
        <v>9</v>
      </c>
      <c r="N5269" t="s">
        <v>76</v>
      </c>
      <c r="O5269" t="s">
        <v>70</v>
      </c>
      <c r="P5269" t="s">
        <v>12</v>
      </c>
      <c r="Q5269" t="s">
        <v>13</v>
      </c>
      <c r="R5269" t="s">
        <v>13</v>
      </c>
      <c r="S5269" t="s">
        <v>144</v>
      </c>
      <c r="T5269" s="2">
        <f>MASTER[[#This Row],[CANTIDAD]]*MASTER[[#This Row],[PRECIO DE VENTA]]</f>
        <v>3998</v>
      </c>
      <c r="U5269" s="2">
        <f>MASTER[[#This Row],[CANTIDAD]]*MASTER[[#This Row],[COSTO UNITARIO]]</f>
        <v>776</v>
      </c>
      <c r="V5269" s="2">
        <f>MASTER[[#This Row],[MONTO VENDIDO]]-MASTER[[#This Row],[COSTO DE VENTA]]</f>
        <v>3222</v>
      </c>
    </row>
    <row r="5270" spans="1:22" x14ac:dyDescent="0.3">
      <c r="A5270">
        <v>75039</v>
      </c>
      <c r="B5270">
        <v>1</v>
      </c>
      <c r="C5270" t="s">
        <v>107</v>
      </c>
      <c r="D5270" t="s">
        <v>108</v>
      </c>
      <c r="E5270" s="1">
        <v>44405</v>
      </c>
      <c r="F5270">
        <v>1</v>
      </c>
      <c r="G5270" t="s">
        <v>59</v>
      </c>
      <c r="H5270" t="s">
        <v>60</v>
      </c>
      <c r="I5270" s="3">
        <v>1333</v>
      </c>
      <c r="J5270" s="3">
        <v>1333</v>
      </c>
      <c r="K5270" s="3">
        <v>380</v>
      </c>
      <c r="L5270" t="s">
        <v>98</v>
      </c>
      <c r="M5270">
        <v>15</v>
      </c>
      <c r="N5270" t="s">
        <v>88</v>
      </c>
      <c r="O5270" t="s">
        <v>81</v>
      </c>
      <c r="P5270" t="s">
        <v>18</v>
      </c>
      <c r="Q5270" t="s">
        <v>19</v>
      </c>
      <c r="R5270" t="s">
        <v>138</v>
      </c>
      <c r="S5270" t="s">
        <v>144</v>
      </c>
      <c r="T5270" s="2">
        <f>MASTER[[#This Row],[CANTIDAD]]*MASTER[[#This Row],[PRECIO DE VENTA]]</f>
        <v>1333</v>
      </c>
      <c r="U5270" s="2">
        <f>MASTER[[#This Row],[CANTIDAD]]*MASTER[[#This Row],[COSTO UNITARIO]]</f>
        <v>380</v>
      </c>
      <c r="V5270" s="2">
        <f>MASTER[[#This Row],[MONTO VENDIDO]]-MASTER[[#This Row],[COSTO DE VENTA]]</f>
        <v>953</v>
      </c>
    </row>
    <row r="5271" spans="1:22" x14ac:dyDescent="0.3">
      <c r="A5271">
        <v>75044</v>
      </c>
      <c r="B5271">
        <v>1</v>
      </c>
      <c r="C5271" t="s">
        <v>96</v>
      </c>
      <c r="D5271" t="s">
        <v>97</v>
      </c>
      <c r="E5271" s="1">
        <v>44405</v>
      </c>
      <c r="F5271">
        <v>1</v>
      </c>
      <c r="G5271" t="s">
        <v>29</v>
      </c>
      <c r="H5271" t="s">
        <v>30</v>
      </c>
      <c r="I5271" s="3">
        <v>1361</v>
      </c>
      <c r="J5271" s="3">
        <v>1361</v>
      </c>
      <c r="K5271" s="3">
        <v>397</v>
      </c>
      <c r="L5271" t="s">
        <v>98</v>
      </c>
      <c r="M5271">
        <v>18</v>
      </c>
      <c r="N5271" t="s">
        <v>79</v>
      </c>
      <c r="O5271" t="s">
        <v>70</v>
      </c>
      <c r="P5271" t="s">
        <v>15</v>
      </c>
      <c r="Q5271" t="s">
        <v>16</v>
      </c>
      <c r="R5271" t="s">
        <v>16</v>
      </c>
      <c r="S5271" t="s">
        <v>144</v>
      </c>
      <c r="T5271" s="2">
        <f>MASTER[[#This Row],[CANTIDAD]]*MASTER[[#This Row],[PRECIO DE VENTA]]</f>
        <v>1361</v>
      </c>
      <c r="U5271" s="2">
        <f>MASTER[[#This Row],[CANTIDAD]]*MASTER[[#This Row],[COSTO UNITARIO]]</f>
        <v>397</v>
      </c>
      <c r="V5271" s="2">
        <f>MASTER[[#This Row],[MONTO VENDIDO]]-MASTER[[#This Row],[COSTO DE VENTA]]</f>
        <v>964</v>
      </c>
    </row>
    <row r="5272" spans="1:22" x14ac:dyDescent="0.3">
      <c r="A5272">
        <v>75067</v>
      </c>
      <c r="B5272">
        <v>1</v>
      </c>
      <c r="C5272" t="s">
        <v>116</v>
      </c>
      <c r="D5272" t="s">
        <v>117</v>
      </c>
      <c r="E5272" s="1">
        <v>44406</v>
      </c>
      <c r="F5272">
        <v>3</v>
      </c>
      <c r="G5272" t="s">
        <v>73</v>
      </c>
      <c r="H5272" t="s">
        <v>74</v>
      </c>
      <c r="I5272" s="3">
        <v>1738</v>
      </c>
      <c r="J5272" s="3">
        <v>1738</v>
      </c>
      <c r="K5272" s="3">
        <v>388</v>
      </c>
      <c r="L5272" t="s">
        <v>113</v>
      </c>
      <c r="M5272">
        <v>19</v>
      </c>
      <c r="N5272" t="s">
        <v>89</v>
      </c>
      <c r="O5272" t="s">
        <v>81</v>
      </c>
      <c r="P5272" t="s">
        <v>15</v>
      </c>
      <c r="Q5272" t="s">
        <v>16</v>
      </c>
      <c r="R5272" t="s">
        <v>16</v>
      </c>
      <c r="S5272" t="s">
        <v>144</v>
      </c>
      <c r="T5272" s="2">
        <f>MASTER[[#This Row],[CANTIDAD]]*MASTER[[#This Row],[PRECIO DE VENTA]]</f>
        <v>5214</v>
      </c>
      <c r="U5272" s="2">
        <f>MASTER[[#This Row],[CANTIDAD]]*MASTER[[#This Row],[COSTO UNITARIO]]</f>
        <v>1164</v>
      </c>
      <c r="V5272" s="2">
        <f>MASTER[[#This Row],[MONTO VENDIDO]]-MASTER[[#This Row],[COSTO DE VENTA]]</f>
        <v>4050</v>
      </c>
    </row>
    <row r="5273" spans="1:22" x14ac:dyDescent="0.3">
      <c r="A5273">
        <v>75097</v>
      </c>
      <c r="B5273">
        <v>1</v>
      </c>
      <c r="C5273" t="s">
        <v>111</v>
      </c>
      <c r="D5273" t="s">
        <v>112</v>
      </c>
      <c r="E5273" s="1">
        <v>44406</v>
      </c>
      <c r="F5273">
        <v>1</v>
      </c>
      <c r="G5273" t="s">
        <v>22</v>
      </c>
      <c r="H5273" t="s">
        <v>23</v>
      </c>
      <c r="I5273" s="3">
        <v>1524</v>
      </c>
      <c r="J5273" s="3">
        <v>1524</v>
      </c>
      <c r="K5273" s="3">
        <v>434</v>
      </c>
      <c r="L5273" t="s">
        <v>113</v>
      </c>
      <c r="M5273">
        <v>17</v>
      </c>
      <c r="N5273" t="s">
        <v>14</v>
      </c>
      <c r="O5273" t="s">
        <v>11</v>
      </c>
      <c r="P5273" t="s">
        <v>15</v>
      </c>
      <c r="Q5273" t="s">
        <v>16</v>
      </c>
      <c r="R5273" t="s">
        <v>16</v>
      </c>
      <c r="S5273" t="s">
        <v>144</v>
      </c>
      <c r="T5273" s="2">
        <f>MASTER[[#This Row],[CANTIDAD]]*MASTER[[#This Row],[PRECIO DE VENTA]]</f>
        <v>1524</v>
      </c>
      <c r="U5273" s="2">
        <f>MASTER[[#This Row],[CANTIDAD]]*MASTER[[#This Row],[COSTO UNITARIO]]</f>
        <v>434</v>
      </c>
      <c r="V5273" s="2">
        <f>MASTER[[#This Row],[MONTO VENDIDO]]-MASTER[[#This Row],[COSTO DE VENTA]]</f>
        <v>1090</v>
      </c>
    </row>
    <row r="5274" spans="1:22" x14ac:dyDescent="0.3">
      <c r="A5274">
        <v>75101</v>
      </c>
      <c r="B5274">
        <v>1</v>
      </c>
      <c r="C5274" t="s">
        <v>99</v>
      </c>
      <c r="D5274" t="s">
        <v>100</v>
      </c>
      <c r="E5274" s="1">
        <v>44406</v>
      </c>
      <c r="F5274">
        <v>1</v>
      </c>
      <c r="G5274" t="s">
        <v>35</v>
      </c>
      <c r="H5274" t="s">
        <v>36</v>
      </c>
      <c r="I5274" s="3">
        <v>1328</v>
      </c>
      <c r="J5274" s="3">
        <v>1235</v>
      </c>
      <c r="K5274" s="3">
        <v>386</v>
      </c>
      <c r="L5274" t="s">
        <v>98</v>
      </c>
      <c r="M5274">
        <v>17</v>
      </c>
      <c r="N5274" t="s">
        <v>14</v>
      </c>
      <c r="O5274" t="s">
        <v>11</v>
      </c>
      <c r="P5274" t="s">
        <v>15</v>
      </c>
      <c r="Q5274" t="s">
        <v>16</v>
      </c>
      <c r="R5274" t="s">
        <v>16</v>
      </c>
      <c r="S5274" t="s">
        <v>144</v>
      </c>
      <c r="T5274" s="2">
        <f>MASTER[[#This Row],[CANTIDAD]]*MASTER[[#This Row],[PRECIO DE VENTA]]</f>
        <v>1235</v>
      </c>
      <c r="U5274" s="2">
        <f>MASTER[[#This Row],[CANTIDAD]]*MASTER[[#This Row],[COSTO UNITARIO]]</f>
        <v>386</v>
      </c>
      <c r="V5274" s="2">
        <f>MASTER[[#This Row],[MONTO VENDIDO]]-MASTER[[#This Row],[COSTO DE VENTA]]</f>
        <v>849</v>
      </c>
    </row>
    <row r="5275" spans="1:22" x14ac:dyDescent="0.3">
      <c r="A5275">
        <v>75105</v>
      </c>
      <c r="B5275">
        <v>1</v>
      </c>
      <c r="C5275" t="s">
        <v>105</v>
      </c>
      <c r="D5275" t="s">
        <v>106</v>
      </c>
      <c r="E5275" s="1">
        <v>44406</v>
      </c>
      <c r="F5275">
        <v>1</v>
      </c>
      <c r="G5275" t="s">
        <v>57</v>
      </c>
      <c r="H5275" t="s">
        <v>58</v>
      </c>
      <c r="I5275" s="3">
        <v>2033</v>
      </c>
      <c r="J5275" s="3">
        <v>2033</v>
      </c>
      <c r="K5275" s="3">
        <v>459</v>
      </c>
      <c r="L5275" t="s">
        <v>98</v>
      </c>
      <c r="M5275">
        <v>18</v>
      </c>
      <c r="N5275" t="s">
        <v>79</v>
      </c>
      <c r="O5275" t="s">
        <v>70</v>
      </c>
      <c r="P5275" t="s">
        <v>15</v>
      </c>
      <c r="Q5275" t="s">
        <v>16</v>
      </c>
      <c r="R5275" t="s">
        <v>16</v>
      </c>
      <c r="S5275" t="s">
        <v>144</v>
      </c>
      <c r="T5275" s="2">
        <f>MASTER[[#This Row],[CANTIDAD]]*MASTER[[#This Row],[PRECIO DE VENTA]]</f>
        <v>2033</v>
      </c>
      <c r="U5275" s="2">
        <f>MASTER[[#This Row],[CANTIDAD]]*MASTER[[#This Row],[COSTO UNITARIO]]</f>
        <v>459</v>
      </c>
      <c r="V5275" s="2">
        <f>MASTER[[#This Row],[MONTO VENDIDO]]-MASTER[[#This Row],[COSTO DE VENTA]]</f>
        <v>1574</v>
      </c>
    </row>
    <row r="5276" spans="1:22" x14ac:dyDescent="0.3">
      <c r="A5276">
        <v>75117</v>
      </c>
      <c r="B5276">
        <v>1</v>
      </c>
      <c r="C5276" t="s">
        <v>94</v>
      </c>
      <c r="D5276" t="s">
        <v>95</v>
      </c>
      <c r="E5276" s="1">
        <v>44406</v>
      </c>
      <c r="F5276">
        <v>1</v>
      </c>
      <c r="G5276" t="s">
        <v>63</v>
      </c>
      <c r="H5276" t="s">
        <v>64</v>
      </c>
      <c r="I5276" s="3">
        <v>1153</v>
      </c>
      <c r="J5276" s="3">
        <v>1153</v>
      </c>
      <c r="K5276" s="3">
        <v>392</v>
      </c>
      <c r="L5276" t="s">
        <v>9</v>
      </c>
      <c r="M5276">
        <v>3</v>
      </c>
      <c r="N5276" t="s">
        <v>69</v>
      </c>
      <c r="O5276" t="s">
        <v>70</v>
      </c>
      <c r="P5276" t="s">
        <v>71</v>
      </c>
      <c r="Q5276" t="s">
        <v>72</v>
      </c>
      <c r="R5276" t="s">
        <v>139</v>
      </c>
      <c r="S5276" t="s">
        <v>144</v>
      </c>
      <c r="T5276" s="2">
        <f>MASTER[[#This Row],[CANTIDAD]]*MASTER[[#This Row],[PRECIO DE VENTA]]</f>
        <v>1153</v>
      </c>
      <c r="U5276" s="2">
        <f>MASTER[[#This Row],[CANTIDAD]]*MASTER[[#This Row],[COSTO UNITARIO]]</f>
        <v>392</v>
      </c>
      <c r="V5276" s="2">
        <f>MASTER[[#This Row],[MONTO VENDIDO]]-MASTER[[#This Row],[COSTO DE VENTA]]</f>
        <v>761</v>
      </c>
    </row>
    <row r="5277" spans="1:22" x14ac:dyDescent="0.3">
      <c r="A5277">
        <v>75161</v>
      </c>
      <c r="B5277">
        <v>1</v>
      </c>
      <c r="C5277" t="s">
        <v>99</v>
      </c>
      <c r="D5277" t="s">
        <v>100</v>
      </c>
      <c r="E5277" s="1">
        <v>44406</v>
      </c>
      <c r="F5277">
        <v>1</v>
      </c>
      <c r="G5277" t="s">
        <v>61</v>
      </c>
      <c r="H5277" t="s">
        <v>62</v>
      </c>
      <c r="I5277" s="3">
        <v>1459</v>
      </c>
      <c r="J5277" s="3">
        <v>1459</v>
      </c>
      <c r="K5277" s="3">
        <v>386</v>
      </c>
      <c r="L5277" t="s">
        <v>98</v>
      </c>
      <c r="M5277">
        <v>4</v>
      </c>
      <c r="N5277" t="s">
        <v>82</v>
      </c>
      <c r="O5277" t="s">
        <v>81</v>
      </c>
      <c r="P5277" t="s">
        <v>71</v>
      </c>
      <c r="Q5277" t="s">
        <v>72</v>
      </c>
      <c r="R5277" t="s">
        <v>139</v>
      </c>
      <c r="S5277" t="s">
        <v>144</v>
      </c>
      <c r="T5277" s="2">
        <f>MASTER[[#This Row],[CANTIDAD]]*MASTER[[#This Row],[PRECIO DE VENTA]]</f>
        <v>1459</v>
      </c>
      <c r="U5277" s="2">
        <f>MASTER[[#This Row],[CANTIDAD]]*MASTER[[#This Row],[COSTO UNITARIO]]</f>
        <v>386</v>
      </c>
      <c r="V5277" s="2">
        <f>MASTER[[#This Row],[MONTO VENDIDO]]-MASTER[[#This Row],[COSTO DE VENTA]]</f>
        <v>1073</v>
      </c>
    </row>
    <row r="5278" spans="1:22" x14ac:dyDescent="0.3">
      <c r="A5278">
        <v>75167</v>
      </c>
      <c r="B5278">
        <v>1</v>
      </c>
      <c r="C5278" t="s">
        <v>107</v>
      </c>
      <c r="D5278" t="s">
        <v>108</v>
      </c>
      <c r="E5278" s="1">
        <v>44406</v>
      </c>
      <c r="F5278">
        <v>1</v>
      </c>
      <c r="G5278" t="s">
        <v>59</v>
      </c>
      <c r="H5278" t="s">
        <v>60</v>
      </c>
      <c r="I5278" s="3">
        <v>1240</v>
      </c>
      <c r="J5278" s="3">
        <v>1240</v>
      </c>
      <c r="K5278" s="3">
        <v>380</v>
      </c>
      <c r="L5278" t="s">
        <v>98</v>
      </c>
      <c r="M5278">
        <v>12</v>
      </c>
      <c r="N5278" t="s">
        <v>26</v>
      </c>
      <c r="O5278" t="s">
        <v>11</v>
      </c>
      <c r="P5278" t="s">
        <v>12</v>
      </c>
      <c r="Q5278" t="s">
        <v>13</v>
      </c>
      <c r="R5278" t="s">
        <v>13</v>
      </c>
      <c r="S5278" t="s">
        <v>144</v>
      </c>
      <c r="T5278" s="2">
        <f>MASTER[[#This Row],[CANTIDAD]]*MASTER[[#This Row],[PRECIO DE VENTA]]</f>
        <v>1240</v>
      </c>
      <c r="U5278" s="2">
        <f>MASTER[[#This Row],[CANTIDAD]]*MASTER[[#This Row],[COSTO UNITARIO]]</f>
        <v>380</v>
      </c>
      <c r="V5278" s="2">
        <f>MASTER[[#This Row],[MONTO VENDIDO]]-MASTER[[#This Row],[COSTO DE VENTA]]</f>
        <v>860</v>
      </c>
    </row>
    <row r="5279" spans="1:22" x14ac:dyDescent="0.3">
      <c r="A5279">
        <v>75179</v>
      </c>
      <c r="B5279">
        <v>3</v>
      </c>
      <c r="C5279" t="s">
        <v>103</v>
      </c>
      <c r="D5279" t="s">
        <v>104</v>
      </c>
      <c r="E5279" s="1">
        <v>44406</v>
      </c>
      <c r="F5279">
        <v>1</v>
      </c>
      <c r="G5279" t="s">
        <v>7</v>
      </c>
      <c r="H5279" t="s">
        <v>8</v>
      </c>
      <c r="I5279" s="3">
        <v>1830</v>
      </c>
      <c r="J5279" s="3">
        <v>1830</v>
      </c>
      <c r="K5279" s="3">
        <v>421</v>
      </c>
      <c r="L5279" t="s">
        <v>98</v>
      </c>
      <c r="M5279">
        <v>9</v>
      </c>
      <c r="N5279" t="s">
        <v>76</v>
      </c>
      <c r="O5279" t="s">
        <v>70</v>
      </c>
      <c r="P5279" t="s">
        <v>12</v>
      </c>
      <c r="Q5279" t="s">
        <v>13</v>
      </c>
      <c r="R5279" t="s">
        <v>13</v>
      </c>
      <c r="S5279" t="s">
        <v>144</v>
      </c>
      <c r="T5279" s="2">
        <f>MASTER[[#This Row],[CANTIDAD]]*MASTER[[#This Row],[PRECIO DE VENTA]]</f>
        <v>1830</v>
      </c>
      <c r="U5279" s="2">
        <f>MASTER[[#This Row],[CANTIDAD]]*MASTER[[#This Row],[COSTO UNITARIO]]</f>
        <v>421</v>
      </c>
      <c r="V5279" s="2">
        <f>MASTER[[#This Row],[MONTO VENDIDO]]-MASTER[[#This Row],[COSTO DE VENTA]]</f>
        <v>1409</v>
      </c>
    </row>
    <row r="5280" spans="1:22" x14ac:dyDescent="0.3">
      <c r="A5280">
        <v>75179</v>
      </c>
      <c r="B5280">
        <v>1</v>
      </c>
      <c r="C5280" t="s">
        <v>111</v>
      </c>
      <c r="D5280" t="s">
        <v>112</v>
      </c>
      <c r="E5280" s="1">
        <v>44406</v>
      </c>
      <c r="F5280">
        <v>1</v>
      </c>
      <c r="G5280" t="s">
        <v>27</v>
      </c>
      <c r="H5280" t="s">
        <v>28</v>
      </c>
      <c r="I5280" s="3">
        <v>1799</v>
      </c>
      <c r="J5280" s="3">
        <v>1799</v>
      </c>
      <c r="K5280" s="3">
        <v>434</v>
      </c>
      <c r="L5280" t="s">
        <v>113</v>
      </c>
      <c r="M5280">
        <v>9</v>
      </c>
      <c r="N5280" t="s">
        <v>76</v>
      </c>
      <c r="O5280" t="s">
        <v>70</v>
      </c>
      <c r="P5280" t="s">
        <v>12</v>
      </c>
      <c r="Q5280" t="s">
        <v>13</v>
      </c>
      <c r="R5280" t="s">
        <v>13</v>
      </c>
      <c r="S5280" t="s">
        <v>144</v>
      </c>
      <c r="T5280" s="2">
        <f>MASTER[[#This Row],[CANTIDAD]]*MASTER[[#This Row],[PRECIO DE VENTA]]</f>
        <v>1799</v>
      </c>
      <c r="U5280" s="2">
        <f>MASTER[[#This Row],[CANTIDAD]]*MASTER[[#This Row],[COSTO UNITARIO]]</f>
        <v>434</v>
      </c>
      <c r="V5280" s="2">
        <f>MASTER[[#This Row],[MONTO VENDIDO]]-MASTER[[#This Row],[COSTO DE VENTA]]</f>
        <v>1365</v>
      </c>
    </row>
    <row r="5281" spans="1:22" x14ac:dyDescent="0.3">
      <c r="A5281">
        <v>75179</v>
      </c>
      <c r="B5281">
        <v>2</v>
      </c>
      <c r="C5281" t="s">
        <v>114</v>
      </c>
      <c r="D5281" t="s">
        <v>115</v>
      </c>
      <c r="E5281" s="1">
        <v>44406</v>
      </c>
      <c r="F5281">
        <v>1</v>
      </c>
      <c r="G5281" t="s">
        <v>29</v>
      </c>
      <c r="H5281" t="s">
        <v>30</v>
      </c>
      <c r="I5281" s="3">
        <v>2030</v>
      </c>
      <c r="J5281" s="3">
        <v>2030</v>
      </c>
      <c r="K5281" s="3">
        <v>394</v>
      </c>
      <c r="L5281" t="s">
        <v>113</v>
      </c>
      <c r="M5281">
        <v>9</v>
      </c>
      <c r="N5281" t="s">
        <v>76</v>
      </c>
      <c r="O5281" t="s">
        <v>70</v>
      </c>
      <c r="P5281" t="s">
        <v>12</v>
      </c>
      <c r="Q5281" t="s">
        <v>13</v>
      </c>
      <c r="R5281" t="s">
        <v>13</v>
      </c>
      <c r="S5281" t="s">
        <v>144</v>
      </c>
      <c r="T5281" s="2">
        <f>MASTER[[#This Row],[CANTIDAD]]*MASTER[[#This Row],[PRECIO DE VENTA]]</f>
        <v>2030</v>
      </c>
      <c r="U5281" s="2">
        <f>MASTER[[#This Row],[CANTIDAD]]*MASTER[[#This Row],[COSTO UNITARIO]]</f>
        <v>394</v>
      </c>
      <c r="V5281" s="2">
        <f>MASTER[[#This Row],[MONTO VENDIDO]]-MASTER[[#This Row],[COSTO DE VENTA]]</f>
        <v>1636</v>
      </c>
    </row>
    <row r="5282" spans="1:22" x14ac:dyDescent="0.3">
      <c r="A5282">
        <v>75202</v>
      </c>
      <c r="B5282">
        <v>1</v>
      </c>
      <c r="C5282" t="s">
        <v>101</v>
      </c>
      <c r="D5282" t="s">
        <v>102</v>
      </c>
      <c r="E5282" s="1">
        <v>44407</v>
      </c>
      <c r="F5282">
        <v>1</v>
      </c>
      <c r="G5282" t="s">
        <v>53</v>
      </c>
      <c r="H5282" t="s">
        <v>54</v>
      </c>
      <c r="I5282" s="3">
        <v>1212</v>
      </c>
      <c r="J5282" s="3">
        <v>1212</v>
      </c>
      <c r="K5282" s="3">
        <v>442</v>
      </c>
      <c r="L5282" t="s">
        <v>98</v>
      </c>
      <c r="M5282">
        <v>10</v>
      </c>
      <c r="N5282" t="s">
        <v>83</v>
      </c>
      <c r="O5282" t="s">
        <v>81</v>
      </c>
      <c r="P5282" t="s">
        <v>12</v>
      </c>
      <c r="Q5282" t="s">
        <v>13</v>
      </c>
      <c r="R5282" t="s">
        <v>13</v>
      </c>
      <c r="S5282" t="s">
        <v>144</v>
      </c>
      <c r="T5282" s="2">
        <f>MASTER[[#This Row],[CANTIDAD]]*MASTER[[#This Row],[PRECIO DE VENTA]]</f>
        <v>1212</v>
      </c>
      <c r="U5282" s="2">
        <f>MASTER[[#This Row],[CANTIDAD]]*MASTER[[#This Row],[COSTO UNITARIO]]</f>
        <v>442</v>
      </c>
      <c r="V5282" s="2">
        <f>MASTER[[#This Row],[MONTO VENDIDO]]-MASTER[[#This Row],[COSTO DE VENTA]]</f>
        <v>770</v>
      </c>
    </row>
    <row r="5283" spans="1:22" x14ac:dyDescent="0.3">
      <c r="A5283">
        <v>75204</v>
      </c>
      <c r="B5283">
        <v>1</v>
      </c>
      <c r="C5283" t="s">
        <v>92</v>
      </c>
      <c r="D5283" t="s">
        <v>93</v>
      </c>
      <c r="E5283" s="1">
        <v>44407</v>
      </c>
      <c r="F5283">
        <v>2</v>
      </c>
      <c r="G5283" t="s">
        <v>65</v>
      </c>
      <c r="H5283" t="s">
        <v>66</v>
      </c>
      <c r="I5283" s="3">
        <v>1681</v>
      </c>
      <c r="J5283" s="3">
        <v>1681</v>
      </c>
      <c r="K5283" s="3">
        <v>396</v>
      </c>
      <c r="L5283" t="s">
        <v>9</v>
      </c>
      <c r="M5283">
        <v>2</v>
      </c>
      <c r="N5283" t="s">
        <v>86</v>
      </c>
      <c r="O5283" t="s">
        <v>81</v>
      </c>
      <c r="P5283" t="s">
        <v>71</v>
      </c>
      <c r="Q5283" t="s">
        <v>72</v>
      </c>
      <c r="R5283" t="s">
        <v>139</v>
      </c>
      <c r="S5283" t="s">
        <v>144</v>
      </c>
      <c r="T5283" s="2">
        <f>MASTER[[#This Row],[CANTIDAD]]*MASTER[[#This Row],[PRECIO DE VENTA]]</f>
        <v>3362</v>
      </c>
      <c r="U5283" s="2">
        <f>MASTER[[#This Row],[CANTIDAD]]*MASTER[[#This Row],[COSTO UNITARIO]]</f>
        <v>792</v>
      </c>
      <c r="V5283" s="2">
        <f>MASTER[[#This Row],[MONTO VENDIDO]]-MASTER[[#This Row],[COSTO DE VENTA]]</f>
        <v>2570</v>
      </c>
    </row>
    <row r="5284" spans="1:22" x14ac:dyDescent="0.3">
      <c r="A5284">
        <v>75210</v>
      </c>
      <c r="B5284">
        <v>1</v>
      </c>
      <c r="C5284" t="s">
        <v>92</v>
      </c>
      <c r="D5284" t="s">
        <v>93</v>
      </c>
      <c r="E5284" s="1">
        <v>44407</v>
      </c>
      <c r="F5284">
        <v>1</v>
      </c>
      <c r="G5284" t="s">
        <v>41</v>
      </c>
      <c r="H5284" t="s">
        <v>42</v>
      </c>
      <c r="I5284" s="3">
        <v>1681</v>
      </c>
      <c r="J5284" s="3">
        <v>1681</v>
      </c>
      <c r="K5284" s="3">
        <v>396</v>
      </c>
      <c r="L5284" t="s">
        <v>9</v>
      </c>
      <c r="M5284">
        <v>7</v>
      </c>
      <c r="N5284" t="s">
        <v>84</v>
      </c>
      <c r="O5284" t="s">
        <v>81</v>
      </c>
      <c r="P5284" t="s">
        <v>12</v>
      </c>
      <c r="Q5284" t="s">
        <v>13</v>
      </c>
      <c r="R5284" t="s">
        <v>13</v>
      </c>
      <c r="S5284" t="s">
        <v>144</v>
      </c>
      <c r="T5284" s="2">
        <f>MASTER[[#This Row],[CANTIDAD]]*MASTER[[#This Row],[PRECIO DE VENTA]]</f>
        <v>1681</v>
      </c>
      <c r="U5284" s="2">
        <f>MASTER[[#This Row],[CANTIDAD]]*MASTER[[#This Row],[COSTO UNITARIO]]</f>
        <v>396</v>
      </c>
      <c r="V5284" s="2">
        <f>MASTER[[#This Row],[MONTO VENDIDO]]-MASTER[[#This Row],[COSTO DE VENTA]]</f>
        <v>1285</v>
      </c>
    </row>
    <row r="5285" spans="1:22" x14ac:dyDescent="0.3">
      <c r="A5285">
        <v>75219</v>
      </c>
      <c r="B5285">
        <v>1</v>
      </c>
      <c r="C5285" t="s">
        <v>121</v>
      </c>
      <c r="D5285" t="s">
        <v>122</v>
      </c>
      <c r="E5285" s="1">
        <v>44407</v>
      </c>
      <c r="F5285">
        <v>1</v>
      </c>
      <c r="G5285" t="s">
        <v>65</v>
      </c>
      <c r="H5285" t="s">
        <v>66</v>
      </c>
      <c r="I5285" s="3">
        <v>1144</v>
      </c>
      <c r="J5285" s="3">
        <v>1144</v>
      </c>
      <c r="K5285" s="3">
        <v>460</v>
      </c>
      <c r="L5285" t="s">
        <v>120</v>
      </c>
      <c r="M5285">
        <v>3</v>
      </c>
      <c r="N5285" t="s">
        <v>69</v>
      </c>
      <c r="O5285" t="s">
        <v>70</v>
      </c>
      <c r="P5285" t="s">
        <v>71</v>
      </c>
      <c r="Q5285" t="s">
        <v>72</v>
      </c>
      <c r="R5285" t="s">
        <v>139</v>
      </c>
      <c r="S5285" t="s">
        <v>144</v>
      </c>
      <c r="T5285" s="2">
        <f>MASTER[[#This Row],[CANTIDAD]]*MASTER[[#This Row],[PRECIO DE VENTA]]</f>
        <v>1144</v>
      </c>
      <c r="U5285" s="2">
        <f>MASTER[[#This Row],[CANTIDAD]]*MASTER[[#This Row],[COSTO UNITARIO]]</f>
        <v>460</v>
      </c>
      <c r="V5285" s="2">
        <f>MASTER[[#This Row],[MONTO VENDIDO]]-MASTER[[#This Row],[COSTO DE VENTA]]</f>
        <v>684</v>
      </c>
    </row>
    <row r="5286" spans="1:22" x14ac:dyDescent="0.3">
      <c r="A5286">
        <v>75222</v>
      </c>
      <c r="B5286">
        <v>1</v>
      </c>
      <c r="C5286" t="s">
        <v>5</v>
      </c>
      <c r="D5286" t="s">
        <v>6</v>
      </c>
      <c r="E5286" s="1">
        <v>44407</v>
      </c>
      <c r="F5286">
        <v>1</v>
      </c>
      <c r="G5286" t="s">
        <v>41</v>
      </c>
      <c r="H5286" t="s">
        <v>42</v>
      </c>
      <c r="I5286" s="3">
        <v>1311</v>
      </c>
      <c r="J5286" s="3">
        <v>1311</v>
      </c>
      <c r="K5286" s="3">
        <v>393</v>
      </c>
      <c r="L5286" t="s">
        <v>9</v>
      </c>
      <c r="M5286">
        <v>12</v>
      </c>
      <c r="N5286" t="s">
        <v>26</v>
      </c>
      <c r="O5286" t="s">
        <v>11</v>
      </c>
      <c r="P5286" t="s">
        <v>12</v>
      </c>
      <c r="Q5286" t="s">
        <v>13</v>
      </c>
      <c r="R5286" t="s">
        <v>13</v>
      </c>
      <c r="S5286" t="s">
        <v>144</v>
      </c>
      <c r="T5286" s="2">
        <f>MASTER[[#This Row],[CANTIDAD]]*MASTER[[#This Row],[PRECIO DE VENTA]]</f>
        <v>1311</v>
      </c>
      <c r="U5286" s="2">
        <f>MASTER[[#This Row],[CANTIDAD]]*MASTER[[#This Row],[COSTO UNITARIO]]</f>
        <v>393</v>
      </c>
      <c r="V5286" s="2">
        <f>MASTER[[#This Row],[MONTO VENDIDO]]-MASTER[[#This Row],[COSTO DE VENTA]]</f>
        <v>918</v>
      </c>
    </row>
    <row r="5287" spans="1:22" x14ac:dyDescent="0.3">
      <c r="A5287">
        <v>75231</v>
      </c>
      <c r="B5287">
        <v>1</v>
      </c>
      <c r="C5287" t="s">
        <v>107</v>
      </c>
      <c r="D5287" t="s">
        <v>108</v>
      </c>
      <c r="E5287" s="1">
        <v>44407</v>
      </c>
      <c r="F5287">
        <v>1</v>
      </c>
      <c r="G5287" t="s">
        <v>7</v>
      </c>
      <c r="H5287" t="s">
        <v>8</v>
      </c>
      <c r="I5287" s="3">
        <v>1440</v>
      </c>
      <c r="J5287" s="3">
        <v>1440</v>
      </c>
      <c r="K5287" s="3">
        <v>380</v>
      </c>
      <c r="L5287" t="s">
        <v>98</v>
      </c>
      <c r="M5287">
        <v>9</v>
      </c>
      <c r="N5287" t="s">
        <v>76</v>
      </c>
      <c r="O5287" t="s">
        <v>70</v>
      </c>
      <c r="P5287" t="s">
        <v>12</v>
      </c>
      <c r="Q5287" t="s">
        <v>13</v>
      </c>
      <c r="R5287" t="s">
        <v>13</v>
      </c>
      <c r="S5287" t="s">
        <v>144</v>
      </c>
      <c r="T5287" s="2">
        <f>MASTER[[#This Row],[CANTIDAD]]*MASTER[[#This Row],[PRECIO DE VENTA]]</f>
        <v>1440</v>
      </c>
      <c r="U5287" s="2">
        <f>MASTER[[#This Row],[CANTIDAD]]*MASTER[[#This Row],[COSTO UNITARIO]]</f>
        <v>380</v>
      </c>
      <c r="V5287" s="2">
        <f>MASTER[[#This Row],[MONTO VENDIDO]]-MASTER[[#This Row],[COSTO DE VENTA]]</f>
        <v>1060</v>
      </c>
    </row>
    <row r="5288" spans="1:22" x14ac:dyDescent="0.3">
      <c r="A5288">
        <v>75265</v>
      </c>
      <c r="B5288">
        <v>1</v>
      </c>
      <c r="C5288" t="s">
        <v>99</v>
      </c>
      <c r="D5288" t="s">
        <v>100</v>
      </c>
      <c r="E5288" s="1">
        <v>44407</v>
      </c>
      <c r="F5288">
        <v>1</v>
      </c>
      <c r="G5288" t="s">
        <v>24</v>
      </c>
      <c r="H5288" t="s">
        <v>25</v>
      </c>
      <c r="I5288" s="3">
        <v>1459</v>
      </c>
      <c r="J5288" s="3">
        <v>1459</v>
      </c>
      <c r="K5288" s="3">
        <v>386</v>
      </c>
      <c r="L5288" t="s">
        <v>98</v>
      </c>
      <c r="M5288">
        <v>15</v>
      </c>
      <c r="N5288" t="s">
        <v>88</v>
      </c>
      <c r="O5288" t="s">
        <v>81</v>
      </c>
      <c r="P5288" t="s">
        <v>18</v>
      </c>
      <c r="Q5288" t="s">
        <v>19</v>
      </c>
      <c r="R5288" t="s">
        <v>138</v>
      </c>
      <c r="S5288" t="s">
        <v>144</v>
      </c>
      <c r="T5288" s="2">
        <f>MASTER[[#This Row],[CANTIDAD]]*MASTER[[#This Row],[PRECIO DE VENTA]]</f>
        <v>1459</v>
      </c>
      <c r="U5288" s="2">
        <f>MASTER[[#This Row],[CANTIDAD]]*MASTER[[#This Row],[COSTO UNITARIO]]</f>
        <v>386</v>
      </c>
      <c r="V5288" s="2">
        <f>MASTER[[#This Row],[MONTO VENDIDO]]-MASTER[[#This Row],[COSTO DE VENTA]]</f>
        <v>1073</v>
      </c>
    </row>
    <row r="5289" spans="1:22" x14ac:dyDescent="0.3">
      <c r="A5289">
        <v>75272</v>
      </c>
      <c r="B5289">
        <v>1</v>
      </c>
      <c r="C5289" t="s">
        <v>114</v>
      </c>
      <c r="D5289" t="s">
        <v>115</v>
      </c>
      <c r="E5289" s="1">
        <v>44407</v>
      </c>
      <c r="F5289">
        <v>1</v>
      </c>
      <c r="G5289" t="s">
        <v>67</v>
      </c>
      <c r="H5289" t="s">
        <v>68</v>
      </c>
      <c r="I5289" s="3">
        <v>1862</v>
      </c>
      <c r="J5289" s="3">
        <v>1862</v>
      </c>
      <c r="K5289" s="3">
        <v>394</v>
      </c>
      <c r="L5289" t="s">
        <v>113</v>
      </c>
      <c r="M5289">
        <v>4</v>
      </c>
      <c r="N5289" t="s">
        <v>82</v>
      </c>
      <c r="O5289" t="s">
        <v>81</v>
      </c>
      <c r="P5289" t="s">
        <v>71</v>
      </c>
      <c r="Q5289" t="s">
        <v>72</v>
      </c>
      <c r="R5289" t="s">
        <v>139</v>
      </c>
      <c r="S5289" t="s">
        <v>144</v>
      </c>
      <c r="T5289" s="2">
        <f>MASTER[[#This Row],[CANTIDAD]]*MASTER[[#This Row],[PRECIO DE VENTA]]</f>
        <v>1862</v>
      </c>
      <c r="U5289" s="2">
        <f>MASTER[[#This Row],[CANTIDAD]]*MASTER[[#This Row],[COSTO UNITARIO]]</f>
        <v>394</v>
      </c>
      <c r="V5289" s="2">
        <f>MASTER[[#This Row],[MONTO VENDIDO]]-MASTER[[#This Row],[COSTO DE VENTA]]</f>
        <v>1468</v>
      </c>
    </row>
    <row r="5290" spans="1:22" x14ac:dyDescent="0.3">
      <c r="A5290">
        <v>75274</v>
      </c>
      <c r="B5290">
        <v>1</v>
      </c>
      <c r="C5290" t="s">
        <v>114</v>
      </c>
      <c r="D5290" t="s">
        <v>115</v>
      </c>
      <c r="E5290" s="1">
        <v>44407</v>
      </c>
      <c r="F5290">
        <v>1</v>
      </c>
      <c r="G5290" t="s">
        <v>51</v>
      </c>
      <c r="H5290" t="s">
        <v>52</v>
      </c>
      <c r="I5290" s="3">
        <v>1583</v>
      </c>
      <c r="J5290" s="3">
        <v>1583</v>
      </c>
      <c r="K5290" s="3">
        <v>394</v>
      </c>
      <c r="L5290" t="s">
        <v>113</v>
      </c>
      <c r="M5290">
        <v>17</v>
      </c>
      <c r="N5290" t="s">
        <v>14</v>
      </c>
      <c r="O5290" t="s">
        <v>11</v>
      </c>
      <c r="P5290" t="s">
        <v>15</v>
      </c>
      <c r="Q5290" t="s">
        <v>16</v>
      </c>
      <c r="R5290" t="s">
        <v>16</v>
      </c>
      <c r="S5290" t="s">
        <v>144</v>
      </c>
      <c r="T5290" s="2">
        <f>MASTER[[#This Row],[CANTIDAD]]*MASTER[[#This Row],[PRECIO DE VENTA]]</f>
        <v>1583</v>
      </c>
      <c r="U5290" s="2">
        <f>MASTER[[#This Row],[CANTIDAD]]*MASTER[[#This Row],[COSTO UNITARIO]]</f>
        <v>394</v>
      </c>
      <c r="V5290" s="2">
        <f>MASTER[[#This Row],[MONTO VENDIDO]]-MASTER[[#This Row],[COSTO DE VENTA]]</f>
        <v>1189</v>
      </c>
    </row>
    <row r="5291" spans="1:22" x14ac:dyDescent="0.3">
      <c r="A5291">
        <v>75281</v>
      </c>
      <c r="B5291">
        <v>1</v>
      </c>
      <c r="C5291" t="s">
        <v>118</v>
      </c>
      <c r="D5291" t="s">
        <v>119</v>
      </c>
      <c r="E5291" s="1">
        <v>44407</v>
      </c>
      <c r="F5291">
        <v>1</v>
      </c>
      <c r="G5291" t="s">
        <v>49</v>
      </c>
      <c r="H5291" t="s">
        <v>50</v>
      </c>
      <c r="I5291" s="3">
        <v>1026</v>
      </c>
      <c r="J5291" s="3">
        <v>1026</v>
      </c>
      <c r="K5291" s="3">
        <v>424</v>
      </c>
      <c r="L5291" t="s">
        <v>120</v>
      </c>
      <c r="M5291">
        <v>6</v>
      </c>
      <c r="N5291" t="s">
        <v>75</v>
      </c>
      <c r="O5291" t="s">
        <v>70</v>
      </c>
      <c r="P5291" t="s">
        <v>12</v>
      </c>
      <c r="Q5291" t="s">
        <v>13</v>
      </c>
      <c r="R5291" t="s">
        <v>13</v>
      </c>
      <c r="S5291" t="s">
        <v>144</v>
      </c>
      <c r="T5291" s="2">
        <f>MASTER[[#This Row],[CANTIDAD]]*MASTER[[#This Row],[PRECIO DE VENTA]]</f>
        <v>1026</v>
      </c>
      <c r="U5291" s="2">
        <f>MASTER[[#This Row],[CANTIDAD]]*MASTER[[#This Row],[COSTO UNITARIO]]</f>
        <v>424</v>
      </c>
      <c r="V5291" s="2">
        <f>MASTER[[#This Row],[MONTO VENDIDO]]-MASTER[[#This Row],[COSTO DE VENTA]]</f>
        <v>602</v>
      </c>
    </row>
    <row r="5292" spans="1:22" x14ac:dyDescent="0.3">
      <c r="A5292">
        <v>75286</v>
      </c>
      <c r="B5292">
        <v>1</v>
      </c>
      <c r="C5292" t="s">
        <v>5</v>
      </c>
      <c r="D5292" t="s">
        <v>6</v>
      </c>
      <c r="E5292" s="1">
        <v>44408</v>
      </c>
      <c r="F5292">
        <v>1</v>
      </c>
      <c r="G5292" t="s">
        <v>20</v>
      </c>
      <c r="H5292" t="s">
        <v>21</v>
      </c>
      <c r="I5292" s="3">
        <v>1296</v>
      </c>
      <c r="J5292" s="3">
        <v>1296</v>
      </c>
      <c r="K5292" s="3">
        <v>393</v>
      </c>
      <c r="L5292" t="s">
        <v>9</v>
      </c>
      <c r="M5292">
        <v>18</v>
      </c>
      <c r="N5292" t="s">
        <v>79</v>
      </c>
      <c r="O5292" t="s">
        <v>70</v>
      </c>
      <c r="P5292" t="s">
        <v>15</v>
      </c>
      <c r="Q5292" t="s">
        <v>16</v>
      </c>
      <c r="R5292" t="s">
        <v>16</v>
      </c>
      <c r="S5292" t="s">
        <v>144</v>
      </c>
      <c r="T5292" s="2">
        <f>MASTER[[#This Row],[CANTIDAD]]*MASTER[[#This Row],[PRECIO DE VENTA]]</f>
        <v>1296</v>
      </c>
      <c r="U5292" s="2">
        <f>MASTER[[#This Row],[CANTIDAD]]*MASTER[[#This Row],[COSTO UNITARIO]]</f>
        <v>393</v>
      </c>
      <c r="V5292" s="2">
        <f>MASTER[[#This Row],[MONTO VENDIDO]]-MASTER[[#This Row],[COSTO DE VENTA]]</f>
        <v>903</v>
      </c>
    </row>
    <row r="5293" spans="1:22" x14ac:dyDescent="0.3">
      <c r="A5293">
        <v>75301</v>
      </c>
      <c r="B5293">
        <v>1</v>
      </c>
      <c r="C5293" t="s">
        <v>103</v>
      </c>
      <c r="D5293" t="s">
        <v>104</v>
      </c>
      <c r="E5293" s="1">
        <v>44408</v>
      </c>
      <c r="F5293">
        <v>1</v>
      </c>
      <c r="G5293" t="s">
        <v>24</v>
      </c>
      <c r="H5293" t="s">
        <v>25</v>
      </c>
      <c r="I5293" s="3">
        <v>1591</v>
      </c>
      <c r="J5293" s="3">
        <v>1591</v>
      </c>
      <c r="K5293" s="3">
        <v>421</v>
      </c>
      <c r="L5293" t="s">
        <v>98</v>
      </c>
      <c r="M5293">
        <v>2</v>
      </c>
      <c r="N5293" t="s">
        <v>86</v>
      </c>
      <c r="O5293" t="s">
        <v>81</v>
      </c>
      <c r="P5293" t="s">
        <v>71</v>
      </c>
      <c r="Q5293" t="s">
        <v>72</v>
      </c>
      <c r="R5293" t="s">
        <v>139</v>
      </c>
      <c r="S5293" t="s">
        <v>144</v>
      </c>
      <c r="T5293" s="2">
        <f>MASTER[[#This Row],[CANTIDAD]]*MASTER[[#This Row],[PRECIO DE VENTA]]</f>
        <v>1591</v>
      </c>
      <c r="U5293" s="2">
        <f>MASTER[[#This Row],[CANTIDAD]]*MASTER[[#This Row],[COSTO UNITARIO]]</f>
        <v>421</v>
      </c>
      <c r="V5293" s="2">
        <f>MASTER[[#This Row],[MONTO VENDIDO]]-MASTER[[#This Row],[COSTO DE VENTA]]</f>
        <v>1170</v>
      </c>
    </row>
    <row r="5294" spans="1:22" x14ac:dyDescent="0.3">
      <c r="A5294">
        <v>75302</v>
      </c>
      <c r="B5294">
        <v>1</v>
      </c>
      <c r="C5294" t="s">
        <v>111</v>
      </c>
      <c r="D5294" t="s">
        <v>112</v>
      </c>
      <c r="E5294" s="1">
        <v>44408</v>
      </c>
      <c r="F5294">
        <v>1</v>
      </c>
      <c r="G5294" t="s">
        <v>37</v>
      </c>
      <c r="H5294" t="s">
        <v>38</v>
      </c>
      <c r="I5294" s="3">
        <v>1621</v>
      </c>
      <c r="J5294" s="3">
        <v>1621</v>
      </c>
      <c r="K5294" s="3">
        <v>434</v>
      </c>
      <c r="L5294" t="s">
        <v>113</v>
      </c>
      <c r="M5294">
        <v>4</v>
      </c>
      <c r="N5294" t="s">
        <v>82</v>
      </c>
      <c r="O5294" t="s">
        <v>81</v>
      </c>
      <c r="P5294" t="s">
        <v>71</v>
      </c>
      <c r="Q5294" t="s">
        <v>72</v>
      </c>
      <c r="R5294" t="s">
        <v>139</v>
      </c>
      <c r="S5294" t="s">
        <v>144</v>
      </c>
      <c r="T5294" s="2">
        <f>MASTER[[#This Row],[CANTIDAD]]*MASTER[[#This Row],[PRECIO DE VENTA]]</f>
        <v>1621</v>
      </c>
      <c r="U5294" s="2">
        <f>MASTER[[#This Row],[CANTIDAD]]*MASTER[[#This Row],[COSTO UNITARIO]]</f>
        <v>434</v>
      </c>
      <c r="V5294" s="2">
        <f>MASTER[[#This Row],[MONTO VENDIDO]]-MASTER[[#This Row],[COSTO DE VENTA]]</f>
        <v>1187</v>
      </c>
    </row>
    <row r="5295" spans="1:22" x14ac:dyDescent="0.3">
      <c r="A5295">
        <v>75322</v>
      </c>
      <c r="B5295">
        <v>1</v>
      </c>
      <c r="C5295" t="s">
        <v>94</v>
      </c>
      <c r="D5295" t="s">
        <v>95</v>
      </c>
      <c r="E5295" s="1">
        <v>44408</v>
      </c>
      <c r="F5295">
        <v>1</v>
      </c>
      <c r="G5295" t="s">
        <v>29</v>
      </c>
      <c r="H5295" t="s">
        <v>30</v>
      </c>
      <c r="I5295" s="3">
        <v>1048</v>
      </c>
      <c r="J5295" s="3">
        <v>1048</v>
      </c>
      <c r="K5295" s="3">
        <v>392</v>
      </c>
      <c r="L5295" t="s">
        <v>9</v>
      </c>
      <c r="M5295">
        <v>15</v>
      </c>
      <c r="N5295" t="s">
        <v>88</v>
      </c>
      <c r="O5295" t="s">
        <v>81</v>
      </c>
      <c r="P5295" t="s">
        <v>18</v>
      </c>
      <c r="Q5295" t="s">
        <v>19</v>
      </c>
      <c r="R5295" t="s">
        <v>138</v>
      </c>
      <c r="S5295" t="s">
        <v>144</v>
      </c>
      <c r="T5295" s="2">
        <f>MASTER[[#This Row],[CANTIDAD]]*MASTER[[#This Row],[PRECIO DE VENTA]]</f>
        <v>1048</v>
      </c>
      <c r="U5295" s="2">
        <f>MASTER[[#This Row],[CANTIDAD]]*MASTER[[#This Row],[COSTO UNITARIO]]</f>
        <v>392</v>
      </c>
      <c r="V5295" s="2">
        <f>MASTER[[#This Row],[MONTO VENDIDO]]-MASTER[[#This Row],[COSTO DE VENTA]]</f>
        <v>656</v>
      </c>
    </row>
    <row r="5296" spans="1:22" x14ac:dyDescent="0.3">
      <c r="A5296">
        <v>75328</v>
      </c>
      <c r="B5296">
        <v>1</v>
      </c>
      <c r="C5296" t="s">
        <v>94</v>
      </c>
      <c r="D5296" t="s">
        <v>95</v>
      </c>
      <c r="E5296" s="1">
        <v>44408</v>
      </c>
      <c r="F5296">
        <v>1</v>
      </c>
      <c r="G5296" t="s">
        <v>35</v>
      </c>
      <c r="H5296" t="s">
        <v>36</v>
      </c>
      <c r="I5296" s="3">
        <v>1048</v>
      </c>
      <c r="J5296" s="3">
        <v>1048</v>
      </c>
      <c r="K5296" s="3">
        <v>392</v>
      </c>
      <c r="L5296" t="s">
        <v>9</v>
      </c>
      <c r="M5296">
        <v>14</v>
      </c>
      <c r="N5296" t="s">
        <v>87</v>
      </c>
      <c r="O5296" t="s">
        <v>81</v>
      </c>
      <c r="P5296" t="s">
        <v>18</v>
      </c>
      <c r="Q5296" t="s">
        <v>19</v>
      </c>
      <c r="R5296" t="s">
        <v>138</v>
      </c>
      <c r="S5296" t="s">
        <v>144</v>
      </c>
      <c r="T5296" s="2">
        <f>MASTER[[#This Row],[CANTIDAD]]*MASTER[[#This Row],[PRECIO DE VENTA]]</f>
        <v>1048</v>
      </c>
      <c r="U5296" s="2">
        <f>MASTER[[#This Row],[CANTIDAD]]*MASTER[[#This Row],[COSTO UNITARIO]]</f>
        <v>392</v>
      </c>
      <c r="V5296" s="2">
        <f>MASTER[[#This Row],[MONTO VENDIDO]]-MASTER[[#This Row],[COSTO DE VENTA]]</f>
        <v>656</v>
      </c>
    </row>
    <row r="5297" spans="1:22" x14ac:dyDescent="0.3">
      <c r="A5297">
        <v>75337</v>
      </c>
      <c r="B5297">
        <v>1</v>
      </c>
      <c r="C5297" t="s">
        <v>111</v>
      </c>
      <c r="D5297" t="s">
        <v>112</v>
      </c>
      <c r="E5297" s="1">
        <v>44408</v>
      </c>
      <c r="F5297">
        <v>1</v>
      </c>
      <c r="G5297" t="s">
        <v>7</v>
      </c>
      <c r="H5297" t="s">
        <v>8</v>
      </c>
      <c r="I5297" s="3">
        <v>1524</v>
      </c>
      <c r="J5297" s="3">
        <v>1524</v>
      </c>
      <c r="K5297" s="3">
        <v>434</v>
      </c>
      <c r="L5297" t="s">
        <v>113</v>
      </c>
      <c r="M5297">
        <v>11</v>
      </c>
      <c r="N5297" t="s">
        <v>10</v>
      </c>
      <c r="O5297" t="s">
        <v>11</v>
      </c>
      <c r="P5297" t="s">
        <v>12</v>
      </c>
      <c r="Q5297" t="s">
        <v>13</v>
      </c>
      <c r="R5297" t="s">
        <v>13</v>
      </c>
      <c r="S5297" t="s">
        <v>144</v>
      </c>
      <c r="T5297" s="2">
        <f>MASTER[[#This Row],[CANTIDAD]]*MASTER[[#This Row],[PRECIO DE VENTA]]</f>
        <v>1524</v>
      </c>
      <c r="U5297" s="2">
        <f>MASTER[[#This Row],[CANTIDAD]]*MASTER[[#This Row],[COSTO UNITARIO]]</f>
        <v>434</v>
      </c>
      <c r="V5297" s="2">
        <f>MASTER[[#This Row],[MONTO VENDIDO]]-MASTER[[#This Row],[COSTO DE VENTA]]</f>
        <v>1090</v>
      </c>
    </row>
    <row r="5298" spans="1:22" x14ac:dyDescent="0.3">
      <c r="A5298">
        <v>75371</v>
      </c>
      <c r="B5298">
        <v>1</v>
      </c>
      <c r="C5298" t="s">
        <v>103</v>
      </c>
      <c r="D5298" t="s">
        <v>104</v>
      </c>
      <c r="E5298" s="1">
        <v>44408</v>
      </c>
      <c r="F5298">
        <v>1</v>
      </c>
      <c r="G5298" t="s">
        <v>29</v>
      </c>
      <c r="H5298" t="s">
        <v>30</v>
      </c>
      <c r="I5298" s="3">
        <v>1448</v>
      </c>
      <c r="J5298" s="3">
        <v>1448</v>
      </c>
      <c r="K5298" s="3">
        <v>421</v>
      </c>
      <c r="L5298" t="s">
        <v>98</v>
      </c>
      <c r="M5298">
        <v>12</v>
      </c>
      <c r="N5298" t="s">
        <v>26</v>
      </c>
      <c r="O5298" t="s">
        <v>11</v>
      </c>
      <c r="P5298" t="s">
        <v>12</v>
      </c>
      <c r="Q5298" t="s">
        <v>13</v>
      </c>
      <c r="R5298" t="s">
        <v>13</v>
      </c>
      <c r="S5298" t="s">
        <v>144</v>
      </c>
      <c r="T5298" s="2">
        <f>MASTER[[#This Row],[CANTIDAD]]*MASTER[[#This Row],[PRECIO DE VENTA]]</f>
        <v>1448</v>
      </c>
      <c r="U5298" s="2">
        <f>MASTER[[#This Row],[CANTIDAD]]*MASTER[[#This Row],[COSTO UNITARIO]]</f>
        <v>421</v>
      </c>
      <c r="V5298" s="2">
        <f>MASTER[[#This Row],[MONTO VENDIDO]]-MASTER[[#This Row],[COSTO DE VENTA]]</f>
        <v>1027</v>
      </c>
    </row>
    <row r="5299" spans="1:22" x14ac:dyDescent="0.3">
      <c r="A5299">
        <v>75384</v>
      </c>
      <c r="B5299">
        <v>1</v>
      </c>
      <c r="C5299" t="s">
        <v>105</v>
      </c>
      <c r="D5299" t="s">
        <v>106</v>
      </c>
      <c r="E5299" s="1">
        <v>44408</v>
      </c>
      <c r="F5299">
        <v>1</v>
      </c>
      <c r="G5299" t="s">
        <v>22</v>
      </c>
      <c r="H5299" t="s">
        <v>23</v>
      </c>
      <c r="I5299" s="3">
        <v>1865</v>
      </c>
      <c r="J5299" s="3">
        <v>1865</v>
      </c>
      <c r="K5299" s="3">
        <v>459</v>
      </c>
      <c r="L5299" t="s">
        <v>98</v>
      </c>
      <c r="M5299">
        <v>4</v>
      </c>
      <c r="N5299" t="s">
        <v>82</v>
      </c>
      <c r="O5299" t="s">
        <v>81</v>
      </c>
      <c r="P5299" t="s">
        <v>71</v>
      </c>
      <c r="Q5299" t="s">
        <v>72</v>
      </c>
      <c r="R5299" t="s">
        <v>139</v>
      </c>
      <c r="S5299" t="s">
        <v>144</v>
      </c>
      <c r="T5299" s="2">
        <f>MASTER[[#This Row],[CANTIDAD]]*MASTER[[#This Row],[PRECIO DE VENTA]]</f>
        <v>1865</v>
      </c>
      <c r="U5299" s="2">
        <f>MASTER[[#This Row],[CANTIDAD]]*MASTER[[#This Row],[COSTO UNITARIO]]</f>
        <v>459</v>
      </c>
      <c r="V5299" s="2">
        <f>MASTER[[#This Row],[MONTO VENDIDO]]-MASTER[[#This Row],[COSTO DE VENTA]]</f>
        <v>1406</v>
      </c>
    </row>
    <row r="5300" spans="1:22" x14ac:dyDescent="0.3">
      <c r="A5300">
        <v>75390</v>
      </c>
      <c r="B5300">
        <v>1</v>
      </c>
      <c r="C5300" t="s">
        <v>96</v>
      </c>
      <c r="D5300" t="s">
        <v>97</v>
      </c>
      <c r="E5300" s="1">
        <v>44409</v>
      </c>
      <c r="F5300">
        <v>1</v>
      </c>
      <c r="G5300" t="s">
        <v>73</v>
      </c>
      <c r="H5300" t="s">
        <v>74</v>
      </c>
      <c r="I5300" s="3">
        <v>1272</v>
      </c>
      <c r="J5300" s="3">
        <v>1272</v>
      </c>
      <c r="K5300" s="3">
        <v>397</v>
      </c>
      <c r="L5300" t="s">
        <v>98</v>
      </c>
      <c r="M5300">
        <v>19</v>
      </c>
      <c r="N5300" t="s">
        <v>89</v>
      </c>
      <c r="O5300" t="s">
        <v>81</v>
      </c>
      <c r="P5300" t="s">
        <v>15</v>
      </c>
      <c r="Q5300" t="s">
        <v>16</v>
      </c>
      <c r="R5300" t="s">
        <v>16</v>
      </c>
      <c r="S5300" t="s">
        <v>144</v>
      </c>
      <c r="T5300" s="2">
        <f>MASTER[[#This Row],[CANTIDAD]]*MASTER[[#This Row],[PRECIO DE VENTA]]</f>
        <v>1272</v>
      </c>
      <c r="U5300" s="2">
        <f>MASTER[[#This Row],[CANTIDAD]]*MASTER[[#This Row],[COSTO UNITARIO]]</f>
        <v>397</v>
      </c>
      <c r="V5300" s="2">
        <f>MASTER[[#This Row],[MONTO VENDIDO]]-MASTER[[#This Row],[COSTO DE VENTA]]</f>
        <v>875</v>
      </c>
    </row>
    <row r="5301" spans="1:22" x14ac:dyDescent="0.3">
      <c r="A5301">
        <v>75410</v>
      </c>
      <c r="B5301">
        <v>1</v>
      </c>
      <c r="C5301" t="s">
        <v>107</v>
      </c>
      <c r="D5301" t="s">
        <v>108</v>
      </c>
      <c r="E5301" s="1">
        <v>44409</v>
      </c>
      <c r="F5301">
        <v>1</v>
      </c>
      <c r="G5301" t="s">
        <v>65</v>
      </c>
      <c r="H5301" t="s">
        <v>66</v>
      </c>
      <c r="I5301" s="3">
        <v>1333</v>
      </c>
      <c r="J5301" s="3">
        <v>1333</v>
      </c>
      <c r="K5301" s="3">
        <v>380</v>
      </c>
      <c r="L5301" t="s">
        <v>98</v>
      </c>
      <c r="M5301">
        <v>15</v>
      </c>
      <c r="N5301" t="s">
        <v>88</v>
      </c>
      <c r="O5301" t="s">
        <v>81</v>
      </c>
      <c r="P5301" t="s">
        <v>18</v>
      </c>
      <c r="Q5301" t="s">
        <v>19</v>
      </c>
      <c r="R5301" t="s">
        <v>138</v>
      </c>
      <c r="S5301" t="s">
        <v>144</v>
      </c>
      <c r="T5301" s="2">
        <f>MASTER[[#This Row],[CANTIDAD]]*MASTER[[#This Row],[PRECIO DE VENTA]]</f>
        <v>1333</v>
      </c>
      <c r="U5301" s="2">
        <f>MASTER[[#This Row],[CANTIDAD]]*MASTER[[#This Row],[COSTO UNITARIO]]</f>
        <v>380</v>
      </c>
      <c r="V5301" s="2">
        <f>MASTER[[#This Row],[MONTO VENDIDO]]-MASTER[[#This Row],[COSTO DE VENTA]]</f>
        <v>953</v>
      </c>
    </row>
    <row r="5302" spans="1:22" x14ac:dyDescent="0.3">
      <c r="A5302">
        <v>75414</v>
      </c>
      <c r="B5302">
        <v>1</v>
      </c>
      <c r="C5302" t="s">
        <v>109</v>
      </c>
      <c r="D5302" t="s">
        <v>110</v>
      </c>
      <c r="E5302" s="1">
        <v>44409</v>
      </c>
      <c r="F5302">
        <v>1</v>
      </c>
      <c r="G5302" t="s">
        <v>65</v>
      </c>
      <c r="H5302" t="s">
        <v>66</v>
      </c>
      <c r="I5302" s="3">
        <v>1064</v>
      </c>
      <c r="J5302" s="3">
        <v>1064</v>
      </c>
      <c r="K5302" s="3">
        <v>387</v>
      </c>
      <c r="L5302" t="s">
        <v>98</v>
      </c>
      <c r="M5302">
        <v>5</v>
      </c>
      <c r="N5302" t="s">
        <v>85</v>
      </c>
      <c r="O5302" t="s">
        <v>81</v>
      </c>
      <c r="P5302" t="s">
        <v>12</v>
      </c>
      <c r="Q5302" t="s">
        <v>13</v>
      </c>
      <c r="R5302" t="s">
        <v>13</v>
      </c>
      <c r="S5302" t="s">
        <v>144</v>
      </c>
      <c r="T5302" s="2">
        <f>MASTER[[#This Row],[CANTIDAD]]*MASTER[[#This Row],[PRECIO DE VENTA]]</f>
        <v>1064</v>
      </c>
      <c r="U5302" s="2">
        <f>MASTER[[#This Row],[CANTIDAD]]*MASTER[[#This Row],[COSTO UNITARIO]]</f>
        <v>387</v>
      </c>
      <c r="V5302" s="2">
        <f>MASTER[[#This Row],[MONTO VENDIDO]]-MASTER[[#This Row],[COSTO DE VENTA]]</f>
        <v>677</v>
      </c>
    </row>
    <row r="5303" spans="1:22" x14ac:dyDescent="0.3">
      <c r="A5303">
        <v>75439</v>
      </c>
      <c r="B5303">
        <v>1</v>
      </c>
      <c r="C5303" t="s">
        <v>111</v>
      </c>
      <c r="D5303" t="s">
        <v>112</v>
      </c>
      <c r="E5303" s="1">
        <v>44409</v>
      </c>
      <c r="F5303">
        <v>1</v>
      </c>
      <c r="G5303" t="s">
        <v>7</v>
      </c>
      <c r="H5303" t="s">
        <v>8</v>
      </c>
      <c r="I5303" s="3">
        <v>1621</v>
      </c>
      <c r="J5303" s="3">
        <v>1621</v>
      </c>
      <c r="K5303" s="3">
        <v>434</v>
      </c>
      <c r="L5303" t="s">
        <v>113</v>
      </c>
      <c r="M5303">
        <v>10</v>
      </c>
      <c r="N5303" t="s">
        <v>83</v>
      </c>
      <c r="O5303" t="s">
        <v>81</v>
      </c>
      <c r="P5303" t="s">
        <v>12</v>
      </c>
      <c r="Q5303" t="s">
        <v>13</v>
      </c>
      <c r="R5303" t="s">
        <v>13</v>
      </c>
      <c r="S5303" t="s">
        <v>144</v>
      </c>
      <c r="T5303" s="2">
        <f>MASTER[[#This Row],[CANTIDAD]]*MASTER[[#This Row],[PRECIO DE VENTA]]</f>
        <v>1621</v>
      </c>
      <c r="U5303" s="2">
        <f>MASTER[[#This Row],[CANTIDAD]]*MASTER[[#This Row],[COSTO UNITARIO]]</f>
        <v>434</v>
      </c>
      <c r="V5303" s="2">
        <f>MASTER[[#This Row],[MONTO VENDIDO]]-MASTER[[#This Row],[COSTO DE VENTA]]</f>
        <v>1187</v>
      </c>
    </row>
    <row r="5304" spans="1:22" x14ac:dyDescent="0.3">
      <c r="A5304">
        <v>75447</v>
      </c>
      <c r="B5304">
        <v>1</v>
      </c>
      <c r="C5304" t="s">
        <v>114</v>
      </c>
      <c r="D5304" t="s">
        <v>115</v>
      </c>
      <c r="E5304" s="1">
        <v>44409</v>
      </c>
      <c r="F5304">
        <v>1</v>
      </c>
      <c r="G5304" t="s">
        <v>39</v>
      </c>
      <c r="H5304" t="s">
        <v>40</v>
      </c>
      <c r="I5304" s="3">
        <v>1862</v>
      </c>
      <c r="J5304" s="3">
        <v>1768</v>
      </c>
      <c r="K5304" s="3">
        <v>394</v>
      </c>
      <c r="L5304" t="s">
        <v>113</v>
      </c>
      <c r="M5304">
        <v>7</v>
      </c>
      <c r="N5304" t="s">
        <v>84</v>
      </c>
      <c r="O5304" t="s">
        <v>81</v>
      </c>
      <c r="P5304" t="s">
        <v>12</v>
      </c>
      <c r="Q5304" t="s">
        <v>13</v>
      </c>
      <c r="R5304" t="s">
        <v>13</v>
      </c>
      <c r="S5304" t="s">
        <v>144</v>
      </c>
      <c r="T5304" s="2">
        <f>MASTER[[#This Row],[CANTIDAD]]*MASTER[[#This Row],[PRECIO DE VENTA]]</f>
        <v>1768</v>
      </c>
      <c r="U5304" s="2">
        <f>MASTER[[#This Row],[CANTIDAD]]*MASTER[[#This Row],[COSTO UNITARIO]]</f>
        <v>394</v>
      </c>
      <c r="V5304" s="2">
        <f>MASTER[[#This Row],[MONTO VENDIDO]]-MASTER[[#This Row],[COSTO DE VENTA]]</f>
        <v>1374</v>
      </c>
    </row>
    <row r="5305" spans="1:22" x14ac:dyDescent="0.3">
      <c r="A5305">
        <v>75454</v>
      </c>
      <c r="B5305">
        <v>1</v>
      </c>
      <c r="C5305" t="s">
        <v>111</v>
      </c>
      <c r="D5305" t="s">
        <v>112</v>
      </c>
      <c r="E5305" s="1">
        <v>44409</v>
      </c>
      <c r="F5305">
        <v>1</v>
      </c>
      <c r="G5305" t="s">
        <v>35</v>
      </c>
      <c r="H5305" t="s">
        <v>36</v>
      </c>
      <c r="I5305" s="3">
        <v>1799</v>
      </c>
      <c r="J5305" s="3">
        <v>1799</v>
      </c>
      <c r="K5305" s="3">
        <v>434</v>
      </c>
      <c r="L5305" t="s">
        <v>113</v>
      </c>
      <c r="M5305">
        <v>6</v>
      </c>
      <c r="N5305" t="s">
        <v>75</v>
      </c>
      <c r="O5305" t="s">
        <v>70</v>
      </c>
      <c r="P5305" t="s">
        <v>12</v>
      </c>
      <c r="Q5305" t="s">
        <v>13</v>
      </c>
      <c r="R5305" t="s">
        <v>13</v>
      </c>
      <c r="S5305" t="s">
        <v>144</v>
      </c>
      <c r="T5305" s="2">
        <f>MASTER[[#This Row],[CANTIDAD]]*MASTER[[#This Row],[PRECIO DE VENTA]]</f>
        <v>1799</v>
      </c>
      <c r="U5305" s="2">
        <f>MASTER[[#This Row],[CANTIDAD]]*MASTER[[#This Row],[COSTO UNITARIO]]</f>
        <v>434</v>
      </c>
      <c r="V5305" s="2">
        <f>MASTER[[#This Row],[MONTO VENDIDO]]-MASTER[[#This Row],[COSTO DE VENTA]]</f>
        <v>1365</v>
      </c>
    </row>
    <row r="5306" spans="1:22" x14ac:dyDescent="0.3">
      <c r="A5306">
        <v>75462</v>
      </c>
      <c r="B5306">
        <v>1</v>
      </c>
      <c r="C5306" t="s">
        <v>101</v>
      </c>
      <c r="D5306" t="s">
        <v>102</v>
      </c>
      <c r="E5306" s="1">
        <v>44410</v>
      </c>
      <c r="F5306">
        <v>1</v>
      </c>
      <c r="G5306" t="s">
        <v>73</v>
      </c>
      <c r="H5306" t="s">
        <v>74</v>
      </c>
      <c r="I5306" s="3">
        <v>1054</v>
      </c>
      <c r="J5306" s="3">
        <v>1054</v>
      </c>
      <c r="K5306" s="3">
        <v>442</v>
      </c>
      <c r="L5306" t="s">
        <v>98</v>
      </c>
      <c r="M5306">
        <v>17</v>
      </c>
      <c r="N5306" t="s">
        <v>14</v>
      </c>
      <c r="O5306" t="s">
        <v>11</v>
      </c>
      <c r="P5306" t="s">
        <v>15</v>
      </c>
      <c r="Q5306" t="s">
        <v>16</v>
      </c>
      <c r="R5306" t="s">
        <v>16</v>
      </c>
      <c r="S5306" t="s">
        <v>144</v>
      </c>
      <c r="T5306" s="2">
        <f>MASTER[[#This Row],[CANTIDAD]]*MASTER[[#This Row],[PRECIO DE VENTA]]</f>
        <v>1054</v>
      </c>
      <c r="U5306" s="2">
        <f>MASTER[[#This Row],[CANTIDAD]]*MASTER[[#This Row],[COSTO UNITARIO]]</f>
        <v>442</v>
      </c>
      <c r="V5306" s="2">
        <f>MASTER[[#This Row],[MONTO VENDIDO]]-MASTER[[#This Row],[COSTO DE VENTA]]</f>
        <v>612</v>
      </c>
    </row>
    <row r="5307" spans="1:22" x14ac:dyDescent="0.3">
      <c r="A5307">
        <v>75488</v>
      </c>
      <c r="B5307">
        <v>1</v>
      </c>
      <c r="C5307" t="s">
        <v>107</v>
      </c>
      <c r="D5307" t="s">
        <v>108</v>
      </c>
      <c r="E5307" s="1">
        <v>44410</v>
      </c>
      <c r="F5307">
        <v>1</v>
      </c>
      <c r="G5307" t="s">
        <v>43</v>
      </c>
      <c r="H5307" t="s">
        <v>44</v>
      </c>
      <c r="I5307" s="3">
        <v>1333</v>
      </c>
      <c r="J5307" s="3">
        <v>1333</v>
      </c>
      <c r="K5307" s="3">
        <v>380</v>
      </c>
      <c r="L5307" t="s">
        <v>98</v>
      </c>
      <c r="M5307">
        <v>8</v>
      </c>
      <c r="N5307" t="s">
        <v>80</v>
      </c>
      <c r="O5307" t="s">
        <v>81</v>
      </c>
      <c r="P5307" t="s">
        <v>12</v>
      </c>
      <c r="Q5307" t="s">
        <v>13</v>
      </c>
      <c r="R5307" t="s">
        <v>13</v>
      </c>
      <c r="S5307" t="s">
        <v>144</v>
      </c>
      <c r="T5307" s="2">
        <f>MASTER[[#This Row],[CANTIDAD]]*MASTER[[#This Row],[PRECIO DE VENTA]]</f>
        <v>1333</v>
      </c>
      <c r="U5307" s="2">
        <f>MASTER[[#This Row],[CANTIDAD]]*MASTER[[#This Row],[COSTO UNITARIO]]</f>
        <v>380</v>
      </c>
      <c r="V5307" s="2">
        <f>MASTER[[#This Row],[MONTO VENDIDO]]-MASTER[[#This Row],[COSTO DE VENTA]]</f>
        <v>953</v>
      </c>
    </row>
    <row r="5308" spans="1:22" x14ac:dyDescent="0.3">
      <c r="A5308">
        <v>75490</v>
      </c>
      <c r="B5308">
        <v>1</v>
      </c>
      <c r="C5308" t="s">
        <v>94</v>
      </c>
      <c r="D5308" t="s">
        <v>95</v>
      </c>
      <c r="E5308" s="1">
        <v>44410</v>
      </c>
      <c r="F5308">
        <v>1</v>
      </c>
      <c r="G5308" t="s">
        <v>33</v>
      </c>
      <c r="H5308" t="s">
        <v>34</v>
      </c>
      <c r="I5308" s="3">
        <v>901</v>
      </c>
      <c r="J5308" s="3">
        <v>901</v>
      </c>
      <c r="K5308" s="3">
        <v>392</v>
      </c>
      <c r="L5308" t="s">
        <v>9</v>
      </c>
      <c r="M5308">
        <v>17</v>
      </c>
      <c r="N5308" t="s">
        <v>14</v>
      </c>
      <c r="O5308" t="s">
        <v>11</v>
      </c>
      <c r="P5308" t="s">
        <v>15</v>
      </c>
      <c r="Q5308" t="s">
        <v>16</v>
      </c>
      <c r="R5308" t="s">
        <v>16</v>
      </c>
      <c r="S5308" t="s">
        <v>144</v>
      </c>
      <c r="T5308" s="2">
        <f>MASTER[[#This Row],[CANTIDAD]]*MASTER[[#This Row],[PRECIO DE VENTA]]</f>
        <v>901</v>
      </c>
      <c r="U5308" s="2">
        <f>MASTER[[#This Row],[CANTIDAD]]*MASTER[[#This Row],[COSTO UNITARIO]]</f>
        <v>392</v>
      </c>
      <c r="V5308" s="2">
        <f>MASTER[[#This Row],[MONTO VENDIDO]]-MASTER[[#This Row],[COSTO DE VENTA]]</f>
        <v>509</v>
      </c>
    </row>
    <row r="5309" spans="1:22" x14ac:dyDescent="0.3">
      <c r="A5309">
        <v>75496</v>
      </c>
      <c r="B5309">
        <v>1</v>
      </c>
      <c r="C5309" t="s">
        <v>99</v>
      </c>
      <c r="D5309" t="s">
        <v>100</v>
      </c>
      <c r="E5309" s="1">
        <v>44410</v>
      </c>
      <c r="F5309">
        <v>1</v>
      </c>
      <c r="G5309" t="s">
        <v>61</v>
      </c>
      <c r="H5309" t="s">
        <v>62</v>
      </c>
      <c r="I5309" s="3">
        <v>1459</v>
      </c>
      <c r="J5309" s="3">
        <v>1459</v>
      </c>
      <c r="K5309" s="3">
        <v>386</v>
      </c>
      <c r="L5309" t="s">
        <v>98</v>
      </c>
      <c r="M5309">
        <v>8</v>
      </c>
      <c r="N5309" t="s">
        <v>80</v>
      </c>
      <c r="O5309" t="s">
        <v>81</v>
      </c>
      <c r="P5309" t="s">
        <v>12</v>
      </c>
      <c r="Q5309" t="s">
        <v>13</v>
      </c>
      <c r="R5309" t="s">
        <v>13</v>
      </c>
      <c r="S5309" t="s">
        <v>144</v>
      </c>
      <c r="T5309" s="2">
        <f>MASTER[[#This Row],[CANTIDAD]]*MASTER[[#This Row],[PRECIO DE VENTA]]</f>
        <v>1459</v>
      </c>
      <c r="U5309" s="2">
        <f>MASTER[[#This Row],[CANTIDAD]]*MASTER[[#This Row],[COSTO UNITARIO]]</f>
        <v>386</v>
      </c>
      <c r="V5309" s="2">
        <f>MASTER[[#This Row],[MONTO VENDIDO]]-MASTER[[#This Row],[COSTO DE VENTA]]</f>
        <v>1073</v>
      </c>
    </row>
    <row r="5310" spans="1:22" x14ac:dyDescent="0.3">
      <c r="A5310">
        <v>75507</v>
      </c>
      <c r="B5310">
        <v>1</v>
      </c>
      <c r="C5310" t="s">
        <v>92</v>
      </c>
      <c r="D5310" t="s">
        <v>93</v>
      </c>
      <c r="E5310" s="1">
        <v>44410</v>
      </c>
      <c r="F5310">
        <v>1</v>
      </c>
      <c r="G5310" t="s">
        <v>35</v>
      </c>
      <c r="H5310" t="s">
        <v>36</v>
      </c>
      <c r="I5310" s="3">
        <v>1479</v>
      </c>
      <c r="J5310" s="3">
        <v>1479</v>
      </c>
      <c r="K5310" s="3">
        <v>396</v>
      </c>
      <c r="L5310" t="s">
        <v>9</v>
      </c>
      <c r="M5310">
        <v>17</v>
      </c>
      <c r="N5310" t="s">
        <v>14</v>
      </c>
      <c r="O5310" t="s">
        <v>11</v>
      </c>
      <c r="P5310" t="s">
        <v>15</v>
      </c>
      <c r="Q5310" t="s">
        <v>16</v>
      </c>
      <c r="R5310" t="s">
        <v>16</v>
      </c>
      <c r="S5310" t="s">
        <v>144</v>
      </c>
      <c r="T5310" s="2">
        <f>MASTER[[#This Row],[CANTIDAD]]*MASTER[[#This Row],[PRECIO DE VENTA]]</f>
        <v>1479</v>
      </c>
      <c r="U5310" s="2">
        <f>MASTER[[#This Row],[CANTIDAD]]*MASTER[[#This Row],[COSTO UNITARIO]]</f>
        <v>396</v>
      </c>
      <c r="V5310" s="2">
        <f>MASTER[[#This Row],[MONTO VENDIDO]]-MASTER[[#This Row],[COSTO DE VENTA]]</f>
        <v>1083</v>
      </c>
    </row>
    <row r="5311" spans="1:22" x14ac:dyDescent="0.3">
      <c r="A5311">
        <v>75508</v>
      </c>
      <c r="B5311">
        <v>1</v>
      </c>
      <c r="C5311" t="s">
        <v>99</v>
      </c>
      <c r="D5311" t="s">
        <v>100</v>
      </c>
      <c r="E5311" s="1">
        <v>44410</v>
      </c>
      <c r="F5311">
        <v>1</v>
      </c>
      <c r="G5311" t="s">
        <v>73</v>
      </c>
      <c r="H5311" t="s">
        <v>74</v>
      </c>
      <c r="I5311" s="3">
        <v>1459</v>
      </c>
      <c r="J5311" s="3">
        <v>1459</v>
      </c>
      <c r="K5311" s="3">
        <v>386</v>
      </c>
      <c r="L5311" t="s">
        <v>98</v>
      </c>
      <c r="M5311">
        <v>7</v>
      </c>
      <c r="N5311" t="s">
        <v>84</v>
      </c>
      <c r="O5311" t="s">
        <v>81</v>
      </c>
      <c r="P5311" t="s">
        <v>12</v>
      </c>
      <c r="Q5311" t="s">
        <v>13</v>
      </c>
      <c r="R5311" t="s">
        <v>13</v>
      </c>
      <c r="S5311" t="s">
        <v>144</v>
      </c>
      <c r="T5311" s="2">
        <f>MASTER[[#This Row],[CANTIDAD]]*MASTER[[#This Row],[PRECIO DE VENTA]]</f>
        <v>1459</v>
      </c>
      <c r="U5311" s="2">
        <f>MASTER[[#This Row],[CANTIDAD]]*MASTER[[#This Row],[COSTO UNITARIO]]</f>
        <v>386</v>
      </c>
      <c r="V5311" s="2">
        <f>MASTER[[#This Row],[MONTO VENDIDO]]-MASTER[[#This Row],[COSTO DE VENTA]]</f>
        <v>1073</v>
      </c>
    </row>
    <row r="5312" spans="1:22" x14ac:dyDescent="0.3">
      <c r="A5312">
        <v>75513</v>
      </c>
      <c r="B5312">
        <v>1</v>
      </c>
      <c r="C5312" t="s">
        <v>107</v>
      </c>
      <c r="D5312" t="s">
        <v>108</v>
      </c>
      <c r="E5312" s="1">
        <v>44410</v>
      </c>
      <c r="F5312">
        <v>1</v>
      </c>
      <c r="G5312" t="s">
        <v>45</v>
      </c>
      <c r="H5312" t="s">
        <v>46</v>
      </c>
      <c r="I5312" s="3">
        <v>1333</v>
      </c>
      <c r="J5312" s="3">
        <v>1333</v>
      </c>
      <c r="K5312" s="3">
        <v>380</v>
      </c>
      <c r="L5312" t="s">
        <v>98</v>
      </c>
      <c r="M5312">
        <v>19</v>
      </c>
      <c r="N5312" t="s">
        <v>89</v>
      </c>
      <c r="O5312" t="s">
        <v>81</v>
      </c>
      <c r="P5312" t="s">
        <v>15</v>
      </c>
      <c r="Q5312" t="s">
        <v>16</v>
      </c>
      <c r="R5312" t="s">
        <v>16</v>
      </c>
      <c r="S5312" t="s">
        <v>144</v>
      </c>
      <c r="T5312" s="2">
        <f>MASTER[[#This Row],[CANTIDAD]]*MASTER[[#This Row],[PRECIO DE VENTA]]</f>
        <v>1333</v>
      </c>
      <c r="U5312" s="2">
        <f>MASTER[[#This Row],[CANTIDAD]]*MASTER[[#This Row],[COSTO UNITARIO]]</f>
        <v>380</v>
      </c>
      <c r="V5312" s="2">
        <f>MASTER[[#This Row],[MONTO VENDIDO]]-MASTER[[#This Row],[COSTO DE VENTA]]</f>
        <v>953</v>
      </c>
    </row>
    <row r="5313" spans="1:22" x14ac:dyDescent="0.3">
      <c r="A5313">
        <v>75513</v>
      </c>
      <c r="B5313">
        <v>2</v>
      </c>
      <c r="C5313" t="s">
        <v>107</v>
      </c>
      <c r="D5313" t="s">
        <v>108</v>
      </c>
      <c r="E5313" s="1">
        <v>44410</v>
      </c>
      <c r="F5313">
        <v>1</v>
      </c>
      <c r="G5313" t="s">
        <v>27</v>
      </c>
      <c r="H5313" t="s">
        <v>28</v>
      </c>
      <c r="I5313" s="3">
        <v>1333</v>
      </c>
      <c r="J5313" s="3">
        <v>1226</v>
      </c>
      <c r="K5313" s="3">
        <v>380</v>
      </c>
      <c r="L5313" t="s">
        <v>98</v>
      </c>
      <c r="M5313">
        <v>19</v>
      </c>
      <c r="N5313" t="s">
        <v>89</v>
      </c>
      <c r="O5313" t="s">
        <v>81</v>
      </c>
      <c r="P5313" t="s">
        <v>15</v>
      </c>
      <c r="Q5313" t="s">
        <v>16</v>
      </c>
      <c r="R5313" t="s">
        <v>16</v>
      </c>
      <c r="S5313" t="s">
        <v>144</v>
      </c>
      <c r="T5313" s="2">
        <f>MASTER[[#This Row],[CANTIDAD]]*MASTER[[#This Row],[PRECIO DE VENTA]]</f>
        <v>1226</v>
      </c>
      <c r="U5313" s="2">
        <f>MASTER[[#This Row],[CANTIDAD]]*MASTER[[#This Row],[COSTO UNITARIO]]</f>
        <v>380</v>
      </c>
      <c r="V5313" s="2">
        <f>MASTER[[#This Row],[MONTO VENDIDO]]-MASTER[[#This Row],[COSTO DE VENTA]]</f>
        <v>846</v>
      </c>
    </row>
    <row r="5314" spans="1:22" x14ac:dyDescent="0.3">
      <c r="A5314">
        <v>75546</v>
      </c>
      <c r="B5314">
        <v>1</v>
      </c>
      <c r="C5314" t="s">
        <v>103</v>
      </c>
      <c r="D5314" t="s">
        <v>104</v>
      </c>
      <c r="E5314" s="1">
        <v>44410</v>
      </c>
      <c r="F5314">
        <v>1</v>
      </c>
      <c r="G5314" t="s">
        <v>29</v>
      </c>
      <c r="H5314" t="s">
        <v>30</v>
      </c>
      <c r="I5314" s="3">
        <v>1591</v>
      </c>
      <c r="J5314" s="3">
        <v>1591</v>
      </c>
      <c r="K5314" s="3">
        <v>421</v>
      </c>
      <c r="L5314" t="s">
        <v>98</v>
      </c>
      <c r="M5314">
        <v>7</v>
      </c>
      <c r="N5314" t="s">
        <v>84</v>
      </c>
      <c r="O5314" t="s">
        <v>81</v>
      </c>
      <c r="P5314" t="s">
        <v>12</v>
      </c>
      <c r="Q5314" t="s">
        <v>13</v>
      </c>
      <c r="R5314" t="s">
        <v>13</v>
      </c>
      <c r="S5314" t="s">
        <v>144</v>
      </c>
      <c r="T5314" s="2">
        <f>MASTER[[#This Row],[CANTIDAD]]*MASTER[[#This Row],[PRECIO DE VENTA]]</f>
        <v>1591</v>
      </c>
      <c r="U5314" s="2">
        <f>MASTER[[#This Row],[CANTIDAD]]*MASTER[[#This Row],[COSTO UNITARIO]]</f>
        <v>421</v>
      </c>
      <c r="V5314" s="2">
        <f>MASTER[[#This Row],[MONTO VENDIDO]]-MASTER[[#This Row],[COSTO DE VENTA]]</f>
        <v>1170</v>
      </c>
    </row>
    <row r="5315" spans="1:22" x14ac:dyDescent="0.3">
      <c r="A5315">
        <v>75549</v>
      </c>
      <c r="B5315">
        <v>1</v>
      </c>
      <c r="C5315" t="s">
        <v>114</v>
      </c>
      <c r="D5315" t="s">
        <v>115</v>
      </c>
      <c r="E5315" s="1">
        <v>44410</v>
      </c>
      <c r="F5315">
        <v>1</v>
      </c>
      <c r="G5315" t="s">
        <v>63</v>
      </c>
      <c r="H5315" t="s">
        <v>64</v>
      </c>
      <c r="I5315" s="3">
        <v>1583</v>
      </c>
      <c r="J5315" s="3">
        <v>1583</v>
      </c>
      <c r="K5315" s="3">
        <v>394</v>
      </c>
      <c r="L5315" t="s">
        <v>113</v>
      </c>
      <c r="M5315">
        <v>12</v>
      </c>
      <c r="N5315" t="s">
        <v>26</v>
      </c>
      <c r="O5315" t="s">
        <v>11</v>
      </c>
      <c r="P5315" t="s">
        <v>12</v>
      </c>
      <c r="Q5315" t="s">
        <v>13</v>
      </c>
      <c r="R5315" t="s">
        <v>13</v>
      </c>
      <c r="S5315" t="s">
        <v>144</v>
      </c>
      <c r="T5315" s="2">
        <f>MASTER[[#This Row],[CANTIDAD]]*MASTER[[#This Row],[PRECIO DE VENTA]]</f>
        <v>1583</v>
      </c>
      <c r="U5315" s="2">
        <f>MASTER[[#This Row],[CANTIDAD]]*MASTER[[#This Row],[COSTO UNITARIO]]</f>
        <v>394</v>
      </c>
      <c r="V5315" s="2">
        <f>MASTER[[#This Row],[MONTO VENDIDO]]-MASTER[[#This Row],[COSTO DE VENTA]]</f>
        <v>1189</v>
      </c>
    </row>
    <row r="5316" spans="1:22" x14ac:dyDescent="0.3">
      <c r="A5316">
        <v>75559</v>
      </c>
      <c r="B5316">
        <v>1</v>
      </c>
      <c r="C5316" t="s">
        <v>99</v>
      </c>
      <c r="D5316" t="s">
        <v>100</v>
      </c>
      <c r="E5316" s="1">
        <v>44410</v>
      </c>
      <c r="F5316">
        <v>1</v>
      </c>
      <c r="G5316" t="s">
        <v>22</v>
      </c>
      <c r="H5316" t="s">
        <v>23</v>
      </c>
      <c r="I5316" s="3">
        <v>1328</v>
      </c>
      <c r="J5316" s="3">
        <v>1328</v>
      </c>
      <c r="K5316" s="3">
        <v>386</v>
      </c>
      <c r="L5316" t="s">
        <v>98</v>
      </c>
      <c r="M5316">
        <v>12</v>
      </c>
      <c r="N5316" t="s">
        <v>26</v>
      </c>
      <c r="O5316" t="s">
        <v>11</v>
      </c>
      <c r="P5316" t="s">
        <v>12</v>
      </c>
      <c r="Q5316" t="s">
        <v>13</v>
      </c>
      <c r="R5316" t="s">
        <v>13</v>
      </c>
      <c r="S5316" t="s">
        <v>144</v>
      </c>
      <c r="T5316" s="2">
        <f>MASTER[[#This Row],[CANTIDAD]]*MASTER[[#This Row],[PRECIO DE VENTA]]</f>
        <v>1328</v>
      </c>
      <c r="U5316" s="2">
        <f>MASTER[[#This Row],[CANTIDAD]]*MASTER[[#This Row],[COSTO UNITARIO]]</f>
        <v>386</v>
      </c>
      <c r="V5316" s="2">
        <f>MASTER[[#This Row],[MONTO VENDIDO]]-MASTER[[#This Row],[COSTO DE VENTA]]</f>
        <v>942</v>
      </c>
    </row>
    <row r="5317" spans="1:22" x14ac:dyDescent="0.3">
      <c r="A5317">
        <v>75573</v>
      </c>
      <c r="B5317">
        <v>1</v>
      </c>
      <c r="C5317" t="s">
        <v>114</v>
      </c>
      <c r="D5317" t="s">
        <v>115</v>
      </c>
      <c r="E5317" s="1">
        <v>44410</v>
      </c>
      <c r="F5317">
        <v>1</v>
      </c>
      <c r="G5317" t="s">
        <v>41</v>
      </c>
      <c r="H5317" t="s">
        <v>42</v>
      </c>
      <c r="I5317" s="3">
        <v>2030</v>
      </c>
      <c r="J5317" s="3">
        <v>2030</v>
      </c>
      <c r="K5317" s="3">
        <v>394</v>
      </c>
      <c r="L5317" t="s">
        <v>113</v>
      </c>
      <c r="M5317">
        <v>13</v>
      </c>
      <c r="N5317" t="s">
        <v>78</v>
      </c>
      <c r="O5317" t="s">
        <v>70</v>
      </c>
      <c r="P5317" t="s">
        <v>18</v>
      </c>
      <c r="Q5317" t="s">
        <v>19</v>
      </c>
      <c r="R5317" t="s">
        <v>138</v>
      </c>
      <c r="S5317" t="s">
        <v>144</v>
      </c>
      <c r="T5317" s="2">
        <f>MASTER[[#This Row],[CANTIDAD]]*MASTER[[#This Row],[PRECIO DE VENTA]]</f>
        <v>2030</v>
      </c>
      <c r="U5317" s="2">
        <f>MASTER[[#This Row],[CANTIDAD]]*MASTER[[#This Row],[COSTO UNITARIO]]</f>
        <v>394</v>
      </c>
      <c r="V5317" s="2">
        <f>MASTER[[#This Row],[MONTO VENDIDO]]-MASTER[[#This Row],[COSTO DE VENTA]]</f>
        <v>1636</v>
      </c>
    </row>
    <row r="5318" spans="1:22" x14ac:dyDescent="0.3">
      <c r="A5318">
        <v>75596</v>
      </c>
      <c r="B5318">
        <v>1</v>
      </c>
      <c r="C5318" t="s">
        <v>101</v>
      </c>
      <c r="D5318" t="s">
        <v>102</v>
      </c>
      <c r="E5318" s="1">
        <v>44410</v>
      </c>
      <c r="F5318">
        <v>1</v>
      </c>
      <c r="G5318" t="s">
        <v>57</v>
      </c>
      <c r="H5318" t="s">
        <v>58</v>
      </c>
      <c r="I5318" s="3">
        <v>1357</v>
      </c>
      <c r="J5318" s="3">
        <v>1357</v>
      </c>
      <c r="K5318" s="3">
        <v>442</v>
      </c>
      <c r="L5318" t="s">
        <v>98</v>
      </c>
      <c r="M5318">
        <v>3</v>
      </c>
      <c r="N5318" t="s">
        <v>69</v>
      </c>
      <c r="O5318" t="s">
        <v>70</v>
      </c>
      <c r="P5318" t="s">
        <v>71</v>
      </c>
      <c r="Q5318" t="s">
        <v>72</v>
      </c>
      <c r="R5318" t="s">
        <v>139</v>
      </c>
      <c r="S5318" t="s">
        <v>144</v>
      </c>
      <c r="T5318" s="2">
        <f>MASTER[[#This Row],[CANTIDAD]]*MASTER[[#This Row],[PRECIO DE VENTA]]</f>
        <v>1357</v>
      </c>
      <c r="U5318" s="2">
        <f>MASTER[[#This Row],[CANTIDAD]]*MASTER[[#This Row],[COSTO UNITARIO]]</f>
        <v>442</v>
      </c>
      <c r="V5318" s="2">
        <f>MASTER[[#This Row],[MONTO VENDIDO]]-MASTER[[#This Row],[COSTO DE VENTA]]</f>
        <v>915</v>
      </c>
    </row>
    <row r="5319" spans="1:22" x14ac:dyDescent="0.3">
      <c r="A5319">
        <v>75597</v>
      </c>
      <c r="B5319">
        <v>1</v>
      </c>
      <c r="C5319" t="s">
        <v>107</v>
      </c>
      <c r="D5319" t="s">
        <v>108</v>
      </c>
      <c r="E5319" s="1">
        <v>44410</v>
      </c>
      <c r="F5319">
        <v>4</v>
      </c>
      <c r="G5319" t="s">
        <v>33</v>
      </c>
      <c r="H5319" t="s">
        <v>34</v>
      </c>
      <c r="I5319" s="3">
        <v>1440</v>
      </c>
      <c r="J5319" s="3">
        <v>1440</v>
      </c>
      <c r="K5319" s="3">
        <v>380</v>
      </c>
      <c r="L5319" t="s">
        <v>98</v>
      </c>
      <c r="M5319">
        <v>6</v>
      </c>
      <c r="N5319" t="s">
        <v>75</v>
      </c>
      <c r="O5319" t="s">
        <v>70</v>
      </c>
      <c r="P5319" t="s">
        <v>12</v>
      </c>
      <c r="Q5319" t="s">
        <v>13</v>
      </c>
      <c r="R5319" t="s">
        <v>13</v>
      </c>
      <c r="S5319" t="s">
        <v>144</v>
      </c>
      <c r="T5319" s="2">
        <f>MASTER[[#This Row],[CANTIDAD]]*MASTER[[#This Row],[PRECIO DE VENTA]]</f>
        <v>5760</v>
      </c>
      <c r="U5319" s="2">
        <f>MASTER[[#This Row],[CANTIDAD]]*MASTER[[#This Row],[COSTO UNITARIO]]</f>
        <v>1520</v>
      </c>
      <c r="V5319" s="2">
        <f>MASTER[[#This Row],[MONTO VENDIDO]]-MASTER[[#This Row],[COSTO DE VENTA]]</f>
        <v>4240</v>
      </c>
    </row>
    <row r="5320" spans="1:22" x14ac:dyDescent="0.3">
      <c r="A5320">
        <v>75602</v>
      </c>
      <c r="B5320">
        <v>1</v>
      </c>
      <c r="C5320" t="s">
        <v>107</v>
      </c>
      <c r="D5320" t="s">
        <v>108</v>
      </c>
      <c r="E5320" s="1">
        <v>44411</v>
      </c>
      <c r="F5320">
        <v>1</v>
      </c>
      <c r="G5320" t="s">
        <v>20</v>
      </c>
      <c r="H5320" t="s">
        <v>21</v>
      </c>
      <c r="I5320" s="3">
        <v>1333</v>
      </c>
      <c r="J5320" s="3">
        <v>1333</v>
      </c>
      <c r="K5320" s="3">
        <v>380</v>
      </c>
      <c r="L5320" t="s">
        <v>98</v>
      </c>
      <c r="M5320">
        <v>15</v>
      </c>
      <c r="N5320" t="s">
        <v>88</v>
      </c>
      <c r="O5320" t="s">
        <v>81</v>
      </c>
      <c r="P5320" t="s">
        <v>18</v>
      </c>
      <c r="Q5320" t="s">
        <v>19</v>
      </c>
      <c r="R5320" t="s">
        <v>138</v>
      </c>
      <c r="S5320" t="s">
        <v>144</v>
      </c>
      <c r="T5320" s="2">
        <f>MASTER[[#This Row],[CANTIDAD]]*MASTER[[#This Row],[PRECIO DE VENTA]]</f>
        <v>1333</v>
      </c>
      <c r="U5320" s="2">
        <f>MASTER[[#This Row],[CANTIDAD]]*MASTER[[#This Row],[COSTO UNITARIO]]</f>
        <v>380</v>
      </c>
      <c r="V5320" s="2">
        <f>MASTER[[#This Row],[MONTO VENDIDO]]-MASTER[[#This Row],[COSTO DE VENTA]]</f>
        <v>953</v>
      </c>
    </row>
    <row r="5321" spans="1:22" x14ac:dyDescent="0.3">
      <c r="A5321">
        <v>75605</v>
      </c>
      <c r="B5321">
        <v>1</v>
      </c>
      <c r="C5321" t="s">
        <v>103</v>
      </c>
      <c r="D5321" t="s">
        <v>104</v>
      </c>
      <c r="E5321" s="1">
        <v>44411</v>
      </c>
      <c r="F5321">
        <v>1</v>
      </c>
      <c r="G5321" t="s">
        <v>57</v>
      </c>
      <c r="H5321" t="s">
        <v>58</v>
      </c>
      <c r="I5321" s="3">
        <v>1830</v>
      </c>
      <c r="J5321" s="3">
        <v>1830</v>
      </c>
      <c r="K5321" s="3">
        <v>421</v>
      </c>
      <c r="L5321" t="s">
        <v>98</v>
      </c>
      <c r="M5321">
        <v>1</v>
      </c>
      <c r="N5321" t="s">
        <v>77</v>
      </c>
      <c r="O5321" t="s">
        <v>70</v>
      </c>
      <c r="P5321" t="s">
        <v>71</v>
      </c>
      <c r="Q5321" t="s">
        <v>72</v>
      </c>
      <c r="R5321" t="s">
        <v>139</v>
      </c>
      <c r="S5321" t="s">
        <v>144</v>
      </c>
      <c r="T5321" s="2">
        <f>MASTER[[#This Row],[CANTIDAD]]*MASTER[[#This Row],[PRECIO DE VENTA]]</f>
        <v>1830</v>
      </c>
      <c r="U5321" s="2">
        <f>MASTER[[#This Row],[CANTIDAD]]*MASTER[[#This Row],[COSTO UNITARIO]]</f>
        <v>421</v>
      </c>
      <c r="V5321" s="2">
        <f>MASTER[[#This Row],[MONTO VENDIDO]]-MASTER[[#This Row],[COSTO DE VENTA]]</f>
        <v>1409</v>
      </c>
    </row>
    <row r="5322" spans="1:22" x14ac:dyDescent="0.3">
      <c r="A5322">
        <v>75606</v>
      </c>
      <c r="B5322">
        <v>1</v>
      </c>
      <c r="C5322" t="s">
        <v>5</v>
      </c>
      <c r="D5322" t="s">
        <v>6</v>
      </c>
      <c r="E5322" s="1">
        <v>44411</v>
      </c>
      <c r="F5322">
        <v>1</v>
      </c>
      <c r="G5322" t="s">
        <v>31</v>
      </c>
      <c r="H5322" t="s">
        <v>32</v>
      </c>
      <c r="I5322" s="3">
        <v>1507</v>
      </c>
      <c r="J5322" s="3">
        <v>1507</v>
      </c>
      <c r="K5322" s="3">
        <v>393</v>
      </c>
      <c r="L5322" t="s">
        <v>9</v>
      </c>
      <c r="M5322">
        <v>5</v>
      </c>
      <c r="N5322" t="s">
        <v>85</v>
      </c>
      <c r="O5322" t="s">
        <v>81</v>
      </c>
      <c r="P5322" t="s">
        <v>12</v>
      </c>
      <c r="Q5322" t="s">
        <v>13</v>
      </c>
      <c r="R5322" t="s">
        <v>13</v>
      </c>
      <c r="S5322" t="s">
        <v>144</v>
      </c>
      <c r="T5322" s="2">
        <f>MASTER[[#This Row],[CANTIDAD]]*MASTER[[#This Row],[PRECIO DE VENTA]]</f>
        <v>1507</v>
      </c>
      <c r="U5322" s="2">
        <f>MASTER[[#This Row],[CANTIDAD]]*MASTER[[#This Row],[COSTO UNITARIO]]</f>
        <v>393</v>
      </c>
      <c r="V5322" s="2">
        <f>MASTER[[#This Row],[MONTO VENDIDO]]-MASTER[[#This Row],[COSTO DE VENTA]]</f>
        <v>1114</v>
      </c>
    </row>
    <row r="5323" spans="1:22" x14ac:dyDescent="0.3">
      <c r="A5323">
        <v>75623</v>
      </c>
      <c r="B5323">
        <v>1</v>
      </c>
      <c r="C5323" t="s">
        <v>109</v>
      </c>
      <c r="D5323" t="s">
        <v>110</v>
      </c>
      <c r="E5323" s="1">
        <v>44411</v>
      </c>
      <c r="F5323">
        <v>1</v>
      </c>
      <c r="G5323" t="s">
        <v>43</v>
      </c>
      <c r="H5323" t="s">
        <v>44</v>
      </c>
      <c r="I5323" s="3">
        <v>1064</v>
      </c>
      <c r="J5323" s="3">
        <v>1064</v>
      </c>
      <c r="K5323" s="3">
        <v>387</v>
      </c>
      <c r="L5323" t="s">
        <v>98</v>
      </c>
      <c r="M5323">
        <v>7</v>
      </c>
      <c r="N5323" t="s">
        <v>84</v>
      </c>
      <c r="O5323" t="s">
        <v>81</v>
      </c>
      <c r="P5323" t="s">
        <v>12</v>
      </c>
      <c r="Q5323" t="s">
        <v>13</v>
      </c>
      <c r="R5323" t="s">
        <v>13</v>
      </c>
      <c r="S5323" t="s">
        <v>144</v>
      </c>
      <c r="T5323" s="2">
        <f>MASTER[[#This Row],[CANTIDAD]]*MASTER[[#This Row],[PRECIO DE VENTA]]</f>
        <v>1064</v>
      </c>
      <c r="U5323" s="2">
        <f>MASTER[[#This Row],[CANTIDAD]]*MASTER[[#This Row],[COSTO UNITARIO]]</f>
        <v>387</v>
      </c>
      <c r="V5323" s="2">
        <f>MASTER[[#This Row],[MONTO VENDIDO]]-MASTER[[#This Row],[COSTO DE VENTA]]</f>
        <v>677</v>
      </c>
    </row>
    <row r="5324" spans="1:22" x14ac:dyDescent="0.3">
      <c r="A5324">
        <v>75626</v>
      </c>
      <c r="B5324">
        <v>1</v>
      </c>
      <c r="C5324" t="s">
        <v>96</v>
      </c>
      <c r="D5324" t="s">
        <v>97</v>
      </c>
      <c r="E5324" s="1">
        <v>44411</v>
      </c>
      <c r="F5324">
        <v>1</v>
      </c>
      <c r="G5324" t="s">
        <v>67</v>
      </c>
      <c r="H5324" t="s">
        <v>68</v>
      </c>
      <c r="I5324" s="3">
        <v>1272</v>
      </c>
      <c r="J5324" s="3">
        <v>1272</v>
      </c>
      <c r="K5324" s="3">
        <v>397</v>
      </c>
      <c r="L5324" t="s">
        <v>98</v>
      </c>
      <c r="M5324">
        <v>8</v>
      </c>
      <c r="N5324" t="s">
        <v>80</v>
      </c>
      <c r="O5324" t="s">
        <v>81</v>
      </c>
      <c r="P5324" t="s">
        <v>12</v>
      </c>
      <c r="Q5324" t="s">
        <v>13</v>
      </c>
      <c r="R5324" t="s">
        <v>13</v>
      </c>
      <c r="S5324" t="s">
        <v>144</v>
      </c>
      <c r="T5324" s="2">
        <f>MASTER[[#This Row],[CANTIDAD]]*MASTER[[#This Row],[PRECIO DE VENTA]]</f>
        <v>1272</v>
      </c>
      <c r="U5324" s="2">
        <f>MASTER[[#This Row],[CANTIDAD]]*MASTER[[#This Row],[COSTO UNITARIO]]</f>
        <v>397</v>
      </c>
      <c r="V5324" s="2">
        <f>MASTER[[#This Row],[MONTO VENDIDO]]-MASTER[[#This Row],[COSTO DE VENTA]]</f>
        <v>875</v>
      </c>
    </row>
    <row r="5325" spans="1:22" x14ac:dyDescent="0.3">
      <c r="A5325">
        <v>75629</v>
      </c>
      <c r="B5325">
        <v>1</v>
      </c>
      <c r="C5325" t="s">
        <v>92</v>
      </c>
      <c r="D5325" t="s">
        <v>93</v>
      </c>
      <c r="E5325" s="1">
        <v>44411</v>
      </c>
      <c r="F5325">
        <v>1</v>
      </c>
      <c r="G5325" t="s">
        <v>61</v>
      </c>
      <c r="H5325" t="s">
        <v>62</v>
      </c>
      <c r="I5325" s="3">
        <v>1866</v>
      </c>
      <c r="J5325" s="3">
        <v>1866</v>
      </c>
      <c r="K5325" s="3">
        <v>396</v>
      </c>
      <c r="L5325" t="s">
        <v>9</v>
      </c>
      <c r="M5325">
        <v>18</v>
      </c>
      <c r="N5325" t="s">
        <v>79</v>
      </c>
      <c r="O5325" t="s">
        <v>70</v>
      </c>
      <c r="P5325" t="s">
        <v>15</v>
      </c>
      <c r="Q5325" t="s">
        <v>16</v>
      </c>
      <c r="R5325" t="s">
        <v>16</v>
      </c>
      <c r="S5325" t="s">
        <v>144</v>
      </c>
      <c r="T5325" s="2">
        <f>MASTER[[#This Row],[CANTIDAD]]*MASTER[[#This Row],[PRECIO DE VENTA]]</f>
        <v>1866</v>
      </c>
      <c r="U5325" s="2">
        <f>MASTER[[#This Row],[CANTIDAD]]*MASTER[[#This Row],[COSTO UNITARIO]]</f>
        <v>396</v>
      </c>
      <c r="V5325" s="2">
        <f>MASTER[[#This Row],[MONTO VENDIDO]]-MASTER[[#This Row],[COSTO DE VENTA]]</f>
        <v>1470</v>
      </c>
    </row>
    <row r="5326" spans="1:22" x14ac:dyDescent="0.3">
      <c r="A5326">
        <v>75640</v>
      </c>
      <c r="B5326">
        <v>1</v>
      </c>
      <c r="C5326" t="s">
        <v>92</v>
      </c>
      <c r="D5326" t="s">
        <v>93</v>
      </c>
      <c r="E5326" s="1">
        <v>44411</v>
      </c>
      <c r="F5326">
        <v>1</v>
      </c>
      <c r="G5326" t="s">
        <v>59</v>
      </c>
      <c r="H5326" t="s">
        <v>60</v>
      </c>
      <c r="I5326" s="3">
        <v>1681</v>
      </c>
      <c r="J5326" s="3">
        <v>1681</v>
      </c>
      <c r="K5326" s="3">
        <v>396</v>
      </c>
      <c r="L5326" t="s">
        <v>9</v>
      </c>
      <c r="M5326">
        <v>4</v>
      </c>
      <c r="N5326" t="s">
        <v>82</v>
      </c>
      <c r="O5326" t="s">
        <v>81</v>
      </c>
      <c r="P5326" t="s">
        <v>71</v>
      </c>
      <c r="Q5326" t="s">
        <v>72</v>
      </c>
      <c r="R5326" t="s">
        <v>139</v>
      </c>
      <c r="S5326" t="s">
        <v>144</v>
      </c>
      <c r="T5326" s="2">
        <f>MASTER[[#This Row],[CANTIDAD]]*MASTER[[#This Row],[PRECIO DE VENTA]]</f>
        <v>1681</v>
      </c>
      <c r="U5326" s="2">
        <f>MASTER[[#This Row],[CANTIDAD]]*MASTER[[#This Row],[COSTO UNITARIO]]</f>
        <v>396</v>
      </c>
      <c r="V5326" s="2">
        <f>MASTER[[#This Row],[MONTO VENDIDO]]-MASTER[[#This Row],[COSTO DE VENTA]]</f>
        <v>1285</v>
      </c>
    </row>
    <row r="5327" spans="1:22" x14ac:dyDescent="0.3">
      <c r="A5327">
        <v>75654</v>
      </c>
      <c r="B5327">
        <v>1</v>
      </c>
      <c r="C5327" t="s">
        <v>121</v>
      </c>
      <c r="D5327" t="s">
        <v>122</v>
      </c>
      <c r="E5327" s="1">
        <v>44411</v>
      </c>
      <c r="F5327">
        <v>1</v>
      </c>
      <c r="G5327" t="s">
        <v>67</v>
      </c>
      <c r="H5327" t="s">
        <v>68</v>
      </c>
      <c r="I5327" s="3">
        <v>1069</v>
      </c>
      <c r="J5327" s="3">
        <v>994</v>
      </c>
      <c r="K5327" s="3">
        <v>460</v>
      </c>
      <c r="L5327" t="s">
        <v>120</v>
      </c>
      <c r="M5327">
        <v>10</v>
      </c>
      <c r="N5327" t="s">
        <v>83</v>
      </c>
      <c r="O5327" t="s">
        <v>81</v>
      </c>
      <c r="P5327" t="s">
        <v>12</v>
      </c>
      <c r="Q5327" t="s">
        <v>13</v>
      </c>
      <c r="R5327" t="s">
        <v>13</v>
      </c>
      <c r="S5327" t="s">
        <v>144</v>
      </c>
      <c r="T5327" s="2">
        <f>MASTER[[#This Row],[CANTIDAD]]*MASTER[[#This Row],[PRECIO DE VENTA]]</f>
        <v>994</v>
      </c>
      <c r="U5327" s="2">
        <f>MASTER[[#This Row],[CANTIDAD]]*MASTER[[#This Row],[COSTO UNITARIO]]</f>
        <v>460</v>
      </c>
      <c r="V5327" s="2">
        <f>MASTER[[#This Row],[MONTO VENDIDO]]-MASTER[[#This Row],[COSTO DE VENTA]]</f>
        <v>534</v>
      </c>
    </row>
    <row r="5328" spans="1:22" x14ac:dyDescent="0.3">
      <c r="A5328">
        <v>75656</v>
      </c>
      <c r="B5328">
        <v>1</v>
      </c>
      <c r="C5328" t="s">
        <v>92</v>
      </c>
      <c r="D5328" t="s">
        <v>93</v>
      </c>
      <c r="E5328" s="1">
        <v>44411</v>
      </c>
      <c r="F5328">
        <v>1</v>
      </c>
      <c r="G5328" t="s">
        <v>41</v>
      </c>
      <c r="H5328" t="s">
        <v>42</v>
      </c>
      <c r="I5328" s="3">
        <v>1681</v>
      </c>
      <c r="J5328" s="3">
        <v>1681</v>
      </c>
      <c r="K5328" s="3">
        <v>396</v>
      </c>
      <c r="L5328" t="s">
        <v>9</v>
      </c>
      <c r="M5328">
        <v>5</v>
      </c>
      <c r="N5328" t="s">
        <v>85</v>
      </c>
      <c r="O5328" t="s">
        <v>81</v>
      </c>
      <c r="P5328" t="s">
        <v>12</v>
      </c>
      <c r="Q5328" t="s">
        <v>13</v>
      </c>
      <c r="R5328" t="s">
        <v>13</v>
      </c>
      <c r="S5328" t="s">
        <v>144</v>
      </c>
      <c r="T5328" s="2">
        <f>MASTER[[#This Row],[CANTIDAD]]*MASTER[[#This Row],[PRECIO DE VENTA]]</f>
        <v>1681</v>
      </c>
      <c r="U5328" s="2">
        <f>MASTER[[#This Row],[CANTIDAD]]*MASTER[[#This Row],[COSTO UNITARIO]]</f>
        <v>396</v>
      </c>
      <c r="V5328" s="2">
        <f>MASTER[[#This Row],[MONTO VENDIDO]]-MASTER[[#This Row],[COSTO DE VENTA]]</f>
        <v>1285</v>
      </c>
    </row>
    <row r="5329" spans="1:22" x14ac:dyDescent="0.3">
      <c r="A5329">
        <v>75660</v>
      </c>
      <c r="B5329">
        <v>1</v>
      </c>
      <c r="C5329" t="s">
        <v>116</v>
      </c>
      <c r="D5329" t="s">
        <v>117</v>
      </c>
      <c r="E5329" s="1">
        <v>44411</v>
      </c>
      <c r="F5329">
        <v>1</v>
      </c>
      <c r="G5329" t="s">
        <v>65</v>
      </c>
      <c r="H5329" t="s">
        <v>66</v>
      </c>
      <c r="I5329" s="3">
        <v>1738</v>
      </c>
      <c r="J5329" s="3">
        <v>1738</v>
      </c>
      <c r="K5329" s="3">
        <v>388</v>
      </c>
      <c r="L5329" t="s">
        <v>113</v>
      </c>
      <c r="M5329">
        <v>5</v>
      </c>
      <c r="N5329" t="s">
        <v>85</v>
      </c>
      <c r="O5329" t="s">
        <v>81</v>
      </c>
      <c r="P5329" t="s">
        <v>12</v>
      </c>
      <c r="Q5329" t="s">
        <v>13</v>
      </c>
      <c r="R5329" t="s">
        <v>13</v>
      </c>
      <c r="S5329" t="s">
        <v>144</v>
      </c>
      <c r="T5329" s="2">
        <f>MASTER[[#This Row],[CANTIDAD]]*MASTER[[#This Row],[PRECIO DE VENTA]]</f>
        <v>1738</v>
      </c>
      <c r="U5329" s="2">
        <f>MASTER[[#This Row],[CANTIDAD]]*MASTER[[#This Row],[COSTO UNITARIO]]</f>
        <v>388</v>
      </c>
      <c r="V5329" s="2">
        <f>MASTER[[#This Row],[MONTO VENDIDO]]-MASTER[[#This Row],[COSTO DE VENTA]]</f>
        <v>1350</v>
      </c>
    </row>
    <row r="5330" spans="1:22" x14ac:dyDescent="0.3">
      <c r="A5330">
        <v>75663</v>
      </c>
      <c r="B5330">
        <v>1</v>
      </c>
      <c r="C5330" t="s">
        <v>121</v>
      </c>
      <c r="D5330" t="s">
        <v>122</v>
      </c>
      <c r="E5330" s="1">
        <v>44411</v>
      </c>
      <c r="F5330">
        <v>1</v>
      </c>
      <c r="G5330" t="s">
        <v>73</v>
      </c>
      <c r="H5330" t="s">
        <v>74</v>
      </c>
      <c r="I5330" s="3">
        <v>941</v>
      </c>
      <c r="J5330" s="3">
        <v>941</v>
      </c>
      <c r="K5330" s="3">
        <v>460</v>
      </c>
      <c r="L5330" t="s">
        <v>120</v>
      </c>
      <c r="M5330">
        <v>17</v>
      </c>
      <c r="N5330" t="s">
        <v>14</v>
      </c>
      <c r="O5330" t="s">
        <v>11</v>
      </c>
      <c r="P5330" t="s">
        <v>15</v>
      </c>
      <c r="Q5330" t="s">
        <v>16</v>
      </c>
      <c r="R5330" t="s">
        <v>16</v>
      </c>
      <c r="S5330" t="s">
        <v>144</v>
      </c>
      <c r="T5330" s="2">
        <f>MASTER[[#This Row],[CANTIDAD]]*MASTER[[#This Row],[PRECIO DE VENTA]]</f>
        <v>941</v>
      </c>
      <c r="U5330" s="2">
        <f>MASTER[[#This Row],[CANTIDAD]]*MASTER[[#This Row],[COSTO UNITARIO]]</f>
        <v>460</v>
      </c>
      <c r="V5330" s="2">
        <f>MASTER[[#This Row],[MONTO VENDIDO]]-MASTER[[#This Row],[COSTO DE VENTA]]</f>
        <v>481</v>
      </c>
    </row>
    <row r="5331" spans="1:22" x14ac:dyDescent="0.3">
      <c r="A5331">
        <v>75672</v>
      </c>
      <c r="B5331">
        <v>1</v>
      </c>
      <c r="C5331" t="s">
        <v>5</v>
      </c>
      <c r="D5331" t="s">
        <v>6</v>
      </c>
      <c r="E5331" s="1">
        <v>44412</v>
      </c>
      <c r="F5331">
        <v>1</v>
      </c>
      <c r="G5331" t="s">
        <v>53</v>
      </c>
      <c r="H5331" t="s">
        <v>54</v>
      </c>
      <c r="I5331" s="3">
        <v>1311</v>
      </c>
      <c r="J5331" s="3">
        <v>1311</v>
      </c>
      <c r="K5331" s="3">
        <v>393</v>
      </c>
      <c r="L5331" t="s">
        <v>9</v>
      </c>
      <c r="M5331">
        <v>12</v>
      </c>
      <c r="N5331" t="s">
        <v>26</v>
      </c>
      <c r="O5331" t="s">
        <v>11</v>
      </c>
      <c r="P5331" t="s">
        <v>12</v>
      </c>
      <c r="Q5331" t="s">
        <v>13</v>
      </c>
      <c r="R5331" t="s">
        <v>13</v>
      </c>
      <c r="S5331" t="s">
        <v>144</v>
      </c>
      <c r="T5331" s="2">
        <f>MASTER[[#This Row],[CANTIDAD]]*MASTER[[#This Row],[PRECIO DE VENTA]]</f>
        <v>1311</v>
      </c>
      <c r="U5331" s="2">
        <f>MASTER[[#This Row],[CANTIDAD]]*MASTER[[#This Row],[COSTO UNITARIO]]</f>
        <v>393</v>
      </c>
      <c r="V5331" s="2">
        <f>MASTER[[#This Row],[MONTO VENDIDO]]-MASTER[[#This Row],[COSTO DE VENTA]]</f>
        <v>918</v>
      </c>
    </row>
    <row r="5332" spans="1:22" x14ac:dyDescent="0.3">
      <c r="A5332">
        <v>75682</v>
      </c>
      <c r="B5332">
        <v>1</v>
      </c>
      <c r="C5332" t="s">
        <v>105</v>
      </c>
      <c r="D5332" t="s">
        <v>106</v>
      </c>
      <c r="E5332" s="1">
        <v>44412</v>
      </c>
      <c r="F5332">
        <v>1</v>
      </c>
      <c r="G5332" t="s">
        <v>53</v>
      </c>
      <c r="H5332" t="s">
        <v>54</v>
      </c>
      <c r="I5332" s="3">
        <v>1585</v>
      </c>
      <c r="J5332" s="3">
        <v>1585</v>
      </c>
      <c r="K5332" s="3">
        <v>459</v>
      </c>
      <c r="L5332" t="s">
        <v>98</v>
      </c>
      <c r="M5332">
        <v>17</v>
      </c>
      <c r="N5332" t="s">
        <v>14</v>
      </c>
      <c r="O5332" t="s">
        <v>11</v>
      </c>
      <c r="P5332" t="s">
        <v>15</v>
      </c>
      <c r="Q5332" t="s">
        <v>16</v>
      </c>
      <c r="R5332" t="s">
        <v>16</v>
      </c>
      <c r="S5332" t="s">
        <v>144</v>
      </c>
      <c r="T5332" s="2">
        <f>MASTER[[#This Row],[CANTIDAD]]*MASTER[[#This Row],[PRECIO DE VENTA]]</f>
        <v>1585</v>
      </c>
      <c r="U5332" s="2">
        <f>MASTER[[#This Row],[CANTIDAD]]*MASTER[[#This Row],[COSTO UNITARIO]]</f>
        <v>459</v>
      </c>
      <c r="V5332" s="2">
        <f>MASTER[[#This Row],[MONTO VENDIDO]]-MASTER[[#This Row],[COSTO DE VENTA]]</f>
        <v>1126</v>
      </c>
    </row>
    <row r="5333" spans="1:22" x14ac:dyDescent="0.3">
      <c r="A5333">
        <v>75684</v>
      </c>
      <c r="B5333">
        <v>1</v>
      </c>
      <c r="C5333" t="s">
        <v>116</v>
      </c>
      <c r="D5333" t="s">
        <v>117</v>
      </c>
      <c r="E5333" s="1">
        <v>44412</v>
      </c>
      <c r="F5333">
        <v>1</v>
      </c>
      <c r="G5333" t="s">
        <v>43</v>
      </c>
      <c r="H5333" t="s">
        <v>44</v>
      </c>
      <c r="I5333" s="3">
        <v>1738</v>
      </c>
      <c r="J5333" s="3">
        <v>1738</v>
      </c>
      <c r="K5333" s="3">
        <v>388</v>
      </c>
      <c r="L5333" t="s">
        <v>113</v>
      </c>
      <c r="M5333">
        <v>2</v>
      </c>
      <c r="N5333" t="s">
        <v>86</v>
      </c>
      <c r="O5333" t="s">
        <v>81</v>
      </c>
      <c r="P5333" t="s">
        <v>71</v>
      </c>
      <c r="Q5333" t="s">
        <v>72</v>
      </c>
      <c r="R5333" t="s">
        <v>139</v>
      </c>
      <c r="S5333" t="s">
        <v>144</v>
      </c>
      <c r="T5333" s="2">
        <f>MASTER[[#This Row],[CANTIDAD]]*MASTER[[#This Row],[PRECIO DE VENTA]]</f>
        <v>1738</v>
      </c>
      <c r="U5333" s="2">
        <f>MASTER[[#This Row],[CANTIDAD]]*MASTER[[#This Row],[COSTO UNITARIO]]</f>
        <v>388</v>
      </c>
      <c r="V5333" s="2">
        <f>MASTER[[#This Row],[MONTO VENDIDO]]-MASTER[[#This Row],[COSTO DE VENTA]]</f>
        <v>1350</v>
      </c>
    </row>
    <row r="5334" spans="1:22" x14ac:dyDescent="0.3">
      <c r="A5334">
        <v>75702</v>
      </c>
      <c r="B5334">
        <v>1</v>
      </c>
      <c r="C5334" t="s">
        <v>99</v>
      </c>
      <c r="D5334" t="s">
        <v>100</v>
      </c>
      <c r="E5334" s="1">
        <v>44412</v>
      </c>
      <c r="F5334">
        <v>1</v>
      </c>
      <c r="G5334" t="s">
        <v>51</v>
      </c>
      <c r="H5334" t="s">
        <v>52</v>
      </c>
      <c r="I5334" s="3">
        <v>1459</v>
      </c>
      <c r="J5334" s="3">
        <v>1459</v>
      </c>
      <c r="K5334" s="3">
        <v>386</v>
      </c>
      <c r="L5334" t="s">
        <v>98</v>
      </c>
      <c r="M5334">
        <v>19</v>
      </c>
      <c r="N5334" t="s">
        <v>89</v>
      </c>
      <c r="O5334" t="s">
        <v>81</v>
      </c>
      <c r="P5334" t="s">
        <v>15</v>
      </c>
      <c r="Q5334" t="s">
        <v>16</v>
      </c>
      <c r="R5334" t="s">
        <v>16</v>
      </c>
      <c r="S5334" t="s">
        <v>144</v>
      </c>
      <c r="T5334" s="2">
        <f>MASTER[[#This Row],[CANTIDAD]]*MASTER[[#This Row],[PRECIO DE VENTA]]</f>
        <v>1459</v>
      </c>
      <c r="U5334" s="2">
        <f>MASTER[[#This Row],[CANTIDAD]]*MASTER[[#This Row],[COSTO UNITARIO]]</f>
        <v>386</v>
      </c>
      <c r="V5334" s="2">
        <f>MASTER[[#This Row],[MONTO VENDIDO]]-MASTER[[#This Row],[COSTO DE VENTA]]</f>
        <v>1073</v>
      </c>
    </row>
    <row r="5335" spans="1:22" x14ac:dyDescent="0.3">
      <c r="A5335">
        <v>75710</v>
      </c>
      <c r="B5335">
        <v>1</v>
      </c>
      <c r="C5335" t="s">
        <v>114</v>
      </c>
      <c r="D5335" t="s">
        <v>115</v>
      </c>
      <c r="E5335" s="1">
        <v>44412</v>
      </c>
      <c r="F5335">
        <v>1</v>
      </c>
      <c r="G5335" t="s">
        <v>59</v>
      </c>
      <c r="H5335" t="s">
        <v>60</v>
      </c>
      <c r="I5335" s="3">
        <v>2030</v>
      </c>
      <c r="J5335" s="3">
        <v>2030</v>
      </c>
      <c r="K5335" s="3">
        <v>394</v>
      </c>
      <c r="L5335" t="s">
        <v>113</v>
      </c>
      <c r="M5335">
        <v>6</v>
      </c>
      <c r="N5335" t="s">
        <v>75</v>
      </c>
      <c r="O5335" t="s">
        <v>70</v>
      </c>
      <c r="P5335" t="s">
        <v>12</v>
      </c>
      <c r="Q5335" t="s">
        <v>13</v>
      </c>
      <c r="R5335" t="s">
        <v>13</v>
      </c>
      <c r="S5335" t="s">
        <v>144</v>
      </c>
      <c r="T5335" s="2">
        <f>MASTER[[#This Row],[CANTIDAD]]*MASTER[[#This Row],[PRECIO DE VENTA]]</f>
        <v>2030</v>
      </c>
      <c r="U5335" s="2">
        <f>MASTER[[#This Row],[CANTIDAD]]*MASTER[[#This Row],[COSTO UNITARIO]]</f>
        <v>394</v>
      </c>
      <c r="V5335" s="2">
        <f>MASTER[[#This Row],[MONTO VENDIDO]]-MASTER[[#This Row],[COSTO DE VENTA]]</f>
        <v>1636</v>
      </c>
    </row>
    <row r="5336" spans="1:22" x14ac:dyDescent="0.3">
      <c r="A5336">
        <v>75713</v>
      </c>
      <c r="B5336">
        <v>1</v>
      </c>
      <c r="C5336" t="s">
        <v>116</v>
      </c>
      <c r="D5336" t="s">
        <v>117</v>
      </c>
      <c r="E5336" s="1">
        <v>44412</v>
      </c>
      <c r="F5336">
        <v>1</v>
      </c>
      <c r="G5336" t="s">
        <v>55</v>
      </c>
      <c r="H5336" t="s">
        <v>56</v>
      </c>
      <c r="I5336" s="3">
        <v>1738</v>
      </c>
      <c r="J5336" s="3">
        <v>1738</v>
      </c>
      <c r="K5336" s="3">
        <v>388</v>
      </c>
      <c r="L5336" t="s">
        <v>113</v>
      </c>
      <c r="M5336">
        <v>7</v>
      </c>
      <c r="N5336" t="s">
        <v>84</v>
      </c>
      <c r="O5336" t="s">
        <v>81</v>
      </c>
      <c r="P5336" t="s">
        <v>12</v>
      </c>
      <c r="Q5336" t="s">
        <v>13</v>
      </c>
      <c r="R5336" t="s">
        <v>13</v>
      </c>
      <c r="S5336" t="s">
        <v>144</v>
      </c>
      <c r="T5336" s="2">
        <f>MASTER[[#This Row],[CANTIDAD]]*MASTER[[#This Row],[PRECIO DE VENTA]]</f>
        <v>1738</v>
      </c>
      <c r="U5336" s="2">
        <f>MASTER[[#This Row],[CANTIDAD]]*MASTER[[#This Row],[COSTO UNITARIO]]</f>
        <v>388</v>
      </c>
      <c r="V5336" s="2">
        <f>MASTER[[#This Row],[MONTO VENDIDO]]-MASTER[[#This Row],[COSTO DE VENTA]]</f>
        <v>1350</v>
      </c>
    </row>
    <row r="5337" spans="1:22" x14ac:dyDescent="0.3">
      <c r="A5337">
        <v>75746</v>
      </c>
      <c r="B5337">
        <v>1</v>
      </c>
      <c r="C5337" t="s">
        <v>114</v>
      </c>
      <c r="D5337" t="s">
        <v>115</v>
      </c>
      <c r="E5337" s="1">
        <v>44412</v>
      </c>
      <c r="F5337">
        <v>1</v>
      </c>
      <c r="G5337" t="s">
        <v>67</v>
      </c>
      <c r="H5337" t="s">
        <v>68</v>
      </c>
      <c r="I5337" s="3">
        <v>2030</v>
      </c>
      <c r="J5337" s="3">
        <v>2030</v>
      </c>
      <c r="K5337" s="3">
        <v>394</v>
      </c>
      <c r="L5337" t="s">
        <v>113</v>
      </c>
      <c r="M5337">
        <v>3</v>
      </c>
      <c r="N5337" t="s">
        <v>69</v>
      </c>
      <c r="O5337" t="s">
        <v>70</v>
      </c>
      <c r="P5337" t="s">
        <v>71</v>
      </c>
      <c r="Q5337" t="s">
        <v>72</v>
      </c>
      <c r="R5337" t="s">
        <v>139</v>
      </c>
      <c r="S5337" t="s">
        <v>144</v>
      </c>
      <c r="T5337" s="2">
        <f>MASTER[[#This Row],[CANTIDAD]]*MASTER[[#This Row],[PRECIO DE VENTA]]</f>
        <v>2030</v>
      </c>
      <c r="U5337" s="2">
        <f>MASTER[[#This Row],[CANTIDAD]]*MASTER[[#This Row],[COSTO UNITARIO]]</f>
        <v>394</v>
      </c>
      <c r="V5337" s="2">
        <f>MASTER[[#This Row],[MONTO VENDIDO]]-MASTER[[#This Row],[COSTO DE VENTA]]</f>
        <v>1636</v>
      </c>
    </row>
    <row r="5338" spans="1:22" x14ac:dyDescent="0.3">
      <c r="A5338">
        <v>75747</v>
      </c>
      <c r="B5338">
        <v>1</v>
      </c>
      <c r="C5338" t="s">
        <v>103</v>
      </c>
      <c r="D5338" t="s">
        <v>104</v>
      </c>
      <c r="E5338" s="1">
        <v>44412</v>
      </c>
      <c r="F5338">
        <v>1</v>
      </c>
      <c r="G5338" t="s">
        <v>24</v>
      </c>
      <c r="H5338" t="s">
        <v>25</v>
      </c>
      <c r="I5338" s="3">
        <v>1591</v>
      </c>
      <c r="J5338" s="3">
        <v>1591</v>
      </c>
      <c r="K5338" s="3">
        <v>421</v>
      </c>
      <c r="L5338" t="s">
        <v>98</v>
      </c>
      <c r="M5338">
        <v>7</v>
      </c>
      <c r="N5338" t="s">
        <v>84</v>
      </c>
      <c r="O5338" t="s">
        <v>81</v>
      </c>
      <c r="P5338" t="s">
        <v>12</v>
      </c>
      <c r="Q5338" t="s">
        <v>13</v>
      </c>
      <c r="R5338" t="s">
        <v>13</v>
      </c>
      <c r="S5338" t="s">
        <v>144</v>
      </c>
      <c r="T5338" s="2">
        <f>MASTER[[#This Row],[CANTIDAD]]*MASTER[[#This Row],[PRECIO DE VENTA]]</f>
        <v>1591</v>
      </c>
      <c r="U5338" s="2">
        <f>MASTER[[#This Row],[CANTIDAD]]*MASTER[[#This Row],[COSTO UNITARIO]]</f>
        <v>421</v>
      </c>
      <c r="V5338" s="2">
        <f>MASTER[[#This Row],[MONTO VENDIDO]]-MASTER[[#This Row],[COSTO DE VENTA]]</f>
        <v>1170</v>
      </c>
    </row>
    <row r="5339" spans="1:22" x14ac:dyDescent="0.3">
      <c r="A5339">
        <v>75761</v>
      </c>
      <c r="B5339">
        <v>1</v>
      </c>
      <c r="C5339" t="s">
        <v>118</v>
      </c>
      <c r="D5339" t="s">
        <v>119</v>
      </c>
      <c r="E5339" s="1">
        <v>44412</v>
      </c>
      <c r="F5339">
        <v>1</v>
      </c>
      <c r="G5339" t="s">
        <v>61</v>
      </c>
      <c r="H5339" t="s">
        <v>62</v>
      </c>
      <c r="I5339" s="3">
        <v>900</v>
      </c>
      <c r="J5339" s="3">
        <v>900</v>
      </c>
      <c r="K5339" s="3">
        <v>424</v>
      </c>
      <c r="L5339" t="s">
        <v>120</v>
      </c>
      <c r="M5339">
        <v>7</v>
      </c>
      <c r="N5339" t="s">
        <v>84</v>
      </c>
      <c r="O5339" t="s">
        <v>81</v>
      </c>
      <c r="P5339" t="s">
        <v>12</v>
      </c>
      <c r="Q5339" t="s">
        <v>13</v>
      </c>
      <c r="R5339" t="s">
        <v>13</v>
      </c>
      <c r="S5339" t="s">
        <v>144</v>
      </c>
      <c r="T5339" s="2">
        <f>MASTER[[#This Row],[CANTIDAD]]*MASTER[[#This Row],[PRECIO DE VENTA]]</f>
        <v>900</v>
      </c>
      <c r="U5339" s="2">
        <f>MASTER[[#This Row],[CANTIDAD]]*MASTER[[#This Row],[COSTO UNITARIO]]</f>
        <v>424</v>
      </c>
      <c r="V5339" s="2">
        <f>MASTER[[#This Row],[MONTO VENDIDO]]-MASTER[[#This Row],[COSTO DE VENTA]]</f>
        <v>476</v>
      </c>
    </row>
    <row r="5340" spans="1:22" x14ac:dyDescent="0.3">
      <c r="A5340">
        <v>75762</v>
      </c>
      <c r="B5340">
        <v>1</v>
      </c>
      <c r="C5340" t="s">
        <v>5</v>
      </c>
      <c r="D5340" t="s">
        <v>6</v>
      </c>
      <c r="E5340" s="1">
        <v>44413</v>
      </c>
      <c r="F5340">
        <v>1</v>
      </c>
      <c r="G5340" t="s">
        <v>29</v>
      </c>
      <c r="H5340" t="s">
        <v>30</v>
      </c>
      <c r="I5340" s="3">
        <v>1507</v>
      </c>
      <c r="J5340" s="3">
        <v>1507</v>
      </c>
      <c r="K5340" s="3">
        <v>393</v>
      </c>
      <c r="L5340" t="s">
        <v>9</v>
      </c>
      <c r="M5340">
        <v>10</v>
      </c>
      <c r="N5340" t="s">
        <v>83</v>
      </c>
      <c r="O5340" t="s">
        <v>81</v>
      </c>
      <c r="P5340" t="s">
        <v>12</v>
      </c>
      <c r="Q5340" t="s">
        <v>13</v>
      </c>
      <c r="R5340" t="s">
        <v>13</v>
      </c>
      <c r="S5340" t="s">
        <v>144</v>
      </c>
      <c r="T5340" s="2">
        <f>MASTER[[#This Row],[CANTIDAD]]*MASTER[[#This Row],[PRECIO DE VENTA]]</f>
        <v>1507</v>
      </c>
      <c r="U5340" s="2">
        <f>MASTER[[#This Row],[CANTIDAD]]*MASTER[[#This Row],[COSTO UNITARIO]]</f>
        <v>393</v>
      </c>
      <c r="V5340" s="2">
        <f>MASTER[[#This Row],[MONTO VENDIDO]]-MASTER[[#This Row],[COSTO DE VENTA]]</f>
        <v>1114</v>
      </c>
    </row>
    <row r="5341" spans="1:22" x14ac:dyDescent="0.3">
      <c r="A5341">
        <v>75793</v>
      </c>
      <c r="B5341">
        <v>1</v>
      </c>
      <c r="C5341" t="s">
        <v>121</v>
      </c>
      <c r="D5341" t="s">
        <v>122</v>
      </c>
      <c r="E5341" s="1">
        <v>44413</v>
      </c>
      <c r="F5341">
        <v>1</v>
      </c>
      <c r="G5341" t="s">
        <v>55</v>
      </c>
      <c r="H5341" t="s">
        <v>56</v>
      </c>
      <c r="I5341" s="3">
        <v>941</v>
      </c>
      <c r="J5341" s="3">
        <v>941</v>
      </c>
      <c r="K5341" s="3">
        <v>460</v>
      </c>
      <c r="L5341" t="s">
        <v>120</v>
      </c>
      <c r="M5341">
        <v>12</v>
      </c>
      <c r="N5341" t="s">
        <v>26</v>
      </c>
      <c r="O5341" t="s">
        <v>11</v>
      </c>
      <c r="P5341" t="s">
        <v>12</v>
      </c>
      <c r="Q5341" t="s">
        <v>13</v>
      </c>
      <c r="R5341" t="s">
        <v>13</v>
      </c>
      <c r="S5341" t="s">
        <v>144</v>
      </c>
      <c r="T5341" s="2">
        <f>MASTER[[#This Row],[CANTIDAD]]*MASTER[[#This Row],[PRECIO DE VENTA]]</f>
        <v>941</v>
      </c>
      <c r="U5341" s="2">
        <f>MASTER[[#This Row],[CANTIDAD]]*MASTER[[#This Row],[COSTO UNITARIO]]</f>
        <v>460</v>
      </c>
      <c r="V5341" s="2">
        <f>MASTER[[#This Row],[MONTO VENDIDO]]-MASTER[[#This Row],[COSTO DE VENTA]]</f>
        <v>481</v>
      </c>
    </row>
    <row r="5342" spans="1:22" x14ac:dyDescent="0.3">
      <c r="A5342">
        <v>75794</v>
      </c>
      <c r="B5342">
        <v>1</v>
      </c>
      <c r="C5342" t="s">
        <v>96</v>
      </c>
      <c r="D5342" t="s">
        <v>97</v>
      </c>
      <c r="E5342" s="1">
        <v>44413</v>
      </c>
      <c r="F5342">
        <v>1</v>
      </c>
      <c r="G5342" t="s">
        <v>39</v>
      </c>
      <c r="H5342" t="s">
        <v>40</v>
      </c>
      <c r="I5342" s="3">
        <v>1272</v>
      </c>
      <c r="J5342" s="3">
        <v>1272</v>
      </c>
      <c r="K5342" s="3">
        <v>397</v>
      </c>
      <c r="L5342" t="s">
        <v>98</v>
      </c>
      <c r="M5342">
        <v>19</v>
      </c>
      <c r="N5342" t="s">
        <v>89</v>
      </c>
      <c r="O5342" t="s">
        <v>81</v>
      </c>
      <c r="P5342" t="s">
        <v>15</v>
      </c>
      <c r="Q5342" t="s">
        <v>16</v>
      </c>
      <c r="R5342" t="s">
        <v>16</v>
      </c>
      <c r="S5342" t="s">
        <v>144</v>
      </c>
      <c r="T5342" s="2">
        <f>MASTER[[#This Row],[CANTIDAD]]*MASTER[[#This Row],[PRECIO DE VENTA]]</f>
        <v>1272</v>
      </c>
      <c r="U5342" s="2">
        <f>MASTER[[#This Row],[CANTIDAD]]*MASTER[[#This Row],[COSTO UNITARIO]]</f>
        <v>397</v>
      </c>
      <c r="V5342" s="2">
        <f>MASTER[[#This Row],[MONTO VENDIDO]]-MASTER[[#This Row],[COSTO DE VENTA]]</f>
        <v>875</v>
      </c>
    </row>
    <row r="5343" spans="1:22" x14ac:dyDescent="0.3">
      <c r="A5343">
        <v>75795</v>
      </c>
      <c r="B5343">
        <v>1</v>
      </c>
      <c r="C5343" t="s">
        <v>109</v>
      </c>
      <c r="D5343" t="s">
        <v>110</v>
      </c>
      <c r="E5343" s="1">
        <v>44413</v>
      </c>
      <c r="F5343">
        <v>1</v>
      </c>
      <c r="G5343" t="s">
        <v>7</v>
      </c>
      <c r="H5343" t="s">
        <v>8</v>
      </c>
      <c r="I5343" s="3">
        <v>947</v>
      </c>
      <c r="J5343" s="3">
        <v>947</v>
      </c>
      <c r="K5343" s="3">
        <v>387</v>
      </c>
      <c r="L5343" t="s">
        <v>98</v>
      </c>
      <c r="M5343">
        <v>17</v>
      </c>
      <c r="N5343" t="s">
        <v>14</v>
      </c>
      <c r="O5343" t="s">
        <v>11</v>
      </c>
      <c r="P5343" t="s">
        <v>15</v>
      </c>
      <c r="Q5343" t="s">
        <v>16</v>
      </c>
      <c r="R5343" t="s">
        <v>16</v>
      </c>
      <c r="S5343" t="s">
        <v>144</v>
      </c>
      <c r="T5343" s="2">
        <f>MASTER[[#This Row],[CANTIDAD]]*MASTER[[#This Row],[PRECIO DE VENTA]]</f>
        <v>947</v>
      </c>
      <c r="U5343" s="2">
        <f>MASTER[[#This Row],[CANTIDAD]]*MASTER[[#This Row],[COSTO UNITARIO]]</f>
        <v>387</v>
      </c>
      <c r="V5343" s="2">
        <f>MASTER[[#This Row],[MONTO VENDIDO]]-MASTER[[#This Row],[COSTO DE VENTA]]</f>
        <v>560</v>
      </c>
    </row>
    <row r="5344" spans="1:22" x14ac:dyDescent="0.3">
      <c r="A5344">
        <v>75801</v>
      </c>
      <c r="B5344">
        <v>1</v>
      </c>
      <c r="C5344" t="s">
        <v>90</v>
      </c>
      <c r="D5344" t="s">
        <v>91</v>
      </c>
      <c r="E5344" s="1">
        <v>44413</v>
      </c>
      <c r="F5344">
        <v>1</v>
      </c>
      <c r="G5344" t="s">
        <v>45</v>
      </c>
      <c r="H5344" t="s">
        <v>46</v>
      </c>
      <c r="I5344" s="3">
        <v>1844</v>
      </c>
      <c r="J5344" s="3">
        <v>1844</v>
      </c>
      <c r="K5344" s="3">
        <v>420</v>
      </c>
      <c r="L5344" t="s">
        <v>9</v>
      </c>
      <c r="M5344">
        <v>2</v>
      </c>
      <c r="N5344" t="s">
        <v>86</v>
      </c>
      <c r="O5344" t="s">
        <v>81</v>
      </c>
      <c r="P5344" t="s">
        <v>71</v>
      </c>
      <c r="Q5344" t="s">
        <v>72</v>
      </c>
      <c r="R5344" t="s">
        <v>139</v>
      </c>
      <c r="S5344" t="s">
        <v>144</v>
      </c>
      <c r="T5344" s="2">
        <f>MASTER[[#This Row],[CANTIDAD]]*MASTER[[#This Row],[PRECIO DE VENTA]]</f>
        <v>1844</v>
      </c>
      <c r="U5344" s="2">
        <f>MASTER[[#This Row],[CANTIDAD]]*MASTER[[#This Row],[COSTO UNITARIO]]</f>
        <v>420</v>
      </c>
      <c r="V5344" s="2">
        <f>MASTER[[#This Row],[MONTO VENDIDO]]-MASTER[[#This Row],[COSTO DE VENTA]]</f>
        <v>1424</v>
      </c>
    </row>
    <row r="5345" spans="1:22" x14ac:dyDescent="0.3">
      <c r="A5345">
        <v>75820</v>
      </c>
      <c r="B5345">
        <v>1</v>
      </c>
      <c r="C5345" t="s">
        <v>118</v>
      </c>
      <c r="D5345" t="s">
        <v>119</v>
      </c>
      <c r="E5345" s="1">
        <v>44413</v>
      </c>
      <c r="F5345">
        <v>1</v>
      </c>
      <c r="G5345" t="s">
        <v>20</v>
      </c>
      <c r="H5345" t="s">
        <v>21</v>
      </c>
      <c r="I5345" s="3">
        <v>1026</v>
      </c>
      <c r="J5345" s="3">
        <v>1026</v>
      </c>
      <c r="K5345" s="3">
        <v>424</v>
      </c>
      <c r="L5345" t="s">
        <v>120</v>
      </c>
      <c r="M5345">
        <v>18</v>
      </c>
      <c r="N5345" t="s">
        <v>79</v>
      </c>
      <c r="O5345" t="s">
        <v>70</v>
      </c>
      <c r="P5345" t="s">
        <v>15</v>
      </c>
      <c r="Q5345" t="s">
        <v>16</v>
      </c>
      <c r="R5345" t="s">
        <v>16</v>
      </c>
      <c r="S5345" t="s">
        <v>144</v>
      </c>
      <c r="T5345" s="2">
        <f>MASTER[[#This Row],[CANTIDAD]]*MASTER[[#This Row],[PRECIO DE VENTA]]</f>
        <v>1026</v>
      </c>
      <c r="U5345" s="2">
        <f>MASTER[[#This Row],[CANTIDAD]]*MASTER[[#This Row],[COSTO UNITARIO]]</f>
        <v>424</v>
      </c>
      <c r="V5345" s="2">
        <f>MASTER[[#This Row],[MONTO VENDIDO]]-MASTER[[#This Row],[COSTO DE VENTA]]</f>
        <v>602</v>
      </c>
    </row>
    <row r="5346" spans="1:22" x14ac:dyDescent="0.3">
      <c r="A5346">
        <v>75827</v>
      </c>
      <c r="B5346">
        <v>1</v>
      </c>
      <c r="C5346" t="s">
        <v>5</v>
      </c>
      <c r="D5346" t="s">
        <v>6</v>
      </c>
      <c r="E5346" s="1">
        <v>44414</v>
      </c>
      <c r="F5346">
        <v>1</v>
      </c>
      <c r="G5346" t="s">
        <v>27</v>
      </c>
      <c r="H5346" t="s">
        <v>28</v>
      </c>
      <c r="I5346" s="3">
        <v>1296</v>
      </c>
      <c r="J5346" s="3">
        <v>1296</v>
      </c>
      <c r="K5346" s="3">
        <v>393</v>
      </c>
      <c r="L5346" t="s">
        <v>9</v>
      </c>
      <c r="M5346">
        <v>3</v>
      </c>
      <c r="N5346" t="s">
        <v>69</v>
      </c>
      <c r="O5346" t="s">
        <v>70</v>
      </c>
      <c r="P5346" t="s">
        <v>71</v>
      </c>
      <c r="Q5346" t="s">
        <v>72</v>
      </c>
      <c r="R5346" t="s">
        <v>139</v>
      </c>
      <c r="S5346" t="s">
        <v>144</v>
      </c>
      <c r="T5346" s="2">
        <f>MASTER[[#This Row],[CANTIDAD]]*MASTER[[#This Row],[PRECIO DE VENTA]]</f>
        <v>1296</v>
      </c>
      <c r="U5346" s="2">
        <f>MASTER[[#This Row],[CANTIDAD]]*MASTER[[#This Row],[COSTO UNITARIO]]</f>
        <v>393</v>
      </c>
      <c r="V5346" s="2">
        <f>MASTER[[#This Row],[MONTO VENDIDO]]-MASTER[[#This Row],[COSTO DE VENTA]]</f>
        <v>903</v>
      </c>
    </row>
    <row r="5347" spans="1:22" x14ac:dyDescent="0.3">
      <c r="A5347">
        <v>75832</v>
      </c>
      <c r="B5347">
        <v>1</v>
      </c>
      <c r="C5347" t="s">
        <v>90</v>
      </c>
      <c r="D5347" t="s">
        <v>91</v>
      </c>
      <c r="E5347" s="1">
        <v>44414</v>
      </c>
      <c r="F5347">
        <v>1</v>
      </c>
      <c r="G5347" t="s">
        <v>35</v>
      </c>
      <c r="H5347" t="s">
        <v>36</v>
      </c>
      <c r="I5347" s="3">
        <v>1844</v>
      </c>
      <c r="J5347" s="3">
        <v>1844</v>
      </c>
      <c r="K5347" s="3">
        <v>420</v>
      </c>
      <c r="L5347" t="s">
        <v>9</v>
      </c>
      <c r="M5347">
        <v>14</v>
      </c>
      <c r="N5347" t="s">
        <v>87</v>
      </c>
      <c r="O5347" t="s">
        <v>81</v>
      </c>
      <c r="P5347" t="s">
        <v>18</v>
      </c>
      <c r="Q5347" t="s">
        <v>19</v>
      </c>
      <c r="R5347" t="s">
        <v>138</v>
      </c>
      <c r="S5347" t="s">
        <v>144</v>
      </c>
      <c r="T5347" s="2">
        <f>MASTER[[#This Row],[CANTIDAD]]*MASTER[[#This Row],[PRECIO DE VENTA]]</f>
        <v>1844</v>
      </c>
      <c r="U5347" s="2">
        <f>MASTER[[#This Row],[CANTIDAD]]*MASTER[[#This Row],[COSTO UNITARIO]]</f>
        <v>420</v>
      </c>
      <c r="V5347" s="2">
        <f>MASTER[[#This Row],[MONTO VENDIDO]]-MASTER[[#This Row],[COSTO DE VENTA]]</f>
        <v>1424</v>
      </c>
    </row>
    <row r="5348" spans="1:22" x14ac:dyDescent="0.3">
      <c r="A5348">
        <v>75851</v>
      </c>
      <c r="B5348">
        <v>1</v>
      </c>
      <c r="C5348" t="s">
        <v>105</v>
      </c>
      <c r="D5348" t="s">
        <v>106</v>
      </c>
      <c r="E5348" s="1">
        <v>44414</v>
      </c>
      <c r="F5348">
        <v>1</v>
      </c>
      <c r="G5348" t="s">
        <v>43</v>
      </c>
      <c r="H5348" t="s">
        <v>44</v>
      </c>
      <c r="I5348" s="3">
        <v>2033</v>
      </c>
      <c r="J5348" s="3">
        <v>2033</v>
      </c>
      <c r="K5348" s="3">
        <v>459</v>
      </c>
      <c r="L5348" t="s">
        <v>98</v>
      </c>
      <c r="M5348">
        <v>9</v>
      </c>
      <c r="N5348" t="s">
        <v>76</v>
      </c>
      <c r="O5348" t="s">
        <v>70</v>
      </c>
      <c r="P5348" t="s">
        <v>12</v>
      </c>
      <c r="Q5348" t="s">
        <v>13</v>
      </c>
      <c r="R5348" t="s">
        <v>13</v>
      </c>
      <c r="S5348" t="s">
        <v>144</v>
      </c>
      <c r="T5348" s="2">
        <f>MASTER[[#This Row],[CANTIDAD]]*MASTER[[#This Row],[PRECIO DE VENTA]]</f>
        <v>2033</v>
      </c>
      <c r="U5348" s="2">
        <f>MASTER[[#This Row],[CANTIDAD]]*MASTER[[#This Row],[COSTO UNITARIO]]</f>
        <v>459</v>
      </c>
      <c r="V5348" s="2">
        <f>MASTER[[#This Row],[MONTO VENDIDO]]-MASTER[[#This Row],[COSTO DE VENTA]]</f>
        <v>1574</v>
      </c>
    </row>
    <row r="5349" spans="1:22" x14ac:dyDescent="0.3">
      <c r="A5349">
        <v>75852</v>
      </c>
      <c r="B5349">
        <v>1</v>
      </c>
      <c r="C5349" t="s">
        <v>107</v>
      </c>
      <c r="D5349" t="s">
        <v>108</v>
      </c>
      <c r="E5349" s="1">
        <v>44414</v>
      </c>
      <c r="F5349">
        <v>3</v>
      </c>
      <c r="G5349" t="s">
        <v>24</v>
      </c>
      <c r="H5349" t="s">
        <v>25</v>
      </c>
      <c r="I5349" s="3">
        <v>1240</v>
      </c>
      <c r="J5349" s="3">
        <v>1240</v>
      </c>
      <c r="K5349" s="3">
        <v>380</v>
      </c>
      <c r="L5349" t="s">
        <v>98</v>
      </c>
      <c r="M5349">
        <v>16</v>
      </c>
      <c r="N5349" t="s">
        <v>17</v>
      </c>
      <c r="O5349" t="s">
        <v>11</v>
      </c>
      <c r="P5349" t="s">
        <v>18</v>
      </c>
      <c r="Q5349" t="s">
        <v>19</v>
      </c>
      <c r="R5349" t="s">
        <v>138</v>
      </c>
      <c r="S5349" t="s">
        <v>144</v>
      </c>
      <c r="T5349" s="2">
        <f>MASTER[[#This Row],[CANTIDAD]]*MASTER[[#This Row],[PRECIO DE VENTA]]</f>
        <v>3720</v>
      </c>
      <c r="U5349" s="2">
        <f>MASTER[[#This Row],[CANTIDAD]]*MASTER[[#This Row],[COSTO UNITARIO]]</f>
        <v>1140</v>
      </c>
      <c r="V5349" s="2">
        <f>MASTER[[#This Row],[MONTO VENDIDO]]-MASTER[[#This Row],[COSTO DE VENTA]]</f>
        <v>2580</v>
      </c>
    </row>
    <row r="5350" spans="1:22" x14ac:dyDescent="0.3">
      <c r="A5350">
        <v>75875</v>
      </c>
      <c r="B5350">
        <v>1</v>
      </c>
      <c r="C5350" t="s">
        <v>116</v>
      </c>
      <c r="D5350" t="s">
        <v>117</v>
      </c>
      <c r="E5350" s="1">
        <v>44414</v>
      </c>
      <c r="F5350">
        <v>1</v>
      </c>
      <c r="G5350" t="s">
        <v>45</v>
      </c>
      <c r="H5350" t="s">
        <v>46</v>
      </c>
      <c r="I5350" s="3">
        <v>1738</v>
      </c>
      <c r="J5350" s="3">
        <v>1738</v>
      </c>
      <c r="K5350" s="3">
        <v>388</v>
      </c>
      <c r="L5350" t="s">
        <v>113</v>
      </c>
      <c r="M5350">
        <v>19</v>
      </c>
      <c r="N5350" t="s">
        <v>89</v>
      </c>
      <c r="O5350" t="s">
        <v>81</v>
      </c>
      <c r="P5350" t="s">
        <v>15</v>
      </c>
      <c r="Q5350" t="s">
        <v>16</v>
      </c>
      <c r="R5350" t="s">
        <v>16</v>
      </c>
      <c r="S5350" t="s">
        <v>144</v>
      </c>
      <c r="T5350" s="2">
        <f>MASTER[[#This Row],[CANTIDAD]]*MASTER[[#This Row],[PRECIO DE VENTA]]</f>
        <v>1738</v>
      </c>
      <c r="U5350" s="2">
        <f>MASTER[[#This Row],[CANTIDAD]]*MASTER[[#This Row],[COSTO UNITARIO]]</f>
        <v>388</v>
      </c>
      <c r="V5350" s="2">
        <f>MASTER[[#This Row],[MONTO VENDIDO]]-MASTER[[#This Row],[COSTO DE VENTA]]</f>
        <v>1350</v>
      </c>
    </row>
    <row r="5351" spans="1:22" x14ac:dyDescent="0.3">
      <c r="A5351">
        <v>75891</v>
      </c>
      <c r="B5351">
        <v>1</v>
      </c>
      <c r="C5351" t="s">
        <v>94</v>
      </c>
      <c r="D5351" t="s">
        <v>95</v>
      </c>
      <c r="E5351" s="1">
        <v>44414</v>
      </c>
      <c r="F5351">
        <v>1</v>
      </c>
      <c r="G5351" t="s">
        <v>31</v>
      </c>
      <c r="H5351" t="s">
        <v>32</v>
      </c>
      <c r="I5351" s="3">
        <v>1048</v>
      </c>
      <c r="J5351" s="3">
        <v>1048</v>
      </c>
      <c r="K5351" s="3">
        <v>392</v>
      </c>
      <c r="L5351" t="s">
        <v>9</v>
      </c>
      <c r="M5351">
        <v>7</v>
      </c>
      <c r="N5351" t="s">
        <v>84</v>
      </c>
      <c r="O5351" t="s">
        <v>81</v>
      </c>
      <c r="P5351" t="s">
        <v>12</v>
      </c>
      <c r="Q5351" t="s">
        <v>13</v>
      </c>
      <c r="R5351" t="s">
        <v>13</v>
      </c>
      <c r="S5351" t="s">
        <v>144</v>
      </c>
      <c r="T5351" s="2">
        <f>MASTER[[#This Row],[CANTIDAD]]*MASTER[[#This Row],[PRECIO DE VENTA]]</f>
        <v>1048</v>
      </c>
      <c r="U5351" s="2">
        <f>MASTER[[#This Row],[CANTIDAD]]*MASTER[[#This Row],[COSTO UNITARIO]]</f>
        <v>392</v>
      </c>
      <c r="V5351" s="2">
        <f>MASTER[[#This Row],[MONTO VENDIDO]]-MASTER[[#This Row],[COSTO DE VENTA]]</f>
        <v>656</v>
      </c>
    </row>
    <row r="5352" spans="1:22" x14ac:dyDescent="0.3">
      <c r="A5352">
        <v>75928</v>
      </c>
      <c r="B5352">
        <v>1</v>
      </c>
      <c r="C5352" t="s">
        <v>105</v>
      </c>
      <c r="D5352" t="s">
        <v>106</v>
      </c>
      <c r="E5352" s="1">
        <v>44415</v>
      </c>
      <c r="F5352">
        <v>1</v>
      </c>
      <c r="G5352" t="s">
        <v>33</v>
      </c>
      <c r="H5352" t="s">
        <v>34</v>
      </c>
      <c r="I5352" s="3">
        <v>1585</v>
      </c>
      <c r="J5352" s="3">
        <v>1585</v>
      </c>
      <c r="K5352" s="3">
        <v>459</v>
      </c>
      <c r="L5352" t="s">
        <v>98</v>
      </c>
      <c r="M5352">
        <v>17</v>
      </c>
      <c r="N5352" t="s">
        <v>14</v>
      </c>
      <c r="O5352" t="s">
        <v>11</v>
      </c>
      <c r="P5352" t="s">
        <v>15</v>
      </c>
      <c r="Q5352" t="s">
        <v>16</v>
      </c>
      <c r="R5352" t="s">
        <v>16</v>
      </c>
      <c r="S5352" t="s">
        <v>144</v>
      </c>
      <c r="T5352" s="2">
        <f>MASTER[[#This Row],[CANTIDAD]]*MASTER[[#This Row],[PRECIO DE VENTA]]</f>
        <v>1585</v>
      </c>
      <c r="U5352" s="2">
        <f>MASTER[[#This Row],[CANTIDAD]]*MASTER[[#This Row],[COSTO UNITARIO]]</f>
        <v>459</v>
      </c>
      <c r="V5352" s="2">
        <f>MASTER[[#This Row],[MONTO VENDIDO]]-MASTER[[#This Row],[COSTO DE VENTA]]</f>
        <v>1126</v>
      </c>
    </row>
    <row r="5353" spans="1:22" x14ac:dyDescent="0.3">
      <c r="A5353">
        <v>75987</v>
      </c>
      <c r="B5353">
        <v>1</v>
      </c>
      <c r="C5353" t="s">
        <v>116</v>
      </c>
      <c r="D5353" t="s">
        <v>117</v>
      </c>
      <c r="E5353" s="1">
        <v>44415</v>
      </c>
      <c r="F5353">
        <v>1</v>
      </c>
      <c r="G5353" t="s">
        <v>7</v>
      </c>
      <c r="H5353" t="s">
        <v>8</v>
      </c>
      <c r="I5353" s="3">
        <v>1529</v>
      </c>
      <c r="J5353" s="3">
        <v>1529</v>
      </c>
      <c r="K5353" s="3">
        <v>388</v>
      </c>
      <c r="L5353" t="s">
        <v>113</v>
      </c>
      <c r="M5353">
        <v>11</v>
      </c>
      <c r="N5353" t="s">
        <v>10</v>
      </c>
      <c r="O5353" t="s">
        <v>11</v>
      </c>
      <c r="P5353" t="s">
        <v>12</v>
      </c>
      <c r="Q5353" t="s">
        <v>13</v>
      </c>
      <c r="R5353" t="s">
        <v>13</v>
      </c>
      <c r="S5353" t="s">
        <v>144</v>
      </c>
      <c r="T5353" s="2">
        <f>MASTER[[#This Row],[CANTIDAD]]*MASTER[[#This Row],[PRECIO DE VENTA]]</f>
        <v>1529</v>
      </c>
      <c r="U5353" s="2">
        <f>MASTER[[#This Row],[CANTIDAD]]*MASTER[[#This Row],[COSTO UNITARIO]]</f>
        <v>388</v>
      </c>
      <c r="V5353" s="2">
        <f>MASTER[[#This Row],[MONTO VENDIDO]]-MASTER[[#This Row],[COSTO DE VENTA]]</f>
        <v>1141</v>
      </c>
    </row>
    <row r="5354" spans="1:22" x14ac:dyDescent="0.3">
      <c r="A5354">
        <v>76018</v>
      </c>
      <c r="B5354">
        <v>1</v>
      </c>
      <c r="C5354" t="s">
        <v>94</v>
      </c>
      <c r="D5354" t="s">
        <v>95</v>
      </c>
      <c r="E5354" s="1">
        <v>44415</v>
      </c>
      <c r="F5354">
        <v>1</v>
      </c>
      <c r="G5354" t="s">
        <v>22</v>
      </c>
      <c r="H5354" t="s">
        <v>23</v>
      </c>
      <c r="I5354" s="3">
        <v>1048</v>
      </c>
      <c r="J5354" s="3">
        <v>1048</v>
      </c>
      <c r="K5354" s="3">
        <v>392</v>
      </c>
      <c r="L5354" t="s">
        <v>9</v>
      </c>
      <c r="M5354">
        <v>8</v>
      </c>
      <c r="N5354" t="s">
        <v>80</v>
      </c>
      <c r="O5354" t="s">
        <v>81</v>
      </c>
      <c r="P5354" t="s">
        <v>12</v>
      </c>
      <c r="Q5354" t="s">
        <v>13</v>
      </c>
      <c r="R5354" t="s">
        <v>13</v>
      </c>
      <c r="S5354" t="s">
        <v>144</v>
      </c>
      <c r="T5354" s="2">
        <f>MASTER[[#This Row],[CANTIDAD]]*MASTER[[#This Row],[PRECIO DE VENTA]]</f>
        <v>1048</v>
      </c>
      <c r="U5354" s="2">
        <f>MASTER[[#This Row],[CANTIDAD]]*MASTER[[#This Row],[COSTO UNITARIO]]</f>
        <v>392</v>
      </c>
      <c r="V5354" s="2">
        <f>MASTER[[#This Row],[MONTO VENDIDO]]-MASTER[[#This Row],[COSTO DE VENTA]]</f>
        <v>656</v>
      </c>
    </row>
    <row r="5355" spans="1:22" x14ac:dyDescent="0.3">
      <c r="A5355">
        <v>76019</v>
      </c>
      <c r="B5355">
        <v>1</v>
      </c>
      <c r="C5355" t="s">
        <v>90</v>
      </c>
      <c r="D5355" t="s">
        <v>91</v>
      </c>
      <c r="E5355" s="1">
        <v>44415</v>
      </c>
      <c r="F5355">
        <v>1</v>
      </c>
      <c r="G5355" t="s">
        <v>39</v>
      </c>
      <c r="H5355" t="s">
        <v>40</v>
      </c>
      <c r="I5355" s="3">
        <v>2102</v>
      </c>
      <c r="J5355" s="3">
        <v>2102</v>
      </c>
      <c r="K5355" s="3">
        <v>420</v>
      </c>
      <c r="L5355" t="s">
        <v>9</v>
      </c>
      <c r="M5355">
        <v>1</v>
      </c>
      <c r="N5355" t="s">
        <v>77</v>
      </c>
      <c r="O5355" t="s">
        <v>70</v>
      </c>
      <c r="P5355" t="s">
        <v>71</v>
      </c>
      <c r="Q5355" t="s">
        <v>72</v>
      </c>
      <c r="R5355" t="s">
        <v>139</v>
      </c>
      <c r="S5355" t="s">
        <v>144</v>
      </c>
      <c r="T5355" s="2">
        <f>MASTER[[#This Row],[CANTIDAD]]*MASTER[[#This Row],[PRECIO DE VENTA]]</f>
        <v>2102</v>
      </c>
      <c r="U5355" s="2">
        <f>MASTER[[#This Row],[CANTIDAD]]*MASTER[[#This Row],[COSTO UNITARIO]]</f>
        <v>420</v>
      </c>
      <c r="V5355" s="2">
        <f>MASTER[[#This Row],[MONTO VENDIDO]]-MASTER[[#This Row],[COSTO DE VENTA]]</f>
        <v>1682</v>
      </c>
    </row>
    <row r="5356" spans="1:22" x14ac:dyDescent="0.3">
      <c r="A5356">
        <v>76026</v>
      </c>
      <c r="B5356">
        <v>1</v>
      </c>
      <c r="C5356" t="s">
        <v>99</v>
      </c>
      <c r="D5356" t="s">
        <v>100</v>
      </c>
      <c r="E5356" s="1">
        <v>44415</v>
      </c>
      <c r="F5356">
        <v>4</v>
      </c>
      <c r="G5356" t="s">
        <v>7</v>
      </c>
      <c r="H5356" t="s">
        <v>8</v>
      </c>
      <c r="I5356" s="3">
        <v>1328</v>
      </c>
      <c r="J5356" s="3">
        <v>1221</v>
      </c>
      <c r="K5356" s="3">
        <v>386</v>
      </c>
      <c r="L5356" t="s">
        <v>98</v>
      </c>
      <c r="M5356">
        <v>17</v>
      </c>
      <c r="N5356" t="s">
        <v>14</v>
      </c>
      <c r="O5356" t="s">
        <v>11</v>
      </c>
      <c r="P5356" t="s">
        <v>15</v>
      </c>
      <c r="Q5356" t="s">
        <v>16</v>
      </c>
      <c r="R5356" t="s">
        <v>16</v>
      </c>
      <c r="S5356" t="s">
        <v>144</v>
      </c>
      <c r="T5356" s="2">
        <f>MASTER[[#This Row],[CANTIDAD]]*MASTER[[#This Row],[PRECIO DE VENTA]]</f>
        <v>4884</v>
      </c>
      <c r="U5356" s="2">
        <f>MASTER[[#This Row],[CANTIDAD]]*MASTER[[#This Row],[COSTO UNITARIO]]</f>
        <v>1544</v>
      </c>
      <c r="V5356" s="2">
        <f>MASTER[[#This Row],[MONTO VENDIDO]]-MASTER[[#This Row],[COSTO DE VENTA]]</f>
        <v>3340</v>
      </c>
    </row>
    <row r="5357" spans="1:22" x14ac:dyDescent="0.3">
      <c r="A5357">
        <v>76033</v>
      </c>
      <c r="B5357">
        <v>1</v>
      </c>
      <c r="C5357" t="s">
        <v>92</v>
      </c>
      <c r="D5357" t="s">
        <v>93</v>
      </c>
      <c r="E5357" s="1">
        <v>44415</v>
      </c>
      <c r="F5357">
        <v>1</v>
      </c>
      <c r="G5357" t="s">
        <v>29</v>
      </c>
      <c r="H5357" t="s">
        <v>30</v>
      </c>
      <c r="I5357" s="3">
        <v>1681</v>
      </c>
      <c r="J5357" s="3">
        <v>1681</v>
      </c>
      <c r="K5357" s="3">
        <v>396</v>
      </c>
      <c r="L5357" t="s">
        <v>9</v>
      </c>
      <c r="M5357">
        <v>8</v>
      </c>
      <c r="N5357" t="s">
        <v>80</v>
      </c>
      <c r="O5357" t="s">
        <v>81</v>
      </c>
      <c r="P5357" t="s">
        <v>12</v>
      </c>
      <c r="Q5357" t="s">
        <v>13</v>
      </c>
      <c r="R5357" t="s">
        <v>13</v>
      </c>
      <c r="S5357" t="s">
        <v>144</v>
      </c>
      <c r="T5357" s="2">
        <f>MASTER[[#This Row],[CANTIDAD]]*MASTER[[#This Row],[PRECIO DE VENTA]]</f>
        <v>1681</v>
      </c>
      <c r="U5357" s="2">
        <f>MASTER[[#This Row],[CANTIDAD]]*MASTER[[#This Row],[COSTO UNITARIO]]</f>
        <v>396</v>
      </c>
      <c r="V5357" s="2">
        <f>MASTER[[#This Row],[MONTO VENDIDO]]-MASTER[[#This Row],[COSTO DE VENTA]]</f>
        <v>1285</v>
      </c>
    </row>
    <row r="5358" spans="1:22" x14ac:dyDescent="0.3">
      <c r="A5358">
        <v>76069</v>
      </c>
      <c r="B5358">
        <v>1</v>
      </c>
      <c r="C5358" t="s">
        <v>99</v>
      </c>
      <c r="D5358" t="s">
        <v>100</v>
      </c>
      <c r="E5358" s="1">
        <v>44415</v>
      </c>
      <c r="F5358">
        <v>1</v>
      </c>
      <c r="G5358" t="s">
        <v>22</v>
      </c>
      <c r="H5358" t="s">
        <v>23</v>
      </c>
      <c r="I5358" s="3">
        <v>1459</v>
      </c>
      <c r="J5358" s="3">
        <v>1459</v>
      </c>
      <c r="K5358" s="3">
        <v>386</v>
      </c>
      <c r="L5358" t="s">
        <v>98</v>
      </c>
      <c r="M5358">
        <v>19</v>
      </c>
      <c r="N5358" t="s">
        <v>89</v>
      </c>
      <c r="O5358" t="s">
        <v>81</v>
      </c>
      <c r="P5358" t="s">
        <v>15</v>
      </c>
      <c r="Q5358" t="s">
        <v>16</v>
      </c>
      <c r="R5358" t="s">
        <v>16</v>
      </c>
      <c r="S5358" t="s">
        <v>144</v>
      </c>
      <c r="T5358" s="2">
        <f>MASTER[[#This Row],[CANTIDAD]]*MASTER[[#This Row],[PRECIO DE VENTA]]</f>
        <v>1459</v>
      </c>
      <c r="U5358" s="2">
        <f>MASTER[[#This Row],[CANTIDAD]]*MASTER[[#This Row],[COSTO UNITARIO]]</f>
        <v>386</v>
      </c>
      <c r="V5358" s="2">
        <f>MASTER[[#This Row],[MONTO VENDIDO]]-MASTER[[#This Row],[COSTO DE VENTA]]</f>
        <v>1073</v>
      </c>
    </row>
    <row r="5359" spans="1:22" x14ac:dyDescent="0.3">
      <c r="A5359">
        <v>76071</v>
      </c>
      <c r="B5359">
        <v>1</v>
      </c>
      <c r="C5359" t="s">
        <v>116</v>
      </c>
      <c r="D5359" t="s">
        <v>117</v>
      </c>
      <c r="E5359" s="1">
        <v>44415</v>
      </c>
      <c r="F5359">
        <v>1</v>
      </c>
      <c r="G5359" t="s">
        <v>65</v>
      </c>
      <c r="H5359" t="s">
        <v>66</v>
      </c>
      <c r="I5359" s="3">
        <v>1738</v>
      </c>
      <c r="J5359" s="3">
        <v>1738</v>
      </c>
      <c r="K5359" s="3">
        <v>388</v>
      </c>
      <c r="L5359" t="s">
        <v>113</v>
      </c>
      <c r="M5359">
        <v>2</v>
      </c>
      <c r="N5359" t="s">
        <v>86</v>
      </c>
      <c r="O5359" t="s">
        <v>81</v>
      </c>
      <c r="P5359" t="s">
        <v>71</v>
      </c>
      <c r="Q5359" t="s">
        <v>72</v>
      </c>
      <c r="R5359" t="s">
        <v>139</v>
      </c>
      <c r="S5359" t="s">
        <v>144</v>
      </c>
      <c r="T5359" s="2">
        <f>MASTER[[#This Row],[CANTIDAD]]*MASTER[[#This Row],[PRECIO DE VENTA]]</f>
        <v>1738</v>
      </c>
      <c r="U5359" s="2">
        <f>MASTER[[#This Row],[CANTIDAD]]*MASTER[[#This Row],[COSTO UNITARIO]]</f>
        <v>388</v>
      </c>
      <c r="V5359" s="2">
        <f>MASTER[[#This Row],[MONTO VENDIDO]]-MASTER[[#This Row],[COSTO DE VENTA]]</f>
        <v>1350</v>
      </c>
    </row>
    <row r="5360" spans="1:22" x14ac:dyDescent="0.3">
      <c r="A5360">
        <v>76084</v>
      </c>
      <c r="B5360">
        <v>1</v>
      </c>
      <c r="C5360" t="s">
        <v>105</v>
      </c>
      <c r="D5360" t="s">
        <v>106</v>
      </c>
      <c r="E5360" s="1">
        <v>44416</v>
      </c>
      <c r="F5360">
        <v>1</v>
      </c>
      <c r="G5360" t="s">
        <v>73</v>
      </c>
      <c r="H5360" t="s">
        <v>74</v>
      </c>
      <c r="I5360" s="3">
        <v>1865</v>
      </c>
      <c r="J5360" s="3">
        <v>1865</v>
      </c>
      <c r="K5360" s="3">
        <v>459</v>
      </c>
      <c r="L5360" t="s">
        <v>98</v>
      </c>
      <c r="M5360">
        <v>19</v>
      </c>
      <c r="N5360" t="s">
        <v>89</v>
      </c>
      <c r="O5360" t="s">
        <v>81</v>
      </c>
      <c r="P5360" t="s">
        <v>15</v>
      </c>
      <c r="Q5360" t="s">
        <v>16</v>
      </c>
      <c r="R5360" t="s">
        <v>16</v>
      </c>
      <c r="S5360" t="s">
        <v>144</v>
      </c>
      <c r="T5360" s="2">
        <f>MASTER[[#This Row],[CANTIDAD]]*MASTER[[#This Row],[PRECIO DE VENTA]]</f>
        <v>1865</v>
      </c>
      <c r="U5360" s="2">
        <f>MASTER[[#This Row],[CANTIDAD]]*MASTER[[#This Row],[COSTO UNITARIO]]</f>
        <v>459</v>
      </c>
      <c r="V5360" s="2">
        <f>MASTER[[#This Row],[MONTO VENDIDO]]-MASTER[[#This Row],[COSTO DE VENTA]]</f>
        <v>1406</v>
      </c>
    </row>
    <row r="5361" spans="1:22" x14ac:dyDescent="0.3">
      <c r="A5361">
        <v>76117</v>
      </c>
      <c r="B5361">
        <v>1</v>
      </c>
      <c r="C5361" t="s">
        <v>5</v>
      </c>
      <c r="D5361" t="s">
        <v>6</v>
      </c>
      <c r="E5361" s="1">
        <v>44416</v>
      </c>
      <c r="F5361">
        <v>1</v>
      </c>
      <c r="G5361" t="s">
        <v>55</v>
      </c>
      <c r="H5361" t="s">
        <v>56</v>
      </c>
      <c r="I5361" s="3">
        <v>1507</v>
      </c>
      <c r="J5361" s="3">
        <v>1507</v>
      </c>
      <c r="K5361" s="3">
        <v>393</v>
      </c>
      <c r="L5361" t="s">
        <v>9</v>
      </c>
      <c r="M5361">
        <v>15</v>
      </c>
      <c r="N5361" t="s">
        <v>88</v>
      </c>
      <c r="O5361" t="s">
        <v>81</v>
      </c>
      <c r="P5361" t="s">
        <v>18</v>
      </c>
      <c r="Q5361" t="s">
        <v>19</v>
      </c>
      <c r="R5361" t="s">
        <v>138</v>
      </c>
      <c r="S5361" t="s">
        <v>144</v>
      </c>
      <c r="T5361" s="2">
        <f>MASTER[[#This Row],[CANTIDAD]]*MASTER[[#This Row],[PRECIO DE VENTA]]</f>
        <v>1507</v>
      </c>
      <c r="U5361" s="2">
        <f>MASTER[[#This Row],[CANTIDAD]]*MASTER[[#This Row],[COSTO UNITARIO]]</f>
        <v>393</v>
      </c>
      <c r="V5361" s="2">
        <f>MASTER[[#This Row],[MONTO VENDIDO]]-MASTER[[#This Row],[COSTO DE VENTA]]</f>
        <v>1114</v>
      </c>
    </row>
    <row r="5362" spans="1:22" x14ac:dyDescent="0.3">
      <c r="A5362">
        <v>76125</v>
      </c>
      <c r="B5362">
        <v>1</v>
      </c>
      <c r="C5362" t="s">
        <v>107</v>
      </c>
      <c r="D5362" t="s">
        <v>108</v>
      </c>
      <c r="E5362" s="1">
        <v>44416</v>
      </c>
      <c r="F5362">
        <v>4</v>
      </c>
      <c r="G5362" t="s">
        <v>27</v>
      </c>
      <c r="H5362" t="s">
        <v>28</v>
      </c>
      <c r="I5362" s="3">
        <v>1333</v>
      </c>
      <c r="J5362" s="3">
        <v>1333</v>
      </c>
      <c r="K5362" s="3">
        <v>380</v>
      </c>
      <c r="L5362" t="s">
        <v>98</v>
      </c>
      <c r="M5362">
        <v>14</v>
      </c>
      <c r="N5362" t="s">
        <v>87</v>
      </c>
      <c r="O5362" t="s">
        <v>81</v>
      </c>
      <c r="P5362" t="s">
        <v>18</v>
      </c>
      <c r="Q5362" t="s">
        <v>19</v>
      </c>
      <c r="R5362" t="s">
        <v>138</v>
      </c>
      <c r="S5362" t="s">
        <v>144</v>
      </c>
      <c r="T5362" s="2">
        <f>MASTER[[#This Row],[CANTIDAD]]*MASTER[[#This Row],[PRECIO DE VENTA]]</f>
        <v>5332</v>
      </c>
      <c r="U5362" s="2">
        <f>MASTER[[#This Row],[CANTIDAD]]*MASTER[[#This Row],[COSTO UNITARIO]]</f>
        <v>1520</v>
      </c>
      <c r="V5362" s="2">
        <f>MASTER[[#This Row],[MONTO VENDIDO]]-MASTER[[#This Row],[COSTO DE VENTA]]</f>
        <v>3812</v>
      </c>
    </row>
    <row r="5363" spans="1:22" x14ac:dyDescent="0.3">
      <c r="A5363">
        <v>76128</v>
      </c>
      <c r="B5363">
        <v>1</v>
      </c>
      <c r="C5363" t="s">
        <v>103</v>
      </c>
      <c r="D5363" t="s">
        <v>104</v>
      </c>
      <c r="E5363" s="1">
        <v>44416</v>
      </c>
      <c r="F5363">
        <v>1</v>
      </c>
      <c r="G5363" t="s">
        <v>73</v>
      </c>
      <c r="H5363" t="s">
        <v>74</v>
      </c>
      <c r="I5363" s="3">
        <v>1591</v>
      </c>
      <c r="J5363" s="3">
        <v>1591</v>
      </c>
      <c r="K5363" s="3">
        <v>421</v>
      </c>
      <c r="L5363" t="s">
        <v>98</v>
      </c>
      <c r="M5363">
        <v>14</v>
      </c>
      <c r="N5363" t="s">
        <v>87</v>
      </c>
      <c r="O5363" t="s">
        <v>81</v>
      </c>
      <c r="P5363" t="s">
        <v>18</v>
      </c>
      <c r="Q5363" t="s">
        <v>19</v>
      </c>
      <c r="R5363" t="s">
        <v>138</v>
      </c>
      <c r="S5363" t="s">
        <v>144</v>
      </c>
      <c r="T5363" s="2">
        <f>MASTER[[#This Row],[CANTIDAD]]*MASTER[[#This Row],[PRECIO DE VENTA]]</f>
        <v>1591</v>
      </c>
      <c r="U5363" s="2">
        <f>MASTER[[#This Row],[CANTIDAD]]*MASTER[[#This Row],[COSTO UNITARIO]]</f>
        <v>421</v>
      </c>
      <c r="V5363" s="2">
        <f>MASTER[[#This Row],[MONTO VENDIDO]]-MASTER[[#This Row],[COSTO DE VENTA]]</f>
        <v>1170</v>
      </c>
    </row>
    <row r="5364" spans="1:22" x14ac:dyDescent="0.3">
      <c r="A5364">
        <v>76140</v>
      </c>
      <c r="B5364">
        <v>1</v>
      </c>
      <c r="C5364" t="s">
        <v>107</v>
      </c>
      <c r="D5364" t="s">
        <v>108</v>
      </c>
      <c r="E5364" s="1">
        <v>44416</v>
      </c>
      <c r="F5364">
        <v>1</v>
      </c>
      <c r="G5364" t="s">
        <v>22</v>
      </c>
      <c r="H5364" t="s">
        <v>23</v>
      </c>
      <c r="I5364" s="3">
        <v>1333</v>
      </c>
      <c r="J5364" s="3">
        <v>1333</v>
      </c>
      <c r="K5364" s="3">
        <v>380</v>
      </c>
      <c r="L5364" t="s">
        <v>98</v>
      </c>
      <c r="M5364">
        <v>5</v>
      </c>
      <c r="N5364" t="s">
        <v>85</v>
      </c>
      <c r="O5364" t="s">
        <v>81</v>
      </c>
      <c r="P5364" t="s">
        <v>12</v>
      </c>
      <c r="Q5364" t="s">
        <v>13</v>
      </c>
      <c r="R5364" t="s">
        <v>13</v>
      </c>
      <c r="S5364" t="s">
        <v>144</v>
      </c>
      <c r="T5364" s="2">
        <f>MASTER[[#This Row],[CANTIDAD]]*MASTER[[#This Row],[PRECIO DE VENTA]]</f>
        <v>1333</v>
      </c>
      <c r="U5364" s="2">
        <f>MASTER[[#This Row],[CANTIDAD]]*MASTER[[#This Row],[COSTO UNITARIO]]</f>
        <v>380</v>
      </c>
      <c r="V5364" s="2">
        <f>MASTER[[#This Row],[MONTO VENDIDO]]-MASTER[[#This Row],[COSTO DE VENTA]]</f>
        <v>953</v>
      </c>
    </row>
    <row r="5365" spans="1:22" x14ac:dyDescent="0.3">
      <c r="A5365">
        <v>76156</v>
      </c>
      <c r="B5365">
        <v>1</v>
      </c>
      <c r="C5365" t="s">
        <v>118</v>
      </c>
      <c r="D5365" t="s">
        <v>119</v>
      </c>
      <c r="E5365" s="1">
        <v>44416</v>
      </c>
      <c r="F5365">
        <v>1</v>
      </c>
      <c r="G5365" t="s">
        <v>49</v>
      </c>
      <c r="H5365" t="s">
        <v>50</v>
      </c>
      <c r="I5365" s="3">
        <v>900</v>
      </c>
      <c r="J5365" s="3">
        <v>900</v>
      </c>
      <c r="K5365" s="3">
        <v>424</v>
      </c>
      <c r="L5365" t="s">
        <v>120</v>
      </c>
      <c r="M5365">
        <v>8</v>
      </c>
      <c r="N5365" t="s">
        <v>80</v>
      </c>
      <c r="O5365" t="s">
        <v>81</v>
      </c>
      <c r="P5365" t="s">
        <v>12</v>
      </c>
      <c r="Q5365" t="s">
        <v>13</v>
      </c>
      <c r="R5365" t="s">
        <v>13</v>
      </c>
      <c r="S5365" t="s">
        <v>144</v>
      </c>
      <c r="T5365" s="2">
        <f>MASTER[[#This Row],[CANTIDAD]]*MASTER[[#This Row],[PRECIO DE VENTA]]</f>
        <v>900</v>
      </c>
      <c r="U5365" s="2">
        <f>MASTER[[#This Row],[CANTIDAD]]*MASTER[[#This Row],[COSTO UNITARIO]]</f>
        <v>424</v>
      </c>
      <c r="V5365" s="2">
        <f>MASTER[[#This Row],[MONTO VENDIDO]]-MASTER[[#This Row],[COSTO DE VENTA]]</f>
        <v>476</v>
      </c>
    </row>
    <row r="5366" spans="1:22" x14ac:dyDescent="0.3">
      <c r="A5366">
        <v>76181</v>
      </c>
      <c r="B5366">
        <v>1</v>
      </c>
      <c r="C5366" t="s">
        <v>96</v>
      </c>
      <c r="D5366" t="s">
        <v>97</v>
      </c>
      <c r="E5366" s="1">
        <v>44416</v>
      </c>
      <c r="F5366">
        <v>1</v>
      </c>
      <c r="G5366" t="s">
        <v>59</v>
      </c>
      <c r="H5366" t="s">
        <v>60</v>
      </c>
      <c r="I5366" s="3">
        <v>1361</v>
      </c>
      <c r="J5366" s="3">
        <v>1361</v>
      </c>
      <c r="K5366" s="3">
        <v>397</v>
      </c>
      <c r="L5366" t="s">
        <v>98</v>
      </c>
      <c r="M5366">
        <v>1</v>
      </c>
      <c r="N5366" t="s">
        <v>77</v>
      </c>
      <c r="O5366" t="s">
        <v>70</v>
      </c>
      <c r="P5366" t="s">
        <v>71</v>
      </c>
      <c r="Q5366" t="s">
        <v>72</v>
      </c>
      <c r="R5366" t="s">
        <v>139</v>
      </c>
      <c r="S5366" t="s">
        <v>144</v>
      </c>
      <c r="T5366" s="2">
        <f>MASTER[[#This Row],[CANTIDAD]]*MASTER[[#This Row],[PRECIO DE VENTA]]</f>
        <v>1361</v>
      </c>
      <c r="U5366" s="2">
        <f>MASTER[[#This Row],[CANTIDAD]]*MASTER[[#This Row],[COSTO UNITARIO]]</f>
        <v>397</v>
      </c>
      <c r="V5366" s="2">
        <f>MASTER[[#This Row],[MONTO VENDIDO]]-MASTER[[#This Row],[COSTO DE VENTA]]</f>
        <v>964</v>
      </c>
    </row>
    <row r="5367" spans="1:22" x14ac:dyDescent="0.3">
      <c r="A5367">
        <v>76256</v>
      </c>
      <c r="B5367">
        <v>1</v>
      </c>
      <c r="C5367" t="s">
        <v>92</v>
      </c>
      <c r="D5367" t="s">
        <v>93</v>
      </c>
      <c r="E5367" s="1">
        <v>44416</v>
      </c>
      <c r="F5367">
        <v>1</v>
      </c>
      <c r="G5367" t="s">
        <v>41</v>
      </c>
      <c r="H5367" t="s">
        <v>42</v>
      </c>
      <c r="I5367" s="3">
        <v>1866</v>
      </c>
      <c r="J5367" s="3">
        <v>1866</v>
      </c>
      <c r="K5367" s="3">
        <v>396</v>
      </c>
      <c r="L5367" t="s">
        <v>9</v>
      </c>
      <c r="M5367">
        <v>9</v>
      </c>
      <c r="N5367" t="s">
        <v>76</v>
      </c>
      <c r="O5367" t="s">
        <v>70</v>
      </c>
      <c r="P5367" t="s">
        <v>12</v>
      </c>
      <c r="Q5367" t="s">
        <v>13</v>
      </c>
      <c r="R5367" t="s">
        <v>13</v>
      </c>
      <c r="S5367" t="s">
        <v>144</v>
      </c>
      <c r="T5367" s="2">
        <f>MASTER[[#This Row],[CANTIDAD]]*MASTER[[#This Row],[PRECIO DE VENTA]]</f>
        <v>1866</v>
      </c>
      <c r="U5367" s="2">
        <f>MASTER[[#This Row],[CANTIDAD]]*MASTER[[#This Row],[COSTO UNITARIO]]</f>
        <v>396</v>
      </c>
      <c r="V5367" s="2">
        <f>MASTER[[#This Row],[MONTO VENDIDO]]-MASTER[[#This Row],[COSTO DE VENTA]]</f>
        <v>1470</v>
      </c>
    </row>
    <row r="5368" spans="1:22" x14ac:dyDescent="0.3">
      <c r="A5368">
        <v>76257</v>
      </c>
      <c r="B5368">
        <v>1</v>
      </c>
      <c r="C5368" t="s">
        <v>103</v>
      </c>
      <c r="D5368" t="s">
        <v>104</v>
      </c>
      <c r="E5368" s="1">
        <v>44416</v>
      </c>
      <c r="F5368">
        <v>1</v>
      </c>
      <c r="G5368" t="s">
        <v>65</v>
      </c>
      <c r="H5368" t="s">
        <v>66</v>
      </c>
      <c r="I5368" s="3">
        <v>1591</v>
      </c>
      <c r="J5368" s="3">
        <v>1447</v>
      </c>
      <c r="K5368" s="3">
        <v>421</v>
      </c>
      <c r="L5368" t="s">
        <v>98</v>
      </c>
      <c r="M5368">
        <v>14</v>
      </c>
      <c r="N5368" t="s">
        <v>87</v>
      </c>
      <c r="O5368" t="s">
        <v>81</v>
      </c>
      <c r="P5368" t="s">
        <v>18</v>
      </c>
      <c r="Q5368" t="s">
        <v>19</v>
      </c>
      <c r="R5368" t="s">
        <v>138</v>
      </c>
      <c r="S5368" t="s">
        <v>144</v>
      </c>
      <c r="T5368" s="2">
        <f>MASTER[[#This Row],[CANTIDAD]]*MASTER[[#This Row],[PRECIO DE VENTA]]</f>
        <v>1447</v>
      </c>
      <c r="U5368" s="2">
        <f>MASTER[[#This Row],[CANTIDAD]]*MASTER[[#This Row],[COSTO UNITARIO]]</f>
        <v>421</v>
      </c>
      <c r="V5368" s="2">
        <f>MASTER[[#This Row],[MONTO VENDIDO]]-MASTER[[#This Row],[COSTO DE VENTA]]</f>
        <v>1026</v>
      </c>
    </row>
    <row r="5369" spans="1:22" x14ac:dyDescent="0.3">
      <c r="A5369">
        <v>76274</v>
      </c>
      <c r="B5369">
        <v>1</v>
      </c>
      <c r="C5369" t="s">
        <v>99</v>
      </c>
      <c r="D5369" t="s">
        <v>100</v>
      </c>
      <c r="E5369" s="1">
        <v>44416</v>
      </c>
      <c r="F5369">
        <v>1</v>
      </c>
      <c r="G5369" t="s">
        <v>49</v>
      </c>
      <c r="H5369" t="s">
        <v>50</v>
      </c>
      <c r="I5369" s="3">
        <v>1459</v>
      </c>
      <c r="J5369" s="3">
        <v>1459</v>
      </c>
      <c r="K5369" s="3">
        <v>386</v>
      </c>
      <c r="L5369" t="s">
        <v>98</v>
      </c>
      <c r="M5369">
        <v>2</v>
      </c>
      <c r="N5369" t="s">
        <v>86</v>
      </c>
      <c r="O5369" t="s">
        <v>81</v>
      </c>
      <c r="P5369" t="s">
        <v>71</v>
      </c>
      <c r="Q5369" t="s">
        <v>72</v>
      </c>
      <c r="R5369" t="s">
        <v>139</v>
      </c>
      <c r="S5369" t="s">
        <v>144</v>
      </c>
      <c r="T5369" s="2">
        <f>MASTER[[#This Row],[CANTIDAD]]*MASTER[[#This Row],[PRECIO DE VENTA]]</f>
        <v>1459</v>
      </c>
      <c r="U5369" s="2">
        <f>MASTER[[#This Row],[CANTIDAD]]*MASTER[[#This Row],[COSTO UNITARIO]]</f>
        <v>386</v>
      </c>
      <c r="V5369" s="2">
        <f>MASTER[[#This Row],[MONTO VENDIDO]]-MASTER[[#This Row],[COSTO DE VENTA]]</f>
        <v>1073</v>
      </c>
    </row>
    <row r="5370" spans="1:22" x14ac:dyDescent="0.3">
      <c r="A5370">
        <v>76284</v>
      </c>
      <c r="B5370">
        <v>1</v>
      </c>
      <c r="C5370" t="s">
        <v>114</v>
      </c>
      <c r="D5370" t="s">
        <v>115</v>
      </c>
      <c r="E5370" s="1">
        <v>44417</v>
      </c>
      <c r="F5370">
        <v>1</v>
      </c>
      <c r="G5370" t="s">
        <v>7</v>
      </c>
      <c r="H5370" t="s">
        <v>8</v>
      </c>
      <c r="I5370" s="3">
        <v>1862</v>
      </c>
      <c r="J5370" s="3">
        <v>1862</v>
      </c>
      <c r="K5370" s="3">
        <v>394</v>
      </c>
      <c r="L5370" t="s">
        <v>113</v>
      </c>
      <c r="M5370">
        <v>15</v>
      </c>
      <c r="N5370" t="s">
        <v>88</v>
      </c>
      <c r="O5370" t="s">
        <v>81</v>
      </c>
      <c r="P5370" t="s">
        <v>18</v>
      </c>
      <c r="Q5370" t="s">
        <v>19</v>
      </c>
      <c r="R5370" t="s">
        <v>138</v>
      </c>
      <c r="S5370" t="s">
        <v>144</v>
      </c>
      <c r="T5370" s="2">
        <f>MASTER[[#This Row],[CANTIDAD]]*MASTER[[#This Row],[PRECIO DE VENTA]]</f>
        <v>1862</v>
      </c>
      <c r="U5370" s="2">
        <f>MASTER[[#This Row],[CANTIDAD]]*MASTER[[#This Row],[COSTO UNITARIO]]</f>
        <v>394</v>
      </c>
      <c r="V5370" s="2">
        <f>MASTER[[#This Row],[MONTO VENDIDO]]-MASTER[[#This Row],[COSTO DE VENTA]]</f>
        <v>1468</v>
      </c>
    </row>
    <row r="5371" spans="1:22" x14ac:dyDescent="0.3">
      <c r="A5371">
        <v>76306</v>
      </c>
      <c r="B5371">
        <v>1</v>
      </c>
      <c r="C5371" t="s">
        <v>105</v>
      </c>
      <c r="D5371" t="s">
        <v>106</v>
      </c>
      <c r="E5371" s="1">
        <v>44417</v>
      </c>
      <c r="F5371">
        <v>1</v>
      </c>
      <c r="G5371" t="s">
        <v>35</v>
      </c>
      <c r="H5371" t="s">
        <v>36</v>
      </c>
      <c r="I5371" s="3">
        <v>1865</v>
      </c>
      <c r="J5371" s="3">
        <v>1865</v>
      </c>
      <c r="K5371" s="3">
        <v>459</v>
      </c>
      <c r="L5371" t="s">
        <v>98</v>
      </c>
      <c r="M5371">
        <v>14</v>
      </c>
      <c r="N5371" t="s">
        <v>87</v>
      </c>
      <c r="O5371" t="s">
        <v>81</v>
      </c>
      <c r="P5371" t="s">
        <v>18</v>
      </c>
      <c r="Q5371" t="s">
        <v>19</v>
      </c>
      <c r="R5371" t="s">
        <v>138</v>
      </c>
      <c r="S5371" t="s">
        <v>144</v>
      </c>
      <c r="T5371" s="2">
        <f>MASTER[[#This Row],[CANTIDAD]]*MASTER[[#This Row],[PRECIO DE VENTA]]</f>
        <v>1865</v>
      </c>
      <c r="U5371" s="2">
        <f>MASTER[[#This Row],[CANTIDAD]]*MASTER[[#This Row],[COSTO UNITARIO]]</f>
        <v>459</v>
      </c>
      <c r="V5371" s="2">
        <f>MASTER[[#This Row],[MONTO VENDIDO]]-MASTER[[#This Row],[COSTO DE VENTA]]</f>
        <v>1406</v>
      </c>
    </row>
    <row r="5372" spans="1:22" x14ac:dyDescent="0.3">
      <c r="A5372">
        <v>76307</v>
      </c>
      <c r="B5372">
        <v>1</v>
      </c>
      <c r="C5372" t="s">
        <v>90</v>
      </c>
      <c r="D5372" t="s">
        <v>91</v>
      </c>
      <c r="E5372" s="1">
        <v>44417</v>
      </c>
      <c r="F5372">
        <v>1</v>
      </c>
      <c r="G5372" t="s">
        <v>37</v>
      </c>
      <c r="H5372" t="s">
        <v>38</v>
      </c>
      <c r="I5372" s="3">
        <v>1844</v>
      </c>
      <c r="J5372" s="3">
        <v>1844</v>
      </c>
      <c r="K5372" s="3">
        <v>420</v>
      </c>
      <c r="L5372" t="s">
        <v>9</v>
      </c>
      <c r="M5372">
        <v>14</v>
      </c>
      <c r="N5372" t="s">
        <v>87</v>
      </c>
      <c r="O5372" t="s">
        <v>81</v>
      </c>
      <c r="P5372" t="s">
        <v>18</v>
      </c>
      <c r="Q5372" t="s">
        <v>19</v>
      </c>
      <c r="R5372" t="s">
        <v>138</v>
      </c>
      <c r="S5372" t="s">
        <v>144</v>
      </c>
      <c r="T5372" s="2">
        <f>MASTER[[#This Row],[CANTIDAD]]*MASTER[[#This Row],[PRECIO DE VENTA]]</f>
        <v>1844</v>
      </c>
      <c r="U5372" s="2">
        <f>MASTER[[#This Row],[CANTIDAD]]*MASTER[[#This Row],[COSTO UNITARIO]]</f>
        <v>420</v>
      </c>
      <c r="V5372" s="2">
        <f>MASTER[[#This Row],[MONTO VENDIDO]]-MASTER[[#This Row],[COSTO DE VENTA]]</f>
        <v>1424</v>
      </c>
    </row>
    <row r="5373" spans="1:22" x14ac:dyDescent="0.3">
      <c r="A5373">
        <v>76351</v>
      </c>
      <c r="B5373">
        <v>1</v>
      </c>
      <c r="C5373" t="s">
        <v>101</v>
      </c>
      <c r="D5373" t="s">
        <v>102</v>
      </c>
      <c r="E5373" s="1">
        <v>44417</v>
      </c>
      <c r="F5373">
        <v>3</v>
      </c>
      <c r="G5373" t="s">
        <v>27</v>
      </c>
      <c r="H5373" t="s">
        <v>28</v>
      </c>
      <c r="I5373" s="3">
        <v>1357</v>
      </c>
      <c r="J5373" s="3">
        <v>1221</v>
      </c>
      <c r="K5373" s="3">
        <v>442</v>
      </c>
      <c r="L5373" t="s">
        <v>98</v>
      </c>
      <c r="M5373">
        <v>1</v>
      </c>
      <c r="N5373" t="s">
        <v>77</v>
      </c>
      <c r="O5373" t="s">
        <v>70</v>
      </c>
      <c r="P5373" t="s">
        <v>71</v>
      </c>
      <c r="Q5373" t="s">
        <v>72</v>
      </c>
      <c r="R5373" t="s">
        <v>139</v>
      </c>
      <c r="S5373" t="s">
        <v>144</v>
      </c>
      <c r="T5373" s="2">
        <f>MASTER[[#This Row],[CANTIDAD]]*MASTER[[#This Row],[PRECIO DE VENTA]]</f>
        <v>3663</v>
      </c>
      <c r="U5373" s="2">
        <f>MASTER[[#This Row],[CANTIDAD]]*MASTER[[#This Row],[COSTO UNITARIO]]</f>
        <v>1326</v>
      </c>
      <c r="V5373" s="2">
        <f>MASTER[[#This Row],[MONTO VENDIDO]]-MASTER[[#This Row],[COSTO DE VENTA]]</f>
        <v>2337</v>
      </c>
    </row>
    <row r="5374" spans="1:22" x14ac:dyDescent="0.3">
      <c r="A5374">
        <v>76360</v>
      </c>
      <c r="B5374">
        <v>1</v>
      </c>
      <c r="C5374" t="s">
        <v>99</v>
      </c>
      <c r="D5374" t="s">
        <v>100</v>
      </c>
      <c r="E5374" s="1">
        <v>44417</v>
      </c>
      <c r="F5374">
        <v>1</v>
      </c>
      <c r="G5374" t="s">
        <v>33</v>
      </c>
      <c r="H5374" t="s">
        <v>34</v>
      </c>
      <c r="I5374" s="3">
        <v>1459</v>
      </c>
      <c r="J5374" s="3">
        <v>1459</v>
      </c>
      <c r="K5374" s="3">
        <v>386</v>
      </c>
      <c r="L5374" t="s">
        <v>98</v>
      </c>
      <c r="M5374">
        <v>10</v>
      </c>
      <c r="N5374" t="s">
        <v>83</v>
      </c>
      <c r="O5374" t="s">
        <v>81</v>
      </c>
      <c r="P5374" t="s">
        <v>12</v>
      </c>
      <c r="Q5374" t="s">
        <v>13</v>
      </c>
      <c r="R5374" t="s">
        <v>13</v>
      </c>
      <c r="S5374" t="s">
        <v>144</v>
      </c>
      <c r="T5374" s="2">
        <f>MASTER[[#This Row],[CANTIDAD]]*MASTER[[#This Row],[PRECIO DE VENTA]]</f>
        <v>1459</v>
      </c>
      <c r="U5374" s="2">
        <f>MASTER[[#This Row],[CANTIDAD]]*MASTER[[#This Row],[COSTO UNITARIO]]</f>
        <v>386</v>
      </c>
      <c r="V5374" s="2">
        <f>MASTER[[#This Row],[MONTO VENDIDO]]-MASTER[[#This Row],[COSTO DE VENTA]]</f>
        <v>1073</v>
      </c>
    </row>
    <row r="5375" spans="1:22" x14ac:dyDescent="0.3">
      <c r="A5375">
        <v>76369</v>
      </c>
      <c r="B5375">
        <v>1</v>
      </c>
      <c r="C5375" t="s">
        <v>99</v>
      </c>
      <c r="D5375" t="s">
        <v>100</v>
      </c>
      <c r="E5375" s="1">
        <v>44417</v>
      </c>
      <c r="F5375">
        <v>1</v>
      </c>
      <c r="G5375" t="s">
        <v>27</v>
      </c>
      <c r="H5375" t="s">
        <v>28</v>
      </c>
      <c r="I5375" s="3">
        <v>1678</v>
      </c>
      <c r="J5375" s="3">
        <v>1678</v>
      </c>
      <c r="K5375" s="3">
        <v>386</v>
      </c>
      <c r="L5375" t="s">
        <v>98</v>
      </c>
      <c r="M5375">
        <v>3</v>
      </c>
      <c r="N5375" t="s">
        <v>69</v>
      </c>
      <c r="O5375" t="s">
        <v>70</v>
      </c>
      <c r="P5375" t="s">
        <v>71</v>
      </c>
      <c r="Q5375" t="s">
        <v>72</v>
      </c>
      <c r="R5375" t="s">
        <v>139</v>
      </c>
      <c r="S5375" t="s">
        <v>144</v>
      </c>
      <c r="T5375" s="2">
        <f>MASTER[[#This Row],[CANTIDAD]]*MASTER[[#This Row],[PRECIO DE VENTA]]</f>
        <v>1678</v>
      </c>
      <c r="U5375" s="2">
        <f>MASTER[[#This Row],[CANTIDAD]]*MASTER[[#This Row],[COSTO UNITARIO]]</f>
        <v>386</v>
      </c>
      <c r="V5375" s="2">
        <f>MASTER[[#This Row],[MONTO VENDIDO]]-MASTER[[#This Row],[COSTO DE VENTA]]</f>
        <v>1292</v>
      </c>
    </row>
    <row r="5376" spans="1:22" x14ac:dyDescent="0.3">
      <c r="A5376">
        <v>76379</v>
      </c>
      <c r="B5376">
        <v>1</v>
      </c>
      <c r="C5376" t="s">
        <v>109</v>
      </c>
      <c r="D5376" t="s">
        <v>110</v>
      </c>
      <c r="E5376" s="1">
        <v>44417</v>
      </c>
      <c r="F5376">
        <v>1</v>
      </c>
      <c r="G5376" t="s">
        <v>45</v>
      </c>
      <c r="H5376" t="s">
        <v>46</v>
      </c>
      <c r="I5376" s="3">
        <v>1064</v>
      </c>
      <c r="J5376" s="3">
        <v>1064</v>
      </c>
      <c r="K5376" s="3">
        <v>387</v>
      </c>
      <c r="L5376" t="s">
        <v>98</v>
      </c>
      <c r="M5376">
        <v>5</v>
      </c>
      <c r="N5376" t="s">
        <v>85</v>
      </c>
      <c r="O5376" t="s">
        <v>81</v>
      </c>
      <c r="P5376" t="s">
        <v>12</v>
      </c>
      <c r="Q5376" t="s">
        <v>13</v>
      </c>
      <c r="R5376" t="s">
        <v>13</v>
      </c>
      <c r="S5376" t="s">
        <v>144</v>
      </c>
      <c r="T5376" s="2">
        <f>MASTER[[#This Row],[CANTIDAD]]*MASTER[[#This Row],[PRECIO DE VENTA]]</f>
        <v>1064</v>
      </c>
      <c r="U5376" s="2">
        <f>MASTER[[#This Row],[CANTIDAD]]*MASTER[[#This Row],[COSTO UNITARIO]]</f>
        <v>387</v>
      </c>
      <c r="V5376" s="2">
        <f>MASTER[[#This Row],[MONTO VENDIDO]]-MASTER[[#This Row],[COSTO DE VENTA]]</f>
        <v>677</v>
      </c>
    </row>
    <row r="5377" spans="1:22" x14ac:dyDescent="0.3">
      <c r="A5377">
        <v>76389</v>
      </c>
      <c r="B5377">
        <v>1</v>
      </c>
      <c r="C5377" t="s">
        <v>121</v>
      </c>
      <c r="D5377" t="s">
        <v>122</v>
      </c>
      <c r="E5377" s="1">
        <v>44417</v>
      </c>
      <c r="F5377">
        <v>1</v>
      </c>
      <c r="G5377" t="s">
        <v>63</v>
      </c>
      <c r="H5377" t="s">
        <v>64</v>
      </c>
      <c r="I5377" s="3">
        <v>1069</v>
      </c>
      <c r="J5377" s="3">
        <v>1069</v>
      </c>
      <c r="K5377" s="3">
        <v>460</v>
      </c>
      <c r="L5377" t="s">
        <v>120</v>
      </c>
      <c r="M5377">
        <v>2</v>
      </c>
      <c r="N5377" t="s">
        <v>86</v>
      </c>
      <c r="O5377" t="s">
        <v>81</v>
      </c>
      <c r="P5377" t="s">
        <v>71</v>
      </c>
      <c r="Q5377" t="s">
        <v>72</v>
      </c>
      <c r="R5377" t="s">
        <v>139</v>
      </c>
      <c r="S5377" t="s">
        <v>144</v>
      </c>
      <c r="T5377" s="2">
        <f>MASTER[[#This Row],[CANTIDAD]]*MASTER[[#This Row],[PRECIO DE VENTA]]</f>
        <v>1069</v>
      </c>
      <c r="U5377" s="2">
        <f>MASTER[[#This Row],[CANTIDAD]]*MASTER[[#This Row],[COSTO UNITARIO]]</f>
        <v>460</v>
      </c>
      <c r="V5377" s="2">
        <f>MASTER[[#This Row],[MONTO VENDIDO]]-MASTER[[#This Row],[COSTO DE VENTA]]</f>
        <v>609</v>
      </c>
    </row>
    <row r="5378" spans="1:22" x14ac:dyDescent="0.3">
      <c r="A5378">
        <v>76396</v>
      </c>
      <c r="B5378">
        <v>1</v>
      </c>
      <c r="C5378" t="s">
        <v>107</v>
      </c>
      <c r="D5378" t="s">
        <v>108</v>
      </c>
      <c r="E5378" s="1">
        <v>44417</v>
      </c>
      <c r="F5378">
        <v>1</v>
      </c>
      <c r="G5378" t="s">
        <v>61</v>
      </c>
      <c r="H5378" t="s">
        <v>62</v>
      </c>
      <c r="I5378" s="3">
        <v>1440</v>
      </c>
      <c r="J5378" s="3">
        <v>1440</v>
      </c>
      <c r="K5378" s="3">
        <v>380</v>
      </c>
      <c r="L5378" t="s">
        <v>98</v>
      </c>
      <c r="M5378">
        <v>3</v>
      </c>
      <c r="N5378" t="s">
        <v>69</v>
      </c>
      <c r="O5378" t="s">
        <v>70</v>
      </c>
      <c r="P5378" t="s">
        <v>71</v>
      </c>
      <c r="Q5378" t="s">
        <v>72</v>
      </c>
      <c r="R5378" t="s">
        <v>139</v>
      </c>
      <c r="S5378" t="s">
        <v>144</v>
      </c>
      <c r="T5378" s="2">
        <f>MASTER[[#This Row],[CANTIDAD]]*MASTER[[#This Row],[PRECIO DE VENTA]]</f>
        <v>1440</v>
      </c>
      <c r="U5378" s="2">
        <f>MASTER[[#This Row],[CANTIDAD]]*MASTER[[#This Row],[COSTO UNITARIO]]</f>
        <v>380</v>
      </c>
      <c r="V5378" s="2">
        <f>MASTER[[#This Row],[MONTO VENDIDO]]-MASTER[[#This Row],[COSTO DE VENTA]]</f>
        <v>1060</v>
      </c>
    </row>
    <row r="5379" spans="1:22" x14ac:dyDescent="0.3">
      <c r="A5379">
        <v>76405</v>
      </c>
      <c r="B5379">
        <v>1</v>
      </c>
      <c r="C5379" t="s">
        <v>96</v>
      </c>
      <c r="D5379" t="s">
        <v>97</v>
      </c>
      <c r="E5379" s="1">
        <v>44417</v>
      </c>
      <c r="F5379">
        <v>1</v>
      </c>
      <c r="G5379" t="s">
        <v>57</v>
      </c>
      <c r="H5379" t="s">
        <v>58</v>
      </c>
      <c r="I5379" s="3">
        <v>1361</v>
      </c>
      <c r="J5379" s="3">
        <v>1361</v>
      </c>
      <c r="K5379" s="3">
        <v>397</v>
      </c>
      <c r="L5379" t="s">
        <v>98</v>
      </c>
      <c r="M5379">
        <v>13</v>
      </c>
      <c r="N5379" t="s">
        <v>78</v>
      </c>
      <c r="O5379" t="s">
        <v>70</v>
      </c>
      <c r="P5379" t="s">
        <v>18</v>
      </c>
      <c r="Q5379" t="s">
        <v>19</v>
      </c>
      <c r="R5379" t="s">
        <v>138</v>
      </c>
      <c r="S5379" t="s">
        <v>144</v>
      </c>
      <c r="T5379" s="2">
        <f>MASTER[[#This Row],[CANTIDAD]]*MASTER[[#This Row],[PRECIO DE VENTA]]</f>
        <v>1361</v>
      </c>
      <c r="U5379" s="2">
        <f>MASTER[[#This Row],[CANTIDAD]]*MASTER[[#This Row],[COSTO UNITARIO]]</f>
        <v>397</v>
      </c>
      <c r="V5379" s="2">
        <f>MASTER[[#This Row],[MONTO VENDIDO]]-MASTER[[#This Row],[COSTO DE VENTA]]</f>
        <v>964</v>
      </c>
    </row>
    <row r="5380" spans="1:22" x14ac:dyDescent="0.3">
      <c r="A5380">
        <v>76406</v>
      </c>
      <c r="B5380">
        <v>1</v>
      </c>
      <c r="C5380" t="s">
        <v>101</v>
      </c>
      <c r="D5380" t="s">
        <v>102</v>
      </c>
      <c r="E5380" s="1">
        <v>44417</v>
      </c>
      <c r="F5380">
        <v>1</v>
      </c>
      <c r="G5380" t="s">
        <v>24</v>
      </c>
      <c r="H5380" t="s">
        <v>25</v>
      </c>
      <c r="I5380" s="3">
        <v>1212</v>
      </c>
      <c r="J5380" s="3">
        <v>1212</v>
      </c>
      <c r="K5380" s="3">
        <v>442</v>
      </c>
      <c r="L5380" t="s">
        <v>98</v>
      </c>
      <c r="M5380">
        <v>4</v>
      </c>
      <c r="N5380" t="s">
        <v>82</v>
      </c>
      <c r="O5380" t="s">
        <v>81</v>
      </c>
      <c r="P5380" t="s">
        <v>71</v>
      </c>
      <c r="Q5380" t="s">
        <v>72</v>
      </c>
      <c r="R5380" t="s">
        <v>139</v>
      </c>
      <c r="S5380" t="s">
        <v>144</v>
      </c>
      <c r="T5380" s="2">
        <f>MASTER[[#This Row],[CANTIDAD]]*MASTER[[#This Row],[PRECIO DE VENTA]]</f>
        <v>1212</v>
      </c>
      <c r="U5380" s="2">
        <f>MASTER[[#This Row],[CANTIDAD]]*MASTER[[#This Row],[COSTO UNITARIO]]</f>
        <v>442</v>
      </c>
      <c r="V5380" s="2">
        <f>MASTER[[#This Row],[MONTO VENDIDO]]-MASTER[[#This Row],[COSTO DE VENTA]]</f>
        <v>770</v>
      </c>
    </row>
    <row r="5381" spans="1:22" x14ac:dyDescent="0.3">
      <c r="A5381">
        <v>76412</v>
      </c>
      <c r="B5381">
        <v>1</v>
      </c>
      <c r="C5381" t="s">
        <v>94</v>
      </c>
      <c r="D5381" t="s">
        <v>95</v>
      </c>
      <c r="E5381" s="1">
        <v>44418</v>
      </c>
      <c r="F5381">
        <v>1</v>
      </c>
      <c r="G5381" t="s">
        <v>55</v>
      </c>
      <c r="H5381" t="s">
        <v>56</v>
      </c>
      <c r="I5381" s="3">
        <v>1153</v>
      </c>
      <c r="J5381" s="3">
        <v>1153</v>
      </c>
      <c r="K5381" s="3">
        <v>392</v>
      </c>
      <c r="L5381" t="s">
        <v>9</v>
      </c>
      <c r="M5381">
        <v>6</v>
      </c>
      <c r="N5381" t="s">
        <v>75</v>
      </c>
      <c r="O5381" t="s">
        <v>70</v>
      </c>
      <c r="P5381" t="s">
        <v>12</v>
      </c>
      <c r="Q5381" t="s">
        <v>13</v>
      </c>
      <c r="R5381" t="s">
        <v>13</v>
      </c>
      <c r="S5381" t="s">
        <v>144</v>
      </c>
      <c r="T5381" s="2">
        <f>MASTER[[#This Row],[CANTIDAD]]*MASTER[[#This Row],[PRECIO DE VENTA]]</f>
        <v>1153</v>
      </c>
      <c r="U5381" s="2">
        <f>MASTER[[#This Row],[CANTIDAD]]*MASTER[[#This Row],[COSTO UNITARIO]]</f>
        <v>392</v>
      </c>
      <c r="V5381" s="2">
        <f>MASTER[[#This Row],[MONTO VENDIDO]]-MASTER[[#This Row],[COSTO DE VENTA]]</f>
        <v>761</v>
      </c>
    </row>
    <row r="5382" spans="1:22" x14ac:dyDescent="0.3">
      <c r="A5382">
        <v>76417</v>
      </c>
      <c r="B5382">
        <v>1</v>
      </c>
      <c r="C5382" t="s">
        <v>101</v>
      </c>
      <c r="D5382" t="s">
        <v>102</v>
      </c>
      <c r="E5382" s="1">
        <v>44418</v>
      </c>
      <c r="F5382">
        <v>1</v>
      </c>
      <c r="G5382" t="s">
        <v>22</v>
      </c>
      <c r="H5382" t="s">
        <v>23</v>
      </c>
      <c r="I5382" s="3">
        <v>1212</v>
      </c>
      <c r="J5382" s="3">
        <v>1212</v>
      </c>
      <c r="K5382" s="3">
        <v>442</v>
      </c>
      <c r="L5382" t="s">
        <v>98</v>
      </c>
      <c r="M5382">
        <v>8</v>
      </c>
      <c r="N5382" t="s">
        <v>80</v>
      </c>
      <c r="O5382" t="s">
        <v>81</v>
      </c>
      <c r="P5382" t="s">
        <v>12</v>
      </c>
      <c r="Q5382" t="s">
        <v>13</v>
      </c>
      <c r="R5382" t="s">
        <v>13</v>
      </c>
      <c r="S5382" t="s">
        <v>144</v>
      </c>
      <c r="T5382" s="2">
        <f>MASTER[[#This Row],[CANTIDAD]]*MASTER[[#This Row],[PRECIO DE VENTA]]</f>
        <v>1212</v>
      </c>
      <c r="U5382" s="2">
        <f>MASTER[[#This Row],[CANTIDAD]]*MASTER[[#This Row],[COSTO UNITARIO]]</f>
        <v>442</v>
      </c>
      <c r="V5382" s="2">
        <f>MASTER[[#This Row],[MONTO VENDIDO]]-MASTER[[#This Row],[COSTO DE VENTA]]</f>
        <v>770</v>
      </c>
    </row>
    <row r="5383" spans="1:22" x14ac:dyDescent="0.3">
      <c r="A5383">
        <v>76454</v>
      </c>
      <c r="B5383">
        <v>1</v>
      </c>
      <c r="C5383" t="s">
        <v>5</v>
      </c>
      <c r="D5383" t="s">
        <v>6</v>
      </c>
      <c r="E5383" s="1">
        <v>44418</v>
      </c>
      <c r="F5383">
        <v>1</v>
      </c>
      <c r="G5383" t="s">
        <v>22</v>
      </c>
      <c r="H5383" t="s">
        <v>23</v>
      </c>
      <c r="I5383" s="3">
        <v>1507</v>
      </c>
      <c r="J5383" s="3">
        <v>1371</v>
      </c>
      <c r="K5383" s="3">
        <v>393</v>
      </c>
      <c r="L5383" t="s">
        <v>9</v>
      </c>
      <c r="M5383">
        <v>14</v>
      </c>
      <c r="N5383" t="s">
        <v>87</v>
      </c>
      <c r="O5383" t="s">
        <v>81</v>
      </c>
      <c r="P5383" t="s">
        <v>18</v>
      </c>
      <c r="Q5383" t="s">
        <v>19</v>
      </c>
      <c r="R5383" t="s">
        <v>138</v>
      </c>
      <c r="S5383" t="s">
        <v>144</v>
      </c>
      <c r="T5383" s="2">
        <f>MASTER[[#This Row],[CANTIDAD]]*MASTER[[#This Row],[PRECIO DE VENTA]]</f>
        <v>1371</v>
      </c>
      <c r="U5383" s="2">
        <f>MASTER[[#This Row],[CANTIDAD]]*MASTER[[#This Row],[COSTO UNITARIO]]</f>
        <v>393</v>
      </c>
      <c r="V5383" s="2">
        <f>MASTER[[#This Row],[MONTO VENDIDO]]-MASTER[[#This Row],[COSTO DE VENTA]]</f>
        <v>978</v>
      </c>
    </row>
    <row r="5384" spans="1:22" x14ac:dyDescent="0.3">
      <c r="A5384">
        <v>76457</v>
      </c>
      <c r="B5384">
        <v>1</v>
      </c>
      <c r="C5384" t="s">
        <v>109</v>
      </c>
      <c r="D5384" t="s">
        <v>110</v>
      </c>
      <c r="E5384" s="1">
        <v>44418</v>
      </c>
      <c r="F5384">
        <v>1</v>
      </c>
      <c r="G5384" t="s">
        <v>57</v>
      </c>
      <c r="H5384" t="s">
        <v>58</v>
      </c>
      <c r="I5384" s="3">
        <v>947</v>
      </c>
      <c r="J5384" s="3">
        <v>947</v>
      </c>
      <c r="K5384" s="3">
        <v>387</v>
      </c>
      <c r="L5384" t="s">
        <v>98</v>
      </c>
      <c r="M5384">
        <v>16</v>
      </c>
      <c r="N5384" t="s">
        <v>17</v>
      </c>
      <c r="O5384" t="s">
        <v>11</v>
      </c>
      <c r="P5384" t="s">
        <v>18</v>
      </c>
      <c r="Q5384" t="s">
        <v>19</v>
      </c>
      <c r="R5384" t="s">
        <v>138</v>
      </c>
      <c r="S5384" t="s">
        <v>144</v>
      </c>
      <c r="T5384" s="2">
        <f>MASTER[[#This Row],[CANTIDAD]]*MASTER[[#This Row],[PRECIO DE VENTA]]</f>
        <v>947</v>
      </c>
      <c r="U5384" s="2">
        <f>MASTER[[#This Row],[CANTIDAD]]*MASTER[[#This Row],[COSTO UNITARIO]]</f>
        <v>387</v>
      </c>
      <c r="V5384" s="2">
        <f>MASTER[[#This Row],[MONTO VENDIDO]]-MASTER[[#This Row],[COSTO DE VENTA]]</f>
        <v>560</v>
      </c>
    </row>
    <row r="5385" spans="1:22" x14ac:dyDescent="0.3">
      <c r="A5385">
        <v>76472</v>
      </c>
      <c r="B5385">
        <v>1</v>
      </c>
      <c r="C5385" t="s">
        <v>105</v>
      </c>
      <c r="D5385" t="s">
        <v>106</v>
      </c>
      <c r="E5385" s="1">
        <v>44418</v>
      </c>
      <c r="F5385">
        <v>1</v>
      </c>
      <c r="G5385" t="s">
        <v>43</v>
      </c>
      <c r="H5385" t="s">
        <v>44</v>
      </c>
      <c r="I5385" s="3">
        <v>1865</v>
      </c>
      <c r="J5385" s="3">
        <v>1865</v>
      </c>
      <c r="K5385" s="3">
        <v>459</v>
      </c>
      <c r="L5385" t="s">
        <v>98</v>
      </c>
      <c r="M5385">
        <v>7</v>
      </c>
      <c r="N5385" t="s">
        <v>84</v>
      </c>
      <c r="O5385" t="s">
        <v>81</v>
      </c>
      <c r="P5385" t="s">
        <v>12</v>
      </c>
      <c r="Q5385" t="s">
        <v>13</v>
      </c>
      <c r="R5385" t="s">
        <v>13</v>
      </c>
      <c r="S5385" t="s">
        <v>144</v>
      </c>
      <c r="T5385" s="2">
        <f>MASTER[[#This Row],[CANTIDAD]]*MASTER[[#This Row],[PRECIO DE VENTA]]</f>
        <v>1865</v>
      </c>
      <c r="U5385" s="2">
        <f>MASTER[[#This Row],[CANTIDAD]]*MASTER[[#This Row],[COSTO UNITARIO]]</f>
        <v>459</v>
      </c>
      <c r="V5385" s="2">
        <f>MASTER[[#This Row],[MONTO VENDIDO]]-MASTER[[#This Row],[COSTO DE VENTA]]</f>
        <v>1406</v>
      </c>
    </row>
    <row r="5386" spans="1:22" x14ac:dyDescent="0.3">
      <c r="A5386">
        <v>76474</v>
      </c>
      <c r="B5386">
        <v>1</v>
      </c>
      <c r="C5386" t="s">
        <v>94</v>
      </c>
      <c r="D5386" t="s">
        <v>95</v>
      </c>
      <c r="E5386" s="1">
        <v>44418</v>
      </c>
      <c r="F5386">
        <v>1</v>
      </c>
      <c r="G5386" t="s">
        <v>63</v>
      </c>
      <c r="H5386" t="s">
        <v>64</v>
      </c>
      <c r="I5386" s="3">
        <v>1048</v>
      </c>
      <c r="J5386" s="3">
        <v>1048</v>
      </c>
      <c r="K5386" s="3">
        <v>392</v>
      </c>
      <c r="L5386" t="s">
        <v>9</v>
      </c>
      <c r="M5386">
        <v>5</v>
      </c>
      <c r="N5386" t="s">
        <v>85</v>
      </c>
      <c r="O5386" t="s">
        <v>81</v>
      </c>
      <c r="P5386" t="s">
        <v>12</v>
      </c>
      <c r="Q5386" t="s">
        <v>13</v>
      </c>
      <c r="R5386" t="s">
        <v>13</v>
      </c>
      <c r="S5386" t="s">
        <v>144</v>
      </c>
      <c r="T5386" s="2">
        <f>MASTER[[#This Row],[CANTIDAD]]*MASTER[[#This Row],[PRECIO DE VENTA]]</f>
        <v>1048</v>
      </c>
      <c r="U5386" s="2">
        <f>MASTER[[#This Row],[CANTIDAD]]*MASTER[[#This Row],[COSTO UNITARIO]]</f>
        <v>392</v>
      </c>
      <c r="V5386" s="2">
        <f>MASTER[[#This Row],[MONTO VENDIDO]]-MASTER[[#This Row],[COSTO DE VENTA]]</f>
        <v>656</v>
      </c>
    </row>
    <row r="5387" spans="1:22" x14ac:dyDescent="0.3">
      <c r="A5387">
        <v>76479</v>
      </c>
      <c r="B5387">
        <v>1</v>
      </c>
      <c r="C5387" t="s">
        <v>99</v>
      </c>
      <c r="D5387" t="s">
        <v>100</v>
      </c>
      <c r="E5387" s="1">
        <v>44418</v>
      </c>
      <c r="F5387">
        <v>1</v>
      </c>
      <c r="G5387" t="s">
        <v>45</v>
      </c>
      <c r="H5387" t="s">
        <v>46</v>
      </c>
      <c r="I5387" s="3">
        <v>1459</v>
      </c>
      <c r="J5387" s="3">
        <v>1459</v>
      </c>
      <c r="K5387" s="3">
        <v>386</v>
      </c>
      <c r="L5387" t="s">
        <v>98</v>
      </c>
      <c r="M5387">
        <v>5</v>
      </c>
      <c r="N5387" t="s">
        <v>85</v>
      </c>
      <c r="O5387" t="s">
        <v>81</v>
      </c>
      <c r="P5387" t="s">
        <v>12</v>
      </c>
      <c r="Q5387" t="s">
        <v>13</v>
      </c>
      <c r="R5387" t="s">
        <v>13</v>
      </c>
      <c r="S5387" t="s">
        <v>144</v>
      </c>
      <c r="T5387" s="2">
        <f>MASTER[[#This Row],[CANTIDAD]]*MASTER[[#This Row],[PRECIO DE VENTA]]</f>
        <v>1459</v>
      </c>
      <c r="U5387" s="2">
        <f>MASTER[[#This Row],[CANTIDAD]]*MASTER[[#This Row],[COSTO UNITARIO]]</f>
        <v>386</v>
      </c>
      <c r="V5387" s="2">
        <f>MASTER[[#This Row],[MONTO VENDIDO]]-MASTER[[#This Row],[COSTO DE VENTA]]</f>
        <v>1073</v>
      </c>
    </row>
    <row r="5388" spans="1:22" x14ac:dyDescent="0.3">
      <c r="A5388">
        <v>76503</v>
      </c>
      <c r="B5388">
        <v>1</v>
      </c>
      <c r="C5388" t="s">
        <v>99</v>
      </c>
      <c r="D5388" t="s">
        <v>100</v>
      </c>
      <c r="E5388" s="1">
        <v>44418</v>
      </c>
      <c r="F5388">
        <v>1</v>
      </c>
      <c r="G5388" t="s">
        <v>51</v>
      </c>
      <c r="H5388" t="s">
        <v>52</v>
      </c>
      <c r="I5388" s="3">
        <v>1328</v>
      </c>
      <c r="J5388" s="3">
        <v>1328</v>
      </c>
      <c r="K5388" s="3">
        <v>386</v>
      </c>
      <c r="L5388" t="s">
        <v>98</v>
      </c>
      <c r="M5388">
        <v>16</v>
      </c>
      <c r="N5388" t="s">
        <v>17</v>
      </c>
      <c r="O5388" t="s">
        <v>11</v>
      </c>
      <c r="P5388" t="s">
        <v>18</v>
      </c>
      <c r="Q5388" t="s">
        <v>19</v>
      </c>
      <c r="R5388" t="s">
        <v>138</v>
      </c>
      <c r="S5388" t="s">
        <v>144</v>
      </c>
      <c r="T5388" s="2">
        <f>MASTER[[#This Row],[CANTIDAD]]*MASTER[[#This Row],[PRECIO DE VENTA]]</f>
        <v>1328</v>
      </c>
      <c r="U5388" s="2">
        <f>MASTER[[#This Row],[CANTIDAD]]*MASTER[[#This Row],[COSTO UNITARIO]]</f>
        <v>386</v>
      </c>
      <c r="V5388" s="2">
        <f>MASTER[[#This Row],[MONTO VENDIDO]]-MASTER[[#This Row],[COSTO DE VENTA]]</f>
        <v>942</v>
      </c>
    </row>
    <row r="5389" spans="1:22" x14ac:dyDescent="0.3">
      <c r="A5389">
        <v>76509</v>
      </c>
      <c r="B5389">
        <v>1</v>
      </c>
      <c r="C5389" t="s">
        <v>99</v>
      </c>
      <c r="D5389" t="s">
        <v>100</v>
      </c>
      <c r="E5389" s="1">
        <v>44418</v>
      </c>
      <c r="F5389">
        <v>1</v>
      </c>
      <c r="G5389" t="s">
        <v>24</v>
      </c>
      <c r="H5389" t="s">
        <v>25</v>
      </c>
      <c r="I5389" s="3">
        <v>1328</v>
      </c>
      <c r="J5389" s="3">
        <v>1328</v>
      </c>
      <c r="K5389" s="3">
        <v>386</v>
      </c>
      <c r="L5389" t="s">
        <v>98</v>
      </c>
      <c r="M5389">
        <v>11</v>
      </c>
      <c r="N5389" t="s">
        <v>10</v>
      </c>
      <c r="O5389" t="s">
        <v>11</v>
      </c>
      <c r="P5389" t="s">
        <v>12</v>
      </c>
      <c r="Q5389" t="s">
        <v>13</v>
      </c>
      <c r="R5389" t="s">
        <v>13</v>
      </c>
      <c r="S5389" t="s">
        <v>144</v>
      </c>
      <c r="T5389" s="2">
        <f>MASTER[[#This Row],[CANTIDAD]]*MASTER[[#This Row],[PRECIO DE VENTA]]</f>
        <v>1328</v>
      </c>
      <c r="U5389" s="2">
        <f>MASTER[[#This Row],[CANTIDAD]]*MASTER[[#This Row],[COSTO UNITARIO]]</f>
        <v>386</v>
      </c>
      <c r="V5389" s="2">
        <f>MASTER[[#This Row],[MONTO VENDIDO]]-MASTER[[#This Row],[COSTO DE VENTA]]</f>
        <v>942</v>
      </c>
    </row>
    <row r="5390" spans="1:22" x14ac:dyDescent="0.3">
      <c r="A5390">
        <v>76510</v>
      </c>
      <c r="B5390">
        <v>1</v>
      </c>
      <c r="C5390" t="s">
        <v>121</v>
      </c>
      <c r="D5390" t="s">
        <v>122</v>
      </c>
      <c r="E5390" s="1">
        <v>44418</v>
      </c>
      <c r="F5390">
        <v>1</v>
      </c>
      <c r="G5390" t="s">
        <v>73</v>
      </c>
      <c r="H5390" t="s">
        <v>74</v>
      </c>
      <c r="I5390" s="3">
        <v>1144</v>
      </c>
      <c r="J5390" s="3">
        <v>1144</v>
      </c>
      <c r="K5390" s="3">
        <v>460</v>
      </c>
      <c r="L5390" t="s">
        <v>120</v>
      </c>
      <c r="M5390">
        <v>9</v>
      </c>
      <c r="N5390" t="s">
        <v>76</v>
      </c>
      <c r="O5390" t="s">
        <v>70</v>
      </c>
      <c r="P5390" t="s">
        <v>12</v>
      </c>
      <c r="Q5390" t="s">
        <v>13</v>
      </c>
      <c r="R5390" t="s">
        <v>13</v>
      </c>
      <c r="S5390" t="s">
        <v>144</v>
      </c>
      <c r="T5390" s="2">
        <f>MASTER[[#This Row],[CANTIDAD]]*MASTER[[#This Row],[PRECIO DE VENTA]]</f>
        <v>1144</v>
      </c>
      <c r="U5390" s="2">
        <f>MASTER[[#This Row],[CANTIDAD]]*MASTER[[#This Row],[COSTO UNITARIO]]</f>
        <v>460</v>
      </c>
      <c r="V5390" s="2">
        <f>MASTER[[#This Row],[MONTO VENDIDO]]-MASTER[[#This Row],[COSTO DE VENTA]]</f>
        <v>684</v>
      </c>
    </row>
    <row r="5391" spans="1:22" x14ac:dyDescent="0.3">
      <c r="A5391">
        <v>76560</v>
      </c>
      <c r="B5391">
        <v>1</v>
      </c>
      <c r="C5391" t="s">
        <v>118</v>
      </c>
      <c r="D5391" t="s">
        <v>119</v>
      </c>
      <c r="E5391" s="1">
        <v>44419</v>
      </c>
      <c r="F5391">
        <v>1</v>
      </c>
      <c r="G5391" t="s">
        <v>31</v>
      </c>
      <c r="H5391" t="s">
        <v>32</v>
      </c>
      <c r="I5391" s="3">
        <v>1026</v>
      </c>
      <c r="J5391" s="3">
        <v>1026</v>
      </c>
      <c r="K5391" s="3">
        <v>424</v>
      </c>
      <c r="L5391" t="s">
        <v>120</v>
      </c>
      <c r="M5391">
        <v>13</v>
      </c>
      <c r="N5391" t="s">
        <v>78</v>
      </c>
      <c r="O5391" t="s">
        <v>70</v>
      </c>
      <c r="P5391" t="s">
        <v>18</v>
      </c>
      <c r="Q5391" t="s">
        <v>19</v>
      </c>
      <c r="R5391" t="s">
        <v>138</v>
      </c>
      <c r="S5391" t="s">
        <v>144</v>
      </c>
      <c r="T5391" s="2">
        <f>MASTER[[#This Row],[CANTIDAD]]*MASTER[[#This Row],[PRECIO DE VENTA]]</f>
        <v>1026</v>
      </c>
      <c r="U5391" s="2">
        <f>MASTER[[#This Row],[CANTIDAD]]*MASTER[[#This Row],[COSTO UNITARIO]]</f>
        <v>424</v>
      </c>
      <c r="V5391" s="2">
        <f>MASTER[[#This Row],[MONTO VENDIDO]]-MASTER[[#This Row],[COSTO DE VENTA]]</f>
        <v>602</v>
      </c>
    </row>
    <row r="5392" spans="1:22" x14ac:dyDescent="0.3">
      <c r="A5392">
        <v>76561</v>
      </c>
      <c r="B5392">
        <v>1</v>
      </c>
      <c r="C5392" t="s">
        <v>94</v>
      </c>
      <c r="D5392" t="s">
        <v>95</v>
      </c>
      <c r="E5392" s="1">
        <v>44419</v>
      </c>
      <c r="F5392">
        <v>1</v>
      </c>
      <c r="G5392" t="s">
        <v>20</v>
      </c>
      <c r="H5392" t="s">
        <v>21</v>
      </c>
      <c r="I5392" s="3">
        <v>1048</v>
      </c>
      <c r="J5392" s="3">
        <v>1048</v>
      </c>
      <c r="K5392" s="3">
        <v>392</v>
      </c>
      <c r="L5392" t="s">
        <v>9</v>
      </c>
      <c r="M5392">
        <v>4</v>
      </c>
      <c r="N5392" t="s">
        <v>82</v>
      </c>
      <c r="O5392" t="s">
        <v>81</v>
      </c>
      <c r="P5392" t="s">
        <v>71</v>
      </c>
      <c r="Q5392" t="s">
        <v>72</v>
      </c>
      <c r="R5392" t="s">
        <v>139</v>
      </c>
      <c r="S5392" t="s">
        <v>144</v>
      </c>
      <c r="T5392" s="2">
        <f>MASTER[[#This Row],[CANTIDAD]]*MASTER[[#This Row],[PRECIO DE VENTA]]</f>
        <v>1048</v>
      </c>
      <c r="U5392" s="2">
        <f>MASTER[[#This Row],[CANTIDAD]]*MASTER[[#This Row],[COSTO UNITARIO]]</f>
        <v>392</v>
      </c>
      <c r="V5392" s="2">
        <f>MASTER[[#This Row],[MONTO VENDIDO]]-MASTER[[#This Row],[COSTO DE VENTA]]</f>
        <v>656</v>
      </c>
    </row>
    <row r="5393" spans="1:22" x14ac:dyDescent="0.3">
      <c r="A5393">
        <v>76578</v>
      </c>
      <c r="B5393">
        <v>1</v>
      </c>
      <c r="C5393" t="s">
        <v>99</v>
      </c>
      <c r="D5393" t="s">
        <v>100</v>
      </c>
      <c r="E5393" s="1">
        <v>44419</v>
      </c>
      <c r="F5393">
        <v>1</v>
      </c>
      <c r="G5393" t="s">
        <v>59</v>
      </c>
      <c r="H5393" t="s">
        <v>60</v>
      </c>
      <c r="I5393" s="3">
        <v>1459</v>
      </c>
      <c r="J5393" s="3">
        <v>1459</v>
      </c>
      <c r="K5393" s="3">
        <v>386</v>
      </c>
      <c r="L5393" t="s">
        <v>98</v>
      </c>
      <c r="M5393">
        <v>10</v>
      </c>
      <c r="N5393" t="s">
        <v>83</v>
      </c>
      <c r="O5393" t="s">
        <v>81</v>
      </c>
      <c r="P5393" t="s">
        <v>12</v>
      </c>
      <c r="Q5393" t="s">
        <v>13</v>
      </c>
      <c r="R5393" t="s">
        <v>13</v>
      </c>
      <c r="S5393" t="s">
        <v>144</v>
      </c>
      <c r="T5393" s="2">
        <f>MASTER[[#This Row],[CANTIDAD]]*MASTER[[#This Row],[PRECIO DE VENTA]]</f>
        <v>1459</v>
      </c>
      <c r="U5393" s="2">
        <f>MASTER[[#This Row],[CANTIDAD]]*MASTER[[#This Row],[COSTO UNITARIO]]</f>
        <v>386</v>
      </c>
      <c r="V5393" s="2">
        <f>MASTER[[#This Row],[MONTO VENDIDO]]-MASTER[[#This Row],[COSTO DE VENTA]]</f>
        <v>1073</v>
      </c>
    </row>
    <row r="5394" spans="1:22" x14ac:dyDescent="0.3">
      <c r="A5394">
        <v>76583</v>
      </c>
      <c r="B5394">
        <v>1</v>
      </c>
      <c r="C5394" t="s">
        <v>105</v>
      </c>
      <c r="D5394" t="s">
        <v>106</v>
      </c>
      <c r="E5394" s="1">
        <v>44419</v>
      </c>
      <c r="F5394">
        <v>3</v>
      </c>
      <c r="G5394" t="s">
        <v>22</v>
      </c>
      <c r="H5394" t="s">
        <v>23</v>
      </c>
      <c r="I5394" s="3">
        <v>2033</v>
      </c>
      <c r="J5394" s="3">
        <v>2033</v>
      </c>
      <c r="K5394" s="3">
        <v>459</v>
      </c>
      <c r="L5394" t="s">
        <v>98</v>
      </c>
      <c r="M5394">
        <v>13</v>
      </c>
      <c r="N5394" t="s">
        <v>78</v>
      </c>
      <c r="O5394" t="s">
        <v>70</v>
      </c>
      <c r="P5394" t="s">
        <v>18</v>
      </c>
      <c r="Q5394" t="s">
        <v>19</v>
      </c>
      <c r="R5394" t="s">
        <v>138</v>
      </c>
      <c r="S5394" t="s">
        <v>144</v>
      </c>
      <c r="T5394" s="2">
        <f>MASTER[[#This Row],[CANTIDAD]]*MASTER[[#This Row],[PRECIO DE VENTA]]</f>
        <v>6099</v>
      </c>
      <c r="U5394" s="2">
        <f>MASTER[[#This Row],[CANTIDAD]]*MASTER[[#This Row],[COSTO UNITARIO]]</f>
        <v>1377</v>
      </c>
      <c r="V5394" s="2">
        <f>MASTER[[#This Row],[MONTO VENDIDO]]-MASTER[[#This Row],[COSTO DE VENTA]]</f>
        <v>4722</v>
      </c>
    </row>
    <row r="5395" spans="1:22" x14ac:dyDescent="0.3">
      <c r="A5395">
        <v>76585</v>
      </c>
      <c r="B5395">
        <v>1</v>
      </c>
      <c r="C5395" t="s">
        <v>116</v>
      </c>
      <c r="D5395" t="s">
        <v>117</v>
      </c>
      <c r="E5395" s="1">
        <v>44419</v>
      </c>
      <c r="F5395">
        <v>1</v>
      </c>
      <c r="G5395" t="s">
        <v>49</v>
      </c>
      <c r="H5395" t="s">
        <v>50</v>
      </c>
      <c r="I5395" s="3">
        <v>1999</v>
      </c>
      <c r="J5395" s="3">
        <v>1999</v>
      </c>
      <c r="K5395" s="3">
        <v>388</v>
      </c>
      <c r="L5395" t="s">
        <v>113</v>
      </c>
      <c r="M5395">
        <v>6</v>
      </c>
      <c r="N5395" t="s">
        <v>75</v>
      </c>
      <c r="O5395" t="s">
        <v>70</v>
      </c>
      <c r="P5395" t="s">
        <v>12</v>
      </c>
      <c r="Q5395" t="s">
        <v>13</v>
      </c>
      <c r="R5395" t="s">
        <v>13</v>
      </c>
      <c r="S5395" t="s">
        <v>144</v>
      </c>
      <c r="T5395" s="2">
        <f>MASTER[[#This Row],[CANTIDAD]]*MASTER[[#This Row],[PRECIO DE VENTA]]</f>
        <v>1999</v>
      </c>
      <c r="U5395" s="2">
        <f>MASTER[[#This Row],[CANTIDAD]]*MASTER[[#This Row],[COSTO UNITARIO]]</f>
        <v>388</v>
      </c>
      <c r="V5395" s="2">
        <f>MASTER[[#This Row],[MONTO VENDIDO]]-MASTER[[#This Row],[COSTO DE VENTA]]</f>
        <v>1611</v>
      </c>
    </row>
    <row r="5396" spans="1:22" x14ac:dyDescent="0.3">
      <c r="A5396">
        <v>76602</v>
      </c>
      <c r="B5396">
        <v>1</v>
      </c>
      <c r="C5396" t="s">
        <v>103</v>
      </c>
      <c r="D5396" t="s">
        <v>104</v>
      </c>
      <c r="E5396" s="1">
        <v>44419</v>
      </c>
      <c r="F5396">
        <v>1</v>
      </c>
      <c r="G5396" t="s">
        <v>59</v>
      </c>
      <c r="H5396" t="s">
        <v>60</v>
      </c>
      <c r="I5396" s="3">
        <v>1830</v>
      </c>
      <c r="J5396" s="3">
        <v>1830</v>
      </c>
      <c r="K5396" s="3">
        <v>421</v>
      </c>
      <c r="L5396" t="s">
        <v>98</v>
      </c>
      <c r="M5396">
        <v>18</v>
      </c>
      <c r="N5396" t="s">
        <v>79</v>
      </c>
      <c r="O5396" t="s">
        <v>70</v>
      </c>
      <c r="P5396" t="s">
        <v>15</v>
      </c>
      <c r="Q5396" t="s">
        <v>16</v>
      </c>
      <c r="R5396" t="s">
        <v>16</v>
      </c>
      <c r="S5396" t="s">
        <v>144</v>
      </c>
      <c r="T5396" s="2">
        <f>MASTER[[#This Row],[CANTIDAD]]*MASTER[[#This Row],[PRECIO DE VENTA]]</f>
        <v>1830</v>
      </c>
      <c r="U5396" s="2">
        <f>MASTER[[#This Row],[CANTIDAD]]*MASTER[[#This Row],[COSTO UNITARIO]]</f>
        <v>421</v>
      </c>
      <c r="V5396" s="2">
        <f>MASTER[[#This Row],[MONTO VENDIDO]]-MASTER[[#This Row],[COSTO DE VENTA]]</f>
        <v>1409</v>
      </c>
    </row>
    <row r="5397" spans="1:22" x14ac:dyDescent="0.3">
      <c r="A5397">
        <v>76604</v>
      </c>
      <c r="B5397">
        <v>1</v>
      </c>
      <c r="C5397" t="s">
        <v>116</v>
      </c>
      <c r="D5397" t="s">
        <v>117</v>
      </c>
      <c r="E5397" s="1">
        <v>44419</v>
      </c>
      <c r="F5397">
        <v>1</v>
      </c>
      <c r="G5397" t="s">
        <v>31</v>
      </c>
      <c r="H5397" t="s">
        <v>32</v>
      </c>
      <c r="I5397" s="3">
        <v>1999</v>
      </c>
      <c r="J5397" s="3">
        <v>1999</v>
      </c>
      <c r="K5397" s="3">
        <v>388</v>
      </c>
      <c r="L5397" t="s">
        <v>113</v>
      </c>
      <c r="M5397">
        <v>9</v>
      </c>
      <c r="N5397" t="s">
        <v>76</v>
      </c>
      <c r="O5397" t="s">
        <v>70</v>
      </c>
      <c r="P5397" t="s">
        <v>12</v>
      </c>
      <c r="Q5397" t="s">
        <v>13</v>
      </c>
      <c r="R5397" t="s">
        <v>13</v>
      </c>
      <c r="S5397" t="s">
        <v>144</v>
      </c>
      <c r="T5397" s="2">
        <f>MASTER[[#This Row],[CANTIDAD]]*MASTER[[#This Row],[PRECIO DE VENTA]]</f>
        <v>1999</v>
      </c>
      <c r="U5397" s="2">
        <f>MASTER[[#This Row],[CANTIDAD]]*MASTER[[#This Row],[COSTO UNITARIO]]</f>
        <v>388</v>
      </c>
      <c r="V5397" s="2">
        <f>MASTER[[#This Row],[MONTO VENDIDO]]-MASTER[[#This Row],[COSTO DE VENTA]]</f>
        <v>1611</v>
      </c>
    </row>
    <row r="5398" spans="1:22" x14ac:dyDescent="0.3">
      <c r="A5398">
        <v>76624</v>
      </c>
      <c r="B5398">
        <v>1</v>
      </c>
      <c r="C5398" t="s">
        <v>5</v>
      </c>
      <c r="D5398" t="s">
        <v>6</v>
      </c>
      <c r="E5398" s="1">
        <v>44419</v>
      </c>
      <c r="F5398">
        <v>1</v>
      </c>
      <c r="G5398" t="s">
        <v>7</v>
      </c>
      <c r="H5398" t="s">
        <v>8</v>
      </c>
      <c r="I5398" s="3">
        <v>1311</v>
      </c>
      <c r="J5398" s="3">
        <v>1311</v>
      </c>
      <c r="K5398" s="3">
        <v>393</v>
      </c>
      <c r="L5398" t="s">
        <v>9</v>
      </c>
      <c r="M5398">
        <v>11</v>
      </c>
      <c r="N5398" t="s">
        <v>10</v>
      </c>
      <c r="O5398" t="s">
        <v>11</v>
      </c>
      <c r="P5398" t="s">
        <v>12</v>
      </c>
      <c r="Q5398" t="s">
        <v>13</v>
      </c>
      <c r="R5398" t="s">
        <v>13</v>
      </c>
      <c r="S5398" t="s">
        <v>144</v>
      </c>
      <c r="T5398" s="2">
        <f>MASTER[[#This Row],[CANTIDAD]]*MASTER[[#This Row],[PRECIO DE VENTA]]</f>
        <v>1311</v>
      </c>
      <c r="U5398" s="2">
        <f>MASTER[[#This Row],[CANTIDAD]]*MASTER[[#This Row],[COSTO UNITARIO]]</f>
        <v>393</v>
      </c>
      <c r="V5398" s="2">
        <f>MASTER[[#This Row],[MONTO VENDIDO]]-MASTER[[#This Row],[COSTO DE VENTA]]</f>
        <v>918</v>
      </c>
    </row>
    <row r="5399" spans="1:22" x14ac:dyDescent="0.3">
      <c r="A5399">
        <v>76631</v>
      </c>
      <c r="B5399">
        <v>1</v>
      </c>
      <c r="C5399" t="s">
        <v>94</v>
      </c>
      <c r="D5399" t="s">
        <v>95</v>
      </c>
      <c r="E5399" s="1">
        <v>44419</v>
      </c>
      <c r="F5399">
        <v>1</v>
      </c>
      <c r="G5399" t="s">
        <v>35</v>
      </c>
      <c r="H5399" t="s">
        <v>36</v>
      </c>
      <c r="I5399" s="3">
        <v>901</v>
      </c>
      <c r="J5399" s="3">
        <v>901</v>
      </c>
      <c r="K5399" s="3">
        <v>392</v>
      </c>
      <c r="L5399" t="s">
        <v>9</v>
      </c>
      <c r="M5399">
        <v>16</v>
      </c>
      <c r="N5399" t="s">
        <v>17</v>
      </c>
      <c r="O5399" t="s">
        <v>11</v>
      </c>
      <c r="P5399" t="s">
        <v>18</v>
      </c>
      <c r="Q5399" t="s">
        <v>19</v>
      </c>
      <c r="R5399" t="s">
        <v>138</v>
      </c>
      <c r="S5399" t="s">
        <v>144</v>
      </c>
      <c r="T5399" s="2">
        <f>MASTER[[#This Row],[CANTIDAD]]*MASTER[[#This Row],[PRECIO DE VENTA]]</f>
        <v>901</v>
      </c>
      <c r="U5399" s="2">
        <f>MASTER[[#This Row],[CANTIDAD]]*MASTER[[#This Row],[COSTO UNITARIO]]</f>
        <v>392</v>
      </c>
      <c r="V5399" s="2">
        <f>MASTER[[#This Row],[MONTO VENDIDO]]-MASTER[[#This Row],[COSTO DE VENTA]]</f>
        <v>509</v>
      </c>
    </row>
    <row r="5400" spans="1:22" x14ac:dyDescent="0.3">
      <c r="A5400">
        <v>76632</v>
      </c>
      <c r="B5400">
        <v>1</v>
      </c>
      <c r="C5400" t="s">
        <v>90</v>
      </c>
      <c r="D5400" t="s">
        <v>91</v>
      </c>
      <c r="E5400" s="1">
        <v>44419</v>
      </c>
      <c r="F5400">
        <v>1</v>
      </c>
      <c r="G5400" t="s">
        <v>20</v>
      </c>
      <c r="H5400" t="s">
        <v>21</v>
      </c>
      <c r="I5400" s="3">
        <v>1660</v>
      </c>
      <c r="J5400" s="3">
        <v>1660</v>
      </c>
      <c r="K5400" s="3">
        <v>420</v>
      </c>
      <c r="L5400" t="s">
        <v>9</v>
      </c>
      <c r="M5400">
        <v>11</v>
      </c>
      <c r="N5400" t="s">
        <v>10</v>
      </c>
      <c r="O5400" t="s">
        <v>11</v>
      </c>
      <c r="P5400" t="s">
        <v>12</v>
      </c>
      <c r="Q5400" t="s">
        <v>13</v>
      </c>
      <c r="R5400" t="s">
        <v>13</v>
      </c>
      <c r="S5400" t="s">
        <v>144</v>
      </c>
      <c r="T5400" s="2">
        <f>MASTER[[#This Row],[CANTIDAD]]*MASTER[[#This Row],[PRECIO DE VENTA]]</f>
        <v>1660</v>
      </c>
      <c r="U5400" s="2">
        <f>MASTER[[#This Row],[CANTIDAD]]*MASTER[[#This Row],[COSTO UNITARIO]]</f>
        <v>420</v>
      </c>
      <c r="V5400" s="2">
        <f>MASTER[[#This Row],[MONTO VENDIDO]]-MASTER[[#This Row],[COSTO DE VENTA]]</f>
        <v>1240</v>
      </c>
    </row>
    <row r="5401" spans="1:22" x14ac:dyDescent="0.3">
      <c r="A5401">
        <v>76642</v>
      </c>
      <c r="B5401">
        <v>1</v>
      </c>
      <c r="C5401" t="s">
        <v>121</v>
      </c>
      <c r="D5401" t="s">
        <v>122</v>
      </c>
      <c r="E5401" s="1">
        <v>44419</v>
      </c>
      <c r="F5401">
        <v>1</v>
      </c>
      <c r="G5401" t="s">
        <v>63</v>
      </c>
      <c r="H5401" t="s">
        <v>64</v>
      </c>
      <c r="I5401" s="3">
        <v>1144</v>
      </c>
      <c r="J5401" s="3">
        <v>1144</v>
      </c>
      <c r="K5401" s="3">
        <v>460</v>
      </c>
      <c r="L5401" t="s">
        <v>120</v>
      </c>
      <c r="M5401">
        <v>6</v>
      </c>
      <c r="N5401" t="s">
        <v>75</v>
      </c>
      <c r="O5401" t="s">
        <v>70</v>
      </c>
      <c r="P5401" t="s">
        <v>12</v>
      </c>
      <c r="Q5401" t="s">
        <v>13</v>
      </c>
      <c r="R5401" t="s">
        <v>13</v>
      </c>
      <c r="S5401" t="s">
        <v>144</v>
      </c>
      <c r="T5401" s="2">
        <f>MASTER[[#This Row],[CANTIDAD]]*MASTER[[#This Row],[PRECIO DE VENTA]]</f>
        <v>1144</v>
      </c>
      <c r="U5401" s="2">
        <f>MASTER[[#This Row],[CANTIDAD]]*MASTER[[#This Row],[COSTO UNITARIO]]</f>
        <v>460</v>
      </c>
      <c r="V5401" s="2">
        <f>MASTER[[#This Row],[MONTO VENDIDO]]-MASTER[[#This Row],[COSTO DE VENTA]]</f>
        <v>684</v>
      </c>
    </row>
    <row r="5402" spans="1:22" x14ac:dyDescent="0.3">
      <c r="A5402">
        <v>76647</v>
      </c>
      <c r="B5402">
        <v>1</v>
      </c>
      <c r="C5402" t="s">
        <v>116</v>
      </c>
      <c r="D5402" t="s">
        <v>117</v>
      </c>
      <c r="E5402" s="1">
        <v>44419</v>
      </c>
      <c r="F5402">
        <v>1</v>
      </c>
      <c r="G5402" t="s">
        <v>55</v>
      </c>
      <c r="H5402" t="s">
        <v>56</v>
      </c>
      <c r="I5402" s="3">
        <v>1738</v>
      </c>
      <c r="J5402" s="3">
        <v>1738</v>
      </c>
      <c r="K5402" s="3">
        <v>388</v>
      </c>
      <c r="L5402" t="s">
        <v>113</v>
      </c>
      <c r="M5402">
        <v>19</v>
      </c>
      <c r="N5402" t="s">
        <v>89</v>
      </c>
      <c r="O5402" t="s">
        <v>81</v>
      </c>
      <c r="P5402" t="s">
        <v>15</v>
      </c>
      <c r="Q5402" t="s">
        <v>16</v>
      </c>
      <c r="R5402" t="s">
        <v>16</v>
      </c>
      <c r="S5402" t="s">
        <v>144</v>
      </c>
      <c r="T5402" s="2">
        <f>MASTER[[#This Row],[CANTIDAD]]*MASTER[[#This Row],[PRECIO DE VENTA]]</f>
        <v>1738</v>
      </c>
      <c r="U5402" s="2">
        <f>MASTER[[#This Row],[CANTIDAD]]*MASTER[[#This Row],[COSTO UNITARIO]]</f>
        <v>388</v>
      </c>
      <c r="V5402" s="2">
        <f>MASTER[[#This Row],[MONTO VENDIDO]]-MASTER[[#This Row],[COSTO DE VENTA]]</f>
        <v>1350</v>
      </c>
    </row>
    <row r="5403" spans="1:22" x14ac:dyDescent="0.3">
      <c r="A5403">
        <v>76658</v>
      </c>
      <c r="B5403">
        <v>1</v>
      </c>
      <c r="C5403" t="s">
        <v>118</v>
      </c>
      <c r="D5403" t="s">
        <v>119</v>
      </c>
      <c r="E5403" s="1">
        <v>44420</v>
      </c>
      <c r="F5403">
        <v>1</v>
      </c>
      <c r="G5403" t="s">
        <v>31</v>
      </c>
      <c r="H5403" t="s">
        <v>32</v>
      </c>
      <c r="I5403" s="3">
        <v>900</v>
      </c>
      <c r="J5403" s="3">
        <v>900</v>
      </c>
      <c r="K5403" s="3">
        <v>424</v>
      </c>
      <c r="L5403" t="s">
        <v>120</v>
      </c>
      <c r="M5403">
        <v>15</v>
      </c>
      <c r="N5403" t="s">
        <v>88</v>
      </c>
      <c r="O5403" t="s">
        <v>81</v>
      </c>
      <c r="P5403" t="s">
        <v>18</v>
      </c>
      <c r="Q5403" t="s">
        <v>19</v>
      </c>
      <c r="R5403" t="s">
        <v>138</v>
      </c>
      <c r="S5403" t="s">
        <v>144</v>
      </c>
      <c r="T5403" s="2">
        <f>MASTER[[#This Row],[CANTIDAD]]*MASTER[[#This Row],[PRECIO DE VENTA]]</f>
        <v>900</v>
      </c>
      <c r="U5403" s="2">
        <f>MASTER[[#This Row],[CANTIDAD]]*MASTER[[#This Row],[COSTO UNITARIO]]</f>
        <v>424</v>
      </c>
      <c r="V5403" s="2">
        <f>MASTER[[#This Row],[MONTO VENDIDO]]-MASTER[[#This Row],[COSTO DE VENTA]]</f>
        <v>476</v>
      </c>
    </row>
    <row r="5404" spans="1:22" x14ac:dyDescent="0.3">
      <c r="A5404">
        <v>76670</v>
      </c>
      <c r="B5404">
        <v>1</v>
      </c>
      <c r="C5404" t="s">
        <v>109</v>
      </c>
      <c r="D5404" t="s">
        <v>110</v>
      </c>
      <c r="E5404" s="1">
        <v>44420</v>
      </c>
      <c r="F5404">
        <v>1</v>
      </c>
      <c r="G5404" t="s">
        <v>20</v>
      </c>
      <c r="H5404" t="s">
        <v>21</v>
      </c>
      <c r="I5404" s="3">
        <v>947</v>
      </c>
      <c r="J5404" s="3">
        <v>947</v>
      </c>
      <c r="K5404" s="3">
        <v>387</v>
      </c>
      <c r="L5404" t="s">
        <v>98</v>
      </c>
      <c r="M5404">
        <v>12</v>
      </c>
      <c r="N5404" t="s">
        <v>26</v>
      </c>
      <c r="O5404" t="s">
        <v>11</v>
      </c>
      <c r="P5404" t="s">
        <v>12</v>
      </c>
      <c r="Q5404" t="s">
        <v>13</v>
      </c>
      <c r="R5404" t="s">
        <v>13</v>
      </c>
      <c r="S5404" t="s">
        <v>144</v>
      </c>
      <c r="T5404" s="2">
        <f>MASTER[[#This Row],[CANTIDAD]]*MASTER[[#This Row],[PRECIO DE VENTA]]</f>
        <v>947</v>
      </c>
      <c r="U5404" s="2">
        <f>MASTER[[#This Row],[CANTIDAD]]*MASTER[[#This Row],[COSTO UNITARIO]]</f>
        <v>387</v>
      </c>
      <c r="V5404" s="2">
        <f>MASTER[[#This Row],[MONTO VENDIDO]]-MASTER[[#This Row],[COSTO DE VENTA]]</f>
        <v>560</v>
      </c>
    </row>
    <row r="5405" spans="1:22" x14ac:dyDescent="0.3">
      <c r="A5405">
        <v>76679</v>
      </c>
      <c r="B5405">
        <v>1</v>
      </c>
      <c r="C5405" t="s">
        <v>118</v>
      </c>
      <c r="D5405" t="s">
        <v>119</v>
      </c>
      <c r="E5405" s="1">
        <v>44420</v>
      </c>
      <c r="F5405">
        <v>1</v>
      </c>
      <c r="G5405" t="s">
        <v>49</v>
      </c>
      <c r="H5405" t="s">
        <v>50</v>
      </c>
      <c r="I5405" s="3">
        <v>900</v>
      </c>
      <c r="J5405" s="3">
        <v>900</v>
      </c>
      <c r="K5405" s="3">
        <v>424</v>
      </c>
      <c r="L5405" t="s">
        <v>120</v>
      </c>
      <c r="M5405">
        <v>5</v>
      </c>
      <c r="N5405" t="s">
        <v>85</v>
      </c>
      <c r="O5405" t="s">
        <v>81</v>
      </c>
      <c r="P5405" t="s">
        <v>12</v>
      </c>
      <c r="Q5405" t="s">
        <v>13</v>
      </c>
      <c r="R5405" t="s">
        <v>13</v>
      </c>
      <c r="S5405" t="s">
        <v>144</v>
      </c>
      <c r="T5405" s="2">
        <f>MASTER[[#This Row],[CANTIDAD]]*MASTER[[#This Row],[PRECIO DE VENTA]]</f>
        <v>900</v>
      </c>
      <c r="U5405" s="2">
        <f>MASTER[[#This Row],[CANTIDAD]]*MASTER[[#This Row],[COSTO UNITARIO]]</f>
        <v>424</v>
      </c>
      <c r="V5405" s="2">
        <f>MASTER[[#This Row],[MONTO VENDIDO]]-MASTER[[#This Row],[COSTO DE VENTA]]</f>
        <v>476</v>
      </c>
    </row>
    <row r="5406" spans="1:22" x14ac:dyDescent="0.3">
      <c r="A5406">
        <v>76697</v>
      </c>
      <c r="B5406">
        <v>1</v>
      </c>
      <c r="C5406" t="s">
        <v>5</v>
      </c>
      <c r="D5406" t="s">
        <v>6</v>
      </c>
      <c r="E5406" s="1">
        <v>44420</v>
      </c>
      <c r="F5406">
        <v>1</v>
      </c>
      <c r="G5406" t="s">
        <v>7</v>
      </c>
      <c r="H5406" t="s">
        <v>8</v>
      </c>
      <c r="I5406" s="3">
        <v>1507</v>
      </c>
      <c r="J5406" s="3">
        <v>1507</v>
      </c>
      <c r="K5406" s="3">
        <v>393</v>
      </c>
      <c r="L5406" t="s">
        <v>9</v>
      </c>
      <c r="M5406">
        <v>2</v>
      </c>
      <c r="N5406" t="s">
        <v>86</v>
      </c>
      <c r="O5406" t="s">
        <v>81</v>
      </c>
      <c r="P5406" t="s">
        <v>71</v>
      </c>
      <c r="Q5406" t="s">
        <v>72</v>
      </c>
      <c r="R5406" t="s">
        <v>139</v>
      </c>
      <c r="S5406" t="s">
        <v>144</v>
      </c>
      <c r="T5406" s="2">
        <f>MASTER[[#This Row],[CANTIDAD]]*MASTER[[#This Row],[PRECIO DE VENTA]]</f>
        <v>1507</v>
      </c>
      <c r="U5406" s="2">
        <f>MASTER[[#This Row],[CANTIDAD]]*MASTER[[#This Row],[COSTO UNITARIO]]</f>
        <v>393</v>
      </c>
      <c r="V5406" s="2">
        <f>MASTER[[#This Row],[MONTO VENDIDO]]-MASTER[[#This Row],[COSTO DE VENTA]]</f>
        <v>1114</v>
      </c>
    </row>
    <row r="5407" spans="1:22" x14ac:dyDescent="0.3">
      <c r="A5407">
        <v>76699</v>
      </c>
      <c r="B5407">
        <v>1</v>
      </c>
      <c r="C5407" t="s">
        <v>101</v>
      </c>
      <c r="D5407" t="s">
        <v>102</v>
      </c>
      <c r="E5407" s="1">
        <v>44420</v>
      </c>
      <c r="F5407">
        <v>1</v>
      </c>
      <c r="G5407" t="s">
        <v>49</v>
      </c>
      <c r="H5407" t="s">
        <v>50</v>
      </c>
      <c r="I5407" s="3">
        <v>1212</v>
      </c>
      <c r="J5407" s="3">
        <v>1212</v>
      </c>
      <c r="K5407" s="3">
        <v>442</v>
      </c>
      <c r="L5407" t="s">
        <v>98</v>
      </c>
      <c r="M5407">
        <v>4</v>
      </c>
      <c r="N5407" t="s">
        <v>82</v>
      </c>
      <c r="O5407" t="s">
        <v>81</v>
      </c>
      <c r="P5407" t="s">
        <v>71</v>
      </c>
      <c r="Q5407" t="s">
        <v>72</v>
      </c>
      <c r="R5407" t="s">
        <v>139</v>
      </c>
      <c r="S5407" t="s">
        <v>144</v>
      </c>
      <c r="T5407" s="2">
        <f>MASTER[[#This Row],[CANTIDAD]]*MASTER[[#This Row],[PRECIO DE VENTA]]</f>
        <v>1212</v>
      </c>
      <c r="U5407" s="2">
        <f>MASTER[[#This Row],[CANTIDAD]]*MASTER[[#This Row],[COSTO UNITARIO]]</f>
        <v>442</v>
      </c>
      <c r="V5407" s="2">
        <f>MASTER[[#This Row],[MONTO VENDIDO]]-MASTER[[#This Row],[COSTO DE VENTA]]</f>
        <v>770</v>
      </c>
    </row>
    <row r="5408" spans="1:22" x14ac:dyDescent="0.3">
      <c r="A5408">
        <v>76709</v>
      </c>
      <c r="B5408">
        <v>1</v>
      </c>
      <c r="C5408" t="s">
        <v>94</v>
      </c>
      <c r="D5408" t="s">
        <v>95</v>
      </c>
      <c r="E5408" s="1">
        <v>44420</v>
      </c>
      <c r="F5408">
        <v>1</v>
      </c>
      <c r="G5408" t="s">
        <v>39</v>
      </c>
      <c r="H5408" t="s">
        <v>40</v>
      </c>
      <c r="I5408" s="3">
        <v>1048</v>
      </c>
      <c r="J5408" s="3">
        <v>1048</v>
      </c>
      <c r="K5408" s="3">
        <v>392</v>
      </c>
      <c r="L5408" t="s">
        <v>9</v>
      </c>
      <c r="M5408">
        <v>2</v>
      </c>
      <c r="N5408" t="s">
        <v>86</v>
      </c>
      <c r="O5408" t="s">
        <v>81</v>
      </c>
      <c r="P5408" t="s">
        <v>71</v>
      </c>
      <c r="Q5408" t="s">
        <v>72</v>
      </c>
      <c r="R5408" t="s">
        <v>139</v>
      </c>
      <c r="S5408" t="s">
        <v>144</v>
      </c>
      <c r="T5408" s="2">
        <f>MASTER[[#This Row],[CANTIDAD]]*MASTER[[#This Row],[PRECIO DE VENTA]]</f>
        <v>1048</v>
      </c>
      <c r="U5408" s="2">
        <f>MASTER[[#This Row],[CANTIDAD]]*MASTER[[#This Row],[COSTO UNITARIO]]</f>
        <v>392</v>
      </c>
      <c r="V5408" s="2">
        <f>MASTER[[#This Row],[MONTO VENDIDO]]-MASTER[[#This Row],[COSTO DE VENTA]]</f>
        <v>656</v>
      </c>
    </row>
    <row r="5409" spans="1:22" x14ac:dyDescent="0.3">
      <c r="A5409">
        <v>76729</v>
      </c>
      <c r="B5409">
        <v>1</v>
      </c>
      <c r="C5409" t="s">
        <v>116</v>
      </c>
      <c r="D5409" t="s">
        <v>117</v>
      </c>
      <c r="E5409" s="1">
        <v>44420</v>
      </c>
      <c r="F5409">
        <v>3</v>
      </c>
      <c r="G5409" t="s">
        <v>61</v>
      </c>
      <c r="H5409" t="s">
        <v>62</v>
      </c>
      <c r="I5409" s="3">
        <v>1529</v>
      </c>
      <c r="J5409" s="3">
        <v>1529</v>
      </c>
      <c r="K5409" s="3">
        <v>388</v>
      </c>
      <c r="L5409" t="s">
        <v>113</v>
      </c>
      <c r="M5409">
        <v>17</v>
      </c>
      <c r="N5409" t="s">
        <v>14</v>
      </c>
      <c r="O5409" t="s">
        <v>11</v>
      </c>
      <c r="P5409" t="s">
        <v>15</v>
      </c>
      <c r="Q5409" t="s">
        <v>16</v>
      </c>
      <c r="R5409" t="s">
        <v>16</v>
      </c>
      <c r="S5409" t="s">
        <v>144</v>
      </c>
      <c r="T5409" s="2">
        <f>MASTER[[#This Row],[CANTIDAD]]*MASTER[[#This Row],[PRECIO DE VENTA]]</f>
        <v>4587</v>
      </c>
      <c r="U5409" s="2">
        <f>MASTER[[#This Row],[CANTIDAD]]*MASTER[[#This Row],[COSTO UNITARIO]]</f>
        <v>1164</v>
      </c>
      <c r="V5409" s="2">
        <f>MASTER[[#This Row],[MONTO VENDIDO]]-MASTER[[#This Row],[COSTO DE VENTA]]</f>
        <v>3423</v>
      </c>
    </row>
    <row r="5410" spans="1:22" x14ac:dyDescent="0.3">
      <c r="A5410">
        <v>76733</v>
      </c>
      <c r="B5410">
        <v>1</v>
      </c>
      <c r="C5410" t="s">
        <v>96</v>
      </c>
      <c r="D5410" t="s">
        <v>97</v>
      </c>
      <c r="E5410" s="1">
        <v>44420</v>
      </c>
      <c r="F5410">
        <v>1</v>
      </c>
      <c r="G5410" t="s">
        <v>57</v>
      </c>
      <c r="H5410" t="s">
        <v>58</v>
      </c>
      <c r="I5410" s="3">
        <v>1272</v>
      </c>
      <c r="J5410" s="3">
        <v>1272</v>
      </c>
      <c r="K5410" s="3">
        <v>397</v>
      </c>
      <c r="L5410" t="s">
        <v>98</v>
      </c>
      <c r="M5410">
        <v>4</v>
      </c>
      <c r="N5410" t="s">
        <v>82</v>
      </c>
      <c r="O5410" t="s">
        <v>81</v>
      </c>
      <c r="P5410" t="s">
        <v>71</v>
      </c>
      <c r="Q5410" t="s">
        <v>72</v>
      </c>
      <c r="R5410" t="s">
        <v>139</v>
      </c>
      <c r="S5410" t="s">
        <v>144</v>
      </c>
      <c r="T5410" s="2">
        <f>MASTER[[#This Row],[CANTIDAD]]*MASTER[[#This Row],[PRECIO DE VENTA]]</f>
        <v>1272</v>
      </c>
      <c r="U5410" s="2">
        <f>MASTER[[#This Row],[CANTIDAD]]*MASTER[[#This Row],[COSTO UNITARIO]]</f>
        <v>397</v>
      </c>
      <c r="V5410" s="2">
        <f>MASTER[[#This Row],[MONTO VENDIDO]]-MASTER[[#This Row],[COSTO DE VENTA]]</f>
        <v>875</v>
      </c>
    </row>
    <row r="5411" spans="1:22" x14ac:dyDescent="0.3">
      <c r="A5411">
        <v>76754</v>
      </c>
      <c r="B5411">
        <v>1</v>
      </c>
      <c r="C5411" t="s">
        <v>5</v>
      </c>
      <c r="D5411" t="s">
        <v>6</v>
      </c>
      <c r="E5411" s="1">
        <v>44421</v>
      </c>
      <c r="F5411">
        <v>2</v>
      </c>
      <c r="G5411" t="s">
        <v>59</v>
      </c>
      <c r="H5411" t="s">
        <v>60</v>
      </c>
      <c r="I5411" s="3">
        <v>1311</v>
      </c>
      <c r="J5411" s="3">
        <v>1311</v>
      </c>
      <c r="K5411" s="3">
        <v>393</v>
      </c>
      <c r="L5411" t="s">
        <v>9</v>
      </c>
      <c r="M5411">
        <v>17</v>
      </c>
      <c r="N5411" t="s">
        <v>14</v>
      </c>
      <c r="O5411" t="s">
        <v>11</v>
      </c>
      <c r="P5411" t="s">
        <v>15</v>
      </c>
      <c r="Q5411" t="s">
        <v>16</v>
      </c>
      <c r="R5411" t="s">
        <v>16</v>
      </c>
      <c r="S5411" t="s">
        <v>144</v>
      </c>
      <c r="T5411" s="2">
        <f>MASTER[[#This Row],[CANTIDAD]]*MASTER[[#This Row],[PRECIO DE VENTA]]</f>
        <v>2622</v>
      </c>
      <c r="U5411" s="2">
        <f>MASTER[[#This Row],[CANTIDAD]]*MASTER[[#This Row],[COSTO UNITARIO]]</f>
        <v>786</v>
      </c>
      <c r="V5411" s="2">
        <f>MASTER[[#This Row],[MONTO VENDIDO]]-MASTER[[#This Row],[COSTO DE VENTA]]</f>
        <v>1836</v>
      </c>
    </row>
    <row r="5412" spans="1:22" x14ac:dyDescent="0.3">
      <c r="A5412">
        <v>76760</v>
      </c>
      <c r="B5412">
        <v>1</v>
      </c>
      <c r="C5412" t="s">
        <v>109</v>
      </c>
      <c r="D5412" t="s">
        <v>110</v>
      </c>
      <c r="E5412" s="1">
        <v>44421</v>
      </c>
      <c r="F5412">
        <v>1</v>
      </c>
      <c r="G5412" t="s">
        <v>33</v>
      </c>
      <c r="H5412" t="s">
        <v>34</v>
      </c>
      <c r="I5412" s="3">
        <v>1064</v>
      </c>
      <c r="J5412" s="3">
        <v>1064</v>
      </c>
      <c r="K5412" s="3">
        <v>387</v>
      </c>
      <c r="L5412" t="s">
        <v>98</v>
      </c>
      <c r="M5412">
        <v>19</v>
      </c>
      <c r="N5412" t="s">
        <v>89</v>
      </c>
      <c r="O5412" t="s">
        <v>81</v>
      </c>
      <c r="P5412" t="s">
        <v>15</v>
      </c>
      <c r="Q5412" t="s">
        <v>16</v>
      </c>
      <c r="R5412" t="s">
        <v>16</v>
      </c>
      <c r="S5412" t="s">
        <v>144</v>
      </c>
      <c r="T5412" s="2">
        <f>MASTER[[#This Row],[CANTIDAD]]*MASTER[[#This Row],[PRECIO DE VENTA]]</f>
        <v>1064</v>
      </c>
      <c r="U5412" s="2">
        <f>MASTER[[#This Row],[CANTIDAD]]*MASTER[[#This Row],[COSTO UNITARIO]]</f>
        <v>387</v>
      </c>
      <c r="V5412" s="2">
        <f>MASTER[[#This Row],[MONTO VENDIDO]]-MASTER[[#This Row],[COSTO DE VENTA]]</f>
        <v>677</v>
      </c>
    </row>
    <row r="5413" spans="1:22" x14ac:dyDescent="0.3">
      <c r="A5413">
        <v>76783</v>
      </c>
      <c r="B5413">
        <v>1</v>
      </c>
      <c r="C5413" t="s">
        <v>90</v>
      </c>
      <c r="D5413" t="s">
        <v>91</v>
      </c>
      <c r="E5413" s="1">
        <v>44421</v>
      </c>
      <c r="F5413">
        <v>1</v>
      </c>
      <c r="G5413" t="s">
        <v>39</v>
      </c>
      <c r="H5413" t="s">
        <v>40</v>
      </c>
      <c r="I5413" s="3">
        <v>1660</v>
      </c>
      <c r="J5413" s="3">
        <v>1660</v>
      </c>
      <c r="K5413" s="3">
        <v>420</v>
      </c>
      <c r="L5413" t="s">
        <v>9</v>
      </c>
      <c r="M5413">
        <v>11</v>
      </c>
      <c r="N5413" t="s">
        <v>10</v>
      </c>
      <c r="O5413" t="s">
        <v>11</v>
      </c>
      <c r="P5413" t="s">
        <v>12</v>
      </c>
      <c r="Q5413" t="s">
        <v>13</v>
      </c>
      <c r="R5413" t="s">
        <v>13</v>
      </c>
      <c r="S5413" t="s">
        <v>144</v>
      </c>
      <c r="T5413" s="2">
        <f>MASTER[[#This Row],[CANTIDAD]]*MASTER[[#This Row],[PRECIO DE VENTA]]</f>
        <v>1660</v>
      </c>
      <c r="U5413" s="2">
        <f>MASTER[[#This Row],[CANTIDAD]]*MASTER[[#This Row],[COSTO UNITARIO]]</f>
        <v>420</v>
      </c>
      <c r="V5413" s="2">
        <f>MASTER[[#This Row],[MONTO VENDIDO]]-MASTER[[#This Row],[COSTO DE VENTA]]</f>
        <v>1240</v>
      </c>
    </row>
    <row r="5414" spans="1:22" x14ac:dyDescent="0.3">
      <c r="A5414">
        <v>76801</v>
      </c>
      <c r="B5414">
        <v>1</v>
      </c>
      <c r="C5414" t="s">
        <v>99</v>
      </c>
      <c r="D5414" t="s">
        <v>100</v>
      </c>
      <c r="E5414" s="1">
        <v>44421</v>
      </c>
      <c r="F5414">
        <v>1</v>
      </c>
      <c r="G5414" t="s">
        <v>61</v>
      </c>
      <c r="H5414" t="s">
        <v>62</v>
      </c>
      <c r="I5414" s="3">
        <v>1328</v>
      </c>
      <c r="J5414" s="3">
        <v>1328</v>
      </c>
      <c r="K5414" s="3">
        <v>386</v>
      </c>
      <c r="L5414" t="s">
        <v>98</v>
      </c>
      <c r="M5414">
        <v>16</v>
      </c>
      <c r="N5414" t="s">
        <v>17</v>
      </c>
      <c r="O5414" t="s">
        <v>11</v>
      </c>
      <c r="P5414" t="s">
        <v>18</v>
      </c>
      <c r="Q5414" t="s">
        <v>19</v>
      </c>
      <c r="R5414" t="s">
        <v>138</v>
      </c>
      <c r="S5414" t="s">
        <v>144</v>
      </c>
      <c r="T5414" s="2">
        <f>MASTER[[#This Row],[CANTIDAD]]*MASTER[[#This Row],[PRECIO DE VENTA]]</f>
        <v>1328</v>
      </c>
      <c r="U5414" s="2">
        <f>MASTER[[#This Row],[CANTIDAD]]*MASTER[[#This Row],[COSTO UNITARIO]]</f>
        <v>386</v>
      </c>
      <c r="V5414" s="2">
        <f>MASTER[[#This Row],[MONTO VENDIDO]]-MASTER[[#This Row],[COSTO DE VENTA]]</f>
        <v>942</v>
      </c>
    </row>
    <row r="5415" spans="1:22" x14ac:dyDescent="0.3">
      <c r="A5415">
        <v>76805</v>
      </c>
      <c r="B5415">
        <v>1</v>
      </c>
      <c r="C5415" t="s">
        <v>99</v>
      </c>
      <c r="D5415" t="s">
        <v>100</v>
      </c>
      <c r="E5415" s="1">
        <v>44421</v>
      </c>
      <c r="F5415">
        <v>1</v>
      </c>
      <c r="G5415" t="s">
        <v>73</v>
      </c>
      <c r="H5415" t="s">
        <v>74</v>
      </c>
      <c r="I5415" s="3">
        <v>1459</v>
      </c>
      <c r="J5415" s="3">
        <v>1459</v>
      </c>
      <c r="K5415" s="3">
        <v>386</v>
      </c>
      <c r="L5415" t="s">
        <v>98</v>
      </c>
      <c r="M5415">
        <v>5</v>
      </c>
      <c r="N5415" t="s">
        <v>85</v>
      </c>
      <c r="O5415" t="s">
        <v>81</v>
      </c>
      <c r="P5415" t="s">
        <v>12</v>
      </c>
      <c r="Q5415" t="s">
        <v>13</v>
      </c>
      <c r="R5415" t="s">
        <v>13</v>
      </c>
      <c r="S5415" t="s">
        <v>144</v>
      </c>
      <c r="T5415" s="2">
        <f>MASTER[[#This Row],[CANTIDAD]]*MASTER[[#This Row],[PRECIO DE VENTA]]</f>
        <v>1459</v>
      </c>
      <c r="U5415" s="2">
        <f>MASTER[[#This Row],[CANTIDAD]]*MASTER[[#This Row],[COSTO UNITARIO]]</f>
        <v>386</v>
      </c>
      <c r="V5415" s="2">
        <f>MASTER[[#This Row],[MONTO VENDIDO]]-MASTER[[#This Row],[COSTO DE VENTA]]</f>
        <v>1073</v>
      </c>
    </row>
    <row r="5416" spans="1:22" x14ac:dyDescent="0.3">
      <c r="A5416">
        <v>76827</v>
      </c>
      <c r="B5416">
        <v>1</v>
      </c>
      <c r="C5416" t="s">
        <v>118</v>
      </c>
      <c r="D5416" t="s">
        <v>119</v>
      </c>
      <c r="E5416" s="1">
        <v>44421</v>
      </c>
      <c r="F5416">
        <v>1</v>
      </c>
      <c r="G5416" t="s">
        <v>41</v>
      </c>
      <c r="H5416" t="s">
        <v>42</v>
      </c>
      <c r="I5416" s="3">
        <v>1026</v>
      </c>
      <c r="J5416" s="3">
        <v>1026</v>
      </c>
      <c r="K5416" s="3">
        <v>424</v>
      </c>
      <c r="L5416" t="s">
        <v>120</v>
      </c>
      <c r="M5416">
        <v>1</v>
      </c>
      <c r="N5416" t="s">
        <v>77</v>
      </c>
      <c r="O5416" t="s">
        <v>70</v>
      </c>
      <c r="P5416" t="s">
        <v>71</v>
      </c>
      <c r="Q5416" t="s">
        <v>72</v>
      </c>
      <c r="R5416" t="s">
        <v>139</v>
      </c>
      <c r="S5416" t="s">
        <v>144</v>
      </c>
      <c r="T5416" s="2">
        <f>MASTER[[#This Row],[CANTIDAD]]*MASTER[[#This Row],[PRECIO DE VENTA]]</f>
        <v>1026</v>
      </c>
      <c r="U5416" s="2">
        <f>MASTER[[#This Row],[CANTIDAD]]*MASTER[[#This Row],[COSTO UNITARIO]]</f>
        <v>424</v>
      </c>
      <c r="V5416" s="2">
        <f>MASTER[[#This Row],[MONTO VENDIDO]]-MASTER[[#This Row],[COSTO DE VENTA]]</f>
        <v>602</v>
      </c>
    </row>
    <row r="5417" spans="1:22" x14ac:dyDescent="0.3">
      <c r="A5417">
        <v>76844</v>
      </c>
      <c r="B5417">
        <v>1</v>
      </c>
      <c r="C5417" t="s">
        <v>121</v>
      </c>
      <c r="D5417" t="s">
        <v>122</v>
      </c>
      <c r="E5417" s="1">
        <v>44421</v>
      </c>
      <c r="F5417">
        <v>1</v>
      </c>
      <c r="G5417" t="s">
        <v>63</v>
      </c>
      <c r="H5417" t="s">
        <v>64</v>
      </c>
      <c r="I5417" s="3">
        <v>1069</v>
      </c>
      <c r="J5417" s="3">
        <v>1069</v>
      </c>
      <c r="K5417" s="3">
        <v>460</v>
      </c>
      <c r="L5417" t="s">
        <v>120</v>
      </c>
      <c r="M5417">
        <v>19</v>
      </c>
      <c r="N5417" t="s">
        <v>89</v>
      </c>
      <c r="O5417" t="s">
        <v>81</v>
      </c>
      <c r="P5417" t="s">
        <v>15</v>
      </c>
      <c r="Q5417" t="s">
        <v>16</v>
      </c>
      <c r="R5417" t="s">
        <v>16</v>
      </c>
      <c r="S5417" t="s">
        <v>144</v>
      </c>
      <c r="T5417" s="2">
        <f>MASTER[[#This Row],[CANTIDAD]]*MASTER[[#This Row],[PRECIO DE VENTA]]</f>
        <v>1069</v>
      </c>
      <c r="U5417" s="2">
        <f>MASTER[[#This Row],[CANTIDAD]]*MASTER[[#This Row],[COSTO UNITARIO]]</f>
        <v>460</v>
      </c>
      <c r="V5417" s="2">
        <f>MASTER[[#This Row],[MONTO VENDIDO]]-MASTER[[#This Row],[COSTO DE VENTA]]</f>
        <v>609</v>
      </c>
    </row>
    <row r="5418" spans="1:22" x14ac:dyDescent="0.3">
      <c r="A5418">
        <v>76898</v>
      </c>
      <c r="B5418">
        <v>1</v>
      </c>
      <c r="C5418" t="s">
        <v>107</v>
      </c>
      <c r="D5418" t="s">
        <v>108</v>
      </c>
      <c r="E5418" s="1">
        <v>44421</v>
      </c>
      <c r="F5418">
        <v>1</v>
      </c>
      <c r="G5418" t="s">
        <v>33</v>
      </c>
      <c r="H5418" t="s">
        <v>34</v>
      </c>
      <c r="I5418" s="3">
        <v>1440</v>
      </c>
      <c r="J5418" s="3">
        <v>1440</v>
      </c>
      <c r="K5418" s="3">
        <v>380</v>
      </c>
      <c r="L5418" t="s">
        <v>98</v>
      </c>
      <c r="M5418">
        <v>18</v>
      </c>
      <c r="N5418" t="s">
        <v>79</v>
      </c>
      <c r="O5418" t="s">
        <v>70</v>
      </c>
      <c r="P5418" t="s">
        <v>15</v>
      </c>
      <c r="Q5418" t="s">
        <v>16</v>
      </c>
      <c r="R5418" t="s">
        <v>16</v>
      </c>
      <c r="S5418" t="s">
        <v>144</v>
      </c>
      <c r="T5418" s="2">
        <f>MASTER[[#This Row],[CANTIDAD]]*MASTER[[#This Row],[PRECIO DE VENTA]]</f>
        <v>1440</v>
      </c>
      <c r="U5418" s="2">
        <f>MASTER[[#This Row],[CANTIDAD]]*MASTER[[#This Row],[COSTO UNITARIO]]</f>
        <v>380</v>
      </c>
      <c r="V5418" s="2">
        <f>MASTER[[#This Row],[MONTO VENDIDO]]-MASTER[[#This Row],[COSTO DE VENTA]]</f>
        <v>1060</v>
      </c>
    </row>
    <row r="5419" spans="1:22" x14ac:dyDescent="0.3">
      <c r="A5419">
        <v>76902</v>
      </c>
      <c r="B5419">
        <v>1</v>
      </c>
      <c r="C5419" t="s">
        <v>96</v>
      </c>
      <c r="D5419" t="s">
        <v>97</v>
      </c>
      <c r="E5419" s="1">
        <v>44421</v>
      </c>
      <c r="F5419">
        <v>1</v>
      </c>
      <c r="G5419" t="s">
        <v>73</v>
      </c>
      <c r="H5419" t="s">
        <v>74</v>
      </c>
      <c r="I5419" s="3">
        <v>1272</v>
      </c>
      <c r="J5419" s="3">
        <v>1272</v>
      </c>
      <c r="K5419" s="3">
        <v>397</v>
      </c>
      <c r="L5419" t="s">
        <v>98</v>
      </c>
      <c r="M5419">
        <v>4</v>
      </c>
      <c r="N5419" t="s">
        <v>82</v>
      </c>
      <c r="O5419" t="s">
        <v>81</v>
      </c>
      <c r="P5419" t="s">
        <v>71</v>
      </c>
      <c r="Q5419" t="s">
        <v>72</v>
      </c>
      <c r="R5419" t="s">
        <v>139</v>
      </c>
      <c r="S5419" t="s">
        <v>144</v>
      </c>
      <c r="T5419" s="2">
        <f>MASTER[[#This Row],[CANTIDAD]]*MASTER[[#This Row],[PRECIO DE VENTA]]</f>
        <v>1272</v>
      </c>
      <c r="U5419" s="2">
        <f>MASTER[[#This Row],[CANTIDAD]]*MASTER[[#This Row],[COSTO UNITARIO]]</f>
        <v>397</v>
      </c>
      <c r="V5419" s="2">
        <f>MASTER[[#This Row],[MONTO VENDIDO]]-MASTER[[#This Row],[COSTO DE VENTA]]</f>
        <v>875</v>
      </c>
    </row>
    <row r="5420" spans="1:22" x14ac:dyDescent="0.3">
      <c r="A5420">
        <v>76905</v>
      </c>
      <c r="B5420">
        <v>1</v>
      </c>
      <c r="C5420" t="s">
        <v>103</v>
      </c>
      <c r="D5420" t="s">
        <v>104</v>
      </c>
      <c r="E5420" s="1">
        <v>44421</v>
      </c>
      <c r="F5420">
        <v>1</v>
      </c>
      <c r="G5420" t="s">
        <v>73</v>
      </c>
      <c r="H5420" t="s">
        <v>74</v>
      </c>
      <c r="I5420" s="3">
        <v>1830</v>
      </c>
      <c r="J5420" s="3">
        <v>1830</v>
      </c>
      <c r="K5420" s="3">
        <v>421</v>
      </c>
      <c r="L5420" t="s">
        <v>98</v>
      </c>
      <c r="M5420">
        <v>13</v>
      </c>
      <c r="N5420" t="s">
        <v>78</v>
      </c>
      <c r="O5420" t="s">
        <v>70</v>
      </c>
      <c r="P5420" t="s">
        <v>18</v>
      </c>
      <c r="Q5420" t="s">
        <v>19</v>
      </c>
      <c r="R5420" t="s">
        <v>138</v>
      </c>
      <c r="S5420" t="s">
        <v>144</v>
      </c>
      <c r="T5420" s="2">
        <f>MASTER[[#This Row],[CANTIDAD]]*MASTER[[#This Row],[PRECIO DE VENTA]]</f>
        <v>1830</v>
      </c>
      <c r="U5420" s="2">
        <f>MASTER[[#This Row],[CANTIDAD]]*MASTER[[#This Row],[COSTO UNITARIO]]</f>
        <v>421</v>
      </c>
      <c r="V5420" s="2">
        <f>MASTER[[#This Row],[MONTO VENDIDO]]-MASTER[[#This Row],[COSTO DE VENTA]]</f>
        <v>1409</v>
      </c>
    </row>
    <row r="5421" spans="1:22" x14ac:dyDescent="0.3">
      <c r="A5421">
        <v>76918</v>
      </c>
      <c r="B5421">
        <v>1</v>
      </c>
      <c r="C5421" t="s">
        <v>92</v>
      </c>
      <c r="D5421" t="s">
        <v>93</v>
      </c>
      <c r="E5421" s="1">
        <v>44421</v>
      </c>
      <c r="F5421">
        <v>3</v>
      </c>
      <c r="G5421" t="s">
        <v>43</v>
      </c>
      <c r="H5421" t="s">
        <v>44</v>
      </c>
      <c r="I5421" s="3">
        <v>1681</v>
      </c>
      <c r="J5421" s="3">
        <v>1681</v>
      </c>
      <c r="K5421" s="3">
        <v>396</v>
      </c>
      <c r="L5421" t="s">
        <v>9</v>
      </c>
      <c r="M5421">
        <v>10</v>
      </c>
      <c r="N5421" t="s">
        <v>83</v>
      </c>
      <c r="O5421" t="s">
        <v>81</v>
      </c>
      <c r="P5421" t="s">
        <v>12</v>
      </c>
      <c r="Q5421" t="s">
        <v>13</v>
      </c>
      <c r="R5421" t="s">
        <v>13</v>
      </c>
      <c r="S5421" t="s">
        <v>144</v>
      </c>
      <c r="T5421" s="2">
        <f>MASTER[[#This Row],[CANTIDAD]]*MASTER[[#This Row],[PRECIO DE VENTA]]</f>
        <v>5043</v>
      </c>
      <c r="U5421" s="2">
        <f>MASTER[[#This Row],[CANTIDAD]]*MASTER[[#This Row],[COSTO UNITARIO]]</f>
        <v>1188</v>
      </c>
      <c r="V5421" s="2">
        <f>MASTER[[#This Row],[MONTO VENDIDO]]-MASTER[[#This Row],[COSTO DE VENTA]]</f>
        <v>3855</v>
      </c>
    </row>
    <row r="5422" spans="1:22" x14ac:dyDescent="0.3">
      <c r="A5422">
        <v>76925</v>
      </c>
      <c r="B5422">
        <v>1</v>
      </c>
      <c r="C5422" t="s">
        <v>5</v>
      </c>
      <c r="D5422" t="s">
        <v>6</v>
      </c>
      <c r="E5422" s="1">
        <v>44422</v>
      </c>
      <c r="F5422">
        <v>1</v>
      </c>
      <c r="G5422" t="s">
        <v>39</v>
      </c>
      <c r="H5422" t="s">
        <v>40</v>
      </c>
      <c r="I5422" s="3">
        <v>1296</v>
      </c>
      <c r="J5422" s="3">
        <v>1296</v>
      </c>
      <c r="K5422" s="3">
        <v>393</v>
      </c>
      <c r="L5422" t="s">
        <v>9</v>
      </c>
      <c r="M5422">
        <v>1</v>
      </c>
      <c r="N5422" t="s">
        <v>77</v>
      </c>
      <c r="O5422" t="s">
        <v>70</v>
      </c>
      <c r="P5422" t="s">
        <v>71</v>
      </c>
      <c r="Q5422" t="s">
        <v>72</v>
      </c>
      <c r="R5422" t="s">
        <v>139</v>
      </c>
      <c r="S5422" t="s">
        <v>144</v>
      </c>
      <c r="T5422" s="2">
        <f>MASTER[[#This Row],[CANTIDAD]]*MASTER[[#This Row],[PRECIO DE VENTA]]</f>
        <v>1296</v>
      </c>
      <c r="U5422" s="2">
        <f>MASTER[[#This Row],[CANTIDAD]]*MASTER[[#This Row],[COSTO UNITARIO]]</f>
        <v>393</v>
      </c>
      <c r="V5422" s="2">
        <f>MASTER[[#This Row],[MONTO VENDIDO]]-MASTER[[#This Row],[COSTO DE VENTA]]</f>
        <v>903</v>
      </c>
    </row>
    <row r="5423" spans="1:22" x14ac:dyDescent="0.3">
      <c r="A5423">
        <v>76935</v>
      </c>
      <c r="B5423">
        <v>1</v>
      </c>
      <c r="C5423" t="s">
        <v>114</v>
      </c>
      <c r="D5423" t="s">
        <v>115</v>
      </c>
      <c r="E5423" s="1">
        <v>44422</v>
      </c>
      <c r="F5423">
        <v>1</v>
      </c>
      <c r="G5423" t="s">
        <v>67</v>
      </c>
      <c r="H5423" t="s">
        <v>68</v>
      </c>
      <c r="I5423" s="3">
        <v>1862</v>
      </c>
      <c r="J5423" s="3">
        <v>1862</v>
      </c>
      <c r="K5423" s="3">
        <v>394</v>
      </c>
      <c r="L5423" t="s">
        <v>113</v>
      </c>
      <c r="M5423">
        <v>8</v>
      </c>
      <c r="N5423" t="s">
        <v>80</v>
      </c>
      <c r="O5423" t="s">
        <v>81</v>
      </c>
      <c r="P5423" t="s">
        <v>12</v>
      </c>
      <c r="Q5423" t="s">
        <v>13</v>
      </c>
      <c r="R5423" t="s">
        <v>13</v>
      </c>
      <c r="S5423" t="s">
        <v>144</v>
      </c>
      <c r="T5423" s="2">
        <f>MASTER[[#This Row],[CANTIDAD]]*MASTER[[#This Row],[PRECIO DE VENTA]]</f>
        <v>1862</v>
      </c>
      <c r="U5423" s="2">
        <f>MASTER[[#This Row],[CANTIDAD]]*MASTER[[#This Row],[COSTO UNITARIO]]</f>
        <v>394</v>
      </c>
      <c r="V5423" s="2">
        <f>MASTER[[#This Row],[MONTO VENDIDO]]-MASTER[[#This Row],[COSTO DE VENTA]]</f>
        <v>1468</v>
      </c>
    </row>
    <row r="5424" spans="1:22" x14ac:dyDescent="0.3">
      <c r="A5424">
        <v>76941</v>
      </c>
      <c r="B5424">
        <v>1</v>
      </c>
      <c r="C5424" t="s">
        <v>109</v>
      </c>
      <c r="D5424" t="s">
        <v>110</v>
      </c>
      <c r="E5424" s="1">
        <v>44422</v>
      </c>
      <c r="F5424">
        <v>1</v>
      </c>
      <c r="G5424" t="s">
        <v>29</v>
      </c>
      <c r="H5424" t="s">
        <v>30</v>
      </c>
      <c r="I5424" s="3">
        <v>1064</v>
      </c>
      <c r="J5424" s="3">
        <v>978</v>
      </c>
      <c r="K5424" s="3">
        <v>387</v>
      </c>
      <c r="L5424" t="s">
        <v>98</v>
      </c>
      <c r="M5424">
        <v>15</v>
      </c>
      <c r="N5424" t="s">
        <v>88</v>
      </c>
      <c r="O5424" t="s">
        <v>81</v>
      </c>
      <c r="P5424" t="s">
        <v>18</v>
      </c>
      <c r="Q5424" t="s">
        <v>19</v>
      </c>
      <c r="R5424" t="s">
        <v>138</v>
      </c>
      <c r="S5424" t="s">
        <v>144</v>
      </c>
      <c r="T5424" s="2">
        <f>MASTER[[#This Row],[CANTIDAD]]*MASTER[[#This Row],[PRECIO DE VENTA]]</f>
        <v>978</v>
      </c>
      <c r="U5424" s="2">
        <f>MASTER[[#This Row],[CANTIDAD]]*MASTER[[#This Row],[COSTO UNITARIO]]</f>
        <v>387</v>
      </c>
      <c r="V5424" s="2">
        <f>MASTER[[#This Row],[MONTO VENDIDO]]-MASTER[[#This Row],[COSTO DE VENTA]]</f>
        <v>591</v>
      </c>
    </row>
    <row r="5425" spans="1:22" x14ac:dyDescent="0.3">
      <c r="A5425">
        <v>76943</v>
      </c>
      <c r="B5425">
        <v>1</v>
      </c>
      <c r="C5425" t="s">
        <v>105</v>
      </c>
      <c r="D5425" t="s">
        <v>106</v>
      </c>
      <c r="E5425" s="1">
        <v>44422</v>
      </c>
      <c r="F5425">
        <v>1</v>
      </c>
      <c r="G5425" t="s">
        <v>57</v>
      </c>
      <c r="H5425" t="s">
        <v>58</v>
      </c>
      <c r="I5425" s="3">
        <v>2033</v>
      </c>
      <c r="J5425" s="3">
        <v>2033</v>
      </c>
      <c r="K5425" s="3">
        <v>459</v>
      </c>
      <c r="L5425" t="s">
        <v>98</v>
      </c>
      <c r="M5425">
        <v>13</v>
      </c>
      <c r="N5425" t="s">
        <v>78</v>
      </c>
      <c r="O5425" t="s">
        <v>70</v>
      </c>
      <c r="P5425" t="s">
        <v>18</v>
      </c>
      <c r="Q5425" t="s">
        <v>19</v>
      </c>
      <c r="R5425" t="s">
        <v>138</v>
      </c>
      <c r="S5425" t="s">
        <v>144</v>
      </c>
      <c r="T5425" s="2">
        <f>MASTER[[#This Row],[CANTIDAD]]*MASTER[[#This Row],[PRECIO DE VENTA]]</f>
        <v>2033</v>
      </c>
      <c r="U5425" s="2">
        <f>MASTER[[#This Row],[CANTIDAD]]*MASTER[[#This Row],[COSTO UNITARIO]]</f>
        <v>459</v>
      </c>
      <c r="V5425" s="2">
        <f>MASTER[[#This Row],[MONTO VENDIDO]]-MASTER[[#This Row],[COSTO DE VENTA]]</f>
        <v>1574</v>
      </c>
    </row>
    <row r="5426" spans="1:22" x14ac:dyDescent="0.3">
      <c r="A5426">
        <v>76975</v>
      </c>
      <c r="B5426">
        <v>1</v>
      </c>
      <c r="C5426" t="s">
        <v>101</v>
      </c>
      <c r="D5426" t="s">
        <v>102</v>
      </c>
      <c r="E5426" s="1">
        <v>44422</v>
      </c>
      <c r="F5426">
        <v>4</v>
      </c>
      <c r="G5426" t="s">
        <v>65</v>
      </c>
      <c r="H5426" t="s">
        <v>66</v>
      </c>
      <c r="I5426" s="3">
        <v>1357</v>
      </c>
      <c r="J5426" s="3">
        <v>1357</v>
      </c>
      <c r="K5426" s="3">
        <v>442</v>
      </c>
      <c r="L5426" t="s">
        <v>98</v>
      </c>
      <c r="M5426">
        <v>18</v>
      </c>
      <c r="N5426" t="s">
        <v>79</v>
      </c>
      <c r="O5426" t="s">
        <v>70</v>
      </c>
      <c r="P5426" t="s">
        <v>15</v>
      </c>
      <c r="Q5426" t="s">
        <v>16</v>
      </c>
      <c r="R5426" t="s">
        <v>16</v>
      </c>
      <c r="S5426" t="s">
        <v>144</v>
      </c>
      <c r="T5426" s="2">
        <f>MASTER[[#This Row],[CANTIDAD]]*MASTER[[#This Row],[PRECIO DE VENTA]]</f>
        <v>5428</v>
      </c>
      <c r="U5426" s="2">
        <f>MASTER[[#This Row],[CANTIDAD]]*MASTER[[#This Row],[COSTO UNITARIO]]</f>
        <v>1768</v>
      </c>
      <c r="V5426" s="2">
        <f>MASTER[[#This Row],[MONTO VENDIDO]]-MASTER[[#This Row],[COSTO DE VENTA]]</f>
        <v>3660</v>
      </c>
    </row>
    <row r="5427" spans="1:22" x14ac:dyDescent="0.3">
      <c r="A5427">
        <v>76994</v>
      </c>
      <c r="B5427">
        <v>1</v>
      </c>
      <c r="C5427" t="s">
        <v>101</v>
      </c>
      <c r="D5427" t="s">
        <v>102</v>
      </c>
      <c r="E5427" s="1">
        <v>44422</v>
      </c>
      <c r="F5427">
        <v>2</v>
      </c>
      <c r="G5427" t="s">
        <v>7</v>
      </c>
      <c r="H5427" t="s">
        <v>8</v>
      </c>
      <c r="I5427" s="3">
        <v>1212</v>
      </c>
      <c r="J5427" s="3">
        <v>1212</v>
      </c>
      <c r="K5427" s="3">
        <v>442</v>
      </c>
      <c r="L5427" t="s">
        <v>98</v>
      </c>
      <c r="M5427">
        <v>15</v>
      </c>
      <c r="N5427" t="s">
        <v>88</v>
      </c>
      <c r="O5427" t="s">
        <v>81</v>
      </c>
      <c r="P5427" t="s">
        <v>18</v>
      </c>
      <c r="Q5427" t="s">
        <v>19</v>
      </c>
      <c r="R5427" t="s">
        <v>138</v>
      </c>
      <c r="S5427" t="s">
        <v>144</v>
      </c>
      <c r="T5427" s="2">
        <f>MASTER[[#This Row],[CANTIDAD]]*MASTER[[#This Row],[PRECIO DE VENTA]]</f>
        <v>2424</v>
      </c>
      <c r="U5427" s="2">
        <f>MASTER[[#This Row],[CANTIDAD]]*MASTER[[#This Row],[COSTO UNITARIO]]</f>
        <v>884</v>
      </c>
      <c r="V5427" s="2">
        <f>MASTER[[#This Row],[MONTO VENDIDO]]-MASTER[[#This Row],[COSTO DE VENTA]]</f>
        <v>1540</v>
      </c>
    </row>
    <row r="5428" spans="1:22" x14ac:dyDescent="0.3">
      <c r="A5428">
        <v>77009</v>
      </c>
      <c r="B5428">
        <v>1</v>
      </c>
      <c r="C5428" t="s">
        <v>109</v>
      </c>
      <c r="D5428" t="s">
        <v>110</v>
      </c>
      <c r="E5428" s="1">
        <v>44422</v>
      </c>
      <c r="F5428">
        <v>1</v>
      </c>
      <c r="G5428" t="s">
        <v>29</v>
      </c>
      <c r="H5428" t="s">
        <v>30</v>
      </c>
      <c r="I5428" s="3">
        <v>1064</v>
      </c>
      <c r="J5428" s="3">
        <v>968</v>
      </c>
      <c r="K5428" s="3">
        <v>387</v>
      </c>
      <c r="L5428" t="s">
        <v>98</v>
      </c>
      <c r="M5428">
        <v>15</v>
      </c>
      <c r="N5428" t="s">
        <v>88</v>
      </c>
      <c r="O5428" t="s">
        <v>81</v>
      </c>
      <c r="P5428" t="s">
        <v>18</v>
      </c>
      <c r="Q5428" t="s">
        <v>19</v>
      </c>
      <c r="R5428" t="s">
        <v>138</v>
      </c>
      <c r="S5428" t="s">
        <v>144</v>
      </c>
      <c r="T5428" s="2">
        <f>MASTER[[#This Row],[CANTIDAD]]*MASTER[[#This Row],[PRECIO DE VENTA]]</f>
        <v>968</v>
      </c>
      <c r="U5428" s="2">
        <f>MASTER[[#This Row],[CANTIDAD]]*MASTER[[#This Row],[COSTO UNITARIO]]</f>
        <v>387</v>
      </c>
      <c r="V5428" s="2">
        <f>MASTER[[#This Row],[MONTO VENDIDO]]-MASTER[[#This Row],[COSTO DE VENTA]]</f>
        <v>581</v>
      </c>
    </row>
    <row r="5429" spans="1:22" x14ac:dyDescent="0.3">
      <c r="A5429">
        <v>77017</v>
      </c>
      <c r="B5429">
        <v>1</v>
      </c>
      <c r="C5429" t="s">
        <v>103</v>
      </c>
      <c r="D5429" t="s">
        <v>104</v>
      </c>
      <c r="E5429" s="1">
        <v>44422</v>
      </c>
      <c r="F5429">
        <v>1</v>
      </c>
      <c r="G5429" t="s">
        <v>29</v>
      </c>
      <c r="H5429" t="s">
        <v>30</v>
      </c>
      <c r="I5429" s="3">
        <v>1448</v>
      </c>
      <c r="J5429" s="3">
        <v>1448</v>
      </c>
      <c r="K5429" s="3">
        <v>421</v>
      </c>
      <c r="L5429" t="s">
        <v>98</v>
      </c>
      <c r="M5429">
        <v>11</v>
      </c>
      <c r="N5429" t="s">
        <v>10</v>
      </c>
      <c r="O5429" t="s">
        <v>11</v>
      </c>
      <c r="P5429" t="s">
        <v>12</v>
      </c>
      <c r="Q5429" t="s">
        <v>13</v>
      </c>
      <c r="R5429" t="s">
        <v>13</v>
      </c>
      <c r="S5429" t="s">
        <v>144</v>
      </c>
      <c r="T5429" s="2">
        <f>MASTER[[#This Row],[CANTIDAD]]*MASTER[[#This Row],[PRECIO DE VENTA]]</f>
        <v>1448</v>
      </c>
      <c r="U5429" s="2">
        <f>MASTER[[#This Row],[CANTIDAD]]*MASTER[[#This Row],[COSTO UNITARIO]]</f>
        <v>421</v>
      </c>
      <c r="V5429" s="2">
        <f>MASTER[[#This Row],[MONTO VENDIDO]]-MASTER[[#This Row],[COSTO DE VENTA]]</f>
        <v>1027</v>
      </c>
    </row>
    <row r="5430" spans="1:22" x14ac:dyDescent="0.3">
      <c r="A5430">
        <v>77034</v>
      </c>
      <c r="B5430">
        <v>1</v>
      </c>
      <c r="C5430" t="s">
        <v>5</v>
      </c>
      <c r="D5430" t="s">
        <v>6</v>
      </c>
      <c r="E5430" s="1">
        <v>44422</v>
      </c>
      <c r="F5430">
        <v>1</v>
      </c>
      <c r="G5430" t="s">
        <v>49</v>
      </c>
      <c r="H5430" t="s">
        <v>50</v>
      </c>
      <c r="I5430" s="3">
        <v>1296</v>
      </c>
      <c r="J5430" s="3">
        <v>1296</v>
      </c>
      <c r="K5430" s="3">
        <v>393</v>
      </c>
      <c r="L5430" t="s">
        <v>9</v>
      </c>
      <c r="M5430">
        <v>13</v>
      </c>
      <c r="N5430" t="s">
        <v>78</v>
      </c>
      <c r="O5430" t="s">
        <v>70</v>
      </c>
      <c r="P5430" t="s">
        <v>18</v>
      </c>
      <c r="Q5430" t="s">
        <v>19</v>
      </c>
      <c r="R5430" t="s">
        <v>138</v>
      </c>
      <c r="S5430" t="s">
        <v>144</v>
      </c>
      <c r="T5430" s="2">
        <f>MASTER[[#This Row],[CANTIDAD]]*MASTER[[#This Row],[PRECIO DE VENTA]]</f>
        <v>1296</v>
      </c>
      <c r="U5430" s="2">
        <f>MASTER[[#This Row],[CANTIDAD]]*MASTER[[#This Row],[COSTO UNITARIO]]</f>
        <v>393</v>
      </c>
      <c r="V5430" s="2">
        <f>MASTER[[#This Row],[MONTO VENDIDO]]-MASTER[[#This Row],[COSTO DE VENTA]]</f>
        <v>903</v>
      </c>
    </row>
    <row r="5431" spans="1:22" x14ac:dyDescent="0.3">
      <c r="A5431">
        <v>77061</v>
      </c>
      <c r="B5431">
        <v>1</v>
      </c>
      <c r="C5431" t="s">
        <v>5</v>
      </c>
      <c r="D5431" t="s">
        <v>6</v>
      </c>
      <c r="E5431" s="1">
        <v>44423</v>
      </c>
      <c r="F5431">
        <v>1</v>
      </c>
      <c r="G5431" t="s">
        <v>35</v>
      </c>
      <c r="H5431" t="s">
        <v>36</v>
      </c>
      <c r="I5431" s="3">
        <v>1507</v>
      </c>
      <c r="J5431" s="3">
        <v>1507</v>
      </c>
      <c r="K5431" s="3">
        <v>393</v>
      </c>
      <c r="L5431" t="s">
        <v>9</v>
      </c>
      <c r="M5431">
        <v>15</v>
      </c>
      <c r="N5431" t="s">
        <v>88</v>
      </c>
      <c r="O5431" t="s">
        <v>81</v>
      </c>
      <c r="P5431" t="s">
        <v>18</v>
      </c>
      <c r="Q5431" t="s">
        <v>19</v>
      </c>
      <c r="R5431" t="s">
        <v>138</v>
      </c>
      <c r="S5431" t="s">
        <v>144</v>
      </c>
      <c r="T5431" s="2">
        <f>MASTER[[#This Row],[CANTIDAD]]*MASTER[[#This Row],[PRECIO DE VENTA]]</f>
        <v>1507</v>
      </c>
      <c r="U5431" s="2">
        <f>MASTER[[#This Row],[CANTIDAD]]*MASTER[[#This Row],[COSTO UNITARIO]]</f>
        <v>393</v>
      </c>
      <c r="V5431" s="2">
        <f>MASTER[[#This Row],[MONTO VENDIDO]]-MASTER[[#This Row],[COSTO DE VENTA]]</f>
        <v>1114</v>
      </c>
    </row>
    <row r="5432" spans="1:22" x14ac:dyDescent="0.3">
      <c r="A5432">
        <v>77099</v>
      </c>
      <c r="B5432">
        <v>1</v>
      </c>
      <c r="C5432" t="s">
        <v>111</v>
      </c>
      <c r="D5432" t="s">
        <v>112</v>
      </c>
      <c r="E5432" s="1">
        <v>44423</v>
      </c>
      <c r="F5432">
        <v>4</v>
      </c>
      <c r="G5432" t="s">
        <v>37</v>
      </c>
      <c r="H5432" t="s">
        <v>38</v>
      </c>
      <c r="I5432" s="3">
        <v>1621</v>
      </c>
      <c r="J5432" s="3">
        <v>1621</v>
      </c>
      <c r="K5432" s="3">
        <v>434</v>
      </c>
      <c r="L5432" t="s">
        <v>113</v>
      </c>
      <c r="M5432">
        <v>4</v>
      </c>
      <c r="N5432" t="s">
        <v>82</v>
      </c>
      <c r="O5432" t="s">
        <v>81</v>
      </c>
      <c r="P5432" t="s">
        <v>71</v>
      </c>
      <c r="Q5432" t="s">
        <v>72</v>
      </c>
      <c r="R5432" t="s">
        <v>139</v>
      </c>
      <c r="S5432" t="s">
        <v>144</v>
      </c>
      <c r="T5432" s="2">
        <f>MASTER[[#This Row],[CANTIDAD]]*MASTER[[#This Row],[PRECIO DE VENTA]]</f>
        <v>6484</v>
      </c>
      <c r="U5432" s="2">
        <f>MASTER[[#This Row],[CANTIDAD]]*MASTER[[#This Row],[COSTO UNITARIO]]</f>
        <v>1736</v>
      </c>
      <c r="V5432" s="2">
        <f>MASTER[[#This Row],[MONTO VENDIDO]]-MASTER[[#This Row],[COSTO DE VENTA]]</f>
        <v>4748</v>
      </c>
    </row>
    <row r="5433" spans="1:22" x14ac:dyDescent="0.3">
      <c r="A5433">
        <v>77107</v>
      </c>
      <c r="B5433">
        <v>1</v>
      </c>
      <c r="C5433" t="s">
        <v>5</v>
      </c>
      <c r="D5433" t="s">
        <v>6</v>
      </c>
      <c r="E5433" s="1">
        <v>44423</v>
      </c>
      <c r="F5433">
        <v>4</v>
      </c>
      <c r="G5433" t="s">
        <v>57</v>
      </c>
      <c r="H5433" t="s">
        <v>58</v>
      </c>
      <c r="I5433" s="3">
        <v>1311</v>
      </c>
      <c r="J5433" s="3">
        <v>1311</v>
      </c>
      <c r="K5433" s="3">
        <v>393</v>
      </c>
      <c r="L5433" t="s">
        <v>9</v>
      </c>
      <c r="M5433">
        <v>11</v>
      </c>
      <c r="N5433" t="s">
        <v>10</v>
      </c>
      <c r="O5433" t="s">
        <v>11</v>
      </c>
      <c r="P5433" t="s">
        <v>12</v>
      </c>
      <c r="Q5433" t="s">
        <v>13</v>
      </c>
      <c r="R5433" t="s">
        <v>13</v>
      </c>
      <c r="S5433" t="s">
        <v>144</v>
      </c>
      <c r="T5433" s="2">
        <f>MASTER[[#This Row],[CANTIDAD]]*MASTER[[#This Row],[PRECIO DE VENTA]]</f>
        <v>5244</v>
      </c>
      <c r="U5433" s="2">
        <f>MASTER[[#This Row],[CANTIDAD]]*MASTER[[#This Row],[COSTO UNITARIO]]</f>
        <v>1572</v>
      </c>
      <c r="V5433" s="2">
        <f>MASTER[[#This Row],[MONTO VENDIDO]]-MASTER[[#This Row],[COSTO DE VENTA]]</f>
        <v>3672</v>
      </c>
    </row>
    <row r="5434" spans="1:22" x14ac:dyDescent="0.3">
      <c r="A5434">
        <v>77188</v>
      </c>
      <c r="B5434">
        <v>1</v>
      </c>
      <c r="C5434" t="s">
        <v>96</v>
      </c>
      <c r="D5434" t="s">
        <v>97</v>
      </c>
      <c r="E5434" s="1">
        <v>44423</v>
      </c>
      <c r="F5434">
        <v>4</v>
      </c>
      <c r="G5434" t="s">
        <v>35</v>
      </c>
      <c r="H5434" t="s">
        <v>36</v>
      </c>
      <c r="I5434" s="3">
        <v>1272</v>
      </c>
      <c r="J5434" s="3">
        <v>1272</v>
      </c>
      <c r="K5434" s="3">
        <v>397</v>
      </c>
      <c r="L5434" t="s">
        <v>98</v>
      </c>
      <c r="M5434">
        <v>10</v>
      </c>
      <c r="N5434" t="s">
        <v>83</v>
      </c>
      <c r="O5434" t="s">
        <v>81</v>
      </c>
      <c r="P5434" t="s">
        <v>12</v>
      </c>
      <c r="Q5434" t="s">
        <v>13</v>
      </c>
      <c r="R5434" t="s">
        <v>13</v>
      </c>
      <c r="S5434" t="s">
        <v>144</v>
      </c>
      <c r="T5434" s="2">
        <f>MASTER[[#This Row],[CANTIDAD]]*MASTER[[#This Row],[PRECIO DE VENTA]]</f>
        <v>5088</v>
      </c>
      <c r="U5434" s="2">
        <f>MASTER[[#This Row],[CANTIDAD]]*MASTER[[#This Row],[COSTO UNITARIO]]</f>
        <v>1588</v>
      </c>
      <c r="V5434" s="2">
        <f>MASTER[[#This Row],[MONTO VENDIDO]]-MASTER[[#This Row],[COSTO DE VENTA]]</f>
        <v>3500</v>
      </c>
    </row>
    <row r="5435" spans="1:22" x14ac:dyDescent="0.3">
      <c r="A5435">
        <v>77208</v>
      </c>
      <c r="B5435">
        <v>1</v>
      </c>
      <c r="C5435" t="s">
        <v>92</v>
      </c>
      <c r="D5435" t="s">
        <v>93</v>
      </c>
      <c r="E5435" s="1">
        <v>44423</v>
      </c>
      <c r="F5435">
        <v>1</v>
      </c>
      <c r="G5435" t="s">
        <v>31</v>
      </c>
      <c r="H5435" t="s">
        <v>32</v>
      </c>
      <c r="I5435" s="3">
        <v>1681</v>
      </c>
      <c r="J5435" s="3">
        <v>1681</v>
      </c>
      <c r="K5435" s="3">
        <v>396</v>
      </c>
      <c r="L5435" t="s">
        <v>9</v>
      </c>
      <c r="M5435">
        <v>4</v>
      </c>
      <c r="N5435" t="s">
        <v>82</v>
      </c>
      <c r="O5435" t="s">
        <v>81</v>
      </c>
      <c r="P5435" t="s">
        <v>71</v>
      </c>
      <c r="Q5435" t="s">
        <v>72</v>
      </c>
      <c r="R5435" t="s">
        <v>139</v>
      </c>
      <c r="S5435" t="s">
        <v>144</v>
      </c>
      <c r="T5435" s="2">
        <f>MASTER[[#This Row],[CANTIDAD]]*MASTER[[#This Row],[PRECIO DE VENTA]]</f>
        <v>1681</v>
      </c>
      <c r="U5435" s="2">
        <f>MASTER[[#This Row],[CANTIDAD]]*MASTER[[#This Row],[COSTO UNITARIO]]</f>
        <v>396</v>
      </c>
      <c r="V5435" s="2">
        <f>MASTER[[#This Row],[MONTO VENDIDO]]-MASTER[[#This Row],[COSTO DE VENTA]]</f>
        <v>1285</v>
      </c>
    </row>
    <row r="5436" spans="1:22" x14ac:dyDescent="0.3">
      <c r="A5436">
        <v>77217</v>
      </c>
      <c r="B5436">
        <v>1</v>
      </c>
      <c r="C5436" t="s">
        <v>111</v>
      </c>
      <c r="D5436" t="s">
        <v>112</v>
      </c>
      <c r="E5436" s="1">
        <v>44423</v>
      </c>
      <c r="F5436">
        <v>1</v>
      </c>
      <c r="G5436" t="s">
        <v>59</v>
      </c>
      <c r="H5436" t="s">
        <v>60</v>
      </c>
      <c r="I5436" s="3">
        <v>1799</v>
      </c>
      <c r="J5436" s="3">
        <v>1799</v>
      </c>
      <c r="K5436" s="3">
        <v>434</v>
      </c>
      <c r="L5436" t="s">
        <v>113</v>
      </c>
      <c r="M5436">
        <v>13</v>
      </c>
      <c r="N5436" t="s">
        <v>78</v>
      </c>
      <c r="O5436" t="s">
        <v>70</v>
      </c>
      <c r="P5436" t="s">
        <v>18</v>
      </c>
      <c r="Q5436" t="s">
        <v>19</v>
      </c>
      <c r="R5436" t="s">
        <v>138</v>
      </c>
      <c r="S5436" t="s">
        <v>144</v>
      </c>
      <c r="T5436" s="2">
        <f>MASTER[[#This Row],[CANTIDAD]]*MASTER[[#This Row],[PRECIO DE VENTA]]</f>
        <v>1799</v>
      </c>
      <c r="U5436" s="2">
        <f>MASTER[[#This Row],[CANTIDAD]]*MASTER[[#This Row],[COSTO UNITARIO]]</f>
        <v>434</v>
      </c>
      <c r="V5436" s="2">
        <f>MASTER[[#This Row],[MONTO VENDIDO]]-MASTER[[#This Row],[COSTO DE VENTA]]</f>
        <v>1365</v>
      </c>
    </row>
    <row r="5437" spans="1:22" x14ac:dyDescent="0.3">
      <c r="A5437">
        <v>77225</v>
      </c>
      <c r="B5437">
        <v>1</v>
      </c>
      <c r="C5437" t="s">
        <v>114</v>
      </c>
      <c r="D5437" t="s">
        <v>115</v>
      </c>
      <c r="E5437" s="1">
        <v>44424</v>
      </c>
      <c r="F5437">
        <v>1</v>
      </c>
      <c r="G5437" t="s">
        <v>22</v>
      </c>
      <c r="H5437" t="s">
        <v>23</v>
      </c>
      <c r="I5437" s="3">
        <v>1583</v>
      </c>
      <c r="J5437" s="3">
        <v>1583</v>
      </c>
      <c r="K5437" s="3">
        <v>394</v>
      </c>
      <c r="L5437" t="s">
        <v>113</v>
      </c>
      <c r="M5437">
        <v>16</v>
      </c>
      <c r="N5437" t="s">
        <v>17</v>
      </c>
      <c r="O5437" t="s">
        <v>11</v>
      </c>
      <c r="P5437" t="s">
        <v>18</v>
      </c>
      <c r="Q5437" t="s">
        <v>19</v>
      </c>
      <c r="R5437" t="s">
        <v>138</v>
      </c>
      <c r="S5437" t="s">
        <v>144</v>
      </c>
      <c r="T5437" s="2">
        <f>MASTER[[#This Row],[CANTIDAD]]*MASTER[[#This Row],[PRECIO DE VENTA]]</f>
        <v>1583</v>
      </c>
      <c r="U5437" s="2">
        <f>MASTER[[#This Row],[CANTIDAD]]*MASTER[[#This Row],[COSTO UNITARIO]]</f>
        <v>394</v>
      </c>
      <c r="V5437" s="2">
        <f>MASTER[[#This Row],[MONTO VENDIDO]]-MASTER[[#This Row],[COSTO DE VENTA]]</f>
        <v>1189</v>
      </c>
    </row>
    <row r="5438" spans="1:22" x14ac:dyDescent="0.3">
      <c r="A5438">
        <v>77226</v>
      </c>
      <c r="B5438">
        <v>1</v>
      </c>
      <c r="C5438" t="s">
        <v>107</v>
      </c>
      <c r="D5438" t="s">
        <v>108</v>
      </c>
      <c r="E5438" s="1">
        <v>44424</v>
      </c>
      <c r="F5438">
        <v>1</v>
      </c>
      <c r="G5438" t="s">
        <v>53</v>
      </c>
      <c r="H5438" t="s">
        <v>54</v>
      </c>
      <c r="I5438" s="3">
        <v>1240</v>
      </c>
      <c r="J5438" s="3">
        <v>1240</v>
      </c>
      <c r="K5438" s="3">
        <v>380</v>
      </c>
      <c r="L5438" t="s">
        <v>98</v>
      </c>
      <c r="M5438">
        <v>17</v>
      </c>
      <c r="N5438" t="s">
        <v>14</v>
      </c>
      <c r="O5438" t="s">
        <v>11</v>
      </c>
      <c r="P5438" t="s">
        <v>15</v>
      </c>
      <c r="Q5438" t="s">
        <v>16</v>
      </c>
      <c r="R5438" t="s">
        <v>16</v>
      </c>
      <c r="S5438" t="s">
        <v>144</v>
      </c>
      <c r="T5438" s="2">
        <f>MASTER[[#This Row],[CANTIDAD]]*MASTER[[#This Row],[PRECIO DE VENTA]]</f>
        <v>1240</v>
      </c>
      <c r="U5438" s="2">
        <f>MASTER[[#This Row],[CANTIDAD]]*MASTER[[#This Row],[COSTO UNITARIO]]</f>
        <v>380</v>
      </c>
      <c r="V5438" s="2">
        <f>MASTER[[#This Row],[MONTO VENDIDO]]-MASTER[[#This Row],[COSTO DE VENTA]]</f>
        <v>860</v>
      </c>
    </row>
    <row r="5439" spans="1:22" x14ac:dyDescent="0.3">
      <c r="A5439">
        <v>77229</v>
      </c>
      <c r="B5439">
        <v>1</v>
      </c>
      <c r="C5439" t="s">
        <v>90</v>
      </c>
      <c r="D5439" t="s">
        <v>91</v>
      </c>
      <c r="E5439" s="1">
        <v>44424</v>
      </c>
      <c r="F5439">
        <v>1</v>
      </c>
      <c r="G5439" t="s">
        <v>29</v>
      </c>
      <c r="H5439" t="s">
        <v>30</v>
      </c>
      <c r="I5439" s="3">
        <v>1844</v>
      </c>
      <c r="J5439" s="3">
        <v>1844</v>
      </c>
      <c r="K5439" s="3">
        <v>420</v>
      </c>
      <c r="L5439" t="s">
        <v>9</v>
      </c>
      <c r="M5439">
        <v>2</v>
      </c>
      <c r="N5439" t="s">
        <v>86</v>
      </c>
      <c r="O5439" t="s">
        <v>81</v>
      </c>
      <c r="P5439" t="s">
        <v>71</v>
      </c>
      <c r="Q5439" t="s">
        <v>72</v>
      </c>
      <c r="R5439" t="s">
        <v>139</v>
      </c>
      <c r="S5439" t="s">
        <v>144</v>
      </c>
      <c r="T5439" s="2">
        <f>MASTER[[#This Row],[CANTIDAD]]*MASTER[[#This Row],[PRECIO DE VENTA]]</f>
        <v>1844</v>
      </c>
      <c r="U5439" s="2">
        <f>MASTER[[#This Row],[CANTIDAD]]*MASTER[[#This Row],[COSTO UNITARIO]]</f>
        <v>420</v>
      </c>
      <c r="V5439" s="2">
        <f>MASTER[[#This Row],[MONTO VENDIDO]]-MASTER[[#This Row],[COSTO DE VENTA]]</f>
        <v>1424</v>
      </c>
    </row>
    <row r="5440" spans="1:22" x14ac:dyDescent="0.3">
      <c r="A5440">
        <v>77238</v>
      </c>
      <c r="B5440">
        <v>1</v>
      </c>
      <c r="C5440" t="s">
        <v>116</v>
      </c>
      <c r="D5440" t="s">
        <v>117</v>
      </c>
      <c r="E5440" s="1">
        <v>44424</v>
      </c>
      <c r="F5440">
        <v>1</v>
      </c>
      <c r="G5440" t="s">
        <v>31</v>
      </c>
      <c r="H5440" t="s">
        <v>32</v>
      </c>
      <c r="I5440" s="3">
        <v>1999</v>
      </c>
      <c r="J5440" s="3">
        <v>1839</v>
      </c>
      <c r="K5440" s="3">
        <v>388</v>
      </c>
      <c r="L5440" t="s">
        <v>113</v>
      </c>
      <c r="M5440">
        <v>13</v>
      </c>
      <c r="N5440" t="s">
        <v>78</v>
      </c>
      <c r="O5440" t="s">
        <v>70</v>
      </c>
      <c r="P5440" t="s">
        <v>18</v>
      </c>
      <c r="Q5440" t="s">
        <v>19</v>
      </c>
      <c r="R5440" t="s">
        <v>138</v>
      </c>
      <c r="S5440" t="s">
        <v>144</v>
      </c>
      <c r="T5440" s="2">
        <f>MASTER[[#This Row],[CANTIDAD]]*MASTER[[#This Row],[PRECIO DE VENTA]]</f>
        <v>1839</v>
      </c>
      <c r="U5440" s="2">
        <f>MASTER[[#This Row],[CANTIDAD]]*MASTER[[#This Row],[COSTO UNITARIO]]</f>
        <v>388</v>
      </c>
      <c r="V5440" s="2">
        <f>MASTER[[#This Row],[MONTO VENDIDO]]-MASTER[[#This Row],[COSTO DE VENTA]]</f>
        <v>1451</v>
      </c>
    </row>
    <row r="5441" spans="1:22" x14ac:dyDescent="0.3">
      <c r="A5441">
        <v>77243</v>
      </c>
      <c r="B5441">
        <v>1</v>
      </c>
      <c r="C5441" t="s">
        <v>118</v>
      </c>
      <c r="D5441" t="s">
        <v>119</v>
      </c>
      <c r="E5441" s="1">
        <v>44424</v>
      </c>
      <c r="F5441">
        <v>1</v>
      </c>
      <c r="G5441" t="s">
        <v>39</v>
      </c>
      <c r="H5441" t="s">
        <v>40</v>
      </c>
      <c r="I5441" s="3">
        <v>1026</v>
      </c>
      <c r="J5441" s="3">
        <v>1026</v>
      </c>
      <c r="K5441" s="3">
        <v>424</v>
      </c>
      <c r="L5441" t="s">
        <v>120</v>
      </c>
      <c r="M5441">
        <v>18</v>
      </c>
      <c r="N5441" t="s">
        <v>79</v>
      </c>
      <c r="O5441" t="s">
        <v>70</v>
      </c>
      <c r="P5441" t="s">
        <v>15</v>
      </c>
      <c r="Q5441" t="s">
        <v>16</v>
      </c>
      <c r="R5441" t="s">
        <v>16</v>
      </c>
      <c r="S5441" t="s">
        <v>144</v>
      </c>
      <c r="T5441" s="2">
        <f>MASTER[[#This Row],[CANTIDAD]]*MASTER[[#This Row],[PRECIO DE VENTA]]</f>
        <v>1026</v>
      </c>
      <c r="U5441" s="2">
        <f>MASTER[[#This Row],[CANTIDAD]]*MASTER[[#This Row],[COSTO UNITARIO]]</f>
        <v>424</v>
      </c>
      <c r="V5441" s="2">
        <f>MASTER[[#This Row],[MONTO VENDIDO]]-MASTER[[#This Row],[COSTO DE VENTA]]</f>
        <v>602</v>
      </c>
    </row>
    <row r="5442" spans="1:22" x14ac:dyDescent="0.3">
      <c r="A5442">
        <v>77245</v>
      </c>
      <c r="B5442">
        <v>1</v>
      </c>
      <c r="C5442" t="s">
        <v>5</v>
      </c>
      <c r="D5442" t="s">
        <v>6</v>
      </c>
      <c r="E5442" s="1">
        <v>44425</v>
      </c>
      <c r="F5442">
        <v>1</v>
      </c>
      <c r="G5442" t="s">
        <v>49</v>
      </c>
      <c r="H5442" t="s">
        <v>50</v>
      </c>
      <c r="I5442" s="3">
        <v>1507</v>
      </c>
      <c r="J5442" s="3">
        <v>1507</v>
      </c>
      <c r="K5442" s="3">
        <v>393</v>
      </c>
      <c r="L5442" t="s">
        <v>9</v>
      </c>
      <c r="M5442">
        <v>15</v>
      </c>
      <c r="N5442" t="s">
        <v>88</v>
      </c>
      <c r="O5442" t="s">
        <v>81</v>
      </c>
      <c r="P5442" t="s">
        <v>18</v>
      </c>
      <c r="Q5442" t="s">
        <v>19</v>
      </c>
      <c r="R5442" t="s">
        <v>138</v>
      </c>
      <c r="S5442" t="s">
        <v>144</v>
      </c>
      <c r="T5442" s="2">
        <f>MASTER[[#This Row],[CANTIDAD]]*MASTER[[#This Row],[PRECIO DE VENTA]]</f>
        <v>1507</v>
      </c>
      <c r="U5442" s="2">
        <f>MASTER[[#This Row],[CANTIDAD]]*MASTER[[#This Row],[COSTO UNITARIO]]</f>
        <v>393</v>
      </c>
      <c r="V5442" s="2">
        <f>MASTER[[#This Row],[MONTO VENDIDO]]-MASTER[[#This Row],[COSTO DE VENTA]]</f>
        <v>1114</v>
      </c>
    </row>
    <row r="5443" spans="1:22" x14ac:dyDescent="0.3">
      <c r="A5443">
        <v>77246</v>
      </c>
      <c r="B5443">
        <v>1</v>
      </c>
      <c r="C5443" t="s">
        <v>99</v>
      </c>
      <c r="D5443" t="s">
        <v>100</v>
      </c>
      <c r="E5443" s="1">
        <v>44425</v>
      </c>
      <c r="F5443">
        <v>1</v>
      </c>
      <c r="G5443" t="s">
        <v>53</v>
      </c>
      <c r="H5443" t="s">
        <v>54</v>
      </c>
      <c r="I5443" s="3">
        <v>1459</v>
      </c>
      <c r="J5443" s="3">
        <v>1459</v>
      </c>
      <c r="K5443" s="3">
        <v>386</v>
      </c>
      <c r="L5443" t="s">
        <v>98</v>
      </c>
      <c r="M5443">
        <v>5</v>
      </c>
      <c r="N5443" t="s">
        <v>85</v>
      </c>
      <c r="O5443" t="s">
        <v>81</v>
      </c>
      <c r="P5443" t="s">
        <v>12</v>
      </c>
      <c r="Q5443" t="s">
        <v>13</v>
      </c>
      <c r="R5443" t="s">
        <v>13</v>
      </c>
      <c r="S5443" t="s">
        <v>144</v>
      </c>
      <c r="T5443" s="2">
        <f>MASTER[[#This Row],[CANTIDAD]]*MASTER[[#This Row],[PRECIO DE VENTA]]</f>
        <v>1459</v>
      </c>
      <c r="U5443" s="2">
        <f>MASTER[[#This Row],[CANTIDAD]]*MASTER[[#This Row],[COSTO UNITARIO]]</f>
        <v>386</v>
      </c>
      <c r="V5443" s="2">
        <f>MASTER[[#This Row],[MONTO VENDIDO]]-MASTER[[#This Row],[COSTO DE VENTA]]</f>
        <v>1073</v>
      </c>
    </row>
    <row r="5444" spans="1:22" x14ac:dyDescent="0.3">
      <c r="A5444">
        <v>77279</v>
      </c>
      <c r="B5444">
        <v>1</v>
      </c>
      <c r="C5444" t="s">
        <v>101</v>
      </c>
      <c r="D5444" t="s">
        <v>102</v>
      </c>
      <c r="E5444" s="1">
        <v>44425</v>
      </c>
      <c r="F5444">
        <v>1</v>
      </c>
      <c r="G5444" t="s">
        <v>49</v>
      </c>
      <c r="H5444" t="s">
        <v>50</v>
      </c>
      <c r="I5444" s="3">
        <v>1357</v>
      </c>
      <c r="J5444" s="3">
        <v>1357</v>
      </c>
      <c r="K5444" s="3">
        <v>442</v>
      </c>
      <c r="L5444" t="s">
        <v>98</v>
      </c>
      <c r="M5444">
        <v>3</v>
      </c>
      <c r="N5444" t="s">
        <v>69</v>
      </c>
      <c r="O5444" t="s">
        <v>70</v>
      </c>
      <c r="P5444" t="s">
        <v>71</v>
      </c>
      <c r="Q5444" t="s">
        <v>72</v>
      </c>
      <c r="R5444" t="s">
        <v>139</v>
      </c>
      <c r="S5444" t="s">
        <v>144</v>
      </c>
      <c r="T5444" s="2">
        <f>MASTER[[#This Row],[CANTIDAD]]*MASTER[[#This Row],[PRECIO DE VENTA]]</f>
        <v>1357</v>
      </c>
      <c r="U5444" s="2">
        <f>MASTER[[#This Row],[CANTIDAD]]*MASTER[[#This Row],[COSTO UNITARIO]]</f>
        <v>442</v>
      </c>
      <c r="V5444" s="2">
        <f>MASTER[[#This Row],[MONTO VENDIDO]]-MASTER[[#This Row],[COSTO DE VENTA]]</f>
        <v>915</v>
      </c>
    </row>
    <row r="5445" spans="1:22" x14ac:dyDescent="0.3">
      <c r="A5445">
        <v>77291</v>
      </c>
      <c r="B5445">
        <v>1</v>
      </c>
      <c r="C5445" t="s">
        <v>114</v>
      </c>
      <c r="D5445" t="s">
        <v>115</v>
      </c>
      <c r="E5445" s="1">
        <v>44425</v>
      </c>
      <c r="F5445">
        <v>2</v>
      </c>
      <c r="G5445" t="s">
        <v>35</v>
      </c>
      <c r="H5445" t="s">
        <v>36</v>
      </c>
      <c r="I5445" s="3">
        <v>2030</v>
      </c>
      <c r="J5445" s="3">
        <v>2030</v>
      </c>
      <c r="K5445" s="3">
        <v>394</v>
      </c>
      <c r="L5445" t="s">
        <v>113</v>
      </c>
      <c r="M5445">
        <v>3</v>
      </c>
      <c r="N5445" t="s">
        <v>69</v>
      </c>
      <c r="O5445" t="s">
        <v>70</v>
      </c>
      <c r="P5445" t="s">
        <v>71</v>
      </c>
      <c r="Q5445" t="s">
        <v>72</v>
      </c>
      <c r="R5445" t="s">
        <v>139</v>
      </c>
      <c r="S5445" t="s">
        <v>144</v>
      </c>
      <c r="T5445" s="2">
        <f>MASTER[[#This Row],[CANTIDAD]]*MASTER[[#This Row],[PRECIO DE VENTA]]</f>
        <v>4060</v>
      </c>
      <c r="U5445" s="2">
        <f>MASTER[[#This Row],[CANTIDAD]]*MASTER[[#This Row],[COSTO UNITARIO]]</f>
        <v>788</v>
      </c>
      <c r="V5445" s="2">
        <f>MASTER[[#This Row],[MONTO VENDIDO]]-MASTER[[#This Row],[COSTO DE VENTA]]</f>
        <v>3272</v>
      </c>
    </row>
    <row r="5446" spans="1:22" x14ac:dyDescent="0.3">
      <c r="A5446">
        <v>77293</v>
      </c>
      <c r="B5446">
        <v>1</v>
      </c>
      <c r="C5446" t="s">
        <v>96</v>
      </c>
      <c r="D5446" t="s">
        <v>97</v>
      </c>
      <c r="E5446" s="1">
        <v>44425</v>
      </c>
      <c r="F5446">
        <v>1</v>
      </c>
      <c r="G5446" t="s">
        <v>47</v>
      </c>
      <c r="H5446" t="s">
        <v>48</v>
      </c>
      <c r="I5446" s="3">
        <v>1361</v>
      </c>
      <c r="J5446" s="3">
        <v>1361</v>
      </c>
      <c r="K5446" s="3">
        <v>397</v>
      </c>
      <c r="L5446" t="s">
        <v>98</v>
      </c>
      <c r="M5446">
        <v>3</v>
      </c>
      <c r="N5446" t="s">
        <v>69</v>
      </c>
      <c r="O5446" t="s">
        <v>70</v>
      </c>
      <c r="P5446" t="s">
        <v>71</v>
      </c>
      <c r="Q5446" t="s">
        <v>72</v>
      </c>
      <c r="R5446" t="s">
        <v>139</v>
      </c>
      <c r="S5446" t="s">
        <v>144</v>
      </c>
      <c r="T5446" s="2">
        <f>MASTER[[#This Row],[CANTIDAD]]*MASTER[[#This Row],[PRECIO DE VENTA]]</f>
        <v>1361</v>
      </c>
      <c r="U5446" s="2">
        <f>MASTER[[#This Row],[CANTIDAD]]*MASTER[[#This Row],[COSTO UNITARIO]]</f>
        <v>397</v>
      </c>
      <c r="V5446" s="2">
        <f>MASTER[[#This Row],[MONTO VENDIDO]]-MASTER[[#This Row],[COSTO DE VENTA]]</f>
        <v>964</v>
      </c>
    </row>
    <row r="5447" spans="1:22" x14ac:dyDescent="0.3">
      <c r="A5447">
        <v>77307</v>
      </c>
      <c r="B5447">
        <v>1</v>
      </c>
      <c r="C5447" t="s">
        <v>99</v>
      </c>
      <c r="D5447" t="s">
        <v>100</v>
      </c>
      <c r="E5447" s="1">
        <v>44425</v>
      </c>
      <c r="F5447">
        <v>1</v>
      </c>
      <c r="G5447" t="s">
        <v>39</v>
      </c>
      <c r="H5447" t="s">
        <v>40</v>
      </c>
      <c r="I5447" s="3">
        <v>1459</v>
      </c>
      <c r="J5447" s="3">
        <v>1459</v>
      </c>
      <c r="K5447" s="3">
        <v>386</v>
      </c>
      <c r="L5447" t="s">
        <v>98</v>
      </c>
      <c r="M5447">
        <v>10</v>
      </c>
      <c r="N5447" t="s">
        <v>83</v>
      </c>
      <c r="O5447" t="s">
        <v>81</v>
      </c>
      <c r="P5447" t="s">
        <v>12</v>
      </c>
      <c r="Q5447" t="s">
        <v>13</v>
      </c>
      <c r="R5447" t="s">
        <v>13</v>
      </c>
      <c r="S5447" t="s">
        <v>144</v>
      </c>
      <c r="T5447" s="2">
        <f>MASTER[[#This Row],[CANTIDAD]]*MASTER[[#This Row],[PRECIO DE VENTA]]</f>
        <v>1459</v>
      </c>
      <c r="U5447" s="2">
        <f>MASTER[[#This Row],[CANTIDAD]]*MASTER[[#This Row],[COSTO UNITARIO]]</f>
        <v>386</v>
      </c>
      <c r="V5447" s="2">
        <f>MASTER[[#This Row],[MONTO VENDIDO]]-MASTER[[#This Row],[COSTO DE VENTA]]</f>
        <v>1073</v>
      </c>
    </row>
    <row r="5448" spans="1:22" x14ac:dyDescent="0.3">
      <c r="A5448">
        <v>77319</v>
      </c>
      <c r="B5448">
        <v>1</v>
      </c>
      <c r="C5448" t="s">
        <v>109</v>
      </c>
      <c r="D5448" t="s">
        <v>110</v>
      </c>
      <c r="E5448" s="1">
        <v>44425</v>
      </c>
      <c r="F5448">
        <v>1</v>
      </c>
      <c r="G5448" t="s">
        <v>47</v>
      </c>
      <c r="H5448" t="s">
        <v>48</v>
      </c>
      <c r="I5448" s="3">
        <v>1064</v>
      </c>
      <c r="J5448" s="3">
        <v>1064</v>
      </c>
      <c r="K5448" s="3">
        <v>387</v>
      </c>
      <c r="L5448" t="s">
        <v>98</v>
      </c>
      <c r="M5448">
        <v>8</v>
      </c>
      <c r="N5448" t="s">
        <v>80</v>
      </c>
      <c r="O5448" t="s">
        <v>81</v>
      </c>
      <c r="P5448" t="s">
        <v>12</v>
      </c>
      <c r="Q5448" t="s">
        <v>13</v>
      </c>
      <c r="R5448" t="s">
        <v>13</v>
      </c>
      <c r="S5448" t="s">
        <v>144</v>
      </c>
      <c r="T5448" s="2">
        <f>MASTER[[#This Row],[CANTIDAD]]*MASTER[[#This Row],[PRECIO DE VENTA]]</f>
        <v>1064</v>
      </c>
      <c r="U5448" s="2">
        <f>MASTER[[#This Row],[CANTIDAD]]*MASTER[[#This Row],[COSTO UNITARIO]]</f>
        <v>387</v>
      </c>
      <c r="V5448" s="2">
        <f>MASTER[[#This Row],[MONTO VENDIDO]]-MASTER[[#This Row],[COSTO DE VENTA]]</f>
        <v>677</v>
      </c>
    </row>
    <row r="5449" spans="1:22" x14ac:dyDescent="0.3">
      <c r="A5449">
        <v>77323</v>
      </c>
      <c r="B5449">
        <v>1</v>
      </c>
      <c r="C5449" t="s">
        <v>101</v>
      </c>
      <c r="D5449" t="s">
        <v>102</v>
      </c>
      <c r="E5449" s="1">
        <v>44425</v>
      </c>
      <c r="F5449">
        <v>1</v>
      </c>
      <c r="G5449" t="s">
        <v>47</v>
      </c>
      <c r="H5449" t="s">
        <v>48</v>
      </c>
      <c r="I5449" s="3">
        <v>1357</v>
      </c>
      <c r="J5449" s="3">
        <v>1357</v>
      </c>
      <c r="K5449" s="3">
        <v>442</v>
      </c>
      <c r="L5449" t="s">
        <v>98</v>
      </c>
      <c r="M5449">
        <v>13</v>
      </c>
      <c r="N5449" t="s">
        <v>78</v>
      </c>
      <c r="O5449" t="s">
        <v>70</v>
      </c>
      <c r="P5449" t="s">
        <v>18</v>
      </c>
      <c r="Q5449" t="s">
        <v>19</v>
      </c>
      <c r="R5449" t="s">
        <v>138</v>
      </c>
      <c r="S5449" t="s">
        <v>144</v>
      </c>
      <c r="T5449" s="2">
        <f>MASTER[[#This Row],[CANTIDAD]]*MASTER[[#This Row],[PRECIO DE VENTA]]</f>
        <v>1357</v>
      </c>
      <c r="U5449" s="2">
        <f>MASTER[[#This Row],[CANTIDAD]]*MASTER[[#This Row],[COSTO UNITARIO]]</f>
        <v>442</v>
      </c>
      <c r="V5449" s="2">
        <f>MASTER[[#This Row],[MONTO VENDIDO]]-MASTER[[#This Row],[COSTO DE VENTA]]</f>
        <v>915</v>
      </c>
    </row>
    <row r="5450" spans="1:22" x14ac:dyDescent="0.3">
      <c r="A5450">
        <v>77330</v>
      </c>
      <c r="B5450">
        <v>1</v>
      </c>
      <c r="C5450" t="s">
        <v>101</v>
      </c>
      <c r="D5450" t="s">
        <v>102</v>
      </c>
      <c r="E5450" s="1">
        <v>44425</v>
      </c>
      <c r="F5450">
        <v>1</v>
      </c>
      <c r="G5450" t="s">
        <v>20</v>
      </c>
      <c r="H5450" t="s">
        <v>21</v>
      </c>
      <c r="I5450" s="3">
        <v>1212</v>
      </c>
      <c r="J5450" s="3">
        <v>1212</v>
      </c>
      <c r="K5450" s="3">
        <v>442</v>
      </c>
      <c r="L5450" t="s">
        <v>98</v>
      </c>
      <c r="M5450">
        <v>7</v>
      </c>
      <c r="N5450" t="s">
        <v>84</v>
      </c>
      <c r="O5450" t="s">
        <v>81</v>
      </c>
      <c r="P5450" t="s">
        <v>12</v>
      </c>
      <c r="Q5450" t="s">
        <v>13</v>
      </c>
      <c r="R5450" t="s">
        <v>13</v>
      </c>
      <c r="S5450" t="s">
        <v>144</v>
      </c>
      <c r="T5450" s="2">
        <f>MASTER[[#This Row],[CANTIDAD]]*MASTER[[#This Row],[PRECIO DE VENTA]]</f>
        <v>1212</v>
      </c>
      <c r="U5450" s="2">
        <f>MASTER[[#This Row],[CANTIDAD]]*MASTER[[#This Row],[COSTO UNITARIO]]</f>
        <v>442</v>
      </c>
      <c r="V5450" s="2">
        <f>MASTER[[#This Row],[MONTO VENDIDO]]-MASTER[[#This Row],[COSTO DE VENTA]]</f>
        <v>770</v>
      </c>
    </row>
    <row r="5451" spans="1:22" x14ac:dyDescent="0.3">
      <c r="A5451">
        <v>77357</v>
      </c>
      <c r="B5451">
        <v>1</v>
      </c>
      <c r="C5451" t="s">
        <v>111</v>
      </c>
      <c r="D5451" t="s">
        <v>112</v>
      </c>
      <c r="E5451" s="1">
        <v>44425</v>
      </c>
      <c r="F5451">
        <v>1</v>
      </c>
      <c r="G5451" t="s">
        <v>24</v>
      </c>
      <c r="H5451" t="s">
        <v>25</v>
      </c>
      <c r="I5451" s="3">
        <v>1524</v>
      </c>
      <c r="J5451" s="3">
        <v>1402</v>
      </c>
      <c r="K5451" s="3">
        <v>434</v>
      </c>
      <c r="L5451" t="s">
        <v>113</v>
      </c>
      <c r="M5451">
        <v>16</v>
      </c>
      <c r="N5451" t="s">
        <v>17</v>
      </c>
      <c r="O5451" t="s">
        <v>11</v>
      </c>
      <c r="P5451" t="s">
        <v>18</v>
      </c>
      <c r="Q5451" t="s">
        <v>19</v>
      </c>
      <c r="R5451" t="s">
        <v>138</v>
      </c>
      <c r="S5451" t="s">
        <v>144</v>
      </c>
      <c r="T5451" s="2">
        <f>MASTER[[#This Row],[CANTIDAD]]*MASTER[[#This Row],[PRECIO DE VENTA]]</f>
        <v>1402</v>
      </c>
      <c r="U5451" s="2">
        <f>MASTER[[#This Row],[CANTIDAD]]*MASTER[[#This Row],[COSTO UNITARIO]]</f>
        <v>434</v>
      </c>
      <c r="V5451" s="2">
        <f>MASTER[[#This Row],[MONTO VENDIDO]]-MASTER[[#This Row],[COSTO DE VENTA]]</f>
        <v>968</v>
      </c>
    </row>
    <row r="5452" spans="1:22" x14ac:dyDescent="0.3">
      <c r="A5452">
        <v>77359</v>
      </c>
      <c r="B5452">
        <v>1</v>
      </c>
      <c r="C5452" t="s">
        <v>99</v>
      </c>
      <c r="D5452" t="s">
        <v>100</v>
      </c>
      <c r="E5452" s="1">
        <v>44426</v>
      </c>
      <c r="F5452">
        <v>1</v>
      </c>
      <c r="G5452" t="s">
        <v>73</v>
      </c>
      <c r="H5452" t="s">
        <v>74</v>
      </c>
      <c r="I5452" s="3">
        <v>1459</v>
      </c>
      <c r="J5452" s="3">
        <v>1459</v>
      </c>
      <c r="K5452" s="3">
        <v>386</v>
      </c>
      <c r="L5452" t="s">
        <v>98</v>
      </c>
      <c r="M5452">
        <v>4</v>
      </c>
      <c r="N5452" t="s">
        <v>82</v>
      </c>
      <c r="O5452" t="s">
        <v>81</v>
      </c>
      <c r="P5452" t="s">
        <v>71</v>
      </c>
      <c r="Q5452" t="s">
        <v>72</v>
      </c>
      <c r="R5452" t="s">
        <v>139</v>
      </c>
      <c r="S5452" t="s">
        <v>144</v>
      </c>
      <c r="T5452" s="2">
        <f>MASTER[[#This Row],[CANTIDAD]]*MASTER[[#This Row],[PRECIO DE VENTA]]</f>
        <v>1459</v>
      </c>
      <c r="U5452" s="2">
        <f>MASTER[[#This Row],[CANTIDAD]]*MASTER[[#This Row],[COSTO UNITARIO]]</f>
        <v>386</v>
      </c>
      <c r="V5452" s="2">
        <f>MASTER[[#This Row],[MONTO VENDIDO]]-MASTER[[#This Row],[COSTO DE VENTA]]</f>
        <v>1073</v>
      </c>
    </row>
    <row r="5453" spans="1:22" x14ac:dyDescent="0.3">
      <c r="A5453">
        <v>77365</v>
      </c>
      <c r="B5453">
        <v>1</v>
      </c>
      <c r="C5453" t="s">
        <v>103</v>
      </c>
      <c r="D5453" t="s">
        <v>104</v>
      </c>
      <c r="E5453" s="1">
        <v>44426</v>
      </c>
      <c r="F5453">
        <v>1</v>
      </c>
      <c r="G5453" t="s">
        <v>57</v>
      </c>
      <c r="H5453" t="s">
        <v>58</v>
      </c>
      <c r="I5453" s="3">
        <v>1830</v>
      </c>
      <c r="J5453" s="3">
        <v>1830</v>
      </c>
      <c r="K5453" s="3">
        <v>421</v>
      </c>
      <c r="L5453" t="s">
        <v>98</v>
      </c>
      <c r="M5453">
        <v>9</v>
      </c>
      <c r="N5453" t="s">
        <v>76</v>
      </c>
      <c r="O5453" t="s">
        <v>70</v>
      </c>
      <c r="P5453" t="s">
        <v>12</v>
      </c>
      <c r="Q5453" t="s">
        <v>13</v>
      </c>
      <c r="R5453" t="s">
        <v>13</v>
      </c>
      <c r="S5453" t="s">
        <v>144</v>
      </c>
      <c r="T5453" s="2">
        <f>MASTER[[#This Row],[CANTIDAD]]*MASTER[[#This Row],[PRECIO DE VENTA]]</f>
        <v>1830</v>
      </c>
      <c r="U5453" s="2">
        <f>MASTER[[#This Row],[CANTIDAD]]*MASTER[[#This Row],[COSTO UNITARIO]]</f>
        <v>421</v>
      </c>
      <c r="V5453" s="2">
        <f>MASTER[[#This Row],[MONTO VENDIDO]]-MASTER[[#This Row],[COSTO DE VENTA]]</f>
        <v>1409</v>
      </c>
    </row>
    <row r="5454" spans="1:22" x14ac:dyDescent="0.3">
      <c r="A5454">
        <v>77400</v>
      </c>
      <c r="B5454">
        <v>1</v>
      </c>
      <c r="C5454" t="s">
        <v>121</v>
      </c>
      <c r="D5454" t="s">
        <v>122</v>
      </c>
      <c r="E5454" s="1">
        <v>44426</v>
      </c>
      <c r="F5454">
        <v>1</v>
      </c>
      <c r="G5454" t="s">
        <v>35</v>
      </c>
      <c r="H5454" t="s">
        <v>36</v>
      </c>
      <c r="I5454" s="3">
        <v>1069</v>
      </c>
      <c r="J5454" s="3">
        <v>1069</v>
      </c>
      <c r="K5454" s="3">
        <v>460</v>
      </c>
      <c r="L5454" t="s">
        <v>120</v>
      </c>
      <c r="M5454">
        <v>19</v>
      </c>
      <c r="N5454" t="s">
        <v>89</v>
      </c>
      <c r="O5454" t="s">
        <v>81</v>
      </c>
      <c r="P5454" t="s">
        <v>15</v>
      </c>
      <c r="Q5454" t="s">
        <v>16</v>
      </c>
      <c r="R5454" t="s">
        <v>16</v>
      </c>
      <c r="S5454" t="s">
        <v>144</v>
      </c>
      <c r="T5454" s="2">
        <f>MASTER[[#This Row],[CANTIDAD]]*MASTER[[#This Row],[PRECIO DE VENTA]]</f>
        <v>1069</v>
      </c>
      <c r="U5454" s="2">
        <f>MASTER[[#This Row],[CANTIDAD]]*MASTER[[#This Row],[COSTO UNITARIO]]</f>
        <v>460</v>
      </c>
      <c r="V5454" s="2">
        <f>MASTER[[#This Row],[MONTO VENDIDO]]-MASTER[[#This Row],[COSTO DE VENTA]]</f>
        <v>609</v>
      </c>
    </row>
    <row r="5455" spans="1:22" x14ac:dyDescent="0.3">
      <c r="A5455">
        <v>77405</v>
      </c>
      <c r="B5455">
        <v>1</v>
      </c>
      <c r="C5455" t="s">
        <v>109</v>
      </c>
      <c r="D5455" t="s">
        <v>110</v>
      </c>
      <c r="E5455" s="1">
        <v>44426</v>
      </c>
      <c r="F5455">
        <v>1</v>
      </c>
      <c r="G5455" t="s">
        <v>45</v>
      </c>
      <c r="H5455" t="s">
        <v>46</v>
      </c>
      <c r="I5455" s="3">
        <v>1064</v>
      </c>
      <c r="J5455" s="3">
        <v>1064</v>
      </c>
      <c r="K5455" s="3">
        <v>387</v>
      </c>
      <c r="L5455" t="s">
        <v>98</v>
      </c>
      <c r="M5455">
        <v>10</v>
      </c>
      <c r="N5455" t="s">
        <v>83</v>
      </c>
      <c r="O5455" t="s">
        <v>81</v>
      </c>
      <c r="P5455" t="s">
        <v>12</v>
      </c>
      <c r="Q5455" t="s">
        <v>13</v>
      </c>
      <c r="R5455" t="s">
        <v>13</v>
      </c>
      <c r="S5455" t="s">
        <v>144</v>
      </c>
      <c r="T5455" s="2">
        <f>MASTER[[#This Row],[CANTIDAD]]*MASTER[[#This Row],[PRECIO DE VENTA]]</f>
        <v>1064</v>
      </c>
      <c r="U5455" s="2">
        <f>MASTER[[#This Row],[CANTIDAD]]*MASTER[[#This Row],[COSTO UNITARIO]]</f>
        <v>387</v>
      </c>
      <c r="V5455" s="2">
        <f>MASTER[[#This Row],[MONTO VENDIDO]]-MASTER[[#This Row],[COSTO DE VENTA]]</f>
        <v>677</v>
      </c>
    </row>
    <row r="5456" spans="1:22" x14ac:dyDescent="0.3">
      <c r="A5456">
        <v>77409</v>
      </c>
      <c r="B5456">
        <v>1</v>
      </c>
      <c r="C5456" t="s">
        <v>101</v>
      </c>
      <c r="D5456" t="s">
        <v>102</v>
      </c>
      <c r="E5456" s="1">
        <v>44426</v>
      </c>
      <c r="F5456">
        <v>1</v>
      </c>
      <c r="G5456" t="s">
        <v>29</v>
      </c>
      <c r="H5456" t="s">
        <v>30</v>
      </c>
      <c r="I5456" s="3">
        <v>1212</v>
      </c>
      <c r="J5456" s="3">
        <v>1212</v>
      </c>
      <c r="K5456" s="3">
        <v>442</v>
      </c>
      <c r="L5456" t="s">
        <v>98</v>
      </c>
      <c r="M5456">
        <v>5</v>
      </c>
      <c r="N5456" t="s">
        <v>85</v>
      </c>
      <c r="O5456" t="s">
        <v>81</v>
      </c>
      <c r="P5456" t="s">
        <v>12</v>
      </c>
      <c r="Q5456" t="s">
        <v>13</v>
      </c>
      <c r="R5456" t="s">
        <v>13</v>
      </c>
      <c r="S5456" t="s">
        <v>144</v>
      </c>
      <c r="T5456" s="2">
        <f>MASTER[[#This Row],[CANTIDAD]]*MASTER[[#This Row],[PRECIO DE VENTA]]</f>
        <v>1212</v>
      </c>
      <c r="U5456" s="2">
        <f>MASTER[[#This Row],[CANTIDAD]]*MASTER[[#This Row],[COSTO UNITARIO]]</f>
        <v>442</v>
      </c>
      <c r="V5456" s="2">
        <f>MASTER[[#This Row],[MONTO VENDIDO]]-MASTER[[#This Row],[COSTO DE VENTA]]</f>
        <v>770</v>
      </c>
    </row>
    <row r="5457" spans="1:22" x14ac:dyDescent="0.3">
      <c r="A5457">
        <v>77418</v>
      </c>
      <c r="B5457">
        <v>1</v>
      </c>
      <c r="C5457" t="s">
        <v>107</v>
      </c>
      <c r="D5457" t="s">
        <v>108</v>
      </c>
      <c r="E5457" s="1">
        <v>44426</v>
      </c>
      <c r="F5457">
        <v>1</v>
      </c>
      <c r="G5457" t="s">
        <v>53</v>
      </c>
      <c r="H5457" t="s">
        <v>54</v>
      </c>
      <c r="I5457" s="3">
        <v>1440</v>
      </c>
      <c r="J5457" s="3">
        <v>1440</v>
      </c>
      <c r="K5457" s="3">
        <v>380</v>
      </c>
      <c r="L5457" t="s">
        <v>98</v>
      </c>
      <c r="M5457">
        <v>6</v>
      </c>
      <c r="N5457" t="s">
        <v>75</v>
      </c>
      <c r="O5457" t="s">
        <v>70</v>
      </c>
      <c r="P5457" t="s">
        <v>12</v>
      </c>
      <c r="Q5457" t="s">
        <v>13</v>
      </c>
      <c r="R5457" t="s">
        <v>13</v>
      </c>
      <c r="S5457" t="s">
        <v>144</v>
      </c>
      <c r="T5457" s="2">
        <f>MASTER[[#This Row],[CANTIDAD]]*MASTER[[#This Row],[PRECIO DE VENTA]]</f>
        <v>1440</v>
      </c>
      <c r="U5457" s="2">
        <f>MASTER[[#This Row],[CANTIDAD]]*MASTER[[#This Row],[COSTO UNITARIO]]</f>
        <v>380</v>
      </c>
      <c r="V5457" s="2">
        <f>MASTER[[#This Row],[MONTO VENDIDO]]-MASTER[[#This Row],[COSTO DE VENTA]]</f>
        <v>1060</v>
      </c>
    </row>
    <row r="5458" spans="1:22" x14ac:dyDescent="0.3">
      <c r="A5458">
        <v>77421</v>
      </c>
      <c r="B5458">
        <v>1</v>
      </c>
      <c r="C5458" t="s">
        <v>96</v>
      </c>
      <c r="D5458" t="s">
        <v>97</v>
      </c>
      <c r="E5458" s="1">
        <v>44426</v>
      </c>
      <c r="F5458">
        <v>3</v>
      </c>
      <c r="G5458" t="s">
        <v>49</v>
      </c>
      <c r="H5458" t="s">
        <v>50</v>
      </c>
      <c r="I5458" s="3">
        <v>1272</v>
      </c>
      <c r="J5458" s="3">
        <v>1272</v>
      </c>
      <c r="K5458" s="3">
        <v>397</v>
      </c>
      <c r="L5458" t="s">
        <v>98</v>
      </c>
      <c r="M5458">
        <v>2</v>
      </c>
      <c r="N5458" t="s">
        <v>86</v>
      </c>
      <c r="O5458" t="s">
        <v>81</v>
      </c>
      <c r="P5458" t="s">
        <v>71</v>
      </c>
      <c r="Q5458" t="s">
        <v>72</v>
      </c>
      <c r="R5458" t="s">
        <v>139</v>
      </c>
      <c r="S5458" t="s">
        <v>144</v>
      </c>
      <c r="T5458" s="2">
        <f>MASTER[[#This Row],[CANTIDAD]]*MASTER[[#This Row],[PRECIO DE VENTA]]</f>
        <v>3816</v>
      </c>
      <c r="U5458" s="2">
        <f>MASTER[[#This Row],[CANTIDAD]]*MASTER[[#This Row],[COSTO UNITARIO]]</f>
        <v>1191</v>
      </c>
      <c r="V5458" s="2">
        <f>MASTER[[#This Row],[MONTO VENDIDO]]-MASTER[[#This Row],[COSTO DE VENTA]]</f>
        <v>2625</v>
      </c>
    </row>
    <row r="5459" spans="1:22" x14ac:dyDescent="0.3">
      <c r="A5459">
        <v>77424</v>
      </c>
      <c r="B5459">
        <v>1</v>
      </c>
      <c r="C5459" t="s">
        <v>118</v>
      </c>
      <c r="D5459" t="s">
        <v>119</v>
      </c>
      <c r="E5459" s="1">
        <v>44426</v>
      </c>
      <c r="F5459">
        <v>1</v>
      </c>
      <c r="G5459" t="s">
        <v>24</v>
      </c>
      <c r="H5459" t="s">
        <v>25</v>
      </c>
      <c r="I5459" s="3">
        <v>801</v>
      </c>
      <c r="J5459" s="3">
        <v>744</v>
      </c>
      <c r="K5459" s="3">
        <v>424</v>
      </c>
      <c r="L5459" t="s">
        <v>120</v>
      </c>
      <c r="M5459">
        <v>17</v>
      </c>
      <c r="N5459" t="s">
        <v>14</v>
      </c>
      <c r="O5459" t="s">
        <v>11</v>
      </c>
      <c r="P5459" t="s">
        <v>15</v>
      </c>
      <c r="Q5459" t="s">
        <v>16</v>
      </c>
      <c r="R5459" t="s">
        <v>16</v>
      </c>
      <c r="S5459" t="s">
        <v>144</v>
      </c>
      <c r="T5459" s="2">
        <f>MASTER[[#This Row],[CANTIDAD]]*MASTER[[#This Row],[PRECIO DE VENTA]]</f>
        <v>744</v>
      </c>
      <c r="U5459" s="2">
        <f>MASTER[[#This Row],[CANTIDAD]]*MASTER[[#This Row],[COSTO UNITARIO]]</f>
        <v>424</v>
      </c>
      <c r="V5459" s="2">
        <f>MASTER[[#This Row],[MONTO VENDIDO]]-MASTER[[#This Row],[COSTO DE VENTA]]</f>
        <v>320</v>
      </c>
    </row>
    <row r="5460" spans="1:22" x14ac:dyDescent="0.3">
      <c r="A5460">
        <v>77430</v>
      </c>
      <c r="B5460">
        <v>1</v>
      </c>
      <c r="C5460" t="s">
        <v>103</v>
      </c>
      <c r="D5460" t="s">
        <v>104</v>
      </c>
      <c r="E5460" s="1">
        <v>44426</v>
      </c>
      <c r="F5460">
        <v>1</v>
      </c>
      <c r="G5460" t="s">
        <v>39</v>
      </c>
      <c r="H5460" t="s">
        <v>40</v>
      </c>
      <c r="I5460" s="3">
        <v>1830</v>
      </c>
      <c r="J5460" s="3">
        <v>1830</v>
      </c>
      <c r="K5460" s="3">
        <v>421</v>
      </c>
      <c r="L5460" t="s">
        <v>98</v>
      </c>
      <c r="M5460">
        <v>18</v>
      </c>
      <c r="N5460" t="s">
        <v>79</v>
      </c>
      <c r="O5460" t="s">
        <v>70</v>
      </c>
      <c r="P5460" t="s">
        <v>15</v>
      </c>
      <c r="Q5460" t="s">
        <v>16</v>
      </c>
      <c r="R5460" t="s">
        <v>16</v>
      </c>
      <c r="S5460" t="s">
        <v>144</v>
      </c>
      <c r="T5460" s="2">
        <f>MASTER[[#This Row],[CANTIDAD]]*MASTER[[#This Row],[PRECIO DE VENTA]]</f>
        <v>1830</v>
      </c>
      <c r="U5460" s="2">
        <f>MASTER[[#This Row],[CANTIDAD]]*MASTER[[#This Row],[COSTO UNITARIO]]</f>
        <v>421</v>
      </c>
      <c r="V5460" s="2">
        <f>MASTER[[#This Row],[MONTO VENDIDO]]-MASTER[[#This Row],[COSTO DE VENTA]]</f>
        <v>1409</v>
      </c>
    </row>
    <row r="5461" spans="1:22" x14ac:dyDescent="0.3">
      <c r="A5461">
        <v>77431</v>
      </c>
      <c r="B5461">
        <v>1</v>
      </c>
      <c r="C5461" t="s">
        <v>121</v>
      </c>
      <c r="D5461" t="s">
        <v>122</v>
      </c>
      <c r="E5461" s="1">
        <v>44426</v>
      </c>
      <c r="F5461">
        <v>4</v>
      </c>
      <c r="G5461" t="s">
        <v>31</v>
      </c>
      <c r="H5461" t="s">
        <v>32</v>
      </c>
      <c r="I5461" s="3">
        <v>941</v>
      </c>
      <c r="J5461" s="3">
        <v>941</v>
      </c>
      <c r="K5461" s="3">
        <v>460</v>
      </c>
      <c r="L5461" t="s">
        <v>120</v>
      </c>
      <c r="M5461">
        <v>12</v>
      </c>
      <c r="N5461" t="s">
        <v>26</v>
      </c>
      <c r="O5461" t="s">
        <v>11</v>
      </c>
      <c r="P5461" t="s">
        <v>12</v>
      </c>
      <c r="Q5461" t="s">
        <v>13</v>
      </c>
      <c r="R5461" t="s">
        <v>13</v>
      </c>
      <c r="S5461" t="s">
        <v>144</v>
      </c>
      <c r="T5461" s="2">
        <f>MASTER[[#This Row],[CANTIDAD]]*MASTER[[#This Row],[PRECIO DE VENTA]]</f>
        <v>3764</v>
      </c>
      <c r="U5461" s="2">
        <f>MASTER[[#This Row],[CANTIDAD]]*MASTER[[#This Row],[COSTO UNITARIO]]</f>
        <v>1840</v>
      </c>
      <c r="V5461" s="2">
        <f>MASTER[[#This Row],[MONTO VENDIDO]]-MASTER[[#This Row],[COSTO DE VENTA]]</f>
        <v>1924</v>
      </c>
    </row>
    <row r="5462" spans="1:22" x14ac:dyDescent="0.3">
      <c r="A5462">
        <v>77435</v>
      </c>
      <c r="B5462">
        <v>1</v>
      </c>
      <c r="C5462" t="s">
        <v>105</v>
      </c>
      <c r="D5462" t="s">
        <v>106</v>
      </c>
      <c r="E5462" s="1">
        <v>44426</v>
      </c>
      <c r="F5462">
        <v>1</v>
      </c>
      <c r="G5462" t="s">
        <v>65</v>
      </c>
      <c r="H5462" t="s">
        <v>66</v>
      </c>
      <c r="I5462" s="3">
        <v>1585</v>
      </c>
      <c r="J5462" s="3">
        <v>1585</v>
      </c>
      <c r="K5462" s="3">
        <v>459</v>
      </c>
      <c r="L5462" t="s">
        <v>98</v>
      </c>
      <c r="M5462">
        <v>17</v>
      </c>
      <c r="N5462" t="s">
        <v>14</v>
      </c>
      <c r="O5462" t="s">
        <v>11</v>
      </c>
      <c r="P5462" t="s">
        <v>15</v>
      </c>
      <c r="Q5462" t="s">
        <v>16</v>
      </c>
      <c r="R5462" t="s">
        <v>16</v>
      </c>
      <c r="S5462" t="s">
        <v>144</v>
      </c>
      <c r="T5462" s="2">
        <f>MASTER[[#This Row],[CANTIDAD]]*MASTER[[#This Row],[PRECIO DE VENTA]]</f>
        <v>1585</v>
      </c>
      <c r="U5462" s="2">
        <f>MASTER[[#This Row],[CANTIDAD]]*MASTER[[#This Row],[COSTO UNITARIO]]</f>
        <v>459</v>
      </c>
      <c r="V5462" s="2">
        <f>MASTER[[#This Row],[MONTO VENDIDO]]-MASTER[[#This Row],[COSTO DE VENTA]]</f>
        <v>1126</v>
      </c>
    </row>
    <row r="5463" spans="1:22" x14ac:dyDescent="0.3">
      <c r="A5463">
        <v>77451</v>
      </c>
      <c r="B5463">
        <v>1</v>
      </c>
      <c r="C5463" t="s">
        <v>118</v>
      </c>
      <c r="D5463" t="s">
        <v>119</v>
      </c>
      <c r="E5463" s="1">
        <v>44426</v>
      </c>
      <c r="F5463">
        <v>1</v>
      </c>
      <c r="G5463" t="s">
        <v>43</v>
      </c>
      <c r="H5463" t="s">
        <v>44</v>
      </c>
      <c r="I5463" s="3">
        <v>1026</v>
      </c>
      <c r="J5463" s="3">
        <v>1026</v>
      </c>
      <c r="K5463" s="3">
        <v>424</v>
      </c>
      <c r="L5463" t="s">
        <v>120</v>
      </c>
      <c r="M5463">
        <v>13</v>
      </c>
      <c r="N5463" t="s">
        <v>78</v>
      </c>
      <c r="O5463" t="s">
        <v>70</v>
      </c>
      <c r="P5463" t="s">
        <v>18</v>
      </c>
      <c r="Q5463" t="s">
        <v>19</v>
      </c>
      <c r="R5463" t="s">
        <v>138</v>
      </c>
      <c r="S5463" t="s">
        <v>144</v>
      </c>
      <c r="T5463" s="2">
        <f>MASTER[[#This Row],[CANTIDAD]]*MASTER[[#This Row],[PRECIO DE VENTA]]</f>
        <v>1026</v>
      </c>
      <c r="U5463" s="2">
        <f>MASTER[[#This Row],[CANTIDAD]]*MASTER[[#This Row],[COSTO UNITARIO]]</f>
        <v>424</v>
      </c>
      <c r="V5463" s="2">
        <f>MASTER[[#This Row],[MONTO VENDIDO]]-MASTER[[#This Row],[COSTO DE VENTA]]</f>
        <v>602</v>
      </c>
    </row>
    <row r="5464" spans="1:22" x14ac:dyDescent="0.3">
      <c r="A5464">
        <v>77464</v>
      </c>
      <c r="B5464">
        <v>1</v>
      </c>
      <c r="C5464" t="s">
        <v>94</v>
      </c>
      <c r="D5464" t="s">
        <v>95</v>
      </c>
      <c r="E5464" s="1">
        <v>44426</v>
      </c>
      <c r="F5464">
        <v>1</v>
      </c>
      <c r="G5464" t="s">
        <v>67</v>
      </c>
      <c r="H5464" t="s">
        <v>68</v>
      </c>
      <c r="I5464" s="3">
        <v>1048</v>
      </c>
      <c r="J5464" s="3">
        <v>1048</v>
      </c>
      <c r="K5464" s="3">
        <v>392</v>
      </c>
      <c r="L5464" t="s">
        <v>9</v>
      </c>
      <c r="M5464">
        <v>5</v>
      </c>
      <c r="N5464" t="s">
        <v>85</v>
      </c>
      <c r="O5464" t="s">
        <v>81</v>
      </c>
      <c r="P5464" t="s">
        <v>12</v>
      </c>
      <c r="Q5464" t="s">
        <v>13</v>
      </c>
      <c r="R5464" t="s">
        <v>13</v>
      </c>
      <c r="S5464" t="s">
        <v>144</v>
      </c>
      <c r="T5464" s="2">
        <f>MASTER[[#This Row],[CANTIDAD]]*MASTER[[#This Row],[PRECIO DE VENTA]]</f>
        <v>1048</v>
      </c>
      <c r="U5464" s="2">
        <f>MASTER[[#This Row],[CANTIDAD]]*MASTER[[#This Row],[COSTO UNITARIO]]</f>
        <v>392</v>
      </c>
      <c r="V5464" s="2">
        <f>MASTER[[#This Row],[MONTO VENDIDO]]-MASTER[[#This Row],[COSTO DE VENTA]]</f>
        <v>656</v>
      </c>
    </row>
    <row r="5465" spans="1:22" x14ac:dyDescent="0.3">
      <c r="A5465">
        <v>77468</v>
      </c>
      <c r="B5465">
        <v>1</v>
      </c>
      <c r="C5465" t="s">
        <v>111</v>
      </c>
      <c r="D5465" t="s">
        <v>112</v>
      </c>
      <c r="E5465" s="1">
        <v>44426</v>
      </c>
      <c r="F5465">
        <v>1</v>
      </c>
      <c r="G5465" t="s">
        <v>35</v>
      </c>
      <c r="H5465" t="s">
        <v>36</v>
      </c>
      <c r="I5465" s="3">
        <v>1799</v>
      </c>
      <c r="J5465" s="3">
        <v>1799</v>
      </c>
      <c r="K5465" s="3">
        <v>434</v>
      </c>
      <c r="L5465" t="s">
        <v>113</v>
      </c>
      <c r="M5465">
        <v>1</v>
      </c>
      <c r="N5465" t="s">
        <v>77</v>
      </c>
      <c r="O5465" t="s">
        <v>70</v>
      </c>
      <c r="P5465" t="s">
        <v>71</v>
      </c>
      <c r="Q5465" t="s">
        <v>72</v>
      </c>
      <c r="R5465" t="s">
        <v>139</v>
      </c>
      <c r="S5465" t="s">
        <v>144</v>
      </c>
      <c r="T5465" s="2">
        <f>MASTER[[#This Row],[CANTIDAD]]*MASTER[[#This Row],[PRECIO DE VENTA]]</f>
        <v>1799</v>
      </c>
      <c r="U5465" s="2">
        <f>MASTER[[#This Row],[CANTIDAD]]*MASTER[[#This Row],[COSTO UNITARIO]]</f>
        <v>434</v>
      </c>
      <c r="V5465" s="2">
        <f>MASTER[[#This Row],[MONTO VENDIDO]]-MASTER[[#This Row],[COSTO DE VENTA]]</f>
        <v>1365</v>
      </c>
    </row>
    <row r="5466" spans="1:22" x14ac:dyDescent="0.3">
      <c r="A5466">
        <v>77478</v>
      </c>
      <c r="B5466">
        <v>1</v>
      </c>
      <c r="C5466" t="s">
        <v>118</v>
      </c>
      <c r="D5466" t="s">
        <v>119</v>
      </c>
      <c r="E5466" s="1">
        <v>44426</v>
      </c>
      <c r="F5466">
        <v>1</v>
      </c>
      <c r="G5466" t="s">
        <v>39</v>
      </c>
      <c r="H5466" t="s">
        <v>40</v>
      </c>
      <c r="I5466" s="3">
        <v>900</v>
      </c>
      <c r="J5466" s="3">
        <v>900</v>
      </c>
      <c r="K5466" s="3">
        <v>424</v>
      </c>
      <c r="L5466" t="s">
        <v>120</v>
      </c>
      <c r="M5466">
        <v>19</v>
      </c>
      <c r="N5466" t="s">
        <v>89</v>
      </c>
      <c r="O5466" t="s">
        <v>81</v>
      </c>
      <c r="P5466" t="s">
        <v>15</v>
      </c>
      <c r="Q5466" t="s">
        <v>16</v>
      </c>
      <c r="R5466" t="s">
        <v>16</v>
      </c>
      <c r="S5466" t="s">
        <v>144</v>
      </c>
      <c r="T5466" s="2">
        <f>MASTER[[#This Row],[CANTIDAD]]*MASTER[[#This Row],[PRECIO DE VENTA]]</f>
        <v>900</v>
      </c>
      <c r="U5466" s="2">
        <f>MASTER[[#This Row],[CANTIDAD]]*MASTER[[#This Row],[COSTO UNITARIO]]</f>
        <v>424</v>
      </c>
      <c r="V5466" s="2">
        <f>MASTER[[#This Row],[MONTO VENDIDO]]-MASTER[[#This Row],[COSTO DE VENTA]]</f>
        <v>476</v>
      </c>
    </row>
    <row r="5467" spans="1:22" x14ac:dyDescent="0.3">
      <c r="A5467">
        <v>77484</v>
      </c>
      <c r="B5467">
        <v>1</v>
      </c>
      <c r="C5467" t="s">
        <v>109</v>
      </c>
      <c r="D5467" t="s">
        <v>110</v>
      </c>
      <c r="E5467" s="1">
        <v>44426</v>
      </c>
      <c r="F5467">
        <v>1</v>
      </c>
      <c r="G5467" t="s">
        <v>45</v>
      </c>
      <c r="H5467" t="s">
        <v>46</v>
      </c>
      <c r="I5467" s="3">
        <v>1128</v>
      </c>
      <c r="J5467" s="3">
        <v>1128</v>
      </c>
      <c r="K5467" s="3">
        <v>387</v>
      </c>
      <c r="L5467" t="s">
        <v>98</v>
      </c>
      <c r="M5467">
        <v>1</v>
      </c>
      <c r="N5467" t="s">
        <v>77</v>
      </c>
      <c r="O5467" t="s">
        <v>70</v>
      </c>
      <c r="P5467" t="s">
        <v>71</v>
      </c>
      <c r="Q5467" t="s">
        <v>72</v>
      </c>
      <c r="R5467" t="s">
        <v>139</v>
      </c>
      <c r="S5467" t="s">
        <v>144</v>
      </c>
      <c r="T5467" s="2">
        <f>MASTER[[#This Row],[CANTIDAD]]*MASTER[[#This Row],[PRECIO DE VENTA]]</f>
        <v>1128</v>
      </c>
      <c r="U5467" s="2">
        <f>MASTER[[#This Row],[CANTIDAD]]*MASTER[[#This Row],[COSTO UNITARIO]]</f>
        <v>387</v>
      </c>
      <c r="V5467" s="2">
        <f>MASTER[[#This Row],[MONTO VENDIDO]]-MASTER[[#This Row],[COSTO DE VENTA]]</f>
        <v>741</v>
      </c>
    </row>
    <row r="5468" spans="1:22" x14ac:dyDescent="0.3">
      <c r="A5468">
        <v>77498</v>
      </c>
      <c r="B5468">
        <v>1</v>
      </c>
      <c r="C5468" t="s">
        <v>5</v>
      </c>
      <c r="D5468" t="s">
        <v>6</v>
      </c>
      <c r="E5468" s="1">
        <v>44426</v>
      </c>
      <c r="F5468">
        <v>1</v>
      </c>
      <c r="G5468" t="s">
        <v>24</v>
      </c>
      <c r="H5468" t="s">
        <v>25</v>
      </c>
      <c r="I5468" s="3">
        <v>1296</v>
      </c>
      <c r="J5468" s="3">
        <v>1296</v>
      </c>
      <c r="K5468" s="3">
        <v>393</v>
      </c>
      <c r="L5468" t="s">
        <v>9</v>
      </c>
      <c r="M5468">
        <v>3</v>
      </c>
      <c r="N5468" t="s">
        <v>69</v>
      </c>
      <c r="O5468" t="s">
        <v>70</v>
      </c>
      <c r="P5468" t="s">
        <v>71</v>
      </c>
      <c r="Q5468" t="s">
        <v>72</v>
      </c>
      <c r="R5468" t="s">
        <v>139</v>
      </c>
      <c r="S5468" t="s">
        <v>144</v>
      </c>
      <c r="T5468" s="2">
        <f>MASTER[[#This Row],[CANTIDAD]]*MASTER[[#This Row],[PRECIO DE VENTA]]</f>
        <v>1296</v>
      </c>
      <c r="U5468" s="2">
        <f>MASTER[[#This Row],[CANTIDAD]]*MASTER[[#This Row],[COSTO UNITARIO]]</f>
        <v>393</v>
      </c>
      <c r="V5468" s="2">
        <f>MASTER[[#This Row],[MONTO VENDIDO]]-MASTER[[#This Row],[COSTO DE VENTA]]</f>
        <v>903</v>
      </c>
    </row>
    <row r="5469" spans="1:22" x14ac:dyDescent="0.3">
      <c r="A5469">
        <v>77502</v>
      </c>
      <c r="B5469">
        <v>1</v>
      </c>
      <c r="C5469" t="s">
        <v>107</v>
      </c>
      <c r="D5469" t="s">
        <v>108</v>
      </c>
      <c r="E5469" s="1">
        <v>44426</v>
      </c>
      <c r="F5469">
        <v>1</v>
      </c>
      <c r="G5469" t="s">
        <v>29</v>
      </c>
      <c r="H5469" t="s">
        <v>30</v>
      </c>
      <c r="I5469" s="3">
        <v>1333</v>
      </c>
      <c r="J5469" s="3">
        <v>1239</v>
      </c>
      <c r="K5469" s="3">
        <v>380</v>
      </c>
      <c r="L5469" t="s">
        <v>98</v>
      </c>
      <c r="M5469">
        <v>10</v>
      </c>
      <c r="N5469" t="s">
        <v>83</v>
      </c>
      <c r="O5469" t="s">
        <v>81</v>
      </c>
      <c r="P5469" t="s">
        <v>12</v>
      </c>
      <c r="Q5469" t="s">
        <v>13</v>
      </c>
      <c r="R5469" t="s">
        <v>13</v>
      </c>
      <c r="S5469" t="s">
        <v>144</v>
      </c>
      <c r="T5469" s="2">
        <f>MASTER[[#This Row],[CANTIDAD]]*MASTER[[#This Row],[PRECIO DE VENTA]]</f>
        <v>1239</v>
      </c>
      <c r="U5469" s="2">
        <f>MASTER[[#This Row],[CANTIDAD]]*MASTER[[#This Row],[COSTO UNITARIO]]</f>
        <v>380</v>
      </c>
      <c r="V5469" s="2">
        <f>MASTER[[#This Row],[MONTO VENDIDO]]-MASTER[[#This Row],[COSTO DE VENTA]]</f>
        <v>859</v>
      </c>
    </row>
    <row r="5470" spans="1:22" x14ac:dyDescent="0.3">
      <c r="A5470">
        <v>77502</v>
      </c>
      <c r="B5470">
        <v>2</v>
      </c>
      <c r="C5470" t="s">
        <v>116</v>
      </c>
      <c r="D5470" t="s">
        <v>117</v>
      </c>
      <c r="E5470" s="1">
        <v>44426</v>
      </c>
      <c r="F5470">
        <v>1</v>
      </c>
      <c r="G5470" t="s">
        <v>63</v>
      </c>
      <c r="H5470" t="s">
        <v>64</v>
      </c>
      <c r="I5470" s="3">
        <v>1738</v>
      </c>
      <c r="J5470" s="3">
        <v>1738</v>
      </c>
      <c r="K5470" s="3">
        <v>388</v>
      </c>
      <c r="L5470" t="s">
        <v>113</v>
      </c>
      <c r="M5470">
        <v>10</v>
      </c>
      <c r="N5470" t="s">
        <v>83</v>
      </c>
      <c r="O5470" t="s">
        <v>81</v>
      </c>
      <c r="P5470" t="s">
        <v>12</v>
      </c>
      <c r="Q5470" t="s">
        <v>13</v>
      </c>
      <c r="R5470" t="s">
        <v>13</v>
      </c>
      <c r="S5470" t="s">
        <v>144</v>
      </c>
      <c r="T5470" s="2">
        <f>MASTER[[#This Row],[CANTIDAD]]*MASTER[[#This Row],[PRECIO DE VENTA]]</f>
        <v>1738</v>
      </c>
      <c r="U5470" s="2">
        <f>MASTER[[#This Row],[CANTIDAD]]*MASTER[[#This Row],[COSTO UNITARIO]]</f>
        <v>388</v>
      </c>
      <c r="V5470" s="2">
        <f>MASTER[[#This Row],[MONTO VENDIDO]]-MASTER[[#This Row],[COSTO DE VENTA]]</f>
        <v>1350</v>
      </c>
    </row>
    <row r="5471" spans="1:22" x14ac:dyDescent="0.3">
      <c r="A5471">
        <v>77512</v>
      </c>
      <c r="B5471">
        <v>1</v>
      </c>
      <c r="C5471" t="s">
        <v>105</v>
      </c>
      <c r="D5471" t="s">
        <v>106</v>
      </c>
      <c r="E5471" s="1">
        <v>44426</v>
      </c>
      <c r="F5471">
        <v>1</v>
      </c>
      <c r="G5471" t="s">
        <v>73</v>
      </c>
      <c r="H5471" t="s">
        <v>74</v>
      </c>
      <c r="I5471" s="3">
        <v>1865</v>
      </c>
      <c r="J5471" s="3">
        <v>1865</v>
      </c>
      <c r="K5471" s="3">
        <v>459</v>
      </c>
      <c r="L5471" t="s">
        <v>98</v>
      </c>
      <c r="M5471">
        <v>14</v>
      </c>
      <c r="N5471" t="s">
        <v>87</v>
      </c>
      <c r="O5471" t="s">
        <v>81</v>
      </c>
      <c r="P5471" t="s">
        <v>18</v>
      </c>
      <c r="Q5471" t="s">
        <v>19</v>
      </c>
      <c r="R5471" t="s">
        <v>138</v>
      </c>
      <c r="S5471" t="s">
        <v>144</v>
      </c>
      <c r="T5471" s="2">
        <f>MASTER[[#This Row],[CANTIDAD]]*MASTER[[#This Row],[PRECIO DE VENTA]]</f>
        <v>1865</v>
      </c>
      <c r="U5471" s="2">
        <f>MASTER[[#This Row],[CANTIDAD]]*MASTER[[#This Row],[COSTO UNITARIO]]</f>
        <v>459</v>
      </c>
      <c r="V5471" s="2">
        <f>MASTER[[#This Row],[MONTO VENDIDO]]-MASTER[[#This Row],[COSTO DE VENTA]]</f>
        <v>1406</v>
      </c>
    </row>
    <row r="5472" spans="1:22" x14ac:dyDescent="0.3">
      <c r="A5472">
        <v>77517</v>
      </c>
      <c r="B5472">
        <v>1</v>
      </c>
      <c r="C5472" t="s">
        <v>121</v>
      </c>
      <c r="D5472" t="s">
        <v>122</v>
      </c>
      <c r="E5472" s="1">
        <v>44426</v>
      </c>
      <c r="F5472">
        <v>1</v>
      </c>
      <c r="G5472" t="s">
        <v>51</v>
      </c>
      <c r="H5472" t="s">
        <v>52</v>
      </c>
      <c r="I5472" s="3">
        <v>1069</v>
      </c>
      <c r="J5472" s="3">
        <v>1069</v>
      </c>
      <c r="K5472" s="3">
        <v>460</v>
      </c>
      <c r="L5472" t="s">
        <v>120</v>
      </c>
      <c r="M5472">
        <v>8</v>
      </c>
      <c r="N5472" t="s">
        <v>80</v>
      </c>
      <c r="O5472" t="s">
        <v>81</v>
      </c>
      <c r="P5472" t="s">
        <v>12</v>
      </c>
      <c r="Q5472" t="s">
        <v>13</v>
      </c>
      <c r="R5472" t="s">
        <v>13</v>
      </c>
      <c r="S5472" t="s">
        <v>144</v>
      </c>
      <c r="T5472" s="2">
        <f>MASTER[[#This Row],[CANTIDAD]]*MASTER[[#This Row],[PRECIO DE VENTA]]</f>
        <v>1069</v>
      </c>
      <c r="U5472" s="2">
        <f>MASTER[[#This Row],[CANTIDAD]]*MASTER[[#This Row],[COSTO UNITARIO]]</f>
        <v>460</v>
      </c>
      <c r="V5472" s="2">
        <f>MASTER[[#This Row],[MONTO VENDIDO]]-MASTER[[#This Row],[COSTO DE VENTA]]</f>
        <v>609</v>
      </c>
    </row>
    <row r="5473" spans="1:22" x14ac:dyDescent="0.3">
      <c r="A5473">
        <v>77532</v>
      </c>
      <c r="B5473">
        <v>1</v>
      </c>
      <c r="C5473" t="s">
        <v>96</v>
      </c>
      <c r="D5473" t="s">
        <v>97</v>
      </c>
      <c r="E5473" s="1">
        <v>44427</v>
      </c>
      <c r="F5473">
        <v>1</v>
      </c>
      <c r="G5473" t="s">
        <v>61</v>
      </c>
      <c r="H5473" t="s">
        <v>62</v>
      </c>
      <c r="I5473" s="3">
        <v>1196</v>
      </c>
      <c r="J5473" s="3">
        <v>1196</v>
      </c>
      <c r="K5473" s="3">
        <v>397</v>
      </c>
      <c r="L5473" t="s">
        <v>98</v>
      </c>
      <c r="M5473">
        <v>17</v>
      </c>
      <c r="N5473" t="s">
        <v>14</v>
      </c>
      <c r="O5473" t="s">
        <v>11</v>
      </c>
      <c r="P5473" t="s">
        <v>15</v>
      </c>
      <c r="Q5473" t="s">
        <v>16</v>
      </c>
      <c r="R5473" t="s">
        <v>16</v>
      </c>
      <c r="S5473" t="s">
        <v>144</v>
      </c>
      <c r="T5473" s="2">
        <f>MASTER[[#This Row],[CANTIDAD]]*MASTER[[#This Row],[PRECIO DE VENTA]]</f>
        <v>1196</v>
      </c>
      <c r="U5473" s="2">
        <f>MASTER[[#This Row],[CANTIDAD]]*MASTER[[#This Row],[COSTO UNITARIO]]</f>
        <v>397</v>
      </c>
      <c r="V5473" s="2">
        <f>MASTER[[#This Row],[MONTO VENDIDO]]-MASTER[[#This Row],[COSTO DE VENTA]]</f>
        <v>799</v>
      </c>
    </row>
    <row r="5474" spans="1:22" x14ac:dyDescent="0.3">
      <c r="A5474">
        <v>77540</v>
      </c>
      <c r="B5474">
        <v>1</v>
      </c>
      <c r="C5474" t="s">
        <v>111</v>
      </c>
      <c r="D5474" t="s">
        <v>112</v>
      </c>
      <c r="E5474" s="1">
        <v>44427</v>
      </c>
      <c r="F5474">
        <v>1</v>
      </c>
      <c r="G5474" t="s">
        <v>43</v>
      </c>
      <c r="H5474" t="s">
        <v>44</v>
      </c>
      <c r="I5474" s="3">
        <v>1524</v>
      </c>
      <c r="J5474" s="3">
        <v>1524</v>
      </c>
      <c r="K5474" s="3">
        <v>434</v>
      </c>
      <c r="L5474" t="s">
        <v>113</v>
      </c>
      <c r="M5474">
        <v>16</v>
      </c>
      <c r="N5474" t="s">
        <v>17</v>
      </c>
      <c r="O5474" t="s">
        <v>11</v>
      </c>
      <c r="P5474" t="s">
        <v>18</v>
      </c>
      <c r="Q5474" t="s">
        <v>19</v>
      </c>
      <c r="R5474" t="s">
        <v>138</v>
      </c>
      <c r="S5474" t="s">
        <v>144</v>
      </c>
      <c r="T5474" s="2">
        <f>MASTER[[#This Row],[CANTIDAD]]*MASTER[[#This Row],[PRECIO DE VENTA]]</f>
        <v>1524</v>
      </c>
      <c r="U5474" s="2">
        <f>MASTER[[#This Row],[CANTIDAD]]*MASTER[[#This Row],[COSTO UNITARIO]]</f>
        <v>434</v>
      </c>
      <c r="V5474" s="2">
        <f>MASTER[[#This Row],[MONTO VENDIDO]]-MASTER[[#This Row],[COSTO DE VENTA]]</f>
        <v>1090</v>
      </c>
    </row>
    <row r="5475" spans="1:22" x14ac:dyDescent="0.3">
      <c r="A5475">
        <v>77551</v>
      </c>
      <c r="B5475">
        <v>1</v>
      </c>
      <c r="C5475" t="s">
        <v>90</v>
      </c>
      <c r="D5475" t="s">
        <v>91</v>
      </c>
      <c r="E5475" s="1">
        <v>44427</v>
      </c>
      <c r="F5475">
        <v>1</v>
      </c>
      <c r="G5475" t="s">
        <v>51</v>
      </c>
      <c r="H5475" t="s">
        <v>52</v>
      </c>
      <c r="I5475" s="3">
        <v>1844</v>
      </c>
      <c r="J5475" s="3">
        <v>1844</v>
      </c>
      <c r="K5475" s="3">
        <v>420</v>
      </c>
      <c r="L5475" t="s">
        <v>9</v>
      </c>
      <c r="M5475">
        <v>2</v>
      </c>
      <c r="N5475" t="s">
        <v>86</v>
      </c>
      <c r="O5475" t="s">
        <v>81</v>
      </c>
      <c r="P5475" t="s">
        <v>71</v>
      </c>
      <c r="Q5475" t="s">
        <v>72</v>
      </c>
      <c r="R5475" t="s">
        <v>139</v>
      </c>
      <c r="S5475" t="s">
        <v>144</v>
      </c>
      <c r="T5475" s="2">
        <f>MASTER[[#This Row],[CANTIDAD]]*MASTER[[#This Row],[PRECIO DE VENTA]]</f>
        <v>1844</v>
      </c>
      <c r="U5475" s="2">
        <f>MASTER[[#This Row],[CANTIDAD]]*MASTER[[#This Row],[COSTO UNITARIO]]</f>
        <v>420</v>
      </c>
      <c r="V5475" s="2">
        <f>MASTER[[#This Row],[MONTO VENDIDO]]-MASTER[[#This Row],[COSTO DE VENTA]]</f>
        <v>1424</v>
      </c>
    </row>
    <row r="5476" spans="1:22" x14ac:dyDescent="0.3">
      <c r="A5476">
        <v>77554</v>
      </c>
      <c r="B5476">
        <v>1</v>
      </c>
      <c r="C5476" t="s">
        <v>96</v>
      </c>
      <c r="D5476" t="s">
        <v>97</v>
      </c>
      <c r="E5476" s="1">
        <v>44427</v>
      </c>
      <c r="F5476">
        <v>1</v>
      </c>
      <c r="G5476" t="s">
        <v>57</v>
      </c>
      <c r="H5476" t="s">
        <v>58</v>
      </c>
      <c r="I5476" s="3">
        <v>1361</v>
      </c>
      <c r="J5476" s="3">
        <v>1361</v>
      </c>
      <c r="K5476" s="3">
        <v>397</v>
      </c>
      <c r="L5476" t="s">
        <v>98</v>
      </c>
      <c r="M5476">
        <v>18</v>
      </c>
      <c r="N5476" t="s">
        <v>79</v>
      </c>
      <c r="O5476" t="s">
        <v>70</v>
      </c>
      <c r="P5476" t="s">
        <v>15</v>
      </c>
      <c r="Q5476" t="s">
        <v>16</v>
      </c>
      <c r="R5476" t="s">
        <v>16</v>
      </c>
      <c r="S5476" t="s">
        <v>144</v>
      </c>
      <c r="T5476" s="2">
        <f>MASTER[[#This Row],[CANTIDAD]]*MASTER[[#This Row],[PRECIO DE VENTA]]</f>
        <v>1361</v>
      </c>
      <c r="U5476" s="2">
        <f>MASTER[[#This Row],[CANTIDAD]]*MASTER[[#This Row],[COSTO UNITARIO]]</f>
        <v>397</v>
      </c>
      <c r="V5476" s="2">
        <f>MASTER[[#This Row],[MONTO VENDIDO]]-MASTER[[#This Row],[COSTO DE VENTA]]</f>
        <v>964</v>
      </c>
    </row>
    <row r="5477" spans="1:22" x14ac:dyDescent="0.3">
      <c r="A5477">
        <v>77560</v>
      </c>
      <c r="B5477">
        <v>1</v>
      </c>
      <c r="C5477" t="s">
        <v>5</v>
      </c>
      <c r="D5477" t="s">
        <v>6</v>
      </c>
      <c r="E5477" s="1">
        <v>44427</v>
      </c>
      <c r="F5477">
        <v>1</v>
      </c>
      <c r="G5477" t="s">
        <v>31</v>
      </c>
      <c r="H5477" t="s">
        <v>32</v>
      </c>
      <c r="I5477" s="3">
        <v>1507</v>
      </c>
      <c r="J5477" s="3">
        <v>1507</v>
      </c>
      <c r="K5477" s="3">
        <v>393</v>
      </c>
      <c r="L5477" t="s">
        <v>9</v>
      </c>
      <c r="M5477">
        <v>19</v>
      </c>
      <c r="N5477" t="s">
        <v>89</v>
      </c>
      <c r="O5477" t="s">
        <v>81</v>
      </c>
      <c r="P5477" t="s">
        <v>15</v>
      </c>
      <c r="Q5477" t="s">
        <v>16</v>
      </c>
      <c r="R5477" t="s">
        <v>16</v>
      </c>
      <c r="S5477" t="s">
        <v>144</v>
      </c>
      <c r="T5477" s="2">
        <f>MASTER[[#This Row],[CANTIDAD]]*MASTER[[#This Row],[PRECIO DE VENTA]]</f>
        <v>1507</v>
      </c>
      <c r="U5477" s="2">
        <f>MASTER[[#This Row],[CANTIDAD]]*MASTER[[#This Row],[COSTO UNITARIO]]</f>
        <v>393</v>
      </c>
      <c r="V5477" s="2">
        <f>MASTER[[#This Row],[MONTO VENDIDO]]-MASTER[[#This Row],[COSTO DE VENTA]]</f>
        <v>1114</v>
      </c>
    </row>
    <row r="5478" spans="1:22" x14ac:dyDescent="0.3">
      <c r="A5478">
        <v>77565</v>
      </c>
      <c r="B5478">
        <v>1</v>
      </c>
      <c r="C5478" t="s">
        <v>5</v>
      </c>
      <c r="D5478" t="s">
        <v>6</v>
      </c>
      <c r="E5478" s="1">
        <v>44427</v>
      </c>
      <c r="F5478">
        <v>1</v>
      </c>
      <c r="G5478" t="s">
        <v>41</v>
      </c>
      <c r="H5478" t="s">
        <v>42</v>
      </c>
      <c r="I5478" s="3">
        <v>1296</v>
      </c>
      <c r="J5478" s="3">
        <v>1296</v>
      </c>
      <c r="K5478" s="3">
        <v>393</v>
      </c>
      <c r="L5478" t="s">
        <v>9</v>
      </c>
      <c r="M5478">
        <v>1</v>
      </c>
      <c r="N5478" t="s">
        <v>77</v>
      </c>
      <c r="O5478" t="s">
        <v>70</v>
      </c>
      <c r="P5478" t="s">
        <v>71</v>
      </c>
      <c r="Q5478" t="s">
        <v>72</v>
      </c>
      <c r="R5478" t="s">
        <v>139</v>
      </c>
      <c r="S5478" t="s">
        <v>144</v>
      </c>
      <c r="T5478" s="2">
        <f>MASTER[[#This Row],[CANTIDAD]]*MASTER[[#This Row],[PRECIO DE VENTA]]</f>
        <v>1296</v>
      </c>
      <c r="U5478" s="2">
        <f>MASTER[[#This Row],[CANTIDAD]]*MASTER[[#This Row],[COSTO UNITARIO]]</f>
        <v>393</v>
      </c>
      <c r="V5478" s="2">
        <f>MASTER[[#This Row],[MONTO VENDIDO]]-MASTER[[#This Row],[COSTO DE VENTA]]</f>
        <v>903</v>
      </c>
    </row>
    <row r="5479" spans="1:22" x14ac:dyDescent="0.3">
      <c r="A5479">
        <v>77569</v>
      </c>
      <c r="B5479">
        <v>1</v>
      </c>
      <c r="C5479" t="s">
        <v>101</v>
      </c>
      <c r="D5479" t="s">
        <v>102</v>
      </c>
      <c r="E5479" s="1">
        <v>44427</v>
      </c>
      <c r="F5479">
        <v>1</v>
      </c>
      <c r="G5479" t="s">
        <v>49</v>
      </c>
      <c r="H5479" t="s">
        <v>50</v>
      </c>
      <c r="I5479" s="3">
        <v>1054</v>
      </c>
      <c r="J5479" s="3">
        <v>1054</v>
      </c>
      <c r="K5479" s="3">
        <v>442</v>
      </c>
      <c r="L5479" t="s">
        <v>98</v>
      </c>
      <c r="M5479">
        <v>17</v>
      </c>
      <c r="N5479" t="s">
        <v>14</v>
      </c>
      <c r="O5479" t="s">
        <v>11</v>
      </c>
      <c r="P5479" t="s">
        <v>15</v>
      </c>
      <c r="Q5479" t="s">
        <v>16</v>
      </c>
      <c r="R5479" t="s">
        <v>16</v>
      </c>
      <c r="S5479" t="s">
        <v>144</v>
      </c>
      <c r="T5479" s="2">
        <f>MASTER[[#This Row],[CANTIDAD]]*MASTER[[#This Row],[PRECIO DE VENTA]]</f>
        <v>1054</v>
      </c>
      <c r="U5479" s="2">
        <f>MASTER[[#This Row],[CANTIDAD]]*MASTER[[#This Row],[COSTO UNITARIO]]</f>
        <v>442</v>
      </c>
      <c r="V5479" s="2">
        <f>MASTER[[#This Row],[MONTO VENDIDO]]-MASTER[[#This Row],[COSTO DE VENTA]]</f>
        <v>612</v>
      </c>
    </row>
    <row r="5480" spans="1:22" x14ac:dyDescent="0.3">
      <c r="A5480">
        <v>77573</v>
      </c>
      <c r="B5480">
        <v>1</v>
      </c>
      <c r="C5480" t="s">
        <v>94</v>
      </c>
      <c r="D5480" t="s">
        <v>95</v>
      </c>
      <c r="E5480" s="1">
        <v>44427</v>
      </c>
      <c r="F5480">
        <v>1</v>
      </c>
      <c r="G5480" t="s">
        <v>35</v>
      </c>
      <c r="H5480" t="s">
        <v>36</v>
      </c>
      <c r="I5480" s="3">
        <v>1153</v>
      </c>
      <c r="J5480" s="3">
        <v>1153</v>
      </c>
      <c r="K5480" s="3">
        <v>392</v>
      </c>
      <c r="L5480" t="s">
        <v>9</v>
      </c>
      <c r="M5480">
        <v>1</v>
      </c>
      <c r="N5480" t="s">
        <v>77</v>
      </c>
      <c r="O5480" t="s">
        <v>70</v>
      </c>
      <c r="P5480" t="s">
        <v>71</v>
      </c>
      <c r="Q5480" t="s">
        <v>72</v>
      </c>
      <c r="R5480" t="s">
        <v>139</v>
      </c>
      <c r="S5480" t="s">
        <v>144</v>
      </c>
      <c r="T5480" s="2">
        <f>MASTER[[#This Row],[CANTIDAD]]*MASTER[[#This Row],[PRECIO DE VENTA]]</f>
        <v>1153</v>
      </c>
      <c r="U5480" s="2">
        <f>MASTER[[#This Row],[CANTIDAD]]*MASTER[[#This Row],[COSTO UNITARIO]]</f>
        <v>392</v>
      </c>
      <c r="V5480" s="2">
        <f>MASTER[[#This Row],[MONTO VENDIDO]]-MASTER[[#This Row],[COSTO DE VENTA]]</f>
        <v>761</v>
      </c>
    </row>
    <row r="5481" spans="1:22" x14ac:dyDescent="0.3">
      <c r="A5481">
        <v>77607</v>
      </c>
      <c r="B5481">
        <v>1</v>
      </c>
      <c r="C5481" t="s">
        <v>105</v>
      </c>
      <c r="D5481" t="s">
        <v>106</v>
      </c>
      <c r="E5481" s="1">
        <v>44428</v>
      </c>
      <c r="F5481">
        <v>1</v>
      </c>
      <c r="G5481" t="s">
        <v>27</v>
      </c>
      <c r="H5481" t="s">
        <v>28</v>
      </c>
      <c r="I5481" s="3">
        <v>1865</v>
      </c>
      <c r="J5481" s="3">
        <v>1865</v>
      </c>
      <c r="K5481" s="3">
        <v>459</v>
      </c>
      <c r="L5481" t="s">
        <v>98</v>
      </c>
      <c r="M5481">
        <v>5</v>
      </c>
      <c r="N5481" t="s">
        <v>85</v>
      </c>
      <c r="O5481" t="s">
        <v>81</v>
      </c>
      <c r="P5481" t="s">
        <v>12</v>
      </c>
      <c r="Q5481" t="s">
        <v>13</v>
      </c>
      <c r="R5481" t="s">
        <v>13</v>
      </c>
      <c r="S5481" t="s">
        <v>144</v>
      </c>
      <c r="T5481" s="2">
        <f>MASTER[[#This Row],[CANTIDAD]]*MASTER[[#This Row],[PRECIO DE VENTA]]</f>
        <v>1865</v>
      </c>
      <c r="U5481" s="2">
        <f>MASTER[[#This Row],[CANTIDAD]]*MASTER[[#This Row],[COSTO UNITARIO]]</f>
        <v>459</v>
      </c>
      <c r="V5481" s="2">
        <f>MASTER[[#This Row],[MONTO VENDIDO]]-MASTER[[#This Row],[COSTO DE VENTA]]</f>
        <v>1406</v>
      </c>
    </row>
    <row r="5482" spans="1:22" x14ac:dyDescent="0.3">
      <c r="A5482">
        <v>77621</v>
      </c>
      <c r="B5482">
        <v>1</v>
      </c>
      <c r="C5482" t="s">
        <v>99</v>
      </c>
      <c r="D5482" t="s">
        <v>100</v>
      </c>
      <c r="E5482" s="1">
        <v>44428</v>
      </c>
      <c r="F5482">
        <v>1</v>
      </c>
      <c r="G5482" t="s">
        <v>35</v>
      </c>
      <c r="H5482" t="s">
        <v>36</v>
      </c>
      <c r="I5482" s="3">
        <v>1678</v>
      </c>
      <c r="J5482" s="3">
        <v>1526</v>
      </c>
      <c r="K5482" s="3">
        <v>386</v>
      </c>
      <c r="L5482" t="s">
        <v>98</v>
      </c>
      <c r="M5482">
        <v>6</v>
      </c>
      <c r="N5482" t="s">
        <v>75</v>
      </c>
      <c r="O5482" t="s">
        <v>70</v>
      </c>
      <c r="P5482" t="s">
        <v>12</v>
      </c>
      <c r="Q5482" t="s">
        <v>13</v>
      </c>
      <c r="R5482" t="s">
        <v>13</v>
      </c>
      <c r="S5482" t="s">
        <v>144</v>
      </c>
      <c r="T5482" s="2">
        <f>MASTER[[#This Row],[CANTIDAD]]*MASTER[[#This Row],[PRECIO DE VENTA]]</f>
        <v>1526</v>
      </c>
      <c r="U5482" s="2">
        <f>MASTER[[#This Row],[CANTIDAD]]*MASTER[[#This Row],[COSTO UNITARIO]]</f>
        <v>386</v>
      </c>
      <c r="V5482" s="2">
        <f>MASTER[[#This Row],[MONTO VENDIDO]]-MASTER[[#This Row],[COSTO DE VENTA]]</f>
        <v>1140</v>
      </c>
    </row>
    <row r="5483" spans="1:22" x14ac:dyDescent="0.3">
      <c r="A5483">
        <v>77628</v>
      </c>
      <c r="B5483">
        <v>1</v>
      </c>
      <c r="C5483" t="s">
        <v>105</v>
      </c>
      <c r="D5483" t="s">
        <v>106</v>
      </c>
      <c r="E5483" s="1">
        <v>44428</v>
      </c>
      <c r="F5483">
        <v>1</v>
      </c>
      <c r="G5483" t="s">
        <v>33</v>
      </c>
      <c r="H5483" t="s">
        <v>34</v>
      </c>
      <c r="I5483" s="3">
        <v>1585</v>
      </c>
      <c r="J5483" s="3">
        <v>1585</v>
      </c>
      <c r="K5483" s="3">
        <v>459</v>
      </c>
      <c r="L5483" t="s">
        <v>98</v>
      </c>
      <c r="M5483">
        <v>16</v>
      </c>
      <c r="N5483" t="s">
        <v>17</v>
      </c>
      <c r="O5483" t="s">
        <v>11</v>
      </c>
      <c r="P5483" t="s">
        <v>18</v>
      </c>
      <c r="Q5483" t="s">
        <v>19</v>
      </c>
      <c r="R5483" t="s">
        <v>138</v>
      </c>
      <c r="S5483" t="s">
        <v>144</v>
      </c>
      <c r="T5483" s="2">
        <f>MASTER[[#This Row],[CANTIDAD]]*MASTER[[#This Row],[PRECIO DE VENTA]]</f>
        <v>1585</v>
      </c>
      <c r="U5483" s="2">
        <f>MASTER[[#This Row],[CANTIDAD]]*MASTER[[#This Row],[COSTO UNITARIO]]</f>
        <v>459</v>
      </c>
      <c r="V5483" s="2">
        <f>MASTER[[#This Row],[MONTO VENDIDO]]-MASTER[[#This Row],[COSTO DE VENTA]]</f>
        <v>1126</v>
      </c>
    </row>
    <row r="5484" spans="1:22" x14ac:dyDescent="0.3">
      <c r="A5484">
        <v>77636</v>
      </c>
      <c r="B5484">
        <v>1</v>
      </c>
      <c r="C5484" t="s">
        <v>101</v>
      </c>
      <c r="D5484" t="s">
        <v>102</v>
      </c>
      <c r="E5484" s="1">
        <v>44428</v>
      </c>
      <c r="F5484">
        <v>1</v>
      </c>
      <c r="G5484" t="s">
        <v>33</v>
      </c>
      <c r="H5484" t="s">
        <v>34</v>
      </c>
      <c r="I5484" s="3">
        <v>1054</v>
      </c>
      <c r="J5484" s="3">
        <v>1054</v>
      </c>
      <c r="K5484" s="3">
        <v>442</v>
      </c>
      <c r="L5484" t="s">
        <v>98</v>
      </c>
      <c r="M5484">
        <v>16</v>
      </c>
      <c r="N5484" t="s">
        <v>17</v>
      </c>
      <c r="O5484" t="s">
        <v>11</v>
      </c>
      <c r="P5484" t="s">
        <v>18</v>
      </c>
      <c r="Q5484" t="s">
        <v>19</v>
      </c>
      <c r="R5484" t="s">
        <v>138</v>
      </c>
      <c r="S5484" t="s">
        <v>144</v>
      </c>
      <c r="T5484" s="2">
        <f>MASTER[[#This Row],[CANTIDAD]]*MASTER[[#This Row],[PRECIO DE VENTA]]</f>
        <v>1054</v>
      </c>
      <c r="U5484" s="2">
        <f>MASTER[[#This Row],[CANTIDAD]]*MASTER[[#This Row],[COSTO UNITARIO]]</f>
        <v>442</v>
      </c>
      <c r="V5484" s="2">
        <f>MASTER[[#This Row],[MONTO VENDIDO]]-MASTER[[#This Row],[COSTO DE VENTA]]</f>
        <v>612</v>
      </c>
    </row>
    <row r="5485" spans="1:22" x14ac:dyDescent="0.3">
      <c r="A5485">
        <v>77655</v>
      </c>
      <c r="B5485">
        <v>1</v>
      </c>
      <c r="C5485" t="s">
        <v>5</v>
      </c>
      <c r="D5485" t="s">
        <v>6</v>
      </c>
      <c r="E5485" s="1">
        <v>44428</v>
      </c>
      <c r="F5485">
        <v>1</v>
      </c>
      <c r="G5485" t="s">
        <v>43</v>
      </c>
      <c r="H5485" t="s">
        <v>44</v>
      </c>
      <c r="I5485" s="3">
        <v>1507</v>
      </c>
      <c r="J5485" s="3">
        <v>1507</v>
      </c>
      <c r="K5485" s="3">
        <v>393</v>
      </c>
      <c r="L5485" t="s">
        <v>9</v>
      </c>
      <c r="M5485">
        <v>4</v>
      </c>
      <c r="N5485" t="s">
        <v>82</v>
      </c>
      <c r="O5485" t="s">
        <v>81</v>
      </c>
      <c r="P5485" t="s">
        <v>71</v>
      </c>
      <c r="Q5485" t="s">
        <v>72</v>
      </c>
      <c r="R5485" t="s">
        <v>139</v>
      </c>
      <c r="S5485" t="s">
        <v>144</v>
      </c>
      <c r="T5485" s="2">
        <f>MASTER[[#This Row],[CANTIDAD]]*MASTER[[#This Row],[PRECIO DE VENTA]]</f>
        <v>1507</v>
      </c>
      <c r="U5485" s="2">
        <f>MASTER[[#This Row],[CANTIDAD]]*MASTER[[#This Row],[COSTO UNITARIO]]</f>
        <v>393</v>
      </c>
      <c r="V5485" s="2">
        <f>MASTER[[#This Row],[MONTO VENDIDO]]-MASTER[[#This Row],[COSTO DE VENTA]]</f>
        <v>1114</v>
      </c>
    </row>
    <row r="5486" spans="1:22" x14ac:dyDescent="0.3">
      <c r="A5486">
        <v>77658</v>
      </c>
      <c r="B5486">
        <v>1</v>
      </c>
      <c r="C5486" t="s">
        <v>103</v>
      </c>
      <c r="D5486" t="s">
        <v>104</v>
      </c>
      <c r="E5486" s="1">
        <v>44428</v>
      </c>
      <c r="F5486">
        <v>1</v>
      </c>
      <c r="G5486" t="s">
        <v>20</v>
      </c>
      <c r="H5486" t="s">
        <v>21</v>
      </c>
      <c r="I5486" s="3">
        <v>1591</v>
      </c>
      <c r="J5486" s="3">
        <v>1591</v>
      </c>
      <c r="K5486" s="3">
        <v>421</v>
      </c>
      <c r="L5486" t="s">
        <v>98</v>
      </c>
      <c r="M5486">
        <v>7</v>
      </c>
      <c r="N5486" t="s">
        <v>84</v>
      </c>
      <c r="O5486" t="s">
        <v>81</v>
      </c>
      <c r="P5486" t="s">
        <v>12</v>
      </c>
      <c r="Q5486" t="s">
        <v>13</v>
      </c>
      <c r="R5486" t="s">
        <v>13</v>
      </c>
      <c r="S5486" t="s">
        <v>144</v>
      </c>
      <c r="T5486" s="2">
        <f>MASTER[[#This Row],[CANTIDAD]]*MASTER[[#This Row],[PRECIO DE VENTA]]</f>
        <v>1591</v>
      </c>
      <c r="U5486" s="2">
        <f>MASTER[[#This Row],[CANTIDAD]]*MASTER[[#This Row],[COSTO UNITARIO]]</f>
        <v>421</v>
      </c>
      <c r="V5486" s="2">
        <f>MASTER[[#This Row],[MONTO VENDIDO]]-MASTER[[#This Row],[COSTO DE VENTA]]</f>
        <v>1170</v>
      </c>
    </row>
    <row r="5487" spans="1:22" x14ac:dyDescent="0.3">
      <c r="A5487">
        <v>77666</v>
      </c>
      <c r="B5487">
        <v>1</v>
      </c>
      <c r="C5487" t="s">
        <v>118</v>
      </c>
      <c r="D5487" t="s">
        <v>119</v>
      </c>
      <c r="E5487" s="1">
        <v>44428</v>
      </c>
      <c r="F5487">
        <v>1</v>
      </c>
      <c r="G5487" t="s">
        <v>22</v>
      </c>
      <c r="H5487" t="s">
        <v>23</v>
      </c>
      <c r="I5487" s="3">
        <v>801</v>
      </c>
      <c r="J5487" s="3">
        <v>801</v>
      </c>
      <c r="K5487" s="3">
        <v>424</v>
      </c>
      <c r="L5487" t="s">
        <v>120</v>
      </c>
      <c r="M5487">
        <v>17</v>
      </c>
      <c r="N5487" t="s">
        <v>14</v>
      </c>
      <c r="O5487" t="s">
        <v>11</v>
      </c>
      <c r="P5487" t="s">
        <v>15</v>
      </c>
      <c r="Q5487" t="s">
        <v>16</v>
      </c>
      <c r="R5487" t="s">
        <v>16</v>
      </c>
      <c r="S5487" t="s">
        <v>144</v>
      </c>
      <c r="T5487" s="2">
        <f>MASTER[[#This Row],[CANTIDAD]]*MASTER[[#This Row],[PRECIO DE VENTA]]</f>
        <v>801</v>
      </c>
      <c r="U5487" s="2">
        <f>MASTER[[#This Row],[CANTIDAD]]*MASTER[[#This Row],[COSTO UNITARIO]]</f>
        <v>424</v>
      </c>
      <c r="V5487" s="2">
        <f>MASTER[[#This Row],[MONTO VENDIDO]]-MASTER[[#This Row],[COSTO DE VENTA]]</f>
        <v>377</v>
      </c>
    </row>
    <row r="5488" spans="1:22" x14ac:dyDescent="0.3">
      <c r="A5488">
        <v>77672</v>
      </c>
      <c r="B5488">
        <v>1</v>
      </c>
      <c r="C5488" t="s">
        <v>105</v>
      </c>
      <c r="D5488" t="s">
        <v>106</v>
      </c>
      <c r="E5488" s="1">
        <v>44428</v>
      </c>
      <c r="F5488">
        <v>1</v>
      </c>
      <c r="G5488" t="s">
        <v>65</v>
      </c>
      <c r="H5488" t="s">
        <v>66</v>
      </c>
      <c r="I5488" s="3">
        <v>2033</v>
      </c>
      <c r="J5488" s="3">
        <v>2033</v>
      </c>
      <c r="K5488" s="3">
        <v>459</v>
      </c>
      <c r="L5488" t="s">
        <v>98</v>
      </c>
      <c r="M5488">
        <v>6</v>
      </c>
      <c r="N5488" t="s">
        <v>75</v>
      </c>
      <c r="O5488" t="s">
        <v>70</v>
      </c>
      <c r="P5488" t="s">
        <v>12</v>
      </c>
      <c r="Q5488" t="s">
        <v>13</v>
      </c>
      <c r="R5488" t="s">
        <v>13</v>
      </c>
      <c r="S5488" t="s">
        <v>144</v>
      </c>
      <c r="T5488" s="2">
        <f>MASTER[[#This Row],[CANTIDAD]]*MASTER[[#This Row],[PRECIO DE VENTA]]</f>
        <v>2033</v>
      </c>
      <c r="U5488" s="2">
        <f>MASTER[[#This Row],[CANTIDAD]]*MASTER[[#This Row],[COSTO UNITARIO]]</f>
        <v>459</v>
      </c>
      <c r="V5488" s="2">
        <f>MASTER[[#This Row],[MONTO VENDIDO]]-MASTER[[#This Row],[COSTO DE VENTA]]</f>
        <v>1574</v>
      </c>
    </row>
    <row r="5489" spans="1:22" x14ac:dyDescent="0.3">
      <c r="A5489">
        <v>77675</v>
      </c>
      <c r="B5489">
        <v>1</v>
      </c>
      <c r="C5489" t="s">
        <v>92</v>
      </c>
      <c r="D5489" t="s">
        <v>93</v>
      </c>
      <c r="E5489" s="1">
        <v>44428</v>
      </c>
      <c r="F5489">
        <v>1</v>
      </c>
      <c r="G5489" t="s">
        <v>45</v>
      </c>
      <c r="H5489" t="s">
        <v>46</v>
      </c>
      <c r="I5489" s="3">
        <v>1681</v>
      </c>
      <c r="J5489" s="3">
        <v>1580</v>
      </c>
      <c r="K5489" s="3">
        <v>396</v>
      </c>
      <c r="L5489" t="s">
        <v>9</v>
      </c>
      <c r="M5489">
        <v>19</v>
      </c>
      <c r="N5489" t="s">
        <v>89</v>
      </c>
      <c r="O5489" t="s">
        <v>81</v>
      </c>
      <c r="P5489" t="s">
        <v>15</v>
      </c>
      <c r="Q5489" t="s">
        <v>16</v>
      </c>
      <c r="R5489" t="s">
        <v>16</v>
      </c>
      <c r="S5489" t="s">
        <v>144</v>
      </c>
      <c r="T5489" s="2">
        <f>MASTER[[#This Row],[CANTIDAD]]*MASTER[[#This Row],[PRECIO DE VENTA]]</f>
        <v>1580</v>
      </c>
      <c r="U5489" s="2">
        <f>MASTER[[#This Row],[CANTIDAD]]*MASTER[[#This Row],[COSTO UNITARIO]]</f>
        <v>396</v>
      </c>
      <c r="V5489" s="2">
        <f>MASTER[[#This Row],[MONTO VENDIDO]]-MASTER[[#This Row],[COSTO DE VENTA]]</f>
        <v>1184</v>
      </c>
    </row>
    <row r="5490" spans="1:22" x14ac:dyDescent="0.3">
      <c r="A5490">
        <v>77693</v>
      </c>
      <c r="B5490">
        <v>1</v>
      </c>
      <c r="C5490" t="s">
        <v>107</v>
      </c>
      <c r="D5490" t="s">
        <v>108</v>
      </c>
      <c r="E5490" s="1">
        <v>44429</v>
      </c>
      <c r="F5490">
        <v>1</v>
      </c>
      <c r="G5490" t="s">
        <v>73</v>
      </c>
      <c r="H5490" t="s">
        <v>74</v>
      </c>
      <c r="I5490" s="3">
        <v>1333</v>
      </c>
      <c r="J5490" s="3">
        <v>1333</v>
      </c>
      <c r="K5490" s="3">
        <v>380</v>
      </c>
      <c r="L5490" t="s">
        <v>98</v>
      </c>
      <c r="M5490">
        <v>7</v>
      </c>
      <c r="N5490" t="s">
        <v>84</v>
      </c>
      <c r="O5490" t="s">
        <v>81</v>
      </c>
      <c r="P5490" t="s">
        <v>12</v>
      </c>
      <c r="Q5490" t="s">
        <v>13</v>
      </c>
      <c r="R5490" t="s">
        <v>13</v>
      </c>
      <c r="S5490" t="s">
        <v>144</v>
      </c>
      <c r="T5490" s="2">
        <f>MASTER[[#This Row],[CANTIDAD]]*MASTER[[#This Row],[PRECIO DE VENTA]]</f>
        <v>1333</v>
      </c>
      <c r="U5490" s="2">
        <f>MASTER[[#This Row],[CANTIDAD]]*MASTER[[#This Row],[COSTO UNITARIO]]</f>
        <v>380</v>
      </c>
      <c r="V5490" s="2">
        <f>MASTER[[#This Row],[MONTO VENDIDO]]-MASTER[[#This Row],[COSTO DE VENTA]]</f>
        <v>953</v>
      </c>
    </row>
    <row r="5491" spans="1:22" x14ac:dyDescent="0.3">
      <c r="A5491">
        <v>77710</v>
      </c>
      <c r="B5491">
        <v>1</v>
      </c>
      <c r="C5491" t="s">
        <v>96</v>
      </c>
      <c r="D5491" t="s">
        <v>97</v>
      </c>
      <c r="E5491" s="1">
        <v>44429</v>
      </c>
      <c r="F5491">
        <v>1</v>
      </c>
      <c r="G5491" t="s">
        <v>35</v>
      </c>
      <c r="H5491" t="s">
        <v>36</v>
      </c>
      <c r="I5491" s="3">
        <v>1272</v>
      </c>
      <c r="J5491" s="3">
        <v>1272</v>
      </c>
      <c r="K5491" s="3">
        <v>397</v>
      </c>
      <c r="L5491" t="s">
        <v>98</v>
      </c>
      <c r="M5491">
        <v>19</v>
      </c>
      <c r="N5491" t="s">
        <v>89</v>
      </c>
      <c r="O5491" t="s">
        <v>81</v>
      </c>
      <c r="P5491" t="s">
        <v>15</v>
      </c>
      <c r="Q5491" t="s">
        <v>16</v>
      </c>
      <c r="R5491" t="s">
        <v>16</v>
      </c>
      <c r="S5491" t="s">
        <v>144</v>
      </c>
      <c r="T5491" s="2">
        <f>MASTER[[#This Row],[CANTIDAD]]*MASTER[[#This Row],[PRECIO DE VENTA]]</f>
        <v>1272</v>
      </c>
      <c r="U5491" s="2">
        <f>MASTER[[#This Row],[CANTIDAD]]*MASTER[[#This Row],[COSTO UNITARIO]]</f>
        <v>397</v>
      </c>
      <c r="V5491" s="2">
        <f>MASTER[[#This Row],[MONTO VENDIDO]]-MASTER[[#This Row],[COSTO DE VENTA]]</f>
        <v>875</v>
      </c>
    </row>
    <row r="5492" spans="1:22" x14ac:dyDescent="0.3">
      <c r="A5492">
        <v>77730</v>
      </c>
      <c r="B5492">
        <v>1</v>
      </c>
      <c r="C5492" t="s">
        <v>101</v>
      </c>
      <c r="D5492" t="s">
        <v>102</v>
      </c>
      <c r="E5492" s="1">
        <v>44429</v>
      </c>
      <c r="F5492">
        <v>3</v>
      </c>
      <c r="G5492" t="s">
        <v>51</v>
      </c>
      <c r="H5492" t="s">
        <v>52</v>
      </c>
      <c r="I5492" s="3">
        <v>1357</v>
      </c>
      <c r="J5492" s="3">
        <v>1357</v>
      </c>
      <c r="K5492" s="3">
        <v>442</v>
      </c>
      <c r="L5492" t="s">
        <v>98</v>
      </c>
      <c r="M5492">
        <v>3</v>
      </c>
      <c r="N5492" t="s">
        <v>69</v>
      </c>
      <c r="O5492" t="s">
        <v>70</v>
      </c>
      <c r="P5492" t="s">
        <v>71</v>
      </c>
      <c r="Q5492" t="s">
        <v>72</v>
      </c>
      <c r="R5492" t="s">
        <v>139</v>
      </c>
      <c r="S5492" t="s">
        <v>144</v>
      </c>
      <c r="T5492" s="2">
        <f>MASTER[[#This Row],[CANTIDAD]]*MASTER[[#This Row],[PRECIO DE VENTA]]</f>
        <v>4071</v>
      </c>
      <c r="U5492" s="2">
        <f>MASTER[[#This Row],[CANTIDAD]]*MASTER[[#This Row],[COSTO UNITARIO]]</f>
        <v>1326</v>
      </c>
      <c r="V5492" s="2">
        <f>MASTER[[#This Row],[MONTO VENDIDO]]-MASTER[[#This Row],[COSTO DE VENTA]]</f>
        <v>2745</v>
      </c>
    </row>
    <row r="5493" spans="1:22" x14ac:dyDescent="0.3">
      <c r="A5493">
        <v>77749</v>
      </c>
      <c r="B5493">
        <v>1</v>
      </c>
      <c r="C5493" t="s">
        <v>111</v>
      </c>
      <c r="D5493" t="s">
        <v>112</v>
      </c>
      <c r="E5493" s="1">
        <v>44429</v>
      </c>
      <c r="F5493">
        <v>1</v>
      </c>
      <c r="G5493" t="s">
        <v>33</v>
      </c>
      <c r="H5493" t="s">
        <v>34</v>
      </c>
      <c r="I5493" s="3">
        <v>1621</v>
      </c>
      <c r="J5493" s="3">
        <v>1621</v>
      </c>
      <c r="K5493" s="3">
        <v>434</v>
      </c>
      <c r="L5493" t="s">
        <v>113</v>
      </c>
      <c r="M5493">
        <v>4</v>
      </c>
      <c r="N5493" t="s">
        <v>82</v>
      </c>
      <c r="O5493" t="s">
        <v>81</v>
      </c>
      <c r="P5493" t="s">
        <v>71</v>
      </c>
      <c r="Q5493" t="s">
        <v>72</v>
      </c>
      <c r="R5493" t="s">
        <v>139</v>
      </c>
      <c r="S5493" t="s">
        <v>144</v>
      </c>
      <c r="T5493" s="2">
        <f>MASTER[[#This Row],[CANTIDAD]]*MASTER[[#This Row],[PRECIO DE VENTA]]</f>
        <v>1621</v>
      </c>
      <c r="U5493" s="2">
        <f>MASTER[[#This Row],[CANTIDAD]]*MASTER[[#This Row],[COSTO UNITARIO]]</f>
        <v>434</v>
      </c>
      <c r="V5493" s="2">
        <f>MASTER[[#This Row],[MONTO VENDIDO]]-MASTER[[#This Row],[COSTO DE VENTA]]</f>
        <v>1187</v>
      </c>
    </row>
    <row r="5494" spans="1:22" x14ac:dyDescent="0.3">
      <c r="A5494">
        <v>77763</v>
      </c>
      <c r="B5494">
        <v>1</v>
      </c>
      <c r="C5494" t="s">
        <v>101</v>
      </c>
      <c r="D5494" t="s">
        <v>102</v>
      </c>
      <c r="E5494" s="1">
        <v>44429</v>
      </c>
      <c r="F5494">
        <v>1</v>
      </c>
      <c r="G5494" t="s">
        <v>24</v>
      </c>
      <c r="H5494" t="s">
        <v>25</v>
      </c>
      <c r="I5494" s="3">
        <v>1212</v>
      </c>
      <c r="J5494" s="3">
        <v>1212</v>
      </c>
      <c r="K5494" s="3">
        <v>442</v>
      </c>
      <c r="L5494" t="s">
        <v>98</v>
      </c>
      <c r="M5494">
        <v>19</v>
      </c>
      <c r="N5494" t="s">
        <v>89</v>
      </c>
      <c r="O5494" t="s">
        <v>81</v>
      </c>
      <c r="P5494" t="s">
        <v>15</v>
      </c>
      <c r="Q5494" t="s">
        <v>16</v>
      </c>
      <c r="R5494" t="s">
        <v>16</v>
      </c>
      <c r="S5494" t="s">
        <v>144</v>
      </c>
      <c r="T5494" s="2">
        <f>MASTER[[#This Row],[CANTIDAD]]*MASTER[[#This Row],[PRECIO DE VENTA]]</f>
        <v>1212</v>
      </c>
      <c r="U5494" s="2">
        <f>MASTER[[#This Row],[CANTIDAD]]*MASTER[[#This Row],[COSTO UNITARIO]]</f>
        <v>442</v>
      </c>
      <c r="V5494" s="2">
        <f>MASTER[[#This Row],[MONTO VENDIDO]]-MASTER[[#This Row],[COSTO DE VENTA]]</f>
        <v>770</v>
      </c>
    </row>
    <row r="5495" spans="1:22" x14ac:dyDescent="0.3">
      <c r="A5495">
        <v>77768</v>
      </c>
      <c r="B5495">
        <v>1</v>
      </c>
      <c r="C5495" t="s">
        <v>107</v>
      </c>
      <c r="D5495" t="s">
        <v>108</v>
      </c>
      <c r="E5495" s="1">
        <v>44429</v>
      </c>
      <c r="F5495">
        <v>1</v>
      </c>
      <c r="G5495" t="s">
        <v>61</v>
      </c>
      <c r="H5495" t="s">
        <v>62</v>
      </c>
      <c r="I5495" s="3">
        <v>1333</v>
      </c>
      <c r="J5495" s="3">
        <v>1333</v>
      </c>
      <c r="K5495" s="3">
        <v>380</v>
      </c>
      <c r="L5495" t="s">
        <v>98</v>
      </c>
      <c r="M5495">
        <v>7</v>
      </c>
      <c r="N5495" t="s">
        <v>84</v>
      </c>
      <c r="O5495" t="s">
        <v>81</v>
      </c>
      <c r="P5495" t="s">
        <v>12</v>
      </c>
      <c r="Q5495" t="s">
        <v>13</v>
      </c>
      <c r="R5495" t="s">
        <v>13</v>
      </c>
      <c r="S5495" t="s">
        <v>144</v>
      </c>
      <c r="T5495" s="2">
        <f>MASTER[[#This Row],[CANTIDAD]]*MASTER[[#This Row],[PRECIO DE VENTA]]</f>
        <v>1333</v>
      </c>
      <c r="U5495" s="2">
        <f>MASTER[[#This Row],[CANTIDAD]]*MASTER[[#This Row],[COSTO UNITARIO]]</f>
        <v>380</v>
      </c>
      <c r="V5495" s="2">
        <f>MASTER[[#This Row],[MONTO VENDIDO]]-MASTER[[#This Row],[COSTO DE VENTA]]</f>
        <v>953</v>
      </c>
    </row>
    <row r="5496" spans="1:22" x14ac:dyDescent="0.3">
      <c r="A5496">
        <v>77788</v>
      </c>
      <c r="B5496">
        <v>1</v>
      </c>
      <c r="C5496" t="s">
        <v>118</v>
      </c>
      <c r="D5496" t="s">
        <v>119</v>
      </c>
      <c r="E5496" s="1">
        <v>44429</v>
      </c>
      <c r="F5496">
        <v>1</v>
      </c>
      <c r="G5496" t="s">
        <v>57</v>
      </c>
      <c r="H5496" t="s">
        <v>58</v>
      </c>
      <c r="I5496" s="3">
        <v>801</v>
      </c>
      <c r="J5496" s="3">
        <v>801</v>
      </c>
      <c r="K5496" s="3">
        <v>424</v>
      </c>
      <c r="L5496" t="s">
        <v>120</v>
      </c>
      <c r="M5496">
        <v>12</v>
      </c>
      <c r="N5496" t="s">
        <v>26</v>
      </c>
      <c r="O5496" t="s">
        <v>11</v>
      </c>
      <c r="P5496" t="s">
        <v>12</v>
      </c>
      <c r="Q5496" t="s">
        <v>13</v>
      </c>
      <c r="R5496" t="s">
        <v>13</v>
      </c>
      <c r="S5496" t="s">
        <v>144</v>
      </c>
      <c r="T5496" s="2">
        <f>MASTER[[#This Row],[CANTIDAD]]*MASTER[[#This Row],[PRECIO DE VENTA]]</f>
        <v>801</v>
      </c>
      <c r="U5496" s="2">
        <f>MASTER[[#This Row],[CANTIDAD]]*MASTER[[#This Row],[COSTO UNITARIO]]</f>
        <v>424</v>
      </c>
      <c r="V5496" s="2">
        <f>MASTER[[#This Row],[MONTO VENDIDO]]-MASTER[[#This Row],[COSTO DE VENTA]]</f>
        <v>377</v>
      </c>
    </row>
    <row r="5497" spans="1:22" x14ac:dyDescent="0.3">
      <c r="A5497">
        <v>77790</v>
      </c>
      <c r="B5497">
        <v>1</v>
      </c>
      <c r="C5497" t="s">
        <v>116</v>
      </c>
      <c r="D5497" t="s">
        <v>117</v>
      </c>
      <c r="E5497" s="1">
        <v>44429</v>
      </c>
      <c r="F5497">
        <v>1</v>
      </c>
      <c r="G5497" t="s">
        <v>33</v>
      </c>
      <c r="H5497" t="s">
        <v>34</v>
      </c>
      <c r="I5497" s="3">
        <v>1738</v>
      </c>
      <c r="J5497" s="3">
        <v>1738</v>
      </c>
      <c r="K5497" s="3">
        <v>388</v>
      </c>
      <c r="L5497" t="s">
        <v>113</v>
      </c>
      <c r="M5497">
        <v>15</v>
      </c>
      <c r="N5497" t="s">
        <v>88</v>
      </c>
      <c r="O5497" t="s">
        <v>81</v>
      </c>
      <c r="P5497" t="s">
        <v>18</v>
      </c>
      <c r="Q5497" t="s">
        <v>19</v>
      </c>
      <c r="R5497" t="s">
        <v>138</v>
      </c>
      <c r="S5497" t="s">
        <v>144</v>
      </c>
      <c r="T5497" s="2">
        <f>MASTER[[#This Row],[CANTIDAD]]*MASTER[[#This Row],[PRECIO DE VENTA]]</f>
        <v>1738</v>
      </c>
      <c r="U5497" s="2">
        <f>MASTER[[#This Row],[CANTIDAD]]*MASTER[[#This Row],[COSTO UNITARIO]]</f>
        <v>388</v>
      </c>
      <c r="V5497" s="2">
        <f>MASTER[[#This Row],[MONTO VENDIDO]]-MASTER[[#This Row],[COSTO DE VENTA]]</f>
        <v>1350</v>
      </c>
    </row>
    <row r="5498" spans="1:22" x14ac:dyDescent="0.3">
      <c r="A5498">
        <v>77799</v>
      </c>
      <c r="B5498">
        <v>1</v>
      </c>
      <c r="C5498" t="s">
        <v>96</v>
      </c>
      <c r="D5498" t="s">
        <v>97</v>
      </c>
      <c r="E5498" s="1">
        <v>44430</v>
      </c>
      <c r="F5498">
        <v>1</v>
      </c>
      <c r="G5498" t="s">
        <v>20</v>
      </c>
      <c r="H5498" t="s">
        <v>21</v>
      </c>
      <c r="I5498" s="3">
        <v>1272</v>
      </c>
      <c r="J5498" s="3">
        <v>1272</v>
      </c>
      <c r="K5498" s="3">
        <v>397</v>
      </c>
      <c r="L5498" t="s">
        <v>98</v>
      </c>
      <c r="M5498">
        <v>10</v>
      </c>
      <c r="N5498" t="s">
        <v>83</v>
      </c>
      <c r="O5498" t="s">
        <v>81</v>
      </c>
      <c r="P5498" t="s">
        <v>12</v>
      </c>
      <c r="Q5498" t="s">
        <v>13</v>
      </c>
      <c r="R5498" t="s">
        <v>13</v>
      </c>
      <c r="S5498" t="s">
        <v>144</v>
      </c>
      <c r="T5498" s="2">
        <f>MASTER[[#This Row],[CANTIDAD]]*MASTER[[#This Row],[PRECIO DE VENTA]]</f>
        <v>1272</v>
      </c>
      <c r="U5498" s="2">
        <f>MASTER[[#This Row],[CANTIDAD]]*MASTER[[#This Row],[COSTO UNITARIO]]</f>
        <v>397</v>
      </c>
      <c r="V5498" s="2">
        <f>MASTER[[#This Row],[MONTO VENDIDO]]-MASTER[[#This Row],[COSTO DE VENTA]]</f>
        <v>875</v>
      </c>
    </row>
    <row r="5499" spans="1:22" x14ac:dyDescent="0.3">
      <c r="A5499">
        <v>77810</v>
      </c>
      <c r="B5499">
        <v>1</v>
      </c>
      <c r="C5499" t="s">
        <v>105</v>
      </c>
      <c r="D5499" t="s">
        <v>106</v>
      </c>
      <c r="E5499" s="1">
        <v>44430</v>
      </c>
      <c r="F5499">
        <v>1</v>
      </c>
      <c r="G5499" t="s">
        <v>51</v>
      </c>
      <c r="H5499" t="s">
        <v>52</v>
      </c>
      <c r="I5499" s="3">
        <v>1865</v>
      </c>
      <c r="J5499" s="3">
        <v>1865</v>
      </c>
      <c r="K5499" s="3">
        <v>459</v>
      </c>
      <c r="L5499" t="s">
        <v>98</v>
      </c>
      <c r="M5499">
        <v>5</v>
      </c>
      <c r="N5499" t="s">
        <v>85</v>
      </c>
      <c r="O5499" t="s">
        <v>81</v>
      </c>
      <c r="P5499" t="s">
        <v>12</v>
      </c>
      <c r="Q5499" t="s">
        <v>13</v>
      </c>
      <c r="R5499" t="s">
        <v>13</v>
      </c>
      <c r="S5499" t="s">
        <v>144</v>
      </c>
      <c r="T5499" s="2">
        <f>MASTER[[#This Row],[CANTIDAD]]*MASTER[[#This Row],[PRECIO DE VENTA]]</f>
        <v>1865</v>
      </c>
      <c r="U5499" s="2">
        <f>MASTER[[#This Row],[CANTIDAD]]*MASTER[[#This Row],[COSTO UNITARIO]]</f>
        <v>459</v>
      </c>
      <c r="V5499" s="2">
        <f>MASTER[[#This Row],[MONTO VENDIDO]]-MASTER[[#This Row],[COSTO DE VENTA]]</f>
        <v>1406</v>
      </c>
    </row>
    <row r="5500" spans="1:22" x14ac:dyDescent="0.3">
      <c r="A5500">
        <v>77817</v>
      </c>
      <c r="B5500">
        <v>1</v>
      </c>
      <c r="C5500" t="s">
        <v>107</v>
      </c>
      <c r="D5500" t="s">
        <v>108</v>
      </c>
      <c r="E5500" s="1">
        <v>44430</v>
      </c>
      <c r="F5500">
        <v>1</v>
      </c>
      <c r="G5500" t="s">
        <v>53</v>
      </c>
      <c r="H5500" t="s">
        <v>54</v>
      </c>
      <c r="I5500" s="3">
        <v>1333</v>
      </c>
      <c r="J5500" s="3">
        <v>1333</v>
      </c>
      <c r="K5500" s="3">
        <v>380</v>
      </c>
      <c r="L5500" t="s">
        <v>98</v>
      </c>
      <c r="M5500">
        <v>10</v>
      </c>
      <c r="N5500" t="s">
        <v>83</v>
      </c>
      <c r="O5500" t="s">
        <v>81</v>
      </c>
      <c r="P5500" t="s">
        <v>12</v>
      </c>
      <c r="Q5500" t="s">
        <v>13</v>
      </c>
      <c r="R5500" t="s">
        <v>13</v>
      </c>
      <c r="S5500" t="s">
        <v>144</v>
      </c>
      <c r="T5500" s="2">
        <f>MASTER[[#This Row],[CANTIDAD]]*MASTER[[#This Row],[PRECIO DE VENTA]]</f>
        <v>1333</v>
      </c>
      <c r="U5500" s="2">
        <f>MASTER[[#This Row],[CANTIDAD]]*MASTER[[#This Row],[COSTO UNITARIO]]</f>
        <v>380</v>
      </c>
      <c r="V5500" s="2">
        <f>MASTER[[#This Row],[MONTO VENDIDO]]-MASTER[[#This Row],[COSTO DE VENTA]]</f>
        <v>953</v>
      </c>
    </row>
    <row r="5501" spans="1:22" x14ac:dyDescent="0.3">
      <c r="A5501">
        <v>77854</v>
      </c>
      <c r="B5501">
        <v>1</v>
      </c>
      <c r="C5501" t="s">
        <v>114</v>
      </c>
      <c r="D5501" t="s">
        <v>115</v>
      </c>
      <c r="E5501" s="1">
        <v>44430</v>
      </c>
      <c r="F5501">
        <v>1</v>
      </c>
      <c r="G5501" t="s">
        <v>43</v>
      </c>
      <c r="H5501" t="s">
        <v>44</v>
      </c>
      <c r="I5501" s="3">
        <v>1583</v>
      </c>
      <c r="J5501" s="3">
        <v>1503</v>
      </c>
      <c r="K5501" s="3">
        <v>394</v>
      </c>
      <c r="L5501" t="s">
        <v>113</v>
      </c>
      <c r="M5501">
        <v>16</v>
      </c>
      <c r="N5501" t="s">
        <v>17</v>
      </c>
      <c r="O5501" t="s">
        <v>11</v>
      </c>
      <c r="P5501" t="s">
        <v>18</v>
      </c>
      <c r="Q5501" t="s">
        <v>19</v>
      </c>
      <c r="R5501" t="s">
        <v>138</v>
      </c>
      <c r="S5501" t="s">
        <v>144</v>
      </c>
      <c r="T5501" s="2">
        <f>MASTER[[#This Row],[CANTIDAD]]*MASTER[[#This Row],[PRECIO DE VENTA]]</f>
        <v>1503</v>
      </c>
      <c r="U5501" s="2">
        <f>MASTER[[#This Row],[CANTIDAD]]*MASTER[[#This Row],[COSTO UNITARIO]]</f>
        <v>394</v>
      </c>
      <c r="V5501" s="2">
        <f>MASTER[[#This Row],[MONTO VENDIDO]]-MASTER[[#This Row],[COSTO DE VENTA]]</f>
        <v>1109</v>
      </c>
    </row>
    <row r="5502" spans="1:22" x14ac:dyDescent="0.3">
      <c r="A5502">
        <v>77859</v>
      </c>
      <c r="B5502">
        <v>1</v>
      </c>
      <c r="C5502" t="s">
        <v>94</v>
      </c>
      <c r="D5502" t="s">
        <v>95</v>
      </c>
      <c r="E5502" s="1">
        <v>44430</v>
      </c>
      <c r="F5502">
        <v>1</v>
      </c>
      <c r="G5502" t="s">
        <v>41</v>
      </c>
      <c r="H5502" t="s">
        <v>42</v>
      </c>
      <c r="I5502" s="3">
        <v>1153</v>
      </c>
      <c r="J5502" s="3">
        <v>1083</v>
      </c>
      <c r="K5502" s="3">
        <v>392</v>
      </c>
      <c r="L5502" t="s">
        <v>9</v>
      </c>
      <c r="M5502">
        <v>6</v>
      </c>
      <c r="N5502" t="s">
        <v>75</v>
      </c>
      <c r="O5502" t="s">
        <v>70</v>
      </c>
      <c r="P5502" t="s">
        <v>12</v>
      </c>
      <c r="Q5502" t="s">
        <v>13</v>
      </c>
      <c r="R5502" t="s">
        <v>13</v>
      </c>
      <c r="S5502" t="s">
        <v>144</v>
      </c>
      <c r="T5502" s="2">
        <f>MASTER[[#This Row],[CANTIDAD]]*MASTER[[#This Row],[PRECIO DE VENTA]]</f>
        <v>1083</v>
      </c>
      <c r="U5502" s="2">
        <f>MASTER[[#This Row],[CANTIDAD]]*MASTER[[#This Row],[COSTO UNITARIO]]</f>
        <v>392</v>
      </c>
      <c r="V5502" s="2">
        <f>MASTER[[#This Row],[MONTO VENDIDO]]-MASTER[[#This Row],[COSTO DE VENTA]]</f>
        <v>691</v>
      </c>
    </row>
    <row r="5503" spans="1:22" x14ac:dyDescent="0.3">
      <c r="A5503">
        <v>77867</v>
      </c>
      <c r="B5503">
        <v>1</v>
      </c>
      <c r="C5503" t="s">
        <v>105</v>
      </c>
      <c r="D5503" t="s">
        <v>106</v>
      </c>
      <c r="E5503" s="1">
        <v>44430</v>
      </c>
      <c r="F5503">
        <v>1</v>
      </c>
      <c r="G5503" t="s">
        <v>20</v>
      </c>
      <c r="H5503" t="s">
        <v>21</v>
      </c>
      <c r="I5503" s="3">
        <v>2033</v>
      </c>
      <c r="J5503" s="3">
        <v>2033</v>
      </c>
      <c r="K5503" s="3">
        <v>459</v>
      </c>
      <c r="L5503" t="s">
        <v>98</v>
      </c>
      <c r="M5503">
        <v>1</v>
      </c>
      <c r="N5503" t="s">
        <v>77</v>
      </c>
      <c r="O5503" t="s">
        <v>70</v>
      </c>
      <c r="P5503" t="s">
        <v>71</v>
      </c>
      <c r="Q5503" t="s">
        <v>72</v>
      </c>
      <c r="R5503" t="s">
        <v>139</v>
      </c>
      <c r="S5503" t="s">
        <v>144</v>
      </c>
      <c r="T5503" s="2">
        <f>MASTER[[#This Row],[CANTIDAD]]*MASTER[[#This Row],[PRECIO DE VENTA]]</f>
        <v>2033</v>
      </c>
      <c r="U5503" s="2">
        <f>MASTER[[#This Row],[CANTIDAD]]*MASTER[[#This Row],[COSTO UNITARIO]]</f>
        <v>459</v>
      </c>
      <c r="V5503" s="2">
        <f>MASTER[[#This Row],[MONTO VENDIDO]]-MASTER[[#This Row],[COSTO DE VENTA]]</f>
        <v>1574</v>
      </c>
    </row>
    <row r="5504" spans="1:22" x14ac:dyDescent="0.3">
      <c r="A5504">
        <v>77881</v>
      </c>
      <c r="B5504">
        <v>1</v>
      </c>
      <c r="C5504" t="s">
        <v>92</v>
      </c>
      <c r="D5504" t="s">
        <v>93</v>
      </c>
      <c r="E5504" s="1">
        <v>44430</v>
      </c>
      <c r="F5504">
        <v>1</v>
      </c>
      <c r="G5504" t="s">
        <v>59</v>
      </c>
      <c r="H5504" t="s">
        <v>60</v>
      </c>
      <c r="I5504" s="3">
        <v>1866</v>
      </c>
      <c r="J5504" s="3">
        <v>1866</v>
      </c>
      <c r="K5504" s="3">
        <v>396</v>
      </c>
      <c r="L5504" t="s">
        <v>9</v>
      </c>
      <c r="M5504">
        <v>18</v>
      </c>
      <c r="N5504" t="s">
        <v>79</v>
      </c>
      <c r="O5504" t="s">
        <v>70</v>
      </c>
      <c r="P5504" t="s">
        <v>15</v>
      </c>
      <c r="Q5504" t="s">
        <v>16</v>
      </c>
      <c r="R5504" t="s">
        <v>16</v>
      </c>
      <c r="S5504" t="s">
        <v>144</v>
      </c>
      <c r="T5504" s="2">
        <f>MASTER[[#This Row],[CANTIDAD]]*MASTER[[#This Row],[PRECIO DE VENTA]]</f>
        <v>1866</v>
      </c>
      <c r="U5504" s="2">
        <f>MASTER[[#This Row],[CANTIDAD]]*MASTER[[#This Row],[COSTO UNITARIO]]</f>
        <v>396</v>
      </c>
      <c r="V5504" s="2">
        <f>MASTER[[#This Row],[MONTO VENDIDO]]-MASTER[[#This Row],[COSTO DE VENTA]]</f>
        <v>1470</v>
      </c>
    </row>
    <row r="5505" spans="1:22" x14ac:dyDescent="0.3">
      <c r="A5505">
        <v>77909</v>
      </c>
      <c r="B5505">
        <v>1</v>
      </c>
      <c r="C5505" t="s">
        <v>5</v>
      </c>
      <c r="D5505" t="s">
        <v>6</v>
      </c>
      <c r="E5505" s="1">
        <v>44430</v>
      </c>
      <c r="F5505">
        <v>2</v>
      </c>
      <c r="G5505" t="s">
        <v>63</v>
      </c>
      <c r="H5505" t="s">
        <v>64</v>
      </c>
      <c r="I5505" s="3">
        <v>1296</v>
      </c>
      <c r="J5505" s="3">
        <v>1296</v>
      </c>
      <c r="K5505" s="3">
        <v>393</v>
      </c>
      <c r="L5505" t="s">
        <v>9</v>
      </c>
      <c r="M5505">
        <v>1</v>
      </c>
      <c r="N5505" t="s">
        <v>77</v>
      </c>
      <c r="O5505" t="s">
        <v>70</v>
      </c>
      <c r="P5505" t="s">
        <v>71</v>
      </c>
      <c r="Q5505" t="s">
        <v>72</v>
      </c>
      <c r="R5505" t="s">
        <v>139</v>
      </c>
      <c r="S5505" t="s">
        <v>144</v>
      </c>
      <c r="T5505" s="2">
        <f>MASTER[[#This Row],[CANTIDAD]]*MASTER[[#This Row],[PRECIO DE VENTA]]</f>
        <v>2592</v>
      </c>
      <c r="U5505" s="2">
        <f>MASTER[[#This Row],[CANTIDAD]]*MASTER[[#This Row],[COSTO UNITARIO]]</f>
        <v>786</v>
      </c>
      <c r="V5505" s="2">
        <f>MASTER[[#This Row],[MONTO VENDIDO]]-MASTER[[#This Row],[COSTO DE VENTA]]</f>
        <v>1806</v>
      </c>
    </row>
    <row r="5506" spans="1:22" x14ac:dyDescent="0.3">
      <c r="A5506">
        <v>77918</v>
      </c>
      <c r="B5506">
        <v>1</v>
      </c>
      <c r="C5506" t="s">
        <v>96</v>
      </c>
      <c r="D5506" t="s">
        <v>97</v>
      </c>
      <c r="E5506" s="1">
        <v>44430</v>
      </c>
      <c r="F5506">
        <v>1</v>
      </c>
      <c r="G5506" t="s">
        <v>20</v>
      </c>
      <c r="H5506" t="s">
        <v>21</v>
      </c>
      <c r="I5506" s="3">
        <v>1196</v>
      </c>
      <c r="J5506" s="3">
        <v>1196</v>
      </c>
      <c r="K5506" s="3">
        <v>397</v>
      </c>
      <c r="L5506" t="s">
        <v>98</v>
      </c>
      <c r="M5506">
        <v>16</v>
      </c>
      <c r="N5506" t="s">
        <v>17</v>
      </c>
      <c r="O5506" t="s">
        <v>11</v>
      </c>
      <c r="P5506" t="s">
        <v>18</v>
      </c>
      <c r="Q5506" t="s">
        <v>19</v>
      </c>
      <c r="R5506" t="s">
        <v>138</v>
      </c>
      <c r="S5506" t="s">
        <v>144</v>
      </c>
      <c r="T5506" s="2">
        <f>MASTER[[#This Row],[CANTIDAD]]*MASTER[[#This Row],[PRECIO DE VENTA]]</f>
        <v>1196</v>
      </c>
      <c r="U5506" s="2">
        <f>MASTER[[#This Row],[CANTIDAD]]*MASTER[[#This Row],[COSTO UNITARIO]]</f>
        <v>397</v>
      </c>
      <c r="V5506" s="2">
        <f>MASTER[[#This Row],[MONTO VENDIDO]]-MASTER[[#This Row],[COSTO DE VENTA]]</f>
        <v>799</v>
      </c>
    </row>
    <row r="5507" spans="1:22" x14ac:dyDescent="0.3">
      <c r="A5507">
        <v>77936</v>
      </c>
      <c r="B5507">
        <v>1</v>
      </c>
      <c r="C5507" t="s">
        <v>118</v>
      </c>
      <c r="D5507" t="s">
        <v>119</v>
      </c>
      <c r="E5507" s="1">
        <v>44430</v>
      </c>
      <c r="F5507">
        <v>1</v>
      </c>
      <c r="G5507" t="s">
        <v>57</v>
      </c>
      <c r="H5507" t="s">
        <v>58</v>
      </c>
      <c r="I5507" s="3">
        <v>1026</v>
      </c>
      <c r="J5507" s="3">
        <v>1026</v>
      </c>
      <c r="K5507" s="3">
        <v>424</v>
      </c>
      <c r="L5507" t="s">
        <v>120</v>
      </c>
      <c r="M5507">
        <v>6</v>
      </c>
      <c r="N5507" t="s">
        <v>75</v>
      </c>
      <c r="O5507" t="s">
        <v>70</v>
      </c>
      <c r="P5507" t="s">
        <v>12</v>
      </c>
      <c r="Q5507" t="s">
        <v>13</v>
      </c>
      <c r="R5507" t="s">
        <v>13</v>
      </c>
      <c r="S5507" t="s">
        <v>144</v>
      </c>
      <c r="T5507" s="2">
        <f>MASTER[[#This Row],[CANTIDAD]]*MASTER[[#This Row],[PRECIO DE VENTA]]</f>
        <v>1026</v>
      </c>
      <c r="U5507" s="2">
        <f>MASTER[[#This Row],[CANTIDAD]]*MASTER[[#This Row],[COSTO UNITARIO]]</f>
        <v>424</v>
      </c>
      <c r="V5507" s="2">
        <f>MASTER[[#This Row],[MONTO VENDIDO]]-MASTER[[#This Row],[COSTO DE VENTA]]</f>
        <v>602</v>
      </c>
    </row>
    <row r="5508" spans="1:22" x14ac:dyDescent="0.3">
      <c r="A5508">
        <v>77942</v>
      </c>
      <c r="B5508">
        <v>1</v>
      </c>
      <c r="C5508" t="s">
        <v>107</v>
      </c>
      <c r="D5508" t="s">
        <v>108</v>
      </c>
      <c r="E5508" s="1">
        <v>44430</v>
      </c>
      <c r="F5508">
        <v>4</v>
      </c>
      <c r="G5508" t="s">
        <v>24</v>
      </c>
      <c r="H5508" t="s">
        <v>25</v>
      </c>
      <c r="I5508" s="3">
        <v>1240</v>
      </c>
      <c r="J5508" s="3">
        <v>1240</v>
      </c>
      <c r="K5508" s="3">
        <v>380</v>
      </c>
      <c r="L5508" t="s">
        <v>98</v>
      </c>
      <c r="M5508">
        <v>11</v>
      </c>
      <c r="N5508" t="s">
        <v>10</v>
      </c>
      <c r="O5508" t="s">
        <v>11</v>
      </c>
      <c r="P5508" t="s">
        <v>12</v>
      </c>
      <c r="Q5508" t="s">
        <v>13</v>
      </c>
      <c r="R5508" t="s">
        <v>13</v>
      </c>
      <c r="S5508" t="s">
        <v>144</v>
      </c>
      <c r="T5508" s="2">
        <f>MASTER[[#This Row],[CANTIDAD]]*MASTER[[#This Row],[PRECIO DE VENTA]]</f>
        <v>4960</v>
      </c>
      <c r="U5508" s="2">
        <f>MASTER[[#This Row],[CANTIDAD]]*MASTER[[#This Row],[COSTO UNITARIO]]</f>
        <v>1520</v>
      </c>
      <c r="V5508" s="2">
        <f>MASTER[[#This Row],[MONTO VENDIDO]]-MASTER[[#This Row],[COSTO DE VENTA]]</f>
        <v>3440</v>
      </c>
    </row>
    <row r="5509" spans="1:22" x14ac:dyDescent="0.3">
      <c r="A5509">
        <v>77949</v>
      </c>
      <c r="B5509">
        <v>1</v>
      </c>
      <c r="C5509" t="s">
        <v>5</v>
      </c>
      <c r="D5509" t="s">
        <v>6</v>
      </c>
      <c r="E5509" s="1">
        <v>44430</v>
      </c>
      <c r="F5509">
        <v>1</v>
      </c>
      <c r="G5509" t="s">
        <v>51</v>
      </c>
      <c r="H5509" t="s">
        <v>52</v>
      </c>
      <c r="I5509" s="3">
        <v>1311</v>
      </c>
      <c r="J5509" s="3">
        <v>1311</v>
      </c>
      <c r="K5509" s="3">
        <v>393</v>
      </c>
      <c r="L5509" t="s">
        <v>9</v>
      </c>
      <c r="M5509">
        <v>17</v>
      </c>
      <c r="N5509" t="s">
        <v>14</v>
      </c>
      <c r="O5509" t="s">
        <v>11</v>
      </c>
      <c r="P5509" t="s">
        <v>15</v>
      </c>
      <c r="Q5509" t="s">
        <v>16</v>
      </c>
      <c r="R5509" t="s">
        <v>16</v>
      </c>
      <c r="S5509" t="s">
        <v>144</v>
      </c>
      <c r="T5509" s="2">
        <f>MASTER[[#This Row],[CANTIDAD]]*MASTER[[#This Row],[PRECIO DE VENTA]]</f>
        <v>1311</v>
      </c>
      <c r="U5509" s="2">
        <f>MASTER[[#This Row],[CANTIDAD]]*MASTER[[#This Row],[COSTO UNITARIO]]</f>
        <v>393</v>
      </c>
      <c r="V5509" s="2">
        <f>MASTER[[#This Row],[MONTO VENDIDO]]-MASTER[[#This Row],[COSTO DE VENTA]]</f>
        <v>918</v>
      </c>
    </row>
    <row r="5510" spans="1:22" x14ac:dyDescent="0.3">
      <c r="A5510">
        <v>77965</v>
      </c>
      <c r="B5510">
        <v>1</v>
      </c>
      <c r="C5510" t="s">
        <v>90</v>
      </c>
      <c r="D5510" t="s">
        <v>91</v>
      </c>
      <c r="E5510" s="1">
        <v>44430</v>
      </c>
      <c r="F5510">
        <v>1</v>
      </c>
      <c r="G5510" t="s">
        <v>73</v>
      </c>
      <c r="H5510" t="s">
        <v>74</v>
      </c>
      <c r="I5510" s="3">
        <v>1844</v>
      </c>
      <c r="J5510" s="3">
        <v>1844</v>
      </c>
      <c r="K5510" s="3">
        <v>420</v>
      </c>
      <c r="L5510" t="s">
        <v>9</v>
      </c>
      <c r="M5510">
        <v>7</v>
      </c>
      <c r="N5510" t="s">
        <v>84</v>
      </c>
      <c r="O5510" t="s">
        <v>81</v>
      </c>
      <c r="P5510" t="s">
        <v>12</v>
      </c>
      <c r="Q5510" t="s">
        <v>13</v>
      </c>
      <c r="R5510" t="s">
        <v>13</v>
      </c>
      <c r="S5510" t="s">
        <v>144</v>
      </c>
      <c r="T5510" s="2">
        <f>MASTER[[#This Row],[CANTIDAD]]*MASTER[[#This Row],[PRECIO DE VENTA]]</f>
        <v>1844</v>
      </c>
      <c r="U5510" s="2">
        <f>MASTER[[#This Row],[CANTIDAD]]*MASTER[[#This Row],[COSTO UNITARIO]]</f>
        <v>420</v>
      </c>
      <c r="V5510" s="2">
        <f>MASTER[[#This Row],[MONTO VENDIDO]]-MASTER[[#This Row],[COSTO DE VENTA]]</f>
        <v>1424</v>
      </c>
    </row>
    <row r="5511" spans="1:22" x14ac:dyDescent="0.3">
      <c r="A5511">
        <v>78002</v>
      </c>
      <c r="B5511">
        <v>1</v>
      </c>
      <c r="C5511" t="s">
        <v>121</v>
      </c>
      <c r="D5511" t="s">
        <v>122</v>
      </c>
      <c r="E5511" s="1">
        <v>44430</v>
      </c>
      <c r="F5511">
        <v>1</v>
      </c>
      <c r="G5511" t="s">
        <v>49</v>
      </c>
      <c r="H5511" t="s">
        <v>50</v>
      </c>
      <c r="I5511" s="3">
        <v>1144</v>
      </c>
      <c r="J5511" s="3">
        <v>1144</v>
      </c>
      <c r="K5511" s="3">
        <v>460</v>
      </c>
      <c r="L5511" t="s">
        <v>120</v>
      </c>
      <c r="M5511">
        <v>9</v>
      </c>
      <c r="N5511" t="s">
        <v>76</v>
      </c>
      <c r="O5511" t="s">
        <v>70</v>
      </c>
      <c r="P5511" t="s">
        <v>12</v>
      </c>
      <c r="Q5511" t="s">
        <v>13</v>
      </c>
      <c r="R5511" t="s">
        <v>13</v>
      </c>
      <c r="S5511" t="s">
        <v>144</v>
      </c>
      <c r="T5511" s="2">
        <f>MASTER[[#This Row],[CANTIDAD]]*MASTER[[#This Row],[PRECIO DE VENTA]]</f>
        <v>1144</v>
      </c>
      <c r="U5511" s="2">
        <f>MASTER[[#This Row],[CANTIDAD]]*MASTER[[#This Row],[COSTO UNITARIO]]</f>
        <v>460</v>
      </c>
      <c r="V5511" s="2">
        <f>MASTER[[#This Row],[MONTO VENDIDO]]-MASTER[[#This Row],[COSTO DE VENTA]]</f>
        <v>684</v>
      </c>
    </row>
    <row r="5512" spans="1:22" x14ac:dyDescent="0.3">
      <c r="A5512">
        <v>78012</v>
      </c>
      <c r="B5512">
        <v>1</v>
      </c>
      <c r="C5512" t="s">
        <v>96</v>
      </c>
      <c r="D5512" t="s">
        <v>97</v>
      </c>
      <c r="E5512" s="1">
        <v>44430</v>
      </c>
      <c r="F5512">
        <v>1</v>
      </c>
      <c r="G5512" t="s">
        <v>33</v>
      </c>
      <c r="H5512" t="s">
        <v>34</v>
      </c>
      <c r="I5512" s="3">
        <v>1361</v>
      </c>
      <c r="J5512" s="3">
        <v>1361</v>
      </c>
      <c r="K5512" s="3">
        <v>397</v>
      </c>
      <c r="L5512" t="s">
        <v>98</v>
      </c>
      <c r="M5512">
        <v>1</v>
      </c>
      <c r="N5512" t="s">
        <v>77</v>
      </c>
      <c r="O5512" t="s">
        <v>70</v>
      </c>
      <c r="P5512" t="s">
        <v>71</v>
      </c>
      <c r="Q5512" t="s">
        <v>72</v>
      </c>
      <c r="R5512" t="s">
        <v>139</v>
      </c>
      <c r="S5512" t="s">
        <v>144</v>
      </c>
      <c r="T5512" s="2">
        <f>MASTER[[#This Row],[CANTIDAD]]*MASTER[[#This Row],[PRECIO DE VENTA]]</f>
        <v>1361</v>
      </c>
      <c r="U5512" s="2">
        <f>MASTER[[#This Row],[CANTIDAD]]*MASTER[[#This Row],[COSTO UNITARIO]]</f>
        <v>397</v>
      </c>
      <c r="V5512" s="2">
        <f>MASTER[[#This Row],[MONTO VENDIDO]]-MASTER[[#This Row],[COSTO DE VENTA]]</f>
        <v>964</v>
      </c>
    </row>
    <row r="5513" spans="1:22" x14ac:dyDescent="0.3">
      <c r="A5513">
        <v>78015</v>
      </c>
      <c r="B5513">
        <v>1</v>
      </c>
      <c r="C5513" t="s">
        <v>92</v>
      </c>
      <c r="D5513" t="s">
        <v>93</v>
      </c>
      <c r="E5513" s="1">
        <v>44431</v>
      </c>
      <c r="F5513">
        <v>1</v>
      </c>
      <c r="G5513" t="s">
        <v>41</v>
      </c>
      <c r="H5513" t="s">
        <v>42</v>
      </c>
      <c r="I5513" s="3">
        <v>1681</v>
      </c>
      <c r="J5513" s="3">
        <v>1681</v>
      </c>
      <c r="K5513" s="3">
        <v>396</v>
      </c>
      <c r="L5513" t="s">
        <v>9</v>
      </c>
      <c r="M5513">
        <v>2</v>
      </c>
      <c r="N5513" t="s">
        <v>86</v>
      </c>
      <c r="O5513" t="s">
        <v>81</v>
      </c>
      <c r="P5513" t="s">
        <v>71</v>
      </c>
      <c r="Q5513" t="s">
        <v>72</v>
      </c>
      <c r="R5513" t="s">
        <v>139</v>
      </c>
      <c r="S5513" t="s">
        <v>144</v>
      </c>
      <c r="T5513" s="2">
        <f>MASTER[[#This Row],[CANTIDAD]]*MASTER[[#This Row],[PRECIO DE VENTA]]</f>
        <v>1681</v>
      </c>
      <c r="U5513" s="2">
        <f>MASTER[[#This Row],[CANTIDAD]]*MASTER[[#This Row],[COSTO UNITARIO]]</f>
        <v>396</v>
      </c>
      <c r="V5513" s="2">
        <f>MASTER[[#This Row],[MONTO VENDIDO]]-MASTER[[#This Row],[COSTO DE VENTA]]</f>
        <v>1285</v>
      </c>
    </row>
    <row r="5514" spans="1:22" x14ac:dyDescent="0.3">
      <c r="A5514">
        <v>78016</v>
      </c>
      <c r="B5514">
        <v>1</v>
      </c>
      <c r="C5514" t="s">
        <v>107</v>
      </c>
      <c r="D5514" t="s">
        <v>108</v>
      </c>
      <c r="E5514" s="1">
        <v>44431</v>
      </c>
      <c r="F5514">
        <v>1</v>
      </c>
      <c r="G5514" t="s">
        <v>22</v>
      </c>
      <c r="H5514" t="s">
        <v>23</v>
      </c>
      <c r="I5514" s="3">
        <v>1333</v>
      </c>
      <c r="J5514" s="3">
        <v>1333</v>
      </c>
      <c r="K5514" s="3">
        <v>380</v>
      </c>
      <c r="L5514" t="s">
        <v>98</v>
      </c>
      <c r="M5514">
        <v>7</v>
      </c>
      <c r="N5514" t="s">
        <v>84</v>
      </c>
      <c r="O5514" t="s">
        <v>81</v>
      </c>
      <c r="P5514" t="s">
        <v>12</v>
      </c>
      <c r="Q5514" t="s">
        <v>13</v>
      </c>
      <c r="R5514" t="s">
        <v>13</v>
      </c>
      <c r="S5514" t="s">
        <v>144</v>
      </c>
      <c r="T5514" s="2">
        <f>MASTER[[#This Row],[CANTIDAD]]*MASTER[[#This Row],[PRECIO DE VENTA]]</f>
        <v>1333</v>
      </c>
      <c r="U5514" s="2">
        <f>MASTER[[#This Row],[CANTIDAD]]*MASTER[[#This Row],[COSTO UNITARIO]]</f>
        <v>380</v>
      </c>
      <c r="V5514" s="2">
        <f>MASTER[[#This Row],[MONTO VENDIDO]]-MASTER[[#This Row],[COSTO DE VENTA]]</f>
        <v>953</v>
      </c>
    </row>
    <row r="5515" spans="1:22" x14ac:dyDescent="0.3">
      <c r="A5515">
        <v>78020</v>
      </c>
      <c r="B5515">
        <v>1</v>
      </c>
      <c r="C5515" t="s">
        <v>116</v>
      </c>
      <c r="D5515" t="s">
        <v>117</v>
      </c>
      <c r="E5515" s="1">
        <v>44431</v>
      </c>
      <c r="F5515">
        <v>1</v>
      </c>
      <c r="G5515" t="s">
        <v>51</v>
      </c>
      <c r="H5515" t="s">
        <v>52</v>
      </c>
      <c r="I5515" s="3">
        <v>1999</v>
      </c>
      <c r="J5515" s="3">
        <v>1999</v>
      </c>
      <c r="K5515" s="3">
        <v>388</v>
      </c>
      <c r="L5515" t="s">
        <v>113</v>
      </c>
      <c r="M5515">
        <v>1</v>
      </c>
      <c r="N5515" t="s">
        <v>77</v>
      </c>
      <c r="O5515" t="s">
        <v>70</v>
      </c>
      <c r="P5515" t="s">
        <v>71</v>
      </c>
      <c r="Q5515" t="s">
        <v>72</v>
      </c>
      <c r="R5515" t="s">
        <v>139</v>
      </c>
      <c r="S5515" t="s">
        <v>144</v>
      </c>
      <c r="T5515" s="2">
        <f>MASTER[[#This Row],[CANTIDAD]]*MASTER[[#This Row],[PRECIO DE VENTA]]</f>
        <v>1999</v>
      </c>
      <c r="U5515" s="2">
        <f>MASTER[[#This Row],[CANTIDAD]]*MASTER[[#This Row],[COSTO UNITARIO]]</f>
        <v>388</v>
      </c>
      <c r="V5515" s="2">
        <f>MASTER[[#This Row],[MONTO VENDIDO]]-MASTER[[#This Row],[COSTO DE VENTA]]</f>
        <v>1611</v>
      </c>
    </row>
    <row r="5516" spans="1:22" x14ac:dyDescent="0.3">
      <c r="A5516">
        <v>78027</v>
      </c>
      <c r="B5516">
        <v>1</v>
      </c>
      <c r="C5516" t="s">
        <v>116</v>
      </c>
      <c r="D5516" t="s">
        <v>117</v>
      </c>
      <c r="E5516" s="1">
        <v>44431</v>
      </c>
      <c r="F5516">
        <v>1</v>
      </c>
      <c r="G5516" t="s">
        <v>47</v>
      </c>
      <c r="H5516" t="s">
        <v>48</v>
      </c>
      <c r="I5516" s="3">
        <v>1999</v>
      </c>
      <c r="J5516" s="3">
        <v>1819</v>
      </c>
      <c r="K5516" s="3">
        <v>388</v>
      </c>
      <c r="L5516" t="s">
        <v>113</v>
      </c>
      <c r="M5516">
        <v>9</v>
      </c>
      <c r="N5516" t="s">
        <v>76</v>
      </c>
      <c r="O5516" t="s">
        <v>70</v>
      </c>
      <c r="P5516" t="s">
        <v>12</v>
      </c>
      <c r="Q5516" t="s">
        <v>13</v>
      </c>
      <c r="R5516" t="s">
        <v>13</v>
      </c>
      <c r="S5516" t="s">
        <v>144</v>
      </c>
      <c r="T5516" s="2">
        <f>MASTER[[#This Row],[CANTIDAD]]*MASTER[[#This Row],[PRECIO DE VENTA]]</f>
        <v>1819</v>
      </c>
      <c r="U5516" s="2">
        <f>MASTER[[#This Row],[CANTIDAD]]*MASTER[[#This Row],[COSTO UNITARIO]]</f>
        <v>388</v>
      </c>
      <c r="V5516" s="2">
        <f>MASTER[[#This Row],[MONTO VENDIDO]]-MASTER[[#This Row],[COSTO DE VENTA]]</f>
        <v>1431</v>
      </c>
    </row>
    <row r="5517" spans="1:22" x14ac:dyDescent="0.3">
      <c r="A5517">
        <v>78049</v>
      </c>
      <c r="B5517">
        <v>1</v>
      </c>
      <c r="C5517" t="s">
        <v>92</v>
      </c>
      <c r="D5517" t="s">
        <v>93</v>
      </c>
      <c r="E5517" s="1">
        <v>44431</v>
      </c>
      <c r="F5517">
        <v>1</v>
      </c>
      <c r="G5517" t="s">
        <v>67</v>
      </c>
      <c r="H5517" t="s">
        <v>68</v>
      </c>
      <c r="I5517" s="3">
        <v>1866</v>
      </c>
      <c r="J5517" s="3">
        <v>1866</v>
      </c>
      <c r="K5517" s="3">
        <v>396</v>
      </c>
      <c r="L5517" t="s">
        <v>9</v>
      </c>
      <c r="M5517">
        <v>6</v>
      </c>
      <c r="N5517" t="s">
        <v>75</v>
      </c>
      <c r="O5517" t="s">
        <v>70</v>
      </c>
      <c r="P5517" t="s">
        <v>12</v>
      </c>
      <c r="Q5517" t="s">
        <v>13</v>
      </c>
      <c r="R5517" t="s">
        <v>13</v>
      </c>
      <c r="S5517" t="s">
        <v>144</v>
      </c>
      <c r="T5517" s="2">
        <f>MASTER[[#This Row],[CANTIDAD]]*MASTER[[#This Row],[PRECIO DE VENTA]]</f>
        <v>1866</v>
      </c>
      <c r="U5517" s="2">
        <f>MASTER[[#This Row],[CANTIDAD]]*MASTER[[#This Row],[COSTO UNITARIO]]</f>
        <v>396</v>
      </c>
      <c r="V5517" s="2">
        <f>MASTER[[#This Row],[MONTO VENDIDO]]-MASTER[[#This Row],[COSTO DE VENTA]]</f>
        <v>1470</v>
      </c>
    </row>
    <row r="5518" spans="1:22" x14ac:dyDescent="0.3">
      <c r="A5518">
        <v>78066</v>
      </c>
      <c r="B5518">
        <v>1</v>
      </c>
      <c r="C5518" t="s">
        <v>96</v>
      </c>
      <c r="D5518" t="s">
        <v>97</v>
      </c>
      <c r="E5518" s="1">
        <v>44431</v>
      </c>
      <c r="F5518">
        <v>1</v>
      </c>
      <c r="G5518" t="s">
        <v>7</v>
      </c>
      <c r="H5518" t="s">
        <v>8</v>
      </c>
      <c r="I5518" s="3">
        <v>1361</v>
      </c>
      <c r="J5518" s="3">
        <v>1292</v>
      </c>
      <c r="K5518" s="3">
        <v>397</v>
      </c>
      <c r="L5518" t="s">
        <v>98</v>
      </c>
      <c r="M5518">
        <v>18</v>
      </c>
      <c r="N5518" t="s">
        <v>79</v>
      </c>
      <c r="O5518" t="s">
        <v>70</v>
      </c>
      <c r="P5518" t="s">
        <v>15</v>
      </c>
      <c r="Q5518" t="s">
        <v>16</v>
      </c>
      <c r="R5518" t="s">
        <v>16</v>
      </c>
      <c r="S5518" t="s">
        <v>144</v>
      </c>
      <c r="T5518" s="2">
        <f>MASTER[[#This Row],[CANTIDAD]]*MASTER[[#This Row],[PRECIO DE VENTA]]</f>
        <v>1292</v>
      </c>
      <c r="U5518" s="2">
        <f>MASTER[[#This Row],[CANTIDAD]]*MASTER[[#This Row],[COSTO UNITARIO]]</f>
        <v>397</v>
      </c>
      <c r="V5518" s="2">
        <f>MASTER[[#This Row],[MONTO VENDIDO]]-MASTER[[#This Row],[COSTO DE VENTA]]</f>
        <v>895</v>
      </c>
    </row>
    <row r="5519" spans="1:22" x14ac:dyDescent="0.3">
      <c r="A5519">
        <v>78077</v>
      </c>
      <c r="B5519">
        <v>1</v>
      </c>
      <c r="C5519" t="s">
        <v>121</v>
      </c>
      <c r="D5519" t="s">
        <v>122</v>
      </c>
      <c r="E5519" s="1">
        <v>44431</v>
      </c>
      <c r="F5519">
        <v>1</v>
      </c>
      <c r="G5519" t="s">
        <v>61</v>
      </c>
      <c r="H5519" t="s">
        <v>62</v>
      </c>
      <c r="I5519" s="3">
        <v>1144</v>
      </c>
      <c r="J5519" s="3">
        <v>1029</v>
      </c>
      <c r="K5519" s="3">
        <v>460</v>
      </c>
      <c r="L5519" t="s">
        <v>120</v>
      </c>
      <c r="M5519">
        <v>18</v>
      </c>
      <c r="N5519" t="s">
        <v>79</v>
      </c>
      <c r="O5519" t="s">
        <v>70</v>
      </c>
      <c r="P5519" t="s">
        <v>15</v>
      </c>
      <c r="Q5519" t="s">
        <v>16</v>
      </c>
      <c r="R5519" t="s">
        <v>16</v>
      </c>
      <c r="S5519" t="s">
        <v>144</v>
      </c>
      <c r="T5519" s="2">
        <f>MASTER[[#This Row],[CANTIDAD]]*MASTER[[#This Row],[PRECIO DE VENTA]]</f>
        <v>1029</v>
      </c>
      <c r="U5519" s="2">
        <f>MASTER[[#This Row],[CANTIDAD]]*MASTER[[#This Row],[COSTO UNITARIO]]</f>
        <v>460</v>
      </c>
      <c r="V5519" s="2">
        <f>MASTER[[#This Row],[MONTO VENDIDO]]-MASTER[[#This Row],[COSTO DE VENTA]]</f>
        <v>569</v>
      </c>
    </row>
    <row r="5520" spans="1:22" x14ac:dyDescent="0.3">
      <c r="A5520">
        <v>78092</v>
      </c>
      <c r="B5520">
        <v>1</v>
      </c>
      <c r="C5520" t="s">
        <v>92</v>
      </c>
      <c r="D5520" t="s">
        <v>93</v>
      </c>
      <c r="E5520" s="1">
        <v>44431</v>
      </c>
      <c r="F5520">
        <v>1</v>
      </c>
      <c r="G5520" t="s">
        <v>37</v>
      </c>
      <c r="H5520" t="s">
        <v>38</v>
      </c>
      <c r="I5520" s="3">
        <v>1866</v>
      </c>
      <c r="J5520" s="3">
        <v>1866</v>
      </c>
      <c r="K5520" s="3">
        <v>396</v>
      </c>
      <c r="L5520" t="s">
        <v>9</v>
      </c>
      <c r="M5520">
        <v>6</v>
      </c>
      <c r="N5520" t="s">
        <v>75</v>
      </c>
      <c r="O5520" t="s">
        <v>70</v>
      </c>
      <c r="P5520" t="s">
        <v>12</v>
      </c>
      <c r="Q5520" t="s">
        <v>13</v>
      </c>
      <c r="R5520" t="s">
        <v>13</v>
      </c>
      <c r="S5520" t="s">
        <v>144</v>
      </c>
      <c r="T5520" s="2">
        <f>MASTER[[#This Row],[CANTIDAD]]*MASTER[[#This Row],[PRECIO DE VENTA]]</f>
        <v>1866</v>
      </c>
      <c r="U5520" s="2">
        <f>MASTER[[#This Row],[CANTIDAD]]*MASTER[[#This Row],[COSTO UNITARIO]]</f>
        <v>396</v>
      </c>
      <c r="V5520" s="2">
        <f>MASTER[[#This Row],[MONTO VENDIDO]]-MASTER[[#This Row],[COSTO DE VENTA]]</f>
        <v>1470</v>
      </c>
    </row>
    <row r="5521" spans="1:22" x14ac:dyDescent="0.3">
      <c r="A5521">
        <v>78103</v>
      </c>
      <c r="B5521">
        <v>1</v>
      </c>
      <c r="C5521" t="s">
        <v>121</v>
      </c>
      <c r="D5521" t="s">
        <v>122</v>
      </c>
      <c r="E5521" s="1">
        <v>44431</v>
      </c>
      <c r="F5521">
        <v>1</v>
      </c>
      <c r="G5521" t="s">
        <v>41</v>
      </c>
      <c r="H5521" t="s">
        <v>42</v>
      </c>
      <c r="I5521" s="3">
        <v>1144</v>
      </c>
      <c r="J5521" s="3">
        <v>1144</v>
      </c>
      <c r="K5521" s="3">
        <v>460</v>
      </c>
      <c r="L5521" t="s">
        <v>120</v>
      </c>
      <c r="M5521">
        <v>18</v>
      </c>
      <c r="N5521" t="s">
        <v>79</v>
      </c>
      <c r="O5521" t="s">
        <v>70</v>
      </c>
      <c r="P5521" t="s">
        <v>15</v>
      </c>
      <c r="Q5521" t="s">
        <v>16</v>
      </c>
      <c r="R5521" t="s">
        <v>16</v>
      </c>
      <c r="S5521" t="s">
        <v>144</v>
      </c>
      <c r="T5521" s="2">
        <f>MASTER[[#This Row],[CANTIDAD]]*MASTER[[#This Row],[PRECIO DE VENTA]]</f>
        <v>1144</v>
      </c>
      <c r="U5521" s="2">
        <f>MASTER[[#This Row],[CANTIDAD]]*MASTER[[#This Row],[COSTO UNITARIO]]</f>
        <v>460</v>
      </c>
      <c r="V5521" s="2">
        <f>MASTER[[#This Row],[MONTO VENDIDO]]-MASTER[[#This Row],[COSTO DE VENTA]]</f>
        <v>684</v>
      </c>
    </row>
    <row r="5522" spans="1:22" x14ac:dyDescent="0.3">
      <c r="A5522">
        <v>78105</v>
      </c>
      <c r="B5522">
        <v>1</v>
      </c>
      <c r="C5522" t="s">
        <v>109</v>
      </c>
      <c r="D5522" t="s">
        <v>110</v>
      </c>
      <c r="E5522" s="1">
        <v>44431</v>
      </c>
      <c r="F5522">
        <v>1</v>
      </c>
      <c r="G5522" t="s">
        <v>20</v>
      </c>
      <c r="H5522" t="s">
        <v>21</v>
      </c>
      <c r="I5522" s="3">
        <v>1128</v>
      </c>
      <c r="J5522" s="3">
        <v>1128</v>
      </c>
      <c r="K5522" s="3">
        <v>387</v>
      </c>
      <c r="L5522" t="s">
        <v>98</v>
      </c>
      <c r="M5522">
        <v>6</v>
      </c>
      <c r="N5522" t="s">
        <v>75</v>
      </c>
      <c r="O5522" t="s">
        <v>70</v>
      </c>
      <c r="P5522" t="s">
        <v>12</v>
      </c>
      <c r="Q5522" t="s">
        <v>13</v>
      </c>
      <c r="R5522" t="s">
        <v>13</v>
      </c>
      <c r="S5522" t="s">
        <v>144</v>
      </c>
      <c r="T5522" s="2">
        <f>MASTER[[#This Row],[CANTIDAD]]*MASTER[[#This Row],[PRECIO DE VENTA]]</f>
        <v>1128</v>
      </c>
      <c r="U5522" s="2">
        <f>MASTER[[#This Row],[CANTIDAD]]*MASTER[[#This Row],[COSTO UNITARIO]]</f>
        <v>387</v>
      </c>
      <c r="V5522" s="2">
        <f>MASTER[[#This Row],[MONTO VENDIDO]]-MASTER[[#This Row],[COSTO DE VENTA]]</f>
        <v>741</v>
      </c>
    </row>
    <row r="5523" spans="1:22" x14ac:dyDescent="0.3">
      <c r="A5523">
        <v>78107</v>
      </c>
      <c r="B5523">
        <v>1</v>
      </c>
      <c r="C5523" t="s">
        <v>116</v>
      </c>
      <c r="D5523" t="s">
        <v>117</v>
      </c>
      <c r="E5523" s="1">
        <v>44431</v>
      </c>
      <c r="F5523">
        <v>1</v>
      </c>
      <c r="G5523" t="s">
        <v>22</v>
      </c>
      <c r="H5523" t="s">
        <v>23</v>
      </c>
      <c r="I5523" s="3">
        <v>1999</v>
      </c>
      <c r="J5523" s="3">
        <v>1999</v>
      </c>
      <c r="K5523" s="3">
        <v>388</v>
      </c>
      <c r="L5523" t="s">
        <v>113</v>
      </c>
      <c r="M5523">
        <v>6</v>
      </c>
      <c r="N5523" t="s">
        <v>75</v>
      </c>
      <c r="O5523" t="s">
        <v>70</v>
      </c>
      <c r="P5523" t="s">
        <v>12</v>
      </c>
      <c r="Q5523" t="s">
        <v>13</v>
      </c>
      <c r="R5523" t="s">
        <v>13</v>
      </c>
      <c r="S5523" t="s">
        <v>144</v>
      </c>
      <c r="T5523" s="2">
        <f>MASTER[[#This Row],[CANTIDAD]]*MASTER[[#This Row],[PRECIO DE VENTA]]</f>
        <v>1999</v>
      </c>
      <c r="U5523" s="2">
        <f>MASTER[[#This Row],[CANTIDAD]]*MASTER[[#This Row],[COSTO UNITARIO]]</f>
        <v>388</v>
      </c>
      <c r="V5523" s="2">
        <f>MASTER[[#This Row],[MONTO VENDIDO]]-MASTER[[#This Row],[COSTO DE VENTA]]</f>
        <v>1611</v>
      </c>
    </row>
    <row r="5524" spans="1:22" x14ac:dyDescent="0.3">
      <c r="A5524">
        <v>78112</v>
      </c>
      <c r="B5524">
        <v>1</v>
      </c>
      <c r="C5524" t="s">
        <v>111</v>
      </c>
      <c r="D5524" t="s">
        <v>112</v>
      </c>
      <c r="E5524" s="1">
        <v>44431</v>
      </c>
      <c r="F5524">
        <v>1</v>
      </c>
      <c r="G5524" t="s">
        <v>73</v>
      </c>
      <c r="H5524" t="s">
        <v>74</v>
      </c>
      <c r="I5524" s="3">
        <v>1621</v>
      </c>
      <c r="J5524" s="3">
        <v>1621</v>
      </c>
      <c r="K5524" s="3">
        <v>434</v>
      </c>
      <c r="L5524" t="s">
        <v>113</v>
      </c>
      <c r="M5524">
        <v>2</v>
      </c>
      <c r="N5524" t="s">
        <v>86</v>
      </c>
      <c r="O5524" t="s">
        <v>81</v>
      </c>
      <c r="P5524" t="s">
        <v>71</v>
      </c>
      <c r="Q5524" t="s">
        <v>72</v>
      </c>
      <c r="R5524" t="s">
        <v>139</v>
      </c>
      <c r="S5524" t="s">
        <v>144</v>
      </c>
      <c r="T5524" s="2">
        <f>MASTER[[#This Row],[CANTIDAD]]*MASTER[[#This Row],[PRECIO DE VENTA]]</f>
        <v>1621</v>
      </c>
      <c r="U5524" s="2">
        <f>MASTER[[#This Row],[CANTIDAD]]*MASTER[[#This Row],[COSTO UNITARIO]]</f>
        <v>434</v>
      </c>
      <c r="V5524" s="2">
        <f>MASTER[[#This Row],[MONTO VENDIDO]]-MASTER[[#This Row],[COSTO DE VENTA]]</f>
        <v>1187</v>
      </c>
    </row>
    <row r="5525" spans="1:22" x14ac:dyDescent="0.3">
      <c r="A5525">
        <v>78129</v>
      </c>
      <c r="B5525">
        <v>1</v>
      </c>
      <c r="C5525" t="s">
        <v>94</v>
      </c>
      <c r="D5525" t="s">
        <v>95</v>
      </c>
      <c r="E5525" s="1">
        <v>44431</v>
      </c>
      <c r="F5525">
        <v>1</v>
      </c>
      <c r="G5525" t="s">
        <v>73</v>
      </c>
      <c r="H5525" t="s">
        <v>74</v>
      </c>
      <c r="I5525" s="3">
        <v>901</v>
      </c>
      <c r="J5525" s="3">
        <v>901</v>
      </c>
      <c r="K5525" s="3">
        <v>392</v>
      </c>
      <c r="L5525" t="s">
        <v>9</v>
      </c>
      <c r="M5525">
        <v>11</v>
      </c>
      <c r="N5525" t="s">
        <v>10</v>
      </c>
      <c r="O5525" t="s">
        <v>11</v>
      </c>
      <c r="P5525" t="s">
        <v>12</v>
      </c>
      <c r="Q5525" t="s">
        <v>13</v>
      </c>
      <c r="R5525" t="s">
        <v>13</v>
      </c>
      <c r="S5525" t="s">
        <v>144</v>
      </c>
      <c r="T5525" s="2">
        <f>MASTER[[#This Row],[CANTIDAD]]*MASTER[[#This Row],[PRECIO DE VENTA]]</f>
        <v>901</v>
      </c>
      <c r="U5525" s="2">
        <f>MASTER[[#This Row],[CANTIDAD]]*MASTER[[#This Row],[COSTO UNITARIO]]</f>
        <v>392</v>
      </c>
      <c r="V5525" s="2">
        <f>MASTER[[#This Row],[MONTO VENDIDO]]-MASTER[[#This Row],[COSTO DE VENTA]]</f>
        <v>509</v>
      </c>
    </row>
    <row r="5526" spans="1:22" x14ac:dyDescent="0.3">
      <c r="A5526">
        <v>78146</v>
      </c>
      <c r="B5526">
        <v>1</v>
      </c>
      <c r="C5526" t="s">
        <v>116</v>
      </c>
      <c r="D5526" t="s">
        <v>117</v>
      </c>
      <c r="E5526" s="1">
        <v>44431</v>
      </c>
      <c r="F5526">
        <v>1</v>
      </c>
      <c r="G5526" t="s">
        <v>31</v>
      </c>
      <c r="H5526" t="s">
        <v>32</v>
      </c>
      <c r="I5526" s="3">
        <v>1999</v>
      </c>
      <c r="J5526" s="3">
        <v>1919</v>
      </c>
      <c r="K5526" s="3">
        <v>388</v>
      </c>
      <c r="L5526" t="s">
        <v>113</v>
      </c>
      <c r="M5526">
        <v>6</v>
      </c>
      <c r="N5526" t="s">
        <v>75</v>
      </c>
      <c r="O5526" t="s">
        <v>70</v>
      </c>
      <c r="P5526" t="s">
        <v>12</v>
      </c>
      <c r="Q5526" t="s">
        <v>13</v>
      </c>
      <c r="R5526" t="s">
        <v>13</v>
      </c>
      <c r="S5526" t="s">
        <v>144</v>
      </c>
      <c r="T5526" s="2">
        <f>MASTER[[#This Row],[CANTIDAD]]*MASTER[[#This Row],[PRECIO DE VENTA]]</f>
        <v>1919</v>
      </c>
      <c r="U5526" s="2">
        <f>MASTER[[#This Row],[CANTIDAD]]*MASTER[[#This Row],[COSTO UNITARIO]]</f>
        <v>388</v>
      </c>
      <c r="V5526" s="2">
        <f>MASTER[[#This Row],[MONTO VENDIDO]]-MASTER[[#This Row],[COSTO DE VENTA]]</f>
        <v>1531</v>
      </c>
    </row>
    <row r="5527" spans="1:22" x14ac:dyDescent="0.3">
      <c r="A5527">
        <v>78147</v>
      </c>
      <c r="B5527">
        <v>1</v>
      </c>
      <c r="C5527" t="s">
        <v>111</v>
      </c>
      <c r="D5527" t="s">
        <v>112</v>
      </c>
      <c r="E5527" s="1">
        <v>44432</v>
      </c>
      <c r="F5527">
        <v>1</v>
      </c>
      <c r="G5527" t="s">
        <v>24</v>
      </c>
      <c r="H5527" t="s">
        <v>25</v>
      </c>
      <c r="I5527" s="3">
        <v>1621</v>
      </c>
      <c r="J5527" s="3">
        <v>1621</v>
      </c>
      <c r="K5527" s="3">
        <v>434</v>
      </c>
      <c r="L5527" t="s">
        <v>113</v>
      </c>
      <c r="M5527">
        <v>5</v>
      </c>
      <c r="N5527" t="s">
        <v>85</v>
      </c>
      <c r="O5527" t="s">
        <v>81</v>
      </c>
      <c r="P5527" t="s">
        <v>12</v>
      </c>
      <c r="Q5527" t="s">
        <v>13</v>
      </c>
      <c r="R5527" t="s">
        <v>13</v>
      </c>
      <c r="S5527" t="s">
        <v>144</v>
      </c>
      <c r="T5527" s="2">
        <f>MASTER[[#This Row],[CANTIDAD]]*MASTER[[#This Row],[PRECIO DE VENTA]]</f>
        <v>1621</v>
      </c>
      <c r="U5527" s="2">
        <f>MASTER[[#This Row],[CANTIDAD]]*MASTER[[#This Row],[COSTO UNITARIO]]</f>
        <v>434</v>
      </c>
      <c r="V5527" s="2">
        <f>MASTER[[#This Row],[MONTO VENDIDO]]-MASTER[[#This Row],[COSTO DE VENTA]]</f>
        <v>1187</v>
      </c>
    </row>
    <row r="5528" spans="1:22" x14ac:dyDescent="0.3">
      <c r="A5528">
        <v>78186</v>
      </c>
      <c r="B5528">
        <v>1</v>
      </c>
      <c r="C5528" t="s">
        <v>116</v>
      </c>
      <c r="D5528" t="s">
        <v>117</v>
      </c>
      <c r="E5528" s="1">
        <v>44432</v>
      </c>
      <c r="F5528">
        <v>1</v>
      </c>
      <c r="G5528" t="s">
        <v>45</v>
      </c>
      <c r="H5528" t="s">
        <v>46</v>
      </c>
      <c r="I5528" s="3">
        <v>1738</v>
      </c>
      <c r="J5528" s="3">
        <v>1738</v>
      </c>
      <c r="K5528" s="3">
        <v>388</v>
      </c>
      <c r="L5528" t="s">
        <v>113</v>
      </c>
      <c r="M5528">
        <v>5</v>
      </c>
      <c r="N5528" t="s">
        <v>85</v>
      </c>
      <c r="O5528" t="s">
        <v>81</v>
      </c>
      <c r="P5528" t="s">
        <v>12</v>
      </c>
      <c r="Q5528" t="s">
        <v>13</v>
      </c>
      <c r="R5528" t="s">
        <v>13</v>
      </c>
      <c r="S5528" t="s">
        <v>144</v>
      </c>
      <c r="T5528" s="2">
        <f>MASTER[[#This Row],[CANTIDAD]]*MASTER[[#This Row],[PRECIO DE VENTA]]</f>
        <v>1738</v>
      </c>
      <c r="U5528" s="2">
        <f>MASTER[[#This Row],[CANTIDAD]]*MASTER[[#This Row],[COSTO UNITARIO]]</f>
        <v>388</v>
      </c>
      <c r="V5528" s="2">
        <f>MASTER[[#This Row],[MONTO VENDIDO]]-MASTER[[#This Row],[COSTO DE VENTA]]</f>
        <v>1350</v>
      </c>
    </row>
    <row r="5529" spans="1:22" x14ac:dyDescent="0.3">
      <c r="A5529">
        <v>78189</v>
      </c>
      <c r="B5529">
        <v>1</v>
      </c>
      <c r="C5529" t="s">
        <v>111</v>
      </c>
      <c r="D5529" t="s">
        <v>112</v>
      </c>
      <c r="E5529" s="1">
        <v>44432</v>
      </c>
      <c r="F5529">
        <v>1</v>
      </c>
      <c r="G5529" t="s">
        <v>31</v>
      </c>
      <c r="H5529" t="s">
        <v>32</v>
      </c>
      <c r="I5529" s="3">
        <v>1621</v>
      </c>
      <c r="J5529" s="3">
        <v>1556</v>
      </c>
      <c r="K5529" s="3">
        <v>434</v>
      </c>
      <c r="L5529" t="s">
        <v>113</v>
      </c>
      <c r="M5529">
        <v>7</v>
      </c>
      <c r="N5529" t="s">
        <v>84</v>
      </c>
      <c r="O5529" t="s">
        <v>81</v>
      </c>
      <c r="P5529" t="s">
        <v>12</v>
      </c>
      <c r="Q5529" t="s">
        <v>13</v>
      </c>
      <c r="R5529" t="s">
        <v>13</v>
      </c>
      <c r="S5529" t="s">
        <v>144</v>
      </c>
      <c r="T5529" s="2">
        <f>MASTER[[#This Row],[CANTIDAD]]*MASTER[[#This Row],[PRECIO DE VENTA]]</f>
        <v>1556</v>
      </c>
      <c r="U5529" s="2">
        <f>MASTER[[#This Row],[CANTIDAD]]*MASTER[[#This Row],[COSTO UNITARIO]]</f>
        <v>434</v>
      </c>
      <c r="V5529" s="2">
        <f>MASTER[[#This Row],[MONTO VENDIDO]]-MASTER[[#This Row],[COSTO DE VENTA]]</f>
        <v>1122</v>
      </c>
    </row>
    <row r="5530" spans="1:22" x14ac:dyDescent="0.3">
      <c r="A5530">
        <v>78190</v>
      </c>
      <c r="B5530">
        <v>1</v>
      </c>
      <c r="C5530" t="s">
        <v>90</v>
      </c>
      <c r="D5530" t="s">
        <v>91</v>
      </c>
      <c r="E5530" s="1">
        <v>44432</v>
      </c>
      <c r="F5530">
        <v>1</v>
      </c>
      <c r="G5530" t="s">
        <v>45</v>
      </c>
      <c r="H5530" t="s">
        <v>46</v>
      </c>
      <c r="I5530" s="3">
        <v>1844</v>
      </c>
      <c r="J5530" s="3">
        <v>1844</v>
      </c>
      <c r="K5530" s="3">
        <v>420</v>
      </c>
      <c r="L5530" t="s">
        <v>9</v>
      </c>
      <c r="M5530">
        <v>4</v>
      </c>
      <c r="N5530" t="s">
        <v>82</v>
      </c>
      <c r="O5530" t="s">
        <v>81</v>
      </c>
      <c r="P5530" t="s">
        <v>71</v>
      </c>
      <c r="Q5530" t="s">
        <v>72</v>
      </c>
      <c r="R5530" t="s">
        <v>139</v>
      </c>
      <c r="S5530" t="s">
        <v>144</v>
      </c>
      <c r="T5530" s="2">
        <f>MASTER[[#This Row],[CANTIDAD]]*MASTER[[#This Row],[PRECIO DE VENTA]]</f>
        <v>1844</v>
      </c>
      <c r="U5530" s="2">
        <f>MASTER[[#This Row],[CANTIDAD]]*MASTER[[#This Row],[COSTO UNITARIO]]</f>
        <v>420</v>
      </c>
      <c r="V5530" s="2">
        <f>MASTER[[#This Row],[MONTO VENDIDO]]-MASTER[[#This Row],[COSTO DE VENTA]]</f>
        <v>1424</v>
      </c>
    </row>
    <row r="5531" spans="1:22" x14ac:dyDescent="0.3">
      <c r="A5531">
        <v>78200</v>
      </c>
      <c r="B5531">
        <v>1</v>
      </c>
      <c r="C5531" t="s">
        <v>5</v>
      </c>
      <c r="D5531" t="s">
        <v>6</v>
      </c>
      <c r="E5531" s="1">
        <v>44432</v>
      </c>
      <c r="F5531">
        <v>1</v>
      </c>
      <c r="G5531" t="s">
        <v>47</v>
      </c>
      <c r="H5531" t="s">
        <v>48</v>
      </c>
      <c r="I5531" s="3">
        <v>1311</v>
      </c>
      <c r="J5531" s="3">
        <v>1311</v>
      </c>
      <c r="K5531" s="3">
        <v>393</v>
      </c>
      <c r="L5531" t="s">
        <v>9</v>
      </c>
      <c r="M5531">
        <v>12</v>
      </c>
      <c r="N5531" t="s">
        <v>26</v>
      </c>
      <c r="O5531" t="s">
        <v>11</v>
      </c>
      <c r="P5531" t="s">
        <v>12</v>
      </c>
      <c r="Q5531" t="s">
        <v>13</v>
      </c>
      <c r="R5531" t="s">
        <v>13</v>
      </c>
      <c r="S5531" t="s">
        <v>144</v>
      </c>
      <c r="T5531" s="2">
        <f>MASTER[[#This Row],[CANTIDAD]]*MASTER[[#This Row],[PRECIO DE VENTA]]</f>
        <v>1311</v>
      </c>
      <c r="U5531" s="2">
        <f>MASTER[[#This Row],[CANTIDAD]]*MASTER[[#This Row],[COSTO UNITARIO]]</f>
        <v>393</v>
      </c>
      <c r="V5531" s="2">
        <f>MASTER[[#This Row],[MONTO VENDIDO]]-MASTER[[#This Row],[COSTO DE VENTA]]</f>
        <v>918</v>
      </c>
    </row>
    <row r="5532" spans="1:22" x14ac:dyDescent="0.3">
      <c r="A5532">
        <v>78203</v>
      </c>
      <c r="B5532">
        <v>1</v>
      </c>
      <c r="C5532" t="s">
        <v>114</v>
      </c>
      <c r="D5532" t="s">
        <v>115</v>
      </c>
      <c r="E5532" s="1">
        <v>44432</v>
      </c>
      <c r="F5532">
        <v>1</v>
      </c>
      <c r="G5532" t="s">
        <v>61</v>
      </c>
      <c r="H5532" t="s">
        <v>62</v>
      </c>
      <c r="I5532" s="3">
        <v>1862</v>
      </c>
      <c r="J5532" s="3">
        <v>1862</v>
      </c>
      <c r="K5532" s="3">
        <v>394</v>
      </c>
      <c r="L5532" t="s">
        <v>113</v>
      </c>
      <c r="M5532">
        <v>14</v>
      </c>
      <c r="N5532" t="s">
        <v>87</v>
      </c>
      <c r="O5532" t="s">
        <v>81</v>
      </c>
      <c r="P5532" t="s">
        <v>18</v>
      </c>
      <c r="Q5532" t="s">
        <v>19</v>
      </c>
      <c r="R5532" t="s">
        <v>138</v>
      </c>
      <c r="S5532" t="s">
        <v>144</v>
      </c>
      <c r="T5532" s="2">
        <f>MASTER[[#This Row],[CANTIDAD]]*MASTER[[#This Row],[PRECIO DE VENTA]]</f>
        <v>1862</v>
      </c>
      <c r="U5532" s="2">
        <f>MASTER[[#This Row],[CANTIDAD]]*MASTER[[#This Row],[COSTO UNITARIO]]</f>
        <v>394</v>
      </c>
      <c r="V5532" s="2">
        <f>MASTER[[#This Row],[MONTO VENDIDO]]-MASTER[[#This Row],[COSTO DE VENTA]]</f>
        <v>1468</v>
      </c>
    </row>
    <row r="5533" spans="1:22" x14ac:dyDescent="0.3">
      <c r="A5533">
        <v>78207</v>
      </c>
      <c r="B5533">
        <v>1</v>
      </c>
      <c r="C5533" t="s">
        <v>92</v>
      </c>
      <c r="D5533" t="s">
        <v>93</v>
      </c>
      <c r="E5533" s="1">
        <v>44432</v>
      </c>
      <c r="F5533">
        <v>1</v>
      </c>
      <c r="G5533" t="s">
        <v>39</v>
      </c>
      <c r="H5533" t="s">
        <v>40</v>
      </c>
      <c r="I5533" s="3">
        <v>1479</v>
      </c>
      <c r="J5533" s="3">
        <v>1479</v>
      </c>
      <c r="K5533" s="3">
        <v>396</v>
      </c>
      <c r="L5533" t="s">
        <v>9</v>
      </c>
      <c r="M5533">
        <v>17</v>
      </c>
      <c r="N5533" t="s">
        <v>14</v>
      </c>
      <c r="O5533" t="s">
        <v>11</v>
      </c>
      <c r="P5533" t="s">
        <v>15</v>
      </c>
      <c r="Q5533" t="s">
        <v>16</v>
      </c>
      <c r="R5533" t="s">
        <v>16</v>
      </c>
      <c r="S5533" t="s">
        <v>144</v>
      </c>
      <c r="T5533" s="2">
        <f>MASTER[[#This Row],[CANTIDAD]]*MASTER[[#This Row],[PRECIO DE VENTA]]</f>
        <v>1479</v>
      </c>
      <c r="U5533" s="2">
        <f>MASTER[[#This Row],[CANTIDAD]]*MASTER[[#This Row],[COSTO UNITARIO]]</f>
        <v>396</v>
      </c>
      <c r="V5533" s="2">
        <f>MASTER[[#This Row],[MONTO VENDIDO]]-MASTER[[#This Row],[COSTO DE VENTA]]</f>
        <v>1083</v>
      </c>
    </row>
    <row r="5534" spans="1:22" x14ac:dyDescent="0.3">
      <c r="A5534">
        <v>78214</v>
      </c>
      <c r="B5534">
        <v>1</v>
      </c>
      <c r="C5534" t="s">
        <v>90</v>
      </c>
      <c r="D5534" t="s">
        <v>91</v>
      </c>
      <c r="E5534" s="1">
        <v>44432</v>
      </c>
      <c r="F5534">
        <v>1</v>
      </c>
      <c r="G5534" t="s">
        <v>7</v>
      </c>
      <c r="H5534" t="s">
        <v>8</v>
      </c>
      <c r="I5534" s="3">
        <v>2102</v>
      </c>
      <c r="J5534" s="3">
        <v>2102</v>
      </c>
      <c r="K5534" s="3">
        <v>420</v>
      </c>
      <c r="L5534" t="s">
        <v>9</v>
      </c>
      <c r="M5534">
        <v>9</v>
      </c>
      <c r="N5534" t="s">
        <v>76</v>
      </c>
      <c r="O5534" t="s">
        <v>70</v>
      </c>
      <c r="P5534" t="s">
        <v>12</v>
      </c>
      <c r="Q5534" t="s">
        <v>13</v>
      </c>
      <c r="R5534" t="s">
        <v>13</v>
      </c>
      <c r="S5534" t="s">
        <v>144</v>
      </c>
      <c r="T5534" s="2">
        <f>MASTER[[#This Row],[CANTIDAD]]*MASTER[[#This Row],[PRECIO DE VENTA]]</f>
        <v>2102</v>
      </c>
      <c r="U5534" s="2">
        <f>MASTER[[#This Row],[CANTIDAD]]*MASTER[[#This Row],[COSTO UNITARIO]]</f>
        <v>420</v>
      </c>
      <c r="V5534" s="2">
        <f>MASTER[[#This Row],[MONTO VENDIDO]]-MASTER[[#This Row],[COSTO DE VENTA]]</f>
        <v>1682</v>
      </c>
    </row>
    <row r="5535" spans="1:22" x14ac:dyDescent="0.3">
      <c r="A5535">
        <v>78225</v>
      </c>
      <c r="B5535">
        <v>1</v>
      </c>
      <c r="C5535" t="s">
        <v>118</v>
      </c>
      <c r="D5535" t="s">
        <v>119</v>
      </c>
      <c r="E5535" s="1">
        <v>44432</v>
      </c>
      <c r="F5535">
        <v>1</v>
      </c>
      <c r="G5535" t="s">
        <v>27</v>
      </c>
      <c r="H5535" t="s">
        <v>28</v>
      </c>
      <c r="I5535" s="3">
        <v>900</v>
      </c>
      <c r="J5535" s="3">
        <v>900</v>
      </c>
      <c r="K5535" s="3">
        <v>424</v>
      </c>
      <c r="L5535" t="s">
        <v>120</v>
      </c>
      <c r="M5535">
        <v>5</v>
      </c>
      <c r="N5535" t="s">
        <v>85</v>
      </c>
      <c r="O5535" t="s">
        <v>81</v>
      </c>
      <c r="P5535" t="s">
        <v>12</v>
      </c>
      <c r="Q5535" t="s">
        <v>13</v>
      </c>
      <c r="R5535" t="s">
        <v>13</v>
      </c>
      <c r="S5535" t="s">
        <v>144</v>
      </c>
      <c r="T5535" s="2">
        <f>MASTER[[#This Row],[CANTIDAD]]*MASTER[[#This Row],[PRECIO DE VENTA]]</f>
        <v>900</v>
      </c>
      <c r="U5535" s="2">
        <f>MASTER[[#This Row],[CANTIDAD]]*MASTER[[#This Row],[COSTO UNITARIO]]</f>
        <v>424</v>
      </c>
      <c r="V5535" s="2">
        <f>MASTER[[#This Row],[MONTO VENDIDO]]-MASTER[[#This Row],[COSTO DE VENTA]]</f>
        <v>476</v>
      </c>
    </row>
    <row r="5536" spans="1:22" x14ac:dyDescent="0.3">
      <c r="A5536">
        <v>78235</v>
      </c>
      <c r="B5536">
        <v>1</v>
      </c>
      <c r="C5536" t="s">
        <v>109</v>
      </c>
      <c r="D5536" t="s">
        <v>110</v>
      </c>
      <c r="E5536" s="1">
        <v>44432</v>
      </c>
      <c r="F5536">
        <v>4</v>
      </c>
      <c r="G5536" t="s">
        <v>20</v>
      </c>
      <c r="H5536" t="s">
        <v>21</v>
      </c>
      <c r="I5536" s="3">
        <v>1064</v>
      </c>
      <c r="J5536" s="3">
        <v>1064</v>
      </c>
      <c r="K5536" s="3">
        <v>387</v>
      </c>
      <c r="L5536" t="s">
        <v>98</v>
      </c>
      <c r="M5536">
        <v>8</v>
      </c>
      <c r="N5536" t="s">
        <v>80</v>
      </c>
      <c r="O5536" t="s">
        <v>81</v>
      </c>
      <c r="P5536" t="s">
        <v>12</v>
      </c>
      <c r="Q5536" t="s">
        <v>13</v>
      </c>
      <c r="R5536" t="s">
        <v>13</v>
      </c>
      <c r="S5536" t="s">
        <v>144</v>
      </c>
      <c r="T5536" s="2">
        <f>MASTER[[#This Row],[CANTIDAD]]*MASTER[[#This Row],[PRECIO DE VENTA]]</f>
        <v>4256</v>
      </c>
      <c r="U5536" s="2">
        <f>MASTER[[#This Row],[CANTIDAD]]*MASTER[[#This Row],[COSTO UNITARIO]]</f>
        <v>1548</v>
      </c>
      <c r="V5536" s="2">
        <f>MASTER[[#This Row],[MONTO VENDIDO]]-MASTER[[#This Row],[COSTO DE VENTA]]</f>
        <v>2708</v>
      </c>
    </row>
    <row r="5537" spans="1:22" x14ac:dyDescent="0.3">
      <c r="A5537">
        <v>78238</v>
      </c>
      <c r="B5537">
        <v>1</v>
      </c>
      <c r="C5537" t="s">
        <v>5</v>
      </c>
      <c r="D5537" t="s">
        <v>6</v>
      </c>
      <c r="E5537" s="1">
        <v>44432</v>
      </c>
      <c r="F5537">
        <v>2</v>
      </c>
      <c r="G5537" t="s">
        <v>31</v>
      </c>
      <c r="H5537" t="s">
        <v>32</v>
      </c>
      <c r="I5537" s="3">
        <v>1296</v>
      </c>
      <c r="J5537" s="3">
        <v>1296</v>
      </c>
      <c r="K5537" s="3">
        <v>393</v>
      </c>
      <c r="L5537" t="s">
        <v>9</v>
      </c>
      <c r="M5537">
        <v>1</v>
      </c>
      <c r="N5537" t="s">
        <v>77</v>
      </c>
      <c r="O5537" t="s">
        <v>70</v>
      </c>
      <c r="P5537" t="s">
        <v>71</v>
      </c>
      <c r="Q5537" t="s">
        <v>72</v>
      </c>
      <c r="R5537" t="s">
        <v>139</v>
      </c>
      <c r="S5537" t="s">
        <v>144</v>
      </c>
      <c r="T5537" s="2">
        <f>MASTER[[#This Row],[CANTIDAD]]*MASTER[[#This Row],[PRECIO DE VENTA]]</f>
        <v>2592</v>
      </c>
      <c r="U5537" s="2">
        <f>MASTER[[#This Row],[CANTIDAD]]*MASTER[[#This Row],[COSTO UNITARIO]]</f>
        <v>786</v>
      </c>
      <c r="V5537" s="2">
        <f>MASTER[[#This Row],[MONTO VENDIDO]]-MASTER[[#This Row],[COSTO DE VENTA]]</f>
        <v>1806</v>
      </c>
    </row>
    <row r="5538" spans="1:22" x14ac:dyDescent="0.3">
      <c r="A5538">
        <v>78240</v>
      </c>
      <c r="B5538">
        <v>1</v>
      </c>
      <c r="C5538" t="s">
        <v>114</v>
      </c>
      <c r="D5538" t="s">
        <v>115</v>
      </c>
      <c r="E5538" s="1">
        <v>44433</v>
      </c>
      <c r="F5538">
        <v>1</v>
      </c>
      <c r="G5538" t="s">
        <v>39</v>
      </c>
      <c r="H5538" t="s">
        <v>40</v>
      </c>
      <c r="I5538" s="3">
        <v>1862</v>
      </c>
      <c r="J5538" s="3">
        <v>1862</v>
      </c>
      <c r="K5538" s="3">
        <v>394</v>
      </c>
      <c r="L5538" t="s">
        <v>113</v>
      </c>
      <c r="M5538">
        <v>14</v>
      </c>
      <c r="N5538" t="s">
        <v>87</v>
      </c>
      <c r="O5538" t="s">
        <v>81</v>
      </c>
      <c r="P5538" t="s">
        <v>18</v>
      </c>
      <c r="Q5538" t="s">
        <v>19</v>
      </c>
      <c r="R5538" t="s">
        <v>138</v>
      </c>
      <c r="S5538" t="s">
        <v>144</v>
      </c>
      <c r="T5538" s="2">
        <f>MASTER[[#This Row],[CANTIDAD]]*MASTER[[#This Row],[PRECIO DE VENTA]]</f>
        <v>1862</v>
      </c>
      <c r="U5538" s="2">
        <f>MASTER[[#This Row],[CANTIDAD]]*MASTER[[#This Row],[COSTO UNITARIO]]</f>
        <v>394</v>
      </c>
      <c r="V5538" s="2">
        <f>MASTER[[#This Row],[MONTO VENDIDO]]-MASTER[[#This Row],[COSTO DE VENTA]]</f>
        <v>1468</v>
      </c>
    </row>
    <row r="5539" spans="1:22" x14ac:dyDescent="0.3">
      <c r="A5539">
        <v>78251</v>
      </c>
      <c r="B5539">
        <v>1</v>
      </c>
      <c r="C5539" t="s">
        <v>90</v>
      </c>
      <c r="D5539" t="s">
        <v>91</v>
      </c>
      <c r="E5539" s="1">
        <v>44433</v>
      </c>
      <c r="F5539">
        <v>1</v>
      </c>
      <c r="G5539" t="s">
        <v>37</v>
      </c>
      <c r="H5539" t="s">
        <v>38</v>
      </c>
      <c r="I5539" s="3">
        <v>2102</v>
      </c>
      <c r="J5539" s="3">
        <v>2102</v>
      </c>
      <c r="K5539" s="3">
        <v>420</v>
      </c>
      <c r="L5539" t="s">
        <v>9</v>
      </c>
      <c r="M5539">
        <v>18</v>
      </c>
      <c r="N5539" t="s">
        <v>79</v>
      </c>
      <c r="O5539" t="s">
        <v>70</v>
      </c>
      <c r="P5539" t="s">
        <v>15</v>
      </c>
      <c r="Q5539" t="s">
        <v>16</v>
      </c>
      <c r="R5539" t="s">
        <v>16</v>
      </c>
      <c r="S5539" t="s">
        <v>144</v>
      </c>
      <c r="T5539" s="2">
        <f>MASTER[[#This Row],[CANTIDAD]]*MASTER[[#This Row],[PRECIO DE VENTA]]</f>
        <v>2102</v>
      </c>
      <c r="U5539" s="2">
        <f>MASTER[[#This Row],[CANTIDAD]]*MASTER[[#This Row],[COSTO UNITARIO]]</f>
        <v>420</v>
      </c>
      <c r="V5539" s="2">
        <f>MASTER[[#This Row],[MONTO VENDIDO]]-MASTER[[#This Row],[COSTO DE VENTA]]</f>
        <v>1682</v>
      </c>
    </row>
    <row r="5540" spans="1:22" x14ac:dyDescent="0.3">
      <c r="A5540">
        <v>78255</v>
      </c>
      <c r="B5540">
        <v>1</v>
      </c>
      <c r="C5540" t="s">
        <v>121</v>
      </c>
      <c r="D5540" t="s">
        <v>122</v>
      </c>
      <c r="E5540" s="1">
        <v>44433</v>
      </c>
      <c r="F5540">
        <v>1</v>
      </c>
      <c r="G5540" t="s">
        <v>65</v>
      </c>
      <c r="H5540" t="s">
        <v>66</v>
      </c>
      <c r="I5540" s="3">
        <v>1069</v>
      </c>
      <c r="J5540" s="3">
        <v>1069</v>
      </c>
      <c r="K5540" s="3">
        <v>460</v>
      </c>
      <c r="L5540" t="s">
        <v>120</v>
      </c>
      <c r="M5540">
        <v>4</v>
      </c>
      <c r="N5540" t="s">
        <v>82</v>
      </c>
      <c r="O5540" t="s">
        <v>81</v>
      </c>
      <c r="P5540" t="s">
        <v>71</v>
      </c>
      <c r="Q5540" t="s">
        <v>72</v>
      </c>
      <c r="R5540" t="s">
        <v>139</v>
      </c>
      <c r="S5540" t="s">
        <v>144</v>
      </c>
      <c r="T5540" s="2">
        <f>MASTER[[#This Row],[CANTIDAD]]*MASTER[[#This Row],[PRECIO DE VENTA]]</f>
        <v>1069</v>
      </c>
      <c r="U5540" s="2">
        <f>MASTER[[#This Row],[CANTIDAD]]*MASTER[[#This Row],[COSTO UNITARIO]]</f>
        <v>460</v>
      </c>
      <c r="V5540" s="2">
        <f>MASTER[[#This Row],[MONTO VENDIDO]]-MASTER[[#This Row],[COSTO DE VENTA]]</f>
        <v>609</v>
      </c>
    </row>
    <row r="5541" spans="1:22" x14ac:dyDescent="0.3">
      <c r="A5541">
        <v>78272</v>
      </c>
      <c r="B5541">
        <v>1</v>
      </c>
      <c r="C5541" t="s">
        <v>96</v>
      </c>
      <c r="D5541" t="s">
        <v>97</v>
      </c>
      <c r="E5541" s="1">
        <v>44433</v>
      </c>
      <c r="F5541">
        <v>1</v>
      </c>
      <c r="G5541" t="s">
        <v>51</v>
      </c>
      <c r="H5541" t="s">
        <v>52</v>
      </c>
      <c r="I5541" s="3">
        <v>1361</v>
      </c>
      <c r="J5541" s="3">
        <v>1361</v>
      </c>
      <c r="K5541" s="3">
        <v>397</v>
      </c>
      <c r="L5541" t="s">
        <v>98</v>
      </c>
      <c r="M5541">
        <v>6</v>
      </c>
      <c r="N5541" t="s">
        <v>75</v>
      </c>
      <c r="O5541" t="s">
        <v>70</v>
      </c>
      <c r="P5541" t="s">
        <v>12</v>
      </c>
      <c r="Q5541" t="s">
        <v>13</v>
      </c>
      <c r="R5541" t="s">
        <v>13</v>
      </c>
      <c r="S5541" t="s">
        <v>144</v>
      </c>
      <c r="T5541" s="2">
        <f>MASTER[[#This Row],[CANTIDAD]]*MASTER[[#This Row],[PRECIO DE VENTA]]</f>
        <v>1361</v>
      </c>
      <c r="U5541" s="2">
        <f>MASTER[[#This Row],[CANTIDAD]]*MASTER[[#This Row],[COSTO UNITARIO]]</f>
        <v>397</v>
      </c>
      <c r="V5541" s="2">
        <f>MASTER[[#This Row],[MONTO VENDIDO]]-MASTER[[#This Row],[COSTO DE VENTA]]</f>
        <v>964</v>
      </c>
    </row>
    <row r="5542" spans="1:22" x14ac:dyDescent="0.3">
      <c r="A5542">
        <v>78291</v>
      </c>
      <c r="B5542">
        <v>1</v>
      </c>
      <c r="C5542" t="s">
        <v>99</v>
      </c>
      <c r="D5542" t="s">
        <v>100</v>
      </c>
      <c r="E5542" s="1">
        <v>44433</v>
      </c>
      <c r="F5542">
        <v>1</v>
      </c>
      <c r="G5542" t="s">
        <v>7</v>
      </c>
      <c r="H5542" t="s">
        <v>8</v>
      </c>
      <c r="I5542" s="3">
        <v>1459</v>
      </c>
      <c r="J5542" s="3">
        <v>1459</v>
      </c>
      <c r="K5542" s="3">
        <v>386</v>
      </c>
      <c r="L5542" t="s">
        <v>98</v>
      </c>
      <c r="M5542">
        <v>14</v>
      </c>
      <c r="N5542" t="s">
        <v>87</v>
      </c>
      <c r="O5542" t="s">
        <v>81</v>
      </c>
      <c r="P5542" t="s">
        <v>18</v>
      </c>
      <c r="Q5542" t="s">
        <v>19</v>
      </c>
      <c r="R5542" t="s">
        <v>138</v>
      </c>
      <c r="S5542" t="s">
        <v>144</v>
      </c>
      <c r="T5542" s="2">
        <f>MASTER[[#This Row],[CANTIDAD]]*MASTER[[#This Row],[PRECIO DE VENTA]]</f>
        <v>1459</v>
      </c>
      <c r="U5542" s="2">
        <f>MASTER[[#This Row],[CANTIDAD]]*MASTER[[#This Row],[COSTO UNITARIO]]</f>
        <v>386</v>
      </c>
      <c r="V5542" s="2">
        <f>MASTER[[#This Row],[MONTO VENDIDO]]-MASTER[[#This Row],[COSTO DE VENTA]]</f>
        <v>1073</v>
      </c>
    </row>
    <row r="5543" spans="1:22" x14ac:dyDescent="0.3">
      <c r="A5543">
        <v>78320</v>
      </c>
      <c r="B5543">
        <v>1</v>
      </c>
      <c r="C5543" t="s">
        <v>103</v>
      </c>
      <c r="D5543" t="s">
        <v>104</v>
      </c>
      <c r="E5543" s="1">
        <v>44433</v>
      </c>
      <c r="F5543">
        <v>1</v>
      </c>
      <c r="G5543" t="s">
        <v>7</v>
      </c>
      <c r="H5543" t="s">
        <v>8</v>
      </c>
      <c r="I5543" s="3">
        <v>1830</v>
      </c>
      <c r="J5543" s="3">
        <v>1830</v>
      </c>
      <c r="K5543" s="3">
        <v>421</v>
      </c>
      <c r="L5543" t="s">
        <v>98</v>
      </c>
      <c r="M5543">
        <v>1</v>
      </c>
      <c r="N5543" t="s">
        <v>77</v>
      </c>
      <c r="O5543" t="s">
        <v>70</v>
      </c>
      <c r="P5543" t="s">
        <v>71</v>
      </c>
      <c r="Q5543" t="s">
        <v>72</v>
      </c>
      <c r="R5543" t="s">
        <v>139</v>
      </c>
      <c r="S5543" t="s">
        <v>144</v>
      </c>
      <c r="T5543" s="2">
        <f>MASTER[[#This Row],[CANTIDAD]]*MASTER[[#This Row],[PRECIO DE VENTA]]</f>
        <v>1830</v>
      </c>
      <c r="U5543" s="2">
        <f>MASTER[[#This Row],[CANTIDAD]]*MASTER[[#This Row],[COSTO UNITARIO]]</f>
        <v>421</v>
      </c>
      <c r="V5543" s="2">
        <f>MASTER[[#This Row],[MONTO VENDIDO]]-MASTER[[#This Row],[COSTO DE VENTA]]</f>
        <v>1409</v>
      </c>
    </row>
    <row r="5544" spans="1:22" x14ac:dyDescent="0.3">
      <c r="A5544">
        <v>78346</v>
      </c>
      <c r="B5544">
        <v>1</v>
      </c>
      <c r="C5544" t="s">
        <v>116</v>
      </c>
      <c r="D5544" t="s">
        <v>117</v>
      </c>
      <c r="E5544" s="1">
        <v>44433</v>
      </c>
      <c r="F5544">
        <v>1</v>
      </c>
      <c r="G5544" t="s">
        <v>73</v>
      </c>
      <c r="H5544" t="s">
        <v>74</v>
      </c>
      <c r="I5544" s="3">
        <v>1738</v>
      </c>
      <c r="J5544" s="3">
        <v>1633</v>
      </c>
      <c r="K5544" s="3">
        <v>388</v>
      </c>
      <c r="L5544" t="s">
        <v>113</v>
      </c>
      <c r="M5544">
        <v>10</v>
      </c>
      <c r="N5544" t="s">
        <v>83</v>
      </c>
      <c r="O5544" t="s">
        <v>81</v>
      </c>
      <c r="P5544" t="s">
        <v>12</v>
      </c>
      <c r="Q5544" t="s">
        <v>13</v>
      </c>
      <c r="R5544" t="s">
        <v>13</v>
      </c>
      <c r="S5544" t="s">
        <v>144</v>
      </c>
      <c r="T5544" s="2">
        <f>MASTER[[#This Row],[CANTIDAD]]*MASTER[[#This Row],[PRECIO DE VENTA]]</f>
        <v>1633</v>
      </c>
      <c r="U5544" s="2">
        <f>MASTER[[#This Row],[CANTIDAD]]*MASTER[[#This Row],[COSTO UNITARIO]]</f>
        <v>388</v>
      </c>
      <c r="V5544" s="2">
        <f>MASTER[[#This Row],[MONTO VENDIDO]]-MASTER[[#This Row],[COSTO DE VENTA]]</f>
        <v>1245</v>
      </c>
    </row>
    <row r="5545" spans="1:22" x14ac:dyDescent="0.3">
      <c r="A5545">
        <v>78368</v>
      </c>
      <c r="B5545">
        <v>1</v>
      </c>
      <c r="C5545" t="s">
        <v>105</v>
      </c>
      <c r="D5545" t="s">
        <v>106</v>
      </c>
      <c r="E5545" s="1">
        <v>44433</v>
      </c>
      <c r="F5545">
        <v>1</v>
      </c>
      <c r="G5545" t="s">
        <v>7</v>
      </c>
      <c r="H5545" t="s">
        <v>8</v>
      </c>
      <c r="I5545" s="3">
        <v>1865</v>
      </c>
      <c r="J5545" s="3">
        <v>1715</v>
      </c>
      <c r="K5545" s="3">
        <v>459</v>
      </c>
      <c r="L5545" t="s">
        <v>98</v>
      </c>
      <c r="M5545">
        <v>14</v>
      </c>
      <c r="N5545" t="s">
        <v>87</v>
      </c>
      <c r="O5545" t="s">
        <v>81</v>
      </c>
      <c r="P5545" t="s">
        <v>18</v>
      </c>
      <c r="Q5545" t="s">
        <v>19</v>
      </c>
      <c r="R5545" t="s">
        <v>138</v>
      </c>
      <c r="S5545" t="s">
        <v>144</v>
      </c>
      <c r="T5545" s="2">
        <f>MASTER[[#This Row],[CANTIDAD]]*MASTER[[#This Row],[PRECIO DE VENTA]]</f>
        <v>1715</v>
      </c>
      <c r="U5545" s="2">
        <f>MASTER[[#This Row],[CANTIDAD]]*MASTER[[#This Row],[COSTO UNITARIO]]</f>
        <v>459</v>
      </c>
      <c r="V5545" s="2">
        <f>MASTER[[#This Row],[MONTO VENDIDO]]-MASTER[[#This Row],[COSTO DE VENTA]]</f>
        <v>1256</v>
      </c>
    </row>
    <row r="5546" spans="1:22" x14ac:dyDescent="0.3">
      <c r="A5546">
        <v>78381</v>
      </c>
      <c r="B5546">
        <v>1</v>
      </c>
      <c r="C5546" t="s">
        <v>105</v>
      </c>
      <c r="D5546" t="s">
        <v>106</v>
      </c>
      <c r="E5546" s="1">
        <v>44433</v>
      </c>
      <c r="F5546">
        <v>1</v>
      </c>
      <c r="G5546" t="s">
        <v>49</v>
      </c>
      <c r="H5546" t="s">
        <v>50</v>
      </c>
      <c r="I5546" s="3">
        <v>1865</v>
      </c>
      <c r="J5546" s="3">
        <v>1865</v>
      </c>
      <c r="K5546" s="3">
        <v>459</v>
      </c>
      <c r="L5546" t="s">
        <v>98</v>
      </c>
      <c r="M5546">
        <v>15</v>
      </c>
      <c r="N5546" t="s">
        <v>88</v>
      </c>
      <c r="O5546" t="s">
        <v>81</v>
      </c>
      <c r="P5546" t="s">
        <v>18</v>
      </c>
      <c r="Q5546" t="s">
        <v>19</v>
      </c>
      <c r="R5546" t="s">
        <v>138</v>
      </c>
      <c r="S5546" t="s">
        <v>144</v>
      </c>
      <c r="T5546" s="2">
        <f>MASTER[[#This Row],[CANTIDAD]]*MASTER[[#This Row],[PRECIO DE VENTA]]</f>
        <v>1865</v>
      </c>
      <c r="U5546" s="2">
        <f>MASTER[[#This Row],[CANTIDAD]]*MASTER[[#This Row],[COSTO UNITARIO]]</f>
        <v>459</v>
      </c>
      <c r="V5546" s="2">
        <f>MASTER[[#This Row],[MONTO VENDIDO]]-MASTER[[#This Row],[COSTO DE VENTA]]</f>
        <v>1406</v>
      </c>
    </row>
    <row r="5547" spans="1:22" x14ac:dyDescent="0.3">
      <c r="A5547">
        <v>78383</v>
      </c>
      <c r="B5547">
        <v>1</v>
      </c>
      <c r="C5547" t="s">
        <v>5</v>
      </c>
      <c r="D5547" t="s">
        <v>6</v>
      </c>
      <c r="E5547" s="1">
        <v>44434</v>
      </c>
      <c r="F5547">
        <v>1</v>
      </c>
      <c r="G5547" t="s">
        <v>59</v>
      </c>
      <c r="H5547" t="s">
        <v>60</v>
      </c>
      <c r="I5547" s="3">
        <v>1296</v>
      </c>
      <c r="J5547" s="3">
        <v>1296</v>
      </c>
      <c r="K5547" s="3">
        <v>393</v>
      </c>
      <c r="L5547" t="s">
        <v>9</v>
      </c>
      <c r="M5547">
        <v>6</v>
      </c>
      <c r="N5547" t="s">
        <v>75</v>
      </c>
      <c r="O5547" t="s">
        <v>70</v>
      </c>
      <c r="P5547" t="s">
        <v>12</v>
      </c>
      <c r="Q5547" t="s">
        <v>13</v>
      </c>
      <c r="R5547" t="s">
        <v>13</v>
      </c>
      <c r="S5547" t="s">
        <v>144</v>
      </c>
      <c r="T5547" s="2">
        <f>MASTER[[#This Row],[CANTIDAD]]*MASTER[[#This Row],[PRECIO DE VENTA]]</f>
        <v>1296</v>
      </c>
      <c r="U5547" s="2">
        <f>MASTER[[#This Row],[CANTIDAD]]*MASTER[[#This Row],[COSTO UNITARIO]]</f>
        <v>393</v>
      </c>
      <c r="V5547" s="2">
        <f>MASTER[[#This Row],[MONTO VENDIDO]]-MASTER[[#This Row],[COSTO DE VENTA]]</f>
        <v>903</v>
      </c>
    </row>
    <row r="5548" spans="1:22" x14ac:dyDescent="0.3">
      <c r="A5548">
        <v>78385</v>
      </c>
      <c r="B5548">
        <v>1</v>
      </c>
      <c r="C5548" t="s">
        <v>107</v>
      </c>
      <c r="D5548" t="s">
        <v>108</v>
      </c>
      <c r="E5548" s="1">
        <v>44434</v>
      </c>
      <c r="F5548">
        <v>1</v>
      </c>
      <c r="G5548" t="s">
        <v>27</v>
      </c>
      <c r="H5548" t="s">
        <v>28</v>
      </c>
      <c r="I5548" s="3">
        <v>1240</v>
      </c>
      <c r="J5548" s="3">
        <v>1240</v>
      </c>
      <c r="K5548" s="3">
        <v>380</v>
      </c>
      <c r="L5548" t="s">
        <v>98</v>
      </c>
      <c r="M5548">
        <v>16</v>
      </c>
      <c r="N5548" t="s">
        <v>17</v>
      </c>
      <c r="O5548" t="s">
        <v>11</v>
      </c>
      <c r="P5548" t="s">
        <v>18</v>
      </c>
      <c r="Q5548" t="s">
        <v>19</v>
      </c>
      <c r="R5548" t="s">
        <v>138</v>
      </c>
      <c r="S5548" t="s">
        <v>144</v>
      </c>
      <c r="T5548" s="2">
        <f>MASTER[[#This Row],[CANTIDAD]]*MASTER[[#This Row],[PRECIO DE VENTA]]</f>
        <v>1240</v>
      </c>
      <c r="U5548" s="2">
        <f>MASTER[[#This Row],[CANTIDAD]]*MASTER[[#This Row],[COSTO UNITARIO]]</f>
        <v>380</v>
      </c>
      <c r="V5548" s="2">
        <f>MASTER[[#This Row],[MONTO VENDIDO]]-MASTER[[#This Row],[COSTO DE VENTA]]</f>
        <v>860</v>
      </c>
    </row>
    <row r="5549" spans="1:22" x14ac:dyDescent="0.3">
      <c r="A5549">
        <v>78394</v>
      </c>
      <c r="B5549">
        <v>1</v>
      </c>
      <c r="C5549" t="s">
        <v>121</v>
      </c>
      <c r="D5549" t="s">
        <v>122</v>
      </c>
      <c r="E5549" s="1">
        <v>44434</v>
      </c>
      <c r="F5549">
        <v>1</v>
      </c>
      <c r="G5549" t="s">
        <v>43</v>
      </c>
      <c r="H5549" t="s">
        <v>44</v>
      </c>
      <c r="I5549" s="3">
        <v>1069</v>
      </c>
      <c r="J5549" s="3">
        <v>1069</v>
      </c>
      <c r="K5549" s="3">
        <v>460</v>
      </c>
      <c r="L5549" t="s">
        <v>120</v>
      </c>
      <c r="M5549">
        <v>14</v>
      </c>
      <c r="N5549" t="s">
        <v>87</v>
      </c>
      <c r="O5549" t="s">
        <v>81</v>
      </c>
      <c r="P5549" t="s">
        <v>18</v>
      </c>
      <c r="Q5549" t="s">
        <v>19</v>
      </c>
      <c r="R5549" t="s">
        <v>138</v>
      </c>
      <c r="S5549" t="s">
        <v>144</v>
      </c>
      <c r="T5549" s="2">
        <f>MASTER[[#This Row],[CANTIDAD]]*MASTER[[#This Row],[PRECIO DE VENTA]]</f>
        <v>1069</v>
      </c>
      <c r="U5549" s="2">
        <f>MASTER[[#This Row],[CANTIDAD]]*MASTER[[#This Row],[COSTO UNITARIO]]</f>
        <v>460</v>
      </c>
      <c r="V5549" s="2">
        <f>MASTER[[#This Row],[MONTO VENDIDO]]-MASTER[[#This Row],[COSTO DE VENTA]]</f>
        <v>609</v>
      </c>
    </row>
    <row r="5550" spans="1:22" x14ac:dyDescent="0.3">
      <c r="A5550">
        <v>78403</v>
      </c>
      <c r="B5550">
        <v>1</v>
      </c>
      <c r="C5550" t="s">
        <v>111</v>
      </c>
      <c r="D5550" t="s">
        <v>112</v>
      </c>
      <c r="E5550" s="1">
        <v>44434</v>
      </c>
      <c r="F5550">
        <v>1</v>
      </c>
      <c r="G5550" t="s">
        <v>7</v>
      </c>
      <c r="H5550" t="s">
        <v>8</v>
      </c>
      <c r="I5550" s="3">
        <v>1524</v>
      </c>
      <c r="J5550" s="3">
        <v>1524</v>
      </c>
      <c r="K5550" s="3">
        <v>434</v>
      </c>
      <c r="L5550" t="s">
        <v>113</v>
      </c>
      <c r="M5550">
        <v>11</v>
      </c>
      <c r="N5550" t="s">
        <v>10</v>
      </c>
      <c r="O5550" t="s">
        <v>11</v>
      </c>
      <c r="P5550" t="s">
        <v>12</v>
      </c>
      <c r="Q5550" t="s">
        <v>13</v>
      </c>
      <c r="R5550" t="s">
        <v>13</v>
      </c>
      <c r="S5550" t="s">
        <v>144</v>
      </c>
      <c r="T5550" s="2">
        <f>MASTER[[#This Row],[CANTIDAD]]*MASTER[[#This Row],[PRECIO DE VENTA]]</f>
        <v>1524</v>
      </c>
      <c r="U5550" s="2">
        <f>MASTER[[#This Row],[CANTIDAD]]*MASTER[[#This Row],[COSTO UNITARIO]]</f>
        <v>434</v>
      </c>
      <c r="V5550" s="2">
        <f>MASTER[[#This Row],[MONTO VENDIDO]]-MASTER[[#This Row],[COSTO DE VENTA]]</f>
        <v>1090</v>
      </c>
    </row>
    <row r="5551" spans="1:22" x14ac:dyDescent="0.3">
      <c r="A5551">
        <v>78440</v>
      </c>
      <c r="B5551">
        <v>1</v>
      </c>
      <c r="C5551" t="s">
        <v>121</v>
      </c>
      <c r="D5551" t="s">
        <v>122</v>
      </c>
      <c r="E5551" s="1">
        <v>44434</v>
      </c>
      <c r="F5551">
        <v>4</v>
      </c>
      <c r="G5551" t="s">
        <v>51</v>
      </c>
      <c r="H5551" t="s">
        <v>52</v>
      </c>
      <c r="I5551" s="3">
        <v>1069</v>
      </c>
      <c r="J5551" s="3">
        <v>1069</v>
      </c>
      <c r="K5551" s="3">
        <v>460</v>
      </c>
      <c r="L5551" t="s">
        <v>120</v>
      </c>
      <c r="M5551">
        <v>19</v>
      </c>
      <c r="N5551" t="s">
        <v>89</v>
      </c>
      <c r="O5551" t="s">
        <v>81</v>
      </c>
      <c r="P5551" t="s">
        <v>15</v>
      </c>
      <c r="Q5551" t="s">
        <v>16</v>
      </c>
      <c r="R5551" t="s">
        <v>16</v>
      </c>
      <c r="S5551" t="s">
        <v>144</v>
      </c>
      <c r="T5551" s="2">
        <f>MASTER[[#This Row],[CANTIDAD]]*MASTER[[#This Row],[PRECIO DE VENTA]]</f>
        <v>4276</v>
      </c>
      <c r="U5551" s="2">
        <f>MASTER[[#This Row],[CANTIDAD]]*MASTER[[#This Row],[COSTO UNITARIO]]</f>
        <v>1840</v>
      </c>
      <c r="V5551" s="2">
        <f>MASTER[[#This Row],[MONTO VENDIDO]]-MASTER[[#This Row],[COSTO DE VENTA]]</f>
        <v>2436</v>
      </c>
    </row>
    <row r="5552" spans="1:22" x14ac:dyDescent="0.3">
      <c r="A5552">
        <v>78441</v>
      </c>
      <c r="B5552">
        <v>1</v>
      </c>
      <c r="C5552" t="s">
        <v>105</v>
      </c>
      <c r="D5552" t="s">
        <v>106</v>
      </c>
      <c r="E5552" s="1">
        <v>44435</v>
      </c>
      <c r="F5552">
        <v>1</v>
      </c>
      <c r="G5552" t="s">
        <v>53</v>
      </c>
      <c r="H5552" t="s">
        <v>54</v>
      </c>
      <c r="I5552" s="3">
        <v>1865</v>
      </c>
      <c r="J5552" s="3">
        <v>1865</v>
      </c>
      <c r="K5552" s="3">
        <v>459</v>
      </c>
      <c r="L5552" t="s">
        <v>98</v>
      </c>
      <c r="M5552">
        <v>2</v>
      </c>
      <c r="N5552" t="s">
        <v>86</v>
      </c>
      <c r="O5552" t="s">
        <v>81</v>
      </c>
      <c r="P5552" t="s">
        <v>71</v>
      </c>
      <c r="Q5552" t="s">
        <v>72</v>
      </c>
      <c r="R5552" t="s">
        <v>139</v>
      </c>
      <c r="S5552" t="s">
        <v>144</v>
      </c>
      <c r="T5552" s="2">
        <f>MASTER[[#This Row],[CANTIDAD]]*MASTER[[#This Row],[PRECIO DE VENTA]]</f>
        <v>1865</v>
      </c>
      <c r="U5552" s="2">
        <f>MASTER[[#This Row],[CANTIDAD]]*MASTER[[#This Row],[COSTO UNITARIO]]</f>
        <v>459</v>
      </c>
      <c r="V5552" s="2">
        <f>MASTER[[#This Row],[MONTO VENDIDO]]-MASTER[[#This Row],[COSTO DE VENTA]]</f>
        <v>1406</v>
      </c>
    </row>
    <row r="5553" spans="1:22" x14ac:dyDescent="0.3">
      <c r="A5553">
        <v>78447</v>
      </c>
      <c r="B5553">
        <v>1</v>
      </c>
      <c r="C5553" t="s">
        <v>94</v>
      </c>
      <c r="D5553" t="s">
        <v>95</v>
      </c>
      <c r="E5553" s="1">
        <v>44435</v>
      </c>
      <c r="F5553">
        <v>1</v>
      </c>
      <c r="G5553" t="s">
        <v>43</v>
      </c>
      <c r="H5553" t="s">
        <v>44</v>
      </c>
      <c r="I5553" s="3">
        <v>1048</v>
      </c>
      <c r="J5553" s="3">
        <v>1048</v>
      </c>
      <c r="K5553" s="3">
        <v>392</v>
      </c>
      <c r="L5553" t="s">
        <v>9</v>
      </c>
      <c r="M5553">
        <v>19</v>
      </c>
      <c r="N5553" t="s">
        <v>89</v>
      </c>
      <c r="O5553" t="s">
        <v>81</v>
      </c>
      <c r="P5553" t="s">
        <v>15</v>
      </c>
      <c r="Q5553" t="s">
        <v>16</v>
      </c>
      <c r="R5553" t="s">
        <v>16</v>
      </c>
      <c r="S5553" t="s">
        <v>144</v>
      </c>
      <c r="T5553" s="2">
        <f>MASTER[[#This Row],[CANTIDAD]]*MASTER[[#This Row],[PRECIO DE VENTA]]</f>
        <v>1048</v>
      </c>
      <c r="U5553" s="2">
        <f>MASTER[[#This Row],[CANTIDAD]]*MASTER[[#This Row],[COSTO UNITARIO]]</f>
        <v>392</v>
      </c>
      <c r="V5553" s="2">
        <f>MASTER[[#This Row],[MONTO VENDIDO]]-MASTER[[#This Row],[COSTO DE VENTA]]</f>
        <v>656</v>
      </c>
    </row>
    <row r="5554" spans="1:22" x14ac:dyDescent="0.3">
      <c r="A5554">
        <v>78452</v>
      </c>
      <c r="B5554">
        <v>1</v>
      </c>
      <c r="C5554" t="s">
        <v>116</v>
      </c>
      <c r="D5554" t="s">
        <v>117</v>
      </c>
      <c r="E5554" s="1">
        <v>44435</v>
      </c>
      <c r="F5554">
        <v>1</v>
      </c>
      <c r="G5554" t="s">
        <v>73</v>
      </c>
      <c r="H5554" t="s">
        <v>74</v>
      </c>
      <c r="I5554" s="3">
        <v>1529</v>
      </c>
      <c r="J5554" s="3">
        <v>1529</v>
      </c>
      <c r="K5554" s="3">
        <v>388</v>
      </c>
      <c r="L5554" t="s">
        <v>113</v>
      </c>
      <c r="M5554">
        <v>12</v>
      </c>
      <c r="N5554" t="s">
        <v>26</v>
      </c>
      <c r="O5554" t="s">
        <v>11</v>
      </c>
      <c r="P5554" t="s">
        <v>12</v>
      </c>
      <c r="Q5554" t="s">
        <v>13</v>
      </c>
      <c r="R5554" t="s">
        <v>13</v>
      </c>
      <c r="S5554" t="s">
        <v>144</v>
      </c>
      <c r="T5554" s="2">
        <f>MASTER[[#This Row],[CANTIDAD]]*MASTER[[#This Row],[PRECIO DE VENTA]]</f>
        <v>1529</v>
      </c>
      <c r="U5554" s="2">
        <f>MASTER[[#This Row],[CANTIDAD]]*MASTER[[#This Row],[COSTO UNITARIO]]</f>
        <v>388</v>
      </c>
      <c r="V5554" s="2">
        <f>MASTER[[#This Row],[MONTO VENDIDO]]-MASTER[[#This Row],[COSTO DE VENTA]]</f>
        <v>1141</v>
      </c>
    </row>
    <row r="5555" spans="1:22" x14ac:dyDescent="0.3">
      <c r="A5555">
        <v>78469</v>
      </c>
      <c r="B5555">
        <v>1</v>
      </c>
      <c r="C5555" t="s">
        <v>5</v>
      </c>
      <c r="D5555" t="s">
        <v>6</v>
      </c>
      <c r="E5555" s="1">
        <v>44435</v>
      </c>
      <c r="F5555">
        <v>1</v>
      </c>
      <c r="G5555" t="s">
        <v>31</v>
      </c>
      <c r="H5555" t="s">
        <v>32</v>
      </c>
      <c r="I5555" s="3">
        <v>1507</v>
      </c>
      <c r="J5555" s="3">
        <v>1507</v>
      </c>
      <c r="K5555" s="3">
        <v>393</v>
      </c>
      <c r="L5555" t="s">
        <v>9</v>
      </c>
      <c r="M5555">
        <v>14</v>
      </c>
      <c r="N5555" t="s">
        <v>87</v>
      </c>
      <c r="O5555" t="s">
        <v>81</v>
      </c>
      <c r="P5555" t="s">
        <v>18</v>
      </c>
      <c r="Q5555" t="s">
        <v>19</v>
      </c>
      <c r="R5555" t="s">
        <v>138</v>
      </c>
      <c r="S5555" t="s">
        <v>144</v>
      </c>
      <c r="T5555" s="2">
        <f>MASTER[[#This Row],[CANTIDAD]]*MASTER[[#This Row],[PRECIO DE VENTA]]</f>
        <v>1507</v>
      </c>
      <c r="U5555" s="2">
        <f>MASTER[[#This Row],[CANTIDAD]]*MASTER[[#This Row],[COSTO UNITARIO]]</f>
        <v>393</v>
      </c>
      <c r="V5555" s="2">
        <f>MASTER[[#This Row],[MONTO VENDIDO]]-MASTER[[#This Row],[COSTO DE VENTA]]</f>
        <v>1114</v>
      </c>
    </row>
    <row r="5556" spans="1:22" x14ac:dyDescent="0.3">
      <c r="A5556">
        <v>78472</v>
      </c>
      <c r="B5556">
        <v>1</v>
      </c>
      <c r="C5556" t="s">
        <v>121</v>
      </c>
      <c r="D5556" t="s">
        <v>122</v>
      </c>
      <c r="E5556" s="1">
        <v>44435</v>
      </c>
      <c r="F5556">
        <v>1</v>
      </c>
      <c r="G5556" t="s">
        <v>22</v>
      </c>
      <c r="H5556" t="s">
        <v>23</v>
      </c>
      <c r="I5556" s="3">
        <v>1069</v>
      </c>
      <c r="J5556" s="3">
        <v>1069</v>
      </c>
      <c r="K5556" s="3">
        <v>460</v>
      </c>
      <c r="L5556" t="s">
        <v>120</v>
      </c>
      <c r="M5556">
        <v>14</v>
      </c>
      <c r="N5556" t="s">
        <v>87</v>
      </c>
      <c r="O5556" t="s">
        <v>81</v>
      </c>
      <c r="P5556" t="s">
        <v>18</v>
      </c>
      <c r="Q5556" t="s">
        <v>19</v>
      </c>
      <c r="R5556" t="s">
        <v>138</v>
      </c>
      <c r="S5556" t="s">
        <v>144</v>
      </c>
      <c r="T5556" s="2">
        <f>MASTER[[#This Row],[CANTIDAD]]*MASTER[[#This Row],[PRECIO DE VENTA]]</f>
        <v>1069</v>
      </c>
      <c r="U5556" s="2">
        <f>MASTER[[#This Row],[CANTIDAD]]*MASTER[[#This Row],[COSTO UNITARIO]]</f>
        <v>460</v>
      </c>
      <c r="V5556" s="2">
        <f>MASTER[[#This Row],[MONTO VENDIDO]]-MASTER[[#This Row],[COSTO DE VENTA]]</f>
        <v>609</v>
      </c>
    </row>
    <row r="5557" spans="1:22" x14ac:dyDescent="0.3">
      <c r="A5557">
        <v>78479</v>
      </c>
      <c r="B5557">
        <v>1</v>
      </c>
      <c r="C5557" t="s">
        <v>96</v>
      </c>
      <c r="D5557" t="s">
        <v>97</v>
      </c>
      <c r="E5557" s="1">
        <v>44435</v>
      </c>
      <c r="F5557">
        <v>1</v>
      </c>
      <c r="G5557" t="s">
        <v>47</v>
      </c>
      <c r="H5557" t="s">
        <v>48</v>
      </c>
      <c r="I5557" s="3">
        <v>1361</v>
      </c>
      <c r="J5557" s="3">
        <v>1361</v>
      </c>
      <c r="K5557" s="3">
        <v>397</v>
      </c>
      <c r="L5557" t="s">
        <v>98</v>
      </c>
      <c r="M5557">
        <v>18</v>
      </c>
      <c r="N5557" t="s">
        <v>79</v>
      </c>
      <c r="O5557" t="s">
        <v>70</v>
      </c>
      <c r="P5557" t="s">
        <v>15</v>
      </c>
      <c r="Q5557" t="s">
        <v>16</v>
      </c>
      <c r="R5557" t="s">
        <v>16</v>
      </c>
      <c r="S5557" t="s">
        <v>144</v>
      </c>
      <c r="T5557" s="2">
        <f>MASTER[[#This Row],[CANTIDAD]]*MASTER[[#This Row],[PRECIO DE VENTA]]</f>
        <v>1361</v>
      </c>
      <c r="U5557" s="2">
        <f>MASTER[[#This Row],[CANTIDAD]]*MASTER[[#This Row],[COSTO UNITARIO]]</f>
        <v>397</v>
      </c>
      <c r="V5557" s="2">
        <f>MASTER[[#This Row],[MONTO VENDIDO]]-MASTER[[#This Row],[COSTO DE VENTA]]</f>
        <v>964</v>
      </c>
    </row>
    <row r="5558" spans="1:22" x14ac:dyDescent="0.3">
      <c r="A5558">
        <v>78502</v>
      </c>
      <c r="B5558">
        <v>1</v>
      </c>
      <c r="C5558" t="s">
        <v>5</v>
      </c>
      <c r="D5558" t="s">
        <v>6</v>
      </c>
      <c r="E5558" s="1">
        <v>44435</v>
      </c>
      <c r="F5558">
        <v>1</v>
      </c>
      <c r="G5558" t="s">
        <v>39</v>
      </c>
      <c r="H5558" t="s">
        <v>40</v>
      </c>
      <c r="I5558" s="3">
        <v>1311</v>
      </c>
      <c r="J5558" s="3">
        <v>1311</v>
      </c>
      <c r="K5558" s="3">
        <v>393</v>
      </c>
      <c r="L5558" t="s">
        <v>9</v>
      </c>
      <c r="M5558">
        <v>12</v>
      </c>
      <c r="N5558" t="s">
        <v>26</v>
      </c>
      <c r="O5558" t="s">
        <v>11</v>
      </c>
      <c r="P5558" t="s">
        <v>12</v>
      </c>
      <c r="Q5558" t="s">
        <v>13</v>
      </c>
      <c r="R5558" t="s">
        <v>13</v>
      </c>
      <c r="S5558" t="s">
        <v>144</v>
      </c>
      <c r="T5558" s="2">
        <f>MASTER[[#This Row],[CANTIDAD]]*MASTER[[#This Row],[PRECIO DE VENTA]]</f>
        <v>1311</v>
      </c>
      <c r="U5558" s="2">
        <f>MASTER[[#This Row],[CANTIDAD]]*MASTER[[#This Row],[COSTO UNITARIO]]</f>
        <v>393</v>
      </c>
      <c r="V5558" s="2">
        <f>MASTER[[#This Row],[MONTO VENDIDO]]-MASTER[[#This Row],[COSTO DE VENTA]]</f>
        <v>918</v>
      </c>
    </row>
    <row r="5559" spans="1:22" x14ac:dyDescent="0.3">
      <c r="A5559">
        <v>78511</v>
      </c>
      <c r="B5559">
        <v>1</v>
      </c>
      <c r="C5559" t="s">
        <v>105</v>
      </c>
      <c r="D5559" t="s">
        <v>106</v>
      </c>
      <c r="E5559" s="1">
        <v>44435</v>
      </c>
      <c r="F5559">
        <v>1</v>
      </c>
      <c r="G5559" t="s">
        <v>43</v>
      </c>
      <c r="H5559" t="s">
        <v>44</v>
      </c>
      <c r="I5559" s="3">
        <v>1865</v>
      </c>
      <c r="J5559" s="3">
        <v>1865</v>
      </c>
      <c r="K5559" s="3">
        <v>459</v>
      </c>
      <c r="L5559" t="s">
        <v>98</v>
      </c>
      <c r="M5559">
        <v>10</v>
      </c>
      <c r="N5559" t="s">
        <v>83</v>
      </c>
      <c r="O5559" t="s">
        <v>81</v>
      </c>
      <c r="P5559" t="s">
        <v>12</v>
      </c>
      <c r="Q5559" t="s">
        <v>13</v>
      </c>
      <c r="R5559" t="s">
        <v>13</v>
      </c>
      <c r="S5559" t="s">
        <v>144</v>
      </c>
      <c r="T5559" s="2">
        <f>MASTER[[#This Row],[CANTIDAD]]*MASTER[[#This Row],[PRECIO DE VENTA]]</f>
        <v>1865</v>
      </c>
      <c r="U5559" s="2">
        <f>MASTER[[#This Row],[CANTIDAD]]*MASTER[[#This Row],[COSTO UNITARIO]]</f>
        <v>459</v>
      </c>
      <c r="V5559" s="2">
        <f>MASTER[[#This Row],[MONTO VENDIDO]]-MASTER[[#This Row],[COSTO DE VENTA]]</f>
        <v>1406</v>
      </c>
    </row>
    <row r="5560" spans="1:22" x14ac:dyDescent="0.3">
      <c r="A5560">
        <v>78517</v>
      </c>
      <c r="B5560">
        <v>1</v>
      </c>
      <c r="C5560" t="s">
        <v>101</v>
      </c>
      <c r="D5560" t="s">
        <v>102</v>
      </c>
      <c r="E5560" s="1">
        <v>44435</v>
      </c>
      <c r="F5560">
        <v>1</v>
      </c>
      <c r="G5560" t="s">
        <v>49</v>
      </c>
      <c r="H5560" t="s">
        <v>50</v>
      </c>
      <c r="I5560" s="3">
        <v>1212</v>
      </c>
      <c r="J5560" s="3">
        <v>1212</v>
      </c>
      <c r="K5560" s="3">
        <v>442</v>
      </c>
      <c r="L5560" t="s">
        <v>98</v>
      </c>
      <c r="M5560">
        <v>8</v>
      </c>
      <c r="N5560" t="s">
        <v>80</v>
      </c>
      <c r="O5560" t="s">
        <v>81</v>
      </c>
      <c r="P5560" t="s">
        <v>12</v>
      </c>
      <c r="Q5560" t="s">
        <v>13</v>
      </c>
      <c r="R5560" t="s">
        <v>13</v>
      </c>
      <c r="S5560" t="s">
        <v>144</v>
      </c>
      <c r="T5560" s="2">
        <f>MASTER[[#This Row],[CANTIDAD]]*MASTER[[#This Row],[PRECIO DE VENTA]]</f>
        <v>1212</v>
      </c>
      <c r="U5560" s="2">
        <f>MASTER[[#This Row],[CANTIDAD]]*MASTER[[#This Row],[COSTO UNITARIO]]</f>
        <v>442</v>
      </c>
      <c r="V5560" s="2">
        <f>MASTER[[#This Row],[MONTO VENDIDO]]-MASTER[[#This Row],[COSTO DE VENTA]]</f>
        <v>770</v>
      </c>
    </row>
    <row r="5561" spans="1:22" x14ac:dyDescent="0.3">
      <c r="A5561">
        <v>78521</v>
      </c>
      <c r="B5561">
        <v>1</v>
      </c>
      <c r="C5561" t="s">
        <v>94</v>
      </c>
      <c r="D5561" t="s">
        <v>95</v>
      </c>
      <c r="E5561" s="1">
        <v>44435</v>
      </c>
      <c r="F5561">
        <v>1</v>
      </c>
      <c r="G5561" t="s">
        <v>45</v>
      </c>
      <c r="H5561" t="s">
        <v>46</v>
      </c>
      <c r="I5561" s="3">
        <v>1153</v>
      </c>
      <c r="J5561" s="3">
        <v>1153</v>
      </c>
      <c r="K5561" s="3">
        <v>392</v>
      </c>
      <c r="L5561" t="s">
        <v>9</v>
      </c>
      <c r="M5561">
        <v>9</v>
      </c>
      <c r="N5561" t="s">
        <v>76</v>
      </c>
      <c r="O5561" t="s">
        <v>70</v>
      </c>
      <c r="P5561" t="s">
        <v>12</v>
      </c>
      <c r="Q5561" t="s">
        <v>13</v>
      </c>
      <c r="R5561" t="s">
        <v>13</v>
      </c>
      <c r="S5561" t="s">
        <v>144</v>
      </c>
      <c r="T5561" s="2">
        <f>MASTER[[#This Row],[CANTIDAD]]*MASTER[[#This Row],[PRECIO DE VENTA]]</f>
        <v>1153</v>
      </c>
      <c r="U5561" s="2">
        <f>MASTER[[#This Row],[CANTIDAD]]*MASTER[[#This Row],[COSTO UNITARIO]]</f>
        <v>392</v>
      </c>
      <c r="V5561" s="2">
        <f>MASTER[[#This Row],[MONTO VENDIDO]]-MASTER[[#This Row],[COSTO DE VENTA]]</f>
        <v>761</v>
      </c>
    </row>
    <row r="5562" spans="1:22" x14ac:dyDescent="0.3">
      <c r="A5562">
        <v>78535</v>
      </c>
      <c r="B5562">
        <v>1</v>
      </c>
      <c r="C5562" t="s">
        <v>114</v>
      </c>
      <c r="D5562" t="s">
        <v>115</v>
      </c>
      <c r="E5562" s="1">
        <v>44435</v>
      </c>
      <c r="F5562">
        <v>1</v>
      </c>
      <c r="G5562" t="s">
        <v>22</v>
      </c>
      <c r="H5562" t="s">
        <v>23</v>
      </c>
      <c r="I5562" s="3">
        <v>1862</v>
      </c>
      <c r="J5562" s="3">
        <v>1862</v>
      </c>
      <c r="K5562" s="3">
        <v>394</v>
      </c>
      <c r="L5562" t="s">
        <v>113</v>
      </c>
      <c r="M5562">
        <v>2</v>
      </c>
      <c r="N5562" t="s">
        <v>86</v>
      </c>
      <c r="O5562" t="s">
        <v>81</v>
      </c>
      <c r="P5562" t="s">
        <v>71</v>
      </c>
      <c r="Q5562" t="s">
        <v>72</v>
      </c>
      <c r="R5562" t="s">
        <v>139</v>
      </c>
      <c r="S5562" t="s">
        <v>144</v>
      </c>
      <c r="T5562" s="2">
        <f>MASTER[[#This Row],[CANTIDAD]]*MASTER[[#This Row],[PRECIO DE VENTA]]</f>
        <v>1862</v>
      </c>
      <c r="U5562" s="2">
        <f>MASTER[[#This Row],[CANTIDAD]]*MASTER[[#This Row],[COSTO UNITARIO]]</f>
        <v>394</v>
      </c>
      <c r="V5562" s="2">
        <f>MASTER[[#This Row],[MONTO VENDIDO]]-MASTER[[#This Row],[COSTO DE VENTA]]</f>
        <v>1468</v>
      </c>
    </row>
    <row r="5563" spans="1:22" x14ac:dyDescent="0.3">
      <c r="A5563">
        <v>78540</v>
      </c>
      <c r="B5563">
        <v>1</v>
      </c>
      <c r="C5563" t="s">
        <v>118</v>
      </c>
      <c r="D5563" t="s">
        <v>119</v>
      </c>
      <c r="E5563" s="1">
        <v>44435</v>
      </c>
      <c r="F5563">
        <v>1</v>
      </c>
      <c r="G5563" t="s">
        <v>33</v>
      </c>
      <c r="H5563" t="s">
        <v>34</v>
      </c>
      <c r="I5563" s="3">
        <v>1026</v>
      </c>
      <c r="J5563" s="3">
        <v>1026</v>
      </c>
      <c r="K5563" s="3">
        <v>424</v>
      </c>
      <c r="L5563" t="s">
        <v>120</v>
      </c>
      <c r="M5563">
        <v>9</v>
      </c>
      <c r="N5563" t="s">
        <v>76</v>
      </c>
      <c r="O5563" t="s">
        <v>70</v>
      </c>
      <c r="P5563" t="s">
        <v>12</v>
      </c>
      <c r="Q5563" t="s">
        <v>13</v>
      </c>
      <c r="R5563" t="s">
        <v>13</v>
      </c>
      <c r="S5563" t="s">
        <v>144</v>
      </c>
      <c r="T5563" s="2">
        <f>MASTER[[#This Row],[CANTIDAD]]*MASTER[[#This Row],[PRECIO DE VENTA]]</f>
        <v>1026</v>
      </c>
      <c r="U5563" s="2">
        <f>MASTER[[#This Row],[CANTIDAD]]*MASTER[[#This Row],[COSTO UNITARIO]]</f>
        <v>424</v>
      </c>
      <c r="V5563" s="2">
        <f>MASTER[[#This Row],[MONTO VENDIDO]]-MASTER[[#This Row],[COSTO DE VENTA]]</f>
        <v>602</v>
      </c>
    </row>
    <row r="5564" spans="1:22" x14ac:dyDescent="0.3">
      <c r="A5564">
        <v>78562</v>
      </c>
      <c r="B5564">
        <v>1</v>
      </c>
      <c r="C5564" t="s">
        <v>109</v>
      </c>
      <c r="D5564" t="s">
        <v>110</v>
      </c>
      <c r="E5564" s="1">
        <v>44435</v>
      </c>
      <c r="F5564">
        <v>1</v>
      </c>
      <c r="G5564" t="s">
        <v>57</v>
      </c>
      <c r="H5564" t="s">
        <v>58</v>
      </c>
      <c r="I5564" s="3">
        <v>947</v>
      </c>
      <c r="J5564" s="3">
        <v>947</v>
      </c>
      <c r="K5564" s="3">
        <v>387</v>
      </c>
      <c r="L5564" t="s">
        <v>98</v>
      </c>
      <c r="M5564">
        <v>17</v>
      </c>
      <c r="N5564" t="s">
        <v>14</v>
      </c>
      <c r="O5564" t="s">
        <v>11</v>
      </c>
      <c r="P5564" t="s">
        <v>15</v>
      </c>
      <c r="Q5564" t="s">
        <v>16</v>
      </c>
      <c r="R5564" t="s">
        <v>16</v>
      </c>
      <c r="S5564" t="s">
        <v>144</v>
      </c>
      <c r="T5564" s="2">
        <f>MASTER[[#This Row],[CANTIDAD]]*MASTER[[#This Row],[PRECIO DE VENTA]]</f>
        <v>947</v>
      </c>
      <c r="U5564" s="2">
        <f>MASTER[[#This Row],[CANTIDAD]]*MASTER[[#This Row],[COSTO UNITARIO]]</f>
        <v>387</v>
      </c>
      <c r="V5564" s="2">
        <f>MASTER[[#This Row],[MONTO VENDIDO]]-MASTER[[#This Row],[COSTO DE VENTA]]</f>
        <v>560</v>
      </c>
    </row>
    <row r="5565" spans="1:22" x14ac:dyDescent="0.3">
      <c r="A5565">
        <v>78566</v>
      </c>
      <c r="B5565">
        <v>1</v>
      </c>
      <c r="C5565" t="s">
        <v>121</v>
      </c>
      <c r="D5565" t="s">
        <v>122</v>
      </c>
      <c r="E5565" s="1">
        <v>44435</v>
      </c>
      <c r="F5565">
        <v>1</v>
      </c>
      <c r="G5565" t="s">
        <v>33</v>
      </c>
      <c r="H5565" t="s">
        <v>34</v>
      </c>
      <c r="I5565" s="3">
        <v>1144</v>
      </c>
      <c r="J5565" s="3">
        <v>1144</v>
      </c>
      <c r="K5565" s="3">
        <v>460</v>
      </c>
      <c r="L5565" t="s">
        <v>120</v>
      </c>
      <c r="M5565">
        <v>18</v>
      </c>
      <c r="N5565" t="s">
        <v>79</v>
      </c>
      <c r="O5565" t="s">
        <v>70</v>
      </c>
      <c r="P5565" t="s">
        <v>15</v>
      </c>
      <c r="Q5565" t="s">
        <v>16</v>
      </c>
      <c r="R5565" t="s">
        <v>16</v>
      </c>
      <c r="S5565" t="s">
        <v>144</v>
      </c>
      <c r="T5565" s="2">
        <f>MASTER[[#This Row],[CANTIDAD]]*MASTER[[#This Row],[PRECIO DE VENTA]]</f>
        <v>1144</v>
      </c>
      <c r="U5565" s="2">
        <f>MASTER[[#This Row],[CANTIDAD]]*MASTER[[#This Row],[COSTO UNITARIO]]</f>
        <v>460</v>
      </c>
      <c r="V5565" s="2">
        <f>MASTER[[#This Row],[MONTO VENDIDO]]-MASTER[[#This Row],[COSTO DE VENTA]]</f>
        <v>684</v>
      </c>
    </row>
    <row r="5566" spans="1:22" x14ac:dyDescent="0.3">
      <c r="A5566">
        <v>78602</v>
      </c>
      <c r="B5566">
        <v>1</v>
      </c>
      <c r="C5566" t="s">
        <v>90</v>
      </c>
      <c r="D5566" t="s">
        <v>91</v>
      </c>
      <c r="E5566" s="1">
        <v>44436</v>
      </c>
      <c r="F5566">
        <v>1</v>
      </c>
      <c r="G5566" t="s">
        <v>27</v>
      </c>
      <c r="H5566" t="s">
        <v>28</v>
      </c>
      <c r="I5566" s="3">
        <v>1844</v>
      </c>
      <c r="J5566" s="3">
        <v>1844</v>
      </c>
      <c r="K5566" s="3">
        <v>420</v>
      </c>
      <c r="L5566" t="s">
        <v>9</v>
      </c>
      <c r="M5566">
        <v>7</v>
      </c>
      <c r="N5566" t="s">
        <v>84</v>
      </c>
      <c r="O5566" t="s">
        <v>81</v>
      </c>
      <c r="P5566" t="s">
        <v>12</v>
      </c>
      <c r="Q5566" t="s">
        <v>13</v>
      </c>
      <c r="R5566" t="s">
        <v>13</v>
      </c>
      <c r="S5566" t="s">
        <v>144</v>
      </c>
      <c r="T5566" s="2">
        <f>MASTER[[#This Row],[CANTIDAD]]*MASTER[[#This Row],[PRECIO DE VENTA]]</f>
        <v>1844</v>
      </c>
      <c r="U5566" s="2">
        <f>MASTER[[#This Row],[CANTIDAD]]*MASTER[[#This Row],[COSTO UNITARIO]]</f>
        <v>420</v>
      </c>
      <c r="V5566" s="2">
        <f>MASTER[[#This Row],[MONTO VENDIDO]]-MASTER[[#This Row],[COSTO DE VENTA]]</f>
        <v>1424</v>
      </c>
    </row>
    <row r="5567" spans="1:22" x14ac:dyDescent="0.3">
      <c r="A5567">
        <v>78623</v>
      </c>
      <c r="B5567">
        <v>1</v>
      </c>
      <c r="C5567" t="s">
        <v>99</v>
      </c>
      <c r="D5567" t="s">
        <v>100</v>
      </c>
      <c r="E5567" s="1">
        <v>44436</v>
      </c>
      <c r="F5567">
        <v>1</v>
      </c>
      <c r="G5567" t="s">
        <v>43</v>
      </c>
      <c r="H5567" t="s">
        <v>44</v>
      </c>
      <c r="I5567" s="3">
        <v>1459</v>
      </c>
      <c r="J5567" s="3">
        <v>1459</v>
      </c>
      <c r="K5567" s="3">
        <v>386</v>
      </c>
      <c r="L5567" t="s">
        <v>98</v>
      </c>
      <c r="M5567">
        <v>2</v>
      </c>
      <c r="N5567" t="s">
        <v>86</v>
      </c>
      <c r="O5567" t="s">
        <v>81</v>
      </c>
      <c r="P5567" t="s">
        <v>71</v>
      </c>
      <c r="Q5567" t="s">
        <v>72</v>
      </c>
      <c r="R5567" t="s">
        <v>139</v>
      </c>
      <c r="S5567" t="s">
        <v>144</v>
      </c>
      <c r="T5567" s="2">
        <f>MASTER[[#This Row],[CANTIDAD]]*MASTER[[#This Row],[PRECIO DE VENTA]]</f>
        <v>1459</v>
      </c>
      <c r="U5567" s="2">
        <f>MASTER[[#This Row],[CANTIDAD]]*MASTER[[#This Row],[COSTO UNITARIO]]</f>
        <v>386</v>
      </c>
      <c r="V5567" s="2">
        <f>MASTER[[#This Row],[MONTO VENDIDO]]-MASTER[[#This Row],[COSTO DE VENTA]]</f>
        <v>1073</v>
      </c>
    </row>
    <row r="5568" spans="1:22" x14ac:dyDescent="0.3">
      <c r="A5568">
        <v>78629</v>
      </c>
      <c r="B5568">
        <v>1</v>
      </c>
      <c r="C5568" t="s">
        <v>5</v>
      </c>
      <c r="D5568" t="s">
        <v>6</v>
      </c>
      <c r="E5568" s="1">
        <v>44436</v>
      </c>
      <c r="F5568">
        <v>1</v>
      </c>
      <c r="G5568" t="s">
        <v>53</v>
      </c>
      <c r="H5568" t="s">
        <v>54</v>
      </c>
      <c r="I5568" s="3">
        <v>1507</v>
      </c>
      <c r="J5568" s="3">
        <v>1507</v>
      </c>
      <c r="K5568" s="3">
        <v>393</v>
      </c>
      <c r="L5568" t="s">
        <v>9</v>
      </c>
      <c r="M5568">
        <v>10</v>
      </c>
      <c r="N5568" t="s">
        <v>83</v>
      </c>
      <c r="O5568" t="s">
        <v>81</v>
      </c>
      <c r="P5568" t="s">
        <v>12</v>
      </c>
      <c r="Q5568" t="s">
        <v>13</v>
      </c>
      <c r="R5568" t="s">
        <v>13</v>
      </c>
      <c r="S5568" t="s">
        <v>144</v>
      </c>
      <c r="T5568" s="2">
        <f>MASTER[[#This Row],[CANTIDAD]]*MASTER[[#This Row],[PRECIO DE VENTA]]</f>
        <v>1507</v>
      </c>
      <c r="U5568" s="2">
        <f>MASTER[[#This Row],[CANTIDAD]]*MASTER[[#This Row],[COSTO UNITARIO]]</f>
        <v>393</v>
      </c>
      <c r="V5568" s="2">
        <f>MASTER[[#This Row],[MONTO VENDIDO]]-MASTER[[#This Row],[COSTO DE VENTA]]</f>
        <v>1114</v>
      </c>
    </row>
    <row r="5569" spans="1:22" x14ac:dyDescent="0.3">
      <c r="A5569">
        <v>78631</v>
      </c>
      <c r="B5569">
        <v>1</v>
      </c>
      <c r="C5569" t="s">
        <v>109</v>
      </c>
      <c r="D5569" t="s">
        <v>110</v>
      </c>
      <c r="E5569" s="1">
        <v>44436</v>
      </c>
      <c r="F5569">
        <v>1</v>
      </c>
      <c r="G5569" t="s">
        <v>22</v>
      </c>
      <c r="H5569" t="s">
        <v>23</v>
      </c>
      <c r="I5569" s="3">
        <v>1128</v>
      </c>
      <c r="J5569" s="3">
        <v>1128</v>
      </c>
      <c r="K5569" s="3">
        <v>387</v>
      </c>
      <c r="L5569" t="s">
        <v>98</v>
      </c>
      <c r="M5569">
        <v>18</v>
      </c>
      <c r="N5569" t="s">
        <v>79</v>
      </c>
      <c r="O5569" t="s">
        <v>70</v>
      </c>
      <c r="P5569" t="s">
        <v>15</v>
      </c>
      <c r="Q5569" t="s">
        <v>16</v>
      </c>
      <c r="R5569" t="s">
        <v>16</v>
      </c>
      <c r="S5569" t="s">
        <v>144</v>
      </c>
      <c r="T5569" s="2">
        <f>MASTER[[#This Row],[CANTIDAD]]*MASTER[[#This Row],[PRECIO DE VENTA]]</f>
        <v>1128</v>
      </c>
      <c r="U5569" s="2">
        <f>MASTER[[#This Row],[CANTIDAD]]*MASTER[[#This Row],[COSTO UNITARIO]]</f>
        <v>387</v>
      </c>
      <c r="V5569" s="2">
        <f>MASTER[[#This Row],[MONTO VENDIDO]]-MASTER[[#This Row],[COSTO DE VENTA]]</f>
        <v>741</v>
      </c>
    </row>
    <row r="5570" spans="1:22" x14ac:dyDescent="0.3">
      <c r="A5570">
        <v>78641</v>
      </c>
      <c r="B5570">
        <v>1</v>
      </c>
      <c r="C5570" t="s">
        <v>109</v>
      </c>
      <c r="D5570" t="s">
        <v>110</v>
      </c>
      <c r="E5570" s="1">
        <v>44436</v>
      </c>
      <c r="F5570">
        <v>1</v>
      </c>
      <c r="G5570" t="s">
        <v>45</v>
      </c>
      <c r="H5570" t="s">
        <v>46</v>
      </c>
      <c r="I5570" s="3">
        <v>947</v>
      </c>
      <c r="J5570" s="3">
        <v>947</v>
      </c>
      <c r="K5570" s="3">
        <v>387</v>
      </c>
      <c r="L5570" t="s">
        <v>98</v>
      </c>
      <c r="M5570">
        <v>11</v>
      </c>
      <c r="N5570" t="s">
        <v>10</v>
      </c>
      <c r="O5570" t="s">
        <v>11</v>
      </c>
      <c r="P5570" t="s">
        <v>12</v>
      </c>
      <c r="Q5570" t="s">
        <v>13</v>
      </c>
      <c r="R5570" t="s">
        <v>13</v>
      </c>
      <c r="S5570" t="s">
        <v>144</v>
      </c>
      <c r="T5570" s="2">
        <f>MASTER[[#This Row],[CANTIDAD]]*MASTER[[#This Row],[PRECIO DE VENTA]]</f>
        <v>947</v>
      </c>
      <c r="U5570" s="2">
        <f>MASTER[[#This Row],[CANTIDAD]]*MASTER[[#This Row],[COSTO UNITARIO]]</f>
        <v>387</v>
      </c>
      <c r="V5570" s="2">
        <f>MASTER[[#This Row],[MONTO VENDIDO]]-MASTER[[#This Row],[COSTO DE VENTA]]</f>
        <v>560</v>
      </c>
    </row>
    <row r="5571" spans="1:22" x14ac:dyDescent="0.3">
      <c r="A5571">
        <v>78681</v>
      </c>
      <c r="B5571">
        <v>1</v>
      </c>
      <c r="C5571" t="s">
        <v>99</v>
      </c>
      <c r="D5571" t="s">
        <v>100</v>
      </c>
      <c r="E5571" s="1">
        <v>44436</v>
      </c>
      <c r="F5571">
        <v>1</v>
      </c>
      <c r="G5571" t="s">
        <v>51</v>
      </c>
      <c r="H5571" t="s">
        <v>52</v>
      </c>
      <c r="I5571" s="3">
        <v>1678</v>
      </c>
      <c r="J5571" s="3">
        <v>1678</v>
      </c>
      <c r="K5571" s="3">
        <v>386</v>
      </c>
      <c r="L5571" t="s">
        <v>98</v>
      </c>
      <c r="M5571">
        <v>18</v>
      </c>
      <c r="N5571" t="s">
        <v>79</v>
      </c>
      <c r="O5571" t="s">
        <v>70</v>
      </c>
      <c r="P5571" t="s">
        <v>15</v>
      </c>
      <c r="Q5571" t="s">
        <v>16</v>
      </c>
      <c r="R5571" t="s">
        <v>16</v>
      </c>
      <c r="S5571" t="s">
        <v>144</v>
      </c>
      <c r="T5571" s="2">
        <f>MASTER[[#This Row],[CANTIDAD]]*MASTER[[#This Row],[PRECIO DE VENTA]]</f>
        <v>1678</v>
      </c>
      <c r="U5571" s="2">
        <f>MASTER[[#This Row],[CANTIDAD]]*MASTER[[#This Row],[COSTO UNITARIO]]</f>
        <v>386</v>
      </c>
      <c r="V5571" s="2">
        <f>MASTER[[#This Row],[MONTO VENDIDO]]-MASTER[[#This Row],[COSTO DE VENTA]]</f>
        <v>1292</v>
      </c>
    </row>
    <row r="5572" spans="1:22" x14ac:dyDescent="0.3">
      <c r="A5572">
        <v>78702</v>
      </c>
      <c r="B5572">
        <v>1</v>
      </c>
      <c r="C5572" t="s">
        <v>90</v>
      </c>
      <c r="D5572" t="s">
        <v>91</v>
      </c>
      <c r="E5572" s="1">
        <v>44436</v>
      </c>
      <c r="F5572">
        <v>1</v>
      </c>
      <c r="G5572" t="s">
        <v>33</v>
      </c>
      <c r="H5572" t="s">
        <v>34</v>
      </c>
      <c r="I5572" s="3">
        <v>2102</v>
      </c>
      <c r="J5572" s="3">
        <v>2102</v>
      </c>
      <c r="K5572" s="3">
        <v>420</v>
      </c>
      <c r="L5572" t="s">
        <v>9</v>
      </c>
      <c r="M5572">
        <v>13</v>
      </c>
      <c r="N5572" t="s">
        <v>78</v>
      </c>
      <c r="O5572" t="s">
        <v>70</v>
      </c>
      <c r="P5572" t="s">
        <v>18</v>
      </c>
      <c r="Q5572" t="s">
        <v>19</v>
      </c>
      <c r="R5572" t="s">
        <v>138</v>
      </c>
      <c r="S5572" t="s">
        <v>144</v>
      </c>
      <c r="T5572" s="2">
        <f>MASTER[[#This Row],[CANTIDAD]]*MASTER[[#This Row],[PRECIO DE VENTA]]</f>
        <v>2102</v>
      </c>
      <c r="U5572" s="2">
        <f>MASTER[[#This Row],[CANTIDAD]]*MASTER[[#This Row],[COSTO UNITARIO]]</f>
        <v>420</v>
      </c>
      <c r="V5572" s="2">
        <f>MASTER[[#This Row],[MONTO VENDIDO]]-MASTER[[#This Row],[COSTO DE VENTA]]</f>
        <v>1682</v>
      </c>
    </row>
    <row r="5573" spans="1:22" x14ac:dyDescent="0.3">
      <c r="A5573">
        <v>78712</v>
      </c>
      <c r="B5573">
        <v>1</v>
      </c>
      <c r="C5573" t="s">
        <v>121</v>
      </c>
      <c r="D5573" t="s">
        <v>122</v>
      </c>
      <c r="E5573" s="1">
        <v>44436</v>
      </c>
      <c r="F5573">
        <v>1</v>
      </c>
      <c r="G5573" t="s">
        <v>45</v>
      </c>
      <c r="H5573" t="s">
        <v>46</v>
      </c>
      <c r="I5573" s="3">
        <v>1069</v>
      </c>
      <c r="J5573" s="3">
        <v>1069</v>
      </c>
      <c r="K5573" s="3">
        <v>460</v>
      </c>
      <c r="L5573" t="s">
        <v>120</v>
      </c>
      <c r="M5573">
        <v>10</v>
      </c>
      <c r="N5573" t="s">
        <v>83</v>
      </c>
      <c r="O5573" t="s">
        <v>81</v>
      </c>
      <c r="P5573" t="s">
        <v>12</v>
      </c>
      <c r="Q5573" t="s">
        <v>13</v>
      </c>
      <c r="R5573" t="s">
        <v>13</v>
      </c>
      <c r="S5573" t="s">
        <v>144</v>
      </c>
      <c r="T5573" s="2">
        <f>MASTER[[#This Row],[CANTIDAD]]*MASTER[[#This Row],[PRECIO DE VENTA]]</f>
        <v>1069</v>
      </c>
      <c r="U5573" s="2">
        <f>MASTER[[#This Row],[CANTIDAD]]*MASTER[[#This Row],[COSTO UNITARIO]]</f>
        <v>460</v>
      </c>
      <c r="V5573" s="2">
        <f>MASTER[[#This Row],[MONTO VENDIDO]]-MASTER[[#This Row],[COSTO DE VENTA]]</f>
        <v>609</v>
      </c>
    </row>
    <row r="5574" spans="1:22" x14ac:dyDescent="0.3">
      <c r="A5574">
        <v>78719</v>
      </c>
      <c r="B5574">
        <v>1</v>
      </c>
      <c r="C5574" t="s">
        <v>116</v>
      </c>
      <c r="D5574" t="s">
        <v>117</v>
      </c>
      <c r="E5574" s="1">
        <v>44436</v>
      </c>
      <c r="F5574">
        <v>4</v>
      </c>
      <c r="G5574" t="s">
        <v>22</v>
      </c>
      <c r="H5574" t="s">
        <v>23</v>
      </c>
      <c r="I5574" s="3">
        <v>1738</v>
      </c>
      <c r="J5574" s="3">
        <v>1738</v>
      </c>
      <c r="K5574" s="3">
        <v>388</v>
      </c>
      <c r="L5574" t="s">
        <v>113</v>
      </c>
      <c r="M5574">
        <v>14</v>
      </c>
      <c r="N5574" t="s">
        <v>87</v>
      </c>
      <c r="O5574" t="s">
        <v>81</v>
      </c>
      <c r="P5574" t="s">
        <v>18</v>
      </c>
      <c r="Q5574" t="s">
        <v>19</v>
      </c>
      <c r="R5574" t="s">
        <v>138</v>
      </c>
      <c r="S5574" t="s">
        <v>144</v>
      </c>
      <c r="T5574" s="2">
        <f>MASTER[[#This Row],[CANTIDAD]]*MASTER[[#This Row],[PRECIO DE VENTA]]</f>
        <v>6952</v>
      </c>
      <c r="U5574" s="2">
        <f>MASTER[[#This Row],[CANTIDAD]]*MASTER[[#This Row],[COSTO UNITARIO]]</f>
        <v>1552</v>
      </c>
      <c r="V5574" s="2">
        <f>MASTER[[#This Row],[MONTO VENDIDO]]-MASTER[[#This Row],[COSTO DE VENTA]]</f>
        <v>5400</v>
      </c>
    </row>
    <row r="5575" spans="1:22" x14ac:dyDescent="0.3">
      <c r="A5575">
        <v>78721</v>
      </c>
      <c r="B5575">
        <v>1</v>
      </c>
      <c r="C5575" t="s">
        <v>5</v>
      </c>
      <c r="D5575" t="s">
        <v>6</v>
      </c>
      <c r="E5575" s="1">
        <v>44436</v>
      </c>
      <c r="F5575">
        <v>1</v>
      </c>
      <c r="G5575" t="s">
        <v>53</v>
      </c>
      <c r="H5575" t="s">
        <v>54</v>
      </c>
      <c r="I5575" s="3">
        <v>1507</v>
      </c>
      <c r="J5575" s="3">
        <v>1386</v>
      </c>
      <c r="K5575" s="3">
        <v>393</v>
      </c>
      <c r="L5575" t="s">
        <v>9</v>
      </c>
      <c r="M5575">
        <v>10</v>
      </c>
      <c r="N5575" t="s">
        <v>83</v>
      </c>
      <c r="O5575" t="s">
        <v>81</v>
      </c>
      <c r="P5575" t="s">
        <v>12</v>
      </c>
      <c r="Q5575" t="s">
        <v>13</v>
      </c>
      <c r="R5575" t="s">
        <v>13</v>
      </c>
      <c r="S5575" t="s">
        <v>144</v>
      </c>
      <c r="T5575" s="2">
        <f>MASTER[[#This Row],[CANTIDAD]]*MASTER[[#This Row],[PRECIO DE VENTA]]</f>
        <v>1386</v>
      </c>
      <c r="U5575" s="2">
        <f>MASTER[[#This Row],[CANTIDAD]]*MASTER[[#This Row],[COSTO UNITARIO]]</f>
        <v>393</v>
      </c>
      <c r="V5575" s="2">
        <f>MASTER[[#This Row],[MONTO VENDIDO]]-MASTER[[#This Row],[COSTO DE VENTA]]</f>
        <v>993</v>
      </c>
    </row>
    <row r="5576" spans="1:22" x14ac:dyDescent="0.3">
      <c r="A5576">
        <v>78733</v>
      </c>
      <c r="B5576">
        <v>1</v>
      </c>
      <c r="C5576" t="s">
        <v>96</v>
      </c>
      <c r="D5576" t="s">
        <v>97</v>
      </c>
      <c r="E5576" s="1">
        <v>44436</v>
      </c>
      <c r="F5576">
        <v>1</v>
      </c>
      <c r="G5576" t="s">
        <v>7</v>
      </c>
      <c r="H5576" t="s">
        <v>8</v>
      </c>
      <c r="I5576" s="3">
        <v>1196</v>
      </c>
      <c r="J5576" s="3">
        <v>1196</v>
      </c>
      <c r="K5576" s="3">
        <v>397</v>
      </c>
      <c r="L5576" t="s">
        <v>98</v>
      </c>
      <c r="M5576">
        <v>16</v>
      </c>
      <c r="N5576" t="s">
        <v>17</v>
      </c>
      <c r="O5576" t="s">
        <v>11</v>
      </c>
      <c r="P5576" t="s">
        <v>18</v>
      </c>
      <c r="Q5576" t="s">
        <v>19</v>
      </c>
      <c r="R5576" t="s">
        <v>138</v>
      </c>
      <c r="S5576" t="s">
        <v>144</v>
      </c>
      <c r="T5576" s="2">
        <f>MASTER[[#This Row],[CANTIDAD]]*MASTER[[#This Row],[PRECIO DE VENTA]]</f>
        <v>1196</v>
      </c>
      <c r="U5576" s="2">
        <f>MASTER[[#This Row],[CANTIDAD]]*MASTER[[#This Row],[COSTO UNITARIO]]</f>
        <v>397</v>
      </c>
      <c r="V5576" s="2">
        <f>MASTER[[#This Row],[MONTO VENDIDO]]-MASTER[[#This Row],[COSTO DE VENTA]]</f>
        <v>799</v>
      </c>
    </row>
    <row r="5577" spans="1:22" x14ac:dyDescent="0.3">
      <c r="A5577">
        <v>78755</v>
      </c>
      <c r="B5577">
        <v>1</v>
      </c>
      <c r="C5577" t="s">
        <v>101</v>
      </c>
      <c r="D5577" t="s">
        <v>102</v>
      </c>
      <c r="E5577" s="1">
        <v>44436</v>
      </c>
      <c r="F5577">
        <v>1</v>
      </c>
      <c r="G5577" t="s">
        <v>57</v>
      </c>
      <c r="H5577" t="s">
        <v>58</v>
      </c>
      <c r="I5577" s="3">
        <v>1212</v>
      </c>
      <c r="J5577" s="3">
        <v>1212</v>
      </c>
      <c r="K5577" s="3">
        <v>442</v>
      </c>
      <c r="L5577" t="s">
        <v>98</v>
      </c>
      <c r="M5577">
        <v>7</v>
      </c>
      <c r="N5577" t="s">
        <v>84</v>
      </c>
      <c r="O5577" t="s">
        <v>81</v>
      </c>
      <c r="P5577" t="s">
        <v>12</v>
      </c>
      <c r="Q5577" t="s">
        <v>13</v>
      </c>
      <c r="R5577" t="s">
        <v>13</v>
      </c>
      <c r="S5577" t="s">
        <v>144</v>
      </c>
      <c r="T5577" s="2">
        <f>MASTER[[#This Row],[CANTIDAD]]*MASTER[[#This Row],[PRECIO DE VENTA]]</f>
        <v>1212</v>
      </c>
      <c r="U5577" s="2">
        <f>MASTER[[#This Row],[CANTIDAD]]*MASTER[[#This Row],[COSTO UNITARIO]]</f>
        <v>442</v>
      </c>
      <c r="V5577" s="2">
        <f>MASTER[[#This Row],[MONTO VENDIDO]]-MASTER[[#This Row],[COSTO DE VENTA]]</f>
        <v>770</v>
      </c>
    </row>
    <row r="5578" spans="1:22" x14ac:dyDescent="0.3">
      <c r="A5578">
        <v>78776</v>
      </c>
      <c r="B5578">
        <v>1</v>
      </c>
      <c r="C5578" t="s">
        <v>94</v>
      </c>
      <c r="D5578" t="s">
        <v>95</v>
      </c>
      <c r="E5578" s="1">
        <v>44437</v>
      </c>
      <c r="F5578">
        <v>1</v>
      </c>
      <c r="G5578" t="s">
        <v>51</v>
      </c>
      <c r="H5578" t="s">
        <v>52</v>
      </c>
      <c r="I5578" s="3">
        <v>1048</v>
      </c>
      <c r="J5578" s="3">
        <v>1048</v>
      </c>
      <c r="K5578" s="3">
        <v>392</v>
      </c>
      <c r="L5578" t="s">
        <v>9</v>
      </c>
      <c r="M5578">
        <v>8</v>
      </c>
      <c r="N5578" t="s">
        <v>80</v>
      </c>
      <c r="O5578" t="s">
        <v>81</v>
      </c>
      <c r="P5578" t="s">
        <v>12</v>
      </c>
      <c r="Q5578" t="s">
        <v>13</v>
      </c>
      <c r="R5578" t="s">
        <v>13</v>
      </c>
      <c r="S5578" t="s">
        <v>144</v>
      </c>
      <c r="T5578" s="2">
        <f>MASTER[[#This Row],[CANTIDAD]]*MASTER[[#This Row],[PRECIO DE VENTA]]</f>
        <v>1048</v>
      </c>
      <c r="U5578" s="2">
        <f>MASTER[[#This Row],[CANTIDAD]]*MASTER[[#This Row],[COSTO UNITARIO]]</f>
        <v>392</v>
      </c>
      <c r="V5578" s="2">
        <f>MASTER[[#This Row],[MONTO VENDIDO]]-MASTER[[#This Row],[COSTO DE VENTA]]</f>
        <v>656</v>
      </c>
    </row>
    <row r="5579" spans="1:22" x14ac:dyDescent="0.3">
      <c r="A5579">
        <v>78778</v>
      </c>
      <c r="B5579">
        <v>1</v>
      </c>
      <c r="C5579" t="s">
        <v>5</v>
      </c>
      <c r="D5579" t="s">
        <v>6</v>
      </c>
      <c r="E5579" s="1">
        <v>44437</v>
      </c>
      <c r="F5579">
        <v>1</v>
      </c>
      <c r="G5579" t="s">
        <v>47</v>
      </c>
      <c r="H5579" t="s">
        <v>48</v>
      </c>
      <c r="I5579" s="3">
        <v>1311</v>
      </c>
      <c r="J5579" s="3">
        <v>1311</v>
      </c>
      <c r="K5579" s="3">
        <v>393</v>
      </c>
      <c r="L5579" t="s">
        <v>9</v>
      </c>
      <c r="M5579">
        <v>12</v>
      </c>
      <c r="N5579" t="s">
        <v>26</v>
      </c>
      <c r="O5579" t="s">
        <v>11</v>
      </c>
      <c r="P5579" t="s">
        <v>12</v>
      </c>
      <c r="Q5579" t="s">
        <v>13</v>
      </c>
      <c r="R5579" t="s">
        <v>13</v>
      </c>
      <c r="S5579" t="s">
        <v>144</v>
      </c>
      <c r="T5579" s="2">
        <f>MASTER[[#This Row],[CANTIDAD]]*MASTER[[#This Row],[PRECIO DE VENTA]]</f>
        <v>1311</v>
      </c>
      <c r="U5579" s="2">
        <f>MASTER[[#This Row],[CANTIDAD]]*MASTER[[#This Row],[COSTO UNITARIO]]</f>
        <v>393</v>
      </c>
      <c r="V5579" s="2">
        <f>MASTER[[#This Row],[MONTO VENDIDO]]-MASTER[[#This Row],[COSTO DE VENTA]]</f>
        <v>918</v>
      </c>
    </row>
    <row r="5580" spans="1:22" x14ac:dyDescent="0.3">
      <c r="A5580">
        <v>78822</v>
      </c>
      <c r="B5580">
        <v>1</v>
      </c>
      <c r="C5580" t="s">
        <v>107</v>
      </c>
      <c r="D5580" t="s">
        <v>108</v>
      </c>
      <c r="E5580" s="1">
        <v>44437</v>
      </c>
      <c r="F5580">
        <v>1</v>
      </c>
      <c r="G5580" t="s">
        <v>47</v>
      </c>
      <c r="H5580" t="s">
        <v>48</v>
      </c>
      <c r="I5580" s="3">
        <v>1440</v>
      </c>
      <c r="J5580" s="3">
        <v>1440</v>
      </c>
      <c r="K5580" s="3">
        <v>380</v>
      </c>
      <c r="L5580" t="s">
        <v>98</v>
      </c>
      <c r="M5580">
        <v>13</v>
      </c>
      <c r="N5580" t="s">
        <v>78</v>
      </c>
      <c r="O5580" t="s">
        <v>70</v>
      </c>
      <c r="P5580" t="s">
        <v>18</v>
      </c>
      <c r="Q5580" t="s">
        <v>19</v>
      </c>
      <c r="R5580" t="s">
        <v>138</v>
      </c>
      <c r="S5580" t="s">
        <v>144</v>
      </c>
      <c r="T5580" s="2">
        <f>MASTER[[#This Row],[CANTIDAD]]*MASTER[[#This Row],[PRECIO DE VENTA]]</f>
        <v>1440</v>
      </c>
      <c r="U5580" s="2">
        <f>MASTER[[#This Row],[CANTIDAD]]*MASTER[[#This Row],[COSTO UNITARIO]]</f>
        <v>380</v>
      </c>
      <c r="V5580" s="2">
        <f>MASTER[[#This Row],[MONTO VENDIDO]]-MASTER[[#This Row],[COSTO DE VENTA]]</f>
        <v>1060</v>
      </c>
    </row>
    <row r="5581" spans="1:22" x14ac:dyDescent="0.3">
      <c r="A5581">
        <v>78827</v>
      </c>
      <c r="B5581">
        <v>1</v>
      </c>
      <c r="C5581" t="s">
        <v>101</v>
      </c>
      <c r="D5581" t="s">
        <v>102</v>
      </c>
      <c r="E5581" s="1">
        <v>44437</v>
      </c>
      <c r="F5581">
        <v>1</v>
      </c>
      <c r="G5581" t="s">
        <v>53</v>
      </c>
      <c r="H5581" t="s">
        <v>54</v>
      </c>
      <c r="I5581" s="3">
        <v>1357</v>
      </c>
      <c r="J5581" s="3">
        <v>1357</v>
      </c>
      <c r="K5581" s="3">
        <v>442</v>
      </c>
      <c r="L5581" t="s">
        <v>98</v>
      </c>
      <c r="M5581">
        <v>9</v>
      </c>
      <c r="N5581" t="s">
        <v>76</v>
      </c>
      <c r="O5581" t="s">
        <v>70</v>
      </c>
      <c r="P5581" t="s">
        <v>12</v>
      </c>
      <c r="Q5581" t="s">
        <v>13</v>
      </c>
      <c r="R5581" t="s">
        <v>13</v>
      </c>
      <c r="S5581" t="s">
        <v>144</v>
      </c>
      <c r="T5581" s="2">
        <f>MASTER[[#This Row],[CANTIDAD]]*MASTER[[#This Row],[PRECIO DE VENTA]]</f>
        <v>1357</v>
      </c>
      <c r="U5581" s="2">
        <f>MASTER[[#This Row],[CANTIDAD]]*MASTER[[#This Row],[COSTO UNITARIO]]</f>
        <v>442</v>
      </c>
      <c r="V5581" s="2">
        <f>MASTER[[#This Row],[MONTO VENDIDO]]-MASTER[[#This Row],[COSTO DE VENTA]]</f>
        <v>915</v>
      </c>
    </row>
    <row r="5582" spans="1:22" x14ac:dyDescent="0.3">
      <c r="A5582">
        <v>78828</v>
      </c>
      <c r="B5582">
        <v>1</v>
      </c>
      <c r="C5582" t="s">
        <v>121</v>
      </c>
      <c r="D5582" t="s">
        <v>122</v>
      </c>
      <c r="E5582" s="1">
        <v>44437</v>
      </c>
      <c r="F5582">
        <v>4</v>
      </c>
      <c r="G5582" t="s">
        <v>29</v>
      </c>
      <c r="H5582" t="s">
        <v>30</v>
      </c>
      <c r="I5582" s="3">
        <v>1069</v>
      </c>
      <c r="J5582" s="3">
        <v>1015</v>
      </c>
      <c r="K5582" s="3">
        <v>460</v>
      </c>
      <c r="L5582" t="s">
        <v>120</v>
      </c>
      <c r="M5582">
        <v>4</v>
      </c>
      <c r="N5582" t="s">
        <v>82</v>
      </c>
      <c r="O5582" t="s">
        <v>81</v>
      </c>
      <c r="P5582" t="s">
        <v>71</v>
      </c>
      <c r="Q5582" t="s">
        <v>72</v>
      </c>
      <c r="R5582" t="s">
        <v>139</v>
      </c>
      <c r="S5582" t="s">
        <v>144</v>
      </c>
      <c r="T5582" s="2">
        <f>MASTER[[#This Row],[CANTIDAD]]*MASTER[[#This Row],[PRECIO DE VENTA]]</f>
        <v>4060</v>
      </c>
      <c r="U5582" s="2">
        <f>MASTER[[#This Row],[CANTIDAD]]*MASTER[[#This Row],[COSTO UNITARIO]]</f>
        <v>1840</v>
      </c>
      <c r="V5582" s="2">
        <f>MASTER[[#This Row],[MONTO VENDIDO]]-MASTER[[#This Row],[COSTO DE VENTA]]</f>
        <v>2220</v>
      </c>
    </row>
    <row r="5583" spans="1:22" x14ac:dyDescent="0.3">
      <c r="A5583">
        <v>78857</v>
      </c>
      <c r="B5583">
        <v>1</v>
      </c>
      <c r="C5583" t="s">
        <v>107</v>
      </c>
      <c r="D5583" t="s">
        <v>108</v>
      </c>
      <c r="E5583" s="1">
        <v>44437</v>
      </c>
      <c r="F5583">
        <v>1</v>
      </c>
      <c r="G5583" t="s">
        <v>33</v>
      </c>
      <c r="H5583" t="s">
        <v>34</v>
      </c>
      <c r="I5583" s="3">
        <v>1333</v>
      </c>
      <c r="J5583" s="3">
        <v>1333</v>
      </c>
      <c r="K5583" s="3">
        <v>380</v>
      </c>
      <c r="L5583" t="s">
        <v>98</v>
      </c>
      <c r="M5583">
        <v>7</v>
      </c>
      <c r="N5583" t="s">
        <v>84</v>
      </c>
      <c r="O5583" t="s">
        <v>81</v>
      </c>
      <c r="P5583" t="s">
        <v>12</v>
      </c>
      <c r="Q5583" t="s">
        <v>13</v>
      </c>
      <c r="R5583" t="s">
        <v>13</v>
      </c>
      <c r="S5583" t="s">
        <v>144</v>
      </c>
      <c r="T5583" s="2">
        <f>MASTER[[#This Row],[CANTIDAD]]*MASTER[[#This Row],[PRECIO DE VENTA]]</f>
        <v>1333</v>
      </c>
      <c r="U5583" s="2">
        <f>MASTER[[#This Row],[CANTIDAD]]*MASTER[[#This Row],[COSTO UNITARIO]]</f>
        <v>380</v>
      </c>
      <c r="V5583" s="2">
        <f>MASTER[[#This Row],[MONTO VENDIDO]]-MASTER[[#This Row],[COSTO DE VENTA]]</f>
        <v>953</v>
      </c>
    </row>
    <row r="5584" spans="1:22" x14ac:dyDescent="0.3">
      <c r="A5584">
        <v>78861</v>
      </c>
      <c r="B5584">
        <v>1</v>
      </c>
      <c r="C5584" t="s">
        <v>116</v>
      </c>
      <c r="D5584" t="s">
        <v>117</v>
      </c>
      <c r="E5584" s="1">
        <v>44437</v>
      </c>
      <c r="F5584">
        <v>1</v>
      </c>
      <c r="G5584" t="s">
        <v>31</v>
      </c>
      <c r="H5584" t="s">
        <v>32</v>
      </c>
      <c r="I5584" s="3">
        <v>1738</v>
      </c>
      <c r="J5584" s="3">
        <v>1738</v>
      </c>
      <c r="K5584" s="3">
        <v>388</v>
      </c>
      <c r="L5584" t="s">
        <v>113</v>
      </c>
      <c r="M5584">
        <v>10</v>
      </c>
      <c r="N5584" t="s">
        <v>83</v>
      </c>
      <c r="O5584" t="s">
        <v>81</v>
      </c>
      <c r="P5584" t="s">
        <v>12</v>
      </c>
      <c r="Q5584" t="s">
        <v>13</v>
      </c>
      <c r="R5584" t="s">
        <v>13</v>
      </c>
      <c r="S5584" t="s">
        <v>144</v>
      </c>
      <c r="T5584" s="2">
        <f>MASTER[[#This Row],[CANTIDAD]]*MASTER[[#This Row],[PRECIO DE VENTA]]</f>
        <v>1738</v>
      </c>
      <c r="U5584" s="2">
        <f>MASTER[[#This Row],[CANTIDAD]]*MASTER[[#This Row],[COSTO UNITARIO]]</f>
        <v>388</v>
      </c>
      <c r="V5584" s="2">
        <f>MASTER[[#This Row],[MONTO VENDIDO]]-MASTER[[#This Row],[COSTO DE VENTA]]</f>
        <v>1350</v>
      </c>
    </row>
    <row r="5585" spans="1:22" x14ac:dyDescent="0.3">
      <c r="A5585">
        <v>78868</v>
      </c>
      <c r="B5585">
        <v>1</v>
      </c>
      <c r="C5585" t="s">
        <v>107</v>
      </c>
      <c r="D5585" t="s">
        <v>108</v>
      </c>
      <c r="E5585" s="1">
        <v>44437</v>
      </c>
      <c r="F5585">
        <v>1</v>
      </c>
      <c r="G5585" t="s">
        <v>39</v>
      </c>
      <c r="H5585" t="s">
        <v>40</v>
      </c>
      <c r="I5585" s="3">
        <v>1240</v>
      </c>
      <c r="J5585" s="3">
        <v>1240</v>
      </c>
      <c r="K5585" s="3">
        <v>380</v>
      </c>
      <c r="L5585" t="s">
        <v>98</v>
      </c>
      <c r="M5585">
        <v>11</v>
      </c>
      <c r="N5585" t="s">
        <v>10</v>
      </c>
      <c r="O5585" t="s">
        <v>11</v>
      </c>
      <c r="P5585" t="s">
        <v>12</v>
      </c>
      <c r="Q5585" t="s">
        <v>13</v>
      </c>
      <c r="R5585" t="s">
        <v>13</v>
      </c>
      <c r="S5585" t="s">
        <v>144</v>
      </c>
      <c r="T5585" s="2">
        <f>MASTER[[#This Row],[CANTIDAD]]*MASTER[[#This Row],[PRECIO DE VENTA]]</f>
        <v>1240</v>
      </c>
      <c r="U5585" s="2">
        <f>MASTER[[#This Row],[CANTIDAD]]*MASTER[[#This Row],[COSTO UNITARIO]]</f>
        <v>380</v>
      </c>
      <c r="V5585" s="2">
        <f>MASTER[[#This Row],[MONTO VENDIDO]]-MASTER[[#This Row],[COSTO DE VENTA]]</f>
        <v>860</v>
      </c>
    </row>
    <row r="5586" spans="1:22" x14ac:dyDescent="0.3">
      <c r="A5586">
        <v>78874</v>
      </c>
      <c r="B5586">
        <v>1</v>
      </c>
      <c r="C5586" t="s">
        <v>92</v>
      </c>
      <c r="D5586" t="s">
        <v>93</v>
      </c>
      <c r="E5586" s="1">
        <v>44437</v>
      </c>
      <c r="F5586">
        <v>1</v>
      </c>
      <c r="G5586" t="s">
        <v>65</v>
      </c>
      <c r="H5586" t="s">
        <v>66</v>
      </c>
      <c r="I5586" s="3">
        <v>1681</v>
      </c>
      <c r="J5586" s="3">
        <v>1681</v>
      </c>
      <c r="K5586" s="3">
        <v>396</v>
      </c>
      <c r="L5586" t="s">
        <v>9</v>
      </c>
      <c r="M5586">
        <v>19</v>
      </c>
      <c r="N5586" t="s">
        <v>89</v>
      </c>
      <c r="O5586" t="s">
        <v>81</v>
      </c>
      <c r="P5586" t="s">
        <v>15</v>
      </c>
      <c r="Q5586" t="s">
        <v>16</v>
      </c>
      <c r="R5586" t="s">
        <v>16</v>
      </c>
      <c r="S5586" t="s">
        <v>144</v>
      </c>
      <c r="T5586" s="2">
        <f>MASTER[[#This Row],[CANTIDAD]]*MASTER[[#This Row],[PRECIO DE VENTA]]</f>
        <v>1681</v>
      </c>
      <c r="U5586" s="2">
        <f>MASTER[[#This Row],[CANTIDAD]]*MASTER[[#This Row],[COSTO UNITARIO]]</f>
        <v>396</v>
      </c>
      <c r="V5586" s="2">
        <f>MASTER[[#This Row],[MONTO VENDIDO]]-MASTER[[#This Row],[COSTO DE VENTA]]</f>
        <v>1285</v>
      </c>
    </row>
    <row r="5587" spans="1:22" x14ac:dyDescent="0.3">
      <c r="A5587">
        <v>78891</v>
      </c>
      <c r="B5587">
        <v>2</v>
      </c>
      <c r="C5587" t="s">
        <v>5</v>
      </c>
      <c r="D5587" t="s">
        <v>6</v>
      </c>
      <c r="E5587" s="1">
        <v>44437</v>
      </c>
      <c r="F5587">
        <v>1</v>
      </c>
      <c r="G5587" t="s">
        <v>67</v>
      </c>
      <c r="H5587" t="s">
        <v>68</v>
      </c>
      <c r="I5587" s="3">
        <v>1296</v>
      </c>
      <c r="J5587" s="3">
        <v>1296</v>
      </c>
      <c r="K5587" s="3">
        <v>393</v>
      </c>
      <c r="L5587" t="s">
        <v>9</v>
      </c>
      <c r="M5587">
        <v>9</v>
      </c>
      <c r="N5587" t="s">
        <v>76</v>
      </c>
      <c r="O5587" t="s">
        <v>70</v>
      </c>
      <c r="P5587" t="s">
        <v>12</v>
      </c>
      <c r="Q5587" t="s">
        <v>13</v>
      </c>
      <c r="R5587" t="s">
        <v>13</v>
      </c>
      <c r="S5587" t="s">
        <v>144</v>
      </c>
      <c r="T5587" s="2">
        <f>MASTER[[#This Row],[CANTIDAD]]*MASTER[[#This Row],[PRECIO DE VENTA]]</f>
        <v>1296</v>
      </c>
      <c r="U5587" s="2">
        <f>MASTER[[#This Row],[CANTIDAD]]*MASTER[[#This Row],[COSTO UNITARIO]]</f>
        <v>393</v>
      </c>
      <c r="V5587" s="2">
        <f>MASTER[[#This Row],[MONTO VENDIDO]]-MASTER[[#This Row],[COSTO DE VENTA]]</f>
        <v>903</v>
      </c>
    </row>
    <row r="5588" spans="1:22" x14ac:dyDescent="0.3">
      <c r="A5588">
        <v>78891</v>
      </c>
      <c r="B5588">
        <v>1</v>
      </c>
      <c r="C5588" t="s">
        <v>111</v>
      </c>
      <c r="D5588" t="s">
        <v>112</v>
      </c>
      <c r="E5588" s="1">
        <v>44437</v>
      </c>
      <c r="F5588">
        <v>1</v>
      </c>
      <c r="G5588" t="s">
        <v>27</v>
      </c>
      <c r="H5588" t="s">
        <v>28</v>
      </c>
      <c r="I5588" s="3">
        <v>1799</v>
      </c>
      <c r="J5588" s="3">
        <v>1799</v>
      </c>
      <c r="K5588" s="3">
        <v>434</v>
      </c>
      <c r="L5588" t="s">
        <v>113</v>
      </c>
      <c r="M5588">
        <v>9</v>
      </c>
      <c r="N5588" t="s">
        <v>76</v>
      </c>
      <c r="O5588" t="s">
        <v>70</v>
      </c>
      <c r="P5588" t="s">
        <v>12</v>
      </c>
      <c r="Q5588" t="s">
        <v>13</v>
      </c>
      <c r="R5588" t="s">
        <v>13</v>
      </c>
      <c r="S5588" t="s">
        <v>144</v>
      </c>
      <c r="T5588" s="2">
        <f>MASTER[[#This Row],[CANTIDAD]]*MASTER[[#This Row],[PRECIO DE VENTA]]</f>
        <v>1799</v>
      </c>
      <c r="U5588" s="2">
        <f>MASTER[[#This Row],[CANTIDAD]]*MASTER[[#This Row],[COSTO UNITARIO]]</f>
        <v>434</v>
      </c>
      <c r="V5588" s="2">
        <f>MASTER[[#This Row],[MONTO VENDIDO]]-MASTER[[#This Row],[COSTO DE VENTA]]</f>
        <v>1365</v>
      </c>
    </row>
    <row r="5589" spans="1:22" x14ac:dyDescent="0.3">
      <c r="A5589">
        <v>78913</v>
      </c>
      <c r="B5589">
        <v>1</v>
      </c>
      <c r="C5589" t="s">
        <v>92</v>
      </c>
      <c r="D5589" t="s">
        <v>93</v>
      </c>
      <c r="E5589" s="1">
        <v>44437</v>
      </c>
      <c r="F5589">
        <v>1</v>
      </c>
      <c r="G5589" t="s">
        <v>24</v>
      </c>
      <c r="H5589" t="s">
        <v>25</v>
      </c>
      <c r="I5589" s="3">
        <v>1681</v>
      </c>
      <c r="J5589" s="3">
        <v>1681</v>
      </c>
      <c r="K5589" s="3">
        <v>396</v>
      </c>
      <c r="L5589" t="s">
        <v>9</v>
      </c>
      <c r="M5589">
        <v>7</v>
      </c>
      <c r="N5589" t="s">
        <v>84</v>
      </c>
      <c r="O5589" t="s">
        <v>81</v>
      </c>
      <c r="P5589" t="s">
        <v>12</v>
      </c>
      <c r="Q5589" t="s">
        <v>13</v>
      </c>
      <c r="R5589" t="s">
        <v>13</v>
      </c>
      <c r="S5589" t="s">
        <v>144</v>
      </c>
      <c r="T5589" s="2">
        <f>MASTER[[#This Row],[CANTIDAD]]*MASTER[[#This Row],[PRECIO DE VENTA]]</f>
        <v>1681</v>
      </c>
      <c r="U5589" s="2">
        <f>MASTER[[#This Row],[CANTIDAD]]*MASTER[[#This Row],[COSTO UNITARIO]]</f>
        <v>396</v>
      </c>
      <c r="V5589" s="2">
        <f>MASTER[[#This Row],[MONTO VENDIDO]]-MASTER[[#This Row],[COSTO DE VENTA]]</f>
        <v>1285</v>
      </c>
    </row>
    <row r="5590" spans="1:22" x14ac:dyDescent="0.3">
      <c r="A5590">
        <v>78938</v>
      </c>
      <c r="B5590">
        <v>1</v>
      </c>
      <c r="C5590" t="s">
        <v>94</v>
      </c>
      <c r="D5590" t="s">
        <v>95</v>
      </c>
      <c r="E5590" s="1">
        <v>44437</v>
      </c>
      <c r="F5590">
        <v>1</v>
      </c>
      <c r="G5590" t="s">
        <v>45</v>
      </c>
      <c r="H5590" t="s">
        <v>46</v>
      </c>
      <c r="I5590" s="3">
        <v>1153</v>
      </c>
      <c r="J5590" s="3">
        <v>1153</v>
      </c>
      <c r="K5590" s="3">
        <v>392</v>
      </c>
      <c r="L5590" t="s">
        <v>9</v>
      </c>
      <c r="M5590">
        <v>1</v>
      </c>
      <c r="N5590" t="s">
        <v>77</v>
      </c>
      <c r="O5590" t="s">
        <v>70</v>
      </c>
      <c r="P5590" t="s">
        <v>71</v>
      </c>
      <c r="Q5590" t="s">
        <v>72</v>
      </c>
      <c r="R5590" t="s">
        <v>139</v>
      </c>
      <c r="S5590" t="s">
        <v>144</v>
      </c>
      <c r="T5590" s="2">
        <f>MASTER[[#This Row],[CANTIDAD]]*MASTER[[#This Row],[PRECIO DE VENTA]]</f>
        <v>1153</v>
      </c>
      <c r="U5590" s="2">
        <f>MASTER[[#This Row],[CANTIDAD]]*MASTER[[#This Row],[COSTO UNITARIO]]</f>
        <v>392</v>
      </c>
      <c r="V5590" s="2">
        <f>MASTER[[#This Row],[MONTO VENDIDO]]-MASTER[[#This Row],[COSTO DE VENTA]]</f>
        <v>761</v>
      </c>
    </row>
    <row r="5591" spans="1:22" x14ac:dyDescent="0.3">
      <c r="A5591">
        <v>78945</v>
      </c>
      <c r="B5591">
        <v>1</v>
      </c>
      <c r="C5591" t="s">
        <v>111</v>
      </c>
      <c r="D5591" t="s">
        <v>112</v>
      </c>
      <c r="E5591" s="1">
        <v>44437</v>
      </c>
      <c r="F5591">
        <v>1</v>
      </c>
      <c r="G5591" t="s">
        <v>63</v>
      </c>
      <c r="H5591" t="s">
        <v>64</v>
      </c>
      <c r="I5591" s="3">
        <v>1621</v>
      </c>
      <c r="J5591" s="3">
        <v>1621</v>
      </c>
      <c r="K5591" s="3">
        <v>434</v>
      </c>
      <c r="L5591" t="s">
        <v>113</v>
      </c>
      <c r="M5591">
        <v>5</v>
      </c>
      <c r="N5591" t="s">
        <v>85</v>
      </c>
      <c r="O5591" t="s">
        <v>81</v>
      </c>
      <c r="P5591" t="s">
        <v>12</v>
      </c>
      <c r="Q5591" t="s">
        <v>13</v>
      </c>
      <c r="R5591" t="s">
        <v>13</v>
      </c>
      <c r="S5591" t="s">
        <v>144</v>
      </c>
      <c r="T5591" s="2">
        <f>MASTER[[#This Row],[CANTIDAD]]*MASTER[[#This Row],[PRECIO DE VENTA]]</f>
        <v>1621</v>
      </c>
      <c r="U5591" s="2">
        <f>MASTER[[#This Row],[CANTIDAD]]*MASTER[[#This Row],[COSTO UNITARIO]]</f>
        <v>434</v>
      </c>
      <c r="V5591" s="2">
        <f>MASTER[[#This Row],[MONTO VENDIDO]]-MASTER[[#This Row],[COSTO DE VENTA]]</f>
        <v>1187</v>
      </c>
    </row>
    <row r="5592" spans="1:22" x14ac:dyDescent="0.3">
      <c r="A5592">
        <v>78951</v>
      </c>
      <c r="B5592">
        <v>1</v>
      </c>
      <c r="C5592" t="s">
        <v>118</v>
      </c>
      <c r="D5592" t="s">
        <v>119</v>
      </c>
      <c r="E5592" s="1">
        <v>44437</v>
      </c>
      <c r="F5592">
        <v>1</v>
      </c>
      <c r="G5592" t="s">
        <v>43</v>
      </c>
      <c r="H5592" t="s">
        <v>44</v>
      </c>
      <c r="I5592" s="3">
        <v>1026</v>
      </c>
      <c r="J5592" s="3">
        <v>1026</v>
      </c>
      <c r="K5592" s="3">
        <v>424</v>
      </c>
      <c r="L5592" t="s">
        <v>120</v>
      </c>
      <c r="M5592">
        <v>3</v>
      </c>
      <c r="N5592" t="s">
        <v>69</v>
      </c>
      <c r="O5592" t="s">
        <v>70</v>
      </c>
      <c r="P5592" t="s">
        <v>71</v>
      </c>
      <c r="Q5592" t="s">
        <v>72</v>
      </c>
      <c r="R5592" t="s">
        <v>139</v>
      </c>
      <c r="S5592" t="s">
        <v>144</v>
      </c>
      <c r="T5592" s="2">
        <f>MASTER[[#This Row],[CANTIDAD]]*MASTER[[#This Row],[PRECIO DE VENTA]]</f>
        <v>1026</v>
      </c>
      <c r="U5592" s="2">
        <f>MASTER[[#This Row],[CANTIDAD]]*MASTER[[#This Row],[COSTO UNITARIO]]</f>
        <v>424</v>
      </c>
      <c r="V5592" s="2">
        <f>MASTER[[#This Row],[MONTO VENDIDO]]-MASTER[[#This Row],[COSTO DE VENTA]]</f>
        <v>602</v>
      </c>
    </row>
    <row r="5593" spans="1:22" x14ac:dyDescent="0.3">
      <c r="A5593">
        <v>78971</v>
      </c>
      <c r="B5593">
        <v>1</v>
      </c>
      <c r="C5593" t="s">
        <v>107</v>
      </c>
      <c r="D5593" t="s">
        <v>108</v>
      </c>
      <c r="E5593" s="1">
        <v>44438</v>
      </c>
      <c r="F5593">
        <v>1</v>
      </c>
      <c r="G5593" t="s">
        <v>45</v>
      </c>
      <c r="H5593" t="s">
        <v>46</v>
      </c>
      <c r="I5593" s="3">
        <v>1440</v>
      </c>
      <c r="J5593" s="3">
        <v>1440</v>
      </c>
      <c r="K5593" s="3">
        <v>380</v>
      </c>
      <c r="L5593" t="s">
        <v>98</v>
      </c>
      <c r="M5593">
        <v>6</v>
      </c>
      <c r="N5593" t="s">
        <v>75</v>
      </c>
      <c r="O5593" t="s">
        <v>70</v>
      </c>
      <c r="P5593" t="s">
        <v>12</v>
      </c>
      <c r="Q5593" t="s">
        <v>13</v>
      </c>
      <c r="R5593" t="s">
        <v>13</v>
      </c>
      <c r="S5593" t="s">
        <v>144</v>
      </c>
      <c r="T5593" s="2">
        <f>MASTER[[#This Row],[CANTIDAD]]*MASTER[[#This Row],[PRECIO DE VENTA]]</f>
        <v>1440</v>
      </c>
      <c r="U5593" s="2">
        <f>MASTER[[#This Row],[CANTIDAD]]*MASTER[[#This Row],[COSTO UNITARIO]]</f>
        <v>380</v>
      </c>
      <c r="V5593" s="2">
        <f>MASTER[[#This Row],[MONTO VENDIDO]]-MASTER[[#This Row],[COSTO DE VENTA]]</f>
        <v>1060</v>
      </c>
    </row>
    <row r="5594" spans="1:22" x14ac:dyDescent="0.3">
      <c r="A5594">
        <v>78972</v>
      </c>
      <c r="B5594">
        <v>1</v>
      </c>
      <c r="C5594" t="s">
        <v>111</v>
      </c>
      <c r="D5594" t="s">
        <v>112</v>
      </c>
      <c r="E5594" s="1">
        <v>44438</v>
      </c>
      <c r="F5594">
        <v>1</v>
      </c>
      <c r="G5594" t="s">
        <v>43</v>
      </c>
      <c r="H5594" t="s">
        <v>44</v>
      </c>
      <c r="I5594" s="3">
        <v>1524</v>
      </c>
      <c r="J5594" s="3">
        <v>1524</v>
      </c>
      <c r="K5594" s="3">
        <v>434</v>
      </c>
      <c r="L5594" t="s">
        <v>113</v>
      </c>
      <c r="M5594">
        <v>16</v>
      </c>
      <c r="N5594" t="s">
        <v>17</v>
      </c>
      <c r="O5594" t="s">
        <v>11</v>
      </c>
      <c r="P5594" t="s">
        <v>18</v>
      </c>
      <c r="Q5594" t="s">
        <v>19</v>
      </c>
      <c r="R5594" t="s">
        <v>138</v>
      </c>
      <c r="S5594" t="s">
        <v>144</v>
      </c>
      <c r="T5594" s="2">
        <f>MASTER[[#This Row],[CANTIDAD]]*MASTER[[#This Row],[PRECIO DE VENTA]]</f>
        <v>1524</v>
      </c>
      <c r="U5594" s="2">
        <f>MASTER[[#This Row],[CANTIDAD]]*MASTER[[#This Row],[COSTO UNITARIO]]</f>
        <v>434</v>
      </c>
      <c r="V5594" s="2">
        <f>MASTER[[#This Row],[MONTO VENDIDO]]-MASTER[[#This Row],[COSTO DE VENTA]]</f>
        <v>1090</v>
      </c>
    </row>
    <row r="5595" spans="1:22" x14ac:dyDescent="0.3">
      <c r="A5595">
        <v>78982</v>
      </c>
      <c r="B5595">
        <v>1</v>
      </c>
      <c r="C5595" t="s">
        <v>107</v>
      </c>
      <c r="D5595" t="s">
        <v>108</v>
      </c>
      <c r="E5595" s="1">
        <v>44438</v>
      </c>
      <c r="F5595">
        <v>1</v>
      </c>
      <c r="G5595" t="s">
        <v>33</v>
      </c>
      <c r="H5595" t="s">
        <v>34</v>
      </c>
      <c r="I5595" s="3">
        <v>1240</v>
      </c>
      <c r="J5595" s="3">
        <v>1240</v>
      </c>
      <c r="K5595" s="3">
        <v>380</v>
      </c>
      <c r="L5595" t="s">
        <v>98</v>
      </c>
      <c r="M5595">
        <v>17</v>
      </c>
      <c r="N5595" t="s">
        <v>14</v>
      </c>
      <c r="O5595" t="s">
        <v>11</v>
      </c>
      <c r="P5595" t="s">
        <v>15</v>
      </c>
      <c r="Q5595" t="s">
        <v>16</v>
      </c>
      <c r="R5595" t="s">
        <v>16</v>
      </c>
      <c r="S5595" t="s">
        <v>144</v>
      </c>
      <c r="T5595" s="2">
        <f>MASTER[[#This Row],[CANTIDAD]]*MASTER[[#This Row],[PRECIO DE VENTA]]</f>
        <v>1240</v>
      </c>
      <c r="U5595" s="2">
        <f>MASTER[[#This Row],[CANTIDAD]]*MASTER[[#This Row],[COSTO UNITARIO]]</f>
        <v>380</v>
      </c>
      <c r="V5595" s="2">
        <f>MASTER[[#This Row],[MONTO VENDIDO]]-MASTER[[#This Row],[COSTO DE VENTA]]</f>
        <v>860</v>
      </c>
    </row>
    <row r="5596" spans="1:22" x14ac:dyDescent="0.3">
      <c r="A5596">
        <v>78983</v>
      </c>
      <c r="B5596">
        <v>1</v>
      </c>
      <c r="C5596" t="s">
        <v>103</v>
      </c>
      <c r="D5596" t="s">
        <v>104</v>
      </c>
      <c r="E5596" s="1">
        <v>44438</v>
      </c>
      <c r="F5596">
        <v>2</v>
      </c>
      <c r="G5596" t="s">
        <v>20</v>
      </c>
      <c r="H5596" t="s">
        <v>21</v>
      </c>
      <c r="I5596" s="3">
        <v>1830</v>
      </c>
      <c r="J5596" s="3">
        <v>1830</v>
      </c>
      <c r="K5596" s="3">
        <v>421</v>
      </c>
      <c r="L5596" t="s">
        <v>98</v>
      </c>
      <c r="M5596">
        <v>6</v>
      </c>
      <c r="N5596" t="s">
        <v>75</v>
      </c>
      <c r="O5596" t="s">
        <v>70</v>
      </c>
      <c r="P5596" t="s">
        <v>12</v>
      </c>
      <c r="Q5596" t="s">
        <v>13</v>
      </c>
      <c r="R5596" t="s">
        <v>13</v>
      </c>
      <c r="S5596" t="s">
        <v>144</v>
      </c>
      <c r="T5596" s="2">
        <f>MASTER[[#This Row],[CANTIDAD]]*MASTER[[#This Row],[PRECIO DE VENTA]]</f>
        <v>3660</v>
      </c>
      <c r="U5596" s="2">
        <f>MASTER[[#This Row],[CANTIDAD]]*MASTER[[#This Row],[COSTO UNITARIO]]</f>
        <v>842</v>
      </c>
      <c r="V5596" s="2">
        <f>MASTER[[#This Row],[MONTO VENDIDO]]-MASTER[[#This Row],[COSTO DE VENTA]]</f>
        <v>2818</v>
      </c>
    </row>
    <row r="5597" spans="1:22" x14ac:dyDescent="0.3">
      <c r="A5597">
        <v>78991</v>
      </c>
      <c r="B5597">
        <v>1</v>
      </c>
      <c r="C5597" t="s">
        <v>103</v>
      </c>
      <c r="D5597" t="s">
        <v>104</v>
      </c>
      <c r="E5597" s="1">
        <v>44438</v>
      </c>
      <c r="F5597">
        <v>1</v>
      </c>
      <c r="G5597" t="s">
        <v>33</v>
      </c>
      <c r="H5597" t="s">
        <v>34</v>
      </c>
      <c r="I5597" s="3">
        <v>1830</v>
      </c>
      <c r="J5597" s="3">
        <v>1830</v>
      </c>
      <c r="K5597" s="3">
        <v>421</v>
      </c>
      <c r="L5597" t="s">
        <v>98</v>
      </c>
      <c r="M5597">
        <v>1</v>
      </c>
      <c r="N5597" t="s">
        <v>77</v>
      </c>
      <c r="O5597" t="s">
        <v>70</v>
      </c>
      <c r="P5597" t="s">
        <v>71</v>
      </c>
      <c r="Q5597" t="s">
        <v>72</v>
      </c>
      <c r="R5597" t="s">
        <v>139</v>
      </c>
      <c r="S5597" t="s">
        <v>144</v>
      </c>
      <c r="T5597" s="2">
        <f>MASTER[[#This Row],[CANTIDAD]]*MASTER[[#This Row],[PRECIO DE VENTA]]</f>
        <v>1830</v>
      </c>
      <c r="U5597" s="2">
        <f>MASTER[[#This Row],[CANTIDAD]]*MASTER[[#This Row],[COSTO UNITARIO]]</f>
        <v>421</v>
      </c>
      <c r="V5597" s="2">
        <f>MASTER[[#This Row],[MONTO VENDIDO]]-MASTER[[#This Row],[COSTO DE VENTA]]</f>
        <v>1409</v>
      </c>
    </row>
    <row r="5598" spans="1:22" x14ac:dyDescent="0.3">
      <c r="A5598">
        <v>79029</v>
      </c>
      <c r="B5598">
        <v>1</v>
      </c>
      <c r="C5598" t="s">
        <v>121</v>
      </c>
      <c r="D5598" t="s">
        <v>122</v>
      </c>
      <c r="E5598" s="1">
        <v>44438</v>
      </c>
      <c r="F5598">
        <v>1</v>
      </c>
      <c r="G5598" t="s">
        <v>53</v>
      </c>
      <c r="H5598" t="s">
        <v>54</v>
      </c>
      <c r="I5598" s="3">
        <v>1144</v>
      </c>
      <c r="J5598" s="3">
        <v>1144</v>
      </c>
      <c r="K5598" s="3">
        <v>460</v>
      </c>
      <c r="L5598" t="s">
        <v>120</v>
      </c>
      <c r="M5598">
        <v>13</v>
      </c>
      <c r="N5598" t="s">
        <v>78</v>
      </c>
      <c r="O5598" t="s">
        <v>70</v>
      </c>
      <c r="P5598" t="s">
        <v>18</v>
      </c>
      <c r="Q5598" t="s">
        <v>19</v>
      </c>
      <c r="R5598" t="s">
        <v>138</v>
      </c>
      <c r="S5598" t="s">
        <v>144</v>
      </c>
      <c r="T5598" s="2">
        <f>MASTER[[#This Row],[CANTIDAD]]*MASTER[[#This Row],[PRECIO DE VENTA]]</f>
        <v>1144</v>
      </c>
      <c r="U5598" s="2">
        <f>MASTER[[#This Row],[CANTIDAD]]*MASTER[[#This Row],[COSTO UNITARIO]]</f>
        <v>460</v>
      </c>
      <c r="V5598" s="2">
        <f>MASTER[[#This Row],[MONTO VENDIDO]]-MASTER[[#This Row],[COSTO DE VENTA]]</f>
        <v>684</v>
      </c>
    </row>
    <row r="5599" spans="1:22" x14ac:dyDescent="0.3">
      <c r="A5599">
        <v>79042</v>
      </c>
      <c r="B5599">
        <v>1</v>
      </c>
      <c r="C5599" t="s">
        <v>99</v>
      </c>
      <c r="D5599" t="s">
        <v>100</v>
      </c>
      <c r="E5599" s="1">
        <v>44438</v>
      </c>
      <c r="F5599">
        <v>1</v>
      </c>
      <c r="G5599" t="s">
        <v>20</v>
      </c>
      <c r="H5599" t="s">
        <v>21</v>
      </c>
      <c r="I5599" s="3">
        <v>1328</v>
      </c>
      <c r="J5599" s="3">
        <v>1328</v>
      </c>
      <c r="K5599" s="3">
        <v>386</v>
      </c>
      <c r="L5599" t="s">
        <v>98</v>
      </c>
      <c r="M5599">
        <v>11</v>
      </c>
      <c r="N5599" t="s">
        <v>10</v>
      </c>
      <c r="O5599" t="s">
        <v>11</v>
      </c>
      <c r="P5599" t="s">
        <v>12</v>
      </c>
      <c r="Q5599" t="s">
        <v>13</v>
      </c>
      <c r="R5599" t="s">
        <v>13</v>
      </c>
      <c r="S5599" t="s">
        <v>144</v>
      </c>
      <c r="T5599" s="2">
        <f>MASTER[[#This Row],[CANTIDAD]]*MASTER[[#This Row],[PRECIO DE VENTA]]</f>
        <v>1328</v>
      </c>
      <c r="U5599" s="2">
        <f>MASTER[[#This Row],[CANTIDAD]]*MASTER[[#This Row],[COSTO UNITARIO]]</f>
        <v>386</v>
      </c>
      <c r="V5599" s="2">
        <f>MASTER[[#This Row],[MONTO VENDIDO]]-MASTER[[#This Row],[COSTO DE VENTA]]</f>
        <v>942</v>
      </c>
    </row>
    <row r="5600" spans="1:22" x14ac:dyDescent="0.3">
      <c r="A5600">
        <v>79055</v>
      </c>
      <c r="B5600">
        <v>1</v>
      </c>
      <c r="C5600" t="s">
        <v>109</v>
      </c>
      <c r="D5600" t="s">
        <v>110</v>
      </c>
      <c r="E5600" s="1">
        <v>44438</v>
      </c>
      <c r="F5600">
        <v>1</v>
      </c>
      <c r="G5600" t="s">
        <v>24</v>
      </c>
      <c r="H5600" t="s">
        <v>25</v>
      </c>
      <c r="I5600" s="3">
        <v>1128</v>
      </c>
      <c r="J5600" s="3">
        <v>1128</v>
      </c>
      <c r="K5600" s="3">
        <v>387</v>
      </c>
      <c r="L5600" t="s">
        <v>98</v>
      </c>
      <c r="M5600">
        <v>1</v>
      </c>
      <c r="N5600" t="s">
        <v>77</v>
      </c>
      <c r="O5600" t="s">
        <v>70</v>
      </c>
      <c r="P5600" t="s">
        <v>71</v>
      </c>
      <c r="Q5600" t="s">
        <v>72</v>
      </c>
      <c r="R5600" t="s">
        <v>139</v>
      </c>
      <c r="S5600" t="s">
        <v>144</v>
      </c>
      <c r="T5600" s="2">
        <f>MASTER[[#This Row],[CANTIDAD]]*MASTER[[#This Row],[PRECIO DE VENTA]]</f>
        <v>1128</v>
      </c>
      <c r="U5600" s="2">
        <f>MASTER[[#This Row],[CANTIDAD]]*MASTER[[#This Row],[COSTO UNITARIO]]</f>
        <v>387</v>
      </c>
      <c r="V5600" s="2">
        <f>MASTER[[#This Row],[MONTO VENDIDO]]-MASTER[[#This Row],[COSTO DE VENTA]]</f>
        <v>741</v>
      </c>
    </row>
    <row r="5601" spans="1:22" x14ac:dyDescent="0.3">
      <c r="A5601">
        <v>79062</v>
      </c>
      <c r="B5601">
        <v>1</v>
      </c>
      <c r="C5601" t="s">
        <v>99</v>
      </c>
      <c r="D5601" t="s">
        <v>100</v>
      </c>
      <c r="E5601" s="1">
        <v>44438</v>
      </c>
      <c r="F5601">
        <v>1</v>
      </c>
      <c r="G5601" t="s">
        <v>49</v>
      </c>
      <c r="H5601" t="s">
        <v>50</v>
      </c>
      <c r="I5601" s="3">
        <v>1459</v>
      </c>
      <c r="J5601" s="3">
        <v>1327</v>
      </c>
      <c r="K5601" s="3">
        <v>386</v>
      </c>
      <c r="L5601" t="s">
        <v>98</v>
      </c>
      <c r="M5601">
        <v>4</v>
      </c>
      <c r="N5601" t="s">
        <v>82</v>
      </c>
      <c r="O5601" t="s">
        <v>81</v>
      </c>
      <c r="P5601" t="s">
        <v>71</v>
      </c>
      <c r="Q5601" t="s">
        <v>72</v>
      </c>
      <c r="R5601" t="s">
        <v>139</v>
      </c>
      <c r="S5601" t="s">
        <v>144</v>
      </c>
      <c r="T5601" s="2">
        <f>MASTER[[#This Row],[CANTIDAD]]*MASTER[[#This Row],[PRECIO DE VENTA]]</f>
        <v>1327</v>
      </c>
      <c r="U5601" s="2">
        <f>MASTER[[#This Row],[CANTIDAD]]*MASTER[[#This Row],[COSTO UNITARIO]]</f>
        <v>386</v>
      </c>
      <c r="V5601" s="2">
        <f>MASTER[[#This Row],[MONTO VENDIDO]]-MASTER[[#This Row],[COSTO DE VENTA]]</f>
        <v>941</v>
      </c>
    </row>
    <row r="5602" spans="1:22" x14ac:dyDescent="0.3">
      <c r="A5602">
        <v>79063</v>
      </c>
      <c r="B5602">
        <v>1</v>
      </c>
      <c r="C5602" t="s">
        <v>103</v>
      </c>
      <c r="D5602" t="s">
        <v>104</v>
      </c>
      <c r="E5602" s="1">
        <v>44438</v>
      </c>
      <c r="F5602">
        <v>1</v>
      </c>
      <c r="G5602" t="s">
        <v>33</v>
      </c>
      <c r="H5602" t="s">
        <v>34</v>
      </c>
      <c r="I5602" s="3">
        <v>1830</v>
      </c>
      <c r="J5602" s="3">
        <v>1830</v>
      </c>
      <c r="K5602" s="3">
        <v>421</v>
      </c>
      <c r="L5602" t="s">
        <v>98</v>
      </c>
      <c r="M5602">
        <v>13</v>
      </c>
      <c r="N5602" t="s">
        <v>78</v>
      </c>
      <c r="O5602" t="s">
        <v>70</v>
      </c>
      <c r="P5602" t="s">
        <v>18</v>
      </c>
      <c r="Q5602" t="s">
        <v>19</v>
      </c>
      <c r="R5602" t="s">
        <v>138</v>
      </c>
      <c r="S5602" t="s">
        <v>144</v>
      </c>
      <c r="T5602" s="2">
        <f>MASTER[[#This Row],[CANTIDAD]]*MASTER[[#This Row],[PRECIO DE VENTA]]</f>
        <v>1830</v>
      </c>
      <c r="U5602" s="2">
        <f>MASTER[[#This Row],[CANTIDAD]]*MASTER[[#This Row],[COSTO UNITARIO]]</f>
        <v>421</v>
      </c>
      <c r="V5602" s="2">
        <f>MASTER[[#This Row],[MONTO VENDIDO]]-MASTER[[#This Row],[COSTO DE VENTA]]</f>
        <v>1409</v>
      </c>
    </row>
    <row r="5603" spans="1:22" x14ac:dyDescent="0.3">
      <c r="A5603">
        <v>79064</v>
      </c>
      <c r="B5603">
        <v>1</v>
      </c>
      <c r="C5603" t="s">
        <v>101</v>
      </c>
      <c r="D5603" t="s">
        <v>102</v>
      </c>
      <c r="E5603" s="1">
        <v>44438</v>
      </c>
      <c r="F5603">
        <v>4</v>
      </c>
      <c r="G5603" t="s">
        <v>35</v>
      </c>
      <c r="H5603" t="s">
        <v>36</v>
      </c>
      <c r="I5603" s="3">
        <v>1212</v>
      </c>
      <c r="J5603" s="3">
        <v>1212</v>
      </c>
      <c r="K5603" s="3">
        <v>442</v>
      </c>
      <c r="L5603" t="s">
        <v>98</v>
      </c>
      <c r="M5603">
        <v>19</v>
      </c>
      <c r="N5603" t="s">
        <v>89</v>
      </c>
      <c r="O5603" t="s">
        <v>81</v>
      </c>
      <c r="P5603" t="s">
        <v>15</v>
      </c>
      <c r="Q5603" t="s">
        <v>16</v>
      </c>
      <c r="R5603" t="s">
        <v>16</v>
      </c>
      <c r="S5603" t="s">
        <v>144</v>
      </c>
      <c r="T5603" s="2">
        <f>MASTER[[#This Row],[CANTIDAD]]*MASTER[[#This Row],[PRECIO DE VENTA]]</f>
        <v>4848</v>
      </c>
      <c r="U5603" s="2">
        <f>MASTER[[#This Row],[CANTIDAD]]*MASTER[[#This Row],[COSTO UNITARIO]]</f>
        <v>1768</v>
      </c>
      <c r="V5603" s="2">
        <f>MASTER[[#This Row],[MONTO VENDIDO]]-MASTER[[#This Row],[COSTO DE VENTA]]</f>
        <v>3080</v>
      </c>
    </row>
    <row r="5604" spans="1:22" x14ac:dyDescent="0.3">
      <c r="A5604">
        <v>79072</v>
      </c>
      <c r="B5604">
        <v>1</v>
      </c>
      <c r="C5604" t="s">
        <v>5</v>
      </c>
      <c r="D5604" t="s">
        <v>6</v>
      </c>
      <c r="E5604" s="1">
        <v>44438</v>
      </c>
      <c r="F5604">
        <v>1</v>
      </c>
      <c r="G5604" t="s">
        <v>61</v>
      </c>
      <c r="H5604" t="s">
        <v>62</v>
      </c>
      <c r="I5604" s="3">
        <v>1507</v>
      </c>
      <c r="J5604" s="3">
        <v>1507</v>
      </c>
      <c r="K5604" s="3">
        <v>393</v>
      </c>
      <c r="L5604" t="s">
        <v>9</v>
      </c>
      <c r="M5604">
        <v>15</v>
      </c>
      <c r="N5604" t="s">
        <v>88</v>
      </c>
      <c r="O5604" t="s">
        <v>81</v>
      </c>
      <c r="P5604" t="s">
        <v>18</v>
      </c>
      <c r="Q5604" t="s">
        <v>19</v>
      </c>
      <c r="R5604" t="s">
        <v>138</v>
      </c>
      <c r="S5604" t="s">
        <v>144</v>
      </c>
      <c r="T5604" s="2">
        <f>MASTER[[#This Row],[CANTIDAD]]*MASTER[[#This Row],[PRECIO DE VENTA]]</f>
        <v>1507</v>
      </c>
      <c r="U5604" s="2">
        <f>MASTER[[#This Row],[CANTIDAD]]*MASTER[[#This Row],[COSTO UNITARIO]]</f>
        <v>393</v>
      </c>
      <c r="V5604" s="2">
        <f>MASTER[[#This Row],[MONTO VENDIDO]]-MASTER[[#This Row],[COSTO DE VENTA]]</f>
        <v>1114</v>
      </c>
    </row>
    <row r="5605" spans="1:22" x14ac:dyDescent="0.3">
      <c r="A5605">
        <v>79073</v>
      </c>
      <c r="B5605">
        <v>1</v>
      </c>
      <c r="C5605" t="s">
        <v>103</v>
      </c>
      <c r="D5605" t="s">
        <v>104</v>
      </c>
      <c r="E5605" s="1">
        <v>44439</v>
      </c>
      <c r="F5605">
        <v>1</v>
      </c>
      <c r="G5605" t="s">
        <v>35</v>
      </c>
      <c r="H5605" t="s">
        <v>36</v>
      </c>
      <c r="I5605" s="3">
        <v>1448</v>
      </c>
      <c r="J5605" s="3">
        <v>1448</v>
      </c>
      <c r="K5605" s="3">
        <v>421</v>
      </c>
      <c r="L5605" t="s">
        <v>98</v>
      </c>
      <c r="M5605">
        <v>16</v>
      </c>
      <c r="N5605" t="s">
        <v>17</v>
      </c>
      <c r="O5605" t="s">
        <v>11</v>
      </c>
      <c r="P5605" t="s">
        <v>18</v>
      </c>
      <c r="Q5605" t="s">
        <v>19</v>
      </c>
      <c r="R5605" t="s">
        <v>138</v>
      </c>
      <c r="S5605" t="s">
        <v>144</v>
      </c>
      <c r="T5605" s="2">
        <f>MASTER[[#This Row],[CANTIDAD]]*MASTER[[#This Row],[PRECIO DE VENTA]]</f>
        <v>1448</v>
      </c>
      <c r="U5605" s="2">
        <f>MASTER[[#This Row],[CANTIDAD]]*MASTER[[#This Row],[COSTO UNITARIO]]</f>
        <v>421</v>
      </c>
      <c r="V5605" s="2">
        <f>MASTER[[#This Row],[MONTO VENDIDO]]-MASTER[[#This Row],[COSTO DE VENTA]]</f>
        <v>1027</v>
      </c>
    </row>
    <row r="5606" spans="1:22" x14ac:dyDescent="0.3">
      <c r="A5606">
        <v>79083</v>
      </c>
      <c r="B5606">
        <v>1</v>
      </c>
      <c r="C5606" t="s">
        <v>96</v>
      </c>
      <c r="D5606" t="s">
        <v>97</v>
      </c>
      <c r="E5606" s="1">
        <v>44439</v>
      </c>
      <c r="F5606">
        <v>1</v>
      </c>
      <c r="G5606" t="s">
        <v>22</v>
      </c>
      <c r="H5606" t="s">
        <v>23</v>
      </c>
      <c r="I5606" s="3">
        <v>1272</v>
      </c>
      <c r="J5606" s="3">
        <v>1272</v>
      </c>
      <c r="K5606" s="3">
        <v>397</v>
      </c>
      <c r="L5606" t="s">
        <v>98</v>
      </c>
      <c r="M5606">
        <v>4</v>
      </c>
      <c r="N5606" t="s">
        <v>82</v>
      </c>
      <c r="O5606" t="s">
        <v>81</v>
      </c>
      <c r="P5606" t="s">
        <v>71</v>
      </c>
      <c r="Q5606" t="s">
        <v>72</v>
      </c>
      <c r="R5606" t="s">
        <v>139</v>
      </c>
      <c r="S5606" t="s">
        <v>144</v>
      </c>
      <c r="T5606" s="2">
        <f>MASTER[[#This Row],[CANTIDAD]]*MASTER[[#This Row],[PRECIO DE VENTA]]</f>
        <v>1272</v>
      </c>
      <c r="U5606" s="2">
        <f>MASTER[[#This Row],[CANTIDAD]]*MASTER[[#This Row],[COSTO UNITARIO]]</f>
        <v>397</v>
      </c>
      <c r="V5606" s="2">
        <f>MASTER[[#This Row],[MONTO VENDIDO]]-MASTER[[#This Row],[COSTO DE VENTA]]</f>
        <v>875</v>
      </c>
    </row>
    <row r="5607" spans="1:22" x14ac:dyDescent="0.3">
      <c r="A5607">
        <v>79099</v>
      </c>
      <c r="B5607">
        <v>1</v>
      </c>
      <c r="C5607" t="s">
        <v>118</v>
      </c>
      <c r="D5607" t="s">
        <v>119</v>
      </c>
      <c r="E5607" s="1">
        <v>44439</v>
      </c>
      <c r="F5607">
        <v>1</v>
      </c>
      <c r="G5607" t="s">
        <v>73</v>
      </c>
      <c r="H5607" t="s">
        <v>74</v>
      </c>
      <c r="I5607" s="3">
        <v>1026</v>
      </c>
      <c r="J5607" s="3">
        <v>1026</v>
      </c>
      <c r="K5607" s="3">
        <v>424</v>
      </c>
      <c r="L5607" t="s">
        <v>120</v>
      </c>
      <c r="M5607">
        <v>3</v>
      </c>
      <c r="N5607" t="s">
        <v>69</v>
      </c>
      <c r="O5607" t="s">
        <v>70</v>
      </c>
      <c r="P5607" t="s">
        <v>71</v>
      </c>
      <c r="Q5607" t="s">
        <v>72</v>
      </c>
      <c r="R5607" t="s">
        <v>139</v>
      </c>
      <c r="S5607" t="s">
        <v>144</v>
      </c>
      <c r="T5607" s="2">
        <f>MASTER[[#This Row],[CANTIDAD]]*MASTER[[#This Row],[PRECIO DE VENTA]]</f>
        <v>1026</v>
      </c>
      <c r="U5607" s="2">
        <f>MASTER[[#This Row],[CANTIDAD]]*MASTER[[#This Row],[COSTO UNITARIO]]</f>
        <v>424</v>
      </c>
      <c r="V5607" s="2">
        <f>MASTER[[#This Row],[MONTO VENDIDO]]-MASTER[[#This Row],[COSTO DE VENTA]]</f>
        <v>602</v>
      </c>
    </row>
    <row r="5608" spans="1:22" x14ac:dyDescent="0.3">
      <c r="A5608">
        <v>79107</v>
      </c>
      <c r="B5608">
        <v>1</v>
      </c>
      <c r="C5608" t="s">
        <v>107</v>
      </c>
      <c r="D5608" t="s">
        <v>108</v>
      </c>
      <c r="E5608" s="1">
        <v>44439</v>
      </c>
      <c r="F5608">
        <v>1</v>
      </c>
      <c r="G5608" t="s">
        <v>53</v>
      </c>
      <c r="H5608" t="s">
        <v>54</v>
      </c>
      <c r="I5608" s="3">
        <v>1333</v>
      </c>
      <c r="J5608" s="3">
        <v>1333</v>
      </c>
      <c r="K5608" s="3">
        <v>380</v>
      </c>
      <c r="L5608" t="s">
        <v>98</v>
      </c>
      <c r="M5608">
        <v>15</v>
      </c>
      <c r="N5608" t="s">
        <v>88</v>
      </c>
      <c r="O5608" t="s">
        <v>81</v>
      </c>
      <c r="P5608" t="s">
        <v>18</v>
      </c>
      <c r="Q5608" t="s">
        <v>19</v>
      </c>
      <c r="R5608" t="s">
        <v>138</v>
      </c>
      <c r="S5608" t="s">
        <v>144</v>
      </c>
      <c r="T5608" s="2">
        <f>MASTER[[#This Row],[CANTIDAD]]*MASTER[[#This Row],[PRECIO DE VENTA]]</f>
        <v>1333</v>
      </c>
      <c r="U5608" s="2">
        <f>MASTER[[#This Row],[CANTIDAD]]*MASTER[[#This Row],[COSTO UNITARIO]]</f>
        <v>380</v>
      </c>
      <c r="V5608" s="2">
        <f>MASTER[[#This Row],[MONTO VENDIDO]]-MASTER[[#This Row],[COSTO DE VENTA]]</f>
        <v>953</v>
      </c>
    </row>
    <row r="5609" spans="1:22" x14ac:dyDescent="0.3">
      <c r="A5609">
        <v>79158</v>
      </c>
      <c r="B5609">
        <v>1</v>
      </c>
      <c r="C5609" t="s">
        <v>105</v>
      </c>
      <c r="D5609" t="s">
        <v>106</v>
      </c>
      <c r="E5609" s="1">
        <v>44439</v>
      </c>
      <c r="F5609">
        <v>1</v>
      </c>
      <c r="G5609" t="s">
        <v>73</v>
      </c>
      <c r="H5609" t="s">
        <v>74</v>
      </c>
      <c r="I5609" s="3">
        <v>2033</v>
      </c>
      <c r="J5609" s="3">
        <v>2033</v>
      </c>
      <c r="K5609" s="3">
        <v>459</v>
      </c>
      <c r="L5609" t="s">
        <v>98</v>
      </c>
      <c r="M5609">
        <v>6</v>
      </c>
      <c r="N5609" t="s">
        <v>75</v>
      </c>
      <c r="O5609" t="s">
        <v>70</v>
      </c>
      <c r="P5609" t="s">
        <v>12</v>
      </c>
      <c r="Q5609" t="s">
        <v>13</v>
      </c>
      <c r="R5609" t="s">
        <v>13</v>
      </c>
      <c r="S5609" t="s">
        <v>144</v>
      </c>
      <c r="T5609" s="2">
        <f>MASTER[[#This Row],[CANTIDAD]]*MASTER[[#This Row],[PRECIO DE VENTA]]</f>
        <v>2033</v>
      </c>
      <c r="U5609" s="2">
        <f>MASTER[[#This Row],[CANTIDAD]]*MASTER[[#This Row],[COSTO UNITARIO]]</f>
        <v>459</v>
      </c>
      <c r="V5609" s="2">
        <f>MASTER[[#This Row],[MONTO VENDIDO]]-MASTER[[#This Row],[COSTO DE VENTA]]</f>
        <v>1574</v>
      </c>
    </row>
    <row r="5610" spans="1:22" x14ac:dyDescent="0.3">
      <c r="A5610">
        <v>79160</v>
      </c>
      <c r="B5610">
        <v>1</v>
      </c>
      <c r="C5610" t="s">
        <v>107</v>
      </c>
      <c r="D5610" t="s">
        <v>108</v>
      </c>
      <c r="E5610" s="1">
        <v>44439</v>
      </c>
      <c r="F5610">
        <v>1</v>
      </c>
      <c r="G5610" t="s">
        <v>57</v>
      </c>
      <c r="H5610" t="s">
        <v>58</v>
      </c>
      <c r="I5610" s="3">
        <v>1440</v>
      </c>
      <c r="J5610" s="3">
        <v>1440</v>
      </c>
      <c r="K5610" s="3">
        <v>380</v>
      </c>
      <c r="L5610" t="s">
        <v>98</v>
      </c>
      <c r="M5610">
        <v>13</v>
      </c>
      <c r="N5610" t="s">
        <v>78</v>
      </c>
      <c r="O5610" t="s">
        <v>70</v>
      </c>
      <c r="P5610" t="s">
        <v>18</v>
      </c>
      <c r="Q5610" t="s">
        <v>19</v>
      </c>
      <c r="R5610" t="s">
        <v>138</v>
      </c>
      <c r="S5610" t="s">
        <v>144</v>
      </c>
      <c r="T5610" s="2">
        <f>MASTER[[#This Row],[CANTIDAD]]*MASTER[[#This Row],[PRECIO DE VENTA]]</f>
        <v>1440</v>
      </c>
      <c r="U5610" s="2">
        <f>MASTER[[#This Row],[CANTIDAD]]*MASTER[[#This Row],[COSTO UNITARIO]]</f>
        <v>380</v>
      </c>
      <c r="V5610" s="2">
        <f>MASTER[[#This Row],[MONTO VENDIDO]]-MASTER[[#This Row],[COSTO DE VENTA]]</f>
        <v>1060</v>
      </c>
    </row>
    <row r="5611" spans="1:22" x14ac:dyDescent="0.3">
      <c r="A5611">
        <v>79163</v>
      </c>
      <c r="B5611">
        <v>1</v>
      </c>
      <c r="C5611" t="s">
        <v>94</v>
      </c>
      <c r="D5611" t="s">
        <v>95</v>
      </c>
      <c r="E5611" s="1">
        <v>44440</v>
      </c>
      <c r="F5611">
        <v>1</v>
      </c>
      <c r="G5611" t="s">
        <v>43</v>
      </c>
      <c r="H5611" t="s">
        <v>44</v>
      </c>
      <c r="I5611" s="3">
        <v>1048</v>
      </c>
      <c r="J5611" s="3">
        <v>1048</v>
      </c>
      <c r="K5611" s="3">
        <v>392</v>
      </c>
      <c r="L5611" t="s">
        <v>9</v>
      </c>
      <c r="M5611">
        <v>19</v>
      </c>
      <c r="N5611" t="s">
        <v>89</v>
      </c>
      <c r="O5611" t="s">
        <v>81</v>
      </c>
      <c r="P5611" t="s">
        <v>15</v>
      </c>
      <c r="Q5611" t="s">
        <v>16</v>
      </c>
      <c r="R5611" t="s">
        <v>16</v>
      </c>
      <c r="S5611" t="s">
        <v>144</v>
      </c>
      <c r="T5611" s="2">
        <f>MASTER[[#This Row],[CANTIDAD]]*MASTER[[#This Row],[PRECIO DE VENTA]]</f>
        <v>1048</v>
      </c>
      <c r="U5611" s="2">
        <f>MASTER[[#This Row],[CANTIDAD]]*MASTER[[#This Row],[COSTO UNITARIO]]</f>
        <v>392</v>
      </c>
      <c r="V5611" s="2">
        <f>MASTER[[#This Row],[MONTO VENDIDO]]-MASTER[[#This Row],[COSTO DE VENTA]]</f>
        <v>656</v>
      </c>
    </row>
    <row r="5612" spans="1:22" x14ac:dyDescent="0.3">
      <c r="A5612">
        <v>79182</v>
      </c>
      <c r="B5612">
        <v>1</v>
      </c>
      <c r="C5612" t="s">
        <v>90</v>
      </c>
      <c r="D5612" t="s">
        <v>91</v>
      </c>
      <c r="E5612" s="1">
        <v>44440</v>
      </c>
      <c r="F5612">
        <v>1</v>
      </c>
      <c r="G5612" t="s">
        <v>43</v>
      </c>
      <c r="H5612" t="s">
        <v>44</v>
      </c>
      <c r="I5612" s="3">
        <v>1844</v>
      </c>
      <c r="J5612" s="3">
        <v>1844</v>
      </c>
      <c r="K5612" s="3">
        <v>420</v>
      </c>
      <c r="L5612" t="s">
        <v>9</v>
      </c>
      <c r="M5612">
        <v>19</v>
      </c>
      <c r="N5612" t="s">
        <v>89</v>
      </c>
      <c r="O5612" t="s">
        <v>81</v>
      </c>
      <c r="P5612" t="s">
        <v>15</v>
      </c>
      <c r="Q5612" t="s">
        <v>16</v>
      </c>
      <c r="R5612" t="s">
        <v>16</v>
      </c>
      <c r="S5612" t="s">
        <v>144</v>
      </c>
      <c r="T5612" s="2">
        <f>MASTER[[#This Row],[CANTIDAD]]*MASTER[[#This Row],[PRECIO DE VENTA]]</f>
        <v>1844</v>
      </c>
      <c r="U5612" s="2">
        <f>MASTER[[#This Row],[CANTIDAD]]*MASTER[[#This Row],[COSTO UNITARIO]]</f>
        <v>420</v>
      </c>
      <c r="V5612" s="2">
        <f>MASTER[[#This Row],[MONTO VENDIDO]]-MASTER[[#This Row],[COSTO DE VENTA]]</f>
        <v>1424</v>
      </c>
    </row>
    <row r="5613" spans="1:22" x14ac:dyDescent="0.3">
      <c r="A5613">
        <v>79194</v>
      </c>
      <c r="B5613">
        <v>1</v>
      </c>
      <c r="C5613" t="s">
        <v>109</v>
      </c>
      <c r="D5613" t="s">
        <v>110</v>
      </c>
      <c r="E5613" s="1">
        <v>44440</v>
      </c>
      <c r="F5613">
        <v>1</v>
      </c>
      <c r="G5613" t="s">
        <v>27</v>
      </c>
      <c r="H5613" t="s">
        <v>28</v>
      </c>
      <c r="I5613" s="3">
        <v>1128</v>
      </c>
      <c r="J5613" s="3">
        <v>1128</v>
      </c>
      <c r="K5613" s="3">
        <v>387</v>
      </c>
      <c r="L5613" t="s">
        <v>98</v>
      </c>
      <c r="M5613">
        <v>1</v>
      </c>
      <c r="N5613" t="s">
        <v>77</v>
      </c>
      <c r="O5613" t="s">
        <v>70</v>
      </c>
      <c r="P5613" t="s">
        <v>71</v>
      </c>
      <c r="Q5613" t="s">
        <v>72</v>
      </c>
      <c r="R5613" t="s">
        <v>139</v>
      </c>
      <c r="S5613" t="s">
        <v>144</v>
      </c>
      <c r="T5613" s="2">
        <f>MASTER[[#This Row],[CANTIDAD]]*MASTER[[#This Row],[PRECIO DE VENTA]]</f>
        <v>1128</v>
      </c>
      <c r="U5613" s="2">
        <f>MASTER[[#This Row],[CANTIDAD]]*MASTER[[#This Row],[COSTO UNITARIO]]</f>
        <v>387</v>
      </c>
      <c r="V5613" s="2">
        <f>MASTER[[#This Row],[MONTO VENDIDO]]-MASTER[[#This Row],[COSTO DE VENTA]]</f>
        <v>741</v>
      </c>
    </row>
    <row r="5614" spans="1:22" x14ac:dyDescent="0.3">
      <c r="A5614">
        <v>79199</v>
      </c>
      <c r="B5614">
        <v>1</v>
      </c>
      <c r="C5614" t="s">
        <v>99</v>
      </c>
      <c r="D5614" t="s">
        <v>100</v>
      </c>
      <c r="E5614" s="1">
        <v>44440</v>
      </c>
      <c r="F5614">
        <v>1</v>
      </c>
      <c r="G5614" t="s">
        <v>53</v>
      </c>
      <c r="H5614" t="s">
        <v>54</v>
      </c>
      <c r="I5614" s="3">
        <v>1678</v>
      </c>
      <c r="J5614" s="3">
        <v>1678</v>
      </c>
      <c r="K5614" s="3">
        <v>386</v>
      </c>
      <c r="L5614" t="s">
        <v>98</v>
      </c>
      <c r="M5614">
        <v>9</v>
      </c>
      <c r="N5614" t="s">
        <v>76</v>
      </c>
      <c r="O5614" t="s">
        <v>70</v>
      </c>
      <c r="P5614" t="s">
        <v>12</v>
      </c>
      <c r="Q5614" t="s">
        <v>13</v>
      </c>
      <c r="R5614" t="s">
        <v>13</v>
      </c>
      <c r="S5614" t="s">
        <v>144</v>
      </c>
      <c r="T5614" s="2">
        <f>MASTER[[#This Row],[CANTIDAD]]*MASTER[[#This Row],[PRECIO DE VENTA]]</f>
        <v>1678</v>
      </c>
      <c r="U5614" s="2">
        <f>MASTER[[#This Row],[CANTIDAD]]*MASTER[[#This Row],[COSTO UNITARIO]]</f>
        <v>386</v>
      </c>
      <c r="V5614" s="2">
        <f>MASTER[[#This Row],[MONTO VENDIDO]]-MASTER[[#This Row],[COSTO DE VENTA]]</f>
        <v>1292</v>
      </c>
    </row>
    <row r="5615" spans="1:22" x14ac:dyDescent="0.3">
      <c r="A5615">
        <v>79204</v>
      </c>
      <c r="B5615">
        <v>1</v>
      </c>
      <c r="C5615" t="s">
        <v>107</v>
      </c>
      <c r="D5615" t="s">
        <v>108</v>
      </c>
      <c r="E5615" s="1">
        <v>44440</v>
      </c>
      <c r="F5615">
        <v>1</v>
      </c>
      <c r="G5615" t="s">
        <v>29</v>
      </c>
      <c r="H5615" t="s">
        <v>30</v>
      </c>
      <c r="I5615" s="3">
        <v>1240</v>
      </c>
      <c r="J5615" s="3">
        <v>1240</v>
      </c>
      <c r="K5615" s="3">
        <v>380</v>
      </c>
      <c r="L5615" t="s">
        <v>98</v>
      </c>
      <c r="M5615">
        <v>11</v>
      </c>
      <c r="N5615" t="s">
        <v>10</v>
      </c>
      <c r="O5615" t="s">
        <v>11</v>
      </c>
      <c r="P5615" t="s">
        <v>12</v>
      </c>
      <c r="Q5615" t="s">
        <v>13</v>
      </c>
      <c r="R5615" t="s">
        <v>13</v>
      </c>
      <c r="S5615" t="s">
        <v>144</v>
      </c>
      <c r="T5615" s="2">
        <f>MASTER[[#This Row],[CANTIDAD]]*MASTER[[#This Row],[PRECIO DE VENTA]]</f>
        <v>1240</v>
      </c>
      <c r="U5615" s="2">
        <f>MASTER[[#This Row],[CANTIDAD]]*MASTER[[#This Row],[COSTO UNITARIO]]</f>
        <v>380</v>
      </c>
      <c r="V5615" s="2">
        <f>MASTER[[#This Row],[MONTO VENDIDO]]-MASTER[[#This Row],[COSTO DE VENTA]]</f>
        <v>860</v>
      </c>
    </row>
    <row r="5616" spans="1:22" x14ac:dyDescent="0.3">
      <c r="A5616">
        <v>79207</v>
      </c>
      <c r="B5616">
        <v>1</v>
      </c>
      <c r="C5616" t="s">
        <v>111</v>
      </c>
      <c r="D5616" t="s">
        <v>112</v>
      </c>
      <c r="E5616" s="1">
        <v>44440</v>
      </c>
      <c r="F5616">
        <v>1</v>
      </c>
      <c r="G5616" t="s">
        <v>41</v>
      </c>
      <c r="H5616" t="s">
        <v>42</v>
      </c>
      <c r="I5616" s="3">
        <v>1621</v>
      </c>
      <c r="J5616" s="3">
        <v>1556</v>
      </c>
      <c r="K5616" s="3">
        <v>434</v>
      </c>
      <c r="L5616" t="s">
        <v>113</v>
      </c>
      <c r="M5616">
        <v>10</v>
      </c>
      <c r="N5616" t="s">
        <v>83</v>
      </c>
      <c r="O5616" t="s">
        <v>81</v>
      </c>
      <c r="P5616" t="s">
        <v>12</v>
      </c>
      <c r="Q5616" t="s">
        <v>13</v>
      </c>
      <c r="R5616" t="s">
        <v>13</v>
      </c>
      <c r="S5616" t="s">
        <v>144</v>
      </c>
      <c r="T5616" s="2">
        <f>MASTER[[#This Row],[CANTIDAD]]*MASTER[[#This Row],[PRECIO DE VENTA]]</f>
        <v>1556</v>
      </c>
      <c r="U5616" s="2">
        <f>MASTER[[#This Row],[CANTIDAD]]*MASTER[[#This Row],[COSTO UNITARIO]]</f>
        <v>434</v>
      </c>
      <c r="V5616" s="2">
        <f>MASTER[[#This Row],[MONTO VENDIDO]]-MASTER[[#This Row],[COSTO DE VENTA]]</f>
        <v>1122</v>
      </c>
    </row>
    <row r="5617" spans="1:22" x14ac:dyDescent="0.3">
      <c r="A5617">
        <v>79220</v>
      </c>
      <c r="B5617">
        <v>1</v>
      </c>
      <c r="C5617" t="s">
        <v>90</v>
      </c>
      <c r="D5617" t="s">
        <v>91</v>
      </c>
      <c r="E5617" s="1">
        <v>44440</v>
      </c>
      <c r="F5617">
        <v>1</v>
      </c>
      <c r="G5617" t="s">
        <v>37</v>
      </c>
      <c r="H5617" t="s">
        <v>38</v>
      </c>
      <c r="I5617" s="3">
        <v>1844</v>
      </c>
      <c r="J5617" s="3">
        <v>1844</v>
      </c>
      <c r="K5617" s="3">
        <v>420</v>
      </c>
      <c r="L5617" t="s">
        <v>9</v>
      </c>
      <c r="M5617">
        <v>10</v>
      </c>
      <c r="N5617" t="s">
        <v>83</v>
      </c>
      <c r="O5617" t="s">
        <v>81</v>
      </c>
      <c r="P5617" t="s">
        <v>12</v>
      </c>
      <c r="Q5617" t="s">
        <v>13</v>
      </c>
      <c r="R5617" t="s">
        <v>13</v>
      </c>
      <c r="S5617" t="s">
        <v>144</v>
      </c>
      <c r="T5617" s="2">
        <f>MASTER[[#This Row],[CANTIDAD]]*MASTER[[#This Row],[PRECIO DE VENTA]]</f>
        <v>1844</v>
      </c>
      <c r="U5617" s="2">
        <f>MASTER[[#This Row],[CANTIDAD]]*MASTER[[#This Row],[COSTO UNITARIO]]</f>
        <v>420</v>
      </c>
      <c r="V5617" s="2">
        <f>MASTER[[#This Row],[MONTO VENDIDO]]-MASTER[[#This Row],[COSTO DE VENTA]]</f>
        <v>1424</v>
      </c>
    </row>
    <row r="5618" spans="1:22" x14ac:dyDescent="0.3">
      <c r="A5618">
        <v>79254</v>
      </c>
      <c r="B5618">
        <v>1</v>
      </c>
      <c r="C5618" t="s">
        <v>109</v>
      </c>
      <c r="D5618" t="s">
        <v>110</v>
      </c>
      <c r="E5618" s="1">
        <v>44440</v>
      </c>
      <c r="F5618">
        <v>1</v>
      </c>
      <c r="G5618" t="s">
        <v>45</v>
      </c>
      <c r="H5618" t="s">
        <v>46</v>
      </c>
      <c r="I5618" s="3">
        <v>947</v>
      </c>
      <c r="J5618" s="3">
        <v>947</v>
      </c>
      <c r="K5618" s="3">
        <v>387</v>
      </c>
      <c r="L5618" t="s">
        <v>98</v>
      </c>
      <c r="M5618">
        <v>12</v>
      </c>
      <c r="N5618" t="s">
        <v>26</v>
      </c>
      <c r="O5618" t="s">
        <v>11</v>
      </c>
      <c r="P5618" t="s">
        <v>12</v>
      </c>
      <c r="Q5618" t="s">
        <v>13</v>
      </c>
      <c r="R5618" t="s">
        <v>13</v>
      </c>
      <c r="S5618" t="s">
        <v>144</v>
      </c>
      <c r="T5618" s="2">
        <f>MASTER[[#This Row],[CANTIDAD]]*MASTER[[#This Row],[PRECIO DE VENTA]]</f>
        <v>947</v>
      </c>
      <c r="U5618" s="2">
        <f>MASTER[[#This Row],[CANTIDAD]]*MASTER[[#This Row],[COSTO UNITARIO]]</f>
        <v>387</v>
      </c>
      <c r="V5618" s="2">
        <f>MASTER[[#This Row],[MONTO VENDIDO]]-MASTER[[#This Row],[COSTO DE VENTA]]</f>
        <v>560</v>
      </c>
    </row>
    <row r="5619" spans="1:22" x14ac:dyDescent="0.3">
      <c r="A5619">
        <v>79284</v>
      </c>
      <c r="B5619">
        <v>1</v>
      </c>
      <c r="C5619" t="s">
        <v>118</v>
      </c>
      <c r="D5619" t="s">
        <v>119</v>
      </c>
      <c r="E5619" s="1">
        <v>44440</v>
      </c>
      <c r="F5619">
        <v>1</v>
      </c>
      <c r="G5619" t="s">
        <v>57</v>
      </c>
      <c r="H5619" t="s">
        <v>58</v>
      </c>
      <c r="I5619" s="3">
        <v>801</v>
      </c>
      <c r="J5619" s="3">
        <v>768</v>
      </c>
      <c r="K5619" s="3">
        <v>424</v>
      </c>
      <c r="L5619" t="s">
        <v>120</v>
      </c>
      <c r="M5619">
        <v>17</v>
      </c>
      <c r="N5619" t="s">
        <v>14</v>
      </c>
      <c r="O5619" t="s">
        <v>11</v>
      </c>
      <c r="P5619" t="s">
        <v>15</v>
      </c>
      <c r="Q5619" t="s">
        <v>16</v>
      </c>
      <c r="R5619" t="s">
        <v>16</v>
      </c>
      <c r="S5619" t="s">
        <v>144</v>
      </c>
      <c r="T5619" s="2">
        <f>MASTER[[#This Row],[CANTIDAD]]*MASTER[[#This Row],[PRECIO DE VENTA]]</f>
        <v>768</v>
      </c>
      <c r="U5619" s="2">
        <f>MASTER[[#This Row],[CANTIDAD]]*MASTER[[#This Row],[COSTO UNITARIO]]</f>
        <v>424</v>
      </c>
      <c r="V5619" s="2">
        <f>MASTER[[#This Row],[MONTO VENDIDO]]-MASTER[[#This Row],[COSTO DE VENTA]]</f>
        <v>344</v>
      </c>
    </row>
    <row r="5620" spans="1:22" x14ac:dyDescent="0.3">
      <c r="A5620">
        <v>79285</v>
      </c>
      <c r="B5620">
        <v>1</v>
      </c>
      <c r="C5620" t="s">
        <v>105</v>
      </c>
      <c r="D5620" t="s">
        <v>106</v>
      </c>
      <c r="E5620" s="1">
        <v>44440</v>
      </c>
      <c r="F5620">
        <v>4</v>
      </c>
      <c r="G5620" t="s">
        <v>59</v>
      </c>
      <c r="H5620" t="s">
        <v>60</v>
      </c>
      <c r="I5620" s="3">
        <v>1865</v>
      </c>
      <c r="J5620" s="3">
        <v>1865</v>
      </c>
      <c r="K5620" s="3">
        <v>459</v>
      </c>
      <c r="L5620" t="s">
        <v>98</v>
      </c>
      <c r="M5620">
        <v>8</v>
      </c>
      <c r="N5620" t="s">
        <v>80</v>
      </c>
      <c r="O5620" t="s">
        <v>81</v>
      </c>
      <c r="P5620" t="s">
        <v>12</v>
      </c>
      <c r="Q5620" t="s">
        <v>13</v>
      </c>
      <c r="R5620" t="s">
        <v>13</v>
      </c>
      <c r="S5620" t="s">
        <v>144</v>
      </c>
      <c r="T5620" s="2">
        <f>MASTER[[#This Row],[CANTIDAD]]*MASTER[[#This Row],[PRECIO DE VENTA]]</f>
        <v>7460</v>
      </c>
      <c r="U5620" s="2">
        <f>MASTER[[#This Row],[CANTIDAD]]*MASTER[[#This Row],[COSTO UNITARIO]]</f>
        <v>1836</v>
      </c>
      <c r="V5620" s="2">
        <f>MASTER[[#This Row],[MONTO VENDIDO]]-MASTER[[#This Row],[COSTO DE VENTA]]</f>
        <v>5624</v>
      </c>
    </row>
    <row r="5621" spans="1:22" x14ac:dyDescent="0.3">
      <c r="A5621">
        <v>79290</v>
      </c>
      <c r="B5621">
        <v>1</v>
      </c>
      <c r="C5621" t="s">
        <v>92</v>
      </c>
      <c r="D5621" t="s">
        <v>93</v>
      </c>
      <c r="E5621" s="1">
        <v>44440</v>
      </c>
      <c r="F5621">
        <v>1</v>
      </c>
      <c r="G5621" t="s">
        <v>27</v>
      </c>
      <c r="H5621" t="s">
        <v>28</v>
      </c>
      <c r="I5621" s="3">
        <v>1681</v>
      </c>
      <c r="J5621" s="3">
        <v>1596</v>
      </c>
      <c r="K5621" s="3">
        <v>396</v>
      </c>
      <c r="L5621" t="s">
        <v>9</v>
      </c>
      <c r="M5621">
        <v>19</v>
      </c>
      <c r="N5621" t="s">
        <v>89</v>
      </c>
      <c r="O5621" t="s">
        <v>81</v>
      </c>
      <c r="P5621" t="s">
        <v>15</v>
      </c>
      <c r="Q5621" t="s">
        <v>16</v>
      </c>
      <c r="R5621" t="s">
        <v>16</v>
      </c>
      <c r="S5621" t="s">
        <v>144</v>
      </c>
      <c r="T5621" s="2">
        <f>MASTER[[#This Row],[CANTIDAD]]*MASTER[[#This Row],[PRECIO DE VENTA]]</f>
        <v>1596</v>
      </c>
      <c r="U5621" s="2">
        <f>MASTER[[#This Row],[CANTIDAD]]*MASTER[[#This Row],[COSTO UNITARIO]]</f>
        <v>396</v>
      </c>
      <c r="V5621" s="2">
        <f>MASTER[[#This Row],[MONTO VENDIDO]]-MASTER[[#This Row],[COSTO DE VENTA]]</f>
        <v>1200</v>
      </c>
    </row>
    <row r="5622" spans="1:22" x14ac:dyDescent="0.3">
      <c r="A5622">
        <v>79291</v>
      </c>
      <c r="B5622">
        <v>1</v>
      </c>
      <c r="C5622" t="s">
        <v>109</v>
      </c>
      <c r="D5622" t="s">
        <v>110</v>
      </c>
      <c r="E5622" s="1">
        <v>44440</v>
      </c>
      <c r="F5622">
        <v>1</v>
      </c>
      <c r="G5622" t="s">
        <v>45</v>
      </c>
      <c r="H5622" t="s">
        <v>46</v>
      </c>
      <c r="I5622" s="3">
        <v>1064</v>
      </c>
      <c r="J5622" s="3">
        <v>1000</v>
      </c>
      <c r="K5622" s="3">
        <v>387</v>
      </c>
      <c r="L5622" t="s">
        <v>98</v>
      </c>
      <c r="M5622">
        <v>4</v>
      </c>
      <c r="N5622" t="s">
        <v>82</v>
      </c>
      <c r="O5622" t="s">
        <v>81</v>
      </c>
      <c r="P5622" t="s">
        <v>71</v>
      </c>
      <c r="Q5622" t="s">
        <v>72</v>
      </c>
      <c r="R5622" t="s">
        <v>139</v>
      </c>
      <c r="S5622" t="s">
        <v>144</v>
      </c>
      <c r="T5622" s="2">
        <f>MASTER[[#This Row],[CANTIDAD]]*MASTER[[#This Row],[PRECIO DE VENTA]]</f>
        <v>1000</v>
      </c>
      <c r="U5622" s="2">
        <f>MASTER[[#This Row],[CANTIDAD]]*MASTER[[#This Row],[COSTO UNITARIO]]</f>
        <v>387</v>
      </c>
      <c r="V5622" s="2">
        <f>MASTER[[#This Row],[MONTO VENDIDO]]-MASTER[[#This Row],[COSTO DE VENTA]]</f>
        <v>613</v>
      </c>
    </row>
    <row r="5623" spans="1:22" x14ac:dyDescent="0.3">
      <c r="A5623">
        <v>79311</v>
      </c>
      <c r="B5623">
        <v>1</v>
      </c>
      <c r="C5623" t="s">
        <v>121</v>
      </c>
      <c r="D5623" t="s">
        <v>122</v>
      </c>
      <c r="E5623" s="1">
        <v>44440</v>
      </c>
      <c r="F5623">
        <v>1</v>
      </c>
      <c r="G5623" t="s">
        <v>49</v>
      </c>
      <c r="H5623" t="s">
        <v>50</v>
      </c>
      <c r="I5623" s="3">
        <v>1069</v>
      </c>
      <c r="J5623" s="3">
        <v>1069</v>
      </c>
      <c r="K5623" s="3">
        <v>460</v>
      </c>
      <c r="L5623" t="s">
        <v>120</v>
      </c>
      <c r="M5623">
        <v>8</v>
      </c>
      <c r="N5623" t="s">
        <v>80</v>
      </c>
      <c r="O5623" t="s">
        <v>81</v>
      </c>
      <c r="P5623" t="s">
        <v>12</v>
      </c>
      <c r="Q5623" t="s">
        <v>13</v>
      </c>
      <c r="R5623" t="s">
        <v>13</v>
      </c>
      <c r="S5623" t="s">
        <v>144</v>
      </c>
      <c r="T5623" s="2">
        <f>MASTER[[#This Row],[CANTIDAD]]*MASTER[[#This Row],[PRECIO DE VENTA]]</f>
        <v>1069</v>
      </c>
      <c r="U5623" s="2">
        <f>MASTER[[#This Row],[CANTIDAD]]*MASTER[[#This Row],[COSTO UNITARIO]]</f>
        <v>460</v>
      </c>
      <c r="V5623" s="2">
        <f>MASTER[[#This Row],[MONTO VENDIDO]]-MASTER[[#This Row],[COSTO DE VENTA]]</f>
        <v>609</v>
      </c>
    </row>
    <row r="5624" spans="1:22" x14ac:dyDescent="0.3">
      <c r="A5624">
        <v>79316</v>
      </c>
      <c r="B5624">
        <v>1</v>
      </c>
      <c r="C5624" t="s">
        <v>118</v>
      </c>
      <c r="D5624" t="s">
        <v>119</v>
      </c>
      <c r="E5624" s="1">
        <v>44441</v>
      </c>
      <c r="F5624">
        <v>1</v>
      </c>
      <c r="G5624" t="s">
        <v>53</v>
      </c>
      <c r="H5624" t="s">
        <v>54</v>
      </c>
      <c r="I5624" s="3">
        <v>900</v>
      </c>
      <c r="J5624" s="3">
        <v>900</v>
      </c>
      <c r="K5624" s="3">
        <v>424</v>
      </c>
      <c r="L5624" t="s">
        <v>120</v>
      </c>
      <c r="M5624">
        <v>14</v>
      </c>
      <c r="N5624" t="s">
        <v>87</v>
      </c>
      <c r="O5624" t="s">
        <v>81</v>
      </c>
      <c r="P5624" t="s">
        <v>18</v>
      </c>
      <c r="Q5624" t="s">
        <v>19</v>
      </c>
      <c r="R5624" t="s">
        <v>138</v>
      </c>
      <c r="S5624" t="s">
        <v>144</v>
      </c>
      <c r="T5624" s="2">
        <f>MASTER[[#This Row],[CANTIDAD]]*MASTER[[#This Row],[PRECIO DE VENTA]]</f>
        <v>900</v>
      </c>
      <c r="U5624" s="2">
        <f>MASTER[[#This Row],[CANTIDAD]]*MASTER[[#This Row],[COSTO UNITARIO]]</f>
        <v>424</v>
      </c>
      <c r="V5624" s="2">
        <f>MASTER[[#This Row],[MONTO VENDIDO]]-MASTER[[#This Row],[COSTO DE VENTA]]</f>
        <v>476</v>
      </c>
    </row>
    <row r="5625" spans="1:22" x14ac:dyDescent="0.3">
      <c r="A5625">
        <v>79319</v>
      </c>
      <c r="B5625">
        <v>1</v>
      </c>
      <c r="C5625" t="s">
        <v>99</v>
      </c>
      <c r="D5625" t="s">
        <v>100</v>
      </c>
      <c r="E5625" s="1">
        <v>44441</v>
      </c>
      <c r="F5625">
        <v>1</v>
      </c>
      <c r="G5625" t="s">
        <v>53</v>
      </c>
      <c r="H5625" t="s">
        <v>54</v>
      </c>
      <c r="I5625" s="3">
        <v>1459</v>
      </c>
      <c r="J5625" s="3">
        <v>1459</v>
      </c>
      <c r="K5625" s="3">
        <v>386</v>
      </c>
      <c r="L5625" t="s">
        <v>98</v>
      </c>
      <c r="M5625">
        <v>7</v>
      </c>
      <c r="N5625" t="s">
        <v>84</v>
      </c>
      <c r="O5625" t="s">
        <v>81</v>
      </c>
      <c r="P5625" t="s">
        <v>12</v>
      </c>
      <c r="Q5625" t="s">
        <v>13</v>
      </c>
      <c r="R5625" t="s">
        <v>13</v>
      </c>
      <c r="S5625" t="s">
        <v>144</v>
      </c>
      <c r="T5625" s="2">
        <f>MASTER[[#This Row],[CANTIDAD]]*MASTER[[#This Row],[PRECIO DE VENTA]]</f>
        <v>1459</v>
      </c>
      <c r="U5625" s="2">
        <f>MASTER[[#This Row],[CANTIDAD]]*MASTER[[#This Row],[COSTO UNITARIO]]</f>
        <v>386</v>
      </c>
      <c r="V5625" s="2">
        <f>MASTER[[#This Row],[MONTO VENDIDO]]-MASTER[[#This Row],[COSTO DE VENTA]]</f>
        <v>1073</v>
      </c>
    </row>
    <row r="5626" spans="1:22" x14ac:dyDescent="0.3">
      <c r="A5626">
        <v>79335</v>
      </c>
      <c r="B5626">
        <v>1</v>
      </c>
      <c r="C5626" t="s">
        <v>94</v>
      </c>
      <c r="D5626" t="s">
        <v>95</v>
      </c>
      <c r="E5626" s="1">
        <v>44441</v>
      </c>
      <c r="F5626">
        <v>4</v>
      </c>
      <c r="G5626" t="s">
        <v>51</v>
      </c>
      <c r="H5626" t="s">
        <v>52</v>
      </c>
      <c r="I5626" s="3">
        <v>1048</v>
      </c>
      <c r="J5626" s="3">
        <v>1048</v>
      </c>
      <c r="K5626" s="3">
        <v>392</v>
      </c>
      <c r="L5626" t="s">
        <v>9</v>
      </c>
      <c r="M5626">
        <v>19</v>
      </c>
      <c r="N5626" t="s">
        <v>89</v>
      </c>
      <c r="O5626" t="s">
        <v>81</v>
      </c>
      <c r="P5626" t="s">
        <v>15</v>
      </c>
      <c r="Q5626" t="s">
        <v>16</v>
      </c>
      <c r="R5626" t="s">
        <v>16</v>
      </c>
      <c r="S5626" t="s">
        <v>144</v>
      </c>
      <c r="T5626" s="2">
        <f>MASTER[[#This Row],[CANTIDAD]]*MASTER[[#This Row],[PRECIO DE VENTA]]</f>
        <v>4192</v>
      </c>
      <c r="U5626" s="2">
        <f>MASTER[[#This Row],[CANTIDAD]]*MASTER[[#This Row],[COSTO UNITARIO]]</f>
        <v>1568</v>
      </c>
      <c r="V5626" s="2">
        <f>MASTER[[#This Row],[MONTO VENDIDO]]-MASTER[[#This Row],[COSTO DE VENTA]]</f>
        <v>2624</v>
      </c>
    </row>
    <row r="5627" spans="1:22" x14ac:dyDescent="0.3">
      <c r="A5627">
        <v>79337</v>
      </c>
      <c r="B5627">
        <v>1</v>
      </c>
      <c r="C5627" t="s">
        <v>114</v>
      </c>
      <c r="D5627" t="s">
        <v>115</v>
      </c>
      <c r="E5627" s="1">
        <v>44441</v>
      </c>
      <c r="F5627">
        <v>1</v>
      </c>
      <c r="G5627" t="s">
        <v>55</v>
      </c>
      <c r="H5627" t="s">
        <v>56</v>
      </c>
      <c r="I5627" s="3">
        <v>1583</v>
      </c>
      <c r="J5627" s="3">
        <v>1583</v>
      </c>
      <c r="K5627" s="3">
        <v>394</v>
      </c>
      <c r="L5627" t="s">
        <v>113</v>
      </c>
      <c r="M5627">
        <v>12</v>
      </c>
      <c r="N5627" t="s">
        <v>26</v>
      </c>
      <c r="O5627" t="s">
        <v>11</v>
      </c>
      <c r="P5627" t="s">
        <v>12</v>
      </c>
      <c r="Q5627" t="s">
        <v>13</v>
      </c>
      <c r="R5627" t="s">
        <v>13</v>
      </c>
      <c r="S5627" t="s">
        <v>144</v>
      </c>
      <c r="T5627" s="2">
        <f>MASTER[[#This Row],[CANTIDAD]]*MASTER[[#This Row],[PRECIO DE VENTA]]</f>
        <v>1583</v>
      </c>
      <c r="U5627" s="2">
        <f>MASTER[[#This Row],[CANTIDAD]]*MASTER[[#This Row],[COSTO UNITARIO]]</f>
        <v>394</v>
      </c>
      <c r="V5627" s="2">
        <f>MASTER[[#This Row],[MONTO VENDIDO]]-MASTER[[#This Row],[COSTO DE VENTA]]</f>
        <v>1189</v>
      </c>
    </row>
    <row r="5628" spans="1:22" x14ac:dyDescent="0.3">
      <c r="A5628">
        <v>79361</v>
      </c>
      <c r="B5628">
        <v>1</v>
      </c>
      <c r="C5628" t="s">
        <v>116</v>
      </c>
      <c r="D5628" t="s">
        <v>117</v>
      </c>
      <c r="E5628" s="1">
        <v>44441</v>
      </c>
      <c r="F5628">
        <v>1</v>
      </c>
      <c r="G5628" t="s">
        <v>39</v>
      </c>
      <c r="H5628" t="s">
        <v>40</v>
      </c>
      <c r="I5628" s="3">
        <v>1529</v>
      </c>
      <c r="J5628" s="3">
        <v>1529</v>
      </c>
      <c r="K5628" s="3">
        <v>388</v>
      </c>
      <c r="L5628" t="s">
        <v>113</v>
      </c>
      <c r="M5628">
        <v>12</v>
      </c>
      <c r="N5628" t="s">
        <v>26</v>
      </c>
      <c r="O5628" t="s">
        <v>11</v>
      </c>
      <c r="P5628" t="s">
        <v>12</v>
      </c>
      <c r="Q5628" t="s">
        <v>13</v>
      </c>
      <c r="R5628" t="s">
        <v>13</v>
      </c>
      <c r="S5628" t="s">
        <v>144</v>
      </c>
      <c r="T5628" s="2">
        <f>MASTER[[#This Row],[CANTIDAD]]*MASTER[[#This Row],[PRECIO DE VENTA]]</f>
        <v>1529</v>
      </c>
      <c r="U5628" s="2">
        <f>MASTER[[#This Row],[CANTIDAD]]*MASTER[[#This Row],[COSTO UNITARIO]]</f>
        <v>388</v>
      </c>
      <c r="V5628" s="2">
        <f>MASTER[[#This Row],[MONTO VENDIDO]]-MASTER[[#This Row],[COSTO DE VENTA]]</f>
        <v>1141</v>
      </c>
    </row>
    <row r="5629" spans="1:22" x14ac:dyDescent="0.3">
      <c r="A5629">
        <v>79376</v>
      </c>
      <c r="B5629">
        <v>1</v>
      </c>
      <c r="C5629" t="s">
        <v>92</v>
      </c>
      <c r="D5629" t="s">
        <v>93</v>
      </c>
      <c r="E5629" s="1">
        <v>44441</v>
      </c>
      <c r="F5629">
        <v>1</v>
      </c>
      <c r="G5629" t="s">
        <v>29</v>
      </c>
      <c r="H5629" t="s">
        <v>30</v>
      </c>
      <c r="I5629" s="3">
        <v>1681</v>
      </c>
      <c r="J5629" s="3">
        <v>1681</v>
      </c>
      <c r="K5629" s="3">
        <v>396</v>
      </c>
      <c r="L5629" t="s">
        <v>9</v>
      </c>
      <c r="M5629">
        <v>19</v>
      </c>
      <c r="N5629" t="s">
        <v>89</v>
      </c>
      <c r="O5629" t="s">
        <v>81</v>
      </c>
      <c r="P5629" t="s">
        <v>15</v>
      </c>
      <c r="Q5629" t="s">
        <v>16</v>
      </c>
      <c r="R5629" t="s">
        <v>16</v>
      </c>
      <c r="S5629" t="s">
        <v>144</v>
      </c>
      <c r="T5629" s="2">
        <f>MASTER[[#This Row],[CANTIDAD]]*MASTER[[#This Row],[PRECIO DE VENTA]]</f>
        <v>1681</v>
      </c>
      <c r="U5629" s="2">
        <f>MASTER[[#This Row],[CANTIDAD]]*MASTER[[#This Row],[COSTO UNITARIO]]</f>
        <v>396</v>
      </c>
      <c r="V5629" s="2">
        <f>MASTER[[#This Row],[MONTO VENDIDO]]-MASTER[[#This Row],[COSTO DE VENTA]]</f>
        <v>1285</v>
      </c>
    </row>
    <row r="5630" spans="1:22" x14ac:dyDescent="0.3">
      <c r="A5630">
        <v>79377</v>
      </c>
      <c r="B5630">
        <v>1</v>
      </c>
      <c r="C5630" t="s">
        <v>111</v>
      </c>
      <c r="D5630" t="s">
        <v>112</v>
      </c>
      <c r="E5630" s="1">
        <v>44441</v>
      </c>
      <c r="F5630">
        <v>1</v>
      </c>
      <c r="G5630" t="s">
        <v>57</v>
      </c>
      <c r="H5630" t="s">
        <v>58</v>
      </c>
      <c r="I5630" s="3">
        <v>1621</v>
      </c>
      <c r="J5630" s="3">
        <v>1621</v>
      </c>
      <c r="K5630" s="3">
        <v>434</v>
      </c>
      <c r="L5630" t="s">
        <v>113</v>
      </c>
      <c r="M5630">
        <v>14</v>
      </c>
      <c r="N5630" t="s">
        <v>87</v>
      </c>
      <c r="O5630" t="s">
        <v>81</v>
      </c>
      <c r="P5630" t="s">
        <v>18</v>
      </c>
      <c r="Q5630" t="s">
        <v>19</v>
      </c>
      <c r="R5630" t="s">
        <v>138</v>
      </c>
      <c r="S5630" t="s">
        <v>144</v>
      </c>
      <c r="T5630" s="2">
        <f>MASTER[[#This Row],[CANTIDAD]]*MASTER[[#This Row],[PRECIO DE VENTA]]</f>
        <v>1621</v>
      </c>
      <c r="U5630" s="2">
        <f>MASTER[[#This Row],[CANTIDAD]]*MASTER[[#This Row],[COSTO UNITARIO]]</f>
        <v>434</v>
      </c>
      <c r="V5630" s="2">
        <f>MASTER[[#This Row],[MONTO VENDIDO]]-MASTER[[#This Row],[COSTO DE VENTA]]</f>
        <v>1187</v>
      </c>
    </row>
    <row r="5631" spans="1:22" x14ac:dyDescent="0.3">
      <c r="A5631">
        <v>79378</v>
      </c>
      <c r="B5631">
        <v>1</v>
      </c>
      <c r="C5631" t="s">
        <v>105</v>
      </c>
      <c r="D5631" t="s">
        <v>106</v>
      </c>
      <c r="E5631" s="1">
        <v>44441</v>
      </c>
      <c r="F5631">
        <v>1</v>
      </c>
      <c r="G5631" t="s">
        <v>43</v>
      </c>
      <c r="H5631" t="s">
        <v>44</v>
      </c>
      <c r="I5631" s="3">
        <v>2033</v>
      </c>
      <c r="J5631" s="3">
        <v>2033</v>
      </c>
      <c r="K5631" s="3">
        <v>459</v>
      </c>
      <c r="L5631" t="s">
        <v>98</v>
      </c>
      <c r="M5631">
        <v>13</v>
      </c>
      <c r="N5631" t="s">
        <v>78</v>
      </c>
      <c r="O5631" t="s">
        <v>70</v>
      </c>
      <c r="P5631" t="s">
        <v>18</v>
      </c>
      <c r="Q5631" t="s">
        <v>19</v>
      </c>
      <c r="R5631" t="s">
        <v>138</v>
      </c>
      <c r="S5631" t="s">
        <v>144</v>
      </c>
      <c r="T5631" s="2">
        <f>MASTER[[#This Row],[CANTIDAD]]*MASTER[[#This Row],[PRECIO DE VENTA]]</f>
        <v>2033</v>
      </c>
      <c r="U5631" s="2">
        <f>MASTER[[#This Row],[CANTIDAD]]*MASTER[[#This Row],[COSTO UNITARIO]]</f>
        <v>459</v>
      </c>
      <c r="V5631" s="2">
        <f>MASTER[[#This Row],[MONTO VENDIDO]]-MASTER[[#This Row],[COSTO DE VENTA]]</f>
        <v>1574</v>
      </c>
    </row>
    <row r="5632" spans="1:22" x14ac:dyDescent="0.3">
      <c r="A5632">
        <v>79380</v>
      </c>
      <c r="B5632">
        <v>1</v>
      </c>
      <c r="C5632" t="s">
        <v>101</v>
      </c>
      <c r="D5632" t="s">
        <v>102</v>
      </c>
      <c r="E5632" s="1">
        <v>44441</v>
      </c>
      <c r="F5632">
        <v>1</v>
      </c>
      <c r="G5632" t="s">
        <v>49</v>
      </c>
      <c r="H5632" t="s">
        <v>50</v>
      </c>
      <c r="I5632" s="3">
        <v>1212</v>
      </c>
      <c r="J5632" s="3">
        <v>1212</v>
      </c>
      <c r="K5632" s="3">
        <v>442</v>
      </c>
      <c r="L5632" t="s">
        <v>98</v>
      </c>
      <c r="M5632">
        <v>19</v>
      </c>
      <c r="N5632" t="s">
        <v>89</v>
      </c>
      <c r="O5632" t="s">
        <v>81</v>
      </c>
      <c r="P5632" t="s">
        <v>15</v>
      </c>
      <c r="Q5632" t="s">
        <v>16</v>
      </c>
      <c r="R5632" t="s">
        <v>16</v>
      </c>
      <c r="S5632" t="s">
        <v>144</v>
      </c>
      <c r="T5632" s="2">
        <f>MASTER[[#This Row],[CANTIDAD]]*MASTER[[#This Row],[PRECIO DE VENTA]]</f>
        <v>1212</v>
      </c>
      <c r="U5632" s="2">
        <f>MASTER[[#This Row],[CANTIDAD]]*MASTER[[#This Row],[COSTO UNITARIO]]</f>
        <v>442</v>
      </c>
      <c r="V5632" s="2">
        <f>MASTER[[#This Row],[MONTO VENDIDO]]-MASTER[[#This Row],[COSTO DE VENTA]]</f>
        <v>770</v>
      </c>
    </row>
    <row r="5633" spans="1:22" x14ac:dyDescent="0.3">
      <c r="A5633">
        <v>79381</v>
      </c>
      <c r="B5633">
        <v>1</v>
      </c>
      <c r="C5633" t="s">
        <v>109</v>
      </c>
      <c r="D5633" t="s">
        <v>110</v>
      </c>
      <c r="E5633" s="1">
        <v>44441</v>
      </c>
      <c r="F5633">
        <v>1</v>
      </c>
      <c r="G5633" t="s">
        <v>29</v>
      </c>
      <c r="H5633" t="s">
        <v>30</v>
      </c>
      <c r="I5633" s="3">
        <v>947</v>
      </c>
      <c r="J5633" s="3">
        <v>947</v>
      </c>
      <c r="K5633" s="3">
        <v>387</v>
      </c>
      <c r="L5633" t="s">
        <v>98</v>
      </c>
      <c r="M5633">
        <v>17</v>
      </c>
      <c r="N5633" t="s">
        <v>14</v>
      </c>
      <c r="O5633" t="s">
        <v>11</v>
      </c>
      <c r="P5633" t="s">
        <v>15</v>
      </c>
      <c r="Q5633" t="s">
        <v>16</v>
      </c>
      <c r="R5633" t="s">
        <v>16</v>
      </c>
      <c r="S5633" t="s">
        <v>144</v>
      </c>
      <c r="T5633" s="2">
        <f>MASTER[[#This Row],[CANTIDAD]]*MASTER[[#This Row],[PRECIO DE VENTA]]</f>
        <v>947</v>
      </c>
      <c r="U5633" s="2">
        <f>MASTER[[#This Row],[CANTIDAD]]*MASTER[[#This Row],[COSTO UNITARIO]]</f>
        <v>387</v>
      </c>
      <c r="V5633" s="2">
        <f>MASTER[[#This Row],[MONTO VENDIDO]]-MASTER[[#This Row],[COSTO DE VENTA]]</f>
        <v>560</v>
      </c>
    </row>
    <row r="5634" spans="1:22" x14ac:dyDescent="0.3">
      <c r="A5634">
        <v>79392</v>
      </c>
      <c r="B5634">
        <v>1</v>
      </c>
      <c r="C5634" t="s">
        <v>90</v>
      </c>
      <c r="D5634" t="s">
        <v>91</v>
      </c>
      <c r="E5634" s="1">
        <v>44441</v>
      </c>
      <c r="F5634">
        <v>1</v>
      </c>
      <c r="G5634" t="s">
        <v>53</v>
      </c>
      <c r="H5634" t="s">
        <v>54</v>
      </c>
      <c r="I5634" s="3">
        <v>1844</v>
      </c>
      <c r="J5634" s="3">
        <v>1714</v>
      </c>
      <c r="K5634" s="3">
        <v>420</v>
      </c>
      <c r="L5634" t="s">
        <v>9</v>
      </c>
      <c r="M5634">
        <v>8</v>
      </c>
      <c r="N5634" t="s">
        <v>80</v>
      </c>
      <c r="O5634" t="s">
        <v>81</v>
      </c>
      <c r="P5634" t="s">
        <v>12</v>
      </c>
      <c r="Q5634" t="s">
        <v>13</v>
      </c>
      <c r="R5634" t="s">
        <v>13</v>
      </c>
      <c r="S5634" t="s">
        <v>144</v>
      </c>
      <c r="T5634" s="2">
        <f>MASTER[[#This Row],[CANTIDAD]]*MASTER[[#This Row],[PRECIO DE VENTA]]</f>
        <v>1714</v>
      </c>
      <c r="U5634" s="2">
        <f>MASTER[[#This Row],[CANTIDAD]]*MASTER[[#This Row],[COSTO UNITARIO]]</f>
        <v>420</v>
      </c>
      <c r="V5634" s="2">
        <f>MASTER[[#This Row],[MONTO VENDIDO]]-MASTER[[#This Row],[COSTO DE VENTA]]</f>
        <v>1294</v>
      </c>
    </row>
    <row r="5635" spans="1:22" x14ac:dyDescent="0.3">
      <c r="A5635">
        <v>79397</v>
      </c>
      <c r="B5635">
        <v>1</v>
      </c>
      <c r="C5635" t="s">
        <v>5</v>
      </c>
      <c r="D5635" t="s">
        <v>6</v>
      </c>
      <c r="E5635" s="1">
        <v>44441</v>
      </c>
      <c r="F5635">
        <v>1</v>
      </c>
      <c r="G5635" t="s">
        <v>49</v>
      </c>
      <c r="H5635" t="s">
        <v>50</v>
      </c>
      <c r="I5635" s="3">
        <v>1296</v>
      </c>
      <c r="J5635" s="3">
        <v>1296</v>
      </c>
      <c r="K5635" s="3">
        <v>393</v>
      </c>
      <c r="L5635" t="s">
        <v>9</v>
      </c>
      <c r="M5635">
        <v>18</v>
      </c>
      <c r="N5635" t="s">
        <v>79</v>
      </c>
      <c r="O5635" t="s">
        <v>70</v>
      </c>
      <c r="P5635" t="s">
        <v>15</v>
      </c>
      <c r="Q5635" t="s">
        <v>16</v>
      </c>
      <c r="R5635" t="s">
        <v>16</v>
      </c>
      <c r="S5635" t="s">
        <v>144</v>
      </c>
      <c r="T5635" s="2">
        <f>MASTER[[#This Row],[CANTIDAD]]*MASTER[[#This Row],[PRECIO DE VENTA]]</f>
        <v>1296</v>
      </c>
      <c r="U5635" s="2">
        <f>MASTER[[#This Row],[CANTIDAD]]*MASTER[[#This Row],[COSTO UNITARIO]]</f>
        <v>393</v>
      </c>
      <c r="V5635" s="2">
        <f>MASTER[[#This Row],[MONTO VENDIDO]]-MASTER[[#This Row],[COSTO DE VENTA]]</f>
        <v>903</v>
      </c>
    </row>
    <row r="5636" spans="1:22" x14ac:dyDescent="0.3">
      <c r="A5636">
        <v>79415</v>
      </c>
      <c r="B5636">
        <v>1</v>
      </c>
      <c r="C5636" t="s">
        <v>118</v>
      </c>
      <c r="D5636" t="s">
        <v>119</v>
      </c>
      <c r="E5636" s="1">
        <v>44441</v>
      </c>
      <c r="F5636">
        <v>4</v>
      </c>
      <c r="G5636" t="s">
        <v>31</v>
      </c>
      <c r="H5636" t="s">
        <v>32</v>
      </c>
      <c r="I5636" s="3">
        <v>1026</v>
      </c>
      <c r="J5636" s="3">
        <v>1026</v>
      </c>
      <c r="K5636" s="3">
        <v>424</v>
      </c>
      <c r="L5636" t="s">
        <v>120</v>
      </c>
      <c r="M5636">
        <v>1</v>
      </c>
      <c r="N5636" t="s">
        <v>77</v>
      </c>
      <c r="O5636" t="s">
        <v>70</v>
      </c>
      <c r="P5636" t="s">
        <v>71</v>
      </c>
      <c r="Q5636" t="s">
        <v>72</v>
      </c>
      <c r="R5636" t="s">
        <v>139</v>
      </c>
      <c r="S5636" t="s">
        <v>144</v>
      </c>
      <c r="T5636" s="2">
        <f>MASTER[[#This Row],[CANTIDAD]]*MASTER[[#This Row],[PRECIO DE VENTA]]</f>
        <v>4104</v>
      </c>
      <c r="U5636" s="2">
        <f>MASTER[[#This Row],[CANTIDAD]]*MASTER[[#This Row],[COSTO UNITARIO]]</f>
        <v>1696</v>
      </c>
      <c r="V5636" s="2">
        <f>MASTER[[#This Row],[MONTO VENDIDO]]-MASTER[[#This Row],[COSTO DE VENTA]]</f>
        <v>2408</v>
      </c>
    </row>
    <row r="5637" spans="1:22" x14ac:dyDescent="0.3">
      <c r="A5637">
        <v>79450</v>
      </c>
      <c r="B5637">
        <v>1</v>
      </c>
      <c r="C5637" t="s">
        <v>121</v>
      </c>
      <c r="D5637" t="s">
        <v>122</v>
      </c>
      <c r="E5637" s="1">
        <v>44441</v>
      </c>
      <c r="F5637">
        <v>1</v>
      </c>
      <c r="G5637" t="s">
        <v>55</v>
      </c>
      <c r="H5637" t="s">
        <v>56</v>
      </c>
      <c r="I5637" s="3">
        <v>1069</v>
      </c>
      <c r="J5637" s="3">
        <v>1069</v>
      </c>
      <c r="K5637" s="3">
        <v>460</v>
      </c>
      <c r="L5637" t="s">
        <v>120</v>
      </c>
      <c r="M5637">
        <v>14</v>
      </c>
      <c r="N5637" t="s">
        <v>87</v>
      </c>
      <c r="O5637" t="s">
        <v>81</v>
      </c>
      <c r="P5637" t="s">
        <v>18</v>
      </c>
      <c r="Q5637" t="s">
        <v>19</v>
      </c>
      <c r="R5637" t="s">
        <v>138</v>
      </c>
      <c r="S5637" t="s">
        <v>144</v>
      </c>
      <c r="T5637" s="2">
        <f>MASTER[[#This Row],[CANTIDAD]]*MASTER[[#This Row],[PRECIO DE VENTA]]</f>
        <v>1069</v>
      </c>
      <c r="U5637" s="2">
        <f>MASTER[[#This Row],[CANTIDAD]]*MASTER[[#This Row],[COSTO UNITARIO]]</f>
        <v>460</v>
      </c>
      <c r="V5637" s="2">
        <f>MASTER[[#This Row],[MONTO VENDIDO]]-MASTER[[#This Row],[COSTO DE VENTA]]</f>
        <v>609</v>
      </c>
    </row>
    <row r="5638" spans="1:22" x14ac:dyDescent="0.3">
      <c r="A5638">
        <v>79453</v>
      </c>
      <c r="B5638">
        <v>1</v>
      </c>
      <c r="C5638" t="s">
        <v>90</v>
      </c>
      <c r="D5638" t="s">
        <v>91</v>
      </c>
      <c r="E5638" s="1">
        <v>44441</v>
      </c>
      <c r="F5638">
        <v>1</v>
      </c>
      <c r="G5638" t="s">
        <v>51</v>
      </c>
      <c r="H5638" t="s">
        <v>52</v>
      </c>
      <c r="I5638" s="3">
        <v>1844</v>
      </c>
      <c r="J5638" s="3">
        <v>1844</v>
      </c>
      <c r="K5638" s="3">
        <v>420</v>
      </c>
      <c r="L5638" t="s">
        <v>9</v>
      </c>
      <c r="M5638">
        <v>2</v>
      </c>
      <c r="N5638" t="s">
        <v>86</v>
      </c>
      <c r="O5638" t="s">
        <v>81</v>
      </c>
      <c r="P5638" t="s">
        <v>71</v>
      </c>
      <c r="Q5638" t="s">
        <v>72</v>
      </c>
      <c r="R5638" t="s">
        <v>139</v>
      </c>
      <c r="S5638" t="s">
        <v>144</v>
      </c>
      <c r="T5638" s="2">
        <f>MASTER[[#This Row],[CANTIDAD]]*MASTER[[#This Row],[PRECIO DE VENTA]]</f>
        <v>1844</v>
      </c>
      <c r="U5638" s="2">
        <f>MASTER[[#This Row],[CANTIDAD]]*MASTER[[#This Row],[COSTO UNITARIO]]</f>
        <v>420</v>
      </c>
      <c r="V5638" s="2">
        <f>MASTER[[#This Row],[MONTO VENDIDO]]-MASTER[[#This Row],[COSTO DE VENTA]]</f>
        <v>1424</v>
      </c>
    </row>
    <row r="5639" spans="1:22" x14ac:dyDescent="0.3">
      <c r="A5639">
        <v>79460</v>
      </c>
      <c r="B5639">
        <v>1</v>
      </c>
      <c r="C5639" t="s">
        <v>107</v>
      </c>
      <c r="D5639" t="s">
        <v>108</v>
      </c>
      <c r="E5639" s="1">
        <v>44441</v>
      </c>
      <c r="F5639">
        <v>1</v>
      </c>
      <c r="G5639" t="s">
        <v>39</v>
      </c>
      <c r="H5639" t="s">
        <v>40</v>
      </c>
      <c r="I5639" s="3">
        <v>1240</v>
      </c>
      <c r="J5639" s="3">
        <v>1240</v>
      </c>
      <c r="K5639" s="3">
        <v>380</v>
      </c>
      <c r="L5639" t="s">
        <v>98</v>
      </c>
      <c r="M5639">
        <v>16</v>
      </c>
      <c r="N5639" t="s">
        <v>17</v>
      </c>
      <c r="O5639" t="s">
        <v>11</v>
      </c>
      <c r="P5639" t="s">
        <v>18</v>
      </c>
      <c r="Q5639" t="s">
        <v>19</v>
      </c>
      <c r="R5639" t="s">
        <v>138</v>
      </c>
      <c r="S5639" t="s">
        <v>144</v>
      </c>
      <c r="T5639" s="2">
        <f>MASTER[[#This Row],[CANTIDAD]]*MASTER[[#This Row],[PRECIO DE VENTA]]</f>
        <v>1240</v>
      </c>
      <c r="U5639" s="2">
        <f>MASTER[[#This Row],[CANTIDAD]]*MASTER[[#This Row],[COSTO UNITARIO]]</f>
        <v>380</v>
      </c>
      <c r="V5639" s="2">
        <f>MASTER[[#This Row],[MONTO VENDIDO]]-MASTER[[#This Row],[COSTO DE VENTA]]</f>
        <v>860</v>
      </c>
    </row>
    <row r="5640" spans="1:22" x14ac:dyDescent="0.3">
      <c r="A5640">
        <v>79462</v>
      </c>
      <c r="B5640">
        <v>1</v>
      </c>
      <c r="C5640" t="s">
        <v>96</v>
      </c>
      <c r="D5640" t="s">
        <v>97</v>
      </c>
      <c r="E5640" s="1">
        <v>44441</v>
      </c>
      <c r="F5640">
        <v>1</v>
      </c>
      <c r="G5640" t="s">
        <v>61</v>
      </c>
      <c r="H5640" t="s">
        <v>62</v>
      </c>
      <c r="I5640" s="3">
        <v>1361</v>
      </c>
      <c r="J5640" s="3">
        <v>1361</v>
      </c>
      <c r="K5640" s="3">
        <v>397</v>
      </c>
      <c r="L5640" t="s">
        <v>98</v>
      </c>
      <c r="M5640">
        <v>9</v>
      </c>
      <c r="N5640" t="s">
        <v>76</v>
      </c>
      <c r="O5640" t="s">
        <v>70</v>
      </c>
      <c r="P5640" t="s">
        <v>12</v>
      </c>
      <c r="Q5640" t="s">
        <v>13</v>
      </c>
      <c r="R5640" t="s">
        <v>13</v>
      </c>
      <c r="S5640" t="s">
        <v>144</v>
      </c>
      <c r="T5640" s="2">
        <f>MASTER[[#This Row],[CANTIDAD]]*MASTER[[#This Row],[PRECIO DE VENTA]]</f>
        <v>1361</v>
      </c>
      <c r="U5640" s="2">
        <f>MASTER[[#This Row],[CANTIDAD]]*MASTER[[#This Row],[COSTO UNITARIO]]</f>
        <v>397</v>
      </c>
      <c r="V5640" s="2">
        <f>MASTER[[#This Row],[MONTO VENDIDO]]-MASTER[[#This Row],[COSTO DE VENTA]]</f>
        <v>964</v>
      </c>
    </row>
    <row r="5641" spans="1:22" x14ac:dyDescent="0.3">
      <c r="A5641">
        <v>79474</v>
      </c>
      <c r="B5641">
        <v>1</v>
      </c>
      <c r="C5641" t="s">
        <v>5</v>
      </c>
      <c r="D5641" t="s">
        <v>6</v>
      </c>
      <c r="E5641" s="1">
        <v>44442</v>
      </c>
      <c r="F5641">
        <v>1</v>
      </c>
      <c r="G5641" t="s">
        <v>41</v>
      </c>
      <c r="H5641" t="s">
        <v>42</v>
      </c>
      <c r="I5641" s="3">
        <v>1507</v>
      </c>
      <c r="J5641" s="3">
        <v>1507</v>
      </c>
      <c r="K5641" s="3">
        <v>393</v>
      </c>
      <c r="L5641" t="s">
        <v>9</v>
      </c>
      <c r="M5641">
        <v>10</v>
      </c>
      <c r="N5641" t="s">
        <v>83</v>
      </c>
      <c r="O5641" t="s">
        <v>81</v>
      </c>
      <c r="P5641" t="s">
        <v>12</v>
      </c>
      <c r="Q5641" t="s">
        <v>13</v>
      </c>
      <c r="R5641" t="s">
        <v>13</v>
      </c>
      <c r="S5641" t="s">
        <v>144</v>
      </c>
      <c r="T5641" s="2">
        <f>MASTER[[#This Row],[CANTIDAD]]*MASTER[[#This Row],[PRECIO DE VENTA]]</f>
        <v>1507</v>
      </c>
      <c r="U5641" s="2">
        <f>MASTER[[#This Row],[CANTIDAD]]*MASTER[[#This Row],[COSTO UNITARIO]]</f>
        <v>393</v>
      </c>
      <c r="V5641" s="2">
        <f>MASTER[[#This Row],[MONTO VENDIDO]]-MASTER[[#This Row],[COSTO DE VENTA]]</f>
        <v>1114</v>
      </c>
    </row>
    <row r="5642" spans="1:22" x14ac:dyDescent="0.3">
      <c r="A5642">
        <v>79498</v>
      </c>
      <c r="B5642">
        <v>1</v>
      </c>
      <c r="C5642" t="s">
        <v>107</v>
      </c>
      <c r="D5642" t="s">
        <v>108</v>
      </c>
      <c r="E5642" s="1">
        <v>44442</v>
      </c>
      <c r="F5642">
        <v>1</v>
      </c>
      <c r="G5642" t="s">
        <v>33</v>
      </c>
      <c r="H5642" t="s">
        <v>34</v>
      </c>
      <c r="I5642" s="3">
        <v>1440</v>
      </c>
      <c r="J5642" s="3">
        <v>1440</v>
      </c>
      <c r="K5642" s="3">
        <v>380</v>
      </c>
      <c r="L5642" t="s">
        <v>98</v>
      </c>
      <c r="M5642">
        <v>18</v>
      </c>
      <c r="N5642" t="s">
        <v>79</v>
      </c>
      <c r="O5642" t="s">
        <v>70</v>
      </c>
      <c r="P5642" t="s">
        <v>15</v>
      </c>
      <c r="Q5642" t="s">
        <v>16</v>
      </c>
      <c r="R5642" t="s">
        <v>16</v>
      </c>
      <c r="S5642" t="s">
        <v>144</v>
      </c>
      <c r="T5642" s="2">
        <f>MASTER[[#This Row],[CANTIDAD]]*MASTER[[#This Row],[PRECIO DE VENTA]]</f>
        <v>1440</v>
      </c>
      <c r="U5642" s="2">
        <f>MASTER[[#This Row],[CANTIDAD]]*MASTER[[#This Row],[COSTO UNITARIO]]</f>
        <v>380</v>
      </c>
      <c r="V5642" s="2">
        <f>MASTER[[#This Row],[MONTO VENDIDO]]-MASTER[[#This Row],[COSTO DE VENTA]]</f>
        <v>1060</v>
      </c>
    </row>
    <row r="5643" spans="1:22" x14ac:dyDescent="0.3">
      <c r="A5643">
        <v>79528</v>
      </c>
      <c r="B5643">
        <v>1</v>
      </c>
      <c r="C5643" t="s">
        <v>107</v>
      </c>
      <c r="D5643" t="s">
        <v>108</v>
      </c>
      <c r="E5643" s="1">
        <v>44442</v>
      </c>
      <c r="F5643">
        <v>1</v>
      </c>
      <c r="G5643" t="s">
        <v>57</v>
      </c>
      <c r="H5643" t="s">
        <v>58</v>
      </c>
      <c r="I5643" s="3">
        <v>1240</v>
      </c>
      <c r="J5643" s="3">
        <v>1240</v>
      </c>
      <c r="K5643" s="3">
        <v>380</v>
      </c>
      <c r="L5643" t="s">
        <v>98</v>
      </c>
      <c r="M5643">
        <v>11</v>
      </c>
      <c r="N5643" t="s">
        <v>10</v>
      </c>
      <c r="O5643" t="s">
        <v>11</v>
      </c>
      <c r="P5643" t="s">
        <v>12</v>
      </c>
      <c r="Q5643" t="s">
        <v>13</v>
      </c>
      <c r="R5643" t="s">
        <v>13</v>
      </c>
      <c r="S5643" t="s">
        <v>144</v>
      </c>
      <c r="T5643" s="2">
        <f>MASTER[[#This Row],[CANTIDAD]]*MASTER[[#This Row],[PRECIO DE VENTA]]</f>
        <v>1240</v>
      </c>
      <c r="U5643" s="2">
        <f>MASTER[[#This Row],[CANTIDAD]]*MASTER[[#This Row],[COSTO UNITARIO]]</f>
        <v>380</v>
      </c>
      <c r="V5643" s="2">
        <f>MASTER[[#This Row],[MONTO VENDIDO]]-MASTER[[#This Row],[COSTO DE VENTA]]</f>
        <v>860</v>
      </c>
    </row>
    <row r="5644" spans="1:22" x14ac:dyDescent="0.3">
      <c r="A5644">
        <v>79565</v>
      </c>
      <c r="B5644">
        <v>1</v>
      </c>
      <c r="C5644" t="s">
        <v>92</v>
      </c>
      <c r="D5644" t="s">
        <v>93</v>
      </c>
      <c r="E5644" s="1">
        <v>44442</v>
      </c>
      <c r="F5644">
        <v>1</v>
      </c>
      <c r="G5644" t="s">
        <v>61</v>
      </c>
      <c r="H5644" t="s">
        <v>62</v>
      </c>
      <c r="I5644" s="3">
        <v>1479</v>
      </c>
      <c r="J5644" s="3">
        <v>1479</v>
      </c>
      <c r="K5644" s="3">
        <v>396</v>
      </c>
      <c r="L5644" t="s">
        <v>9</v>
      </c>
      <c r="M5644">
        <v>17</v>
      </c>
      <c r="N5644" t="s">
        <v>14</v>
      </c>
      <c r="O5644" t="s">
        <v>11</v>
      </c>
      <c r="P5644" t="s">
        <v>15</v>
      </c>
      <c r="Q5644" t="s">
        <v>16</v>
      </c>
      <c r="R5644" t="s">
        <v>16</v>
      </c>
      <c r="S5644" t="s">
        <v>144</v>
      </c>
      <c r="T5644" s="2">
        <f>MASTER[[#This Row],[CANTIDAD]]*MASTER[[#This Row],[PRECIO DE VENTA]]</f>
        <v>1479</v>
      </c>
      <c r="U5644" s="2">
        <f>MASTER[[#This Row],[CANTIDAD]]*MASTER[[#This Row],[COSTO UNITARIO]]</f>
        <v>396</v>
      </c>
      <c r="V5644" s="2">
        <f>MASTER[[#This Row],[MONTO VENDIDO]]-MASTER[[#This Row],[COSTO DE VENTA]]</f>
        <v>1083</v>
      </c>
    </row>
    <row r="5645" spans="1:22" x14ac:dyDescent="0.3">
      <c r="A5645">
        <v>79570</v>
      </c>
      <c r="B5645">
        <v>1</v>
      </c>
      <c r="C5645" t="s">
        <v>111</v>
      </c>
      <c r="D5645" t="s">
        <v>112</v>
      </c>
      <c r="E5645" s="1">
        <v>44443</v>
      </c>
      <c r="F5645">
        <v>1</v>
      </c>
      <c r="G5645" t="s">
        <v>47</v>
      </c>
      <c r="H5645" t="s">
        <v>48</v>
      </c>
      <c r="I5645" s="3">
        <v>1524</v>
      </c>
      <c r="J5645" s="3">
        <v>1524</v>
      </c>
      <c r="K5645" s="3">
        <v>434</v>
      </c>
      <c r="L5645" t="s">
        <v>113</v>
      </c>
      <c r="M5645">
        <v>12</v>
      </c>
      <c r="N5645" t="s">
        <v>26</v>
      </c>
      <c r="O5645" t="s">
        <v>11</v>
      </c>
      <c r="P5645" t="s">
        <v>12</v>
      </c>
      <c r="Q5645" t="s">
        <v>13</v>
      </c>
      <c r="R5645" t="s">
        <v>13</v>
      </c>
      <c r="S5645" t="s">
        <v>144</v>
      </c>
      <c r="T5645" s="2">
        <f>MASTER[[#This Row],[CANTIDAD]]*MASTER[[#This Row],[PRECIO DE VENTA]]</f>
        <v>1524</v>
      </c>
      <c r="U5645" s="2">
        <f>MASTER[[#This Row],[CANTIDAD]]*MASTER[[#This Row],[COSTO UNITARIO]]</f>
        <v>434</v>
      </c>
      <c r="V5645" s="2">
        <f>MASTER[[#This Row],[MONTO VENDIDO]]-MASTER[[#This Row],[COSTO DE VENTA]]</f>
        <v>1090</v>
      </c>
    </row>
    <row r="5646" spans="1:22" x14ac:dyDescent="0.3">
      <c r="A5646">
        <v>79572</v>
      </c>
      <c r="B5646">
        <v>1</v>
      </c>
      <c r="C5646" t="s">
        <v>94</v>
      </c>
      <c r="D5646" t="s">
        <v>95</v>
      </c>
      <c r="E5646" s="1">
        <v>44443</v>
      </c>
      <c r="F5646">
        <v>1</v>
      </c>
      <c r="G5646" t="s">
        <v>47</v>
      </c>
      <c r="H5646" t="s">
        <v>48</v>
      </c>
      <c r="I5646" s="3">
        <v>1153</v>
      </c>
      <c r="J5646" s="3">
        <v>1153</v>
      </c>
      <c r="K5646" s="3">
        <v>392</v>
      </c>
      <c r="L5646" t="s">
        <v>9</v>
      </c>
      <c r="M5646">
        <v>18</v>
      </c>
      <c r="N5646" t="s">
        <v>79</v>
      </c>
      <c r="O5646" t="s">
        <v>70</v>
      </c>
      <c r="P5646" t="s">
        <v>15</v>
      </c>
      <c r="Q5646" t="s">
        <v>16</v>
      </c>
      <c r="R5646" t="s">
        <v>16</v>
      </c>
      <c r="S5646" t="s">
        <v>144</v>
      </c>
      <c r="T5646" s="2">
        <f>MASTER[[#This Row],[CANTIDAD]]*MASTER[[#This Row],[PRECIO DE VENTA]]</f>
        <v>1153</v>
      </c>
      <c r="U5646" s="2">
        <f>MASTER[[#This Row],[CANTIDAD]]*MASTER[[#This Row],[COSTO UNITARIO]]</f>
        <v>392</v>
      </c>
      <c r="V5646" s="2">
        <f>MASTER[[#This Row],[MONTO VENDIDO]]-MASTER[[#This Row],[COSTO DE VENTA]]</f>
        <v>761</v>
      </c>
    </row>
    <row r="5647" spans="1:22" x14ac:dyDescent="0.3">
      <c r="A5647">
        <v>79579</v>
      </c>
      <c r="B5647">
        <v>1</v>
      </c>
      <c r="C5647" t="s">
        <v>121</v>
      </c>
      <c r="D5647" t="s">
        <v>122</v>
      </c>
      <c r="E5647" s="1">
        <v>44443</v>
      </c>
      <c r="F5647">
        <v>1</v>
      </c>
      <c r="G5647" t="s">
        <v>31</v>
      </c>
      <c r="H5647" t="s">
        <v>32</v>
      </c>
      <c r="I5647" s="3">
        <v>1144</v>
      </c>
      <c r="J5647" s="3">
        <v>1144</v>
      </c>
      <c r="K5647" s="3">
        <v>460</v>
      </c>
      <c r="L5647" t="s">
        <v>120</v>
      </c>
      <c r="M5647">
        <v>3</v>
      </c>
      <c r="N5647" t="s">
        <v>69</v>
      </c>
      <c r="O5647" t="s">
        <v>70</v>
      </c>
      <c r="P5647" t="s">
        <v>71</v>
      </c>
      <c r="Q5647" t="s">
        <v>72</v>
      </c>
      <c r="R5647" t="s">
        <v>139</v>
      </c>
      <c r="S5647" t="s">
        <v>144</v>
      </c>
      <c r="T5647" s="2">
        <f>MASTER[[#This Row],[CANTIDAD]]*MASTER[[#This Row],[PRECIO DE VENTA]]</f>
        <v>1144</v>
      </c>
      <c r="U5647" s="2">
        <f>MASTER[[#This Row],[CANTIDAD]]*MASTER[[#This Row],[COSTO UNITARIO]]</f>
        <v>460</v>
      </c>
      <c r="V5647" s="2">
        <f>MASTER[[#This Row],[MONTO VENDIDO]]-MASTER[[#This Row],[COSTO DE VENTA]]</f>
        <v>684</v>
      </c>
    </row>
    <row r="5648" spans="1:22" x14ac:dyDescent="0.3">
      <c r="A5648">
        <v>79587</v>
      </c>
      <c r="B5648">
        <v>1</v>
      </c>
      <c r="C5648" t="s">
        <v>111</v>
      </c>
      <c r="D5648" t="s">
        <v>112</v>
      </c>
      <c r="E5648" s="1">
        <v>44443</v>
      </c>
      <c r="F5648">
        <v>1</v>
      </c>
      <c r="G5648" t="s">
        <v>27</v>
      </c>
      <c r="H5648" t="s">
        <v>28</v>
      </c>
      <c r="I5648" s="3">
        <v>1621</v>
      </c>
      <c r="J5648" s="3">
        <v>1621</v>
      </c>
      <c r="K5648" s="3">
        <v>434</v>
      </c>
      <c r="L5648" t="s">
        <v>113</v>
      </c>
      <c r="M5648">
        <v>8</v>
      </c>
      <c r="N5648" t="s">
        <v>80</v>
      </c>
      <c r="O5648" t="s">
        <v>81</v>
      </c>
      <c r="P5648" t="s">
        <v>12</v>
      </c>
      <c r="Q5648" t="s">
        <v>13</v>
      </c>
      <c r="R5648" t="s">
        <v>13</v>
      </c>
      <c r="S5648" t="s">
        <v>144</v>
      </c>
      <c r="T5648" s="2">
        <f>MASTER[[#This Row],[CANTIDAD]]*MASTER[[#This Row],[PRECIO DE VENTA]]</f>
        <v>1621</v>
      </c>
      <c r="U5648" s="2">
        <f>MASTER[[#This Row],[CANTIDAD]]*MASTER[[#This Row],[COSTO UNITARIO]]</f>
        <v>434</v>
      </c>
      <c r="V5648" s="2">
        <f>MASTER[[#This Row],[MONTO VENDIDO]]-MASTER[[#This Row],[COSTO DE VENTA]]</f>
        <v>1187</v>
      </c>
    </row>
    <row r="5649" spans="1:22" x14ac:dyDescent="0.3">
      <c r="A5649">
        <v>79595</v>
      </c>
      <c r="B5649">
        <v>1</v>
      </c>
      <c r="C5649" t="s">
        <v>94</v>
      </c>
      <c r="D5649" t="s">
        <v>95</v>
      </c>
      <c r="E5649" s="1">
        <v>44443</v>
      </c>
      <c r="F5649">
        <v>1</v>
      </c>
      <c r="G5649" t="s">
        <v>65</v>
      </c>
      <c r="H5649" t="s">
        <v>66</v>
      </c>
      <c r="I5649" s="3">
        <v>1153</v>
      </c>
      <c r="J5649" s="3">
        <v>1153</v>
      </c>
      <c r="K5649" s="3">
        <v>392</v>
      </c>
      <c r="L5649" t="s">
        <v>9</v>
      </c>
      <c r="M5649">
        <v>3</v>
      </c>
      <c r="N5649" t="s">
        <v>69</v>
      </c>
      <c r="O5649" t="s">
        <v>70</v>
      </c>
      <c r="P5649" t="s">
        <v>71</v>
      </c>
      <c r="Q5649" t="s">
        <v>72</v>
      </c>
      <c r="R5649" t="s">
        <v>139</v>
      </c>
      <c r="S5649" t="s">
        <v>144</v>
      </c>
      <c r="T5649" s="2">
        <f>MASTER[[#This Row],[CANTIDAD]]*MASTER[[#This Row],[PRECIO DE VENTA]]</f>
        <v>1153</v>
      </c>
      <c r="U5649" s="2">
        <f>MASTER[[#This Row],[CANTIDAD]]*MASTER[[#This Row],[COSTO UNITARIO]]</f>
        <v>392</v>
      </c>
      <c r="V5649" s="2">
        <f>MASTER[[#This Row],[MONTO VENDIDO]]-MASTER[[#This Row],[COSTO DE VENTA]]</f>
        <v>761</v>
      </c>
    </row>
    <row r="5650" spans="1:22" x14ac:dyDescent="0.3">
      <c r="A5650">
        <v>79626</v>
      </c>
      <c r="B5650">
        <v>1</v>
      </c>
      <c r="C5650" t="s">
        <v>111</v>
      </c>
      <c r="D5650" t="s">
        <v>112</v>
      </c>
      <c r="E5650" s="1">
        <v>44443</v>
      </c>
      <c r="F5650">
        <v>4</v>
      </c>
      <c r="G5650" t="s">
        <v>37</v>
      </c>
      <c r="H5650" t="s">
        <v>38</v>
      </c>
      <c r="I5650" s="3">
        <v>1621</v>
      </c>
      <c r="J5650" s="3">
        <v>1621</v>
      </c>
      <c r="K5650" s="3">
        <v>434</v>
      </c>
      <c r="L5650" t="s">
        <v>113</v>
      </c>
      <c r="M5650">
        <v>4</v>
      </c>
      <c r="N5650" t="s">
        <v>82</v>
      </c>
      <c r="O5650" t="s">
        <v>81</v>
      </c>
      <c r="P5650" t="s">
        <v>71</v>
      </c>
      <c r="Q5650" t="s">
        <v>72</v>
      </c>
      <c r="R5650" t="s">
        <v>139</v>
      </c>
      <c r="S5650" t="s">
        <v>144</v>
      </c>
      <c r="T5650" s="2">
        <f>MASTER[[#This Row],[CANTIDAD]]*MASTER[[#This Row],[PRECIO DE VENTA]]</f>
        <v>6484</v>
      </c>
      <c r="U5650" s="2">
        <f>MASTER[[#This Row],[CANTIDAD]]*MASTER[[#This Row],[COSTO UNITARIO]]</f>
        <v>1736</v>
      </c>
      <c r="V5650" s="2">
        <f>MASTER[[#This Row],[MONTO VENDIDO]]-MASTER[[#This Row],[COSTO DE VENTA]]</f>
        <v>4748</v>
      </c>
    </row>
    <row r="5651" spans="1:22" x14ac:dyDescent="0.3">
      <c r="A5651">
        <v>79633</v>
      </c>
      <c r="B5651">
        <v>1</v>
      </c>
      <c r="C5651" t="s">
        <v>90</v>
      </c>
      <c r="D5651" t="s">
        <v>91</v>
      </c>
      <c r="E5651" s="1">
        <v>44443</v>
      </c>
      <c r="F5651">
        <v>1</v>
      </c>
      <c r="G5651" t="s">
        <v>59</v>
      </c>
      <c r="H5651" t="s">
        <v>60</v>
      </c>
      <c r="I5651" s="3">
        <v>2102</v>
      </c>
      <c r="J5651" s="3">
        <v>2102</v>
      </c>
      <c r="K5651" s="3">
        <v>420</v>
      </c>
      <c r="L5651" t="s">
        <v>9</v>
      </c>
      <c r="M5651">
        <v>9</v>
      </c>
      <c r="N5651" t="s">
        <v>76</v>
      </c>
      <c r="O5651" t="s">
        <v>70</v>
      </c>
      <c r="P5651" t="s">
        <v>12</v>
      </c>
      <c r="Q5651" t="s">
        <v>13</v>
      </c>
      <c r="R5651" t="s">
        <v>13</v>
      </c>
      <c r="S5651" t="s">
        <v>144</v>
      </c>
      <c r="T5651" s="2">
        <f>MASTER[[#This Row],[CANTIDAD]]*MASTER[[#This Row],[PRECIO DE VENTA]]</f>
        <v>2102</v>
      </c>
      <c r="U5651" s="2">
        <f>MASTER[[#This Row],[CANTIDAD]]*MASTER[[#This Row],[COSTO UNITARIO]]</f>
        <v>420</v>
      </c>
      <c r="V5651" s="2">
        <f>MASTER[[#This Row],[MONTO VENDIDO]]-MASTER[[#This Row],[COSTO DE VENTA]]</f>
        <v>1682</v>
      </c>
    </row>
    <row r="5652" spans="1:22" x14ac:dyDescent="0.3">
      <c r="A5652">
        <v>79636</v>
      </c>
      <c r="B5652">
        <v>1</v>
      </c>
      <c r="C5652" t="s">
        <v>96</v>
      </c>
      <c r="D5652" t="s">
        <v>97</v>
      </c>
      <c r="E5652" s="1">
        <v>44443</v>
      </c>
      <c r="F5652">
        <v>1</v>
      </c>
      <c r="G5652" t="s">
        <v>27</v>
      </c>
      <c r="H5652" t="s">
        <v>28</v>
      </c>
      <c r="I5652" s="3">
        <v>1361</v>
      </c>
      <c r="J5652" s="3">
        <v>1361</v>
      </c>
      <c r="K5652" s="3">
        <v>397</v>
      </c>
      <c r="L5652" t="s">
        <v>98</v>
      </c>
      <c r="M5652">
        <v>9</v>
      </c>
      <c r="N5652" t="s">
        <v>76</v>
      </c>
      <c r="O5652" t="s">
        <v>70</v>
      </c>
      <c r="P5652" t="s">
        <v>12</v>
      </c>
      <c r="Q5652" t="s">
        <v>13</v>
      </c>
      <c r="R5652" t="s">
        <v>13</v>
      </c>
      <c r="S5652" t="s">
        <v>144</v>
      </c>
      <c r="T5652" s="2">
        <f>MASTER[[#This Row],[CANTIDAD]]*MASTER[[#This Row],[PRECIO DE VENTA]]</f>
        <v>1361</v>
      </c>
      <c r="U5652" s="2">
        <f>MASTER[[#This Row],[CANTIDAD]]*MASTER[[#This Row],[COSTO UNITARIO]]</f>
        <v>397</v>
      </c>
      <c r="V5652" s="2">
        <f>MASTER[[#This Row],[MONTO VENDIDO]]-MASTER[[#This Row],[COSTO DE VENTA]]</f>
        <v>964</v>
      </c>
    </row>
    <row r="5653" spans="1:22" x14ac:dyDescent="0.3">
      <c r="A5653">
        <v>79643</v>
      </c>
      <c r="B5653">
        <v>1</v>
      </c>
      <c r="C5653" t="s">
        <v>90</v>
      </c>
      <c r="D5653" t="s">
        <v>91</v>
      </c>
      <c r="E5653" s="1">
        <v>44443</v>
      </c>
      <c r="F5653">
        <v>1</v>
      </c>
      <c r="G5653" t="s">
        <v>49</v>
      </c>
      <c r="H5653" t="s">
        <v>50</v>
      </c>
      <c r="I5653" s="3">
        <v>1844</v>
      </c>
      <c r="J5653" s="3">
        <v>1844</v>
      </c>
      <c r="K5653" s="3">
        <v>420</v>
      </c>
      <c r="L5653" t="s">
        <v>9</v>
      </c>
      <c r="M5653">
        <v>7</v>
      </c>
      <c r="N5653" t="s">
        <v>84</v>
      </c>
      <c r="O5653" t="s">
        <v>81</v>
      </c>
      <c r="P5653" t="s">
        <v>12</v>
      </c>
      <c r="Q5653" t="s">
        <v>13</v>
      </c>
      <c r="R5653" t="s">
        <v>13</v>
      </c>
      <c r="S5653" t="s">
        <v>144</v>
      </c>
      <c r="T5653" s="2">
        <f>MASTER[[#This Row],[CANTIDAD]]*MASTER[[#This Row],[PRECIO DE VENTA]]</f>
        <v>1844</v>
      </c>
      <c r="U5653" s="2">
        <f>MASTER[[#This Row],[CANTIDAD]]*MASTER[[#This Row],[COSTO UNITARIO]]</f>
        <v>420</v>
      </c>
      <c r="V5653" s="2">
        <f>MASTER[[#This Row],[MONTO VENDIDO]]-MASTER[[#This Row],[COSTO DE VENTA]]</f>
        <v>1424</v>
      </c>
    </row>
    <row r="5654" spans="1:22" x14ac:dyDescent="0.3">
      <c r="A5654">
        <v>79659</v>
      </c>
      <c r="B5654">
        <v>1</v>
      </c>
      <c r="C5654" t="s">
        <v>121</v>
      </c>
      <c r="D5654" t="s">
        <v>122</v>
      </c>
      <c r="E5654" s="1">
        <v>44443</v>
      </c>
      <c r="F5654">
        <v>1</v>
      </c>
      <c r="G5654" t="s">
        <v>20</v>
      </c>
      <c r="H5654" t="s">
        <v>21</v>
      </c>
      <c r="I5654" s="3">
        <v>941</v>
      </c>
      <c r="J5654" s="3">
        <v>941</v>
      </c>
      <c r="K5654" s="3">
        <v>460</v>
      </c>
      <c r="L5654" t="s">
        <v>120</v>
      </c>
      <c r="M5654">
        <v>11</v>
      </c>
      <c r="N5654" t="s">
        <v>10</v>
      </c>
      <c r="O5654" t="s">
        <v>11</v>
      </c>
      <c r="P5654" t="s">
        <v>12</v>
      </c>
      <c r="Q5654" t="s">
        <v>13</v>
      </c>
      <c r="R5654" t="s">
        <v>13</v>
      </c>
      <c r="S5654" t="s">
        <v>144</v>
      </c>
      <c r="T5654" s="2">
        <f>MASTER[[#This Row],[CANTIDAD]]*MASTER[[#This Row],[PRECIO DE VENTA]]</f>
        <v>941</v>
      </c>
      <c r="U5654" s="2">
        <f>MASTER[[#This Row],[CANTIDAD]]*MASTER[[#This Row],[COSTO UNITARIO]]</f>
        <v>460</v>
      </c>
      <c r="V5654" s="2">
        <f>MASTER[[#This Row],[MONTO VENDIDO]]-MASTER[[#This Row],[COSTO DE VENTA]]</f>
        <v>481</v>
      </c>
    </row>
    <row r="5655" spans="1:22" x14ac:dyDescent="0.3">
      <c r="A5655">
        <v>79661</v>
      </c>
      <c r="B5655">
        <v>1</v>
      </c>
      <c r="C5655" t="s">
        <v>5</v>
      </c>
      <c r="D5655" t="s">
        <v>6</v>
      </c>
      <c r="E5655" s="1">
        <v>44444</v>
      </c>
      <c r="F5655">
        <v>1</v>
      </c>
      <c r="G5655" t="s">
        <v>61</v>
      </c>
      <c r="H5655" t="s">
        <v>62</v>
      </c>
      <c r="I5655" s="3">
        <v>1296</v>
      </c>
      <c r="J5655" s="3">
        <v>1296</v>
      </c>
      <c r="K5655" s="3">
        <v>393</v>
      </c>
      <c r="L5655" t="s">
        <v>9</v>
      </c>
      <c r="M5655">
        <v>3</v>
      </c>
      <c r="N5655" t="s">
        <v>69</v>
      </c>
      <c r="O5655" t="s">
        <v>70</v>
      </c>
      <c r="P5655" t="s">
        <v>71</v>
      </c>
      <c r="Q5655" t="s">
        <v>72</v>
      </c>
      <c r="R5655" t="s">
        <v>139</v>
      </c>
      <c r="S5655" t="s">
        <v>144</v>
      </c>
      <c r="T5655" s="2">
        <f>MASTER[[#This Row],[CANTIDAD]]*MASTER[[#This Row],[PRECIO DE VENTA]]</f>
        <v>1296</v>
      </c>
      <c r="U5655" s="2">
        <f>MASTER[[#This Row],[CANTIDAD]]*MASTER[[#This Row],[COSTO UNITARIO]]</f>
        <v>393</v>
      </c>
      <c r="V5655" s="2">
        <f>MASTER[[#This Row],[MONTO VENDIDO]]-MASTER[[#This Row],[COSTO DE VENTA]]</f>
        <v>903</v>
      </c>
    </row>
    <row r="5656" spans="1:22" x14ac:dyDescent="0.3">
      <c r="A5656">
        <v>79671</v>
      </c>
      <c r="B5656">
        <v>1</v>
      </c>
      <c r="C5656" t="s">
        <v>90</v>
      </c>
      <c r="D5656" t="s">
        <v>91</v>
      </c>
      <c r="E5656" s="1">
        <v>44444</v>
      </c>
      <c r="F5656">
        <v>1</v>
      </c>
      <c r="G5656" t="s">
        <v>51</v>
      </c>
      <c r="H5656" t="s">
        <v>52</v>
      </c>
      <c r="I5656" s="3">
        <v>1844</v>
      </c>
      <c r="J5656" s="3">
        <v>1844</v>
      </c>
      <c r="K5656" s="3">
        <v>420</v>
      </c>
      <c r="L5656" t="s">
        <v>9</v>
      </c>
      <c r="M5656">
        <v>15</v>
      </c>
      <c r="N5656" t="s">
        <v>88</v>
      </c>
      <c r="O5656" t="s">
        <v>81</v>
      </c>
      <c r="P5656" t="s">
        <v>18</v>
      </c>
      <c r="Q5656" t="s">
        <v>19</v>
      </c>
      <c r="R5656" t="s">
        <v>138</v>
      </c>
      <c r="S5656" t="s">
        <v>144</v>
      </c>
      <c r="T5656" s="2">
        <f>MASTER[[#This Row],[CANTIDAD]]*MASTER[[#This Row],[PRECIO DE VENTA]]</f>
        <v>1844</v>
      </c>
      <c r="U5656" s="2">
        <f>MASTER[[#This Row],[CANTIDAD]]*MASTER[[#This Row],[COSTO UNITARIO]]</f>
        <v>420</v>
      </c>
      <c r="V5656" s="2">
        <f>MASTER[[#This Row],[MONTO VENDIDO]]-MASTER[[#This Row],[COSTO DE VENTA]]</f>
        <v>1424</v>
      </c>
    </row>
    <row r="5657" spans="1:22" x14ac:dyDescent="0.3">
      <c r="A5657">
        <v>79683</v>
      </c>
      <c r="B5657">
        <v>1</v>
      </c>
      <c r="C5657" t="s">
        <v>99</v>
      </c>
      <c r="D5657" t="s">
        <v>100</v>
      </c>
      <c r="E5657" s="1">
        <v>44444</v>
      </c>
      <c r="F5657">
        <v>1</v>
      </c>
      <c r="G5657" t="s">
        <v>61</v>
      </c>
      <c r="H5657" t="s">
        <v>62</v>
      </c>
      <c r="I5657" s="3">
        <v>1678</v>
      </c>
      <c r="J5657" s="3">
        <v>1678</v>
      </c>
      <c r="K5657" s="3">
        <v>386</v>
      </c>
      <c r="L5657" t="s">
        <v>98</v>
      </c>
      <c r="M5657">
        <v>18</v>
      </c>
      <c r="N5657" t="s">
        <v>79</v>
      </c>
      <c r="O5657" t="s">
        <v>70</v>
      </c>
      <c r="P5657" t="s">
        <v>15</v>
      </c>
      <c r="Q5657" t="s">
        <v>16</v>
      </c>
      <c r="R5657" t="s">
        <v>16</v>
      </c>
      <c r="S5657" t="s">
        <v>144</v>
      </c>
      <c r="T5657" s="2">
        <f>MASTER[[#This Row],[CANTIDAD]]*MASTER[[#This Row],[PRECIO DE VENTA]]</f>
        <v>1678</v>
      </c>
      <c r="U5657" s="2">
        <f>MASTER[[#This Row],[CANTIDAD]]*MASTER[[#This Row],[COSTO UNITARIO]]</f>
        <v>386</v>
      </c>
      <c r="V5657" s="2">
        <f>MASTER[[#This Row],[MONTO VENDIDO]]-MASTER[[#This Row],[COSTO DE VENTA]]</f>
        <v>1292</v>
      </c>
    </row>
    <row r="5658" spans="1:22" x14ac:dyDescent="0.3">
      <c r="A5658">
        <v>79689</v>
      </c>
      <c r="B5658">
        <v>1</v>
      </c>
      <c r="C5658" t="s">
        <v>116</v>
      </c>
      <c r="D5658" t="s">
        <v>117</v>
      </c>
      <c r="E5658" s="1">
        <v>44444</v>
      </c>
      <c r="F5658">
        <v>1</v>
      </c>
      <c r="G5658" t="s">
        <v>63</v>
      </c>
      <c r="H5658" t="s">
        <v>64</v>
      </c>
      <c r="I5658" s="3">
        <v>1999</v>
      </c>
      <c r="J5658" s="3">
        <v>1999</v>
      </c>
      <c r="K5658" s="3">
        <v>388</v>
      </c>
      <c r="L5658" t="s">
        <v>113</v>
      </c>
      <c r="M5658">
        <v>13</v>
      </c>
      <c r="N5658" t="s">
        <v>78</v>
      </c>
      <c r="O5658" t="s">
        <v>70</v>
      </c>
      <c r="P5658" t="s">
        <v>18</v>
      </c>
      <c r="Q5658" t="s">
        <v>19</v>
      </c>
      <c r="R5658" t="s">
        <v>138</v>
      </c>
      <c r="S5658" t="s">
        <v>144</v>
      </c>
      <c r="T5658" s="2">
        <f>MASTER[[#This Row],[CANTIDAD]]*MASTER[[#This Row],[PRECIO DE VENTA]]</f>
        <v>1999</v>
      </c>
      <c r="U5658" s="2">
        <f>MASTER[[#This Row],[CANTIDAD]]*MASTER[[#This Row],[COSTO UNITARIO]]</f>
        <v>388</v>
      </c>
      <c r="V5658" s="2">
        <f>MASTER[[#This Row],[MONTO VENDIDO]]-MASTER[[#This Row],[COSTO DE VENTA]]</f>
        <v>1611</v>
      </c>
    </row>
    <row r="5659" spans="1:22" x14ac:dyDescent="0.3">
      <c r="A5659">
        <v>79692</v>
      </c>
      <c r="B5659">
        <v>1</v>
      </c>
      <c r="C5659" t="s">
        <v>118</v>
      </c>
      <c r="D5659" t="s">
        <v>119</v>
      </c>
      <c r="E5659" s="1">
        <v>44444</v>
      </c>
      <c r="F5659">
        <v>1</v>
      </c>
      <c r="G5659" t="s">
        <v>37</v>
      </c>
      <c r="H5659" t="s">
        <v>38</v>
      </c>
      <c r="I5659" s="3">
        <v>1026</v>
      </c>
      <c r="J5659" s="3">
        <v>1026</v>
      </c>
      <c r="K5659" s="3">
        <v>424</v>
      </c>
      <c r="L5659" t="s">
        <v>120</v>
      </c>
      <c r="M5659">
        <v>18</v>
      </c>
      <c r="N5659" t="s">
        <v>79</v>
      </c>
      <c r="O5659" t="s">
        <v>70</v>
      </c>
      <c r="P5659" t="s">
        <v>15</v>
      </c>
      <c r="Q5659" t="s">
        <v>16</v>
      </c>
      <c r="R5659" t="s">
        <v>16</v>
      </c>
      <c r="S5659" t="s">
        <v>144</v>
      </c>
      <c r="T5659" s="2">
        <f>MASTER[[#This Row],[CANTIDAD]]*MASTER[[#This Row],[PRECIO DE VENTA]]</f>
        <v>1026</v>
      </c>
      <c r="U5659" s="2">
        <f>MASTER[[#This Row],[CANTIDAD]]*MASTER[[#This Row],[COSTO UNITARIO]]</f>
        <v>424</v>
      </c>
      <c r="V5659" s="2">
        <f>MASTER[[#This Row],[MONTO VENDIDO]]-MASTER[[#This Row],[COSTO DE VENTA]]</f>
        <v>602</v>
      </c>
    </row>
    <row r="5660" spans="1:22" x14ac:dyDescent="0.3">
      <c r="A5660">
        <v>79726</v>
      </c>
      <c r="B5660">
        <v>1</v>
      </c>
      <c r="C5660" t="s">
        <v>5</v>
      </c>
      <c r="D5660" t="s">
        <v>6</v>
      </c>
      <c r="E5660" s="1">
        <v>44444</v>
      </c>
      <c r="F5660">
        <v>1</v>
      </c>
      <c r="G5660" t="s">
        <v>35</v>
      </c>
      <c r="H5660" t="s">
        <v>36</v>
      </c>
      <c r="I5660" s="3">
        <v>1311</v>
      </c>
      <c r="J5660" s="3">
        <v>1311</v>
      </c>
      <c r="K5660" s="3">
        <v>393</v>
      </c>
      <c r="L5660" t="s">
        <v>9</v>
      </c>
      <c r="M5660">
        <v>11</v>
      </c>
      <c r="N5660" t="s">
        <v>10</v>
      </c>
      <c r="O5660" t="s">
        <v>11</v>
      </c>
      <c r="P5660" t="s">
        <v>12</v>
      </c>
      <c r="Q5660" t="s">
        <v>13</v>
      </c>
      <c r="R5660" t="s">
        <v>13</v>
      </c>
      <c r="S5660" t="s">
        <v>144</v>
      </c>
      <c r="T5660" s="2">
        <f>MASTER[[#This Row],[CANTIDAD]]*MASTER[[#This Row],[PRECIO DE VENTA]]</f>
        <v>1311</v>
      </c>
      <c r="U5660" s="2">
        <f>MASTER[[#This Row],[CANTIDAD]]*MASTER[[#This Row],[COSTO UNITARIO]]</f>
        <v>393</v>
      </c>
      <c r="V5660" s="2">
        <f>MASTER[[#This Row],[MONTO VENDIDO]]-MASTER[[#This Row],[COSTO DE VENTA]]</f>
        <v>918</v>
      </c>
    </row>
    <row r="5661" spans="1:22" x14ac:dyDescent="0.3">
      <c r="A5661">
        <v>79729</v>
      </c>
      <c r="B5661">
        <v>1</v>
      </c>
      <c r="C5661" t="s">
        <v>105</v>
      </c>
      <c r="D5661" t="s">
        <v>106</v>
      </c>
      <c r="E5661" s="1">
        <v>44444</v>
      </c>
      <c r="F5661">
        <v>1</v>
      </c>
      <c r="G5661" t="s">
        <v>43</v>
      </c>
      <c r="H5661" t="s">
        <v>44</v>
      </c>
      <c r="I5661" s="3">
        <v>1585</v>
      </c>
      <c r="J5661" s="3">
        <v>1585</v>
      </c>
      <c r="K5661" s="3">
        <v>459</v>
      </c>
      <c r="L5661" t="s">
        <v>98</v>
      </c>
      <c r="M5661">
        <v>17</v>
      </c>
      <c r="N5661" t="s">
        <v>14</v>
      </c>
      <c r="O5661" t="s">
        <v>11</v>
      </c>
      <c r="P5661" t="s">
        <v>15</v>
      </c>
      <c r="Q5661" t="s">
        <v>16</v>
      </c>
      <c r="R5661" t="s">
        <v>16</v>
      </c>
      <c r="S5661" t="s">
        <v>144</v>
      </c>
      <c r="T5661" s="2">
        <f>MASTER[[#This Row],[CANTIDAD]]*MASTER[[#This Row],[PRECIO DE VENTA]]</f>
        <v>1585</v>
      </c>
      <c r="U5661" s="2">
        <f>MASTER[[#This Row],[CANTIDAD]]*MASTER[[#This Row],[COSTO UNITARIO]]</f>
        <v>459</v>
      </c>
      <c r="V5661" s="2">
        <f>MASTER[[#This Row],[MONTO VENDIDO]]-MASTER[[#This Row],[COSTO DE VENTA]]</f>
        <v>1126</v>
      </c>
    </row>
    <row r="5662" spans="1:22" x14ac:dyDescent="0.3">
      <c r="A5662">
        <v>79740</v>
      </c>
      <c r="B5662">
        <v>1</v>
      </c>
      <c r="C5662" t="s">
        <v>107</v>
      </c>
      <c r="D5662" t="s">
        <v>108</v>
      </c>
      <c r="E5662" s="1">
        <v>44444</v>
      </c>
      <c r="F5662">
        <v>1</v>
      </c>
      <c r="G5662" t="s">
        <v>61</v>
      </c>
      <c r="H5662" t="s">
        <v>62</v>
      </c>
      <c r="I5662" s="3">
        <v>1333</v>
      </c>
      <c r="J5662" s="3">
        <v>1266</v>
      </c>
      <c r="K5662" s="3">
        <v>380</v>
      </c>
      <c r="L5662" t="s">
        <v>98</v>
      </c>
      <c r="M5662">
        <v>2</v>
      </c>
      <c r="N5662" t="s">
        <v>86</v>
      </c>
      <c r="O5662" t="s">
        <v>81</v>
      </c>
      <c r="P5662" t="s">
        <v>71</v>
      </c>
      <c r="Q5662" t="s">
        <v>72</v>
      </c>
      <c r="R5662" t="s">
        <v>139</v>
      </c>
      <c r="S5662" t="s">
        <v>144</v>
      </c>
      <c r="T5662" s="2">
        <f>MASTER[[#This Row],[CANTIDAD]]*MASTER[[#This Row],[PRECIO DE VENTA]]</f>
        <v>1266</v>
      </c>
      <c r="U5662" s="2">
        <f>MASTER[[#This Row],[CANTIDAD]]*MASTER[[#This Row],[COSTO UNITARIO]]</f>
        <v>380</v>
      </c>
      <c r="V5662" s="2">
        <f>MASTER[[#This Row],[MONTO VENDIDO]]-MASTER[[#This Row],[COSTO DE VENTA]]</f>
        <v>886</v>
      </c>
    </row>
    <row r="5663" spans="1:22" x14ac:dyDescent="0.3">
      <c r="A5663">
        <v>79759</v>
      </c>
      <c r="B5663">
        <v>1</v>
      </c>
      <c r="C5663" t="s">
        <v>114</v>
      </c>
      <c r="D5663" t="s">
        <v>115</v>
      </c>
      <c r="E5663" s="1">
        <v>44445</v>
      </c>
      <c r="F5663">
        <v>1</v>
      </c>
      <c r="G5663" t="s">
        <v>53</v>
      </c>
      <c r="H5663" t="s">
        <v>54</v>
      </c>
      <c r="I5663" s="3">
        <v>2030</v>
      </c>
      <c r="J5663" s="3">
        <v>2030</v>
      </c>
      <c r="K5663" s="3">
        <v>394</v>
      </c>
      <c r="L5663" t="s">
        <v>113</v>
      </c>
      <c r="M5663">
        <v>1</v>
      </c>
      <c r="N5663" t="s">
        <v>77</v>
      </c>
      <c r="O5663" t="s">
        <v>70</v>
      </c>
      <c r="P5663" t="s">
        <v>71</v>
      </c>
      <c r="Q5663" t="s">
        <v>72</v>
      </c>
      <c r="R5663" t="s">
        <v>139</v>
      </c>
      <c r="S5663" t="s">
        <v>144</v>
      </c>
      <c r="T5663" s="2">
        <f>MASTER[[#This Row],[CANTIDAD]]*MASTER[[#This Row],[PRECIO DE VENTA]]</f>
        <v>2030</v>
      </c>
      <c r="U5663" s="2">
        <f>MASTER[[#This Row],[CANTIDAD]]*MASTER[[#This Row],[COSTO UNITARIO]]</f>
        <v>394</v>
      </c>
      <c r="V5663" s="2">
        <f>MASTER[[#This Row],[MONTO VENDIDO]]-MASTER[[#This Row],[COSTO DE VENTA]]</f>
        <v>1636</v>
      </c>
    </row>
    <row r="5664" spans="1:22" x14ac:dyDescent="0.3">
      <c r="A5664">
        <v>79770</v>
      </c>
      <c r="B5664">
        <v>1</v>
      </c>
      <c r="C5664" t="s">
        <v>111</v>
      </c>
      <c r="D5664" t="s">
        <v>112</v>
      </c>
      <c r="E5664" s="1">
        <v>44445</v>
      </c>
      <c r="F5664">
        <v>1</v>
      </c>
      <c r="G5664" t="s">
        <v>41</v>
      </c>
      <c r="H5664" t="s">
        <v>42</v>
      </c>
      <c r="I5664" s="3">
        <v>1621</v>
      </c>
      <c r="J5664" s="3">
        <v>1621</v>
      </c>
      <c r="K5664" s="3">
        <v>434</v>
      </c>
      <c r="L5664" t="s">
        <v>113</v>
      </c>
      <c r="M5664">
        <v>7</v>
      </c>
      <c r="N5664" t="s">
        <v>84</v>
      </c>
      <c r="O5664" t="s">
        <v>81</v>
      </c>
      <c r="P5664" t="s">
        <v>12</v>
      </c>
      <c r="Q5664" t="s">
        <v>13</v>
      </c>
      <c r="R5664" t="s">
        <v>13</v>
      </c>
      <c r="S5664" t="s">
        <v>144</v>
      </c>
      <c r="T5664" s="2">
        <f>MASTER[[#This Row],[CANTIDAD]]*MASTER[[#This Row],[PRECIO DE VENTA]]</f>
        <v>1621</v>
      </c>
      <c r="U5664" s="2">
        <f>MASTER[[#This Row],[CANTIDAD]]*MASTER[[#This Row],[COSTO UNITARIO]]</f>
        <v>434</v>
      </c>
      <c r="V5664" s="2">
        <f>MASTER[[#This Row],[MONTO VENDIDO]]-MASTER[[#This Row],[COSTO DE VENTA]]</f>
        <v>1187</v>
      </c>
    </row>
    <row r="5665" spans="1:22" x14ac:dyDescent="0.3">
      <c r="A5665">
        <v>79771</v>
      </c>
      <c r="B5665">
        <v>1</v>
      </c>
      <c r="C5665" t="s">
        <v>105</v>
      </c>
      <c r="D5665" t="s">
        <v>106</v>
      </c>
      <c r="E5665" s="1">
        <v>44445</v>
      </c>
      <c r="F5665">
        <v>1</v>
      </c>
      <c r="G5665" t="s">
        <v>39</v>
      </c>
      <c r="H5665" t="s">
        <v>40</v>
      </c>
      <c r="I5665" s="3">
        <v>1585</v>
      </c>
      <c r="J5665" s="3">
        <v>1585</v>
      </c>
      <c r="K5665" s="3">
        <v>459</v>
      </c>
      <c r="L5665" t="s">
        <v>98</v>
      </c>
      <c r="M5665">
        <v>12</v>
      </c>
      <c r="N5665" t="s">
        <v>26</v>
      </c>
      <c r="O5665" t="s">
        <v>11</v>
      </c>
      <c r="P5665" t="s">
        <v>12</v>
      </c>
      <c r="Q5665" t="s">
        <v>13</v>
      </c>
      <c r="R5665" t="s">
        <v>13</v>
      </c>
      <c r="S5665" t="s">
        <v>144</v>
      </c>
      <c r="T5665" s="2">
        <f>MASTER[[#This Row],[CANTIDAD]]*MASTER[[#This Row],[PRECIO DE VENTA]]</f>
        <v>1585</v>
      </c>
      <c r="U5665" s="2">
        <f>MASTER[[#This Row],[CANTIDAD]]*MASTER[[#This Row],[COSTO UNITARIO]]</f>
        <v>459</v>
      </c>
      <c r="V5665" s="2">
        <f>MASTER[[#This Row],[MONTO VENDIDO]]-MASTER[[#This Row],[COSTO DE VENTA]]</f>
        <v>1126</v>
      </c>
    </row>
    <row r="5666" spans="1:22" x14ac:dyDescent="0.3">
      <c r="A5666">
        <v>79776</v>
      </c>
      <c r="B5666">
        <v>1</v>
      </c>
      <c r="C5666" t="s">
        <v>103</v>
      </c>
      <c r="D5666" t="s">
        <v>104</v>
      </c>
      <c r="E5666" s="1">
        <v>44445</v>
      </c>
      <c r="F5666">
        <v>1</v>
      </c>
      <c r="G5666" t="s">
        <v>61</v>
      </c>
      <c r="H5666" t="s">
        <v>62</v>
      </c>
      <c r="I5666" s="3">
        <v>1591</v>
      </c>
      <c r="J5666" s="3">
        <v>1591</v>
      </c>
      <c r="K5666" s="3">
        <v>421</v>
      </c>
      <c r="L5666" t="s">
        <v>98</v>
      </c>
      <c r="M5666">
        <v>4</v>
      </c>
      <c r="N5666" t="s">
        <v>82</v>
      </c>
      <c r="O5666" t="s">
        <v>81</v>
      </c>
      <c r="P5666" t="s">
        <v>71</v>
      </c>
      <c r="Q5666" t="s">
        <v>72</v>
      </c>
      <c r="R5666" t="s">
        <v>139</v>
      </c>
      <c r="S5666" t="s">
        <v>144</v>
      </c>
      <c r="T5666" s="2">
        <f>MASTER[[#This Row],[CANTIDAD]]*MASTER[[#This Row],[PRECIO DE VENTA]]</f>
        <v>1591</v>
      </c>
      <c r="U5666" s="2">
        <f>MASTER[[#This Row],[CANTIDAD]]*MASTER[[#This Row],[COSTO UNITARIO]]</f>
        <v>421</v>
      </c>
      <c r="V5666" s="2">
        <f>MASTER[[#This Row],[MONTO VENDIDO]]-MASTER[[#This Row],[COSTO DE VENTA]]</f>
        <v>1170</v>
      </c>
    </row>
    <row r="5667" spans="1:22" x14ac:dyDescent="0.3">
      <c r="A5667">
        <v>79788</v>
      </c>
      <c r="B5667">
        <v>1</v>
      </c>
      <c r="C5667" t="s">
        <v>90</v>
      </c>
      <c r="D5667" t="s">
        <v>91</v>
      </c>
      <c r="E5667" s="1">
        <v>44445</v>
      </c>
      <c r="F5667">
        <v>1</v>
      </c>
      <c r="G5667" t="s">
        <v>73</v>
      </c>
      <c r="H5667" t="s">
        <v>74</v>
      </c>
      <c r="I5667" s="3">
        <v>1844</v>
      </c>
      <c r="J5667" s="3">
        <v>1844</v>
      </c>
      <c r="K5667" s="3">
        <v>420</v>
      </c>
      <c r="L5667" t="s">
        <v>9</v>
      </c>
      <c r="M5667">
        <v>2</v>
      </c>
      <c r="N5667" t="s">
        <v>86</v>
      </c>
      <c r="O5667" t="s">
        <v>81</v>
      </c>
      <c r="P5667" t="s">
        <v>71</v>
      </c>
      <c r="Q5667" t="s">
        <v>72</v>
      </c>
      <c r="R5667" t="s">
        <v>139</v>
      </c>
      <c r="S5667" t="s">
        <v>144</v>
      </c>
      <c r="T5667" s="2">
        <f>MASTER[[#This Row],[CANTIDAD]]*MASTER[[#This Row],[PRECIO DE VENTA]]</f>
        <v>1844</v>
      </c>
      <c r="U5667" s="2">
        <f>MASTER[[#This Row],[CANTIDAD]]*MASTER[[#This Row],[COSTO UNITARIO]]</f>
        <v>420</v>
      </c>
      <c r="V5667" s="2">
        <f>MASTER[[#This Row],[MONTO VENDIDO]]-MASTER[[#This Row],[COSTO DE VENTA]]</f>
        <v>1424</v>
      </c>
    </row>
    <row r="5668" spans="1:22" x14ac:dyDescent="0.3">
      <c r="A5668">
        <v>79802</v>
      </c>
      <c r="B5668">
        <v>1</v>
      </c>
      <c r="C5668" t="s">
        <v>109</v>
      </c>
      <c r="D5668" t="s">
        <v>110</v>
      </c>
      <c r="E5668" s="1">
        <v>44445</v>
      </c>
      <c r="F5668">
        <v>1</v>
      </c>
      <c r="G5668" t="s">
        <v>73</v>
      </c>
      <c r="H5668" t="s">
        <v>74</v>
      </c>
      <c r="I5668" s="3">
        <v>1128</v>
      </c>
      <c r="J5668" s="3">
        <v>1128</v>
      </c>
      <c r="K5668" s="3">
        <v>387</v>
      </c>
      <c r="L5668" t="s">
        <v>98</v>
      </c>
      <c r="M5668">
        <v>3</v>
      </c>
      <c r="N5668" t="s">
        <v>69</v>
      </c>
      <c r="O5668" t="s">
        <v>70</v>
      </c>
      <c r="P5668" t="s">
        <v>71</v>
      </c>
      <c r="Q5668" t="s">
        <v>72</v>
      </c>
      <c r="R5668" t="s">
        <v>139</v>
      </c>
      <c r="S5668" t="s">
        <v>144</v>
      </c>
      <c r="T5668" s="2">
        <f>MASTER[[#This Row],[CANTIDAD]]*MASTER[[#This Row],[PRECIO DE VENTA]]</f>
        <v>1128</v>
      </c>
      <c r="U5668" s="2">
        <f>MASTER[[#This Row],[CANTIDAD]]*MASTER[[#This Row],[COSTO UNITARIO]]</f>
        <v>387</v>
      </c>
      <c r="V5668" s="2">
        <f>MASTER[[#This Row],[MONTO VENDIDO]]-MASTER[[#This Row],[COSTO DE VENTA]]</f>
        <v>741</v>
      </c>
    </row>
    <row r="5669" spans="1:22" x14ac:dyDescent="0.3">
      <c r="A5669">
        <v>79812</v>
      </c>
      <c r="B5669">
        <v>1</v>
      </c>
      <c r="C5669" t="s">
        <v>5</v>
      </c>
      <c r="D5669" t="s">
        <v>6</v>
      </c>
      <c r="E5669" s="1">
        <v>44445</v>
      </c>
      <c r="F5669">
        <v>3</v>
      </c>
      <c r="G5669" t="s">
        <v>65</v>
      </c>
      <c r="H5669" t="s">
        <v>66</v>
      </c>
      <c r="I5669" s="3">
        <v>1311</v>
      </c>
      <c r="J5669" s="3">
        <v>1311</v>
      </c>
      <c r="K5669" s="3">
        <v>393</v>
      </c>
      <c r="L5669" t="s">
        <v>9</v>
      </c>
      <c r="M5669">
        <v>17</v>
      </c>
      <c r="N5669" t="s">
        <v>14</v>
      </c>
      <c r="O5669" t="s">
        <v>11</v>
      </c>
      <c r="P5669" t="s">
        <v>15</v>
      </c>
      <c r="Q5669" t="s">
        <v>16</v>
      </c>
      <c r="R5669" t="s">
        <v>16</v>
      </c>
      <c r="S5669" t="s">
        <v>144</v>
      </c>
      <c r="T5669" s="2">
        <f>MASTER[[#This Row],[CANTIDAD]]*MASTER[[#This Row],[PRECIO DE VENTA]]</f>
        <v>3933</v>
      </c>
      <c r="U5669" s="2">
        <f>MASTER[[#This Row],[CANTIDAD]]*MASTER[[#This Row],[COSTO UNITARIO]]</f>
        <v>1179</v>
      </c>
      <c r="V5669" s="2">
        <f>MASTER[[#This Row],[MONTO VENDIDO]]-MASTER[[#This Row],[COSTO DE VENTA]]</f>
        <v>2754</v>
      </c>
    </row>
    <row r="5670" spans="1:22" x14ac:dyDescent="0.3">
      <c r="A5670">
        <v>79824</v>
      </c>
      <c r="B5670">
        <v>1</v>
      </c>
      <c r="C5670" t="s">
        <v>118</v>
      </c>
      <c r="D5670" t="s">
        <v>119</v>
      </c>
      <c r="E5670" s="1">
        <v>44445</v>
      </c>
      <c r="F5670">
        <v>1</v>
      </c>
      <c r="G5670" t="s">
        <v>55</v>
      </c>
      <c r="H5670" t="s">
        <v>56</v>
      </c>
      <c r="I5670" s="3">
        <v>1026</v>
      </c>
      <c r="J5670" s="3">
        <v>1026</v>
      </c>
      <c r="K5670" s="3">
        <v>424</v>
      </c>
      <c r="L5670" t="s">
        <v>120</v>
      </c>
      <c r="M5670">
        <v>18</v>
      </c>
      <c r="N5670" t="s">
        <v>79</v>
      </c>
      <c r="O5670" t="s">
        <v>70</v>
      </c>
      <c r="P5670" t="s">
        <v>15</v>
      </c>
      <c r="Q5670" t="s">
        <v>16</v>
      </c>
      <c r="R5670" t="s">
        <v>16</v>
      </c>
      <c r="S5670" t="s">
        <v>144</v>
      </c>
      <c r="T5670" s="2">
        <f>MASTER[[#This Row],[CANTIDAD]]*MASTER[[#This Row],[PRECIO DE VENTA]]</f>
        <v>1026</v>
      </c>
      <c r="U5670" s="2">
        <f>MASTER[[#This Row],[CANTIDAD]]*MASTER[[#This Row],[COSTO UNITARIO]]</f>
        <v>424</v>
      </c>
      <c r="V5670" s="2">
        <f>MASTER[[#This Row],[MONTO VENDIDO]]-MASTER[[#This Row],[COSTO DE VENTA]]</f>
        <v>602</v>
      </c>
    </row>
    <row r="5671" spans="1:22" x14ac:dyDescent="0.3">
      <c r="A5671">
        <v>79835</v>
      </c>
      <c r="B5671">
        <v>1</v>
      </c>
      <c r="C5671" t="s">
        <v>111</v>
      </c>
      <c r="D5671" t="s">
        <v>112</v>
      </c>
      <c r="E5671" s="1">
        <v>44445</v>
      </c>
      <c r="F5671">
        <v>1</v>
      </c>
      <c r="G5671" t="s">
        <v>7</v>
      </c>
      <c r="H5671" t="s">
        <v>8</v>
      </c>
      <c r="I5671" s="3">
        <v>1621</v>
      </c>
      <c r="J5671" s="3">
        <v>1621</v>
      </c>
      <c r="K5671" s="3">
        <v>434</v>
      </c>
      <c r="L5671" t="s">
        <v>113</v>
      </c>
      <c r="M5671">
        <v>14</v>
      </c>
      <c r="N5671" t="s">
        <v>87</v>
      </c>
      <c r="O5671" t="s">
        <v>81</v>
      </c>
      <c r="P5671" t="s">
        <v>18</v>
      </c>
      <c r="Q5671" t="s">
        <v>19</v>
      </c>
      <c r="R5671" t="s">
        <v>138</v>
      </c>
      <c r="S5671" t="s">
        <v>144</v>
      </c>
      <c r="T5671" s="2">
        <f>MASTER[[#This Row],[CANTIDAD]]*MASTER[[#This Row],[PRECIO DE VENTA]]</f>
        <v>1621</v>
      </c>
      <c r="U5671" s="2">
        <f>MASTER[[#This Row],[CANTIDAD]]*MASTER[[#This Row],[COSTO UNITARIO]]</f>
        <v>434</v>
      </c>
      <c r="V5671" s="2">
        <f>MASTER[[#This Row],[MONTO VENDIDO]]-MASTER[[#This Row],[COSTO DE VENTA]]</f>
        <v>1187</v>
      </c>
    </row>
    <row r="5672" spans="1:22" x14ac:dyDescent="0.3">
      <c r="A5672">
        <v>79851</v>
      </c>
      <c r="B5672">
        <v>1</v>
      </c>
      <c r="C5672" t="s">
        <v>99</v>
      </c>
      <c r="D5672" t="s">
        <v>100</v>
      </c>
      <c r="E5672" s="1">
        <v>44445</v>
      </c>
      <c r="F5672">
        <v>1</v>
      </c>
      <c r="G5672" t="s">
        <v>51</v>
      </c>
      <c r="H5672" t="s">
        <v>52</v>
      </c>
      <c r="I5672" s="3">
        <v>1678</v>
      </c>
      <c r="J5672" s="3">
        <v>1678</v>
      </c>
      <c r="K5672" s="3">
        <v>386</v>
      </c>
      <c r="L5672" t="s">
        <v>98</v>
      </c>
      <c r="M5672">
        <v>3</v>
      </c>
      <c r="N5672" t="s">
        <v>69</v>
      </c>
      <c r="O5672" t="s">
        <v>70</v>
      </c>
      <c r="P5672" t="s">
        <v>71</v>
      </c>
      <c r="Q5672" t="s">
        <v>72</v>
      </c>
      <c r="R5672" t="s">
        <v>139</v>
      </c>
      <c r="S5672" t="s">
        <v>144</v>
      </c>
      <c r="T5672" s="2">
        <f>MASTER[[#This Row],[CANTIDAD]]*MASTER[[#This Row],[PRECIO DE VENTA]]</f>
        <v>1678</v>
      </c>
      <c r="U5672" s="2">
        <f>MASTER[[#This Row],[CANTIDAD]]*MASTER[[#This Row],[COSTO UNITARIO]]</f>
        <v>386</v>
      </c>
      <c r="V5672" s="2">
        <f>MASTER[[#This Row],[MONTO VENDIDO]]-MASTER[[#This Row],[COSTO DE VENTA]]</f>
        <v>1292</v>
      </c>
    </row>
    <row r="5673" spans="1:22" x14ac:dyDescent="0.3">
      <c r="A5673">
        <v>79852</v>
      </c>
      <c r="B5673">
        <v>1</v>
      </c>
      <c r="C5673" t="s">
        <v>5</v>
      </c>
      <c r="D5673" t="s">
        <v>6</v>
      </c>
      <c r="E5673" s="1">
        <v>44445</v>
      </c>
      <c r="F5673">
        <v>1</v>
      </c>
      <c r="G5673" t="s">
        <v>41</v>
      </c>
      <c r="H5673" t="s">
        <v>42</v>
      </c>
      <c r="I5673" s="3">
        <v>1507</v>
      </c>
      <c r="J5673" s="3">
        <v>1507</v>
      </c>
      <c r="K5673" s="3">
        <v>393</v>
      </c>
      <c r="L5673" t="s">
        <v>9</v>
      </c>
      <c r="M5673">
        <v>15</v>
      </c>
      <c r="N5673" t="s">
        <v>88</v>
      </c>
      <c r="O5673" t="s">
        <v>81</v>
      </c>
      <c r="P5673" t="s">
        <v>18</v>
      </c>
      <c r="Q5673" t="s">
        <v>19</v>
      </c>
      <c r="R5673" t="s">
        <v>138</v>
      </c>
      <c r="S5673" t="s">
        <v>144</v>
      </c>
      <c r="T5673" s="2">
        <f>MASTER[[#This Row],[CANTIDAD]]*MASTER[[#This Row],[PRECIO DE VENTA]]</f>
        <v>1507</v>
      </c>
      <c r="U5673" s="2">
        <f>MASTER[[#This Row],[CANTIDAD]]*MASTER[[#This Row],[COSTO UNITARIO]]</f>
        <v>393</v>
      </c>
      <c r="V5673" s="2">
        <f>MASTER[[#This Row],[MONTO VENDIDO]]-MASTER[[#This Row],[COSTO DE VENTA]]</f>
        <v>1114</v>
      </c>
    </row>
    <row r="5674" spans="1:22" x14ac:dyDescent="0.3">
      <c r="A5674">
        <v>79883</v>
      </c>
      <c r="B5674">
        <v>1</v>
      </c>
      <c r="C5674" t="s">
        <v>103</v>
      </c>
      <c r="D5674" t="s">
        <v>104</v>
      </c>
      <c r="E5674" s="1">
        <v>44445</v>
      </c>
      <c r="F5674">
        <v>1</v>
      </c>
      <c r="G5674" t="s">
        <v>65</v>
      </c>
      <c r="H5674" t="s">
        <v>66</v>
      </c>
      <c r="I5674" s="3">
        <v>1448</v>
      </c>
      <c r="J5674" s="3">
        <v>1448</v>
      </c>
      <c r="K5674" s="3">
        <v>421</v>
      </c>
      <c r="L5674" t="s">
        <v>98</v>
      </c>
      <c r="M5674">
        <v>12</v>
      </c>
      <c r="N5674" t="s">
        <v>26</v>
      </c>
      <c r="O5674" t="s">
        <v>11</v>
      </c>
      <c r="P5674" t="s">
        <v>12</v>
      </c>
      <c r="Q5674" t="s">
        <v>13</v>
      </c>
      <c r="R5674" t="s">
        <v>13</v>
      </c>
      <c r="S5674" t="s">
        <v>144</v>
      </c>
      <c r="T5674" s="2">
        <f>MASTER[[#This Row],[CANTIDAD]]*MASTER[[#This Row],[PRECIO DE VENTA]]</f>
        <v>1448</v>
      </c>
      <c r="U5674" s="2">
        <f>MASTER[[#This Row],[CANTIDAD]]*MASTER[[#This Row],[COSTO UNITARIO]]</f>
        <v>421</v>
      </c>
      <c r="V5674" s="2">
        <f>MASTER[[#This Row],[MONTO VENDIDO]]-MASTER[[#This Row],[COSTO DE VENTA]]</f>
        <v>1027</v>
      </c>
    </row>
    <row r="5675" spans="1:22" x14ac:dyDescent="0.3">
      <c r="A5675">
        <v>79904</v>
      </c>
      <c r="B5675">
        <v>1</v>
      </c>
      <c r="C5675" t="s">
        <v>116</v>
      </c>
      <c r="D5675" t="s">
        <v>117</v>
      </c>
      <c r="E5675" s="1">
        <v>44445</v>
      </c>
      <c r="F5675">
        <v>1</v>
      </c>
      <c r="G5675" t="s">
        <v>47</v>
      </c>
      <c r="H5675" t="s">
        <v>48</v>
      </c>
      <c r="I5675" s="3">
        <v>1529</v>
      </c>
      <c r="J5675" s="3">
        <v>1529</v>
      </c>
      <c r="K5675" s="3">
        <v>388</v>
      </c>
      <c r="L5675" t="s">
        <v>113</v>
      </c>
      <c r="M5675">
        <v>17</v>
      </c>
      <c r="N5675" t="s">
        <v>14</v>
      </c>
      <c r="O5675" t="s">
        <v>11</v>
      </c>
      <c r="P5675" t="s">
        <v>15</v>
      </c>
      <c r="Q5675" t="s">
        <v>16</v>
      </c>
      <c r="R5675" t="s">
        <v>16</v>
      </c>
      <c r="S5675" t="s">
        <v>144</v>
      </c>
      <c r="T5675" s="2">
        <f>MASTER[[#This Row],[CANTIDAD]]*MASTER[[#This Row],[PRECIO DE VENTA]]</f>
        <v>1529</v>
      </c>
      <c r="U5675" s="2">
        <f>MASTER[[#This Row],[CANTIDAD]]*MASTER[[#This Row],[COSTO UNITARIO]]</f>
        <v>388</v>
      </c>
      <c r="V5675" s="2">
        <f>MASTER[[#This Row],[MONTO VENDIDO]]-MASTER[[#This Row],[COSTO DE VENTA]]</f>
        <v>1141</v>
      </c>
    </row>
    <row r="5676" spans="1:22" x14ac:dyDescent="0.3">
      <c r="A5676">
        <v>79911</v>
      </c>
      <c r="B5676">
        <v>1</v>
      </c>
      <c r="C5676" t="s">
        <v>121</v>
      </c>
      <c r="D5676" t="s">
        <v>122</v>
      </c>
      <c r="E5676" s="1">
        <v>44446</v>
      </c>
      <c r="F5676">
        <v>1</v>
      </c>
      <c r="G5676" t="s">
        <v>61</v>
      </c>
      <c r="H5676" t="s">
        <v>62</v>
      </c>
      <c r="I5676" s="3">
        <v>1069</v>
      </c>
      <c r="J5676" s="3">
        <v>1069</v>
      </c>
      <c r="K5676" s="3">
        <v>460</v>
      </c>
      <c r="L5676" t="s">
        <v>120</v>
      </c>
      <c r="M5676">
        <v>8</v>
      </c>
      <c r="N5676" t="s">
        <v>80</v>
      </c>
      <c r="O5676" t="s">
        <v>81</v>
      </c>
      <c r="P5676" t="s">
        <v>12</v>
      </c>
      <c r="Q5676" t="s">
        <v>13</v>
      </c>
      <c r="R5676" t="s">
        <v>13</v>
      </c>
      <c r="S5676" t="s">
        <v>144</v>
      </c>
      <c r="T5676" s="2">
        <f>MASTER[[#This Row],[CANTIDAD]]*MASTER[[#This Row],[PRECIO DE VENTA]]</f>
        <v>1069</v>
      </c>
      <c r="U5676" s="2">
        <f>MASTER[[#This Row],[CANTIDAD]]*MASTER[[#This Row],[COSTO UNITARIO]]</f>
        <v>460</v>
      </c>
      <c r="V5676" s="2">
        <f>MASTER[[#This Row],[MONTO VENDIDO]]-MASTER[[#This Row],[COSTO DE VENTA]]</f>
        <v>609</v>
      </c>
    </row>
    <row r="5677" spans="1:22" x14ac:dyDescent="0.3">
      <c r="A5677">
        <v>79947</v>
      </c>
      <c r="B5677">
        <v>1</v>
      </c>
      <c r="C5677" t="s">
        <v>116</v>
      </c>
      <c r="D5677" t="s">
        <v>117</v>
      </c>
      <c r="E5677" s="1">
        <v>44446</v>
      </c>
      <c r="F5677">
        <v>1</v>
      </c>
      <c r="G5677" t="s">
        <v>20</v>
      </c>
      <c r="H5677" t="s">
        <v>21</v>
      </c>
      <c r="I5677" s="3">
        <v>1738</v>
      </c>
      <c r="J5677" s="3">
        <v>1598</v>
      </c>
      <c r="K5677" s="3">
        <v>388</v>
      </c>
      <c r="L5677" t="s">
        <v>113</v>
      </c>
      <c r="M5677">
        <v>2</v>
      </c>
      <c r="N5677" t="s">
        <v>86</v>
      </c>
      <c r="O5677" t="s">
        <v>81</v>
      </c>
      <c r="P5677" t="s">
        <v>71</v>
      </c>
      <c r="Q5677" t="s">
        <v>72</v>
      </c>
      <c r="R5677" t="s">
        <v>139</v>
      </c>
      <c r="S5677" t="s">
        <v>144</v>
      </c>
      <c r="T5677" s="2">
        <f>MASTER[[#This Row],[CANTIDAD]]*MASTER[[#This Row],[PRECIO DE VENTA]]</f>
        <v>1598</v>
      </c>
      <c r="U5677" s="2">
        <f>MASTER[[#This Row],[CANTIDAD]]*MASTER[[#This Row],[COSTO UNITARIO]]</f>
        <v>388</v>
      </c>
      <c r="V5677" s="2">
        <f>MASTER[[#This Row],[MONTO VENDIDO]]-MASTER[[#This Row],[COSTO DE VENTA]]</f>
        <v>1210</v>
      </c>
    </row>
    <row r="5678" spans="1:22" x14ac:dyDescent="0.3">
      <c r="A5678">
        <v>79962</v>
      </c>
      <c r="B5678">
        <v>1</v>
      </c>
      <c r="C5678" t="s">
        <v>92</v>
      </c>
      <c r="D5678" t="s">
        <v>93</v>
      </c>
      <c r="E5678" s="1">
        <v>44446</v>
      </c>
      <c r="F5678">
        <v>1</v>
      </c>
      <c r="G5678" t="s">
        <v>47</v>
      </c>
      <c r="H5678" t="s">
        <v>48</v>
      </c>
      <c r="I5678" s="3">
        <v>1479</v>
      </c>
      <c r="J5678" s="3">
        <v>1479</v>
      </c>
      <c r="K5678" s="3">
        <v>396</v>
      </c>
      <c r="L5678" t="s">
        <v>9</v>
      </c>
      <c r="M5678">
        <v>16</v>
      </c>
      <c r="N5678" t="s">
        <v>17</v>
      </c>
      <c r="O5678" t="s">
        <v>11</v>
      </c>
      <c r="P5678" t="s">
        <v>18</v>
      </c>
      <c r="Q5678" t="s">
        <v>19</v>
      </c>
      <c r="R5678" t="s">
        <v>138</v>
      </c>
      <c r="S5678" t="s">
        <v>144</v>
      </c>
      <c r="T5678" s="2">
        <f>MASTER[[#This Row],[CANTIDAD]]*MASTER[[#This Row],[PRECIO DE VENTA]]</f>
        <v>1479</v>
      </c>
      <c r="U5678" s="2">
        <f>MASTER[[#This Row],[CANTIDAD]]*MASTER[[#This Row],[COSTO UNITARIO]]</f>
        <v>396</v>
      </c>
      <c r="V5678" s="2">
        <f>MASTER[[#This Row],[MONTO VENDIDO]]-MASTER[[#This Row],[COSTO DE VENTA]]</f>
        <v>1083</v>
      </c>
    </row>
    <row r="5679" spans="1:22" x14ac:dyDescent="0.3">
      <c r="A5679">
        <v>79963</v>
      </c>
      <c r="B5679">
        <v>1</v>
      </c>
      <c r="C5679" t="s">
        <v>109</v>
      </c>
      <c r="D5679" t="s">
        <v>110</v>
      </c>
      <c r="E5679" s="1">
        <v>44446</v>
      </c>
      <c r="F5679">
        <v>1</v>
      </c>
      <c r="G5679" t="s">
        <v>7</v>
      </c>
      <c r="H5679" t="s">
        <v>8</v>
      </c>
      <c r="I5679" s="3">
        <v>1128</v>
      </c>
      <c r="J5679" s="3">
        <v>1128</v>
      </c>
      <c r="K5679" s="3">
        <v>387</v>
      </c>
      <c r="L5679" t="s">
        <v>98</v>
      </c>
      <c r="M5679">
        <v>6</v>
      </c>
      <c r="N5679" t="s">
        <v>75</v>
      </c>
      <c r="O5679" t="s">
        <v>70</v>
      </c>
      <c r="P5679" t="s">
        <v>12</v>
      </c>
      <c r="Q5679" t="s">
        <v>13</v>
      </c>
      <c r="R5679" t="s">
        <v>13</v>
      </c>
      <c r="S5679" t="s">
        <v>144</v>
      </c>
      <c r="T5679" s="2">
        <f>MASTER[[#This Row],[CANTIDAD]]*MASTER[[#This Row],[PRECIO DE VENTA]]</f>
        <v>1128</v>
      </c>
      <c r="U5679" s="2">
        <f>MASTER[[#This Row],[CANTIDAD]]*MASTER[[#This Row],[COSTO UNITARIO]]</f>
        <v>387</v>
      </c>
      <c r="V5679" s="2">
        <f>MASTER[[#This Row],[MONTO VENDIDO]]-MASTER[[#This Row],[COSTO DE VENTA]]</f>
        <v>741</v>
      </c>
    </row>
    <row r="5680" spans="1:22" x14ac:dyDescent="0.3">
      <c r="A5680">
        <v>79964</v>
      </c>
      <c r="B5680">
        <v>1</v>
      </c>
      <c r="C5680" t="s">
        <v>96</v>
      </c>
      <c r="D5680" t="s">
        <v>97</v>
      </c>
      <c r="E5680" s="1">
        <v>44446</v>
      </c>
      <c r="F5680">
        <v>1</v>
      </c>
      <c r="G5680" t="s">
        <v>65</v>
      </c>
      <c r="H5680" t="s">
        <v>66</v>
      </c>
      <c r="I5680" s="3">
        <v>1272</v>
      </c>
      <c r="J5680" s="3">
        <v>1272</v>
      </c>
      <c r="K5680" s="3">
        <v>397</v>
      </c>
      <c r="L5680" t="s">
        <v>98</v>
      </c>
      <c r="M5680">
        <v>19</v>
      </c>
      <c r="N5680" t="s">
        <v>89</v>
      </c>
      <c r="O5680" t="s">
        <v>81</v>
      </c>
      <c r="P5680" t="s">
        <v>15</v>
      </c>
      <c r="Q5680" t="s">
        <v>16</v>
      </c>
      <c r="R5680" t="s">
        <v>16</v>
      </c>
      <c r="S5680" t="s">
        <v>144</v>
      </c>
      <c r="T5680" s="2">
        <f>MASTER[[#This Row],[CANTIDAD]]*MASTER[[#This Row],[PRECIO DE VENTA]]</f>
        <v>1272</v>
      </c>
      <c r="U5680" s="2">
        <f>MASTER[[#This Row],[CANTIDAD]]*MASTER[[#This Row],[COSTO UNITARIO]]</f>
        <v>397</v>
      </c>
      <c r="V5680" s="2">
        <f>MASTER[[#This Row],[MONTO VENDIDO]]-MASTER[[#This Row],[COSTO DE VENTA]]</f>
        <v>875</v>
      </c>
    </row>
    <row r="5681" spans="1:22" x14ac:dyDescent="0.3">
      <c r="A5681">
        <v>79970</v>
      </c>
      <c r="B5681">
        <v>1</v>
      </c>
      <c r="C5681" t="s">
        <v>5</v>
      </c>
      <c r="D5681" t="s">
        <v>6</v>
      </c>
      <c r="E5681" s="1">
        <v>44446</v>
      </c>
      <c r="F5681">
        <v>1</v>
      </c>
      <c r="G5681" t="s">
        <v>61</v>
      </c>
      <c r="H5681" t="s">
        <v>62</v>
      </c>
      <c r="I5681" s="3">
        <v>1311</v>
      </c>
      <c r="J5681" s="3">
        <v>1311</v>
      </c>
      <c r="K5681" s="3">
        <v>393</v>
      </c>
      <c r="L5681" t="s">
        <v>9</v>
      </c>
      <c r="M5681">
        <v>12</v>
      </c>
      <c r="N5681" t="s">
        <v>26</v>
      </c>
      <c r="O5681" t="s">
        <v>11</v>
      </c>
      <c r="P5681" t="s">
        <v>12</v>
      </c>
      <c r="Q5681" t="s">
        <v>13</v>
      </c>
      <c r="R5681" t="s">
        <v>13</v>
      </c>
      <c r="S5681" t="s">
        <v>144</v>
      </c>
      <c r="T5681" s="2">
        <f>MASTER[[#This Row],[CANTIDAD]]*MASTER[[#This Row],[PRECIO DE VENTA]]</f>
        <v>1311</v>
      </c>
      <c r="U5681" s="2">
        <f>MASTER[[#This Row],[CANTIDAD]]*MASTER[[#This Row],[COSTO UNITARIO]]</f>
        <v>393</v>
      </c>
      <c r="V5681" s="2">
        <f>MASTER[[#This Row],[MONTO VENDIDO]]-MASTER[[#This Row],[COSTO DE VENTA]]</f>
        <v>918</v>
      </c>
    </row>
    <row r="5682" spans="1:22" x14ac:dyDescent="0.3">
      <c r="A5682">
        <v>79974</v>
      </c>
      <c r="B5682">
        <v>1</v>
      </c>
      <c r="C5682" t="s">
        <v>103</v>
      </c>
      <c r="D5682" t="s">
        <v>104</v>
      </c>
      <c r="E5682" s="1">
        <v>44446</v>
      </c>
      <c r="F5682">
        <v>4</v>
      </c>
      <c r="G5682" t="s">
        <v>35</v>
      </c>
      <c r="H5682" t="s">
        <v>36</v>
      </c>
      <c r="I5682" s="3">
        <v>1591</v>
      </c>
      <c r="J5682" s="3">
        <v>1591</v>
      </c>
      <c r="K5682" s="3">
        <v>421</v>
      </c>
      <c r="L5682" t="s">
        <v>98</v>
      </c>
      <c r="M5682">
        <v>15</v>
      </c>
      <c r="N5682" t="s">
        <v>88</v>
      </c>
      <c r="O5682" t="s">
        <v>81</v>
      </c>
      <c r="P5682" t="s">
        <v>18</v>
      </c>
      <c r="Q5682" t="s">
        <v>19</v>
      </c>
      <c r="R5682" t="s">
        <v>138</v>
      </c>
      <c r="S5682" t="s">
        <v>144</v>
      </c>
      <c r="T5682" s="2">
        <f>MASTER[[#This Row],[CANTIDAD]]*MASTER[[#This Row],[PRECIO DE VENTA]]</f>
        <v>6364</v>
      </c>
      <c r="U5682" s="2">
        <f>MASTER[[#This Row],[CANTIDAD]]*MASTER[[#This Row],[COSTO UNITARIO]]</f>
        <v>1684</v>
      </c>
      <c r="V5682" s="2">
        <f>MASTER[[#This Row],[MONTO VENDIDO]]-MASTER[[#This Row],[COSTO DE VENTA]]</f>
        <v>4680</v>
      </c>
    </row>
    <row r="5683" spans="1:22" x14ac:dyDescent="0.3">
      <c r="A5683">
        <v>79977</v>
      </c>
      <c r="B5683">
        <v>1</v>
      </c>
      <c r="C5683" t="s">
        <v>114</v>
      </c>
      <c r="D5683" t="s">
        <v>115</v>
      </c>
      <c r="E5683" s="1">
        <v>44446</v>
      </c>
      <c r="F5683">
        <v>1</v>
      </c>
      <c r="G5683" t="s">
        <v>33</v>
      </c>
      <c r="H5683" t="s">
        <v>34</v>
      </c>
      <c r="I5683" s="3">
        <v>1862</v>
      </c>
      <c r="J5683" s="3">
        <v>1862</v>
      </c>
      <c r="K5683" s="3">
        <v>394</v>
      </c>
      <c r="L5683" t="s">
        <v>113</v>
      </c>
      <c r="M5683">
        <v>14</v>
      </c>
      <c r="N5683" t="s">
        <v>87</v>
      </c>
      <c r="O5683" t="s">
        <v>81</v>
      </c>
      <c r="P5683" t="s">
        <v>18</v>
      </c>
      <c r="Q5683" t="s">
        <v>19</v>
      </c>
      <c r="R5683" t="s">
        <v>138</v>
      </c>
      <c r="S5683" t="s">
        <v>144</v>
      </c>
      <c r="T5683" s="2">
        <f>MASTER[[#This Row],[CANTIDAD]]*MASTER[[#This Row],[PRECIO DE VENTA]]</f>
        <v>1862</v>
      </c>
      <c r="U5683" s="2">
        <f>MASTER[[#This Row],[CANTIDAD]]*MASTER[[#This Row],[COSTO UNITARIO]]</f>
        <v>394</v>
      </c>
      <c r="V5683" s="2">
        <f>MASTER[[#This Row],[MONTO VENDIDO]]-MASTER[[#This Row],[COSTO DE VENTA]]</f>
        <v>1468</v>
      </c>
    </row>
    <row r="5684" spans="1:22" x14ac:dyDescent="0.3">
      <c r="A5684">
        <v>79983</v>
      </c>
      <c r="B5684">
        <v>1</v>
      </c>
      <c r="C5684" t="s">
        <v>105</v>
      </c>
      <c r="D5684" t="s">
        <v>106</v>
      </c>
      <c r="E5684" s="1">
        <v>44446</v>
      </c>
      <c r="F5684">
        <v>1</v>
      </c>
      <c r="G5684" t="s">
        <v>65</v>
      </c>
      <c r="H5684" t="s">
        <v>66</v>
      </c>
      <c r="I5684" s="3">
        <v>1585</v>
      </c>
      <c r="J5684" s="3">
        <v>1585</v>
      </c>
      <c r="K5684" s="3">
        <v>459</v>
      </c>
      <c r="L5684" t="s">
        <v>98</v>
      </c>
      <c r="M5684">
        <v>12</v>
      </c>
      <c r="N5684" t="s">
        <v>26</v>
      </c>
      <c r="O5684" t="s">
        <v>11</v>
      </c>
      <c r="P5684" t="s">
        <v>12</v>
      </c>
      <c r="Q5684" t="s">
        <v>13</v>
      </c>
      <c r="R5684" t="s">
        <v>13</v>
      </c>
      <c r="S5684" t="s">
        <v>144</v>
      </c>
      <c r="T5684" s="2">
        <f>MASTER[[#This Row],[CANTIDAD]]*MASTER[[#This Row],[PRECIO DE VENTA]]</f>
        <v>1585</v>
      </c>
      <c r="U5684" s="2">
        <f>MASTER[[#This Row],[CANTIDAD]]*MASTER[[#This Row],[COSTO UNITARIO]]</f>
        <v>459</v>
      </c>
      <c r="V5684" s="2">
        <f>MASTER[[#This Row],[MONTO VENDIDO]]-MASTER[[#This Row],[COSTO DE VENTA]]</f>
        <v>1126</v>
      </c>
    </row>
    <row r="5685" spans="1:22" x14ac:dyDescent="0.3">
      <c r="A5685">
        <v>79997</v>
      </c>
      <c r="B5685">
        <v>1</v>
      </c>
      <c r="C5685" t="s">
        <v>96</v>
      </c>
      <c r="D5685" t="s">
        <v>97</v>
      </c>
      <c r="E5685" s="1">
        <v>44446</v>
      </c>
      <c r="F5685">
        <v>4</v>
      </c>
      <c r="G5685" t="s">
        <v>51</v>
      </c>
      <c r="H5685" t="s">
        <v>52</v>
      </c>
      <c r="I5685" s="3">
        <v>1272</v>
      </c>
      <c r="J5685" s="3">
        <v>1272</v>
      </c>
      <c r="K5685" s="3">
        <v>397</v>
      </c>
      <c r="L5685" t="s">
        <v>98</v>
      </c>
      <c r="M5685">
        <v>5</v>
      </c>
      <c r="N5685" t="s">
        <v>85</v>
      </c>
      <c r="O5685" t="s">
        <v>81</v>
      </c>
      <c r="P5685" t="s">
        <v>12</v>
      </c>
      <c r="Q5685" t="s">
        <v>13</v>
      </c>
      <c r="R5685" t="s">
        <v>13</v>
      </c>
      <c r="S5685" t="s">
        <v>144</v>
      </c>
      <c r="T5685" s="2">
        <f>MASTER[[#This Row],[CANTIDAD]]*MASTER[[#This Row],[PRECIO DE VENTA]]</f>
        <v>5088</v>
      </c>
      <c r="U5685" s="2">
        <f>MASTER[[#This Row],[CANTIDAD]]*MASTER[[#This Row],[COSTO UNITARIO]]</f>
        <v>1588</v>
      </c>
      <c r="V5685" s="2">
        <f>MASTER[[#This Row],[MONTO VENDIDO]]-MASTER[[#This Row],[COSTO DE VENTA]]</f>
        <v>3500</v>
      </c>
    </row>
    <row r="5686" spans="1:22" x14ac:dyDescent="0.3">
      <c r="A5686">
        <v>80001</v>
      </c>
      <c r="B5686">
        <v>1</v>
      </c>
      <c r="C5686" t="s">
        <v>90</v>
      </c>
      <c r="D5686" t="s">
        <v>91</v>
      </c>
      <c r="E5686" s="1">
        <v>44447</v>
      </c>
      <c r="F5686">
        <v>1</v>
      </c>
      <c r="G5686" t="s">
        <v>35</v>
      </c>
      <c r="H5686" t="s">
        <v>36</v>
      </c>
      <c r="I5686" s="3">
        <v>2102</v>
      </c>
      <c r="J5686" s="3">
        <v>2102</v>
      </c>
      <c r="K5686" s="3">
        <v>420</v>
      </c>
      <c r="L5686" t="s">
        <v>9</v>
      </c>
      <c r="M5686">
        <v>18</v>
      </c>
      <c r="N5686" t="s">
        <v>79</v>
      </c>
      <c r="O5686" t="s">
        <v>70</v>
      </c>
      <c r="P5686" t="s">
        <v>15</v>
      </c>
      <c r="Q5686" t="s">
        <v>16</v>
      </c>
      <c r="R5686" t="s">
        <v>16</v>
      </c>
      <c r="S5686" t="s">
        <v>144</v>
      </c>
      <c r="T5686" s="2">
        <f>MASTER[[#This Row],[CANTIDAD]]*MASTER[[#This Row],[PRECIO DE VENTA]]</f>
        <v>2102</v>
      </c>
      <c r="U5686" s="2">
        <f>MASTER[[#This Row],[CANTIDAD]]*MASTER[[#This Row],[COSTO UNITARIO]]</f>
        <v>420</v>
      </c>
      <c r="V5686" s="2">
        <f>MASTER[[#This Row],[MONTO VENDIDO]]-MASTER[[#This Row],[COSTO DE VENTA]]</f>
        <v>1682</v>
      </c>
    </row>
    <row r="5687" spans="1:22" x14ac:dyDescent="0.3">
      <c r="A5687">
        <v>80004</v>
      </c>
      <c r="B5687">
        <v>1</v>
      </c>
      <c r="C5687" t="s">
        <v>103</v>
      </c>
      <c r="D5687" t="s">
        <v>104</v>
      </c>
      <c r="E5687" s="1">
        <v>44447</v>
      </c>
      <c r="F5687">
        <v>1</v>
      </c>
      <c r="G5687" t="s">
        <v>45</v>
      </c>
      <c r="H5687" t="s">
        <v>46</v>
      </c>
      <c r="I5687" s="3">
        <v>1591</v>
      </c>
      <c r="J5687" s="3">
        <v>1591</v>
      </c>
      <c r="K5687" s="3">
        <v>421</v>
      </c>
      <c r="L5687" t="s">
        <v>98</v>
      </c>
      <c r="M5687">
        <v>15</v>
      </c>
      <c r="N5687" t="s">
        <v>88</v>
      </c>
      <c r="O5687" t="s">
        <v>81</v>
      </c>
      <c r="P5687" t="s">
        <v>18</v>
      </c>
      <c r="Q5687" t="s">
        <v>19</v>
      </c>
      <c r="R5687" t="s">
        <v>138</v>
      </c>
      <c r="S5687" t="s">
        <v>144</v>
      </c>
      <c r="T5687" s="2">
        <f>MASTER[[#This Row],[CANTIDAD]]*MASTER[[#This Row],[PRECIO DE VENTA]]</f>
        <v>1591</v>
      </c>
      <c r="U5687" s="2">
        <f>MASTER[[#This Row],[CANTIDAD]]*MASTER[[#This Row],[COSTO UNITARIO]]</f>
        <v>421</v>
      </c>
      <c r="V5687" s="2">
        <f>MASTER[[#This Row],[MONTO VENDIDO]]-MASTER[[#This Row],[COSTO DE VENTA]]</f>
        <v>1170</v>
      </c>
    </row>
    <row r="5688" spans="1:22" x14ac:dyDescent="0.3">
      <c r="A5688">
        <v>80043</v>
      </c>
      <c r="B5688">
        <v>1</v>
      </c>
      <c r="C5688" t="s">
        <v>92</v>
      </c>
      <c r="D5688" t="s">
        <v>93</v>
      </c>
      <c r="E5688" s="1">
        <v>44447</v>
      </c>
      <c r="F5688">
        <v>1</v>
      </c>
      <c r="G5688" t="s">
        <v>43</v>
      </c>
      <c r="H5688" t="s">
        <v>44</v>
      </c>
      <c r="I5688" s="3">
        <v>1681</v>
      </c>
      <c r="J5688" s="3">
        <v>1681</v>
      </c>
      <c r="K5688" s="3">
        <v>396</v>
      </c>
      <c r="L5688" t="s">
        <v>9</v>
      </c>
      <c r="M5688">
        <v>2</v>
      </c>
      <c r="N5688" t="s">
        <v>86</v>
      </c>
      <c r="O5688" t="s">
        <v>81</v>
      </c>
      <c r="P5688" t="s">
        <v>71</v>
      </c>
      <c r="Q5688" t="s">
        <v>72</v>
      </c>
      <c r="R5688" t="s">
        <v>139</v>
      </c>
      <c r="S5688" t="s">
        <v>144</v>
      </c>
      <c r="T5688" s="2">
        <f>MASTER[[#This Row],[CANTIDAD]]*MASTER[[#This Row],[PRECIO DE VENTA]]</f>
        <v>1681</v>
      </c>
      <c r="U5688" s="2">
        <f>MASTER[[#This Row],[CANTIDAD]]*MASTER[[#This Row],[COSTO UNITARIO]]</f>
        <v>396</v>
      </c>
      <c r="V5688" s="2">
        <f>MASTER[[#This Row],[MONTO VENDIDO]]-MASTER[[#This Row],[COSTO DE VENTA]]</f>
        <v>1285</v>
      </c>
    </row>
    <row r="5689" spans="1:22" x14ac:dyDescent="0.3">
      <c r="A5689">
        <v>80050</v>
      </c>
      <c r="B5689">
        <v>1</v>
      </c>
      <c r="C5689" t="s">
        <v>101</v>
      </c>
      <c r="D5689" t="s">
        <v>102</v>
      </c>
      <c r="E5689" s="1">
        <v>44447</v>
      </c>
      <c r="F5689">
        <v>2</v>
      </c>
      <c r="G5689" t="s">
        <v>67</v>
      </c>
      <c r="H5689" t="s">
        <v>68</v>
      </c>
      <c r="I5689" s="3">
        <v>1357</v>
      </c>
      <c r="J5689" s="3">
        <v>1357</v>
      </c>
      <c r="K5689" s="3">
        <v>442</v>
      </c>
      <c r="L5689" t="s">
        <v>98</v>
      </c>
      <c r="M5689">
        <v>9</v>
      </c>
      <c r="N5689" t="s">
        <v>76</v>
      </c>
      <c r="O5689" t="s">
        <v>70</v>
      </c>
      <c r="P5689" t="s">
        <v>12</v>
      </c>
      <c r="Q5689" t="s">
        <v>13</v>
      </c>
      <c r="R5689" t="s">
        <v>13</v>
      </c>
      <c r="S5689" t="s">
        <v>144</v>
      </c>
      <c r="T5689" s="2">
        <f>MASTER[[#This Row],[CANTIDAD]]*MASTER[[#This Row],[PRECIO DE VENTA]]</f>
        <v>2714</v>
      </c>
      <c r="U5689" s="2">
        <f>MASTER[[#This Row],[CANTIDAD]]*MASTER[[#This Row],[COSTO UNITARIO]]</f>
        <v>884</v>
      </c>
      <c r="V5689" s="2">
        <f>MASTER[[#This Row],[MONTO VENDIDO]]-MASTER[[#This Row],[COSTO DE VENTA]]</f>
        <v>1830</v>
      </c>
    </row>
    <row r="5690" spans="1:22" x14ac:dyDescent="0.3">
      <c r="A5690">
        <v>80055</v>
      </c>
      <c r="B5690">
        <v>1</v>
      </c>
      <c r="C5690" t="s">
        <v>99</v>
      </c>
      <c r="D5690" t="s">
        <v>100</v>
      </c>
      <c r="E5690" s="1">
        <v>44447</v>
      </c>
      <c r="F5690">
        <v>1</v>
      </c>
      <c r="G5690" t="s">
        <v>67</v>
      </c>
      <c r="H5690" t="s">
        <v>68</v>
      </c>
      <c r="I5690" s="3">
        <v>1459</v>
      </c>
      <c r="J5690" s="3">
        <v>1459</v>
      </c>
      <c r="K5690" s="3">
        <v>386</v>
      </c>
      <c r="L5690" t="s">
        <v>98</v>
      </c>
      <c r="M5690">
        <v>14</v>
      </c>
      <c r="N5690" t="s">
        <v>87</v>
      </c>
      <c r="O5690" t="s">
        <v>81</v>
      </c>
      <c r="P5690" t="s">
        <v>18</v>
      </c>
      <c r="Q5690" t="s">
        <v>19</v>
      </c>
      <c r="R5690" t="s">
        <v>138</v>
      </c>
      <c r="S5690" t="s">
        <v>144</v>
      </c>
      <c r="T5690" s="2">
        <f>MASTER[[#This Row],[CANTIDAD]]*MASTER[[#This Row],[PRECIO DE VENTA]]</f>
        <v>1459</v>
      </c>
      <c r="U5690" s="2">
        <f>MASTER[[#This Row],[CANTIDAD]]*MASTER[[#This Row],[COSTO UNITARIO]]</f>
        <v>386</v>
      </c>
      <c r="V5690" s="2">
        <f>MASTER[[#This Row],[MONTO VENDIDO]]-MASTER[[#This Row],[COSTO DE VENTA]]</f>
        <v>1073</v>
      </c>
    </row>
    <row r="5691" spans="1:22" x14ac:dyDescent="0.3">
      <c r="A5691">
        <v>80072</v>
      </c>
      <c r="B5691">
        <v>1</v>
      </c>
      <c r="C5691" t="s">
        <v>90</v>
      </c>
      <c r="D5691" t="s">
        <v>91</v>
      </c>
      <c r="E5691" s="1">
        <v>44447</v>
      </c>
      <c r="F5691">
        <v>1</v>
      </c>
      <c r="G5691" t="s">
        <v>41</v>
      </c>
      <c r="H5691" t="s">
        <v>42</v>
      </c>
      <c r="I5691" s="3">
        <v>2102</v>
      </c>
      <c r="J5691" s="3">
        <v>2017</v>
      </c>
      <c r="K5691" s="3">
        <v>420</v>
      </c>
      <c r="L5691" t="s">
        <v>9</v>
      </c>
      <c r="M5691">
        <v>9</v>
      </c>
      <c r="N5691" t="s">
        <v>76</v>
      </c>
      <c r="O5691" t="s">
        <v>70</v>
      </c>
      <c r="P5691" t="s">
        <v>12</v>
      </c>
      <c r="Q5691" t="s">
        <v>13</v>
      </c>
      <c r="R5691" t="s">
        <v>13</v>
      </c>
      <c r="S5691" t="s">
        <v>144</v>
      </c>
      <c r="T5691" s="2">
        <f>MASTER[[#This Row],[CANTIDAD]]*MASTER[[#This Row],[PRECIO DE VENTA]]</f>
        <v>2017</v>
      </c>
      <c r="U5691" s="2">
        <f>MASTER[[#This Row],[CANTIDAD]]*MASTER[[#This Row],[COSTO UNITARIO]]</f>
        <v>420</v>
      </c>
      <c r="V5691" s="2">
        <f>MASTER[[#This Row],[MONTO VENDIDO]]-MASTER[[#This Row],[COSTO DE VENTA]]</f>
        <v>1597</v>
      </c>
    </row>
    <row r="5692" spans="1:22" x14ac:dyDescent="0.3">
      <c r="A5692">
        <v>80074</v>
      </c>
      <c r="B5692">
        <v>1</v>
      </c>
      <c r="C5692" t="s">
        <v>105</v>
      </c>
      <c r="D5692" t="s">
        <v>106</v>
      </c>
      <c r="E5692" s="1">
        <v>44447</v>
      </c>
      <c r="F5692">
        <v>1</v>
      </c>
      <c r="G5692" t="s">
        <v>61</v>
      </c>
      <c r="H5692" t="s">
        <v>62</v>
      </c>
      <c r="I5692" s="3">
        <v>1865</v>
      </c>
      <c r="J5692" s="3">
        <v>1715</v>
      </c>
      <c r="K5692" s="3">
        <v>459</v>
      </c>
      <c r="L5692" t="s">
        <v>98</v>
      </c>
      <c r="M5692">
        <v>15</v>
      </c>
      <c r="N5692" t="s">
        <v>88</v>
      </c>
      <c r="O5692" t="s">
        <v>81</v>
      </c>
      <c r="P5692" t="s">
        <v>18</v>
      </c>
      <c r="Q5692" t="s">
        <v>19</v>
      </c>
      <c r="R5692" t="s">
        <v>138</v>
      </c>
      <c r="S5692" t="s">
        <v>144</v>
      </c>
      <c r="T5692" s="2">
        <f>MASTER[[#This Row],[CANTIDAD]]*MASTER[[#This Row],[PRECIO DE VENTA]]</f>
        <v>1715</v>
      </c>
      <c r="U5692" s="2">
        <f>MASTER[[#This Row],[CANTIDAD]]*MASTER[[#This Row],[COSTO UNITARIO]]</f>
        <v>459</v>
      </c>
      <c r="V5692" s="2">
        <f>MASTER[[#This Row],[MONTO VENDIDO]]-MASTER[[#This Row],[COSTO DE VENTA]]</f>
        <v>1256</v>
      </c>
    </row>
    <row r="5693" spans="1:22" x14ac:dyDescent="0.3">
      <c r="A5693">
        <v>80093</v>
      </c>
      <c r="B5693">
        <v>1</v>
      </c>
      <c r="C5693" t="s">
        <v>5</v>
      </c>
      <c r="D5693" t="s">
        <v>6</v>
      </c>
      <c r="E5693" s="1">
        <v>44447</v>
      </c>
      <c r="F5693">
        <v>1</v>
      </c>
      <c r="G5693" t="s">
        <v>31</v>
      </c>
      <c r="H5693" t="s">
        <v>32</v>
      </c>
      <c r="I5693" s="3">
        <v>1507</v>
      </c>
      <c r="J5693" s="3">
        <v>1507</v>
      </c>
      <c r="K5693" s="3">
        <v>393</v>
      </c>
      <c r="L5693" t="s">
        <v>9</v>
      </c>
      <c r="M5693">
        <v>10</v>
      </c>
      <c r="N5693" t="s">
        <v>83</v>
      </c>
      <c r="O5693" t="s">
        <v>81</v>
      </c>
      <c r="P5693" t="s">
        <v>12</v>
      </c>
      <c r="Q5693" t="s">
        <v>13</v>
      </c>
      <c r="R5693" t="s">
        <v>13</v>
      </c>
      <c r="S5693" t="s">
        <v>144</v>
      </c>
      <c r="T5693" s="2">
        <f>MASTER[[#This Row],[CANTIDAD]]*MASTER[[#This Row],[PRECIO DE VENTA]]</f>
        <v>1507</v>
      </c>
      <c r="U5693" s="2">
        <f>MASTER[[#This Row],[CANTIDAD]]*MASTER[[#This Row],[COSTO UNITARIO]]</f>
        <v>393</v>
      </c>
      <c r="V5693" s="2">
        <f>MASTER[[#This Row],[MONTO VENDIDO]]-MASTER[[#This Row],[COSTO DE VENTA]]</f>
        <v>1114</v>
      </c>
    </row>
    <row r="5694" spans="1:22" x14ac:dyDescent="0.3">
      <c r="A5694">
        <v>80134</v>
      </c>
      <c r="B5694">
        <v>1</v>
      </c>
      <c r="C5694" t="s">
        <v>92</v>
      </c>
      <c r="D5694" t="s">
        <v>93</v>
      </c>
      <c r="E5694" s="1">
        <v>44447</v>
      </c>
      <c r="F5694">
        <v>1</v>
      </c>
      <c r="G5694" t="s">
        <v>67</v>
      </c>
      <c r="H5694" t="s">
        <v>68</v>
      </c>
      <c r="I5694" s="3">
        <v>1681</v>
      </c>
      <c r="J5694" s="3">
        <v>1681</v>
      </c>
      <c r="K5694" s="3">
        <v>396</v>
      </c>
      <c r="L5694" t="s">
        <v>9</v>
      </c>
      <c r="M5694">
        <v>8</v>
      </c>
      <c r="N5694" t="s">
        <v>80</v>
      </c>
      <c r="O5694" t="s">
        <v>81</v>
      </c>
      <c r="P5694" t="s">
        <v>12</v>
      </c>
      <c r="Q5694" t="s">
        <v>13</v>
      </c>
      <c r="R5694" t="s">
        <v>13</v>
      </c>
      <c r="S5694" t="s">
        <v>144</v>
      </c>
      <c r="T5694" s="2">
        <f>MASTER[[#This Row],[CANTIDAD]]*MASTER[[#This Row],[PRECIO DE VENTA]]</f>
        <v>1681</v>
      </c>
      <c r="U5694" s="2">
        <f>MASTER[[#This Row],[CANTIDAD]]*MASTER[[#This Row],[COSTO UNITARIO]]</f>
        <v>396</v>
      </c>
      <c r="V5694" s="2">
        <f>MASTER[[#This Row],[MONTO VENDIDO]]-MASTER[[#This Row],[COSTO DE VENTA]]</f>
        <v>1285</v>
      </c>
    </row>
    <row r="5695" spans="1:22" x14ac:dyDescent="0.3">
      <c r="A5695">
        <v>80143</v>
      </c>
      <c r="B5695">
        <v>1</v>
      </c>
      <c r="C5695" t="s">
        <v>118</v>
      </c>
      <c r="D5695" t="s">
        <v>119</v>
      </c>
      <c r="E5695" s="1">
        <v>44447</v>
      </c>
      <c r="F5695">
        <v>1</v>
      </c>
      <c r="G5695" t="s">
        <v>7</v>
      </c>
      <c r="H5695" t="s">
        <v>8</v>
      </c>
      <c r="I5695" s="3">
        <v>1026</v>
      </c>
      <c r="J5695" s="3">
        <v>1026</v>
      </c>
      <c r="K5695" s="3">
        <v>424</v>
      </c>
      <c r="L5695" t="s">
        <v>120</v>
      </c>
      <c r="M5695">
        <v>18</v>
      </c>
      <c r="N5695" t="s">
        <v>79</v>
      </c>
      <c r="O5695" t="s">
        <v>70</v>
      </c>
      <c r="P5695" t="s">
        <v>15</v>
      </c>
      <c r="Q5695" t="s">
        <v>16</v>
      </c>
      <c r="R5695" t="s">
        <v>16</v>
      </c>
      <c r="S5695" t="s">
        <v>144</v>
      </c>
      <c r="T5695" s="2">
        <f>MASTER[[#This Row],[CANTIDAD]]*MASTER[[#This Row],[PRECIO DE VENTA]]</f>
        <v>1026</v>
      </c>
      <c r="U5695" s="2">
        <f>MASTER[[#This Row],[CANTIDAD]]*MASTER[[#This Row],[COSTO UNITARIO]]</f>
        <v>424</v>
      </c>
      <c r="V5695" s="2">
        <f>MASTER[[#This Row],[MONTO VENDIDO]]-MASTER[[#This Row],[COSTO DE VENTA]]</f>
        <v>602</v>
      </c>
    </row>
    <row r="5696" spans="1:22" x14ac:dyDescent="0.3">
      <c r="A5696">
        <v>80148</v>
      </c>
      <c r="B5696">
        <v>1</v>
      </c>
      <c r="C5696" t="s">
        <v>114</v>
      </c>
      <c r="D5696" t="s">
        <v>115</v>
      </c>
      <c r="E5696" s="1">
        <v>44448</v>
      </c>
      <c r="F5696">
        <v>1</v>
      </c>
      <c r="G5696" t="s">
        <v>43</v>
      </c>
      <c r="H5696" t="s">
        <v>44</v>
      </c>
      <c r="I5696" s="3">
        <v>1862</v>
      </c>
      <c r="J5696" s="3">
        <v>1862</v>
      </c>
      <c r="K5696" s="3">
        <v>394</v>
      </c>
      <c r="L5696" t="s">
        <v>113</v>
      </c>
      <c r="M5696">
        <v>10</v>
      </c>
      <c r="N5696" t="s">
        <v>83</v>
      </c>
      <c r="O5696" t="s">
        <v>81</v>
      </c>
      <c r="P5696" t="s">
        <v>12</v>
      </c>
      <c r="Q5696" t="s">
        <v>13</v>
      </c>
      <c r="R5696" t="s">
        <v>13</v>
      </c>
      <c r="S5696" t="s">
        <v>144</v>
      </c>
      <c r="T5696" s="2">
        <f>MASTER[[#This Row],[CANTIDAD]]*MASTER[[#This Row],[PRECIO DE VENTA]]</f>
        <v>1862</v>
      </c>
      <c r="U5696" s="2">
        <f>MASTER[[#This Row],[CANTIDAD]]*MASTER[[#This Row],[COSTO UNITARIO]]</f>
        <v>394</v>
      </c>
      <c r="V5696" s="2">
        <f>MASTER[[#This Row],[MONTO VENDIDO]]-MASTER[[#This Row],[COSTO DE VENTA]]</f>
        <v>1468</v>
      </c>
    </row>
    <row r="5697" spans="1:22" x14ac:dyDescent="0.3">
      <c r="A5697">
        <v>80155</v>
      </c>
      <c r="B5697">
        <v>1</v>
      </c>
      <c r="C5697" t="s">
        <v>116</v>
      </c>
      <c r="D5697" t="s">
        <v>117</v>
      </c>
      <c r="E5697" s="1">
        <v>44448</v>
      </c>
      <c r="F5697">
        <v>1</v>
      </c>
      <c r="G5697" t="s">
        <v>22</v>
      </c>
      <c r="H5697" t="s">
        <v>23</v>
      </c>
      <c r="I5697" s="3">
        <v>1999</v>
      </c>
      <c r="J5697" s="3">
        <v>1999</v>
      </c>
      <c r="K5697" s="3">
        <v>388</v>
      </c>
      <c r="L5697" t="s">
        <v>113</v>
      </c>
      <c r="M5697">
        <v>18</v>
      </c>
      <c r="N5697" t="s">
        <v>79</v>
      </c>
      <c r="O5697" t="s">
        <v>70</v>
      </c>
      <c r="P5697" t="s">
        <v>15</v>
      </c>
      <c r="Q5697" t="s">
        <v>16</v>
      </c>
      <c r="R5697" t="s">
        <v>16</v>
      </c>
      <c r="S5697" t="s">
        <v>144</v>
      </c>
      <c r="T5697" s="2">
        <f>MASTER[[#This Row],[CANTIDAD]]*MASTER[[#This Row],[PRECIO DE VENTA]]</f>
        <v>1999</v>
      </c>
      <c r="U5697" s="2">
        <f>MASTER[[#This Row],[CANTIDAD]]*MASTER[[#This Row],[COSTO UNITARIO]]</f>
        <v>388</v>
      </c>
      <c r="V5697" s="2">
        <f>MASTER[[#This Row],[MONTO VENDIDO]]-MASTER[[#This Row],[COSTO DE VENTA]]</f>
        <v>1611</v>
      </c>
    </row>
    <row r="5698" spans="1:22" x14ac:dyDescent="0.3">
      <c r="A5698">
        <v>80157</v>
      </c>
      <c r="B5698">
        <v>1</v>
      </c>
      <c r="C5698" t="s">
        <v>94</v>
      </c>
      <c r="D5698" t="s">
        <v>95</v>
      </c>
      <c r="E5698" s="1">
        <v>44448</v>
      </c>
      <c r="F5698">
        <v>1</v>
      </c>
      <c r="G5698" t="s">
        <v>29</v>
      </c>
      <c r="H5698" t="s">
        <v>30</v>
      </c>
      <c r="I5698" s="3">
        <v>1153</v>
      </c>
      <c r="J5698" s="3">
        <v>1153</v>
      </c>
      <c r="K5698" s="3">
        <v>392</v>
      </c>
      <c r="L5698" t="s">
        <v>9</v>
      </c>
      <c r="M5698">
        <v>3</v>
      </c>
      <c r="N5698" t="s">
        <v>69</v>
      </c>
      <c r="O5698" t="s">
        <v>70</v>
      </c>
      <c r="P5698" t="s">
        <v>71</v>
      </c>
      <c r="Q5698" t="s">
        <v>72</v>
      </c>
      <c r="R5698" t="s">
        <v>139</v>
      </c>
      <c r="S5698" t="s">
        <v>144</v>
      </c>
      <c r="T5698" s="2">
        <f>MASTER[[#This Row],[CANTIDAD]]*MASTER[[#This Row],[PRECIO DE VENTA]]</f>
        <v>1153</v>
      </c>
      <c r="U5698" s="2">
        <f>MASTER[[#This Row],[CANTIDAD]]*MASTER[[#This Row],[COSTO UNITARIO]]</f>
        <v>392</v>
      </c>
      <c r="V5698" s="2">
        <f>MASTER[[#This Row],[MONTO VENDIDO]]-MASTER[[#This Row],[COSTO DE VENTA]]</f>
        <v>761</v>
      </c>
    </row>
    <row r="5699" spans="1:22" x14ac:dyDescent="0.3">
      <c r="A5699">
        <v>80173</v>
      </c>
      <c r="B5699">
        <v>1</v>
      </c>
      <c r="C5699" t="s">
        <v>5</v>
      </c>
      <c r="D5699" t="s">
        <v>6</v>
      </c>
      <c r="E5699" s="1">
        <v>44448</v>
      </c>
      <c r="F5699">
        <v>1</v>
      </c>
      <c r="G5699" t="s">
        <v>57</v>
      </c>
      <c r="H5699" t="s">
        <v>58</v>
      </c>
      <c r="I5699" s="3">
        <v>1311</v>
      </c>
      <c r="J5699" s="3">
        <v>1311</v>
      </c>
      <c r="K5699" s="3">
        <v>393</v>
      </c>
      <c r="L5699" t="s">
        <v>9</v>
      </c>
      <c r="M5699">
        <v>17</v>
      </c>
      <c r="N5699" t="s">
        <v>14</v>
      </c>
      <c r="O5699" t="s">
        <v>11</v>
      </c>
      <c r="P5699" t="s">
        <v>15</v>
      </c>
      <c r="Q5699" t="s">
        <v>16</v>
      </c>
      <c r="R5699" t="s">
        <v>16</v>
      </c>
      <c r="S5699" t="s">
        <v>144</v>
      </c>
      <c r="T5699" s="2">
        <f>MASTER[[#This Row],[CANTIDAD]]*MASTER[[#This Row],[PRECIO DE VENTA]]</f>
        <v>1311</v>
      </c>
      <c r="U5699" s="2">
        <f>MASTER[[#This Row],[CANTIDAD]]*MASTER[[#This Row],[COSTO UNITARIO]]</f>
        <v>393</v>
      </c>
      <c r="V5699" s="2">
        <f>MASTER[[#This Row],[MONTO VENDIDO]]-MASTER[[#This Row],[COSTO DE VENTA]]</f>
        <v>918</v>
      </c>
    </row>
    <row r="5700" spans="1:22" x14ac:dyDescent="0.3">
      <c r="A5700">
        <v>80179</v>
      </c>
      <c r="B5700">
        <v>1</v>
      </c>
      <c r="C5700" t="s">
        <v>109</v>
      </c>
      <c r="D5700" t="s">
        <v>110</v>
      </c>
      <c r="E5700" s="1">
        <v>44448</v>
      </c>
      <c r="F5700">
        <v>1</v>
      </c>
      <c r="G5700" t="s">
        <v>22</v>
      </c>
      <c r="H5700" t="s">
        <v>23</v>
      </c>
      <c r="I5700" s="3">
        <v>1064</v>
      </c>
      <c r="J5700" s="3">
        <v>1064</v>
      </c>
      <c r="K5700" s="3">
        <v>387</v>
      </c>
      <c r="L5700" t="s">
        <v>98</v>
      </c>
      <c r="M5700">
        <v>8</v>
      </c>
      <c r="N5700" t="s">
        <v>80</v>
      </c>
      <c r="O5700" t="s">
        <v>81</v>
      </c>
      <c r="P5700" t="s">
        <v>12</v>
      </c>
      <c r="Q5700" t="s">
        <v>13</v>
      </c>
      <c r="R5700" t="s">
        <v>13</v>
      </c>
      <c r="S5700" t="s">
        <v>144</v>
      </c>
      <c r="T5700" s="2">
        <f>MASTER[[#This Row],[CANTIDAD]]*MASTER[[#This Row],[PRECIO DE VENTA]]</f>
        <v>1064</v>
      </c>
      <c r="U5700" s="2">
        <f>MASTER[[#This Row],[CANTIDAD]]*MASTER[[#This Row],[COSTO UNITARIO]]</f>
        <v>387</v>
      </c>
      <c r="V5700" s="2">
        <f>MASTER[[#This Row],[MONTO VENDIDO]]-MASTER[[#This Row],[COSTO DE VENTA]]</f>
        <v>677</v>
      </c>
    </row>
    <row r="5701" spans="1:22" x14ac:dyDescent="0.3">
      <c r="A5701">
        <v>80198</v>
      </c>
      <c r="B5701">
        <v>1</v>
      </c>
      <c r="C5701" t="s">
        <v>114</v>
      </c>
      <c r="D5701" t="s">
        <v>115</v>
      </c>
      <c r="E5701" s="1">
        <v>44448</v>
      </c>
      <c r="F5701">
        <v>1</v>
      </c>
      <c r="G5701" t="s">
        <v>31</v>
      </c>
      <c r="H5701" t="s">
        <v>32</v>
      </c>
      <c r="I5701" s="3">
        <v>2030</v>
      </c>
      <c r="J5701" s="3">
        <v>2030</v>
      </c>
      <c r="K5701" s="3">
        <v>394</v>
      </c>
      <c r="L5701" t="s">
        <v>113</v>
      </c>
      <c r="M5701">
        <v>9</v>
      </c>
      <c r="N5701" t="s">
        <v>76</v>
      </c>
      <c r="O5701" t="s">
        <v>70</v>
      </c>
      <c r="P5701" t="s">
        <v>12</v>
      </c>
      <c r="Q5701" t="s">
        <v>13</v>
      </c>
      <c r="R5701" t="s">
        <v>13</v>
      </c>
      <c r="S5701" t="s">
        <v>144</v>
      </c>
      <c r="T5701" s="2">
        <f>MASTER[[#This Row],[CANTIDAD]]*MASTER[[#This Row],[PRECIO DE VENTA]]</f>
        <v>2030</v>
      </c>
      <c r="U5701" s="2">
        <f>MASTER[[#This Row],[CANTIDAD]]*MASTER[[#This Row],[COSTO UNITARIO]]</f>
        <v>394</v>
      </c>
      <c r="V5701" s="2">
        <f>MASTER[[#This Row],[MONTO VENDIDO]]-MASTER[[#This Row],[COSTO DE VENTA]]</f>
        <v>1636</v>
      </c>
    </row>
    <row r="5702" spans="1:22" x14ac:dyDescent="0.3">
      <c r="A5702">
        <v>80246</v>
      </c>
      <c r="B5702">
        <v>1</v>
      </c>
      <c r="C5702" t="s">
        <v>111</v>
      </c>
      <c r="D5702" t="s">
        <v>112</v>
      </c>
      <c r="E5702" s="1">
        <v>44448</v>
      </c>
      <c r="F5702">
        <v>1</v>
      </c>
      <c r="G5702" t="s">
        <v>73</v>
      </c>
      <c r="H5702" t="s">
        <v>74</v>
      </c>
      <c r="I5702" s="3">
        <v>1621</v>
      </c>
      <c r="J5702" s="3">
        <v>1621</v>
      </c>
      <c r="K5702" s="3">
        <v>434</v>
      </c>
      <c r="L5702" t="s">
        <v>113</v>
      </c>
      <c r="M5702">
        <v>5</v>
      </c>
      <c r="N5702" t="s">
        <v>85</v>
      </c>
      <c r="O5702" t="s">
        <v>81</v>
      </c>
      <c r="P5702" t="s">
        <v>12</v>
      </c>
      <c r="Q5702" t="s">
        <v>13</v>
      </c>
      <c r="R5702" t="s">
        <v>13</v>
      </c>
      <c r="S5702" t="s">
        <v>144</v>
      </c>
      <c r="T5702" s="2">
        <f>MASTER[[#This Row],[CANTIDAD]]*MASTER[[#This Row],[PRECIO DE VENTA]]</f>
        <v>1621</v>
      </c>
      <c r="U5702" s="2">
        <f>MASTER[[#This Row],[CANTIDAD]]*MASTER[[#This Row],[COSTO UNITARIO]]</f>
        <v>434</v>
      </c>
      <c r="V5702" s="2">
        <f>MASTER[[#This Row],[MONTO VENDIDO]]-MASTER[[#This Row],[COSTO DE VENTA]]</f>
        <v>1187</v>
      </c>
    </row>
    <row r="5703" spans="1:22" x14ac:dyDescent="0.3">
      <c r="A5703">
        <v>80260</v>
      </c>
      <c r="B5703">
        <v>1</v>
      </c>
      <c r="C5703" t="s">
        <v>107</v>
      </c>
      <c r="D5703" t="s">
        <v>108</v>
      </c>
      <c r="E5703" s="1">
        <v>44449</v>
      </c>
      <c r="F5703">
        <v>1</v>
      </c>
      <c r="G5703" t="s">
        <v>29</v>
      </c>
      <c r="H5703" t="s">
        <v>30</v>
      </c>
      <c r="I5703" s="3">
        <v>1240</v>
      </c>
      <c r="J5703" s="3">
        <v>1240</v>
      </c>
      <c r="K5703" s="3">
        <v>380</v>
      </c>
      <c r="L5703" t="s">
        <v>98</v>
      </c>
      <c r="M5703">
        <v>16</v>
      </c>
      <c r="N5703" t="s">
        <v>17</v>
      </c>
      <c r="O5703" t="s">
        <v>11</v>
      </c>
      <c r="P5703" t="s">
        <v>18</v>
      </c>
      <c r="Q5703" t="s">
        <v>19</v>
      </c>
      <c r="R5703" t="s">
        <v>138</v>
      </c>
      <c r="S5703" t="s">
        <v>144</v>
      </c>
      <c r="T5703" s="2">
        <f>MASTER[[#This Row],[CANTIDAD]]*MASTER[[#This Row],[PRECIO DE VENTA]]</f>
        <v>1240</v>
      </c>
      <c r="U5703" s="2">
        <f>MASTER[[#This Row],[CANTIDAD]]*MASTER[[#This Row],[COSTO UNITARIO]]</f>
        <v>380</v>
      </c>
      <c r="V5703" s="2">
        <f>MASTER[[#This Row],[MONTO VENDIDO]]-MASTER[[#This Row],[COSTO DE VENTA]]</f>
        <v>860</v>
      </c>
    </row>
    <row r="5704" spans="1:22" x14ac:dyDescent="0.3">
      <c r="A5704">
        <v>80269</v>
      </c>
      <c r="B5704">
        <v>1</v>
      </c>
      <c r="C5704" t="s">
        <v>96</v>
      </c>
      <c r="D5704" t="s">
        <v>97</v>
      </c>
      <c r="E5704" s="1">
        <v>44449</v>
      </c>
      <c r="F5704">
        <v>1</v>
      </c>
      <c r="G5704" t="s">
        <v>29</v>
      </c>
      <c r="H5704" t="s">
        <v>30</v>
      </c>
      <c r="I5704" s="3">
        <v>1272</v>
      </c>
      <c r="J5704" s="3">
        <v>1272</v>
      </c>
      <c r="K5704" s="3">
        <v>397</v>
      </c>
      <c r="L5704" t="s">
        <v>98</v>
      </c>
      <c r="M5704">
        <v>10</v>
      </c>
      <c r="N5704" t="s">
        <v>83</v>
      </c>
      <c r="O5704" t="s">
        <v>81</v>
      </c>
      <c r="P5704" t="s">
        <v>12</v>
      </c>
      <c r="Q5704" t="s">
        <v>13</v>
      </c>
      <c r="R5704" t="s">
        <v>13</v>
      </c>
      <c r="S5704" t="s">
        <v>144</v>
      </c>
      <c r="T5704" s="2">
        <f>MASTER[[#This Row],[CANTIDAD]]*MASTER[[#This Row],[PRECIO DE VENTA]]</f>
        <v>1272</v>
      </c>
      <c r="U5704" s="2">
        <f>MASTER[[#This Row],[CANTIDAD]]*MASTER[[#This Row],[COSTO UNITARIO]]</f>
        <v>397</v>
      </c>
      <c r="V5704" s="2">
        <f>MASTER[[#This Row],[MONTO VENDIDO]]-MASTER[[#This Row],[COSTO DE VENTA]]</f>
        <v>875</v>
      </c>
    </row>
    <row r="5705" spans="1:22" x14ac:dyDescent="0.3">
      <c r="A5705">
        <v>80270</v>
      </c>
      <c r="B5705">
        <v>1</v>
      </c>
      <c r="C5705" t="s">
        <v>103</v>
      </c>
      <c r="D5705" t="s">
        <v>104</v>
      </c>
      <c r="E5705" s="1">
        <v>44449</v>
      </c>
      <c r="F5705">
        <v>1</v>
      </c>
      <c r="G5705" t="s">
        <v>65</v>
      </c>
      <c r="H5705" t="s">
        <v>66</v>
      </c>
      <c r="I5705" s="3">
        <v>1830</v>
      </c>
      <c r="J5705" s="3">
        <v>1683</v>
      </c>
      <c r="K5705" s="3">
        <v>421</v>
      </c>
      <c r="L5705" t="s">
        <v>98</v>
      </c>
      <c r="M5705">
        <v>3</v>
      </c>
      <c r="N5705" t="s">
        <v>69</v>
      </c>
      <c r="O5705" t="s">
        <v>70</v>
      </c>
      <c r="P5705" t="s">
        <v>71</v>
      </c>
      <c r="Q5705" t="s">
        <v>72</v>
      </c>
      <c r="R5705" t="s">
        <v>139</v>
      </c>
      <c r="S5705" t="s">
        <v>144</v>
      </c>
      <c r="T5705" s="2">
        <f>MASTER[[#This Row],[CANTIDAD]]*MASTER[[#This Row],[PRECIO DE VENTA]]</f>
        <v>1683</v>
      </c>
      <c r="U5705" s="2">
        <f>MASTER[[#This Row],[CANTIDAD]]*MASTER[[#This Row],[COSTO UNITARIO]]</f>
        <v>421</v>
      </c>
      <c r="V5705" s="2">
        <f>MASTER[[#This Row],[MONTO VENDIDO]]-MASTER[[#This Row],[COSTO DE VENTA]]</f>
        <v>1262</v>
      </c>
    </row>
    <row r="5706" spans="1:22" x14ac:dyDescent="0.3">
      <c r="A5706">
        <v>80274</v>
      </c>
      <c r="B5706">
        <v>1</v>
      </c>
      <c r="C5706" t="s">
        <v>90</v>
      </c>
      <c r="D5706" t="s">
        <v>91</v>
      </c>
      <c r="E5706" s="1">
        <v>44449</v>
      </c>
      <c r="F5706">
        <v>1</v>
      </c>
      <c r="G5706" t="s">
        <v>7</v>
      </c>
      <c r="H5706" t="s">
        <v>8</v>
      </c>
      <c r="I5706" s="3">
        <v>2102</v>
      </c>
      <c r="J5706" s="3">
        <v>2102</v>
      </c>
      <c r="K5706" s="3">
        <v>420</v>
      </c>
      <c r="L5706" t="s">
        <v>9</v>
      </c>
      <c r="M5706">
        <v>6</v>
      </c>
      <c r="N5706" t="s">
        <v>75</v>
      </c>
      <c r="O5706" t="s">
        <v>70</v>
      </c>
      <c r="P5706" t="s">
        <v>12</v>
      </c>
      <c r="Q5706" t="s">
        <v>13</v>
      </c>
      <c r="R5706" t="s">
        <v>13</v>
      </c>
      <c r="S5706" t="s">
        <v>144</v>
      </c>
      <c r="T5706" s="2">
        <f>MASTER[[#This Row],[CANTIDAD]]*MASTER[[#This Row],[PRECIO DE VENTA]]</f>
        <v>2102</v>
      </c>
      <c r="U5706" s="2">
        <f>MASTER[[#This Row],[CANTIDAD]]*MASTER[[#This Row],[COSTO UNITARIO]]</f>
        <v>420</v>
      </c>
      <c r="V5706" s="2">
        <f>MASTER[[#This Row],[MONTO VENDIDO]]-MASTER[[#This Row],[COSTO DE VENTA]]</f>
        <v>1682</v>
      </c>
    </row>
    <row r="5707" spans="1:22" x14ac:dyDescent="0.3">
      <c r="A5707">
        <v>80288</v>
      </c>
      <c r="B5707">
        <v>1</v>
      </c>
      <c r="C5707" t="s">
        <v>114</v>
      </c>
      <c r="D5707" t="s">
        <v>115</v>
      </c>
      <c r="E5707" s="1">
        <v>44449</v>
      </c>
      <c r="F5707">
        <v>1</v>
      </c>
      <c r="G5707" t="s">
        <v>53</v>
      </c>
      <c r="H5707" t="s">
        <v>54</v>
      </c>
      <c r="I5707" s="3">
        <v>1583</v>
      </c>
      <c r="J5707" s="3">
        <v>1583</v>
      </c>
      <c r="K5707" s="3">
        <v>394</v>
      </c>
      <c r="L5707" t="s">
        <v>113</v>
      </c>
      <c r="M5707">
        <v>17</v>
      </c>
      <c r="N5707" t="s">
        <v>14</v>
      </c>
      <c r="O5707" t="s">
        <v>11</v>
      </c>
      <c r="P5707" t="s">
        <v>15</v>
      </c>
      <c r="Q5707" t="s">
        <v>16</v>
      </c>
      <c r="R5707" t="s">
        <v>16</v>
      </c>
      <c r="S5707" t="s">
        <v>144</v>
      </c>
      <c r="T5707" s="2">
        <f>MASTER[[#This Row],[CANTIDAD]]*MASTER[[#This Row],[PRECIO DE VENTA]]</f>
        <v>1583</v>
      </c>
      <c r="U5707" s="2">
        <f>MASTER[[#This Row],[CANTIDAD]]*MASTER[[#This Row],[COSTO UNITARIO]]</f>
        <v>394</v>
      </c>
      <c r="V5707" s="2">
        <f>MASTER[[#This Row],[MONTO VENDIDO]]-MASTER[[#This Row],[COSTO DE VENTA]]</f>
        <v>1189</v>
      </c>
    </row>
    <row r="5708" spans="1:22" x14ac:dyDescent="0.3">
      <c r="A5708">
        <v>80295</v>
      </c>
      <c r="B5708">
        <v>1</v>
      </c>
      <c r="C5708" t="s">
        <v>92</v>
      </c>
      <c r="D5708" t="s">
        <v>93</v>
      </c>
      <c r="E5708" s="1">
        <v>44449</v>
      </c>
      <c r="F5708">
        <v>1</v>
      </c>
      <c r="G5708" t="s">
        <v>20</v>
      </c>
      <c r="H5708" t="s">
        <v>21</v>
      </c>
      <c r="I5708" s="3">
        <v>1479</v>
      </c>
      <c r="J5708" s="3">
        <v>1479</v>
      </c>
      <c r="K5708" s="3">
        <v>396</v>
      </c>
      <c r="L5708" t="s">
        <v>9</v>
      </c>
      <c r="M5708">
        <v>17</v>
      </c>
      <c r="N5708" t="s">
        <v>14</v>
      </c>
      <c r="O5708" t="s">
        <v>11</v>
      </c>
      <c r="P5708" t="s">
        <v>15</v>
      </c>
      <c r="Q5708" t="s">
        <v>16</v>
      </c>
      <c r="R5708" t="s">
        <v>16</v>
      </c>
      <c r="S5708" t="s">
        <v>144</v>
      </c>
      <c r="T5708" s="2">
        <f>MASTER[[#This Row],[CANTIDAD]]*MASTER[[#This Row],[PRECIO DE VENTA]]</f>
        <v>1479</v>
      </c>
      <c r="U5708" s="2">
        <f>MASTER[[#This Row],[CANTIDAD]]*MASTER[[#This Row],[COSTO UNITARIO]]</f>
        <v>396</v>
      </c>
      <c r="V5708" s="2">
        <f>MASTER[[#This Row],[MONTO VENDIDO]]-MASTER[[#This Row],[COSTO DE VENTA]]</f>
        <v>1083</v>
      </c>
    </row>
    <row r="5709" spans="1:22" x14ac:dyDescent="0.3">
      <c r="A5709">
        <v>80303</v>
      </c>
      <c r="B5709">
        <v>1</v>
      </c>
      <c r="C5709" t="s">
        <v>107</v>
      </c>
      <c r="D5709" t="s">
        <v>108</v>
      </c>
      <c r="E5709" s="1">
        <v>44449</v>
      </c>
      <c r="F5709">
        <v>1</v>
      </c>
      <c r="G5709" t="s">
        <v>7</v>
      </c>
      <c r="H5709" t="s">
        <v>8</v>
      </c>
      <c r="I5709" s="3">
        <v>1240</v>
      </c>
      <c r="J5709" s="3">
        <v>1240</v>
      </c>
      <c r="K5709" s="3">
        <v>380</v>
      </c>
      <c r="L5709" t="s">
        <v>98</v>
      </c>
      <c r="M5709">
        <v>17</v>
      </c>
      <c r="N5709" t="s">
        <v>14</v>
      </c>
      <c r="O5709" t="s">
        <v>11</v>
      </c>
      <c r="P5709" t="s">
        <v>15</v>
      </c>
      <c r="Q5709" t="s">
        <v>16</v>
      </c>
      <c r="R5709" t="s">
        <v>16</v>
      </c>
      <c r="S5709" t="s">
        <v>144</v>
      </c>
      <c r="T5709" s="2">
        <f>MASTER[[#This Row],[CANTIDAD]]*MASTER[[#This Row],[PRECIO DE VENTA]]</f>
        <v>1240</v>
      </c>
      <c r="U5709" s="2">
        <f>MASTER[[#This Row],[CANTIDAD]]*MASTER[[#This Row],[COSTO UNITARIO]]</f>
        <v>380</v>
      </c>
      <c r="V5709" s="2">
        <f>MASTER[[#This Row],[MONTO VENDIDO]]-MASTER[[#This Row],[COSTO DE VENTA]]</f>
        <v>860</v>
      </c>
    </row>
    <row r="5710" spans="1:22" x14ac:dyDescent="0.3">
      <c r="A5710">
        <v>80310</v>
      </c>
      <c r="B5710">
        <v>1</v>
      </c>
      <c r="C5710" t="s">
        <v>105</v>
      </c>
      <c r="D5710" t="s">
        <v>106</v>
      </c>
      <c r="E5710" s="1">
        <v>44449</v>
      </c>
      <c r="F5710">
        <v>1</v>
      </c>
      <c r="G5710" t="s">
        <v>7</v>
      </c>
      <c r="H5710" t="s">
        <v>8</v>
      </c>
      <c r="I5710" s="3">
        <v>1585</v>
      </c>
      <c r="J5710" s="3">
        <v>1585</v>
      </c>
      <c r="K5710" s="3">
        <v>459</v>
      </c>
      <c r="L5710" t="s">
        <v>98</v>
      </c>
      <c r="M5710">
        <v>11</v>
      </c>
      <c r="N5710" t="s">
        <v>10</v>
      </c>
      <c r="O5710" t="s">
        <v>11</v>
      </c>
      <c r="P5710" t="s">
        <v>12</v>
      </c>
      <c r="Q5710" t="s">
        <v>13</v>
      </c>
      <c r="R5710" t="s">
        <v>13</v>
      </c>
      <c r="S5710" t="s">
        <v>144</v>
      </c>
      <c r="T5710" s="2">
        <f>MASTER[[#This Row],[CANTIDAD]]*MASTER[[#This Row],[PRECIO DE VENTA]]</f>
        <v>1585</v>
      </c>
      <c r="U5710" s="2">
        <f>MASTER[[#This Row],[CANTIDAD]]*MASTER[[#This Row],[COSTO UNITARIO]]</f>
        <v>459</v>
      </c>
      <c r="V5710" s="2">
        <f>MASTER[[#This Row],[MONTO VENDIDO]]-MASTER[[#This Row],[COSTO DE VENTA]]</f>
        <v>1126</v>
      </c>
    </row>
    <row r="5711" spans="1:22" x14ac:dyDescent="0.3">
      <c r="A5711">
        <v>80312</v>
      </c>
      <c r="B5711">
        <v>1</v>
      </c>
      <c r="C5711" t="s">
        <v>5</v>
      </c>
      <c r="D5711" t="s">
        <v>6</v>
      </c>
      <c r="E5711" s="1">
        <v>44449</v>
      </c>
      <c r="F5711">
        <v>1</v>
      </c>
      <c r="G5711" t="s">
        <v>29</v>
      </c>
      <c r="H5711" t="s">
        <v>30</v>
      </c>
      <c r="I5711" s="3">
        <v>1507</v>
      </c>
      <c r="J5711" s="3">
        <v>1507</v>
      </c>
      <c r="K5711" s="3">
        <v>393</v>
      </c>
      <c r="L5711" t="s">
        <v>9</v>
      </c>
      <c r="M5711">
        <v>19</v>
      </c>
      <c r="N5711" t="s">
        <v>89</v>
      </c>
      <c r="O5711" t="s">
        <v>81</v>
      </c>
      <c r="P5711" t="s">
        <v>15</v>
      </c>
      <c r="Q5711" t="s">
        <v>16</v>
      </c>
      <c r="R5711" t="s">
        <v>16</v>
      </c>
      <c r="S5711" t="s">
        <v>144</v>
      </c>
      <c r="T5711" s="2">
        <f>MASTER[[#This Row],[CANTIDAD]]*MASTER[[#This Row],[PRECIO DE VENTA]]</f>
        <v>1507</v>
      </c>
      <c r="U5711" s="2">
        <f>MASTER[[#This Row],[CANTIDAD]]*MASTER[[#This Row],[COSTO UNITARIO]]</f>
        <v>393</v>
      </c>
      <c r="V5711" s="2">
        <f>MASTER[[#This Row],[MONTO VENDIDO]]-MASTER[[#This Row],[COSTO DE VENTA]]</f>
        <v>1114</v>
      </c>
    </row>
    <row r="5712" spans="1:22" x14ac:dyDescent="0.3">
      <c r="A5712">
        <v>80313</v>
      </c>
      <c r="B5712">
        <v>1</v>
      </c>
      <c r="C5712" t="s">
        <v>114</v>
      </c>
      <c r="D5712" t="s">
        <v>115</v>
      </c>
      <c r="E5712" s="1">
        <v>44449</v>
      </c>
      <c r="F5712">
        <v>1</v>
      </c>
      <c r="G5712" t="s">
        <v>47</v>
      </c>
      <c r="H5712" t="s">
        <v>48</v>
      </c>
      <c r="I5712" s="3">
        <v>2030</v>
      </c>
      <c r="J5712" s="3">
        <v>2030</v>
      </c>
      <c r="K5712" s="3">
        <v>394</v>
      </c>
      <c r="L5712" t="s">
        <v>113</v>
      </c>
      <c r="M5712">
        <v>9</v>
      </c>
      <c r="N5712" t="s">
        <v>76</v>
      </c>
      <c r="O5712" t="s">
        <v>70</v>
      </c>
      <c r="P5712" t="s">
        <v>12</v>
      </c>
      <c r="Q5712" t="s">
        <v>13</v>
      </c>
      <c r="R5712" t="s">
        <v>13</v>
      </c>
      <c r="S5712" t="s">
        <v>144</v>
      </c>
      <c r="T5712" s="2">
        <f>MASTER[[#This Row],[CANTIDAD]]*MASTER[[#This Row],[PRECIO DE VENTA]]</f>
        <v>2030</v>
      </c>
      <c r="U5712" s="2">
        <f>MASTER[[#This Row],[CANTIDAD]]*MASTER[[#This Row],[COSTO UNITARIO]]</f>
        <v>394</v>
      </c>
      <c r="V5712" s="2">
        <f>MASTER[[#This Row],[MONTO VENDIDO]]-MASTER[[#This Row],[COSTO DE VENTA]]</f>
        <v>1636</v>
      </c>
    </row>
    <row r="5713" spans="1:22" x14ac:dyDescent="0.3">
      <c r="A5713">
        <v>80358</v>
      </c>
      <c r="B5713">
        <v>1</v>
      </c>
      <c r="C5713" t="s">
        <v>109</v>
      </c>
      <c r="D5713" t="s">
        <v>110</v>
      </c>
      <c r="E5713" s="1">
        <v>44450</v>
      </c>
      <c r="F5713">
        <v>1</v>
      </c>
      <c r="G5713" t="s">
        <v>59</v>
      </c>
      <c r="H5713" t="s">
        <v>60</v>
      </c>
      <c r="I5713" s="3">
        <v>947</v>
      </c>
      <c r="J5713" s="3">
        <v>947</v>
      </c>
      <c r="K5713" s="3">
        <v>387</v>
      </c>
      <c r="L5713" t="s">
        <v>98</v>
      </c>
      <c r="M5713">
        <v>16</v>
      </c>
      <c r="N5713" t="s">
        <v>17</v>
      </c>
      <c r="O5713" t="s">
        <v>11</v>
      </c>
      <c r="P5713" t="s">
        <v>18</v>
      </c>
      <c r="Q5713" t="s">
        <v>19</v>
      </c>
      <c r="R5713" t="s">
        <v>138</v>
      </c>
      <c r="S5713" t="s">
        <v>144</v>
      </c>
      <c r="T5713" s="2">
        <f>MASTER[[#This Row],[CANTIDAD]]*MASTER[[#This Row],[PRECIO DE VENTA]]</f>
        <v>947</v>
      </c>
      <c r="U5713" s="2">
        <f>MASTER[[#This Row],[CANTIDAD]]*MASTER[[#This Row],[COSTO UNITARIO]]</f>
        <v>387</v>
      </c>
      <c r="V5713" s="2">
        <f>MASTER[[#This Row],[MONTO VENDIDO]]-MASTER[[#This Row],[COSTO DE VENTA]]</f>
        <v>560</v>
      </c>
    </row>
    <row r="5714" spans="1:22" x14ac:dyDescent="0.3">
      <c r="A5714">
        <v>80370</v>
      </c>
      <c r="B5714">
        <v>1</v>
      </c>
      <c r="C5714" t="s">
        <v>107</v>
      </c>
      <c r="D5714" t="s">
        <v>108</v>
      </c>
      <c r="E5714" s="1">
        <v>44450</v>
      </c>
      <c r="F5714">
        <v>4</v>
      </c>
      <c r="G5714" t="s">
        <v>35</v>
      </c>
      <c r="H5714" t="s">
        <v>36</v>
      </c>
      <c r="I5714" s="3">
        <v>1240</v>
      </c>
      <c r="J5714" s="3">
        <v>1240</v>
      </c>
      <c r="K5714" s="3">
        <v>380</v>
      </c>
      <c r="L5714" t="s">
        <v>98</v>
      </c>
      <c r="M5714">
        <v>12</v>
      </c>
      <c r="N5714" t="s">
        <v>26</v>
      </c>
      <c r="O5714" t="s">
        <v>11</v>
      </c>
      <c r="P5714" t="s">
        <v>12</v>
      </c>
      <c r="Q5714" t="s">
        <v>13</v>
      </c>
      <c r="R5714" t="s">
        <v>13</v>
      </c>
      <c r="S5714" t="s">
        <v>144</v>
      </c>
      <c r="T5714" s="2">
        <f>MASTER[[#This Row],[CANTIDAD]]*MASTER[[#This Row],[PRECIO DE VENTA]]</f>
        <v>4960</v>
      </c>
      <c r="U5714" s="2">
        <f>MASTER[[#This Row],[CANTIDAD]]*MASTER[[#This Row],[COSTO UNITARIO]]</f>
        <v>1520</v>
      </c>
      <c r="V5714" s="2">
        <f>MASTER[[#This Row],[MONTO VENDIDO]]-MASTER[[#This Row],[COSTO DE VENTA]]</f>
        <v>3440</v>
      </c>
    </row>
    <row r="5715" spans="1:22" x14ac:dyDescent="0.3">
      <c r="A5715">
        <v>80373</v>
      </c>
      <c r="B5715">
        <v>1</v>
      </c>
      <c r="C5715" t="s">
        <v>99</v>
      </c>
      <c r="D5715" t="s">
        <v>100</v>
      </c>
      <c r="E5715" s="1">
        <v>44450</v>
      </c>
      <c r="F5715">
        <v>1</v>
      </c>
      <c r="G5715" t="s">
        <v>20</v>
      </c>
      <c r="H5715" t="s">
        <v>21</v>
      </c>
      <c r="I5715" s="3">
        <v>1678</v>
      </c>
      <c r="J5715" s="3">
        <v>1678</v>
      </c>
      <c r="K5715" s="3">
        <v>386</v>
      </c>
      <c r="L5715" t="s">
        <v>98</v>
      </c>
      <c r="M5715">
        <v>3</v>
      </c>
      <c r="N5715" t="s">
        <v>69</v>
      </c>
      <c r="O5715" t="s">
        <v>70</v>
      </c>
      <c r="P5715" t="s">
        <v>71</v>
      </c>
      <c r="Q5715" t="s">
        <v>72</v>
      </c>
      <c r="R5715" t="s">
        <v>139</v>
      </c>
      <c r="S5715" t="s">
        <v>144</v>
      </c>
      <c r="T5715" s="2">
        <f>MASTER[[#This Row],[CANTIDAD]]*MASTER[[#This Row],[PRECIO DE VENTA]]</f>
        <v>1678</v>
      </c>
      <c r="U5715" s="2">
        <f>MASTER[[#This Row],[CANTIDAD]]*MASTER[[#This Row],[COSTO UNITARIO]]</f>
        <v>386</v>
      </c>
      <c r="V5715" s="2">
        <f>MASTER[[#This Row],[MONTO VENDIDO]]-MASTER[[#This Row],[COSTO DE VENTA]]</f>
        <v>1292</v>
      </c>
    </row>
    <row r="5716" spans="1:22" x14ac:dyDescent="0.3">
      <c r="A5716">
        <v>80389</v>
      </c>
      <c r="B5716">
        <v>1</v>
      </c>
      <c r="C5716" t="s">
        <v>107</v>
      </c>
      <c r="D5716" t="s">
        <v>108</v>
      </c>
      <c r="E5716" s="1">
        <v>44450</v>
      </c>
      <c r="F5716">
        <v>2</v>
      </c>
      <c r="G5716" t="s">
        <v>45</v>
      </c>
      <c r="H5716" t="s">
        <v>46</v>
      </c>
      <c r="I5716" s="3">
        <v>1333</v>
      </c>
      <c r="J5716" s="3">
        <v>1333</v>
      </c>
      <c r="K5716" s="3">
        <v>380</v>
      </c>
      <c r="L5716" t="s">
        <v>98</v>
      </c>
      <c r="M5716">
        <v>8</v>
      </c>
      <c r="N5716" t="s">
        <v>80</v>
      </c>
      <c r="O5716" t="s">
        <v>81</v>
      </c>
      <c r="P5716" t="s">
        <v>12</v>
      </c>
      <c r="Q5716" t="s">
        <v>13</v>
      </c>
      <c r="R5716" t="s">
        <v>13</v>
      </c>
      <c r="S5716" t="s">
        <v>144</v>
      </c>
      <c r="T5716" s="2">
        <f>MASTER[[#This Row],[CANTIDAD]]*MASTER[[#This Row],[PRECIO DE VENTA]]</f>
        <v>2666</v>
      </c>
      <c r="U5716" s="2">
        <f>MASTER[[#This Row],[CANTIDAD]]*MASTER[[#This Row],[COSTO UNITARIO]]</f>
        <v>760</v>
      </c>
      <c r="V5716" s="2">
        <f>MASTER[[#This Row],[MONTO VENDIDO]]-MASTER[[#This Row],[COSTO DE VENTA]]</f>
        <v>1906</v>
      </c>
    </row>
    <row r="5717" spans="1:22" x14ac:dyDescent="0.3">
      <c r="A5717">
        <v>80399</v>
      </c>
      <c r="B5717">
        <v>1</v>
      </c>
      <c r="C5717" t="s">
        <v>92</v>
      </c>
      <c r="D5717" t="s">
        <v>93</v>
      </c>
      <c r="E5717" s="1">
        <v>44450</v>
      </c>
      <c r="F5717">
        <v>1</v>
      </c>
      <c r="G5717" t="s">
        <v>31</v>
      </c>
      <c r="H5717" t="s">
        <v>32</v>
      </c>
      <c r="I5717" s="3">
        <v>1681</v>
      </c>
      <c r="J5717" s="3">
        <v>1681</v>
      </c>
      <c r="K5717" s="3">
        <v>396</v>
      </c>
      <c r="L5717" t="s">
        <v>9</v>
      </c>
      <c r="M5717">
        <v>19</v>
      </c>
      <c r="N5717" t="s">
        <v>89</v>
      </c>
      <c r="O5717" t="s">
        <v>81</v>
      </c>
      <c r="P5717" t="s">
        <v>15</v>
      </c>
      <c r="Q5717" t="s">
        <v>16</v>
      </c>
      <c r="R5717" t="s">
        <v>16</v>
      </c>
      <c r="S5717" t="s">
        <v>144</v>
      </c>
      <c r="T5717" s="2">
        <f>MASTER[[#This Row],[CANTIDAD]]*MASTER[[#This Row],[PRECIO DE VENTA]]</f>
        <v>1681</v>
      </c>
      <c r="U5717" s="2">
        <f>MASTER[[#This Row],[CANTIDAD]]*MASTER[[#This Row],[COSTO UNITARIO]]</f>
        <v>396</v>
      </c>
      <c r="V5717" s="2">
        <f>MASTER[[#This Row],[MONTO VENDIDO]]-MASTER[[#This Row],[COSTO DE VENTA]]</f>
        <v>1285</v>
      </c>
    </row>
    <row r="5718" spans="1:22" x14ac:dyDescent="0.3">
      <c r="A5718">
        <v>80400</v>
      </c>
      <c r="B5718">
        <v>1</v>
      </c>
      <c r="C5718" t="s">
        <v>90</v>
      </c>
      <c r="D5718" t="s">
        <v>91</v>
      </c>
      <c r="E5718" s="1">
        <v>44450</v>
      </c>
      <c r="F5718">
        <v>1</v>
      </c>
      <c r="G5718" t="s">
        <v>22</v>
      </c>
      <c r="H5718" t="s">
        <v>23</v>
      </c>
      <c r="I5718" s="3">
        <v>1844</v>
      </c>
      <c r="J5718" s="3">
        <v>1678</v>
      </c>
      <c r="K5718" s="3">
        <v>420</v>
      </c>
      <c r="L5718" t="s">
        <v>9</v>
      </c>
      <c r="M5718">
        <v>19</v>
      </c>
      <c r="N5718" t="s">
        <v>89</v>
      </c>
      <c r="O5718" t="s">
        <v>81</v>
      </c>
      <c r="P5718" t="s">
        <v>15</v>
      </c>
      <c r="Q5718" t="s">
        <v>16</v>
      </c>
      <c r="R5718" t="s">
        <v>16</v>
      </c>
      <c r="S5718" t="s">
        <v>144</v>
      </c>
      <c r="T5718" s="2">
        <f>MASTER[[#This Row],[CANTIDAD]]*MASTER[[#This Row],[PRECIO DE VENTA]]</f>
        <v>1678</v>
      </c>
      <c r="U5718" s="2">
        <f>MASTER[[#This Row],[CANTIDAD]]*MASTER[[#This Row],[COSTO UNITARIO]]</f>
        <v>420</v>
      </c>
      <c r="V5718" s="2">
        <f>MASTER[[#This Row],[MONTO VENDIDO]]-MASTER[[#This Row],[COSTO DE VENTA]]</f>
        <v>1258</v>
      </c>
    </row>
    <row r="5719" spans="1:22" x14ac:dyDescent="0.3">
      <c r="A5719">
        <v>80407</v>
      </c>
      <c r="B5719">
        <v>1</v>
      </c>
      <c r="C5719" t="s">
        <v>92</v>
      </c>
      <c r="D5719" t="s">
        <v>93</v>
      </c>
      <c r="E5719" s="1">
        <v>44451</v>
      </c>
      <c r="F5719">
        <v>1</v>
      </c>
      <c r="G5719" t="s">
        <v>51</v>
      </c>
      <c r="H5719" t="s">
        <v>52</v>
      </c>
      <c r="I5719" s="3">
        <v>1479</v>
      </c>
      <c r="J5719" s="3">
        <v>1479</v>
      </c>
      <c r="K5719" s="3">
        <v>396</v>
      </c>
      <c r="L5719" t="s">
        <v>9</v>
      </c>
      <c r="M5719">
        <v>17</v>
      </c>
      <c r="N5719" t="s">
        <v>14</v>
      </c>
      <c r="O5719" t="s">
        <v>11</v>
      </c>
      <c r="P5719" t="s">
        <v>15</v>
      </c>
      <c r="Q5719" t="s">
        <v>16</v>
      </c>
      <c r="R5719" t="s">
        <v>16</v>
      </c>
      <c r="S5719" t="s">
        <v>144</v>
      </c>
      <c r="T5719" s="2">
        <f>MASTER[[#This Row],[CANTIDAD]]*MASTER[[#This Row],[PRECIO DE VENTA]]</f>
        <v>1479</v>
      </c>
      <c r="U5719" s="2">
        <f>MASTER[[#This Row],[CANTIDAD]]*MASTER[[#This Row],[COSTO UNITARIO]]</f>
        <v>396</v>
      </c>
      <c r="V5719" s="2">
        <f>MASTER[[#This Row],[MONTO VENDIDO]]-MASTER[[#This Row],[COSTO DE VENTA]]</f>
        <v>1083</v>
      </c>
    </row>
    <row r="5720" spans="1:22" x14ac:dyDescent="0.3">
      <c r="A5720">
        <v>80409</v>
      </c>
      <c r="B5720">
        <v>1</v>
      </c>
      <c r="C5720" t="s">
        <v>121</v>
      </c>
      <c r="D5720" t="s">
        <v>122</v>
      </c>
      <c r="E5720" s="1">
        <v>44451</v>
      </c>
      <c r="F5720">
        <v>1</v>
      </c>
      <c r="G5720" t="s">
        <v>41</v>
      </c>
      <c r="H5720" t="s">
        <v>42</v>
      </c>
      <c r="I5720" s="3">
        <v>1144</v>
      </c>
      <c r="J5720" s="3">
        <v>1063</v>
      </c>
      <c r="K5720" s="3">
        <v>460</v>
      </c>
      <c r="L5720" t="s">
        <v>120</v>
      </c>
      <c r="M5720">
        <v>1</v>
      </c>
      <c r="N5720" t="s">
        <v>77</v>
      </c>
      <c r="O5720" t="s">
        <v>70</v>
      </c>
      <c r="P5720" t="s">
        <v>71</v>
      </c>
      <c r="Q5720" t="s">
        <v>72</v>
      </c>
      <c r="R5720" t="s">
        <v>139</v>
      </c>
      <c r="S5720" t="s">
        <v>144</v>
      </c>
      <c r="T5720" s="2">
        <f>MASTER[[#This Row],[CANTIDAD]]*MASTER[[#This Row],[PRECIO DE VENTA]]</f>
        <v>1063</v>
      </c>
      <c r="U5720" s="2">
        <f>MASTER[[#This Row],[CANTIDAD]]*MASTER[[#This Row],[COSTO UNITARIO]]</f>
        <v>460</v>
      </c>
      <c r="V5720" s="2">
        <f>MASTER[[#This Row],[MONTO VENDIDO]]-MASTER[[#This Row],[COSTO DE VENTA]]</f>
        <v>603</v>
      </c>
    </row>
    <row r="5721" spans="1:22" x14ac:dyDescent="0.3">
      <c r="A5721">
        <v>80414</v>
      </c>
      <c r="B5721">
        <v>1</v>
      </c>
      <c r="C5721" t="s">
        <v>5</v>
      </c>
      <c r="D5721" t="s">
        <v>6</v>
      </c>
      <c r="E5721" s="1">
        <v>44451</v>
      </c>
      <c r="F5721">
        <v>1</v>
      </c>
      <c r="G5721" t="s">
        <v>49</v>
      </c>
      <c r="H5721" t="s">
        <v>50</v>
      </c>
      <c r="I5721" s="3">
        <v>1507</v>
      </c>
      <c r="J5721" s="3">
        <v>1507</v>
      </c>
      <c r="K5721" s="3">
        <v>393</v>
      </c>
      <c r="L5721" t="s">
        <v>9</v>
      </c>
      <c r="M5721">
        <v>2</v>
      </c>
      <c r="N5721" t="s">
        <v>86</v>
      </c>
      <c r="O5721" t="s">
        <v>81</v>
      </c>
      <c r="P5721" t="s">
        <v>71</v>
      </c>
      <c r="Q5721" t="s">
        <v>72</v>
      </c>
      <c r="R5721" t="s">
        <v>139</v>
      </c>
      <c r="S5721" t="s">
        <v>144</v>
      </c>
      <c r="T5721" s="2">
        <f>MASTER[[#This Row],[CANTIDAD]]*MASTER[[#This Row],[PRECIO DE VENTA]]</f>
        <v>1507</v>
      </c>
      <c r="U5721" s="2">
        <f>MASTER[[#This Row],[CANTIDAD]]*MASTER[[#This Row],[COSTO UNITARIO]]</f>
        <v>393</v>
      </c>
      <c r="V5721" s="2">
        <f>MASTER[[#This Row],[MONTO VENDIDO]]-MASTER[[#This Row],[COSTO DE VENTA]]</f>
        <v>1114</v>
      </c>
    </row>
    <row r="5722" spans="1:22" x14ac:dyDescent="0.3">
      <c r="A5722">
        <v>80427</v>
      </c>
      <c r="B5722">
        <v>1</v>
      </c>
      <c r="C5722" t="s">
        <v>111</v>
      </c>
      <c r="D5722" t="s">
        <v>112</v>
      </c>
      <c r="E5722" s="1">
        <v>44451</v>
      </c>
      <c r="F5722">
        <v>1</v>
      </c>
      <c r="G5722" t="s">
        <v>31</v>
      </c>
      <c r="H5722" t="s">
        <v>32</v>
      </c>
      <c r="I5722" s="3">
        <v>1621</v>
      </c>
      <c r="J5722" s="3">
        <v>1539</v>
      </c>
      <c r="K5722" s="3">
        <v>434</v>
      </c>
      <c r="L5722" t="s">
        <v>113</v>
      </c>
      <c r="M5722">
        <v>8</v>
      </c>
      <c r="N5722" t="s">
        <v>80</v>
      </c>
      <c r="O5722" t="s">
        <v>81</v>
      </c>
      <c r="P5722" t="s">
        <v>12</v>
      </c>
      <c r="Q5722" t="s">
        <v>13</v>
      </c>
      <c r="R5722" t="s">
        <v>13</v>
      </c>
      <c r="S5722" t="s">
        <v>144</v>
      </c>
      <c r="T5722" s="2">
        <f>MASTER[[#This Row],[CANTIDAD]]*MASTER[[#This Row],[PRECIO DE VENTA]]</f>
        <v>1539</v>
      </c>
      <c r="U5722" s="2">
        <f>MASTER[[#This Row],[CANTIDAD]]*MASTER[[#This Row],[COSTO UNITARIO]]</f>
        <v>434</v>
      </c>
      <c r="V5722" s="2">
        <f>MASTER[[#This Row],[MONTO VENDIDO]]-MASTER[[#This Row],[COSTO DE VENTA]]</f>
        <v>1105</v>
      </c>
    </row>
    <row r="5723" spans="1:22" x14ac:dyDescent="0.3">
      <c r="A5723">
        <v>80437</v>
      </c>
      <c r="B5723">
        <v>1</v>
      </c>
      <c r="C5723" t="s">
        <v>105</v>
      </c>
      <c r="D5723" t="s">
        <v>106</v>
      </c>
      <c r="E5723" s="1">
        <v>44451</v>
      </c>
      <c r="F5723">
        <v>1</v>
      </c>
      <c r="G5723" t="s">
        <v>35</v>
      </c>
      <c r="H5723" t="s">
        <v>36</v>
      </c>
      <c r="I5723" s="3">
        <v>1585</v>
      </c>
      <c r="J5723" s="3">
        <v>1585</v>
      </c>
      <c r="K5723" s="3">
        <v>459</v>
      </c>
      <c r="L5723" t="s">
        <v>98</v>
      </c>
      <c r="M5723">
        <v>12</v>
      </c>
      <c r="N5723" t="s">
        <v>26</v>
      </c>
      <c r="O5723" t="s">
        <v>11</v>
      </c>
      <c r="P5723" t="s">
        <v>12</v>
      </c>
      <c r="Q5723" t="s">
        <v>13</v>
      </c>
      <c r="R5723" t="s">
        <v>13</v>
      </c>
      <c r="S5723" t="s">
        <v>144</v>
      </c>
      <c r="T5723" s="2">
        <f>MASTER[[#This Row],[CANTIDAD]]*MASTER[[#This Row],[PRECIO DE VENTA]]</f>
        <v>1585</v>
      </c>
      <c r="U5723" s="2">
        <f>MASTER[[#This Row],[CANTIDAD]]*MASTER[[#This Row],[COSTO UNITARIO]]</f>
        <v>459</v>
      </c>
      <c r="V5723" s="2">
        <f>MASTER[[#This Row],[MONTO VENDIDO]]-MASTER[[#This Row],[COSTO DE VENTA]]</f>
        <v>1126</v>
      </c>
    </row>
    <row r="5724" spans="1:22" x14ac:dyDescent="0.3">
      <c r="A5724">
        <v>80444</v>
      </c>
      <c r="B5724">
        <v>1</v>
      </c>
      <c r="C5724" t="s">
        <v>114</v>
      </c>
      <c r="D5724" t="s">
        <v>115</v>
      </c>
      <c r="E5724" s="1">
        <v>44451</v>
      </c>
      <c r="F5724">
        <v>1</v>
      </c>
      <c r="G5724" t="s">
        <v>27</v>
      </c>
      <c r="H5724" t="s">
        <v>28</v>
      </c>
      <c r="I5724" s="3">
        <v>1862</v>
      </c>
      <c r="J5724" s="3">
        <v>1862</v>
      </c>
      <c r="K5724" s="3">
        <v>394</v>
      </c>
      <c r="L5724" t="s">
        <v>113</v>
      </c>
      <c r="M5724">
        <v>4</v>
      </c>
      <c r="N5724" t="s">
        <v>82</v>
      </c>
      <c r="O5724" t="s">
        <v>81</v>
      </c>
      <c r="P5724" t="s">
        <v>71</v>
      </c>
      <c r="Q5724" t="s">
        <v>72</v>
      </c>
      <c r="R5724" t="s">
        <v>139</v>
      </c>
      <c r="S5724" t="s">
        <v>144</v>
      </c>
      <c r="T5724" s="2">
        <f>MASTER[[#This Row],[CANTIDAD]]*MASTER[[#This Row],[PRECIO DE VENTA]]</f>
        <v>1862</v>
      </c>
      <c r="U5724" s="2">
        <f>MASTER[[#This Row],[CANTIDAD]]*MASTER[[#This Row],[COSTO UNITARIO]]</f>
        <v>394</v>
      </c>
      <c r="V5724" s="2">
        <f>MASTER[[#This Row],[MONTO VENDIDO]]-MASTER[[#This Row],[COSTO DE VENTA]]</f>
        <v>1468</v>
      </c>
    </row>
    <row r="5725" spans="1:22" x14ac:dyDescent="0.3">
      <c r="A5725">
        <v>80461</v>
      </c>
      <c r="B5725">
        <v>1</v>
      </c>
      <c r="C5725" t="s">
        <v>92</v>
      </c>
      <c r="D5725" t="s">
        <v>93</v>
      </c>
      <c r="E5725" s="1">
        <v>44451</v>
      </c>
      <c r="F5725">
        <v>1</v>
      </c>
      <c r="G5725" t="s">
        <v>73</v>
      </c>
      <c r="H5725" t="s">
        <v>74</v>
      </c>
      <c r="I5725" s="3">
        <v>1866</v>
      </c>
      <c r="J5725" s="3">
        <v>1866</v>
      </c>
      <c r="K5725" s="3">
        <v>396</v>
      </c>
      <c r="L5725" t="s">
        <v>9</v>
      </c>
      <c r="M5725">
        <v>6</v>
      </c>
      <c r="N5725" t="s">
        <v>75</v>
      </c>
      <c r="O5725" t="s">
        <v>70</v>
      </c>
      <c r="P5725" t="s">
        <v>12</v>
      </c>
      <c r="Q5725" t="s">
        <v>13</v>
      </c>
      <c r="R5725" t="s">
        <v>13</v>
      </c>
      <c r="S5725" t="s">
        <v>144</v>
      </c>
      <c r="T5725" s="2">
        <f>MASTER[[#This Row],[CANTIDAD]]*MASTER[[#This Row],[PRECIO DE VENTA]]</f>
        <v>1866</v>
      </c>
      <c r="U5725" s="2">
        <f>MASTER[[#This Row],[CANTIDAD]]*MASTER[[#This Row],[COSTO UNITARIO]]</f>
        <v>396</v>
      </c>
      <c r="V5725" s="2">
        <f>MASTER[[#This Row],[MONTO VENDIDO]]-MASTER[[#This Row],[COSTO DE VENTA]]</f>
        <v>1470</v>
      </c>
    </row>
    <row r="5726" spans="1:22" x14ac:dyDescent="0.3">
      <c r="A5726">
        <v>80462</v>
      </c>
      <c r="B5726">
        <v>1</v>
      </c>
      <c r="C5726" t="s">
        <v>111</v>
      </c>
      <c r="D5726" t="s">
        <v>112</v>
      </c>
      <c r="E5726" s="1">
        <v>44451</v>
      </c>
      <c r="F5726">
        <v>1</v>
      </c>
      <c r="G5726" t="s">
        <v>67</v>
      </c>
      <c r="H5726" t="s">
        <v>68</v>
      </c>
      <c r="I5726" s="3">
        <v>1621</v>
      </c>
      <c r="J5726" s="3">
        <v>1621</v>
      </c>
      <c r="K5726" s="3">
        <v>434</v>
      </c>
      <c r="L5726" t="s">
        <v>113</v>
      </c>
      <c r="M5726">
        <v>14</v>
      </c>
      <c r="N5726" t="s">
        <v>87</v>
      </c>
      <c r="O5726" t="s">
        <v>81</v>
      </c>
      <c r="P5726" t="s">
        <v>18</v>
      </c>
      <c r="Q5726" t="s">
        <v>19</v>
      </c>
      <c r="R5726" t="s">
        <v>138</v>
      </c>
      <c r="S5726" t="s">
        <v>144</v>
      </c>
      <c r="T5726" s="2">
        <f>MASTER[[#This Row],[CANTIDAD]]*MASTER[[#This Row],[PRECIO DE VENTA]]</f>
        <v>1621</v>
      </c>
      <c r="U5726" s="2">
        <f>MASTER[[#This Row],[CANTIDAD]]*MASTER[[#This Row],[COSTO UNITARIO]]</f>
        <v>434</v>
      </c>
      <c r="V5726" s="2">
        <f>MASTER[[#This Row],[MONTO VENDIDO]]-MASTER[[#This Row],[COSTO DE VENTA]]</f>
        <v>1187</v>
      </c>
    </row>
    <row r="5727" spans="1:22" x14ac:dyDescent="0.3">
      <c r="A5727">
        <v>80480</v>
      </c>
      <c r="B5727">
        <v>1</v>
      </c>
      <c r="C5727" t="s">
        <v>109</v>
      </c>
      <c r="D5727" t="s">
        <v>110</v>
      </c>
      <c r="E5727" s="1">
        <v>44451</v>
      </c>
      <c r="F5727">
        <v>1</v>
      </c>
      <c r="G5727" t="s">
        <v>29</v>
      </c>
      <c r="H5727" t="s">
        <v>30</v>
      </c>
      <c r="I5727" s="3">
        <v>1064</v>
      </c>
      <c r="J5727" s="3">
        <v>1064</v>
      </c>
      <c r="K5727" s="3">
        <v>387</v>
      </c>
      <c r="L5727" t="s">
        <v>98</v>
      </c>
      <c r="M5727">
        <v>14</v>
      </c>
      <c r="N5727" t="s">
        <v>87</v>
      </c>
      <c r="O5727" t="s">
        <v>81</v>
      </c>
      <c r="P5727" t="s">
        <v>18</v>
      </c>
      <c r="Q5727" t="s">
        <v>19</v>
      </c>
      <c r="R5727" t="s">
        <v>138</v>
      </c>
      <c r="S5727" t="s">
        <v>144</v>
      </c>
      <c r="T5727" s="2">
        <f>MASTER[[#This Row],[CANTIDAD]]*MASTER[[#This Row],[PRECIO DE VENTA]]</f>
        <v>1064</v>
      </c>
      <c r="U5727" s="2">
        <f>MASTER[[#This Row],[CANTIDAD]]*MASTER[[#This Row],[COSTO UNITARIO]]</f>
        <v>387</v>
      </c>
      <c r="V5727" s="2">
        <f>MASTER[[#This Row],[MONTO VENDIDO]]-MASTER[[#This Row],[COSTO DE VENTA]]</f>
        <v>677</v>
      </c>
    </row>
    <row r="5728" spans="1:22" x14ac:dyDescent="0.3">
      <c r="A5728">
        <v>80494</v>
      </c>
      <c r="B5728">
        <v>1</v>
      </c>
      <c r="C5728" t="s">
        <v>101</v>
      </c>
      <c r="D5728" t="s">
        <v>102</v>
      </c>
      <c r="E5728" s="1">
        <v>44451</v>
      </c>
      <c r="F5728">
        <v>4</v>
      </c>
      <c r="G5728" t="s">
        <v>65</v>
      </c>
      <c r="H5728" t="s">
        <v>66</v>
      </c>
      <c r="I5728" s="3">
        <v>1212</v>
      </c>
      <c r="J5728" s="3">
        <v>1212</v>
      </c>
      <c r="K5728" s="3">
        <v>442</v>
      </c>
      <c r="L5728" t="s">
        <v>98</v>
      </c>
      <c r="M5728">
        <v>14</v>
      </c>
      <c r="N5728" t="s">
        <v>87</v>
      </c>
      <c r="O5728" t="s">
        <v>81</v>
      </c>
      <c r="P5728" t="s">
        <v>18</v>
      </c>
      <c r="Q5728" t="s">
        <v>19</v>
      </c>
      <c r="R5728" t="s">
        <v>138</v>
      </c>
      <c r="S5728" t="s">
        <v>144</v>
      </c>
      <c r="T5728" s="2">
        <f>MASTER[[#This Row],[CANTIDAD]]*MASTER[[#This Row],[PRECIO DE VENTA]]</f>
        <v>4848</v>
      </c>
      <c r="U5728" s="2">
        <f>MASTER[[#This Row],[CANTIDAD]]*MASTER[[#This Row],[COSTO UNITARIO]]</f>
        <v>1768</v>
      </c>
      <c r="V5728" s="2">
        <f>MASTER[[#This Row],[MONTO VENDIDO]]-MASTER[[#This Row],[COSTO DE VENTA]]</f>
        <v>3080</v>
      </c>
    </row>
    <row r="5729" spans="1:22" x14ac:dyDescent="0.3">
      <c r="A5729">
        <v>80499</v>
      </c>
      <c r="B5729">
        <v>1</v>
      </c>
      <c r="C5729" t="s">
        <v>114</v>
      </c>
      <c r="D5729" t="s">
        <v>115</v>
      </c>
      <c r="E5729" s="1">
        <v>44452</v>
      </c>
      <c r="F5729">
        <v>4</v>
      </c>
      <c r="G5729" t="s">
        <v>51</v>
      </c>
      <c r="H5729" t="s">
        <v>52</v>
      </c>
      <c r="I5729" s="3">
        <v>2030</v>
      </c>
      <c r="J5729" s="3">
        <v>2030</v>
      </c>
      <c r="K5729" s="3">
        <v>394</v>
      </c>
      <c r="L5729" t="s">
        <v>113</v>
      </c>
      <c r="M5729">
        <v>6</v>
      </c>
      <c r="N5729" t="s">
        <v>75</v>
      </c>
      <c r="O5729" t="s">
        <v>70</v>
      </c>
      <c r="P5729" t="s">
        <v>12</v>
      </c>
      <c r="Q5729" t="s">
        <v>13</v>
      </c>
      <c r="R5729" t="s">
        <v>13</v>
      </c>
      <c r="S5729" t="s">
        <v>144</v>
      </c>
      <c r="T5729" s="2">
        <f>MASTER[[#This Row],[CANTIDAD]]*MASTER[[#This Row],[PRECIO DE VENTA]]</f>
        <v>8120</v>
      </c>
      <c r="U5729" s="2">
        <f>MASTER[[#This Row],[CANTIDAD]]*MASTER[[#This Row],[COSTO UNITARIO]]</f>
        <v>1576</v>
      </c>
      <c r="V5729" s="2">
        <f>MASTER[[#This Row],[MONTO VENDIDO]]-MASTER[[#This Row],[COSTO DE VENTA]]</f>
        <v>6544</v>
      </c>
    </row>
    <row r="5730" spans="1:22" x14ac:dyDescent="0.3">
      <c r="A5730">
        <v>80527</v>
      </c>
      <c r="B5730">
        <v>1</v>
      </c>
      <c r="C5730" t="s">
        <v>103</v>
      </c>
      <c r="D5730" t="s">
        <v>104</v>
      </c>
      <c r="E5730" s="1">
        <v>44452</v>
      </c>
      <c r="F5730">
        <v>1</v>
      </c>
      <c r="G5730" t="s">
        <v>39</v>
      </c>
      <c r="H5730" t="s">
        <v>40</v>
      </c>
      <c r="I5730" s="3">
        <v>1830</v>
      </c>
      <c r="J5730" s="3">
        <v>1830</v>
      </c>
      <c r="K5730" s="3">
        <v>421</v>
      </c>
      <c r="L5730" t="s">
        <v>98</v>
      </c>
      <c r="M5730">
        <v>18</v>
      </c>
      <c r="N5730" t="s">
        <v>79</v>
      </c>
      <c r="O5730" t="s">
        <v>70</v>
      </c>
      <c r="P5730" t="s">
        <v>15</v>
      </c>
      <c r="Q5730" t="s">
        <v>16</v>
      </c>
      <c r="R5730" t="s">
        <v>16</v>
      </c>
      <c r="S5730" t="s">
        <v>144</v>
      </c>
      <c r="T5730" s="2">
        <f>MASTER[[#This Row],[CANTIDAD]]*MASTER[[#This Row],[PRECIO DE VENTA]]</f>
        <v>1830</v>
      </c>
      <c r="U5730" s="2">
        <f>MASTER[[#This Row],[CANTIDAD]]*MASTER[[#This Row],[COSTO UNITARIO]]</f>
        <v>421</v>
      </c>
      <c r="V5730" s="2">
        <f>MASTER[[#This Row],[MONTO VENDIDO]]-MASTER[[#This Row],[COSTO DE VENTA]]</f>
        <v>1409</v>
      </c>
    </row>
    <row r="5731" spans="1:22" x14ac:dyDescent="0.3">
      <c r="A5731">
        <v>80584</v>
      </c>
      <c r="B5731">
        <v>1</v>
      </c>
      <c r="C5731" t="s">
        <v>92</v>
      </c>
      <c r="D5731" t="s">
        <v>93</v>
      </c>
      <c r="E5731" s="1">
        <v>44452</v>
      </c>
      <c r="F5731">
        <v>1</v>
      </c>
      <c r="G5731" t="s">
        <v>20</v>
      </c>
      <c r="H5731" t="s">
        <v>21</v>
      </c>
      <c r="I5731" s="3">
        <v>1681</v>
      </c>
      <c r="J5731" s="3">
        <v>1681</v>
      </c>
      <c r="K5731" s="3">
        <v>396</v>
      </c>
      <c r="L5731" t="s">
        <v>9</v>
      </c>
      <c r="M5731">
        <v>4</v>
      </c>
      <c r="N5731" t="s">
        <v>82</v>
      </c>
      <c r="O5731" t="s">
        <v>81</v>
      </c>
      <c r="P5731" t="s">
        <v>71</v>
      </c>
      <c r="Q5731" t="s">
        <v>72</v>
      </c>
      <c r="R5731" t="s">
        <v>139</v>
      </c>
      <c r="S5731" t="s">
        <v>144</v>
      </c>
      <c r="T5731" s="2">
        <f>MASTER[[#This Row],[CANTIDAD]]*MASTER[[#This Row],[PRECIO DE VENTA]]</f>
        <v>1681</v>
      </c>
      <c r="U5731" s="2">
        <f>MASTER[[#This Row],[CANTIDAD]]*MASTER[[#This Row],[COSTO UNITARIO]]</f>
        <v>396</v>
      </c>
      <c r="V5731" s="2">
        <f>MASTER[[#This Row],[MONTO VENDIDO]]-MASTER[[#This Row],[COSTO DE VENTA]]</f>
        <v>1285</v>
      </c>
    </row>
    <row r="5732" spans="1:22" x14ac:dyDescent="0.3">
      <c r="A5732">
        <v>80587</v>
      </c>
      <c r="B5732">
        <v>1</v>
      </c>
      <c r="C5732" t="s">
        <v>109</v>
      </c>
      <c r="D5732" t="s">
        <v>110</v>
      </c>
      <c r="E5732" s="1">
        <v>44452</v>
      </c>
      <c r="F5732">
        <v>1</v>
      </c>
      <c r="G5732" t="s">
        <v>49</v>
      </c>
      <c r="H5732" t="s">
        <v>50</v>
      </c>
      <c r="I5732" s="3">
        <v>1128</v>
      </c>
      <c r="J5732" s="3">
        <v>1128</v>
      </c>
      <c r="K5732" s="3">
        <v>387</v>
      </c>
      <c r="L5732" t="s">
        <v>98</v>
      </c>
      <c r="M5732">
        <v>3</v>
      </c>
      <c r="N5732" t="s">
        <v>69</v>
      </c>
      <c r="O5732" t="s">
        <v>70</v>
      </c>
      <c r="P5732" t="s">
        <v>71</v>
      </c>
      <c r="Q5732" t="s">
        <v>72</v>
      </c>
      <c r="R5732" t="s">
        <v>139</v>
      </c>
      <c r="S5732" t="s">
        <v>144</v>
      </c>
      <c r="T5732" s="2">
        <f>MASTER[[#This Row],[CANTIDAD]]*MASTER[[#This Row],[PRECIO DE VENTA]]</f>
        <v>1128</v>
      </c>
      <c r="U5732" s="2">
        <f>MASTER[[#This Row],[CANTIDAD]]*MASTER[[#This Row],[COSTO UNITARIO]]</f>
        <v>387</v>
      </c>
      <c r="V5732" s="2">
        <f>MASTER[[#This Row],[MONTO VENDIDO]]-MASTER[[#This Row],[COSTO DE VENTA]]</f>
        <v>741</v>
      </c>
    </row>
    <row r="5733" spans="1:22" x14ac:dyDescent="0.3">
      <c r="A5733">
        <v>80596</v>
      </c>
      <c r="B5733">
        <v>1</v>
      </c>
      <c r="C5733" t="s">
        <v>114</v>
      </c>
      <c r="D5733" t="s">
        <v>115</v>
      </c>
      <c r="E5733" s="1">
        <v>44452</v>
      </c>
      <c r="F5733">
        <v>1</v>
      </c>
      <c r="G5733" t="s">
        <v>55</v>
      </c>
      <c r="H5733" t="s">
        <v>56</v>
      </c>
      <c r="I5733" s="3">
        <v>2030</v>
      </c>
      <c r="J5733" s="3">
        <v>2030</v>
      </c>
      <c r="K5733" s="3">
        <v>394</v>
      </c>
      <c r="L5733" t="s">
        <v>113</v>
      </c>
      <c r="M5733">
        <v>1</v>
      </c>
      <c r="N5733" t="s">
        <v>77</v>
      </c>
      <c r="O5733" t="s">
        <v>70</v>
      </c>
      <c r="P5733" t="s">
        <v>71</v>
      </c>
      <c r="Q5733" t="s">
        <v>72</v>
      </c>
      <c r="R5733" t="s">
        <v>139</v>
      </c>
      <c r="S5733" t="s">
        <v>144</v>
      </c>
      <c r="T5733" s="2">
        <f>MASTER[[#This Row],[CANTIDAD]]*MASTER[[#This Row],[PRECIO DE VENTA]]</f>
        <v>2030</v>
      </c>
      <c r="U5733" s="2">
        <f>MASTER[[#This Row],[CANTIDAD]]*MASTER[[#This Row],[COSTO UNITARIO]]</f>
        <v>394</v>
      </c>
      <c r="V5733" s="2">
        <f>MASTER[[#This Row],[MONTO VENDIDO]]-MASTER[[#This Row],[COSTO DE VENTA]]</f>
        <v>1636</v>
      </c>
    </row>
    <row r="5734" spans="1:22" x14ac:dyDescent="0.3">
      <c r="A5734">
        <v>80618</v>
      </c>
      <c r="B5734">
        <v>1</v>
      </c>
      <c r="C5734" t="s">
        <v>103</v>
      </c>
      <c r="D5734" t="s">
        <v>104</v>
      </c>
      <c r="E5734" s="1">
        <v>44452</v>
      </c>
      <c r="F5734">
        <v>1</v>
      </c>
      <c r="G5734" t="s">
        <v>53</v>
      </c>
      <c r="H5734" t="s">
        <v>54</v>
      </c>
      <c r="I5734" s="3">
        <v>1448</v>
      </c>
      <c r="J5734" s="3">
        <v>1448</v>
      </c>
      <c r="K5734" s="3">
        <v>421</v>
      </c>
      <c r="L5734" t="s">
        <v>98</v>
      </c>
      <c r="M5734">
        <v>17</v>
      </c>
      <c r="N5734" t="s">
        <v>14</v>
      </c>
      <c r="O5734" t="s">
        <v>11</v>
      </c>
      <c r="P5734" t="s">
        <v>15</v>
      </c>
      <c r="Q5734" t="s">
        <v>16</v>
      </c>
      <c r="R5734" t="s">
        <v>16</v>
      </c>
      <c r="S5734" t="s">
        <v>144</v>
      </c>
      <c r="T5734" s="2">
        <f>MASTER[[#This Row],[CANTIDAD]]*MASTER[[#This Row],[PRECIO DE VENTA]]</f>
        <v>1448</v>
      </c>
      <c r="U5734" s="2">
        <f>MASTER[[#This Row],[CANTIDAD]]*MASTER[[#This Row],[COSTO UNITARIO]]</f>
        <v>421</v>
      </c>
      <c r="V5734" s="2">
        <f>MASTER[[#This Row],[MONTO VENDIDO]]-MASTER[[#This Row],[COSTO DE VENTA]]</f>
        <v>1027</v>
      </c>
    </row>
    <row r="5735" spans="1:22" x14ac:dyDescent="0.3">
      <c r="A5735">
        <v>80623</v>
      </c>
      <c r="B5735">
        <v>1</v>
      </c>
      <c r="C5735" t="s">
        <v>121</v>
      </c>
      <c r="D5735" t="s">
        <v>122</v>
      </c>
      <c r="E5735" s="1">
        <v>44452</v>
      </c>
      <c r="F5735">
        <v>1</v>
      </c>
      <c r="G5735" t="s">
        <v>49</v>
      </c>
      <c r="H5735" t="s">
        <v>50</v>
      </c>
      <c r="I5735" s="3">
        <v>1069</v>
      </c>
      <c r="J5735" s="3">
        <v>1069</v>
      </c>
      <c r="K5735" s="3">
        <v>460</v>
      </c>
      <c r="L5735" t="s">
        <v>120</v>
      </c>
      <c r="M5735">
        <v>4</v>
      </c>
      <c r="N5735" t="s">
        <v>82</v>
      </c>
      <c r="O5735" t="s">
        <v>81</v>
      </c>
      <c r="P5735" t="s">
        <v>71</v>
      </c>
      <c r="Q5735" t="s">
        <v>72</v>
      </c>
      <c r="R5735" t="s">
        <v>139</v>
      </c>
      <c r="S5735" t="s">
        <v>144</v>
      </c>
      <c r="T5735" s="2">
        <f>MASTER[[#This Row],[CANTIDAD]]*MASTER[[#This Row],[PRECIO DE VENTA]]</f>
        <v>1069</v>
      </c>
      <c r="U5735" s="2">
        <f>MASTER[[#This Row],[CANTIDAD]]*MASTER[[#This Row],[COSTO UNITARIO]]</f>
        <v>460</v>
      </c>
      <c r="V5735" s="2">
        <f>MASTER[[#This Row],[MONTO VENDIDO]]-MASTER[[#This Row],[COSTO DE VENTA]]</f>
        <v>609</v>
      </c>
    </row>
    <row r="5736" spans="1:22" x14ac:dyDescent="0.3">
      <c r="A5736">
        <v>80629</v>
      </c>
      <c r="B5736">
        <v>1</v>
      </c>
      <c r="C5736" t="s">
        <v>92</v>
      </c>
      <c r="D5736" t="s">
        <v>93</v>
      </c>
      <c r="E5736" s="1">
        <v>44452</v>
      </c>
      <c r="F5736">
        <v>1</v>
      </c>
      <c r="G5736" t="s">
        <v>67</v>
      </c>
      <c r="H5736" t="s">
        <v>68</v>
      </c>
      <c r="I5736" s="3">
        <v>1479</v>
      </c>
      <c r="J5736" s="3">
        <v>1479</v>
      </c>
      <c r="K5736" s="3">
        <v>396</v>
      </c>
      <c r="L5736" t="s">
        <v>9</v>
      </c>
      <c r="M5736">
        <v>12</v>
      </c>
      <c r="N5736" t="s">
        <v>26</v>
      </c>
      <c r="O5736" t="s">
        <v>11</v>
      </c>
      <c r="P5736" t="s">
        <v>12</v>
      </c>
      <c r="Q5736" t="s">
        <v>13</v>
      </c>
      <c r="R5736" t="s">
        <v>13</v>
      </c>
      <c r="S5736" t="s">
        <v>144</v>
      </c>
      <c r="T5736" s="2">
        <f>MASTER[[#This Row],[CANTIDAD]]*MASTER[[#This Row],[PRECIO DE VENTA]]</f>
        <v>1479</v>
      </c>
      <c r="U5736" s="2">
        <f>MASTER[[#This Row],[CANTIDAD]]*MASTER[[#This Row],[COSTO UNITARIO]]</f>
        <v>396</v>
      </c>
      <c r="V5736" s="2">
        <f>MASTER[[#This Row],[MONTO VENDIDO]]-MASTER[[#This Row],[COSTO DE VENTA]]</f>
        <v>1083</v>
      </c>
    </row>
    <row r="5737" spans="1:22" x14ac:dyDescent="0.3">
      <c r="A5737">
        <v>80634</v>
      </c>
      <c r="B5737">
        <v>1</v>
      </c>
      <c r="C5737" t="s">
        <v>118</v>
      </c>
      <c r="D5737" t="s">
        <v>119</v>
      </c>
      <c r="E5737" s="1">
        <v>44453</v>
      </c>
      <c r="F5737">
        <v>1</v>
      </c>
      <c r="G5737" t="s">
        <v>43</v>
      </c>
      <c r="H5737" t="s">
        <v>44</v>
      </c>
      <c r="I5737" s="3">
        <v>900</v>
      </c>
      <c r="J5737" s="3">
        <v>900</v>
      </c>
      <c r="K5737" s="3">
        <v>424</v>
      </c>
      <c r="L5737" t="s">
        <v>120</v>
      </c>
      <c r="M5737">
        <v>2</v>
      </c>
      <c r="N5737" t="s">
        <v>86</v>
      </c>
      <c r="O5737" t="s">
        <v>81</v>
      </c>
      <c r="P5737" t="s">
        <v>71</v>
      </c>
      <c r="Q5737" t="s">
        <v>72</v>
      </c>
      <c r="R5737" t="s">
        <v>139</v>
      </c>
      <c r="S5737" t="s">
        <v>144</v>
      </c>
      <c r="T5737" s="2">
        <f>MASTER[[#This Row],[CANTIDAD]]*MASTER[[#This Row],[PRECIO DE VENTA]]</f>
        <v>900</v>
      </c>
      <c r="U5737" s="2">
        <f>MASTER[[#This Row],[CANTIDAD]]*MASTER[[#This Row],[COSTO UNITARIO]]</f>
        <v>424</v>
      </c>
      <c r="V5737" s="2">
        <f>MASTER[[#This Row],[MONTO VENDIDO]]-MASTER[[#This Row],[COSTO DE VENTA]]</f>
        <v>476</v>
      </c>
    </row>
    <row r="5738" spans="1:22" x14ac:dyDescent="0.3">
      <c r="A5738">
        <v>80659</v>
      </c>
      <c r="B5738">
        <v>1</v>
      </c>
      <c r="C5738" t="s">
        <v>107</v>
      </c>
      <c r="D5738" t="s">
        <v>108</v>
      </c>
      <c r="E5738" s="1">
        <v>44453</v>
      </c>
      <c r="F5738">
        <v>1</v>
      </c>
      <c r="G5738" t="s">
        <v>45</v>
      </c>
      <c r="H5738" t="s">
        <v>46</v>
      </c>
      <c r="I5738" s="3">
        <v>1333</v>
      </c>
      <c r="J5738" s="3">
        <v>1333</v>
      </c>
      <c r="K5738" s="3">
        <v>380</v>
      </c>
      <c r="L5738" t="s">
        <v>98</v>
      </c>
      <c r="M5738">
        <v>19</v>
      </c>
      <c r="N5738" t="s">
        <v>89</v>
      </c>
      <c r="O5738" t="s">
        <v>81</v>
      </c>
      <c r="P5738" t="s">
        <v>15</v>
      </c>
      <c r="Q5738" t="s">
        <v>16</v>
      </c>
      <c r="R5738" t="s">
        <v>16</v>
      </c>
      <c r="S5738" t="s">
        <v>144</v>
      </c>
      <c r="T5738" s="2">
        <f>MASTER[[#This Row],[CANTIDAD]]*MASTER[[#This Row],[PRECIO DE VENTA]]</f>
        <v>1333</v>
      </c>
      <c r="U5738" s="2">
        <f>MASTER[[#This Row],[CANTIDAD]]*MASTER[[#This Row],[COSTO UNITARIO]]</f>
        <v>380</v>
      </c>
      <c r="V5738" s="2">
        <f>MASTER[[#This Row],[MONTO VENDIDO]]-MASTER[[#This Row],[COSTO DE VENTA]]</f>
        <v>953</v>
      </c>
    </row>
    <row r="5739" spans="1:22" x14ac:dyDescent="0.3">
      <c r="A5739">
        <v>80661</v>
      </c>
      <c r="B5739">
        <v>1</v>
      </c>
      <c r="C5739" t="s">
        <v>107</v>
      </c>
      <c r="D5739" t="s">
        <v>108</v>
      </c>
      <c r="E5739" s="1">
        <v>44453</v>
      </c>
      <c r="F5739">
        <v>1</v>
      </c>
      <c r="G5739" t="s">
        <v>45</v>
      </c>
      <c r="H5739" t="s">
        <v>46</v>
      </c>
      <c r="I5739" s="3">
        <v>1240</v>
      </c>
      <c r="J5739" s="3">
        <v>1240</v>
      </c>
      <c r="K5739" s="3">
        <v>380</v>
      </c>
      <c r="L5739" t="s">
        <v>98</v>
      </c>
      <c r="M5739">
        <v>17</v>
      </c>
      <c r="N5739" t="s">
        <v>14</v>
      </c>
      <c r="O5739" t="s">
        <v>11</v>
      </c>
      <c r="P5739" t="s">
        <v>15</v>
      </c>
      <c r="Q5739" t="s">
        <v>16</v>
      </c>
      <c r="R5739" t="s">
        <v>16</v>
      </c>
      <c r="S5739" t="s">
        <v>144</v>
      </c>
      <c r="T5739" s="2">
        <f>MASTER[[#This Row],[CANTIDAD]]*MASTER[[#This Row],[PRECIO DE VENTA]]</f>
        <v>1240</v>
      </c>
      <c r="U5739" s="2">
        <f>MASTER[[#This Row],[CANTIDAD]]*MASTER[[#This Row],[COSTO UNITARIO]]</f>
        <v>380</v>
      </c>
      <c r="V5739" s="2">
        <f>MASTER[[#This Row],[MONTO VENDIDO]]-MASTER[[#This Row],[COSTO DE VENTA]]</f>
        <v>860</v>
      </c>
    </row>
    <row r="5740" spans="1:22" x14ac:dyDescent="0.3">
      <c r="A5740">
        <v>80691</v>
      </c>
      <c r="B5740">
        <v>1</v>
      </c>
      <c r="C5740" t="s">
        <v>118</v>
      </c>
      <c r="D5740" t="s">
        <v>119</v>
      </c>
      <c r="E5740" s="1">
        <v>44453</v>
      </c>
      <c r="F5740">
        <v>1</v>
      </c>
      <c r="G5740" t="s">
        <v>27</v>
      </c>
      <c r="H5740" t="s">
        <v>28</v>
      </c>
      <c r="I5740" s="3">
        <v>1026</v>
      </c>
      <c r="J5740" s="3">
        <v>1026</v>
      </c>
      <c r="K5740" s="3">
        <v>424</v>
      </c>
      <c r="L5740" t="s">
        <v>120</v>
      </c>
      <c r="M5740">
        <v>9</v>
      </c>
      <c r="N5740" t="s">
        <v>76</v>
      </c>
      <c r="O5740" t="s">
        <v>70</v>
      </c>
      <c r="P5740" t="s">
        <v>12</v>
      </c>
      <c r="Q5740" t="s">
        <v>13</v>
      </c>
      <c r="R5740" t="s">
        <v>13</v>
      </c>
      <c r="S5740" t="s">
        <v>144</v>
      </c>
      <c r="T5740" s="2">
        <f>MASTER[[#This Row],[CANTIDAD]]*MASTER[[#This Row],[PRECIO DE VENTA]]</f>
        <v>1026</v>
      </c>
      <c r="U5740" s="2">
        <f>MASTER[[#This Row],[CANTIDAD]]*MASTER[[#This Row],[COSTO UNITARIO]]</f>
        <v>424</v>
      </c>
      <c r="V5740" s="2">
        <f>MASTER[[#This Row],[MONTO VENDIDO]]-MASTER[[#This Row],[COSTO DE VENTA]]</f>
        <v>602</v>
      </c>
    </row>
    <row r="5741" spans="1:22" x14ac:dyDescent="0.3">
      <c r="A5741">
        <v>80692</v>
      </c>
      <c r="B5741">
        <v>1</v>
      </c>
      <c r="C5741" t="s">
        <v>101</v>
      </c>
      <c r="D5741" t="s">
        <v>102</v>
      </c>
      <c r="E5741" s="1">
        <v>44453</v>
      </c>
      <c r="F5741">
        <v>1</v>
      </c>
      <c r="G5741" t="s">
        <v>47</v>
      </c>
      <c r="H5741" t="s">
        <v>48</v>
      </c>
      <c r="I5741" s="3">
        <v>1212</v>
      </c>
      <c r="J5741" s="3">
        <v>1212</v>
      </c>
      <c r="K5741" s="3">
        <v>442</v>
      </c>
      <c r="L5741" t="s">
        <v>98</v>
      </c>
      <c r="M5741">
        <v>10</v>
      </c>
      <c r="N5741" t="s">
        <v>83</v>
      </c>
      <c r="O5741" t="s">
        <v>81</v>
      </c>
      <c r="P5741" t="s">
        <v>12</v>
      </c>
      <c r="Q5741" t="s">
        <v>13</v>
      </c>
      <c r="R5741" t="s">
        <v>13</v>
      </c>
      <c r="S5741" t="s">
        <v>144</v>
      </c>
      <c r="T5741" s="2">
        <f>MASTER[[#This Row],[CANTIDAD]]*MASTER[[#This Row],[PRECIO DE VENTA]]</f>
        <v>1212</v>
      </c>
      <c r="U5741" s="2">
        <f>MASTER[[#This Row],[CANTIDAD]]*MASTER[[#This Row],[COSTO UNITARIO]]</f>
        <v>442</v>
      </c>
      <c r="V5741" s="2">
        <f>MASTER[[#This Row],[MONTO VENDIDO]]-MASTER[[#This Row],[COSTO DE VENTA]]</f>
        <v>770</v>
      </c>
    </row>
    <row r="5742" spans="1:22" x14ac:dyDescent="0.3">
      <c r="A5742">
        <v>80694</v>
      </c>
      <c r="B5742">
        <v>1</v>
      </c>
      <c r="C5742" t="s">
        <v>90</v>
      </c>
      <c r="D5742" t="s">
        <v>91</v>
      </c>
      <c r="E5742" s="1">
        <v>44453</v>
      </c>
      <c r="F5742">
        <v>1</v>
      </c>
      <c r="G5742" t="s">
        <v>55</v>
      </c>
      <c r="H5742" t="s">
        <v>56</v>
      </c>
      <c r="I5742" s="3">
        <v>1844</v>
      </c>
      <c r="J5742" s="3">
        <v>1770</v>
      </c>
      <c r="K5742" s="3">
        <v>420</v>
      </c>
      <c r="L5742" t="s">
        <v>9</v>
      </c>
      <c r="M5742">
        <v>4</v>
      </c>
      <c r="N5742" t="s">
        <v>82</v>
      </c>
      <c r="O5742" t="s">
        <v>81</v>
      </c>
      <c r="P5742" t="s">
        <v>71</v>
      </c>
      <c r="Q5742" t="s">
        <v>72</v>
      </c>
      <c r="R5742" t="s">
        <v>139</v>
      </c>
      <c r="S5742" t="s">
        <v>144</v>
      </c>
      <c r="T5742" s="2">
        <f>MASTER[[#This Row],[CANTIDAD]]*MASTER[[#This Row],[PRECIO DE VENTA]]</f>
        <v>1770</v>
      </c>
      <c r="U5742" s="2">
        <f>MASTER[[#This Row],[CANTIDAD]]*MASTER[[#This Row],[COSTO UNITARIO]]</f>
        <v>420</v>
      </c>
      <c r="V5742" s="2">
        <f>MASTER[[#This Row],[MONTO VENDIDO]]-MASTER[[#This Row],[COSTO DE VENTA]]</f>
        <v>1350</v>
      </c>
    </row>
    <row r="5743" spans="1:22" x14ac:dyDescent="0.3">
      <c r="A5743">
        <v>80701</v>
      </c>
      <c r="B5743">
        <v>1</v>
      </c>
      <c r="C5743" t="s">
        <v>90</v>
      </c>
      <c r="D5743" t="s">
        <v>91</v>
      </c>
      <c r="E5743" s="1">
        <v>44454</v>
      </c>
      <c r="F5743">
        <v>1</v>
      </c>
      <c r="G5743" t="s">
        <v>37</v>
      </c>
      <c r="H5743" t="s">
        <v>38</v>
      </c>
      <c r="I5743" s="3">
        <v>2102</v>
      </c>
      <c r="J5743" s="3">
        <v>2102</v>
      </c>
      <c r="K5743" s="3">
        <v>420</v>
      </c>
      <c r="L5743" t="s">
        <v>9</v>
      </c>
      <c r="M5743">
        <v>18</v>
      </c>
      <c r="N5743" t="s">
        <v>79</v>
      </c>
      <c r="O5743" t="s">
        <v>70</v>
      </c>
      <c r="P5743" t="s">
        <v>15</v>
      </c>
      <c r="Q5743" t="s">
        <v>16</v>
      </c>
      <c r="R5743" t="s">
        <v>16</v>
      </c>
      <c r="S5743" t="s">
        <v>144</v>
      </c>
      <c r="T5743" s="2">
        <f>MASTER[[#This Row],[CANTIDAD]]*MASTER[[#This Row],[PRECIO DE VENTA]]</f>
        <v>2102</v>
      </c>
      <c r="U5743" s="2">
        <f>MASTER[[#This Row],[CANTIDAD]]*MASTER[[#This Row],[COSTO UNITARIO]]</f>
        <v>420</v>
      </c>
      <c r="V5743" s="2">
        <f>MASTER[[#This Row],[MONTO VENDIDO]]-MASTER[[#This Row],[COSTO DE VENTA]]</f>
        <v>1682</v>
      </c>
    </row>
    <row r="5744" spans="1:22" x14ac:dyDescent="0.3">
      <c r="A5744">
        <v>80703</v>
      </c>
      <c r="B5744">
        <v>1</v>
      </c>
      <c r="C5744" t="s">
        <v>96</v>
      </c>
      <c r="D5744" t="s">
        <v>97</v>
      </c>
      <c r="E5744" s="1">
        <v>44454</v>
      </c>
      <c r="F5744">
        <v>1</v>
      </c>
      <c r="G5744" t="s">
        <v>73</v>
      </c>
      <c r="H5744" t="s">
        <v>74</v>
      </c>
      <c r="I5744" s="3">
        <v>1196</v>
      </c>
      <c r="J5744" s="3">
        <v>1196</v>
      </c>
      <c r="K5744" s="3">
        <v>397</v>
      </c>
      <c r="L5744" t="s">
        <v>98</v>
      </c>
      <c r="M5744">
        <v>17</v>
      </c>
      <c r="N5744" t="s">
        <v>14</v>
      </c>
      <c r="O5744" t="s">
        <v>11</v>
      </c>
      <c r="P5744" t="s">
        <v>15</v>
      </c>
      <c r="Q5744" t="s">
        <v>16</v>
      </c>
      <c r="R5744" t="s">
        <v>16</v>
      </c>
      <c r="S5744" t="s">
        <v>144</v>
      </c>
      <c r="T5744" s="2">
        <f>MASTER[[#This Row],[CANTIDAD]]*MASTER[[#This Row],[PRECIO DE VENTA]]</f>
        <v>1196</v>
      </c>
      <c r="U5744" s="2">
        <f>MASTER[[#This Row],[CANTIDAD]]*MASTER[[#This Row],[COSTO UNITARIO]]</f>
        <v>397</v>
      </c>
      <c r="V5744" s="2">
        <f>MASTER[[#This Row],[MONTO VENDIDO]]-MASTER[[#This Row],[COSTO DE VENTA]]</f>
        <v>799</v>
      </c>
    </row>
    <row r="5745" spans="1:22" x14ac:dyDescent="0.3">
      <c r="A5745">
        <v>80707</v>
      </c>
      <c r="B5745">
        <v>1</v>
      </c>
      <c r="C5745" t="s">
        <v>96</v>
      </c>
      <c r="D5745" t="s">
        <v>97</v>
      </c>
      <c r="E5745" s="1">
        <v>44454</v>
      </c>
      <c r="F5745">
        <v>1</v>
      </c>
      <c r="G5745" t="s">
        <v>47</v>
      </c>
      <c r="H5745" t="s">
        <v>48</v>
      </c>
      <c r="I5745" s="3">
        <v>1272</v>
      </c>
      <c r="J5745" s="3">
        <v>1272</v>
      </c>
      <c r="K5745" s="3">
        <v>397</v>
      </c>
      <c r="L5745" t="s">
        <v>98</v>
      </c>
      <c r="M5745">
        <v>2</v>
      </c>
      <c r="N5745" t="s">
        <v>86</v>
      </c>
      <c r="O5745" t="s">
        <v>81</v>
      </c>
      <c r="P5745" t="s">
        <v>71</v>
      </c>
      <c r="Q5745" t="s">
        <v>72</v>
      </c>
      <c r="R5745" t="s">
        <v>139</v>
      </c>
      <c r="S5745" t="s">
        <v>144</v>
      </c>
      <c r="T5745" s="2">
        <f>MASTER[[#This Row],[CANTIDAD]]*MASTER[[#This Row],[PRECIO DE VENTA]]</f>
        <v>1272</v>
      </c>
      <c r="U5745" s="2">
        <f>MASTER[[#This Row],[CANTIDAD]]*MASTER[[#This Row],[COSTO UNITARIO]]</f>
        <v>397</v>
      </c>
      <c r="V5745" s="2">
        <f>MASTER[[#This Row],[MONTO VENDIDO]]-MASTER[[#This Row],[COSTO DE VENTA]]</f>
        <v>875</v>
      </c>
    </row>
    <row r="5746" spans="1:22" x14ac:dyDescent="0.3">
      <c r="A5746">
        <v>80726</v>
      </c>
      <c r="B5746">
        <v>1</v>
      </c>
      <c r="C5746" t="s">
        <v>5</v>
      </c>
      <c r="D5746" t="s">
        <v>6</v>
      </c>
      <c r="E5746" s="1">
        <v>44454</v>
      </c>
      <c r="F5746">
        <v>1</v>
      </c>
      <c r="G5746" t="s">
        <v>39</v>
      </c>
      <c r="H5746" t="s">
        <v>40</v>
      </c>
      <c r="I5746" s="3">
        <v>1507</v>
      </c>
      <c r="J5746" s="3">
        <v>1507</v>
      </c>
      <c r="K5746" s="3">
        <v>393</v>
      </c>
      <c r="L5746" t="s">
        <v>9</v>
      </c>
      <c r="M5746">
        <v>15</v>
      </c>
      <c r="N5746" t="s">
        <v>88</v>
      </c>
      <c r="O5746" t="s">
        <v>81</v>
      </c>
      <c r="P5746" t="s">
        <v>18</v>
      </c>
      <c r="Q5746" t="s">
        <v>19</v>
      </c>
      <c r="R5746" t="s">
        <v>138</v>
      </c>
      <c r="S5746" t="s">
        <v>144</v>
      </c>
      <c r="T5746" s="2">
        <f>MASTER[[#This Row],[CANTIDAD]]*MASTER[[#This Row],[PRECIO DE VENTA]]</f>
        <v>1507</v>
      </c>
      <c r="U5746" s="2">
        <f>MASTER[[#This Row],[CANTIDAD]]*MASTER[[#This Row],[COSTO UNITARIO]]</f>
        <v>393</v>
      </c>
      <c r="V5746" s="2">
        <f>MASTER[[#This Row],[MONTO VENDIDO]]-MASTER[[#This Row],[COSTO DE VENTA]]</f>
        <v>1114</v>
      </c>
    </row>
    <row r="5747" spans="1:22" x14ac:dyDescent="0.3">
      <c r="A5747">
        <v>80728</v>
      </c>
      <c r="B5747">
        <v>1</v>
      </c>
      <c r="C5747" t="s">
        <v>99</v>
      </c>
      <c r="D5747" t="s">
        <v>100</v>
      </c>
      <c r="E5747" s="1">
        <v>44454</v>
      </c>
      <c r="F5747">
        <v>1</v>
      </c>
      <c r="G5747" t="s">
        <v>49</v>
      </c>
      <c r="H5747" t="s">
        <v>50</v>
      </c>
      <c r="I5747" s="3">
        <v>1459</v>
      </c>
      <c r="J5747" s="3">
        <v>1459</v>
      </c>
      <c r="K5747" s="3">
        <v>386</v>
      </c>
      <c r="L5747" t="s">
        <v>98</v>
      </c>
      <c r="M5747">
        <v>14</v>
      </c>
      <c r="N5747" t="s">
        <v>87</v>
      </c>
      <c r="O5747" t="s">
        <v>81</v>
      </c>
      <c r="P5747" t="s">
        <v>18</v>
      </c>
      <c r="Q5747" t="s">
        <v>19</v>
      </c>
      <c r="R5747" t="s">
        <v>138</v>
      </c>
      <c r="S5747" t="s">
        <v>144</v>
      </c>
      <c r="T5747" s="2">
        <f>MASTER[[#This Row],[CANTIDAD]]*MASTER[[#This Row],[PRECIO DE VENTA]]</f>
        <v>1459</v>
      </c>
      <c r="U5747" s="2">
        <f>MASTER[[#This Row],[CANTIDAD]]*MASTER[[#This Row],[COSTO UNITARIO]]</f>
        <v>386</v>
      </c>
      <c r="V5747" s="2">
        <f>MASTER[[#This Row],[MONTO VENDIDO]]-MASTER[[#This Row],[COSTO DE VENTA]]</f>
        <v>1073</v>
      </c>
    </row>
    <row r="5748" spans="1:22" x14ac:dyDescent="0.3">
      <c r="A5748">
        <v>80729</v>
      </c>
      <c r="B5748">
        <v>1</v>
      </c>
      <c r="C5748" t="s">
        <v>101</v>
      </c>
      <c r="D5748" t="s">
        <v>102</v>
      </c>
      <c r="E5748" s="1">
        <v>44454</v>
      </c>
      <c r="F5748">
        <v>2</v>
      </c>
      <c r="G5748" t="s">
        <v>61</v>
      </c>
      <c r="H5748" t="s">
        <v>62</v>
      </c>
      <c r="I5748" s="3">
        <v>1054</v>
      </c>
      <c r="J5748" s="3">
        <v>1054</v>
      </c>
      <c r="K5748" s="3">
        <v>442</v>
      </c>
      <c r="L5748" t="s">
        <v>98</v>
      </c>
      <c r="M5748">
        <v>11</v>
      </c>
      <c r="N5748" t="s">
        <v>10</v>
      </c>
      <c r="O5748" t="s">
        <v>11</v>
      </c>
      <c r="P5748" t="s">
        <v>12</v>
      </c>
      <c r="Q5748" t="s">
        <v>13</v>
      </c>
      <c r="R5748" t="s">
        <v>13</v>
      </c>
      <c r="S5748" t="s">
        <v>144</v>
      </c>
      <c r="T5748" s="2">
        <f>MASTER[[#This Row],[CANTIDAD]]*MASTER[[#This Row],[PRECIO DE VENTA]]</f>
        <v>2108</v>
      </c>
      <c r="U5748" s="2">
        <f>MASTER[[#This Row],[CANTIDAD]]*MASTER[[#This Row],[COSTO UNITARIO]]</f>
        <v>884</v>
      </c>
      <c r="V5748" s="2">
        <f>MASTER[[#This Row],[MONTO VENDIDO]]-MASTER[[#This Row],[COSTO DE VENTA]]</f>
        <v>1224</v>
      </c>
    </row>
    <row r="5749" spans="1:22" x14ac:dyDescent="0.3">
      <c r="A5749">
        <v>80733</v>
      </c>
      <c r="B5749">
        <v>1</v>
      </c>
      <c r="C5749" t="s">
        <v>105</v>
      </c>
      <c r="D5749" t="s">
        <v>106</v>
      </c>
      <c r="E5749" s="1">
        <v>44455</v>
      </c>
      <c r="F5749">
        <v>1</v>
      </c>
      <c r="G5749" t="s">
        <v>45</v>
      </c>
      <c r="H5749" t="s">
        <v>46</v>
      </c>
      <c r="I5749" s="3">
        <v>1585</v>
      </c>
      <c r="J5749" s="3">
        <v>1585</v>
      </c>
      <c r="K5749" s="3">
        <v>459</v>
      </c>
      <c r="L5749" t="s">
        <v>98</v>
      </c>
      <c r="M5749">
        <v>11</v>
      </c>
      <c r="N5749" t="s">
        <v>10</v>
      </c>
      <c r="O5749" t="s">
        <v>11</v>
      </c>
      <c r="P5749" t="s">
        <v>12</v>
      </c>
      <c r="Q5749" t="s">
        <v>13</v>
      </c>
      <c r="R5749" t="s">
        <v>13</v>
      </c>
      <c r="S5749" t="s">
        <v>144</v>
      </c>
      <c r="T5749" s="2">
        <f>MASTER[[#This Row],[CANTIDAD]]*MASTER[[#This Row],[PRECIO DE VENTA]]</f>
        <v>1585</v>
      </c>
      <c r="U5749" s="2">
        <f>MASTER[[#This Row],[CANTIDAD]]*MASTER[[#This Row],[COSTO UNITARIO]]</f>
        <v>459</v>
      </c>
      <c r="V5749" s="2">
        <f>MASTER[[#This Row],[MONTO VENDIDO]]-MASTER[[#This Row],[COSTO DE VENTA]]</f>
        <v>1126</v>
      </c>
    </row>
    <row r="5750" spans="1:22" x14ac:dyDescent="0.3">
      <c r="A5750">
        <v>80743</v>
      </c>
      <c r="B5750">
        <v>1</v>
      </c>
      <c r="C5750" t="s">
        <v>105</v>
      </c>
      <c r="D5750" t="s">
        <v>106</v>
      </c>
      <c r="E5750" s="1">
        <v>44455</v>
      </c>
      <c r="F5750">
        <v>1</v>
      </c>
      <c r="G5750" t="s">
        <v>47</v>
      </c>
      <c r="H5750" t="s">
        <v>48</v>
      </c>
      <c r="I5750" s="3">
        <v>1865</v>
      </c>
      <c r="J5750" s="3">
        <v>1865</v>
      </c>
      <c r="K5750" s="3">
        <v>459</v>
      </c>
      <c r="L5750" t="s">
        <v>98</v>
      </c>
      <c r="M5750">
        <v>2</v>
      </c>
      <c r="N5750" t="s">
        <v>86</v>
      </c>
      <c r="O5750" t="s">
        <v>81</v>
      </c>
      <c r="P5750" t="s">
        <v>71</v>
      </c>
      <c r="Q5750" t="s">
        <v>72</v>
      </c>
      <c r="R5750" t="s">
        <v>139</v>
      </c>
      <c r="S5750" t="s">
        <v>144</v>
      </c>
      <c r="T5750" s="2">
        <f>MASTER[[#This Row],[CANTIDAD]]*MASTER[[#This Row],[PRECIO DE VENTA]]</f>
        <v>1865</v>
      </c>
      <c r="U5750" s="2">
        <f>MASTER[[#This Row],[CANTIDAD]]*MASTER[[#This Row],[COSTO UNITARIO]]</f>
        <v>459</v>
      </c>
      <c r="V5750" s="2">
        <f>MASTER[[#This Row],[MONTO VENDIDO]]-MASTER[[#This Row],[COSTO DE VENTA]]</f>
        <v>1406</v>
      </c>
    </row>
    <row r="5751" spans="1:22" x14ac:dyDescent="0.3">
      <c r="A5751">
        <v>80780</v>
      </c>
      <c r="B5751">
        <v>1</v>
      </c>
      <c r="C5751" t="s">
        <v>96</v>
      </c>
      <c r="D5751" t="s">
        <v>97</v>
      </c>
      <c r="E5751" s="1">
        <v>44455</v>
      </c>
      <c r="F5751">
        <v>1</v>
      </c>
      <c r="G5751" t="s">
        <v>53</v>
      </c>
      <c r="H5751" t="s">
        <v>54</v>
      </c>
      <c r="I5751" s="3">
        <v>1361</v>
      </c>
      <c r="J5751" s="3">
        <v>1361</v>
      </c>
      <c r="K5751" s="3">
        <v>397</v>
      </c>
      <c r="L5751" t="s">
        <v>98</v>
      </c>
      <c r="M5751">
        <v>18</v>
      </c>
      <c r="N5751" t="s">
        <v>79</v>
      </c>
      <c r="O5751" t="s">
        <v>70</v>
      </c>
      <c r="P5751" t="s">
        <v>15</v>
      </c>
      <c r="Q5751" t="s">
        <v>16</v>
      </c>
      <c r="R5751" t="s">
        <v>16</v>
      </c>
      <c r="S5751" t="s">
        <v>144</v>
      </c>
      <c r="T5751" s="2">
        <f>MASTER[[#This Row],[CANTIDAD]]*MASTER[[#This Row],[PRECIO DE VENTA]]</f>
        <v>1361</v>
      </c>
      <c r="U5751" s="2">
        <f>MASTER[[#This Row],[CANTIDAD]]*MASTER[[#This Row],[COSTO UNITARIO]]</f>
        <v>397</v>
      </c>
      <c r="V5751" s="2">
        <f>MASTER[[#This Row],[MONTO VENDIDO]]-MASTER[[#This Row],[COSTO DE VENTA]]</f>
        <v>964</v>
      </c>
    </row>
    <row r="5752" spans="1:22" x14ac:dyDescent="0.3">
      <c r="A5752">
        <v>80785</v>
      </c>
      <c r="B5752">
        <v>1</v>
      </c>
      <c r="C5752" t="s">
        <v>116</v>
      </c>
      <c r="D5752" t="s">
        <v>117</v>
      </c>
      <c r="E5752" s="1">
        <v>44455</v>
      </c>
      <c r="F5752">
        <v>1</v>
      </c>
      <c r="G5752" t="s">
        <v>67</v>
      </c>
      <c r="H5752" t="s">
        <v>68</v>
      </c>
      <c r="I5752" s="3">
        <v>1529</v>
      </c>
      <c r="J5752" s="3">
        <v>1529</v>
      </c>
      <c r="K5752" s="3">
        <v>388</v>
      </c>
      <c r="L5752" t="s">
        <v>113</v>
      </c>
      <c r="M5752">
        <v>17</v>
      </c>
      <c r="N5752" t="s">
        <v>14</v>
      </c>
      <c r="O5752" t="s">
        <v>11</v>
      </c>
      <c r="P5752" t="s">
        <v>15</v>
      </c>
      <c r="Q5752" t="s">
        <v>16</v>
      </c>
      <c r="R5752" t="s">
        <v>16</v>
      </c>
      <c r="S5752" t="s">
        <v>144</v>
      </c>
      <c r="T5752" s="2">
        <f>MASTER[[#This Row],[CANTIDAD]]*MASTER[[#This Row],[PRECIO DE VENTA]]</f>
        <v>1529</v>
      </c>
      <c r="U5752" s="2">
        <f>MASTER[[#This Row],[CANTIDAD]]*MASTER[[#This Row],[COSTO UNITARIO]]</f>
        <v>388</v>
      </c>
      <c r="V5752" s="2">
        <f>MASTER[[#This Row],[MONTO VENDIDO]]-MASTER[[#This Row],[COSTO DE VENTA]]</f>
        <v>1141</v>
      </c>
    </row>
    <row r="5753" spans="1:22" x14ac:dyDescent="0.3">
      <c r="A5753">
        <v>80793</v>
      </c>
      <c r="B5753">
        <v>1</v>
      </c>
      <c r="C5753" t="s">
        <v>99</v>
      </c>
      <c r="D5753" t="s">
        <v>100</v>
      </c>
      <c r="E5753" s="1">
        <v>44455</v>
      </c>
      <c r="F5753">
        <v>4</v>
      </c>
      <c r="G5753" t="s">
        <v>7</v>
      </c>
      <c r="H5753" t="s">
        <v>8</v>
      </c>
      <c r="I5753" s="3">
        <v>1459</v>
      </c>
      <c r="J5753" s="3">
        <v>1459</v>
      </c>
      <c r="K5753" s="3">
        <v>386</v>
      </c>
      <c r="L5753" t="s">
        <v>98</v>
      </c>
      <c r="M5753">
        <v>8</v>
      </c>
      <c r="N5753" t="s">
        <v>80</v>
      </c>
      <c r="O5753" t="s">
        <v>81</v>
      </c>
      <c r="P5753" t="s">
        <v>12</v>
      </c>
      <c r="Q5753" t="s">
        <v>13</v>
      </c>
      <c r="R5753" t="s">
        <v>13</v>
      </c>
      <c r="S5753" t="s">
        <v>144</v>
      </c>
      <c r="T5753" s="2">
        <f>MASTER[[#This Row],[CANTIDAD]]*MASTER[[#This Row],[PRECIO DE VENTA]]</f>
        <v>5836</v>
      </c>
      <c r="U5753" s="2">
        <f>MASTER[[#This Row],[CANTIDAD]]*MASTER[[#This Row],[COSTO UNITARIO]]</f>
        <v>1544</v>
      </c>
      <c r="V5753" s="2">
        <f>MASTER[[#This Row],[MONTO VENDIDO]]-MASTER[[#This Row],[COSTO DE VENTA]]</f>
        <v>4292</v>
      </c>
    </row>
    <row r="5754" spans="1:22" x14ac:dyDescent="0.3">
      <c r="A5754">
        <v>80795</v>
      </c>
      <c r="B5754">
        <v>1</v>
      </c>
      <c r="C5754" t="s">
        <v>103</v>
      </c>
      <c r="D5754" t="s">
        <v>104</v>
      </c>
      <c r="E5754" s="1">
        <v>44455</v>
      </c>
      <c r="F5754">
        <v>1</v>
      </c>
      <c r="G5754" t="s">
        <v>57</v>
      </c>
      <c r="H5754" t="s">
        <v>58</v>
      </c>
      <c r="I5754" s="3">
        <v>1591</v>
      </c>
      <c r="J5754" s="3">
        <v>1591</v>
      </c>
      <c r="K5754" s="3">
        <v>421</v>
      </c>
      <c r="L5754" t="s">
        <v>98</v>
      </c>
      <c r="M5754">
        <v>8</v>
      </c>
      <c r="N5754" t="s">
        <v>80</v>
      </c>
      <c r="O5754" t="s">
        <v>81</v>
      </c>
      <c r="P5754" t="s">
        <v>12</v>
      </c>
      <c r="Q5754" t="s">
        <v>13</v>
      </c>
      <c r="R5754" t="s">
        <v>13</v>
      </c>
      <c r="S5754" t="s">
        <v>144</v>
      </c>
      <c r="T5754" s="2">
        <f>MASTER[[#This Row],[CANTIDAD]]*MASTER[[#This Row],[PRECIO DE VENTA]]</f>
        <v>1591</v>
      </c>
      <c r="U5754" s="2">
        <f>MASTER[[#This Row],[CANTIDAD]]*MASTER[[#This Row],[COSTO UNITARIO]]</f>
        <v>421</v>
      </c>
      <c r="V5754" s="2">
        <f>MASTER[[#This Row],[MONTO VENDIDO]]-MASTER[[#This Row],[COSTO DE VENTA]]</f>
        <v>1170</v>
      </c>
    </row>
    <row r="5755" spans="1:22" x14ac:dyDescent="0.3">
      <c r="A5755">
        <v>80796</v>
      </c>
      <c r="B5755">
        <v>1</v>
      </c>
      <c r="C5755" t="s">
        <v>96</v>
      </c>
      <c r="D5755" t="s">
        <v>97</v>
      </c>
      <c r="E5755" s="1">
        <v>44455</v>
      </c>
      <c r="F5755">
        <v>1</v>
      </c>
      <c r="G5755" t="s">
        <v>47</v>
      </c>
      <c r="H5755" t="s">
        <v>48</v>
      </c>
      <c r="I5755" s="3">
        <v>1272</v>
      </c>
      <c r="J5755" s="3">
        <v>1272</v>
      </c>
      <c r="K5755" s="3">
        <v>397</v>
      </c>
      <c r="L5755" t="s">
        <v>98</v>
      </c>
      <c r="M5755">
        <v>15</v>
      </c>
      <c r="N5755" t="s">
        <v>88</v>
      </c>
      <c r="O5755" t="s">
        <v>81</v>
      </c>
      <c r="P5755" t="s">
        <v>18</v>
      </c>
      <c r="Q5755" t="s">
        <v>19</v>
      </c>
      <c r="R5755" t="s">
        <v>138</v>
      </c>
      <c r="S5755" t="s">
        <v>144</v>
      </c>
      <c r="T5755" s="2">
        <f>MASTER[[#This Row],[CANTIDAD]]*MASTER[[#This Row],[PRECIO DE VENTA]]</f>
        <v>1272</v>
      </c>
      <c r="U5755" s="2">
        <f>MASTER[[#This Row],[CANTIDAD]]*MASTER[[#This Row],[COSTO UNITARIO]]</f>
        <v>397</v>
      </c>
      <c r="V5755" s="2">
        <f>MASTER[[#This Row],[MONTO VENDIDO]]-MASTER[[#This Row],[COSTO DE VENTA]]</f>
        <v>875</v>
      </c>
    </row>
    <row r="5756" spans="1:22" x14ac:dyDescent="0.3">
      <c r="A5756">
        <v>80803</v>
      </c>
      <c r="B5756">
        <v>1</v>
      </c>
      <c r="C5756" t="s">
        <v>103</v>
      </c>
      <c r="D5756" t="s">
        <v>104</v>
      </c>
      <c r="E5756" s="1">
        <v>44455</v>
      </c>
      <c r="F5756">
        <v>1</v>
      </c>
      <c r="G5756" t="s">
        <v>67</v>
      </c>
      <c r="H5756" t="s">
        <v>68</v>
      </c>
      <c r="I5756" s="3">
        <v>1830</v>
      </c>
      <c r="J5756" s="3">
        <v>1830</v>
      </c>
      <c r="K5756" s="3">
        <v>421</v>
      </c>
      <c r="L5756" t="s">
        <v>98</v>
      </c>
      <c r="M5756">
        <v>6</v>
      </c>
      <c r="N5756" t="s">
        <v>75</v>
      </c>
      <c r="O5756" t="s">
        <v>70</v>
      </c>
      <c r="P5756" t="s">
        <v>12</v>
      </c>
      <c r="Q5756" t="s">
        <v>13</v>
      </c>
      <c r="R5756" t="s">
        <v>13</v>
      </c>
      <c r="S5756" t="s">
        <v>144</v>
      </c>
      <c r="T5756" s="2">
        <f>MASTER[[#This Row],[CANTIDAD]]*MASTER[[#This Row],[PRECIO DE VENTA]]</f>
        <v>1830</v>
      </c>
      <c r="U5756" s="2">
        <f>MASTER[[#This Row],[CANTIDAD]]*MASTER[[#This Row],[COSTO UNITARIO]]</f>
        <v>421</v>
      </c>
      <c r="V5756" s="2">
        <f>MASTER[[#This Row],[MONTO VENDIDO]]-MASTER[[#This Row],[COSTO DE VENTA]]</f>
        <v>1409</v>
      </c>
    </row>
    <row r="5757" spans="1:22" x14ac:dyDescent="0.3">
      <c r="A5757">
        <v>80813</v>
      </c>
      <c r="B5757">
        <v>1</v>
      </c>
      <c r="C5757" t="s">
        <v>101</v>
      </c>
      <c r="D5757" t="s">
        <v>102</v>
      </c>
      <c r="E5757" s="1">
        <v>44455</v>
      </c>
      <c r="F5757">
        <v>1</v>
      </c>
      <c r="G5757" t="s">
        <v>47</v>
      </c>
      <c r="H5757" t="s">
        <v>48</v>
      </c>
      <c r="I5757" s="3">
        <v>1357</v>
      </c>
      <c r="J5757" s="3">
        <v>1357</v>
      </c>
      <c r="K5757" s="3">
        <v>442</v>
      </c>
      <c r="L5757" t="s">
        <v>98</v>
      </c>
      <c r="M5757">
        <v>3</v>
      </c>
      <c r="N5757" t="s">
        <v>69</v>
      </c>
      <c r="O5757" t="s">
        <v>70</v>
      </c>
      <c r="P5757" t="s">
        <v>71</v>
      </c>
      <c r="Q5757" t="s">
        <v>72</v>
      </c>
      <c r="R5757" t="s">
        <v>139</v>
      </c>
      <c r="S5757" t="s">
        <v>144</v>
      </c>
      <c r="T5757" s="2">
        <f>MASTER[[#This Row],[CANTIDAD]]*MASTER[[#This Row],[PRECIO DE VENTA]]</f>
        <v>1357</v>
      </c>
      <c r="U5757" s="2">
        <f>MASTER[[#This Row],[CANTIDAD]]*MASTER[[#This Row],[COSTO UNITARIO]]</f>
        <v>442</v>
      </c>
      <c r="V5757" s="2">
        <f>MASTER[[#This Row],[MONTO VENDIDO]]-MASTER[[#This Row],[COSTO DE VENTA]]</f>
        <v>915</v>
      </c>
    </row>
    <row r="5758" spans="1:22" x14ac:dyDescent="0.3">
      <c r="A5758">
        <v>80852</v>
      </c>
      <c r="B5758">
        <v>1</v>
      </c>
      <c r="C5758" t="s">
        <v>96</v>
      </c>
      <c r="D5758" t="s">
        <v>97</v>
      </c>
      <c r="E5758" s="1">
        <v>44455</v>
      </c>
      <c r="F5758">
        <v>1</v>
      </c>
      <c r="G5758" t="s">
        <v>59</v>
      </c>
      <c r="H5758" t="s">
        <v>60</v>
      </c>
      <c r="I5758" s="3">
        <v>1196</v>
      </c>
      <c r="J5758" s="3">
        <v>1196</v>
      </c>
      <c r="K5758" s="3">
        <v>397</v>
      </c>
      <c r="L5758" t="s">
        <v>98</v>
      </c>
      <c r="M5758">
        <v>11</v>
      </c>
      <c r="N5758" t="s">
        <v>10</v>
      </c>
      <c r="O5758" t="s">
        <v>11</v>
      </c>
      <c r="P5758" t="s">
        <v>12</v>
      </c>
      <c r="Q5758" t="s">
        <v>13</v>
      </c>
      <c r="R5758" t="s">
        <v>13</v>
      </c>
      <c r="S5758" t="s">
        <v>144</v>
      </c>
      <c r="T5758" s="2">
        <f>MASTER[[#This Row],[CANTIDAD]]*MASTER[[#This Row],[PRECIO DE VENTA]]</f>
        <v>1196</v>
      </c>
      <c r="U5758" s="2">
        <f>MASTER[[#This Row],[CANTIDAD]]*MASTER[[#This Row],[COSTO UNITARIO]]</f>
        <v>397</v>
      </c>
      <c r="V5758" s="2">
        <f>MASTER[[#This Row],[MONTO VENDIDO]]-MASTER[[#This Row],[COSTO DE VENTA]]</f>
        <v>799</v>
      </c>
    </row>
    <row r="5759" spans="1:22" x14ac:dyDescent="0.3">
      <c r="A5759">
        <v>80860</v>
      </c>
      <c r="B5759">
        <v>1</v>
      </c>
      <c r="C5759" t="s">
        <v>101</v>
      </c>
      <c r="D5759" t="s">
        <v>102</v>
      </c>
      <c r="E5759" s="1">
        <v>44455</v>
      </c>
      <c r="F5759">
        <v>1</v>
      </c>
      <c r="G5759" t="s">
        <v>49</v>
      </c>
      <c r="H5759" t="s">
        <v>50</v>
      </c>
      <c r="I5759" s="3">
        <v>1357</v>
      </c>
      <c r="J5759" s="3">
        <v>1357</v>
      </c>
      <c r="K5759" s="3">
        <v>442</v>
      </c>
      <c r="L5759" t="s">
        <v>98</v>
      </c>
      <c r="M5759">
        <v>18</v>
      </c>
      <c r="N5759" t="s">
        <v>79</v>
      </c>
      <c r="O5759" t="s">
        <v>70</v>
      </c>
      <c r="P5759" t="s">
        <v>15</v>
      </c>
      <c r="Q5759" t="s">
        <v>16</v>
      </c>
      <c r="R5759" t="s">
        <v>16</v>
      </c>
      <c r="S5759" t="s">
        <v>144</v>
      </c>
      <c r="T5759" s="2">
        <f>MASTER[[#This Row],[CANTIDAD]]*MASTER[[#This Row],[PRECIO DE VENTA]]</f>
        <v>1357</v>
      </c>
      <c r="U5759" s="2">
        <f>MASTER[[#This Row],[CANTIDAD]]*MASTER[[#This Row],[COSTO UNITARIO]]</f>
        <v>442</v>
      </c>
      <c r="V5759" s="2">
        <f>MASTER[[#This Row],[MONTO VENDIDO]]-MASTER[[#This Row],[COSTO DE VENTA]]</f>
        <v>915</v>
      </c>
    </row>
    <row r="5760" spans="1:22" x14ac:dyDescent="0.3">
      <c r="A5760">
        <v>80866</v>
      </c>
      <c r="B5760">
        <v>2</v>
      </c>
      <c r="C5760" t="s">
        <v>5</v>
      </c>
      <c r="D5760" t="s">
        <v>6</v>
      </c>
      <c r="E5760" s="1">
        <v>44455</v>
      </c>
      <c r="F5760">
        <v>1</v>
      </c>
      <c r="G5760" t="s">
        <v>31</v>
      </c>
      <c r="H5760" t="s">
        <v>32</v>
      </c>
      <c r="I5760" s="3">
        <v>1507</v>
      </c>
      <c r="J5760" s="3">
        <v>1507</v>
      </c>
      <c r="K5760" s="3">
        <v>393</v>
      </c>
      <c r="L5760" t="s">
        <v>9</v>
      </c>
      <c r="M5760">
        <v>7</v>
      </c>
      <c r="N5760" t="s">
        <v>84</v>
      </c>
      <c r="O5760" t="s">
        <v>81</v>
      </c>
      <c r="P5760" t="s">
        <v>12</v>
      </c>
      <c r="Q5760" t="s">
        <v>13</v>
      </c>
      <c r="R5760" t="s">
        <v>13</v>
      </c>
      <c r="S5760" t="s">
        <v>144</v>
      </c>
      <c r="T5760" s="2">
        <f>MASTER[[#This Row],[CANTIDAD]]*MASTER[[#This Row],[PRECIO DE VENTA]]</f>
        <v>1507</v>
      </c>
      <c r="U5760" s="2">
        <f>MASTER[[#This Row],[CANTIDAD]]*MASTER[[#This Row],[COSTO UNITARIO]]</f>
        <v>393</v>
      </c>
      <c r="V5760" s="2">
        <f>MASTER[[#This Row],[MONTO VENDIDO]]-MASTER[[#This Row],[COSTO DE VENTA]]</f>
        <v>1114</v>
      </c>
    </row>
    <row r="5761" spans="1:22" x14ac:dyDescent="0.3">
      <c r="A5761">
        <v>80866</v>
      </c>
      <c r="B5761">
        <v>1</v>
      </c>
      <c r="C5761" t="s">
        <v>101</v>
      </c>
      <c r="D5761" t="s">
        <v>102</v>
      </c>
      <c r="E5761" s="1">
        <v>44455</v>
      </c>
      <c r="F5761">
        <v>1</v>
      </c>
      <c r="G5761" t="s">
        <v>45</v>
      </c>
      <c r="H5761" t="s">
        <v>46</v>
      </c>
      <c r="I5761" s="3">
        <v>1212</v>
      </c>
      <c r="J5761" s="3">
        <v>1212</v>
      </c>
      <c r="K5761" s="3">
        <v>442</v>
      </c>
      <c r="L5761" t="s">
        <v>98</v>
      </c>
      <c r="M5761">
        <v>7</v>
      </c>
      <c r="N5761" t="s">
        <v>84</v>
      </c>
      <c r="O5761" t="s">
        <v>81</v>
      </c>
      <c r="P5761" t="s">
        <v>12</v>
      </c>
      <c r="Q5761" t="s">
        <v>13</v>
      </c>
      <c r="R5761" t="s">
        <v>13</v>
      </c>
      <c r="S5761" t="s">
        <v>144</v>
      </c>
      <c r="T5761" s="2">
        <f>MASTER[[#This Row],[CANTIDAD]]*MASTER[[#This Row],[PRECIO DE VENTA]]</f>
        <v>1212</v>
      </c>
      <c r="U5761" s="2">
        <f>MASTER[[#This Row],[CANTIDAD]]*MASTER[[#This Row],[COSTO UNITARIO]]</f>
        <v>442</v>
      </c>
      <c r="V5761" s="2">
        <f>MASTER[[#This Row],[MONTO VENDIDO]]-MASTER[[#This Row],[COSTO DE VENTA]]</f>
        <v>770</v>
      </c>
    </row>
    <row r="5762" spans="1:22" x14ac:dyDescent="0.3">
      <c r="A5762">
        <v>80887</v>
      </c>
      <c r="B5762">
        <v>1</v>
      </c>
      <c r="C5762" t="s">
        <v>105</v>
      </c>
      <c r="D5762" t="s">
        <v>106</v>
      </c>
      <c r="E5762" s="1">
        <v>44456</v>
      </c>
      <c r="F5762">
        <v>1</v>
      </c>
      <c r="G5762" t="s">
        <v>22</v>
      </c>
      <c r="H5762" t="s">
        <v>23</v>
      </c>
      <c r="I5762" s="3">
        <v>2033</v>
      </c>
      <c r="J5762" s="3">
        <v>2033</v>
      </c>
      <c r="K5762" s="3">
        <v>459</v>
      </c>
      <c r="L5762" t="s">
        <v>98</v>
      </c>
      <c r="M5762">
        <v>9</v>
      </c>
      <c r="N5762" t="s">
        <v>76</v>
      </c>
      <c r="O5762" t="s">
        <v>70</v>
      </c>
      <c r="P5762" t="s">
        <v>12</v>
      </c>
      <c r="Q5762" t="s">
        <v>13</v>
      </c>
      <c r="R5762" t="s">
        <v>13</v>
      </c>
      <c r="S5762" t="s">
        <v>144</v>
      </c>
      <c r="T5762" s="2">
        <f>MASTER[[#This Row],[CANTIDAD]]*MASTER[[#This Row],[PRECIO DE VENTA]]</f>
        <v>2033</v>
      </c>
      <c r="U5762" s="2">
        <f>MASTER[[#This Row],[CANTIDAD]]*MASTER[[#This Row],[COSTO UNITARIO]]</f>
        <v>459</v>
      </c>
      <c r="V5762" s="2">
        <f>MASTER[[#This Row],[MONTO VENDIDO]]-MASTER[[#This Row],[COSTO DE VENTA]]</f>
        <v>1574</v>
      </c>
    </row>
    <row r="5763" spans="1:22" x14ac:dyDescent="0.3">
      <c r="A5763">
        <v>80893</v>
      </c>
      <c r="B5763">
        <v>1</v>
      </c>
      <c r="C5763" t="s">
        <v>114</v>
      </c>
      <c r="D5763" t="s">
        <v>115</v>
      </c>
      <c r="E5763" s="1">
        <v>44456</v>
      </c>
      <c r="F5763">
        <v>1</v>
      </c>
      <c r="G5763" t="s">
        <v>73</v>
      </c>
      <c r="H5763" t="s">
        <v>74</v>
      </c>
      <c r="I5763" s="3">
        <v>1862</v>
      </c>
      <c r="J5763" s="3">
        <v>1862</v>
      </c>
      <c r="K5763" s="3">
        <v>394</v>
      </c>
      <c r="L5763" t="s">
        <v>113</v>
      </c>
      <c r="M5763">
        <v>2</v>
      </c>
      <c r="N5763" t="s">
        <v>86</v>
      </c>
      <c r="O5763" t="s">
        <v>81</v>
      </c>
      <c r="P5763" t="s">
        <v>71</v>
      </c>
      <c r="Q5763" t="s">
        <v>72</v>
      </c>
      <c r="R5763" t="s">
        <v>139</v>
      </c>
      <c r="S5763" t="s">
        <v>144</v>
      </c>
      <c r="T5763" s="2">
        <f>MASTER[[#This Row],[CANTIDAD]]*MASTER[[#This Row],[PRECIO DE VENTA]]</f>
        <v>1862</v>
      </c>
      <c r="U5763" s="2">
        <f>MASTER[[#This Row],[CANTIDAD]]*MASTER[[#This Row],[COSTO UNITARIO]]</f>
        <v>394</v>
      </c>
      <c r="V5763" s="2">
        <f>MASTER[[#This Row],[MONTO VENDIDO]]-MASTER[[#This Row],[COSTO DE VENTA]]</f>
        <v>1468</v>
      </c>
    </row>
    <row r="5764" spans="1:22" x14ac:dyDescent="0.3">
      <c r="A5764">
        <v>80896</v>
      </c>
      <c r="B5764">
        <v>1</v>
      </c>
      <c r="C5764" t="s">
        <v>116</v>
      </c>
      <c r="D5764" t="s">
        <v>117</v>
      </c>
      <c r="E5764" s="1">
        <v>44456</v>
      </c>
      <c r="F5764">
        <v>1</v>
      </c>
      <c r="G5764" t="s">
        <v>33</v>
      </c>
      <c r="H5764" t="s">
        <v>34</v>
      </c>
      <c r="I5764" s="3">
        <v>1738</v>
      </c>
      <c r="J5764" s="3">
        <v>1738</v>
      </c>
      <c r="K5764" s="3">
        <v>388</v>
      </c>
      <c r="L5764" t="s">
        <v>113</v>
      </c>
      <c r="M5764">
        <v>15</v>
      </c>
      <c r="N5764" t="s">
        <v>88</v>
      </c>
      <c r="O5764" t="s">
        <v>81</v>
      </c>
      <c r="P5764" t="s">
        <v>18</v>
      </c>
      <c r="Q5764" t="s">
        <v>19</v>
      </c>
      <c r="R5764" t="s">
        <v>138</v>
      </c>
      <c r="S5764" t="s">
        <v>144</v>
      </c>
      <c r="T5764" s="2">
        <f>MASTER[[#This Row],[CANTIDAD]]*MASTER[[#This Row],[PRECIO DE VENTA]]</f>
        <v>1738</v>
      </c>
      <c r="U5764" s="2">
        <f>MASTER[[#This Row],[CANTIDAD]]*MASTER[[#This Row],[COSTO UNITARIO]]</f>
        <v>388</v>
      </c>
      <c r="V5764" s="2">
        <f>MASTER[[#This Row],[MONTO VENDIDO]]-MASTER[[#This Row],[COSTO DE VENTA]]</f>
        <v>1350</v>
      </c>
    </row>
    <row r="5765" spans="1:22" x14ac:dyDescent="0.3">
      <c r="A5765">
        <v>80907</v>
      </c>
      <c r="B5765">
        <v>1</v>
      </c>
      <c r="C5765" t="s">
        <v>121</v>
      </c>
      <c r="D5765" t="s">
        <v>122</v>
      </c>
      <c r="E5765" s="1">
        <v>44456</v>
      </c>
      <c r="F5765">
        <v>1</v>
      </c>
      <c r="G5765" t="s">
        <v>49</v>
      </c>
      <c r="H5765" t="s">
        <v>50</v>
      </c>
      <c r="I5765" s="3">
        <v>1069</v>
      </c>
      <c r="J5765" s="3">
        <v>1069</v>
      </c>
      <c r="K5765" s="3">
        <v>460</v>
      </c>
      <c r="L5765" t="s">
        <v>120</v>
      </c>
      <c r="M5765">
        <v>7</v>
      </c>
      <c r="N5765" t="s">
        <v>84</v>
      </c>
      <c r="O5765" t="s">
        <v>81</v>
      </c>
      <c r="P5765" t="s">
        <v>12</v>
      </c>
      <c r="Q5765" t="s">
        <v>13</v>
      </c>
      <c r="R5765" t="s">
        <v>13</v>
      </c>
      <c r="S5765" t="s">
        <v>144</v>
      </c>
      <c r="T5765" s="2">
        <f>MASTER[[#This Row],[CANTIDAD]]*MASTER[[#This Row],[PRECIO DE VENTA]]</f>
        <v>1069</v>
      </c>
      <c r="U5765" s="2">
        <f>MASTER[[#This Row],[CANTIDAD]]*MASTER[[#This Row],[COSTO UNITARIO]]</f>
        <v>460</v>
      </c>
      <c r="V5765" s="2">
        <f>MASTER[[#This Row],[MONTO VENDIDO]]-MASTER[[#This Row],[COSTO DE VENTA]]</f>
        <v>609</v>
      </c>
    </row>
    <row r="5766" spans="1:22" x14ac:dyDescent="0.3">
      <c r="A5766">
        <v>80921</v>
      </c>
      <c r="B5766">
        <v>1</v>
      </c>
      <c r="C5766" t="s">
        <v>94</v>
      </c>
      <c r="D5766" t="s">
        <v>95</v>
      </c>
      <c r="E5766" s="1">
        <v>44456</v>
      </c>
      <c r="F5766">
        <v>1</v>
      </c>
      <c r="G5766" t="s">
        <v>55</v>
      </c>
      <c r="H5766" t="s">
        <v>56</v>
      </c>
      <c r="I5766" s="3">
        <v>1048</v>
      </c>
      <c r="J5766" s="3">
        <v>1048</v>
      </c>
      <c r="K5766" s="3">
        <v>392</v>
      </c>
      <c r="L5766" t="s">
        <v>9</v>
      </c>
      <c r="M5766">
        <v>2</v>
      </c>
      <c r="N5766" t="s">
        <v>86</v>
      </c>
      <c r="O5766" t="s">
        <v>81</v>
      </c>
      <c r="P5766" t="s">
        <v>71</v>
      </c>
      <c r="Q5766" t="s">
        <v>72</v>
      </c>
      <c r="R5766" t="s">
        <v>139</v>
      </c>
      <c r="S5766" t="s">
        <v>144</v>
      </c>
      <c r="T5766" s="2">
        <f>MASTER[[#This Row],[CANTIDAD]]*MASTER[[#This Row],[PRECIO DE VENTA]]</f>
        <v>1048</v>
      </c>
      <c r="U5766" s="2">
        <f>MASTER[[#This Row],[CANTIDAD]]*MASTER[[#This Row],[COSTO UNITARIO]]</f>
        <v>392</v>
      </c>
      <c r="V5766" s="2">
        <f>MASTER[[#This Row],[MONTO VENDIDO]]-MASTER[[#This Row],[COSTO DE VENTA]]</f>
        <v>656</v>
      </c>
    </row>
    <row r="5767" spans="1:22" x14ac:dyDescent="0.3">
      <c r="A5767">
        <v>80924</v>
      </c>
      <c r="B5767">
        <v>1</v>
      </c>
      <c r="C5767" t="s">
        <v>101</v>
      </c>
      <c r="D5767" t="s">
        <v>102</v>
      </c>
      <c r="E5767" s="1">
        <v>44456</v>
      </c>
      <c r="F5767">
        <v>1</v>
      </c>
      <c r="G5767" t="s">
        <v>7</v>
      </c>
      <c r="H5767" t="s">
        <v>8</v>
      </c>
      <c r="I5767" s="3">
        <v>1054</v>
      </c>
      <c r="J5767" s="3">
        <v>1054</v>
      </c>
      <c r="K5767" s="3">
        <v>442</v>
      </c>
      <c r="L5767" t="s">
        <v>98</v>
      </c>
      <c r="M5767">
        <v>16</v>
      </c>
      <c r="N5767" t="s">
        <v>17</v>
      </c>
      <c r="O5767" t="s">
        <v>11</v>
      </c>
      <c r="P5767" t="s">
        <v>18</v>
      </c>
      <c r="Q5767" t="s">
        <v>19</v>
      </c>
      <c r="R5767" t="s">
        <v>138</v>
      </c>
      <c r="S5767" t="s">
        <v>144</v>
      </c>
      <c r="T5767" s="2">
        <f>MASTER[[#This Row],[CANTIDAD]]*MASTER[[#This Row],[PRECIO DE VENTA]]</f>
        <v>1054</v>
      </c>
      <c r="U5767" s="2">
        <f>MASTER[[#This Row],[CANTIDAD]]*MASTER[[#This Row],[COSTO UNITARIO]]</f>
        <v>442</v>
      </c>
      <c r="V5767" s="2">
        <f>MASTER[[#This Row],[MONTO VENDIDO]]-MASTER[[#This Row],[COSTO DE VENTA]]</f>
        <v>612</v>
      </c>
    </row>
    <row r="5768" spans="1:22" x14ac:dyDescent="0.3">
      <c r="A5768">
        <v>80926</v>
      </c>
      <c r="B5768">
        <v>1</v>
      </c>
      <c r="C5768" t="s">
        <v>96</v>
      </c>
      <c r="D5768" t="s">
        <v>97</v>
      </c>
      <c r="E5768" s="1">
        <v>44456</v>
      </c>
      <c r="F5768">
        <v>1</v>
      </c>
      <c r="G5768" t="s">
        <v>67</v>
      </c>
      <c r="H5768" t="s">
        <v>68</v>
      </c>
      <c r="I5768" s="3">
        <v>1272</v>
      </c>
      <c r="J5768" s="3">
        <v>1272</v>
      </c>
      <c r="K5768" s="3">
        <v>397</v>
      </c>
      <c r="L5768" t="s">
        <v>98</v>
      </c>
      <c r="M5768">
        <v>4</v>
      </c>
      <c r="N5768" t="s">
        <v>82</v>
      </c>
      <c r="O5768" t="s">
        <v>81</v>
      </c>
      <c r="P5768" t="s">
        <v>71</v>
      </c>
      <c r="Q5768" t="s">
        <v>72</v>
      </c>
      <c r="R5768" t="s">
        <v>139</v>
      </c>
      <c r="S5768" t="s">
        <v>144</v>
      </c>
      <c r="T5768" s="2">
        <f>MASTER[[#This Row],[CANTIDAD]]*MASTER[[#This Row],[PRECIO DE VENTA]]</f>
        <v>1272</v>
      </c>
      <c r="U5768" s="2">
        <f>MASTER[[#This Row],[CANTIDAD]]*MASTER[[#This Row],[COSTO UNITARIO]]</f>
        <v>397</v>
      </c>
      <c r="V5768" s="2">
        <f>MASTER[[#This Row],[MONTO VENDIDO]]-MASTER[[#This Row],[COSTO DE VENTA]]</f>
        <v>875</v>
      </c>
    </row>
    <row r="5769" spans="1:22" x14ac:dyDescent="0.3">
      <c r="A5769">
        <v>80927</v>
      </c>
      <c r="B5769">
        <v>1</v>
      </c>
      <c r="C5769" t="s">
        <v>90</v>
      </c>
      <c r="D5769" t="s">
        <v>91</v>
      </c>
      <c r="E5769" s="1">
        <v>44456</v>
      </c>
      <c r="F5769">
        <v>1</v>
      </c>
      <c r="G5769" t="s">
        <v>59</v>
      </c>
      <c r="H5769" t="s">
        <v>60</v>
      </c>
      <c r="I5769" s="3">
        <v>2102</v>
      </c>
      <c r="J5769" s="3">
        <v>2102</v>
      </c>
      <c r="K5769" s="3">
        <v>420</v>
      </c>
      <c r="L5769" t="s">
        <v>9</v>
      </c>
      <c r="M5769">
        <v>6</v>
      </c>
      <c r="N5769" t="s">
        <v>75</v>
      </c>
      <c r="O5769" t="s">
        <v>70</v>
      </c>
      <c r="P5769" t="s">
        <v>12</v>
      </c>
      <c r="Q5769" t="s">
        <v>13</v>
      </c>
      <c r="R5769" t="s">
        <v>13</v>
      </c>
      <c r="S5769" t="s">
        <v>144</v>
      </c>
      <c r="T5769" s="2">
        <f>MASTER[[#This Row],[CANTIDAD]]*MASTER[[#This Row],[PRECIO DE VENTA]]</f>
        <v>2102</v>
      </c>
      <c r="U5769" s="2">
        <f>MASTER[[#This Row],[CANTIDAD]]*MASTER[[#This Row],[COSTO UNITARIO]]</f>
        <v>420</v>
      </c>
      <c r="V5769" s="2">
        <f>MASTER[[#This Row],[MONTO VENDIDO]]-MASTER[[#This Row],[COSTO DE VENTA]]</f>
        <v>1682</v>
      </c>
    </row>
    <row r="5770" spans="1:22" x14ac:dyDescent="0.3">
      <c r="A5770">
        <v>80932</v>
      </c>
      <c r="B5770">
        <v>1</v>
      </c>
      <c r="C5770" t="s">
        <v>111</v>
      </c>
      <c r="D5770" t="s">
        <v>112</v>
      </c>
      <c r="E5770" s="1">
        <v>44456</v>
      </c>
      <c r="F5770">
        <v>1</v>
      </c>
      <c r="G5770" t="s">
        <v>67</v>
      </c>
      <c r="H5770" t="s">
        <v>68</v>
      </c>
      <c r="I5770" s="3">
        <v>1621</v>
      </c>
      <c r="J5770" s="3">
        <v>1621</v>
      </c>
      <c r="K5770" s="3">
        <v>434</v>
      </c>
      <c r="L5770" t="s">
        <v>113</v>
      </c>
      <c r="M5770">
        <v>10</v>
      </c>
      <c r="N5770" t="s">
        <v>83</v>
      </c>
      <c r="O5770" t="s">
        <v>81</v>
      </c>
      <c r="P5770" t="s">
        <v>12</v>
      </c>
      <c r="Q5770" t="s">
        <v>13</v>
      </c>
      <c r="R5770" t="s">
        <v>13</v>
      </c>
      <c r="S5770" t="s">
        <v>144</v>
      </c>
      <c r="T5770" s="2">
        <f>MASTER[[#This Row],[CANTIDAD]]*MASTER[[#This Row],[PRECIO DE VENTA]]</f>
        <v>1621</v>
      </c>
      <c r="U5770" s="2">
        <f>MASTER[[#This Row],[CANTIDAD]]*MASTER[[#This Row],[COSTO UNITARIO]]</f>
        <v>434</v>
      </c>
      <c r="V5770" s="2">
        <f>MASTER[[#This Row],[MONTO VENDIDO]]-MASTER[[#This Row],[COSTO DE VENTA]]</f>
        <v>1187</v>
      </c>
    </row>
    <row r="5771" spans="1:22" x14ac:dyDescent="0.3">
      <c r="A5771">
        <v>80937</v>
      </c>
      <c r="B5771">
        <v>1</v>
      </c>
      <c r="C5771" t="s">
        <v>101</v>
      </c>
      <c r="D5771" t="s">
        <v>102</v>
      </c>
      <c r="E5771" s="1">
        <v>44456</v>
      </c>
      <c r="F5771">
        <v>1</v>
      </c>
      <c r="G5771" t="s">
        <v>57</v>
      </c>
      <c r="H5771" t="s">
        <v>58</v>
      </c>
      <c r="I5771" s="3">
        <v>1212</v>
      </c>
      <c r="J5771" s="3">
        <v>1102</v>
      </c>
      <c r="K5771" s="3">
        <v>442</v>
      </c>
      <c r="L5771" t="s">
        <v>98</v>
      </c>
      <c r="M5771">
        <v>5</v>
      </c>
      <c r="N5771" t="s">
        <v>85</v>
      </c>
      <c r="O5771" t="s">
        <v>81</v>
      </c>
      <c r="P5771" t="s">
        <v>12</v>
      </c>
      <c r="Q5771" t="s">
        <v>13</v>
      </c>
      <c r="R5771" t="s">
        <v>13</v>
      </c>
      <c r="S5771" t="s">
        <v>144</v>
      </c>
      <c r="T5771" s="2">
        <f>MASTER[[#This Row],[CANTIDAD]]*MASTER[[#This Row],[PRECIO DE VENTA]]</f>
        <v>1102</v>
      </c>
      <c r="U5771" s="2">
        <f>MASTER[[#This Row],[CANTIDAD]]*MASTER[[#This Row],[COSTO UNITARIO]]</f>
        <v>442</v>
      </c>
      <c r="V5771" s="2">
        <f>MASTER[[#This Row],[MONTO VENDIDO]]-MASTER[[#This Row],[COSTO DE VENTA]]</f>
        <v>660</v>
      </c>
    </row>
    <row r="5772" spans="1:22" x14ac:dyDescent="0.3">
      <c r="A5772">
        <v>80954</v>
      </c>
      <c r="B5772">
        <v>1</v>
      </c>
      <c r="C5772" t="s">
        <v>99</v>
      </c>
      <c r="D5772" t="s">
        <v>100</v>
      </c>
      <c r="E5772" s="1">
        <v>44456</v>
      </c>
      <c r="F5772">
        <v>1</v>
      </c>
      <c r="G5772" t="s">
        <v>20</v>
      </c>
      <c r="H5772" t="s">
        <v>21</v>
      </c>
      <c r="I5772" s="3">
        <v>1459</v>
      </c>
      <c r="J5772" s="3">
        <v>1459</v>
      </c>
      <c r="K5772" s="3">
        <v>386</v>
      </c>
      <c r="L5772" t="s">
        <v>98</v>
      </c>
      <c r="M5772">
        <v>14</v>
      </c>
      <c r="N5772" t="s">
        <v>87</v>
      </c>
      <c r="O5772" t="s">
        <v>81</v>
      </c>
      <c r="P5772" t="s">
        <v>18</v>
      </c>
      <c r="Q5772" t="s">
        <v>19</v>
      </c>
      <c r="R5772" t="s">
        <v>138</v>
      </c>
      <c r="S5772" t="s">
        <v>144</v>
      </c>
      <c r="T5772" s="2">
        <f>MASTER[[#This Row],[CANTIDAD]]*MASTER[[#This Row],[PRECIO DE VENTA]]</f>
        <v>1459</v>
      </c>
      <c r="U5772" s="2">
        <f>MASTER[[#This Row],[CANTIDAD]]*MASTER[[#This Row],[COSTO UNITARIO]]</f>
        <v>386</v>
      </c>
      <c r="V5772" s="2">
        <f>MASTER[[#This Row],[MONTO VENDIDO]]-MASTER[[#This Row],[COSTO DE VENTA]]</f>
        <v>1073</v>
      </c>
    </row>
    <row r="5773" spans="1:22" x14ac:dyDescent="0.3">
      <c r="A5773">
        <v>80963</v>
      </c>
      <c r="B5773">
        <v>1</v>
      </c>
      <c r="C5773" t="s">
        <v>111</v>
      </c>
      <c r="D5773" t="s">
        <v>112</v>
      </c>
      <c r="E5773" s="1">
        <v>44456</v>
      </c>
      <c r="F5773">
        <v>1</v>
      </c>
      <c r="G5773" t="s">
        <v>24</v>
      </c>
      <c r="H5773" t="s">
        <v>25</v>
      </c>
      <c r="I5773" s="3">
        <v>1621</v>
      </c>
      <c r="J5773" s="3">
        <v>1507</v>
      </c>
      <c r="K5773" s="3">
        <v>434</v>
      </c>
      <c r="L5773" t="s">
        <v>113</v>
      </c>
      <c r="M5773">
        <v>14</v>
      </c>
      <c r="N5773" t="s">
        <v>87</v>
      </c>
      <c r="O5773" t="s">
        <v>81</v>
      </c>
      <c r="P5773" t="s">
        <v>18</v>
      </c>
      <c r="Q5773" t="s">
        <v>19</v>
      </c>
      <c r="R5773" t="s">
        <v>138</v>
      </c>
      <c r="S5773" t="s">
        <v>144</v>
      </c>
      <c r="T5773" s="2">
        <f>MASTER[[#This Row],[CANTIDAD]]*MASTER[[#This Row],[PRECIO DE VENTA]]</f>
        <v>1507</v>
      </c>
      <c r="U5773" s="2">
        <f>MASTER[[#This Row],[CANTIDAD]]*MASTER[[#This Row],[COSTO UNITARIO]]</f>
        <v>434</v>
      </c>
      <c r="V5773" s="2">
        <f>MASTER[[#This Row],[MONTO VENDIDO]]-MASTER[[#This Row],[COSTO DE VENTA]]</f>
        <v>1073</v>
      </c>
    </row>
    <row r="5774" spans="1:22" x14ac:dyDescent="0.3">
      <c r="A5774">
        <v>80986</v>
      </c>
      <c r="B5774">
        <v>1</v>
      </c>
      <c r="C5774" t="s">
        <v>94</v>
      </c>
      <c r="D5774" t="s">
        <v>95</v>
      </c>
      <c r="E5774" s="1">
        <v>44457</v>
      </c>
      <c r="F5774">
        <v>1</v>
      </c>
      <c r="G5774" t="s">
        <v>53</v>
      </c>
      <c r="H5774" t="s">
        <v>54</v>
      </c>
      <c r="I5774" s="3">
        <v>1048</v>
      </c>
      <c r="J5774" s="3">
        <v>1048</v>
      </c>
      <c r="K5774" s="3">
        <v>392</v>
      </c>
      <c r="L5774" t="s">
        <v>9</v>
      </c>
      <c r="M5774">
        <v>4</v>
      </c>
      <c r="N5774" t="s">
        <v>82</v>
      </c>
      <c r="O5774" t="s">
        <v>81</v>
      </c>
      <c r="P5774" t="s">
        <v>71</v>
      </c>
      <c r="Q5774" t="s">
        <v>72</v>
      </c>
      <c r="R5774" t="s">
        <v>139</v>
      </c>
      <c r="S5774" t="s">
        <v>144</v>
      </c>
      <c r="T5774" s="2">
        <f>MASTER[[#This Row],[CANTIDAD]]*MASTER[[#This Row],[PRECIO DE VENTA]]</f>
        <v>1048</v>
      </c>
      <c r="U5774" s="2">
        <f>MASTER[[#This Row],[CANTIDAD]]*MASTER[[#This Row],[COSTO UNITARIO]]</f>
        <v>392</v>
      </c>
      <c r="V5774" s="2">
        <f>MASTER[[#This Row],[MONTO VENDIDO]]-MASTER[[#This Row],[COSTO DE VENTA]]</f>
        <v>656</v>
      </c>
    </row>
    <row r="5775" spans="1:22" x14ac:dyDescent="0.3">
      <c r="A5775">
        <v>80994</v>
      </c>
      <c r="B5775">
        <v>1</v>
      </c>
      <c r="C5775" t="s">
        <v>109</v>
      </c>
      <c r="D5775" t="s">
        <v>110</v>
      </c>
      <c r="E5775" s="1">
        <v>44457</v>
      </c>
      <c r="F5775">
        <v>1</v>
      </c>
      <c r="G5775" t="s">
        <v>39</v>
      </c>
      <c r="H5775" t="s">
        <v>40</v>
      </c>
      <c r="I5775" s="3">
        <v>1064</v>
      </c>
      <c r="J5775" s="3">
        <v>1064</v>
      </c>
      <c r="K5775" s="3">
        <v>387</v>
      </c>
      <c r="L5775" t="s">
        <v>98</v>
      </c>
      <c r="M5775">
        <v>7</v>
      </c>
      <c r="N5775" t="s">
        <v>84</v>
      </c>
      <c r="O5775" t="s">
        <v>81</v>
      </c>
      <c r="P5775" t="s">
        <v>12</v>
      </c>
      <c r="Q5775" t="s">
        <v>13</v>
      </c>
      <c r="R5775" t="s">
        <v>13</v>
      </c>
      <c r="S5775" t="s">
        <v>144</v>
      </c>
      <c r="T5775" s="2">
        <f>MASTER[[#This Row],[CANTIDAD]]*MASTER[[#This Row],[PRECIO DE VENTA]]</f>
        <v>1064</v>
      </c>
      <c r="U5775" s="2">
        <f>MASTER[[#This Row],[CANTIDAD]]*MASTER[[#This Row],[COSTO UNITARIO]]</f>
        <v>387</v>
      </c>
      <c r="V5775" s="2">
        <f>MASTER[[#This Row],[MONTO VENDIDO]]-MASTER[[#This Row],[COSTO DE VENTA]]</f>
        <v>677</v>
      </c>
    </row>
    <row r="5776" spans="1:22" x14ac:dyDescent="0.3">
      <c r="A5776">
        <v>80998</v>
      </c>
      <c r="B5776">
        <v>1</v>
      </c>
      <c r="C5776" t="s">
        <v>111</v>
      </c>
      <c r="D5776" t="s">
        <v>112</v>
      </c>
      <c r="E5776" s="1">
        <v>44457</v>
      </c>
      <c r="F5776">
        <v>1</v>
      </c>
      <c r="G5776" t="s">
        <v>59</v>
      </c>
      <c r="H5776" t="s">
        <v>60</v>
      </c>
      <c r="I5776" s="3">
        <v>1621</v>
      </c>
      <c r="J5776" s="3">
        <v>1621</v>
      </c>
      <c r="K5776" s="3">
        <v>434</v>
      </c>
      <c r="L5776" t="s">
        <v>113</v>
      </c>
      <c r="M5776">
        <v>19</v>
      </c>
      <c r="N5776" t="s">
        <v>89</v>
      </c>
      <c r="O5776" t="s">
        <v>81</v>
      </c>
      <c r="P5776" t="s">
        <v>15</v>
      </c>
      <c r="Q5776" t="s">
        <v>16</v>
      </c>
      <c r="R5776" t="s">
        <v>16</v>
      </c>
      <c r="S5776" t="s">
        <v>144</v>
      </c>
      <c r="T5776" s="2">
        <f>MASTER[[#This Row],[CANTIDAD]]*MASTER[[#This Row],[PRECIO DE VENTA]]</f>
        <v>1621</v>
      </c>
      <c r="U5776" s="2">
        <f>MASTER[[#This Row],[CANTIDAD]]*MASTER[[#This Row],[COSTO UNITARIO]]</f>
        <v>434</v>
      </c>
      <c r="V5776" s="2">
        <f>MASTER[[#This Row],[MONTO VENDIDO]]-MASTER[[#This Row],[COSTO DE VENTA]]</f>
        <v>1187</v>
      </c>
    </row>
    <row r="5777" spans="1:22" x14ac:dyDescent="0.3">
      <c r="A5777">
        <v>81002</v>
      </c>
      <c r="B5777">
        <v>1</v>
      </c>
      <c r="C5777" t="s">
        <v>107</v>
      </c>
      <c r="D5777" t="s">
        <v>108</v>
      </c>
      <c r="E5777" s="1">
        <v>44457</v>
      </c>
      <c r="F5777">
        <v>1</v>
      </c>
      <c r="G5777" t="s">
        <v>67</v>
      </c>
      <c r="H5777" t="s">
        <v>68</v>
      </c>
      <c r="I5777" s="3">
        <v>1333</v>
      </c>
      <c r="J5777" s="3">
        <v>1333</v>
      </c>
      <c r="K5777" s="3">
        <v>380</v>
      </c>
      <c r="L5777" t="s">
        <v>98</v>
      </c>
      <c r="M5777">
        <v>2</v>
      </c>
      <c r="N5777" t="s">
        <v>86</v>
      </c>
      <c r="O5777" t="s">
        <v>81</v>
      </c>
      <c r="P5777" t="s">
        <v>71</v>
      </c>
      <c r="Q5777" t="s">
        <v>72</v>
      </c>
      <c r="R5777" t="s">
        <v>139</v>
      </c>
      <c r="S5777" t="s">
        <v>144</v>
      </c>
      <c r="T5777" s="2">
        <f>MASTER[[#This Row],[CANTIDAD]]*MASTER[[#This Row],[PRECIO DE VENTA]]</f>
        <v>1333</v>
      </c>
      <c r="U5777" s="2">
        <f>MASTER[[#This Row],[CANTIDAD]]*MASTER[[#This Row],[COSTO UNITARIO]]</f>
        <v>380</v>
      </c>
      <c r="V5777" s="2">
        <f>MASTER[[#This Row],[MONTO VENDIDO]]-MASTER[[#This Row],[COSTO DE VENTA]]</f>
        <v>953</v>
      </c>
    </row>
    <row r="5778" spans="1:22" x14ac:dyDescent="0.3">
      <c r="A5778">
        <v>81015</v>
      </c>
      <c r="B5778">
        <v>1</v>
      </c>
      <c r="C5778" t="s">
        <v>114</v>
      </c>
      <c r="D5778" t="s">
        <v>115</v>
      </c>
      <c r="E5778" s="1">
        <v>44457</v>
      </c>
      <c r="F5778">
        <v>4</v>
      </c>
      <c r="G5778" t="s">
        <v>31</v>
      </c>
      <c r="H5778" t="s">
        <v>32</v>
      </c>
      <c r="I5778" s="3">
        <v>1862</v>
      </c>
      <c r="J5778" s="3">
        <v>1862</v>
      </c>
      <c r="K5778" s="3">
        <v>394</v>
      </c>
      <c r="L5778" t="s">
        <v>113</v>
      </c>
      <c r="M5778">
        <v>5</v>
      </c>
      <c r="N5778" t="s">
        <v>85</v>
      </c>
      <c r="O5778" t="s">
        <v>81</v>
      </c>
      <c r="P5778" t="s">
        <v>12</v>
      </c>
      <c r="Q5778" t="s">
        <v>13</v>
      </c>
      <c r="R5778" t="s">
        <v>13</v>
      </c>
      <c r="S5778" t="s">
        <v>144</v>
      </c>
      <c r="T5778" s="2">
        <f>MASTER[[#This Row],[CANTIDAD]]*MASTER[[#This Row],[PRECIO DE VENTA]]</f>
        <v>7448</v>
      </c>
      <c r="U5778" s="2">
        <f>MASTER[[#This Row],[CANTIDAD]]*MASTER[[#This Row],[COSTO UNITARIO]]</f>
        <v>1576</v>
      </c>
      <c r="V5778" s="2">
        <f>MASTER[[#This Row],[MONTO VENDIDO]]-MASTER[[#This Row],[COSTO DE VENTA]]</f>
        <v>5872</v>
      </c>
    </row>
    <row r="5779" spans="1:22" x14ac:dyDescent="0.3">
      <c r="A5779">
        <v>81020</v>
      </c>
      <c r="B5779">
        <v>1</v>
      </c>
      <c r="C5779" t="s">
        <v>90</v>
      </c>
      <c r="D5779" t="s">
        <v>91</v>
      </c>
      <c r="E5779" s="1">
        <v>44457</v>
      </c>
      <c r="F5779">
        <v>1</v>
      </c>
      <c r="G5779" t="s">
        <v>27</v>
      </c>
      <c r="H5779" t="s">
        <v>28</v>
      </c>
      <c r="I5779" s="3">
        <v>1844</v>
      </c>
      <c r="J5779" s="3">
        <v>1844</v>
      </c>
      <c r="K5779" s="3">
        <v>420</v>
      </c>
      <c r="L5779" t="s">
        <v>9</v>
      </c>
      <c r="M5779">
        <v>4</v>
      </c>
      <c r="N5779" t="s">
        <v>82</v>
      </c>
      <c r="O5779" t="s">
        <v>81</v>
      </c>
      <c r="P5779" t="s">
        <v>71</v>
      </c>
      <c r="Q5779" t="s">
        <v>72</v>
      </c>
      <c r="R5779" t="s">
        <v>139</v>
      </c>
      <c r="S5779" t="s">
        <v>144</v>
      </c>
      <c r="T5779" s="2">
        <f>MASTER[[#This Row],[CANTIDAD]]*MASTER[[#This Row],[PRECIO DE VENTA]]</f>
        <v>1844</v>
      </c>
      <c r="U5779" s="2">
        <f>MASTER[[#This Row],[CANTIDAD]]*MASTER[[#This Row],[COSTO UNITARIO]]</f>
        <v>420</v>
      </c>
      <c r="V5779" s="2">
        <f>MASTER[[#This Row],[MONTO VENDIDO]]-MASTER[[#This Row],[COSTO DE VENTA]]</f>
        <v>1424</v>
      </c>
    </row>
    <row r="5780" spans="1:22" x14ac:dyDescent="0.3">
      <c r="A5780">
        <v>81026</v>
      </c>
      <c r="B5780">
        <v>1</v>
      </c>
      <c r="C5780" t="s">
        <v>94</v>
      </c>
      <c r="D5780" t="s">
        <v>95</v>
      </c>
      <c r="E5780" s="1">
        <v>44457</v>
      </c>
      <c r="F5780">
        <v>4</v>
      </c>
      <c r="G5780" t="s">
        <v>31</v>
      </c>
      <c r="H5780" t="s">
        <v>32</v>
      </c>
      <c r="I5780" s="3">
        <v>1048</v>
      </c>
      <c r="J5780" s="3">
        <v>1048</v>
      </c>
      <c r="K5780" s="3">
        <v>392</v>
      </c>
      <c r="L5780" t="s">
        <v>9</v>
      </c>
      <c r="M5780">
        <v>8</v>
      </c>
      <c r="N5780" t="s">
        <v>80</v>
      </c>
      <c r="O5780" t="s">
        <v>81</v>
      </c>
      <c r="P5780" t="s">
        <v>12</v>
      </c>
      <c r="Q5780" t="s">
        <v>13</v>
      </c>
      <c r="R5780" t="s">
        <v>13</v>
      </c>
      <c r="S5780" t="s">
        <v>144</v>
      </c>
      <c r="T5780" s="2">
        <f>MASTER[[#This Row],[CANTIDAD]]*MASTER[[#This Row],[PRECIO DE VENTA]]</f>
        <v>4192</v>
      </c>
      <c r="U5780" s="2">
        <f>MASTER[[#This Row],[CANTIDAD]]*MASTER[[#This Row],[COSTO UNITARIO]]</f>
        <v>1568</v>
      </c>
      <c r="V5780" s="2">
        <f>MASTER[[#This Row],[MONTO VENDIDO]]-MASTER[[#This Row],[COSTO DE VENTA]]</f>
        <v>2624</v>
      </c>
    </row>
    <row r="5781" spans="1:22" x14ac:dyDescent="0.3">
      <c r="A5781">
        <v>81036</v>
      </c>
      <c r="B5781">
        <v>1</v>
      </c>
      <c r="C5781" t="s">
        <v>99</v>
      </c>
      <c r="D5781" t="s">
        <v>100</v>
      </c>
      <c r="E5781" s="1">
        <v>44457</v>
      </c>
      <c r="F5781">
        <v>1</v>
      </c>
      <c r="G5781" t="s">
        <v>33</v>
      </c>
      <c r="H5781" t="s">
        <v>34</v>
      </c>
      <c r="I5781" s="3">
        <v>1459</v>
      </c>
      <c r="J5781" s="3">
        <v>1459</v>
      </c>
      <c r="K5781" s="3">
        <v>386</v>
      </c>
      <c r="L5781" t="s">
        <v>98</v>
      </c>
      <c r="M5781">
        <v>4</v>
      </c>
      <c r="N5781" t="s">
        <v>82</v>
      </c>
      <c r="O5781" t="s">
        <v>81</v>
      </c>
      <c r="P5781" t="s">
        <v>71</v>
      </c>
      <c r="Q5781" t="s">
        <v>72</v>
      </c>
      <c r="R5781" t="s">
        <v>139</v>
      </c>
      <c r="S5781" t="s">
        <v>144</v>
      </c>
      <c r="T5781" s="2">
        <f>MASTER[[#This Row],[CANTIDAD]]*MASTER[[#This Row],[PRECIO DE VENTA]]</f>
        <v>1459</v>
      </c>
      <c r="U5781" s="2">
        <f>MASTER[[#This Row],[CANTIDAD]]*MASTER[[#This Row],[COSTO UNITARIO]]</f>
        <v>386</v>
      </c>
      <c r="V5781" s="2">
        <f>MASTER[[#This Row],[MONTO VENDIDO]]-MASTER[[#This Row],[COSTO DE VENTA]]</f>
        <v>1073</v>
      </c>
    </row>
    <row r="5782" spans="1:22" x14ac:dyDescent="0.3">
      <c r="A5782">
        <v>81037</v>
      </c>
      <c r="B5782">
        <v>1</v>
      </c>
      <c r="C5782" t="s">
        <v>109</v>
      </c>
      <c r="D5782" t="s">
        <v>110</v>
      </c>
      <c r="E5782" s="1">
        <v>44457</v>
      </c>
      <c r="F5782">
        <v>1</v>
      </c>
      <c r="G5782" t="s">
        <v>47</v>
      </c>
      <c r="H5782" t="s">
        <v>48</v>
      </c>
      <c r="I5782" s="3">
        <v>1128</v>
      </c>
      <c r="J5782" s="3">
        <v>1128</v>
      </c>
      <c r="K5782" s="3">
        <v>387</v>
      </c>
      <c r="L5782" t="s">
        <v>98</v>
      </c>
      <c r="M5782">
        <v>1</v>
      </c>
      <c r="N5782" t="s">
        <v>77</v>
      </c>
      <c r="O5782" t="s">
        <v>70</v>
      </c>
      <c r="P5782" t="s">
        <v>71</v>
      </c>
      <c r="Q5782" t="s">
        <v>72</v>
      </c>
      <c r="R5782" t="s">
        <v>139</v>
      </c>
      <c r="S5782" t="s">
        <v>144</v>
      </c>
      <c r="T5782" s="2">
        <f>MASTER[[#This Row],[CANTIDAD]]*MASTER[[#This Row],[PRECIO DE VENTA]]</f>
        <v>1128</v>
      </c>
      <c r="U5782" s="2">
        <f>MASTER[[#This Row],[CANTIDAD]]*MASTER[[#This Row],[COSTO UNITARIO]]</f>
        <v>387</v>
      </c>
      <c r="V5782" s="2">
        <f>MASTER[[#This Row],[MONTO VENDIDO]]-MASTER[[#This Row],[COSTO DE VENTA]]</f>
        <v>741</v>
      </c>
    </row>
    <row r="5783" spans="1:22" x14ac:dyDescent="0.3">
      <c r="A5783">
        <v>81050</v>
      </c>
      <c r="B5783">
        <v>1</v>
      </c>
      <c r="C5783" t="s">
        <v>92</v>
      </c>
      <c r="D5783" t="s">
        <v>93</v>
      </c>
      <c r="E5783" s="1">
        <v>44457</v>
      </c>
      <c r="F5783">
        <v>1</v>
      </c>
      <c r="G5783" t="s">
        <v>29</v>
      </c>
      <c r="H5783" t="s">
        <v>30</v>
      </c>
      <c r="I5783" s="3">
        <v>1866</v>
      </c>
      <c r="J5783" s="3">
        <v>1866</v>
      </c>
      <c r="K5783" s="3">
        <v>396</v>
      </c>
      <c r="L5783" t="s">
        <v>9</v>
      </c>
      <c r="M5783">
        <v>1</v>
      </c>
      <c r="N5783" t="s">
        <v>77</v>
      </c>
      <c r="O5783" t="s">
        <v>70</v>
      </c>
      <c r="P5783" t="s">
        <v>71</v>
      </c>
      <c r="Q5783" t="s">
        <v>72</v>
      </c>
      <c r="R5783" t="s">
        <v>139</v>
      </c>
      <c r="S5783" t="s">
        <v>144</v>
      </c>
      <c r="T5783" s="2">
        <f>MASTER[[#This Row],[CANTIDAD]]*MASTER[[#This Row],[PRECIO DE VENTA]]</f>
        <v>1866</v>
      </c>
      <c r="U5783" s="2">
        <f>MASTER[[#This Row],[CANTIDAD]]*MASTER[[#This Row],[COSTO UNITARIO]]</f>
        <v>396</v>
      </c>
      <c r="V5783" s="2">
        <f>MASTER[[#This Row],[MONTO VENDIDO]]-MASTER[[#This Row],[COSTO DE VENTA]]</f>
        <v>1470</v>
      </c>
    </row>
    <row r="5784" spans="1:22" x14ac:dyDescent="0.3">
      <c r="A5784">
        <v>81059</v>
      </c>
      <c r="B5784">
        <v>1</v>
      </c>
      <c r="C5784" t="s">
        <v>103</v>
      </c>
      <c r="D5784" t="s">
        <v>104</v>
      </c>
      <c r="E5784" s="1">
        <v>44457</v>
      </c>
      <c r="F5784">
        <v>3</v>
      </c>
      <c r="G5784" t="s">
        <v>39</v>
      </c>
      <c r="H5784" t="s">
        <v>40</v>
      </c>
      <c r="I5784" s="3">
        <v>1591</v>
      </c>
      <c r="J5784" s="3">
        <v>1591</v>
      </c>
      <c r="K5784" s="3">
        <v>421</v>
      </c>
      <c r="L5784" t="s">
        <v>98</v>
      </c>
      <c r="M5784">
        <v>14</v>
      </c>
      <c r="N5784" t="s">
        <v>87</v>
      </c>
      <c r="O5784" t="s">
        <v>81</v>
      </c>
      <c r="P5784" t="s">
        <v>18</v>
      </c>
      <c r="Q5784" t="s">
        <v>19</v>
      </c>
      <c r="R5784" t="s">
        <v>138</v>
      </c>
      <c r="S5784" t="s">
        <v>144</v>
      </c>
      <c r="T5784" s="2">
        <f>MASTER[[#This Row],[CANTIDAD]]*MASTER[[#This Row],[PRECIO DE VENTA]]</f>
        <v>4773</v>
      </c>
      <c r="U5784" s="2">
        <f>MASTER[[#This Row],[CANTIDAD]]*MASTER[[#This Row],[COSTO UNITARIO]]</f>
        <v>1263</v>
      </c>
      <c r="V5784" s="2">
        <f>MASTER[[#This Row],[MONTO VENDIDO]]-MASTER[[#This Row],[COSTO DE VENTA]]</f>
        <v>3510</v>
      </c>
    </row>
    <row r="5785" spans="1:22" x14ac:dyDescent="0.3">
      <c r="A5785">
        <v>81068</v>
      </c>
      <c r="B5785">
        <v>1</v>
      </c>
      <c r="C5785" t="s">
        <v>116</v>
      </c>
      <c r="D5785" t="s">
        <v>117</v>
      </c>
      <c r="E5785" s="1">
        <v>44457</v>
      </c>
      <c r="F5785">
        <v>3</v>
      </c>
      <c r="G5785" t="s">
        <v>57</v>
      </c>
      <c r="H5785" t="s">
        <v>58</v>
      </c>
      <c r="I5785" s="3">
        <v>1529</v>
      </c>
      <c r="J5785" s="3">
        <v>1529</v>
      </c>
      <c r="K5785" s="3">
        <v>388</v>
      </c>
      <c r="L5785" t="s">
        <v>113</v>
      </c>
      <c r="M5785">
        <v>11</v>
      </c>
      <c r="N5785" t="s">
        <v>10</v>
      </c>
      <c r="O5785" t="s">
        <v>11</v>
      </c>
      <c r="P5785" t="s">
        <v>12</v>
      </c>
      <c r="Q5785" t="s">
        <v>13</v>
      </c>
      <c r="R5785" t="s">
        <v>13</v>
      </c>
      <c r="S5785" t="s">
        <v>144</v>
      </c>
      <c r="T5785" s="2">
        <f>MASTER[[#This Row],[CANTIDAD]]*MASTER[[#This Row],[PRECIO DE VENTA]]</f>
        <v>4587</v>
      </c>
      <c r="U5785" s="2">
        <f>MASTER[[#This Row],[CANTIDAD]]*MASTER[[#This Row],[COSTO UNITARIO]]</f>
        <v>1164</v>
      </c>
      <c r="V5785" s="2">
        <f>MASTER[[#This Row],[MONTO VENDIDO]]-MASTER[[#This Row],[COSTO DE VENTA]]</f>
        <v>3423</v>
      </c>
    </row>
    <row r="5786" spans="1:22" x14ac:dyDescent="0.3">
      <c r="A5786">
        <v>81073</v>
      </c>
      <c r="B5786">
        <v>1</v>
      </c>
      <c r="C5786" t="s">
        <v>94</v>
      </c>
      <c r="D5786" t="s">
        <v>95</v>
      </c>
      <c r="E5786" s="1">
        <v>44458</v>
      </c>
      <c r="F5786">
        <v>1</v>
      </c>
      <c r="G5786" t="s">
        <v>53</v>
      </c>
      <c r="H5786" t="s">
        <v>54</v>
      </c>
      <c r="I5786" s="3">
        <v>1048</v>
      </c>
      <c r="J5786" s="3">
        <v>1048</v>
      </c>
      <c r="K5786" s="3">
        <v>392</v>
      </c>
      <c r="L5786" t="s">
        <v>9</v>
      </c>
      <c r="M5786">
        <v>4</v>
      </c>
      <c r="N5786" t="s">
        <v>82</v>
      </c>
      <c r="O5786" t="s">
        <v>81</v>
      </c>
      <c r="P5786" t="s">
        <v>71</v>
      </c>
      <c r="Q5786" t="s">
        <v>72</v>
      </c>
      <c r="R5786" t="s">
        <v>139</v>
      </c>
      <c r="S5786" t="s">
        <v>144</v>
      </c>
      <c r="T5786" s="2">
        <f>MASTER[[#This Row],[CANTIDAD]]*MASTER[[#This Row],[PRECIO DE VENTA]]</f>
        <v>1048</v>
      </c>
      <c r="U5786" s="2">
        <f>MASTER[[#This Row],[CANTIDAD]]*MASTER[[#This Row],[COSTO UNITARIO]]</f>
        <v>392</v>
      </c>
      <c r="V5786" s="2">
        <f>MASTER[[#This Row],[MONTO VENDIDO]]-MASTER[[#This Row],[COSTO DE VENTA]]</f>
        <v>656</v>
      </c>
    </row>
    <row r="5787" spans="1:22" x14ac:dyDescent="0.3">
      <c r="A5787">
        <v>81091</v>
      </c>
      <c r="B5787">
        <v>1</v>
      </c>
      <c r="C5787" t="s">
        <v>107</v>
      </c>
      <c r="D5787" t="s">
        <v>108</v>
      </c>
      <c r="E5787" s="1">
        <v>44458</v>
      </c>
      <c r="F5787">
        <v>1</v>
      </c>
      <c r="G5787" t="s">
        <v>53</v>
      </c>
      <c r="H5787" t="s">
        <v>54</v>
      </c>
      <c r="I5787" s="3">
        <v>1240</v>
      </c>
      <c r="J5787" s="3">
        <v>1240</v>
      </c>
      <c r="K5787" s="3">
        <v>380</v>
      </c>
      <c r="L5787" t="s">
        <v>98</v>
      </c>
      <c r="M5787">
        <v>16</v>
      </c>
      <c r="N5787" t="s">
        <v>17</v>
      </c>
      <c r="O5787" t="s">
        <v>11</v>
      </c>
      <c r="P5787" t="s">
        <v>18</v>
      </c>
      <c r="Q5787" t="s">
        <v>19</v>
      </c>
      <c r="R5787" t="s">
        <v>138</v>
      </c>
      <c r="S5787" t="s">
        <v>144</v>
      </c>
      <c r="T5787" s="2">
        <f>MASTER[[#This Row],[CANTIDAD]]*MASTER[[#This Row],[PRECIO DE VENTA]]</f>
        <v>1240</v>
      </c>
      <c r="U5787" s="2">
        <f>MASTER[[#This Row],[CANTIDAD]]*MASTER[[#This Row],[COSTO UNITARIO]]</f>
        <v>380</v>
      </c>
      <c r="V5787" s="2">
        <f>MASTER[[#This Row],[MONTO VENDIDO]]-MASTER[[#This Row],[COSTO DE VENTA]]</f>
        <v>860</v>
      </c>
    </row>
    <row r="5788" spans="1:22" x14ac:dyDescent="0.3">
      <c r="A5788">
        <v>81096</v>
      </c>
      <c r="B5788">
        <v>1</v>
      </c>
      <c r="C5788" t="s">
        <v>111</v>
      </c>
      <c r="D5788" t="s">
        <v>112</v>
      </c>
      <c r="E5788" s="1">
        <v>44458</v>
      </c>
      <c r="F5788">
        <v>1</v>
      </c>
      <c r="G5788" t="s">
        <v>59</v>
      </c>
      <c r="H5788" t="s">
        <v>60</v>
      </c>
      <c r="I5788" s="3">
        <v>1621</v>
      </c>
      <c r="J5788" s="3">
        <v>1621</v>
      </c>
      <c r="K5788" s="3">
        <v>434</v>
      </c>
      <c r="L5788" t="s">
        <v>113</v>
      </c>
      <c r="M5788">
        <v>2</v>
      </c>
      <c r="N5788" t="s">
        <v>86</v>
      </c>
      <c r="O5788" t="s">
        <v>81</v>
      </c>
      <c r="P5788" t="s">
        <v>71</v>
      </c>
      <c r="Q5788" t="s">
        <v>72</v>
      </c>
      <c r="R5788" t="s">
        <v>139</v>
      </c>
      <c r="S5788" t="s">
        <v>144</v>
      </c>
      <c r="T5788" s="2">
        <f>MASTER[[#This Row],[CANTIDAD]]*MASTER[[#This Row],[PRECIO DE VENTA]]</f>
        <v>1621</v>
      </c>
      <c r="U5788" s="2">
        <f>MASTER[[#This Row],[CANTIDAD]]*MASTER[[#This Row],[COSTO UNITARIO]]</f>
        <v>434</v>
      </c>
      <c r="V5788" s="2">
        <f>MASTER[[#This Row],[MONTO VENDIDO]]-MASTER[[#This Row],[COSTO DE VENTA]]</f>
        <v>1187</v>
      </c>
    </row>
    <row r="5789" spans="1:22" x14ac:dyDescent="0.3">
      <c r="A5789">
        <v>81097</v>
      </c>
      <c r="B5789">
        <v>1</v>
      </c>
      <c r="C5789" t="s">
        <v>103</v>
      </c>
      <c r="D5789" t="s">
        <v>104</v>
      </c>
      <c r="E5789" s="1">
        <v>44458</v>
      </c>
      <c r="F5789">
        <v>1</v>
      </c>
      <c r="G5789" t="s">
        <v>43</v>
      </c>
      <c r="H5789" t="s">
        <v>44</v>
      </c>
      <c r="I5789" s="3">
        <v>1591</v>
      </c>
      <c r="J5789" s="3">
        <v>1591</v>
      </c>
      <c r="K5789" s="3">
        <v>421</v>
      </c>
      <c r="L5789" t="s">
        <v>98</v>
      </c>
      <c r="M5789">
        <v>8</v>
      </c>
      <c r="N5789" t="s">
        <v>80</v>
      </c>
      <c r="O5789" t="s">
        <v>81</v>
      </c>
      <c r="P5789" t="s">
        <v>12</v>
      </c>
      <c r="Q5789" t="s">
        <v>13</v>
      </c>
      <c r="R5789" t="s">
        <v>13</v>
      </c>
      <c r="S5789" t="s">
        <v>144</v>
      </c>
      <c r="T5789" s="2">
        <f>MASTER[[#This Row],[CANTIDAD]]*MASTER[[#This Row],[PRECIO DE VENTA]]</f>
        <v>1591</v>
      </c>
      <c r="U5789" s="2">
        <f>MASTER[[#This Row],[CANTIDAD]]*MASTER[[#This Row],[COSTO UNITARIO]]</f>
        <v>421</v>
      </c>
      <c r="V5789" s="2">
        <f>MASTER[[#This Row],[MONTO VENDIDO]]-MASTER[[#This Row],[COSTO DE VENTA]]</f>
        <v>1170</v>
      </c>
    </row>
    <row r="5790" spans="1:22" x14ac:dyDescent="0.3">
      <c r="A5790">
        <v>81106</v>
      </c>
      <c r="B5790">
        <v>1</v>
      </c>
      <c r="C5790" t="s">
        <v>96</v>
      </c>
      <c r="D5790" t="s">
        <v>97</v>
      </c>
      <c r="E5790" s="1">
        <v>44458</v>
      </c>
      <c r="F5790">
        <v>1</v>
      </c>
      <c r="G5790" t="s">
        <v>49</v>
      </c>
      <c r="H5790" t="s">
        <v>50</v>
      </c>
      <c r="I5790" s="3">
        <v>1272</v>
      </c>
      <c r="J5790" s="3">
        <v>1272</v>
      </c>
      <c r="K5790" s="3">
        <v>397</v>
      </c>
      <c r="L5790" t="s">
        <v>98</v>
      </c>
      <c r="M5790">
        <v>10</v>
      </c>
      <c r="N5790" t="s">
        <v>83</v>
      </c>
      <c r="O5790" t="s">
        <v>81</v>
      </c>
      <c r="P5790" t="s">
        <v>12</v>
      </c>
      <c r="Q5790" t="s">
        <v>13</v>
      </c>
      <c r="R5790" t="s">
        <v>13</v>
      </c>
      <c r="S5790" t="s">
        <v>144</v>
      </c>
      <c r="T5790" s="2">
        <f>MASTER[[#This Row],[CANTIDAD]]*MASTER[[#This Row],[PRECIO DE VENTA]]</f>
        <v>1272</v>
      </c>
      <c r="U5790" s="2">
        <f>MASTER[[#This Row],[CANTIDAD]]*MASTER[[#This Row],[COSTO UNITARIO]]</f>
        <v>397</v>
      </c>
      <c r="V5790" s="2">
        <f>MASTER[[#This Row],[MONTO VENDIDO]]-MASTER[[#This Row],[COSTO DE VENTA]]</f>
        <v>875</v>
      </c>
    </row>
    <row r="5791" spans="1:22" x14ac:dyDescent="0.3">
      <c r="A5791">
        <v>81129</v>
      </c>
      <c r="B5791">
        <v>1</v>
      </c>
      <c r="C5791" t="s">
        <v>94</v>
      </c>
      <c r="D5791" t="s">
        <v>95</v>
      </c>
      <c r="E5791" s="1">
        <v>44458</v>
      </c>
      <c r="F5791">
        <v>1</v>
      </c>
      <c r="G5791" t="s">
        <v>22</v>
      </c>
      <c r="H5791" t="s">
        <v>23</v>
      </c>
      <c r="I5791" s="3">
        <v>901</v>
      </c>
      <c r="J5791" s="3">
        <v>901</v>
      </c>
      <c r="K5791" s="3">
        <v>392</v>
      </c>
      <c r="L5791" t="s">
        <v>9</v>
      </c>
      <c r="M5791">
        <v>16</v>
      </c>
      <c r="N5791" t="s">
        <v>17</v>
      </c>
      <c r="O5791" t="s">
        <v>11</v>
      </c>
      <c r="P5791" t="s">
        <v>18</v>
      </c>
      <c r="Q5791" t="s">
        <v>19</v>
      </c>
      <c r="R5791" t="s">
        <v>138</v>
      </c>
      <c r="S5791" t="s">
        <v>144</v>
      </c>
      <c r="T5791" s="2">
        <f>MASTER[[#This Row],[CANTIDAD]]*MASTER[[#This Row],[PRECIO DE VENTA]]</f>
        <v>901</v>
      </c>
      <c r="U5791" s="2">
        <f>MASTER[[#This Row],[CANTIDAD]]*MASTER[[#This Row],[COSTO UNITARIO]]</f>
        <v>392</v>
      </c>
      <c r="V5791" s="2">
        <f>MASTER[[#This Row],[MONTO VENDIDO]]-MASTER[[#This Row],[COSTO DE VENTA]]</f>
        <v>509</v>
      </c>
    </row>
    <row r="5792" spans="1:22" x14ac:dyDescent="0.3">
      <c r="A5792">
        <v>81131</v>
      </c>
      <c r="B5792">
        <v>1</v>
      </c>
      <c r="C5792" t="s">
        <v>92</v>
      </c>
      <c r="D5792" t="s">
        <v>93</v>
      </c>
      <c r="E5792" s="1">
        <v>44458</v>
      </c>
      <c r="F5792">
        <v>1</v>
      </c>
      <c r="G5792" t="s">
        <v>7</v>
      </c>
      <c r="H5792" t="s">
        <v>8</v>
      </c>
      <c r="I5792" s="3">
        <v>1681</v>
      </c>
      <c r="J5792" s="3">
        <v>1580</v>
      </c>
      <c r="K5792" s="3">
        <v>396</v>
      </c>
      <c r="L5792" t="s">
        <v>9</v>
      </c>
      <c r="M5792">
        <v>10</v>
      </c>
      <c r="N5792" t="s">
        <v>83</v>
      </c>
      <c r="O5792" t="s">
        <v>81</v>
      </c>
      <c r="P5792" t="s">
        <v>12</v>
      </c>
      <c r="Q5792" t="s">
        <v>13</v>
      </c>
      <c r="R5792" t="s">
        <v>13</v>
      </c>
      <c r="S5792" t="s">
        <v>144</v>
      </c>
      <c r="T5792" s="2">
        <f>MASTER[[#This Row],[CANTIDAD]]*MASTER[[#This Row],[PRECIO DE VENTA]]</f>
        <v>1580</v>
      </c>
      <c r="U5792" s="2">
        <f>MASTER[[#This Row],[CANTIDAD]]*MASTER[[#This Row],[COSTO UNITARIO]]</f>
        <v>396</v>
      </c>
      <c r="V5792" s="2">
        <f>MASTER[[#This Row],[MONTO VENDIDO]]-MASTER[[#This Row],[COSTO DE VENTA]]</f>
        <v>1184</v>
      </c>
    </row>
    <row r="5793" spans="1:22" x14ac:dyDescent="0.3">
      <c r="A5793">
        <v>81144</v>
      </c>
      <c r="B5793">
        <v>1</v>
      </c>
      <c r="C5793" t="s">
        <v>111</v>
      </c>
      <c r="D5793" t="s">
        <v>112</v>
      </c>
      <c r="E5793" s="1">
        <v>44458</v>
      </c>
      <c r="F5793">
        <v>1</v>
      </c>
      <c r="G5793" t="s">
        <v>55</v>
      </c>
      <c r="H5793" t="s">
        <v>56</v>
      </c>
      <c r="I5793" s="3">
        <v>1524</v>
      </c>
      <c r="J5793" s="3">
        <v>1524</v>
      </c>
      <c r="K5793" s="3">
        <v>434</v>
      </c>
      <c r="L5793" t="s">
        <v>113</v>
      </c>
      <c r="M5793">
        <v>17</v>
      </c>
      <c r="N5793" t="s">
        <v>14</v>
      </c>
      <c r="O5793" t="s">
        <v>11</v>
      </c>
      <c r="P5793" t="s">
        <v>15</v>
      </c>
      <c r="Q5793" t="s">
        <v>16</v>
      </c>
      <c r="R5793" t="s">
        <v>16</v>
      </c>
      <c r="S5793" t="s">
        <v>144</v>
      </c>
      <c r="T5793" s="2">
        <f>MASTER[[#This Row],[CANTIDAD]]*MASTER[[#This Row],[PRECIO DE VENTA]]</f>
        <v>1524</v>
      </c>
      <c r="U5793" s="2">
        <f>MASTER[[#This Row],[CANTIDAD]]*MASTER[[#This Row],[COSTO UNITARIO]]</f>
        <v>434</v>
      </c>
      <c r="V5793" s="2">
        <f>MASTER[[#This Row],[MONTO VENDIDO]]-MASTER[[#This Row],[COSTO DE VENTA]]</f>
        <v>1090</v>
      </c>
    </row>
    <row r="5794" spans="1:22" x14ac:dyDescent="0.3">
      <c r="A5794">
        <v>81162</v>
      </c>
      <c r="B5794">
        <v>1</v>
      </c>
      <c r="C5794" t="s">
        <v>109</v>
      </c>
      <c r="D5794" t="s">
        <v>110</v>
      </c>
      <c r="E5794" s="1">
        <v>44458</v>
      </c>
      <c r="F5794">
        <v>1</v>
      </c>
      <c r="G5794" t="s">
        <v>49</v>
      </c>
      <c r="H5794" t="s">
        <v>50</v>
      </c>
      <c r="I5794" s="3">
        <v>947</v>
      </c>
      <c r="J5794" s="3">
        <v>947</v>
      </c>
      <c r="K5794" s="3">
        <v>387</v>
      </c>
      <c r="L5794" t="s">
        <v>98</v>
      </c>
      <c r="M5794">
        <v>11</v>
      </c>
      <c r="N5794" t="s">
        <v>10</v>
      </c>
      <c r="O5794" t="s">
        <v>11</v>
      </c>
      <c r="P5794" t="s">
        <v>12</v>
      </c>
      <c r="Q5794" t="s">
        <v>13</v>
      </c>
      <c r="R5794" t="s">
        <v>13</v>
      </c>
      <c r="S5794" t="s">
        <v>144</v>
      </c>
      <c r="T5794" s="2">
        <f>MASTER[[#This Row],[CANTIDAD]]*MASTER[[#This Row],[PRECIO DE VENTA]]</f>
        <v>947</v>
      </c>
      <c r="U5794" s="2">
        <f>MASTER[[#This Row],[CANTIDAD]]*MASTER[[#This Row],[COSTO UNITARIO]]</f>
        <v>387</v>
      </c>
      <c r="V5794" s="2">
        <f>MASTER[[#This Row],[MONTO VENDIDO]]-MASTER[[#This Row],[COSTO DE VENTA]]</f>
        <v>560</v>
      </c>
    </row>
    <row r="5795" spans="1:22" x14ac:dyDescent="0.3">
      <c r="A5795">
        <v>81192</v>
      </c>
      <c r="B5795">
        <v>1</v>
      </c>
      <c r="C5795" t="s">
        <v>96</v>
      </c>
      <c r="D5795" t="s">
        <v>97</v>
      </c>
      <c r="E5795" s="1">
        <v>44458</v>
      </c>
      <c r="F5795">
        <v>3</v>
      </c>
      <c r="G5795" t="s">
        <v>65</v>
      </c>
      <c r="H5795" t="s">
        <v>66</v>
      </c>
      <c r="I5795" s="3">
        <v>1272</v>
      </c>
      <c r="J5795" s="3">
        <v>1272</v>
      </c>
      <c r="K5795" s="3">
        <v>397</v>
      </c>
      <c r="L5795" t="s">
        <v>98</v>
      </c>
      <c r="M5795">
        <v>10</v>
      </c>
      <c r="N5795" t="s">
        <v>83</v>
      </c>
      <c r="O5795" t="s">
        <v>81</v>
      </c>
      <c r="P5795" t="s">
        <v>12</v>
      </c>
      <c r="Q5795" t="s">
        <v>13</v>
      </c>
      <c r="R5795" t="s">
        <v>13</v>
      </c>
      <c r="S5795" t="s">
        <v>144</v>
      </c>
      <c r="T5795" s="2">
        <f>MASTER[[#This Row],[CANTIDAD]]*MASTER[[#This Row],[PRECIO DE VENTA]]</f>
        <v>3816</v>
      </c>
      <c r="U5795" s="2">
        <f>MASTER[[#This Row],[CANTIDAD]]*MASTER[[#This Row],[COSTO UNITARIO]]</f>
        <v>1191</v>
      </c>
      <c r="V5795" s="2">
        <f>MASTER[[#This Row],[MONTO VENDIDO]]-MASTER[[#This Row],[COSTO DE VENTA]]</f>
        <v>2625</v>
      </c>
    </row>
    <row r="5796" spans="1:22" x14ac:dyDescent="0.3">
      <c r="A5796">
        <v>81198</v>
      </c>
      <c r="B5796">
        <v>1</v>
      </c>
      <c r="C5796" t="s">
        <v>96</v>
      </c>
      <c r="D5796" t="s">
        <v>97</v>
      </c>
      <c r="E5796" s="1">
        <v>44458</v>
      </c>
      <c r="F5796">
        <v>1</v>
      </c>
      <c r="G5796" t="s">
        <v>57</v>
      </c>
      <c r="H5796" t="s">
        <v>58</v>
      </c>
      <c r="I5796" s="3">
        <v>1272</v>
      </c>
      <c r="J5796" s="3">
        <v>1272</v>
      </c>
      <c r="K5796" s="3">
        <v>397</v>
      </c>
      <c r="L5796" t="s">
        <v>98</v>
      </c>
      <c r="M5796">
        <v>7</v>
      </c>
      <c r="N5796" t="s">
        <v>84</v>
      </c>
      <c r="O5796" t="s">
        <v>81</v>
      </c>
      <c r="P5796" t="s">
        <v>12</v>
      </c>
      <c r="Q5796" t="s">
        <v>13</v>
      </c>
      <c r="R5796" t="s">
        <v>13</v>
      </c>
      <c r="S5796" t="s">
        <v>144</v>
      </c>
      <c r="T5796" s="2">
        <f>MASTER[[#This Row],[CANTIDAD]]*MASTER[[#This Row],[PRECIO DE VENTA]]</f>
        <v>1272</v>
      </c>
      <c r="U5796" s="2">
        <f>MASTER[[#This Row],[CANTIDAD]]*MASTER[[#This Row],[COSTO UNITARIO]]</f>
        <v>397</v>
      </c>
      <c r="V5796" s="2">
        <f>MASTER[[#This Row],[MONTO VENDIDO]]-MASTER[[#This Row],[COSTO DE VENTA]]</f>
        <v>875</v>
      </c>
    </row>
    <row r="5797" spans="1:22" x14ac:dyDescent="0.3">
      <c r="A5797">
        <v>81218</v>
      </c>
      <c r="B5797">
        <v>1</v>
      </c>
      <c r="C5797" t="s">
        <v>105</v>
      </c>
      <c r="D5797" t="s">
        <v>106</v>
      </c>
      <c r="E5797" s="1">
        <v>44458</v>
      </c>
      <c r="F5797">
        <v>1</v>
      </c>
      <c r="G5797" t="s">
        <v>47</v>
      </c>
      <c r="H5797" t="s">
        <v>48</v>
      </c>
      <c r="I5797" s="3">
        <v>1865</v>
      </c>
      <c r="J5797" s="3">
        <v>1865</v>
      </c>
      <c r="K5797" s="3">
        <v>459</v>
      </c>
      <c r="L5797" t="s">
        <v>98</v>
      </c>
      <c r="M5797">
        <v>10</v>
      </c>
      <c r="N5797" t="s">
        <v>83</v>
      </c>
      <c r="O5797" t="s">
        <v>81</v>
      </c>
      <c r="P5797" t="s">
        <v>12</v>
      </c>
      <c r="Q5797" t="s">
        <v>13</v>
      </c>
      <c r="R5797" t="s">
        <v>13</v>
      </c>
      <c r="S5797" t="s">
        <v>144</v>
      </c>
      <c r="T5797" s="2">
        <f>MASTER[[#This Row],[CANTIDAD]]*MASTER[[#This Row],[PRECIO DE VENTA]]</f>
        <v>1865</v>
      </c>
      <c r="U5797" s="2">
        <f>MASTER[[#This Row],[CANTIDAD]]*MASTER[[#This Row],[COSTO UNITARIO]]</f>
        <v>459</v>
      </c>
      <c r="V5797" s="2">
        <f>MASTER[[#This Row],[MONTO VENDIDO]]-MASTER[[#This Row],[COSTO DE VENTA]]</f>
        <v>1406</v>
      </c>
    </row>
    <row r="5798" spans="1:22" x14ac:dyDescent="0.3">
      <c r="A5798">
        <v>81219</v>
      </c>
      <c r="B5798">
        <v>1</v>
      </c>
      <c r="C5798" t="s">
        <v>116</v>
      </c>
      <c r="D5798" t="s">
        <v>117</v>
      </c>
      <c r="E5798" s="1">
        <v>44459</v>
      </c>
      <c r="F5798">
        <v>1</v>
      </c>
      <c r="G5798" t="s">
        <v>57</v>
      </c>
      <c r="H5798" t="s">
        <v>58</v>
      </c>
      <c r="I5798" s="3">
        <v>1999</v>
      </c>
      <c r="J5798" s="3">
        <v>1999</v>
      </c>
      <c r="K5798" s="3">
        <v>388</v>
      </c>
      <c r="L5798" t="s">
        <v>113</v>
      </c>
      <c r="M5798">
        <v>18</v>
      </c>
      <c r="N5798" t="s">
        <v>79</v>
      </c>
      <c r="O5798" t="s">
        <v>70</v>
      </c>
      <c r="P5798" t="s">
        <v>15</v>
      </c>
      <c r="Q5798" t="s">
        <v>16</v>
      </c>
      <c r="R5798" t="s">
        <v>16</v>
      </c>
      <c r="S5798" t="s">
        <v>144</v>
      </c>
      <c r="T5798" s="2">
        <f>MASTER[[#This Row],[CANTIDAD]]*MASTER[[#This Row],[PRECIO DE VENTA]]</f>
        <v>1999</v>
      </c>
      <c r="U5798" s="2">
        <f>MASTER[[#This Row],[CANTIDAD]]*MASTER[[#This Row],[COSTO UNITARIO]]</f>
        <v>388</v>
      </c>
      <c r="V5798" s="2">
        <f>MASTER[[#This Row],[MONTO VENDIDO]]-MASTER[[#This Row],[COSTO DE VENTA]]</f>
        <v>1611</v>
      </c>
    </row>
    <row r="5799" spans="1:22" x14ac:dyDescent="0.3">
      <c r="A5799">
        <v>81243</v>
      </c>
      <c r="B5799">
        <v>1</v>
      </c>
      <c r="C5799" t="s">
        <v>92</v>
      </c>
      <c r="D5799" t="s">
        <v>93</v>
      </c>
      <c r="E5799" s="1">
        <v>44459</v>
      </c>
      <c r="F5799">
        <v>1</v>
      </c>
      <c r="G5799" t="s">
        <v>73</v>
      </c>
      <c r="H5799" t="s">
        <v>74</v>
      </c>
      <c r="I5799" s="3">
        <v>1681</v>
      </c>
      <c r="J5799" s="3">
        <v>1681</v>
      </c>
      <c r="K5799" s="3">
        <v>396</v>
      </c>
      <c r="L5799" t="s">
        <v>9</v>
      </c>
      <c r="M5799">
        <v>8</v>
      </c>
      <c r="N5799" t="s">
        <v>80</v>
      </c>
      <c r="O5799" t="s">
        <v>81</v>
      </c>
      <c r="P5799" t="s">
        <v>12</v>
      </c>
      <c r="Q5799" t="s">
        <v>13</v>
      </c>
      <c r="R5799" t="s">
        <v>13</v>
      </c>
      <c r="S5799" t="s">
        <v>144</v>
      </c>
      <c r="T5799" s="2">
        <f>MASTER[[#This Row],[CANTIDAD]]*MASTER[[#This Row],[PRECIO DE VENTA]]</f>
        <v>1681</v>
      </c>
      <c r="U5799" s="2">
        <f>MASTER[[#This Row],[CANTIDAD]]*MASTER[[#This Row],[COSTO UNITARIO]]</f>
        <v>396</v>
      </c>
      <c r="V5799" s="2">
        <f>MASTER[[#This Row],[MONTO VENDIDO]]-MASTER[[#This Row],[COSTO DE VENTA]]</f>
        <v>1285</v>
      </c>
    </row>
    <row r="5800" spans="1:22" x14ac:dyDescent="0.3">
      <c r="A5800">
        <v>81252</v>
      </c>
      <c r="B5800">
        <v>1</v>
      </c>
      <c r="C5800" t="s">
        <v>116</v>
      </c>
      <c r="D5800" t="s">
        <v>117</v>
      </c>
      <c r="E5800" s="1">
        <v>44459</v>
      </c>
      <c r="F5800">
        <v>1</v>
      </c>
      <c r="G5800" t="s">
        <v>27</v>
      </c>
      <c r="H5800" t="s">
        <v>28</v>
      </c>
      <c r="I5800" s="3">
        <v>1999</v>
      </c>
      <c r="J5800" s="3">
        <v>1879</v>
      </c>
      <c r="K5800" s="3">
        <v>388</v>
      </c>
      <c r="L5800" t="s">
        <v>113</v>
      </c>
      <c r="M5800">
        <v>3</v>
      </c>
      <c r="N5800" t="s">
        <v>69</v>
      </c>
      <c r="O5800" t="s">
        <v>70</v>
      </c>
      <c r="P5800" t="s">
        <v>71</v>
      </c>
      <c r="Q5800" t="s">
        <v>72</v>
      </c>
      <c r="R5800" t="s">
        <v>139</v>
      </c>
      <c r="S5800" t="s">
        <v>144</v>
      </c>
      <c r="T5800" s="2">
        <f>MASTER[[#This Row],[CANTIDAD]]*MASTER[[#This Row],[PRECIO DE VENTA]]</f>
        <v>1879</v>
      </c>
      <c r="U5800" s="2">
        <f>MASTER[[#This Row],[CANTIDAD]]*MASTER[[#This Row],[COSTO UNITARIO]]</f>
        <v>388</v>
      </c>
      <c r="V5800" s="2">
        <f>MASTER[[#This Row],[MONTO VENDIDO]]-MASTER[[#This Row],[COSTO DE VENTA]]</f>
        <v>1491</v>
      </c>
    </row>
    <row r="5801" spans="1:22" x14ac:dyDescent="0.3">
      <c r="A5801">
        <v>81256</v>
      </c>
      <c r="B5801">
        <v>1</v>
      </c>
      <c r="C5801" t="s">
        <v>96</v>
      </c>
      <c r="D5801" t="s">
        <v>97</v>
      </c>
      <c r="E5801" s="1">
        <v>44459</v>
      </c>
      <c r="F5801">
        <v>1</v>
      </c>
      <c r="G5801" t="s">
        <v>65</v>
      </c>
      <c r="H5801" t="s">
        <v>66</v>
      </c>
      <c r="I5801" s="3">
        <v>1196</v>
      </c>
      <c r="J5801" s="3">
        <v>1196</v>
      </c>
      <c r="K5801" s="3">
        <v>397</v>
      </c>
      <c r="L5801" t="s">
        <v>98</v>
      </c>
      <c r="M5801">
        <v>11</v>
      </c>
      <c r="N5801" t="s">
        <v>10</v>
      </c>
      <c r="O5801" t="s">
        <v>11</v>
      </c>
      <c r="P5801" t="s">
        <v>12</v>
      </c>
      <c r="Q5801" t="s">
        <v>13</v>
      </c>
      <c r="R5801" t="s">
        <v>13</v>
      </c>
      <c r="S5801" t="s">
        <v>144</v>
      </c>
      <c r="T5801" s="2">
        <f>MASTER[[#This Row],[CANTIDAD]]*MASTER[[#This Row],[PRECIO DE VENTA]]</f>
        <v>1196</v>
      </c>
      <c r="U5801" s="2">
        <f>MASTER[[#This Row],[CANTIDAD]]*MASTER[[#This Row],[COSTO UNITARIO]]</f>
        <v>397</v>
      </c>
      <c r="V5801" s="2">
        <f>MASTER[[#This Row],[MONTO VENDIDO]]-MASTER[[#This Row],[COSTO DE VENTA]]</f>
        <v>799</v>
      </c>
    </row>
    <row r="5802" spans="1:22" x14ac:dyDescent="0.3">
      <c r="A5802">
        <v>81273</v>
      </c>
      <c r="B5802">
        <v>1</v>
      </c>
      <c r="C5802" t="s">
        <v>5</v>
      </c>
      <c r="D5802" t="s">
        <v>6</v>
      </c>
      <c r="E5802" s="1">
        <v>44459</v>
      </c>
      <c r="F5802">
        <v>1</v>
      </c>
      <c r="G5802" t="s">
        <v>37</v>
      </c>
      <c r="H5802" t="s">
        <v>38</v>
      </c>
      <c r="I5802" s="3">
        <v>1311</v>
      </c>
      <c r="J5802" s="3">
        <v>1311</v>
      </c>
      <c r="K5802" s="3">
        <v>393</v>
      </c>
      <c r="L5802" t="s">
        <v>9</v>
      </c>
      <c r="M5802">
        <v>11</v>
      </c>
      <c r="N5802" t="s">
        <v>10</v>
      </c>
      <c r="O5802" t="s">
        <v>11</v>
      </c>
      <c r="P5802" t="s">
        <v>12</v>
      </c>
      <c r="Q5802" t="s">
        <v>13</v>
      </c>
      <c r="R5802" t="s">
        <v>13</v>
      </c>
      <c r="S5802" t="s">
        <v>144</v>
      </c>
      <c r="T5802" s="2">
        <f>MASTER[[#This Row],[CANTIDAD]]*MASTER[[#This Row],[PRECIO DE VENTA]]</f>
        <v>1311</v>
      </c>
      <c r="U5802" s="2">
        <f>MASTER[[#This Row],[CANTIDAD]]*MASTER[[#This Row],[COSTO UNITARIO]]</f>
        <v>393</v>
      </c>
      <c r="V5802" s="2">
        <f>MASTER[[#This Row],[MONTO VENDIDO]]-MASTER[[#This Row],[COSTO DE VENTA]]</f>
        <v>918</v>
      </c>
    </row>
    <row r="5803" spans="1:22" x14ac:dyDescent="0.3">
      <c r="A5803">
        <v>81278</v>
      </c>
      <c r="B5803">
        <v>1</v>
      </c>
      <c r="C5803" t="s">
        <v>114</v>
      </c>
      <c r="D5803" t="s">
        <v>115</v>
      </c>
      <c r="E5803" s="1">
        <v>44459</v>
      </c>
      <c r="F5803">
        <v>1</v>
      </c>
      <c r="G5803" t="s">
        <v>35</v>
      </c>
      <c r="H5803" t="s">
        <v>36</v>
      </c>
      <c r="I5803" s="3">
        <v>2030</v>
      </c>
      <c r="J5803" s="3">
        <v>2030</v>
      </c>
      <c r="K5803" s="3">
        <v>394</v>
      </c>
      <c r="L5803" t="s">
        <v>113</v>
      </c>
      <c r="M5803">
        <v>3</v>
      </c>
      <c r="N5803" t="s">
        <v>69</v>
      </c>
      <c r="O5803" t="s">
        <v>70</v>
      </c>
      <c r="P5803" t="s">
        <v>71</v>
      </c>
      <c r="Q5803" t="s">
        <v>72</v>
      </c>
      <c r="R5803" t="s">
        <v>139</v>
      </c>
      <c r="S5803" t="s">
        <v>144</v>
      </c>
      <c r="T5803" s="2">
        <f>MASTER[[#This Row],[CANTIDAD]]*MASTER[[#This Row],[PRECIO DE VENTA]]</f>
        <v>2030</v>
      </c>
      <c r="U5803" s="2">
        <f>MASTER[[#This Row],[CANTIDAD]]*MASTER[[#This Row],[COSTO UNITARIO]]</f>
        <v>394</v>
      </c>
      <c r="V5803" s="2">
        <f>MASTER[[#This Row],[MONTO VENDIDO]]-MASTER[[#This Row],[COSTO DE VENTA]]</f>
        <v>1636</v>
      </c>
    </row>
    <row r="5804" spans="1:22" x14ac:dyDescent="0.3">
      <c r="A5804">
        <v>81283</v>
      </c>
      <c r="B5804">
        <v>1</v>
      </c>
      <c r="C5804" t="s">
        <v>107</v>
      </c>
      <c r="D5804" t="s">
        <v>108</v>
      </c>
      <c r="E5804" s="1">
        <v>44459</v>
      </c>
      <c r="F5804">
        <v>1</v>
      </c>
      <c r="G5804" t="s">
        <v>59</v>
      </c>
      <c r="H5804" t="s">
        <v>60</v>
      </c>
      <c r="I5804" s="3">
        <v>1440</v>
      </c>
      <c r="J5804" s="3">
        <v>1440</v>
      </c>
      <c r="K5804" s="3">
        <v>380</v>
      </c>
      <c r="L5804" t="s">
        <v>98</v>
      </c>
      <c r="M5804">
        <v>9</v>
      </c>
      <c r="N5804" t="s">
        <v>76</v>
      </c>
      <c r="O5804" t="s">
        <v>70</v>
      </c>
      <c r="P5804" t="s">
        <v>12</v>
      </c>
      <c r="Q5804" t="s">
        <v>13</v>
      </c>
      <c r="R5804" t="s">
        <v>13</v>
      </c>
      <c r="S5804" t="s">
        <v>144</v>
      </c>
      <c r="T5804" s="2">
        <f>MASTER[[#This Row],[CANTIDAD]]*MASTER[[#This Row],[PRECIO DE VENTA]]</f>
        <v>1440</v>
      </c>
      <c r="U5804" s="2">
        <f>MASTER[[#This Row],[CANTIDAD]]*MASTER[[#This Row],[COSTO UNITARIO]]</f>
        <v>380</v>
      </c>
      <c r="V5804" s="2">
        <f>MASTER[[#This Row],[MONTO VENDIDO]]-MASTER[[#This Row],[COSTO DE VENTA]]</f>
        <v>1060</v>
      </c>
    </row>
    <row r="5805" spans="1:22" x14ac:dyDescent="0.3">
      <c r="A5805">
        <v>81310</v>
      </c>
      <c r="B5805">
        <v>1</v>
      </c>
      <c r="C5805" t="s">
        <v>116</v>
      </c>
      <c r="D5805" t="s">
        <v>117</v>
      </c>
      <c r="E5805" s="1">
        <v>44459</v>
      </c>
      <c r="F5805">
        <v>1</v>
      </c>
      <c r="G5805" t="s">
        <v>73</v>
      </c>
      <c r="H5805" t="s">
        <v>74</v>
      </c>
      <c r="I5805" s="3">
        <v>1738</v>
      </c>
      <c r="J5805" s="3">
        <v>1738</v>
      </c>
      <c r="K5805" s="3">
        <v>388</v>
      </c>
      <c r="L5805" t="s">
        <v>113</v>
      </c>
      <c r="M5805">
        <v>8</v>
      </c>
      <c r="N5805" t="s">
        <v>80</v>
      </c>
      <c r="O5805" t="s">
        <v>81</v>
      </c>
      <c r="P5805" t="s">
        <v>12</v>
      </c>
      <c r="Q5805" t="s">
        <v>13</v>
      </c>
      <c r="R5805" t="s">
        <v>13</v>
      </c>
      <c r="S5805" t="s">
        <v>144</v>
      </c>
      <c r="T5805" s="2">
        <f>MASTER[[#This Row],[CANTIDAD]]*MASTER[[#This Row],[PRECIO DE VENTA]]</f>
        <v>1738</v>
      </c>
      <c r="U5805" s="2">
        <f>MASTER[[#This Row],[CANTIDAD]]*MASTER[[#This Row],[COSTO UNITARIO]]</f>
        <v>388</v>
      </c>
      <c r="V5805" s="2">
        <f>MASTER[[#This Row],[MONTO VENDIDO]]-MASTER[[#This Row],[COSTO DE VENTA]]</f>
        <v>1350</v>
      </c>
    </row>
    <row r="5806" spans="1:22" x14ac:dyDescent="0.3">
      <c r="A5806">
        <v>81313</v>
      </c>
      <c r="B5806">
        <v>1</v>
      </c>
      <c r="C5806" t="s">
        <v>121</v>
      </c>
      <c r="D5806" t="s">
        <v>122</v>
      </c>
      <c r="E5806" s="1">
        <v>44460</v>
      </c>
      <c r="F5806">
        <v>1</v>
      </c>
      <c r="G5806" t="s">
        <v>45</v>
      </c>
      <c r="H5806" t="s">
        <v>46</v>
      </c>
      <c r="I5806" s="3">
        <v>1144</v>
      </c>
      <c r="J5806" s="3">
        <v>1144</v>
      </c>
      <c r="K5806" s="3">
        <v>460</v>
      </c>
      <c r="L5806" t="s">
        <v>120</v>
      </c>
      <c r="M5806">
        <v>18</v>
      </c>
      <c r="N5806" t="s">
        <v>79</v>
      </c>
      <c r="O5806" t="s">
        <v>70</v>
      </c>
      <c r="P5806" t="s">
        <v>15</v>
      </c>
      <c r="Q5806" t="s">
        <v>16</v>
      </c>
      <c r="R5806" t="s">
        <v>16</v>
      </c>
      <c r="S5806" t="s">
        <v>144</v>
      </c>
      <c r="T5806" s="2">
        <f>MASTER[[#This Row],[CANTIDAD]]*MASTER[[#This Row],[PRECIO DE VENTA]]</f>
        <v>1144</v>
      </c>
      <c r="U5806" s="2">
        <f>MASTER[[#This Row],[CANTIDAD]]*MASTER[[#This Row],[COSTO UNITARIO]]</f>
        <v>460</v>
      </c>
      <c r="V5806" s="2">
        <f>MASTER[[#This Row],[MONTO VENDIDO]]-MASTER[[#This Row],[COSTO DE VENTA]]</f>
        <v>684</v>
      </c>
    </row>
    <row r="5807" spans="1:22" x14ac:dyDescent="0.3">
      <c r="A5807">
        <v>81315</v>
      </c>
      <c r="B5807">
        <v>1</v>
      </c>
      <c r="C5807" t="s">
        <v>94</v>
      </c>
      <c r="D5807" t="s">
        <v>95</v>
      </c>
      <c r="E5807" s="1">
        <v>44460</v>
      </c>
      <c r="F5807">
        <v>1</v>
      </c>
      <c r="G5807" t="s">
        <v>45</v>
      </c>
      <c r="H5807" t="s">
        <v>46</v>
      </c>
      <c r="I5807" s="3">
        <v>1153</v>
      </c>
      <c r="J5807" s="3">
        <v>1153</v>
      </c>
      <c r="K5807" s="3">
        <v>392</v>
      </c>
      <c r="L5807" t="s">
        <v>9</v>
      </c>
      <c r="M5807">
        <v>13</v>
      </c>
      <c r="N5807" t="s">
        <v>78</v>
      </c>
      <c r="O5807" t="s">
        <v>70</v>
      </c>
      <c r="P5807" t="s">
        <v>18</v>
      </c>
      <c r="Q5807" t="s">
        <v>19</v>
      </c>
      <c r="R5807" t="s">
        <v>138</v>
      </c>
      <c r="S5807" t="s">
        <v>144</v>
      </c>
      <c r="T5807" s="2">
        <f>MASTER[[#This Row],[CANTIDAD]]*MASTER[[#This Row],[PRECIO DE VENTA]]</f>
        <v>1153</v>
      </c>
      <c r="U5807" s="2">
        <f>MASTER[[#This Row],[CANTIDAD]]*MASTER[[#This Row],[COSTO UNITARIO]]</f>
        <v>392</v>
      </c>
      <c r="V5807" s="2">
        <f>MASTER[[#This Row],[MONTO VENDIDO]]-MASTER[[#This Row],[COSTO DE VENTA]]</f>
        <v>761</v>
      </c>
    </row>
    <row r="5808" spans="1:22" x14ac:dyDescent="0.3">
      <c r="A5808">
        <v>81327</v>
      </c>
      <c r="B5808">
        <v>1</v>
      </c>
      <c r="C5808" t="s">
        <v>111</v>
      </c>
      <c r="D5808" t="s">
        <v>112</v>
      </c>
      <c r="E5808" s="1">
        <v>44460</v>
      </c>
      <c r="F5808">
        <v>1</v>
      </c>
      <c r="G5808" t="s">
        <v>57</v>
      </c>
      <c r="H5808" t="s">
        <v>58</v>
      </c>
      <c r="I5808" s="3">
        <v>1799</v>
      </c>
      <c r="J5808" s="3">
        <v>1799</v>
      </c>
      <c r="K5808" s="3">
        <v>434</v>
      </c>
      <c r="L5808" t="s">
        <v>113</v>
      </c>
      <c r="M5808">
        <v>3</v>
      </c>
      <c r="N5808" t="s">
        <v>69</v>
      </c>
      <c r="O5808" t="s">
        <v>70</v>
      </c>
      <c r="P5808" t="s">
        <v>71</v>
      </c>
      <c r="Q5808" t="s">
        <v>72</v>
      </c>
      <c r="R5808" t="s">
        <v>139</v>
      </c>
      <c r="S5808" t="s">
        <v>144</v>
      </c>
      <c r="T5808" s="2">
        <f>MASTER[[#This Row],[CANTIDAD]]*MASTER[[#This Row],[PRECIO DE VENTA]]</f>
        <v>1799</v>
      </c>
      <c r="U5808" s="2">
        <f>MASTER[[#This Row],[CANTIDAD]]*MASTER[[#This Row],[COSTO UNITARIO]]</f>
        <v>434</v>
      </c>
      <c r="V5808" s="2">
        <f>MASTER[[#This Row],[MONTO VENDIDO]]-MASTER[[#This Row],[COSTO DE VENTA]]</f>
        <v>1365</v>
      </c>
    </row>
    <row r="5809" spans="1:22" x14ac:dyDescent="0.3">
      <c r="A5809">
        <v>81332</v>
      </c>
      <c r="B5809">
        <v>1</v>
      </c>
      <c r="C5809" t="s">
        <v>107</v>
      </c>
      <c r="D5809" t="s">
        <v>108</v>
      </c>
      <c r="E5809" s="1">
        <v>44460</v>
      </c>
      <c r="F5809">
        <v>1</v>
      </c>
      <c r="G5809" t="s">
        <v>7</v>
      </c>
      <c r="H5809" t="s">
        <v>8</v>
      </c>
      <c r="I5809" s="3">
        <v>1333</v>
      </c>
      <c r="J5809" s="3">
        <v>1333</v>
      </c>
      <c r="K5809" s="3">
        <v>380</v>
      </c>
      <c r="L5809" t="s">
        <v>98</v>
      </c>
      <c r="M5809">
        <v>10</v>
      </c>
      <c r="N5809" t="s">
        <v>83</v>
      </c>
      <c r="O5809" t="s">
        <v>81</v>
      </c>
      <c r="P5809" t="s">
        <v>12</v>
      </c>
      <c r="Q5809" t="s">
        <v>13</v>
      </c>
      <c r="R5809" t="s">
        <v>13</v>
      </c>
      <c r="S5809" t="s">
        <v>144</v>
      </c>
      <c r="T5809" s="2">
        <f>MASTER[[#This Row],[CANTIDAD]]*MASTER[[#This Row],[PRECIO DE VENTA]]</f>
        <v>1333</v>
      </c>
      <c r="U5809" s="2">
        <f>MASTER[[#This Row],[CANTIDAD]]*MASTER[[#This Row],[COSTO UNITARIO]]</f>
        <v>380</v>
      </c>
      <c r="V5809" s="2">
        <f>MASTER[[#This Row],[MONTO VENDIDO]]-MASTER[[#This Row],[COSTO DE VENTA]]</f>
        <v>953</v>
      </c>
    </row>
    <row r="5810" spans="1:22" x14ac:dyDescent="0.3">
      <c r="A5810">
        <v>81342</v>
      </c>
      <c r="B5810">
        <v>1</v>
      </c>
      <c r="C5810" t="s">
        <v>99</v>
      </c>
      <c r="D5810" t="s">
        <v>100</v>
      </c>
      <c r="E5810" s="1">
        <v>44460</v>
      </c>
      <c r="F5810">
        <v>1</v>
      </c>
      <c r="G5810" t="s">
        <v>33</v>
      </c>
      <c r="H5810" t="s">
        <v>34</v>
      </c>
      <c r="I5810" s="3">
        <v>1328</v>
      </c>
      <c r="J5810" s="3">
        <v>1328</v>
      </c>
      <c r="K5810" s="3">
        <v>386</v>
      </c>
      <c r="L5810" t="s">
        <v>98</v>
      </c>
      <c r="M5810">
        <v>17</v>
      </c>
      <c r="N5810" t="s">
        <v>14</v>
      </c>
      <c r="O5810" t="s">
        <v>11</v>
      </c>
      <c r="P5810" t="s">
        <v>15</v>
      </c>
      <c r="Q5810" t="s">
        <v>16</v>
      </c>
      <c r="R5810" t="s">
        <v>16</v>
      </c>
      <c r="S5810" t="s">
        <v>144</v>
      </c>
      <c r="T5810" s="2">
        <f>MASTER[[#This Row],[CANTIDAD]]*MASTER[[#This Row],[PRECIO DE VENTA]]</f>
        <v>1328</v>
      </c>
      <c r="U5810" s="2">
        <f>MASTER[[#This Row],[CANTIDAD]]*MASTER[[#This Row],[COSTO UNITARIO]]</f>
        <v>386</v>
      </c>
      <c r="V5810" s="2">
        <f>MASTER[[#This Row],[MONTO VENDIDO]]-MASTER[[#This Row],[COSTO DE VENTA]]</f>
        <v>942</v>
      </c>
    </row>
    <row r="5811" spans="1:22" x14ac:dyDescent="0.3">
      <c r="A5811">
        <v>81343</v>
      </c>
      <c r="B5811">
        <v>1</v>
      </c>
      <c r="C5811" t="s">
        <v>99</v>
      </c>
      <c r="D5811" t="s">
        <v>100</v>
      </c>
      <c r="E5811" s="1">
        <v>44460</v>
      </c>
      <c r="F5811">
        <v>1</v>
      </c>
      <c r="G5811" t="s">
        <v>59</v>
      </c>
      <c r="H5811" t="s">
        <v>60</v>
      </c>
      <c r="I5811" s="3">
        <v>1328</v>
      </c>
      <c r="J5811" s="3">
        <v>1328</v>
      </c>
      <c r="K5811" s="3">
        <v>386</v>
      </c>
      <c r="L5811" t="s">
        <v>98</v>
      </c>
      <c r="M5811">
        <v>11</v>
      </c>
      <c r="N5811" t="s">
        <v>10</v>
      </c>
      <c r="O5811" t="s">
        <v>11</v>
      </c>
      <c r="P5811" t="s">
        <v>12</v>
      </c>
      <c r="Q5811" t="s">
        <v>13</v>
      </c>
      <c r="R5811" t="s">
        <v>13</v>
      </c>
      <c r="S5811" t="s">
        <v>144</v>
      </c>
      <c r="T5811" s="2">
        <f>MASTER[[#This Row],[CANTIDAD]]*MASTER[[#This Row],[PRECIO DE VENTA]]</f>
        <v>1328</v>
      </c>
      <c r="U5811" s="2">
        <f>MASTER[[#This Row],[CANTIDAD]]*MASTER[[#This Row],[COSTO UNITARIO]]</f>
        <v>386</v>
      </c>
      <c r="V5811" s="2">
        <f>MASTER[[#This Row],[MONTO VENDIDO]]-MASTER[[#This Row],[COSTO DE VENTA]]</f>
        <v>942</v>
      </c>
    </row>
    <row r="5812" spans="1:22" x14ac:dyDescent="0.3">
      <c r="A5812">
        <v>81359</v>
      </c>
      <c r="B5812">
        <v>1</v>
      </c>
      <c r="C5812" t="s">
        <v>103</v>
      </c>
      <c r="D5812" t="s">
        <v>104</v>
      </c>
      <c r="E5812" s="1">
        <v>44460</v>
      </c>
      <c r="F5812">
        <v>1</v>
      </c>
      <c r="G5812" t="s">
        <v>47</v>
      </c>
      <c r="H5812" t="s">
        <v>48</v>
      </c>
      <c r="I5812" s="3">
        <v>1591</v>
      </c>
      <c r="J5812" s="3">
        <v>1591</v>
      </c>
      <c r="K5812" s="3">
        <v>421</v>
      </c>
      <c r="L5812" t="s">
        <v>98</v>
      </c>
      <c r="M5812">
        <v>19</v>
      </c>
      <c r="N5812" t="s">
        <v>89</v>
      </c>
      <c r="O5812" t="s">
        <v>81</v>
      </c>
      <c r="P5812" t="s">
        <v>15</v>
      </c>
      <c r="Q5812" t="s">
        <v>16</v>
      </c>
      <c r="R5812" t="s">
        <v>16</v>
      </c>
      <c r="S5812" t="s">
        <v>144</v>
      </c>
      <c r="T5812" s="2">
        <f>MASTER[[#This Row],[CANTIDAD]]*MASTER[[#This Row],[PRECIO DE VENTA]]</f>
        <v>1591</v>
      </c>
      <c r="U5812" s="2">
        <f>MASTER[[#This Row],[CANTIDAD]]*MASTER[[#This Row],[COSTO UNITARIO]]</f>
        <v>421</v>
      </c>
      <c r="V5812" s="2">
        <f>MASTER[[#This Row],[MONTO VENDIDO]]-MASTER[[#This Row],[COSTO DE VENTA]]</f>
        <v>1170</v>
      </c>
    </row>
    <row r="5813" spans="1:22" x14ac:dyDescent="0.3">
      <c r="A5813">
        <v>81370</v>
      </c>
      <c r="B5813">
        <v>1</v>
      </c>
      <c r="C5813" t="s">
        <v>96</v>
      </c>
      <c r="D5813" t="s">
        <v>97</v>
      </c>
      <c r="E5813" s="1">
        <v>44460</v>
      </c>
      <c r="F5813">
        <v>1</v>
      </c>
      <c r="G5813" t="s">
        <v>53</v>
      </c>
      <c r="H5813" t="s">
        <v>54</v>
      </c>
      <c r="I5813" s="3">
        <v>1196</v>
      </c>
      <c r="J5813" s="3">
        <v>1196</v>
      </c>
      <c r="K5813" s="3">
        <v>397</v>
      </c>
      <c r="L5813" t="s">
        <v>98</v>
      </c>
      <c r="M5813">
        <v>11</v>
      </c>
      <c r="N5813" t="s">
        <v>10</v>
      </c>
      <c r="O5813" t="s">
        <v>11</v>
      </c>
      <c r="P5813" t="s">
        <v>12</v>
      </c>
      <c r="Q5813" t="s">
        <v>13</v>
      </c>
      <c r="R5813" t="s">
        <v>13</v>
      </c>
      <c r="S5813" t="s">
        <v>144</v>
      </c>
      <c r="T5813" s="2">
        <f>MASTER[[#This Row],[CANTIDAD]]*MASTER[[#This Row],[PRECIO DE VENTA]]</f>
        <v>1196</v>
      </c>
      <c r="U5813" s="2">
        <f>MASTER[[#This Row],[CANTIDAD]]*MASTER[[#This Row],[COSTO UNITARIO]]</f>
        <v>397</v>
      </c>
      <c r="V5813" s="2">
        <f>MASTER[[#This Row],[MONTO VENDIDO]]-MASTER[[#This Row],[COSTO DE VENTA]]</f>
        <v>799</v>
      </c>
    </row>
    <row r="5814" spans="1:22" x14ac:dyDescent="0.3">
      <c r="A5814">
        <v>81418</v>
      </c>
      <c r="B5814">
        <v>1</v>
      </c>
      <c r="C5814" t="s">
        <v>101</v>
      </c>
      <c r="D5814" t="s">
        <v>102</v>
      </c>
      <c r="E5814" s="1">
        <v>44460</v>
      </c>
      <c r="F5814">
        <v>1</v>
      </c>
      <c r="G5814" t="s">
        <v>20</v>
      </c>
      <c r="H5814" t="s">
        <v>21</v>
      </c>
      <c r="I5814" s="3">
        <v>1212</v>
      </c>
      <c r="J5814" s="3">
        <v>1212</v>
      </c>
      <c r="K5814" s="3">
        <v>442</v>
      </c>
      <c r="L5814" t="s">
        <v>98</v>
      </c>
      <c r="M5814">
        <v>8</v>
      </c>
      <c r="N5814" t="s">
        <v>80</v>
      </c>
      <c r="O5814" t="s">
        <v>81</v>
      </c>
      <c r="P5814" t="s">
        <v>12</v>
      </c>
      <c r="Q5814" t="s">
        <v>13</v>
      </c>
      <c r="R5814" t="s">
        <v>13</v>
      </c>
      <c r="S5814" t="s">
        <v>144</v>
      </c>
      <c r="T5814" s="2">
        <f>MASTER[[#This Row],[CANTIDAD]]*MASTER[[#This Row],[PRECIO DE VENTA]]</f>
        <v>1212</v>
      </c>
      <c r="U5814" s="2">
        <f>MASTER[[#This Row],[CANTIDAD]]*MASTER[[#This Row],[COSTO UNITARIO]]</f>
        <v>442</v>
      </c>
      <c r="V5814" s="2">
        <f>MASTER[[#This Row],[MONTO VENDIDO]]-MASTER[[#This Row],[COSTO DE VENTA]]</f>
        <v>770</v>
      </c>
    </row>
    <row r="5815" spans="1:22" x14ac:dyDescent="0.3">
      <c r="A5815">
        <v>81450</v>
      </c>
      <c r="B5815">
        <v>1</v>
      </c>
      <c r="C5815" t="s">
        <v>109</v>
      </c>
      <c r="D5815" t="s">
        <v>110</v>
      </c>
      <c r="E5815" s="1">
        <v>44460</v>
      </c>
      <c r="F5815">
        <v>1</v>
      </c>
      <c r="G5815" t="s">
        <v>67</v>
      </c>
      <c r="H5815" t="s">
        <v>68</v>
      </c>
      <c r="I5815" s="3">
        <v>947</v>
      </c>
      <c r="J5815" s="3">
        <v>947</v>
      </c>
      <c r="K5815" s="3">
        <v>387</v>
      </c>
      <c r="L5815" t="s">
        <v>98</v>
      </c>
      <c r="M5815">
        <v>11</v>
      </c>
      <c r="N5815" t="s">
        <v>10</v>
      </c>
      <c r="O5815" t="s">
        <v>11</v>
      </c>
      <c r="P5815" t="s">
        <v>12</v>
      </c>
      <c r="Q5815" t="s">
        <v>13</v>
      </c>
      <c r="R5815" t="s">
        <v>13</v>
      </c>
      <c r="S5815" t="s">
        <v>144</v>
      </c>
      <c r="T5815" s="2">
        <f>MASTER[[#This Row],[CANTIDAD]]*MASTER[[#This Row],[PRECIO DE VENTA]]</f>
        <v>947</v>
      </c>
      <c r="U5815" s="2">
        <f>MASTER[[#This Row],[CANTIDAD]]*MASTER[[#This Row],[COSTO UNITARIO]]</f>
        <v>387</v>
      </c>
      <c r="V5815" s="2">
        <f>MASTER[[#This Row],[MONTO VENDIDO]]-MASTER[[#This Row],[COSTO DE VENTA]]</f>
        <v>560</v>
      </c>
    </row>
    <row r="5816" spans="1:22" x14ac:dyDescent="0.3">
      <c r="A5816">
        <v>81459</v>
      </c>
      <c r="B5816">
        <v>1</v>
      </c>
      <c r="C5816" t="s">
        <v>114</v>
      </c>
      <c r="D5816" t="s">
        <v>115</v>
      </c>
      <c r="E5816" s="1">
        <v>44460</v>
      </c>
      <c r="F5816">
        <v>1</v>
      </c>
      <c r="G5816" t="s">
        <v>22</v>
      </c>
      <c r="H5816" t="s">
        <v>23</v>
      </c>
      <c r="I5816" s="3">
        <v>2030</v>
      </c>
      <c r="J5816" s="3">
        <v>2030</v>
      </c>
      <c r="K5816" s="3">
        <v>394</v>
      </c>
      <c r="L5816" t="s">
        <v>113</v>
      </c>
      <c r="M5816">
        <v>18</v>
      </c>
      <c r="N5816" t="s">
        <v>79</v>
      </c>
      <c r="O5816" t="s">
        <v>70</v>
      </c>
      <c r="P5816" t="s">
        <v>15</v>
      </c>
      <c r="Q5816" t="s">
        <v>16</v>
      </c>
      <c r="R5816" t="s">
        <v>16</v>
      </c>
      <c r="S5816" t="s">
        <v>144</v>
      </c>
      <c r="T5816" s="2">
        <f>MASTER[[#This Row],[CANTIDAD]]*MASTER[[#This Row],[PRECIO DE VENTA]]</f>
        <v>2030</v>
      </c>
      <c r="U5816" s="2">
        <f>MASTER[[#This Row],[CANTIDAD]]*MASTER[[#This Row],[COSTO UNITARIO]]</f>
        <v>394</v>
      </c>
      <c r="V5816" s="2">
        <f>MASTER[[#This Row],[MONTO VENDIDO]]-MASTER[[#This Row],[COSTO DE VENTA]]</f>
        <v>1636</v>
      </c>
    </row>
    <row r="5817" spans="1:22" x14ac:dyDescent="0.3">
      <c r="A5817">
        <v>81461</v>
      </c>
      <c r="B5817">
        <v>1</v>
      </c>
      <c r="C5817" t="s">
        <v>109</v>
      </c>
      <c r="D5817" t="s">
        <v>110</v>
      </c>
      <c r="E5817" s="1">
        <v>44461</v>
      </c>
      <c r="F5817">
        <v>1</v>
      </c>
      <c r="G5817" t="s">
        <v>22</v>
      </c>
      <c r="H5817" t="s">
        <v>23</v>
      </c>
      <c r="I5817" s="3">
        <v>1128</v>
      </c>
      <c r="J5817" s="3">
        <v>1128</v>
      </c>
      <c r="K5817" s="3">
        <v>387</v>
      </c>
      <c r="L5817" t="s">
        <v>98</v>
      </c>
      <c r="M5817">
        <v>3</v>
      </c>
      <c r="N5817" t="s">
        <v>69</v>
      </c>
      <c r="O5817" t="s">
        <v>70</v>
      </c>
      <c r="P5817" t="s">
        <v>71</v>
      </c>
      <c r="Q5817" t="s">
        <v>72</v>
      </c>
      <c r="R5817" t="s">
        <v>139</v>
      </c>
      <c r="S5817" t="s">
        <v>144</v>
      </c>
      <c r="T5817" s="2">
        <f>MASTER[[#This Row],[CANTIDAD]]*MASTER[[#This Row],[PRECIO DE VENTA]]</f>
        <v>1128</v>
      </c>
      <c r="U5817" s="2">
        <f>MASTER[[#This Row],[CANTIDAD]]*MASTER[[#This Row],[COSTO UNITARIO]]</f>
        <v>387</v>
      </c>
      <c r="V5817" s="2">
        <f>MASTER[[#This Row],[MONTO VENDIDO]]-MASTER[[#This Row],[COSTO DE VENTA]]</f>
        <v>741</v>
      </c>
    </row>
    <row r="5818" spans="1:22" x14ac:dyDescent="0.3">
      <c r="A5818">
        <v>81511</v>
      </c>
      <c r="B5818">
        <v>1</v>
      </c>
      <c r="C5818" t="s">
        <v>111</v>
      </c>
      <c r="D5818" t="s">
        <v>112</v>
      </c>
      <c r="E5818" s="1">
        <v>44461</v>
      </c>
      <c r="F5818">
        <v>1</v>
      </c>
      <c r="G5818" t="s">
        <v>49</v>
      </c>
      <c r="H5818" t="s">
        <v>50</v>
      </c>
      <c r="I5818" s="3">
        <v>1621</v>
      </c>
      <c r="J5818" s="3">
        <v>1621</v>
      </c>
      <c r="K5818" s="3">
        <v>434</v>
      </c>
      <c r="L5818" t="s">
        <v>113</v>
      </c>
      <c r="M5818">
        <v>7</v>
      </c>
      <c r="N5818" t="s">
        <v>84</v>
      </c>
      <c r="O5818" t="s">
        <v>81</v>
      </c>
      <c r="P5818" t="s">
        <v>12</v>
      </c>
      <c r="Q5818" t="s">
        <v>13</v>
      </c>
      <c r="R5818" t="s">
        <v>13</v>
      </c>
      <c r="S5818" t="s">
        <v>144</v>
      </c>
      <c r="T5818" s="2">
        <f>MASTER[[#This Row],[CANTIDAD]]*MASTER[[#This Row],[PRECIO DE VENTA]]</f>
        <v>1621</v>
      </c>
      <c r="U5818" s="2">
        <f>MASTER[[#This Row],[CANTIDAD]]*MASTER[[#This Row],[COSTO UNITARIO]]</f>
        <v>434</v>
      </c>
      <c r="V5818" s="2">
        <f>MASTER[[#This Row],[MONTO VENDIDO]]-MASTER[[#This Row],[COSTO DE VENTA]]</f>
        <v>1187</v>
      </c>
    </row>
    <row r="5819" spans="1:22" x14ac:dyDescent="0.3">
      <c r="A5819">
        <v>81517</v>
      </c>
      <c r="B5819">
        <v>1</v>
      </c>
      <c r="C5819" t="s">
        <v>121</v>
      </c>
      <c r="D5819" t="s">
        <v>122</v>
      </c>
      <c r="E5819" s="1">
        <v>44461</v>
      </c>
      <c r="F5819">
        <v>1</v>
      </c>
      <c r="G5819" t="s">
        <v>47</v>
      </c>
      <c r="H5819" t="s">
        <v>48</v>
      </c>
      <c r="I5819" s="3">
        <v>1144</v>
      </c>
      <c r="J5819" s="3">
        <v>1144</v>
      </c>
      <c r="K5819" s="3">
        <v>460</v>
      </c>
      <c r="L5819" t="s">
        <v>120</v>
      </c>
      <c r="M5819">
        <v>1</v>
      </c>
      <c r="N5819" t="s">
        <v>77</v>
      </c>
      <c r="O5819" t="s">
        <v>70</v>
      </c>
      <c r="P5819" t="s">
        <v>71</v>
      </c>
      <c r="Q5819" t="s">
        <v>72</v>
      </c>
      <c r="R5819" t="s">
        <v>139</v>
      </c>
      <c r="S5819" t="s">
        <v>144</v>
      </c>
      <c r="T5819" s="2">
        <f>MASTER[[#This Row],[CANTIDAD]]*MASTER[[#This Row],[PRECIO DE VENTA]]</f>
        <v>1144</v>
      </c>
      <c r="U5819" s="2">
        <f>MASTER[[#This Row],[CANTIDAD]]*MASTER[[#This Row],[COSTO UNITARIO]]</f>
        <v>460</v>
      </c>
      <c r="V5819" s="2">
        <f>MASTER[[#This Row],[MONTO VENDIDO]]-MASTER[[#This Row],[COSTO DE VENTA]]</f>
        <v>684</v>
      </c>
    </row>
    <row r="5820" spans="1:22" x14ac:dyDescent="0.3">
      <c r="A5820">
        <v>81520</v>
      </c>
      <c r="B5820">
        <v>1</v>
      </c>
      <c r="C5820" t="s">
        <v>101</v>
      </c>
      <c r="D5820" t="s">
        <v>102</v>
      </c>
      <c r="E5820" s="1">
        <v>44461</v>
      </c>
      <c r="F5820">
        <v>1</v>
      </c>
      <c r="G5820" t="s">
        <v>43</v>
      </c>
      <c r="H5820" t="s">
        <v>44</v>
      </c>
      <c r="I5820" s="3">
        <v>1357</v>
      </c>
      <c r="J5820" s="3">
        <v>1357</v>
      </c>
      <c r="K5820" s="3">
        <v>442</v>
      </c>
      <c r="L5820" t="s">
        <v>98</v>
      </c>
      <c r="M5820">
        <v>3</v>
      </c>
      <c r="N5820" t="s">
        <v>69</v>
      </c>
      <c r="O5820" t="s">
        <v>70</v>
      </c>
      <c r="P5820" t="s">
        <v>71</v>
      </c>
      <c r="Q5820" t="s">
        <v>72</v>
      </c>
      <c r="R5820" t="s">
        <v>139</v>
      </c>
      <c r="S5820" t="s">
        <v>144</v>
      </c>
      <c r="T5820" s="2">
        <f>MASTER[[#This Row],[CANTIDAD]]*MASTER[[#This Row],[PRECIO DE VENTA]]</f>
        <v>1357</v>
      </c>
      <c r="U5820" s="2">
        <f>MASTER[[#This Row],[CANTIDAD]]*MASTER[[#This Row],[COSTO UNITARIO]]</f>
        <v>442</v>
      </c>
      <c r="V5820" s="2">
        <f>MASTER[[#This Row],[MONTO VENDIDO]]-MASTER[[#This Row],[COSTO DE VENTA]]</f>
        <v>915</v>
      </c>
    </row>
    <row r="5821" spans="1:22" x14ac:dyDescent="0.3">
      <c r="A5821">
        <v>81536</v>
      </c>
      <c r="B5821">
        <v>1</v>
      </c>
      <c r="C5821" t="s">
        <v>92</v>
      </c>
      <c r="D5821" t="s">
        <v>93</v>
      </c>
      <c r="E5821" s="1">
        <v>44461</v>
      </c>
      <c r="F5821">
        <v>1</v>
      </c>
      <c r="G5821" t="s">
        <v>27</v>
      </c>
      <c r="H5821" t="s">
        <v>28</v>
      </c>
      <c r="I5821" s="3">
        <v>1681</v>
      </c>
      <c r="J5821" s="3">
        <v>1681</v>
      </c>
      <c r="K5821" s="3">
        <v>396</v>
      </c>
      <c r="L5821" t="s">
        <v>9</v>
      </c>
      <c r="M5821">
        <v>19</v>
      </c>
      <c r="N5821" t="s">
        <v>89</v>
      </c>
      <c r="O5821" t="s">
        <v>81</v>
      </c>
      <c r="P5821" t="s">
        <v>15</v>
      </c>
      <c r="Q5821" t="s">
        <v>16</v>
      </c>
      <c r="R5821" t="s">
        <v>16</v>
      </c>
      <c r="S5821" t="s">
        <v>144</v>
      </c>
      <c r="T5821" s="2">
        <f>MASTER[[#This Row],[CANTIDAD]]*MASTER[[#This Row],[PRECIO DE VENTA]]</f>
        <v>1681</v>
      </c>
      <c r="U5821" s="2">
        <f>MASTER[[#This Row],[CANTIDAD]]*MASTER[[#This Row],[COSTO UNITARIO]]</f>
        <v>396</v>
      </c>
      <c r="V5821" s="2">
        <f>MASTER[[#This Row],[MONTO VENDIDO]]-MASTER[[#This Row],[COSTO DE VENTA]]</f>
        <v>1285</v>
      </c>
    </row>
    <row r="5822" spans="1:22" x14ac:dyDescent="0.3">
      <c r="A5822">
        <v>81544</v>
      </c>
      <c r="B5822">
        <v>1</v>
      </c>
      <c r="C5822" t="s">
        <v>5</v>
      </c>
      <c r="D5822" t="s">
        <v>6</v>
      </c>
      <c r="E5822" s="1">
        <v>44461</v>
      </c>
      <c r="F5822">
        <v>1</v>
      </c>
      <c r="G5822" t="s">
        <v>24</v>
      </c>
      <c r="H5822" t="s">
        <v>25</v>
      </c>
      <c r="I5822" s="3">
        <v>1296</v>
      </c>
      <c r="J5822" s="3">
        <v>1296</v>
      </c>
      <c r="K5822" s="3">
        <v>393</v>
      </c>
      <c r="L5822" t="s">
        <v>9</v>
      </c>
      <c r="M5822">
        <v>9</v>
      </c>
      <c r="N5822" t="s">
        <v>76</v>
      </c>
      <c r="O5822" t="s">
        <v>70</v>
      </c>
      <c r="P5822" t="s">
        <v>12</v>
      </c>
      <c r="Q5822" t="s">
        <v>13</v>
      </c>
      <c r="R5822" t="s">
        <v>13</v>
      </c>
      <c r="S5822" t="s">
        <v>144</v>
      </c>
      <c r="T5822" s="2">
        <f>MASTER[[#This Row],[CANTIDAD]]*MASTER[[#This Row],[PRECIO DE VENTA]]</f>
        <v>1296</v>
      </c>
      <c r="U5822" s="2">
        <f>MASTER[[#This Row],[CANTIDAD]]*MASTER[[#This Row],[COSTO UNITARIO]]</f>
        <v>393</v>
      </c>
      <c r="V5822" s="2">
        <f>MASTER[[#This Row],[MONTO VENDIDO]]-MASTER[[#This Row],[COSTO DE VENTA]]</f>
        <v>903</v>
      </c>
    </row>
    <row r="5823" spans="1:22" x14ac:dyDescent="0.3">
      <c r="A5823">
        <v>81564</v>
      </c>
      <c r="B5823">
        <v>1</v>
      </c>
      <c r="C5823" t="s">
        <v>121</v>
      </c>
      <c r="D5823" t="s">
        <v>122</v>
      </c>
      <c r="E5823" s="1">
        <v>44461</v>
      </c>
      <c r="F5823">
        <v>1</v>
      </c>
      <c r="G5823" t="s">
        <v>43</v>
      </c>
      <c r="H5823" t="s">
        <v>44</v>
      </c>
      <c r="I5823" s="3">
        <v>1144</v>
      </c>
      <c r="J5823" s="3">
        <v>1144</v>
      </c>
      <c r="K5823" s="3">
        <v>460</v>
      </c>
      <c r="L5823" t="s">
        <v>120</v>
      </c>
      <c r="M5823">
        <v>6</v>
      </c>
      <c r="N5823" t="s">
        <v>75</v>
      </c>
      <c r="O5823" t="s">
        <v>70</v>
      </c>
      <c r="P5823" t="s">
        <v>12</v>
      </c>
      <c r="Q5823" t="s">
        <v>13</v>
      </c>
      <c r="R5823" t="s">
        <v>13</v>
      </c>
      <c r="S5823" t="s">
        <v>144</v>
      </c>
      <c r="T5823" s="2">
        <f>MASTER[[#This Row],[CANTIDAD]]*MASTER[[#This Row],[PRECIO DE VENTA]]</f>
        <v>1144</v>
      </c>
      <c r="U5823" s="2">
        <f>MASTER[[#This Row],[CANTIDAD]]*MASTER[[#This Row],[COSTO UNITARIO]]</f>
        <v>460</v>
      </c>
      <c r="V5823" s="2">
        <f>MASTER[[#This Row],[MONTO VENDIDO]]-MASTER[[#This Row],[COSTO DE VENTA]]</f>
        <v>684</v>
      </c>
    </row>
    <row r="5824" spans="1:22" x14ac:dyDescent="0.3">
      <c r="A5824">
        <v>81573</v>
      </c>
      <c r="B5824">
        <v>1</v>
      </c>
      <c r="C5824" t="s">
        <v>116</v>
      </c>
      <c r="D5824" t="s">
        <v>117</v>
      </c>
      <c r="E5824" s="1">
        <v>44461</v>
      </c>
      <c r="F5824">
        <v>1</v>
      </c>
      <c r="G5824" t="s">
        <v>37</v>
      </c>
      <c r="H5824" t="s">
        <v>38</v>
      </c>
      <c r="I5824" s="3">
        <v>1738</v>
      </c>
      <c r="J5824" s="3">
        <v>1738</v>
      </c>
      <c r="K5824" s="3">
        <v>388</v>
      </c>
      <c r="L5824" t="s">
        <v>113</v>
      </c>
      <c r="M5824">
        <v>19</v>
      </c>
      <c r="N5824" t="s">
        <v>89</v>
      </c>
      <c r="O5824" t="s">
        <v>81</v>
      </c>
      <c r="P5824" t="s">
        <v>15</v>
      </c>
      <c r="Q5824" t="s">
        <v>16</v>
      </c>
      <c r="R5824" t="s">
        <v>16</v>
      </c>
      <c r="S5824" t="s">
        <v>144</v>
      </c>
      <c r="T5824" s="2">
        <f>MASTER[[#This Row],[CANTIDAD]]*MASTER[[#This Row],[PRECIO DE VENTA]]</f>
        <v>1738</v>
      </c>
      <c r="U5824" s="2">
        <f>MASTER[[#This Row],[CANTIDAD]]*MASTER[[#This Row],[COSTO UNITARIO]]</f>
        <v>388</v>
      </c>
      <c r="V5824" s="2">
        <f>MASTER[[#This Row],[MONTO VENDIDO]]-MASTER[[#This Row],[COSTO DE VENTA]]</f>
        <v>1350</v>
      </c>
    </row>
    <row r="5825" spans="1:22" x14ac:dyDescent="0.3">
      <c r="A5825">
        <v>81576</v>
      </c>
      <c r="B5825">
        <v>1</v>
      </c>
      <c r="C5825" t="s">
        <v>114</v>
      </c>
      <c r="D5825" t="s">
        <v>115</v>
      </c>
      <c r="E5825" s="1">
        <v>44461</v>
      </c>
      <c r="F5825">
        <v>1</v>
      </c>
      <c r="G5825" t="s">
        <v>7</v>
      </c>
      <c r="H5825" t="s">
        <v>8</v>
      </c>
      <c r="I5825" s="3">
        <v>1583</v>
      </c>
      <c r="J5825" s="3">
        <v>1583</v>
      </c>
      <c r="K5825" s="3">
        <v>394</v>
      </c>
      <c r="L5825" t="s">
        <v>113</v>
      </c>
      <c r="M5825">
        <v>11</v>
      </c>
      <c r="N5825" t="s">
        <v>10</v>
      </c>
      <c r="O5825" t="s">
        <v>11</v>
      </c>
      <c r="P5825" t="s">
        <v>12</v>
      </c>
      <c r="Q5825" t="s">
        <v>13</v>
      </c>
      <c r="R5825" t="s">
        <v>13</v>
      </c>
      <c r="S5825" t="s">
        <v>144</v>
      </c>
      <c r="T5825" s="2">
        <f>MASTER[[#This Row],[CANTIDAD]]*MASTER[[#This Row],[PRECIO DE VENTA]]</f>
        <v>1583</v>
      </c>
      <c r="U5825" s="2">
        <f>MASTER[[#This Row],[CANTIDAD]]*MASTER[[#This Row],[COSTO UNITARIO]]</f>
        <v>394</v>
      </c>
      <c r="V5825" s="2">
        <f>MASTER[[#This Row],[MONTO VENDIDO]]-MASTER[[#This Row],[COSTO DE VENTA]]</f>
        <v>1189</v>
      </c>
    </row>
    <row r="5826" spans="1:22" x14ac:dyDescent="0.3">
      <c r="A5826">
        <v>81577</v>
      </c>
      <c r="B5826">
        <v>1</v>
      </c>
      <c r="C5826" t="s">
        <v>5</v>
      </c>
      <c r="D5826" t="s">
        <v>6</v>
      </c>
      <c r="E5826" s="1">
        <v>44461</v>
      </c>
      <c r="F5826">
        <v>1</v>
      </c>
      <c r="G5826" t="s">
        <v>49</v>
      </c>
      <c r="H5826" t="s">
        <v>50</v>
      </c>
      <c r="I5826" s="3">
        <v>1507</v>
      </c>
      <c r="J5826" s="3">
        <v>1507</v>
      </c>
      <c r="K5826" s="3">
        <v>393</v>
      </c>
      <c r="L5826" t="s">
        <v>9</v>
      </c>
      <c r="M5826">
        <v>15</v>
      </c>
      <c r="N5826" t="s">
        <v>88</v>
      </c>
      <c r="O5826" t="s">
        <v>81</v>
      </c>
      <c r="P5826" t="s">
        <v>18</v>
      </c>
      <c r="Q5826" t="s">
        <v>19</v>
      </c>
      <c r="R5826" t="s">
        <v>138</v>
      </c>
      <c r="S5826" t="s">
        <v>144</v>
      </c>
      <c r="T5826" s="2">
        <f>MASTER[[#This Row],[CANTIDAD]]*MASTER[[#This Row],[PRECIO DE VENTA]]</f>
        <v>1507</v>
      </c>
      <c r="U5826" s="2">
        <f>MASTER[[#This Row],[CANTIDAD]]*MASTER[[#This Row],[COSTO UNITARIO]]</f>
        <v>393</v>
      </c>
      <c r="V5826" s="2">
        <f>MASTER[[#This Row],[MONTO VENDIDO]]-MASTER[[#This Row],[COSTO DE VENTA]]</f>
        <v>1114</v>
      </c>
    </row>
    <row r="5827" spans="1:22" x14ac:dyDescent="0.3">
      <c r="A5827">
        <v>81578</v>
      </c>
      <c r="B5827">
        <v>1</v>
      </c>
      <c r="C5827" t="s">
        <v>105</v>
      </c>
      <c r="D5827" t="s">
        <v>106</v>
      </c>
      <c r="E5827" s="1">
        <v>44461</v>
      </c>
      <c r="F5827">
        <v>1</v>
      </c>
      <c r="G5827" t="s">
        <v>24</v>
      </c>
      <c r="H5827" t="s">
        <v>25</v>
      </c>
      <c r="I5827" s="3">
        <v>1585</v>
      </c>
      <c r="J5827" s="3">
        <v>1585</v>
      </c>
      <c r="K5827" s="3">
        <v>459</v>
      </c>
      <c r="L5827" t="s">
        <v>98</v>
      </c>
      <c r="M5827">
        <v>16</v>
      </c>
      <c r="N5827" t="s">
        <v>17</v>
      </c>
      <c r="O5827" t="s">
        <v>11</v>
      </c>
      <c r="P5827" t="s">
        <v>18</v>
      </c>
      <c r="Q5827" t="s">
        <v>19</v>
      </c>
      <c r="R5827" t="s">
        <v>138</v>
      </c>
      <c r="S5827" t="s">
        <v>144</v>
      </c>
      <c r="T5827" s="2">
        <f>MASTER[[#This Row],[CANTIDAD]]*MASTER[[#This Row],[PRECIO DE VENTA]]</f>
        <v>1585</v>
      </c>
      <c r="U5827" s="2">
        <f>MASTER[[#This Row],[CANTIDAD]]*MASTER[[#This Row],[COSTO UNITARIO]]</f>
        <v>459</v>
      </c>
      <c r="V5827" s="2">
        <f>MASTER[[#This Row],[MONTO VENDIDO]]-MASTER[[#This Row],[COSTO DE VENTA]]</f>
        <v>1126</v>
      </c>
    </row>
    <row r="5828" spans="1:22" x14ac:dyDescent="0.3">
      <c r="A5828">
        <v>81589</v>
      </c>
      <c r="B5828">
        <v>1</v>
      </c>
      <c r="C5828" t="s">
        <v>114</v>
      </c>
      <c r="D5828" t="s">
        <v>115</v>
      </c>
      <c r="E5828" s="1">
        <v>44461</v>
      </c>
      <c r="F5828">
        <v>1</v>
      </c>
      <c r="G5828" t="s">
        <v>39</v>
      </c>
      <c r="H5828" t="s">
        <v>40</v>
      </c>
      <c r="I5828" s="3">
        <v>1583</v>
      </c>
      <c r="J5828" s="3">
        <v>1583</v>
      </c>
      <c r="K5828" s="3">
        <v>394</v>
      </c>
      <c r="L5828" t="s">
        <v>113</v>
      </c>
      <c r="M5828">
        <v>17</v>
      </c>
      <c r="N5828" t="s">
        <v>14</v>
      </c>
      <c r="O5828" t="s">
        <v>11</v>
      </c>
      <c r="P5828" t="s">
        <v>15</v>
      </c>
      <c r="Q5828" t="s">
        <v>16</v>
      </c>
      <c r="R5828" t="s">
        <v>16</v>
      </c>
      <c r="S5828" t="s">
        <v>144</v>
      </c>
      <c r="T5828" s="2">
        <f>MASTER[[#This Row],[CANTIDAD]]*MASTER[[#This Row],[PRECIO DE VENTA]]</f>
        <v>1583</v>
      </c>
      <c r="U5828" s="2">
        <f>MASTER[[#This Row],[CANTIDAD]]*MASTER[[#This Row],[COSTO UNITARIO]]</f>
        <v>394</v>
      </c>
      <c r="V5828" s="2">
        <f>MASTER[[#This Row],[MONTO VENDIDO]]-MASTER[[#This Row],[COSTO DE VENTA]]</f>
        <v>1189</v>
      </c>
    </row>
    <row r="5829" spans="1:22" x14ac:dyDescent="0.3">
      <c r="A5829">
        <v>81606</v>
      </c>
      <c r="B5829">
        <v>1</v>
      </c>
      <c r="C5829" t="s">
        <v>105</v>
      </c>
      <c r="D5829" t="s">
        <v>106</v>
      </c>
      <c r="E5829" s="1">
        <v>44462</v>
      </c>
      <c r="F5829">
        <v>1</v>
      </c>
      <c r="G5829" t="s">
        <v>65</v>
      </c>
      <c r="H5829" t="s">
        <v>66</v>
      </c>
      <c r="I5829" s="3">
        <v>2033</v>
      </c>
      <c r="J5829" s="3">
        <v>1931</v>
      </c>
      <c r="K5829" s="3">
        <v>459</v>
      </c>
      <c r="L5829" t="s">
        <v>98</v>
      </c>
      <c r="M5829">
        <v>18</v>
      </c>
      <c r="N5829" t="s">
        <v>79</v>
      </c>
      <c r="O5829" t="s">
        <v>70</v>
      </c>
      <c r="P5829" t="s">
        <v>15</v>
      </c>
      <c r="Q5829" t="s">
        <v>16</v>
      </c>
      <c r="R5829" t="s">
        <v>16</v>
      </c>
      <c r="S5829" t="s">
        <v>144</v>
      </c>
      <c r="T5829" s="2">
        <f>MASTER[[#This Row],[CANTIDAD]]*MASTER[[#This Row],[PRECIO DE VENTA]]</f>
        <v>1931</v>
      </c>
      <c r="U5829" s="2">
        <f>MASTER[[#This Row],[CANTIDAD]]*MASTER[[#This Row],[COSTO UNITARIO]]</f>
        <v>459</v>
      </c>
      <c r="V5829" s="2">
        <f>MASTER[[#This Row],[MONTO VENDIDO]]-MASTER[[#This Row],[COSTO DE VENTA]]</f>
        <v>1472</v>
      </c>
    </row>
    <row r="5830" spans="1:22" x14ac:dyDescent="0.3">
      <c r="A5830">
        <v>81615</v>
      </c>
      <c r="B5830">
        <v>1</v>
      </c>
      <c r="C5830" t="s">
        <v>96</v>
      </c>
      <c r="D5830" t="s">
        <v>97</v>
      </c>
      <c r="E5830" s="1">
        <v>44462</v>
      </c>
      <c r="F5830">
        <v>3</v>
      </c>
      <c r="G5830" t="s">
        <v>67</v>
      </c>
      <c r="H5830" t="s">
        <v>68</v>
      </c>
      <c r="I5830" s="3">
        <v>1196</v>
      </c>
      <c r="J5830" s="3">
        <v>1196</v>
      </c>
      <c r="K5830" s="3">
        <v>397</v>
      </c>
      <c r="L5830" t="s">
        <v>98</v>
      </c>
      <c r="M5830">
        <v>12</v>
      </c>
      <c r="N5830" t="s">
        <v>26</v>
      </c>
      <c r="O5830" t="s">
        <v>11</v>
      </c>
      <c r="P5830" t="s">
        <v>12</v>
      </c>
      <c r="Q5830" t="s">
        <v>13</v>
      </c>
      <c r="R5830" t="s">
        <v>13</v>
      </c>
      <c r="S5830" t="s">
        <v>144</v>
      </c>
      <c r="T5830" s="2">
        <f>MASTER[[#This Row],[CANTIDAD]]*MASTER[[#This Row],[PRECIO DE VENTA]]</f>
        <v>3588</v>
      </c>
      <c r="U5830" s="2">
        <f>MASTER[[#This Row],[CANTIDAD]]*MASTER[[#This Row],[COSTO UNITARIO]]</f>
        <v>1191</v>
      </c>
      <c r="V5830" s="2">
        <f>MASTER[[#This Row],[MONTO VENDIDO]]-MASTER[[#This Row],[COSTO DE VENTA]]</f>
        <v>2397</v>
      </c>
    </row>
    <row r="5831" spans="1:22" x14ac:dyDescent="0.3">
      <c r="A5831">
        <v>81626</v>
      </c>
      <c r="B5831">
        <v>1</v>
      </c>
      <c r="C5831" t="s">
        <v>94</v>
      </c>
      <c r="D5831" t="s">
        <v>95</v>
      </c>
      <c r="E5831" s="1">
        <v>44462</v>
      </c>
      <c r="F5831">
        <v>1</v>
      </c>
      <c r="G5831" t="s">
        <v>41</v>
      </c>
      <c r="H5831" t="s">
        <v>42</v>
      </c>
      <c r="I5831" s="3">
        <v>1048</v>
      </c>
      <c r="J5831" s="3">
        <v>1048</v>
      </c>
      <c r="K5831" s="3">
        <v>392</v>
      </c>
      <c r="L5831" t="s">
        <v>9</v>
      </c>
      <c r="M5831">
        <v>10</v>
      </c>
      <c r="N5831" t="s">
        <v>83</v>
      </c>
      <c r="O5831" t="s">
        <v>81</v>
      </c>
      <c r="P5831" t="s">
        <v>12</v>
      </c>
      <c r="Q5831" t="s">
        <v>13</v>
      </c>
      <c r="R5831" t="s">
        <v>13</v>
      </c>
      <c r="S5831" t="s">
        <v>144</v>
      </c>
      <c r="T5831" s="2">
        <f>MASTER[[#This Row],[CANTIDAD]]*MASTER[[#This Row],[PRECIO DE VENTA]]</f>
        <v>1048</v>
      </c>
      <c r="U5831" s="2">
        <f>MASTER[[#This Row],[CANTIDAD]]*MASTER[[#This Row],[COSTO UNITARIO]]</f>
        <v>392</v>
      </c>
      <c r="V5831" s="2">
        <f>MASTER[[#This Row],[MONTO VENDIDO]]-MASTER[[#This Row],[COSTO DE VENTA]]</f>
        <v>656</v>
      </c>
    </row>
    <row r="5832" spans="1:22" x14ac:dyDescent="0.3">
      <c r="A5832">
        <v>81631</v>
      </c>
      <c r="B5832">
        <v>1</v>
      </c>
      <c r="C5832" t="s">
        <v>5</v>
      </c>
      <c r="D5832" t="s">
        <v>6</v>
      </c>
      <c r="E5832" s="1">
        <v>44462</v>
      </c>
      <c r="F5832">
        <v>1</v>
      </c>
      <c r="G5832" t="s">
        <v>45</v>
      </c>
      <c r="H5832" t="s">
        <v>46</v>
      </c>
      <c r="I5832" s="3">
        <v>1507</v>
      </c>
      <c r="J5832" s="3">
        <v>1507</v>
      </c>
      <c r="K5832" s="3">
        <v>393</v>
      </c>
      <c r="L5832" t="s">
        <v>9</v>
      </c>
      <c r="M5832">
        <v>14</v>
      </c>
      <c r="N5832" t="s">
        <v>87</v>
      </c>
      <c r="O5832" t="s">
        <v>81</v>
      </c>
      <c r="P5832" t="s">
        <v>18</v>
      </c>
      <c r="Q5832" t="s">
        <v>19</v>
      </c>
      <c r="R5832" t="s">
        <v>138</v>
      </c>
      <c r="S5832" t="s">
        <v>144</v>
      </c>
      <c r="T5832" s="2">
        <f>MASTER[[#This Row],[CANTIDAD]]*MASTER[[#This Row],[PRECIO DE VENTA]]</f>
        <v>1507</v>
      </c>
      <c r="U5832" s="2">
        <f>MASTER[[#This Row],[CANTIDAD]]*MASTER[[#This Row],[COSTO UNITARIO]]</f>
        <v>393</v>
      </c>
      <c r="V5832" s="2">
        <f>MASTER[[#This Row],[MONTO VENDIDO]]-MASTER[[#This Row],[COSTO DE VENTA]]</f>
        <v>1114</v>
      </c>
    </row>
    <row r="5833" spans="1:22" x14ac:dyDescent="0.3">
      <c r="A5833">
        <v>81638</v>
      </c>
      <c r="B5833">
        <v>1</v>
      </c>
      <c r="C5833" t="s">
        <v>105</v>
      </c>
      <c r="D5833" t="s">
        <v>106</v>
      </c>
      <c r="E5833" s="1">
        <v>44462</v>
      </c>
      <c r="F5833">
        <v>4</v>
      </c>
      <c r="G5833" t="s">
        <v>39</v>
      </c>
      <c r="H5833" t="s">
        <v>40</v>
      </c>
      <c r="I5833" s="3">
        <v>1865</v>
      </c>
      <c r="J5833" s="3">
        <v>1865</v>
      </c>
      <c r="K5833" s="3">
        <v>459</v>
      </c>
      <c r="L5833" t="s">
        <v>98</v>
      </c>
      <c r="M5833">
        <v>10</v>
      </c>
      <c r="N5833" t="s">
        <v>83</v>
      </c>
      <c r="O5833" t="s">
        <v>81</v>
      </c>
      <c r="P5833" t="s">
        <v>12</v>
      </c>
      <c r="Q5833" t="s">
        <v>13</v>
      </c>
      <c r="R5833" t="s">
        <v>13</v>
      </c>
      <c r="S5833" t="s">
        <v>144</v>
      </c>
      <c r="T5833" s="2">
        <f>MASTER[[#This Row],[CANTIDAD]]*MASTER[[#This Row],[PRECIO DE VENTA]]</f>
        <v>7460</v>
      </c>
      <c r="U5833" s="2">
        <f>MASTER[[#This Row],[CANTIDAD]]*MASTER[[#This Row],[COSTO UNITARIO]]</f>
        <v>1836</v>
      </c>
      <c r="V5833" s="2">
        <f>MASTER[[#This Row],[MONTO VENDIDO]]-MASTER[[#This Row],[COSTO DE VENTA]]</f>
        <v>5624</v>
      </c>
    </row>
    <row r="5834" spans="1:22" x14ac:dyDescent="0.3">
      <c r="A5834">
        <v>81639</v>
      </c>
      <c r="B5834">
        <v>1</v>
      </c>
      <c r="C5834" t="s">
        <v>105</v>
      </c>
      <c r="D5834" t="s">
        <v>106</v>
      </c>
      <c r="E5834" s="1">
        <v>44462</v>
      </c>
      <c r="F5834">
        <v>1</v>
      </c>
      <c r="G5834" t="s">
        <v>43</v>
      </c>
      <c r="H5834" t="s">
        <v>44</v>
      </c>
      <c r="I5834" s="3">
        <v>1865</v>
      </c>
      <c r="J5834" s="3">
        <v>1865</v>
      </c>
      <c r="K5834" s="3">
        <v>459</v>
      </c>
      <c r="L5834" t="s">
        <v>98</v>
      </c>
      <c r="M5834">
        <v>5</v>
      </c>
      <c r="N5834" t="s">
        <v>85</v>
      </c>
      <c r="O5834" t="s">
        <v>81</v>
      </c>
      <c r="P5834" t="s">
        <v>12</v>
      </c>
      <c r="Q5834" t="s">
        <v>13</v>
      </c>
      <c r="R5834" t="s">
        <v>13</v>
      </c>
      <c r="S5834" t="s">
        <v>144</v>
      </c>
      <c r="T5834" s="2">
        <f>MASTER[[#This Row],[CANTIDAD]]*MASTER[[#This Row],[PRECIO DE VENTA]]</f>
        <v>1865</v>
      </c>
      <c r="U5834" s="2">
        <f>MASTER[[#This Row],[CANTIDAD]]*MASTER[[#This Row],[COSTO UNITARIO]]</f>
        <v>459</v>
      </c>
      <c r="V5834" s="2">
        <f>MASTER[[#This Row],[MONTO VENDIDO]]-MASTER[[#This Row],[COSTO DE VENTA]]</f>
        <v>1406</v>
      </c>
    </row>
    <row r="5835" spans="1:22" x14ac:dyDescent="0.3">
      <c r="A5835">
        <v>81640</v>
      </c>
      <c r="B5835">
        <v>1</v>
      </c>
      <c r="C5835" t="s">
        <v>111</v>
      </c>
      <c r="D5835" t="s">
        <v>112</v>
      </c>
      <c r="E5835" s="1">
        <v>44462</v>
      </c>
      <c r="F5835">
        <v>1</v>
      </c>
      <c r="G5835" t="s">
        <v>7</v>
      </c>
      <c r="H5835" t="s">
        <v>8</v>
      </c>
      <c r="I5835" s="3">
        <v>1799</v>
      </c>
      <c r="J5835" s="3">
        <v>1799</v>
      </c>
      <c r="K5835" s="3">
        <v>434</v>
      </c>
      <c r="L5835" t="s">
        <v>113</v>
      </c>
      <c r="M5835">
        <v>6</v>
      </c>
      <c r="N5835" t="s">
        <v>75</v>
      </c>
      <c r="O5835" t="s">
        <v>70</v>
      </c>
      <c r="P5835" t="s">
        <v>12</v>
      </c>
      <c r="Q5835" t="s">
        <v>13</v>
      </c>
      <c r="R5835" t="s">
        <v>13</v>
      </c>
      <c r="S5835" t="s">
        <v>144</v>
      </c>
      <c r="T5835" s="2">
        <f>MASTER[[#This Row],[CANTIDAD]]*MASTER[[#This Row],[PRECIO DE VENTA]]</f>
        <v>1799</v>
      </c>
      <c r="U5835" s="2">
        <f>MASTER[[#This Row],[CANTIDAD]]*MASTER[[#This Row],[COSTO UNITARIO]]</f>
        <v>434</v>
      </c>
      <c r="V5835" s="2">
        <f>MASTER[[#This Row],[MONTO VENDIDO]]-MASTER[[#This Row],[COSTO DE VENTA]]</f>
        <v>1365</v>
      </c>
    </row>
    <row r="5836" spans="1:22" x14ac:dyDescent="0.3">
      <c r="A5836">
        <v>81642</v>
      </c>
      <c r="B5836">
        <v>1</v>
      </c>
      <c r="C5836" t="s">
        <v>103</v>
      </c>
      <c r="D5836" t="s">
        <v>104</v>
      </c>
      <c r="E5836" s="1">
        <v>44462</v>
      </c>
      <c r="F5836">
        <v>2</v>
      </c>
      <c r="G5836" t="s">
        <v>20</v>
      </c>
      <c r="H5836" t="s">
        <v>21</v>
      </c>
      <c r="I5836" s="3">
        <v>1591</v>
      </c>
      <c r="J5836" s="3">
        <v>1591</v>
      </c>
      <c r="K5836" s="3">
        <v>421</v>
      </c>
      <c r="L5836" t="s">
        <v>98</v>
      </c>
      <c r="M5836">
        <v>19</v>
      </c>
      <c r="N5836" t="s">
        <v>89</v>
      </c>
      <c r="O5836" t="s">
        <v>81</v>
      </c>
      <c r="P5836" t="s">
        <v>15</v>
      </c>
      <c r="Q5836" t="s">
        <v>16</v>
      </c>
      <c r="R5836" t="s">
        <v>16</v>
      </c>
      <c r="S5836" t="s">
        <v>144</v>
      </c>
      <c r="T5836" s="2">
        <f>MASTER[[#This Row],[CANTIDAD]]*MASTER[[#This Row],[PRECIO DE VENTA]]</f>
        <v>3182</v>
      </c>
      <c r="U5836" s="2">
        <f>MASTER[[#This Row],[CANTIDAD]]*MASTER[[#This Row],[COSTO UNITARIO]]</f>
        <v>842</v>
      </c>
      <c r="V5836" s="2">
        <f>MASTER[[#This Row],[MONTO VENDIDO]]-MASTER[[#This Row],[COSTO DE VENTA]]</f>
        <v>2340</v>
      </c>
    </row>
    <row r="5837" spans="1:22" x14ac:dyDescent="0.3">
      <c r="A5837">
        <v>81659</v>
      </c>
      <c r="B5837">
        <v>1</v>
      </c>
      <c r="C5837" t="s">
        <v>103</v>
      </c>
      <c r="D5837" t="s">
        <v>104</v>
      </c>
      <c r="E5837" s="1">
        <v>44462</v>
      </c>
      <c r="F5837">
        <v>1</v>
      </c>
      <c r="G5837" t="s">
        <v>59</v>
      </c>
      <c r="H5837" t="s">
        <v>60</v>
      </c>
      <c r="I5837" s="3">
        <v>1830</v>
      </c>
      <c r="J5837" s="3">
        <v>1830</v>
      </c>
      <c r="K5837" s="3">
        <v>421</v>
      </c>
      <c r="L5837" t="s">
        <v>98</v>
      </c>
      <c r="M5837">
        <v>13</v>
      </c>
      <c r="N5837" t="s">
        <v>78</v>
      </c>
      <c r="O5837" t="s">
        <v>70</v>
      </c>
      <c r="P5837" t="s">
        <v>18</v>
      </c>
      <c r="Q5837" t="s">
        <v>19</v>
      </c>
      <c r="R5837" t="s">
        <v>138</v>
      </c>
      <c r="S5837" t="s">
        <v>144</v>
      </c>
      <c r="T5837" s="2">
        <f>MASTER[[#This Row],[CANTIDAD]]*MASTER[[#This Row],[PRECIO DE VENTA]]</f>
        <v>1830</v>
      </c>
      <c r="U5837" s="2">
        <f>MASTER[[#This Row],[CANTIDAD]]*MASTER[[#This Row],[COSTO UNITARIO]]</f>
        <v>421</v>
      </c>
      <c r="V5837" s="2">
        <f>MASTER[[#This Row],[MONTO VENDIDO]]-MASTER[[#This Row],[COSTO DE VENTA]]</f>
        <v>1409</v>
      </c>
    </row>
    <row r="5838" spans="1:22" x14ac:dyDescent="0.3">
      <c r="A5838">
        <v>81668</v>
      </c>
      <c r="B5838">
        <v>1</v>
      </c>
      <c r="C5838" t="s">
        <v>90</v>
      </c>
      <c r="D5838" t="s">
        <v>91</v>
      </c>
      <c r="E5838" s="1">
        <v>44462</v>
      </c>
      <c r="F5838">
        <v>1</v>
      </c>
      <c r="G5838" t="s">
        <v>55</v>
      </c>
      <c r="H5838" t="s">
        <v>56</v>
      </c>
      <c r="I5838" s="3">
        <v>1844</v>
      </c>
      <c r="J5838" s="3">
        <v>1844</v>
      </c>
      <c r="K5838" s="3">
        <v>420</v>
      </c>
      <c r="L5838" t="s">
        <v>9</v>
      </c>
      <c r="M5838">
        <v>2</v>
      </c>
      <c r="N5838" t="s">
        <v>86</v>
      </c>
      <c r="O5838" t="s">
        <v>81</v>
      </c>
      <c r="P5838" t="s">
        <v>71</v>
      </c>
      <c r="Q5838" t="s">
        <v>72</v>
      </c>
      <c r="R5838" t="s">
        <v>139</v>
      </c>
      <c r="S5838" t="s">
        <v>144</v>
      </c>
      <c r="T5838" s="2">
        <f>MASTER[[#This Row],[CANTIDAD]]*MASTER[[#This Row],[PRECIO DE VENTA]]</f>
        <v>1844</v>
      </c>
      <c r="U5838" s="2">
        <f>MASTER[[#This Row],[CANTIDAD]]*MASTER[[#This Row],[COSTO UNITARIO]]</f>
        <v>420</v>
      </c>
      <c r="V5838" s="2">
        <f>MASTER[[#This Row],[MONTO VENDIDO]]-MASTER[[#This Row],[COSTO DE VENTA]]</f>
        <v>1424</v>
      </c>
    </row>
    <row r="5839" spans="1:22" x14ac:dyDescent="0.3">
      <c r="A5839">
        <v>81671</v>
      </c>
      <c r="B5839">
        <v>1</v>
      </c>
      <c r="C5839" t="s">
        <v>96</v>
      </c>
      <c r="D5839" t="s">
        <v>97</v>
      </c>
      <c r="E5839" s="1">
        <v>44462</v>
      </c>
      <c r="F5839">
        <v>1</v>
      </c>
      <c r="G5839" t="s">
        <v>43</v>
      </c>
      <c r="H5839" t="s">
        <v>44</v>
      </c>
      <c r="I5839" s="3">
        <v>1272</v>
      </c>
      <c r="J5839" s="3">
        <v>1272</v>
      </c>
      <c r="K5839" s="3">
        <v>397</v>
      </c>
      <c r="L5839" t="s">
        <v>98</v>
      </c>
      <c r="M5839">
        <v>15</v>
      </c>
      <c r="N5839" t="s">
        <v>88</v>
      </c>
      <c r="O5839" t="s">
        <v>81</v>
      </c>
      <c r="P5839" t="s">
        <v>18</v>
      </c>
      <c r="Q5839" t="s">
        <v>19</v>
      </c>
      <c r="R5839" t="s">
        <v>138</v>
      </c>
      <c r="S5839" t="s">
        <v>144</v>
      </c>
      <c r="T5839" s="2">
        <f>MASTER[[#This Row],[CANTIDAD]]*MASTER[[#This Row],[PRECIO DE VENTA]]</f>
        <v>1272</v>
      </c>
      <c r="U5839" s="2">
        <f>MASTER[[#This Row],[CANTIDAD]]*MASTER[[#This Row],[COSTO UNITARIO]]</f>
        <v>397</v>
      </c>
      <c r="V5839" s="2">
        <f>MASTER[[#This Row],[MONTO VENDIDO]]-MASTER[[#This Row],[COSTO DE VENTA]]</f>
        <v>875</v>
      </c>
    </row>
    <row r="5840" spans="1:22" x14ac:dyDescent="0.3">
      <c r="A5840">
        <v>81672</v>
      </c>
      <c r="B5840">
        <v>1</v>
      </c>
      <c r="C5840" t="s">
        <v>116</v>
      </c>
      <c r="D5840" t="s">
        <v>117</v>
      </c>
      <c r="E5840" s="1">
        <v>44462</v>
      </c>
      <c r="F5840">
        <v>1</v>
      </c>
      <c r="G5840" t="s">
        <v>63</v>
      </c>
      <c r="H5840" t="s">
        <v>64</v>
      </c>
      <c r="I5840" s="3">
        <v>1999</v>
      </c>
      <c r="J5840" s="3">
        <v>1999</v>
      </c>
      <c r="K5840" s="3">
        <v>388</v>
      </c>
      <c r="L5840" t="s">
        <v>113</v>
      </c>
      <c r="M5840">
        <v>1</v>
      </c>
      <c r="N5840" t="s">
        <v>77</v>
      </c>
      <c r="O5840" t="s">
        <v>70</v>
      </c>
      <c r="P5840" t="s">
        <v>71</v>
      </c>
      <c r="Q5840" t="s">
        <v>72</v>
      </c>
      <c r="R5840" t="s">
        <v>139</v>
      </c>
      <c r="S5840" t="s">
        <v>144</v>
      </c>
      <c r="T5840" s="2">
        <f>MASTER[[#This Row],[CANTIDAD]]*MASTER[[#This Row],[PRECIO DE VENTA]]</f>
        <v>1999</v>
      </c>
      <c r="U5840" s="2">
        <f>MASTER[[#This Row],[CANTIDAD]]*MASTER[[#This Row],[COSTO UNITARIO]]</f>
        <v>388</v>
      </c>
      <c r="V5840" s="2">
        <f>MASTER[[#This Row],[MONTO VENDIDO]]-MASTER[[#This Row],[COSTO DE VENTA]]</f>
        <v>1611</v>
      </c>
    </row>
    <row r="5841" spans="1:22" x14ac:dyDescent="0.3">
      <c r="A5841">
        <v>81677</v>
      </c>
      <c r="B5841">
        <v>1</v>
      </c>
      <c r="C5841" t="s">
        <v>103</v>
      </c>
      <c r="D5841" t="s">
        <v>104</v>
      </c>
      <c r="E5841" s="1">
        <v>44462</v>
      </c>
      <c r="F5841">
        <v>1</v>
      </c>
      <c r="G5841" t="s">
        <v>61</v>
      </c>
      <c r="H5841" t="s">
        <v>62</v>
      </c>
      <c r="I5841" s="3">
        <v>1830</v>
      </c>
      <c r="J5841" s="3">
        <v>1830</v>
      </c>
      <c r="K5841" s="3">
        <v>421</v>
      </c>
      <c r="L5841" t="s">
        <v>98</v>
      </c>
      <c r="M5841">
        <v>1</v>
      </c>
      <c r="N5841" t="s">
        <v>77</v>
      </c>
      <c r="O5841" t="s">
        <v>70</v>
      </c>
      <c r="P5841" t="s">
        <v>71</v>
      </c>
      <c r="Q5841" t="s">
        <v>72</v>
      </c>
      <c r="R5841" t="s">
        <v>139</v>
      </c>
      <c r="S5841" t="s">
        <v>144</v>
      </c>
      <c r="T5841" s="2">
        <f>MASTER[[#This Row],[CANTIDAD]]*MASTER[[#This Row],[PRECIO DE VENTA]]</f>
        <v>1830</v>
      </c>
      <c r="U5841" s="2">
        <f>MASTER[[#This Row],[CANTIDAD]]*MASTER[[#This Row],[COSTO UNITARIO]]</f>
        <v>421</v>
      </c>
      <c r="V5841" s="2">
        <f>MASTER[[#This Row],[MONTO VENDIDO]]-MASTER[[#This Row],[COSTO DE VENTA]]</f>
        <v>1409</v>
      </c>
    </row>
    <row r="5842" spans="1:22" x14ac:dyDescent="0.3">
      <c r="A5842">
        <v>81681</v>
      </c>
      <c r="B5842">
        <v>1</v>
      </c>
      <c r="C5842" t="s">
        <v>103</v>
      </c>
      <c r="D5842" t="s">
        <v>104</v>
      </c>
      <c r="E5842" s="1">
        <v>44463</v>
      </c>
      <c r="F5842">
        <v>1</v>
      </c>
      <c r="G5842" t="s">
        <v>24</v>
      </c>
      <c r="H5842" t="s">
        <v>25</v>
      </c>
      <c r="I5842" s="3">
        <v>1591</v>
      </c>
      <c r="J5842" s="3">
        <v>1591</v>
      </c>
      <c r="K5842" s="3">
        <v>421</v>
      </c>
      <c r="L5842" t="s">
        <v>98</v>
      </c>
      <c r="M5842">
        <v>7</v>
      </c>
      <c r="N5842" t="s">
        <v>84</v>
      </c>
      <c r="O5842" t="s">
        <v>81</v>
      </c>
      <c r="P5842" t="s">
        <v>12</v>
      </c>
      <c r="Q5842" t="s">
        <v>13</v>
      </c>
      <c r="R5842" t="s">
        <v>13</v>
      </c>
      <c r="S5842" t="s">
        <v>144</v>
      </c>
      <c r="T5842" s="2">
        <f>MASTER[[#This Row],[CANTIDAD]]*MASTER[[#This Row],[PRECIO DE VENTA]]</f>
        <v>1591</v>
      </c>
      <c r="U5842" s="2">
        <f>MASTER[[#This Row],[CANTIDAD]]*MASTER[[#This Row],[COSTO UNITARIO]]</f>
        <v>421</v>
      </c>
      <c r="V5842" s="2">
        <f>MASTER[[#This Row],[MONTO VENDIDO]]-MASTER[[#This Row],[COSTO DE VENTA]]</f>
        <v>1170</v>
      </c>
    </row>
    <row r="5843" spans="1:22" x14ac:dyDescent="0.3">
      <c r="A5843">
        <v>81694</v>
      </c>
      <c r="B5843">
        <v>1</v>
      </c>
      <c r="C5843" t="s">
        <v>92</v>
      </c>
      <c r="D5843" t="s">
        <v>93</v>
      </c>
      <c r="E5843" s="1">
        <v>44463</v>
      </c>
      <c r="F5843">
        <v>1</v>
      </c>
      <c r="G5843" t="s">
        <v>63</v>
      </c>
      <c r="H5843" t="s">
        <v>64</v>
      </c>
      <c r="I5843" s="3">
        <v>1479</v>
      </c>
      <c r="J5843" s="3">
        <v>1479</v>
      </c>
      <c r="K5843" s="3">
        <v>396</v>
      </c>
      <c r="L5843" t="s">
        <v>9</v>
      </c>
      <c r="M5843">
        <v>11</v>
      </c>
      <c r="N5843" t="s">
        <v>10</v>
      </c>
      <c r="O5843" t="s">
        <v>11</v>
      </c>
      <c r="P5843" t="s">
        <v>12</v>
      </c>
      <c r="Q5843" t="s">
        <v>13</v>
      </c>
      <c r="R5843" t="s">
        <v>13</v>
      </c>
      <c r="S5843" t="s">
        <v>144</v>
      </c>
      <c r="T5843" s="2">
        <f>MASTER[[#This Row],[CANTIDAD]]*MASTER[[#This Row],[PRECIO DE VENTA]]</f>
        <v>1479</v>
      </c>
      <c r="U5843" s="2">
        <f>MASTER[[#This Row],[CANTIDAD]]*MASTER[[#This Row],[COSTO UNITARIO]]</f>
        <v>396</v>
      </c>
      <c r="V5843" s="2">
        <f>MASTER[[#This Row],[MONTO VENDIDO]]-MASTER[[#This Row],[COSTO DE VENTA]]</f>
        <v>1083</v>
      </c>
    </row>
    <row r="5844" spans="1:22" x14ac:dyDescent="0.3">
      <c r="A5844">
        <v>81708</v>
      </c>
      <c r="B5844">
        <v>1</v>
      </c>
      <c r="C5844" t="s">
        <v>105</v>
      </c>
      <c r="D5844" t="s">
        <v>106</v>
      </c>
      <c r="E5844" s="1">
        <v>44463</v>
      </c>
      <c r="F5844">
        <v>1</v>
      </c>
      <c r="G5844" t="s">
        <v>61</v>
      </c>
      <c r="H5844" t="s">
        <v>62</v>
      </c>
      <c r="I5844" s="3">
        <v>2033</v>
      </c>
      <c r="J5844" s="3">
        <v>2033</v>
      </c>
      <c r="K5844" s="3">
        <v>459</v>
      </c>
      <c r="L5844" t="s">
        <v>98</v>
      </c>
      <c r="M5844">
        <v>1</v>
      </c>
      <c r="N5844" t="s">
        <v>77</v>
      </c>
      <c r="O5844" t="s">
        <v>70</v>
      </c>
      <c r="P5844" t="s">
        <v>71</v>
      </c>
      <c r="Q5844" t="s">
        <v>72</v>
      </c>
      <c r="R5844" t="s">
        <v>139</v>
      </c>
      <c r="S5844" t="s">
        <v>144</v>
      </c>
      <c r="T5844" s="2">
        <f>MASTER[[#This Row],[CANTIDAD]]*MASTER[[#This Row],[PRECIO DE VENTA]]</f>
        <v>2033</v>
      </c>
      <c r="U5844" s="2">
        <f>MASTER[[#This Row],[CANTIDAD]]*MASTER[[#This Row],[COSTO UNITARIO]]</f>
        <v>459</v>
      </c>
      <c r="V5844" s="2">
        <f>MASTER[[#This Row],[MONTO VENDIDO]]-MASTER[[#This Row],[COSTO DE VENTA]]</f>
        <v>1574</v>
      </c>
    </row>
    <row r="5845" spans="1:22" x14ac:dyDescent="0.3">
      <c r="A5845">
        <v>81711</v>
      </c>
      <c r="B5845">
        <v>1</v>
      </c>
      <c r="C5845" t="s">
        <v>114</v>
      </c>
      <c r="D5845" t="s">
        <v>115</v>
      </c>
      <c r="E5845" s="1">
        <v>44463</v>
      </c>
      <c r="F5845">
        <v>1</v>
      </c>
      <c r="G5845" t="s">
        <v>24</v>
      </c>
      <c r="H5845" t="s">
        <v>25</v>
      </c>
      <c r="I5845" s="3">
        <v>1862</v>
      </c>
      <c r="J5845" s="3">
        <v>1862</v>
      </c>
      <c r="K5845" s="3">
        <v>394</v>
      </c>
      <c r="L5845" t="s">
        <v>113</v>
      </c>
      <c r="M5845">
        <v>4</v>
      </c>
      <c r="N5845" t="s">
        <v>82</v>
      </c>
      <c r="O5845" t="s">
        <v>81</v>
      </c>
      <c r="P5845" t="s">
        <v>71</v>
      </c>
      <c r="Q5845" t="s">
        <v>72</v>
      </c>
      <c r="R5845" t="s">
        <v>139</v>
      </c>
      <c r="S5845" t="s">
        <v>144</v>
      </c>
      <c r="T5845" s="2">
        <f>MASTER[[#This Row],[CANTIDAD]]*MASTER[[#This Row],[PRECIO DE VENTA]]</f>
        <v>1862</v>
      </c>
      <c r="U5845" s="2">
        <f>MASTER[[#This Row],[CANTIDAD]]*MASTER[[#This Row],[COSTO UNITARIO]]</f>
        <v>394</v>
      </c>
      <c r="V5845" s="2">
        <f>MASTER[[#This Row],[MONTO VENDIDO]]-MASTER[[#This Row],[COSTO DE VENTA]]</f>
        <v>1468</v>
      </c>
    </row>
    <row r="5846" spans="1:22" x14ac:dyDescent="0.3">
      <c r="A5846">
        <v>81720</v>
      </c>
      <c r="B5846">
        <v>1</v>
      </c>
      <c r="C5846" t="s">
        <v>96</v>
      </c>
      <c r="D5846" t="s">
        <v>97</v>
      </c>
      <c r="E5846" s="1">
        <v>44463</v>
      </c>
      <c r="F5846">
        <v>1</v>
      </c>
      <c r="G5846" t="s">
        <v>27</v>
      </c>
      <c r="H5846" t="s">
        <v>28</v>
      </c>
      <c r="I5846" s="3">
        <v>1272</v>
      </c>
      <c r="J5846" s="3">
        <v>1272</v>
      </c>
      <c r="K5846" s="3">
        <v>397</v>
      </c>
      <c r="L5846" t="s">
        <v>98</v>
      </c>
      <c r="M5846">
        <v>5</v>
      </c>
      <c r="N5846" t="s">
        <v>85</v>
      </c>
      <c r="O5846" t="s">
        <v>81</v>
      </c>
      <c r="P5846" t="s">
        <v>12</v>
      </c>
      <c r="Q5846" t="s">
        <v>13</v>
      </c>
      <c r="R5846" t="s">
        <v>13</v>
      </c>
      <c r="S5846" t="s">
        <v>144</v>
      </c>
      <c r="T5846" s="2">
        <f>MASTER[[#This Row],[CANTIDAD]]*MASTER[[#This Row],[PRECIO DE VENTA]]</f>
        <v>1272</v>
      </c>
      <c r="U5846" s="2">
        <f>MASTER[[#This Row],[CANTIDAD]]*MASTER[[#This Row],[COSTO UNITARIO]]</f>
        <v>397</v>
      </c>
      <c r="V5846" s="2">
        <f>MASTER[[#This Row],[MONTO VENDIDO]]-MASTER[[#This Row],[COSTO DE VENTA]]</f>
        <v>875</v>
      </c>
    </row>
    <row r="5847" spans="1:22" x14ac:dyDescent="0.3">
      <c r="A5847">
        <v>81721</v>
      </c>
      <c r="B5847">
        <v>1</v>
      </c>
      <c r="C5847" t="s">
        <v>99</v>
      </c>
      <c r="D5847" t="s">
        <v>100</v>
      </c>
      <c r="E5847" s="1">
        <v>44463</v>
      </c>
      <c r="F5847">
        <v>1</v>
      </c>
      <c r="G5847" t="s">
        <v>24</v>
      </c>
      <c r="H5847" t="s">
        <v>25</v>
      </c>
      <c r="I5847" s="3">
        <v>1459</v>
      </c>
      <c r="J5847" s="3">
        <v>1459</v>
      </c>
      <c r="K5847" s="3">
        <v>386</v>
      </c>
      <c r="L5847" t="s">
        <v>98</v>
      </c>
      <c r="M5847">
        <v>7</v>
      </c>
      <c r="N5847" t="s">
        <v>84</v>
      </c>
      <c r="O5847" t="s">
        <v>81</v>
      </c>
      <c r="P5847" t="s">
        <v>12</v>
      </c>
      <c r="Q5847" t="s">
        <v>13</v>
      </c>
      <c r="R5847" t="s">
        <v>13</v>
      </c>
      <c r="S5847" t="s">
        <v>144</v>
      </c>
      <c r="T5847" s="2">
        <f>MASTER[[#This Row],[CANTIDAD]]*MASTER[[#This Row],[PRECIO DE VENTA]]</f>
        <v>1459</v>
      </c>
      <c r="U5847" s="2">
        <f>MASTER[[#This Row],[CANTIDAD]]*MASTER[[#This Row],[COSTO UNITARIO]]</f>
        <v>386</v>
      </c>
      <c r="V5847" s="2">
        <f>MASTER[[#This Row],[MONTO VENDIDO]]-MASTER[[#This Row],[COSTO DE VENTA]]</f>
        <v>1073</v>
      </c>
    </row>
    <row r="5848" spans="1:22" x14ac:dyDescent="0.3">
      <c r="A5848">
        <v>81723</v>
      </c>
      <c r="B5848">
        <v>1</v>
      </c>
      <c r="C5848" t="s">
        <v>94</v>
      </c>
      <c r="D5848" t="s">
        <v>95</v>
      </c>
      <c r="E5848" s="1">
        <v>44463</v>
      </c>
      <c r="F5848">
        <v>1</v>
      </c>
      <c r="G5848" t="s">
        <v>22</v>
      </c>
      <c r="H5848" t="s">
        <v>23</v>
      </c>
      <c r="I5848" s="3">
        <v>1048</v>
      </c>
      <c r="J5848" s="3">
        <v>1048</v>
      </c>
      <c r="K5848" s="3">
        <v>392</v>
      </c>
      <c r="L5848" t="s">
        <v>9</v>
      </c>
      <c r="M5848">
        <v>14</v>
      </c>
      <c r="N5848" t="s">
        <v>87</v>
      </c>
      <c r="O5848" t="s">
        <v>81</v>
      </c>
      <c r="P5848" t="s">
        <v>18</v>
      </c>
      <c r="Q5848" t="s">
        <v>19</v>
      </c>
      <c r="R5848" t="s">
        <v>138</v>
      </c>
      <c r="S5848" t="s">
        <v>144</v>
      </c>
      <c r="T5848" s="2">
        <f>MASTER[[#This Row],[CANTIDAD]]*MASTER[[#This Row],[PRECIO DE VENTA]]</f>
        <v>1048</v>
      </c>
      <c r="U5848" s="2">
        <f>MASTER[[#This Row],[CANTIDAD]]*MASTER[[#This Row],[COSTO UNITARIO]]</f>
        <v>392</v>
      </c>
      <c r="V5848" s="2">
        <f>MASTER[[#This Row],[MONTO VENDIDO]]-MASTER[[#This Row],[COSTO DE VENTA]]</f>
        <v>656</v>
      </c>
    </row>
    <row r="5849" spans="1:22" x14ac:dyDescent="0.3">
      <c r="A5849">
        <v>81725</v>
      </c>
      <c r="B5849">
        <v>1</v>
      </c>
      <c r="C5849" t="s">
        <v>109</v>
      </c>
      <c r="D5849" t="s">
        <v>110</v>
      </c>
      <c r="E5849" s="1">
        <v>44464</v>
      </c>
      <c r="F5849">
        <v>1</v>
      </c>
      <c r="G5849" t="s">
        <v>22</v>
      </c>
      <c r="H5849" t="s">
        <v>23</v>
      </c>
      <c r="I5849" s="3">
        <v>1128</v>
      </c>
      <c r="J5849" s="3">
        <v>1128</v>
      </c>
      <c r="K5849" s="3">
        <v>387</v>
      </c>
      <c r="L5849" t="s">
        <v>98</v>
      </c>
      <c r="M5849">
        <v>18</v>
      </c>
      <c r="N5849" t="s">
        <v>79</v>
      </c>
      <c r="O5849" t="s">
        <v>70</v>
      </c>
      <c r="P5849" t="s">
        <v>15</v>
      </c>
      <c r="Q5849" t="s">
        <v>16</v>
      </c>
      <c r="R5849" t="s">
        <v>16</v>
      </c>
      <c r="S5849" t="s">
        <v>144</v>
      </c>
      <c r="T5849" s="2">
        <f>MASTER[[#This Row],[CANTIDAD]]*MASTER[[#This Row],[PRECIO DE VENTA]]</f>
        <v>1128</v>
      </c>
      <c r="U5849" s="2">
        <f>MASTER[[#This Row],[CANTIDAD]]*MASTER[[#This Row],[COSTO UNITARIO]]</f>
        <v>387</v>
      </c>
      <c r="V5849" s="2">
        <f>MASTER[[#This Row],[MONTO VENDIDO]]-MASTER[[#This Row],[COSTO DE VENTA]]</f>
        <v>741</v>
      </c>
    </row>
    <row r="5850" spans="1:22" x14ac:dyDescent="0.3">
      <c r="A5850">
        <v>81726</v>
      </c>
      <c r="B5850">
        <v>1</v>
      </c>
      <c r="C5850" t="s">
        <v>105</v>
      </c>
      <c r="D5850" t="s">
        <v>106</v>
      </c>
      <c r="E5850" s="1">
        <v>44464</v>
      </c>
      <c r="F5850">
        <v>1</v>
      </c>
      <c r="G5850" t="s">
        <v>43</v>
      </c>
      <c r="H5850" t="s">
        <v>44</v>
      </c>
      <c r="I5850" s="3">
        <v>1585</v>
      </c>
      <c r="J5850" s="3">
        <v>1585</v>
      </c>
      <c r="K5850" s="3">
        <v>459</v>
      </c>
      <c r="L5850" t="s">
        <v>98</v>
      </c>
      <c r="M5850">
        <v>17</v>
      </c>
      <c r="N5850" t="s">
        <v>14</v>
      </c>
      <c r="O5850" t="s">
        <v>11</v>
      </c>
      <c r="P5850" t="s">
        <v>15</v>
      </c>
      <c r="Q5850" t="s">
        <v>16</v>
      </c>
      <c r="R5850" t="s">
        <v>16</v>
      </c>
      <c r="S5850" t="s">
        <v>144</v>
      </c>
      <c r="T5850" s="2">
        <f>MASTER[[#This Row],[CANTIDAD]]*MASTER[[#This Row],[PRECIO DE VENTA]]</f>
        <v>1585</v>
      </c>
      <c r="U5850" s="2">
        <f>MASTER[[#This Row],[CANTIDAD]]*MASTER[[#This Row],[COSTO UNITARIO]]</f>
        <v>459</v>
      </c>
      <c r="V5850" s="2">
        <f>MASTER[[#This Row],[MONTO VENDIDO]]-MASTER[[#This Row],[COSTO DE VENTA]]</f>
        <v>1126</v>
      </c>
    </row>
    <row r="5851" spans="1:22" x14ac:dyDescent="0.3">
      <c r="A5851">
        <v>81732</v>
      </c>
      <c r="B5851">
        <v>1</v>
      </c>
      <c r="C5851" t="s">
        <v>99</v>
      </c>
      <c r="D5851" t="s">
        <v>100</v>
      </c>
      <c r="E5851" s="1">
        <v>44464</v>
      </c>
      <c r="F5851">
        <v>1</v>
      </c>
      <c r="G5851" t="s">
        <v>53</v>
      </c>
      <c r="H5851" t="s">
        <v>54</v>
      </c>
      <c r="I5851" s="3">
        <v>1678</v>
      </c>
      <c r="J5851" s="3">
        <v>1678</v>
      </c>
      <c r="K5851" s="3">
        <v>386</v>
      </c>
      <c r="L5851" t="s">
        <v>98</v>
      </c>
      <c r="M5851">
        <v>18</v>
      </c>
      <c r="N5851" t="s">
        <v>79</v>
      </c>
      <c r="O5851" t="s">
        <v>70</v>
      </c>
      <c r="P5851" t="s">
        <v>15</v>
      </c>
      <c r="Q5851" t="s">
        <v>16</v>
      </c>
      <c r="R5851" t="s">
        <v>16</v>
      </c>
      <c r="S5851" t="s">
        <v>144</v>
      </c>
      <c r="T5851" s="2">
        <f>MASTER[[#This Row],[CANTIDAD]]*MASTER[[#This Row],[PRECIO DE VENTA]]</f>
        <v>1678</v>
      </c>
      <c r="U5851" s="2">
        <f>MASTER[[#This Row],[CANTIDAD]]*MASTER[[#This Row],[COSTO UNITARIO]]</f>
        <v>386</v>
      </c>
      <c r="V5851" s="2">
        <f>MASTER[[#This Row],[MONTO VENDIDO]]-MASTER[[#This Row],[COSTO DE VENTA]]</f>
        <v>1292</v>
      </c>
    </row>
    <row r="5852" spans="1:22" x14ac:dyDescent="0.3">
      <c r="A5852">
        <v>81744</v>
      </c>
      <c r="B5852">
        <v>1</v>
      </c>
      <c r="C5852" t="s">
        <v>109</v>
      </c>
      <c r="D5852" t="s">
        <v>110</v>
      </c>
      <c r="E5852" s="1">
        <v>44464</v>
      </c>
      <c r="F5852">
        <v>1</v>
      </c>
      <c r="G5852" t="s">
        <v>7</v>
      </c>
      <c r="H5852" t="s">
        <v>8</v>
      </c>
      <c r="I5852" s="3">
        <v>947</v>
      </c>
      <c r="J5852" s="3">
        <v>947</v>
      </c>
      <c r="K5852" s="3">
        <v>387</v>
      </c>
      <c r="L5852" t="s">
        <v>98</v>
      </c>
      <c r="M5852">
        <v>17</v>
      </c>
      <c r="N5852" t="s">
        <v>14</v>
      </c>
      <c r="O5852" t="s">
        <v>11</v>
      </c>
      <c r="P5852" t="s">
        <v>15</v>
      </c>
      <c r="Q5852" t="s">
        <v>16</v>
      </c>
      <c r="R5852" t="s">
        <v>16</v>
      </c>
      <c r="S5852" t="s">
        <v>144</v>
      </c>
      <c r="T5852" s="2">
        <f>MASTER[[#This Row],[CANTIDAD]]*MASTER[[#This Row],[PRECIO DE VENTA]]</f>
        <v>947</v>
      </c>
      <c r="U5852" s="2">
        <f>MASTER[[#This Row],[CANTIDAD]]*MASTER[[#This Row],[COSTO UNITARIO]]</f>
        <v>387</v>
      </c>
      <c r="V5852" s="2">
        <f>MASTER[[#This Row],[MONTO VENDIDO]]-MASTER[[#This Row],[COSTO DE VENTA]]</f>
        <v>560</v>
      </c>
    </row>
    <row r="5853" spans="1:22" x14ac:dyDescent="0.3">
      <c r="A5853">
        <v>81745</v>
      </c>
      <c r="B5853">
        <v>1</v>
      </c>
      <c r="C5853" t="s">
        <v>90</v>
      </c>
      <c r="D5853" t="s">
        <v>91</v>
      </c>
      <c r="E5853" s="1">
        <v>44464</v>
      </c>
      <c r="F5853">
        <v>1</v>
      </c>
      <c r="G5853" t="s">
        <v>20</v>
      </c>
      <c r="H5853" t="s">
        <v>21</v>
      </c>
      <c r="I5853" s="3">
        <v>2102</v>
      </c>
      <c r="J5853" s="3">
        <v>2102</v>
      </c>
      <c r="K5853" s="3">
        <v>420</v>
      </c>
      <c r="L5853" t="s">
        <v>9</v>
      </c>
      <c r="M5853">
        <v>3</v>
      </c>
      <c r="N5853" t="s">
        <v>69</v>
      </c>
      <c r="O5853" t="s">
        <v>70</v>
      </c>
      <c r="P5853" t="s">
        <v>71</v>
      </c>
      <c r="Q5853" t="s">
        <v>72</v>
      </c>
      <c r="R5853" t="s">
        <v>139</v>
      </c>
      <c r="S5853" t="s">
        <v>144</v>
      </c>
      <c r="T5853" s="2">
        <f>MASTER[[#This Row],[CANTIDAD]]*MASTER[[#This Row],[PRECIO DE VENTA]]</f>
        <v>2102</v>
      </c>
      <c r="U5853" s="2">
        <f>MASTER[[#This Row],[CANTIDAD]]*MASTER[[#This Row],[COSTO UNITARIO]]</f>
        <v>420</v>
      </c>
      <c r="V5853" s="2">
        <f>MASTER[[#This Row],[MONTO VENDIDO]]-MASTER[[#This Row],[COSTO DE VENTA]]</f>
        <v>1682</v>
      </c>
    </row>
    <row r="5854" spans="1:22" x14ac:dyDescent="0.3">
      <c r="A5854">
        <v>81766</v>
      </c>
      <c r="B5854">
        <v>1</v>
      </c>
      <c r="C5854" t="s">
        <v>101</v>
      </c>
      <c r="D5854" t="s">
        <v>102</v>
      </c>
      <c r="E5854" s="1">
        <v>44464</v>
      </c>
      <c r="F5854">
        <v>1</v>
      </c>
      <c r="G5854" t="s">
        <v>47</v>
      </c>
      <c r="H5854" t="s">
        <v>48</v>
      </c>
      <c r="I5854" s="3">
        <v>1054</v>
      </c>
      <c r="J5854" s="3">
        <v>1054</v>
      </c>
      <c r="K5854" s="3">
        <v>442</v>
      </c>
      <c r="L5854" t="s">
        <v>98</v>
      </c>
      <c r="M5854">
        <v>16</v>
      </c>
      <c r="N5854" t="s">
        <v>17</v>
      </c>
      <c r="O5854" t="s">
        <v>11</v>
      </c>
      <c r="P5854" t="s">
        <v>18</v>
      </c>
      <c r="Q5854" t="s">
        <v>19</v>
      </c>
      <c r="R5854" t="s">
        <v>138</v>
      </c>
      <c r="S5854" t="s">
        <v>144</v>
      </c>
      <c r="T5854" s="2">
        <f>MASTER[[#This Row],[CANTIDAD]]*MASTER[[#This Row],[PRECIO DE VENTA]]</f>
        <v>1054</v>
      </c>
      <c r="U5854" s="2">
        <f>MASTER[[#This Row],[CANTIDAD]]*MASTER[[#This Row],[COSTO UNITARIO]]</f>
        <v>442</v>
      </c>
      <c r="V5854" s="2">
        <f>MASTER[[#This Row],[MONTO VENDIDO]]-MASTER[[#This Row],[COSTO DE VENTA]]</f>
        <v>612</v>
      </c>
    </row>
    <row r="5855" spans="1:22" x14ac:dyDescent="0.3">
      <c r="A5855">
        <v>81785</v>
      </c>
      <c r="B5855">
        <v>1</v>
      </c>
      <c r="C5855" t="s">
        <v>121</v>
      </c>
      <c r="D5855" t="s">
        <v>122</v>
      </c>
      <c r="E5855" s="1">
        <v>44464</v>
      </c>
      <c r="F5855">
        <v>4</v>
      </c>
      <c r="G5855" t="s">
        <v>65</v>
      </c>
      <c r="H5855" t="s">
        <v>66</v>
      </c>
      <c r="I5855" s="3">
        <v>1144</v>
      </c>
      <c r="J5855" s="3">
        <v>1144</v>
      </c>
      <c r="K5855" s="3">
        <v>460</v>
      </c>
      <c r="L5855" t="s">
        <v>120</v>
      </c>
      <c r="M5855">
        <v>13</v>
      </c>
      <c r="N5855" t="s">
        <v>78</v>
      </c>
      <c r="O5855" t="s">
        <v>70</v>
      </c>
      <c r="P5855" t="s">
        <v>18</v>
      </c>
      <c r="Q5855" t="s">
        <v>19</v>
      </c>
      <c r="R5855" t="s">
        <v>138</v>
      </c>
      <c r="S5855" t="s">
        <v>144</v>
      </c>
      <c r="T5855" s="2">
        <f>MASTER[[#This Row],[CANTIDAD]]*MASTER[[#This Row],[PRECIO DE VENTA]]</f>
        <v>4576</v>
      </c>
      <c r="U5855" s="2">
        <f>MASTER[[#This Row],[CANTIDAD]]*MASTER[[#This Row],[COSTO UNITARIO]]</f>
        <v>1840</v>
      </c>
      <c r="V5855" s="2">
        <f>MASTER[[#This Row],[MONTO VENDIDO]]-MASTER[[#This Row],[COSTO DE VENTA]]</f>
        <v>2736</v>
      </c>
    </row>
    <row r="5856" spans="1:22" x14ac:dyDescent="0.3">
      <c r="A5856">
        <v>81786</v>
      </c>
      <c r="B5856">
        <v>1</v>
      </c>
      <c r="C5856" t="s">
        <v>101</v>
      </c>
      <c r="D5856" t="s">
        <v>102</v>
      </c>
      <c r="E5856" s="1">
        <v>44464</v>
      </c>
      <c r="F5856">
        <v>1</v>
      </c>
      <c r="G5856" t="s">
        <v>49</v>
      </c>
      <c r="H5856" t="s">
        <v>50</v>
      </c>
      <c r="I5856" s="3">
        <v>1054</v>
      </c>
      <c r="J5856" s="3">
        <v>959</v>
      </c>
      <c r="K5856" s="3">
        <v>442</v>
      </c>
      <c r="L5856" t="s">
        <v>98</v>
      </c>
      <c r="M5856">
        <v>12</v>
      </c>
      <c r="N5856" t="s">
        <v>26</v>
      </c>
      <c r="O5856" t="s">
        <v>11</v>
      </c>
      <c r="P5856" t="s">
        <v>12</v>
      </c>
      <c r="Q5856" t="s">
        <v>13</v>
      </c>
      <c r="R5856" t="s">
        <v>13</v>
      </c>
      <c r="S5856" t="s">
        <v>144</v>
      </c>
      <c r="T5856" s="2">
        <f>MASTER[[#This Row],[CANTIDAD]]*MASTER[[#This Row],[PRECIO DE VENTA]]</f>
        <v>959</v>
      </c>
      <c r="U5856" s="2">
        <f>MASTER[[#This Row],[CANTIDAD]]*MASTER[[#This Row],[COSTO UNITARIO]]</f>
        <v>442</v>
      </c>
      <c r="V5856" s="2">
        <f>MASTER[[#This Row],[MONTO VENDIDO]]-MASTER[[#This Row],[COSTO DE VENTA]]</f>
        <v>517</v>
      </c>
    </row>
    <row r="5857" spans="1:22" x14ac:dyDescent="0.3">
      <c r="A5857">
        <v>81787</v>
      </c>
      <c r="B5857">
        <v>1</v>
      </c>
      <c r="C5857" t="s">
        <v>103</v>
      </c>
      <c r="D5857" t="s">
        <v>104</v>
      </c>
      <c r="E5857" s="1">
        <v>44464</v>
      </c>
      <c r="F5857">
        <v>1</v>
      </c>
      <c r="G5857" t="s">
        <v>35</v>
      </c>
      <c r="H5857" t="s">
        <v>36</v>
      </c>
      <c r="I5857" s="3">
        <v>1830</v>
      </c>
      <c r="J5857" s="3">
        <v>1830</v>
      </c>
      <c r="K5857" s="3">
        <v>421</v>
      </c>
      <c r="L5857" t="s">
        <v>98</v>
      </c>
      <c r="M5857">
        <v>18</v>
      </c>
      <c r="N5857" t="s">
        <v>79</v>
      </c>
      <c r="O5857" t="s">
        <v>70</v>
      </c>
      <c r="P5857" t="s">
        <v>15</v>
      </c>
      <c r="Q5857" t="s">
        <v>16</v>
      </c>
      <c r="R5857" t="s">
        <v>16</v>
      </c>
      <c r="S5857" t="s">
        <v>144</v>
      </c>
      <c r="T5857" s="2">
        <f>MASTER[[#This Row],[CANTIDAD]]*MASTER[[#This Row],[PRECIO DE VENTA]]</f>
        <v>1830</v>
      </c>
      <c r="U5857" s="2">
        <f>MASTER[[#This Row],[CANTIDAD]]*MASTER[[#This Row],[COSTO UNITARIO]]</f>
        <v>421</v>
      </c>
      <c r="V5857" s="2">
        <f>MASTER[[#This Row],[MONTO VENDIDO]]-MASTER[[#This Row],[COSTO DE VENTA]]</f>
        <v>1409</v>
      </c>
    </row>
    <row r="5858" spans="1:22" x14ac:dyDescent="0.3">
      <c r="A5858">
        <v>81791</v>
      </c>
      <c r="B5858">
        <v>1</v>
      </c>
      <c r="C5858" t="s">
        <v>92</v>
      </c>
      <c r="D5858" t="s">
        <v>93</v>
      </c>
      <c r="E5858" s="1">
        <v>44464</v>
      </c>
      <c r="F5858">
        <v>1</v>
      </c>
      <c r="G5858" t="s">
        <v>31</v>
      </c>
      <c r="H5858" t="s">
        <v>32</v>
      </c>
      <c r="I5858" s="3">
        <v>1479</v>
      </c>
      <c r="J5858" s="3">
        <v>1479</v>
      </c>
      <c r="K5858" s="3">
        <v>396</v>
      </c>
      <c r="L5858" t="s">
        <v>9</v>
      </c>
      <c r="M5858">
        <v>17</v>
      </c>
      <c r="N5858" t="s">
        <v>14</v>
      </c>
      <c r="O5858" t="s">
        <v>11</v>
      </c>
      <c r="P5858" t="s">
        <v>15</v>
      </c>
      <c r="Q5858" t="s">
        <v>16</v>
      </c>
      <c r="R5858" t="s">
        <v>16</v>
      </c>
      <c r="S5858" t="s">
        <v>144</v>
      </c>
      <c r="T5858" s="2">
        <f>MASTER[[#This Row],[CANTIDAD]]*MASTER[[#This Row],[PRECIO DE VENTA]]</f>
        <v>1479</v>
      </c>
      <c r="U5858" s="2">
        <f>MASTER[[#This Row],[CANTIDAD]]*MASTER[[#This Row],[COSTO UNITARIO]]</f>
        <v>396</v>
      </c>
      <c r="V5858" s="2">
        <f>MASTER[[#This Row],[MONTO VENDIDO]]-MASTER[[#This Row],[COSTO DE VENTA]]</f>
        <v>1083</v>
      </c>
    </row>
    <row r="5859" spans="1:22" x14ac:dyDescent="0.3">
      <c r="A5859">
        <v>81814</v>
      </c>
      <c r="B5859">
        <v>1</v>
      </c>
      <c r="C5859" t="s">
        <v>92</v>
      </c>
      <c r="D5859" t="s">
        <v>93</v>
      </c>
      <c r="E5859" s="1">
        <v>44464</v>
      </c>
      <c r="F5859">
        <v>1</v>
      </c>
      <c r="G5859" t="s">
        <v>24</v>
      </c>
      <c r="H5859" t="s">
        <v>25</v>
      </c>
      <c r="I5859" s="3">
        <v>1479</v>
      </c>
      <c r="J5859" s="3">
        <v>1479</v>
      </c>
      <c r="K5859" s="3">
        <v>396</v>
      </c>
      <c r="L5859" t="s">
        <v>9</v>
      </c>
      <c r="M5859">
        <v>17</v>
      </c>
      <c r="N5859" t="s">
        <v>14</v>
      </c>
      <c r="O5859" t="s">
        <v>11</v>
      </c>
      <c r="P5859" t="s">
        <v>15</v>
      </c>
      <c r="Q5859" t="s">
        <v>16</v>
      </c>
      <c r="R5859" t="s">
        <v>16</v>
      </c>
      <c r="S5859" t="s">
        <v>144</v>
      </c>
      <c r="T5859" s="2">
        <f>MASTER[[#This Row],[CANTIDAD]]*MASTER[[#This Row],[PRECIO DE VENTA]]</f>
        <v>1479</v>
      </c>
      <c r="U5859" s="2">
        <f>MASTER[[#This Row],[CANTIDAD]]*MASTER[[#This Row],[COSTO UNITARIO]]</f>
        <v>396</v>
      </c>
      <c r="V5859" s="2">
        <f>MASTER[[#This Row],[MONTO VENDIDO]]-MASTER[[#This Row],[COSTO DE VENTA]]</f>
        <v>1083</v>
      </c>
    </row>
    <row r="5860" spans="1:22" x14ac:dyDescent="0.3">
      <c r="A5860">
        <v>81825</v>
      </c>
      <c r="B5860">
        <v>1</v>
      </c>
      <c r="C5860" t="s">
        <v>111</v>
      </c>
      <c r="D5860" t="s">
        <v>112</v>
      </c>
      <c r="E5860" s="1">
        <v>44464</v>
      </c>
      <c r="F5860">
        <v>1</v>
      </c>
      <c r="G5860" t="s">
        <v>61</v>
      </c>
      <c r="H5860" t="s">
        <v>62</v>
      </c>
      <c r="I5860" s="3">
        <v>1621</v>
      </c>
      <c r="J5860" s="3">
        <v>1475</v>
      </c>
      <c r="K5860" s="3">
        <v>434</v>
      </c>
      <c r="L5860" t="s">
        <v>113</v>
      </c>
      <c r="M5860">
        <v>5</v>
      </c>
      <c r="N5860" t="s">
        <v>85</v>
      </c>
      <c r="O5860" t="s">
        <v>81</v>
      </c>
      <c r="P5860" t="s">
        <v>12</v>
      </c>
      <c r="Q5860" t="s">
        <v>13</v>
      </c>
      <c r="R5860" t="s">
        <v>13</v>
      </c>
      <c r="S5860" t="s">
        <v>144</v>
      </c>
      <c r="T5860" s="2">
        <f>MASTER[[#This Row],[CANTIDAD]]*MASTER[[#This Row],[PRECIO DE VENTA]]</f>
        <v>1475</v>
      </c>
      <c r="U5860" s="2">
        <f>MASTER[[#This Row],[CANTIDAD]]*MASTER[[#This Row],[COSTO UNITARIO]]</f>
        <v>434</v>
      </c>
      <c r="V5860" s="2">
        <f>MASTER[[#This Row],[MONTO VENDIDO]]-MASTER[[#This Row],[COSTO DE VENTA]]</f>
        <v>1041</v>
      </c>
    </row>
    <row r="5861" spans="1:22" x14ac:dyDescent="0.3">
      <c r="A5861">
        <v>81870</v>
      </c>
      <c r="B5861">
        <v>1</v>
      </c>
      <c r="C5861" t="s">
        <v>118</v>
      </c>
      <c r="D5861" t="s">
        <v>119</v>
      </c>
      <c r="E5861" s="1">
        <v>44464</v>
      </c>
      <c r="F5861">
        <v>1</v>
      </c>
      <c r="G5861" t="s">
        <v>29</v>
      </c>
      <c r="H5861" t="s">
        <v>30</v>
      </c>
      <c r="I5861" s="3">
        <v>900</v>
      </c>
      <c r="J5861" s="3">
        <v>900</v>
      </c>
      <c r="K5861" s="3">
        <v>424</v>
      </c>
      <c r="L5861" t="s">
        <v>120</v>
      </c>
      <c r="M5861">
        <v>10</v>
      </c>
      <c r="N5861" t="s">
        <v>83</v>
      </c>
      <c r="O5861" t="s">
        <v>81</v>
      </c>
      <c r="P5861" t="s">
        <v>12</v>
      </c>
      <c r="Q5861" t="s">
        <v>13</v>
      </c>
      <c r="R5861" t="s">
        <v>13</v>
      </c>
      <c r="S5861" t="s">
        <v>144</v>
      </c>
      <c r="T5861" s="2">
        <f>MASTER[[#This Row],[CANTIDAD]]*MASTER[[#This Row],[PRECIO DE VENTA]]</f>
        <v>900</v>
      </c>
      <c r="U5861" s="2">
        <f>MASTER[[#This Row],[CANTIDAD]]*MASTER[[#This Row],[COSTO UNITARIO]]</f>
        <v>424</v>
      </c>
      <c r="V5861" s="2">
        <f>MASTER[[#This Row],[MONTO VENDIDO]]-MASTER[[#This Row],[COSTO DE VENTA]]</f>
        <v>476</v>
      </c>
    </row>
    <row r="5862" spans="1:22" x14ac:dyDescent="0.3">
      <c r="A5862">
        <v>81872</v>
      </c>
      <c r="B5862">
        <v>1</v>
      </c>
      <c r="C5862" t="s">
        <v>94</v>
      </c>
      <c r="D5862" t="s">
        <v>95</v>
      </c>
      <c r="E5862" s="1">
        <v>44464</v>
      </c>
      <c r="F5862">
        <v>1</v>
      </c>
      <c r="G5862" t="s">
        <v>31</v>
      </c>
      <c r="H5862" t="s">
        <v>32</v>
      </c>
      <c r="I5862" s="3">
        <v>1048</v>
      </c>
      <c r="J5862" s="3">
        <v>1048</v>
      </c>
      <c r="K5862" s="3">
        <v>392</v>
      </c>
      <c r="L5862" t="s">
        <v>9</v>
      </c>
      <c r="M5862">
        <v>8</v>
      </c>
      <c r="N5862" t="s">
        <v>80</v>
      </c>
      <c r="O5862" t="s">
        <v>81</v>
      </c>
      <c r="P5862" t="s">
        <v>12</v>
      </c>
      <c r="Q5862" t="s">
        <v>13</v>
      </c>
      <c r="R5862" t="s">
        <v>13</v>
      </c>
      <c r="S5862" t="s">
        <v>144</v>
      </c>
      <c r="T5862" s="2">
        <f>MASTER[[#This Row],[CANTIDAD]]*MASTER[[#This Row],[PRECIO DE VENTA]]</f>
        <v>1048</v>
      </c>
      <c r="U5862" s="2">
        <f>MASTER[[#This Row],[CANTIDAD]]*MASTER[[#This Row],[COSTO UNITARIO]]</f>
        <v>392</v>
      </c>
      <c r="V5862" s="2">
        <f>MASTER[[#This Row],[MONTO VENDIDO]]-MASTER[[#This Row],[COSTO DE VENTA]]</f>
        <v>656</v>
      </c>
    </row>
    <row r="5863" spans="1:22" x14ac:dyDescent="0.3">
      <c r="A5863">
        <v>81889</v>
      </c>
      <c r="B5863">
        <v>1</v>
      </c>
      <c r="C5863" t="s">
        <v>90</v>
      </c>
      <c r="D5863" t="s">
        <v>91</v>
      </c>
      <c r="E5863" s="1">
        <v>44464</v>
      </c>
      <c r="F5863">
        <v>1</v>
      </c>
      <c r="G5863" t="s">
        <v>29</v>
      </c>
      <c r="H5863" t="s">
        <v>30</v>
      </c>
      <c r="I5863" s="3">
        <v>1844</v>
      </c>
      <c r="J5863" s="3">
        <v>1844</v>
      </c>
      <c r="K5863" s="3">
        <v>420</v>
      </c>
      <c r="L5863" t="s">
        <v>9</v>
      </c>
      <c r="M5863">
        <v>4</v>
      </c>
      <c r="N5863" t="s">
        <v>82</v>
      </c>
      <c r="O5863" t="s">
        <v>81</v>
      </c>
      <c r="P5863" t="s">
        <v>71</v>
      </c>
      <c r="Q5863" t="s">
        <v>72</v>
      </c>
      <c r="R5863" t="s">
        <v>139</v>
      </c>
      <c r="S5863" t="s">
        <v>144</v>
      </c>
      <c r="T5863" s="2">
        <f>MASTER[[#This Row],[CANTIDAD]]*MASTER[[#This Row],[PRECIO DE VENTA]]</f>
        <v>1844</v>
      </c>
      <c r="U5863" s="2">
        <f>MASTER[[#This Row],[CANTIDAD]]*MASTER[[#This Row],[COSTO UNITARIO]]</f>
        <v>420</v>
      </c>
      <c r="V5863" s="2">
        <f>MASTER[[#This Row],[MONTO VENDIDO]]-MASTER[[#This Row],[COSTO DE VENTA]]</f>
        <v>1424</v>
      </c>
    </row>
    <row r="5864" spans="1:22" x14ac:dyDescent="0.3">
      <c r="A5864">
        <v>81906</v>
      </c>
      <c r="B5864">
        <v>1</v>
      </c>
      <c r="C5864" t="s">
        <v>114</v>
      </c>
      <c r="D5864" t="s">
        <v>115</v>
      </c>
      <c r="E5864" s="1">
        <v>44464</v>
      </c>
      <c r="F5864">
        <v>1</v>
      </c>
      <c r="G5864" t="s">
        <v>35</v>
      </c>
      <c r="H5864" t="s">
        <v>36</v>
      </c>
      <c r="I5864" s="3">
        <v>1862</v>
      </c>
      <c r="J5864" s="3">
        <v>1862</v>
      </c>
      <c r="K5864" s="3">
        <v>394</v>
      </c>
      <c r="L5864" t="s">
        <v>113</v>
      </c>
      <c r="M5864">
        <v>7</v>
      </c>
      <c r="N5864" t="s">
        <v>84</v>
      </c>
      <c r="O5864" t="s">
        <v>81</v>
      </c>
      <c r="P5864" t="s">
        <v>12</v>
      </c>
      <c r="Q5864" t="s">
        <v>13</v>
      </c>
      <c r="R5864" t="s">
        <v>13</v>
      </c>
      <c r="S5864" t="s">
        <v>144</v>
      </c>
      <c r="T5864" s="2">
        <f>MASTER[[#This Row],[CANTIDAD]]*MASTER[[#This Row],[PRECIO DE VENTA]]</f>
        <v>1862</v>
      </c>
      <c r="U5864" s="2">
        <f>MASTER[[#This Row],[CANTIDAD]]*MASTER[[#This Row],[COSTO UNITARIO]]</f>
        <v>394</v>
      </c>
      <c r="V5864" s="2">
        <f>MASTER[[#This Row],[MONTO VENDIDO]]-MASTER[[#This Row],[COSTO DE VENTA]]</f>
        <v>1468</v>
      </c>
    </row>
    <row r="5865" spans="1:22" x14ac:dyDescent="0.3">
      <c r="A5865">
        <v>81912</v>
      </c>
      <c r="B5865">
        <v>1</v>
      </c>
      <c r="C5865" t="s">
        <v>114</v>
      </c>
      <c r="D5865" t="s">
        <v>115</v>
      </c>
      <c r="E5865" s="1">
        <v>44464</v>
      </c>
      <c r="F5865">
        <v>1</v>
      </c>
      <c r="G5865" t="s">
        <v>33</v>
      </c>
      <c r="H5865" t="s">
        <v>34</v>
      </c>
      <c r="I5865" s="3">
        <v>1583</v>
      </c>
      <c r="J5865" s="3">
        <v>1583</v>
      </c>
      <c r="K5865" s="3">
        <v>394</v>
      </c>
      <c r="L5865" t="s">
        <v>113</v>
      </c>
      <c r="M5865">
        <v>16</v>
      </c>
      <c r="N5865" t="s">
        <v>17</v>
      </c>
      <c r="O5865" t="s">
        <v>11</v>
      </c>
      <c r="P5865" t="s">
        <v>18</v>
      </c>
      <c r="Q5865" t="s">
        <v>19</v>
      </c>
      <c r="R5865" t="s">
        <v>138</v>
      </c>
      <c r="S5865" t="s">
        <v>144</v>
      </c>
      <c r="T5865" s="2">
        <f>MASTER[[#This Row],[CANTIDAD]]*MASTER[[#This Row],[PRECIO DE VENTA]]</f>
        <v>1583</v>
      </c>
      <c r="U5865" s="2">
        <f>MASTER[[#This Row],[CANTIDAD]]*MASTER[[#This Row],[COSTO UNITARIO]]</f>
        <v>394</v>
      </c>
      <c r="V5865" s="2">
        <f>MASTER[[#This Row],[MONTO VENDIDO]]-MASTER[[#This Row],[COSTO DE VENTA]]</f>
        <v>1189</v>
      </c>
    </row>
    <row r="5866" spans="1:22" x14ac:dyDescent="0.3">
      <c r="A5866">
        <v>81917</v>
      </c>
      <c r="B5866">
        <v>1</v>
      </c>
      <c r="C5866" t="s">
        <v>111</v>
      </c>
      <c r="D5866" t="s">
        <v>112</v>
      </c>
      <c r="E5866" s="1">
        <v>44465</v>
      </c>
      <c r="F5866">
        <v>1</v>
      </c>
      <c r="G5866" t="s">
        <v>59</v>
      </c>
      <c r="H5866" t="s">
        <v>60</v>
      </c>
      <c r="I5866" s="3">
        <v>1621</v>
      </c>
      <c r="J5866" s="3">
        <v>1621</v>
      </c>
      <c r="K5866" s="3">
        <v>434</v>
      </c>
      <c r="L5866" t="s">
        <v>113</v>
      </c>
      <c r="M5866">
        <v>8</v>
      </c>
      <c r="N5866" t="s">
        <v>80</v>
      </c>
      <c r="O5866" t="s">
        <v>81</v>
      </c>
      <c r="P5866" t="s">
        <v>12</v>
      </c>
      <c r="Q5866" t="s">
        <v>13</v>
      </c>
      <c r="R5866" t="s">
        <v>13</v>
      </c>
      <c r="S5866" t="s">
        <v>144</v>
      </c>
      <c r="T5866" s="2">
        <f>MASTER[[#This Row],[CANTIDAD]]*MASTER[[#This Row],[PRECIO DE VENTA]]</f>
        <v>1621</v>
      </c>
      <c r="U5866" s="2">
        <f>MASTER[[#This Row],[CANTIDAD]]*MASTER[[#This Row],[COSTO UNITARIO]]</f>
        <v>434</v>
      </c>
      <c r="V5866" s="2">
        <f>MASTER[[#This Row],[MONTO VENDIDO]]-MASTER[[#This Row],[COSTO DE VENTA]]</f>
        <v>1187</v>
      </c>
    </row>
    <row r="5867" spans="1:22" x14ac:dyDescent="0.3">
      <c r="A5867">
        <v>81921</v>
      </c>
      <c r="B5867">
        <v>1</v>
      </c>
      <c r="C5867" t="s">
        <v>107</v>
      </c>
      <c r="D5867" t="s">
        <v>108</v>
      </c>
      <c r="E5867" s="1">
        <v>44465</v>
      </c>
      <c r="F5867">
        <v>1</v>
      </c>
      <c r="G5867" t="s">
        <v>51</v>
      </c>
      <c r="H5867" t="s">
        <v>52</v>
      </c>
      <c r="I5867" s="3">
        <v>1440</v>
      </c>
      <c r="J5867" s="3">
        <v>1440</v>
      </c>
      <c r="K5867" s="3">
        <v>380</v>
      </c>
      <c r="L5867" t="s">
        <v>98</v>
      </c>
      <c r="M5867">
        <v>3</v>
      </c>
      <c r="N5867" t="s">
        <v>69</v>
      </c>
      <c r="O5867" t="s">
        <v>70</v>
      </c>
      <c r="P5867" t="s">
        <v>71</v>
      </c>
      <c r="Q5867" t="s">
        <v>72</v>
      </c>
      <c r="R5867" t="s">
        <v>139</v>
      </c>
      <c r="S5867" t="s">
        <v>144</v>
      </c>
      <c r="T5867" s="2">
        <f>MASTER[[#This Row],[CANTIDAD]]*MASTER[[#This Row],[PRECIO DE VENTA]]</f>
        <v>1440</v>
      </c>
      <c r="U5867" s="2">
        <f>MASTER[[#This Row],[CANTIDAD]]*MASTER[[#This Row],[COSTO UNITARIO]]</f>
        <v>380</v>
      </c>
      <c r="V5867" s="2">
        <f>MASTER[[#This Row],[MONTO VENDIDO]]-MASTER[[#This Row],[COSTO DE VENTA]]</f>
        <v>1060</v>
      </c>
    </row>
    <row r="5868" spans="1:22" x14ac:dyDescent="0.3">
      <c r="A5868">
        <v>81930</v>
      </c>
      <c r="B5868">
        <v>1</v>
      </c>
      <c r="C5868" t="s">
        <v>99</v>
      </c>
      <c r="D5868" t="s">
        <v>100</v>
      </c>
      <c r="E5868" s="1">
        <v>44465</v>
      </c>
      <c r="F5868">
        <v>1</v>
      </c>
      <c r="G5868" t="s">
        <v>35</v>
      </c>
      <c r="H5868" t="s">
        <v>36</v>
      </c>
      <c r="I5868" s="3">
        <v>1328</v>
      </c>
      <c r="J5868" s="3">
        <v>1261</v>
      </c>
      <c r="K5868" s="3">
        <v>386</v>
      </c>
      <c r="L5868" t="s">
        <v>98</v>
      </c>
      <c r="M5868">
        <v>12</v>
      </c>
      <c r="N5868" t="s">
        <v>26</v>
      </c>
      <c r="O5868" t="s">
        <v>11</v>
      </c>
      <c r="P5868" t="s">
        <v>12</v>
      </c>
      <c r="Q5868" t="s">
        <v>13</v>
      </c>
      <c r="R5868" t="s">
        <v>13</v>
      </c>
      <c r="S5868" t="s">
        <v>144</v>
      </c>
      <c r="T5868" s="2">
        <f>MASTER[[#This Row],[CANTIDAD]]*MASTER[[#This Row],[PRECIO DE VENTA]]</f>
        <v>1261</v>
      </c>
      <c r="U5868" s="2">
        <f>MASTER[[#This Row],[CANTIDAD]]*MASTER[[#This Row],[COSTO UNITARIO]]</f>
        <v>386</v>
      </c>
      <c r="V5868" s="2">
        <f>MASTER[[#This Row],[MONTO VENDIDO]]-MASTER[[#This Row],[COSTO DE VENTA]]</f>
        <v>875</v>
      </c>
    </row>
    <row r="5869" spans="1:22" x14ac:dyDescent="0.3">
      <c r="A5869">
        <v>81940</v>
      </c>
      <c r="B5869">
        <v>1</v>
      </c>
      <c r="C5869" t="s">
        <v>118</v>
      </c>
      <c r="D5869" t="s">
        <v>119</v>
      </c>
      <c r="E5869" s="1">
        <v>44465</v>
      </c>
      <c r="F5869">
        <v>4</v>
      </c>
      <c r="G5869" t="s">
        <v>27</v>
      </c>
      <c r="H5869" t="s">
        <v>28</v>
      </c>
      <c r="I5869" s="3">
        <v>801</v>
      </c>
      <c r="J5869" s="3">
        <v>801</v>
      </c>
      <c r="K5869" s="3">
        <v>424</v>
      </c>
      <c r="L5869" t="s">
        <v>120</v>
      </c>
      <c r="M5869">
        <v>16</v>
      </c>
      <c r="N5869" t="s">
        <v>17</v>
      </c>
      <c r="O5869" t="s">
        <v>11</v>
      </c>
      <c r="P5869" t="s">
        <v>18</v>
      </c>
      <c r="Q5869" t="s">
        <v>19</v>
      </c>
      <c r="R5869" t="s">
        <v>138</v>
      </c>
      <c r="S5869" t="s">
        <v>144</v>
      </c>
      <c r="T5869" s="2">
        <f>MASTER[[#This Row],[CANTIDAD]]*MASTER[[#This Row],[PRECIO DE VENTA]]</f>
        <v>3204</v>
      </c>
      <c r="U5869" s="2">
        <f>MASTER[[#This Row],[CANTIDAD]]*MASTER[[#This Row],[COSTO UNITARIO]]</f>
        <v>1696</v>
      </c>
      <c r="V5869" s="2">
        <f>MASTER[[#This Row],[MONTO VENDIDO]]-MASTER[[#This Row],[COSTO DE VENTA]]</f>
        <v>1508</v>
      </c>
    </row>
    <row r="5870" spans="1:22" x14ac:dyDescent="0.3">
      <c r="A5870">
        <v>81950</v>
      </c>
      <c r="B5870">
        <v>1</v>
      </c>
      <c r="C5870" t="s">
        <v>107</v>
      </c>
      <c r="D5870" t="s">
        <v>108</v>
      </c>
      <c r="E5870" s="1">
        <v>44465</v>
      </c>
      <c r="F5870">
        <v>1</v>
      </c>
      <c r="G5870" t="s">
        <v>39</v>
      </c>
      <c r="H5870" t="s">
        <v>40</v>
      </c>
      <c r="I5870" s="3">
        <v>1333</v>
      </c>
      <c r="J5870" s="3">
        <v>1333</v>
      </c>
      <c r="K5870" s="3">
        <v>380</v>
      </c>
      <c r="L5870" t="s">
        <v>98</v>
      </c>
      <c r="M5870">
        <v>4</v>
      </c>
      <c r="N5870" t="s">
        <v>82</v>
      </c>
      <c r="O5870" t="s">
        <v>81</v>
      </c>
      <c r="P5870" t="s">
        <v>71</v>
      </c>
      <c r="Q5870" t="s">
        <v>72</v>
      </c>
      <c r="R5870" t="s">
        <v>139</v>
      </c>
      <c r="S5870" t="s">
        <v>144</v>
      </c>
      <c r="T5870" s="2">
        <f>MASTER[[#This Row],[CANTIDAD]]*MASTER[[#This Row],[PRECIO DE VENTA]]</f>
        <v>1333</v>
      </c>
      <c r="U5870" s="2">
        <f>MASTER[[#This Row],[CANTIDAD]]*MASTER[[#This Row],[COSTO UNITARIO]]</f>
        <v>380</v>
      </c>
      <c r="V5870" s="2">
        <f>MASTER[[#This Row],[MONTO VENDIDO]]-MASTER[[#This Row],[COSTO DE VENTA]]</f>
        <v>953</v>
      </c>
    </row>
    <row r="5871" spans="1:22" x14ac:dyDescent="0.3">
      <c r="A5871">
        <v>81973</v>
      </c>
      <c r="B5871">
        <v>1</v>
      </c>
      <c r="C5871" t="s">
        <v>109</v>
      </c>
      <c r="D5871" t="s">
        <v>110</v>
      </c>
      <c r="E5871" s="1">
        <v>44465</v>
      </c>
      <c r="F5871">
        <v>1</v>
      </c>
      <c r="G5871" t="s">
        <v>67</v>
      </c>
      <c r="H5871" t="s">
        <v>68</v>
      </c>
      <c r="I5871" s="3">
        <v>1064</v>
      </c>
      <c r="J5871" s="3">
        <v>1064</v>
      </c>
      <c r="K5871" s="3">
        <v>387</v>
      </c>
      <c r="L5871" t="s">
        <v>98</v>
      </c>
      <c r="M5871">
        <v>8</v>
      </c>
      <c r="N5871" t="s">
        <v>80</v>
      </c>
      <c r="O5871" t="s">
        <v>81</v>
      </c>
      <c r="P5871" t="s">
        <v>12</v>
      </c>
      <c r="Q5871" t="s">
        <v>13</v>
      </c>
      <c r="R5871" t="s">
        <v>13</v>
      </c>
      <c r="S5871" t="s">
        <v>144</v>
      </c>
      <c r="T5871" s="2">
        <f>MASTER[[#This Row],[CANTIDAD]]*MASTER[[#This Row],[PRECIO DE VENTA]]</f>
        <v>1064</v>
      </c>
      <c r="U5871" s="2">
        <f>MASTER[[#This Row],[CANTIDAD]]*MASTER[[#This Row],[COSTO UNITARIO]]</f>
        <v>387</v>
      </c>
      <c r="V5871" s="2">
        <f>MASTER[[#This Row],[MONTO VENDIDO]]-MASTER[[#This Row],[COSTO DE VENTA]]</f>
        <v>677</v>
      </c>
    </row>
    <row r="5872" spans="1:22" x14ac:dyDescent="0.3">
      <c r="A5872">
        <v>81987</v>
      </c>
      <c r="B5872">
        <v>1</v>
      </c>
      <c r="C5872" t="s">
        <v>94</v>
      </c>
      <c r="D5872" t="s">
        <v>95</v>
      </c>
      <c r="E5872" s="1">
        <v>44465</v>
      </c>
      <c r="F5872">
        <v>1</v>
      </c>
      <c r="G5872" t="s">
        <v>24</v>
      </c>
      <c r="H5872" t="s">
        <v>25</v>
      </c>
      <c r="I5872" s="3">
        <v>1153</v>
      </c>
      <c r="J5872" s="3">
        <v>1153</v>
      </c>
      <c r="K5872" s="3">
        <v>392</v>
      </c>
      <c r="L5872" t="s">
        <v>9</v>
      </c>
      <c r="M5872">
        <v>3</v>
      </c>
      <c r="N5872" t="s">
        <v>69</v>
      </c>
      <c r="O5872" t="s">
        <v>70</v>
      </c>
      <c r="P5872" t="s">
        <v>71</v>
      </c>
      <c r="Q5872" t="s">
        <v>72</v>
      </c>
      <c r="R5872" t="s">
        <v>139</v>
      </c>
      <c r="S5872" t="s">
        <v>144</v>
      </c>
      <c r="T5872" s="2">
        <f>MASTER[[#This Row],[CANTIDAD]]*MASTER[[#This Row],[PRECIO DE VENTA]]</f>
        <v>1153</v>
      </c>
      <c r="U5872" s="2">
        <f>MASTER[[#This Row],[CANTIDAD]]*MASTER[[#This Row],[COSTO UNITARIO]]</f>
        <v>392</v>
      </c>
      <c r="V5872" s="2">
        <f>MASTER[[#This Row],[MONTO VENDIDO]]-MASTER[[#This Row],[COSTO DE VENTA]]</f>
        <v>761</v>
      </c>
    </row>
    <row r="5873" spans="1:22" x14ac:dyDescent="0.3">
      <c r="A5873">
        <v>81988</v>
      </c>
      <c r="B5873">
        <v>1</v>
      </c>
      <c r="C5873" t="s">
        <v>105</v>
      </c>
      <c r="D5873" t="s">
        <v>106</v>
      </c>
      <c r="E5873" s="1">
        <v>44465</v>
      </c>
      <c r="F5873">
        <v>1</v>
      </c>
      <c r="G5873" t="s">
        <v>22</v>
      </c>
      <c r="H5873" t="s">
        <v>23</v>
      </c>
      <c r="I5873" s="3">
        <v>1865</v>
      </c>
      <c r="J5873" s="3">
        <v>1865</v>
      </c>
      <c r="K5873" s="3">
        <v>459</v>
      </c>
      <c r="L5873" t="s">
        <v>98</v>
      </c>
      <c r="M5873">
        <v>15</v>
      </c>
      <c r="N5873" t="s">
        <v>88</v>
      </c>
      <c r="O5873" t="s">
        <v>81</v>
      </c>
      <c r="P5873" t="s">
        <v>18</v>
      </c>
      <c r="Q5873" t="s">
        <v>19</v>
      </c>
      <c r="R5873" t="s">
        <v>138</v>
      </c>
      <c r="S5873" t="s">
        <v>144</v>
      </c>
      <c r="T5873" s="2">
        <f>MASTER[[#This Row],[CANTIDAD]]*MASTER[[#This Row],[PRECIO DE VENTA]]</f>
        <v>1865</v>
      </c>
      <c r="U5873" s="2">
        <f>MASTER[[#This Row],[CANTIDAD]]*MASTER[[#This Row],[COSTO UNITARIO]]</f>
        <v>459</v>
      </c>
      <c r="V5873" s="2">
        <f>MASTER[[#This Row],[MONTO VENDIDO]]-MASTER[[#This Row],[COSTO DE VENTA]]</f>
        <v>1406</v>
      </c>
    </row>
    <row r="5874" spans="1:22" x14ac:dyDescent="0.3">
      <c r="A5874">
        <v>82007</v>
      </c>
      <c r="B5874">
        <v>1</v>
      </c>
      <c r="C5874" t="s">
        <v>94</v>
      </c>
      <c r="D5874" t="s">
        <v>95</v>
      </c>
      <c r="E5874" s="1">
        <v>44465</v>
      </c>
      <c r="F5874">
        <v>1</v>
      </c>
      <c r="G5874" t="s">
        <v>35</v>
      </c>
      <c r="H5874" t="s">
        <v>36</v>
      </c>
      <c r="I5874" s="3">
        <v>1048</v>
      </c>
      <c r="J5874" s="3">
        <v>1048</v>
      </c>
      <c r="K5874" s="3">
        <v>392</v>
      </c>
      <c r="L5874" t="s">
        <v>9</v>
      </c>
      <c r="M5874">
        <v>7</v>
      </c>
      <c r="N5874" t="s">
        <v>84</v>
      </c>
      <c r="O5874" t="s">
        <v>81</v>
      </c>
      <c r="P5874" t="s">
        <v>12</v>
      </c>
      <c r="Q5874" t="s">
        <v>13</v>
      </c>
      <c r="R5874" t="s">
        <v>13</v>
      </c>
      <c r="S5874" t="s">
        <v>144</v>
      </c>
      <c r="T5874" s="2">
        <f>MASTER[[#This Row],[CANTIDAD]]*MASTER[[#This Row],[PRECIO DE VENTA]]</f>
        <v>1048</v>
      </c>
      <c r="U5874" s="2">
        <f>MASTER[[#This Row],[CANTIDAD]]*MASTER[[#This Row],[COSTO UNITARIO]]</f>
        <v>392</v>
      </c>
      <c r="V5874" s="2">
        <f>MASTER[[#This Row],[MONTO VENDIDO]]-MASTER[[#This Row],[COSTO DE VENTA]]</f>
        <v>656</v>
      </c>
    </row>
    <row r="5875" spans="1:22" x14ac:dyDescent="0.3">
      <c r="A5875">
        <v>82045</v>
      </c>
      <c r="B5875">
        <v>1</v>
      </c>
      <c r="C5875" t="s">
        <v>103</v>
      </c>
      <c r="D5875" t="s">
        <v>104</v>
      </c>
      <c r="E5875" s="1">
        <v>44465</v>
      </c>
      <c r="F5875">
        <v>1</v>
      </c>
      <c r="G5875" t="s">
        <v>24</v>
      </c>
      <c r="H5875" t="s">
        <v>25</v>
      </c>
      <c r="I5875" s="3">
        <v>1591</v>
      </c>
      <c r="J5875" s="3">
        <v>1591</v>
      </c>
      <c r="K5875" s="3">
        <v>421</v>
      </c>
      <c r="L5875" t="s">
        <v>98</v>
      </c>
      <c r="M5875">
        <v>14</v>
      </c>
      <c r="N5875" t="s">
        <v>87</v>
      </c>
      <c r="O5875" t="s">
        <v>81</v>
      </c>
      <c r="P5875" t="s">
        <v>18</v>
      </c>
      <c r="Q5875" t="s">
        <v>19</v>
      </c>
      <c r="R5875" t="s">
        <v>138</v>
      </c>
      <c r="S5875" t="s">
        <v>144</v>
      </c>
      <c r="T5875" s="2">
        <f>MASTER[[#This Row],[CANTIDAD]]*MASTER[[#This Row],[PRECIO DE VENTA]]</f>
        <v>1591</v>
      </c>
      <c r="U5875" s="2">
        <f>MASTER[[#This Row],[CANTIDAD]]*MASTER[[#This Row],[COSTO UNITARIO]]</f>
        <v>421</v>
      </c>
      <c r="V5875" s="2">
        <f>MASTER[[#This Row],[MONTO VENDIDO]]-MASTER[[#This Row],[COSTO DE VENTA]]</f>
        <v>1170</v>
      </c>
    </row>
    <row r="5876" spans="1:22" x14ac:dyDescent="0.3">
      <c r="A5876">
        <v>82050</v>
      </c>
      <c r="B5876">
        <v>1</v>
      </c>
      <c r="C5876" t="s">
        <v>101</v>
      </c>
      <c r="D5876" t="s">
        <v>102</v>
      </c>
      <c r="E5876" s="1">
        <v>44465</v>
      </c>
      <c r="F5876">
        <v>1</v>
      </c>
      <c r="G5876" t="s">
        <v>45</v>
      </c>
      <c r="H5876" t="s">
        <v>46</v>
      </c>
      <c r="I5876" s="3">
        <v>1357</v>
      </c>
      <c r="J5876" s="3">
        <v>1357</v>
      </c>
      <c r="K5876" s="3">
        <v>442</v>
      </c>
      <c r="L5876" t="s">
        <v>98</v>
      </c>
      <c r="M5876">
        <v>18</v>
      </c>
      <c r="N5876" t="s">
        <v>79</v>
      </c>
      <c r="O5876" t="s">
        <v>70</v>
      </c>
      <c r="P5876" t="s">
        <v>15</v>
      </c>
      <c r="Q5876" t="s">
        <v>16</v>
      </c>
      <c r="R5876" t="s">
        <v>16</v>
      </c>
      <c r="S5876" t="s">
        <v>144</v>
      </c>
      <c r="T5876" s="2">
        <f>MASTER[[#This Row],[CANTIDAD]]*MASTER[[#This Row],[PRECIO DE VENTA]]</f>
        <v>1357</v>
      </c>
      <c r="U5876" s="2">
        <f>MASTER[[#This Row],[CANTIDAD]]*MASTER[[#This Row],[COSTO UNITARIO]]</f>
        <v>442</v>
      </c>
      <c r="V5876" s="2">
        <f>MASTER[[#This Row],[MONTO VENDIDO]]-MASTER[[#This Row],[COSTO DE VENTA]]</f>
        <v>915</v>
      </c>
    </row>
    <row r="5877" spans="1:22" x14ac:dyDescent="0.3">
      <c r="A5877">
        <v>82053</v>
      </c>
      <c r="B5877">
        <v>1</v>
      </c>
      <c r="C5877" t="s">
        <v>121</v>
      </c>
      <c r="D5877" t="s">
        <v>122</v>
      </c>
      <c r="E5877" s="1">
        <v>44466</v>
      </c>
      <c r="F5877">
        <v>1</v>
      </c>
      <c r="G5877" t="s">
        <v>47</v>
      </c>
      <c r="H5877" t="s">
        <v>48</v>
      </c>
      <c r="I5877" s="3">
        <v>1069</v>
      </c>
      <c r="J5877" s="3">
        <v>1069</v>
      </c>
      <c r="K5877" s="3">
        <v>460</v>
      </c>
      <c r="L5877" t="s">
        <v>120</v>
      </c>
      <c r="M5877">
        <v>4</v>
      </c>
      <c r="N5877" t="s">
        <v>82</v>
      </c>
      <c r="O5877" t="s">
        <v>81</v>
      </c>
      <c r="P5877" t="s">
        <v>71</v>
      </c>
      <c r="Q5877" t="s">
        <v>72</v>
      </c>
      <c r="R5877" t="s">
        <v>139</v>
      </c>
      <c r="S5877" t="s">
        <v>144</v>
      </c>
      <c r="T5877" s="2">
        <f>MASTER[[#This Row],[CANTIDAD]]*MASTER[[#This Row],[PRECIO DE VENTA]]</f>
        <v>1069</v>
      </c>
      <c r="U5877" s="2">
        <f>MASTER[[#This Row],[CANTIDAD]]*MASTER[[#This Row],[COSTO UNITARIO]]</f>
        <v>460</v>
      </c>
      <c r="V5877" s="2">
        <f>MASTER[[#This Row],[MONTO VENDIDO]]-MASTER[[#This Row],[COSTO DE VENTA]]</f>
        <v>609</v>
      </c>
    </row>
    <row r="5878" spans="1:22" x14ac:dyDescent="0.3">
      <c r="A5878">
        <v>82054</v>
      </c>
      <c r="B5878">
        <v>1</v>
      </c>
      <c r="C5878" t="s">
        <v>105</v>
      </c>
      <c r="D5878" t="s">
        <v>106</v>
      </c>
      <c r="E5878" s="1">
        <v>44466</v>
      </c>
      <c r="F5878">
        <v>1</v>
      </c>
      <c r="G5878" t="s">
        <v>27</v>
      </c>
      <c r="H5878" t="s">
        <v>28</v>
      </c>
      <c r="I5878" s="3">
        <v>2033</v>
      </c>
      <c r="J5878" s="3">
        <v>2033</v>
      </c>
      <c r="K5878" s="3">
        <v>459</v>
      </c>
      <c r="L5878" t="s">
        <v>98</v>
      </c>
      <c r="M5878">
        <v>6</v>
      </c>
      <c r="N5878" t="s">
        <v>75</v>
      </c>
      <c r="O5878" t="s">
        <v>70</v>
      </c>
      <c r="P5878" t="s">
        <v>12</v>
      </c>
      <c r="Q5878" t="s">
        <v>13</v>
      </c>
      <c r="R5878" t="s">
        <v>13</v>
      </c>
      <c r="S5878" t="s">
        <v>144</v>
      </c>
      <c r="T5878" s="2">
        <f>MASTER[[#This Row],[CANTIDAD]]*MASTER[[#This Row],[PRECIO DE VENTA]]</f>
        <v>2033</v>
      </c>
      <c r="U5878" s="2">
        <f>MASTER[[#This Row],[CANTIDAD]]*MASTER[[#This Row],[COSTO UNITARIO]]</f>
        <v>459</v>
      </c>
      <c r="V5878" s="2">
        <f>MASTER[[#This Row],[MONTO VENDIDO]]-MASTER[[#This Row],[COSTO DE VENTA]]</f>
        <v>1574</v>
      </c>
    </row>
    <row r="5879" spans="1:22" x14ac:dyDescent="0.3">
      <c r="A5879">
        <v>82109</v>
      </c>
      <c r="B5879">
        <v>1</v>
      </c>
      <c r="C5879" t="s">
        <v>103</v>
      </c>
      <c r="D5879" t="s">
        <v>104</v>
      </c>
      <c r="E5879" s="1">
        <v>44466</v>
      </c>
      <c r="F5879">
        <v>1</v>
      </c>
      <c r="G5879" t="s">
        <v>47</v>
      </c>
      <c r="H5879" t="s">
        <v>48</v>
      </c>
      <c r="I5879" s="3">
        <v>1591</v>
      </c>
      <c r="J5879" s="3">
        <v>1511</v>
      </c>
      <c r="K5879" s="3">
        <v>421</v>
      </c>
      <c r="L5879" t="s">
        <v>98</v>
      </c>
      <c r="M5879">
        <v>5</v>
      </c>
      <c r="N5879" t="s">
        <v>85</v>
      </c>
      <c r="O5879" t="s">
        <v>81</v>
      </c>
      <c r="P5879" t="s">
        <v>12</v>
      </c>
      <c r="Q5879" t="s">
        <v>13</v>
      </c>
      <c r="R5879" t="s">
        <v>13</v>
      </c>
      <c r="S5879" t="s">
        <v>144</v>
      </c>
      <c r="T5879" s="2">
        <f>MASTER[[#This Row],[CANTIDAD]]*MASTER[[#This Row],[PRECIO DE VENTA]]</f>
        <v>1511</v>
      </c>
      <c r="U5879" s="2">
        <f>MASTER[[#This Row],[CANTIDAD]]*MASTER[[#This Row],[COSTO UNITARIO]]</f>
        <v>421</v>
      </c>
      <c r="V5879" s="2">
        <f>MASTER[[#This Row],[MONTO VENDIDO]]-MASTER[[#This Row],[COSTO DE VENTA]]</f>
        <v>1090</v>
      </c>
    </row>
    <row r="5880" spans="1:22" x14ac:dyDescent="0.3">
      <c r="A5880">
        <v>82123</v>
      </c>
      <c r="B5880">
        <v>1</v>
      </c>
      <c r="C5880" t="s">
        <v>109</v>
      </c>
      <c r="D5880" t="s">
        <v>110</v>
      </c>
      <c r="E5880" s="1">
        <v>44466</v>
      </c>
      <c r="F5880">
        <v>1</v>
      </c>
      <c r="G5880" t="s">
        <v>24</v>
      </c>
      <c r="H5880" t="s">
        <v>25</v>
      </c>
      <c r="I5880" s="3">
        <v>1064</v>
      </c>
      <c r="J5880" s="3">
        <v>1064</v>
      </c>
      <c r="K5880" s="3">
        <v>387</v>
      </c>
      <c r="L5880" t="s">
        <v>98</v>
      </c>
      <c r="M5880">
        <v>4</v>
      </c>
      <c r="N5880" t="s">
        <v>82</v>
      </c>
      <c r="O5880" t="s">
        <v>81</v>
      </c>
      <c r="P5880" t="s">
        <v>71</v>
      </c>
      <c r="Q5880" t="s">
        <v>72</v>
      </c>
      <c r="R5880" t="s">
        <v>139</v>
      </c>
      <c r="S5880" t="s">
        <v>144</v>
      </c>
      <c r="T5880" s="2">
        <f>MASTER[[#This Row],[CANTIDAD]]*MASTER[[#This Row],[PRECIO DE VENTA]]</f>
        <v>1064</v>
      </c>
      <c r="U5880" s="2">
        <f>MASTER[[#This Row],[CANTIDAD]]*MASTER[[#This Row],[COSTO UNITARIO]]</f>
        <v>387</v>
      </c>
      <c r="V5880" s="2">
        <f>MASTER[[#This Row],[MONTO VENDIDO]]-MASTER[[#This Row],[COSTO DE VENTA]]</f>
        <v>677</v>
      </c>
    </row>
    <row r="5881" spans="1:22" x14ac:dyDescent="0.3">
      <c r="A5881">
        <v>82147</v>
      </c>
      <c r="B5881">
        <v>2</v>
      </c>
      <c r="C5881" t="s">
        <v>103</v>
      </c>
      <c r="D5881" t="s">
        <v>104</v>
      </c>
      <c r="E5881" s="1">
        <v>44466</v>
      </c>
      <c r="F5881">
        <v>1</v>
      </c>
      <c r="G5881" t="s">
        <v>53</v>
      </c>
      <c r="H5881" t="s">
        <v>54</v>
      </c>
      <c r="I5881" s="3">
        <v>1830</v>
      </c>
      <c r="J5881" s="3">
        <v>1830</v>
      </c>
      <c r="K5881" s="3">
        <v>421</v>
      </c>
      <c r="L5881" t="s">
        <v>98</v>
      </c>
      <c r="M5881">
        <v>13</v>
      </c>
      <c r="N5881" t="s">
        <v>78</v>
      </c>
      <c r="O5881" t="s">
        <v>70</v>
      </c>
      <c r="P5881" t="s">
        <v>18</v>
      </c>
      <c r="Q5881" t="s">
        <v>19</v>
      </c>
      <c r="R5881" t="s">
        <v>138</v>
      </c>
      <c r="S5881" t="s">
        <v>144</v>
      </c>
      <c r="T5881" s="2">
        <f>MASTER[[#This Row],[CANTIDAD]]*MASTER[[#This Row],[PRECIO DE VENTA]]</f>
        <v>1830</v>
      </c>
      <c r="U5881" s="2">
        <f>MASTER[[#This Row],[CANTIDAD]]*MASTER[[#This Row],[COSTO UNITARIO]]</f>
        <v>421</v>
      </c>
      <c r="V5881" s="2">
        <f>MASTER[[#This Row],[MONTO VENDIDO]]-MASTER[[#This Row],[COSTO DE VENTA]]</f>
        <v>1409</v>
      </c>
    </row>
    <row r="5882" spans="1:22" x14ac:dyDescent="0.3">
      <c r="A5882">
        <v>82147</v>
      </c>
      <c r="B5882">
        <v>1</v>
      </c>
      <c r="C5882" t="s">
        <v>109</v>
      </c>
      <c r="D5882" t="s">
        <v>110</v>
      </c>
      <c r="E5882" s="1">
        <v>44466</v>
      </c>
      <c r="F5882">
        <v>1</v>
      </c>
      <c r="G5882" t="s">
        <v>53</v>
      </c>
      <c r="H5882" t="s">
        <v>54</v>
      </c>
      <c r="I5882" s="3">
        <v>1128</v>
      </c>
      <c r="J5882" s="3">
        <v>1128</v>
      </c>
      <c r="K5882" s="3">
        <v>387</v>
      </c>
      <c r="L5882" t="s">
        <v>98</v>
      </c>
      <c r="M5882">
        <v>13</v>
      </c>
      <c r="N5882" t="s">
        <v>78</v>
      </c>
      <c r="O5882" t="s">
        <v>70</v>
      </c>
      <c r="P5882" t="s">
        <v>18</v>
      </c>
      <c r="Q5882" t="s">
        <v>19</v>
      </c>
      <c r="R5882" t="s">
        <v>138</v>
      </c>
      <c r="S5882" t="s">
        <v>144</v>
      </c>
      <c r="T5882" s="2">
        <f>MASTER[[#This Row],[CANTIDAD]]*MASTER[[#This Row],[PRECIO DE VENTA]]</f>
        <v>1128</v>
      </c>
      <c r="U5882" s="2">
        <f>MASTER[[#This Row],[CANTIDAD]]*MASTER[[#This Row],[COSTO UNITARIO]]</f>
        <v>387</v>
      </c>
      <c r="V5882" s="2">
        <f>MASTER[[#This Row],[MONTO VENDIDO]]-MASTER[[#This Row],[COSTO DE VENTA]]</f>
        <v>741</v>
      </c>
    </row>
    <row r="5883" spans="1:22" x14ac:dyDescent="0.3">
      <c r="A5883">
        <v>82158</v>
      </c>
      <c r="B5883">
        <v>1</v>
      </c>
      <c r="C5883" t="s">
        <v>114</v>
      </c>
      <c r="D5883" t="s">
        <v>115</v>
      </c>
      <c r="E5883" s="1">
        <v>44466</v>
      </c>
      <c r="F5883">
        <v>1</v>
      </c>
      <c r="G5883" t="s">
        <v>47</v>
      </c>
      <c r="H5883" t="s">
        <v>48</v>
      </c>
      <c r="I5883" s="3">
        <v>1862</v>
      </c>
      <c r="J5883" s="3">
        <v>1862</v>
      </c>
      <c r="K5883" s="3">
        <v>394</v>
      </c>
      <c r="L5883" t="s">
        <v>113</v>
      </c>
      <c r="M5883">
        <v>10</v>
      </c>
      <c r="N5883" t="s">
        <v>83</v>
      </c>
      <c r="O5883" t="s">
        <v>81</v>
      </c>
      <c r="P5883" t="s">
        <v>12</v>
      </c>
      <c r="Q5883" t="s">
        <v>13</v>
      </c>
      <c r="R5883" t="s">
        <v>13</v>
      </c>
      <c r="S5883" t="s">
        <v>144</v>
      </c>
      <c r="T5883" s="2">
        <f>MASTER[[#This Row],[CANTIDAD]]*MASTER[[#This Row],[PRECIO DE VENTA]]</f>
        <v>1862</v>
      </c>
      <c r="U5883" s="2">
        <f>MASTER[[#This Row],[CANTIDAD]]*MASTER[[#This Row],[COSTO UNITARIO]]</f>
        <v>394</v>
      </c>
      <c r="V5883" s="2">
        <f>MASTER[[#This Row],[MONTO VENDIDO]]-MASTER[[#This Row],[COSTO DE VENTA]]</f>
        <v>1468</v>
      </c>
    </row>
    <row r="5884" spans="1:22" x14ac:dyDescent="0.3">
      <c r="A5884">
        <v>82170</v>
      </c>
      <c r="B5884">
        <v>1</v>
      </c>
      <c r="C5884" t="s">
        <v>103</v>
      </c>
      <c r="D5884" t="s">
        <v>104</v>
      </c>
      <c r="E5884" s="1">
        <v>44466</v>
      </c>
      <c r="F5884">
        <v>1</v>
      </c>
      <c r="G5884" t="s">
        <v>49</v>
      </c>
      <c r="H5884" t="s">
        <v>50</v>
      </c>
      <c r="I5884" s="3">
        <v>1591</v>
      </c>
      <c r="J5884" s="3">
        <v>1591</v>
      </c>
      <c r="K5884" s="3">
        <v>421</v>
      </c>
      <c r="L5884" t="s">
        <v>98</v>
      </c>
      <c r="M5884">
        <v>2</v>
      </c>
      <c r="N5884" t="s">
        <v>86</v>
      </c>
      <c r="O5884" t="s">
        <v>81</v>
      </c>
      <c r="P5884" t="s">
        <v>71</v>
      </c>
      <c r="Q5884" t="s">
        <v>72</v>
      </c>
      <c r="R5884" t="s">
        <v>139</v>
      </c>
      <c r="S5884" t="s">
        <v>144</v>
      </c>
      <c r="T5884" s="2">
        <f>MASTER[[#This Row],[CANTIDAD]]*MASTER[[#This Row],[PRECIO DE VENTA]]</f>
        <v>1591</v>
      </c>
      <c r="U5884" s="2">
        <f>MASTER[[#This Row],[CANTIDAD]]*MASTER[[#This Row],[COSTO UNITARIO]]</f>
        <v>421</v>
      </c>
      <c r="V5884" s="2">
        <f>MASTER[[#This Row],[MONTO VENDIDO]]-MASTER[[#This Row],[COSTO DE VENTA]]</f>
        <v>1170</v>
      </c>
    </row>
    <row r="5885" spans="1:22" x14ac:dyDescent="0.3">
      <c r="A5885">
        <v>82187</v>
      </c>
      <c r="B5885">
        <v>1</v>
      </c>
      <c r="C5885" t="s">
        <v>111</v>
      </c>
      <c r="D5885" t="s">
        <v>112</v>
      </c>
      <c r="E5885" s="1">
        <v>44466</v>
      </c>
      <c r="F5885">
        <v>1</v>
      </c>
      <c r="G5885" t="s">
        <v>41</v>
      </c>
      <c r="H5885" t="s">
        <v>42</v>
      </c>
      <c r="I5885" s="3">
        <v>1799</v>
      </c>
      <c r="J5885" s="3">
        <v>1799</v>
      </c>
      <c r="K5885" s="3">
        <v>434</v>
      </c>
      <c r="L5885" t="s">
        <v>113</v>
      </c>
      <c r="M5885">
        <v>6</v>
      </c>
      <c r="N5885" t="s">
        <v>75</v>
      </c>
      <c r="O5885" t="s">
        <v>70</v>
      </c>
      <c r="P5885" t="s">
        <v>12</v>
      </c>
      <c r="Q5885" t="s">
        <v>13</v>
      </c>
      <c r="R5885" t="s">
        <v>13</v>
      </c>
      <c r="S5885" t="s">
        <v>144</v>
      </c>
      <c r="T5885" s="2">
        <f>MASTER[[#This Row],[CANTIDAD]]*MASTER[[#This Row],[PRECIO DE VENTA]]</f>
        <v>1799</v>
      </c>
      <c r="U5885" s="2">
        <f>MASTER[[#This Row],[CANTIDAD]]*MASTER[[#This Row],[COSTO UNITARIO]]</f>
        <v>434</v>
      </c>
      <c r="V5885" s="2">
        <f>MASTER[[#This Row],[MONTO VENDIDO]]-MASTER[[#This Row],[COSTO DE VENTA]]</f>
        <v>1365</v>
      </c>
    </row>
    <row r="5886" spans="1:22" x14ac:dyDescent="0.3">
      <c r="A5886">
        <v>82190</v>
      </c>
      <c r="B5886">
        <v>1</v>
      </c>
      <c r="C5886" t="s">
        <v>121</v>
      </c>
      <c r="D5886" t="s">
        <v>122</v>
      </c>
      <c r="E5886" s="1">
        <v>44467</v>
      </c>
      <c r="F5886">
        <v>1</v>
      </c>
      <c r="G5886" t="s">
        <v>67</v>
      </c>
      <c r="H5886" t="s">
        <v>68</v>
      </c>
      <c r="I5886" s="3">
        <v>941</v>
      </c>
      <c r="J5886" s="3">
        <v>941</v>
      </c>
      <c r="K5886" s="3">
        <v>460</v>
      </c>
      <c r="L5886" t="s">
        <v>120</v>
      </c>
      <c r="M5886">
        <v>16</v>
      </c>
      <c r="N5886" t="s">
        <v>17</v>
      </c>
      <c r="O5886" t="s">
        <v>11</v>
      </c>
      <c r="P5886" t="s">
        <v>18</v>
      </c>
      <c r="Q5886" t="s">
        <v>19</v>
      </c>
      <c r="R5886" t="s">
        <v>138</v>
      </c>
      <c r="S5886" t="s">
        <v>144</v>
      </c>
      <c r="T5886" s="2">
        <f>MASTER[[#This Row],[CANTIDAD]]*MASTER[[#This Row],[PRECIO DE VENTA]]</f>
        <v>941</v>
      </c>
      <c r="U5886" s="2">
        <f>MASTER[[#This Row],[CANTIDAD]]*MASTER[[#This Row],[COSTO UNITARIO]]</f>
        <v>460</v>
      </c>
      <c r="V5886" s="2">
        <f>MASTER[[#This Row],[MONTO VENDIDO]]-MASTER[[#This Row],[COSTO DE VENTA]]</f>
        <v>481</v>
      </c>
    </row>
    <row r="5887" spans="1:22" x14ac:dyDescent="0.3">
      <c r="A5887">
        <v>82193</v>
      </c>
      <c r="B5887">
        <v>1</v>
      </c>
      <c r="C5887" t="s">
        <v>90</v>
      </c>
      <c r="D5887" t="s">
        <v>91</v>
      </c>
      <c r="E5887" s="1">
        <v>44467</v>
      </c>
      <c r="F5887">
        <v>1</v>
      </c>
      <c r="G5887" t="s">
        <v>55</v>
      </c>
      <c r="H5887" t="s">
        <v>56</v>
      </c>
      <c r="I5887" s="3">
        <v>1844</v>
      </c>
      <c r="J5887" s="3">
        <v>1844</v>
      </c>
      <c r="K5887" s="3">
        <v>420</v>
      </c>
      <c r="L5887" t="s">
        <v>9</v>
      </c>
      <c r="M5887">
        <v>5</v>
      </c>
      <c r="N5887" t="s">
        <v>85</v>
      </c>
      <c r="O5887" t="s">
        <v>81</v>
      </c>
      <c r="P5887" t="s">
        <v>12</v>
      </c>
      <c r="Q5887" t="s">
        <v>13</v>
      </c>
      <c r="R5887" t="s">
        <v>13</v>
      </c>
      <c r="S5887" t="s">
        <v>144</v>
      </c>
      <c r="T5887" s="2">
        <f>MASTER[[#This Row],[CANTIDAD]]*MASTER[[#This Row],[PRECIO DE VENTA]]</f>
        <v>1844</v>
      </c>
      <c r="U5887" s="2">
        <f>MASTER[[#This Row],[CANTIDAD]]*MASTER[[#This Row],[COSTO UNITARIO]]</f>
        <v>420</v>
      </c>
      <c r="V5887" s="2">
        <f>MASTER[[#This Row],[MONTO VENDIDO]]-MASTER[[#This Row],[COSTO DE VENTA]]</f>
        <v>1424</v>
      </c>
    </row>
    <row r="5888" spans="1:22" x14ac:dyDescent="0.3">
      <c r="A5888">
        <v>82198</v>
      </c>
      <c r="B5888">
        <v>1</v>
      </c>
      <c r="C5888" t="s">
        <v>121</v>
      </c>
      <c r="D5888" t="s">
        <v>122</v>
      </c>
      <c r="E5888" s="1">
        <v>44467</v>
      </c>
      <c r="F5888">
        <v>1</v>
      </c>
      <c r="G5888" t="s">
        <v>57</v>
      </c>
      <c r="H5888" t="s">
        <v>58</v>
      </c>
      <c r="I5888" s="3">
        <v>1069</v>
      </c>
      <c r="J5888" s="3">
        <v>1069</v>
      </c>
      <c r="K5888" s="3">
        <v>460</v>
      </c>
      <c r="L5888" t="s">
        <v>120</v>
      </c>
      <c r="M5888">
        <v>15</v>
      </c>
      <c r="N5888" t="s">
        <v>88</v>
      </c>
      <c r="O5888" t="s">
        <v>81</v>
      </c>
      <c r="P5888" t="s">
        <v>18</v>
      </c>
      <c r="Q5888" t="s">
        <v>19</v>
      </c>
      <c r="R5888" t="s">
        <v>138</v>
      </c>
      <c r="S5888" t="s">
        <v>144</v>
      </c>
      <c r="T5888" s="2">
        <f>MASTER[[#This Row],[CANTIDAD]]*MASTER[[#This Row],[PRECIO DE VENTA]]</f>
        <v>1069</v>
      </c>
      <c r="U5888" s="2">
        <f>MASTER[[#This Row],[CANTIDAD]]*MASTER[[#This Row],[COSTO UNITARIO]]</f>
        <v>460</v>
      </c>
      <c r="V5888" s="2">
        <f>MASTER[[#This Row],[MONTO VENDIDO]]-MASTER[[#This Row],[COSTO DE VENTA]]</f>
        <v>609</v>
      </c>
    </row>
    <row r="5889" spans="1:22" x14ac:dyDescent="0.3">
      <c r="A5889">
        <v>82203</v>
      </c>
      <c r="B5889">
        <v>1</v>
      </c>
      <c r="C5889" t="s">
        <v>96</v>
      </c>
      <c r="D5889" t="s">
        <v>97</v>
      </c>
      <c r="E5889" s="1">
        <v>44467</v>
      </c>
      <c r="F5889">
        <v>1</v>
      </c>
      <c r="G5889" t="s">
        <v>29</v>
      </c>
      <c r="H5889" t="s">
        <v>30</v>
      </c>
      <c r="I5889" s="3">
        <v>1196</v>
      </c>
      <c r="J5889" s="3">
        <v>1148</v>
      </c>
      <c r="K5889" s="3">
        <v>397</v>
      </c>
      <c r="L5889" t="s">
        <v>98</v>
      </c>
      <c r="M5889">
        <v>12</v>
      </c>
      <c r="N5889" t="s">
        <v>26</v>
      </c>
      <c r="O5889" t="s">
        <v>11</v>
      </c>
      <c r="P5889" t="s">
        <v>12</v>
      </c>
      <c r="Q5889" t="s">
        <v>13</v>
      </c>
      <c r="R5889" t="s">
        <v>13</v>
      </c>
      <c r="S5889" t="s">
        <v>144</v>
      </c>
      <c r="T5889" s="2">
        <f>MASTER[[#This Row],[CANTIDAD]]*MASTER[[#This Row],[PRECIO DE VENTA]]</f>
        <v>1148</v>
      </c>
      <c r="U5889" s="2">
        <f>MASTER[[#This Row],[CANTIDAD]]*MASTER[[#This Row],[COSTO UNITARIO]]</f>
        <v>397</v>
      </c>
      <c r="V5889" s="2">
        <f>MASTER[[#This Row],[MONTO VENDIDO]]-MASTER[[#This Row],[COSTO DE VENTA]]</f>
        <v>751</v>
      </c>
    </row>
    <row r="5890" spans="1:22" x14ac:dyDescent="0.3">
      <c r="A5890">
        <v>82208</v>
      </c>
      <c r="B5890">
        <v>1</v>
      </c>
      <c r="C5890" t="s">
        <v>111</v>
      </c>
      <c r="D5890" t="s">
        <v>112</v>
      </c>
      <c r="E5890" s="1">
        <v>44467</v>
      </c>
      <c r="F5890">
        <v>1</v>
      </c>
      <c r="G5890" t="s">
        <v>65</v>
      </c>
      <c r="H5890" t="s">
        <v>66</v>
      </c>
      <c r="I5890" s="3">
        <v>1799</v>
      </c>
      <c r="J5890" s="3">
        <v>1799</v>
      </c>
      <c r="K5890" s="3">
        <v>434</v>
      </c>
      <c r="L5890" t="s">
        <v>113</v>
      </c>
      <c r="M5890">
        <v>1</v>
      </c>
      <c r="N5890" t="s">
        <v>77</v>
      </c>
      <c r="O5890" t="s">
        <v>70</v>
      </c>
      <c r="P5890" t="s">
        <v>71</v>
      </c>
      <c r="Q5890" t="s">
        <v>72</v>
      </c>
      <c r="R5890" t="s">
        <v>139</v>
      </c>
      <c r="S5890" t="s">
        <v>144</v>
      </c>
      <c r="T5890" s="2">
        <f>MASTER[[#This Row],[CANTIDAD]]*MASTER[[#This Row],[PRECIO DE VENTA]]</f>
        <v>1799</v>
      </c>
      <c r="U5890" s="2">
        <f>MASTER[[#This Row],[CANTIDAD]]*MASTER[[#This Row],[COSTO UNITARIO]]</f>
        <v>434</v>
      </c>
      <c r="V5890" s="2">
        <f>MASTER[[#This Row],[MONTO VENDIDO]]-MASTER[[#This Row],[COSTO DE VENTA]]</f>
        <v>1365</v>
      </c>
    </row>
    <row r="5891" spans="1:22" x14ac:dyDescent="0.3">
      <c r="A5891">
        <v>82227</v>
      </c>
      <c r="B5891">
        <v>1</v>
      </c>
      <c r="C5891" t="s">
        <v>107</v>
      </c>
      <c r="D5891" t="s">
        <v>108</v>
      </c>
      <c r="E5891" s="1">
        <v>44467</v>
      </c>
      <c r="F5891">
        <v>1</v>
      </c>
      <c r="G5891" t="s">
        <v>45</v>
      </c>
      <c r="H5891" t="s">
        <v>46</v>
      </c>
      <c r="I5891" s="3">
        <v>1440</v>
      </c>
      <c r="J5891" s="3">
        <v>1440</v>
      </c>
      <c r="K5891" s="3">
        <v>380</v>
      </c>
      <c r="L5891" t="s">
        <v>98</v>
      </c>
      <c r="M5891">
        <v>6</v>
      </c>
      <c r="N5891" t="s">
        <v>75</v>
      </c>
      <c r="O5891" t="s">
        <v>70</v>
      </c>
      <c r="P5891" t="s">
        <v>12</v>
      </c>
      <c r="Q5891" t="s">
        <v>13</v>
      </c>
      <c r="R5891" t="s">
        <v>13</v>
      </c>
      <c r="S5891" t="s">
        <v>144</v>
      </c>
      <c r="T5891" s="2">
        <f>MASTER[[#This Row],[CANTIDAD]]*MASTER[[#This Row],[PRECIO DE VENTA]]</f>
        <v>1440</v>
      </c>
      <c r="U5891" s="2">
        <f>MASTER[[#This Row],[CANTIDAD]]*MASTER[[#This Row],[COSTO UNITARIO]]</f>
        <v>380</v>
      </c>
      <c r="V5891" s="2">
        <f>MASTER[[#This Row],[MONTO VENDIDO]]-MASTER[[#This Row],[COSTO DE VENTA]]</f>
        <v>1060</v>
      </c>
    </row>
    <row r="5892" spans="1:22" x14ac:dyDescent="0.3">
      <c r="A5892">
        <v>82232</v>
      </c>
      <c r="B5892">
        <v>1</v>
      </c>
      <c r="C5892" t="s">
        <v>109</v>
      </c>
      <c r="D5892" t="s">
        <v>110</v>
      </c>
      <c r="E5892" s="1">
        <v>44467</v>
      </c>
      <c r="F5892">
        <v>1</v>
      </c>
      <c r="G5892" t="s">
        <v>29</v>
      </c>
      <c r="H5892" t="s">
        <v>30</v>
      </c>
      <c r="I5892" s="3">
        <v>1064</v>
      </c>
      <c r="J5892" s="3">
        <v>1064</v>
      </c>
      <c r="K5892" s="3">
        <v>387</v>
      </c>
      <c r="L5892" t="s">
        <v>98</v>
      </c>
      <c r="M5892">
        <v>5</v>
      </c>
      <c r="N5892" t="s">
        <v>85</v>
      </c>
      <c r="O5892" t="s">
        <v>81</v>
      </c>
      <c r="P5892" t="s">
        <v>12</v>
      </c>
      <c r="Q5892" t="s">
        <v>13</v>
      </c>
      <c r="R5892" t="s">
        <v>13</v>
      </c>
      <c r="S5892" t="s">
        <v>144</v>
      </c>
      <c r="T5892" s="2">
        <f>MASTER[[#This Row],[CANTIDAD]]*MASTER[[#This Row],[PRECIO DE VENTA]]</f>
        <v>1064</v>
      </c>
      <c r="U5892" s="2">
        <f>MASTER[[#This Row],[CANTIDAD]]*MASTER[[#This Row],[COSTO UNITARIO]]</f>
        <v>387</v>
      </c>
      <c r="V5892" s="2">
        <f>MASTER[[#This Row],[MONTO VENDIDO]]-MASTER[[#This Row],[COSTO DE VENTA]]</f>
        <v>677</v>
      </c>
    </row>
    <row r="5893" spans="1:22" x14ac:dyDescent="0.3">
      <c r="A5893">
        <v>82234</v>
      </c>
      <c r="B5893">
        <v>1</v>
      </c>
      <c r="C5893" t="s">
        <v>109</v>
      </c>
      <c r="D5893" t="s">
        <v>110</v>
      </c>
      <c r="E5893" s="1">
        <v>44467</v>
      </c>
      <c r="F5893">
        <v>1</v>
      </c>
      <c r="G5893" t="s">
        <v>59</v>
      </c>
      <c r="H5893" t="s">
        <v>60</v>
      </c>
      <c r="I5893" s="3">
        <v>1064</v>
      </c>
      <c r="J5893" s="3">
        <v>1064</v>
      </c>
      <c r="K5893" s="3">
        <v>387</v>
      </c>
      <c r="L5893" t="s">
        <v>98</v>
      </c>
      <c r="M5893">
        <v>2</v>
      </c>
      <c r="N5893" t="s">
        <v>86</v>
      </c>
      <c r="O5893" t="s">
        <v>81</v>
      </c>
      <c r="P5893" t="s">
        <v>71</v>
      </c>
      <c r="Q5893" t="s">
        <v>72</v>
      </c>
      <c r="R5893" t="s">
        <v>139</v>
      </c>
      <c r="S5893" t="s">
        <v>144</v>
      </c>
      <c r="T5893" s="2">
        <f>MASTER[[#This Row],[CANTIDAD]]*MASTER[[#This Row],[PRECIO DE VENTA]]</f>
        <v>1064</v>
      </c>
      <c r="U5893" s="2">
        <f>MASTER[[#This Row],[CANTIDAD]]*MASTER[[#This Row],[COSTO UNITARIO]]</f>
        <v>387</v>
      </c>
      <c r="V5893" s="2">
        <f>MASTER[[#This Row],[MONTO VENDIDO]]-MASTER[[#This Row],[COSTO DE VENTA]]</f>
        <v>677</v>
      </c>
    </row>
    <row r="5894" spans="1:22" x14ac:dyDescent="0.3">
      <c r="A5894">
        <v>82239</v>
      </c>
      <c r="B5894">
        <v>1</v>
      </c>
      <c r="C5894" t="s">
        <v>107</v>
      </c>
      <c r="D5894" t="s">
        <v>108</v>
      </c>
      <c r="E5894" s="1">
        <v>44467</v>
      </c>
      <c r="F5894">
        <v>1</v>
      </c>
      <c r="G5894" t="s">
        <v>24</v>
      </c>
      <c r="H5894" t="s">
        <v>25</v>
      </c>
      <c r="I5894" s="3">
        <v>1333</v>
      </c>
      <c r="J5894" s="3">
        <v>1333</v>
      </c>
      <c r="K5894" s="3">
        <v>380</v>
      </c>
      <c r="L5894" t="s">
        <v>98</v>
      </c>
      <c r="M5894">
        <v>5</v>
      </c>
      <c r="N5894" t="s">
        <v>85</v>
      </c>
      <c r="O5894" t="s">
        <v>81</v>
      </c>
      <c r="P5894" t="s">
        <v>12</v>
      </c>
      <c r="Q5894" t="s">
        <v>13</v>
      </c>
      <c r="R5894" t="s">
        <v>13</v>
      </c>
      <c r="S5894" t="s">
        <v>144</v>
      </c>
      <c r="T5894" s="2">
        <f>MASTER[[#This Row],[CANTIDAD]]*MASTER[[#This Row],[PRECIO DE VENTA]]</f>
        <v>1333</v>
      </c>
      <c r="U5894" s="2">
        <f>MASTER[[#This Row],[CANTIDAD]]*MASTER[[#This Row],[COSTO UNITARIO]]</f>
        <v>380</v>
      </c>
      <c r="V5894" s="2">
        <f>MASTER[[#This Row],[MONTO VENDIDO]]-MASTER[[#This Row],[COSTO DE VENTA]]</f>
        <v>953</v>
      </c>
    </row>
    <row r="5895" spans="1:22" x14ac:dyDescent="0.3">
      <c r="A5895">
        <v>82253</v>
      </c>
      <c r="B5895">
        <v>1</v>
      </c>
      <c r="C5895" t="s">
        <v>107</v>
      </c>
      <c r="D5895" t="s">
        <v>108</v>
      </c>
      <c r="E5895" s="1">
        <v>44468</v>
      </c>
      <c r="F5895">
        <v>1</v>
      </c>
      <c r="G5895" t="s">
        <v>53</v>
      </c>
      <c r="H5895" t="s">
        <v>54</v>
      </c>
      <c r="I5895" s="3">
        <v>1333</v>
      </c>
      <c r="J5895" s="3">
        <v>1279</v>
      </c>
      <c r="K5895" s="3">
        <v>380</v>
      </c>
      <c r="L5895" t="s">
        <v>98</v>
      </c>
      <c r="M5895">
        <v>2</v>
      </c>
      <c r="N5895" t="s">
        <v>86</v>
      </c>
      <c r="O5895" t="s">
        <v>81</v>
      </c>
      <c r="P5895" t="s">
        <v>71</v>
      </c>
      <c r="Q5895" t="s">
        <v>72</v>
      </c>
      <c r="R5895" t="s">
        <v>139</v>
      </c>
      <c r="S5895" t="s">
        <v>144</v>
      </c>
      <c r="T5895" s="2">
        <f>MASTER[[#This Row],[CANTIDAD]]*MASTER[[#This Row],[PRECIO DE VENTA]]</f>
        <v>1279</v>
      </c>
      <c r="U5895" s="2">
        <f>MASTER[[#This Row],[CANTIDAD]]*MASTER[[#This Row],[COSTO UNITARIO]]</f>
        <v>380</v>
      </c>
      <c r="V5895" s="2">
        <f>MASTER[[#This Row],[MONTO VENDIDO]]-MASTER[[#This Row],[COSTO DE VENTA]]</f>
        <v>899</v>
      </c>
    </row>
    <row r="5896" spans="1:22" x14ac:dyDescent="0.3">
      <c r="A5896">
        <v>82256</v>
      </c>
      <c r="B5896">
        <v>1</v>
      </c>
      <c r="C5896" t="s">
        <v>92</v>
      </c>
      <c r="D5896" t="s">
        <v>93</v>
      </c>
      <c r="E5896" s="1">
        <v>44468</v>
      </c>
      <c r="F5896">
        <v>1</v>
      </c>
      <c r="G5896" t="s">
        <v>61</v>
      </c>
      <c r="H5896" t="s">
        <v>62</v>
      </c>
      <c r="I5896" s="3">
        <v>1479</v>
      </c>
      <c r="J5896" s="3">
        <v>1479</v>
      </c>
      <c r="K5896" s="3">
        <v>396</v>
      </c>
      <c r="L5896" t="s">
        <v>9</v>
      </c>
      <c r="M5896">
        <v>12</v>
      </c>
      <c r="N5896" t="s">
        <v>26</v>
      </c>
      <c r="O5896" t="s">
        <v>11</v>
      </c>
      <c r="P5896" t="s">
        <v>12</v>
      </c>
      <c r="Q5896" t="s">
        <v>13</v>
      </c>
      <c r="R5896" t="s">
        <v>13</v>
      </c>
      <c r="S5896" t="s">
        <v>144</v>
      </c>
      <c r="T5896" s="2">
        <f>MASTER[[#This Row],[CANTIDAD]]*MASTER[[#This Row],[PRECIO DE VENTA]]</f>
        <v>1479</v>
      </c>
      <c r="U5896" s="2">
        <f>MASTER[[#This Row],[CANTIDAD]]*MASTER[[#This Row],[COSTO UNITARIO]]</f>
        <v>396</v>
      </c>
      <c r="V5896" s="2">
        <f>MASTER[[#This Row],[MONTO VENDIDO]]-MASTER[[#This Row],[COSTO DE VENTA]]</f>
        <v>1083</v>
      </c>
    </row>
    <row r="5897" spans="1:22" x14ac:dyDescent="0.3">
      <c r="A5897">
        <v>82274</v>
      </c>
      <c r="B5897">
        <v>1</v>
      </c>
      <c r="C5897" t="s">
        <v>121</v>
      </c>
      <c r="D5897" t="s">
        <v>122</v>
      </c>
      <c r="E5897" s="1">
        <v>44468</v>
      </c>
      <c r="F5897">
        <v>1</v>
      </c>
      <c r="G5897" t="s">
        <v>39</v>
      </c>
      <c r="H5897" t="s">
        <v>40</v>
      </c>
      <c r="I5897" s="3">
        <v>1069</v>
      </c>
      <c r="J5897" s="3">
        <v>983</v>
      </c>
      <c r="K5897" s="3">
        <v>460</v>
      </c>
      <c r="L5897" t="s">
        <v>120</v>
      </c>
      <c r="M5897">
        <v>19</v>
      </c>
      <c r="N5897" t="s">
        <v>89</v>
      </c>
      <c r="O5897" t="s">
        <v>81</v>
      </c>
      <c r="P5897" t="s">
        <v>15</v>
      </c>
      <c r="Q5897" t="s">
        <v>16</v>
      </c>
      <c r="R5897" t="s">
        <v>16</v>
      </c>
      <c r="S5897" t="s">
        <v>144</v>
      </c>
      <c r="T5897" s="2">
        <f>MASTER[[#This Row],[CANTIDAD]]*MASTER[[#This Row],[PRECIO DE VENTA]]</f>
        <v>983</v>
      </c>
      <c r="U5897" s="2">
        <f>MASTER[[#This Row],[CANTIDAD]]*MASTER[[#This Row],[COSTO UNITARIO]]</f>
        <v>460</v>
      </c>
      <c r="V5897" s="2">
        <f>MASTER[[#This Row],[MONTO VENDIDO]]-MASTER[[#This Row],[COSTO DE VENTA]]</f>
        <v>523</v>
      </c>
    </row>
    <row r="5898" spans="1:22" x14ac:dyDescent="0.3">
      <c r="A5898">
        <v>82277</v>
      </c>
      <c r="B5898">
        <v>1</v>
      </c>
      <c r="C5898" t="s">
        <v>92</v>
      </c>
      <c r="D5898" t="s">
        <v>93</v>
      </c>
      <c r="E5898" s="1">
        <v>44468</v>
      </c>
      <c r="F5898">
        <v>1</v>
      </c>
      <c r="G5898" t="s">
        <v>29</v>
      </c>
      <c r="H5898" t="s">
        <v>30</v>
      </c>
      <c r="I5898" s="3">
        <v>1681</v>
      </c>
      <c r="J5898" s="3">
        <v>1681</v>
      </c>
      <c r="K5898" s="3">
        <v>396</v>
      </c>
      <c r="L5898" t="s">
        <v>9</v>
      </c>
      <c r="M5898">
        <v>8</v>
      </c>
      <c r="N5898" t="s">
        <v>80</v>
      </c>
      <c r="O5898" t="s">
        <v>81</v>
      </c>
      <c r="P5898" t="s">
        <v>12</v>
      </c>
      <c r="Q5898" t="s">
        <v>13</v>
      </c>
      <c r="R5898" t="s">
        <v>13</v>
      </c>
      <c r="S5898" t="s">
        <v>144</v>
      </c>
      <c r="T5898" s="2">
        <f>MASTER[[#This Row],[CANTIDAD]]*MASTER[[#This Row],[PRECIO DE VENTA]]</f>
        <v>1681</v>
      </c>
      <c r="U5898" s="2">
        <f>MASTER[[#This Row],[CANTIDAD]]*MASTER[[#This Row],[COSTO UNITARIO]]</f>
        <v>396</v>
      </c>
      <c r="V5898" s="2">
        <f>MASTER[[#This Row],[MONTO VENDIDO]]-MASTER[[#This Row],[COSTO DE VENTA]]</f>
        <v>1285</v>
      </c>
    </row>
    <row r="5899" spans="1:22" x14ac:dyDescent="0.3">
      <c r="A5899">
        <v>82279</v>
      </c>
      <c r="B5899">
        <v>1</v>
      </c>
      <c r="C5899" t="s">
        <v>99</v>
      </c>
      <c r="D5899" t="s">
        <v>100</v>
      </c>
      <c r="E5899" s="1">
        <v>44468</v>
      </c>
      <c r="F5899">
        <v>3</v>
      </c>
      <c r="G5899" t="s">
        <v>49</v>
      </c>
      <c r="H5899" t="s">
        <v>50</v>
      </c>
      <c r="I5899" s="3">
        <v>1459</v>
      </c>
      <c r="J5899" s="3">
        <v>1459</v>
      </c>
      <c r="K5899" s="3">
        <v>386</v>
      </c>
      <c r="L5899" t="s">
        <v>98</v>
      </c>
      <c r="M5899">
        <v>10</v>
      </c>
      <c r="N5899" t="s">
        <v>83</v>
      </c>
      <c r="O5899" t="s">
        <v>81</v>
      </c>
      <c r="P5899" t="s">
        <v>12</v>
      </c>
      <c r="Q5899" t="s">
        <v>13</v>
      </c>
      <c r="R5899" t="s">
        <v>13</v>
      </c>
      <c r="S5899" t="s">
        <v>144</v>
      </c>
      <c r="T5899" s="2">
        <f>MASTER[[#This Row],[CANTIDAD]]*MASTER[[#This Row],[PRECIO DE VENTA]]</f>
        <v>4377</v>
      </c>
      <c r="U5899" s="2">
        <f>MASTER[[#This Row],[CANTIDAD]]*MASTER[[#This Row],[COSTO UNITARIO]]</f>
        <v>1158</v>
      </c>
      <c r="V5899" s="2">
        <f>MASTER[[#This Row],[MONTO VENDIDO]]-MASTER[[#This Row],[COSTO DE VENTA]]</f>
        <v>3219</v>
      </c>
    </row>
    <row r="5900" spans="1:22" x14ac:dyDescent="0.3">
      <c r="A5900">
        <v>82289</v>
      </c>
      <c r="B5900">
        <v>1</v>
      </c>
      <c r="C5900" t="s">
        <v>109</v>
      </c>
      <c r="D5900" t="s">
        <v>110</v>
      </c>
      <c r="E5900" s="1">
        <v>44468</v>
      </c>
      <c r="F5900">
        <v>1</v>
      </c>
      <c r="G5900" t="s">
        <v>67</v>
      </c>
      <c r="H5900" t="s">
        <v>68</v>
      </c>
      <c r="I5900" s="3">
        <v>1128</v>
      </c>
      <c r="J5900" s="3">
        <v>1128</v>
      </c>
      <c r="K5900" s="3">
        <v>387</v>
      </c>
      <c r="L5900" t="s">
        <v>98</v>
      </c>
      <c r="M5900">
        <v>3</v>
      </c>
      <c r="N5900" t="s">
        <v>69</v>
      </c>
      <c r="O5900" t="s">
        <v>70</v>
      </c>
      <c r="P5900" t="s">
        <v>71</v>
      </c>
      <c r="Q5900" t="s">
        <v>72</v>
      </c>
      <c r="R5900" t="s">
        <v>139</v>
      </c>
      <c r="S5900" t="s">
        <v>144</v>
      </c>
      <c r="T5900" s="2">
        <f>MASTER[[#This Row],[CANTIDAD]]*MASTER[[#This Row],[PRECIO DE VENTA]]</f>
        <v>1128</v>
      </c>
      <c r="U5900" s="2">
        <f>MASTER[[#This Row],[CANTIDAD]]*MASTER[[#This Row],[COSTO UNITARIO]]</f>
        <v>387</v>
      </c>
      <c r="V5900" s="2">
        <f>MASTER[[#This Row],[MONTO VENDIDO]]-MASTER[[#This Row],[COSTO DE VENTA]]</f>
        <v>741</v>
      </c>
    </row>
    <row r="5901" spans="1:22" x14ac:dyDescent="0.3">
      <c r="A5901">
        <v>82291</v>
      </c>
      <c r="B5901">
        <v>1</v>
      </c>
      <c r="C5901" t="s">
        <v>92</v>
      </c>
      <c r="D5901" t="s">
        <v>93</v>
      </c>
      <c r="E5901" s="1">
        <v>44468</v>
      </c>
      <c r="F5901">
        <v>4</v>
      </c>
      <c r="G5901" t="s">
        <v>43</v>
      </c>
      <c r="H5901" t="s">
        <v>44</v>
      </c>
      <c r="I5901" s="3">
        <v>1681</v>
      </c>
      <c r="J5901" s="3">
        <v>1681</v>
      </c>
      <c r="K5901" s="3">
        <v>396</v>
      </c>
      <c r="L5901" t="s">
        <v>9</v>
      </c>
      <c r="M5901">
        <v>2</v>
      </c>
      <c r="N5901" t="s">
        <v>86</v>
      </c>
      <c r="O5901" t="s">
        <v>81</v>
      </c>
      <c r="P5901" t="s">
        <v>71</v>
      </c>
      <c r="Q5901" t="s">
        <v>72</v>
      </c>
      <c r="R5901" t="s">
        <v>139</v>
      </c>
      <c r="S5901" t="s">
        <v>144</v>
      </c>
      <c r="T5901" s="2">
        <f>MASTER[[#This Row],[CANTIDAD]]*MASTER[[#This Row],[PRECIO DE VENTA]]</f>
        <v>6724</v>
      </c>
      <c r="U5901" s="2">
        <f>MASTER[[#This Row],[CANTIDAD]]*MASTER[[#This Row],[COSTO UNITARIO]]</f>
        <v>1584</v>
      </c>
      <c r="V5901" s="2">
        <f>MASTER[[#This Row],[MONTO VENDIDO]]-MASTER[[#This Row],[COSTO DE VENTA]]</f>
        <v>5140</v>
      </c>
    </row>
    <row r="5902" spans="1:22" x14ac:dyDescent="0.3">
      <c r="A5902">
        <v>82302</v>
      </c>
      <c r="B5902">
        <v>1</v>
      </c>
      <c r="C5902" t="s">
        <v>107</v>
      </c>
      <c r="D5902" t="s">
        <v>108</v>
      </c>
      <c r="E5902" s="1">
        <v>44469</v>
      </c>
      <c r="F5902">
        <v>1</v>
      </c>
      <c r="G5902" t="s">
        <v>43</v>
      </c>
      <c r="H5902" t="s">
        <v>44</v>
      </c>
      <c r="I5902" s="3">
        <v>1333</v>
      </c>
      <c r="J5902" s="3">
        <v>1333</v>
      </c>
      <c r="K5902" s="3">
        <v>380</v>
      </c>
      <c r="L5902" t="s">
        <v>98</v>
      </c>
      <c r="M5902">
        <v>15</v>
      </c>
      <c r="N5902" t="s">
        <v>88</v>
      </c>
      <c r="O5902" t="s">
        <v>81</v>
      </c>
      <c r="P5902" t="s">
        <v>18</v>
      </c>
      <c r="Q5902" t="s">
        <v>19</v>
      </c>
      <c r="R5902" t="s">
        <v>138</v>
      </c>
      <c r="S5902" t="s">
        <v>144</v>
      </c>
      <c r="T5902" s="2">
        <f>MASTER[[#This Row],[CANTIDAD]]*MASTER[[#This Row],[PRECIO DE VENTA]]</f>
        <v>1333</v>
      </c>
      <c r="U5902" s="2">
        <f>MASTER[[#This Row],[CANTIDAD]]*MASTER[[#This Row],[COSTO UNITARIO]]</f>
        <v>380</v>
      </c>
      <c r="V5902" s="2">
        <f>MASTER[[#This Row],[MONTO VENDIDO]]-MASTER[[#This Row],[COSTO DE VENTA]]</f>
        <v>953</v>
      </c>
    </row>
    <row r="5903" spans="1:22" x14ac:dyDescent="0.3">
      <c r="A5903">
        <v>82314</v>
      </c>
      <c r="B5903">
        <v>1</v>
      </c>
      <c r="C5903" t="s">
        <v>103</v>
      </c>
      <c r="D5903" t="s">
        <v>104</v>
      </c>
      <c r="E5903" s="1">
        <v>44469</v>
      </c>
      <c r="F5903">
        <v>1</v>
      </c>
      <c r="G5903" t="s">
        <v>7</v>
      </c>
      <c r="H5903" t="s">
        <v>8</v>
      </c>
      <c r="I5903" s="3">
        <v>1591</v>
      </c>
      <c r="J5903" s="3">
        <v>1591</v>
      </c>
      <c r="K5903" s="3">
        <v>421</v>
      </c>
      <c r="L5903" t="s">
        <v>98</v>
      </c>
      <c r="M5903">
        <v>2</v>
      </c>
      <c r="N5903" t="s">
        <v>86</v>
      </c>
      <c r="O5903" t="s">
        <v>81</v>
      </c>
      <c r="P5903" t="s">
        <v>71</v>
      </c>
      <c r="Q5903" t="s">
        <v>72</v>
      </c>
      <c r="R5903" t="s">
        <v>139</v>
      </c>
      <c r="S5903" t="s">
        <v>144</v>
      </c>
      <c r="T5903" s="2">
        <f>MASTER[[#This Row],[CANTIDAD]]*MASTER[[#This Row],[PRECIO DE VENTA]]</f>
        <v>1591</v>
      </c>
      <c r="U5903" s="2">
        <f>MASTER[[#This Row],[CANTIDAD]]*MASTER[[#This Row],[COSTO UNITARIO]]</f>
        <v>421</v>
      </c>
      <c r="V5903" s="2">
        <f>MASTER[[#This Row],[MONTO VENDIDO]]-MASTER[[#This Row],[COSTO DE VENTA]]</f>
        <v>1170</v>
      </c>
    </row>
    <row r="5904" spans="1:22" x14ac:dyDescent="0.3">
      <c r="A5904">
        <v>82353</v>
      </c>
      <c r="B5904">
        <v>1</v>
      </c>
      <c r="C5904" t="s">
        <v>103</v>
      </c>
      <c r="D5904" t="s">
        <v>104</v>
      </c>
      <c r="E5904" s="1">
        <v>44469</v>
      </c>
      <c r="F5904">
        <v>1</v>
      </c>
      <c r="G5904" t="s">
        <v>43</v>
      </c>
      <c r="H5904" t="s">
        <v>44</v>
      </c>
      <c r="I5904" s="3">
        <v>1830</v>
      </c>
      <c r="J5904" s="3">
        <v>1665</v>
      </c>
      <c r="K5904" s="3">
        <v>421</v>
      </c>
      <c r="L5904" t="s">
        <v>98</v>
      </c>
      <c r="M5904">
        <v>18</v>
      </c>
      <c r="N5904" t="s">
        <v>79</v>
      </c>
      <c r="O5904" t="s">
        <v>70</v>
      </c>
      <c r="P5904" t="s">
        <v>15</v>
      </c>
      <c r="Q5904" t="s">
        <v>16</v>
      </c>
      <c r="R5904" t="s">
        <v>16</v>
      </c>
      <c r="S5904" t="s">
        <v>144</v>
      </c>
      <c r="T5904" s="2">
        <f>MASTER[[#This Row],[CANTIDAD]]*MASTER[[#This Row],[PRECIO DE VENTA]]</f>
        <v>1665</v>
      </c>
      <c r="U5904" s="2">
        <f>MASTER[[#This Row],[CANTIDAD]]*MASTER[[#This Row],[COSTO UNITARIO]]</f>
        <v>421</v>
      </c>
      <c r="V5904" s="2">
        <f>MASTER[[#This Row],[MONTO VENDIDO]]-MASTER[[#This Row],[COSTO DE VENTA]]</f>
        <v>1244</v>
      </c>
    </row>
    <row r="5905" spans="1:22" x14ac:dyDescent="0.3">
      <c r="A5905">
        <v>82367</v>
      </c>
      <c r="B5905">
        <v>1</v>
      </c>
      <c r="C5905" t="s">
        <v>92</v>
      </c>
      <c r="D5905" t="s">
        <v>93</v>
      </c>
      <c r="E5905" s="1">
        <v>44469</v>
      </c>
      <c r="F5905">
        <v>1</v>
      </c>
      <c r="G5905" t="s">
        <v>63</v>
      </c>
      <c r="H5905" t="s">
        <v>64</v>
      </c>
      <c r="I5905" s="3">
        <v>1479</v>
      </c>
      <c r="J5905" s="3">
        <v>1479</v>
      </c>
      <c r="K5905" s="3">
        <v>396</v>
      </c>
      <c r="L5905" t="s">
        <v>9</v>
      </c>
      <c r="M5905">
        <v>11</v>
      </c>
      <c r="N5905" t="s">
        <v>10</v>
      </c>
      <c r="O5905" t="s">
        <v>11</v>
      </c>
      <c r="P5905" t="s">
        <v>12</v>
      </c>
      <c r="Q5905" t="s">
        <v>13</v>
      </c>
      <c r="R5905" t="s">
        <v>13</v>
      </c>
      <c r="S5905" t="s">
        <v>144</v>
      </c>
      <c r="T5905" s="2">
        <f>MASTER[[#This Row],[CANTIDAD]]*MASTER[[#This Row],[PRECIO DE VENTA]]</f>
        <v>1479</v>
      </c>
      <c r="U5905" s="2">
        <f>MASTER[[#This Row],[CANTIDAD]]*MASTER[[#This Row],[COSTO UNITARIO]]</f>
        <v>396</v>
      </c>
      <c r="V5905" s="2">
        <f>MASTER[[#This Row],[MONTO VENDIDO]]-MASTER[[#This Row],[COSTO DE VENTA]]</f>
        <v>1083</v>
      </c>
    </row>
    <row r="5906" spans="1:22" x14ac:dyDescent="0.3">
      <c r="A5906">
        <v>82382</v>
      </c>
      <c r="B5906">
        <v>1</v>
      </c>
      <c r="C5906" t="s">
        <v>94</v>
      </c>
      <c r="D5906" t="s">
        <v>95</v>
      </c>
      <c r="E5906" s="1">
        <v>44469</v>
      </c>
      <c r="F5906">
        <v>1</v>
      </c>
      <c r="G5906" t="s">
        <v>20</v>
      </c>
      <c r="H5906" t="s">
        <v>21</v>
      </c>
      <c r="I5906" s="3">
        <v>1048</v>
      </c>
      <c r="J5906" s="3">
        <v>1048</v>
      </c>
      <c r="K5906" s="3">
        <v>392</v>
      </c>
      <c r="L5906" t="s">
        <v>9</v>
      </c>
      <c r="M5906">
        <v>7</v>
      </c>
      <c r="N5906" t="s">
        <v>84</v>
      </c>
      <c r="O5906" t="s">
        <v>81</v>
      </c>
      <c r="P5906" t="s">
        <v>12</v>
      </c>
      <c r="Q5906" t="s">
        <v>13</v>
      </c>
      <c r="R5906" t="s">
        <v>13</v>
      </c>
      <c r="S5906" t="s">
        <v>144</v>
      </c>
      <c r="T5906" s="2">
        <f>MASTER[[#This Row],[CANTIDAD]]*MASTER[[#This Row],[PRECIO DE VENTA]]</f>
        <v>1048</v>
      </c>
      <c r="U5906" s="2">
        <f>MASTER[[#This Row],[CANTIDAD]]*MASTER[[#This Row],[COSTO UNITARIO]]</f>
        <v>392</v>
      </c>
      <c r="V5906" s="2">
        <f>MASTER[[#This Row],[MONTO VENDIDO]]-MASTER[[#This Row],[COSTO DE VENTA]]</f>
        <v>656</v>
      </c>
    </row>
    <row r="5907" spans="1:22" x14ac:dyDescent="0.3">
      <c r="A5907">
        <v>82388</v>
      </c>
      <c r="B5907">
        <v>1</v>
      </c>
      <c r="C5907" t="s">
        <v>114</v>
      </c>
      <c r="D5907" t="s">
        <v>115</v>
      </c>
      <c r="E5907" s="1">
        <v>44469</v>
      </c>
      <c r="F5907">
        <v>1</v>
      </c>
      <c r="G5907" t="s">
        <v>63</v>
      </c>
      <c r="H5907" t="s">
        <v>64</v>
      </c>
      <c r="I5907" s="3">
        <v>2030</v>
      </c>
      <c r="J5907" s="3">
        <v>1948</v>
      </c>
      <c r="K5907" s="3">
        <v>394</v>
      </c>
      <c r="L5907" t="s">
        <v>113</v>
      </c>
      <c r="M5907">
        <v>1</v>
      </c>
      <c r="N5907" t="s">
        <v>77</v>
      </c>
      <c r="O5907" t="s">
        <v>70</v>
      </c>
      <c r="P5907" t="s">
        <v>71</v>
      </c>
      <c r="Q5907" t="s">
        <v>72</v>
      </c>
      <c r="R5907" t="s">
        <v>139</v>
      </c>
      <c r="S5907" t="s">
        <v>144</v>
      </c>
      <c r="T5907" s="2">
        <f>MASTER[[#This Row],[CANTIDAD]]*MASTER[[#This Row],[PRECIO DE VENTA]]</f>
        <v>1948</v>
      </c>
      <c r="U5907" s="2">
        <f>MASTER[[#This Row],[CANTIDAD]]*MASTER[[#This Row],[COSTO UNITARIO]]</f>
        <v>394</v>
      </c>
      <c r="V5907" s="2">
        <f>MASTER[[#This Row],[MONTO VENDIDO]]-MASTER[[#This Row],[COSTO DE VENTA]]</f>
        <v>1554</v>
      </c>
    </row>
    <row r="5908" spans="1:22" x14ac:dyDescent="0.3">
      <c r="A5908">
        <v>82402</v>
      </c>
      <c r="B5908">
        <v>1</v>
      </c>
      <c r="C5908" t="s">
        <v>114</v>
      </c>
      <c r="D5908" t="s">
        <v>115</v>
      </c>
      <c r="E5908" s="1">
        <v>44469</v>
      </c>
      <c r="F5908">
        <v>1</v>
      </c>
      <c r="G5908" t="s">
        <v>45</v>
      </c>
      <c r="H5908" t="s">
        <v>46</v>
      </c>
      <c r="I5908" s="3">
        <v>2030</v>
      </c>
      <c r="J5908" s="3">
        <v>2030</v>
      </c>
      <c r="K5908" s="3">
        <v>394</v>
      </c>
      <c r="L5908" t="s">
        <v>113</v>
      </c>
      <c r="M5908">
        <v>9</v>
      </c>
      <c r="N5908" t="s">
        <v>76</v>
      </c>
      <c r="O5908" t="s">
        <v>70</v>
      </c>
      <c r="P5908" t="s">
        <v>12</v>
      </c>
      <c r="Q5908" t="s">
        <v>13</v>
      </c>
      <c r="R5908" t="s">
        <v>13</v>
      </c>
      <c r="S5908" t="s">
        <v>144</v>
      </c>
      <c r="T5908" s="2">
        <f>MASTER[[#This Row],[CANTIDAD]]*MASTER[[#This Row],[PRECIO DE VENTA]]</f>
        <v>2030</v>
      </c>
      <c r="U5908" s="2">
        <f>MASTER[[#This Row],[CANTIDAD]]*MASTER[[#This Row],[COSTO UNITARIO]]</f>
        <v>394</v>
      </c>
      <c r="V5908" s="2">
        <f>MASTER[[#This Row],[MONTO VENDIDO]]-MASTER[[#This Row],[COSTO DE VENTA]]</f>
        <v>1636</v>
      </c>
    </row>
    <row r="5909" spans="1:22" x14ac:dyDescent="0.3">
      <c r="A5909">
        <v>82411</v>
      </c>
      <c r="B5909">
        <v>1</v>
      </c>
      <c r="C5909" t="s">
        <v>101</v>
      </c>
      <c r="D5909" t="s">
        <v>102</v>
      </c>
      <c r="E5909" s="1">
        <v>44469</v>
      </c>
      <c r="F5909">
        <v>1</v>
      </c>
      <c r="G5909" t="s">
        <v>47</v>
      </c>
      <c r="H5909" t="s">
        <v>48</v>
      </c>
      <c r="I5909" s="3">
        <v>1357</v>
      </c>
      <c r="J5909" s="3">
        <v>1357</v>
      </c>
      <c r="K5909" s="3">
        <v>442</v>
      </c>
      <c r="L5909" t="s">
        <v>98</v>
      </c>
      <c r="M5909">
        <v>18</v>
      </c>
      <c r="N5909" t="s">
        <v>79</v>
      </c>
      <c r="O5909" t="s">
        <v>70</v>
      </c>
      <c r="P5909" t="s">
        <v>15</v>
      </c>
      <c r="Q5909" t="s">
        <v>16</v>
      </c>
      <c r="R5909" t="s">
        <v>16</v>
      </c>
      <c r="S5909" t="s">
        <v>144</v>
      </c>
      <c r="T5909" s="2">
        <f>MASTER[[#This Row],[CANTIDAD]]*MASTER[[#This Row],[PRECIO DE VENTA]]</f>
        <v>1357</v>
      </c>
      <c r="U5909" s="2">
        <f>MASTER[[#This Row],[CANTIDAD]]*MASTER[[#This Row],[COSTO UNITARIO]]</f>
        <v>442</v>
      </c>
      <c r="V5909" s="2">
        <f>MASTER[[#This Row],[MONTO VENDIDO]]-MASTER[[#This Row],[COSTO DE VENTA]]</f>
        <v>915</v>
      </c>
    </row>
    <row r="5910" spans="1:22" x14ac:dyDescent="0.3">
      <c r="A5910">
        <v>82431</v>
      </c>
      <c r="B5910">
        <v>1</v>
      </c>
      <c r="C5910" t="s">
        <v>5</v>
      </c>
      <c r="D5910" t="s">
        <v>6</v>
      </c>
      <c r="E5910" s="1">
        <v>44469</v>
      </c>
      <c r="F5910">
        <v>1</v>
      </c>
      <c r="G5910" t="s">
        <v>65</v>
      </c>
      <c r="H5910" t="s">
        <v>66</v>
      </c>
      <c r="I5910" s="3">
        <v>1507</v>
      </c>
      <c r="J5910" s="3">
        <v>1507</v>
      </c>
      <c r="K5910" s="3">
        <v>393</v>
      </c>
      <c r="L5910" t="s">
        <v>9</v>
      </c>
      <c r="M5910">
        <v>5</v>
      </c>
      <c r="N5910" t="s">
        <v>85</v>
      </c>
      <c r="O5910" t="s">
        <v>81</v>
      </c>
      <c r="P5910" t="s">
        <v>12</v>
      </c>
      <c r="Q5910" t="s">
        <v>13</v>
      </c>
      <c r="R5910" t="s">
        <v>13</v>
      </c>
      <c r="S5910" t="s">
        <v>144</v>
      </c>
      <c r="T5910" s="2">
        <f>MASTER[[#This Row],[CANTIDAD]]*MASTER[[#This Row],[PRECIO DE VENTA]]</f>
        <v>1507</v>
      </c>
      <c r="U5910" s="2">
        <f>MASTER[[#This Row],[CANTIDAD]]*MASTER[[#This Row],[COSTO UNITARIO]]</f>
        <v>393</v>
      </c>
      <c r="V5910" s="2">
        <f>MASTER[[#This Row],[MONTO VENDIDO]]-MASTER[[#This Row],[COSTO DE VENTA]]</f>
        <v>1114</v>
      </c>
    </row>
    <row r="5911" spans="1:22" x14ac:dyDescent="0.3">
      <c r="A5911">
        <v>82433</v>
      </c>
      <c r="B5911">
        <v>1</v>
      </c>
      <c r="C5911" t="s">
        <v>103</v>
      </c>
      <c r="D5911" t="s">
        <v>104</v>
      </c>
      <c r="E5911" s="1">
        <v>44469</v>
      </c>
      <c r="F5911">
        <v>1</v>
      </c>
      <c r="G5911" t="s">
        <v>24</v>
      </c>
      <c r="H5911" t="s">
        <v>25</v>
      </c>
      <c r="I5911" s="3">
        <v>1448</v>
      </c>
      <c r="J5911" s="3">
        <v>1448</v>
      </c>
      <c r="K5911" s="3">
        <v>421</v>
      </c>
      <c r="L5911" t="s">
        <v>98</v>
      </c>
      <c r="M5911">
        <v>11</v>
      </c>
      <c r="N5911" t="s">
        <v>10</v>
      </c>
      <c r="O5911" t="s">
        <v>11</v>
      </c>
      <c r="P5911" t="s">
        <v>12</v>
      </c>
      <c r="Q5911" t="s">
        <v>13</v>
      </c>
      <c r="R5911" t="s">
        <v>13</v>
      </c>
      <c r="S5911" t="s">
        <v>144</v>
      </c>
      <c r="T5911" s="2">
        <f>MASTER[[#This Row],[CANTIDAD]]*MASTER[[#This Row],[PRECIO DE VENTA]]</f>
        <v>1448</v>
      </c>
      <c r="U5911" s="2">
        <f>MASTER[[#This Row],[CANTIDAD]]*MASTER[[#This Row],[COSTO UNITARIO]]</f>
        <v>421</v>
      </c>
      <c r="V5911" s="2">
        <f>MASTER[[#This Row],[MONTO VENDIDO]]-MASTER[[#This Row],[COSTO DE VENTA]]</f>
        <v>1027</v>
      </c>
    </row>
    <row r="5912" spans="1:22" x14ac:dyDescent="0.3">
      <c r="A5912">
        <v>82440</v>
      </c>
      <c r="B5912">
        <v>1</v>
      </c>
      <c r="C5912" t="s">
        <v>105</v>
      </c>
      <c r="D5912" t="s">
        <v>106</v>
      </c>
      <c r="E5912" s="1">
        <v>44470</v>
      </c>
      <c r="F5912">
        <v>1</v>
      </c>
      <c r="G5912" t="s">
        <v>29</v>
      </c>
      <c r="H5912" t="s">
        <v>30</v>
      </c>
      <c r="I5912" s="3">
        <v>1865</v>
      </c>
      <c r="J5912" s="3">
        <v>1865</v>
      </c>
      <c r="K5912" s="3">
        <v>459</v>
      </c>
      <c r="L5912" t="s">
        <v>98</v>
      </c>
      <c r="M5912">
        <v>14</v>
      </c>
      <c r="N5912" t="s">
        <v>87</v>
      </c>
      <c r="O5912" t="s">
        <v>81</v>
      </c>
      <c r="P5912" t="s">
        <v>18</v>
      </c>
      <c r="Q5912" t="s">
        <v>19</v>
      </c>
      <c r="R5912" t="s">
        <v>138</v>
      </c>
      <c r="S5912" t="s">
        <v>144</v>
      </c>
      <c r="T5912" s="2">
        <f>MASTER[[#This Row],[CANTIDAD]]*MASTER[[#This Row],[PRECIO DE VENTA]]</f>
        <v>1865</v>
      </c>
      <c r="U5912" s="2">
        <f>MASTER[[#This Row],[CANTIDAD]]*MASTER[[#This Row],[COSTO UNITARIO]]</f>
        <v>459</v>
      </c>
      <c r="V5912" s="2">
        <f>MASTER[[#This Row],[MONTO VENDIDO]]-MASTER[[#This Row],[COSTO DE VENTA]]</f>
        <v>1406</v>
      </c>
    </row>
    <row r="5913" spans="1:22" x14ac:dyDescent="0.3">
      <c r="A5913">
        <v>82458</v>
      </c>
      <c r="B5913">
        <v>1</v>
      </c>
      <c r="C5913" t="s">
        <v>114</v>
      </c>
      <c r="D5913" t="s">
        <v>115</v>
      </c>
      <c r="E5913" s="1">
        <v>44470</v>
      </c>
      <c r="F5913">
        <v>1</v>
      </c>
      <c r="G5913" t="s">
        <v>45</v>
      </c>
      <c r="H5913" t="s">
        <v>46</v>
      </c>
      <c r="I5913" s="3">
        <v>1583</v>
      </c>
      <c r="J5913" s="3">
        <v>1583</v>
      </c>
      <c r="K5913" s="3">
        <v>394</v>
      </c>
      <c r="L5913" t="s">
        <v>113</v>
      </c>
      <c r="M5913">
        <v>17</v>
      </c>
      <c r="N5913" t="s">
        <v>14</v>
      </c>
      <c r="O5913" t="s">
        <v>11</v>
      </c>
      <c r="P5913" t="s">
        <v>15</v>
      </c>
      <c r="Q5913" t="s">
        <v>16</v>
      </c>
      <c r="R5913" t="s">
        <v>16</v>
      </c>
      <c r="S5913" t="s">
        <v>144</v>
      </c>
      <c r="T5913" s="2">
        <f>MASTER[[#This Row],[CANTIDAD]]*MASTER[[#This Row],[PRECIO DE VENTA]]</f>
        <v>1583</v>
      </c>
      <c r="U5913" s="2">
        <f>MASTER[[#This Row],[CANTIDAD]]*MASTER[[#This Row],[COSTO UNITARIO]]</f>
        <v>394</v>
      </c>
      <c r="V5913" s="2">
        <f>MASTER[[#This Row],[MONTO VENDIDO]]-MASTER[[#This Row],[COSTO DE VENTA]]</f>
        <v>1189</v>
      </c>
    </row>
    <row r="5914" spans="1:22" x14ac:dyDescent="0.3">
      <c r="A5914">
        <v>82471</v>
      </c>
      <c r="B5914">
        <v>1</v>
      </c>
      <c r="C5914" t="s">
        <v>116</v>
      </c>
      <c r="D5914" t="s">
        <v>117</v>
      </c>
      <c r="E5914" s="1">
        <v>44470</v>
      </c>
      <c r="F5914">
        <v>1</v>
      </c>
      <c r="G5914" t="s">
        <v>27</v>
      </c>
      <c r="H5914" t="s">
        <v>28</v>
      </c>
      <c r="I5914" s="3">
        <v>1999</v>
      </c>
      <c r="J5914" s="3">
        <v>1999</v>
      </c>
      <c r="K5914" s="3">
        <v>388</v>
      </c>
      <c r="L5914" t="s">
        <v>113</v>
      </c>
      <c r="M5914">
        <v>9</v>
      </c>
      <c r="N5914" t="s">
        <v>76</v>
      </c>
      <c r="O5914" t="s">
        <v>70</v>
      </c>
      <c r="P5914" t="s">
        <v>12</v>
      </c>
      <c r="Q5914" t="s">
        <v>13</v>
      </c>
      <c r="R5914" t="s">
        <v>13</v>
      </c>
      <c r="S5914" t="s">
        <v>144</v>
      </c>
      <c r="T5914" s="2">
        <f>MASTER[[#This Row],[CANTIDAD]]*MASTER[[#This Row],[PRECIO DE VENTA]]</f>
        <v>1999</v>
      </c>
      <c r="U5914" s="2">
        <f>MASTER[[#This Row],[CANTIDAD]]*MASTER[[#This Row],[COSTO UNITARIO]]</f>
        <v>388</v>
      </c>
      <c r="V5914" s="2">
        <f>MASTER[[#This Row],[MONTO VENDIDO]]-MASTER[[#This Row],[COSTO DE VENTA]]</f>
        <v>1611</v>
      </c>
    </row>
    <row r="5915" spans="1:22" x14ac:dyDescent="0.3">
      <c r="A5915">
        <v>82482</v>
      </c>
      <c r="B5915">
        <v>1</v>
      </c>
      <c r="C5915" t="s">
        <v>114</v>
      </c>
      <c r="D5915" t="s">
        <v>115</v>
      </c>
      <c r="E5915" s="1">
        <v>44470</v>
      </c>
      <c r="F5915">
        <v>1</v>
      </c>
      <c r="G5915" t="s">
        <v>24</v>
      </c>
      <c r="H5915" t="s">
        <v>25</v>
      </c>
      <c r="I5915" s="3">
        <v>1583</v>
      </c>
      <c r="J5915" s="3">
        <v>1583</v>
      </c>
      <c r="K5915" s="3">
        <v>394</v>
      </c>
      <c r="L5915" t="s">
        <v>113</v>
      </c>
      <c r="M5915">
        <v>12</v>
      </c>
      <c r="N5915" t="s">
        <v>26</v>
      </c>
      <c r="O5915" t="s">
        <v>11</v>
      </c>
      <c r="P5915" t="s">
        <v>12</v>
      </c>
      <c r="Q5915" t="s">
        <v>13</v>
      </c>
      <c r="R5915" t="s">
        <v>13</v>
      </c>
      <c r="S5915" t="s">
        <v>144</v>
      </c>
      <c r="T5915" s="2">
        <f>MASTER[[#This Row],[CANTIDAD]]*MASTER[[#This Row],[PRECIO DE VENTA]]</f>
        <v>1583</v>
      </c>
      <c r="U5915" s="2">
        <f>MASTER[[#This Row],[CANTIDAD]]*MASTER[[#This Row],[COSTO UNITARIO]]</f>
        <v>394</v>
      </c>
      <c r="V5915" s="2">
        <f>MASTER[[#This Row],[MONTO VENDIDO]]-MASTER[[#This Row],[COSTO DE VENTA]]</f>
        <v>1189</v>
      </c>
    </row>
    <row r="5916" spans="1:22" x14ac:dyDescent="0.3">
      <c r="A5916">
        <v>82490</v>
      </c>
      <c r="B5916">
        <v>1</v>
      </c>
      <c r="C5916" t="s">
        <v>5</v>
      </c>
      <c r="D5916" t="s">
        <v>6</v>
      </c>
      <c r="E5916" s="1">
        <v>44470</v>
      </c>
      <c r="F5916">
        <v>1</v>
      </c>
      <c r="G5916" t="s">
        <v>73</v>
      </c>
      <c r="H5916" t="s">
        <v>74</v>
      </c>
      <c r="I5916" s="3">
        <v>1507</v>
      </c>
      <c r="J5916" s="3">
        <v>1507</v>
      </c>
      <c r="K5916" s="3">
        <v>393</v>
      </c>
      <c r="L5916" t="s">
        <v>9</v>
      </c>
      <c r="M5916">
        <v>7</v>
      </c>
      <c r="N5916" t="s">
        <v>84</v>
      </c>
      <c r="O5916" t="s">
        <v>81</v>
      </c>
      <c r="P5916" t="s">
        <v>12</v>
      </c>
      <c r="Q5916" t="s">
        <v>13</v>
      </c>
      <c r="R5916" t="s">
        <v>13</v>
      </c>
      <c r="S5916" t="s">
        <v>144</v>
      </c>
      <c r="T5916" s="2">
        <f>MASTER[[#This Row],[CANTIDAD]]*MASTER[[#This Row],[PRECIO DE VENTA]]</f>
        <v>1507</v>
      </c>
      <c r="U5916" s="2">
        <f>MASTER[[#This Row],[CANTIDAD]]*MASTER[[#This Row],[COSTO UNITARIO]]</f>
        <v>393</v>
      </c>
      <c r="V5916" s="2">
        <f>MASTER[[#This Row],[MONTO VENDIDO]]-MASTER[[#This Row],[COSTO DE VENTA]]</f>
        <v>1114</v>
      </c>
    </row>
    <row r="5917" spans="1:22" x14ac:dyDescent="0.3">
      <c r="A5917">
        <v>82509</v>
      </c>
      <c r="B5917">
        <v>1</v>
      </c>
      <c r="C5917" t="s">
        <v>5</v>
      </c>
      <c r="D5917" t="s">
        <v>6</v>
      </c>
      <c r="E5917" s="1">
        <v>44470</v>
      </c>
      <c r="F5917">
        <v>1</v>
      </c>
      <c r="G5917" t="s">
        <v>22</v>
      </c>
      <c r="H5917" t="s">
        <v>23</v>
      </c>
      <c r="I5917" s="3">
        <v>1296</v>
      </c>
      <c r="J5917" s="3">
        <v>1179</v>
      </c>
      <c r="K5917" s="3">
        <v>393</v>
      </c>
      <c r="L5917" t="s">
        <v>9</v>
      </c>
      <c r="M5917">
        <v>18</v>
      </c>
      <c r="N5917" t="s">
        <v>79</v>
      </c>
      <c r="O5917" t="s">
        <v>70</v>
      </c>
      <c r="P5917" t="s">
        <v>15</v>
      </c>
      <c r="Q5917" t="s">
        <v>16</v>
      </c>
      <c r="R5917" t="s">
        <v>16</v>
      </c>
      <c r="S5917" t="s">
        <v>144</v>
      </c>
      <c r="T5917" s="2">
        <f>MASTER[[#This Row],[CANTIDAD]]*MASTER[[#This Row],[PRECIO DE VENTA]]</f>
        <v>1179</v>
      </c>
      <c r="U5917" s="2">
        <f>MASTER[[#This Row],[CANTIDAD]]*MASTER[[#This Row],[COSTO UNITARIO]]</f>
        <v>393</v>
      </c>
      <c r="V5917" s="2">
        <f>MASTER[[#This Row],[MONTO VENDIDO]]-MASTER[[#This Row],[COSTO DE VENTA]]</f>
        <v>786</v>
      </c>
    </row>
    <row r="5918" spans="1:22" x14ac:dyDescent="0.3">
      <c r="A5918">
        <v>82511</v>
      </c>
      <c r="B5918">
        <v>1</v>
      </c>
      <c r="C5918" t="s">
        <v>101</v>
      </c>
      <c r="D5918" t="s">
        <v>102</v>
      </c>
      <c r="E5918" s="1">
        <v>44470</v>
      </c>
      <c r="F5918">
        <v>1</v>
      </c>
      <c r="G5918" t="s">
        <v>65</v>
      </c>
      <c r="H5918" t="s">
        <v>66</v>
      </c>
      <c r="I5918" s="3">
        <v>1054</v>
      </c>
      <c r="J5918" s="3">
        <v>1054</v>
      </c>
      <c r="K5918" s="3">
        <v>442</v>
      </c>
      <c r="L5918" t="s">
        <v>98</v>
      </c>
      <c r="M5918">
        <v>16</v>
      </c>
      <c r="N5918" t="s">
        <v>17</v>
      </c>
      <c r="O5918" t="s">
        <v>11</v>
      </c>
      <c r="P5918" t="s">
        <v>18</v>
      </c>
      <c r="Q5918" t="s">
        <v>19</v>
      </c>
      <c r="R5918" t="s">
        <v>138</v>
      </c>
      <c r="S5918" t="s">
        <v>144</v>
      </c>
      <c r="T5918" s="2">
        <f>MASTER[[#This Row],[CANTIDAD]]*MASTER[[#This Row],[PRECIO DE VENTA]]</f>
        <v>1054</v>
      </c>
      <c r="U5918" s="2">
        <f>MASTER[[#This Row],[CANTIDAD]]*MASTER[[#This Row],[COSTO UNITARIO]]</f>
        <v>442</v>
      </c>
      <c r="V5918" s="2">
        <f>MASTER[[#This Row],[MONTO VENDIDO]]-MASTER[[#This Row],[COSTO DE VENTA]]</f>
        <v>612</v>
      </c>
    </row>
    <row r="5919" spans="1:22" x14ac:dyDescent="0.3">
      <c r="A5919">
        <v>82514</v>
      </c>
      <c r="B5919">
        <v>1</v>
      </c>
      <c r="C5919" t="s">
        <v>96</v>
      </c>
      <c r="D5919" t="s">
        <v>97</v>
      </c>
      <c r="E5919" s="1">
        <v>44470</v>
      </c>
      <c r="F5919">
        <v>1</v>
      </c>
      <c r="G5919" t="s">
        <v>24</v>
      </c>
      <c r="H5919" t="s">
        <v>25</v>
      </c>
      <c r="I5919" s="3">
        <v>1272</v>
      </c>
      <c r="J5919" s="3">
        <v>1272</v>
      </c>
      <c r="K5919" s="3">
        <v>397</v>
      </c>
      <c r="L5919" t="s">
        <v>98</v>
      </c>
      <c r="M5919">
        <v>19</v>
      </c>
      <c r="N5919" t="s">
        <v>89</v>
      </c>
      <c r="O5919" t="s">
        <v>81</v>
      </c>
      <c r="P5919" t="s">
        <v>15</v>
      </c>
      <c r="Q5919" t="s">
        <v>16</v>
      </c>
      <c r="R5919" t="s">
        <v>16</v>
      </c>
      <c r="S5919" t="s">
        <v>144</v>
      </c>
      <c r="T5919" s="2">
        <f>MASTER[[#This Row],[CANTIDAD]]*MASTER[[#This Row],[PRECIO DE VENTA]]</f>
        <v>1272</v>
      </c>
      <c r="U5919" s="2">
        <f>MASTER[[#This Row],[CANTIDAD]]*MASTER[[#This Row],[COSTO UNITARIO]]</f>
        <v>397</v>
      </c>
      <c r="V5919" s="2">
        <f>MASTER[[#This Row],[MONTO VENDIDO]]-MASTER[[#This Row],[COSTO DE VENTA]]</f>
        <v>875</v>
      </c>
    </row>
    <row r="5920" spans="1:22" x14ac:dyDescent="0.3">
      <c r="A5920">
        <v>82515</v>
      </c>
      <c r="B5920">
        <v>1</v>
      </c>
      <c r="C5920" t="s">
        <v>114</v>
      </c>
      <c r="D5920" t="s">
        <v>115</v>
      </c>
      <c r="E5920" s="1">
        <v>44470</v>
      </c>
      <c r="F5920">
        <v>1</v>
      </c>
      <c r="G5920" t="s">
        <v>47</v>
      </c>
      <c r="H5920" t="s">
        <v>48</v>
      </c>
      <c r="I5920" s="3">
        <v>2030</v>
      </c>
      <c r="J5920" s="3">
        <v>2030</v>
      </c>
      <c r="K5920" s="3">
        <v>394</v>
      </c>
      <c r="L5920" t="s">
        <v>113</v>
      </c>
      <c r="M5920">
        <v>6</v>
      </c>
      <c r="N5920" t="s">
        <v>75</v>
      </c>
      <c r="O5920" t="s">
        <v>70</v>
      </c>
      <c r="P5920" t="s">
        <v>12</v>
      </c>
      <c r="Q5920" t="s">
        <v>13</v>
      </c>
      <c r="R5920" t="s">
        <v>13</v>
      </c>
      <c r="S5920" t="s">
        <v>144</v>
      </c>
      <c r="T5920" s="2">
        <f>MASTER[[#This Row],[CANTIDAD]]*MASTER[[#This Row],[PRECIO DE VENTA]]</f>
        <v>2030</v>
      </c>
      <c r="U5920" s="2">
        <f>MASTER[[#This Row],[CANTIDAD]]*MASTER[[#This Row],[COSTO UNITARIO]]</f>
        <v>394</v>
      </c>
      <c r="V5920" s="2">
        <f>MASTER[[#This Row],[MONTO VENDIDO]]-MASTER[[#This Row],[COSTO DE VENTA]]</f>
        <v>1636</v>
      </c>
    </row>
    <row r="5921" spans="1:22" x14ac:dyDescent="0.3">
      <c r="A5921">
        <v>82519</v>
      </c>
      <c r="B5921">
        <v>1</v>
      </c>
      <c r="C5921" t="s">
        <v>109</v>
      </c>
      <c r="D5921" t="s">
        <v>110</v>
      </c>
      <c r="E5921" s="1">
        <v>44470</v>
      </c>
      <c r="F5921">
        <v>1</v>
      </c>
      <c r="G5921" t="s">
        <v>29</v>
      </c>
      <c r="H5921" t="s">
        <v>30</v>
      </c>
      <c r="I5921" s="3">
        <v>1064</v>
      </c>
      <c r="J5921" s="3">
        <v>1064</v>
      </c>
      <c r="K5921" s="3">
        <v>387</v>
      </c>
      <c r="L5921" t="s">
        <v>98</v>
      </c>
      <c r="M5921">
        <v>14</v>
      </c>
      <c r="N5921" t="s">
        <v>87</v>
      </c>
      <c r="O5921" t="s">
        <v>81</v>
      </c>
      <c r="P5921" t="s">
        <v>18</v>
      </c>
      <c r="Q5921" t="s">
        <v>19</v>
      </c>
      <c r="R5921" t="s">
        <v>138</v>
      </c>
      <c r="S5921" t="s">
        <v>144</v>
      </c>
      <c r="T5921" s="2">
        <f>MASTER[[#This Row],[CANTIDAD]]*MASTER[[#This Row],[PRECIO DE VENTA]]</f>
        <v>1064</v>
      </c>
      <c r="U5921" s="2">
        <f>MASTER[[#This Row],[CANTIDAD]]*MASTER[[#This Row],[COSTO UNITARIO]]</f>
        <v>387</v>
      </c>
      <c r="V5921" s="2">
        <f>MASTER[[#This Row],[MONTO VENDIDO]]-MASTER[[#This Row],[COSTO DE VENTA]]</f>
        <v>677</v>
      </c>
    </row>
    <row r="5922" spans="1:22" x14ac:dyDescent="0.3">
      <c r="A5922">
        <v>82547</v>
      </c>
      <c r="B5922">
        <v>1</v>
      </c>
      <c r="C5922" t="s">
        <v>5</v>
      </c>
      <c r="D5922" t="s">
        <v>6</v>
      </c>
      <c r="E5922" s="1">
        <v>44470</v>
      </c>
      <c r="F5922">
        <v>1</v>
      </c>
      <c r="G5922" t="s">
        <v>33</v>
      </c>
      <c r="H5922" t="s">
        <v>34</v>
      </c>
      <c r="I5922" s="3">
        <v>1507</v>
      </c>
      <c r="J5922" s="3">
        <v>1507</v>
      </c>
      <c r="K5922" s="3">
        <v>393</v>
      </c>
      <c r="L5922" t="s">
        <v>9</v>
      </c>
      <c r="M5922">
        <v>4</v>
      </c>
      <c r="N5922" t="s">
        <v>82</v>
      </c>
      <c r="O5922" t="s">
        <v>81</v>
      </c>
      <c r="P5922" t="s">
        <v>71</v>
      </c>
      <c r="Q5922" t="s">
        <v>72</v>
      </c>
      <c r="R5922" t="s">
        <v>139</v>
      </c>
      <c r="S5922" t="s">
        <v>144</v>
      </c>
      <c r="T5922" s="2">
        <f>MASTER[[#This Row],[CANTIDAD]]*MASTER[[#This Row],[PRECIO DE VENTA]]</f>
        <v>1507</v>
      </c>
      <c r="U5922" s="2">
        <f>MASTER[[#This Row],[CANTIDAD]]*MASTER[[#This Row],[COSTO UNITARIO]]</f>
        <v>393</v>
      </c>
      <c r="V5922" s="2">
        <f>MASTER[[#This Row],[MONTO VENDIDO]]-MASTER[[#This Row],[COSTO DE VENTA]]</f>
        <v>1114</v>
      </c>
    </row>
    <row r="5923" spans="1:22" x14ac:dyDescent="0.3">
      <c r="A5923">
        <v>82570</v>
      </c>
      <c r="B5923">
        <v>1</v>
      </c>
      <c r="C5923" t="s">
        <v>109</v>
      </c>
      <c r="D5923" t="s">
        <v>110</v>
      </c>
      <c r="E5923" s="1">
        <v>44470</v>
      </c>
      <c r="F5923">
        <v>1</v>
      </c>
      <c r="G5923" t="s">
        <v>35</v>
      </c>
      <c r="H5923" t="s">
        <v>36</v>
      </c>
      <c r="I5923" s="3">
        <v>1064</v>
      </c>
      <c r="J5923" s="3">
        <v>1064</v>
      </c>
      <c r="K5923" s="3">
        <v>387</v>
      </c>
      <c r="L5923" t="s">
        <v>98</v>
      </c>
      <c r="M5923">
        <v>8</v>
      </c>
      <c r="N5923" t="s">
        <v>80</v>
      </c>
      <c r="O5923" t="s">
        <v>81</v>
      </c>
      <c r="P5923" t="s">
        <v>12</v>
      </c>
      <c r="Q5923" t="s">
        <v>13</v>
      </c>
      <c r="R5923" t="s">
        <v>13</v>
      </c>
      <c r="S5923" t="s">
        <v>144</v>
      </c>
      <c r="T5923" s="2">
        <f>MASTER[[#This Row],[CANTIDAD]]*MASTER[[#This Row],[PRECIO DE VENTA]]</f>
        <v>1064</v>
      </c>
      <c r="U5923" s="2">
        <f>MASTER[[#This Row],[CANTIDAD]]*MASTER[[#This Row],[COSTO UNITARIO]]</f>
        <v>387</v>
      </c>
      <c r="V5923" s="2">
        <f>MASTER[[#This Row],[MONTO VENDIDO]]-MASTER[[#This Row],[COSTO DE VENTA]]</f>
        <v>677</v>
      </c>
    </row>
    <row r="5924" spans="1:22" x14ac:dyDescent="0.3">
      <c r="A5924">
        <v>82587</v>
      </c>
      <c r="B5924">
        <v>1</v>
      </c>
      <c r="C5924" t="s">
        <v>99</v>
      </c>
      <c r="D5924" t="s">
        <v>100</v>
      </c>
      <c r="E5924" s="1">
        <v>44470</v>
      </c>
      <c r="F5924">
        <v>1</v>
      </c>
      <c r="G5924" t="s">
        <v>22</v>
      </c>
      <c r="H5924" t="s">
        <v>23</v>
      </c>
      <c r="I5924" s="3">
        <v>1328</v>
      </c>
      <c r="J5924" s="3">
        <v>1328</v>
      </c>
      <c r="K5924" s="3">
        <v>386</v>
      </c>
      <c r="L5924" t="s">
        <v>98</v>
      </c>
      <c r="M5924">
        <v>17</v>
      </c>
      <c r="N5924" t="s">
        <v>14</v>
      </c>
      <c r="O5924" t="s">
        <v>11</v>
      </c>
      <c r="P5924" t="s">
        <v>15</v>
      </c>
      <c r="Q5924" t="s">
        <v>16</v>
      </c>
      <c r="R5924" t="s">
        <v>16</v>
      </c>
      <c r="S5924" t="s">
        <v>144</v>
      </c>
      <c r="T5924" s="2">
        <f>MASTER[[#This Row],[CANTIDAD]]*MASTER[[#This Row],[PRECIO DE VENTA]]</f>
        <v>1328</v>
      </c>
      <c r="U5924" s="2">
        <f>MASTER[[#This Row],[CANTIDAD]]*MASTER[[#This Row],[COSTO UNITARIO]]</f>
        <v>386</v>
      </c>
      <c r="V5924" s="2">
        <f>MASTER[[#This Row],[MONTO VENDIDO]]-MASTER[[#This Row],[COSTO DE VENTA]]</f>
        <v>942</v>
      </c>
    </row>
    <row r="5925" spans="1:22" x14ac:dyDescent="0.3">
      <c r="A5925">
        <v>82605</v>
      </c>
      <c r="B5925">
        <v>1</v>
      </c>
      <c r="C5925" t="s">
        <v>114</v>
      </c>
      <c r="D5925" t="s">
        <v>115</v>
      </c>
      <c r="E5925" s="1">
        <v>44470</v>
      </c>
      <c r="F5925">
        <v>1</v>
      </c>
      <c r="G5925" t="s">
        <v>57</v>
      </c>
      <c r="H5925" t="s">
        <v>58</v>
      </c>
      <c r="I5925" s="3">
        <v>1862</v>
      </c>
      <c r="J5925" s="3">
        <v>1862</v>
      </c>
      <c r="K5925" s="3">
        <v>394</v>
      </c>
      <c r="L5925" t="s">
        <v>113</v>
      </c>
      <c r="M5925">
        <v>7</v>
      </c>
      <c r="N5925" t="s">
        <v>84</v>
      </c>
      <c r="O5925" t="s">
        <v>81</v>
      </c>
      <c r="P5925" t="s">
        <v>12</v>
      </c>
      <c r="Q5925" t="s">
        <v>13</v>
      </c>
      <c r="R5925" t="s">
        <v>13</v>
      </c>
      <c r="S5925" t="s">
        <v>144</v>
      </c>
      <c r="T5925" s="2">
        <f>MASTER[[#This Row],[CANTIDAD]]*MASTER[[#This Row],[PRECIO DE VENTA]]</f>
        <v>1862</v>
      </c>
      <c r="U5925" s="2">
        <f>MASTER[[#This Row],[CANTIDAD]]*MASTER[[#This Row],[COSTO UNITARIO]]</f>
        <v>394</v>
      </c>
      <c r="V5925" s="2">
        <f>MASTER[[#This Row],[MONTO VENDIDO]]-MASTER[[#This Row],[COSTO DE VENTA]]</f>
        <v>1468</v>
      </c>
    </row>
    <row r="5926" spans="1:22" x14ac:dyDescent="0.3">
      <c r="A5926">
        <v>82624</v>
      </c>
      <c r="B5926">
        <v>1</v>
      </c>
      <c r="C5926" t="s">
        <v>105</v>
      </c>
      <c r="D5926" t="s">
        <v>106</v>
      </c>
      <c r="E5926" s="1">
        <v>44470</v>
      </c>
      <c r="F5926">
        <v>1</v>
      </c>
      <c r="G5926" t="s">
        <v>22</v>
      </c>
      <c r="H5926" t="s">
        <v>23</v>
      </c>
      <c r="I5926" s="3">
        <v>1865</v>
      </c>
      <c r="J5926" s="3">
        <v>1865</v>
      </c>
      <c r="K5926" s="3">
        <v>459</v>
      </c>
      <c r="L5926" t="s">
        <v>98</v>
      </c>
      <c r="M5926">
        <v>7</v>
      </c>
      <c r="N5926" t="s">
        <v>84</v>
      </c>
      <c r="O5926" t="s">
        <v>81</v>
      </c>
      <c r="P5926" t="s">
        <v>12</v>
      </c>
      <c r="Q5926" t="s">
        <v>13</v>
      </c>
      <c r="R5926" t="s">
        <v>13</v>
      </c>
      <c r="S5926" t="s">
        <v>144</v>
      </c>
      <c r="T5926" s="2">
        <f>MASTER[[#This Row],[CANTIDAD]]*MASTER[[#This Row],[PRECIO DE VENTA]]</f>
        <v>1865</v>
      </c>
      <c r="U5926" s="2">
        <f>MASTER[[#This Row],[CANTIDAD]]*MASTER[[#This Row],[COSTO UNITARIO]]</f>
        <v>459</v>
      </c>
      <c r="V5926" s="2">
        <f>MASTER[[#This Row],[MONTO VENDIDO]]-MASTER[[#This Row],[COSTO DE VENTA]]</f>
        <v>1406</v>
      </c>
    </row>
    <row r="5927" spans="1:22" x14ac:dyDescent="0.3">
      <c r="A5927">
        <v>82672</v>
      </c>
      <c r="B5927">
        <v>1</v>
      </c>
      <c r="C5927" t="s">
        <v>105</v>
      </c>
      <c r="D5927" t="s">
        <v>106</v>
      </c>
      <c r="E5927" s="1">
        <v>44470</v>
      </c>
      <c r="F5927">
        <v>1</v>
      </c>
      <c r="G5927" t="s">
        <v>45</v>
      </c>
      <c r="H5927" t="s">
        <v>46</v>
      </c>
      <c r="I5927" s="3">
        <v>1865</v>
      </c>
      <c r="J5927" s="3">
        <v>1865</v>
      </c>
      <c r="K5927" s="3">
        <v>459</v>
      </c>
      <c r="L5927" t="s">
        <v>98</v>
      </c>
      <c r="M5927">
        <v>15</v>
      </c>
      <c r="N5927" t="s">
        <v>88</v>
      </c>
      <c r="O5927" t="s">
        <v>81</v>
      </c>
      <c r="P5927" t="s">
        <v>18</v>
      </c>
      <c r="Q5927" t="s">
        <v>19</v>
      </c>
      <c r="R5927" t="s">
        <v>138</v>
      </c>
      <c r="S5927" t="s">
        <v>144</v>
      </c>
      <c r="T5927" s="2">
        <f>MASTER[[#This Row],[CANTIDAD]]*MASTER[[#This Row],[PRECIO DE VENTA]]</f>
        <v>1865</v>
      </c>
      <c r="U5927" s="2">
        <f>MASTER[[#This Row],[CANTIDAD]]*MASTER[[#This Row],[COSTO UNITARIO]]</f>
        <v>459</v>
      </c>
      <c r="V5927" s="2">
        <f>MASTER[[#This Row],[MONTO VENDIDO]]-MASTER[[#This Row],[COSTO DE VENTA]]</f>
        <v>1406</v>
      </c>
    </row>
    <row r="5928" spans="1:22" x14ac:dyDescent="0.3">
      <c r="A5928">
        <v>82683</v>
      </c>
      <c r="B5928">
        <v>1</v>
      </c>
      <c r="C5928" t="s">
        <v>109</v>
      </c>
      <c r="D5928" t="s">
        <v>110</v>
      </c>
      <c r="E5928" s="1">
        <v>44471</v>
      </c>
      <c r="F5928">
        <v>1</v>
      </c>
      <c r="G5928" t="s">
        <v>45</v>
      </c>
      <c r="H5928" t="s">
        <v>46</v>
      </c>
      <c r="I5928" s="3">
        <v>1064</v>
      </c>
      <c r="J5928" s="3">
        <v>1064</v>
      </c>
      <c r="K5928" s="3">
        <v>387</v>
      </c>
      <c r="L5928" t="s">
        <v>98</v>
      </c>
      <c r="M5928">
        <v>5</v>
      </c>
      <c r="N5928" t="s">
        <v>85</v>
      </c>
      <c r="O5928" t="s">
        <v>81</v>
      </c>
      <c r="P5928" t="s">
        <v>12</v>
      </c>
      <c r="Q5928" t="s">
        <v>13</v>
      </c>
      <c r="R5928" t="s">
        <v>13</v>
      </c>
      <c r="S5928" t="s">
        <v>144</v>
      </c>
      <c r="T5928" s="2">
        <f>MASTER[[#This Row],[CANTIDAD]]*MASTER[[#This Row],[PRECIO DE VENTA]]</f>
        <v>1064</v>
      </c>
      <c r="U5928" s="2">
        <f>MASTER[[#This Row],[CANTIDAD]]*MASTER[[#This Row],[COSTO UNITARIO]]</f>
        <v>387</v>
      </c>
      <c r="V5928" s="2">
        <f>MASTER[[#This Row],[MONTO VENDIDO]]-MASTER[[#This Row],[COSTO DE VENTA]]</f>
        <v>677</v>
      </c>
    </row>
    <row r="5929" spans="1:22" x14ac:dyDescent="0.3">
      <c r="A5929">
        <v>82684</v>
      </c>
      <c r="B5929">
        <v>1</v>
      </c>
      <c r="C5929" t="s">
        <v>90</v>
      </c>
      <c r="D5929" t="s">
        <v>91</v>
      </c>
      <c r="E5929" s="1">
        <v>44471</v>
      </c>
      <c r="F5929">
        <v>1</v>
      </c>
      <c r="G5929" t="s">
        <v>41</v>
      </c>
      <c r="H5929" t="s">
        <v>42</v>
      </c>
      <c r="I5929" s="3">
        <v>1844</v>
      </c>
      <c r="J5929" s="3">
        <v>1696</v>
      </c>
      <c r="K5929" s="3">
        <v>420</v>
      </c>
      <c r="L5929" t="s">
        <v>9</v>
      </c>
      <c r="M5929">
        <v>4</v>
      </c>
      <c r="N5929" t="s">
        <v>82</v>
      </c>
      <c r="O5929" t="s">
        <v>81</v>
      </c>
      <c r="P5929" t="s">
        <v>71</v>
      </c>
      <c r="Q5929" t="s">
        <v>72</v>
      </c>
      <c r="R5929" t="s">
        <v>139</v>
      </c>
      <c r="S5929" t="s">
        <v>144</v>
      </c>
      <c r="T5929" s="2">
        <f>MASTER[[#This Row],[CANTIDAD]]*MASTER[[#This Row],[PRECIO DE VENTA]]</f>
        <v>1696</v>
      </c>
      <c r="U5929" s="2">
        <f>MASTER[[#This Row],[CANTIDAD]]*MASTER[[#This Row],[COSTO UNITARIO]]</f>
        <v>420</v>
      </c>
      <c r="V5929" s="2">
        <f>MASTER[[#This Row],[MONTO VENDIDO]]-MASTER[[#This Row],[COSTO DE VENTA]]</f>
        <v>1276</v>
      </c>
    </row>
    <row r="5930" spans="1:22" x14ac:dyDescent="0.3">
      <c r="A5930">
        <v>82691</v>
      </c>
      <c r="B5930">
        <v>1</v>
      </c>
      <c r="C5930" t="s">
        <v>99</v>
      </c>
      <c r="D5930" t="s">
        <v>100</v>
      </c>
      <c r="E5930" s="1">
        <v>44471</v>
      </c>
      <c r="F5930">
        <v>1</v>
      </c>
      <c r="G5930" t="s">
        <v>7</v>
      </c>
      <c r="H5930" t="s">
        <v>8</v>
      </c>
      <c r="I5930" s="3">
        <v>1459</v>
      </c>
      <c r="J5930" s="3">
        <v>1459</v>
      </c>
      <c r="K5930" s="3">
        <v>386</v>
      </c>
      <c r="L5930" t="s">
        <v>98</v>
      </c>
      <c r="M5930">
        <v>8</v>
      </c>
      <c r="N5930" t="s">
        <v>80</v>
      </c>
      <c r="O5930" t="s">
        <v>81</v>
      </c>
      <c r="P5930" t="s">
        <v>12</v>
      </c>
      <c r="Q5930" t="s">
        <v>13</v>
      </c>
      <c r="R5930" t="s">
        <v>13</v>
      </c>
      <c r="S5930" t="s">
        <v>144</v>
      </c>
      <c r="T5930" s="2">
        <f>MASTER[[#This Row],[CANTIDAD]]*MASTER[[#This Row],[PRECIO DE VENTA]]</f>
        <v>1459</v>
      </c>
      <c r="U5930" s="2">
        <f>MASTER[[#This Row],[CANTIDAD]]*MASTER[[#This Row],[COSTO UNITARIO]]</f>
        <v>386</v>
      </c>
      <c r="V5930" s="2">
        <f>MASTER[[#This Row],[MONTO VENDIDO]]-MASTER[[#This Row],[COSTO DE VENTA]]</f>
        <v>1073</v>
      </c>
    </row>
    <row r="5931" spans="1:22" x14ac:dyDescent="0.3">
      <c r="A5931">
        <v>82696</v>
      </c>
      <c r="B5931">
        <v>1</v>
      </c>
      <c r="C5931" t="s">
        <v>109</v>
      </c>
      <c r="D5931" t="s">
        <v>110</v>
      </c>
      <c r="E5931" s="1">
        <v>44471</v>
      </c>
      <c r="F5931">
        <v>1</v>
      </c>
      <c r="G5931" t="s">
        <v>65</v>
      </c>
      <c r="H5931" t="s">
        <v>66</v>
      </c>
      <c r="I5931" s="3">
        <v>1064</v>
      </c>
      <c r="J5931" s="3">
        <v>1064</v>
      </c>
      <c r="K5931" s="3">
        <v>387</v>
      </c>
      <c r="L5931" t="s">
        <v>98</v>
      </c>
      <c r="M5931">
        <v>19</v>
      </c>
      <c r="N5931" t="s">
        <v>89</v>
      </c>
      <c r="O5931" t="s">
        <v>81</v>
      </c>
      <c r="P5931" t="s">
        <v>15</v>
      </c>
      <c r="Q5931" t="s">
        <v>16</v>
      </c>
      <c r="R5931" t="s">
        <v>16</v>
      </c>
      <c r="S5931" t="s">
        <v>144</v>
      </c>
      <c r="T5931" s="2">
        <f>MASTER[[#This Row],[CANTIDAD]]*MASTER[[#This Row],[PRECIO DE VENTA]]</f>
        <v>1064</v>
      </c>
      <c r="U5931" s="2">
        <f>MASTER[[#This Row],[CANTIDAD]]*MASTER[[#This Row],[COSTO UNITARIO]]</f>
        <v>387</v>
      </c>
      <c r="V5931" s="2">
        <f>MASTER[[#This Row],[MONTO VENDIDO]]-MASTER[[#This Row],[COSTO DE VENTA]]</f>
        <v>677</v>
      </c>
    </row>
    <row r="5932" spans="1:22" x14ac:dyDescent="0.3">
      <c r="A5932">
        <v>82700</v>
      </c>
      <c r="B5932">
        <v>1</v>
      </c>
      <c r="C5932" t="s">
        <v>101</v>
      </c>
      <c r="D5932" t="s">
        <v>102</v>
      </c>
      <c r="E5932" s="1">
        <v>44471</v>
      </c>
      <c r="F5932">
        <v>1</v>
      </c>
      <c r="G5932" t="s">
        <v>73</v>
      </c>
      <c r="H5932" t="s">
        <v>74</v>
      </c>
      <c r="I5932" s="3">
        <v>1357</v>
      </c>
      <c r="J5932" s="3">
        <v>1357</v>
      </c>
      <c r="K5932" s="3">
        <v>442</v>
      </c>
      <c r="L5932" t="s">
        <v>98</v>
      </c>
      <c r="M5932">
        <v>6</v>
      </c>
      <c r="N5932" t="s">
        <v>75</v>
      </c>
      <c r="O5932" t="s">
        <v>70</v>
      </c>
      <c r="P5932" t="s">
        <v>12</v>
      </c>
      <c r="Q5932" t="s">
        <v>13</v>
      </c>
      <c r="R5932" t="s">
        <v>13</v>
      </c>
      <c r="S5932" t="s">
        <v>144</v>
      </c>
      <c r="T5932" s="2">
        <f>MASTER[[#This Row],[CANTIDAD]]*MASTER[[#This Row],[PRECIO DE VENTA]]</f>
        <v>1357</v>
      </c>
      <c r="U5932" s="2">
        <f>MASTER[[#This Row],[CANTIDAD]]*MASTER[[#This Row],[COSTO UNITARIO]]</f>
        <v>442</v>
      </c>
      <c r="V5932" s="2">
        <f>MASTER[[#This Row],[MONTO VENDIDO]]-MASTER[[#This Row],[COSTO DE VENTA]]</f>
        <v>915</v>
      </c>
    </row>
    <row r="5933" spans="1:22" x14ac:dyDescent="0.3">
      <c r="A5933">
        <v>82704</v>
      </c>
      <c r="B5933">
        <v>1</v>
      </c>
      <c r="C5933" t="s">
        <v>101</v>
      </c>
      <c r="D5933" t="s">
        <v>102</v>
      </c>
      <c r="E5933" s="1">
        <v>44471</v>
      </c>
      <c r="F5933">
        <v>1</v>
      </c>
      <c r="G5933" t="s">
        <v>22</v>
      </c>
      <c r="H5933" t="s">
        <v>23</v>
      </c>
      <c r="I5933" s="3">
        <v>1212</v>
      </c>
      <c r="J5933" s="3">
        <v>1151</v>
      </c>
      <c r="K5933" s="3">
        <v>442</v>
      </c>
      <c r="L5933" t="s">
        <v>98</v>
      </c>
      <c r="M5933">
        <v>14</v>
      </c>
      <c r="N5933" t="s">
        <v>87</v>
      </c>
      <c r="O5933" t="s">
        <v>81</v>
      </c>
      <c r="P5933" t="s">
        <v>18</v>
      </c>
      <c r="Q5933" t="s">
        <v>19</v>
      </c>
      <c r="R5933" t="s">
        <v>138</v>
      </c>
      <c r="S5933" t="s">
        <v>144</v>
      </c>
      <c r="T5933" s="2">
        <f>MASTER[[#This Row],[CANTIDAD]]*MASTER[[#This Row],[PRECIO DE VENTA]]</f>
        <v>1151</v>
      </c>
      <c r="U5933" s="2">
        <f>MASTER[[#This Row],[CANTIDAD]]*MASTER[[#This Row],[COSTO UNITARIO]]</f>
        <v>442</v>
      </c>
      <c r="V5933" s="2">
        <f>MASTER[[#This Row],[MONTO VENDIDO]]-MASTER[[#This Row],[COSTO DE VENTA]]</f>
        <v>709</v>
      </c>
    </row>
    <row r="5934" spans="1:22" x14ac:dyDescent="0.3">
      <c r="A5934">
        <v>82705</v>
      </c>
      <c r="B5934">
        <v>1</v>
      </c>
      <c r="C5934" t="s">
        <v>5</v>
      </c>
      <c r="D5934" t="s">
        <v>6</v>
      </c>
      <c r="E5934" s="1">
        <v>44471</v>
      </c>
      <c r="F5934">
        <v>1</v>
      </c>
      <c r="G5934" t="s">
        <v>24</v>
      </c>
      <c r="H5934" t="s">
        <v>25</v>
      </c>
      <c r="I5934" s="3">
        <v>1311</v>
      </c>
      <c r="J5934" s="3">
        <v>1311</v>
      </c>
      <c r="K5934" s="3">
        <v>393</v>
      </c>
      <c r="L5934" t="s">
        <v>9</v>
      </c>
      <c r="M5934">
        <v>17</v>
      </c>
      <c r="N5934" t="s">
        <v>14</v>
      </c>
      <c r="O5934" t="s">
        <v>11</v>
      </c>
      <c r="P5934" t="s">
        <v>15</v>
      </c>
      <c r="Q5934" t="s">
        <v>16</v>
      </c>
      <c r="R5934" t="s">
        <v>16</v>
      </c>
      <c r="S5934" t="s">
        <v>144</v>
      </c>
      <c r="T5934" s="2">
        <f>MASTER[[#This Row],[CANTIDAD]]*MASTER[[#This Row],[PRECIO DE VENTA]]</f>
        <v>1311</v>
      </c>
      <c r="U5934" s="2">
        <f>MASTER[[#This Row],[CANTIDAD]]*MASTER[[#This Row],[COSTO UNITARIO]]</f>
        <v>393</v>
      </c>
      <c r="V5934" s="2">
        <f>MASTER[[#This Row],[MONTO VENDIDO]]-MASTER[[#This Row],[COSTO DE VENTA]]</f>
        <v>918</v>
      </c>
    </row>
    <row r="5935" spans="1:22" x14ac:dyDescent="0.3">
      <c r="A5935">
        <v>82710</v>
      </c>
      <c r="B5935">
        <v>1</v>
      </c>
      <c r="C5935" t="s">
        <v>99</v>
      </c>
      <c r="D5935" t="s">
        <v>100</v>
      </c>
      <c r="E5935" s="1">
        <v>44471</v>
      </c>
      <c r="F5935">
        <v>1</v>
      </c>
      <c r="G5935" t="s">
        <v>43</v>
      </c>
      <c r="H5935" t="s">
        <v>44</v>
      </c>
      <c r="I5935" s="3">
        <v>1678</v>
      </c>
      <c r="J5935" s="3">
        <v>1678</v>
      </c>
      <c r="K5935" s="3">
        <v>386</v>
      </c>
      <c r="L5935" t="s">
        <v>98</v>
      </c>
      <c r="M5935">
        <v>3</v>
      </c>
      <c r="N5935" t="s">
        <v>69</v>
      </c>
      <c r="O5935" t="s">
        <v>70</v>
      </c>
      <c r="P5935" t="s">
        <v>71</v>
      </c>
      <c r="Q5935" t="s">
        <v>72</v>
      </c>
      <c r="R5935" t="s">
        <v>139</v>
      </c>
      <c r="S5935" t="s">
        <v>144</v>
      </c>
      <c r="T5935" s="2">
        <f>MASTER[[#This Row],[CANTIDAD]]*MASTER[[#This Row],[PRECIO DE VENTA]]</f>
        <v>1678</v>
      </c>
      <c r="U5935" s="2">
        <f>MASTER[[#This Row],[CANTIDAD]]*MASTER[[#This Row],[COSTO UNITARIO]]</f>
        <v>386</v>
      </c>
      <c r="V5935" s="2">
        <f>MASTER[[#This Row],[MONTO VENDIDO]]-MASTER[[#This Row],[COSTO DE VENTA]]</f>
        <v>1292</v>
      </c>
    </row>
    <row r="5936" spans="1:22" x14ac:dyDescent="0.3">
      <c r="A5936">
        <v>82719</v>
      </c>
      <c r="B5936">
        <v>1</v>
      </c>
      <c r="C5936" t="s">
        <v>105</v>
      </c>
      <c r="D5936" t="s">
        <v>106</v>
      </c>
      <c r="E5936" s="1">
        <v>44471</v>
      </c>
      <c r="F5936">
        <v>1</v>
      </c>
      <c r="G5936" t="s">
        <v>45</v>
      </c>
      <c r="H5936" t="s">
        <v>46</v>
      </c>
      <c r="I5936" s="3">
        <v>1865</v>
      </c>
      <c r="J5936" s="3">
        <v>1865</v>
      </c>
      <c r="K5936" s="3">
        <v>459</v>
      </c>
      <c r="L5936" t="s">
        <v>98</v>
      </c>
      <c r="M5936">
        <v>10</v>
      </c>
      <c r="N5936" t="s">
        <v>83</v>
      </c>
      <c r="O5936" t="s">
        <v>81</v>
      </c>
      <c r="P5936" t="s">
        <v>12</v>
      </c>
      <c r="Q5936" t="s">
        <v>13</v>
      </c>
      <c r="R5936" t="s">
        <v>13</v>
      </c>
      <c r="S5936" t="s">
        <v>144</v>
      </c>
      <c r="T5936" s="2">
        <f>MASTER[[#This Row],[CANTIDAD]]*MASTER[[#This Row],[PRECIO DE VENTA]]</f>
        <v>1865</v>
      </c>
      <c r="U5936" s="2">
        <f>MASTER[[#This Row],[CANTIDAD]]*MASTER[[#This Row],[COSTO UNITARIO]]</f>
        <v>459</v>
      </c>
      <c r="V5936" s="2">
        <f>MASTER[[#This Row],[MONTO VENDIDO]]-MASTER[[#This Row],[COSTO DE VENTA]]</f>
        <v>1406</v>
      </c>
    </row>
    <row r="5937" spans="1:22" x14ac:dyDescent="0.3">
      <c r="A5937">
        <v>82720</v>
      </c>
      <c r="B5937">
        <v>1</v>
      </c>
      <c r="C5937" t="s">
        <v>111</v>
      </c>
      <c r="D5937" t="s">
        <v>112</v>
      </c>
      <c r="E5937" s="1">
        <v>44472</v>
      </c>
      <c r="F5937">
        <v>1</v>
      </c>
      <c r="G5937" t="s">
        <v>43</v>
      </c>
      <c r="H5937" t="s">
        <v>44</v>
      </c>
      <c r="I5937" s="3">
        <v>1799</v>
      </c>
      <c r="J5937" s="3">
        <v>1799</v>
      </c>
      <c r="K5937" s="3">
        <v>434</v>
      </c>
      <c r="L5937" t="s">
        <v>113</v>
      </c>
      <c r="M5937">
        <v>6</v>
      </c>
      <c r="N5937" t="s">
        <v>75</v>
      </c>
      <c r="O5937" t="s">
        <v>70</v>
      </c>
      <c r="P5937" t="s">
        <v>12</v>
      </c>
      <c r="Q5937" t="s">
        <v>13</v>
      </c>
      <c r="R5937" t="s">
        <v>13</v>
      </c>
      <c r="S5937" t="s">
        <v>144</v>
      </c>
      <c r="T5937" s="2">
        <f>MASTER[[#This Row],[CANTIDAD]]*MASTER[[#This Row],[PRECIO DE VENTA]]</f>
        <v>1799</v>
      </c>
      <c r="U5937" s="2">
        <f>MASTER[[#This Row],[CANTIDAD]]*MASTER[[#This Row],[COSTO UNITARIO]]</f>
        <v>434</v>
      </c>
      <c r="V5937" s="2">
        <f>MASTER[[#This Row],[MONTO VENDIDO]]-MASTER[[#This Row],[COSTO DE VENTA]]</f>
        <v>1365</v>
      </c>
    </row>
    <row r="5938" spans="1:22" x14ac:dyDescent="0.3">
      <c r="A5938">
        <v>82728</v>
      </c>
      <c r="B5938">
        <v>1</v>
      </c>
      <c r="C5938" t="s">
        <v>96</v>
      </c>
      <c r="D5938" t="s">
        <v>97</v>
      </c>
      <c r="E5938" s="1">
        <v>44472</v>
      </c>
      <c r="F5938">
        <v>1</v>
      </c>
      <c r="G5938" t="s">
        <v>22</v>
      </c>
      <c r="H5938" t="s">
        <v>23</v>
      </c>
      <c r="I5938" s="3">
        <v>1196</v>
      </c>
      <c r="J5938" s="3">
        <v>1196</v>
      </c>
      <c r="K5938" s="3">
        <v>397</v>
      </c>
      <c r="L5938" t="s">
        <v>98</v>
      </c>
      <c r="M5938">
        <v>16</v>
      </c>
      <c r="N5938" t="s">
        <v>17</v>
      </c>
      <c r="O5938" t="s">
        <v>11</v>
      </c>
      <c r="P5938" t="s">
        <v>18</v>
      </c>
      <c r="Q5938" t="s">
        <v>19</v>
      </c>
      <c r="R5938" t="s">
        <v>138</v>
      </c>
      <c r="S5938" t="s">
        <v>144</v>
      </c>
      <c r="T5938" s="2">
        <f>MASTER[[#This Row],[CANTIDAD]]*MASTER[[#This Row],[PRECIO DE VENTA]]</f>
        <v>1196</v>
      </c>
      <c r="U5938" s="2">
        <f>MASTER[[#This Row],[CANTIDAD]]*MASTER[[#This Row],[COSTO UNITARIO]]</f>
        <v>397</v>
      </c>
      <c r="V5938" s="2">
        <f>MASTER[[#This Row],[MONTO VENDIDO]]-MASTER[[#This Row],[COSTO DE VENTA]]</f>
        <v>799</v>
      </c>
    </row>
    <row r="5939" spans="1:22" x14ac:dyDescent="0.3">
      <c r="A5939">
        <v>82746</v>
      </c>
      <c r="B5939">
        <v>1</v>
      </c>
      <c r="C5939" t="s">
        <v>114</v>
      </c>
      <c r="D5939" t="s">
        <v>115</v>
      </c>
      <c r="E5939" s="1">
        <v>44472</v>
      </c>
      <c r="F5939">
        <v>1</v>
      </c>
      <c r="G5939" t="s">
        <v>33</v>
      </c>
      <c r="H5939" t="s">
        <v>34</v>
      </c>
      <c r="I5939" s="3">
        <v>2030</v>
      </c>
      <c r="J5939" s="3">
        <v>2030</v>
      </c>
      <c r="K5939" s="3">
        <v>394</v>
      </c>
      <c r="L5939" t="s">
        <v>113</v>
      </c>
      <c r="M5939">
        <v>1</v>
      </c>
      <c r="N5939" t="s">
        <v>77</v>
      </c>
      <c r="O5939" t="s">
        <v>70</v>
      </c>
      <c r="P5939" t="s">
        <v>71</v>
      </c>
      <c r="Q5939" t="s">
        <v>72</v>
      </c>
      <c r="R5939" t="s">
        <v>139</v>
      </c>
      <c r="S5939" t="s">
        <v>144</v>
      </c>
      <c r="T5939" s="2">
        <f>MASTER[[#This Row],[CANTIDAD]]*MASTER[[#This Row],[PRECIO DE VENTA]]</f>
        <v>2030</v>
      </c>
      <c r="U5939" s="2">
        <f>MASTER[[#This Row],[CANTIDAD]]*MASTER[[#This Row],[COSTO UNITARIO]]</f>
        <v>394</v>
      </c>
      <c r="V5939" s="2">
        <f>MASTER[[#This Row],[MONTO VENDIDO]]-MASTER[[#This Row],[COSTO DE VENTA]]</f>
        <v>1636</v>
      </c>
    </row>
    <row r="5940" spans="1:22" x14ac:dyDescent="0.3">
      <c r="A5940">
        <v>82750</v>
      </c>
      <c r="B5940">
        <v>1</v>
      </c>
      <c r="C5940" t="s">
        <v>107</v>
      </c>
      <c r="D5940" t="s">
        <v>108</v>
      </c>
      <c r="E5940" s="1">
        <v>44472</v>
      </c>
      <c r="F5940">
        <v>1</v>
      </c>
      <c r="G5940" t="s">
        <v>22</v>
      </c>
      <c r="H5940" t="s">
        <v>23</v>
      </c>
      <c r="I5940" s="3">
        <v>1333</v>
      </c>
      <c r="J5940" s="3">
        <v>1333</v>
      </c>
      <c r="K5940" s="3">
        <v>380</v>
      </c>
      <c r="L5940" t="s">
        <v>98</v>
      </c>
      <c r="M5940">
        <v>2</v>
      </c>
      <c r="N5940" t="s">
        <v>86</v>
      </c>
      <c r="O5940" t="s">
        <v>81</v>
      </c>
      <c r="P5940" t="s">
        <v>71</v>
      </c>
      <c r="Q5940" t="s">
        <v>72</v>
      </c>
      <c r="R5940" t="s">
        <v>139</v>
      </c>
      <c r="S5940" t="s">
        <v>144</v>
      </c>
      <c r="T5940" s="2">
        <f>MASTER[[#This Row],[CANTIDAD]]*MASTER[[#This Row],[PRECIO DE VENTA]]</f>
        <v>1333</v>
      </c>
      <c r="U5940" s="2">
        <f>MASTER[[#This Row],[CANTIDAD]]*MASTER[[#This Row],[COSTO UNITARIO]]</f>
        <v>380</v>
      </c>
      <c r="V5940" s="2">
        <f>MASTER[[#This Row],[MONTO VENDIDO]]-MASTER[[#This Row],[COSTO DE VENTA]]</f>
        <v>953</v>
      </c>
    </row>
    <row r="5941" spans="1:22" x14ac:dyDescent="0.3">
      <c r="A5941">
        <v>82756</v>
      </c>
      <c r="B5941">
        <v>1</v>
      </c>
      <c r="C5941" t="s">
        <v>105</v>
      </c>
      <c r="D5941" t="s">
        <v>106</v>
      </c>
      <c r="E5941" s="1">
        <v>44472</v>
      </c>
      <c r="F5941">
        <v>1</v>
      </c>
      <c r="G5941" t="s">
        <v>49</v>
      </c>
      <c r="H5941" t="s">
        <v>50</v>
      </c>
      <c r="I5941" s="3">
        <v>2033</v>
      </c>
      <c r="J5941" s="3">
        <v>2033</v>
      </c>
      <c r="K5941" s="3">
        <v>459</v>
      </c>
      <c r="L5941" t="s">
        <v>98</v>
      </c>
      <c r="M5941">
        <v>1</v>
      </c>
      <c r="N5941" t="s">
        <v>77</v>
      </c>
      <c r="O5941" t="s">
        <v>70</v>
      </c>
      <c r="P5941" t="s">
        <v>71</v>
      </c>
      <c r="Q5941" t="s">
        <v>72</v>
      </c>
      <c r="R5941" t="s">
        <v>139</v>
      </c>
      <c r="S5941" t="s">
        <v>144</v>
      </c>
      <c r="T5941" s="2">
        <f>MASTER[[#This Row],[CANTIDAD]]*MASTER[[#This Row],[PRECIO DE VENTA]]</f>
        <v>2033</v>
      </c>
      <c r="U5941" s="2">
        <f>MASTER[[#This Row],[CANTIDAD]]*MASTER[[#This Row],[COSTO UNITARIO]]</f>
        <v>459</v>
      </c>
      <c r="V5941" s="2">
        <f>MASTER[[#This Row],[MONTO VENDIDO]]-MASTER[[#This Row],[COSTO DE VENTA]]</f>
        <v>1574</v>
      </c>
    </row>
    <row r="5942" spans="1:22" x14ac:dyDescent="0.3">
      <c r="A5942">
        <v>82804</v>
      </c>
      <c r="B5942">
        <v>1</v>
      </c>
      <c r="C5942" t="s">
        <v>118</v>
      </c>
      <c r="D5942" t="s">
        <v>119</v>
      </c>
      <c r="E5942" s="1">
        <v>44472</v>
      </c>
      <c r="F5942">
        <v>2</v>
      </c>
      <c r="G5942" t="s">
        <v>61</v>
      </c>
      <c r="H5942" t="s">
        <v>62</v>
      </c>
      <c r="I5942" s="3">
        <v>900</v>
      </c>
      <c r="J5942" s="3">
        <v>900</v>
      </c>
      <c r="K5942" s="3">
        <v>424</v>
      </c>
      <c r="L5942" t="s">
        <v>120</v>
      </c>
      <c r="M5942">
        <v>10</v>
      </c>
      <c r="N5942" t="s">
        <v>83</v>
      </c>
      <c r="O5942" t="s">
        <v>81</v>
      </c>
      <c r="P5942" t="s">
        <v>12</v>
      </c>
      <c r="Q5942" t="s">
        <v>13</v>
      </c>
      <c r="R5942" t="s">
        <v>13</v>
      </c>
      <c r="S5942" t="s">
        <v>144</v>
      </c>
      <c r="T5942" s="2">
        <f>MASTER[[#This Row],[CANTIDAD]]*MASTER[[#This Row],[PRECIO DE VENTA]]</f>
        <v>1800</v>
      </c>
      <c r="U5942" s="2">
        <f>MASTER[[#This Row],[CANTIDAD]]*MASTER[[#This Row],[COSTO UNITARIO]]</f>
        <v>848</v>
      </c>
      <c r="V5942" s="2">
        <f>MASTER[[#This Row],[MONTO VENDIDO]]-MASTER[[#This Row],[COSTO DE VENTA]]</f>
        <v>952</v>
      </c>
    </row>
    <row r="5943" spans="1:22" x14ac:dyDescent="0.3">
      <c r="A5943">
        <v>82816</v>
      </c>
      <c r="B5943">
        <v>1</v>
      </c>
      <c r="C5943" t="s">
        <v>118</v>
      </c>
      <c r="D5943" t="s">
        <v>119</v>
      </c>
      <c r="E5943" s="1">
        <v>44472</v>
      </c>
      <c r="F5943">
        <v>1</v>
      </c>
      <c r="G5943" t="s">
        <v>20</v>
      </c>
      <c r="H5943" t="s">
        <v>21</v>
      </c>
      <c r="I5943" s="3">
        <v>801</v>
      </c>
      <c r="J5943" s="3">
        <v>801</v>
      </c>
      <c r="K5943" s="3">
        <v>424</v>
      </c>
      <c r="L5943" t="s">
        <v>120</v>
      </c>
      <c r="M5943">
        <v>12</v>
      </c>
      <c r="N5943" t="s">
        <v>26</v>
      </c>
      <c r="O5943" t="s">
        <v>11</v>
      </c>
      <c r="P5943" t="s">
        <v>12</v>
      </c>
      <c r="Q5943" t="s">
        <v>13</v>
      </c>
      <c r="R5943" t="s">
        <v>13</v>
      </c>
      <c r="S5943" t="s">
        <v>144</v>
      </c>
      <c r="T5943" s="2">
        <f>MASTER[[#This Row],[CANTIDAD]]*MASTER[[#This Row],[PRECIO DE VENTA]]</f>
        <v>801</v>
      </c>
      <c r="U5943" s="2">
        <f>MASTER[[#This Row],[CANTIDAD]]*MASTER[[#This Row],[COSTO UNITARIO]]</f>
        <v>424</v>
      </c>
      <c r="V5943" s="2">
        <f>MASTER[[#This Row],[MONTO VENDIDO]]-MASTER[[#This Row],[COSTO DE VENTA]]</f>
        <v>377</v>
      </c>
    </row>
    <row r="5944" spans="1:22" x14ac:dyDescent="0.3">
      <c r="A5944">
        <v>82828</v>
      </c>
      <c r="B5944">
        <v>1</v>
      </c>
      <c r="C5944" t="s">
        <v>99</v>
      </c>
      <c r="D5944" t="s">
        <v>100</v>
      </c>
      <c r="E5944" s="1">
        <v>44472</v>
      </c>
      <c r="F5944">
        <v>4</v>
      </c>
      <c r="G5944" t="s">
        <v>7</v>
      </c>
      <c r="H5944" t="s">
        <v>8</v>
      </c>
      <c r="I5944" s="3">
        <v>1678</v>
      </c>
      <c r="J5944" s="3">
        <v>1678</v>
      </c>
      <c r="K5944" s="3">
        <v>386</v>
      </c>
      <c r="L5944" t="s">
        <v>98</v>
      </c>
      <c r="M5944">
        <v>1</v>
      </c>
      <c r="N5944" t="s">
        <v>77</v>
      </c>
      <c r="O5944" t="s">
        <v>70</v>
      </c>
      <c r="P5944" t="s">
        <v>71</v>
      </c>
      <c r="Q5944" t="s">
        <v>72</v>
      </c>
      <c r="R5944" t="s">
        <v>139</v>
      </c>
      <c r="S5944" t="s">
        <v>144</v>
      </c>
      <c r="T5944" s="2">
        <f>MASTER[[#This Row],[CANTIDAD]]*MASTER[[#This Row],[PRECIO DE VENTA]]</f>
        <v>6712</v>
      </c>
      <c r="U5944" s="2">
        <f>MASTER[[#This Row],[CANTIDAD]]*MASTER[[#This Row],[COSTO UNITARIO]]</f>
        <v>1544</v>
      </c>
      <c r="V5944" s="2">
        <f>MASTER[[#This Row],[MONTO VENDIDO]]-MASTER[[#This Row],[COSTO DE VENTA]]</f>
        <v>5168</v>
      </c>
    </row>
    <row r="5945" spans="1:22" x14ac:dyDescent="0.3">
      <c r="A5945">
        <v>82832</v>
      </c>
      <c r="B5945">
        <v>1</v>
      </c>
      <c r="C5945" t="s">
        <v>107</v>
      </c>
      <c r="D5945" t="s">
        <v>108</v>
      </c>
      <c r="E5945" s="1">
        <v>44473</v>
      </c>
      <c r="F5945">
        <v>1</v>
      </c>
      <c r="G5945" t="s">
        <v>57</v>
      </c>
      <c r="H5945" t="s">
        <v>58</v>
      </c>
      <c r="I5945" s="3">
        <v>1440</v>
      </c>
      <c r="J5945" s="3">
        <v>1440</v>
      </c>
      <c r="K5945" s="3">
        <v>380</v>
      </c>
      <c r="L5945" t="s">
        <v>98</v>
      </c>
      <c r="M5945">
        <v>1</v>
      </c>
      <c r="N5945" t="s">
        <v>77</v>
      </c>
      <c r="O5945" t="s">
        <v>70</v>
      </c>
      <c r="P5945" t="s">
        <v>71</v>
      </c>
      <c r="Q5945" t="s">
        <v>72</v>
      </c>
      <c r="R5945" t="s">
        <v>139</v>
      </c>
      <c r="S5945" t="s">
        <v>144</v>
      </c>
      <c r="T5945" s="2">
        <f>MASTER[[#This Row],[CANTIDAD]]*MASTER[[#This Row],[PRECIO DE VENTA]]</f>
        <v>1440</v>
      </c>
      <c r="U5945" s="2">
        <f>MASTER[[#This Row],[CANTIDAD]]*MASTER[[#This Row],[COSTO UNITARIO]]</f>
        <v>380</v>
      </c>
      <c r="V5945" s="2">
        <f>MASTER[[#This Row],[MONTO VENDIDO]]-MASTER[[#This Row],[COSTO DE VENTA]]</f>
        <v>1060</v>
      </c>
    </row>
    <row r="5946" spans="1:22" x14ac:dyDescent="0.3">
      <c r="A5946">
        <v>82833</v>
      </c>
      <c r="B5946">
        <v>1</v>
      </c>
      <c r="C5946" t="s">
        <v>114</v>
      </c>
      <c r="D5946" t="s">
        <v>115</v>
      </c>
      <c r="E5946" s="1">
        <v>44473</v>
      </c>
      <c r="F5946">
        <v>1</v>
      </c>
      <c r="G5946" t="s">
        <v>22</v>
      </c>
      <c r="H5946" t="s">
        <v>23</v>
      </c>
      <c r="I5946" s="3">
        <v>1583</v>
      </c>
      <c r="J5946" s="3">
        <v>1583</v>
      </c>
      <c r="K5946" s="3">
        <v>394</v>
      </c>
      <c r="L5946" t="s">
        <v>113</v>
      </c>
      <c r="M5946">
        <v>16</v>
      </c>
      <c r="N5946" t="s">
        <v>17</v>
      </c>
      <c r="O5946" t="s">
        <v>11</v>
      </c>
      <c r="P5946" t="s">
        <v>18</v>
      </c>
      <c r="Q5946" t="s">
        <v>19</v>
      </c>
      <c r="R5946" t="s">
        <v>138</v>
      </c>
      <c r="S5946" t="s">
        <v>144</v>
      </c>
      <c r="T5946" s="2">
        <f>MASTER[[#This Row],[CANTIDAD]]*MASTER[[#This Row],[PRECIO DE VENTA]]</f>
        <v>1583</v>
      </c>
      <c r="U5946" s="2">
        <f>MASTER[[#This Row],[CANTIDAD]]*MASTER[[#This Row],[COSTO UNITARIO]]</f>
        <v>394</v>
      </c>
      <c r="V5946" s="2">
        <f>MASTER[[#This Row],[MONTO VENDIDO]]-MASTER[[#This Row],[COSTO DE VENTA]]</f>
        <v>1189</v>
      </c>
    </row>
    <row r="5947" spans="1:22" x14ac:dyDescent="0.3">
      <c r="A5947">
        <v>82834</v>
      </c>
      <c r="B5947">
        <v>1</v>
      </c>
      <c r="C5947" t="s">
        <v>92</v>
      </c>
      <c r="D5947" t="s">
        <v>93</v>
      </c>
      <c r="E5947" s="1">
        <v>44473</v>
      </c>
      <c r="F5947">
        <v>1</v>
      </c>
      <c r="G5947" t="s">
        <v>73</v>
      </c>
      <c r="H5947" t="s">
        <v>74</v>
      </c>
      <c r="I5947" s="3">
        <v>1479</v>
      </c>
      <c r="J5947" s="3">
        <v>1479</v>
      </c>
      <c r="K5947" s="3">
        <v>396</v>
      </c>
      <c r="L5947" t="s">
        <v>9</v>
      </c>
      <c r="M5947">
        <v>16</v>
      </c>
      <c r="N5947" t="s">
        <v>17</v>
      </c>
      <c r="O5947" t="s">
        <v>11</v>
      </c>
      <c r="P5947" t="s">
        <v>18</v>
      </c>
      <c r="Q5947" t="s">
        <v>19</v>
      </c>
      <c r="R5947" t="s">
        <v>138</v>
      </c>
      <c r="S5947" t="s">
        <v>144</v>
      </c>
      <c r="T5947" s="2">
        <f>MASTER[[#This Row],[CANTIDAD]]*MASTER[[#This Row],[PRECIO DE VENTA]]</f>
        <v>1479</v>
      </c>
      <c r="U5947" s="2">
        <f>MASTER[[#This Row],[CANTIDAD]]*MASTER[[#This Row],[COSTO UNITARIO]]</f>
        <v>396</v>
      </c>
      <c r="V5947" s="2">
        <f>MASTER[[#This Row],[MONTO VENDIDO]]-MASTER[[#This Row],[COSTO DE VENTA]]</f>
        <v>1083</v>
      </c>
    </row>
    <row r="5948" spans="1:22" x14ac:dyDescent="0.3">
      <c r="A5948">
        <v>82875</v>
      </c>
      <c r="B5948">
        <v>1</v>
      </c>
      <c r="C5948" t="s">
        <v>107</v>
      </c>
      <c r="D5948" t="s">
        <v>108</v>
      </c>
      <c r="E5948" s="1">
        <v>44473</v>
      </c>
      <c r="F5948">
        <v>1</v>
      </c>
      <c r="G5948" t="s">
        <v>43</v>
      </c>
      <c r="H5948" t="s">
        <v>44</v>
      </c>
      <c r="I5948" s="3">
        <v>1333</v>
      </c>
      <c r="J5948" s="3">
        <v>1333</v>
      </c>
      <c r="K5948" s="3">
        <v>380</v>
      </c>
      <c r="L5948" t="s">
        <v>98</v>
      </c>
      <c r="M5948">
        <v>4</v>
      </c>
      <c r="N5948" t="s">
        <v>82</v>
      </c>
      <c r="O5948" t="s">
        <v>81</v>
      </c>
      <c r="P5948" t="s">
        <v>71</v>
      </c>
      <c r="Q5948" t="s">
        <v>72</v>
      </c>
      <c r="R5948" t="s">
        <v>139</v>
      </c>
      <c r="S5948" t="s">
        <v>144</v>
      </c>
      <c r="T5948" s="2">
        <f>MASTER[[#This Row],[CANTIDAD]]*MASTER[[#This Row],[PRECIO DE VENTA]]</f>
        <v>1333</v>
      </c>
      <c r="U5948" s="2">
        <f>MASTER[[#This Row],[CANTIDAD]]*MASTER[[#This Row],[COSTO UNITARIO]]</f>
        <v>380</v>
      </c>
      <c r="V5948" s="2">
        <f>MASTER[[#This Row],[MONTO VENDIDO]]-MASTER[[#This Row],[COSTO DE VENTA]]</f>
        <v>953</v>
      </c>
    </row>
    <row r="5949" spans="1:22" x14ac:dyDescent="0.3">
      <c r="A5949">
        <v>82879</v>
      </c>
      <c r="B5949">
        <v>1</v>
      </c>
      <c r="C5949" t="s">
        <v>101</v>
      </c>
      <c r="D5949" t="s">
        <v>102</v>
      </c>
      <c r="E5949" s="1">
        <v>44473</v>
      </c>
      <c r="F5949">
        <v>1</v>
      </c>
      <c r="G5949" t="s">
        <v>59</v>
      </c>
      <c r="H5949" t="s">
        <v>60</v>
      </c>
      <c r="I5949" s="3">
        <v>1212</v>
      </c>
      <c r="J5949" s="3">
        <v>1139</v>
      </c>
      <c r="K5949" s="3">
        <v>442</v>
      </c>
      <c r="L5949" t="s">
        <v>98</v>
      </c>
      <c r="M5949">
        <v>15</v>
      </c>
      <c r="N5949" t="s">
        <v>88</v>
      </c>
      <c r="O5949" t="s">
        <v>81</v>
      </c>
      <c r="P5949" t="s">
        <v>18</v>
      </c>
      <c r="Q5949" t="s">
        <v>19</v>
      </c>
      <c r="R5949" t="s">
        <v>138</v>
      </c>
      <c r="S5949" t="s">
        <v>144</v>
      </c>
      <c r="T5949" s="2">
        <f>MASTER[[#This Row],[CANTIDAD]]*MASTER[[#This Row],[PRECIO DE VENTA]]</f>
        <v>1139</v>
      </c>
      <c r="U5949" s="2">
        <f>MASTER[[#This Row],[CANTIDAD]]*MASTER[[#This Row],[COSTO UNITARIO]]</f>
        <v>442</v>
      </c>
      <c r="V5949" s="2">
        <f>MASTER[[#This Row],[MONTO VENDIDO]]-MASTER[[#This Row],[COSTO DE VENTA]]</f>
        <v>697</v>
      </c>
    </row>
    <row r="5950" spans="1:22" x14ac:dyDescent="0.3">
      <c r="A5950">
        <v>82886</v>
      </c>
      <c r="B5950">
        <v>1</v>
      </c>
      <c r="C5950" t="s">
        <v>99</v>
      </c>
      <c r="D5950" t="s">
        <v>100</v>
      </c>
      <c r="E5950" s="1">
        <v>44474</v>
      </c>
      <c r="F5950">
        <v>1</v>
      </c>
      <c r="G5950" t="s">
        <v>47</v>
      </c>
      <c r="H5950" t="s">
        <v>48</v>
      </c>
      <c r="I5950" s="3">
        <v>1459</v>
      </c>
      <c r="J5950" s="3">
        <v>1313</v>
      </c>
      <c r="K5950" s="3">
        <v>386</v>
      </c>
      <c r="L5950" t="s">
        <v>98</v>
      </c>
      <c r="M5950">
        <v>10</v>
      </c>
      <c r="N5950" t="s">
        <v>83</v>
      </c>
      <c r="O5950" t="s">
        <v>81</v>
      </c>
      <c r="P5950" t="s">
        <v>12</v>
      </c>
      <c r="Q5950" t="s">
        <v>13</v>
      </c>
      <c r="R5950" t="s">
        <v>13</v>
      </c>
      <c r="S5950" t="s">
        <v>144</v>
      </c>
      <c r="T5950" s="2">
        <f>MASTER[[#This Row],[CANTIDAD]]*MASTER[[#This Row],[PRECIO DE VENTA]]</f>
        <v>1313</v>
      </c>
      <c r="U5950" s="2">
        <f>MASTER[[#This Row],[CANTIDAD]]*MASTER[[#This Row],[COSTO UNITARIO]]</f>
        <v>386</v>
      </c>
      <c r="V5950" s="2">
        <f>MASTER[[#This Row],[MONTO VENDIDO]]-MASTER[[#This Row],[COSTO DE VENTA]]</f>
        <v>927</v>
      </c>
    </row>
    <row r="5951" spans="1:22" x14ac:dyDescent="0.3">
      <c r="A5951">
        <v>82896</v>
      </c>
      <c r="B5951">
        <v>1</v>
      </c>
      <c r="C5951" t="s">
        <v>96</v>
      </c>
      <c r="D5951" t="s">
        <v>97</v>
      </c>
      <c r="E5951" s="1">
        <v>44474</v>
      </c>
      <c r="F5951">
        <v>1</v>
      </c>
      <c r="G5951" t="s">
        <v>73</v>
      </c>
      <c r="H5951" t="s">
        <v>74</v>
      </c>
      <c r="I5951" s="3">
        <v>1196</v>
      </c>
      <c r="J5951" s="3">
        <v>1196</v>
      </c>
      <c r="K5951" s="3">
        <v>397</v>
      </c>
      <c r="L5951" t="s">
        <v>98</v>
      </c>
      <c r="M5951">
        <v>11</v>
      </c>
      <c r="N5951" t="s">
        <v>10</v>
      </c>
      <c r="O5951" t="s">
        <v>11</v>
      </c>
      <c r="P5951" t="s">
        <v>12</v>
      </c>
      <c r="Q5951" t="s">
        <v>13</v>
      </c>
      <c r="R5951" t="s">
        <v>13</v>
      </c>
      <c r="S5951" t="s">
        <v>144</v>
      </c>
      <c r="T5951" s="2">
        <f>MASTER[[#This Row],[CANTIDAD]]*MASTER[[#This Row],[PRECIO DE VENTA]]</f>
        <v>1196</v>
      </c>
      <c r="U5951" s="2">
        <f>MASTER[[#This Row],[CANTIDAD]]*MASTER[[#This Row],[COSTO UNITARIO]]</f>
        <v>397</v>
      </c>
      <c r="V5951" s="2">
        <f>MASTER[[#This Row],[MONTO VENDIDO]]-MASTER[[#This Row],[COSTO DE VENTA]]</f>
        <v>799</v>
      </c>
    </row>
    <row r="5952" spans="1:22" x14ac:dyDescent="0.3">
      <c r="A5952">
        <v>82901</v>
      </c>
      <c r="B5952">
        <v>1</v>
      </c>
      <c r="C5952" t="s">
        <v>92</v>
      </c>
      <c r="D5952" t="s">
        <v>93</v>
      </c>
      <c r="E5952" s="1">
        <v>44474</v>
      </c>
      <c r="F5952">
        <v>1</v>
      </c>
      <c r="G5952" t="s">
        <v>51</v>
      </c>
      <c r="H5952" t="s">
        <v>52</v>
      </c>
      <c r="I5952" s="3">
        <v>1866</v>
      </c>
      <c r="J5952" s="3">
        <v>1866</v>
      </c>
      <c r="K5952" s="3">
        <v>396</v>
      </c>
      <c r="L5952" t="s">
        <v>9</v>
      </c>
      <c r="M5952">
        <v>18</v>
      </c>
      <c r="N5952" t="s">
        <v>79</v>
      </c>
      <c r="O5952" t="s">
        <v>70</v>
      </c>
      <c r="P5952" t="s">
        <v>15</v>
      </c>
      <c r="Q5952" t="s">
        <v>16</v>
      </c>
      <c r="R5952" t="s">
        <v>16</v>
      </c>
      <c r="S5952" t="s">
        <v>144</v>
      </c>
      <c r="T5952" s="2">
        <f>MASTER[[#This Row],[CANTIDAD]]*MASTER[[#This Row],[PRECIO DE VENTA]]</f>
        <v>1866</v>
      </c>
      <c r="U5952" s="2">
        <f>MASTER[[#This Row],[CANTIDAD]]*MASTER[[#This Row],[COSTO UNITARIO]]</f>
        <v>396</v>
      </c>
      <c r="V5952" s="2">
        <f>MASTER[[#This Row],[MONTO VENDIDO]]-MASTER[[#This Row],[COSTO DE VENTA]]</f>
        <v>1470</v>
      </c>
    </row>
    <row r="5953" spans="1:22" x14ac:dyDescent="0.3">
      <c r="A5953">
        <v>82906</v>
      </c>
      <c r="B5953">
        <v>1</v>
      </c>
      <c r="C5953" t="s">
        <v>96</v>
      </c>
      <c r="D5953" t="s">
        <v>97</v>
      </c>
      <c r="E5953" s="1">
        <v>44474</v>
      </c>
      <c r="F5953">
        <v>1</v>
      </c>
      <c r="G5953" t="s">
        <v>47</v>
      </c>
      <c r="H5953" t="s">
        <v>48</v>
      </c>
      <c r="I5953" s="3">
        <v>1196</v>
      </c>
      <c r="J5953" s="3">
        <v>1196</v>
      </c>
      <c r="K5953" s="3">
        <v>397</v>
      </c>
      <c r="L5953" t="s">
        <v>98</v>
      </c>
      <c r="M5953">
        <v>11</v>
      </c>
      <c r="N5953" t="s">
        <v>10</v>
      </c>
      <c r="O5953" t="s">
        <v>11</v>
      </c>
      <c r="P5953" t="s">
        <v>12</v>
      </c>
      <c r="Q5953" t="s">
        <v>13</v>
      </c>
      <c r="R5953" t="s">
        <v>13</v>
      </c>
      <c r="S5953" t="s">
        <v>144</v>
      </c>
      <c r="T5953" s="2">
        <f>MASTER[[#This Row],[CANTIDAD]]*MASTER[[#This Row],[PRECIO DE VENTA]]</f>
        <v>1196</v>
      </c>
      <c r="U5953" s="2">
        <f>MASTER[[#This Row],[CANTIDAD]]*MASTER[[#This Row],[COSTO UNITARIO]]</f>
        <v>397</v>
      </c>
      <c r="V5953" s="2">
        <f>MASTER[[#This Row],[MONTO VENDIDO]]-MASTER[[#This Row],[COSTO DE VENTA]]</f>
        <v>799</v>
      </c>
    </row>
    <row r="5954" spans="1:22" x14ac:dyDescent="0.3">
      <c r="A5954">
        <v>82920</v>
      </c>
      <c r="B5954">
        <v>1</v>
      </c>
      <c r="C5954" t="s">
        <v>103</v>
      </c>
      <c r="D5954" t="s">
        <v>104</v>
      </c>
      <c r="E5954" s="1">
        <v>44474</v>
      </c>
      <c r="F5954">
        <v>1</v>
      </c>
      <c r="G5954" t="s">
        <v>45</v>
      </c>
      <c r="H5954" t="s">
        <v>46</v>
      </c>
      <c r="I5954" s="3">
        <v>1830</v>
      </c>
      <c r="J5954" s="3">
        <v>1830</v>
      </c>
      <c r="K5954" s="3">
        <v>421</v>
      </c>
      <c r="L5954" t="s">
        <v>98</v>
      </c>
      <c r="M5954">
        <v>18</v>
      </c>
      <c r="N5954" t="s">
        <v>79</v>
      </c>
      <c r="O5954" t="s">
        <v>70</v>
      </c>
      <c r="P5954" t="s">
        <v>15</v>
      </c>
      <c r="Q5954" t="s">
        <v>16</v>
      </c>
      <c r="R5954" t="s">
        <v>16</v>
      </c>
      <c r="S5954" t="s">
        <v>144</v>
      </c>
      <c r="T5954" s="2">
        <f>MASTER[[#This Row],[CANTIDAD]]*MASTER[[#This Row],[PRECIO DE VENTA]]</f>
        <v>1830</v>
      </c>
      <c r="U5954" s="2">
        <f>MASTER[[#This Row],[CANTIDAD]]*MASTER[[#This Row],[COSTO UNITARIO]]</f>
        <v>421</v>
      </c>
      <c r="V5954" s="2">
        <f>MASTER[[#This Row],[MONTO VENDIDO]]-MASTER[[#This Row],[COSTO DE VENTA]]</f>
        <v>1409</v>
      </c>
    </row>
    <row r="5955" spans="1:22" x14ac:dyDescent="0.3">
      <c r="A5955">
        <v>82933</v>
      </c>
      <c r="B5955">
        <v>1</v>
      </c>
      <c r="C5955" t="s">
        <v>109</v>
      </c>
      <c r="D5955" t="s">
        <v>110</v>
      </c>
      <c r="E5955" s="1">
        <v>44474</v>
      </c>
      <c r="F5955">
        <v>1</v>
      </c>
      <c r="G5955" t="s">
        <v>49</v>
      </c>
      <c r="H5955" t="s">
        <v>50</v>
      </c>
      <c r="I5955" s="3">
        <v>947</v>
      </c>
      <c r="J5955" s="3">
        <v>947</v>
      </c>
      <c r="K5955" s="3">
        <v>387</v>
      </c>
      <c r="L5955" t="s">
        <v>98</v>
      </c>
      <c r="M5955">
        <v>12</v>
      </c>
      <c r="N5955" t="s">
        <v>26</v>
      </c>
      <c r="O5955" t="s">
        <v>11</v>
      </c>
      <c r="P5955" t="s">
        <v>12</v>
      </c>
      <c r="Q5955" t="s">
        <v>13</v>
      </c>
      <c r="R5955" t="s">
        <v>13</v>
      </c>
      <c r="S5955" t="s">
        <v>144</v>
      </c>
      <c r="T5955" s="2">
        <f>MASTER[[#This Row],[CANTIDAD]]*MASTER[[#This Row],[PRECIO DE VENTA]]</f>
        <v>947</v>
      </c>
      <c r="U5955" s="2">
        <f>MASTER[[#This Row],[CANTIDAD]]*MASTER[[#This Row],[COSTO UNITARIO]]</f>
        <v>387</v>
      </c>
      <c r="V5955" s="2">
        <f>MASTER[[#This Row],[MONTO VENDIDO]]-MASTER[[#This Row],[COSTO DE VENTA]]</f>
        <v>560</v>
      </c>
    </row>
    <row r="5956" spans="1:22" x14ac:dyDescent="0.3">
      <c r="A5956">
        <v>82940</v>
      </c>
      <c r="B5956">
        <v>1</v>
      </c>
      <c r="C5956" t="s">
        <v>92</v>
      </c>
      <c r="D5956" t="s">
        <v>93</v>
      </c>
      <c r="E5956" s="1">
        <v>44474</v>
      </c>
      <c r="F5956">
        <v>1</v>
      </c>
      <c r="G5956" t="s">
        <v>67</v>
      </c>
      <c r="H5956" t="s">
        <v>68</v>
      </c>
      <c r="I5956" s="3">
        <v>1866</v>
      </c>
      <c r="J5956" s="3">
        <v>1866</v>
      </c>
      <c r="K5956" s="3">
        <v>396</v>
      </c>
      <c r="L5956" t="s">
        <v>9</v>
      </c>
      <c r="M5956">
        <v>1</v>
      </c>
      <c r="N5956" t="s">
        <v>77</v>
      </c>
      <c r="O5956" t="s">
        <v>70</v>
      </c>
      <c r="P5956" t="s">
        <v>71</v>
      </c>
      <c r="Q5956" t="s">
        <v>72</v>
      </c>
      <c r="R5956" t="s">
        <v>139</v>
      </c>
      <c r="S5956" t="s">
        <v>144</v>
      </c>
      <c r="T5956" s="2">
        <f>MASTER[[#This Row],[CANTIDAD]]*MASTER[[#This Row],[PRECIO DE VENTA]]</f>
        <v>1866</v>
      </c>
      <c r="U5956" s="2">
        <f>MASTER[[#This Row],[CANTIDAD]]*MASTER[[#This Row],[COSTO UNITARIO]]</f>
        <v>396</v>
      </c>
      <c r="V5956" s="2">
        <f>MASTER[[#This Row],[MONTO VENDIDO]]-MASTER[[#This Row],[COSTO DE VENTA]]</f>
        <v>1470</v>
      </c>
    </row>
    <row r="5957" spans="1:22" x14ac:dyDescent="0.3">
      <c r="A5957">
        <v>82947</v>
      </c>
      <c r="B5957">
        <v>1</v>
      </c>
      <c r="C5957" t="s">
        <v>109</v>
      </c>
      <c r="D5957" t="s">
        <v>110</v>
      </c>
      <c r="E5957" s="1">
        <v>44474</v>
      </c>
      <c r="F5957">
        <v>1</v>
      </c>
      <c r="G5957" t="s">
        <v>43</v>
      </c>
      <c r="H5957" t="s">
        <v>44</v>
      </c>
      <c r="I5957" s="3">
        <v>1064</v>
      </c>
      <c r="J5957" s="3">
        <v>1064</v>
      </c>
      <c r="K5957" s="3">
        <v>387</v>
      </c>
      <c r="L5957" t="s">
        <v>98</v>
      </c>
      <c r="M5957">
        <v>8</v>
      </c>
      <c r="N5957" t="s">
        <v>80</v>
      </c>
      <c r="O5957" t="s">
        <v>81</v>
      </c>
      <c r="P5957" t="s">
        <v>12</v>
      </c>
      <c r="Q5957" t="s">
        <v>13</v>
      </c>
      <c r="R5957" t="s">
        <v>13</v>
      </c>
      <c r="S5957" t="s">
        <v>144</v>
      </c>
      <c r="T5957" s="2">
        <f>MASTER[[#This Row],[CANTIDAD]]*MASTER[[#This Row],[PRECIO DE VENTA]]</f>
        <v>1064</v>
      </c>
      <c r="U5957" s="2">
        <f>MASTER[[#This Row],[CANTIDAD]]*MASTER[[#This Row],[COSTO UNITARIO]]</f>
        <v>387</v>
      </c>
      <c r="V5957" s="2">
        <f>MASTER[[#This Row],[MONTO VENDIDO]]-MASTER[[#This Row],[COSTO DE VENTA]]</f>
        <v>677</v>
      </c>
    </row>
    <row r="5958" spans="1:22" x14ac:dyDescent="0.3">
      <c r="A5958">
        <v>82976</v>
      </c>
      <c r="B5958">
        <v>1</v>
      </c>
      <c r="C5958" t="s">
        <v>109</v>
      </c>
      <c r="D5958" t="s">
        <v>110</v>
      </c>
      <c r="E5958" s="1">
        <v>44474</v>
      </c>
      <c r="F5958">
        <v>1</v>
      </c>
      <c r="G5958" t="s">
        <v>53</v>
      </c>
      <c r="H5958" t="s">
        <v>54</v>
      </c>
      <c r="I5958" s="3">
        <v>1064</v>
      </c>
      <c r="J5958" s="3">
        <v>1064</v>
      </c>
      <c r="K5958" s="3">
        <v>387</v>
      </c>
      <c r="L5958" t="s">
        <v>98</v>
      </c>
      <c r="M5958">
        <v>14</v>
      </c>
      <c r="N5958" t="s">
        <v>87</v>
      </c>
      <c r="O5958" t="s">
        <v>81</v>
      </c>
      <c r="P5958" t="s">
        <v>18</v>
      </c>
      <c r="Q5958" t="s">
        <v>19</v>
      </c>
      <c r="R5958" t="s">
        <v>138</v>
      </c>
      <c r="S5958" t="s">
        <v>144</v>
      </c>
      <c r="T5958" s="2">
        <f>MASTER[[#This Row],[CANTIDAD]]*MASTER[[#This Row],[PRECIO DE VENTA]]</f>
        <v>1064</v>
      </c>
      <c r="U5958" s="2">
        <f>MASTER[[#This Row],[CANTIDAD]]*MASTER[[#This Row],[COSTO UNITARIO]]</f>
        <v>387</v>
      </c>
      <c r="V5958" s="2">
        <f>MASTER[[#This Row],[MONTO VENDIDO]]-MASTER[[#This Row],[COSTO DE VENTA]]</f>
        <v>677</v>
      </c>
    </row>
    <row r="5959" spans="1:22" x14ac:dyDescent="0.3">
      <c r="A5959">
        <v>82980</v>
      </c>
      <c r="B5959">
        <v>1</v>
      </c>
      <c r="C5959" t="s">
        <v>121</v>
      </c>
      <c r="D5959" t="s">
        <v>122</v>
      </c>
      <c r="E5959" s="1">
        <v>44474</v>
      </c>
      <c r="F5959">
        <v>1</v>
      </c>
      <c r="G5959" t="s">
        <v>53</v>
      </c>
      <c r="H5959" t="s">
        <v>54</v>
      </c>
      <c r="I5959" s="3">
        <v>1069</v>
      </c>
      <c r="J5959" s="3">
        <v>1069</v>
      </c>
      <c r="K5959" s="3">
        <v>460</v>
      </c>
      <c r="L5959" t="s">
        <v>120</v>
      </c>
      <c r="M5959">
        <v>4</v>
      </c>
      <c r="N5959" t="s">
        <v>82</v>
      </c>
      <c r="O5959" t="s">
        <v>81</v>
      </c>
      <c r="P5959" t="s">
        <v>71</v>
      </c>
      <c r="Q5959" t="s">
        <v>72</v>
      </c>
      <c r="R5959" t="s">
        <v>139</v>
      </c>
      <c r="S5959" t="s">
        <v>144</v>
      </c>
      <c r="T5959" s="2">
        <f>MASTER[[#This Row],[CANTIDAD]]*MASTER[[#This Row],[PRECIO DE VENTA]]</f>
        <v>1069</v>
      </c>
      <c r="U5959" s="2">
        <f>MASTER[[#This Row],[CANTIDAD]]*MASTER[[#This Row],[COSTO UNITARIO]]</f>
        <v>460</v>
      </c>
      <c r="V5959" s="2">
        <f>MASTER[[#This Row],[MONTO VENDIDO]]-MASTER[[#This Row],[COSTO DE VENTA]]</f>
        <v>609</v>
      </c>
    </row>
    <row r="5960" spans="1:22" x14ac:dyDescent="0.3">
      <c r="A5960">
        <v>83004</v>
      </c>
      <c r="B5960">
        <v>1</v>
      </c>
      <c r="C5960" t="s">
        <v>107</v>
      </c>
      <c r="D5960" t="s">
        <v>108</v>
      </c>
      <c r="E5960" s="1">
        <v>44474</v>
      </c>
      <c r="F5960">
        <v>1</v>
      </c>
      <c r="G5960" t="s">
        <v>67</v>
      </c>
      <c r="H5960" t="s">
        <v>68</v>
      </c>
      <c r="I5960" s="3">
        <v>1240</v>
      </c>
      <c r="J5960" s="3">
        <v>1240</v>
      </c>
      <c r="K5960" s="3">
        <v>380</v>
      </c>
      <c r="L5960" t="s">
        <v>98</v>
      </c>
      <c r="M5960">
        <v>11</v>
      </c>
      <c r="N5960" t="s">
        <v>10</v>
      </c>
      <c r="O5960" t="s">
        <v>11</v>
      </c>
      <c r="P5960" t="s">
        <v>12</v>
      </c>
      <c r="Q5960" t="s">
        <v>13</v>
      </c>
      <c r="R5960" t="s">
        <v>13</v>
      </c>
      <c r="S5960" t="s">
        <v>144</v>
      </c>
      <c r="T5960" s="2">
        <f>MASTER[[#This Row],[CANTIDAD]]*MASTER[[#This Row],[PRECIO DE VENTA]]</f>
        <v>1240</v>
      </c>
      <c r="U5960" s="2">
        <f>MASTER[[#This Row],[CANTIDAD]]*MASTER[[#This Row],[COSTO UNITARIO]]</f>
        <v>380</v>
      </c>
      <c r="V5960" s="2">
        <f>MASTER[[#This Row],[MONTO VENDIDO]]-MASTER[[#This Row],[COSTO DE VENTA]]</f>
        <v>860</v>
      </c>
    </row>
    <row r="5961" spans="1:22" x14ac:dyDescent="0.3">
      <c r="A5961">
        <v>83005</v>
      </c>
      <c r="B5961">
        <v>1</v>
      </c>
      <c r="C5961" t="s">
        <v>99</v>
      </c>
      <c r="D5961" t="s">
        <v>100</v>
      </c>
      <c r="E5961" s="1">
        <v>44474</v>
      </c>
      <c r="F5961">
        <v>1</v>
      </c>
      <c r="G5961" t="s">
        <v>47</v>
      </c>
      <c r="H5961" t="s">
        <v>48</v>
      </c>
      <c r="I5961" s="3">
        <v>1678</v>
      </c>
      <c r="J5961" s="3">
        <v>1678</v>
      </c>
      <c r="K5961" s="3">
        <v>386</v>
      </c>
      <c r="L5961" t="s">
        <v>98</v>
      </c>
      <c r="M5961">
        <v>6</v>
      </c>
      <c r="N5961" t="s">
        <v>75</v>
      </c>
      <c r="O5961" t="s">
        <v>70</v>
      </c>
      <c r="P5961" t="s">
        <v>12</v>
      </c>
      <c r="Q5961" t="s">
        <v>13</v>
      </c>
      <c r="R5961" t="s">
        <v>13</v>
      </c>
      <c r="S5961" t="s">
        <v>144</v>
      </c>
      <c r="T5961" s="2">
        <f>MASTER[[#This Row],[CANTIDAD]]*MASTER[[#This Row],[PRECIO DE VENTA]]</f>
        <v>1678</v>
      </c>
      <c r="U5961" s="2">
        <f>MASTER[[#This Row],[CANTIDAD]]*MASTER[[#This Row],[COSTO UNITARIO]]</f>
        <v>386</v>
      </c>
      <c r="V5961" s="2">
        <f>MASTER[[#This Row],[MONTO VENDIDO]]-MASTER[[#This Row],[COSTO DE VENTA]]</f>
        <v>1292</v>
      </c>
    </row>
    <row r="5962" spans="1:22" x14ac:dyDescent="0.3">
      <c r="A5962">
        <v>83017</v>
      </c>
      <c r="B5962">
        <v>1</v>
      </c>
      <c r="C5962" t="s">
        <v>5</v>
      </c>
      <c r="D5962" t="s">
        <v>6</v>
      </c>
      <c r="E5962" s="1">
        <v>44474</v>
      </c>
      <c r="F5962">
        <v>1</v>
      </c>
      <c r="G5962" t="s">
        <v>73</v>
      </c>
      <c r="H5962" t="s">
        <v>74</v>
      </c>
      <c r="I5962" s="3">
        <v>1507</v>
      </c>
      <c r="J5962" s="3">
        <v>1507</v>
      </c>
      <c r="K5962" s="3">
        <v>393</v>
      </c>
      <c r="L5962" t="s">
        <v>9</v>
      </c>
      <c r="M5962">
        <v>5</v>
      </c>
      <c r="N5962" t="s">
        <v>85</v>
      </c>
      <c r="O5962" t="s">
        <v>81</v>
      </c>
      <c r="P5962" t="s">
        <v>12</v>
      </c>
      <c r="Q5962" t="s">
        <v>13</v>
      </c>
      <c r="R5962" t="s">
        <v>13</v>
      </c>
      <c r="S5962" t="s">
        <v>144</v>
      </c>
      <c r="T5962" s="2">
        <f>MASTER[[#This Row],[CANTIDAD]]*MASTER[[#This Row],[PRECIO DE VENTA]]</f>
        <v>1507</v>
      </c>
      <c r="U5962" s="2">
        <f>MASTER[[#This Row],[CANTIDAD]]*MASTER[[#This Row],[COSTO UNITARIO]]</f>
        <v>393</v>
      </c>
      <c r="V5962" s="2">
        <f>MASTER[[#This Row],[MONTO VENDIDO]]-MASTER[[#This Row],[COSTO DE VENTA]]</f>
        <v>1114</v>
      </c>
    </row>
    <row r="5963" spans="1:22" x14ac:dyDescent="0.3">
      <c r="A5963">
        <v>83028</v>
      </c>
      <c r="B5963">
        <v>1</v>
      </c>
      <c r="C5963" t="s">
        <v>121</v>
      </c>
      <c r="D5963" t="s">
        <v>122</v>
      </c>
      <c r="E5963" s="1">
        <v>44474</v>
      </c>
      <c r="F5963">
        <v>1</v>
      </c>
      <c r="G5963" t="s">
        <v>39</v>
      </c>
      <c r="H5963" t="s">
        <v>40</v>
      </c>
      <c r="I5963" s="3">
        <v>1144</v>
      </c>
      <c r="J5963" s="3">
        <v>1144</v>
      </c>
      <c r="K5963" s="3">
        <v>460</v>
      </c>
      <c r="L5963" t="s">
        <v>120</v>
      </c>
      <c r="M5963">
        <v>3</v>
      </c>
      <c r="N5963" t="s">
        <v>69</v>
      </c>
      <c r="O5963" t="s">
        <v>70</v>
      </c>
      <c r="P5963" t="s">
        <v>71</v>
      </c>
      <c r="Q5963" t="s">
        <v>72</v>
      </c>
      <c r="R5963" t="s">
        <v>139</v>
      </c>
      <c r="S5963" t="s">
        <v>144</v>
      </c>
      <c r="T5963" s="2">
        <f>MASTER[[#This Row],[CANTIDAD]]*MASTER[[#This Row],[PRECIO DE VENTA]]</f>
        <v>1144</v>
      </c>
      <c r="U5963" s="2">
        <f>MASTER[[#This Row],[CANTIDAD]]*MASTER[[#This Row],[COSTO UNITARIO]]</f>
        <v>460</v>
      </c>
      <c r="V5963" s="2">
        <f>MASTER[[#This Row],[MONTO VENDIDO]]-MASTER[[#This Row],[COSTO DE VENTA]]</f>
        <v>684</v>
      </c>
    </row>
    <row r="5964" spans="1:22" x14ac:dyDescent="0.3">
      <c r="A5964">
        <v>83030</v>
      </c>
      <c r="B5964">
        <v>1</v>
      </c>
      <c r="C5964" t="s">
        <v>96</v>
      </c>
      <c r="D5964" t="s">
        <v>97</v>
      </c>
      <c r="E5964" s="1">
        <v>44475</v>
      </c>
      <c r="F5964">
        <v>1</v>
      </c>
      <c r="G5964" t="s">
        <v>47</v>
      </c>
      <c r="H5964" t="s">
        <v>48</v>
      </c>
      <c r="I5964" s="3">
        <v>1361</v>
      </c>
      <c r="J5964" s="3">
        <v>1361</v>
      </c>
      <c r="K5964" s="3">
        <v>397</v>
      </c>
      <c r="L5964" t="s">
        <v>98</v>
      </c>
      <c r="M5964">
        <v>6</v>
      </c>
      <c r="N5964" t="s">
        <v>75</v>
      </c>
      <c r="O5964" t="s">
        <v>70</v>
      </c>
      <c r="P5964" t="s">
        <v>12</v>
      </c>
      <c r="Q5964" t="s">
        <v>13</v>
      </c>
      <c r="R5964" t="s">
        <v>13</v>
      </c>
      <c r="S5964" t="s">
        <v>144</v>
      </c>
      <c r="T5964" s="2">
        <f>MASTER[[#This Row],[CANTIDAD]]*MASTER[[#This Row],[PRECIO DE VENTA]]</f>
        <v>1361</v>
      </c>
      <c r="U5964" s="2">
        <f>MASTER[[#This Row],[CANTIDAD]]*MASTER[[#This Row],[COSTO UNITARIO]]</f>
        <v>397</v>
      </c>
      <c r="V5964" s="2">
        <f>MASTER[[#This Row],[MONTO VENDIDO]]-MASTER[[#This Row],[COSTO DE VENTA]]</f>
        <v>964</v>
      </c>
    </row>
    <row r="5965" spans="1:22" x14ac:dyDescent="0.3">
      <c r="A5965">
        <v>83032</v>
      </c>
      <c r="B5965">
        <v>1</v>
      </c>
      <c r="C5965" t="s">
        <v>121</v>
      </c>
      <c r="D5965" t="s">
        <v>122</v>
      </c>
      <c r="E5965" s="1">
        <v>44475</v>
      </c>
      <c r="F5965">
        <v>1</v>
      </c>
      <c r="G5965" t="s">
        <v>65</v>
      </c>
      <c r="H5965" t="s">
        <v>66</v>
      </c>
      <c r="I5965" s="3">
        <v>1144</v>
      </c>
      <c r="J5965" s="3">
        <v>1052</v>
      </c>
      <c r="K5965" s="3">
        <v>460</v>
      </c>
      <c r="L5965" t="s">
        <v>120</v>
      </c>
      <c r="M5965">
        <v>6</v>
      </c>
      <c r="N5965" t="s">
        <v>75</v>
      </c>
      <c r="O5965" t="s">
        <v>70</v>
      </c>
      <c r="P5965" t="s">
        <v>12</v>
      </c>
      <c r="Q5965" t="s">
        <v>13</v>
      </c>
      <c r="R5965" t="s">
        <v>13</v>
      </c>
      <c r="S5965" t="s">
        <v>144</v>
      </c>
      <c r="T5965" s="2">
        <f>MASTER[[#This Row],[CANTIDAD]]*MASTER[[#This Row],[PRECIO DE VENTA]]</f>
        <v>1052</v>
      </c>
      <c r="U5965" s="2">
        <f>MASTER[[#This Row],[CANTIDAD]]*MASTER[[#This Row],[COSTO UNITARIO]]</f>
        <v>460</v>
      </c>
      <c r="V5965" s="2">
        <f>MASTER[[#This Row],[MONTO VENDIDO]]-MASTER[[#This Row],[COSTO DE VENTA]]</f>
        <v>592</v>
      </c>
    </row>
    <row r="5966" spans="1:22" x14ac:dyDescent="0.3">
      <c r="A5966">
        <v>83037</v>
      </c>
      <c r="B5966">
        <v>1</v>
      </c>
      <c r="C5966" t="s">
        <v>5</v>
      </c>
      <c r="D5966" t="s">
        <v>6</v>
      </c>
      <c r="E5966" s="1">
        <v>44475</v>
      </c>
      <c r="F5966">
        <v>1</v>
      </c>
      <c r="G5966" t="s">
        <v>31</v>
      </c>
      <c r="H5966" t="s">
        <v>32</v>
      </c>
      <c r="I5966" s="3">
        <v>1507</v>
      </c>
      <c r="J5966" s="3">
        <v>1507</v>
      </c>
      <c r="K5966" s="3">
        <v>393</v>
      </c>
      <c r="L5966" t="s">
        <v>9</v>
      </c>
      <c r="M5966">
        <v>5</v>
      </c>
      <c r="N5966" t="s">
        <v>85</v>
      </c>
      <c r="O5966" t="s">
        <v>81</v>
      </c>
      <c r="P5966" t="s">
        <v>12</v>
      </c>
      <c r="Q5966" t="s">
        <v>13</v>
      </c>
      <c r="R5966" t="s">
        <v>13</v>
      </c>
      <c r="S5966" t="s">
        <v>144</v>
      </c>
      <c r="T5966" s="2">
        <f>MASTER[[#This Row],[CANTIDAD]]*MASTER[[#This Row],[PRECIO DE VENTA]]</f>
        <v>1507</v>
      </c>
      <c r="U5966" s="2">
        <f>MASTER[[#This Row],[CANTIDAD]]*MASTER[[#This Row],[COSTO UNITARIO]]</f>
        <v>393</v>
      </c>
      <c r="V5966" s="2">
        <f>MASTER[[#This Row],[MONTO VENDIDO]]-MASTER[[#This Row],[COSTO DE VENTA]]</f>
        <v>1114</v>
      </c>
    </row>
    <row r="5967" spans="1:22" x14ac:dyDescent="0.3">
      <c r="A5967">
        <v>83043</v>
      </c>
      <c r="B5967">
        <v>1</v>
      </c>
      <c r="C5967" t="s">
        <v>111</v>
      </c>
      <c r="D5967" t="s">
        <v>112</v>
      </c>
      <c r="E5967" s="1">
        <v>44475</v>
      </c>
      <c r="F5967">
        <v>1</v>
      </c>
      <c r="G5967" t="s">
        <v>65</v>
      </c>
      <c r="H5967" t="s">
        <v>66</v>
      </c>
      <c r="I5967" s="3">
        <v>1799</v>
      </c>
      <c r="J5967" s="3">
        <v>1799</v>
      </c>
      <c r="K5967" s="3">
        <v>434</v>
      </c>
      <c r="L5967" t="s">
        <v>113</v>
      </c>
      <c r="M5967">
        <v>9</v>
      </c>
      <c r="N5967" t="s">
        <v>76</v>
      </c>
      <c r="O5967" t="s">
        <v>70</v>
      </c>
      <c r="P5967" t="s">
        <v>12</v>
      </c>
      <c r="Q5967" t="s">
        <v>13</v>
      </c>
      <c r="R5967" t="s">
        <v>13</v>
      </c>
      <c r="S5967" t="s">
        <v>144</v>
      </c>
      <c r="T5967" s="2">
        <f>MASTER[[#This Row],[CANTIDAD]]*MASTER[[#This Row],[PRECIO DE VENTA]]</f>
        <v>1799</v>
      </c>
      <c r="U5967" s="2">
        <f>MASTER[[#This Row],[CANTIDAD]]*MASTER[[#This Row],[COSTO UNITARIO]]</f>
        <v>434</v>
      </c>
      <c r="V5967" s="2">
        <f>MASTER[[#This Row],[MONTO VENDIDO]]-MASTER[[#This Row],[COSTO DE VENTA]]</f>
        <v>1365</v>
      </c>
    </row>
    <row r="5968" spans="1:22" x14ac:dyDescent="0.3">
      <c r="A5968">
        <v>83045</v>
      </c>
      <c r="B5968">
        <v>1</v>
      </c>
      <c r="C5968" t="s">
        <v>99</v>
      </c>
      <c r="D5968" t="s">
        <v>100</v>
      </c>
      <c r="E5968" s="1">
        <v>44475</v>
      </c>
      <c r="F5968">
        <v>1</v>
      </c>
      <c r="G5968" t="s">
        <v>20</v>
      </c>
      <c r="H5968" t="s">
        <v>21</v>
      </c>
      <c r="I5968" s="3">
        <v>1678</v>
      </c>
      <c r="J5968" s="3">
        <v>1610</v>
      </c>
      <c r="K5968" s="3">
        <v>386</v>
      </c>
      <c r="L5968" t="s">
        <v>98</v>
      </c>
      <c r="M5968">
        <v>6</v>
      </c>
      <c r="N5968" t="s">
        <v>75</v>
      </c>
      <c r="O5968" t="s">
        <v>70</v>
      </c>
      <c r="P5968" t="s">
        <v>12</v>
      </c>
      <c r="Q5968" t="s">
        <v>13</v>
      </c>
      <c r="R5968" t="s">
        <v>13</v>
      </c>
      <c r="S5968" t="s">
        <v>144</v>
      </c>
      <c r="T5968" s="2">
        <f>MASTER[[#This Row],[CANTIDAD]]*MASTER[[#This Row],[PRECIO DE VENTA]]</f>
        <v>1610</v>
      </c>
      <c r="U5968" s="2">
        <f>MASTER[[#This Row],[CANTIDAD]]*MASTER[[#This Row],[COSTO UNITARIO]]</f>
        <v>386</v>
      </c>
      <c r="V5968" s="2">
        <f>MASTER[[#This Row],[MONTO VENDIDO]]-MASTER[[#This Row],[COSTO DE VENTA]]</f>
        <v>1224</v>
      </c>
    </row>
    <row r="5969" spans="1:22" x14ac:dyDescent="0.3">
      <c r="A5969">
        <v>83050</v>
      </c>
      <c r="B5969">
        <v>1</v>
      </c>
      <c r="C5969" t="s">
        <v>121</v>
      </c>
      <c r="D5969" t="s">
        <v>122</v>
      </c>
      <c r="E5969" s="1">
        <v>44475</v>
      </c>
      <c r="F5969">
        <v>2</v>
      </c>
      <c r="G5969" t="s">
        <v>35</v>
      </c>
      <c r="H5969" t="s">
        <v>36</v>
      </c>
      <c r="I5969" s="3">
        <v>1144</v>
      </c>
      <c r="J5969" s="3">
        <v>1144</v>
      </c>
      <c r="K5969" s="3">
        <v>460</v>
      </c>
      <c r="L5969" t="s">
        <v>120</v>
      </c>
      <c r="M5969">
        <v>18</v>
      </c>
      <c r="N5969" t="s">
        <v>79</v>
      </c>
      <c r="O5969" t="s">
        <v>70</v>
      </c>
      <c r="P5969" t="s">
        <v>15</v>
      </c>
      <c r="Q5969" t="s">
        <v>16</v>
      </c>
      <c r="R5969" t="s">
        <v>16</v>
      </c>
      <c r="S5969" t="s">
        <v>144</v>
      </c>
      <c r="T5969" s="2">
        <f>MASTER[[#This Row],[CANTIDAD]]*MASTER[[#This Row],[PRECIO DE VENTA]]</f>
        <v>2288</v>
      </c>
      <c r="U5969" s="2">
        <f>MASTER[[#This Row],[CANTIDAD]]*MASTER[[#This Row],[COSTO UNITARIO]]</f>
        <v>920</v>
      </c>
      <c r="V5969" s="2">
        <f>MASTER[[#This Row],[MONTO VENDIDO]]-MASTER[[#This Row],[COSTO DE VENTA]]</f>
        <v>1368</v>
      </c>
    </row>
    <row r="5970" spans="1:22" x14ac:dyDescent="0.3">
      <c r="A5970">
        <v>83075</v>
      </c>
      <c r="B5970">
        <v>1</v>
      </c>
      <c r="C5970" t="s">
        <v>103</v>
      </c>
      <c r="D5970" t="s">
        <v>104</v>
      </c>
      <c r="E5970" s="1">
        <v>44475</v>
      </c>
      <c r="F5970">
        <v>1</v>
      </c>
      <c r="G5970" t="s">
        <v>47</v>
      </c>
      <c r="H5970" t="s">
        <v>48</v>
      </c>
      <c r="I5970" s="3">
        <v>1591</v>
      </c>
      <c r="J5970" s="3">
        <v>1591</v>
      </c>
      <c r="K5970" s="3">
        <v>421</v>
      </c>
      <c r="L5970" t="s">
        <v>98</v>
      </c>
      <c r="M5970">
        <v>7</v>
      </c>
      <c r="N5970" t="s">
        <v>84</v>
      </c>
      <c r="O5970" t="s">
        <v>81</v>
      </c>
      <c r="P5970" t="s">
        <v>12</v>
      </c>
      <c r="Q5970" t="s">
        <v>13</v>
      </c>
      <c r="R5970" t="s">
        <v>13</v>
      </c>
      <c r="S5970" t="s">
        <v>144</v>
      </c>
      <c r="T5970" s="2">
        <f>MASTER[[#This Row],[CANTIDAD]]*MASTER[[#This Row],[PRECIO DE VENTA]]</f>
        <v>1591</v>
      </c>
      <c r="U5970" s="2">
        <f>MASTER[[#This Row],[CANTIDAD]]*MASTER[[#This Row],[COSTO UNITARIO]]</f>
        <v>421</v>
      </c>
      <c r="V5970" s="2">
        <f>MASTER[[#This Row],[MONTO VENDIDO]]-MASTER[[#This Row],[COSTO DE VENTA]]</f>
        <v>1170</v>
      </c>
    </row>
    <row r="5971" spans="1:22" x14ac:dyDescent="0.3">
      <c r="A5971">
        <v>83085</v>
      </c>
      <c r="B5971">
        <v>1</v>
      </c>
      <c r="C5971" t="s">
        <v>101</v>
      </c>
      <c r="D5971" t="s">
        <v>102</v>
      </c>
      <c r="E5971" s="1">
        <v>44475</v>
      </c>
      <c r="F5971">
        <v>1</v>
      </c>
      <c r="G5971" t="s">
        <v>29</v>
      </c>
      <c r="H5971" t="s">
        <v>30</v>
      </c>
      <c r="I5971" s="3">
        <v>1357</v>
      </c>
      <c r="J5971" s="3">
        <v>1357</v>
      </c>
      <c r="K5971" s="3">
        <v>442</v>
      </c>
      <c r="L5971" t="s">
        <v>98</v>
      </c>
      <c r="M5971">
        <v>3</v>
      </c>
      <c r="N5971" t="s">
        <v>69</v>
      </c>
      <c r="O5971" t="s">
        <v>70</v>
      </c>
      <c r="P5971" t="s">
        <v>71</v>
      </c>
      <c r="Q5971" t="s">
        <v>72</v>
      </c>
      <c r="R5971" t="s">
        <v>139</v>
      </c>
      <c r="S5971" t="s">
        <v>144</v>
      </c>
      <c r="T5971" s="2">
        <f>MASTER[[#This Row],[CANTIDAD]]*MASTER[[#This Row],[PRECIO DE VENTA]]</f>
        <v>1357</v>
      </c>
      <c r="U5971" s="2">
        <f>MASTER[[#This Row],[CANTIDAD]]*MASTER[[#This Row],[COSTO UNITARIO]]</f>
        <v>442</v>
      </c>
      <c r="V5971" s="2">
        <f>MASTER[[#This Row],[MONTO VENDIDO]]-MASTER[[#This Row],[COSTO DE VENTA]]</f>
        <v>915</v>
      </c>
    </row>
    <row r="5972" spans="1:22" x14ac:dyDescent="0.3">
      <c r="A5972">
        <v>83096</v>
      </c>
      <c r="B5972">
        <v>1</v>
      </c>
      <c r="C5972" t="s">
        <v>107</v>
      </c>
      <c r="D5972" t="s">
        <v>108</v>
      </c>
      <c r="E5972" s="1">
        <v>44475</v>
      </c>
      <c r="F5972">
        <v>1</v>
      </c>
      <c r="G5972" t="s">
        <v>35</v>
      </c>
      <c r="H5972" t="s">
        <v>36</v>
      </c>
      <c r="I5972" s="3">
        <v>1240</v>
      </c>
      <c r="J5972" s="3">
        <v>1240</v>
      </c>
      <c r="K5972" s="3">
        <v>380</v>
      </c>
      <c r="L5972" t="s">
        <v>98</v>
      </c>
      <c r="M5972">
        <v>17</v>
      </c>
      <c r="N5972" t="s">
        <v>14</v>
      </c>
      <c r="O5972" t="s">
        <v>11</v>
      </c>
      <c r="P5972" t="s">
        <v>15</v>
      </c>
      <c r="Q5972" t="s">
        <v>16</v>
      </c>
      <c r="R5972" t="s">
        <v>16</v>
      </c>
      <c r="S5972" t="s">
        <v>144</v>
      </c>
      <c r="T5972" s="2">
        <f>MASTER[[#This Row],[CANTIDAD]]*MASTER[[#This Row],[PRECIO DE VENTA]]</f>
        <v>1240</v>
      </c>
      <c r="U5972" s="2">
        <f>MASTER[[#This Row],[CANTIDAD]]*MASTER[[#This Row],[COSTO UNITARIO]]</f>
        <v>380</v>
      </c>
      <c r="V5972" s="2">
        <f>MASTER[[#This Row],[MONTO VENDIDO]]-MASTER[[#This Row],[COSTO DE VENTA]]</f>
        <v>860</v>
      </c>
    </row>
    <row r="5973" spans="1:22" x14ac:dyDescent="0.3">
      <c r="A5973">
        <v>83099</v>
      </c>
      <c r="B5973">
        <v>1</v>
      </c>
      <c r="C5973" t="s">
        <v>121</v>
      </c>
      <c r="D5973" t="s">
        <v>122</v>
      </c>
      <c r="E5973" s="1">
        <v>44475</v>
      </c>
      <c r="F5973">
        <v>1</v>
      </c>
      <c r="G5973" t="s">
        <v>20</v>
      </c>
      <c r="H5973" t="s">
        <v>21</v>
      </c>
      <c r="I5973" s="3">
        <v>1069</v>
      </c>
      <c r="J5973" s="3">
        <v>1069</v>
      </c>
      <c r="K5973" s="3">
        <v>460</v>
      </c>
      <c r="L5973" t="s">
        <v>120</v>
      </c>
      <c r="M5973">
        <v>15</v>
      </c>
      <c r="N5973" t="s">
        <v>88</v>
      </c>
      <c r="O5973" t="s">
        <v>81</v>
      </c>
      <c r="P5973" t="s">
        <v>18</v>
      </c>
      <c r="Q5973" t="s">
        <v>19</v>
      </c>
      <c r="R5973" t="s">
        <v>138</v>
      </c>
      <c r="S5973" t="s">
        <v>144</v>
      </c>
      <c r="T5973" s="2">
        <f>MASTER[[#This Row],[CANTIDAD]]*MASTER[[#This Row],[PRECIO DE VENTA]]</f>
        <v>1069</v>
      </c>
      <c r="U5973" s="2">
        <f>MASTER[[#This Row],[CANTIDAD]]*MASTER[[#This Row],[COSTO UNITARIO]]</f>
        <v>460</v>
      </c>
      <c r="V5973" s="2">
        <f>MASTER[[#This Row],[MONTO VENDIDO]]-MASTER[[#This Row],[COSTO DE VENTA]]</f>
        <v>609</v>
      </c>
    </row>
    <row r="5974" spans="1:22" x14ac:dyDescent="0.3">
      <c r="A5974">
        <v>83110</v>
      </c>
      <c r="B5974">
        <v>1</v>
      </c>
      <c r="C5974" t="s">
        <v>92</v>
      </c>
      <c r="D5974" t="s">
        <v>93</v>
      </c>
      <c r="E5974" s="1">
        <v>44475</v>
      </c>
      <c r="F5974">
        <v>1</v>
      </c>
      <c r="G5974" t="s">
        <v>27</v>
      </c>
      <c r="H5974" t="s">
        <v>28</v>
      </c>
      <c r="I5974" s="3">
        <v>1681</v>
      </c>
      <c r="J5974" s="3">
        <v>1681</v>
      </c>
      <c r="K5974" s="3">
        <v>396</v>
      </c>
      <c r="L5974" t="s">
        <v>9</v>
      </c>
      <c r="M5974">
        <v>7</v>
      </c>
      <c r="N5974" t="s">
        <v>84</v>
      </c>
      <c r="O5974" t="s">
        <v>81</v>
      </c>
      <c r="P5974" t="s">
        <v>12</v>
      </c>
      <c r="Q5974" t="s">
        <v>13</v>
      </c>
      <c r="R5974" t="s">
        <v>13</v>
      </c>
      <c r="S5974" t="s">
        <v>144</v>
      </c>
      <c r="T5974" s="2">
        <f>MASTER[[#This Row],[CANTIDAD]]*MASTER[[#This Row],[PRECIO DE VENTA]]</f>
        <v>1681</v>
      </c>
      <c r="U5974" s="2">
        <f>MASTER[[#This Row],[CANTIDAD]]*MASTER[[#This Row],[COSTO UNITARIO]]</f>
        <v>396</v>
      </c>
      <c r="V5974" s="2">
        <f>MASTER[[#This Row],[MONTO VENDIDO]]-MASTER[[#This Row],[COSTO DE VENTA]]</f>
        <v>1285</v>
      </c>
    </row>
    <row r="5975" spans="1:22" x14ac:dyDescent="0.3">
      <c r="A5975">
        <v>83145</v>
      </c>
      <c r="B5975">
        <v>1</v>
      </c>
      <c r="C5975" t="s">
        <v>90</v>
      </c>
      <c r="D5975" t="s">
        <v>91</v>
      </c>
      <c r="E5975" s="1">
        <v>44476</v>
      </c>
      <c r="F5975">
        <v>1</v>
      </c>
      <c r="G5975" t="s">
        <v>73</v>
      </c>
      <c r="H5975" t="s">
        <v>74</v>
      </c>
      <c r="I5975" s="3">
        <v>2102</v>
      </c>
      <c r="J5975" s="3">
        <v>1933</v>
      </c>
      <c r="K5975" s="3">
        <v>420</v>
      </c>
      <c r="L5975" t="s">
        <v>9</v>
      </c>
      <c r="M5975">
        <v>18</v>
      </c>
      <c r="N5975" t="s">
        <v>79</v>
      </c>
      <c r="O5975" t="s">
        <v>70</v>
      </c>
      <c r="P5975" t="s">
        <v>15</v>
      </c>
      <c r="Q5975" t="s">
        <v>16</v>
      </c>
      <c r="R5975" t="s">
        <v>16</v>
      </c>
      <c r="S5975" t="s">
        <v>144</v>
      </c>
      <c r="T5975" s="2">
        <f>MASTER[[#This Row],[CANTIDAD]]*MASTER[[#This Row],[PRECIO DE VENTA]]</f>
        <v>1933</v>
      </c>
      <c r="U5975" s="2">
        <f>MASTER[[#This Row],[CANTIDAD]]*MASTER[[#This Row],[COSTO UNITARIO]]</f>
        <v>420</v>
      </c>
      <c r="V5975" s="2">
        <f>MASTER[[#This Row],[MONTO VENDIDO]]-MASTER[[#This Row],[COSTO DE VENTA]]</f>
        <v>1513</v>
      </c>
    </row>
    <row r="5976" spans="1:22" x14ac:dyDescent="0.3">
      <c r="A5976">
        <v>83151</v>
      </c>
      <c r="B5976">
        <v>1</v>
      </c>
      <c r="C5976" t="s">
        <v>103</v>
      </c>
      <c r="D5976" t="s">
        <v>104</v>
      </c>
      <c r="E5976" s="1">
        <v>44476</v>
      </c>
      <c r="F5976">
        <v>1</v>
      </c>
      <c r="G5976" t="s">
        <v>22</v>
      </c>
      <c r="H5976" t="s">
        <v>23</v>
      </c>
      <c r="I5976" s="3">
        <v>1591</v>
      </c>
      <c r="J5976" s="3">
        <v>1591</v>
      </c>
      <c r="K5976" s="3">
        <v>421</v>
      </c>
      <c r="L5976" t="s">
        <v>98</v>
      </c>
      <c r="M5976">
        <v>5</v>
      </c>
      <c r="N5976" t="s">
        <v>85</v>
      </c>
      <c r="O5976" t="s">
        <v>81</v>
      </c>
      <c r="P5976" t="s">
        <v>12</v>
      </c>
      <c r="Q5976" t="s">
        <v>13</v>
      </c>
      <c r="R5976" t="s">
        <v>13</v>
      </c>
      <c r="S5976" t="s">
        <v>144</v>
      </c>
      <c r="T5976" s="2">
        <f>MASTER[[#This Row],[CANTIDAD]]*MASTER[[#This Row],[PRECIO DE VENTA]]</f>
        <v>1591</v>
      </c>
      <c r="U5976" s="2">
        <f>MASTER[[#This Row],[CANTIDAD]]*MASTER[[#This Row],[COSTO UNITARIO]]</f>
        <v>421</v>
      </c>
      <c r="V5976" s="2">
        <f>MASTER[[#This Row],[MONTO VENDIDO]]-MASTER[[#This Row],[COSTO DE VENTA]]</f>
        <v>1170</v>
      </c>
    </row>
    <row r="5977" spans="1:22" x14ac:dyDescent="0.3">
      <c r="A5977">
        <v>83163</v>
      </c>
      <c r="B5977">
        <v>1</v>
      </c>
      <c r="C5977" t="s">
        <v>99</v>
      </c>
      <c r="D5977" t="s">
        <v>100</v>
      </c>
      <c r="E5977" s="1">
        <v>44476</v>
      </c>
      <c r="F5977">
        <v>1</v>
      </c>
      <c r="G5977" t="s">
        <v>57</v>
      </c>
      <c r="H5977" t="s">
        <v>58</v>
      </c>
      <c r="I5977" s="3">
        <v>1328</v>
      </c>
      <c r="J5977" s="3">
        <v>1328</v>
      </c>
      <c r="K5977" s="3">
        <v>386</v>
      </c>
      <c r="L5977" t="s">
        <v>98</v>
      </c>
      <c r="M5977">
        <v>11</v>
      </c>
      <c r="N5977" t="s">
        <v>10</v>
      </c>
      <c r="O5977" t="s">
        <v>11</v>
      </c>
      <c r="P5977" t="s">
        <v>12</v>
      </c>
      <c r="Q5977" t="s">
        <v>13</v>
      </c>
      <c r="R5977" t="s">
        <v>13</v>
      </c>
      <c r="S5977" t="s">
        <v>144</v>
      </c>
      <c r="T5977" s="2">
        <f>MASTER[[#This Row],[CANTIDAD]]*MASTER[[#This Row],[PRECIO DE VENTA]]</f>
        <v>1328</v>
      </c>
      <c r="U5977" s="2">
        <f>MASTER[[#This Row],[CANTIDAD]]*MASTER[[#This Row],[COSTO UNITARIO]]</f>
        <v>386</v>
      </c>
      <c r="V5977" s="2">
        <f>MASTER[[#This Row],[MONTO VENDIDO]]-MASTER[[#This Row],[COSTO DE VENTA]]</f>
        <v>942</v>
      </c>
    </row>
    <row r="5978" spans="1:22" x14ac:dyDescent="0.3">
      <c r="A5978">
        <v>83187</v>
      </c>
      <c r="B5978">
        <v>1</v>
      </c>
      <c r="C5978" t="s">
        <v>92</v>
      </c>
      <c r="D5978" t="s">
        <v>93</v>
      </c>
      <c r="E5978" s="1">
        <v>44476</v>
      </c>
      <c r="F5978">
        <v>1</v>
      </c>
      <c r="G5978" t="s">
        <v>35</v>
      </c>
      <c r="H5978" t="s">
        <v>36</v>
      </c>
      <c r="I5978" s="3">
        <v>1681</v>
      </c>
      <c r="J5978" s="3">
        <v>1681</v>
      </c>
      <c r="K5978" s="3">
        <v>396</v>
      </c>
      <c r="L5978" t="s">
        <v>9</v>
      </c>
      <c r="M5978">
        <v>14</v>
      </c>
      <c r="N5978" t="s">
        <v>87</v>
      </c>
      <c r="O5978" t="s">
        <v>81</v>
      </c>
      <c r="P5978" t="s">
        <v>18</v>
      </c>
      <c r="Q5978" t="s">
        <v>19</v>
      </c>
      <c r="R5978" t="s">
        <v>138</v>
      </c>
      <c r="S5978" t="s">
        <v>144</v>
      </c>
      <c r="T5978" s="2">
        <f>MASTER[[#This Row],[CANTIDAD]]*MASTER[[#This Row],[PRECIO DE VENTA]]</f>
        <v>1681</v>
      </c>
      <c r="U5978" s="2">
        <f>MASTER[[#This Row],[CANTIDAD]]*MASTER[[#This Row],[COSTO UNITARIO]]</f>
        <v>396</v>
      </c>
      <c r="V5978" s="2">
        <f>MASTER[[#This Row],[MONTO VENDIDO]]-MASTER[[#This Row],[COSTO DE VENTA]]</f>
        <v>1285</v>
      </c>
    </row>
    <row r="5979" spans="1:22" x14ac:dyDescent="0.3">
      <c r="A5979">
        <v>83228</v>
      </c>
      <c r="B5979">
        <v>1</v>
      </c>
      <c r="C5979" t="s">
        <v>111</v>
      </c>
      <c r="D5979" t="s">
        <v>112</v>
      </c>
      <c r="E5979" s="1">
        <v>44476</v>
      </c>
      <c r="F5979">
        <v>1</v>
      </c>
      <c r="G5979" t="s">
        <v>47</v>
      </c>
      <c r="H5979" t="s">
        <v>48</v>
      </c>
      <c r="I5979" s="3">
        <v>1799</v>
      </c>
      <c r="J5979" s="3">
        <v>1799</v>
      </c>
      <c r="K5979" s="3">
        <v>434</v>
      </c>
      <c r="L5979" t="s">
        <v>113</v>
      </c>
      <c r="M5979">
        <v>6</v>
      </c>
      <c r="N5979" t="s">
        <v>75</v>
      </c>
      <c r="O5979" t="s">
        <v>70</v>
      </c>
      <c r="P5979" t="s">
        <v>12</v>
      </c>
      <c r="Q5979" t="s">
        <v>13</v>
      </c>
      <c r="R5979" t="s">
        <v>13</v>
      </c>
      <c r="S5979" t="s">
        <v>144</v>
      </c>
      <c r="T5979" s="2">
        <f>MASTER[[#This Row],[CANTIDAD]]*MASTER[[#This Row],[PRECIO DE VENTA]]</f>
        <v>1799</v>
      </c>
      <c r="U5979" s="2">
        <f>MASTER[[#This Row],[CANTIDAD]]*MASTER[[#This Row],[COSTO UNITARIO]]</f>
        <v>434</v>
      </c>
      <c r="V5979" s="2">
        <f>MASTER[[#This Row],[MONTO VENDIDO]]-MASTER[[#This Row],[COSTO DE VENTA]]</f>
        <v>1365</v>
      </c>
    </row>
    <row r="5980" spans="1:22" x14ac:dyDescent="0.3">
      <c r="A5980">
        <v>83229</v>
      </c>
      <c r="B5980">
        <v>1</v>
      </c>
      <c r="C5980" t="s">
        <v>96</v>
      </c>
      <c r="D5980" t="s">
        <v>97</v>
      </c>
      <c r="E5980" s="1">
        <v>44476</v>
      </c>
      <c r="F5980">
        <v>1</v>
      </c>
      <c r="G5980" t="s">
        <v>27</v>
      </c>
      <c r="H5980" t="s">
        <v>28</v>
      </c>
      <c r="I5980" s="3">
        <v>1272</v>
      </c>
      <c r="J5980" s="3">
        <v>1272</v>
      </c>
      <c r="K5980" s="3">
        <v>397</v>
      </c>
      <c r="L5980" t="s">
        <v>98</v>
      </c>
      <c r="M5980">
        <v>8</v>
      </c>
      <c r="N5980" t="s">
        <v>80</v>
      </c>
      <c r="O5980" t="s">
        <v>81</v>
      </c>
      <c r="P5980" t="s">
        <v>12</v>
      </c>
      <c r="Q5980" t="s">
        <v>13</v>
      </c>
      <c r="R5980" t="s">
        <v>13</v>
      </c>
      <c r="S5980" t="s">
        <v>144</v>
      </c>
      <c r="T5980" s="2">
        <f>MASTER[[#This Row],[CANTIDAD]]*MASTER[[#This Row],[PRECIO DE VENTA]]</f>
        <v>1272</v>
      </c>
      <c r="U5980" s="2">
        <f>MASTER[[#This Row],[CANTIDAD]]*MASTER[[#This Row],[COSTO UNITARIO]]</f>
        <v>397</v>
      </c>
      <c r="V5980" s="2">
        <f>MASTER[[#This Row],[MONTO VENDIDO]]-MASTER[[#This Row],[COSTO DE VENTA]]</f>
        <v>875</v>
      </c>
    </row>
    <row r="5981" spans="1:22" x14ac:dyDescent="0.3">
      <c r="A5981">
        <v>83239</v>
      </c>
      <c r="B5981">
        <v>1</v>
      </c>
      <c r="C5981" t="s">
        <v>103</v>
      </c>
      <c r="D5981" t="s">
        <v>104</v>
      </c>
      <c r="E5981" s="1">
        <v>44476</v>
      </c>
      <c r="F5981">
        <v>1</v>
      </c>
      <c r="G5981" t="s">
        <v>35</v>
      </c>
      <c r="H5981" t="s">
        <v>36</v>
      </c>
      <c r="I5981" s="3">
        <v>1830</v>
      </c>
      <c r="J5981" s="3">
        <v>1830</v>
      </c>
      <c r="K5981" s="3">
        <v>421</v>
      </c>
      <c r="L5981" t="s">
        <v>98</v>
      </c>
      <c r="M5981">
        <v>9</v>
      </c>
      <c r="N5981" t="s">
        <v>76</v>
      </c>
      <c r="O5981" t="s">
        <v>70</v>
      </c>
      <c r="P5981" t="s">
        <v>12</v>
      </c>
      <c r="Q5981" t="s">
        <v>13</v>
      </c>
      <c r="R5981" t="s">
        <v>13</v>
      </c>
      <c r="S5981" t="s">
        <v>144</v>
      </c>
      <c r="T5981" s="2">
        <f>MASTER[[#This Row],[CANTIDAD]]*MASTER[[#This Row],[PRECIO DE VENTA]]</f>
        <v>1830</v>
      </c>
      <c r="U5981" s="2">
        <f>MASTER[[#This Row],[CANTIDAD]]*MASTER[[#This Row],[COSTO UNITARIO]]</f>
        <v>421</v>
      </c>
      <c r="V5981" s="2">
        <f>MASTER[[#This Row],[MONTO VENDIDO]]-MASTER[[#This Row],[COSTO DE VENTA]]</f>
        <v>1409</v>
      </c>
    </row>
    <row r="5982" spans="1:22" x14ac:dyDescent="0.3">
      <c r="A5982">
        <v>83241</v>
      </c>
      <c r="B5982">
        <v>1</v>
      </c>
      <c r="C5982" t="s">
        <v>90</v>
      </c>
      <c r="D5982" t="s">
        <v>91</v>
      </c>
      <c r="E5982" s="1">
        <v>44476</v>
      </c>
      <c r="F5982">
        <v>1</v>
      </c>
      <c r="G5982" t="s">
        <v>37</v>
      </c>
      <c r="H5982" t="s">
        <v>38</v>
      </c>
      <c r="I5982" s="3">
        <v>1844</v>
      </c>
      <c r="J5982" s="3">
        <v>1844</v>
      </c>
      <c r="K5982" s="3">
        <v>420</v>
      </c>
      <c r="L5982" t="s">
        <v>9</v>
      </c>
      <c r="M5982">
        <v>2</v>
      </c>
      <c r="N5982" t="s">
        <v>86</v>
      </c>
      <c r="O5982" t="s">
        <v>81</v>
      </c>
      <c r="P5982" t="s">
        <v>71</v>
      </c>
      <c r="Q5982" t="s">
        <v>72</v>
      </c>
      <c r="R5982" t="s">
        <v>139</v>
      </c>
      <c r="S5982" t="s">
        <v>144</v>
      </c>
      <c r="T5982" s="2">
        <f>MASTER[[#This Row],[CANTIDAD]]*MASTER[[#This Row],[PRECIO DE VENTA]]</f>
        <v>1844</v>
      </c>
      <c r="U5982" s="2">
        <f>MASTER[[#This Row],[CANTIDAD]]*MASTER[[#This Row],[COSTO UNITARIO]]</f>
        <v>420</v>
      </c>
      <c r="V5982" s="2">
        <f>MASTER[[#This Row],[MONTO VENDIDO]]-MASTER[[#This Row],[COSTO DE VENTA]]</f>
        <v>1424</v>
      </c>
    </row>
    <row r="5983" spans="1:22" x14ac:dyDescent="0.3">
      <c r="A5983">
        <v>83256</v>
      </c>
      <c r="B5983">
        <v>1</v>
      </c>
      <c r="C5983" t="s">
        <v>101</v>
      </c>
      <c r="D5983" t="s">
        <v>102</v>
      </c>
      <c r="E5983" s="1">
        <v>44476</v>
      </c>
      <c r="F5983">
        <v>1</v>
      </c>
      <c r="G5983" t="s">
        <v>33</v>
      </c>
      <c r="H5983" t="s">
        <v>34</v>
      </c>
      <c r="I5983" s="3">
        <v>1212</v>
      </c>
      <c r="J5983" s="3">
        <v>1090</v>
      </c>
      <c r="K5983" s="3">
        <v>442</v>
      </c>
      <c r="L5983" t="s">
        <v>98</v>
      </c>
      <c r="M5983">
        <v>15</v>
      </c>
      <c r="N5983" t="s">
        <v>88</v>
      </c>
      <c r="O5983" t="s">
        <v>81</v>
      </c>
      <c r="P5983" t="s">
        <v>18</v>
      </c>
      <c r="Q5983" t="s">
        <v>19</v>
      </c>
      <c r="R5983" t="s">
        <v>138</v>
      </c>
      <c r="S5983" t="s">
        <v>144</v>
      </c>
      <c r="T5983" s="2">
        <f>MASTER[[#This Row],[CANTIDAD]]*MASTER[[#This Row],[PRECIO DE VENTA]]</f>
        <v>1090</v>
      </c>
      <c r="U5983" s="2">
        <f>MASTER[[#This Row],[CANTIDAD]]*MASTER[[#This Row],[COSTO UNITARIO]]</f>
        <v>442</v>
      </c>
      <c r="V5983" s="2">
        <f>MASTER[[#This Row],[MONTO VENDIDO]]-MASTER[[#This Row],[COSTO DE VENTA]]</f>
        <v>648</v>
      </c>
    </row>
    <row r="5984" spans="1:22" x14ac:dyDescent="0.3">
      <c r="A5984">
        <v>83258</v>
      </c>
      <c r="B5984">
        <v>1</v>
      </c>
      <c r="C5984" t="s">
        <v>101</v>
      </c>
      <c r="D5984" t="s">
        <v>102</v>
      </c>
      <c r="E5984" s="1">
        <v>44476</v>
      </c>
      <c r="F5984">
        <v>1</v>
      </c>
      <c r="G5984" t="s">
        <v>43</v>
      </c>
      <c r="H5984" t="s">
        <v>44</v>
      </c>
      <c r="I5984" s="3">
        <v>1054</v>
      </c>
      <c r="J5984" s="3">
        <v>1054</v>
      </c>
      <c r="K5984" s="3">
        <v>442</v>
      </c>
      <c r="L5984" t="s">
        <v>98</v>
      </c>
      <c r="M5984">
        <v>16</v>
      </c>
      <c r="N5984" t="s">
        <v>17</v>
      </c>
      <c r="O5984" t="s">
        <v>11</v>
      </c>
      <c r="P5984" t="s">
        <v>18</v>
      </c>
      <c r="Q5984" t="s">
        <v>19</v>
      </c>
      <c r="R5984" t="s">
        <v>138</v>
      </c>
      <c r="S5984" t="s">
        <v>144</v>
      </c>
      <c r="T5984" s="2">
        <f>MASTER[[#This Row],[CANTIDAD]]*MASTER[[#This Row],[PRECIO DE VENTA]]</f>
        <v>1054</v>
      </c>
      <c r="U5984" s="2">
        <f>MASTER[[#This Row],[CANTIDAD]]*MASTER[[#This Row],[COSTO UNITARIO]]</f>
        <v>442</v>
      </c>
      <c r="V5984" s="2">
        <f>MASTER[[#This Row],[MONTO VENDIDO]]-MASTER[[#This Row],[COSTO DE VENTA]]</f>
        <v>612</v>
      </c>
    </row>
    <row r="5985" spans="1:22" x14ac:dyDescent="0.3">
      <c r="A5985">
        <v>83265</v>
      </c>
      <c r="B5985">
        <v>1</v>
      </c>
      <c r="C5985" t="s">
        <v>92</v>
      </c>
      <c r="D5985" t="s">
        <v>93</v>
      </c>
      <c r="E5985" s="1">
        <v>44476</v>
      </c>
      <c r="F5985">
        <v>1</v>
      </c>
      <c r="G5985" t="s">
        <v>24</v>
      </c>
      <c r="H5985" t="s">
        <v>25</v>
      </c>
      <c r="I5985" s="3">
        <v>1866</v>
      </c>
      <c r="J5985" s="3">
        <v>1754</v>
      </c>
      <c r="K5985" s="3">
        <v>396</v>
      </c>
      <c r="L5985" t="s">
        <v>9</v>
      </c>
      <c r="M5985">
        <v>6</v>
      </c>
      <c r="N5985" t="s">
        <v>75</v>
      </c>
      <c r="O5985" t="s">
        <v>70</v>
      </c>
      <c r="P5985" t="s">
        <v>12</v>
      </c>
      <c r="Q5985" t="s">
        <v>13</v>
      </c>
      <c r="R5985" t="s">
        <v>13</v>
      </c>
      <c r="S5985" t="s">
        <v>144</v>
      </c>
      <c r="T5985" s="2">
        <f>MASTER[[#This Row],[CANTIDAD]]*MASTER[[#This Row],[PRECIO DE VENTA]]</f>
        <v>1754</v>
      </c>
      <c r="U5985" s="2">
        <f>MASTER[[#This Row],[CANTIDAD]]*MASTER[[#This Row],[COSTO UNITARIO]]</f>
        <v>396</v>
      </c>
      <c r="V5985" s="2">
        <f>MASTER[[#This Row],[MONTO VENDIDO]]-MASTER[[#This Row],[COSTO DE VENTA]]</f>
        <v>1358</v>
      </c>
    </row>
    <row r="5986" spans="1:22" x14ac:dyDescent="0.3">
      <c r="A5986">
        <v>83276</v>
      </c>
      <c r="B5986">
        <v>1</v>
      </c>
      <c r="C5986" t="s">
        <v>90</v>
      </c>
      <c r="D5986" t="s">
        <v>91</v>
      </c>
      <c r="E5986" s="1">
        <v>44476</v>
      </c>
      <c r="F5986">
        <v>1</v>
      </c>
      <c r="G5986" t="s">
        <v>49</v>
      </c>
      <c r="H5986" t="s">
        <v>50</v>
      </c>
      <c r="I5986" s="3">
        <v>1844</v>
      </c>
      <c r="J5986" s="3">
        <v>1714</v>
      </c>
      <c r="K5986" s="3">
        <v>420</v>
      </c>
      <c r="L5986" t="s">
        <v>9</v>
      </c>
      <c r="M5986">
        <v>5</v>
      </c>
      <c r="N5986" t="s">
        <v>85</v>
      </c>
      <c r="O5986" t="s">
        <v>81</v>
      </c>
      <c r="P5986" t="s">
        <v>12</v>
      </c>
      <c r="Q5986" t="s">
        <v>13</v>
      </c>
      <c r="R5986" t="s">
        <v>13</v>
      </c>
      <c r="S5986" t="s">
        <v>144</v>
      </c>
      <c r="T5986" s="2">
        <f>MASTER[[#This Row],[CANTIDAD]]*MASTER[[#This Row],[PRECIO DE VENTA]]</f>
        <v>1714</v>
      </c>
      <c r="U5986" s="2">
        <f>MASTER[[#This Row],[CANTIDAD]]*MASTER[[#This Row],[COSTO UNITARIO]]</f>
        <v>420</v>
      </c>
      <c r="V5986" s="2">
        <f>MASTER[[#This Row],[MONTO VENDIDO]]-MASTER[[#This Row],[COSTO DE VENTA]]</f>
        <v>1294</v>
      </c>
    </row>
    <row r="5987" spans="1:22" x14ac:dyDescent="0.3">
      <c r="A5987">
        <v>83295</v>
      </c>
      <c r="B5987">
        <v>1</v>
      </c>
      <c r="C5987" t="s">
        <v>105</v>
      </c>
      <c r="D5987" t="s">
        <v>106</v>
      </c>
      <c r="E5987" s="1">
        <v>44476</v>
      </c>
      <c r="F5987">
        <v>1</v>
      </c>
      <c r="G5987" t="s">
        <v>45</v>
      </c>
      <c r="H5987" t="s">
        <v>46</v>
      </c>
      <c r="I5987" s="3">
        <v>2033</v>
      </c>
      <c r="J5987" s="3">
        <v>2033</v>
      </c>
      <c r="K5987" s="3">
        <v>459</v>
      </c>
      <c r="L5987" t="s">
        <v>98</v>
      </c>
      <c r="M5987">
        <v>1</v>
      </c>
      <c r="N5987" t="s">
        <v>77</v>
      </c>
      <c r="O5987" t="s">
        <v>70</v>
      </c>
      <c r="P5987" t="s">
        <v>71</v>
      </c>
      <c r="Q5987" t="s">
        <v>72</v>
      </c>
      <c r="R5987" t="s">
        <v>139</v>
      </c>
      <c r="S5987" t="s">
        <v>144</v>
      </c>
      <c r="T5987" s="2">
        <f>MASTER[[#This Row],[CANTIDAD]]*MASTER[[#This Row],[PRECIO DE VENTA]]</f>
        <v>2033</v>
      </c>
      <c r="U5987" s="2">
        <f>MASTER[[#This Row],[CANTIDAD]]*MASTER[[#This Row],[COSTO UNITARIO]]</f>
        <v>459</v>
      </c>
      <c r="V5987" s="2">
        <f>MASTER[[#This Row],[MONTO VENDIDO]]-MASTER[[#This Row],[COSTO DE VENTA]]</f>
        <v>1574</v>
      </c>
    </row>
    <row r="5988" spans="1:22" x14ac:dyDescent="0.3">
      <c r="A5988">
        <v>83299</v>
      </c>
      <c r="B5988">
        <v>1</v>
      </c>
      <c r="C5988" t="s">
        <v>94</v>
      </c>
      <c r="D5988" t="s">
        <v>95</v>
      </c>
      <c r="E5988" s="1">
        <v>44476</v>
      </c>
      <c r="F5988">
        <v>1</v>
      </c>
      <c r="G5988" t="s">
        <v>24</v>
      </c>
      <c r="H5988" t="s">
        <v>25</v>
      </c>
      <c r="I5988" s="3">
        <v>1048</v>
      </c>
      <c r="J5988" s="3">
        <v>1048</v>
      </c>
      <c r="K5988" s="3">
        <v>392</v>
      </c>
      <c r="L5988" t="s">
        <v>9</v>
      </c>
      <c r="M5988">
        <v>8</v>
      </c>
      <c r="N5988" t="s">
        <v>80</v>
      </c>
      <c r="O5988" t="s">
        <v>81</v>
      </c>
      <c r="P5988" t="s">
        <v>12</v>
      </c>
      <c r="Q5988" t="s">
        <v>13</v>
      </c>
      <c r="R5988" t="s">
        <v>13</v>
      </c>
      <c r="S5988" t="s">
        <v>144</v>
      </c>
      <c r="T5988" s="2">
        <f>MASTER[[#This Row],[CANTIDAD]]*MASTER[[#This Row],[PRECIO DE VENTA]]</f>
        <v>1048</v>
      </c>
      <c r="U5988" s="2">
        <f>MASTER[[#This Row],[CANTIDAD]]*MASTER[[#This Row],[COSTO UNITARIO]]</f>
        <v>392</v>
      </c>
      <c r="V5988" s="2">
        <f>MASTER[[#This Row],[MONTO VENDIDO]]-MASTER[[#This Row],[COSTO DE VENTA]]</f>
        <v>656</v>
      </c>
    </row>
    <row r="5989" spans="1:22" x14ac:dyDescent="0.3">
      <c r="A5989">
        <v>83301</v>
      </c>
      <c r="B5989">
        <v>1</v>
      </c>
      <c r="C5989" t="s">
        <v>111</v>
      </c>
      <c r="D5989" t="s">
        <v>112</v>
      </c>
      <c r="E5989" s="1">
        <v>44476</v>
      </c>
      <c r="F5989">
        <v>1</v>
      </c>
      <c r="G5989" t="s">
        <v>35</v>
      </c>
      <c r="H5989" t="s">
        <v>36</v>
      </c>
      <c r="I5989" s="3">
        <v>1524</v>
      </c>
      <c r="J5989" s="3">
        <v>1524</v>
      </c>
      <c r="K5989" s="3">
        <v>434</v>
      </c>
      <c r="L5989" t="s">
        <v>113</v>
      </c>
      <c r="M5989">
        <v>17</v>
      </c>
      <c r="N5989" t="s">
        <v>14</v>
      </c>
      <c r="O5989" t="s">
        <v>11</v>
      </c>
      <c r="P5989" t="s">
        <v>15</v>
      </c>
      <c r="Q5989" t="s">
        <v>16</v>
      </c>
      <c r="R5989" t="s">
        <v>16</v>
      </c>
      <c r="S5989" t="s">
        <v>144</v>
      </c>
      <c r="T5989" s="2">
        <f>MASTER[[#This Row],[CANTIDAD]]*MASTER[[#This Row],[PRECIO DE VENTA]]</f>
        <v>1524</v>
      </c>
      <c r="U5989" s="2">
        <f>MASTER[[#This Row],[CANTIDAD]]*MASTER[[#This Row],[COSTO UNITARIO]]</f>
        <v>434</v>
      </c>
      <c r="V5989" s="2">
        <f>MASTER[[#This Row],[MONTO VENDIDO]]-MASTER[[#This Row],[COSTO DE VENTA]]</f>
        <v>1090</v>
      </c>
    </row>
    <row r="5990" spans="1:22" x14ac:dyDescent="0.3">
      <c r="A5990">
        <v>83302</v>
      </c>
      <c r="B5990">
        <v>1</v>
      </c>
      <c r="C5990" t="s">
        <v>90</v>
      </c>
      <c r="D5990" t="s">
        <v>91</v>
      </c>
      <c r="E5990" s="1">
        <v>44477</v>
      </c>
      <c r="F5990">
        <v>1</v>
      </c>
      <c r="G5990" t="s">
        <v>73</v>
      </c>
      <c r="H5990" t="s">
        <v>74</v>
      </c>
      <c r="I5990" s="3">
        <v>1660</v>
      </c>
      <c r="J5990" s="3">
        <v>1660</v>
      </c>
      <c r="K5990" s="3">
        <v>420</v>
      </c>
      <c r="L5990" t="s">
        <v>9</v>
      </c>
      <c r="M5990">
        <v>17</v>
      </c>
      <c r="N5990" t="s">
        <v>14</v>
      </c>
      <c r="O5990" t="s">
        <v>11</v>
      </c>
      <c r="P5990" t="s">
        <v>15</v>
      </c>
      <c r="Q5990" t="s">
        <v>16</v>
      </c>
      <c r="R5990" t="s">
        <v>16</v>
      </c>
      <c r="S5990" t="s">
        <v>144</v>
      </c>
      <c r="T5990" s="2">
        <f>MASTER[[#This Row],[CANTIDAD]]*MASTER[[#This Row],[PRECIO DE VENTA]]</f>
        <v>1660</v>
      </c>
      <c r="U5990" s="2">
        <f>MASTER[[#This Row],[CANTIDAD]]*MASTER[[#This Row],[COSTO UNITARIO]]</f>
        <v>420</v>
      </c>
      <c r="V5990" s="2">
        <f>MASTER[[#This Row],[MONTO VENDIDO]]-MASTER[[#This Row],[COSTO DE VENTA]]</f>
        <v>1240</v>
      </c>
    </row>
    <row r="5991" spans="1:22" x14ac:dyDescent="0.3">
      <c r="A5991">
        <v>83321</v>
      </c>
      <c r="B5991">
        <v>1</v>
      </c>
      <c r="C5991" t="s">
        <v>92</v>
      </c>
      <c r="D5991" t="s">
        <v>93</v>
      </c>
      <c r="E5991" s="1">
        <v>44477</v>
      </c>
      <c r="F5991">
        <v>1</v>
      </c>
      <c r="G5991" t="s">
        <v>45</v>
      </c>
      <c r="H5991" t="s">
        <v>46</v>
      </c>
      <c r="I5991" s="3">
        <v>1681</v>
      </c>
      <c r="J5991" s="3">
        <v>1681</v>
      </c>
      <c r="K5991" s="3">
        <v>396</v>
      </c>
      <c r="L5991" t="s">
        <v>9</v>
      </c>
      <c r="M5991">
        <v>10</v>
      </c>
      <c r="N5991" t="s">
        <v>83</v>
      </c>
      <c r="O5991" t="s">
        <v>81</v>
      </c>
      <c r="P5991" t="s">
        <v>12</v>
      </c>
      <c r="Q5991" t="s">
        <v>13</v>
      </c>
      <c r="R5991" t="s">
        <v>13</v>
      </c>
      <c r="S5991" t="s">
        <v>144</v>
      </c>
      <c r="T5991" s="2">
        <f>MASTER[[#This Row],[CANTIDAD]]*MASTER[[#This Row],[PRECIO DE VENTA]]</f>
        <v>1681</v>
      </c>
      <c r="U5991" s="2">
        <f>MASTER[[#This Row],[CANTIDAD]]*MASTER[[#This Row],[COSTO UNITARIO]]</f>
        <v>396</v>
      </c>
      <c r="V5991" s="2">
        <f>MASTER[[#This Row],[MONTO VENDIDO]]-MASTER[[#This Row],[COSTO DE VENTA]]</f>
        <v>1285</v>
      </c>
    </row>
    <row r="5992" spans="1:22" x14ac:dyDescent="0.3">
      <c r="A5992">
        <v>83345</v>
      </c>
      <c r="B5992">
        <v>1</v>
      </c>
      <c r="C5992" t="s">
        <v>99</v>
      </c>
      <c r="D5992" t="s">
        <v>100</v>
      </c>
      <c r="E5992" s="1">
        <v>44477</v>
      </c>
      <c r="F5992">
        <v>1</v>
      </c>
      <c r="G5992" t="s">
        <v>49</v>
      </c>
      <c r="H5992" t="s">
        <v>50</v>
      </c>
      <c r="I5992" s="3">
        <v>1459</v>
      </c>
      <c r="J5992" s="3">
        <v>1459</v>
      </c>
      <c r="K5992" s="3">
        <v>386</v>
      </c>
      <c r="L5992" t="s">
        <v>98</v>
      </c>
      <c r="M5992">
        <v>15</v>
      </c>
      <c r="N5992" t="s">
        <v>88</v>
      </c>
      <c r="O5992" t="s">
        <v>81</v>
      </c>
      <c r="P5992" t="s">
        <v>18</v>
      </c>
      <c r="Q5992" t="s">
        <v>19</v>
      </c>
      <c r="R5992" t="s">
        <v>138</v>
      </c>
      <c r="S5992" t="s">
        <v>144</v>
      </c>
      <c r="T5992" s="2">
        <f>MASTER[[#This Row],[CANTIDAD]]*MASTER[[#This Row],[PRECIO DE VENTA]]</f>
        <v>1459</v>
      </c>
      <c r="U5992" s="2">
        <f>MASTER[[#This Row],[CANTIDAD]]*MASTER[[#This Row],[COSTO UNITARIO]]</f>
        <v>386</v>
      </c>
      <c r="V5992" s="2">
        <f>MASTER[[#This Row],[MONTO VENDIDO]]-MASTER[[#This Row],[COSTO DE VENTA]]</f>
        <v>1073</v>
      </c>
    </row>
    <row r="5993" spans="1:22" x14ac:dyDescent="0.3">
      <c r="A5993">
        <v>83367</v>
      </c>
      <c r="B5993">
        <v>1</v>
      </c>
      <c r="C5993" t="s">
        <v>111</v>
      </c>
      <c r="D5993" t="s">
        <v>112</v>
      </c>
      <c r="E5993" s="1">
        <v>44477</v>
      </c>
      <c r="F5993">
        <v>1</v>
      </c>
      <c r="G5993" t="s">
        <v>51</v>
      </c>
      <c r="H5993" t="s">
        <v>52</v>
      </c>
      <c r="I5993" s="3">
        <v>1621</v>
      </c>
      <c r="J5993" s="3">
        <v>1621</v>
      </c>
      <c r="K5993" s="3">
        <v>434</v>
      </c>
      <c r="L5993" t="s">
        <v>113</v>
      </c>
      <c r="M5993">
        <v>8</v>
      </c>
      <c r="N5993" t="s">
        <v>80</v>
      </c>
      <c r="O5993" t="s">
        <v>81</v>
      </c>
      <c r="P5993" t="s">
        <v>12</v>
      </c>
      <c r="Q5993" t="s">
        <v>13</v>
      </c>
      <c r="R5993" t="s">
        <v>13</v>
      </c>
      <c r="S5993" t="s">
        <v>144</v>
      </c>
      <c r="T5993" s="2">
        <f>MASTER[[#This Row],[CANTIDAD]]*MASTER[[#This Row],[PRECIO DE VENTA]]</f>
        <v>1621</v>
      </c>
      <c r="U5993" s="2">
        <f>MASTER[[#This Row],[CANTIDAD]]*MASTER[[#This Row],[COSTO UNITARIO]]</f>
        <v>434</v>
      </c>
      <c r="V5993" s="2">
        <f>MASTER[[#This Row],[MONTO VENDIDO]]-MASTER[[#This Row],[COSTO DE VENTA]]</f>
        <v>1187</v>
      </c>
    </row>
    <row r="5994" spans="1:22" x14ac:dyDescent="0.3">
      <c r="A5994">
        <v>83371</v>
      </c>
      <c r="B5994">
        <v>1</v>
      </c>
      <c r="C5994" t="s">
        <v>90</v>
      </c>
      <c r="D5994" t="s">
        <v>91</v>
      </c>
      <c r="E5994" s="1">
        <v>44477</v>
      </c>
      <c r="F5994">
        <v>1</v>
      </c>
      <c r="G5994" t="s">
        <v>45</v>
      </c>
      <c r="H5994" t="s">
        <v>46</v>
      </c>
      <c r="I5994" s="3">
        <v>1660</v>
      </c>
      <c r="J5994" s="3">
        <v>1660</v>
      </c>
      <c r="K5994" s="3">
        <v>420</v>
      </c>
      <c r="L5994" t="s">
        <v>9</v>
      </c>
      <c r="M5994">
        <v>16</v>
      </c>
      <c r="N5994" t="s">
        <v>17</v>
      </c>
      <c r="O5994" t="s">
        <v>11</v>
      </c>
      <c r="P5994" t="s">
        <v>18</v>
      </c>
      <c r="Q5994" t="s">
        <v>19</v>
      </c>
      <c r="R5994" t="s">
        <v>138</v>
      </c>
      <c r="S5994" t="s">
        <v>144</v>
      </c>
      <c r="T5994" s="2">
        <f>MASTER[[#This Row],[CANTIDAD]]*MASTER[[#This Row],[PRECIO DE VENTA]]</f>
        <v>1660</v>
      </c>
      <c r="U5994" s="2">
        <f>MASTER[[#This Row],[CANTIDAD]]*MASTER[[#This Row],[COSTO UNITARIO]]</f>
        <v>420</v>
      </c>
      <c r="V5994" s="2">
        <f>MASTER[[#This Row],[MONTO VENDIDO]]-MASTER[[#This Row],[COSTO DE VENTA]]</f>
        <v>1240</v>
      </c>
    </row>
    <row r="5995" spans="1:22" x14ac:dyDescent="0.3">
      <c r="A5995">
        <v>83380</v>
      </c>
      <c r="B5995">
        <v>1</v>
      </c>
      <c r="C5995" t="s">
        <v>116</v>
      </c>
      <c r="D5995" t="s">
        <v>117</v>
      </c>
      <c r="E5995" s="1">
        <v>44477</v>
      </c>
      <c r="F5995">
        <v>1</v>
      </c>
      <c r="G5995" t="s">
        <v>29</v>
      </c>
      <c r="H5995" t="s">
        <v>30</v>
      </c>
      <c r="I5995" s="3">
        <v>1529</v>
      </c>
      <c r="J5995" s="3">
        <v>1529</v>
      </c>
      <c r="K5995" s="3">
        <v>388</v>
      </c>
      <c r="L5995" t="s">
        <v>113</v>
      </c>
      <c r="M5995">
        <v>17</v>
      </c>
      <c r="N5995" t="s">
        <v>14</v>
      </c>
      <c r="O5995" t="s">
        <v>11</v>
      </c>
      <c r="P5995" t="s">
        <v>15</v>
      </c>
      <c r="Q5995" t="s">
        <v>16</v>
      </c>
      <c r="R5995" t="s">
        <v>16</v>
      </c>
      <c r="S5995" t="s">
        <v>144</v>
      </c>
      <c r="T5995" s="2">
        <f>MASTER[[#This Row],[CANTIDAD]]*MASTER[[#This Row],[PRECIO DE VENTA]]</f>
        <v>1529</v>
      </c>
      <c r="U5995" s="2">
        <f>MASTER[[#This Row],[CANTIDAD]]*MASTER[[#This Row],[COSTO UNITARIO]]</f>
        <v>388</v>
      </c>
      <c r="V5995" s="2">
        <f>MASTER[[#This Row],[MONTO VENDIDO]]-MASTER[[#This Row],[COSTO DE VENTA]]</f>
        <v>1141</v>
      </c>
    </row>
    <row r="5996" spans="1:22" x14ac:dyDescent="0.3">
      <c r="A5996">
        <v>83392</v>
      </c>
      <c r="B5996">
        <v>1</v>
      </c>
      <c r="C5996" t="s">
        <v>111</v>
      </c>
      <c r="D5996" t="s">
        <v>112</v>
      </c>
      <c r="E5996" s="1">
        <v>44477</v>
      </c>
      <c r="F5996">
        <v>2</v>
      </c>
      <c r="G5996" t="s">
        <v>35</v>
      </c>
      <c r="H5996" t="s">
        <v>36</v>
      </c>
      <c r="I5996" s="3">
        <v>1621</v>
      </c>
      <c r="J5996" s="3">
        <v>1621</v>
      </c>
      <c r="K5996" s="3">
        <v>434</v>
      </c>
      <c r="L5996" t="s">
        <v>113</v>
      </c>
      <c r="M5996">
        <v>7</v>
      </c>
      <c r="N5996" t="s">
        <v>84</v>
      </c>
      <c r="O5996" t="s">
        <v>81</v>
      </c>
      <c r="P5996" t="s">
        <v>12</v>
      </c>
      <c r="Q5996" t="s">
        <v>13</v>
      </c>
      <c r="R5996" t="s">
        <v>13</v>
      </c>
      <c r="S5996" t="s">
        <v>144</v>
      </c>
      <c r="T5996" s="2">
        <f>MASTER[[#This Row],[CANTIDAD]]*MASTER[[#This Row],[PRECIO DE VENTA]]</f>
        <v>3242</v>
      </c>
      <c r="U5996" s="2">
        <f>MASTER[[#This Row],[CANTIDAD]]*MASTER[[#This Row],[COSTO UNITARIO]]</f>
        <v>868</v>
      </c>
      <c r="V5996" s="2">
        <f>MASTER[[#This Row],[MONTO VENDIDO]]-MASTER[[#This Row],[COSTO DE VENTA]]</f>
        <v>2374</v>
      </c>
    </row>
    <row r="5997" spans="1:22" x14ac:dyDescent="0.3">
      <c r="A5997">
        <v>83423</v>
      </c>
      <c r="B5997">
        <v>1</v>
      </c>
      <c r="C5997" t="s">
        <v>107</v>
      </c>
      <c r="D5997" t="s">
        <v>108</v>
      </c>
      <c r="E5997" s="1">
        <v>44478</v>
      </c>
      <c r="F5997">
        <v>1</v>
      </c>
      <c r="G5997" t="s">
        <v>29</v>
      </c>
      <c r="H5997" t="s">
        <v>30</v>
      </c>
      <c r="I5997" s="3">
        <v>1333</v>
      </c>
      <c r="J5997" s="3">
        <v>1333</v>
      </c>
      <c r="K5997" s="3">
        <v>380</v>
      </c>
      <c r="L5997" t="s">
        <v>98</v>
      </c>
      <c r="M5997">
        <v>19</v>
      </c>
      <c r="N5997" t="s">
        <v>89</v>
      </c>
      <c r="O5997" t="s">
        <v>81</v>
      </c>
      <c r="P5997" t="s">
        <v>15</v>
      </c>
      <c r="Q5997" t="s">
        <v>16</v>
      </c>
      <c r="R5997" t="s">
        <v>16</v>
      </c>
      <c r="S5997" t="s">
        <v>144</v>
      </c>
      <c r="T5997" s="2">
        <f>MASTER[[#This Row],[CANTIDAD]]*MASTER[[#This Row],[PRECIO DE VENTA]]</f>
        <v>1333</v>
      </c>
      <c r="U5997" s="2">
        <f>MASTER[[#This Row],[CANTIDAD]]*MASTER[[#This Row],[COSTO UNITARIO]]</f>
        <v>380</v>
      </c>
      <c r="V5997" s="2">
        <f>MASTER[[#This Row],[MONTO VENDIDO]]-MASTER[[#This Row],[COSTO DE VENTA]]</f>
        <v>953</v>
      </c>
    </row>
    <row r="5998" spans="1:22" x14ac:dyDescent="0.3">
      <c r="A5998">
        <v>83427</v>
      </c>
      <c r="B5998">
        <v>1</v>
      </c>
      <c r="C5998" t="s">
        <v>101</v>
      </c>
      <c r="D5998" t="s">
        <v>102</v>
      </c>
      <c r="E5998" s="1">
        <v>44478</v>
      </c>
      <c r="F5998">
        <v>1</v>
      </c>
      <c r="G5998" t="s">
        <v>35</v>
      </c>
      <c r="H5998" t="s">
        <v>36</v>
      </c>
      <c r="I5998" s="3">
        <v>1212</v>
      </c>
      <c r="J5998" s="3">
        <v>1163</v>
      </c>
      <c r="K5998" s="3">
        <v>442</v>
      </c>
      <c r="L5998" t="s">
        <v>98</v>
      </c>
      <c r="M5998">
        <v>4</v>
      </c>
      <c r="N5998" t="s">
        <v>82</v>
      </c>
      <c r="O5998" t="s">
        <v>81</v>
      </c>
      <c r="P5998" t="s">
        <v>71</v>
      </c>
      <c r="Q5998" t="s">
        <v>72</v>
      </c>
      <c r="R5998" t="s">
        <v>139</v>
      </c>
      <c r="S5998" t="s">
        <v>144</v>
      </c>
      <c r="T5998" s="2">
        <f>MASTER[[#This Row],[CANTIDAD]]*MASTER[[#This Row],[PRECIO DE VENTA]]</f>
        <v>1163</v>
      </c>
      <c r="U5998" s="2">
        <f>MASTER[[#This Row],[CANTIDAD]]*MASTER[[#This Row],[COSTO UNITARIO]]</f>
        <v>442</v>
      </c>
      <c r="V5998" s="2">
        <f>MASTER[[#This Row],[MONTO VENDIDO]]-MASTER[[#This Row],[COSTO DE VENTA]]</f>
        <v>721</v>
      </c>
    </row>
    <row r="5999" spans="1:22" x14ac:dyDescent="0.3">
      <c r="A5999">
        <v>83455</v>
      </c>
      <c r="B5999">
        <v>1</v>
      </c>
      <c r="C5999" t="s">
        <v>99</v>
      </c>
      <c r="D5999" t="s">
        <v>100</v>
      </c>
      <c r="E5999" s="1">
        <v>44478</v>
      </c>
      <c r="F5999">
        <v>1</v>
      </c>
      <c r="G5999" t="s">
        <v>65</v>
      </c>
      <c r="H5999" t="s">
        <v>66</v>
      </c>
      <c r="I5999" s="3">
        <v>1459</v>
      </c>
      <c r="J5999" s="3">
        <v>1459</v>
      </c>
      <c r="K5999" s="3">
        <v>386</v>
      </c>
      <c r="L5999" t="s">
        <v>98</v>
      </c>
      <c r="M5999">
        <v>15</v>
      </c>
      <c r="N5999" t="s">
        <v>88</v>
      </c>
      <c r="O5999" t="s">
        <v>81</v>
      </c>
      <c r="P5999" t="s">
        <v>18</v>
      </c>
      <c r="Q5999" t="s">
        <v>19</v>
      </c>
      <c r="R5999" t="s">
        <v>138</v>
      </c>
      <c r="S5999" t="s">
        <v>144</v>
      </c>
      <c r="T5999" s="2">
        <f>MASTER[[#This Row],[CANTIDAD]]*MASTER[[#This Row],[PRECIO DE VENTA]]</f>
        <v>1459</v>
      </c>
      <c r="U5999" s="2">
        <f>MASTER[[#This Row],[CANTIDAD]]*MASTER[[#This Row],[COSTO UNITARIO]]</f>
        <v>386</v>
      </c>
      <c r="V5999" s="2">
        <f>MASTER[[#This Row],[MONTO VENDIDO]]-MASTER[[#This Row],[COSTO DE VENTA]]</f>
        <v>1073</v>
      </c>
    </row>
    <row r="6000" spans="1:22" x14ac:dyDescent="0.3">
      <c r="A6000">
        <v>83457</v>
      </c>
      <c r="B6000">
        <v>1</v>
      </c>
      <c r="C6000" t="s">
        <v>114</v>
      </c>
      <c r="D6000" t="s">
        <v>115</v>
      </c>
      <c r="E6000" s="1">
        <v>44478</v>
      </c>
      <c r="F6000">
        <v>1</v>
      </c>
      <c r="G6000" t="s">
        <v>61</v>
      </c>
      <c r="H6000" t="s">
        <v>62</v>
      </c>
      <c r="I6000" s="3">
        <v>2030</v>
      </c>
      <c r="J6000" s="3">
        <v>2030</v>
      </c>
      <c r="K6000" s="3">
        <v>394</v>
      </c>
      <c r="L6000" t="s">
        <v>113</v>
      </c>
      <c r="M6000">
        <v>1</v>
      </c>
      <c r="N6000" t="s">
        <v>77</v>
      </c>
      <c r="O6000" t="s">
        <v>70</v>
      </c>
      <c r="P6000" t="s">
        <v>71</v>
      </c>
      <c r="Q6000" t="s">
        <v>72</v>
      </c>
      <c r="R6000" t="s">
        <v>139</v>
      </c>
      <c r="S6000" t="s">
        <v>144</v>
      </c>
      <c r="T6000" s="2">
        <f>MASTER[[#This Row],[CANTIDAD]]*MASTER[[#This Row],[PRECIO DE VENTA]]</f>
        <v>2030</v>
      </c>
      <c r="U6000" s="2">
        <f>MASTER[[#This Row],[CANTIDAD]]*MASTER[[#This Row],[COSTO UNITARIO]]</f>
        <v>394</v>
      </c>
      <c r="V6000" s="2">
        <f>MASTER[[#This Row],[MONTO VENDIDO]]-MASTER[[#This Row],[COSTO DE VENTA]]</f>
        <v>1636</v>
      </c>
    </row>
    <row r="6001" spans="1:22" x14ac:dyDescent="0.3">
      <c r="A6001">
        <v>83462</v>
      </c>
      <c r="B6001">
        <v>1</v>
      </c>
      <c r="C6001" t="s">
        <v>109</v>
      </c>
      <c r="D6001" t="s">
        <v>110</v>
      </c>
      <c r="E6001" s="1">
        <v>44478</v>
      </c>
      <c r="F6001">
        <v>1</v>
      </c>
      <c r="G6001" t="s">
        <v>20</v>
      </c>
      <c r="H6001" t="s">
        <v>21</v>
      </c>
      <c r="I6001" s="3">
        <v>947</v>
      </c>
      <c r="J6001" s="3">
        <v>947</v>
      </c>
      <c r="K6001" s="3">
        <v>387</v>
      </c>
      <c r="L6001" t="s">
        <v>98</v>
      </c>
      <c r="M6001">
        <v>16</v>
      </c>
      <c r="N6001" t="s">
        <v>17</v>
      </c>
      <c r="O6001" t="s">
        <v>11</v>
      </c>
      <c r="P6001" t="s">
        <v>18</v>
      </c>
      <c r="Q6001" t="s">
        <v>19</v>
      </c>
      <c r="R6001" t="s">
        <v>138</v>
      </c>
      <c r="S6001" t="s">
        <v>144</v>
      </c>
      <c r="T6001" s="2">
        <f>MASTER[[#This Row],[CANTIDAD]]*MASTER[[#This Row],[PRECIO DE VENTA]]</f>
        <v>947</v>
      </c>
      <c r="U6001" s="2">
        <f>MASTER[[#This Row],[CANTIDAD]]*MASTER[[#This Row],[COSTO UNITARIO]]</f>
        <v>387</v>
      </c>
      <c r="V6001" s="2">
        <f>MASTER[[#This Row],[MONTO VENDIDO]]-MASTER[[#This Row],[COSTO DE VENTA]]</f>
        <v>560</v>
      </c>
    </row>
    <row r="6002" spans="1:22" x14ac:dyDescent="0.3">
      <c r="A6002">
        <v>83466</v>
      </c>
      <c r="B6002">
        <v>1</v>
      </c>
      <c r="C6002" t="s">
        <v>116</v>
      </c>
      <c r="D6002" t="s">
        <v>117</v>
      </c>
      <c r="E6002" s="1">
        <v>44478</v>
      </c>
      <c r="F6002">
        <v>4</v>
      </c>
      <c r="G6002" t="s">
        <v>45</v>
      </c>
      <c r="H6002" t="s">
        <v>46</v>
      </c>
      <c r="I6002" s="3">
        <v>1999</v>
      </c>
      <c r="J6002" s="3">
        <v>1999</v>
      </c>
      <c r="K6002" s="3">
        <v>388</v>
      </c>
      <c r="L6002" t="s">
        <v>113</v>
      </c>
      <c r="M6002">
        <v>13</v>
      </c>
      <c r="N6002" t="s">
        <v>78</v>
      </c>
      <c r="O6002" t="s">
        <v>70</v>
      </c>
      <c r="P6002" t="s">
        <v>18</v>
      </c>
      <c r="Q6002" t="s">
        <v>19</v>
      </c>
      <c r="R6002" t="s">
        <v>138</v>
      </c>
      <c r="S6002" t="s">
        <v>144</v>
      </c>
      <c r="T6002" s="2">
        <f>MASTER[[#This Row],[CANTIDAD]]*MASTER[[#This Row],[PRECIO DE VENTA]]</f>
        <v>7996</v>
      </c>
      <c r="U6002" s="2">
        <f>MASTER[[#This Row],[CANTIDAD]]*MASTER[[#This Row],[COSTO UNITARIO]]</f>
        <v>1552</v>
      </c>
      <c r="V6002" s="2">
        <f>MASTER[[#This Row],[MONTO VENDIDO]]-MASTER[[#This Row],[COSTO DE VENTA]]</f>
        <v>6444</v>
      </c>
    </row>
    <row r="6003" spans="1:22" x14ac:dyDescent="0.3">
      <c r="A6003">
        <v>83470</v>
      </c>
      <c r="B6003">
        <v>1</v>
      </c>
      <c r="C6003" t="s">
        <v>111</v>
      </c>
      <c r="D6003" t="s">
        <v>112</v>
      </c>
      <c r="E6003" s="1">
        <v>44478</v>
      </c>
      <c r="F6003">
        <v>2</v>
      </c>
      <c r="G6003" t="s">
        <v>63</v>
      </c>
      <c r="H6003" t="s">
        <v>64</v>
      </c>
      <c r="I6003" s="3">
        <v>1799</v>
      </c>
      <c r="J6003" s="3">
        <v>1799</v>
      </c>
      <c r="K6003" s="3">
        <v>434</v>
      </c>
      <c r="L6003" t="s">
        <v>113</v>
      </c>
      <c r="M6003">
        <v>13</v>
      </c>
      <c r="N6003" t="s">
        <v>78</v>
      </c>
      <c r="O6003" t="s">
        <v>70</v>
      </c>
      <c r="P6003" t="s">
        <v>18</v>
      </c>
      <c r="Q6003" t="s">
        <v>19</v>
      </c>
      <c r="R6003" t="s">
        <v>138</v>
      </c>
      <c r="S6003" t="s">
        <v>144</v>
      </c>
      <c r="T6003" s="2">
        <f>MASTER[[#This Row],[CANTIDAD]]*MASTER[[#This Row],[PRECIO DE VENTA]]</f>
        <v>3598</v>
      </c>
      <c r="U6003" s="2">
        <f>MASTER[[#This Row],[CANTIDAD]]*MASTER[[#This Row],[COSTO UNITARIO]]</f>
        <v>868</v>
      </c>
      <c r="V6003" s="2">
        <f>MASTER[[#This Row],[MONTO VENDIDO]]-MASTER[[#This Row],[COSTO DE VENTA]]</f>
        <v>2730</v>
      </c>
    </row>
    <row r="6004" spans="1:22" x14ac:dyDescent="0.3">
      <c r="A6004">
        <v>83476</v>
      </c>
      <c r="B6004">
        <v>1</v>
      </c>
      <c r="C6004" t="s">
        <v>99</v>
      </c>
      <c r="D6004" t="s">
        <v>100</v>
      </c>
      <c r="E6004" s="1">
        <v>44478</v>
      </c>
      <c r="F6004">
        <v>1</v>
      </c>
      <c r="G6004" t="s">
        <v>27</v>
      </c>
      <c r="H6004" t="s">
        <v>28</v>
      </c>
      <c r="I6004" s="3">
        <v>1459</v>
      </c>
      <c r="J6004" s="3">
        <v>1327</v>
      </c>
      <c r="K6004" s="3">
        <v>386</v>
      </c>
      <c r="L6004" t="s">
        <v>98</v>
      </c>
      <c r="M6004">
        <v>4</v>
      </c>
      <c r="N6004" t="s">
        <v>82</v>
      </c>
      <c r="O6004" t="s">
        <v>81</v>
      </c>
      <c r="P6004" t="s">
        <v>71</v>
      </c>
      <c r="Q6004" t="s">
        <v>72</v>
      </c>
      <c r="R6004" t="s">
        <v>139</v>
      </c>
      <c r="S6004" t="s">
        <v>144</v>
      </c>
      <c r="T6004" s="2">
        <f>MASTER[[#This Row],[CANTIDAD]]*MASTER[[#This Row],[PRECIO DE VENTA]]</f>
        <v>1327</v>
      </c>
      <c r="U6004" s="2">
        <f>MASTER[[#This Row],[CANTIDAD]]*MASTER[[#This Row],[COSTO UNITARIO]]</f>
        <v>386</v>
      </c>
      <c r="V6004" s="2">
        <f>MASTER[[#This Row],[MONTO VENDIDO]]-MASTER[[#This Row],[COSTO DE VENTA]]</f>
        <v>941</v>
      </c>
    </row>
    <row r="6005" spans="1:22" x14ac:dyDescent="0.3">
      <c r="A6005">
        <v>83494</v>
      </c>
      <c r="B6005">
        <v>1</v>
      </c>
      <c r="C6005" t="s">
        <v>109</v>
      </c>
      <c r="D6005" t="s">
        <v>110</v>
      </c>
      <c r="E6005" s="1">
        <v>44479</v>
      </c>
      <c r="F6005">
        <v>1</v>
      </c>
      <c r="G6005" t="s">
        <v>47</v>
      </c>
      <c r="H6005" t="s">
        <v>48</v>
      </c>
      <c r="I6005" s="3">
        <v>1064</v>
      </c>
      <c r="J6005" s="3">
        <v>1064</v>
      </c>
      <c r="K6005" s="3">
        <v>387</v>
      </c>
      <c r="L6005" t="s">
        <v>98</v>
      </c>
      <c r="M6005">
        <v>15</v>
      </c>
      <c r="N6005" t="s">
        <v>88</v>
      </c>
      <c r="O6005" t="s">
        <v>81</v>
      </c>
      <c r="P6005" t="s">
        <v>18</v>
      </c>
      <c r="Q6005" t="s">
        <v>19</v>
      </c>
      <c r="R6005" t="s">
        <v>138</v>
      </c>
      <c r="S6005" t="s">
        <v>144</v>
      </c>
      <c r="T6005" s="2">
        <f>MASTER[[#This Row],[CANTIDAD]]*MASTER[[#This Row],[PRECIO DE VENTA]]</f>
        <v>1064</v>
      </c>
      <c r="U6005" s="2">
        <f>MASTER[[#This Row],[CANTIDAD]]*MASTER[[#This Row],[COSTO UNITARIO]]</f>
        <v>387</v>
      </c>
      <c r="V6005" s="2">
        <f>MASTER[[#This Row],[MONTO VENDIDO]]-MASTER[[#This Row],[COSTO DE VENTA]]</f>
        <v>677</v>
      </c>
    </row>
    <row r="6006" spans="1:22" x14ac:dyDescent="0.3">
      <c r="A6006">
        <v>83515</v>
      </c>
      <c r="B6006">
        <v>1</v>
      </c>
      <c r="C6006" t="s">
        <v>96</v>
      </c>
      <c r="D6006" t="s">
        <v>97</v>
      </c>
      <c r="E6006" s="1">
        <v>44479</v>
      </c>
      <c r="F6006">
        <v>1</v>
      </c>
      <c r="G6006" t="s">
        <v>73</v>
      </c>
      <c r="H6006" t="s">
        <v>74</v>
      </c>
      <c r="I6006" s="3">
        <v>1196</v>
      </c>
      <c r="J6006" s="3">
        <v>1196</v>
      </c>
      <c r="K6006" s="3">
        <v>397</v>
      </c>
      <c r="L6006" t="s">
        <v>98</v>
      </c>
      <c r="M6006">
        <v>11</v>
      </c>
      <c r="N6006" t="s">
        <v>10</v>
      </c>
      <c r="O6006" t="s">
        <v>11</v>
      </c>
      <c r="P6006" t="s">
        <v>12</v>
      </c>
      <c r="Q6006" t="s">
        <v>13</v>
      </c>
      <c r="R6006" t="s">
        <v>13</v>
      </c>
      <c r="S6006" t="s">
        <v>144</v>
      </c>
      <c r="T6006" s="2">
        <f>MASTER[[#This Row],[CANTIDAD]]*MASTER[[#This Row],[PRECIO DE VENTA]]</f>
        <v>1196</v>
      </c>
      <c r="U6006" s="2">
        <f>MASTER[[#This Row],[CANTIDAD]]*MASTER[[#This Row],[COSTO UNITARIO]]</f>
        <v>397</v>
      </c>
      <c r="V6006" s="2">
        <f>MASTER[[#This Row],[MONTO VENDIDO]]-MASTER[[#This Row],[COSTO DE VENTA]]</f>
        <v>799</v>
      </c>
    </row>
    <row r="6007" spans="1:22" x14ac:dyDescent="0.3">
      <c r="A6007">
        <v>83527</v>
      </c>
      <c r="B6007">
        <v>1</v>
      </c>
      <c r="C6007" t="s">
        <v>107</v>
      </c>
      <c r="D6007" t="s">
        <v>108</v>
      </c>
      <c r="E6007" s="1">
        <v>44479</v>
      </c>
      <c r="F6007">
        <v>1</v>
      </c>
      <c r="G6007" t="s">
        <v>35</v>
      </c>
      <c r="H6007" t="s">
        <v>36</v>
      </c>
      <c r="I6007" s="3">
        <v>1333</v>
      </c>
      <c r="J6007" s="3">
        <v>1333</v>
      </c>
      <c r="K6007" s="3">
        <v>380</v>
      </c>
      <c r="L6007" t="s">
        <v>98</v>
      </c>
      <c r="M6007">
        <v>14</v>
      </c>
      <c r="N6007" t="s">
        <v>87</v>
      </c>
      <c r="O6007" t="s">
        <v>81</v>
      </c>
      <c r="P6007" t="s">
        <v>18</v>
      </c>
      <c r="Q6007" t="s">
        <v>19</v>
      </c>
      <c r="R6007" t="s">
        <v>138</v>
      </c>
      <c r="S6007" t="s">
        <v>144</v>
      </c>
      <c r="T6007" s="2">
        <f>MASTER[[#This Row],[CANTIDAD]]*MASTER[[#This Row],[PRECIO DE VENTA]]</f>
        <v>1333</v>
      </c>
      <c r="U6007" s="2">
        <f>MASTER[[#This Row],[CANTIDAD]]*MASTER[[#This Row],[COSTO UNITARIO]]</f>
        <v>380</v>
      </c>
      <c r="V6007" s="2">
        <f>MASTER[[#This Row],[MONTO VENDIDO]]-MASTER[[#This Row],[COSTO DE VENTA]]</f>
        <v>953</v>
      </c>
    </row>
    <row r="6008" spans="1:22" x14ac:dyDescent="0.3">
      <c r="A6008">
        <v>83543</v>
      </c>
      <c r="B6008">
        <v>1</v>
      </c>
      <c r="C6008" t="s">
        <v>103</v>
      </c>
      <c r="D6008" t="s">
        <v>104</v>
      </c>
      <c r="E6008" s="1">
        <v>44479</v>
      </c>
      <c r="F6008">
        <v>1</v>
      </c>
      <c r="G6008" t="s">
        <v>53</v>
      </c>
      <c r="H6008" t="s">
        <v>54</v>
      </c>
      <c r="I6008" s="3">
        <v>1448</v>
      </c>
      <c r="J6008" s="3">
        <v>1448</v>
      </c>
      <c r="K6008" s="3">
        <v>421</v>
      </c>
      <c r="L6008" t="s">
        <v>98</v>
      </c>
      <c r="M6008">
        <v>11</v>
      </c>
      <c r="N6008" t="s">
        <v>10</v>
      </c>
      <c r="O6008" t="s">
        <v>11</v>
      </c>
      <c r="P6008" t="s">
        <v>12</v>
      </c>
      <c r="Q6008" t="s">
        <v>13</v>
      </c>
      <c r="R6008" t="s">
        <v>13</v>
      </c>
      <c r="S6008" t="s">
        <v>144</v>
      </c>
      <c r="T6008" s="2">
        <f>MASTER[[#This Row],[CANTIDAD]]*MASTER[[#This Row],[PRECIO DE VENTA]]</f>
        <v>1448</v>
      </c>
      <c r="U6008" s="2">
        <f>MASTER[[#This Row],[CANTIDAD]]*MASTER[[#This Row],[COSTO UNITARIO]]</f>
        <v>421</v>
      </c>
      <c r="V6008" s="2">
        <f>MASTER[[#This Row],[MONTO VENDIDO]]-MASTER[[#This Row],[COSTO DE VENTA]]</f>
        <v>1027</v>
      </c>
    </row>
    <row r="6009" spans="1:22" x14ac:dyDescent="0.3">
      <c r="A6009">
        <v>83563</v>
      </c>
      <c r="B6009">
        <v>1</v>
      </c>
      <c r="C6009" t="s">
        <v>116</v>
      </c>
      <c r="D6009" t="s">
        <v>117</v>
      </c>
      <c r="E6009" s="1">
        <v>44479</v>
      </c>
      <c r="F6009">
        <v>1</v>
      </c>
      <c r="G6009" t="s">
        <v>67</v>
      </c>
      <c r="H6009" t="s">
        <v>68</v>
      </c>
      <c r="I6009" s="3">
        <v>1738</v>
      </c>
      <c r="J6009" s="3">
        <v>1738</v>
      </c>
      <c r="K6009" s="3">
        <v>388</v>
      </c>
      <c r="L6009" t="s">
        <v>113</v>
      </c>
      <c r="M6009">
        <v>15</v>
      </c>
      <c r="N6009" t="s">
        <v>88</v>
      </c>
      <c r="O6009" t="s">
        <v>81</v>
      </c>
      <c r="P6009" t="s">
        <v>18</v>
      </c>
      <c r="Q6009" t="s">
        <v>19</v>
      </c>
      <c r="R6009" t="s">
        <v>138</v>
      </c>
      <c r="S6009" t="s">
        <v>144</v>
      </c>
      <c r="T6009" s="2">
        <f>MASTER[[#This Row],[CANTIDAD]]*MASTER[[#This Row],[PRECIO DE VENTA]]</f>
        <v>1738</v>
      </c>
      <c r="U6009" s="2">
        <f>MASTER[[#This Row],[CANTIDAD]]*MASTER[[#This Row],[COSTO UNITARIO]]</f>
        <v>388</v>
      </c>
      <c r="V6009" s="2">
        <f>MASTER[[#This Row],[MONTO VENDIDO]]-MASTER[[#This Row],[COSTO DE VENTA]]</f>
        <v>1350</v>
      </c>
    </row>
    <row r="6010" spans="1:22" x14ac:dyDescent="0.3">
      <c r="A6010">
        <v>83571</v>
      </c>
      <c r="B6010">
        <v>1</v>
      </c>
      <c r="C6010" t="s">
        <v>90</v>
      </c>
      <c r="D6010" t="s">
        <v>91</v>
      </c>
      <c r="E6010" s="1">
        <v>44479</v>
      </c>
      <c r="F6010">
        <v>1</v>
      </c>
      <c r="G6010" t="s">
        <v>20</v>
      </c>
      <c r="H6010" t="s">
        <v>21</v>
      </c>
      <c r="I6010" s="3">
        <v>2102</v>
      </c>
      <c r="J6010" s="3">
        <v>2102</v>
      </c>
      <c r="K6010" s="3">
        <v>420</v>
      </c>
      <c r="L6010" t="s">
        <v>9</v>
      </c>
      <c r="M6010">
        <v>18</v>
      </c>
      <c r="N6010" t="s">
        <v>79</v>
      </c>
      <c r="O6010" t="s">
        <v>70</v>
      </c>
      <c r="P6010" t="s">
        <v>15</v>
      </c>
      <c r="Q6010" t="s">
        <v>16</v>
      </c>
      <c r="R6010" t="s">
        <v>16</v>
      </c>
      <c r="S6010" t="s">
        <v>144</v>
      </c>
      <c r="T6010" s="2">
        <f>MASTER[[#This Row],[CANTIDAD]]*MASTER[[#This Row],[PRECIO DE VENTA]]</f>
        <v>2102</v>
      </c>
      <c r="U6010" s="2">
        <f>MASTER[[#This Row],[CANTIDAD]]*MASTER[[#This Row],[COSTO UNITARIO]]</f>
        <v>420</v>
      </c>
      <c r="V6010" s="2">
        <f>MASTER[[#This Row],[MONTO VENDIDO]]-MASTER[[#This Row],[COSTO DE VENTA]]</f>
        <v>1682</v>
      </c>
    </row>
    <row r="6011" spans="1:22" x14ac:dyDescent="0.3">
      <c r="A6011">
        <v>83582</v>
      </c>
      <c r="B6011">
        <v>1</v>
      </c>
      <c r="C6011" t="s">
        <v>109</v>
      </c>
      <c r="D6011" t="s">
        <v>110</v>
      </c>
      <c r="E6011" s="1">
        <v>44479</v>
      </c>
      <c r="F6011">
        <v>1</v>
      </c>
      <c r="G6011" t="s">
        <v>7</v>
      </c>
      <c r="H6011" t="s">
        <v>8</v>
      </c>
      <c r="I6011" s="3">
        <v>1064</v>
      </c>
      <c r="J6011" s="3">
        <v>1064</v>
      </c>
      <c r="K6011" s="3">
        <v>387</v>
      </c>
      <c r="L6011" t="s">
        <v>98</v>
      </c>
      <c r="M6011">
        <v>5</v>
      </c>
      <c r="N6011" t="s">
        <v>85</v>
      </c>
      <c r="O6011" t="s">
        <v>81</v>
      </c>
      <c r="P6011" t="s">
        <v>12</v>
      </c>
      <c r="Q6011" t="s">
        <v>13</v>
      </c>
      <c r="R6011" t="s">
        <v>13</v>
      </c>
      <c r="S6011" t="s">
        <v>144</v>
      </c>
      <c r="T6011" s="2">
        <f>MASTER[[#This Row],[CANTIDAD]]*MASTER[[#This Row],[PRECIO DE VENTA]]</f>
        <v>1064</v>
      </c>
      <c r="U6011" s="2">
        <f>MASTER[[#This Row],[CANTIDAD]]*MASTER[[#This Row],[COSTO UNITARIO]]</f>
        <v>387</v>
      </c>
      <c r="V6011" s="2">
        <f>MASTER[[#This Row],[MONTO VENDIDO]]-MASTER[[#This Row],[COSTO DE VENTA]]</f>
        <v>677</v>
      </c>
    </row>
    <row r="6012" spans="1:22" x14ac:dyDescent="0.3">
      <c r="A6012">
        <v>83590</v>
      </c>
      <c r="B6012">
        <v>1</v>
      </c>
      <c r="C6012" t="s">
        <v>114</v>
      </c>
      <c r="D6012" t="s">
        <v>115</v>
      </c>
      <c r="E6012" s="1">
        <v>44479</v>
      </c>
      <c r="F6012">
        <v>1</v>
      </c>
      <c r="G6012" t="s">
        <v>20</v>
      </c>
      <c r="H6012" t="s">
        <v>21</v>
      </c>
      <c r="I6012" s="3">
        <v>1862</v>
      </c>
      <c r="J6012" s="3">
        <v>1862</v>
      </c>
      <c r="K6012" s="3">
        <v>394</v>
      </c>
      <c r="L6012" t="s">
        <v>113</v>
      </c>
      <c r="M6012">
        <v>2</v>
      </c>
      <c r="N6012" t="s">
        <v>86</v>
      </c>
      <c r="O6012" t="s">
        <v>81</v>
      </c>
      <c r="P6012" t="s">
        <v>71</v>
      </c>
      <c r="Q6012" t="s">
        <v>72</v>
      </c>
      <c r="R6012" t="s">
        <v>139</v>
      </c>
      <c r="S6012" t="s">
        <v>144</v>
      </c>
      <c r="T6012" s="2">
        <f>MASTER[[#This Row],[CANTIDAD]]*MASTER[[#This Row],[PRECIO DE VENTA]]</f>
        <v>1862</v>
      </c>
      <c r="U6012" s="2">
        <f>MASTER[[#This Row],[CANTIDAD]]*MASTER[[#This Row],[COSTO UNITARIO]]</f>
        <v>394</v>
      </c>
      <c r="V6012" s="2">
        <f>MASTER[[#This Row],[MONTO VENDIDO]]-MASTER[[#This Row],[COSTO DE VENTA]]</f>
        <v>1468</v>
      </c>
    </row>
    <row r="6013" spans="1:22" x14ac:dyDescent="0.3">
      <c r="A6013">
        <v>83607</v>
      </c>
      <c r="B6013">
        <v>1</v>
      </c>
      <c r="C6013" t="s">
        <v>109</v>
      </c>
      <c r="D6013" t="s">
        <v>110</v>
      </c>
      <c r="E6013" s="1">
        <v>44479</v>
      </c>
      <c r="F6013">
        <v>1</v>
      </c>
      <c r="G6013" t="s">
        <v>43</v>
      </c>
      <c r="H6013" t="s">
        <v>44</v>
      </c>
      <c r="I6013" s="3">
        <v>1128</v>
      </c>
      <c r="J6013" s="3">
        <v>1128</v>
      </c>
      <c r="K6013" s="3">
        <v>387</v>
      </c>
      <c r="L6013" t="s">
        <v>98</v>
      </c>
      <c r="M6013">
        <v>3</v>
      </c>
      <c r="N6013" t="s">
        <v>69</v>
      </c>
      <c r="O6013" t="s">
        <v>70</v>
      </c>
      <c r="P6013" t="s">
        <v>71</v>
      </c>
      <c r="Q6013" t="s">
        <v>72</v>
      </c>
      <c r="R6013" t="s">
        <v>139</v>
      </c>
      <c r="S6013" t="s">
        <v>144</v>
      </c>
      <c r="T6013" s="2">
        <f>MASTER[[#This Row],[CANTIDAD]]*MASTER[[#This Row],[PRECIO DE VENTA]]</f>
        <v>1128</v>
      </c>
      <c r="U6013" s="2">
        <f>MASTER[[#This Row],[CANTIDAD]]*MASTER[[#This Row],[COSTO UNITARIO]]</f>
        <v>387</v>
      </c>
      <c r="V6013" s="2">
        <f>MASTER[[#This Row],[MONTO VENDIDO]]-MASTER[[#This Row],[COSTO DE VENTA]]</f>
        <v>741</v>
      </c>
    </row>
    <row r="6014" spans="1:22" x14ac:dyDescent="0.3">
      <c r="A6014">
        <v>83610</v>
      </c>
      <c r="B6014">
        <v>1</v>
      </c>
      <c r="C6014" t="s">
        <v>105</v>
      </c>
      <c r="D6014" t="s">
        <v>106</v>
      </c>
      <c r="E6014" s="1">
        <v>44479</v>
      </c>
      <c r="F6014">
        <v>1</v>
      </c>
      <c r="G6014" t="s">
        <v>33</v>
      </c>
      <c r="H6014" t="s">
        <v>34</v>
      </c>
      <c r="I6014" s="3">
        <v>1865</v>
      </c>
      <c r="J6014" s="3">
        <v>1734</v>
      </c>
      <c r="K6014" s="3">
        <v>459</v>
      </c>
      <c r="L6014" t="s">
        <v>98</v>
      </c>
      <c r="M6014">
        <v>8</v>
      </c>
      <c r="N6014" t="s">
        <v>80</v>
      </c>
      <c r="O6014" t="s">
        <v>81</v>
      </c>
      <c r="P6014" t="s">
        <v>12</v>
      </c>
      <c r="Q6014" t="s">
        <v>13</v>
      </c>
      <c r="R6014" t="s">
        <v>13</v>
      </c>
      <c r="S6014" t="s">
        <v>144</v>
      </c>
      <c r="T6014" s="2">
        <f>MASTER[[#This Row],[CANTIDAD]]*MASTER[[#This Row],[PRECIO DE VENTA]]</f>
        <v>1734</v>
      </c>
      <c r="U6014" s="2">
        <f>MASTER[[#This Row],[CANTIDAD]]*MASTER[[#This Row],[COSTO UNITARIO]]</f>
        <v>459</v>
      </c>
      <c r="V6014" s="2">
        <f>MASTER[[#This Row],[MONTO VENDIDO]]-MASTER[[#This Row],[COSTO DE VENTA]]</f>
        <v>1275</v>
      </c>
    </row>
    <row r="6015" spans="1:22" x14ac:dyDescent="0.3">
      <c r="A6015">
        <v>83612</v>
      </c>
      <c r="B6015">
        <v>1</v>
      </c>
      <c r="C6015" t="s">
        <v>101</v>
      </c>
      <c r="D6015" t="s">
        <v>102</v>
      </c>
      <c r="E6015" s="1">
        <v>44480</v>
      </c>
      <c r="F6015">
        <v>2</v>
      </c>
      <c r="G6015" t="s">
        <v>49</v>
      </c>
      <c r="H6015" t="s">
        <v>50</v>
      </c>
      <c r="I6015" s="3">
        <v>1212</v>
      </c>
      <c r="J6015" s="3">
        <v>1212</v>
      </c>
      <c r="K6015" s="3">
        <v>442</v>
      </c>
      <c r="L6015" t="s">
        <v>98</v>
      </c>
      <c r="M6015">
        <v>4</v>
      </c>
      <c r="N6015" t="s">
        <v>82</v>
      </c>
      <c r="O6015" t="s">
        <v>81</v>
      </c>
      <c r="P6015" t="s">
        <v>71</v>
      </c>
      <c r="Q6015" t="s">
        <v>72</v>
      </c>
      <c r="R6015" t="s">
        <v>139</v>
      </c>
      <c r="S6015" t="s">
        <v>144</v>
      </c>
      <c r="T6015" s="2">
        <f>MASTER[[#This Row],[CANTIDAD]]*MASTER[[#This Row],[PRECIO DE VENTA]]</f>
        <v>2424</v>
      </c>
      <c r="U6015" s="2">
        <f>MASTER[[#This Row],[CANTIDAD]]*MASTER[[#This Row],[COSTO UNITARIO]]</f>
        <v>884</v>
      </c>
      <c r="V6015" s="2">
        <f>MASTER[[#This Row],[MONTO VENDIDO]]-MASTER[[#This Row],[COSTO DE VENTA]]</f>
        <v>1540</v>
      </c>
    </row>
    <row r="6016" spans="1:22" x14ac:dyDescent="0.3">
      <c r="A6016">
        <v>83624</v>
      </c>
      <c r="B6016">
        <v>1</v>
      </c>
      <c r="C6016" t="s">
        <v>118</v>
      </c>
      <c r="D6016" t="s">
        <v>119</v>
      </c>
      <c r="E6016" s="1">
        <v>44480</v>
      </c>
      <c r="F6016">
        <v>1</v>
      </c>
      <c r="G6016" t="s">
        <v>43</v>
      </c>
      <c r="H6016" t="s">
        <v>44</v>
      </c>
      <c r="I6016" s="3">
        <v>801</v>
      </c>
      <c r="J6016" s="3">
        <v>801</v>
      </c>
      <c r="K6016" s="3">
        <v>424</v>
      </c>
      <c r="L6016" t="s">
        <v>120</v>
      </c>
      <c r="M6016">
        <v>16</v>
      </c>
      <c r="N6016" t="s">
        <v>17</v>
      </c>
      <c r="O6016" t="s">
        <v>11</v>
      </c>
      <c r="P6016" t="s">
        <v>18</v>
      </c>
      <c r="Q6016" t="s">
        <v>19</v>
      </c>
      <c r="R6016" t="s">
        <v>138</v>
      </c>
      <c r="S6016" t="s">
        <v>144</v>
      </c>
      <c r="T6016" s="2">
        <f>MASTER[[#This Row],[CANTIDAD]]*MASTER[[#This Row],[PRECIO DE VENTA]]</f>
        <v>801</v>
      </c>
      <c r="U6016" s="2">
        <f>MASTER[[#This Row],[CANTIDAD]]*MASTER[[#This Row],[COSTO UNITARIO]]</f>
        <v>424</v>
      </c>
      <c r="V6016" s="2">
        <f>MASTER[[#This Row],[MONTO VENDIDO]]-MASTER[[#This Row],[COSTO DE VENTA]]</f>
        <v>377</v>
      </c>
    </row>
    <row r="6017" spans="1:22" x14ac:dyDescent="0.3">
      <c r="A6017">
        <v>83628</v>
      </c>
      <c r="B6017">
        <v>1</v>
      </c>
      <c r="C6017" t="s">
        <v>111</v>
      </c>
      <c r="D6017" t="s">
        <v>112</v>
      </c>
      <c r="E6017" s="1">
        <v>44480</v>
      </c>
      <c r="F6017">
        <v>1</v>
      </c>
      <c r="G6017" t="s">
        <v>35</v>
      </c>
      <c r="H6017" t="s">
        <v>36</v>
      </c>
      <c r="I6017" s="3">
        <v>1621</v>
      </c>
      <c r="J6017" s="3">
        <v>1621</v>
      </c>
      <c r="K6017" s="3">
        <v>434</v>
      </c>
      <c r="L6017" t="s">
        <v>113</v>
      </c>
      <c r="M6017">
        <v>4</v>
      </c>
      <c r="N6017" t="s">
        <v>82</v>
      </c>
      <c r="O6017" t="s">
        <v>81</v>
      </c>
      <c r="P6017" t="s">
        <v>71</v>
      </c>
      <c r="Q6017" t="s">
        <v>72</v>
      </c>
      <c r="R6017" t="s">
        <v>139</v>
      </c>
      <c r="S6017" t="s">
        <v>144</v>
      </c>
      <c r="T6017" s="2">
        <f>MASTER[[#This Row],[CANTIDAD]]*MASTER[[#This Row],[PRECIO DE VENTA]]</f>
        <v>1621</v>
      </c>
      <c r="U6017" s="2">
        <f>MASTER[[#This Row],[CANTIDAD]]*MASTER[[#This Row],[COSTO UNITARIO]]</f>
        <v>434</v>
      </c>
      <c r="V6017" s="2">
        <f>MASTER[[#This Row],[MONTO VENDIDO]]-MASTER[[#This Row],[COSTO DE VENTA]]</f>
        <v>1187</v>
      </c>
    </row>
    <row r="6018" spans="1:22" x14ac:dyDescent="0.3">
      <c r="A6018">
        <v>83633</v>
      </c>
      <c r="B6018">
        <v>1</v>
      </c>
      <c r="C6018" t="s">
        <v>121</v>
      </c>
      <c r="D6018" t="s">
        <v>122</v>
      </c>
      <c r="E6018" s="1">
        <v>44480</v>
      </c>
      <c r="F6018">
        <v>1</v>
      </c>
      <c r="G6018" t="s">
        <v>67</v>
      </c>
      <c r="H6018" t="s">
        <v>68</v>
      </c>
      <c r="I6018" s="3">
        <v>1144</v>
      </c>
      <c r="J6018" s="3">
        <v>1144</v>
      </c>
      <c r="K6018" s="3">
        <v>460</v>
      </c>
      <c r="L6018" t="s">
        <v>120</v>
      </c>
      <c r="M6018">
        <v>13</v>
      </c>
      <c r="N6018" t="s">
        <v>78</v>
      </c>
      <c r="O6018" t="s">
        <v>70</v>
      </c>
      <c r="P6018" t="s">
        <v>18</v>
      </c>
      <c r="Q6018" t="s">
        <v>19</v>
      </c>
      <c r="R6018" t="s">
        <v>138</v>
      </c>
      <c r="S6018" t="s">
        <v>144</v>
      </c>
      <c r="T6018" s="2">
        <f>MASTER[[#This Row],[CANTIDAD]]*MASTER[[#This Row],[PRECIO DE VENTA]]</f>
        <v>1144</v>
      </c>
      <c r="U6018" s="2">
        <f>MASTER[[#This Row],[CANTIDAD]]*MASTER[[#This Row],[COSTO UNITARIO]]</f>
        <v>460</v>
      </c>
      <c r="V6018" s="2">
        <f>MASTER[[#This Row],[MONTO VENDIDO]]-MASTER[[#This Row],[COSTO DE VENTA]]</f>
        <v>684</v>
      </c>
    </row>
    <row r="6019" spans="1:22" x14ac:dyDescent="0.3">
      <c r="A6019">
        <v>83634</v>
      </c>
      <c r="B6019">
        <v>1</v>
      </c>
      <c r="C6019" t="s">
        <v>96</v>
      </c>
      <c r="D6019" t="s">
        <v>97</v>
      </c>
      <c r="E6019" s="1">
        <v>44480</v>
      </c>
      <c r="F6019">
        <v>1</v>
      </c>
      <c r="G6019" t="s">
        <v>39</v>
      </c>
      <c r="H6019" t="s">
        <v>40</v>
      </c>
      <c r="I6019" s="3">
        <v>1196</v>
      </c>
      <c r="J6019" s="3">
        <v>1196</v>
      </c>
      <c r="K6019" s="3">
        <v>397</v>
      </c>
      <c r="L6019" t="s">
        <v>98</v>
      </c>
      <c r="M6019">
        <v>17</v>
      </c>
      <c r="N6019" t="s">
        <v>14</v>
      </c>
      <c r="O6019" t="s">
        <v>11</v>
      </c>
      <c r="P6019" t="s">
        <v>15</v>
      </c>
      <c r="Q6019" t="s">
        <v>16</v>
      </c>
      <c r="R6019" t="s">
        <v>16</v>
      </c>
      <c r="S6019" t="s">
        <v>144</v>
      </c>
      <c r="T6019" s="2">
        <f>MASTER[[#This Row],[CANTIDAD]]*MASTER[[#This Row],[PRECIO DE VENTA]]</f>
        <v>1196</v>
      </c>
      <c r="U6019" s="2">
        <f>MASTER[[#This Row],[CANTIDAD]]*MASTER[[#This Row],[COSTO UNITARIO]]</f>
        <v>397</v>
      </c>
      <c r="V6019" s="2">
        <f>MASTER[[#This Row],[MONTO VENDIDO]]-MASTER[[#This Row],[COSTO DE VENTA]]</f>
        <v>799</v>
      </c>
    </row>
    <row r="6020" spans="1:22" x14ac:dyDescent="0.3">
      <c r="A6020">
        <v>83635</v>
      </c>
      <c r="B6020">
        <v>1</v>
      </c>
      <c r="C6020" t="s">
        <v>118</v>
      </c>
      <c r="D6020" t="s">
        <v>119</v>
      </c>
      <c r="E6020" s="1">
        <v>44480</v>
      </c>
      <c r="F6020">
        <v>1</v>
      </c>
      <c r="G6020" t="s">
        <v>57</v>
      </c>
      <c r="H6020" t="s">
        <v>58</v>
      </c>
      <c r="I6020" s="3">
        <v>801</v>
      </c>
      <c r="J6020" s="3">
        <v>801</v>
      </c>
      <c r="K6020" s="3">
        <v>424</v>
      </c>
      <c r="L6020" t="s">
        <v>120</v>
      </c>
      <c r="M6020">
        <v>17</v>
      </c>
      <c r="N6020" t="s">
        <v>14</v>
      </c>
      <c r="O6020" t="s">
        <v>11</v>
      </c>
      <c r="P6020" t="s">
        <v>15</v>
      </c>
      <c r="Q6020" t="s">
        <v>16</v>
      </c>
      <c r="R6020" t="s">
        <v>16</v>
      </c>
      <c r="S6020" t="s">
        <v>144</v>
      </c>
      <c r="T6020" s="2">
        <f>MASTER[[#This Row],[CANTIDAD]]*MASTER[[#This Row],[PRECIO DE VENTA]]</f>
        <v>801</v>
      </c>
      <c r="U6020" s="2">
        <f>MASTER[[#This Row],[CANTIDAD]]*MASTER[[#This Row],[COSTO UNITARIO]]</f>
        <v>424</v>
      </c>
      <c r="V6020" s="2">
        <f>MASTER[[#This Row],[MONTO VENDIDO]]-MASTER[[#This Row],[COSTO DE VENTA]]</f>
        <v>377</v>
      </c>
    </row>
    <row r="6021" spans="1:22" x14ac:dyDescent="0.3">
      <c r="A6021">
        <v>83648</v>
      </c>
      <c r="B6021">
        <v>1</v>
      </c>
      <c r="C6021" t="s">
        <v>109</v>
      </c>
      <c r="D6021" t="s">
        <v>110</v>
      </c>
      <c r="E6021" s="1">
        <v>44480</v>
      </c>
      <c r="F6021">
        <v>1</v>
      </c>
      <c r="G6021" t="s">
        <v>67</v>
      </c>
      <c r="H6021" t="s">
        <v>68</v>
      </c>
      <c r="I6021" s="3">
        <v>1064</v>
      </c>
      <c r="J6021" s="3">
        <v>1064</v>
      </c>
      <c r="K6021" s="3">
        <v>387</v>
      </c>
      <c r="L6021" t="s">
        <v>98</v>
      </c>
      <c r="M6021">
        <v>8</v>
      </c>
      <c r="N6021" t="s">
        <v>80</v>
      </c>
      <c r="O6021" t="s">
        <v>81</v>
      </c>
      <c r="P6021" t="s">
        <v>12</v>
      </c>
      <c r="Q6021" t="s">
        <v>13</v>
      </c>
      <c r="R6021" t="s">
        <v>13</v>
      </c>
      <c r="S6021" t="s">
        <v>144</v>
      </c>
      <c r="T6021" s="2">
        <f>MASTER[[#This Row],[CANTIDAD]]*MASTER[[#This Row],[PRECIO DE VENTA]]</f>
        <v>1064</v>
      </c>
      <c r="U6021" s="2">
        <f>MASTER[[#This Row],[CANTIDAD]]*MASTER[[#This Row],[COSTO UNITARIO]]</f>
        <v>387</v>
      </c>
      <c r="V6021" s="2">
        <f>MASTER[[#This Row],[MONTO VENDIDO]]-MASTER[[#This Row],[COSTO DE VENTA]]</f>
        <v>677</v>
      </c>
    </row>
    <row r="6022" spans="1:22" x14ac:dyDescent="0.3">
      <c r="A6022">
        <v>83677</v>
      </c>
      <c r="B6022">
        <v>1</v>
      </c>
      <c r="C6022" t="s">
        <v>101</v>
      </c>
      <c r="D6022" t="s">
        <v>102</v>
      </c>
      <c r="E6022" s="1">
        <v>44480</v>
      </c>
      <c r="F6022">
        <v>1</v>
      </c>
      <c r="G6022" t="s">
        <v>53</v>
      </c>
      <c r="H6022" t="s">
        <v>54</v>
      </c>
      <c r="I6022" s="3">
        <v>1212</v>
      </c>
      <c r="J6022" s="3">
        <v>1212</v>
      </c>
      <c r="K6022" s="3">
        <v>442</v>
      </c>
      <c r="L6022" t="s">
        <v>98</v>
      </c>
      <c r="M6022">
        <v>15</v>
      </c>
      <c r="N6022" t="s">
        <v>88</v>
      </c>
      <c r="O6022" t="s">
        <v>81</v>
      </c>
      <c r="P6022" t="s">
        <v>18</v>
      </c>
      <c r="Q6022" t="s">
        <v>19</v>
      </c>
      <c r="R6022" t="s">
        <v>138</v>
      </c>
      <c r="S6022" t="s">
        <v>144</v>
      </c>
      <c r="T6022" s="2">
        <f>MASTER[[#This Row],[CANTIDAD]]*MASTER[[#This Row],[PRECIO DE VENTA]]</f>
        <v>1212</v>
      </c>
      <c r="U6022" s="2">
        <f>MASTER[[#This Row],[CANTIDAD]]*MASTER[[#This Row],[COSTO UNITARIO]]</f>
        <v>442</v>
      </c>
      <c r="V6022" s="2">
        <f>MASTER[[#This Row],[MONTO VENDIDO]]-MASTER[[#This Row],[COSTO DE VENTA]]</f>
        <v>770</v>
      </c>
    </row>
    <row r="6023" spans="1:22" x14ac:dyDescent="0.3">
      <c r="A6023">
        <v>83683</v>
      </c>
      <c r="B6023">
        <v>1</v>
      </c>
      <c r="C6023" t="s">
        <v>105</v>
      </c>
      <c r="D6023" t="s">
        <v>106</v>
      </c>
      <c r="E6023" s="1">
        <v>44481</v>
      </c>
      <c r="F6023">
        <v>1</v>
      </c>
      <c r="G6023" t="s">
        <v>20</v>
      </c>
      <c r="H6023" t="s">
        <v>21</v>
      </c>
      <c r="I6023" s="3">
        <v>2033</v>
      </c>
      <c r="J6023" s="3">
        <v>2033</v>
      </c>
      <c r="K6023" s="3">
        <v>459</v>
      </c>
      <c r="L6023" t="s">
        <v>98</v>
      </c>
      <c r="M6023">
        <v>6</v>
      </c>
      <c r="N6023" t="s">
        <v>75</v>
      </c>
      <c r="O6023" t="s">
        <v>70</v>
      </c>
      <c r="P6023" t="s">
        <v>12</v>
      </c>
      <c r="Q6023" t="s">
        <v>13</v>
      </c>
      <c r="R6023" t="s">
        <v>13</v>
      </c>
      <c r="S6023" t="s">
        <v>144</v>
      </c>
      <c r="T6023" s="2">
        <f>MASTER[[#This Row],[CANTIDAD]]*MASTER[[#This Row],[PRECIO DE VENTA]]</f>
        <v>2033</v>
      </c>
      <c r="U6023" s="2">
        <f>MASTER[[#This Row],[CANTIDAD]]*MASTER[[#This Row],[COSTO UNITARIO]]</f>
        <v>459</v>
      </c>
      <c r="V6023" s="2">
        <f>MASTER[[#This Row],[MONTO VENDIDO]]-MASTER[[#This Row],[COSTO DE VENTA]]</f>
        <v>1574</v>
      </c>
    </row>
    <row r="6024" spans="1:22" x14ac:dyDescent="0.3">
      <c r="A6024">
        <v>83714</v>
      </c>
      <c r="B6024">
        <v>1</v>
      </c>
      <c r="C6024" t="s">
        <v>90</v>
      </c>
      <c r="D6024" t="s">
        <v>91</v>
      </c>
      <c r="E6024" s="1">
        <v>44481</v>
      </c>
      <c r="F6024">
        <v>1</v>
      </c>
      <c r="G6024" t="s">
        <v>55</v>
      </c>
      <c r="H6024" t="s">
        <v>56</v>
      </c>
      <c r="I6024" s="3">
        <v>1660</v>
      </c>
      <c r="J6024" s="3">
        <v>1660</v>
      </c>
      <c r="K6024" s="3">
        <v>420</v>
      </c>
      <c r="L6024" t="s">
        <v>9</v>
      </c>
      <c r="M6024">
        <v>11</v>
      </c>
      <c r="N6024" t="s">
        <v>10</v>
      </c>
      <c r="O6024" t="s">
        <v>11</v>
      </c>
      <c r="P6024" t="s">
        <v>12</v>
      </c>
      <c r="Q6024" t="s">
        <v>13</v>
      </c>
      <c r="R6024" t="s">
        <v>13</v>
      </c>
      <c r="S6024" t="s">
        <v>144</v>
      </c>
      <c r="T6024" s="2">
        <f>MASTER[[#This Row],[CANTIDAD]]*MASTER[[#This Row],[PRECIO DE VENTA]]</f>
        <v>1660</v>
      </c>
      <c r="U6024" s="2">
        <f>MASTER[[#This Row],[CANTIDAD]]*MASTER[[#This Row],[COSTO UNITARIO]]</f>
        <v>420</v>
      </c>
      <c r="V6024" s="2">
        <f>MASTER[[#This Row],[MONTO VENDIDO]]-MASTER[[#This Row],[COSTO DE VENTA]]</f>
        <v>1240</v>
      </c>
    </row>
    <row r="6025" spans="1:22" x14ac:dyDescent="0.3">
      <c r="A6025">
        <v>83731</v>
      </c>
      <c r="B6025">
        <v>1</v>
      </c>
      <c r="C6025" t="s">
        <v>92</v>
      </c>
      <c r="D6025" t="s">
        <v>93</v>
      </c>
      <c r="E6025" s="1">
        <v>44481</v>
      </c>
      <c r="F6025">
        <v>1</v>
      </c>
      <c r="G6025" t="s">
        <v>43</v>
      </c>
      <c r="H6025" t="s">
        <v>44</v>
      </c>
      <c r="I6025" s="3">
        <v>1866</v>
      </c>
      <c r="J6025" s="3">
        <v>1866</v>
      </c>
      <c r="K6025" s="3">
        <v>396</v>
      </c>
      <c r="L6025" t="s">
        <v>9</v>
      </c>
      <c r="M6025">
        <v>13</v>
      </c>
      <c r="N6025" t="s">
        <v>78</v>
      </c>
      <c r="O6025" t="s">
        <v>70</v>
      </c>
      <c r="P6025" t="s">
        <v>18</v>
      </c>
      <c r="Q6025" t="s">
        <v>19</v>
      </c>
      <c r="R6025" t="s">
        <v>138</v>
      </c>
      <c r="S6025" t="s">
        <v>144</v>
      </c>
      <c r="T6025" s="2">
        <f>MASTER[[#This Row],[CANTIDAD]]*MASTER[[#This Row],[PRECIO DE VENTA]]</f>
        <v>1866</v>
      </c>
      <c r="U6025" s="2">
        <f>MASTER[[#This Row],[CANTIDAD]]*MASTER[[#This Row],[COSTO UNITARIO]]</f>
        <v>396</v>
      </c>
      <c r="V6025" s="2">
        <f>MASTER[[#This Row],[MONTO VENDIDO]]-MASTER[[#This Row],[COSTO DE VENTA]]</f>
        <v>1470</v>
      </c>
    </row>
    <row r="6026" spans="1:22" x14ac:dyDescent="0.3">
      <c r="A6026">
        <v>83732</v>
      </c>
      <c r="B6026">
        <v>1</v>
      </c>
      <c r="C6026" t="s">
        <v>107</v>
      </c>
      <c r="D6026" t="s">
        <v>108</v>
      </c>
      <c r="E6026" s="1">
        <v>44481</v>
      </c>
      <c r="F6026">
        <v>1</v>
      </c>
      <c r="G6026" t="s">
        <v>7</v>
      </c>
      <c r="H6026" t="s">
        <v>8</v>
      </c>
      <c r="I6026" s="3">
        <v>1440</v>
      </c>
      <c r="J6026" s="3">
        <v>1440</v>
      </c>
      <c r="K6026" s="3">
        <v>380</v>
      </c>
      <c r="L6026" t="s">
        <v>98</v>
      </c>
      <c r="M6026">
        <v>13</v>
      </c>
      <c r="N6026" t="s">
        <v>78</v>
      </c>
      <c r="O6026" t="s">
        <v>70</v>
      </c>
      <c r="P6026" t="s">
        <v>18</v>
      </c>
      <c r="Q6026" t="s">
        <v>19</v>
      </c>
      <c r="R6026" t="s">
        <v>138</v>
      </c>
      <c r="S6026" t="s">
        <v>144</v>
      </c>
      <c r="T6026" s="2">
        <f>MASTER[[#This Row],[CANTIDAD]]*MASTER[[#This Row],[PRECIO DE VENTA]]</f>
        <v>1440</v>
      </c>
      <c r="U6026" s="2">
        <f>MASTER[[#This Row],[CANTIDAD]]*MASTER[[#This Row],[COSTO UNITARIO]]</f>
        <v>380</v>
      </c>
      <c r="V6026" s="2">
        <f>MASTER[[#This Row],[MONTO VENDIDO]]-MASTER[[#This Row],[COSTO DE VENTA]]</f>
        <v>1060</v>
      </c>
    </row>
    <row r="6027" spans="1:22" x14ac:dyDescent="0.3">
      <c r="A6027">
        <v>83745</v>
      </c>
      <c r="B6027">
        <v>1</v>
      </c>
      <c r="C6027" t="s">
        <v>109</v>
      </c>
      <c r="D6027" t="s">
        <v>110</v>
      </c>
      <c r="E6027" s="1">
        <v>44481</v>
      </c>
      <c r="F6027">
        <v>1</v>
      </c>
      <c r="G6027" t="s">
        <v>59</v>
      </c>
      <c r="H6027" t="s">
        <v>60</v>
      </c>
      <c r="I6027" s="3">
        <v>1128</v>
      </c>
      <c r="J6027" s="3">
        <v>1128</v>
      </c>
      <c r="K6027" s="3">
        <v>387</v>
      </c>
      <c r="L6027" t="s">
        <v>98</v>
      </c>
      <c r="M6027">
        <v>18</v>
      </c>
      <c r="N6027" t="s">
        <v>79</v>
      </c>
      <c r="O6027" t="s">
        <v>70</v>
      </c>
      <c r="P6027" t="s">
        <v>15</v>
      </c>
      <c r="Q6027" t="s">
        <v>16</v>
      </c>
      <c r="R6027" t="s">
        <v>16</v>
      </c>
      <c r="S6027" t="s">
        <v>144</v>
      </c>
      <c r="T6027" s="2">
        <f>MASTER[[#This Row],[CANTIDAD]]*MASTER[[#This Row],[PRECIO DE VENTA]]</f>
        <v>1128</v>
      </c>
      <c r="U6027" s="2">
        <f>MASTER[[#This Row],[CANTIDAD]]*MASTER[[#This Row],[COSTO UNITARIO]]</f>
        <v>387</v>
      </c>
      <c r="V6027" s="2">
        <f>MASTER[[#This Row],[MONTO VENDIDO]]-MASTER[[#This Row],[COSTO DE VENTA]]</f>
        <v>741</v>
      </c>
    </row>
    <row r="6028" spans="1:22" x14ac:dyDescent="0.3">
      <c r="A6028">
        <v>83749</v>
      </c>
      <c r="B6028">
        <v>1</v>
      </c>
      <c r="C6028" t="s">
        <v>118</v>
      </c>
      <c r="D6028" t="s">
        <v>119</v>
      </c>
      <c r="E6028" s="1">
        <v>44481</v>
      </c>
      <c r="F6028">
        <v>1</v>
      </c>
      <c r="G6028" t="s">
        <v>41</v>
      </c>
      <c r="H6028" t="s">
        <v>42</v>
      </c>
      <c r="I6028" s="3">
        <v>900</v>
      </c>
      <c r="J6028" s="3">
        <v>900</v>
      </c>
      <c r="K6028" s="3">
        <v>424</v>
      </c>
      <c r="L6028" t="s">
        <v>120</v>
      </c>
      <c r="M6028">
        <v>14</v>
      </c>
      <c r="N6028" t="s">
        <v>87</v>
      </c>
      <c r="O6028" t="s">
        <v>81</v>
      </c>
      <c r="P6028" t="s">
        <v>18</v>
      </c>
      <c r="Q6028" t="s">
        <v>19</v>
      </c>
      <c r="R6028" t="s">
        <v>138</v>
      </c>
      <c r="S6028" t="s">
        <v>144</v>
      </c>
      <c r="T6028" s="2">
        <f>MASTER[[#This Row],[CANTIDAD]]*MASTER[[#This Row],[PRECIO DE VENTA]]</f>
        <v>900</v>
      </c>
      <c r="U6028" s="2">
        <f>MASTER[[#This Row],[CANTIDAD]]*MASTER[[#This Row],[COSTO UNITARIO]]</f>
        <v>424</v>
      </c>
      <c r="V6028" s="2">
        <f>MASTER[[#This Row],[MONTO VENDIDO]]-MASTER[[#This Row],[COSTO DE VENTA]]</f>
        <v>476</v>
      </c>
    </row>
    <row r="6029" spans="1:22" x14ac:dyDescent="0.3">
      <c r="A6029">
        <v>83765</v>
      </c>
      <c r="B6029">
        <v>1</v>
      </c>
      <c r="C6029" t="s">
        <v>101</v>
      </c>
      <c r="D6029" t="s">
        <v>102</v>
      </c>
      <c r="E6029" s="1">
        <v>44481</v>
      </c>
      <c r="F6029">
        <v>1</v>
      </c>
      <c r="G6029" t="s">
        <v>65</v>
      </c>
      <c r="H6029" t="s">
        <v>66</v>
      </c>
      <c r="I6029" s="3">
        <v>1054</v>
      </c>
      <c r="J6029" s="3">
        <v>1054</v>
      </c>
      <c r="K6029" s="3">
        <v>442</v>
      </c>
      <c r="L6029" t="s">
        <v>98</v>
      </c>
      <c r="M6029">
        <v>11</v>
      </c>
      <c r="N6029" t="s">
        <v>10</v>
      </c>
      <c r="O6029" t="s">
        <v>11</v>
      </c>
      <c r="P6029" t="s">
        <v>12</v>
      </c>
      <c r="Q6029" t="s">
        <v>13</v>
      </c>
      <c r="R6029" t="s">
        <v>13</v>
      </c>
      <c r="S6029" t="s">
        <v>144</v>
      </c>
      <c r="T6029" s="2">
        <f>MASTER[[#This Row],[CANTIDAD]]*MASTER[[#This Row],[PRECIO DE VENTA]]</f>
        <v>1054</v>
      </c>
      <c r="U6029" s="2">
        <f>MASTER[[#This Row],[CANTIDAD]]*MASTER[[#This Row],[COSTO UNITARIO]]</f>
        <v>442</v>
      </c>
      <c r="V6029" s="2">
        <f>MASTER[[#This Row],[MONTO VENDIDO]]-MASTER[[#This Row],[COSTO DE VENTA]]</f>
        <v>612</v>
      </c>
    </row>
    <row r="6030" spans="1:22" x14ac:dyDescent="0.3">
      <c r="A6030">
        <v>83771</v>
      </c>
      <c r="B6030">
        <v>1</v>
      </c>
      <c r="C6030" t="s">
        <v>116</v>
      </c>
      <c r="D6030" t="s">
        <v>117</v>
      </c>
      <c r="E6030" s="1">
        <v>44482</v>
      </c>
      <c r="F6030">
        <v>1</v>
      </c>
      <c r="G6030" t="s">
        <v>43</v>
      </c>
      <c r="H6030" t="s">
        <v>44</v>
      </c>
      <c r="I6030" s="3">
        <v>1738</v>
      </c>
      <c r="J6030" s="3">
        <v>1738</v>
      </c>
      <c r="K6030" s="3">
        <v>388</v>
      </c>
      <c r="L6030" t="s">
        <v>113</v>
      </c>
      <c r="M6030">
        <v>19</v>
      </c>
      <c r="N6030" t="s">
        <v>89</v>
      </c>
      <c r="O6030" t="s">
        <v>81</v>
      </c>
      <c r="P6030" t="s">
        <v>15</v>
      </c>
      <c r="Q6030" t="s">
        <v>16</v>
      </c>
      <c r="R6030" t="s">
        <v>16</v>
      </c>
      <c r="S6030" t="s">
        <v>144</v>
      </c>
      <c r="T6030" s="2">
        <f>MASTER[[#This Row],[CANTIDAD]]*MASTER[[#This Row],[PRECIO DE VENTA]]</f>
        <v>1738</v>
      </c>
      <c r="U6030" s="2">
        <f>MASTER[[#This Row],[CANTIDAD]]*MASTER[[#This Row],[COSTO UNITARIO]]</f>
        <v>388</v>
      </c>
      <c r="V6030" s="2">
        <f>MASTER[[#This Row],[MONTO VENDIDO]]-MASTER[[#This Row],[COSTO DE VENTA]]</f>
        <v>1350</v>
      </c>
    </row>
    <row r="6031" spans="1:22" x14ac:dyDescent="0.3">
      <c r="A6031">
        <v>83773</v>
      </c>
      <c r="B6031">
        <v>1</v>
      </c>
      <c r="C6031" t="s">
        <v>114</v>
      </c>
      <c r="D6031" t="s">
        <v>115</v>
      </c>
      <c r="E6031" s="1">
        <v>44482</v>
      </c>
      <c r="F6031">
        <v>1</v>
      </c>
      <c r="G6031" t="s">
        <v>45</v>
      </c>
      <c r="H6031" t="s">
        <v>46</v>
      </c>
      <c r="I6031" s="3">
        <v>1862</v>
      </c>
      <c r="J6031" s="3">
        <v>1862</v>
      </c>
      <c r="K6031" s="3">
        <v>394</v>
      </c>
      <c r="L6031" t="s">
        <v>113</v>
      </c>
      <c r="M6031">
        <v>19</v>
      </c>
      <c r="N6031" t="s">
        <v>89</v>
      </c>
      <c r="O6031" t="s">
        <v>81</v>
      </c>
      <c r="P6031" t="s">
        <v>15</v>
      </c>
      <c r="Q6031" t="s">
        <v>16</v>
      </c>
      <c r="R6031" t="s">
        <v>16</v>
      </c>
      <c r="S6031" t="s">
        <v>144</v>
      </c>
      <c r="T6031" s="2">
        <f>MASTER[[#This Row],[CANTIDAD]]*MASTER[[#This Row],[PRECIO DE VENTA]]</f>
        <v>1862</v>
      </c>
      <c r="U6031" s="2">
        <f>MASTER[[#This Row],[CANTIDAD]]*MASTER[[#This Row],[COSTO UNITARIO]]</f>
        <v>394</v>
      </c>
      <c r="V6031" s="2">
        <f>MASTER[[#This Row],[MONTO VENDIDO]]-MASTER[[#This Row],[COSTO DE VENTA]]</f>
        <v>1468</v>
      </c>
    </row>
    <row r="6032" spans="1:22" x14ac:dyDescent="0.3">
      <c r="A6032">
        <v>83776</v>
      </c>
      <c r="B6032">
        <v>1</v>
      </c>
      <c r="C6032" t="s">
        <v>118</v>
      </c>
      <c r="D6032" t="s">
        <v>119</v>
      </c>
      <c r="E6032" s="1">
        <v>44482</v>
      </c>
      <c r="F6032">
        <v>1</v>
      </c>
      <c r="G6032" t="s">
        <v>55</v>
      </c>
      <c r="H6032" t="s">
        <v>56</v>
      </c>
      <c r="I6032" s="3">
        <v>801</v>
      </c>
      <c r="J6032" s="3">
        <v>801</v>
      </c>
      <c r="K6032" s="3">
        <v>424</v>
      </c>
      <c r="L6032" t="s">
        <v>120</v>
      </c>
      <c r="M6032">
        <v>11</v>
      </c>
      <c r="N6032" t="s">
        <v>10</v>
      </c>
      <c r="O6032" t="s">
        <v>11</v>
      </c>
      <c r="P6032" t="s">
        <v>12</v>
      </c>
      <c r="Q6032" t="s">
        <v>13</v>
      </c>
      <c r="R6032" t="s">
        <v>13</v>
      </c>
      <c r="S6032" t="s">
        <v>144</v>
      </c>
      <c r="T6032" s="2">
        <f>MASTER[[#This Row],[CANTIDAD]]*MASTER[[#This Row],[PRECIO DE VENTA]]</f>
        <v>801</v>
      </c>
      <c r="U6032" s="2">
        <f>MASTER[[#This Row],[CANTIDAD]]*MASTER[[#This Row],[COSTO UNITARIO]]</f>
        <v>424</v>
      </c>
      <c r="V6032" s="2">
        <f>MASTER[[#This Row],[MONTO VENDIDO]]-MASTER[[#This Row],[COSTO DE VENTA]]</f>
        <v>377</v>
      </c>
    </row>
    <row r="6033" spans="1:22" x14ac:dyDescent="0.3">
      <c r="A6033">
        <v>83793</v>
      </c>
      <c r="B6033">
        <v>1</v>
      </c>
      <c r="C6033" t="s">
        <v>107</v>
      </c>
      <c r="D6033" t="s">
        <v>108</v>
      </c>
      <c r="E6033" s="1">
        <v>44482</v>
      </c>
      <c r="F6033">
        <v>1</v>
      </c>
      <c r="G6033" t="s">
        <v>33</v>
      </c>
      <c r="H6033" t="s">
        <v>34</v>
      </c>
      <c r="I6033" s="3">
        <v>1240</v>
      </c>
      <c r="J6033" s="3">
        <v>1240</v>
      </c>
      <c r="K6033" s="3">
        <v>380</v>
      </c>
      <c r="L6033" t="s">
        <v>98</v>
      </c>
      <c r="M6033">
        <v>12</v>
      </c>
      <c r="N6033" t="s">
        <v>26</v>
      </c>
      <c r="O6033" t="s">
        <v>11</v>
      </c>
      <c r="P6033" t="s">
        <v>12</v>
      </c>
      <c r="Q6033" t="s">
        <v>13</v>
      </c>
      <c r="R6033" t="s">
        <v>13</v>
      </c>
      <c r="S6033" t="s">
        <v>144</v>
      </c>
      <c r="T6033" s="2">
        <f>MASTER[[#This Row],[CANTIDAD]]*MASTER[[#This Row],[PRECIO DE VENTA]]</f>
        <v>1240</v>
      </c>
      <c r="U6033" s="2">
        <f>MASTER[[#This Row],[CANTIDAD]]*MASTER[[#This Row],[COSTO UNITARIO]]</f>
        <v>380</v>
      </c>
      <c r="V6033" s="2">
        <f>MASTER[[#This Row],[MONTO VENDIDO]]-MASTER[[#This Row],[COSTO DE VENTA]]</f>
        <v>860</v>
      </c>
    </row>
    <row r="6034" spans="1:22" x14ac:dyDescent="0.3">
      <c r="A6034">
        <v>83835</v>
      </c>
      <c r="B6034">
        <v>1</v>
      </c>
      <c r="C6034" t="s">
        <v>116</v>
      </c>
      <c r="D6034" t="s">
        <v>117</v>
      </c>
      <c r="E6034" s="1">
        <v>44482</v>
      </c>
      <c r="F6034">
        <v>1</v>
      </c>
      <c r="G6034" t="s">
        <v>53</v>
      </c>
      <c r="H6034" t="s">
        <v>54</v>
      </c>
      <c r="I6034" s="3">
        <v>1738</v>
      </c>
      <c r="J6034" s="3">
        <v>1738</v>
      </c>
      <c r="K6034" s="3">
        <v>388</v>
      </c>
      <c r="L6034" t="s">
        <v>113</v>
      </c>
      <c r="M6034">
        <v>15</v>
      </c>
      <c r="N6034" t="s">
        <v>88</v>
      </c>
      <c r="O6034" t="s">
        <v>81</v>
      </c>
      <c r="P6034" t="s">
        <v>18</v>
      </c>
      <c r="Q6034" t="s">
        <v>19</v>
      </c>
      <c r="R6034" t="s">
        <v>138</v>
      </c>
      <c r="S6034" t="s">
        <v>144</v>
      </c>
      <c r="T6034" s="2">
        <f>MASTER[[#This Row],[CANTIDAD]]*MASTER[[#This Row],[PRECIO DE VENTA]]</f>
        <v>1738</v>
      </c>
      <c r="U6034" s="2">
        <f>MASTER[[#This Row],[CANTIDAD]]*MASTER[[#This Row],[COSTO UNITARIO]]</f>
        <v>388</v>
      </c>
      <c r="V6034" s="2">
        <f>MASTER[[#This Row],[MONTO VENDIDO]]-MASTER[[#This Row],[COSTO DE VENTA]]</f>
        <v>1350</v>
      </c>
    </row>
    <row r="6035" spans="1:22" x14ac:dyDescent="0.3">
      <c r="A6035">
        <v>83843</v>
      </c>
      <c r="B6035">
        <v>1</v>
      </c>
      <c r="C6035" t="s">
        <v>96</v>
      </c>
      <c r="D6035" t="s">
        <v>97</v>
      </c>
      <c r="E6035" s="1">
        <v>44482</v>
      </c>
      <c r="F6035">
        <v>1</v>
      </c>
      <c r="G6035" t="s">
        <v>39</v>
      </c>
      <c r="H6035" t="s">
        <v>40</v>
      </c>
      <c r="I6035" s="3">
        <v>1272</v>
      </c>
      <c r="J6035" s="3">
        <v>1272</v>
      </c>
      <c r="K6035" s="3">
        <v>397</v>
      </c>
      <c r="L6035" t="s">
        <v>98</v>
      </c>
      <c r="M6035">
        <v>8</v>
      </c>
      <c r="N6035" t="s">
        <v>80</v>
      </c>
      <c r="O6035" t="s">
        <v>81</v>
      </c>
      <c r="P6035" t="s">
        <v>12</v>
      </c>
      <c r="Q6035" t="s">
        <v>13</v>
      </c>
      <c r="R6035" t="s">
        <v>13</v>
      </c>
      <c r="S6035" t="s">
        <v>144</v>
      </c>
      <c r="T6035" s="2">
        <f>MASTER[[#This Row],[CANTIDAD]]*MASTER[[#This Row],[PRECIO DE VENTA]]</f>
        <v>1272</v>
      </c>
      <c r="U6035" s="2">
        <f>MASTER[[#This Row],[CANTIDAD]]*MASTER[[#This Row],[COSTO UNITARIO]]</f>
        <v>397</v>
      </c>
      <c r="V6035" s="2">
        <f>MASTER[[#This Row],[MONTO VENDIDO]]-MASTER[[#This Row],[COSTO DE VENTA]]</f>
        <v>875</v>
      </c>
    </row>
    <row r="6036" spans="1:22" x14ac:dyDescent="0.3">
      <c r="A6036">
        <v>83871</v>
      </c>
      <c r="B6036">
        <v>1</v>
      </c>
      <c r="C6036" t="s">
        <v>90</v>
      </c>
      <c r="D6036" t="s">
        <v>91</v>
      </c>
      <c r="E6036" s="1">
        <v>44482</v>
      </c>
      <c r="F6036">
        <v>1</v>
      </c>
      <c r="G6036" t="s">
        <v>53</v>
      </c>
      <c r="H6036" t="s">
        <v>54</v>
      </c>
      <c r="I6036" s="3">
        <v>2102</v>
      </c>
      <c r="J6036" s="3">
        <v>2102</v>
      </c>
      <c r="K6036" s="3">
        <v>420</v>
      </c>
      <c r="L6036" t="s">
        <v>9</v>
      </c>
      <c r="M6036">
        <v>6</v>
      </c>
      <c r="N6036" t="s">
        <v>75</v>
      </c>
      <c r="O6036" t="s">
        <v>70</v>
      </c>
      <c r="P6036" t="s">
        <v>12</v>
      </c>
      <c r="Q6036" t="s">
        <v>13</v>
      </c>
      <c r="R6036" t="s">
        <v>13</v>
      </c>
      <c r="S6036" t="s">
        <v>144</v>
      </c>
      <c r="T6036" s="2">
        <f>MASTER[[#This Row],[CANTIDAD]]*MASTER[[#This Row],[PRECIO DE VENTA]]</f>
        <v>2102</v>
      </c>
      <c r="U6036" s="2">
        <f>MASTER[[#This Row],[CANTIDAD]]*MASTER[[#This Row],[COSTO UNITARIO]]</f>
        <v>420</v>
      </c>
      <c r="V6036" s="2">
        <f>MASTER[[#This Row],[MONTO VENDIDO]]-MASTER[[#This Row],[COSTO DE VENTA]]</f>
        <v>1682</v>
      </c>
    </row>
    <row r="6037" spans="1:22" x14ac:dyDescent="0.3">
      <c r="A6037">
        <v>83882</v>
      </c>
      <c r="B6037">
        <v>1</v>
      </c>
      <c r="C6037" t="s">
        <v>111</v>
      </c>
      <c r="D6037" t="s">
        <v>112</v>
      </c>
      <c r="E6037" s="1">
        <v>44482</v>
      </c>
      <c r="F6037">
        <v>1</v>
      </c>
      <c r="G6037" t="s">
        <v>33</v>
      </c>
      <c r="H6037" t="s">
        <v>34</v>
      </c>
      <c r="I6037" s="3">
        <v>1621</v>
      </c>
      <c r="J6037" s="3">
        <v>1621</v>
      </c>
      <c r="K6037" s="3">
        <v>434</v>
      </c>
      <c r="L6037" t="s">
        <v>113</v>
      </c>
      <c r="M6037">
        <v>10</v>
      </c>
      <c r="N6037" t="s">
        <v>83</v>
      </c>
      <c r="O6037" t="s">
        <v>81</v>
      </c>
      <c r="P6037" t="s">
        <v>12</v>
      </c>
      <c r="Q6037" t="s">
        <v>13</v>
      </c>
      <c r="R6037" t="s">
        <v>13</v>
      </c>
      <c r="S6037" t="s">
        <v>144</v>
      </c>
      <c r="T6037" s="2">
        <f>MASTER[[#This Row],[CANTIDAD]]*MASTER[[#This Row],[PRECIO DE VENTA]]</f>
        <v>1621</v>
      </c>
      <c r="U6037" s="2">
        <f>MASTER[[#This Row],[CANTIDAD]]*MASTER[[#This Row],[COSTO UNITARIO]]</f>
        <v>434</v>
      </c>
      <c r="V6037" s="2">
        <f>MASTER[[#This Row],[MONTO VENDIDO]]-MASTER[[#This Row],[COSTO DE VENTA]]</f>
        <v>1187</v>
      </c>
    </row>
    <row r="6038" spans="1:22" x14ac:dyDescent="0.3">
      <c r="A6038">
        <v>83885</v>
      </c>
      <c r="B6038">
        <v>1</v>
      </c>
      <c r="C6038" t="s">
        <v>96</v>
      </c>
      <c r="D6038" t="s">
        <v>97</v>
      </c>
      <c r="E6038" s="1">
        <v>44482</v>
      </c>
      <c r="F6038">
        <v>1</v>
      </c>
      <c r="G6038" t="s">
        <v>65</v>
      </c>
      <c r="H6038" t="s">
        <v>66</v>
      </c>
      <c r="I6038" s="3">
        <v>1272</v>
      </c>
      <c r="J6038" s="3">
        <v>1272</v>
      </c>
      <c r="K6038" s="3">
        <v>397</v>
      </c>
      <c r="L6038" t="s">
        <v>98</v>
      </c>
      <c r="M6038">
        <v>5</v>
      </c>
      <c r="N6038" t="s">
        <v>85</v>
      </c>
      <c r="O6038" t="s">
        <v>81</v>
      </c>
      <c r="P6038" t="s">
        <v>12</v>
      </c>
      <c r="Q6038" t="s">
        <v>13</v>
      </c>
      <c r="R6038" t="s">
        <v>13</v>
      </c>
      <c r="S6038" t="s">
        <v>144</v>
      </c>
      <c r="T6038" s="2">
        <f>MASTER[[#This Row],[CANTIDAD]]*MASTER[[#This Row],[PRECIO DE VENTA]]</f>
        <v>1272</v>
      </c>
      <c r="U6038" s="2">
        <f>MASTER[[#This Row],[CANTIDAD]]*MASTER[[#This Row],[COSTO UNITARIO]]</f>
        <v>397</v>
      </c>
      <c r="V6038" s="2">
        <f>MASTER[[#This Row],[MONTO VENDIDO]]-MASTER[[#This Row],[COSTO DE VENTA]]</f>
        <v>875</v>
      </c>
    </row>
    <row r="6039" spans="1:22" x14ac:dyDescent="0.3">
      <c r="A6039">
        <v>83889</v>
      </c>
      <c r="B6039">
        <v>1</v>
      </c>
      <c r="C6039" t="s">
        <v>96</v>
      </c>
      <c r="D6039" t="s">
        <v>97</v>
      </c>
      <c r="E6039" s="1">
        <v>44482</v>
      </c>
      <c r="F6039">
        <v>1</v>
      </c>
      <c r="G6039" t="s">
        <v>27</v>
      </c>
      <c r="H6039" t="s">
        <v>28</v>
      </c>
      <c r="I6039" s="3">
        <v>1361</v>
      </c>
      <c r="J6039" s="3">
        <v>1361</v>
      </c>
      <c r="K6039" s="3">
        <v>397</v>
      </c>
      <c r="L6039" t="s">
        <v>98</v>
      </c>
      <c r="M6039">
        <v>9</v>
      </c>
      <c r="N6039" t="s">
        <v>76</v>
      </c>
      <c r="O6039" t="s">
        <v>70</v>
      </c>
      <c r="P6039" t="s">
        <v>12</v>
      </c>
      <c r="Q6039" t="s">
        <v>13</v>
      </c>
      <c r="R6039" t="s">
        <v>13</v>
      </c>
      <c r="S6039" t="s">
        <v>144</v>
      </c>
      <c r="T6039" s="2">
        <f>MASTER[[#This Row],[CANTIDAD]]*MASTER[[#This Row],[PRECIO DE VENTA]]</f>
        <v>1361</v>
      </c>
      <c r="U6039" s="2">
        <f>MASTER[[#This Row],[CANTIDAD]]*MASTER[[#This Row],[COSTO UNITARIO]]</f>
        <v>397</v>
      </c>
      <c r="V6039" s="2">
        <f>MASTER[[#This Row],[MONTO VENDIDO]]-MASTER[[#This Row],[COSTO DE VENTA]]</f>
        <v>964</v>
      </c>
    </row>
    <row r="6040" spans="1:22" x14ac:dyDescent="0.3">
      <c r="A6040">
        <v>83893</v>
      </c>
      <c r="B6040">
        <v>1</v>
      </c>
      <c r="C6040" t="s">
        <v>99</v>
      </c>
      <c r="D6040" t="s">
        <v>100</v>
      </c>
      <c r="E6040" s="1">
        <v>44482</v>
      </c>
      <c r="F6040">
        <v>1</v>
      </c>
      <c r="G6040" t="s">
        <v>33</v>
      </c>
      <c r="H6040" t="s">
        <v>34</v>
      </c>
      <c r="I6040" s="3">
        <v>1328</v>
      </c>
      <c r="J6040" s="3">
        <v>1328</v>
      </c>
      <c r="K6040" s="3">
        <v>386</v>
      </c>
      <c r="L6040" t="s">
        <v>98</v>
      </c>
      <c r="M6040">
        <v>16</v>
      </c>
      <c r="N6040" t="s">
        <v>17</v>
      </c>
      <c r="O6040" t="s">
        <v>11</v>
      </c>
      <c r="P6040" t="s">
        <v>18</v>
      </c>
      <c r="Q6040" t="s">
        <v>19</v>
      </c>
      <c r="R6040" t="s">
        <v>138</v>
      </c>
      <c r="S6040" t="s">
        <v>144</v>
      </c>
      <c r="T6040" s="2">
        <f>MASTER[[#This Row],[CANTIDAD]]*MASTER[[#This Row],[PRECIO DE VENTA]]</f>
        <v>1328</v>
      </c>
      <c r="U6040" s="2">
        <f>MASTER[[#This Row],[CANTIDAD]]*MASTER[[#This Row],[COSTO UNITARIO]]</f>
        <v>386</v>
      </c>
      <c r="V6040" s="2">
        <f>MASTER[[#This Row],[MONTO VENDIDO]]-MASTER[[#This Row],[COSTO DE VENTA]]</f>
        <v>942</v>
      </c>
    </row>
    <row r="6041" spans="1:22" x14ac:dyDescent="0.3">
      <c r="A6041">
        <v>83898</v>
      </c>
      <c r="B6041">
        <v>1</v>
      </c>
      <c r="C6041" t="s">
        <v>5</v>
      </c>
      <c r="D6041" t="s">
        <v>6</v>
      </c>
      <c r="E6041" s="1">
        <v>44482</v>
      </c>
      <c r="F6041">
        <v>1</v>
      </c>
      <c r="G6041" t="s">
        <v>57</v>
      </c>
      <c r="H6041" t="s">
        <v>58</v>
      </c>
      <c r="I6041" s="3">
        <v>1296</v>
      </c>
      <c r="J6041" s="3">
        <v>1296</v>
      </c>
      <c r="K6041" s="3">
        <v>393</v>
      </c>
      <c r="L6041" t="s">
        <v>9</v>
      </c>
      <c r="M6041">
        <v>6</v>
      </c>
      <c r="N6041" t="s">
        <v>75</v>
      </c>
      <c r="O6041" t="s">
        <v>70</v>
      </c>
      <c r="P6041" t="s">
        <v>12</v>
      </c>
      <c r="Q6041" t="s">
        <v>13</v>
      </c>
      <c r="R6041" t="s">
        <v>13</v>
      </c>
      <c r="S6041" t="s">
        <v>144</v>
      </c>
      <c r="T6041" s="2">
        <f>MASTER[[#This Row],[CANTIDAD]]*MASTER[[#This Row],[PRECIO DE VENTA]]</f>
        <v>1296</v>
      </c>
      <c r="U6041" s="2">
        <f>MASTER[[#This Row],[CANTIDAD]]*MASTER[[#This Row],[COSTO UNITARIO]]</f>
        <v>393</v>
      </c>
      <c r="V6041" s="2">
        <f>MASTER[[#This Row],[MONTO VENDIDO]]-MASTER[[#This Row],[COSTO DE VENTA]]</f>
        <v>903</v>
      </c>
    </row>
    <row r="6042" spans="1:22" x14ac:dyDescent="0.3">
      <c r="A6042">
        <v>83913</v>
      </c>
      <c r="B6042">
        <v>1</v>
      </c>
      <c r="C6042" t="s">
        <v>94</v>
      </c>
      <c r="D6042" t="s">
        <v>95</v>
      </c>
      <c r="E6042" s="1">
        <v>44483</v>
      </c>
      <c r="F6042">
        <v>3</v>
      </c>
      <c r="G6042" t="s">
        <v>51</v>
      </c>
      <c r="H6042" t="s">
        <v>52</v>
      </c>
      <c r="I6042" s="3">
        <v>1048</v>
      </c>
      <c r="J6042" s="3">
        <v>1048</v>
      </c>
      <c r="K6042" s="3">
        <v>392</v>
      </c>
      <c r="L6042" t="s">
        <v>9</v>
      </c>
      <c r="M6042">
        <v>4</v>
      </c>
      <c r="N6042" t="s">
        <v>82</v>
      </c>
      <c r="O6042" t="s">
        <v>81</v>
      </c>
      <c r="P6042" t="s">
        <v>71</v>
      </c>
      <c r="Q6042" t="s">
        <v>72</v>
      </c>
      <c r="R6042" t="s">
        <v>139</v>
      </c>
      <c r="S6042" t="s">
        <v>144</v>
      </c>
      <c r="T6042" s="2">
        <f>MASTER[[#This Row],[CANTIDAD]]*MASTER[[#This Row],[PRECIO DE VENTA]]</f>
        <v>3144</v>
      </c>
      <c r="U6042" s="2">
        <f>MASTER[[#This Row],[CANTIDAD]]*MASTER[[#This Row],[COSTO UNITARIO]]</f>
        <v>1176</v>
      </c>
      <c r="V6042" s="2">
        <f>MASTER[[#This Row],[MONTO VENDIDO]]-MASTER[[#This Row],[COSTO DE VENTA]]</f>
        <v>1968</v>
      </c>
    </row>
    <row r="6043" spans="1:22" x14ac:dyDescent="0.3">
      <c r="A6043">
        <v>83948</v>
      </c>
      <c r="B6043">
        <v>1</v>
      </c>
      <c r="C6043" t="s">
        <v>114</v>
      </c>
      <c r="D6043" t="s">
        <v>115</v>
      </c>
      <c r="E6043" s="1">
        <v>44483</v>
      </c>
      <c r="F6043">
        <v>1</v>
      </c>
      <c r="G6043" t="s">
        <v>53</v>
      </c>
      <c r="H6043" t="s">
        <v>54</v>
      </c>
      <c r="I6043" s="3">
        <v>1583</v>
      </c>
      <c r="J6043" s="3">
        <v>1583</v>
      </c>
      <c r="K6043" s="3">
        <v>394</v>
      </c>
      <c r="L6043" t="s">
        <v>113</v>
      </c>
      <c r="M6043">
        <v>11</v>
      </c>
      <c r="N6043" t="s">
        <v>10</v>
      </c>
      <c r="O6043" t="s">
        <v>11</v>
      </c>
      <c r="P6043" t="s">
        <v>12</v>
      </c>
      <c r="Q6043" t="s">
        <v>13</v>
      </c>
      <c r="R6043" t="s">
        <v>13</v>
      </c>
      <c r="S6043" t="s">
        <v>144</v>
      </c>
      <c r="T6043" s="2">
        <f>MASTER[[#This Row],[CANTIDAD]]*MASTER[[#This Row],[PRECIO DE VENTA]]</f>
        <v>1583</v>
      </c>
      <c r="U6043" s="2">
        <f>MASTER[[#This Row],[CANTIDAD]]*MASTER[[#This Row],[COSTO UNITARIO]]</f>
        <v>394</v>
      </c>
      <c r="V6043" s="2">
        <f>MASTER[[#This Row],[MONTO VENDIDO]]-MASTER[[#This Row],[COSTO DE VENTA]]</f>
        <v>1189</v>
      </c>
    </row>
    <row r="6044" spans="1:22" x14ac:dyDescent="0.3">
      <c r="A6044">
        <v>83960</v>
      </c>
      <c r="B6044">
        <v>1</v>
      </c>
      <c r="C6044" t="s">
        <v>99</v>
      </c>
      <c r="D6044" t="s">
        <v>100</v>
      </c>
      <c r="E6044" s="1">
        <v>44483</v>
      </c>
      <c r="F6044">
        <v>1</v>
      </c>
      <c r="G6044" t="s">
        <v>73</v>
      </c>
      <c r="H6044" t="s">
        <v>74</v>
      </c>
      <c r="I6044" s="3">
        <v>1678</v>
      </c>
      <c r="J6044" s="3">
        <v>1678</v>
      </c>
      <c r="K6044" s="3">
        <v>386</v>
      </c>
      <c r="L6044" t="s">
        <v>98</v>
      </c>
      <c r="M6044">
        <v>18</v>
      </c>
      <c r="N6044" t="s">
        <v>79</v>
      </c>
      <c r="O6044" t="s">
        <v>70</v>
      </c>
      <c r="P6044" t="s">
        <v>15</v>
      </c>
      <c r="Q6044" t="s">
        <v>16</v>
      </c>
      <c r="R6044" t="s">
        <v>16</v>
      </c>
      <c r="S6044" t="s">
        <v>144</v>
      </c>
      <c r="T6044" s="2">
        <f>MASTER[[#This Row],[CANTIDAD]]*MASTER[[#This Row],[PRECIO DE VENTA]]</f>
        <v>1678</v>
      </c>
      <c r="U6044" s="2">
        <f>MASTER[[#This Row],[CANTIDAD]]*MASTER[[#This Row],[COSTO UNITARIO]]</f>
        <v>386</v>
      </c>
      <c r="V6044" s="2">
        <f>MASTER[[#This Row],[MONTO VENDIDO]]-MASTER[[#This Row],[COSTO DE VENTA]]</f>
        <v>1292</v>
      </c>
    </row>
    <row r="6045" spans="1:22" x14ac:dyDescent="0.3">
      <c r="A6045">
        <v>83966</v>
      </c>
      <c r="B6045">
        <v>1</v>
      </c>
      <c r="C6045" t="s">
        <v>96</v>
      </c>
      <c r="D6045" t="s">
        <v>97</v>
      </c>
      <c r="E6045" s="1">
        <v>44483</v>
      </c>
      <c r="F6045">
        <v>1</v>
      </c>
      <c r="G6045" t="s">
        <v>51</v>
      </c>
      <c r="H6045" t="s">
        <v>52</v>
      </c>
      <c r="I6045" s="3">
        <v>1361</v>
      </c>
      <c r="J6045" s="3">
        <v>1361</v>
      </c>
      <c r="K6045" s="3">
        <v>397</v>
      </c>
      <c r="L6045" t="s">
        <v>98</v>
      </c>
      <c r="M6045">
        <v>9</v>
      </c>
      <c r="N6045" t="s">
        <v>76</v>
      </c>
      <c r="O6045" t="s">
        <v>70</v>
      </c>
      <c r="P6045" t="s">
        <v>12</v>
      </c>
      <c r="Q6045" t="s">
        <v>13</v>
      </c>
      <c r="R6045" t="s">
        <v>13</v>
      </c>
      <c r="S6045" t="s">
        <v>144</v>
      </c>
      <c r="T6045" s="2">
        <f>MASTER[[#This Row],[CANTIDAD]]*MASTER[[#This Row],[PRECIO DE VENTA]]</f>
        <v>1361</v>
      </c>
      <c r="U6045" s="2">
        <f>MASTER[[#This Row],[CANTIDAD]]*MASTER[[#This Row],[COSTO UNITARIO]]</f>
        <v>397</v>
      </c>
      <c r="V6045" s="2">
        <f>MASTER[[#This Row],[MONTO VENDIDO]]-MASTER[[#This Row],[COSTO DE VENTA]]</f>
        <v>964</v>
      </c>
    </row>
    <row r="6046" spans="1:22" x14ac:dyDescent="0.3">
      <c r="A6046">
        <v>83970</v>
      </c>
      <c r="B6046">
        <v>1</v>
      </c>
      <c r="C6046" t="s">
        <v>118</v>
      </c>
      <c r="D6046" t="s">
        <v>119</v>
      </c>
      <c r="E6046" s="1">
        <v>44483</v>
      </c>
      <c r="F6046">
        <v>1</v>
      </c>
      <c r="G6046" t="s">
        <v>59</v>
      </c>
      <c r="H6046" t="s">
        <v>60</v>
      </c>
      <c r="I6046" s="3">
        <v>1026</v>
      </c>
      <c r="J6046" s="3">
        <v>1026</v>
      </c>
      <c r="K6046" s="3">
        <v>424</v>
      </c>
      <c r="L6046" t="s">
        <v>120</v>
      </c>
      <c r="M6046">
        <v>18</v>
      </c>
      <c r="N6046" t="s">
        <v>79</v>
      </c>
      <c r="O6046" t="s">
        <v>70</v>
      </c>
      <c r="P6046" t="s">
        <v>15</v>
      </c>
      <c r="Q6046" t="s">
        <v>16</v>
      </c>
      <c r="R6046" t="s">
        <v>16</v>
      </c>
      <c r="S6046" t="s">
        <v>144</v>
      </c>
      <c r="T6046" s="2">
        <f>MASTER[[#This Row],[CANTIDAD]]*MASTER[[#This Row],[PRECIO DE VENTA]]</f>
        <v>1026</v>
      </c>
      <c r="U6046" s="2">
        <f>MASTER[[#This Row],[CANTIDAD]]*MASTER[[#This Row],[COSTO UNITARIO]]</f>
        <v>424</v>
      </c>
      <c r="V6046" s="2">
        <f>MASTER[[#This Row],[MONTO VENDIDO]]-MASTER[[#This Row],[COSTO DE VENTA]]</f>
        <v>602</v>
      </c>
    </row>
    <row r="6047" spans="1:22" x14ac:dyDescent="0.3">
      <c r="A6047">
        <v>83975</v>
      </c>
      <c r="B6047">
        <v>1</v>
      </c>
      <c r="C6047" t="s">
        <v>103</v>
      </c>
      <c r="D6047" t="s">
        <v>104</v>
      </c>
      <c r="E6047" s="1">
        <v>44483</v>
      </c>
      <c r="F6047">
        <v>1</v>
      </c>
      <c r="G6047" t="s">
        <v>73</v>
      </c>
      <c r="H6047" t="s">
        <v>74</v>
      </c>
      <c r="I6047" s="3">
        <v>1830</v>
      </c>
      <c r="J6047" s="3">
        <v>1830</v>
      </c>
      <c r="K6047" s="3">
        <v>421</v>
      </c>
      <c r="L6047" t="s">
        <v>98</v>
      </c>
      <c r="M6047">
        <v>1</v>
      </c>
      <c r="N6047" t="s">
        <v>77</v>
      </c>
      <c r="O6047" t="s">
        <v>70</v>
      </c>
      <c r="P6047" t="s">
        <v>71</v>
      </c>
      <c r="Q6047" t="s">
        <v>72</v>
      </c>
      <c r="R6047" t="s">
        <v>139</v>
      </c>
      <c r="S6047" t="s">
        <v>144</v>
      </c>
      <c r="T6047" s="2">
        <f>MASTER[[#This Row],[CANTIDAD]]*MASTER[[#This Row],[PRECIO DE VENTA]]</f>
        <v>1830</v>
      </c>
      <c r="U6047" s="2">
        <f>MASTER[[#This Row],[CANTIDAD]]*MASTER[[#This Row],[COSTO UNITARIO]]</f>
        <v>421</v>
      </c>
      <c r="V6047" s="2">
        <f>MASTER[[#This Row],[MONTO VENDIDO]]-MASTER[[#This Row],[COSTO DE VENTA]]</f>
        <v>1409</v>
      </c>
    </row>
    <row r="6048" spans="1:22" x14ac:dyDescent="0.3">
      <c r="A6048">
        <v>83976</v>
      </c>
      <c r="B6048">
        <v>1</v>
      </c>
      <c r="C6048" t="s">
        <v>90</v>
      </c>
      <c r="D6048" t="s">
        <v>91</v>
      </c>
      <c r="E6048" s="1">
        <v>44483</v>
      </c>
      <c r="F6048">
        <v>1</v>
      </c>
      <c r="G6048" t="s">
        <v>22</v>
      </c>
      <c r="H6048" t="s">
        <v>23</v>
      </c>
      <c r="I6048" s="3">
        <v>2102</v>
      </c>
      <c r="J6048" s="3">
        <v>2102</v>
      </c>
      <c r="K6048" s="3">
        <v>420</v>
      </c>
      <c r="L6048" t="s">
        <v>9</v>
      </c>
      <c r="M6048">
        <v>13</v>
      </c>
      <c r="N6048" t="s">
        <v>78</v>
      </c>
      <c r="O6048" t="s">
        <v>70</v>
      </c>
      <c r="P6048" t="s">
        <v>18</v>
      </c>
      <c r="Q6048" t="s">
        <v>19</v>
      </c>
      <c r="R6048" t="s">
        <v>138</v>
      </c>
      <c r="S6048" t="s">
        <v>144</v>
      </c>
      <c r="T6048" s="2">
        <f>MASTER[[#This Row],[CANTIDAD]]*MASTER[[#This Row],[PRECIO DE VENTA]]</f>
        <v>2102</v>
      </c>
      <c r="U6048" s="2">
        <f>MASTER[[#This Row],[CANTIDAD]]*MASTER[[#This Row],[COSTO UNITARIO]]</f>
        <v>420</v>
      </c>
      <c r="V6048" s="2">
        <f>MASTER[[#This Row],[MONTO VENDIDO]]-MASTER[[#This Row],[COSTO DE VENTA]]</f>
        <v>1682</v>
      </c>
    </row>
    <row r="6049" spans="1:22" x14ac:dyDescent="0.3">
      <c r="A6049">
        <v>83982</v>
      </c>
      <c r="B6049">
        <v>1</v>
      </c>
      <c r="C6049" t="s">
        <v>109</v>
      </c>
      <c r="D6049" t="s">
        <v>110</v>
      </c>
      <c r="E6049" s="1">
        <v>44483</v>
      </c>
      <c r="F6049">
        <v>1</v>
      </c>
      <c r="G6049" t="s">
        <v>67</v>
      </c>
      <c r="H6049" t="s">
        <v>68</v>
      </c>
      <c r="I6049" s="3">
        <v>947</v>
      </c>
      <c r="J6049" s="3">
        <v>947</v>
      </c>
      <c r="K6049" s="3">
        <v>387</v>
      </c>
      <c r="L6049" t="s">
        <v>98</v>
      </c>
      <c r="M6049">
        <v>11</v>
      </c>
      <c r="N6049" t="s">
        <v>10</v>
      </c>
      <c r="O6049" t="s">
        <v>11</v>
      </c>
      <c r="P6049" t="s">
        <v>12</v>
      </c>
      <c r="Q6049" t="s">
        <v>13</v>
      </c>
      <c r="R6049" t="s">
        <v>13</v>
      </c>
      <c r="S6049" t="s">
        <v>144</v>
      </c>
      <c r="T6049" s="2">
        <f>MASTER[[#This Row],[CANTIDAD]]*MASTER[[#This Row],[PRECIO DE VENTA]]</f>
        <v>947</v>
      </c>
      <c r="U6049" s="2">
        <f>MASTER[[#This Row],[CANTIDAD]]*MASTER[[#This Row],[COSTO UNITARIO]]</f>
        <v>387</v>
      </c>
      <c r="V6049" s="2">
        <f>MASTER[[#This Row],[MONTO VENDIDO]]-MASTER[[#This Row],[COSTO DE VENTA]]</f>
        <v>560</v>
      </c>
    </row>
    <row r="6050" spans="1:22" x14ac:dyDescent="0.3">
      <c r="A6050">
        <v>83987</v>
      </c>
      <c r="B6050">
        <v>1</v>
      </c>
      <c r="C6050" t="s">
        <v>5</v>
      </c>
      <c r="D6050" t="s">
        <v>6</v>
      </c>
      <c r="E6050" s="1">
        <v>44483</v>
      </c>
      <c r="F6050">
        <v>1</v>
      </c>
      <c r="G6050" t="s">
        <v>59</v>
      </c>
      <c r="H6050" t="s">
        <v>60</v>
      </c>
      <c r="I6050" s="3">
        <v>1311</v>
      </c>
      <c r="J6050" s="3">
        <v>1311</v>
      </c>
      <c r="K6050" s="3">
        <v>393</v>
      </c>
      <c r="L6050" t="s">
        <v>9</v>
      </c>
      <c r="M6050">
        <v>11</v>
      </c>
      <c r="N6050" t="s">
        <v>10</v>
      </c>
      <c r="O6050" t="s">
        <v>11</v>
      </c>
      <c r="P6050" t="s">
        <v>12</v>
      </c>
      <c r="Q6050" t="s">
        <v>13</v>
      </c>
      <c r="R6050" t="s">
        <v>13</v>
      </c>
      <c r="S6050" t="s">
        <v>144</v>
      </c>
      <c r="T6050" s="2">
        <f>MASTER[[#This Row],[CANTIDAD]]*MASTER[[#This Row],[PRECIO DE VENTA]]</f>
        <v>1311</v>
      </c>
      <c r="U6050" s="2">
        <f>MASTER[[#This Row],[CANTIDAD]]*MASTER[[#This Row],[COSTO UNITARIO]]</f>
        <v>393</v>
      </c>
      <c r="V6050" s="2">
        <f>MASTER[[#This Row],[MONTO VENDIDO]]-MASTER[[#This Row],[COSTO DE VENTA]]</f>
        <v>918</v>
      </c>
    </row>
    <row r="6051" spans="1:22" x14ac:dyDescent="0.3">
      <c r="A6051">
        <v>83997</v>
      </c>
      <c r="B6051">
        <v>1</v>
      </c>
      <c r="C6051" t="s">
        <v>114</v>
      </c>
      <c r="D6051" t="s">
        <v>115</v>
      </c>
      <c r="E6051" s="1">
        <v>44483</v>
      </c>
      <c r="F6051">
        <v>1</v>
      </c>
      <c r="G6051" t="s">
        <v>63</v>
      </c>
      <c r="H6051" t="s">
        <v>64</v>
      </c>
      <c r="I6051" s="3">
        <v>2030</v>
      </c>
      <c r="J6051" s="3">
        <v>2030</v>
      </c>
      <c r="K6051" s="3">
        <v>394</v>
      </c>
      <c r="L6051" t="s">
        <v>113</v>
      </c>
      <c r="M6051">
        <v>9</v>
      </c>
      <c r="N6051" t="s">
        <v>76</v>
      </c>
      <c r="O6051" t="s">
        <v>70</v>
      </c>
      <c r="P6051" t="s">
        <v>12</v>
      </c>
      <c r="Q6051" t="s">
        <v>13</v>
      </c>
      <c r="R6051" t="s">
        <v>13</v>
      </c>
      <c r="S6051" t="s">
        <v>144</v>
      </c>
      <c r="T6051" s="2">
        <f>MASTER[[#This Row],[CANTIDAD]]*MASTER[[#This Row],[PRECIO DE VENTA]]</f>
        <v>2030</v>
      </c>
      <c r="U6051" s="2">
        <f>MASTER[[#This Row],[CANTIDAD]]*MASTER[[#This Row],[COSTO UNITARIO]]</f>
        <v>394</v>
      </c>
      <c r="V6051" s="2">
        <f>MASTER[[#This Row],[MONTO VENDIDO]]-MASTER[[#This Row],[COSTO DE VENTA]]</f>
        <v>1636</v>
      </c>
    </row>
    <row r="6052" spans="1:22" x14ac:dyDescent="0.3">
      <c r="A6052">
        <v>84008</v>
      </c>
      <c r="B6052">
        <v>1</v>
      </c>
      <c r="C6052" t="s">
        <v>99</v>
      </c>
      <c r="D6052" t="s">
        <v>100</v>
      </c>
      <c r="E6052" s="1">
        <v>44483</v>
      </c>
      <c r="F6052">
        <v>1</v>
      </c>
      <c r="G6052" t="s">
        <v>22</v>
      </c>
      <c r="H6052" t="s">
        <v>23</v>
      </c>
      <c r="I6052" s="3">
        <v>1459</v>
      </c>
      <c r="J6052" s="3">
        <v>1459</v>
      </c>
      <c r="K6052" s="3">
        <v>386</v>
      </c>
      <c r="L6052" t="s">
        <v>98</v>
      </c>
      <c r="M6052">
        <v>14</v>
      </c>
      <c r="N6052" t="s">
        <v>87</v>
      </c>
      <c r="O6052" t="s">
        <v>81</v>
      </c>
      <c r="P6052" t="s">
        <v>18</v>
      </c>
      <c r="Q6052" t="s">
        <v>19</v>
      </c>
      <c r="R6052" t="s">
        <v>138</v>
      </c>
      <c r="S6052" t="s">
        <v>144</v>
      </c>
      <c r="T6052" s="2">
        <f>MASTER[[#This Row],[CANTIDAD]]*MASTER[[#This Row],[PRECIO DE VENTA]]</f>
        <v>1459</v>
      </c>
      <c r="U6052" s="2">
        <f>MASTER[[#This Row],[CANTIDAD]]*MASTER[[#This Row],[COSTO UNITARIO]]</f>
        <v>386</v>
      </c>
      <c r="V6052" s="2">
        <f>MASTER[[#This Row],[MONTO VENDIDO]]-MASTER[[#This Row],[COSTO DE VENTA]]</f>
        <v>1073</v>
      </c>
    </row>
    <row r="6053" spans="1:22" x14ac:dyDescent="0.3">
      <c r="A6053">
        <v>84015</v>
      </c>
      <c r="B6053">
        <v>1</v>
      </c>
      <c r="C6053" t="s">
        <v>107</v>
      </c>
      <c r="D6053" t="s">
        <v>108</v>
      </c>
      <c r="E6053" s="1">
        <v>44483</v>
      </c>
      <c r="F6053">
        <v>1</v>
      </c>
      <c r="G6053" t="s">
        <v>7</v>
      </c>
      <c r="H6053" t="s">
        <v>8</v>
      </c>
      <c r="I6053" s="3">
        <v>1333</v>
      </c>
      <c r="J6053" s="3">
        <v>1333</v>
      </c>
      <c r="K6053" s="3">
        <v>380</v>
      </c>
      <c r="L6053" t="s">
        <v>98</v>
      </c>
      <c r="M6053">
        <v>8</v>
      </c>
      <c r="N6053" t="s">
        <v>80</v>
      </c>
      <c r="O6053" t="s">
        <v>81</v>
      </c>
      <c r="P6053" t="s">
        <v>12</v>
      </c>
      <c r="Q6053" t="s">
        <v>13</v>
      </c>
      <c r="R6053" t="s">
        <v>13</v>
      </c>
      <c r="S6053" t="s">
        <v>144</v>
      </c>
      <c r="T6053" s="2">
        <f>MASTER[[#This Row],[CANTIDAD]]*MASTER[[#This Row],[PRECIO DE VENTA]]</f>
        <v>1333</v>
      </c>
      <c r="U6053" s="2">
        <f>MASTER[[#This Row],[CANTIDAD]]*MASTER[[#This Row],[COSTO UNITARIO]]</f>
        <v>380</v>
      </c>
      <c r="V6053" s="2">
        <f>MASTER[[#This Row],[MONTO VENDIDO]]-MASTER[[#This Row],[COSTO DE VENTA]]</f>
        <v>953</v>
      </c>
    </row>
    <row r="6054" spans="1:22" x14ac:dyDescent="0.3">
      <c r="A6054">
        <v>84019</v>
      </c>
      <c r="B6054">
        <v>1</v>
      </c>
      <c r="C6054" t="s">
        <v>107</v>
      </c>
      <c r="D6054" t="s">
        <v>108</v>
      </c>
      <c r="E6054" s="1">
        <v>44483</v>
      </c>
      <c r="F6054">
        <v>1</v>
      </c>
      <c r="G6054" t="s">
        <v>57</v>
      </c>
      <c r="H6054" t="s">
        <v>58</v>
      </c>
      <c r="I6054" s="3">
        <v>1333</v>
      </c>
      <c r="J6054" s="3">
        <v>1333</v>
      </c>
      <c r="K6054" s="3">
        <v>380</v>
      </c>
      <c r="L6054" t="s">
        <v>98</v>
      </c>
      <c r="M6054">
        <v>8</v>
      </c>
      <c r="N6054" t="s">
        <v>80</v>
      </c>
      <c r="O6054" t="s">
        <v>81</v>
      </c>
      <c r="P6054" t="s">
        <v>12</v>
      </c>
      <c r="Q6054" t="s">
        <v>13</v>
      </c>
      <c r="R6054" t="s">
        <v>13</v>
      </c>
      <c r="S6054" t="s">
        <v>144</v>
      </c>
      <c r="T6054" s="2">
        <f>MASTER[[#This Row],[CANTIDAD]]*MASTER[[#This Row],[PRECIO DE VENTA]]</f>
        <v>1333</v>
      </c>
      <c r="U6054" s="2">
        <f>MASTER[[#This Row],[CANTIDAD]]*MASTER[[#This Row],[COSTO UNITARIO]]</f>
        <v>380</v>
      </c>
      <c r="V6054" s="2">
        <f>MASTER[[#This Row],[MONTO VENDIDO]]-MASTER[[#This Row],[COSTO DE VENTA]]</f>
        <v>953</v>
      </c>
    </row>
    <row r="6055" spans="1:22" x14ac:dyDescent="0.3">
      <c r="A6055">
        <v>84033</v>
      </c>
      <c r="B6055">
        <v>1</v>
      </c>
      <c r="C6055" t="s">
        <v>90</v>
      </c>
      <c r="D6055" t="s">
        <v>91</v>
      </c>
      <c r="E6055" s="1">
        <v>44484</v>
      </c>
      <c r="F6055">
        <v>2</v>
      </c>
      <c r="G6055" t="s">
        <v>67</v>
      </c>
      <c r="H6055" t="s">
        <v>68</v>
      </c>
      <c r="I6055" s="3">
        <v>1844</v>
      </c>
      <c r="J6055" s="3">
        <v>1844</v>
      </c>
      <c r="K6055" s="3">
        <v>420</v>
      </c>
      <c r="L6055" t="s">
        <v>9</v>
      </c>
      <c r="M6055">
        <v>15</v>
      </c>
      <c r="N6055" t="s">
        <v>88</v>
      </c>
      <c r="O6055" t="s">
        <v>81</v>
      </c>
      <c r="P6055" t="s">
        <v>18</v>
      </c>
      <c r="Q6055" t="s">
        <v>19</v>
      </c>
      <c r="R6055" t="s">
        <v>138</v>
      </c>
      <c r="S6055" t="s">
        <v>144</v>
      </c>
      <c r="T6055" s="2">
        <f>MASTER[[#This Row],[CANTIDAD]]*MASTER[[#This Row],[PRECIO DE VENTA]]</f>
        <v>3688</v>
      </c>
      <c r="U6055" s="2">
        <f>MASTER[[#This Row],[CANTIDAD]]*MASTER[[#This Row],[COSTO UNITARIO]]</f>
        <v>840</v>
      </c>
      <c r="V6055" s="2">
        <f>MASTER[[#This Row],[MONTO VENDIDO]]-MASTER[[#This Row],[COSTO DE VENTA]]</f>
        <v>2848</v>
      </c>
    </row>
    <row r="6056" spans="1:22" x14ac:dyDescent="0.3">
      <c r="A6056">
        <v>84034</v>
      </c>
      <c r="B6056">
        <v>1</v>
      </c>
      <c r="C6056" t="s">
        <v>118</v>
      </c>
      <c r="D6056" t="s">
        <v>119</v>
      </c>
      <c r="E6056" s="1">
        <v>44484</v>
      </c>
      <c r="F6056">
        <v>1</v>
      </c>
      <c r="G6056" t="s">
        <v>47</v>
      </c>
      <c r="H6056" t="s">
        <v>48</v>
      </c>
      <c r="I6056" s="3">
        <v>900</v>
      </c>
      <c r="J6056" s="3">
        <v>900</v>
      </c>
      <c r="K6056" s="3">
        <v>424</v>
      </c>
      <c r="L6056" t="s">
        <v>120</v>
      </c>
      <c r="M6056">
        <v>19</v>
      </c>
      <c r="N6056" t="s">
        <v>89</v>
      </c>
      <c r="O6056" t="s">
        <v>81</v>
      </c>
      <c r="P6056" t="s">
        <v>15</v>
      </c>
      <c r="Q6056" t="s">
        <v>16</v>
      </c>
      <c r="R6056" t="s">
        <v>16</v>
      </c>
      <c r="S6056" t="s">
        <v>144</v>
      </c>
      <c r="T6056" s="2">
        <f>MASTER[[#This Row],[CANTIDAD]]*MASTER[[#This Row],[PRECIO DE VENTA]]</f>
        <v>900</v>
      </c>
      <c r="U6056" s="2">
        <f>MASTER[[#This Row],[CANTIDAD]]*MASTER[[#This Row],[COSTO UNITARIO]]</f>
        <v>424</v>
      </c>
      <c r="V6056" s="2">
        <f>MASTER[[#This Row],[MONTO VENDIDO]]-MASTER[[#This Row],[COSTO DE VENTA]]</f>
        <v>476</v>
      </c>
    </row>
    <row r="6057" spans="1:22" x14ac:dyDescent="0.3">
      <c r="A6057">
        <v>84051</v>
      </c>
      <c r="B6057">
        <v>1</v>
      </c>
      <c r="C6057" t="s">
        <v>105</v>
      </c>
      <c r="D6057" t="s">
        <v>106</v>
      </c>
      <c r="E6057" s="1">
        <v>44484</v>
      </c>
      <c r="F6057">
        <v>1</v>
      </c>
      <c r="G6057" t="s">
        <v>45</v>
      </c>
      <c r="H6057" t="s">
        <v>46</v>
      </c>
      <c r="I6057" s="3">
        <v>1585</v>
      </c>
      <c r="J6057" s="3">
        <v>1585</v>
      </c>
      <c r="K6057" s="3">
        <v>459</v>
      </c>
      <c r="L6057" t="s">
        <v>98</v>
      </c>
      <c r="M6057">
        <v>16</v>
      </c>
      <c r="N6057" t="s">
        <v>17</v>
      </c>
      <c r="O6057" t="s">
        <v>11</v>
      </c>
      <c r="P6057" t="s">
        <v>18</v>
      </c>
      <c r="Q6057" t="s">
        <v>19</v>
      </c>
      <c r="R6057" t="s">
        <v>138</v>
      </c>
      <c r="S6057" t="s">
        <v>144</v>
      </c>
      <c r="T6057" s="2">
        <f>MASTER[[#This Row],[CANTIDAD]]*MASTER[[#This Row],[PRECIO DE VENTA]]</f>
        <v>1585</v>
      </c>
      <c r="U6057" s="2">
        <f>MASTER[[#This Row],[CANTIDAD]]*MASTER[[#This Row],[COSTO UNITARIO]]</f>
        <v>459</v>
      </c>
      <c r="V6057" s="2">
        <f>MASTER[[#This Row],[MONTO VENDIDO]]-MASTER[[#This Row],[COSTO DE VENTA]]</f>
        <v>1126</v>
      </c>
    </row>
    <row r="6058" spans="1:22" x14ac:dyDescent="0.3">
      <c r="A6058">
        <v>84052</v>
      </c>
      <c r="B6058">
        <v>1</v>
      </c>
      <c r="C6058" t="s">
        <v>121</v>
      </c>
      <c r="D6058" t="s">
        <v>122</v>
      </c>
      <c r="E6058" s="1">
        <v>44484</v>
      </c>
      <c r="F6058">
        <v>1</v>
      </c>
      <c r="G6058" t="s">
        <v>73</v>
      </c>
      <c r="H6058" t="s">
        <v>74</v>
      </c>
      <c r="I6058" s="3">
        <v>941</v>
      </c>
      <c r="J6058" s="3">
        <v>941</v>
      </c>
      <c r="K6058" s="3">
        <v>460</v>
      </c>
      <c r="L6058" t="s">
        <v>120</v>
      </c>
      <c r="M6058">
        <v>17</v>
      </c>
      <c r="N6058" t="s">
        <v>14</v>
      </c>
      <c r="O6058" t="s">
        <v>11</v>
      </c>
      <c r="P6058" t="s">
        <v>15</v>
      </c>
      <c r="Q6058" t="s">
        <v>16</v>
      </c>
      <c r="R6058" t="s">
        <v>16</v>
      </c>
      <c r="S6058" t="s">
        <v>144</v>
      </c>
      <c r="T6058" s="2">
        <f>MASTER[[#This Row],[CANTIDAD]]*MASTER[[#This Row],[PRECIO DE VENTA]]</f>
        <v>941</v>
      </c>
      <c r="U6058" s="2">
        <f>MASTER[[#This Row],[CANTIDAD]]*MASTER[[#This Row],[COSTO UNITARIO]]</f>
        <v>460</v>
      </c>
      <c r="V6058" s="2">
        <f>MASTER[[#This Row],[MONTO VENDIDO]]-MASTER[[#This Row],[COSTO DE VENTA]]</f>
        <v>481</v>
      </c>
    </row>
    <row r="6059" spans="1:22" x14ac:dyDescent="0.3">
      <c r="A6059">
        <v>84077</v>
      </c>
      <c r="B6059">
        <v>1</v>
      </c>
      <c r="C6059" t="s">
        <v>101</v>
      </c>
      <c r="D6059" t="s">
        <v>102</v>
      </c>
      <c r="E6059" s="1">
        <v>44484</v>
      </c>
      <c r="F6059">
        <v>1</v>
      </c>
      <c r="G6059" t="s">
        <v>67</v>
      </c>
      <c r="H6059" t="s">
        <v>68</v>
      </c>
      <c r="I6059" s="3">
        <v>1054</v>
      </c>
      <c r="J6059" s="3">
        <v>1054</v>
      </c>
      <c r="K6059" s="3">
        <v>442</v>
      </c>
      <c r="L6059" t="s">
        <v>98</v>
      </c>
      <c r="M6059">
        <v>12</v>
      </c>
      <c r="N6059" t="s">
        <v>26</v>
      </c>
      <c r="O6059" t="s">
        <v>11</v>
      </c>
      <c r="P6059" t="s">
        <v>12</v>
      </c>
      <c r="Q6059" t="s">
        <v>13</v>
      </c>
      <c r="R6059" t="s">
        <v>13</v>
      </c>
      <c r="S6059" t="s">
        <v>144</v>
      </c>
      <c r="T6059" s="2">
        <f>MASTER[[#This Row],[CANTIDAD]]*MASTER[[#This Row],[PRECIO DE VENTA]]</f>
        <v>1054</v>
      </c>
      <c r="U6059" s="2">
        <f>MASTER[[#This Row],[CANTIDAD]]*MASTER[[#This Row],[COSTO UNITARIO]]</f>
        <v>442</v>
      </c>
      <c r="V6059" s="2">
        <f>MASTER[[#This Row],[MONTO VENDIDO]]-MASTER[[#This Row],[COSTO DE VENTA]]</f>
        <v>612</v>
      </c>
    </row>
    <row r="6060" spans="1:22" x14ac:dyDescent="0.3">
      <c r="A6060">
        <v>84085</v>
      </c>
      <c r="B6060">
        <v>1</v>
      </c>
      <c r="C6060" t="s">
        <v>107</v>
      </c>
      <c r="D6060" t="s">
        <v>108</v>
      </c>
      <c r="E6060" s="1">
        <v>44484</v>
      </c>
      <c r="F6060">
        <v>1</v>
      </c>
      <c r="G6060" t="s">
        <v>22</v>
      </c>
      <c r="H6060" t="s">
        <v>23</v>
      </c>
      <c r="I6060" s="3">
        <v>1333</v>
      </c>
      <c r="J6060" s="3">
        <v>1333</v>
      </c>
      <c r="K6060" s="3">
        <v>380</v>
      </c>
      <c r="L6060" t="s">
        <v>98</v>
      </c>
      <c r="M6060">
        <v>4</v>
      </c>
      <c r="N6060" t="s">
        <v>82</v>
      </c>
      <c r="O6060" t="s">
        <v>81</v>
      </c>
      <c r="P6060" t="s">
        <v>71</v>
      </c>
      <c r="Q6060" t="s">
        <v>72</v>
      </c>
      <c r="R6060" t="s">
        <v>139</v>
      </c>
      <c r="S6060" t="s">
        <v>144</v>
      </c>
      <c r="T6060" s="2">
        <f>MASTER[[#This Row],[CANTIDAD]]*MASTER[[#This Row],[PRECIO DE VENTA]]</f>
        <v>1333</v>
      </c>
      <c r="U6060" s="2">
        <f>MASTER[[#This Row],[CANTIDAD]]*MASTER[[#This Row],[COSTO UNITARIO]]</f>
        <v>380</v>
      </c>
      <c r="V6060" s="2">
        <f>MASTER[[#This Row],[MONTO VENDIDO]]-MASTER[[#This Row],[COSTO DE VENTA]]</f>
        <v>953</v>
      </c>
    </row>
    <row r="6061" spans="1:22" x14ac:dyDescent="0.3">
      <c r="A6061">
        <v>84086</v>
      </c>
      <c r="B6061">
        <v>1</v>
      </c>
      <c r="C6061" t="s">
        <v>5</v>
      </c>
      <c r="D6061" t="s">
        <v>6</v>
      </c>
      <c r="E6061" s="1">
        <v>44484</v>
      </c>
      <c r="F6061">
        <v>4</v>
      </c>
      <c r="G6061" t="s">
        <v>45</v>
      </c>
      <c r="H6061" t="s">
        <v>46</v>
      </c>
      <c r="I6061" s="3">
        <v>1296</v>
      </c>
      <c r="J6061" s="3">
        <v>1296</v>
      </c>
      <c r="K6061" s="3">
        <v>393</v>
      </c>
      <c r="L6061" t="s">
        <v>9</v>
      </c>
      <c r="M6061">
        <v>18</v>
      </c>
      <c r="N6061" t="s">
        <v>79</v>
      </c>
      <c r="O6061" t="s">
        <v>70</v>
      </c>
      <c r="P6061" t="s">
        <v>15</v>
      </c>
      <c r="Q6061" t="s">
        <v>16</v>
      </c>
      <c r="R6061" t="s">
        <v>16</v>
      </c>
      <c r="S6061" t="s">
        <v>144</v>
      </c>
      <c r="T6061" s="2">
        <f>MASTER[[#This Row],[CANTIDAD]]*MASTER[[#This Row],[PRECIO DE VENTA]]</f>
        <v>5184</v>
      </c>
      <c r="U6061" s="2">
        <f>MASTER[[#This Row],[CANTIDAD]]*MASTER[[#This Row],[COSTO UNITARIO]]</f>
        <v>1572</v>
      </c>
      <c r="V6061" s="2">
        <f>MASTER[[#This Row],[MONTO VENDIDO]]-MASTER[[#This Row],[COSTO DE VENTA]]</f>
        <v>3612</v>
      </c>
    </row>
    <row r="6062" spans="1:22" x14ac:dyDescent="0.3">
      <c r="A6062">
        <v>84094</v>
      </c>
      <c r="B6062">
        <v>1</v>
      </c>
      <c r="C6062" t="s">
        <v>103</v>
      </c>
      <c r="D6062" t="s">
        <v>104</v>
      </c>
      <c r="E6062" s="1">
        <v>44484</v>
      </c>
      <c r="F6062">
        <v>1</v>
      </c>
      <c r="G6062" t="s">
        <v>57</v>
      </c>
      <c r="H6062" t="s">
        <v>58</v>
      </c>
      <c r="I6062" s="3">
        <v>1591</v>
      </c>
      <c r="J6062" s="3">
        <v>1591</v>
      </c>
      <c r="K6062" s="3">
        <v>421</v>
      </c>
      <c r="L6062" t="s">
        <v>98</v>
      </c>
      <c r="M6062">
        <v>4</v>
      </c>
      <c r="N6062" t="s">
        <v>82</v>
      </c>
      <c r="O6062" t="s">
        <v>81</v>
      </c>
      <c r="P6062" t="s">
        <v>71</v>
      </c>
      <c r="Q6062" t="s">
        <v>72</v>
      </c>
      <c r="R6062" t="s">
        <v>139</v>
      </c>
      <c r="S6062" t="s">
        <v>144</v>
      </c>
      <c r="T6062" s="2">
        <f>MASTER[[#This Row],[CANTIDAD]]*MASTER[[#This Row],[PRECIO DE VENTA]]</f>
        <v>1591</v>
      </c>
      <c r="U6062" s="2">
        <f>MASTER[[#This Row],[CANTIDAD]]*MASTER[[#This Row],[COSTO UNITARIO]]</f>
        <v>421</v>
      </c>
      <c r="V6062" s="2">
        <f>MASTER[[#This Row],[MONTO VENDIDO]]-MASTER[[#This Row],[COSTO DE VENTA]]</f>
        <v>1170</v>
      </c>
    </row>
    <row r="6063" spans="1:22" x14ac:dyDescent="0.3">
      <c r="A6063">
        <v>84103</v>
      </c>
      <c r="B6063">
        <v>1</v>
      </c>
      <c r="C6063" t="s">
        <v>107</v>
      </c>
      <c r="D6063" t="s">
        <v>108</v>
      </c>
      <c r="E6063" s="1">
        <v>44484</v>
      </c>
      <c r="F6063">
        <v>1</v>
      </c>
      <c r="G6063" t="s">
        <v>73</v>
      </c>
      <c r="H6063" t="s">
        <v>74</v>
      </c>
      <c r="I6063" s="3">
        <v>1240</v>
      </c>
      <c r="J6063" s="3">
        <v>1116</v>
      </c>
      <c r="K6063" s="3">
        <v>380</v>
      </c>
      <c r="L6063" t="s">
        <v>98</v>
      </c>
      <c r="M6063">
        <v>12</v>
      </c>
      <c r="N6063" t="s">
        <v>26</v>
      </c>
      <c r="O6063" t="s">
        <v>11</v>
      </c>
      <c r="P6063" t="s">
        <v>12</v>
      </c>
      <c r="Q6063" t="s">
        <v>13</v>
      </c>
      <c r="R6063" t="s">
        <v>13</v>
      </c>
      <c r="S6063" t="s">
        <v>144</v>
      </c>
      <c r="T6063" s="2">
        <f>MASTER[[#This Row],[CANTIDAD]]*MASTER[[#This Row],[PRECIO DE VENTA]]</f>
        <v>1116</v>
      </c>
      <c r="U6063" s="2">
        <f>MASTER[[#This Row],[CANTIDAD]]*MASTER[[#This Row],[COSTO UNITARIO]]</f>
        <v>380</v>
      </c>
      <c r="V6063" s="2">
        <f>MASTER[[#This Row],[MONTO VENDIDO]]-MASTER[[#This Row],[COSTO DE VENTA]]</f>
        <v>736</v>
      </c>
    </row>
    <row r="6064" spans="1:22" x14ac:dyDescent="0.3">
      <c r="A6064">
        <v>84114</v>
      </c>
      <c r="B6064">
        <v>1</v>
      </c>
      <c r="C6064" t="s">
        <v>96</v>
      </c>
      <c r="D6064" t="s">
        <v>97</v>
      </c>
      <c r="E6064" s="1">
        <v>44485</v>
      </c>
      <c r="F6064">
        <v>1</v>
      </c>
      <c r="G6064" t="s">
        <v>29</v>
      </c>
      <c r="H6064" t="s">
        <v>30</v>
      </c>
      <c r="I6064" s="3">
        <v>1272</v>
      </c>
      <c r="J6064" s="3">
        <v>1170</v>
      </c>
      <c r="K6064" s="3">
        <v>397</v>
      </c>
      <c r="L6064" t="s">
        <v>98</v>
      </c>
      <c r="M6064">
        <v>14</v>
      </c>
      <c r="N6064" t="s">
        <v>87</v>
      </c>
      <c r="O6064" t="s">
        <v>81</v>
      </c>
      <c r="P6064" t="s">
        <v>18</v>
      </c>
      <c r="Q6064" t="s">
        <v>19</v>
      </c>
      <c r="R6064" t="s">
        <v>138</v>
      </c>
      <c r="S6064" t="s">
        <v>144</v>
      </c>
      <c r="T6064" s="2">
        <f>MASTER[[#This Row],[CANTIDAD]]*MASTER[[#This Row],[PRECIO DE VENTA]]</f>
        <v>1170</v>
      </c>
      <c r="U6064" s="2">
        <f>MASTER[[#This Row],[CANTIDAD]]*MASTER[[#This Row],[COSTO UNITARIO]]</f>
        <v>397</v>
      </c>
      <c r="V6064" s="2">
        <f>MASTER[[#This Row],[MONTO VENDIDO]]-MASTER[[#This Row],[COSTO DE VENTA]]</f>
        <v>773</v>
      </c>
    </row>
    <row r="6065" spans="1:22" x14ac:dyDescent="0.3">
      <c r="A6065">
        <v>84125</v>
      </c>
      <c r="B6065">
        <v>1</v>
      </c>
      <c r="C6065" t="s">
        <v>121</v>
      </c>
      <c r="D6065" t="s">
        <v>122</v>
      </c>
      <c r="E6065" s="1">
        <v>44485</v>
      </c>
      <c r="F6065">
        <v>1</v>
      </c>
      <c r="G6065" t="s">
        <v>37</v>
      </c>
      <c r="H6065" t="s">
        <v>38</v>
      </c>
      <c r="I6065" s="3">
        <v>1069</v>
      </c>
      <c r="J6065" s="3">
        <v>1069</v>
      </c>
      <c r="K6065" s="3">
        <v>460</v>
      </c>
      <c r="L6065" t="s">
        <v>120</v>
      </c>
      <c r="M6065">
        <v>14</v>
      </c>
      <c r="N6065" t="s">
        <v>87</v>
      </c>
      <c r="O6065" t="s">
        <v>81</v>
      </c>
      <c r="P6065" t="s">
        <v>18</v>
      </c>
      <c r="Q6065" t="s">
        <v>19</v>
      </c>
      <c r="R6065" t="s">
        <v>138</v>
      </c>
      <c r="S6065" t="s">
        <v>144</v>
      </c>
      <c r="T6065" s="2">
        <f>MASTER[[#This Row],[CANTIDAD]]*MASTER[[#This Row],[PRECIO DE VENTA]]</f>
        <v>1069</v>
      </c>
      <c r="U6065" s="2">
        <f>MASTER[[#This Row],[CANTIDAD]]*MASTER[[#This Row],[COSTO UNITARIO]]</f>
        <v>460</v>
      </c>
      <c r="V6065" s="2">
        <f>MASTER[[#This Row],[MONTO VENDIDO]]-MASTER[[#This Row],[COSTO DE VENTA]]</f>
        <v>609</v>
      </c>
    </row>
    <row r="6066" spans="1:22" x14ac:dyDescent="0.3">
      <c r="A6066">
        <v>84127</v>
      </c>
      <c r="B6066">
        <v>1</v>
      </c>
      <c r="C6066" t="s">
        <v>94</v>
      </c>
      <c r="D6066" t="s">
        <v>95</v>
      </c>
      <c r="E6066" s="1">
        <v>44485</v>
      </c>
      <c r="F6066">
        <v>1</v>
      </c>
      <c r="G6066" t="s">
        <v>47</v>
      </c>
      <c r="H6066" t="s">
        <v>48</v>
      </c>
      <c r="I6066" s="3">
        <v>1048</v>
      </c>
      <c r="J6066" s="3">
        <v>1048</v>
      </c>
      <c r="K6066" s="3">
        <v>392</v>
      </c>
      <c r="L6066" t="s">
        <v>9</v>
      </c>
      <c r="M6066">
        <v>8</v>
      </c>
      <c r="N6066" t="s">
        <v>80</v>
      </c>
      <c r="O6066" t="s">
        <v>81</v>
      </c>
      <c r="P6066" t="s">
        <v>12</v>
      </c>
      <c r="Q6066" t="s">
        <v>13</v>
      </c>
      <c r="R6066" t="s">
        <v>13</v>
      </c>
      <c r="S6066" t="s">
        <v>144</v>
      </c>
      <c r="T6066" s="2">
        <f>MASTER[[#This Row],[CANTIDAD]]*MASTER[[#This Row],[PRECIO DE VENTA]]</f>
        <v>1048</v>
      </c>
      <c r="U6066" s="2">
        <f>MASTER[[#This Row],[CANTIDAD]]*MASTER[[#This Row],[COSTO UNITARIO]]</f>
        <v>392</v>
      </c>
      <c r="V6066" s="2">
        <f>MASTER[[#This Row],[MONTO VENDIDO]]-MASTER[[#This Row],[COSTO DE VENTA]]</f>
        <v>656</v>
      </c>
    </row>
    <row r="6067" spans="1:22" x14ac:dyDescent="0.3">
      <c r="A6067">
        <v>84135</v>
      </c>
      <c r="B6067">
        <v>1</v>
      </c>
      <c r="C6067" t="s">
        <v>96</v>
      </c>
      <c r="D6067" t="s">
        <v>97</v>
      </c>
      <c r="E6067" s="1">
        <v>44485</v>
      </c>
      <c r="F6067">
        <v>1</v>
      </c>
      <c r="G6067" t="s">
        <v>22</v>
      </c>
      <c r="H6067" t="s">
        <v>23</v>
      </c>
      <c r="I6067" s="3">
        <v>1361</v>
      </c>
      <c r="J6067" s="3">
        <v>1361</v>
      </c>
      <c r="K6067" s="3">
        <v>397</v>
      </c>
      <c r="L6067" t="s">
        <v>98</v>
      </c>
      <c r="M6067">
        <v>9</v>
      </c>
      <c r="N6067" t="s">
        <v>76</v>
      </c>
      <c r="O6067" t="s">
        <v>70</v>
      </c>
      <c r="P6067" t="s">
        <v>12</v>
      </c>
      <c r="Q6067" t="s">
        <v>13</v>
      </c>
      <c r="R6067" t="s">
        <v>13</v>
      </c>
      <c r="S6067" t="s">
        <v>144</v>
      </c>
      <c r="T6067" s="2">
        <f>MASTER[[#This Row],[CANTIDAD]]*MASTER[[#This Row],[PRECIO DE VENTA]]</f>
        <v>1361</v>
      </c>
      <c r="U6067" s="2">
        <f>MASTER[[#This Row],[CANTIDAD]]*MASTER[[#This Row],[COSTO UNITARIO]]</f>
        <v>397</v>
      </c>
      <c r="V6067" s="2">
        <f>MASTER[[#This Row],[MONTO VENDIDO]]-MASTER[[#This Row],[COSTO DE VENTA]]</f>
        <v>964</v>
      </c>
    </row>
    <row r="6068" spans="1:22" x14ac:dyDescent="0.3">
      <c r="A6068">
        <v>84147</v>
      </c>
      <c r="B6068">
        <v>1</v>
      </c>
      <c r="C6068" t="s">
        <v>90</v>
      </c>
      <c r="D6068" t="s">
        <v>91</v>
      </c>
      <c r="E6068" s="1">
        <v>44485</v>
      </c>
      <c r="F6068">
        <v>1</v>
      </c>
      <c r="G6068" t="s">
        <v>51</v>
      </c>
      <c r="H6068" t="s">
        <v>52</v>
      </c>
      <c r="I6068" s="3">
        <v>2102</v>
      </c>
      <c r="J6068" s="3">
        <v>2102</v>
      </c>
      <c r="K6068" s="3">
        <v>420</v>
      </c>
      <c r="L6068" t="s">
        <v>9</v>
      </c>
      <c r="M6068">
        <v>9</v>
      </c>
      <c r="N6068" t="s">
        <v>76</v>
      </c>
      <c r="O6068" t="s">
        <v>70</v>
      </c>
      <c r="P6068" t="s">
        <v>12</v>
      </c>
      <c r="Q6068" t="s">
        <v>13</v>
      </c>
      <c r="R6068" t="s">
        <v>13</v>
      </c>
      <c r="S6068" t="s">
        <v>144</v>
      </c>
      <c r="T6068" s="2">
        <f>MASTER[[#This Row],[CANTIDAD]]*MASTER[[#This Row],[PRECIO DE VENTA]]</f>
        <v>2102</v>
      </c>
      <c r="U6068" s="2">
        <f>MASTER[[#This Row],[CANTIDAD]]*MASTER[[#This Row],[COSTO UNITARIO]]</f>
        <v>420</v>
      </c>
      <c r="V6068" s="2">
        <f>MASTER[[#This Row],[MONTO VENDIDO]]-MASTER[[#This Row],[COSTO DE VENTA]]</f>
        <v>1682</v>
      </c>
    </row>
    <row r="6069" spans="1:22" x14ac:dyDescent="0.3">
      <c r="A6069">
        <v>84171</v>
      </c>
      <c r="B6069">
        <v>1</v>
      </c>
      <c r="C6069" t="s">
        <v>101</v>
      </c>
      <c r="D6069" t="s">
        <v>102</v>
      </c>
      <c r="E6069" s="1">
        <v>44485</v>
      </c>
      <c r="F6069">
        <v>1</v>
      </c>
      <c r="G6069" t="s">
        <v>20</v>
      </c>
      <c r="H6069" t="s">
        <v>21</v>
      </c>
      <c r="I6069" s="3">
        <v>1212</v>
      </c>
      <c r="J6069" s="3">
        <v>1212</v>
      </c>
      <c r="K6069" s="3">
        <v>442</v>
      </c>
      <c r="L6069" t="s">
        <v>98</v>
      </c>
      <c r="M6069">
        <v>2</v>
      </c>
      <c r="N6069" t="s">
        <v>86</v>
      </c>
      <c r="O6069" t="s">
        <v>81</v>
      </c>
      <c r="P6069" t="s">
        <v>71</v>
      </c>
      <c r="Q6069" t="s">
        <v>72</v>
      </c>
      <c r="R6069" t="s">
        <v>139</v>
      </c>
      <c r="S6069" t="s">
        <v>144</v>
      </c>
      <c r="T6069" s="2">
        <f>MASTER[[#This Row],[CANTIDAD]]*MASTER[[#This Row],[PRECIO DE VENTA]]</f>
        <v>1212</v>
      </c>
      <c r="U6069" s="2">
        <f>MASTER[[#This Row],[CANTIDAD]]*MASTER[[#This Row],[COSTO UNITARIO]]</f>
        <v>442</v>
      </c>
      <c r="V6069" s="2">
        <f>MASTER[[#This Row],[MONTO VENDIDO]]-MASTER[[#This Row],[COSTO DE VENTA]]</f>
        <v>770</v>
      </c>
    </row>
    <row r="6070" spans="1:22" x14ac:dyDescent="0.3">
      <c r="A6070">
        <v>84180</v>
      </c>
      <c r="B6070">
        <v>1</v>
      </c>
      <c r="C6070" t="s">
        <v>121</v>
      </c>
      <c r="D6070" t="s">
        <v>122</v>
      </c>
      <c r="E6070" s="1">
        <v>44485</v>
      </c>
      <c r="F6070">
        <v>4</v>
      </c>
      <c r="G6070" t="s">
        <v>29</v>
      </c>
      <c r="H6070" t="s">
        <v>30</v>
      </c>
      <c r="I6070" s="3">
        <v>941</v>
      </c>
      <c r="J6070" s="3">
        <v>941</v>
      </c>
      <c r="K6070" s="3">
        <v>460</v>
      </c>
      <c r="L6070" t="s">
        <v>120</v>
      </c>
      <c r="M6070">
        <v>12</v>
      </c>
      <c r="N6070" t="s">
        <v>26</v>
      </c>
      <c r="O6070" t="s">
        <v>11</v>
      </c>
      <c r="P6070" t="s">
        <v>12</v>
      </c>
      <c r="Q6070" t="s">
        <v>13</v>
      </c>
      <c r="R6070" t="s">
        <v>13</v>
      </c>
      <c r="S6070" t="s">
        <v>144</v>
      </c>
      <c r="T6070" s="2">
        <f>MASTER[[#This Row],[CANTIDAD]]*MASTER[[#This Row],[PRECIO DE VENTA]]</f>
        <v>3764</v>
      </c>
      <c r="U6070" s="2">
        <f>MASTER[[#This Row],[CANTIDAD]]*MASTER[[#This Row],[COSTO UNITARIO]]</f>
        <v>1840</v>
      </c>
      <c r="V6070" s="2">
        <f>MASTER[[#This Row],[MONTO VENDIDO]]-MASTER[[#This Row],[COSTO DE VENTA]]</f>
        <v>1924</v>
      </c>
    </row>
    <row r="6071" spans="1:22" x14ac:dyDescent="0.3">
      <c r="A6071">
        <v>84183</v>
      </c>
      <c r="B6071">
        <v>1</v>
      </c>
      <c r="C6071" t="s">
        <v>105</v>
      </c>
      <c r="D6071" t="s">
        <v>106</v>
      </c>
      <c r="E6071" s="1">
        <v>44485</v>
      </c>
      <c r="F6071">
        <v>1</v>
      </c>
      <c r="G6071" t="s">
        <v>57</v>
      </c>
      <c r="H6071" t="s">
        <v>58</v>
      </c>
      <c r="I6071" s="3">
        <v>2033</v>
      </c>
      <c r="J6071" s="3">
        <v>2033</v>
      </c>
      <c r="K6071" s="3">
        <v>459</v>
      </c>
      <c r="L6071" t="s">
        <v>98</v>
      </c>
      <c r="M6071">
        <v>9</v>
      </c>
      <c r="N6071" t="s">
        <v>76</v>
      </c>
      <c r="O6071" t="s">
        <v>70</v>
      </c>
      <c r="P6071" t="s">
        <v>12</v>
      </c>
      <c r="Q6071" t="s">
        <v>13</v>
      </c>
      <c r="R6071" t="s">
        <v>13</v>
      </c>
      <c r="S6071" t="s">
        <v>144</v>
      </c>
      <c r="T6071" s="2">
        <f>MASTER[[#This Row],[CANTIDAD]]*MASTER[[#This Row],[PRECIO DE VENTA]]</f>
        <v>2033</v>
      </c>
      <c r="U6071" s="2">
        <f>MASTER[[#This Row],[CANTIDAD]]*MASTER[[#This Row],[COSTO UNITARIO]]</f>
        <v>459</v>
      </c>
      <c r="V6071" s="2">
        <f>MASTER[[#This Row],[MONTO VENDIDO]]-MASTER[[#This Row],[COSTO DE VENTA]]</f>
        <v>1574</v>
      </c>
    </row>
    <row r="6072" spans="1:22" x14ac:dyDescent="0.3">
      <c r="A6072">
        <v>84186</v>
      </c>
      <c r="B6072">
        <v>1</v>
      </c>
      <c r="C6072" t="s">
        <v>121</v>
      </c>
      <c r="D6072" t="s">
        <v>122</v>
      </c>
      <c r="E6072" s="1">
        <v>44485</v>
      </c>
      <c r="F6072">
        <v>1</v>
      </c>
      <c r="G6072" t="s">
        <v>61</v>
      </c>
      <c r="H6072" t="s">
        <v>62</v>
      </c>
      <c r="I6072" s="3">
        <v>1144</v>
      </c>
      <c r="J6072" s="3">
        <v>1144</v>
      </c>
      <c r="K6072" s="3">
        <v>460</v>
      </c>
      <c r="L6072" t="s">
        <v>120</v>
      </c>
      <c r="M6072">
        <v>1</v>
      </c>
      <c r="N6072" t="s">
        <v>77</v>
      </c>
      <c r="O6072" t="s">
        <v>70</v>
      </c>
      <c r="P6072" t="s">
        <v>71</v>
      </c>
      <c r="Q6072" t="s">
        <v>72</v>
      </c>
      <c r="R6072" t="s">
        <v>139</v>
      </c>
      <c r="S6072" t="s">
        <v>144</v>
      </c>
      <c r="T6072" s="2">
        <f>MASTER[[#This Row],[CANTIDAD]]*MASTER[[#This Row],[PRECIO DE VENTA]]</f>
        <v>1144</v>
      </c>
      <c r="U6072" s="2">
        <f>MASTER[[#This Row],[CANTIDAD]]*MASTER[[#This Row],[COSTO UNITARIO]]</f>
        <v>460</v>
      </c>
      <c r="V6072" s="2">
        <f>MASTER[[#This Row],[MONTO VENDIDO]]-MASTER[[#This Row],[COSTO DE VENTA]]</f>
        <v>684</v>
      </c>
    </row>
    <row r="6073" spans="1:22" x14ac:dyDescent="0.3">
      <c r="A6073">
        <v>84190</v>
      </c>
      <c r="B6073">
        <v>1</v>
      </c>
      <c r="C6073" t="s">
        <v>121</v>
      </c>
      <c r="D6073" t="s">
        <v>122</v>
      </c>
      <c r="E6073" s="1">
        <v>44485</v>
      </c>
      <c r="F6073">
        <v>1</v>
      </c>
      <c r="G6073" t="s">
        <v>61</v>
      </c>
      <c r="H6073" t="s">
        <v>62</v>
      </c>
      <c r="I6073" s="3">
        <v>1144</v>
      </c>
      <c r="J6073" s="3">
        <v>1144</v>
      </c>
      <c r="K6073" s="3">
        <v>460</v>
      </c>
      <c r="L6073" t="s">
        <v>120</v>
      </c>
      <c r="M6073">
        <v>1</v>
      </c>
      <c r="N6073" t="s">
        <v>77</v>
      </c>
      <c r="O6073" t="s">
        <v>70</v>
      </c>
      <c r="P6073" t="s">
        <v>71</v>
      </c>
      <c r="Q6073" t="s">
        <v>72</v>
      </c>
      <c r="R6073" t="s">
        <v>139</v>
      </c>
      <c r="S6073" t="s">
        <v>144</v>
      </c>
      <c r="T6073" s="2">
        <f>MASTER[[#This Row],[CANTIDAD]]*MASTER[[#This Row],[PRECIO DE VENTA]]</f>
        <v>1144</v>
      </c>
      <c r="U6073" s="2">
        <f>MASTER[[#This Row],[CANTIDAD]]*MASTER[[#This Row],[COSTO UNITARIO]]</f>
        <v>460</v>
      </c>
      <c r="V6073" s="2">
        <f>MASTER[[#This Row],[MONTO VENDIDO]]-MASTER[[#This Row],[COSTO DE VENTA]]</f>
        <v>684</v>
      </c>
    </row>
    <row r="6074" spans="1:22" x14ac:dyDescent="0.3">
      <c r="A6074">
        <v>84204</v>
      </c>
      <c r="B6074">
        <v>1</v>
      </c>
      <c r="C6074" t="s">
        <v>92</v>
      </c>
      <c r="D6074" t="s">
        <v>93</v>
      </c>
      <c r="E6074" s="1">
        <v>44485</v>
      </c>
      <c r="F6074">
        <v>1</v>
      </c>
      <c r="G6074" t="s">
        <v>55</v>
      </c>
      <c r="H6074" t="s">
        <v>56</v>
      </c>
      <c r="I6074" s="3">
        <v>1681</v>
      </c>
      <c r="J6074" s="3">
        <v>1681</v>
      </c>
      <c r="K6074" s="3">
        <v>396</v>
      </c>
      <c r="L6074" t="s">
        <v>9</v>
      </c>
      <c r="M6074">
        <v>5</v>
      </c>
      <c r="N6074" t="s">
        <v>85</v>
      </c>
      <c r="O6074" t="s">
        <v>81</v>
      </c>
      <c r="P6074" t="s">
        <v>12</v>
      </c>
      <c r="Q6074" t="s">
        <v>13</v>
      </c>
      <c r="R6074" t="s">
        <v>13</v>
      </c>
      <c r="S6074" t="s">
        <v>144</v>
      </c>
      <c r="T6074" s="2">
        <f>MASTER[[#This Row],[CANTIDAD]]*MASTER[[#This Row],[PRECIO DE VENTA]]</f>
        <v>1681</v>
      </c>
      <c r="U6074" s="2">
        <f>MASTER[[#This Row],[CANTIDAD]]*MASTER[[#This Row],[COSTO UNITARIO]]</f>
        <v>396</v>
      </c>
      <c r="V6074" s="2">
        <f>MASTER[[#This Row],[MONTO VENDIDO]]-MASTER[[#This Row],[COSTO DE VENTA]]</f>
        <v>1285</v>
      </c>
    </row>
    <row r="6075" spans="1:22" x14ac:dyDescent="0.3">
      <c r="A6075">
        <v>84210</v>
      </c>
      <c r="B6075">
        <v>1</v>
      </c>
      <c r="C6075" t="s">
        <v>5</v>
      </c>
      <c r="D6075" t="s">
        <v>6</v>
      </c>
      <c r="E6075" s="1">
        <v>44486</v>
      </c>
      <c r="F6075">
        <v>2</v>
      </c>
      <c r="G6075" t="s">
        <v>49</v>
      </c>
      <c r="H6075" t="s">
        <v>50</v>
      </c>
      <c r="I6075" s="3">
        <v>1507</v>
      </c>
      <c r="J6075" s="3">
        <v>1507</v>
      </c>
      <c r="K6075" s="3">
        <v>393</v>
      </c>
      <c r="L6075" t="s">
        <v>9</v>
      </c>
      <c r="M6075">
        <v>15</v>
      </c>
      <c r="N6075" t="s">
        <v>88</v>
      </c>
      <c r="O6075" t="s">
        <v>81</v>
      </c>
      <c r="P6075" t="s">
        <v>18</v>
      </c>
      <c r="Q6075" t="s">
        <v>19</v>
      </c>
      <c r="R6075" t="s">
        <v>138</v>
      </c>
      <c r="S6075" t="s">
        <v>144</v>
      </c>
      <c r="T6075" s="2">
        <f>MASTER[[#This Row],[CANTIDAD]]*MASTER[[#This Row],[PRECIO DE VENTA]]</f>
        <v>3014</v>
      </c>
      <c r="U6075" s="2">
        <f>MASTER[[#This Row],[CANTIDAD]]*MASTER[[#This Row],[COSTO UNITARIO]]</f>
        <v>786</v>
      </c>
      <c r="V6075" s="2">
        <f>MASTER[[#This Row],[MONTO VENDIDO]]-MASTER[[#This Row],[COSTO DE VENTA]]</f>
        <v>2228</v>
      </c>
    </row>
    <row r="6076" spans="1:22" x14ac:dyDescent="0.3">
      <c r="A6076">
        <v>84210</v>
      </c>
      <c r="B6076">
        <v>2</v>
      </c>
      <c r="C6076" t="s">
        <v>90</v>
      </c>
      <c r="D6076" t="s">
        <v>91</v>
      </c>
      <c r="E6076" s="1">
        <v>44486</v>
      </c>
      <c r="F6076">
        <v>1</v>
      </c>
      <c r="G6076" t="s">
        <v>65</v>
      </c>
      <c r="H6076" t="s">
        <v>66</v>
      </c>
      <c r="I6076" s="3">
        <v>1844</v>
      </c>
      <c r="J6076" s="3">
        <v>1844</v>
      </c>
      <c r="K6076" s="3">
        <v>420</v>
      </c>
      <c r="L6076" t="s">
        <v>9</v>
      </c>
      <c r="M6076">
        <v>15</v>
      </c>
      <c r="N6076" t="s">
        <v>88</v>
      </c>
      <c r="O6076" t="s">
        <v>81</v>
      </c>
      <c r="P6076" t="s">
        <v>18</v>
      </c>
      <c r="Q6076" t="s">
        <v>19</v>
      </c>
      <c r="R6076" t="s">
        <v>138</v>
      </c>
      <c r="S6076" t="s">
        <v>144</v>
      </c>
      <c r="T6076" s="2">
        <f>MASTER[[#This Row],[CANTIDAD]]*MASTER[[#This Row],[PRECIO DE VENTA]]</f>
        <v>1844</v>
      </c>
      <c r="U6076" s="2">
        <f>MASTER[[#This Row],[CANTIDAD]]*MASTER[[#This Row],[COSTO UNITARIO]]</f>
        <v>420</v>
      </c>
      <c r="V6076" s="2">
        <f>MASTER[[#This Row],[MONTO VENDIDO]]-MASTER[[#This Row],[COSTO DE VENTA]]</f>
        <v>1424</v>
      </c>
    </row>
    <row r="6077" spans="1:22" x14ac:dyDescent="0.3">
      <c r="A6077">
        <v>84221</v>
      </c>
      <c r="B6077">
        <v>1</v>
      </c>
      <c r="C6077" t="s">
        <v>107</v>
      </c>
      <c r="D6077" t="s">
        <v>108</v>
      </c>
      <c r="E6077" s="1">
        <v>44486</v>
      </c>
      <c r="F6077">
        <v>1</v>
      </c>
      <c r="G6077" t="s">
        <v>22</v>
      </c>
      <c r="H6077" t="s">
        <v>23</v>
      </c>
      <c r="I6077" s="3">
        <v>1333</v>
      </c>
      <c r="J6077" s="3">
        <v>1333</v>
      </c>
      <c r="K6077" s="3">
        <v>380</v>
      </c>
      <c r="L6077" t="s">
        <v>98</v>
      </c>
      <c r="M6077">
        <v>10</v>
      </c>
      <c r="N6077" t="s">
        <v>83</v>
      </c>
      <c r="O6077" t="s">
        <v>81</v>
      </c>
      <c r="P6077" t="s">
        <v>12</v>
      </c>
      <c r="Q6077" t="s">
        <v>13</v>
      </c>
      <c r="R6077" t="s">
        <v>13</v>
      </c>
      <c r="S6077" t="s">
        <v>144</v>
      </c>
      <c r="T6077" s="2">
        <f>MASTER[[#This Row],[CANTIDAD]]*MASTER[[#This Row],[PRECIO DE VENTA]]</f>
        <v>1333</v>
      </c>
      <c r="U6077" s="2">
        <f>MASTER[[#This Row],[CANTIDAD]]*MASTER[[#This Row],[COSTO UNITARIO]]</f>
        <v>380</v>
      </c>
      <c r="V6077" s="2">
        <f>MASTER[[#This Row],[MONTO VENDIDO]]-MASTER[[#This Row],[COSTO DE VENTA]]</f>
        <v>953</v>
      </c>
    </row>
    <row r="6078" spans="1:22" x14ac:dyDescent="0.3">
      <c r="A6078">
        <v>84232</v>
      </c>
      <c r="B6078">
        <v>1</v>
      </c>
      <c r="C6078" t="s">
        <v>121</v>
      </c>
      <c r="D6078" t="s">
        <v>122</v>
      </c>
      <c r="E6078" s="1">
        <v>44486</v>
      </c>
      <c r="F6078">
        <v>1</v>
      </c>
      <c r="G6078" t="s">
        <v>47</v>
      </c>
      <c r="H6078" t="s">
        <v>48</v>
      </c>
      <c r="I6078" s="3">
        <v>1069</v>
      </c>
      <c r="J6078" s="3">
        <v>1069</v>
      </c>
      <c r="K6078" s="3">
        <v>460</v>
      </c>
      <c r="L6078" t="s">
        <v>120</v>
      </c>
      <c r="M6078">
        <v>2</v>
      </c>
      <c r="N6078" t="s">
        <v>86</v>
      </c>
      <c r="O6078" t="s">
        <v>81</v>
      </c>
      <c r="P6078" t="s">
        <v>71</v>
      </c>
      <c r="Q6078" t="s">
        <v>72</v>
      </c>
      <c r="R6078" t="s">
        <v>139</v>
      </c>
      <c r="S6078" t="s">
        <v>144</v>
      </c>
      <c r="T6078" s="2">
        <f>MASTER[[#This Row],[CANTIDAD]]*MASTER[[#This Row],[PRECIO DE VENTA]]</f>
        <v>1069</v>
      </c>
      <c r="U6078" s="2">
        <f>MASTER[[#This Row],[CANTIDAD]]*MASTER[[#This Row],[COSTO UNITARIO]]</f>
        <v>460</v>
      </c>
      <c r="V6078" s="2">
        <f>MASTER[[#This Row],[MONTO VENDIDO]]-MASTER[[#This Row],[COSTO DE VENTA]]</f>
        <v>609</v>
      </c>
    </row>
    <row r="6079" spans="1:22" x14ac:dyDescent="0.3">
      <c r="A6079">
        <v>84271</v>
      </c>
      <c r="B6079">
        <v>1</v>
      </c>
      <c r="C6079" t="s">
        <v>5</v>
      </c>
      <c r="D6079" t="s">
        <v>6</v>
      </c>
      <c r="E6079" s="1">
        <v>44486</v>
      </c>
      <c r="F6079">
        <v>1</v>
      </c>
      <c r="G6079" t="s">
        <v>43</v>
      </c>
      <c r="H6079" t="s">
        <v>44</v>
      </c>
      <c r="I6079" s="3">
        <v>1507</v>
      </c>
      <c r="J6079" s="3">
        <v>1507</v>
      </c>
      <c r="K6079" s="3">
        <v>393</v>
      </c>
      <c r="L6079" t="s">
        <v>9</v>
      </c>
      <c r="M6079">
        <v>8</v>
      </c>
      <c r="N6079" t="s">
        <v>80</v>
      </c>
      <c r="O6079" t="s">
        <v>81</v>
      </c>
      <c r="P6079" t="s">
        <v>12</v>
      </c>
      <c r="Q6079" t="s">
        <v>13</v>
      </c>
      <c r="R6079" t="s">
        <v>13</v>
      </c>
      <c r="S6079" t="s">
        <v>144</v>
      </c>
      <c r="T6079" s="2">
        <f>MASTER[[#This Row],[CANTIDAD]]*MASTER[[#This Row],[PRECIO DE VENTA]]</f>
        <v>1507</v>
      </c>
      <c r="U6079" s="2">
        <f>MASTER[[#This Row],[CANTIDAD]]*MASTER[[#This Row],[COSTO UNITARIO]]</f>
        <v>393</v>
      </c>
      <c r="V6079" s="2">
        <f>MASTER[[#This Row],[MONTO VENDIDO]]-MASTER[[#This Row],[COSTO DE VENTA]]</f>
        <v>1114</v>
      </c>
    </row>
    <row r="6080" spans="1:22" x14ac:dyDescent="0.3">
      <c r="A6080">
        <v>84282</v>
      </c>
      <c r="B6080">
        <v>1</v>
      </c>
      <c r="C6080" t="s">
        <v>116</v>
      </c>
      <c r="D6080" t="s">
        <v>117</v>
      </c>
      <c r="E6080" s="1">
        <v>44486</v>
      </c>
      <c r="F6080">
        <v>1</v>
      </c>
      <c r="G6080" t="s">
        <v>61</v>
      </c>
      <c r="H6080" t="s">
        <v>62</v>
      </c>
      <c r="I6080" s="3">
        <v>1999</v>
      </c>
      <c r="J6080" s="3">
        <v>1999</v>
      </c>
      <c r="K6080" s="3">
        <v>388</v>
      </c>
      <c r="L6080" t="s">
        <v>113</v>
      </c>
      <c r="M6080">
        <v>18</v>
      </c>
      <c r="N6080" t="s">
        <v>79</v>
      </c>
      <c r="O6080" t="s">
        <v>70</v>
      </c>
      <c r="P6080" t="s">
        <v>15</v>
      </c>
      <c r="Q6080" t="s">
        <v>16</v>
      </c>
      <c r="R6080" t="s">
        <v>16</v>
      </c>
      <c r="S6080" t="s">
        <v>144</v>
      </c>
      <c r="T6080" s="2">
        <f>MASTER[[#This Row],[CANTIDAD]]*MASTER[[#This Row],[PRECIO DE VENTA]]</f>
        <v>1999</v>
      </c>
      <c r="U6080" s="2">
        <f>MASTER[[#This Row],[CANTIDAD]]*MASTER[[#This Row],[COSTO UNITARIO]]</f>
        <v>388</v>
      </c>
      <c r="V6080" s="2">
        <f>MASTER[[#This Row],[MONTO VENDIDO]]-MASTER[[#This Row],[COSTO DE VENTA]]</f>
        <v>1611</v>
      </c>
    </row>
    <row r="6081" spans="1:22" x14ac:dyDescent="0.3">
      <c r="A6081">
        <v>84288</v>
      </c>
      <c r="B6081">
        <v>1</v>
      </c>
      <c r="C6081" t="s">
        <v>101</v>
      </c>
      <c r="D6081" t="s">
        <v>102</v>
      </c>
      <c r="E6081" s="1">
        <v>44487</v>
      </c>
      <c r="F6081">
        <v>1</v>
      </c>
      <c r="G6081" t="s">
        <v>51</v>
      </c>
      <c r="H6081" t="s">
        <v>52</v>
      </c>
      <c r="I6081" s="3">
        <v>1212</v>
      </c>
      <c r="J6081" s="3">
        <v>1212</v>
      </c>
      <c r="K6081" s="3">
        <v>442</v>
      </c>
      <c r="L6081" t="s">
        <v>98</v>
      </c>
      <c r="M6081">
        <v>10</v>
      </c>
      <c r="N6081" t="s">
        <v>83</v>
      </c>
      <c r="O6081" t="s">
        <v>81</v>
      </c>
      <c r="P6081" t="s">
        <v>12</v>
      </c>
      <c r="Q6081" t="s">
        <v>13</v>
      </c>
      <c r="R6081" t="s">
        <v>13</v>
      </c>
      <c r="S6081" t="s">
        <v>144</v>
      </c>
      <c r="T6081" s="2">
        <f>MASTER[[#This Row],[CANTIDAD]]*MASTER[[#This Row],[PRECIO DE VENTA]]</f>
        <v>1212</v>
      </c>
      <c r="U6081" s="2">
        <f>MASTER[[#This Row],[CANTIDAD]]*MASTER[[#This Row],[COSTO UNITARIO]]</f>
        <v>442</v>
      </c>
      <c r="V6081" s="2">
        <f>MASTER[[#This Row],[MONTO VENDIDO]]-MASTER[[#This Row],[COSTO DE VENTA]]</f>
        <v>770</v>
      </c>
    </row>
    <row r="6082" spans="1:22" x14ac:dyDescent="0.3">
      <c r="A6082">
        <v>84293</v>
      </c>
      <c r="B6082">
        <v>1</v>
      </c>
      <c r="C6082" t="s">
        <v>121</v>
      </c>
      <c r="D6082" t="s">
        <v>122</v>
      </c>
      <c r="E6082" s="1">
        <v>44487</v>
      </c>
      <c r="F6082">
        <v>1</v>
      </c>
      <c r="G6082" t="s">
        <v>7</v>
      </c>
      <c r="H6082" t="s">
        <v>8</v>
      </c>
      <c r="I6082" s="3">
        <v>941</v>
      </c>
      <c r="J6082" s="3">
        <v>941</v>
      </c>
      <c r="K6082" s="3">
        <v>460</v>
      </c>
      <c r="L6082" t="s">
        <v>120</v>
      </c>
      <c r="M6082">
        <v>11</v>
      </c>
      <c r="N6082" t="s">
        <v>10</v>
      </c>
      <c r="O6082" t="s">
        <v>11</v>
      </c>
      <c r="P6082" t="s">
        <v>12</v>
      </c>
      <c r="Q6082" t="s">
        <v>13</v>
      </c>
      <c r="R6082" t="s">
        <v>13</v>
      </c>
      <c r="S6082" t="s">
        <v>144</v>
      </c>
      <c r="T6082" s="2">
        <f>MASTER[[#This Row],[CANTIDAD]]*MASTER[[#This Row],[PRECIO DE VENTA]]</f>
        <v>941</v>
      </c>
      <c r="U6082" s="2">
        <f>MASTER[[#This Row],[CANTIDAD]]*MASTER[[#This Row],[COSTO UNITARIO]]</f>
        <v>460</v>
      </c>
      <c r="V6082" s="2">
        <f>MASTER[[#This Row],[MONTO VENDIDO]]-MASTER[[#This Row],[COSTO DE VENTA]]</f>
        <v>481</v>
      </c>
    </row>
    <row r="6083" spans="1:22" x14ac:dyDescent="0.3">
      <c r="A6083">
        <v>84309</v>
      </c>
      <c r="B6083">
        <v>1</v>
      </c>
      <c r="C6083" t="s">
        <v>109</v>
      </c>
      <c r="D6083" t="s">
        <v>110</v>
      </c>
      <c r="E6083" s="1">
        <v>44487</v>
      </c>
      <c r="F6083">
        <v>1</v>
      </c>
      <c r="G6083" t="s">
        <v>49</v>
      </c>
      <c r="H6083" t="s">
        <v>50</v>
      </c>
      <c r="I6083" s="3">
        <v>1064</v>
      </c>
      <c r="J6083" s="3">
        <v>1064</v>
      </c>
      <c r="K6083" s="3">
        <v>387</v>
      </c>
      <c r="L6083" t="s">
        <v>98</v>
      </c>
      <c r="M6083">
        <v>2</v>
      </c>
      <c r="N6083" t="s">
        <v>86</v>
      </c>
      <c r="O6083" t="s">
        <v>81</v>
      </c>
      <c r="P6083" t="s">
        <v>71</v>
      </c>
      <c r="Q6083" t="s">
        <v>72</v>
      </c>
      <c r="R6083" t="s">
        <v>139</v>
      </c>
      <c r="S6083" t="s">
        <v>144</v>
      </c>
      <c r="T6083" s="2">
        <f>MASTER[[#This Row],[CANTIDAD]]*MASTER[[#This Row],[PRECIO DE VENTA]]</f>
        <v>1064</v>
      </c>
      <c r="U6083" s="2">
        <f>MASTER[[#This Row],[CANTIDAD]]*MASTER[[#This Row],[COSTO UNITARIO]]</f>
        <v>387</v>
      </c>
      <c r="V6083" s="2">
        <f>MASTER[[#This Row],[MONTO VENDIDO]]-MASTER[[#This Row],[COSTO DE VENTA]]</f>
        <v>677</v>
      </c>
    </row>
    <row r="6084" spans="1:22" x14ac:dyDescent="0.3">
      <c r="A6084">
        <v>84316</v>
      </c>
      <c r="B6084">
        <v>1</v>
      </c>
      <c r="C6084" t="s">
        <v>92</v>
      </c>
      <c r="D6084" t="s">
        <v>93</v>
      </c>
      <c r="E6084" s="1">
        <v>44487</v>
      </c>
      <c r="F6084">
        <v>1</v>
      </c>
      <c r="G6084" t="s">
        <v>73</v>
      </c>
      <c r="H6084" t="s">
        <v>74</v>
      </c>
      <c r="I6084" s="3">
        <v>1681</v>
      </c>
      <c r="J6084" s="3">
        <v>1681</v>
      </c>
      <c r="K6084" s="3">
        <v>396</v>
      </c>
      <c r="L6084" t="s">
        <v>9</v>
      </c>
      <c r="M6084">
        <v>2</v>
      </c>
      <c r="N6084" t="s">
        <v>86</v>
      </c>
      <c r="O6084" t="s">
        <v>81</v>
      </c>
      <c r="P6084" t="s">
        <v>71</v>
      </c>
      <c r="Q6084" t="s">
        <v>72</v>
      </c>
      <c r="R6084" t="s">
        <v>139</v>
      </c>
      <c r="S6084" t="s">
        <v>144</v>
      </c>
      <c r="T6084" s="2">
        <f>MASTER[[#This Row],[CANTIDAD]]*MASTER[[#This Row],[PRECIO DE VENTA]]</f>
        <v>1681</v>
      </c>
      <c r="U6084" s="2">
        <f>MASTER[[#This Row],[CANTIDAD]]*MASTER[[#This Row],[COSTO UNITARIO]]</f>
        <v>396</v>
      </c>
      <c r="V6084" s="2">
        <f>MASTER[[#This Row],[MONTO VENDIDO]]-MASTER[[#This Row],[COSTO DE VENTA]]</f>
        <v>1285</v>
      </c>
    </row>
    <row r="6085" spans="1:22" x14ac:dyDescent="0.3">
      <c r="A6085">
        <v>84323</v>
      </c>
      <c r="B6085">
        <v>1</v>
      </c>
      <c r="C6085" t="s">
        <v>121</v>
      </c>
      <c r="D6085" t="s">
        <v>122</v>
      </c>
      <c r="E6085" s="1">
        <v>44487</v>
      </c>
      <c r="F6085">
        <v>1</v>
      </c>
      <c r="G6085" t="s">
        <v>29</v>
      </c>
      <c r="H6085" t="s">
        <v>30</v>
      </c>
      <c r="I6085" s="3">
        <v>1144</v>
      </c>
      <c r="J6085" s="3">
        <v>1144</v>
      </c>
      <c r="K6085" s="3">
        <v>460</v>
      </c>
      <c r="L6085" t="s">
        <v>120</v>
      </c>
      <c r="M6085">
        <v>13</v>
      </c>
      <c r="N6085" t="s">
        <v>78</v>
      </c>
      <c r="O6085" t="s">
        <v>70</v>
      </c>
      <c r="P6085" t="s">
        <v>18</v>
      </c>
      <c r="Q6085" t="s">
        <v>19</v>
      </c>
      <c r="R6085" t="s">
        <v>138</v>
      </c>
      <c r="S6085" t="s">
        <v>144</v>
      </c>
      <c r="T6085" s="2">
        <f>MASTER[[#This Row],[CANTIDAD]]*MASTER[[#This Row],[PRECIO DE VENTA]]</f>
        <v>1144</v>
      </c>
      <c r="U6085" s="2">
        <f>MASTER[[#This Row],[CANTIDAD]]*MASTER[[#This Row],[COSTO UNITARIO]]</f>
        <v>460</v>
      </c>
      <c r="V6085" s="2">
        <f>MASTER[[#This Row],[MONTO VENDIDO]]-MASTER[[#This Row],[COSTO DE VENTA]]</f>
        <v>684</v>
      </c>
    </row>
    <row r="6086" spans="1:22" x14ac:dyDescent="0.3">
      <c r="A6086">
        <v>84325</v>
      </c>
      <c r="B6086">
        <v>1</v>
      </c>
      <c r="C6086" t="s">
        <v>111</v>
      </c>
      <c r="D6086" t="s">
        <v>112</v>
      </c>
      <c r="E6086" s="1">
        <v>44487</v>
      </c>
      <c r="F6086">
        <v>1</v>
      </c>
      <c r="G6086" t="s">
        <v>7</v>
      </c>
      <c r="H6086" t="s">
        <v>8</v>
      </c>
      <c r="I6086" s="3">
        <v>1621</v>
      </c>
      <c r="J6086" s="3">
        <v>1621</v>
      </c>
      <c r="K6086" s="3">
        <v>434</v>
      </c>
      <c r="L6086" t="s">
        <v>113</v>
      </c>
      <c r="M6086">
        <v>19</v>
      </c>
      <c r="N6086" t="s">
        <v>89</v>
      </c>
      <c r="O6086" t="s">
        <v>81</v>
      </c>
      <c r="P6086" t="s">
        <v>15</v>
      </c>
      <c r="Q6086" t="s">
        <v>16</v>
      </c>
      <c r="R6086" t="s">
        <v>16</v>
      </c>
      <c r="S6086" t="s">
        <v>144</v>
      </c>
      <c r="T6086" s="2">
        <f>MASTER[[#This Row],[CANTIDAD]]*MASTER[[#This Row],[PRECIO DE VENTA]]</f>
        <v>1621</v>
      </c>
      <c r="U6086" s="2">
        <f>MASTER[[#This Row],[CANTIDAD]]*MASTER[[#This Row],[COSTO UNITARIO]]</f>
        <v>434</v>
      </c>
      <c r="V6086" s="2">
        <f>MASTER[[#This Row],[MONTO VENDIDO]]-MASTER[[#This Row],[COSTO DE VENTA]]</f>
        <v>1187</v>
      </c>
    </row>
    <row r="6087" spans="1:22" x14ac:dyDescent="0.3">
      <c r="A6087">
        <v>84333</v>
      </c>
      <c r="B6087">
        <v>1</v>
      </c>
      <c r="C6087" t="s">
        <v>90</v>
      </c>
      <c r="D6087" t="s">
        <v>91</v>
      </c>
      <c r="E6087" s="1">
        <v>44487</v>
      </c>
      <c r="F6087">
        <v>1</v>
      </c>
      <c r="G6087" t="s">
        <v>65</v>
      </c>
      <c r="H6087" t="s">
        <v>66</v>
      </c>
      <c r="I6087" s="3">
        <v>1660</v>
      </c>
      <c r="J6087" s="3">
        <v>1660</v>
      </c>
      <c r="K6087" s="3">
        <v>420</v>
      </c>
      <c r="L6087" t="s">
        <v>9</v>
      </c>
      <c r="M6087">
        <v>17</v>
      </c>
      <c r="N6087" t="s">
        <v>14</v>
      </c>
      <c r="O6087" t="s">
        <v>11</v>
      </c>
      <c r="P6087" t="s">
        <v>15</v>
      </c>
      <c r="Q6087" t="s">
        <v>16</v>
      </c>
      <c r="R6087" t="s">
        <v>16</v>
      </c>
      <c r="S6087" t="s">
        <v>144</v>
      </c>
      <c r="T6087" s="2">
        <f>MASTER[[#This Row],[CANTIDAD]]*MASTER[[#This Row],[PRECIO DE VENTA]]</f>
        <v>1660</v>
      </c>
      <c r="U6087" s="2">
        <f>MASTER[[#This Row],[CANTIDAD]]*MASTER[[#This Row],[COSTO UNITARIO]]</f>
        <v>420</v>
      </c>
      <c r="V6087" s="2">
        <f>MASTER[[#This Row],[MONTO VENDIDO]]-MASTER[[#This Row],[COSTO DE VENTA]]</f>
        <v>1240</v>
      </c>
    </row>
    <row r="6088" spans="1:22" x14ac:dyDescent="0.3">
      <c r="A6088">
        <v>84338</v>
      </c>
      <c r="B6088">
        <v>1</v>
      </c>
      <c r="C6088" t="s">
        <v>5</v>
      </c>
      <c r="D6088" t="s">
        <v>6</v>
      </c>
      <c r="E6088" s="1">
        <v>44487</v>
      </c>
      <c r="F6088">
        <v>1</v>
      </c>
      <c r="G6088" t="s">
        <v>31</v>
      </c>
      <c r="H6088" t="s">
        <v>32</v>
      </c>
      <c r="I6088" s="3">
        <v>1507</v>
      </c>
      <c r="J6088" s="3">
        <v>1507</v>
      </c>
      <c r="K6088" s="3">
        <v>393</v>
      </c>
      <c r="L6088" t="s">
        <v>9</v>
      </c>
      <c r="M6088">
        <v>15</v>
      </c>
      <c r="N6088" t="s">
        <v>88</v>
      </c>
      <c r="O6088" t="s">
        <v>81</v>
      </c>
      <c r="P6088" t="s">
        <v>18</v>
      </c>
      <c r="Q6088" t="s">
        <v>19</v>
      </c>
      <c r="R6088" t="s">
        <v>138</v>
      </c>
      <c r="S6088" t="s">
        <v>144</v>
      </c>
      <c r="T6088" s="2">
        <f>MASTER[[#This Row],[CANTIDAD]]*MASTER[[#This Row],[PRECIO DE VENTA]]</f>
        <v>1507</v>
      </c>
      <c r="U6088" s="2">
        <f>MASTER[[#This Row],[CANTIDAD]]*MASTER[[#This Row],[COSTO UNITARIO]]</f>
        <v>393</v>
      </c>
      <c r="V6088" s="2">
        <f>MASTER[[#This Row],[MONTO VENDIDO]]-MASTER[[#This Row],[COSTO DE VENTA]]</f>
        <v>1114</v>
      </c>
    </row>
    <row r="6089" spans="1:22" x14ac:dyDescent="0.3">
      <c r="A6089">
        <v>84339</v>
      </c>
      <c r="B6089">
        <v>1</v>
      </c>
      <c r="C6089" t="s">
        <v>90</v>
      </c>
      <c r="D6089" t="s">
        <v>91</v>
      </c>
      <c r="E6089" s="1">
        <v>44487</v>
      </c>
      <c r="F6089">
        <v>1</v>
      </c>
      <c r="G6089" t="s">
        <v>27</v>
      </c>
      <c r="H6089" t="s">
        <v>28</v>
      </c>
      <c r="I6089" s="3">
        <v>2102</v>
      </c>
      <c r="J6089" s="3">
        <v>2102</v>
      </c>
      <c r="K6089" s="3">
        <v>420</v>
      </c>
      <c r="L6089" t="s">
        <v>9</v>
      </c>
      <c r="M6089">
        <v>18</v>
      </c>
      <c r="N6089" t="s">
        <v>79</v>
      </c>
      <c r="O6089" t="s">
        <v>70</v>
      </c>
      <c r="P6089" t="s">
        <v>15</v>
      </c>
      <c r="Q6089" t="s">
        <v>16</v>
      </c>
      <c r="R6089" t="s">
        <v>16</v>
      </c>
      <c r="S6089" t="s">
        <v>144</v>
      </c>
      <c r="T6089" s="2">
        <f>MASTER[[#This Row],[CANTIDAD]]*MASTER[[#This Row],[PRECIO DE VENTA]]</f>
        <v>2102</v>
      </c>
      <c r="U6089" s="2">
        <f>MASTER[[#This Row],[CANTIDAD]]*MASTER[[#This Row],[COSTO UNITARIO]]</f>
        <v>420</v>
      </c>
      <c r="V6089" s="2">
        <f>MASTER[[#This Row],[MONTO VENDIDO]]-MASTER[[#This Row],[COSTO DE VENTA]]</f>
        <v>1682</v>
      </c>
    </row>
    <row r="6090" spans="1:22" x14ac:dyDescent="0.3">
      <c r="A6090">
        <v>84349</v>
      </c>
      <c r="B6090">
        <v>1</v>
      </c>
      <c r="C6090" t="s">
        <v>118</v>
      </c>
      <c r="D6090" t="s">
        <v>119</v>
      </c>
      <c r="E6090" s="1">
        <v>44488</v>
      </c>
      <c r="F6090">
        <v>1</v>
      </c>
      <c r="G6090" t="s">
        <v>59</v>
      </c>
      <c r="H6090" t="s">
        <v>60</v>
      </c>
      <c r="I6090" s="3">
        <v>1026</v>
      </c>
      <c r="J6090" s="3">
        <v>954</v>
      </c>
      <c r="K6090" s="3">
        <v>424</v>
      </c>
      <c r="L6090" t="s">
        <v>120</v>
      </c>
      <c r="M6090">
        <v>3</v>
      </c>
      <c r="N6090" t="s">
        <v>69</v>
      </c>
      <c r="O6090" t="s">
        <v>70</v>
      </c>
      <c r="P6090" t="s">
        <v>71</v>
      </c>
      <c r="Q6090" t="s">
        <v>72</v>
      </c>
      <c r="R6090" t="s">
        <v>139</v>
      </c>
      <c r="S6090" t="s">
        <v>144</v>
      </c>
      <c r="T6090" s="2">
        <f>MASTER[[#This Row],[CANTIDAD]]*MASTER[[#This Row],[PRECIO DE VENTA]]</f>
        <v>954</v>
      </c>
      <c r="U6090" s="2">
        <f>MASTER[[#This Row],[CANTIDAD]]*MASTER[[#This Row],[COSTO UNITARIO]]</f>
        <v>424</v>
      </c>
      <c r="V6090" s="2">
        <f>MASTER[[#This Row],[MONTO VENDIDO]]-MASTER[[#This Row],[COSTO DE VENTA]]</f>
        <v>530</v>
      </c>
    </row>
    <row r="6091" spans="1:22" x14ac:dyDescent="0.3">
      <c r="A6091">
        <v>84373</v>
      </c>
      <c r="B6091">
        <v>1</v>
      </c>
      <c r="C6091" t="s">
        <v>118</v>
      </c>
      <c r="D6091" t="s">
        <v>119</v>
      </c>
      <c r="E6091" s="1">
        <v>44488</v>
      </c>
      <c r="F6091">
        <v>1</v>
      </c>
      <c r="G6091" t="s">
        <v>29</v>
      </c>
      <c r="H6091" t="s">
        <v>30</v>
      </c>
      <c r="I6091" s="3">
        <v>900</v>
      </c>
      <c r="J6091" s="3">
        <v>900</v>
      </c>
      <c r="K6091" s="3">
        <v>424</v>
      </c>
      <c r="L6091" t="s">
        <v>120</v>
      </c>
      <c r="M6091">
        <v>10</v>
      </c>
      <c r="N6091" t="s">
        <v>83</v>
      </c>
      <c r="O6091" t="s">
        <v>81</v>
      </c>
      <c r="P6091" t="s">
        <v>12</v>
      </c>
      <c r="Q6091" t="s">
        <v>13</v>
      </c>
      <c r="R6091" t="s">
        <v>13</v>
      </c>
      <c r="S6091" t="s">
        <v>144</v>
      </c>
      <c r="T6091" s="2">
        <f>MASTER[[#This Row],[CANTIDAD]]*MASTER[[#This Row],[PRECIO DE VENTA]]</f>
        <v>900</v>
      </c>
      <c r="U6091" s="2">
        <f>MASTER[[#This Row],[CANTIDAD]]*MASTER[[#This Row],[COSTO UNITARIO]]</f>
        <v>424</v>
      </c>
      <c r="V6091" s="2">
        <f>MASTER[[#This Row],[MONTO VENDIDO]]-MASTER[[#This Row],[COSTO DE VENTA]]</f>
        <v>476</v>
      </c>
    </row>
    <row r="6092" spans="1:22" x14ac:dyDescent="0.3">
      <c r="A6092">
        <v>84385</v>
      </c>
      <c r="B6092">
        <v>1</v>
      </c>
      <c r="C6092" t="s">
        <v>94</v>
      </c>
      <c r="D6092" t="s">
        <v>95</v>
      </c>
      <c r="E6092" s="1">
        <v>44488</v>
      </c>
      <c r="F6092">
        <v>4</v>
      </c>
      <c r="G6092" t="s">
        <v>53</v>
      </c>
      <c r="H6092" t="s">
        <v>54</v>
      </c>
      <c r="I6092" s="3">
        <v>1153</v>
      </c>
      <c r="J6092" s="3">
        <v>1153</v>
      </c>
      <c r="K6092" s="3">
        <v>392</v>
      </c>
      <c r="L6092" t="s">
        <v>9</v>
      </c>
      <c r="M6092">
        <v>6</v>
      </c>
      <c r="N6092" t="s">
        <v>75</v>
      </c>
      <c r="O6092" t="s">
        <v>70</v>
      </c>
      <c r="P6092" t="s">
        <v>12</v>
      </c>
      <c r="Q6092" t="s">
        <v>13</v>
      </c>
      <c r="R6092" t="s">
        <v>13</v>
      </c>
      <c r="S6092" t="s">
        <v>144</v>
      </c>
      <c r="T6092" s="2">
        <f>MASTER[[#This Row],[CANTIDAD]]*MASTER[[#This Row],[PRECIO DE VENTA]]</f>
        <v>4612</v>
      </c>
      <c r="U6092" s="2">
        <f>MASTER[[#This Row],[CANTIDAD]]*MASTER[[#This Row],[COSTO UNITARIO]]</f>
        <v>1568</v>
      </c>
      <c r="V6092" s="2">
        <f>MASTER[[#This Row],[MONTO VENDIDO]]-MASTER[[#This Row],[COSTO DE VENTA]]</f>
        <v>3044</v>
      </c>
    </row>
    <row r="6093" spans="1:22" x14ac:dyDescent="0.3">
      <c r="A6093">
        <v>84396</v>
      </c>
      <c r="B6093">
        <v>1</v>
      </c>
      <c r="C6093" t="s">
        <v>101</v>
      </c>
      <c r="D6093" t="s">
        <v>102</v>
      </c>
      <c r="E6093" s="1">
        <v>44488</v>
      </c>
      <c r="F6093">
        <v>1</v>
      </c>
      <c r="G6093" t="s">
        <v>39</v>
      </c>
      <c r="H6093" t="s">
        <v>40</v>
      </c>
      <c r="I6093" s="3">
        <v>1054</v>
      </c>
      <c r="J6093" s="3">
        <v>1054</v>
      </c>
      <c r="K6093" s="3">
        <v>442</v>
      </c>
      <c r="L6093" t="s">
        <v>98</v>
      </c>
      <c r="M6093">
        <v>12</v>
      </c>
      <c r="N6093" t="s">
        <v>26</v>
      </c>
      <c r="O6093" t="s">
        <v>11</v>
      </c>
      <c r="P6093" t="s">
        <v>12</v>
      </c>
      <c r="Q6093" t="s">
        <v>13</v>
      </c>
      <c r="R6093" t="s">
        <v>13</v>
      </c>
      <c r="S6093" t="s">
        <v>144</v>
      </c>
      <c r="T6093" s="2">
        <f>MASTER[[#This Row],[CANTIDAD]]*MASTER[[#This Row],[PRECIO DE VENTA]]</f>
        <v>1054</v>
      </c>
      <c r="U6093" s="2">
        <f>MASTER[[#This Row],[CANTIDAD]]*MASTER[[#This Row],[COSTO UNITARIO]]</f>
        <v>442</v>
      </c>
      <c r="V6093" s="2">
        <f>MASTER[[#This Row],[MONTO VENDIDO]]-MASTER[[#This Row],[COSTO DE VENTA]]</f>
        <v>612</v>
      </c>
    </row>
    <row r="6094" spans="1:22" x14ac:dyDescent="0.3">
      <c r="A6094">
        <v>84401</v>
      </c>
      <c r="B6094">
        <v>1</v>
      </c>
      <c r="C6094" t="s">
        <v>99</v>
      </c>
      <c r="D6094" t="s">
        <v>100</v>
      </c>
      <c r="E6094" s="1">
        <v>44488</v>
      </c>
      <c r="F6094">
        <v>1</v>
      </c>
      <c r="G6094" t="s">
        <v>29</v>
      </c>
      <c r="H6094" t="s">
        <v>30</v>
      </c>
      <c r="I6094" s="3">
        <v>1459</v>
      </c>
      <c r="J6094" s="3">
        <v>1459</v>
      </c>
      <c r="K6094" s="3">
        <v>386</v>
      </c>
      <c r="L6094" t="s">
        <v>98</v>
      </c>
      <c r="M6094">
        <v>7</v>
      </c>
      <c r="N6094" t="s">
        <v>84</v>
      </c>
      <c r="O6094" t="s">
        <v>81</v>
      </c>
      <c r="P6094" t="s">
        <v>12</v>
      </c>
      <c r="Q6094" t="s">
        <v>13</v>
      </c>
      <c r="R6094" t="s">
        <v>13</v>
      </c>
      <c r="S6094" t="s">
        <v>144</v>
      </c>
      <c r="T6094" s="2">
        <f>MASTER[[#This Row],[CANTIDAD]]*MASTER[[#This Row],[PRECIO DE VENTA]]</f>
        <v>1459</v>
      </c>
      <c r="U6094" s="2">
        <f>MASTER[[#This Row],[CANTIDAD]]*MASTER[[#This Row],[COSTO UNITARIO]]</f>
        <v>386</v>
      </c>
      <c r="V6094" s="2">
        <f>MASTER[[#This Row],[MONTO VENDIDO]]-MASTER[[#This Row],[COSTO DE VENTA]]</f>
        <v>1073</v>
      </c>
    </row>
    <row r="6095" spans="1:22" x14ac:dyDescent="0.3">
      <c r="A6095">
        <v>84409</v>
      </c>
      <c r="B6095">
        <v>1</v>
      </c>
      <c r="C6095" t="s">
        <v>103</v>
      </c>
      <c r="D6095" t="s">
        <v>104</v>
      </c>
      <c r="E6095" s="1">
        <v>44488</v>
      </c>
      <c r="F6095">
        <v>1</v>
      </c>
      <c r="G6095" t="s">
        <v>51</v>
      </c>
      <c r="H6095" t="s">
        <v>52</v>
      </c>
      <c r="I6095" s="3">
        <v>1591</v>
      </c>
      <c r="J6095" s="3">
        <v>1591</v>
      </c>
      <c r="K6095" s="3">
        <v>421</v>
      </c>
      <c r="L6095" t="s">
        <v>98</v>
      </c>
      <c r="M6095">
        <v>5</v>
      </c>
      <c r="N6095" t="s">
        <v>85</v>
      </c>
      <c r="O6095" t="s">
        <v>81</v>
      </c>
      <c r="P6095" t="s">
        <v>12</v>
      </c>
      <c r="Q6095" t="s">
        <v>13</v>
      </c>
      <c r="R6095" t="s">
        <v>13</v>
      </c>
      <c r="S6095" t="s">
        <v>144</v>
      </c>
      <c r="T6095" s="2">
        <f>MASTER[[#This Row],[CANTIDAD]]*MASTER[[#This Row],[PRECIO DE VENTA]]</f>
        <v>1591</v>
      </c>
      <c r="U6095" s="2">
        <f>MASTER[[#This Row],[CANTIDAD]]*MASTER[[#This Row],[COSTO UNITARIO]]</f>
        <v>421</v>
      </c>
      <c r="V6095" s="2">
        <f>MASTER[[#This Row],[MONTO VENDIDO]]-MASTER[[#This Row],[COSTO DE VENTA]]</f>
        <v>1170</v>
      </c>
    </row>
    <row r="6096" spans="1:22" x14ac:dyDescent="0.3">
      <c r="A6096">
        <v>84455</v>
      </c>
      <c r="B6096">
        <v>1</v>
      </c>
      <c r="C6096" t="s">
        <v>109</v>
      </c>
      <c r="D6096" t="s">
        <v>110</v>
      </c>
      <c r="E6096" s="1">
        <v>44489</v>
      </c>
      <c r="F6096">
        <v>1</v>
      </c>
      <c r="G6096" t="s">
        <v>7</v>
      </c>
      <c r="H6096" t="s">
        <v>8</v>
      </c>
      <c r="I6096" s="3">
        <v>947</v>
      </c>
      <c r="J6096" s="3">
        <v>947</v>
      </c>
      <c r="K6096" s="3">
        <v>387</v>
      </c>
      <c r="L6096" t="s">
        <v>98</v>
      </c>
      <c r="M6096">
        <v>17</v>
      </c>
      <c r="N6096" t="s">
        <v>14</v>
      </c>
      <c r="O6096" t="s">
        <v>11</v>
      </c>
      <c r="P6096" t="s">
        <v>15</v>
      </c>
      <c r="Q6096" t="s">
        <v>16</v>
      </c>
      <c r="R6096" t="s">
        <v>16</v>
      </c>
      <c r="S6096" t="s">
        <v>144</v>
      </c>
      <c r="T6096" s="2">
        <f>MASTER[[#This Row],[CANTIDAD]]*MASTER[[#This Row],[PRECIO DE VENTA]]</f>
        <v>947</v>
      </c>
      <c r="U6096" s="2">
        <f>MASTER[[#This Row],[CANTIDAD]]*MASTER[[#This Row],[COSTO UNITARIO]]</f>
        <v>387</v>
      </c>
      <c r="V6096" s="2">
        <f>MASTER[[#This Row],[MONTO VENDIDO]]-MASTER[[#This Row],[COSTO DE VENTA]]</f>
        <v>560</v>
      </c>
    </row>
    <row r="6097" spans="1:22" x14ac:dyDescent="0.3">
      <c r="A6097">
        <v>84472</v>
      </c>
      <c r="B6097">
        <v>1</v>
      </c>
      <c r="C6097" t="s">
        <v>92</v>
      </c>
      <c r="D6097" t="s">
        <v>93</v>
      </c>
      <c r="E6097" s="1">
        <v>44489</v>
      </c>
      <c r="F6097">
        <v>1</v>
      </c>
      <c r="G6097" t="s">
        <v>22</v>
      </c>
      <c r="H6097" t="s">
        <v>23</v>
      </c>
      <c r="I6097" s="3">
        <v>1866</v>
      </c>
      <c r="J6097" s="3">
        <v>1866</v>
      </c>
      <c r="K6097" s="3">
        <v>396</v>
      </c>
      <c r="L6097" t="s">
        <v>9</v>
      </c>
      <c r="M6097">
        <v>6</v>
      </c>
      <c r="N6097" t="s">
        <v>75</v>
      </c>
      <c r="O6097" t="s">
        <v>70</v>
      </c>
      <c r="P6097" t="s">
        <v>12</v>
      </c>
      <c r="Q6097" t="s">
        <v>13</v>
      </c>
      <c r="R6097" t="s">
        <v>13</v>
      </c>
      <c r="S6097" t="s">
        <v>144</v>
      </c>
      <c r="T6097" s="2">
        <f>MASTER[[#This Row],[CANTIDAD]]*MASTER[[#This Row],[PRECIO DE VENTA]]</f>
        <v>1866</v>
      </c>
      <c r="U6097" s="2">
        <f>MASTER[[#This Row],[CANTIDAD]]*MASTER[[#This Row],[COSTO UNITARIO]]</f>
        <v>396</v>
      </c>
      <c r="V6097" s="2">
        <f>MASTER[[#This Row],[MONTO VENDIDO]]-MASTER[[#This Row],[COSTO DE VENTA]]</f>
        <v>1470</v>
      </c>
    </row>
    <row r="6098" spans="1:22" x14ac:dyDescent="0.3">
      <c r="A6098">
        <v>84481</v>
      </c>
      <c r="B6098">
        <v>1</v>
      </c>
      <c r="C6098" t="s">
        <v>107</v>
      </c>
      <c r="D6098" t="s">
        <v>108</v>
      </c>
      <c r="E6098" s="1">
        <v>44489</v>
      </c>
      <c r="F6098">
        <v>1</v>
      </c>
      <c r="G6098" t="s">
        <v>35</v>
      </c>
      <c r="H6098" t="s">
        <v>36</v>
      </c>
      <c r="I6098" s="3">
        <v>1333</v>
      </c>
      <c r="J6098" s="3">
        <v>1333</v>
      </c>
      <c r="K6098" s="3">
        <v>380</v>
      </c>
      <c r="L6098" t="s">
        <v>98</v>
      </c>
      <c r="M6098">
        <v>4</v>
      </c>
      <c r="N6098" t="s">
        <v>82</v>
      </c>
      <c r="O6098" t="s">
        <v>81</v>
      </c>
      <c r="P6098" t="s">
        <v>71</v>
      </c>
      <c r="Q6098" t="s">
        <v>72</v>
      </c>
      <c r="R6098" t="s">
        <v>139</v>
      </c>
      <c r="S6098" t="s">
        <v>144</v>
      </c>
      <c r="T6098" s="2">
        <f>MASTER[[#This Row],[CANTIDAD]]*MASTER[[#This Row],[PRECIO DE VENTA]]</f>
        <v>1333</v>
      </c>
      <c r="U6098" s="2">
        <f>MASTER[[#This Row],[CANTIDAD]]*MASTER[[#This Row],[COSTO UNITARIO]]</f>
        <v>380</v>
      </c>
      <c r="V6098" s="2">
        <f>MASTER[[#This Row],[MONTO VENDIDO]]-MASTER[[#This Row],[COSTO DE VENTA]]</f>
        <v>953</v>
      </c>
    </row>
    <row r="6099" spans="1:22" x14ac:dyDescent="0.3">
      <c r="A6099">
        <v>84482</v>
      </c>
      <c r="B6099">
        <v>1</v>
      </c>
      <c r="C6099" t="s">
        <v>118</v>
      </c>
      <c r="D6099" t="s">
        <v>119</v>
      </c>
      <c r="E6099" s="1">
        <v>44489</v>
      </c>
      <c r="F6099">
        <v>1</v>
      </c>
      <c r="G6099" t="s">
        <v>53</v>
      </c>
      <c r="H6099" t="s">
        <v>54</v>
      </c>
      <c r="I6099" s="3">
        <v>900</v>
      </c>
      <c r="J6099" s="3">
        <v>900</v>
      </c>
      <c r="K6099" s="3">
        <v>424</v>
      </c>
      <c r="L6099" t="s">
        <v>120</v>
      </c>
      <c r="M6099">
        <v>5</v>
      </c>
      <c r="N6099" t="s">
        <v>85</v>
      </c>
      <c r="O6099" t="s">
        <v>81</v>
      </c>
      <c r="P6099" t="s">
        <v>12</v>
      </c>
      <c r="Q6099" t="s">
        <v>13</v>
      </c>
      <c r="R6099" t="s">
        <v>13</v>
      </c>
      <c r="S6099" t="s">
        <v>144</v>
      </c>
      <c r="T6099" s="2">
        <f>MASTER[[#This Row],[CANTIDAD]]*MASTER[[#This Row],[PRECIO DE VENTA]]</f>
        <v>900</v>
      </c>
      <c r="U6099" s="2">
        <f>MASTER[[#This Row],[CANTIDAD]]*MASTER[[#This Row],[COSTO UNITARIO]]</f>
        <v>424</v>
      </c>
      <c r="V6099" s="2">
        <f>MASTER[[#This Row],[MONTO VENDIDO]]-MASTER[[#This Row],[COSTO DE VENTA]]</f>
        <v>476</v>
      </c>
    </row>
    <row r="6100" spans="1:22" x14ac:dyDescent="0.3">
      <c r="A6100">
        <v>84485</v>
      </c>
      <c r="B6100">
        <v>1</v>
      </c>
      <c r="C6100" t="s">
        <v>118</v>
      </c>
      <c r="D6100" t="s">
        <v>119</v>
      </c>
      <c r="E6100" s="1">
        <v>44489</v>
      </c>
      <c r="F6100">
        <v>1</v>
      </c>
      <c r="G6100" t="s">
        <v>37</v>
      </c>
      <c r="H6100" t="s">
        <v>38</v>
      </c>
      <c r="I6100" s="3">
        <v>1026</v>
      </c>
      <c r="J6100" s="3">
        <v>1026</v>
      </c>
      <c r="K6100" s="3">
        <v>424</v>
      </c>
      <c r="L6100" t="s">
        <v>120</v>
      </c>
      <c r="M6100">
        <v>3</v>
      </c>
      <c r="N6100" t="s">
        <v>69</v>
      </c>
      <c r="O6100" t="s">
        <v>70</v>
      </c>
      <c r="P6100" t="s">
        <v>71</v>
      </c>
      <c r="Q6100" t="s">
        <v>72</v>
      </c>
      <c r="R6100" t="s">
        <v>139</v>
      </c>
      <c r="S6100" t="s">
        <v>144</v>
      </c>
      <c r="T6100" s="2">
        <f>MASTER[[#This Row],[CANTIDAD]]*MASTER[[#This Row],[PRECIO DE VENTA]]</f>
        <v>1026</v>
      </c>
      <c r="U6100" s="2">
        <f>MASTER[[#This Row],[CANTIDAD]]*MASTER[[#This Row],[COSTO UNITARIO]]</f>
        <v>424</v>
      </c>
      <c r="V6100" s="2">
        <f>MASTER[[#This Row],[MONTO VENDIDO]]-MASTER[[#This Row],[COSTO DE VENTA]]</f>
        <v>602</v>
      </c>
    </row>
    <row r="6101" spans="1:22" x14ac:dyDescent="0.3">
      <c r="A6101">
        <v>84486</v>
      </c>
      <c r="B6101">
        <v>1</v>
      </c>
      <c r="C6101" t="s">
        <v>99</v>
      </c>
      <c r="D6101" t="s">
        <v>100</v>
      </c>
      <c r="E6101" s="1">
        <v>44489</v>
      </c>
      <c r="F6101">
        <v>1</v>
      </c>
      <c r="G6101" t="s">
        <v>67</v>
      </c>
      <c r="H6101" t="s">
        <v>68</v>
      </c>
      <c r="I6101" s="3">
        <v>1459</v>
      </c>
      <c r="J6101" s="3">
        <v>1459</v>
      </c>
      <c r="K6101" s="3">
        <v>386</v>
      </c>
      <c r="L6101" t="s">
        <v>98</v>
      </c>
      <c r="M6101">
        <v>8</v>
      </c>
      <c r="N6101" t="s">
        <v>80</v>
      </c>
      <c r="O6101" t="s">
        <v>81</v>
      </c>
      <c r="P6101" t="s">
        <v>12</v>
      </c>
      <c r="Q6101" t="s">
        <v>13</v>
      </c>
      <c r="R6101" t="s">
        <v>13</v>
      </c>
      <c r="S6101" t="s">
        <v>144</v>
      </c>
      <c r="T6101" s="2">
        <f>MASTER[[#This Row],[CANTIDAD]]*MASTER[[#This Row],[PRECIO DE VENTA]]</f>
        <v>1459</v>
      </c>
      <c r="U6101" s="2">
        <f>MASTER[[#This Row],[CANTIDAD]]*MASTER[[#This Row],[COSTO UNITARIO]]</f>
        <v>386</v>
      </c>
      <c r="V6101" s="2">
        <f>MASTER[[#This Row],[MONTO VENDIDO]]-MASTER[[#This Row],[COSTO DE VENTA]]</f>
        <v>1073</v>
      </c>
    </row>
    <row r="6102" spans="1:22" x14ac:dyDescent="0.3">
      <c r="A6102">
        <v>84489</v>
      </c>
      <c r="B6102">
        <v>1</v>
      </c>
      <c r="C6102" t="s">
        <v>109</v>
      </c>
      <c r="D6102" t="s">
        <v>110</v>
      </c>
      <c r="E6102" s="1">
        <v>44489</v>
      </c>
      <c r="F6102">
        <v>1</v>
      </c>
      <c r="G6102" t="s">
        <v>49</v>
      </c>
      <c r="H6102" t="s">
        <v>50</v>
      </c>
      <c r="I6102" s="3">
        <v>1064</v>
      </c>
      <c r="J6102" s="3">
        <v>1064</v>
      </c>
      <c r="K6102" s="3">
        <v>387</v>
      </c>
      <c r="L6102" t="s">
        <v>98</v>
      </c>
      <c r="M6102">
        <v>4</v>
      </c>
      <c r="N6102" t="s">
        <v>82</v>
      </c>
      <c r="O6102" t="s">
        <v>81</v>
      </c>
      <c r="P6102" t="s">
        <v>71</v>
      </c>
      <c r="Q6102" t="s">
        <v>72</v>
      </c>
      <c r="R6102" t="s">
        <v>139</v>
      </c>
      <c r="S6102" t="s">
        <v>144</v>
      </c>
      <c r="T6102" s="2">
        <f>MASTER[[#This Row],[CANTIDAD]]*MASTER[[#This Row],[PRECIO DE VENTA]]</f>
        <v>1064</v>
      </c>
      <c r="U6102" s="2">
        <f>MASTER[[#This Row],[CANTIDAD]]*MASTER[[#This Row],[COSTO UNITARIO]]</f>
        <v>387</v>
      </c>
      <c r="V6102" s="2">
        <f>MASTER[[#This Row],[MONTO VENDIDO]]-MASTER[[#This Row],[COSTO DE VENTA]]</f>
        <v>677</v>
      </c>
    </row>
    <row r="6103" spans="1:22" x14ac:dyDescent="0.3">
      <c r="A6103">
        <v>84500</v>
      </c>
      <c r="B6103">
        <v>1</v>
      </c>
      <c r="C6103" t="s">
        <v>105</v>
      </c>
      <c r="D6103" t="s">
        <v>106</v>
      </c>
      <c r="E6103" s="1">
        <v>44489</v>
      </c>
      <c r="F6103">
        <v>1</v>
      </c>
      <c r="G6103" t="s">
        <v>35</v>
      </c>
      <c r="H6103" t="s">
        <v>36</v>
      </c>
      <c r="I6103" s="3">
        <v>1865</v>
      </c>
      <c r="J6103" s="3">
        <v>1865</v>
      </c>
      <c r="K6103" s="3">
        <v>459</v>
      </c>
      <c r="L6103" t="s">
        <v>98</v>
      </c>
      <c r="M6103">
        <v>5</v>
      </c>
      <c r="N6103" t="s">
        <v>85</v>
      </c>
      <c r="O6103" t="s">
        <v>81</v>
      </c>
      <c r="P6103" t="s">
        <v>12</v>
      </c>
      <c r="Q6103" t="s">
        <v>13</v>
      </c>
      <c r="R6103" t="s">
        <v>13</v>
      </c>
      <c r="S6103" t="s">
        <v>144</v>
      </c>
      <c r="T6103" s="2">
        <f>MASTER[[#This Row],[CANTIDAD]]*MASTER[[#This Row],[PRECIO DE VENTA]]</f>
        <v>1865</v>
      </c>
      <c r="U6103" s="2">
        <f>MASTER[[#This Row],[CANTIDAD]]*MASTER[[#This Row],[COSTO UNITARIO]]</f>
        <v>459</v>
      </c>
      <c r="V6103" s="2">
        <f>MASTER[[#This Row],[MONTO VENDIDO]]-MASTER[[#This Row],[COSTO DE VENTA]]</f>
        <v>1406</v>
      </c>
    </row>
    <row r="6104" spans="1:22" x14ac:dyDescent="0.3">
      <c r="A6104">
        <v>84520</v>
      </c>
      <c r="B6104">
        <v>1</v>
      </c>
      <c r="C6104" t="s">
        <v>94</v>
      </c>
      <c r="D6104" t="s">
        <v>95</v>
      </c>
      <c r="E6104" s="1">
        <v>44489</v>
      </c>
      <c r="F6104">
        <v>1</v>
      </c>
      <c r="G6104" t="s">
        <v>20</v>
      </c>
      <c r="H6104" t="s">
        <v>21</v>
      </c>
      <c r="I6104" s="3">
        <v>1153</v>
      </c>
      <c r="J6104" s="3">
        <v>1153</v>
      </c>
      <c r="K6104" s="3">
        <v>392</v>
      </c>
      <c r="L6104" t="s">
        <v>9</v>
      </c>
      <c r="M6104">
        <v>3</v>
      </c>
      <c r="N6104" t="s">
        <v>69</v>
      </c>
      <c r="O6104" t="s">
        <v>70</v>
      </c>
      <c r="P6104" t="s">
        <v>71</v>
      </c>
      <c r="Q6104" t="s">
        <v>72</v>
      </c>
      <c r="R6104" t="s">
        <v>139</v>
      </c>
      <c r="S6104" t="s">
        <v>144</v>
      </c>
      <c r="T6104" s="2">
        <f>MASTER[[#This Row],[CANTIDAD]]*MASTER[[#This Row],[PRECIO DE VENTA]]</f>
        <v>1153</v>
      </c>
      <c r="U6104" s="2">
        <f>MASTER[[#This Row],[CANTIDAD]]*MASTER[[#This Row],[COSTO UNITARIO]]</f>
        <v>392</v>
      </c>
      <c r="V6104" s="2">
        <f>MASTER[[#This Row],[MONTO VENDIDO]]-MASTER[[#This Row],[COSTO DE VENTA]]</f>
        <v>761</v>
      </c>
    </row>
    <row r="6105" spans="1:22" x14ac:dyDescent="0.3">
      <c r="A6105">
        <v>84535</v>
      </c>
      <c r="B6105">
        <v>1</v>
      </c>
      <c r="C6105" t="s">
        <v>114</v>
      </c>
      <c r="D6105" t="s">
        <v>115</v>
      </c>
      <c r="E6105" s="1">
        <v>44489</v>
      </c>
      <c r="F6105">
        <v>1</v>
      </c>
      <c r="G6105" t="s">
        <v>24</v>
      </c>
      <c r="H6105" t="s">
        <v>25</v>
      </c>
      <c r="I6105" s="3">
        <v>1862</v>
      </c>
      <c r="J6105" s="3">
        <v>1675</v>
      </c>
      <c r="K6105" s="3">
        <v>394</v>
      </c>
      <c r="L6105" t="s">
        <v>113</v>
      </c>
      <c r="M6105">
        <v>19</v>
      </c>
      <c r="N6105" t="s">
        <v>89</v>
      </c>
      <c r="O6105" t="s">
        <v>81</v>
      </c>
      <c r="P6105" t="s">
        <v>15</v>
      </c>
      <c r="Q6105" t="s">
        <v>16</v>
      </c>
      <c r="R6105" t="s">
        <v>16</v>
      </c>
      <c r="S6105" t="s">
        <v>144</v>
      </c>
      <c r="T6105" s="2">
        <f>MASTER[[#This Row],[CANTIDAD]]*MASTER[[#This Row],[PRECIO DE VENTA]]</f>
        <v>1675</v>
      </c>
      <c r="U6105" s="2">
        <f>MASTER[[#This Row],[CANTIDAD]]*MASTER[[#This Row],[COSTO UNITARIO]]</f>
        <v>394</v>
      </c>
      <c r="V6105" s="2">
        <f>MASTER[[#This Row],[MONTO VENDIDO]]-MASTER[[#This Row],[COSTO DE VENTA]]</f>
        <v>1281</v>
      </c>
    </row>
    <row r="6106" spans="1:22" x14ac:dyDescent="0.3">
      <c r="A6106">
        <v>84557</v>
      </c>
      <c r="B6106">
        <v>1</v>
      </c>
      <c r="C6106" t="s">
        <v>96</v>
      </c>
      <c r="D6106" t="s">
        <v>97</v>
      </c>
      <c r="E6106" s="1">
        <v>44489</v>
      </c>
      <c r="F6106">
        <v>1</v>
      </c>
      <c r="G6106" t="s">
        <v>47</v>
      </c>
      <c r="H6106" t="s">
        <v>48</v>
      </c>
      <c r="I6106" s="3">
        <v>1361</v>
      </c>
      <c r="J6106" s="3">
        <v>1361</v>
      </c>
      <c r="K6106" s="3">
        <v>397</v>
      </c>
      <c r="L6106" t="s">
        <v>98</v>
      </c>
      <c r="M6106">
        <v>6</v>
      </c>
      <c r="N6106" t="s">
        <v>75</v>
      </c>
      <c r="O6106" t="s">
        <v>70</v>
      </c>
      <c r="P6106" t="s">
        <v>12</v>
      </c>
      <c r="Q6106" t="s">
        <v>13</v>
      </c>
      <c r="R6106" t="s">
        <v>13</v>
      </c>
      <c r="S6106" t="s">
        <v>144</v>
      </c>
      <c r="T6106" s="2">
        <f>MASTER[[#This Row],[CANTIDAD]]*MASTER[[#This Row],[PRECIO DE VENTA]]</f>
        <v>1361</v>
      </c>
      <c r="U6106" s="2">
        <f>MASTER[[#This Row],[CANTIDAD]]*MASTER[[#This Row],[COSTO UNITARIO]]</f>
        <v>397</v>
      </c>
      <c r="V6106" s="2">
        <f>MASTER[[#This Row],[MONTO VENDIDO]]-MASTER[[#This Row],[COSTO DE VENTA]]</f>
        <v>964</v>
      </c>
    </row>
    <row r="6107" spans="1:22" x14ac:dyDescent="0.3">
      <c r="A6107">
        <v>84571</v>
      </c>
      <c r="B6107">
        <v>1</v>
      </c>
      <c r="C6107" t="s">
        <v>114</v>
      </c>
      <c r="D6107" t="s">
        <v>115</v>
      </c>
      <c r="E6107" s="1">
        <v>44489</v>
      </c>
      <c r="F6107">
        <v>1</v>
      </c>
      <c r="G6107" t="s">
        <v>22</v>
      </c>
      <c r="H6107" t="s">
        <v>23</v>
      </c>
      <c r="I6107" s="3">
        <v>1862</v>
      </c>
      <c r="J6107" s="3">
        <v>1862</v>
      </c>
      <c r="K6107" s="3">
        <v>394</v>
      </c>
      <c r="L6107" t="s">
        <v>113</v>
      </c>
      <c r="M6107">
        <v>19</v>
      </c>
      <c r="N6107" t="s">
        <v>89</v>
      </c>
      <c r="O6107" t="s">
        <v>81</v>
      </c>
      <c r="P6107" t="s">
        <v>15</v>
      </c>
      <c r="Q6107" t="s">
        <v>16</v>
      </c>
      <c r="R6107" t="s">
        <v>16</v>
      </c>
      <c r="S6107" t="s">
        <v>144</v>
      </c>
      <c r="T6107" s="2">
        <f>MASTER[[#This Row],[CANTIDAD]]*MASTER[[#This Row],[PRECIO DE VENTA]]</f>
        <v>1862</v>
      </c>
      <c r="U6107" s="2">
        <f>MASTER[[#This Row],[CANTIDAD]]*MASTER[[#This Row],[COSTO UNITARIO]]</f>
        <v>394</v>
      </c>
      <c r="V6107" s="2">
        <f>MASTER[[#This Row],[MONTO VENDIDO]]-MASTER[[#This Row],[COSTO DE VENTA]]</f>
        <v>1468</v>
      </c>
    </row>
    <row r="6108" spans="1:22" x14ac:dyDescent="0.3">
      <c r="A6108">
        <v>84573</v>
      </c>
      <c r="B6108">
        <v>1</v>
      </c>
      <c r="C6108" t="s">
        <v>114</v>
      </c>
      <c r="D6108" t="s">
        <v>115</v>
      </c>
      <c r="E6108" s="1">
        <v>44490</v>
      </c>
      <c r="F6108">
        <v>1</v>
      </c>
      <c r="G6108" t="s">
        <v>31</v>
      </c>
      <c r="H6108" t="s">
        <v>32</v>
      </c>
      <c r="I6108" s="3">
        <v>1862</v>
      </c>
      <c r="J6108" s="3">
        <v>1862</v>
      </c>
      <c r="K6108" s="3">
        <v>394</v>
      </c>
      <c r="L6108" t="s">
        <v>113</v>
      </c>
      <c r="M6108">
        <v>10</v>
      </c>
      <c r="N6108" t="s">
        <v>83</v>
      </c>
      <c r="O6108" t="s">
        <v>81</v>
      </c>
      <c r="P6108" t="s">
        <v>12</v>
      </c>
      <c r="Q6108" t="s">
        <v>13</v>
      </c>
      <c r="R6108" t="s">
        <v>13</v>
      </c>
      <c r="S6108" t="s">
        <v>144</v>
      </c>
      <c r="T6108" s="2">
        <f>MASTER[[#This Row],[CANTIDAD]]*MASTER[[#This Row],[PRECIO DE VENTA]]</f>
        <v>1862</v>
      </c>
      <c r="U6108" s="2">
        <f>MASTER[[#This Row],[CANTIDAD]]*MASTER[[#This Row],[COSTO UNITARIO]]</f>
        <v>394</v>
      </c>
      <c r="V6108" s="2">
        <f>MASTER[[#This Row],[MONTO VENDIDO]]-MASTER[[#This Row],[COSTO DE VENTA]]</f>
        <v>1468</v>
      </c>
    </row>
    <row r="6109" spans="1:22" x14ac:dyDescent="0.3">
      <c r="A6109">
        <v>84583</v>
      </c>
      <c r="B6109">
        <v>1</v>
      </c>
      <c r="C6109" t="s">
        <v>96</v>
      </c>
      <c r="D6109" t="s">
        <v>97</v>
      </c>
      <c r="E6109" s="1">
        <v>44490</v>
      </c>
      <c r="F6109">
        <v>1</v>
      </c>
      <c r="G6109" t="s">
        <v>47</v>
      </c>
      <c r="H6109" t="s">
        <v>48</v>
      </c>
      <c r="I6109" s="3">
        <v>1272</v>
      </c>
      <c r="J6109" s="3">
        <v>1272</v>
      </c>
      <c r="K6109" s="3">
        <v>397</v>
      </c>
      <c r="L6109" t="s">
        <v>98</v>
      </c>
      <c r="M6109">
        <v>5</v>
      </c>
      <c r="N6109" t="s">
        <v>85</v>
      </c>
      <c r="O6109" t="s">
        <v>81</v>
      </c>
      <c r="P6109" t="s">
        <v>12</v>
      </c>
      <c r="Q6109" t="s">
        <v>13</v>
      </c>
      <c r="R6109" t="s">
        <v>13</v>
      </c>
      <c r="S6109" t="s">
        <v>144</v>
      </c>
      <c r="T6109" s="2">
        <f>MASTER[[#This Row],[CANTIDAD]]*MASTER[[#This Row],[PRECIO DE VENTA]]</f>
        <v>1272</v>
      </c>
      <c r="U6109" s="2">
        <f>MASTER[[#This Row],[CANTIDAD]]*MASTER[[#This Row],[COSTO UNITARIO]]</f>
        <v>397</v>
      </c>
      <c r="V6109" s="2">
        <f>MASTER[[#This Row],[MONTO VENDIDO]]-MASTER[[#This Row],[COSTO DE VENTA]]</f>
        <v>875</v>
      </c>
    </row>
    <row r="6110" spans="1:22" x14ac:dyDescent="0.3">
      <c r="A6110">
        <v>84584</v>
      </c>
      <c r="B6110">
        <v>1</v>
      </c>
      <c r="C6110" t="s">
        <v>99</v>
      </c>
      <c r="D6110" t="s">
        <v>100</v>
      </c>
      <c r="E6110" s="1">
        <v>44490</v>
      </c>
      <c r="F6110">
        <v>1</v>
      </c>
      <c r="G6110" t="s">
        <v>35</v>
      </c>
      <c r="H6110" t="s">
        <v>36</v>
      </c>
      <c r="I6110" s="3">
        <v>1678</v>
      </c>
      <c r="J6110" s="3">
        <v>1678</v>
      </c>
      <c r="K6110" s="3">
        <v>386</v>
      </c>
      <c r="L6110" t="s">
        <v>98</v>
      </c>
      <c r="M6110">
        <v>3</v>
      </c>
      <c r="N6110" t="s">
        <v>69</v>
      </c>
      <c r="O6110" t="s">
        <v>70</v>
      </c>
      <c r="P6110" t="s">
        <v>71</v>
      </c>
      <c r="Q6110" t="s">
        <v>72</v>
      </c>
      <c r="R6110" t="s">
        <v>139</v>
      </c>
      <c r="S6110" t="s">
        <v>144</v>
      </c>
      <c r="T6110" s="2">
        <f>MASTER[[#This Row],[CANTIDAD]]*MASTER[[#This Row],[PRECIO DE VENTA]]</f>
        <v>1678</v>
      </c>
      <c r="U6110" s="2">
        <f>MASTER[[#This Row],[CANTIDAD]]*MASTER[[#This Row],[COSTO UNITARIO]]</f>
        <v>386</v>
      </c>
      <c r="V6110" s="2">
        <f>MASTER[[#This Row],[MONTO VENDIDO]]-MASTER[[#This Row],[COSTO DE VENTA]]</f>
        <v>1292</v>
      </c>
    </row>
    <row r="6111" spans="1:22" x14ac:dyDescent="0.3">
      <c r="A6111">
        <v>84592</v>
      </c>
      <c r="B6111">
        <v>1</v>
      </c>
      <c r="C6111" t="s">
        <v>96</v>
      </c>
      <c r="D6111" t="s">
        <v>97</v>
      </c>
      <c r="E6111" s="1">
        <v>44490</v>
      </c>
      <c r="F6111">
        <v>1</v>
      </c>
      <c r="G6111" t="s">
        <v>29</v>
      </c>
      <c r="H6111" t="s">
        <v>30</v>
      </c>
      <c r="I6111" s="3">
        <v>1196</v>
      </c>
      <c r="J6111" s="3">
        <v>1100</v>
      </c>
      <c r="K6111" s="3">
        <v>397</v>
      </c>
      <c r="L6111" t="s">
        <v>98</v>
      </c>
      <c r="M6111">
        <v>17</v>
      </c>
      <c r="N6111" t="s">
        <v>14</v>
      </c>
      <c r="O6111" t="s">
        <v>11</v>
      </c>
      <c r="P6111" t="s">
        <v>15</v>
      </c>
      <c r="Q6111" t="s">
        <v>16</v>
      </c>
      <c r="R6111" t="s">
        <v>16</v>
      </c>
      <c r="S6111" t="s">
        <v>144</v>
      </c>
      <c r="T6111" s="2">
        <f>MASTER[[#This Row],[CANTIDAD]]*MASTER[[#This Row],[PRECIO DE VENTA]]</f>
        <v>1100</v>
      </c>
      <c r="U6111" s="2">
        <f>MASTER[[#This Row],[CANTIDAD]]*MASTER[[#This Row],[COSTO UNITARIO]]</f>
        <v>397</v>
      </c>
      <c r="V6111" s="2">
        <f>MASTER[[#This Row],[MONTO VENDIDO]]-MASTER[[#This Row],[COSTO DE VENTA]]</f>
        <v>703</v>
      </c>
    </row>
    <row r="6112" spans="1:22" x14ac:dyDescent="0.3">
      <c r="A6112">
        <v>84609</v>
      </c>
      <c r="B6112">
        <v>1</v>
      </c>
      <c r="C6112" t="s">
        <v>118</v>
      </c>
      <c r="D6112" t="s">
        <v>119</v>
      </c>
      <c r="E6112" s="1">
        <v>44490</v>
      </c>
      <c r="F6112">
        <v>1</v>
      </c>
      <c r="G6112" t="s">
        <v>24</v>
      </c>
      <c r="H6112" t="s">
        <v>25</v>
      </c>
      <c r="I6112" s="3">
        <v>801</v>
      </c>
      <c r="J6112" s="3">
        <v>801</v>
      </c>
      <c r="K6112" s="3">
        <v>424</v>
      </c>
      <c r="L6112" t="s">
        <v>120</v>
      </c>
      <c r="M6112">
        <v>17</v>
      </c>
      <c r="N6112" t="s">
        <v>14</v>
      </c>
      <c r="O6112" t="s">
        <v>11</v>
      </c>
      <c r="P6112" t="s">
        <v>15</v>
      </c>
      <c r="Q6112" t="s">
        <v>16</v>
      </c>
      <c r="R6112" t="s">
        <v>16</v>
      </c>
      <c r="S6112" t="s">
        <v>144</v>
      </c>
      <c r="T6112" s="2">
        <f>MASTER[[#This Row],[CANTIDAD]]*MASTER[[#This Row],[PRECIO DE VENTA]]</f>
        <v>801</v>
      </c>
      <c r="U6112" s="2">
        <f>MASTER[[#This Row],[CANTIDAD]]*MASTER[[#This Row],[COSTO UNITARIO]]</f>
        <v>424</v>
      </c>
      <c r="V6112" s="2">
        <f>MASTER[[#This Row],[MONTO VENDIDO]]-MASTER[[#This Row],[COSTO DE VENTA]]</f>
        <v>377</v>
      </c>
    </row>
    <row r="6113" spans="1:22" x14ac:dyDescent="0.3">
      <c r="A6113">
        <v>84611</v>
      </c>
      <c r="B6113">
        <v>1</v>
      </c>
      <c r="C6113" t="s">
        <v>118</v>
      </c>
      <c r="D6113" t="s">
        <v>119</v>
      </c>
      <c r="E6113" s="1">
        <v>44490</v>
      </c>
      <c r="F6113">
        <v>1</v>
      </c>
      <c r="G6113" t="s">
        <v>49</v>
      </c>
      <c r="H6113" t="s">
        <v>50</v>
      </c>
      <c r="I6113" s="3">
        <v>900</v>
      </c>
      <c r="J6113" s="3">
        <v>900</v>
      </c>
      <c r="K6113" s="3">
        <v>424</v>
      </c>
      <c r="L6113" t="s">
        <v>120</v>
      </c>
      <c r="M6113">
        <v>7</v>
      </c>
      <c r="N6113" t="s">
        <v>84</v>
      </c>
      <c r="O6113" t="s">
        <v>81</v>
      </c>
      <c r="P6113" t="s">
        <v>12</v>
      </c>
      <c r="Q6113" t="s">
        <v>13</v>
      </c>
      <c r="R6113" t="s">
        <v>13</v>
      </c>
      <c r="S6113" t="s">
        <v>144</v>
      </c>
      <c r="T6113" s="2">
        <f>MASTER[[#This Row],[CANTIDAD]]*MASTER[[#This Row],[PRECIO DE VENTA]]</f>
        <v>900</v>
      </c>
      <c r="U6113" s="2">
        <f>MASTER[[#This Row],[CANTIDAD]]*MASTER[[#This Row],[COSTO UNITARIO]]</f>
        <v>424</v>
      </c>
      <c r="V6113" s="2">
        <f>MASTER[[#This Row],[MONTO VENDIDO]]-MASTER[[#This Row],[COSTO DE VENTA]]</f>
        <v>476</v>
      </c>
    </row>
    <row r="6114" spans="1:22" x14ac:dyDescent="0.3">
      <c r="A6114">
        <v>84618</v>
      </c>
      <c r="B6114">
        <v>1</v>
      </c>
      <c r="C6114" t="s">
        <v>114</v>
      </c>
      <c r="D6114" t="s">
        <v>115</v>
      </c>
      <c r="E6114" s="1">
        <v>44490</v>
      </c>
      <c r="F6114">
        <v>1</v>
      </c>
      <c r="G6114" t="s">
        <v>63</v>
      </c>
      <c r="H6114" t="s">
        <v>64</v>
      </c>
      <c r="I6114" s="3">
        <v>1583</v>
      </c>
      <c r="J6114" s="3">
        <v>1503</v>
      </c>
      <c r="K6114" s="3">
        <v>394</v>
      </c>
      <c r="L6114" t="s">
        <v>113</v>
      </c>
      <c r="M6114">
        <v>11</v>
      </c>
      <c r="N6114" t="s">
        <v>10</v>
      </c>
      <c r="O6114" t="s">
        <v>11</v>
      </c>
      <c r="P6114" t="s">
        <v>12</v>
      </c>
      <c r="Q6114" t="s">
        <v>13</v>
      </c>
      <c r="R6114" t="s">
        <v>13</v>
      </c>
      <c r="S6114" t="s">
        <v>144</v>
      </c>
      <c r="T6114" s="2">
        <f>MASTER[[#This Row],[CANTIDAD]]*MASTER[[#This Row],[PRECIO DE VENTA]]</f>
        <v>1503</v>
      </c>
      <c r="U6114" s="2">
        <f>MASTER[[#This Row],[CANTIDAD]]*MASTER[[#This Row],[COSTO UNITARIO]]</f>
        <v>394</v>
      </c>
      <c r="V6114" s="2">
        <f>MASTER[[#This Row],[MONTO VENDIDO]]-MASTER[[#This Row],[COSTO DE VENTA]]</f>
        <v>1109</v>
      </c>
    </row>
    <row r="6115" spans="1:22" x14ac:dyDescent="0.3">
      <c r="A6115">
        <v>84620</v>
      </c>
      <c r="B6115">
        <v>1</v>
      </c>
      <c r="C6115" t="s">
        <v>114</v>
      </c>
      <c r="D6115" t="s">
        <v>115</v>
      </c>
      <c r="E6115" s="1">
        <v>44490</v>
      </c>
      <c r="F6115">
        <v>1</v>
      </c>
      <c r="G6115" t="s">
        <v>43</v>
      </c>
      <c r="H6115" t="s">
        <v>44</v>
      </c>
      <c r="I6115" s="3">
        <v>1583</v>
      </c>
      <c r="J6115" s="3">
        <v>1583</v>
      </c>
      <c r="K6115" s="3">
        <v>394</v>
      </c>
      <c r="L6115" t="s">
        <v>113</v>
      </c>
      <c r="M6115">
        <v>11</v>
      </c>
      <c r="N6115" t="s">
        <v>10</v>
      </c>
      <c r="O6115" t="s">
        <v>11</v>
      </c>
      <c r="P6115" t="s">
        <v>12</v>
      </c>
      <c r="Q6115" t="s">
        <v>13</v>
      </c>
      <c r="R6115" t="s">
        <v>13</v>
      </c>
      <c r="S6115" t="s">
        <v>144</v>
      </c>
      <c r="T6115" s="2">
        <f>MASTER[[#This Row],[CANTIDAD]]*MASTER[[#This Row],[PRECIO DE VENTA]]</f>
        <v>1583</v>
      </c>
      <c r="U6115" s="2">
        <f>MASTER[[#This Row],[CANTIDAD]]*MASTER[[#This Row],[COSTO UNITARIO]]</f>
        <v>394</v>
      </c>
      <c r="V6115" s="2">
        <f>MASTER[[#This Row],[MONTO VENDIDO]]-MASTER[[#This Row],[COSTO DE VENTA]]</f>
        <v>1189</v>
      </c>
    </row>
    <row r="6116" spans="1:22" x14ac:dyDescent="0.3">
      <c r="A6116">
        <v>84634</v>
      </c>
      <c r="B6116">
        <v>1</v>
      </c>
      <c r="C6116" t="s">
        <v>121</v>
      </c>
      <c r="D6116" t="s">
        <v>122</v>
      </c>
      <c r="E6116" s="1">
        <v>44491</v>
      </c>
      <c r="F6116">
        <v>1</v>
      </c>
      <c r="G6116" t="s">
        <v>73</v>
      </c>
      <c r="H6116" t="s">
        <v>74</v>
      </c>
      <c r="I6116" s="3">
        <v>941</v>
      </c>
      <c r="J6116" s="3">
        <v>941</v>
      </c>
      <c r="K6116" s="3">
        <v>460</v>
      </c>
      <c r="L6116" t="s">
        <v>120</v>
      </c>
      <c r="M6116">
        <v>17</v>
      </c>
      <c r="N6116" t="s">
        <v>14</v>
      </c>
      <c r="O6116" t="s">
        <v>11</v>
      </c>
      <c r="P6116" t="s">
        <v>15</v>
      </c>
      <c r="Q6116" t="s">
        <v>16</v>
      </c>
      <c r="R6116" t="s">
        <v>16</v>
      </c>
      <c r="S6116" t="s">
        <v>144</v>
      </c>
      <c r="T6116" s="2">
        <f>MASTER[[#This Row],[CANTIDAD]]*MASTER[[#This Row],[PRECIO DE VENTA]]</f>
        <v>941</v>
      </c>
      <c r="U6116" s="2">
        <f>MASTER[[#This Row],[CANTIDAD]]*MASTER[[#This Row],[COSTO UNITARIO]]</f>
        <v>460</v>
      </c>
      <c r="V6116" s="2">
        <f>MASTER[[#This Row],[MONTO VENDIDO]]-MASTER[[#This Row],[COSTO DE VENTA]]</f>
        <v>481</v>
      </c>
    </row>
    <row r="6117" spans="1:22" x14ac:dyDescent="0.3">
      <c r="A6117">
        <v>84635</v>
      </c>
      <c r="B6117">
        <v>1</v>
      </c>
      <c r="C6117" t="s">
        <v>5</v>
      </c>
      <c r="D6117" t="s">
        <v>6</v>
      </c>
      <c r="E6117" s="1">
        <v>44491</v>
      </c>
      <c r="F6117">
        <v>1</v>
      </c>
      <c r="G6117" t="s">
        <v>45</v>
      </c>
      <c r="H6117" t="s">
        <v>46</v>
      </c>
      <c r="I6117" s="3">
        <v>1296</v>
      </c>
      <c r="J6117" s="3">
        <v>1296</v>
      </c>
      <c r="K6117" s="3">
        <v>393</v>
      </c>
      <c r="L6117" t="s">
        <v>9</v>
      </c>
      <c r="M6117">
        <v>1</v>
      </c>
      <c r="N6117" t="s">
        <v>77</v>
      </c>
      <c r="O6117" t="s">
        <v>70</v>
      </c>
      <c r="P6117" t="s">
        <v>71</v>
      </c>
      <c r="Q6117" t="s">
        <v>72</v>
      </c>
      <c r="R6117" t="s">
        <v>139</v>
      </c>
      <c r="S6117" t="s">
        <v>144</v>
      </c>
      <c r="T6117" s="2">
        <f>MASTER[[#This Row],[CANTIDAD]]*MASTER[[#This Row],[PRECIO DE VENTA]]</f>
        <v>1296</v>
      </c>
      <c r="U6117" s="2">
        <f>MASTER[[#This Row],[CANTIDAD]]*MASTER[[#This Row],[COSTO UNITARIO]]</f>
        <v>393</v>
      </c>
      <c r="V6117" s="2">
        <f>MASTER[[#This Row],[MONTO VENDIDO]]-MASTER[[#This Row],[COSTO DE VENTA]]</f>
        <v>903</v>
      </c>
    </row>
    <row r="6118" spans="1:22" x14ac:dyDescent="0.3">
      <c r="A6118">
        <v>84643</v>
      </c>
      <c r="B6118">
        <v>1</v>
      </c>
      <c r="C6118" t="s">
        <v>118</v>
      </c>
      <c r="D6118" t="s">
        <v>119</v>
      </c>
      <c r="E6118" s="1">
        <v>44491</v>
      </c>
      <c r="F6118">
        <v>1</v>
      </c>
      <c r="G6118" t="s">
        <v>31</v>
      </c>
      <c r="H6118" t="s">
        <v>32</v>
      </c>
      <c r="I6118" s="3">
        <v>801</v>
      </c>
      <c r="J6118" s="3">
        <v>801</v>
      </c>
      <c r="K6118" s="3">
        <v>424</v>
      </c>
      <c r="L6118" t="s">
        <v>120</v>
      </c>
      <c r="M6118">
        <v>11</v>
      </c>
      <c r="N6118" t="s">
        <v>10</v>
      </c>
      <c r="O6118" t="s">
        <v>11</v>
      </c>
      <c r="P6118" t="s">
        <v>12</v>
      </c>
      <c r="Q6118" t="s">
        <v>13</v>
      </c>
      <c r="R6118" t="s">
        <v>13</v>
      </c>
      <c r="S6118" t="s">
        <v>144</v>
      </c>
      <c r="T6118" s="2">
        <f>MASTER[[#This Row],[CANTIDAD]]*MASTER[[#This Row],[PRECIO DE VENTA]]</f>
        <v>801</v>
      </c>
      <c r="U6118" s="2">
        <f>MASTER[[#This Row],[CANTIDAD]]*MASTER[[#This Row],[COSTO UNITARIO]]</f>
        <v>424</v>
      </c>
      <c r="V6118" s="2">
        <f>MASTER[[#This Row],[MONTO VENDIDO]]-MASTER[[#This Row],[COSTO DE VENTA]]</f>
        <v>377</v>
      </c>
    </row>
    <row r="6119" spans="1:22" x14ac:dyDescent="0.3">
      <c r="A6119">
        <v>84648</v>
      </c>
      <c r="B6119">
        <v>1</v>
      </c>
      <c r="C6119" t="s">
        <v>103</v>
      </c>
      <c r="D6119" t="s">
        <v>104</v>
      </c>
      <c r="E6119" s="1">
        <v>44491</v>
      </c>
      <c r="F6119">
        <v>1</v>
      </c>
      <c r="G6119" t="s">
        <v>67</v>
      </c>
      <c r="H6119" t="s">
        <v>68</v>
      </c>
      <c r="I6119" s="3">
        <v>1830</v>
      </c>
      <c r="J6119" s="3">
        <v>1830</v>
      </c>
      <c r="K6119" s="3">
        <v>421</v>
      </c>
      <c r="L6119" t="s">
        <v>98</v>
      </c>
      <c r="M6119">
        <v>18</v>
      </c>
      <c r="N6119" t="s">
        <v>79</v>
      </c>
      <c r="O6119" t="s">
        <v>70</v>
      </c>
      <c r="P6119" t="s">
        <v>15</v>
      </c>
      <c r="Q6119" t="s">
        <v>16</v>
      </c>
      <c r="R6119" t="s">
        <v>16</v>
      </c>
      <c r="S6119" t="s">
        <v>144</v>
      </c>
      <c r="T6119" s="2">
        <f>MASTER[[#This Row],[CANTIDAD]]*MASTER[[#This Row],[PRECIO DE VENTA]]</f>
        <v>1830</v>
      </c>
      <c r="U6119" s="2">
        <f>MASTER[[#This Row],[CANTIDAD]]*MASTER[[#This Row],[COSTO UNITARIO]]</f>
        <v>421</v>
      </c>
      <c r="V6119" s="2">
        <f>MASTER[[#This Row],[MONTO VENDIDO]]-MASTER[[#This Row],[COSTO DE VENTA]]</f>
        <v>1409</v>
      </c>
    </row>
    <row r="6120" spans="1:22" x14ac:dyDescent="0.3">
      <c r="A6120">
        <v>84657</v>
      </c>
      <c r="B6120">
        <v>1</v>
      </c>
      <c r="C6120" t="s">
        <v>118</v>
      </c>
      <c r="D6120" t="s">
        <v>119</v>
      </c>
      <c r="E6120" s="1">
        <v>44491</v>
      </c>
      <c r="F6120">
        <v>1</v>
      </c>
      <c r="G6120" t="s">
        <v>73</v>
      </c>
      <c r="H6120" t="s">
        <v>74</v>
      </c>
      <c r="I6120" s="3">
        <v>1026</v>
      </c>
      <c r="J6120" s="3">
        <v>1026</v>
      </c>
      <c r="K6120" s="3">
        <v>424</v>
      </c>
      <c r="L6120" t="s">
        <v>120</v>
      </c>
      <c r="M6120">
        <v>6</v>
      </c>
      <c r="N6120" t="s">
        <v>75</v>
      </c>
      <c r="O6120" t="s">
        <v>70</v>
      </c>
      <c r="P6120" t="s">
        <v>12</v>
      </c>
      <c r="Q6120" t="s">
        <v>13</v>
      </c>
      <c r="R6120" t="s">
        <v>13</v>
      </c>
      <c r="S6120" t="s">
        <v>144</v>
      </c>
      <c r="T6120" s="2">
        <f>MASTER[[#This Row],[CANTIDAD]]*MASTER[[#This Row],[PRECIO DE VENTA]]</f>
        <v>1026</v>
      </c>
      <c r="U6120" s="2">
        <f>MASTER[[#This Row],[CANTIDAD]]*MASTER[[#This Row],[COSTO UNITARIO]]</f>
        <v>424</v>
      </c>
      <c r="V6120" s="2">
        <f>MASTER[[#This Row],[MONTO VENDIDO]]-MASTER[[#This Row],[COSTO DE VENTA]]</f>
        <v>602</v>
      </c>
    </row>
    <row r="6121" spans="1:22" x14ac:dyDescent="0.3">
      <c r="A6121">
        <v>84663</v>
      </c>
      <c r="B6121">
        <v>1</v>
      </c>
      <c r="C6121" t="s">
        <v>99</v>
      </c>
      <c r="D6121" t="s">
        <v>100</v>
      </c>
      <c r="E6121" s="1">
        <v>44491</v>
      </c>
      <c r="F6121">
        <v>1</v>
      </c>
      <c r="G6121" t="s">
        <v>24</v>
      </c>
      <c r="H6121" t="s">
        <v>25</v>
      </c>
      <c r="I6121" s="3">
        <v>1678</v>
      </c>
      <c r="J6121" s="3">
        <v>1678</v>
      </c>
      <c r="K6121" s="3">
        <v>386</v>
      </c>
      <c r="L6121" t="s">
        <v>98</v>
      </c>
      <c r="M6121">
        <v>13</v>
      </c>
      <c r="N6121" t="s">
        <v>78</v>
      </c>
      <c r="O6121" t="s">
        <v>70</v>
      </c>
      <c r="P6121" t="s">
        <v>18</v>
      </c>
      <c r="Q6121" t="s">
        <v>19</v>
      </c>
      <c r="R6121" t="s">
        <v>138</v>
      </c>
      <c r="S6121" t="s">
        <v>144</v>
      </c>
      <c r="T6121" s="2">
        <f>MASTER[[#This Row],[CANTIDAD]]*MASTER[[#This Row],[PRECIO DE VENTA]]</f>
        <v>1678</v>
      </c>
      <c r="U6121" s="2">
        <f>MASTER[[#This Row],[CANTIDAD]]*MASTER[[#This Row],[COSTO UNITARIO]]</f>
        <v>386</v>
      </c>
      <c r="V6121" s="2">
        <f>MASTER[[#This Row],[MONTO VENDIDO]]-MASTER[[#This Row],[COSTO DE VENTA]]</f>
        <v>1292</v>
      </c>
    </row>
    <row r="6122" spans="1:22" x14ac:dyDescent="0.3">
      <c r="A6122">
        <v>84670</v>
      </c>
      <c r="B6122">
        <v>1</v>
      </c>
      <c r="C6122" t="s">
        <v>101</v>
      </c>
      <c r="D6122" t="s">
        <v>102</v>
      </c>
      <c r="E6122" s="1">
        <v>44491</v>
      </c>
      <c r="F6122">
        <v>1</v>
      </c>
      <c r="G6122" t="s">
        <v>73</v>
      </c>
      <c r="H6122" t="s">
        <v>74</v>
      </c>
      <c r="I6122" s="3">
        <v>1212</v>
      </c>
      <c r="J6122" s="3">
        <v>1212</v>
      </c>
      <c r="K6122" s="3">
        <v>442</v>
      </c>
      <c r="L6122" t="s">
        <v>98</v>
      </c>
      <c r="M6122">
        <v>2</v>
      </c>
      <c r="N6122" t="s">
        <v>86</v>
      </c>
      <c r="O6122" t="s">
        <v>81</v>
      </c>
      <c r="P6122" t="s">
        <v>71</v>
      </c>
      <c r="Q6122" t="s">
        <v>72</v>
      </c>
      <c r="R6122" t="s">
        <v>139</v>
      </c>
      <c r="S6122" t="s">
        <v>144</v>
      </c>
      <c r="T6122" s="2">
        <f>MASTER[[#This Row],[CANTIDAD]]*MASTER[[#This Row],[PRECIO DE VENTA]]</f>
        <v>1212</v>
      </c>
      <c r="U6122" s="2">
        <f>MASTER[[#This Row],[CANTIDAD]]*MASTER[[#This Row],[COSTO UNITARIO]]</f>
        <v>442</v>
      </c>
      <c r="V6122" s="2">
        <f>MASTER[[#This Row],[MONTO VENDIDO]]-MASTER[[#This Row],[COSTO DE VENTA]]</f>
        <v>770</v>
      </c>
    </row>
    <row r="6123" spans="1:22" x14ac:dyDescent="0.3">
      <c r="A6123">
        <v>84688</v>
      </c>
      <c r="B6123">
        <v>1</v>
      </c>
      <c r="C6123" t="s">
        <v>101</v>
      </c>
      <c r="D6123" t="s">
        <v>102</v>
      </c>
      <c r="E6123" s="1">
        <v>44491</v>
      </c>
      <c r="F6123">
        <v>1</v>
      </c>
      <c r="G6123" t="s">
        <v>20</v>
      </c>
      <c r="H6123" t="s">
        <v>21</v>
      </c>
      <c r="I6123" s="3">
        <v>1054</v>
      </c>
      <c r="J6123" s="3">
        <v>1054</v>
      </c>
      <c r="K6123" s="3">
        <v>442</v>
      </c>
      <c r="L6123" t="s">
        <v>98</v>
      </c>
      <c r="M6123">
        <v>11</v>
      </c>
      <c r="N6123" t="s">
        <v>10</v>
      </c>
      <c r="O6123" t="s">
        <v>11</v>
      </c>
      <c r="P6123" t="s">
        <v>12</v>
      </c>
      <c r="Q6123" t="s">
        <v>13</v>
      </c>
      <c r="R6123" t="s">
        <v>13</v>
      </c>
      <c r="S6123" t="s">
        <v>144</v>
      </c>
      <c r="T6123" s="2">
        <f>MASTER[[#This Row],[CANTIDAD]]*MASTER[[#This Row],[PRECIO DE VENTA]]</f>
        <v>1054</v>
      </c>
      <c r="U6123" s="2">
        <f>MASTER[[#This Row],[CANTIDAD]]*MASTER[[#This Row],[COSTO UNITARIO]]</f>
        <v>442</v>
      </c>
      <c r="V6123" s="2">
        <f>MASTER[[#This Row],[MONTO VENDIDO]]-MASTER[[#This Row],[COSTO DE VENTA]]</f>
        <v>612</v>
      </c>
    </row>
    <row r="6124" spans="1:22" x14ac:dyDescent="0.3">
      <c r="A6124">
        <v>84695</v>
      </c>
      <c r="B6124">
        <v>1</v>
      </c>
      <c r="C6124" t="s">
        <v>121</v>
      </c>
      <c r="D6124" t="s">
        <v>122</v>
      </c>
      <c r="E6124" s="1">
        <v>44491</v>
      </c>
      <c r="F6124">
        <v>1</v>
      </c>
      <c r="G6124" t="s">
        <v>41</v>
      </c>
      <c r="H6124" t="s">
        <v>42</v>
      </c>
      <c r="I6124" s="3">
        <v>1069</v>
      </c>
      <c r="J6124" s="3">
        <v>1069</v>
      </c>
      <c r="K6124" s="3">
        <v>460</v>
      </c>
      <c r="L6124" t="s">
        <v>120</v>
      </c>
      <c r="M6124">
        <v>19</v>
      </c>
      <c r="N6124" t="s">
        <v>89</v>
      </c>
      <c r="O6124" t="s">
        <v>81</v>
      </c>
      <c r="P6124" t="s">
        <v>15</v>
      </c>
      <c r="Q6124" t="s">
        <v>16</v>
      </c>
      <c r="R6124" t="s">
        <v>16</v>
      </c>
      <c r="S6124" t="s">
        <v>144</v>
      </c>
      <c r="T6124" s="2">
        <f>MASTER[[#This Row],[CANTIDAD]]*MASTER[[#This Row],[PRECIO DE VENTA]]</f>
        <v>1069</v>
      </c>
      <c r="U6124" s="2">
        <f>MASTER[[#This Row],[CANTIDAD]]*MASTER[[#This Row],[COSTO UNITARIO]]</f>
        <v>460</v>
      </c>
      <c r="V6124" s="2">
        <f>MASTER[[#This Row],[MONTO VENDIDO]]-MASTER[[#This Row],[COSTO DE VENTA]]</f>
        <v>609</v>
      </c>
    </row>
    <row r="6125" spans="1:22" x14ac:dyDescent="0.3">
      <c r="A6125">
        <v>84697</v>
      </c>
      <c r="B6125">
        <v>1</v>
      </c>
      <c r="C6125" t="s">
        <v>101</v>
      </c>
      <c r="D6125" t="s">
        <v>102</v>
      </c>
      <c r="E6125" s="1">
        <v>44491</v>
      </c>
      <c r="F6125">
        <v>1</v>
      </c>
      <c r="G6125" t="s">
        <v>59</v>
      </c>
      <c r="H6125" t="s">
        <v>60</v>
      </c>
      <c r="I6125" s="3">
        <v>1212</v>
      </c>
      <c r="J6125" s="3">
        <v>1212</v>
      </c>
      <c r="K6125" s="3">
        <v>442</v>
      </c>
      <c r="L6125" t="s">
        <v>98</v>
      </c>
      <c r="M6125">
        <v>5</v>
      </c>
      <c r="N6125" t="s">
        <v>85</v>
      </c>
      <c r="O6125" t="s">
        <v>81</v>
      </c>
      <c r="P6125" t="s">
        <v>12</v>
      </c>
      <c r="Q6125" t="s">
        <v>13</v>
      </c>
      <c r="R6125" t="s">
        <v>13</v>
      </c>
      <c r="S6125" t="s">
        <v>144</v>
      </c>
      <c r="T6125" s="2">
        <f>MASTER[[#This Row],[CANTIDAD]]*MASTER[[#This Row],[PRECIO DE VENTA]]</f>
        <v>1212</v>
      </c>
      <c r="U6125" s="2">
        <f>MASTER[[#This Row],[CANTIDAD]]*MASTER[[#This Row],[COSTO UNITARIO]]</f>
        <v>442</v>
      </c>
      <c r="V6125" s="2">
        <f>MASTER[[#This Row],[MONTO VENDIDO]]-MASTER[[#This Row],[COSTO DE VENTA]]</f>
        <v>770</v>
      </c>
    </row>
    <row r="6126" spans="1:22" x14ac:dyDescent="0.3">
      <c r="A6126">
        <v>84718</v>
      </c>
      <c r="B6126">
        <v>1</v>
      </c>
      <c r="C6126" t="s">
        <v>114</v>
      </c>
      <c r="D6126" t="s">
        <v>115</v>
      </c>
      <c r="E6126" s="1">
        <v>44491</v>
      </c>
      <c r="F6126">
        <v>1</v>
      </c>
      <c r="G6126" t="s">
        <v>67</v>
      </c>
      <c r="H6126" t="s">
        <v>68</v>
      </c>
      <c r="I6126" s="3">
        <v>1583</v>
      </c>
      <c r="J6126" s="3">
        <v>1583</v>
      </c>
      <c r="K6126" s="3">
        <v>394</v>
      </c>
      <c r="L6126" t="s">
        <v>113</v>
      </c>
      <c r="M6126">
        <v>12</v>
      </c>
      <c r="N6126" t="s">
        <v>26</v>
      </c>
      <c r="O6126" t="s">
        <v>11</v>
      </c>
      <c r="P6126" t="s">
        <v>12</v>
      </c>
      <c r="Q6126" t="s">
        <v>13</v>
      </c>
      <c r="R6126" t="s">
        <v>13</v>
      </c>
      <c r="S6126" t="s">
        <v>144</v>
      </c>
      <c r="T6126" s="2">
        <f>MASTER[[#This Row],[CANTIDAD]]*MASTER[[#This Row],[PRECIO DE VENTA]]</f>
        <v>1583</v>
      </c>
      <c r="U6126" s="2">
        <f>MASTER[[#This Row],[CANTIDAD]]*MASTER[[#This Row],[COSTO UNITARIO]]</f>
        <v>394</v>
      </c>
      <c r="V6126" s="2">
        <f>MASTER[[#This Row],[MONTO VENDIDO]]-MASTER[[#This Row],[COSTO DE VENTA]]</f>
        <v>1189</v>
      </c>
    </row>
    <row r="6127" spans="1:22" x14ac:dyDescent="0.3">
      <c r="A6127">
        <v>84739</v>
      </c>
      <c r="B6127">
        <v>1</v>
      </c>
      <c r="C6127" t="s">
        <v>90</v>
      </c>
      <c r="D6127" t="s">
        <v>91</v>
      </c>
      <c r="E6127" s="1">
        <v>44491</v>
      </c>
      <c r="F6127">
        <v>1</v>
      </c>
      <c r="G6127" t="s">
        <v>55</v>
      </c>
      <c r="H6127" t="s">
        <v>56</v>
      </c>
      <c r="I6127" s="3">
        <v>1660</v>
      </c>
      <c r="J6127" s="3">
        <v>1660</v>
      </c>
      <c r="K6127" s="3">
        <v>420</v>
      </c>
      <c r="L6127" t="s">
        <v>9</v>
      </c>
      <c r="M6127">
        <v>16</v>
      </c>
      <c r="N6127" t="s">
        <v>17</v>
      </c>
      <c r="O6127" t="s">
        <v>11</v>
      </c>
      <c r="P6127" t="s">
        <v>18</v>
      </c>
      <c r="Q6127" t="s">
        <v>19</v>
      </c>
      <c r="R6127" t="s">
        <v>138</v>
      </c>
      <c r="S6127" t="s">
        <v>144</v>
      </c>
      <c r="T6127" s="2">
        <f>MASTER[[#This Row],[CANTIDAD]]*MASTER[[#This Row],[PRECIO DE VENTA]]</f>
        <v>1660</v>
      </c>
      <c r="U6127" s="2">
        <f>MASTER[[#This Row],[CANTIDAD]]*MASTER[[#This Row],[COSTO UNITARIO]]</f>
        <v>420</v>
      </c>
      <c r="V6127" s="2">
        <f>MASTER[[#This Row],[MONTO VENDIDO]]-MASTER[[#This Row],[COSTO DE VENTA]]</f>
        <v>1240</v>
      </c>
    </row>
    <row r="6128" spans="1:22" x14ac:dyDescent="0.3">
      <c r="A6128">
        <v>84745</v>
      </c>
      <c r="B6128">
        <v>1</v>
      </c>
      <c r="C6128" t="s">
        <v>114</v>
      </c>
      <c r="D6128" t="s">
        <v>115</v>
      </c>
      <c r="E6128" s="1">
        <v>44491</v>
      </c>
      <c r="F6128">
        <v>1</v>
      </c>
      <c r="G6128" t="s">
        <v>53</v>
      </c>
      <c r="H6128" t="s">
        <v>54</v>
      </c>
      <c r="I6128" s="3">
        <v>1583</v>
      </c>
      <c r="J6128" s="3">
        <v>1583</v>
      </c>
      <c r="K6128" s="3">
        <v>394</v>
      </c>
      <c r="L6128" t="s">
        <v>113</v>
      </c>
      <c r="M6128">
        <v>12</v>
      </c>
      <c r="N6128" t="s">
        <v>26</v>
      </c>
      <c r="O6128" t="s">
        <v>11</v>
      </c>
      <c r="P6128" t="s">
        <v>12</v>
      </c>
      <c r="Q6128" t="s">
        <v>13</v>
      </c>
      <c r="R6128" t="s">
        <v>13</v>
      </c>
      <c r="S6128" t="s">
        <v>144</v>
      </c>
      <c r="T6128" s="2">
        <f>MASTER[[#This Row],[CANTIDAD]]*MASTER[[#This Row],[PRECIO DE VENTA]]</f>
        <v>1583</v>
      </c>
      <c r="U6128" s="2">
        <f>MASTER[[#This Row],[CANTIDAD]]*MASTER[[#This Row],[COSTO UNITARIO]]</f>
        <v>394</v>
      </c>
      <c r="V6128" s="2">
        <f>MASTER[[#This Row],[MONTO VENDIDO]]-MASTER[[#This Row],[COSTO DE VENTA]]</f>
        <v>1189</v>
      </c>
    </row>
    <row r="6129" spans="1:22" x14ac:dyDescent="0.3">
      <c r="A6129">
        <v>84747</v>
      </c>
      <c r="B6129">
        <v>1</v>
      </c>
      <c r="C6129" t="s">
        <v>94</v>
      </c>
      <c r="D6129" t="s">
        <v>95</v>
      </c>
      <c r="E6129" s="1">
        <v>44491</v>
      </c>
      <c r="F6129">
        <v>1</v>
      </c>
      <c r="G6129" t="s">
        <v>61</v>
      </c>
      <c r="H6129" t="s">
        <v>62</v>
      </c>
      <c r="I6129" s="3">
        <v>1153</v>
      </c>
      <c r="J6129" s="3">
        <v>1060</v>
      </c>
      <c r="K6129" s="3">
        <v>392</v>
      </c>
      <c r="L6129" t="s">
        <v>9</v>
      </c>
      <c r="M6129">
        <v>3</v>
      </c>
      <c r="N6129" t="s">
        <v>69</v>
      </c>
      <c r="O6129" t="s">
        <v>70</v>
      </c>
      <c r="P6129" t="s">
        <v>71</v>
      </c>
      <c r="Q6129" t="s">
        <v>72</v>
      </c>
      <c r="R6129" t="s">
        <v>139</v>
      </c>
      <c r="S6129" t="s">
        <v>144</v>
      </c>
      <c r="T6129" s="2">
        <f>MASTER[[#This Row],[CANTIDAD]]*MASTER[[#This Row],[PRECIO DE VENTA]]</f>
        <v>1060</v>
      </c>
      <c r="U6129" s="2">
        <f>MASTER[[#This Row],[CANTIDAD]]*MASTER[[#This Row],[COSTO UNITARIO]]</f>
        <v>392</v>
      </c>
      <c r="V6129" s="2">
        <f>MASTER[[#This Row],[MONTO VENDIDO]]-MASTER[[#This Row],[COSTO DE VENTA]]</f>
        <v>668</v>
      </c>
    </row>
    <row r="6130" spans="1:22" x14ac:dyDescent="0.3">
      <c r="A6130">
        <v>84750</v>
      </c>
      <c r="B6130">
        <v>1</v>
      </c>
      <c r="C6130" t="s">
        <v>103</v>
      </c>
      <c r="D6130" t="s">
        <v>104</v>
      </c>
      <c r="E6130" s="1">
        <v>44492</v>
      </c>
      <c r="F6130">
        <v>1</v>
      </c>
      <c r="G6130" t="s">
        <v>7</v>
      </c>
      <c r="H6130" t="s">
        <v>8</v>
      </c>
      <c r="I6130" s="3">
        <v>1830</v>
      </c>
      <c r="J6130" s="3">
        <v>1830</v>
      </c>
      <c r="K6130" s="3">
        <v>421</v>
      </c>
      <c r="L6130" t="s">
        <v>98</v>
      </c>
      <c r="M6130">
        <v>1</v>
      </c>
      <c r="N6130" t="s">
        <v>77</v>
      </c>
      <c r="O6130" t="s">
        <v>70</v>
      </c>
      <c r="P6130" t="s">
        <v>71</v>
      </c>
      <c r="Q6130" t="s">
        <v>72</v>
      </c>
      <c r="R6130" t="s">
        <v>139</v>
      </c>
      <c r="S6130" t="s">
        <v>144</v>
      </c>
      <c r="T6130" s="2">
        <f>MASTER[[#This Row],[CANTIDAD]]*MASTER[[#This Row],[PRECIO DE VENTA]]</f>
        <v>1830</v>
      </c>
      <c r="U6130" s="2">
        <f>MASTER[[#This Row],[CANTIDAD]]*MASTER[[#This Row],[COSTO UNITARIO]]</f>
        <v>421</v>
      </c>
      <c r="V6130" s="2">
        <f>MASTER[[#This Row],[MONTO VENDIDO]]-MASTER[[#This Row],[COSTO DE VENTA]]</f>
        <v>1409</v>
      </c>
    </row>
    <row r="6131" spans="1:22" x14ac:dyDescent="0.3">
      <c r="A6131">
        <v>84771</v>
      </c>
      <c r="B6131">
        <v>1</v>
      </c>
      <c r="C6131" t="s">
        <v>114</v>
      </c>
      <c r="D6131" t="s">
        <v>115</v>
      </c>
      <c r="E6131" s="1">
        <v>44492</v>
      </c>
      <c r="F6131">
        <v>1</v>
      </c>
      <c r="G6131" t="s">
        <v>53</v>
      </c>
      <c r="H6131" t="s">
        <v>54</v>
      </c>
      <c r="I6131" s="3">
        <v>1862</v>
      </c>
      <c r="J6131" s="3">
        <v>1862</v>
      </c>
      <c r="K6131" s="3">
        <v>394</v>
      </c>
      <c r="L6131" t="s">
        <v>113</v>
      </c>
      <c r="M6131">
        <v>10</v>
      </c>
      <c r="N6131" t="s">
        <v>83</v>
      </c>
      <c r="O6131" t="s">
        <v>81</v>
      </c>
      <c r="P6131" t="s">
        <v>12</v>
      </c>
      <c r="Q6131" t="s">
        <v>13</v>
      </c>
      <c r="R6131" t="s">
        <v>13</v>
      </c>
      <c r="S6131" t="s">
        <v>144</v>
      </c>
      <c r="T6131" s="2">
        <f>MASTER[[#This Row],[CANTIDAD]]*MASTER[[#This Row],[PRECIO DE VENTA]]</f>
        <v>1862</v>
      </c>
      <c r="U6131" s="2">
        <f>MASTER[[#This Row],[CANTIDAD]]*MASTER[[#This Row],[COSTO UNITARIO]]</f>
        <v>394</v>
      </c>
      <c r="V6131" s="2">
        <f>MASTER[[#This Row],[MONTO VENDIDO]]-MASTER[[#This Row],[COSTO DE VENTA]]</f>
        <v>1468</v>
      </c>
    </row>
    <row r="6132" spans="1:22" x14ac:dyDescent="0.3">
      <c r="A6132">
        <v>84780</v>
      </c>
      <c r="B6132">
        <v>1</v>
      </c>
      <c r="C6132" t="s">
        <v>96</v>
      </c>
      <c r="D6132" t="s">
        <v>97</v>
      </c>
      <c r="E6132" s="1">
        <v>44492</v>
      </c>
      <c r="F6132">
        <v>1</v>
      </c>
      <c r="G6132" t="s">
        <v>45</v>
      </c>
      <c r="H6132" t="s">
        <v>46</v>
      </c>
      <c r="I6132" s="3">
        <v>1196</v>
      </c>
      <c r="J6132" s="3">
        <v>1196</v>
      </c>
      <c r="K6132" s="3">
        <v>397</v>
      </c>
      <c r="L6132" t="s">
        <v>98</v>
      </c>
      <c r="M6132">
        <v>11</v>
      </c>
      <c r="N6132" t="s">
        <v>10</v>
      </c>
      <c r="O6132" t="s">
        <v>11</v>
      </c>
      <c r="P6132" t="s">
        <v>12</v>
      </c>
      <c r="Q6132" t="s">
        <v>13</v>
      </c>
      <c r="R6132" t="s">
        <v>13</v>
      </c>
      <c r="S6132" t="s">
        <v>144</v>
      </c>
      <c r="T6132" s="2">
        <f>MASTER[[#This Row],[CANTIDAD]]*MASTER[[#This Row],[PRECIO DE VENTA]]</f>
        <v>1196</v>
      </c>
      <c r="U6132" s="2">
        <f>MASTER[[#This Row],[CANTIDAD]]*MASTER[[#This Row],[COSTO UNITARIO]]</f>
        <v>397</v>
      </c>
      <c r="V6132" s="2">
        <f>MASTER[[#This Row],[MONTO VENDIDO]]-MASTER[[#This Row],[COSTO DE VENTA]]</f>
        <v>799</v>
      </c>
    </row>
    <row r="6133" spans="1:22" x14ac:dyDescent="0.3">
      <c r="A6133">
        <v>84794</v>
      </c>
      <c r="B6133">
        <v>1</v>
      </c>
      <c r="C6133" t="s">
        <v>99</v>
      </c>
      <c r="D6133" t="s">
        <v>100</v>
      </c>
      <c r="E6133" s="1">
        <v>44492</v>
      </c>
      <c r="F6133">
        <v>1</v>
      </c>
      <c r="G6133" t="s">
        <v>67</v>
      </c>
      <c r="H6133" t="s">
        <v>68</v>
      </c>
      <c r="I6133" s="3">
        <v>1678</v>
      </c>
      <c r="J6133" s="3">
        <v>1678</v>
      </c>
      <c r="K6133" s="3">
        <v>386</v>
      </c>
      <c r="L6133" t="s">
        <v>98</v>
      </c>
      <c r="M6133">
        <v>9</v>
      </c>
      <c r="N6133" t="s">
        <v>76</v>
      </c>
      <c r="O6133" t="s">
        <v>70</v>
      </c>
      <c r="P6133" t="s">
        <v>12</v>
      </c>
      <c r="Q6133" t="s">
        <v>13</v>
      </c>
      <c r="R6133" t="s">
        <v>13</v>
      </c>
      <c r="S6133" t="s">
        <v>144</v>
      </c>
      <c r="T6133" s="2">
        <f>MASTER[[#This Row],[CANTIDAD]]*MASTER[[#This Row],[PRECIO DE VENTA]]</f>
        <v>1678</v>
      </c>
      <c r="U6133" s="2">
        <f>MASTER[[#This Row],[CANTIDAD]]*MASTER[[#This Row],[COSTO UNITARIO]]</f>
        <v>386</v>
      </c>
      <c r="V6133" s="2">
        <f>MASTER[[#This Row],[MONTO VENDIDO]]-MASTER[[#This Row],[COSTO DE VENTA]]</f>
        <v>1292</v>
      </c>
    </row>
    <row r="6134" spans="1:22" x14ac:dyDescent="0.3">
      <c r="A6134">
        <v>84798</v>
      </c>
      <c r="B6134">
        <v>1</v>
      </c>
      <c r="C6134" t="s">
        <v>105</v>
      </c>
      <c r="D6134" t="s">
        <v>106</v>
      </c>
      <c r="E6134" s="1">
        <v>44492</v>
      </c>
      <c r="F6134">
        <v>1</v>
      </c>
      <c r="G6134" t="s">
        <v>27</v>
      </c>
      <c r="H6134" t="s">
        <v>28</v>
      </c>
      <c r="I6134" s="3">
        <v>1865</v>
      </c>
      <c r="J6134" s="3">
        <v>1865</v>
      </c>
      <c r="K6134" s="3">
        <v>459</v>
      </c>
      <c r="L6134" t="s">
        <v>98</v>
      </c>
      <c r="M6134">
        <v>14</v>
      </c>
      <c r="N6134" t="s">
        <v>87</v>
      </c>
      <c r="O6134" t="s">
        <v>81</v>
      </c>
      <c r="P6134" t="s">
        <v>18</v>
      </c>
      <c r="Q6134" t="s">
        <v>19</v>
      </c>
      <c r="R6134" t="s">
        <v>138</v>
      </c>
      <c r="S6134" t="s">
        <v>144</v>
      </c>
      <c r="T6134" s="2">
        <f>MASTER[[#This Row],[CANTIDAD]]*MASTER[[#This Row],[PRECIO DE VENTA]]</f>
        <v>1865</v>
      </c>
      <c r="U6134" s="2">
        <f>MASTER[[#This Row],[CANTIDAD]]*MASTER[[#This Row],[COSTO UNITARIO]]</f>
        <v>459</v>
      </c>
      <c r="V6134" s="2">
        <f>MASTER[[#This Row],[MONTO VENDIDO]]-MASTER[[#This Row],[COSTO DE VENTA]]</f>
        <v>1406</v>
      </c>
    </row>
    <row r="6135" spans="1:22" x14ac:dyDescent="0.3">
      <c r="A6135">
        <v>84799</v>
      </c>
      <c r="B6135">
        <v>1</v>
      </c>
      <c r="C6135" t="s">
        <v>109</v>
      </c>
      <c r="D6135" t="s">
        <v>110</v>
      </c>
      <c r="E6135" s="1">
        <v>44492</v>
      </c>
      <c r="F6135">
        <v>1</v>
      </c>
      <c r="G6135" t="s">
        <v>65</v>
      </c>
      <c r="H6135" t="s">
        <v>66</v>
      </c>
      <c r="I6135" s="3">
        <v>1064</v>
      </c>
      <c r="J6135" s="3">
        <v>1064</v>
      </c>
      <c r="K6135" s="3">
        <v>387</v>
      </c>
      <c r="L6135" t="s">
        <v>98</v>
      </c>
      <c r="M6135">
        <v>5</v>
      </c>
      <c r="N6135" t="s">
        <v>85</v>
      </c>
      <c r="O6135" t="s">
        <v>81</v>
      </c>
      <c r="P6135" t="s">
        <v>12</v>
      </c>
      <c r="Q6135" t="s">
        <v>13</v>
      </c>
      <c r="R6135" t="s">
        <v>13</v>
      </c>
      <c r="S6135" t="s">
        <v>144</v>
      </c>
      <c r="T6135" s="2">
        <f>MASTER[[#This Row],[CANTIDAD]]*MASTER[[#This Row],[PRECIO DE VENTA]]</f>
        <v>1064</v>
      </c>
      <c r="U6135" s="2">
        <f>MASTER[[#This Row],[CANTIDAD]]*MASTER[[#This Row],[COSTO UNITARIO]]</f>
        <v>387</v>
      </c>
      <c r="V6135" s="2">
        <f>MASTER[[#This Row],[MONTO VENDIDO]]-MASTER[[#This Row],[COSTO DE VENTA]]</f>
        <v>677</v>
      </c>
    </row>
    <row r="6136" spans="1:22" x14ac:dyDescent="0.3">
      <c r="A6136">
        <v>84814</v>
      </c>
      <c r="B6136">
        <v>1</v>
      </c>
      <c r="C6136" t="s">
        <v>90</v>
      </c>
      <c r="D6136" t="s">
        <v>91</v>
      </c>
      <c r="E6136" s="1">
        <v>44492</v>
      </c>
      <c r="F6136">
        <v>1</v>
      </c>
      <c r="G6136" t="s">
        <v>55</v>
      </c>
      <c r="H6136" t="s">
        <v>56</v>
      </c>
      <c r="I6136" s="3">
        <v>2102</v>
      </c>
      <c r="J6136" s="3">
        <v>2102</v>
      </c>
      <c r="K6136" s="3">
        <v>420</v>
      </c>
      <c r="L6136" t="s">
        <v>9</v>
      </c>
      <c r="M6136">
        <v>1</v>
      </c>
      <c r="N6136" t="s">
        <v>77</v>
      </c>
      <c r="O6136" t="s">
        <v>70</v>
      </c>
      <c r="P6136" t="s">
        <v>71</v>
      </c>
      <c r="Q6136" t="s">
        <v>72</v>
      </c>
      <c r="R6136" t="s">
        <v>139</v>
      </c>
      <c r="S6136" t="s">
        <v>144</v>
      </c>
      <c r="T6136" s="2">
        <f>MASTER[[#This Row],[CANTIDAD]]*MASTER[[#This Row],[PRECIO DE VENTA]]</f>
        <v>2102</v>
      </c>
      <c r="U6136" s="2">
        <f>MASTER[[#This Row],[CANTIDAD]]*MASTER[[#This Row],[COSTO UNITARIO]]</f>
        <v>420</v>
      </c>
      <c r="V6136" s="2">
        <f>MASTER[[#This Row],[MONTO VENDIDO]]-MASTER[[#This Row],[COSTO DE VENTA]]</f>
        <v>1682</v>
      </c>
    </row>
    <row r="6137" spans="1:22" x14ac:dyDescent="0.3">
      <c r="A6137">
        <v>84827</v>
      </c>
      <c r="B6137">
        <v>1</v>
      </c>
      <c r="C6137" t="s">
        <v>94</v>
      </c>
      <c r="D6137" t="s">
        <v>95</v>
      </c>
      <c r="E6137" s="1">
        <v>44492</v>
      </c>
      <c r="F6137">
        <v>1</v>
      </c>
      <c r="G6137" t="s">
        <v>20</v>
      </c>
      <c r="H6137" t="s">
        <v>21</v>
      </c>
      <c r="I6137" s="3">
        <v>901</v>
      </c>
      <c r="J6137" s="3">
        <v>901</v>
      </c>
      <c r="K6137" s="3">
        <v>392</v>
      </c>
      <c r="L6137" t="s">
        <v>9</v>
      </c>
      <c r="M6137">
        <v>11</v>
      </c>
      <c r="N6137" t="s">
        <v>10</v>
      </c>
      <c r="O6137" t="s">
        <v>11</v>
      </c>
      <c r="P6137" t="s">
        <v>12</v>
      </c>
      <c r="Q6137" t="s">
        <v>13</v>
      </c>
      <c r="R6137" t="s">
        <v>13</v>
      </c>
      <c r="S6137" t="s">
        <v>144</v>
      </c>
      <c r="T6137" s="2">
        <f>MASTER[[#This Row],[CANTIDAD]]*MASTER[[#This Row],[PRECIO DE VENTA]]</f>
        <v>901</v>
      </c>
      <c r="U6137" s="2">
        <f>MASTER[[#This Row],[CANTIDAD]]*MASTER[[#This Row],[COSTO UNITARIO]]</f>
        <v>392</v>
      </c>
      <c r="V6137" s="2">
        <f>MASTER[[#This Row],[MONTO VENDIDO]]-MASTER[[#This Row],[COSTO DE VENTA]]</f>
        <v>509</v>
      </c>
    </row>
    <row r="6138" spans="1:22" x14ac:dyDescent="0.3">
      <c r="A6138">
        <v>84846</v>
      </c>
      <c r="B6138">
        <v>1</v>
      </c>
      <c r="C6138" t="s">
        <v>90</v>
      </c>
      <c r="D6138" t="s">
        <v>91</v>
      </c>
      <c r="E6138" s="1">
        <v>44492</v>
      </c>
      <c r="F6138">
        <v>1</v>
      </c>
      <c r="G6138" t="s">
        <v>53</v>
      </c>
      <c r="H6138" t="s">
        <v>54</v>
      </c>
      <c r="I6138" s="3">
        <v>1660</v>
      </c>
      <c r="J6138" s="3">
        <v>1660</v>
      </c>
      <c r="K6138" s="3">
        <v>420</v>
      </c>
      <c r="L6138" t="s">
        <v>9</v>
      </c>
      <c r="M6138">
        <v>17</v>
      </c>
      <c r="N6138" t="s">
        <v>14</v>
      </c>
      <c r="O6138" t="s">
        <v>11</v>
      </c>
      <c r="P6138" t="s">
        <v>15</v>
      </c>
      <c r="Q6138" t="s">
        <v>16</v>
      </c>
      <c r="R6138" t="s">
        <v>16</v>
      </c>
      <c r="S6138" t="s">
        <v>144</v>
      </c>
      <c r="T6138" s="2">
        <f>MASTER[[#This Row],[CANTIDAD]]*MASTER[[#This Row],[PRECIO DE VENTA]]</f>
        <v>1660</v>
      </c>
      <c r="U6138" s="2">
        <f>MASTER[[#This Row],[CANTIDAD]]*MASTER[[#This Row],[COSTO UNITARIO]]</f>
        <v>420</v>
      </c>
      <c r="V6138" s="2">
        <f>MASTER[[#This Row],[MONTO VENDIDO]]-MASTER[[#This Row],[COSTO DE VENTA]]</f>
        <v>1240</v>
      </c>
    </row>
    <row r="6139" spans="1:22" x14ac:dyDescent="0.3">
      <c r="A6139">
        <v>84847</v>
      </c>
      <c r="B6139">
        <v>1</v>
      </c>
      <c r="C6139" t="s">
        <v>114</v>
      </c>
      <c r="D6139" t="s">
        <v>115</v>
      </c>
      <c r="E6139" s="1">
        <v>44492</v>
      </c>
      <c r="F6139">
        <v>1</v>
      </c>
      <c r="G6139" t="s">
        <v>27</v>
      </c>
      <c r="H6139" t="s">
        <v>28</v>
      </c>
      <c r="I6139" s="3">
        <v>2030</v>
      </c>
      <c r="J6139" s="3">
        <v>2030</v>
      </c>
      <c r="K6139" s="3">
        <v>394</v>
      </c>
      <c r="L6139" t="s">
        <v>113</v>
      </c>
      <c r="M6139">
        <v>18</v>
      </c>
      <c r="N6139" t="s">
        <v>79</v>
      </c>
      <c r="O6139" t="s">
        <v>70</v>
      </c>
      <c r="P6139" t="s">
        <v>15</v>
      </c>
      <c r="Q6139" t="s">
        <v>16</v>
      </c>
      <c r="R6139" t="s">
        <v>16</v>
      </c>
      <c r="S6139" t="s">
        <v>144</v>
      </c>
      <c r="T6139" s="2">
        <f>MASTER[[#This Row],[CANTIDAD]]*MASTER[[#This Row],[PRECIO DE VENTA]]</f>
        <v>2030</v>
      </c>
      <c r="U6139" s="2">
        <f>MASTER[[#This Row],[CANTIDAD]]*MASTER[[#This Row],[COSTO UNITARIO]]</f>
        <v>394</v>
      </c>
      <c r="V6139" s="2">
        <f>MASTER[[#This Row],[MONTO VENDIDO]]-MASTER[[#This Row],[COSTO DE VENTA]]</f>
        <v>1636</v>
      </c>
    </row>
    <row r="6140" spans="1:22" x14ac:dyDescent="0.3">
      <c r="A6140">
        <v>84855</v>
      </c>
      <c r="B6140">
        <v>1</v>
      </c>
      <c r="C6140" t="s">
        <v>96</v>
      </c>
      <c r="D6140" t="s">
        <v>97</v>
      </c>
      <c r="E6140" s="1">
        <v>44492</v>
      </c>
      <c r="F6140">
        <v>1</v>
      </c>
      <c r="G6140" t="s">
        <v>20</v>
      </c>
      <c r="H6140" t="s">
        <v>21</v>
      </c>
      <c r="I6140" s="3">
        <v>1361</v>
      </c>
      <c r="J6140" s="3">
        <v>1361</v>
      </c>
      <c r="K6140" s="3">
        <v>397</v>
      </c>
      <c r="L6140" t="s">
        <v>98</v>
      </c>
      <c r="M6140">
        <v>13</v>
      </c>
      <c r="N6140" t="s">
        <v>78</v>
      </c>
      <c r="O6140" t="s">
        <v>70</v>
      </c>
      <c r="P6140" t="s">
        <v>18</v>
      </c>
      <c r="Q6140" t="s">
        <v>19</v>
      </c>
      <c r="R6140" t="s">
        <v>138</v>
      </c>
      <c r="S6140" t="s">
        <v>144</v>
      </c>
      <c r="T6140" s="2">
        <f>MASTER[[#This Row],[CANTIDAD]]*MASTER[[#This Row],[PRECIO DE VENTA]]</f>
        <v>1361</v>
      </c>
      <c r="U6140" s="2">
        <f>MASTER[[#This Row],[CANTIDAD]]*MASTER[[#This Row],[COSTO UNITARIO]]</f>
        <v>397</v>
      </c>
      <c r="V6140" s="2">
        <f>MASTER[[#This Row],[MONTO VENDIDO]]-MASTER[[#This Row],[COSTO DE VENTA]]</f>
        <v>964</v>
      </c>
    </row>
    <row r="6141" spans="1:22" x14ac:dyDescent="0.3">
      <c r="A6141">
        <v>84889</v>
      </c>
      <c r="B6141">
        <v>1</v>
      </c>
      <c r="C6141" t="s">
        <v>114</v>
      </c>
      <c r="D6141" t="s">
        <v>115</v>
      </c>
      <c r="E6141" s="1">
        <v>44493</v>
      </c>
      <c r="F6141">
        <v>1</v>
      </c>
      <c r="G6141" t="s">
        <v>20</v>
      </c>
      <c r="H6141" t="s">
        <v>21</v>
      </c>
      <c r="I6141" s="3">
        <v>1862</v>
      </c>
      <c r="J6141" s="3">
        <v>1694</v>
      </c>
      <c r="K6141" s="3">
        <v>394</v>
      </c>
      <c r="L6141" t="s">
        <v>113</v>
      </c>
      <c r="M6141">
        <v>19</v>
      </c>
      <c r="N6141" t="s">
        <v>89</v>
      </c>
      <c r="O6141" t="s">
        <v>81</v>
      </c>
      <c r="P6141" t="s">
        <v>15</v>
      </c>
      <c r="Q6141" t="s">
        <v>16</v>
      </c>
      <c r="R6141" t="s">
        <v>16</v>
      </c>
      <c r="S6141" t="s">
        <v>144</v>
      </c>
      <c r="T6141" s="2">
        <f>MASTER[[#This Row],[CANTIDAD]]*MASTER[[#This Row],[PRECIO DE VENTA]]</f>
        <v>1694</v>
      </c>
      <c r="U6141" s="2">
        <f>MASTER[[#This Row],[CANTIDAD]]*MASTER[[#This Row],[COSTO UNITARIO]]</f>
        <v>394</v>
      </c>
      <c r="V6141" s="2">
        <f>MASTER[[#This Row],[MONTO VENDIDO]]-MASTER[[#This Row],[COSTO DE VENTA]]</f>
        <v>1300</v>
      </c>
    </row>
    <row r="6142" spans="1:22" x14ac:dyDescent="0.3">
      <c r="A6142">
        <v>84896</v>
      </c>
      <c r="B6142">
        <v>1</v>
      </c>
      <c r="C6142" t="s">
        <v>94</v>
      </c>
      <c r="D6142" t="s">
        <v>95</v>
      </c>
      <c r="E6142" s="1">
        <v>44493</v>
      </c>
      <c r="F6142">
        <v>1</v>
      </c>
      <c r="G6142" t="s">
        <v>55</v>
      </c>
      <c r="H6142" t="s">
        <v>56</v>
      </c>
      <c r="I6142" s="3">
        <v>1048</v>
      </c>
      <c r="J6142" s="3">
        <v>964</v>
      </c>
      <c r="K6142" s="3">
        <v>392</v>
      </c>
      <c r="L6142" t="s">
        <v>9</v>
      </c>
      <c r="M6142">
        <v>4</v>
      </c>
      <c r="N6142" t="s">
        <v>82</v>
      </c>
      <c r="O6142" t="s">
        <v>81</v>
      </c>
      <c r="P6142" t="s">
        <v>71</v>
      </c>
      <c r="Q6142" t="s">
        <v>72</v>
      </c>
      <c r="R6142" t="s">
        <v>139</v>
      </c>
      <c r="S6142" t="s">
        <v>144</v>
      </c>
      <c r="T6142" s="2">
        <f>MASTER[[#This Row],[CANTIDAD]]*MASTER[[#This Row],[PRECIO DE VENTA]]</f>
        <v>964</v>
      </c>
      <c r="U6142" s="2">
        <f>MASTER[[#This Row],[CANTIDAD]]*MASTER[[#This Row],[COSTO UNITARIO]]</f>
        <v>392</v>
      </c>
      <c r="V6142" s="2">
        <f>MASTER[[#This Row],[MONTO VENDIDO]]-MASTER[[#This Row],[COSTO DE VENTA]]</f>
        <v>572</v>
      </c>
    </row>
    <row r="6143" spans="1:22" x14ac:dyDescent="0.3">
      <c r="A6143">
        <v>84901</v>
      </c>
      <c r="B6143">
        <v>1</v>
      </c>
      <c r="C6143" t="s">
        <v>107</v>
      </c>
      <c r="D6143" t="s">
        <v>108</v>
      </c>
      <c r="E6143" s="1">
        <v>44493</v>
      </c>
      <c r="F6143">
        <v>1</v>
      </c>
      <c r="G6143" t="s">
        <v>65</v>
      </c>
      <c r="H6143" t="s">
        <v>66</v>
      </c>
      <c r="I6143" s="3">
        <v>1333</v>
      </c>
      <c r="J6143" s="3">
        <v>1226</v>
      </c>
      <c r="K6143" s="3">
        <v>380</v>
      </c>
      <c r="L6143" t="s">
        <v>98</v>
      </c>
      <c r="M6143">
        <v>7</v>
      </c>
      <c r="N6143" t="s">
        <v>84</v>
      </c>
      <c r="O6143" t="s">
        <v>81</v>
      </c>
      <c r="P6143" t="s">
        <v>12</v>
      </c>
      <c r="Q6143" t="s">
        <v>13</v>
      </c>
      <c r="R6143" t="s">
        <v>13</v>
      </c>
      <c r="S6143" t="s">
        <v>144</v>
      </c>
      <c r="T6143" s="2">
        <f>MASTER[[#This Row],[CANTIDAD]]*MASTER[[#This Row],[PRECIO DE VENTA]]</f>
        <v>1226</v>
      </c>
      <c r="U6143" s="2">
        <f>MASTER[[#This Row],[CANTIDAD]]*MASTER[[#This Row],[COSTO UNITARIO]]</f>
        <v>380</v>
      </c>
      <c r="V6143" s="2">
        <f>MASTER[[#This Row],[MONTO VENDIDO]]-MASTER[[#This Row],[COSTO DE VENTA]]</f>
        <v>846</v>
      </c>
    </row>
    <row r="6144" spans="1:22" x14ac:dyDescent="0.3">
      <c r="A6144">
        <v>84904</v>
      </c>
      <c r="B6144">
        <v>1</v>
      </c>
      <c r="C6144" t="s">
        <v>114</v>
      </c>
      <c r="D6144" t="s">
        <v>115</v>
      </c>
      <c r="E6144" s="1">
        <v>44493</v>
      </c>
      <c r="F6144">
        <v>1</v>
      </c>
      <c r="G6144" t="s">
        <v>27</v>
      </c>
      <c r="H6144" t="s">
        <v>28</v>
      </c>
      <c r="I6144" s="3">
        <v>1862</v>
      </c>
      <c r="J6144" s="3">
        <v>1731</v>
      </c>
      <c r="K6144" s="3">
        <v>394</v>
      </c>
      <c r="L6144" t="s">
        <v>113</v>
      </c>
      <c r="M6144">
        <v>14</v>
      </c>
      <c r="N6144" t="s">
        <v>87</v>
      </c>
      <c r="O6144" t="s">
        <v>81</v>
      </c>
      <c r="P6144" t="s">
        <v>18</v>
      </c>
      <c r="Q6144" t="s">
        <v>19</v>
      </c>
      <c r="R6144" t="s">
        <v>138</v>
      </c>
      <c r="S6144" t="s">
        <v>144</v>
      </c>
      <c r="T6144" s="2">
        <f>MASTER[[#This Row],[CANTIDAD]]*MASTER[[#This Row],[PRECIO DE VENTA]]</f>
        <v>1731</v>
      </c>
      <c r="U6144" s="2">
        <f>MASTER[[#This Row],[CANTIDAD]]*MASTER[[#This Row],[COSTO UNITARIO]]</f>
        <v>394</v>
      </c>
      <c r="V6144" s="2">
        <f>MASTER[[#This Row],[MONTO VENDIDO]]-MASTER[[#This Row],[COSTO DE VENTA]]</f>
        <v>1337</v>
      </c>
    </row>
    <row r="6145" spans="1:22" x14ac:dyDescent="0.3">
      <c r="A6145">
        <v>84908</v>
      </c>
      <c r="B6145">
        <v>1</v>
      </c>
      <c r="C6145" t="s">
        <v>114</v>
      </c>
      <c r="D6145" t="s">
        <v>115</v>
      </c>
      <c r="E6145" s="1">
        <v>44493</v>
      </c>
      <c r="F6145">
        <v>4</v>
      </c>
      <c r="G6145" t="s">
        <v>22</v>
      </c>
      <c r="H6145" t="s">
        <v>23</v>
      </c>
      <c r="I6145" s="3">
        <v>1862</v>
      </c>
      <c r="J6145" s="3">
        <v>1862</v>
      </c>
      <c r="K6145" s="3">
        <v>394</v>
      </c>
      <c r="L6145" t="s">
        <v>113</v>
      </c>
      <c r="M6145">
        <v>5</v>
      </c>
      <c r="N6145" t="s">
        <v>85</v>
      </c>
      <c r="O6145" t="s">
        <v>81</v>
      </c>
      <c r="P6145" t="s">
        <v>12</v>
      </c>
      <c r="Q6145" t="s">
        <v>13</v>
      </c>
      <c r="R6145" t="s">
        <v>13</v>
      </c>
      <c r="S6145" t="s">
        <v>144</v>
      </c>
      <c r="T6145" s="2">
        <f>MASTER[[#This Row],[CANTIDAD]]*MASTER[[#This Row],[PRECIO DE VENTA]]</f>
        <v>7448</v>
      </c>
      <c r="U6145" s="2">
        <f>MASTER[[#This Row],[CANTIDAD]]*MASTER[[#This Row],[COSTO UNITARIO]]</f>
        <v>1576</v>
      </c>
      <c r="V6145" s="2">
        <f>MASTER[[#This Row],[MONTO VENDIDO]]-MASTER[[#This Row],[COSTO DE VENTA]]</f>
        <v>5872</v>
      </c>
    </row>
    <row r="6146" spans="1:22" x14ac:dyDescent="0.3">
      <c r="A6146">
        <v>84909</v>
      </c>
      <c r="B6146">
        <v>1</v>
      </c>
      <c r="C6146" t="s">
        <v>90</v>
      </c>
      <c r="D6146" t="s">
        <v>91</v>
      </c>
      <c r="E6146" s="1">
        <v>44493</v>
      </c>
      <c r="F6146">
        <v>2</v>
      </c>
      <c r="G6146" t="s">
        <v>57</v>
      </c>
      <c r="H6146" t="s">
        <v>58</v>
      </c>
      <c r="I6146" s="3">
        <v>1844</v>
      </c>
      <c r="J6146" s="3">
        <v>1844</v>
      </c>
      <c r="K6146" s="3">
        <v>420</v>
      </c>
      <c r="L6146" t="s">
        <v>9</v>
      </c>
      <c r="M6146">
        <v>14</v>
      </c>
      <c r="N6146" t="s">
        <v>87</v>
      </c>
      <c r="O6146" t="s">
        <v>81</v>
      </c>
      <c r="P6146" t="s">
        <v>18</v>
      </c>
      <c r="Q6146" t="s">
        <v>19</v>
      </c>
      <c r="R6146" t="s">
        <v>138</v>
      </c>
      <c r="S6146" t="s">
        <v>144</v>
      </c>
      <c r="T6146" s="2">
        <f>MASTER[[#This Row],[CANTIDAD]]*MASTER[[#This Row],[PRECIO DE VENTA]]</f>
        <v>3688</v>
      </c>
      <c r="U6146" s="2">
        <f>MASTER[[#This Row],[CANTIDAD]]*MASTER[[#This Row],[COSTO UNITARIO]]</f>
        <v>840</v>
      </c>
      <c r="V6146" s="2">
        <f>MASTER[[#This Row],[MONTO VENDIDO]]-MASTER[[#This Row],[COSTO DE VENTA]]</f>
        <v>2848</v>
      </c>
    </row>
    <row r="6147" spans="1:22" x14ac:dyDescent="0.3">
      <c r="A6147">
        <v>84922</v>
      </c>
      <c r="B6147">
        <v>1</v>
      </c>
      <c r="C6147" t="s">
        <v>111</v>
      </c>
      <c r="D6147" t="s">
        <v>112</v>
      </c>
      <c r="E6147" s="1">
        <v>44493</v>
      </c>
      <c r="F6147">
        <v>1</v>
      </c>
      <c r="G6147" t="s">
        <v>63</v>
      </c>
      <c r="H6147" t="s">
        <v>64</v>
      </c>
      <c r="I6147" s="3">
        <v>1524</v>
      </c>
      <c r="J6147" s="3">
        <v>1524</v>
      </c>
      <c r="K6147" s="3">
        <v>434</v>
      </c>
      <c r="L6147" t="s">
        <v>113</v>
      </c>
      <c r="M6147">
        <v>16</v>
      </c>
      <c r="N6147" t="s">
        <v>17</v>
      </c>
      <c r="O6147" t="s">
        <v>11</v>
      </c>
      <c r="P6147" t="s">
        <v>18</v>
      </c>
      <c r="Q6147" t="s">
        <v>19</v>
      </c>
      <c r="R6147" t="s">
        <v>138</v>
      </c>
      <c r="S6147" t="s">
        <v>144</v>
      </c>
      <c r="T6147" s="2">
        <f>MASTER[[#This Row],[CANTIDAD]]*MASTER[[#This Row],[PRECIO DE VENTA]]</f>
        <v>1524</v>
      </c>
      <c r="U6147" s="2">
        <f>MASTER[[#This Row],[CANTIDAD]]*MASTER[[#This Row],[COSTO UNITARIO]]</f>
        <v>434</v>
      </c>
      <c r="V6147" s="2">
        <f>MASTER[[#This Row],[MONTO VENDIDO]]-MASTER[[#This Row],[COSTO DE VENTA]]</f>
        <v>1090</v>
      </c>
    </row>
    <row r="6148" spans="1:22" x14ac:dyDescent="0.3">
      <c r="A6148">
        <v>84923</v>
      </c>
      <c r="B6148">
        <v>1</v>
      </c>
      <c r="C6148" t="s">
        <v>94</v>
      </c>
      <c r="D6148" t="s">
        <v>95</v>
      </c>
      <c r="E6148" s="1">
        <v>44493</v>
      </c>
      <c r="F6148">
        <v>1</v>
      </c>
      <c r="G6148" t="s">
        <v>67</v>
      </c>
      <c r="H6148" t="s">
        <v>68</v>
      </c>
      <c r="I6148" s="3">
        <v>901</v>
      </c>
      <c r="J6148" s="3">
        <v>901</v>
      </c>
      <c r="K6148" s="3">
        <v>392</v>
      </c>
      <c r="L6148" t="s">
        <v>9</v>
      </c>
      <c r="M6148">
        <v>11</v>
      </c>
      <c r="N6148" t="s">
        <v>10</v>
      </c>
      <c r="O6148" t="s">
        <v>11</v>
      </c>
      <c r="P6148" t="s">
        <v>12</v>
      </c>
      <c r="Q6148" t="s">
        <v>13</v>
      </c>
      <c r="R6148" t="s">
        <v>13</v>
      </c>
      <c r="S6148" t="s">
        <v>144</v>
      </c>
      <c r="T6148" s="2">
        <f>MASTER[[#This Row],[CANTIDAD]]*MASTER[[#This Row],[PRECIO DE VENTA]]</f>
        <v>901</v>
      </c>
      <c r="U6148" s="2">
        <f>MASTER[[#This Row],[CANTIDAD]]*MASTER[[#This Row],[COSTO UNITARIO]]</f>
        <v>392</v>
      </c>
      <c r="V6148" s="2">
        <f>MASTER[[#This Row],[MONTO VENDIDO]]-MASTER[[#This Row],[COSTO DE VENTA]]</f>
        <v>509</v>
      </c>
    </row>
    <row r="6149" spans="1:22" x14ac:dyDescent="0.3">
      <c r="A6149">
        <v>84925</v>
      </c>
      <c r="B6149">
        <v>1</v>
      </c>
      <c r="C6149" t="s">
        <v>103</v>
      </c>
      <c r="D6149" t="s">
        <v>104</v>
      </c>
      <c r="E6149" s="1">
        <v>44494</v>
      </c>
      <c r="F6149">
        <v>1</v>
      </c>
      <c r="G6149" t="s">
        <v>61</v>
      </c>
      <c r="H6149" t="s">
        <v>62</v>
      </c>
      <c r="I6149" s="3">
        <v>1830</v>
      </c>
      <c r="J6149" s="3">
        <v>1830</v>
      </c>
      <c r="K6149" s="3">
        <v>421</v>
      </c>
      <c r="L6149" t="s">
        <v>98</v>
      </c>
      <c r="M6149">
        <v>18</v>
      </c>
      <c r="N6149" t="s">
        <v>79</v>
      </c>
      <c r="O6149" t="s">
        <v>70</v>
      </c>
      <c r="P6149" t="s">
        <v>15</v>
      </c>
      <c r="Q6149" t="s">
        <v>16</v>
      </c>
      <c r="R6149" t="s">
        <v>16</v>
      </c>
      <c r="S6149" t="s">
        <v>144</v>
      </c>
      <c r="T6149" s="2">
        <f>MASTER[[#This Row],[CANTIDAD]]*MASTER[[#This Row],[PRECIO DE VENTA]]</f>
        <v>1830</v>
      </c>
      <c r="U6149" s="2">
        <f>MASTER[[#This Row],[CANTIDAD]]*MASTER[[#This Row],[COSTO UNITARIO]]</f>
        <v>421</v>
      </c>
      <c r="V6149" s="2">
        <f>MASTER[[#This Row],[MONTO VENDIDO]]-MASTER[[#This Row],[COSTO DE VENTA]]</f>
        <v>1409</v>
      </c>
    </row>
    <row r="6150" spans="1:22" x14ac:dyDescent="0.3">
      <c r="A6150">
        <v>84926</v>
      </c>
      <c r="B6150">
        <v>1</v>
      </c>
      <c r="C6150" t="s">
        <v>105</v>
      </c>
      <c r="D6150" t="s">
        <v>106</v>
      </c>
      <c r="E6150" s="1">
        <v>44494</v>
      </c>
      <c r="F6150">
        <v>1</v>
      </c>
      <c r="G6150" t="s">
        <v>45</v>
      </c>
      <c r="H6150" t="s">
        <v>46</v>
      </c>
      <c r="I6150" s="3">
        <v>1585</v>
      </c>
      <c r="J6150" s="3">
        <v>1585</v>
      </c>
      <c r="K6150" s="3">
        <v>459</v>
      </c>
      <c r="L6150" t="s">
        <v>98</v>
      </c>
      <c r="M6150">
        <v>17</v>
      </c>
      <c r="N6150" t="s">
        <v>14</v>
      </c>
      <c r="O6150" t="s">
        <v>11</v>
      </c>
      <c r="P6150" t="s">
        <v>15</v>
      </c>
      <c r="Q6150" t="s">
        <v>16</v>
      </c>
      <c r="R6150" t="s">
        <v>16</v>
      </c>
      <c r="S6150" t="s">
        <v>144</v>
      </c>
      <c r="T6150" s="2">
        <f>MASTER[[#This Row],[CANTIDAD]]*MASTER[[#This Row],[PRECIO DE VENTA]]</f>
        <v>1585</v>
      </c>
      <c r="U6150" s="2">
        <f>MASTER[[#This Row],[CANTIDAD]]*MASTER[[#This Row],[COSTO UNITARIO]]</f>
        <v>459</v>
      </c>
      <c r="V6150" s="2">
        <f>MASTER[[#This Row],[MONTO VENDIDO]]-MASTER[[#This Row],[COSTO DE VENTA]]</f>
        <v>1126</v>
      </c>
    </row>
    <row r="6151" spans="1:22" x14ac:dyDescent="0.3">
      <c r="A6151">
        <v>84927</v>
      </c>
      <c r="B6151">
        <v>1</v>
      </c>
      <c r="C6151" t="s">
        <v>101</v>
      </c>
      <c r="D6151" t="s">
        <v>102</v>
      </c>
      <c r="E6151" s="1">
        <v>44494</v>
      </c>
      <c r="F6151">
        <v>1</v>
      </c>
      <c r="G6151" t="s">
        <v>45</v>
      </c>
      <c r="H6151" t="s">
        <v>46</v>
      </c>
      <c r="I6151" s="3">
        <v>1357</v>
      </c>
      <c r="J6151" s="3">
        <v>1357</v>
      </c>
      <c r="K6151" s="3">
        <v>442</v>
      </c>
      <c r="L6151" t="s">
        <v>98</v>
      </c>
      <c r="M6151">
        <v>3</v>
      </c>
      <c r="N6151" t="s">
        <v>69</v>
      </c>
      <c r="O6151" t="s">
        <v>70</v>
      </c>
      <c r="P6151" t="s">
        <v>71</v>
      </c>
      <c r="Q6151" t="s">
        <v>72</v>
      </c>
      <c r="R6151" t="s">
        <v>139</v>
      </c>
      <c r="S6151" t="s">
        <v>144</v>
      </c>
      <c r="T6151" s="2">
        <f>MASTER[[#This Row],[CANTIDAD]]*MASTER[[#This Row],[PRECIO DE VENTA]]</f>
        <v>1357</v>
      </c>
      <c r="U6151" s="2">
        <f>MASTER[[#This Row],[CANTIDAD]]*MASTER[[#This Row],[COSTO UNITARIO]]</f>
        <v>442</v>
      </c>
      <c r="V6151" s="2">
        <f>MASTER[[#This Row],[MONTO VENDIDO]]-MASTER[[#This Row],[COSTO DE VENTA]]</f>
        <v>915</v>
      </c>
    </row>
    <row r="6152" spans="1:22" x14ac:dyDescent="0.3">
      <c r="A6152">
        <v>84933</v>
      </c>
      <c r="B6152">
        <v>1</v>
      </c>
      <c r="C6152" t="s">
        <v>114</v>
      </c>
      <c r="D6152" t="s">
        <v>115</v>
      </c>
      <c r="E6152" s="1">
        <v>44494</v>
      </c>
      <c r="F6152">
        <v>1</v>
      </c>
      <c r="G6152" t="s">
        <v>49</v>
      </c>
      <c r="H6152" t="s">
        <v>50</v>
      </c>
      <c r="I6152" s="3">
        <v>1583</v>
      </c>
      <c r="J6152" s="3">
        <v>1583</v>
      </c>
      <c r="K6152" s="3">
        <v>394</v>
      </c>
      <c r="L6152" t="s">
        <v>113</v>
      </c>
      <c r="M6152">
        <v>12</v>
      </c>
      <c r="N6152" t="s">
        <v>26</v>
      </c>
      <c r="O6152" t="s">
        <v>11</v>
      </c>
      <c r="P6152" t="s">
        <v>12</v>
      </c>
      <c r="Q6152" t="s">
        <v>13</v>
      </c>
      <c r="R6152" t="s">
        <v>13</v>
      </c>
      <c r="S6152" t="s">
        <v>144</v>
      </c>
      <c r="T6152" s="2">
        <f>MASTER[[#This Row],[CANTIDAD]]*MASTER[[#This Row],[PRECIO DE VENTA]]</f>
        <v>1583</v>
      </c>
      <c r="U6152" s="2">
        <f>MASTER[[#This Row],[CANTIDAD]]*MASTER[[#This Row],[COSTO UNITARIO]]</f>
        <v>394</v>
      </c>
      <c r="V6152" s="2">
        <f>MASTER[[#This Row],[MONTO VENDIDO]]-MASTER[[#This Row],[COSTO DE VENTA]]</f>
        <v>1189</v>
      </c>
    </row>
    <row r="6153" spans="1:22" x14ac:dyDescent="0.3">
      <c r="A6153">
        <v>84938</v>
      </c>
      <c r="B6153">
        <v>1</v>
      </c>
      <c r="C6153" t="s">
        <v>94</v>
      </c>
      <c r="D6153" t="s">
        <v>95</v>
      </c>
      <c r="E6153" s="1">
        <v>44494</v>
      </c>
      <c r="F6153">
        <v>1</v>
      </c>
      <c r="G6153" t="s">
        <v>41</v>
      </c>
      <c r="H6153" t="s">
        <v>42</v>
      </c>
      <c r="I6153" s="3">
        <v>1048</v>
      </c>
      <c r="J6153" s="3">
        <v>1048</v>
      </c>
      <c r="K6153" s="3">
        <v>392</v>
      </c>
      <c r="L6153" t="s">
        <v>9</v>
      </c>
      <c r="M6153">
        <v>19</v>
      </c>
      <c r="N6153" t="s">
        <v>89</v>
      </c>
      <c r="O6153" t="s">
        <v>81</v>
      </c>
      <c r="P6153" t="s">
        <v>15</v>
      </c>
      <c r="Q6153" t="s">
        <v>16</v>
      </c>
      <c r="R6153" t="s">
        <v>16</v>
      </c>
      <c r="S6153" t="s">
        <v>144</v>
      </c>
      <c r="T6153" s="2">
        <f>MASTER[[#This Row],[CANTIDAD]]*MASTER[[#This Row],[PRECIO DE VENTA]]</f>
        <v>1048</v>
      </c>
      <c r="U6153" s="2">
        <f>MASTER[[#This Row],[CANTIDAD]]*MASTER[[#This Row],[COSTO UNITARIO]]</f>
        <v>392</v>
      </c>
      <c r="V6153" s="2">
        <f>MASTER[[#This Row],[MONTO VENDIDO]]-MASTER[[#This Row],[COSTO DE VENTA]]</f>
        <v>656</v>
      </c>
    </row>
    <row r="6154" spans="1:22" x14ac:dyDescent="0.3">
      <c r="A6154">
        <v>84946</v>
      </c>
      <c r="B6154">
        <v>1</v>
      </c>
      <c r="C6154" t="s">
        <v>103</v>
      </c>
      <c r="D6154" t="s">
        <v>104</v>
      </c>
      <c r="E6154" s="1">
        <v>44494</v>
      </c>
      <c r="F6154">
        <v>1</v>
      </c>
      <c r="G6154" t="s">
        <v>61</v>
      </c>
      <c r="H6154" t="s">
        <v>62</v>
      </c>
      <c r="I6154" s="3">
        <v>1448</v>
      </c>
      <c r="J6154" s="3">
        <v>1448</v>
      </c>
      <c r="K6154" s="3">
        <v>421</v>
      </c>
      <c r="L6154" t="s">
        <v>98</v>
      </c>
      <c r="M6154">
        <v>17</v>
      </c>
      <c r="N6154" t="s">
        <v>14</v>
      </c>
      <c r="O6154" t="s">
        <v>11</v>
      </c>
      <c r="P6154" t="s">
        <v>15</v>
      </c>
      <c r="Q6154" t="s">
        <v>16</v>
      </c>
      <c r="R6154" t="s">
        <v>16</v>
      </c>
      <c r="S6154" t="s">
        <v>144</v>
      </c>
      <c r="T6154" s="2">
        <f>MASTER[[#This Row],[CANTIDAD]]*MASTER[[#This Row],[PRECIO DE VENTA]]</f>
        <v>1448</v>
      </c>
      <c r="U6154" s="2">
        <f>MASTER[[#This Row],[CANTIDAD]]*MASTER[[#This Row],[COSTO UNITARIO]]</f>
        <v>421</v>
      </c>
      <c r="V6154" s="2">
        <f>MASTER[[#This Row],[MONTO VENDIDO]]-MASTER[[#This Row],[COSTO DE VENTA]]</f>
        <v>1027</v>
      </c>
    </row>
    <row r="6155" spans="1:22" x14ac:dyDescent="0.3">
      <c r="A6155">
        <v>84954</v>
      </c>
      <c r="B6155">
        <v>1</v>
      </c>
      <c r="C6155" t="s">
        <v>114</v>
      </c>
      <c r="D6155" t="s">
        <v>115</v>
      </c>
      <c r="E6155" s="1">
        <v>44494</v>
      </c>
      <c r="F6155">
        <v>1</v>
      </c>
      <c r="G6155" t="s">
        <v>24</v>
      </c>
      <c r="H6155" t="s">
        <v>25</v>
      </c>
      <c r="I6155" s="3">
        <v>1862</v>
      </c>
      <c r="J6155" s="3">
        <v>1862</v>
      </c>
      <c r="K6155" s="3">
        <v>394</v>
      </c>
      <c r="L6155" t="s">
        <v>113</v>
      </c>
      <c r="M6155">
        <v>14</v>
      </c>
      <c r="N6155" t="s">
        <v>87</v>
      </c>
      <c r="O6155" t="s">
        <v>81</v>
      </c>
      <c r="P6155" t="s">
        <v>18</v>
      </c>
      <c r="Q6155" t="s">
        <v>19</v>
      </c>
      <c r="R6155" t="s">
        <v>138</v>
      </c>
      <c r="S6155" t="s">
        <v>144</v>
      </c>
      <c r="T6155" s="2">
        <f>MASTER[[#This Row],[CANTIDAD]]*MASTER[[#This Row],[PRECIO DE VENTA]]</f>
        <v>1862</v>
      </c>
      <c r="U6155" s="2">
        <f>MASTER[[#This Row],[CANTIDAD]]*MASTER[[#This Row],[COSTO UNITARIO]]</f>
        <v>394</v>
      </c>
      <c r="V6155" s="2">
        <f>MASTER[[#This Row],[MONTO VENDIDO]]-MASTER[[#This Row],[COSTO DE VENTA]]</f>
        <v>1468</v>
      </c>
    </row>
    <row r="6156" spans="1:22" x14ac:dyDescent="0.3">
      <c r="A6156">
        <v>84967</v>
      </c>
      <c r="B6156">
        <v>1</v>
      </c>
      <c r="C6156" t="s">
        <v>109</v>
      </c>
      <c r="D6156" t="s">
        <v>110</v>
      </c>
      <c r="E6156" s="1">
        <v>44494</v>
      </c>
      <c r="F6156">
        <v>1</v>
      </c>
      <c r="G6156" t="s">
        <v>45</v>
      </c>
      <c r="H6156" t="s">
        <v>46</v>
      </c>
      <c r="I6156" s="3">
        <v>1064</v>
      </c>
      <c r="J6156" s="3">
        <v>1064</v>
      </c>
      <c r="K6156" s="3">
        <v>387</v>
      </c>
      <c r="L6156" t="s">
        <v>98</v>
      </c>
      <c r="M6156">
        <v>19</v>
      </c>
      <c r="N6156" t="s">
        <v>89</v>
      </c>
      <c r="O6156" t="s">
        <v>81</v>
      </c>
      <c r="P6156" t="s">
        <v>15</v>
      </c>
      <c r="Q6156" t="s">
        <v>16</v>
      </c>
      <c r="R6156" t="s">
        <v>16</v>
      </c>
      <c r="S6156" t="s">
        <v>144</v>
      </c>
      <c r="T6156" s="2">
        <f>MASTER[[#This Row],[CANTIDAD]]*MASTER[[#This Row],[PRECIO DE VENTA]]</f>
        <v>1064</v>
      </c>
      <c r="U6156" s="2">
        <f>MASTER[[#This Row],[CANTIDAD]]*MASTER[[#This Row],[COSTO UNITARIO]]</f>
        <v>387</v>
      </c>
      <c r="V6156" s="2">
        <f>MASTER[[#This Row],[MONTO VENDIDO]]-MASTER[[#This Row],[COSTO DE VENTA]]</f>
        <v>677</v>
      </c>
    </row>
    <row r="6157" spans="1:22" x14ac:dyDescent="0.3">
      <c r="A6157">
        <v>84983</v>
      </c>
      <c r="B6157">
        <v>1</v>
      </c>
      <c r="C6157" t="s">
        <v>5</v>
      </c>
      <c r="D6157" t="s">
        <v>6</v>
      </c>
      <c r="E6157" s="1">
        <v>44494</v>
      </c>
      <c r="F6157">
        <v>1</v>
      </c>
      <c r="G6157" t="s">
        <v>65</v>
      </c>
      <c r="H6157" t="s">
        <v>66</v>
      </c>
      <c r="I6157" s="3">
        <v>1507</v>
      </c>
      <c r="J6157" s="3">
        <v>1507</v>
      </c>
      <c r="K6157" s="3">
        <v>393</v>
      </c>
      <c r="L6157" t="s">
        <v>9</v>
      </c>
      <c r="M6157">
        <v>5</v>
      </c>
      <c r="N6157" t="s">
        <v>85</v>
      </c>
      <c r="O6157" t="s">
        <v>81</v>
      </c>
      <c r="P6157" t="s">
        <v>12</v>
      </c>
      <c r="Q6157" t="s">
        <v>13</v>
      </c>
      <c r="R6157" t="s">
        <v>13</v>
      </c>
      <c r="S6157" t="s">
        <v>144</v>
      </c>
      <c r="T6157" s="2">
        <f>MASTER[[#This Row],[CANTIDAD]]*MASTER[[#This Row],[PRECIO DE VENTA]]</f>
        <v>1507</v>
      </c>
      <c r="U6157" s="2">
        <f>MASTER[[#This Row],[CANTIDAD]]*MASTER[[#This Row],[COSTO UNITARIO]]</f>
        <v>393</v>
      </c>
      <c r="V6157" s="2">
        <f>MASTER[[#This Row],[MONTO VENDIDO]]-MASTER[[#This Row],[COSTO DE VENTA]]</f>
        <v>1114</v>
      </c>
    </row>
    <row r="6158" spans="1:22" x14ac:dyDescent="0.3">
      <c r="A6158">
        <v>84988</v>
      </c>
      <c r="B6158">
        <v>1</v>
      </c>
      <c r="C6158" t="s">
        <v>105</v>
      </c>
      <c r="D6158" t="s">
        <v>106</v>
      </c>
      <c r="E6158" s="1">
        <v>44494</v>
      </c>
      <c r="F6158">
        <v>1</v>
      </c>
      <c r="G6158" t="s">
        <v>59</v>
      </c>
      <c r="H6158" t="s">
        <v>60</v>
      </c>
      <c r="I6158" s="3">
        <v>2033</v>
      </c>
      <c r="J6158" s="3">
        <v>2033</v>
      </c>
      <c r="K6158" s="3">
        <v>459</v>
      </c>
      <c r="L6158" t="s">
        <v>98</v>
      </c>
      <c r="M6158">
        <v>1</v>
      </c>
      <c r="N6158" t="s">
        <v>77</v>
      </c>
      <c r="O6158" t="s">
        <v>70</v>
      </c>
      <c r="P6158" t="s">
        <v>71</v>
      </c>
      <c r="Q6158" t="s">
        <v>72</v>
      </c>
      <c r="R6158" t="s">
        <v>139</v>
      </c>
      <c r="S6158" t="s">
        <v>144</v>
      </c>
      <c r="T6158" s="2">
        <f>MASTER[[#This Row],[CANTIDAD]]*MASTER[[#This Row],[PRECIO DE VENTA]]</f>
        <v>2033</v>
      </c>
      <c r="U6158" s="2">
        <f>MASTER[[#This Row],[CANTIDAD]]*MASTER[[#This Row],[COSTO UNITARIO]]</f>
        <v>459</v>
      </c>
      <c r="V6158" s="2">
        <f>MASTER[[#This Row],[MONTO VENDIDO]]-MASTER[[#This Row],[COSTO DE VENTA]]</f>
        <v>1574</v>
      </c>
    </row>
    <row r="6159" spans="1:22" x14ac:dyDescent="0.3">
      <c r="A6159">
        <v>85004</v>
      </c>
      <c r="B6159">
        <v>1</v>
      </c>
      <c r="C6159" t="s">
        <v>116</v>
      </c>
      <c r="D6159" t="s">
        <v>117</v>
      </c>
      <c r="E6159" s="1">
        <v>44495</v>
      </c>
      <c r="F6159">
        <v>1</v>
      </c>
      <c r="G6159" t="s">
        <v>65</v>
      </c>
      <c r="H6159" t="s">
        <v>66</v>
      </c>
      <c r="I6159" s="3">
        <v>1529</v>
      </c>
      <c r="J6159" s="3">
        <v>1529</v>
      </c>
      <c r="K6159" s="3">
        <v>388</v>
      </c>
      <c r="L6159" t="s">
        <v>113</v>
      </c>
      <c r="M6159">
        <v>17</v>
      </c>
      <c r="N6159" t="s">
        <v>14</v>
      </c>
      <c r="O6159" t="s">
        <v>11</v>
      </c>
      <c r="P6159" t="s">
        <v>15</v>
      </c>
      <c r="Q6159" t="s">
        <v>16</v>
      </c>
      <c r="R6159" t="s">
        <v>16</v>
      </c>
      <c r="S6159" t="s">
        <v>144</v>
      </c>
      <c r="T6159" s="2">
        <f>MASTER[[#This Row],[CANTIDAD]]*MASTER[[#This Row],[PRECIO DE VENTA]]</f>
        <v>1529</v>
      </c>
      <c r="U6159" s="2">
        <f>MASTER[[#This Row],[CANTIDAD]]*MASTER[[#This Row],[COSTO UNITARIO]]</f>
        <v>388</v>
      </c>
      <c r="V6159" s="2">
        <f>MASTER[[#This Row],[MONTO VENDIDO]]-MASTER[[#This Row],[COSTO DE VENTA]]</f>
        <v>1141</v>
      </c>
    </row>
    <row r="6160" spans="1:22" x14ac:dyDescent="0.3">
      <c r="A6160">
        <v>85032</v>
      </c>
      <c r="B6160">
        <v>1</v>
      </c>
      <c r="C6160" t="s">
        <v>114</v>
      </c>
      <c r="D6160" t="s">
        <v>115</v>
      </c>
      <c r="E6160" s="1">
        <v>44495</v>
      </c>
      <c r="F6160">
        <v>3</v>
      </c>
      <c r="G6160" t="s">
        <v>20</v>
      </c>
      <c r="H6160" t="s">
        <v>21</v>
      </c>
      <c r="I6160" s="3">
        <v>1862</v>
      </c>
      <c r="J6160" s="3">
        <v>1862</v>
      </c>
      <c r="K6160" s="3">
        <v>394</v>
      </c>
      <c r="L6160" t="s">
        <v>113</v>
      </c>
      <c r="M6160">
        <v>4</v>
      </c>
      <c r="N6160" t="s">
        <v>82</v>
      </c>
      <c r="O6160" t="s">
        <v>81</v>
      </c>
      <c r="P6160" t="s">
        <v>71</v>
      </c>
      <c r="Q6160" t="s">
        <v>72</v>
      </c>
      <c r="R6160" t="s">
        <v>139</v>
      </c>
      <c r="S6160" t="s">
        <v>144</v>
      </c>
      <c r="T6160" s="2">
        <f>MASTER[[#This Row],[CANTIDAD]]*MASTER[[#This Row],[PRECIO DE VENTA]]</f>
        <v>5586</v>
      </c>
      <c r="U6160" s="2">
        <f>MASTER[[#This Row],[CANTIDAD]]*MASTER[[#This Row],[COSTO UNITARIO]]</f>
        <v>1182</v>
      </c>
      <c r="V6160" s="2">
        <f>MASTER[[#This Row],[MONTO VENDIDO]]-MASTER[[#This Row],[COSTO DE VENTA]]</f>
        <v>4404</v>
      </c>
    </row>
    <row r="6161" spans="1:22" x14ac:dyDescent="0.3">
      <c r="A6161">
        <v>85038</v>
      </c>
      <c r="B6161">
        <v>1</v>
      </c>
      <c r="C6161" t="s">
        <v>114</v>
      </c>
      <c r="D6161" t="s">
        <v>115</v>
      </c>
      <c r="E6161" s="1">
        <v>44495</v>
      </c>
      <c r="F6161">
        <v>1</v>
      </c>
      <c r="G6161" t="s">
        <v>33</v>
      </c>
      <c r="H6161" t="s">
        <v>34</v>
      </c>
      <c r="I6161" s="3">
        <v>1583</v>
      </c>
      <c r="J6161" s="3">
        <v>1583</v>
      </c>
      <c r="K6161" s="3">
        <v>394</v>
      </c>
      <c r="L6161" t="s">
        <v>113</v>
      </c>
      <c r="M6161">
        <v>11</v>
      </c>
      <c r="N6161" t="s">
        <v>10</v>
      </c>
      <c r="O6161" t="s">
        <v>11</v>
      </c>
      <c r="P6161" t="s">
        <v>12</v>
      </c>
      <c r="Q6161" t="s">
        <v>13</v>
      </c>
      <c r="R6161" t="s">
        <v>13</v>
      </c>
      <c r="S6161" t="s">
        <v>144</v>
      </c>
      <c r="T6161" s="2">
        <f>MASTER[[#This Row],[CANTIDAD]]*MASTER[[#This Row],[PRECIO DE VENTA]]</f>
        <v>1583</v>
      </c>
      <c r="U6161" s="2">
        <f>MASTER[[#This Row],[CANTIDAD]]*MASTER[[#This Row],[COSTO UNITARIO]]</f>
        <v>394</v>
      </c>
      <c r="V6161" s="2">
        <f>MASTER[[#This Row],[MONTO VENDIDO]]-MASTER[[#This Row],[COSTO DE VENTA]]</f>
        <v>1189</v>
      </c>
    </row>
    <row r="6162" spans="1:22" x14ac:dyDescent="0.3">
      <c r="A6162">
        <v>85039</v>
      </c>
      <c r="B6162">
        <v>1</v>
      </c>
      <c r="C6162" t="s">
        <v>99</v>
      </c>
      <c r="D6162" t="s">
        <v>100</v>
      </c>
      <c r="E6162" s="1">
        <v>44495</v>
      </c>
      <c r="F6162">
        <v>2</v>
      </c>
      <c r="G6162" t="s">
        <v>43</v>
      </c>
      <c r="H6162" t="s">
        <v>44</v>
      </c>
      <c r="I6162" s="3">
        <v>1678</v>
      </c>
      <c r="J6162" s="3">
        <v>1678</v>
      </c>
      <c r="K6162" s="3">
        <v>386</v>
      </c>
      <c r="L6162" t="s">
        <v>98</v>
      </c>
      <c r="M6162">
        <v>3</v>
      </c>
      <c r="N6162" t="s">
        <v>69</v>
      </c>
      <c r="O6162" t="s">
        <v>70</v>
      </c>
      <c r="P6162" t="s">
        <v>71</v>
      </c>
      <c r="Q6162" t="s">
        <v>72</v>
      </c>
      <c r="R6162" t="s">
        <v>139</v>
      </c>
      <c r="S6162" t="s">
        <v>144</v>
      </c>
      <c r="T6162" s="2">
        <f>MASTER[[#This Row],[CANTIDAD]]*MASTER[[#This Row],[PRECIO DE VENTA]]</f>
        <v>3356</v>
      </c>
      <c r="U6162" s="2">
        <f>MASTER[[#This Row],[CANTIDAD]]*MASTER[[#This Row],[COSTO UNITARIO]]</f>
        <v>772</v>
      </c>
      <c r="V6162" s="2">
        <f>MASTER[[#This Row],[MONTO VENDIDO]]-MASTER[[#This Row],[COSTO DE VENTA]]</f>
        <v>2584</v>
      </c>
    </row>
    <row r="6163" spans="1:22" x14ac:dyDescent="0.3">
      <c r="A6163">
        <v>85041</v>
      </c>
      <c r="B6163">
        <v>1</v>
      </c>
      <c r="C6163" t="s">
        <v>103</v>
      </c>
      <c r="D6163" t="s">
        <v>104</v>
      </c>
      <c r="E6163" s="1">
        <v>44496</v>
      </c>
      <c r="F6163">
        <v>1</v>
      </c>
      <c r="G6163" t="s">
        <v>45</v>
      </c>
      <c r="H6163" t="s">
        <v>46</v>
      </c>
      <c r="I6163" s="3">
        <v>1830</v>
      </c>
      <c r="J6163" s="3">
        <v>1830</v>
      </c>
      <c r="K6163" s="3">
        <v>421</v>
      </c>
      <c r="L6163" t="s">
        <v>98</v>
      </c>
      <c r="M6163">
        <v>13</v>
      </c>
      <c r="N6163" t="s">
        <v>78</v>
      </c>
      <c r="O6163" t="s">
        <v>70</v>
      </c>
      <c r="P6163" t="s">
        <v>18</v>
      </c>
      <c r="Q6163" t="s">
        <v>19</v>
      </c>
      <c r="R6163" t="s">
        <v>138</v>
      </c>
      <c r="S6163" t="s">
        <v>144</v>
      </c>
      <c r="T6163" s="2">
        <f>MASTER[[#This Row],[CANTIDAD]]*MASTER[[#This Row],[PRECIO DE VENTA]]</f>
        <v>1830</v>
      </c>
      <c r="U6163" s="2">
        <f>MASTER[[#This Row],[CANTIDAD]]*MASTER[[#This Row],[COSTO UNITARIO]]</f>
        <v>421</v>
      </c>
      <c r="V6163" s="2">
        <f>MASTER[[#This Row],[MONTO VENDIDO]]-MASTER[[#This Row],[COSTO DE VENTA]]</f>
        <v>1409</v>
      </c>
    </row>
    <row r="6164" spans="1:22" x14ac:dyDescent="0.3">
      <c r="A6164">
        <v>85059</v>
      </c>
      <c r="B6164">
        <v>1</v>
      </c>
      <c r="C6164" t="s">
        <v>99</v>
      </c>
      <c r="D6164" t="s">
        <v>100</v>
      </c>
      <c r="E6164" s="1">
        <v>44496</v>
      </c>
      <c r="F6164">
        <v>1</v>
      </c>
      <c r="G6164" t="s">
        <v>51</v>
      </c>
      <c r="H6164" t="s">
        <v>52</v>
      </c>
      <c r="I6164" s="3">
        <v>1678</v>
      </c>
      <c r="J6164" s="3">
        <v>1526</v>
      </c>
      <c r="K6164" s="3">
        <v>386</v>
      </c>
      <c r="L6164" t="s">
        <v>98</v>
      </c>
      <c r="M6164">
        <v>9</v>
      </c>
      <c r="N6164" t="s">
        <v>76</v>
      </c>
      <c r="O6164" t="s">
        <v>70</v>
      </c>
      <c r="P6164" t="s">
        <v>12</v>
      </c>
      <c r="Q6164" t="s">
        <v>13</v>
      </c>
      <c r="R6164" t="s">
        <v>13</v>
      </c>
      <c r="S6164" t="s">
        <v>144</v>
      </c>
      <c r="T6164" s="2">
        <f>MASTER[[#This Row],[CANTIDAD]]*MASTER[[#This Row],[PRECIO DE VENTA]]</f>
        <v>1526</v>
      </c>
      <c r="U6164" s="2">
        <f>MASTER[[#This Row],[CANTIDAD]]*MASTER[[#This Row],[COSTO UNITARIO]]</f>
        <v>386</v>
      </c>
      <c r="V6164" s="2">
        <f>MASTER[[#This Row],[MONTO VENDIDO]]-MASTER[[#This Row],[COSTO DE VENTA]]</f>
        <v>1140</v>
      </c>
    </row>
    <row r="6165" spans="1:22" x14ac:dyDescent="0.3">
      <c r="A6165">
        <v>85063</v>
      </c>
      <c r="B6165">
        <v>1</v>
      </c>
      <c r="C6165" t="s">
        <v>96</v>
      </c>
      <c r="D6165" t="s">
        <v>97</v>
      </c>
      <c r="E6165" s="1">
        <v>44496</v>
      </c>
      <c r="F6165">
        <v>1</v>
      </c>
      <c r="G6165" t="s">
        <v>59</v>
      </c>
      <c r="H6165" t="s">
        <v>60</v>
      </c>
      <c r="I6165" s="3">
        <v>1361</v>
      </c>
      <c r="J6165" s="3">
        <v>1361</v>
      </c>
      <c r="K6165" s="3">
        <v>397</v>
      </c>
      <c r="L6165" t="s">
        <v>98</v>
      </c>
      <c r="M6165">
        <v>13</v>
      </c>
      <c r="N6165" t="s">
        <v>78</v>
      </c>
      <c r="O6165" t="s">
        <v>70</v>
      </c>
      <c r="P6165" t="s">
        <v>18</v>
      </c>
      <c r="Q6165" t="s">
        <v>19</v>
      </c>
      <c r="R6165" t="s">
        <v>138</v>
      </c>
      <c r="S6165" t="s">
        <v>144</v>
      </c>
      <c r="T6165" s="2">
        <f>MASTER[[#This Row],[CANTIDAD]]*MASTER[[#This Row],[PRECIO DE VENTA]]</f>
        <v>1361</v>
      </c>
      <c r="U6165" s="2">
        <f>MASTER[[#This Row],[CANTIDAD]]*MASTER[[#This Row],[COSTO UNITARIO]]</f>
        <v>397</v>
      </c>
      <c r="V6165" s="2">
        <f>MASTER[[#This Row],[MONTO VENDIDO]]-MASTER[[#This Row],[COSTO DE VENTA]]</f>
        <v>964</v>
      </c>
    </row>
    <row r="6166" spans="1:22" x14ac:dyDescent="0.3">
      <c r="A6166">
        <v>85089</v>
      </c>
      <c r="B6166">
        <v>1</v>
      </c>
      <c r="C6166" t="s">
        <v>101</v>
      </c>
      <c r="D6166" t="s">
        <v>102</v>
      </c>
      <c r="E6166" s="1">
        <v>44496</v>
      </c>
      <c r="F6166">
        <v>1</v>
      </c>
      <c r="G6166" t="s">
        <v>20</v>
      </c>
      <c r="H6166" t="s">
        <v>21</v>
      </c>
      <c r="I6166" s="3">
        <v>1212</v>
      </c>
      <c r="J6166" s="3">
        <v>1212</v>
      </c>
      <c r="K6166" s="3">
        <v>442</v>
      </c>
      <c r="L6166" t="s">
        <v>98</v>
      </c>
      <c r="M6166">
        <v>14</v>
      </c>
      <c r="N6166" t="s">
        <v>87</v>
      </c>
      <c r="O6166" t="s">
        <v>81</v>
      </c>
      <c r="P6166" t="s">
        <v>18</v>
      </c>
      <c r="Q6166" t="s">
        <v>19</v>
      </c>
      <c r="R6166" t="s">
        <v>138</v>
      </c>
      <c r="S6166" t="s">
        <v>144</v>
      </c>
      <c r="T6166" s="2">
        <f>MASTER[[#This Row],[CANTIDAD]]*MASTER[[#This Row],[PRECIO DE VENTA]]</f>
        <v>1212</v>
      </c>
      <c r="U6166" s="2">
        <f>MASTER[[#This Row],[CANTIDAD]]*MASTER[[#This Row],[COSTO UNITARIO]]</f>
        <v>442</v>
      </c>
      <c r="V6166" s="2">
        <f>MASTER[[#This Row],[MONTO VENDIDO]]-MASTER[[#This Row],[COSTO DE VENTA]]</f>
        <v>770</v>
      </c>
    </row>
    <row r="6167" spans="1:22" x14ac:dyDescent="0.3">
      <c r="A6167">
        <v>85092</v>
      </c>
      <c r="B6167">
        <v>1</v>
      </c>
      <c r="C6167" t="s">
        <v>114</v>
      </c>
      <c r="D6167" t="s">
        <v>115</v>
      </c>
      <c r="E6167" s="1">
        <v>44496</v>
      </c>
      <c r="F6167">
        <v>1</v>
      </c>
      <c r="G6167" t="s">
        <v>27</v>
      </c>
      <c r="H6167" t="s">
        <v>28</v>
      </c>
      <c r="I6167" s="3">
        <v>2030</v>
      </c>
      <c r="J6167" s="3">
        <v>2030</v>
      </c>
      <c r="K6167" s="3">
        <v>394</v>
      </c>
      <c r="L6167" t="s">
        <v>113</v>
      </c>
      <c r="M6167">
        <v>13</v>
      </c>
      <c r="N6167" t="s">
        <v>78</v>
      </c>
      <c r="O6167" t="s">
        <v>70</v>
      </c>
      <c r="P6167" t="s">
        <v>18</v>
      </c>
      <c r="Q6167" t="s">
        <v>19</v>
      </c>
      <c r="R6167" t="s">
        <v>138</v>
      </c>
      <c r="S6167" t="s">
        <v>144</v>
      </c>
      <c r="T6167" s="2">
        <f>MASTER[[#This Row],[CANTIDAD]]*MASTER[[#This Row],[PRECIO DE VENTA]]</f>
        <v>2030</v>
      </c>
      <c r="U6167" s="2">
        <f>MASTER[[#This Row],[CANTIDAD]]*MASTER[[#This Row],[COSTO UNITARIO]]</f>
        <v>394</v>
      </c>
      <c r="V6167" s="2">
        <f>MASTER[[#This Row],[MONTO VENDIDO]]-MASTER[[#This Row],[COSTO DE VENTA]]</f>
        <v>1636</v>
      </c>
    </row>
    <row r="6168" spans="1:22" x14ac:dyDescent="0.3">
      <c r="A6168">
        <v>85093</v>
      </c>
      <c r="B6168">
        <v>1</v>
      </c>
      <c r="C6168" t="s">
        <v>96</v>
      </c>
      <c r="D6168" t="s">
        <v>97</v>
      </c>
      <c r="E6168" s="1">
        <v>44496</v>
      </c>
      <c r="F6168">
        <v>1</v>
      </c>
      <c r="G6168" t="s">
        <v>61</v>
      </c>
      <c r="H6168" t="s">
        <v>62</v>
      </c>
      <c r="I6168" s="3">
        <v>1272</v>
      </c>
      <c r="J6168" s="3">
        <v>1157</v>
      </c>
      <c r="K6168" s="3">
        <v>397</v>
      </c>
      <c r="L6168" t="s">
        <v>98</v>
      </c>
      <c r="M6168">
        <v>7</v>
      </c>
      <c r="N6168" t="s">
        <v>84</v>
      </c>
      <c r="O6168" t="s">
        <v>81</v>
      </c>
      <c r="P6168" t="s">
        <v>12</v>
      </c>
      <c r="Q6168" t="s">
        <v>13</v>
      </c>
      <c r="R6168" t="s">
        <v>13</v>
      </c>
      <c r="S6168" t="s">
        <v>144</v>
      </c>
      <c r="T6168" s="2">
        <f>MASTER[[#This Row],[CANTIDAD]]*MASTER[[#This Row],[PRECIO DE VENTA]]</f>
        <v>1157</v>
      </c>
      <c r="U6168" s="2">
        <f>MASTER[[#This Row],[CANTIDAD]]*MASTER[[#This Row],[COSTO UNITARIO]]</f>
        <v>397</v>
      </c>
      <c r="V6168" s="2">
        <f>MASTER[[#This Row],[MONTO VENDIDO]]-MASTER[[#This Row],[COSTO DE VENTA]]</f>
        <v>760</v>
      </c>
    </row>
    <row r="6169" spans="1:22" x14ac:dyDescent="0.3">
      <c r="A6169">
        <v>85100</v>
      </c>
      <c r="B6169">
        <v>1</v>
      </c>
      <c r="C6169" t="s">
        <v>109</v>
      </c>
      <c r="D6169" t="s">
        <v>110</v>
      </c>
      <c r="E6169" s="1">
        <v>44496</v>
      </c>
      <c r="F6169">
        <v>1</v>
      </c>
      <c r="G6169" t="s">
        <v>53</v>
      </c>
      <c r="H6169" t="s">
        <v>54</v>
      </c>
      <c r="I6169" s="3">
        <v>947</v>
      </c>
      <c r="J6169" s="3">
        <v>947</v>
      </c>
      <c r="K6169" s="3">
        <v>387</v>
      </c>
      <c r="L6169" t="s">
        <v>98</v>
      </c>
      <c r="M6169">
        <v>11</v>
      </c>
      <c r="N6169" t="s">
        <v>10</v>
      </c>
      <c r="O6169" t="s">
        <v>11</v>
      </c>
      <c r="P6169" t="s">
        <v>12</v>
      </c>
      <c r="Q6169" t="s">
        <v>13</v>
      </c>
      <c r="R6169" t="s">
        <v>13</v>
      </c>
      <c r="S6169" t="s">
        <v>144</v>
      </c>
      <c r="T6169" s="2">
        <f>MASTER[[#This Row],[CANTIDAD]]*MASTER[[#This Row],[PRECIO DE VENTA]]</f>
        <v>947</v>
      </c>
      <c r="U6169" s="2">
        <f>MASTER[[#This Row],[CANTIDAD]]*MASTER[[#This Row],[COSTO UNITARIO]]</f>
        <v>387</v>
      </c>
      <c r="V6169" s="2">
        <f>MASTER[[#This Row],[MONTO VENDIDO]]-MASTER[[#This Row],[COSTO DE VENTA]]</f>
        <v>560</v>
      </c>
    </row>
    <row r="6170" spans="1:22" x14ac:dyDescent="0.3">
      <c r="A6170">
        <v>85102</v>
      </c>
      <c r="B6170">
        <v>1</v>
      </c>
      <c r="C6170" t="s">
        <v>103</v>
      </c>
      <c r="D6170" t="s">
        <v>104</v>
      </c>
      <c r="E6170" s="1">
        <v>44496</v>
      </c>
      <c r="F6170">
        <v>1</v>
      </c>
      <c r="G6170" t="s">
        <v>33</v>
      </c>
      <c r="H6170" t="s">
        <v>34</v>
      </c>
      <c r="I6170" s="3">
        <v>1448</v>
      </c>
      <c r="J6170" s="3">
        <v>1448</v>
      </c>
      <c r="K6170" s="3">
        <v>421</v>
      </c>
      <c r="L6170" t="s">
        <v>98</v>
      </c>
      <c r="M6170">
        <v>17</v>
      </c>
      <c r="N6170" t="s">
        <v>14</v>
      </c>
      <c r="O6170" t="s">
        <v>11</v>
      </c>
      <c r="P6170" t="s">
        <v>15</v>
      </c>
      <c r="Q6170" t="s">
        <v>16</v>
      </c>
      <c r="R6170" t="s">
        <v>16</v>
      </c>
      <c r="S6170" t="s">
        <v>144</v>
      </c>
      <c r="T6170" s="2">
        <f>MASTER[[#This Row],[CANTIDAD]]*MASTER[[#This Row],[PRECIO DE VENTA]]</f>
        <v>1448</v>
      </c>
      <c r="U6170" s="2">
        <f>MASTER[[#This Row],[CANTIDAD]]*MASTER[[#This Row],[COSTO UNITARIO]]</f>
        <v>421</v>
      </c>
      <c r="V6170" s="2">
        <f>MASTER[[#This Row],[MONTO VENDIDO]]-MASTER[[#This Row],[COSTO DE VENTA]]</f>
        <v>1027</v>
      </c>
    </row>
    <row r="6171" spans="1:22" x14ac:dyDescent="0.3">
      <c r="A6171">
        <v>85110</v>
      </c>
      <c r="B6171">
        <v>1</v>
      </c>
      <c r="C6171" t="s">
        <v>103</v>
      </c>
      <c r="D6171" t="s">
        <v>104</v>
      </c>
      <c r="E6171" s="1">
        <v>44496</v>
      </c>
      <c r="F6171">
        <v>1</v>
      </c>
      <c r="G6171" t="s">
        <v>24</v>
      </c>
      <c r="H6171" t="s">
        <v>25</v>
      </c>
      <c r="I6171" s="3">
        <v>1830</v>
      </c>
      <c r="J6171" s="3">
        <v>1830</v>
      </c>
      <c r="K6171" s="3">
        <v>421</v>
      </c>
      <c r="L6171" t="s">
        <v>98</v>
      </c>
      <c r="M6171">
        <v>3</v>
      </c>
      <c r="N6171" t="s">
        <v>69</v>
      </c>
      <c r="O6171" t="s">
        <v>70</v>
      </c>
      <c r="P6171" t="s">
        <v>71</v>
      </c>
      <c r="Q6171" t="s">
        <v>72</v>
      </c>
      <c r="R6171" t="s">
        <v>139</v>
      </c>
      <c r="S6171" t="s">
        <v>144</v>
      </c>
      <c r="T6171" s="2">
        <f>MASTER[[#This Row],[CANTIDAD]]*MASTER[[#This Row],[PRECIO DE VENTA]]</f>
        <v>1830</v>
      </c>
      <c r="U6171" s="2">
        <f>MASTER[[#This Row],[CANTIDAD]]*MASTER[[#This Row],[COSTO UNITARIO]]</f>
        <v>421</v>
      </c>
      <c r="V6171" s="2">
        <f>MASTER[[#This Row],[MONTO VENDIDO]]-MASTER[[#This Row],[COSTO DE VENTA]]</f>
        <v>1409</v>
      </c>
    </row>
    <row r="6172" spans="1:22" x14ac:dyDescent="0.3">
      <c r="A6172">
        <v>85114</v>
      </c>
      <c r="B6172">
        <v>1</v>
      </c>
      <c r="C6172" t="s">
        <v>116</v>
      </c>
      <c r="D6172" t="s">
        <v>117</v>
      </c>
      <c r="E6172" s="1">
        <v>44496</v>
      </c>
      <c r="F6172">
        <v>1</v>
      </c>
      <c r="G6172" t="s">
        <v>41</v>
      </c>
      <c r="H6172" t="s">
        <v>42</v>
      </c>
      <c r="I6172" s="3">
        <v>1738</v>
      </c>
      <c r="J6172" s="3">
        <v>1738</v>
      </c>
      <c r="K6172" s="3">
        <v>388</v>
      </c>
      <c r="L6172" t="s">
        <v>113</v>
      </c>
      <c r="M6172">
        <v>15</v>
      </c>
      <c r="N6172" t="s">
        <v>88</v>
      </c>
      <c r="O6172" t="s">
        <v>81</v>
      </c>
      <c r="P6172" t="s">
        <v>18</v>
      </c>
      <c r="Q6172" t="s">
        <v>19</v>
      </c>
      <c r="R6172" t="s">
        <v>138</v>
      </c>
      <c r="S6172" t="s">
        <v>144</v>
      </c>
      <c r="T6172" s="2">
        <f>MASTER[[#This Row],[CANTIDAD]]*MASTER[[#This Row],[PRECIO DE VENTA]]</f>
        <v>1738</v>
      </c>
      <c r="U6172" s="2">
        <f>MASTER[[#This Row],[CANTIDAD]]*MASTER[[#This Row],[COSTO UNITARIO]]</f>
        <v>388</v>
      </c>
      <c r="V6172" s="2">
        <f>MASTER[[#This Row],[MONTO VENDIDO]]-MASTER[[#This Row],[COSTO DE VENTA]]</f>
        <v>1350</v>
      </c>
    </row>
    <row r="6173" spans="1:22" x14ac:dyDescent="0.3">
      <c r="A6173">
        <v>85118</v>
      </c>
      <c r="B6173">
        <v>1</v>
      </c>
      <c r="C6173" t="s">
        <v>121</v>
      </c>
      <c r="D6173" t="s">
        <v>122</v>
      </c>
      <c r="E6173" s="1">
        <v>44496</v>
      </c>
      <c r="F6173">
        <v>1</v>
      </c>
      <c r="G6173" t="s">
        <v>63</v>
      </c>
      <c r="H6173" t="s">
        <v>64</v>
      </c>
      <c r="I6173" s="3">
        <v>1069</v>
      </c>
      <c r="J6173" s="3">
        <v>1069</v>
      </c>
      <c r="K6173" s="3">
        <v>460</v>
      </c>
      <c r="L6173" t="s">
        <v>120</v>
      </c>
      <c r="M6173">
        <v>14</v>
      </c>
      <c r="N6173" t="s">
        <v>87</v>
      </c>
      <c r="O6173" t="s">
        <v>81</v>
      </c>
      <c r="P6173" t="s">
        <v>18</v>
      </c>
      <c r="Q6173" t="s">
        <v>19</v>
      </c>
      <c r="R6173" t="s">
        <v>138</v>
      </c>
      <c r="S6173" t="s">
        <v>144</v>
      </c>
      <c r="T6173" s="2">
        <f>MASTER[[#This Row],[CANTIDAD]]*MASTER[[#This Row],[PRECIO DE VENTA]]</f>
        <v>1069</v>
      </c>
      <c r="U6173" s="2">
        <f>MASTER[[#This Row],[CANTIDAD]]*MASTER[[#This Row],[COSTO UNITARIO]]</f>
        <v>460</v>
      </c>
      <c r="V6173" s="2">
        <f>MASTER[[#This Row],[MONTO VENDIDO]]-MASTER[[#This Row],[COSTO DE VENTA]]</f>
        <v>609</v>
      </c>
    </row>
    <row r="6174" spans="1:22" x14ac:dyDescent="0.3">
      <c r="A6174">
        <v>85121</v>
      </c>
      <c r="B6174">
        <v>1</v>
      </c>
      <c r="C6174" t="s">
        <v>101</v>
      </c>
      <c r="D6174" t="s">
        <v>102</v>
      </c>
      <c r="E6174" s="1">
        <v>44497</v>
      </c>
      <c r="F6174">
        <v>1</v>
      </c>
      <c r="G6174" t="s">
        <v>45</v>
      </c>
      <c r="H6174" t="s">
        <v>46</v>
      </c>
      <c r="I6174" s="3">
        <v>1212</v>
      </c>
      <c r="J6174" s="3">
        <v>1212</v>
      </c>
      <c r="K6174" s="3">
        <v>442</v>
      </c>
      <c r="L6174" t="s">
        <v>98</v>
      </c>
      <c r="M6174">
        <v>10</v>
      </c>
      <c r="N6174" t="s">
        <v>83</v>
      </c>
      <c r="O6174" t="s">
        <v>81</v>
      </c>
      <c r="P6174" t="s">
        <v>12</v>
      </c>
      <c r="Q6174" t="s">
        <v>13</v>
      </c>
      <c r="R6174" t="s">
        <v>13</v>
      </c>
      <c r="S6174" t="s">
        <v>144</v>
      </c>
      <c r="T6174" s="2">
        <f>MASTER[[#This Row],[CANTIDAD]]*MASTER[[#This Row],[PRECIO DE VENTA]]</f>
        <v>1212</v>
      </c>
      <c r="U6174" s="2">
        <f>MASTER[[#This Row],[CANTIDAD]]*MASTER[[#This Row],[COSTO UNITARIO]]</f>
        <v>442</v>
      </c>
      <c r="V6174" s="2">
        <f>MASTER[[#This Row],[MONTO VENDIDO]]-MASTER[[#This Row],[COSTO DE VENTA]]</f>
        <v>770</v>
      </c>
    </row>
    <row r="6175" spans="1:22" x14ac:dyDescent="0.3">
      <c r="A6175">
        <v>85122</v>
      </c>
      <c r="B6175">
        <v>1</v>
      </c>
      <c r="C6175" t="s">
        <v>90</v>
      </c>
      <c r="D6175" t="s">
        <v>91</v>
      </c>
      <c r="E6175" s="1">
        <v>44497</v>
      </c>
      <c r="F6175">
        <v>1</v>
      </c>
      <c r="G6175" t="s">
        <v>41</v>
      </c>
      <c r="H6175" t="s">
        <v>42</v>
      </c>
      <c r="I6175" s="3">
        <v>1844</v>
      </c>
      <c r="J6175" s="3">
        <v>1844</v>
      </c>
      <c r="K6175" s="3">
        <v>420</v>
      </c>
      <c r="L6175" t="s">
        <v>9</v>
      </c>
      <c r="M6175">
        <v>14</v>
      </c>
      <c r="N6175" t="s">
        <v>87</v>
      </c>
      <c r="O6175" t="s">
        <v>81</v>
      </c>
      <c r="P6175" t="s">
        <v>18</v>
      </c>
      <c r="Q6175" t="s">
        <v>19</v>
      </c>
      <c r="R6175" t="s">
        <v>138</v>
      </c>
      <c r="S6175" t="s">
        <v>144</v>
      </c>
      <c r="T6175" s="2">
        <f>MASTER[[#This Row],[CANTIDAD]]*MASTER[[#This Row],[PRECIO DE VENTA]]</f>
        <v>1844</v>
      </c>
      <c r="U6175" s="2">
        <f>MASTER[[#This Row],[CANTIDAD]]*MASTER[[#This Row],[COSTO UNITARIO]]</f>
        <v>420</v>
      </c>
      <c r="V6175" s="2">
        <f>MASTER[[#This Row],[MONTO VENDIDO]]-MASTER[[#This Row],[COSTO DE VENTA]]</f>
        <v>1424</v>
      </c>
    </row>
    <row r="6176" spans="1:22" x14ac:dyDescent="0.3">
      <c r="A6176">
        <v>85129</v>
      </c>
      <c r="B6176">
        <v>1</v>
      </c>
      <c r="C6176" t="s">
        <v>99</v>
      </c>
      <c r="D6176" t="s">
        <v>100</v>
      </c>
      <c r="E6176" s="1">
        <v>44497</v>
      </c>
      <c r="F6176">
        <v>1</v>
      </c>
      <c r="G6176" t="s">
        <v>49</v>
      </c>
      <c r="H6176" t="s">
        <v>50</v>
      </c>
      <c r="I6176" s="3">
        <v>1328</v>
      </c>
      <c r="J6176" s="3">
        <v>1328</v>
      </c>
      <c r="K6176" s="3">
        <v>386</v>
      </c>
      <c r="L6176" t="s">
        <v>98</v>
      </c>
      <c r="M6176">
        <v>17</v>
      </c>
      <c r="N6176" t="s">
        <v>14</v>
      </c>
      <c r="O6176" t="s">
        <v>11</v>
      </c>
      <c r="P6176" t="s">
        <v>15</v>
      </c>
      <c r="Q6176" t="s">
        <v>16</v>
      </c>
      <c r="R6176" t="s">
        <v>16</v>
      </c>
      <c r="S6176" t="s">
        <v>144</v>
      </c>
      <c r="T6176" s="2">
        <f>MASTER[[#This Row],[CANTIDAD]]*MASTER[[#This Row],[PRECIO DE VENTA]]</f>
        <v>1328</v>
      </c>
      <c r="U6176" s="2">
        <f>MASTER[[#This Row],[CANTIDAD]]*MASTER[[#This Row],[COSTO UNITARIO]]</f>
        <v>386</v>
      </c>
      <c r="V6176" s="2">
        <f>MASTER[[#This Row],[MONTO VENDIDO]]-MASTER[[#This Row],[COSTO DE VENTA]]</f>
        <v>942</v>
      </c>
    </row>
    <row r="6177" spans="1:22" x14ac:dyDescent="0.3">
      <c r="A6177">
        <v>85138</v>
      </c>
      <c r="B6177">
        <v>1</v>
      </c>
      <c r="C6177" t="s">
        <v>103</v>
      </c>
      <c r="D6177" t="s">
        <v>104</v>
      </c>
      <c r="E6177" s="1">
        <v>44497</v>
      </c>
      <c r="F6177">
        <v>1</v>
      </c>
      <c r="G6177" t="s">
        <v>67</v>
      </c>
      <c r="H6177" t="s">
        <v>68</v>
      </c>
      <c r="I6177" s="3">
        <v>1830</v>
      </c>
      <c r="J6177" s="3">
        <v>1830</v>
      </c>
      <c r="K6177" s="3">
        <v>421</v>
      </c>
      <c r="L6177" t="s">
        <v>98</v>
      </c>
      <c r="M6177">
        <v>3</v>
      </c>
      <c r="N6177" t="s">
        <v>69</v>
      </c>
      <c r="O6177" t="s">
        <v>70</v>
      </c>
      <c r="P6177" t="s">
        <v>71</v>
      </c>
      <c r="Q6177" t="s">
        <v>72</v>
      </c>
      <c r="R6177" t="s">
        <v>139</v>
      </c>
      <c r="S6177" t="s">
        <v>144</v>
      </c>
      <c r="T6177" s="2">
        <f>MASTER[[#This Row],[CANTIDAD]]*MASTER[[#This Row],[PRECIO DE VENTA]]</f>
        <v>1830</v>
      </c>
      <c r="U6177" s="2">
        <f>MASTER[[#This Row],[CANTIDAD]]*MASTER[[#This Row],[COSTO UNITARIO]]</f>
        <v>421</v>
      </c>
      <c r="V6177" s="2">
        <f>MASTER[[#This Row],[MONTO VENDIDO]]-MASTER[[#This Row],[COSTO DE VENTA]]</f>
        <v>1409</v>
      </c>
    </row>
    <row r="6178" spans="1:22" x14ac:dyDescent="0.3">
      <c r="A6178">
        <v>85140</v>
      </c>
      <c r="B6178">
        <v>1</v>
      </c>
      <c r="C6178" t="s">
        <v>90</v>
      </c>
      <c r="D6178" t="s">
        <v>91</v>
      </c>
      <c r="E6178" s="1">
        <v>44497</v>
      </c>
      <c r="F6178">
        <v>1</v>
      </c>
      <c r="G6178" t="s">
        <v>31</v>
      </c>
      <c r="H6178" t="s">
        <v>32</v>
      </c>
      <c r="I6178" s="3">
        <v>2102</v>
      </c>
      <c r="J6178" s="3">
        <v>2102</v>
      </c>
      <c r="K6178" s="3">
        <v>420</v>
      </c>
      <c r="L6178" t="s">
        <v>9</v>
      </c>
      <c r="M6178">
        <v>18</v>
      </c>
      <c r="N6178" t="s">
        <v>79</v>
      </c>
      <c r="O6178" t="s">
        <v>70</v>
      </c>
      <c r="P6178" t="s">
        <v>15</v>
      </c>
      <c r="Q6178" t="s">
        <v>16</v>
      </c>
      <c r="R6178" t="s">
        <v>16</v>
      </c>
      <c r="S6178" t="s">
        <v>144</v>
      </c>
      <c r="T6178" s="2">
        <f>MASTER[[#This Row],[CANTIDAD]]*MASTER[[#This Row],[PRECIO DE VENTA]]</f>
        <v>2102</v>
      </c>
      <c r="U6178" s="2">
        <f>MASTER[[#This Row],[CANTIDAD]]*MASTER[[#This Row],[COSTO UNITARIO]]</f>
        <v>420</v>
      </c>
      <c r="V6178" s="2">
        <f>MASTER[[#This Row],[MONTO VENDIDO]]-MASTER[[#This Row],[COSTO DE VENTA]]</f>
        <v>1682</v>
      </c>
    </row>
    <row r="6179" spans="1:22" x14ac:dyDescent="0.3">
      <c r="A6179">
        <v>85171</v>
      </c>
      <c r="B6179">
        <v>1</v>
      </c>
      <c r="C6179" t="s">
        <v>107</v>
      </c>
      <c r="D6179" t="s">
        <v>108</v>
      </c>
      <c r="E6179" s="1">
        <v>44497</v>
      </c>
      <c r="F6179">
        <v>1</v>
      </c>
      <c r="G6179" t="s">
        <v>33</v>
      </c>
      <c r="H6179" t="s">
        <v>34</v>
      </c>
      <c r="I6179" s="3">
        <v>1333</v>
      </c>
      <c r="J6179" s="3">
        <v>1333</v>
      </c>
      <c r="K6179" s="3">
        <v>380</v>
      </c>
      <c r="L6179" t="s">
        <v>98</v>
      </c>
      <c r="M6179">
        <v>7</v>
      </c>
      <c r="N6179" t="s">
        <v>84</v>
      </c>
      <c r="O6179" t="s">
        <v>81</v>
      </c>
      <c r="P6179" t="s">
        <v>12</v>
      </c>
      <c r="Q6179" t="s">
        <v>13</v>
      </c>
      <c r="R6179" t="s">
        <v>13</v>
      </c>
      <c r="S6179" t="s">
        <v>144</v>
      </c>
      <c r="T6179" s="2">
        <f>MASTER[[#This Row],[CANTIDAD]]*MASTER[[#This Row],[PRECIO DE VENTA]]</f>
        <v>1333</v>
      </c>
      <c r="U6179" s="2">
        <f>MASTER[[#This Row],[CANTIDAD]]*MASTER[[#This Row],[COSTO UNITARIO]]</f>
        <v>380</v>
      </c>
      <c r="V6179" s="2">
        <f>MASTER[[#This Row],[MONTO VENDIDO]]-MASTER[[#This Row],[COSTO DE VENTA]]</f>
        <v>953</v>
      </c>
    </row>
    <row r="6180" spans="1:22" x14ac:dyDescent="0.3">
      <c r="A6180">
        <v>85176</v>
      </c>
      <c r="B6180">
        <v>1</v>
      </c>
      <c r="C6180" t="s">
        <v>121</v>
      </c>
      <c r="D6180" t="s">
        <v>122</v>
      </c>
      <c r="E6180" s="1">
        <v>44498</v>
      </c>
      <c r="F6180">
        <v>1</v>
      </c>
      <c r="G6180" t="s">
        <v>43</v>
      </c>
      <c r="H6180" t="s">
        <v>44</v>
      </c>
      <c r="I6180" s="3">
        <v>1144</v>
      </c>
      <c r="J6180" s="3">
        <v>1086</v>
      </c>
      <c r="K6180" s="3">
        <v>460</v>
      </c>
      <c r="L6180" t="s">
        <v>120</v>
      </c>
      <c r="M6180">
        <v>1</v>
      </c>
      <c r="N6180" t="s">
        <v>77</v>
      </c>
      <c r="O6180" t="s">
        <v>70</v>
      </c>
      <c r="P6180" t="s">
        <v>71</v>
      </c>
      <c r="Q6180" t="s">
        <v>72</v>
      </c>
      <c r="R6180" t="s">
        <v>139</v>
      </c>
      <c r="S6180" t="s">
        <v>144</v>
      </c>
      <c r="T6180" s="2">
        <f>MASTER[[#This Row],[CANTIDAD]]*MASTER[[#This Row],[PRECIO DE VENTA]]</f>
        <v>1086</v>
      </c>
      <c r="U6180" s="2">
        <f>MASTER[[#This Row],[CANTIDAD]]*MASTER[[#This Row],[COSTO UNITARIO]]</f>
        <v>460</v>
      </c>
      <c r="V6180" s="2">
        <f>MASTER[[#This Row],[MONTO VENDIDO]]-MASTER[[#This Row],[COSTO DE VENTA]]</f>
        <v>626</v>
      </c>
    </row>
    <row r="6181" spans="1:22" x14ac:dyDescent="0.3">
      <c r="A6181">
        <v>85177</v>
      </c>
      <c r="B6181">
        <v>1</v>
      </c>
      <c r="C6181" t="s">
        <v>105</v>
      </c>
      <c r="D6181" t="s">
        <v>106</v>
      </c>
      <c r="E6181" s="1">
        <v>44498</v>
      </c>
      <c r="F6181">
        <v>1</v>
      </c>
      <c r="G6181" t="s">
        <v>24</v>
      </c>
      <c r="H6181" t="s">
        <v>25</v>
      </c>
      <c r="I6181" s="3">
        <v>2033</v>
      </c>
      <c r="J6181" s="3">
        <v>2033</v>
      </c>
      <c r="K6181" s="3">
        <v>459</v>
      </c>
      <c r="L6181" t="s">
        <v>98</v>
      </c>
      <c r="M6181">
        <v>9</v>
      </c>
      <c r="N6181" t="s">
        <v>76</v>
      </c>
      <c r="O6181" t="s">
        <v>70</v>
      </c>
      <c r="P6181" t="s">
        <v>12</v>
      </c>
      <c r="Q6181" t="s">
        <v>13</v>
      </c>
      <c r="R6181" t="s">
        <v>13</v>
      </c>
      <c r="S6181" t="s">
        <v>144</v>
      </c>
      <c r="T6181" s="2">
        <f>MASTER[[#This Row],[CANTIDAD]]*MASTER[[#This Row],[PRECIO DE VENTA]]</f>
        <v>2033</v>
      </c>
      <c r="U6181" s="2">
        <f>MASTER[[#This Row],[CANTIDAD]]*MASTER[[#This Row],[COSTO UNITARIO]]</f>
        <v>459</v>
      </c>
      <c r="V6181" s="2">
        <f>MASTER[[#This Row],[MONTO VENDIDO]]-MASTER[[#This Row],[COSTO DE VENTA]]</f>
        <v>1574</v>
      </c>
    </row>
    <row r="6182" spans="1:22" x14ac:dyDescent="0.3">
      <c r="A6182">
        <v>85179</v>
      </c>
      <c r="B6182">
        <v>1</v>
      </c>
      <c r="C6182" t="s">
        <v>94</v>
      </c>
      <c r="D6182" t="s">
        <v>95</v>
      </c>
      <c r="E6182" s="1">
        <v>44498</v>
      </c>
      <c r="F6182">
        <v>1</v>
      </c>
      <c r="G6182" t="s">
        <v>35</v>
      </c>
      <c r="H6182" t="s">
        <v>36</v>
      </c>
      <c r="I6182" s="3">
        <v>1048</v>
      </c>
      <c r="J6182" s="3">
        <v>1048</v>
      </c>
      <c r="K6182" s="3">
        <v>392</v>
      </c>
      <c r="L6182" t="s">
        <v>9</v>
      </c>
      <c r="M6182">
        <v>7</v>
      </c>
      <c r="N6182" t="s">
        <v>84</v>
      </c>
      <c r="O6182" t="s">
        <v>81</v>
      </c>
      <c r="P6182" t="s">
        <v>12</v>
      </c>
      <c r="Q6182" t="s">
        <v>13</v>
      </c>
      <c r="R6182" t="s">
        <v>13</v>
      </c>
      <c r="S6182" t="s">
        <v>144</v>
      </c>
      <c r="T6182" s="2">
        <f>MASTER[[#This Row],[CANTIDAD]]*MASTER[[#This Row],[PRECIO DE VENTA]]</f>
        <v>1048</v>
      </c>
      <c r="U6182" s="2">
        <f>MASTER[[#This Row],[CANTIDAD]]*MASTER[[#This Row],[COSTO UNITARIO]]</f>
        <v>392</v>
      </c>
      <c r="V6182" s="2">
        <f>MASTER[[#This Row],[MONTO VENDIDO]]-MASTER[[#This Row],[COSTO DE VENTA]]</f>
        <v>656</v>
      </c>
    </row>
    <row r="6183" spans="1:22" x14ac:dyDescent="0.3">
      <c r="A6183">
        <v>85181</v>
      </c>
      <c r="B6183">
        <v>1</v>
      </c>
      <c r="C6183" t="s">
        <v>94</v>
      </c>
      <c r="D6183" t="s">
        <v>95</v>
      </c>
      <c r="E6183" s="1">
        <v>44498</v>
      </c>
      <c r="F6183">
        <v>1</v>
      </c>
      <c r="G6183" t="s">
        <v>73</v>
      </c>
      <c r="H6183" t="s">
        <v>74</v>
      </c>
      <c r="I6183" s="3">
        <v>901</v>
      </c>
      <c r="J6183" s="3">
        <v>810</v>
      </c>
      <c r="K6183" s="3">
        <v>392</v>
      </c>
      <c r="L6183" t="s">
        <v>9</v>
      </c>
      <c r="M6183">
        <v>16</v>
      </c>
      <c r="N6183" t="s">
        <v>17</v>
      </c>
      <c r="O6183" t="s">
        <v>11</v>
      </c>
      <c r="P6183" t="s">
        <v>18</v>
      </c>
      <c r="Q6183" t="s">
        <v>19</v>
      </c>
      <c r="R6183" t="s">
        <v>138</v>
      </c>
      <c r="S6183" t="s">
        <v>144</v>
      </c>
      <c r="T6183" s="2">
        <f>MASTER[[#This Row],[CANTIDAD]]*MASTER[[#This Row],[PRECIO DE VENTA]]</f>
        <v>810</v>
      </c>
      <c r="U6183" s="2">
        <f>MASTER[[#This Row],[CANTIDAD]]*MASTER[[#This Row],[COSTO UNITARIO]]</f>
        <v>392</v>
      </c>
      <c r="V6183" s="2">
        <f>MASTER[[#This Row],[MONTO VENDIDO]]-MASTER[[#This Row],[COSTO DE VENTA]]</f>
        <v>418</v>
      </c>
    </row>
    <row r="6184" spans="1:22" x14ac:dyDescent="0.3">
      <c r="A6184">
        <v>85184</v>
      </c>
      <c r="B6184">
        <v>1</v>
      </c>
      <c r="C6184" t="s">
        <v>107</v>
      </c>
      <c r="D6184" t="s">
        <v>108</v>
      </c>
      <c r="E6184" s="1">
        <v>44498</v>
      </c>
      <c r="F6184">
        <v>1</v>
      </c>
      <c r="G6184" t="s">
        <v>73</v>
      </c>
      <c r="H6184" t="s">
        <v>74</v>
      </c>
      <c r="I6184" s="3">
        <v>1240</v>
      </c>
      <c r="J6184" s="3">
        <v>1240</v>
      </c>
      <c r="K6184" s="3">
        <v>380</v>
      </c>
      <c r="L6184" t="s">
        <v>98</v>
      </c>
      <c r="M6184">
        <v>17</v>
      </c>
      <c r="N6184" t="s">
        <v>14</v>
      </c>
      <c r="O6184" t="s">
        <v>11</v>
      </c>
      <c r="P6184" t="s">
        <v>15</v>
      </c>
      <c r="Q6184" t="s">
        <v>16</v>
      </c>
      <c r="R6184" t="s">
        <v>16</v>
      </c>
      <c r="S6184" t="s">
        <v>144</v>
      </c>
      <c r="T6184" s="2">
        <f>MASTER[[#This Row],[CANTIDAD]]*MASTER[[#This Row],[PRECIO DE VENTA]]</f>
        <v>1240</v>
      </c>
      <c r="U6184" s="2">
        <f>MASTER[[#This Row],[CANTIDAD]]*MASTER[[#This Row],[COSTO UNITARIO]]</f>
        <v>380</v>
      </c>
      <c r="V6184" s="2">
        <f>MASTER[[#This Row],[MONTO VENDIDO]]-MASTER[[#This Row],[COSTO DE VENTA]]</f>
        <v>860</v>
      </c>
    </row>
    <row r="6185" spans="1:22" x14ac:dyDescent="0.3">
      <c r="A6185">
        <v>85186</v>
      </c>
      <c r="B6185">
        <v>1</v>
      </c>
      <c r="C6185" t="s">
        <v>111</v>
      </c>
      <c r="D6185" t="s">
        <v>112</v>
      </c>
      <c r="E6185" s="1">
        <v>44498</v>
      </c>
      <c r="F6185">
        <v>1</v>
      </c>
      <c r="G6185" t="s">
        <v>51</v>
      </c>
      <c r="H6185" t="s">
        <v>52</v>
      </c>
      <c r="I6185" s="3">
        <v>1621</v>
      </c>
      <c r="J6185" s="3">
        <v>1621</v>
      </c>
      <c r="K6185" s="3">
        <v>434</v>
      </c>
      <c r="L6185" t="s">
        <v>113</v>
      </c>
      <c r="M6185">
        <v>5</v>
      </c>
      <c r="N6185" t="s">
        <v>85</v>
      </c>
      <c r="O6185" t="s">
        <v>81</v>
      </c>
      <c r="P6185" t="s">
        <v>12</v>
      </c>
      <c r="Q6185" t="s">
        <v>13</v>
      </c>
      <c r="R6185" t="s">
        <v>13</v>
      </c>
      <c r="S6185" t="s">
        <v>144</v>
      </c>
      <c r="T6185" s="2">
        <f>MASTER[[#This Row],[CANTIDAD]]*MASTER[[#This Row],[PRECIO DE VENTA]]</f>
        <v>1621</v>
      </c>
      <c r="U6185" s="2">
        <f>MASTER[[#This Row],[CANTIDAD]]*MASTER[[#This Row],[COSTO UNITARIO]]</f>
        <v>434</v>
      </c>
      <c r="V6185" s="2">
        <f>MASTER[[#This Row],[MONTO VENDIDO]]-MASTER[[#This Row],[COSTO DE VENTA]]</f>
        <v>1187</v>
      </c>
    </row>
    <row r="6186" spans="1:22" x14ac:dyDescent="0.3">
      <c r="A6186">
        <v>85195</v>
      </c>
      <c r="B6186">
        <v>1</v>
      </c>
      <c r="C6186" t="s">
        <v>121</v>
      </c>
      <c r="D6186" t="s">
        <v>122</v>
      </c>
      <c r="E6186" s="1">
        <v>44498</v>
      </c>
      <c r="F6186">
        <v>1</v>
      </c>
      <c r="G6186" t="s">
        <v>29</v>
      </c>
      <c r="H6186" t="s">
        <v>30</v>
      </c>
      <c r="I6186" s="3">
        <v>941</v>
      </c>
      <c r="J6186" s="3">
        <v>941</v>
      </c>
      <c r="K6186" s="3">
        <v>460</v>
      </c>
      <c r="L6186" t="s">
        <v>120</v>
      </c>
      <c r="M6186">
        <v>17</v>
      </c>
      <c r="N6186" t="s">
        <v>14</v>
      </c>
      <c r="O6186" t="s">
        <v>11</v>
      </c>
      <c r="P6186" t="s">
        <v>15</v>
      </c>
      <c r="Q6186" t="s">
        <v>16</v>
      </c>
      <c r="R6186" t="s">
        <v>16</v>
      </c>
      <c r="S6186" t="s">
        <v>144</v>
      </c>
      <c r="T6186" s="2">
        <f>MASTER[[#This Row],[CANTIDAD]]*MASTER[[#This Row],[PRECIO DE VENTA]]</f>
        <v>941</v>
      </c>
      <c r="U6186" s="2">
        <f>MASTER[[#This Row],[CANTIDAD]]*MASTER[[#This Row],[COSTO UNITARIO]]</f>
        <v>460</v>
      </c>
      <c r="V6186" s="2">
        <f>MASTER[[#This Row],[MONTO VENDIDO]]-MASTER[[#This Row],[COSTO DE VENTA]]</f>
        <v>481</v>
      </c>
    </row>
    <row r="6187" spans="1:22" x14ac:dyDescent="0.3">
      <c r="A6187">
        <v>85210</v>
      </c>
      <c r="B6187">
        <v>1</v>
      </c>
      <c r="C6187" t="s">
        <v>5</v>
      </c>
      <c r="D6187" t="s">
        <v>6</v>
      </c>
      <c r="E6187" s="1">
        <v>44498</v>
      </c>
      <c r="F6187">
        <v>1</v>
      </c>
      <c r="G6187" t="s">
        <v>22</v>
      </c>
      <c r="H6187" t="s">
        <v>23</v>
      </c>
      <c r="I6187" s="3">
        <v>1311</v>
      </c>
      <c r="J6187" s="3">
        <v>1311</v>
      </c>
      <c r="K6187" s="3">
        <v>393</v>
      </c>
      <c r="L6187" t="s">
        <v>9</v>
      </c>
      <c r="M6187">
        <v>17</v>
      </c>
      <c r="N6187" t="s">
        <v>14</v>
      </c>
      <c r="O6187" t="s">
        <v>11</v>
      </c>
      <c r="P6187" t="s">
        <v>15</v>
      </c>
      <c r="Q6187" t="s">
        <v>16</v>
      </c>
      <c r="R6187" t="s">
        <v>16</v>
      </c>
      <c r="S6187" t="s">
        <v>144</v>
      </c>
      <c r="T6187" s="2">
        <f>MASTER[[#This Row],[CANTIDAD]]*MASTER[[#This Row],[PRECIO DE VENTA]]</f>
        <v>1311</v>
      </c>
      <c r="U6187" s="2">
        <f>MASTER[[#This Row],[CANTIDAD]]*MASTER[[#This Row],[COSTO UNITARIO]]</f>
        <v>393</v>
      </c>
      <c r="V6187" s="2">
        <f>MASTER[[#This Row],[MONTO VENDIDO]]-MASTER[[#This Row],[COSTO DE VENTA]]</f>
        <v>918</v>
      </c>
    </row>
    <row r="6188" spans="1:22" x14ac:dyDescent="0.3">
      <c r="A6188">
        <v>85219</v>
      </c>
      <c r="B6188">
        <v>1</v>
      </c>
      <c r="C6188" t="s">
        <v>111</v>
      </c>
      <c r="D6188" t="s">
        <v>112</v>
      </c>
      <c r="E6188" s="1">
        <v>44498</v>
      </c>
      <c r="F6188">
        <v>1</v>
      </c>
      <c r="G6188" t="s">
        <v>55</v>
      </c>
      <c r="H6188" t="s">
        <v>56</v>
      </c>
      <c r="I6188" s="3">
        <v>1621</v>
      </c>
      <c r="J6188" s="3">
        <v>1621</v>
      </c>
      <c r="K6188" s="3">
        <v>434</v>
      </c>
      <c r="L6188" t="s">
        <v>113</v>
      </c>
      <c r="M6188">
        <v>10</v>
      </c>
      <c r="N6188" t="s">
        <v>83</v>
      </c>
      <c r="O6188" t="s">
        <v>81</v>
      </c>
      <c r="P6188" t="s">
        <v>12</v>
      </c>
      <c r="Q6188" t="s">
        <v>13</v>
      </c>
      <c r="R6188" t="s">
        <v>13</v>
      </c>
      <c r="S6188" t="s">
        <v>144</v>
      </c>
      <c r="T6188" s="2">
        <f>MASTER[[#This Row],[CANTIDAD]]*MASTER[[#This Row],[PRECIO DE VENTA]]</f>
        <v>1621</v>
      </c>
      <c r="U6188" s="2">
        <f>MASTER[[#This Row],[CANTIDAD]]*MASTER[[#This Row],[COSTO UNITARIO]]</f>
        <v>434</v>
      </c>
      <c r="V6188" s="2">
        <f>MASTER[[#This Row],[MONTO VENDIDO]]-MASTER[[#This Row],[COSTO DE VENTA]]</f>
        <v>1187</v>
      </c>
    </row>
    <row r="6189" spans="1:22" x14ac:dyDescent="0.3">
      <c r="A6189">
        <v>85248</v>
      </c>
      <c r="B6189">
        <v>1</v>
      </c>
      <c r="C6189" t="s">
        <v>114</v>
      </c>
      <c r="D6189" t="s">
        <v>115</v>
      </c>
      <c r="E6189" s="1">
        <v>44498</v>
      </c>
      <c r="F6189">
        <v>1</v>
      </c>
      <c r="G6189" t="s">
        <v>49</v>
      </c>
      <c r="H6189" t="s">
        <v>50</v>
      </c>
      <c r="I6189" s="3">
        <v>1862</v>
      </c>
      <c r="J6189" s="3">
        <v>1862</v>
      </c>
      <c r="K6189" s="3">
        <v>394</v>
      </c>
      <c r="L6189" t="s">
        <v>113</v>
      </c>
      <c r="M6189">
        <v>2</v>
      </c>
      <c r="N6189" t="s">
        <v>86</v>
      </c>
      <c r="O6189" t="s">
        <v>81</v>
      </c>
      <c r="P6189" t="s">
        <v>71</v>
      </c>
      <c r="Q6189" t="s">
        <v>72</v>
      </c>
      <c r="R6189" t="s">
        <v>139</v>
      </c>
      <c r="S6189" t="s">
        <v>144</v>
      </c>
      <c r="T6189" s="2">
        <f>MASTER[[#This Row],[CANTIDAD]]*MASTER[[#This Row],[PRECIO DE VENTA]]</f>
        <v>1862</v>
      </c>
      <c r="U6189" s="2">
        <f>MASTER[[#This Row],[CANTIDAD]]*MASTER[[#This Row],[COSTO UNITARIO]]</f>
        <v>394</v>
      </c>
      <c r="V6189" s="2">
        <f>MASTER[[#This Row],[MONTO VENDIDO]]-MASTER[[#This Row],[COSTO DE VENTA]]</f>
        <v>1468</v>
      </c>
    </row>
    <row r="6190" spans="1:22" x14ac:dyDescent="0.3">
      <c r="A6190">
        <v>85266</v>
      </c>
      <c r="B6190">
        <v>1</v>
      </c>
      <c r="C6190" t="s">
        <v>111</v>
      </c>
      <c r="D6190" t="s">
        <v>112</v>
      </c>
      <c r="E6190" s="1">
        <v>44498</v>
      </c>
      <c r="F6190">
        <v>3</v>
      </c>
      <c r="G6190" t="s">
        <v>65</v>
      </c>
      <c r="H6190" t="s">
        <v>66</v>
      </c>
      <c r="I6190" s="3">
        <v>1524</v>
      </c>
      <c r="J6190" s="3">
        <v>1524</v>
      </c>
      <c r="K6190" s="3">
        <v>434</v>
      </c>
      <c r="L6190" t="s">
        <v>113</v>
      </c>
      <c r="M6190">
        <v>11</v>
      </c>
      <c r="N6190" t="s">
        <v>10</v>
      </c>
      <c r="O6190" t="s">
        <v>11</v>
      </c>
      <c r="P6190" t="s">
        <v>12</v>
      </c>
      <c r="Q6190" t="s">
        <v>13</v>
      </c>
      <c r="R6190" t="s">
        <v>13</v>
      </c>
      <c r="S6190" t="s">
        <v>144</v>
      </c>
      <c r="T6190" s="2">
        <f>MASTER[[#This Row],[CANTIDAD]]*MASTER[[#This Row],[PRECIO DE VENTA]]</f>
        <v>4572</v>
      </c>
      <c r="U6190" s="2">
        <f>MASTER[[#This Row],[CANTIDAD]]*MASTER[[#This Row],[COSTO UNITARIO]]</f>
        <v>1302</v>
      </c>
      <c r="V6190" s="2">
        <f>MASTER[[#This Row],[MONTO VENDIDO]]-MASTER[[#This Row],[COSTO DE VENTA]]</f>
        <v>3270</v>
      </c>
    </row>
    <row r="6191" spans="1:22" x14ac:dyDescent="0.3">
      <c r="A6191">
        <v>85274</v>
      </c>
      <c r="B6191">
        <v>1</v>
      </c>
      <c r="C6191" t="s">
        <v>114</v>
      </c>
      <c r="D6191" t="s">
        <v>115</v>
      </c>
      <c r="E6191" s="1">
        <v>44498</v>
      </c>
      <c r="F6191">
        <v>1</v>
      </c>
      <c r="G6191" t="s">
        <v>35</v>
      </c>
      <c r="H6191" t="s">
        <v>36</v>
      </c>
      <c r="I6191" s="3">
        <v>1862</v>
      </c>
      <c r="J6191" s="3">
        <v>1862</v>
      </c>
      <c r="K6191" s="3">
        <v>394</v>
      </c>
      <c r="L6191" t="s">
        <v>113</v>
      </c>
      <c r="M6191">
        <v>8</v>
      </c>
      <c r="N6191" t="s">
        <v>80</v>
      </c>
      <c r="O6191" t="s">
        <v>81</v>
      </c>
      <c r="P6191" t="s">
        <v>12</v>
      </c>
      <c r="Q6191" t="s">
        <v>13</v>
      </c>
      <c r="R6191" t="s">
        <v>13</v>
      </c>
      <c r="S6191" t="s">
        <v>144</v>
      </c>
      <c r="T6191" s="2">
        <f>MASTER[[#This Row],[CANTIDAD]]*MASTER[[#This Row],[PRECIO DE VENTA]]</f>
        <v>1862</v>
      </c>
      <c r="U6191" s="2">
        <f>MASTER[[#This Row],[CANTIDAD]]*MASTER[[#This Row],[COSTO UNITARIO]]</f>
        <v>394</v>
      </c>
      <c r="V6191" s="2">
        <f>MASTER[[#This Row],[MONTO VENDIDO]]-MASTER[[#This Row],[COSTO DE VENTA]]</f>
        <v>1468</v>
      </c>
    </row>
    <row r="6192" spans="1:22" x14ac:dyDescent="0.3">
      <c r="A6192">
        <v>85279</v>
      </c>
      <c r="B6192">
        <v>1</v>
      </c>
      <c r="C6192" t="s">
        <v>92</v>
      </c>
      <c r="D6192" t="s">
        <v>93</v>
      </c>
      <c r="E6192" s="1">
        <v>44499</v>
      </c>
      <c r="F6192">
        <v>1</v>
      </c>
      <c r="G6192" t="s">
        <v>53</v>
      </c>
      <c r="H6192" t="s">
        <v>54</v>
      </c>
      <c r="I6192" s="3">
        <v>1866</v>
      </c>
      <c r="J6192" s="3">
        <v>1866</v>
      </c>
      <c r="K6192" s="3">
        <v>396</v>
      </c>
      <c r="L6192" t="s">
        <v>9</v>
      </c>
      <c r="M6192">
        <v>1</v>
      </c>
      <c r="N6192" t="s">
        <v>77</v>
      </c>
      <c r="O6192" t="s">
        <v>70</v>
      </c>
      <c r="P6192" t="s">
        <v>71</v>
      </c>
      <c r="Q6192" t="s">
        <v>72</v>
      </c>
      <c r="R6192" t="s">
        <v>139</v>
      </c>
      <c r="S6192" t="s">
        <v>144</v>
      </c>
      <c r="T6192" s="2">
        <f>MASTER[[#This Row],[CANTIDAD]]*MASTER[[#This Row],[PRECIO DE VENTA]]</f>
        <v>1866</v>
      </c>
      <c r="U6192" s="2">
        <f>MASTER[[#This Row],[CANTIDAD]]*MASTER[[#This Row],[COSTO UNITARIO]]</f>
        <v>396</v>
      </c>
      <c r="V6192" s="2">
        <f>MASTER[[#This Row],[MONTO VENDIDO]]-MASTER[[#This Row],[COSTO DE VENTA]]</f>
        <v>1470</v>
      </c>
    </row>
    <row r="6193" spans="1:22" x14ac:dyDescent="0.3">
      <c r="A6193">
        <v>85293</v>
      </c>
      <c r="B6193">
        <v>1</v>
      </c>
      <c r="C6193" t="s">
        <v>101</v>
      </c>
      <c r="D6193" t="s">
        <v>102</v>
      </c>
      <c r="E6193" s="1">
        <v>44499</v>
      </c>
      <c r="F6193">
        <v>1</v>
      </c>
      <c r="G6193" t="s">
        <v>35</v>
      </c>
      <c r="H6193" t="s">
        <v>36</v>
      </c>
      <c r="I6193" s="3">
        <v>1212</v>
      </c>
      <c r="J6193" s="3">
        <v>1212</v>
      </c>
      <c r="K6193" s="3">
        <v>442</v>
      </c>
      <c r="L6193" t="s">
        <v>98</v>
      </c>
      <c r="M6193">
        <v>4</v>
      </c>
      <c r="N6193" t="s">
        <v>82</v>
      </c>
      <c r="O6193" t="s">
        <v>81</v>
      </c>
      <c r="P6193" t="s">
        <v>71</v>
      </c>
      <c r="Q6193" t="s">
        <v>72</v>
      </c>
      <c r="R6193" t="s">
        <v>139</v>
      </c>
      <c r="S6193" t="s">
        <v>144</v>
      </c>
      <c r="T6193" s="2">
        <f>MASTER[[#This Row],[CANTIDAD]]*MASTER[[#This Row],[PRECIO DE VENTA]]</f>
        <v>1212</v>
      </c>
      <c r="U6193" s="2">
        <f>MASTER[[#This Row],[CANTIDAD]]*MASTER[[#This Row],[COSTO UNITARIO]]</f>
        <v>442</v>
      </c>
      <c r="V6193" s="2">
        <f>MASTER[[#This Row],[MONTO VENDIDO]]-MASTER[[#This Row],[COSTO DE VENTA]]</f>
        <v>770</v>
      </c>
    </row>
    <row r="6194" spans="1:22" x14ac:dyDescent="0.3">
      <c r="A6194">
        <v>85301</v>
      </c>
      <c r="B6194">
        <v>1</v>
      </c>
      <c r="C6194" t="s">
        <v>107</v>
      </c>
      <c r="D6194" t="s">
        <v>108</v>
      </c>
      <c r="E6194" s="1">
        <v>44499</v>
      </c>
      <c r="F6194">
        <v>1</v>
      </c>
      <c r="G6194" t="s">
        <v>27</v>
      </c>
      <c r="H6194" t="s">
        <v>28</v>
      </c>
      <c r="I6194" s="3">
        <v>1333</v>
      </c>
      <c r="J6194" s="3">
        <v>1333</v>
      </c>
      <c r="K6194" s="3">
        <v>380</v>
      </c>
      <c r="L6194" t="s">
        <v>98</v>
      </c>
      <c r="M6194">
        <v>8</v>
      </c>
      <c r="N6194" t="s">
        <v>80</v>
      </c>
      <c r="O6194" t="s">
        <v>81</v>
      </c>
      <c r="P6194" t="s">
        <v>12</v>
      </c>
      <c r="Q6194" t="s">
        <v>13</v>
      </c>
      <c r="R6194" t="s">
        <v>13</v>
      </c>
      <c r="S6194" t="s">
        <v>144</v>
      </c>
      <c r="T6194" s="2">
        <f>MASTER[[#This Row],[CANTIDAD]]*MASTER[[#This Row],[PRECIO DE VENTA]]</f>
        <v>1333</v>
      </c>
      <c r="U6194" s="2">
        <f>MASTER[[#This Row],[CANTIDAD]]*MASTER[[#This Row],[COSTO UNITARIO]]</f>
        <v>380</v>
      </c>
      <c r="V6194" s="2">
        <f>MASTER[[#This Row],[MONTO VENDIDO]]-MASTER[[#This Row],[COSTO DE VENTA]]</f>
        <v>953</v>
      </c>
    </row>
    <row r="6195" spans="1:22" x14ac:dyDescent="0.3">
      <c r="A6195">
        <v>85320</v>
      </c>
      <c r="B6195">
        <v>1</v>
      </c>
      <c r="C6195" t="s">
        <v>105</v>
      </c>
      <c r="D6195" t="s">
        <v>106</v>
      </c>
      <c r="E6195" s="1">
        <v>44499</v>
      </c>
      <c r="F6195">
        <v>1</v>
      </c>
      <c r="G6195" t="s">
        <v>65</v>
      </c>
      <c r="H6195" t="s">
        <v>66</v>
      </c>
      <c r="I6195" s="3">
        <v>2033</v>
      </c>
      <c r="J6195" s="3">
        <v>2033</v>
      </c>
      <c r="K6195" s="3">
        <v>459</v>
      </c>
      <c r="L6195" t="s">
        <v>98</v>
      </c>
      <c r="M6195">
        <v>1</v>
      </c>
      <c r="N6195" t="s">
        <v>77</v>
      </c>
      <c r="O6195" t="s">
        <v>70</v>
      </c>
      <c r="P6195" t="s">
        <v>71</v>
      </c>
      <c r="Q6195" t="s">
        <v>72</v>
      </c>
      <c r="R6195" t="s">
        <v>139</v>
      </c>
      <c r="S6195" t="s">
        <v>144</v>
      </c>
      <c r="T6195" s="2">
        <f>MASTER[[#This Row],[CANTIDAD]]*MASTER[[#This Row],[PRECIO DE VENTA]]</f>
        <v>2033</v>
      </c>
      <c r="U6195" s="2">
        <f>MASTER[[#This Row],[CANTIDAD]]*MASTER[[#This Row],[COSTO UNITARIO]]</f>
        <v>459</v>
      </c>
      <c r="V6195" s="2">
        <f>MASTER[[#This Row],[MONTO VENDIDO]]-MASTER[[#This Row],[COSTO DE VENTA]]</f>
        <v>1574</v>
      </c>
    </row>
    <row r="6196" spans="1:22" x14ac:dyDescent="0.3">
      <c r="A6196">
        <v>85338</v>
      </c>
      <c r="B6196">
        <v>1</v>
      </c>
      <c r="C6196" t="s">
        <v>107</v>
      </c>
      <c r="D6196" t="s">
        <v>108</v>
      </c>
      <c r="E6196" s="1">
        <v>44499</v>
      </c>
      <c r="F6196">
        <v>1</v>
      </c>
      <c r="G6196" t="s">
        <v>57</v>
      </c>
      <c r="H6196" t="s">
        <v>58</v>
      </c>
      <c r="I6196" s="3">
        <v>1440</v>
      </c>
      <c r="J6196" s="3">
        <v>1440</v>
      </c>
      <c r="K6196" s="3">
        <v>380</v>
      </c>
      <c r="L6196" t="s">
        <v>98</v>
      </c>
      <c r="M6196">
        <v>9</v>
      </c>
      <c r="N6196" t="s">
        <v>76</v>
      </c>
      <c r="O6196" t="s">
        <v>70</v>
      </c>
      <c r="P6196" t="s">
        <v>12</v>
      </c>
      <c r="Q6196" t="s">
        <v>13</v>
      </c>
      <c r="R6196" t="s">
        <v>13</v>
      </c>
      <c r="S6196" t="s">
        <v>144</v>
      </c>
      <c r="T6196" s="2">
        <f>MASTER[[#This Row],[CANTIDAD]]*MASTER[[#This Row],[PRECIO DE VENTA]]</f>
        <v>1440</v>
      </c>
      <c r="U6196" s="2">
        <f>MASTER[[#This Row],[CANTIDAD]]*MASTER[[#This Row],[COSTO UNITARIO]]</f>
        <v>380</v>
      </c>
      <c r="V6196" s="2">
        <f>MASTER[[#This Row],[MONTO VENDIDO]]-MASTER[[#This Row],[COSTO DE VENTA]]</f>
        <v>1060</v>
      </c>
    </row>
    <row r="6197" spans="1:22" x14ac:dyDescent="0.3">
      <c r="A6197">
        <v>85344</v>
      </c>
      <c r="B6197">
        <v>1</v>
      </c>
      <c r="C6197" t="s">
        <v>92</v>
      </c>
      <c r="D6197" t="s">
        <v>93</v>
      </c>
      <c r="E6197" s="1">
        <v>44499</v>
      </c>
      <c r="F6197">
        <v>1</v>
      </c>
      <c r="G6197" t="s">
        <v>55</v>
      </c>
      <c r="H6197" t="s">
        <v>56</v>
      </c>
      <c r="I6197" s="3">
        <v>1479</v>
      </c>
      <c r="J6197" s="3">
        <v>1405</v>
      </c>
      <c r="K6197" s="3">
        <v>396</v>
      </c>
      <c r="L6197" t="s">
        <v>9</v>
      </c>
      <c r="M6197">
        <v>12</v>
      </c>
      <c r="N6197" t="s">
        <v>26</v>
      </c>
      <c r="O6197" t="s">
        <v>11</v>
      </c>
      <c r="P6197" t="s">
        <v>12</v>
      </c>
      <c r="Q6197" t="s">
        <v>13</v>
      </c>
      <c r="R6197" t="s">
        <v>13</v>
      </c>
      <c r="S6197" t="s">
        <v>144</v>
      </c>
      <c r="T6197" s="2">
        <f>MASTER[[#This Row],[CANTIDAD]]*MASTER[[#This Row],[PRECIO DE VENTA]]</f>
        <v>1405</v>
      </c>
      <c r="U6197" s="2">
        <f>MASTER[[#This Row],[CANTIDAD]]*MASTER[[#This Row],[COSTO UNITARIO]]</f>
        <v>396</v>
      </c>
      <c r="V6197" s="2">
        <f>MASTER[[#This Row],[MONTO VENDIDO]]-MASTER[[#This Row],[COSTO DE VENTA]]</f>
        <v>1009</v>
      </c>
    </row>
    <row r="6198" spans="1:22" x14ac:dyDescent="0.3">
      <c r="A6198">
        <v>85346</v>
      </c>
      <c r="B6198">
        <v>1</v>
      </c>
      <c r="C6198" t="s">
        <v>118</v>
      </c>
      <c r="D6198" t="s">
        <v>119</v>
      </c>
      <c r="E6198" s="1">
        <v>44500</v>
      </c>
      <c r="F6198">
        <v>1</v>
      </c>
      <c r="G6198" t="s">
        <v>51</v>
      </c>
      <c r="H6198" t="s">
        <v>52</v>
      </c>
      <c r="I6198" s="3">
        <v>900</v>
      </c>
      <c r="J6198" s="3">
        <v>855</v>
      </c>
      <c r="K6198" s="3">
        <v>424</v>
      </c>
      <c r="L6198" t="s">
        <v>120</v>
      </c>
      <c r="M6198">
        <v>10</v>
      </c>
      <c r="N6198" t="s">
        <v>83</v>
      </c>
      <c r="O6198" t="s">
        <v>81</v>
      </c>
      <c r="P6198" t="s">
        <v>12</v>
      </c>
      <c r="Q6198" t="s">
        <v>13</v>
      </c>
      <c r="R6198" t="s">
        <v>13</v>
      </c>
      <c r="S6198" t="s">
        <v>144</v>
      </c>
      <c r="T6198" s="2">
        <f>MASTER[[#This Row],[CANTIDAD]]*MASTER[[#This Row],[PRECIO DE VENTA]]</f>
        <v>855</v>
      </c>
      <c r="U6198" s="2">
        <f>MASTER[[#This Row],[CANTIDAD]]*MASTER[[#This Row],[COSTO UNITARIO]]</f>
        <v>424</v>
      </c>
      <c r="V6198" s="2">
        <f>MASTER[[#This Row],[MONTO VENDIDO]]-MASTER[[#This Row],[COSTO DE VENTA]]</f>
        <v>431</v>
      </c>
    </row>
    <row r="6199" spans="1:22" x14ac:dyDescent="0.3">
      <c r="A6199">
        <v>85348</v>
      </c>
      <c r="B6199">
        <v>1</v>
      </c>
      <c r="C6199" t="s">
        <v>90</v>
      </c>
      <c r="D6199" t="s">
        <v>91</v>
      </c>
      <c r="E6199" s="1">
        <v>44500</v>
      </c>
      <c r="F6199">
        <v>1</v>
      </c>
      <c r="G6199" t="s">
        <v>51</v>
      </c>
      <c r="H6199" t="s">
        <v>52</v>
      </c>
      <c r="I6199" s="3">
        <v>1660</v>
      </c>
      <c r="J6199" s="3">
        <v>1660</v>
      </c>
      <c r="K6199" s="3">
        <v>420</v>
      </c>
      <c r="L6199" t="s">
        <v>9</v>
      </c>
      <c r="M6199">
        <v>16</v>
      </c>
      <c r="N6199" t="s">
        <v>17</v>
      </c>
      <c r="O6199" t="s">
        <v>11</v>
      </c>
      <c r="P6199" t="s">
        <v>18</v>
      </c>
      <c r="Q6199" t="s">
        <v>19</v>
      </c>
      <c r="R6199" t="s">
        <v>138</v>
      </c>
      <c r="S6199" t="s">
        <v>144</v>
      </c>
      <c r="T6199" s="2">
        <f>MASTER[[#This Row],[CANTIDAD]]*MASTER[[#This Row],[PRECIO DE VENTA]]</f>
        <v>1660</v>
      </c>
      <c r="U6199" s="2">
        <f>MASTER[[#This Row],[CANTIDAD]]*MASTER[[#This Row],[COSTO UNITARIO]]</f>
        <v>420</v>
      </c>
      <c r="V6199" s="2">
        <f>MASTER[[#This Row],[MONTO VENDIDO]]-MASTER[[#This Row],[COSTO DE VENTA]]</f>
        <v>1240</v>
      </c>
    </row>
    <row r="6200" spans="1:22" x14ac:dyDescent="0.3">
      <c r="A6200">
        <v>85363</v>
      </c>
      <c r="B6200">
        <v>1</v>
      </c>
      <c r="C6200" t="s">
        <v>103</v>
      </c>
      <c r="D6200" t="s">
        <v>104</v>
      </c>
      <c r="E6200" s="1">
        <v>44500</v>
      </c>
      <c r="F6200">
        <v>1</v>
      </c>
      <c r="G6200" t="s">
        <v>57</v>
      </c>
      <c r="H6200" t="s">
        <v>58</v>
      </c>
      <c r="I6200" s="3">
        <v>1591</v>
      </c>
      <c r="J6200" s="3">
        <v>1591</v>
      </c>
      <c r="K6200" s="3">
        <v>421</v>
      </c>
      <c r="L6200" t="s">
        <v>98</v>
      </c>
      <c r="M6200">
        <v>8</v>
      </c>
      <c r="N6200" t="s">
        <v>80</v>
      </c>
      <c r="O6200" t="s">
        <v>81</v>
      </c>
      <c r="P6200" t="s">
        <v>12</v>
      </c>
      <c r="Q6200" t="s">
        <v>13</v>
      </c>
      <c r="R6200" t="s">
        <v>13</v>
      </c>
      <c r="S6200" t="s">
        <v>144</v>
      </c>
      <c r="T6200" s="2">
        <f>MASTER[[#This Row],[CANTIDAD]]*MASTER[[#This Row],[PRECIO DE VENTA]]</f>
        <v>1591</v>
      </c>
      <c r="U6200" s="2">
        <f>MASTER[[#This Row],[CANTIDAD]]*MASTER[[#This Row],[COSTO UNITARIO]]</f>
        <v>421</v>
      </c>
      <c r="V6200" s="2">
        <f>MASTER[[#This Row],[MONTO VENDIDO]]-MASTER[[#This Row],[COSTO DE VENTA]]</f>
        <v>1170</v>
      </c>
    </row>
    <row r="6201" spans="1:22" x14ac:dyDescent="0.3">
      <c r="A6201">
        <v>85377</v>
      </c>
      <c r="B6201">
        <v>1</v>
      </c>
      <c r="C6201" t="s">
        <v>103</v>
      </c>
      <c r="D6201" t="s">
        <v>104</v>
      </c>
      <c r="E6201" s="1">
        <v>44501</v>
      </c>
      <c r="F6201">
        <v>1</v>
      </c>
      <c r="G6201" t="s">
        <v>33</v>
      </c>
      <c r="H6201" t="s">
        <v>34</v>
      </c>
      <c r="I6201" s="3">
        <v>1830</v>
      </c>
      <c r="J6201" s="3">
        <v>1830</v>
      </c>
      <c r="K6201" s="3">
        <v>421</v>
      </c>
      <c r="L6201" t="s">
        <v>98</v>
      </c>
      <c r="M6201">
        <v>13</v>
      </c>
      <c r="N6201" t="s">
        <v>78</v>
      </c>
      <c r="O6201" t="s">
        <v>70</v>
      </c>
      <c r="P6201" t="s">
        <v>18</v>
      </c>
      <c r="Q6201" t="s">
        <v>19</v>
      </c>
      <c r="R6201" t="s">
        <v>138</v>
      </c>
      <c r="S6201" t="s">
        <v>144</v>
      </c>
      <c r="T6201" s="2">
        <f>MASTER[[#This Row],[CANTIDAD]]*MASTER[[#This Row],[PRECIO DE VENTA]]</f>
        <v>1830</v>
      </c>
      <c r="U6201" s="2">
        <f>MASTER[[#This Row],[CANTIDAD]]*MASTER[[#This Row],[COSTO UNITARIO]]</f>
        <v>421</v>
      </c>
      <c r="V6201" s="2">
        <f>MASTER[[#This Row],[MONTO VENDIDO]]-MASTER[[#This Row],[COSTO DE VENTA]]</f>
        <v>1409</v>
      </c>
    </row>
    <row r="6202" spans="1:22" x14ac:dyDescent="0.3">
      <c r="A6202">
        <v>85378</v>
      </c>
      <c r="B6202">
        <v>1</v>
      </c>
      <c r="C6202" t="s">
        <v>90</v>
      </c>
      <c r="D6202" t="s">
        <v>91</v>
      </c>
      <c r="E6202" s="1">
        <v>44501</v>
      </c>
      <c r="F6202">
        <v>1</v>
      </c>
      <c r="G6202" t="s">
        <v>61</v>
      </c>
      <c r="H6202" t="s">
        <v>62</v>
      </c>
      <c r="I6202" s="3">
        <v>1660</v>
      </c>
      <c r="J6202" s="3">
        <v>1593</v>
      </c>
      <c r="K6202" s="3">
        <v>420</v>
      </c>
      <c r="L6202" t="s">
        <v>9</v>
      </c>
      <c r="M6202">
        <v>17</v>
      </c>
      <c r="N6202" t="s">
        <v>14</v>
      </c>
      <c r="O6202" t="s">
        <v>11</v>
      </c>
      <c r="P6202" t="s">
        <v>15</v>
      </c>
      <c r="Q6202" t="s">
        <v>16</v>
      </c>
      <c r="R6202" t="s">
        <v>16</v>
      </c>
      <c r="S6202" t="s">
        <v>144</v>
      </c>
      <c r="T6202" s="2">
        <f>MASTER[[#This Row],[CANTIDAD]]*MASTER[[#This Row],[PRECIO DE VENTA]]</f>
        <v>1593</v>
      </c>
      <c r="U6202" s="2">
        <f>MASTER[[#This Row],[CANTIDAD]]*MASTER[[#This Row],[COSTO UNITARIO]]</f>
        <v>420</v>
      </c>
      <c r="V6202" s="2">
        <f>MASTER[[#This Row],[MONTO VENDIDO]]-MASTER[[#This Row],[COSTO DE VENTA]]</f>
        <v>1173</v>
      </c>
    </row>
    <row r="6203" spans="1:22" x14ac:dyDescent="0.3">
      <c r="A6203">
        <v>85380</v>
      </c>
      <c r="B6203">
        <v>1</v>
      </c>
      <c r="C6203" t="s">
        <v>5</v>
      </c>
      <c r="D6203" t="s">
        <v>6</v>
      </c>
      <c r="E6203" s="1">
        <v>44501</v>
      </c>
      <c r="F6203">
        <v>1</v>
      </c>
      <c r="G6203" t="s">
        <v>24</v>
      </c>
      <c r="H6203" t="s">
        <v>25</v>
      </c>
      <c r="I6203" s="3">
        <v>1507</v>
      </c>
      <c r="J6203" s="3">
        <v>1416</v>
      </c>
      <c r="K6203" s="3">
        <v>393</v>
      </c>
      <c r="L6203" t="s">
        <v>9</v>
      </c>
      <c r="M6203">
        <v>15</v>
      </c>
      <c r="N6203" t="s">
        <v>88</v>
      </c>
      <c r="O6203" t="s">
        <v>81</v>
      </c>
      <c r="P6203" t="s">
        <v>18</v>
      </c>
      <c r="Q6203" t="s">
        <v>19</v>
      </c>
      <c r="R6203" t="s">
        <v>138</v>
      </c>
      <c r="S6203" t="s">
        <v>144</v>
      </c>
      <c r="T6203" s="2">
        <f>MASTER[[#This Row],[CANTIDAD]]*MASTER[[#This Row],[PRECIO DE VENTA]]</f>
        <v>1416</v>
      </c>
      <c r="U6203" s="2">
        <f>MASTER[[#This Row],[CANTIDAD]]*MASTER[[#This Row],[COSTO UNITARIO]]</f>
        <v>393</v>
      </c>
      <c r="V6203" s="2">
        <f>MASTER[[#This Row],[MONTO VENDIDO]]-MASTER[[#This Row],[COSTO DE VENTA]]</f>
        <v>1023</v>
      </c>
    </row>
    <row r="6204" spans="1:22" x14ac:dyDescent="0.3">
      <c r="A6204">
        <v>85381</v>
      </c>
      <c r="B6204">
        <v>1</v>
      </c>
      <c r="C6204" t="s">
        <v>109</v>
      </c>
      <c r="D6204" t="s">
        <v>110</v>
      </c>
      <c r="E6204" s="1">
        <v>44501</v>
      </c>
      <c r="F6204">
        <v>1</v>
      </c>
      <c r="G6204" t="s">
        <v>73</v>
      </c>
      <c r="H6204" t="s">
        <v>74</v>
      </c>
      <c r="I6204" s="3">
        <v>1064</v>
      </c>
      <c r="J6204" s="3">
        <v>1064</v>
      </c>
      <c r="K6204" s="3">
        <v>387</v>
      </c>
      <c r="L6204" t="s">
        <v>98</v>
      </c>
      <c r="M6204">
        <v>5</v>
      </c>
      <c r="N6204" t="s">
        <v>85</v>
      </c>
      <c r="O6204" t="s">
        <v>81</v>
      </c>
      <c r="P6204" t="s">
        <v>12</v>
      </c>
      <c r="Q6204" t="s">
        <v>13</v>
      </c>
      <c r="R6204" t="s">
        <v>13</v>
      </c>
      <c r="S6204" t="s">
        <v>144</v>
      </c>
      <c r="T6204" s="2">
        <f>MASTER[[#This Row],[CANTIDAD]]*MASTER[[#This Row],[PRECIO DE VENTA]]</f>
        <v>1064</v>
      </c>
      <c r="U6204" s="2">
        <f>MASTER[[#This Row],[CANTIDAD]]*MASTER[[#This Row],[COSTO UNITARIO]]</f>
        <v>387</v>
      </c>
      <c r="V6204" s="2">
        <f>MASTER[[#This Row],[MONTO VENDIDO]]-MASTER[[#This Row],[COSTO DE VENTA]]</f>
        <v>677</v>
      </c>
    </row>
    <row r="6205" spans="1:22" x14ac:dyDescent="0.3">
      <c r="A6205">
        <v>85401</v>
      </c>
      <c r="B6205">
        <v>1</v>
      </c>
      <c r="C6205" t="s">
        <v>90</v>
      </c>
      <c r="D6205" t="s">
        <v>91</v>
      </c>
      <c r="E6205" s="1">
        <v>44501</v>
      </c>
      <c r="F6205">
        <v>1</v>
      </c>
      <c r="G6205" t="s">
        <v>24</v>
      </c>
      <c r="H6205" t="s">
        <v>25</v>
      </c>
      <c r="I6205" s="3">
        <v>2102</v>
      </c>
      <c r="J6205" s="3">
        <v>2102</v>
      </c>
      <c r="K6205" s="3">
        <v>420</v>
      </c>
      <c r="L6205" t="s">
        <v>9</v>
      </c>
      <c r="M6205">
        <v>3</v>
      </c>
      <c r="N6205" t="s">
        <v>69</v>
      </c>
      <c r="O6205" t="s">
        <v>70</v>
      </c>
      <c r="P6205" t="s">
        <v>71</v>
      </c>
      <c r="Q6205" t="s">
        <v>72</v>
      </c>
      <c r="R6205" t="s">
        <v>139</v>
      </c>
      <c r="S6205" t="s">
        <v>144</v>
      </c>
      <c r="T6205" s="2">
        <f>MASTER[[#This Row],[CANTIDAD]]*MASTER[[#This Row],[PRECIO DE VENTA]]</f>
        <v>2102</v>
      </c>
      <c r="U6205" s="2">
        <f>MASTER[[#This Row],[CANTIDAD]]*MASTER[[#This Row],[COSTO UNITARIO]]</f>
        <v>420</v>
      </c>
      <c r="V6205" s="2">
        <f>MASTER[[#This Row],[MONTO VENDIDO]]-MASTER[[#This Row],[COSTO DE VENTA]]</f>
        <v>1682</v>
      </c>
    </row>
    <row r="6206" spans="1:22" x14ac:dyDescent="0.3">
      <c r="A6206">
        <v>85414</v>
      </c>
      <c r="B6206">
        <v>1</v>
      </c>
      <c r="C6206" t="s">
        <v>99</v>
      </c>
      <c r="D6206" t="s">
        <v>100</v>
      </c>
      <c r="E6206" s="1">
        <v>44501</v>
      </c>
      <c r="F6206">
        <v>1</v>
      </c>
      <c r="G6206" t="s">
        <v>67</v>
      </c>
      <c r="H6206" t="s">
        <v>68</v>
      </c>
      <c r="I6206" s="3">
        <v>1459</v>
      </c>
      <c r="J6206" s="3">
        <v>1459</v>
      </c>
      <c r="K6206" s="3">
        <v>386</v>
      </c>
      <c r="L6206" t="s">
        <v>98</v>
      </c>
      <c r="M6206">
        <v>4</v>
      </c>
      <c r="N6206" t="s">
        <v>82</v>
      </c>
      <c r="O6206" t="s">
        <v>81</v>
      </c>
      <c r="P6206" t="s">
        <v>71</v>
      </c>
      <c r="Q6206" t="s">
        <v>72</v>
      </c>
      <c r="R6206" t="s">
        <v>139</v>
      </c>
      <c r="S6206" t="s">
        <v>144</v>
      </c>
      <c r="T6206" s="2">
        <f>MASTER[[#This Row],[CANTIDAD]]*MASTER[[#This Row],[PRECIO DE VENTA]]</f>
        <v>1459</v>
      </c>
      <c r="U6206" s="2">
        <f>MASTER[[#This Row],[CANTIDAD]]*MASTER[[#This Row],[COSTO UNITARIO]]</f>
        <v>386</v>
      </c>
      <c r="V6206" s="2">
        <f>MASTER[[#This Row],[MONTO VENDIDO]]-MASTER[[#This Row],[COSTO DE VENTA]]</f>
        <v>1073</v>
      </c>
    </row>
    <row r="6207" spans="1:22" x14ac:dyDescent="0.3">
      <c r="A6207">
        <v>85419</v>
      </c>
      <c r="B6207">
        <v>1</v>
      </c>
      <c r="C6207" t="s">
        <v>94</v>
      </c>
      <c r="D6207" t="s">
        <v>95</v>
      </c>
      <c r="E6207" s="1">
        <v>44501</v>
      </c>
      <c r="F6207">
        <v>1</v>
      </c>
      <c r="G6207" t="s">
        <v>33</v>
      </c>
      <c r="H6207" t="s">
        <v>34</v>
      </c>
      <c r="I6207" s="3">
        <v>901</v>
      </c>
      <c r="J6207" s="3">
        <v>901</v>
      </c>
      <c r="K6207" s="3">
        <v>392</v>
      </c>
      <c r="L6207" t="s">
        <v>9</v>
      </c>
      <c r="M6207">
        <v>12</v>
      </c>
      <c r="N6207" t="s">
        <v>26</v>
      </c>
      <c r="O6207" t="s">
        <v>11</v>
      </c>
      <c r="P6207" t="s">
        <v>12</v>
      </c>
      <c r="Q6207" t="s">
        <v>13</v>
      </c>
      <c r="R6207" t="s">
        <v>13</v>
      </c>
      <c r="S6207" t="s">
        <v>144</v>
      </c>
      <c r="T6207" s="2">
        <f>MASTER[[#This Row],[CANTIDAD]]*MASTER[[#This Row],[PRECIO DE VENTA]]</f>
        <v>901</v>
      </c>
      <c r="U6207" s="2">
        <f>MASTER[[#This Row],[CANTIDAD]]*MASTER[[#This Row],[COSTO UNITARIO]]</f>
        <v>392</v>
      </c>
      <c r="V6207" s="2">
        <f>MASTER[[#This Row],[MONTO VENDIDO]]-MASTER[[#This Row],[COSTO DE VENTA]]</f>
        <v>509</v>
      </c>
    </row>
    <row r="6208" spans="1:22" x14ac:dyDescent="0.3">
      <c r="A6208">
        <v>85424</v>
      </c>
      <c r="B6208">
        <v>1</v>
      </c>
      <c r="C6208" t="s">
        <v>103</v>
      </c>
      <c r="D6208" t="s">
        <v>104</v>
      </c>
      <c r="E6208" s="1">
        <v>44501</v>
      </c>
      <c r="F6208">
        <v>1</v>
      </c>
      <c r="G6208" t="s">
        <v>22</v>
      </c>
      <c r="H6208" t="s">
        <v>23</v>
      </c>
      <c r="I6208" s="3">
        <v>1591</v>
      </c>
      <c r="J6208" s="3">
        <v>1591</v>
      </c>
      <c r="K6208" s="3">
        <v>421</v>
      </c>
      <c r="L6208" t="s">
        <v>98</v>
      </c>
      <c r="M6208">
        <v>8</v>
      </c>
      <c r="N6208" t="s">
        <v>80</v>
      </c>
      <c r="O6208" t="s">
        <v>81</v>
      </c>
      <c r="P6208" t="s">
        <v>12</v>
      </c>
      <c r="Q6208" t="s">
        <v>13</v>
      </c>
      <c r="R6208" t="s">
        <v>13</v>
      </c>
      <c r="S6208" t="s">
        <v>144</v>
      </c>
      <c r="T6208" s="2">
        <f>MASTER[[#This Row],[CANTIDAD]]*MASTER[[#This Row],[PRECIO DE VENTA]]</f>
        <v>1591</v>
      </c>
      <c r="U6208" s="2">
        <f>MASTER[[#This Row],[CANTIDAD]]*MASTER[[#This Row],[COSTO UNITARIO]]</f>
        <v>421</v>
      </c>
      <c r="V6208" s="2">
        <f>MASTER[[#This Row],[MONTO VENDIDO]]-MASTER[[#This Row],[COSTO DE VENTA]]</f>
        <v>1170</v>
      </c>
    </row>
    <row r="6209" spans="1:22" x14ac:dyDescent="0.3">
      <c r="A6209">
        <v>85425</v>
      </c>
      <c r="B6209">
        <v>1</v>
      </c>
      <c r="C6209" t="s">
        <v>107</v>
      </c>
      <c r="D6209" t="s">
        <v>108</v>
      </c>
      <c r="E6209" s="1">
        <v>44501</v>
      </c>
      <c r="F6209">
        <v>1</v>
      </c>
      <c r="G6209" t="s">
        <v>51</v>
      </c>
      <c r="H6209" t="s">
        <v>52</v>
      </c>
      <c r="I6209" s="3">
        <v>1440</v>
      </c>
      <c r="J6209" s="3">
        <v>1440</v>
      </c>
      <c r="K6209" s="3">
        <v>380</v>
      </c>
      <c r="L6209" t="s">
        <v>98</v>
      </c>
      <c r="M6209">
        <v>6</v>
      </c>
      <c r="N6209" t="s">
        <v>75</v>
      </c>
      <c r="O6209" t="s">
        <v>70</v>
      </c>
      <c r="P6209" t="s">
        <v>12</v>
      </c>
      <c r="Q6209" t="s">
        <v>13</v>
      </c>
      <c r="R6209" t="s">
        <v>13</v>
      </c>
      <c r="S6209" t="s">
        <v>144</v>
      </c>
      <c r="T6209" s="2">
        <f>MASTER[[#This Row],[CANTIDAD]]*MASTER[[#This Row],[PRECIO DE VENTA]]</f>
        <v>1440</v>
      </c>
      <c r="U6209" s="2">
        <f>MASTER[[#This Row],[CANTIDAD]]*MASTER[[#This Row],[COSTO UNITARIO]]</f>
        <v>380</v>
      </c>
      <c r="V6209" s="2">
        <f>MASTER[[#This Row],[MONTO VENDIDO]]-MASTER[[#This Row],[COSTO DE VENTA]]</f>
        <v>1060</v>
      </c>
    </row>
    <row r="6210" spans="1:22" x14ac:dyDescent="0.3">
      <c r="A6210">
        <v>85433</v>
      </c>
      <c r="B6210">
        <v>1</v>
      </c>
      <c r="C6210" t="s">
        <v>90</v>
      </c>
      <c r="D6210" t="s">
        <v>91</v>
      </c>
      <c r="E6210" s="1">
        <v>44501</v>
      </c>
      <c r="F6210">
        <v>1</v>
      </c>
      <c r="G6210" t="s">
        <v>49</v>
      </c>
      <c r="H6210" t="s">
        <v>50</v>
      </c>
      <c r="I6210" s="3">
        <v>1844</v>
      </c>
      <c r="J6210" s="3">
        <v>1844</v>
      </c>
      <c r="K6210" s="3">
        <v>420</v>
      </c>
      <c r="L6210" t="s">
        <v>9</v>
      </c>
      <c r="M6210">
        <v>15</v>
      </c>
      <c r="N6210" t="s">
        <v>88</v>
      </c>
      <c r="O6210" t="s">
        <v>81</v>
      </c>
      <c r="P6210" t="s">
        <v>18</v>
      </c>
      <c r="Q6210" t="s">
        <v>19</v>
      </c>
      <c r="R6210" t="s">
        <v>138</v>
      </c>
      <c r="S6210" t="s">
        <v>144</v>
      </c>
      <c r="T6210" s="2">
        <f>MASTER[[#This Row],[CANTIDAD]]*MASTER[[#This Row],[PRECIO DE VENTA]]</f>
        <v>1844</v>
      </c>
      <c r="U6210" s="2">
        <f>MASTER[[#This Row],[CANTIDAD]]*MASTER[[#This Row],[COSTO UNITARIO]]</f>
        <v>420</v>
      </c>
      <c r="V6210" s="2">
        <f>MASTER[[#This Row],[MONTO VENDIDO]]-MASTER[[#This Row],[COSTO DE VENTA]]</f>
        <v>1424</v>
      </c>
    </row>
    <row r="6211" spans="1:22" x14ac:dyDescent="0.3">
      <c r="A6211">
        <v>85438</v>
      </c>
      <c r="B6211">
        <v>1</v>
      </c>
      <c r="C6211" t="s">
        <v>105</v>
      </c>
      <c r="D6211" t="s">
        <v>106</v>
      </c>
      <c r="E6211" s="1">
        <v>44502</v>
      </c>
      <c r="F6211">
        <v>1</v>
      </c>
      <c r="G6211" t="s">
        <v>29</v>
      </c>
      <c r="H6211" t="s">
        <v>30</v>
      </c>
      <c r="I6211" s="3">
        <v>1865</v>
      </c>
      <c r="J6211" s="3">
        <v>1865</v>
      </c>
      <c r="K6211" s="3">
        <v>459</v>
      </c>
      <c r="L6211" t="s">
        <v>98</v>
      </c>
      <c r="M6211">
        <v>10</v>
      </c>
      <c r="N6211" t="s">
        <v>83</v>
      </c>
      <c r="O6211" t="s">
        <v>81</v>
      </c>
      <c r="P6211" t="s">
        <v>12</v>
      </c>
      <c r="Q6211" t="s">
        <v>13</v>
      </c>
      <c r="R6211" t="s">
        <v>13</v>
      </c>
      <c r="S6211" t="s">
        <v>144</v>
      </c>
      <c r="T6211" s="2">
        <f>MASTER[[#This Row],[CANTIDAD]]*MASTER[[#This Row],[PRECIO DE VENTA]]</f>
        <v>1865</v>
      </c>
      <c r="U6211" s="2">
        <f>MASTER[[#This Row],[CANTIDAD]]*MASTER[[#This Row],[COSTO UNITARIO]]</f>
        <v>459</v>
      </c>
      <c r="V6211" s="2">
        <f>MASTER[[#This Row],[MONTO VENDIDO]]-MASTER[[#This Row],[COSTO DE VENTA]]</f>
        <v>1406</v>
      </c>
    </row>
    <row r="6212" spans="1:22" x14ac:dyDescent="0.3">
      <c r="A6212">
        <v>85462</v>
      </c>
      <c r="B6212">
        <v>1</v>
      </c>
      <c r="C6212" t="s">
        <v>111</v>
      </c>
      <c r="D6212" t="s">
        <v>112</v>
      </c>
      <c r="E6212" s="1">
        <v>44502</v>
      </c>
      <c r="F6212">
        <v>1</v>
      </c>
      <c r="G6212" t="s">
        <v>65</v>
      </c>
      <c r="H6212" t="s">
        <v>66</v>
      </c>
      <c r="I6212" s="3">
        <v>1621</v>
      </c>
      <c r="J6212" s="3">
        <v>1621</v>
      </c>
      <c r="K6212" s="3">
        <v>434</v>
      </c>
      <c r="L6212" t="s">
        <v>113</v>
      </c>
      <c r="M6212">
        <v>5</v>
      </c>
      <c r="N6212" t="s">
        <v>85</v>
      </c>
      <c r="O6212" t="s">
        <v>81</v>
      </c>
      <c r="P6212" t="s">
        <v>12</v>
      </c>
      <c r="Q6212" t="s">
        <v>13</v>
      </c>
      <c r="R6212" t="s">
        <v>13</v>
      </c>
      <c r="S6212" t="s">
        <v>144</v>
      </c>
      <c r="T6212" s="2">
        <f>MASTER[[#This Row],[CANTIDAD]]*MASTER[[#This Row],[PRECIO DE VENTA]]</f>
        <v>1621</v>
      </c>
      <c r="U6212" s="2">
        <f>MASTER[[#This Row],[CANTIDAD]]*MASTER[[#This Row],[COSTO UNITARIO]]</f>
        <v>434</v>
      </c>
      <c r="V6212" s="2">
        <f>MASTER[[#This Row],[MONTO VENDIDO]]-MASTER[[#This Row],[COSTO DE VENTA]]</f>
        <v>1187</v>
      </c>
    </row>
    <row r="6213" spans="1:22" x14ac:dyDescent="0.3">
      <c r="A6213">
        <v>85463</v>
      </c>
      <c r="B6213">
        <v>1</v>
      </c>
      <c r="C6213" t="s">
        <v>121</v>
      </c>
      <c r="D6213" t="s">
        <v>122</v>
      </c>
      <c r="E6213" s="1">
        <v>44502</v>
      </c>
      <c r="F6213">
        <v>1</v>
      </c>
      <c r="G6213" t="s">
        <v>73</v>
      </c>
      <c r="H6213" t="s">
        <v>74</v>
      </c>
      <c r="I6213" s="3">
        <v>941</v>
      </c>
      <c r="J6213" s="3">
        <v>941</v>
      </c>
      <c r="K6213" s="3">
        <v>460</v>
      </c>
      <c r="L6213" t="s">
        <v>120</v>
      </c>
      <c r="M6213">
        <v>16</v>
      </c>
      <c r="N6213" t="s">
        <v>17</v>
      </c>
      <c r="O6213" t="s">
        <v>11</v>
      </c>
      <c r="P6213" t="s">
        <v>18</v>
      </c>
      <c r="Q6213" t="s">
        <v>19</v>
      </c>
      <c r="R6213" t="s">
        <v>138</v>
      </c>
      <c r="S6213" t="s">
        <v>144</v>
      </c>
      <c r="T6213" s="2">
        <f>MASTER[[#This Row],[CANTIDAD]]*MASTER[[#This Row],[PRECIO DE VENTA]]</f>
        <v>941</v>
      </c>
      <c r="U6213" s="2">
        <f>MASTER[[#This Row],[CANTIDAD]]*MASTER[[#This Row],[COSTO UNITARIO]]</f>
        <v>460</v>
      </c>
      <c r="V6213" s="2">
        <f>MASTER[[#This Row],[MONTO VENDIDO]]-MASTER[[#This Row],[COSTO DE VENTA]]</f>
        <v>481</v>
      </c>
    </row>
    <row r="6214" spans="1:22" x14ac:dyDescent="0.3">
      <c r="A6214">
        <v>85464</v>
      </c>
      <c r="B6214">
        <v>1</v>
      </c>
      <c r="C6214" t="s">
        <v>114</v>
      </c>
      <c r="D6214" t="s">
        <v>115</v>
      </c>
      <c r="E6214" s="1">
        <v>44502</v>
      </c>
      <c r="F6214">
        <v>4</v>
      </c>
      <c r="G6214" t="s">
        <v>33</v>
      </c>
      <c r="H6214" t="s">
        <v>34</v>
      </c>
      <c r="I6214" s="3">
        <v>1862</v>
      </c>
      <c r="J6214" s="3">
        <v>1862</v>
      </c>
      <c r="K6214" s="3">
        <v>394</v>
      </c>
      <c r="L6214" t="s">
        <v>113</v>
      </c>
      <c r="M6214">
        <v>14</v>
      </c>
      <c r="N6214" t="s">
        <v>87</v>
      </c>
      <c r="O6214" t="s">
        <v>81</v>
      </c>
      <c r="P6214" t="s">
        <v>18</v>
      </c>
      <c r="Q6214" t="s">
        <v>19</v>
      </c>
      <c r="R6214" t="s">
        <v>138</v>
      </c>
      <c r="S6214" t="s">
        <v>144</v>
      </c>
      <c r="T6214" s="2">
        <f>MASTER[[#This Row],[CANTIDAD]]*MASTER[[#This Row],[PRECIO DE VENTA]]</f>
        <v>7448</v>
      </c>
      <c r="U6214" s="2">
        <f>MASTER[[#This Row],[CANTIDAD]]*MASTER[[#This Row],[COSTO UNITARIO]]</f>
        <v>1576</v>
      </c>
      <c r="V6214" s="2">
        <f>MASTER[[#This Row],[MONTO VENDIDO]]-MASTER[[#This Row],[COSTO DE VENTA]]</f>
        <v>5872</v>
      </c>
    </row>
    <row r="6215" spans="1:22" x14ac:dyDescent="0.3">
      <c r="A6215">
        <v>85474</v>
      </c>
      <c r="B6215">
        <v>1</v>
      </c>
      <c r="C6215" t="s">
        <v>109</v>
      </c>
      <c r="D6215" t="s">
        <v>110</v>
      </c>
      <c r="E6215" s="1">
        <v>44502</v>
      </c>
      <c r="F6215">
        <v>2</v>
      </c>
      <c r="G6215" t="s">
        <v>53</v>
      </c>
      <c r="H6215" t="s">
        <v>54</v>
      </c>
      <c r="I6215" s="3">
        <v>1064</v>
      </c>
      <c r="J6215" s="3">
        <v>1064</v>
      </c>
      <c r="K6215" s="3">
        <v>387</v>
      </c>
      <c r="L6215" t="s">
        <v>98</v>
      </c>
      <c r="M6215">
        <v>10</v>
      </c>
      <c r="N6215" t="s">
        <v>83</v>
      </c>
      <c r="O6215" t="s">
        <v>81</v>
      </c>
      <c r="P6215" t="s">
        <v>12</v>
      </c>
      <c r="Q6215" t="s">
        <v>13</v>
      </c>
      <c r="R6215" t="s">
        <v>13</v>
      </c>
      <c r="S6215" t="s">
        <v>144</v>
      </c>
      <c r="T6215" s="2">
        <f>MASTER[[#This Row],[CANTIDAD]]*MASTER[[#This Row],[PRECIO DE VENTA]]</f>
        <v>2128</v>
      </c>
      <c r="U6215" s="2">
        <f>MASTER[[#This Row],[CANTIDAD]]*MASTER[[#This Row],[COSTO UNITARIO]]</f>
        <v>774</v>
      </c>
      <c r="V6215" s="2">
        <f>MASTER[[#This Row],[MONTO VENDIDO]]-MASTER[[#This Row],[COSTO DE VENTA]]</f>
        <v>1354</v>
      </c>
    </row>
    <row r="6216" spans="1:22" x14ac:dyDescent="0.3">
      <c r="A6216">
        <v>85485</v>
      </c>
      <c r="B6216">
        <v>1</v>
      </c>
      <c r="C6216" t="s">
        <v>103</v>
      </c>
      <c r="D6216" t="s">
        <v>104</v>
      </c>
      <c r="E6216" s="1">
        <v>44502</v>
      </c>
      <c r="F6216">
        <v>1</v>
      </c>
      <c r="G6216" t="s">
        <v>47</v>
      </c>
      <c r="H6216" t="s">
        <v>48</v>
      </c>
      <c r="I6216" s="3">
        <v>1591</v>
      </c>
      <c r="J6216" s="3">
        <v>1591</v>
      </c>
      <c r="K6216" s="3">
        <v>421</v>
      </c>
      <c r="L6216" t="s">
        <v>98</v>
      </c>
      <c r="M6216">
        <v>14</v>
      </c>
      <c r="N6216" t="s">
        <v>87</v>
      </c>
      <c r="O6216" t="s">
        <v>81</v>
      </c>
      <c r="P6216" t="s">
        <v>18</v>
      </c>
      <c r="Q6216" t="s">
        <v>19</v>
      </c>
      <c r="R6216" t="s">
        <v>138</v>
      </c>
      <c r="S6216" t="s">
        <v>144</v>
      </c>
      <c r="T6216" s="2">
        <f>MASTER[[#This Row],[CANTIDAD]]*MASTER[[#This Row],[PRECIO DE VENTA]]</f>
        <v>1591</v>
      </c>
      <c r="U6216" s="2">
        <f>MASTER[[#This Row],[CANTIDAD]]*MASTER[[#This Row],[COSTO UNITARIO]]</f>
        <v>421</v>
      </c>
      <c r="V6216" s="2">
        <f>MASTER[[#This Row],[MONTO VENDIDO]]-MASTER[[#This Row],[COSTO DE VENTA]]</f>
        <v>1170</v>
      </c>
    </row>
    <row r="6217" spans="1:22" x14ac:dyDescent="0.3">
      <c r="A6217">
        <v>85516</v>
      </c>
      <c r="B6217">
        <v>1</v>
      </c>
      <c r="C6217" t="s">
        <v>111</v>
      </c>
      <c r="D6217" t="s">
        <v>112</v>
      </c>
      <c r="E6217" s="1">
        <v>44502</v>
      </c>
      <c r="F6217">
        <v>1</v>
      </c>
      <c r="G6217" t="s">
        <v>61</v>
      </c>
      <c r="H6217" t="s">
        <v>62</v>
      </c>
      <c r="I6217" s="3">
        <v>1621</v>
      </c>
      <c r="J6217" s="3">
        <v>1621</v>
      </c>
      <c r="K6217" s="3">
        <v>434</v>
      </c>
      <c r="L6217" t="s">
        <v>113</v>
      </c>
      <c r="M6217">
        <v>10</v>
      </c>
      <c r="N6217" t="s">
        <v>83</v>
      </c>
      <c r="O6217" t="s">
        <v>81</v>
      </c>
      <c r="P6217" t="s">
        <v>12</v>
      </c>
      <c r="Q6217" t="s">
        <v>13</v>
      </c>
      <c r="R6217" t="s">
        <v>13</v>
      </c>
      <c r="S6217" t="s">
        <v>144</v>
      </c>
      <c r="T6217" s="2">
        <f>MASTER[[#This Row],[CANTIDAD]]*MASTER[[#This Row],[PRECIO DE VENTA]]</f>
        <v>1621</v>
      </c>
      <c r="U6217" s="2">
        <f>MASTER[[#This Row],[CANTIDAD]]*MASTER[[#This Row],[COSTO UNITARIO]]</f>
        <v>434</v>
      </c>
      <c r="V6217" s="2">
        <f>MASTER[[#This Row],[MONTO VENDIDO]]-MASTER[[#This Row],[COSTO DE VENTA]]</f>
        <v>1187</v>
      </c>
    </row>
    <row r="6218" spans="1:22" x14ac:dyDescent="0.3">
      <c r="A6218">
        <v>85518</v>
      </c>
      <c r="B6218">
        <v>1</v>
      </c>
      <c r="C6218" t="s">
        <v>107</v>
      </c>
      <c r="D6218" t="s">
        <v>108</v>
      </c>
      <c r="E6218" s="1">
        <v>44502</v>
      </c>
      <c r="F6218">
        <v>1</v>
      </c>
      <c r="G6218" t="s">
        <v>47</v>
      </c>
      <c r="H6218" t="s">
        <v>48</v>
      </c>
      <c r="I6218" s="3">
        <v>1440</v>
      </c>
      <c r="J6218" s="3">
        <v>1440</v>
      </c>
      <c r="K6218" s="3">
        <v>380</v>
      </c>
      <c r="L6218" t="s">
        <v>98</v>
      </c>
      <c r="M6218">
        <v>13</v>
      </c>
      <c r="N6218" t="s">
        <v>78</v>
      </c>
      <c r="O6218" t="s">
        <v>70</v>
      </c>
      <c r="P6218" t="s">
        <v>18</v>
      </c>
      <c r="Q6218" t="s">
        <v>19</v>
      </c>
      <c r="R6218" t="s">
        <v>138</v>
      </c>
      <c r="S6218" t="s">
        <v>144</v>
      </c>
      <c r="T6218" s="2">
        <f>MASTER[[#This Row],[CANTIDAD]]*MASTER[[#This Row],[PRECIO DE VENTA]]</f>
        <v>1440</v>
      </c>
      <c r="U6218" s="2">
        <f>MASTER[[#This Row],[CANTIDAD]]*MASTER[[#This Row],[COSTO UNITARIO]]</f>
        <v>380</v>
      </c>
      <c r="V6218" s="2">
        <f>MASTER[[#This Row],[MONTO VENDIDO]]-MASTER[[#This Row],[COSTO DE VENTA]]</f>
        <v>1060</v>
      </c>
    </row>
    <row r="6219" spans="1:22" x14ac:dyDescent="0.3">
      <c r="A6219">
        <v>85521</v>
      </c>
      <c r="B6219">
        <v>1</v>
      </c>
      <c r="C6219" t="s">
        <v>5</v>
      </c>
      <c r="D6219" t="s">
        <v>6</v>
      </c>
      <c r="E6219" s="1">
        <v>44503</v>
      </c>
      <c r="F6219">
        <v>1</v>
      </c>
      <c r="G6219" t="s">
        <v>27</v>
      </c>
      <c r="H6219" t="s">
        <v>28</v>
      </c>
      <c r="I6219" s="3">
        <v>1507</v>
      </c>
      <c r="J6219" s="3">
        <v>1507</v>
      </c>
      <c r="K6219" s="3">
        <v>393</v>
      </c>
      <c r="L6219" t="s">
        <v>9</v>
      </c>
      <c r="M6219">
        <v>19</v>
      </c>
      <c r="N6219" t="s">
        <v>89</v>
      </c>
      <c r="O6219" t="s">
        <v>81</v>
      </c>
      <c r="P6219" t="s">
        <v>15</v>
      </c>
      <c r="Q6219" t="s">
        <v>16</v>
      </c>
      <c r="R6219" t="s">
        <v>16</v>
      </c>
      <c r="S6219" t="s">
        <v>144</v>
      </c>
      <c r="T6219" s="2">
        <f>MASTER[[#This Row],[CANTIDAD]]*MASTER[[#This Row],[PRECIO DE VENTA]]</f>
        <v>1507</v>
      </c>
      <c r="U6219" s="2">
        <f>MASTER[[#This Row],[CANTIDAD]]*MASTER[[#This Row],[COSTO UNITARIO]]</f>
        <v>393</v>
      </c>
      <c r="V6219" s="2">
        <f>MASTER[[#This Row],[MONTO VENDIDO]]-MASTER[[#This Row],[COSTO DE VENTA]]</f>
        <v>1114</v>
      </c>
    </row>
    <row r="6220" spans="1:22" x14ac:dyDescent="0.3">
      <c r="A6220">
        <v>85533</v>
      </c>
      <c r="B6220">
        <v>1</v>
      </c>
      <c r="C6220" t="s">
        <v>107</v>
      </c>
      <c r="D6220" t="s">
        <v>108</v>
      </c>
      <c r="E6220" s="1">
        <v>44503</v>
      </c>
      <c r="F6220">
        <v>1</v>
      </c>
      <c r="G6220" t="s">
        <v>43</v>
      </c>
      <c r="H6220" t="s">
        <v>44</v>
      </c>
      <c r="I6220" s="3">
        <v>1333</v>
      </c>
      <c r="J6220" s="3">
        <v>1333</v>
      </c>
      <c r="K6220" s="3">
        <v>380</v>
      </c>
      <c r="L6220" t="s">
        <v>98</v>
      </c>
      <c r="M6220">
        <v>8</v>
      </c>
      <c r="N6220" t="s">
        <v>80</v>
      </c>
      <c r="O6220" t="s">
        <v>81</v>
      </c>
      <c r="P6220" t="s">
        <v>12</v>
      </c>
      <c r="Q6220" t="s">
        <v>13</v>
      </c>
      <c r="R6220" t="s">
        <v>13</v>
      </c>
      <c r="S6220" t="s">
        <v>144</v>
      </c>
      <c r="T6220" s="2">
        <f>MASTER[[#This Row],[CANTIDAD]]*MASTER[[#This Row],[PRECIO DE VENTA]]</f>
        <v>1333</v>
      </c>
      <c r="U6220" s="2">
        <f>MASTER[[#This Row],[CANTIDAD]]*MASTER[[#This Row],[COSTO UNITARIO]]</f>
        <v>380</v>
      </c>
      <c r="V6220" s="2">
        <f>MASTER[[#This Row],[MONTO VENDIDO]]-MASTER[[#This Row],[COSTO DE VENTA]]</f>
        <v>953</v>
      </c>
    </row>
    <row r="6221" spans="1:22" x14ac:dyDescent="0.3">
      <c r="A6221">
        <v>85538</v>
      </c>
      <c r="B6221">
        <v>1</v>
      </c>
      <c r="C6221" t="s">
        <v>99</v>
      </c>
      <c r="D6221" t="s">
        <v>100</v>
      </c>
      <c r="E6221" s="1">
        <v>44503</v>
      </c>
      <c r="F6221">
        <v>1</v>
      </c>
      <c r="G6221" t="s">
        <v>39</v>
      </c>
      <c r="H6221" t="s">
        <v>40</v>
      </c>
      <c r="I6221" s="3">
        <v>1328</v>
      </c>
      <c r="J6221" s="3">
        <v>1328</v>
      </c>
      <c r="K6221" s="3">
        <v>386</v>
      </c>
      <c r="L6221" t="s">
        <v>98</v>
      </c>
      <c r="M6221">
        <v>16</v>
      </c>
      <c r="N6221" t="s">
        <v>17</v>
      </c>
      <c r="O6221" t="s">
        <v>11</v>
      </c>
      <c r="P6221" t="s">
        <v>18</v>
      </c>
      <c r="Q6221" t="s">
        <v>19</v>
      </c>
      <c r="R6221" t="s">
        <v>138</v>
      </c>
      <c r="S6221" t="s">
        <v>144</v>
      </c>
      <c r="T6221" s="2">
        <f>MASTER[[#This Row],[CANTIDAD]]*MASTER[[#This Row],[PRECIO DE VENTA]]</f>
        <v>1328</v>
      </c>
      <c r="U6221" s="2">
        <f>MASTER[[#This Row],[CANTIDAD]]*MASTER[[#This Row],[COSTO UNITARIO]]</f>
        <v>386</v>
      </c>
      <c r="V6221" s="2">
        <f>MASTER[[#This Row],[MONTO VENDIDO]]-MASTER[[#This Row],[COSTO DE VENTA]]</f>
        <v>942</v>
      </c>
    </row>
    <row r="6222" spans="1:22" x14ac:dyDescent="0.3">
      <c r="A6222">
        <v>85540</v>
      </c>
      <c r="B6222">
        <v>1</v>
      </c>
      <c r="C6222" t="s">
        <v>101</v>
      </c>
      <c r="D6222" t="s">
        <v>102</v>
      </c>
      <c r="E6222" s="1">
        <v>44503</v>
      </c>
      <c r="F6222">
        <v>1</v>
      </c>
      <c r="G6222" t="s">
        <v>47</v>
      </c>
      <c r="H6222" t="s">
        <v>48</v>
      </c>
      <c r="I6222" s="3">
        <v>1054</v>
      </c>
      <c r="J6222" s="3">
        <v>1054</v>
      </c>
      <c r="K6222" s="3">
        <v>442</v>
      </c>
      <c r="L6222" t="s">
        <v>98</v>
      </c>
      <c r="M6222">
        <v>11</v>
      </c>
      <c r="N6222" t="s">
        <v>10</v>
      </c>
      <c r="O6222" t="s">
        <v>11</v>
      </c>
      <c r="P6222" t="s">
        <v>12</v>
      </c>
      <c r="Q6222" t="s">
        <v>13</v>
      </c>
      <c r="R6222" t="s">
        <v>13</v>
      </c>
      <c r="S6222" t="s">
        <v>144</v>
      </c>
      <c r="T6222" s="2">
        <f>MASTER[[#This Row],[CANTIDAD]]*MASTER[[#This Row],[PRECIO DE VENTA]]</f>
        <v>1054</v>
      </c>
      <c r="U6222" s="2">
        <f>MASTER[[#This Row],[CANTIDAD]]*MASTER[[#This Row],[COSTO UNITARIO]]</f>
        <v>442</v>
      </c>
      <c r="V6222" s="2">
        <f>MASTER[[#This Row],[MONTO VENDIDO]]-MASTER[[#This Row],[COSTO DE VENTA]]</f>
        <v>612</v>
      </c>
    </row>
    <row r="6223" spans="1:22" x14ac:dyDescent="0.3">
      <c r="A6223">
        <v>85552</v>
      </c>
      <c r="B6223">
        <v>1</v>
      </c>
      <c r="C6223" t="s">
        <v>107</v>
      </c>
      <c r="D6223" t="s">
        <v>108</v>
      </c>
      <c r="E6223" s="1">
        <v>44503</v>
      </c>
      <c r="F6223">
        <v>1</v>
      </c>
      <c r="G6223" t="s">
        <v>24</v>
      </c>
      <c r="H6223" t="s">
        <v>25</v>
      </c>
      <c r="I6223" s="3">
        <v>1440</v>
      </c>
      <c r="J6223" s="3">
        <v>1440</v>
      </c>
      <c r="K6223" s="3">
        <v>380</v>
      </c>
      <c r="L6223" t="s">
        <v>98</v>
      </c>
      <c r="M6223">
        <v>13</v>
      </c>
      <c r="N6223" t="s">
        <v>78</v>
      </c>
      <c r="O6223" t="s">
        <v>70</v>
      </c>
      <c r="P6223" t="s">
        <v>18</v>
      </c>
      <c r="Q6223" t="s">
        <v>19</v>
      </c>
      <c r="R6223" t="s">
        <v>138</v>
      </c>
      <c r="S6223" t="s">
        <v>144</v>
      </c>
      <c r="T6223" s="2">
        <f>MASTER[[#This Row],[CANTIDAD]]*MASTER[[#This Row],[PRECIO DE VENTA]]</f>
        <v>1440</v>
      </c>
      <c r="U6223" s="2">
        <f>MASTER[[#This Row],[CANTIDAD]]*MASTER[[#This Row],[COSTO UNITARIO]]</f>
        <v>380</v>
      </c>
      <c r="V6223" s="2">
        <f>MASTER[[#This Row],[MONTO VENDIDO]]-MASTER[[#This Row],[COSTO DE VENTA]]</f>
        <v>1060</v>
      </c>
    </row>
    <row r="6224" spans="1:22" x14ac:dyDescent="0.3">
      <c r="A6224">
        <v>85567</v>
      </c>
      <c r="B6224">
        <v>1</v>
      </c>
      <c r="C6224" t="s">
        <v>94</v>
      </c>
      <c r="D6224" t="s">
        <v>95</v>
      </c>
      <c r="E6224" s="1">
        <v>44503</v>
      </c>
      <c r="F6224">
        <v>1</v>
      </c>
      <c r="G6224" t="s">
        <v>63</v>
      </c>
      <c r="H6224" t="s">
        <v>64</v>
      </c>
      <c r="I6224" s="3">
        <v>1048</v>
      </c>
      <c r="J6224" s="3">
        <v>1048</v>
      </c>
      <c r="K6224" s="3">
        <v>392</v>
      </c>
      <c r="L6224" t="s">
        <v>9</v>
      </c>
      <c r="M6224">
        <v>8</v>
      </c>
      <c r="N6224" t="s">
        <v>80</v>
      </c>
      <c r="O6224" t="s">
        <v>81</v>
      </c>
      <c r="P6224" t="s">
        <v>12</v>
      </c>
      <c r="Q6224" t="s">
        <v>13</v>
      </c>
      <c r="R6224" t="s">
        <v>13</v>
      </c>
      <c r="S6224" t="s">
        <v>144</v>
      </c>
      <c r="T6224" s="2">
        <f>MASTER[[#This Row],[CANTIDAD]]*MASTER[[#This Row],[PRECIO DE VENTA]]</f>
        <v>1048</v>
      </c>
      <c r="U6224" s="2">
        <f>MASTER[[#This Row],[CANTIDAD]]*MASTER[[#This Row],[COSTO UNITARIO]]</f>
        <v>392</v>
      </c>
      <c r="V6224" s="2">
        <f>MASTER[[#This Row],[MONTO VENDIDO]]-MASTER[[#This Row],[COSTO DE VENTA]]</f>
        <v>656</v>
      </c>
    </row>
    <row r="6225" spans="1:22" x14ac:dyDescent="0.3">
      <c r="A6225">
        <v>85580</v>
      </c>
      <c r="B6225">
        <v>1</v>
      </c>
      <c r="C6225" t="s">
        <v>92</v>
      </c>
      <c r="D6225" t="s">
        <v>93</v>
      </c>
      <c r="E6225" s="1">
        <v>44503</v>
      </c>
      <c r="F6225">
        <v>1</v>
      </c>
      <c r="G6225" t="s">
        <v>51</v>
      </c>
      <c r="H6225" t="s">
        <v>52</v>
      </c>
      <c r="I6225" s="3">
        <v>1479</v>
      </c>
      <c r="J6225" s="3">
        <v>1479</v>
      </c>
      <c r="K6225" s="3">
        <v>396</v>
      </c>
      <c r="L6225" t="s">
        <v>9</v>
      </c>
      <c r="M6225">
        <v>16</v>
      </c>
      <c r="N6225" t="s">
        <v>17</v>
      </c>
      <c r="O6225" t="s">
        <v>11</v>
      </c>
      <c r="P6225" t="s">
        <v>18</v>
      </c>
      <c r="Q6225" t="s">
        <v>19</v>
      </c>
      <c r="R6225" t="s">
        <v>138</v>
      </c>
      <c r="S6225" t="s">
        <v>144</v>
      </c>
      <c r="T6225" s="2">
        <f>MASTER[[#This Row],[CANTIDAD]]*MASTER[[#This Row],[PRECIO DE VENTA]]</f>
        <v>1479</v>
      </c>
      <c r="U6225" s="2">
        <f>MASTER[[#This Row],[CANTIDAD]]*MASTER[[#This Row],[COSTO UNITARIO]]</f>
        <v>396</v>
      </c>
      <c r="V6225" s="2">
        <f>MASTER[[#This Row],[MONTO VENDIDO]]-MASTER[[#This Row],[COSTO DE VENTA]]</f>
        <v>1083</v>
      </c>
    </row>
    <row r="6226" spans="1:22" x14ac:dyDescent="0.3">
      <c r="A6226">
        <v>85596</v>
      </c>
      <c r="B6226">
        <v>1</v>
      </c>
      <c r="C6226" t="s">
        <v>96</v>
      </c>
      <c r="D6226" t="s">
        <v>97</v>
      </c>
      <c r="E6226" s="1">
        <v>44503</v>
      </c>
      <c r="F6226">
        <v>1</v>
      </c>
      <c r="G6226" t="s">
        <v>22</v>
      </c>
      <c r="H6226" t="s">
        <v>23</v>
      </c>
      <c r="I6226" s="3">
        <v>1361</v>
      </c>
      <c r="J6226" s="3">
        <v>1361</v>
      </c>
      <c r="K6226" s="3">
        <v>397</v>
      </c>
      <c r="L6226" t="s">
        <v>98</v>
      </c>
      <c r="M6226">
        <v>18</v>
      </c>
      <c r="N6226" t="s">
        <v>79</v>
      </c>
      <c r="O6226" t="s">
        <v>70</v>
      </c>
      <c r="P6226" t="s">
        <v>15</v>
      </c>
      <c r="Q6226" t="s">
        <v>16</v>
      </c>
      <c r="R6226" t="s">
        <v>16</v>
      </c>
      <c r="S6226" t="s">
        <v>144</v>
      </c>
      <c r="T6226" s="2">
        <f>MASTER[[#This Row],[CANTIDAD]]*MASTER[[#This Row],[PRECIO DE VENTA]]</f>
        <v>1361</v>
      </c>
      <c r="U6226" s="2">
        <f>MASTER[[#This Row],[CANTIDAD]]*MASTER[[#This Row],[COSTO UNITARIO]]</f>
        <v>397</v>
      </c>
      <c r="V6226" s="2">
        <f>MASTER[[#This Row],[MONTO VENDIDO]]-MASTER[[#This Row],[COSTO DE VENTA]]</f>
        <v>964</v>
      </c>
    </row>
    <row r="6227" spans="1:22" x14ac:dyDescent="0.3">
      <c r="A6227">
        <v>85603</v>
      </c>
      <c r="B6227">
        <v>1</v>
      </c>
      <c r="C6227" t="s">
        <v>118</v>
      </c>
      <c r="D6227" t="s">
        <v>119</v>
      </c>
      <c r="E6227" s="1">
        <v>44503</v>
      </c>
      <c r="F6227">
        <v>1</v>
      </c>
      <c r="G6227" t="s">
        <v>57</v>
      </c>
      <c r="H6227" t="s">
        <v>58</v>
      </c>
      <c r="I6227" s="3">
        <v>801</v>
      </c>
      <c r="J6227" s="3">
        <v>801</v>
      </c>
      <c r="K6227" s="3">
        <v>424</v>
      </c>
      <c r="L6227" t="s">
        <v>120</v>
      </c>
      <c r="M6227">
        <v>16</v>
      </c>
      <c r="N6227" t="s">
        <v>17</v>
      </c>
      <c r="O6227" t="s">
        <v>11</v>
      </c>
      <c r="P6227" t="s">
        <v>18</v>
      </c>
      <c r="Q6227" t="s">
        <v>19</v>
      </c>
      <c r="R6227" t="s">
        <v>138</v>
      </c>
      <c r="S6227" t="s">
        <v>144</v>
      </c>
      <c r="T6227" s="2">
        <f>MASTER[[#This Row],[CANTIDAD]]*MASTER[[#This Row],[PRECIO DE VENTA]]</f>
        <v>801</v>
      </c>
      <c r="U6227" s="2">
        <f>MASTER[[#This Row],[CANTIDAD]]*MASTER[[#This Row],[COSTO UNITARIO]]</f>
        <v>424</v>
      </c>
      <c r="V6227" s="2">
        <f>MASTER[[#This Row],[MONTO VENDIDO]]-MASTER[[#This Row],[COSTO DE VENTA]]</f>
        <v>377</v>
      </c>
    </row>
    <row r="6228" spans="1:22" x14ac:dyDescent="0.3">
      <c r="A6228">
        <v>85617</v>
      </c>
      <c r="B6228">
        <v>1</v>
      </c>
      <c r="C6228" t="s">
        <v>5</v>
      </c>
      <c r="D6228" t="s">
        <v>6</v>
      </c>
      <c r="E6228" s="1">
        <v>44503</v>
      </c>
      <c r="F6228">
        <v>1</v>
      </c>
      <c r="G6228" t="s">
        <v>24</v>
      </c>
      <c r="H6228" t="s">
        <v>25</v>
      </c>
      <c r="I6228" s="3">
        <v>1507</v>
      </c>
      <c r="J6228" s="3">
        <v>1507</v>
      </c>
      <c r="K6228" s="3">
        <v>393</v>
      </c>
      <c r="L6228" t="s">
        <v>9</v>
      </c>
      <c r="M6228">
        <v>5</v>
      </c>
      <c r="N6228" t="s">
        <v>85</v>
      </c>
      <c r="O6228" t="s">
        <v>81</v>
      </c>
      <c r="P6228" t="s">
        <v>12</v>
      </c>
      <c r="Q6228" t="s">
        <v>13</v>
      </c>
      <c r="R6228" t="s">
        <v>13</v>
      </c>
      <c r="S6228" t="s">
        <v>144</v>
      </c>
      <c r="T6228" s="2">
        <f>MASTER[[#This Row],[CANTIDAD]]*MASTER[[#This Row],[PRECIO DE VENTA]]</f>
        <v>1507</v>
      </c>
      <c r="U6228" s="2">
        <f>MASTER[[#This Row],[CANTIDAD]]*MASTER[[#This Row],[COSTO UNITARIO]]</f>
        <v>393</v>
      </c>
      <c r="V6228" s="2">
        <f>MASTER[[#This Row],[MONTO VENDIDO]]-MASTER[[#This Row],[COSTO DE VENTA]]</f>
        <v>1114</v>
      </c>
    </row>
    <row r="6229" spans="1:22" x14ac:dyDescent="0.3">
      <c r="A6229">
        <v>85655</v>
      </c>
      <c r="B6229">
        <v>1</v>
      </c>
      <c r="C6229" t="s">
        <v>92</v>
      </c>
      <c r="D6229" t="s">
        <v>93</v>
      </c>
      <c r="E6229" s="1">
        <v>44503</v>
      </c>
      <c r="F6229">
        <v>1</v>
      </c>
      <c r="G6229" t="s">
        <v>55</v>
      </c>
      <c r="H6229" t="s">
        <v>56</v>
      </c>
      <c r="I6229" s="3">
        <v>1681</v>
      </c>
      <c r="J6229" s="3">
        <v>1681</v>
      </c>
      <c r="K6229" s="3">
        <v>396</v>
      </c>
      <c r="L6229" t="s">
        <v>9</v>
      </c>
      <c r="M6229">
        <v>4</v>
      </c>
      <c r="N6229" t="s">
        <v>82</v>
      </c>
      <c r="O6229" t="s">
        <v>81</v>
      </c>
      <c r="P6229" t="s">
        <v>71</v>
      </c>
      <c r="Q6229" t="s">
        <v>72</v>
      </c>
      <c r="R6229" t="s">
        <v>139</v>
      </c>
      <c r="S6229" t="s">
        <v>144</v>
      </c>
      <c r="T6229" s="2">
        <f>MASTER[[#This Row],[CANTIDAD]]*MASTER[[#This Row],[PRECIO DE VENTA]]</f>
        <v>1681</v>
      </c>
      <c r="U6229" s="2">
        <f>MASTER[[#This Row],[CANTIDAD]]*MASTER[[#This Row],[COSTO UNITARIO]]</f>
        <v>396</v>
      </c>
      <c r="V6229" s="2">
        <f>MASTER[[#This Row],[MONTO VENDIDO]]-MASTER[[#This Row],[COSTO DE VENTA]]</f>
        <v>1285</v>
      </c>
    </row>
    <row r="6230" spans="1:22" x14ac:dyDescent="0.3">
      <c r="A6230">
        <v>85656</v>
      </c>
      <c r="B6230">
        <v>1</v>
      </c>
      <c r="C6230" t="s">
        <v>5</v>
      </c>
      <c r="D6230" t="s">
        <v>6</v>
      </c>
      <c r="E6230" s="1">
        <v>44504</v>
      </c>
      <c r="F6230">
        <v>1</v>
      </c>
      <c r="G6230" t="s">
        <v>53</v>
      </c>
      <c r="H6230" t="s">
        <v>54</v>
      </c>
      <c r="I6230" s="3">
        <v>1296</v>
      </c>
      <c r="J6230" s="3">
        <v>1205</v>
      </c>
      <c r="K6230" s="3">
        <v>393</v>
      </c>
      <c r="L6230" t="s">
        <v>9</v>
      </c>
      <c r="M6230">
        <v>1</v>
      </c>
      <c r="N6230" t="s">
        <v>77</v>
      </c>
      <c r="O6230" t="s">
        <v>70</v>
      </c>
      <c r="P6230" t="s">
        <v>71</v>
      </c>
      <c r="Q6230" t="s">
        <v>72</v>
      </c>
      <c r="R6230" t="s">
        <v>139</v>
      </c>
      <c r="S6230" t="s">
        <v>144</v>
      </c>
      <c r="T6230" s="2">
        <f>MASTER[[#This Row],[CANTIDAD]]*MASTER[[#This Row],[PRECIO DE VENTA]]</f>
        <v>1205</v>
      </c>
      <c r="U6230" s="2">
        <f>MASTER[[#This Row],[CANTIDAD]]*MASTER[[#This Row],[COSTO UNITARIO]]</f>
        <v>393</v>
      </c>
      <c r="V6230" s="2">
        <f>MASTER[[#This Row],[MONTO VENDIDO]]-MASTER[[#This Row],[COSTO DE VENTA]]</f>
        <v>812</v>
      </c>
    </row>
    <row r="6231" spans="1:22" x14ac:dyDescent="0.3">
      <c r="A6231">
        <v>85662</v>
      </c>
      <c r="B6231">
        <v>1</v>
      </c>
      <c r="C6231" t="s">
        <v>118</v>
      </c>
      <c r="D6231" t="s">
        <v>119</v>
      </c>
      <c r="E6231" s="1">
        <v>44504</v>
      </c>
      <c r="F6231">
        <v>1</v>
      </c>
      <c r="G6231" t="s">
        <v>33</v>
      </c>
      <c r="H6231" t="s">
        <v>34</v>
      </c>
      <c r="I6231" s="3">
        <v>900</v>
      </c>
      <c r="J6231" s="3">
        <v>900</v>
      </c>
      <c r="K6231" s="3">
        <v>424</v>
      </c>
      <c r="L6231" t="s">
        <v>120</v>
      </c>
      <c r="M6231">
        <v>7</v>
      </c>
      <c r="N6231" t="s">
        <v>84</v>
      </c>
      <c r="O6231" t="s">
        <v>81</v>
      </c>
      <c r="P6231" t="s">
        <v>12</v>
      </c>
      <c r="Q6231" t="s">
        <v>13</v>
      </c>
      <c r="R6231" t="s">
        <v>13</v>
      </c>
      <c r="S6231" t="s">
        <v>144</v>
      </c>
      <c r="T6231" s="2">
        <f>MASTER[[#This Row],[CANTIDAD]]*MASTER[[#This Row],[PRECIO DE VENTA]]</f>
        <v>900</v>
      </c>
      <c r="U6231" s="2">
        <f>MASTER[[#This Row],[CANTIDAD]]*MASTER[[#This Row],[COSTO UNITARIO]]</f>
        <v>424</v>
      </c>
      <c r="V6231" s="2">
        <f>MASTER[[#This Row],[MONTO VENDIDO]]-MASTER[[#This Row],[COSTO DE VENTA]]</f>
        <v>476</v>
      </c>
    </row>
    <row r="6232" spans="1:22" x14ac:dyDescent="0.3">
      <c r="A6232">
        <v>85666</v>
      </c>
      <c r="B6232">
        <v>1</v>
      </c>
      <c r="C6232" t="s">
        <v>114</v>
      </c>
      <c r="D6232" t="s">
        <v>115</v>
      </c>
      <c r="E6232" s="1">
        <v>44504</v>
      </c>
      <c r="F6232">
        <v>1</v>
      </c>
      <c r="G6232" t="s">
        <v>51</v>
      </c>
      <c r="H6232" t="s">
        <v>52</v>
      </c>
      <c r="I6232" s="3">
        <v>2030</v>
      </c>
      <c r="J6232" s="3">
        <v>2030</v>
      </c>
      <c r="K6232" s="3">
        <v>394</v>
      </c>
      <c r="L6232" t="s">
        <v>113</v>
      </c>
      <c r="M6232">
        <v>9</v>
      </c>
      <c r="N6232" t="s">
        <v>76</v>
      </c>
      <c r="O6232" t="s">
        <v>70</v>
      </c>
      <c r="P6232" t="s">
        <v>12</v>
      </c>
      <c r="Q6232" t="s">
        <v>13</v>
      </c>
      <c r="R6232" t="s">
        <v>13</v>
      </c>
      <c r="S6232" t="s">
        <v>144</v>
      </c>
      <c r="T6232" s="2">
        <f>MASTER[[#This Row],[CANTIDAD]]*MASTER[[#This Row],[PRECIO DE VENTA]]</f>
        <v>2030</v>
      </c>
      <c r="U6232" s="2">
        <f>MASTER[[#This Row],[CANTIDAD]]*MASTER[[#This Row],[COSTO UNITARIO]]</f>
        <v>394</v>
      </c>
      <c r="V6232" s="2">
        <f>MASTER[[#This Row],[MONTO VENDIDO]]-MASTER[[#This Row],[COSTO DE VENTA]]</f>
        <v>1636</v>
      </c>
    </row>
    <row r="6233" spans="1:22" x14ac:dyDescent="0.3">
      <c r="A6233">
        <v>85715</v>
      </c>
      <c r="B6233">
        <v>1</v>
      </c>
      <c r="C6233" t="s">
        <v>90</v>
      </c>
      <c r="D6233" t="s">
        <v>91</v>
      </c>
      <c r="E6233" s="1">
        <v>44504</v>
      </c>
      <c r="F6233">
        <v>1</v>
      </c>
      <c r="G6233" t="s">
        <v>73</v>
      </c>
      <c r="H6233" t="s">
        <v>74</v>
      </c>
      <c r="I6233" s="3">
        <v>1844</v>
      </c>
      <c r="J6233" s="3">
        <v>1844</v>
      </c>
      <c r="K6233" s="3">
        <v>420</v>
      </c>
      <c r="L6233" t="s">
        <v>9</v>
      </c>
      <c r="M6233">
        <v>5</v>
      </c>
      <c r="N6233" t="s">
        <v>85</v>
      </c>
      <c r="O6233" t="s">
        <v>81</v>
      </c>
      <c r="P6233" t="s">
        <v>12</v>
      </c>
      <c r="Q6233" t="s">
        <v>13</v>
      </c>
      <c r="R6233" t="s">
        <v>13</v>
      </c>
      <c r="S6233" t="s">
        <v>144</v>
      </c>
      <c r="T6233" s="2">
        <f>MASTER[[#This Row],[CANTIDAD]]*MASTER[[#This Row],[PRECIO DE VENTA]]</f>
        <v>1844</v>
      </c>
      <c r="U6233" s="2">
        <f>MASTER[[#This Row],[CANTIDAD]]*MASTER[[#This Row],[COSTO UNITARIO]]</f>
        <v>420</v>
      </c>
      <c r="V6233" s="2">
        <f>MASTER[[#This Row],[MONTO VENDIDO]]-MASTER[[#This Row],[COSTO DE VENTA]]</f>
        <v>1424</v>
      </c>
    </row>
    <row r="6234" spans="1:22" x14ac:dyDescent="0.3">
      <c r="A6234">
        <v>85718</v>
      </c>
      <c r="B6234">
        <v>1</v>
      </c>
      <c r="C6234" t="s">
        <v>92</v>
      </c>
      <c r="D6234" t="s">
        <v>93</v>
      </c>
      <c r="E6234" s="1">
        <v>44504</v>
      </c>
      <c r="F6234">
        <v>1</v>
      </c>
      <c r="G6234" t="s">
        <v>24</v>
      </c>
      <c r="H6234" t="s">
        <v>25</v>
      </c>
      <c r="I6234" s="3">
        <v>1681</v>
      </c>
      <c r="J6234" s="3">
        <v>1681</v>
      </c>
      <c r="K6234" s="3">
        <v>396</v>
      </c>
      <c r="L6234" t="s">
        <v>9</v>
      </c>
      <c r="M6234">
        <v>8</v>
      </c>
      <c r="N6234" t="s">
        <v>80</v>
      </c>
      <c r="O6234" t="s">
        <v>81</v>
      </c>
      <c r="P6234" t="s">
        <v>12</v>
      </c>
      <c r="Q6234" t="s">
        <v>13</v>
      </c>
      <c r="R6234" t="s">
        <v>13</v>
      </c>
      <c r="S6234" t="s">
        <v>144</v>
      </c>
      <c r="T6234" s="2">
        <f>MASTER[[#This Row],[CANTIDAD]]*MASTER[[#This Row],[PRECIO DE VENTA]]</f>
        <v>1681</v>
      </c>
      <c r="U6234" s="2">
        <f>MASTER[[#This Row],[CANTIDAD]]*MASTER[[#This Row],[COSTO UNITARIO]]</f>
        <v>396</v>
      </c>
      <c r="V6234" s="2">
        <f>MASTER[[#This Row],[MONTO VENDIDO]]-MASTER[[#This Row],[COSTO DE VENTA]]</f>
        <v>1285</v>
      </c>
    </row>
    <row r="6235" spans="1:22" x14ac:dyDescent="0.3">
      <c r="A6235">
        <v>85729</v>
      </c>
      <c r="B6235">
        <v>1</v>
      </c>
      <c r="C6235" t="s">
        <v>103</v>
      </c>
      <c r="D6235" t="s">
        <v>104</v>
      </c>
      <c r="E6235" s="1">
        <v>44504</v>
      </c>
      <c r="F6235">
        <v>1</v>
      </c>
      <c r="G6235" t="s">
        <v>47</v>
      </c>
      <c r="H6235" t="s">
        <v>48</v>
      </c>
      <c r="I6235" s="3">
        <v>1591</v>
      </c>
      <c r="J6235" s="3">
        <v>1591</v>
      </c>
      <c r="K6235" s="3">
        <v>421</v>
      </c>
      <c r="L6235" t="s">
        <v>98</v>
      </c>
      <c r="M6235">
        <v>14</v>
      </c>
      <c r="N6235" t="s">
        <v>87</v>
      </c>
      <c r="O6235" t="s">
        <v>81</v>
      </c>
      <c r="P6235" t="s">
        <v>18</v>
      </c>
      <c r="Q6235" t="s">
        <v>19</v>
      </c>
      <c r="R6235" t="s">
        <v>138</v>
      </c>
      <c r="S6235" t="s">
        <v>144</v>
      </c>
      <c r="T6235" s="2">
        <f>MASTER[[#This Row],[CANTIDAD]]*MASTER[[#This Row],[PRECIO DE VENTA]]</f>
        <v>1591</v>
      </c>
      <c r="U6235" s="2">
        <f>MASTER[[#This Row],[CANTIDAD]]*MASTER[[#This Row],[COSTO UNITARIO]]</f>
        <v>421</v>
      </c>
      <c r="V6235" s="2">
        <f>MASTER[[#This Row],[MONTO VENDIDO]]-MASTER[[#This Row],[COSTO DE VENTA]]</f>
        <v>1170</v>
      </c>
    </row>
    <row r="6236" spans="1:22" x14ac:dyDescent="0.3">
      <c r="A6236">
        <v>85734</v>
      </c>
      <c r="B6236">
        <v>1</v>
      </c>
      <c r="C6236" t="s">
        <v>92</v>
      </c>
      <c r="D6236" t="s">
        <v>93</v>
      </c>
      <c r="E6236" s="1">
        <v>44504</v>
      </c>
      <c r="F6236">
        <v>1</v>
      </c>
      <c r="G6236" t="s">
        <v>53</v>
      </c>
      <c r="H6236" t="s">
        <v>54</v>
      </c>
      <c r="I6236" s="3">
        <v>1681</v>
      </c>
      <c r="J6236" s="3">
        <v>1681</v>
      </c>
      <c r="K6236" s="3">
        <v>396</v>
      </c>
      <c r="L6236" t="s">
        <v>9</v>
      </c>
      <c r="M6236">
        <v>5</v>
      </c>
      <c r="N6236" t="s">
        <v>85</v>
      </c>
      <c r="O6236" t="s">
        <v>81</v>
      </c>
      <c r="P6236" t="s">
        <v>12</v>
      </c>
      <c r="Q6236" t="s">
        <v>13</v>
      </c>
      <c r="R6236" t="s">
        <v>13</v>
      </c>
      <c r="S6236" t="s">
        <v>144</v>
      </c>
      <c r="T6236" s="2">
        <f>MASTER[[#This Row],[CANTIDAD]]*MASTER[[#This Row],[PRECIO DE VENTA]]</f>
        <v>1681</v>
      </c>
      <c r="U6236" s="2">
        <f>MASTER[[#This Row],[CANTIDAD]]*MASTER[[#This Row],[COSTO UNITARIO]]</f>
        <v>396</v>
      </c>
      <c r="V6236" s="2">
        <f>MASTER[[#This Row],[MONTO VENDIDO]]-MASTER[[#This Row],[COSTO DE VENTA]]</f>
        <v>1285</v>
      </c>
    </row>
    <row r="6237" spans="1:22" x14ac:dyDescent="0.3">
      <c r="A6237">
        <v>85748</v>
      </c>
      <c r="B6237">
        <v>1</v>
      </c>
      <c r="C6237" t="s">
        <v>118</v>
      </c>
      <c r="D6237" t="s">
        <v>119</v>
      </c>
      <c r="E6237" s="1">
        <v>44505</v>
      </c>
      <c r="F6237">
        <v>2</v>
      </c>
      <c r="G6237" t="s">
        <v>33</v>
      </c>
      <c r="H6237" t="s">
        <v>34</v>
      </c>
      <c r="I6237" s="3">
        <v>900</v>
      </c>
      <c r="J6237" s="3">
        <v>900</v>
      </c>
      <c r="K6237" s="3">
        <v>424</v>
      </c>
      <c r="L6237" t="s">
        <v>120</v>
      </c>
      <c r="M6237">
        <v>14</v>
      </c>
      <c r="N6237" t="s">
        <v>87</v>
      </c>
      <c r="O6237" t="s">
        <v>81</v>
      </c>
      <c r="P6237" t="s">
        <v>18</v>
      </c>
      <c r="Q6237" t="s">
        <v>19</v>
      </c>
      <c r="R6237" t="s">
        <v>138</v>
      </c>
      <c r="S6237" t="s">
        <v>144</v>
      </c>
      <c r="T6237" s="2">
        <f>MASTER[[#This Row],[CANTIDAD]]*MASTER[[#This Row],[PRECIO DE VENTA]]</f>
        <v>1800</v>
      </c>
      <c r="U6237" s="2">
        <f>MASTER[[#This Row],[CANTIDAD]]*MASTER[[#This Row],[COSTO UNITARIO]]</f>
        <v>848</v>
      </c>
      <c r="V6237" s="2">
        <f>MASTER[[#This Row],[MONTO VENDIDO]]-MASTER[[#This Row],[COSTO DE VENTA]]</f>
        <v>952</v>
      </c>
    </row>
    <row r="6238" spans="1:22" x14ac:dyDescent="0.3">
      <c r="A6238">
        <v>85770</v>
      </c>
      <c r="B6238">
        <v>1</v>
      </c>
      <c r="C6238" t="s">
        <v>103</v>
      </c>
      <c r="D6238" t="s">
        <v>104</v>
      </c>
      <c r="E6238" s="1">
        <v>44505</v>
      </c>
      <c r="F6238">
        <v>1</v>
      </c>
      <c r="G6238" t="s">
        <v>47</v>
      </c>
      <c r="H6238" t="s">
        <v>48</v>
      </c>
      <c r="I6238" s="3">
        <v>1591</v>
      </c>
      <c r="J6238" s="3">
        <v>1591</v>
      </c>
      <c r="K6238" s="3">
        <v>421</v>
      </c>
      <c r="L6238" t="s">
        <v>98</v>
      </c>
      <c r="M6238">
        <v>10</v>
      </c>
      <c r="N6238" t="s">
        <v>83</v>
      </c>
      <c r="O6238" t="s">
        <v>81</v>
      </c>
      <c r="P6238" t="s">
        <v>12</v>
      </c>
      <c r="Q6238" t="s">
        <v>13</v>
      </c>
      <c r="R6238" t="s">
        <v>13</v>
      </c>
      <c r="S6238" t="s">
        <v>144</v>
      </c>
      <c r="T6238" s="2">
        <f>MASTER[[#This Row],[CANTIDAD]]*MASTER[[#This Row],[PRECIO DE VENTA]]</f>
        <v>1591</v>
      </c>
      <c r="U6238" s="2">
        <f>MASTER[[#This Row],[CANTIDAD]]*MASTER[[#This Row],[COSTO UNITARIO]]</f>
        <v>421</v>
      </c>
      <c r="V6238" s="2">
        <f>MASTER[[#This Row],[MONTO VENDIDO]]-MASTER[[#This Row],[COSTO DE VENTA]]</f>
        <v>1170</v>
      </c>
    </row>
    <row r="6239" spans="1:22" x14ac:dyDescent="0.3">
      <c r="A6239">
        <v>85787</v>
      </c>
      <c r="B6239">
        <v>1</v>
      </c>
      <c r="C6239" t="s">
        <v>111</v>
      </c>
      <c r="D6239" t="s">
        <v>112</v>
      </c>
      <c r="E6239" s="1">
        <v>44505</v>
      </c>
      <c r="F6239">
        <v>3</v>
      </c>
      <c r="G6239" t="s">
        <v>7</v>
      </c>
      <c r="H6239" t="s">
        <v>8</v>
      </c>
      <c r="I6239" s="3">
        <v>1621</v>
      </c>
      <c r="J6239" s="3">
        <v>1621</v>
      </c>
      <c r="K6239" s="3">
        <v>434</v>
      </c>
      <c r="L6239" t="s">
        <v>113</v>
      </c>
      <c r="M6239">
        <v>14</v>
      </c>
      <c r="N6239" t="s">
        <v>87</v>
      </c>
      <c r="O6239" t="s">
        <v>81</v>
      </c>
      <c r="P6239" t="s">
        <v>18</v>
      </c>
      <c r="Q6239" t="s">
        <v>19</v>
      </c>
      <c r="R6239" t="s">
        <v>138</v>
      </c>
      <c r="S6239" t="s">
        <v>144</v>
      </c>
      <c r="T6239" s="2">
        <f>MASTER[[#This Row],[CANTIDAD]]*MASTER[[#This Row],[PRECIO DE VENTA]]</f>
        <v>4863</v>
      </c>
      <c r="U6239" s="2">
        <f>MASTER[[#This Row],[CANTIDAD]]*MASTER[[#This Row],[COSTO UNITARIO]]</f>
        <v>1302</v>
      </c>
      <c r="V6239" s="2">
        <f>MASTER[[#This Row],[MONTO VENDIDO]]-MASTER[[#This Row],[COSTO DE VENTA]]</f>
        <v>3561</v>
      </c>
    </row>
    <row r="6240" spans="1:22" x14ac:dyDescent="0.3">
      <c r="A6240">
        <v>85802</v>
      </c>
      <c r="B6240">
        <v>1</v>
      </c>
      <c r="C6240" t="s">
        <v>94</v>
      </c>
      <c r="D6240" t="s">
        <v>95</v>
      </c>
      <c r="E6240" s="1">
        <v>44505</v>
      </c>
      <c r="F6240">
        <v>1</v>
      </c>
      <c r="G6240" t="s">
        <v>57</v>
      </c>
      <c r="H6240" t="s">
        <v>58</v>
      </c>
      <c r="I6240" s="3">
        <v>1153</v>
      </c>
      <c r="J6240" s="3">
        <v>1060</v>
      </c>
      <c r="K6240" s="3">
        <v>392</v>
      </c>
      <c r="L6240" t="s">
        <v>9</v>
      </c>
      <c r="M6240">
        <v>18</v>
      </c>
      <c r="N6240" t="s">
        <v>79</v>
      </c>
      <c r="O6240" t="s">
        <v>70</v>
      </c>
      <c r="P6240" t="s">
        <v>15</v>
      </c>
      <c r="Q6240" t="s">
        <v>16</v>
      </c>
      <c r="R6240" t="s">
        <v>16</v>
      </c>
      <c r="S6240" t="s">
        <v>144</v>
      </c>
      <c r="T6240" s="2">
        <f>MASTER[[#This Row],[CANTIDAD]]*MASTER[[#This Row],[PRECIO DE VENTA]]</f>
        <v>1060</v>
      </c>
      <c r="U6240" s="2">
        <f>MASTER[[#This Row],[CANTIDAD]]*MASTER[[#This Row],[COSTO UNITARIO]]</f>
        <v>392</v>
      </c>
      <c r="V6240" s="2">
        <f>MASTER[[#This Row],[MONTO VENDIDO]]-MASTER[[#This Row],[COSTO DE VENTA]]</f>
        <v>668</v>
      </c>
    </row>
    <row r="6241" spans="1:22" x14ac:dyDescent="0.3">
      <c r="A6241">
        <v>85817</v>
      </c>
      <c r="B6241">
        <v>1</v>
      </c>
      <c r="C6241" t="s">
        <v>116</v>
      </c>
      <c r="D6241" t="s">
        <v>117</v>
      </c>
      <c r="E6241" s="1">
        <v>44505</v>
      </c>
      <c r="F6241">
        <v>3</v>
      </c>
      <c r="G6241" t="s">
        <v>39</v>
      </c>
      <c r="H6241" t="s">
        <v>40</v>
      </c>
      <c r="I6241" s="3">
        <v>1738</v>
      </c>
      <c r="J6241" s="3">
        <v>1738</v>
      </c>
      <c r="K6241" s="3">
        <v>388</v>
      </c>
      <c r="L6241" t="s">
        <v>113</v>
      </c>
      <c r="M6241">
        <v>7</v>
      </c>
      <c r="N6241" t="s">
        <v>84</v>
      </c>
      <c r="O6241" t="s">
        <v>81</v>
      </c>
      <c r="P6241" t="s">
        <v>12</v>
      </c>
      <c r="Q6241" t="s">
        <v>13</v>
      </c>
      <c r="R6241" t="s">
        <v>13</v>
      </c>
      <c r="S6241" t="s">
        <v>144</v>
      </c>
      <c r="T6241" s="2">
        <f>MASTER[[#This Row],[CANTIDAD]]*MASTER[[#This Row],[PRECIO DE VENTA]]</f>
        <v>5214</v>
      </c>
      <c r="U6241" s="2">
        <f>MASTER[[#This Row],[CANTIDAD]]*MASTER[[#This Row],[COSTO UNITARIO]]</f>
        <v>1164</v>
      </c>
      <c r="V6241" s="2">
        <f>MASTER[[#This Row],[MONTO VENDIDO]]-MASTER[[#This Row],[COSTO DE VENTA]]</f>
        <v>4050</v>
      </c>
    </row>
    <row r="6242" spans="1:22" x14ac:dyDescent="0.3">
      <c r="A6242">
        <v>85819</v>
      </c>
      <c r="B6242">
        <v>1</v>
      </c>
      <c r="C6242" t="s">
        <v>116</v>
      </c>
      <c r="D6242" t="s">
        <v>117</v>
      </c>
      <c r="E6242" s="1">
        <v>44505</v>
      </c>
      <c r="F6242">
        <v>1</v>
      </c>
      <c r="G6242" t="s">
        <v>39</v>
      </c>
      <c r="H6242" t="s">
        <v>40</v>
      </c>
      <c r="I6242" s="3">
        <v>1999</v>
      </c>
      <c r="J6242" s="3">
        <v>1999</v>
      </c>
      <c r="K6242" s="3">
        <v>388</v>
      </c>
      <c r="L6242" t="s">
        <v>113</v>
      </c>
      <c r="M6242">
        <v>3</v>
      </c>
      <c r="N6242" t="s">
        <v>69</v>
      </c>
      <c r="O6242" t="s">
        <v>70</v>
      </c>
      <c r="P6242" t="s">
        <v>71</v>
      </c>
      <c r="Q6242" t="s">
        <v>72</v>
      </c>
      <c r="R6242" t="s">
        <v>139</v>
      </c>
      <c r="S6242" t="s">
        <v>144</v>
      </c>
      <c r="T6242" s="2">
        <f>MASTER[[#This Row],[CANTIDAD]]*MASTER[[#This Row],[PRECIO DE VENTA]]</f>
        <v>1999</v>
      </c>
      <c r="U6242" s="2">
        <f>MASTER[[#This Row],[CANTIDAD]]*MASTER[[#This Row],[COSTO UNITARIO]]</f>
        <v>388</v>
      </c>
      <c r="V6242" s="2">
        <f>MASTER[[#This Row],[MONTO VENDIDO]]-MASTER[[#This Row],[COSTO DE VENTA]]</f>
        <v>1611</v>
      </c>
    </row>
    <row r="6243" spans="1:22" x14ac:dyDescent="0.3">
      <c r="A6243">
        <v>85822</v>
      </c>
      <c r="B6243">
        <v>1</v>
      </c>
      <c r="C6243" t="s">
        <v>96</v>
      </c>
      <c r="D6243" t="s">
        <v>97</v>
      </c>
      <c r="E6243" s="1">
        <v>44506</v>
      </c>
      <c r="F6243">
        <v>1</v>
      </c>
      <c r="G6243" t="s">
        <v>61</v>
      </c>
      <c r="H6243" t="s">
        <v>62</v>
      </c>
      <c r="I6243" s="3">
        <v>1361</v>
      </c>
      <c r="J6243" s="3">
        <v>1361</v>
      </c>
      <c r="K6243" s="3">
        <v>397</v>
      </c>
      <c r="L6243" t="s">
        <v>98</v>
      </c>
      <c r="M6243">
        <v>6</v>
      </c>
      <c r="N6243" t="s">
        <v>75</v>
      </c>
      <c r="O6243" t="s">
        <v>70</v>
      </c>
      <c r="P6243" t="s">
        <v>12</v>
      </c>
      <c r="Q6243" t="s">
        <v>13</v>
      </c>
      <c r="R6243" t="s">
        <v>13</v>
      </c>
      <c r="S6243" t="s">
        <v>144</v>
      </c>
      <c r="T6243" s="2">
        <f>MASTER[[#This Row],[CANTIDAD]]*MASTER[[#This Row],[PRECIO DE VENTA]]</f>
        <v>1361</v>
      </c>
      <c r="U6243" s="2">
        <f>MASTER[[#This Row],[CANTIDAD]]*MASTER[[#This Row],[COSTO UNITARIO]]</f>
        <v>397</v>
      </c>
      <c r="V6243" s="2">
        <f>MASTER[[#This Row],[MONTO VENDIDO]]-MASTER[[#This Row],[COSTO DE VENTA]]</f>
        <v>964</v>
      </c>
    </row>
    <row r="6244" spans="1:22" x14ac:dyDescent="0.3">
      <c r="A6244">
        <v>85855</v>
      </c>
      <c r="B6244">
        <v>1</v>
      </c>
      <c r="C6244" t="s">
        <v>99</v>
      </c>
      <c r="D6244" t="s">
        <v>100</v>
      </c>
      <c r="E6244" s="1">
        <v>44506</v>
      </c>
      <c r="F6244">
        <v>2</v>
      </c>
      <c r="G6244" t="s">
        <v>57</v>
      </c>
      <c r="H6244" t="s">
        <v>58</v>
      </c>
      <c r="I6244" s="3">
        <v>1459</v>
      </c>
      <c r="J6244" s="3">
        <v>1459</v>
      </c>
      <c r="K6244" s="3">
        <v>386</v>
      </c>
      <c r="L6244" t="s">
        <v>98</v>
      </c>
      <c r="M6244">
        <v>15</v>
      </c>
      <c r="N6244" t="s">
        <v>88</v>
      </c>
      <c r="O6244" t="s">
        <v>81</v>
      </c>
      <c r="P6244" t="s">
        <v>18</v>
      </c>
      <c r="Q6244" t="s">
        <v>19</v>
      </c>
      <c r="R6244" t="s">
        <v>138</v>
      </c>
      <c r="S6244" t="s">
        <v>144</v>
      </c>
      <c r="T6244" s="2">
        <f>MASTER[[#This Row],[CANTIDAD]]*MASTER[[#This Row],[PRECIO DE VENTA]]</f>
        <v>2918</v>
      </c>
      <c r="U6244" s="2">
        <f>MASTER[[#This Row],[CANTIDAD]]*MASTER[[#This Row],[COSTO UNITARIO]]</f>
        <v>772</v>
      </c>
      <c r="V6244" s="2">
        <f>MASTER[[#This Row],[MONTO VENDIDO]]-MASTER[[#This Row],[COSTO DE VENTA]]</f>
        <v>2146</v>
      </c>
    </row>
    <row r="6245" spans="1:22" x14ac:dyDescent="0.3">
      <c r="A6245">
        <v>85860</v>
      </c>
      <c r="B6245">
        <v>1</v>
      </c>
      <c r="C6245" t="s">
        <v>121</v>
      </c>
      <c r="D6245" t="s">
        <v>122</v>
      </c>
      <c r="E6245" s="1">
        <v>44506</v>
      </c>
      <c r="F6245">
        <v>1</v>
      </c>
      <c r="G6245" t="s">
        <v>47</v>
      </c>
      <c r="H6245" t="s">
        <v>48</v>
      </c>
      <c r="I6245" s="3">
        <v>1069</v>
      </c>
      <c r="J6245" s="3">
        <v>1069</v>
      </c>
      <c r="K6245" s="3">
        <v>460</v>
      </c>
      <c r="L6245" t="s">
        <v>120</v>
      </c>
      <c r="M6245">
        <v>14</v>
      </c>
      <c r="N6245" t="s">
        <v>87</v>
      </c>
      <c r="O6245" t="s">
        <v>81</v>
      </c>
      <c r="P6245" t="s">
        <v>18</v>
      </c>
      <c r="Q6245" t="s">
        <v>19</v>
      </c>
      <c r="R6245" t="s">
        <v>138</v>
      </c>
      <c r="S6245" t="s">
        <v>144</v>
      </c>
      <c r="T6245" s="2">
        <f>MASTER[[#This Row],[CANTIDAD]]*MASTER[[#This Row],[PRECIO DE VENTA]]</f>
        <v>1069</v>
      </c>
      <c r="U6245" s="2">
        <f>MASTER[[#This Row],[CANTIDAD]]*MASTER[[#This Row],[COSTO UNITARIO]]</f>
        <v>460</v>
      </c>
      <c r="V6245" s="2">
        <f>MASTER[[#This Row],[MONTO VENDIDO]]-MASTER[[#This Row],[COSTO DE VENTA]]</f>
        <v>609</v>
      </c>
    </row>
    <row r="6246" spans="1:22" x14ac:dyDescent="0.3">
      <c r="A6246">
        <v>85872</v>
      </c>
      <c r="B6246">
        <v>1</v>
      </c>
      <c r="C6246" t="s">
        <v>118</v>
      </c>
      <c r="D6246" t="s">
        <v>119</v>
      </c>
      <c r="E6246" s="1">
        <v>44506</v>
      </c>
      <c r="F6246">
        <v>1</v>
      </c>
      <c r="G6246" t="s">
        <v>31</v>
      </c>
      <c r="H6246" t="s">
        <v>32</v>
      </c>
      <c r="I6246" s="3">
        <v>900</v>
      </c>
      <c r="J6246" s="3">
        <v>900</v>
      </c>
      <c r="K6246" s="3">
        <v>424</v>
      </c>
      <c r="L6246" t="s">
        <v>120</v>
      </c>
      <c r="M6246">
        <v>8</v>
      </c>
      <c r="N6246" t="s">
        <v>80</v>
      </c>
      <c r="O6246" t="s">
        <v>81</v>
      </c>
      <c r="P6246" t="s">
        <v>12</v>
      </c>
      <c r="Q6246" t="s">
        <v>13</v>
      </c>
      <c r="R6246" t="s">
        <v>13</v>
      </c>
      <c r="S6246" t="s">
        <v>144</v>
      </c>
      <c r="T6246" s="2">
        <f>MASTER[[#This Row],[CANTIDAD]]*MASTER[[#This Row],[PRECIO DE VENTA]]</f>
        <v>900</v>
      </c>
      <c r="U6246" s="2">
        <f>MASTER[[#This Row],[CANTIDAD]]*MASTER[[#This Row],[COSTO UNITARIO]]</f>
        <v>424</v>
      </c>
      <c r="V6246" s="2">
        <f>MASTER[[#This Row],[MONTO VENDIDO]]-MASTER[[#This Row],[COSTO DE VENTA]]</f>
        <v>476</v>
      </c>
    </row>
    <row r="6247" spans="1:22" x14ac:dyDescent="0.3">
      <c r="A6247">
        <v>85885</v>
      </c>
      <c r="B6247">
        <v>1</v>
      </c>
      <c r="C6247" t="s">
        <v>118</v>
      </c>
      <c r="D6247" t="s">
        <v>119</v>
      </c>
      <c r="E6247" s="1">
        <v>44506</v>
      </c>
      <c r="F6247">
        <v>1</v>
      </c>
      <c r="G6247" t="s">
        <v>57</v>
      </c>
      <c r="H6247" t="s">
        <v>58</v>
      </c>
      <c r="I6247" s="3">
        <v>801</v>
      </c>
      <c r="J6247" s="3">
        <v>801</v>
      </c>
      <c r="K6247" s="3">
        <v>424</v>
      </c>
      <c r="L6247" t="s">
        <v>120</v>
      </c>
      <c r="M6247">
        <v>16</v>
      </c>
      <c r="N6247" t="s">
        <v>17</v>
      </c>
      <c r="O6247" t="s">
        <v>11</v>
      </c>
      <c r="P6247" t="s">
        <v>18</v>
      </c>
      <c r="Q6247" t="s">
        <v>19</v>
      </c>
      <c r="R6247" t="s">
        <v>138</v>
      </c>
      <c r="S6247" t="s">
        <v>144</v>
      </c>
      <c r="T6247" s="2">
        <f>MASTER[[#This Row],[CANTIDAD]]*MASTER[[#This Row],[PRECIO DE VENTA]]</f>
        <v>801</v>
      </c>
      <c r="U6247" s="2">
        <f>MASTER[[#This Row],[CANTIDAD]]*MASTER[[#This Row],[COSTO UNITARIO]]</f>
        <v>424</v>
      </c>
      <c r="V6247" s="2">
        <f>MASTER[[#This Row],[MONTO VENDIDO]]-MASTER[[#This Row],[COSTO DE VENTA]]</f>
        <v>377</v>
      </c>
    </row>
    <row r="6248" spans="1:22" x14ac:dyDescent="0.3">
      <c r="A6248">
        <v>85889</v>
      </c>
      <c r="B6248">
        <v>1</v>
      </c>
      <c r="C6248" t="s">
        <v>92</v>
      </c>
      <c r="D6248" t="s">
        <v>93</v>
      </c>
      <c r="E6248" s="1">
        <v>44506</v>
      </c>
      <c r="F6248">
        <v>1</v>
      </c>
      <c r="G6248" t="s">
        <v>57</v>
      </c>
      <c r="H6248" t="s">
        <v>58</v>
      </c>
      <c r="I6248" s="3">
        <v>1866</v>
      </c>
      <c r="J6248" s="3">
        <v>1866</v>
      </c>
      <c r="K6248" s="3">
        <v>396</v>
      </c>
      <c r="L6248" t="s">
        <v>9</v>
      </c>
      <c r="M6248">
        <v>13</v>
      </c>
      <c r="N6248" t="s">
        <v>78</v>
      </c>
      <c r="O6248" t="s">
        <v>70</v>
      </c>
      <c r="P6248" t="s">
        <v>18</v>
      </c>
      <c r="Q6248" t="s">
        <v>19</v>
      </c>
      <c r="R6248" t="s">
        <v>138</v>
      </c>
      <c r="S6248" t="s">
        <v>144</v>
      </c>
      <c r="T6248" s="2">
        <f>MASTER[[#This Row],[CANTIDAD]]*MASTER[[#This Row],[PRECIO DE VENTA]]</f>
        <v>1866</v>
      </c>
      <c r="U6248" s="2">
        <f>MASTER[[#This Row],[CANTIDAD]]*MASTER[[#This Row],[COSTO UNITARIO]]</f>
        <v>396</v>
      </c>
      <c r="V6248" s="2">
        <f>MASTER[[#This Row],[MONTO VENDIDO]]-MASTER[[#This Row],[COSTO DE VENTA]]</f>
        <v>1470</v>
      </c>
    </row>
    <row r="6249" spans="1:22" x14ac:dyDescent="0.3">
      <c r="A6249">
        <v>85891</v>
      </c>
      <c r="B6249">
        <v>1</v>
      </c>
      <c r="C6249" t="s">
        <v>121</v>
      </c>
      <c r="D6249" t="s">
        <v>122</v>
      </c>
      <c r="E6249" s="1">
        <v>44506</v>
      </c>
      <c r="F6249">
        <v>1</v>
      </c>
      <c r="G6249" t="s">
        <v>51</v>
      </c>
      <c r="H6249" t="s">
        <v>52</v>
      </c>
      <c r="I6249" s="3">
        <v>1069</v>
      </c>
      <c r="J6249" s="3">
        <v>1069</v>
      </c>
      <c r="K6249" s="3">
        <v>460</v>
      </c>
      <c r="L6249" t="s">
        <v>120</v>
      </c>
      <c r="M6249">
        <v>10</v>
      </c>
      <c r="N6249" t="s">
        <v>83</v>
      </c>
      <c r="O6249" t="s">
        <v>81</v>
      </c>
      <c r="P6249" t="s">
        <v>12</v>
      </c>
      <c r="Q6249" t="s">
        <v>13</v>
      </c>
      <c r="R6249" t="s">
        <v>13</v>
      </c>
      <c r="S6249" t="s">
        <v>144</v>
      </c>
      <c r="T6249" s="2">
        <f>MASTER[[#This Row],[CANTIDAD]]*MASTER[[#This Row],[PRECIO DE VENTA]]</f>
        <v>1069</v>
      </c>
      <c r="U6249" s="2">
        <f>MASTER[[#This Row],[CANTIDAD]]*MASTER[[#This Row],[COSTO UNITARIO]]</f>
        <v>460</v>
      </c>
      <c r="V6249" s="2">
        <f>MASTER[[#This Row],[MONTO VENDIDO]]-MASTER[[#This Row],[COSTO DE VENTA]]</f>
        <v>609</v>
      </c>
    </row>
    <row r="6250" spans="1:22" x14ac:dyDescent="0.3">
      <c r="A6250">
        <v>85897</v>
      </c>
      <c r="B6250">
        <v>1</v>
      </c>
      <c r="C6250" t="s">
        <v>101</v>
      </c>
      <c r="D6250" t="s">
        <v>102</v>
      </c>
      <c r="E6250" s="1">
        <v>44506</v>
      </c>
      <c r="F6250">
        <v>1</v>
      </c>
      <c r="G6250" t="s">
        <v>7</v>
      </c>
      <c r="H6250" t="s">
        <v>8</v>
      </c>
      <c r="I6250" s="3">
        <v>1357</v>
      </c>
      <c r="J6250" s="3">
        <v>1357</v>
      </c>
      <c r="K6250" s="3">
        <v>442</v>
      </c>
      <c r="L6250" t="s">
        <v>98</v>
      </c>
      <c r="M6250">
        <v>6</v>
      </c>
      <c r="N6250" t="s">
        <v>75</v>
      </c>
      <c r="O6250" t="s">
        <v>70</v>
      </c>
      <c r="P6250" t="s">
        <v>12</v>
      </c>
      <c r="Q6250" t="s">
        <v>13</v>
      </c>
      <c r="R6250" t="s">
        <v>13</v>
      </c>
      <c r="S6250" t="s">
        <v>144</v>
      </c>
      <c r="T6250" s="2">
        <f>MASTER[[#This Row],[CANTIDAD]]*MASTER[[#This Row],[PRECIO DE VENTA]]</f>
        <v>1357</v>
      </c>
      <c r="U6250" s="2">
        <f>MASTER[[#This Row],[CANTIDAD]]*MASTER[[#This Row],[COSTO UNITARIO]]</f>
        <v>442</v>
      </c>
      <c r="V6250" s="2">
        <f>MASTER[[#This Row],[MONTO VENDIDO]]-MASTER[[#This Row],[COSTO DE VENTA]]</f>
        <v>915</v>
      </c>
    </row>
    <row r="6251" spans="1:22" x14ac:dyDescent="0.3">
      <c r="A6251">
        <v>85906</v>
      </c>
      <c r="B6251">
        <v>1</v>
      </c>
      <c r="C6251" t="s">
        <v>92</v>
      </c>
      <c r="D6251" t="s">
        <v>93</v>
      </c>
      <c r="E6251" s="1">
        <v>44506</v>
      </c>
      <c r="F6251">
        <v>1</v>
      </c>
      <c r="G6251" t="s">
        <v>51</v>
      </c>
      <c r="H6251" t="s">
        <v>52</v>
      </c>
      <c r="I6251" s="3">
        <v>1681</v>
      </c>
      <c r="J6251" s="3">
        <v>1681</v>
      </c>
      <c r="K6251" s="3">
        <v>396</v>
      </c>
      <c r="L6251" t="s">
        <v>9</v>
      </c>
      <c r="M6251">
        <v>5</v>
      </c>
      <c r="N6251" t="s">
        <v>85</v>
      </c>
      <c r="O6251" t="s">
        <v>81</v>
      </c>
      <c r="P6251" t="s">
        <v>12</v>
      </c>
      <c r="Q6251" t="s">
        <v>13</v>
      </c>
      <c r="R6251" t="s">
        <v>13</v>
      </c>
      <c r="S6251" t="s">
        <v>144</v>
      </c>
      <c r="T6251" s="2">
        <f>MASTER[[#This Row],[CANTIDAD]]*MASTER[[#This Row],[PRECIO DE VENTA]]</f>
        <v>1681</v>
      </c>
      <c r="U6251" s="2">
        <f>MASTER[[#This Row],[CANTIDAD]]*MASTER[[#This Row],[COSTO UNITARIO]]</f>
        <v>396</v>
      </c>
      <c r="V6251" s="2">
        <f>MASTER[[#This Row],[MONTO VENDIDO]]-MASTER[[#This Row],[COSTO DE VENTA]]</f>
        <v>1285</v>
      </c>
    </row>
    <row r="6252" spans="1:22" x14ac:dyDescent="0.3">
      <c r="A6252">
        <v>85915</v>
      </c>
      <c r="B6252">
        <v>1</v>
      </c>
      <c r="C6252" t="s">
        <v>107</v>
      </c>
      <c r="D6252" t="s">
        <v>108</v>
      </c>
      <c r="E6252" s="1">
        <v>44506</v>
      </c>
      <c r="F6252">
        <v>1</v>
      </c>
      <c r="G6252" t="s">
        <v>61</v>
      </c>
      <c r="H6252" t="s">
        <v>62</v>
      </c>
      <c r="I6252" s="3">
        <v>1333</v>
      </c>
      <c r="J6252" s="3">
        <v>1333</v>
      </c>
      <c r="K6252" s="3">
        <v>380</v>
      </c>
      <c r="L6252" t="s">
        <v>98</v>
      </c>
      <c r="M6252">
        <v>5</v>
      </c>
      <c r="N6252" t="s">
        <v>85</v>
      </c>
      <c r="O6252" t="s">
        <v>81</v>
      </c>
      <c r="P6252" t="s">
        <v>12</v>
      </c>
      <c r="Q6252" t="s">
        <v>13</v>
      </c>
      <c r="R6252" t="s">
        <v>13</v>
      </c>
      <c r="S6252" t="s">
        <v>144</v>
      </c>
      <c r="T6252" s="2">
        <f>MASTER[[#This Row],[CANTIDAD]]*MASTER[[#This Row],[PRECIO DE VENTA]]</f>
        <v>1333</v>
      </c>
      <c r="U6252" s="2">
        <f>MASTER[[#This Row],[CANTIDAD]]*MASTER[[#This Row],[COSTO UNITARIO]]</f>
        <v>380</v>
      </c>
      <c r="V6252" s="2">
        <f>MASTER[[#This Row],[MONTO VENDIDO]]-MASTER[[#This Row],[COSTO DE VENTA]]</f>
        <v>953</v>
      </c>
    </row>
    <row r="6253" spans="1:22" x14ac:dyDescent="0.3">
      <c r="A6253">
        <v>85927</v>
      </c>
      <c r="B6253">
        <v>1</v>
      </c>
      <c r="C6253" t="s">
        <v>101</v>
      </c>
      <c r="D6253" t="s">
        <v>102</v>
      </c>
      <c r="E6253" s="1">
        <v>44507</v>
      </c>
      <c r="F6253">
        <v>1</v>
      </c>
      <c r="G6253" t="s">
        <v>39</v>
      </c>
      <c r="H6253" t="s">
        <v>40</v>
      </c>
      <c r="I6253" s="3">
        <v>1054</v>
      </c>
      <c r="J6253" s="3">
        <v>1054</v>
      </c>
      <c r="K6253" s="3">
        <v>442</v>
      </c>
      <c r="L6253" t="s">
        <v>98</v>
      </c>
      <c r="M6253">
        <v>17</v>
      </c>
      <c r="N6253" t="s">
        <v>14</v>
      </c>
      <c r="O6253" t="s">
        <v>11</v>
      </c>
      <c r="P6253" t="s">
        <v>15</v>
      </c>
      <c r="Q6253" t="s">
        <v>16</v>
      </c>
      <c r="R6253" t="s">
        <v>16</v>
      </c>
      <c r="S6253" t="s">
        <v>144</v>
      </c>
      <c r="T6253" s="2">
        <f>MASTER[[#This Row],[CANTIDAD]]*MASTER[[#This Row],[PRECIO DE VENTA]]</f>
        <v>1054</v>
      </c>
      <c r="U6253" s="2">
        <f>MASTER[[#This Row],[CANTIDAD]]*MASTER[[#This Row],[COSTO UNITARIO]]</f>
        <v>442</v>
      </c>
      <c r="V6253" s="2">
        <f>MASTER[[#This Row],[MONTO VENDIDO]]-MASTER[[#This Row],[COSTO DE VENTA]]</f>
        <v>612</v>
      </c>
    </row>
    <row r="6254" spans="1:22" x14ac:dyDescent="0.3">
      <c r="A6254">
        <v>85932</v>
      </c>
      <c r="B6254">
        <v>1</v>
      </c>
      <c r="C6254" t="s">
        <v>96</v>
      </c>
      <c r="D6254" t="s">
        <v>97</v>
      </c>
      <c r="E6254" s="1">
        <v>44507</v>
      </c>
      <c r="F6254">
        <v>1</v>
      </c>
      <c r="G6254" t="s">
        <v>51</v>
      </c>
      <c r="H6254" t="s">
        <v>52</v>
      </c>
      <c r="I6254" s="3">
        <v>1361</v>
      </c>
      <c r="J6254" s="3">
        <v>1361</v>
      </c>
      <c r="K6254" s="3">
        <v>397</v>
      </c>
      <c r="L6254" t="s">
        <v>98</v>
      </c>
      <c r="M6254">
        <v>18</v>
      </c>
      <c r="N6254" t="s">
        <v>79</v>
      </c>
      <c r="O6254" t="s">
        <v>70</v>
      </c>
      <c r="P6254" t="s">
        <v>15</v>
      </c>
      <c r="Q6254" t="s">
        <v>16</v>
      </c>
      <c r="R6254" t="s">
        <v>16</v>
      </c>
      <c r="S6254" t="s">
        <v>144</v>
      </c>
      <c r="T6254" s="2">
        <f>MASTER[[#This Row],[CANTIDAD]]*MASTER[[#This Row],[PRECIO DE VENTA]]</f>
        <v>1361</v>
      </c>
      <c r="U6254" s="2">
        <f>MASTER[[#This Row],[CANTIDAD]]*MASTER[[#This Row],[COSTO UNITARIO]]</f>
        <v>397</v>
      </c>
      <c r="V6254" s="2">
        <f>MASTER[[#This Row],[MONTO VENDIDO]]-MASTER[[#This Row],[COSTO DE VENTA]]</f>
        <v>964</v>
      </c>
    </row>
    <row r="6255" spans="1:22" x14ac:dyDescent="0.3">
      <c r="A6255">
        <v>85938</v>
      </c>
      <c r="B6255">
        <v>1</v>
      </c>
      <c r="C6255" t="s">
        <v>96</v>
      </c>
      <c r="D6255" t="s">
        <v>97</v>
      </c>
      <c r="E6255" s="1">
        <v>44507</v>
      </c>
      <c r="F6255">
        <v>1</v>
      </c>
      <c r="G6255" t="s">
        <v>57</v>
      </c>
      <c r="H6255" t="s">
        <v>58</v>
      </c>
      <c r="I6255" s="3">
        <v>1361</v>
      </c>
      <c r="J6255" s="3">
        <v>1361</v>
      </c>
      <c r="K6255" s="3">
        <v>397</v>
      </c>
      <c r="L6255" t="s">
        <v>98</v>
      </c>
      <c r="M6255">
        <v>18</v>
      </c>
      <c r="N6255" t="s">
        <v>79</v>
      </c>
      <c r="O6255" t="s">
        <v>70</v>
      </c>
      <c r="P6255" t="s">
        <v>15</v>
      </c>
      <c r="Q6255" t="s">
        <v>16</v>
      </c>
      <c r="R6255" t="s">
        <v>16</v>
      </c>
      <c r="S6255" t="s">
        <v>144</v>
      </c>
      <c r="T6255" s="2">
        <f>MASTER[[#This Row],[CANTIDAD]]*MASTER[[#This Row],[PRECIO DE VENTA]]</f>
        <v>1361</v>
      </c>
      <c r="U6255" s="2">
        <f>MASTER[[#This Row],[CANTIDAD]]*MASTER[[#This Row],[COSTO UNITARIO]]</f>
        <v>397</v>
      </c>
      <c r="V6255" s="2">
        <f>MASTER[[#This Row],[MONTO VENDIDO]]-MASTER[[#This Row],[COSTO DE VENTA]]</f>
        <v>964</v>
      </c>
    </row>
    <row r="6256" spans="1:22" x14ac:dyDescent="0.3">
      <c r="A6256">
        <v>85948</v>
      </c>
      <c r="B6256">
        <v>1</v>
      </c>
      <c r="C6256" t="s">
        <v>99</v>
      </c>
      <c r="D6256" t="s">
        <v>100</v>
      </c>
      <c r="E6256" s="1">
        <v>44507</v>
      </c>
      <c r="F6256">
        <v>1</v>
      </c>
      <c r="G6256" t="s">
        <v>49</v>
      </c>
      <c r="H6256" t="s">
        <v>50</v>
      </c>
      <c r="I6256" s="3">
        <v>1328</v>
      </c>
      <c r="J6256" s="3">
        <v>1328</v>
      </c>
      <c r="K6256" s="3">
        <v>386</v>
      </c>
      <c r="L6256" t="s">
        <v>98</v>
      </c>
      <c r="M6256">
        <v>17</v>
      </c>
      <c r="N6256" t="s">
        <v>14</v>
      </c>
      <c r="O6256" t="s">
        <v>11</v>
      </c>
      <c r="P6256" t="s">
        <v>15</v>
      </c>
      <c r="Q6256" t="s">
        <v>16</v>
      </c>
      <c r="R6256" t="s">
        <v>16</v>
      </c>
      <c r="S6256" t="s">
        <v>144</v>
      </c>
      <c r="T6256" s="2">
        <f>MASTER[[#This Row],[CANTIDAD]]*MASTER[[#This Row],[PRECIO DE VENTA]]</f>
        <v>1328</v>
      </c>
      <c r="U6256" s="2">
        <f>MASTER[[#This Row],[CANTIDAD]]*MASTER[[#This Row],[COSTO UNITARIO]]</f>
        <v>386</v>
      </c>
      <c r="V6256" s="2">
        <f>MASTER[[#This Row],[MONTO VENDIDO]]-MASTER[[#This Row],[COSTO DE VENTA]]</f>
        <v>942</v>
      </c>
    </row>
    <row r="6257" spans="1:22" x14ac:dyDescent="0.3">
      <c r="A6257">
        <v>85964</v>
      </c>
      <c r="B6257">
        <v>1</v>
      </c>
      <c r="C6257" t="s">
        <v>103</v>
      </c>
      <c r="D6257" t="s">
        <v>104</v>
      </c>
      <c r="E6257" s="1">
        <v>44507</v>
      </c>
      <c r="F6257">
        <v>1</v>
      </c>
      <c r="G6257" t="s">
        <v>47</v>
      </c>
      <c r="H6257" t="s">
        <v>48</v>
      </c>
      <c r="I6257" s="3">
        <v>1591</v>
      </c>
      <c r="J6257" s="3">
        <v>1591</v>
      </c>
      <c r="K6257" s="3">
        <v>421</v>
      </c>
      <c r="L6257" t="s">
        <v>98</v>
      </c>
      <c r="M6257">
        <v>19</v>
      </c>
      <c r="N6257" t="s">
        <v>89</v>
      </c>
      <c r="O6257" t="s">
        <v>81</v>
      </c>
      <c r="P6257" t="s">
        <v>15</v>
      </c>
      <c r="Q6257" t="s">
        <v>16</v>
      </c>
      <c r="R6257" t="s">
        <v>16</v>
      </c>
      <c r="S6257" t="s">
        <v>144</v>
      </c>
      <c r="T6257" s="2">
        <f>MASTER[[#This Row],[CANTIDAD]]*MASTER[[#This Row],[PRECIO DE VENTA]]</f>
        <v>1591</v>
      </c>
      <c r="U6257" s="2">
        <f>MASTER[[#This Row],[CANTIDAD]]*MASTER[[#This Row],[COSTO UNITARIO]]</f>
        <v>421</v>
      </c>
      <c r="V6257" s="2">
        <f>MASTER[[#This Row],[MONTO VENDIDO]]-MASTER[[#This Row],[COSTO DE VENTA]]</f>
        <v>1170</v>
      </c>
    </row>
    <row r="6258" spans="1:22" x14ac:dyDescent="0.3">
      <c r="A6258">
        <v>85966</v>
      </c>
      <c r="B6258">
        <v>1</v>
      </c>
      <c r="C6258" t="s">
        <v>99</v>
      </c>
      <c r="D6258" t="s">
        <v>100</v>
      </c>
      <c r="E6258" s="1">
        <v>44507</v>
      </c>
      <c r="F6258">
        <v>4</v>
      </c>
      <c r="G6258" t="s">
        <v>24</v>
      </c>
      <c r="H6258" t="s">
        <v>25</v>
      </c>
      <c r="I6258" s="3">
        <v>1459</v>
      </c>
      <c r="J6258" s="3">
        <v>1459</v>
      </c>
      <c r="K6258" s="3">
        <v>386</v>
      </c>
      <c r="L6258" t="s">
        <v>98</v>
      </c>
      <c r="M6258">
        <v>15</v>
      </c>
      <c r="N6258" t="s">
        <v>88</v>
      </c>
      <c r="O6258" t="s">
        <v>81</v>
      </c>
      <c r="P6258" t="s">
        <v>18</v>
      </c>
      <c r="Q6258" t="s">
        <v>19</v>
      </c>
      <c r="R6258" t="s">
        <v>138</v>
      </c>
      <c r="S6258" t="s">
        <v>144</v>
      </c>
      <c r="T6258" s="2">
        <f>MASTER[[#This Row],[CANTIDAD]]*MASTER[[#This Row],[PRECIO DE VENTA]]</f>
        <v>5836</v>
      </c>
      <c r="U6258" s="2">
        <f>MASTER[[#This Row],[CANTIDAD]]*MASTER[[#This Row],[COSTO UNITARIO]]</f>
        <v>1544</v>
      </c>
      <c r="V6258" s="2">
        <f>MASTER[[#This Row],[MONTO VENDIDO]]-MASTER[[#This Row],[COSTO DE VENTA]]</f>
        <v>4292</v>
      </c>
    </row>
    <row r="6259" spans="1:22" x14ac:dyDescent="0.3">
      <c r="A6259">
        <v>85975</v>
      </c>
      <c r="B6259">
        <v>1</v>
      </c>
      <c r="C6259" t="s">
        <v>103</v>
      </c>
      <c r="D6259" t="s">
        <v>104</v>
      </c>
      <c r="E6259" s="1">
        <v>44507</v>
      </c>
      <c r="F6259">
        <v>1</v>
      </c>
      <c r="G6259" t="s">
        <v>61</v>
      </c>
      <c r="H6259" t="s">
        <v>62</v>
      </c>
      <c r="I6259" s="3">
        <v>1448</v>
      </c>
      <c r="J6259" s="3">
        <v>1448</v>
      </c>
      <c r="K6259" s="3">
        <v>421</v>
      </c>
      <c r="L6259" t="s">
        <v>98</v>
      </c>
      <c r="M6259">
        <v>17</v>
      </c>
      <c r="N6259" t="s">
        <v>14</v>
      </c>
      <c r="O6259" t="s">
        <v>11</v>
      </c>
      <c r="P6259" t="s">
        <v>15</v>
      </c>
      <c r="Q6259" t="s">
        <v>16</v>
      </c>
      <c r="R6259" t="s">
        <v>16</v>
      </c>
      <c r="S6259" t="s">
        <v>144</v>
      </c>
      <c r="T6259" s="2">
        <f>MASTER[[#This Row],[CANTIDAD]]*MASTER[[#This Row],[PRECIO DE VENTA]]</f>
        <v>1448</v>
      </c>
      <c r="U6259" s="2">
        <f>MASTER[[#This Row],[CANTIDAD]]*MASTER[[#This Row],[COSTO UNITARIO]]</f>
        <v>421</v>
      </c>
      <c r="V6259" s="2">
        <f>MASTER[[#This Row],[MONTO VENDIDO]]-MASTER[[#This Row],[COSTO DE VENTA]]</f>
        <v>1027</v>
      </c>
    </row>
    <row r="6260" spans="1:22" x14ac:dyDescent="0.3">
      <c r="A6260">
        <v>85981</v>
      </c>
      <c r="B6260">
        <v>1</v>
      </c>
      <c r="C6260" t="s">
        <v>121</v>
      </c>
      <c r="D6260" t="s">
        <v>122</v>
      </c>
      <c r="E6260" s="1">
        <v>44507</v>
      </c>
      <c r="F6260">
        <v>1</v>
      </c>
      <c r="G6260" t="s">
        <v>43</v>
      </c>
      <c r="H6260" t="s">
        <v>44</v>
      </c>
      <c r="I6260" s="3">
        <v>941</v>
      </c>
      <c r="J6260" s="3">
        <v>941</v>
      </c>
      <c r="K6260" s="3">
        <v>460</v>
      </c>
      <c r="L6260" t="s">
        <v>120</v>
      </c>
      <c r="M6260">
        <v>12</v>
      </c>
      <c r="N6260" t="s">
        <v>26</v>
      </c>
      <c r="O6260" t="s">
        <v>11</v>
      </c>
      <c r="P6260" t="s">
        <v>12</v>
      </c>
      <c r="Q6260" t="s">
        <v>13</v>
      </c>
      <c r="R6260" t="s">
        <v>13</v>
      </c>
      <c r="S6260" t="s">
        <v>144</v>
      </c>
      <c r="T6260" s="2">
        <f>MASTER[[#This Row],[CANTIDAD]]*MASTER[[#This Row],[PRECIO DE VENTA]]</f>
        <v>941</v>
      </c>
      <c r="U6260" s="2">
        <f>MASTER[[#This Row],[CANTIDAD]]*MASTER[[#This Row],[COSTO UNITARIO]]</f>
        <v>460</v>
      </c>
      <c r="V6260" s="2">
        <f>MASTER[[#This Row],[MONTO VENDIDO]]-MASTER[[#This Row],[COSTO DE VENTA]]</f>
        <v>481</v>
      </c>
    </row>
    <row r="6261" spans="1:22" x14ac:dyDescent="0.3">
      <c r="A6261">
        <v>85982</v>
      </c>
      <c r="B6261">
        <v>1</v>
      </c>
      <c r="C6261" t="s">
        <v>101</v>
      </c>
      <c r="D6261" t="s">
        <v>102</v>
      </c>
      <c r="E6261" s="1">
        <v>44507</v>
      </c>
      <c r="F6261">
        <v>1</v>
      </c>
      <c r="G6261" t="s">
        <v>57</v>
      </c>
      <c r="H6261" t="s">
        <v>58</v>
      </c>
      <c r="I6261" s="3">
        <v>1054</v>
      </c>
      <c r="J6261" s="3">
        <v>1054</v>
      </c>
      <c r="K6261" s="3">
        <v>442</v>
      </c>
      <c r="L6261" t="s">
        <v>98</v>
      </c>
      <c r="M6261">
        <v>17</v>
      </c>
      <c r="N6261" t="s">
        <v>14</v>
      </c>
      <c r="O6261" t="s">
        <v>11</v>
      </c>
      <c r="P6261" t="s">
        <v>15</v>
      </c>
      <c r="Q6261" t="s">
        <v>16</v>
      </c>
      <c r="R6261" t="s">
        <v>16</v>
      </c>
      <c r="S6261" t="s">
        <v>144</v>
      </c>
      <c r="T6261" s="2">
        <f>MASTER[[#This Row],[CANTIDAD]]*MASTER[[#This Row],[PRECIO DE VENTA]]</f>
        <v>1054</v>
      </c>
      <c r="U6261" s="2">
        <f>MASTER[[#This Row],[CANTIDAD]]*MASTER[[#This Row],[COSTO UNITARIO]]</f>
        <v>442</v>
      </c>
      <c r="V6261" s="2">
        <f>MASTER[[#This Row],[MONTO VENDIDO]]-MASTER[[#This Row],[COSTO DE VENTA]]</f>
        <v>612</v>
      </c>
    </row>
    <row r="6262" spans="1:22" x14ac:dyDescent="0.3">
      <c r="A6262">
        <v>85987</v>
      </c>
      <c r="B6262">
        <v>1</v>
      </c>
      <c r="C6262" t="s">
        <v>118</v>
      </c>
      <c r="D6262" t="s">
        <v>119</v>
      </c>
      <c r="E6262" s="1">
        <v>44507</v>
      </c>
      <c r="F6262">
        <v>1</v>
      </c>
      <c r="G6262" t="s">
        <v>31</v>
      </c>
      <c r="H6262" t="s">
        <v>32</v>
      </c>
      <c r="I6262" s="3">
        <v>900</v>
      </c>
      <c r="J6262" s="3">
        <v>900</v>
      </c>
      <c r="K6262" s="3">
        <v>424</v>
      </c>
      <c r="L6262" t="s">
        <v>120</v>
      </c>
      <c r="M6262">
        <v>4</v>
      </c>
      <c r="N6262" t="s">
        <v>82</v>
      </c>
      <c r="O6262" t="s">
        <v>81</v>
      </c>
      <c r="P6262" t="s">
        <v>71</v>
      </c>
      <c r="Q6262" t="s">
        <v>72</v>
      </c>
      <c r="R6262" t="s">
        <v>139</v>
      </c>
      <c r="S6262" t="s">
        <v>144</v>
      </c>
      <c r="T6262" s="2">
        <f>MASTER[[#This Row],[CANTIDAD]]*MASTER[[#This Row],[PRECIO DE VENTA]]</f>
        <v>900</v>
      </c>
      <c r="U6262" s="2">
        <f>MASTER[[#This Row],[CANTIDAD]]*MASTER[[#This Row],[COSTO UNITARIO]]</f>
        <v>424</v>
      </c>
      <c r="V6262" s="2">
        <f>MASTER[[#This Row],[MONTO VENDIDO]]-MASTER[[#This Row],[COSTO DE VENTA]]</f>
        <v>476</v>
      </c>
    </row>
    <row r="6263" spans="1:22" x14ac:dyDescent="0.3">
      <c r="A6263">
        <v>85988</v>
      </c>
      <c r="B6263">
        <v>1</v>
      </c>
      <c r="C6263" t="s">
        <v>101</v>
      </c>
      <c r="D6263" t="s">
        <v>102</v>
      </c>
      <c r="E6263" s="1">
        <v>44507</v>
      </c>
      <c r="F6263">
        <v>3</v>
      </c>
      <c r="G6263" t="s">
        <v>67</v>
      </c>
      <c r="H6263" t="s">
        <v>68</v>
      </c>
      <c r="I6263" s="3">
        <v>1357</v>
      </c>
      <c r="J6263" s="3">
        <v>1357</v>
      </c>
      <c r="K6263" s="3">
        <v>442</v>
      </c>
      <c r="L6263" t="s">
        <v>98</v>
      </c>
      <c r="M6263">
        <v>18</v>
      </c>
      <c r="N6263" t="s">
        <v>79</v>
      </c>
      <c r="O6263" t="s">
        <v>70</v>
      </c>
      <c r="P6263" t="s">
        <v>15</v>
      </c>
      <c r="Q6263" t="s">
        <v>16</v>
      </c>
      <c r="R6263" t="s">
        <v>16</v>
      </c>
      <c r="S6263" t="s">
        <v>144</v>
      </c>
      <c r="T6263" s="2">
        <f>MASTER[[#This Row],[CANTIDAD]]*MASTER[[#This Row],[PRECIO DE VENTA]]</f>
        <v>4071</v>
      </c>
      <c r="U6263" s="2">
        <f>MASTER[[#This Row],[CANTIDAD]]*MASTER[[#This Row],[COSTO UNITARIO]]</f>
        <v>1326</v>
      </c>
      <c r="V6263" s="2">
        <f>MASTER[[#This Row],[MONTO VENDIDO]]-MASTER[[#This Row],[COSTO DE VENTA]]</f>
        <v>2745</v>
      </c>
    </row>
    <row r="6264" spans="1:22" x14ac:dyDescent="0.3">
      <c r="A6264">
        <v>85997</v>
      </c>
      <c r="B6264">
        <v>1</v>
      </c>
      <c r="C6264" t="s">
        <v>121</v>
      </c>
      <c r="D6264" t="s">
        <v>122</v>
      </c>
      <c r="E6264" s="1">
        <v>44507</v>
      </c>
      <c r="F6264">
        <v>1</v>
      </c>
      <c r="G6264" t="s">
        <v>73</v>
      </c>
      <c r="H6264" t="s">
        <v>74</v>
      </c>
      <c r="I6264" s="3">
        <v>1069</v>
      </c>
      <c r="J6264" s="3">
        <v>1069</v>
      </c>
      <c r="K6264" s="3">
        <v>460</v>
      </c>
      <c r="L6264" t="s">
        <v>120</v>
      </c>
      <c r="M6264">
        <v>5</v>
      </c>
      <c r="N6264" t="s">
        <v>85</v>
      </c>
      <c r="O6264" t="s">
        <v>81</v>
      </c>
      <c r="P6264" t="s">
        <v>12</v>
      </c>
      <c r="Q6264" t="s">
        <v>13</v>
      </c>
      <c r="R6264" t="s">
        <v>13</v>
      </c>
      <c r="S6264" t="s">
        <v>144</v>
      </c>
      <c r="T6264" s="2">
        <f>MASTER[[#This Row],[CANTIDAD]]*MASTER[[#This Row],[PRECIO DE VENTA]]</f>
        <v>1069</v>
      </c>
      <c r="U6264" s="2">
        <f>MASTER[[#This Row],[CANTIDAD]]*MASTER[[#This Row],[COSTO UNITARIO]]</f>
        <v>460</v>
      </c>
      <c r="V6264" s="2">
        <f>MASTER[[#This Row],[MONTO VENDIDO]]-MASTER[[#This Row],[COSTO DE VENTA]]</f>
        <v>609</v>
      </c>
    </row>
    <row r="6265" spans="1:22" x14ac:dyDescent="0.3">
      <c r="A6265">
        <v>86001</v>
      </c>
      <c r="B6265">
        <v>1</v>
      </c>
      <c r="C6265" t="s">
        <v>92</v>
      </c>
      <c r="D6265" t="s">
        <v>93</v>
      </c>
      <c r="E6265" s="1">
        <v>44507</v>
      </c>
      <c r="F6265">
        <v>1</v>
      </c>
      <c r="G6265" t="s">
        <v>31</v>
      </c>
      <c r="H6265" t="s">
        <v>32</v>
      </c>
      <c r="I6265" s="3">
        <v>1866</v>
      </c>
      <c r="J6265" s="3">
        <v>1716</v>
      </c>
      <c r="K6265" s="3">
        <v>396</v>
      </c>
      <c r="L6265" t="s">
        <v>9</v>
      </c>
      <c r="M6265">
        <v>1</v>
      </c>
      <c r="N6265" t="s">
        <v>77</v>
      </c>
      <c r="O6265" t="s">
        <v>70</v>
      </c>
      <c r="P6265" t="s">
        <v>71</v>
      </c>
      <c r="Q6265" t="s">
        <v>72</v>
      </c>
      <c r="R6265" t="s">
        <v>139</v>
      </c>
      <c r="S6265" t="s">
        <v>144</v>
      </c>
      <c r="T6265" s="2">
        <f>MASTER[[#This Row],[CANTIDAD]]*MASTER[[#This Row],[PRECIO DE VENTA]]</f>
        <v>1716</v>
      </c>
      <c r="U6265" s="2">
        <f>MASTER[[#This Row],[CANTIDAD]]*MASTER[[#This Row],[COSTO UNITARIO]]</f>
        <v>396</v>
      </c>
      <c r="V6265" s="2">
        <f>MASTER[[#This Row],[MONTO VENDIDO]]-MASTER[[#This Row],[COSTO DE VENTA]]</f>
        <v>1320</v>
      </c>
    </row>
    <row r="6266" spans="1:22" x14ac:dyDescent="0.3">
      <c r="A6266">
        <v>86008</v>
      </c>
      <c r="B6266">
        <v>1</v>
      </c>
      <c r="C6266" t="s">
        <v>103</v>
      </c>
      <c r="D6266" t="s">
        <v>104</v>
      </c>
      <c r="E6266" s="1">
        <v>44507</v>
      </c>
      <c r="F6266">
        <v>1</v>
      </c>
      <c r="G6266" t="s">
        <v>35</v>
      </c>
      <c r="H6266" t="s">
        <v>36</v>
      </c>
      <c r="I6266" s="3">
        <v>1591</v>
      </c>
      <c r="J6266" s="3">
        <v>1591</v>
      </c>
      <c r="K6266" s="3">
        <v>421</v>
      </c>
      <c r="L6266" t="s">
        <v>98</v>
      </c>
      <c r="M6266">
        <v>5</v>
      </c>
      <c r="N6266" t="s">
        <v>85</v>
      </c>
      <c r="O6266" t="s">
        <v>81</v>
      </c>
      <c r="P6266" t="s">
        <v>12</v>
      </c>
      <c r="Q6266" t="s">
        <v>13</v>
      </c>
      <c r="R6266" t="s">
        <v>13</v>
      </c>
      <c r="S6266" t="s">
        <v>144</v>
      </c>
      <c r="T6266" s="2">
        <f>MASTER[[#This Row],[CANTIDAD]]*MASTER[[#This Row],[PRECIO DE VENTA]]</f>
        <v>1591</v>
      </c>
      <c r="U6266" s="2">
        <f>MASTER[[#This Row],[CANTIDAD]]*MASTER[[#This Row],[COSTO UNITARIO]]</f>
        <v>421</v>
      </c>
      <c r="V6266" s="2">
        <f>MASTER[[#This Row],[MONTO VENDIDO]]-MASTER[[#This Row],[COSTO DE VENTA]]</f>
        <v>1170</v>
      </c>
    </row>
    <row r="6267" spans="1:22" x14ac:dyDescent="0.3">
      <c r="A6267">
        <v>86050</v>
      </c>
      <c r="B6267">
        <v>1</v>
      </c>
      <c r="C6267" t="s">
        <v>114</v>
      </c>
      <c r="D6267" t="s">
        <v>115</v>
      </c>
      <c r="E6267" s="1">
        <v>44507</v>
      </c>
      <c r="F6267">
        <v>1</v>
      </c>
      <c r="G6267" t="s">
        <v>41</v>
      </c>
      <c r="H6267" t="s">
        <v>42</v>
      </c>
      <c r="I6267" s="3">
        <v>2030</v>
      </c>
      <c r="J6267" s="3">
        <v>2030</v>
      </c>
      <c r="K6267" s="3">
        <v>394</v>
      </c>
      <c r="L6267" t="s">
        <v>113</v>
      </c>
      <c r="M6267">
        <v>6</v>
      </c>
      <c r="N6267" t="s">
        <v>75</v>
      </c>
      <c r="O6267" t="s">
        <v>70</v>
      </c>
      <c r="P6267" t="s">
        <v>12</v>
      </c>
      <c r="Q6267" t="s">
        <v>13</v>
      </c>
      <c r="R6267" t="s">
        <v>13</v>
      </c>
      <c r="S6267" t="s">
        <v>144</v>
      </c>
      <c r="T6267" s="2">
        <f>MASTER[[#This Row],[CANTIDAD]]*MASTER[[#This Row],[PRECIO DE VENTA]]</f>
        <v>2030</v>
      </c>
      <c r="U6267" s="2">
        <f>MASTER[[#This Row],[CANTIDAD]]*MASTER[[#This Row],[COSTO UNITARIO]]</f>
        <v>394</v>
      </c>
      <c r="V6267" s="2">
        <f>MASTER[[#This Row],[MONTO VENDIDO]]-MASTER[[#This Row],[COSTO DE VENTA]]</f>
        <v>1636</v>
      </c>
    </row>
    <row r="6268" spans="1:22" x14ac:dyDescent="0.3">
      <c r="A6268">
        <v>86066</v>
      </c>
      <c r="B6268">
        <v>1</v>
      </c>
      <c r="C6268" t="s">
        <v>94</v>
      </c>
      <c r="D6268" t="s">
        <v>95</v>
      </c>
      <c r="E6268" s="1">
        <v>44507</v>
      </c>
      <c r="F6268">
        <v>1</v>
      </c>
      <c r="G6268" t="s">
        <v>20</v>
      </c>
      <c r="H6268" t="s">
        <v>21</v>
      </c>
      <c r="I6268" s="3">
        <v>1153</v>
      </c>
      <c r="J6268" s="3">
        <v>1083</v>
      </c>
      <c r="K6268" s="3">
        <v>392</v>
      </c>
      <c r="L6268" t="s">
        <v>9</v>
      </c>
      <c r="M6268">
        <v>13</v>
      </c>
      <c r="N6268" t="s">
        <v>78</v>
      </c>
      <c r="O6268" t="s">
        <v>70</v>
      </c>
      <c r="P6268" t="s">
        <v>18</v>
      </c>
      <c r="Q6268" t="s">
        <v>19</v>
      </c>
      <c r="R6268" t="s">
        <v>138</v>
      </c>
      <c r="S6268" t="s">
        <v>144</v>
      </c>
      <c r="T6268" s="2">
        <f>MASTER[[#This Row],[CANTIDAD]]*MASTER[[#This Row],[PRECIO DE VENTA]]</f>
        <v>1083</v>
      </c>
      <c r="U6268" s="2">
        <f>MASTER[[#This Row],[CANTIDAD]]*MASTER[[#This Row],[COSTO UNITARIO]]</f>
        <v>392</v>
      </c>
      <c r="V6268" s="2">
        <f>MASTER[[#This Row],[MONTO VENDIDO]]-MASTER[[#This Row],[COSTO DE VENTA]]</f>
        <v>691</v>
      </c>
    </row>
    <row r="6269" spans="1:22" x14ac:dyDescent="0.3">
      <c r="A6269">
        <v>86081</v>
      </c>
      <c r="B6269">
        <v>1</v>
      </c>
      <c r="C6269" t="s">
        <v>90</v>
      </c>
      <c r="D6269" t="s">
        <v>91</v>
      </c>
      <c r="E6269" s="1">
        <v>44507</v>
      </c>
      <c r="F6269">
        <v>1</v>
      </c>
      <c r="G6269" t="s">
        <v>49</v>
      </c>
      <c r="H6269" t="s">
        <v>50</v>
      </c>
      <c r="I6269" s="3">
        <v>1844</v>
      </c>
      <c r="J6269" s="3">
        <v>1678</v>
      </c>
      <c r="K6269" s="3">
        <v>420</v>
      </c>
      <c r="L6269" t="s">
        <v>9</v>
      </c>
      <c r="M6269">
        <v>10</v>
      </c>
      <c r="N6269" t="s">
        <v>83</v>
      </c>
      <c r="O6269" t="s">
        <v>81</v>
      </c>
      <c r="P6269" t="s">
        <v>12</v>
      </c>
      <c r="Q6269" t="s">
        <v>13</v>
      </c>
      <c r="R6269" t="s">
        <v>13</v>
      </c>
      <c r="S6269" t="s">
        <v>144</v>
      </c>
      <c r="T6269" s="2">
        <f>MASTER[[#This Row],[CANTIDAD]]*MASTER[[#This Row],[PRECIO DE VENTA]]</f>
        <v>1678</v>
      </c>
      <c r="U6269" s="2">
        <f>MASTER[[#This Row],[CANTIDAD]]*MASTER[[#This Row],[COSTO UNITARIO]]</f>
        <v>420</v>
      </c>
      <c r="V6269" s="2">
        <f>MASTER[[#This Row],[MONTO VENDIDO]]-MASTER[[#This Row],[COSTO DE VENTA]]</f>
        <v>1258</v>
      </c>
    </row>
    <row r="6270" spans="1:22" x14ac:dyDescent="0.3">
      <c r="A6270">
        <v>86086</v>
      </c>
      <c r="B6270">
        <v>1</v>
      </c>
      <c r="C6270" t="s">
        <v>118</v>
      </c>
      <c r="D6270" t="s">
        <v>119</v>
      </c>
      <c r="E6270" s="1">
        <v>44508</v>
      </c>
      <c r="F6270">
        <v>1</v>
      </c>
      <c r="G6270" t="s">
        <v>22</v>
      </c>
      <c r="H6270" t="s">
        <v>23</v>
      </c>
      <c r="I6270" s="3">
        <v>1026</v>
      </c>
      <c r="J6270" s="3">
        <v>1026</v>
      </c>
      <c r="K6270" s="3">
        <v>424</v>
      </c>
      <c r="L6270" t="s">
        <v>120</v>
      </c>
      <c r="M6270">
        <v>3</v>
      </c>
      <c r="N6270" t="s">
        <v>69</v>
      </c>
      <c r="O6270" t="s">
        <v>70</v>
      </c>
      <c r="P6270" t="s">
        <v>71</v>
      </c>
      <c r="Q6270" t="s">
        <v>72</v>
      </c>
      <c r="R6270" t="s">
        <v>139</v>
      </c>
      <c r="S6270" t="s">
        <v>144</v>
      </c>
      <c r="T6270" s="2">
        <f>MASTER[[#This Row],[CANTIDAD]]*MASTER[[#This Row],[PRECIO DE VENTA]]</f>
        <v>1026</v>
      </c>
      <c r="U6270" s="2">
        <f>MASTER[[#This Row],[CANTIDAD]]*MASTER[[#This Row],[COSTO UNITARIO]]</f>
        <v>424</v>
      </c>
      <c r="V6270" s="2">
        <f>MASTER[[#This Row],[MONTO VENDIDO]]-MASTER[[#This Row],[COSTO DE VENTA]]</f>
        <v>602</v>
      </c>
    </row>
    <row r="6271" spans="1:22" x14ac:dyDescent="0.3">
      <c r="A6271">
        <v>86098</v>
      </c>
      <c r="B6271">
        <v>1</v>
      </c>
      <c r="C6271" t="s">
        <v>114</v>
      </c>
      <c r="D6271" t="s">
        <v>115</v>
      </c>
      <c r="E6271" s="1">
        <v>44508</v>
      </c>
      <c r="F6271">
        <v>1</v>
      </c>
      <c r="G6271" t="s">
        <v>47</v>
      </c>
      <c r="H6271" t="s">
        <v>48</v>
      </c>
      <c r="I6271" s="3">
        <v>1862</v>
      </c>
      <c r="J6271" s="3">
        <v>1862</v>
      </c>
      <c r="K6271" s="3">
        <v>394</v>
      </c>
      <c r="L6271" t="s">
        <v>113</v>
      </c>
      <c r="M6271">
        <v>15</v>
      </c>
      <c r="N6271" t="s">
        <v>88</v>
      </c>
      <c r="O6271" t="s">
        <v>81</v>
      </c>
      <c r="P6271" t="s">
        <v>18</v>
      </c>
      <c r="Q6271" t="s">
        <v>19</v>
      </c>
      <c r="R6271" t="s">
        <v>138</v>
      </c>
      <c r="S6271" t="s">
        <v>144</v>
      </c>
      <c r="T6271" s="2">
        <f>MASTER[[#This Row],[CANTIDAD]]*MASTER[[#This Row],[PRECIO DE VENTA]]</f>
        <v>1862</v>
      </c>
      <c r="U6271" s="2">
        <f>MASTER[[#This Row],[CANTIDAD]]*MASTER[[#This Row],[COSTO UNITARIO]]</f>
        <v>394</v>
      </c>
      <c r="V6271" s="2">
        <f>MASTER[[#This Row],[MONTO VENDIDO]]-MASTER[[#This Row],[COSTO DE VENTA]]</f>
        <v>1468</v>
      </c>
    </row>
    <row r="6272" spans="1:22" x14ac:dyDescent="0.3">
      <c r="A6272">
        <v>86099</v>
      </c>
      <c r="B6272">
        <v>1</v>
      </c>
      <c r="C6272" t="s">
        <v>103</v>
      </c>
      <c r="D6272" t="s">
        <v>104</v>
      </c>
      <c r="E6272" s="1">
        <v>44508</v>
      </c>
      <c r="F6272">
        <v>4</v>
      </c>
      <c r="G6272" t="s">
        <v>35</v>
      </c>
      <c r="H6272" t="s">
        <v>36</v>
      </c>
      <c r="I6272" s="3">
        <v>1448</v>
      </c>
      <c r="J6272" s="3">
        <v>1303</v>
      </c>
      <c r="K6272" s="3">
        <v>421</v>
      </c>
      <c r="L6272" t="s">
        <v>98</v>
      </c>
      <c r="M6272">
        <v>12</v>
      </c>
      <c r="N6272" t="s">
        <v>26</v>
      </c>
      <c r="O6272" t="s">
        <v>11</v>
      </c>
      <c r="P6272" t="s">
        <v>12</v>
      </c>
      <c r="Q6272" t="s">
        <v>13</v>
      </c>
      <c r="R6272" t="s">
        <v>13</v>
      </c>
      <c r="S6272" t="s">
        <v>144</v>
      </c>
      <c r="T6272" s="2">
        <f>MASTER[[#This Row],[CANTIDAD]]*MASTER[[#This Row],[PRECIO DE VENTA]]</f>
        <v>5212</v>
      </c>
      <c r="U6272" s="2">
        <f>MASTER[[#This Row],[CANTIDAD]]*MASTER[[#This Row],[COSTO UNITARIO]]</f>
        <v>1684</v>
      </c>
      <c r="V6272" s="2">
        <f>MASTER[[#This Row],[MONTO VENDIDO]]-MASTER[[#This Row],[COSTO DE VENTA]]</f>
        <v>3528</v>
      </c>
    </row>
    <row r="6273" spans="1:22" x14ac:dyDescent="0.3">
      <c r="A6273">
        <v>86102</v>
      </c>
      <c r="B6273">
        <v>1</v>
      </c>
      <c r="C6273" t="s">
        <v>103</v>
      </c>
      <c r="D6273" t="s">
        <v>104</v>
      </c>
      <c r="E6273" s="1">
        <v>44508</v>
      </c>
      <c r="F6273">
        <v>1</v>
      </c>
      <c r="G6273" t="s">
        <v>20</v>
      </c>
      <c r="H6273" t="s">
        <v>21</v>
      </c>
      <c r="I6273" s="3">
        <v>1830</v>
      </c>
      <c r="J6273" s="3">
        <v>1830</v>
      </c>
      <c r="K6273" s="3">
        <v>421</v>
      </c>
      <c r="L6273" t="s">
        <v>98</v>
      </c>
      <c r="M6273">
        <v>3</v>
      </c>
      <c r="N6273" t="s">
        <v>69</v>
      </c>
      <c r="O6273" t="s">
        <v>70</v>
      </c>
      <c r="P6273" t="s">
        <v>71</v>
      </c>
      <c r="Q6273" t="s">
        <v>72</v>
      </c>
      <c r="R6273" t="s">
        <v>139</v>
      </c>
      <c r="S6273" t="s">
        <v>144</v>
      </c>
      <c r="T6273" s="2">
        <f>MASTER[[#This Row],[CANTIDAD]]*MASTER[[#This Row],[PRECIO DE VENTA]]</f>
        <v>1830</v>
      </c>
      <c r="U6273" s="2">
        <f>MASTER[[#This Row],[CANTIDAD]]*MASTER[[#This Row],[COSTO UNITARIO]]</f>
        <v>421</v>
      </c>
      <c r="V6273" s="2">
        <f>MASTER[[#This Row],[MONTO VENDIDO]]-MASTER[[#This Row],[COSTO DE VENTA]]</f>
        <v>1409</v>
      </c>
    </row>
    <row r="6274" spans="1:22" x14ac:dyDescent="0.3">
      <c r="A6274">
        <v>86133</v>
      </c>
      <c r="B6274">
        <v>1</v>
      </c>
      <c r="C6274" t="s">
        <v>99</v>
      </c>
      <c r="D6274" t="s">
        <v>100</v>
      </c>
      <c r="E6274" s="1">
        <v>44508</v>
      </c>
      <c r="F6274">
        <v>1</v>
      </c>
      <c r="G6274" t="s">
        <v>20</v>
      </c>
      <c r="H6274" t="s">
        <v>21</v>
      </c>
      <c r="I6274" s="3">
        <v>1459</v>
      </c>
      <c r="J6274" s="3">
        <v>1459</v>
      </c>
      <c r="K6274" s="3">
        <v>386</v>
      </c>
      <c r="L6274" t="s">
        <v>98</v>
      </c>
      <c r="M6274">
        <v>7</v>
      </c>
      <c r="N6274" t="s">
        <v>84</v>
      </c>
      <c r="O6274" t="s">
        <v>81</v>
      </c>
      <c r="P6274" t="s">
        <v>12</v>
      </c>
      <c r="Q6274" t="s">
        <v>13</v>
      </c>
      <c r="R6274" t="s">
        <v>13</v>
      </c>
      <c r="S6274" t="s">
        <v>144</v>
      </c>
      <c r="T6274" s="2">
        <f>MASTER[[#This Row],[CANTIDAD]]*MASTER[[#This Row],[PRECIO DE VENTA]]</f>
        <v>1459</v>
      </c>
      <c r="U6274" s="2">
        <f>MASTER[[#This Row],[CANTIDAD]]*MASTER[[#This Row],[COSTO UNITARIO]]</f>
        <v>386</v>
      </c>
      <c r="V6274" s="2">
        <f>MASTER[[#This Row],[MONTO VENDIDO]]-MASTER[[#This Row],[COSTO DE VENTA]]</f>
        <v>1073</v>
      </c>
    </row>
    <row r="6275" spans="1:22" x14ac:dyDescent="0.3">
      <c r="A6275">
        <v>86137</v>
      </c>
      <c r="B6275">
        <v>1</v>
      </c>
      <c r="C6275" t="s">
        <v>90</v>
      </c>
      <c r="D6275" t="s">
        <v>91</v>
      </c>
      <c r="E6275" s="1">
        <v>44508</v>
      </c>
      <c r="F6275">
        <v>1</v>
      </c>
      <c r="G6275" t="s">
        <v>53</v>
      </c>
      <c r="H6275" t="s">
        <v>54</v>
      </c>
      <c r="I6275" s="3">
        <v>1844</v>
      </c>
      <c r="J6275" s="3">
        <v>1844</v>
      </c>
      <c r="K6275" s="3">
        <v>420</v>
      </c>
      <c r="L6275" t="s">
        <v>9</v>
      </c>
      <c r="M6275">
        <v>2</v>
      </c>
      <c r="N6275" t="s">
        <v>86</v>
      </c>
      <c r="O6275" t="s">
        <v>81</v>
      </c>
      <c r="P6275" t="s">
        <v>71</v>
      </c>
      <c r="Q6275" t="s">
        <v>72</v>
      </c>
      <c r="R6275" t="s">
        <v>139</v>
      </c>
      <c r="S6275" t="s">
        <v>144</v>
      </c>
      <c r="T6275" s="2">
        <f>MASTER[[#This Row],[CANTIDAD]]*MASTER[[#This Row],[PRECIO DE VENTA]]</f>
        <v>1844</v>
      </c>
      <c r="U6275" s="2">
        <f>MASTER[[#This Row],[CANTIDAD]]*MASTER[[#This Row],[COSTO UNITARIO]]</f>
        <v>420</v>
      </c>
      <c r="V6275" s="2">
        <f>MASTER[[#This Row],[MONTO VENDIDO]]-MASTER[[#This Row],[COSTO DE VENTA]]</f>
        <v>1424</v>
      </c>
    </row>
    <row r="6276" spans="1:22" x14ac:dyDescent="0.3">
      <c r="A6276">
        <v>86145</v>
      </c>
      <c r="B6276">
        <v>1</v>
      </c>
      <c r="C6276" t="s">
        <v>109</v>
      </c>
      <c r="D6276" t="s">
        <v>110</v>
      </c>
      <c r="E6276" s="1">
        <v>44508</v>
      </c>
      <c r="F6276">
        <v>1</v>
      </c>
      <c r="G6276" t="s">
        <v>45</v>
      </c>
      <c r="H6276" t="s">
        <v>46</v>
      </c>
      <c r="I6276" s="3">
        <v>1128</v>
      </c>
      <c r="J6276" s="3">
        <v>1128</v>
      </c>
      <c r="K6276" s="3">
        <v>387</v>
      </c>
      <c r="L6276" t="s">
        <v>98</v>
      </c>
      <c r="M6276">
        <v>9</v>
      </c>
      <c r="N6276" t="s">
        <v>76</v>
      </c>
      <c r="O6276" t="s">
        <v>70</v>
      </c>
      <c r="P6276" t="s">
        <v>12</v>
      </c>
      <c r="Q6276" t="s">
        <v>13</v>
      </c>
      <c r="R6276" t="s">
        <v>13</v>
      </c>
      <c r="S6276" t="s">
        <v>144</v>
      </c>
      <c r="T6276" s="2">
        <f>MASTER[[#This Row],[CANTIDAD]]*MASTER[[#This Row],[PRECIO DE VENTA]]</f>
        <v>1128</v>
      </c>
      <c r="U6276" s="2">
        <f>MASTER[[#This Row],[CANTIDAD]]*MASTER[[#This Row],[COSTO UNITARIO]]</f>
        <v>387</v>
      </c>
      <c r="V6276" s="2">
        <f>MASTER[[#This Row],[MONTO VENDIDO]]-MASTER[[#This Row],[COSTO DE VENTA]]</f>
        <v>741</v>
      </c>
    </row>
    <row r="6277" spans="1:22" x14ac:dyDescent="0.3">
      <c r="A6277">
        <v>86164</v>
      </c>
      <c r="B6277">
        <v>1</v>
      </c>
      <c r="C6277" t="s">
        <v>116</v>
      </c>
      <c r="D6277" t="s">
        <v>117</v>
      </c>
      <c r="E6277" s="1">
        <v>44509</v>
      </c>
      <c r="F6277">
        <v>3</v>
      </c>
      <c r="G6277" t="s">
        <v>37</v>
      </c>
      <c r="H6277" t="s">
        <v>38</v>
      </c>
      <c r="I6277" s="3">
        <v>1738</v>
      </c>
      <c r="J6277" s="3">
        <v>1738</v>
      </c>
      <c r="K6277" s="3">
        <v>388</v>
      </c>
      <c r="L6277" t="s">
        <v>113</v>
      </c>
      <c r="M6277">
        <v>15</v>
      </c>
      <c r="N6277" t="s">
        <v>88</v>
      </c>
      <c r="O6277" t="s">
        <v>81</v>
      </c>
      <c r="P6277" t="s">
        <v>18</v>
      </c>
      <c r="Q6277" t="s">
        <v>19</v>
      </c>
      <c r="R6277" t="s">
        <v>138</v>
      </c>
      <c r="S6277" t="s">
        <v>144</v>
      </c>
      <c r="T6277" s="2">
        <f>MASTER[[#This Row],[CANTIDAD]]*MASTER[[#This Row],[PRECIO DE VENTA]]</f>
        <v>5214</v>
      </c>
      <c r="U6277" s="2">
        <f>MASTER[[#This Row],[CANTIDAD]]*MASTER[[#This Row],[COSTO UNITARIO]]</f>
        <v>1164</v>
      </c>
      <c r="V6277" s="2">
        <f>MASTER[[#This Row],[MONTO VENDIDO]]-MASTER[[#This Row],[COSTO DE VENTA]]</f>
        <v>4050</v>
      </c>
    </row>
    <row r="6278" spans="1:22" x14ac:dyDescent="0.3">
      <c r="A6278">
        <v>86167</v>
      </c>
      <c r="B6278">
        <v>1</v>
      </c>
      <c r="C6278" t="s">
        <v>109</v>
      </c>
      <c r="D6278" t="s">
        <v>110</v>
      </c>
      <c r="E6278" s="1">
        <v>44509</v>
      </c>
      <c r="F6278">
        <v>1</v>
      </c>
      <c r="G6278" t="s">
        <v>67</v>
      </c>
      <c r="H6278" t="s">
        <v>68</v>
      </c>
      <c r="I6278" s="3">
        <v>1064</v>
      </c>
      <c r="J6278" s="3">
        <v>1064</v>
      </c>
      <c r="K6278" s="3">
        <v>387</v>
      </c>
      <c r="L6278" t="s">
        <v>98</v>
      </c>
      <c r="M6278">
        <v>5</v>
      </c>
      <c r="N6278" t="s">
        <v>85</v>
      </c>
      <c r="O6278" t="s">
        <v>81</v>
      </c>
      <c r="P6278" t="s">
        <v>12</v>
      </c>
      <c r="Q6278" t="s">
        <v>13</v>
      </c>
      <c r="R6278" t="s">
        <v>13</v>
      </c>
      <c r="S6278" t="s">
        <v>144</v>
      </c>
      <c r="T6278" s="2">
        <f>MASTER[[#This Row],[CANTIDAD]]*MASTER[[#This Row],[PRECIO DE VENTA]]</f>
        <v>1064</v>
      </c>
      <c r="U6278" s="2">
        <f>MASTER[[#This Row],[CANTIDAD]]*MASTER[[#This Row],[COSTO UNITARIO]]</f>
        <v>387</v>
      </c>
      <c r="V6278" s="2">
        <f>MASTER[[#This Row],[MONTO VENDIDO]]-MASTER[[#This Row],[COSTO DE VENTA]]</f>
        <v>677</v>
      </c>
    </row>
    <row r="6279" spans="1:22" x14ac:dyDescent="0.3">
      <c r="A6279">
        <v>86184</v>
      </c>
      <c r="B6279">
        <v>1</v>
      </c>
      <c r="C6279" t="s">
        <v>109</v>
      </c>
      <c r="D6279" t="s">
        <v>110</v>
      </c>
      <c r="E6279" s="1">
        <v>44509</v>
      </c>
      <c r="F6279">
        <v>1</v>
      </c>
      <c r="G6279" t="s">
        <v>73</v>
      </c>
      <c r="H6279" t="s">
        <v>74</v>
      </c>
      <c r="I6279" s="3">
        <v>947</v>
      </c>
      <c r="J6279" s="3">
        <v>947</v>
      </c>
      <c r="K6279" s="3">
        <v>387</v>
      </c>
      <c r="L6279" t="s">
        <v>98</v>
      </c>
      <c r="M6279">
        <v>12</v>
      </c>
      <c r="N6279" t="s">
        <v>26</v>
      </c>
      <c r="O6279" t="s">
        <v>11</v>
      </c>
      <c r="P6279" t="s">
        <v>12</v>
      </c>
      <c r="Q6279" t="s">
        <v>13</v>
      </c>
      <c r="R6279" t="s">
        <v>13</v>
      </c>
      <c r="S6279" t="s">
        <v>144</v>
      </c>
      <c r="T6279" s="2">
        <f>MASTER[[#This Row],[CANTIDAD]]*MASTER[[#This Row],[PRECIO DE VENTA]]</f>
        <v>947</v>
      </c>
      <c r="U6279" s="2">
        <f>MASTER[[#This Row],[CANTIDAD]]*MASTER[[#This Row],[COSTO UNITARIO]]</f>
        <v>387</v>
      </c>
      <c r="V6279" s="2">
        <f>MASTER[[#This Row],[MONTO VENDIDO]]-MASTER[[#This Row],[COSTO DE VENTA]]</f>
        <v>560</v>
      </c>
    </row>
    <row r="6280" spans="1:22" x14ac:dyDescent="0.3">
      <c r="A6280">
        <v>86186</v>
      </c>
      <c r="B6280">
        <v>1</v>
      </c>
      <c r="C6280" t="s">
        <v>90</v>
      </c>
      <c r="D6280" t="s">
        <v>91</v>
      </c>
      <c r="E6280" s="1">
        <v>44509</v>
      </c>
      <c r="F6280">
        <v>4</v>
      </c>
      <c r="G6280" t="s">
        <v>24</v>
      </c>
      <c r="H6280" t="s">
        <v>25</v>
      </c>
      <c r="I6280" s="3">
        <v>2102</v>
      </c>
      <c r="J6280" s="3">
        <v>2102</v>
      </c>
      <c r="K6280" s="3">
        <v>420</v>
      </c>
      <c r="L6280" t="s">
        <v>9</v>
      </c>
      <c r="M6280">
        <v>6</v>
      </c>
      <c r="N6280" t="s">
        <v>75</v>
      </c>
      <c r="O6280" t="s">
        <v>70</v>
      </c>
      <c r="P6280" t="s">
        <v>12</v>
      </c>
      <c r="Q6280" t="s">
        <v>13</v>
      </c>
      <c r="R6280" t="s">
        <v>13</v>
      </c>
      <c r="S6280" t="s">
        <v>144</v>
      </c>
      <c r="T6280" s="2">
        <f>MASTER[[#This Row],[CANTIDAD]]*MASTER[[#This Row],[PRECIO DE VENTA]]</f>
        <v>8408</v>
      </c>
      <c r="U6280" s="2">
        <f>MASTER[[#This Row],[CANTIDAD]]*MASTER[[#This Row],[COSTO UNITARIO]]</f>
        <v>1680</v>
      </c>
      <c r="V6280" s="2">
        <f>MASTER[[#This Row],[MONTO VENDIDO]]-MASTER[[#This Row],[COSTO DE VENTA]]</f>
        <v>6728</v>
      </c>
    </row>
    <row r="6281" spans="1:22" x14ac:dyDescent="0.3">
      <c r="A6281">
        <v>86188</v>
      </c>
      <c r="B6281">
        <v>1</v>
      </c>
      <c r="C6281" t="s">
        <v>109</v>
      </c>
      <c r="D6281" t="s">
        <v>110</v>
      </c>
      <c r="E6281" s="1">
        <v>44509</v>
      </c>
      <c r="F6281">
        <v>3</v>
      </c>
      <c r="G6281" t="s">
        <v>35</v>
      </c>
      <c r="H6281" t="s">
        <v>36</v>
      </c>
      <c r="I6281" s="3">
        <v>947</v>
      </c>
      <c r="J6281" s="3">
        <v>947</v>
      </c>
      <c r="K6281" s="3">
        <v>387</v>
      </c>
      <c r="L6281" t="s">
        <v>98</v>
      </c>
      <c r="M6281">
        <v>16</v>
      </c>
      <c r="N6281" t="s">
        <v>17</v>
      </c>
      <c r="O6281" t="s">
        <v>11</v>
      </c>
      <c r="P6281" t="s">
        <v>18</v>
      </c>
      <c r="Q6281" t="s">
        <v>19</v>
      </c>
      <c r="R6281" t="s">
        <v>138</v>
      </c>
      <c r="S6281" t="s">
        <v>144</v>
      </c>
      <c r="T6281" s="2">
        <f>MASTER[[#This Row],[CANTIDAD]]*MASTER[[#This Row],[PRECIO DE VENTA]]</f>
        <v>2841</v>
      </c>
      <c r="U6281" s="2">
        <f>MASTER[[#This Row],[CANTIDAD]]*MASTER[[#This Row],[COSTO UNITARIO]]</f>
        <v>1161</v>
      </c>
      <c r="V6281" s="2">
        <f>MASTER[[#This Row],[MONTO VENDIDO]]-MASTER[[#This Row],[COSTO DE VENTA]]</f>
        <v>1680</v>
      </c>
    </row>
    <row r="6282" spans="1:22" x14ac:dyDescent="0.3">
      <c r="A6282">
        <v>86224</v>
      </c>
      <c r="B6282">
        <v>1</v>
      </c>
      <c r="C6282" t="s">
        <v>90</v>
      </c>
      <c r="D6282" t="s">
        <v>91</v>
      </c>
      <c r="E6282" s="1">
        <v>44509</v>
      </c>
      <c r="F6282">
        <v>1</v>
      </c>
      <c r="G6282" t="s">
        <v>63</v>
      </c>
      <c r="H6282" t="s">
        <v>64</v>
      </c>
      <c r="I6282" s="3">
        <v>2102</v>
      </c>
      <c r="J6282" s="3">
        <v>2102</v>
      </c>
      <c r="K6282" s="3">
        <v>420</v>
      </c>
      <c r="L6282" t="s">
        <v>9</v>
      </c>
      <c r="M6282">
        <v>13</v>
      </c>
      <c r="N6282" t="s">
        <v>78</v>
      </c>
      <c r="O6282" t="s">
        <v>70</v>
      </c>
      <c r="P6282" t="s">
        <v>18</v>
      </c>
      <c r="Q6282" t="s">
        <v>19</v>
      </c>
      <c r="R6282" t="s">
        <v>138</v>
      </c>
      <c r="S6282" t="s">
        <v>144</v>
      </c>
      <c r="T6282" s="2">
        <f>MASTER[[#This Row],[CANTIDAD]]*MASTER[[#This Row],[PRECIO DE VENTA]]</f>
        <v>2102</v>
      </c>
      <c r="U6282" s="2">
        <f>MASTER[[#This Row],[CANTIDAD]]*MASTER[[#This Row],[COSTO UNITARIO]]</f>
        <v>420</v>
      </c>
      <c r="V6282" s="2">
        <f>MASTER[[#This Row],[MONTO VENDIDO]]-MASTER[[#This Row],[COSTO DE VENTA]]</f>
        <v>1682</v>
      </c>
    </row>
    <row r="6283" spans="1:22" x14ac:dyDescent="0.3">
      <c r="A6283">
        <v>86244</v>
      </c>
      <c r="B6283">
        <v>1</v>
      </c>
      <c r="C6283" t="s">
        <v>99</v>
      </c>
      <c r="D6283" t="s">
        <v>100</v>
      </c>
      <c r="E6283" s="1">
        <v>44509</v>
      </c>
      <c r="F6283">
        <v>1</v>
      </c>
      <c r="G6283" t="s">
        <v>43</v>
      </c>
      <c r="H6283" t="s">
        <v>44</v>
      </c>
      <c r="I6283" s="3">
        <v>1459</v>
      </c>
      <c r="J6283" s="3">
        <v>1459</v>
      </c>
      <c r="K6283" s="3">
        <v>386</v>
      </c>
      <c r="L6283" t="s">
        <v>98</v>
      </c>
      <c r="M6283">
        <v>14</v>
      </c>
      <c r="N6283" t="s">
        <v>87</v>
      </c>
      <c r="O6283" t="s">
        <v>81</v>
      </c>
      <c r="P6283" t="s">
        <v>18</v>
      </c>
      <c r="Q6283" t="s">
        <v>19</v>
      </c>
      <c r="R6283" t="s">
        <v>138</v>
      </c>
      <c r="S6283" t="s">
        <v>144</v>
      </c>
      <c r="T6283" s="2">
        <f>MASTER[[#This Row],[CANTIDAD]]*MASTER[[#This Row],[PRECIO DE VENTA]]</f>
        <v>1459</v>
      </c>
      <c r="U6283" s="2">
        <f>MASTER[[#This Row],[CANTIDAD]]*MASTER[[#This Row],[COSTO UNITARIO]]</f>
        <v>386</v>
      </c>
      <c r="V6283" s="2">
        <f>MASTER[[#This Row],[MONTO VENDIDO]]-MASTER[[#This Row],[COSTO DE VENTA]]</f>
        <v>1073</v>
      </c>
    </row>
    <row r="6284" spans="1:22" x14ac:dyDescent="0.3">
      <c r="A6284">
        <v>86260</v>
      </c>
      <c r="B6284">
        <v>1</v>
      </c>
      <c r="C6284" t="s">
        <v>111</v>
      </c>
      <c r="D6284" t="s">
        <v>112</v>
      </c>
      <c r="E6284" s="1">
        <v>44509</v>
      </c>
      <c r="F6284">
        <v>1</v>
      </c>
      <c r="G6284" t="s">
        <v>73</v>
      </c>
      <c r="H6284" t="s">
        <v>74</v>
      </c>
      <c r="I6284" s="3">
        <v>1621</v>
      </c>
      <c r="J6284" s="3">
        <v>1621</v>
      </c>
      <c r="K6284" s="3">
        <v>434</v>
      </c>
      <c r="L6284" t="s">
        <v>113</v>
      </c>
      <c r="M6284">
        <v>5</v>
      </c>
      <c r="N6284" t="s">
        <v>85</v>
      </c>
      <c r="O6284" t="s">
        <v>81</v>
      </c>
      <c r="P6284" t="s">
        <v>12</v>
      </c>
      <c r="Q6284" t="s">
        <v>13</v>
      </c>
      <c r="R6284" t="s">
        <v>13</v>
      </c>
      <c r="S6284" t="s">
        <v>144</v>
      </c>
      <c r="T6284" s="2">
        <f>MASTER[[#This Row],[CANTIDAD]]*MASTER[[#This Row],[PRECIO DE VENTA]]</f>
        <v>1621</v>
      </c>
      <c r="U6284" s="2">
        <f>MASTER[[#This Row],[CANTIDAD]]*MASTER[[#This Row],[COSTO UNITARIO]]</f>
        <v>434</v>
      </c>
      <c r="V6284" s="2">
        <f>MASTER[[#This Row],[MONTO VENDIDO]]-MASTER[[#This Row],[COSTO DE VENTA]]</f>
        <v>1187</v>
      </c>
    </row>
    <row r="6285" spans="1:22" x14ac:dyDescent="0.3">
      <c r="A6285">
        <v>86262</v>
      </c>
      <c r="B6285">
        <v>1</v>
      </c>
      <c r="C6285" t="s">
        <v>5</v>
      </c>
      <c r="D6285" t="s">
        <v>6</v>
      </c>
      <c r="E6285" s="1">
        <v>44510</v>
      </c>
      <c r="F6285">
        <v>1</v>
      </c>
      <c r="G6285" t="s">
        <v>65</v>
      </c>
      <c r="H6285" t="s">
        <v>66</v>
      </c>
      <c r="I6285" s="3">
        <v>1296</v>
      </c>
      <c r="J6285" s="3">
        <v>1296</v>
      </c>
      <c r="K6285" s="3">
        <v>393</v>
      </c>
      <c r="L6285" t="s">
        <v>9</v>
      </c>
      <c r="M6285">
        <v>3</v>
      </c>
      <c r="N6285" t="s">
        <v>69</v>
      </c>
      <c r="O6285" t="s">
        <v>70</v>
      </c>
      <c r="P6285" t="s">
        <v>71</v>
      </c>
      <c r="Q6285" t="s">
        <v>72</v>
      </c>
      <c r="R6285" t="s">
        <v>139</v>
      </c>
      <c r="S6285" t="s">
        <v>144</v>
      </c>
      <c r="T6285" s="2">
        <f>MASTER[[#This Row],[CANTIDAD]]*MASTER[[#This Row],[PRECIO DE VENTA]]</f>
        <v>1296</v>
      </c>
      <c r="U6285" s="2">
        <f>MASTER[[#This Row],[CANTIDAD]]*MASTER[[#This Row],[COSTO UNITARIO]]</f>
        <v>393</v>
      </c>
      <c r="V6285" s="2">
        <f>MASTER[[#This Row],[MONTO VENDIDO]]-MASTER[[#This Row],[COSTO DE VENTA]]</f>
        <v>903</v>
      </c>
    </row>
    <row r="6286" spans="1:22" x14ac:dyDescent="0.3">
      <c r="A6286">
        <v>86265</v>
      </c>
      <c r="B6286">
        <v>1</v>
      </c>
      <c r="C6286" t="s">
        <v>118</v>
      </c>
      <c r="D6286" t="s">
        <v>119</v>
      </c>
      <c r="E6286" s="1">
        <v>44510</v>
      </c>
      <c r="F6286">
        <v>1</v>
      </c>
      <c r="G6286" t="s">
        <v>7</v>
      </c>
      <c r="H6286" t="s">
        <v>8</v>
      </c>
      <c r="I6286" s="3">
        <v>1026</v>
      </c>
      <c r="J6286" s="3">
        <v>1026</v>
      </c>
      <c r="K6286" s="3">
        <v>424</v>
      </c>
      <c r="L6286" t="s">
        <v>120</v>
      </c>
      <c r="M6286">
        <v>9</v>
      </c>
      <c r="N6286" t="s">
        <v>76</v>
      </c>
      <c r="O6286" t="s">
        <v>70</v>
      </c>
      <c r="P6286" t="s">
        <v>12</v>
      </c>
      <c r="Q6286" t="s">
        <v>13</v>
      </c>
      <c r="R6286" t="s">
        <v>13</v>
      </c>
      <c r="S6286" t="s">
        <v>144</v>
      </c>
      <c r="T6286" s="2">
        <f>MASTER[[#This Row],[CANTIDAD]]*MASTER[[#This Row],[PRECIO DE VENTA]]</f>
        <v>1026</v>
      </c>
      <c r="U6286" s="2">
        <f>MASTER[[#This Row],[CANTIDAD]]*MASTER[[#This Row],[COSTO UNITARIO]]</f>
        <v>424</v>
      </c>
      <c r="V6286" s="2">
        <f>MASTER[[#This Row],[MONTO VENDIDO]]-MASTER[[#This Row],[COSTO DE VENTA]]</f>
        <v>602</v>
      </c>
    </row>
    <row r="6287" spans="1:22" x14ac:dyDescent="0.3">
      <c r="A6287">
        <v>86268</v>
      </c>
      <c r="B6287">
        <v>1</v>
      </c>
      <c r="C6287" t="s">
        <v>90</v>
      </c>
      <c r="D6287" t="s">
        <v>91</v>
      </c>
      <c r="E6287" s="1">
        <v>44510</v>
      </c>
      <c r="F6287">
        <v>1</v>
      </c>
      <c r="G6287" t="s">
        <v>43</v>
      </c>
      <c r="H6287" t="s">
        <v>44</v>
      </c>
      <c r="I6287" s="3">
        <v>1844</v>
      </c>
      <c r="J6287" s="3">
        <v>1696</v>
      </c>
      <c r="K6287" s="3">
        <v>420</v>
      </c>
      <c r="L6287" t="s">
        <v>9</v>
      </c>
      <c r="M6287">
        <v>15</v>
      </c>
      <c r="N6287" t="s">
        <v>88</v>
      </c>
      <c r="O6287" t="s">
        <v>81</v>
      </c>
      <c r="P6287" t="s">
        <v>18</v>
      </c>
      <c r="Q6287" t="s">
        <v>19</v>
      </c>
      <c r="R6287" t="s">
        <v>138</v>
      </c>
      <c r="S6287" t="s">
        <v>144</v>
      </c>
      <c r="T6287" s="2">
        <f>MASTER[[#This Row],[CANTIDAD]]*MASTER[[#This Row],[PRECIO DE VENTA]]</f>
        <v>1696</v>
      </c>
      <c r="U6287" s="2">
        <f>MASTER[[#This Row],[CANTIDAD]]*MASTER[[#This Row],[COSTO UNITARIO]]</f>
        <v>420</v>
      </c>
      <c r="V6287" s="2">
        <f>MASTER[[#This Row],[MONTO VENDIDO]]-MASTER[[#This Row],[COSTO DE VENTA]]</f>
        <v>1276</v>
      </c>
    </row>
    <row r="6288" spans="1:22" x14ac:dyDescent="0.3">
      <c r="A6288">
        <v>86280</v>
      </c>
      <c r="B6288">
        <v>1</v>
      </c>
      <c r="C6288" t="s">
        <v>114</v>
      </c>
      <c r="D6288" t="s">
        <v>115</v>
      </c>
      <c r="E6288" s="1">
        <v>44511</v>
      </c>
      <c r="F6288">
        <v>1</v>
      </c>
      <c r="G6288" t="s">
        <v>47</v>
      </c>
      <c r="H6288" t="s">
        <v>48</v>
      </c>
      <c r="I6288" s="3">
        <v>2030</v>
      </c>
      <c r="J6288" s="3">
        <v>2030</v>
      </c>
      <c r="K6288" s="3">
        <v>394</v>
      </c>
      <c r="L6288" t="s">
        <v>113</v>
      </c>
      <c r="M6288">
        <v>9</v>
      </c>
      <c r="N6288" t="s">
        <v>76</v>
      </c>
      <c r="O6288" t="s">
        <v>70</v>
      </c>
      <c r="P6288" t="s">
        <v>12</v>
      </c>
      <c r="Q6288" t="s">
        <v>13</v>
      </c>
      <c r="R6288" t="s">
        <v>13</v>
      </c>
      <c r="S6288" t="s">
        <v>144</v>
      </c>
      <c r="T6288" s="2">
        <f>MASTER[[#This Row],[CANTIDAD]]*MASTER[[#This Row],[PRECIO DE VENTA]]</f>
        <v>2030</v>
      </c>
      <c r="U6288" s="2">
        <f>MASTER[[#This Row],[CANTIDAD]]*MASTER[[#This Row],[COSTO UNITARIO]]</f>
        <v>394</v>
      </c>
      <c r="V6288" s="2">
        <f>MASTER[[#This Row],[MONTO VENDIDO]]-MASTER[[#This Row],[COSTO DE VENTA]]</f>
        <v>1636</v>
      </c>
    </row>
    <row r="6289" spans="1:22" x14ac:dyDescent="0.3">
      <c r="A6289">
        <v>86290</v>
      </c>
      <c r="B6289">
        <v>1</v>
      </c>
      <c r="C6289" t="s">
        <v>92</v>
      </c>
      <c r="D6289" t="s">
        <v>93</v>
      </c>
      <c r="E6289" s="1">
        <v>44511</v>
      </c>
      <c r="F6289">
        <v>1</v>
      </c>
      <c r="G6289" t="s">
        <v>61</v>
      </c>
      <c r="H6289" t="s">
        <v>62</v>
      </c>
      <c r="I6289" s="3">
        <v>1681</v>
      </c>
      <c r="J6289" s="3">
        <v>1681</v>
      </c>
      <c r="K6289" s="3">
        <v>396</v>
      </c>
      <c r="L6289" t="s">
        <v>9</v>
      </c>
      <c r="M6289">
        <v>10</v>
      </c>
      <c r="N6289" t="s">
        <v>83</v>
      </c>
      <c r="O6289" t="s">
        <v>81</v>
      </c>
      <c r="P6289" t="s">
        <v>12</v>
      </c>
      <c r="Q6289" t="s">
        <v>13</v>
      </c>
      <c r="R6289" t="s">
        <v>13</v>
      </c>
      <c r="S6289" t="s">
        <v>144</v>
      </c>
      <c r="T6289" s="2">
        <f>MASTER[[#This Row],[CANTIDAD]]*MASTER[[#This Row],[PRECIO DE VENTA]]</f>
        <v>1681</v>
      </c>
      <c r="U6289" s="2">
        <f>MASTER[[#This Row],[CANTIDAD]]*MASTER[[#This Row],[COSTO UNITARIO]]</f>
        <v>396</v>
      </c>
      <c r="V6289" s="2">
        <f>MASTER[[#This Row],[MONTO VENDIDO]]-MASTER[[#This Row],[COSTO DE VENTA]]</f>
        <v>1285</v>
      </c>
    </row>
    <row r="6290" spans="1:22" x14ac:dyDescent="0.3">
      <c r="A6290">
        <v>86294</v>
      </c>
      <c r="B6290">
        <v>1</v>
      </c>
      <c r="C6290" t="s">
        <v>105</v>
      </c>
      <c r="D6290" t="s">
        <v>106</v>
      </c>
      <c r="E6290" s="1">
        <v>44511</v>
      </c>
      <c r="F6290">
        <v>4</v>
      </c>
      <c r="G6290" t="s">
        <v>27</v>
      </c>
      <c r="H6290" t="s">
        <v>28</v>
      </c>
      <c r="I6290" s="3">
        <v>1865</v>
      </c>
      <c r="J6290" s="3">
        <v>1865</v>
      </c>
      <c r="K6290" s="3">
        <v>459</v>
      </c>
      <c r="L6290" t="s">
        <v>98</v>
      </c>
      <c r="M6290">
        <v>19</v>
      </c>
      <c r="N6290" t="s">
        <v>89</v>
      </c>
      <c r="O6290" t="s">
        <v>81</v>
      </c>
      <c r="P6290" t="s">
        <v>15</v>
      </c>
      <c r="Q6290" t="s">
        <v>16</v>
      </c>
      <c r="R6290" t="s">
        <v>16</v>
      </c>
      <c r="S6290" t="s">
        <v>144</v>
      </c>
      <c r="T6290" s="2">
        <f>MASTER[[#This Row],[CANTIDAD]]*MASTER[[#This Row],[PRECIO DE VENTA]]</f>
        <v>7460</v>
      </c>
      <c r="U6290" s="2">
        <f>MASTER[[#This Row],[CANTIDAD]]*MASTER[[#This Row],[COSTO UNITARIO]]</f>
        <v>1836</v>
      </c>
      <c r="V6290" s="2">
        <f>MASTER[[#This Row],[MONTO VENDIDO]]-MASTER[[#This Row],[COSTO DE VENTA]]</f>
        <v>5624</v>
      </c>
    </row>
    <row r="6291" spans="1:22" x14ac:dyDescent="0.3">
      <c r="A6291">
        <v>86295</v>
      </c>
      <c r="B6291">
        <v>1</v>
      </c>
      <c r="C6291" t="s">
        <v>111</v>
      </c>
      <c r="D6291" t="s">
        <v>112</v>
      </c>
      <c r="E6291" s="1">
        <v>44511</v>
      </c>
      <c r="F6291">
        <v>1</v>
      </c>
      <c r="G6291" t="s">
        <v>57</v>
      </c>
      <c r="H6291" t="s">
        <v>58</v>
      </c>
      <c r="I6291" s="3">
        <v>1621</v>
      </c>
      <c r="J6291" s="3">
        <v>1621</v>
      </c>
      <c r="K6291" s="3">
        <v>434</v>
      </c>
      <c r="L6291" t="s">
        <v>113</v>
      </c>
      <c r="M6291">
        <v>14</v>
      </c>
      <c r="N6291" t="s">
        <v>87</v>
      </c>
      <c r="O6291" t="s">
        <v>81</v>
      </c>
      <c r="P6291" t="s">
        <v>18</v>
      </c>
      <c r="Q6291" t="s">
        <v>19</v>
      </c>
      <c r="R6291" t="s">
        <v>138</v>
      </c>
      <c r="S6291" t="s">
        <v>144</v>
      </c>
      <c r="T6291" s="2">
        <f>MASTER[[#This Row],[CANTIDAD]]*MASTER[[#This Row],[PRECIO DE VENTA]]</f>
        <v>1621</v>
      </c>
      <c r="U6291" s="2">
        <f>MASTER[[#This Row],[CANTIDAD]]*MASTER[[#This Row],[COSTO UNITARIO]]</f>
        <v>434</v>
      </c>
      <c r="V6291" s="2">
        <f>MASTER[[#This Row],[MONTO VENDIDO]]-MASTER[[#This Row],[COSTO DE VENTA]]</f>
        <v>1187</v>
      </c>
    </row>
    <row r="6292" spans="1:22" x14ac:dyDescent="0.3">
      <c r="A6292">
        <v>86316</v>
      </c>
      <c r="B6292">
        <v>1</v>
      </c>
      <c r="C6292" t="s">
        <v>105</v>
      </c>
      <c r="D6292" t="s">
        <v>106</v>
      </c>
      <c r="E6292" s="1">
        <v>44511</v>
      </c>
      <c r="F6292">
        <v>1</v>
      </c>
      <c r="G6292" t="s">
        <v>33</v>
      </c>
      <c r="H6292" t="s">
        <v>34</v>
      </c>
      <c r="I6292" s="3">
        <v>2033</v>
      </c>
      <c r="J6292" s="3">
        <v>2033</v>
      </c>
      <c r="K6292" s="3">
        <v>459</v>
      </c>
      <c r="L6292" t="s">
        <v>98</v>
      </c>
      <c r="M6292">
        <v>3</v>
      </c>
      <c r="N6292" t="s">
        <v>69</v>
      </c>
      <c r="O6292" t="s">
        <v>70</v>
      </c>
      <c r="P6292" t="s">
        <v>71</v>
      </c>
      <c r="Q6292" t="s">
        <v>72</v>
      </c>
      <c r="R6292" t="s">
        <v>139</v>
      </c>
      <c r="S6292" t="s">
        <v>144</v>
      </c>
      <c r="T6292" s="2">
        <f>MASTER[[#This Row],[CANTIDAD]]*MASTER[[#This Row],[PRECIO DE VENTA]]</f>
        <v>2033</v>
      </c>
      <c r="U6292" s="2">
        <f>MASTER[[#This Row],[CANTIDAD]]*MASTER[[#This Row],[COSTO UNITARIO]]</f>
        <v>459</v>
      </c>
      <c r="V6292" s="2">
        <f>MASTER[[#This Row],[MONTO VENDIDO]]-MASTER[[#This Row],[COSTO DE VENTA]]</f>
        <v>1574</v>
      </c>
    </row>
    <row r="6293" spans="1:22" x14ac:dyDescent="0.3">
      <c r="A6293">
        <v>86321</v>
      </c>
      <c r="B6293">
        <v>1</v>
      </c>
      <c r="C6293" t="s">
        <v>94</v>
      </c>
      <c r="D6293" t="s">
        <v>95</v>
      </c>
      <c r="E6293" s="1">
        <v>44511</v>
      </c>
      <c r="F6293">
        <v>1</v>
      </c>
      <c r="G6293" t="s">
        <v>53</v>
      </c>
      <c r="H6293" t="s">
        <v>54</v>
      </c>
      <c r="I6293" s="3">
        <v>1153</v>
      </c>
      <c r="J6293" s="3">
        <v>1153</v>
      </c>
      <c r="K6293" s="3">
        <v>392</v>
      </c>
      <c r="L6293" t="s">
        <v>9</v>
      </c>
      <c r="M6293">
        <v>6</v>
      </c>
      <c r="N6293" t="s">
        <v>75</v>
      </c>
      <c r="O6293" t="s">
        <v>70</v>
      </c>
      <c r="P6293" t="s">
        <v>12</v>
      </c>
      <c r="Q6293" t="s">
        <v>13</v>
      </c>
      <c r="R6293" t="s">
        <v>13</v>
      </c>
      <c r="S6293" t="s">
        <v>144</v>
      </c>
      <c r="T6293" s="2">
        <f>MASTER[[#This Row],[CANTIDAD]]*MASTER[[#This Row],[PRECIO DE VENTA]]</f>
        <v>1153</v>
      </c>
      <c r="U6293" s="2">
        <f>MASTER[[#This Row],[CANTIDAD]]*MASTER[[#This Row],[COSTO UNITARIO]]</f>
        <v>392</v>
      </c>
      <c r="V6293" s="2">
        <f>MASTER[[#This Row],[MONTO VENDIDO]]-MASTER[[#This Row],[COSTO DE VENTA]]</f>
        <v>761</v>
      </c>
    </row>
    <row r="6294" spans="1:22" x14ac:dyDescent="0.3">
      <c r="A6294">
        <v>86358</v>
      </c>
      <c r="B6294">
        <v>1</v>
      </c>
      <c r="C6294" t="s">
        <v>114</v>
      </c>
      <c r="D6294" t="s">
        <v>115</v>
      </c>
      <c r="E6294" s="1">
        <v>44511</v>
      </c>
      <c r="F6294">
        <v>1</v>
      </c>
      <c r="G6294" t="s">
        <v>20</v>
      </c>
      <c r="H6294" t="s">
        <v>21</v>
      </c>
      <c r="I6294" s="3">
        <v>1862</v>
      </c>
      <c r="J6294" s="3">
        <v>1862</v>
      </c>
      <c r="K6294" s="3">
        <v>394</v>
      </c>
      <c r="L6294" t="s">
        <v>113</v>
      </c>
      <c r="M6294">
        <v>8</v>
      </c>
      <c r="N6294" t="s">
        <v>80</v>
      </c>
      <c r="O6294" t="s">
        <v>81</v>
      </c>
      <c r="P6294" t="s">
        <v>12</v>
      </c>
      <c r="Q6294" t="s">
        <v>13</v>
      </c>
      <c r="R6294" t="s">
        <v>13</v>
      </c>
      <c r="S6294" t="s">
        <v>144</v>
      </c>
      <c r="T6294" s="2">
        <f>MASTER[[#This Row],[CANTIDAD]]*MASTER[[#This Row],[PRECIO DE VENTA]]</f>
        <v>1862</v>
      </c>
      <c r="U6294" s="2">
        <f>MASTER[[#This Row],[CANTIDAD]]*MASTER[[#This Row],[COSTO UNITARIO]]</f>
        <v>394</v>
      </c>
      <c r="V6294" s="2">
        <f>MASTER[[#This Row],[MONTO VENDIDO]]-MASTER[[#This Row],[COSTO DE VENTA]]</f>
        <v>1468</v>
      </c>
    </row>
    <row r="6295" spans="1:22" x14ac:dyDescent="0.3">
      <c r="A6295">
        <v>86369</v>
      </c>
      <c r="B6295">
        <v>1</v>
      </c>
      <c r="C6295" t="s">
        <v>92</v>
      </c>
      <c r="D6295" t="s">
        <v>93</v>
      </c>
      <c r="E6295" s="1">
        <v>44511</v>
      </c>
      <c r="F6295">
        <v>1</v>
      </c>
      <c r="G6295" t="s">
        <v>51</v>
      </c>
      <c r="H6295" t="s">
        <v>52</v>
      </c>
      <c r="I6295" s="3">
        <v>1681</v>
      </c>
      <c r="J6295" s="3">
        <v>1681</v>
      </c>
      <c r="K6295" s="3">
        <v>396</v>
      </c>
      <c r="L6295" t="s">
        <v>9</v>
      </c>
      <c r="M6295">
        <v>5</v>
      </c>
      <c r="N6295" t="s">
        <v>85</v>
      </c>
      <c r="O6295" t="s">
        <v>81</v>
      </c>
      <c r="P6295" t="s">
        <v>12</v>
      </c>
      <c r="Q6295" t="s">
        <v>13</v>
      </c>
      <c r="R6295" t="s">
        <v>13</v>
      </c>
      <c r="S6295" t="s">
        <v>144</v>
      </c>
      <c r="T6295" s="2">
        <f>MASTER[[#This Row],[CANTIDAD]]*MASTER[[#This Row],[PRECIO DE VENTA]]</f>
        <v>1681</v>
      </c>
      <c r="U6295" s="2">
        <f>MASTER[[#This Row],[CANTIDAD]]*MASTER[[#This Row],[COSTO UNITARIO]]</f>
        <v>396</v>
      </c>
      <c r="V6295" s="2">
        <f>MASTER[[#This Row],[MONTO VENDIDO]]-MASTER[[#This Row],[COSTO DE VENTA]]</f>
        <v>1285</v>
      </c>
    </row>
    <row r="6296" spans="1:22" x14ac:dyDescent="0.3">
      <c r="A6296">
        <v>86372</v>
      </c>
      <c r="B6296">
        <v>1</v>
      </c>
      <c r="C6296" t="s">
        <v>107</v>
      </c>
      <c r="D6296" t="s">
        <v>108</v>
      </c>
      <c r="E6296" s="1">
        <v>44511</v>
      </c>
      <c r="F6296">
        <v>1</v>
      </c>
      <c r="G6296" t="s">
        <v>22</v>
      </c>
      <c r="H6296" t="s">
        <v>23</v>
      </c>
      <c r="I6296" s="3">
        <v>1440</v>
      </c>
      <c r="J6296" s="3">
        <v>1440</v>
      </c>
      <c r="K6296" s="3">
        <v>380</v>
      </c>
      <c r="L6296" t="s">
        <v>98</v>
      </c>
      <c r="M6296">
        <v>3</v>
      </c>
      <c r="N6296" t="s">
        <v>69</v>
      </c>
      <c r="O6296" t="s">
        <v>70</v>
      </c>
      <c r="P6296" t="s">
        <v>71</v>
      </c>
      <c r="Q6296" t="s">
        <v>72</v>
      </c>
      <c r="R6296" t="s">
        <v>139</v>
      </c>
      <c r="S6296" t="s">
        <v>144</v>
      </c>
      <c r="T6296" s="2">
        <f>MASTER[[#This Row],[CANTIDAD]]*MASTER[[#This Row],[PRECIO DE VENTA]]</f>
        <v>1440</v>
      </c>
      <c r="U6296" s="2">
        <f>MASTER[[#This Row],[CANTIDAD]]*MASTER[[#This Row],[COSTO UNITARIO]]</f>
        <v>380</v>
      </c>
      <c r="V6296" s="2">
        <f>MASTER[[#This Row],[MONTO VENDIDO]]-MASTER[[#This Row],[COSTO DE VENTA]]</f>
        <v>1060</v>
      </c>
    </row>
    <row r="6297" spans="1:22" x14ac:dyDescent="0.3">
      <c r="A6297">
        <v>86397</v>
      </c>
      <c r="B6297">
        <v>1</v>
      </c>
      <c r="C6297" t="s">
        <v>105</v>
      </c>
      <c r="D6297" t="s">
        <v>106</v>
      </c>
      <c r="E6297" s="1">
        <v>44512</v>
      </c>
      <c r="F6297">
        <v>1</v>
      </c>
      <c r="G6297" t="s">
        <v>73</v>
      </c>
      <c r="H6297" t="s">
        <v>74</v>
      </c>
      <c r="I6297" s="3">
        <v>1585</v>
      </c>
      <c r="J6297" s="3">
        <v>1585</v>
      </c>
      <c r="K6297" s="3">
        <v>459</v>
      </c>
      <c r="L6297" t="s">
        <v>98</v>
      </c>
      <c r="M6297">
        <v>11</v>
      </c>
      <c r="N6297" t="s">
        <v>10</v>
      </c>
      <c r="O6297" t="s">
        <v>11</v>
      </c>
      <c r="P6297" t="s">
        <v>12</v>
      </c>
      <c r="Q6297" t="s">
        <v>13</v>
      </c>
      <c r="R6297" t="s">
        <v>13</v>
      </c>
      <c r="S6297" t="s">
        <v>144</v>
      </c>
      <c r="T6297" s="2">
        <f>MASTER[[#This Row],[CANTIDAD]]*MASTER[[#This Row],[PRECIO DE VENTA]]</f>
        <v>1585</v>
      </c>
      <c r="U6297" s="2">
        <f>MASTER[[#This Row],[CANTIDAD]]*MASTER[[#This Row],[COSTO UNITARIO]]</f>
        <v>459</v>
      </c>
      <c r="V6297" s="2">
        <f>MASTER[[#This Row],[MONTO VENDIDO]]-MASTER[[#This Row],[COSTO DE VENTA]]</f>
        <v>1126</v>
      </c>
    </row>
    <row r="6298" spans="1:22" x14ac:dyDescent="0.3">
      <c r="A6298">
        <v>86418</v>
      </c>
      <c r="B6298">
        <v>1</v>
      </c>
      <c r="C6298" t="s">
        <v>96</v>
      </c>
      <c r="D6298" t="s">
        <v>97</v>
      </c>
      <c r="E6298" s="1">
        <v>44512</v>
      </c>
      <c r="F6298">
        <v>1</v>
      </c>
      <c r="G6298" t="s">
        <v>33</v>
      </c>
      <c r="H6298" t="s">
        <v>34</v>
      </c>
      <c r="I6298" s="3">
        <v>1196</v>
      </c>
      <c r="J6298" s="3">
        <v>1196</v>
      </c>
      <c r="K6298" s="3">
        <v>397</v>
      </c>
      <c r="L6298" t="s">
        <v>98</v>
      </c>
      <c r="M6298">
        <v>17</v>
      </c>
      <c r="N6298" t="s">
        <v>14</v>
      </c>
      <c r="O6298" t="s">
        <v>11</v>
      </c>
      <c r="P6298" t="s">
        <v>15</v>
      </c>
      <c r="Q6298" t="s">
        <v>16</v>
      </c>
      <c r="R6298" t="s">
        <v>16</v>
      </c>
      <c r="S6298" t="s">
        <v>144</v>
      </c>
      <c r="T6298" s="2">
        <f>MASTER[[#This Row],[CANTIDAD]]*MASTER[[#This Row],[PRECIO DE VENTA]]</f>
        <v>1196</v>
      </c>
      <c r="U6298" s="2">
        <f>MASTER[[#This Row],[CANTIDAD]]*MASTER[[#This Row],[COSTO UNITARIO]]</f>
        <v>397</v>
      </c>
      <c r="V6298" s="2">
        <f>MASTER[[#This Row],[MONTO VENDIDO]]-MASTER[[#This Row],[COSTO DE VENTA]]</f>
        <v>799</v>
      </c>
    </row>
    <row r="6299" spans="1:22" x14ac:dyDescent="0.3">
      <c r="A6299">
        <v>86448</v>
      </c>
      <c r="B6299">
        <v>1</v>
      </c>
      <c r="C6299" t="s">
        <v>111</v>
      </c>
      <c r="D6299" t="s">
        <v>112</v>
      </c>
      <c r="E6299" s="1">
        <v>44512</v>
      </c>
      <c r="F6299">
        <v>1</v>
      </c>
      <c r="G6299" t="s">
        <v>22</v>
      </c>
      <c r="H6299" t="s">
        <v>23</v>
      </c>
      <c r="I6299" s="3">
        <v>1621</v>
      </c>
      <c r="J6299" s="3">
        <v>1458</v>
      </c>
      <c r="K6299" s="3">
        <v>434</v>
      </c>
      <c r="L6299" t="s">
        <v>113</v>
      </c>
      <c r="M6299">
        <v>2</v>
      </c>
      <c r="N6299" t="s">
        <v>86</v>
      </c>
      <c r="O6299" t="s">
        <v>81</v>
      </c>
      <c r="P6299" t="s">
        <v>71</v>
      </c>
      <c r="Q6299" t="s">
        <v>72</v>
      </c>
      <c r="R6299" t="s">
        <v>139</v>
      </c>
      <c r="S6299" t="s">
        <v>144</v>
      </c>
      <c r="T6299" s="2">
        <f>MASTER[[#This Row],[CANTIDAD]]*MASTER[[#This Row],[PRECIO DE VENTA]]</f>
        <v>1458</v>
      </c>
      <c r="U6299" s="2">
        <f>MASTER[[#This Row],[CANTIDAD]]*MASTER[[#This Row],[COSTO UNITARIO]]</f>
        <v>434</v>
      </c>
      <c r="V6299" s="2">
        <f>MASTER[[#This Row],[MONTO VENDIDO]]-MASTER[[#This Row],[COSTO DE VENTA]]</f>
        <v>1024</v>
      </c>
    </row>
    <row r="6300" spans="1:22" x14ac:dyDescent="0.3">
      <c r="A6300">
        <v>86452</v>
      </c>
      <c r="B6300">
        <v>1</v>
      </c>
      <c r="C6300" t="s">
        <v>101</v>
      </c>
      <c r="D6300" t="s">
        <v>102</v>
      </c>
      <c r="E6300" s="1">
        <v>44512</v>
      </c>
      <c r="F6300">
        <v>1</v>
      </c>
      <c r="G6300" t="s">
        <v>57</v>
      </c>
      <c r="H6300" t="s">
        <v>58</v>
      </c>
      <c r="I6300" s="3">
        <v>1357</v>
      </c>
      <c r="J6300" s="3">
        <v>1357</v>
      </c>
      <c r="K6300" s="3">
        <v>442</v>
      </c>
      <c r="L6300" t="s">
        <v>98</v>
      </c>
      <c r="M6300">
        <v>6</v>
      </c>
      <c r="N6300" t="s">
        <v>75</v>
      </c>
      <c r="O6300" t="s">
        <v>70</v>
      </c>
      <c r="P6300" t="s">
        <v>12</v>
      </c>
      <c r="Q6300" t="s">
        <v>13</v>
      </c>
      <c r="R6300" t="s">
        <v>13</v>
      </c>
      <c r="S6300" t="s">
        <v>144</v>
      </c>
      <c r="T6300" s="2">
        <f>MASTER[[#This Row],[CANTIDAD]]*MASTER[[#This Row],[PRECIO DE VENTA]]</f>
        <v>1357</v>
      </c>
      <c r="U6300" s="2">
        <f>MASTER[[#This Row],[CANTIDAD]]*MASTER[[#This Row],[COSTO UNITARIO]]</f>
        <v>442</v>
      </c>
      <c r="V6300" s="2">
        <f>MASTER[[#This Row],[MONTO VENDIDO]]-MASTER[[#This Row],[COSTO DE VENTA]]</f>
        <v>915</v>
      </c>
    </row>
    <row r="6301" spans="1:22" x14ac:dyDescent="0.3">
      <c r="A6301">
        <v>86460</v>
      </c>
      <c r="B6301">
        <v>1</v>
      </c>
      <c r="C6301" t="s">
        <v>94</v>
      </c>
      <c r="D6301" t="s">
        <v>95</v>
      </c>
      <c r="E6301" s="1">
        <v>44513</v>
      </c>
      <c r="F6301">
        <v>1</v>
      </c>
      <c r="G6301" t="s">
        <v>33</v>
      </c>
      <c r="H6301" t="s">
        <v>34</v>
      </c>
      <c r="I6301" s="3">
        <v>1153</v>
      </c>
      <c r="J6301" s="3">
        <v>1153</v>
      </c>
      <c r="K6301" s="3">
        <v>392</v>
      </c>
      <c r="L6301" t="s">
        <v>9</v>
      </c>
      <c r="M6301">
        <v>1</v>
      </c>
      <c r="N6301" t="s">
        <v>77</v>
      </c>
      <c r="O6301" t="s">
        <v>70</v>
      </c>
      <c r="P6301" t="s">
        <v>71</v>
      </c>
      <c r="Q6301" t="s">
        <v>72</v>
      </c>
      <c r="R6301" t="s">
        <v>139</v>
      </c>
      <c r="S6301" t="s">
        <v>144</v>
      </c>
      <c r="T6301" s="2">
        <f>MASTER[[#This Row],[CANTIDAD]]*MASTER[[#This Row],[PRECIO DE VENTA]]</f>
        <v>1153</v>
      </c>
      <c r="U6301" s="2">
        <f>MASTER[[#This Row],[CANTIDAD]]*MASTER[[#This Row],[COSTO UNITARIO]]</f>
        <v>392</v>
      </c>
      <c r="V6301" s="2">
        <f>MASTER[[#This Row],[MONTO VENDIDO]]-MASTER[[#This Row],[COSTO DE VENTA]]</f>
        <v>761</v>
      </c>
    </row>
    <row r="6302" spans="1:22" x14ac:dyDescent="0.3">
      <c r="A6302">
        <v>86488</v>
      </c>
      <c r="B6302">
        <v>1</v>
      </c>
      <c r="C6302" t="s">
        <v>5</v>
      </c>
      <c r="D6302" t="s">
        <v>6</v>
      </c>
      <c r="E6302" s="1">
        <v>44513</v>
      </c>
      <c r="F6302">
        <v>1</v>
      </c>
      <c r="G6302" t="s">
        <v>45</v>
      </c>
      <c r="H6302" t="s">
        <v>46</v>
      </c>
      <c r="I6302" s="3">
        <v>1507</v>
      </c>
      <c r="J6302" s="3">
        <v>1371</v>
      </c>
      <c r="K6302" s="3">
        <v>393</v>
      </c>
      <c r="L6302" t="s">
        <v>9</v>
      </c>
      <c r="M6302">
        <v>15</v>
      </c>
      <c r="N6302" t="s">
        <v>88</v>
      </c>
      <c r="O6302" t="s">
        <v>81</v>
      </c>
      <c r="P6302" t="s">
        <v>18</v>
      </c>
      <c r="Q6302" t="s">
        <v>19</v>
      </c>
      <c r="R6302" t="s">
        <v>138</v>
      </c>
      <c r="S6302" t="s">
        <v>144</v>
      </c>
      <c r="T6302" s="2">
        <f>MASTER[[#This Row],[CANTIDAD]]*MASTER[[#This Row],[PRECIO DE VENTA]]</f>
        <v>1371</v>
      </c>
      <c r="U6302" s="2">
        <f>MASTER[[#This Row],[CANTIDAD]]*MASTER[[#This Row],[COSTO UNITARIO]]</f>
        <v>393</v>
      </c>
      <c r="V6302" s="2">
        <f>MASTER[[#This Row],[MONTO VENDIDO]]-MASTER[[#This Row],[COSTO DE VENTA]]</f>
        <v>978</v>
      </c>
    </row>
    <row r="6303" spans="1:22" x14ac:dyDescent="0.3">
      <c r="A6303">
        <v>86491</v>
      </c>
      <c r="B6303">
        <v>1</v>
      </c>
      <c r="C6303" t="s">
        <v>96</v>
      </c>
      <c r="D6303" t="s">
        <v>97</v>
      </c>
      <c r="E6303" s="1">
        <v>44513</v>
      </c>
      <c r="F6303">
        <v>1</v>
      </c>
      <c r="G6303" t="s">
        <v>49</v>
      </c>
      <c r="H6303" t="s">
        <v>50</v>
      </c>
      <c r="I6303" s="3">
        <v>1272</v>
      </c>
      <c r="J6303" s="3">
        <v>1272</v>
      </c>
      <c r="K6303" s="3">
        <v>397</v>
      </c>
      <c r="L6303" t="s">
        <v>98</v>
      </c>
      <c r="M6303">
        <v>19</v>
      </c>
      <c r="N6303" t="s">
        <v>89</v>
      </c>
      <c r="O6303" t="s">
        <v>81</v>
      </c>
      <c r="P6303" t="s">
        <v>15</v>
      </c>
      <c r="Q6303" t="s">
        <v>16</v>
      </c>
      <c r="R6303" t="s">
        <v>16</v>
      </c>
      <c r="S6303" t="s">
        <v>144</v>
      </c>
      <c r="T6303" s="2">
        <f>MASTER[[#This Row],[CANTIDAD]]*MASTER[[#This Row],[PRECIO DE VENTA]]</f>
        <v>1272</v>
      </c>
      <c r="U6303" s="2">
        <f>MASTER[[#This Row],[CANTIDAD]]*MASTER[[#This Row],[COSTO UNITARIO]]</f>
        <v>397</v>
      </c>
      <c r="V6303" s="2">
        <f>MASTER[[#This Row],[MONTO VENDIDO]]-MASTER[[#This Row],[COSTO DE VENTA]]</f>
        <v>875</v>
      </c>
    </row>
    <row r="6304" spans="1:22" x14ac:dyDescent="0.3">
      <c r="A6304">
        <v>86499</v>
      </c>
      <c r="B6304">
        <v>1</v>
      </c>
      <c r="C6304" t="s">
        <v>109</v>
      </c>
      <c r="D6304" t="s">
        <v>110</v>
      </c>
      <c r="E6304" s="1">
        <v>44513</v>
      </c>
      <c r="F6304">
        <v>1</v>
      </c>
      <c r="G6304" t="s">
        <v>67</v>
      </c>
      <c r="H6304" t="s">
        <v>68</v>
      </c>
      <c r="I6304" s="3">
        <v>947</v>
      </c>
      <c r="J6304" s="3">
        <v>947</v>
      </c>
      <c r="K6304" s="3">
        <v>387</v>
      </c>
      <c r="L6304" t="s">
        <v>98</v>
      </c>
      <c r="M6304">
        <v>11</v>
      </c>
      <c r="N6304" t="s">
        <v>10</v>
      </c>
      <c r="O6304" t="s">
        <v>11</v>
      </c>
      <c r="P6304" t="s">
        <v>12</v>
      </c>
      <c r="Q6304" t="s">
        <v>13</v>
      </c>
      <c r="R6304" t="s">
        <v>13</v>
      </c>
      <c r="S6304" t="s">
        <v>144</v>
      </c>
      <c r="T6304" s="2">
        <f>MASTER[[#This Row],[CANTIDAD]]*MASTER[[#This Row],[PRECIO DE VENTA]]</f>
        <v>947</v>
      </c>
      <c r="U6304" s="2">
        <f>MASTER[[#This Row],[CANTIDAD]]*MASTER[[#This Row],[COSTO UNITARIO]]</f>
        <v>387</v>
      </c>
      <c r="V6304" s="2">
        <f>MASTER[[#This Row],[MONTO VENDIDO]]-MASTER[[#This Row],[COSTO DE VENTA]]</f>
        <v>560</v>
      </c>
    </row>
    <row r="6305" spans="1:22" x14ac:dyDescent="0.3">
      <c r="A6305">
        <v>86507</v>
      </c>
      <c r="B6305">
        <v>1</v>
      </c>
      <c r="C6305" t="s">
        <v>99</v>
      </c>
      <c r="D6305" t="s">
        <v>100</v>
      </c>
      <c r="E6305" s="1">
        <v>44513</v>
      </c>
      <c r="F6305">
        <v>1</v>
      </c>
      <c r="G6305" t="s">
        <v>59</v>
      </c>
      <c r="H6305" t="s">
        <v>60</v>
      </c>
      <c r="I6305" s="3">
        <v>1459</v>
      </c>
      <c r="J6305" s="3">
        <v>1371</v>
      </c>
      <c r="K6305" s="3">
        <v>386</v>
      </c>
      <c r="L6305" t="s">
        <v>98</v>
      </c>
      <c r="M6305">
        <v>14</v>
      </c>
      <c r="N6305" t="s">
        <v>87</v>
      </c>
      <c r="O6305" t="s">
        <v>81</v>
      </c>
      <c r="P6305" t="s">
        <v>18</v>
      </c>
      <c r="Q6305" t="s">
        <v>19</v>
      </c>
      <c r="R6305" t="s">
        <v>138</v>
      </c>
      <c r="S6305" t="s">
        <v>144</v>
      </c>
      <c r="T6305" s="2">
        <f>MASTER[[#This Row],[CANTIDAD]]*MASTER[[#This Row],[PRECIO DE VENTA]]</f>
        <v>1371</v>
      </c>
      <c r="U6305" s="2">
        <f>MASTER[[#This Row],[CANTIDAD]]*MASTER[[#This Row],[COSTO UNITARIO]]</f>
        <v>386</v>
      </c>
      <c r="V6305" s="2">
        <f>MASTER[[#This Row],[MONTO VENDIDO]]-MASTER[[#This Row],[COSTO DE VENTA]]</f>
        <v>985</v>
      </c>
    </row>
    <row r="6306" spans="1:22" x14ac:dyDescent="0.3">
      <c r="A6306">
        <v>86528</v>
      </c>
      <c r="B6306">
        <v>1</v>
      </c>
      <c r="C6306" t="s">
        <v>107</v>
      </c>
      <c r="D6306" t="s">
        <v>108</v>
      </c>
      <c r="E6306" s="1">
        <v>44514</v>
      </c>
      <c r="F6306">
        <v>1</v>
      </c>
      <c r="G6306" t="s">
        <v>39</v>
      </c>
      <c r="H6306" t="s">
        <v>40</v>
      </c>
      <c r="I6306" s="3">
        <v>1333</v>
      </c>
      <c r="J6306" s="3">
        <v>1226</v>
      </c>
      <c r="K6306" s="3">
        <v>380</v>
      </c>
      <c r="L6306" t="s">
        <v>98</v>
      </c>
      <c r="M6306">
        <v>10</v>
      </c>
      <c r="N6306" t="s">
        <v>83</v>
      </c>
      <c r="O6306" t="s">
        <v>81</v>
      </c>
      <c r="P6306" t="s">
        <v>12</v>
      </c>
      <c r="Q6306" t="s">
        <v>13</v>
      </c>
      <c r="R6306" t="s">
        <v>13</v>
      </c>
      <c r="S6306" t="s">
        <v>144</v>
      </c>
      <c r="T6306" s="2">
        <f>MASTER[[#This Row],[CANTIDAD]]*MASTER[[#This Row],[PRECIO DE VENTA]]</f>
        <v>1226</v>
      </c>
      <c r="U6306" s="2">
        <f>MASTER[[#This Row],[CANTIDAD]]*MASTER[[#This Row],[COSTO UNITARIO]]</f>
        <v>380</v>
      </c>
      <c r="V6306" s="2">
        <f>MASTER[[#This Row],[MONTO VENDIDO]]-MASTER[[#This Row],[COSTO DE VENTA]]</f>
        <v>846</v>
      </c>
    </row>
    <row r="6307" spans="1:22" x14ac:dyDescent="0.3">
      <c r="A6307">
        <v>86538</v>
      </c>
      <c r="B6307">
        <v>1</v>
      </c>
      <c r="C6307" t="s">
        <v>90</v>
      </c>
      <c r="D6307" t="s">
        <v>91</v>
      </c>
      <c r="E6307" s="1">
        <v>44514</v>
      </c>
      <c r="F6307">
        <v>1</v>
      </c>
      <c r="G6307" t="s">
        <v>43</v>
      </c>
      <c r="H6307" t="s">
        <v>44</v>
      </c>
      <c r="I6307" s="3">
        <v>1844</v>
      </c>
      <c r="J6307" s="3">
        <v>1844</v>
      </c>
      <c r="K6307" s="3">
        <v>420</v>
      </c>
      <c r="L6307" t="s">
        <v>9</v>
      </c>
      <c r="M6307">
        <v>2</v>
      </c>
      <c r="N6307" t="s">
        <v>86</v>
      </c>
      <c r="O6307" t="s">
        <v>81</v>
      </c>
      <c r="P6307" t="s">
        <v>71</v>
      </c>
      <c r="Q6307" t="s">
        <v>72</v>
      </c>
      <c r="R6307" t="s">
        <v>139</v>
      </c>
      <c r="S6307" t="s">
        <v>144</v>
      </c>
      <c r="T6307" s="2">
        <f>MASTER[[#This Row],[CANTIDAD]]*MASTER[[#This Row],[PRECIO DE VENTA]]</f>
        <v>1844</v>
      </c>
      <c r="U6307" s="2">
        <f>MASTER[[#This Row],[CANTIDAD]]*MASTER[[#This Row],[COSTO UNITARIO]]</f>
        <v>420</v>
      </c>
      <c r="V6307" s="2">
        <f>MASTER[[#This Row],[MONTO VENDIDO]]-MASTER[[#This Row],[COSTO DE VENTA]]</f>
        <v>1424</v>
      </c>
    </row>
    <row r="6308" spans="1:22" x14ac:dyDescent="0.3">
      <c r="A6308">
        <v>86555</v>
      </c>
      <c r="B6308">
        <v>1</v>
      </c>
      <c r="C6308" t="s">
        <v>99</v>
      </c>
      <c r="D6308" t="s">
        <v>100</v>
      </c>
      <c r="E6308" s="1">
        <v>44514</v>
      </c>
      <c r="F6308">
        <v>1</v>
      </c>
      <c r="G6308" t="s">
        <v>61</v>
      </c>
      <c r="H6308" t="s">
        <v>62</v>
      </c>
      <c r="I6308" s="3">
        <v>1459</v>
      </c>
      <c r="J6308" s="3">
        <v>1459</v>
      </c>
      <c r="K6308" s="3">
        <v>386</v>
      </c>
      <c r="L6308" t="s">
        <v>98</v>
      </c>
      <c r="M6308">
        <v>19</v>
      </c>
      <c r="N6308" t="s">
        <v>89</v>
      </c>
      <c r="O6308" t="s">
        <v>81</v>
      </c>
      <c r="P6308" t="s">
        <v>15</v>
      </c>
      <c r="Q6308" t="s">
        <v>16</v>
      </c>
      <c r="R6308" t="s">
        <v>16</v>
      </c>
      <c r="S6308" t="s">
        <v>144</v>
      </c>
      <c r="T6308" s="2">
        <f>MASTER[[#This Row],[CANTIDAD]]*MASTER[[#This Row],[PRECIO DE VENTA]]</f>
        <v>1459</v>
      </c>
      <c r="U6308" s="2">
        <f>MASTER[[#This Row],[CANTIDAD]]*MASTER[[#This Row],[COSTO UNITARIO]]</f>
        <v>386</v>
      </c>
      <c r="V6308" s="2">
        <f>MASTER[[#This Row],[MONTO VENDIDO]]-MASTER[[#This Row],[COSTO DE VENTA]]</f>
        <v>1073</v>
      </c>
    </row>
    <row r="6309" spans="1:22" x14ac:dyDescent="0.3">
      <c r="A6309">
        <v>86591</v>
      </c>
      <c r="B6309">
        <v>1</v>
      </c>
      <c r="C6309" t="s">
        <v>92</v>
      </c>
      <c r="D6309" t="s">
        <v>93</v>
      </c>
      <c r="E6309" s="1">
        <v>44514</v>
      </c>
      <c r="F6309">
        <v>1</v>
      </c>
      <c r="G6309" t="s">
        <v>24</v>
      </c>
      <c r="H6309" t="s">
        <v>25</v>
      </c>
      <c r="I6309" s="3">
        <v>1681</v>
      </c>
      <c r="J6309" s="3">
        <v>1681</v>
      </c>
      <c r="K6309" s="3">
        <v>396</v>
      </c>
      <c r="L6309" t="s">
        <v>9</v>
      </c>
      <c r="M6309">
        <v>15</v>
      </c>
      <c r="N6309" t="s">
        <v>88</v>
      </c>
      <c r="O6309" t="s">
        <v>81</v>
      </c>
      <c r="P6309" t="s">
        <v>18</v>
      </c>
      <c r="Q6309" t="s">
        <v>19</v>
      </c>
      <c r="R6309" t="s">
        <v>138</v>
      </c>
      <c r="S6309" t="s">
        <v>144</v>
      </c>
      <c r="T6309" s="2">
        <f>MASTER[[#This Row],[CANTIDAD]]*MASTER[[#This Row],[PRECIO DE VENTA]]</f>
        <v>1681</v>
      </c>
      <c r="U6309" s="2">
        <f>MASTER[[#This Row],[CANTIDAD]]*MASTER[[#This Row],[COSTO UNITARIO]]</f>
        <v>396</v>
      </c>
      <c r="V6309" s="2">
        <f>MASTER[[#This Row],[MONTO VENDIDO]]-MASTER[[#This Row],[COSTO DE VENTA]]</f>
        <v>1285</v>
      </c>
    </row>
    <row r="6310" spans="1:22" x14ac:dyDescent="0.3">
      <c r="A6310">
        <v>86608</v>
      </c>
      <c r="B6310">
        <v>1</v>
      </c>
      <c r="C6310" t="s">
        <v>92</v>
      </c>
      <c r="D6310" t="s">
        <v>93</v>
      </c>
      <c r="E6310" s="1">
        <v>44514</v>
      </c>
      <c r="F6310">
        <v>1</v>
      </c>
      <c r="G6310" t="s">
        <v>45</v>
      </c>
      <c r="H6310" t="s">
        <v>46</v>
      </c>
      <c r="I6310" s="3">
        <v>1479</v>
      </c>
      <c r="J6310" s="3">
        <v>1479</v>
      </c>
      <c r="K6310" s="3">
        <v>396</v>
      </c>
      <c r="L6310" t="s">
        <v>9</v>
      </c>
      <c r="M6310">
        <v>17</v>
      </c>
      <c r="N6310" t="s">
        <v>14</v>
      </c>
      <c r="O6310" t="s">
        <v>11</v>
      </c>
      <c r="P6310" t="s">
        <v>15</v>
      </c>
      <c r="Q6310" t="s">
        <v>16</v>
      </c>
      <c r="R6310" t="s">
        <v>16</v>
      </c>
      <c r="S6310" t="s">
        <v>144</v>
      </c>
      <c r="T6310" s="2">
        <f>MASTER[[#This Row],[CANTIDAD]]*MASTER[[#This Row],[PRECIO DE VENTA]]</f>
        <v>1479</v>
      </c>
      <c r="U6310" s="2">
        <f>MASTER[[#This Row],[CANTIDAD]]*MASTER[[#This Row],[COSTO UNITARIO]]</f>
        <v>396</v>
      </c>
      <c r="V6310" s="2">
        <f>MASTER[[#This Row],[MONTO VENDIDO]]-MASTER[[#This Row],[COSTO DE VENTA]]</f>
        <v>1083</v>
      </c>
    </row>
    <row r="6311" spans="1:22" x14ac:dyDescent="0.3">
      <c r="A6311">
        <v>86621</v>
      </c>
      <c r="B6311">
        <v>1</v>
      </c>
      <c r="C6311" t="s">
        <v>116</v>
      </c>
      <c r="D6311" t="s">
        <v>117</v>
      </c>
      <c r="E6311" s="1">
        <v>44514</v>
      </c>
      <c r="F6311">
        <v>1</v>
      </c>
      <c r="G6311" t="s">
        <v>47</v>
      </c>
      <c r="H6311" t="s">
        <v>48</v>
      </c>
      <c r="I6311" s="3">
        <v>1529</v>
      </c>
      <c r="J6311" s="3">
        <v>1529</v>
      </c>
      <c r="K6311" s="3">
        <v>388</v>
      </c>
      <c r="L6311" t="s">
        <v>113</v>
      </c>
      <c r="M6311">
        <v>11</v>
      </c>
      <c r="N6311" t="s">
        <v>10</v>
      </c>
      <c r="O6311" t="s">
        <v>11</v>
      </c>
      <c r="P6311" t="s">
        <v>12</v>
      </c>
      <c r="Q6311" t="s">
        <v>13</v>
      </c>
      <c r="R6311" t="s">
        <v>13</v>
      </c>
      <c r="S6311" t="s">
        <v>144</v>
      </c>
      <c r="T6311" s="2">
        <f>MASTER[[#This Row],[CANTIDAD]]*MASTER[[#This Row],[PRECIO DE VENTA]]</f>
        <v>1529</v>
      </c>
      <c r="U6311" s="2">
        <f>MASTER[[#This Row],[CANTIDAD]]*MASTER[[#This Row],[COSTO UNITARIO]]</f>
        <v>388</v>
      </c>
      <c r="V6311" s="2">
        <f>MASTER[[#This Row],[MONTO VENDIDO]]-MASTER[[#This Row],[COSTO DE VENTA]]</f>
        <v>1141</v>
      </c>
    </row>
    <row r="6312" spans="1:22" x14ac:dyDescent="0.3">
      <c r="A6312">
        <v>86635</v>
      </c>
      <c r="B6312">
        <v>1</v>
      </c>
      <c r="C6312" t="s">
        <v>96</v>
      </c>
      <c r="D6312" t="s">
        <v>97</v>
      </c>
      <c r="E6312" s="1">
        <v>44514</v>
      </c>
      <c r="F6312">
        <v>1</v>
      </c>
      <c r="G6312" t="s">
        <v>43</v>
      </c>
      <c r="H6312" t="s">
        <v>44</v>
      </c>
      <c r="I6312" s="3">
        <v>1196</v>
      </c>
      <c r="J6312" s="3">
        <v>1196</v>
      </c>
      <c r="K6312" s="3">
        <v>397</v>
      </c>
      <c r="L6312" t="s">
        <v>98</v>
      </c>
      <c r="M6312">
        <v>11</v>
      </c>
      <c r="N6312" t="s">
        <v>10</v>
      </c>
      <c r="O6312" t="s">
        <v>11</v>
      </c>
      <c r="P6312" t="s">
        <v>12</v>
      </c>
      <c r="Q6312" t="s">
        <v>13</v>
      </c>
      <c r="R6312" t="s">
        <v>13</v>
      </c>
      <c r="S6312" t="s">
        <v>144</v>
      </c>
      <c r="T6312" s="2">
        <f>MASTER[[#This Row],[CANTIDAD]]*MASTER[[#This Row],[PRECIO DE VENTA]]</f>
        <v>1196</v>
      </c>
      <c r="U6312" s="2">
        <f>MASTER[[#This Row],[CANTIDAD]]*MASTER[[#This Row],[COSTO UNITARIO]]</f>
        <v>397</v>
      </c>
      <c r="V6312" s="2">
        <f>MASTER[[#This Row],[MONTO VENDIDO]]-MASTER[[#This Row],[COSTO DE VENTA]]</f>
        <v>799</v>
      </c>
    </row>
    <row r="6313" spans="1:22" x14ac:dyDescent="0.3">
      <c r="A6313">
        <v>86637</v>
      </c>
      <c r="B6313">
        <v>1</v>
      </c>
      <c r="C6313" t="s">
        <v>109</v>
      </c>
      <c r="D6313" t="s">
        <v>110</v>
      </c>
      <c r="E6313" s="1">
        <v>44514</v>
      </c>
      <c r="F6313">
        <v>1</v>
      </c>
      <c r="G6313" t="s">
        <v>65</v>
      </c>
      <c r="H6313" t="s">
        <v>66</v>
      </c>
      <c r="I6313" s="3">
        <v>1064</v>
      </c>
      <c r="J6313" s="3">
        <v>1064</v>
      </c>
      <c r="K6313" s="3">
        <v>387</v>
      </c>
      <c r="L6313" t="s">
        <v>98</v>
      </c>
      <c r="M6313">
        <v>19</v>
      </c>
      <c r="N6313" t="s">
        <v>89</v>
      </c>
      <c r="O6313" t="s">
        <v>81</v>
      </c>
      <c r="P6313" t="s">
        <v>15</v>
      </c>
      <c r="Q6313" t="s">
        <v>16</v>
      </c>
      <c r="R6313" t="s">
        <v>16</v>
      </c>
      <c r="S6313" t="s">
        <v>144</v>
      </c>
      <c r="T6313" s="2">
        <f>MASTER[[#This Row],[CANTIDAD]]*MASTER[[#This Row],[PRECIO DE VENTA]]</f>
        <v>1064</v>
      </c>
      <c r="U6313" s="2">
        <f>MASTER[[#This Row],[CANTIDAD]]*MASTER[[#This Row],[COSTO UNITARIO]]</f>
        <v>387</v>
      </c>
      <c r="V6313" s="2">
        <f>MASTER[[#This Row],[MONTO VENDIDO]]-MASTER[[#This Row],[COSTO DE VENTA]]</f>
        <v>677</v>
      </c>
    </row>
    <row r="6314" spans="1:22" x14ac:dyDescent="0.3">
      <c r="A6314">
        <v>86641</v>
      </c>
      <c r="B6314">
        <v>1</v>
      </c>
      <c r="C6314" t="s">
        <v>114</v>
      </c>
      <c r="D6314" t="s">
        <v>115</v>
      </c>
      <c r="E6314" s="1">
        <v>44514</v>
      </c>
      <c r="F6314">
        <v>1</v>
      </c>
      <c r="G6314" t="s">
        <v>31</v>
      </c>
      <c r="H6314" t="s">
        <v>32</v>
      </c>
      <c r="I6314" s="3">
        <v>2030</v>
      </c>
      <c r="J6314" s="3">
        <v>2030</v>
      </c>
      <c r="K6314" s="3">
        <v>394</v>
      </c>
      <c r="L6314" t="s">
        <v>113</v>
      </c>
      <c r="M6314">
        <v>3</v>
      </c>
      <c r="N6314" t="s">
        <v>69</v>
      </c>
      <c r="O6314" t="s">
        <v>70</v>
      </c>
      <c r="P6314" t="s">
        <v>71</v>
      </c>
      <c r="Q6314" t="s">
        <v>72</v>
      </c>
      <c r="R6314" t="s">
        <v>139</v>
      </c>
      <c r="S6314" t="s">
        <v>144</v>
      </c>
      <c r="T6314" s="2">
        <f>MASTER[[#This Row],[CANTIDAD]]*MASTER[[#This Row],[PRECIO DE VENTA]]</f>
        <v>2030</v>
      </c>
      <c r="U6314" s="2">
        <f>MASTER[[#This Row],[CANTIDAD]]*MASTER[[#This Row],[COSTO UNITARIO]]</f>
        <v>394</v>
      </c>
      <c r="V6314" s="2">
        <f>MASTER[[#This Row],[MONTO VENDIDO]]-MASTER[[#This Row],[COSTO DE VENTA]]</f>
        <v>1636</v>
      </c>
    </row>
    <row r="6315" spans="1:22" x14ac:dyDescent="0.3">
      <c r="A6315">
        <v>86659</v>
      </c>
      <c r="B6315">
        <v>1</v>
      </c>
      <c r="C6315" t="s">
        <v>116</v>
      </c>
      <c r="D6315" t="s">
        <v>117</v>
      </c>
      <c r="E6315" s="1">
        <v>44514</v>
      </c>
      <c r="F6315">
        <v>1</v>
      </c>
      <c r="G6315" t="s">
        <v>35</v>
      </c>
      <c r="H6315" t="s">
        <v>36</v>
      </c>
      <c r="I6315" s="3">
        <v>1738</v>
      </c>
      <c r="J6315" s="3">
        <v>1738</v>
      </c>
      <c r="K6315" s="3">
        <v>388</v>
      </c>
      <c r="L6315" t="s">
        <v>113</v>
      </c>
      <c r="M6315">
        <v>14</v>
      </c>
      <c r="N6315" t="s">
        <v>87</v>
      </c>
      <c r="O6315" t="s">
        <v>81</v>
      </c>
      <c r="P6315" t="s">
        <v>18</v>
      </c>
      <c r="Q6315" t="s">
        <v>19</v>
      </c>
      <c r="R6315" t="s">
        <v>138</v>
      </c>
      <c r="S6315" t="s">
        <v>144</v>
      </c>
      <c r="T6315" s="2">
        <f>MASTER[[#This Row],[CANTIDAD]]*MASTER[[#This Row],[PRECIO DE VENTA]]</f>
        <v>1738</v>
      </c>
      <c r="U6315" s="2">
        <f>MASTER[[#This Row],[CANTIDAD]]*MASTER[[#This Row],[COSTO UNITARIO]]</f>
        <v>388</v>
      </c>
      <c r="V6315" s="2">
        <f>MASTER[[#This Row],[MONTO VENDIDO]]-MASTER[[#This Row],[COSTO DE VENTA]]</f>
        <v>1350</v>
      </c>
    </row>
    <row r="6316" spans="1:22" x14ac:dyDescent="0.3">
      <c r="A6316">
        <v>86660</v>
      </c>
      <c r="B6316">
        <v>1</v>
      </c>
      <c r="C6316" t="s">
        <v>92</v>
      </c>
      <c r="D6316" t="s">
        <v>93</v>
      </c>
      <c r="E6316" s="1">
        <v>44514</v>
      </c>
      <c r="F6316">
        <v>2</v>
      </c>
      <c r="G6316" t="s">
        <v>35</v>
      </c>
      <c r="H6316" t="s">
        <v>36</v>
      </c>
      <c r="I6316" s="3">
        <v>1866</v>
      </c>
      <c r="J6316" s="3">
        <v>1866</v>
      </c>
      <c r="K6316" s="3">
        <v>396</v>
      </c>
      <c r="L6316" t="s">
        <v>9</v>
      </c>
      <c r="M6316">
        <v>6</v>
      </c>
      <c r="N6316" t="s">
        <v>75</v>
      </c>
      <c r="O6316" t="s">
        <v>70</v>
      </c>
      <c r="P6316" t="s">
        <v>12</v>
      </c>
      <c r="Q6316" t="s">
        <v>13</v>
      </c>
      <c r="R6316" t="s">
        <v>13</v>
      </c>
      <c r="S6316" t="s">
        <v>144</v>
      </c>
      <c r="T6316" s="2">
        <f>MASTER[[#This Row],[CANTIDAD]]*MASTER[[#This Row],[PRECIO DE VENTA]]</f>
        <v>3732</v>
      </c>
      <c r="U6316" s="2">
        <f>MASTER[[#This Row],[CANTIDAD]]*MASTER[[#This Row],[COSTO UNITARIO]]</f>
        <v>792</v>
      </c>
      <c r="V6316" s="2">
        <f>MASTER[[#This Row],[MONTO VENDIDO]]-MASTER[[#This Row],[COSTO DE VENTA]]</f>
        <v>2940</v>
      </c>
    </row>
    <row r="6317" spans="1:22" x14ac:dyDescent="0.3">
      <c r="A6317">
        <v>86664</v>
      </c>
      <c r="B6317">
        <v>1</v>
      </c>
      <c r="C6317" t="s">
        <v>92</v>
      </c>
      <c r="D6317" t="s">
        <v>93</v>
      </c>
      <c r="E6317" s="1">
        <v>44514</v>
      </c>
      <c r="F6317">
        <v>1</v>
      </c>
      <c r="G6317" t="s">
        <v>41</v>
      </c>
      <c r="H6317" t="s">
        <v>42</v>
      </c>
      <c r="I6317" s="3">
        <v>1866</v>
      </c>
      <c r="J6317" s="3">
        <v>1716</v>
      </c>
      <c r="K6317" s="3">
        <v>396</v>
      </c>
      <c r="L6317" t="s">
        <v>9</v>
      </c>
      <c r="M6317">
        <v>6</v>
      </c>
      <c r="N6317" t="s">
        <v>75</v>
      </c>
      <c r="O6317" t="s">
        <v>70</v>
      </c>
      <c r="P6317" t="s">
        <v>12</v>
      </c>
      <c r="Q6317" t="s">
        <v>13</v>
      </c>
      <c r="R6317" t="s">
        <v>13</v>
      </c>
      <c r="S6317" t="s">
        <v>144</v>
      </c>
      <c r="T6317" s="2">
        <f>MASTER[[#This Row],[CANTIDAD]]*MASTER[[#This Row],[PRECIO DE VENTA]]</f>
        <v>1716</v>
      </c>
      <c r="U6317" s="2">
        <f>MASTER[[#This Row],[CANTIDAD]]*MASTER[[#This Row],[COSTO UNITARIO]]</f>
        <v>396</v>
      </c>
      <c r="V6317" s="2">
        <f>MASTER[[#This Row],[MONTO VENDIDO]]-MASTER[[#This Row],[COSTO DE VENTA]]</f>
        <v>1320</v>
      </c>
    </row>
    <row r="6318" spans="1:22" x14ac:dyDescent="0.3">
      <c r="A6318">
        <v>86669</v>
      </c>
      <c r="B6318">
        <v>1</v>
      </c>
      <c r="C6318" t="s">
        <v>105</v>
      </c>
      <c r="D6318" t="s">
        <v>106</v>
      </c>
      <c r="E6318" s="1">
        <v>44514</v>
      </c>
      <c r="F6318">
        <v>1</v>
      </c>
      <c r="G6318" t="s">
        <v>27</v>
      </c>
      <c r="H6318" t="s">
        <v>28</v>
      </c>
      <c r="I6318" s="3">
        <v>2033</v>
      </c>
      <c r="J6318" s="3">
        <v>2033</v>
      </c>
      <c r="K6318" s="3">
        <v>459</v>
      </c>
      <c r="L6318" t="s">
        <v>98</v>
      </c>
      <c r="M6318">
        <v>6</v>
      </c>
      <c r="N6318" t="s">
        <v>75</v>
      </c>
      <c r="O6318" t="s">
        <v>70</v>
      </c>
      <c r="P6318" t="s">
        <v>12</v>
      </c>
      <c r="Q6318" t="s">
        <v>13</v>
      </c>
      <c r="R6318" t="s">
        <v>13</v>
      </c>
      <c r="S6318" t="s">
        <v>144</v>
      </c>
      <c r="T6318" s="2">
        <f>MASTER[[#This Row],[CANTIDAD]]*MASTER[[#This Row],[PRECIO DE VENTA]]</f>
        <v>2033</v>
      </c>
      <c r="U6318" s="2">
        <f>MASTER[[#This Row],[CANTIDAD]]*MASTER[[#This Row],[COSTO UNITARIO]]</f>
        <v>459</v>
      </c>
      <c r="V6318" s="2">
        <f>MASTER[[#This Row],[MONTO VENDIDO]]-MASTER[[#This Row],[COSTO DE VENTA]]</f>
        <v>1574</v>
      </c>
    </row>
    <row r="6319" spans="1:22" x14ac:dyDescent="0.3">
      <c r="A6319">
        <v>86676</v>
      </c>
      <c r="B6319">
        <v>1</v>
      </c>
      <c r="C6319" t="s">
        <v>118</v>
      </c>
      <c r="D6319" t="s">
        <v>119</v>
      </c>
      <c r="E6319" s="1">
        <v>44515</v>
      </c>
      <c r="F6319">
        <v>1</v>
      </c>
      <c r="G6319" t="s">
        <v>24</v>
      </c>
      <c r="H6319" t="s">
        <v>25</v>
      </c>
      <c r="I6319" s="3">
        <v>900</v>
      </c>
      <c r="J6319" s="3">
        <v>900</v>
      </c>
      <c r="K6319" s="3">
        <v>424</v>
      </c>
      <c r="L6319" t="s">
        <v>120</v>
      </c>
      <c r="M6319">
        <v>4</v>
      </c>
      <c r="N6319" t="s">
        <v>82</v>
      </c>
      <c r="O6319" t="s">
        <v>81</v>
      </c>
      <c r="P6319" t="s">
        <v>71</v>
      </c>
      <c r="Q6319" t="s">
        <v>72</v>
      </c>
      <c r="R6319" t="s">
        <v>139</v>
      </c>
      <c r="S6319" t="s">
        <v>144</v>
      </c>
      <c r="T6319" s="2">
        <f>MASTER[[#This Row],[CANTIDAD]]*MASTER[[#This Row],[PRECIO DE VENTA]]</f>
        <v>900</v>
      </c>
      <c r="U6319" s="2">
        <f>MASTER[[#This Row],[CANTIDAD]]*MASTER[[#This Row],[COSTO UNITARIO]]</f>
        <v>424</v>
      </c>
      <c r="V6319" s="2">
        <f>MASTER[[#This Row],[MONTO VENDIDO]]-MASTER[[#This Row],[COSTO DE VENTA]]</f>
        <v>476</v>
      </c>
    </row>
    <row r="6320" spans="1:22" x14ac:dyDescent="0.3">
      <c r="A6320">
        <v>86682</v>
      </c>
      <c r="B6320">
        <v>1</v>
      </c>
      <c r="C6320" t="s">
        <v>116</v>
      </c>
      <c r="D6320" t="s">
        <v>117</v>
      </c>
      <c r="E6320" s="1">
        <v>44515</v>
      </c>
      <c r="F6320">
        <v>1</v>
      </c>
      <c r="G6320" t="s">
        <v>24</v>
      </c>
      <c r="H6320" t="s">
        <v>25</v>
      </c>
      <c r="I6320" s="3">
        <v>1738</v>
      </c>
      <c r="J6320" s="3">
        <v>1738</v>
      </c>
      <c r="K6320" s="3">
        <v>388</v>
      </c>
      <c r="L6320" t="s">
        <v>113</v>
      </c>
      <c r="M6320">
        <v>4</v>
      </c>
      <c r="N6320" t="s">
        <v>82</v>
      </c>
      <c r="O6320" t="s">
        <v>81</v>
      </c>
      <c r="P6320" t="s">
        <v>71</v>
      </c>
      <c r="Q6320" t="s">
        <v>72</v>
      </c>
      <c r="R6320" t="s">
        <v>139</v>
      </c>
      <c r="S6320" t="s">
        <v>144</v>
      </c>
      <c r="T6320" s="2">
        <f>MASTER[[#This Row],[CANTIDAD]]*MASTER[[#This Row],[PRECIO DE VENTA]]</f>
        <v>1738</v>
      </c>
      <c r="U6320" s="2">
        <f>MASTER[[#This Row],[CANTIDAD]]*MASTER[[#This Row],[COSTO UNITARIO]]</f>
        <v>388</v>
      </c>
      <c r="V6320" s="2">
        <f>MASTER[[#This Row],[MONTO VENDIDO]]-MASTER[[#This Row],[COSTO DE VENTA]]</f>
        <v>1350</v>
      </c>
    </row>
    <row r="6321" spans="1:22" x14ac:dyDescent="0.3">
      <c r="A6321">
        <v>86697</v>
      </c>
      <c r="B6321">
        <v>1</v>
      </c>
      <c r="C6321" t="s">
        <v>94</v>
      </c>
      <c r="D6321" t="s">
        <v>95</v>
      </c>
      <c r="E6321" s="1">
        <v>44515</v>
      </c>
      <c r="F6321">
        <v>1</v>
      </c>
      <c r="G6321" t="s">
        <v>53</v>
      </c>
      <c r="H6321" t="s">
        <v>54</v>
      </c>
      <c r="I6321" s="3">
        <v>1048</v>
      </c>
      <c r="J6321" s="3">
        <v>1048</v>
      </c>
      <c r="K6321" s="3">
        <v>392</v>
      </c>
      <c r="L6321" t="s">
        <v>9</v>
      </c>
      <c r="M6321">
        <v>10</v>
      </c>
      <c r="N6321" t="s">
        <v>83</v>
      </c>
      <c r="O6321" t="s">
        <v>81</v>
      </c>
      <c r="P6321" t="s">
        <v>12</v>
      </c>
      <c r="Q6321" t="s">
        <v>13</v>
      </c>
      <c r="R6321" t="s">
        <v>13</v>
      </c>
      <c r="S6321" t="s">
        <v>144</v>
      </c>
      <c r="T6321" s="2">
        <f>MASTER[[#This Row],[CANTIDAD]]*MASTER[[#This Row],[PRECIO DE VENTA]]</f>
        <v>1048</v>
      </c>
      <c r="U6321" s="2">
        <f>MASTER[[#This Row],[CANTIDAD]]*MASTER[[#This Row],[COSTO UNITARIO]]</f>
        <v>392</v>
      </c>
      <c r="V6321" s="2">
        <f>MASTER[[#This Row],[MONTO VENDIDO]]-MASTER[[#This Row],[COSTO DE VENTA]]</f>
        <v>656</v>
      </c>
    </row>
    <row r="6322" spans="1:22" x14ac:dyDescent="0.3">
      <c r="A6322">
        <v>86705</v>
      </c>
      <c r="B6322">
        <v>1</v>
      </c>
      <c r="C6322" t="s">
        <v>101</v>
      </c>
      <c r="D6322" t="s">
        <v>102</v>
      </c>
      <c r="E6322" s="1">
        <v>44515</v>
      </c>
      <c r="F6322">
        <v>1</v>
      </c>
      <c r="G6322" t="s">
        <v>24</v>
      </c>
      <c r="H6322" t="s">
        <v>25</v>
      </c>
      <c r="I6322" s="3">
        <v>1357</v>
      </c>
      <c r="J6322" s="3">
        <v>1357</v>
      </c>
      <c r="K6322" s="3">
        <v>442</v>
      </c>
      <c r="L6322" t="s">
        <v>98</v>
      </c>
      <c r="M6322">
        <v>13</v>
      </c>
      <c r="N6322" t="s">
        <v>78</v>
      </c>
      <c r="O6322" t="s">
        <v>70</v>
      </c>
      <c r="P6322" t="s">
        <v>18</v>
      </c>
      <c r="Q6322" t="s">
        <v>19</v>
      </c>
      <c r="R6322" t="s">
        <v>138</v>
      </c>
      <c r="S6322" t="s">
        <v>144</v>
      </c>
      <c r="T6322" s="2">
        <f>MASTER[[#This Row],[CANTIDAD]]*MASTER[[#This Row],[PRECIO DE VENTA]]</f>
        <v>1357</v>
      </c>
      <c r="U6322" s="2">
        <f>MASTER[[#This Row],[CANTIDAD]]*MASTER[[#This Row],[COSTO UNITARIO]]</f>
        <v>442</v>
      </c>
      <c r="V6322" s="2">
        <f>MASTER[[#This Row],[MONTO VENDIDO]]-MASTER[[#This Row],[COSTO DE VENTA]]</f>
        <v>915</v>
      </c>
    </row>
    <row r="6323" spans="1:22" x14ac:dyDescent="0.3">
      <c r="A6323">
        <v>86709</v>
      </c>
      <c r="B6323">
        <v>1</v>
      </c>
      <c r="C6323" t="s">
        <v>90</v>
      </c>
      <c r="D6323" t="s">
        <v>91</v>
      </c>
      <c r="E6323" s="1">
        <v>44515</v>
      </c>
      <c r="F6323">
        <v>1</v>
      </c>
      <c r="G6323" t="s">
        <v>73</v>
      </c>
      <c r="H6323" t="s">
        <v>74</v>
      </c>
      <c r="I6323" s="3">
        <v>1844</v>
      </c>
      <c r="J6323" s="3">
        <v>1844</v>
      </c>
      <c r="K6323" s="3">
        <v>420</v>
      </c>
      <c r="L6323" t="s">
        <v>9</v>
      </c>
      <c r="M6323">
        <v>8</v>
      </c>
      <c r="N6323" t="s">
        <v>80</v>
      </c>
      <c r="O6323" t="s">
        <v>81</v>
      </c>
      <c r="P6323" t="s">
        <v>12</v>
      </c>
      <c r="Q6323" t="s">
        <v>13</v>
      </c>
      <c r="R6323" t="s">
        <v>13</v>
      </c>
      <c r="S6323" t="s">
        <v>144</v>
      </c>
      <c r="T6323" s="2">
        <f>MASTER[[#This Row],[CANTIDAD]]*MASTER[[#This Row],[PRECIO DE VENTA]]</f>
        <v>1844</v>
      </c>
      <c r="U6323" s="2">
        <f>MASTER[[#This Row],[CANTIDAD]]*MASTER[[#This Row],[COSTO UNITARIO]]</f>
        <v>420</v>
      </c>
      <c r="V6323" s="2">
        <f>MASTER[[#This Row],[MONTO VENDIDO]]-MASTER[[#This Row],[COSTO DE VENTA]]</f>
        <v>1424</v>
      </c>
    </row>
    <row r="6324" spans="1:22" x14ac:dyDescent="0.3">
      <c r="A6324">
        <v>86718</v>
      </c>
      <c r="B6324">
        <v>1</v>
      </c>
      <c r="C6324" t="s">
        <v>96</v>
      </c>
      <c r="D6324" t="s">
        <v>97</v>
      </c>
      <c r="E6324" s="1">
        <v>44515</v>
      </c>
      <c r="F6324">
        <v>1</v>
      </c>
      <c r="G6324" t="s">
        <v>45</v>
      </c>
      <c r="H6324" t="s">
        <v>46</v>
      </c>
      <c r="I6324" s="3">
        <v>1272</v>
      </c>
      <c r="J6324" s="3">
        <v>1182</v>
      </c>
      <c r="K6324" s="3">
        <v>397</v>
      </c>
      <c r="L6324" t="s">
        <v>98</v>
      </c>
      <c r="M6324">
        <v>15</v>
      </c>
      <c r="N6324" t="s">
        <v>88</v>
      </c>
      <c r="O6324" t="s">
        <v>81</v>
      </c>
      <c r="P6324" t="s">
        <v>18</v>
      </c>
      <c r="Q6324" t="s">
        <v>19</v>
      </c>
      <c r="R6324" t="s">
        <v>138</v>
      </c>
      <c r="S6324" t="s">
        <v>144</v>
      </c>
      <c r="T6324" s="2">
        <f>MASTER[[#This Row],[CANTIDAD]]*MASTER[[#This Row],[PRECIO DE VENTA]]</f>
        <v>1182</v>
      </c>
      <c r="U6324" s="2">
        <f>MASTER[[#This Row],[CANTIDAD]]*MASTER[[#This Row],[COSTO UNITARIO]]</f>
        <v>397</v>
      </c>
      <c r="V6324" s="2">
        <f>MASTER[[#This Row],[MONTO VENDIDO]]-MASTER[[#This Row],[COSTO DE VENTA]]</f>
        <v>785</v>
      </c>
    </row>
    <row r="6325" spans="1:22" x14ac:dyDescent="0.3">
      <c r="A6325">
        <v>86742</v>
      </c>
      <c r="B6325">
        <v>1</v>
      </c>
      <c r="C6325" t="s">
        <v>116</v>
      </c>
      <c r="D6325" t="s">
        <v>117</v>
      </c>
      <c r="E6325" s="1">
        <v>44515</v>
      </c>
      <c r="F6325">
        <v>1</v>
      </c>
      <c r="G6325" t="s">
        <v>35</v>
      </c>
      <c r="H6325" t="s">
        <v>36</v>
      </c>
      <c r="I6325" s="3">
        <v>1529</v>
      </c>
      <c r="J6325" s="3">
        <v>1529</v>
      </c>
      <c r="K6325" s="3">
        <v>388</v>
      </c>
      <c r="L6325" t="s">
        <v>113</v>
      </c>
      <c r="M6325">
        <v>16</v>
      </c>
      <c r="N6325" t="s">
        <v>17</v>
      </c>
      <c r="O6325" t="s">
        <v>11</v>
      </c>
      <c r="P6325" t="s">
        <v>18</v>
      </c>
      <c r="Q6325" t="s">
        <v>19</v>
      </c>
      <c r="R6325" t="s">
        <v>138</v>
      </c>
      <c r="S6325" t="s">
        <v>144</v>
      </c>
      <c r="T6325" s="2">
        <f>MASTER[[#This Row],[CANTIDAD]]*MASTER[[#This Row],[PRECIO DE VENTA]]</f>
        <v>1529</v>
      </c>
      <c r="U6325" s="2">
        <f>MASTER[[#This Row],[CANTIDAD]]*MASTER[[#This Row],[COSTO UNITARIO]]</f>
        <v>388</v>
      </c>
      <c r="V6325" s="2">
        <f>MASTER[[#This Row],[MONTO VENDIDO]]-MASTER[[#This Row],[COSTO DE VENTA]]</f>
        <v>1141</v>
      </c>
    </row>
    <row r="6326" spans="1:22" x14ac:dyDescent="0.3">
      <c r="A6326">
        <v>86750</v>
      </c>
      <c r="B6326">
        <v>1</v>
      </c>
      <c r="C6326" t="s">
        <v>99</v>
      </c>
      <c r="D6326" t="s">
        <v>100</v>
      </c>
      <c r="E6326" s="1">
        <v>44515</v>
      </c>
      <c r="F6326">
        <v>1</v>
      </c>
      <c r="G6326" t="s">
        <v>53</v>
      </c>
      <c r="H6326" t="s">
        <v>54</v>
      </c>
      <c r="I6326" s="3">
        <v>1678</v>
      </c>
      <c r="J6326" s="3">
        <v>1678</v>
      </c>
      <c r="K6326" s="3">
        <v>386</v>
      </c>
      <c r="L6326" t="s">
        <v>98</v>
      </c>
      <c r="M6326">
        <v>18</v>
      </c>
      <c r="N6326" t="s">
        <v>79</v>
      </c>
      <c r="O6326" t="s">
        <v>70</v>
      </c>
      <c r="P6326" t="s">
        <v>15</v>
      </c>
      <c r="Q6326" t="s">
        <v>16</v>
      </c>
      <c r="R6326" t="s">
        <v>16</v>
      </c>
      <c r="S6326" t="s">
        <v>144</v>
      </c>
      <c r="T6326" s="2">
        <f>MASTER[[#This Row],[CANTIDAD]]*MASTER[[#This Row],[PRECIO DE VENTA]]</f>
        <v>1678</v>
      </c>
      <c r="U6326" s="2">
        <f>MASTER[[#This Row],[CANTIDAD]]*MASTER[[#This Row],[COSTO UNITARIO]]</f>
        <v>386</v>
      </c>
      <c r="V6326" s="2">
        <f>MASTER[[#This Row],[MONTO VENDIDO]]-MASTER[[#This Row],[COSTO DE VENTA]]</f>
        <v>1292</v>
      </c>
    </row>
    <row r="6327" spans="1:22" x14ac:dyDescent="0.3">
      <c r="A6327">
        <v>86756</v>
      </c>
      <c r="B6327">
        <v>1</v>
      </c>
      <c r="C6327" t="s">
        <v>92</v>
      </c>
      <c r="D6327" t="s">
        <v>93</v>
      </c>
      <c r="E6327" s="1">
        <v>44515</v>
      </c>
      <c r="F6327">
        <v>1</v>
      </c>
      <c r="G6327" t="s">
        <v>55</v>
      </c>
      <c r="H6327" t="s">
        <v>56</v>
      </c>
      <c r="I6327" s="3">
        <v>1479</v>
      </c>
      <c r="J6327" s="3">
        <v>1479</v>
      </c>
      <c r="K6327" s="3">
        <v>396</v>
      </c>
      <c r="L6327" t="s">
        <v>9</v>
      </c>
      <c r="M6327">
        <v>11</v>
      </c>
      <c r="N6327" t="s">
        <v>10</v>
      </c>
      <c r="O6327" t="s">
        <v>11</v>
      </c>
      <c r="P6327" t="s">
        <v>12</v>
      </c>
      <c r="Q6327" t="s">
        <v>13</v>
      </c>
      <c r="R6327" t="s">
        <v>13</v>
      </c>
      <c r="S6327" t="s">
        <v>144</v>
      </c>
      <c r="T6327" s="2">
        <f>MASTER[[#This Row],[CANTIDAD]]*MASTER[[#This Row],[PRECIO DE VENTA]]</f>
        <v>1479</v>
      </c>
      <c r="U6327" s="2">
        <f>MASTER[[#This Row],[CANTIDAD]]*MASTER[[#This Row],[COSTO UNITARIO]]</f>
        <v>396</v>
      </c>
      <c r="V6327" s="2">
        <f>MASTER[[#This Row],[MONTO VENDIDO]]-MASTER[[#This Row],[COSTO DE VENTA]]</f>
        <v>1083</v>
      </c>
    </row>
    <row r="6328" spans="1:22" x14ac:dyDescent="0.3">
      <c r="A6328">
        <v>86775</v>
      </c>
      <c r="B6328">
        <v>1</v>
      </c>
      <c r="C6328" t="s">
        <v>90</v>
      </c>
      <c r="D6328" t="s">
        <v>91</v>
      </c>
      <c r="E6328" s="1">
        <v>44515</v>
      </c>
      <c r="F6328">
        <v>1</v>
      </c>
      <c r="G6328" t="s">
        <v>49</v>
      </c>
      <c r="H6328" t="s">
        <v>50</v>
      </c>
      <c r="I6328" s="3">
        <v>1844</v>
      </c>
      <c r="J6328" s="3">
        <v>1770</v>
      </c>
      <c r="K6328" s="3">
        <v>420</v>
      </c>
      <c r="L6328" t="s">
        <v>9</v>
      </c>
      <c r="M6328">
        <v>19</v>
      </c>
      <c r="N6328" t="s">
        <v>89</v>
      </c>
      <c r="O6328" t="s">
        <v>81</v>
      </c>
      <c r="P6328" t="s">
        <v>15</v>
      </c>
      <c r="Q6328" t="s">
        <v>16</v>
      </c>
      <c r="R6328" t="s">
        <v>16</v>
      </c>
      <c r="S6328" t="s">
        <v>144</v>
      </c>
      <c r="T6328" s="2">
        <f>MASTER[[#This Row],[CANTIDAD]]*MASTER[[#This Row],[PRECIO DE VENTA]]</f>
        <v>1770</v>
      </c>
      <c r="U6328" s="2">
        <f>MASTER[[#This Row],[CANTIDAD]]*MASTER[[#This Row],[COSTO UNITARIO]]</f>
        <v>420</v>
      </c>
      <c r="V6328" s="2">
        <f>MASTER[[#This Row],[MONTO VENDIDO]]-MASTER[[#This Row],[COSTO DE VENTA]]</f>
        <v>1350</v>
      </c>
    </row>
    <row r="6329" spans="1:22" x14ac:dyDescent="0.3">
      <c r="A6329">
        <v>86780</v>
      </c>
      <c r="B6329">
        <v>1</v>
      </c>
      <c r="C6329" t="s">
        <v>96</v>
      </c>
      <c r="D6329" t="s">
        <v>97</v>
      </c>
      <c r="E6329" s="1">
        <v>44515</v>
      </c>
      <c r="F6329">
        <v>1</v>
      </c>
      <c r="G6329" t="s">
        <v>20</v>
      </c>
      <c r="H6329" t="s">
        <v>21</v>
      </c>
      <c r="I6329" s="3">
        <v>1196</v>
      </c>
      <c r="J6329" s="3">
        <v>1196</v>
      </c>
      <c r="K6329" s="3">
        <v>397</v>
      </c>
      <c r="L6329" t="s">
        <v>98</v>
      </c>
      <c r="M6329">
        <v>17</v>
      </c>
      <c r="N6329" t="s">
        <v>14</v>
      </c>
      <c r="O6329" t="s">
        <v>11</v>
      </c>
      <c r="P6329" t="s">
        <v>15</v>
      </c>
      <c r="Q6329" t="s">
        <v>16</v>
      </c>
      <c r="R6329" t="s">
        <v>16</v>
      </c>
      <c r="S6329" t="s">
        <v>144</v>
      </c>
      <c r="T6329" s="2">
        <f>MASTER[[#This Row],[CANTIDAD]]*MASTER[[#This Row],[PRECIO DE VENTA]]</f>
        <v>1196</v>
      </c>
      <c r="U6329" s="2">
        <f>MASTER[[#This Row],[CANTIDAD]]*MASTER[[#This Row],[COSTO UNITARIO]]</f>
        <v>397</v>
      </c>
      <c r="V6329" s="2">
        <f>MASTER[[#This Row],[MONTO VENDIDO]]-MASTER[[#This Row],[COSTO DE VENTA]]</f>
        <v>799</v>
      </c>
    </row>
    <row r="6330" spans="1:22" x14ac:dyDescent="0.3">
      <c r="A6330">
        <v>86791</v>
      </c>
      <c r="B6330">
        <v>1</v>
      </c>
      <c r="C6330" t="s">
        <v>101</v>
      </c>
      <c r="D6330" t="s">
        <v>102</v>
      </c>
      <c r="E6330" s="1">
        <v>44515</v>
      </c>
      <c r="F6330">
        <v>4</v>
      </c>
      <c r="G6330" t="s">
        <v>67</v>
      </c>
      <c r="H6330" t="s">
        <v>68</v>
      </c>
      <c r="I6330" s="3">
        <v>1357</v>
      </c>
      <c r="J6330" s="3">
        <v>1357</v>
      </c>
      <c r="K6330" s="3">
        <v>442</v>
      </c>
      <c r="L6330" t="s">
        <v>98</v>
      </c>
      <c r="M6330">
        <v>9</v>
      </c>
      <c r="N6330" t="s">
        <v>76</v>
      </c>
      <c r="O6330" t="s">
        <v>70</v>
      </c>
      <c r="P6330" t="s">
        <v>12</v>
      </c>
      <c r="Q6330" t="s">
        <v>13</v>
      </c>
      <c r="R6330" t="s">
        <v>13</v>
      </c>
      <c r="S6330" t="s">
        <v>144</v>
      </c>
      <c r="T6330" s="2">
        <f>MASTER[[#This Row],[CANTIDAD]]*MASTER[[#This Row],[PRECIO DE VENTA]]</f>
        <v>5428</v>
      </c>
      <c r="U6330" s="2">
        <f>MASTER[[#This Row],[CANTIDAD]]*MASTER[[#This Row],[COSTO UNITARIO]]</f>
        <v>1768</v>
      </c>
      <c r="V6330" s="2">
        <f>MASTER[[#This Row],[MONTO VENDIDO]]-MASTER[[#This Row],[COSTO DE VENTA]]</f>
        <v>3660</v>
      </c>
    </row>
    <row r="6331" spans="1:22" x14ac:dyDescent="0.3">
      <c r="A6331">
        <v>86806</v>
      </c>
      <c r="B6331">
        <v>1</v>
      </c>
      <c r="C6331" t="s">
        <v>94</v>
      </c>
      <c r="D6331" t="s">
        <v>95</v>
      </c>
      <c r="E6331" s="1">
        <v>44515</v>
      </c>
      <c r="F6331">
        <v>1</v>
      </c>
      <c r="G6331" t="s">
        <v>65</v>
      </c>
      <c r="H6331" t="s">
        <v>66</v>
      </c>
      <c r="I6331" s="3">
        <v>1048</v>
      </c>
      <c r="J6331" s="3">
        <v>1048</v>
      </c>
      <c r="K6331" s="3">
        <v>392</v>
      </c>
      <c r="L6331" t="s">
        <v>9</v>
      </c>
      <c r="M6331">
        <v>5</v>
      </c>
      <c r="N6331" t="s">
        <v>85</v>
      </c>
      <c r="O6331" t="s">
        <v>81</v>
      </c>
      <c r="P6331" t="s">
        <v>12</v>
      </c>
      <c r="Q6331" t="s">
        <v>13</v>
      </c>
      <c r="R6331" t="s">
        <v>13</v>
      </c>
      <c r="S6331" t="s">
        <v>144</v>
      </c>
      <c r="T6331" s="2">
        <f>MASTER[[#This Row],[CANTIDAD]]*MASTER[[#This Row],[PRECIO DE VENTA]]</f>
        <v>1048</v>
      </c>
      <c r="U6331" s="2">
        <f>MASTER[[#This Row],[CANTIDAD]]*MASTER[[#This Row],[COSTO UNITARIO]]</f>
        <v>392</v>
      </c>
      <c r="V6331" s="2">
        <f>MASTER[[#This Row],[MONTO VENDIDO]]-MASTER[[#This Row],[COSTO DE VENTA]]</f>
        <v>656</v>
      </c>
    </row>
    <row r="6332" spans="1:22" x14ac:dyDescent="0.3">
      <c r="A6332">
        <v>86819</v>
      </c>
      <c r="B6332">
        <v>1</v>
      </c>
      <c r="C6332" t="s">
        <v>94</v>
      </c>
      <c r="D6332" t="s">
        <v>95</v>
      </c>
      <c r="E6332" s="1">
        <v>44516</v>
      </c>
      <c r="F6332">
        <v>1</v>
      </c>
      <c r="G6332" t="s">
        <v>29</v>
      </c>
      <c r="H6332" t="s">
        <v>30</v>
      </c>
      <c r="I6332" s="3">
        <v>1153</v>
      </c>
      <c r="J6332" s="3">
        <v>1153</v>
      </c>
      <c r="K6332" s="3">
        <v>392</v>
      </c>
      <c r="L6332" t="s">
        <v>9</v>
      </c>
      <c r="M6332">
        <v>9</v>
      </c>
      <c r="N6332" t="s">
        <v>76</v>
      </c>
      <c r="O6332" t="s">
        <v>70</v>
      </c>
      <c r="P6332" t="s">
        <v>12</v>
      </c>
      <c r="Q6332" t="s">
        <v>13</v>
      </c>
      <c r="R6332" t="s">
        <v>13</v>
      </c>
      <c r="S6332" t="s">
        <v>144</v>
      </c>
      <c r="T6332" s="2">
        <f>MASTER[[#This Row],[CANTIDAD]]*MASTER[[#This Row],[PRECIO DE VENTA]]</f>
        <v>1153</v>
      </c>
      <c r="U6332" s="2">
        <f>MASTER[[#This Row],[CANTIDAD]]*MASTER[[#This Row],[COSTO UNITARIO]]</f>
        <v>392</v>
      </c>
      <c r="V6332" s="2">
        <f>MASTER[[#This Row],[MONTO VENDIDO]]-MASTER[[#This Row],[COSTO DE VENTA]]</f>
        <v>761</v>
      </c>
    </row>
    <row r="6333" spans="1:22" x14ac:dyDescent="0.3">
      <c r="A6333">
        <v>86820</v>
      </c>
      <c r="B6333">
        <v>1</v>
      </c>
      <c r="C6333" t="s">
        <v>109</v>
      </c>
      <c r="D6333" t="s">
        <v>110</v>
      </c>
      <c r="E6333" s="1">
        <v>44516</v>
      </c>
      <c r="F6333">
        <v>1</v>
      </c>
      <c r="G6333" t="s">
        <v>20</v>
      </c>
      <c r="H6333" t="s">
        <v>21</v>
      </c>
      <c r="I6333" s="3">
        <v>1064</v>
      </c>
      <c r="J6333" s="3">
        <v>1064</v>
      </c>
      <c r="K6333" s="3">
        <v>387</v>
      </c>
      <c r="L6333" t="s">
        <v>98</v>
      </c>
      <c r="M6333">
        <v>2</v>
      </c>
      <c r="N6333" t="s">
        <v>86</v>
      </c>
      <c r="O6333" t="s">
        <v>81</v>
      </c>
      <c r="P6333" t="s">
        <v>71</v>
      </c>
      <c r="Q6333" t="s">
        <v>72</v>
      </c>
      <c r="R6333" t="s">
        <v>139</v>
      </c>
      <c r="S6333" t="s">
        <v>144</v>
      </c>
      <c r="T6333" s="2">
        <f>MASTER[[#This Row],[CANTIDAD]]*MASTER[[#This Row],[PRECIO DE VENTA]]</f>
        <v>1064</v>
      </c>
      <c r="U6333" s="2">
        <f>MASTER[[#This Row],[CANTIDAD]]*MASTER[[#This Row],[COSTO UNITARIO]]</f>
        <v>387</v>
      </c>
      <c r="V6333" s="2">
        <f>MASTER[[#This Row],[MONTO VENDIDO]]-MASTER[[#This Row],[COSTO DE VENTA]]</f>
        <v>677</v>
      </c>
    </row>
    <row r="6334" spans="1:22" x14ac:dyDescent="0.3">
      <c r="A6334">
        <v>86851</v>
      </c>
      <c r="B6334">
        <v>1</v>
      </c>
      <c r="C6334" t="s">
        <v>105</v>
      </c>
      <c r="D6334" t="s">
        <v>106</v>
      </c>
      <c r="E6334" s="1">
        <v>44516</v>
      </c>
      <c r="F6334">
        <v>1</v>
      </c>
      <c r="G6334" t="s">
        <v>47</v>
      </c>
      <c r="H6334" t="s">
        <v>48</v>
      </c>
      <c r="I6334" s="3">
        <v>1865</v>
      </c>
      <c r="J6334" s="3">
        <v>1865</v>
      </c>
      <c r="K6334" s="3">
        <v>459</v>
      </c>
      <c r="L6334" t="s">
        <v>98</v>
      </c>
      <c r="M6334">
        <v>8</v>
      </c>
      <c r="N6334" t="s">
        <v>80</v>
      </c>
      <c r="O6334" t="s">
        <v>81</v>
      </c>
      <c r="P6334" t="s">
        <v>12</v>
      </c>
      <c r="Q6334" t="s">
        <v>13</v>
      </c>
      <c r="R6334" t="s">
        <v>13</v>
      </c>
      <c r="S6334" t="s">
        <v>144</v>
      </c>
      <c r="T6334" s="2">
        <f>MASTER[[#This Row],[CANTIDAD]]*MASTER[[#This Row],[PRECIO DE VENTA]]</f>
        <v>1865</v>
      </c>
      <c r="U6334" s="2">
        <f>MASTER[[#This Row],[CANTIDAD]]*MASTER[[#This Row],[COSTO UNITARIO]]</f>
        <v>459</v>
      </c>
      <c r="V6334" s="2">
        <f>MASTER[[#This Row],[MONTO VENDIDO]]-MASTER[[#This Row],[COSTO DE VENTA]]</f>
        <v>1406</v>
      </c>
    </row>
    <row r="6335" spans="1:22" x14ac:dyDescent="0.3">
      <c r="A6335">
        <v>86867</v>
      </c>
      <c r="B6335">
        <v>1</v>
      </c>
      <c r="C6335" t="s">
        <v>111</v>
      </c>
      <c r="D6335" t="s">
        <v>112</v>
      </c>
      <c r="E6335" s="1">
        <v>44516</v>
      </c>
      <c r="F6335">
        <v>1</v>
      </c>
      <c r="G6335" t="s">
        <v>49</v>
      </c>
      <c r="H6335" t="s">
        <v>50</v>
      </c>
      <c r="I6335" s="3">
        <v>1799</v>
      </c>
      <c r="J6335" s="3">
        <v>1619</v>
      </c>
      <c r="K6335" s="3">
        <v>434</v>
      </c>
      <c r="L6335" t="s">
        <v>113</v>
      </c>
      <c r="M6335">
        <v>18</v>
      </c>
      <c r="N6335" t="s">
        <v>79</v>
      </c>
      <c r="O6335" t="s">
        <v>70</v>
      </c>
      <c r="P6335" t="s">
        <v>15</v>
      </c>
      <c r="Q6335" t="s">
        <v>16</v>
      </c>
      <c r="R6335" t="s">
        <v>16</v>
      </c>
      <c r="S6335" t="s">
        <v>144</v>
      </c>
      <c r="T6335" s="2">
        <f>MASTER[[#This Row],[CANTIDAD]]*MASTER[[#This Row],[PRECIO DE VENTA]]</f>
        <v>1619</v>
      </c>
      <c r="U6335" s="2">
        <f>MASTER[[#This Row],[CANTIDAD]]*MASTER[[#This Row],[COSTO UNITARIO]]</f>
        <v>434</v>
      </c>
      <c r="V6335" s="2">
        <f>MASTER[[#This Row],[MONTO VENDIDO]]-MASTER[[#This Row],[COSTO DE VENTA]]</f>
        <v>1185</v>
      </c>
    </row>
    <row r="6336" spans="1:22" x14ac:dyDescent="0.3">
      <c r="A6336">
        <v>86870</v>
      </c>
      <c r="B6336">
        <v>1</v>
      </c>
      <c r="C6336" t="s">
        <v>121</v>
      </c>
      <c r="D6336" t="s">
        <v>122</v>
      </c>
      <c r="E6336" s="1">
        <v>44516</v>
      </c>
      <c r="F6336">
        <v>4</v>
      </c>
      <c r="G6336" t="s">
        <v>57</v>
      </c>
      <c r="H6336" t="s">
        <v>58</v>
      </c>
      <c r="I6336" s="3">
        <v>1069</v>
      </c>
      <c r="J6336" s="3">
        <v>1069</v>
      </c>
      <c r="K6336" s="3">
        <v>460</v>
      </c>
      <c r="L6336" t="s">
        <v>120</v>
      </c>
      <c r="M6336">
        <v>4</v>
      </c>
      <c r="N6336" t="s">
        <v>82</v>
      </c>
      <c r="O6336" t="s">
        <v>81</v>
      </c>
      <c r="P6336" t="s">
        <v>71</v>
      </c>
      <c r="Q6336" t="s">
        <v>72</v>
      </c>
      <c r="R6336" t="s">
        <v>139</v>
      </c>
      <c r="S6336" t="s">
        <v>144</v>
      </c>
      <c r="T6336" s="2">
        <f>MASTER[[#This Row],[CANTIDAD]]*MASTER[[#This Row],[PRECIO DE VENTA]]</f>
        <v>4276</v>
      </c>
      <c r="U6336" s="2">
        <f>MASTER[[#This Row],[CANTIDAD]]*MASTER[[#This Row],[COSTO UNITARIO]]</f>
        <v>1840</v>
      </c>
      <c r="V6336" s="2">
        <f>MASTER[[#This Row],[MONTO VENDIDO]]-MASTER[[#This Row],[COSTO DE VENTA]]</f>
        <v>2436</v>
      </c>
    </row>
    <row r="6337" spans="1:22" x14ac:dyDescent="0.3">
      <c r="A6337">
        <v>86876</v>
      </c>
      <c r="B6337">
        <v>1</v>
      </c>
      <c r="C6337" t="s">
        <v>111</v>
      </c>
      <c r="D6337" t="s">
        <v>112</v>
      </c>
      <c r="E6337" s="1">
        <v>44516</v>
      </c>
      <c r="F6337">
        <v>1</v>
      </c>
      <c r="G6337" t="s">
        <v>37</v>
      </c>
      <c r="H6337" t="s">
        <v>38</v>
      </c>
      <c r="I6337" s="3">
        <v>1621</v>
      </c>
      <c r="J6337" s="3">
        <v>1621</v>
      </c>
      <c r="K6337" s="3">
        <v>434</v>
      </c>
      <c r="L6337" t="s">
        <v>113</v>
      </c>
      <c r="M6337">
        <v>10</v>
      </c>
      <c r="N6337" t="s">
        <v>83</v>
      </c>
      <c r="O6337" t="s">
        <v>81</v>
      </c>
      <c r="P6337" t="s">
        <v>12</v>
      </c>
      <c r="Q6337" t="s">
        <v>13</v>
      </c>
      <c r="R6337" t="s">
        <v>13</v>
      </c>
      <c r="S6337" t="s">
        <v>144</v>
      </c>
      <c r="T6337" s="2">
        <f>MASTER[[#This Row],[CANTIDAD]]*MASTER[[#This Row],[PRECIO DE VENTA]]</f>
        <v>1621</v>
      </c>
      <c r="U6337" s="2">
        <f>MASTER[[#This Row],[CANTIDAD]]*MASTER[[#This Row],[COSTO UNITARIO]]</f>
        <v>434</v>
      </c>
      <c r="V6337" s="2">
        <f>MASTER[[#This Row],[MONTO VENDIDO]]-MASTER[[#This Row],[COSTO DE VENTA]]</f>
        <v>1187</v>
      </c>
    </row>
    <row r="6338" spans="1:22" x14ac:dyDescent="0.3">
      <c r="A6338">
        <v>86888</v>
      </c>
      <c r="B6338">
        <v>1</v>
      </c>
      <c r="C6338" t="s">
        <v>121</v>
      </c>
      <c r="D6338" t="s">
        <v>122</v>
      </c>
      <c r="E6338" s="1">
        <v>44516</v>
      </c>
      <c r="F6338">
        <v>1</v>
      </c>
      <c r="G6338" t="s">
        <v>45</v>
      </c>
      <c r="H6338" t="s">
        <v>46</v>
      </c>
      <c r="I6338" s="3">
        <v>1069</v>
      </c>
      <c r="J6338" s="3">
        <v>1069</v>
      </c>
      <c r="K6338" s="3">
        <v>460</v>
      </c>
      <c r="L6338" t="s">
        <v>120</v>
      </c>
      <c r="M6338">
        <v>4</v>
      </c>
      <c r="N6338" t="s">
        <v>82</v>
      </c>
      <c r="O6338" t="s">
        <v>81</v>
      </c>
      <c r="P6338" t="s">
        <v>71</v>
      </c>
      <c r="Q6338" t="s">
        <v>72</v>
      </c>
      <c r="R6338" t="s">
        <v>139</v>
      </c>
      <c r="S6338" t="s">
        <v>144</v>
      </c>
      <c r="T6338" s="2">
        <f>MASTER[[#This Row],[CANTIDAD]]*MASTER[[#This Row],[PRECIO DE VENTA]]</f>
        <v>1069</v>
      </c>
      <c r="U6338" s="2">
        <f>MASTER[[#This Row],[CANTIDAD]]*MASTER[[#This Row],[COSTO UNITARIO]]</f>
        <v>460</v>
      </c>
      <c r="V6338" s="2">
        <f>MASTER[[#This Row],[MONTO VENDIDO]]-MASTER[[#This Row],[COSTO DE VENTA]]</f>
        <v>609</v>
      </c>
    </row>
    <row r="6339" spans="1:22" x14ac:dyDescent="0.3">
      <c r="A6339">
        <v>86907</v>
      </c>
      <c r="B6339">
        <v>1</v>
      </c>
      <c r="C6339" t="s">
        <v>5</v>
      </c>
      <c r="D6339" t="s">
        <v>6</v>
      </c>
      <c r="E6339" s="1">
        <v>44516</v>
      </c>
      <c r="F6339">
        <v>1</v>
      </c>
      <c r="G6339" t="s">
        <v>45</v>
      </c>
      <c r="H6339" t="s">
        <v>46</v>
      </c>
      <c r="I6339" s="3">
        <v>1507</v>
      </c>
      <c r="J6339" s="3">
        <v>1507</v>
      </c>
      <c r="K6339" s="3">
        <v>393</v>
      </c>
      <c r="L6339" t="s">
        <v>9</v>
      </c>
      <c r="M6339">
        <v>4</v>
      </c>
      <c r="N6339" t="s">
        <v>82</v>
      </c>
      <c r="O6339" t="s">
        <v>81</v>
      </c>
      <c r="P6339" t="s">
        <v>71</v>
      </c>
      <c r="Q6339" t="s">
        <v>72</v>
      </c>
      <c r="R6339" t="s">
        <v>139</v>
      </c>
      <c r="S6339" t="s">
        <v>144</v>
      </c>
      <c r="T6339" s="2">
        <f>MASTER[[#This Row],[CANTIDAD]]*MASTER[[#This Row],[PRECIO DE VENTA]]</f>
        <v>1507</v>
      </c>
      <c r="U6339" s="2">
        <f>MASTER[[#This Row],[CANTIDAD]]*MASTER[[#This Row],[COSTO UNITARIO]]</f>
        <v>393</v>
      </c>
      <c r="V6339" s="2">
        <f>MASTER[[#This Row],[MONTO VENDIDO]]-MASTER[[#This Row],[COSTO DE VENTA]]</f>
        <v>1114</v>
      </c>
    </row>
    <row r="6340" spans="1:22" x14ac:dyDescent="0.3">
      <c r="A6340">
        <v>86911</v>
      </c>
      <c r="B6340">
        <v>1</v>
      </c>
      <c r="C6340" t="s">
        <v>109</v>
      </c>
      <c r="D6340" t="s">
        <v>110</v>
      </c>
      <c r="E6340" s="1">
        <v>44517</v>
      </c>
      <c r="F6340">
        <v>1</v>
      </c>
      <c r="G6340" t="s">
        <v>57</v>
      </c>
      <c r="H6340" t="s">
        <v>58</v>
      </c>
      <c r="I6340" s="3">
        <v>1064</v>
      </c>
      <c r="J6340" s="3">
        <v>1064</v>
      </c>
      <c r="K6340" s="3">
        <v>387</v>
      </c>
      <c r="L6340" t="s">
        <v>98</v>
      </c>
      <c r="M6340">
        <v>7</v>
      </c>
      <c r="N6340" t="s">
        <v>84</v>
      </c>
      <c r="O6340" t="s">
        <v>81</v>
      </c>
      <c r="P6340" t="s">
        <v>12</v>
      </c>
      <c r="Q6340" t="s">
        <v>13</v>
      </c>
      <c r="R6340" t="s">
        <v>13</v>
      </c>
      <c r="S6340" t="s">
        <v>144</v>
      </c>
      <c r="T6340" s="2">
        <f>MASTER[[#This Row],[CANTIDAD]]*MASTER[[#This Row],[PRECIO DE VENTA]]</f>
        <v>1064</v>
      </c>
      <c r="U6340" s="2">
        <f>MASTER[[#This Row],[CANTIDAD]]*MASTER[[#This Row],[COSTO UNITARIO]]</f>
        <v>387</v>
      </c>
      <c r="V6340" s="2">
        <f>MASTER[[#This Row],[MONTO VENDIDO]]-MASTER[[#This Row],[COSTO DE VENTA]]</f>
        <v>677</v>
      </c>
    </row>
    <row r="6341" spans="1:22" x14ac:dyDescent="0.3">
      <c r="A6341">
        <v>86934</v>
      </c>
      <c r="B6341">
        <v>1</v>
      </c>
      <c r="C6341" t="s">
        <v>109</v>
      </c>
      <c r="D6341" t="s">
        <v>110</v>
      </c>
      <c r="E6341" s="1">
        <v>44517</v>
      </c>
      <c r="F6341">
        <v>1</v>
      </c>
      <c r="G6341" t="s">
        <v>51</v>
      </c>
      <c r="H6341" t="s">
        <v>52</v>
      </c>
      <c r="I6341" s="3">
        <v>947</v>
      </c>
      <c r="J6341" s="3">
        <v>947</v>
      </c>
      <c r="K6341" s="3">
        <v>387</v>
      </c>
      <c r="L6341" t="s">
        <v>98</v>
      </c>
      <c r="M6341">
        <v>11</v>
      </c>
      <c r="N6341" t="s">
        <v>10</v>
      </c>
      <c r="O6341" t="s">
        <v>11</v>
      </c>
      <c r="P6341" t="s">
        <v>12</v>
      </c>
      <c r="Q6341" t="s">
        <v>13</v>
      </c>
      <c r="R6341" t="s">
        <v>13</v>
      </c>
      <c r="S6341" t="s">
        <v>144</v>
      </c>
      <c r="T6341" s="2">
        <f>MASTER[[#This Row],[CANTIDAD]]*MASTER[[#This Row],[PRECIO DE VENTA]]</f>
        <v>947</v>
      </c>
      <c r="U6341" s="2">
        <f>MASTER[[#This Row],[CANTIDAD]]*MASTER[[#This Row],[COSTO UNITARIO]]</f>
        <v>387</v>
      </c>
      <c r="V6341" s="2">
        <f>MASTER[[#This Row],[MONTO VENDIDO]]-MASTER[[#This Row],[COSTO DE VENTA]]</f>
        <v>560</v>
      </c>
    </row>
    <row r="6342" spans="1:22" x14ac:dyDescent="0.3">
      <c r="A6342">
        <v>86948</v>
      </c>
      <c r="B6342">
        <v>1</v>
      </c>
      <c r="C6342" t="s">
        <v>118</v>
      </c>
      <c r="D6342" t="s">
        <v>119</v>
      </c>
      <c r="E6342" s="1">
        <v>44517</v>
      </c>
      <c r="F6342">
        <v>1</v>
      </c>
      <c r="G6342" t="s">
        <v>53</v>
      </c>
      <c r="H6342" t="s">
        <v>54</v>
      </c>
      <c r="I6342" s="3">
        <v>900</v>
      </c>
      <c r="J6342" s="3">
        <v>900</v>
      </c>
      <c r="K6342" s="3">
        <v>424</v>
      </c>
      <c r="L6342" t="s">
        <v>120</v>
      </c>
      <c r="M6342">
        <v>10</v>
      </c>
      <c r="N6342" t="s">
        <v>83</v>
      </c>
      <c r="O6342" t="s">
        <v>81</v>
      </c>
      <c r="P6342" t="s">
        <v>12</v>
      </c>
      <c r="Q6342" t="s">
        <v>13</v>
      </c>
      <c r="R6342" t="s">
        <v>13</v>
      </c>
      <c r="S6342" t="s">
        <v>144</v>
      </c>
      <c r="T6342" s="2">
        <f>MASTER[[#This Row],[CANTIDAD]]*MASTER[[#This Row],[PRECIO DE VENTA]]</f>
        <v>900</v>
      </c>
      <c r="U6342" s="2">
        <f>MASTER[[#This Row],[CANTIDAD]]*MASTER[[#This Row],[COSTO UNITARIO]]</f>
        <v>424</v>
      </c>
      <c r="V6342" s="2">
        <f>MASTER[[#This Row],[MONTO VENDIDO]]-MASTER[[#This Row],[COSTO DE VENTA]]</f>
        <v>476</v>
      </c>
    </row>
    <row r="6343" spans="1:22" x14ac:dyDescent="0.3">
      <c r="A6343">
        <v>86981</v>
      </c>
      <c r="B6343">
        <v>1</v>
      </c>
      <c r="C6343" t="s">
        <v>116</v>
      </c>
      <c r="D6343" t="s">
        <v>117</v>
      </c>
      <c r="E6343" s="1">
        <v>44517</v>
      </c>
      <c r="F6343">
        <v>1</v>
      </c>
      <c r="G6343" t="s">
        <v>31</v>
      </c>
      <c r="H6343" t="s">
        <v>32</v>
      </c>
      <c r="I6343" s="3">
        <v>1738</v>
      </c>
      <c r="J6343" s="3">
        <v>1738</v>
      </c>
      <c r="K6343" s="3">
        <v>388</v>
      </c>
      <c r="L6343" t="s">
        <v>113</v>
      </c>
      <c r="M6343">
        <v>2</v>
      </c>
      <c r="N6343" t="s">
        <v>86</v>
      </c>
      <c r="O6343" t="s">
        <v>81</v>
      </c>
      <c r="P6343" t="s">
        <v>71</v>
      </c>
      <c r="Q6343" t="s">
        <v>72</v>
      </c>
      <c r="R6343" t="s">
        <v>139</v>
      </c>
      <c r="S6343" t="s">
        <v>144</v>
      </c>
      <c r="T6343" s="2">
        <f>MASTER[[#This Row],[CANTIDAD]]*MASTER[[#This Row],[PRECIO DE VENTA]]</f>
        <v>1738</v>
      </c>
      <c r="U6343" s="2">
        <f>MASTER[[#This Row],[CANTIDAD]]*MASTER[[#This Row],[COSTO UNITARIO]]</f>
        <v>388</v>
      </c>
      <c r="V6343" s="2">
        <f>MASTER[[#This Row],[MONTO VENDIDO]]-MASTER[[#This Row],[COSTO DE VENTA]]</f>
        <v>1350</v>
      </c>
    </row>
    <row r="6344" spans="1:22" x14ac:dyDescent="0.3">
      <c r="A6344">
        <v>86983</v>
      </c>
      <c r="B6344">
        <v>1</v>
      </c>
      <c r="C6344" t="s">
        <v>121</v>
      </c>
      <c r="D6344" t="s">
        <v>122</v>
      </c>
      <c r="E6344" s="1">
        <v>44518</v>
      </c>
      <c r="F6344">
        <v>1</v>
      </c>
      <c r="G6344" t="s">
        <v>63</v>
      </c>
      <c r="H6344" t="s">
        <v>64</v>
      </c>
      <c r="I6344" s="3">
        <v>1144</v>
      </c>
      <c r="J6344" s="3">
        <v>1144</v>
      </c>
      <c r="K6344" s="3">
        <v>460</v>
      </c>
      <c r="L6344" t="s">
        <v>120</v>
      </c>
      <c r="M6344">
        <v>3</v>
      </c>
      <c r="N6344" t="s">
        <v>69</v>
      </c>
      <c r="O6344" t="s">
        <v>70</v>
      </c>
      <c r="P6344" t="s">
        <v>71</v>
      </c>
      <c r="Q6344" t="s">
        <v>72</v>
      </c>
      <c r="R6344" t="s">
        <v>139</v>
      </c>
      <c r="S6344" t="s">
        <v>144</v>
      </c>
      <c r="T6344" s="2">
        <f>MASTER[[#This Row],[CANTIDAD]]*MASTER[[#This Row],[PRECIO DE VENTA]]</f>
        <v>1144</v>
      </c>
      <c r="U6344" s="2">
        <f>MASTER[[#This Row],[CANTIDAD]]*MASTER[[#This Row],[COSTO UNITARIO]]</f>
        <v>460</v>
      </c>
      <c r="V6344" s="2">
        <f>MASTER[[#This Row],[MONTO VENDIDO]]-MASTER[[#This Row],[COSTO DE VENTA]]</f>
        <v>684</v>
      </c>
    </row>
    <row r="6345" spans="1:22" x14ac:dyDescent="0.3">
      <c r="A6345">
        <v>86988</v>
      </c>
      <c r="B6345">
        <v>1</v>
      </c>
      <c r="C6345" t="s">
        <v>116</v>
      </c>
      <c r="D6345" t="s">
        <v>117</v>
      </c>
      <c r="E6345" s="1">
        <v>44518</v>
      </c>
      <c r="F6345">
        <v>1</v>
      </c>
      <c r="G6345" t="s">
        <v>43</v>
      </c>
      <c r="H6345" t="s">
        <v>44</v>
      </c>
      <c r="I6345" s="3">
        <v>1529</v>
      </c>
      <c r="J6345" s="3">
        <v>1529</v>
      </c>
      <c r="K6345" s="3">
        <v>388</v>
      </c>
      <c r="L6345" t="s">
        <v>113</v>
      </c>
      <c r="M6345">
        <v>17</v>
      </c>
      <c r="N6345" t="s">
        <v>14</v>
      </c>
      <c r="O6345" t="s">
        <v>11</v>
      </c>
      <c r="P6345" t="s">
        <v>15</v>
      </c>
      <c r="Q6345" t="s">
        <v>16</v>
      </c>
      <c r="R6345" t="s">
        <v>16</v>
      </c>
      <c r="S6345" t="s">
        <v>144</v>
      </c>
      <c r="T6345" s="2">
        <f>MASTER[[#This Row],[CANTIDAD]]*MASTER[[#This Row],[PRECIO DE VENTA]]</f>
        <v>1529</v>
      </c>
      <c r="U6345" s="2">
        <f>MASTER[[#This Row],[CANTIDAD]]*MASTER[[#This Row],[COSTO UNITARIO]]</f>
        <v>388</v>
      </c>
      <c r="V6345" s="2">
        <f>MASTER[[#This Row],[MONTO VENDIDO]]-MASTER[[#This Row],[COSTO DE VENTA]]</f>
        <v>1141</v>
      </c>
    </row>
    <row r="6346" spans="1:22" x14ac:dyDescent="0.3">
      <c r="A6346">
        <v>87012</v>
      </c>
      <c r="B6346">
        <v>1</v>
      </c>
      <c r="C6346" t="s">
        <v>105</v>
      </c>
      <c r="D6346" t="s">
        <v>106</v>
      </c>
      <c r="E6346" s="1">
        <v>44518</v>
      </c>
      <c r="F6346">
        <v>1</v>
      </c>
      <c r="G6346" t="s">
        <v>49</v>
      </c>
      <c r="H6346" t="s">
        <v>50</v>
      </c>
      <c r="I6346" s="3">
        <v>1865</v>
      </c>
      <c r="J6346" s="3">
        <v>1865</v>
      </c>
      <c r="K6346" s="3">
        <v>459</v>
      </c>
      <c r="L6346" t="s">
        <v>98</v>
      </c>
      <c r="M6346">
        <v>19</v>
      </c>
      <c r="N6346" t="s">
        <v>89</v>
      </c>
      <c r="O6346" t="s">
        <v>81</v>
      </c>
      <c r="P6346" t="s">
        <v>15</v>
      </c>
      <c r="Q6346" t="s">
        <v>16</v>
      </c>
      <c r="R6346" t="s">
        <v>16</v>
      </c>
      <c r="S6346" t="s">
        <v>144</v>
      </c>
      <c r="T6346" s="2">
        <f>MASTER[[#This Row],[CANTIDAD]]*MASTER[[#This Row],[PRECIO DE VENTA]]</f>
        <v>1865</v>
      </c>
      <c r="U6346" s="2">
        <f>MASTER[[#This Row],[CANTIDAD]]*MASTER[[#This Row],[COSTO UNITARIO]]</f>
        <v>459</v>
      </c>
      <c r="V6346" s="2">
        <f>MASTER[[#This Row],[MONTO VENDIDO]]-MASTER[[#This Row],[COSTO DE VENTA]]</f>
        <v>1406</v>
      </c>
    </row>
    <row r="6347" spans="1:22" x14ac:dyDescent="0.3">
      <c r="A6347">
        <v>87022</v>
      </c>
      <c r="B6347">
        <v>1</v>
      </c>
      <c r="C6347" t="s">
        <v>105</v>
      </c>
      <c r="D6347" t="s">
        <v>106</v>
      </c>
      <c r="E6347" s="1">
        <v>44518</v>
      </c>
      <c r="F6347">
        <v>1</v>
      </c>
      <c r="G6347" t="s">
        <v>45</v>
      </c>
      <c r="H6347" t="s">
        <v>46</v>
      </c>
      <c r="I6347" s="3">
        <v>1865</v>
      </c>
      <c r="J6347" s="3">
        <v>1865</v>
      </c>
      <c r="K6347" s="3">
        <v>459</v>
      </c>
      <c r="L6347" t="s">
        <v>98</v>
      </c>
      <c r="M6347">
        <v>4</v>
      </c>
      <c r="N6347" t="s">
        <v>82</v>
      </c>
      <c r="O6347" t="s">
        <v>81</v>
      </c>
      <c r="P6347" t="s">
        <v>71</v>
      </c>
      <c r="Q6347" t="s">
        <v>72</v>
      </c>
      <c r="R6347" t="s">
        <v>139</v>
      </c>
      <c r="S6347" t="s">
        <v>144</v>
      </c>
      <c r="T6347" s="2">
        <f>MASTER[[#This Row],[CANTIDAD]]*MASTER[[#This Row],[PRECIO DE VENTA]]</f>
        <v>1865</v>
      </c>
      <c r="U6347" s="2">
        <f>MASTER[[#This Row],[CANTIDAD]]*MASTER[[#This Row],[COSTO UNITARIO]]</f>
        <v>459</v>
      </c>
      <c r="V6347" s="2">
        <f>MASTER[[#This Row],[MONTO VENDIDO]]-MASTER[[#This Row],[COSTO DE VENTA]]</f>
        <v>1406</v>
      </c>
    </row>
    <row r="6348" spans="1:22" x14ac:dyDescent="0.3">
      <c r="A6348">
        <v>87030</v>
      </c>
      <c r="B6348">
        <v>1</v>
      </c>
      <c r="C6348" t="s">
        <v>96</v>
      </c>
      <c r="D6348" t="s">
        <v>97</v>
      </c>
      <c r="E6348" s="1">
        <v>44518</v>
      </c>
      <c r="F6348">
        <v>1</v>
      </c>
      <c r="G6348" t="s">
        <v>35</v>
      </c>
      <c r="H6348" t="s">
        <v>36</v>
      </c>
      <c r="I6348" s="3">
        <v>1361</v>
      </c>
      <c r="J6348" s="3">
        <v>1361</v>
      </c>
      <c r="K6348" s="3">
        <v>397</v>
      </c>
      <c r="L6348" t="s">
        <v>98</v>
      </c>
      <c r="M6348">
        <v>9</v>
      </c>
      <c r="N6348" t="s">
        <v>76</v>
      </c>
      <c r="O6348" t="s">
        <v>70</v>
      </c>
      <c r="P6348" t="s">
        <v>12</v>
      </c>
      <c r="Q6348" t="s">
        <v>13</v>
      </c>
      <c r="R6348" t="s">
        <v>13</v>
      </c>
      <c r="S6348" t="s">
        <v>144</v>
      </c>
      <c r="T6348" s="2">
        <f>MASTER[[#This Row],[CANTIDAD]]*MASTER[[#This Row],[PRECIO DE VENTA]]</f>
        <v>1361</v>
      </c>
      <c r="U6348" s="2">
        <f>MASTER[[#This Row],[CANTIDAD]]*MASTER[[#This Row],[COSTO UNITARIO]]</f>
        <v>397</v>
      </c>
      <c r="V6348" s="2">
        <f>MASTER[[#This Row],[MONTO VENDIDO]]-MASTER[[#This Row],[COSTO DE VENTA]]</f>
        <v>964</v>
      </c>
    </row>
    <row r="6349" spans="1:22" x14ac:dyDescent="0.3">
      <c r="A6349">
        <v>87044</v>
      </c>
      <c r="B6349">
        <v>1</v>
      </c>
      <c r="C6349" t="s">
        <v>5</v>
      </c>
      <c r="D6349" t="s">
        <v>6</v>
      </c>
      <c r="E6349" s="1">
        <v>44518</v>
      </c>
      <c r="F6349">
        <v>1</v>
      </c>
      <c r="G6349" t="s">
        <v>35</v>
      </c>
      <c r="H6349" t="s">
        <v>36</v>
      </c>
      <c r="I6349" s="3">
        <v>1296</v>
      </c>
      <c r="J6349" s="3">
        <v>1296</v>
      </c>
      <c r="K6349" s="3">
        <v>393</v>
      </c>
      <c r="L6349" t="s">
        <v>9</v>
      </c>
      <c r="M6349">
        <v>13</v>
      </c>
      <c r="N6349" t="s">
        <v>78</v>
      </c>
      <c r="O6349" t="s">
        <v>70</v>
      </c>
      <c r="P6349" t="s">
        <v>18</v>
      </c>
      <c r="Q6349" t="s">
        <v>19</v>
      </c>
      <c r="R6349" t="s">
        <v>138</v>
      </c>
      <c r="S6349" t="s">
        <v>144</v>
      </c>
      <c r="T6349" s="2">
        <f>MASTER[[#This Row],[CANTIDAD]]*MASTER[[#This Row],[PRECIO DE VENTA]]</f>
        <v>1296</v>
      </c>
      <c r="U6349" s="2">
        <f>MASTER[[#This Row],[CANTIDAD]]*MASTER[[#This Row],[COSTO UNITARIO]]</f>
        <v>393</v>
      </c>
      <c r="V6349" s="2">
        <f>MASTER[[#This Row],[MONTO VENDIDO]]-MASTER[[#This Row],[COSTO DE VENTA]]</f>
        <v>903</v>
      </c>
    </row>
    <row r="6350" spans="1:22" x14ac:dyDescent="0.3">
      <c r="A6350">
        <v>87047</v>
      </c>
      <c r="B6350">
        <v>1</v>
      </c>
      <c r="C6350" t="s">
        <v>118</v>
      </c>
      <c r="D6350" t="s">
        <v>119</v>
      </c>
      <c r="E6350" s="1">
        <v>44518</v>
      </c>
      <c r="F6350">
        <v>1</v>
      </c>
      <c r="G6350" t="s">
        <v>63</v>
      </c>
      <c r="H6350" t="s">
        <v>64</v>
      </c>
      <c r="I6350" s="3">
        <v>801</v>
      </c>
      <c r="J6350" s="3">
        <v>801</v>
      </c>
      <c r="K6350" s="3">
        <v>424</v>
      </c>
      <c r="L6350" t="s">
        <v>120</v>
      </c>
      <c r="M6350">
        <v>16</v>
      </c>
      <c r="N6350" t="s">
        <v>17</v>
      </c>
      <c r="O6350" t="s">
        <v>11</v>
      </c>
      <c r="P6350" t="s">
        <v>18</v>
      </c>
      <c r="Q6350" t="s">
        <v>19</v>
      </c>
      <c r="R6350" t="s">
        <v>138</v>
      </c>
      <c r="S6350" t="s">
        <v>144</v>
      </c>
      <c r="T6350" s="2">
        <f>MASTER[[#This Row],[CANTIDAD]]*MASTER[[#This Row],[PRECIO DE VENTA]]</f>
        <v>801</v>
      </c>
      <c r="U6350" s="2">
        <f>MASTER[[#This Row],[CANTIDAD]]*MASTER[[#This Row],[COSTO UNITARIO]]</f>
        <v>424</v>
      </c>
      <c r="V6350" s="2">
        <f>MASTER[[#This Row],[MONTO VENDIDO]]-MASTER[[#This Row],[COSTO DE VENTA]]</f>
        <v>377</v>
      </c>
    </row>
    <row r="6351" spans="1:22" x14ac:dyDescent="0.3">
      <c r="A6351">
        <v>87109</v>
      </c>
      <c r="B6351">
        <v>1</v>
      </c>
      <c r="C6351" t="s">
        <v>96</v>
      </c>
      <c r="D6351" t="s">
        <v>97</v>
      </c>
      <c r="E6351" s="1">
        <v>44518</v>
      </c>
      <c r="F6351">
        <v>1</v>
      </c>
      <c r="G6351" t="s">
        <v>49</v>
      </c>
      <c r="H6351" t="s">
        <v>50</v>
      </c>
      <c r="I6351" s="3">
        <v>1361</v>
      </c>
      <c r="J6351" s="3">
        <v>1361</v>
      </c>
      <c r="K6351" s="3">
        <v>397</v>
      </c>
      <c r="L6351" t="s">
        <v>98</v>
      </c>
      <c r="M6351">
        <v>3</v>
      </c>
      <c r="N6351" t="s">
        <v>69</v>
      </c>
      <c r="O6351" t="s">
        <v>70</v>
      </c>
      <c r="P6351" t="s">
        <v>71</v>
      </c>
      <c r="Q6351" t="s">
        <v>72</v>
      </c>
      <c r="R6351" t="s">
        <v>139</v>
      </c>
      <c r="S6351" t="s">
        <v>144</v>
      </c>
      <c r="T6351" s="2">
        <f>MASTER[[#This Row],[CANTIDAD]]*MASTER[[#This Row],[PRECIO DE VENTA]]</f>
        <v>1361</v>
      </c>
      <c r="U6351" s="2">
        <f>MASTER[[#This Row],[CANTIDAD]]*MASTER[[#This Row],[COSTO UNITARIO]]</f>
        <v>397</v>
      </c>
      <c r="V6351" s="2">
        <f>MASTER[[#This Row],[MONTO VENDIDO]]-MASTER[[#This Row],[COSTO DE VENTA]]</f>
        <v>964</v>
      </c>
    </row>
    <row r="6352" spans="1:22" x14ac:dyDescent="0.3">
      <c r="A6352">
        <v>87124</v>
      </c>
      <c r="B6352">
        <v>1</v>
      </c>
      <c r="C6352" t="s">
        <v>92</v>
      </c>
      <c r="D6352" t="s">
        <v>93</v>
      </c>
      <c r="E6352" s="1">
        <v>44518</v>
      </c>
      <c r="F6352">
        <v>1</v>
      </c>
      <c r="G6352" t="s">
        <v>24</v>
      </c>
      <c r="H6352" t="s">
        <v>25</v>
      </c>
      <c r="I6352" s="3">
        <v>1866</v>
      </c>
      <c r="J6352" s="3">
        <v>1866</v>
      </c>
      <c r="K6352" s="3">
        <v>396</v>
      </c>
      <c r="L6352" t="s">
        <v>9</v>
      </c>
      <c r="M6352">
        <v>1</v>
      </c>
      <c r="N6352" t="s">
        <v>77</v>
      </c>
      <c r="O6352" t="s">
        <v>70</v>
      </c>
      <c r="P6352" t="s">
        <v>71</v>
      </c>
      <c r="Q6352" t="s">
        <v>72</v>
      </c>
      <c r="R6352" t="s">
        <v>139</v>
      </c>
      <c r="S6352" t="s">
        <v>144</v>
      </c>
      <c r="T6352" s="2">
        <f>MASTER[[#This Row],[CANTIDAD]]*MASTER[[#This Row],[PRECIO DE VENTA]]</f>
        <v>1866</v>
      </c>
      <c r="U6352" s="2">
        <f>MASTER[[#This Row],[CANTIDAD]]*MASTER[[#This Row],[COSTO UNITARIO]]</f>
        <v>396</v>
      </c>
      <c r="V6352" s="2">
        <f>MASTER[[#This Row],[MONTO VENDIDO]]-MASTER[[#This Row],[COSTO DE VENTA]]</f>
        <v>1470</v>
      </c>
    </row>
    <row r="6353" spans="1:22" x14ac:dyDescent="0.3">
      <c r="A6353">
        <v>87138</v>
      </c>
      <c r="B6353">
        <v>1</v>
      </c>
      <c r="C6353" t="s">
        <v>101</v>
      </c>
      <c r="D6353" t="s">
        <v>102</v>
      </c>
      <c r="E6353" s="1">
        <v>44518</v>
      </c>
      <c r="F6353">
        <v>1</v>
      </c>
      <c r="G6353" t="s">
        <v>27</v>
      </c>
      <c r="H6353" t="s">
        <v>28</v>
      </c>
      <c r="I6353" s="3">
        <v>1212</v>
      </c>
      <c r="J6353" s="3">
        <v>1212</v>
      </c>
      <c r="K6353" s="3">
        <v>442</v>
      </c>
      <c r="L6353" t="s">
        <v>98</v>
      </c>
      <c r="M6353">
        <v>10</v>
      </c>
      <c r="N6353" t="s">
        <v>83</v>
      </c>
      <c r="O6353" t="s">
        <v>81</v>
      </c>
      <c r="P6353" t="s">
        <v>12</v>
      </c>
      <c r="Q6353" t="s">
        <v>13</v>
      </c>
      <c r="R6353" t="s">
        <v>13</v>
      </c>
      <c r="S6353" t="s">
        <v>144</v>
      </c>
      <c r="T6353" s="2">
        <f>MASTER[[#This Row],[CANTIDAD]]*MASTER[[#This Row],[PRECIO DE VENTA]]</f>
        <v>1212</v>
      </c>
      <c r="U6353" s="2">
        <f>MASTER[[#This Row],[CANTIDAD]]*MASTER[[#This Row],[COSTO UNITARIO]]</f>
        <v>442</v>
      </c>
      <c r="V6353" s="2">
        <f>MASTER[[#This Row],[MONTO VENDIDO]]-MASTER[[#This Row],[COSTO DE VENTA]]</f>
        <v>770</v>
      </c>
    </row>
    <row r="6354" spans="1:22" x14ac:dyDescent="0.3">
      <c r="A6354">
        <v>87161</v>
      </c>
      <c r="B6354">
        <v>1</v>
      </c>
      <c r="C6354" t="s">
        <v>99</v>
      </c>
      <c r="D6354" t="s">
        <v>100</v>
      </c>
      <c r="E6354" s="1">
        <v>44519</v>
      </c>
      <c r="F6354">
        <v>1</v>
      </c>
      <c r="G6354" t="s">
        <v>49</v>
      </c>
      <c r="H6354" t="s">
        <v>50</v>
      </c>
      <c r="I6354" s="3">
        <v>1459</v>
      </c>
      <c r="J6354" s="3">
        <v>1459</v>
      </c>
      <c r="K6354" s="3">
        <v>386</v>
      </c>
      <c r="L6354" t="s">
        <v>98</v>
      </c>
      <c r="M6354">
        <v>10</v>
      </c>
      <c r="N6354" t="s">
        <v>83</v>
      </c>
      <c r="O6354" t="s">
        <v>81</v>
      </c>
      <c r="P6354" t="s">
        <v>12</v>
      </c>
      <c r="Q6354" t="s">
        <v>13</v>
      </c>
      <c r="R6354" t="s">
        <v>13</v>
      </c>
      <c r="S6354" t="s">
        <v>144</v>
      </c>
      <c r="T6354" s="2">
        <f>MASTER[[#This Row],[CANTIDAD]]*MASTER[[#This Row],[PRECIO DE VENTA]]</f>
        <v>1459</v>
      </c>
      <c r="U6354" s="2">
        <f>MASTER[[#This Row],[CANTIDAD]]*MASTER[[#This Row],[COSTO UNITARIO]]</f>
        <v>386</v>
      </c>
      <c r="V6354" s="2">
        <f>MASTER[[#This Row],[MONTO VENDIDO]]-MASTER[[#This Row],[COSTO DE VENTA]]</f>
        <v>1073</v>
      </c>
    </row>
    <row r="6355" spans="1:22" x14ac:dyDescent="0.3">
      <c r="A6355">
        <v>87164</v>
      </c>
      <c r="B6355">
        <v>1</v>
      </c>
      <c r="C6355" t="s">
        <v>114</v>
      </c>
      <c r="D6355" t="s">
        <v>115</v>
      </c>
      <c r="E6355" s="1">
        <v>44519</v>
      </c>
      <c r="F6355">
        <v>1</v>
      </c>
      <c r="G6355" t="s">
        <v>45</v>
      </c>
      <c r="H6355" t="s">
        <v>46</v>
      </c>
      <c r="I6355" s="3">
        <v>1583</v>
      </c>
      <c r="J6355" s="3">
        <v>1583</v>
      </c>
      <c r="K6355" s="3">
        <v>394</v>
      </c>
      <c r="L6355" t="s">
        <v>113</v>
      </c>
      <c r="M6355">
        <v>16</v>
      </c>
      <c r="N6355" t="s">
        <v>17</v>
      </c>
      <c r="O6355" t="s">
        <v>11</v>
      </c>
      <c r="P6355" t="s">
        <v>18</v>
      </c>
      <c r="Q6355" t="s">
        <v>19</v>
      </c>
      <c r="R6355" t="s">
        <v>138</v>
      </c>
      <c r="S6355" t="s">
        <v>144</v>
      </c>
      <c r="T6355" s="2">
        <f>MASTER[[#This Row],[CANTIDAD]]*MASTER[[#This Row],[PRECIO DE VENTA]]</f>
        <v>1583</v>
      </c>
      <c r="U6355" s="2">
        <f>MASTER[[#This Row],[CANTIDAD]]*MASTER[[#This Row],[COSTO UNITARIO]]</f>
        <v>394</v>
      </c>
      <c r="V6355" s="2">
        <f>MASTER[[#This Row],[MONTO VENDIDO]]-MASTER[[#This Row],[COSTO DE VENTA]]</f>
        <v>1189</v>
      </c>
    </row>
    <row r="6356" spans="1:22" x14ac:dyDescent="0.3">
      <c r="A6356">
        <v>87186</v>
      </c>
      <c r="B6356">
        <v>1</v>
      </c>
      <c r="C6356" t="s">
        <v>116</v>
      </c>
      <c r="D6356" t="s">
        <v>117</v>
      </c>
      <c r="E6356" s="1">
        <v>44519</v>
      </c>
      <c r="F6356">
        <v>1</v>
      </c>
      <c r="G6356" t="s">
        <v>33</v>
      </c>
      <c r="H6356" t="s">
        <v>34</v>
      </c>
      <c r="I6356" s="3">
        <v>1529</v>
      </c>
      <c r="J6356" s="3">
        <v>1529</v>
      </c>
      <c r="K6356" s="3">
        <v>388</v>
      </c>
      <c r="L6356" t="s">
        <v>113</v>
      </c>
      <c r="M6356">
        <v>16</v>
      </c>
      <c r="N6356" t="s">
        <v>17</v>
      </c>
      <c r="O6356" t="s">
        <v>11</v>
      </c>
      <c r="P6356" t="s">
        <v>18</v>
      </c>
      <c r="Q6356" t="s">
        <v>19</v>
      </c>
      <c r="R6356" t="s">
        <v>138</v>
      </c>
      <c r="S6356" t="s">
        <v>144</v>
      </c>
      <c r="T6356" s="2">
        <f>MASTER[[#This Row],[CANTIDAD]]*MASTER[[#This Row],[PRECIO DE VENTA]]</f>
        <v>1529</v>
      </c>
      <c r="U6356" s="2">
        <f>MASTER[[#This Row],[CANTIDAD]]*MASTER[[#This Row],[COSTO UNITARIO]]</f>
        <v>388</v>
      </c>
      <c r="V6356" s="2">
        <f>MASTER[[#This Row],[MONTO VENDIDO]]-MASTER[[#This Row],[COSTO DE VENTA]]</f>
        <v>1141</v>
      </c>
    </row>
    <row r="6357" spans="1:22" x14ac:dyDescent="0.3">
      <c r="A6357">
        <v>87207</v>
      </c>
      <c r="B6357">
        <v>1</v>
      </c>
      <c r="C6357" t="s">
        <v>105</v>
      </c>
      <c r="D6357" t="s">
        <v>106</v>
      </c>
      <c r="E6357" s="1">
        <v>44519</v>
      </c>
      <c r="F6357">
        <v>1</v>
      </c>
      <c r="G6357" t="s">
        <v>27</v>
      </c>
      <c r="H6357" t="s">
        <v>28</v>
      </c>
      <c r="I6357" s="3">
        <v>1865</v>
      </c>
      <c r="J6357" s="3">
        <v>1865</v>
      </c>
      <c r="K6357" s="3">
        <v>459</v>
      </c>
      <c r="L6357" t="s">
        <v>98</v>
      </c>
      <c r="M6357">
        <v>14</v>
      </c>
      <c r="N6357" t="s">
        <v>87</v>
      </c>
      <c r="O6357" t="s">
        <v>81</v>
      </c>
      <c r="P6357" t="s">
        <v>18</v>
      </c>
      <c r="Q6357" t="s">
        <v>19</v>
      </c>
      <c r="R6357" t="s">
        <v>138</v>
      </c>
      <c r="S6357" t="s">
        <v>144</v>
      </c>
      <c r="T6357" s="2">
        <f>MASTER[[#This Row],[CANTIDAD]]*MASTER[[#This Row],[PRECIO DE VENTA]]</f>
        <v>1865</v>
      </c>
      <c r="U6357" s="2">
        <f>MASTER[[#This Row],[CANTIDAD]]*MASTER[[#This Row],[COSTO UNITARIO]]</f>
        <v>459</v>
      </c>
      <c r="V6357" s="2">
        <f>MASTER[[#This Row],[MONTO VENDIDO]]-MASTER[[#This Row],[COSTO DE VENTA]]</f>
        <v>1406</v>
      </c>
    </row>
    <row r="6358" spans="1:22" x14ac:dyDescent="0.3">
      <c r="A6358">
        <v>87209</v>
      </c>
      <c r="B6358">
        <v>1</v>
      </c>
      <c r="C6358" t="s">
        <v>111</v>
      </c>
      <c r="D6358" t="s">
        <v>112</v>
      </c>
      <c r="E6358" s="1">
        <v>44519</v>
      </c>
      <c r="F6358">
        <v>1</v>
      </c>
      <c r="G6358" t="s">
        <v>61</v>
      </c>
      <c r="H6358" t="s">
        <v>62</v>
      </c>
      <c r="I6358" s="3">
        <v>1524</v>
      </c>
      <c r="J6358" s="3">
        <v>1402</v>
      </c>
      <c r="K6358" s="3">
        <v>434</v>
      </c>
      <c r="L6358" t="s">
        <v>113</v>
      </c>
      <c r="M6358">
        <v>12</v>
      </c>
      <c r="N6358" t="s">
        <v>26</v>
      </c>
      <c r="O6358" t="s">
        <v>11</v>
      </c>
      <c r="P6358" t="s">
        <v>12</v>
      </c>
      <c r="Q6358" t="s">
        <v>13</v>
      </c>
      <c r="R6358" t="s">
        <v>13</v>
      </c>
      <c r="S6358" t="s">
        <v>144</v>
      </c>
      <c r="T6358" s="2">
        <f>MASTER[[#This Row],[CANTIDAD]]*MASTER[[#This Row],[PRECIO DE VENTA]]</f>
        <v>1402</v>
      </c>
      <c r="U6358" s="2">
        <f>MASTER[[#This Row],[CANTIDAD]]*MASTER[[#This Row],[COSTO UNITARIO]]</f>
        <v>434</v>
      </c>
      <c r="V6358" s="2">
        <f>MASTER[[#This Row],[MONTO VENDIDO]]-MASTER[[#This Row],[COSTO DE VENTA]]</f>
        <v>968</v>
      </c>
    </row>
    <row r="6359" spans="1:22" x14ac:dyDescent="0.3">
      <c r="A6359">
        <v>87233</v>
      </c>
      <c r="B6359">
        <v>1</v>
      </c>
      <c r="C6359" t="s">
        <v>109</v>
      </c>
      <c r="D6359" t="s">
        <v>110</v>
      </c>
      <c r="E6359" s="1">
        <v>44519</v>
      </c>
      <c r="F6359">
        <v>1</v>
      </c>
      <c r="G6359" t="s">
        <v>33</v>
      </c>
      <c r="H6359" t="s">
        <v>34</v>
      </c>
      <c r="I6359" s="3">
        <v>947</v>
      </c>
      <c r="J6359" s="3">
        <v>947</v>
      </c>
      <c r="K6359" s="3">
        <v>387</v>
      </c>
      <c r="L6359" t="s">
        <v>98</v>
      </c>
      <c r="M6359">
        <v>16</v>
      </c>
      <c r="N6359" t="s">
        <v>17</v>
      </c>
      <c r="O6359" t="s">
        <v>11</v>
      </c>
      <c r="P6359" t="s">
        <v>18</v>
      </c>
      <c r="Q6359" t="s">
        <v>19</v>
      </c>
      <c r="R6359" t="s">
        <v>138</v>
      </c>
      <c r="S6359" t="s">
        <v>144</v>
      </c>
      <c r="T6359" s="2">
        <f>MASTER[[#This Row],[CANTIDAD]]*MASTER[[#This Row],[PRECIO DE VENTA]]</f>
        <v>947</v>
      </c>
      <c r="U6359" s="2">
        <f>MASTER[[#This Row],[CANTIDAD]]*MASTER[[#This Row],[COSTO UNITARIO]]</f>
        <v>387</v>
      </c>
      <c r="V6359" s="2">
        <f>MASTER[[#This Row],[MONTO VENDIDO]]-MASTER[[#This Row],[COSTO DE VENTA]]</f>
        <v>560</v>
      </c>
    </row>
    <row r="6360" spans="1:22" x14ac:dyDescent="0.3">
      <c r="A6360">
        <v>87255</v>
      </c>
      <c r="B6360">
        <v>1</v>
      </c>
      <c r="C6360" t="s">
        <v>94</v>
      </c>
      <c r="D6360" t="s">
        <v>95</v>
      </c>
      <c r="E6360" s="1">
        <v>44519</v>
      </c>
      <c r="F6360">
        <v>1</v>
      </c>
      <c r="G6360" t="s">
        <v>57</v>
      </c>
      <c r="H6360" t="s">
        <v>58</v>
      </c>
      <c r="I6360" s="3">
        <v>901</v>
      </c>
      <c r="J6360" s="3">
        <v>901</v>
      </c>
      <c r="K6360" s="3">
        <v>392</v>
      </c>
      <c r="L6360" t="s">
        <v>9</v>
      </c>
      <c r="M6360">
        <v>17</v>
      </c>
      <c r="N6360" t="s">
        <v>14</v>
      </c>
      <c r="O6360" t="s">
        <v>11</v>
      </c>
      <c r="P6360" t="s">
        <v>15</v>
      </c>
      <c r="Q6360" t="s">
        <v>16</v>
      </c>
      <c r="R6360" t="s">
        <v>16</v>
      </c>
      <c r="S6360" t="s">
        <v>144</v>
      </c>
      <c r="T6360" s="2">
        <f>MASTER[[#This Row],[CANTIDAD]]*MASTER[[#This Row],[PRECIO DE VENTA]]</f>
        <v>901</v>
      </c>
      <c r="U6360" s="2">
        <f>MASTER[[#This Row],[CANTIDAD]]*MASTER[[#This Row],[COSTO UNITARIO]]</f>
        <v>392</v>
      </c>
      <c r="V6360" s="2">
        <f>MASTER[[#This Row],[MONTO VENDIDO]]-MASTER[[#This Row],[COSTO DE VENTA]]</f>
        <v>509</v>
      </c>
    </row>
    <row r="6361" spans="1:22" x14ac:dyDescent="0.3">
      <c r="A6361">
        <v>87258</v>
      </c>
      <c r="B6361">
        <v>1</v>
      </c>
      <c r="C6361" t="s">
        <v>116</v>
      </c>
      <c r="D6361" t="s">
        <v>117</v>
      </c>
      <c r="E6361" s="1">
        <v>44519</v>
      </c>
      <c r="F6361">
        <v>1</v>
      </c>
      <c r="G6361" t="s">
        <v>24</v>
      </c>
      <c r="H6361" t="s">
        <v>25</v>
      </c>
      <c r="I6361" s="3">
        <v>1999</v>
      </c>
      <c r="J6361" s="3">
        <v>1999</v>
      </c>
      <c r="K6361" s="3">
        <v>388</v>
      </c>
      <c r="L6361" t="s">
        <v>113</v>
      </c>
      <c r="M6361">
        <v>3</v>
      </c>
      <c r="N6361" t="s">
        <v>69</v>
      </c>
      <c r="O6361" t="s">
        <v>70</v>
      </c>
      <c r="P6361" t="s">
        <v>71</v>
      </c>
      <c r="Q6361" t="s">
        <v>72</v>
      </c>
      <c r="R6361" t="s">
        <v>139</v>
      </c>
      <c r="S6361" t="s">
        <v>144</v>
      </c>
      <c r="T6361" s="2">
        <f>MASTER[[#This Row],[CANTIDAD]]*MASTER[[#This Row],[PRECIO DE VENTA]]</f>
        <v>1999</v>
      </c>
      <c r="U6361" s="2">
        <f>MASTER[[#This Row],[CANTIDAD]]*MASTER[[#This Row],[COSTO UNITARIO]]</f>
        <v>388</v>
      </c>
      <c r="V6361" s="2">
        <f>MASTER[[#This Row],[MONTO VENDIDO]]-MASTER[[#This Row],[COSTO DE VENTA]]</f>
        <v>1611</v>
      </c>
    </row>
    <row r="6362" spans="1:22" x14ac:dyDescent="0.3">
      <c r="A6362">
        <v>87261</v>
      </c>
      <c r="B6362">
        <v>1</v>
      </c>
      <c r="C6362" t="s">
        <v>5</v>
      </c>
      <c r="D6362" t="s">
        <v>6</v>
      </c>
      <c r="E6362" s="1">
        <v>44519</v>
      </c>
      <c r="F6362">
        <v>1</v>
      </c>
      <c r="G6362" t="s">
        <v>37</v>
      </c>
      <c r="H6362" t="s">
        <v>38</v>
      </c>
      <c r="I6362" s="3">
        <v>1507</v>
      </c>
      <c r="J6362" s="3">
        <v>1507</v>
      </c>
      <c r="K6362" s="3">
        <v>393</v>
      </c>
      <c r="L6362" t="s">
        <v>9</v>
      </c>
      <c r="M6362">
        <v>2</v>
      </c>
      <c r="N6362" t="s">
        <v>86</v>
      </c>
      <c r="O6362" t="s">
        <v>81</v>
      </c>
      <c r="P6362" t="s">
        <v>71</v>
      </c>
      <c r="Q6362" t="s">
        <v>72</v>
      </c>
      <c r="R6362" t="s">
        <v>139</v>
      </c>
      <c r="S6362" t="s">
        <v>144</v>
      </c>
      <c r="T6362" s="2">
        <f>MASTER[[#This Row],[CANTIDAD]]*MASTER[[#This Row],[PRECIO DE VENTA]]</f>
        <v>1507</v>
      </c>
      <c r="U6362" s="2">
        <f>MASTER[[#This Row],[CANTIDAD]]*MASTER[[#This Row],[COSTO UNITARIO]]</f>
        <v>393</v>
      </c>
      <c r="V6362" s="2">
        <f>MASTER[[#This Row],[MONTO VENDIDO]]-MASTER[[#This Row],[COSTO DE VENTA]]</f>
        <v>1114</v>
      </c>
    </row>
    <row r="6363" spans="1:22" x14ac:dyDescent="0.3">
      <c r="A6363">
        <v>87274</v>
      </c>
      <c r="B6363">
        <v>1</v>
      </c>
      <c r="C6363" t="s">
        <v>109</v>
      </c>
      <c r="D6363" t="s">
        <v>110</v>
      </c>
      <c r="E6363" s="1">
        <v>44519</v>
      </c>
      <c r="F6363">
        <v>1</v>
      </c>
      <c r="G6363" t="s">
        <v>20</v>
      </c>
      <c r="H6363" t="s">
        <v>21</v>
      </c>
      <c r="I6363" s="3">
        <v>947</v>
      </c>
      <c r="J6363" s="3">
        <v>871</v>
      </c>
      <c r="K6363" s="3">
        <v>387</v>
      </c>
      <c r="L6363" t="s">
        <v>98</v>
      </c>
      <c r="M6363">
        <v>12</v>
      </c>
      <c r="N6363" t="s">
        <v>26</v>
      </c>
      <c r="O6363" t="s">
        <v>11</v>
      </c>
      <c r="P6363" t="s">
        <v>12</v>
      </c>
      <c r="Q6363" t="s">
        <v>13</v>
      </c>
      <c r="R6363" t="s">
        <v>13</v>
      </c>
      <c r="S6363" t="s">
        <v>144</v>
      </c>
      <c r="T6363" s="2">
        <f>MASTER[[#This Row],[CANTIDAD]]*MASTER[[#This Row],[PRECIO DE VENTA]]</f>
        <v>871</v>
      </c>
      <c r="U6363" s="2">
        <f>MASTER[[#This Row],[CANTIDAD]]*MASTER[[#This Row],[COSTO UNITARIO]]</f>
        <v>387</v>
      </c>
      <c r="V6363" s="2">
        <f>MASTER[[#This Row],[MONTO VENDIDO]]-MASTER[[#This Row],[COSTO DE VENTA]]</f>
        <v>484</v>
      </c>
    </row>
    <row r="6364" spans="1:22" x14ac:dyDescent="0.3">
      <c r="A6364">
        <v>87286</v>
      </c>
      <c r="B6364">
        <v>1</v>
      </c>
      <c r="C6364" t="s">
        <v>116</v>
      </c>
      <c r="D6364" t="s">
        <v>117</v>
      </c>
      <c r="E6364" s="1">
        <v>44519</v>
      </c>
      <c r="F6364">
        <v>1</v>
      </c>
      <c r="G6364" t="s">
        <v>43</v>
      </c>
      <c r="H6364" t="s">
        <v>44</v>
      </c>
      <c r="I6364" s="3">
        <v>1529</v>
      </c>
      <c r="J6364" s="3">
        <v>1376</v>
      </c>
      <c r="K6364" s="3">
        <v>388</v>
      </c>
      <c r="L6364" t="s">
        <v>113</v>
      </c>
      <c r="M6364">
        <v>11</v>
      </c>
      <c r="N6364" t="s">
        <v>10</v>
      </c>
      <c r="O6364" t="s">
        <v>11</v>
      </c>
      <c r="P6364" t="s">
        <v>12</v>
      </c>
      <c r="Q6364" t="s">
        <v>13</v>
      </c>
      <c r="R6364" t="s">
        <v>13</v>
      </c>
      <c r="S6364" t="s">
        <v>144</v>
      </c>
      <c r="T6364" s="2">
        <f>MASTER[[#This Row],[CANTIDAD]]*MASTER[[#This Row],[PRECIO DE VENTA]]</f>
        <v>1376</v>
      </c>
      <c r="U6364" s="2">
        <f>MASTER[[#This Row],[CANTIDAD]]*MASTER[[#This Row],[COSTO UNITARIO]]</f>
        <v>388</v>
      </c>
      <c r="V6364" s="2">
        <f>MASTER[[#This Row],[MONTO VENDIDO]]-MASTER[[#This Row],[COSTO DE VENTA]]</f>
        <v>988</v>
      </c>
    </row>
    <row r="6365" spans="1:22" x14ac:dyDescent="0.3">
      <c r="A6365">
        <v>87310</v>
      </c>
      <c r="B6365">
        <v>1</v>
      </c>
      <c r="C6365" t="s">
        <v>101</v>
      </c>
      <c r="D6365" t="s">
        <v>102</v>
      </c>
      <c r="E6365" s="1">
        <v>44520</v>
      </c>
      <c r="F6365">
        <v>1</v>
      </c>
      <c r="G6365" t="s">
        <v>67</v>
      </c>
      <c r="H6365" t="s">
        <v>68</v>
      </c>
      <c r="I6365" s="3">
        <v>1212</v>
      </c>
      <c r="J6365" s="3">
        <v>1212</v>
      </c>
      <c r="K6365" s="3">
        <v>442</v>
      </c>
      <c r="L6365" t="s">
        <v>98</v>
      </c>
      <c r="M6365">
        <v>15</v>
      </c>
      <c r="N6365" t="s">
        <v>88</v>
      </c>
      <c r="O6365" t="s">
        <v>81</v>
      </c>
      <c r="P6365" t="s">
        <v>18</v>
      </c>
      <c r="Q6365" t="s">
        <v>19</v>
      </c>
      <c r="R6365" t="s">
        <v>138</v>
      </c>
      <c r="S6365" t="s">
        <v>144</v>
      </c>
      <c r="T6365" s="2">
        <f>MASTER[[#This Row],[CANTIDAD]]*MASTER[[#This Row],[PRECIO DE VENTA]]</f>
        <v>1212</v>
      </c>
      <c r="U6365" s="2">
        <f>MASTER[[#This Row],[CANTIDAD]]*MASTER[[#This Row],[COSTO UNITARIO]]</f>
        <v>442</v>
      </c>
      <c r="V6365" s="2">
        <f>MASTER[[#This Row],[MONTO VENDIDO]]-MASTER[[#This Row],[COSTO DE VENTA]]</f>
        <v>770</v>
      </c>
    </row>
    <row r="6366" spans="1:22" x14ac:dyDescent="0.3">
      <c r="A6366">
        <v>87313</v>
      </c>
      <c r="B6366">
        <v>1</v>
      </c>
      <c r="C6366" t="s">
        <v>94</v>
      </c>
      <c r="D6366" t="s">
        <v>95</v>
      </c>
      <c r="E6366" s="1">
        <v>44520</v>
      </c>
      <c r="F6366">
        <v>1</v>
      </c>
      <c r="G6366" t="s">
        <v>47</v>
      </c>
      <c r="H6366" t="s">
        <v>48</v>
      </c>
      <c r="I6366" s="3">
        <v>1048</v>
      </c>
      <c r="J6366" s="3">
        <v>1048</v>
      </c>
      <c r="K6366" s="3">
        <v>392</v>
      </c>
      <c r="L6366" t="s">
        <v>9</v>
      </c>
      <c r="M6366">
        <v>8</v>
      </c>
      <c r="N6366" t="s">
        <v>80</v>
      </c>
      <c r="O6366" t="s">
        <v>81</v>
      </c>
      <c r="P6366" t="s">
        <v>12</v>
      </c>
      <c r="Q6366" t="s">
        <v>13</v>
      </c>
      <c r="R6366" t="s">
        <v>13</v>
      </c>
      <c r="S6366" t="s">
        <v>144</v>
      </c>
      <c r="T6366" s="2">
        <f>MASTER[[#This Row],[CANTIDAD]]*MASTER[[#This Row],[PRECIO DE VENTA]]</f>
        <v>1048</v>
      </c>
      <c r="U6366" s="2">
        <f>MASTER[[#This Row],[CANTIDAD]]*MASTER[[#This Row],[COSTO UNITARIO]]</f>
        <v>392</v>
      </c>
      <c r="V6366" s="2">
        <f>MASTER[[#This Row],[MONTO VENDIDO]]-MASTER[[#This Row],[COSTO DE VENTA]]</f>
        <v>656</v>
      </c>
    </row>
    <row r="6367" spans="1:22" x14ac:dyDescent="0.3">
      <c r="A6367">
        <v>87343</v>
      </c>
      <c r="B6367">
        <v>1</v>
      </c>
      <c r="C6367" t="s">
        <v>103</v>
      </c>
      <c r="D6367" t="s">
        <v>104</v>
      </c>
      <c r="E6367" s="1">
        <v>44520</v>
      </c>
      <c r="F6367">
        <v>2</v>
      </c>
      <c r="G6367" t="s">
        <v>7</v>
      </c>
      <c r="H6367" t="s">
        <v>8</v>
      </c>
      <c r="I6367" s="3">
        <v>1830</v>
      </c>
      <c r="J6367" s="3">
        <v>1830</v>
      </c>
      <c r="K6367" s="3">
        <v>421</v>
      </c>
      <c r="L6367" t="s">
        <v>98</v>
      </c>
      <c r="M6367">
        <v>9</v>
      </c>
      <c r="N6367" t="s">
        <v>76</v>
      </c>
      <c r="O6367" t="s">
        <v>70</v>
      </c>
      <c r="P6367" t="s">
        <v>12</v>
      </c>
      <c r="Q6367" t="s">
        <v>13</v>
      </c>
      <c r="R6367" t="s">
        <v>13</v>
      </c>
      <c r="S6367" t="s">
        <v>144</v>
      </c>
      <c r="T6367" s="2">
        <f>MASTER[[#This Row],[CANTIDAD]]*MASTER[[#This Row],[PRECIO DE VENTA]]</f>
        <v>3660</v>
      </c>
      <c r="U6367" s="2">
        <f>MASTER[[#This Row],[CANTIDAD]]*MASTER[[#This Row],[COSTO UNITARIO]]</f>
        <v>842</v>
      </c>
      <c r="V6367" s="2">
        <f>MASTER[[#This Row],[MONTO VENDIDO]]-MASTER[[#This Row],[COSTO DE VENTA]]</f>
        <v>2818</v>
      </c>
    </row>
    <row r="6368" spans="1:22" x14ac:dyDescent="0.3">
      <c r="A6368">
        <v>87367</v>
      </c>
      <c r="B6368">
        <v>1</v>
      </c>
      <c r="C6368" t="s">
        <v>118</v>
      </c>
      <c r="D6368" t="s">
        <v>119</v>
      </c>
      <c r="E6368" s="1">
        <v>44520</v>
      </c>
      <c r="F6368">
        <v>1</v>
      </c>
      <c r="G6368" t="s">
        <v>20</v>
      </c>
      <c r="H6368" t="s">
        <v>21</v>
      </c>
      <c r="I6368" s="3">
        <v>900</v>
      </c>
      <c r="J6368" s="3">
        <v>900</v>
      </c>
      <c r="K6368" s="3">
        <v>424</v>
      </c>
      <c r="L6368" t="s">
        <v>120</v>
      </c>
      <c r="M6368">
        <v>8</v>
      </c>
      <c r="N6368" t="s">
        <v>80</v>
      </c>
      <c r="O6368" t="s">
        <v>81</v>
      </c>
      <c r="P6368" t="s">
        <v>12</v>
      </c>
      <c r="Q6368" t="s">
        <v>13</v>
      </c>
      <c r="R6368" t="s">
        <v>13</v>
      </c>
      <c r="S6368" t="s">
        <v>144</v>
      </c>
      <c r="T6368" s="2">
        <f>MASTER[[#This Row],[CANTIDAD]]*MASTER[[#This Row],[PRECIO DE VENTA]]</f>
        <v>900</v>
      </c>
      <c r="U6368" s="2">
        <f>MASTER[[#This Row],[CANTIDAD]]*MASTER[[#This Row],[COSTO UNITARIO]]</f>
        <v>424</v>
      </c>
      <c r="V6368" s="2">
        <f>MASTER[[#This Row],[MONTO VENDIDO]]-MASTER[[#This Row],[COSTO DE VENTA]]</f>
        <v>476</v>
      </c>
    </row>
    <row r="6369" spans="1:22" x14ac:dyDescent="0.3">
      <c r="A6369">
        <v>87384</v>
      </c>
      <c r="B6369">
        <v>1</v>
      </c>
      <c r="C6369" t="s">
        <v>90</v>
      </c>
      <c r="D6369" t="s">
        <v>91</v>
      </c>
      <c r="E6369" s="1">
        <v>44520</v>
      </c>
      <c r="F6369">
        <v>1</v>
      </c>
      <c r="G6369" t="s">
        <v>59</v>
      </c>
      <c r="H6369" t="s">
        <v>60</v>
      </c>
      <c r="I6369" s="3">
        <v>1844</v>
      </c>
      <c r="J6369" s="3">
        <v>1844</v>
      </c>
      <c r="K6369" s="3">
        <v>420</v>
      </c>
      <c r="L6369" t="s">
        <v>9</v>
      </c>
      <c r="M6369">
        <v>15</v>
      </c>
      <c r="N6369" t="s">
        <v>88</v>
      </c>
      <c r="O6369" t="s">
        <v>81</v>
      </c>
      <c r="P6369" t="s">
        <v>18</v>
      </c>
      <c r="Q6369" t="s">
        <v>19</v>
      </c>
      <c r="R6369" t="s">
        <v>138</v>
      </c>
      <c r="S6369" t="s">
        <v>144</v>
      </c>
      <c r="T6369" s="2">
        <f>MASTER[[#This Row],[CANTIDAD]]*MASTER[[#This Row],[PRECIO DE VENTA]]</f>
        <v>1844</v>
      </c>
      <c r="U6369" s="2">
        <f>MASTER[[#This Row],[CANTIDAD]]*MASTER[[#This Row],[COSTO UNITARIO]]</f>
        <v>420</v>
      </c>
      <c r="V6369" s="2">
        <f>MASTER[[#This Row],[MONTO VENDIDO]]-MASTER[[#This Row],[COSTO DE VENTA]]</f>
        <v>1424</v>
      </c>
    </row>
    <row r="6370" spans="1:22" x14ac:dyDescent="0.3">
      <c r="A6370">
        <v>87393</v>
      </c>
      <c r="B6370">
        <v>1</v>
      </c>
      <c r="C6370" t="s">
        <v>114</v>
      </c>
      <c r="D6370" t="s">
        <v>115</v>
      </c>
      <c r="E6370" s="1">
        <v>44520</v>
      </c>
      <c r="F6370">
        <v>1</v>
      </c>
      <c r="G6370" t="s">
        <v>31</v>
      </c>
      <c r="H6370" t="s">
        <v>32</v>
      </c>
      <c r="I6370" s="3">
        <v>1862</v>
      </c>
      <c r="J6370" s="3">
        <v>1862</v>
      </c>
      <c r="K6370" s="3">
        <v>394</v>
      </c>
      <c r="L6370" t="s">
        <v>113</v>
      </c>
      <c r="M6370">
        <v>14</v>
      </c>
      <c r="N6370" t="s">
        <v>87</v>
      </c>
      <c r="O6370" t="s">
        <v>81</v>
      </c>
      <c r="P6370" t="s">
        <v>18</v>
      </c>
      <c r="Q6370" t="s">
        <v>19</v>
      </c>
      <c r="R6370" t="s">
        <v>138</v>
      </c>
      <c r="S6370" t="s">
        <v>144</v>
      </c>
      <c r="T6370" s="2">
        <f>MASTER[[#This Row],[CANTIDAD]]*MASTER[[#This Row],[PRECIO DE VENTA]]</f>
        <v>1862</v>
      </c>
      <c r="U6370" s="2">
        <f>MASTER[[#This Row],[CANTIDAD]]*MASTER[[#This Row],[COSTO UNITARIO]]</f>
        <v>394</v>
      </c>
      <c r="V6370" s="2">
        <f>MASTER[[#This Row],[MONTO VENDIDO]]-MASTER[[#This Row],[COSTO DE VENTA]]</f>
        <v>1468</v>
      </c>
    </row>
    <row r="6371" spans="1:22" x14ac:dyDescent="0.3">
      <c r="A6371">
        <v>87406</v>
      </c>
      <c r="B6371">
        <v>1</v>
      </c>
      <c r="C6371" t="s">
        <v>90</v>
      </c>
      <c r="D6371" t="s">
        <v>91</v>
      </c>
      <c r="E6371" s="1">
        <v>44520</v>
      </c>
      <c r="F6371">
        <v>2</v>
      </c>
      <c r="G6371" t="s">
        <v>61</v>
      </c>
      <c r="H6371" t="s">
        <v>62</v>
      </c>
      <c r="I6371" s="3">
        <v>2102</v>
      </c>
      <c r="J6371" s="3">
        <v>1912</v>
      </c>
      <c r="K6371" s="3">
        <v>420</v>
      </c>
      <c r="L6371" t="s">
        <v>9</v>
      </c>
      <c r="M6371">
        <v>6</v>
      </c>
      <c r="N6371" t="s">
        <v>75</v>
      </c>
      <c r="O6371" t="s">
        <v>70</v>
      </c>
      <c r="P6371" t="s">
        <v>12</v>
      </c>
      <c r="Q6371" t="s">
        <v>13</v>
      </c>
      <c r="R6371" t="s">
        <v>13</v>
      </c>
      <c r="S6371" t="s">
        <v>144</v>
      </c>
      <c r="T6371" s="2">
        <f>MASTER[[#This Row],[CANTIDAD]]*MASTER[[#This Row],[PRECIO DE VENTA]]</f>
        <v>3824</v>
      </c>
      <c r="U6371" s="2">
        <f>MASTER[[#This Row],[CANTIDAD]]*MASTER[[#This Row],[COSTO UNITARIO]]</f>
        <v>840</v>
      </c>
      <c r="V6371" s="2">
        <f>MASTER[[#This Row],[MONTO VENDIDO]]-MASTER[[#This Row],[COSTO DE VENTA]]</f>
        <v>2984</v>
      </c>
    </row>
    <row r="6372" spans="1:22" x14ac:dyDescent="0.3">
      <c r="A6372">
        <v>87437</v>
      </c>
      <c r="B6372">
        <v>1</v>
      </c>
      <c r="C6372" t="s">
        <v>101</v>
      </c>
      <c r="D6372" t="s">
        <v>102</v>
      </c>
      <c r="E6372" s="1">
        <v>44520</v>
      </c>
      <c r="F6372">
        <v>1</v>
      </c>
      <c r="G6372" t="s">
        <v>27</v>
      </c>
      <c r="H6372" t="s">
        <v>28</v>
      </c>
      <c r="I6372" s="3">
        <v>1054</v>
      </c>
      <c r="J6372" s="3">
        <v>1054</v>
      </c>
      <c r="K6372" s="3">
        <v>442</v>
      </c>
      <c r="L6372" t="s">
        <v>98</v>
      </c>
      <c r="M6372">
        <v>16</v>
      </c>
      <c r="N6372" t="s">
        <v>17</v>
      </c>
      <c r="O6372" t="s">
        <v>11</v>
      </c>
      <c r="P6372" t="s">
        <v>18</v>
      </c>
      <c r="Q6372" t="s">
        <v>19</v>
      </c>
      <c r="R6372" t="s">
        <v>138</v>
      </c>
      <c r="S6372" t="s">
        <v>144</v>
      </c>
      <c r="T6372" s="2">
        <f>MASTER[[#This Row],[CANTIDAD]]*MASTER[[#This Row],[PRECIO DE VENTA]]</f>
        <v>1054</v>
      </c>
      <c r="U6372" s="2">
        <f>MASTER[[#This Row],[CANTIDAD]]*MASTER[[#This Row],[COSTO UNITARIO]]</f>
        <v>442</v>
      </c>
      <c r="V6372" s="2">
        <f>MASTER[[#This Row],[MONTO VENDIDO]]-MASTER[[#This Row],[COSTO DE VENTA]]</f>
        <v>612</v>
      </c>
    </row>
    <row r="6373" spans="1:22" x14ac:dyDescent="0.3">
      <c r="A6373">
        <v>87441</v>
      </c>
      <c r="B6373">
        <v>1</v>
      </c>
      <c r="C6373" t="s">
        <v>107</v>
      </c>
      <c r="D6373" t="s">
        <v>108</v>
      </c>
      <c r="E6373" s="1">
        <v>44520</v>
      </c>
      <c r="F6373">
        <v>1</v>
      </c>
      <c r="G6373" t="s">
        <v>29</v>
      </c>
      <c r="H6373" t="s">
        <v>30</v>
      </c>
      <c r="I6373" s="3">
        <v>1440</v>
      </c>
      <c r="J6373" s="3">
        <v>1440</v>
      </c>
      <c r="K6373" s="3">
        <v>380</v>
      </c>
      <c r="L6373" t="s">
        <v>98</v>
      </c>
      <c r="M6373">
        <v>6</v>
      </c>
      <c r="N6373" t="s">
        <v>75</v>
      </c>
      <c r="O6373" t="s">
        <v>70</v>
      </c>
      <c r="P6373" t="s">
        <v>12</v>
      </c>
      <c r="Q6373" t="s">
        <v>13</v>
      </c>
      <c r="R6373" t="s">
        <v>13</v>
      </c>
      <c r="S6373" t="s">
        <v>144</v>
      </c>
      <c r="T6373" s="2">
        <f>MASTER[[#This Row],[CANTIDAD]]*MASTER[[#This Row],[PRECIO DE VENTA]]</f>
        <v>1440</v>
      </c>
      <c r="U6373" s="2">
        <f>MASTER[[#This Row],[CANTIDAD]]*MASTER[[#This Row],[COSTO UNITARIO]]</f>
        <v>380</v>
      </c>
      <c r="V6373" s="2">
        <f>MASTER[[#This Row],[MONTO VENDIDO]]-MASTER[[#This Row],[COSTO DE VENTA]]</f>
        <v>1060</v>
      </c>
    </row>
    <row r="6374" spans="1:22" x14ac:dyDescent="0.3">
      <c r="A6374">
        <v>87450</v>
      </c>
      <c r="B6374">
        <v>1</v>
      </c>
      <c r="C6374" t="s">
        <v>118</v>
      </c>
      <c r="D6374" t="s">
        <v>119</v>
      </c>
      <c r="E6374" s="1">
        <v>44520</v>
      </c>
      <c r="F6374">
        <v>1</v>
      </c>
      <c r="G6374" t="s">
        <v>59</v>
      </c>
      <c r="H6374" t="s">
        <v>60</v>
      </c>
      <c r="I6374" s="3">
        <v>900</v>
      </c>
      <c r="J6374" s="3">
        <v>900</v>
      </c>
      <c r="K6374" s="3">
        <v>424</v>
      </c>
      <c r="L6374" t="s">
        <v>120</v>
      </c>
      <c r="M6374">
        <v>5</v>
      </c>
      <c r="N6374" t="s">
        <v>85</v>
      </c>
      <c r="O6374" t="s">
        <v>81</v>
      </c>
      <c r="P6374" t="s">
        <v>12</v>
      </c>
      <c r="Q6374" t="s">
        <v>13</v>
      </c>
      <c r="R6374" t="s">
        <v>13</v>
      </c>
      <c r="S6374" t="s">
        <v>144</v>
      </c>
      <c r="T6374" s="2">
        <f>MASTER[[#This Row],[CANTIDAD]]*MASTER[[#This Row],[PRECIO DE VENTA]]</f>
        <v>900</v>
      </c>
      <c r="U6374" s="2">
        <f>MASTER[[#This Row],[CANTIDAD]]*MASTER[[#This Row],[COSTO UNITARIO]]</f>
        <v>424</v>
      </c>
      <c r="V6374" s="2">
        <f>MASTER[[#This Row],[MONTO VENDIDO]]-MASTER[[#This Row],[COSTO DE VENTA]]</f>
        <v>476</v>
      </c>
    </row>
    <row r="6375" spans="1:22" x14ac:dyDescent="0.3">
      <c r="A6375">
        <v>87452</v>
      </c>
      <c r="B6375">
        <v>1</v>
      </c>
      <c r="C6375" t="s">
        <v>5</v>
      </c>
      <c r="D6375" t="s">
        <v>6</v>
      </c>
      <c r="E6375" s="1">
        <v>44520</v>
      </c>
      <c r="F6375">
        <v>1</v>
      </c>
      <c r="G6375" t="s">
        <v>67</v>
      </c>
      <c r="H6375" t="s">
        <v>68</v>
      </c>
      <c r="I6375" s="3">
        <v>1296</v>
      </c>
      <c r="J6375" s="3">
        <v>1296</v>
      </c>
      <c r="K6375" s="3">
        <v>393</v>
      </c>
      <c r="L6375" t="s">
        <v>9</v>
      </c>
      <c r="M6375">
        <v>1</v>
      </c>
      <c r="N6375" t="s">
        <v>77</v>
      </c>
      <c r="O6375" t="s">
        <v>70</v>
      </c>
      <c r="P6375" t="s">
        <v>71</v>
      </c>
      <c r="Q6375" t="s">
        <v>72</v>
      </c>
      <c r="R6375" t="s">
        <v>139</v>
      </c>
      <c r="S6375" t="s">
        <v>144</v>
      </c>
      <c r="T6375" s="2">
        <f>MASTER[[#This Row],[CANTIDAD]]*MASTER[[#This Row],[PRECIO DE VENTA]]</f>
        <v>1296</v>
      </c>
      <c r="U6375" s="2">
        <f>MASTER[[#This Row],[CANTIDAD]]*MASTER[[#This Row],[COSTO UNITARIO]]</f>
        <v>393</v>
      </c>
      <c r="V6375" s="2">
        <f>MASTER[[#This Row],[MONTO VENDIDO]]-MASTER[[#This Row],[COSTO DE VENTA]]</f>
        <v>903</v>
      </c>
    </row>
    <row r="6376" spans="1:22" x14ac:dyDescent="0.3">
      <c r="A6376">
        <v>87500</v>
      </c>
      <c r="B6376">
        <v>1</v>
      </c>
      <c r="C6376" t="s">
        <v>101</v>
      </c>
      <c r="D6376" t="s">
        <v>102</v>
      </c>
      <c r="E6376" s="1">
        <v>44521</v>
      </c>
      <c r="F6376">
        <v>1</v>
      </c>
      <c r="G6376" t="s">
        <v>47</v>
      </c>
      <c r="H6376" t="s">
        <v>48</v>
      </c>
      <c r="I6376" s="3">
        <v>1212</v>
      </c>
      <c r="J6376" s="3">
        <v>1212</v>
      </c>
      <c r="K6376" s="3">
        <v>442</v>
      </c>
      <c r="L6376" t="s">
        <v>98</v>
      </c>
      <c r="M6376">
        <v>14</v>
      </c>
      <c r="N6376" t="s">
        <v>87</v>
      </c>
      <c r="O6376" t="s">
        <v>81</v>
      </c>
      <c r="P6376" t="s">
        <v>18</v>
      </c>
      <c r="Q6376" t="s">
        <v>19</v>
      </c>
      <c r="R6376" t="s">
        <v>138</v>
      </c>
      <c r="S6376" t="s">
        <v>144</v>
      </c>
      <c r="T6376" s="2">
        <f>MASTER[[#This Row],[CANTIDAD]]*MASTER[[#This Row],[PRECIO DE VENTA]]</f>
        <v>1212</v>
      </c>
      <c r="U6376" s="2">
        <f>MASTER[[#This Row],[CANTIDAD]]*MASTER[[#This Row],[COSTO UNITARIO]]</f>
        <v>442</v>
      </c>
      <c r="V6376" s="2">
        <f>MASTER[[#This Row],[MONTO VENDIDO]]-MASTER[[#This Row],[COSTO DE VENTA]]</f>
        <v>770</v>
      </c>
    </row>
    <row r="6377" spans="1:22" x14ac:dyDescent="0.3">
      <c r="A6377">
        <v>87508</v>
      </c>
      <c r="B6377">
        <v>1</v>
      </c>
      <c r="C6377" t="s">
        <v>121</v>
      </c>
      <c r="D6377" t="s">
        <v>122</v>
      </c>
      <c r="E6377" s="1">
        <v>44521</v>
      </c>
      <c r="F6377">
        <v>1</v>
      </c>
      <c r="G6377" t="s">
        <v>39</v>
      </c>
      <c r="H6377" t="s">
        <v>40</v>
      </c>
      <c r="I6377" s="3">
        <v>941</v>
      </c>
      <c r="J6377" s="3">
        <v>941</v>
      </c>
      <c r="K6377" s="3">
        <v>460</v>
      </c>
      <c r="L6377" t="s">
        <v>120</v>
      </c>
      <c r="M6377">
        <v>12</v>
      </c>
      <c r="N6377" t="s">
        <v>26</v>
      </c>
      <c r="O6377" t="s">
        <v>11</v>
      </c>
      <c r="P6377" t="s">
        <v>12</v>
      </c>
      <c r="Q6377" t="s">
        <v>13</v>
      </c>
      <c r="R6377" t="s">
        <v>13</v>
      </c>
      <c r="S6377" t="s">
        <v>144</v>
      </c>
      <c r="T6377" s="2">
        <f>MASTER[[#This Row],[CANTIDAD]]*MASTER[[#This Row],[PRECIO DE VENTA]]</f>
        <v>941</v>
      </c>
      <c r="U6377" s="2">
        <f>MASTER[[#This Row],[CANTIDAD]]*MASTER[[#This Row],[COSTO UNITARIO]]</f>
        <v>460</v>
      </c>
      <c r="V6377" s="2">
        <f>MASTER[[#This Row],[MONTO VENDIDO]]-MASTER[[#This Row],[COSTO DE VENTA]]</f>
        <v>481</v>
      </c>
    </row>
    <row r="6378" spans="1:22" x14ac:dyDescent="0.3">
      <c r="A6378">
        <v>87515</v>
      </c>
      <c r="B6378">
        <v>1</v>
      </c>
      <c r="C6378" t="s">
        <v>121</v>
      </c>
      <c r="D6378" t="s">
        <v>122</v>
      </c>
      <c r="E6378" s="1">
        <v>44521</v>
      </c>
      <c r="F6378">
        <v>1</v>
      </c>
      <c r="G6378" t="s">
        <v>29</v>
      </c>
      <c r="H6378" t="s">
        <v>30</v>
      </c>
      <c r="I6378" s="3">
        <v>941</v>
      </c>
      <c r="J6378" s="3">
        <v>941</v>
      </c>
      <c r="K6378" s="3">
        <v>460</v>
      </c>
      <c r="L6378" t="s">
        <v>120</v>
      </c>
      <c r="M6378">
        <v>16</v>
      </c>
      <c r="N6378" t="s">
        <v>17</v>
      </c>
      <c r="O6378" t="s">
        <v>11</v>
      </c>
      <c r="P6378" t="s">
        <v>18</v>
      </c>
      <c r="Q6378" t="s">
        <v>19</v>
      </c>
      <c r="R6378" t="s">
        <v>138</v>
      </c>
      <c r="S6378" t="s">
        <v>144</v>
      </c>
      <c r="T6378" s="2">
        <f>MASTER[[#This Row],[CANTIDAD]]*MASTER[[#This Row],[PRECIO DE VENTA]]</f>
        <v>941</v>
      </c>
      <c r="U6378" s="2">
        <f>MASTER[[#This Row],[CANTIDAD]]*MASTER[[#This Row],[COSTO UNITARIO]]</f>
        <v>460</v>
      </c>
      <c r="V6378" s="2">
        <f>MASTER[[#This Row],[MONTO VENDIDO]]-MASTER[[#This Row],[COSTO DE VENTA]]</f>
        <v>481</v>
      </c>
    </row>
    <row r="6379" spans="1:22" x14ac:dyDescent="0.3">
      <c r="A6379">
        <v>87537</v>
      </c>
      <c r="B6379">
        <v>1</v>
      </c>
      <c r="C6379" t="s">
        <v>5</v>
      </c>
      <c r="D6379" t="s">
        <v>6</v>
      </c>
      <c r="E6379" s="1">
        <v>44521</v>
      </c>
      <c r="F6379">
        <v>1</v>
      </c>
      <c r="G6379" t="s">
        <v>24</v>
      </c>
      <c r="H6379" t="s">
        <v>25</v>
      </c>
      <c r="I6379" s="3">
        <v>1507</v>
      </c>
      <c r="J6379" s="3">
        <v>1507</v>
      </c>
      <c r="K6379" s="3">
        <v>393</v>
      </c>
      <c r="L6379" t="s">
        <v>9</v>
      </c>
      <c r="M6379">
        <v>8</v>
      </c>
      <c r="N6379" t="s">
        <v>80</v>
      </c>
      <c r="O6379" t="s">
        <v>81</v>
      </c>
      <c r="P6379" t="s">
        <v>12</v>
      </c>
      <c r="Q6379" t="s">
        <v>13</v>
      </c>
      <c r="R6379" t="s">
        <v>13</v>
      </c>
      <c r="S6379" t="s">
        <v>144</v>
      </c>
      <c r="T6379" s="2">
        <f>MASTER[[#This Row],[CANTIDAD]]*MASTER[[#This Row],[PRECIO DE VENTA]]</f>
        <v>1507</v>
      </c>
      <c r="U6379" s="2">
        <f>MASTER[[#This Row],[CANTIDAD]]*MASTER[[#This Row],[COSTO UNITARIO]]</f>
        <v>393</v>
      </c>
      <c r="V6379" s="2">
        <f>MASTER[[#This Row],[MONTO VENDIDO]]-MASTER[[#This Row],[COSTO DE VENTA]]</f>
        <v>1114</v>
      </c>
    </row>
    <row r="6380" spans="1:22" x14ac:dyDescent="0.3">
      <c r="A6380">
        <v>87555</v>
      </c>
      <c r="B6380">
        <v>1</v>
      </c>
      <c r="C6380" t="s">
        <v>5</v>
      </c>
      <c r="D6380" t="s">
        <v>6</v>
      </c>
      <c r="E6380" s="1">
        <v>44522</v>
      </c>
      <c r="F6380">
        <v>1</v>
      </c>
      <c r="G6380" t="s">
        <v>7</v>
      </c>
      <c r="H6380" t="s">
        <v>8</v>
      </c>
      <c r="I6380" s="3">
        <v>1296</v>
      </c>
      <c r="J6380" s="3">
        <v>1296</v>
      </c>
      <c r="K6380" s="3">
        <v>393</v>
      </c>
      <c r="L6380" t="s">
        <v>9</v>
      </c>
      <c r="M6380">
        <v>9</v>
      </c>
      <c r="N6380" t="s">
        <v>76</v>
      </c>
      <c r="O6380" t="s">
        <v>70</v>
      </c>
      <c r="P6380" t="s">
        <v>12</v>
      </c>
      <c r="Q6380" t="s">
        <v>13</v>
      </c>
      <c r="R6380" t="s">
        <v>13</v>
      </c>
      <c r="S6380" t="s">
        <v>144</v>
      </c>
      <c r="T6380" s="2">
        <f>MASTER[[#This Row],[CANTIDAD]]*MASTER[[#This Row],[PRECIO DE VENTA]]</f>
        <v>1296</v>
      </c>
      <c r="U6380" s="2">
        <f>MASTER[[#This Row],[CANTIDAD]]*MASTER[[#This Row],[COSTO UNITARIO]]</f>
        <v>393</v>
      </c>
      <c r="V6380" s="2">
        <f>MASTER[[#This Row],[MONTO VENDIDO]]-MASTER[[#This Row],[COSTO DE VENTA]]</f>
        <v>903</v>
      </c>
    </row>
    <row r="6381" spans="1:22" x14ac:dyDescent="0.3">
      <c r="A6381">
        <v>87558</v>
      </c>
      <c r="B6381">
        <v>3</v>
      </c>
      <c r="C6381" t="s">
        <v>92</v>
      </c>
      <c r="D6381" t="s">
        <v>93</v>
      </c>
      <c r="E6381" s="1">
        <v>44522</v>
      </c>
      <c r="F6381">
        <v>1</v>
      </c>
      <c r="G6381" t="s">
        <v>55</v>
      </c>
      <c r="H6381" t="s">
        <v>56</v>
      </c>
      <c r="I6381" s="3">
        <v>1866</v>
      </c>
      <c r="J6381" s="3">
        <v>1866</v>
      </c>
      <c r="K6381" s="3">
        <v>396</v>
      </c>
      <c r="L6381" t="s">
        <v>9</v>
      </c>
      <c r="M6381">
        <v>9</v>
      </c>
      <c r="N6381" t="s">
        <v>76</v>
      </c>
      <c r="O6381" t="s">
        <v>70</v>
      </c>
      <c r="P6381" t="s">
        <v>12</v>
      </c>
      <c r="Q6381" t="s">
        <v>13</v>
      </c>
      <c r="R6381" t="s">
        <v>13</v>
      </c>
      <c r="S6381" t="s">
        <v>144</v>
      </c>
      <c r="T6381" s="2">
        <f>MASTER[[#This Row],[CANTIDAD]]*MASTER[[#This Row],[PRECIO DE VENTA]]</f>
        <v>1866</v>
      </c>
      <c r="U6381" s="2">
        <f>MASTER[[#This Row],[CANTIDAD]]*MASTER[[#This Row],[COSTO UNITARIO]]</f>
        <v>396</v>
      </c>
      <c r="V6381" s="2">
        <f>MASTER[[#This Row],[MONTO VENDIDO]]-MASTER[[#This Row],[COSTO DE VENTA]]</f>
        <v>1470</v>
      </c>
    </row>
    <row r="6382" spans="1:22" x14ac:dyDescent="0.3">
      <c r="A6382">
        <v>87558</v>
      </c>
      <c r="B6382">
        <v>2</v>
      </c>
      <c r="C6382" t="s">
        <v>118</v>
      </c>
      <c r="D6382" t="s">
        <v>119</v>
      </c>
      <c r="E6382" s="1">
        <v>44522</v>
      </c>
      <c r="F6382">
        <v>2</v>
      </c>
      <c r="G6382" t="s">
        <v>43</v>
      </c>
      <c r="H6382" t="s">
        <v>44</v>
      </c>
      <c r="I6382" s="3">
        <v>1026</v>
      </c>
      <c r="J6382" s="3">
        <v>1026</v>
      </c>
      <c r="K6382" s="3">
        <v>424</v>
      </c>
      <c r="L6382" t="s">
        <v>120</v>
      </c>
      <c r="M6382">
        <v>9</v>
      </c>
      <c r="N6382" t="s">
        <v>76</v>
      </c>
      <c r="O6382" t="s">
        <v>70</v>
      </c>
      <c r="P6382" t="s">
        <v>12</v>
      </c>
      <c r="Q6382" t="s">
        <v>13</v>
      </c>
      <c r="R6382" t="s">
        <v>13</v>
      </c>
      <c r="S6382" t="s">
        <v>144</v>
      </c>
      <c r="T6382" s="2">
        <f>MASTER[[#This Row],[CANTIDAD]]*MASTER[[#This Row],[PRECIO DE VENTA]]</f>
        <v>2052</v>
      </c>
      <c r="U6382" s="2">
        <f>MASTER[[#This Row],[CANTIDAD]]*MASTER[[#This Row],[COSTO UNITARIO]]</f>
        <v>848</v>
      </c>
      <c r="V6382" s="2">
        <f>MASTER[[#This Row],[MONTO VENDIDO]]-MASTER[[#This Row],[COSTO DE VENTA]]</f>
        <v>1204</v>
      </c>
    </row>
    <row r="6383" spans="1:22" x14ac:dyDescent="0.3">
      <c r="A6383">
        <v>87558</v>
      </c>
      <c r="B6383">
        <v>1</v>
      </c>
      <c r="C6383" t="s">
        <v>121</v>
      </c>
      <c r="D6383" t="s">
        <v>122</v>
      </c>
      <c r="E6383" s="1">
        <v>44522</v>
      </c>
      <c r="F6383">
        <v>1</v>
      </c>
      <c r="G6383" t="s">
        <v>63</v>
      </c>
      <c r="H6383" t="s">
        <v>64</v>
      </c>
      <c r="I6383" s="3">
        <v>1144</v>
      </c>
      <c r="J6383" s="3">
        <v>1144</v>
      </c>
      <c r="K6383" s="3">
        <v>460</v>
      </c>
      <c r="L6383" t="s">
        <v>120</v>
      </c>
      <c r="M6383">
        <v>9</v>
      </c>
      <c r="N6383" t="s">
        <v>76</v>
      </c>
      <c r="O6383" t="s">
        <v>70</v>
      </c>
      <c r="P6383" t="s">
        <v>12</v>
      </c>
      <c r="Q6383" t="s">
        <v>13</v>
      </c>
      <c r="R6383" t="s">
        <v>13</v>
      </c>
      <c r="S6383" t="s">
        <v>144</v>
      </c>
      <c r="T6383" s="2">
        <f>MASTER[[#This Row],[CANTIDAD]]*MASTER[[#This Row],[PRECIO DE VENTA]]</f>
        <v>1144</v>
      </c>
      <c r="U6383" s="2">
        <f>MASTER[[#This Row],[CANTIDAD]]*MASTER[[#This Row],[COSTO UNITARIO]]</f>
        <v>460</v>
      </c>
      <c r="V6383" s="2">
        <f>MASTER[[#This Row],[MONTO VENDIDO]]-MASTER[[#This Row],[COSTO DE VENTA]]</f>
        <v>684</v>
      </c>
    </row>
    <row r="6384" spans="1:22" x14ac:dyDescent="0.3">
      <c r="A6384">
        <v>87581</v>
      </c>
      <c r="B6384">
        <v>1</v>
      </c>
      <c r="C6384" t="s">
        <v>116</v>
      </c>
      <c r="D6384" t="s">
        <v>117</v>
      </c>
      <c r="E6384" s="1">
        <v>44522</v>
      </c>
      <c r="F6384">
        <v>1</v>
      </c>
      <c r="G6384" t="s">
        <v>57</v>
      </c>
      <c r="H6384" t="s">
        <v>58</v>
      </c>
      <c r="I6384" s="3">
        <v>1999</v>
      </c>
      <c r="J6384" s="3">
        <v>1999</v>
      </c>
      <c r="K6384" s="3">
        <v>388</v>
      </c>
      <c r="L6384" t="s">
        <v>113</v>
      </c>
      <c r="M6384">
        <v>1</v>
      </c>
      <c r="N6384" t="s">
        <v>77</v>
      </c>
      <c r="O6384" t="s">
        <v>70</v>
      </c>
      <c r="P6384" t="s">
        <v>71</v>
      </c>
      <c r="Q6384" t="s">
        <v>72</v>
      </c>
      <c r="R6384" t="s">
        <v>139</v>
      </c>
      <c r="S6384" t="s">
        <v>144</v>
      </c>
      <c r="T6384" s="2">
        <f>MASTER[[#This Row],[CANTIDAD]]*MASTER[[#This Row],[PRECIO DE VENTA]]</f>
        <v>1999</v>
      </c>
      <c r="U6384" s="2">
        <f>MASTER[[#This Row],[CANTIDAD]]*MASTER[[#This Row],[COSTO UNITARIO]]</f>
        <v>388</v>
      </c>
      <c r="V6384" s="2">
        <f>MASTER[[#This Row],[MONTO VENDIDO]]-MASTER[[#This Row],[COSTO DE VENTA]]</f>
        <v>1611</v>
      </c>
    </row>
    <row r="6385" spans="1:22" x14ac:dyDescent="0.3">
      <c r="A6385">
        <v>87592</v>
      </c>
      <c r="B6385">
        <v>1</v>
      </c>
      <c r="C6385" t="s">
        <v>101</v>
      </c>
      <c r="D6385" t="s">
        <v>102</v>
      </c>
      <c r="E6385" s="1">
        <v>44522</v>
      </c>
      <c r="F6385">
        <v>1</v>
      </c>
      <c r="G6385" t="s">
        <v>45</v>
      </c>
      <c r="H6385" t="s">
        <v>46</v>
      </c>
      <c r="I6385" s="3">
        <v>1357</v>
      </c>
      <c r="J6385" s="3">
        <v>1357</v>
      </c>
      <c r="K6385" s="3">
        <v>442</v>
      </c>
      <c r="L6385" t="s">
        <v>98</v>
      </c>
      <c r="M6385">
        <v>1</v>
      </c>
      <c r="N6385" t="s">
        <v>77</v>
      </c>
      <c r="O6385" t="s">
        <v>70</v>
      </c>
      <c r="P6385" t="s">
        <v>71</v>
      </c>
      <c r="Q6385" t="s">
        <v>72</v>
      </c>
      <c r="R6385" t="s">
        <v>139</v>
      </c>
      <c r="S6385" t="s">
        <v>144</v>
      </c>
      <c r="T6385" s="2">
        <f>MASTER[[#This Row],[CANTIDAD]]*MASTER[[#This Row],[PRECIO DE VENTA]]</f>
        <v>1357</v>
      </c>
      <c r="U6385" s="2">
        <f>MASTER[[#This Row],[CANTIDAD]]*MASTER[[#This Row],[COSTO UNITARIO]]</f>
        <v>442</v>
      </c>
      <c r="V6385" s="2">
        <f>MASTER[[#This Row],[MONTO VENDIDO]]-MASTER[[#This Row],[COSTO DE VENTA]]</f>
        <v>915</v>
      </c>
    </row>
    <row r="6386" spans="1:22" x14ac:dyDescent="0.3">
      <c r="A6386">
        <v>87599</v>
      </c>
      <c r="B6386">
        <v>1</v>
      </c>
      <c r="C6386" t="s">
        <v>116</v>
      </c>
      <c r="D6386" t="s">
        <v>117</v>
      </c>
      <c r="E6386" s="1">
        <v>44522</v>
      </c>
      <c r="F6386">
        <v>1</v>
      </c>
      <c r="G6386" t="s">
        <v>55</v>
      </c>
      <c r="H6386" t="s">
        <v>56</v>
      </c>
      <c r="I6386" s="3">
        <v>1738</v>
      </c>
      <c r="J6386" s="3">
        <v>1738</v>
      </c>
      <c r="K6386" s="3">
        <v>388</v>
      </c>
      <c r="L6386" t="s">
        <v>113</v>
      </c>
      <c r="M6386">
        <v>7</v>
      </c>
      <c r="N6386" t="s">
        <v>84</v>
      </c>
      <c r="O6386" t="s">
        <v>81</v>
      </c>
      <c r="P6386" t="s">
        <v>12</v>
      </c>
      <c r="Q6386" t="s">
        <v>13</v>
      </c>
      <c r="R6386" t="s">
        <v>13</v>
      </c>
      <c r="S6386" t="s">
        <v>144</v>
      </c>
      <c r="T6386" s="2">
        <f>MASTER[[#This Row],[CANTIDAD]]*MASTER[[#This Row],[PRECIO DE VENTA]]</f>
        <v>1738</v>
      </c>
      <c r="U6386" s="2">
        <f>MASTER[[#This Row],[CANTIDAD]]*MASTER[[#This Row],[COSTO UNITARIO]]</f>
        <v>388</v>
      </c>
      <c r="V6386" s="2">
        <f>MASTER[[#This Row],[MONTO VENDIDO]]-MASTER[[#This Row],[COSTO DE VENTA]]</f>
        <v>1350</v>
      </c>
    </row>
    <row r="6387" spans="1:22" x14ac:dyDescent="0.3">
      <c r="A6387">
        <v>87613</v>
      </c>
      <c r="B6387">
        <v>1</v>
      </c>
      <c r="C6387" t="s">
        <v>101</v>
      </c>
      <c r="D6387" t="s">
        <v>102</v>
      </c>
      <c r="E6387" s="1">
        <v>44522</v>
      </c>
      <c r="F6387">
        <v>1</v>
      </c>
      <c r="G6387" t="s">
        <v>57</v>
      </c>
      <c r="H6387" t="s">
        <v>58</v>
      </c>
      <c r="I6387" s="3">
        <v>1357</v>
      </c>
      <c r="J6387" s="3">
        <v>1357</v>
      </c>
      <c r="K6387" s="3">
        <v>442</v>
      </c>
      <c r="L6387" t="s">
        <v>98</v>
      </c>
      <c r="M6387">
        <v>3</v>
      </c>
      <c r="N6387" t="s">
        <v>69</v>
      </c>
      <c r="O6387" t="s">
        <v>70</v>
      </c>
      <c r="P6387" t="s">
        <v>71</v>
      </c>
      <c r="Q6387" t="s">
        <v>72</v>
      </c>
      <c r="R6387" t="s">
        <v>139</v>
      </c>
      <c r="S6387" t="s">
        <v>144</v>
      </c>
      <c r="T6387" s="2">
        <f>MASTER[[#This Row],[CANTIDAD]]*MASTER[[#This Row],[PRECIO DE VENTA]]</f>
        <v>1357</v>
      </c>
      <c r="U6387" s="2">
        <f>MASTER[[#This Row],[CANTIDAD]]*MASTER[[#This Row],[COSTO UNITARIO]]</f>
        <v>442</v>
      </c>
      <c r="V6387" s="2">
        <f>MASTER[[#This Row],[MONTO VENDIDO]]-MASTER[[#This Row],[COSTO DE VENTA]]</f>
        <v>915</v>
      </c>
    </row>
    <row r="6388" spans="1:22" x14ac:dyDescent="0.3">
      <c r="A6388">
        <v>87649</v>
      </c>
      <c r="B6388">
        <v>1</v>
      </c>
      <c r="C6388" t="s">
        <v>101</v>
      </c>
      <c r="D6388" t="s">
        <v>102</v>
      </c>
      <c r="E6388" s="1">
        <v>44522</v>
      </c>
      <c r="F6388">
        <v>1</v>
      </c>
      <c r="G6388" t="s">
        <v>33</v>
      </c>
      <c r="H6388" t="s">
        <v>34</v>
      </c>
      <c r="I6388" s="3">
        <v>1357</v>
      </c>
      <c r="J6388" s="3">
        <v>1357</v>
      </c>
      <c r="K6388" s="3">
        <v>442</v>
      </c>
      <c r="L6388" t="s">
        <v>98</v>
      </c>
      <c r="M6388">
        <v>3</v>
      </c>
      <c r="N6388" t="s">
        <v>69</v>
      </c>
      <c r="O6388" t="s">
        <v>70</v>
      </c>
      <c r="P6388" t="s">
        <v>71</v>
      </c>
      <c r="Q6388" t="s">
        <v>72</v>
      </c>
      <c r="R6388" t="s">
        <v>139</v>
      </c>
      <c r="S6388" t="s">
        <v>144</v>
      </c>
      <c r="T6388" s="2">
        <f>MASTER[[#This Row],[CANTIDAD]]*MASTER[[#This Row],[PRECIO DE VENTA]]</f>
        <v>1357</v>
      </c>
      <c r="U6388" s="2">
        <f>MASTER[[#This Row],[CANTIDAD]]*MASTER[[#This Row],[COSTO UNITARIO]]</f>
        <v>442</v>
      </c>
      <c r="V6388" s="2">
        <f>MASTER[[#This Row],[MONTO VENDIDO]]-MASTER[[#This Row],[COSTO DE VENTA]]</f>
        <v>915</v>
      </c>
    </row>
    <row r="6389" spans="1:22" x14ac:dyDescent="0.3">
      <c r="A6389">
        <v>87659</v>
      </c>
      <c r="B6389">
        <v>1</v>
      </c>
      <c r="C6389" t="s">
        <v>118</v>
      </c>
      <c r="D6389" t="s">
        <v>119</v>
      </c>
      <c r="E6389" s="1">
        <v>44522</v>
      </c>
      <c r="F6389">
        <v>1</v>
      </c>
      <c r="G6389" t="s">
        <v>65</v>
      </c>
      <c r="H6389" t="s">
        <v>66</v>
      </c>
      <c r="I6389" s="3">
        <v>801</v>
      </c>
      <c r="J6389" s="3">
        <v>801</v>
      </c>
      <c r="K6389" s="3">
        <v>424</v>
      </c>
      <c r="L6389" t="s">
        <v>120</v>
      </c>
      <c r="M6389">
        <v>12</v>
      </c>
      <c r="N6389" t="s">
        <v>26</v>
      </c>
      <c r="O6389" t="s">
        <v>11</v>
      </c>
      <c r="P6389" t="s">
        <v>12</v>
      </c>
      <c r="Q6389" t="s">
        <v>13</v>
      </c>
      <c r="R6389" t="s">
        <v>13</v>
      </c>
      <c r="S6389" t="s">
        <v>144</v>
      </c>
      <c r="T6389" s="2">
        <f>MASTER[[#This Row],[CANTIDAD]]*MASTER[[#This Row],[PRECIO DE VENTA]]</f>
        <v>801</v>
      </c>
      <c r="U6389" s="2">
        <f>MASTER[[#This Row],[CANTIDAD]]*MASTER[[#This Row],[COSTO UNITARIO]]</f>
        <v>424</v>
      </c>
      <c r="V6389" s="2">
        <f>MASTER[[#This Row],[MONTO VENDIDO]]-MASTER[[#This Row],[COSTO DE VENTA]]</f>
        <v>377</v>
      </c>
    </row>
    <row r="6390" spans="1:22" x14ac:dyDescent="0.3">
      <c r="A6390">
        <v>87667</v>
      </c>
      <c r="B6390">
        <v>1</v>
      </c>
      <c r="C6390" t="s">
        <v>94</v>
      </c>
      <c r="D6390" t="s">
        <v>95</v>
      </c>
      <c r="E6390" s="1">
        <v>44523</v>
      </c>
      <c r="F6390">
        <v>1</v>
      </c>
      <c r="G6390" t="s">
        <v>53</v>
      </c>
      <c r="H6390" t="s">
        <v>54</v>
      </c>
      <c r="I6390" s="3">
        <v>1048</v>
      </c>
      <c r="J6390" s="3">
        <v>1048</v>
      </c>
      <c r="K6390" s="3">
        <v>392</v>
      </c>
      <c r="L6390" t="s">
        <v>9</v>
      </c>
      <c r="M6390">
        <v>4</v>
      </c>
      <c r="N6390" t="s">
        <v>82</v>
      </c>
      <c r="O6390" t="s">
        <v>81</v>
      </c>
      <c r="P6390" t="s">
        <v>71</v>
      </c>
      <c r="Q6390" t="s">
        <v>72</v>
      </c>
      <c r="R6390" t="s">
        <v>139</v>
      </c>
      <c r="S6390" t="s">
        <v>144</v>
      </c>
      <c r="T6390" s="2">
        <f>MASTER[[#This Row],[CANTIDAD]]*MASTER[[#This Row],[PRECIO DE VENTA]]</f>
        <v>1048</v>
      </c>
      <c r="U6390" s="2">
        <f>MASTER[[#This Row],[CANTIDAD]]*MASTER[[#This Row],[COSTO UNITARIO]]</f>
        <v>392</v>
      </c>
      <c r="V6390" s="2">
        <f>MASTER[[#This Row],[MONTO VENDIDO]]-MASTER[[#This Row],[COSTO DE VENTA]]</f>
        <v>656</v>
      </c>
    </row>
    <row r="6391" spans="1:22" x14ac:dyDescent="0.3">
      <c r="A6391">
        <v>87694</v>
      </c>
      <c r="B6391">
        <v>1</v>
      </c>
      <c r="C6391" t="s">
        <v>116</v>
      </c>
      <c r="D6391" t="s">
        <v>117</v>
      </c>
      <c r="E6391" s="1">
        <v>44523</v>
      </c>
      <c r="F6391">
        <v>4</v>
      </c>
      <c r="G6391" t="s">
        <v>73</v>
      </c>
      <c r="H6391" t="s">
        <v>74</v>
      </c>
      <c r="I6391" s="3">
        <v>1738</v>
      </c>
      <c r="J6391" s="3">
        <v>1581</v>
      </c>
      <c r="K6391" s="3">
        <v>388</v>
      </c>
      <c r="L6391" t="s">
        <v>113</v>
      </c>
      <c r="M6391">
        <v>19</v>
      </c>
      <c r="N6391" t="s">
        <v>89</v>
      </c>
      <c r="O6391" t="s">
        <v>81</v>
      </c>
      <c r="P6391" t="s">
        <v>15</v>
      </c>
      <c r="Q6391" t="s">
        <v>16</v>
      </c>
      <c r="R6391" t="s">
        <v>16</v>
      </c>
      <c r="S6391" t="s">
        <v>144</v>
      </c>
      <c r="T6391" s="2">
        <f>MASTER[[#This Row],[CANTIDAD]]*MASTER[[#This Row],[PRECIO DE VENTA]]</f>
        <v>6324</v>
      </c>
      <c r="U6391" s="2">
        <f>MASTER[[#This Row],[CANTIDAD]]*MASTER[[#This Row],[COSTO UNITARIO]]</f>
        <v>1552</v>
      </c>
      <c r="V6391" s="2">
        <f>MASTER[[#This Row],[MONTO VENDIDO]]-MASTER[[#This Row],[COSTO DE VENTA]]</f>
        <v>4772</v>
      </c>
    </row>
    <row r="6392" spans="1:22" x14ac:dyDescent="0.3">
      <c r="A6392">
        <v>87726</v>
      </c>
      <c r="B6392">
        <v>1</v>
      </c>
      <c r="C6392" t="s">
        <v>99</v>
      </c>
      <c r="D6392" t="s">
        <v>100</v>
      </c>
      <c r="E6392" s="1">
        <v>44523</v>
      </c>
      <c r="F6392">
        <v>1</v>
      </c>
      <c r="G6392" t="s">
        <v>24</v>
      </c>
      <c r="H6392" t="s">
        <v>25</v>
      </c>
      <c r="I6392" s="3">
        <v>1678</v>
      </c>
      <c r="J6392" s="3">
        <v>1678</v>
      </c>
      <c r="K6392" s="3">
        <v>386</v>
      </c>
      <c r="L6392" t="s">
        <v>98</v>
      </c>
      <c r="M6392">
        <v>13</v>
      </c>
      <c r="N6392" t="s">
        <v>78</v>
      </c>
      <c r="O6392" t="s">
        <v>70</v>
      </c>
      <c r="P6392" t="s">
        <v>18</v>
      </c>
      <c r="Q6392" t="s">
        <v>19</v>
      </c>
      <c r="R6392" t="s">
        <v>138</v>
      </c>
      <c r="S6392" t="s">
        <v>144</v>
      </c>
      <c r="T6392" s="2">
        <f>MASTER[[#This Row],[CANTIDAD]]*MASTER[[#This Row],[PRECIO DE VENTA]]</f>
        <v>1678</v>
      </c>
      <c r="U6392" s="2">
        <f>MASTER[[#This Row],[CANTIDAD]]*MASTER[[#This Row],[COSTO UNITARIO]]</f>
        <v>386</v>
      </c>
      <c r="V6392" s="2">
        <f>MASTER[[#This Row],[MONTO VENDIDO]]-MASTER[[#This Row],[COSTO DE VENTA]]</f>
        <v>1292</v>
      </c>
    </row>
    <row r="6393" spans="1:22" x14ac:dyDescent="0.3">
      <c r="A6393">
        <v>87767</v>
      </c>
      <c r="B6393">
        <v>1</v>
      </c>
      <c r="C6393" t="s">
        <v>116</v>
      </c>
      <c r="D6393" t="s">
        <v>117</v>
      </c>
      <c r="E6393" s="1">
        <v>44523</v>
      </c>
      <c r="F6393">
        <v>1</v>
      </c>
      <c r="G6393" t="s">
        <v>49</v>
      </c>
      <c r="H6393" t="s">
        <v>50</v>
      </c>
      <c r="I6393" s="3">
        <v>1999</v>
      </c>
      <c r="J6393" s="3">
        <v>1999</v>
      </c>
      <c r="K6393" s="3">
        <v>388</v>
      </c>
      <c r="L6393" t="s">
        <v>113</v>
      </c>
      <c r="M6393">
        <v>13</v>
      </c>
      <c r="N6393" t="s">
        <v>78</v>
      </c>
      <c r="O6393" t="s">
        <v>70</v>
      </c>
      <c r="P6393" t="s">
        <v>18</v>
      </c>
      <c r="Q6393" t="s">
        <v>19</v>
      </c>
      <c r="R6393" t="s">
        <v>138</v>
      </c>
      <c r="S6393" t="s">
        <v>144</v>
      </c>
      <c r="T6393" s="2">
        <f>MASTER[[#This Row],[CANTIDAD]]*MASTER[[#This Row],[PRECIO DE VENTA]]</f>
        <v>1999</v>
      </c>
      <c r="U6393" s="2">
        <f>MASTER[[#This Row],[CANTIDAD]]*MASTER[[#This Row],[COSTO UNITARIO]]</f>
        <v>388</v>
      </c>
      <c r="V6393" s="2">
        <f>MASTER[[#This Row],[MONTO VENDIDO]]-MASTER[[#This Row],[COSTO DE VENTA]]</f>
        <v>1611</v>
      </c>
    </row>
    <row r="6394" spans="1:22" x14ac:dyDescent="0.3">
      <c r="A6394">
        <v>87775</v>
      </c>
      <c r="B6394">
        <v>1</v>
      </c>
      <c r="C6394" t="s">
        <v>111</v>
      </c>
      <c r="D6394" t="s">
        <v>112</v>
      </c>
      <c r="E6394" s="1">
        <v>44523</v>
      </c>
      <c r="F6394">
        <v>1</v>
      </c>
      <c r="G6394" t="s">
        <v>27</v>
      </c>
      <c r="H6394" t="s">
        <v>28</v>
      </c>
      <c r="I6394" s="3">
        <v>1621</v>
      </c>
      <c r="J6394" s="3">
        <v>1621</v>
      </c>
      <c r="K6394" s="3">
        <v>434</v>
      </c>
      <c r="L6394" t="s">
        <v>113</v>
      </c>
      <c r="M6394">
        <v>8</v>
      </c>
      <c r="N6394" t="s">
        <v>80</v>
      </c>
      <c r="O6394" t="s">
        <v>81</v>
      </c>
      <c r="P6394" t="s">
        <v>12</v>
      </c>
      <c r="Q6394" t="s">
        <v>13</v>
      </c>
      <c r="R6394" t="s">
        <v>13</v>
      </c>
      <c r="S6394" t="s">
        <v>144</v>
      </c>
      <c r="T6394" s="2">
        <f>MASTER[[#This Row],[CANTIDAD]]*MASTER[[#This Row],[PRECIO DE VENTA]]</f>
        <v>1621</v>
      </c>
      <c r="U6394" s="2">
        <f>MASTER[[#This Row],[CANTIDAD]]*MASTER[[#This Row],[COSTO UNITARIO]]</f>
        <v>434</v>
      </c>
      <c r="V6394" s="2">
        <f>MASTER[[#This Row],[MONTO VENDIDO]]-MASTER[[#This Row],[COSTO DE VENTA]]</f>
        <v>1187</v>
      </c>
    </row>
    <row r="6395" spans="1:22" x14ac:dyDescent="0.3">
      <c r="A6395">
        <v>87777</v>
      </c>
      <c r="B6395">
        <v>1</v>
      </c>
      <c r="C6395" t="s">
        <v>103</v>
      </c>
      <c r="D6395" t="s">
        <v>104</v>
      </c>
      <c r="E6395" s="1">
        <v>44523</v>
      </c>
      <c r="F6395">
        <v>1</v>
      </c>
      <c r="G6395" t="s">
        <v>43</v>
      </c>
      <c r="H6395" t="s">
        <v>44</v>
      </c>
      <c r="I6395" s="3">
        <v>1830</v>
      </c>
      <c r="J6395" s="3">
        <v>1830</v>
      </c>
      <c r="K6395" s="3">
        <v>421</v>
      </c>
      <c r="L6395" t="s">
        <v>98</v>
      </c>
      <c r="M6395">
        <v>9</v>
      </c>
      <c r="N6395" t="s">
        <v>76</v>
      </c>
      <c r="O6395" t="s">
        <v>70</v>
      </c>
      <c r="P6395" t="s">
        <v>12</v>
      </c>
      <c r="Q6395" t="s">
        <v>13</v>
      </c>
      <c r="R6395" t="s">
        <v>13</v>
      </c>
      <c r="S6395" t="s">
        <v>144</v>
      </c>
      <c r="T6395" s="2">
        <f>MASTER[[#This Row],[CANTIDAD]]*MASTER[[#This Row],[PRECIO DE VENTA]]</f>
        <v>1830</v>
      </c>
      <c r="U6395" s="2">
        <f>MASTER[[#This Row],[CANTIDAD]]*MASTER[[#This Row],[COSTO UNITARIO]]</f>
        <v>421</v>
      </c>
      <c r="V6395" s="2">
        <f>MASTER[[#This Row],[MONTO VENDIDO]]-MASTER[[#This Row],[COSTO DE VENTA]]</f>
        <v>1409</v>
      </c>
    </row>
    <row r="6396" spans="1:22" x14ac:dyDescent="0.3">
      <c r="A6396">
        <v>87804</v>
      </c>
      <c r="B6396">
        <v>1</v>
      </c>
      <c r="C6396" t="s">
        <v>107</v>
      </c>
      <c r="D6396" t="s">
        <v>108</v>
      </c>
      <c r="E6396" s="1">
        <v>44523</v>
      </c>
      <c r="F6396">
        <v>1</v>
      </c>
      <c r="G6396" t="s">
        <v>59</v>
      </c>
      <c r="H6396" t="s">
        <v>60</v>
      </c>
      <c r="I6396" s="3">
        <v>1440</v>
      </c>
      <c r="J6396" s="3">
        <v>1440</v>
      </c>
      <c r="K6396" s="3">
        <v>380</v>
      </c>
      <c r="L6396" t="s">
        <v>98</v>
      </c>
      <c r="M6396">
        <v>13</v>
      </c>
      <c r="N6396" t="s">
        <v>78</v>
      </c>
      <c r="O6396" t="s">
        <v>70</v>
      </c>
      <c r="P6396" t="s">
        <v>18</v>
      </c>
      <c r="Q6396" t="s">
        <v>19</v>
      </c>
      <c r="R6396" t="s">
        <v>138</v>
      </c>
      <c r="S6396" t="s">
        <v>144</v>
      </c>
      <c r="T6396" s="2">
        <f>MASTER[[#This Row],[CANTIDAD]]*MASTER[[#This Row],[PRECIO DE VENTA]]</f>
        <v>1440</v>
      </c>
      <c r="U6396" s="2">
        <f>MASTER[[#This Row],[CANTIDAD]]*MASTER[[#This Row],[COSTO UNITARIO]]</f>
        <v>380</v>
      </c>
      <c r="V6396" s="2">
        <f>MASTER[[#This Row],[MONTO VENDIDO]]-MASTER[[#This Row],[COSTO DE VENTA]]</f>
        <v>1060</v>
      </c>
    </row>
    <row r="6397" spans="1:22" x14ac:dyDescent="0.3">
      <c r="A6397">
        <v>87807</v>
      </c>
      <c r="B6397">
        <v>1</v>
      </c>
      <c r="C6397" t="s">
        <v>109</v>
      </c>
      <c r="D6397" t="s">
        <v>110</v>
      </c>
      <c r="E6397" s="1">
        <v>44523</v>
      </c>
      <c r="F6397">
        <v>1</v>
      </c>
      <c r="G6397" t="s">
        <v>49</v>
      </c>
      <c r="H6397" t="s">
        <v>50</v>
      </c>
      <c r="I6397" s="3">
        <v>1128</v>
      </c>
      <c r="J6397" s="3">
        <v>1128</v>
      </c>
      <c r="K6397" s="3">
        <v>387</v>
      </c>
      <c r="L6397" t="s">
        <v>98</v>
      </c>
      <c r="M6397">
        <v>1</v>
      </c>
      <c r="N6397" t="s">
        <v>77</v>
      </c>
      <c r="O6397" t="s">
        <v>70</v>
      </c>
      <c r="P6397" t="s">
        <v>71</v>
      </c>
      <c r="Q6397" t="s">
        <v>72</v>
      </c>
      <c r="R6397" t="s">
        <v>139</v>
      </c>
      <c r="S6397" t="s">
        <v>144</v>
      </c>
      <c r="T6397" s="2">
        <f>MASTER[[#This Row],[CANTIDAD]]*MASTER[[#This Row],[PRECIO DE VENTA]]</f>
        <v>1128</v>
      </c>
      <c r="U6397" s="2">
        <f>MASTER[[#This Row],[CANTIDAD]]*MASTER[[#This Row],[COSTO UNITARIO]]</f>
        <v>387</v>
      </c>
      <c r="V6397" s="2">
        <f>MASTER[[#This Row],[MONTO VENDIDO]]-MASTER[[#This Row],[COSTO DE VENTA]]</f>
        <v>741</v>
      </c>
    </row>
    <row r="6398" spans="1:22" x14ac:dyDescent="0.3">
      <c r="A6398">
        <v>87825</v>
      </c>
      <c r="B6398">
        <v>1</v>
      </c>
      <c r="C6398" t="s">
        <v>114</v>
      </c>
      <c r="D6398" t="s">
        <v>115</v>
      </c>
      <c r="E6398" s="1">
        <v>44524</v>
      </c>
      <c r="F6398">
        <v>1</v>
      </c>
      <c r="G6398" t="s">
        <v>55</v>
      </c>
      <c r="H6398" t="s">
        <v>56</v>
      </c>
      <c r="I6398" s="3">
        <v>1583</v>
      </c>
      <c r="J6398" s="3">
        <v>1583</v>
      </c>
      <c r="K6398" s="3">
        <v>394</v>
      </c>
      <c r="L6398" t="s">
        <v>113</v>
      </c>
      <c r="M6398">
        <v>16</v>
      </c>
      <c r="N6398" t="s">
        <v>17</v>
      </c>
      <c r="O6398" t="s">
        <v>11</v>
      </c>
      <c r="P6398" t="s">
        <v>18</v>
      </c>
      <c r="Q6398" t="s">
        <v>19</v>
      </c>
      <c r="R6398" t="s">
        <v>138</v>
      </c>
      <c r="S6398" t="s">
        <v>144</v>
      </c>
      <c r="T6398" s="2">
        <f>MASTER[[#This Row],[CANTIDAD]]*MASTER[[#This Row],[PRECIO DE VENTA]]</f>
        <v>1583</v>
      </c>
      <c r="U6398" s="2">
        <f>MASTER[[#This Row],[CANTIDAD]]*MASTER[[#This Row],[COSTO UNITARIO]]</f>
        <v>394</v>
      </c>
      <c r="V6398" s="2">
        <f>MASTER[[#This Row],[MONTO VENDIDO]]-MASTER[[#This Row],[COSTO DE VENTA]]</f>
        <v>1189</v>
      </c>
    </row>
    <row r="6399" spans="1:22" x14ac:dyDescent="0.3">
      <c r="A6399">
        <v>87828</v>
      </c>
      <c r="B6399">
        <v>1</v>
      </c>
      <c r="C6399" t="s">
        <v>111</v>
      </c>
      <c r="D6399" t="s">
        <v>112</v>
      </c>
      <c r="E6399" s="1">
        <v>44524</v>
      </c>
      <c r="F6399">
        <v>1</v>
      </c>
      <c r="G6399" t="s">
        <v>47</v>
      </c>
      <c r="H6399" t="s">
        <v>48</v>
      </c>
      <c r="I6399" s="3">
        <v>1621</v>
      </c>
      <c r="J6399" s="3">
        <v>1523</v>
      </c>
      <c r="K6399" s="3">
        <v>434</v>
      </c>
      <c r="L6399" t="s">
        <v>113</v>
      </c>
      <c r="M6399">
        <v>2</v>
      </c>
      <c r="N6399" t="s">
        <v>86</v>
      </c>
      <c r="O6399" t="s">
        <v>81</v>
      </c>
      <c r="P6399" t="s">
        <v>71</v>
      </c>
      <c r="Q6399" t="s">
        <v>72</v>
      </c>
      <c r="R6399" t="s">
        <v>139</v>
      </c>
      <c r="S6399" t="s">
        <v>144</v>
      </c>
      <c r="T6399" s="2">
        <f>MASTER[[#This Row],[CANTIDAD]]*MASTER[[#This Row],[PRECIO DE VENTA]]</f>
        <v>1523</v>
      </c>
      <c r="U6399" s="2">
        <f>MASTER[[#This Row],[CANTIDAD]]*MASTER[[#This Row],[COSTO UNITARIO]]</f>
        <v>434</v>
      </c>
      <c r="V6399" s="2">
        <f>MASTER[[#This Row],[MONTO VENDIDO]]-MASTER[[#This Row],[COSTO DE VENTA]]</f>
        <v>1089</v>
      </c>
    </row>
    <row r="6400" spans="1:22" x14ac:dyDescent="0.3">
      <c r="A6400">
        <v>87839</v>
      </c>
      <c r="B6400">
        <v>1</v>
      </c>
      <c r="C6400" t="s">
        <v>118</v>
      </c>
      <c r="D6400" t="s">
        <v>119</v>
      </c>
      <c r="E6400" s="1">
        <v>44524</v>
      </c>
      <c r="F6400">
        <v>1</v>
      </c>
      <c r="G6400" t="s">
        <v>35</v>
      </c>
      <c r="H6400" t="s">
        <v>36</v>
      </c>
      <c r="I6400" s="3">
        <v>900</v>
      </c>
      <c r="J6400" s="3">
        <v>855</v>
      </c>
      <c r="K6400" s="3">
        <v>424</v>
      </c>
      <c r="L6400" t="s">
        <v>120</v>
      </c>
      <c r="M6400">
        <v>14</v>
      </c>
      <c r="N6400" t="s">
        <v>87</v>
      </c>
      <c r="O6400" t="s">
        <v>81</v>
      </c>
      <c r="P6400" t="s">
        <v>18</v>
      </c>
      <c r="Q6400" t="s">
        <v>19</v>
      </c>
      <c r="R6400" t="s">
        <v>138</v>
      </c>
      <c r="S6400" t="s">
        <v>144</v>
      </c>
      <c r="T6400" s="2">
        <f>MASTER[[#This Row],[CANTIDAD]]*MASTER[[#This Row],[PRECIO DE VENTA]]</f>
        <v>855</v>
      </c>
      <c r="U6400" s="2">
        <f>MASTER[[#This Row],[CANTIDAD]]*MASTER[[#This Row],[COSTO UNITARIO]]</f>
        <v>424</v>
      </c>
      <c r="V6400" s="2">
        <f>MASTER[[#This Row],[MONTO VENDIDO]]-MASTER[[#This Row],[COSTO DE VENTA]]</f>
        <v>431</v>
      </c>
    </row>
    <row r="6401" spans="1:22" x14ac:dyDescent="0.3">
      <c r="A6401">
        <v>87851</v>
      </c>
      <c r="B6401">
        <v>1</v>
      </c>
      <c r="C6401" t="s">
        <v>99</v>
      </c>
      <c r="D6401" t="s">
        <v>100</v>
      </c>
      <c r="E6401" s="1">
        <v>44524</v>
      </c>
      <c r="F6401">
        <v>1</v>
      </c>
      <c r="G6401" t="s">
        <v>33</v>
      </c>
      <c r="H6401" t="s">
        <v>34</v>
      </c>
      <c r="I6401" s="3">
        <v>1678</v>
      </c>
      <c r="J6401" s="3">
        <v>1678</v>
      </c>
      <c r="K6401" s="3">
        <v>386</v>
      </c>
      <c r="L6401" t="s">
        <v>98</v>
      </c>
      <c r="M6401">
        <v>1</v>
      </c>
      <c r="N6401" t="s">
        <v>77</v>
      </c>
      <c r="O6401" t="s">
        <v>70</v>
      </c>
      <c r="P6401" t="s">
        <v>71</v>
      </c>
      <c r="Q6401" t="s">
        <v>72</v>
      </c>
      <c r="R6401" t="s">
        <v>139</v>
      </c>
      <c r="S6401" t="s">
        <v>144</v>
      </c>
      <c r="T6401" s="2">
        <f>MASTER[[#This Row],[CANTIDAD]]*MASTER[[#This Row],[PRECIO DE VENTA]]</f>
        <v>1678</v>
      </c>
      <c r="U6401" s="2">
        <f>MASTER[[#This Row],[CANTIDAD]]*MASTER[[#This Row],[COSTO UNITARIO]]</f>
        <v>386</v>
      </c>
      <c r="V6401" s="2">
        <f>MASTER[[#This Row],[MONTO VENDIDO]]-MASTER[[#This Row],[COSTO DE VENTA]]</f>
        <v>1292</v>
      </c>
    </row>
    <row r="6402" spans="1:22" x14ac:dyDescent="0.3">
      <c r="A6402">
        <v>87869</v>
      </c>
      <c r="B6402">
        <v>1</v>
      </c>
      <c r="C6402" t="s">
        <v>118</v>
      </c>
      <c r="D6402" t="s">
        <v>119</v>
      </c>
      <c r="E6402" s="1">
        <v>44524</v>
      </c>
      <c r="F6402">
        <v>1</v>
      </c>
      <c r="G6402" t="s">
        <v>65</v>
      </c>
      <c r="H6402" t="s">
        <v>66</v>
      </c>
      <c r="I6402" s="3">
        <v>801</v>
      </c>
      <c r="J6402" s="3">
        <v>801</v>
      </c>
      <c r="K6402" s="3">
        <v>424</v>
      </c>
      <c r="L6402" t="s">
        <v>120</v>
      </c>
      <c r="M6402">
        <v>16</v>
      </c>
      <c r="N6402" t="s">
        <v>17</v>
      </c>
      <c r="O6402" t="s">
        <v>11</v>
      </c>
      <c r="P6402" t="s">
        <v>18</v>
      </c>
      <c r="Q6402" t="s">
        <v>19</v>
      </c>
      <c r="R6402" t="s">
        <v>138</v>
      </c>
      <c r="S6402" t="s">
        <v>144</v>
      </c>
      <c r="T6402" s="2">
        <f>MASTER[[#This Row],[CANTIDAD]]*MASTER[[#This Row],[PRECIO DE VENTA]]</f>
        <v>801</v>
      </c>
      <c r="U6402" s="2">
        <f>MASTER[[#This Row],[CANTIDAD]]*MASTER[[#This Row],[COSTO UNITARIO]]</f>
        <v>424</v>
      </c>
      <c r="V6402" s="2">
        <f>MASTER[[#This Row],[MONTO VENDIDO]]-MASTER[[#This Row],[COSTO DE VENTA]]</f>
        <v>377</v>
      </c>
    </row>
    <row r="6403" spans="1:22" x14ac:dyDescent="0.3">
      <c r="A6403">
        <v>87885</v>
      </c>
      <c r="B6403">
        <v>1</v>
      </c>
      <c r="C6403" t="s">
        <v>103</v>
      </c>
      <c r="D6403" t="s">
        <v>104</v>
      </c>
      <c r="E6403" s="1">
        <v>44524</v>
      </c>
      <c r="F6403">
        <v>1</v>
      </c>
      <c r="G6403" t="s">
        <v>29</v>
      </c>
      <c r="H6403" t="s">
        <v>30</v>
      </c>
      <c r="I6403" s="3">
        <v>1591</v>
      </c>
      <c r="J6403" s="3">
        <v>1591</v>
      </c>
      <c r="K6403" s="3">
        <v>421</v>
      </c>
      <c r="L6403" t="s">
        <v>98</v>
      </c>
      <c r="M6403">
        <v>7</v>
      </c>
      <c r="N6403" t="s">
        <v>84</v>
      </c>
      <c r="O6403" t="s">
        <v>81</v>
      </c>
      <c r="P6403" t="s">
        <v>12</v>
      </c>
      <c r="Q6403" t="s">
        <v>13</v>
      </c>
      <c r="R6403" t="s">
        <v>13</v>
      </c>
      <c r="S6403" t="s">
        <v>144</v>
      </c>
      <c r="T6403" s="2">
        <f>MASTER[[#This Row],[CANTIDAD]]*MASTER[[#This Row],[PRECIO DE VENTA]]</f>
        <v>1591</v>
      </c>
      <c r="U6403" s="2">
        <f>MASTER[[#This Row],[CANTIDAD]]*MASTER[[#This Row],[COSTO UNITARIO]]</f>
        <v>421</v>
      </c>
      <c r="V6403" s="2">
        <f>MASTER[[#This Row],[MONTO VENDIDO]]-MASTER[[#This Row],[COSTO DE VENTA]]</f>
        <v>1170</v>
      </c>
    </row>
    <row r="6404" spans="1:22" x14ac:dyDescent="0.3">
      <c r="A6404">
        <v>87899</v>
      </c>
      <c r="B6404">
        <v>1</v>
      </c>
      <c r="C6404" t="s">
        <v>118</v>
      </c>
      <c r="D6404" t="s">
        <v>119</v>
      </c>
      <c r="E6404" s="1">
        <v>44524</v>
      </c>
      <c r="F6404">
        <v>1</v>
      </c>
      <c r="G6404" t="s">
        <v>37</v>
      </c>
      <c r="H6404" t="s">
        <v>38</v>
      </c>
      <c r="I6404" s="3">
        <v>900</v>
      </c>
      <c r="J6404" s="3">
        <v>900</v>
      </c>
      <c r="K6404" s="3">
        <v>424</v>
      </c>
      <c r="L6404" t="s">
        <v>120</v>
      </c>
      <c r="M6404">
        <v>7</v>
      </c>
      <c r="N6404" t="s">
        <v>84</v>
      </c>
      <c r="O6404" t="s">
        <v>81</v>
      </c>
      <c r="P6404" t="s">
        <v>12</v>
      </c>
      <c r="Q6404" t="s">
        <v>13</v>
      </c>
      <c r="R6404" t="s">
        <v>13</v>
      </c>
      <c r="S6404" t="s">
        <v>144</v>
      </c>
      <c r="T6404" s="2">
        <f>MASTER[[#This Row],[CANTIDAD]]*MASTER[[#This Row],[PRECIO DE VENTA]]</f>
        <v>900</v>
      </c>
      <c r="U6404" s="2">
        <f>MASTER[[#This Row],[CANTIDAD]]*MASTER[[#This Row],[COSTO UNITARIO]]</f>
        <v>424</v>
      </c>
      <c r="V6404" s="2">
        <f>MASTER[[#This Row],[MONTO VENDIDO]]-MASTER[[#This Row],[COSTO DE VENTA]]</f>
        <v>476</v>
      </c>
    </row>
    <row r="6405" spans="1:22" x14ac:dyDescent="0.3">
      <c r="A6405">
        <v>87904</v>
      </c>
      <c r="B6405">
        <v>1</v>
      </c>
      <c r="C6405" t="s">
        <v>99</v>
      </c>
      <c r="D6405" t="s">
        <v>100</v>
      </c>
      <c r="E6405" s="1">
        <v>44525</v>
      </c>
      <c r="F6405">
        <v>1</v>
      </c>
      <c r="G6405" t="s">
        <v>67</v>
      </c>
      <c r="H6405" t="s">
        <v>68</v>
      </c>
      <c r="I6405" s="3">
        <v>1678</v>
      </c>
      <c r="J6405" s="3">
        <v>1678</v>
      </c>
      <c r="K6405" s="3">
        <v>386</v>
      </c>
      <c r="L6405" t="s">
        <v>98</v>
      </c>
      <c r="M6405">
        <v>6</v>
      </c>
      <c r="N6405" t="s">
        <v>75</v>
      </c>
      <c r="O6405" t="s">
        <v>70</v>
      </c>
      <c r="P6405" t="s">
        <v>12</v>
      </c>
      <c r="Q6405" t="s">
        <v>13</v>
      </c>
      <c r="R6405" t="s">
        <v>13</v>
      </c>
      <c r="S6405" t="s">
        <v>144</v>
      </c>
      <c r="T6405" s="2">
        <f>MASTER[[#This Row],[CANTIDAD]]*MASTER[[#This Row],[PRECIO DE VENTA]]</f>
        <v>1678</v>
      </c>
      <c r="U6405" s="2">
        <f>MASTER[[#This Row],[CANTIDAD]]*MASTER[[#This Row],[COSTO UNITARIO]]</f>
        <v>386</v>
      </c>
      <c r="V6405" s="2">
        <f>MASTER[[#This Row],[MONTO VENDIDO]]-MASTER[[#This Row],[COSTO DE VENTA]]</f>
        <v>1292</v>
      </c>
    </row>
    <row r="6406" spans="1:22" x14ac:dyDescent="0.3">
      <c r="A6406">
        <v>87904</v>
      </c>
      <c r="B6406">
        <v>2</v>
      </c>
      <c r="C6406" t="s">
        <v>109</v>
      </c>
      <c r="D6406" t="s">
        <v>110</v>
      </c>
      <c r="E6406" s="1">
        <v>44525</v>
      </c>
      <c r="F6406">
        <v>4</v>
      </c>
      <c r="G6406" t="s">
        <v>67</v>
      </c>
      <c r="H6406" t="s">
        <v>68</v>
      </c>
      <c r="I6406" s="3">
        <v>1128</v>
      </c>
      <c r="J6406" s="3">
        <v>1128</v>
      </c>
      <c r="K6406" s="3">
        <v>387</v>
      </c>
      <c r="L6406" t="s">
        <v>98</v>
      </c>
      <c r="M6406">
        <v>6</v>
      </c>
      <c r="N6406" t="s">
        <v>75</v>
      </c>
      <c r="O6406" t="s">
        <v>70</v>
      </c>
      <c r="P6406" t="s">
        <v>12</v>
      </c>
      <c r="Q6406" t="s">
        <v>13</v>
      </c>
      <c r="R6406" t="s">
        <v>13</v>
      </c>
      <c r="S6406" t="s">
        <v>144</v>
      </c>
      <c r="T6406" s="2">
        <f>MASTER[[#This Row],[CANTIDAD]]*MASTER[[#This Row],[PRECIO DE VENTA]]</f>
        <v>4512</v>
      </c>
      <c r="U6406" s="2">
        <f>MASTER[[#This Row],[CANTIDAD]]*MASTER[[#This Row],[COSTO UNITARIO]]</f>
        <v>1548</v>
      </c>
      <c r="V6406" s="2">
        <f>MASTER[[#This Row],[MONTO VENDIDO]]-MASTER[[#This Row],[COSTO DE VENTA]]</f>
        <v>2964</v>
      </c>
    </row>
    <row r="6407" spans="1:22" x14ac:dyDescent="0.3">
      <c r="A6407">
        <v>87913</v>
      </c>
      <c r="B6407">
        <v>1</v>
      </c>
      <c r="C6407" t="s">
        <v>111</v>
      </c>
      <c r="D6407" t="s">
        <v>112</v>
      </c>
      <c r="E6407" s="1">
        <v>44525</v>
      </c>
      <c r="F6407">
        <v>1</v>
      </c>
      <c r="G6407" t="s">
        <v>55</v>
      </c>
      <c r="H6407" t="s">
        <v>56</v>
      </c>
      <c r="I6407" s="3">
        <v>1799</v>
      </c>
      <c r="J6407" s="3">
        <v>1799</v>
      </c>
      <c r="K6407" s="3">
        <v>434</v>
      </c>
      <c r="L6407" t="s">
        <v>113</v>
      </c>
      <c r="M6407">
        <v>18</v>
      </c>
      <c r="N6407" t="s">
        <v>79</v>
      </c>
      <c r="O6407" t="s">
        <v>70</v>
      </c>
      <c r="P6407" t="s">
        <v>15</v>
      </c>
      <c r="Q6407" t="s">
        <v>16</v>
      </c>
      <c r="R6407" t="s">
        <v>16</v>
      </c>
      <c r="S6407" t="s">
        <v>144</v>
      </c>
      <c r="T6407" s="2">
        <f>MASTER[[#This Row],[CANTIDAD]]*MASTER[[#This Row],[PRECIO DE VENTA]]</f>
        <v>1799</v>
      </c>
      <c r="U6407" s="2">
        <f>MASTER[[#This Row],[CANTIDAD]]*MASTER[[#This Row],[COSTO UNITARIO]]</f>
        <v>434</v>
      </c>
      <c r="V6407" s="2">
        <f>MASTER[[#This Row],[MONTO VENDIDO]]-MASTER[[#This Row],[COSTO DE VENTA]]</f>
        <v>1365</v>
      </c>
    </row>
    <row r="6408" spans="1:22" x14ac:dyDescent="0.3">
      <c r="A6408">
        <v>87916</v>
      </c>
      <c r="B6408">
        <v>1</v>
      </c>
      <c r="C6408" t="s">
        <v>118</v>
      </c>
      <c r="D6408" t="s">
        <v>119</v>
      </c>
      <c r="E6408" s="1">
        <v>44525</v>
      </c>
      <c r="F6408">
        <v>2</v>
      </c>
      <c r="G6408" t="s">
        <v>41</v>
      </c>
      <c r="H6408" t="s">
        <v>42</v>
      </c>
      <c r="I6408" s="3">
        <v>1026</v>
      </c>
      <c r="J6408" s="3">
        <v>1026</v>
      </c>
      <c r="K6408" s="3">
        <v>424</v>
      </c>
      <c r="L6408" t="s">
        <v>120</v>
      </c>
      <c r="M6408">
        <v>6</v>
      </c>
      <c r="N6408" t="s">
        <v>75</v>
      </c>
      <c r="O6408" t="s">
        <v>70</v>
      </c>
      <c r="P6408" t="s">
        <v>12</v>
      </c>
      <c r="Q6408" t="s">
        <v>13</v>
      </c>
      <c r="R6408" t="s">
        <v>13</v>
      </c>
      <c r="S6408" t="s">
        <v>144</v>
      </c>
      <c r="T6408" s="2">
        <f>MASTER[[#This Row],[CANTIDAD]]*MASTER[[#This Row],[PRECIO DE VENTA]]</f>
        <v>2052</v>
      </c>
      <c r="U6408" s="2">
        <f>MASTER[[#This Row],[CANTIDAD]]*MASTER[[#This Row],[COSTO UNITARIO]]</f>
        <v>848</v>
      </c>
      <c r="V6408" s="2">
        <f>MASTER[[#This Row],[MONTO VENDIDO]]-MASTER[[#This Row],[COSTO DE VENTA]]</f>
        <v>1204</v>
      </c>
    </row>
    <row r="6409" spans="1:22" x14ac:dyDescent="0.3">
      <c r="A6409">
        <v>87924</v>
      </c>
      <c r="B6409">
        <v>1</v>
      </c>
      <c r="C6409" t="s">
        <v>105</v>
      </c>
      <c r="D6409" t="s">
        <v>106</v>
      </c>
      <c r="E6409" s="1">
        <v>44525</v>
      </c>
      <c r="F6409">
        <v>1</v>
      </c>
      <c r="G6409" t="s">
        <v>51</v>
      </c>
      <c r="H6409" t="s">
        <v>52</v>
      </c>
      <c r="I6409" s="3">
        <v>1585</v>
      </c>
      <c r="J6409" s="3">
        <v>1585</v>
      </c>
      <c r="K6409" s="3">
        <v>459</v>
      </c>
      <c r="L6409" t="s">
        <v>98</v>
      </c>
      <c r="M6409">
        <v>17</v>
      </c>
      <c r="N6409" t="s">
        <v>14</v>
      </c>
      <c r="O6409" t="s">
        <v>11</v>
      </c>
      <c r="P6409" t="s">
        <v>15</v>
      </c>
      <c r="Q6409" t="s">
        <v>16</v>
      </c>
      <c r="R6409" t="s">
        <v>16</v>
      </c>
      <c r="S6409" t="s">
        <v>144</v>
      </c>
      <c r="T6409" s="2">
        <f>MASTER[[#This Row],[CANTIDAD]]*MASTER[[#This Row],[PRECIO DE VENTA]]</f>
        <v>1585</v>
      </c>
      <c r="U6409" s="2">
        <f>MASTER[[#This Row],[CANTIDAD]]*MASTER[[#This Row],[COSTO UNITARIO]]</f>
        <v>459</v>
      </c>
      <c r="V6409" s="2">
        <f>MASTER[[#This Row],[MONTO VENDIDO]]-MASTER[[#This Row],[COSTO DE VENTA]]</f>
        <v>1126</v>
      </c>
    </row>
    <row r="6410" spans="1:22" x14ac:dyDescent="0.3">
      <c r="A6410">
        <v>87965</v>
      </c>
      <c r="B6410">
        <v>1</v>
      </c>
      <c r="C6410" t="s">
        <v>114</v>
      </c>
      <c r="D6410" t="s">
        <v>115</v>
      </c>
      <c r="E6410" s="1">
        <v>44525</v>
      </c>
      <c r="F6410">
        <v>1</v>
      </c>
      <c r="G6410" t="s">
        <v>20</v>
      </c>
      <c r="H6410" t="s">
        <v>21</v>
      </c>
      <c r="I6410" s="3">
        <v>1862</v>
      </c>
      <c r="J6410" s="3">
        <v>1862</v>
      </c>
      <c r="K6410" s="3">
        <v>394</v>
      </c>
      <c r="L6410" t="s">
        <v>113</v>
      </c>
      <c r="M6410">
        <v>4</v>
      </c>
      <c r="N6410" t="s">
        <v>82</v>
      </c>
      <c r="O6410" t="s">
        <v>81</v>
      </c>
      <c r="P6410" t="s">
        <v>71</v>
      </c>
      <c r="Q6410" t="s">
        <v>72</v>
      </c>
      <c r="R6410" t="s">
        <v>139</v>
      </c>
      <c r="S6410" t="s">
        <v>144</v>
      </c>
      <c r="T6410" s="2">
        <f>MASTER[[#This Row],[CANTIDAD]]*MASTER[[#This Row],[PRECIO DE VENTA]]</f>
        <v>1862</v>
      </c>
      <c r="U6410" s="2">
        <f>MASTER[[#This Row],[CANTIDAD]]*MASTER[[#This Row],[COSTO UNITARIO]]</f>
        <v>394</v>
      </c>
      <c r="V6410" s="2">
        <f>MASTER[[#This Row],[MONTO VENDIDO]]-MASTER[[#This Row],[COSTO DE VENTA]]</f>
        <v>1468</v>
      </c>
    </row>
    <row r="6411" spans="1:22" x14ac:dyDescent="0.3">
      <c r="A6411">
        <v>87969</v>
      </c>
      <c r="B6411">
        <v>1</v>
      </c>
      <c r="C6411" t="s">
        <v>116</v>
      </c>
      <c r="D6411" t="s">
        <v>117</v>
      </c>
      <c r="E6411" s="1">
        <v>44525</v>
      </c>
      <c r="F6411">
        <v>1</v>
      </c>
      <c r="G6411" t="s">
        <v>7</v>
      </c>
      <c r="H6411" t="s">
        <v>8</v>
      </c>
      <c r="I6411" s="3">
        <v>1738</v>
      </c>
      <c r="J6411" s="3">
        <v>1738</v>
      </c>
      <c r="K6411" s="3">
        <v>388</v>
      </c>
      <c r="L6411" t="s">
        <v>113</v>
      </c>
      <c r="M6411">
        <v>2</v>
      </c>
      <c r="N6411" t="s">
        <v>86</v>
      </c>
      <c r="O6411" t="s">
        <v>81</v>
      </c>
      <c r="P6411" t="s">
        <v>71</v>
      </c>
      <c r="Q6411" t="s">
        <v>72</v>
      </c>
      <c r="R6411" t="s">
        <v>139</v>
      </c>
      <c r="S6411" t="s">
        <v>144</v>
      </c>
      <c r="T6411" s="2">
        <f>MASTER[[#This Row],[CANTIDAD]]*MASTER[[#This Row],[PRECIO DE VENTA]]</f>
        <v>1738</v>
      </c>
      <c r="U6411" s="2">
        <f>MASTER[[#This Row],[CANTIDAD]]*MASTER[[#This Row],[COSTO UNITARIO]]</f>
        <v>388</v>
      </c>
      <c r="V6411" s="2">
        <f>MASTER[[#This Row],[MONTO VENDIDO]]-MASTER[[#This Row],[COSTO DE VENTA]]</f>
        <v>1350</v>
      </c>
    </row>
    <row r="6412" spans="1:22" x14ac:dyDescent="0.3">
      <c r="A6412">
        <v>87971</v>
      </c>
      <c r="B6412">
        <v>1</v>
      </c>
      <c r="C6412" t="s">
        <v>116</v>
      </c>
      <c r="D6412" t="s">
        <v>117</v>
      </c>
      <c r="E6412" s="1">
        <v>44525</v>
      </c>
      <c r="F6412">
        <v>2</v>
      </c>
      <c r="G6412" t="s">
        <v>51</v>
      </c>
      <c r="H6412" t="s">
        <v>52</v>
      </c>
      <c r="I6412" s="3">
        <v>1999</v>
      </c>
      <c r="J6412" s="3">
        <v>1999</v>
      </c>
      <c r="K6412" s="3">
        <v>388</v>
      </c>
      <c r="L6412" t="s">
        <v>113</v>
      </c>
      <c r="M6412">
        <v>6</v>
      </c>
      <c r="N6412" t="s">
        <v>75</v>
      </c>
      <c r="O6412" t="s">
        <v>70</v>
      </c>
      <c r="P6412" t="s">
        <v>12</v>
      </c>
      <c r="Q6412" t="s">
        <v>13</v>
      </c>
      <c r="R6412" t="s">
        <v>13</v>
      </c>
      <c r="S6412" t="s">
        <v>144</v>
      </c>
      <c r="T6412" s="2">
        <f>MASTER[[#This Row],[CANTIDAD]]*MASTER[[#This Row],[PRECIO DE VENTA]]</f>
        <v>3998</v>
      </c>
      <c r="U6412" s="2">
        <f>MASTER[[#This Row],[CANTIDAD]]*MASTER[[#This Row],[COSTO UNITARIO]]</f>
        <v>776</v>
      </c>
      <c r="V6412" s="2">
        <f>MASTER[[#This Row],[MONTO VENDIDO]]-MASTER[[#This Row],[COSTO DE VENTA]]</f>
        <v>3222</v>
      </c>
    </row>
    <row r="6413" spans="1:22" x14ac:dyDescent="0.3">
      <c r="A6413">
        <v>87978</v>
      </c>
      <c r="B6413">
        <v>1</v>
      </c>
      <c r="C6413" t="s">
        <v>96</v>
      </c>
      <c r="D6413" t="s">
        <v>97</v>
      </c>
      <c r="E6413" s="1">
        <v>44525</v>
      </c>
      <c r="F6413">
        <v>1</v>
      </c>
      <c r="G6413" t="s">
        <v>33</v>
      </c>
      <c r="H6413" t="s">
        <v>34</v>
      </c>
      <c r="I6413" s="3">
        <v>1272</v>
      </c>
      <c r="J6413" s="3">
        <v>1272</v>
      </c>
      <c r="K6413" s="3">
        <v>397</v>
      </c>
      <c r="L6413" t="s">
        <v>98</v>
      </c>
      <c r="M6413">
        <v>19</v>
      </c>
      <c r="N6413" t="s">
        <v>89</v>
      </c>
      <c r="O6413" t="s">
        <v>81</v>
      </c>
      <c r="P6413" t="s">
        <v>15</v>
      </c>
      <c r="Q6413" t="s">
        <v>16</v>
      </c>
      <c r="R6413" t="s">
        <v>16</v>
      </c>
      <c r="S6413" t="s">
        <v>144</v>
      </c>
      <c r="T6413" s="2">
        <f>MASTER[[#This Row],[CANTIDAD]]*MASTER[[#This Row],[PRECIO DE VENTA]]</f>
        <v>1272</v>
      </c>
      <c r="U6413" s="2">
        <f>MASTER[[#This Row],[CANTIDAD]]*MASTER[[#This Row],[COSTO UNITARIO]]</f>
        <v>397</v>
      </c>
      <c r="V6413" s="2">
        <f>MASTER[[#This Row],[MONTO VENDIDO]]-MASTER[[#This Row],[COSTO DE VENTA]]</f>
        <v>875</v>
      </c>
    </row>
    <row r="6414" spans="1:22" x14ac:dyDescent="0.3">
      <c r="A6414">
        <v>87988</v>
      </c>
      <c r="B6414">
        <v>1</v>
      </c>
      <c r="C6414" t="s">
        <v>111</v>
      </c>
      <c r="D6414" t="s">
        <v>112</v>
      </c>
      <c r="E6414" s="1">
        <v>44525</v>
      </c>
      <c r="F6414">
        <v>1</v>
      </c>
      <c r="G6414" t="s">
        <v>59</v>
      </c>
      <c r="H6414" t="s">
        <v>60</v>
      </c>
      <c r="I6414" s="3">
        <v>1524</v>
      </c>
      <c r="J6414" s="3">
        <v>1524</v>
      </c>
      <c r="K6414" s="3">
        <v>434</v>
      </c>
      <c r="L6414" t="s">
        <v>113</v>
      </c>
      <c r="M6414">
        <v>16</v>
      </c>
      <c r="N6414" t="s">
        <v>17</v>
      </c>
      <c r="O6414" t="s">
        <v>11</v>
      </c>
      <c r="P6414" t="s">
        <v>18</v>
      </c>
      <c r="Q6414" t="s">
        <v>19</v>
      </c>
      <c r="R6414" t="s">
        <v>138</v>
      </c>
      <c r="S6414" t="s">
        <v>144</v>
      </c>
      <c r="T6414" s="2">
        <f>MASTER[[#This Row],[CANTIDAD]]*MASTER[[#This Row],[PRECIO DE VENTA]]</f>
        <v>1524</v>
      </c>
      <c r="U6414" s="2">
        <f>MASTER[[#This Row],[CANTIDAD]]*MASTER[[#This Row],[COSTO UNITARIO]]</f>
        <v>434</v>
      </c>
      <c r="V6414" s="2">
        <f>MASTER[[#This Row],[MONTO VENDIDO]]-MASTER[[#This Row],[COSTO DE VENTA]]</f>
        <v>1090</v>
      </c>
    </row>
    <row r="6415" spans="1:22" x14ac:dyDescent="0.3">
      <c r="A6415">
        <v>87997</v>
      </c>
      <c r="B6415">
        <v>1</v>
      </c>
      <c r="C6415" t="s">
        <v>109</v>
      </c>
      <c r="D6415" t="s">
        <v>110</v>
      </c>
      <c r="E6415" s="1">
        <v>44525</v>
      </c>
      <c r="F6415">
        <v>1</v>
      </c>
      <c r="G6415" t="s">
        <v>33</v>
      </c>
      <c r="H6415" t="s">
        <v>34</v>
      </c>
      <c r="I6415" s="3">
        <v>1128</v>
      </c>
      <c r="J6415" s="3">
        <v>1128</v>
      </c>
      <c r="K6415" s="3">
        <v>387</v>
      </c>
      <c r="L6415" t="s">
        <v>98</v>
      </c>
      <c r="M6415">
        <v>9</v>
      </c>
      <c r="N6415" t="s">
        <v>76</v>
      </c>
      <c r="O6415" t="s">
        <v>70</v>
      </c>
      <c r="P6415" t="s">
        <v>12</v>
      </c>
      <c r="Q6415" t="s">
        <v>13</v>
      </c>
      <c r="R6415" t="s">
        <v>13</v>
      </c>
      <c r="S6415" t="s">
        <v>144</v>
      </c>
      <c r="T6415" s="2">
        <f>MASTER[[#This Row],[CANTIDAD]]*MASTER[[#This Row],[PRECIO DE VENTA]]</f>
        <v>1128</v>
      </c>
      <c r="U6415" s="2">
        <f>MASTER[[#This Row],[CANTIDAD]]*MASTER[[#This Row],[COSTO UNITARIO]]</f>
        <v>387</v>
      </c>
      <c r="V6415" s="2">
        <f>MASTER[[#This Row],[MONTO VENDIDO]]-MASTER[[#This Row],[COSTO DE VENTA]]</f>
        <v>741</v>
      </c>
    </row>
    <row r="6416" spans="1:22" x14ac:dyDescent="0.3">
      <c r="A6416">
        <v>88006</v>
      </c>
      <c r="B6416">
        <v>1</v>
      </c>
      <c r="C6416" t="s">
        <v>103</v>
      </c>
      <c r="D6416" t="s">
        <v>104</v>
      </c>
      <c r="E6416" s="1">
        <v>44525</v>
      </c>
      <c r="F6416">
        <v>1</v>
      </c>
      <c r="G6416" t="s">
        <v>61</v>
      </c>
      <c r="H6416" t="s">
        <v>62</v>
      </c>
      <c r="I6416" s="3">
        <v>1448</v>
      </c>
      <c r="J6416" s="3">
        <v>1448</v>
      </c>
      <c r="K6416" s="3">
        <v>421</v>
      </c>
      <c r="L6416" t="s">
        <v>98</v>
      </c>
      <c r="M6416">
        <v>11</v>
      </c>
      <c r="N6416" t="s">
        <v>10</v>
      </c>
      <c r="O6416" t="s">
        <v>11</v>
      </c>
      <c r="P6416" t="s">
        <v>12</v>
      </c>
      <c r="Q6416" t="s">
        <v>13</v>
      </c>
      <c r="R6416" t="s">
        <v>13</v>
      </c>
      <c r="S6416" t="s">
        <v>144</v>
      </c>
      <c r="T6416" s="2">
        <f>MASTER[[#This Row],[CANTIDAD]]*MASTER[[#This Row],[PRECIO DE VENTA]]</f>
        <v>1448</v>
      </c>
      <c r="U6416" s="2">
        <f>MASTER[[#This Row],[CANTIDAD]]*MASTER[[#This Row],[COSTO UNITARIO]]</f>
        <v>421</v>
      </c>
      <c r="V6416" s="2">
        <f>MASTER[[#This Row],[MONTO VENDIDO]]-MASTER[[#This Row],[COSTO DE VENTA]]</f>
        <v>1027</v>
      </c>
    </row>
    <row r="6417" spans="1:22" x14ac:dyDescent="0.3">
      <c r="A6417">
        <v>88014</v>
      </c>
      <c r="B6417">
        <v>1</v>
      </c>
      <c r="C6417" t="s">
        <v>5</v>
      </c>
      <c r="D6417" t="s">
        <v>6</v>
      </c>
      <c r="E6417" s="1">
        <v>44526</v>
      </c>
      <c r="F6417">
        <v>1</v>
      </c>
      <c r="G6417" t="s">
        <v>59</v>
      </c>
      <c r="H6417" t="s">
        <v>60</v>
      </c>
      <c r="I6417" s="3">
        <v>1311</v>
      </c>
      <c r="J6417" s="3">
        <v>1311</v>
      </c>
      <c r="K6417" s="3">
        <v>393</v>
      </c>
      <c r="L6417" t="s">
        <v>9</v>
      </c>
      <c r="M6417">
        <v>12</v>
      </c>
      <c r="N6417" t="s">
        <v>26</v>
      </c>
      <c r="O6417" t="s">
        <v>11</v>
      </c>
      <c r="P6417" t="s">
        <v>12</v>
      </c>
      <c r="Q6417" t="s">
        <v>13</v>
      </c>
      <c r="R6417" t="s">
        <v>13</v>
      </c>
      <c r="S6417" t="s">
        <v>144</v>
      </c>
      <c r="T6417" s="2">
        <f>MASTER[[#This Row],[CANTIDAD]]*MASTER[[#This Row],[PRECIO DE VENTA]]</f>
        <v>1311</v>
      </c>
      <c r="U6417" s="2">
        <f>MASTER[[#This Row],[CANTIDAD]]*MASTER[[#This Row],[COSTO UNITARIO]]</f>
        <v>393</v>
      </c>
      <c r="V6417" s="2">
        <f>MASTER[[#This Row],[MONTO VENDIDO]]-MASTER[[#This Row],[COSTO DE VENTA]]</f>
        <v>918</v>
      </c>
    </row>
    <row r="6418" spans="1:22" x14ac:dyDescent="0.3">
      <c r="A6418">
        <v>88040</v>
      </c>
      <c r="B6418">
        <v>1</v>
      </c>
      <c r="C6418" t="s">
        <v>103</v>
      </c>
      <c r="D6418" t="s">
        <v>104</v>
      </c>
      <c r="E6418" s="1">
        <v>44526</v>
      </c>
      <c r="F6418">
        <v>1</v>
      </c>
      <c r="G6418" t="s">
        <v>57</v>
      </c>
      <c r="H6418" t="s">
        <v>58</v>
      </c>
      <c r="I6418" s="3">
        <v>1591</v>
      </c>
      <c r="J6418" s="3">
        <v>1591</v>
      </c>
      <c r="K6418" s="3">
        <v>421</v>
      </c>
      <c r="L6418" t="s">
        <v>98</v>
      </c>
      <c r="M6418">
        <v>4</v>
      </c>
      <c r="N6418" t="s">
        <v>82</v>
      </c>
      <c r="O6418" t="s">
        <v>81</v>
      </c>
      <c r="P6418" t="s">
        <v>71</v>
      </c>
      <c r="Q6418" t="s">
        <v>72</v>
      </c>
      <c r="R6418" t="s">
        <v>139</v>
      </c>
      <c r="S6418" t="s">
        <v>144</v>
      </c>
      <c r="T6418" s="2">
        <f>MASTER[[#This Row],[CANTIDAD]]*MASTER[[#This Row],[PRECIO DE VENTA]]</f>
        <v>1591</v>
      </c>
      <c r="U6418" s="2">
        <f>MASTER[[#This Row],[CANTIDAD]]*MASTER[[#This Row],[COSTO UNITARIO]]</f>
        <v>421</v>
      </c>
      <c r="V6418" s="2">
        <f>MASTER[[#This Row],[MONTO VENDIDO]]-MASTER[[#This Row],[COSTO DE VENTA]]</f>
        <v>1170</v>
      </c>
    </row>
    <row r="6419" spans="1:22" x14ac:dyDescent="0.3">
      <c r="A6419">
        <v>88055</v>
      </c>
      <c r="B6419">
        <v>1</v>
      </c>
      <c r="C6419" t="s">
        <v>103</v>
      </c>
      <c r="D6419" t="s">
        <v>104</v>
      </c>
      <c r="E6419" s="1">
        <v>44526</v>
      </c>
      <c r="F6419">
        <v>1</v>
      </c>
      <c r="G6419" t="s">
        <v>39</v>
      </c>
      <c r="H6419" t="s">
        <v>40</v>
      </c>
      <c r="I6419" s="3">
        <v>1830</v>
      </c>
      <c r="J6419" s="3">
        <v>1830</v>
      </c>
      <c r="K6419" s="3">
        <v>421</v>
      </c>
      <c r="L6419" t="s">
        <v>98</v>
      </c>
      <c r="M6419">
        <v>18</v>
      </c>
      <c r="N6419" t="s">
        <v>79</v>
      </c>
      <c r="O6419" t="s">
        <v>70</v>
      </c>
      <c r="P6419" t="s">
        <v>15</v>
      </c>
      <c r="Q6419" t="s">
        <v>16</v>
      </c>
      <c r="R6419" t="s">
        <v>16</v>
      </c>
      <c r="S6419" t="s">
        <v>144</v>
      </c>
      <c r="T6419" s="2">
        <f>MASTER[[#This Row],[CANTIDAD]]*MASTER[[#This Row],[PRECIO DE VENTA]]</f>
        <v>1830</v>
      </c>
      <c r="U6419" s="2">
        <f>MASTER[[#This Row],[CANTIDAD]]*MASTER[[#This Row],[COSTO UNITARIO]]</f>
        <v>421</v>
      </c>
      <c r="V6419" s="2">
        <f>MASTER[[#This Row],[MONTO VENDIDO]]-MASTER[[#This Row],[COSTO DE VENTA]]</f>
        <v>1409</v>
      </c>
    </row>
    <row r="6420" spans="1:22" x14ac:dyDescent="0.3">
      <c r="A6420">
        <v>88062</v>
      </c>
      <c r="B6420">
        <v>1</v>
      </c>
      <c r="C6420" t="s">
        <v>103</v>
      </c>
      <c r="D6420" t="s">
        <v>104</v>
      </c>
      <c r="E6420" s="1">
        <v>44526</v>
      </c>
      <c r="F6420">
        <v>1</v>
      </c>
      <c r="G6420" t="s">
        <v>61</v>
      </c>
      <c r="H6420" t="s">
        <v>62</v>
      </c>
      <c r="I6420" s="3">
        <v>1448</v>
      </c>
      <c r="J6420" s="3">
        <v>1448</v>
      </c>
      <c r="K6420" s="3">
        <v>421</v>
      </c>
      <c r="L6420" t="s">
        <v>98</v>
      </c>
      <c r="M6420">
        <v>17</v>
      </c>
      <c r="N6420" t="s">
        <v>14</v>
      </c>
      <c r="O6420" t="s">
        <v>11</v>
      </c>
      <c r="P6420" t="s">
        <v>15</v>
      </c>
      <c r="Q6420" t="s">
        <v>16</v>
      </c>
      <c r="R6420" t="s">
        <v>16</v>
      </c>
      <c r="S6420" t="s">
        <v>144</v>
      </c>
      <c r="T6420" s="2">
        <f>MASTER[[#This Row],[CANTIDAD]]*MASTER[[#This Row],[PRECIO DE VENTA]]</f>
        <v>1448</v>
      </c>
      <c r="U6420" s="2">
        <f>MASTER[[#This Row],[CANTIDAD]]*MASTER[[#This Row],[COSTO UNITARIO]]</f>
        <v>421</v>
      </c>
      <c r="V6420" s="2">
        <f>MASTER[[#This Row],[MONTO VENDIDO]]-MASTER[[#This Row],[COSTO DE VENTA]]</f>
        <v>1027</v>
      </c>
    </row>
    <row r="6421" spans="1:22" x14ac:dyDescent="0.3">
      <c r="A6421">
        <v>88070</v>
      </c>
      <c r="B6421">
        <v>1</v>
      </c>
      <c r="C6421" t="s">
        <v>121</v>
      </c>
      <c r="D6421" t="s">
        <v>122</v>
      </c>
      <c r="E6421" s="1">
        <v>44526</v>
      </c>
      <c r="F6421">
        <v>1</v>
      </c>
      <c r="G6421" t="s">
        <v>65</v>
      </c>
      <c r="H6421" t="s">
        <v>66</v>
      </c>
      <c r="I6421" s="3">
        <v>1144</v>
      </c>
      <c r="J6421" s="3">
        <v>1144</v>
      </c>
      <c r="K6421" s="3">
        <v>460</v>
      </c>
      <c r="L6421" t="s">
        <v>120</v>
      </c>
      <c r="M6421">
        <v>6</v>
      </c>
      <c r="N6421" t="s">
        <v>75</v>
      </c>
      <c r="O6421" t="s">
        <v>70</v>
      </c>
      <c r="P6421" t="s">
        <v>12</v>
      </c>
      <c r="Q6421" t="s">
        <v>13</v>
      </c>
      <c r="R6421" t="s">
        <v>13</v>
      </c>
      <c r="S6421" t="s">
        <v>144</v>
      </c>
      <c r="T6421" s="2">
        <f>MASTER[[#This Row],[CANTIDAD]]*MASTER[[#This Row],[PRECIO DE VENTA]]</f>
        <v>1144</v>
      </c>
      <c r="U6421" s="2">
        <f>MASTER[[#This Row],[CANTIDAD]]*MASTER[[#This Row],[COSTO UNITARIO]]</f>
        <v>460</v>
      </c>
      <c r="V6421" s="2">
        <f>MASTER[[#This Row],[MONTO VENDIDO]]-MASTER[[#This Row],[COSTO DE VENTA]]</f>
        <v>684</v>
      </c>
    </row>
    <row r="6422" spans="1:22" x14ac:dyDescent="0.3">
      <c r="A6422">
        <v>88078</v>
      </c>
      <c r="B6422">
        <v>1</v>
      </c>
      <c r="C6422" t="s">
        <v>109</v>
      </c>
      <c r="D6422" t="s">
        <v>110</v>
      </c>
      <c r="E6422" s="1">
        <v>44526</v>
      </c>
      <c r="F6422">
        <v>1</v>
      </c>
      <c r="G6422" t="s">
        <v>29</v>
      </c>
      <c r="H6422" t="s">
        <v>30</v>
      </c>
      <c r="I6422" s="3">
        <v>1128</v>
      </c>
      <c r="J6422" s="3">
        <v>1037</v>
      </c>
      <c r="K6422" s="3">
        <v>387</v>
      </c>
      <c r="L6422" t="s">
        <v>98</v>
      </c>
      <c r="M6422">
        <v>18</v>
      </c>
      <c r="N6422" t="s">
        <v>79</v>
      </c>
      <c r="O6422" t="s">
        <v>70</v>
      </c>
      <c r="P6422" t="s">
        <v>15</v>
      </c>
      <c r="Q6422" t="s">
        <v>16</v>
      </c>
      <c r="R6422" t="s">
        <v>16</v>
      </c>
      <c r="S6422" t="s">
        <v>144</v>
      </c>
      <c r="T6422" s="2">
        <f>MASTER[[#This Row],[CANTIDAD]]*MASTER[[#This Row],[PRECIO DE VENTA]]</f>
        <v>1037</v>
      </c>
      <c r="U6422" s="2">
        <f>MASTER[[#This Row],[CANTIDAD]]*MASTER[[#This Row],[COSTO UNITARIO]]</f>
        <v>387</v>
      </c>
      <c r="V6422" s="2">
        <f>MASTER[[#This Row],[MONTO VENDIDO]]-MASTER[[#This Row],[COSTO DE VENTA]]</f>
        <v>650</v>
      </c>
    </row>
    <row r="6423" spans="1:22" x14ac:dyDescent="0.3">
      <c r="A6423">
        <v>88084</v>
      </c>
      <c r="B6423">
        <v>1</v>
      </c>
      <c r="C6423" t="s">
        <v>101</v>
      </c>
      <c r="D6423" t="s">
        <v>102</v>
      </c>
      <c r="E6423" s="1">
        <v>44526</v>
      </c>
      <c r="F6423">
        <v>1</v>
      </c>
      <c r="G6423" t="s">
        <v>20</v>
      </c>
      <c r="H6423" t="s">
        <v>21</v>
      </c>
      <c r="I6423" s="3">
        <v>1357</v>
      </c>
      <c r="J6423" s="3">
        <v>1357</v>
      </c>
      <c r="K6423" s="3">
        <v>442</v>
      </c>
      <c r="L6423" t="s">
        <v>98</v>
      </c>
      <c r="M6423">
        <v>18</v>
      </c>
      <c r="N6423" t="s">
        <v>79</v>
      </c>
      <c r="O6423" t="s">
        <v>70</v>
      </c>
      <c r="P6423" t="s">
        <v>15</v>
      </c>
      <c r="Q6423" t="s">
        <v>16</v>
      </c>
      <c r="R6423" t="s">
        <v>16</v>
      </c>
      <c r="S6423" t="s">
        <v>144</v>
      </c>
      <c r="T6423" s="2">
        <f>MASTER[[#This Row],[CANTIDAD]]*MASTER[[#This Row],[PRECIO DE VENTA]]</f>
        <v>1357</v>
      </c>
      <c r="U6423" s="2">
        <f>MASTER[[#This Row],[CANTIDAD]]*MASTER[[#This Row],[COSTO UNITARIO]]</f>
        <v>442</v>
      </c>
      <c r="V6423" s="2">
        <f>MASTER[[#This Row],[MONTO VENDIDO]]-MASTER[[#This Row],[COSTO DE VENTA]]</f>
        <v>915</v>
      </c>
    </row>
    <row r="6424" spans="1:22" x14ac:dyDescent="0.3">
      <c r="A6424">
        <v>88092</v>
      </c>
      <c r="B6424">
        <v>1</v>
      </c>
      <c r="C6424" t="s">
        <v>109</v>
      </c>
      <c r="D6424" t="s">
        <v>110</v>
      </c>
      <c r="E6424" s="1">
        <v>44526</v>
      </c>
      <c r="F6424">
        <v>1</v>
      </c>
      <c r="G6424" t="s">
        <v>61</v>
      </c>
      <c r="H6424" t="s">
        <v>62</v>
      </c>
      <c r="I6424" s="3">
        <v>1128</v>
      </c>
      <c r="J6424" s="3">
        <v>1037</v>
      </c>
      <c r="K6424" s="3">
        <v>387</v>
      </c>
      <c r="L6424" t="s">
        <v>98</v>
      </c>
      <c r="M6424">
        <v>3</v>
      </c>
      <c r="N6424" t="s">
        <v>69</v>
      </c>
      <c r="O6424" t="s">
        <v>70</v>
      </c>
      <c r="P6424" t="s">
        <v>71</v>
      </c>
      <c r="Q6424" t="s">
        <v>72</v>
      </c>
      <c r="R6424" t="s">
        <v>139</v>
      </c>
      <c r="S6424" t="s">
        <v>144</v>
      </c>
      <c r="T6424" s="2">
        <f>MASTER[[#This Row],[CANTIDAD]]*MASTER[[#This Row],[PRECIO DE VENTA]]</f>
        <v>1037</v>
      </c>
      <c r="U6424" s="2">
        <f>MASTER[[#This Row],[CANTIDAD]]*MASTER[[#This Row],[COSTO UNITARIO]]</f>
        <v>387</v>
      </c>
      <c r="V6424" s="2">
        <f>MASTER[[#This Row],[MONTO VENDIDO]]-MASTER[[#This Row],[COSTO DE VENTA]]</f>
        <v>650</v>
      </c>
    </row>
    <row r="6425" spans="1:22" x14ac:dyDescent="0.3">
      <c r="A6425">
        <v>88106</v>
      </c>
      <c r="B6425">
        <v>1</v>
      </c>
      <c r="C6425" t="s">
        <v>107</v>
      </c>
      <c r="D6425" t="s">
        <v>108</v>
      </c>
      <c r="E6425" s="1">
        <v>44526</v>
      </c>
      <c r="F6425">
        <v>1</v>
      </c>
      <c r="G6425" t="s">
        <v>73</v>
      </c>
      <c r="H6425" t="s">
        <v>74</v>
      </c>
      <c r="I6425" s="3">
        <v>1440</v>
      </c>
      <c r="J6425" s="3">
        <v>1440</v>
      </c>
      <c r="K6425" s="3">
        <v>380</v>
      </c>
      <c r="L6425" t="s">
        <v>98</v>
      </c>
      <c r="M6425">
        <v>6</v>
      </c>
      <c r="N6425" t="s">
        <v>75</v>
      </c>
      <c r="O6425" t="s">
        <v>70</v>
      </c>
      <c r="P6425" t="s">
        <v>12</v>
      </c>
      <c r="Q6425" t="s">
        <v>13</v>
      </c>
      <c r="R6425" t="s">
        <v>13</v>
      </c>
      <c r="S6425" t="s">
        <v>144</v>
      </c>
      <c r="T6425" s="2">
        <f>MASTER[[#This Row],[CANTIDAD]]*MASTER[[#This Row],[PRECIO DE VENTA]]</f>
        <v>1440</v>
      </c>
      <c r="U6425" s="2">
        <f>MASTER[[#This Row],[CANTIDAD]]*MASTER[[#This Row],[COSTO UNITARIO]]</f>
        <v>380</v>
      </c>
      <c r="V6425" s="2">
        <f>MASTER[[#This Row],[MONTO VENDIDO]]-MASTER[[#This Row],[COSTO DE VENTA]]</f>
        <v>1060</v>
      </c>
    </row>
    <row r="6426" spans="1:22" x14ac:dyDescent="0.3">
      <c r="A6426">
        <v>88108</v>
      </c>
      <c r="B6426">
        <v>1</v>
      </c>
      <c r="C6426" t="s">
        <v>118</v>
      </c>
      <c r="D6426" t="s">
        <v>119</v>
      </c>
      <c r="E6426" s="1">
        <v>44527</v>
      </c>
      <c r="F6426">
        <v>1</v>
      </c>
      <c r="G6426" t="s">
        <v>49</v>
      </c>
      <c r="H6426" t="s">
        <v>50</v>
      </c>
      <c r="I6426" s="3">
        <v>1026</v>
      </c>
      <c r="J6426" s="3">
        <v>1026</v>
      </c>
      <c r="K6426" s="3">
        <v>424</v>
      </c>
      <c r="L6426" t="s">
        <v>120</v>
      </c>
      <c r="M6426">
        <v>6</v>
      </c>
      <c r="N6426" t="s">
        <v>75</v>
      </c>
      <c r="O6426" t="s">
        <v>70</v>
      </c>
      <c r="P6426" t="s">
        <v>12</v>
      </c>
      <c r="Q6426" t="s">
        <v>13</v>
      </c>
      <c r="R6426" t="s">
        <v>13</v>
      </c>
      <c r="S6426" t="s">
        <v>144</v>
      </c>
      <c r="T6426" s="2">
        <f>MASTER[[#This Row],[CANTIDAD]]*MASTER[[#This Row],[PRECIO DE VENTA]]</f>
        <v>1026</v>
      </c>
      <c r="U6426" s="2">
        <f>MASTER[[#This Row],[CANTIDAD]]*MASTER[[#This Row],[COSTO UNITARIO]]</f>
        <v>424</v>
      </c>
      <c r="V6426" s="2">
        <f>MASTER[[#This Row],[MONTO VENDIDO]]-MASTER[[#This Row],[COSTO DE VENTA]]</f>
        <v>602</v>
      </c>
    </row>
    <row r="6427" spans="1:22" x14ac:dyDescent="0.3">
      <c r="A6427">
        <v>88121</v>
      </c>
      <c r="B6427">
        <v>1</v>
      </c>
      <c r="C6427" t="s">
        <v>5</v>
      </c>
      <c r="D6427" t="s">
        <v>6</v>
      </c>
      <c r="E6427" s="1">
        <v>44527</v>
      </c>
      <c r="F6427">
        <v>2</v>
      </c>
      <c r="G6427" t="s">
        <v>47</v>
      </c>
      <c r="H6427" t="s">
        <v>48</v>
      </c>
      <c r="I6427" s="3">
        <v>1507</v>
      </c>
      <c r="J6427" s="3">
        <v>1507</v>
      </c>
      <c r="K6427" s="3">
        <v>393</v>
      </c>
      <c r="L6427" t="s">
        <v>9</v>
      </c>
      <c r="M6427">
        <v>4</v>
      </c>
      <c r="N6427" t="s">
        <v>82</v>
      </c>
      <c r="O6427" t="s">
        <v>81</v>
      </c>
      <c r="P6427" t="s">
        <v>71</v>
      </c>
      <c r="Q6427" t="s">
        <v>72</v>
      </c>
      <c r="R6427" t="s">
        <v>139</v>
      </c>
      <c r="S6427" t="s">
        <v>144</v>
      </c>
      <c r="T6427" s="2">
        <f>MASTER[[#This Row],[CANTIDAD]]*MASTER[[#This Row],[PRECIO DE VENTA]]</f>
        <v>3014</v>
      </c>
      <c r="U6427" s="2">
        <f>MASTER[[#This Row],[CANTIDAD]]*MASTER[[#This Row],[COSTO UNITARIO]]</f>
        <v>786</v>
      </c>
      <c r="V6427" s="2">
        <f>MASTER[[#This Row],[MONTO VENDIDO]]-MASTER[[#This Row],[COSTO DE VENTA]]</f>
        <v>2228</v>
      </c>
    </row>
    <row r="6428" spans="1:22" x14ac:dyDescent="0.3">
      <c r="A6428">
        <v>88121</v>
      </c>
      <c r="B6428">
        <v>2</v>
      </c>
      <c r="C6428" t="s">
        <v>107</v>
      </c>
      <c r="D6428" t="s">
        <v>108</v>
      </c>
      <c r="E6428" s="1">
        <v>44527</v>
      </c>
      <c r="F6428">
        <v>1</v>
      </c>
      <c r="G6428" t="s">
        <v>73</v>
      </c>
      <c r="H6428" t="s">
        <v>74</v>
      </c>
      <c r="I6428" s="3">
        <v>1333</v>
      </c>
      <c r="J6428" s="3">
        <v>1333</v>
      </c>
      <c r="K6428" s="3">
        <v>380</v>
      </c>
      <c r="L6428" t="s">
        <v>98</v>
      </c>
      <c r="M6428">
        <v>4</v>
      </c>
      <c r="N6428" t="s">
        <v>82</v>
      </c>
      <c r="O6428" t="s">
        <v>81</v>
      </c>
      <c r="P6428" t="s">
        <v>71</v>
      </c>
      <c r="Q6428" t="s">
        <v>72</v>
      </c>
      <c r="R6428" t="s">
        <v>139</v>
      </c>
      <c r="S6428" t="s">
        <v>144</v>
      </c>
      <c r="T6428" s="2">
        <f>MASTER[[#This Row],[CANTIDAD]]*MASTER[[#This Row],[PRECIO DE VENTA]]</f>
        <v>1333</v>
      </c>
      <c r="U6428" s="2">
        <f>MASTER[[#This Row],[CANTIDAD]]*MASTER[[#This Row],[COSTO UNITARIO]]</f>
        <v>380</v>
      </c>
      <c r="V6428" s="2">
        <f>MASTER[[#This Row],[MONTO VENDIDO]]-MASTER[[#This Row],[COSTO DE VENTA]]</f>
        <v>953</v>
      </c>
    </row>
    <row r="6429" spans="1:22" x14ac:dyDescent="0.3">
      <c r="A6429">
        <v>88133</v>
      </c>
      <c r="B6429">
        <v>1</v>
      </c>
      <c r="C6429" t="s">
        <v>92</v>
      </c>
      <c r="D6429" t="s">
        <v>93</v>
      </c>
      <c r="E6429" s="1">
        <v>44527</v>
      </c>
      <c r="F6429">
        <v>1</v>
      </c>
      <c r="G6429" t="s">
        <v>51</v>
      </c>
      <c r="H6429" t="s">
        <v>52</v>
      </c>
      <c r="I6429" s="3">
        <v>1681</v>
      </c>
      <c r="J6429" s="3">
        <v>1681</v>
      </c>
      <c r="K6429" s="3">
        <v>396</v>
      </c>
      <c r="L6429" t="s">
        <v>9</v>
      </c>
      <c r="M6429">
        <v>14</v>
      </c>
      <c r="N6429" t="s">
        <v>87</v>
      </c>
      <c r="O6429" t="s">
        <v>81</v>
      </c>
      <c r="P6429" t="s">
        <v>18</v>
      </c>
      <c r="Q6429" t="s">
        <v>19</v>
      </c>
      <c r="R6429" t="s">
        <v>138</v>
      </c>
      <c r="S6429" t="s">
        <v>144</v>
      </c>
      <c r="T6429" s="2">
        <f>MASTER[[#This Row],[CANTIDAD]]*MASTER[[#This Row],[PRECIO DE VENTA]]</f>
        <v>1681</v>
      </c>
      <c r="U6429" s="2">
        <f>MASTER[[#This Row],[CANTIDAD]]*MASTER[[#This Row],[COSTO UNITARIO]]</f>
        <v>396</v>
      </c>
      <c r="V6429" s="2">
        <f>MASTER[[#This Row],[MONTO VENDIDO]]-MASTER[[#This Row],[COSTO DE VENTA]]</f>
        <v>1285</v>
      </c>
    </row>
    <row r="6430" spans="1:22" x14ac:dyDescent="0.3">
      <c r="A6430">
        <v>88156</v>
      </c>
      <c r="B6430">
        <v>1</v>
      </c>
      <c r="C6430" t="s">
        <v>107</v>
      </c>
      <c r="D6430" t="s">
        <v>108</v>
      </c>
      <c r="E6430" s="1">
        <v>44527</v>
      </c>
      <c r="F6430">
        <v>2</v>
      </c>
      <c r="G6430" t="s">
        <v>29</v>
      </c>
      <c r="H6430" t="s">
        <v>30</v>
      </c>
      <c r="I6430" s="3">
        <v>1333</v>
      </c>
      <c r="J6430" s="3">
        <v>1333</v>
      </c>
      <c r="K6430" s="3">
        <v>380</v>
      </c>
      <c r="L6430" t="s">
        <v>98</v>
      </c>
      <c r="M6430">
        <v>19</v>
      </c>
      <c r="N6430" t="s">
        <v>89</v>
      </c>
      <c r="O6430" t="s">
        <v>81</v>
      </c>
      <c r="P6430" t="s">
        <v>15</v>
      </c>
      <c r="Q6430" t="s">
        <v>16</v>
      </c>
      <c r="R6430" t="s">
        <v>16</v>
      </c>
      <c r="S6430" t="s">
        <v>144</v>
      </c>
      <c r="T6430" s="2">
        <f>MASTER[[#This Row],[CANTIDAD]]*MASTER[[#This Row],[PRECIO DE VENTA]]</f>
        <v>2666</v>
      </c>
      <c r="U6430" s="2">
        <f>MASTER[[#This Row],[CANTIDAD]]*MASTER[[#This Row],[COSTO UNITARIO]]</f>
        <v>760</v>
      </c>
      <c r="V6430" s="2">
        <f>MASTER[[#This Row],[MONTO VENDIDO]]-MASTER[[#This Row],[COSTO DE VENTA]]</f>
        <v>1906</v>
      </c>
    </row>
    <row r="6431" spans="1:22" x14ac:dyDescent="0.3">
      <c r="A6431">
        <v>88171</v>
      </c>
      <c r="B6431">
        <v>1</v>
      </c>
      <c r="C6431" t="s">
        <v>90</v>
      </c>
      <c r="D6431" t="s">
        <v>91</v>
      </c>
      <c r="E6431" s="1">
        <v>44527</v>
      </c>
      <c r="F6431">
        <v>1</v>
      </c>
      <c r="G6431" t="s">
        <v>29</v>
      </c>
      <c r="H6431" t="s">
        <v>30</v>
      </c>
      <c r="I6431" s="3">
        <v>1844</v>
      </c>
      <c r="J6431" s="3">
        <v>1844</v>
      </c>
      <c r="K6431" s="3">
        <v>420</v>
      </c>
      <c r="L6431" t="s">
        <v>9</v>
      </c>
      <c r="M6431">
        <v>7</v>
      </c>
      <c r="N6431" t="s">
        <v>84</v>
      </c>
      <c r="O6431" t="s">
        <v>81</v>
      </c>
      <c r="P6431" t="s">
        <v>12</v>
      </c>
      <c r="Q6431" t="s">
        <v>13</v>
      </c>
      <c r="R6431" t="s">
        <v>13</v>
      </c>
      <c r="S6431" t="s">
        <v>144</v>
      </c>
      <c r="T6431" s="2">
        <f>MASTER[[#This Row],[CANTIDAD]]*MASTER[[#This Row],[PRECIO DE VENTA]]</f>
        <v>1844</v>
      </c>
      <c r="U6431" s="2">
        <f>MASTER[[#This Row],[CANTIDAD]]*MASTER[[#This Row],[COSTO UNITARIO]]</f>
        <v>420</v>
      </c>
      <c r="V6431" s="2">
        <f>MASTER[[#This Row],[MONTO VENDIDO]]-MASTER[[#This Row],[COSTO DE VENTA]]</f>
        <v>1424</v>
      </c>
    </row>
    <row r="6432" spans="1:22" x14ac:dyDescent="0.3">
      <c r="A6432">
        <v>88177</v>
      </c>
      <c r="B6432">
        <v>1</v>
      </c>
      <c r="C6432" t="s">
        <v>101</v>
      </c>
      <c r="D6432" t="s">
        <v>102</v>
      </c>
      <c r="E6432" s="1">
        <v>44527</v>
      </c>
      <c r="F6432">
        <v>1</v>
      </c>
      <c r="G6432" t="s">
        <v>29</v>
      </c>
      <c r="H6432" t="s">
        <v>30</v>
      </c>
      <c r="I6432" s="3">
        <v>1357</v>
      </c>
      <c r="J6432" s="3">
        <v>1357</v>
      </c>
      <c r="K6432" s="3">
        <v>442</v>
      </c>
      <c r="L6432" t="s">
        <v>98</v>
      </c>
      <c r="M6432">
        <v>3</v>
      </c>
      <c r="N6432" t="s">
        <v>69</v>
      </c>
      <c r="O6432" t="s">
        <v>70</v>
      </c>
      <c r="P6432" t="s">
        <v>71</v>
      </c>
      <c r="Q6432" t="s">
        <v>72</v>
      </c>
      <c r="R6432" t="s">
        <v>139</v>
      </c>
      <c r="S6432" t="s">
        <v>144</v>
      </c>
      <c r="T6432" s="2">
        <f>MASTER[[#This Row],[CANTIDAD]]*MASTER[[#This Row],[PRECIO DE VENTA]]</f>
        <v>1357</v>
      </c>
      <c r="U6432" s="2">
        <f>MASTER[[#This Row],[CANTIDAD]]*MASTER[[#This Row],[COSTO UNITARIO]]</f>
        <v>442</v>
      </c>
      <c r="V6432" s="2">
        <f>MASTER[[#This Row],[MONTO VENDIDO]]-MASTER[[#This Row],[COSTO DE VENTA]]</f>
        <v>915</v>
      </c>
    </row>
    <row r="6433" spans="1:22" x14ac:dyDescent="0.3">
      <c r="A6433">
        <v>88201</v>
      </c>
      <c r="B6433">
        <v>1</v>
      </c>
      <c r="C6433" t="s">
        <v>99</v>
      </c>
      <c r="D6433" t="s">
        <v>100</v>
      </c>
      <c r="E6433" s="1">
        <v>44527</v>
      </c>
      <c r="F6433">
        <v>1</v>
      </c>
      <c r="G6433" t="s">
        <v>7</v>
      </c>
      <c r="H6433" t="s">
        <v>8</v>
      </c>
      <c r="I6433" s="3">
        <v>1459</v>
      </c>
      <c r="J6433" s="3">
        <v>1459</v>
      </c>
      <c r="K6433" s="3">
        <v>386</v>
      </c>
      <c r="L6433" t="s">
        <v>98</v>
      </c>
      <c r="M6433">
        <v>4</v>
      </c>
      <c r="N6433" t="s">
        <v>82</v>
      </c>
      <c r="O6433" t="s">
        <v>81</v>
      </c>
      <c r="P6433" t="s">
        <v>71</v>
      </c>
      <c r="Q6433" t="s">
        <v>72</v>
      </c>
      <c r="R6433" t="s">
        <v>139</v>
      </c>
      <c r="S6433" t="s">
        <v>144</v>
      </c>
      <c r="T6433" s="2">
        <f>MASTER[[#This Row],[CANTIDAD]]*MASTER[[#This Row],[PRECIO DE VENTA]]</f>
        <v>1459</v>
      </c>
      <c r="U6433" s="2">
        <f>MASTER[[#This Row],[CANTIDAD]]*MASTER[[#This Row],[COSTO UNITARIO]]</f>
        <v>386</v>
      </c>
      <c r="V6433" s="2">
        <f>MASTER[[#This Row],[MONTO VENDIDO]]-MASTER[[#This Row],[COSTO DE VENTA]]</f>
        <v>1073</v>
      </c>
    </row>
    <row r="6434" spans="1:22" x14ac:dyDescent="0.3">
      <c r="A6434">
        <v>88210</v>
      </c>
      <c r="B6434">
        <v>1</v>
      </c>
      <c r="C6434" t="s">
        <v>92</v>
      </c>
      <c r="D6434" t="s">
        <v>93</v>
      </c>
      <c r="E6434" s="1">
        <v>44527</v>
      </c>
      <c r="F6434">
        <v>1</v>
      </c>
      <c r="G6434" t="s">
        <v>49</v>
      </c>
      <c r="H6434" t="s">
        <v>50</v>
      </c>
      <c r="I6434" s="3">
        <v>1479</v>
      </c>
      <c r="J6434" s="3">
        <v>1479</v>
      </c>
      <c r="K6434" s="3">
        <v>396</v>
      </c>
      <c r="L6434" t="s">
        <v>9</v>
      </c>
      <c r="M6434">
        <v>12</v>
      </c>
      <c r="N6434" t="s">
        <v>26</v>
      </c>
      <c r="O6434" t="s">
        <v>11</v>
      </c>
      <c r="P6434" t="s">
        <v>12</v>
      </c>
      <c r="Q6434" t="s">
        <v>13</v>
      </c>
      <c r="R6434" t="s">
        <v>13</v>
      </c>
      <c r="S6434" t="s">
        <v>144</v>
      </c>
      <c r="T6434" s="2">
        <f>MASTER[[#This Row],[CANTIDAD]]*MASTER[[#This Row],[PRECIO DE VENTA]]</f>
        <v>1479</v>
      </c>
      <c r="U6434" s="2">
        <f>MASTER[[#This Row],[CANTIDAD]]*MASTER[[#This Row],[COSTO UNITARIO]]</f>
        <v>396</v>
      </c>
      <c r="V6434" s="2">
        <f>MASTER[[#This Row],[MONTO VENDIDO]]-MASTER[[#This Row],[COSTO DE VENTA]]</f>
        <v>1083</v>
      </c>
    </row>
    <row r="6435" spans="1:22" x14ac:dyDescent="0.3">
      <c r="A6435">
        <v>88213</v>
      </c>
      <c r="B6435">
        <v>1</v>
      </c>
      <c r="C6435" t="s">
        <v>96</v>
      </c>
      <c r="D6435" t="s">
        <v>97</v>
      </c>
      <c r="E6435" s="1">
        <v>44527</v>
      </c>
      <c r="F6435">
        <v>1</v>
      </c>
      <c r="G6435" t="s">
        <v>61</v>
      </c>
      <c r="H6435" t="s">
        <v>62</v>
      </c>
      <c r="I6435" s="3">
        <v>1196</v>
      </c>
      <c r="J6435" s="3">
        <v>1196</v>
      </c>
      <c r="K6435" s="3">
        <v>397</v>
      </c>
      <c r="L6435" t="s">
        <v>98</v>
      </c>
      <c r="M6435">
        <v>12</v>
      </c>
      <c r="N6435" t="s">
        <v>26</v>
      </c>
      <c r="O6435" t="s">
        <v>11</v>
      </c>
      <c r="P6435" t="s">
        <v>12</v>
      </c>
      <c r="Q6435" t="s">
        <v>13</v>
      </c>
      <c r="R6435" t="s">
        <v>13</v>
      </c>
      <c r="S6435" t="s">
        <v>144</v>
      </c>
      <c r="T6435" s="2">
        <f>MASTER[[#This Row],[CANTIDAD]]*MASTER[[#This Row],[PRECIO DE VENTA]]</f>
        <v>1196</v>
      </c>
      <c r="U6435" s="2">
        <f>MASTER[[#This Row],[CANTIDAD]]*MASTER[[#This Row],[COSTO UNITARIO]]</f>
        <v>397</v>
      </c>
      <c r="V6435" s="2">
        <f>MASTER[[#This Row],[MONTO VENDIDO]]-MASTER[[#This Row],[COSTO DE VENTA]]</f>
        <v>799</v>
      </c>
    </row>
    <row r="6436" spans="1:22" x14ac:dyDescent="0.3">
      <c r="A6436">
        <v>88214</v>
      </c>
      <c r="B6436">
        <v>1</v>
      </c>
      <c r="C6436" t="s">
        <v>114</v>
      </c>
      <c r="D6436" t="s">
        <v>115</v>
      </c>
      <c r="E6436" s="1">
        <v>44527</v>
      </c>
      <c r="F6436">
        <v>1</v>
      </c>
      <c r="G6436" t="s">
        <v>59</v>
      </c>
      <c r="H6436" t="s">
        <v>60</v>
      </c>
      <c r="I6436" s="3">
        <v>1862</v>
      </c>
      <c r="J6436" s="3">
        <v>1862</v>
      </c>
      <c r="K6436" s="3">
        <v>394</v>
      </c>
      <c r="L6436" t="s">
        <v>113</v>
      </c>
      <c r="M6436">
        <v>10</v>
      </c>
      <c r="N6436" t="s">
        <v>83</v>
      </c>
      <c r="O6436" t="s">
        <v>81</v>
      </c>
      <c r="P6436" t="s">
        <v>12</v>
      </c>
      <c r="Q6436" t="s">
        <v>13</v>
      </c>
      <c r="R6436" t="s">
        <v>13</v>
      </c>
      <c r="S6436" t="s">
        <v>144</v>
      </c>
      <c r="T6436" s="2">
        <f>MASTER[[#This Row],[CANTIDAD]]*MASTER[[#This Row],[PRECIO DE VENTA]]</f>
        <v>1862</v>
      </c>
      <c r="U6436" s="2">
        <f>MASTER[[#This Row],[CANTIDAD]]*MASTER[[#This Row],[COSTO UNITARIO]]</f>
        <v>394</v>
      </c>
      <c r="V6436" s="2">
        <f>MASTER[[#This Row],[MONTO VENDIDO]]-MASTER[[#This Row],[COSTO DE VENTA]]</f>
        <v>1468</v>
      </c>
    </row>
    <row r="6437" spans="1:22" x14ac:dyDescent="0.3">
      <c r="A6437">
        <v>88223</v>
      </c>
      <c r="B6437">
        <v>1</v>
      </c>
      <c r="C6437" t="s">
        <v>111</v>
      </c>
      <c r="D6437" t="s">
        <v>112</v>
      </c>
      <c r="E6437" s="1">
        <v>44527</v>
      </c>
      <c r="F6437">
        <v>1</v>
      </c>
      <c r="G6437" t="s">
        <v>27</v>
      </c>
      <c r="H6437" t="s">
        <v>28</v>
      </c>
      <c r="I6437" s="3">
        <v>1799</v>
      </c>
      <c r="J6437" s="3">
        <v>1619</v>
      </c>
      <c r="K6437" s="3">
        <v>434</v>
      </c>
      <c r="L6437" t="s">
        <v>113</v>
      </c>
      <c r="M6437">
        <v>1</v>
      </c>
      <c r="N6437" t="s">
        <v>77</v>
      </c>
      <c r="O6437" t="s">
        <v>70</v>
      </c>
      <c r="P6437" t="s">
        <v>71</v>
      </c>
      <c r="Q6437" t="s">
        <v>72</v>
      </c>
      <c r="R6437" t="s">
        <v>139</v>
      </c>
      <c r="S6437" t="s">
        <v>144</v>
      </c>
      <c r="T6437" s="2">
        <f>MASTER[[#This Row],[CANTIDAD]]*MASTER[[#This Row],[PRECIO DE VENTA]]</f>
        <v>1619</v>
      </c>
      <c r="U6437" s="2">
        <f>MASTER[[#This Row],[CANTIDAD]]*MASTER[[#This Row],[COSTO UNITARIO]]</f>
        <v>434</v>
      </c>
      <c r="V6437" s="2">
        <f>MASTER[[#This Row],[MONTO VENDIDO]]-MASTER[[#This Row],[COSTO DE VENTA]]</f>
        <v>1185</v>
      </c>
    </row>
    <row r="6438" spans="1:22" x14ac:dyDescent="0.3">
      <c r="A6438">
        <v>88240</v>
      </c>
      <c r="B6438">
        <v>1</v>
      </c>
      <c r="C6438" t="s">
        <v>118</v>
      </c>
      <c r="D6438" t="s">
        <v>119</v>
      </c>
      <c r="E6438" s="1">
        <v>44528</v>
      </c>
      <c r="F6438">
        <v>1</v>
      </c>
      <c r="G6438" t="s">
        <v>67</v>
      </c>
      <c r="H6438" t="s">
        <v>68</v>
      </c>
      <c r="I6438" s="3">
        <v>900</v>
      </c>
      <c r="J6438" s="3">
        <v>900</v>
      </c>
      <c r="K6438" s="3">
        <v>424</v>
      </c>
      <c r="L6438" t="s">
        <v>120</v>
      </c>
      <c r="M6438">
        <v>7</v>
      </c>
      <c r="N6438" t="s">
        <v>84</v>
      </c>
      <c r="O6438" t="s">
        <v>81</v>
      </c>
      <c r="P6438" t="s">
        <v>12</v>
      </c>
      <c r="Q6438" t="s">
        <v>13</v>
      </c>
      <c r="R6438" t="s">
        <v>13</v>
      </c>
      <c r="S6438" t="s">
        <v>144</v>
      </c>
      <c r="T6438" s="2">
        <f>MASTER[[#This Row],[CANTIDAD]]*MASTER[[#This Row],[PRECIO DE VENTA]]</f>
        <v>900</v>
      </c>
      <c r="U6438" s="2">
        <f>MASTER[[#This Row],[CANTIDAD]]*MASTER[[#This Row],[COSTO UNITARIO]]</f>
        <v>424</v>
      </c>
      <c r="V6438" s="2">
        <f>MASTER[[#This Row],[MONTO VENDIDO]]-MASTER[[#This Row],[COSTO DE VENTA]]</f>
        <v>476</v>
      </c>
    </row>
    <row r="6439" spans="1:22" x14ac:dyDescent="0.3">
      <c r="A6439">
        <v>88256</v>
      </c>
      <c r="B6439">
        <v>1</v>
      </c>
      <c r="C6439" t="s">
        <v>114</v>
      </c>
      <c r="D6439" t="s">
        <v>115</v>
      </c>
      <c r="E6439" s="1">
        <v>44528</v>
      </c>
      <c r="F6439">
        <v>1</v>
      </c>
      <c r="G6439" t="s">
        <v>57</v>
      </c>
      <c r="H6439" t="s">
        <v>58</v>
      </c>
      <c r="I6439" s="3">
        <v>1583</v>
      </c>
      <c r="J6439" s="3">
        <v>1583</v>
      </c>
      <c r="K6439" s="3">
        <v>394</v>
      </c>
      <c r="L6439" t="s">
        <v>113</v>
      </c>
      <c r="M6439">
        <v>11</v>
      </c>
      <c r="N6439" t="s">
        <v>10</v>
      </c>
      <c r="O6439" t="s">
        <v>11</v>
      </c>
      <c r="P6439" t="s">
        <v>12</v>
      </c>
      <c r="Q6439" t="s">
        <v>13</v>
      </c>
      <c r="R6439" t="s">
        <v>13</v>
      </c>
      <c r="S6439" t="s">
        <v>144</v>
      </c>
      <c r="T6439" s="2">
        <f>MASTER[[#This Row],[CANTIDAD]]*MASTER[[#This Row],[PRECIO DE VENTA]]</f>
        <v>1583</v>
      </c>
      <c r="U6439" s="2">
        <f>MASTER[[#This Row],[CANTIDAD]]*MASTER[[#This Row],[COSTO UNITARIO]]</f>
        <v>394</v>
      </c>
      <c r="V6439" s="2">
        <f>MASTER[[#This Row],[MONTO VENDIDO]]-MASTER[[#This Row],[COSTO DE VENTA]]</f>
        <v>1189</v>
      </c>
    </row>
    <row r="6440" spans="1:22" x14ac:dyDescent="0.3">
      <c r="A6440">
        <v>88314</v>
      </c>
      <c r="B6440">
        <v>1</v>
      </c>
      <c r="C6440" t="s">
        <v>99</v>
      </c>
      <c r="D6440" t="s">
        <v>100</v>
      </c>
      <c r="E6440" s="1">
        <v>44528</v>
      </c>
      <c r="F6440">
        <v>1</v>
      </c>
      <c r="G6440" t="s">
        <v>43</v>
      </c>
      <c r="H6440" t="s">
        <v>44</v>
      </c>
      <c r="I6440" s="3">
        <v>1459</v>
      </c>
      <c r="J6440" s="3">
        <v>1371</v>
      </c>
      <c r="K6440" s="3">
        <v>386</v>
      </c>
      <c r="L6440" t="s">
        <v>98</v>
      </c>
      <c r="M6440">
        <v>10</v>
      </c>
      <c r="N6440" t="s">
        <v>83</v>
      </c>
      <c r="O6440" t="s">
        <v>81</v>
      </c>
      <c r="P6440" t="s">
        <v>12</v>
      </c>
      <c r="Q6440" t="s">
        <v>13</v>
      </c>
      <c r="R6440" t="s">
        <v>13</v>
      </c>
      <c r="S6440" t="s">
        <v>144</v>
      </c>
      <c r="T6440" s="2">
        <f>MASTER[[#This Row],[CANTIDAD]]*MASTER[[#This Row],[PRECIO DE VENTA]]</f>
        <v>1371</v>
      </c>
      <c r="U6440" s="2">
        <f>MASTER[[#This Row],[CANTIDAD]]*MASTER[[#This Row],[COSTO UNITARIO]]</f>
        <v>386</v>
      </c>
      <c r="V6440" s="2">
        <f>MASTER[[#This Row],[MONTO VENDIDO]]-MASTER[[#This Row],[COSTO DE VENTA]]</f>
        <v>985</v>
      </c>
    </row>
    <row r="6441" spans="1:22" x14ac:dyDescent="0.3">
      <c r="A6441">
        <v>88322</v>
      </c>
      <c r="B6441">
        <v>1</v>
      </c>
      <c r="C6441" t="s">
        <v>114</v>
      </c>
      <c r="D6441" t="s">
        <v>115</v>
      </c>
      <c r="E6441" s="1">
        <v>44528</v>
      </c>
      <c r="F6441">
        <v>1</v>
      </c>
      <c r="G6441" t="s">
        <v>35</v>
      </c>
      <c r="H6441" t="s">
        <v>36</v>
      </c>
      <c r="I6441" s="3">
        <v>2030</v>
      </c>
      <c r="J6441" s="3">
        <v>2030</v>
      </c>
      <c r="K6441" s="3">
        <v>394</v>
      </c>
      <c r="L6441" t="s">
        <v>113</v>
      </c>
      <c r="M6441">
        <v>6</v>
      </c>
      <c r="N6441" t="s">
        <v>75</v>
      </c>
      <c r="O6441" t="s">
        <v>70</v>
      </c>
      <c r="P6441" t="s">
        <v>12</v>
      </c>
      <c r="Q6441" t="s">
        <v>13</v>
      </c>
      <c r="R6441" t="s">
        <v>13</v>
      </c>
      <c r="S6441" t="s">
        <v>144</v>
      </c>
      <c r="T6441" s="2">
        <f>MASTER[[#This Row],[CANTIDAD]]*MASTER[[#This Row],[PRECIO DE VENTA]]</f>
        <v>2030</v>
      </c>
      <c r="U6441" s="2">
        <f>MASTER[[#This Row],[CANTIDAD]]*MASTER[[#This Row],[COSTO UNITARIO]]</f>
        <v>394</v>
      </c>
      <c r="V6441" s="2">
        <f>MASTER[[#This Row],[MONTO VENDIDO]]-MASTER[[#This Row],[COSTO DE VENTA]]</f>
        <v>1636</v>
      </c>
    </row>
    <row r="6442" spans="1:22" x14ac:dyDescent="0.3">
      <c r="A6442">
        <v>88333</v>
      </c>
      <c r="B6442">
        <v>2</v>
      </c>
      <c r="C6442" t="s">
        <v>103</v>
      </c>
      <c r="D6442" t="s">
        <v>104</v>
      </c>
      <c r="E6442" s="1">
        <v>44528</v>
      </c>
      <c r="F6442">
        <v>1</v>
      </c>
      <c r="G6442" t="s">
        <v>51</v>
      </c>
      <c r="H6442" t="s">
        <v>52</v>
      </c>
      <c r="I6442" s="3">
        <v>1591</v>
      </c>
      <c r="J6442" s="3">
        <v>1591</v>
      </c>
      <c r="K6442" s="3">
        <v>421</v>
      </c>
      <c r="L6442" t="s">
        <v>98</v>
      </c>
      <c r="M6442">
        <v>8</v>
      </c>
      <c r="N6442" t="s">
        <v>80</v>
      </c>
      <c r="O6442" t="s">
        <v>81</v>
      </c>
      <c r="P6442" t="s">
        <v>12</v>
      </c>
      <c r="Q6442" t="s">
        <v>13</v>
      </c>
      <c r="R6442" t="s">
        <v>13</v>
      </c>
      <c r="S6442" t="s">
        <v>144</v>
      </c>
      <c r="T6442" s="2">
        <f>MASTER[[#This Row],[CANTIDAD]]*MASTER[[#This Row],[PRECIO DE VENTA]]</f>
        <v>1591</v>
      </c>
      <c r="U6442" s="2">
        <f>MASTER[[#This Row],[CANTIDAD]]*MASTER[[#This Row],[COSTO UNITARIO]]</f>
        <v>421</v>
      </c>
      <c r="V6442" s="2">
        <f>MASTER[[#This Row],[MONTO VENDIDO]]-MASTER[[#This Row],[COSTO DE VENTA]]</f>
        <v>1170</v>
      </c>
    </row>
    <row r="6443" spans="1:22" x14ac:dyDescent="0.3">
      <c r="A6443">
        <v>88333</v>
      </c>
      <c r="B6443">
        <v>1</v>
      </c>
      <c r="C6443" t="s">
        <v>114</v>
      </c>
      <c r="D6443" t="s">
        <v>115</v>
      </c>
      <c r="E6443" s="1">
        <v>44528</v>
      </c>
      <c r="F6443">
        <v>1</v>
      </c>
      <c r="G6443" t="s">
        <v>43</v>
      </c>
      <c r="H6443" t="s">
        <v>44</v>
      </c>
      <c r="I6443" s="3">
        <v>1862</v>
      </c>
      <c r="J6443" s="3">
        <v>1862</v>
      </c>
      <c r="K6443" s="3">
        <v>394</v>
      </c>
      <c r="L6443" t="s">
        <v>113</v>
      </c>
      <c r="M6443">
        <v>8</v>
      </c>
      <c r="N6443" t="s">
        <v>80</v>
      </c>
      <c r="O6443" t="s">
        <v>81</v>
      </c>
      <c r="P6443" t="s">
        <v>12</v>
      </c>
      <c r="Q6443" t="s">
        <v>13</v>
      </c>
      <c r="R6443" t="s">
        <v>13</v>
      </c>
      <c r="S6443" t="s">
        <v>144</v>
      </c>
      <c r="T6443" s="2">
        <f>MASTER[[#This Row],[CANTIDAD]]*MASTER[[#This Row],[PRECIO DE VENTA]]</f>
        <v>1862</v>
      </c>
      <c r="U6443" s="2">
        <f>MASTER[[#This Row],[CANTIDAD]]*MASTER[[#This Row],[COSTO UNITARIO]]</f>
        <v>394</v>
      </c>
      <c r="V6443" s="2">
        <f>MASTER[[#This Row],[MONTO VENDIDO]]-MASTER[[#This Row],[COSTO DE VENTA]]</f>
        <v>1468</v>
      </c>
    </row>
    <row r="6444" spans="1:22" x14ac:dyDescent="0.3">
      <c r="A6444">
        <v>88344</v>
      </c>
      <c r="B6444">
        <v>1</v>
      </c>
      <c r="C6444" t="s">
        <v>116</v>
      </c>
      <c r="D6444" t="s">
        <v>117</v>
      </c>
      <c r="E6444" s="1">
        <v>44528</v>
      </c>
      <c r="F6444">
        <v>1</v>
      </c>
      <c r="G6444" t="s">
        <v>7</v>
      </c>
      <c r="H6444" t="s">
        <v>8</v>
      </c>
      <c r="I6444" s="3">
        <v>1999</v>
      </c>
      <c r="J6444" s="3">
        <v>1999</v>
      </c>
      <c r="K6444" s="3">
        <v>388</v>
      </c>
      <c r="L6444" t="s">
        <v>113</v>
      </c>
      <c r="M6444">
        <v>3</v>
      </c>
      <c r="N6444" t="s">
        <v>69</v>
      </c>
      <c r="O6444" t="s">
        <v>70</v>
      </c>
      <c r="P6444" t="s">
        <v>71</v>
      </c>
      <c r="Q6444" t="s">
        <v>72</v>
      </c>
      <c r="R6444" t="s">
        <v>139</v>
      </c>
      <c r="S6444" t="s">
        <v>144</v>
      </c>
      <c r="T6444" s="2">
        <f>MASTER[[#This Row],[CANTIDAD]]*MASTER[[#This Row],[PRECIO DE VENTA]]</f>
        <v>1999</v>
      </c>
      <c r="U6444" s="2">
        <f>MASTER[[#This Row],[CANTIDAD]]*MASTER[[#This Row],[COSTO UNITARIO]]</f>
        <v>388</v>
      </c>
      <c r="V6444" s="2">
        <f>MASTER[[#This Row],[MONTO VENDIDO]]-MASTER[[#This Row],[COSTO DE VENTA]]</f>
        <v>1611</v>
      </c>
    </row>
    <row r="6445" spans="1:22" x14ac:dyDescent="0.3">
      <c r="A6445">
        <v>88352</v>
      </c>
      <c r="B6445">
        <v>1</v>
      </c>
      <c r="C6445" t="s">
        <v>101</v>
      </c>
      <c r="D6445" t="s">
        <v>102</v>
      </c>
      <c r="E6445" s="1">
        <v>44528</v>
      </c>
      <c r="F6445">
        <v>1</v>
      </c>
      <c r="G6445" t="s">
        <v>59</v>
      </c>
      <c r="H6445" t="s">
        <v>60</v>
      </c>
      <c r="I6445" s="3">
        <v>1212</v>
      </c>
      <c r="J6445" s="3">
        <v>1212</v>
      </c>
      <c r="K6445" s="3">
        <v>442</v>
      </c>
      <c r="L6445" t="s">
        <v>98</v>
      </c>
      <c r="M6445">
        <v>5</v>
      </c>
      <c r="N6445" t="s">
        <v>85</v>
      </c>
      <c r="O6445" t="s">
        <v>81</v>
      </c>
      <c r="P6445" t="s">
        <v>12</v>
      </c>
      <c r="Q6445" t="s">
        <v>13</v>
      </c>
      <c r="R6445" t="s">
        <v>13</v>
      </c>
      <c r="S6445" t="s">
        <v>144</v>
      </c>
      <c r="T6445" s="2">
        <f>MASTER[[#This Row],[CANTIDAD]]*MASTER[[#This Row],[PRECIO DE VENTA]]</f>
        <v>1212</v>
      </c>
      <c r="U6445" s="2">
        <f>MASTER[[#This Row],[CANTIDAD]]*MASTER[[#This Row],[COSTO UNITARIO]]</f>
        <v>442</v>
      </c>
      <c r="V6445" s="2">
        <f>MASTER[[#This Row],[MONTO VENDIDO]]-MASTER[[#This Row],[COSTO DE VENTA]]</f>
        <v>770</v>
      </c>
    </row>
    <row r="6446" spans="1:22" x14ac:dyDescent="0.3">
      <c r="A6446">
        <v>88357</v>
      </c>
      <c r="B6446">
        <v>1</v>
      </c>
      <c r="C6446" t="s">
        <v>103</v>
      </c>
      <c r="D6446" t="s">
        <v>104</v>
      </c>
      <c r="E6446" s="1">
        <v>44528</v>
      </c>
      <c r="F6446">
        <v>1</v>
      </c>
      <c r="G6446" t="s">
        <v>51</v>
      </c>
      <c r="H6446" t="s">
        <v>52</v>
      </c>
      <c r="I6446" s="3">
        <v>1591</v>
      </c>
      <c r="J6446" s="3">
        <v>1591</v>
      </c>
      <c r="K6446" s="3">
        <v>421</v>
      </c>
      <c r="L6446" t="s">
        <v>98</v>
      </c>
      <c r="M6446">
        <v>14</v>
      </c>
      <c r="N6446" t="s">
        <v>87</v>
      </c>
      <c r="O6446" t="s">
        <v>81</v>
      </c>
      <c r="P6446" t="s">
        <v>18</v>
      </c>
      <c r="Q6446" t="s">
        <v>19</v>
      </c>
      <c r="R6446" t="s">
        <v>138</v>
      </c>
      <c r="S6446" t="s">
        <v>144</v>
      </c>
      <c r="T6446" s="2">
        <f>MASTER[[#This Row],[CANTIDAD]]*MASTER[[#This Row],[PRECIO DE VENTA]]</f>
        <v>1591</v>
      </c>
      <c r="U6446" s="2">
        <f>MASTER[[#This Row],[CANTIDAD]]*MASTER[[#This Row],[COSTO UNITARIO]]</f>
        <v>421</v>
      </c>
      <c r="V6446" s="2">
        <f>MASTER[[#This Row],[MONTO VENDIDO]]-MASTER[[#This Row],[COSTO DE VENTA]]</f>
        <v>1170</v>
      </c>
    </row>
    <row r="6447" spans="1:22" x14ac:dyDescent="0.3">
      <c r="A6447">
        <v>88358</v>
      </c>
      <c r="B6447">
        <v>1</v>
      </c>
      <c r="C6447" t="s">
        <v>121</v>
      </c>
      <c r="D6447" t="s">
        <v>122</v>
      </c>
      <c r="E6447" s="1">
        <v>44528</v>
      </c>
      <c r="F6447">
        <v>1</v>
      </c>
      <c r="G6447" t="s">
        <v>41</v>
      </c>
      <c r="H6447" t="s">
        <v>42</v>
      </c>
      <c r="I6447" s="3">
        <v>941</v>
      </c>
      <c r="J6447" s="3">
        <v>941</v>
      </c>
      <c r="K6447" s="3">
        <v>460</v>
      </c>
      <c r="L6447" t="s">
        <v>120</v>
      </c>
      <c r="M6447">
        <v>16</v>
      </c>
      <c r="N6447" t="s">
        <v>17</v>
      </c>
      <c r="O6447" t="s">
        <v>11</v>
      </c>
      <c r="P6447" t="s">
        <v>18</v>
      </c>
      <c r="Q6447" t="s">
        <v>19</v>
      </c>
      <c r="R6447" t="s">
        <v>138</v>
      </c>
      <c r="S6447" t="s">
        <v>144</v>
      </c>
      <c r="T6447" s="2">
        <f>MASTER[[#This Row],[CANTIDAD]]*MASTER[[#This Row],[PRECIO DE VENTA]]</f>
        <v>941</v>
      </c>
      <c r="U6447" s="2">
        <f>MASTER[[#This Row],[CANTIDAD]]*MASTER[[#This Row],[COSTO UNITARIO]]</f>
        <v>460</v>
      </c>
      <c r="V6447" s="2">
        <f>MASTER[[#This Row],[MONTO VENDIDO]]-MASTER[[#This Row],[COSTO DE VENTA]]</f>
        <v>481</v>
      </c>
    </row>
    <row r="6448" spans="1:22" x14ac:dyDescent="0.3">
      <c r="A6448">
        <v>88367</v>
      </c>
      <c r="B6448">
        <v>1</v>
      </c>
      <c r="C6448" t="s">
        <v>101</v>
      </c>
      <c r="D6448" t="s">
        <v>102</v>
      </c>
      <c r="E6448" s="1">
        <v>44528</v>
      </c>
      <c r="F6448">
        <v>4</v>
      </c>
      <c r="G6448" t="s">
        <v>61</v>
      </c>
      <c r="H6448" t="s">
        <v>62</v>
      </c>
      <c r="I6448" s="3">
        <v>1212</v>
      </c>
      <c r="J6448" s="3">
        <v>1212</v>
      </c>
      <c r="K6448" s="3">
        <v>442</v>
      </c>
      <c r="L6448" t="s">
        <v>98</v>
      </c>
      <c r="M6448">
        <v>15</v>
      </c>
      <c r="N6448" t="s">
        <v>88</v>
      </c>
      <c r="O6448" t="s">
        <v>81</v>
      </c>
      <c r="P6448" t="s">
        <v>18</v>
      </c>
      <c r="Q6448" t="s">
        <v>19</v>
      </c>
      <c r="R6448" t="s">
        <v>138</v>
      </c>
      <c r="S6448" t="s">
        <v>144</v>
      </c>
      <c r="T6448" s="2">
        <f>MASTER[[#This Row],[CANTIDAD]]*MASTER[[#This Row],[PRECIO DE VENTA]]</f>
        <v>4848</v>
      </c>
      <c r="U6448" s="2">
        <f>MASTER[[#This Row],[CANTIDAD]]*MASTER[[#This Row],[COSTO UNITARIO]]</f>
        <v>1768</v>
      </c>
      <c r="V6448" s="2">
        <f>MASTER[[#This Row],[MONTO VENDIDO]]-MASTER[[#This Row],[COSTO DE VENTA]]</f>
        <v>3080</v>
      </c>
    </row>
    <row r="6449" spans="1:22" x14ac:dyDescent="0.3">
      <c r="A6449">
        <v>88372</v>
      </c>
      <c r="B6449">
        <v>1</v>
      </c>
      <c r="C6449" t="s">
        <v>94</v>
      </c>
      <c r="D6449" t="s">
        <v>95</v>
      </c>
      <c r="E6449" s="1">
        <v>44528</v>
      </c>
      <c r="F6449">
        <v>4</v>
      </c>
      <c r="G6449" t="s">
        <v>49</v>
      </c>
      <c r="H6449" t="s">
        <v>50</v>
      </c>
      <c r="I6449" s="3">
        <v>1153</v>
      </c>
      <c r="J6449" s="3">
        <v>1153</v>
      </c>
      <c r="K6449" s="3">
        <v>392</v>
      </c>
      <c r="L6449" t="s">
        <v>9</v>
      </c>
      <c r="M6449">
        <v>18</v>
      </c>
      <c r="N6449" t="s">
        <v>79</v>
      </c>
      <c r="O6449" t="s">
        <v>70</v>
      </c>
      <c r="P6449" t="s">
        <v>15</v>
      </c>
      <c r="Q6449" t="s">
        <v>16</v>
      </c>
      <c r="R6449" t="s">
        <v>16</v>
      </c>
      <c r="S6449" t="s">
        <v>144</v>
      </c>
      <c r="T6449" s="2">
        <f>MASTER[[#This Row],[CANTIDAD]]*MASTER[[#This Row],[PRECIO DE VENTA]]</f>
        <v>4612</v>
      </c>
      <c r="U6449" s="2">
        <f>MASTER[[#This Row],[CANTIDAD]]*MASTER[[#This Row],[COSTO UNITARIO]]</f>
        <v>1568</v>
      </c>
      <c r="V6449" s="2">
        <f>MASTER[[#This Row],[MONTO VENDIDO]]-MASTER[[#This Row],[COSTO DE VENTA]]</f>
        <v>3044</v>
      </c>
    </row>
    <row r="6450" spans="1:22" x14ac:dyDescent="0.3">
      <c r="A6450">
        <v>88379</v>
      </c>
      <c r="B6450">
        <v>1</v>
      </c>
      <c r="C6450" t="s">
        <v>116</v>
      </c>
      <c r="D6450" t="s">
        <v>117</v>
      </c>
      <c r="E6450" s="1">
        <v>44529</v>
      </c>
      <c r="F6450">
        <v>1</v>
      </c>
      <c r="G6450" t="s">
        <v>43</v>
      </c>
      <c r="H6450" t="s">
        <v>44</v>
      </c>
      <c r="I6450" s="3">
        <v>1999</v>
      </c>
      <c r="J6450" s="3">
        <v>1999</v>
      </c>
      <c r="K6450" s="3">
        <v>388</v>
      </c>
      <c r="L6450" t="s">
        <v>113</v>
      </c>
      <c r="M6450">
        <v>13</v>
      </c>
      <c r="N6450" t="s">
        <v>78</v>
      </c>
      <c r="O6450" t="s">
        <v>70</v>
      </c>
      <c r="P6450" t="s">
        <v>18</v>
      </c>
      <c r="Q6450" t="s">
        <v>19</v>
      </c>
      <c r="R6450" t="s">
        <v>138</v>
      </c>
      <c r="S6450" t="s">
        <v>144</v>
      </c>
      <c r="T6450" s="2">
        <f>MASTER[[#This Row],[CANTIDAD]]*MASTER[[#This Row],[PRECIO DE VENTA]]</f>
        <v>1999</v>
      </c>
      <c r="U6450" s="2">
        <f>MASTER[[#This Row],[CANTIDAD]]*MASTER[[#This Row],[COSTO UNITARIO]]</f>
        <v>388</v>
      </c>
      <c r="V6450" s="2">
        <f>MASTER[[#This Row],[MONTO VENDIDO]]-MASTER[[#This Row],[COSTO DE VENTA]]</f>
        <v>1611</v>
      </c>
    </row>
    <row r="6451" spans="1:22" x14ac:dyDescent="0.3">
      <c r="A6451">
        <v>88381</v>
      </c>
      <c r="B6451">
        <v>1</v>
      </c>
      <c r="C6451" t="s">
        <v>103</v>
      </c>
      <c r="D6451" t="s">
        <v>104</v>
      </c>
      <c r="E6451" s="1">
        <v>44529</v>
      </c>
      <c r="F6451">
        <v>1</v>
      </c>
      <c r="G6451" t="s">
        <v>59</v>
      </c>
      <c r="H6451" t="s">
        <v>60</v>
      </c>
      <c r="I6451" s="3">
        <v>1830</v>
      </c>
      <c r="J6451" s="3">
        <v>1665</v>
      </c>
      <c r="K6451" s="3">
        <v>421</v>
      </c>
      <c r="L6451" t="s">
        <v>98</v>
      </c>
      <c r="M6451">
        <v>13</v>
      </c>
      <c r="N6451" t="s">
        <v>78</v>
      </c>
      <c r="O6451" t="s">
        <v>70</v>
      </c>
      <c r="P6451" t="s">
        <v>18</v>
      </c>
      <c r="Q6451" t="s">
        <v>19</v>
      </c>
      <c r="R6451" t="s">
        <v>138</v>
      </c>
      <c r="S6451" t="s">
        <v>144</v>
      </c>
      <c r="T6451" s="2">
        <f>MASTER[[#This Row],[CANTIDAD]]*MASTER[[#This Row],[PRECIO DE VENTA]]</f>
        <v>1665</v>
      </c>
      <c r="U6451" s="2">
        <f>MASTER[[#This Row],[CANTIDAD]]*MASTER[[#This Row],[COSTO UNITARIO]]</f>
        <v>421</v>
      </c>
      <c r="V6451" s="2">
        <f>MASTER[[#This Row],[MONTO VENDIDO]]-MASTER[[#This Row],[COSTO DE VENTA]]</f>
        <v>1244</v>
      </c>
    </row>
    <row r="6452" spans="1:22" x14ac:dyDescent="0.3">
      <c r="A6452">
        <v>88426</v>
      </c>
      <c r="B6452">
        <v>1</v>
      </c>
      <c r="C6452" t="s">
        <v>90</v>
      </c>
      <c r="D6452" t="s">
        <v>91</v>
      </c>
      <c r="E6452" s="1">
        <v>44529</v>
      </c>
      <c r="F6452">
        <v>1</v>
      </c>
      <c r="G6452" t="s">
        <v>33</v>
      </c>
      <c r="H6452" t="s">
        <v>34</v>
      </c>
      <c r="I6452" s="3">
        <v>2102</v>
      </c>
      <c r="J6452" s="3">
        <v>2102</v>
      </c>
      <c r="K6452" s="3">
        <v>420</v>
      </c>
      <c r="L6452" t="s">
        <v>9</v>
      </c>
      <c r="M6452">
        <v>9</v>
      </c>
      <c r="N6452" t="s">
        <v>76</v>
      </c>
      <c r="O6452" t="s">
        <v>70</v>
      </c>
      <c r="P6452" t="s">
        <v>12</v>
      </c>
      <c r="Q6452" t="s">
        <v>13</v>
      </c>
      <c r="R6452" t="s">
        <v>13</v>
      </c>
      <c r="S6452" t="s">
        <v>144</v>
      </c>
      <c r="T6452" s="2">
        <f>MASTER[[#This Row],[CANTIDAD]]*MASTER[[#This Row],[PRECIO DE VENTA]]</f>
        <v>2102</v>
      </c>
      <c r="U6452" s="2">
        <f>MASTER[[#This Row],[CANTIDAD]]*MASTER[[#This Row],[COSTO UNITARIO]]</f>
        <v>420</v>
      </c>
      <c r="V6452" s="2">
        <f>MASTER[[#This Row],[MONTO VENDIDO]]-MASTER[[#This Row],[COSTO DE VENTA]]</f>
        <v>1682</v>
      </c>
    </row>
    <row r="6453" spans="1:22" x14ac:dyDescent="0.3">
      <c r="A6453">
        <v>88429</v>
      </c>
      <c r="B6453">
        <v>1</v>
      </c>
      <c r="C6453" t="s">
        <v>116</v>
      </c>
      <c r="D6453" t="s">
        <v>117</v>
      </c>
      <c r="E6453" s="1">
        <v>44529</v>
      </c>
      <c r="F6453">
        <v>1</v>
      </c>
      <c r="G6453" t="s">
        <v>22</v>
      </c>
      <c r="H6453" t="s">
        <v>23</v>
      </c>
      <c r="I6453" s="3">
        <v>1529</v>
      </c>
      <c r="J6453" s="3">
        <v>1529</v>
      </c>
      <c r="K6453" s="3">
        <v>388</v>
      </c>
      <c r="L6453" t="s">
        <v>113</v>
      </c>
      <c r="M6453">
        <v>16</v>
      </c>
      <c r="N6453" t="s">
        <v>17</v>
      </c>
      <c r="O6453" t="s">
        <v>11</v>
      </c>
      <c r="P6453" t="s">
        <v>18</v>
      </c>
      <c r="Q6453" t="s">
        <v>19</v>
      </c>
      <c r="R6453" t="s">
        <v>138</v>
      </c>
      <c r="S6453" t="s">
        <v>144</v>
      </c>
      <c r="T6453" s="2">
        <f>MASTER[[#This Row],[CANTIDAD]]*MASTER[[#This Row],[PRECIO DE VENTA]]</f>
        <v>1529</v>
      </c>
      <c r="U6453" s="2">
        <f>MASTER[[#This Row],[CANTIDAD]]*MASTER[[#This Row],[COSTO UNITARIO]]</f>
        <v>388</v>
      </c>
      <c r="V6453" s="2">
        <f>MASTER[[#This Row],[MONTO VENDIDO]]-MASTER[[#This Row],[COSTO DE VENTA]]</f>
        <v>1141</v>
      </c>
    </row>
    <row r="6454" spans="1:22" x14ac:dyDescent="0.3">
      <c r="A6454">
        <v>88450</v>
      </c>
      <c r="B6454">
        <v>1</v>
      </c>
      <c r="C6454" t="s">
        <v>5</v>
      </c>
      <c r="D6454" t="s">
        <v>6</v>
      </c>
      <c r="E6454" s="1">
        <v>44529</v>
      </c>
      <c r="F6454">
        <v>1</v>
      </c>
      <c r="G6454" t="s">
        <v>55</v>
      </c>
      <c r="H6454" t="s">
        <v>56</v>
      </c>
      <c r="I6454" s="3">
        <v>1296</v>
      </c>
      <c r="J6454" s="3">
        <v>1296</v>
      </c>
      <c r="K6454" s="3">
        <v>393</v>
      </c>
      <c r="L6454" t="s">
        <v>9</v>
      </c>
      <c r="M6454">
        <v>3</v>
      </c>
      <c r="N6454" t="s">
        <v>69</v>
      </c>
      <c r="O6454" t="s">
        <v>70</v>
      </c>
      <c r="P6454" t="s">
        <v>71</v>
      </c>
      <c r="Q6454" t="s">
        <v>72</v>
      </c>
      <c r="R6454" t="s">
        <v>139</v>
      </c>
      <c r="S6454" t="s">
        <v>144</v>
      </c>
      <c r="T6454" s="2">
        <f>MASTER[[#This Row],[CANTIDAD]]*MASTER[[#This Row],[PRECIO DE VENTA]]</f>
        <v>1296</v>
      </c>
      <c r="U6454" s="2">
        <f>MASTER[[#This Row],[CANTIDAD]]*MASTER[[#This Row],[COSTO UNITARIO]]</f>
        <v>393</v>
      </c>
      <c r="V6454" s="2">
        <f>MASTER[[#This Row],[MONTO VENDIDO]]-MASTER[[#This Row],[COSTO DE VENTA]]</f>
        <v>903</v>
      </c>
    </row>
    <row r="6455" spans="1:22" x14ac:dyDescent="0.3">
      <c r="A6455">
        <v>88476</v>
      </c>
      <c r="B6455">
        <v>1</v>
      </c>
      <c r="C6455" t="s">
        <v>92</v>
      </c>
      <c r="D6455" t="s">
        <v>93</v>
      </c>
      <c r="E6455" s="1">
        <v>44529</v>
      </c>
      <c r="F6455">
        <v>1</v>
      </c>
      <c r="G6455" t="s">
        <v>37</v>
      </c>
      <c r="H6455" t="s">
        <v>38</v>
      </c>
      <c r="I6455" s="3">
        <v>1479</v>
      </c>
      <c r="J6455" s="3">
        <v>1479</v>
      </c>
      <c r="K6455" s="3">
        <v>396</v>
      </c>
      <c r="L6455" t="s">
        <v>9</v>
      </c>
      <c r="M6455">
        <v>16</v>
      </c>
      <c r="N6455" t="s">
        <v>17</v>
      </c>
      <c r="O6455" t="s">
        <v>11</v>
      </c>
      <c r="P6455" t="s">
        <v>18</v>
      </c>
      <c r="Q6455" t="s">
        <v>19</v>
      </c>
      <c r="R6455" t="s">
        <v>138</v>
      </c>
      <c r="S6455" t="s">
        <v>144</v>
      </c>
      <c r="T6455" s="2">
        <f>MASTER[[#This Row],[CANTIDAD]]*MASTER[[#This Row],[PRECIO DE VENTA]]</f>
        <v>1479</v>
      </c>
      <c r="U6455" s="2">
        <f>MASTER[[#This Row],[CANTIDAD]]*MASTER[[#This Row],[COSTO UNITARIO]]</f>
        <v>396</v>
      </c>
      <c r="V6455" s="2">
        <f>MASTER[[#This Row],[MONTO VENDIDO]]-MASTER[[#This Row],[COSTO DE VENTA]]</f>
        <v>1083</v>
      </c>
    </row>
    <row r="6456" spans="1:22" x14ac:dyDescent="0.3">
      <c r="A6456">
        <v>88477</v>
      </c>
      <c r="B6456">
        <v>1</v>
      </c>
      <c r="C6456" t="s">
        <v>5</v>
      </c>
      <c r="D6456" t="s">
        <v>6</v>
      </c>
      <c r="E6456" s="1">
        <v>44529</v>
      </c>
      <c r="F6456">
        <v>1</v>
      </c>
      <c r="G6456" t="s">
        <v>27</v>
      </c>
      <c r="H6456" t="s">
        <v>28</v>
      </c>
      <c r="I6456" s="3">
        <v>1507</v>
      </c>
      <c r="J6456" s="3">
        <v>1507</v>
      </c>
      <c r="K6456" s="3">
        <v>393</v>
      </c>
      <c r="L6456" t="s">
        <v>9</v>
      </c>
      <c r="M6456">
        <v>7</v>
      </c>
      <c r="N6456" t="s">
        <v>84</v>
      </c>
      <c r="O6456" t="s">
        <v>81</v>
      </c>
      <c r="P6456" t="s">
        <v>12</v>
      </c>
      <c r="Q6456" t="s">
        <v>13</v>
      </c>
      <c r="R6456" t="s">
        <v>13</v>
      </c>
      <c r="S6456" t="s">
        <v>144</v>
      </c>
      <c r="T6456" s="2">
        <f>MASTER[[#This Row],[CANTIDAD]]*MASTER[[#This Row],[PRECIO DE VENTA]]</f>
        <v>1507</v>
      </c>
      <c r="U6456" s="2">
        <f>MASTER[[#This Row],[CANTIDAD]]*MASTER[[#This Row],[COSTO UNITARIO]]</f>
        <v>393</v>
      </c>
      <c r="V6456" s="2">
        <f>MASTER[[#This Row],[MONTO VENDIDO]]-MASTER[[#This Row],[COSTO DE VENTA]]</f>
        <v>1114</v>
      </c>
    </row>
    <row r="6457" spans="1:22" x14ac:dyDescent="0.3">
      <c r="A6457">
        <v>88479</v>
      </c>
      <c r="B6457">
        <v>1</v>
      </c>
      <c r="C6457" t="s">
        <v>5</v>
      </c>
      <c r="D6457" t="s">
        <v>6</v>
      </c>
      <c r="E6457" s="1">
        <v>44529</v>
      </c>
      <c r="F6457">
        <v>1</v>
      </c>
      <c r="G6457" t="s">
        <v>29</v>
      </c>
      <c r="H6457" t="s">
        <v>30</v>
      </c>
      <c r="I6457" s="3">
        <v>1311</v>
      </c>
      <c r="J6457" s="3">
        <v>1311</v>
      </c>
      <c r="K6457" s="3">
        <v>393</v>
      </c>
      <c r="L6457" t="s">
        <v>9</v>
      </c>
      <c r="M6457">
        <v>12</v>
      </c>
      <c r="N6457" t="s">
        <v>26</v>
      </c>
      <c r="O6457" t="s">
        <v>11</v>
      </c>
      <c r="P6457" t="s">
        <v>12</v>
      </c>
      <c r="Q6457" t="s">
        <v>13</v>
      </c>
      <c r="R6457" t="s">
        <v>13</v>
      </c>
      <c r="S6457" t="s">
        <v>144</v>
      </c>
      <c r="T6457" s="2">
        <f>MASTER[[#This Row],[CANTIDAD]]*MASTER[[#This Row],[PRECIO DE VENTA]]</f>
        <v>1311</v>
      </c>
      <c r="U6457" s="2">
        <f>MASTER[[#This Row],[CANTIDAD]]*MASTER[[#This Row],[COSTO UNITARIO]]</f>
        <v>393</v>
      </c>
      <c r="V6457" s="2">
        <f>MASTER[[#This Row],[MONTO VENDIDO]]-MASTER[[#This Row],[COSTO DE VENTA]]</f>
        <v>918</v>
      </c>
    </row>
    <row r="6458" spans="1:22" x14ac:dyDescent="0.3">
      <c r="A6458">
        <v>88483</v>
      </c>
      <c r="B6458">
        <v>1</v>
      </c>
      <c r="C6458" t="s">
        <v>121</v>
      </c>
      <c r="D6458" t="s">
        <v>122</v>
      </c>
      <c r="E6458" s="1">
        <v>44529</v>
      </c>
      <c r="F6458">
        <v>1</v>
      </c>
      <c r="G6458" t="s">
        <v>65</v>
      </c>
      <c r="H6458" t="s">
        <v>66</v>
      </c>
      <c r="I6458" s="3">
        <v>1069</v>
      </c>
      <c r="J6458" s="3">
        <v>1069</v>
      </c>
      <c r="K6458" s="3">
        <v>460</v>
      </c>
      <c r="L6458" t="s">
        <v>120</v>
      </c>
      <c r="M6458">
        <v>7</v>
      </c>
      <c r="N6458" t="s">
        <v>84</v>
      </c>
      <c r="O6458" t="s">
        <v>81</v>
      </c>
      <c r="P6458" t="s">
        <v>12</v>
      </c>
      <c r="Q6458" t="s">
        <v>13</v>
      </c>
      <c r="R6458" t="s">
        <v>13</v>
      </c>
      <c r="S6458" t="s">
        <v>144</v>
      </c>
      <c r="T6458" s="2">
        <f>MASTER[[#This Row],[CANTIDAD]]*MASTER[[#This Row],[PRECIO DE VENTA]]</f>
        <v>1069</v>
      </c>
      <c r="U6458" s="2">
        <f>MASTER[[#This Row],[CANTIDAD]]*MASTER[[#This Row],[COSTO UNITARIO]]</f>
        <v>460</v>
      </c>
      <c r="V6458" s="2">
        <f>MASTER[[#This Row],[MONTO VENDIDO]]-MASTER[[#This Row],[COSTO DE VENTA]]</f>
        <v>609</v>
      </c>
    </row>
    <row r="6459" spans="1:22" x14ac:dyDescent="0.3">
      <c r="A6459">
        <v>88488</v>
      </c>
      <c r="B6459">
        <v>1</v>
      </c>
      <c r="C6459" t="s">
        <v>111</v>
      </c>
      <c r="D6459" t="s">
        <v>112</v>
      </c>
      <c r="E6459" s="1">
        <v>44529</v>
      </c>
      <c r="F6459">
        <v>1</v>
      </c>
      <c r="G6459" t="s">
        <v>35</v>
      </c>
      <c r="H6459" t="s">
        <v>36</v>
      </c>
      <c r="I6459" s="3">
        <v>1799</v>
      </c>
      <c r="J6459" s="3">
        <v>1799</v>
      </c>
      <c r="K6459" s="3">
        <v>434</v>
      </c>
      <c r="L6459" t="s">
        <v>113</v>
      </c>
      <c r="M6459">
        <v>3</v>
      </c>
      <c r="N6459" t="s">
        <v>69</v>
      </c>
      <c r="O6459" t="s">
        <v>70</v>
      </c>
      <c r="P6459" t="s">
        <v>71</v>
      </c>
      <c r="Q6459" t="s">
        <v>72</v>
      </c>
      <c r="R6459" t="s">
        <v>139</v>
      </c>
      <c r="S6459" t="s">
        <v>144</v>
      </c>
      <c r="T6459" s="2">
        <f>MASTER[[#This Row],[CANTIDAD]]*MASTER[[#This Row],[PRECIO DE VENTA]]</f>
        <v>1799</v>
      </c>
      <c r="U6459" s="2">
        <f>MASTER[[#This Row],[CANTIDAD]]*MASTER[[#This Row],[COSTO UNITARIO]]</f>
        <v>434</v>
      </c>
      <c r="V6459" s="2">
        <f>MASTER[[#This Row],[MONTO VENDIDO]]-MASTER[[#This Row],[COSTO DE VENTA]]</f>
        <v>1365</v>
      </c>
    </row>
    <row r="6460" spans="1:22" x14ac:dyDescent="0.3">
      <c r="A6460">
        <v>88492</v>
      </c>
      <c r="B6460">
        <v>1</v>
      </c>
      <c r="C6460" t="s">
        <v>118</v>
      </c>
      <c r="D6460" t="s">
        <v>119</v>
      </c>
      <c r="E6460" s="1">
        <v>44529</v>
      </c>
      <c r="F6460">
        <v>1</v>
      </c>
      <c r="G6460" t="s">
        <v>63</v>
      </c>
      <c r="H6460" t="s">
        <v>64</v>
      </c>
      <c r="I6460" s="3">
        <v>900</v>
      </c>
      <c r="J6460" s="3">
        <v>900</v>
      </c>
      <c r="K6460" s="3">
        <v>424</v>
      </c>
      <c r="L6460" t="s">
        <v>120</v>
      </c>
      <c r="M6460">
        <v>5</v>
      </c>
      <c r="N6460" t="s">
        <v>85</v>
      </c>
      <c r="O6460" t="s">
        <v>81</v>
      </c>
      <c r="P6460" t="s">
        <v>12</v>
      </c>
      <c r="Q6460" t="s">
        <v>13</v>
      </c>
      <c r="R6460" t="s">
        <v>13</v>
      </c>
      <c r="S6460" t="s">
        <v>144</v>
      </c>
      <c r="T6460" s="2">
        <f>MASTER[[#This Row],[CANTIDAD]]*MASTER[[#This Row],[PRECIO DE VENTA]]</f>
        <v>900</v>
      </c>
      <c r="U6460" s="2">
        <f>MASTER[[#This Row],[CANTIDAD]]*MASTER[[#This Row],[COSTO UNITARIO]]</f>
        <v>424</v>
      </c>
      <c r="V6460" s="2">
        <f>MASTER[[#This Row],[MONTO VENDIDO]]-MASTER[[#This Row],[COSTO DE VENTA]]</f>
        <v>476</v>
      </c>
    </row>
    <row r="6461" spans="1:22" x14ac:dyDescent="0.3">
      <c r="A6461">
        <v>88514</v>
      </c>
      <c r="B6461">
        <v>1</v>
      </c>
      <c r="C6461" t="s">
        <v>116</v>
      </c>
      <c r="D6461" t="s">
        <v>117</v>
      </c>
      <c r="E6461" s="1">
        <v>44530</v>
      </c>
      <c r="F6461">
        <v>1</v>
      </c>
      <c r="G6461" t="s">
        <v>65</v>
      </c>
      <c r="H6461" t="s">
        <v>66</v>
      </c>
      <c r="I6461" s="3">
        <v>1738</v>
      </c>
      <c r="J6461" s="3">
        <v>1738</v>
      </c>
      <c r="K6461" s="3">
        <v>388</v>
      </c>
      <c r="L6461" t="s">
        <v>113</v>
      </c>
      <c r="M6461">
        <v>7</v>
      </c>
      <c r="N6461" t="s">
        <v>84</v>
      </c>
      <c r="O6461" t="s">
        <v>81</v>
      </c>
      <c r="P6461" t="s">
        <v>12</v>
      </c>
      <c r="Q6461" t="s">
        <v>13</v>
      </c>
      <c r="R6461" t="s">
        <v>13</v>
      </c>
      <c r="S6461" t="s">
        <v>144</v>
      </c>
      <c r="T6461" s="2">
        <f>MASTER[[#This Row],[CANTIDAD]]*MASTER[[#This Row],[PRECIO DE VENTA]]</f>
        <v>1738</v>
      </c>
      <c r="U6461" s="2">
        <f>MASTER[[#This Row],[CANTIDAD]]*MASTER[[#This Row],[COSTO UNITARIO]]</f>
        <v>388</v>
      </c>
      <c r="V6461" s="2">
        <f>MASTER[[#This Row],[MONTO VENDIDO]]-MASTER[[#This Row],[COSTO DE VENTA]]</f>
        <v>1350</v>
      </c>
    </row>
    <row r="6462" spans="1:22" x14ac:dyDescent="0.3">
      <c r="A6462">
        <v>88523</v>
      </c>
      <c r="B6462">
        <v>1</v>
      </c>
      <c r="C6462" t="s">
        <v>107</v>
      </c>
      <c r="D6462" t="s">
        <v>108</v>
      </c>
      <c r="E6462" s="1">
        <v>44530</v>
      </c>
      <c r="F6462">
        <v>1</v>
      </c>
      <c r="G6462" t="s">
        <v>22</v>
      </c>
      <c r="H6462" t="s">
        <v>23</v>
      </c>
      <c r="I6462" s="3">
        <v>1333</v>
      </c>
      <c r="J6462" s="3">
        <v>1199</v>
      </c>
      <c r="K6462" s="3">
        <v>380</v>
      </c>
      <c r="L6462" t="s">
        <v>98</v>
      </c>
      <c r="M6462">
        <v>8</v>
      </c>
      <c r="N6462" t="s">
        <v>80</v>
      </c>
      <c r="O6462" t="s">
        <v>81</v>
      </c>
      <c r="P6462" t="s">
        <v>12</v>
      </c>
      <c r="Q6462" t="s">
        <v>13</v>
      </c>
      <c r="R6462" t="s">
        <v>13</v>
      </c>
      <c r="S6462" t="s">
        <v>144</v>
      </c>
      <c r="T6462" s="2">
        <f>MASTER[[#This Row],[CANTIDAD]]*MASTER[[#This Row],[PRECIO DE VENTA]]</f>
        <v>1199</v>
      </c>
      <c r="U6462" s="2">
        <f>MASTER[[#This Row],[CANTIDAD]]*MASTER[[#This Row],[COSTO UNITARIO]]</f>
        <v>380</v>
      </c>
      <c r="V6462" s="2">
        <f>MASTER[[#This Row],[MONTO VENDIDO]]-MASTER[[#This Row],[COSTO DE VENTA]]</f>
        <v>819</v>
      </c>
    </row>
    <row r="6463" spans="1:22" x14ac:dyDescent="0.3">
      <c r="A6463">
        <v>88526</v>
      </c>
      <c r="B6463">
        <v>1</v>
      </c>
      <c r="C6463" t="s">
        <v>103</v>
      </c>
      <c r="D6463" t="s">
        <v>104</v>
      </c>
      <c r="E6463" s="1">
        <v>44530</v>
      </c>
      <c r="F6463">
        <v>1</v>
      </c>
      <c r="G6463" t="s">
        <v>57</v>
      </c>
      <c r="H6463" t="s">
        <v>58</v>
      </c>
      <c r="I6463" s="3">
        <v>1591</v>
      </c>
      <c r="J6463" s="3">
        <v>1591</v>
      </c>
      <c r="K6463" s="3">
        <v>421</v>
      </c>
      <c r="L6463" t="s">
        <v>98</v>
      </c>
      <c r="M6463">
        <v>2</v>
      </c>
      <c r="N6463" t="s">
        <v>86</v>
      </c>
      <c r="O6463" t="s">
        <v>81</v>
      </c>
      <c r="P6463" t="s">
        <v>71</v>
      </c>
      <c r="Q6463" t="s">
        <v>72</v>
      </c>
      <c r="R6463" t="s">
        <v>139</v>
      </c>
      <c r="S6463" t="s">
        <v>144</v>
      </c>
      <c r="T6463" s="2">
        <f>MASTER[[#This Row],[CANTIDAD]]*MASTER[[#This Row],[PRECIO DE VENTA]]</f>
        <v>1591</v>
      </c>
      <c r="U6463" s="2">
        <f>MASTER[[#This Row],[CANTIDAD]]*MASTER[[#This Row],[COSTO UNITARIO]]</f>
        <v>421</v>
      </c>
      <c r="V6463" s="2">
        <f>MASTER[[#This Row],[MONTO VENDIDO]]-MASTER[[#This Row],[COSTO DE VENTA]]</f>
        <v>1170</v>
      </c>
    </row>
    <row r="6464" spans="1:22" x14ac:dyDescent="0.3">
      <c r="A6464">
        <v>88555</v>
      </c>
      <c r="B6464">
        <v>1</v>
      </c>
      <c r="C6464" t="s">
        <v>121</v>
      </c>
      <c r="D6464" t="s">
        <v>122</v>
      </c>
      <c r="E6464" s="1">
        <v>44530</v>
      </c>
      <c r="F6464">
        <v>1</v>
      </c>
      <c r="G6464" t="s">
        <v>67</v>
      </c>
      <c r="H6464" t="s">
        <v>68</v>
      </c>
      <c r="I6464" s="3">
        <v>1069</v>
      </c>
      <c r="J6464" s="3">
        <v>1069</v>
      </c>
      <c r="K6464" s="3">
        <v>460</v>
      </c>
      <c r="L6464" t="s">
        <v>120</v>
      </c>
      <c r="M6464">
        <v>5</v>
      </c>
      <c r="N6464" t="s">
        <v>85</v>
      </c>
      <c r="O6464" t="s">
        <v>81</v>
      </c>
      <c r="P6464" t="s">
        <v>12</v>
      </c>
      <c r="Q6464" t="s">
        <v>13</v>
      </c>
      <c r="R6464" t="s">
        <v>13</v>
      </c>
      <c r="S6464" t="s">
        <v>144</v>
      </c>
      <c r="T6464" s="2">
        <f>MASTER[[#This Row],[CANTIDAD]]*MASTER[[#This Row],[PRECIO DE VENTA]]</f>
        <v>1069</v>
      </c>
      <c r="U6464" s="2">
        <f>MASTER[[#This Row],[CANTIDAD]]*MASTER[[#This Row],[COSTO UNITARIO]]</f>
        <v>460</v>
      </c>
      <c r="V6464" s="2">
        <f>MASTER[[#This Row],[MONTO VENDIDO]]-MASTER[[#This Row],[COSTO DE VENTA]]</f>
        <v>609</v>
      </c>
    </row>
    <row r="6465" spans="1:22" x14ac:dyDescent="0.3">
      <c r="A6465">
        <v>88576</v>
      </c>
      <c r="B6465">
        <v>1</v>
      </c>
      <c r="C6465" t="s">
        <v>5</v>
      </c>
      <c r="D6465" t="s">
        <v>6</v>
      </c>
      <c r="E6465" s="1">
        <v>44530</v>
      </c>
      <c r="F6465">
        <v>1</v>
      </c>
      <c r="G6465" t="s">
        <v>73</v>
      </c>
      <c r="H6465" t="s">
        <v>74</v>
      </c>
      <c r="I6465" s="3">
        <v>1507</v>
      </c>
      <c r="J6465" s="3">
        <v>1507</v>
      </c>
      <c r="K6465" s="3">
        <v>393</v>
      </c>
      <c r="L6465" t="s">
        <v>9</v>
      </c>
      <c r="M6465">
        <v>4</v>
      </c>
      <c r="N6465" t="s">
        <v>82</v>
      </c>
      <c r="O6465" t="s">
        <v>81</v>
      </c>
      <c r="P6465" t="s">
        <v>71</v>
      </c>
      <c r="Q6465" t="s">
        <v>72</v>
      </c>
      <c r="R6465" t="s">
        <v>139</v>
      </c>
      <c r="S6465" t="s">
        <v>144</v>
      </c>
      <c r="T6465" s="2">
        <f>MASTER[[#This Row],[CANTIDAD]]*MASTER[[#This Row],[PRECIO DE VENTA]]</f>
        <v>1507</v>
      </c>
      <c r="U6465" s="2">
        <f>MASTER[[#This Row],[CANTIDAD]]*MASTER[[#This Row],[COSTO UNITARIO]]</f>
        <v>393</v>
      </c>
      <c r="V6465" s="2">
        <f>MASTER[[#This Row],[MONTO VENDIDO]]-MASTER[[#This Row],[COSTO DE VENTA]]</f>
        <v>1114</v>
      </c>
    </row>
    <row r="6466" spans="1:22" x14ac:dyDescent="0.3">
      <c r="A6466">
        <v>88580</v>
      </c>
      <c r="B6466">
        <v>1</v>
      </c>
      <c r="C6466" t="s">
        <v>90</v>
      </c>
      <c r="D6466" t="s">
        <v>91</v>
      </c>
      <c r="E6466" s="1">
        <v>44530</v>
      </c>
      <c r="F6466">
        <v>1</v>
      </c>
      <c r="G6466" t="s">
        <v>65</v>
      </c>
      <c r="H6466" t="s">
        <v>66</v>
      </c>
      <c r="I6466" s="3">
        <v>1660</v>
      </c>
      <c r="J6466" s="3">
        <v>1660</v>
      </c>
      <c r="K6466" s="3">
        <v>420</v>
      </c>
      <c r="L6466" t="s">
        <v>9</v>
      </c>
      <c r="M6466">
        <v>17</v>
      </c>
      <c r="N6466" t="s">
        <v>14</v>
      </c>
      <c r="O6466" t="s">
        <v>11</v>
      </c>
      <c r="P6466" t="s">
        <v>15</v>
      </c>
      <c r="Q6466" t="s">
        <v>16</v>
      </c>
      <c r="R6466" t="s">
        <v>16</v>
      </c>
      <c r="S6466" t="s">
        <v>144</v>
      </c>
      <c r="T6466" s="2">
        <f>MASTER[[#This Row],[CANTIDAD]]*MASTER[[#This Row],[PRECIO DE VENTA]]</f>
        <v>1660</v>
      </c>
      <c r="U6466" s="2">
        <f>MASTER[[#This Row],[CANTIDAD]]*MASTER[[#This Row],[COSTO UNITARIO]]</f>
        <v>420</v>
      </c>
      <c r="V6466" s="2">
        <f>MASTER[[#This Row],[MONTO VENDIDO]]-MASTER[[#This Row],[COSTO DE VENTA]]</f>
        <v>1240</v>
      </c>
    </row>
    <row r="6467" spans="1:22" x14ac:dyDescent="0.3">
      <c r="A6467">
        <v>88584</v>
      </c>
      <c r="B6467">
        <v>1</v>
      </c>
      <c r="C6467" t="s">
        <v>5</v>
      </c>
      <c r="D6467" t="s">
        <v>6</v>
      </c>
      <c r="E6467" s="1">
        <v>44530</v>
      </c>
      <c r="F6467">
        <v>1</v>
      </c>
      <c r="G6467" t="s">
        <v>51</v>
      </c>
      <c r="H6467" t="s">
        <v>52</v>
      </c>
      <c r="I6467" s="3">
        <v>1311</v>
      </c>
      <c r="J6467" s="3">
        <v>1311</v>
      </c>
      <c r="K6467" s="3">
        <v>393</v>
      </c>
      <c r="L6467" t="s">
        <v>9</v>
      </c>
      <c r="M6467">
        <v>11</v>
      </c>
      <c r="N6467" t="s">
        <v>10</v>
      </c>
      <c r="O6467" t="s">
        <v>11</v>
      </c>
      <c r="P6467" t="s">
        <v>12</v>
      </c>
      <c r="Q6467" t="s">
        <v>13</v>
      </c>
      <c r="R6467" t="s">
        <v>13</v>
      </c>
      <c r="S6467" t="s">
        <v>144</v>
      </c>
      <c r="T6467" s="2">
        <f>MASTER[[#This Row],[CANTIDAD]]*MASTER[[#This Row],[PRECIO DE VENTA]]</f>
        <v>1311</v>
      </c>
      <c r="U6467" s="2">
        <f>MASTER[[#This Row],[CANTIDAD]]*MASTER[[#This Row],[COSTO UNITARIO]]</f>
        <v>393</v>
      </c>
      <c r="V6467" s="2">
        <f>MASTER[[#This Row],[MONTO VENDIDO]]-MASTER[[#This Row],[COSTO DE VENTA]]</f>
        <v>918</v>
      </c>
    </row>
    <row r="6468" spans="1:22" x14ac:dyDescent="0.3">
      <c r="A6468">
        <v>88588</v>
      </c>
      <c r="B6468">
        <v>1</v>
      </c>
      <c r="C6468" t="s">
        <v>101</v>
      </c>
      <c r="D6468" t="s">
        <v>102</v>
      </c>
      <c r="E6468" s="1">
        <v>44530</v>
      </c>
      <c r="F6468">
        <v>1</v>
      </c>
      <c r="G6468" t="s">
        <v>43</v>
      </c>
      <c r="H6468" t="s">
        <v>44</v>
      </c>
      <c r="I6468" s="3">
        <v>1212</v>
      </c>
      <c r="J6468" s="3">
        <v>1212</v>
      </c>
      <c r="K6468" s="3">
        <v>442</v>
      </c>
      <c r="L6468" t="s">
        <v>98</v>
      </c>
      <c r="M6468">
        <v>8</v>
      </c>
      <c r="N6468" t="s">
        <v>80</v>
      </c>
      <c r="O6468" t="s">
        <v>81</v>
      </c>
      <c r="P6468" t="s">
        <v>12</v>
      </c>
      <c r="Q6468" t="s">
        <v>13</v>
      </c>
      <c r="R6468" t="s">
        <v>13</v>
      </c>
      <c r="S6468" t="s">
        <v>144</v>
      </c>
      <c r="T6468" s="2">
        <f>MASTER[[#This Row],[CANTIDAD]]*MASTER[[#This Row],[PRECIO DE VENTA]]</f>
        <v>1212</v>
      </c>
      <c r="U6468" s="2">
        <f>MASTER[[#This Row],[CANTIDAD]]*MASTER[[#This Row],[COSTO UNITARIO]]</f>
        <v>442</v>
      </c>
      <c r="V6468" s="2">
        <f>MASTER[[#This Row],[MONTO VENDIDO]]-MASTER[[#This Row],[COSTO DE VENTA]]</f>
        <v>770</v>
      </c>
    </row>
    <row r="6469" spans="1:22" x14ac:dyDescent="0.3">
      <c r="A6469">
        <v>88592</v>
      </c>
      <c r="B6469">
        <v>1</v>
      </c>
      <c r="C6469" t="s">
        <v>105</v>
      </c>
      <c r="D6469" t="s">
        <v>106</v>
      </c>
      <c r="E6469" s="1">
        <v>44531</v>
      </c>
      <c r="F6469">
        <v>4</v>
      </c>
      <c r="G6469" t="s">
        <v>57</v>
      </c>
      <c r="H6469" t="s">
        <v>58</v>
      </c>
      <c r="I6469" s="3">
        <v>2033</v>
      </c>
      <c r="J6469" s="3">
        <v>2033</v>
      </c>
      <c r="K6469" s="3">
        <v>459</v>
      </c>
      <c r="L6469" t="s">
        <v>98</v>
      </c>
      <c r="M6469">
        <v>18</v>
      </c>
      <c r="N6469" t="s">
        <v>79</v>
      </c>
      <c r="O6469" t="s">
        <v>70</v>
      </c>
      <c r="P6469" t="s">
        <v>15</v>
      </c>
      <c r="Q6469" t="s">
        <v>16</v>
      </c>
      <c r="R6469" t="s">
        <v>16</v>
      </c>
      <c r="S6469" t="s">
        <v>144</v>
      </c>
      <c r="T6469" s="2">
        <f>MASTER[[#This Row],[CANTIDAD]]*MASTER[[#This Row],[PRECIO DE VENTA]]</f>
        <v>8132</v>
      </c>
      <c r="U6469" s="2">
        <f>MASTER[[#This Row],[CANTIDAD]]*MASTER[[#This Row],[COSTO UNITARIO]]</f>
        <v>1836</v>
      </c>
      <c r="V6469" s="2">
        <f>MASTER[[#This Row],[MONTO VENDIDO]]-MASTER[[#This Row],[COSTO DE VENTA]]</f>
        <v>6296</v>
      </c>
    </row>
    <row r="6470" spans="1:22" x14ac:dyDescent="0.3">
      <c r="A6470">
        <v>88596</v>
      </c>
      <c r="B6470">
        <v>1</v>
      </c>
      <c r="C6470" t="s">
        <v>109</v>
      </c>
      <c r="D6470" t="s">
        <v>110</v>
      </c>
      <c r="E6470" s="1">
        <v>44531</v>
      </c>
      <c r="F6470">
        <v>1</v>
      </c>
      <c r="G6470" t="s">
        <v>43</v>
      </c>
      <c r="H6470" t="s">
        <v>44</v>
      </c>
      <c r="I6470" s="3">
        <v>1128</v>
      </c>
      <c r="J6470" s="3">
        <v>1128</v>
      </c>
      <c r="K6470" s="3">
        <v>387</v>
      </c>
      <c r="L6470" t="s">
        <v>98</v>
      </c>
      <c r="M6470">
        <v>13</v>
      </c>
      <c r="N6470" t="s">
        <v>78</v>
      </c>
      <c r="O6470" t="s">
        <v>70</v>
      </c>
      <c r="P6470" t="s">
        <v>18</v>
      </c>
      <c r="Q6470" t="s">
        <v>19</v>
      </c>
      <c r="R6470" t="s">
        <v>138</v>
      </c>
      <c r="S6470" t="s">
        <v>144</v>
      </c>
      <c r="T6470" s="2">
        <f>MASTER[[#This Row],[CANTIDAD]]*MASTER[[#This Row],[PRECIO DE VENTA]]</f>
        <v>1128</v>
      </c>
      <c r="U6470" s="2">
        <f>MASTER[[#This Row],[CANTIDAD]]*MASTER[[#This Row],[COSTO UNITARIO]]</f>
        <v>387</v>
      </c>
      <c r="V6470" s="2">
        <f>MASTER[[#This Row],[MONTO VENDIDO]]-MASTER[[#This Row],[COSTO DE VENTA]]</f>
        <v>741</v>
      </c>
    </row>
    <row r="6471" spans="1:22" x14ac:dyDescent="0.3">
      <c r="A6471">
        <v>88604</v>
      </c>
      <c r="B6471">
        <v>1</v>
      </c>
      <c r="C6471" t="s">
        <v>99</v>
      </c>
      <c r="D6471" t="s">
        <v>100</v>
      </c>
      <c r="E6471" s="1">
        <v>44531</v>
      </c>
      <c r="F6471">
        <v>1</v>
      </c>
      <c r="G6471" t="s">
        <v>47</v>
      </c>
      <c r="H6471" t="s">
        <v>48</v>
      </c>
      <c r="I6471" s="3">
        <v>1328</v>
      </c>
      <c r="J6471" s="3">
        <v>1328</v>
      </c>
      <c r="K6471" s="3">
        <v>386</v>
      </c>
      <c r="L6471" t="s">
        <v>98</v>
      </c>
      <c r="M6471">
        <v>17</v>
      </c>
      <c r="N6471" t="s">
        <v>14</v>
      </c>
      <c r="O6471" t="s">
        <v>11</v>
      </c>
      <c r="P6471" t="s">
        <v>15</v>
      </c>
      <c r="Q6471" t="s">
        <v>16</v>
      </c>
      <c r="R6471" t="s">
        <v>16</v>
      </c>
      <c r="S6471" t="s">
        <v>144</v>
      </c>
      <c r="T6471" s="2">
        <f>MASTER[[#This Row],[CANTIDAD]]*MASTER[[#This Row],[PRECIO DE VENTA]]</f>
        <v>1328</v>
      </c>
      <c r="U6471" s="2">
        <f>MASTER[[#This Row],[CANTIDAD]]*MASTER[[#This Row],[COSTO UNITARIO]]</f>
        <v>386</v>
      </c>
      <c r="V6471" s="2">
        <f>MASTER[[#This Row],[MONTO VENDIDO]]-MASTER[[#This Row],[COSTO DE VENTA]]</f>
        <v>942</v>
      </c>
    </row>
    <row r="6472" spans="1:22" x14ac:dyDescent="0.3">
      <c r="A6472">
        <v>88624</v>
      </c>
      <c r="B6472">
        <v>1</v>
      </c>
      <c r="C6472" t="s">
        <v>111</v>
      </c>
      <c r="D6472" t="s">
        <v>112</v>
      </c>
      <c r="E6472" s="1">
        <v>44531</v>
      </c>
      <c r="F6472">
        <v>1</v>
      </c>
      <c r="G6472" t="s">
        <v>37</v>
      </c>
      <c r="H6472" t="s">
        <v>38</v>
      </c>
      <c r="I6472" s="3">
        <v>1799</v>
      </c>
      <c r="J6472" s="3">
        <v>1799</v>
      </c>
      <c r="K6472" s="3">
        <v>434</v>
      </c>
      <c r="L6472" t="s">
        <v>113</v>
      </c>
      <c r="M6472">
        <v>9</v>
      </c>
      <c r="N6472" t="s">
        <v>76</v>
      </c>
      <c r="O6472" t="s">
        <v>70</v>
      </c>
      <c r="P6472" t="s">
        <v>12</v>
      </c>
      <c r="Q6472" t="s">
        <v>13</v>
      </c>
      <c r="R6472" t="s">
        <v>13</v>
      </c>
      <c r="S6472" t="s">
        <v>144</v>
      </c>
      <c r="T6472" s="2">
        <f>MASTER[[#This Row],[CANTIDAD]]*MASTER[[#This Row],[PRECIO DE VENTA]]</f>
        <v>1799</v>
      </c>
      <c r="U6472" s="2">
        <f>MASTER[[#This Row],[CANTIDAD]]*MASTER[[#This Row],[COSTO UNITARIO]]</f>
        <v>434</v>
      </c>
      <c r="V6472" s="2">
        <f>MASTER[[#This Row],[MONTO VENDIDO]]-MASTER[[#This Row],[COSTO DE VENTA]]</f>
        <v>1365</v>
      </c>
    </row>
    <row r="6473" spans="1:22" x14ac:dyDescent="0.3">
      <c r="A6473">
        <v>88662</v>
      </c>
      <c r="B6473">
        <v>1</v>
      </c>
      <c r="C6473" t="s">
        <v>101</v>
      </c>
      <c r="D6473" t="s">
        <v>102</v>
      </c>
      <c r="E6473" s="1">
        <v>44531</v>
      </c>
      <c r="F6473">
        <v>3</v>
      </c>
      <c r="G6473" t="s">
        <v>29</v>
      </c>
      <c r="H6473" t="s">
        <v>30</v>
      </c>
      <c r="I6473" s="3">
        <v>1212</v>
      </c>
      <c r="J6473" s="3">
        <v>1212</v>
      </c>
      <c r="K6473" s="3">
        <v>442</v>
      </c>
      <c r="L6473" t="s">
        <v>98</v>
      </c>
      <c r="M6473">
        <v>15</v>
      </c>
      <c r="N6473" t="s">
        <v>88</v>
      </c>
      <c r="O6473" t="s">
        <v>81</v>
      </c>
      <c r="P6473" t="s">
        <v>18</v>
      </c>
      <c r="Q6473" t="s">
        <v>19</v>
      </c>
      <c r="R6473" t="s">
        <v>138</v>
      </c>
      <c r="S6473" t="s">
        <v>144</v>
      </c>
      <c r="T6473" s="2">
        <f>MASTER[[#This Row],[CANTIDAD]]*MASTER[[#This Row],[PRECIO DE VENTA]]</f>
        <v>3636</v>
      </c>
      <c r="U6473" s="2">
        <f>MASTER[[#This Row],[CANTIDAD]]*MASTER[[#This Row],[COSTO UNITARIO]]</f>
        <v>1326</v>
      </c>
      <c r="V6473" s="2">
        <f>MASTER[[#This Row],[MONTO VENDIDO]]-MASTER[[#This Row],[COSTO DE VENTA]]</f>
        <v>2310</v>
      </c>
    </row>
    <row r="6474" spans="1:22" x14ac:dyDescent="0.3">
      <c r="A6474">
        <v>88662</v>
      </c>
      <c r="B6474">
        <v>2</v>
      </c>
      <c r="C6474" t="s">
        <v>105</v>
      </c>
      <c r="D6474" t="s">
        <v>106</v>
      </c>
      <c r="E6474" s="1">
        <v>44531</v>
      </c>
      <c r="F6474">
        <v>1</v>
      </c>
      <c r="G6474" t="s">
        <v>43</v>
      </c>
      <c r="H6474" t="s">
        <v>44</v>
      </c>
      <c r="I6474" s="3">
        <v>1865</v>
      </c>
      <c r="J6474" s="3">
        <v>1865</v>
      </c>
      <c r="K6474" s="3">
        <v>459</v>
      </c>
      <c r="L6474" t="s">
        <v>98</v>
      </c>
      <c r="M6474">
        <v>15</v>
      </c>
      <c r="N6474" t="s">
        <v>88</v>
      </c>
      <c r="O6474" t="s">
        <v>81</v>
      </c>
      <c r="P6474" t="s">
        <v>18</v>
      </c>
      <c r="Q6474" t="s">
        <v>19</v>
      </c>
      <c r="R6474" t="s">
        <v>138</v>
      </c>
      <c r="S6474" t="s">
        <v>144</v>
      </c>
      <c r="T6474" s="2">
        <f>MASTER[[#This Row],[CANTIDAD]]*MASTER[[#This Row],[PRECIO DE VENTA]]</f>
        <v>1865</v>
      </c>
      <c r="U6474" s="2">
        <f>MASTER[[#This Row],[CANTIDAD]]*MASTER[[#This Row],[COSTO UNITARIO]]</f>
        <v>459</v>
      </c>
      <c r="V6474" s="2">
        <f>MASTER[[#This Row],[MONTO VENDIDO]]-MASTER[[#This Row],[COSTO DE VENTA]]</f>
        <v>1406</v>
      </c>
    </row>
    <row r="6475" spans="1:22" x14ac:dyDescent="0.3">
      <c r="A6475">
        <v>88694</v>
      </c>
      <c r="B6475">
        <v>1</v>
      </c>
      <c r="C6475" t="s">
        <v>92</v>
      </c>
      <c r="D6475" t="s">
        <v>93</v>
      </c>
      <c r="E6475" s="1">
        <v>44531</v>
      </c>
      <c r="F6475">
        <v>1</v>
      </c>
      <c r="G6475" t="s">
        <v>29</v>
      </c>
      <c r="H6475" t="s">
        <v>30</v>
      </c>
      <c r="I6475" s="3">
        <v>1479</v>
      </c>
      <c r="J6475" s="3">
        <v>1479</v>
      </c>
      <c r="K6475" s="3">
        <v>396</v>
      </c>
      <c r="L6475" t="s">
        <v>9</v>
      </c>
      <c r="M6475">
        <v>11</v>
      </c>
      <c r="N6475" t="s">
        <v>10</v>
      </c>
      <c r="O6475" t="s">
        <v>11</v>
      </c>
      <c r="P6475" t="s">
        <v>12</v>
      </c>
      <c r="Q6475" t="s">
        <v>13</v>
      </c>
      <c r="R6475" t="s">
        <v>13</v>
      </c>
      <c r="S6475" t="s">
        <v>144</v>
      </c>
      <c r="T6475" s="2">
        <f>MASTER[[#This Row],[CANTIDAD]]*MASTER[[#This Row],[PRECIO DE VENTA]]</f>
        <v>1479</v>
      </c>
      <c r="U6475" s="2">
        <f>MASTER[[#This Row],[CANTIDAD]]*MASTER[[#This Row],[COSTO UNITARIO]]</f>
        <v>396</v>
      </c>
      <c r="V6475" s="2">
        <f>MASTER[[#This Row],[MONTO VENDIDO]]-MASTER[[#This Row],[COSTO DE VENTA]]</f>
        <v>1083</v>
      </c>
    </row>
    <row r="6476" spans="1:22" x14ac:dyDescent="0.3">
      <c r="A6476">
        <v>88697</v>
      </c>
      <c r="B6476">
        <v>1</v>
      </c>
      <c r="C6476" t="s">
        <v>121</v>
      </c>
      <c r="D6476" t="s">
        <v>122</v>
      </c>
      <c r="E6476" s="1">
        <v>44531</v>
      </c>
      <c r="F6476">
        <v>1</v>
      </c>
      <c r="G6476" t="s">
        <v>45</v>
      </c>
      <c r="H6476" t="s">
        <v>46</v>
      </c>
      <c r="I6476" s="3">
        <v>941</v>
      </c>
      <c r="J6476" s="3">
        <v>941</v>
      </c>
      <c r="K6476" s="3">
        <v>460</v>
      </c>
      <c r="L6476" t="s">
        <v>120</v>
      </c>
      <c r="M6476">
        <v>11</v>
      </c>
      <c r="N6476" t="s">
        <v>10</v>
      </c>
      <c r="O6476" t="s">
        <v>11</v>
      </c>
      <c r="P6476" t="s">
        <v>12</v>
      </c>
      <c r="Q6476" t="s">
        <v>13</v>
      </c>
      <c r="R6476" t="s">
        <v>13</v>
      </c>
      <c r="S6476" t="s">
        <v>144</v>
      </c>
      <c r="T6476" s="2">
        <f>MASTER[[#This Row],[CANTIDAD]]*MASTER[[#This Row],[PRECIO DE VENTA]]</f>
        <v>941</v>
      </c>
      <c r="U6476" s="2">
        <f>MASTER[[#This Row],[CANTIDAD]]*MASTER[[#This Row],[COSTO UNITARIO]]</f>
        <v>460</v>
      </c>
      <c r="V6476" s="2">
        <f>MASTER[[#This Row],[MONTO VENDIDO]]-MASTER[[#This Row],[COSTO DE VENTA]]</f>
        <v>481</v>
      </c>
    </row>
    <row r="6477" spans="1:22" x14ac:dyDescent="0.3">
      <c r="A6477">
        <v>88713</v>
      </c>
      <c r="B6477">
        <v>1</v>
      </c>
      <c r="C6477" t="s">
        <v>121</v>
      </c>
      <c r="D6477" t="s">
        <v>122</v>
      </c>
      <c r="E6477" s="1">
        <v>44532</v>
      </c>
      <c r="F6477">
        <v>1</v>
      </c>
      <c r="G6477" t="s">
        <v>7</v>
      </c>
      <c r="H6477" t="s">
        <v>8</v>
      </c>
      <c r="I6477" s="3">
        <v>1069</v>
      </c>
      <c r="J6477" s="3">
        <v>1069</v>
      </c>
      <c r="K6477" s="3">
        <v>460</v>
      </c>
      <c r="L6477" t="s">
        <v>120</v>
      </c>
      <c r="M6477">
        <v>15</v>
      </c>
      <c r="N6477" t="s">
        <v>88</v>
      </c>
      <c r="O6477" t="s">
        <v>81</v>
      </c>
      <c r="P6477" t="s">
        <v>18</v>
      </c>
      <c r="Q6477" t="s">
        <v>19</v>
      </c>
      <c r="R6477" t="s">
        <v>138</v>
      </c>
      <c r="S6477" t="s">
        <v>144</v>
      </c>
      <c r="T6477" s="2">
        <f>MASTER[[#This Row],[CANTIDAD]]*MASTER[[#This Row],[PRECIO DE VENTA]]</f>
        <v>1069</v>
      </c>
      <c r="U6477" s="2">
        <f>MASTER[[#This Row],[CANTIDAD]]*MASTER[[#This Row],[COSTO UNITARIO]]</f>
        <v>460</v>
      </c>
      <c r="V6477" s="2">
        <f>MASTER[[#This Row],[MONTO VENDIDO]]-MASTER[[#This Row],[COSTO DE VENTA]]</f>
        <v>609</v>
      </c>
    </row>
    <row r="6478" spans="1:22" x14ac:dyDescent="0.3">
      <c r="A6478">
        <v>88724</v>
      </c>
      <c r="B6478">
        <v>1</v>
      </c>
      <c r="C6478" t="s">
        <v>99</v>
      </c>
      <c r="D6478" t="s">
        <v>100</v>
      </c>
      <c r="E6478" s="1">
        <v>44532</v>
      </c>
      <c r="F6478">
        <v>1</v>
      </c>
      <c r="G6478" t="s">
        <v>49</v>
      </c>
      <c r="H6478" t="s">
        <v>50</v>
      </c>
      <c r="I6478" s="3">
        <v>1459</v>
      </c>
      <c r="J6478" s="3">
        <v>1327</v>
      </c>
      <c r="K6478" s="3">
        <v>386</v>
      </c>
      <c r="L6478" t="s">
        <v>98</v>
      </c>
      <c r="M6478">
        <v>5</v>
      </c>
      <c r="N6478" t="s">
        <v>85</v>
      </c>
      <c r="O6478" t="s">
        <v>81</v>
      </c>
      <c r="P6478" t="s">
        <v>12</v>
      </c>
      <c r="Q6478" t="s">
        <v>13</v>
      </c>
      <c r="R6478" t="s">
        <v>13</v>
      </c>
      <c r="S6478" t="s">
        <v>144</v>
      </c>
      <c r="T6478" s="2">
        <f>MASTER[[#This Row],[CANTIDAD]]*MASTER[[#This Row],[PRECIO DE VENTA]]</f>
        <v>1327</v>
      </c>
      <c r="U6478" s="2">
        <f>MASTER[[#This Row],[CANTIDAD]]*MASTER[[#This Row],[COSTO UNITARIO]]</f>
        <v>386</v>
      </c>
      <c r="V6478" s="2">
        <f>MASTER[[#This Row],[MONTO VENDIDO]]-MASTER[[#This Row],[COSTO DE VENTA]]</f>
        <v>941</v>
      </c>
    </row>
    <row r="6479" spans="1:22" x14ac:dyDescent="0.3">
      <c r="A6479">
        <v>88731</v>
      </c>
      <c r="B6479">
        <v>1</v>
      </c>
      <c r="C6479" t="s">
        <v>116</v>
      </c>
      <c r="D6479" t="s">
        <v>117</v>
      </c>
      <c r="E6479" s="1">
        <v>44532</v>
      </c>
      <c r="F6479">
        <v>1</v>
      </c>
      <c r="G6479" t="s">
        <v>61</v>
      </c>
      <c r="H6479" t="s">
        <v>62</v>
      </c>
      <c r="I6479" s="3">
        <v>1529</v>
      </c>
      <c r="J6479" s="3">
        <v>1529</v>
      </c>
      <c r="K6479" s="3">
        <v>388</v>
      </c>
      <c r="L6479" t="s">
        <v>113</v>
      </c>
      <c r="M6479">
        <v>17</v>
      </c>
      <c r="N6479" t="s">
        <v>14</v>
      </c>
      <c r="O6479" t="s">
        <v>11</v>
      </c>
      <c r="P6479" t="s">
        <v>15</v>
      </c>
      <c r="Q6479" t="s">
        <v>16</v>
      </c>
      <c r="R6479" t="s">
        <v>16</v>
      </c>
      <c r="S6479" t="s">
        <v>144</v>
      </c>
      <c r="T6479" s="2">
        <f>MASTER[[#This Row],[CANTIDAD]]*MASTER[[#This Row],[PRECIO DE VENTA]]</f>
        <v>1529</v>
      </c>
      <c r="U6479" s="2">
        <f>MASTER[[#This Row],[CANTIDAD]]*MASTER[[#This Row],[COSTO UNITARIO]]</f>
        <v>388</v>
      </c>
      <c r="V6479" s="2">
        <f>MASTER[[#This Row],[MONTO VENDIDO]]-MASTER[[#This Row],[COSTO DE VENTA]]</f>
        <v>1141</v>
      </c>
    </row>
    <row r="6480" spans="1:22" x14ac:dyDescent="0.3">
      <c r="A6480">
        <v>88736</v>
      </c>
      <c r="B6480">
        <v>1</v>
      </c>
      <c r="C6480" t="s">
        <v>107</v>
      </c>
      <c r="D6480" t="s">
        <v>108</v>
      </c>
      <c r="E6480" s="1">
        <v>44532</v>
      </c>
      <c r="F6480">
        <v>1</v>
      </c>
      <c r="G6480" t="s">
        <v>47</v>
      </c>
      <c r="H6480" t="s">
        <v>48</v>
      </c>
      <c r="I6480" s="3">
        <v>1440</v>
      </c>
      <c r="J6480" s="3">
        <v>1440</v>
      </c>
      <c r="K6480" s="3">
        <v>380</v>
      </c>
      <c r="L6480" t="s">
        <v>98</v>
      </c>
      <c r="M6480">
        <v>1</v>
      </c>
      <c r="N6480" t="s">
        <v>77</v>
      </c>
      <c r="O6480" t="s">
        <v>70</v>
      </c>
      <c r="P6480" t="s">
        <v>71</v>
      </c>
      <c r="Q6480" t="s">
        <v>72</v>
      </c>
      <c r="R6480" t="s">
        <v>139</v>
      </c>
      <c r="S6480" t="s">
        <v>144</v>
      </c>
      <c r="T6480" s="2">
        <f>MASTER[[#This Row],[CANTIDAD]]*MASTER[[#This Row],[PRECIO DE VENTA]]</f>
        <v>1440</v>
      </c>
      <c r="U6480" s="2">
        <f>MASTER[[#This Row],[CANTIDAD]]*MASTER[[#This Row],[COSTO UNITARIO]]</f>
        <v>380</v>
      </c>
      <c r="V6480" s="2">
        <f>MASTER[[#This Row],[MONTO VENDIDO]]-MASTER[[#This Row],[COSTO DE VENTA]]</f>
        <v>1060</v>
      </c>
    </row>
    <row r="6481" spans="1:22" x14ac:dyDescent="0.3">
      <c r="A6481">
        <v>88743</v>
      </c>
      <c r="B6481">
        <v>1</v>
      </c>
      <c r="C6481" t="s">
        <v>92</v>
      </c>
      <c r="D6481" t="s">
        <v>93</v>
      </c>
      <c r="E6481" s="1">
        <v>44532</v>
      </c>
      <c r="F6481">
        <v>1</v>
      </c>
      <c r="G6481" t="s">
        <v>29</v>
      </c>
      <c r="H6481" t="s">
        <v>30</v>
      </c>
      <c r="I6481" s="3">
        <v>1866</v>
      </c>
      <c r="J6481" s="3">
        <v>1866</v>
      </c>
      <c r="K6481" s="3">
        <v>396</v>
      </c>
      <c r="L6481" t="s">
        <v>9</v>
      </c>
      <c r="M6481">
        <v>13</v>
      </c>
      <c r="N6481" t="s">
        <v>78</v>
      </c>
      <c r="O6481" t="s">
        <v>70</v>
      </c>
      <c r="P6481" t="s">
        <v>18</v>
      </c>
      <c r="Q6481" t="s">
        <v>19</v>
      </c>
      <c r="R6481" t="s">
        <v>138</v>
      </c>
      <c r="S6481" t="s">
        <v>144</v>
      </c>
      <c r="T6481" s="2">
        <f>MASTER[[#This Row],[CANTIDAD]]*MASTER[[#This Row],[PRECIO DE VENTA]]</f>
        <v>1866</v>
      </c>
      <c r="U6481" s="2">
        <f>MASTER[[#This Row],[CANTIDAD]]*MASTER[[#This Row],[COSTO UNITARIO]]</f>
        <v>396</v>
      </c>
      <c r="V6481" s="2">
        <f>MASTER[[#This Row],[MONTO VENDIDO]]-MASTER[[#This Row],[COSTO DE VENTA]]</f>
        <v>1470</v>
      </c>
    </row>
    <row r="6482" spans="1:22" x14ac:dyDescent="0.3">
      <c r="A6482">
        <v>88757</v>
      </c>
      <c r="B6482">
        <v>1</v>
      </c>
      <c r="C6482" t="s">
        <v>96</v>
      </c>
      <c r="D6482" t="s">
        <v>97</v>
      </c>
      <c r="E6482" s="1">
        <v>44532</v>
      </c>
      <c r="F6482">
        <v>1</v>
      </c>
      <c r="G6482" t="s">
        <v>24</v>
      </c>
      <c r="H6482" t="s">
        <v>25</v>
      </c>
      <c r="I6482" s="3">
        <v>1272</v>
      </c>
      <c r="J6482" s="3">
        <v>1272</v>
      </c>
      <c r="K6482" s="3">
        <v>397</v>
      </c>
      <c r="L6482" t="s">
        <v>98</v>
      </c>
      <c r="M6482">
        <v>5</v>
      </c>
      <c r="N6482" t="s">
        <v>85</v>
      </c>
      <c r="O6482" t="s">
        <v>81</v>
      </c>
      <c r="P6482" t="s">
        <v>12</v>
      </c>
      <c r="Q6482" t="s">
        <v>13</v>
      </c>
      <c r="R6482" t="s">
        <v>13</v>
      </c>
      <c r="S6482" t="s">
        <v>144</v>
      </c>
      <c r="T6482" s="2">
        <f>MASTER[[#This Row],[CANTIDAD]]*MASTER[[#This Row],[PRECIO DE VENTA]]</f>
        <v>1272</v>
      </c>
      <c r="U6482" s="2">
        <f>MASTER[[#This Row],[CANTIDAD]]*MASTER[[#This Row],[COSTO UNITARIO]]</f>
        <v>397</v>
      </c>
      <c r="V6482" s="2">
        <f>MASTER[[#This Row],[MONTO VENDIDO]]-MASTER[[#This Row],[COSTO DE VENTA]]</f>
        <v>875</v>
      </c>
    </row>
    <row r="6483" spans="1:22" x14ac:dyDescent="0.3">
      <c r="A6483">
        <v>88760</v>
      </c>
      <c r="B6483">
        <v>1</v>
      </c>
      <c r="C6483" t="s">
        <v>121</v>
      </c>
      <c r="D6483" t="s">
        <v>122</v>
      </c>
      <c r="E6483" s="1">
        <v>44532</v>
      </c>
      <c r="F6483">
        <v>4</v>
      </c>
      <c r="G6483" t="s">
        <v>24</v>
      </c>
      <c r="H6483" t="s">
        <v>25</v>
      </c>
      <c r="I6483" s="3">
        <v>1069</v>
      </c>
      <c r="J6483" s="3">
        <v>1069</v>
      </c>
      <c r="K6483" s="3">
        <v>460</v>
      </c>
      <c r="L6483" t="s">
        <v>120</v>
      </c>
      <c r="M6483">
        <v>14</v>
      </c>
      <c r="N6483" t="s">
        <v>87</v>
      </c>
      <c r="O6483" t="s">
        <v>81</v>
      </c>
      <c r="P6483" t="s">
        <v>18</v>
      </c>
      <c r="Q6483" t="s">
        <v>19</v>
      </c>
      <c r="R6483" t="s">
        <v>138</v>
      </c>
      <c r="S6483" t="s">
        <v>144</v>
      </c>
      <c r="T6483" s="2">
        <f>MASTER[[#This Row],[CANTIDAD]]*MASTER[[#This Row],[PRECIO DE VENTA]]</f>
        <v>4276</v>
      </c>
      <c r="U6483" s="2">
        <f>MASTER[[#This Row],[CANTIDAD]]*MASTER[[#This Row],[COSTO UNITARIO]]</f>
        <v>1840</v>
      </c>
      <c r="V6483" s="2">
        <f>MASTER[[#This Row],[MONTO VENDIDO]]-MASTER[[#This Row],[COSTO DE VENTA]]</f>
        <v>2436</v>
      </c>
    </row>
    <row r="6484" spans="1:22" x14ac:dyDescent="0.3">
      <c r="A6484">
        <v>88782</v>
      </c>
      <c r="B6484">
        <v>1</v>
      </c>
      <c r="C6484" t="s">
        <v>99</v>
      </c>
      <c r="D6484" t="s">
        <v>100</v>
      </c>
      <c r="E6484" s="1">
        <v>44532</v>
      </c>
      <c r="F6484">
        <v>1</v>
      </c>
      <c r="G6484" t="s">
        <v>22</v>
      </c>
      <c r="H6484" t="s">
        <v>23</v>
      </c>
      <c r="I6484" s="3">
        <v>1459</v>
      </c>
      <c r="J6484" s="3">
        <v>1459</v>
      </c>
      <c r="K6484" s="3">
        <v>386</v>
      </c>
      <c r="L6484" t="s">
        <v>98</v>
      </c>
      <c r="M6484">
        <v>19</v>
      </c>
      <c r="N6484" t="s">
        <v>89</v>
      </c>
      <c r="O6484" t="s">
        <v>81</v>
      </c>
      <c r="P6484" t="s">
        <v>15</v>
      </c>
      <c r="Q6484" t="s">
        <v>16</v>
      </c>
      <c r="R6484" t="s">
        <v>16</v>
      </c>
      <c r="S6484" t="s">
        <v>144</v>
      </c>
      <c r="T6484" s="2">
        <f>MASTER[[#This Row],[CANTIDAD]]*MASTER[[#This Row],[PRECIO DE VENTA]]</f>
        <v>1459</v>
      </c>
      <c r="U6484" s="2">
        <f>MASTER[[#This Row],[CANTIDAD]]*MASTER[[#This Row],[COSTO UNITARIO]]</f>
        <v>386</v>
      </c>
      <c r="V6484" s="2">
        <f>MASTER[[#This Row],[MONTO VENDIDO]]-MASTER[[#This Row],[COSTO DE VENTA]]</f>
        <v>1073</v>
      </c>
    </row>
    <row r="6485" spans="1:22" x14ac:dyDescent="0.3">
      <c r="A6485">
        <v>88786</v>
      </c>
      <c r="B6485">
        <v>1</v>
      </c>
      <c r="C6485" t="s">
        <v>109</v>
      </c>
      <c r="D6485" t="s">
        <v>110</v>
      </c>
      <c r="E6485" s="1">
        <v>44532</v>
      </c>
      <c r="F6485">
        <v>1</v>
      </c>
      <c r="G6485" t="s">
        <v>39</v>
      </c>
      <c r="H6485" t="s">
        <v>40</v>
      </c>
      <c r="I6485" s="3">
        <v>1128</v>
      </c>
      <c r="J6485" s="3">
        <v>1060</v>
      </c>
      <c r="K6485" s="3">
        <v>387</v>
      </c>
      <c r="L6485" t="s">
        <v>98</v>
      </c>
      <c r="M6485">
        <v>13</v>
      </c>
      <c r="N6485" t="s">
        <v>78</v>
      </c>
      <c r="O6485" t="s">
        <v>70</v>
      </c>
      <c r="P6485" t="s">
        <v>18</v>
      </c>
      <c r="Q6485" t="s">
        <v>19</v>
      </c>
      <c r="R6485" t="s">
        <v>138</v>
      </c>
      <c r="S6485" t="s">
        <v>144</v>
      </c>
      <c r="T6485" s="2">
        <f>MASTER[[#This Row],[CANTIDAD]]*MASTER[[#This Row],[PRECIO DE VENTA]]</f>
        <v>1060</v>
      </c>
      <c r="U6485" s="2">
        <f>MASTER[[#This Row],[CANTIDAD]]*MASTER[[#This Row],[COSTO UNITARIO]]</f>
        <v>387</v>
      </c>
      <c r="V6485" s="2">
        <f>MASTER[[#This Row],[MONTO VENDIDO]]-MASTER[[#This Row],[COSTO DE VENTA]]</f>
        <v>673</v>
      </c>
    </row>
    <row r="6486" spans="1:22" x14ac:dyDescent="0.3">
      <c r="A6486">
        <v>88788</v>
      </c>
      <c r="B6486">
        <v>1</v>
      </c>
      <c r="C6486" t="s">
        <v>111</v>
      </c>
      <c r="D6486" t="s">
        <v>112</v>
      </c>
      <c r="E6486" s="1">
        <v>44532</v>
      </c>
      <c r="F6486">
        <v>1</v>
      </c>
      <c r="G6486" t="s">
        <v>22</v>
      </c>
      <c r="H6486" t="s">
        <v>23</v>
      </c>
      <c r="I6486" s="3">
        <v>1799</v>
      </c>
      <c r="J6486" s="3">
        <v>1799</v>
      </c>
      <c r="K6486" s="3">
        <v>434</v>
      </c>
      <c r="L6486" t="s">
        <v>113</v>
      </c>
      <c r="M6486">
        <v>3</v>
      </c>
      <c r="N6486" t="s">
        <v>69</v>
      </c>
      <c r="O6486" t="s">
        <v>70</v>
      </c>
      <c r="P6486" t="s">
        <v>71</v>
      </c>
      <c r="Q6486" t="s">
        <v>72</v>
      </c>
      <c r="R6486" t="s">
        <v>139</v>
      </c>
      <c r="S6486" t="s">
        <v>144</v>
      </c>
      <c r="T6486" s="2">
        <f>MASTER[[#This Row],[CANTIDAD]]*MASTER[[#This Row],[PRECIO DE VENTA]]</f>
        <v>1799</v>
      </c>
      <c r="U6486" s="2">
        <f>MASTER[[#This Row],[CANTIDAD]]*MASTER[[#This Row],[COSTO UNITARIO]]</f>
        <v>434</v>
      </c>
      <c r="V6486" s="2">
        <f>MASTER[[#This Row],[MONTO VENDIDO]]-MASTER[[#This Row],[COSTO DE VENTA]]</f>
        <v>1365</v>
      </c>
    </row>
    <row r="6487" spans="1:22" x14ac:dyDescent="0.3">
      <c r="A6487">
        <v>88816</v>
      </c>
      <c r="B6487">
        <v>1</v>
      </c>
      <c r="C6487" t="s">
        <v>96</v>
      </c>
      <c r="D6487" t="s">
        <v>97</v>
      </c>
      <c r="E6487" s="1">
        <v>44532</v>
      </c>
      <c r="F6487">
        <v>1</v>
      </c>
      <c r="G6487" t="s">
        <v>67</v>
      </c>
      <c r="H6487" t="s">
        <v>68</v>
      </c>
      <c r="I6487" s="3">
        <v>1272</v>
      </c>
      <c r="J6487" s="3">
        <v>1272</v>
      </c>
      <c r="K6487" s="3">
        <v>397</v>
      </c>
      <c r="L6487" t="s">
        <v>98</v>
      </c>
      <c r="M6487">
        <v>4</v>
      </c>
      <c r="N6487" t="s">
        <v>82</v>
      </c>
      <c r="O6487" t="s">
        <v>81</v>
      </c>
      <c r="P6487" t="s">
        <v>71</v>
      </c>
      <c r="Q6487" t="s">
        <v>72</v>
      </c>
      <c r="R6487" t="s">
        <v>139</v>
      </c>
      <c r="S6487" t="s">
        <v>144</v>
      </c>
      <c r="T6487" s="2">
        <f>MASTER[[#This Row],[CANTIDAD]]*MASTER[[#This Row],[PRECIO DE VENTA]]</f>
        <v>1272</v>
      </c>
      <c r="U6487" s="2">
        <f>MASTER[[#This Row],[CANTIDAD]]*MASTER[[#This Row],[COSTO UNITARIO]]</f>
        <v>397</v>
      </c>
      <c r="V6487" s="2">
        <f>MASTER[[#This Row],[MONTO VENDIDO]]-MASTER[[#This Row],[COSTO DE VENTA]]</f>
        <v>875</v>
      </c>
    </row>
    <row r="6488" spans="1:22" x14ac:dyDescent="0.3">
      <c r="A6488">
        <v>88828</v>
      </c>
      <c r="B6488">
        <v>1</v>
      </c>
      <c r="C6488" t="s">
        <v>109</v>
      </c>
      <c r="D6488" t="s">
        <v>110</v>
      </c>
      <c r="E6488" s="1">
        <v>44532</v>
      </c>
      <c r="F6488">
        <v>1</v>
      </c>
      <c r="G6488" t="s">
        <v>73</v>
      </c>
      <c r="H6488" t="s">
        <v>74</v>
      </c>
      <c r="I6488" s="3">
        <v>1064</v>
      </c>
      <c r="J6488" s="3">
        <v>968</v>
      </c>
      <c r="K6488" s="3">
        <v>387</v>
      </c>
      <c r="L6488" t="s">
        <v>98</v>
      </c>
      <c r="M6488">
        <v>15</v>
      </c>
      <c r="N6488" t="s">
        <v>88</v>
      </c>
      <c r="O6488" t="s">
        <v>81</v>
      </c>
      <c r="P6488" t="s">
        <v>18</v>
      </c>
      <c r="Q6488" t="s">
        <v>19</v>
      </c>
      <c r="R6488" t="s">
        <v>138</v>
      </c>
      <c r="S6488" t="s">
        <v>144</v>
      </c>
      <c r="T6488" s="2">
        <f>MASTER[[#This Row],[CANTIDAD]]*MASTER[[#This Row],[PRECIO DE VENTA]]</f>
        <v>968</v>
      </c>
      <c r="U6488" s="2">
        <f>MASTER[[#This Row],[CANTIDAD]]*MASTER[[#This Row],[COSTO UNITARIO]]</f>
        <v>387</v>
      </c>
      <c r="V6488" s="2">
        <f>MASTER[[#This Row],[MONTO VENDIDO]]-MASTER[[#This Row],[COSTO DE VENTA]]</f>
        <v>581</v>
      </c>
    </row>
    <row r="6489" spans="1:22" x14ac:dyDescent="0.3">
      <c r="A6489">
        <v>88833</v>
      </c>
      <c r="B6489">
        <v>1</v>
      </c>
      <c r="C6489" t="s">
        <v>118</v>
      </c>
      <c r="D6489" t="s">
        <v>119</v>
      </c>
      <c r="E6489" s="1">
        <v>44532</v>
      </c>
      <c r="F6489">
        <v>1</v>
      </c>
      <c r="G6489" t="s">
        <v>27</v>
      </c>
      <c r="H6489" t="s">
        <v>28</v>
      </c>
      <c r="I6489" s="3">
        <v>900</v>
      </c>
      <c r="J6489" s="3">
        <v>900</v>
      </c>
      <c r="K6489" s="3">
        <v>424</v>
      </c>
      <c r="L6489" t="s">
        <v>120</v>
      </c>
      <c r="M6489">
        <v>2</v>
      </c>
      <c r="N6489" t="s">
        <v>86</v>
      </c>
      <c r="O6489" t="s">
        <v>81</v>
      </c>
      <c r="P6489" t="s">
        <v>71</v>
      </c>
      <c r="Q6489" t="s">
        <v>72</v>
      </c>
      <c r="R6489" t="s">
        <v>139</v>
      </c>
      <c r="S6489" t="s">
        <v>144</v>
      </c>
      <c r="T6489" s="2">
        <f>MASTER[[#This Row],[CANTIDAD]]*MASTER[[#This Row],[PRECIO DE VENTA]]</f>
        <v>900</v>
      </c>
      <c r="U6489" s="2">
        <f>MASTER[[#This Row],[CANTIDAD]]*MASTER[[#This Row],[COSTO UNITARIO]]</f>
        <v>424</v>
      </c>
      <c r="V6489" s="2">
        <f>MASTER[[#This Row],[MONTO VENDIDO]]-MASTER[[#This Row],[COSTO DE VENTA]]</f>
        <v>476</v>
      </c>
    </row>
    <row r="6490" spans="1:22" x14ac:dyDescent="0.3">
      <c r="A6490">
        <v>88834</v>
      </c>
      <c r="B6490">
        <v>1</v>
      </c>
      <c r="C6490" t="s">
        <v>92</v>
      </c>
      <c r="D6490" t="s">
        <v>93</v>
      </c>
      <c r="E6490" s="1">
        <v>44532</v>
      </c>
      <c r="F6490">
        <v>1</v>
      </c>
      <c r="G6490" t="s">
        <v>22</v>
      </c>
      <c r="H6490" t="s">
        <v>23</v>
      </c>
      <c r="I6490" s="3">
        <v>1681</v>
      </c>
      <c r="J6490" s="3">
        <v>1681</v>
      </c>
      <c r="K6490" s="3">
        <v>396</v>
      </c>
      <c r="L6490" t="s">
        <v>9</v>
      </c>
      <c r="M6490">
        <v>10</v>
      </c>
      <c r="N6490" t="s">
        <v>83</v>
      </c>
      <c r="O6490" t="s">
        <v>81</v>
      </c>
      <c r="P6490" t="s">
        <v>12</v>
      </c>
      <c r="Q6490" t="s">
        <v>13</v>
      </c>
      <c r="R6490" t="s">
        <v>13</v>
      </c>
      <c r="S6490" t="s">
        <v>144</v>
      </c>
      <c r="T6490" s="2">
        <f>MASTER[[#This Row],[CANTIDAD]]*MASTER[[#This Row],[PRECIO DE VENTA]]</f>
        <v>1681</v>
      </c>
      <c r="U6490" s="2">
        <f>MASTER[[#This Row],[CANTIDAD]]*MASTER[[#This Row],[COSTO UNITARIO]]</f>
        <v>396</v>
      </c>
      <c r="V6490" s="2">
        <f>MASTER[[#This Row],[MONTO VENDIDO]]-MASTER[[#This Row],[COSTO DE VENTA]]</f>
        <v>1285</v>
      </c>
    </row>
    <row r="6491" spans="1:22" x14ac:dyDescent="0.3">
      <c r="A6491">
        <v>88851</v>
      </c>
      <c r="B6491">
        <v>1</v>
      </c>
      <c r="C6491" t="s">
        <v>94</v>
      </c>
      <c r="D6491" t="s">
        <v>95</v>
      </c>
      <c r="E6491" s="1">
        <v>44533</v>
      </c>
      <c r="F6491">
        <v>1</v>
      </c>
      <c r="G6491" t="s">
        <v>67</v>
      </c>
      <c r="H6491" t="s">
        <v>68</v>
      </c>
      <c r="I6491" s="3">
        <v>1153</v>
      </c>
      <c r="J6491" s="3">
        <v>1153</v>
      </c>
      <c r="K6491" s="3">
        <v>392</v>
      </c>
      <c r="L6491" t="s">
        <v>9</v>
      </c>
      <c r="M6491">
        <v>3</v>
      </c>
      <c r="N6491" t="s">
        <v>69</v>
      </c>
      <c r="O6491" t="s">
        <v>70</v>
      </c>
      <c r="P6491" t="s">
        <v>71</v>
      </c>
      <c r="Q6491" t="s">
        <v>72</v>
      </c>
      <c r="R6491" t="s">
        <v>139</v>
      </c>
      <c r="S6491" t="s">
        <v>144</v>
      </c>
      <c r="T6491" s="2">
        <f>MASTER[[#This Row],[CANTIDAD]]*MASTER[[#This Row],[PRECIO DE VENTA]]</f>
        <v>1153</v>
      </c>
      <c r="U6491" s="2">
        <f>MASTER[[#This Row],[CANTIDAD]]*MASTER[[#This Row],[COSTO UNITARIO]]</f>
        <v>392</v>
      </c>
      <c r="V6491" s="2">
        <f>MASTER[[#This Row],[MONTO VENDIDO]]-MASTER[[#This Row],[COSTO DE VENTA]]</f>
        <v>761</v>
      </c>
    </row>
    <row r="6492" spans="1:22" x14ac:dyDescent="0.3">
      <c r="A6492">
        <v>88856</v>
      </c>
      <c r="B6492">
        <v>1</v>
      </c>
      <c r="C6492" t="s">
        <v>103</v>
      </c>
      <c r="D6492" t="s">
        <v>104</v>
      </c>
      <c r="E6492" s="1">
        <v>44533</v>
      </c>
      <c r="F6492">
        <v>1</v>
      </c>
      <c r="G6492" t="s">
        <v>73</v>
      </c>
      <c r="H6492" t="s">
        <v>74</v>
      </c>
      <c r="I6492" s="3">
        <v>1830</v>
      </c>
      <c r="J6492" s="3">
        <v>1830</v>
      </c>
      <c r="K6492" s="3">
        <v>421</v>
      </c>
      <c r="L6492" t="s">
        <v>98</v>
      </c>
      <c r="M6492">
        <v>13</v>
      </c>
      <c r="N6492" t="s">
        <v>78</v>
      </c>
      <c r="O6492" t="s">
        <v>70</v>
      </c>
      <c r="P6492" t="s">
        <v>18</v>
      </c>
      <c r="Q6492" t="s">
        <v>19</v>
      </c>
      <c r="R6492" t="s">
        <v>138</v>
      </c>
      <c r="S6492" t="s">
        <v>144</v>
      </c>
      <c r="T6492" s="2">
        <f>MASTER[[#This Row],[CANTIDAD]]*MASTER[[#This Row],[PRECIO DE VENTA]]</f>
        <v>1830</v>
      </c>
      <c r="U6492" s="2">
        <f>MASTER[[#This Row],[CANTIDAD]]*MASTER[[#This Row],[COSTO UNITARIO]]</f>
        <v>421</v>
      </c>
      <c r="V6492" s="2">
        <f>MASTER[[#This Row],[MONTO VENDIDO]]-MASTER[[#This Row],[COSTO DE VENTA]]</f>
        <v>1409</v>
      </c>
    </row>
    <row r="6493" spans="1:22" x14ac:dyDescent="0.3">
      <c r="A6493">
        <v>88865</v>
      </c>
      <c r="B6493">
        <v>3</v>
      </c>
      <c r="C6493" t="s">
        <v>111</v>
      </c>
      <c r="D6493" t="s">
        <v>112</v>
      </c>
      <c r="E6493" s="1">
        <v>44533</v>
      </c>
      <c r="F6493">
        <v>1</v>
      </c>
      <c r="G6493" t="s">
        <v>49</v>
      </c>
      <c r="H6493" t="s">
        <v>50</v>
      </c>
      <c r="I6493" s="3">
        <v>1621</v>
      </c>
      <c r="J6493" s="3">
        <v>1621</v>
      </c>
      <c r="K6493" s="3">
        <v>434</v>
      </c>
      <c r="L6493" t="s">
        <v>113</v>
      </c>
      <c r="M6493">
        <v>14</v>
      </c>
      <c r="N6493" t="s">
        <v>87</v>
      </c>
      <c r="O6493" t="s">
        <v>81</v>
      </c>
      <c r="P6493" t="s">
        <v>18</v>
      </c>
      <c r="Q6493" t="s">
        <v>19</v>
      </c>
      <c r="R6493" t="s">
        <v>138</v>
      </c>
      <c r="S6493" t="s">
        <v>144</v>
      </c>
      <c r="T6493" s="2">
        <f>MASTER[[#This Row],[CANTIDAD]]*MASTER[[#This Row],[PRECIO DE VENTA]]</f>
        <v>1621</v>
      </c>
      <c r="U6493" s="2">
        <f>MASTER[[#This Row],[CANTIDAD]]*MASTER[[#This Row],[COSTO UNITARIO]]</f>
        <v>434</v>
      </c>
      <c r="V6493" s="2">
        <f>MASTER[[#This Row],[MONTO VENDIDO]]-MASTER[[#This Row],[COSTO DE VENTA]]</f>
        <v>1187</v>
      </c>
    </row>
    <row r="6494" spans="1:22" x14ac:dyDescent="0.3">
      <c r="A6494">
        <v>88865</v>
      </c>
      <c r="B6494">
        <v>2</v>
      </c>
      <c r="C6494" t="s">
        <v>116</v>
      </c>
      <c r="D6494" t="s">
        <v>117</v>
      </c>
      <c r="E6494" s="1">
        <v>44533</v>
      </c>
      <c r="F6494">
        <v>1</v>
      </c>
      <c r="G6494" t="s">
        <v>24</v>
      </c>
      <c r="H6494" t="s">
        <v>25</v>
      </c>
      <c r="I6494" s="3">
        <v>1738</v>
      </c>
      <c r="J6494" s="3">
        <v>1738</v>
      </c>
      <c r="K6494" s="3">
        <v>388</v>
      </c>
      <c r="L6494" t="s">
        <v>113</v>
      </c>
      <c r="M6494">
        <v>14</v>
      </c>
      <c r="N6494" t="s">
        <v>87</v>
      </c>
      <c r="O6494" t="s">
        <v>81</v>
      </c>
      <c r="P6494" t="s">
        <v>18</v>
      </c>
      <c r="Q6494" t="s">
        <v>19</v>
      </c>
      <c r="R6494" t="s">
        <v>138</v>
      </c>
      <c r="S6494" t="s">
        <v>144</v>
      </c>
      <c r="T6494" s="2">
        <f>MASTER[[#This Row],[CANTIDAD]]*MASTER[[#This Row],[PRECIO DE VENTA]]</f>
        <v>1738</v>
      </c>
      <c r="U6494" s="2">
        <f>MASTER[[#This Row],[CANTIDAD]]*MASTER[[#This Row],[COSTO UNITARIO]]</f>
        <v>388</v>
      </c>
      <c r="V6494" s="2">
        <f>MASTER[[#This Row],[MONTO VENDIDO]]-MASTER[[#This Row],[COSTO DE VENTA]]</f>
        <v>1350</v>
      </c>
    </row>
    <row r="6495" spans="1:22" x14ac:dyDescent="0.3">
      <c r="A6495">
        <v>88865</v>
      </c>
      <c r="B6495">
        <v>1</v>
      </c>
      <c r="C6495" t="s">
        <v>118</v>
      </c>
      <c r="D6495" t="s">
        <v>119</v>
      </c>
      <c r="E6495" s="1">
        <v>44533</v>
      </c>
      <c r="F6495">
        <v>1</v>
      </c>
      <c r="G6495" t="s">
        <v>29</v>
      </c>
      <c r="H6495" t="s">
        <v>30</v>
      </c>
      <c r="I6495" s="3">
        <v>900</v>
      </c>
      <c r="J6495" s="3">
        <v>900</v>
      </c>
      <c r="K6495" s="3">
        <v>424</v>
      </c>
      <c r="L6495" t="s">
        <v>120</v>
      </c>
      <c r="M6495">
        <v>14</v>
      </c>
      <c r="N6495" t="s">
        <v>87</v>
      </c>
      <c r="O6495" t="s">
        <v>81</v>
      </c>
      <c r="P6495" t="s">
        <v>18</v>
      </c>
      <c r="Q6495" t="s">
        <v>19</v>
      </c>
      <c r="R6495" t="s">
        <v>138</v>
      </c>
      <c r="S6495" t="s">
        <v>144</v>
      </c>
      <c r="T6495" s="2">
        <f>MASTER[[#This Row],[CANTIDAD]]*MASTER[[#This Row],[PRECIO DE VENTA]]</f>
        <v>900</v>
      </c>
      <c r="U6495" s="2">
        <f>MASTER[[#This Row],[CANTIDAD]]*MASTER[[#This Row],[COSTO UNITARIO]]</f>
        <v>424</v>
      </c>
      <c r="V6495" s="2">
        <f>MASTER[[#This Row],[MONTO VENDIDO]]-MASTER[[#This Row],[COSTO DE VENTA]]</f>
        <v>476</v>
      </c>
    </row>
    <row r="6496" spans="1:22" x14ac:dyDescent="0.3">
      <c r="A6496">
        <v>88929</v>
      </c>
      <c r="B6496">
        <v>1</v>
      </c>
      <c r="C6496" t="s">
        <v>103</v>
      </c>
      <c r="D6496" t="s">
        <v>104</v>
      </c>
      <c r="E6496" s="1">
        <v>44533</v>
      </c>
      <c r="F6496">
        <v>1</v>
      </c>
      <c r="G6496" t="s">
        <v>61</v>
      </c>
      <c r="H6496" t="s">
        <v>62</v>
      </c>
      <c r="I6496" s="3">
        <v>1591</v>
      </c>
      <c r="J6496" s="3">
        <v>1511</v>
      </c>
      <c r="K6496" s="3">
        <v>421</v>
      </c>
      <c r="L6496" t="s">
        <v>98</v>
      </c>
      <c r="M6496">
        <v>19</v>
      </c>
      <c r="N6496" t="s">
        <v>89</v>
      </c>
      <c r="O6496" t="s">
        <v>81</v>
      </c>
      <c r="P6496" t="s">
        <v>15</v>
      </c>
      <c r="Q6496" t="s">
        <v>16</v>
      </c>
      <c r="R6496" t="s">
        <v>16</v>
      </c>
      <c r="S6496" t="s">
        <v>144</v>
      </c>
      <c r="T6496" s="2">
        <f>MASTER[[#This Row],[CANTIDAD]]*MASTER[[#This Row],[PRECIO DE VENTA]]</f>
        <v>1511</v>
      </c>
      <c r="U6496" s="2">
        <f>MASTER[[#This Row],[CANTIDAD]]*MASTER[[#This Row],[COSTO UNITARIO]]</f>
        <v>421</v>
      </c>
      <c r="V6496" s="2">
        <f>MASTER[[#This Row],[MONTO VENDIDO]]-MASTER[[#This Row],[COSTO DE VENTA]]</f>
        <v>1090</v>
      </c>
    </row>
    <row r="6497" spans="1:22" x14ac:dyDescent="0.3">
      <c r="A6497">
        <v>88944</v>
      </c>
      <c r="B6497">
        <v>1</v>
      </c>
      <c r="C6497" t="s">
        <v>103</v>
      </c>
      <c r="D6497" t="s">
        <v>104</v>
      </c>
      <c r="E6497" s="1">
        <v>44534</v>
      </c>
      <c r="F6497">
        <v>1</v>
      </c>
      <c r="G6497" t="s">
        <v>24</v>
      </c>
      <c r="H6497" t="s">
        <v>25</v>
      </c>
      <c r="I6497" s="3">
        <v>1591</v>
      </c>
      <c r="J6497" s="3">
        <v>1591</v>
      </c>
      <c r="K6497" s="3">
        <v>421</v>
      </c>
      <c r="L6497" t="s">
        <v>98</v>
      </c>
      <c r="M6497">
        <v>2</v>
      </c>
      <c r="N6497" t="s">
        <v>86</v>
      </c>
      <c r="O6497" t="s">
        <v>81</v>
      </c>
      <c r="P6497" t="s">
        <v>71</v>
      </c>
      <c r="Q6497" t="s">
        <v>72</v>
      </c>
      <c r="R6497" t="s">
        <v>139</v>
      </c>
      <c r="S6497" t="s">
        <v>144</v>
      </c>
      <c r="T6497" s="2">
        <f>MASTER[[#This Row],[CANTIDAD]]*MASTER[[#This Row],[PRECIO DE VENTA]]</f>
        <v>1591</v>
      </c>
      <c r="U6497" s="2">
        <f>MASTER[[#This Row],[CANTIDAD]]*MASTER[[#This Row],[COSTO UNITARIO]]</f>
        <v>421</v>
      </c>
      <c r="V6497" s="2">
        <f>MASTER[[#This Row],[MONTO VENDIDO]]-MASTER[[#This Row],[COSTO DE VENTA]]</f>
        <v>1170</v>
      </c>
    </row>
    <row r="6498" spans="1:22" x14ac:dyDescent="0.3">
      <c r="A6498">
        <v>88946</v>
      </c>
      <c r="B6498">
        <v>1</v>
      </c>
      <c r="C6498" t="s">
        <v>99</v>
      </c>
      <c r="D6498" t="s">
        <v>100</v>
      </c>
      <c r="E6498" s="1">
        <v>44534</v>
      </c>
      <c r="F6498">
        <v>1</v>
      </c>
      <c r="G6498" t="s">
        <v>45</v>
      </c>
      <c r="H6498" t="s">
        <v>46</v>
      </c>
      <c r="I6498" s="3">
        <v>1459</v>
      </c>
      <c r="J6498" s="3">
        <v>1459</v>
      </c>
      <c r="K6498" s="3">
        <v>386</v>
      </c>
      <c r="L6498" t="s">
        <v>98</v>
      </c>
      <c r="M6498">
        <v>2</v>
      </c>
      <c r="N6498" t="s">
        <v>86</v>
      </c>
      <c r="O6498" t="s">
        <v>81</v>
      </c>
      <c r="P6498" t="s">
        <v>71</v>
      </c>
      <c r="Q6498" t="s">
        <v>72</v>
      </c>
      <c r="R6498" t="s">
        <v>139</v>
      </c>
      <c r="S6498" t="s">
        <v>144</v>
      </c>
      <c r="T6498" s="2">
        <f>MASTER[[#This Row],[CANTIDAD]]*MASTER[[#This Row],[PRECIO DE VENTA]]</f>
        <v>1459</v>
      </c>
      <c r="U6498" s="2">
        <f>MASTER[[#This Row],[CANTIDAD]]*MASTER[[#This Row],[COSTO UNITARIO]]</f>
        <v>386</v>
      </c>
      <c r="V6498" s="2">
        <f>MASTER[[#This Row],[MONTO VENDIDO]]-MASTER[[#This Row],[COSTO DE VENTA]]</f>
        <v>1073</v>
      </c>
    </row>
    <row r="6499" spans="1:22" x14ac:dyDescent="0.3">
      <c r="A6499">
        <v>88952</v>
      </c>
      <c r="B6499">
        <v>1</v>
      </c>
      <c r="C6499" t="s">
        <v>111</v>
      </c>
      <c r="D6499" t="s">
        <v>112</v>
      </c>
      <c r="E6499" s="1">
        <v>44534</v>
      </c>
      <c r="F6499">
        <v>1</v>
      </c>
      <c r="G6499" t="s">
        <v>20</v>
      </c>
      <c r="H6499" t="s">
        <v>21</v>
      </c>
      <c r="I6499" s="3">
        <v>1621</v>
      </c>
      <c r="J6499" s="3">
        <v>1621</v>
      </c>
      <c r="K6499" s="3">
        <v>434</v>
      </c>
      <c r="L6499" t="s">
        <v>113</v>
      </c>
      <c r="M6499">
        <v>4</v>
      </c>
      <c r="N6499" t="s">
        <v>82</v>
      </c>
      <c r="O6499" t="s">
        <v>81</v>
      </c>
      <c r="P6499" t="s">
        <v>71</v>
      </c>
      <c r="Q6499" t="s">
        <v>72</v>
      </c>
      <c r="R6499" t="s">
        <v>139</v>
      </c>
      <c r="S6499" t="s">
        <v>144</v>
      </c>
      <c r="T6499" s="2">
        <f>MASTER[[#This Row],[CANTIDAD]]*MASTER[[#This Row],[PRECIO DE VENTA]]</f>
        <v>1621</v>
      </c>
      <c r="U6499" s="2">
        <f>MASTER[[#This Row],[CANTIDAD]]*MASTER[[#This Row],[COSTO UNITARIO]]</f>
        <v>434</v>
      </c>
      <c r="V6499" s="2">
        <f>MASTER[[#This Row],[MONTO VENDIDO]]-MASTER[[#This Row],[COSTO DE VENTA]]</f>
        <v>1187</v>
      </c>
    </row>
    <row r="6500" spans="1:22" x14ac:dyDescent="0.3">
      <c r="A6500">
        <v>88955</v>
      </c>
      <c r="B6500">
        <v>1</v>
      </c>
      <c r="C6500" t="s">
        <v>90</v>
      </c>
      <c r="D6500" t="s">
        <v>91</v>
      </c>
      <c r="E6500" s="1">
        <v>44534</v>
      </c>
      <c r="F6500">
        <v>1</v>
      </c>
      <c r="G6500" t="s">
        <v>33</v>
      </c>
      <c r="H6500" t="s">
        <v>34</v>
      </c>
      <c r="I6500" s="3">
        <v>1844</v>
      </c>
      <c r="J6500" s="3">
        <v>1770</v>
      </c>
      <c r="K6500" s="3">
        <v>420</v>
      </c>
      <c r="L6500" t="s">
        <v>9</v>
      </c>
      <c r="M6500">
        <v>5</v>
      </c>
      <c r="N6500" t="s">
        <v>85</v>
      </c>
      <c r="O6500" t="s">
        <v>81</v>
      </c>
      <c r="P6500" t="s">
        <v>12</v>
      </c>
      <c r="Q6500" t="s">
        <v>13</v>
      </c>
      <c r="R6500" t="s">
        <v>13</v>
      </c>
      <c r="S6500" t="s">
        <v>144</v>
      </c>
      <c r="T6500" s="2">
        <f>MASTER[[#This Row],[CANTIDAD]]*MASTER[[#This Row],[PRECIO DE VENTA]]</f>
        <v>1770</v>
      </c>
      <c r="U6500" s="2">
        <f>MASTER[[#This Row],[CANTIDAD]]*MASTER[[#This Row],[COSTO UNITARIO]]</f>
        <v>420</v>
      </c>
      <c r="V6500" s="2">
        <f>MASTER[[#This Row],[MONTO VENDIDO]]-MASTER[[#This Row],[COSTO DE VENTA]]</f>
        <v>1350</v>
      </c>
    </row>
    <row r="6501" spans="1:22" x14ac:dyDescent="0.3">
      <c r="A6501">
        <v>88957</v>
      </c>
      <c r="B6501">
        <v>1</v>
      </c>
      <c r="C6501" t="s">
        <v>94</v>
      </c>
      <c r="D6501" t="s">
        <v>95</v>
      </c>
      <c r="E6501" s="1">
        <v>44534</v>
      </c>
      <c r="F6501">
        <v>1</v>
      </c>
      <c r="G6501" t="s">
        <v>35</v>
      </c>
      <c r="H6501" t="s">
        <v>36</v>
      </c>
      <c r="I6501" s="3">
        <v>1153</v>
      </c>
      <c r="J6501" s="3">
        <v>1153</v>
      </c>
      <c r="K6501" s="3">
        <v>392</v>
      </c>
      <c r="L6501" t="s">
        <v>9</v>
      </c>
      <c r="M6501">
        <v>3</v>
      </c>
      <c r="N6501" t="s">
        <v>69</v>
      </c>
      <c r="O6501" t="s">
        <v>70</v>
      </c>
      <c r="P6501" t="s">
        <v>71</v>
      </c>
      <c r="Q6501" t="s">
        <v>72</v>
      </c>
      <c r="R6501" t="s">
        <v>139</v>
      </c>
      <c r="S6501" t="s">
        <v>144</v>
      </c>
      <c r="T6501" s="2">
        <f>MASTER[[#This Row],[CANTIDAD]]*MASTER[[#This Row],[PRECIO DE VENTA]]</f>
        <v>1153</v>
      </c>
      <c r="U6501" s="2">
        <f>MASTER[[#This Row],[CANTIDAD]]*MASTER[[#This Row],[COSTO UNITARIO]]</f>
        <v>392</v>
      </c>
      <c r="V6501" s="2">
        <f>MASTER[[#This Row],[MONTO VENDIDO]]-MASTER[[#This Row],[COSTO DE VENTA]]</f>
        <v>761</v>
      </c>
    </row>
    <row r="6502" spans="1:22" x14ac:dyDescent="0.3">
      <c r="A6502">
        <v>88962</v>
      </c>
      <c r="B6502">
        <v>1</v>
      </c>
      <c r="C6502" t="s">
        <v>121</v>
      </c>
      <c r="D6502" t="s">
        <v>122</v>
      </c>
      <c r="E6502" s="1">
        <v>44534</v>
      </c>
      <c r="F6502">
        <v>1</v>
      </c>
      <c r="G6502" t="s">
        <v>22</v>
      </c>
      <c r="H6502" t="s">
        <v>23</v>
      </c>
      <c r="I6502" s="3">
        <v>1144</v>
      </c>
      <c r="J6502" s="3">
        <v>1086</v>
      </c>
      <c r="K6502" s="3">
        <v>460</v>
      </c>
      <c r="L6502" t="s">
        <v>120</v>
      </c>
      <c r="M6502">
        <v>13</v>
      </c>
      <c r="N6502" t="s">
        <v>78</v>
      </c>
      <c r="O6502" t="s">
        <v>70</v>
      </c>
      <c r="P6502" t="s">
        <v>18</v>
      </c>
      <c r="Q6502" t="s">
        <v>19</v>
      </c>
      <c r="R6502" t="s">
        <v>138</v>
      </c>
      <c r="S6502" t="s">
        <v>144</v>
      </c>
      <c r="T6502" s="2">
        <f>MASTER[[#This Row],[CANTIDAD]]*MASTER[[#This Row],[PRECIO DE VENTA]]</f>
        <v>1086</v>
      </c>
      <c r="U6502" s="2">
        <f>MASTER[[#This Row],[CANTIDAD]]*MASTER[[#This Row],[COSTO UNITARIO]]</f>
        <v>460</v>
      </c>
      <c r="V6502" s="2">
        <f>MASTER[[#This Row],[MONTO VENDIDO]]-MASTER[[#This Row],[COSTO DE VENTA]]</f>
        <v>626</v>
      </c>
    </row>
    <row r="6503" spans="1:22" x14ac:dyDescent="0.3">
      <c r="A6503">
        <v>88967</v>
      </c>
      <c r="B6503">
        <v>1</v>
      </c>
      <c r="C6503" t="s">
        <v>94</v>
      </c>
      <c r="D6503" t="s">
        <v>95</v>
      </c>
      <c r="E6503" s="1">
        <v>44534</v>
      </c>
      <c r="F6503">
        <v>1</v>
      </c>
      <c r="G6503" t="s">
        <v>67</v>
      </c>
      <c r="H6503" t="s">
        <v>68</v>
      </c>
      <c r="I6503" s="3">
        <v>901</v>
      </c>
      <c r="J6503" s="3">
        <v>901</v>
      </c>
      <c r="K6503" s="3">
        <v>392</v>
      </c>
      <c r="L6503" t="s">
        <v>9</v>
      </c>
      <c r="M6503">
        <v>11</v>
      </c>
      <c r="N6503" t="s">
        <v>10</v>
      </c>
      <c r="O6503" t="s">
        <v>11</v>
      </c>
      <c r="P6503" t="s">
        <v>12</v>
      </c>
      <c r="Q6503" t="s">
        <v>13</v>
      </c>
      <c r="R6503" t="s">
        <v>13</v>
      </c>
      <c r="S6503" t="s">
        <v>144</v>
      </c>
      <c r="T6503" s="2">
        <f>MASTER[[#This Row],[CANTIDAD]]*MASTER[[#This Row],[PRECIO DE VENTA]]</f>
        <v>901</v>
      </c>
      <c r="U6503" s="2">
        <f>MASTER[[#This Row],[CANTIDAD]]*MASTER[[#This Row],[COSTO UNITARIO]]</f>
        <v>392</v>
      </c>
      <c r="V6503" s="2">
        <f>MASTER[[#This Row],[MONTO VENDIDO]]-MASTER[[#This Row],[COSTO DE VENTA]]</f>
        <v>509</v>
      </c>
    </row>
    <row r="6504" spans="1:22" x14ac:dyDescent="0.3">
      <c r="A6504">
        <v>89005</v>
      </c>
      <c r="B6504">
        <v>1</v>
      </c>
      <c r="C6504" t="s">
        <v>116</v>
      </c>
      <c r="D6504" t="s">
        <v>117</v>
      </c>
      <c r="E6504" s="1">
        <v>44534</v>
      </c>
      <c r="F6504">
        <v>1</v>
      </c>
      <c r="G6504" t="s">
        <v>39</v>
      </c>
      <c r="H6504" t="s">
        <v>40</v>
      </c>
      <c r="I6504" s="3">
        <v>1529</v>
      </c>
      <c r="J6504" s="3">
        <v>1529</v>
      </c>
      <c r="K6504" s="3">
        <v>388</v>
      </c>
      <c r="L6504" t="s">
        <v>113</v>
      </c>
      <c r="M6504">
        <v>17</v>
      </c>
      <c r="N6504" t="s">
        <v>14</v>
      </c>
      <c r="O6504" t="s">
        <v>11</v>
      </c>
      <c r="P6504" t="s">
        <v>15</v>
      </c>
      <c r="Q6504" t="s">
        <v>16</v>
      </c>
      <c r="R6504" t="s">
        <v>16</v>
      </c>
      <c r="S6504" t="s">
        <v>144</v>
      </c>
      <c r="T6504" s="2">
        <f>MASTER[[#This Row],[CANTIDAD]]*MASTER[[#This Row],[PRECIO DE VENTA]]</f>
        <v>1529</v>
      </c>
      <c r="U6504" s="2">
        <f>MASTER[[#This Row],[CANTIDAD]]*MASTER[[#This Row],[COSTO UNITARIO]]</f>
        <v>388</v>
      </c>
      <c r="V6504" s="2">
        <f>MASTER[[#This Row],[MONTO VENDIDO]]-MASTER[[#This Row],[COSTO DE VENTA]]</f>
        <v>1141</v>
      </c>
    </row>
    <row r="6505" spans="1:22" x14ac:dyDescent="0.3">
      <c r="A6505">
        <v>89010</v>
      </c>
      <c r="B6505">
        <v>1</v>
      </c>
      <c r="C6505" t="s">
        <v>96</v>
      </c>
      <c r="D6505" t="s">
        <v>97</v>
      </c>
      <c r="E6505" s="1">
        <v>44534</v>
      </c>
      <c r="F6505">
        <v>1</v>
      </c>
      <c r="G6505" t="s">
        <v>59</v>
      </c>
      <c r="H6505" t="s">
        <v>60</v>
      </c>
      <c r="I6505" s="3">
        <v>1196</v>
      </c>
      <c r="J6505" s="3">
        <v>1196</v>
      </c>
      <c r="K6505" s="3">
        <v>397</v>
      </c>
      <c r="L6505" t="s">
        <v>98</v>
      </c>
      <c r="M6505">
        <v>17</v>
      </c>
      <c r="N6505" t="s">
        <v>14</v>
      </c>
      <c r="O6505" t="s">
        <v>11</v>
      </c>
      <c r="P6505" t="s">
        <v>15</v>
      </c>
      <c r="Q6505" t="s">
        <v>16</v>
      </c>
      <c r="R6505" t="s">
        <v>16</v>
      </c>
      <c r="S6505" t="s">
        <v>144</v>
      </c>
      <c r="T6505" s="2">
        <f>MASTER[[#This Row],[CANTIDAD]]*MASTER[[#This Row],[PRECIO DE VENTA]]</f>
        <v>1196</v>
      </c>
      <c r="U6505" s="2">
        <f>MASTER[[#This Row],[CANTIDAD]]*MASTER[[#This Row],[COSTO UNITARIO]]</f>
        <v>397</v>
      </c>
      <c r="V6505" s="2">
        <f>MASTER[[#This Row],[MONTO VENDIDO]]-MASTER[[#This Row],[COSTO DE VENTA]]</f>
        <v>799</v>
      </c>
    </row>
    <row r="6506" spans="1:22" x14ac:dyDescent="0.3">
      <c r="A6506">
        <v>89024</v>
      </c>
      <c r="B6506">
        <v>1</v>
      </c>
      <c r="C6506" t="s">
        <v>105</v>
      </c>
      <c r="D6506" t="s">
        <v>106</v>
      </c>
      <c r="E6506" s="1">
        <v>44534</v>
      </c>
      <c r="F6506">
        <v>1</v>
      </c>
      <c r="G6506" t="s">
        <v>73</v>
      </c>
      <c r="H6506" t="s">
        <v>74</v>
      </c>
      <c r="I6506" s="3">
        <v>1865</v>
      </c>
      <c r="J6506" s="3">
        <v>1865</v>
      </c>
      <c r="K6506" s="3">
        <v>459</v>
      </c>
      <c r="L6506" t="s">
        <v>98</v>
      </c>
      <c r="M6506">
        <v>8</v>
      </c>
      <c r="N6506" t="s">
        <v>80</v>
      </c>
      <c r="O6506" t="s">
        <v>81</v>
      </c>
      <c r="P6506" t="s">
        <v>12</v>
      </c>
      <c r="Q6506" t="s">
        <v>13</v>
      </c>
      <c r="R6506" t="s">
        <v>13</v>
      </c>
      <c r="S6506" t="s">
        <v>144</v>
      </c>
      <c r="T6506" s="2">
        <f>MASTER[[#This Row],[CANTIDAD]]*MASTER[[#This Row],[PRECIO DE VENTA]]</f>
        <v>1865</v>
      </c>
      <c r="U6506" s="2">
        <f>MASTER[[#This Row],[CANTIDAD]]*MASTER[[#This Row],[COSTO UNITARIO]]</f>
        <v>459</v>
      </c>
      <c r="V6506" s="2">
        <f>MASTER[[#This Row],[MONTO VENDIDO]]-MASTER[[#This Row],[COSTO DE VENTA]]</f>
        <v>1406</v>
      </c>
    </row>
    <row r="6507" spans="1:22" x14ac:dyDescent="0.3">
      <c r="A6507">
        <v>89046</v>
      </c>
      <c r="B6507">
        <v>1</v>
      </c>
      <c r="C6507" t="s">
        <v>111</v>
      </c>
      <c r="D6507" t="s">
        <v>112</v>
      </c>
      <c r="E6507" s="1">
        <v>44534</v>
      </c>
      <c r="F6507">
        <v>1</v>
      </c>
      <c r="G6507" t="s">
        <v>63</v>
      </c>
      <c r="H6507" t="s">
        <v>64</v>
      </c>
      <c r="I6507" s="3">
        <v>1621</v>
      </c>
      <c r="J6507" s="3">
        <v>1507</v>
      </c>
      <c r="K6507" s="3">
        <v>434</v>
      </c>
      <c r="L6507" t="s">
        <v>113</v>
      </c>
      <c r="M6507">
        <v>7</v>
      </c>
      <c r="N6507" t="s">
        <v>84</v>
      </c>
      <c r="O6507" t="s">
        <v>81</v>
      </c>
      <c r="P6507" t="s">
        <v>12</v>
      </c>
      <c r="Q6507" t="s">
        <v>13</v>
      </c>
      <c r="R6507" t="s">
        <v>13</v>
      </c>
      <c r="S6507" t="s">
        <v>144</v>
      </c>
      <c r="T6507" s="2">
        <f>MASTER[[#This Row],[CANTIDAD]]*MASTER[[#This Row],[PRECIO DE VENTA]]</f>
        <v>1507</v>
      </c>
      <c r="U6507" s="2">
        <f>MASTER[[#This Row],[CANTIDAD]]*MASTER[[#This Row],[COSTO UNITARIO]]</f>
        <v>434</v>
      </c>
      <c r="V6507" s="2">
        <f>MASTER[[#This Row],[MONTO VENDIDO]]-MASTER[[#This Row],[COSTO DE VENTA]]</f>
        <v>1073</v>
      </c>
    </row>
    <row r="6508" spans="1:22" x14ac:dyDescent="0.3">
      <c r="A6508">
        <v>89058</v>
      </c>
      <c r="B6508">
        <v>1</v>
      </c>
      <c r="C6508" t="s">
        <v>99</v>
      </c>
      <c r="D6508" t="s">
        <v>100</v>
      </c>
      <c r="E6508" s="1">
        <v>44535</v>
      </c>
      <c r="F6508">
        <v>1</v>
      </c>
      <c r="G6508" t="s">
        <v>45</v>
      </c>
      <c r="H6508" t="s">
        <v>46</v>
      </c>
      <c r="I6508" s="3">
        <v>1328</v>
      </c>
      <c r="J6508" s="3">
        <v>1328</v>
      </c>
      <c r="K6508" s="3">
        <v>386</v>
      </c>
      <c r="L6508" t="s">
        <v>98</v>
      </c>
      <c r="M6508">
        <v>17</v>
      </c>
      <c r="N6508" t="s">
        <v>14</v>
      </c>
      <c r="O6508" t="s">
        <v>11</v>
      </c>
      <c r="P6508" t="s">
        <v>15</v>
      </c>
      <c r="Q6508" t="s">
        <v>16</v>
      </c>
      <c r="R6508" t="s">
        <v>16</v>
      </c>
      <c r="S6508" t="s">
        <v>144</v>
      </c>
      <c r="T6508" s="2">
        <f>MASTER[[#This Row],[CANTIDAD]]*MASTER[[#This Row],[PRECIO DE VENTA]]</f>
        <v>1328</v>
      </c>
      <c r="U6508" s="2">
        <f>MASTER[[#This Row],[CANTIDAD]]*MASTER[[#This Row],[COSTO UNITARIO]]</f>
        <v>386</v>
      </c>
      <c r="V6508" s="2">
        <f>MASTER[[#This Row],[MONTO VENDIDO]]-MASTER[[#This Row],[COSTO DE VENTA]]</f>
        <v>942</v>
      </c>
    </row>
    <row r="6509" spans="1:22" x14ac:dyDescent="0.3">
      <c r="A6509">
        <v>89059</v>
      </c>
      <c r="B6509">
        <v>1</v>
      </c>
      <c r="C6509" t="s">
        <v>90</v>
      </c>
      <c r="D6509" t="s">
        <v>91</v>
      </c>
      <c r="E6509" s="1">
        <v>44535</v>
      </c>
      <c r="F6509">
        <v>1</v>
      </c>
      <c r="G6509" t="s">
        <v>22</v>
      </c>
      <c r="H6509" t="s">
        <v>23</v>
      </c>
      <c r="I6509" s="3">
        <v>1844</v>
      </c>
      <c r="J6509" s="3">
        <v>1844</v>
      </c>
      <c r="K6509" s="3">
        <v>420</v>
      </c>
      <c r="L6509" t="s">
        <v>9</v>
      </c>
      <c r="M6509">
        <v>15</v>
      </c>
      <c r="N6509" t="s">
        <v>88</v>
      </c>
      <c r="O6509" t="s">
        <v>81</v>
      </c>
      <c r="P6509" t="s">
        <v>18</v>
      </c>
      <c r="Q6509" t="s">
        <v>19</v>
      </c>
      <c r="R6509" t="s">
        <v>138</v>
      </c>
      <c r="S6509" t="s">
        <v>144</v>
      </c>
      <c r="T6509" s="2">
        <f>MASTER[[#This Row],[CANTIDAD]]*MASTER[[#This Row],[PRECIO DE VENTA]]</f>
        <v>1844</v>
      </c>
      <c r="U6509" s="2">
        <f>MASTER[[#This Row],[CANTIDAD]]*MASTER[[#This Row],[COSTO UNITARIO]]</f>
        <v>420</v>
      </c>
      <c r="V6509" s="2">
        <f>MASTER[[#This Row],[MONTO VENDIDO]]-MASTER[[#This Row],[COSTO DE VENTA]]</f>
        <v>1424</v>
      </c>
    </row>
    <row r="6510" spans="1:22" x14ac:dyDescent="0.3">
      <c r="A6510">
        <v>89078</v>
      </c>
      <c r="B6510">
        <v>1</v>
      </c>
      <c r="C6510" t="s">
        <v>92</v>
      </c>
      <c r="D6510" t="s">
        <v>93</v>
      </c>
      <c r="E6510" s="1">
        <v>44535</v>
      </c>
      <c r="F6510">
        <v>1</v>
      </c>
      <c r="G6510" t="s">
        <v>7</v>
      </c>
      <c r="H6510" t="s">
        <v>8</v>
      </c>
      <c r="I6510" s="3">
        <v>1479</v>
      </c>
      <c r="J6510" s="3">
        <v>1479</v>
      </c>
      <c r="K6510" s="3">
        <v>396</v>
      </c>
      <c r="L6510" t="s">
        <v>9</v>
      </c>
      <c r="M6510">
        <v>11</v>
      </c>
      <c r="N6510" t="s">
        <v>10</v>
      </c>
      <c r="O6510" t="s">
        <v>11</v>
      </c>
      <c r="P6510" t="s">
        <v>12</v>
      </c>
      <c r="Q6510" t="s">
        <v>13</v>
      </c>
      <c r="R6510" t="s">
        <v>13</v>
      </c>
      <c r="S6510" t="s">
        <v>144</v>
      </c>
      <c r="T6510" s="2">
        <f>MASTER[[#This Row],[CANTIDAD]]*MASTER[[#This Row],[PRECIO DE VENTA]]</f>
        <v>1479</v>
      </c>
      <c r="U6510" s="2">
        <f>MASTER[[#This Row],[CANTIDAD]]*MASTER[[#This Row],[COSTO UNITARIO]]</f>
        <v>396</v>
      </c>
      <c r="V6510" s="2">
        <f>MASTER[[#This Row],[MONTO VENDIDO]]-MASTER[[#This Row],[COSTO DE VENTA]]</f>
        <v>1083</v>
      </c>
    </row>
    <row r="6511" spans="1:22" x14ac:dyDescent="0.3">
      <c r="A6511">
        <v>89081</v>
      </c>
      <c r="B6511">
        <v>1</v>
      </c>
      <c r="C6511" t="s">
        <v>121</v>
      </c>
      <c r="D6511" t="s">
        <v>122</v>
      </c>
      <c r="E6511" s="1">
        <v>44535</v>
      </c>
      <c r="F6511">
        <v>1</v>
      </c>
      <c r="G6511" t="s">
        <v>59</v>
      </c>
      <c r="H6511" t="s">
        <v>60</v>
      </c>
      <c r="I6511" s="3">
        <v>1069</v>
      </c>
      <c r="J6511" s="3">
        <v>1069</v>
      </c>
      <c r="K6511" s="3">
        <v>460</v>
      </c>
      <c r="L6511" t="s">
        <v>120</v>
      </c>
      <c r="M6511">
        <v>19</v>
      </c>
      <c r="N6511" t="s">
        <v>89</v>
      </c>
      <c r="O6511" t="s">
        <v>81</v>
      </c>
      <c r="P6511" t="s">
        <v>15</v>
      </c>
      <c r="Q6511" t="s">
        <v>16</v>
      </c>
      <c r="R6511" t="s">
        <v>16</v>
      </c>
      <c r="S6511" t="s">
        <v>144</v>
      </c>
      <c r="T6511" s="2">
        <f>MASTER[[#This Row],[CANTIDAD]]*MASTER[[#This Row],[PRECIO DE VENTA]]</f>
        <v>1069</v>
      </c>
      <c r="U6511" s="2">
        <f>MASTER[[#This Row],[CANTIDAD]]*MASTER[[#This Row],[COSTO UNITARIO]]</f>
        <v>460</v>
      </c>
      <c r="V6511" s="2">
        <f>MASTER[[#This Row],[MONTO VENDIDO]]-MASTER[[#This Row],[COSTO DE VENTA]]</f>
        <v>609</v>
      </c>
    </row>
    <row r="6512" spans="1:22" x14ac:dyDescent="0.3">
      <c r="A6512">
        <v>89117</v>
      </c>
      <c r="B6512">
        <v>1</v>
      </c>
      <c r="C6512" t="s">
        <v>92</v>
      </c>
      <c r="D6512" t="s">
        <v>93</v>
      </c>
      <c r="E6512" s="1">
        <v>44535</v>
      </c>
      <c r="F6512">
        <v>4</v>
      </c>
      <c r="G6512" t="s">
        <v>31</v>
      </c>
      <c r="H6512" t="s">
        <v>32</v>
      </c>
      <c r="I6512" s="3">
        <v>1479</v>
      </c>
      <c r="J6512" s="3">
        <v>1479</v>
      </c>
      <c r="K6512" s="3">
        <v>396</v>
      </c>
      <c r="L6512" t="s">
        <v>9</v>
      </c>
      <c r="M6512">
        <v>12</v>
      </c>
      <c r="N6512" t="s">
        <v>26</v>
      </c>
      <c r="O6512" t="s">
        <v>11</v>
      </c>
      <c r="P6512" t="s">
        <v>12</v>
      </c>
      <c r="Q6512" t="s">
        <v>13</v>
      </c>
      <c r="R6512" t="s">
        <v>13</v>
      </c>
      <c r="S6512" t="s">
        <v>144</v>
      </c>
      <c r="T6512" s="2">
        <f>MASTER[[#This Row],[CANTIDAD]]*MASTER[[#This Row],[PRECIO DE VENTA]]</f>
        <v>5916</v>
      </c>
      <c r="U6512" s="2">
        <f>MASTER[[#This Row],[CANTIDAD]]*MASTER[[#This Row],[COSTO UNITARIO]]</f>
        <v>1584</v>
      </c>
      <c r="V6512" s="2">
        <f>MASTER[[#This Row],[MONTO VENDIDO]]-MASTER[[#This Row],[COSTO DE VENTA]]</f>
        <v>4332</v>
      </c>
    </row>
    <row r="6513" spans="1:22" x14ac:dyDescent="0.3">
      <c r="A6513">
        <v>89126</v>
      </c>
      <c r="B6513">
        <v>1</v>
      </c>
      <c r="C6513" t="s">
        <v>96</v>
      </c>
      <c r="D6513" t="s">
        <v>97</v>
      </c>
      <c r="E6513" s="1">
        <v>44535</v>
      </c>
      <c r="F6513">
        <v>1</v>
      </c>
      <c r="G6513" t="s">
        <v>43</v>
      </c>
      <c r="H6513" t="s">
        <v>44</v>
      </c>
      <c r="I6513" s="3">
        <v>1272</v>
      </c>
      <c r="J6513" s="3">
        <v>1272</v>
      </c>
      <c r="K6513" s="3">
        <v>397</v>
      </c>
      <c r="L6513" t="s">
        <v>98</v>
      </c>
      <c r="M6513">
        <v>15</v>
      </c>
      <c r="N6513" t="s">
        <v>88</v>
      </c>
      <c r="O6513" t="s">
        <v>81</v>
      </c>
      <c r="P6513" t="s">
        <v>18</v>
      </c>
      <c r="Q6513" t="s">
        <v>19</v>
      </c>
      <c r="R6513" t="s">
        <v>138</v>
      </c>
      <c r="S6513" t="s">
        <v>144</v>
      </c>
      <c r="T6513" s="2">
        <f>MASTER[[#This Row],[CANTIDAD]]*MASTER[[#This Row],[PRECIO DE VENTA]]</f>
        <v>1272</v>
      </c>
      <c r="U6513" s="2">
        <f>MASTER[[#This Row],[CANTIDAD]]*MASTER[[#This Row],[COSTO UNITARIO]]</f>
        <v>397</v>
      </c>
      <c r="V6513" s="2">
        <f>MASTER[[#This Row],[MONTO VENDIDO]]-MASTER[[#This Row],[COSTO DE VENTA]]</f>
        <v>875</v>
      </c>
    </row>
    <row r="6514" spans="1:22" x14ac:dyDescent="0.3">
      <c r="A6514">
        <v>89128</v>
      </c>
      <c r="B6514">
        <v>1</v>
      </c>
      <c r="C6514" t="s">
        <v>111</v>
      </c>
      <c r="D6514" t="s">
        <v>112</v>
      </c>
      <c r="E6514" s="1">
        <v>44535</v>
      </c>
      <c r="F6514">
        <v>1</v>
      </c>
      <c r="G6514" t="s">
        <v>65</v>
      </c>
      <c r="H6514" t="s">
        <v>66</v>
      </c>
      <c r="I6514" s="3">
        <v>1524</v>
      </c>
      <c r="J6514" s="3">
        <v>1524</v>
      </c>
      <c r="K6514" s="3">
        <v>434</v>
      </c>
      <c r="L6514" t="s">
        <v>113</v>
      </c>
      <c r="M6514">
        <v>17</v>
      </c>
      <c r="N6514" t="s">
        <v>14</v>
      </c>
      <c r="O6514" t="s">
        <v>11</v>
      </c>
      <c r="P6514" t="s">
        <v>15</v>
      </c>
      <c r="Q6514" t="s">
        <v>16</v>
      </c>
      <c r="R6514" t="s">
        <v>16</v>
      </c>
      <c r="S6514" t="s">
        <v>144</v>
      </c>
      <c r="T6514" s="2">
        <f>MASTER[[#This Row],[CANTIDAD]]*MASTER[[#This Row],[PRECIO DE VENTA]]</f>
        <v>1524</v>
      </c>
      <c r="U6514" s="2">
        <f>MASTER[[#This Row],[CANTIDAD]]*MASTER[[#This Row],[COSTO UNITARIO]]</f>
        <v>434</v>
      </c>
      <c r="V6514" s="2">
        <f>MASTER[[#This Row],[MONTO VENDIDO]]-MASTER[[#This Row],[COSTO DE VENTA]]</f>
        <v>1090</v>
      </c>
    </row>
    <row r="6515" spans="1:22" x14ac:dyDescent="0.3">
      <c r="A6515">
        <v>89148</v>
      </c>
      <c r="B6515">
        <v>1</v>
      </c>
      <c r="C6515" t="s">
        <v>118</v>
      </c>
      <c r="D6515" t="s">
        <v>119</v>
      </c>
      <c r="E6515" s="1">
        <v>44535</v>
      </c>
      <c r="F6515">
        <v>1</v>
      </c>
      <c r="G6515" t="s">
        <v>57</v>
      </c>
      <c r="H6515" t="s">
        <v>58</v>
      </c>
      <c r="I6515" s="3">
        <v>1026</v>
      </c>
      <c r="J6515" s="3">
        <v>1026</v>
      </c>
      <c r="K6515" s="3">
        <v>424</v>
      </c>
      <c r="L6515" t="s">
        <v>120</v>
      </c>
      <c r="M6515">
        <v>3</v>
      </c>
      <c r="N6515" t="s">
        <v>69</v>
      </c>
      <c r="O6515" t="s">
        <v>70</v>
      </c>
      <c r="P6515" t="s">
        <v>71</v>
      </c>
      <c r="Q6515" t="s">
        <v>72</v>
      </c>
      <c r="R6515" t="s">
        <v>139</v>
      </c>
      <c r="S6515" t="s">
        <v>144</v>
      </c>
      <c r="T6515" s="2">
        <f>MASTER[[#This Row],[CANTIDAD]]*MASTER[[#This Row],[PRECIO DE VENTA]]</f>
        <v>1026</v>
      </c>
      <c r="U6515" s="2">
        <f>MASTER[[#This Row],[CANTIDAD]]*MASTER[[#This Row],[COSTO UNITARIO]]</f>
        <v>424</v>
      </c>
      <c r="V6515" s="2">
        <f>MASTER[[#This Row],[MONTO VENDIDO]]-MASTER[[#This Row],[COSTO DE VENTA]]</f>
        <v>602</v>
      </c>
    </row>
    <row r="6516" spans="1:22" x14ac:dyDescent="0.3">
      <c r="A6516">
        <v>89157</v>
      </c>
      <c r="B6516">
        <v>1</v>
      </c>
      <c r="C6516" t="s">
        <v>101</v>
      </c>
      <c r="D6516" t="s">
        <v>102</v>
      </c>
      <c r="E6516" s="1">
        <v>44535</v>
      </c>
      <c r="F6516">
        <v>1</v>
      </c>
      <c r="G6516" t="s">
        <v>51</v>
      </c>
      <c r="H6516" t="s">
        <v>52</v>
      </c>
      <c r="I6516" s="3">
        <v>1212</v>
      </c>
      <c r="J6516" s="3">
        <v>1212</v>
      </c>
      <c r="K6516" s="3">
        <v>442</v>
      </c>
      <c r="L6516" t="s">
        <v>98</v>
      </c>
      <c r="M6516">
        <v>10</v>
      </c>
      <c r="N6516" t="s">
        <v>83</v>
      </c>
      <c r="O6516" t="s">
        <v>81</v>
      </c>
      <c r="P6516" t="s">
        <v>12</v>
      </c>
      <c r="Q6516" t="s">
        <v>13</v>
      </c>
      <c r="R6516" t="s">
        <v>13</v>
      </c>
      <c r="S6516" t="s">
        <v>144</v>
      </c>
      <c r="T6516" s="2">
        <f>MASTER[[#This Row],[CANTIDAD]]*MASTER[[#This Row],[PRECIO DE VENTA]]</f>
        <v>1212</v>
      </c>
      <c r="U6516" s="2">
        <f>MASTER[[#This Row],[CANTIDAD]]*MASTER[[#This Row],[COSTO UNITARIO]]</f>
        <v>442</v>
      </c>
      <c r="V6516" s="2">
        <f>MASTER[[#This Row],[MONTO VENDIDO]]-MASTER[[#This Row],[COSTO DE VENTA]]</f>
        <v>770</v>
      </c>
    </row>
    <row r="6517" spans="1:22" x14ac:dyDescent="0.3">
      <c r="A6517">
        <v>89164</v>
      </c>
      <c r="B6517">
        <v>1</v>
      </c>
      <c r="C6517" t="s">
        <v>105</v>
      </c>
      <c r="D6517" t="s">
        <v>106</v>
      </c>
      <c r="E6517" s="1">
        <v>44535</v>
      </c>
      <c r="F6517">
        <v>1</v>
      </c>
      <c r="G6517" t="s">
        <v>65</v>
      </c>
      <c r="H6517" t="s">
        <v>66</v>
      </c>
      <c r="I6517" s="3">
        <v>2033</v>
      </c>
      <c r="J6517" s="3">
        <v>2033</v>
      </c>
      <c r="K6517" s="3">
        <v>459</v>
      </c>
      <c r="L6517" t="s">
        <v>98</v>
      </c>
      <c r="M6517">
        <v>13</v>
      </c>
      <c r="N6517" t="s">
        <v>78</v>
      </c>
      <c r="O6517" t="s">
        <v>70</v>
      </c>
      <c r="P6517" t="s">
        <v>18</v>
      </c>
      <c r="Q6517" t="s">
        <v>19</v>
      </c>
      <c r="R6517" t="s">
        <v>138</v>
      </c>
      <c r="S6517" t="s">
        <v>144</v>
      </c>
      <c r="T6517" s="2">
        <f>MASTER[[#This Row],[CANTIDAD]]*MASTER[[#This Row],[PRECIO DE VENTA]]</f>
        <v>2033</v>
      </c>
      <c r="U6517" s="2">
        <f>MASTER[[#This Row],[CANTIDAD]]*MASTER[[#This Row],[COSTO UNITARIO]]</f>
        <v>459</v>
      </c>
      <c r="V6517" s="2">
        <f>MASTER[[#This Row],[MONTO VENDIDO]]-MASTER[[#This Row],[COSTO DE VENTA]]</f>
        <v>1574</v>
      </c>
    </row>
    <row r="6518" spans="1:22" x14ac:dyDescent="0.3">
      <c r="A6518">
        <v>89171</v>
      </c>
      <c r="B6518">
        <v>1</v>
      </c>
      <c r="C6518" t="s">
        <v>92</v>
      </c>
      <c r="D6518" t="s">
        <v>93</v>
      </c>
      <c r="E6518" s="1">
        <v>44535</v>
      </c>
      <c r="F6518">
        <v>1</v>
      </c>
      <c r="G6518" t="s">
        <v>27</v>
      </c>
      <c r="H6518" t="s">
        <v>28</v>
      </c>
      <c r="I6518" s="3">
        <v>1479</v>
      </c>
      <c r="J6518" s="3">
        <v>1479</v>
      </c>
      <c r="K6518" s="3">
        <v>396</v>
      </c>
      <c r="L6518" t="s">
        <v>9</v>
      </c>
      <c r="M6518">
        <v>12</v>
      </c>
      <c r="N6518" t="s">
        <v>26</v>
      </c>
      <c r="O6518" t="s">
        <v>11</v>
      </c>
      <c r="P6518" t="s">
        <v>12</v>
      </c>
      <c r="Q6518" t="s">
        <v>13</v>
      </c>
      <c r="R6518" t="s">
        <v>13</v>
      </c>
      <c r="S6518" t="s">
        <v>144</v>
      </c>
      <c r="T6518" s="2">
        <f>MASTER[[#This Row],[CANTIDAD]]*MASTER[[#This Row],[PRECIO DE VENTA]]</f>
        <v>1479</v>
      </c>
      <c r="U6518" s="2">
        <f>MASTER[[#This Row],[CANTIDAD]]*MASTER[[#This Row],[COSTO UNITARIO]]</f>
        <v>396</v>
      </c>
      <c r="V6518" s="2">
        <f>MASTER[[#This Row],[MONTO VENDIDO]]-MASTER[[#This Row],[COSTO DE VENTA]]</f>
        <v>1083</v>
      </c>
    </row>
    <row r="6519" spans="1:22" x14ac:dyDescent="0.3">
      <c r="A6519">
        <v>89183</v>
      </c>
      <c r="B6519">
        <v>1</v>
      </c>
      <c r="C6519" t="s">
        <v>118</v>
      </c>
      <c r="D6519" t="s">
        <v>119</v>
      </c>
      <c r="E6519" s="1">
        <v>44535</v>
      </c>
      <c r="F6519">
        <v>1</v>
      </c>
      <c r="G6519" t="s">
        <v>47</v>
      </c>
      <c r="H6519" t="s">
        <v>48</v>
      </c>
      <c r="I6519" s="3">
        <v>900</v>
      </c>
      <c r="J6519" s="3">
        <v>900</v>
      </c>
      <c r="K6519" s="3">
        <v>424</v>
      </c>
      <c r="L6519" t="s">
        <v>120</v>
      </c>
      <c r="M6519">
        <v>15</v>
      </c>
      <c r="N6519" t="s">
        <v>88</v>
      </c>
      <c r="O6519" t="s">
        <v>81</v>
      </c>
      <c r="P6519" t="s">
        <v>18</v>
      </c>
      <c r="Q6519" t="s">
        <v>19</v>
      </c>
      <c r="R6519" t="s">
        <v>138</v>
      </c>
      <c r="S6519" t="s">
        <v>144</v>
      </c>
      <c r="T6519" s="2">
        <f>MASTER[[#This Row],[CANTIDAD]]*MASTER[[#This Row],[PRECIO DE VENTA]]</f>
        <v>900</v>
      </c>
      <c r="U6519" s="2">
        <f>MASTER[[#This Row],[CANTIDAD]]*MASTER[[#This Row],[COSTO UNITARIO]]</f>
        <v>424</v>
      </c>
      <c r="V6519" s="2">
        <f>MASTER[[#This Row],[MONTO VENDIDO]]-MASTER[[#This Row],[COSTO DE VENTA]]</f>
        <v>476</v>
      </c>
    </row>
    <row r="6520" spans="1:22" x14ac:dyDescent="0.3">
      <c r="A6520">
        <v>89213</v>
      </c>
      <c r="B6520">
        <v>1</v>
      </c>
      <c r="C6520" t="s">
        <v>121</v>
      </c>
      <c r="D6520" t="s">
        <v>122</v>
      </c>
      <c r="E6520" s="1">
        <v>44535</v>
      </c>
      <c r="F6520">
        <v>1</v>
      </c>
      <c r="G6520" t="s">
        <v>45</v>
      </c>
      <c r="H6520" t="s">
        <v>46</v>
      </c>
      <c r="I6520" s="3">
        <v>941</v>
      </c>
      <c r="J6520" s="3">
        <v>941</v>
      </c>
      <c r="K6520" s="3">
        <v>460</v>
      </c>
      <c r="L6520" t="s">
        <v>120</v>
      </c>
      <c r="M6520">
        <v>12</v>
      </c>
      <c r="N6520" t="s">
        <v>26</v>
      </c>
      <c r="O6520" t="s">
        <v>11</v>
      </c>
      <c r="P6520" t="s">
        <v>12</v>
      </c>
      <c r="Q6520" t="s">
        <v>13</v>
      </c>
      <c r="R6520" t="s">
        <v>13</v>
      </c>
      <c r="S6520" t="s">
        <v>144</v>
      </c>
      <c r="T6520" s="2">
        <f>MASTER[[#This Row],[CANTIDAD]]*MASTER[[#This Row],[PRECIO DE VENTA]]</f>
        <v>941</v>
      </c>
      <c r="U6520" s="2">
        <f>MASTER[[#This Row],[CANTIDAD]]*MASTER[[#This Row],[COSTO UNITARIO]]</f>
        <v>460</v>
      </c>
      <c r="V6520" s="2">
        <f>MASTER[[#This Row],[MONTO VENDIDO]]-MASTER[[#This Row],[COSTO DE VENTA]]</f>
        <v>481</v>
      </c>
    </row>
    <row r="6521" spans="1:22" x14ac:dyDescent="0.3">
      <c r="A6521">
        <v>89217</v>
      </c>
      <c r="B6521">
        <v>1</v>
      </c>
      <c r="C6521" t="s">
        <v>94</v>
      </c>
      <c r="D6521" t="s">
        <v>95</v>
      </c>
      <c r="E6521" s="1">
        <v>44536</v>
      </c>
      <c r="F6521">
        <v>1</v>
      </c>
      <c r="G6521" t="s">
        <v>57</v>
      </c>
      <c r="H6521" t="s">
        <v>58</v>
      </c>
      <c r="I6521" s="3">
        <v>901</v>
      </c>
      <c r="J6521" s="3">
        <v>901</v>
      </c>
      <c r="K6521" s="3">
        <v>392</v>
      </c>
      <c r="L6521" t="s">
        <v>9</v>
      </c>
      <c r="M6521">
        <v>16</v>
      </c>
      <c r="N6521" t="s">
        <v>17</v>
      </c>
      <c r="O6521" t="s">
        <v>11</v>
      </c>
      <c r="P6521" t="s">
        <v>18</v>
      </c>
      <c r="Q6521" t="s">
        <v>19</v>
      </c>
      <c r="R6521" t="s">
        <v>138</v>
      </c>
      <c r="S6521" t="s">
        <v>144</v>
      </c>
      <c r="T6521" s="2">
        <f>MASTER[[#This Row],[CANTIDAD]]*MASTER[[#This Row],[PRECIO DE VENTA]]</f>
        <v>901</v>
      </c>
      <c r="U6521" s="2">
        <f>MASTER[[#This Row],[CANTIDAD]]*MASTER[[#This Row],[COSTO UNITARIO]]</f>
        <v>392</v>
      </c>
      <c r="V6521" s="2">
        <f>MASTER[[#This Row],[MONTO VENDIDO]]-MASTER[[#This Row],[COSTO DE VENTA]]</f>
        <v>509</v>
      </c>
    </row>
    <row r="6522" spans="1:22" x14ac:dyDescent="0.3">
      <c r="A6522">
        <v>89219</v>
      </c>
      <c r="B6522">
        <v>2</v>
      </c>
      <c r="C6522" t="s">
        <v>101</v>
      </c>
      <c r="D6522" t="s">
        <v>102</v>
      </c>
      <c r="E6522" s="1">
        <v>44536</v>
      </c>
      <c r="F6522">
        <v>1</v>
      </c>
      <c r="G6522" t="s">
        <v>35</v>
      </c>
      <c r="H6522" t="s">
        <v>36</v>
      </c>
      <c r="I6522" s="3">
        <v>1212</v>
      </c>
      <c r="J6522" s="3">
        <v>1212</v>
      </c>
      <c r="K6522" s="3">
        <v>442</v>
      </c>
      <c r="L6522" t="s">
        <v>98</v>
      </c>
      <c r="M6522">
        <v>8</v>
      </c>
      <c r="N6522" t="s">
        <v>80</v>
      </c>
      <c r="O6522" t="s">
        <v>81</v>
      </c>
      <c r="P6522" t="s">
        <v>12</v>
      </c>
      <c r="Q6522" t="s">
        <v>13</v>
      </c>
      <c r="R6522" t="s">
        <v>13</v>
      </c>
      <c r="S6522" t="s">
        <v>144</v>
      </c>
      <c r="T6522" s="2">
        <f>MASTER[[#This Row],[CANTIDAD]]*MASTER[[#This Row],[PRECIO DE VENTA]]</f>
        <v>1212</v>
      </c>
      <c r="U6522" s="2">
        <f>MASTER[[#This Row],[CANTIDAD]]*MASTER[[#This Row],[COSTO UNITARIO]]</f>
        <v>442</v>
      </c>
      <c r="V6522" s="2">
        <f>MASTER[[#This Row],[MONTO VENDIDO]]-MASTER[[#This Row],[COSTO DE VENTA]]</f>
        <v>770</v>
      </c>
    </row>
    <row r="6523" spans="1:22" x14ac:dyDescent="0.3">
      <c r="A6523">
        <v>89219</v>
      </c>
      <c r="B6523">
        <v>1</v>
      </c>
      <c r="C6523" t="s">
        <v>114</v>
      </c>
      <c r="D6523" t="s">
        <v>115</v>
      </c>
      <c r="E6523" s="1">
        <v>44536</v>
      </c>
      <c r="F6523">
        <v>1</v>
      </c>
      <c r="G6523" t="s">
        <v>67</v>
      </c>
      <c r="H6523" t="s">
        <v>68</v>
      </c>
      <c r="I6523" s="3">
        <v>1862</v>
      </c>
      <c r="J6523" s="3">
        <v>1862</v>
      </c>
      <c r="K6523" s="3">
        <v>394</v>
      </c>
      <c r="L6523" t="s">
        <v>113</v>
      </c>
      <c r="M6523">
        <v>8</v>
      </c>
      <c r="N6523" t="s">
        <v>80</v>
      </c>
      <c r="O6523" t="s">
        <v>81</v>
      </c>
      <c r="P6523" t="s">
        <v>12</v>
      </c>
      <c r="Q6523" t="s">
        <v>13</v>
      </c>
      <c r="R6523" t="s">
        <v>13</v>
      </c>
      <c r="S6523" t="s">
        <v>144</v>
      </c>
      <c r="T6523" s="2">
        <f>MASTER[[#This Row],[CANTIDAD]]*MASTER[[#This Row],[PRECIO DE VENTA]]</f>
        <v>1862</v>
      </c>
      <c r="U6523" s="2">
        <f>MASTER[[#This Row],[CANTIDAD]]*MASTER[[#This Row],[COSTO UNITARIO]]</f>
        <v>394</v>
      </c>
      <c r="V6523" s="2">
        <f>MASTER[[#This Row],[MONTO VENDIDO]]-MASTER[[#This Row],[COSTO DE VENTA]]</f>
        <v>1468</v>
      </c>
    </row>
    <row r="6524" spans="1:22" x14ac:dyDescent="0.3">
      <c r="A6524">
        <v>89228</v>
      </c>
      <c r="B6524">
        <v>1</v>
      </c>
      <c r="C6524" t="s">
        <v>109</v>
      </c>
      <c r="D6524" t="s">
        <v>110</v>
      </c>
      <c r="E6524" s="1">
        <v>44536</v>
      </c>
      <c r="F6524">
        <v>1</v>
      </c>
      <c r="G6524" t="s">
        <v>53</v>
      </c>
      <c r="H6524" t="s">
        <v>54</v>
      </c>
      <c r="I6524" s="3">
        <v>1128</v>
      </c>
      <c r="J6524" s="3">
        <v>1128</v>
      </c>
      <c r="K6524" s="3">
        <v>387</v>
      </c>
      <c r="L6524" t="s">
        <v>98</v>
      </c>
      <c r="M6524">
        <v>6</v>
      </c>
      <c r="N6524" t="s">
        <v>75</v>
      </c>
      <c r="O6524" t="s">
        <v>70</v>
      </c>
      <c r="P6524" t="s">
        <v>12</v>
      </c>
      <c r="Q6524" t="s">
        <v>13</v>
      </c>
      <c r="R6524" t="s">
        <v>13</v>
      </c>
      <c r="S6524" t="s">
        <v>144</v>
      </c>
      <c r="T6524" s="2">
        <f>MASTER[[#This Row],[CANTIDAD]]*MASTER[[#This Row],[PRECIO DE VENTA]]</f>
        <v>1128</v>
      </c>
      <c r="U6524" s="2">
        <f>MASTER[[#This Row],[CANTIDAD]]*MASTER[[#This Row],[COSTO UNITARIO]]</f>
        <v>387</v>
      </c>
      <c r="V6524" s="2">
        <f>MASTER[[#This Row],[MONTO VENDIDO]]-MASTER[[#This Row],[COSTO DE VENTA]]</f>
        <v>741</v>
      </c>
    </row>
    <row r="6525" spans="1:22" x14ac:dyDescent="0.3">
      <c r="A6525">
        <v>89235</v>
      </c>
      <c r="B6525">
        <v>1</v>
      </c>
      <c r="C6525" t="s">
        <v>111</v>
      </c>
      <c r="D6525" t="s">
        <v>112</v>
      </c>
      <c r="E6525" s="1">
        <v>44536</v>
      </c>
      <c r="F6525">
        <v>1</v>
      </c>
      <c r="G6525" t="s">
        <v>31</v>
      </c>
      <c r="H6525" t="s">
        <v>32</v>
      </c>
      <c r="I6525" s="3">
        <v>1621</v>
      </c>
      <c r="J6525" s="3">
        <v>1621</v>
      </c>
      <c r="K6525" s="3">
        <v>434</v>
      </c>
      <c r="L6525" t="s">
        <v>113</v>
      </c>
      <c r="M6525">
        <v>7</v>
      </c>
      <c r="N6525" t="s">
        <v>84</v>
      </c>
      <c r="O6525" t="s">
        <v>81</v>
      </c>
      <c r="P6525" t="s">
        <v>12</v>
      </c>
      <c r="Q6525" t="s">
        <v>13</v>
      </c>
      <c r="R6525" t="s">
        <v>13</v>
      </c>
      <c r="S6525" t="s">
        <v>144</v>
      </c>
      <c r="T6525" s="2">
        <f>MASTER[[#This Row],[CANTIDAD]]*MASTER[[#This Row],[PRECIO DE VENTA]]</f>
        <v>1621</v>
      </c>
      <c r="U6525" s="2">
        <f>MASTER[[#This Row],[CANTIDAD]]*MASTER[[#This Row],[COSTO UNITARIO]]</f>
        <v>434</v>
      </c>
      <c r="V6525" s="2">
        <f>MASTER[[#This Row],[MONTO VENDIDO]]-MASTER[[#This Row],[COSTO DE VENTA]]</f>
        <v>1187</v>
      </c>
    </row>
    <row r="6526" spans="1:22" x14ac:dyDescent="0.3">
      <c r="A6526">
        <v>89241</v>
      </c>
      <c r="B6526">
        <v>1</v>
      </c>
      <c r="C6526" t="s">
        <v>99</v>
      </c>
      <c r="D6526" t="s">
        <v>100</v>
      </c>
      <c r="E6526" s="1">
        <v>44536</v>
      </c>
      <c r="F6526">
        <v>1</v>
      </c>
      <c r="G6526" t="s">
        <v>29</v>
      </c>
      <c r="H6526" t="s">
        <v>30</v>
      </c>
      <c r="I6526" s="3">
        <v>1678</v>
      </c>
      <c r="J6526" s="3">
        <v>1678</v>
      </c>
      <c r="K6526" s="3">
        <v>386</v>
      </c>
      <c r="L6526" t="s">
        <v>98</v>
      </c>
      <c r="M6526">
        <v>9</v>
      </c>
      <c r="N6526" t="s">
        <v>76</v>
      </c>
      <c r="O6526" t="s">
        <v>70</v>
      </c>
      <c r="P6526" t="s">
        <v>12</v>
      </c>
      <c r="Q6526" t="s">
        <v>13</v>
      </c>
      <c r="R6526" t="s">
        <v>13</v>
      </c>
      <c r="S6526" t="s">
        <v>144</v>
      </c>
      <c r="T6526" s="2">
        <f>MASTER[[#This Row],[CANTIDAD]]*MASTER[[#This Row],[PRECIO DE VENTA]]</f>
        <v>1678</v>
      </c>
      <c r="U6526" s="2">
        <f>MASTER[[#This Row],[CANTIDAD]]*MASTER[[#This Row],[COSTO UNITARIO]]</f>
        <v>386</v>
      </c>
      <c r="V6526" s="2">
        <f>MASTER[[#This Row],[MONTO VENDIDO]]-MASTER[[#This Row],[COSTO DE VENTA]]</f>
        <v>1292</v>
      </c>
    </row>
    <row r="6527" spans="1:22" x14ac:dyDescent="0.3">
      <c r="A6527">
        <v>89245</v>
      </c>
      <c r="B6527">
        <v>1</v>
      </c>
      <c r="C6527" t="s">
        <v>121</v>
      </c>
      <c r="D6527" t="s">
        <v>122</v>
      </c>
      <c r="E6527" s="1">
        <v>44536</v>
      </c>
      <c r="F6527">
        <v>1</v>
      </c>
      <c r="G6527" t="s">
        <v>39</v>
      </c>
      <c r="H6527" t="s">
        <v>40</v>
      </c>
      <c r="I6527" s="3">
        <v>1144</v>
      </c>
      <c r="J6527" s="3">
        <v>1144</v>
      </c>
      <c r="K6527" s="3">
        <v>460</v>
      </c>
      <c r="L6527" t="s">
        <v>120</v>
      </c>
      <c r="M6527">
        <v>18</v>
      </c>
      <c r="N6527" t="s">
        <v>79</v>
      </c>
      <c r="O6527" t="s">
        <v>70</v>
      </c>
      <c r="P6527" t="s">
        <v>15</v>
      </c>
      <c r="Q6527" t="s">
        <v>16</v>
      </c>
      <c r="R6527" t="s">
        <v>16</v>
      </c>
      <c r="S6527" t="s">
        <v>144</v>
      </c>
      <c r="T6527" s="2">
        <f>MASTER[[#This Row],[CANTIDAD]]*MASTER[[#This Row],[PRECIO DE VENTA]]</f>
        <v>1144</v>
      </c>
      <c r="U6527" s="2">
        <f>MASTER[[#This Row],[CANTIDAD]]*MASTER[[#This Row],[COSTO UNITARIO]]</f>
        <v>460</v>
      </c>
      <c r="V6527" s="2">
        <f>MASTER[[#This Row],[MONTO VENDIDO]]-MASTER[[#This Row],[COSTO DE VENTA]]</f>
        <v>684</v>
      </c>
    </row>
    <row r="6528" spans="1:22" x14ac:dyDescent="0.3">
      <c r="A6528">
        <v>89264</v>
      </c>
      <c r="B6528">
        <v>1</v>
      </c>
      <c r="C6528" t="s">
        <v>92</v>
      </c>
      <c r="D6528" t="s">
        <v>93</v>
      </c>
      <c r="E6528" s="1">
        <v>44536</v>
      </c>
      <c r="F6528">
        <v>1</v>
      </c>
      <c r="G6528" t="s">
        <v>20</v>
      </c>
      <c r="H6528" t="s">
        <v>21</v>
      </c>
      <c r="I6528" s="3">
        <v>1866</v>
      </c>
      <c r="J6528" s="3">
        <v>1866</v>
      </c>
      <c r="K6528" s="3">
        <v>396</v>
      </c>
      <c r="L6528" t="s">
        <v>9</v>
      </c>
      <c r="M6528">
        <v>6</v>
      </c>
      <c r="N6528" t="s">
        <v>75</v>
      </c>
      <c r="O6528" t="s">
        <v>70</v>
      </c>
      <c r="P6528" t="s">
        <v>12</v>
      </c>
      <c r="Q6528" t="s">
        <v>13</v>
      </c>
      <c r="R6528" t="s">
        <v>13</v>
      </c>
      <c r="S6528" t="s">
        <v>144</v>
      </c>
      <c r="T6528" s="2">
        <f>MASTER[[#This Row],[CANTIDAD]]*MASTER[[#This Row],[PRECIO DE VENTA]]</f>
        <v>1866</v>
      </c>
      <c r="U6528" s="2">
        <f>MASTER[[#This Row],[CANTIDAD]]*MASTER[[#This Row],[COSTO UNITARIO]]</f>
        <v>396</v>
      </c>
      <c r="V6528" s="2">
        <f>MASTER[[#This Row],[MONTO VENDIDO]]-MASTER[[#This Row],[COSTO DE VENTA]]</f>
        <v>1470</v>
      </c>
    </row>
    <row r="6529" spans="1:22" x14ac:dyDescent="0.3">
      <c r="A6529">
        <v>89266</v>
      </c>
      <c r="B6529">
        <v>1</v>
      </c>
      <c r="C6529" t="s">
        <v>5</v>
      </c>
      <c r="D6529" t="s">
        <v>6</v>
      </c>
      <c r="E6529" s="1">
        <v>44536</v>
      </c>
      <c r="F6529">
        <v>1</v>
      </c>
      <c r="G6529" t="s">
        <v>43</v>
      </c>
      <c r="H6529" t="s">
        <v>44</v>
      </c>
      <c r="I6529" s="3">
        <v>1296</v>
      </c>
      <c r="J6529" s="3">
        <v>1296</v>
      </c>
      <c r="K6529" s="3">
        <v>393</v>
      </c>
      <c r="L6529" t="s">
        <v>9</v>
      </c>
      <c r="M6529">
        <v>9</v>
      </c>
      <c r="N6529" t="s">
        <v>76</v>
      </c>
      <c r="O6529" t="s">
        <v>70</v>
      </c>
      <c r="P6529" t="s">
        <v>12</v>
      </c>
      <c r="Q6529" t="s">
        <v>13</v>
      </c>
      <c r="R6529" t="s">
        <v>13</v>
      </c>
      <c r="S6529" t="s">
        <v>144</v>
      </c>
      <c r="T6529" s="2">
        <f>MASTER[[#This Row],[CANTIDAD]]*MASTER[[#This Row],[PRECIO DE VENTA]]</f>
        <v>1296</v>
      </c>
      <c r="U6529" s="2">
        <f>MASTER[[#This Row],[CANTIDAD]]*MASTER[[#This Row],[COSTO UNITARIO]]</f>
        <v>393</v>
      </c>
      <c r="V6529" s="2">
        <f>MASTER[[#This Row],[MONTO VENDIDO]]-MASTER[[#This Row],[COSTO DE VENTA]]</f>
        <v>903</v>
      </c>
    </row>
    <row r="6530" spans="1:22" x14ac:dyDescent="0.3">
      <c r="A6530">
        <v>89274</v>
      </c>
      <c r="B6530">
        <v>1</v>
      </c>
      <c r="C6530" t="s">
        <v>118</v>
      </c>
      <c r="D6530" t="s">
        <v>119</v>
      </c>
      <c r="E6530" s="1">
        <v>44536</v>
      </c>
      <c r="F6530">
        <v>1</v>
      </c>
      <c r="G6530" t="s">
        <v>45</v>
      </c>
      <c r="H6530" t="s">
        <v>46</v>
      </c>
      <c r="I6530" s="3">
        <v>900</v>
      </c>
      <c r="J6530" s="3">
        <v>900</v>
      </c>
      <c r="K6530" s="3">
        <v>424</v>
      </c>
      <c r="L6530" t="s">
        <v>120</v>
      </c>
      <c r="M6530">
        <v>19</v>
      </c>
      <c r="N6530" t="s">
        <v>89</v>
      </c>
      <c r="O6530" t="s">
        <v>81</v>
      </c>
      <c r="P6530" t="s">
        <v>15</v>
      </c>
      <c r="Q6530" t="s">
        <v>16</v>
      </c>
      <c r="R6530" t="s">
        <v>16</v>
      </c>
      <c r="S6530" t="s">
        <v>144</v>
      </c>
      <c r="T6530" s="2">
        <f>MASTER[[#This Row],[CANTIDAD]]*MASTER[[#This Row],[PRECIO DE VENTA]]</f>
        <v>900</v>
      </c>
      <c r="U6530" s="2">
        <f>MASTER[[#This Row],[CANTIDAD]]*MASTER[[#This Row],[COSTO UNITARIO]]</f>
        <v>424</v>
      </c>
      <c r="V6530" s="2">
        <f>MASTER[[#This Row],[MONTO VENDIDO]]-MASTER[[#This Row],[COSTO DE VENTA]]</f>
        <v>476</v>
      </c>
    </row>
    <row r="6531" spans="1:22" x14ac:dyDescent="0.3">
      <c r="A6531">
        <v>89275</v>
      </c>
      <c r="B6531">
        <v>1</v>
      </c>
      <c r="C6531" t="s">
        <v>90</v>
      </c>
      <c r="D6531" t="s">
        <v>91</v>
      </c>
      <c r="E6531" s="1">
        <v>44536</v>
      </c>
      <c r="F6531">
        <v>1</v>
      </c>
      <c r="G6531" t="s">
        <v>55</v>
      </c>
      <c r="H6531" t="s">
        <v>56</v>
      </c>
      <c r="I6531" s="3">
        <v>2102</v>
      </c>
      <c r="J6531" s="3">
        <v>2102</v>
      </c>
      <c r="K6531" s="3">
        <v>420</v>
      </c>
      <c r="L6531" t="s">
        <v>9</v>
      </c>
      <c r="M6531">
        <v>3</v>
      </c>
      <c r="N6531" t="s">
        <v>69</v>
      </c>
      <c r="O6531" t="s">
        <v>70</v>
      </c>
      <c r="P6531" t="s">
        <v>71</v>
      </c>
      <c r="Q6531" t="s">
        <v>72</v>
      </c>
      <c r="R6531" t="s">
        <v>139</v>
      </c>
      <c r="S6531" t="s">
        <v>144</v>
      </c>
      <c r="T6531" s="2">
        <f>MASTER[[#This Row],[CANTIDAD]]*MASTER[[#This Row],[PRECIO DE VENTA]]</f>
        <v>2102</v>
      </c>
      <c r="U6531" s="2">
        <f>MASTER[[#This Row],[CANTIDAD]]*MASTER[[#This Row],[COSTO UNITARIO]]</f>
        <v>420</v>
      </c>
      <c r="V6531" s="2">
        <f>MASTER[[#This Row],[MONTO VENDIDO]]-MASTER[[#This Row],[COSTO DE VENTA]]</f>
        <v>1682</v>
      </c>
    </row>
    <row r="6532" spans="1:22" x14ac:dyDescent="0.3">
      <c r="A6532">
        <v>89284</v>
      </c>
      <c r="B6532">
        <v>1</v>
      </c>
      <c r="C6532" t="s">
        <v>105</v>
      </c>
      <c r="D6532" t="s">
        <v>106</v>
      </c>
      <c r="E6532" s="1">
        <v>44536</v>
      </c>
      <c r="F6532">
        <v>1</v>
      </c>
      <c r="G6532" t="s">
        <v>59</v>
      </c>
      <c r="H6532" t="s">
        <v>60</v>
      </c>
      <c r="I6532" s="3">
        <v>2033</v>
      </c>
      <c r="J6532" s="3">
        <v>1850</v>
      </c>
      <c r="K6532" s="3">
        <v>459</v>
      </c>
      <c r="L6532" t="s">
        <v>98</v>
      </c>
      <c r="M6532">
        <v>13</v>
      </c>
      <c r="N6532" t="s">
        <v>78</v>
      </c>
      <c r="O6532" t="s">
        <v>70</v>
      </c>
      <c r="P6532" t="s">
        <v>18</v>
      </c>
      <c r="Q6532" t="s">
        <v>19</v>
      </c>
      <c r="R6532" t="s">
        <v>138</v>
      </c>
      <c r="S6532" t="s">
        <v>144</v>
      </c>
      <c r="T6532" s="2">
        <f>MASTER[[#This Row],[CANTIDAD]]*MASTER[[#This Row],[PRECIO DE VENTA]]</f>
        <v>1850</v>
      </c>
      <c r="U6532" s="2">
        <f>MASTER[[#This Row],[CANTIDAD]]*MASTER[[#This Row],[COSTO UNITARIO]]</f>
        <v>459</v>
      </c>
      <c r="V6532" s="2">
        <f>MASTER[[#This Row],[MONTO VENDIDO]]-MASTER[[#This Row],[COSTO DE VENTA]]</f>
        <v>1391</v>
      </c>
    </row>
    <row r="6533" spans="1:22" x14ac:dyDescent="0.3">
      <c r="A6533">
        <v>89294</v>
      </c>
      <c r="B6533">
        <v>1</v>
      </c>
      <c r="C6533" t="s">
        <v>92</v>
      </c>
      <c r="D6533" t="s">
        <v>93</v>
      </c>
      <c r="E6533" s="1">
        <v>44536</v>
      </c>
      <c r="F6533">
        <v>1</v>
      </c>
      <c r="G6533" t="s">
        <v>37</v>
      </c>
      <c r="H6533" t="s">
        <v>38</v>
      </c>
      <c r="I6533" s="3">
        <v>1479</v>
      </c>
      <c r="J6533" s="3">
        <v>1479</v>
      </c>
      <c r="K6533" s="3">
        <v>396</v>
      </c>
      <c r="L6533" t="s">
        <v>9</v>
      </c>
      <c r="M6533">
        <v>12</v>
      </c>
      <c r="N6533" t="s">
        <v>26</v>
      </c>
      <c r="O6533" t="s">
        <v>11</v>
      </c>
      <c r="P6533" t="s">
        <v>12</v>
      </c>
      <c r="Q6533" t="s">
        <v>13</v>
      </c>
      <c r="R6533" t="s">
        <v>13</v>
      </c>
      <c r="S6533" t="s">
        <v>144</v>
      </c>
      <c r="T6533" s="2">
        <f>MASTER[[#This Row],[CANTIDAD]]*MASTER[[#This Row],[PRECIO DE VENTA]]</f>
        <v>1479</v>
      </c>
      <c r="U6533" s="2">
        <f>MASTER[[#This Row],[CANTIDAD]]*MASTER[[#This Row],[COSTO UNITARIO]]</f>
        <v>396</v>
      </c>
      <c r="V6533" s="2">
        <f>MASTER[[#This Row],[MONTO VENDIDO]]-MASTER[[#This Row],[COSTO DE VENTA]]</f>
        <v>1083</v>
      </c>
    </row>
    <row r="6534" spans="1:22" x14ac:dyDescent="0.3">
      <c r="A6534">
        <v>89310</v>
      </c>
      <c r="B6534">
        <v>1</v>
      </c>
      <c r="C6534" t="s">
        <v>114</v>
      </c>
      <c r="D6534" t="s">
        <v>115</v>
      </c>
      <c r="E6534" s="1">
        <v>44536</v>
      </c>
      <c r="F6534">
        <v>1</v>
      </c>
      <c r="G6534" t="s">
        <v>39</v>
      </c>
      <c r="H6534" t="s">
        <v>40</v>
      </c>
      <c r="I6534" s="3">
        <v>2030</v>
      </c>
      <c r="J6534" s="3">
        <v>2030</v>
      </c>
      <c r="K6534" s="3">
        <v>394</v>
      </c>
      <c r="L6534" t="s">
        <v>113</v>
      </c>
      <c r="M6534">
        <v>18</v>
      </c>
      <c r="N6534" t="s">
        <v>79</v>
      </c>
      <c r="O6534" t="s">
        <v>70</v>
      </c>
      <c r="P6534" t="s">
        <v>15</v>
      </c>
      <c r="Q6534" t="s">
        <v>16</v>
      </c>
      <c r="R6534" t="s">
        <v>16</v>
      </c>
      <c r="S6534" t="s">
        <v>144</v>
      </c>
      <c r="T6534" s="2">
        <f>MASTER[[#This Row],[CANTIDAD]]*MASTER[[#This Row],[PRECIO DE VENTA]]</f>
        <v>2030</v>
      </c>
      <c r="U6534" s="2">
        <f>MASTER[[#This Row],[CANTIDAD]]*MASTER[[#This Row],[COSTO UNITARIO]]</f>
        <v>394</v>
      </c>
      <c r="V6534" s="2">
        <f>MASTER[[#This Row],[MONTO VENDIDO]]-MASTER[[#This Row],[COSTO DE VENTA]]</f>
        <v>1636</v>
      </c>
    </row>
    <row r="6535" spans="1:22" x14ac:dyDescent="0.3">
      <c r="A6535">
        <v>89328</v>
      </c>
      <c r="B6535">
        <v>1</v>
      </c>
      <c r="C6535" t="s">
        <v>99</v>
      </c>
      <c r="D6535" t="s">
        <v>100</v>
      </c>
      <c r="E6535" s="1">
        <v>44536</v>
      </c>
      <c r="F6535">
        <v>4</v>
      </c>
      <c r="G6535" t="s">
        <v>57</v>
      </c>
      <c r="H6535" t="s">
        <v>58</v>
      </c>
      <c r="I6535" s="3">
        <v>1459</v>
      </c>
      <c r="J6535" s="3">
        <v>1459</v>
      </c>
      <c r="K6535" s="3">
        <v>386</v>
      </c>
      <c r="L6535" t="s">
        <v>98</v>
      </c>
      <c r="M6535">
        <v>4</v>
      </c>
      <c r="N6535" t="s">
        <v>82</v>
      </c>
      <c r="O6535" t="s">
        <v>81</v>
      </c>
      <c r="P6535" t="s">
        <v>71</v>
      </c>
      <c r="Q6535" t="s">
        <v>72</v>
      </c>
      <c r="R6535" t="s">
        <v>139</v>
      </c>
      <c r="S6535" t="s">
        <v>144</v>
      </c>
      <c r="T6535" s="2">
        <f>MASTER[[#This Row],[CANTIDAD]]*MASTER[[#This Row],[PRECIO DE VENTA]]</f>
        <v>5836</v>
      </c>
      <c r="U6535" s="2">
        <f>MASTER[[#This Row],[CANTIDAD]]*MASTER[[#This Row],[COSTO UNITARIO]]</f>
        <v>1544</v>
      </c>
      <c r="V6535" s="2">
        <f>MASTER[[#This Row],[MONTO VENDIDO]]-MASTER[[#This Row],[COSTO DE VENTA]]</f>
        <v>4292</v>
      </c>
    </row>
    <row r="6536" spans="1:22" x14ac:dyDescent="0.3">
      <c r="A6536">
        <v>89331</v>
      </c>
      <c r="B6536">
        <v>1</v>
      </c>
      <c r="C6536" t="s">
        <v>5</v>
      </c>
      <c r="D6536" t="s">
        <v>6</v>
      </c>
      <c r="E6536" s="1">
        <v>44537</v>
      </c>
      <c r="F6536">
        <v>1</v>
      </c>
      <c r="G6536" t="s">
        <v>24</v>
      </c>
      <c r="H6536" t="s">
        <v>25</v>
      </c>
      <c r="I6536" s="3">
        <v>1311</v>
      </c>
      <c r="J6536" s="3">
        <v>1311</v>
      </c>
      <c r="K6536" s="3">
        <v>393</v>
      </c>
      <c r="L6536" t="s">
        <v>9</v>
      </c>
      <c r="M6536">
        <v>16</v>
      </c>
      <c r="N6536" t="s">
        <v>17</v>
      </c>
      <c r="O6536" t="s">
        <v>11</v>
      </c>
      <c r="P6536" t="s">
        <v>18</v>
      </c>
      <c r="Q6536" t="s">
        <v>19</v>
      </c>
      <c r="R6536" t="s">
        <v>138</v>
      </c>
      <c r="S6536" t="s">
        <v>144</v>
      </c>
      <c r="T6536" s="2">
        <f>MASTER[[#This Row],[CANTIDAD]]*MASTER[[#This Row],[PRECIO DE VENTA]]</f>
        <v>1311</v>
      </c>
      <c r="U6536" s="2">
        <f>MASTER[[#This Row],[CANTIDAD]]*MASTER[[#This Row],[COSTO UNITARIO]]</f>
        <v>393</v>
      </c>
      <c r="V6536" s="2">
        <f>MASTER[[#This Row],[MONTO VENDIDO]]-MASTER[[#This Row],[COSTO DE VENTA]]</f>
        <v>918</v>
      </c>
    </row>
    <row r="6537" spans="1:22" x14ac:dyDescent="0.3">
      <c r="A6537">
        <v>89343</v>
      </c>
      <c r="B6537">
        <v>1</v>
      </c>
      <c r="C6537" t="s">
        <v>105</v>
      </c>
      <c r="D6537" t="s">
        <v>106</v>
      </c>
      <c r="E6537" s="1">
        <v>44537</v>
      </c>
      <c r="F6537">
        <v>1</v>
      </c>
      <c r="G6537" t="s">
        <v>33</v>
      </c>
      <c r="H6537" t="s">
        <v>34</v>
      </c>
      <c r="I6537" s="3">
        <v>1865</v>
      </c>
      <c r="J6537" s="3">
        <v>1865</v>
      </c>
      <c r="K6537" s="3">
        <v>459</v>
      </c>
      <c r="L6537" t="s">
        <v>98</v>
      </c>
      <c r="M6537">
        <v>14</v>
      </c>
      <c r="N6537" t="s">
        <v>87</v>
      </c>
      <c r="O6537" t="s">
        <v>81</v>
      </c>
      <c r="P6537" t="s">
        <v>18</v>
      </c>
      <c r="Q6537" t="s">
        <v>19</v>
      </c>
      <c r="R6537" t="s">
        <v>138</v>
      </c>
      <c r="S6537" t="s">
        <v>144</v>
      </c>
      <c r="T6537" s="2">
        <f>MASTER[[#This Row],[CANTIDAD]]*MASTER[[#This Row],[PRECIO DE VENTA]]</f>
        <v>1865</v>
      </c>
      <c r="U6537" s="2">
        <f>MASTER[[#This Row],[CANTIDAD]]*MASTER[[#This Row],[COSTO UNITARIO]]</f>
        <v>459</v>
      </c>
      <c r="V6537" s="2">
        <f>MASTER[[#This Row],[MONTO VENDIDO]]-MASTER[[#This Row],[COSTO DE VENTA]]</f>
        <v>1406</v>
      </c>
    </row>
    <row r="6538" spans="1:22" x14ac:dyDescent="0.3">
      <c r="A6538">
        <v>89347</v>
      </c>
      <c r="B6538">
        <v>1</v>
      </c>
      <c r="C6538" t="s">
        <v>114</v>
      </c>
      <c r="D6538" t="s">
        <v>115</v>
      </c>
      <c r="E6538" s="1">
        <v>44537</v>
      </c>
      <c r="F6538">
        <v>1</v>
      </c>
      <c r="G6538" t="s">
        <v>53</v>
      </c>
      <c r="H6538" t="s">
        <v>54</v>
      </c>
      <c r="I6538" s="3">
        <v>2030</v>
      </c>
      <c r="J6538" s="3">
        <v>2030</v>
      </c>
      <c r="K6538" s="3">
        <v>394</v>
      </c>
      <c r="L6538" t="s">
        <v>113</v>
      </c>
      <c r="M6538">
        <v>9</v>
      </c>
      <c r="N6538" t="s">
        <v>76</v>
      </c>
      <c r="O6538" t="s">
        <v>70</v>
      </c>
      <c r="P6538" t="s">
        <v>12</v>
      </c>
      <c r="Q6538" t="s">
        <v>13</v>
      </c>
      <c r="R6538" t="s">
        <v>13</v>
      </c>
      <c r="S6538" t="s">
        <v>144</v>
      </c>
      <c r="T6538" s="2">
        <f>MASTER[[#This Row],[CANTIDAD]]*MASTER[[#This Row],[PRECIO DE VENTA]]</f>
        <v>2030</v>
      </c>
      <c r="U6538" s="2">
        <f>MASTER[[#This Row],[CANTIDAD]]*MASTER[[#This Row],[COSTO UNITARIO]]</f>
        <v>394</v>
      </c>
      <c r="V6538" s="2">
        <f>MASTER[[#This Row],[MONTO VENDIDO]]-MASTER[[#This Row],[COSTO DE VENTA]]</f>
        <v>1636</v>
      </c>
    </row>
    <row r="6539" spans="1:22" x14ac:dyDescent="0.3">
      <c r="A6539">
        <v>89358</v>
      </c>
      <c r="B6539">
        <v>1</v>
      </c>
      <c r="C6539" t="s">
        <v>99</v>
      </c>
      <c r="D6539" t="s">
        <v>100</v>
      </c>
      <c r="E6539" s="1">
        <v>44537</v>
      </c>
      <c r="F6539">
        <v>1</v>
      </c>
      <c r="G6539" t="s">
        <v>47</v>
      </c>
      <c r="H6539" t="s">
        <v>48</v>
      </c>
      <c r="I6539" s="3">
        <v>1459</v>
      </c>
      <c r="J6539" s="3">
        <v>1459</v>
      </c>
      <c r="K6539" s="3">
        <v>386</v>
      </c>
      <c r="L6539" t="s">
        <v>98</v>
      </c>
      <c r="M6539">
        <v>8</v>
      </c>
      <c r="N6539" t="s">
        <v>80</v>
      </c>
      <c r="O6539" t="s">
        <v>81</v>
      </c>
      <c r="P6539" t="s">
        <v>12</v>
      </c>
      <c r="Q6539" t="s">
        <v>13</v>
      </c>
      <c r="R6539" t="s">
        <v>13</v>
      </c>
      <c r="S6539" t="s">
        <v>144</v>
      </c>
      <c r="T6539" s="2">
        <f>MASTER[[#This Row],[CANTIDAD]]*MASTER[[#This Row],[PRECIO DE VENTA]]</f>
        <v>1459</v>
      </c>
      <c r="U6539" s="2">
        <f>MASTER[[#This Row],[CANTIDAD]]*MASTER[[#This Row],[COSTO UNITARIO]]</f>
        <v>386</v>
      </c>
      <c r="V6539" s="2">
        <f>MASTER[[#This Row],[MONTO VENDIDO]]-MASTER[[#This Row],[COSTO DE VENTA]]</f>
        <v>1073</v>
      </c>
    </row>
    <row r="6540" spans="1:22" x14ac:dyDescent="0.3">
      <c r="A6540">
        <v>89361</v>
      </c>
      <c r="B6540">
        <v>1</v>
      </c>
      <c r="C6540" t="s">
        <v>96</v>
      </c>
      <c r="D6540" t="s">
        <v>97</v>
      </c>
      <c r="E6540" s="1">
        <v>44537</v>
      </c>
      <c r="F6540">
        <v>1</v>
      </c>
      <c r="G6540" t="s">
        <v>7</v>
      </c>
      <c r="H6540" t="s">
        <v>8</v>
      </c>
      <c r="I6540" s="3">
        <v>1272</v>
      </c>
      <c r="J6540" s="3">
        <v>1272</v>
      </c>
      <c r="K6540" s="3">
        <v>397</v>
      </c>
      <c r="L6540" t="s">
        <v>98</v>
      </c>
      <c r="M6540">
        <v>4</v>
      </c>
      <c r="N6540" t="s">
        <v>82</v>
      </c>
      <c r="O6540" t="s">
        <v>81</v>
      </c>
      <c r="P6540" t="s">
        <v>71</v>
      </c>
      <c r="Q6540" t="s">
        <v>72</v>
      </c>
      <c r="R6540" t="s">
        <v>139</v>
      </c>
      <c r="S6540" t="s">
        <v>144</v>
      </c>
      <c r="T6540" s="2">
        <f>MASTER[[#This Row],[CANTIDAD]]*MASTER[[#This Row],[PRECIO DE VENTA]]</f>
        <v>1272</v>
      </c>
      <c r="U6540" s="2">
        <f>MASTER[[#This Row],[CANTIDAD]]*MASTER[[#This Row],[COSTO UNITARIO]]</f>
        <v>397</v>
      </c>
      <c r="V6540" s="2">
        <f>MASTER[[#This Row],[MONTO VENDIDO]]-MASTER[[#This Row],[COSTO DE VENTA]]</f>
        <v>875</v>
      </c>
    </row>
    <row r="6541" spans="1:22" x14ac:dyDescent="0.3">
      <c r="A6541">
        <v>89377</v>
      </c>
      <c r="B6541">
        <v>1</v>
      </c>
      <c r="C6541" t="s">
        <v>96</v>
      </c>
      <c r="D6541" t="s">
        <v>97</v>
      </c>
      <c r="E6541" s="1">
        <v>44537</v>
      </c>
      <c r="F6541">
        <v>1</v>
      </c>
      <c r="G6541" t="s">
        <v>61</v>
      </c>
      <c r="H6541" t="s">
        <v>62</v>
      </c>
      <c r="I6541" s="3">
        <v>1272</v>
      </c>
      <c r="J6541" s="3">
        <v>1272</v>
      </c>
      <c r="K6541" s="3">
        <v>397</v>
      </c>
      <c r="L6541" t="s">
        <v>98</v>
      </c>
      <c r="M6541">
        <v>5</v>
      </c>
      <c r="N6541" t="s">
        <v>85</v>
      </c>
      <c r="O6541" t="s">
        <v>81</v>
      </c>
      <c r="P6541" t="s">
        <v>12</v>
      </c>
      <c r="Q6541" t="s">
        <v>13</v>
      </c>
      <c r="R6541" t="s">
        <v>13</v>
      </c>
      <c r="S6541" t="s">
        <v>144</v>
      </c>
      <c r="T6541" s="2">
        <f>MASTER[[#This Row],[CANTIDAD]]*MASTER[[#This Row],[PRECIO DE VENTA]]</f>
        <v>1272</v>
      </c>
      <c r="U6541" s="2">
        <f>MASTER[[#This Row],[CANTIDAD]]*MASTER[[#This Row],[COSTO UNITARIO]]</f>
        <v>397</v>
      </c>
      <c r="V6541" s="2">
        <f>MASTER[[#This Row],[MONTO VENDIDO]]-MASTER[[#This Row],[COSTO DE VENTA]]</f>
        <v>875</v>
      </c>
    </row>
    <row r="6542" spans="1:22" x14ac:dyDescent="0.3">
      <c r="A6542">
        <v>89380</v>
      </c>
      <c r="B6542">
        <v>1</v>
      </c>
      <c r="C6542" t="s">
        <v>105</v>
      </c>
      <c r="D6542" t="s">
        <v>106</v>
      </c>
      <c r="E6542" s="1">
        <v>44537</v>
      </c>
      <c r="F6542">
        <v>1</v>
      </c>
      <c r="G6542" t="s">
        <v>27</v>
      </c>
      <c r="H6542" t="s">
        <v>28</v>
      </c>
      <c r="I6542" s="3">
        <v>1865</v>
      </c>
      <c r="J6542" s="3">
        <v>1865</v>
      </c>
      <c r="K6542" s="3">
        <v>459</v>
      </c>
      <c r="L6542" t="s">
        <v>98</v>
      </c>
      <c r="M6542">
        <v>7</v>
      </c>
      <c r="N6542" t="s">
        <v>84</v>
      </c>
      <c r="O6542" t="s">
        <v>81</v>
      </c>
      <c r="P6542" t="s">
        <v>12</v>
      </c>
      <c r="Q6542" t="s">
        <v>13</v>
      </c>
      <c r="R6542" t="s">
        <v>13</v>
      </c>
      <c r="S6542" t="s">
        <v>144</v>
      </c>
      <c r="T6542" s="2">
        <f>MASTER[[#This Row],[CANTIDAD]]*MASTER[[#This Row],[PRECIO DE VENTA]]</f>
        <v>1865</v>
      </c>
      <c r="U6542" s="2">
        <f>MASTER[[#This Row],[CANTIDAD]]*MASTER[[#This Row],[COSTO UNITARIO]]</f>
        <v>459</v>
      </c>
      <c r="V6542" s="2">
        <f>MASTER[[#This Row],[MONTO VENDIDO]]-MASTER[[#This Row],[COSTO DE VENTA]]</f>
        <v>1406</v>
      </c>
    </row>
    <row r="6543" spans="1:22" x14ac:dyDescent="0.3">
      <c r="A6543">
        <v>89383</v>
      </c>
      <c r="B6543">
        <v>1</v>
      </c>
      <c r="C6543" t="s">
        <v>103</v>
      </c>
      <c r="D6543" t="s">
        <v>104</v>
      </c>
      <c r="E6543" s="1">
        <v>44537</v>
      </c>
      <c r="F6543">
        <v>1</v>
      </c>
      <c r="G6543" t="s">
        <v>24</v>
      </c>
      <c r="H6543" t="s">
        <v>25</v>
      </c>
      <c r="I6543" s="3">
        <v>1830</v>
      </c>
      <c r="J6543" s="3">
        <v>1830</v>
      </c>
      <c r="K6543" s="3">
        <v>421</v>
      </c>
      <c r="L6543" t="s">
        <v>98</v>
      </c>
      <c r="M6543">
        <v>13</v>
      </c>
      <c r="N6543" t="s">
        <v>78</v>
      </c>
      <c r="O6543" t="s">
        <v>70</v>
      </c>
      <c r="P6543" t="s">
        <v>18</v>
      </c>
      <c r="Q6543" t="s">
        <v>19</v>
      </c>
      <c r="R6543" t="s">
        <v>138</v>
      </c>
      <c r="S6543" t="s">
        <v>144</v>
      </c>
      <c r="T6543" s="2">
        <f>MASTER[[#This Row],[CANTIDAD]]*MASTER[[#This Row],[PRECIO DE VENTA]]</f>
        <v>1830</v>
      </c>
      <c r="U6543" s="2">
        <f>MASTER[[#This Row],[CANTIDAD]]*MASTER[[#This Row],[COSTO UNITARIO]]</f>
        <v>421</v>
      </c>
      <c r="V6543" s="2">
        <f>MASTER[[#This Row],[MONTO VENDIDO]]-MASTER[[#This Row],[COSTO DE VENTA]]</f>
        <v>1409</v>
      </c>
    </row>
    <row r="6544" spans="1:22" x14ac:dyDescent="0.3">
      <c r="A6544">
        <v>89395</v>
      </c>
      <c r="B6544">
        <v>1</v>
      </c>
      <c r="C6544" t="s">
        <v>5</v>
      </c>
      <c r="D6544" t="s">
        <v>6</v>
      </c>
      <c r="E6544" s="1">
        <v>44537</v>
      </c>
      <c r="F6544">
        <v>1</v>
      </c>
      <c r="G6544" t="s">
        <v>63</v>
      </c>
      <c r="H6544" t="s">
        <v>64</v>
      </c>
      <c r="I6544" s="3">
        <v>1507</v>
      </c>
      <c r="J6544" s="3">
        <v>1507</v>
      </c>
      <c r="K6544" s="3">
        <v>393</v>
      </c>
      <c r="L6544" t="s">
        <v>9</v>
      </c>
      <c r="M6544">
        <v>5</v>
      </c>
      <c r="N6544" t="s">
        <v>85</v>
      </c>
      <c r="O6544" t="s">
        <v>81</v>
      </c>
      <c r="P6544" t="s">
        <v>12</v>
      </c>
      <c r="Q6544" t="s">
        <v>13</v>
      </c>
      <c r="R6544" t="s">
        <v>13</v>
      </c>
      <c r="S6544" t="s">
        <v>144</v>
      </c>
      <c r="T6544" s="2">
        <f>MASTER[[#This Row],[CANTIDAD]]*MASTER[[#This Row],[PRECIO DE VENTA]]</f>
        <v>1507</v>
      </c>
      <c r="U6544" s="2">
        <f>MASTER[[#This Row],[CANTIDAD]]*MASTER[[#This Row],[COSTO UNITARIO]]</f>
        <v>393</v>
      </c>
      <c r="V6544" s="2">
        <f>MASTER[[#This Row],[MONTO VENDIDO]]-MASTER[[#This Row],[COSTO DE VENTA]]</f>
        <v>1114</v>
      </c>
    </row>
    <row r="6545" spans="1:22" x14ac:dyDescent="0.3">
      <c r="A6545">
        <v>89431</v>
      </c>
      <c r="B6545">
        <v>1</v>
      </c>
      <c r="C6545" t="s">
        <v>101</v>
      </c>
      <c r="D6545" t="s">
        <v>102</v>
      </c>
      <c r="E6545" s="1">
        <v>44537</v>
      </c>
      <c r="F6545">
        <v>1</v>
      </c>
      <c r="G6545" t="s">
        <v>45</v>
      </c>
      <c r="H6545" t="s">
        <v>46</v>
      </c>
      <c r="I6545" s="3">
        <v>1054</v>
      </c>
      <c r="J6545" s="3">
        <v>1054</v>
      </c>
      <c r="K6545" s="3">
        <v>442</v>
      </c>
      <c r="L6545" t="s">
        <v>98</v>
      </c>
      <c r="M6545">
        <v>16</v>
      </c>
      <c r="N6545" t="s">
        <v>17</v>
      </c>
      <c r="O6545" t="s">
        <v>11</v>
      </c>
      <c r="P6545" t="s">
        <v>18</v>
      </c>
      <c r="Q6545" t="s">
        <v>19</v>
      </c>
      <c r="R6545" t="s">
        <v>138</v>
      </c>
      <c r="S6545" t="s">
        <v>144</v>
      </c>
      <c r="T6545" s="2">
        <f>MASTER[[#This Row],[CANTIDAD]]*MASTER[[#This Row],[PRECIO DE VENTA]]</f>
        <v>1054</v>
      </c>
      <c r="U6545" s="2">
        <f>MASTER[[#This Row],[CANTIDAD]]*MASTER[[#This Row],[COSTO UNITARIO]]</f>
        <v>442</v>
      </c>
      <c r="V6545" s="2">
        <f>MASTER[[#This Row],[MONTO VENDIDO]]-MASTER[[#This Row],[COSTO DE VENTA]]</f>
        <v>612</v>
      </c>
    </row>
    <row r="6546" spans="1:22" x14ac:dyDescent="0.3">
      <c r="A6546">
        <v>89439</v>
      </c>
      <c r="B6546">
        <v>1</v>
      </c>
      <c r="C6546" t="s">
        <v>5</v>
      </c>
      <c r="D6546" t="s">
        <v>6</v>
      </c>
      <c r="E6546" s="1">
        <v>44537</v>
      </c>
      <c r="F6546">
        <v>1</v>
      </c>
      <c r="G6546" t="s">
        <v>55</v>
      </c>
      <c r="H6546" t="s">
        <v>56</v>
      </c>
      <c r="I6546" s="3">
        <v>1296</v>
      </c>
      <c r="J6546" s="3">
        <v>1296</v>
      </c>
      <c r="K6546" s="3">
        <v>393</v>
      </c>
      <c r="L6546" t="s">
        <v>9</v>
      </c>
      <c r="M6546">
        <v>9</v>
      </c>
      <c r="N6546" t="s">
        <v>76</v>
      </c>
      <c r="O6546" t="s">
        <v>70</v>
      </c>
      <c r="P6546" t="s">
        <v>12</v>
      </c>
      <c r="Q6546" t="s">
        <v>13</v>
      </c>
      <c r="R6546" t="s">
        <v>13</v>
      </c>
      <c r="S6546" t="s">
        <v>144</v>
      </c>
      <c r="T6546" s="2">
        <f>MASTER[[#This Row],[CANTIDAD]]*MASTER[[#This Row],[PRECIO DE VENTA]]</f>
        <v>1296</v>
      </c>
      <c r="U6546" s="2">
        <f>MASTER[[#This Row],[CANTIDAD]]*MASTER[[#This Row],[COSTO UNITARIO]]</f>
        <v>393</v>
      </c>
      <c r="V6546" s="2">
        <f>MASTER[[#This Row],[MONTO VENDIDO]]-MASTER[[#This Row],[COSTO DE VENTA]]</f>
        <v>903</v>
      </c>
    </row>
    <row r="6547" spans="1:22" x14ac:dyDescent="0.3">
      <c r="A6547">
        <v>89450</v>
      </c>
      <c r="B6547">
        <v>1</v>
      </c>
      <c r="C6547" t="s">
        <v>107</v>
      </c>
      <c r="D6547" t="s">
        <v>108</v>
      </c>
      <c r="E6547" s="1">
        <v>44538</v>
      </c>
      <c r="F6547">
        <v>4</v>
      </c>
      <c r="G6547" t="s">
        <v>22</v>
      </c>
      <c r="H6547" t="s">
        <v>23</v>
      </c>
      <c r="I6547" s="3">
        <v>1440</v>
      </c>
      <c r="J6547" s="3">
        <v>1440</v>
      </c>
      <c r="K6547" s="3">
        <v>380</v>
      </c>
      <c r="L6547" t="s">
        <v>98</v>
      </c>
      <c r="M6547">
        <v>6</v>
      </c>
      <c r="N6547" t="s">
        <v>75</v>
      </c>
      <c r="O6547" t="s">
        <v>70</v>
      </c>
      <c r="P6547" t="s">
        <v>12</v>
      </c>
      <c r="Q6547" t="s">
        <v>13</v>
      </c>
      <c r="R6547" t="s">
        <v>13</v>
      </c>
      <c r="S6547" t="s">
        <v>144</v>
      </c>
      <c r="T6547" s="2">
        <f>MASTER[[#This Row],[CANTIDAD]]*MASTER[[#This Row],[PRECIO DE VENTA]]</f>
        <v>5760</v>
      </c>
      <c r="U6547" s="2">
        <f>MASTER[[#This Row],[CANTIDAD]]*MASTER[[#This Row],[COSTO UNITARIO]]</f>
        <v>1520</v>
      </c>
      <c r="V6547" s="2">
        <f>MASTER[[#This Row],[MONTO VENDIDO]]-MASTER[[#This Row],[COSTO DE VENTA]]</f>
        <v>4240</v>
      </c>
    </row>
    <row r="6548" spans="1:22" x14ac:dyDescent="0.3">
      <c r="A6548">
        <v>89453</v>
      </c>
      <c r="B6548">
        <v>1</v>
      </c>
      <c r="C6548" t="s">
        <v>118</v>
      </c>
      <c r="D6548" t="s">
        <v>119</v>
      </c>
      <c r="E6548" s="1">
        <v>44538</v>
      </c>
      <c r="F6548">
        <v>1</v>
      </c>
      <c r="G6548" t="s">
        <v>67</v>
      </c>
      <c r="H6548" t="s">
        <v>68</v>
      </c>
      <c r="I6548" s="3">
        <v>1026</v>
      </c>
      <c r="J6548" s="3">
        <v>1026</v>
      </c>
      <c r="K6548" s="3">
        <v>424</v>
      </c>
      <c r="L6548" t="s">
        <v>120</v>
      </c>
      <c r="M6548">
        <v>3</v>
      </c>
      <c r="N6548" t="s">
        <v>69</v>
      </c>
      <c r="O6548" t="s">
        <v>70</v>
      </c>
      <c r="P6548" t="s">
        <v>71</v>
      </c>
      <c r="Q6548" t="s">
        <v>72</v>
      </c>
      <c r="R6548" t="s">
        <v>139</v>
      </c>
      <c r="S6548" t="s">
        <v>144</v>
      </c>
      <c r="T6548" s="2">
        <f>MASTER[[#This Row],[CANTIDAD]]*MASTER[[#This Row],[PRECIO DE VENTA]]</f>
        <v>1026</v>
      </c>
      <c r="U6548" s="2">
        <f>MASTER[[#This Row],[CANTIDAD]]*MASTER[[#This Row],[COSTO UNITARIO]]</f>
        <v>424</v>
      </c>
      <c r="V6548" s="2">
        <f>MASTER[[#This Row],[MONTO VENDIDO]]-MASTER[[#This Row],[COSTO DE VENTA]]</f>
        <v>602</v>
      </c>
    </row>
    <row r="6549" spans="1:22" x14ac:dyDescent="0.3">
      <c r="A6549">
        <v>89454</v>
      </c>
      <c r="B6549">
        <v>1</v>
      </c>
      <c r="C6549" t="s">
        <v>121</v>
      </c>
      <c r="D6549" t="s">
        <v>122</v>
      </c>
      <c r="E6549" s="1">
        <v>44538</v>
      </c>
      <c r="F6549">
        <v>1</v>
      </c>
      <c r="G6549" t="s">
        <v>55</v>
      </c>
      <c r="H6549" t="s">
        <v>56</v>
      </c>
      <c r="I6549" s="3">
        <v>1069</v>
      </c>
      <c r="J6549" s="3">
        <v>1069</v>
      </c>
      <c r="K6549" s="3">
        <v>460</v>
      </c>
      <c r="L6549" t="s">
        <v>120</v>
      </c>
      <c r="M6549">
        <v>7</v>
      </c>
      <c r="N6549" t="s">
        <v>84</v>
      </c>
      <c r="O6549" t="s">
        <v>81</v>
      </c>
      <c r="P6549" t="s">
        <v>12</v>
      </c>
      <c r="Q6549" t="s">
        <v>13</v>
      </c>
      <c r="R6549" t="s">
        <v>13</v>
      </c>
      <c r="S6549" t="s">
        <v>144</v>
      </c>
      <c r="T6549" s="2">
        <f>MASTER[[#This Row],[CANTIDAD]]*MASTER[[#This Row],[PRECIO DE VENTA]]</f>
        <v>1069</v>
      </c>
      <c r="U6549" s="2">
        <f>MASTER[[#This Row],[CANTIDAD]]*MASTER[[#This Row],[COSTO UNITARIO]]</f>
        <v>460</v>
      </c>
      <c r="V6549" s="2">
        <f>MASTER[[#This Row],[MONTO VENDIDO]]-MASTER[[#This Row],[COSTO DE VENTA]]</f>
        <v>609</v>
      </c>
    </row>
    <row r="6550" spans="1:22" x14ac:dyDescent="0.3">
      <c r="A6550">
        <v>89458</v>
      </c>
      <c r="B6550">
        <v>1</v>
      </c>
      <c r="C6550" t="s">
        <v>121</v>
      </c>
      <c r="D6550" t="s">
        <v>122</v>
      </c>
      <c r="E6550" s="1">
        <v>44538</v>
      </c>
      <c r="F6550">
        <v>1</v>
      </c>
      <c r="G6550" t="s">
        <v>29</v>
      </c>
      <c r="H6550" t="s">
        <v>30</v>
      </c>
      <c r="I6550" s="3">
        <v>941</v>
      </c>
      <c r="J6550" s="3">
        <v>884</v>
      </c>
      <c r="K6550" s="3">
        <v>460</v>
      </c>
      <c r="L6550" t="s">
        <v>120</v>
      </c>
      <c r="M6550">
        <v>12</v>
      </c>
      <c r="N6550" t="s">
        <v>26</v>
      </c>
      <c r="O6550" t="s">
        <v>11</v>
      </c>
      <c r="P6550" t="s">
        <v>12</v>
      </c>
      <c r="Q6550" t="s">
        <v>13</v>
      </c>
      <c r="R6550" t="s">
        <v>13</v>
      </c>
      <c r="S6550" t="s">
        <v>144</v>
      </c>
      <c r="T6550" s="2">
        <f>MASTER[[#This Row],[CANTIDAD]]*MASTER[[#This Row],[PRECIO DE VENTA]]</f>
        <v>884</v>
      </c>
      <c r="U6550" s="2">
        <f>MASTER[[#This Row],[CANTIDAD]]*MASTER[[#This Row],[COSTO UNITARIO]]</f>
        <v>460</v>
      </c>
      <c r="V6550" s="2">
        <f>MASTER[[#This Row],[MONTO VENDIDO]]-MASTER[[#This Row],[COSTO DE VENTA]]</f>
        <v>424</v>
      </c>
    </row>
    <row r="6551" spans="1:22" x14ac:dyDescent="0.3">
      <c r="A6551">
        <v>89483</v>
      </c>
      <c r="B6551">
        <v>1</v>
      </c>
      <c r="C6551" t="s">
        <v>90</v>
      </c>
      <c r="D6551" t="s">
        <v>91</v>
      </c>
      <c r="E6551" s="1">
        <v>44538</v>
      </c>
      <c r="F6551">
        <v>1</v>
      </c>
      <c r="G6551" t="s">
        <v>29</v>
      </c>
      <c r="H6551" t="s">
        <v>30</v>
      </c>
      <c r="I6551" s="3">
        <v>2102</v>
      </c>
      <c r="J6551" s="3">
        <v>2102</v>
      </c>
      <c r="K6551" s="3">
        <v>420</v>
      </c>
      <c r="L6551" t="s">
        <v>9</v>
      </c>
      <c r="M6551">
        <v>3</v>
      </c>
      <c r="N6551" t="s">
        <v>69</v>
      </c>
      <c r="O6551" t="s">
        <v>70</v>
      </c>
      <c r="P6551" t="s">
        <v>71</v>
      </c>
      <c r="Q6551" t="s">
        <v>72</v>
      </c>
      <c r="R6551" t="s">
        <v>139</v>
      </c>
      <c r="S6551" t="s">
        <v>144</v>
      </c>
      <c r="T6551" s="2">
        <f>MASTER[[#This Row],[CANTIDAD]]*MASTER[[#This Row],[PRECIO DE VENTA]]</f>
        <v>2102</v>
      </c>
      <c r="U6551" s="2">
        <f>MASTER[[#This Row],[CANTIDAD]]*MASTER[[#This Row],[COSTO UNITARIO]]</f>
        <v>420</v>
      </c>
      <c r="V6551" s="2">
        <f>MASTER[[#This Row],[MONTO VENDIDO]]-MASTER[[#This Row],[COSTO DE VENTA]]</f>
        <v>1682</v>
      </c>
    </row>
    <row r="6552" spans="1:22" x14ac:dyDescent="0.3">
      <c r="A6552">
        <v>89487</v>
      </c>
      <c r="B6552">
        <v>1</v>
      </c>
      <c r="C6552" t="s">
        <v>114</v>
      </c>
      <c r="D6552" t="s">
        <v>115</v>
      </c>
      <c r="E6552" s="1">
        <v>44538</v>
      </c>
      <c r="F6552">
        <v>1</v>
      </c>
      <c r="G6552" t="s">
        <v>57</v>
      </c>
      <c r="H6552" t="s">
        <v>58</v>
      </c>
      <c r="I6552" s="3">
        <v>1583</v>
      </c>
      <c r="J6552" s="3">
        <v>1583</v>
      </c>
      <c r="K6552" s="3">
        <v>394</v>
      </c>
      <c r="L6552" t="s">
        <v>113</v>
      </c>
      <c r="M6552">
        <v>17</v>
      </c>
      <c r="N6552" t="s">
        <v>14</v>
      </c>
      <c r="O6552" t="s">
        <v>11</v>
      </c>
      <c r="P6552" t="s">
        <v>15</v>
      </c>
      <c r="Q6552" t="s">
        <v>16</v>
      </c>
      <c r="R6552" t="s">
        <v>16</v>
      </c>
      <c r="S6552" t="s">
        <v>144</v>
      </c>
      <c r="T6552" s="2">
        <f>MASTER[[#This Row],[CANTIDAD]]*MASTER[[#This Row],[PRECIO DE VENTA]]</f>
        <v>1583</v>
      </c>
      <c r="U6552" s="2">
        <f>MASTER[[#This Row],[CANTIDAD]]*MASTER[[#This Row],[COSTO UNITARIO]]</f>
        <v>394</v>
      </c>
      <c r="V6552" s="2">
        <f>MASTER[[#This Row],[MONTO VENDIDO]]-MASTER[[#This Row],[COSTO DE VENTA]]</f>
        <v>1189</v>
      </c>
    </row>
    <row r="6553" spans="1:22" x14ac:dyDescent="0.3">
      <c r="A6553">
        <v>89500</v>
      </c>
      <c r="B6553">
        <v>1</v>
      </c>
      <c r="C6553" t="s">
        <v>99</v>
      </c>
      <c r="D6553" t="s">
        <v>100</v>
      </c>
      <c r="E6553" s="1">
        <v>44538</v>
      </c>
      <c r="F6553">
        <v>1</v>
      </c>
      <c r="G6553" t="s">
        <v>57</v>
      </c>
      <c r="H6553" t="s">
        <v>58</v>
      </c>
      <c r="I6553" s="3">
        <v>1678</v>
      </c>
      <c r="J6553" s="3">
        <v>1678</v>
      </c>
      <c r="K6553" s="3">
        <v>386</v>
      </c>
      <c r="L6553" t="s">
        <v>98</v>
      </c>
      <c r="M6553">
        <v>9</v>
      </c>
      <c r="N6553" t="s">
        <v>76</v>
      </c>
      <c r="O6553" t="s">
        <v>70</v>
      </c>
      <c r="P6553" t="s">
        <v>12</v>
      </c>
      <c r="Q6553" t="s">
        <v>13</v>
      </c>
      <c r="R6553" t="s">
        <v>13</v>
      </c>
      <c r="S6553" t="s">
        <v>144</v>
      </c>
      <c r="T6553" s="2">
        <f>MASTER[[#This Row],[CANTIDAD]]*MASTER[[#This Row],[PRECIO DE VENTA]]</f>
        <v>1678</v>
      </c>
      <c r="U6553" s="2">
        <f>MASTER[[#This Row],[CANTIDAD]]*MASTER[[#This Row],[COSTO UNITARIO]]</f>
        <v>386</v>
      </c>
      <c r="V6553" s="2">
        <f>MASTER[[#This Row],[MONTO VENDIDO]]-MASTER[[#This Row],[COSTO DE VENTA]]</f>
        <v>1292</v>
      </c>
    </row>
    <row r="6554" spans="1:22" x14ac:dyDescent="0.3">
      <c r="A6554">
        <v>89504</v>
      </c>
      <c r="B6554">
        <v>1</v>
      </c>
      <c r="C6554" t="s">
        <v>96</v>
      </c>
      <c r="D6554" t="s">
        <v>97</v>
      </c>
      <c r="E6554" s="1">
        <v>44538</v>
      </c>
      <c r="F6554">
        <v>4</v>
      </c>
      <c r="G6554" t="s">
        <v>39</v>
      </c>
      <c r="H6554" t="s">
        <v>40</v>
      </c>
      <c r="I6554" s="3">
        <v>1361</v>
      </c>
      <c r="J6554" s="3">
        <v>1361</v>
      </c>
      <c r="K6554" s="3">
        <v>397</v>
      </c>
      <c r="L6554" t="s">
        <v>98</v>
      </c>
      <c r="M6554">
        <v>9</v>
      </c>
      <c r="N6554" t="s">
        <v>76</v>
      </c>
      <c r="O6554" t="s">
        <v>70</v>
      </c>
      <c r="P6554" t="s">
        <v>12</v>
      </c>
      <c r="Q6554" t="s">
        <v>13</v>
      </c>
      <c r="R6554" t="s">
        <v>13</v>
      </c>
      <c r="S6554" t="s">
        <v>144</v>
      </c>
      <c r="T6554" s="2">
        <f>MASTER[[#This Row],[CANTIDAD]]*MASTER[[#This Row],[PRECIO DE VENTA]]</f>
        <v>5444</v>
      </c>
      <c r="U6554" s="2">
        <f>MASTER[[#This Row],[CANTIDAD]]*MASTER[[#This Row],[COSTO UNITARIO]]</f>
        <v>1588</v>
      </c>
      <c r="V6554" s="2">
        <f>MASTER[[#This Row],[MONTO VENDIDO]]-MASTER[[#This Row],[COSTO DE VENTA]]</f>
        <v>3856</v>
      </c>
    </row>
    <row r="6555" spans="1:22" x14ac:dyDescent="0.3">
      <c r="A6555">
        <v>89529</v>
      </c>
      <c r="B6555">
        <v>1</v>
      </c>
      <c r="C6555" t="s">
        <v>111</v>
      </c>
      <c r="D6555" t="s">
        <v>112</v>
      </c>
      <c r="E6555" s="1">
        <v>44538</v>
      </c>
      <c r="F6555">
        <v>1</v>
      </c>
      <c r="G6555" t="s">
        <v>22</v>
      </c>
      <c r="H6555" t="s">
        <v>23</v>
      </c>
      <c r="I6555" s="3">
        <v>1524</v>
      </c>
      <c r="J6555" s="3">
        <v>1524</v>
      </c>
      <c r="K6555" s="3">
        <v>434</v>
      </c>
      <c r="L6555" t="s">
        <v>113</v>
      </c>
      <c r="M6555">
        <v>17</v>
      </c>
      <c r="N6555" t="s">
        <v>14</v>
      </c>
      <c r="O6555" t="s">
        <v>11</v>
      </c>
      <c r="P6555" t="s">
        <v>15</v>
      </c>
      <c r="Q6555" t="s">
        <v>16</v>
      </c>
      <c r="R6555" t="s">
        <v>16</v>
      </c>
      <c r="S6555" t="s">
        <v>144</v>
      </c>
      <c r="T6555" s="2">
        <f>MASTER[[#This Row],[CANTIDAD]]*MASTER[[#This Row],[PRECIO DE VENTA]]</f>
        <v>1524</v>
      </c>
      <c r="U6555" s="2">
        <f>MASTER[[#This Row],[CANTIDAD]]*MASTER[[#This Row],[COSTO UNITARIO]]</f>
        <v>434</v>
      </c>
      <c r="V6555" s="2">
        <f>MASTER[[#This Row],[MONTO VENDIDO]]-MASTER[[#This Row],[COSTO DE VENTA]]</f>
        <v>1090</v>
      </c>
    </row>
    <row r="6556" spans="1:22" x14ac:dyDescent="0.3">
      <c r="A6556">
        <v>89531</v>
      </c>
      <c r="B6556">
        <v>1</v>
      </c>
      <c r="C6556" t="s">
        <v>96</v>
      </c>
      <c r="D6556" t="s">
        <v>97</v>
      </c>
      <c r="E6556" s="1">
        <v>44538</v>
      </c>
      <c r="F6556">
        <v>1</v>
      </c>
      <c r="G6556" t="s">
        <v>33</v>
      </c>
      <c r="H6556" t="s">
        <v>34</v>
      </c>
      <c r="I6556" s="3">
        <v>1272</v>
      </c>
      <c r="J6556" s="3">
        <v>1272</v>
      </c>
      <c r="K6556" s="3">
        <v>397</v>
      </c>
      <c r="L6556" t="s">
        <v>98</v>
      </c>
      <c r="M6556">
        <v>19</v>
      </c>
      <c r="N6556" t="s">
        <v>89</v>
      </c>
      <c r="O6556" t="s">
        <v>81</v>
      </c>
      <c r="P6556" t="s">
        <v>15</v>
      </c>
      <c r="Q6556" t="s">
        <v>16</v>
      </c>
      <c r="R6556" t="s">
        <v>16</v>
      </c>
      <c r="S6556" t="s">
        <v>144</v>
      </c>
      <c r="T6556" s="2">
        <f>MASTER[[#This Row],[CANTIDAD]]*MASTER[[#This Row],[PRECIO DE VENTA]]</f>
        <v>1272</v>
      </c>
      <c r="U6556" s="2">
        <f>MASTER[[#This Row],[CANTIDAD]]*MASTER[[#This Row],[COSTO UNITARIO]]</f>
        <v>397</v>
      </c>
      <c r="V6556" s="2">
        <f>MASTER[[#This Row],[MONTO VENDIDO]]-MASTER[[#This Row],[COSTO DE VENTA]]</f>
        <v>875</v>
      </c>
    </row>
    <row r="6557" spans="1:22" x14ac:dyDescent="0.3">
      <c r="A6557">
        <v>89566</v>
      </c>
      <c r="B6557">
        <v>1</v>
      </c>
      <c r="C6557" t="s">
        <v>96</v>
      </c>
      <c r="D6557" t="s">
        <v>97</v>
      </c>
      <c r="E6557" s="1">
        <v>44539</v>
      </c>
      <c r="F6557">
        <v>1</v>
      </c>
      <c r="G6557" t="s">
        <v>22</v>
      </c>
      <c r="H6557" t="s">
        <v>23</v>
      </c>
      <c r="I6557" s="3">
        <v>1196</v>
      </c>
      <c r="J6557" s="3">
        <v>1196</v>
      </c>
      <c r="K6557" s="3">
        <v>397</v>
      </c>
      <c r="L6557" t="s">
        <v>98</v>
      </c>
      <c r="M6557">
        <v>17</v>
      </c>
      <c r="N6557" t="s">
        <v>14</v>
      </c>
      <c r="O6557" t="s">
        <v>11</v>
      </c>
      <c r="P6557" t="s">
        <v>15</v>
      </c>
      <c r="Q6557" t="s">
        <v>16</v>
      </c>
      <c r="R6557" t="s">
        <v>16</v>
      </c>
      <c r="S6557" t="s">
        <v>144</v>
      </c>
      <c r="T6557" s="2">
        <f>MASTER[[#This Row],[CANTIDAD]]*MASTER[[#This Row],[PRECIO DE VENTA]]</f>
        <v>1196</v>
      </c>
      <c r="U6557" s="2">
        <f>MASTER[[#This Row],[CANTIDAD]]*MASTER[[#This Row],[COSTO UNITARIO]]</f>
        <v>397</v>
      </c>
      <c r="V6557" s="2">
        <f>MASTER[[#This Row],[MONTO VENDIDO]]-MASTER[[#This Row],[COSTO DE VENTA]]</f>
        <v>799</v>
      </c>
    </row>
    <row r="6558" spans="1:22" x14ac:dyDescent="0.3">
      <c r="A6558">
        <v>89570</v>
      </c>
      <c r="B6558">
        <v>1</v>
      </c>
      <c r="C6558" t="s">
        <v>90</v>
      </c>
      <c r="D6558" t="s">
        <v>91</v>
      </c>
      <c r="E6558" s="1">
        <v>44539</v>
      </c>
      <c r="F6558">
        <v>1</v>
      </c>
      <c r="G6558" t="s">
        <v>7</v>
      </c>
      <c r="H6558" t="s">
        <v>8</v>
      </c>
      <c r="I6558" s="3">
        <v>2102</v>
      </c>
      <c r="J6558" s="3">
        <v>2102</v>
      </c>
      <c r="K6558" s="3">
        <v>420</v>
      </c>
      <c r="L6558" t="s">
        <v>9</v>
      </c>
      <c r="M6558">
        <v>6</v>
      </c>
      <c r="N6558" t="s">
        <v>75</v>
      </c>
      <c r="O6558" t="s">
        <v>70</v>
      </c>
      <c r="P6558" t="s">
        <v>12</v>
      </c>
      <c r="Q6558" t="s">
        <v>13</v>
      </c>
      <c r="R6558" t="s">
        <v>13</v>
      </c>
      <c r="S6558" t="s">
        <v>144</v>
      </c>
      <c r="T6558" s="2">
        <f>MASTER[[#This Row],[CANTIDAD]]*MASTER[[#This Row],[PRECIO DE VENTA]]</f>
        <v>2102</v>
      </c>
      <c r="U6558" s="2">
        <f>MASTER[[#This Row],[CANTIDAD]]*MASTER[[#This Row],[COSTO UNITARIO]]</f>
        <v>420</v>
      </c>
      <c r="V6558" s="2">
        <f>MASTER[[#This Row],[MONTO VENDIDO]]-MASTER[[#This Row],[COSTO DE VENTA]]</f>
        <v>1682</v>
      </c>
    </row>
    <row r="6559" spans="1:22" x14ac:dyDescent="0.3">
      <c r="A6559">
        <v>89570</v>
      </c>
      <c r="B6559">
        <v>2</v>
      </c>
      <c r="C6559" t="s">
        <v>96</v>
      </c>
      <c r="D6559" t="s">
        <v>97</v>
      </c>
      <c r="E6559" s="1">
        <v>44539</v>
      </c>
      <c r="F6559">
        <v>1</v>
      </c>
      <c r="G6559" t="s">
        <v>73</v>
      </c>
      <c r="H6559" t="s">
        <v>74</v>
      </c>
      <c r="I6559" s="3">
        <v>1361</v>
      </c>
      <c r="J6559" s="3">
        <v>1361</v>
      </c>
      <c r="K6559" s="3">
        <v>397</v>
      </c>
      <c r="L6559" t="s">
        <v>98</v>
      </c>
      <c r="M6559">
        <v>6</v>
      </c>
      <c r="N6559" t="s">
        <v>75</v>
      </c>
      <c r="O6559" t="s">
        <v>70</v>
      </c>
      <c r="P6559" t="s">
        <v>12</v>
      </c>
      <c r="Q6559" t="s">
        <v>13</v>
      </c>
      <c r="R6559" t="s">
        <v>13</v>
      </c>
      <c r="S6559" t="s">
        <v>144</v>
      </c>
      <c r="T6559" s="2">
        <f>MASTER[[#This Row],[CANTIDAD]]*MASTER[[#This Row],[PRECIO DE VENTA]]</f>
        <v>1361</v>
      </c>
      <c r="U6559" s="2">
        <f>MASTER[[#This Row],[CANTIDAD]]*MASTER[[#This Row],[COSTO UNITARIO]]</f>
        <v>397</v>
      </c>
      <c r="V6559" s="2">
        <f>MASTER[[#This Row],[MONTO VENDIDO]]-MASTER[[#This Row],[COSTO DE VENTA]]</f>
        <v>964</v>
      </c>
    </row>
    <row r="6560" spans="1:22" x14ac:dyDescent="0.3">
      <c r="A6560">
        <v>89586</v>
      </c>
      <c r="B6560">
        <v>1</v>
      </c>
      <c r="C6560" t="s">
        <v>92</v>
      </c>
      <c r="D6560" t="s">
        <v>93</v>
      </c>
      <c r="E6560" s="1">
        <v>44539</v>
      </c>
      <c r="F6560">
        <v>4</v>
      </c>
      <c r="G6560" t="s">
        <v>31</v>
      </c>
      <c r="H6560" t="s">
        <v>32</v>
      </c>
      <c r="I6560" s="3">
        <v>1681</v>
      </c>
      <c r="J6560" s="3">
        <v>1681</v>
      </c>
      <c r="K6560" s="3">
        <v>396</v>
      </c>
      <c r="L6560" t="s">
        <v>9</v>
      </c>
      <c r="M6560">
        <v>4</v>
      </c>
      <c r="N6560" t="s">
        <v>82</v>
      </c>
      <c r="O6560" t="s">
        <v>81</v>
      </c>
      <c r="P6560" t="s">
        <v>71</v>
      </c>
      <c r="Q6560" t="s">
        <v>72</v>
      </c>
      <c r="R6560" t="s">
        <v>139</v>
      </c>
      <c r="S6560" t="s">
        <v>144</v>
      </c>
      <c r="T6560" s="2">
        <f>MASTER[[#This Row],[CANTIDAD]]*MASTER[[#This Row],[PRECIO DE VENTA]]</f>
        <v>6724</v>
      </c>
      <c r="U6560" s="2">
        <f>MASTER[[#This Row],[CANTIDAD]]*MASTER[[#This Row],[COSTO UNITARIO]]</f>
        <v>1584</v>
      </c>
      <c r="V6560" s="2">
        <f>MASTER[[#This Row],[MONTO VENDIDO]]-MASTER[[#This Row],[COSTO DE VENTA]]</f>
        <v>5140</v>
      </c>
    </row>
    <row r="6561" spans="1:22" x14ac:dyDescent="0.3">
      <c r="A6561">
        <v>89598</v>
      </c>
      <c r="B6561">
        <v>1</v>
      </c>
      <c r="C6561" t="s">
        <v>107</v>
      </c>
      <c r="D6561" t="s">
        <v>108</v>
      </c>
      <c r="E6561" s="1">
        <v>44539</v>
      </c>
      <c r="F6561">
        <v>1</v>
      </c>
      <c r="G6561" t="s">
        <v>65</v>
      </c>
      <c r="H6561" t="s">
        <v>66</v>
      </c>
      <c r="I6561" s="3">
        <v>1240</v>
      </c>
      <c r="J6561" s="3">
        <v>1240</v>
      </c>
      <c r="K6561" s="3">
        <v>380</v>
      </c>
      <c r="L6561" t="s">
        <v>98</v>
      </c>
      <c r="M6561">
        <v>12</v>
      </c>
      <c r="N6561" t="s">
        <v>26</v>
      </c>
      <c r="O6561" t="s">
        <v>11</v>
      </c>
      <c r="P6561" t="s">
        <v>12</v>
      </c>
      <c r="Q6561" t="s">
        <v>13</v>
      </c>
      <c r="R6561" t="s">
        <v>13</v>
      </c>
      <c r="S6561" t="s">
        <v>144</v>
      </c>
      <c r="T6561" s="2">
        <f>MASTER[[#This Row],[CANTIDAD]]*MASTER[[#This Row],[PRECIO DE VENTA]]</f>
        <v>1240</v>
      </c>
      <c r="U6561" s="2">
        <f>MASTER[[#This Row],[CANTIDAD]]*MASTER[[#This Row],[COSTO UNITARIO]]</f>
        <v>380</v>
      </c>
      <c r="V6561" s="2">
        <f>MASTER[[#This Row],[MONTO VENDIDO]]-MASTER[[#This Row],[COSTO DE VENTA]]</f>
        <v>860</v>
      </c>
    </row>
    <row r="6562" spans="1:22" x14ac:dyDescent="0.3">
      <c r="A6562">
        <v>89606</v>
      </c>
      <c r="B6562">
        <v>1</v>
      </c>
      <c r="C6562" t="s">
        <v>101</v>
      </c>
      <c r="D6562" t="s">
        <v>102</v>
      </c>
      <c r="E6562" s="1">
        <v>44539</v>
      </c>
      <c r="F6562">
        <v>1</v>
      </c>
      <c r="G6562" t="s">
        <v>24</v>
      </c>
      <c r="H6562" t="s">
        <v>25</v>
      </c>
      <c r="I6562" s="3">
        <v>1054</v>
      </c>
      <c r="J6562" s="3">
        <v>1054</v>
      </c>
      <c r="K6562" s="3">
        <v>442</v>
      </c>
      <c r="L6562" t="s">
        <v>98</v>
      </c>
      <c r="M6562">
        <v>16</v>
      </c>
      <c r="N6562" t="s">
        <v>17</v>
      </c>
      <c r="O6562" t="s">
        <v>11</v>
      </c>
      <c r="P6562" t="s">
        <v>18</v>
      </c>
      <c r="Q6562" t="s">
        <v>19</v>
      </c>
      <c r="R6562" t="s">
        <v>138</v>
      </c>
      <c r="S6562" t="s">
        <v>144</v>
      </c>
      <c r="T6562" s="2">
        <f>MASTER[[#This Row],[CANTIDAD]]*MASTER[[#This Row],[PRECIO DE VENTA]]</f>
        <v>1054</v>
      </c>
      <c r="U6562" s="2">
        <f>MASTER[[#This Row],[CANTIDAD]]*MASTER[[#This Row],[COSTO UNITARIO]]</f>
        <v>442</v>
      </c>
      <c r="V6562" s="2">
        <f>MASTER[[#This Row],[MONTO VENDIDO]]-MASTER[[#This Row],[COSTO DE VENTA]]</f>
        <v>612</v>
      </c>
    </row>
    <row r="6563" spans="1:22" x14ac:dyDescent="0.3">
      <c r="A6563">
        <v>89611</v>
      </c>
      <c r="B6563">
        <v>1</v>
      </c>
      <c r="C6563" t="s">
        <v>5</v>
      </c>
      <c r="D6563" t="s">
        <v>6</v>
      </c>
      <c r="E6563" s="1">
        <v>44540</v>
      </c>
      <c r="F6563">
        <v>1</v>
      </c>
      <c r="G6563" t="s">
        <v>33</v>
      </c>
      <c r="H6563" t="s">
        <v>34</v>
      </c>
      <c r="I6563" s="3">
        <v>1296</v>
      </c>
      <c r="J6563" s="3">
        <v>1296</v>
      </c>
      <c r="K6563" s="3">
        <v>393</v>
      </c>
      <c r="L6563" t="s">
        <v>9</v>
      </c>
      <c r="M6563">
        <v>6</v>
      </c>
      <c r="N6563" t="s">
        <v>75</v>
      </c>
      <c r="O6563" t="s">
        <v>70</v>
      </c>
      <c r="P6563" t="s">
        <v>12</v>
      </c>
      <c r="Q6563" t="s">
        <v>13</v>
      </c>
      <c r="R6563" t="s">
        <v>13</v>
      </c>
      <c r="S6563" t="s">
        <v>144</v>
      </c>
      <c r="T6563" s="2">
        <f>MASTER[[#This Row],[CANTIDAD]]*MASTER[[#This Row],[PRECIO DE VENTA]]</f>
        <v>1296</v>
      </c>
      <c r="U6563" s="2">
        <f>MASTER[[#This Row],[CANTIDAD]]*MASTER[[#This Row],[COSTO UNITARIO]]</f>
        <v>393</v>
      </c>
      <c r="V6563" s="2">
        <f>MASTER[[#This Row],[MONTO VENDIDO]]-MASTER[[#This Row],[COSTO DE VENTA]]</f>
        <v>903</v>
      </c>
    </row>
    <row r="6564" spans="1:22" x14ac:dyDescent="0.3">
      <c r="A6564">
        <v>89614</v>
      </c>
      <c r="B6564">
        <v>1</v>
      </c>
      <c r="C6564" t="s">
        <v>105</v>
      </c>
      <c r="D6564" t="s">
        <v>106</v>
      </c>
      <c r="E6564" s="1">
        <v>44540</v>
      </c>
      <c r="F6564">
        <v>1</v>
      </c>
      <c r="G6564" t="s">
        <v>45</v>
      </c>
      <c r="H6564" t="s">
        <v>46</v>
      </c>
      <c r="I6564" s="3">
        <v>2033</v>
      </c>
      <c r="J6564" s="3">
        <v>1931</v>
      </c>
      <c r="K6564" s="3">
        <v>459</v>
      </c>
      <c r="L6564" t="s">
        <v>98</v>
      </c>
      <c r="M6564">
        <v>3</v>
      </c>
      <c r="N6564" t="s">
        <v>69</v>
      </c>
      <c r="O6564" t="s">
        <v>70</v>
      </c>
      <c r="P6564" t="s">
        <v>71</v>
      </c>
      <c r="Q6564" t="s">
        <v>72</v>
      </c>
      <c r="R6564" t="s">
        <v>139</v>
      </c>
      <c r="S6564" t="s">
        <v>144</v>
      </c>
      <c r="T6564" s="2">
        <f>MASTER[[#This Row],[CANTIDAD]]*MASTER[[#This Row],[PRECIO DE VENTA]]</f>
        <v>1931</v>
      </c>
      <c r="U6564" s="2">
        <f>MASTER[[#This Row],[CANTIDAD]]*MASTER[[#This Row],[COSTO UNITARIO]]</f>
        <v>459</v>
      </c>
      <c r="V6564" s="2">
        <f>MASTER[[#This Row],[MONTO VENDIDO]]-MASTER[[#This Row],[COSTO DE VENTA]]</f>
        <v>1472</v>
      </c>
    </row>
    <row r="6565" spans="1:22" x14ac:dyDescent="0.3">
      <c r="A6565">
        <v>89618</v>
      </c>
      <c r="B6565">
        <v>1</v>
      </c>
      <c r="C6565" t="s">
        <v>99</v>
      </c>
      <c r="D6565" t="s">
        <v>100</v>
      </c>
      <c r="E6565" s="1">
        <v>44540</v>
      </c>
      <c r="F6565">
        <v>1</v>
      </c>
      <c r="G6565" t="s">
        <v>73</v>
      </c>
      <c r="H6565" t="s">
        <v>74</v>
      </c>
      <c r="I6565" s="3">
        <v>1328</v>
      </c>
      <c r="J6565" s="3">
        <v>1328</v>
      </c>
      <c r="K6565" s="3">
        <v>386</v>
      </c>
      <c r="L6565" t="s">
        <v>98</v>
      </c>
      <c r="M6565">
        <v>17</v>
      </c>
      <c r="N6565" t="s">
        <v>14</v>
      </c>
      <c r="O6565" t="s">
        <v>11</v>
      </c>
      <c r="P6565" t="s">
        <v>15</v>
      </c>
      <c r="Q6565" t="s">
        <v>16</v>
      </c>
      <c r="R6565" t="s">
        <v>16</v>
      </c>
      <c r="S6565" t="s">
        <v>144</v>
      </c>
      <c r="T6565" s="2">
        <f>MASTER[[#This Row],[CANTIDAD]]*MASTER[[#This Row],[PRECIO DE VENTA]]</f>
        <v>1328</v>
      </c>
      <c r="U6565" s="2">
        <f>MASTER[[#This Row],[CANTIDAD]]*MASTER[[#This Row],[COSTO UNITARIO]]</f>
        <v>386</v>
      </c>
      <c r="V6565" s="2">
        <f>MASTER[[#This Row],[MONTO VENDIDO]]-MASTER[[#This Row],[COSTO DE VENTA]]</f>
        <v>942</v>
      </c>
    </row>
    <row r="6566" spans="1:22" x14ac:dyDescent="0.3">
      <c r="A6566">
        <v>89622</v>
      </c>
      <c r="B6566">
        <v>1</v>
      </c>
      <c r="C6566" t="s">
        <v>111</v>
      </c>
      <c r="D6566" t="s">
        <v>112</v>
      </c>
      <c r="E6566" s="1">
        <v>44540</v>
      </c>
      <c r="F6566">
        <v>1</v>
      </c>
      <c r="G6566" t="s">
        <v>41</v>
      </c>
      <c r="H6566" t="s">
        <v>42</v>
      </c>
      <c r="I6566" s="3">
        <v>1621</v>
      </c>
      <c r="J6566" s="3">
        <v>1621</v>
      </c>
      <c r="K6566" s="3">
        <v>434</v>
      </c>
      <c r="L6566" t="s">
        <v>113</v>
      </c>
      <c r="M6566">
        <v>10</v>
      </c>
      <c r="N6566" t="s">
        <v>83</v>
      </c>
      <c r="O6566" t="s">
        <v>81</v>
      </c>
      <c r="P6566" t="s">
        <v>12</v>
      </c>
      <c r="Q6566" t="s">
        <v>13</v>
      </c>
      <c r="R6566" t="s">
        <v>13</v>
      </c>
      <c r="S6566" t="s">
        <v>144</v>
      </c>
      <c r="T6566" s="2">
        <f>MASTER[[#This Row],[CANTIDAD]]*MASTER[[#This Row],[PRECIO DE VENTA]]</f>
        <v>1621</v>
      </c>
      <c r="U6566" s="2">
        <f>MASTER[[#This Row],[CANTIDAD]]*MASTER[[#This Row],[COSTO UNITARIO]]</f>
        <v>434</v>
      </c>
      <c r="V6566" s="2">
        <f>MASTER[[#This Row],[MONTO VENDIDO]]-MASTER[[#This Row],[COSTO DE VENTA]]</f>
        <v>1187</v>
      </c>
    </row>
    <row r="6567" spans="1:22" x14ac:dyDescent="0.3">
      <c r="A6567">
        <v>89624</v>
      </c>
      <c r="B6567">
        <v>1</v>
      </c>
      <c r="C6567" t="s">
        <v>99</v>
      </c>
      <c r="D6567" t="s">
        <v>100</v>
      </c>
      <c r="E6567" s="1">
        <v>44540</v>
      </c>
      <c r="F6567">
        <v>1</v>
      </c>
      <c r="G6567" t="s">
        <v>7</v>
      </c>
      <c r="H6567" t="s">
        <v>8</v>
      </c>
      <c r="I6567" s="3">
        <v>1459</v>
      </c>
      <c r="J6567" s="3">
        <v>1459</v>
      </c>
      <c r="K6567" s="3">
        <v>386</v>
      </c>
      <c r="L6567" t="s">
        <v>98</v>
      </c>
      <c r="M6567">
        <v>5</v>
      </c>
      <c r="N6567" t="s">
        <v>85</v>
      </c>
      <c r="O6567" t="s">
        <v>81</v>
      </c>
      <c r="P6567" t="s">
        <v>12</v>
      </c>
      <c r="Q6567" t="s">
        <v>13</v>
      </c>
      <c r="R6567" t="s">
        <v>13</v>
      </c>
      <c r="S6567" t="s">
        <v>144</v>
      </c>
      <c r="T6567" s="2">
        <f>MASTER[[#This Row],[CANTIDAD]]*MASTER[[#This Row],[PRECIO DE VENTA]]</f>
        <v>1459</v>
      </c>
      <c r="U6567" s="2">
        <f>MASTER[[#This Row],[CANTIDAD]]*MASTER[[#This Row],[COSTO UNITARIO]]</f>
        <v>386</v>
      </c>
      <c r="V6567" s="2">
        <f>MASTER[[#This Row],[MONTO VENDIDO]]-MASTER[[#This Row],[COSTO DE VENTA]]</f>
        <v>1073</v>
      </c>
    </row>
    <row r="6568" spans="1:22" x14ac:dyDescent="0.3">
      <c r="A6568">
        <v>89638</v>
      </c>
      <c r="B6568">
        <v>1</v>
      </c>
      <c r="C6568" t="s">
        <v>118</v>
      </c>
      <c r="D6568" t="s">
        <v>119</v>
      </c>
      <c r="E6568" s="1">
        <v>44540</v>
      </c>
      <c r="F6568">
        <v>1</v>
      </c>
      <c r="G6568" t="s">
        <v>51</v>
      </c>
      <c r="H6568" t="s">
        <v>52</v>
      </c>
      <c r="I6568" s="3">
        <v>900</v>
      </c>
      <c r="J6568" s="3">
        <v>900</v>
      </c>
      <c r="K6568" s="3">
        <v>424</v>
      </c>
      <c r="L6568" t="s">
        <v>120</v>
      </c>
      <c r="M6568">
        <v>8</v>
      </c>
      <c r="N6568" t="s">
        <v>80</v>
      </c>
      <c r="O6568" t="s">
        <v>81</v>
      </c>
      <c r="P6568" t="s">
        <v>12</v>
      </c>
      <c r="Q6568" t="s">
        <v>13</v>
      </c>
      <c r="R6568" t="s">
        <v>13</v>
      </c>
      <c r="S6568" t="s">
        <v>144</v>
      </c>
      <c r="T6568" s="2">
        <f>MASTER[[#This Row],[CANTIDAD]]*MASTER[[#This Row],[PRECIO DE VENTA]]</f>
        <v>900</v>
      </c>
      <c r="U6568" s="2">
        <f>MASTER[[#This Row],[CANTIDAD]]*MASTER[[#This Row],[COSTO UNITARIO]]</f>
        <v>424</v>
      </c>
      <c r="V6568" s="2">
        <f>MASTER[[#This Row],[MONTO VENDIDO]]-MASTER[[#This Row],[COSTO DE VENTA]]</f>
        <v>476</v>
      </c>
    </row>
    <row r="6569" spans="1:22" x14ac:dyDescent="0.3">
      <c r="A6569">
        <v>89650</v>
      </c>
      <c r="B6569">
        <v>1</v>
      </c>
      <c r="C6569" t="s">
        <v>109</v>
      </c>
      <c r="D6569" t="s">
        <v>110</v>
      </c>
      <c r="E6569" s="1">
        <v>44540</v>
      </c>
      <c r="F6569">
        <v>1</v>
      </c>
      <c r="G6569" t="s">
        <v>20</v>
      </c>
      <c r="H6569" t="s">
        <v>21</v>
      </c>
      <c r="I6569" s="3">
        <v>1128</v>
      </c>
      <c r="J6569" s="3">
        <v>1128</v>
      </c>
      <c r="K6569" s="3">
        <v>387</v>
      </c>
      <c r="L6569" t="s">
        <v>98</v>
      </c>
      <c r="M6569">
        <v>9</v>
      </c>
      <c r="N6569" t="s">
        <v>76</v>
      </c>
      <c r="O6569" t="s">
        <v>70</v>
      </c>
      <c r="P6569" t="s">
        <v>12</v>
      </c>
      <c r="Q6569" t="s">
        <v>13</v>
      </c>
      <c r="R6569" t="s">
        <v>13</v>
      </c>
      <c r="S6569" t="s">
        <v>144</v>
      </c>
      <c r="T6569" s="2">
        <f>MASTER[[#This Row],[CANTIDAD]]*MASTER[[#This Row],[PRECIO DE VENTA]]</f>
        <v>1128</v>
      </c>
      <c r="U6569" s="2">
        <f>MASTER[[#This Row],[CANTIDAD]]*MASTER[[#This Row],[COSTO UNITARIO]]</f>
        <v>387</v>
      </c>
      <c r="V6569" s="2">
        <f>MASTER[[#This Row],[MONTO VENDIDO]]-MASTER[[#This Row],[COSTO DE VENTA]]</f>
        <v>741</v>
      </c>
    </row>
    <row r="6570" spans="1:22" x14ac:dyDescent="0.3">
      <c r="A6570">
        <v>89654</v>
      </c>
      <c r="B6570">
        <v>1</v>
      </c>
      <c r="C6570" t="s">
        <v>118</v>
      </c>
      <c r="D6570" t="s">
        <v>119</v>
      </c>
      <c r="E6570" s="1">
        <v>44540</v>
      </c>
      <c r="F6570">
        <v>1</v>
      </c>
      <c r="G6570" t="s">
        <v>45</v>
      </c>
      <c r="H6570" t="s">
        <v>46</v>
      </c>
      <c r="I6570" s="3">
        <v>1026</v>
      </c>
      <c r="J6570" s="3">
        <v>1026</v>
      </c>
      <c r="K6570" s="3">
        <v>424</v>
      </c>
      <c r="L6570" t="s">
        <v>120</v>
      </c>
      <c r="M6570">
        <v>18</v>
      </c>
      <c r="N6570" t="s">
        <v>79</v>
      </c>
      <c r="O6570" t="s">
        <v>70</v>
      </c>
      <c r="P6570" t="s">
        <v>15</v>
      </c>
      <c r="Q6570" t="s">
        <v>16</v>
      </c>
      <c r="R6570" t="s">
        <v>16</v>
      </c>
      <c r="S6570" t="s">
        <v>144</v>
      </c>
      <c r="T6570" s="2">
        <f>MASTER[[#This Row],[CANTIDAD]]*MASTER[[#This Row],[PRECIO DE VENTA]]</f>
        <v>1026</v>
      </c>
      <c r="U6570" s="2">
        <f>MASTER[[#This Row],[CANTIDAD]]*MASTER[[#This Row],[COSTO UNITARIO]]</f>
        <v>424</v>
      </c>
      <c r="V6570" s="2">
        <f>MASTER[[#This Row],[MONTO VENDIDO]]-MASTER[[#This Row],[COSTO DE VENTA]]</f>
        <v>602</v>
      </c>
    </row>
    <row r="6571" spans="1:22" x14ac:dyDescent="0.3">
      <c r="A6571">
        <v>89674</v>
      </c>
      <c r="B6571">
        <v>1</v>
      </c>
      <c r="C6571" t="s">
        <v>90</v>
      </c>
      <c r="D6571" t="s">
        <v>91</v>
      </c>
      <c r="E6571" s="1">
        <v>44540</v>
      </c>
      <c r="F6571">
        <v>1</v>
      </c>
      <c r="G6571" t="s">
        <v>57</v>
      </c>
      <c r="H6571" t="s">
        <v>58</v>
      </c>
      <c r="I6571" s="3">
        <v>1844</v>
      </c>
      <c r="J6571" s="3">
        <v>1844</v>
      </c>
      <c r="K6571" s="3">
        <v>420</v>
      </c>
      <c r="L6571" t="s">
        <v>9</v>
      </c>
      <c r="M6571">
        <v>10</v>
      </c>
      <c r="N6571" t="s">
        <v>83</v>
      </c>
      <c r="O6571" t="s">
        <v>81</v>
      </c>
      <c r="P6571" t="s">
        <v>12</v>
      </c>
      <c r="Q6571" t="s">
        <v>13</v>
      </c>
      <c r="R6571" t="s">
        <v>13</v>
      </c>
      <c r="S6571" t="s">
        <v>144</v>
      </c>
      <c r="T6571" s="2">
        <f>MASTER[[#This Row],[CANTIDAD]]*MASTER[[#This Row],[PRECIO DE VENTA]]</f>
        <v>1844</v>
      </c>
      <c r="U6571" s="2">
        <f>MASTER[[#This Row],[CANTIDAD]]*MASTER[[#This Row],[COSTO UNITARIO]]</f>
        <v>420</v>
      </c>
      <c r="V6571" s="2">
        <f>MASTER[[#This Row],[MONTO VENDIDO]]-MASTER[[#This Row],[COSTO DE VENTA]]</f>
        <v>1424</v>
      </c>
    </row>
    <row r="6572" spans="1:22" x14ac:dyDescent="0.3">
      <c r="A6572">
        <v>89681</v>
      </c>
      <c r="B6572">
        <v>1</v>
      </c>
      <c r="C6572" t="s">
        <v>111</v>
      </c>
      <c r="D6572" t="s">
        <v>112</v>
      </c>
      <c r="E6572" s="1">
        <v>44540</v>
      </c>
      <c r="F6572">
        <v>1</v>
      </c>
      <c r="G6572" t="s">
        <v>31</v>
      </c>
      <c r="H6572" t="s">
        <v>32</v>
      </c>
      <c r="I6572" s="3">
        <v>1799</v>
      </c>
      <c r="J6572" s="3">
        <v>1799</v>
      </c>
      <c r="K6572" s="3">
        <v>434</v>
      </c>
      <c r="L6572" t="s">
        <v>113</v>
      </c>
      <c r="M6572">
        <v>9</v>
      </c>
      <c r="N6572" t="s">
        <v>76</v>
      </c>
      <c r="O6572" t="s">
        <v>70</v>
      </c>
      <c r="P6572" t="s">
        <v>12</v>
      </c>
      <c r="Q6572" t="s">
        <v>13</v>
      </c>
      <c r="R6572" t="s">
        <v>13</v>
      </c>
      <c r="S6572" t="s">
        <v>144</v>
      </c>
      <c r="T6572" s="2">
        <f>MASTER[[#This Row],[CANTIDAD]]*MASTER[[#This Row],[PRECIO DE VENTA]]</f>
        <v>1799</v>
      </c>
      <c r="U6572" s="2">
        <f>MASTER[[#This Row],[CANTIDAD]]*MASTER[[#This Row],[COSTO UNITARIO]]</f>
        <v>434</v>
      </c>
      <c r="V6572" s="2">
        <f>MASTER[[#This Row],[MONTO VENDIDO]]-MASTER[[#This Row],[COSTO DE VENTA]]</f>
        <v>1365</v>
      </c>
    </row>
    <row r="6573" spans="1:22" x14ac:dyDescent="0.3">
      <c r="A6573">
        <v>89683</v>
      </c>
      <c r="B6573">
        <v>1</v>
      </c>
      <c r="C6573" t="s">
        <v>121</v>
      </c>
      <c r="D6573" t="s">
        <v>122</v>
      </c>
      <c r="E6573" s="1">
        <v>44541</v>
      </c>
      <c r="F6573">
        <v>1</v>
      </c>
      <c r="G6573" t="s">
        <v>55</v>
      </c>
      <c r="H6573" t="s">
        <v>56</v>
      </c>
      <c r="I6573" s="3">
        <v>1144</v>
      </c>
      <c r="J6573" s="3">
        <v>1144</v>
      </c>
      <c r="K6573" s="3">
        <v>460</v>
      </c>
      <c r="L6573" t="s">
        <v>120</v>
      </c>
      <c r="M6573">
        <v>6</v>
      </c>
      <c r="N6573" t="s">
        <v>75</v>
      </c>
      <c r="O6573" t="s">
        <v>70</v>
      </c>
      <c r="P6573" t="s">
        <v>12</v>
      </c>
      <c r="Q6573" t="s">
        <v>13</v>
      </c>
      <c r="R6573" t="s">
        <v>13</v>
      </c>
      <c r="S6573" t="s">
        <v>144</v>
      </c>
      <c r="T6573" s="2">
        <f>MASTER[[#This Row],[CANTIDAD]]*MASTER[[#This Row],[PRECIO DE VENTA]]</f>
        <v>1144</v>
      </c>
      <c r="U6573" s="2">
        <f>MASTER[[#This Row],[CANTIDAD]]*MASTER[[#This Row],[COSTO UNITARIO]]</f>
        <v>460</v>
      </c>
      <c r="V6573" s="2">
        <f>MASTER[[#This Row],[MONTO VENDIDO]]-MASTER[[#This Row],[COSTO DE VENTA]]</f>
        <v>684</v>
      </c>
    </row>
    <row r="6574" spans="1:22" x14ac:dyDescent="0.3">
      <c r="A6574">
        <v>89687</v>
      </c>
      <c r="B6574">
        <v>1</v>
      </c>
      <c r="C6574" t="s">
        <v>96</v>
      </c>
      <c r="D6574" t="s">
        <v>97</v>
      </c>
      <c r="E6574" s="1">
        <v>44541</v>
      </c>
      <c r="F6574">
        <v>1</v>
      </c>
      <c r="G6574" t="s">
        <v>24</v>
      </c>
      <c r="H6574" t="s">
        <v>25</v>
      </c>
      <c r="I6574" s="3">
        <v>1272</v>
      </c>
      <c r="J6574" s="3">
        <v>1272</v>
      </c>
      <c r="K6574" s="3">
        <v>397</v>
      </c>
      <c r="L6574" t="s">
        <v>98</v>
      </c>
      <c r="M6574">
        <v>5</v>
      </c>
      <c r="N6574" t="s">
        <v>85</v>
      </c>
      <c r="O6574" t="s">
        <v>81</v>
      </c>
      <c r="P6574" t="s">
        <v>12</v>
      </c>
      <c r="Q6574" t="s">
        <v>13</v>
      </c>
      <c r="R6574" t="s">
        <v>13</v>
      </c>
      <c r="S6574" t="s">
        <v>144</v>
      </c>
      <c r="T6574" s="2">
        <f>MASTER[[#This Row],[CANTIDAD]]*MASTER[[#This Row],[PRECIO DE VENTA]]</f>
        <v>1272</v>
      </c>
      <c r="U6574" s="2">
        <f>MASTER[[#This Row],[CANTIDAD]]*MASTER[[#This Row],[COSTO UNITARIO]]</f>
        <v>397</v>
      </c>
      <c r="V6574" s="2">
        <f>MASTER[[#This Row],[MONTO VENDIDO]]-MASTER[[#This Row],[COSTO DE VENTA]]</f>
        <v>875</v>
      </c>
    </row>
    <row r="6575" spans="1:22" x14ac:dyDescent="0.3">
      <c r="A6575">
        <v>89689</v>
      </c>
      <c r="B6575">
        <v>1</v>
      </c>
      <c r="C6575" t="s">
        <v>105</v>
      </c>
      <c r="D6575" t="s">
        <v>106</v>
      </c>
      <c r="E6575" s="1">
        <v>44541</v>
      </c>
      <c r="F6575">
        <v>3</v>
      </c>
      <c r="G6575" t="s">
        <v>39</v>
      </c>
      <c r="H6575" t="s">
        <v>40</v>
      </c>
      <c r="I6575" s="3">
        <v>2033</v>
      </c>
      <c r="J6575" s="3">
        <v>2033</v>
      </c>
      <c r="K6575" s="3">
        <v>459</v>
      </c>
      <c r="L6575" t="s">
        <v>98</v>
      </c>
      <c r="M6575">
        <v>18</v>
      </c>
      <c r="N6575" t="s">
        <v>79</v>
      </c>
      <c r="O6575" t="s">
        <v>70</v>
      </c>
      <c r="P6575" t="s">
        <v>15</v>
      </c>
      <c r="Q6575" t="s">
        <v>16</v>
      </c>
      <c r="R6575" t="s">
        <v>16</v>
      </c>
      <c r="S6575" t="s">
        <v>144</v>
      </c>
      <c r="T6575" s="2">
        <f>MASTER[[#This Row],[CANTIDAD]]*MASTER[[#This Row],[PRECIO DE VENTA]]</f>
        <v>6099</v>
      </c>
      <c r="U6575" s="2">
        <f>MASTER[[#This Row],[CANTIDAD]]*MASTER[[#This Row],[COSTO UNITARIO]]</f>
        <v>1377</v>
      </c>
      <c r="V6575" s="2">
        <f>MASTER[[#This Row],[MONTO VENDIDO]]-MASTER[[#This Row],[COSTO DE VENTA]]</f>
        <v>4722</v>
      </c>
    </row>
    <row r="6576" spans="1:22" x14ac:dyDescent="0.3">
      <c r="A6576">
        <v>89700</v>
      </c>
      <c r="B6576">
        <v>1</v>
      </c>
      <c r="C6576" t="s">
        <v>103</v>
      </c>
      <c r="D6576" t="s">
        <v>104</v>
      </c>
      <c r="E6576" s="1">
        <v>44541</v>
      </c>
      <c r="F6576">
        <v>1</v>
      </c>
      <c r="G6576" t="s">
        <v>65</v>
      </c>
      <c r="H6576" t="s">
        <v>66</v>
      </c>
      <c r="I6576" s="3">
        <v>1448</v>
      </c>
      <c r="J6576" s="3">
        <v>1448</v>
      </c>
      <c r="K6576" s="3">
        <v>421</v>
      </c>
      <c r="L6576" t="s">
        <v>98</v>
      </c>
      <c r="M6576">
        <v>16</v>
      </c>
      <c r="N6576" t="s">
        <v>17</v>
      </c>
      <c r="O6576" t="s">
        <v>11</v>
      </c>
      <c r="P6576" t="s">
        <v>18</v>
      </c>
      <c r="Q6576" t="s">
        <v>19</v>
      </c>
      <c r="R6576" t="s">
        <v>138</v>
      </c>
      <c r="S6576" t="s">
        <v>144</v>
      </c>
      <c r="T6576" s="2">
        <f>MASTER[[#This Row],[CANTIDAD]]*MASTER[[#This Row],[PRECIO DE VENTA]]</f>
        <v>1448</v>
      </c>
      <c r="U6576" s="2">
        <f>MASTER[[#This Row],[CANTIDAD]]*MASTER[[#This Row],[COSTO UNITARIO]]</f>
        <v>421</v>
      </c>
      <c r="V6576" s="2">
        <f>MASTER[[#This Row],[MONTO VENDIDO]]-MASTER[[#This Row],[COSTO DE VENTA]]</f>
        <v>1027</v>
      </c>
    </row>
    <row r="6577" spans="1:22" x14ac:dyDescent="0.3">
      <c r="A6577">
        <v>89707</v>
      </c>
      <c r="B6577">
        <v>1</v>
      </c>
      <c r="C6577" t="s">
        <v>5</v>
      </c>
      <c r="D6577" t="s">
        <v>6</v>
      </c>
      <c r="E6577" s="1">
        <v>44541</v>
      </c>
      <c r="F6577">
        <v>1</v>
      </c>
      <c r="G6577" t="s">
        <v>33</v>
      </c>
      <c r="H6577" t="s">
        <v>34</v>
      </c>
      <c r="I6577" s="3">
        <v>1507</v>
      </c>
      <c r="J6577" s="3">
        <v>1507</v>
      </c>
      <c r="K6577" s="3">
        <v>393</v>
      </c>
      <c r="L6577" t="s">
        <v>9</v>
      </c>
      <c r="M6577">
        <v>19</v>
      </c>
      <c r="N6577" t="s">
        <v>89</v>
      </c>
      <c r="O6577" t="s">
        <v>81</v>
      </c>
      <c r="P6577" t="s">
        <v>15</v>
      </c>
      <c r="Q6577" t="s">
        <v>16</v>
      </c>
      <c r="R6577" t="s">
        <v>16</v>
      </c>
      <c r="S6577" t="s">
        <v>144</v>
      </c>
      <c r="T6577" s="2">
        <f>MASTER[[#This Row],[CANTIDAD]]*MASTER[[#This Row],[PRECIO DE VENTA]]</f>
        <v>1507</v>
      </c>
      <c r="U6577" s="2">
        <f>MASTER[[#This Row],[CANTIDAD]]*MASTER[[#This Row],[COSTO UNITARIO]]</f>
        <v>393</v>
      </c>
      <c r="V6577" s="2">
        <f>MASTER[[#This Row],[MONTO VENDIDO]]-MASTER[[#This Row],[COSTO DE VENTA]]</f>
        <v>1114</v>
      </c>
    </row>
    <row r="6578" spans="1:22" x14ac:dyDescent="0.3">
      <c r="A6578">
        <v>89728</v>
      </c>
      <c r="B6578">
        <v>1</v>
      </c>
      <c r="C6578" t="s">
        <v>92</v>
      </c>
      <c r="D6578" t="s">
        <v>93</v>
      </c>
      <c r="E6578" s="1">
        <v>44541</v>
      </c>
      <c r="F6578">
        <v>1</v>
      </c>
      <c r="G6578" t="s">
        <v>43</v>
      </c>
      <c r="H6578" t="s">
        <v>44</v>
      </c>
      <c r="I6578" s="3">
        <v>1866</v>
      </c>
      <c r="J6578" s="3">
        <v>1866</v>
      </c>
      <c r="K6578" s="3">
        <v>396</v>
      </c>
      <c r="L6578" t="s">
        <v>9</v>
      </c>
      <c r="M6578">
        <v>6</v>
      </c>
      <c r="N6578" t="s">
        <v>75</v>
      </c>
      <c r="O6578" t="s">
        <v>70</v>
      </c>
      <c r="P6578" t="s">
        <v>12</v>
      </c>
      <c r="Q6578" t="s">
        <v>13</v>
      </c>
      <c r="R6578" t="s">
        <v>13</v>
      </c>
      <c r="S6578" t="s">
        <v>144</v>
      </c>
      <c r="T6578" s="2">
        <f>MASTER[[#This Row],[CANTIDAD]]*MASTER[[#This Row],[PRECIO DE VENTA]]</f>
        <v>1866</v>
      </c>
      <c r="U6578" s="2">
        <f>MASTER[[#This Row],[CANTIDAD]]*MASTER[[#This Row],[COSTO UNITARIO]]</f>
        <v>396</v>
      </c>
      <c r="V6578" s="2">
        <f>MASTER[[#This Row],[MONTO VENDIDO]]-MASTER[[#This Row],[COSTO DE VENTA]]</f>
        <v>1470</v>
      </c>
    </row>
    <row r="6579" spans="1:22" x14ac:dyDescent="0.3">
      <c r="A6579">
        <v>89728</v>
      </c>
      <c r="B6579">
        <v>2</v>
      </c>
      <c r="C6579" t="s">
        <v>92</v>
      </c>
      <c r="D6579" t="s">
        <v>93</v>
      </c>
      <c r="E6579" s="1">
        <v>44541</v>
      </c>
      <c r="F6579">
        <v>1</v>
      </c>
      <c r="G6579" t="s">
        <v>24</v>
      </c>
      <c r="H6579" t="s">
        <v>25</v>
      </c>
      <c r="I6579" s="3">
        <v>1866</v>
      </c>
      <c r="J6579" s="3">
        <v>1866</v>
      </c>
      <c r="K6579" s="3">
        <v>396</v>
      </c>
      <c r="L6579" t="s">
        <v>9</v>
      </c>
      <c r="M6579">
        <v>6</v>
      </c>
      <c r="N6579" t="s">
        <v>75</v>
      </c>
      <c r="O6579" t="s">
        <v>70</v>
      </c>
      <c r="P6579" t="s">
        <v>12</v>
      </c>
      <c r="Q6579" t="s">
        <v>13</v>
      </c>
      <c r="R6579" t="s">
        <v>13</v>
      </c>
      <c r="S6579" t="s">
        <v>144</v>
      </c>
      <c r="T6579" s="2">
        <f>MASTER[[#This Row],[CANTIDAD]]*MASTER[[#This Row],[PRECIO DE VENTA]]</f>
        <v>1866</v>
      </c>
      <c r="U6579" s="2">
        <f>MASTER[[#This Row],[CANTIDAD]]*MASTER[[#This Row],[COSTO UNITARIO]]</f>
        <v>396</v>
      </c>
      <c r="V6579" s="2">
        <f>MASTER[[#This Row],[MONTO VENDIDO]]-MASTER[[#This Row],[COSTO DE VENTA]]</f>
        <v>1470</v>
      </c>
    </row>
    <row r="6580" spans="1:22" x14ac:dyDescent="0.3">
      <c r="A6580">
        <v>89743</v>
      </c>
      <c r="B6580">
        <v>1</v>
      </c>
      <c r="C6580" t="s">
        <v>107</v>
      </c>
      <c r="D6580" t="s">
        <v>108</v>
      </c>
      <c r="E6580" s="1">
        <v>44542</v>
      </c>
      <c r="F6580">
        <v>1</v>
      </c>
      <c r="G6580" t="s">
        <v>29</v>
      </c>
      <c r="H6580" t="s">
        <v>30</v>
      </c>
      <c r="I6580" s="3">
        <v>1440</v>
      </c>
      <c r="J6580" s="3">
        <v>1440</v>
      </c>
      <c r="K6580" s="3">
        <v>380</v>
      </c>
      <c r="L6580" t="s">
        <v>98</v>
      </c>
      <c r="M6580">
        <v>1</v>
      </c>
      <c r="N6580" t="s">
        <v>77</v>
      </c>
      <c r="O6580" t="s">
        <v>70</v>
      </c>
      <c r="P6580" t="s">
        <v>71</v>
      </c>
      <c r="Q6580" t="s">
        <v>72</v>
      </c>
      <c r="R6580" t="s">
        <v>139</v>
      </c>
      <c r="S6580" t="s">
        <v>144</v>
      </c>
      <c r="T6580" s="2">
        <f>MASTER[[#This Row],[CANTIDAD]]*MASTER[[#This Row],[PRECIO DE VENTA]]</f>
        <v>1440</v>
      </c>
      <c r="U6580" s="2">
        <f>MASTER[[#This Row],[CANTIDAD]]*MASTER[[#This Row],[COSTO UNITARIO]]</f>
        <v>380</v>
      </c>
      <c r="V6580" s="2">
        <f>MASTER[[#This Row],[MONTO VENDIDO]]-MASTER[[#This Row],[COSTO DE VENTA]]</f>
        <v>1060</v>
      </c>
    </row>
    <row r="6581" spans="1:22" x14ac:dyDescent="0.3">
      <c r="A6581">
        <v>89755</v>
      </c>
      <c r="B6581">
        <v>1</v>
      </c>
      <c r="C6581" t="s">
        <v>114</v>
      </c>
      <c r="D6581" t="s">
        <v>115</v>
      </c>
      <c r="E6581" s="1">
        <v>44542</v>
      </c>
      <c r="F6581">
        <v>1</v>
      </c>
      <c r="G6581" t="s">
        <v>47</v>
      </c>
      <c r="H6581" t="s">
        <v>48</v>
      </c>
      <c r="I6581" s="3">
        <v>1583</v>
      </c>
      <c r="J6581" s="3">
        <v>1583</v>
      </c>
      <c r="K6581" s="3">
        <v>394</v>
      </c>
      <c r="L6581" t="s">
        <v>113</v>
      </c>
      <c r="M6581">
        <v>17</v>
      </c>
      <c r="N6581" t="s">
        <v>14</v>
      </c>
      <c r="O6581" t="s">
        <v>11</v>
      </c>
      <c r="P6581" t="s">
        <v>15</v>
      </c>
      <c r="Q6581" t="s">
        <v>16</v>
      </c>
      <c r="R6581" t="s">
        <v>16</v>
      </c>
      <c r="S6581" t="s">
        <v>144</v>
      </c>
      <c r="T6581" s="2">
        <f>MASTER[[#This Row],[CANTIDAD]]*MASTER[[#This Row],[PRECIO DE VENTA]]</f>
        <v>1583</v>
      </c>
      <c r="U6581" s="2">
        <f>MASTER[[#This Row],[CANTIDAD]]*MASTER[[#This Row],[COSTO UNITARIO]]</f>
        <v>394</v>
      </c>
      <c r="V6581" s="2">
        <f>MASTER[[#This Row],[MONTO VENDIDO]]-MASTER[[#This Row],[COSTO DE VENTA]]</f>
        <v>1189</v>
      </c>
    </row>
    <row r="6582" spans="1:22" x14ac:dyDescent="0.3">
      <c r="A6582">
        <v>89757</v>
      </c>
      <c r="B6582">
        <v>1</v>
      </c>
      <c r="C6582" t="s">
        <v>5</v>
      </c>
      <c r="D6582" t="s">
        <v>6</v>
      </c>
      <c r="E6582" s="1">
        <v>44542</v>
      </c>
      <c r="F6582">
        <v>1</v>
      </c>
      <c r="G6582" t="s">
        <v>24</v>
      </c>
      <c r="H6582" t="s">
        <v>25</v>
      </c>
      <c r="I6582" s="3">
        <v>1507</v>
      </c>
      <c r="J6582" s="3">
        <v>1507</v>
      </c>
      <c r="K6582" s="3">
        <v>393</v>
      </c>
      <c r="L6582" t="s">
        <v>9</v>
      </c>
      <c r="M6582">
        <v>10</v>
      </c>
      <c r="N6582" t="s">
        <v>83</v>
      </c>
      <c r="O6582" t="s">
        <v>81</v>
      </c>
      <c r="P6582" t="s">
        <v>12</v>
      </c>
      <c r="Q6582" t="s">
        <v>13</v>
      </c>
      <c r="R6582" t="s">
        <v>13</v>
      </c>
      <c r="S6582" t="s">
        <v>144</v>
      </c>
      <c r="T6582" s="2">
        <f>MASTER[[#This Row],[CANTIDAD]]*MASTER[[#This Row],[PRECIO DE VENTA]]</f>
        <v>1507</v>
      </c>
      <c r="U6582" s="2">
        <f>MASTER[[#This Row],[CANTIDAD]]*MASTER[[#This Row],[COSTO UNITARIO]]</f>
        <v>393</v>
      </c>
      <c r="V6582" s="2">
        <f>MASTER[[#This Row],[MONTO VENDIDO]]-MASTER[[#This Row],[COSTO DE VENTA]]</f>
        <v>1114</v>
      </c>
    </row>
    <row r="6583" spans="1:22" x14ac:dyDescent="0.3">
      <c r="A6583">
        <v>89789</v>
      </c>
      <c r="B6583">
        <v>1</v>
      </c>
      <c r="C6583" t="s">
        <v>118</v>
      </c>
      <c r="D6583" t="s">
        <v>119</v>
      </c>
      <c r="E6583" s="1">
        <v>44542</v>
      </c>
      <c r="F6583">
        <v>1</v>
      </c>
      <c r="G6583" t="s">
        <v>63</v>
      </c>
      <c r="H6583" t="s">
        <v>64</v>
      </c>
      <c r="I6583" s="3">
        <v>1026</v>
      </c>
      <c r="J6583" s="3">
        <v>1026</v>
      </c>
      <c r="K6583" s="3">
        <v>424</v>
      </c>
      <c r="L6583" t="s">
        <v>120</v>
      </c>
      <c r="M6583">
        <v>9</v>
      </c>
      <c r="N6583" t="s">
        <v>76</v>
      </c>
      <c r="O6583" t="s">
        <v>70</v>
      </c>
      <c r="P6583" t="s">
        <v>12</v>
      </c>
      <c r="Q6583" t="s">
        <v>13</v>
      </c>
      <c r="R6583" t="s">
        <v>13</v>
      </c>
      <c r="S6583" t="s">
        <v>144</v>
      </c>
      <c r="T6583" s="2">
        <f>MASTER[[#This Row],[CANTIDAD]]*MASTER[[#This Row],[PRECIO DE VENTA]]</f>
        <v>1026</v>
      </c>
      <c r="U6583" s="2">
        <f>MASTER[[#This Row],[CANTIDAD]]*MASTER[[#This Row],[COSTO UNITARIO]]</f>
        <v>424</v>
      </c>
      <c r="V6583" s="2">
        <f>MASTER[[#This Row],[MONTO VENDIDO]]-MASTER[[#This Row],[COSTO DE VENTA]]</f>
        <v>602</v>
      </c>
    </row>
    <row r="6584" spans="1:22" x14ac:dyDescent="0.3">
      <c r="A6584">
        <v>89792</v>
      </c>
      <c r="B6584">
        <v>2</v>
      </c>
      <c r="C6584" t="s">
        <v>5</v>
      </c>
      <c r="D6584" t="s">
        <v>6</v>
      </c>
      <c r="E6584" s="1">
        <v>44542</v>
      </c>
      <c r="F6584">
        <v>1</v>
      </c>
      <c r="G6584" t="s">
        <v>65</v>
      </c>
      <c r="H6584" t="s">
        <v>66</v>
      </c>
      <c r="I6584" s="3">
        <v>1507</v>
      </c>
      <c r="J6584" s="3">
        <v>1507</v>
      </c>
      <c r="K6584" s="3">
        <v>393</v>
      </c>
      <c r="L6584" t="s">
        <v>9</v>
      </c>
      <c r="M6584">
        <v>15</v>
      </c>
      <c r="N6584" t="s">
        <v>88</v>
      </c>
      <c r="O6584" t="s">
        <v>81</v>
      </c>
      <c r="P6584" t="s">
        <v>18</v>
      </c>
      <c r="Q6584" t="s">
        <v>19</v>
      </c>
      <c r="R6584" t="s">
        <v>138</v>
      </c>
      <c r="S6584" t="s">
        <v>144</v>
      </c>
      <c r="T6584" s="2">
        <f>MASTER[[#This Row],[CANTIDAD]]*MASTER[[#This Row],[PRECIO DE VENTA]]</f>
        <v>1507</v>
      </c>
      <c r="U6584" s="2">
        <f>MASTER[[#This Row],[CANTIDAD]]*MASTER[[#This Row],[COSTO UNITARIO]]</f>
        <v>393</v>
      </c>
      <c r="V6584" s="2">
        <f>MASTER[[#This Row],[MONTO VENDIDO]]-MASTER[[#This Row],[COSTO DE VENTA]]</f>
        <v>1114</v>
      </c>
    </row>
    <row r="6585" spans="1:22" x14ac:dyDescent="0.3">
      <c r="A6585">
        <v>89792</v>
      </c>
      <c r="B6585">
        <v>1</v>
      </c>
      <c r="C6585" t="s">
        <v>121</v>
      </c>
      <c r="D6585" t="s">
        <v>122</v>
      </c>
      <c r="E6585" s="1">
        <v>44542</v>
      </c>
      <c r="F6585">
        <v>1</v>
      </c>
      <c r="G6585" t="s">
        <v>43</v>
      </c>
      <c r="H6585" t="s">
        <v>44</v>
      </c>
      <c r="I6585" s="3">
        <v>1069</v>
      </c>
      <c r="J6585" s="3">
        <v>1069</v>
      </c>
      <c r="K6585" s="3">
        <v>460</v>
      </c>
      <c r="L6585" t="s">
        <v>120</v>
      </c>
      <c r="M6585">
        <v>15</v>
      </c>
      <c r="N6585" t="s">
        <v>88</v>
      </c>
      <c r="O6585" t="s">
        <v>81</v>
      </c>
      <c r="P6585" t="s">
        <v>18</v>
      </c>
      <c r="Q6585" t="s">
        <v>19</v>
      </c>
      <c r="R6585" t="s">
        <v>138</v>
      </c>
      <c r="S6585" t="s">
        <v>144</v>
      </c>
      <c r="T6585" s="2">
        <f>MASTER[[#This Row],[CANTIDAD]]*MASTER[[#This Row],[PRECIO DE VENTA]]</f>
        <v>1069</v>
      </c>
      <c r="U6585" s="2">
        <f>MASTER[[#This Row],[CANTIDAD]]*MASTER[[#This Row],[COSTO UNITARIO]]</f>
        <v>460</v>
      </c>
      <c r="V6585" s="2">
        <f>MASTER[[#This Row],[MONTO VENDIDO]]-MASTER[[#This Row],[COSTO DE VENTA]]</f>
        <v>609</v>
      </c>
    </row>
    <row r="6586" spans="1:22" x14ac:dyDescent="0.3">
      <c r="A6586">
        <v>89827</v>
      </c>
      <c r="B6586">
        <v>1</v>
      </c>
      <c r="C6586" t="s">
        <v>5</v>
      </c>
      <c r="D6586" t="s">
        <v>6</v>
      </c>
      <c r="E6586" s="1">
        <v>44542</v>
      </c>
      <c r="F6586">
        <v>2</v>
      </c>
      <c r="G6586" t="s">
        <v>7</v>
      </c>
      <c r="H6586" t="s">
        <v>8</v>
      </c>
      <c r="I6586" s="3">
        <v>1311</v>
      </c>
      <c r="J6586" s="3">
        <v>1311</v>
      </c>
      <c r="K6586" s="3">
        <v>393</v>
      </c>
      <c r="L6586" t="s">
        <v>9</v>
      </c>
      <c r="M6586">
        <v>11</v>
      </c>
      <c r="N6586" t="s">
        <v>10</v>
      </c>
      <c r="O6586" t="s">
        <v>11</v>
      </c>
      <c r="P6586" t="s">
        <v>12</v>
      </c>
      <c r="Q6586" t="s">
        <v>13</v>
      </c>
      <c r="R6586" t="s">
        <v>13</v>
      </c>
      <c r="S6586" t="s">
        <v>144</v>
      </c>
      <c r="T6586" s="2">
        <f>MASTER[[#This Row],[CANTIDAD]]*MASTER[[#This Row],[PRECIO DE VENTA]]</f>
        <v>2622</v>
      </c>
      <c r="U6586" s="2">
        <f>MASTER[[#This Row],[CANTIDAD]]*MASTER[[#This Row],[COSTO UNITARIO]]</f>
        <v>786</v>
      </c>
      <c r="V6586" s="2">
        <f>MASTER[[#This Row],[MONTO VENDIDO]]-MASTER[[#This Row],[COSTO DE VENTA]]</f>
        <v>1836</v>
      </c>
    </row>
    <row r="6587" spans="1:22" x14ac:dyDescent="0.3">
      <c r="A6587">
        <v>89849</v>
      </c>
      <c r="B6587">
        <v>1</v>
      </c>
      <c r="C6587" t="s">
        <v>99</v>
      </c>
      <c r="D6587" t="s">
        <v>100</v>
      </c>
      <c r="E6587" s="1">
        <v>44542</v>
      </c>
      <c r="F6587">
        <v>1</v>
      </c>
      <c r="G6587" t="s">
        <v>49</v>
      </c>
      <c r="H6587" t="s">
        <v>50</v>
      </c>
      <c r="I6587" s="3">
        <v>1459</v>
      </c>
      <c r="J6587" s="3">
        <v>1459</v>
      </c>
      <c r="K6587" s="3">
        <v>386</v>
      </c>
      <c r="L6587" t="s">
        <v>98</v>
      </c>
      <c r="M6587">
        <v>14</v>
      </c>
      <c r="N6587" t="s">
        <v>87</v>
      </c>
      <c r="O6587" t="s">
        <v>81</v>
      </c>
      <c r="P6587" t="s">
        <v>18</v>
      </c>
      <c r="Q6587" t="s">
        <v>19</v>
      </c>
      <c r="R6587" t="s">
        <v>138</v>
      </c>
      <c r="S6587" t="s">
        <v>144</v>
      </c>
      <c r="T6587" s="2">
        <f>MASTER[[#This Row],[CANTIDAD]]*MASTER[[#This Row],[PRECIO DE VENTA]]</f>
        <v>1459</v>
      </c>
      <c r="U6587" s="2">
        <f>MASTER[[#This Row],[CANTIDAD]]*MASTER[[#This Row],[COSTO UNITARIO]]</f>
        <v>386</v>
      </c>
      <c r="V6587" s="2">
        <f>MASTER[[#This Row],[MONTO VENDIDO]]-MASTER[[#This Row],[COSTO DE VENTA]]</f>
        <v>1073</v>
      </c>
    </row>
    <row r="6588" spans="1:22" x14ac:dyDescent="0.3">
      <c r="A6588">
        <v>89853</v>
      </c>
      <c r="B6588">
        <v>1</v>
      </c>
      <c r="C6588" t="s">
        <v>99</v>
      </c>
      <c r="D6588" t="s">
        <v>100</v>
      </c>
      <c r="E6588" s="1">
        <v>44543</v>
      </c>
      <c r="F6588">
        <v>1</v>
      </c>
      <c r="G6588" t="s">
        <v>33</v>
      </c>
      <c r="H6588" t="s">
        <v>34</v>
      </c>
      <c r="I6588" s="3">
        <v>1678</v>
      </c>
      <c r="J6588" s="3">
        <v>1678</v>
      </c>
      <c r="K6588" s="3">
        <v>386</v>
      </c>
      <c r="L6588" t="s">
        <v>98</v>
      </c>
      <c r="M6588">
        <v>18</v>
      </c>
      <c r="N6588" t="s">
        <v>79</v>
      </c>
      <c r="O6588" t="s">
        <v>70</v>
      </c>
      <c r="P6588" t="s">
        <v>15</v>
      </c>
      <c r="Q6588" t="s">
        <v>16</v>
      </c>
      <c r="R6588" t="s">
        <v>16</v>
      </c>
      <c r="S6588" t="s">
        <v>144</v>
      </c>
      <c r="T6588" s="2">
        <f>MASTER[[#This Row],[CANTIDAD]]*MASTER[[#This Row],[PRECIO DE VENTA]]</f>
        <v>1678</v>
      </c>
      <c r="U6588" s="2">
        <f>MASTER[[#This Row],[CANTIDAD]]*MASTER[[#This Row],[COSTO UNITARIO]]</f>
        <v>386</v>
      </c>
      <c r="V6588" s="2">
        <f>MASTER[[#This Row],[MONTO VENDIDO]]-MASTER[[#This Row],[COSTO DE VENTA]]</f>
        <v>1292</v>
      </c>
    </row>
    <row r="6589" spans="1:22" x14ac:dyDescent="0.3">
      <c r="A6589">
        <v>89854</v>
      </c>
      <c r="B6589">
        <v>1</v>
      </c>
      <c r="C6589" t="s">
        <v>111</v>
      </c>
      <c r="D6589" t="s">
        <v>112</v>
      </c>
      <c r="E6589" s="1">
        <v>44543</v>
      </c>
      <c r="F6589">
        <v>1</v>
      </c>
      <c r="G6589" t="s">
        <v>35</v>
      </c>
      <c r="H6589" t="s">
        <v>36</v>
      </c>
      <c r="I6589" s="3">
        <v>1524</v>
      </c>
      <c r="J6589" s="3">
        <v>1524</v>
      </c>
      <c r="K6589" s="3">
        <v>434</v>
      </c>
      <c r="L6589" t="s">
        <v>113</v>
      </c>
      <c r="M6589">
        <v>12</v>
      </c>
      <c r="N6589" t="s">
        <v>26</v>
      </c>
      <c r="O6589" t="s">
        <v>11</v>
      </c>
      <c r="P6589" t="s">
        <v>12</v>
      </c>
      <c r="Q6589" t="s">
        <v>13</v>
      </c>
      <c r="R6589" t="s">
        <v>13</v>
      </c>
      <c r="S6589" t="s">
        <v>144</v>
      </c>
      <c r="T6589" s="2">
        <f>MASTER[[#This Row],[CANTIDAD]]*MASTER[[#This Row],[PRECIO DE VENTA]]</f>
        <v>1524</v>
      </c>
      <c r="U6589" s="2">
        <f>MASTER[[#This Row],[CANTIDAD]]*MASTER[[#This Row],[COSTO UNITARIO]]</f>
        <v>434</v>
      </c>
      <c r="V6589" s="2">
        <f>MASTER[[#This Row],[MONTO VENDIDO]]-MASTER[[#This Row],[COSTO DE VENTA]]</f>
        <v>1090</v>
      </c>
    </row>
    <row r="6590" spans="1:22" x14ac:dyDescent="0.3">
      <c r="A6590">
        <v>89864</v>
      </c>
      <c r="B6590">
        <v>1</v>
      </c>
      <c r="C6590" t="s">
        <v>107</v>
      </c>
      <c r="D6590" t="s">
        <v>108</v>
      </c>
      <c r="E6590" s="1">
        <v>44543</v>
      </c>
      <c r="F6590">
        <v>1</v>
      </c>
      <c r="G6590" t="s">
        <v>33</v>
      </c>
      <c r="H6590" t="s">
        <v>34</v>
      </c>
      <c r="I6590" s="3">
        <v>1333</v>
      </c>
      <c r="J6590" s="3">
        <v>1333</v>
      </c>
      <c r="K6590" s="3">
        <v>380</v>
      </c>
      <c r="L6590" t="s">
        <v>98</v>
      </c>
      <c r="M6590">
        <v>2</v>
      </c>
      <c r="N6590" t="s">
        <v>86</v>
      </c>
      <c r="O6590" t="s">
        <v>81</v>
      </c>
      <c r="P6590" t="s">
        <v>71</v>
      </c>
      <c r="Q6590" t="s">
        <v>72</v>
      </c>
      <c r="R6590" t="s">
        <v>139</v>
      </c>
      <c r="S6590" t="s">
        <v>144</v>
      </c>
      <c r="T6590" s="2">
        <f>MASTER[[#This Row],[CANTIDAD]]*MASTER[[#This Row],[PRECIO DE VENTA]]</f>
        <v>1333</v>
      </c>
      <c r="U6590" s="2">
        <f>MASTER[[#This Row],[CANTIDAD]]*MASTER[[#This Row],[COSTO UNITARIO]]</f>
        <v>380</v>
      </c>
      <c r="V6590" s="2">
        <f>MASTER[[#This Row],[MONTO VENDIDO]]-MASTER[[#This Row],[COSTO DE VENTA]]</f>
        <v>953</v>
      </c>
    </row>
    <row r="6591" spans="1:22" x14ac:dyDescent="0.3">
      <c r="A6591">
        <v>89889</v>
      </c>
      <c r="B6591">
        <v>1</v>
      </c>
      <c r="C6591" t="s">
        <v>96</v>
      </c>
      <c r="D6591" t="s">
        <v>97</v>
      </c>
      <c r="E6591" s="1">
        <v>44543</v>
      </c>
      <c r="F6591">
        <v>1</v>
      </c>
      <c r="G6591" t="s">
        <v>65</v>
      </c>
      <c r="H6591" t="s">
        <v>66</v>
      </c>
      <c r="I6591" s="3">
        <v>1272</v>
      </c>
      <c r="J6591" s="3">
        <v>1272</v>
      </c>
      <c r="K6591" s="3">
        <v>397</v>
      </c>
      <c r="L6591" t="s">
        <v>98</v>
      </c>
      <c r="M6591">
        <v>14</v>
      </c>
      <c r="N6591" t="s">
        <v>87</v>
      </c>
      <c r="O6591" t="s">
        <v>81</v>
      </c>
      <c r="P6591" t="s">
        <v>18</v>
      </c>
      <c r="Q6591" t="s">
        <v>19</v>
      </c>
      <c r="R6591" t="s">
        <v>138</v>
      </c>
      <c r="S6591" t="s">
        <v>144</v>
      </c>
      <c r="T6591" s="2">
        <f>MASTER[[#This Row],[CANTIDAD]]*MASTER[[#This Row],[PRECIO DE VENTA]]</f>
        <v>1272</v>
      </c>
      <c r="U6591" s="2">
        <f>MASTER[[#This Row],[CANTIDAD]]*MASTER[[#This Row],[COSTO UNITARIO]]</f>
        <v>397</v>
      </c>
      <c r="V6591" s="2">
        <f>MASTER[[#This Row],[MONTO VENDIDO]]-MASTER[[#This Row],[COSTO DE VENTA]]</f>
        <v>875</v>
      </c>
    </row>
    <row r="6592" spans="1:22" x14ac:dyDescent="0.3">
      <c r="A6592">
        <v>89897</v>
      </c>
      <c r="B6592">
        <v>1</v>
      </c>
      <c r="C6592" t="s">
        <v>99</v>
      </c>
      <c r="D6592" t="s">
        <v>100</v>
      </c>
      <c r="E6592" s="1">
        <v>44543</v>
      </c>
      <c r="F6592">
        <v>1</v>
      </c>
      <c r="G6592" t="s">
        <v>27</v>
      </c>
      <c r="H6592" t="s">
        <v>28</v>
      </c>
      <c r="I6592" s="3">
        <v>1459</v>
      </c>
      <c r="J6592" s="3">
        <v>1459</v>
      </c>
      <c r="K6592" s="3">
        <v>386</v>
      </c>
      <c r="L6592" t="s">
        <v>98</v>
      </c>
      <c r="M6592">
        <v>14</v>
      </c>
      <c r="N6592" t="s">
        <v>87</v>
      </c>
      <c r="O6592" t="s">
        <v>81</v>
      </c>
      <c r="P6592" t="s">
        <v>18</v>
      </c>
      <c r="Q6592" t="s">
        <v>19</v>
      </c>
      <c r="R6592" t="s">
        <v>138</v>
      </c>
      <c r="S6592" t="s">
        <v>144</v>
      </c>
      <c r="T6592" s="2">
        <f>MASTER[[#This Row],[CANTIDAD]]*MASTER[[#This Row],[PRECIO DE VENTA]]</f>
        <v>1459</v>
      </c>
      <c r="U6592" s="2">
        <f>MASTER[[#This Row],[CANTIDAD]]*MASTER[[#This Row],[COSTO UNITARIO]]</f>
        <v>386</v>
      </c>
      <c r="V6592" s="2">
        <f>MASTER[[#This Row],[MONTO VENDIDO]]-MASTER[[#This Row],[COSTO DE VENTA]]</f>
        <v>1073</v>
      </c>
    </row>
    <row r="6593" spans="1:22" x14ac:dyDescent="0.3">
      <c r="A6593">
        <v>89902</v>
      </c>
      <c r="B6593">
        <v>1</v>
      </c>
      <c r="C6593" t="s">
        <v>116</v>
      </c>
      <c r="D6593" t="s">
        <v>117</v>
      </c>
      <c r="E6593" s="1">
        <v>44543</v>
      </c>
      <c r="F6593">
        <v>1</v>
      </c>
      <c r="G6593" t="s">
        <v>37</v>
      </c>
      <c r="H6593" t="s">
        <v>38</v>
      </c>
      <c r="I6593" s="3">
        <v>1999</v>
      </c>
      <c r="J6593" s="3">
        <v>1999</v>
      </c>
      <c r="K6593" s="3">
        <v>388</v>
      </c>
      <c r="L6593" t="s">
        <v>113</v>
      </c>
      <c r="M6593">
        <v>3</v>
      </c>
      <c r="N6593" t="s">
        <v>69</v>
      </c>
      <c r="O6593" t="s">
        <v>70</v>
      </c>
      <c r="P6593" t="s">
        <v>71</v>
      </c>
      <c r="Q6593" t="s">
        <v>72</v>
      </c>
      <c r="R6593" t="s">
        <v>139</v>
      </c>
      <c r="S6593" t="s">
        <v>144</v>
      </c>
      <c r="T6593" s="2">
        <f>MASTER[[#This Row],[CANTIDAD]]*MASTER[[#This Row],[PRECIO DE VENTA]]</f>
        <v>1999</v>
      </c>
      <c r="U6593" s="2">
        <f>MASTER[[#This Row],[CANTIDAD]]*MASTER[[#This Row],[COSTO UNITARIO]]</f>
        <v>388</v>
      </c>
      <c r="V6593" s="2">
        <f>MASTER[[#This Row],[MONTO VENDIDO]]-MASTER[[#This Row],[COSTO DE VENTA]]</f>
        <v>1611</v>
      </c>
    </row>
    <row r="6594" spans="1:22" x14ac:dyDescent="0.3">
      <c r="A6594">
        <v>89916</v>
      </c>
      <c r="B6594">
        <v>1</v>
      </c>
      <c r="C6594" t="s">
        <v>90</v>
      </c>
      <c r="D6594" t="s">
        <v>91</v>
      </c>
      <c r="E6594" s="1">
        <v>44543</v>
      </c>
      <c r="F6594">
        <v>1</v>
      </c>
      <c r="G6594" t="s">
        <v>41</v>
      </c>
      <c r="H6594" t="s">
        <v>42</v>
      </c>
      <c r="I6594" s="3">
        <v>2102</v>
      </c>
      <c r="J6594" s="3">
        <v>2017</v>
      </c>
      <c r="K6594" s="3">
        <v>420</v>
      </c>
      <c r="L6594" t="s">
        <v>9</v>
      </c>
      <c r="M6594">
        <v>13</v>
      </c>
      <c r="N6594" t="s">
        <v>78</v>
      </c>
      <c r="O6594" t="s">
        <v>70</v>
      </c>
      <c r="P6594" t="s">
        <v>18</v>
      </c>
      <c r="Q6594" t="s">
        <v>19</v>
      </c>
      <c r="R6594" t="s">
        <v>138</v>
      </c>
      <c r="S6594" t="s">
        <v>144</v>
      </c>
      <c r="T6594" s="2">
        <f>MASTER[[#This Row],[CANTIDAD]]*MASTER[[#This Row],[PRECIO DE VENTA]]</f>
        <v>2017</v>
      </c>
      <c r="U6594" s="2">
        <f>MASTER[[#This Row],[CANTIDAD]]*MASTER[[#This Row],[COSTO UNITARIO]]</f>
        <v>420</v>
      </c>
      <c r="V6594" s="2">
        <f>MASTER[[#This Row],[MONTO VENDIDO]]-MASTER[[#This Row],[COSTO DE VENTA]]</f>
        <v>1597</v>
      </c>
    </row>
    <row r="6595" spans="1:22" x14ac:dyDescent="0.3">
      <c r="A6595">
        <v>89938</v>
      </c>
      <c r="B6595">
        <v>1</v>
      </c>
      <c r="C6595" t="s">
        <v>111</v>
      </c>
      <c r="D6595" t="s">
        <v>112</v>
      </c>
      <c r="E6595" s="1">
        <v>44543</v>
      </c>
      <c r="F6595">
        <v>1</v>
      </c>
      <c r="G6595" t="s">
        <v>65</v>
      </c>
      <c r="H6595" t="s">
        <v>66</v>
      </c>
      <c r="I6595" s="3">
        <v>1799</v>
      </c>
      <c r="J6595" s="3">
        <v>1799</v>
      </c>
      <c r="K6595" s="3">
        <v>434</v>
      </c>
      <c r="L6595" t="s">
        <v>113</v>
      </c>
      <c r="M6595">
        <v>1</v>
      </c>
      <c r="N6595" t="s">
        <v>77</v>
      </c>
      <c r="O6595" t="s">
        <v>70</v>
      </c>
      <c r="P6595" t="s">
        <v>71</v>
      </c>
      <c r="Q6595" t="s">
        <v>72</v>
      </c>
      <c r="R6595" t="s">
        <v>139</v>
      </c>
      <c r="S6595" t="s">
        <v>144</v>
      </c>
      <c r="T6595" s="2">
        <f>MASTER[[#This Row],[CANTIDAD]]*MASTER[[#This Row],[PRECIO DE VENTA]]</f>
        <v>1799</v>
      </c>
      <c r="U6595" s="2">
        <f>MASTER[[#This Row],[CANTIDAD]]*MASTER[[#This Row],[COSTO UNITARIO]]</f>
        <v>434</v>
      </c>
      <c r="V6595" s="2">
        <f>MASTER[[#This Row],[MONTO VENDIDO]]-MASTER[[#This Row],[COSTO DE VENTA]]</f>
        <v>1365</v>
      </c>
    </row>
    <row r="6596" spans="1:22" x14ac:dyDescent="0.3">
      <c r="A6596">
        <v>89944</v>
      </c>
      <c r="B6596">
        <v>1</v>
      </c>
      <c r="C6596" t="s">
        <v>121</v>
      </c>
      <c r="D6596" t="s">
        <v>122</v>
      </c>
      <c r="E6596" s="1">
        <v>44543</v>
      </c>
      <c r="F6596">
        <v>1</v>
      </c>
      <c r="G6596" t="s">
        <v>31</v>
      </c>
      <c r="H6596" t="s">
        <v>32</v>
      </c>
      <c r="I6596" s="3">
        <v>1069</v>
      </c>
      <c r="J6596" s="3">
        <v>1069</v>
      </c>
      <c r="K6596" s="3">
        <v>460</v>
      </c>
      <c r="L6596" t="s">
        <v>120</v>
      </c>
      <c r="M6596">
        <v>14</v>
      </c>
      <c r="N6596" t="s">
        <v>87</v>
      </c>
      <c r="O6596" t="s">
        <v>81</v>
      </c>
      <c r="P6596" t="s">
        <v>18</v>
      </c>
      <c r="Q6596" t="s">
        <v>19</v>
      </c>
      <c r="R6596" t="s">
        <v>138</v>
      </c>
      <c r="S6596" t="s">
        <v>144</v>
      </c>
      <c r="T6596" s="2">
        <f>MASTER[[#This Row],[CANTIDAD]]*MASTER[[#This Row],[PRECIO DE VENTA]]</f>
        <v>1069</v>
      </c>
      <c r="U6596" s="2">
        <f>MASTER[[#This Row],[CANTIDAD]]*MASTER[[#This Row],[COSTO UNITARIO]]</f>
        <v>460</v>
      </c>
      <c r="V6596" s="2">
        <f>MASTER[[#This Row],[MONTO VENDIDO]]-MASTER[[#This Row],[COSTO DE VENTA]]</f>
        <v>609</v>
      </c>
    </row>
    <row r="6597" spans="1:22" x14ac:dyDescent="0.3">
      <c r="A6597">
        <v>89946</v>
      </c>
      <c r="B6597">
        <v>1</v>
      </c>
      <c r="C6597" t="s">
        <v>107</v>
      </c>
      <c r="D6597" t="s">
        <v>108</v>
      </c>
      <c r="E6597" s="1">
        <v>44543</v>
      </c>
      <c r="F6597">
        <v>1</v>
      </c>
      <c r="G6597" t="s">
        <v>67</v>
      </c>
      <c r="H6597" t="s">
        <v>68</v>
      </c>
      <c r="I6597" s="3">
        <v>1440</v>
      </c>
      <c r="J6597" s="3">
        <v>1440</v>
      </c>
      <c r="K6597" s="3">
        <v>380</v>
      </c>
      <c r="L6597" t="s">
        <v>98</v>
      </c>
      <c r="M6597">
        <v>6</v>
      </c>
      <c r="N6597" t="s">
        <v>75</v>
      </c>
      <c r="O6597" t="s">
        <v>70</v>
      </c>
      <c r="P6597" t="s">
        <v>12</v>
      </c>
      <c r="Q6597" t="s">
        <v>13</v>
      </c>
      <c r="R6597" t="s">
        <v>13</v>
      </c>
      <c r="S6597" t="s">
        <v>144</v>
      </c>
      <c r="T6597" s="2">
        <f>MASTER[[#This Row],[CANTIDAD]]*MASTER[[#This Row],[PRECIO DE VENTA]]</f>
        <v>1440</v>
      </c>
      <c r="U6597" s="2">
        <f>MASTER[[#This Row],[CANTIDAD]]*MASTER[[#This Row],[COSTO UNITARIO]]</f>
        <v>380</v>
      </c>
      <c r="V6597" s="2">
        <f>MASTER[[#This Row],[MONTO VENDIDO]]-MASTER[[#This Row],[COSTO DE VENTA]]</f>
        <v>1060</v>
      </c>
    </row>
    <row r="6598" spans="1:22" x14ac:dyDescent="0.3">
      <c r="A6598">
        <v>89953</v>
      </c>
      <c r="B6598">
        <v>1</v>
      </c>
      <c r="C6598" t="s">
        <v>107</v>
      </c>
      <c r="D6598" t="s">
        <v>108</v>
      </c>
      <c r="E6598" s="1">
        <v>44543</v>
      </c>
      <c r="F6598">
        <v>1</v>
      </c>
      <c r="G6598" t="s">
        <v>49</v>
      </c>
      <c r="H6598" t="s">
        <v>50</v>
      </c>
      <c r="I6598" s="3">
        <v>1333</v>
      </c>
      <c r="J6598" s="3">
        <v>1226</v>
      </c>
      <c r="K6598" s="3">
        <v>380</v>
      </c>
      <c r="L6598" t="s">
        <v>98</v>
      </c>
      <c r="M6598">
        <v>7</v>
      </c>
      <c r="N6598" t="s">
        <v>84</v>
      </c>
      <c r="O6598" t="s">
        <v>81</v>
      </c>
      <c r="P6598" t="s">
        <v>12</v>
      </c>
      <c r="Q6598" t="s">
        <v>13</v>
      </c>
      <c r="R6598" t="s">
        <v>13</v>
      </c>
      <c r="S6598" t="s">
        <v>144</v>
      </c>
      <c r="T6598" s="2">
        <f>MASTER[[#This Row],[CANTIDAD]]*MASTER[[#This Row],[PRECIO DE VENTA]]</f>
        <v>1226</v>
      </c>
      <c r="U6598" s="2">
        <f>MASTER[[#This Row],[CANTIDAD]]*MASTER[[#This Row],[COSTO UNITARIO]]</f>
        <v>380</v>
      </c>
      <c r="V6598" s="2">
        <f>MASTER[[#This Row],[MONTO VENDIDO]]-MASTER[[#This Row],[COSTO DE VENTA]]</f>
        <v>846</v>
      </c>
    </row>
    <row r="6599" spans="1:22" x14ac:dyDescent="0.3">
      <c r="A6599">
        <v>89976</v>
      </c>
      <c r="B6599">
        <v>1</v>
      </c>
      <c r="C6599" t="s">
        <v>92</v>
      </c>
      <c r="D6599" t="s">
        <v>93</v>
      </c>
      <c r="E6599" s="1">
        <v>44543</v>
      </c>
      <c r="F6599">
        <v>1</v>
      </c>
      <c r="G6599" t="s">
        <v>22</v>
      </c>
      <c r="H6599" t="s">
        <v>23</v>
      </c>
      <c r="I6599" s="3">
        <v>1681</v>
      </c>
      <c r="J6599" s="3">
        <v>1681</v>
      </c>
      <c r="K6599" s="3">
        <v>396</v>
      </c>
      <c r="L6599" t="s">
        <v>9</v>
      </c>
      <c r="M6599">
        <v>15</v>
      </c>
      <c r="N6599" t="s">
        <v>88</v>
      </c>
      <c r="O6599" t="s">
        <v>81</v>
      </c>
      <c r="P6599" t="s">
        <v>18</v>
      </c>
      <c r="Q6599" t="s">
        <v>19</v>
      </c>
      <c r="R6599" t="s">
        <v>138</v>
      </c>
      <c r="S6599" t="s">
        <v>144</v>
      </c>
      <c r="T6599" s="2">
        <f>MASTER[[#This Row],[CANTIDAD]]*MASTER[[#This Row],[PRECIO DE VENTA]]</f>
        <v>1681</v>
      </c>
      <c r="U6599" s="2">
        <f>MASTER[[#This Row],[CANTIDAD]]*MASTER[[#This Row],[COSTO UNITARIO]]</f>
        <v>396</v>
      </c>
      <c r="V6599" s="2">
        <f>MASTER[[#This Row],[MONTO VENDIDO]]-MASTER[[#This Row],[COSTO DE VENTA]]</f>
        <v>1285</v>
      </c>
    </row>
    <row r="6600" spans="1:22" x14ac:dyDescent="0.3">
      <c r="A6600">
        <v>89986</v>
      </c>
      <c r="B6600">
        <v>1</v>
      </c>
      <c r="C6600" t="s">
        <v>111</v>
      </c>
      <c r="D6600" t="s">
        <v>112</v>
      </c>
      <c r="E6600" s="1">
        <v>44543</v>
      </c>
      <c r="F6600">
        <v>1</v>
      </c>
      <c r="G6600" t="s">
        <v>24</v>
      </c>
      <c r="H6600" t="s">
        <v>25</v>
      </c>
      <c r="I6600" s="3">
        <v>1799</v>
      </c>
      <c r="J6600" s="3">
        <v>1799</v>
      </c>
      <c r="K6600" s="3">
        <v>434</v>
      </c>
      <c r="L6600" t="s">
        <v>113</v>
      </c>
      <c r="M6600">
        <v>13</v>
      </c>
      <c r="N6600" t="s">
        <v>78</v>
      </c>
      <c r="O6600" t="s">
        <v>70</v>
      </c>
      <c r="P6600" t="s">
        <v>18</v>
      </c>
      <c r="Q6600" t="s">
        <v>19</v>
      </c>
      <c r="R6600" t="s">
        <v>138</v>
      </c>
      <c r="S6600" t="s">
        <v>144</v>
      </c>
      <c r="T6600" s="2">
        <f>MASTER[[#This Row],[CANTIDAD]]*MASTER[[#This Row],[PRECIO DE VENTA]]</f>
        <v>1799</v>
      </c>
      <c r="U6600" s="2">
        <f>MASTER[[#This Row],[CANTIDAD]]*MASTER[[#This Row],[COSTO UNITARIO]]</f>
        <v>434</v>
      </c>
      <c r="V6600" s="2">
        <f>MASTER[[#This Row],[MONTO VENDIDO]]-MASTER[[#This Row],[COSTO DE VENTA]]</f>
        <v>1365</v>
      </c>
    </row>
    <row r="6601" spans="1:22" x14ac:dyDescent="0.3">
      <c r="A6601">
        <v>89987</v>
      </c>
      <c r="B6601">
        <v>1</v>
      </c>
      <c r="C6601" t="s">
        <v>90</v>
      </c>
      <c r="D6601" t="s">
        <v>91</v>
      </c>
      <c r="E6601" s="1">
        <v>44543</v>
      </c>
      <c r="F6601">
        <v>1</v>
      </c>
      <c r="G6601" t="s">
        <v>57</v>
      </c>
      <c r="H6601" t="s">
        <v>58</v>
      </c>
      <c r="I6601" s="3">
        <v>2102</v>
      </c>
      <c r="J6601" s="3">
        <v>2102</v>
      </c>
      <c r="K6601" s="3">
        <v>420</v>
      </c>
      <c r="L6601" t="s">
        <v>9</v>
      </c>
      <c r="M6601">
        <v>9</v>
      </c>
      <c r="N6601" t="s">
        <v>76</v>
      </c>
      <c r="O6601" t="s">
        <v>70</v>
      </c>
      <c r="P6601" t="s">
        <v>12</v>
      </c>
      <c r="Q6601" t="s">
        <v>13</v>
      </c>
      <c r="R6601" t="s">
        <v>13</v>
      </c>
      <c r="S6601" t="s">
        <v>144</v>
      </c>
      <c r="T6601" s="2">
        <f>MASTER[[#This Row],[CANTIDAD]]*MASTER[[#This Row],[PRECIO DE VENTA]]</f>
        <v>2102</v>
      </c>
      <c r="U6601" s="2">
        <f>MASTER[[#This Row],[CANTIDAD]]*MASTER[[#This Row],[COSTO UNITARIO]]</f>
        <v>420</v>
      </c>
      <c r="V6601" s="2">
        <f>MASTER[[#This Row],[MONTO VENDIDO]]-MASTER[[#This Row],[COSTO DE VENTA]]</f>
        <v>1682</v>
      </c>
    </row>
    <row r="6602" spans="1:22" x14ac:dyDescent="0.3">
      <c r="A6602">
        <v>90000</v>
      </c>
      <c r="B6602">
        <v>1</v>
      </c>
      <c r="C6602" t="s">
        <v>94</v>
      </c>
      <c r="D6602" t="s">
        <v>95</v>
      </c>
      <c r="E6602" s="1">
        <v>44543</v>
      </c>
      <c r="F6602">
        <v>1</v>
      </c>
      <c r="G6602" t="s">
        <v>20</v>
      </c>
      <c r="H6602" t="s">
        <v>21</v>
      </c>
      <c r="I6602" s="3">
        <v>1153</v>
      </c>
      <c r="J6602" s="3">
        <v>1153</v>
      </c>
      <c r="K6602" s="3">
        <v>392</v>
      </c>
      <c r="L6602" t="s">
        <v>9</v>
      </c>
      <c r="M6602">
        <v>18</v>
      </c>
      <c r="N6602" t="s">
        <v>79</v>
      </c>
      <c r="O6602" t="s">
        <v>70</v>
      </c>
      <c r="P6602" t="s">
        <v>15</v>
      </c>
      <c r="Q6602" t="s">
        <v>16</v>
      </c>
      <c r="R6602" t="s">
        <v>16</v>
      </c>
      <c r="S6602" t="s">
        <v>144</v>
      </c>
      <c r="T6602" s="2">
        <f>MASTER[[#This Row],[CANTIDAD]]*MASTER[[#This Row],[PRECIO DE VENTA]]</f>
        <v>1153</v>
      </c>
      <c r="U6602" s="2">
        <f>MASTER[[#This Row],[CANTIDAD]]*MASTER[[#This Row],[COSTO UNITARIO]]</f>
        <v>392</v>
      </c>
      <c r="V6602" s="2">
        <f>MASTER[[#This Row],[MONTO VENDIDO]]-MASTER[[#This Row],[COSTO DE VENTA]]</f>
        <v>761</v>
      </c>
    </row>
    <row r="6603" spans="1:22" x14ac:dyDescent="0.3">
      <c r="A6603">
        <v>90047</v>
      </c>
      <c r="B6603">
        <v>1</v>
      </c>
      <c r="C6603" t="s">
        <v>118</v>
      </c>
      <c r="D6603" t="s">
        <v>119</v>
      </c>
      <c r="E6603" s="1">
        <v>44547</v>
      </c>
      <c r="F6603">
        <v>1</v>
      </c>
      <c r="G6603" t="s">
        <v>63</v>
      </c>
      <c r="H6603" t="s">
        <v>64</v>
      </c>
      <c r="I6603" s="3">
        <v>1026</v>
      </c>
      <c r="J6603" s="3">
        <v>1026</v>
      </c>
      <c r="K6603" s="3">
        <v>424</v>
      </c>
      <c r="L6603" t="s">
        <v>120</v>
      </c>
      <c r="M6603">
        <v>18</v>
      </c>
      <c r="N6603" t="s">
        <v>79</v>
      </c>
      <c r="O6603" t="s">
        <v>70</v>
      </c>
      <c r="P6603" t="s">
        <v>15</v>
      </c>
      <c r="Q6603" t="s">
        <v>16</v>
      </c>
      <c r="R6603" t="s">
        <v>16</v>
      </c>
      <c r="S6603" t="s">
        <v>144</v>
      </c>
      <c r="T6603" s="2">
        <f>MASTER[[#This Row],[CANTIDAD]]*MASTER[[#This Row],[PRECIO DE VENTA]]</f>
        <v>1026</v>
      </c>
      <c r="U6603" s="2">
        <f>MASTER[[#This Row],[CANTIDAD]]*MASTER[[#This Row],[COSTO UNITARIO]]</f>
        <v>424</v>
      </c>
      <c r="V6603" s="2">
        <f>MASTER[[#This Row],[MONTO VENDIDO]]-MASTER[[#This Row],[COSTO DE VENTA]]</f>
        <v>602</v>
      </c>
    </row>
    <row r="6604" spans="1:22" x14ac:dyDescent="0.3">
      <c r="A6604">
        <v>90056</v>
      </c>
      <c r="B6604">
        <v>1</v>
      </c>
      <c r="C6604" t="s">
        <v>109</v>
      </c>
      <c r="D6604" t="s">
        <v>110</v>
      </c>
      <c r="E6604" s="1">
        <v>44549</v>
      </c>
      <c r="F6604">
        <v>1</v>
      </c>
      <c r="G6604" t="s">
        <v>59</v>
      </c>
      <c r="H6604" t="s">
        <v>60</v>
      </c>
      <c r="I6604" s="3">
        <v>1064</v>
      </c>
      <c r="J6604" s="3">
        <v>1064</v>
      </c>
      <c r="K6604" s="3">
        <v>387</v>
      </c>
      <c r="L6604" t="s">
        <v>98</v>
      </c>
      <c r="M6604">
        <v>19</v>
      </c>
      <c r="N6604" t="s">
        <v>89</v>
      </c>
      <c r="O6604" t="s">
        <v>81</v>
      </c>
      <c r="P6604" t="s">
        <v>15</v>
      </c>
      <c r="Q6604" t="s">
        <v>16</v>
      </c>
      <c r="R6604" t="s">
        <v>16</v>
      </c>
      <c r="S6604" t="s">
        <v>144</v>
      </c>
      <c r="T6604" s="2">
        <f>MASTER[[#This Row],[CANTIDAD]]*MASTER[[#This Row],[PRECIO DE VENTA]]</f>
        <v>1064</v>
      </c>
      <c r="U6604" s="2">
        <f>MASTER[[#This Row],[CANTIDAD]]*MASTER[[#This Row],[COSTO UNITARIO]]</f>
        <v>387</v>
      </c>
      <c r="V6604" s="2">
        <f>MASTER[[#This Row],[MONTO VENDIDO]]-MASTER[[#This Row],[COSTO DE VENTA]]</f>
        <v>677</v>
      </c>
    </row>
    <row r="6605" spans="1:22" x14ac:dyDescent="0.3">
      <c r="A6605">
        <v>90118</v>
      </c>
      <c r="B6605">
        <v>1</v>
      </c>
      <c r="C6605" t="s">
        <v>92</v>
      </c>
      <c r="D6605" t="s">
        <v>93</v>
      </c>
      <c r="E6605" s="1">
        <v>44557</v>
      </c>
      <c r="F6605">
        <v>1</v>
      </c>
      <c r="G6605" t="s">
        <v>57</v>
      </c>
      <c r="H6605" t="s">
        <v>58</v>
      </c>
      <c r="I6605" s="3">
        <v>1681</v>
      </c>
      <c r="J6605" s="3">
        <v>1681</v>
      </c>
      <c r="K6605" s="3">
        <v>396</v>
      </c>
      <c r="L6605" t="s">
        <v>9</v>
      </c>
      <c r="M6605">
        <v>5</v>
      </c>
      <c r="N6605" t="s">
        <v>85</v>
      </c>
      <c r="O6605" t="s">
        <v>81</v>
      </c>
      <c r="P6605" t="s">
        <v>12</v>
      </c>
      <c r="Q6605" t="s">
        <v>13</v>
      </c>
      <c r="R6605" t="s">
        <v>13</v>
      </c>
      <c r="S6605" t="s">
        <v>144</v>
      </c>
      <c r="T6605" s="2">
        <f>MASTER[[#This Row],[CANTIDAD]]*MASTER[[#This Row],[PRECIO DE VENTA]]</f>
        <v>1681</v>
      </c>
      <c r="U6605" s="2">
        <f>MASTER[[#This Row],[CANTIDAD]]*MASTER[[#This Row],[COSTO UNITARIO]]</f>
        <v>396</v>
      </c>
      <c r="V6605" s="2">
        <f>MASTER[[#This Row],[MONTO VENDIDO]]-MASTER[[#This Row],[COSTO DE VENTA]]</f>
        <v>1285</v>
      </c>
    </row>
    <row r="6606" spans="1:22" x14ac:dyDescent="0.3">
      <c r="A6606">
        <v>90198</v>
      </c>
      <c r="B6606">
        <v>1</v>
      </c>
      <c r="C6606" t="s">
        <v>107</v>
      </c>
      <c r="D6606" t="s">
        <v>108</v>
      </c>
      <c r="E6606" s="1">
        <v>44552</v>
      </c>
      <c r="F6606">
        <v>1</v>
      </c>
      <c r="G6606" t="s">
        <v>27</v>
      </c>
      <c r="H6606" t="s">
        <v>28</v>
      </c>
      <c r="I6606" s="3">
        <v>1440</v>
      </c>
      <c r="J6606" s="3">
        <v>1440</v>
      </c>
      <c r="K6606" s="3">
        <v>380</v>
      </c>
      <c r="L6606" t="s">
        <v>98</v>
      </c>
      <c r="M6606">
        <v>9</v>
      </c>
      <c r="N6606" t="s">
        <v>76</v>
      </c>
      <c r="O6606" t="s">
        <v>70</v>
      </c>
      <c r="P6606" t="s">
        <v>12</v>
      </c>
      <c r="Q6606" t="s">
        <v>13</v>
      </c>
      <c r="R6606" t="s">
        <v>13</v>
      </c>
      <c r="S6606" t="s">
        <v>144</v>
      </c>
      <c r="T6606" s="2">
        <f>MASTER[[#This Row],[CANTIDAD]]*MASTER[[#This Row],[PRECIO DE VENTA]]</f>
        <v>1440</v>
      </c>
      <c r="U6606" s="2">
        <f>MASTER[[#This Row],[CANTIDAD]]*MASTER[[#This Row],[COSTO UNITARIO]]</f>
        <v>380</v>
      </c>
      <c r="V6606" s="2">
        <f>MASTER[[#This Row],[MONTO VENDIDO]]-MASTER[[#This Row],[COSTO DE VENTA]]</f>
        <v>1060</v>
      </c>
    </row>
    <row r="6607" spans="1:22" x14ac:dyDescent="0.3">
      <c r="A6607">
        <v>90238</v>
      </c>
      <c r="B6607">
        <v>1</v>
      </c>
      <c r="C6607" t="s">
        <v>99</v>
      </c>
      <c r="D6607" t="s">
        <v>100</v>
      </c>
      <c r="E6607" s="1">
        <v>44547</v>
      </c>
      <c r="F6607">
        <v>1</v>
      </c>
      <c r="G6607" t="s">
        <v>61</v>
      </c>
      <c r="H6607" t="s">
        <v>62</v>
      </c>
      <c r="I6607" s="3">
        <v>1678</v>
      </c>
      <c r="J6607" s="3">
        <v>1678</v>
      </c>
      <c r="K6607" s="3">
        <v>386</v>
      </c>
      <c r="L6607" t="s">
        <v>98</v>
      </c>
      <c r="M6607">
        <v>18</v>
      </c>
      <c r="N6607" t="s">
        <v>79</v>
      </c>
      <c r="O6607" t="s">
        <v>70</v>
      </c>
      <c r="P6607" t="s">
        <v>15</v>
      </c>
      <c r="Q6607" t="s">
        <v>16</v>
      </c>
      <c r="R6607" t="s">
        <v>16</v>
      </c>
      <c r="S6607" t="s">
        <v>144</v>
      </c>
      <c r="T6607" s="2">
        <f>MASTER[[#This Row],[CANTIDAD]]*MASTER[[#This Row],[PRECIO DE VENTA]]</f>
        <v>1678</v>
      </c>
      <c r="U6607" s="2">
        <f>MASTER[[#This Row],[CANTIDAD]]*MASTER[[#This Row],[COSTO UNITARIO]]</f>
        <v>386</v>
      </c>
      <c r="V6607" s="2">
        <f>MASTER[[#This Row],[MONTO VENDIDO]]-MASTER[[#This Row],[COSTO DE VENTA]]</f>
        <v>1292</v>
      </c>
    </row>
    <row r="6608" spans="1:22" x14ac:dyDescent="0.3">
      <c r="A6608">
        <v>90257</v>
      </c>
      <c r="B6608">
        <v>2</v>
      </c>
      <c r="C6608" t="s">
        <v>107</v>
      </c>
      <c r="D6608" t="s">
        <v>108</v>
      </c>
      <c r="E6608" s="1">
        <v>44551</v>
      </c>
      <c r="F6608">
        <v>1</v>
      </c>
      <c r="G6608" t="s">
        <v>65</v>
      </c>
      <c r="H6608" t="s">
        <v>66</v>
      </c>
      <c r="I6608" s="3">
        <v>1333</v>
      </c>
      <c r="J6608" s="3">
        <v>1333</v>
      </c>
      <c r="K6608" s="3">
        <v>380</v>
      </c>
      <c r="L6608" t="s">
        <v>98</v>
      </c>
      <c r="M6608">
        <v>5</v>
      </c>
      <c r="N6608" t="s">
        <v>85</v>
      </c>
      <c r="O6608" t="s">
        <v>81</v>
      </c>
      <c r="P6608" t="s">
        <v>12</v>
      </c>
      <c r="Q6608" t="s">
        <v>13</v>
      </c>
      <c r="R6608" t="s">
        <v>13</v>
      </c>
      <c r="S6608" t="s">
        <v>144</v>
      </c>
      <c r="T6608" s="2">
        <f>MASTER[[#This Row],[CANTIDAD]]*MASTER[[#This Row],[PRECIO DE VENTA]]</f>
        <v>1333</v>
      </c>
      <c r="U6608" s="2">
        <f>MASTER[[#This Row],[CANTIDAD]]*MASTER[[#This Row],[COSTO UNITARIO]]</f>
        <v>380</v>
      </c>
      <c r="V6608" s="2">
        <f>MASTER[[#This Row],[MONTO VENDIDO]]-MASTER[[#This Row],[COSTO DE VENTA]]</f>
        <v>953</v>
      </c>
    </row>
    <row r="6609" spans="1:22" x14ac:dyDescent="0.3">
      <c r="A6609">
        <v>90257</v>
      </c>
      <c r="B6609">
        <v>1</v>
      </c>
      <c r="C6609" t="s">
        <v>114</v>
      </c>
      <c r="D6609" t="s">
        <v>115</v>
      </c>
      <c r="E6609" s="1">
        <v>44551</v>
      </c>
      <c r="F6609">
        <v>1</v>
      </c>
      <c r="G6609" t="s">
        <v>45</v>
      </c>
      <c r="H6609" t="s">
        <v>46</v>
      </c>
      <c r="I6609" s="3">
        <v>1862</v>
      </c>
      <c r="J6609" s="3">
        <v>1787</v>
      </c>
      <c r="K6609" s="3">
        <v>394</v>
      </c>
      <c r="L6609" t="s">
        <v>113</v>
      </c>
      <c r="M6609">
        <v>5</v>
      </c>
      <c r="N6609" t="s">
        <v>85</v>
      </c>
      <c r="O6609" t="s">
        <v>81</v>
      </c>
      <c r="P6609" t="s">
        <v>12</v>
      </c>
      <c r="Q6609" t="s">
        <v>13</v>
      </c>
      <c r="R6609" t="s">
        <v>13</v>
      </c>
      <c r="S6609" t="s">
        <v>144</v>
      </c>
      <c r="T6609" s="2">
        <f>MASTER[[#This Row],[CANTIDAD]]*MASTER[[#This Row],[PRECIO DE VENTA]]</f>
        <v>1787</v>
      </c>
      <c r="U6609" s="2">
        <f>MASTER[[#This Row],[CANTIDAD]]*MASTER[[#This Row],[COSTO UNITARIO]]</f>
        <v>394</v>
      </c>
      <c r="V6609" s="2">
        <f>MASTER[[#This Row],[MONTO VENDIDO]]-MASTER[[#This Row],[COSTO DE VENTA]]</f>
        <v>1393</v>
      </c>
    </row>
    <row r="6610" spans="1:22" x14ac:dyDescent="0.3">
      <c r="A6610">
        <v>90275</v>
      </c>
      <c r="B6610">
        <v>1</v>
      </c>
      <c r="C6610" t="s">
        <v>5</v>
      </c>
      <c r="D6610" t="s">
        <v>6</v>
      </c>
      <c r="E6610" s="1">
        <v>44544</v>
      </c>
      <c r="F6610">
        <v>1</v>
      </c>
      <c r="G6610" t="s">
        <v>49</v>
      </c>
      <c r="H6610" t="s">
        <v>50</v>
      </c>
      <c r="I6610" s="3">
        <v>1296</v>
      </c>
      <c r="J6610" s="3">
        <v>1296</v>
      </c>
      <c r="K6610" s="3">
        <v>393</v>
      </c>
      <c r="L6610" t="s">
        <v>9</v>
      </c>
      <c r="M6610">
        <v>9</v>
      </c>
      <c r="N6610" t="s">
        <v>76</v>
      </c>
      <c r="O6610" t="s">
        <v>70</v>
      </c>
      <c r="P6610" t="s">
        <v>12</v>
      </c>
      <c r="Q6610" t="s">
        <v>13</v>
      </c>
      <c r="R6610" t="s">
        <v>13</v>
      </c>
      <c r="S6610" t="s">
        <v>144</v>
      </c>
      <c r="T6610" s="2">
        <f>MASTER[[#This Row],[CANTIDAD]]*MASTER[[#This Row],[PRECIO DE VENTA]]</f>
        <v>1296</v>
      </c>
      <c r="U6610" s="2">
        <f>MASTER[[#This Row],[CANTIDAD]]*MASTER[[#This Row],[COSTO UNITARIO]]</f>
        <v>393</v>
      </c>
      <c r="V6610" s="2">
        <f>MASTER[[#This Row],[MONTO VENDIDO]]-MASTER[[#This Row],[COSTO DE VENTA]]</f>
        <v>903</v>
      </c>
    </row>
    <row r="6611" spans="1:22" x14ac:dyDescent="0.3">
      <c r="A6611">
        <v>90375</v>
      </c>
      <c r="B6611">
        <v>1</v>
      </c>
      <c r="C6611" t="s">
        <v>103</v>
      </c>
      <c r="D6611" t="s">
        <v>104</v>
      </c>
      <c r="E6611" s="1">
        <v>44560</v>
      </c>
      <c r="F6611">
        <v>1</v>
      </c>
      <c r="G6611" t="s">
        <v>20</v>
      </c>
      <c r="H6611" t="s">
        <v>21</v>
      </c>
      <c r="I6611" s="3">
        <v>1591</v>
      </c>
      <c r="J6611" s="3">
        <v>1591</v>
      </c>
      <c r="K6611" s="3">
        <v>421</v>
      </c>
      <c r="L6611" t="s">
        <v>98</v>
      </c>
      <c r="M6611">
        <v>4</v>
      </c>
      <c r="N6611" t="s">
        <v>82</v>
      </c>
      <c r="O6611" t="s">
        <v>81</v>
      </c>
      <c r="P6611" t="s">
        <v>71</v>
      </c>
      <c r="Q6611" t="s">
        <v>72</v>
      </c>
      <c r="R6611" t="s">
        <v>139</v>
      </c>
      <c r="S6611" t="s">
        <v>144</v>
      </c>
      <c r="T6611" s="2">
        <f>MASTER[[#This Row],[CANTIDAD]]*MASTER[[#This Row],[PRECIO DE VENTA]]</f>
        <v>1591</v>
      </c>
      <c r="U6611" s="2">
        <f>MASTER[[#This Row],[CANTIDAD]]*MASTER[[#This Row],[COSTO UNITARIO]]</f>
        <v>421</v>
      </c>
      <c r="V6611" s="2">
        <f>MASTER[[#This Row],[MONTO VENDIDO]]-MASTER[[#This Row],[COSTO DE VENTA]]</f>
        <v>1170</v>
      </c>
    </row>
    <row r="6612" spans="1:22" x14ac:dyDescent="0.3">
      <c r="A6612">
        <v>90460</v>
      </c>
      <c r="B6612">
        <v>1</v>
      </c>
      <c r="C6612" t="s">
        <v>114</v>
      </c>
      <c r="D6612" t="s">
        <v>115</v>
      </c>
      <c r="E6612" s="1">
        <v>44557</v>
      </c>
      <c r="F6612">
        <v>2</v>
      </c>
      <c r="G6612" t="s">
        <v>35</v>
      </c>
      <c r="H6612" t="s">
        <v>36</v>
      </c>
      <c r="I6612" s="3">
        <v>1583</v>
      </c>
      <c r="J6612" s="3">
        <v>1583</v>
      </c>
      <c r="K6612" s="3">
        <v>394</v>
      </c>
      <c r="L6612" t="s">
        <v>113</v>
      </c>
      <c r="M6612">
        <v>17</v>
      </c>
      <c r="N6612" t="s">
        <v>14</v>
      </c>
      <c r="O6612" t="s">
        <v>11</v>
      </c>
      <c r="P6612" t="s">
        <v>15</v>
      </c>
      <c r="Q6612" t="s">
        <v>16</v>
      </c>
      <c r="R6612" t="s">
        <v>16</v>
      </c>
      <c r="S6612" t="s">
        <v>144</v>
      </c>
      <c r="T6612" s="2">
        <f>MASTER[[#This Row],[CANTIDAD]]*MASTER[[#This Row],[PRECIO DE VENTA]]</f>
        <v>3166</v>
      </c>
      <c r="U6612" s="2">
        <f>MASTER[[#This Row],[CANTIDAD]]*MASTER[[#This Row],[COSTO UNITARIO]]</f>
        <v>788</v>
      </c>
      <c r="V6612" s="2">
        <f>MASTER[[#This Row],[MONTO VENDIDO]]-MASTER[[#This Row],[COSTO DE VENTA]]</f>
        <v>2378</v>
      </c>
    </row>
    <row r="6613" spans="1:22" x14ac:dyDescent="0.3">
      <c r="A6613">
        <v>90461</v>
      </c>
      <c r="B6613">
        <v>1</v>
      </c>
      <c r="C6613" t="s">
        <v>105</v>
      </c>
      <c r="D6613" t="s">
        <v>106</v>
      </c>
      <c r="E6613" s="1">
        <v>44555</v>
      </c>
      <c r="F6613">
        <v>1</v>
      </c>
      <c r="G6613" t="s">
        <v>35</v>
      </c>
      <c r="H6613" t="s">
        <v>36</v>
      </c>
      <c r="I6613" s="3">
        <v>2033</v>
      </c>
      <c r="J6613" s="3">
        <v>2033</v>
      </c>
      <c r="K6613" s="3">
        <v>459</v>
      </c>
      <c r="L6613" t="s">
        <v>98</v>
      </c>
      <c r="M6613">
        <v>6</v>
      </c>
      <c r="N6613" t="s">
        <v>75</v>
      </c>
      <c r="O6613" t="s">
        <v>70</v>
      </c>
      <c r="P6613" t="s">
        <v>12</v>
      </c>
      <c r="Q6613" t="s">
        <v>13</v>
      </c>
      <c r="R6613" t="s">
        <v>13</v>
      </c>
      <c r="S6613" t="s">
        <v>144</v>
      </c>
      <c r="T6613" s="2">
        <f>MASTER[[#This Row],[CANTIDAD]]*MASTER[[#This Row],[PRECIO DE VENTA]]</f>
        <v>2033</v>
      </c>
      <c r="U6613" s="2">
        <f>MASTER[[#This Row],[CANTIDAD]]*MASTER[[#This Row],[COSTO UNITARIO]]</f>
        <v>459</v>
      </c>
      <c r="V6613" s="2">
        <f>MASTER[[#This Row],[MONTO VENDIDO]]-MASTER[[#This Row],[COSTO DE VENTA]]</f>
        <v>1574</v>
      </c>
    </row>
    <row r="6614" spans="1:22" x14ac:dyDescent="0.3">
      <c r="A6614">
        <v>90599</v>
      </c>
      <c r="B6614">
        <v>1</v>
      </c>
      <c r="C6614" t="s">
        <v>116</v>
      </c>
      <c r="D6614" t="s">
        <v>117</v>
      </c>
      <c r="E6614" s="1">
        <v>44560</v>
      </c>
      <c r="F6614">
        <v>1</v>
      </c>
      <c r="G6614" t="s">
        <v>31</v>
      </c>
      <c r="H6614" t="s">
        <v>32</v>
      </c>
      <c r="I6614" s="3">
        <v>1999</v>
      </c>
      <c r="J6614" s="3">
        <v>1999</v>
      </c>
      <c r="K6614" s="3">
        <v>388</v>
      </c>
      <c r="L6614" t="s">
        <v>113</v>
      </c>
      <c r="M6614">
        <v>3</v>
      </c>
      <c r="N6614" t="s">
        <v>69</v>
      </c>
      <c r="O6614" t="s">
        <v>70</v>
      </c>
      <c r="P6614" t="s">
        <v>71</v>
      </c>
      <c r="Q6614" t="s">
        <v>72</v>
      </c>
      <c r="R6614" t="s">
        <v>139</v>
      </c>
      <c r="S6614" t="s">
        <v>144</v>
      </c>
      <c r="T6614" s="2">
        <f>MASTER[[#This Row],[CANTIDAD]]*MASTER[[#This Row],[PRECIO DE VENTA]]</f>
        <v>1999</v>
      </c>
      <c r="U6614" s="2">
        <f>MASTER[[#This Row],[CANTIDAD]]*MASTER[[#This Row],[COSTO UNITARIO]]</f>
        <v>388</v>
      </c>
      <c r="V6614" s="2">
        <f>MASTER[[#This Row],[MONTO VENDIDO]]-MASTER[[#This Row],[COSTO DE VENTA]]</f>
        <v>1611</v>
      </c>
    </row>
    <row r="6615" spans="1:22" x14ac:dyDescent="0.3">
      <c r="A6615">
        <v>90616</v>
      </c>
      <c r="B6615">
        <v>1</v>
      </c>
      <c r="C6615" t="s">
        <v>5</v>
      </c>
      <c r="D6615" t="s">
        <v>6</v>
      </c>
      <c r="E6615" s="1">
        <v>44552</v>
      </c>
      <c r="F6615">
        <v>1</v>
      </c>
      <c r="G6615" t="s">
        <v>47</v>
      </c>
      <c r="H6615" t="s">
        <v>48</v>
      </c>
      <c r="I6615" s="3">
        <v>1507</v>
      </c>
      <c r="J6615" s="3">
        <v>1446</v>
      </c>
      <c r="K6615" s="3">
        <v>393</v>
      </c>
      <c r="L6615" t="s">
        <v>9</v>
      </c>
      <c r="M6615">
        <v>14</v>
      </c>
      <c r="N6615" t="s">
        <v>87</v>
      </c>
      <c r="O6615" t="s">
        <v>81</v>
      </c>
      <c r="P6615" t="s">
        <v>18</v>
      </c>
      <c r="Q6615" t="s">
        <v>19</v>
      </c>
      <c r="R6615" t="s">
        <v>138</v>
      </c>
      <c r="S6615" t="s">
        <v>144</v>
      </c>
      <c r="T6615" s="2">
        <f>MASTER[[#This Row],[CANTIDAD]]*MASTER[[#This Row],[PRECIO DE VENTA]]</f>
        <v>1446</v>
      </c>
      <c r="U6615" s="2">
        <f>MASTER[[#This Row],[CANTIDAD]]*MASTER[[#This Row],[COSTO UNITARIO]]</f>
        <v>393</v>
      </c>
      <c r="V6615" s="2">
        <f>MASTER[[#This Row],[MONTO VENDIDO]]-MASTER[[#This Row],[COSTO DE VENTA]]</f>
        <v>1053</v>
      </c>
    </row>
    <row r="6616" spans="1:22" x14ac:dyDescent="0.3">
      <c r="A6616">
        <v>90712</v>
      </c>
      <c r="B6616">
        <v>2</v>
      </c>
      <c r="C6616" t="s">
        <v>5</v>
      </c>
      <c r="D6616" t="s">
        <v>6</v>
      </c>
      <c r="E6616" s="1">
        <v>44561</v>
      </c>
      <c r="F6616">
        <v>1</v>
      </c>
      <c r="G6616" t="s">
        <v>7</v>
      </c>
      <c r="H6616" t="s">
        <v>8</v>
      </c>
      <c r="I6616" s="3">
        <v>1296</v>
      </c>
      <c r="J6616" s="3">
        <v>1296</v>
      </c>
      <c r="K6616" s="3">
        <v>393</v>
      </c>
      <c r="L6616" t="s">
        <v>9</v>
      </c>
      <c r="M6616">
        <v>3</v>
      </c>
      <c r="N6616" t="s">
        <v>69</v>
      </c>
      <c r="O6616" t="s">
        <v>70</v>
      </c>
      <c r="P6616" t="s">
        <v>71</v>
      </c>
      <c r="Q6616" t="s">
        <v>72</v>
      </c>
      <c r="R6616" t="s">
        <v>139</v>
      </c>
      <c r="S6616" t="s">
        <v>144</v>
      </c>
      <c r="T6616" s="2">
        <f>MASTER[[#This Row],[CANTIDAD]]*MASTER[[#This Row],[PRECIO DE VENTA]]</f>
        <v>1296</v>
      </c>
      <c r="U6616" s="2">
        <f>MASTER[[#This Row],[CANTIDAD]]*MASTER[[#This Row],[COSTO UNITARIO]]</f>
        <v>393</v>
      </c>
      <c r="V6616" s="2">
        <f>MASTER[[#This Row],[MONTO VENDIDO]]-MASTER[[#This Row],[COSTO DE VENTA]]</f>
        <v>903</v>
      </c>
    </row>
    <row r="6617" spans="1:22" x14ac:dyDescent="0.3">
      <c r="A6617">
        <v>90712</v>
      </c>
      <c r="B6617">
        <v>1</v>
      </c>
      <c r="C6617" t="s">
        <v>118</v>
      </c>
      <c r="D6617" t="s">
        <v>119</v>
      </c>
      <c r="E6617" s="1">
        <v>44561</v>
      </c>
      <c r="F6617">
        <v>1</v>
      </c>
      <c r="G6617" t="s">
        <v>47</v>
      </c>
      <c r="H6617" t="s">
        <v>48</v>
      </c>
      <c r="I6617" s="3">
        <v>1026</v>
      </c>
      <c r="J6617" s="3">
        <v>1026</v>
      </c>
      <c r="K6617" s="3">
        <v>424</v>
      </c>
      <c r="L6617" t="s">
        <v>120</v>
      </c>
      <c r="M6617">
        <v>3</v>
      </c>
      <c r="N6617" t="s">
        <v>69</v>
      </c>
      <c r="O6617" t="s">
        <v>70</v>
      </c>
      <c r="P6617" t="s">
        <v>71</v>
      </c>
      <c r="Q6617" t="s">
        <v>72</v>
      </c>
      <c r="R6617" t="s">
        <v>139</v>
      </c>
      <c r="S6617" t="s">
        <v>144</v>
      </c>
      <c r="T6617" s="2">
        <f>MASTER[[#This Row],[CANTIDAD]]*MASTER[[#This Row],[PRECIO DE VENTA]]</f>
        <v>1026</v>
      </c>
      <c r="U6617" s="2">
        <f>MASTER[[#This Row],[CANTIDAD]]*MASTER[[#This Row],[COSTO UNITARIO]]</f>
        <v>424</v>
      </c>
      <c r="V6617" s="2">
        <f>MASTER[[#This Row],[MONTO VENDIDO]]-MASTER[[#This Row],[COSTO DE VENTA]]</f>
        <v>602</v>
      </c>
    </row>
    <row r="6618" spans="1:22" x14ac:dyDescent="0.3">
      <c r="A6618">
        <v>90729</v>
      </c>
      <c r="B6618">
        <v>1</v>
      </c>
      <c r="C6618" t="s">
        <v>121</v>
      </c>
      <c r="D6618" t="s">
        <v>122</v>
      </c>
      <c r="E6618" s="1">
        <v>44558</v>
      </c>
      <c r="F6618">
        <v>1</v>
      </c>
      <c r="G6618" t="s">
        <v>22</v>
      </c>
      <c r="H6618" t="s">
        <v>23</v>
      </c>
      <c r="I6618" s="3">
        <v>1069</v>
      </c>
      <c r="J6618" s="3">
        <v>1069</v>
      </c>
      <c r="K6618" s="3">
        <v>460</v>
      </c>
      <c r="L6618" t="s">
        <v>120</v>
      </c>
      <c r="M6618">
        <v>19</v>
      </c>
      <c r="N6618" t="s">
        <v>89</v>
      </c>
      <c r="O6618" t="s">
        <v>81</v>
      </c>
      <c r="P6618" t="s">
        <v>15</v>
      </c>
      <c r="Q6618" t="s">
        <v>16</v>
      </c>
      <c r="R6618" t="s">
        <v>16</v>
      </c>
      <c r="S6618" t="s">
        <v>144</v>
      </c>
      <c r="T6618" s="2">
        <f>MASTER[[#This Row],[CANTIDAD]]*MASTER[[#This Row],[PRECIO DE VENTA]]</f>
        <v>1069</v>
      </c>
      <c r="U6618" s="2">
        <f>MASTER[[#This Row],[CANTIDAD]]*MASTER[[#This Row],[COSTO UNITARIO]]</f>
        <v>460</v>
      </c>
      <c r="V6618" s="2">
        <f>MASTER[[#This Row],[MONTO VENDIDO]]-MASTER[[#This Row],[COSTO DE VENTA]]</f>
        <v>609</v>
      </c>
    </row>
    <row r="6619" spans="1:22" x14ac:dyDescent="0.3">
      <c r="A6619">
        <v>90734</v>
      </c>
      <c r="B6619">
        <v>1</v>
      </c>
      <c r="C6619" t="s">
        <v>101</v>
      </c>
      <c r="D6619" t="s">
        <v>102</v>
      </c>
      <c r="E6619" s="1">
        <v>44559</v>
      </c>
      <c r="F6619">
        <v>1</v>
      </c>
      <c r="G6619" t="s">
        <v>29</v>
      </c>
      <c r="H6619" t="s">
        <v>30</v>
      </c>
      <c r="I6619" s="3">
        <v>1357</v>
      </c>
      <c r="J6619" s="3">
        <v>1248</v>
      </c>
      <c r="K6619" s="3">
        <v>442</v>
      </c>
      <c r="L6619" t="s">
        <v>98</v>
      </c>
      <c r="M6619">
        <v>3</v>
      </c>
      <c r="N6619" t="s">
        <v>69</v>
      </c>
      <c r="O6619" t="s">
        <v>70</v>
      </c>
      <c r="P6619" t="s">
        <v>71</v>
      </c>
      <c r="Q6619" t="s">
        <v>72</v>
      </c>
      <c r="R6619" t="s">
        <v>139</v>
      </c>
      <c r="S6619" t="s">
        <v>144</v>
      </c>
      <c r="T6619" s="2">
        <f>MASTER[[#This Row],[CANTIDAD]]*MASTER[[#This Row],[PRECIO DE VENTA]]</f>
        <v>1248</v>
      </c>
      <c r="U6619" s="2">
        <f>MASTER[[#This Row],[CANTIDAD]]*MASTER[[#This Row],[COSTO UNITARIO]]</f>
        <v>442</v>
      </c>
      <c r="V6619" s="2">
        <f>MASTER[[#This Row],[MONTO VENDIDO]]-MASTER[[#This Row],[COSTO DE VENTA]]</f>
        <v>806</v>
      </c>
    </row>
    <row r="6620" spans="1:22" x14ac:dyDescent="0.3">
      <c r="A6620">
        <v>90737</v>
      </c>
      <c r="B6620">
        <v>1</v>
      </c>
      <c r="C6620" t="s">
        <v>101</v>
      </c>
      <c r="D6620" t="s">
        <v>102</v>
      </c>
      <c r="E6620" s="1">
        <v>44551</v>
      </c>
      <c r="F6620">
        <v>1</v>
      </c>
      <c r="G6620" t="s">
        <v>24</v>
      </c>
      <c r="H6620" t="s">
        <v>25</v>
      </c>
      <c r="I6620" s="3">
        <v>1212</v>
      </c>
      <c r="J6620" s="3">
        <v>1212</v>
      </c>
      <c r="K6620" s="3">
        <v>442</v>
      </c>
      <c r="L6620" t="s">
        <v>98</v>
      </c>
      <c r="M6620">
        <v>19</v>
      </c>
      <c r="N6620" t="s">
        <v>89</v>
      </c>
      <c r="O6620" t="s">
        <v>81</v>
      </c>
      <c r="P6620" t="s">
        <v>15</v>
      </c>
      <c r="Q6620" t="s">
        <v>16</v>
      </c>
      <c r="R6620" t="s">
        <v>16</v>
      </c>
      <c r="S6620" t="s">
        <v>144</v>
      </c>
      <c r="T6620" s="2">
        <f>MASTER[[#This Row],[CANTIDAD]]*MASTER[[#This Row],[PRECIO DE VENTA]]</f>
        <v>1212</v>
      </c>
      <c r="U6620" s="2">
        <f>MASTER[[#This Row],[CANTIDAD]]*MASTER[[#This Row],[COSTO UNITARIO]]</f>
        <v>442</v>
      </c>
      <c r="V6620" s="2">
        <f>MASTER[[#This Row],[MONTO VENDIDO]]-MASTER[[#This Row],[COSTO DE VENTA]]</f>
        <v>770</v>
      </c>
    </row>
    <row r="6621" spans="1:22" x14ac:dyDescent="0.3">
      <c r="A6621">
        <v>90788</v>
      </c>
      <c r="B6621">
        <v>1</v>
      </c>
      <c r="C6621" t="s">
        <v>105</v>
      </c>
      <c r="D6621" t="s">
        <v>106</v>
      </c>
      <c r="E6621" s="1">
        <v>44558</v>
      </c>
      <c r="F6621">
        <v>1</v>
      </c>
      <c r="G6621" t="s">
        <v>29</v>
      </c>
      <c r="H6621" t="s">
        <v>30</v>
      </c>
      <c r="I6621" s="3">
        <v>2033</v>
      </c>
      <c r="J6621" s="3">
        <v>2033</v>
      </c>
      <c r="K6621" s="3">
        <v>459</v>
      </c>
      <c r="L6621" t="s">
        <v>98</v>
      </c>
      <c r="M6621">
        <v>13</v>
      </c>
      <c r="N6621" t="s">
        <v>78</v>
      </c>
      <c r="O6621" t="s">
        <v>70</v>
      </c>
      <c r="P6621" t="s">
        <v>18</v>
      </c>
      <c r="Q6621" t="s">
        <v>19</v>
      </c>
      <c r="R6621" t="s">
        <v>138</v>
      </c>
      <c r="S6621" t="s">
        <v>144</v>
      </c>
      <c r="T6621" s="2">
        <f>MASTER[[#This Row],[CANTIDAD]]*MASTER[[#This Row],[PRECIO DE VENTA]]</f>
        <v>2033</v>
      </c>
      <c r="U6621" s="2">
        <f>MASTER[[#This Row],[CANTIDAD]]*MASTER[[#This Row],[COSTO UNITARIO]]</f>
        <v>459</v>
      </c>
      <c r="V6621" s="2">
        <f>MASTER[[#This Row],[MONTO VENDIDO]]-MASTER[[#This Row],[COSTO DE VENTA]]</f>
        <v>1574</v>
      </c>
    </row>
    <row r="6622" spans="1:22" x14ac:dyDescent="0.3">
      <c r="A6622">
        <v>90887</v>
      </c>
      <c r="B6622">
        <v>1</v>
      </c>
      <c r="C6622" t="s">
        <v>105</v>
      </c>
      <c r="D6622" t="s">
        <v>106</v>
      </c>
      <c r="E6622" s="1">
        <v>44548</v>
      </c>
      <c r="F6622">
        <v>1</v>
      </c>
      <c r="G6622" t="s">
        <v>29</v>
      </c>
      <c r="H6622" t="s">
        <v>30</v>
      </c>
      <c r="I6622" s="3">
        <v>1865</v>
      </c>
      <c r="J6622" s="3">
        <v>1865</v>
      </c>
      <c r="K6622" s="3">
        <v>459</v>
      </c>
      <c r="L6622" t="s">
        <v>98</v>
      </c>
      <c r="M6622">
        <v>7</v>
      </c>
      <c r="N6622" t="s">
        <v>84</v>
      </c>
      <c r="O6622" t="s">
        <v>81</v>
      </c>
      <c r="P6622" t="s">
        <v>12</v>
      </c>
      <c r="Q6622" t="s">
        <v>13</v>
      </c>
      <c r="R6622" t="s">
        <v>13</v>
      </c>
      <c r="S6622" t="s">
        <v>144</v>
      </c>
      <c r="T6622" s="2">
        <f>MASTER[[#This Row],[CANTIDAD]]*MASTER[[#This Row],[PRECIO DE VENTA]]</f>
        <v>1865</v>
      </c>
      <c r="U6622" s="2">
        <f>MASTER[[#This Row],[CANTIDAD]]*MASTER[[#This Row],[COSTO UNITARIO]]</f>
        <v>459</v>
      </c>
      <c r="V6622" s="2">
        <f>MASTER[[#This Row],[MONTO VENDIDO]]-MASTER[[#This Row],[COSTO DE VENTA]]</f>
        <v>1406</v>
      </c>
    </row>
    <row r="6623" spans="1:22" x14ac:dyDescent="0.3">
      <c r="A6623">
        <v>90922</v>
      </c>
      <c r="B6623">
        <v>1</v>
      </c>
      <c r="C6623" t="s">
        <v>94</v>
      </c>
      <c r="D6623" t="s">
        <v>95</v>
      </c>
      <c r="E6623" s="1">
        <v>44551</v>
      </c>
      <c r="F6623">
        <v>1</v>
      </c>
      <c r="G6623" t="s">
        <v>47</v>
      </c>
      <c r="H6623" t="s">
        <v>48</v>
      </c>
      <c r="I6623" s="3">
        <v>1048</v>
      </c>
      <c r="J6623" s="3">
        <v>1048</v>
      </c>
      <c r="K6623" s="3">
        <v>392</v>
      </c>
      <c r="L6623" t="s">
        <v>9</v>
      </c>
      <c r="M6623">
        <v>5</v>
      </c>
      <c r="N6623" t="s">
        <v>85</v>
      </c>
      <c r="O6623" t="s">
        <v>81</v>
      </c>
      <c r="P6623" t="s">
        <v>12</v>
      </c>
      <c r="Q6623" t="s">
        <v>13</v>
      </c>
      <c r="R6623" t="s">
        <v>13</v>
      </c>
      <c r="S6623" t="s">
        <v>144</v>
      </c>
      <c r="T6623" s="2">
        <f>MASTER[[#This Row],[CANTIDAD]]*MASTER[[#This Row],[PRECIO DE VENTA]]</f>
        <v>1048</v>
      </c>
      <c r="U6623" s="2">
        <f>MASTER[[#This Row],[CANTIDAD]]*MASTER[[#This Row],[COSTO UNITARIO]]</f>
        <v>392</v>
      </c>
      <c r="V6623" s="2">
        <f>MASTER[[#This Row],[MONTO VENDIDO]]-MASTER[[#This Row],[COSTO DE VENTA]]</f>
        <v>656</v>
      </c>
    </row>
    <row r="6624" spans="1:22" x14ac:dyDescent="0.3">
      <c r="A6624">
        <v>90989</v>
      </c>
      <c r="B6624">
        <v>1</v>
      </c>
      <c r="C6624" t="s">
        <v>111</v>
      </c>
      <c r="D6624" t="s">
        <v>112</v>
      </c>
      <c r="E6624" s="1">
        <v>44555</v>
      </c>
      <c r="F6624">
        <v>1</v>
      </c>
      <c r="G6624" t="s">
        <v>35</v>
      </c>
      <c r="H6624" t="s">
        <v>36</v>
      </c>
      <c r="I6624" s="3">
        <v>1621</v>
      </c>
      <c r="J6624" s="3">
        <v>1621</v>
      </c>
      <c r="K6624" s="3">
        <v>434</v>
      </c>
      <c r="L6624" t="s">
        <v>113</v>
      </c>
      <c r="M6624">
        <v>15</v>
      </c>
      <c r="N6624" t="s">
        <v>88</v>
      </c>
      <c r="O6624" t="s">
        <v>81</v>
      </c>
      <c r="P6624" t="s">
        <v>18</v>
      </c>
      <c r="Q6624" t="s">
        <v>19</v>
      </c>
      <c r="R6624" t="s">
        <v>138</v>
      </c>
      <c r="S6624" t="s">
        <v>144</v>
      </c>
      <c r="T6624" s="2">
        <f>MASTER[[#This Row],[CANTIDAD]]*MASTER[[#This Row],[PRECIO DE VENTA]]</f>
        <v>1621</v>
      </c>
      <c r="U6624" s="2">
        <f>MASTER[[#This Row],[CANTIDAD]]*MASTER[[#This Row],[COSTO UNITARIO]]</f>
        <v>434</v>
      </c>
      <c r="V6624" s="2">
        <f>MASTER[[#This Row],[MONTO VENDIDO]]-MASTER[[#This Row],[COSTO DE VENTA]]</f>
        <v>1187</v>
      </c>
    </row>
    <row r="6625" spans="1:22" x14ac:dyDescent="0.3">
      <c r="A6625">
        <v>90990</v>
      </c>
      <c r="B6625">
        <v>1</v>
      </c>
      <c r="C6625" t="s">
        <v>96</v>
      </c>
      <c r="D6625" t="s">
        <v>97</v>
      </c>
      <c r="E6625" s="1">
        <v>44550</v>
      </c>
      <c r="F6625">
        <v>1</v>
      </c>
      <c r="G6625" t="s">
        <v>45</v>
      </c>
      <c r="H6625" t="s">
        <v>46</v>
      </c>
      <c r="I6625" s="3">
        <v>1272</v>
      </c>
      <c r="J6625" s="3">
        <v>1272</v>
      </c>
      <c r="K6625" s="3">
        <v>397</v>
      </c>
      <c r="L6625" t="s">
        <v>98</v>
      </c>
      <c r="M6625">
        <v>4</v>
      </c>
      <c r="N6625" t="s">
        <v>82</v>
      </c>
      <c r="O6625" t="s">
        <v>81</v>
      </c>
      <c r="P6625" t="s">
        <v>71</v>
      </c>
      <c r="Q6625" t="s">
        <v>72</v>
      </c>
      <c r="R6625" t="s">
        <v>139</v>
      </c>
      <c r="S6625" t="s">
        <v>144</v>
      </c>
      <c r="T6625" s="2">
        <f>MASTER[[#This Row],[CANTIDAD]]*MASTER[[#This Row],[PRECIO DE VENTA]]</f>
        <v>1272</v>
      </c>
      <c r="U6625" s="2">
        <f>MASTER[[#This Row],[CANTIDAD]]*MASTER[[#This Row],[COSTO UNITARIO]]</f>
        <v>397</v>
      </c>
      <c r="V6625" s="2">
        <f>MASTER[[#This Row],[MONTO VENDIDO]]-MASTER[[#This Row],[COSTO DE VENTA]]</f>
        <v>875</v>
      </c>
    </row>
    <row r="6626" spans="1:22" x14ac:dyDescent="0.3">
      <c r="A6626">
        <v>91047</v>
      </c>
      <c r="B6626">
        <v>1</v>
      </c>
      <c r="C6626" t="s">
        <v>94</v>
      </c>
      <c r="D6626" t="s">
        <v>95</v>
      </c>
      <c r="E6626" s="1">
        <v>44561</v>
      </c>
      <c r="F6626">
        <v>1</v>
      </c>
      <c r="G6626" t="s">
        <v>39</v>
      </c>
      <c r="H6626" t="s">
        <v>40</v>
      </c>
      <c r="I6626" s="3">
        <v>1153</v>
      </c>
      <c r="J6626" s="3">
        <v>1153</v>
      </c>
      <c r="K6626" s="3">
        <v>392</v>
      </c>
      <c r="L6626" t="s">
        <v>9</v>
      </c>
      <c r="M6626">
        <v>18</v>
      </c>
      <c r="N6626" t="s">
        <v>79</v>
      </c>
      <c r="O6626" t="s">
        <v>70</v>
      </c>
      <c r="P6626" t="s">
        <v>15</v>
      </c>
      <c r="Q6626" t="s">
        <v>16</v>
      </c>
      <c r="R6626" t="s">
        <v>16</v>
      </c>
      <c r="S6626" t="s">
        <v>144</v>
      </c>
      <c r="T6626" s="2">
        <f>MASTER[[#This Row],[CANTIDAD]]*MASTER[[#This Row],[PRECIO DE VENTA]]</f>
        <v>1153</v>
      </c>
      <c r="U6626" s="2">
        <f>MASTER[[#This Row],[CANTIDAD]]*MASTER[[#This Row],[COSTO UNITARIO]]</f>
        <v>392</v>
      </c>
      <c r="V6626" s="2">
        <f>MASTER[[#This Row],[MONTO VENDIDO]]-MASTER[[#This Row],[COSTO DE VENTA]]</f>
        <v>761</v>
      </c>
    </row>
    <row r="6627" spans="1:22" x14ac:dyDescent="0.3">
      <c r="A6627">
        <v>91063</v>
      </c>
      <c r="B6627">
        <v>1</v>
      </c>
      <c r="C6627" t="s">
        <v>90</v>
      </c>
      <c r="D6627" t="s">
        <v>91</v>
      </c>
      <c r="E6627" s="1">
        <v>44548</v>
      </c>
      <c r="F6627">
        <v>1</v>
      </c>
      <c r="G6627" t="s">
        <v>22</v>
      </c>
      <c r="H6627" t="s">
        <v>23</v>
      </c>
      <c r="I6627" s="3">
        <v>1660</v>
      </c>
      <c r="J6627" s="3">
        <v>1660</v>
      </c>
      <c r="K6627" s="3">
        <v>420</v>
      </c>
      <c r="L6627" t="s">
        <v>9</v>
      </c>
      <c r="M6627">
        <v>16</v>
      </c>
      <c r="N6627" t="s">
        <v>17</v>
      </c>
      <c r="O6627" t="s">
        <v>11</v>
      </c>
      <c r="P6627" t="s">
        <v>18</v>
      </c>
      <c r="Q6627" t="s">
        <v>19</v>
      </c>
      <c r="R6627" t="s">
        <v>138</v>
      </c>
      <c r="S6627" t="s">
        <v>144</v>
      </c>
      <c r="T6627" s="2">
        <f>MASTER[[#This Row],[CANTIDAD]]*MASTER[[#This Row],[PRECIO DE VENTA]]</f>
        <v>1660</v>
      </c>
      <c r="U6627" s="2">
        <f>MASTER[[#This Row],[CANTIDAD]]*MASTER[[#This Row],[COSTO UNITARIO]]</f>
        <v>420</v>
      </c>
      <c r="V6627" s="2">
        <f>MASTER[[#This Row],[MONTO VENDIDO]]-MASTER[[#This Row],[COSTO DE VENTA]]</f>
        <v>1240</v>
      </c>
    </row>
    <row r="6628" spans="1:22" x14ac:dyDescent="0.3">
      <c r="A6628">
        <v>91110</v>
      </c>
      <c r="B6628">
        <v>1</v>
      </c>
      <c r="C6628" t="s">
        <v>111</v>
      </c>
      <c r="D6628" t="s">
        <v>112</v>
      </c>
      <c r="E6628" s="1">
        <v>44546</v>
      </c>
      <c r="F6628">
        <v>3</v>
      </c>
      <c r="G6628" t="s">
        <v>45</v>
      </c>
      <c r="H6628" t="s">
        <v>46</v>
      </c>
      <c r="I6628" s="3">
        <v>1799</v>
      </c>
      <c r="J6628" s="3">
        <v>1799</v>
      </c>
      <c r="K6628" s="3">
        <v>434</v>
      </c>
      <c r="L6628" t="s">
        <v>113</v>
      </c>
      <c r="M6628">
        <v>13</v>
      </c>
      <c r="N6628" t="s">
        <v>78</v>
      </c>
      <c r="O6628" t="s">
        <v>70</v>
      </c>
      <c r="P6628" t="s">
        <v>18</v>
      </c>
      <c r="Q6628" t="s">
        <v>19</v>
      </c>
      <c r="R6628" t="s">
        <v>138</v>
      </c>
      <c r="S6628" t="s">
        <v>144</v>
      </c>
      <c r="T6628" s="2">
        <f>MASTER[[#This Row],[CANTIDAD]]*MASTER[[#This Row],[PRECIO DE VENTA]]</f>
        <v>5397</v>
      </c>
      <c r="U6628" s="2">
        <f>MASTER[[#This Row],[CANTIDAD]]*MASTER[[#This Row],[COSTO UNITARIO]]</f>
        <v>1302</v>
      </c>
      <c r="V6628" s="2">
        <f>MASTER[[#This Row],[MONTO VENDIDO]]-MASTER[[#This Row],[COSTO DE VENTA]]</f>
        <v>4095</v>
      </c>
    </row>
    <row r="6629" spans="1:22" x14ac:dyDescent="0.3">
      <c r="A6629">
        <v>91129</v>
      </c>
      <c r="B6629">
        <v>1</v>
      </c>
      <c r="C6629" t="s">
        <v>94</v>
      </c>
      <c r="D6629" t="s">
        <v>95</v>
      </c>
      <c r="E6629" s="1">
        <v>44553</v>
      </c>
      <c r="F6629">
        <v>1</v>
      </c>
      <c r="G6629" t="s">
        <v>73</v>
      </c>
      <c r="H6629" t="s">
        <v>74</v>
      </c>
      <c r="I6629" s="3">
        <v>1153</v>
      </c>
      <c r="J6629" s="3">
        <v>1153</v>
      </c>
      <c r="K6629" s="3">
        <v>392</v>
      </c>
      <c r="L6629" t="s">
        <v>9</v>
      </c>
      <c r="M6629">
        <v>9</v>
      </c>
      <c r="N6629" t="s">
        <v>76</v>
      </c>
      <c r="O6629" t="s">
        <v>70</v>
      </c>
      <c r="P6629" t="s">
        <v>12</v>
      </c>
      <c r="Q6629" t="s">
        <v>13</v>
      </c>
      <c r="R6629" t="s">
        <v>13</v>
      </c>
      <c r="S6629" t="s">
        <v>144</v>
      </c>
      <c r="T6629" s="2">
        <f>MASTER[[#This Row],[CANTIDAD]]*MASTER[[#This Row],[PRECIO DE VENTA]]</f>
        <v>1153</v>
      </c>
      <c r="U6629" s="2">
        <f>MASTER[[#This Row],[CANTIDAD]]*MASTER[[#This Row],[COSTO UNITARIO]]</f>
        <v>392</v>
      </c>
      <c r="V6629" s="2">
        <f>MASTER[[#This Row],[MONTO VENDIDO]]-MASTER[[#This Row],[COSTO DE VENTA]]</f>
        <v>761</v>
      </c>
    </row>
    <row r="6630" spans="1:22" x14ac:dyDescent="0.3">
      <c r="A6630">
        <v>91237</v>
      </c>
      <c r="B6630">
        <v>1</v>
      </c>
      <c r="C6630" t="s">
        <v>105</v>
      </c>
      <c r="D6630" t="s">
        <v>106</v>
      </c>
      <c r="E6630" s="1">
        <v>44556</v>
      </c>
      <c r="F6630">
        <v>1</v>
      </c>
      <c r="G6630" t="s">
        <v>47</v>
      </c>
      <c r="H6630" t="s">
        <v>48</v>
      </c>
      <c r="I6630" s="3">
        <v>1865</v>
      </c>
      <c r="J6630" s="3">
        <v>1865</v>
      </c>
      <c r="K6630" s="3">
        <v>459</v>
      </c>
      <c r="L6630" t="s">
        <v>98</v>
      </c>
      <c r="M6630">
        <v>8</v>
      </c>
      <c r="N6630" t="s">
        <v>80</v>
      </c>
      <c r="O6630" t="s">
        <v>81</v>
      </c>
      <c r="P6630" t="s">
        <v>12</v>
      </c>
      <c r="Q6630" t="s">
        <v>13</v>
      </c>
      <c r="R6630" t="s">
        <v>13</v>
      </c>
      <c r="S6630" t="s">
        <v>144</v>
      </c>
      <c r="T6630" s="2">
        <f>MASTER[[#This Row],[CANTIDAD]]*MASTER[[#This Row],[PRECIO DE VENTA]]</f>
        <v>1865</v>
      </c>
      <c r="U6630" s="2">
        <f>MASTER[[#This Row],[CANTIDAD]]*MASTER[[#This Row],[COSTO UNITARIO]]</f>
        <v>459</v>
      </c>
      <c r="V6630" s="2">
        <f>MASTER[[#This Row],[MONTO VENDIDO]]-MASTER[[#This Row],[COSTO DE VENTA]]</f>
        <v>1406</v>
      </c>
    </row>
    <row r="6631" spans="1:22" x14ac:dyDescent="0.3">
      <c r="A6631">
        <v>91240</v>
      </c>
      <c r="B6631">
        <v>1</v>
      </c>
      <c r="C6631" t="s">
        <v>121</v>
      </c>
      <c r="D6631" t="s">
        <v>122</v>
      </c>
      <c r="E6631" s="1">
        <v>44554</v>
      </c>
      <c r="F6631">
        <v>1</v>
      </c>
      <c r="G6631" t="s">
        <v>47</v>
      </c>
      <c r="H6631" t="s">
        <v>48</v>
      </c>
      <c r="I6631" s="3">
        <v>941</v>
      </c>
      <c r="J6631" s="3">
        <v>941</v>
      </c>
      <c r="K6631" s="3">
        <v>460</v>
      </c>
      <c r="L6631" t="s">
        <v>120</v>
      </c>
      <c r="M6631">
        <v>11</v>
      </c>
      <c r="N6631" t="s">
        <v>10</v>
      </c>
      <c r="O6631" t="s">
        <v>11</v>
      </c>
      <c r="P6631" t="s">
        <v>12</v>
      </c>
      <c r="Q6631" t="s">
        <v>13</v>
      </c>
      <c r="R6631" t="s">
        <v>13</v>
      </c>
      <c r="S6631" t="s">
        <v>144</v>
      </c>
      <c r="T6631" s="2">
        <f>MASTER[[#This Row],[CANTIDAD]]*MASTER[[#This Row],[PRECIO DE VENTA]]</f>
        <v>941</v>
      </c>
      <c r="U6631" s="2">
        <f>MASTER[[#This Row],[CANTIDAD]]*MASTER[[#This Row],[COSTO UNITARIO]]</f>
        <v>460</v>
      </c>
      <c r="V6631" s="2">
        <f>MASTER[[#This Row],[MONTO VENDIDO]]-MASTER[[#This Row],[COSTO DE VENTA]]</f>
        <v>481</v>
      </c>
    </row>
    <row r="6632" spans="1:22" x14ac:dyDescent="0.3">
      <c r="A6632">
        <v>91263</v>
      </c>
      <c r="B6632">
        <v>1</v>
      </c>
      <c r="C6632" t="s">
        <v>90</v>
      </c>
      <c r="D6632" t="s">
        <v>91</v>
      </c>
      <c r="E6632" s="1">
        <v>44553</v>
      </c>
      <c r="F6632">
        <v>4</v>
      </c>
      <c r="G6632" t="s">
        <v>53</v>
      </c>
      <c r="H6632" t="s">
        <v>54</v>
      </c>
      <c r="I6632" s="3">
        <v>2102</v>
      </c>
      <c r="J6632" s="3">
        <v>2102</v>
      </c>
      <c r="K6632" s="3">
        <v>420</v>
      </c>
      <c r="L6632" t="s">
        <v>9</v>
      </c>
      <c r="M6632">
        <v>3</v>
      </c>
      <c r="N6632" t="s">
        <v>69</v>
      </c>
      <c r="O6632" t="s">
        <v>70</v>
      </c>
      <c r="P6632" t="s">
        <v>71</v>
      </c>
      <c r="Q6632" t="s">
        <v>72</v>
      </c>
      <c r="R6632" t="s">
        <v>139</v>
      </c>
      <c r="S6632" t="s">
        <v>144</v>
      </c>
      <c r="T6632" s="2">
        <f>MASTER[[#This Row],[CANTIDAD]]*MASTER[[#This Row],[PRECIO DE VENTA]]</f>
        <v>8408</v>
      </c>
      <c r="U6632" s="2">
        <f>MASTER[[#This Row],[CANTIDAD]]*MASTER[[#This Row],[COSTO UNITARIO]]</f>
        <v>1680</v>
      </c>
      <c r="V6632" s="2">
        <f>MASTER[[#This Row],[MONTO VENDIDO]]-MASTER[[#This Row],[COSTO DE VENTA]]</f>
        <v>6728</v>
      </c>
    </row>
    <row r="6633" spans="1:22" x14ac:dyDescent="0.3">
      <c r="A6633">
        <v>91300</v>
      </c>
      <c r="B6633">
        <v>1</v>
      </c>
      <c r="C6633" t="s">
        <v>5</v>
      </c>
      <c r="D6633" t="s">
        <v>6</v>
      </c>
      <c r="E6633" s="1">
        <v>44556</v>
      </c>
      <c r="F6633">
        <v>1</v>
      </c>
      <c r="G6633" t="s">
        <v>41</v>
      </c>
      <c r="H6633" t="s">
        <v>42</v>
      </c>
      <c r="I6633" s="3">
        <v>1311</v>
      </c>
      <c r="J6633" s="3">
        <v>1311</v>
      </c>
      <c r="K6633" s="3">
        <v>393</v>
      </c>
      <c r="L6633" t="s">
        <v>9</v>
      </c>
      <c r="M6633">
        <v>16</v>
      </c>
      <c r="N6633" t="s">
        <v>17</v>
      </c>
      <c r="O6633" t="s">
        <v>11</v>
      </c>
      <c r="P6633" t="s">
        <v>18</v>
      </c>
      <c r="Q6633" t="s">
        <v>19</v>
      </c>
      <c r="R6633" t="s">
        <v>138</v>
      </c>
      <c r="S6633" t="s">
        <v>144</v>
      </c>
      <c r="T6633" s="2">
        <f>MASTER[[#This Row],[CANTIDAD]]*MASTER[[#This Row],[PRECIO DE VENTA]]</f>
        <v>1311</v>
      </c>
      <c r="U6633" s="2">
        <f>MASTER[[#This Row],[CANTIDAD]]*MASTER[[#This Row],[COSTO UNITARIO]]</f>
        <v>393</v>
      </c>
      <c r="V6633" s="2">
        <f>MASTER[[#This Row],[MONTO VENDIDO]]-MASTER[[#This Row],[COSTO DE VENTA]]</f>
        <v>918</v>
      </c>
    </row>
    <row r="6634" spans="1:22" x14ac:dyDescent="0.3">
      <c r="A6634">
        <v>91537</v>
      </c>
      <c r="B6634">
        <v>1</v>
      </c>
      <c r="C6634" t="s">
        <v>116</v>
      </c>
      <c r="D6634" t="s">
        <v>117</v>
      </c>
      <c r="E6634" s="1">
        <v>44547</v>
      </c>
      <c r="F6634">
        <v>1</v>
      </c>
      <c r="G6634" t="s">
        <v>41</v>
      </c>
      <c r="H6634" t="s">
        <v>42</v>
      </c>
      <c r="I6634" s="3">
        <v>1738</v>
      </c>
      <c r="J6634" s="3">
        <v>1738</v>
      </c>
      <c r="K6634" s="3">
        <v>388</v>
      </c>
      <c r="L6634" t="s">
        <v>113</v>
      </c>
      <c r="M6634">
        <v>4</v>
      </c>
      <c r="N6634" t="s">
        <v>82</v>
      </c>
      <c r="O6634" t="s">
        <v>81</v>
      </c>
      <c r="P6634" t="s">
        <v>71</v>
      </c>
      <c r="Q6634" t="s">
        <v>72</v>
      </c>
      <c r="R6634" t="s">
        <v>139</v>
      </c>
      <c r="S6634" t="s">
        <v>144</v>
      </c>
      <c r="T6634" s="2">
        <f>MASTER[[#This Row],[CANTIDAD]]*MASTER[[#This Row],[PRECIO DE VENTA]]</f>
        <v>1738</v>
      </c>
      <c r="U6634" s="2">
        <f>MASTER[[#This Row],[CANTIDAD]]*MASTER[[#This Row],[COSTO UNITARIO]]</f>
        <v>388</v>
      </c>
      <c r="V6634" s="2">
        <f>MASTER[[#This Row],[MONTO VENDIDO]]-MASTER[[#This Row],[COSTO DE VENTA]]</f>
        <v>1350</v>
      </c>
    </row>
    <row r="6635" spans="1:22" x14ac:dyDescent="0.3">
      <c r="A6635">
        <v>91578</v>
      </c>
      <c r="B6635">
        <v>1</v>
      </c>
      <c r="C6635" t="s">
        <v>111</v>
      </c>
      <c r="D6635" t="s">
        <v>112</v>
      </c>
      <c r="E6635" s="1">
        <v>44556</v>
      </c>
      <c r="F6635">
        <v>1</v>
      </c>
      <c r="G6635" t="s">
        <v>35</v>
      </c>
      <c r="H6635" t="s">
        <v>36</v>
      </c>
      <c r="I6635" s="3">
        <v>1524</v>
      </c>
      <c r="J6635" s="3">
        <v>1524</v>
      </c>
      <c r="K6635" s="3">
        <v>434</v>
      </c>
      <c r="L6635" t="s">
        <v>113</v>
      </c>
      <c r="M6635">
        <v>16</v>
      </c>
      <c r="N6635" t="s">
        <v>17</v>
      </c>
      <c r="O6635" t="s">
        <v>11</v>
      </c>
      <c r="P6635" t="s">
        <v>18</v>
      </c>
      <c r="Q6635" t="s">
        <v>19</v>
      </c>
      <c r="R6635" t="s">
        <v>138</v>
      </c>
      <c r="S6635" t="s">
        <v>144</v>
      </c>
      <c r="T6635" s="2">
        <f>MASTER[[#This Row],[CANTIDAD]]*MASTER[[#This Row],[PRECIO DE VENTA]]</f>
        <v>1524</v>
      </c>
      <c r="U6635" s="2">
        <f>MASTER[[#This Row],[CANTIDAD]]*MASTER[[#This Row],[COSTO UNITARIO]]</f>
        <v>434</v>
      </c>
      <c r="V6635" s="2">
        <f>MASTER[[#This Row],[MONTO VENDIDO]]-MASTER[[#This Row],[COSTO DE VENTA]]</f>
        <v>1090</v>
      </c>
    </row>
    <row r="6636" spans="1:22" x14ac:dyDescent="0.3">
      <c r="A6636">
        <v>91589</v>
      </c>
      <c r="B6636">
        <v>1</v>
      </c>
      <c r="C6636" t="s">
        <v>92</v>
      </c>
      <c r="D6636" t="s">
        <v>93</v>
      </c>
      <c r="E6636" s="1">
        <v>44543</v>
      </c>
      <c r="F6636">
        <v>1</v>
      </c>
      <c r="G6636" t="s">
        <v>43</v>
      </c>
      <c r="H6636" t="s">
        <v>44</v>
      </c>
      <c r="I6636" s="3">
        <v>1866</v>
      </c>
      <c r="J6636" s="3">
        <v>1866</v>
      </c>
      <c r="K6636" s="3">
        <v>396</v>
      </c>
      <c r="L6636" t="s">
        <v>9</v>
      </c>
      <c r="M6636">
        <v>18</v>
      </c>
      <c r="N6636" t="s">
        <v>79</v>
      </c>
      <c r="O6636" t="s">
        <v>70</v>
      </c>
      <c r="P6636" t="s">
        <v>15</v>
      </c>
      <c r="Q6636" t="s">
        <v>16</v>
      </c>
      <c r="R6636" t="s">
        <v>16</v>
      </c>
      <c r="S6636" t="s">
        <v>144</v>
      </c>
      <c r="T6636" s="2">
        <f>MASTER[[#This Row],[CANTIDAD]]*MASTER[[#This Row],[PRECIO DE VENTA]]</f>
        <v>1866</v>
      </c>
      <c r="U6636" s="2">
        <f>MASTER[[#This Row],[CANTIDAD]]*MASTER[[#This Row],[COSTO UNITARIO]]</f>
        <v>396</v>
      </c>
      <c r="V6636" s="2">
        <f>MASTER[[#This Row],[MONTO VENDIDO]]-MASTER[[#This Row],[COSTO DE VENTA]]</f>
        <v>1470</v>
      </c>
    </row>
    <row r="6637" spans="1:22" x14ac:dyDescent="0.3">
      <c r="A6637">
        <v>91626</v>
      </c>
      <c r="B6637">
        <v>1</v>
      </c>
      <c r="C6637" t="s">
        <v>105</v>
      </c>
      <c r="D6637" t="s">
        <v>106</v>
      </c>
      <c r="E6637" s="1">
        <v>44548</v>
      </c>
      <c r="F6637">
        <v>1</v>
      </c>
      <c r="G6637" t="s">
        <v>33</v>
      </c>
      <c r="H6637" t="s">
        <v>34</v>
      </c>
      <c r="I6637" s="3">
        <v>1865</v>
      </c>
      <c r="J6637" s="3">
        <v>1865</v>
      </c>
      <c r="K6637" s="3">
        <v>459</v>
      </c>
      <c r="L6637" t="s">
        <v>98</v>
      </c>
      <c r="M6637">
        <v>4</v>
      </c>
      <c r="N6637" t="s">
        <v>82</v>
      </c>
      <c r="O6637" t="s">
        <v>81</v>
      </c>
      <c r="P6637" t="s">
        <v>71</v>
      </c>
      <c r="Q6637" t="s">
        <v>72</v>
      </c>
      <c r="R6637" t="s">
        <v>139</v>
      </c>
      <c r="S6637" t="s">
        <v>144</v>
      </c>
      <c r="T6637" s="2">
        <f>MASTER[[#This Row],[CANTIDAD]]*MASTER[[#This Row],[PRECIO DE VENTA]]</f>
        <v>1865</v>
      </c>
      <c r="U6637" s="2">
        <f>MASTER[[#This Row],[CANTIDAD]]*MASTER[[#This Row],[COSTO UNITARIO]]</f>
        <v>459</v>
      </c>
      <c r="V6637" s="2">
        <f>MASTER[[#This Row],[MONTO VENDIDO]]-MASTER[[#This Row],[COSTO DE VENTA]]</f>
        <v>1406</v>
      </c>
    </row>
    <row r="6638" spans="1:22" x14ac:dyDescent="0.3">
      <c r="A6638">
        <v>91664</v>
      </c>
      <c r="B6638">
        <v>1</v>
      </c>
      <c r="C6638" t="s">
        <v>107</v>
      </c>
      <c r="D6638" t="s">
        <v>108</v>
      </c>
      <c r="E6638" s="1">
        <v>44552</v>
      </c>
      <c r="F6638">
        <v>4</v>
      </c>
      <c r="G6638" t="s">
        <v>65</v>
      </c>
      <c r="H6638" t="s">
        <v>66</v>
      </c>
      <c r="I6638" s="3">
        <v>1440</v>
      </c>
      <c r="J6638" s="3">
        <v>1440</v>
      </c>
      <c r="K6638" s="3">
        <v>380</v>
      </c>
      <c r="L6638" t="s">
        <v>98</v>
      </c>
      <c r="M6638">
        <v>3</v>
      </c>
      <c r="N6638" t="s">
        <v>69</v>
      </c>
      <c r="O6638" t="s">
        <v>70</v>
      </c>
      <c r="P6638" t="s">
        <v>71</v>
      </c>
      <c r="Q6638" t="s">
        <v>72</v>
      </c>
      <c r="R6638" t="s">
        <v>139</v>
      </c>
      <c r="S6638" t="s">
        <v>144</v>
      </c>
      <c r="T6638" s="2">
        <f>MASTER[[#This Row],[CANTIDAD]]*MASTER[[#This Row],[PRECIO DE VENTA]]</f>
        <v>5760</v>
      </c>
      <c r="U6638" s="2">
        <f>MASTER[[#This Row],[CANTIDAD]]*MASTER[[#This Row],[COSTO UNITARIO]]</f>
        <v>1520</v>
      </c>
      <c r="V6638" s="2">
        <f>MASTER[[#This Row],[MONTO VENDIDO]]-MASTER[[#This Row],[COSTO DE VENTA]]</f>
        <v>4240</v>
      </c>
    </row>
    <row r="6639" spans="1:22" x14ac:dyDescent="0.3">
      <c r="A6639">
        <v>91689</v>
      </c>
      <c r="B6639">
        <v>1</v>
      </c>
      <c r="C6639" t="s">
        <v>5</v>
      </c>
      <c r="D6639" t="s">
        <v>6</v>
      </c>
      <c r="E6639" s="1">
        <v>44557</v>
      </c>
      <c r="F6639">
        <v>1</v>
      </c>
      <c r="G6639" t="s">
        <v>27</v>
      </c>
      <c r="H6639" t="s">
        <v>28</v>
      </c>
      <c r="I6639" s="3">
        <v>1507</v>
      </c>
      <c r="J6639" s="3">
        <v>1507</v>
      </c>
      <c r="K6639" s="3">
        <v>393</v>
      </c>
      <c r="L6639" t="s">
        <v>9</v>
      </c>
      <c r="M6639">
        <v>7</v>
      </c>
      <c r="N6639" t="s">
        <v>84</v>
      </c>
      <c r="O6639" t="s">
        <v>81</v>
      </c>
      <c r="P6639" t="s">
        <v>12</v>
      </c>
      <c r="Q6639" t="s">
        <v>13</v>
      </c>
      <c r="R6639" t="s">
        <v>13</v>
      </c>
      <c r="S6639" t="s">
        <v>144</v>
      </c>
      <c r="T6639" s="2">
        <f>MASTER[[#This Row],[CANTIDAD]]*MASTER[[#This Row],[PRECIO DE VENTA]]</f>
        <v>1507</v>
      </c>
      <c r="U6639" s="2">
        <f>MASTER[[#This Row],[CANTIDAD]]*MASTER[[#This Row],[COSTO UNITARIO]]</f>
        <v>393</v>
      </c>
      <c r="V6639" s="2">
        <f>MASTER[[#This Row],[MONTO VENDIDO]]-MASTER[[#This Row],[COSTO DE VENTA]]</f>
        <v>1114</v>
      </c>
    </row>
    <row r="6640" spans="1:22" x14ac:dyDescent="0.3">
      <c r="A6640">
        <v>91741</v>
      </c>
      <c r="B6640">
        <v>1</v>
      </c>
      <c r="C6640" t="s">
        <v>101</v>
      </c>
      <c r="D6640" t="s">
        <v>102</v>
      </c>
      <c r="E6640" s="1">
        <v>44548</v>
      </c>
      <c r="F6640">
        <v>1</v>
      </c>
      <c r="G6640" t="s">
        <v>59</v>
      </c>
      <c r="H6640" t="s">
        <v>60</v>
      </c>
      <c r="I6640" s="3">
        <v>1054</v>
      </c>
      <c r="J6640" s="3">
        <v>1054</v>
      </c>
      <c r="K6640" s="3">
        <v>442</v>
      </c>
      <c r="L6640" t="s">
        <v>98</v>
      </c>
      <c r="M6640">
        <v>17</v>
      </c>
      <c r="N6640" t="s">
        <v>14</v>
      </c>
      <c r="O6640" t="s">
        <v>11</v>
      </c>
      <c r="P6640" t="s">
        <v>15</v>
      </c>
      <c r="Q6640" t="s">
        <v>16</v>
      </c>
      <c r="R6640" t="s">
        <v>16</v>
      </c>
      <c r="S6640" t="s">
        <v>144</v>
      </c>
      <c r="T6640" s="2">
        <f>MASTER[[#This Row],[CANTIDAD]]*MASTER[[#This Row],[PRECIO DE VENTA]]</f>
        <v>1054</v>
      </c>
      <c r="U6640" s="2">
        <f>MASTER[[#This Row],[CANTIDAD]]*MASTER[[#This Row],[COSTO UNITARIO]]</f>
        <v>442</v>
      </c>
      <c r="V6640" s="2">
        <f>MASTER[[#This Row],[MONTO VENDIDO]]-MASTER[[#This Row],[COSTO DE VENTA]]</f>
        <v>612</v>
      </c>
    </row>
    <row r="6641" spans="1:22" x14ac:dyDescent="0.3">
      <c r="A6641">
        <v>91777</v>
      </c>
      <c r="B6641">
        <v>1</v>
      </c>
      <c r="C6641" t="s">
        <v>99</v>
      </c>
      <c r="D6641" t="s">
        <v>100</v>
      </c>
      <c r="E6641" s="1">
        <v>44551</v>
      </c>
      <c r="F6641">
        <v>1</v>
      </c>
      <c r="G6641" t="s">
        <v>22</v>
      </c>
      <c r="H6641" t="s">
        <v>23</v>
      </c>
      <c r="I6641" s="3">
        <v>1459</v>
      </c>
      <c r="J6641" s="3">
        <v>1459</v>
      </c>
      <c r="K6641" s="3">
        <v>386</v>
      </c>
      <c r="L6641" t="s">
        <v>98</v>
      </c>
      <c r="M6641">
        <v>10</v>
      </c>
      <c r="N6641" t="s">
        <v>83</v>
      </c>
      <c r="O6641" t="s">
        <v>81</v>
      </c>
      <c r="P6641" t="s">
        <v>12</v>
      </c>
      <c r="Q6641" t="s">
        <v>13</v>
      </c>
      <c r="R6641" t="s">
        <v>13</v>
      </c>
      <c r="S6641" t="s">
        <v>144</v>
      </c>
      <c r="T6641" s="2">
        <f>MASTER[[#This Row],[CANTIDAD]]*MASTER[[#This Row],[PRECIO DE VENTA]]</f>
        <v>1459</v>
      </c>
      <c r="U6641" s="2">
        <f>MASTER[[#This Row],[CANTIDAD]]*MASTER[[#This Row],[COSTO UNITARIO]]</f>
        <v>386</v>
      </c>
      <c r="V6641" s="2">
        <f>MASTER[[#This Row],[MONTO VENDIDO]]-MASTER[[#This Row],[COSTO DE VENTA]]</f>
        <v>1073</v>
      </c>
    </row>
    <row r="6642" spans="1:22" x14ac:dyDescent="0.3">
      <c r="A6642">
        <v>92040</v>
      </c>
      <c r="B6642">
        <v>1</v>
      </c>
      <c r="C6642" t="s">
        <v>99</v>
      </c>
      <c r="D6642" t="s">
        <v>100</v>
      </c>
      <c r="E6642" s="1">
        <v>44561</v>
      </c>
      <c r="F6642">
        <v>1</v>
      </c>
      <c r="G6642" t="s">
        <v>20</v>
      </c>
      <c r="H6642" t="s">
        <v>21</v>
      </c>
      <c r="I6642" s="3">
        <v>1459</v>
      </c>
      <c r="J6642" s="3">
        <v>1459</v>
      </c>
      <c r="K6642" s="3">
        <v>386</v>
      </c>
      <c r="L6642" t="s">
        <v>98</v>
      </c>
      <c r="M6642">
        <v>7</v>
      </c>
      <c r="N6642" t="s">
        <v>84</v>
      </c>
      <c r="O6642" t="s">
        <v>81</v>
      </c>
      <c r="P6642" t="s">
        <v>12</v>
      </c>
      <c r="Q6642" t="s">
        <v>13</v>
      </c>
      <c r="R6642" t="s">
        <v>13</v>
      </c>
      <c r="S6642" t="s">
        <v>144</v>
      </c>
      <c r="T6642" s="2">
        <f>MASTER[[#This Row],[CANTIDAD]]*MASTER[[#This Row],[PRECIO DE VENTA]]</f>
        <v>1459</v>
      </c>
      <c r="U6642" s="2">
        <f>MASTER[[#This Row],[CANTIDAD]]*MASTER[[#This Row],[COSTO UNITARIO]]</f>
        <v>386</v>
      </c>
      <c r="V6642" s="2">
        <f>MASTER[[#This Row],[MONTO VENDIDO]]-MASTER[[#This Row],[COSTO DE VENTA]]</f>
        <v>1073</v>
      </c>
    </row>
    <row r="6643" spans="1:22" x14ac:dyDescent="0.3">
      <c r="A6643">
        <v>92127</v>
      </c>
      <c r="B6643">
        <v>1</v>
      </c>
      <c r="C6643" t="s">
        <v>5</v>
      </c>
      <c r="D6643" t="s">
        <v>6</v>
      </c>
      <c r="E6643" s="1">
        <v>44556</v>
      </c>
      <c r="F6643">
        <v>1</v>
      </c>
      <c r="G6643" t="s">
        <v>73</v>
      </c>
      <c r="H6643" t="s">
        <v>74</v>
      </c>
      <c r="I6643" s="3">
        <v>1507</v>
      </c>
      <c r="J6643" s="3">
        <v>1507</v>
      </c>
      <c r="K6643" s="3">
        <v>393</v>
      </c>
      <c r="L6643" t="s">
        <v>9</v>
      </c>
      <c r="M6643">
        <v>19</v>
      </c>
      <c r="N6643" t="s">
        <v>89</v>
      </c>
      <c r="O6643" t="s">
        <v>81</v>
      </c>
      <c r="P6643" t="s">
        <v>15</v>
      </c>
      <c r="Q6643" t="s">
        <v>16</v>
      </c>
      <c r="R6643" t="s">
        <v>16</v>
      </c>
      <c r="S6643" t="s">
        <v>144</v>
      </c>
      <c r="T6643" s="2">
        <f>MASTER[[#This Row],[CANTIDAD]]*MASTER[[#This Row],[PRECIO DE VENTA]]</f>
        <v>1507</v>
      </c>
      <c r="U6643" s="2">
        <f>MASTER[[#This Row],[CANTIDAD]]*MASTER[[#This Row],[COSTO UNITARIO]]</f>
        <v>393</v>
      </c>
      <c r="V6643" s="2">
        <f>MASTER[[#This Row],[MONTO VENDIDO]]-MASTER[[#This Row],[COSTO DE VENTA]]</f>
        <v>1114</v>
      </c>
    </row>
    <row r="6644" spans="1:22" x14ac:dyDescent="0.3">
      <c r="A6644">
        <v>92132</v>
      </c>
      <c r="B6644">
        <v>1</v>
      </c>
      <c r="C6644" t="s">
        <v>92</v>
      </c>
      <c r="D6644" t="s">
        <v>93</v>
      </c>
      <c r="E6644" s="1">
        <v>44550</v>
      </c>
      <c r="F6644">
        <v>1</v>
      </c>
      <c r="G6644" t="s">
        <v>33</v>
      </c>
      <c r="H6644" t="s">
        <v>34</v>
      </c>
      <c r="I6644" s="3">
        <v>1681</v>
      </c>
      <c r="J6644" s="3">
        <v>1681</v>
      </c>
      <c r="K6644" s="3">
        <v>396</v>
      </c>
      <c r="L6644" t="s">
        <v>9</v>
      </c>
      <c r="M6644">
        <v>2</v>
      </c>
      <c r="N6644" t="s">
        <v>86</v>
      </c>
      <c r="O6644" t="s">
        <v>81</v>
      </c>
      <c r="P6644" t="s">
        <v>71</v>
      </c>
      <c r="Q6644" t="s">
        <v>72</v>
      </c>
      <c r="R6644" t="s">
        <v>139</v>
      </c>
      <c r="S6644" t="s">
        <v>144</v>
      </c>
      <c r="T6644" s="2">
        <f>MASTER[[#This Row],[CANTIDAD]]*MASTER[[#This Row],[PRECIO DE VENTA]]</f>
        <v>1681</v>
      </c>
      <c r="U6644" s="2">
        <f>MASTER[[#This Row],[CANTIDAD]]*MASTER[[#This Row],[COSTO UNITARIO]]</f>
        <v>396</v>
      </c>
      <c r="V6644" s="2">
        <f>MASTER[[#This Row],[MONTO VENDIDO]]-MASTER[[#This Row],[COSTO DE VENTA]]</f>
        <v>1285</v>
      </c>
    </row>
    <row r="6645" spans="1:22" x14ac:dyDescent="0.3">
      <c r="A6645">
        <v>92260</v>
      </c>
      <c r="B6645">
        <v>1</v>
      </c>
      <c r="C6645" t="s">
        <v>90</v>
      </c>
      <c r="D6645" t="s">
        <v>91</v>
      </c>
      <c r="E6645" s="1">
        <v>44552</v>
      </c>
      <c r="F6645">
        <v>1</v>
      </c>
      <c r="G6645" t="s">
        <v>53</v>
      </c>
      <c r="H6645" t="s">
        <v>54</v>
      </c>
      <c r="I6645" s="3">
        <v>1844</v>
      </c>
      <c r="J6645" s="3">
        <v>1844</v>
      </c>
      <c r="K6645" s="3">
        <v>420</v>
      </c>
      <c r="L6645" t="s">
        <v>9</v>
      </c>
      <c r="M6645">
        <v>8</v>
      </c>
      <c r="N6645" t="s">
        <v>80</v>
      </c>
      <c r="O6645" t="s">
        <v>81</v>
      </c>
      <c r="P6645" t="s">
        <v>12</v>
      </c>
      <c r="Q6645" t="s">
        <v>13</v>
      </c>
      <c r="R6645" t="s">
        <v>13</v>
      </c>
      <c r="S6645" t="s">
        <v>144</v>
      </c>
      <c r="T6645" s="2">
        <f>MASTER[[#This Row],[CANTIDAD]]*MASTER[[#This Row],[PRECIO DE VENTA]]</f>
        <v>1844</v>
      </c>
      <c r="U6645" s="2">
        <f>MASTER[[#This Row],[CANTIDAD]]*MASTER[[#This Row],[COSTO UNITARIO]]</f>
        <v>420</v>
      </c>
      <c r="V6645" s="2">
        <f>MASTER[[#This Row],[MONTO VENDIDO]]-MASTER[[#This Row],[COSTO DE VENTA]]</f>
        <v>1424</v>
      </c>
    </row>
    <row r="6646" spans="1:22" x14ac:dyDescent="0.3">
      <c r="A6646">
        <v>92299</v>
      </c>
      <c r="B6646">
        <v>1</v>
      </c>
      <c r="C6646" t="s">
        <v>107</v>
      </c>
      <c r="D6646" t="s">
        <v>108</v>
      </c>
      <c r="E6646" s="1">
        <v>44558</v>
      </c>
      <c r="F6646">
        <v>1</v>
      </c>
      <c r="G6646" t="s">
        <v>35</v>
      </c>
      <c r="H6646" t="s">
        <v>36</v>
      </c>
      <c r="I6646" s="3">
        <v>1333</v>
      </c>
      <c r="J6646" s="3">
        <v>1333</v>
      </c>
      <c r="K6646" s="3">
        <v>380</v>
      </c>
      <c r="L6646" t="s">
        <v>98</v>
      </c>
      <c r="M6646">
        <v>10</v>
      </c>
      <c r="N6646" t="s">
        <v>83</v>
      </c>
      <c r="O6646" t="s">
        <v>81</v>
      </c>
      <c r="P6646" t="s">
        <v>12</v>
      </c>
      <c r="Q6646" t="s">
        <v>13</v>
      </c>
      <c r="R6646" t="s">
        <v>13</v>
      </c>
      <c r="S6646" t="s">
        <v>144</v>
      </c>
      <c r="T6646" s="2">
        <f>MASTER[[#This Row],[CANTIDAD]]*MASTER[[#This Row],[PRECIO DE VENTA]]</f>
        <v>1333</v>
      </c>
      <c r="U6646" s="2">
        <f>MASTER[[#This Row],[CANTIDAD]]*MASTER[[#This Row],[COSTO UNITARIO]]</f>
        <v>380</v>
      </c>
      <c r="V6646" s="2">
        <f>MASTER[[#This Row],[MONTO VENDIDO]]-MASTER[[#This Row],[COSTO DE VENTA]]</f>
        <v>953</v>
      </c>
    </row>
    <row r="6647" spans="1:22" x14ac:dyDescent="0.3">
      <c r="A6647">
        <v>92579</v>
      </c>
      <c r="B6647">
        <v>1</v>
      </c>
      <c r="C6647" t="s">
        <v>111</v>
      </c>
      <c r="D6647" t="s">
        <v>112</v>
      </c>
      <c r="E6647" s="1">
        <v>44557</v>
      </c>
      <c r="F6647">
        <v>1</v>
      </c>
      <c r="G6647" t="s">
        <v>20</v>
      </c>
      <c r="H6647" t="s">
        <v>21</v>
      </c>
      <c r="I6647" s="3">
        <v>1524</v>
      </c>
      <c r="J6647" s="3">
        <v>1524</v>
      </c>
      <c r="K6647" s="3">
        <v>434</v>
      </c>
      <c r="L6647" t="s">
        <v>113</v>
      </c>
      <c r="M6647">
        <v>16</v>
      </c>
      <c r="N6647" t="s">
        <v>17</v>
      </c>
      <c r="O6647" t="s">
        <v>11</v>
      </c>
      <c r="P6647" t="s">
        <v>18</v>
      </c>
      <c r="Q6647" t="s">
        <v>19</v>
      </c>
      <c r="R6647" t="s">
        <v>138</v>
      </c>
      <c r="S6647" t="s">
        <v>144</v>
      </c>
      <c r="T6647" s="2">
        <f>MASTER[[#This Row],[CANTIDAD]]*MASTER[[#This Row],[PRECIO DE VENTA]]</f>
        <v>1524</v>
      </c>
      <c r="U6647" s="2">
        <f>MASTER[[#This Row],[CANTIDAD]]*MASTER[[#This Row],[COSTO UNITARIO]]</f>
        <v>434</v>
      </c>
      <c r="V6647" s="2">
        <f>MASTER[[#This Row],[MONTO VENDIDO]]-MASTER[[#This Row],[COSTO DE VENTA]]</f>
        <v>1090</v>
      </c>
    </row>
    <row r="6648" spans="1:22" x14ac:dyDescent="0.3">
      <c r="A6648">
        <v>92653</v>
      </c>
      <c r="B6648">
        <v>1</v>
      </c>
      <c r="C6648" t="s">
        <v>94</v>
      </c>
      <c r="D6648" t="s">
        <v>95</v>
      </c>
      <c r="E6648" s="1">
        <v>44546</v>
      </c>
      <c r="F6648">
        <v>1</v>
      </c>
      <c r="G6648" t="s">
        <v>35</v>
      </c>
      <c r="H6648" t="s">
        <v>36</v>
      </c>
      <c r="I6648" s="3">
        <v>901</v>
      </c>
      <c r="J6648" s="3">
        <v>901</v>
      </c>
      <c r="K6648" s="3">
        <v>392</v>
      </c>
      <c r="L6648" t="s">
        <v>9</v>
      </c>
      <c r="M6648">
        <v>17</v>
      </c>
      <c r="N6648" t="s">
        <v>14</v>
      </c>
      <c r="O6648" t="s">
        <v>11</v>
      </c>
      <c r="P6648" t="s">
        <v>15</v>
      </c>
      <c r="Q6648" t="s">
        <v>16</v>
      </c>
      <c r="R6648" t="s">
        <v>16</v>
      </c>
      <c r="S6648" t="s">
        <v>144</v>
      </c>
      <c r="T6648" s="2">
        <f>MASTER[[#This Row],[CANTIDAD]]*MASTER[[#This Row],[PRECIO DE VENTA]]</f>
        <v>901</v>
      </c>
      <c r="U6648" s="2">
        <f>MASTER[[#This Row],[CANTIDAD]]*MASTER[[#This Row],[COSTO UNITARIO]]</f>
        <v>392</v>
      </c>
      <c r="V6648" s="2">
        <f>MASTER[[#This Row],[MONTO VENDIDO]]-MASTER[[#This Row],[COSTO DE VENTA]]</f>
        <v>509</v>
      </c>
    </row>
    <row r="6649" spans="1:22" x14ac:dyDescent="0.3">
      <c r="A6649">
        <v>92745</v>
      </c>
      <c r="B6649">
        <v>1</v>
      </c>
      <c r="C6649" t="s">
        <v>111</v>
      </c>
      <c r="D6649" t="s">
        <v>112</v>
      </c>
      <c r="E6649" s="1">
        <v>44560</v>
      </c>
      <c r="F6649">
        <v>1</v>
      </c>
      <c r="G6649" t="s">
        <v>37</v>
      </c>
      <c r="H6649" t="s">
        <v>38</v>
      </c>
      <c r="I6649" s="3">
        <v>1621</v>
      </c>
      <c r="J6649" s="3">
        <v>1621</v>
      </c>
      <c r="K6649" s="3">
        <v>434</v>
      </c>
      <c r="L6649" t="s">
        <v>113</v>
      </c>
      <c r="M6649">
        <v>14</v>
      </c>
      <c r="N6649" t="s">
        <v>87</v>
      </c>
      <c r="O6649" t="s">
        <v>81</v>
      </c>
      <c r="P6649" t="s">
        <v>18</v>
      </c>
      <c r="Q6649" t="s">
        <v>19</v>
      </c>
      <c r="R6649" t="s">
        <v>138</v>
      </c>
      <c r="S6649" t="s">
        <v>144</v>
      </c>
      <c r="T6649" s="2">
        <f>MASTER[[#This Row],[CANTIDAD]]*MASTER[[#This Row],[PRECIO DE VENTA]]</f>
        <v>1621</v>
      </c>
      <c r="U6649" s="2">
        <f>MASTER[[#This Row],[CANTIDAD]]*MASTER[[#This Row],[COSTO UNITARIO]]</f>
        <v>434</v>
      </c>
      <c r="V6649" s="2">
        <f>MASTER[[#This Row],[MONTO VENDIDO]]-MASTER[[#This Row],[COSTO DE VENTA]]</f>
        <v>1187</v>
      </c>
    </row>
    <row r="6650" spans="1:22" x14ac:dyDescent="0.3">
      <c r="A6650">
        <v>92832</v>
      </c>
      <c r="B6650">
        <v>1</v>
      </c>
      <c r="C6650" t="s">
        <v>107</v>
      </c>
      <c r="D6650" t="s">
        <v>108</v>
      </c>
      <c r="E6650" s="1">
        <v>44551</v>
      </c>
      <c r="F6650">
        <v>1</v>
      </c>
      <c r="G6650" t="s">
        <v>33</v>
      </c>
      <c r="H6650" t="s">
        <v>34</v>
      </c>
      <c r="I6650" s="3">
        <v>1333</v>
      </c>
      <c r="J6650" s="3">
        <v>1333</v>
      </c>
      <c r="K6650" s="3">
        <v>380</v>
      </c>
      <c r="L6650" t="s">
        <v>98</v>
      </c>
      <c r="M6650">
        <v>5</v>
      </c>
      <c r="N6650" t="s">
        <v>85</v>
      </c>
      <c r="O6650" t="s">
        <v>81</v>
      </c>
      <c r="P6650" t="s">
        <v>12</v>
      </c>
      <c r="Q6650" t="s">
        <v>13</v>
      </c>
      <c r="R6650" t="s">
        <v>13</v>
      </c>
      <c r="S6650" t="s">
        <v>144</v>
      </c>
      <c r="T6650" s="2">
        <f>MASTER[[#This Row],[CANTIDAD]]*MASTER[[#This Row],[PRECIO DE VENTA]]</f>
        <v>1333</v>
      </c>
      <c r="U6650" s="2">
        <f>MASTER[[#This Row],[CANTIDAD]]*MASTER[[#This Row],[COSTO UNITARIO]]</f>
        <v>380</v>
      </c>
      <c r="V6650" s="2">
        <f>MASTER[[#This Row],[MONTO VENDIDO]]-MASTER[[#This Row],[COSTO DE VENTA]]</f>
        <v>953</v>
      </c>
    </row>
    <row r="6651" spans="1:22" x14ac:dyDescent="0.3">
      <c r="A6651">
        <v>92898</v>
      </c>
      <c r="B6651">
        <v>1</v>
      </c>
      <c r="C6651" t="s">
        <v>118</v>
      </c>
      <c r="D6651" t="s">
        <v>119</v>
      </c>
      <c r="E6651" s="1">
        <v>44544</v>
      </c>
      <c r="F6651">
        <v>1</v>
      </c>
      <c r="G6651" t="s">
        <v>35</v>
      </c>
      <c r="H6651" t="s">
        <v>36</v>
      </c>
      <c r="I6651" s="3">
        <v>801</v>
      </c>
      <c r="J6651" s="3">
        <v>801</v>
      </c>
      <c r="K6651" s="3">
        <v>424</v>
      </c>
      <c r="L6651" t="s">
        <v>120</v>
      </c>
      <c r="M6651">
        <v>17</v>
      </c>
      <c r="N6651" t="s">
        <v>14</v>
      </c>
      <c r="O6651" t="s">
        <v>11</v>
      </c>
      <c r="P6651" t="s">
        <v>15</v>
      </c>
      <c r="Q6651" t="s">
        <v>16</v>
      </c>
      <c r="R6651" t="s">
        <v>16</v>
      </c>
      <c r="S6651" t="s">
        <v>144</v>
      </c>
      <c r="T6651" s="2">
        <f>MASTER[[#This Row],[CANTIDAD]]*MASTER[[#This Row],[PRECIO DE VENTA]]</f>
        <v>801</v>
      </c>
      <c r="U6651" s="2">
        <f>MASTER[[#This Row],[CANTIDAD]]*MASTER[[#This Row],[COSTO UNITARIO]]</f>
        <v>424</v>
      </c>
      <c r="V6651" s="2">
        <f>MASTER[[#This Row],[MONTO VENDIDO]]-MASTER[[#This Row],[COSTO DE VENTA]]</f>
        <v>377</v>
      </c>
    </row>
    <row r="6652" spans="1:22" x14ac:dyDescent="0.3">
      <c r="A6652">
        <v>93013</v>
      </c>
      <c r="B6652">
        <v>1</v>
      </c>
      <c r="C6652" t="s">
        <v>99</v>
      </c>
      <c r="D6652" t="s">
        <v>100</v>
      </c>
      <c r="E6652" s="1">
        <v>44548</v>
      </c>
      <c r="F6652">
        <v>1</v>
      </c>
      <c r="G6652" t="s">
        <v>45</v>
      </c>
      <c r="H6652" t="s">
        <v>46</v>
      </c>
      <c r="I6652" s="3">
        <v>1459</v>
      </c>
      <c r="J6652" s="3">
        <v>1459</v>
      </c>
      <c r="K6652" s="3">
        <v>386</v>
      </c>
      <c r="L6652" t="s">
        <v>98</v>
      </c>
      <c r="M6652">
        <v>10</v>
      </c>
      <c r="N6652" t="s">
        <v>83</v>
      </c>
      <c r="O6652" t="s">
        <v>81</v>
      </c>
      <c r="P6652" t="s">
        <v>12</v>
      </c>
      <c r="Q6652" t="s">
        <v>13</v>
      </c>
      <c r="R6652" t="s">
        <v>13</v>
      </c>
      <c r="S6652" t="s">
        <v>144</v>
      </c>
      <c r="T6652" s="2">
        <f>MASTER[[#This Row],[CANTIDAD]]*MASTER[[#This Row],[PRECIO DE VENTA]]</f>
        <v>1459</v>
      </c>
      <c r="U6652" s="2">
        <f>MASTER[[#This Row],[CANTIDAD]]*MASTER[[#This Row],[COSTO UNITARIO]]</f>
        <v>386</v>
      </c>
      <c r="V6652" s="2">
        <f>MASTER[[#This Row],[MONTO VENDIDO]]-MASTER[[#This Row],[COSTO DE VENTA]]</f>
        <v>1073</v>
      </c>
    </row>
    <row r="6653" spans="1:22" x14ac:dyDescent="0.3">
      <c r="A6653">
        <v>93058</v>
      </c>
      <c r="B6653">
        <v>1</v>
      </c>
      <c r="C6653" t="s">
        <v>99</v>
      </c>
      <c r="D6653" t="s">
        <v>100</v>
      </c>
      <c r="E6653" s="1">
        <v>44558</v>
      </c>
      <c r="F6653">
        <v>1</v>
      </c>
      <c r="G6653" t="s">
        <v>20</v>
      </c>
      <c r="H6653" t="s">
        <v>21</v>
      </c>
      <c r="I6653" s="3">
        <v>1678</v>
      </c>
      <c r="J6653" s="3">
        <v>1678</v>
      </c>
      <c r="K6653" s="3">
        <v>386</v>
      </c>
      <c r="L6653" t="s">
        <v>98</v>
      </c>
      <c r="M6653">
        <v>1</v>
      </c>
      <c r="N6653" t="s">
        <v>77</v>
      </c>
      <c r="O6653" t="s">
        <v>70</v>
      </c>
      <c r="P6653" t="s">
        <v>71</v>
      </c>
      <c r="Q6653" t="s">
        <v>72</v>
      </c>
      <c r="R6653" t="s">
        <v>139</v>
      </c>
      <c r="S6653" t="s">
        <v>144</v>
      </c>
      <c r="T6653" s="2">
        <f>MASTER[[#This Row],[CANTIDAD]]*MASTER[[#This Row],[PRECIO DE VENTA]]</f>
        <v>1678</v>
      </c>
      <c r="U6653" s="2">
        <f>MASTER[[#This Row],[CANTIDAD]]*MASTER[[#This Row],[COSTO UNITARIO]]</f>
        <v>386</v>
      </c>
      <c r="V6653" s="2">
        <f>MASTER[[#This Row],[MONTO VENDIDO]]-MASTER[[#This Row],[COSTO DE VENTA]]</f>
        <v>1292</v>
      </c>
    </row>
    <row r="6654" spans="1:22" x14ac:dyDescent="0.3">
      <c r="A6654">
        <v>93115</v>
      </c>
      <c r="B6654">
        <v>1</v>
      </c>
      <c r="C6654" t="s">
        <v>118</v>
      </c>
      <c r="D6654" t="s">
        <v>119</v>
      </c>
      <c r="E6654" s="1">
        <v>44557</v>
      </c>
      <c r="F6654">
        <v>1</v>
      </c>
      <c r="G6654" t="s">
        <v>49</v>
      </c>
      <c r="H6654" t="s">
        <v>50</v>
      </c>
      <c r="I6654" s="3">
        <v>1026</v>
      </c>
      <c r="J6654" s="3">
        <v>1026</v>
      </c>
      <c r="K6654" s="3">
        <v>424</v>
      </c>
      <c r="L6654" t="s">
        <v>120</v>
      </c>
      <c r="M6654">
        <v>6</v>
      </c>
      <c r="N6654" t="s">
        <v>75</v>
      </c>
      <c r="O6654" t="s">
        <v>70</v>
      </c>
      <c r="P6654" t="s">
        <v>12</v>
      </c>
      <c r="Q6654" t="s">
        <v>13</v>
      </c>
      <c r="R6654" t="s">
        <v>13</v>
      </c>
      <c r="S6654" t="s">
        <v>144</v>
      </c>
      <c r="T6654" s="2">
        <f>MASTER[[#This Row],[CANTIDAD]]*MASTER[[#This Row],[PRECIO DE VENTA]]</f>
        <v>1026</v>
      </c>
      <c r="U6654" s="2">
        <f>MASTER[[#This Row],[CANTIDAD]]*MASTER[[#This Row],[COSTO UNITARIO]]</f>
        <v>424</v>
      </c>
      <c r="V6654" s="2">
        <f>MASTER[[#This Row],[MONTO VENDIDO]]-MASTER[[#This Row],[COSTO DE VENTA]]</f>
        <v>602</v>
      </c>
    </row>
    <row r="6655" spans="1:22" x14ac:dyDescent="0.3">
      <c r="A6655">
        <v>93166</v>
      </c>
      <c r="B6655">
        <v>1</v>
      </c>
      <c r="C6655" t="s">
        <v>92</v>
      </c>
      <c r="D6655" t="s">
        <v>93</v>
      </c>
      <c r="E6655" s="1">
        <v>44553</v>
      </c>
      <c r="F6655">
        <v>1</v>
      </c>
      <c r="G6655" t="s">
        <v>45</v>
      </c>
      <c r="H6655" t="s">
        <v>46</v>
      </c>
      <c r="I6655" s="3">
        <v>1866</v>
      </c>
      <c r="J6655" s="3">
        <v>1866</v>
      </c>
      <c r="K6655" s="3">
        <v>396</v>
      </c>
      <c r="L6655" t="s">
        <v>9</v>
      </c>
      <c r="M6655">
        <v>18</v>
      </c>
      <c r="N6655" t="s">
        <v>79</v>
      </c>
      <c r="O6655" t="s">
        <v>70</v>
      </c>
      <c r="P6655" t="s">
        <v>15</v>
      </c>
      <c r="Q6655" t="s">
        <v>16</v>
      </c>
      <c r="R6655" t="s">
        <v>16</v>
      </c>
      <c r="S6655" t="s">
        <v>144</v>
      </c>
      <c r="T6655" s="2">
        <f>MASTER[[#This Row],[CANTIDAD]]*MASTER[[#This Row],[PRECIO DE VENTA]]</f>
        <v>1866</v>
      </c>
      <c r="U6655" s="2">
        <f>MASTER[[#This Row],[CANTIDAD]]*MASTER[[#This Row],[COSTO UNITARIO]]</f>
        <v>396</v>
      </c>
      <c r="V6655" s="2">
        <f>MASTER[[#This Row],[MONTO VENDIDO]]-MASTER[[#This Row],[COSTO DE VENTA]]</f>
        <v>1470</v>
      </c>
    </row>
    <row r="6656" spans="1:22" x14ac:dyDescent="0.3">
      <c r="A6656">
        <v>93181</v>
      </c>
      <c r="B6656">
        <v>1</v>
      </c>
      <c r="C6656" t="s">
        <v>5</v>
      </c>
      <c r="D6656" t="s">
        <v>6</v>
      </c>
      <c r="E6656" s="1">
        <v>44545</v>
      </c>
      <c r="F6656">
        <v>1</v>
      </c>
      <c r="G6656" t="s">
        <v>35</v>
      </c>
      <c r="H6656" t="s">
        <v>36</v>
      </c>
      <c r="I6656" s="3">
        <v>1296</v>
      </c>
      <c r="J6656" s="3">
        <v>1205</v>
      </c>
      <c r="K6656" s="3">
        <v>393</v>
      </c>
      <c r="L6656" t="s">
        <v>9</v>
      </c>
      <c r="M6656">
        <v>3</v>
      </c>
      <c r="N6656" t="s">
        <v>69</v>
      </c>
      <c r="O6656" t="s">
        <v>70</v>
      </c>
      <c r="P6656" t="s">
        <v>71</v>
      </c>
      <c r="Q6656" t="s">
        <v>72</v>
      </c>
      <c r="R6656" t="s">
        <v>139</v>
      </c>
      <c r="S6656" t="s">
        <v>144</v>
      </c>
      <c r="T6656" s="2">
        <f>MASTER[[#This Row],[CANTIDAD]]*MASTER[[#This Row],[PRECIO DE VENTA]]</f>
        <v>1205</v>
      </c>
      <c r="U6656" s="2">
        <f>MASTER[[#This Row],[CANTIDAD]]*MASTER[[#This Row],[COSTO UNITARIO]]</f>
        <v>393</v>
      </c>
      <c r="V6656" s="2">
        <f>MASTER[[#This Row],[MONTO VENDIDO]]-MASTER[[#This Row],[COSTO DE VENTA]]</f>
        <v>812</v>
      </c>
    </row>
    <row r="6657" spans="1:22" x14ac:dyDescent="0.3">
      <c r="A6657">
        <v>93210</v>
      </c>
      <c r="B6657">
        <v>1</v>
      </c>
      <c r="C6657" t="s">
        <v>114</v>
      </c>
      <c r="D6657" t="s">
        <v>115</v>
      </c>
      <c r="E6657" s="1">
        <v>44559</v>
      </c>
      <c r="F6657">
        <v>3</v>
      </c>
      <c r="G6657" t="s">
        <v>43</v>
      </c>
      <c r="H6657" t="s">
        <v>44</v>
      </c>
      <c r="I6657" s="3">
        <v>1583</v>
      </c>
      <c r="J6657" s="3">
        <v>1583</v>
      </c>
      <c r="K6657" s="3">
        <v>394</v>
      </c>
      <c r="L6657" t="s">
        <v>113</v>
      </c>
      <c r="M6657">
        <v>16</v>
      </c>
      <c r="N6657" t="s">
        <v>17</v>
      </c>
      <c r="O6657" t="s">
        <v>11</v>
      </c>
      <c r="P6657" t="s">
        <v>18</v>
      </c>
      <c r="Q6657" t="s">
        <v>19</v>
      </c>
      <c r="R6657" t="s">
        <v>138</v>
      </c>
      <c r="S6657" t="s">
        <v>144</v>
      </c>
      <c r="T6657" s="2">
        <f>MASTER[[#This Row],[CANTIDAD]]*MASTER[[#This Row],[PRECIO DE VENTA]]</f>
        <v>4749</v>
      </c>
      <c r="U6657" s="2">
        <f>MASTER[[#This Row],[CANTIDAD]]*MASTER[[#This Row],[COSTO UNITARIO]]</f>
        <v>1182</v>
      </c>
      <c r="V6657" s="2">
        <f>MASTER[[#This Row],[MONTO VENDIDO]]-MASTER[[#This Row],[COSTO DE VENTA]]</f>
        <v>3567</v>
      </c>
    </row>
    <row r="6658" spans="1:22" x14ac:dyDescent="0.3">
      <c r="A6658">
        <v>93302</v>
      </c>
      <c r="B6658">
        <v>1</v>
      </c>
      <c r="C6658" t="s">
        <v>116</v>
      </c>
      <c r="D6658" t="s">
        <v>117</v>
      </c>
      <c r="E6658" s="1">
        <v>44551</v>
      </c>
      <c r="F6658">
        <v>1</v>
      </c>
      <c r="G6658" t="s">
        <v>63</v>
      </c>
      <c r="H6658" t="s">
        <v>64</v>
      </c>
      <c r="I6658" s="3">
        <v>1999</v>
      </c>
      <c r="J6658" s="3">
        <v>1999</v>
      </c>
      <c r="K6658" s="3">
        <v>388</v>
      </c>
      <c r="L6658" t="s">
        <v>113</v>
      </c>
      <c r="M6658">
        <v>13</v>
      </c>
      <c r="N6658" t="s">
        <v>78</v>
      </c>
      <c r="O6658" t="s">
        <v>70</v>
      </c>
      <c r="P6658" t="s">
        <v>18</v>
      </c>
      <c r="Q6658" t="s">
        <v>19</v>
      </c>
      <c r="R6658" t="s">
        <v>138</v>
      </c>
      <c r="S6658" t="s">
        <v>144</v>
      </c>
      <c r="T6658" s="2">
        <f>MASTER[[#This Row],[CANTIDAD]]*MASTER[[#This Row],[PRECIO DE VENTA]]</f>
        <v>1999</v>
      </c>
      <c r="U6658" s="2">
        <f>MASTER[[#This Row],[CANTIDAD]]*MASTER[[#This Row],[COSTO UNITARIO]]</f>
        <v>388</v>
      </c>
      <c r="V6658" s="2">
        <f>MASTER[[#This Row],[MONTO VENDIDO]]-MASTER[[#This Row],[COSTO DE VENTA]]</f>
        <v>1611</v>
      </c>
    </row>
    <row r="6659" spans="1:22" x14ac:dyDescent="0.3">
      <c r="A6659">
        <v>93313</v>
      </c>
      <c r="B6659">
        <v>1</v>
      </c>
      <c r="C6659" t="s">
        <v>118</v>
      </c>
      <c r="D6659" t="s">
        <v>119</v>
      </c>
      <c r="E6659" s="1">
        <v>44545</v>
      </c>
      <c r="F6659">
        <v>1</v>
      </c>
      <c r="G6659" t="s">
        <v>45</v>
      </c>
      <c r="H6659" t="s">
        <v>46</v>
      </c>
      <c r="I6659" s="3">
        <v>1026</v>
      </c>
      <c r="J6659" s="3">
        <v>1026</v>
      </c>
      <c r="K6659" s="3">
        <v>424</v>
      </c>
      <c r="L6659" t="s">
        <v>120</v>
      </c>
      <c r="M6659">
        <v>1</v>
      </c>
      <c r="N6659" t="s">
        <v>77</v>
      </c>
      <c r="O6659" t="s">
        <v>70</v>
      </c>
      <c r="P6659" t="s">
        <v>71</v>
      </c>
      <c r="Q6659" t="s">
        <v>72</v>
      </c>
      <c r="R6659" t="s">
        <v>139</v>
      </c>
      <c r="S6659" t="s">
        <v>144</v>
      </c>
      <c r="T6659" s="2">
        <f>MASTER[[#This Row],[CANTIDAD]]*MASTER[[#This Row],[PRECIO DE VENTA]]</f>
        <v>1026</v>
      </c>
      <c r="U6659" s="2">
        <f>MASTER[[#This Row],[CANTIDAD]]*MASTER[[#This Row],[COSTO UNITARIO]]</f>
        <v>424</v>
      </c>
      <c r="V6659" s="2">
        <f>MASTER[[#This Row],[MONTO VENDIDO]]-MASTER[[#This Row],[COSTO DE VENTA]]</f>
        <v>602</v>
      </c>
    </row>
    <row r="6660" spans="1:22" x14ac:dyDescent="0.3">
      <c r="A6660">
        <v>93446</v>
      </c>
      <c r="B6660">
        <v>1</v>
      </c>
      <c r="C6660" t="s">
        <v>114</v>
      </c>
      <c r="D6660" t="s">
        <v>115</v>
      </c>
      <c r="E6660" s="1">
        <v>44561</v>
      </c>
      <c r="F6660">
        <v>1</v>
      </c>
      <c r="G6660" t="s">
        <v>41</v>
      </c>
      <c r="H6660" t="s">
        <v>42</v>
      </c>
      <c r="I6660" s="3">
        <v>1862</v>
      </c>
      <c r="J6660" s="3">
        <v>1862</v>
      </c>
      <c r="K6660" s="3">
        <v>394</v>
      </c>
      <c r="L6660" t="s">
        <v>113</v>
      </c>
      <c r="M6660">
        <v>15</v>
      </c>
      <c r="N6660" t="s">
        <v>88</v>
      </c>
      <c r="O6660" t="s">
        <v>81</v>
      </c>
      <c r="P6660" t="s">
        <v>18</v>
      </c>
      <c r="Q6660" t="s">
        <v>19</v>
      </c>
      <c r="R6660" t="s">
        <v>138</v>
      </c>
      <c r="S6660" t="s">
        <v>144</v>
      </c>
      <c r="T6660" s="2">
        <f>MASTER[[#This Row],[CANTIDAD]]*MASTER[[#This Row],[PRECIO DE VENTA]]</f>
        <v>1862</v>
      </c>
      <c r="U6660" s="2">
        <f>MASTER[[#This Row],[CANTIDAD]]*MASTER[[#This Row],[COSTO UNITARIO]]</f>
        <v>394</v>
      </c>
      <c r="V6660" s="2">
        <f>MASTER[[#This Row],[MONTO VENDIDO]]-MASTER[[#This Row],[COSTO DE VENTA]]</f>
        <v>1468</v>
      </c>
    </row>
    <row r="6661" spans="1:22" x14ac:dyDescent="0.3">
      <c r="A6661">
        <v>93495</v>
      </c>
      <c r="B6661">
        <v>1</v>
      </c>
      <c r="C6661" t="s">
        <v>99</v>
      </c>
      <c r="D6661" t="s">
        <v>100</v>
      </c>
      <c r="E6661" s="1">
        <v>44553</v>
      </c>
      <c r="F6661">
        <v>1</v>
      </c>
      <c r="G6661" t="s">
        <v>33</v>
      </c>
      <c r="H6661" t="s">
        <v>34</v>
      </c>
      <c r="I6661" s="3">
        <v>1459</v>
      </c>
      <c r="J6661" s="3">
        <v>1459</v>
      </c>
      <c r="K6661" s="3">
        <v>386</v>
      </c>
      <c r="L6661" t="s">
        <v>98</v>
      </c>
      <c r="M6661">
        <v>10</v>
      </c>
      <c r="N6661" t="s">
        <v>83</v>
      </c>
      <c r="O6661" t="s">
        <v>81</v>
      </c>
      <c r="P6661" t="s">
        <v>12</v>
      </c>
      <c r="Q6661" t="s">
        <v>13</v>
      </c>
      <c r="R6661" t="s">
        <v>13</v>
      </c>
      <c r="S6661" t="s">
        <v>144</v>
      </c>
      <c r="T6661" s="2">
        <f>MASTER[[#This Row],[CANTIDAD]]*MASTER[[#This Row],[PRECIO DE VENTA]]</f>
        <v>1459</v>
      </c>
      <c r="U6661" s="2">
        <f>MASTER[[#This Row],[CANTIDAD]]*MASTER[[#This Row],[COSTO UNITARIO]]</f>
        <v>386</v>
      </c>
      <c r="V6661" s="2">
        <f>MASTER[[#This Row],[MONTO VENDIDO]]-MASTER[[#This Row],[COSTO DE VENTA]]</f>
        <v>1073</v>
      </c>
    </row>
    <row r="6662" spans="1:22" x14ac:dyDescent="0.3">
      <c r="A6662">
        <v>93604</v>
      </c>
      <c r="B6662">
        <v>1</v>
      </c>
      <c r="C6662" t="s">
        <v>99</v>
      </c>
      <c r="D6662" t="s">
        <v>100</v>
      </c>
      <c r="E6662" s="1">
        <v>44559</v>
      </c>
      <c r="F6662">
        <v>1</v>
      </c>
      <c r="G6662" t="s">
        <v>45</v>
      </c>
      <c r="H6662" t="s">
        <v>46</v>
      </c>
      <c r="I6662" s="3">
        <v>1678</v>
      </c>
      <c r="J6662" s="3">
        <v>1678</v>
      </c>
      <c r="K6662" s="3">
        <v>386</v>
      </c>
      <c r="L6662" t="s">
        <v>98</v>
      </c>
      <c r="M6662">
        <v>6</v>
      </c>
      <c r="N6662" t="s">
        <v>75</v>
      </c>
      <c r="O6662" t="s">
        <v>70</v>
      </c>
      <c r="P6662" t="s">
        <v>12</v>
      </c>
      <c r="Q6662" t="s">
        <v>13</v>
      </c>
      <c r="R6662" t="s">
        <v>13</v>
      </c>
      <c r="S6662" t="s">
        <v>144</v>
      </c>
      <c r="T6662" s="2">
        <f>MASTER[[#This Row],[CANTIDAD]]*MASTER[[#This Row],[PRECIO DE VENTA]]</f>
        <v>1678</v>
      </c>
      <c r="U6662" s="2">
        <f>MASTER[[#This Row],[CANTIDAD]]*MASTER[[#This Row],[COSTO UNITARIO]]</f>
        <v>386</v>
      </c>
      <c r="V6662" s="2">
        <f>MASTER[[#This Row],[MONTO VENDIDO]]-MASTER[[#This Row],[COSTO DE VENTA]]</f>
        <v>1292</v>
      </c>
    </row>
    <row r="6663" spans="1:22" x14ac:dyDescent="0.3">
      <c r="A6663">
        <v>93620</v>
      </c>
      <c r="B6663">
        <v>1</v>
      </c>
      <c r="C6663" t="s">
        <v>99</v>
      </c>
      <c r="D6663" t="s">
        <v>100</v>
      </c>
      <c r="E6663" s="1">
        <v>44550</v>
      </c>
      <c r="F6663">
        <v>4</v>
      </c>
      <c r="G6663" t="s">
        <v>53</v>
      </c>
      <c r="H6663" t="s">
        <v>54</v>
      </c>
      <c r="I6663" s="3">
        <v>1459</v>
      </c>
      <c r="J6663" s="3">
        <v>1459</v>
      </c>
      <c r="K6663" s="3">
        <v>386</v>
      </c>
      <c r="L6663" t="s">
        <v>98</v>
      </c>
      <c r="M6663">
        <v>2</v>
      </c>
      <c r="N6663" t="s">
        <v>86</v>
      </c>
      <c r="O6663" t="s">
        <v>81</v>
      </c>
      <c r="P6663" t="s">
        <v>71</v>
      </c>
      <c r="Q6663" t="s">
        <v>72</v>
      </c>
      <c r="R6663" t="s">
        <v>139</v>
      </c>
      <c r="S6663" t="s">
        <v>144</v>
      </c>
      <c r="T6663" s="2">
        <f>MASTER[[#This Row],[CANTIDAD]]*MASTER[[#This Row],[PRECIO DE VENTA]]</f>
        <v>5836</v>
      </c>
      <c r="U6663" s="2">
        <f>MASTER[[#This Row],[CANTIDAD]]*MASTER[[#This Row],[COSTO UNITARIO]]</f>
        <v>1544</v>
      </c>
      <c r="V6663" s="2">
        <f>MASTER[[#This Row],[MONTO VENDIDO]]-MASTER[[#This Row],[COSTO DE VENTA]]</f>
        <v>4292</v>
      </c>
    </row>
    <row r="6664" spans="1:22" x14ac:dyDescent="0.3">
      <c r="A6664">
        <v>93649</v>
      </c>
      <c r="B6664">
        <v>1</v>
      </c>
      <c r="C6664" t="s">
        <v>5</v>
      </c>
      <c r="D6664" t="s">
        <v>6</v>
      </c>
      <c r="E6664" s="1">
        <v>44558</v>
      </c>
      <c r="F6664">
        <v>1</v>
      </c>
      <c r="G6664" t="s">
        <v>27</v>
      </c>
      <c r="H6664" t="s">
        <v>28</v>
      </c>
      <c r="I6664" s="3">
        <v>1296</v>
      </c>
      <c r="J6664" s="3">
        <v>1296</v>
      </c>
      <c r="K6664" s="3">
        <v>393</v>
      </c>
      <c r="L6664" t="s">
        <v>9</v>
      </c>
      <c r="M6664">
        <v>3</v>
      </c>
      <c r="N6664" t="s">
        <v>69</v>
      </c>
      <c r="O6664" t="s">
        <v>70</v>
      </c>
      <c r="P6664" t="s">
        <v>71</v>
      </c>
      <c r="Q6664" t="s">
        <v>72</v>
      </c>
      <c r="R6664" t="s">
        <v>139</v>
      </c>
      <c r="S6664" t="s">
        <v>144</v>
      </c>
      <c r="T6664" s="2">
        <f>MASTER[[#This Row],[CANTIDAD]]*MASTER[[#This Row],[PRECIO DE VENTA]]</f>
        <v>1296</v>
      </c>
      <c r="U6664" s="2">
        <f>MASTER[[#This Row],[CANTIDAD]]*MASTER[[#This Row],[COSTO UNITARIO]]</f>
        <v>393</v>
      </c>
      <c r="V6664" s="2">
        <f>MASTER[[#This Row],[MONTO VENDIDO]]-MASTER[[#This Row],[COSTO DE VENTA]]</f>
        <v>903</v>
      </c>
    </row>
    <row r="6665" spans="1:22" x14ac:dyDescent="0.3">
      <c r="A6665">
        <v>93655</v>
      </c>
      <c r="B6665">
        <v>1</v>
      </c>
      <c r="C6665" t="s">
        <v>90</v>
      </c>
      <c r="D6665" t="s">
        <v>91</v>
      </c>
      <c r="E6665" s="1">
        <v>44558</v>
      </c>
      <c r="F6665">
        <v>1</v>
      </c>
      <c r="G6665" t="s">
        <v>41</v>
      </c>
      <c r="H6665" t="s">
        <v>42</v>
      </c>
      <c r="I6665" s="3">
        <v>1660</v>
      </c>
      <c r="J6665" s="3">
        <v>1660</v>
      </c>
      <c r="K6665" s="3">
        <v>420</v>
      </c>
      <c r="L6665" t="s">
        <v>9</v>
      </c>
      <c r="M6665">
        <v>11</v>
      </c>
      <c r="N6665" t="s">
        <v>10</v>
      </c>
      <c r="O6665" t="s">
        <v>11</v>
      </c>
      <c r="P6665" t="s">
        <v>12</v>
      </c>
      <c r="Q6665" t="s">
        <v>13</v>
      </c>
      <c r="R6665" t="s">
        <v>13</v>
      </c>
      <c r="S6665" t="s">
        <v>144</v>
      </c>
      <c r="T6665" s="2">
        <f>MASTER[[#This Row],[CANTIDAD]]*MASTER[[#This Row],[PRECIO DE VENTA]]</f>
        <v>1660</v>
      </c>
      <c r="U6665" s="2">
        <f>MASTER[[#This Row],[CANTIDAD]]*MASTER[[#This Row],[COSTO UNITARIO]]</f>
        <v>420</v>
      </c>
      <c r="V6665" s="2">
        <f>MASTER[[#This Row],[MONTO VENDIDO]]-MASTER[[#This Row],[COSTO DE VENTA]]</f>
        <v>1240</v>
      </c>
    </row>
    <row r="6666" spans="1:22" x14ac:dyDescent="0.3">
      <c r="A6666">
        <v>93671</v>
      </c>
      <c r="B6666">
        <v>1</v>
      </c>
      <c r="C6666" t="s">
        <v>118</v>
      </c>
      <c r="D6666" t="s">
        <v>119</v>
      </c>
      <c r="E6666" s="1">
        <v>44558</v>
      </c>
      <c r="F6666">
        <v>1</v>
      </c>
      <c r="G6666" t="s">
        <v>45</v>
      </c>
      <c r="H6666" t="s">
        <v>46</v>
      </c>
      <c r="I6666" s="3">
        <v>1026</v>
      </c>
      <c r="J6666" s="3">
        <v>1026</v>
      </c>
      <c r="K6666" s="3">
        <v>424</v>
      </c>
      <c r="L6666" t="s">
        <v>120</v>
      </c>
      <c r="M6666">
        <v>18</v>
      </c>
      <c r="N6666" t="s">
        <v>79</v>
      </c>
      <c r="O6666" t="s">
        <v>70</v>
      </c>
      <c r="P6666" t="s">
        <v>15</v>
      </c>
      <c r="Q6666" t="s">
        <v>16</v>
      </c>
      <c r="R6666" t="s">
        <v>16</v>
      </c>
      <c r="S6666" t="s">
        <v>144</v>
      </c>
      <c r="T6666" s="2">
        <f>MASTER[[#This Row],[CANTIDAD]]*MASTER[[#This Row],[PRECIO DE VENTA]]</f>
        <v>1026</v>
      </c>
      <c r="U6666" s="2">
        <f>MASTER[[#This Row],[CANTIDAD]]*MASTER[[#This Row],[COSTO UNITARIO]]</f>
        <v>424</v>
      </c>
      <c r="V6666" s="2">
        <f>MASTER[[#This Row],[MONTO VENDIDO]]-MASTER[[#This Row],[COSTO DE VENTA]]</f>
        <v>602</v>
      </c>
    </row>
    <row r="6667" spans="1:22" x14ac:dyDescent="0.3">
      <c r="A6667">
        <v>93754</v>
      </c>
      <c r="B6667">
        <v>1</v>
      </c>
      <c r="C6667" t="s">
        <v>5</v>
      </c>
      <c r="D6667" t="s">
        <v>6</v>
      </c>
      <c r="E6667" s="1">
        <v>44558</v>
      </c>
      <c r="F6667">
        <v>1</v>
      </c>
      <c r="G6667" t="s">
        <v>53</v>
      </c>
      <c r="H6667" t="s">
        <v>54</v>
      </c>
      <c r="I6667" s="3">
        <v>1296</v>
      </c>
      <c r="J6667" s="3">
        <v>1296</v>
      </c>
      <c r="K6667" s="3">
        <v>393</v>
      </c>
      <c r="L6667" t="s">
        <v>9</v>
      </c>
      <c r="M6667">
        <v>6</v>
      </c>
      <c r="N6667" t="s">
        <v>75</v>
      </c>
      <c r="O6667" t="s">
        <v>70</v>
      </c>
      <c r="P6667" t="s">
        <v>12</v>
      </c>
      <c r="Q6667" t="s">
        <v>13</v>
      </c>
      <c r="R6667" t="s">
        <v>13</v>
      </c>
      <c r="S6667" t="s">
        <v>144</v>
      </c>
      <c r="T6667" s="2">
        <f>MASTER[[#This Row],[CANTIDAD]]*MASTER[[#This Row],[PRECIO DE VENTA]]</f>
        <v>1296</v>
      </c>
      <c r="U6667" s="2">
        <f>MASTER[[#This Row],[CANTIDAD]]*MASTER[[#This Row],[COSTO UNITARIO]]</f>
        <v>393</v>
      </c>
      <c r="V6667" s="2">
        <f>MASTER[[#This Row],[MONTO VENDIDO]]-MASTER[[#This Row],[COSTO DE VENTA]]</f>
        <v>903</v>
      </c>
    </row>
    <row r="6668" spans="1:22" x14ac:dyDescent="0.3">
      <c r="A6668">
        <v>93765</v>
      </c>
      <c r="B6668">
        <v>1</v>
      </c>
      <c r="C6668" t="s">
        <v>118</v>
      </c>
      <c r="D6668" t="s">
        <v>119</v>
      </c>
      <c r="E6668" s="1">
        <v>44556</v>
      </c>
      <c r="F6668">
        <v>1</v>
      </c>
      <c r="G6668" t="s">
        <v>51</v>
      </c>
      <c r="H6668" t="s">
        <v>52</v>
      </c>
      <c r="I6668" s="3">
        <v>900</v>
      </c>
      <c r="J6668" s="3">
        <v>828</v>
      </c>
      <c r="K6668" s="3">
        <v>424</v>
      </c>
      <c r="L6668" t="s">
        <v>120</v>
      </c>
      <c r="M6668">
        <v>2</v>
      </c>
      <c r="N6668" t="s">
        <v>86</v>
      </c>
      <c r="O6668" t="s">
        <v>81</v>
      </c>
      <c r="P6668" t="s">
        <v>71</v>
      </c>
      <c r="Q6668" t="s">
        <v>72</v>
      </c>
      <c r="R6668" t="s">
        <v>139</v>
      </c>
      <c r="S6668" t="s">
        <v>144</v>
      </c>
      <c r="T6668" s="2">
        <f>MASTER[[#This Row],[CANTIDAD]]*MASTER[[#This Row],[PRECIO DE VENTA]]</f>
        <v>828</v>
      </c>
      <c r="U6668" s="2">
        <f>MASTER[[#This Row],[CANTIDAD]]*MASTER[[#This Row],[COSTO UNITARIO]]</f>
        <v>424</v>
      </c>
      <c r="V6668" s="2">
        <f>MASTER[[#This Row],[MONTO VENDIDO]]-MASTER[[#This Row],[COSTO DE VENTA]]</f>
        <v>404</v>
      </c>
    </row>
    <row r="6669" spans="1:22" x14ac:dyDescent="0.3">
      <c r="A6669">
        <v>93810</v>
      </c>
      <c r="B6669">
        <v>1</v>
      </c>
      <c r="C6669" t="s">
        <v>5</v>
      </c>
      <c r="D6669" t="s">
        <v>6</v>
      </c>
      <c r="E6669" s="1">
        <v>44543</v>
      </c>
      <c r="F6669">
        <v>1</v>
      </c>
      <c r="G6669" t="s">
        <v>31</v>
      </c>
      <c r="H6669" t="s">
        <v>32</v>
      </c>
      <c r="I6669" s="3">
        <v>1507</v>
      </c>
      <c r="J6669" s="3">
        <v>1507</v>
      </c>
      <c r="K6669" s="3">
        <v>393</v>
      </c>
      <c r="L6669" t="s">
        <v>9</v>
      </c>
      <c r="M6669">
        <v>15</v>
      </c>
      <c r="N6669" t="s">
        <v>88</v>
      </c>
      <c r="O6669" t="s">
        <v>81</v>
      </c>
      <c r="P6669" t="s">
        <v>18</v>
      </c>
      <c r="Q6669" t="s">
        <v>19</v>
      </c>
      <c r="R6669" t="s">
        <v>138</v>
      </c>
      <c r="S6669" t="s">
        <v>144</v>
      </c>
      <c r="T6669" s="2">
        <f>MASTER[[#This Row],[CANTIDAD]]*MASTER[[#This Row],[PRECIO DE VENTA]]</f>
        <v>1507</v>
      </c>
      <c r="U6669" s="2">
        <f>MASTER[[#This Row],[CANTIDAD]]*MASTER[[#This Row],[COSTO UNITARIO]]</f>
        <v>393</v>
      </c>
      <c r="V6669" s="2">
        <f>MASTER[[#This Row],[MONTO VENDIDO]]-MASTER[[#This Row],[COSTO DE VENTA]]</f>
        <v>1114</v>
      </c>
    </row>
    <row r="6670" spans="1:22" x14ac:dyDescent="0.3">
      <c r="A6670">
        <v>93828</v>
      </c>
      <c r="B6670">
        <v>1</v>
      </c>
      <c r="C6670" t="s">
        <v>114</v>
      </c>
      <c r="D6670" t="s">
        <v>115</v>
      </c>
      <c r="E6670" s="1">
        <v>44555</v>
      </c>
      <c r="F6670">
        <v>1</v>
      </c>
      <c r="G6670" t="s">
        <v>43</v>
      </c>
      <c r="H6670" t="s">
        <v>44</v>
      </c>
      <c r="I6670" s="3">
        <v>2030</v>
      </c>
      <c r="J6670" s="3">
        <v>2030</v>
      </c>
      <c r="K6670" s="3">
        <v>394</v>
      </c>
      <c r="L6670" t="s">
        <v>113</v>
      </c>
      <c r="M6670">
        <v>1</v>
      </c>
      <c r="N6670" t="s">
        <v>77</v>
      </c>
      <c r="O6670" t="s">
        <v>70</v>
      </c>
      <c r="P6670" t="s">
        <v>71</v>
      </c>
      <c r="Q6670" t="s">
        <v>72</v>
      </c>
      <c r="R6670" t="s">
        <v>139</v>
      </c>
      <c r="S6670" t="s">
        <v>144</v>
      </c>
      <c r="T6670" s="2">
        <f>MASTER[[#This Row],[CANTIDAD]]*MASTER[[#This Row],[PRECIO DE VENTA]]</f>
        <v>2030</v>
      </c>
      <c r="U6670" s="2">
        <f>MASTER[[#This Row],[CANTIDAD]]*MASTER[[#This Row],[COSTO UNITARIO]]</f>
        <v>394</v>
      </c>
      <c r="V6670" s="2">
        <f>MASTER[[#This Row],[MONTO VENDIDO]]-MASTER[[#This Row],[COSTO DE VENTA]]</f>
        <v>1636</v>
      </c>
    </row>
    <row r="6671" spans="1:22" x14ac:dyDescent="0.3">
      <c r="A6671">
        <v>93877</v>
      </c>
      <c r="B6671">
        <v>1</v>
      </c>
      <c r="C6671" t="s">
        <v>94</v>
      </c>
      <c r="D6671" t="s">
        <v>95</v>
      </c>
      <c r="E6671" s="1">
        <v>44551</v>
      </c>
      <c r="F6671">
        <v>1</v>
      </c>
      <c r="G6671" t="s">
        <v>22</v>
      </c>
      <c r="H6671" t="s">
        <v>23</v>
      </c>
      <c r="I6671" s="3">
        <v>1153</v>
      </c>
      <c r="J6671" s="3">
        <v>1153</v>
      </c>
      <c r="K6671" s="3">
        <v>392</v>
      </c>
      <c r="L6671" t="s">
        <v>9</v>
      </c>
      <c r="M6671">
        <v>3</v>
      </c>
      <c r="N6671" t="s">
        <v>69</v>
      </c>
      <c r="O6671" t="s">
        <v>70</v>
      </c>
      <c r="P6671" t="s">
        <v>71</v>
      </c>
      <c r="Q6671" t="s">
        <v>72</v>
      </c>
      <c r="R6671" t="s">
        <v>139</v>
      </c>
      <c r="S6671" t="s">
        <v>144</v>
      </c>
      <c r="T6671" s="2">
        <f>MASTER[[#This Row],[CANTIDAD]]*MASTER[[#This Row],[PRECIO DE VENTA]]</f>
        <v>1153</v>
      </c>
      <c r="U6671" s="2">
        <f>MASTER[[#This Row],[CANTIDAD]]*MASTER[[#This Row],[COSTO UNITARIO]]</f>
        <v>392</v>
      </c>
      <c r="V6671" s="2">
        <f>MASTER[[#This Row],[MONTO VENDIDO]]-MASTER[[#This Row],[COSTO DE VENTA]]</f>
        <v>761</v>
      </c>
    </row>
    <row r="6672" spans="1:22" x14ac:dyDescent="0.3">
      <c r="A6672">
        <v>93956</v>
      </c>
      <c r="B6672">
        <v>1</v>
      </c>
      <c r="C6672" t="s">
        <v>96</v>
      </c>
      <c r="D6672" t="s">
        <v>97</v>
      </c>
      <c r="E6672" s="1">
        <v>44558</v>
      </c>
      <c r="F6672">
        <v>1</v>
      </c>
      <c r="G6672" t="s">
        <v>7</v>
      </c>
      <c r="H6672" t="s">
        <v>8</v>
      </c>
      <c r="I6672" s="3">
        <v>1196</v>
      </c>
      <c r="J6672" s="3">
        <v>1196</v>
      </c>
      <c r="K6672" s="3">
        <v>397</v>
      </c>
      <c r="L6672" t="s">
        <v>98</v>
      </c>
      <c r="M6672">
        <v>17</v>
      </c>
      <c r="N6672" t="s">
        <v>14</v>
      </c>
      <c r="O6672" t="s">
        <v>11</v>
      </c>
      <c r="P6672" t="s">
        <v>15</v>
      </c>
      <c r="Q6672" t="s">
        <v>16</v>
      </c>
      <c r="R6672" t="s">
        <v>16</v>
      </c>
      <c r="S6672" t="s">
        <v>144</v>
      </c>
      <c r="T6672" s="2">
        <f>MASTER[[#This Row],[CANTIDAD]]*MASTER[[#This Row],[PRECIO DE VENTA]]</f>
        <v>1196</v>
      </c>
      <c r="U6672" s="2">
        <f>MASTER[[#This Row],[CANTIDAD]]*MASTER[[#This Row],[COSTO UNITARIO]]</f>
        <v>397</v>
      </c>
      <c r="V6672" s="2">
        <f>MASTER[[#This Row],[MONTO VENDIDO]]-MASTER[[#This Row],[COSTO DE VENTA]]</f>
        <v>799</v>
      </c>
    </row>
    <row r="6673" spans="1:22" x14ac:dyDescent="0.3">
      <c r="A6673">
        <v>93989</v>
      </c>
      <c r="B6673">
        <v>1</v>
      </c>
      <c r="C6673" t="s">
        <v>94</v>
      </c>
      <c r="D6673" t="s">
        <v>95</v>
      </c>
      <c r="E6673" s="1">
        <v>44557</v>
      </c>
      <c r="F6673">
        <v>1</v>
      </c>
      <c r="G6673" t="s">
        <v>31</v>
      </c>
      <c r="H6673" t="s">
        <v>32</v>
      </c>
      <c r="I6673" s="3">
        <v>1048</v>
      </c>
      <c r="J6673" s="3">
        <v>1048</v>
      </c>
      <c r="K6673" s="3">
        <v>392</v>
      </c>
      <c r="L6673" t="s">
        <v>9</v>
      </c>
      <c r="M6673">
        <v>4</v>
      </c>
      <c r="N6673" t="s">
        <v>82</v>
      </c>
      <c r="O6673" t="s">
        <v>81</v>
      </c>
      <c r="P6673" t="s">
        <v>71</v>
      </c>
      <c r="Q6673" t="s">
        <v>72</v>
      </c>
      <c r="R6673" t="s">
        <v>139</v>
      </c>
      <c r="S6673" t="s">
        <v>144</v>
      </c>
      <c r="T6673" s="2">
        <f>MASTER[[#This Row],[CANTIDAD]]*MASTER[[#This Row],[PRECIO DE VENTA]]</f>
        <v>1048</v>
      </c>
      <c r="U6673" s="2">
        <f>MASTER[[#This Row],[CANTIDAD]]*MASTER[[#This Row],[COSTO UNITARIO]]</f>
        <v>392</v>
      </c>
      <c r="V6673" s="2">
        <f>MASTER[[#This Row],[MONTO VENDIDO]]-MASTER[[#This Row],[COSTO DE VENTA]]</f>
        <v>656</v>
      </c>
    </row>
    <row r="6674" spans="1:22" x14ac:dyDescent="0.3">
      <c r="A6674">
        <v>94000</v>
      </c>
      <c r="B6674">
        <v>3</v>
      </c>
      <c r="C6674" t="s">
        <v>99</v>
      </c>
      <c r="D6674" t="s">
        <v>100</v>
      </c>
      <c r="E6674" s="1">
        <v>44547</v>
      </c>
      <c r="F6674">
        <v>1</v>
      </c>
      <c r="G6674" t="s">
        <v>67</v>
      </c>
      <c r="H6674" t="s">
        <v>68</v>
      </c>
      <c r="I6674" s="3">
        <v>1678</v>
      </c>
      <c r="J6674" s="3">
        <v>1678</v>
      </c>
      <c r="K6674" s="3">
        <v>386</v>
      </c>
      <c r="L6674" t="s">
        <v>98</v>
      </c>
      <c r="M6674">
        <v>9</v>
      </c>
      <c r="N6674" t="s">
        <v>76</v>
      </c>
      <c r="O6674" t="s">
        <v>70</v>
      </c>
      <c r="P6674" t="s">
        <v>12</v>
      </c>
      <c r="Q6674" t="s">
        <v>13</v>
      </c>
      <c r="R6674" t="s">
        <v>13</v>
      </c>
      <c r="S6674" t="s">
        <v>144</v>
      </c>
      <c r="T6674" s="2">
        <f>MASTER[[#This Row],[CANTIDAD]]*MASTER[[#This Row],[PRECIO DE VENTA]]</f>
        <v>1678</v>
      </c>
      <c r="U6674" s="2">
        <f>MASTER[[#This Row],[CANTIDAD]]*MASTER[[#This Row],[COSTO UNITARIO]]</f>
        <v>386</v>
      </c>
      <c r="V6674" s="2">
        <f>MASTER[[#This Row],[MONTO VENDIDO]]-MASTER[[#This Row],[COSTO DE VENTA]]</f>
        <v>1292</v>
      </c>
    </row>
    <row r="6675" spans="1:22" x14ac:dyDescent="0.3">
      <c r="A6675">
        <v>94000</v>
      </c>
      <c r="B6675">
        <v>1</v>
      </c>
      <c r="C6675" t="s">
        <v>118</v>
      </c>
      <c r="D6675" t="s">
        <v>119</v>
      </c>
      <c r="E6675" s="1">
        <v>44547</v>
      </c>
      <c r="F6675">
        <v>1</v>
      </c>
      <c r="G6675" t="s">
        <v>65</v>
      </c>
      <c r="H6675" t="s">
        <v>66</v>
      </c>
      <c r="I6675" s="3">
        <v>1026</v>
      </c>
      <c r="J6675" s="3">
        <v>1026</v>
      </c>
      <c r="K6675" s="3">
        <v>424</v>
      </c>
      <c r="L6675" t="s">
        <v>120</v>
      </c>
      <c r="M6675">
        <v>9</v>
      </c>
      <c r="N6675" t="s">
        <v>76</v>
      </c>
      <c r="O6675" t="s">
        <v>70</v>
      </c>
      <c r="P6675" t="s">
        <v>12</v>
      </c>
      <c r="Q6675" t="s">
        <v>13</v>
      </c>
      <c r="R6675" t="s">
        <v>13</v>
      </c>
      <c r="S6675" t="s">
        <v>144</v>
      </c>
      <c r="T6675" s="2">
        <f>MASTER[[#This Row],[CANTIDAD]]*MASTER[[#This Row],[PRECIO DE VENTA]]</f>
        <v>1026</v>
      </c>
      <c r="U6675" s="2">
        <f>MASTER[[#This Row],[CANTIDAD]]*MASTER[[#This Row],[COSTO UNITARIO]]</f>
        <v>424</v>
      </c>
      <c r="V6675" s="2">
        <f>MASTER[[#This Row],[MONTO VENDIDO]]-MASTER[[#This Row],[COSTO DE VENTA]]</f>
        <v>602</v>
      </c>
    </row>
    <row r="6676" spans="1:22" x14ac:dyDescent="0.3">
      <c r="A6676">
        <v>94000</v>
      </c>
      <c r="B6676">
        <v>2</v>
      </c>
      <c r="C6676" t="s">
        <v>121</v>
      </c>
      <c r="D6676" t="s">
        <v>122</v>
      </c>
      <c r="E6676" s="1">
        <v>44547</v>
      </c>
      <c r="F6676">
        <v>1</v>
      </c>
      <c r="G6676" t="s">
        <v>61</v>
      </c>
      <c r="H6676" t="s">
        <v>62</v>
      </c>
      <c r="I6676" s="3">
        <v>1144</v>
      </c>
      <c r="J6676" s="3">
        <v>1144</v>
      </c>
      <c r="K6676" s="3">
        <v>460</v>
      </c>
      <c r="L6676" t="s">
        <v>120</v>
      </c>
      <c r="M6676">
        <v>9</v>
      </c>
      <c r="N6676" t="s">
        <v>76</v>
      </c>
      <c r="O6676" t="s">
        <v>70</v>
      </c>
      <c r="P6676" t="s">
        <v>12</v>
      </c>
      <c r="Q6676" t="s">
        <v>13</v>
      </c>
      <c r="R6676" t="s">
        <v>13</v>
      </c>
      <c r="S6676" t="s">
        <v>144</v>
      </c>
      <c r="T6676" s="2">
        <f>MASTER[[#This Row],[CANTIDAD]]*MASTER[[#This Row],[PRECIO DE VENTA]]</f>
        <v>1144</v>
      </c>
      <c r="U6676" s="2">
        <f>MASTER[[#This Row],[CANTIDAD]]*MASTER[[#This Row],[COSTO UNITARIO]]</f>
        <v>460</v>
      </c>
      <c r="V6676" s="2">
        <f>MASTER[[#This Row],[MONTO VENDIDO]]-MASTER[[#This Row],[COSTO DE VENTA]]</f>
        <v>684</v>
      </c>
    </row>
    <row r="6677" spans="1:22" x14ac:dyDescent="0.3">
      <c r="A6677">
        <v>94191</v>
      </c>
      <c r="B6677">
        <v>1</v>
      </c>
      <c r="C6677" t="s">
        <v>94</v>
      </c>
      <c r="D6677" t="s">
        <v>95</v>
      </c>
      <c r="E6677" s="1">
        <v>44550</v>
      </c>
      <c r="F6677">
        <v>1</v>
      </c>
      <c r="G6677" t="s">
        <v>59</v>
      </c>
      <c r="H6677" t="s">
        <v>60</v>
      </c>
      <c r="I6677" s="3">
        <v>1153</v>
      </c>
      <c r="J6677" s="3">
        <v>1153</v>
      </c>
      <c r="K6677" s="3">
        <v>392</v>
      </c>
      <c r="L6677" t="s">
        <v>9</v>
      </c>
      <c r="M6677">
        <v>1</v>
      </c>
      <c r="N6677" t="s">
        <v>77</v>
      </c>
      <c r="O6677" t="s">
        <v>70</v>
      </c>
      <c r="P6677" t="s">
        <v>71</v>
      </c>
      <c r="Q6677" t="s">
        <v>72</v>
      </c>
      <c r="R6677" t="s">
        <v>139</v>
      </c>
      <c r="S6677" t="s">
        <v>144</v>
      </c>
      <c r="T6677" s="2">
        <f>MASTER[[#This Row],[CANTIDAD]]*MASTER[[#This Row],[PRECIO DE VENTA]]</f>
        <v>1153</v>
      </c>
      <c r="U6677" s="2">
        <f>MASTER[[#This Row],[CANTIDAD]]*MASTER[[#This Row],[COSTO UNITARIO]]</f>
        <v>392</v>
      </c>
      <c r="V6677" s="2">
        <f>MASTER[[#This Row],[MONTO VENDIDO]]-MASTER[[#This Row],[COSTO DE VENTA]]</f>
        <v>761</v>
      </c>
    </row>
    <row r="6678" spans="1:22" x14ac:dyDescent="0.3">
      <c r="A6678">
        <v>94278</v>
      </c>
      <c r="B6678">
        <v>1</v>
      </c>
      <c r="C6678" t="s">
        <v>114</v>
      </c>
      <c r="D6678" t="s">
        <v>115</v>
      </c>
      <c r="E6678" s="1">
        <v>44550</v>
      </c>
      <c r="F6678">
        <v>1</v>
      </c>
      <c r="G6678" t="s">
        <v>45</v>
      </c>
      <c r="H6678" t="s">
        <v>46</v>
      </c>
      <c r="I6678" s="3">
        <v>1862</v>
      </c>
      <c r="J6678" s="3">
        <v>1862</v>
      </c>
      <c r="K6678" s="3">
        <v>394</v>
      </c>
      <c r="L6678" t="s">
        <v>113</v>
      </c>
      <c r="M6678">
        <v>7</v>
      </c>
      <c r="N6678" t="s">
        <v>84</v>
      </c>
      <c r="O6678" t="s">
        <v>81</v>
      </c>
      <c r="P6678" t="s">
        <v>12</v>
      </c>
      <c r="Q6678" t="s">
        <v>13</v>
      </c>
      <c r="R6678" t="s">
        <v>13</v>
      </c>
      <c r="S6678" t="s">
        <v>144</v>
      </c>
      <c r="T6678" s="2">
        <f>MASTER[[#This Row],[CANTIDAD]]*MASTER[[#This Row],[PRECIO DE VENTA]]</f>
        <v>1862</v>
      </c>
      <c r="U6678" s="2">
        <f>MASTER[[#This Row],[CANTIDAD]]*MASTER[[#This Row],[COSTO UNITARIO]]</f>
        <v>394</v>
      </c>
      <c r="V6678" s="2">
        <f>MASTER[[#This Row],[MONTO VENDIDO]]-MASTER[[#This Row],[COSTO DE VENTA]]</f>
        <v>1468</v>
      </c>
    </row>
    <row r="6679" spans="1:22" x14ac:dyDescent="0.3">
      <c r="A6679">
        <v>94284</v>
      </c>
      <c r="B6679">
        <v>1</v>
      </c>
      <c r="C6679" t="s">
        <v>114</v>
      </c>
      <c r="D6679" t="s">
        <v>115</v>
      </c>
      <c r="E6679" s="1">
        <v>44550</v>
      </c>
      <c r="F6679">
        <v>1</v>
      </c>
      <c r="G6679" t="s">
        <v>57</v>
      </c>
      <c r="H6679" t="s">
        <v>58</v>
      </c>
      <c r="I6679" s="3">
        <v>1862</v>
      </c>
      <c r="J6679" s="3">
        <v>1862</v>
      </c>
      <c r="K6679" s="3">
        <v>394</v>
      </c>
      <c r="L6679" t="s">
        <v>113</v>
      </c>
      <c r="M6679">
        <v>5</v>
      </c>
      <c r="N6679" t="s">
        <v>85</v>
      </c>
      <c r="O6679" t="s">
        <v>81</v>
      </c>
      <c r="P6679" t="s">
        <v>12</v>
      </c>
      <c r="Q6679" t="s">
        <v>13</v>
      </c>
      <c r="R6679" t="s">
        <v>13</v>
      </c>
      <c r="S6679" t="s">
        <v>144</v>
      </c>
      <c r="T6679" s="2">
        <f>MASTER[[#This Row],[CANTIDAD]]*MASTER[[#This Row],[PRECIO DE VENTA]]</f>
        <v>1862</v>
      </c>
      <c r="U6679" s="2">
        <f>MASTER[[#This Row],[CANTIDAD]]*MASTER[[#This Row],[COSTO UNITARIO]]</f>
        <v>394</v>
      </c>
      <c r="V6679" s="2">
        <f>MASTER[[#This Row],[MONTO VENDIDO]]-MASTER[[#This Row],[COSTO DE VENTA]]</f>
        <v>1468</v>
      </c>
    </row>
    <row r="6680" spans="1:22" x14ac:dyDescent="0.3">
      <c r="A6680">
        <v>94332</v>
      </c>
      <c r="B6680">
        <v>1</v>
      </c>
      <c r="C6680" t="s">
        <v>92</v>
      </c>
      <c r="D6680" t="s">
        <v>93</v>
      </c>
      <c r="E6680" s="1">
        <v>44554</v>
      </c>
      <c r="F6680">
        <v>1</v>
      </c>
      <c r="G6680" t="s">
        <v>47</v>
      </c>
      <c r="H6680" t="s">
        <v>48</v>
      </c>
      <c r="I6680" s="3">
        <v>1681</v>
      </c>
      <c r="J6680" s="3">
        <v>1681</v>
      </c>
      <c r="K6680" s="3">
        <v>396</v>
      </c>
      <c r="L6680" t="s">
        <v>9</v>
      </c>
      <c r="M6680">
        <v>7</v>
      </c>
      <c r="N6680" t="s">
        <v>84</v>
      </c>
      <c r="O6680" t="s">
        <v>81</v>
      </c>
      <c r="P6680" t="s">
        <v>12</v>
      </c>
      <c r="Q6680" t="s">
        <v>13</v>
      </c>
      <c r="R6680" t="s">
        <v>13</v>
      </c>
      <c r="S6680" t="s">
        <v>144</v>
      </c>
      <c r="T6680" s="2">
        <f>MASTER[[#This Row],[CANTIDAD]]*MASTER[[#This Row],[PRECIO DE VENTA]]</f>
        <v>1681</v>
      </c>
      <c r="U6680" s="2">
        <f>MASTER[[#This Row],[CANTIDAD]]*MASTER[[#This Row],[COSTO UNITARIO]]</f>
        <v>396</v>
      </c>
      <c r="V6680" s="2">
        <f>MASTER[[#This Row],[MONTO VENDIDO]]-MASTER[[#This Row],[COSTO DE VENTA]]</f>
        <v>1285</v>
      </c>
    </row>
    <row r="6681" spans="1:22" x14ac:dyDescent="0.3">
      <c r="A6681">
        <v>94422</v>
      </c>
      <c r="B6681">
        <v>1</v>
      </c>
      <c r="C6681" t="s">
        <v>111</v>
      </c>
      <c r="D6681" t="s">
        <v>112</v>
      </c>
      <c r="E6681" s="1">
        <v>44558</v>
      </c>
      <c r="F6681">
        <v>1</v>
      </c>
      <c r="G6681" t="s">
        <v>49</v>
      </c>
      <c r="H6681" t="s">
        <v>50</v>
      </c>
      <c r="I6681" s="3">
        <v>1621</v>
      </c>
      <c r="J6681" s="3">
        <v>1621</v>
      </c>
      <c r="K6681" s="3">
        <v>434</v>
      </c>
      <c r="L6681" t="s">
        <v>113</v>
      </c>
      <c r="M6681">
        <v>4</v>
      </c>
      <c r="N6681" t="s">
        <v>82</v>
      </c>
      <c r="O6681" t="s">
        <v>81</v>
      </c>
      <c r="P6681" t="s">
        <v>71</v>
      </c>
      <c r="Q6681" t="s">
        <v>72</v>
      </c>
      <c r="R6681" t="s">
        <v>139</v>
      </c>
      <c r="S6681" t="s">
        <v>144</v>
      </c>
      <c r="T6681" s="2">
        <f>MASTER[[#This Row],[CANTIDAD]]*MASTER[[#This Row],[PRECIO DE VENTA]]</f>
        <v>1621</v>
      </c>
      <c r="U6681" s="2">
        <f>MASTER[[#This Row],[CANTIDAD]]*MASTER[[#This Row],[COSTO UNITARIO]]</f>
        <v>434</v>
      </c>
      <c r="V6681" s="2">
        <f>MASTER[[#This Row],[MONTO VENDIDO]]-MASTER[[#This Row],[COSTO DE VENTA]]</f>
        <v>1187</v>
      </c>
    </row>
    <row r="6682" spans="1:22" x14ac:dyDescent="0.3">
      <c r="A6682">
        <v>94476</v>
      </c>
      <c r="B6682">
        <v>1</v>
      </c>
      <c r="C6682" t="s">
        <v>109</v>
      </c>
      <c r="D6682" t="s">
        <v>110</v>
      </c>
      <c r="E6682" s="1">
        <v>44549</v>
      </c>
      <c r="F6682">
        <v>1</v>
      </c>
      <c r="G6682" t="s">
        <v>20</v>
      </c>
      <c r="H6682" t="s">
        <v>21</v>
      </c>
      <c r="I6682" s="3">
        <v>1128</v>
      </c>
      <c r="J6682" s="3">
        <v>1128</v>
      </c>
      <c r="K6682" s="3">
        <v>387</v>
      </c>
      <c r="L6682" t="s">
        <v>98</v>
      </c>
      <c r="M6682">
        <v>18</v>
      </c>
      <c r="N6682" t="s">
        <v>79</v>
      </c>
      <c r="O6682" t="s">
        <v>70</v>
      </c>
      <c r="P6682" t="s">
        <v>15</v>
      </c>
      <c r="Q6682" t="s">
        <v>16</v>
      </c>
      <c r="R6682" t="s">
        <v>16</v>
      </c>
      <c r="S6682" t="s">
        <v>144</v>
      </c>
      <c r="T6682" s="2">
        <f>MASTER[[#This Row],[CANTIDAD]]*MASTER[[#This Row],[PRECIO DE VENTA]]</f>
        <v>1128</v>
      </c>
      <c r="U6682" s="2">
        <f>MASTER[[#This Row],[CANTIDAD]]*MASTER[[#This Row],[COSTO UNITARIO]]</f>
        <v>387</v>
      </c>
      <c r="V6682" s="2">
        <f>MASTER[[#This Row],[MONTO VENDIDO]]-MASTER[[#This Row],[COSTO DE VENTA]]</f>
        <v>741</v>
      </c>
    </row>
    <row r="6683" spans="1:22" x14ac:dyDescent="0.3">
      <c r="A6683">
        <v>94520</v>
      </c>
      <c r="B6683">
        <v>1</v>
      </c>
      <c r="C6683" t="s">
        <v>111</v>
      </c>
      <c r="D6683" t="s">
        <v>112</v>
      </c>
      <c r="E6683" s="1">
        <v>44561</v>
      </c>
      <c r="F6683">
        <v>1</v>
      </c>
      <c r="G6683" t="s">
        <v>29</v>
      </c>
      <c r="H6683" t="s">
        <v>30</v>
      </c>
      <c r="I6683" s="3">
        <v>1799</v>
      </c>
      <c r="J6683" s="3">
        <v>1799</v>
      </c>
      <c r="K6683" s="3">
        <v>434</v>
      </c>
      <c r="L6683" t="s">
        <v>113</v>
      </c>
      <c r="M6683">
        <v>13</v>
      </c>
      <c r="N6683" t="s">
        <v>78</v>
      </c>
      <c r="O6683" t="s">
        <v>70</v>
      </c>
      <c r="P6683" t="s">
        <v>18</v>
      </c>
      <c r="Q6683" t="s">
        <v>19</v>
      </c>
      <c r="R6683" t="s">
        <v>138</v>
      </c>
      <c r="S6683" t="s">
        <v>144</v>
      </c>
      <c r="T6683" s="2">
        <f>MASTER[[#This Row],[CANTIDAD]]*MASTER[[#This Row],[PRECIO DE VENTA]]</f>
        <v>1799</v>
      </c>
      <c r="U6683" s="2">
        <f>MASTER[[#This Row],[CANTIDAD]]*MASTER[[#This Row],[COSTO UNITARIO]]</f>
        <v>434</v>
      </c>
      <c r="V6683" s="2">
        <f>MASTER[[#This Row],[MONTO VENDIDO]]-MASTER[[#This Row],[COSTO DE VENTA]]</f>
        <v>1365</v>
      </c>
    </row>
    <row r="6684" spans="1:22" x14ac:dyDescent="0.3">
      <c r="A6684">
        <v>94546</v>
      </c>
      <c r="B6684">
        <v>1</v>
      </c>
      <c r="C6684" t="s">
        <v>94</v>
      </c>
      <c r="D6684" t="s">
        <v>95</v>
      </c>
      <c r="E6684" s="1">
        <v>44544</v>
      </c>
      <c r="F6684">
        <v>1</v>
      </c>
      <c r="G6684" t="s">
        <v>27</v>
      </c>
      <c r="H6684" t="s">
        <v>28</v>
      </c>
      <c r="I6684" s="3">
        <v>1048</v>
      </c>
      <c r="J6684" s="3">
        <v>1048</v>
      </c>
      <c r="K6684" s="3">
        <v>392</v>
      </c>
      <c r="L6684" t="s">
        <v>9</v>
      </c>
      <c r="M6684">
        <v>8</v>
      </c>
      <c r="N6684" t="s">
        <v>80</v>
      </c>
      <c r="O6684" t="s">
        <v>81</v>
      </c>
      <c r="P6684" t="s">
        <v>12</v>
      </c>
      <c r="Q6684" t="s">
        <v>13</v>
      </c>
      <c r="R6684" t="s">
        <v>13</v>
      </c>
      <c r="S6684" t="s">
        <v>144</v>
      </c>
      <c r="T6684" s="2">
        <f>MASTER[[#This Row],[CANTIDAD]]*MASTER[[#This Row],[PRECIO DE VENTA]]</f>
        <v>1048</v>
      </c>
      <c r="U6684" s="2">
        <f>MASTER[[#This Row],[CANTIDAD]]*MASTER[[#This Row],[COSTO UNITARIO]]</f>
        <v>392</v>
      </c>
      <c r="V6684" s="2">
        <f>MASTER[[#This Row],[MONTO VENDIDO]]-MASTER[[#This Row],[COSTO DE VENTA]]</f>
        <v>656</v>
      </c>
    </row>
    <row r="6685" spans="1:22" x14ac:dyDescent="0.3">
      <c r="A6685">
        <v>94552</v>
      </c>
      <c r="B6685">
        <v>1</v>
      </c>
      <c r="C6685" t="s">
        <v>107</v>
      </c>
      <c r="D6685" t="s">
        <v>108</v>
      </c>
      <c r="E6685" s="1">
        <v>44545</v>
      </c>
      <c r="F6685">
        <v>1</v>
      </c>
      <c r="G6685" t="s">
        <v>39</v>
      </c>
      <c r="H6685" t="s">
        <v>40</v>
      </c>
      <c r="I6685" s="3">
        <v>1440</v>
      </c>
      <c r="J6685" s="3">
        <v>1440</v>
      </c>
      <c r="K6685" s="3">
        <v>380</v>
      </c>
      <c r="L6685" t="s">
        <v>98</v>
      </c>
      <c r="M6685">
        <v>1</v>
      </c>
      <c r="N6685" t="s">
        <v>77</v>
      </c>
      <c r="O6685" t="s">
        <v>70</v>
      </c>
      <c r="P6685" t="s">
        <v>71</v>
      </c>
      <c r="Q6685" t="s">
        <v>72</v>
      </c>
      <c r="R6685" t="s">
        <v>139</v>
      </c>
      <c r="S6685" t="s">
        <v>144</v>
      </c>
      <c r="T6685" s="2">
        <f>MASTER[[#This Row],[CANTIDAD]]*MASTER[[#This Row],[PRECIO DE VENTA]]</f>
        <v>1440</v>
      </c>
      <c r="U6685" s="2">
        <f>MASTER[[#This Row],[CANTIDAD]]*MASTER[[#This Row],[COSTO UNITARIO]]</f>
        <v>380</v>
      </c>
      <c r="V6685" s="2">
        <f>MASTER[[#This Row],[MONTO VENDIDO]]-MASTER[[#This Row],[COSTO DE VENTA]]</f>
        <v>1060</v>
      </c>
    </row>
    <row r="6686" spans="1:22" x14ac:dyDescent="0.3">
      <c r="A6686">
        <v>94587</v>
      </c>
      <c r="B6686">
        <v>1</v>
      </c>
      <c r="C6686" t="s">
        <v>5</v>
      </c>
      <c r="D6686" t="s">
        <v>6</v>
      </c>
      <c r="E6686" s="1">
        <v>44553</v>
      </c>
      <c r="F6686">
        <v>1</v>
      </c>
      <c r="G6686" t="s">
        <v>63</v>
      </c>
      <c r="H6686" t="s">
        <v>64</v>
      </c>
      <c r="I6686" s="3">
        <v>1296</v>
      </c>
      <c r="J6686" s="3">
        <v>1296</v>
      </c>
      <c r="K6686" s="3">
        <v>393</v>
      </c>
      <c r="L6686" t="s">
        <v>9</v>
      </c>
      <c r="M6686">
        <v>9</v>
      </c>
      <c r="N6686" t="s">
        <v>76</v>
      </c>
      <c r="O6686" t="s">
        <v>70</v>
      </c>
      <c r="P6686" t="s">
        <v>12</v>
      </c>
      <c r="Q6686" t="s">
        <v>13</v>
      </c>
      <c r="R6686" t="s">
        <v>13</v>
      </c>
      <c r="S6686" t="s">
        <v>144</v>
      </c>
      <c r="T6686" s="2">
        <f>MASTER[[#This Row],[CANTIDAD]]*MASTER[[#This Row],[PRECIO DE VENTA]]</f>
        <v>1296</v>
      </c>
      <c r="U6686" s="2">
        <f>MASTER[[#This Row],[CANTIDAD]]*MASTER[[#This Row],[COSTO UNITARIO]]</f>
        <v>393</v>
      </c>
      <c r="V6686" s="2">
        <f>MASTER[[#This Row],[MONTO VENDIDO]]-MASTER[[#This Row],[COSTO DE VENTA]]</f>
        <v>903</v>
      </c>
    </row>
    <row r="6687" spans="1:22" x14ac:dyDescent="0.3">
      <c r="A6687">
        <v>94677</v>
      </c>
      <c r="B6687">
        <v>1</v>
      </c>
      <c r="C6687" t="s">
        <v>107</v>
      </c>
      <c r="D6687" t="s">
        <v>108</v>
      </c>
      <c r="E6687" s="1">
        <v>44558</v>
      </c>
      <c r="F6687">
        <v>1</v>
      </c>
      <c r="G6687" t="s">
        <v>39</v>
      </c>
      <c r="H6687" t="s">
        <v>40</v>
      </c>
      <c r="I6687" s="3">
        <v>1333</v>
      </c>
      <c r="J6687" s="3">
        <v>1333</v>
      </c>
      <c r="K6687" s="3">
        <v>380</v>
      </c>
      <c r="L6687" t="s">
        <v>98</v>
      </c>
      <c r="M6687">
        <v>14</v>
      </c>
      <c r="N6687" t="s">
        <v>87</v>
      </c>
      <c r="O6687" t="s">
        <v>81</v>
      </c>
      <c r="P6687" t="s">
        <v>18</v>
      </c>
      <c r="Q6687" t="s">
        <v>19</v>
      </c>
      <c r="R6687" t="s">
        <v>138</v>
      </c>
      <c r="S6687" t="s">
        <v>144</v>
      </c>
      <c r="T6687" s="2">
        <f>MASTER[[#This Row],[CANTIDAD]]*MASTER[[#This Row],[PRECIO DE VENTA]]</f>
        <v>1333</v>
      </c>
      <c r="U6687" s="2">
        <f>MASTER[[#This Row],[CANTIDAD]]*MASTER[[#This Row],[COSTO UNITARIO]]</f>
        <v>380</v>
      </c>
      <c r="V6687" s="2">
        <f>MASTER[[#This Row],[MONTO VENDIDO]]-MASTER[[#This Row],[COSTO DE VENTA]]</f>
        <v>953</v>
      </c>
    </row>
    <row r="6688" spans="1:22" x14ac:dyDescent="0.3">
      <c r="A6688">
        <v>94750</v>
      </c>
      <c r="B6688">
        <v>1</v>
      </c>
      <c r="C6688" t="s">
        <v>103</v>
      </c>
      <c r="D6688" t="s">
        <v>104</v>
      </c>
      <c r="E6688" s="1">
        <v>44545</v>
      </c>
      <c r="F6688">
        <v>4</v>
      </c>
      <c r="G6688" t="s">
        <v>29</v>
      </c>
      <c r="H6688" t="s">
        <v>30</v>
      </c>
      <c r="I6688" s="3">
        <v>1448</v>
      </c>
      <c r="J6688" s="3">
        <v>1448</v>
      </c>
      <c r="K6688" s="3">
        <v>421</v>
      </c>
      <c r="L6688" t="s">
        <v>98</v>
      </c>
      <c r="M6688">
        <v>16</v>
      </c>
      <c r="N6688" t="s">
        <v>17</v>
      </c>
      <c r="O6688" t="s">
        <v>11</v>
      </c>
      <c r="P6688" t="s">
        <v>18</v>
      </c>
      <c r="Q6688" t="s">
        <v>19</v>
      </c>
      <c r="R6688" t="s">
        <v>138</v>
      </c>
      <c r="S6688" t="s">
        <v>144</v>
      </c>
      <c r="T6688" s="2">
        <f>MASTER[[#This Row],[CANTIDAD]]*MASTER[[#This Row],[PRECIO DE VENTA]]</f>
        <v>5792</v>
      </c>
      <c r="U6688" s="2">
        <f>MASTER[[#This Row],[CANTIDAD]]*MASTER[[#This Row],[COSTO UNITARIO]]</f>
        <v>1684</v>
      </c>
      <c r="V6688" s="2">
        <f>MASTER[[#This Row],[MONTO VENDIDO]]-MASTER[[#This Row],[COSTO DE VENTA]]</f>
        <v>4108</v>
      </c>
    </row>
    <row r="6689" spans="1:22" x14ac:dyDescent="0.3">
      <c r="A6689">
        <v>94805</v>
      </c>
      <c r="B6689">
        <v>1</v>
      </c>
      <c r="C6689" t="s">
        <v>94</v>
      </c>
      <c r="D6689" t="s">
        <v>95</v>
      </c>
      <c r="E6689" s="1">
        <v>44553</v>
      </c>
      <c r="F6689">
        <v>1</v>
      </c>
      <c r="G6689" t="s">
        <v>67</v>
      </c>
      <c r="H6689" t="s">
        <v>68</v>
      </c>
      <c r="I6689" s="3">
        <v>901</v>
      </c>
      <c r="J6689" s="3">
        <v>901</v>
      </c>
      <c r="K6689" s="3">
        <v>392</v>
      </c>
      <c r="L6689" t="s">
        <v>9</v>
      </c>
      <c r="M6689">
        <v>16</v>
      </c>
      <c r="N6689" t="s">
        <v>17</v>
      </c>
      <c r="O6689" t="s">
        <v>11</v>
      </c>
      <c r="P6689" t="s">
        <v>18</v>
      </c>
      <c r="Q6689" t="s">
        <v>19</v>
      </c>
      <c r="R6689" t="s">
        <v>138</v>
      </c>
      <c r="S6689" t="s">
        <v>144</v>
      </c>
      <c r="T6689" s="2">
        <f>MASTER[[#This Row],[CANTIDAD]]*MASTER[[#This Row],[PRECIO DE VENTA]]</f>
        <v>901</v>
      </c>
      <c r="U6689" s="2">
        <f>MASTER[[#This Row],[CANTIDAD]]*MASTER[[#This Row],[COSTO UNITARIO]]</f>
        <v>392</v>
      </c>
      <c r="V6689" s="2">
        <f>MASTER[[#This Row],[MONTO VENDIDO]]-MASTER[[#This Row],[COSTO DE VENTA]]</f>
        <v>509</v>
      </c>
    </row>
    <row r="6690" spans="1:22" x14ac:dyDescent="0.3">
      <c r="A6690">
        <v>94838</v>
      </c>
      <c r="B6690">
        <v>1</v>
      </c>
      <c r="C6690" t="s">
        <v>103</v>
      </c>
      <c r="D6690" t="s">
        <v>104</v>
      </c>
      <c r="E6690" s="1">
        <v>44549</v>
      </c>
      <c r="F6690">
        <v>1</v>
      </c>
      <c r="G6690" t="s">
        <v>65</v>
      </c>
      <c r="H6690" t="s">
        <v>66</v>
      </c>
      <c r="I6690" s="3">
        <v>1591</v>
      </c>
      <c r="J6690" s="3">
        <v>1495</v>
      </c>
      <c r="K6690" s="3">
        <v>421</v>
      </c>
      <c r="L6690" t="s">
        <v>98</v>
      </c>
      <c r="M6690">
        <v>5</v>
      </c>
      <c r="N6690" t="s">
        <v>85</v>
      </c>
      <c r="O6690" t="s">
        <v>81</v>
      </c>
      <c r="P6690" t="s">
        <v>12</v>
      </c>
      <c r="Q6690" t="s">
        <v>13</v>
      </c>
      <c r="R6690" t="s">
        <v>13</v>
      </c>
      <c r="S6690" t="s">
        <v>144</v>
      </c>
      <c r="T6690" s="2">
        <f>MASTER[[#This Row],[CANTIDAD]]*MASTER[[#This Row],[PRECIO DE VENTA]]</f>
        <v>1495</v>
      </c>
      <c r="U6690" s="2">
        <f>MASTER[[#This Row],[CANTIDAD]]*MASTER[[#This Row],[COSTO UNITARIO]]</f>
        <v>421</v>
      </c>
      <c r="V6690" s="2">
        <f>MASTER[[#This Row],[MONTO VENDIDO]]-MASTER[[#This Row],[COSTO DE VENTA]]</f>
        <v>1074</v>
      </c>
    </row>
    <row r="6691" spans="1:22" x14ac:dyDescent="0.3">
      <c r="A6691">
        <v>95008</v>
      </c>
      <c r="B6691">
        <v>1</v>
      </c>
      <c r="C6691" t="s">
        <v>94</v>
      </c>
      <c r="D6691" t="s">
        <v>95</v>
      </c>
      <c r="E6691" s="1">
        <v>44551</v>
      </c>
      <c r="F6691">
        <v>1</v>
      </c>
      <c r="G6691" t="s">
        <v>39</v>
      </c>
      <c r="H6691" t="s">
        <v>40</v>
      </c>
      <c r="I6691" s="3">
        <v>1048</v>
      </c>
      <c r="J6691" s="3">
        <v>1048</v>
      </c>
      <c r="K6691" s="3">
        <v>392</v>
      </c>
      <c r="L6691" t="s">
        <v>9</v>
      </c>
      <c r="M6691">
        <v>5</v>
      </c>
      <c r="N6691" t="s">
        <v>85</v>
      </c>
      <c r="O6691" t="s">
        <v>81</v>
      </c>
      <c r="P6691" t="s">
        <v>12</v>
      </c>
      <c r="Q6691" t="s">
        <v>13</v>
      </c>
      <c r="R6691" t="s">
        <v>13</v>
      </c>
      <c r="S6691" t="s">
        <v>144</v>
      </c>
      <c r="T6691" s="2">
        <f>MASTER[[#This Row],[CANTIDAD]]*MASTER[[#This Row],[PRECIO DE VENTA]]</f>
        <v>1048</v>
      </c>
      <c r="U6691" s="2">
        <f>MASTER[[#This Row],[CANTIDAD]]*MASTER[[#This Row],[COSTO UNITARIO]]</f>
        <v>392</v>
      </c>
      <c r="V6691" s="2">
        <f>MASTER[[#This Row],[MONTO VENDIDO]]-MASTER[[#This Row],[COSTO DE VENTA]]</f>
        <v>656</v>
      </c>
    </row>
    <row r="6692" spans="1:22" x14ac:dyDescent="0.3">
      <c r="A6692">
        <v>95037</v>
      </c>
      <c r="B6692">
        <v>1</v>
      </c>
      <c r="C6692" t="s">
        <v>5</v>
      </c>
      <c r="D6692" t="s">
        <v>6</v>
      </c>
      <c r="E6692" s="1">
        <v>44547</v>
      </c>
      <c r="F6692">
        <v>1</v>
      </c>
      <c r="G6692" t="s">
        <v>55</v>
      </c>
      <c r="H6692" t="s">
        <v>56</v>
      </c>
      <c r="I6692" s="3">
        <v>1507</v>
      </c>
      <c r="J6692" s="3">
        <v>1507</v>
      </c>
      <c r="K6692" s="3">
        <v>393</v>
      </c>
      <c r="L6692" t="s">
        <v>9</v>
      </c>
      <c r="M6692">
        <v>10</v>
      </c>
      <c r="N6692" t="s">
        <v>83</v>
      </c>
      <c r="O6692" t="s">
        <v>81</v>
      </c>
      <c r="P6692" t="s">
        <v>12</v>
      </c>
      <c r="Q6692" t="s">
        <v>13</v>
      </c>
      <c r="R6692" t="s">
        <v>13</v>
      </c>
      <c r="S6692" t="s">
        <v>144</v>
      </c>
      <c r="T6692" s="2">
        <f>MASTER[[#This Row],[CANTIDAD]]*MASTER[[#This Row],[PRECIO DE VENTA]]</f>
        <v>1507</v>
      </c>
      <c r="U6692" s="2">
        <f>MASTER[[#This Row],[CANTIDAD]]*MASTER[[#This Row],[COSTO UNITARIO]]</f>
        <v>393</v>
      </c>
      <c r="V6692" s="2">
        <f>MASTER[[#This Row],[MONTO VENDIDO]]-MASTER[[#This Row],[COSTO DE VENTA]]</f>
        <v>1114</v>
      </c>
    </row>
    <row r="6693" spans="1:22" x14ac:dyDescent="0.3">
      <c r="A6693">
        <v>95097</v>
      </c>
      <c r="B6693">
        <v>1</v>
      </c>
      <c r="C6693" t="s">
        <v>114</v>
      </c>
      <c r="D6693" t="s">
        <v>115</v>
      </c>
      <c r="E6693" s="1">
        <v>44545</v>
      </c>
      <c r="F6693">
        <v>1</v>
      </c>
      <c r="G6693" t="s">
        <v>61</v>
      </c>
      <c r="H6693" t="s">
        <v>62</v>
      </c>
      <c r="I6693" s="3">
        <v>2030</v>
      </c>
      <c r="J6693" s="3">
        <v>1847</v>
      </c>
      <c r="K6693" s="3">
        <v>394</v>
      </c>
      <c r="L6693" t="s">
        <v>113</v>
      </c>
      <c r="M6693">
        <v>6</v>
      </c>
      <c r="N6693" t="s">
        <v>75</v>
      </c>
      <c r="O6693" t="s">
        <v>70</v>
      </c>
      <c r="P6693" t="s">
        <v>12</v>
      </c>
      <c r="Q6693" t="s">
        <v>13</v>
      </c>
      <c r="R6693" t="s">
        <v>13</v>
      </c>
      <c r="S6693" t="s">
        <v>144</v>
      </c>
      <c r="T6693" s="2">
        <f>MASTER[[#This Row],[CANTIDAD]]*MASTER[[#This Row],[PRECIO DE VENTA]]</f>
        <v>1847</v>
      </c>
      <c r="U6693" s="2">
        <f>MASTER[[#This Row],[CANTIDAD]]*MASTER[[#This Row],[COSTO UNITARIO]]</f>
        <v>394</v>
      </c>
      <c r="V6693" s="2">
        <f>MASTER[[#This Row],[MONTO VENDIDO]]-MASTER[[#This Row],[COSTO DE VENTA]]</f>
        <v>1453</v>
      </c>
    </row>
    <row r="6694" spans="1:22" x14ac:dyDescent="0.3">
      <c r="A6694">
        <v>95168</v>
      </c>
      <c r="B6694">
        <v>1</v>
      </c>
      <c r="C6694" t="s">
        <v>103</v>
      </c>
      <c r="D6694" t="s">
        <v>104</v>
      </c>
      <c r="E6694" s="1">
        <v>44547</v>
      </c>
      <c r="F6694">
        <v>1</v>
      </c>
      <c r="G6694" t="s">
        <v>57</v>
      </c>
      <c r="H6694" t="s">
        <v>58</v>
      </c>
      <c r="I6694" s="3">
        <v>1591</v>
      </c>
      <c r="J6694" s="3">
        <v>1463</v>
      </c>
      <c r="K6694" s="3">
        <v>421</v>
      </c>
      <c r="L6694" t="s">
        <v>98</v>
      </c>
      <c r="M6694">
        <v>5</v>
      </c>
      <c r="N6694" t="s">
        <v>85</v>
      </c>
      <c r="O6694" t="s">
        <v>81</v>
      </c>
      <c r="P6694" t="s">
        <v>12</v>
      </c>
      <c r="Q6694" t="s">
        <v>13</v>
      </c>
      <c r="R6694" t="s">
        <v>13</v>
      </c>
      <c r="S6694" t="s">
        <v>144</v>
      </c>
      <c r="T6694" s="2">
        <f>MASTER[[#This Row],[CANTIDAD]]*MASTER[[#This Row],[PRECIO DE VENTA]]</f>
        <v>1463</v>
      </c>
      <c r="U6694" s="2">
        <f>MASTER[[#This Row],[CANTIDAD]]*MASTER[[#This Row],[COSTO UNITARIO]]</f>
        <v>421</v>
      </c>
      <c r="V6694" s="2">
        <f>MASTER[[#This Row],[MONTO VENDIDO]]-MASTER[[#This Row],[COSTO DE VENTA]]</f>
        <v>1042</v>
      </c>
    </row>
    <row r="6695" spans="1:22" x14ac:dyDescent="0.3">
      <c r="A6695">
        <v>95238</v>
      </c>
      <c r="B6695">
        <v>1</v>
      </c>
      <c r="C6695" t="s">
        <v>105</v>
      </c>
      <c r="D6695" t="s">
        <v>106</v>
      </c>
      <c r="E6695" s="1">
        <v>44558</v>
      </c>
      <c r="F6695">
        <v>1</v>
      </c>
      <c r="G6695" t="s">
        <v>47</v>
      </c>
      <c r="H6695" t="s">
        <v>48</v>
      </c>
      <c r="I6695" s="3">
        <v>1865</v>
      </c>
      <c r="J6695" s="3">
        <v>1865</v>
      </c>
      <c r="K6695" s="3">
        <v>459</v>
      </c>
      <c r="L6695" t="s">
        <v>98</v>
      </c>
      <c r="M6695">
        <v>4</v>
      </c>
      <c r="N6695" t="s">
        <v>82</v>
      </c>
      <c r="O6695" t="s">
        <v>81</v>
      </c>
      <c r="P6695" t="s">
        <v>71</v>
      </c>
      <c r="Q6695" t="s">
        <v>72</v>
      </c>
      <c r="R6695" t="s">
        <v>139</v>
      </c>
      <c r="S6695" t="s">
        <v>144</v>
      </c>
      <c r="T6695" s="2">
        <f>MASTER[[#This Row],[CANTIDAD]]*MASTER[[#This Row],[PRECIO DE VENTA]]</f>
        <v>1865</v>
      </c>
      <c r="U6695" s="2">
        <f>MASTER[[#This Row],[CANTIDAD]]*MASTER[[#This Row],[COSTO UNITARIO]]</f>
        <v>459</v>
      </c>
      <c r="V6695" s="2">
        <f>MASTER[[#This Row],[MONTO VENDIDO]]-MASTER[[#This Row],[COSTO DE VENTA]]</f>
        <v>1406</v>
      </c>
    </row>
    <row r="6696" spans="1:22" x14ac:dyDescent="0.3">
      <c r="A6696">
        <v>95273</v>
      </c>
      <c r="B6696">
        <v>1</v>
      </c>
      <c r="C6696" t="s">
        <v>5</v>
      </c>
      <c r="D6696" t="s">
        <v>6</v>
      </c>
      <c r="E6696" s="1">
        <v>44558</v>
      </c>
      <c r="F6696">
        <v>1</v>
      </c>
      <c r="G6696" t="s">
        <v>24</v>
      </c>
      <c r="H6696" t="s">
        <v>25</v>
      </c>
      <c r="I6696" s="3">
        <v>1296</v>
      </c>
      <c r="J6696" s="3">
        <v>1296</v>
      </c>
      <c r="K6696" s="3">
        <v>393</v>
      </c>
      <c r="L6696" t="s">
        <v>9</v>
      </c>
      <c r="M6696">
        <v>9</v>
      </c>
      <c r="N6696" t="s">
        <v>76</v>
      </c>
      <c r="O6696" t="s">
        <v>70</v>
      </c>
      <c r="P6696" t="s">
        <v>12</v>
      </c>
      <c r="Q6696" t="s">
        <v>13</v>
      </c>
      <c r="R6696" t="s">
        <v>13</v>
      </c>
      <c r="S6696" t="s">
        <v>144</v>
      </c>
      <c r="T6696" s="2">
        <f>MASTER[[#This Row],[CANTIDAD]]*MASTER[[#This Row],[PRECIO DE VENTA]]</f>
        <v>1296</v>
      </c>
      <c r="U6696" s="2">
        <f>MASTER[[#This Row],[CANTIDAD]]*MASTER[[#This Row],[COSTO UNITARIO]]</f>
        <v>393</v>
      </c>
      <c r="V6696" s="2">
        <f>MASTER[[#This Row],[MONTO VENDIDO]]-MASTER[[#This Row],[COSTO DE VENTA]]</f>
        <v>903</v>
      </c>
    </row>
    <row r="6697" spans="1:22" x14ac:dyDescent="0.3">
      <c r="A6697">
        <v>95281</v>
      </c>
      <c r="B6697">
        <v>1</v>
      </c>
      <c r="C6697" t="s">
        <v>101</v>
      </c>
      <c r="D6697" t="s">
        <v>102</v>
      </c>
      <c r="E6697" s="1">
        <v>44554</v>
      </c>
      <c r="F6697">
        <v>1</v>
      </c>
      <c r="G6697" t="s">
        <v>73</v>
      </c>
      <c r="H6697" t="s">
        <v>74</v>
      </c>
      <c r="I6697" s="3">
        <v>1357</v>
      </c>
      <c r="J6697" s="3">
        <v>1357</v>
      </c>
      <c r="K6697" s="3">
        <v>442</v>
      </c>
      <c r="L6697" t="s">
        <v>98</v>
      </c>
      <c r="M6697">
        <v>18</v>
      </c>
      <c r="N6697" t="s">
        <v>79</v>
      </c>
      <c r="O6697" t="s">
        <v>70</v>
      </c>
      <c r="P6697" t="s">
        <v>15</v>
      </c>
      <c r="Q6697" t="s">
        <v>16</v>
      </c>
      <c r="R6697" t="s">
        <v>16</v>
      </c>
      <c r="S6697" t="s">
        <v>144</v>
      </c>
      <c r="T6697" s="2">
        <f>MASTER[[#This Row],[CANTIDAD]]*MASTER[[#This Row],[PRECIO DE VENTA]]</f>
        <v>1357</v>
      </c>
      <c r="U6697" s="2">
        <f>MASTER[[#This Row],[CANTIDAD]]*MASTER[[#This Row],[COSTO UNITARIO]]</f>
        <v>442</v>
      </c>
      <c r="V6697" s="2">
        <f>MASTER[[#This Row],[MONTO VENDIDO]]-MASTER[[#This Row],[COSTO DE VENTA]]</f>
        <v>915</v>
      </c>
    </row>
    <row r="6698" spans="1:22" x14ac:dyDescent="0.3">
      <c r="A6698">
        <v>95383</v>
      </c>
      <c r="B6698">
        <v>1</v>
      </c>
      <c r="C6698" t="s">
        <v>101</v>
      </c>
      <c r="D6698" t="s">
        <v>102</v>
      </c>
      <c r="E6698" s="1">
        <v>44560</v>
      </c>
      <c r="F6698">
        <v>1</v>
      </c>
      <c r="G6698" t="s">
        <v>43</v>
      </c>
      <c r="H6698" t="s">
        <v>44</v>
      </c>
      <c r="I6698" s="3">
        <v>1212</v>
      </c>
      <c r="J6698" s="3">
        <v>1212</v>
      </c>
      <c r="K6698" s="3">
        <v>442</v>
      </c>
      <c r="L6698" t="s">
        <v>98</v>
      </c>
      <c r="M6698">
        <v>15</v>
      </c>
      <c r="N6698" t="s">
        <v>88</v>
      </c>
      <c r="O6698" t="s">
        <v>81</v>
      </c>
      <c r="P6698" t="s">
        <v>18</v>
      </c>
      <c r="Q6698" t="s">
        <v>19</v>
      </c>
      <c r="R6698" t="s">
        <v>138</v>
      </c>
      <c r="S6698" t="s">
        <v>144</v>
      </c>
      <c r="T6698" s="2">
        <f>MASTER[[#This Row],[CANTIDAD]]*MASTER[[#This Row],[PRECIO DE VENTA]]</f>
        <v>1212</v>
      </c>
      <c r="U6698" s="2">
        <f>MASTER[[#This Row],[CANTIDAD]]*MASTER[[#This Row],[COSTO UNITARIO]]</f>
        <v>442</v>
      </c>
      <c r="V6698" s="2">
        <f>MASTER[[#This Row],[MONTO VENDIDO]]-MASTER[[#This Row],[COSTO DE VENTA]]</f>
        <v>770</v>
      </c>
    </row>
    <row r="6699" spans="1:22" x14ac:dyDescent="0.3">
      <c r="A6699">
        <v>95418</v>
      </c>
      <c r="B6699">
        <v>1</v>
      </c>
      <c r="C6699" t="s">
        <v>94</v>
      </c>
      <c r="D6699" t="s">
        <v>95</v>
      </c>
      <c r="E6699" s="1">
        <v>44549</v>
      </c>
      <c r="F6699">
        <v>3</v>
      </c>
      <c r="G6699" t="s">
        <v>73</v>
      </c>
      <c r="H6699" t="s">
        <v>74</v>
      </c>
      <c r="I6699" s="3">
        <v>901</v>
      </c>
      <c r="J6699" s="3">
        <v>901</v>
      </c>
      <c r="K6699" s="3">
        <v>392</v>
      </c>
      <c r="L6699" t="s">
        <v>9</v>
      </c>
      <c r="M6699">
        <v>16</v>
      </c>
      <c r="N6699" t="s">
        <v>17</v>
      </c>
      <c r="O6699" t="s">
        <v>11</v>
      </c>
      <c r="P6699" t="s">
        <v>18</v>
      </c>
      <c r="Q6699" t="s">
        <v>19</v>
      </c>
      <c r="R6699" t="s">
        <v>138</v>
      </c>
      <c r="S6699" t="s">
        <v>144</v>
      </c>
      <c r="T6699" s="2">
        <f>MASTER[[#This Row],[CANTIDAD]]*MASTER[[#This Row],[PRECIO DE VENTA]]</f>
        <v>2703</v>
      </c>
      <c r="U6699" s="2">
        <f>MASTER[[#This Row],[CANTIDAD]]*MASTER[[#This Row],[COSTO UNITARIO]]</f>
        <v>1176</v>
      </c>
      <c r="V6699" s="2">
        <f>MASTER[[#This Row],[MONTO VENDIDO]]-MASTER[[#This Row],[COSTO DE VENTA]]</f>
        <v>1527</v>
      </c>
    </row>
    <row r="6700" spans="1:22" x14ac:dyDescent="0.3">
      <c r="A6700">
        <v>95419</v>
      </c>
      <c r="B6700">
        <v>1</v>
      </c>
      <c r="C6700" t="s">
        <v>121</v>
      </c>
      <c r="D6700" t="s">
        <v>122</v>
      </c>
      <c r="E6700" s="1">
        <v>44559</v>
      </c>
      <c r="F6700">
        <v>3</v>
      </c>
      <c r="G6700" t="s">
        <v>67</v>
      </c>
      <c r="H6700" t="s">
        <v>68</v>
      </c>
      <c r="I6700" s="3">
        <v>1144</v>
      </c>
      <c r="J6700" s="3">
        <v>1144</v>
      </c>
      <c r="K6700" s="3">
        <v>460</v>
      </c>
      <c r="L6700" t="s">
        <v>120</v>
      </c>
      <c r="M6700">
        <v>6</v>
      </c>
      <c r="N6700" t="s">
        <v>75</v>
      </c>
      <c r="O6700" t="s">
        <v>70</v>
      </c>
      <c r="P6700" t="s">
        <v>12</v>
      </c>
      <c r="Q6700" t="s">
        <v>13</v>
      </c>
      <c r="R6700" t="s">
        <v>13</v>
      </c>
      <c r="S6700" t="s">
        <v>144</v>
      </c>
      <c r="T6700" s="2">
        <f>MASTER[[#This Row],[CANTIDAD]]*MASTER[[#This Row],[PRECIO DE VENTA]]</f>
        <v>3432</v>
      </c>
      <c r="U6700" s="2">
        <f>MASTER[[#This Row],[CANTIDAD]]*MASTER[[#This Row],[COSTO UNITARIO]]</f>
        <v>1380</v>
      </c>
      <c r="V6700" s="2">
        <f>MASTER[[#This Row],[MONTO VENDIDO]]-MASTER[[#This Row],[COSTO DE VENTA]]</f>
        <v>2052</v>
      </c>
    </row>
    <row r="6701" spans="1:22" x14ac:dyDescent="0.3">
      <c r="A6701">
        <v>95452</v>
      </c>
      <c r="B6701">
        <v>1</v>
      </c>
      <c r="C6701" t="s">
        <v>105</v>
      </c>
      <c r="D6701" t="s">
        <v>106</v>
      </c>
      <c r="E6701" s="1">
        <v>44554</v>
      </c>
      <c r="F6701">
        <v>1</v>
      </c>
      <c r="G6701" t="s">
        <v>65</v>
      </c>
      <c r="H6701" t="s">
        <v>66</v>
      </c>
      <c r="I6701" s="3">
        <v>2033</v>
      </c>
      <c r="J6701" s="3">
        <v>2033</v>
      </c>
      <c r="K6701" s="3">
        <v>459</v>
      </c>
      <c r="L6701" t="s">
        <v>98</v>
      </c>
      <c r="M6701">
        <v>3</v>
      </c>
      <c r="N6701" t="s">
        <v>69</v>
      </c>
      <c r="O6701" t="s">
        <v>70</v>
      </c>
      <c r="P6701" t="s">
        <v>71</v>
      </c>
      <c r="Q6701" t="s">
        <v>72</v>
      </c>
      <c r="R6701" t="s">
        <v>139</v>
      </c>
      <c r="S6701" t="s">
        <v>144</v>
      </c>
      <c r="T6701" s="2">
        <f>MASTER[[#This Row],[CANTIDAD]]*MASTER[[#This Row],[PRECIO DE VENTA]]</f>
        <v>2033</v>
      </c>
      <c r="U6701" s="2">
        <f>MASTER[[#This Row],[CANTIDAD]]*MASTER[[#This Row],[COSTO UNITARIO]]</f>
        <v>459</v>
      </c>
      <c r="V6701" s="2">
        <f>MASTER[[#This Row],[MONTO VENDIDO]]-MASTER[[#This Row],[COSTO DE VENTA]]</f>
        <v>1574</v>
      </c>
    </row>
    <row r="6702" spans="1:22" x14ac:dyDescent="0.3">
      <c r="A6702">
        <v>95485</v>
      </c>
      <c r="B6702">
        <v>1</v>
      </c>
      <c r="C6702" t="s">
        <v>94</v>
      </c>
      <c r="D6702" t="s">
        <v>95</v>
      </c>
      <c r="E6702" s="1">
        <v>44554</v>
      </c>
      <c r="F6702">
        <v>1</v>
      </c>
      <c r="G6702" t="s">
        <v>7</v>
      </c>
      <c r="H6702" t="s">
        <v>8</v>
      </c>
      <c r="I6702" s="3">
        <v>1153</v>
      </c>
      <c r="J6702" s="3">
        <v>1153</v>
      </c>
      <c r="K6702" s="3">
        <v>392</v>
      </c>
      <c r="L6702" t="s">
        <v>9</v>
      </c>
      <c r="M6702">
        <v>13</v>
      </c>
      <c r="N6702" t="s">
        <v>78</v>
      </c>
      <c r="O6702" t="s">
        <v>70</v>
      </c>
      <c r="P6702" t="s">
        <v>18</v>
      </c>
      <c r="Q6702" t="s">
        <v>19</v>
      </c>
      <c r="R6702" t="s">
        <v>138</v>
      </c>
      <c r="S6702" t="s">
        <v>144</v>
      </c>
      <c r="T6702" s="2">
        <f>MASTER[[#This Row],[CANTIDAD]]*MASTER[[#This Row],[PRECIO DE VENTA]]</f>
        <v>1153</v>
      </c>
      <c r="U6702" s="2">
        <f>MASTER[[#This Row],[CANTIDAD]]*MASTER[[#This Row],[COSTO UNITARIO]]</f>
        <v>392</v>
      </c>
      <c r="V6702" s="2">
        <f>MASTER[[#This Row],[MONTO VENDIDO]]-MASTER[[#This Row],[COSTO DE VENTA]]</f>
        <v>761</v>
      </c>
    </row>
    <row r="6703" spans="1:22" x14ac:dyDescent="0.3">
      <c r="A6703">
        <v>95555</v>
      </c>
      <c r="B6703">
        <v>1</v>
      </c>
      <c r="C6703" t="s">
        <v>92</v>
      </c>
      <c r="D6703" t="s">
        <v>93</v>
      </c>
      <c r="E6703" s="1">
        <v>44548</v>
      </c>
      <c r="F6703">
        <v>1</v>
      </c>
      <c r="G6703" t="s">
        <v>55</v>
      </c>
      <c r="H6703" t="s">
        <v>56</v>
      </c>
      <c r="I6703" s="3">
        <v>1681</v>
      </c>
      <c r="J6703" s="3">
        <v>1681</v>
      </c>
      <c r="K6703" s="3">
        <v>396</v>
      </c>
      <c r="L6703" t="s">
        <v>9</v>
      </c>
      <c r="M6703">
        <v>8</v>
      </c>
      <c r="N6703" t="s">
        <v>80</v>
      </c>
      <c r="O6703" t="s">
        <v>81</v>
      </c>
      <c r="P6703" t="s">
        <v>12</v>
      </c>
      <c r="Q6703" t="s">
        <v>13</v>
      </c>
      <c r="R6703" t="s">
        <v>13</v>
      </c>
      <c r="S6703" t="s">
        <v>144</v>
      </c>
      <c r="T6703" s="2">
        <f>MASTER[[#This Row],[CANTIDAD]]*MASTER[[#This Row],[PRECIO DE VENTA]]</f>
        <v>1681</v>
      </c>
      <c r="U6703" s="2">
        <f>MASTER[[#This Row],[CANTIDAD]]*MASTER[[#This Row],[COSTO UNITARIO]]</f>
        <v>396</v>
      </c>
      <c r="V6703" s="2">
        <f>MASTER[[#This Row],[MONTO VENDIDO]]-MASTER[[#This Row],[COSTO DE VENTA]]</f>
        <v>1285</v>
      </c>
    </row>
    <row r="6704" spans="1:22" x14ac:dyDescent="0.3">
      <c r="A6704">
        <v>95579</v>
      </c>
      <c r="B6704">
        <v>1</v>
      </c>
      <c r="C6704" t="s">
        <v>92</v>
      </c>
      <c r="D6704" t="s">
        <v>93</v>
      </c>
      <c r="E6704" s="1">
        <v>44559</v>
      </c>
      <c r="F6704">
        <v>1</v>
      </c>
      <c r="G6704" t="s">
        <v>55</v>
      </c>
      <c r="H6704" t="s">
        <v>56</v>
      </c>
      <c r="I6704" s="3">
        <v>1681</v>
      </c>
      <c r="J6704" s="3">
        <v>1681</v>
      </c>
      <c r="K6704" s="3">
        <v>396</v>
      </c>
      <c r="L6704" t="s">
        <v>9</v>
      </c>
      <c r="M6704">
        <v>4</v>
      </c>
      <c r="N6704" t="s">
        <v>82</v>
      </c>
      <c r="O6704" t="s">
        <v>81</v>
      </c>
      <c r="P6704" t="s">
        <v>71</v>
      </c>
      <c r="Q6704" t="s">
        <v>72</v>
      </c>
      <c r="R6704" t="s">
        <v>139</v>
      </c>
      <c r="S6704" t="s">
        <v>144</v>
      </c>
      <c r="T6704" s="2">
        <f>MASTER[[#This Row],[CANTIDAD]]*MASTER[[#This Row],[PRECIO DE VENTA]]</f>
        <v>1681</v>
      </c>
      <c r="U6704" s="2">
        <f>MASTER[[#This Row],[CANTIDAD]]*MASTER[[#This Row],[COSTO UNITARIO]]</f>
        <v>396</v>
      </c>
      <c r="V6704" s="2">
        <f>MASTER[[#This Row],[MONTO VENDIDO]]-MASTER[[#This Row],[COSTO DE VENTA]]</f>
        <v>1285</v>
      </c>
    </row>
    <row r="6705" spans="1:22" x14ac:dyDescent="0.3">
      <c r="A6705">
        <v>95623</v>
      </c>
      <c r="B6705">
        <v>1</v>
      </c>
      <c r="C6705" t="s">
        <v>94</v>
      </c>
      <c r="D6705" t="s">
        <v>95</v>
      </c>
      <c r="E6705" s="1">
        <v>44560</v>
      </c>
      <c r="F6705">
        <v>1</v>
      </c>
      <c r="G6705" t="s">
        <v>39</v>
      </c>
      <c r="H6705" t="s">
        <v>40</v>
      </c>
      <c r="I6705" s="3">
        <v>1153</v>
      </c>
      <c r="J6705" s="3">
        <v>1153</v>
      </c>
      <c r="K6705" s="3">
        <v>392</v>
      </c>
      <c r="L6705" t="s">
        <v>9</v>
      </c>
      <c r="M6705">
        <v>6</v>
      </c>
      <c r="N6705" t="s">
        <v>75</v>
      </c>
      <c r="O6705" t="s">
        <v>70</v>
      </c>
      <c r="P6705" t="s">
        <v>12</v>
      </c>
      <c r="Q6705" t="s">
        <v>13</v>
      </c>
      <c r="R6705" t="s">
        <v>13</v>
      </c>
      <c r="S6705" t="s">
        <v>144</v>
      </c>
      <c r="T6705" s="2">
        <f>MASTER[[#This Row],[CANTIDAD]]*MASTER[[#This Row],[PRECIO DE VENTA]]</f>
        <v>1153</v>
      </c>
      <c r="U6705" s="2">
        <f>MASTER[[#This Row],[CANTIDAD]]*MASTER[[#This Row],[COSTO UNITARIO]]</f>
        <v>392</v>
      </c>
      <c r="V6705" s="2">
        <f>MASTER[[#This Row],[MONTO VENDIDO]]-MASTER[[#This Row],[COSTO DE VENTA]]</f>
        <v>761</v>
      </c>
    </row>
    <row r="6706" spans="1:22" x14ac:dyDescent="0.3">
      <c r="A6706">
        <v>95643</v>
      </c>
      <c r="B6706">
        <v>1</v>
      </c>
      <c r="C6706" t="s">
        <v>109</v>
      </c>
      <c r="D6706" t="s">
        <v>110</v>
      </c>
      <c r="E6706" s="1">
        <v>44551</v>
      </c>
      <c r="F6706">
        <v>1</v>
      </c>
      <c r="G6706" t="s">
        <v>20</v>
      </c>
      <c r="H6706" t="s">
        <v>21</v>
      </c>
      <c r="I6706" s="3">
        <v>947</v>
      </c>
      <c r="J6706" s="3">
        <v>947</v>
      </c>
      <c r="K6706" s="3">
        <v>387</v>
      </c>
      <c r="L6706" t="s">
        <v>98</v>
      </c>
      <c r="M6706">
        <v>16</v>
      </c>
      <c r="N6706" t="s">
        <v>17</v>
      </c>
      <c r="O6706" t="s">
        <v>11</v>
      </c>
      <c r="P6706" t="s">
        <v>18</v>
      </c>
      <c r="Q6706" t="s">
        <v>19</v>
      </c>
      <c r="R6706" t="s">
        <v>138</v>
      </c>
      <c r="S6706" t="s">
        <v>144</v>
      </c>
      <c r="T6706" s="2">
        <f>MASTER[[#This Row],[CANTIDAD]]*MASTER[[#This Row],[PRECIO DE VENTA]]</f>
        <v>947</v>
      </c>
      <c r="U6706" s="2">
        <f>MASTER[[#This Row],[CANTIDAD]]*MASTER[[#This Row],[COSTO UNITARIO]]</f>
        <v>387</v>
      </c>
      <c r="V6706" s="2">
        <f>MASTER[[#This Row],[MONTO VENDIDO]]-MASTER[[#This Row],[COSTO DE VENTA]]</f>
        <v>560</v>
      </c>
    </row>
    <row r="6707" spans="1:22" x14ac:dyDescent="0.3">
      <c r="A6707">
        <v>95672</v>
      </c>
      <c r="B6707">
        <v>1</v>
      </c>
      <c r="C6707" t="s">
        <v>103</v>
      </c>
      <c r="D6707" t="s">
        <v>104</v>
      </c>
      <c r="E6707" s="1">
        <v>44550</v>
      </c>
      <c r="F6707">
        <v>1</v>
      </c>
      <c r="G6707" t="s">
        <v>53</v>
      </c>
      <c r="H6707" t="s">
        <v>54</v>
      </c>
      <c r="I6707" s="3">
        <v>1830</v>
      </c>
      <c r="J6707" s="3">
        <v>1830</v>
      </c>
      <c r="K6707" s="3">
        <v>421</v>
      </c>
      <c r="L6707" t="s">
        <v>98</v>
      </c>
      <c r="M6707">
        <v>6</v>
      </c>
      <c r="N6707" t="s">
        <v>75</v>
      </c>
      <c r="O6707" t="s">
        <v>70</v>
      </c>
      <c r="P6707" t="s">
        <v>12</v>
      </c>
      <c r="Q6707" t="s">
        <v>13</v>
      </c>
      <c r="R6707" t="s">
        <v>13</v>
      </c>
      <c r="S6707" t="s">
        <v>144</v>
      </c>
      <c r="T6707" s="2">
        <f>MASTER[[#This Row],[CANTIDAD]]*MASTER[[#This Row],[PRECIO DE VENTA]]</f>
        <v>1830</v>
      </c>
      <c r="U6707" s="2">
        <f>MASTER[[#This Row],[CANTIDAD]]*MASTER[[#This Row],[COSTO UNITARIO]]</f>
        <v>421</v>
      </c>
      <c r="V6707" s="2">
        <f>MASTER[[#This Row],[MONTO VENDIDO]]-MASTER[[#This Row],[COSTO DE VENTA]]</f>
        <v>1409</v>
      </c>
    </row>
    <row r="6708" spans="1:22" x14ac:dyDescent="0.3">
      <c r="A6708">
        <v>95688</v>
      </c>
      <c r="B6708">
        <v>1</v>
      </c>
      <c r="C6708" t="s">
        <v>99</v>
      </c>
      <c r="D6708" t="s">
        <v>100</v>
      </c>
      <c r="E6708" s="1">
        <v>44556</v>
      </c>
      <c r="F6708">
        <v>1</v>
      </c>
      <c r="G6708" t="s">
        <v>39</v>
      </c>
      <c r="H6708" t="s">
        <v>40</v>
      </c>
      <c r="I6708" s="3">
        <v>1328</v>
      </c>
      <c r="J6708" s="3">
        <v>1328</v>
      </c>
      <c r="K6708" s="3">
        <v>386</v>
      </c>
      <c r="L6708" t="s">
        <v>98</v>
      </c>
      <c r="M6708">
        <v>11</v>
      </c>
      <c r="N6708" t="s">
        <v>10</v>
      </c>
      <c r="O6708" t="s">
        <v>11</v>
      </c>
      <c r="P6708" t="s">
        <v>12</v>
      </c>
      <c r="Q6708" t="s">
        <v>13</v>
      </c>
      <c r="R6708" t="s">
        <v>13</v>
      </c>
      <c r="S6708" t="s">
        <v>144</v>
      </c>
      <c r="T6708" s="2">
        <f>MASTER[[#This Row],[CANTIDAD]]*MASTER[[#This Row],[PRECIO DE VENTA]]</f>
        <v>1328</v>
      </c>
      <c r="U6708" s="2">
        <f>MASTER[[#This Row],[CANTIDAD]]*MASTER[[#This Row],[COSTO UNITARIO]]</f>
        <v>386</v>
      </c>
      <c r="V6708" s="2">
        <f>MASTER[[#This Row],[MONTO VENDIDO]]-MASTER[[#This Row],[COSTO DE VENTA]]</f>
        <v>942</v>
      </c>
    </row>
    <row r="6709" spans="1:22" x14ac:dyDescent="0.3">
      <c r="A6709">
        <v>95759</v>
      </c>
      <c r="B6709">
        <v>1</v>
      </c>
      <c r="C6709" t="s">
        <v>114</v>
      </c>
      <c r="D6709" t="s">
        <v>115</v>
      </c>
      <c r="E6709" s="1">
        <v>44557</v>
      </c>
      <c r="F6709">
        <v>1</v>
      </c>
      <c r="G6709" t="s">
        <v>55</v>
      </c>
      <c r="H6709" t="s">
        <v>56</v>
      </c>
      <c r="I6709" s="3">
        <v>1862</v>
      </c>
      <c r="J6709" s="3">
        <v>1750</v>
      </c>
      <c r="K6709" s="3">
        <v>394</v>
      </c>
      <c r="L6709" t="s">
        <v>113</v>
      </c>
      <c r="M6709">
        <v>8</v>
      </c>
      <c r="N6709" t="s">
        <v>80</v>
      </c>
      <c r="O6709" t="s">
        <v>81</v>
      </c>
      <c r="P6709" t="s">
        <v>12</v>
      </c>
      <c r="Q6709" t="s">
        <v>13</v>
      </c>
      <c r="R6709" t="s">
        <v>13</v>
      </c>
      <c r="S6709" t="s">
        <v>144</v>
      </c>
      <c r="T6709" s="2">
        <f>MASTER[[#This Row],[CANTIDAD]]*MASTER[[#This Row],[PRECIO DE VENTA]]</f>
        <v>1750</v>
      </c>
      <c r="U6709" s="2">
        <f>MASTER[[#This Row],[CANTIDAD]]*MASTER[[#This Row],[COSTO UNITARIO]]</f>
        <v>394</v>
      </c>
      <c r="V6709" s="2">
        <f>MASTER[[#This Row],[MONTO VENDIDO]]-MASTER[[#This Row],[COSTO DE VENTA]]</f>
        <v>1356</v>
      </c>
    </row>
    <row r="6710" spans="1:22" x14ac:dyDescent="0.3">
      <c r="A6710">
        <v>95782</v>
      </c>
      <c r="B6710">
        <v>1</v>
      </c>
      <c r="C6710" t="s">
        <v>92</v>
      </c>
      <c r="D6710" t="s">
        <v>93</v>
      </c>
      <c r="E6710" s="1">
        <v>44552</v>
      </c>
      <c r="F6710">
        <v>2</v>
      </c>
      <c r="G6710" t="s">
        <v>41</v>
      </c>
      <c r="H6710" t="s">
        <v>42</v>
      </c>
      <c r="I6710" s="3">
        <v>1866</v>
      </c>
      <c r="J6710" s="3">
        <v>1866</v>
      </c>
      <c r="K6710" s="3">
        <v>396</v>
      </c>
      <c r="L6710" t="s">
        <v>9</v>
      </c>
      <c r="M6710">
        <v>18</v>
      </c>
      <c r="N6710" t="s">
        <v>79</v>
      </c>
      <c r="O6710" t="s">
        <v>70</v>
      </c>
      <c r="P6710" t="s">
        <v>15</v>
      </c>
      <c r="Q6710" t="s">
        <v>16</v>
      </c>
      <c r="R6710" t="s">
        <v>16</v>
      </c>
      <c r="S6710" t="s">
        <v>144</v>
      </c>
      <c r="T6710" s="2">
        <f>MASTER[[#This Row],[CANTIDAD]]*MASTER[[#This Row],[PRECIO DE VENTA]]</f>
        <v>3732</v>
      </c>
      <c r="U6710" s="2">
        <f>MASTER[[#This Row],[CANTIDAD]]*MASTER[[#This Row],[COSTO UNITARIO]]</f>
        <v>792</v>
      </c>
      <c r="V6710" s="2">
        <f>MASTER[[#This Row],[MONTO VENDIDO]]-MASTER[[#This Row],[COSTO DE VENTA]]</f>
        <v>2940</v>
      </c>
    </row>
    <row r="6711" spans="1:22" x14ac:dyDescent="0.3">
      <c r="A6711">
        <v>95807</v>
      </c>
      <c r="B6711">
        <v>1</v>
      </c>
      <c r="C6711" t="s">
        <v>94</v>
      </c>
      <c r="D6711" t="s">
        <v>95</v>
      </c>
      <c r="E6711" s="1">
        <v>44552</v>
      </c>
      <c r="F6711">
        <v>1</v>
      </c>
      <c r="G6711" t="s">
        <v>67</v>
      </c>
      <c r="H6711" t="s">
        <v>68</v>
      </c>
      <c r="I6711" s="3">
        <v>1048</v>
      </c>
      <c r="J6711" s="3">
        <v>1048</v>
      </c>
      <c r="K6711" s="3">
        <v>392</v>
      </c>
      <c r="L6711" t="s">
        <v>9</v>
      </c>
      <c r="M6711">
        <v>14</v>
      </c>
      <c r="N6711" t="s">
        <v>87</v>
      </c>
      <c r="O6711" t="s">
        <v>81</v>
      </c>
      <c r="P6711" t="s">
        <v>18</v>
      </c>
      <c r="Q6711" t="s">
        <v>19</v>
      </c>
      <c r="R6711" t="s">
        <v>138</v>
      </c>
      <c r="S6711" t="s">
        <v>144</v>
      </c>
      <c r="T6711" s="2">
        <f>MASTER[[#This Row],[CANTIDAD]]*MASTER[[#This Row],[PRECIO DE VENTA]]</f>
        <v>1048</v>
      </c>
      <c r="U6711" s="2">
        <f>MASTER[[#This Row],[CANTIDAD]]*MASTER[[#This Row],[COSTO UNITARIO]]</f>
        <v>392</v>
      </c>
      <c r="V6711" s="2">
        <f>MASTER[[#This Row],[MONTO VENDIDO]]-MASTER[[#This Row],[COSTO DE VENTA]]</f>
        <v>656</v>
      </c>
    </row>
    <row r="6712" spans="1:22" x14ac:dyDescent="0.3">
      <c r="A6712">
        <v>95818</v>
      </c>
      <c r="B6712">
        <v>1</v>
      </c>
      <c r="C6712" t="s">
        <v>99</v>
      </c>
      <c r="D6712" t="s">
        <v>100</v>
      </c>
      <c r="E6712" s="1">
        <v>44546</v>
      </c>
      <c r="F6712">
        <v>1</v>
      </c>
      <c r="G6712" t="s">
        <v>47</v>
      </c>
      <c r="H6712" t="s">
        <v>48</v>
      </c>
      <c r="I6712" s="3">
        <v>1459</v>
      </c>
      <c r="J6712" s="3">
        <v>1459</v>
      </c>
      <c r="K6712" s="3">
        <v>386</v>
      </c>
      <c r="L6712" t="s">
        <v>98</v>
      </c>
      <c r="M6712">
        <v>19</v>
      </c>
      <c r="N6712" t="s">
        <v>89</v>
      </c>
      <c r="O6712" t="s">
        <v>81</v>
      </c>
      <c r="P6712" t="s">
        <v>15</v>
      </c>
      <c r="Q6712" t="s">
        <v>16</v>
      </c>
      <c r="R6712" t="s">
        <v>16</v>
      </c>
      <c r="S6712" t="s">
        <v>144</v>
      </c>
      <c r="T6712" s="2">
        <f>MASTER[[#This Row],[CANTIDAD]]*MASTER[[#This Row],[PRECIO DE VENTA]]</f>
        <v>1459</v>
      </c>
      <c r="U6712" s="2">
        <f>MASTER[[#This Row],[CANTIDAD]]*MASTER[[#This Row],[COSTO UNITARIO]]</f>
        <v>386</v>
      </c>
      <c r="V6712" s="2">
        <f>MASTER[[#This Row],[MONTO VENDIDO]]-MASTER[[#This Row],[COSTO DE VENTA]]</f>
        <v>1073</v>
      </c>
    </row>
    <row r="6713" spans="1:22" x14ac:dyDescent="0.3">
      <c r="A6713">
        <v>95826</v>
      </c>
      <c r="B6713">
        <v>1</v>
      </c>
      <c r="C6713" t="s">
        <v>109</v>
      </c>
      <c r="D6713" t="s">
        <v>110</v>
      </c>
      <c r="E6713" s="1">
        <v>44558</v>
      </c>
      <c r="F6713">
        <v>1</v>
      </c>
      <c r="G6713" t="s">
        <v>35</v>
      </c>
      <c r="H6713" t="s">
        <v>36</v>
      </c>
      <c r="I6713" s="3">
        <v>947</v>
      </c>
      <c r="J6713" s="3">
        <v>947</v>
      </c>
      <c r="K6713" s="3">
        <v>387</v>
      </c>
      <c r="L6713" t="s">
        <v>98</v>
      </c>
      <c r="M6713">
        <v>12</v>
      </c>
      <c r="N6713" t="s">
        <v>26</v>
      </c>
      <c r="O6713" t="s">
        <v>11</v>
      </c>
      <c r="P6713" t="s">
        <v>12</v>
      </c>
      <c r="Q6713" t="s">
        <v>13</v>
      </c>
      <c r="R6713" t="s">
        <v>13</v>
      </c>
      <c r="S6713" t="s">
        <v>144</v>
      </c>
      <c r="T6713" s="2">
        <f>MASTER[[#This Row],[CANTIDAD]]*MASTER[[#This Row],[PRECIO DE VENTA]]</f>
        <v>947</v>
      </c>
      <c r="U6713" s="2">
        <f>MASTER[[#This Row],[CANTIDAD]]*MASTER[[#This Row],[COSTO UNITARIO]]</f>
        <v>387</v>
      </c>
      <c r="V6713" s="2">
        <f>MASTER[[#This Row],[MONTO VENDIDO]]-MASTER[[#This Row],[COSTO DE VENTA]]</f>
        <v>560</v>
      </c>
    </row>
    <row r="6714" spans="1:22" x14ac:dyDescent="0.3">
      <c r="A6714">
        <v>95841</v>
      </c>
      <c r="B6714">
        <v>1</v>
      </c>
      <c r="C6714" t="s">
        <v>92</v>
      </c>
      <c r="D6714" t="s">
        <v>93</v>
      </c>
      <c r="E6714" s="1">
        <v>44553</v>
      </c>
      <c r="F6714">
        <v>1</v>
      </c>
      <c r="G6714" t="s">
        <v>29</v>
      </c>
      <c r="H6714" t="s">
        <v>30</v>
      </c>
      <c r="I6714" s="3">
        <v>1681</v>
      </c>
      <c r="J6714" s="3">
        <v>1681</v>
      </c>
      <c r="K6714" s="3">
        <v>396</v>
      </c>
      <c r="L6714" t="s">
        <v>9</v>
      </c>
      <c r="M6714">
        <v>19</v>
      </c>
      <c r="N6714" t="s">
        <v>89</v>
      </c>
      <c r="O6714" t="s">
        <v>81</v>
      </c>
      <c r="P6714" t="s">
        <v>15</v>
      </c>
      <c r="Q6714" t="s">
        <v>16</v>
      </c>
      <c r="R6714" t="s">
        <v>16</v>
      </c>
      <c r="S6714" t="s">
        <v>144</v>
      </c>
      <c r="T6714" s="2">
        <f>MASTER[[#This Row],[CANTIDAD]]*MASTER[[#This Row],[PRECIO DE VENTA]]</f>
        <v>1681</v>
      </c>
      <c r="U6714" s="2">
        <f>MASTER[[#This Row],[CANTIDAD]]*MASTER[[#This Row],[COSTO UNITARIO]]</f>
        <v>396</v>
      </c>
      <c r="V6714" s="2">
        <f>MASTER[[#This Row],[MONTO VENDIDO]]-MASTER[[#This Row],[COSTO DE VENTA]]</f>
        <v>1285</v>
      </c>
    </row>
    <row r="6715" spans="1:22" x14ac:dyDescent="0.3">
      <c r="A6715">
        <v>95853</v>
      </c>
      <c r="B6715">
        <v>1</v>
      </c>
      <c r="C6715" t="s">
        <v>5</v>
      </c>
      <c r="D6715" t="s">
        <v>6</v>
      </c>
      <c r="E6715" s="1">
        <v>44556</v>
      </c>
      <c r="F6715">
        <v>1</v>
      </c>
      <c r="G6715" t="s">
        <v>47</v>
      </c>
      <c r="H6715" t="s">
        <v>48</v>
      </c>
      <c r="I6715" s="3">
        <v>1507</v>
      </c>
      <c r="J6715" s="3">
        <v>1507</v>
      </c>
      <c r="K6715" s="3">
        <v>393</v>
      </c>
      <c r="L6715" t="s">
        <v>9</v>
      </c>
      <c r="M6715">
        <v>19</v>
      </c>
      <c r="N6715" t="s">
        <v>89</v>
      </c>
      <c r="O6715" t="s">
        <v>81</v>
      </c>
      <c r="P6715" t="s">
        <v>15</v>
      </c>
      <c r="Q6715" t="s">
        <v>16</v>
      </c>
      <c r="R6715" t="s">
        <v>16</v>
      </c>
      <c r="S6715" t="s">
        <v>144</v>
      </c>
      <c r="T6715" s="2">
        <f>MASTER[[#This Row],[CANTIDAD]]*MASTER[[#This Row],[PRECIO DE VENTA]]</f>
        <v>1507</v>
      </c>
      <c r="U6715" s="2">
        <f>MASTER[[#This Row],[CANTIDAD]]*MASTER[[#This Row],[COSTO UNITARIO]]</f>
        <v>393</v>
      </c>
      <c r="V6715" s="2">
        <f>MASTER[[#This Row],[MONTO VENDIDO]]-MASTER[[#This Row],[COSTO DE VENTA]]</f>
        <v>1114</v>
      </c>
    </row>
    <row r="6716" spans="1:22" x14ac:dyDescent="0.3">
      <c r="A6716">
        <v>96034</v>
      </c>
      <c r="B6716">
        <v>1</v>
      </c>
      <c r="C6716" t="s">
        <v>105</v>
      </c>
      <c r="D6716" t="s">
        <v>106</v>
      </c>
      <c r="E6716" s="1">
        <v>44551</v>
      </c>
      <c r="F6716">
        <v>4</v>
      </c>
      <c r="G6716" t="s">
        <v>57</v>
      </c>
      <c r="H6716" t="s">
        <v>58</v>
      </c>
      <c r="I6716" s="3">
        <v>1865</v>
      </c>
      <c r="J6716" s="3">
        <v>1865</v>
      </c>
      <c r="K6716" s="3">
        <v>459</v>
      </c>
      <c r="L6716" t="s">
        <v>98</v>
      </c>
      <c r="M6716">
        <v>15</v>
      </c>
      <c r="N6716" t="s">
        <v>88</v>
      </c>
      <c r="O6716" t="s">
        <v>81</v>
      </c>
      <c r="P6716" t="s">
        <v>18</v>
      </c>
      <c r="Q6716" t="s">
        <v>19</v>
      </c>
      <c r="R6716" t="s">
        <v>138</v>
      </c>
      <c r="S6716" t="s">
        <v>144</v>
      </c>
      <c r="T6716" s="2">
        <f>MASTER[[#This Row],[CANTIDAD]]*MASTER[[#This Row],[PRECIO DE VENTA]]</f>
        <v>7460</v>
      </c>
      <c r="U6716" s="2">
        <f>MASTER[[#This Row],[CANTIDAD]]*MASTER[[#This Row],[COSTO UNITARIO]]</f>
        <v>1836</v>
      </c>
      <c r="V6716" s="2">
        <f>MASTER[[#This Row],[MONTO VENDIDO]]-MASTER[[#This Row],[COSTO DE VENTA]]</f>
        <v>5624</v>
      </c>
    </row>
    <row r="6717" spans="1:22" x14ac:dyDescent="0.3">
      <c r="A6717">
        <v>96114</v>
      </c>
      <c r="B6717">
        <v>1</v>
      </c>
      <c r="C6717" t="s">
        <v>103</v>
      </c>
      <c r="D6717" t="s">
        <v>104</v>
      </c>
      <c r="E6717" s="1">
        <v>44560</v>
      </c>
      <c r="F6717">
        <v>1</v>
      </c>
      <c r="G6717" t="s">
        <v>33</v>
      </c>
      <c r="H6717" t="s">
        <v>34</v>
      </c>
      <c r="I6717" s="3">
        <v>1830</v>
      </c>
      <c r="J6717" s="3">
        <v>1830</v>
      </c>
      <c r="K6717" s="3">
        <v>421</v>
      </c>
      <c r="L6717" t="s">
        <v>98</v>
      </c>
      <c r="M6717">
        <v>13</v>
      </c>
      <c r="N6717" t="s">
        <v>78</v>
      </c>
      <c r="O6717" t="s">
        <v>70</v>
      </c>
      <c r="P6717" t="s">
        <v>18</v>
      </c>
      <c r="Q6717" t="s">
        <v>19</v>
      </c>
      <c r="R6717" t="s">
        <v>138</v>
      </c>
      <c r="S6717" t="s">
        <v>144</v>
      </c>
      <c r="T6717" s="2">
        <f>MASTER[[#This Row],[CANTIDAD]]*MASTER[[#This Row],[PRECIO DE VENTA]]</f>
        <v>1830</v>
      </c>
      <c r="U6717" s="2">
        <f>MASTER[[#This Row],[CANTIDAD]]*MASTER[[#This Row],[COSTO UNITARIO]]</f>
        <v>421</v>
      </c>
      <c r="V6717" s="2">
        <f>MASTER[[#This Row],[MONTO VENDIDO]]-MASTER[[#This Row],[COSTO DE VENTA]]</f>
        <v>1409</v>
      </c>
    </row>
    <row r="6718" spans="1:22" x14ac:dyDescent="0.3">
      <c r="A6718">
        <v>96126</v>
      </c>
      <c r="B6718">
        <v>1</v>
      </c>
      <c r="C6718" t="s">
        <v>114</v>
      </c>
      <c r="D6718" t="s">
        <v>115</v>
      </c>
      <c r="E6718" s="1">
        <v>44551</v>
      </c>
      <c r="F6718">
        <v>1</v>
      </c>
      <c r="G6718" t="s">
        <v>65</v>
      </c>
      <c r="H6718" t="s">
        <v>66</v>
      </c>
      <c r="I6718" s="3">
        <v>1862</v>
      </c>
      <c r="J6718" s="3">
        <v>1862</v>
      </c>
      <c r="K6718" s="3">
        <v>394</v>
      </c>
      <c r="L6718" t="s">
        <v>113</v>
      </c>
      <c r="M6718">
        <v>19</v>
      </c>
      <c r="N6718" t="s">
        <v>89</v>
      </c>
      <c r="O6718" t="s">
        <v>81</v>
      </c>
      <c r="P6718" t="s">
        <v>15</v>
      </c>
      <c r="Q6718" t="s">
        <v>16</v>
      </c>
      <c r="R6718" t="s">
        <v>16</v>
      </c>
      <c r="S6718" t="s">
        <v>144</v>
      </c>
      <c r="T6718" s="2">
        <f>MASTER[[#This Row],[CANTIDAD]]*MASTER[[#This Row],[PRECIO DE VENTA]]</f>
        <v>1862</v>
      </c>
      <c r="U6718" s="2">
        <f>MASTER[[#This Row],[CANTIDAD]]*MASTER[[#This Row],[COSTO UNITARIO]]</f>
        <v>394</v>
      </c>
      <c r="V6718" s="2">
        <f>MASTER[[#This Row],[MONTO VENDIDO]]-MASTER[[#This Row],[COSTO DE VENTA]]</f>
        <v>1468</v>
      </c>
    </row>
    <row r="6719" spans="1:22" x14ac:dyDescent="0.3">
      <c r="A6719">
        <v>96204</v>
      </c>
      <c r="B6719">
        <v>1</v>
      </c>
      <c r="C6719" t="s">
        <v>105</v>
      </c>
      <c r="D6719" t="s">
        <v>106</v>
      </c>
      <c r="E6719" s="1">
        <v>44548</v>
      </c>
      <c r="F6719">
        <v>1</v>
      </c>
      <c r="G6719" t="s">
        <v>29</v>
      </c>
      <c r="H6719" t="s">
        <v>30</v>
      </c>
      <c r="I6719" s="3">
        <v>1865</v>
      </c>
      <c r="J6719" s="3">
        <v>1865</v>
      </c>
      <c r="K6719" s="3">
        <v>459</v>
      </c>
      <c r="L6719" t="s">
        <v>98</v>
      </c>
      <c r="M6719">
        <v>8</v>
      </c>
      <c r="N6719" t="s">
        <v>80</v>
      </c>
      <c r="O6719" t="s">
        <v>81</v>
      </c>
      <c r="P6719" t="s">
        <v>12</v>
      </c>
      <c r="Q6719" t="s">
        <v>13</v>
      </c>
      <c r="R6719" t="s">
        <v>13</v>
      </c>
      <c r="S6719" t="s">
        <v>144</v>
      </c>
      <c r="T6719" s="2">
        <f>MASTER[[#This Row],[CANTIDAD]]*MASTER[[#This Row],[PRECIO DE VENTA]]</f>
        <v>1865</v>
      </c>
      <c r="U6719" s="2">
        <f>MASTER[[#This Row],[CANTIDAD]]*MASTER[[#This Row],[COSTO UNITARIO]]</f>
        <v>459</v>
      </c>
      <c r="V6719" s="2">
        <f>MASTER[[#This Row],[MONTO VENDIDO]]-MASTER[[#This Row],[COSTO DE VENTA]]</f>
        <v>1406</v>
      </c>
    </row>
    <row r="6720" spans="1:22" x14ac:dyDescent="0.3">
      <c r="A6720">
        <v>96224</v>
      </c>
      <c r="B6720">
        <v>1</v>
      </c>
      <c r="C6720" t="s">
        <v>101</v>
      </c>
      <c r="D6720" t="s">
        <v>102</v>
      </c>
      <c r="E6720" s="1">
        <v>44548</v>
      </c>
      <c r="F6720">
        <v>1</v>
      </c>
      <c r="G6720" t="s">
        <v>73</v>
      </c>
      <c r="H6720" t="s">
        <v>74</v>
      </c>
      <c r="I6720" s="3">
        <v>1212</v>
      </c>
      <c r="J6720" s="3">
        <v>1212</v>
      </c>
      <c r="K6720" s="3">
        <v>442</v>
      </c>
      <c r="L6720" t="s">
        <v>98</v>
      </c>
      <c r="M6720">
        <v>19</v>
      </c>
      <c r="N6720" t="s">
        <v>89</v>
      </c>
      <c r="O6720" t="s">
        <v>81</v>
      </c>
      <c r="P6720" t="s">
        <v>15</v>
      </c>
      <c r="Q6720" t="s">
        <v>16</v>
      </c>
      <c r="R6720" t="s">
        <v>16</v>
      </c>
      <c r="S6720" t="s">
        <v>144</v>
      </c>
      <c r="T6720" s="2">
        <f>MASTER[[#This Row],[CANTIDAD]]*MASTER[[#This Row],[PRECIO DE VENTA]]</f>
        <v>1212</v>
      </c>
      <c r="U6720" s="2">
        <f>MASTER[[#This Row],[CANTIDAD]]*MASTER[[#This Row],[COSTO UNITARIO]]</f>
        <v>442</v>
      </c>
      <c r="V6720" s="2">
        <f>MASTER[[#This Row],[MONTO VENDIDO]]-MASTER[[#This Row],[COSTO DE VENTA]]</f>
        <v>770</v>
      </c>
    </row>
    <row r="6721" spans="1:22" x14ac:dyDescent="0.3">
      <c r="A6721">
        <v>96252</v>
      </c>
      <c r="B6721">
        <v>1</v>
      </c>
      <c r="C6721" t="s">
        <v>94</v>
      </c>
      <c r="D6721" t="s">
        <v>95</v>
      </c>
      <c r="E6721" s="1">
        <v>44546</v>
      </c>
      <c r="F6721">
        <v>1</v>
      </c>
      <c r="G6721" t="s">
        <v>59</v>
      </c>
      <c r="H6721" t="s">
        <v>60</v>
      </c>
      <c r="I6721" s="3">
        <v>901</v>
      </c>
      <c r="J6721" s="3">
        <v>901</v>
      </c>
      <c r="K6721" s="3">
        <v>392</v>
      </c>
      <c r="L6721" t="s">
        <v>9</v>
      </c>
      <c r="M6721">
        <v>12</v>
      </c>
      <c r="N6721" t="s">
        <v>26</v>
      </c>
      <c r="O6721" t="s">
        <v>11</v>
      </c>
      <c r="P6721" t="s">
        <v>12</v>
      </c>
      <c r="Q6721" t="s">
        <v>13</v>
      </c>
      <c r="R6721" t="s">
        <v>13</v>
      </c>
      <c r="S6721" t="s">
        <v>144</v>
      </c>
      <c r="T6721" s="2">
        <f>MASTER[[#This Row],[CANTIDAD]]*MASTER[[#This Row],[PRECIO DE VENTA]]</f>
        <v>901</v>
      </c>
      <c r="U6721" s="2">
        <f>MASTER[[#This Row],[CANTIDAD]]*MASTER[[#This Row],[COSTO UNITARIO]]</f>
        <v>392</v>
      </c>
      <c r="V6721" s="2">
        <f>MASTER[[#This Row],[MONTO VENDIDO]]-MASTER[[#This Row],[COSTO DE VENTA]]</f>
        <v>509</v>
      </c>
    </row>
    <row r="6722" spans="1:22" x14ac:dyDescent="0.3">
      <c r="A6722">
        <v>96496</v>
      </c>
      <c r="B6722">
        <v>1</v>
      </c>
      <c r="C6722" t="s">
        <v>5</v>
      </c>
      <c r="D6722" t="s">
        <v>6</v>
      </c>
      <c r="E6722" s="1">
        <v>44559</v>
      </c>
      <c r="F6722">
        <v>3</v>
      </c>
      <c r="G6722" t="s">
        <v>33</v>
      </c>
      <c r="H6722" t="s">
        <v>34</v>
      </c>
      <c r="I6722" s="3">
        <v>1507</v>
      </c>
      <c r="J6722" s="3">
        <v>1507</v>
      </c>
      <c r="K6722" s="3">
        <v>393</v>
      </c>
      <c r="L6722" t="s">
        <v>9</v>
      </c>
      <c r="M6722">
        <v>8</v>
      </c>
      <c r="N6722" t="s">
        <v>80</v>
      </c>
      <c r="O6722" t="s">
        <v>81</v>
      </c>
      <c r="P6722" t="s">
        <v>12</v>
      </c>
      <c r="Q6722" t="s">
        <v>13</v>
      </c>
      <c r="R6722" t="s">
        <v>13</v>
      </c>
      <c r="S6722" t="s">
        <v>144</v>
      </c>
      <c r="T6722" s="2">
        <f>MASTER[[#This Row],[CANTIDAD]]*MASTER[[#This Row],[PRECIO DE VENTA]]</f>
        <v>4521</v>
      </c>
      <c r="U6722" s="2">
        <f>MASTER[[#This Row],[CANTIDAD]]*MASTER[[#This Row],[COSTO UNITARIO]]</f>
        <v>1179</v>
      </c>
      <c r="V6722" s="2">
        <f>MASTER[[#This Row],[MONTO VENDIDO]]-MASTER[[#This Row],[COSTO DE VENTA]]</f>
        <v>3342</v>
      </c>
    </row>
    <row r="6723" spans="1:22" x14ac:dyDescent="0.3">
      <c r="A6723">
        <v>96500</v>
      </c>
      <c r="B6723">
        <v>1</v>
      </c>
      <c r="C6723" t="s">
        <v>103</v>
      </c>
      <c r="D6723" t="s">
        <v>104</v>
      </c>
      <c r="E6723" s="1">
        <v>44555</v>
      </c>
      <c r="F6723">
        <v>1</v>
      </c>
      <c r="G6723" t="s">
        <v>29</v>
      </c>
      <c r="H6723" t="s">
        <v>30</v>
      </c>
      <c r="I6723" s="3">
        <v>1591</v>
      </c>
      <c r="J6723" s="3">
        <v>1591</v>
      </c>
      <c r="K6723" s="3">
        <v>421</v>
      </c>
      <c r="L6723" t="s">
        <v>98</v>
      </c>
      <c r="M6723">
        <v>10</v>
      </c>
      <c r="N6723" t="s">
        <v>83</v>
      </c>
      <c r="O6723" t="s">
        <v>81</v>
      </c>
      <c r="P6723" t="s">
        <v>12</v>
      </c>
      <c r="Q6723" t="s">
        <v>13</v>
      </c>
      <c r="R6723" t="s">
        <v>13</v>
      </c>
      <c r="S6723" t="s">
        <v>144</v>
      </c>
      <c r="T6723" s="2">
        <f>MASTER[[#This Row],[CANTIDAD]]*MASTER[[#This Row],[PRECIO DE VENTA]]</f>
        <v>1591</v>
      </c>
      <c r="U6723" s="2">
        <f>MASTER[[#This Row],[CANTIDAD]]*MASTER[[#This Row],[COSTO UNITARIO]]</f>
        <v>421</v>
      </c>
      <c r="V6723" s="2">
        <f>MASTER[[#This Row],[MONTO VENDIDO]]-MASTER[[#This Row],[COSTO DE VENTA]]</f>
        <v>1170</v>
      </c>
    </row>
    <row r="6724" spans="1:22" x14ac:dyDescent="0.3">
      <c r="A6724">
        <v>96512</v>
      </c>
      <c r="B6724">
        <v>1</v>
      </c>
      <c r="C6724" t="s">
        <v>96</v>
      </c>
      <c r="D6724" t="s">
        <v>97</v>
      </c>
      <c r="E6724" s="1">
        <v>44547</v>
      </c>
      <c r="F6724">
        <v>1</v>
      </c>
      <c r="G6724" t="s">
        <v>45</v>
      </c>
      <c r="H6724" t="s">
        <v>46</v>
      </c>
      <c r="I6724" s="3">
        <v>1361</v>
      </c>
      <c r="J6724" s="3">
        <v>1361</v>
      </c>
      <c r="K6724" s="3">
        <v>397</v>
      </c>
      <c r="L6724" t="s">
        <v>98</v>
      </c>
      <c r="M6724">
        <v>18</v>
      </c>
      <c r="N6724" t="s">
        <v>79</v>
      </c>
      <c r="O6724" t="s">
        <v>70</v>
      </c>
      <c r="P6724" t="s">
        <v>15</v>
      </c>
      <c r="Q6724" t="s">
        <v>16</v>
      </c>
      <c r="R6724" t="s">
        <v>16</v>
      </c>
      <c r="S6724" t="s">
        <v>144</v>
      </c>
      <c r="T6724" s="2">
        <f>MASTER[[#This Row],[CANTIDAD]]*MASTER[[#This Row],[PRECIO DE VENTA]]</f>
        <v>1361</v>
      </c>
      <c r="U6724" s="2">
        <f>MASTER[[#This Row],[CANTIDAD]]*MASTER[[#This Row],[COSTO UNITARIO]]</f>
        <v>397</v>
      </c>
      <c r="V6724" s="2">
        <f>MASTER[[#This Row],[MONTO VENDIDO]]-MASTER[[#This Row],[COSTO DE VENTA]]</f>
        <v>964</v>
      </c>
    </row>
    <row r="6725" spans="1:22" x14ac:dyDescent="0.3">
      <c r="A6725">
        <v>96574</v>
      </c>
      <c r="B6725">
        <v>1</v>
      </c>
      <c r="C6725" t="s">
        <v>99</v>
      </c>
      <c r="D6725" t="s">
        <v>100</v>
      </c>
      <c r="E6725" s="1">
        <v>44549</v>
      </c>
      <c r="F6725">
        <v>1</v>
      </c>
      <c r="G6725" t="s">
        <v>27</v>
      </c>
      <c r="H6725" t="s">
        <v>28</v>
      </c>
      <c r="I6725" s="3">
        <v>1678</v>
      </c>
      <c r="J6725" s="3">
        <v>1678</v>
      </c>
      <c r="K6725" s="3">
        <v>386</v>
      </c>
      <c r="L6725" t="s">
        <v>98</v>
      </c>
      <c r="M6725">
        <v>13</v>
      </c>
      <c r="N6725" t="s">
        <v>78</v>
      </c>
      <c r="O6725" t="s">
        <v>70</v>
      </c>
      <c r="P6725" t="s">
        <v>18</v>
      </c>
      <c r="Q6725" t="s">
        <v>19</v>
      </c>
      <c r="R6725" t="s">
        <v>138</v>
      </c>
      <c r="S6725" t="s">
        <v>144</v>
      </c>
      <c r="T6725" s="2">
        <f>MASTER[[#This Row],[CANTIDAD]]*MASTER[[#This Row],[PRECIO DE VENTA]]</f>
        <v>1678</v>
      </c>
      <c r="U6725" s="2">
        <f>MASTER[[#This Row],[CANTIDAD]]*MASTER[[#This Row],[COSTO UNITARIO]]</f>
        <v>386</v>
      </c>
      <c r="V6725" s="2">
        <f>MASTER[[#This Row],[MONTO VENDIDO]]-MASTER[[#This Row],[COSTO DE VENTA]]</f>
        <v>1292</v>
      </c>
    </row>
    <row r="6726" spans="1:22" x14ac:dyDescent="0.3">
      <c r="A6726">
        <v>96657</v>
      </c>
      <c r="B6726">
        <v>1</v>
      </c>
      <c r="C6726" t="s">
        <v>92</v>
      </c>
      <c r="D6726" t="s">
        <v>93</v>
      </c>
      <c r="E6726" s="1">
        <v>44550</v>
      </c>
      <c r="F6726">
        <v>1</v>
      </c>
      <c r="G6726" t="s">
        <v>41</v>
      </c>
      <c r="H6726" t="s">
        <v>42</v>
      </c>
      <c r="I6726" s="3">
        <v>1681</v>
      </c>
      <c r="J6726" s="3">
        <v>1681</v>
      </c>
      <c r="K6726" s="3">
        <v>396</v>
      </c>
      <c r="L6726" t="s">
        <v>9</v>
      </c>
      <c r="M6726">
        <v>10</v>
      </c>
      <c r="N6726" t="s">
        <v>83</v>
      </c>
      <c r="O6726" t="s">
        <v>81</v>
      </c>
      <c r="P6726" t="s">
        <v>12</v>
      </c>
      <c r="Q6726" t="s">
        <v>13</v>
      </c>
      <c r="R6726" t="s">
        <v>13</v>
      </c>
      <c r="S6726" t="s">
        <v>144</v>
      </c>
      <c r="T6726" s="2">
        <f>MASTER[[#This Row],[CANTIDAD]]*MASTER[[#This Row],[PRECIO DE VENTA]]</f>
        <v>1681</v>
      </c>
      <c r="U6726" s="2">
        <f>MASTER[[#This Row],[CANTIDAD]]*MASTER[[#This Row],[COSTO UNITARIO]]</f>
        <v>396</v>
      </c>
      <c r="V6726" s="2">
        <f>MASTER[[#This Row],[MONTO VENDIDO]]-MASTER[[#This Row],[COSTO DE VENTA]]</f>
        <v>1285</v>
      </c>
    </row>
    <row r="6727" spans="1:22" x14ac:dyDescent="0.3">
      <c r="A6727">
        <v>96706</v>
      </c>
      <c r="B6727">
        <v>1</v>
      </c>
      <c r="C6727" t="s">
        <v>105</v>
      </c>
      <c r="D6727" t="s">
        <v>106</v>
      </c>
      <c r="E6727" s="1">
        <v>44549</v>
      </c>
      <c r="F6727">
        <v>1</v>
      </c>
      <c r="G6727" t="s">
        <v>59</v>
      </c>
      <c r="H6727" t="s">
        <v>60</v>
      </c>
      <c r="I6727" s="3">
        <v>2033</v>
      </c>
      <c r="J6727" s="3">
        <v>2033</v>
      </c>
      <c r="K6727" s="3">
        <v>459</v>
      </c>
      <c r="L6727" t="s">
        <v>98</v>
      </c>
      <c r="M6727">
        <v>1</v>
      </c>
      <c r="N6727" t="s">
        <v>77</v>
      </c>
      <c r="O6727" t="s">
        <v>70</v>
      </c>
      <c r="P6727" t="s">
        <v>71</v>
      </c>
      <c r="Q6727" t="s">
        <v>72</v>
      </c>
      <c r="R6727" t="s">
        <v>139</v>
      </c>
      <c r="S6727" t="s">
        <v>144</v>
      </c>
      <c r="T6727" s="2">
        <f>MASTER[[#This Row],[CANTIDAD]]*MASTER[[#This Row],[PRECIO DE VENTA]]</f>
        <v>2033</v>
      </c>
      <c r="U6727" s="2">
        <f>MASTER[[#This Row],[CANTIDAD]]*MASTER[[#This Row],[COSTO UNITARIO]]</f>
        <v>459</v>
      </c>
      <c r="V6727" s="2">
        <f>MASTER[[#This Row],[MONTO VENDIDO]]-MASTER[[#This Row],[COSTO DE VENTA]]</f>
        <v>1574</v>
      </c>
    </row>
    <row r="6728" spans="1:22" x14ac:dyDescent="0.3">
      <c r="A6728">
        <v>96894</v>
      </c>
      <c r="B6728">
        <v>2</v>
      </c>
      <c r="C6728" t="s">
        <v>109</v>
      </c>
      <c r="D6728" t="s">
        <v>110</v>
      </c>
      <c r="E6728" s="1">
        <v>44543</v>
      </c>
      <c r="F6728">
        <v>1</v>
      </c>
      <c r="G6728" t="s">
        <v>53</v>
      </c>
      <c r="H6728" t="s">
        <v>54</v>
      </c>
      <c r="I6728" s="3">
        <v>1128</v>
      </c>
      <c r="J6728" s="3">
        <v>1128</v>
      </c>
      <c r="K6728" s="3">
        <v>387</v>
      </c>
      <c r="L6728" t="s">
        <v>98</v>
      </c>
      <c r="M6728">
        <v>1</v>
      </c>
      <c r="N6728" t="s">
        <v>77</v>
      </c>
      <c r="O6728" t="s">
        <v>70</v>
      </c>
      <c r="P6728" t="s">
        <v>71</v>
      </c>
      <c r="Q6728" t="s">
        <v>72</v>
      </c>
      <c r="R6728" t="s">
        <v>139</v>
      </c>
      <c r="S6728" t="s">
        <v>144</v>
      </c>
      <c r="T6728" s="2">
        <f>MASTER[[#This Row],[CANTIDAD]]*MASTER[[#This Row],[PRECIO DE VENTA]]</f>
        <v>1128</v>
      </c>
      <c r="U6728" s="2">
        <f>MASTER[[#This Row],[CANTIDAD]]*MASTER[[#This Row],[COSTO UNITARIO]]</f>
        <v>387</v>
      </c>
      <c r="V6728" s="2">
        <f>MASTER[[#This Row],[MONTO VENDIDO]]-MASTER[[#This Row],[COSTO DE VENTA]]</f>
        <v>741</v>
      </c>
    </row>
    <row r="6729" spans="1:22" x14ac:dyDescent="0.3">
      <c r="A6729">
        <v>96894</v>
      </c>
      <c r="B6729">
        <v>1</v>
      </c>
      <c r="C6729" t="s">
        <v>121</v>
      </c>
      <c r="D6729" t="s">
        <v>122</v>
      </c>
      <c r="E6729" s="1">
        <v>44543</v>
      </c>
      <c r="F6729">
        <v>1</v>
      </c>
      <c r="G6729" t="s">
        <v>51</v>
      </c>
      <c r="H6729" t="s">
        <v>52</v>
      </c>
      <c r="I6729" s="3">
        <v>1144</v>
      </c>
      <c r="J6729" s="3">
        <v>1144</v>
      </c>
      <c r="K6729" s="3">
        <v>460</v>
      </c>
      <c r="L6729" t="s">
        <v>120</v>
      </c>
      <c r="M6729">
        <v>1</v>
      </c>
      <c r="N6729" t="s">
        <v>77</v>
      </c>
      <c r="O6729" t="s">
        <v>70</v>
      </c>
      <c r="P6729" t="s">
        <v>71</v>
      </c>
      <c r="Q6729" t="s">
        <v>72</v>
      </c>
      <c r="R6729" t="s">
        <v>139</v>
      </c>
      <c r="S6729" t="s">
        <v>144</v>
      </c>
      <c r="T6729" s="2">
        <f>MASTER[[#This Row],[CANTIDAD]]*MASTER[[#This Row],[PRECIO DE VENTA]]</f>
        <v>1144</v>
      </c>
      <c r="U6729" s="2">
        <f>MASTER[[#This Row],[CANTIDAD]]*MASTER[[#This Row],[COSTO UNITARIO]]</f>
        <v>460</v>
      </c>
      <c r="V6729" s="2">
        <f>MASTER[[#This Row],[MONTO VENDIDO]]-MASTER[[#This Row],[COSTO DE VENTA]]</f>
        <v>684</v>
      </c>
    </row>
    <row r="6730" spans="1:22" x14ac:dyDescent="0.3">
      <c r="A6730">
        <v>96898</v>
      </c>
      <c r="B6730">
        <v>1</v>
      </c>
      <c r="C6730" t="s">
        <v>101</v>
      </c>
      <c r="D6730" t="s">
        <v>102</v>
      </c>
      <c r="E6730" s="1">
        <v>44551</v>
      </c>
      <c r="F6730">
        <v>1</v>
      </c>
      <c r="G6730" t="s">
        <v>24</v>
      </c>
      <c r="H6730" t="s">
        <v>25</v>
      </c>
      <c r="I6730" s="3">
        <v>1212</v>
      </c>
      <c r="J6730" s="3">
        <v>1212</v>
      </c>
      <c r="K6730" s="3">
        <v>442</v>
      </c>
      <c r="L6730" t="s">
        <v>98</v>
      </c>
      <c r="M6730">
        <v>15</v>
      </c>
      <c r="N6730" t="s">
        <v>88</v>
      </c>
      <c r="O6730" t="s">
        <v>81</v>
      </c>
      <c r="P6730" t="s">
        <v>18</v>
      </c>
      <c r="Q6730" t="s">
        <v>19</v>
      </c>
      <c r="R6730" t="s">
        <v>138</v>
      </c>
      <c r="S6730" t="s">
        <v>144</v>
      </c>
      <c r="T6730" s="2">
        <f>MASTER[[#This Row],[CANTIDAD]]*MASTER[[#This Row],[PRECIO DE VENTA]]</f>
        <v>1212</v>
      </c>
      <c r="U6730" s="2">
        <f>MASTER[[#This Row],[CANTIDAD]]*MASTER[[#This Row],[COSTO UNITARIO]]</f>
        <v>442</v>
      </c>
      <c r="V6730" s="2">
        <f>MASTER[[#This Row],[MONTO VENDIDO]]-MASTER[[#This Row],[COSTO DE VENTA]]</f>
        <v>770</v>
      </c>
    </row>
    <row r="6731" spans="1:22" x14ac:dyDescent="0.3">
      <c r="A6731">
        <v>97003</v>
      </c>
      <c r="B6731">
        <v>1</v>
      </c>
      <c r="C6731" t="s">
        <v>105</v>
      </c>
      <c r="D6731" t="s">
        <v>106</v>
      </c>
      <c r="E6731" s="1">
        <v>44551</v>
      </c>
      <c r="F6731">
        <v>1</v>
      </c>
      <c r="G6731" t="s">
        <v>22</v>
      </c>
      <c r="H6731" t="s">
        <v>23</v>
      </c>
      <c r="I6731" s="3">
        <v>2033</v>
      </c>
      <c r="J6731" s="3">
        <v>2033</v>
      </c>
      <c r="K6731" s="3">
        <v>459</v>
      </c>
      <c r="L6731" t="s">
        <v>98</v>
      </c>
      <c r="M6731">
        <v>18</v>
      </c>
      <c r="N6731" t="s">
        <v>79</v>
      </c>
      <c r="O6731" t="s">
        <v>70</v>
      </c>
      <c r="P6731" t="s">
        <v>15</v>
      </c>
      <c r="Q6731" t="s">
        <v>16</v>
      </c>
      <c r="R6731" t="s">
        <v>16</v>
      </c>
      <c r="S6731" t="s">
        <v>144</v>
      </c>
      <c r="T6731" s="2">
        <f>MASTER[[#This Row],[CANTIDAD]]*MASTER[[#This Row],[PRECIO DE VENTA]]</f>
        <v>2033</v>
      </c>
      <c r="U6731" s="2">
        <f>MASTER[[#This Row],[CANTIDAD]]*MASTER[[#This Row],[COSTO UNITARIO]]</f>
        <v>459</v>
      </c>
      <c r="V6731" s="2">
        <f>MASTER[[#This Row],[MONTO VENDIDO]]-MASTER[[#This Row],[COSTO DE VENTA]]</f>
        <v>1574</v>
      </c>
    </row>
    <row r="6732" spans="1:22" x14ac:dyDescent="0.3">
      <c r="A6732">
        <v>97194</v>
      </c>
      <c r="B6732">
        <v>1</v>
      </c>
      <c r="C6732" t="s">
        <v>107</v>
      </c>
      <c r="D6732" t="s">
        <v>108</v>
      </c>
      <c r="E6732" s="1">
        <v>44554</v>
      </c>
      <c r="F6732">
        <v>1</v>
      </c>
      <c r="G6732" t="s">
        <v>33</v>
      </c>
      <c r="H6732" t="s">
        <v>34</v>
      </c>
      <c r="I6732" s="3">
        <v>1333</v>
      </c>
      <c r="J6732" s="3">
        <v>1333</v>
      </c>
      <c r="K6732" s="3">
        <v>380</v>
      </c>
      <c r="L6732" t="s">
        <v>98</v>
      </c>
      <c r="M6732">
        <v>5</v>
      </c>
      <c r="N6732" t="s">
        <v>85</v>
      </c>
      <c r="O6732" t="s">
        <v>81</v>
      </c>
      <c r="P6732" t="s">
        <v>12</v>
      </c>
      <c r="Q6732" t="s">
        <v>13</v>
      </c>
      <c r="R6732" t="s">
        <v>13</v>
      </c>
      <c r="S6732" t="s">
        <v>144</v>
      </c>
      <c r="T6732" s="2">
        <f>MASTER[[#This Row],[CANTIDAD]]*MASTER[[#This Row],[PRECIO DE VENTA]]</f>
        <v>1333</v>
      </c>
      <c r="U6732" s="2">
        <f>MASTER[[#This Row],[CANTIDAD]]*MASTER[[#This Row],[COSTO UNITARIO]]</f>
        <v>380</v>
      </c>
      <c r="V6732" s="2">
        <f>MASTER[[#This Row],[MONTO VENDIDO]]-MASTER[[#This Row],[COSTO DE VENTA]]</f>
        <v>953</v>
      </c>
    </row>
    <row r="6733" spans="1:22" x14ac:dyDescent="0.3">
      <c r="A6733">
        <v>97195</v>
      </c>
      <c r="B6733">
        <v>1</v>
      </c>
      <c r="C6733" t="s">
        <v>90</v>
      </c>
      <c r="D6733" t="s">
        <v>91</v>
      </c>
      <c r="E6733" s="1">
        <v>44552</v>
      </c>
      <c r="F6733">
        <v>1</v>
      </c>
      <c r="G6733" t="s">
        <v>41</v>
      </c>
      <c r="H6733" t="s">
        <v>42</v>
      </c>
      <c r="I6733" s="3">
        <v>1660</v>
      </c>
      <c r="J6733" s="3">
        <v>1660</v>
      </c>
      <c r="K6733" s="3">
        <v>420</v>
      </c>
      <c r="L6733" t="s">
        <v>9</v>
      </c>
      <c r="M6733">
        <v>12</v>
      </c>
      <c r="N6733" t="s">
        <v>26</v>
      </c>
      <c r="O6733" t="s">
        <v>11</v>
      </c>
      <c r="P6733" t="s">
        <v>12</v>
      </c>
      <c r="Q6733" t="s">
        <v>13</v>
      </c>
      <c r="R6733" t="s">
        <v>13</v>
      </c>
      <c r="S6733" t="s">
        <v>144</v>
      </c>
      <c r="T6733" s="2">
        <f>MASTER[[#This Row],[CANTIDAD]]*MASTER[[#This Row],[PRECIO DE VENTA]]</f>
        <v>1660</v>
      </c>
      <c r="U6733" s="2">
        <f>MASTER[[#This Row],[CANTIDAD]]*MASTER[[#This Row],[COSTO UNITARIO]]</f>
        <v>420</v>
      </c>
      <c r="V6733" s="2">
        <f>MASTER[[#This Row],[MONTO VENDIDO]]-MASTER[[#This Row],[COSTO DE VENTA]]</f>
        <v>1240</v>
      </c>
    </row>
    <row r="6734" spans="1:22" x14ac:dyDescent="0.3">
      <c r="A6734">
        <v>97464</v>
      </c>
      <c r="B6734">
        <v>1</v>
      </c>
      <c r="C6734" t="s">
        <v>116</v>
      </c>
      <c r="D6734" t="s">
        <v>117</v>
      </c>
      <c r="E6734" s="1">
        <v>44546</v>
      </c>
      <c r="F6734">
        <v>1</v>
      </c>
      <c r="G6734" t="s">
        <v>45</v>
      </c>
      <c r="H6734" t="s">
        <v>46</v>
      </c>
      <c r="I6734" s="3">
        <v>1529</v>
      </c>
      <c r="J6734" s="3">
        <v>1467</v>
      </c>
      <c r="K6734" s="3">
        <v>388</v>
      </c>
      <c r="L6734" t="s">
        <v>113</v>
      </c>
      <c r="M6734">
        <v>11</v>
      </c>
      <c r="N6734" t="s">
        <v>10</v>
      </c>
      <c r="O6734" t="s">
        <v>11</v>
      </c>
      <c r="P6734" t="s">
        <v>12</v>
      </c>
      <c r="Q6734" t="s">
        <v>13</v>
      </c>
      <c r="R6734" t="s">
        <v>13</v>
      </c>
      <c r="S6734" t="s">
        <v>144</v>
      </c>
      <c r="T6734" s="2">
        <f>MASTER[[#This Row],[CANTIDAD]]*MASTER[[#This Row],[PRECIO DE VENTA]]</f>
        <v>1467</v>
      </c>
      <c r="U6734" s="2">
        <f>MASTER[[#This Row],[CANTIDAD]]*MASTER[[#This Row],[COSTO UNITARIO]]</f>
        <v>388</v>
      </c>
      <c r="V6734" s="2">
        <f>MASTER[[#This Row],[MONTO VENDIDO]]-MASTER[[#This Row],[COSTO DE VENTA]]</f>
        <v>1079</v>
      </c>
    </row>
    <row r="6735" spans="1:22" x14ac:dyDescent="0.3">
      <c r="A6735">
        <v>97557</v>
      </c>
      <c r="B6735">
        <v>1</v>
      </c>
      <c r="C6735" t="s">
        <v>5</v>
      </c>
      <c r="D6735" t="s">
        <v>6</v>
      </c>
      <c r="E6735" s="1">
        <v>44560</v>
      </c>
      <c r="F6735">
        <v>1</v>
      </c>
      <c r="G6735" t="s">
        <v>41</v>
      </c>
      <c r="H6735" t="s">
        <v>42</v>
      </c>
      <c r="I6735" s="3">
        <v>1507</v>
      </c>
      <c r="J6735" s="3">
        <v>1446</v>
      </c>
      <c r="K6735" s="3">
        <v>393</v>
      </c>
      <c r="L6735" t="s">
        <v>9</v>
      </c>
      <c r="M6735">
        <v>7</v>
      </c>
      <c r="N6735" t="s">
        <v>84</v>
      </c>
      <c r="O6735" t="s">
        <v>81</v>
      </c>
      <c r="P6735" t="s">
        <v>12</v>
      </c>
      <c r="Q6735" t="s">
        <v>13</v>
      </c>
      <c r="R6735" t="s">
        <v>13</v>
      </c>
      <c r="S6735" t="s">
        <v>144</v>
      </c>
      <c r="T6735" s="2">
        <f>MASTER[[#This Row],[CANTIDAD]]*MASTER[[#This Row],[PRECIO DE VENTA]]</f>
        <v>1446</v>
      </c>
      <c r="U6735" s="2">
        <f>MASTER[[#This Row],[CANTIDAD]]*MASTER[[#This Row],[COSTO UNITARIO]]</f>
        <v>393</v>
      </c>
      <c r="V6735" s="2">
        <f>MASTER[[#This Row],[MONTO VENDIDO]]-MASTER[[#This Row],[COSTO DE VENTA]]</f>
        <v>1053</v>
      </c>
    </row>
    <row r="6736" spans="1:22" x14ac:dyDescent="0.3">
      <c r="A6736">
        <v>97591</v>
      </c>
      <c r="B6736">
        <v>1</v>
      </c>
      <c r="C6736" t="s">
        <v>90</v>
      </c>
      <c r="D6736" t="s">
        <v>91</v>
      </c>
      <c r="E6736" s="1">
        <v>44548</v>
      </c>
      <c r="F6736">
        <v>1</v>
      </c>
      <c r="G6736" t="s">
        <v>65</v>
      </c>
      <c r="H6736" t="s">
        <v>66</v>
      </c>
      <c r="I6736" s="3">
        <v>1844</v>
      </c>
      <c r="J6736" s="3">
        <v>1844</v>
      </c>
      <c r="K6736" s="3">
        <v>420</v>
      </c>
      <c r="L6736" t="s">
        <v>9</v>
      </c>
      <c r="M6736">
        <v>15</v>
      </c>
      <c r="N6736" t="s">
        <v>88</v>
      </c>
      <c r="O6736" t="s">
        <v>81</v>
      </c>
      <c r="P6736" t="s">
        <v>18</v>
      </c>
      <c r="Q6736" t="s">
        <v>19</v>
      </c>
      <c r="R6736" t="s">
        <v>138</v>
      </c>
      <c r="S6736" t="s">
        <v>144</v>
      </c>
      <c r="T6736" s="2">
        <f>MASTER[[#This Row],[CANTIDAD]]*MASTER[[#This Row],[PRECIO DE VENTA]]</f>
        <v>1844</v>
      </c>
      <c r="U6736" s="2">
        <f>MASTER[[#This Row],[CANTIDAD]]*MASTER[[#This Row],[COSTO UNITARIO]]</f>
        <v>420</v>
      </c>
      <c r="V6736" s="2">
        <f>MASTER[[#This Row],[MONTO VENDIDO]]-MASTER[[#This Row],[COSTO DE VENTA]]</f>
        <v>1424</v>
      </c>
    </row>
    <row r="6737" spans="1:22" x14ac:dyDescent="0.3">
      <c r="A6737">
        <v>97674</v>
      </c>
      <c r="B6737">
        <v>1</v>
      </c>
      <c r="C6737" t="s">
        <v>109</v>
      </c>
      <c r="D6737" t="s">
        <v>110</v>
      </c>
      <c r="E6737" s="1">
        <v>44553</v>
      </c>
      <c r="F6737">
        <v>1</v>
      </c>
      <c r="G6737" t="s">
        <v>24</v>
      </c>
      <c r="H6737" t="s">
        <v>25</v>
      </c>
      <c r="I6737" s="3">
        <v>947</v>
      </c>
      <c r="J6737" s="3">
        <v>947</v>
      </c>
      <c r="K6737" s="3">
        <v>387</v>
      </c>
      <c r="L6737" t="s">
        <v>98</v>
      </c>
      <c r="M6737">
        <v>11</v>
      </c>
      <c r="N6737" t="s">
        <v>10</v>
      </c>
      <c r="O6737" t="s">
        <v>11</v>
      </c>
      <c r="P6737" t="s">
        <v>12</v>
      </c>
      <c r="Q6737" t="s">
        <v>13</v>
      </c>
      <c r="R6737" t="s">
        <v>13</v>
      </c>
      <c r="S6737" t="s">
        <v>144</v>
      </c>
      <c r="T6737" s="2">
        <f>MASTER[[#This Row],[CANTIDAD]]*MASTER[[#This Row],[PRECIO DE VENTA]]</f>
        <v>947</v>
      </c>
      <c r="U6737" s="2">
        <f>MASTER[[#This Row],[CANTIDAD]]*MASTER[[#This Row],[COSTO UNITARIO]]</f>
        <v>387</v>
      </c>
      <c r="V6737" s="2">
        <f>MASTER[[#This Row],[MONTO VENDIDO]]-MASTER[[#This Row],[COSTO DE VENTA]]</f>
        <v>560</v>
      </c>
    </row>
    <row r="6738" spans="1:22" x14ac:dyDescent="0.3">
      <c r="A6738">
        <v>97758</v>
      </c>
      <c r="B6738">
        <v>1</v>
      </c>
      <c r="C6738" t="s">
        <v>107</v>
      </c>
      <c r="D6738" t="s">
        <v>108</v>
      </c>
      <c r="E6738" s="1">
        <v>44548</v>
      </c>
      <c r="F6738">
        <v>1</v>
      </c>
      <c r="G6738" t="s">
        <v>45</v>
      </c>
      <c r="H6738" t="s">
        <v>46</v>
      </c>
      <c r="I6738" s="3">
        <v>1333</v>
      </c>
      <c r="J6738" s="3">
        <v>1239</v>
      </c>
      <c r="K6738" s="3">
        <v>380</v>
      </c>
      <c r="L6738" t="s">
        <v>98</v>
      </c>
      <c r="M6738">
        <v>8</v>
      </c>
      <c r="N6738" t="s">
        <v>80</v>
      </c>
      <c r="O6738" t="s">
        <v>81</v>
      </c>
      <c r="P6738" t="s">
        <v>12</v>
      </c>
      <c r="Q6738" t="s">
        <v>13</v>
      </c>
      <c r="R6738" t="s">
        <v>13</v>
      </c>
      <c r="S6738" t="s">
        <v>144</v>
      </c>
      <c r="T6738" s="2">
        <f>MASTER[[#This Row],[CANTIDAD]]*MASTER[[#This Row],[PRECIO DE VENTA]]</f>
        <v>1239</v>
      </c>
      <c r="U6738" s="2">
        <f>MASTER[[#This Row],[CANTIDAD]]*MASTER[[#This Row],[COSTO UNITARIO]]</f>
        <v>380</v>
      </c>
      <c r="V6738" s="2">
        <f>MASTER[[#This Row],[MONTO VENDIDO]]-MASTER[[#This Row],[COSTO DE VENTA]]</f>
        <v>859</v>
      </c>
    </row>
    <row r="6739" spans="1:22" x14ac:dyDescent="0.3">
      <c r="A6739">
        <v>97894</v>
      </c>
      <c r="B6739">
        <v>1</v>
      </c>
      <c r="C6739" t="s">
        <v>101</v>
      </c>
      <c r="D6739" t="s">
        <v>102</v>
      </c>
      <c r="E6739" s="1">
        <v>44558</v>
      </c>
      <c r="F6739">
        <v>1</v>
      </c>
      <c r="G6739" t="s">
        <v>33</v>
      </c>
      <c r="H6739" t="s">
        <v>34</v>
      </c>
      <c r="I6739" s="3">
        <v>1357</v>
      </c>
      <c r="J6739" s="3">
        <v>1357</v>
      </c>
      <c r="K6739" s="3">
        <v>442</v>
      </c>
      <c r="L6739" t="s">
        <v>98</v>
      </c>
      <c r="M6739">
        <v>9</v>
      </c>
      <c r="N6739" t="s">
        <v>76</v>
      </c>
      <c r="O6739" t="s">
        <v>70</v>
      </c>
      <c r="P6739" t="s">
        <v>12</v>
      </c>
      <c r="Q6739" t="s">
        <v>13</v>
      </c>
      <c r="R6739" t="s">
        <v>13</v>
      </c>
      <c r="S6739" t="s">
        <v>144</v>
      </c>
      <c r="T6739" s="2">
        <f>MASTER[[#This Row],[CANTIDAD]]*MASTER[[#This Row],[PRECIO DE VENTA]]</f>
        <v>1357</v>
      </c>
      <c r="U6739" s="2">
        <f>MASTER[[#This Row],[CANTIDAD]]*MASTER[[#This Row],[COSTO UNITARIO]]</f>
        <v>442</v>
      </c>
      <c r="V6739" s="2">
        <f>MASTER[[#This Row],[MONTO VENDIDO]]-MASTER[[#This Row],[COSTO DE VENTA]]</f>
        <v>915</v>
      </c>
    </row>
    <row r="6740" spans="1:22" x14ac:dyDescent="0.3">
      <c r="A6740">
        <v>97898</v>
      </c>
      <c r="B6740">
        <v>1</v>
      </c>
      <c r="C6740" t="s">
        <v>5</v>
      </c>
      <c r="D6740" t="s">
        <v>6</v>
      </c>
      <c r="E6740" s="1">
        <v>44560</v>
      </c>
      <c r="F6740">
        <v>1</v>
      </c>
      <c r="G6740" t="s">
        <v>61</v>
      </c>
      <c r="H6740" t="s">
        <v>62</v>
      </c>
      <c r="I6740" s="3">
        <v>1507</v>
      </c>
      <c r="J6740" s="3">
        <v>1507</v>
      </c>
      <c r="K6740" s="3">
        <v>393</v>
      </c>
      <c r="L6740" t="s">
        <v>9</v>
      </c>
      <c r="M6740">
        <v>7</v>
      </c>
      <c r="N6740" t="s">
        <v>84</v>
      </c>
      <c r="O6740" t="s">
        <v>81</v>
      </c>
      <c r="P6740" t="s">
        <v>12</v>
      </c>
      <c r="Q6740" t="s">
        <v>13</v>
      </c>
      <c r="R6740" t="s">
        <v>13</v>
      </c>
      <c r="S6740" t="s">
        <v>144</v>
      </c>
      <c r="T6740" s="2">
        <f>MASTER[[#This Row],[CANTIDAD]]*MASTER[[#This Row],[PRECIO DE VENTA]]</f>
        <v>1507</v>
      </c>
      <c r="U6740" s="2">
        <f>MASTER[[#This Row],[CANTIDAD]]*MASTER[[#This Row],[COSTO UNITARIO]]</f>
        <v>393</v>
      </c>
      <c r="V6740" s="2">
        <f>MASTER[[#This Row],[MONTO VENDIDO]]-MASTER[[#This Row],[COSTO DE VENTA]]</f>
        <v>1114</v>
      </c>
    </row>
    <row r="6741" spans="1:22" x14ac:dyDescent="0.3">
      <c r="A6741">
        <v>97926</v>
      </c>
      <c r="B6741">
        <v>1</v>
      </c>
      <c r="C6741" t="s">
        <v>90</v>
      </c>
      <c r="D6741" t="s">
        <v>91</v>
      </c>
      <c r="E6741" s="1">
        <v>44546</v>
      </c>
      <c r="F6741">
        <v>1</v>
      </c>
      <c r="G6741" t="s">
        <v>29</v>
      </c>
      <c r="H6741" t="s">
        <v>30</v>
      </c>
      <c r="I6741" s="3">
        <v>1844</v>
      </c>
      <c r="J6741" s="3">
        <v>1844</v>
      </c>
      <c r="K6741" s="3">
        <v>420</v>
      </c>
      <c r="L6741" t="s">
        <v>9</v>
      </c>
      <c r="M6741">
        <v>2</v>
      </c>
      <c r="N6741" t="s">
        <v>86</v>
      </c>
      <c r="O6741" t="s">
        <v>81</v>
      </c>
      <c r="P6741" t="s">
        <v>71</v>
      </c>
      <c r="Q6741" t="s">
        <v>72</v>
      </c>
      <c r="R6741" t="s">
        <v>139</v>
      </c>
      <c r="S6741" t="s">
        <v>144</v>
      </c>
      <c r="T6741" s="2">
        <f>MASTER[[#This Row],[CANTIDAD]]*MASTER[[#This Row],[PRECIO DE VENTA]]</f>
        <v>1844</v>
      </c>
      <c r="U6741" s="2">
        <f>MASTER[[#This Row],[CANTIDAD]]*MASTER[[#This Row],[COSTO UNITARIO]]</f>
        <v>420</v>
      </c>
      <c r="V6741" s="2">
        <f>MASTER[[#This Row],[MONTO VENDIDO]]-MASTER[[#This Row],[COSTO DE VENTA]]</f>
        <v>1424</v>
      </c>
    </row>
    <row r="6742" spans="1:22" x14ac:dyDescent="0.3">
      <c r="A6742">
        <v>97969</v>
      </c>
      <c r="B6742">
        <v>1</v>
      </c>
      <c r="C6742" t="s">
        <v>99</v>
      </c>
      <c r="D6742" t="s">
        <v>100</v>
      </c>
      <c r="E6742" s="1">
        <v>44546</v>
      </c>
      <c r="F6742">
        <v>1</v>
      </c>
      <c r="G6742" t="s">
        <v>33</v>
      </c>
      <c r="H6742" t="s">
        <v>34</v>
      </c>
      <c r="I6742" s="3">
        <v>1459</v>
      </c>
      <c r="J6742" s="3">
        <v>1459</v>
      </c>
      <c r="K6742" s="3">
        <v>386</v>
      </c>
      <c r="L6742" t="s">
        <v>98</v>
      </c>
      <c r="M6742">
        <v>8</v>
      </c>
      <c r="N6742" t="s">
        <v>80</v>
      </c>
      <c r="O6742" t="s">
        <v>81</v>
      </c>
      <c r="P6742" t="s">
        <v>12</v>
      </c>
      <c r="Q6742" t="s">
        <v>13</v>
      </c>
      <c r="R6742" t="s">
        <v>13</v>
      </c>
      <c r="S6742" t="s">
        <v>144</v>
      </c>
      <c r="T6742" s="2">
        <f>MASTER[[#This Row],[CANTIDAD]]*MASTER[[#This Row],[PRECIO DE VENTA]]</f>
        <v>1459</v>
      </c>
      <c r="U6742" s="2">
        <f>MASTER[[#This Row],[CANTIDAD]]*MASTER[[#This Row],[COSTO UNITARIO]]</f>
        <v>386</v>
      </c>
      <c r="V6742" s="2">
        <f>MASTER[[#This Row],[MONTO VENDIDO]]-MASTER[[#This Row],[COSTO DE VENTA]]</f>
        <v>1073</v>
      </c>
    </row>
    <row r="6743" spans="1:22" x14ac:dyDescent="0.3">
      <c r="A6743">
        <v>98004</v>
      </c>
      <c r="B6743">
        <v>1</v>
      </c>
      <c r="C6743" t="s">
        <v>109</v>
      </c>
      <c r="D6743" t="s">
        <v>110</v>
      </c>
      <c r="E6743" s="1">
        <v>44554</v>
      </c>
      <c r="F6743">
        <v>3</v>
      </c>
      <c r="G6743" t="s">
        <v>53</v>
      </c>
      <c r="H6743" t="s">
        <v>54</v>
      </c>
      <c r="I6743" s="3">
        <v>1128</v>
      </c>
      <c r="J6743" s="3">
        <v>1026</v>
      </c>
      <c r="K6743" s="3">
        <v>387</v>
      </c>
      <c r="L6743" t="s">
        <v>98</v>
      </c>
      <c r="M6743">
        <v>9</v>
      </c>
      <c r="N6743" t="s">
        <v>76</v>
      </c>
      <c r="O6743" t="s">
        <v>70</v>
      </c>
      <c r="P6743" t="s">
        <v>12</v>
      </c>
      <c r="Q6743" t="s">
        <v>13</v>
      </c>
      <c r="R6743" t="s">
        <v>13</v>
      </c>
      <c r="S6743" t="s">
        <v>144</v>
      </c>
      <c r="T6743" s="2">
        <f>MASTER[[#This Row],[CANTIDAD]]*MASTER[[#This Row],[PRECIO DE VENTA]]</f>
        <v>3078</v>
      </c>
      <c r="U6743" s="2">
        <f>MASTER[[#This Row],[CANTIDAD]]*MASTER[[#This Row],[COSTO UNITARIO]]</f>
        <v>1161</v>
      </c>
      <c r="V6743" s="2">
        <f>MASTER[[#This Row],[MONTO VENDIDO]]-MASTER[[#This Row],[COSTO DE VENTA]]</f>
        <v>1917</v>
      </c>
    </row>
    <row r="6744" spans="1:22" x14ac:dyDescent="0.3">
      <c r="A6744">
        <v>98026</v>
      </c>
      <c r="B6744">
        <v>1</v>
      </c>
      <c r="C6744" t="s">
        <v>116</v>
      </c>
      <c r="D6744" t="s">
        <v>117</v>
      </c>
      <c r="E6744" s="1">
        <v>44552</v>
      </c>
      <c r="F6744">
        <v>1</v>
      </c>
      <c r="G6744" t="s">
        <v>31</v>
      </c>
      <c r="H6744" t="s">
        <v>32</v>
      </c>
      <c r="I6744" s="3">
        <v>1738</v>
      </c>
      <c r="J6744" s="3">
        <v>1738</v>
      </c>
      <c r="K6744" s="3">
        <v>388</v>
      </c>
      <c r="L6744" t="s">
        <v>113</v>
      </c>
      <c r="M6744">
        <v>4</v>
      </c>
      <c r="N6744" t="s">
        <v>82</v>
      </c>
      <c r="O6744" t="s">
        <v>81</v>
      </c>
      <c r="P6744" t="s">
        <v>71</v>
      </c>
      <c r="Q6744" t="s">
        <v>72</v>
      </c>
      <c r="R6744" t="s">
        <v>139</v>
      </c>
      <c r="S6744" t="s">
        <v>144</v>
      </c>
      <c r="T6744" s="2">
        <f>MASTER[[#This Row],[CANTIDAD]]*MASTER[[#This Row],[PRECIO DE VENTA]]</f>
        <v>1738</v>
      </c>
      <c r="U6744" s="2">
        <f>MASTER[[#This Row],[CANTIDAD]]*MASTER[[#This Row],[COSTO UNITARIO]]</f>
        <v>388</v>
      </c>
      <c r="V6744" s="2">
        <f>MASTER[[#This Row],[MONTO VENDIDO]]-MASTER[[#This Row],[COSTO DE VENTA]]</f>
        <v>1350</v>
      </c>
    </row>
    <row r="6745" spans="1:22" x14ac:dyDescent="0.3">
      <c r="A6745">
        <v>98031</v>
      </c>
      <c r="B6745">
        <v>1</v>
      </c>
      <c r="C6745" t="s">
        <v>121</v>
      </c>
      <c r="D6745" t="s">
        <v>122</v>
      </c>
      <c r="E6745" s="1">
        <v>44554</v>
      </c>
      <c r="F6745">
        <v>1</v>
      </c>
      <c r="G6745" t="s">
        <v>22</v>
      </c>
      <c r="H6745" t="s">
        <v>23</v>
      </c>
      <c r="I6745" s="3">
        <v>1069</v>
      </c>
      <c r="J6745" s="3">
        <v>1069</v>
      </c>
      <c r="K6745" s="3">
        <v>460</v>
      </c>
      <c r="L6745" t="s">
        <v>120</v>
      </c>
      <c r="M6745">
        <v>15</v>
      </c>
      <c r="N6745" t="s">
        <v>88</v>
      </c>
      <c r="O6745" t="s">
        <v>81</v>
      </c>
      <c r="P6745" t="s">
        <v>18</v>
      </c>
      <c r="Q6745" t="s">
        <v>19</v>
      </c>
      <c r="R6745" t="s">
        <v>138</v>
      </c>
      <c r="S6745" t="s">
        <v>144</v>
      </c>
      <c r="T6745" s="2">
        <f>MASTER[[#This Row],[CANTIDAD]]*MASTER[[#This Row],[PRECIO DE VENTA]]</f>
        <v>1069</v>
      </c>
      <c r="U6745" s="2">
        <f>MASTER[[#This Row],[CANTIDAD]]*MASTER[[#This Row],[COSTO UNITARIO]]</f>
        <v>460</v>
      </c>
      <c r="V6745" s="2">
        <f>MASTER[[#This Row],[MONTO VENDIDO]]-MASTER[[#This Row],[COSTO DE VENTA]]</f>
        <v>609</v>
      </c>
    </row>
    <row r="6746" spans="1:22" x14ac:dyDescent="0.3">
      <c r="A6746">
        <v>98044</v>
      </c>
      <c r="B6746">
        <v>2</v>
      </c>
      <c r="C6746" t="s">
        <v>96</v>
      </c>
      <c r="D6746" t="s">
        <v>97</v>
      </c>
      <c r="E6746" s="1">
        <v>44557</v>
      </c>
      <c r="F6746">
        <v>1</v>
      </c>
      <c r="G6746" t="s">
        <v>47</v>
      </c>
      <c r="H6746" t="s">
        <v>48</v>
      </c>
      <c r="I6746" s="3">
        <v>1272</v>
      </c>
      <c r="J6746" s="3">
        <v>1272</v>
      </c>
      <c r="K6746" s="3">
        <v>397</v>
      </c>
      <c r="L6746" t="s">
        <v>98</v>
      </c>
      <c r="M6746">
        <v>14</v>
      </c>
      <c r="N6746" t="s">
        <v>87</v>
      </c>
      <c r="O6746" t="s">
        <v>81</v>
      </c>
      <c r="P6746" t="s">
        <v>18</v>
      </c>
      <c r="Q6746" t="s">
        <v>19</v>
      </c>
      <c r="R6746" t="s">
        <v>138</v>
      </c>
      <c r="S6746" t="s">
        <v>144</v>
      </c>
      <c r="T6746" s="2">
        <f>MASTER[[#This Row],[CANTIDAD]]*MASTER[[#This Row],[PRECIO DE VENTA]]</f>
        <v>1272</v>
      </c>
      <c r="U6746" s="2">
        <f>MASTER[[#This Row],[CANTIDAD]]*MASTER[[#This Row],[COSTO UNITARIO]]</f>
        <v>397</v>
      </c>
      <c r="V6746" s="2">
        <f>MASTER[[#This Row],[MONTO VENDIDO]]-MASTER[[#This Row],[COSTO DE VENTA]]</f>
        <v>875</v>
      </c>
    </row>
    <row r="6747" spans="1:22" x14ac:dyDescent="0.3">
      <c r="A6747">
        <v>98044</v>
      </c>
      <c r="B6747">
        <v>1</v>
      </c>
      <c r="C6747" t="s">
        <v>109</v>
      </c>
      <c r="D6747" t="s">
        <v>110</v>
      </c>
      <c r="E6747" s="1">
        <v>44557</v>
      </c>
      <c r="F6747">
        <v>1</v>
      </c>
      <c r="G6747" t="s">
        <v>45</v>
      </c>
      <c r="H6747" t="s">
        <v>46</v>
      </c>
      <c r="I6747" s="3">
        <v>1064</v>
      </c>
      <c r="J6747" s="3">
        <v>1064</v>
      </c>
      <c r="K6747" s="3">
        <v>387</v>
      </c>
      <c r="L6747" t="s">
        <v>98</v>
      </c>
      <c r="M6747">
        <v>14</v>
      </c>
      <c r="N6747" t="s">
        <v>87</v>
      </c>
      <c r="O6747" t="s">
        <v>81</v>
      </c>
      <c r="P6747" t="s">
        <v>18</v>
      </c>
      <c r="Q6747" t="s">
        <v>19</v>
      </c>
      <c r="R6747" t="s">
        <v>138</v>
      </c>
      <c r="S6747" t="s">
        <v>144</v>
      </c>
      <c r="T6747" s="2">
        <f>MASTER[[#This Row],[CANTIDAD]]*MASTER[[#This Row],[PRECIO DE VENTA]]</f>
        <v>1064</v>
      </c>
      <c r="U6747" s="2">
        <f>MASTER[[#This Row],[CANTIDAD]]*MASTER[[#This Row],[COSTO UNITARIO]]</f>
        <v>387</v>
      </c>
      <c r="V6747" s="2">
        <f>MASTER[[#This Row],[MONTO VENDIDO]]-MASTER[[#This Row],[COSTO DE VENTA]]</f>
        <v>677</v>
      </c>
    </row>
    <row r="6748" spans="1:22" x14ac:dyDescent="0.3">
      <c r="A6748">
        <v>98115</v>
      </c>
      <c r="B6748">
        <v>1</v>
      </c>
      <c r="C6748" t="s">
        <v>103</v>
      </c>
      <c r="D6748" t="s">
        <v>104</v>
      </c>
      <c r="E6748" s="1">
        <v>44560</v>
      </c>
      <c r="F6748">
        <v>1</v>
      </c>
      <c r="G6748" t="s">
        <v>67</v>
      </c>
      <c r="H6748" t="s">
        <v>68</v>
      </c>
      <c r="I6748" s="3">
        <v>1591</v>
      </c>
      <c r="J6748" s="3">
        <v>1591</v>
      </c>
      <c r="K6748" s="3">
        <v>421</v>
      </c>
      <c r="L6748" t="s">
        <v>98</v>
      </c>
      <c r="M6748">
        <v>5</v>
      </c>
      <c r="N6748" t="s">
        <v>85</v>
      </c>
      <c r="O6748" t="s">
        <v>81</v>
      </c>
      <c r="P6748" t="s">
        <v>12</v>
      </c>
      <c r="Q6748" t="s">
        <v>13</v>
      </c>
      <c r="R6748" t="s">
        <v>13</v>
      </c>
      <c r="S6748" t="s">
        <v>144</v>
      </c>
      <c r="T6748" s="2">
        <f>MASTER[[#This Row],[CANTIDAD]]*MASTER[[#This Row],[PRECIO DE VENTA]]</f>
        <v>1591</v>
      </c>
      <c r="U6748" s="2">
        <f>MASTER[[#This Row],[CANTIDAD]]*MASTER[[#This Row],[COSTO UNITARIO]]</f>
        <v>421</v>
      </c>
      <c r="V6748" s="2">
        <f>MASTER[[#This Row],[MONTO VENDIDO]]-MASTER[[#This Row],[COSTO DE VENTA]]</f>
        <v>1170</v>
      </c>
    </row>
    <row r="6749" spans="1:22" x14ac:dyDescent="0.3">
      <c r="A6749">
        <v>98163</v>
      </c>
      <c r="B6749">
        <v>1</v>
      </c>
      <c r="C6749" t="s">
        <v>5</v>
      </c>
      <c r="D6749" t="s">
        <v>6</v>
      </c>
      <c r="E6749" s="1">
        <v>44550</v>
      </c>
      <c r="F6749">
        <v>1</v>
      </c>
      <c r="G6749" t="s">
        <v>7</v>
      </c>
      <c r="H6749" t="s">
        <v>8</v>
      </c>
      <c r="I6749" s="3">
        <v>1311</v>
      </c>
      <c r="J6749" s="3">
        <v>1311</v>
      </c>
      <c r="K6749" s="3">
        <v>393</v>
      </c>
      <c r="L6749" t="s">
        <v>9</v>
      </c>
      <c r="M6749">
        <v>17</v>
      </c>
      <c r="N6749" t="s">
        <v>14</v>
      </c>
      <c r="O6749" t="s">
        <v>11</v>
      </c>
      <c r="P6749" t="s">
        <v>15</v>
      </c>
      <c r="Q6749" t="s">
        <v>16</v>
      </c>
      <c r="R6749" t="s">
        <v>16</v>
      </c>
      <c r="S6749" t="s">
        <v>144</v>
      </c>
      <c r="T6749" s="2">
        <f>MASTER[[#This Row],[CANTIDAD]]*MASTER[[#This Row],[PRECIO DE VENTA]]</f>
        <v>1311</v>
      </c>
      <c r="U6749" s="2">
        <f>MASTER[[#This Row],[CANTIDAD]]*MASTER[[#This Row],[COSTO UNITARIO]]</f>
        <v>393</v>
      </c>
      <c r="V6749" s="2">
        <f>MASTER[[#This Row],[MONTO VENDIDO]]-MASTER[[#This Row],[COSTO DE VENTA]]</f>
        <v>918</v>
      </c>
    </row>
    <row r="6750" spans="1:22" x14ac:dyDescent="0.3">
      <c r="A6750">
        <v>98174</v>
      </c>
      <c r="B6750">
        <v>1</v>
      </c>
      <c r="C6750" t="s">
        <v>94</v>
      </c>
      <c r="D6750" t="s">
        <v>95</v>
      </c>
      <c r="E6750" s="1">
        <v>44557</v>
      </c>
      <c r="F6750">
        <v>1</v>
      </c>
      <c r="G6750" t="s">
        <v>67</v>
      </c>
      <c r="H6750" t="s">
        <v>68</v>
      </c>
      <c r="I6750" s="3">
        <v>1153</v>
      </c>
      <c r="J6750" s="3">
        <v>1083</v>
      </c>
      <c r="K6750" s="3">
        <v>392</v>
      </c>
      <c r="L6750" t="s">
        <v>9</v>
      </c>
      <c r="M6750">
        <v>3</v>
      </c>
      <c r="N6750" t="s">
        <v>69</v>
      </c>
      <c r="O6750" t="s">
        <v>70</v>
      </c>
      <c r="P6750" t="s">
        <v>71</v>
      </c>
      <c r="Q6750" t="s">
        <v>72</v>
      </c>
      <c r="R6750" t="s">
        <v>139</v>
      </c>
      <c r="S6750" t="s">
        <v>144</v>
      </c>
      <c r="T6750" s="2">
        <f>MASTER[[#This Row],[CANTIDAD]]*MASTER[[#This Row],[PRECIO DE VENTA]]</f>
        <v>1083</v>
      </c>
      <c r="U6750" s="2">
        <f>MASTER[[#This Row],[CANTIDAD]]*MASTER[[#This Row],[COSTO UNITARIO]]</f>
        <v>392</v>
      </c>
      <c r="V6750" s="2">
        <f>MASTER[[#This Row],[MONTO VENDIDO]]-MASTER[[#This Row],[COSTO DE VENTA]]</f>
        <v>691</v>
      </c>
    </row>
    <row r="6751" spans="1:22" x14ac:dyDescent="0.3">
      <c r="A6751">
        <v>98305</v>
      </c>
      <c r="B6751">
        <v>1</v>
      </c>
      <c r="C6751" t="s">
        <v>109</v>
      </c>
      <c r="D6751" t="s">
        <v>110</v>
      </c>
      <c r="E6751" s="1">
        <v>44556</v>
      </c>
      <c r="F6751">
        <v>1</v>
      </c>
      <c r="G6751" t="s">
        <v>51</v>
      </c>
      <c r="H6751" t="s">
        <v>52</v>
      </c>
      <c r="I6751" s="3">
        <v>947</v>
      </c>
      <c r="J6751" s="3">
        <v>947</v>
      </c>
      <c r="K6751" s="3">
        <v>387</v>
      </c>
      <c r="L6751" t="s">
        <v>98</v>
      </c>
      <c r="M6751">
        <v>11</v>
      </c>
      <c r="N6751" t="s">
        <v>10</v>
      </c>
      <c r="O6751" t="s">
        <v>11</v>
      </c>
      <c r="P6751" t="s">
        <v>12</v>
      </c>
      <c r="Q6751" t="s">
        <v>13</v>
      </c>
      <c r="R6751" t="s">
        <v>13</v>
      </c>
      <c r="S6751" t="s">
        <v>144</v>
      </c>
      <c r="T6751" s="2">
        <f>MASTER[[#This Row],[CANTIDAD]]*MASTER[[#This Row],[PRECIO DE VENTA]]</f>
        <v>947</v>
      </c>
      <c r="U6751" s="2">
        <f>MASTER[[#This Row],[CANTIDAD]]*MASTER[[#This Row],[COSTO UNITARIO]]</f>
        <v>387</v>
      </c>
      <c r="V6751" s="2">
        <f>MASTER[[#This Row],[MONTO VENDIDO]]-MASTER[[#This Row],[COSTO DE VENTA]]</f>
        <v>560</v>
      </c>
    </row>
    <row r="6752" spans="1:22" x14ac:dyDescent="0.3">
      <c r="A6752">
        <v>98312</v>
      </c>
      <c r="B6752">
        <v>1</v>
      </c>
      <c r="C6752" t="s">
        <v>103</v>
      </c>
      <c r="D6752" t="s">
        <v>104</v>
      </c>
      <c r="E6752" s="1">
        <v>44545</v>
      </c>
      <c r="F6752">
        <v>1</v>
      </c>
      <c r="G6752" t="s">
        <v>59</v>
      </c>
      <c r="H6752" t="s">
        <v>60</v>
      </c>
      <c r="I6752" s="3">
        <v>1591</v>
      </c>
      <c r="J6752" s="3">
        <v>1591</v>
      </c>
      <c r="K6752" s="3">
        <v>421</v>
      </c>
      <c r="L6752" t="s">
        <v>98</v>
      </c>
      <c r="M6752">
        <v>14</v>
      </c>
      <c r="N6752" t="s">
        <v>87</v>
      </c>
      <c r="O6752" t="s">
        <v>81</v>
      </c>
      <c r="P6752" t="s">
        <v>18</v>
      </c>
      <c r="Q6752" t="s">
        <v>19</v>
      </c>
      <c r="R6752" t="s">
        <v>138</v>
      </c>
      <c r="S6752" t="s">
        <v>144</v>
      </c>
      <c r="T6752" s="2">
        <f>MASTER[[#This Row],[CANTIDAD]]*MASTER[[#This Row],[PRECIO DE VENTA]]</f>
        <v>1591</v>
      </c>
      <c r="U6752" s="2">
        <f>MASTER[[#This Row],[CANTIDAD]]*MASTER[[#This Row],[COSTO UNITARIO]]</f>
        <v>421</v>
      </c>
      <c r="V6752" s="2">
        <f>MASTER[[#This Row],[MONTO VENDIDO]]-MASTER[[#This Row],[COSTO DE VENTA]]</f>
        <v>1170</v>
      </c>
    </row>
    <row r="6753" spans="1:22" x14ac:dyDescent="0.3">
      <c r="A6753">
        <v>98522</v>
      </c>
      <c r="B6753">
        <v>1</v>
      </c>
      <c r="C6753" t="s">
        <v>5</v>
      </c>
      <c r="D6753" t="s">
        <v>6</v>
      </c>
      <c r="E6753" s="1">
        <v>44558</v>
      </c>
      <c r="F6753">
        <v>1</v>
      </c>
      <c r="G6753" t="s">
        <v>22</v>
      </c>
      <c r="H6753" t="s">
        <v>23</v>
      </c>
      <c r="I6753" s="3">
        <v>1507</v>
      </c>
      <c r="J6753" s="3">
        <v>1507</v>
      </c>
      <c r="K6753" s="3">
        <v>393</v>
      </c>
      <c r="L6753" t="s">
        <v>9</v>
      </c>
      <c r="M6753">
        <v>7</v>
      </c>
      <c r="N6753" t="s">
        <v>84</v>
      </c>
      <c r="O6753" t="s">
        <v>81</v>
      </c>
      <c r="P6753" t="s">
        <v>12</v>
      </c>
      <c r="Q6753" t="s">
        <v>13</v>
      </c>
      <c r="R6753" t="s">
        <v>13</v>
      </c>
      <c r="S6753" t="s">
        <v>144</v>
      </c>
      <c r="T6753" s="2">
        <f>MASTER[[#This Row],[CANTIDAD]]*MASTER[[#This Row],[PRECIO DE VENTA]]</f>
        <v>1507</v>
      </c>
      <c r="U6753" s="2">
        <f>MASTER[[#This Row],[CANTIDAD]]*MASTER[[#This Row],[COSTO UNITARIO]]</f>
        <v>393</v>
      </c>
      <c r="V6753" s="2">
        <f>MASTER[[#This Row],[MONTO VENDIDO]]-MASTER[[#This Row],[COSTO DE VENTA]]</f>
        <v>1114</v>
      </c>
    </row>
    <row r="6754" spans="1:22" x14ac:dyDescent="0.3">
      <c r="A6754">
        <v>98570</v>
      </c>
      <c r="B6754">
        <v>1</v>
      </c>
      <c r="C6754" t="s">
        <v>111</v>
      </c>
      <c r="D6754" t="s">
        <v>112</v>
      </c>
      <c r="E6754" s="1">
        <v>44554</v>
      </c>
      <c r="F6754">
        <v>1</v>
      </c>
      <c r="G6754" t="s">
        <v>67</v>
      </c>
      <c r="H6754" t="s">
        <v>68</v>
      </c>
      <c r="I6754" s="3">
        <v>1524</v>
      </c>
      <c r="J6754" s="3">
        <v>1524</v>
      </c>
      <c r="K6754" s="3">
        <v>434</v>
      </c>
      <c r="L6754" t="s">
        <v>113</v>
      </c>
      <c r="M6754">
        <v>16</v>
      </c>
      <c r="N6754" t="s">
        <v>17</v>
      </c>
      <c r="O6754" t="s">
        <v>11</v>
      </c>
      <c r="P6754" t="s">
        <v>18</v>
      </c>
      <c r="Q6754" t="s">
        <v>19</v>
      </c>
      <c r="R6754" t="s">
        <v>138</v>
      </c>
      <c r="S6754" t="s">
        <v>144</v>
      </c>
      <c r="T6754" s="2">
        <f>MASTER[[#This Row],[CANTIDAD]]*MASTER[[#This Row],[PRECIO DE VENTA]]</f>
        <v>1524</v>
      </c>
      <c r="U6754" s="2">
        <f>MASTER[[#This Row],[CANTIDAD]]*MASTER[[#This Row],[COSTO UNITARIO]]</f>
        <v>434</v>
      </c>
      <c r="V6754" s="2">
        <f>MASTER[[#This Row],[MONTO VENDIDO]]-MASTER[[#This Row],[COSTO DE VENTA]]</f>
        <v>1090</v>
      </c>
    </row>
    <row r="6755" spans="1:22" x14ac:dyDescent="0.3">
      <c r="A6755">
        <v>98576</v>
      </c>
      <c r="B6755">
        <v>1</v>
      </c>
      <c r="C6755" t="s">
        <v>5</v>
      </c>
      <c r="D6755" t="s">
        <v>6</v>
      </c>
      <c r="E6755" s="1">
        <v>44557</v>
      </c>
      <c r="F6755">
        <v>1</v>
      </c>
      <c r="G6755" t="s">
        <v>27</v>
      </c>
      <c r="H6755" t="s">
        <v>28</v>
      </c>
      <c r="I6755" s="3">
        <v>1507</v>
      </c>
      <c r="J6755" s="3">
        <v>1507</v>
      </c>
      <c r="K6755" s="3">
        <v>393</v>
      </c>
      <c r="L6755" t="s">
        <v>9</v>
      </c>
      <c r="M6755">
        <v>15</v>
      </c>
      <c r="N6755" t="s">
        <v>88</v>
      </c>
      <c r="O6755" t="s">
        <v>81</v>
      </c>
      <c r="P6755" t="s">
        <v>18</v>
      </c>
      <c r="Q6755" t="s">
        <v>19</v>
      </c>
      <c r="R6755" t="s">
        <v>138</v>
      </c>
      <c r="S6755" t="s">
        <v>144</v>
      </c>
      <c r="T6755" s="2">
        <f>MASTER[[#This Row],[CANTIDAD]]*MASTER[[#This Row],[PRECIO DE VENTA]]</f>
        <v>1507</v>
      </c>
      <c r="U6755" s="2">
        <f>MASTER[[#This Row],[CANTIDAD]]*MASTER[[#This Row],[COSTO UNITARIO]]</f>
        <v>393</v>
      </c>
      <c r="V6755" s="2">
        <f>MASTER[[#This Row],[MONTO VENDIDO]]-MASTER[[#This Row],[COSTO DE VENTA]]</f>
        <v>1114</v>
      </c>
    </row>
    <row r="6756" spans="1:22" x14ac:dyDescent="0.3">
      <c r="A6756">
        <v>98644</v>
      </c>
      <c r="B6756">
        <v>1</v>
      </c>
      <c r="C6756" t="s">
        <v>101</v>
      </c>
      <c r="D6756" t="s">
        <v>102</v>
      </c>
      <c r="E6756" s="1">
        <v>44558</v>
      </c>
      <c r="F6756">
        <v>1</v>
      </c>
      <c r="G6756" t="s">
        <v>59</v>
      </c>
      <c r="H6756" t="s">
        <v>60</v>
      </c>
      <c r="I6756" s="3">
        <v>1357</v>
      </c>
      <c r="J6756" s="3">
        <v>1357</v>
      </c>
      <c r="K6756" s="3">
        <v>442</v>
      </c>
      <c r="L6756" t="s">
        <v>98</v>
      </c>
      <c r="M6756">
        <v>1</v>
      </c>
      <c r="N6756" t="s">
        <v>77</v>
      </c>
      <c r="O6756" t="s">
        <v>70</v>
      </c>
      <c r="P6756" t="s">
        <v>71</v>
      </c>
      <c r="Q6756" t="s">
        <v>72</v>
      </c>
      <c r="R6756" t="s">
        <v>139</v>
      </c>
      <c r="S6756" t="s">
        <v>144</v>
      </c>
      <c r="T6756" s="2">
        <f>MASTER[[#This Row],[CANTIDAD]]*MASTER[[#This Row],[PRECIO DE VENTA]]</f>
        <v>1357</v>
      </c>
      <c r="U6756" s="2">
        <f>MASTER[[#This Row],[CANTIDAD]]*MASTER[[#This Row],[COSTO UNITARIO]]</f>
        <v>442</v>
      </c>
      <c r="V6756" s="2">
        <f>MASTER[[#This Row],[MONTO VENDIDO]]-MASTER[[#This Row],[COSTO DE VENTA]]</f>
        <v>915</v>
      </c>
    </row>
    <row r="6757" spans="1:22" x14ac:dyDescent="0.3">
      <c r="A6757">
        <v>98744</v>
      </c>
      <c r="B6757">
        <v>1</v>
      </c>
      <c r="C6757" t="s">
        <v>118</v>
      </c>
      <c r="D6757" t="s">
        <v>119</v>
      </c>
      <c r="E6757" s="1">
        <v>44544</v>
      </c>
      <c r="F6757">
        <v>1</v>
      </c>
      <c r="G6757" t="s">
        <v>31</v>
      </c>
      <c r="H6757" t="s">
        <v>32</v>
      </c>
      <c r="I6757" s="3">
        <v>900</v>
      </c>
      <c r="J6757" s="3">
        <v>900</v>
      </c>
      <c r="K6757" s="3">
        <v>424</v>
      </c>
      <c r="L6757" t="s">
        <v>120</v>
      </c>
      <c r="M6757">
        <v>7</v>
      </c>
      <c r="N6757" t="s">
        <v>84</v>
      </c>
      <c r="O6757" t="s">
        <v>81</v>
      </c>
      <c r="P6757" t="s">
        <v>12</v>
      </c>
      <c r="Q6757" t="s">
        <v>13</v>
      </c>
      <c r="R6757" t="s">
        <v>13</v>
      </c>
      <c r="S6757" t="s">
        <v>144</v>
      </c>
      <c r="T6757" s="2">
        <f>MASTER[[#This Row],[CANTIDAD]]*MASTER[[#This Row],[PRECIO DE VENTA]]</f>
        <v>900</v>
      </c>
      <c r="U6757" s="2">
        <f>MASTER[[#This Row],[CANTIDAD]]*MASTER[[#This Row],[COSTO UNITARIO]]</f>
        <v>424</v>
      </c>
      <c r="V6757" s="2">
        <f>MASTER[[#This Row],[MONTO VENDIDO]]-MASTER[[#This Row],[COSTO DE VENTA]]</f>
        <v>476</v>
      </c>
    </row>
    <row r="6758" spans="1:22" x14ac:dyDescent="0.3">
      <c r="A6758">
        <v>98813</v>
      </c>
      <c r="B6758">
        <v>1</v>
      </c>
      <c r="C6758" t="s">
        <v>103</v>
      </c>
      <c r="D6758" t="s">
        <v>104</v>
      </c>
      <c r="E6758" s="1">
        <v>44546</v>
      </c>
      <c r="F6758">
        <v>1</v>
      </c>
      <c r="G6758" t="s">
        <v>73</v>
      </c>
      <c r="H6758" t="s">
        <v>74</v>
      </c>
      <c r="I6758" s="3">
        <v>1591</v>
      </c>
      <c r="J6758" s="3">
        <v>1591</v>
      </c>
      <c r="K6758" s="3">
        <v>421</v>
      </c>
      <c r="L6758" t="s">
        <v>98</v>
      </c>
      <c r="M6758">
        <v>14</v>
      </c>
      <c r="N6758" t="s">
        <v>87</v>
      </c>
      <c r="O6758" t="s">
        <v>81</v>
      </c>
      <c r="P6758" t="s">
        <v>18</v>
      </c>
      <c r="Q6758" t="s">
        <v>19</v>
      </c>
      <c r="R6758" t="s">
        <v>138</v>
      </c>
      <c r="S6758" t="s">
        <v>144</v>
      </c>
      <c r="T6758" s="2">
        <f>MASTER[[#This Row],[CANTIDAD]]*MASTER[[#This Row],[PRECIO DE VENTA]]</f>
        <v>1591</v>
      </c>
      <c r="U6758" s="2">
        <f>MASTER[[#This Row],[CANTIDAD]]*MASTER[[#This Row],[COSTO UNITARIO]]</f>
        <v>421</v>
      </c>
      <c r="V6758" s="2">
        <f>MASTER[[#This Row],[MONTO VENDIDO]]-MASTER[[#This Row],[COSTO DE VENTA]]</f>
        <v>1170</v>
      </c>
    </row>
    <row r="6759" spans="1:22" x14ac:dyDescent="0.3">
      <c r="A6759">
        <v>98821</v>
      </c>
      <c r="B6759">
        <v>1</v>
      </c>
      <c r="C6759" t="s">
        <v>103</v>
      </c>
      <c r="D6759" t="s">
        <v>104</v>
      </c>
      <c r="E6759" s="1">
        <v>44554</v>
      </c>
      <c r="F6759">
        <v>1</v>
      </c>
      <c r="G6759" t="s">
        <v>49</v>
      </c>
      <c r="H6759" t="s">
        <v>50</v>
      </c>
      <c r="I6759" s="3">
        <v>1591</v>
      </c>
      <c r="J6759" s="3">
        <v>1591</v>
      </c>
      <c r="K6759" s="3">
        <v>421</v>
      </c>
      <c r="L6759" t="s">
        <v>98</v>
      </c>
      <c r="M6759">
        <v>10</v>
      </c>
      <c r="N6759" t="s">
        <v>83</v>
      </c>
      <c r="O6759" t="s">
        <v>81</v>
      </c>
      <c r="P6759" t="s">
        <v>12</v>
      </c>
      <c r="Q6759" t="s">
        <v>13</v>
      </c>
      <c r="R6759" t="s">
        <v>13</v>
      </c>
      <c r="S6759" t="s">
        <v>144</v>
      </c>
      <c r="T6759" s="2">
        <f>MASTER[[#This Row],[CANTIDAD]]*MASTER[[#This Row],[PRECIO DE VENTA]]</f>
        <v>1591</v>
      </c>
      <c r="U6759" s="2">
        <f>MASTER[[#This Row],[CANTIDAD]]*MASTER[[#This Row],[COSTO UNITARIO]]</f>
        <v>421</v>
      </c>
      <c r="V6759" s="2">
        <f>MASTER[[#This Row],[MONTO VENDIDO]]-MASTER[[#This Row],[COSTO DE VENTA]]</f>
        <v>1170</v>
      </c>
    </row>
    <row r="6760" spans="1:22" x14ac:dyDescent="0.3">
      <c r="A6760">
        <v>98979</v>
      </c>
      <c r="B6760">
        <v>1</v>
      </c>
      <c r="C6760" t="s">
        <v>118</v>
      </c>
      <c r="D6760" t="s">
        <v>119</v>
      </c>
      <c r="E6760" s="1">
        <v>44558</v>
      </c>
      <c r="F6760">
        <v>1</v>
      </c>
      <c r="G6760" t="s">
        <v>65</v>
      </c>
      <c r="H6760" t="s">
        <v>66</v>
      </c>
      <c r="I6760" s="3">
        <v>1026</v>
      </c>
      <c r="J6760" s="3">
        <v>1026</v>
      </c>
      <c r="K6760" s="3">
        <v>424</v>
      </c>
      <c r="L6760" t="s">
        <v>120</v>
      </c>
      <c r="M6760">
        <v>13</v>
      </c>
      <c r="N6760" t="s">
        <v>78</v>
      </c>
      <c r="O6760" t="s">
        <v>70</v>
      </c>
      <c r="P6760" t="s">
        <v>18</v>
      </c>
      <c r="Q6760" t="s">
        <v>19</v>
      </c>
      <c r="R6760" t="s">
        <v>138</v>
      </c>
      <c r="S6760" t="s">
        <v>144</v>
      </c>
      <c r="T6760" s="2">
        <f>MASTER[[#This Row],[CANTIDAD]]*MASTER[[#This Row],[PRECIO DE VENTA]]</f>
        <v>1026</v>
      </c>
      <c r="U6760" s="2">
        <f>MASTER[[#This Row],[CANTIDAD]]*MASTER[[#This Row],[COSTO UNITARIO]]</f>
        <v>424</v>
      </c>
      <c r="V6760" s="2">
        <f>MASTER[[#This Row],[MONTO VENDIDO]]-MASTER[[#This Row],[COSTO DE VENTA]]</f>
        <v>602</v>
      </c>
    </row>
    <row r="6761" spans="1:22" x14ac:dyDescent="0.3">
      <c r="A6761">
        <v>100025</v>
      </c>
      <c r="B6761">
        <v>1</v>
      </c>
      <c r="C6761" t="s">
        <v>96</v>
      </c>
      <c r="D6761" t="s">
        <v>97</v>
      </c>
      <c r="E6761" s="1">
        <v>43831</v>
      </c>
      <c r="F6761">
        <v>1</v>
      </c>
      <c r="G6761" t="s">
        <v>51</v>
      </c>
      <c r="H6761" t="s">
        <v>52</v>
      </c>
      <c r="I6761" s="4">
        <v>1769</v>
      </c>
      <c r="J6761" s="3">
        <v>1769</v>
      </c>
      <c r="K6761" s="4">
        <v>397</v>
      </c>
      <c r="L6761" t="s">
        <v>98</v>
      </c>
      <c r="M6761">
        <v>18</v>
      </c>
      <c r="N6761" t="str">
        <f>IF(MASTER[[#This Row],[IDLOCAL]]=17,"HYDE PARK", "HARLEM IRVING")</f>
        <v>HARLEM IRVING</v>
      </c>
      <c r="O6761" t="str">
        <f>IF(MASTER[[#This Row],[IDLOCAL]]=17,"PREMIUM", "ESTÁNDAR")</f>
        <v>ESTÁNDAR</v>
      </c>
      <c r="P6761" t="s">
        <v>137</v>
      </c>
      <c r="Q6761" t="s">
        <v>142</v>
      </c>
      <c r="R6761" t="s">
        <v>143</v>
      </c>
      <c r="S6761" t="s">
        <v>145</v>
      </c>
      <c r="T6761" s="2">
        <f>MASTER[[#This Row],[CANTIDAD]]*MASTER[[#This Row],[PRECIO DE VENTA]]</f>
        <v>1769</v>
      </c>
      <c r="U6761" s="2">
        <f>MASTER[[#This Row],[CANTIDAD]]*MASTER[[#This Row],[COSTO UNITARIO]]</f>
        <v>397</v>
      </c>
      <c r="V6761" s="2">
        <f>MASTER[[#This Row],[MONTO VENDIDO]]-MASTER[[#This Row],[COSTO DE VENTA]]</f>
        <v>1372</v>
      </c>
    </row>
    <row r="6762" spans="1:22" x14ac:dyDescent="0.3">
      <c r="A6762">
        <v>100035</v>
      </c>
      <c r="B6762">
        <v>1</v>
      </c>
      <c r="C6762" t="s">
        <v>109</v>
      </c>
      <c r="D6762" t="s">
        <v>110</v>
      </c>
      <c r="E6762" s="1">
        <v>43834</v>
      </c>
      <c r="F6762">
        <v>1</v>
      </c>
      <c r="G6762" t="s">
        <v>51</v>
      </c>
      <c r="H6762" t="s">
        <v>52</v>
      </c>
      <c r="I6762" s="4">
        <v>1466</v>
      </c>
      <c r="J6762" s="3">
        <v>1466</v>
      </c>
      <c r="K6762" s="4">
        <v>387</v>
      </c>
      <c r="L6762" t="s">
        <v>98</v>
      </c>
      <c r="M6762">
        <v>19</v>
      </c>
      <c r="N6762" t="s">
        <v>150</v>
      </c>
      <c r="O6762" t="s">
        <v>81</v>
      </c>
      <c r="P6762" t="s">
        <v>136</v>
      </c>
      <c r="Q6762" t="s">
        <v>140</v>
      </c>
      <c r="R6762" t="s">
        <v>141</v>
      </c>
      <c r="S6762" t="s">
        <v>145</v>
      </c>
      <c r="T6762" s="2">
        <f>MASTER[[#This Row],[CANTIDAD]]*MASTER[[#This Row],[PRECIO DE VENTA]]</f>
        <v>1466</v>
      </c>
      <c r="U6762" s="2">
        <f>MASTER[[#This Row],[CANTIDAD]]*MASTER[[#This Row],[COSTO UNITARIO]]</f>
        <v>387</v>
      </c>
      <c r="V6762" s="2">
        <f>MASTER[[#This Row],[MONTO VENDIDO]]-MASTER[[#This Row],[COSTO DE VENTA]]</f>
        <v>1079</v>
      </c>
    </row>
    <row r="6763" spans="1:22" x14ac:dyDescent="0.3">
      <c r="A6763">
        <v>100036</v>
      </c>
      <c r="B6763">
        <v>1</v>
      </c>
      <c r="C6763" t="s">
        <v>111</v>
      </c>
      <c r="D6763" t="s">
        <v>112</v>
      </c>
      <c r="E6763" s="1">
        <v>43834</v>
      </c>
      <c r="F6763">
        <v>1</v>
      </c>
      <c r="G6763" t="s">
        <v>59</v>
      </c>
      <c r="H6763" t="s">
        <v>60</v>
      </c>
      <c r="I6763" s="4">
        <v>2338</v>
      </c>
      <c r="J6763" s="3">
        <v>2338</v>
      </c>
      <c r="K6763" s="4">
        <v>434</v>
      </c>
      <c r="L6763" t="s">
        <v>113</v>
      </c>
      <c r="M6763">
        <v>17</v>
      </c>
      <c r="N6763" t="str">
        <f>IF(MASTER[[#This Row],[IDLOCAL]]=17,"HYDE PARK", "HARLEM IRVING")</f>
        <v>HYDE PARK</v>
      </c>
      <c r="O6763" t="str">
        <f>IF(MASTER[[#This Row],[IDLOCAL]]=17,"PREMIUM", "ESTÁNDAR")</f>
        <v>PREMIUM</v>
      </c>
      <c r="P6763" t="s">
        <v>137</v>
      </c>
      <c r="Q6763" t="s">
        <v>142</v>
      </c>
      <c r="R6763" t="s">
        <v>143</v>
      </c>
      <c r="S6763" t="s">
        <v>145</v>
      </c>
      <c r="T6763" s="2">
        <f>MASTER[[#This Row],[CANTIDAD]]*MASTER[[#This Row],[PRECIO DE VENTA]]</f>
        <v>2338</v>
      </c>
      <c r="U6763" s="2">
        <f>MASTER[[#This Row],[CANTIDAD]]*MASTER[[#This Row],[COSTO UNITARIO]]</f>
        <v>434</v>
      </c>
      <c r="V6763" s="2">
        <f>MASTER[[#This Row],[MONTO VENDIDO]]-MASTER[[#This Row],[COSTO DE VENTA]]</f>
        <v>1904</v>
      </c>
    </row>
    <row r="6764" spans="1:22" x14ac:dyDescent="0.3">
      <c r="A6764">
        <v>100038</v>
      </c>
      <c r="B6764">
        <v>1</v>
      </c>
      <c r="C6764" t="s">
        <v>114</v>
      </c>
      <c r="D6764" t="s">
        <v>115</v>
      </c>
      <c r="E6764" s="1">
        <v>43834</v>
      </c>
      <c r="F6764">
        <v>1</v>
      </c>
      <c r="G6764" t="s">
        <v>45</v>
      </c>
      <c r="H6764" t="s">
        <v>46</v>
      </c>
      <c r="I6764" s="4">
        <v>2639</v>
      </c>
      <c r="J6764" s="3">
        <v>2639</v>
      </c>
      <c r="K6764" s="4">
        <v>394</v>
      </c>
      <c r="L6764" t="s">
        <v>113</v>
      </c>
      <c r="M6764">
        <v>19</v>
      </c>
      <c r="N6764" t="s">
        <v>150</v>
      </c>
      <c r="O6764" t="s">
        <v>81</v>
      </c>
      <c r="P6764" t="s">
        <v>136</v>
      </c>
      <c r="Q6764" t="s">
        <v>140</v>
      </c>
      <c r="R6764" t="s">
        <v>141</v>
      </c>
      <c r="S6764" t="s">
        <v>145</v>
      </c>
      <c r="T6764" s="2">
        <f>MASTER[[#This Row],[CANTIDAD]]*MASTER[[#This Row],[PRECIO DE VENTA]]</f>
        <v>2639</v>
      </c>
      <c r="U6764" s="2">
        <f>MASTER[[#This Row],[CANTIDAD]]*MASTER[[#This Row],[COSTO UNITARIO]]</f>
        <v>394</v>
      </c>
      <c r="V6764" s="2">
        <f>MASTER[[#This Row],[MONTO VENDIDO]]-MASTER[[#This Row],[COSTO DE VENTA]]</f>
        <v>2245</v>
      </c>
    </row>
    <row r="6765" spans="1:22" x14ac:dyDescent="0.3">
      <c r="A6765">
        <v>100048</v>
      </c>
      <c r="B6765">
        <v>1</v>
      </c>
      <c r="C6765" t="s">
        <v>118</v>
      </c>
      <c r="D6765" t="s">
        <v>119</v>
      </c>
      <c r="E6765" s="1">
        <v>43834</v>
      </c>
      <c r="F6765">
        <v>1</v>
      </c>
      <c r="G6765" t="s">
        <v>29</v>
      </c>
      <c r="H6765" t="s">
        <v>30</v>
      </c>
      <c r="I6765" s="4">
        <v>1170</v>
      </c>
      <c r="J6765" s="3">
        <v>1170</v>
      </c>
      <c r="K6765" s="4">
        <v>424</v>
      </c>
      <c r="L6765" t="s">
        <v>120</v>
      </c>
      <c r="M6765">
        <v>19</v>
      </c>
      <c r="N6765" t="s">
        <v>150</v>
      </c>
      <c r="O6765" t="s">
        <v>81</v>
      </c>
      <c r="P6765" t="s">
        <v>136</v>
      </c>
      <c r="Q6765" t="s">
        <v>140</v>
      </c>
      <c r="R6765" t="s">
        <v>141</v>
      </c>
      <c r="S6765" t="s">
        <v>145</v>
      </c>
      <c r="T6765" s="2">
        <f>MASTER[[#This Row],[CANTIDAD]]*MASTER[[#This Row],[PRECIO DE VENTA]]</f>
        <v>1170</v>
      </c>
      <c r="U6765" s="2">
        <f>MASTER[[#This Row],[CANTIDAD]]*MASTER[[#This Row],[COSTO UNITARIO]]</f>
        <v>424</v>
      </c>
      <c r="V6765" s="2">
        <f>MASTER[[#This Row],[MONTO VENDIDO]]-MASTER[[#This Row],[COSTO DE VENTA]]</f>
        <v>746</v>
      </c>
    </row>
    <row r="6766" spans="1:22" x14ac:dyDescent="0.3">
      <c r="A6766">
        <v>100051</v>
      </c>
      <c r="B6766">
        <v>1</v>
      </c>
      <c r="C6766" t="s">
        <v>90</v>
      </c>
      <c r="D6766" t="s">
        <v>91</v>
      </c>
      <c r="E6766" s="1">
        <v>43835</v>
      </c>
      <c r="F6766">
        <v>1</v>
      </c>
      <c r="G6766" t="s">
        <v>7</v>
      </c>
      <c r="H6766" t="s">
        <v>8</v>
      </c>
      <c r="I6766" s="4">
        <v>2397</v>
      </c>
      <c r="J6766" s="3">
        <v>2397</v>
      </c>
      <c r="K6766" s="4">
        <v>420</v>
      </c>
      <c r="L6766" t="s">
        <v>9</v>
      </c>
      <c r="M6766">
        <v>17</v>
      </c>
      <c r="N6766" t="str">
        <f>IF(MASTER[[#This Row],[IDLOCAL]]=17,"HYDE PARK", "HARLEM IRVING")</f>
        <v>HYDE PARK</v>
      </c>
      <c r="O6766" t="str">
        <f>IF(MASTER[[#This Row],[IDLOCAL]]=17,"PREMIUM", "ESTÁNDAR")</f>
        <v>PREMIUM</v>
      </c>
      <c r="P6766" t="s">
        <v>137</v>
      </c>
      <c r="Q6766" t="s">
        <v>142</v>
      </c>
      <c r="R6766" t="s">
        <v>143</v>
      </c>
      <c r="S6766" t="s">
        <v>145</v>
      </c>
      <c r="T6766" s="2">
        <f>MASTER[[#This Row],[CANTIDAD]]*MASTER[[#This Row],[PRECIO DE VENTA]]</f>
        <v>2397</v>
      </c>
      <c r="U6766" s="2">
        <f>MASTER[[#This Row],[CANTIDAD]]*MASTER[[#This Row],[COSTO UNITARIO]]</f>
        <v>420</v>
      </c>
      <c r="V6766" s="2">
        <f>MASTER[[#This Row],[MONTO VENDIDO]]-MASTER[[#This Row],[COSTO DE VENTA]]</f>
        <v>1977</v>
      </c>
    </row>
    <row r="6767" spans="1:22" x14ac:dyDescent="0.3">
      <c r="A6767">
        <v>100080</v>
      </c>
      <c r="B6767">
        <v>1</v>
      </c>
      <c r="C6767" t="s">
        <v>105</v>
      </c>
      <c r="D6767" t="s">
        <v>106</v>
      </c>
      <c r="E6767" s="1">
        <v>43836</v>
      </c>
      <c r="F6767">
        <v>1</v>
      </c>
      <c r="G6767" t="s">
        <v>53</v>
      </c>
      <c r="H6767" t="s">
        <v>54</v>
      </c>
      <c r="I6767" s="4">
        <v>2424</v>
      </c>
      <c r="J6767" s="3">
        <v>2424</v>
      </c>
      <c r="K6767" s="4">
        <v>459</v>
      </c>
      <c r="L6767" t="s">
        <v>98</v>
      </c>
      <c r="M6767">
        <v>19</v>
      </c>
      <c r="N6767" t="s">
        <v>150</v>
      </c>
      <c r="O6767" t="s">
        <v>81</v>
      </c>
      <c r="P6767" t="s">
        <v>136</v>
      </c>
      <c r="Q6767" t="s">
        <v>140</v>
      </c>
      <c r="R6767" t="s">
        <v>141</v>
      </c>
      <c r="S6767" t="s">
        <v>145</v>
      </c>
      <c r="T6767" s="2">
        <f>MASTER[[#This Row],[CANTIDAD]]*MASTER[[#This Row],[PRECIO DE VENTA]]</f>
        <v>2424</v>
      </c>
      <c r="U6767" s="2">
        <f>MASTER[[#This Row],[CANTIDAD]]*MASTER[[#This Row],[COSTO UNITARIO]]</f>
        <v>459</v>
      </c>
      <c r="V6767" s="2">
        <f>MASTER[[#This Row],[MONTO VENDIDO]]-MASTER[[#This Row],[COSTO DE VENTA]]</f>
        <v>1965</v>
      </c>
    </row>
    <row r="6768" spans="1:22" x14ac:dyDescent="0.3">
      <c r="A6768">
        <v>100084</v>
      </c>
      <c r="B6768">
        <v>2</v>
      </c>
      <c r="C6768" t="s">
        <v>92</v>
      </c>
      <c r="D6768" t="s">
        <v>93</v>
      </c>
      <c r="E6768" s="1">
        <v>43837</v>
      </c>
      <c r="F6768">
        <v>1</v>
      </c>
      <c r="G6768" t="s">
        <v>67</v>
      </c>
      <c r="H6768" t="s">
        <v>68</v>
      </c>
      <c r="I6768" s="4">
        <v>2425</v>
      </c>
      <c r="J6768" s="3">
        <v>2425</v>
      </c>
      <c r="K6768" s="4">
        <v>396</v>
      </c>
      <c r="L6768" t="s">
        <v>9</v>
      </c>
      <c r="M6768">
        <v>19</v>
      </c>
      <c r="N6768" t="s">
        <v>150</v>
      </c>
      <c r="O6768" t="s">
        <v>81</v>
      </c>
      <c r="P6768" t="s">
        <v>136</v>
      </c>
      <c r="Q6768" t="s">
        <v>140</v>
      </c>
      <c r="R6768" t="s">
        <v>141</v>
      </c>
      <c r="S6768" t="s">
        <v>145</v>
      </c>
      <c r="T6768" s="2">
        <f>MASTER[[#This Row],[CANTIDAD]]*MASTER[[#This Row],[PRECIO DE VENTA]]</f>
        <v>2425</v>
      </c>
      <c r="U6768" s="2">
        <f>MASTER[[#This Row],[CANTIDAD]]*MASTER[[#This Row],[COSTO UNITARIO]]</f>
        <v>396</v>
      </c>
      <c r="V6768" s="2">
        <f>MASTER[[#This Row],[MONTO VENDIDO]]-MASTER[[#This Row],[COSTO DE VENTA]]</f>
        <v>2029</v>
      </c>
    </row>
    <row r="6769" spans="1:22" x14ac:dyDescent="0.3">
      <c r="A6769">
        <v>100105</v>
      </c>
      <c r="B6769">
        <v>1</v>
      </c>
      <c r="C6769" t="s">
        <v>107</v>
      </c>
      <c r="D6769" t="s">
        <v>108</v>
      </c>
      <c r="E6769" s="1">
        <v>43838</v>
      </c>
      <c r="F6769">
        <v>1</v>
      </c>
      <c r="G6769" t="s">
        <v>47</v>
      </c>
      <c r="H6769" t="s">
        <v>48</v>
      </c>
      <c r="I6769" s="4">
        <v>1872</v>
      </c>
      <c r="J6769" s="3">
        <v>1872</v>
      </c>
      <c r="K6769" s="4">
        <v>380</v>
      </c>
      <c r="L6769" t="s">
        <v>98</v>
      </c>
      <c r="M6769">
        <v>18</v>
      </c>
      <c r="N6769" t="str">
        <f>IF(MASTER[[#This Row],[IDLOCAL]]=17,"HYDE PARK", "HARLEM IRVING")</f>
        <v>HARLEM IRVING</v>
      </c>
      <c r="O6769" t="str">
        <f>IF(MASTER[[#This Row],[IDLOCAL]]=17,"PREMIUM", "ESTÁNDAR")</f>
        <v>ESTÁNDAR</v>
      </c>
      <c r="P6769" t="s">
        <v>137</v>
      </c>
      <c r="Q6769" t="s">
        <v>142</v>
      </c>
      <c r="R6769" t="s">
        <v>143</v>
      </c>
      <c r="S6769" t="s">
        <v>145</v>
      </c>
      <c r="T6769" s="2">
        <f>MASTER[[#This Row],[CANTIDAD]]*MASTER[[#This Row],[PRECIO DE VENTA]]</f>
        <v>1872</v>
      </c>
      <c r="U6769" s="2">
        <f>MASTER[[#This Row],[CANTIDAD]]*MASTER[[#This Row],[COSTO UNITARIO]]</f>
        <v>380</v>
      </c>
      <c r="V6769" s="2">
        <f>MASTER[[#This Row],[MONTO VENDIDO]]-MASTER[[#This Row],[COSTO DE VENTA]]</f>
        <v>1492</v>
      </c>
    </row>
    <row r="6770" spans="1:22" x14ac:dyDescent="0.3">
      <c r="A6770">
        <v>100122</v>
      </c>
      <c r="B6770">
        <v>1</v>
      </c>
      <c r="C6770" t="s">
        <v>90</v>
      </c>
      <c r="D6770" t="s">
        <v>91</v>
      </c>
      <c r="E6770" s="1">
        <v>43839</v>
      </c>
      <c r="F6770">
        <v>1</v>
      </c>
      <c r="G6770" t="s">
        <v>47</v>
      </c>
      <c r="H6770" t="s">
        <v>48</v>
      </c>
      <c r="I6770" s="4">
        <v>2158</v>
      </c>
      <c r="J6770" s="3">
        <v>2158</v>
      </c>
      <c r="K6770" s="4">
        <v>420</v>
      </c>
      <c r="L6770" t="s">
        <v>9</v>
      </c>
      <c r="M6770">
        <v>17</v>
      </c>
      <c r="N6770" t="str">
        <f>IF(MASTER[[#This Row],[IDLOCAL]]=17,"HYDE PARK", "HARLEM IRVING")</f>
        <v>HYDE PARK</v>
      </c>
      <c r="O6770" t="str">
        <f>IF(MASTER[[#This Row],[IDLOCAL]]=17,"PREMIUM", "ESTÁNDAR")</f>
        <v>PREMIUM</v>
      </c>
      <c r="P6770" t="s">
        <v>137</v>
      </c>
      <c r="Q6770" t="s">
        <v>142</v>
      </c>
      <c r="R6770" t="s">
        <v>143</v>
      </c>
      <c r="S6770" t="s">
        <v>145</v>
      </c>
      <c r="T6770" s="2">
        <f>MASTER[[#This Row],[CANTIDAD]]*MASTER[[#This Row],[PRECIO DE VENTA]]</f>
        <v>2158</v>
      </c>
      <c r="U6770" s="2">
        <f>MASTER[[#This Row],[CANTIDAD]]*MASTER[[#This Row],[COSTO UNITARIO]]</f>
        <v>420</v>
      </c>
      <c r="V6770" s="2">
        <f>MASTER[[#This Row],[MONTO VENDIDO]]-MASTER[[#This Row],[COSTO DE VENTA]]</f>
        <v>1738</v>
      </c>
    </row>
    <row r="6771" spans="1:22" x14ac:dyDescent="0.3">
      <c r="A6771">
        <v>100128</v>
      </c>
      <c r="B6771">
        <v>1</v>
      </c>
      <c r="C6771" t="s">
        <v>116</v>
      </c>
      <c r="D6771" t="s">
        <v>117</v>
      </c>
      <c r="E6771" s="1">
        <v>43840</v>
      </c>
      <c r="F6771">
        <v>1</v>
      </c>
      <c r="G6771" t="s">
        <v>29</v>
      </c>
      <c r="H6771" t="s">
        <v>30</v>
      </c>
      <c r="I6771" s="4">
        <v>2259</v>
      </c>
      <c r="J6771" s="3">
        <v>2259</v>
      </c>
      <c r="K6771" s="4">
        <v>388</v>
      </c>
      <c r="L6771" t="s">
        <v>113</v>
      </c>
      <c r="M6771">
        <v>19</v>
      </c>
      <c r="N6771" t="s">
        <v>150</v>
      </c>
      <c r="O6771" t="s">
        <v>81</v>
      </c>
      <c r="P6771" t="s">
        <v>136</v>
      </c>
      <c r="Q6771" t="s">
        <v>140</v>
      </c>
      <c r="R6771" t="s">
        <v>141</v>
      </c>
      <c r="S6771" t="s">
        <v>145</v>
      </c>
      <c r="T6771" s="2">
        <f>MASTER[[#This Row],[CANTIDAD]]*MASTER[[#This Row],[PRECIO DE VENTA]]</f>
        <v>2259</v>
      </c>
      <c r="U6771" s="2">
        <f>MASTER[[#This Row],[CANTIDAD]]*MASTER[[#This Row],[COSTO UNITARIO]]</f>
        <v>388</v>
      </c>
      <c r="V6771" s="2">
        <f>MASTER[[#This Row],[MONTO VENDIDO]]-MASTER[[#This Row],[COSTO DE VENTA]]</f>
        <v>1871</v>
      </c>
    </row>
    <row r="6772" spans="1:22" x14ac:dyDescent="0.3">
      <c r="A6772">
        <v>100133</v>
      </c>
      <c r="B6772">
        <v>1</v>
      </c>
      <c r="C6772" t="s">
        <v>121</v>
      </c>
      <c r="D6772" t="s">
        <v>122</v>
      </c>
      <c r="E6772" s="1">
        <v>43840</v>
      </c>
      <c r="F6772">
        <v>1</v>
      </c>
      <c r="G6772" t="s">
        <v>20</v>
      </c>
      <c r="H6772" t="s">
        <v>21</v>
      </c>
      <c r="I6772" s="4">
        <v>1389</v>
      </c>
      <c r="J6772" s="3">
        <v>1389</v>
      </c>
      <c r="K6772" s="4">
        <v>460</v>
      </c>
      <c r="L6772" t="s">
        <v>120</v>
      </c>
      <c r="M6772">
        <v>17</v>
      </c>
      <c r="N6772" t="str">
        <f>IF(MASTER[[#This Row],[IDLOCAL]]=17,"HYDE PARK", "HARLEM IRVING")</f>
        <v>HYDE PARK</v>
      </c>
      <c r="O6772" t="str">
        <f>IF(MASTER[[#This Row],[IDLOCAL]]=17,"PREMIUM", "ESTÁNDAR")</f>
        <v>PREMIUM</v>
      </c>
      <c r="P6772" t="s">
        <v>137</v>
      </c>
      <c r="Q6772" t="s">
        <v>142</v>
      </c>
      <c r="R6772" t="s">
        <v>143</v>
      </c>
      <c r="S6772" t="s">
        <v>145</v>
      </c>
      <c r="T6772" s="2">
        <f>MASTER[[#This Row],[CANTIDAD]]*MASTER[[#This Row],[PRECIO DE VENTA]]</f>
        <v>1389</v>
      </c>
      <c r="U6772" s="2">
        <f>MASTER[[#This Row],[CANTIDAD]]*MASTER[[#This Row],[COSTO UNITARIO]]</f>
        <v>460</v>
      </c>
      <c r="V6772" s="2">
        <f>MASTER[[#This Row],[MONTO VENDIDO]]-MASTER[[#This Row],[COSTO DE VENTA]]</f>
        <v>929</v>
      </c>
    </row>
    <row r="6773" spans="1:22" x14ac:dyDescent="0.3">
      <c r="A6773">
        <v>100146</v>
      </c>
      <c r="B6773">
        <v>1</v>
      </c>
      <c r="C6773" t="s">
        <v>94</v>
      </c>
      <c r="D6773" t="s">
        <v>95</v>
      </c>
      <c r="E6773" s="1">
        <v>43845</v>
      </c>
      <c r="F6773">
        <v>1</v>
      </c>
      <c r="G6773" t="s">
        <v>63</v>
      </c>
      <c r="H6773" t="s">
        <v>64</v>
      </c>
      <c r="I6773" s="4">
        <v>1362</v>
      </c>
      <c r="J6773" s="3">
        <v>1362</v>
      </c>
      <c r="K6773" s="4">
        <v>392</v>
      </c>
      <c r="L6773" t="s">
        <v>9</v>
      </c>
      <c r="M6773">
        <v>17</v>
      </c>
      <c r="N6773" t="str">
        <f>IF(MASTER[[#This Row],[IDLOCAL]]=17,"HYDE PARK", "HARLEM IRVING")</f>
        <v>HYDE PARK</v>
      </c>
      <c r="O6773" t="str">
        <f>IF(MASTER[[#This Row],[IDLOCAL]]=17,"PREMIUM", "ESTÁNDAR")</f>
        <v>PREMIUM</v>
      </c>
      <c r="P6773" t="s">
        <v>137</v>
      </c>
      <c r="Q6773" t="s">
        <v>142</v>
      </c>
      <c r="R6773" t="s">
        <v>143</v>
      </c>
      <c r="S6773" t="s">
        <v>145</v>
      </c>
      <c r="T6773" s="2">
        <f>MASTER[[#This Row],[CANTIDAD]]*MASTER[[#This Row],[PRECIO DE VENTA]]</f>
        <v>1362</v>
      </c>
      <c r="U6773" s="2">
        <f>MASTER[[#This Row],[CANTIDAD]]*MASTER[[#This Row],[COSTO UNITARIO]]</f>
        <v>392</v>
      </c>
      <c r="V6773" s="2">
        <f>MASTER[[#This Row],[MONTO VENDIDO]]-MASTER[[#This Row],[COSTO DE VENTA]]</f>
        <v>970</v>
      </c>
    </row>
    <row r="6774" spans="1:22" x14ac:dyDescent="0.3">
      <c r="A6774">
        <v>100152</v>
      </c>
      <c r="B6774">
        <v>2</v>
      </c>
      <c r="C6774" t="s">
        <v>96</v>
      </c>
      <c r="D6774" t="s">
        <v>97</v>
      </c>
      <c r="E6774" s="1">
        <v>43845</v>
      </c>
      <c r="F6774">
        <v>1</v>
      </c>
      <c r="G6774" t="s">
        <v>65</v>
      </c>
      <c r="H6774" t="s">
        <v>66</v>
      </c>
      <c r="I6774" s="4">
        <v>1653</v>
      </c>
      <c r="J6774" s="3">
        <v>1653</v>
      </c>
      <c r="K6774" s="4">
        <v>397</v>
      </c>
      <c r="L6774" t="s">
        <v>98</v>
      </c>
      <c r="M6774">
        <v>17</v>
      </c>
      <c r="N6774" t="str">
        <f>IF(MASTER[[#This Row],[IDLOCAL]]=17,"HYDE PARK", "HARLEM IRVING")</f>
        <v>HYDE PARK</v>
      </c>
      <c r="O6774" t="str">
        <f>IF(MASTER[[#This Row],[IDLOCAL]]=17,"PREMIUM", "ESTÁNDAR")</f>
        <v>PREMIUM</v>
      </c>
      <c r="P6774" t="s">
        <v>137</v>
      </c>
      <c r="Q6774" t="s">
        <v>142</v>
      </c>
      <c r="R6774" t="s">
        <v>143</v>
      </c>
      <c r="S6774" t="s">
        <v>145</v>
      </c>
      <c r="T6774" s="2">
        <f>MASTER[[#This Row],[CANTIDAD]]*MASTER[[#This Row],[PRECIO DE VENTA]]</f>
        <v>1653</v>
      </c>
      <c r="U6774" s="2">
        <f>MASTER[[#This Row],[CANTIDAD]]*MASTER[[#This Row],[COSTO UNITARIO]]</f>
        <v>397</v>
      </c>
      <c r="V6774" s="2">
        <f>MASTER[[#This Row],[MONTO VENDIDO]]-MASTER[[#This Row],[COSTO DE VENTA]]</f>
        <v>1256</v>
      </c>
    </row>
    <row r="6775" spans="1:22" x14ac:dyDescent="0.3">
      <c r="A6775">
        <v>100157</v>
      </c>
      <c r="B6775">
        <v>1</v>
      </c>
      <c r="C6775" t="s">
        <v>101</v>
      </c>
      <c r="D6775" t="s">
        <v>102</v>
      </c>
      <c r="E6775" s="1">
        <v>43845</v>
      </c>
      <c r="F6775">
        <v>1</v>
      </c>
      <c r="G6775" t="s">
        <v>73</v>
      </c>
      <c r="H6775" t="s">
        <v>74</v>
      </c>
      <c r="I6775" s="4">
        <v>1575</v>
      </c>
      <c r="J6775" s="3">
        <v>1575</v>
      </c>
      <c r="K6775" s="4">
        <v>442</v>
      </c>
      <c r="L6775" t="s">
        <v>98</v>
      </c>
      <c r="M6775">
        <v>17</v>
      </c>
      <c r="N6775" t="str">
        <f>IF(MASTER[[#This Row],[IDLOCAL]]=17,"HYDE PARK", "HARLEM IRVING")</f>
        <v>HYDE PARK</v>
      </c>
      <c r="O6775" t="str">
        <f>IF(MASTER[[#This Row],[IDLOCAL]]=17,"PREMIUM", "ESTÁNDAR")</f>
        <v>PREMIUM</v>
      </c>
      <c r="P6775" t="s">
        <v>137</v>
      </c>
      <c r="Q6775" t="s">
        <v>142</v>
      </c>
      <c r="R6775" t="s">
        <v>143</v>
      </c>
      <c r="S6775" t="s">
        <v>145</v>
      </c>
      <c r="T6775" s="2">
        <f>MASTER[[#This Row],[CANTIDAD]]*MASTER[[#This Row],[PRECIO DE VENTA]]</f>
        <v>1575</v>
      </c>
      <c r="U6775" s="2">
        <f>MASTER[[#This Row],[CANTIDAD]]*MASTER[[#This Row],[COSTO UNITARIO]]</f>
        <v>442</v>
      </c>
      <c r="V6775" s="2">
        <f>MASTER[[#This Row],[MONTO VENDIDO]]-MASTER[[#This Row],[COSTO DE VENTA]]</f>
        <v>1133</v>
      </c>
    </row>
    <row r="6776" spans="1:22" x14ac:dyDescent="0.3">
      <c r="A6776">
        <v>100190</v>
      </c>
      <c r="B6776">
        <v>1</v>
      </c>
      <c r="C6776" t="s">
        <v>114</v>
      </c>
      <c r="D6776" t="s">
        <v>115</v>
      </c>
      <c r="E6776" s="1">
        <v>43845</v>
      </c>
      <c r="F6776">
        <v>1</v>
      </c>
      <c r="G6776" t="s">
        <v>29</v>
      </c>
      <c r="H6776" t="s">
        <v>30</v>
      </c>
      <c r="I6776" s="4">
        <v>2420</v>
      </c>
      <c r="J6776" s="3">
        <v>2420</v>
      </c>
      <c r="K6776" s="4">
        <v>394</v>
      </c>
      <c r="L6776" t="s">
        <v>113</v>
      </c>
      <c r="M6776">
        <v>17</v>
      </c>
      <c r="N6776" t="str">
        <f>IF(MASTER[[#This Row],[IDLOCAL]]=17,"HYDE PARK", "HARLEM IRVING")</f>
        <v>HYDE PARK</v>
      </c>
      <c r="O6776" t="str">
        <f>IF(MASTER[[#This Row],[IDLOCAL]]=17,"PREMIUM", "ESTÁNDAR")</f>
        <v>PREMIUM</v>
      </c>
      <c r="P6776" t="s">
        <v>137</v>
      </c>
      <c r="Q6776" t="s">
        <v>142</v>
      </c>
      <c r="R6776" t="s">
        <v>143</v>
      </c>
      <c r="S6776" t="s">
        <v>145</v>
      </c>
      <c r="T6776" s="2">
        <f>MASTER[[#This Row],[CANTIDAD]]*MASTER[[#This Row],[PRECIO DE VENTA]]</f>
        <v>2420</v>
      </c>
      <c r="U6776" s="2">
        <f>MASTER[[#This Row],[CANTIDAD]]*MASTER[[#This Row],[COSTO UNITARIO]]</f>
        <v>394</v>
      </c>
      <c r="V6776" s="2">
        <f>MASTER[[#This Row],[MONTO VENDIDO]]-MASTER[[#This Row],[COSTO DE VENTA]]</f>
        <v>2026</v>
      </c>
    </row>
    <row r="6777" spans="1:22" x14ac:dyDescent="0.3">
      <c r="A6777">
        <v>100196</v>
      </c>
      <c r="B6777">
        <v>2</v>
      </c>
      <c r="C6777" t="s">
        <v>5</v>
      </c>
      <c r="D6777" t="s">
        <v>6</v>
      </c>
      <c r="E6777" s="1">
        <v>43846</v>
      </c>
      <c r="F6777">
        <v>1</v>
      </c>
      <c r="G6777" t="s">
        <v>45</v>
      </c>
      <c r="H6777" t="s">
        <v>46</v>
      </c>
      <c r="I6777" s="4">
        <v>1959</v>
      </c>
      <c r="J6777" s="3">
        <v>1959</v>
      </c>
      <c r="K6777" s="4">
        <v>393</v>
      </c>
      <c r="L6777" t="s">
        <v>9</v>
      </c>
      <c r="M6777">
        <v>19</v>
      </c>
      <c r="N6777" t="s">
        <v>150</v>
      </c>
      <c r="O6777" t="s">
        <v>81</v>
      </c>
      <c r="P6777" t="s">
        <v>136</v>
      </c>
      <c r="Q6777" t="s">
        <v>140</v>
      </c>
      <c r="R6777" t="s">
        <v>141</v>
      </c>
      <c r="S6777" t="s">
        <v>145</v>
      </c>
      <c r="T6777" s="2">
        <f>MASTER[[#This Row],[CANTIDAD]]*MASTER[[#This Row],[PRECIO DE VENTA]]</f>
        <v>1959</v>
      </c>
      <c r="U6777" s="2">
        <f>MASTER[[#This Row],[CANTIDAD]]*MASTER[[#This Row],[COSTO UNITARIO]]</f>
        <v>393</v>
      </c>
      <c r="V6777" s="2">
        <f>MASTER[[#This Row],[MONTO VENDIDO]]-MASTER[[#This Row],[COSTO DE VENTA]]</f>
        <v>1566</v>
      </c>
    </row>
    <row r="6778" spans="1:22" x14ac:dyDescent="0.3">
      <c r="A6778">
        <v>100201</v>
      </c>
      <c r="B6778">
        <v>1</v>
      </c>
      <c r="C6778" t="s">
        <v>92</v>
      </c>
      <c r="D6778" t="s">
        <v>93</v>
      </c>
      <c r="E6778" s="1">
        <v>43846</v>
      </c>
      <c r="F6778">
        <v>1</v>
      </c>
      <c r="G6778" t="s">
        <v>7</v>
      </c>
      <c r="H6778" t="s">
        <v>8</v>
      </c>
      <c r="I6778" s="4">
        <v>2185</v>
      </c>
      <c r="J6778" s="3">
        <v>2009</v>
      </c>
      <c r="K6778" s="4">
        <v>396</v>
      </c>
      <c r="L6778" t="s">
        <v>9</v>
      </c>
      <c r="M6778">
        <v>18</v>
      </c>
      <c r="N6778" t="str">
        <f>IF(MASTER[[#This Row],[IDLOCAL]]=17,"HYDE PARK", "HARLEM IRVING")</f>
        <v>HARLEM IRVING</v>
      </c>
      <c r="O6778" t="str">
        <f>IF(MASTER[[#This Row],[IDLOCAL]]=17,"PREMIUM", "ESTÁNDAR")</f>
        <v>ESTÁNDAR</v>
      </c>
      <c r="P6778" t="s">
        <v>137</v>
      </c>
      <c r="Q6778" t="s">
        <v>142</v>
      </c>
      <c r="R6778" t="s">
        <v>143</v>
      </c>
      <c r="S6778" t="s">
        <v>145</v>
      </c>
      <c r="T6778" s="2">
        <f>MASTER[[#This Row],[CANTIDAD]]*MASTER[[#This Row],[PRECIO DE VENTA]]</f>
        <v>2009</v>
      </c>
      <c r="U6778" s="2">
        <f>MASTER[[#This Row],[CANTIDAD]]*MASTER[[#This Row],[COSTO UNITARIO]]</f>
        <v>396</v>
      </c>
      <c r="V6778" s="2">
        <f>MASTER[[#This Row],[MONTO VENDIDO]]-MASTER[[#This Row],[COSTO DE VENTA]]</f>
        <v>1613</v>
      </c>
    </row>
    <row r="6779" spans="1:22" x14ac:dyDescent="0.3">
      <c r="A6779">
        <v>100205</v>
      </c>
      <c r="B6779">
        <v>1</v>
      </c>
      <c r="C6779" t="s">
        <v>101</v>
      </c>
      <c r="D6779" t="s">
        <v>102</v>
      </c>
      <c r="E6779" s="1">
        <v>43846</v>
      </c>
      <c r="F6779">
        <v>1</v>
      </c>
      <c r="G6779" t="s">
        <v>35</v>
      </c>
      <c r="H6779" t="s">
        <v>36</v>
      </c>
      <c r="I6779" s="4">
        <v>1370</v>
      </c>
      <c r="J6779" s="3">
        <v>1370</v>
      </c>
      <c r="K6779" s="4">
        <v>442</v>
      </c>
      <c r="L6779" t="s">
        <v>98</v>
      </c>
      <c r="M6779">
        <v>19</v>
      </c>
      <c r="N6779" t="s">
        <v>150</v>
      </c>
      <c r="O6779" t="s">
        <v>81</v>
      </c>
      <c r="P6779" t="s">
        <v>136</v>
      </c>
      <c r="Q6779" t="s">
        <v>140</v>
      </c>
      <c r="R6779" t="s">
        <v>141</v>
      </c>
      <c r="S6779" t="s">
        <v>145</v>
      </c>
      <c r="T6779" s="2">
        <f>MASTER[[#This Row],[CANTIDAD]]*MASTER[[#This Row],[PRECIO DE VENTA]]</f>
        <v>1370</v>
      </c>
      <c r="U6779" s="2">
        <f>MASTER[[#This Row],[CANTIDAD]]*MASTER[[#This Row],[COSTO UNITARIO]]</f>
        <v>442</v>
      </c>
      <c r="V6779" s="2">
        <f>MASTER[[#This Row],[MONTO VENDIDO]]-MASTER[[#This Row],[COSTO DE VENTA]]</f>
        <v>928</v>
      </c>
    </row>
    <row r="6780" spans="1:22" x14ac:dyDescent="0.3">
      <c r="A6780">
        <v>100214</v>
      </c>
      <c r="B6780">
        <v>2</v>
      </c>
      <c r="C6780" t="s">
        <v>109</v>
      </c>
      <c r="D6780" t="s">
        <v>110</v>
      </c>
      <c r="E6780" s="1">
        <v>43847</v>
      </c>
      <c r="F6780">
        <v>1</v>
      </c>
      <c r="G6780" t="s">
        <v>65</v>
      </c>
      <c r="H6780" t="s">
        <v>66</v>
      </c>
      <c r="I6780" s="4">
        <v>1231</v>
      </c>
      <c r="J6780" s="3">
        <v>1231</v>
      </c>
      <c r="K6780" s="4">
        <v>387</v>
      </c>
      <c r="L6780" t="s">
        <v>98</v>
      </c>
      <c r="M6780">
        <v>19</v>
      </c>
      <c r="N6780" t="s">
        <v>150</v>
      </c>
      <c r="O6780" t="s">
        <v>81</v>
      </c>
      <c r="P6780" t="s">
        <v>136</v>
      </c>
      <c r="Q6780" t="s">
        <v>140</v>
      </c>
      <c r="R6780" t="s">
        <v>141</v>
      </c>
      <c r="S6780" t="s">
        <v>145</v>
      </c>
      <c r="T6780" s="2">
        <f>MASTER[[#This Row],[CANTIDAD]]*MASTER[[#This Row],[PRECIO DE VENTA]]</f>
        <v>1231</v>
      </c>
      <c r="U6780" s="2">
        <f>MASTER[[#This Row],[CANTIDAD]]*MASTER[[#This Row],[COSTO UNITARIO]]</f>
        <v>387</v>
      </c>
      <c r="V6780" s="2">
        <f>MASTER[[#This Row],[MONTO VENDIDO]]-MASTER[[#This Row],[COSTO DE VENTA]]</f>
        <v>844</v>
      </c>
    </row>
    <row r="6781" spans="1:22" x14ac:dyDescent="0.3">
      <c r="A6781">
        <v>100244</v>
      </c>
      <c r="B6781">
        <v>1</v>
      </c>
      <c r="C6781" t="s">
        <v>111</v>
      </c>
      <c r="D6781" t="s">
        <v>112</v>
      </c>
      <c r="E6781" s="1">
        <v>43849</v>
      </c>
      <c r="F6781">
        <v>1</v>
      </c>
      <c r="G6781" t="s">
        <v>59</v>
      </c>
      <c r="H6781" t="s">
        <v>60</v>
      </c>
      <c r="I6781" s="4">
        <v>2107</v>
      </c>
      <c r="J6781" s="3">
        <v>2107</v>
      </c>
      <c r="K6781" s="4">
        <v>434</v>
      </c>
      <c r="L6781" t="s">
        <v>113</v>
      </c>
      <c r="M6781">
        <v>19</v>
      </c>
      <c r="N6781" t="s">
        <v>150</v>
      </c>
      <c r="O6781" t="s">
        <v>81</v>
      </c>
      <c r="P6781" t="s">
        <v>136</v>
      </c>
      <c r="Q6781" t="s">
        <v>140</v>
      </c>
      <c r="R6781" t="s">
        <v>141</v>
      </c>
      <c r="S6781" t="s">
        <v>145</v>
      </c>
      <c r="T6781" s="2">
        <f>MASTER[[#This Row],[CANTIDAD]]*MASTER[[#This Row],[PRECIO DE VENTA]]</f>
        <v>2107</v>
      </c>
      <c r="U6781" s="2">
        <f>MASTER[[#This Row],[CANTIDAD]]*MASTER[[#This Row],[COSTO UNITARIO]]</f>
        <v>434</v>
      </c>
      <c r="V6781" s="2">
        <f>MASTER[[#This Row],[MONTO VENDIDO]]-MASTER[[#This Row],[COSTO DE VENTA]]</f>
        <v>1673</v>
      </c>
    </row>
    <row r="6782" spans="1:22" x14ac:dyDescent="0.3">
      <c r="A6782">
        <v>100248</v>
      </c>
      <c r="B6782">
        <v>2</v>
      </c>
      <c r="C6782" t="s">
        <v>103</v>
      </c>
      <c r="D6782" t="s">
        <v>104</v>
      </c>
      <c r="E6782" s="1">
        <v>43850</v>
      </c>
      <c r="F6782">
        <v>1</v>
      </c>
      <c r="G6782" t="s">
        <v>73</v>
      </c>
      <c r="H6782" t="s">
        <v>74</v>
      </c>
      <c r="I6782" s="4">
        <v>2379</v>
      </c>
      <c r="J6782" s="3">
        <v>2379</v>
      </c>
      <c r="K6782" s="4">
        <v>421</v>
      </c>
      <c r="L6782" t="s">
        <v>98</v>
      </c>
      <c r="M6782">
        <v>18</v>
      </c>
      <c r="N6782" t="str">
        <f>IF(MASTER[[#This Row],[IDLOCAL]]=17,"HYDE PARK", "HARLEM IRVING")</f>
        <v>HARLEM IRVING</v>
      </c>
      <c r="O6782" t="str">
        <f>IF(MASTER[[#This Row],[IDLOCAL]]=17,"PREMIUM", "ESTÁNDAR")</f>
        <v>ESTÁNDAR</v>
      </c>
      <c r="P6782" t="s">
        <v>137</v>
      </c>
      <c r="Q6782" t="s">
        <v>142</v>
      </c>
      <c r="R6782" t="s">
        <v>143</v>
      </c>
      <c r="S6782" t="s">
        <v>145</v>
      </c>
      <c r="T6782" s="2">
        <f>MASTER[[#This Row],[CANTIDAD]]*MASTER[[#This Row],[PRECIO DE VENTA]]</f>
        <v>2379</v>
      </c>
      <c r="U6782" s="2">
        <f>MASTER[[#This Row],[CANTIDAD]]*MASTER[[#This Row],[COSTO UNITARIO]]</f>
        <v>421</v>
      </c>
      <c r="V6782" s="2">
        <f>MASTER[[#This Row],[MONTO VENDIDO]]-MASTER[[#This Row],[COSTO DE VENTA]]</f>
        <v>1958</v>
      </c>
    </row>
    <row r="6783" spans="1:22" x14ac:dyDescent="0.3">
      <c r="A6783">
        <v>100250</v>
      </c>
      <c r="B6783">
        <v>1</v>
      </c>
      <c r="C6783" t="s">
        <v>107</v>
      </c>
      <c r="D6783" t="s">
        <v>108</v>
      </c>
      <c r="E6783" s="1">
        <v>43853</v>
      </c>
      <c r="F6783">
        <v>1</v>
      </c>
      <c r="G6783" t="s">
        <v>61</v>
      </c>
      <c r="H6783" t="s">
        <v>62</v>
      </c>
      <c r="I6783" s="4">
        <v>1732</v>
      </c>
      <c r="J6783" s="3">
        <v>1732</v>
      </c>
      <c r="K6783" s="4">
        <v>380</v>
      </c>
      <c r="L6783" t="s">
        <v>98</v>
      </c>
      <c r="M6783">
        <v>18</v>
      </c>
      <c r="N6783" t="str">
        <f>IF(MASTER[[#This Row],[IDLOCAL]]=17,"HYDE PARK", "HARLEM IRVING")</f>
        <v>HARLEM IRVING</v>
      </c>
      <c r="O6783" t="str">
        <f>IF(MASTER[[#This Row],[IDLOCAL]]=17,"PREMIUM", "ESTÁNDAR")</f>
        <v>ESTÁNDAR</v>
      </c>
      <c r="P6783" t="s">
        <v>137</v>
      </c>
      <c r="Q6783" t="s">
        <v>142</v>
      </c>
      <c r="R6783" t="s">
        <v>143</v>
      </c>
      <c r="S6783" t="s">
        <v>145</v>
      </c>
      <c r="T6783" s="2">
        <f>MASTER[[#This Row],[CANTIDAD]]*MASTER[[#This Row],[PRECIO DE VENTA]]</f>
        <v>1732</v>
      </c>
      <c r="U6783" s="2">
        <f>MASTER[[#This Row],[CANTIDAD]]*MASTER[[#This Row],[COSTO UNITARIO]]</f>
        <v>380</v>
      </c>
      <c r="V6783" s="2">
        <f>MASTER[[#This Row],[MONTO VENDIDO]]-MASTER[[#This Row],[COSTO DE VENTA]]</f>
        <v>1352</v>
      </c>
    </row>
    <row r="6784" spans="1:22" x14ac:dyDescent="0.3">
      <c r="A6784">
        <v>100281</v>
      </c>
      <c r="B6784">
        <v>1</v>
      </c>
      <c r="C6784" t="s">
        <v>118</v>
      </c>
      <c r="D6784" t="s">
        <v>119</v>
      </c>
      <c r="E6784" s="1">
        <v>43853</v>
      </c>
      <c r="F6784">
        <v>1</v>
      </c>
      <c r="G6784" t="s">
        <v>47</v>
      </c>
      <c r="H6784" t="s">
        <v>48</v>
      </c>
      <c r="I6784" s="4">
        <v>1170</v>
      </c>
      <c r="J6784" s="3">
        <v>1170</v>
      </c>
      <c r="K6784" s="4">
        <v>424</v>
      </c>
      <c r="L6784" t="s">
        <v>120</v>
      </c>
      <c r="M6784">
        <v>19</v>
      </c>
      <c r="N6784" t="s">
        <v>150</v>
      </c>
      <c r="O6784" t="s">
        <v>81</v>
      </c>
      <c r="P6784" t="s">
        <v>136</v>
      </c>
      <c r="Q6784" t="s">
        <v>140</v>
      </c>
      <c r="R6784" t="s">
        <v>141</v>
      </c>
      <c r="S6784" t="s">
        <v>145</v>
      </c>
      <c r="T6784" s="2">
        <f>MASTER[[#This Row],[CANTIDAD]]*MASTER[[#This Row],[PRECIO DE VENTA]]</f>
        <v>1170</v>
      </c>
      <c r="U6784" s="2">
        <f>MASTER[[#This Row],[CANTIDAD]]*MASTER[[#This Row],[COSTO UNITARIO]]</f>
        <v>424</v>
      </c>
      <c r="V6784" s="2">
        <f>MASTER[[#This Row],[MONTO VENDIDO]]-MASTER[[#This Row],[COSTO DE VENTA]]</f>
        <v>746</v>
      </c>
    </row>
    <row r="6785" spans="1:22" x14ac:dyDescent="0.3">
      <c r="A6785">
        <v>100298</v>
      </c>
      <c r="B6785">
        <v>1</v>
      </c>
      <c r="C6785" t="s">
        <v>118</v>
      </c>
      <c r="D6785" t="s">
        <v>119</v>
      </c>
      <c r="E6785" s="1">
        <v>43857</v>
      </c>
      <c r="F6785">
        <v>1</v>
      </c>
      <c r="G6785" t="s">
        <v>29</v>
      </c>
      <c r="H6785" t="s">
        <v>30</v>
      </c>
      <c r="I6785" s="4">
        <v>1041</v>
      </c>
      <c r="J6785" s="3">
        <v>936</v>
      </c>
      <c r="K6785" s="4">
        <v>424</v>
      </c>
      <c r="L6785" t="s">
        <v>120</v>
      </c>
      <c r="M6785">
        <v>18</v>
      </c>
      <c r="N6785" t="str">
        <f>IF(MASTER[[#This Row],[IDLOCAL]]=17,"HYDE PARK", "HARLEM IRVING")</f>
        <v>HARLEM IRVING</v>
      </c>
      <c r="O6785" t="str">
        <f>IF(MASTER[[#This Row],[IDLOCAL]]=17,"PREMIUM", "ESTÁNDAR")</f>
        <v>ESTÁNDAR</v>
      </c>
      <c r="P6785" t="s">
        <v>137</v>
      </c>
      <c r="Q6785" t="s">
        <v>142</v>
      </c>
      <c r="R6785" t="s">
        <v>143</v>
      </c>
      <c r="S6785" t="s">
        <v>145</v>
      </c>
      <c r="T6785" s="2">
        <f>MASTER[[#This Row],[CANTIDAD]]*MASTER[[#This Row],[PRECIO DE VENTA]]</f>
        <v>936</v>
      </c>
      <c r="U6785" s="2">
        <f>MASTER[[#This Row],[CANTIDAD]]*MASTER[[#This Row],[COSTO UNITARIO]]</f>
        <v>424</v>
      </c>
      <c r="V6785" s="2">
        <f>MASTER[[#This Row],[MONTO VENDIDO]]-MASTER[[#This Row],[COSTO DE VENTA]]</f>
        <v>512</v>
      </c>
    </row>
    <row r="6786" spans="1:22" x14ac:dyDescent="0.3">
      <c r="A6786">
        <v>100303</v>
      </c>
      <c r="B6786">
        <v>1</v>
      </c>
      <c r="C6786" t="s">
        <v>90</v>
      </c>
      <c r="D6786" t="s">
        <v>91</v>
      </c>
      <c r="E6786" s="1">
        <v>43858</v>
      </c>
      <c r="F6786">
        <v>1</v>
      </c>
      <c r="G6786" t="s">
        <v>49</v>
      </c>
      <c r="H6786" t="s">
        <v>50</v>
      </c>
      <c r="I6786" s="4">
        <v>2732</v>
      </c>
      <c r="J6786" s="3">
        <v>2732</v>
      </c>
      <c r="K6786" s="4">
        <v>420</v>
      </c>
      <c r="L6786" t="s">
        <v>9</v>
      </c>
      <c r="M6786">
        <v>19</v>
      </c>
      <c r="N6786" t="s">
        <v>150</v>
      </c>
      <c r="O6786" t="s">
        <v>81</v>
      </c>
      <c r="P6786" t="s">
        <v>136</v>
      </c>
      <c r="Q6786" t="s">
        <v>140</v>
      </c>
      <c r="R6786" t="s">
        <v>141</v>
      </c>
      <c r="S6786" t="s">
        <v>145</v>
      </c>
      <c r="T6786" s="2">
        <f>MASTER[[#This Row],[CANTIDAD]]*MASTER[[#This Row],[PRECIO DE VENTA]]</f>
        <v>2732</v>
      </c>
      <c r="U6786" s="2">
        <f>MASTER[[#This Row],[CANTIDAD]]*MASTER[[#This Row],[COSTO UNITARIO]]</f>
        <v>420</v>
      </c>
      <c r="V6786" s="2">
        <f>MASTER[[#This Row],[MONTO VENDIDO]]-MASTER[[#This Row],[COSTO DE VENTA]]</f>
        <v>2312</v>
      </c>
    </row>
    <row r="6787" spans="1:22" x14ac:dyDescent="0.3">
      <c r="A6787">
        <v>100305</v>
      </c>
      <c r="B6787">
        <v>1</v>
      </c>
      <c r="C6787" t="s">
        <v>111</v>
      </c>
      <c r="D6787" t="s">
        <v>112</v>
      </c>
      <c r="E6787" s="1">
        <v>43859</v>
      </c>
      <c r="F6787">
        <v>1</v>
      </c>
      <c r="G6787" t="s">
        <v>49</v>
      </c>
      <c r="H6787" t="s">
        <v>50</v>
      </c>
      <c r="I6787" s="4">
        <v>2338</v>
      </c>
      <c r="J6787" s="3">
        <v>2338</v>
      </c>
      <c r="K6787" s="4">
        <v>434</v>
      </c>
      <c r="L6787" t="s">
        <v>113</v>
      </c>
      <c r="M6787">
        <v>19</v>
      </c>
      <c r="N6787" t="s">
        <v>150</v>
      </c>
      <c r="O6787" t="s">
        <v>81</v>
      </c>
      <c r="P6787" t="s">
        <v>136</v>
      </c>
      <c r="Q6787" t="s">
        <v>140</v>
      </c>
      <c r="R6787" t="s">
        <v>141</v>
      </c>
      <c r="S6787" t="s">
        <v>145</v>
      </c>
      <c r="T6787" s="2">
        <f>MASTER[[#This Row],[CANTIDAD]]*MASTER[[#This Row],[PRECIO DE VENTA]]</f>
        <v>2338</v>
      </c>
      <c r="U6787" s="2">
        <f>MASTER[[#This Row],[CANTIDAD]]*MASTER[[#This Row],[COSTO UNITARIO]]</f>
        <v>434</v>
      </c>
      <c r="V6787" s="2">
        <f>MASTER[[#This Row],[MONTO VENDIDO]]-MASTER[[#This Row],[COSTO DE VENTA]]</f>
        <v>1904</v>
      </c>
    </row>
    <row r="6788" spans="1:22" x14ac:dyDescent="0.3">
      <c r="A6788">
        <v>100310</v>
      </c>
      <c r="B6788">
        <v>1</v>
      </c>
      <c r="C6788" t="s">
        <v>114</v>
      </c>
      <c r="D6788" t="s">
        <v>115</v>
      </c>
      <c r="E6788" s="1">
        <v>43859</v>
      </c>
      <c r="F6788">
        <v>1</v>
      </c>
      <c r="G6788" t="s">
        <v>53</v>
      </c>
      <c r="H6788" t="s">
        <v>54</v>
      </c>
      <c r="I6788" s="4">
        <v>2639</v>
      </c>
      <c r="J6788" s="3">
        <v>2639</v>
      </c>
      <c r="K6788" s="4">
        <v>394</v>
      </c>
      <c r="L6788" t="s">
        <v>113</v>
      </c>
      <c r="M6788">
        <v>19</v>
      </c>
      <c r="N6788" t="s">
        <v>150</v>
      </c>
      <c r="O6788" t="s">
        <v>81</v>
      </c>
      <c r="P6788" t="s">
        <v>136</v>
      </c>
      <c r="Q6788" t="s">
        <v>140</v>
      </c>
      <c r="R6788" t="s">
        <v>141</v>
      </c>
      <c r="S6788" t="s">
        <v>145</v>
      </c>
      <c r="T6788" s="2">
        <f>MASTER[[#This Row],[CANTIDAD]]*MASTER[[#This Row],[PRECIO DE VENTA]]</f>
        <v>2639</v>
      </c>
      <c r="U6788" s="2">
        <f>MASTER[[#This Row],[CANTIDAD]]*MASTER[[#This Row],[COSTO UNITARIO]]</f>
        <v>394</v>
      </c>
      <c r="V6788" s="2">
        <f>MASTER[[#This Row],[MONTO VENDIDO]]-MASTER[[#This Row],[COSTO DE VENTA]]</f>
        <v>2245</v>
      </c>
    </row>
    <row r="6789" spans="1:22" x14ac:dyDescent="0.3">
      <c r="A6789">
        <v>100328</v>
      </c>
      <c r="B6789">
        <v>1</v>
      </c>
      <c r="C6789" t="s">
        <v>105</v>
      </c>
      <c r="D6789" t="s">
        <v>106</v>
      </c>
      <c r="E6789" s="1">
        <v>43860</v>
      </c>
      <c r="F6789">
        <v>1</v>
      </c>
      <c r="G6789" t="s">
        <v>51</v>
      </c>
      <c r="H6789" t="s">
        <v>52</v>
      </c>
      <c r="I6789" s="4">
        <v>2642</v>
      </c>
      <c r="J6789" s="3">
        <v>2642</v>
      </c>
      <c r="K6789" s="4">
        <v>459</v>
      </c>
      <c r="L6789" t="s">
        <v>98</v>
      </c>
      <c r="M6789">
        <v>19</v>
      </c>
      <c r="N6789" t="s">
        <v>150</v>
      </c>
      <c r="O6789" t="s">
        <v>81</v>
      </c>
      <c r="P6789" t="s">
        <v>136</v>
      </c>
      <c r="Q6789" t="s">
        <v>140</v>
      </c>
      <c r="R6789" t="s">
        <v>141</v>
      </c>
      <c r="S6789" t="s">
        <v>145</v>
      </c>
      <c r="T6789" s="2">
        <f>MASTER[[#This Row],[CANTIDAD]]*MASTER[[#This Row],[PRECIO DE VENTA]]</f>
        <v>2642</v>
      </c>
      <c r="U6789" s="2">
        <f>MASTER[[#This Row],[CANTIDAD]]*MASTER[[#This Row],[COSTO UNITARIO]]</f>
        <v>459</v>
      </c>
      <c r="V6789" s="2">
        <f>MASTER[[#This Row],[MONTO VENDIDO]]-MASTER[[#This Row],[COSTO DE VENTA]]</f>
        <v>2183</v>
      </c>
    </row>
    <row r="6790" spans="1:22" x14ac:dyDescent="0.3">
      <c r="A6790">
        <v>100342</v>
      </c>
      <c r="B6790">
        <v>1</v>
      </c>
      <c r="C6790" t="s">
        <v>111</v>
      </c>
      <c r="D6790" t="s">
        <v>112</v>
      </c>
      <c r="E6790" s="1">
        <v>43860</v>
      </c>
      <c r="F6790">
        <v>1</v>
      </c>
      <c r="G6790" t="s">
        <v>27</v>
      </c>
      <c r="H6790" t="s">
        <v>28</v>
      </c>
      <c r="I6790" s="4">
        <v>1981</v>
      </c>
      <c r="J6790" s="3">
        <v>1981</v>
      </c>
      <c r="K6790" s="4">
        <v>434</v>
      </c>
      <c r="L6790" t="s">
        <v>113</v>
      </c>
      <c r="M6790">
        <v>19</v>
      </c>
      <c r="N6790" t="s">
        <v>150</v>
      </c>
      <c r="O6790" t="s">
        <v>81</v>
      </c>
      <c r="P6790" t="s">
        <v>136</v>
      </c>
      <c r="Q6790" t="s">
        <v>140</v>
      </c>
      <c r="R6790" t="s">
        <v>141</v>
      </c>
      <c r="S6790" t="s">
        <v>145</v>
      </c>
      <c r="T6790" s="2">
        <f>MASTER[[#This Row],[CANTIDAD]]*MASTER[[#This Row],[PRECIO DE VENTA]]</f>
        <v>1981</v>
      </c>
      <c r="U6790" s="2">
        <f>MASTER[[#This Row],[CANTIDAD]]*MASTER[[#This Row],[COSTO UNITARIO]]</f>
        <v>434</v>
      </c>
      <c r="V6790" s="2">
        <f>MASTER[[#This Row],[MONTO VENDIDO]]-MASTER[[#This Row],[COSTO DE VENTA]]</f>
        <v>1547</v>
      </c>
    </row>
    <row r="6791" spans="1:22" x14ac:dyDescent="0.3">
      <c r="A6791">
        <v>100347</v>
      </c>
      <c r="B6791">
        <v>1</v>
      </c>
      <c r="C6791" t="s">
        <v>90</v>
      </c>
      <c r="D6791" t="s">
        <v>91</v>
      </c>
      <c r="E6791" s="1">
        <v>43861</v>
      </c>
      <c r="F6791">
        <v>3</v>
      </c>
      <c r="G6791" t="s">
        <v>35</v>
      </c>
      <c r="H6791" t="s">
        <v>36</v>
      </c>
      <c r="I6791" s="4">
        <v>2397</v>
      </c>
      <c r="J6791" s="3">
        <v>2397</v>
      </c>
      <c r="K6791" s="4">
        <v>420</v>
      </c>
      <c r="L6791" t="s">
        <v>9</v>
      </c>
      <c r="M6791">
        <v>19</v>
      </c>
      <c r="N6791" t="s">
        <v>150</v>
      </c>
      <c r="O6791" t="s">
        <v>81</v>
      </c>
      <c r="P6791" t="s">
        <v>136</v>
      </c>
      <c r="Q6791" t="s">
        <v>140</v>
      </c>
      <c r="R6791" t="s">
        <v>141</v>
      </c>
      <c r="S6791" t="s">
        <v>145</v>
      </c>
      <c r="T6791" s="2">
        <f>MASTER[[#This Row],[CANTIDAD]]*MASTER[[#This Row],[PRECIO DE VENTA]]</f>
        <v>7191</v>
      </c>
      <c r="U6791" s="2">
        <f>MASTER[[#This Row],[CANTIDAD]]*MASTER[[#This Row],[COSTO UNITARIO]]</f>
        <v>1260</v>
      </c>
      <c r="V6791" s="2">
        <f>MASTER[[#This Row],[MONTO VENDIDO]]-MASTER[[#This Row],[COSTO DE VENTA]]</f>
        <v>5931</v>
      </c>
    </row>
    <row r="6792" spans="1:22" x14ac:dyDescent="0.3">
      <c r="A6792">
        <v>100369</v>
      </c>
      <c r="B6792">
        <v>1</v>
      </c>
      <c r="C6792" t="s">
        <v>92</v>
      </c>
      <c r="D6792" t="s">
        <v>93</v>
      </c>
      <c r="E6792" s="1">
        <v>43861</v>
      </c>
      <c r="F6792">
        <v>1</v>
      </c>
      <c r="G6792" t="s">
        <v>65</v>
      </c>
      <c r="H6792" t="s">
        <v>66</v>
      </c>
      <c r="I6792" s="4">
        <v>1922</v>
      </c>
      <c r="J6792" s="3">
        <v>1922</v>
      </c>
      <c r="K6792" s="4">
        <v>396</v>
      </c>
      <c r="L6792" t="s">
        <v>9</v>
      </c>
      <c r="M6792">
        <v>19</v>
      </c>
      <c r="N6792" t="s">
        <v>150</v>
      </c>
      <c r="O6792" t="s">
        <v>81</v>
      </c>
      <c r="P6792" t="s">
        <v>136</v>
      </c>
      <c r="Q6792" t="s">
        <v>140</v>
      </c>
      <c r="R6792" t="s">
        <v>141</v>
      </c>
      <c r="S6792" t="s">
        <v>145</v>
      </c>
      <c r="T6792" s="2">
        <f>MASTER[[#This Row],[CANTIDAD]]*MASTER[[#This Row],[PRECIO DE VENTA]]</f>
        <v>1922</v>
      </c>
      <c r="U6792" s="2">
        <f>MASTER[[#This Row],[CANTIDAD]]*MASTER[[#This Row],[COSTO UNITARIO]]</f>
        <v>396</v>
      </c>
      <c r="V6792" s="2">
        <f>MASTER[[#This Row],[MONTO VENDIDO]]-MASTER[[#This Row],[COSTO DE VENTA]]</f>
        <v>1526</v>
      </c>
    </row>
    <row r="6793" spans="1:22" x14ac:dyDescent="0.3">
      <c r="A6793">
        <v>100386</v>
      </c>
      <c r="B6793">
        <v>1</v>
      </c>
      <c r="C6793" t="s">
        <v>107</v>
      </c>
      <c r="D6793" t="s">
        <v>108</v>
      </c>
      <c r="E6793" s="1">
        <v>43861</v>
      </c>
      <c r="F6793">
        <v>1</v>
      </c>
      <c r="G6793" t="s">
        <v>45</v>
      </c>
      <c r="H6793" t="s">
        <v>46</v>
      </c>
      <c r="I6793" s="4">
        <v>1612</v>
      </c>
      <c r="J6793" s="3">
        <v>1612</v>
      </c>
      <c r="K6793" s="4">
        <v>380</v>
      </c>
      <c r="L6793" t="s">
        <v>98</v>
      </c>
      <c r="M6793">
        <v>19</v>
      </c>
      <c r="N6793" t="s">
        <v>150</v>
      </c>
      <c r="O6793" t="s">
        <v>81</v>
      </c>
      <c r="P6793" t="s">
        <v>136</v>
      </c>
      <c r="Q6793" t="s">
        <v>140</v>
      </c>
      <c r="R6793" t="s">
        <v>141</v>
      </c>
      <c r="S6793" t="s">
        <v>145</v>
      </c>
      <c r="T6793" s="2">
        <f>MASTER[[#This Row],[CANTIDAD]]*MASTER[[#This Row],[PRECIO DE VENTA]]</f>
        <v>1612</v>
      </c>
      <c r="U6793" s="2">
        <f>MASTER[[#This Row],[CANTIDAD]]*MASTER[[#This Row],[COSTO UNITARIO]]</f>
        <v>380</v>
      </c>
      <c r="V6793" s="2">
        <f>MASTER[[#This Row],[MONTO VENDIDO]]-MASTER[[#This Row],[COSTO DE VENTA]]</f>
        <v>1232</v>
      </c>
    </row>
    <row r="6794" spans="1:22" x14ac:dyDescent="0.3">
      <c r="A6794">
        <v>100416</v>
      </c>
      <c r="B6794">
        <v>2</v>
      </c>
      <c r="C6794" t="s">
        <v>116</v>
      </c>
      <c r="D6794" t="s">
        <v>117</v>
      </c>
      <c r="E6794" s="1">
        <v>43861</v>
      </c>
      <c r="F6794">
        <v>1</v>
      </c>
      <c r="G6794" t="s">
        <v>27</v>
      </c>
      <c r="H6794" t="s">
        <v>28</v>
      </c>
      <c r="I6794" s="4">
        <v>1987</v>
      </c>
      <c r="J6794" s="3">
        <v>1987</v>
      </c>
      <c r="K6794" s="4">
        <v>388</v>
      </c>
      <c r="L6794" t="s">
        <v>113</v>
      </c>
      <c r="M6794">
        <v>19</v>
      </c>
      <c r="N6794" t="s">
        <v>150</v>
      </c>
      <c r="O6794" t="s">
        <v>81</v>
      </c>
      <c r="P6794" t="s">
        <v>136</v>
      </c>
      <c r="Q6794" t="s">
        <v>140</v>
      </c>
      <c r="R6794" t="s">
        <v>141</v>
      </c>
      <c r="S6794" t="s">
        <v>145</v>
      </c>
      <c r="T6794" s="2">
        <f>MASTER[[#This Row],[CANTIDAD]]*MASTER[[#This Row],[PRECIO DE VENTA]]</f>
        <v>1987</v>
      </c>
      <c r="U6794" s="2">
        <f>MASTER[[#This Row],[CANTIDAD]]*MASTER[[#This Row],[COSTO UNITARIO]]</f>
        <v>388</v>
      </c>
      <c r="V6794" s="2">
        <f>MASTER[[#This Row],[MONTO VENDIDO]]-MASTER[[#This Row],[COSTO DE VENTA]]</f>
        <v>1599</v>
      </c>
    </row>
    <row r="6795" spans="1:22" x14ac:dyDescent="0.3">
      <c r="A6795">
        <v>100425</v>
      </c>
      <c r="B6795">
        <v>1</v>
      </c>
      <c r="C6795" t="s">
        <v>103</v>
      </c>
      <c r="D6795" t="s">
        <v>104</v>
      </c>
      <c r="E6795" s="1">
        <v>43863</v>
      </c>
      <c r="F6795">
        <v>1</v>
      </c>
      <c r="G6795" t="s">
        <v>7</v>
      </c>
      <c r="H6795" t="s">
        <v>8</v>
      </c>
      <c r="I6795" s="4">
        <v>2068</v>
      </c>
      <c r="J6795" s="3">
        <v>2068</v>
      </c>
      <c r="K6795" s="4">
        <v>421</v>
      </c>
      <c r="L6795" t="s">
        <v>98</v>
      </c>
      <c r="M6795">
        <v>17</v>
      </c>
      <c r="N6795" t="str">
        <f>IF(MASTER[[#This Row],[IDLOCAL]]=17,"HYDE PARK", "HARLEM IRVING")</f>
        <v>HYDE PARK</v>
      </c>
      <c r="O6795" t="str">
        <f>IF(MASTER[[#This Row],[IDLOCAL]]=17,"PREMIUM", "ESTÁNDAR")</f>
        <v>PREMIUM</v>
      </c>
      <c r="P6795" t="s">
        <v>137</v>
      </c>
      <c r="Q6795" t="s">
        <v>142</v>
      </c>
      <c r="R6795" t="s">
        <v>143</v>
      </c>
      <c r="S6795" t="s">
        <v>145</v>
      </c>
      <c r="T6795" s="2">
        <f>MASTER[[#This Row],[CANTIDAD]]*MASTER[[#This Row],[PRECIO DE VENTA]]</f>
        <v>2068</v>
      </c>
      <c r="U6795" s="2">
        <f>MASTER[[#This Row],[CANTIDAD]]*MASTER[[#This Row],[COSTO UNITARIO]]</f>
        <v>421</v>
      </c>
      <c r="V6795" s="2">
        <f>MASTER[[#This Row],[MONTO VENDIDO]]-MASTER[[#This Row],[COSTO DE VENTA]]</f>
        <v>1647</v>
      </c>
    </row>
    <row r="6796" spans="1:22" x14ac:dyDescent="0.3">
      <c r="A6796">
        <v>100436</v>
      </c>
      <c r="B6796">
        <v>1</v>
      </c>
      <c r="C6796" t="s">
        <v>105</v>
      </c>
      <c r="D6796" t="s">
        <v>106</v>
      </c>
      <c r="E6796" s="1">
        <v>43863</v>
      </c>
      <c r="F6796">
        <v>1</v>
      </c>
      <c r="G6796" t="s">
        <v>67</v>
      </c>
      <c r="H6796" t="s">
        <v>68</v>
      </c>
      <c r="I6796" s="4">
        <v>2060</v>
      </c>
      <c r="J6796" s="3">
        <v>2060</v>
      </c>
      <c r="K6796" s="4">
        <v>459</v>
      </c>
      <c r="L6796" t="s">
        <v>98</v>
      </c>
      <c r="M6796">
        <v>19</v>
      </c>
      <c r="N6796" t="s">
        <v>150</v>
      </c>
      <c r="O6796" t="s">
        <v>81</v>
      </c>
      <c r="P6796" t="s">
        <v>136</v>
      </c>
      <c r="Q6796" t="s">
        <v>140</v>
      </c>
      <c r="R6796" t="s">
        <v>141</v>
      </c>
      <c r="S6796" t="s">
        <v>145</v>
      </c>
      <c r="T6796" s="2">
        <f>MASTER[[#This Row],[CANTIDAD]]*MASTER[[#This Row],[PRECIO DE VENTA]]</f>
        <v>2060</v>
      </c>
      <c r="U6796" s="2">
        <f>MASTER[[#This Row],[CANTIDAD]]*MASTER[[#This Row],[COSTO UNITARIO]]</f>
        <v>459</v>
      </c>
      <c r="V6796" s="2">
        <f>MASTER[[#This Row],[MONTO VENDIDO]]-MASTER[[#This Row],[COSTO DE VENTA]]</f>
        <v>1601</v>
      </c>
    </row>
    <row r="6797" spans="1:22" x14ac:dyDescent="0.3">
      <c r="A6797">
        <v>100438</v>
      </c>
      <c r="B6797">
        <v>1</v>
      </c>
      <c r="C6797" t="s">
        <v>118</v>
      </c>
      <c r="D6797" t="s">
        <v>119</v>
      </c>
      <c r="E6797" s="1">
        <v>43863</v>
      </c>
      <c r="F6797">
        <v>1</v>
      </c>
      <c r="G6797" t="s">
        <v>33</v>
      </c>
      <c r="H6797" t="s">
        <v>34</v>
      </c>
      <c r="I6797" s="4">
        <v>1333</v>
      </c>
      <c r="J6797" s="3">
        <v>1333</v>
      </c>
      <c r="K6797" s="4">
        <v>424</v>
      </c>
      <c r="L6797" t="s">
        <v>120</v>
      </c>
      <c r="M6797">
        <v>19</v>
      </c>
      <c r="N6797" t="s">
        <v>150</v>
      </c>
      <c r="O6797" t="s">
        <v>81</v>
      </c>
      <c r="P6797" t="s">
        <v>136</v>
      </c>
      <c r="Q6797" t="s">
        <v>140</v>
      </c>
      <c r="R6797" t="s">
        <v>141</v>
      </c>
      <c r="S6797" t="s">
        <v>145</v>
      </c>
      <c r="T6797" s="2">
        <f>MASTER[[#This Row],[CANTIDAD]]*MASTER[[#This Row],[PRECIO DE VENTA]]</f>
        <v>1333</v>
      </c>
      <c r="U6797" s="2">
        <f>MASTER[[#This Row],[CANTIDAD]]*MASTER[[#This Row],[COSTO UNITARIO]]</f>
        <v>424</v>
      </c>
      <c r="V6797" s="2">
        <f>MASTER[[#This Row],[MONTO VENDIDO]]-MASTER[[#This Row],[COSTO DE VENTA]]</f>
        <v>909</v>
      </c>
    </row>
    <row r="6798" spans="1:22" x14ac:dyDescent="0.3">
      <c r="A6798">
        <v>100439</v>
      </c>
      <c r="B6798">
        <v>1</v>
      </c>
      <c r="C6798" t="s">
        <v>121</v>
      </c>
      <c r="D6798" t="s">
        <v>122</v>
      </c>
      <c r="E6798" s="1">
        <v>43863</v>
      </c>
      <c r="F6798">
        <v>1</v>
      </c>
      <c r="G6798" t="s">
        <v>53</v>
      </c>
      <c r="H6798" t="s">
        <v>54</v>
      </c>
      <c r="I6798" s="4">
        <v>1389</v>
      </c>
      <c r="J6798" s="3">
        <v>1389</v>
      </c>
      <c r="K6798" s="4">
        <v>460</v>
      </c>
      <c r="L6798" t="s">
        <v>120</v>
      </c>
      <c r="M6798">
        <v>17</v>
      </c>
      <c r="N6798" t="str">
        <f>IF(MASTER[[#This Row],[IDLOCAL]]=17,"HYDE PARK", "HARLEM IRVING")</f>
        <v>HYDE PARK</v>
      </c>
      <c r="O6798" t="str">
        <f>IF(MASTER[[#This Row],[IDLOCAL]]=17,"PREMIUM", "ESTÁNDAR")</f>
        <v>PREMIUM</v>
      </c>
      <c r="P6798" t="s">
        <v>137</v>
      </c>
      <c r="Q6798" t="s">
        <v>142</v>
      </c>
      <c r="R6798" t="s">
        <v>143</v>
      </c>
      <c r="S6798" t="s">
        <v>145</v>
      </c>
      <c r="T6798" s="2">
        <f>MASTER[[#This Row],[CANTIDAD]]*MASTER[[#This Row],[PRECIO DE VENTA]]</f>
        <v>1389</v>
      </c>
      <c r="U6798" s="2">
        <f>MASTER[[#This Row],[CANTIDAD]]*MASTER[[#This Row],[COSTO UNITARIO]]</f>
        <v>460</v>
      </c>
      <c r="V6798" s="2">
        <f>MASTER[[#This Row],[MONTO VENDIDO]]-MASTER[[#This Row],[COSTO DE VENTA]]</f>
        <v>929</v>
      </c>
    </row>
    <row r="6799" spans="1:22" x14ac:dyDescent="0.3">
      <c r="A6799">
        <v>100445</v>
      </c>
      <c r="B6799">
        <v>1</v>
      </c>
      <c r="C6799" t="s">
        <v>114</v>
      </c>
      <c r="D6799" t="s">
        <v>115</v>
      </c>
      <c r="E6799" s="1">
        <v>43864</v>
      </c>
      <c r="F6799">
        <v>1</v>
      </c>
      <c r="G6799" t="s">
        <v>37</v>
      </c>
      <c r="H6799" t="s">
        <v>38</v>
      </c>
      <c r="I6799" s="4">
        <v>2420</v>
      </c>
      <c r="J6799" s="3">
        <v>2420</v>
      </c>
      <c r="K6799" s="4">
        <v>394</v>
      </c>
      <c r="L6799" t="s">
        <v>113</v>
      </c>
      <c r="M6799">
        <v>17</v>
      </c>
      <c r="N6799" t="str">
        <f>IF(MASTER[[#This Row],[IDLOCAL]]=17,"HYDE PARK", "HARLEM IRVING")</f>
        <v>HYDE PARK</v>
      </c>
      <c r="O6799" t="str">
        <f>IF(MASTER[[#This Row],[IDLOCAL]]=17,"PREMIUM", "ESTÁNDAR")</f>
        <v>PREMIUM</v>
      </c>
      <c r="P6799" t="s">
        <v>137</v>
      </c>
      <c r="Q6799" t="s">
        <v>142</v>
      </c>
      <c r="R6799" t="s">
        <v>143</v>
      </c>
      <c r="S6799" t="s">
        <v>145</v>
      </c>
      <c r="T6799" s="2">
        <f>MASTER[[#This Row],[CANTIDAD]]*MASTER[[#This Row],[PRECIO DE VENTA]]</f>
        <v>2420</v>
      </c>
      <c r="U6799" s="2">
        <f>MASTER[[#This Row],[CANTIDAD]]*MASTER[[#This Row],[COSTO UNITARIO]]</f>
        <v>394</v>
      </c>
      <c r="V6799" s="2">
        <f>MASTER[[#This Row],[MONTO VENDIDO]]-MASTER[[#This Row],[COSTO DE VENTA]]</f>
        <v>2026</v>
      </c>
    </row>
    <row r="6800" spans="1:22" x14ac:dyDescent="0.3">
      <c r="A6800">
        <v>100474</v>
      </c>
      <c r="B6800">
        <v>1</v>
      </c>
      <c r="C6800" t="s">
        <v>114</v>
      </c>
      <c r="D6800" t="s">
        <v>115</v>
      </c>
      <c r="E6800" s="1">
        <v>43865</v>
      </c>
      <c r="F6800">
        <v>1</v>
      </c>
      <c r="G6800" t="s">
        <v>35</v>
      </c>
      <c r="H6800" t="s">
        <v>36</v>
      </c>
      <c r="I6800" s="4">
        <v>2057</v>
      </c>
      <c r="J6800" s="3">
        <v>2057</v>
      </c>
      <c r="K6800" s="4">
        <v>394</v>
      </c>
      <c r="L6800" t="s">
        <v>113</v>
      </c>
      <c r="M6800">
        <v>19</v>
      </c>
      <c r="N6800" t="s">
        <v>150</v>
      </c>
      <c r="O6800" t="s">
        <v>81</v>
      </c>
      <c r="P6800" t="s">
        <v>136</v>
      </c>
      <c r="Q6800" t="s">
        <v>140</v>
      </c>
      <c r="R6800" t="s">
        <v>141</v>
      </c>
      <c r="S6800" t="s">
        <v>145</v>
      </c>
      <c r="T6800" s="2">
        <f>MASTER[[#This Row],[CANTIDAD]]*MASTER[[#This Row],[PRECIO DE VENTA]]</f>
        <v>2057</v>
      </c>
      <c r="U6800" s="2">
        <f>MASTER[[#This Row],[CANTIDAD]]*MASTER[[#This Row],[COSTO UNITARIO]]</f>
        <v>394</v>
      </c>
      <c r="V6800" s="2">
        <f>MASTER[[#This Row],[MONTO VENDIDO]]-MASTER[[#This Row],[COSTO DE VENTA]]</f>
        <v>1663</v>
      </c>
    </row>
    <row r="6801" spans="1:22" x14ac:dyDescent="0.3">
      <c r="A6801">
        <v>100495</v>
      </c>
      <c r="B6801">
        <v>1</v>
      </c>
      <c r="C6801" t="s">
        <v>116</v>
      </c>
      <c r="D6801" t="s">
        <v>117</v>
      </c>
      <c r="E6801" s="1">
        <v>43868</v>
      </c>
      <c r="F6801">
        <v>1</v>
      </c>
      <c r="G6801" t="s">
        <v>22</v>
      </c>
      <c r="H6801" t="s">
        <v>23</v>
      </c>
      <c r="I6801" s="4">
        <v>2598</v>
      </c>
      <c r="J6801" s="3">
        <v>2598</v>
      </c>
      <c r="K6801" s="4">
        <v>388</v>
      </c>
      <c r="L6801" t="s">
        <v>113</v>
      </c>
      <c r="M6801">
        <v>19</v>
      </c>
      <c r="N6801" t="s">
        <v>150</v>
      </c>
      <c r="O6801" t="s">
        <v>81</v>
      </c>
      <c r="P6801" t="s">
        <v>136</v>
      </c>
      <c r="Q6801" t="s">
        <v>140</v>
      </c>
      <c r="R6801" t="s">
        <v>141</v>
      </c>
      <c r="S6801" t="s">
        <v>145</v>
      </c>
      <c r="T6801" s="2">
        <f>MASTER[[#This Row],[CANTIDAD]]*MASTER[[#This Row],[PRECIO DE VENTA]]</f>
        <v>2598</v>
      </c>
      <c r="U6801" s="2">
        <f>MASTER[[#This Row],[CANTIDAD]]*MASTER[[#This Row],[COSTO UNITARIO]]</f>
        <v>388</v>
      </c>
      <c r="V6801" s="2">
        <f>MASTER[[#This Row],[MONTO VENDIDO]]-MASTER[[#This Row],[COSTO DE VENTA]]</f>
        <v>2210</v>
      </c>
    </row>
    <row r="6802" spans="1:22" x14ac:dyDescent="0.3">
      <c r="A6802">
        <v>100498</v>
      </c>
      <c r="B6802">
        <v>1</v>
      </c>
      <c r="C6802" t="s">
        <v>118</v>
      </c>
      <c r="D6802" t="s">
        <v>119</v>
      </c>
      <c r="E6802" s="1">
        <v>43868</v>
      </c>
      <c r="F6802">
        <v>1</v>
      </c>
      <c r="G6802" t="s">
        <v>61</v>
      </c>
      <c r="H6802" t="s">
        <v>62</v>
      </c>
      <c r="I6802" s="4">
        <v>1170</v>
      </c>
      <c r="J6802" s="3">
        <v>1170</v>
      </c>
      <c r="K6802" s="4">
        <v>424</v>
      </c>
      <c r="L6802" t="s">
        <v>120</v>
      </c>
      <c r="M6802">
        <v>17</v>
      </c>
      <c r="N6802" t="str">
        <f>IF(MASTER[[#This Row],[IDLOCAL]]=17,"HYDE PARK", "HARLEM IRVING")</f>
        <v>HYDE PARK</v>
      </c>
      <c r="O6802" t="str">
        <f>IF(MASTER[[#This Row],[IDLOCAL]]=17,"PREMIUM", "ESTÁNDAR")</f>
        <v>PREMIUM</v>
      </c>
      <c r="P6802" t="s">
        <v>137</v>
      </c>
      <c r="Q6802" t="s">
        <v>142</v>
      </c>
      <c r="R6802" t="s">
        <v>143</v>
      </c>
      <c r="S6802" t="s">
        <v>145</v>
      </c>
      <c r="T6802" s="2">
        <f>MASTER[[#This Row],[CANTIDAD]]*MASTER[[#This Row],[PRECIO DE VENTA]]</f>
        <v>1170</v>
      </c>
      <c r="U6802" s="2">
        <f>MASTER[[#This Row],[CANTIDAD]]*MASTER[[#This Row],[COSTO UNITARIO]]</f>
        <v>424</v>
      </c>
      <c r="V6802" s="2">
        <f>MASTER[[#This Row],[MONTO VENDIDO]]-MASTER[[#This Row],[COSTO DE VENTA]]</f>
        <v>746</v>
      </c>
    </row>
    <row r="6803" spans="1:22" x14ac:dyDescent="0.3">
      <c r="A6803">
        <v>100505</v>
      </c>
      <c r="B6803">
        <v>1</v>
      </c>
      <c r="C6803" t="s">
        <v>99</v>
      </c>
      <c r="D6803" t="s">
        <v>100</v>
      </c>
      <c r="E6803" s="1">
        <v>43869</v>
      </c>
      <c r="F6803">
        <v>1</v>
      </c>
      <c r="G6803" t="s">
        <v>67</v>
      </c>
      <c r="H6803" t="s">
        <v>68</v>
      </c>
      <c r="I6803" s="4">
        <v>1896</v>
      </c>
      <c r="J6803" s="3">
        <v>1896</v>
      </c>
      <c r="K6803" s="4">
        <v>386</v>
      </c>
      <c r="L6803" t="s">
        <v>98</v>
      </c>
      <c r="M6803">
        <v>19</v>
      </c>
      <c r="N6803" t="s">
        <v>150</v>
      </c>
      <c r="O6803" t="s">
        <v>81</v>
      </c>
      <c r="P6803" t="s">
        <v>136</v>
      </c>
      <c r="Q6803" t="s">
        <v>140</v>
      </c>
      <c r="R6803" t="s">
        <v>141</v>
      </c>
      <c r="S6803" t="s">
        <v>145</v>
      </c>
      <c r="T6803" s="2">
        <f>MASTER[[#This Row],[CANTIDAD]]*MASTER[[#This Row],[PRECIO DE VENTA]]</f>
        <v>1896</v>
      </c>
      <c r="U6803" s="2">
        <f>MASTER[[#This Row],[CANTIDAD]]*MASTER[[#This Row],[COSTO UNITARIO]]</f>
        <v>386</v>
      </c>
      <c r="V6803" s="2">
        <f>MASTER[[#This Row],[MONTO VENDIDO]]-MASTER[[#This Row],[COSTO DE VENTA]]</f>
        <v>1510</v>
      </c>
    </row>
    <row r="6804" spans="1:22" x14ac:dyDescent="0.3">
      <c r="A6804">
        <v>100520</v>
      </c>
      <c r="B6804">
        <v>1</v>
      </c>
      <c r="C6804" t="s">
        <v>94</v>
      </c>
      <c r="D6804" t="s">
        <v>95</v>
      </c>
      <c r="E6804" s="1">
        <v>43870</v>
      </c>
      <c r="F6804">
        <v>1</v>
      </c>
      <c r="G6804" t="s">
        <v>65</v>
      </c>
      <c r="H6804" t="s">
        <v>66</v>
      </c>
      <c r="I6804" s="4">
        <v>1498</v>
      </c>
      <c r="J6804" s="3">
        <v>1498</v>
      </c>
      <c r="K6804" s="4">
        <v>392</v>
      </c>
      <c r="L6804" t="s">
        <v>9</v>
      </c>
      <c r="M6804">
        <v>17</v>
      </c>
      <c r="N6804" t="str">
        <f>IF(MASTER[[#This Row],[IDLOCAL]]=17,"HYDE PARK", "HARLEM IRVING")</f>
        <v>HYDE PARK</v>
      </c>
      <c r="O6804" t="str">
        <f>IF(MASTER[[#This Row],[IDLOCAL]]=17,"PREMIUM", "ESTÁNDAR")</f>
        <v>PREMIUM</v>
      </c>
      <c r="P6804" t="s">
        <v>137</v>
      </c>
      <c r="Q6804" t="s">
        <v>142</v>
      </c>
      <c r="R6804" t="s">
        <v>143</v>
      </c>
      <c r="S6804" t="s">
        <v>145</v>
      </c>
      <c r="T6804" s="2">
        <f>MASTER[[#This Row],[CANTIDAD]]*MASTER[[#This Row],[PRECIO DE VENTA]]</f>
        <v>1498</v>
      </c>
      <c r="U6804" s="2">
        <f>MASTER[[#This Row],[CANTIDAD]]*MASTER[[#This Row],[COSTO UNITARIO]]</f>
        <v>392</v>
      </c>
      <c r="V6804" s="2">
        <f>MASTER[[#This Row],[MONTO VENDIDO]]-MASTER[[#This Row],[COSTO DE VENTA]]</f>
        <v>1106</v>
      </c>
    </row>
    <row r="6805" spans="1:22" x14ac:dyDescent="0.3">
      <c r="A6805">
        <v>100531</v>
      </c>
      <c r="B6805">
        <v>1</v>
      </c>
      <c r="C6805" t="s">
        <v>121</v>
      </c>
      <c r="D6805" t="s">
        <v>122</v>
      </c>
      <c r="E6805" s="1">
        <v>43870</v>
      </c>
      <c r="F6805">
        <v>1</v>
      </c>
      <c r="G6805" t="s">
        <v>20</v>
      </c>
      <c r="H6805" t="s">
        <v>21</v>
      </c>
      <c r="I6805" s="4">
        <v>1223</v>
      </c>
      <c r="J6805" s="3">
        <v>1223</v>
      </c>
      <c r="K6805" s="4">
        <v>460</v>
      </c>
      <c r="L6805" t="s">
        <v>120</v>
      </c>
      <c r="M6805">
        <v>19</v>
      </c>
      <c r="N6805" t="s">
        <v>150</v>
      </c>
      <c r="O6805" t="s">
        <v>81</v>
      </c>
      <c r="P6805" t="s">
        <v>136</v>
      </c>
      <c r="Q6805" t="s">
        <v>140</v>
      </c>
      <c r="R6805" t="s">
        <v>141</v>
      </c>
      <c r="S6805" t="s">
        <v>145</v>
      </c>
      <c r="T6805" s="2">
        <f>MASTER[[#This Row],[CANTIDAD]]*MASTER[[#This Row],[PRECIO DE VENTA]]</f>
        <v>1223</v>
      </c>
      <c r="U6805" s="2">
        <f>MASTER[[#This Row],[CANTIDAD]]*MASTER[[#This Row],[COSTO UNITARIO]]</f>
        <v>460</v>
      </c>
      <c r="V6805" s="2">
        <f>MASTER[[#This Row],[MONTO VENDIDO]]-MASTER[[#This Row],[COSTO DE VENTA]]</f>
        <v>763</v>
      </c>
    </row>
    <row r="6806" spans="1:22" x14ac:dyDescent="0.3">
      <c r="A6806">
        <v>100556</v>
      </c>
      <c r="B6806">
        <v>1</v>
      </c>
      <c r="C6806" t="s">
        <v>101</v>
      </c>
      <c r="D6806" t="s">
        <v>102</v>
      </c>
      <c r="E6806" s="1">
        <v>43871</v>
      </c>
      <c r="F6806">
        <v>1</v>
      </c>
      <c r="G6806" t="s">
        <v>22</v>
      </c>
      <c r="H6806" t="s">
        <v>23</v>
      </c>
      <c r="I6806" s="4">
        <v>1764</v>
      </c>
      <c r="J6806" s="3">
        <v>1764</v>
      </c>
      <c r="K6806" s="4">
        <v>442</v>
      </c>
      <c r="L6806" t="s">
        <v>98</v>
      </c>
      <c r="M6806">
        <v>19</v>
      </c>
      <c r="N6806" t="s">
        <v>150</v>
      </c>
      <c r="O6806" t="s">
        <v>81</v>
      </c>
      <c r="P6806" t="s">
        <v>136</v>
      </c>
      <c r="Q6806" t="s">
        <v>140</v>
      </c>
      <c r="R6806" t="s">
        <v>141</v>
      </c>
      <c r="S6806" t="s">
        <v>145</v>
      </c>
      <c r="T6806" s="2">
        <f>MASTER[[#This Row],[CANTIDAD]]*MASTER[[#This Row],[PRECIO DE VENTA]]</f>
        <v>1764</v>
      </c>
      <c r="U6806" s="2">
        <f>MASTER[[#This Row],[CANTIDAD]]*MASTER[[#This Row],[COSTO UNITARIO]]</f>
        <v>442</v>
      </c>
      <c r="V6806" s="2">
        <f>MASTER[[#This Row],[MONTO VENDIDO]]-MASTER[[#This Row],[COSTO DE VENTA]]</f>
        <v>1322</v>
      </c>
    </row>
    <row r="6807" spans="1:22" x14ac:dyDescent="0.3">
      <c r="A6807">
        <v>100557</v>
      </c>
      <c r="B6807">
        <v>1</v>
      </c>
      <c r="C6807" t="s">
        <v>94</v>
      </c>
      <c r="D6807" t="s">
        <v>95</v>
      </c>
      <c r="E6807" s="1">
        <v>43872</v>
      </c>
      <c r="F6807">
        <v>1</v>
      </c>
      <c r="G6807" t="s">
        <v>29</v>
      </c>
      <c r="H6807" t="s">
        <v>30</v>
      </c>
      <c r="I6807" s="4">
        <v>1171</v>
      </c>
      <c r="J6807" s="3">
        <v>1171</v>
      </c>
      <c r="K6807" s="4">
        <v>392</v>
      </c>
      <c r="L6807" t="s">
        <v>9</v>
      </c>
      <c r="M6807">
        <v>19</v>
      </c>
      <c r="N6807" t="s">
        <v>150</v>
      </c>
      <c r="O6807" t="s">
        <v>81</v>
      </c>
      <c r="P6807" t="s">
        <v>136</v>
      </c>
      <c r="Q6807" t="s">
        <v>140</v>
      </c>
      <c r="R6807" t="s">
        <v>141</v>
      </c>
      <c r="S6807" t="s">
        <v>145</v>
      </c>
      <c r="T6807" s="2">
        <f>MASTER[[#This Row],[CANTIDAD]]*MASTER[[#This Row],[PRECIO DE VENTA]]</f>
        <v>1171</v>
      </c>
      <c r="U6807" s="2">
        <f>MASTER[[#This Row],[CANTIDAD]]*MASTER[[#This Row],[COSTO UNITARIO]]</f>
        <v>392</v>
      </c>
      <c r="V6807" s="2">
        <f>MASTER[[#This Row],[MONTO VENDIDO]]-MASTER[[#This Row],[COSTO DE VENTA]]</f>
        <v>779</v>
      </c>
    </row>
    <row r="6808" spans="1:22" x14ac:dyDescent="0.3">
      <c r="A6808">
        <v>100588</v>
      </c>
      <c r="B6808">
        <v>1</v>
      </c>
      <c r="C6808" t="s">
        <v>109</v>
      </c>
      <c r="D6808" t="s">
        <v>110</v>
      </c>
      <c r="E6808" s="1">
        <v>43874</v>
      </c>
      <c r="F6808">
        <v>1</v>
      </c>
      <c r="G6808" t="s">
        <v>53</v>
      </c>
      <c r="H6808" t="s">
        <v>54</v>
      </c>
      <c r="I6808" s="4">
        <v>1383</v>
      </c>
      <c r="J6808" s="3">
        <v>1383</v>
      </c>
      <c r="K6808" s="4">
        <v>387</v>
      </c>
      <c r="L6808" t="s">
        <v>98</v>
      </c>
      <c r="M6808">
        <v>18</v>
      </c>
      <c r="N6808" t="str">
        <f>IF(MASTER[[#This Row],[IDLOCAL]]=17,"HYDE PARK", "HARLEM IRVING")</f>
        <v>HARLEM IRVING</v>
      </c>
      <c r="O6808" t="str">
        <f>IF(MASTER[[#This Row],[IDLOCAL]]=17,"PREMIUM", "ESTÁNDAR")</f>
        <v>ESTÁNDAR</v>
      </c>
      <c r="P6808" t="s">
        <v>137</v>
      </c>
      <c r="Q6808" t="s">
        <v>142</v>
      </c>
      <c r="R6808" t="s">
        <v>143</v>
      </c>
      <c r="S6808" t="s">
        <v>145</v>
      </c>
      <c r="T6808" s="2">
        <f>MASTER[[#This Row],[CANTIDAD]]*MASTER[[#This Row],[PRECIO DE VENTA]]</f>
        <v>1383</v>
      </c>
      <c r="U6808" s="2">
        <f>MASTER[[#This Row],[CANTIDAD]]*MASTER[[#This Row],[COSTO UNITARIO]]</f>
        <v>387</v>
      </c>
      <c r="V6808" s="2">
        <f>MASTER[[#This Row],[MONTO VENDIDO]]-MASTER[[#This Row],[COSTO DE VENTA]]</f>
        <v>996</v>
      </c>
    </row>
    <row r="6809" spans="1:22" x14ac:dyDescent="0.3">
      <c r="A6809">
        <v>100589</v>
      </c>
      <c r="B6809">
        <v>1</v>
      </c>
      <c r="C6809" t="s">
        <v>92</v>
      </c>
      <c r="D6809" t="s">
        <v>93</v>
      </c>
      <c r="E6809" s="1">
        <v>43875</v>
      </c>
      <c r="F6809">
        <v>1</v>
      </c>
      <c r="G6809" t="s">
        <v>55</v>
      </c>
      <c r="H6809" t="s">
        <v>56</v>
      </c>
      <c r="I6809" s="4">
        <v>2185</v>
      </c>
      <c r="J6809" s="3">
        <v>2074</v>
      </c>
      <c r="K6809" s="4">
        <v>396</v>
      </c>
      <c r="L6809" t="s">
        <v>9</v>
      </c>
      <c r="M6809">
        <v>19</v>
      </c>
      <c r="N6809" t="s">
        <v>150</v>
      </c>
      <c r="O6809" t="s">
        <v>81</v>
      </c>
      <c r="P6809" t="s">
        <v>136</v>
      </c>
      <c r="Q6809" t="s">
        <v>140</v>
      </c>
      <c r="R6809" t="s">
        <v>141</v>
      </c>
      <c r="S6809" t="s">
        <v>145</v>
      </c>
      <c r="T6809" s="2">
        <f>MASTER[[#This Row],[CANTIDAD]]*MASTER[[#This Row],[PRECIO DE VENTA]]</f>
        <v>2074</v>
      </c>
      <c r="U6809" s="2">
        <f>MASTER[[#This Row],[CANTIDAD]]*MASTER[[#This Row],[COSTO UNITARIO]]</f>
        <v>396</v>
      </c>
      <c r="V6809" s="2">
        <f>MASTER[[#This Row],[MONTO VENDIDO]]-MASTER[[#This Row],[COSTO DE VENTA]]</f>
        <v>1678</v>
      </c>
    </row>
    <row r="6810" spans="1:22" x14ac:dyDescent="0.3">
      <c r="A6810">
        <v>100590</v>
      </c>
      <c r="B6810">
        <v>1</v>
      </c>
      <c r="C6810" t="s">
        <v>94</v>
      </c>
      <c r="D6810" t="s">
        <v>95</v>
      </c>
      <c r="E6810" s="1">
        <v>43875</v>
      </c>
      <c r="F6810">
        <v>1</v>
      </c>
      <c r="G6810" t="s">
        <v>20</v>
      </c>
      <c r="H6810" t="s">
        <v>21</v>
      </c>
      <c r="I6810" s="4">
        <v>1362</v>
      </c>
      <c r="J6810" s="3">
        <v>1362</v>
      </c>
      <c r="K6810" s="4">
        <v>392</v>
      </c>
      <c r="L6810" t="s">
        <v>9</v>
      </c>
      <c r="M6810">
        <v>19</v>
      </c>
      <c r="N6810" t="s">
        <v>150</v>
      </c>
      <c r="O6810" t="s">
        <v>81</v>
      </c>
      <c r="P6810" t="s">
        <v>136</v>
      </c>
      <c r="Q6810" t="s">
        <v>140</v>
      </c>
      <c r="R6810" t="s">
        <v>141</v>
      </c>
      <c r="S6810" t="s">
        <v>145</v>
      </c>
      <c r="T6810" s="2">
        <f>MASTER[[#This Row],[CANTIDAD]]*MASTER[[#This Row],[PRECIO DE VENTA]]</f>
        <v>1362</v>
      </c>
      <c r="U6810" s="2">
        <f>MASTER[[#This Row],[CANTIDAD]]*MASTER[[#This Row],[COSTO UNITARIO]]</f>
        <v>392</v>
      </c>
      <c r="V6810" s="2">
        <f>MASTER[[#This Row],[MONTO VENDIDO]]-MASTER[[#This Row],[COSTO DE VENTA]]</f>
        <v>970</v>
      </c>
    </row>
    <row r="6811" spans="1:22" x14ac:dyDescent="0.3">
      <c r="A6811">
        <v>100595</v>
      </c>
      <c r="B6811">
        <v>1</v>
      </c>
      <c r="C6811" t="s">
        <v>96</v>
      </c>
      <c r="D6811" t="s">
        <v>97</v>
      </c>
      <c r="E6811" s="1">
        <v>43875</v>
      </c>
      <c r="F6811">
        <v>1</v>
      </c>
      <c r="G6811" t="s">
        <v>51</v>
      </c>
      <c r="H6811" t="s">
        <v>52</v>
      </c>
      <c r="I6811" s="4">
        <v>1653</v>
      </c>
      <c r="J6811" s="3">
        <v>1653</v>
      </c>
      <c r="K6811" s="4">
        <v>397</v>
      </c>
      <c r="L6811" t="s">
        <v>98</v>
      </c>
      <c r="M6811">
        <v>17</v>
      </c>
      <c r="N6811" t="str">
        <f>IF(MASTER[[#This Row],[IDLOCAL]]=17,"HYDE PARK", "HARLEM IRVING")</f>
        <v>HYDE PARK</v>
      </c>
      <c r="O6811" t="str">
        <f>IF(MASTER[[#This Row],[IDLOCAL]]=17,"PREMIUM", "ESTÁNDAR")</f>
        <v>PREMIUM</v>
      </c>
      <c r="P6811" t="s">
        <v>137</v>
      </c>
      <c r="Q6811" t="s">
        <v>142</v>
      </c>
      <c r="R6811" t="s">
        <v>143</v>
      </c>
      <c r="S6811" t="s">
        <v>145</v>
      </c>
      <c r="T6811" s="2">
        <f>MASTER[[#This Row],[CANTIDAD]]*MASTER[[#This Row],[PRECIO DE VENTA]]</f>
        <v>1653</v>
      </c>
      <c r="U6811" s="2">
        <f>MASTER[[#This Row],[CANTIDAD]]*MASTER[[#This Row],[COSTO UNITARIO]]</f>
        <v>397</v>
      </c>
      <c r="V6811" s="2">
        <f>MASTER[[#This Row],[MONTO VENDIDO]]-MASTER[[#This Row],[COSTO DE VENTA]]</f>
        <v>1256</v>
      </c>
    </row>
    <row r="6812" spans="1:22" x14ac:dyDescent="0.3">
      <c r="A6812">
        <v>100608</v>
      </c>
      <c r="B6812">
        <v>1</v>
      </c>
      <c r="C6812" t="s">
        <v>103</v>
      </c>
      <c r="D6812" t="s">
        <v>104</v>
      </c>
      <c r="E6812" s="1">
        <v>43875</v>
      </c>
      <c r="F6812">
        <v>1</v>
      </c>
      <c r="G6812" t="s">
        <v>7</v>
      </c>
      <c r="H6812" t="s">
        <v>8</v>
      </c>
      <c r="I6812" s="4">
        <v>1882</v>
      </c>
      <c r="J6812" s="3">
        <v>1769</v>
      </c>
      <c r="K6812" s="4">
        <v>421</v>
      </c>
      <c r="L6812" t="s">
        <v>98</v>
      </c>
      <c r="M6812">
        <v>17</v>
      </c>
      <c r="N6812" t="str">
        <f>IF(MASTER[[#This Row],[IDLOCAL]]=17,"HYDE PARK", "HARLEM IRVING")</f>
        <v>HYDE PARK</v>
      </c>
      <c r="O6812" t="str">
        <f>IF(MASTER[[#This Row],[IDLOCAL]]=17,"PREMIUM", "ESTÁNDAR")</f>
        <v>PREMIUM</v>
      </c>
      <c r="P6812" t="s">
        <v>137</v>
      </c>
      <c r="Q6812" t="s">
        <v>142</v>
      </c>
      <c r="R6812" t="s">
        <v>143</v>
      </c>
      <c r="S6812" t="s">
        <v>145</v>
      </c>
      <c r="T6812" s="2">
        <f>MASTER[[#This Row],[CANTIDAD]]*MASTER[[#This Row],[PRECIO DE VENTA]]</f>
        <v>1769</v>
      </c>
      <c r="U6812" s="2">
        <f>MASTER[[#This Row],[CANTIDAD]]*MASTER[[#This Row],[COSTO UNITARIO]]</f>
        <v>421</v>
      </c>
      <c r="V6812" s="2">
        <f>MASTER[[#This Row],[MONTO VENDIDO]]-MASTER[[#This Row],[COSTO DE VENTA]]</f>
        <v>1348</v>
      </c>
    </row>
    <row r="6813" spans="1:22" x14ac:dyDescent="0.3">
      <c r="A6813">
        <v>100667</v>
      </c>
      <c r="B6813">
        <v>1</v>
      </c>
      <c r="C6813" t="s">
        <v>116</v>
      </c>
      <c r="D6813" t="s">
        <v>117</v>
      </c>
      <c r="E6813" s="1">
        <v>43875</v>
      </c>
      <c r="F6813">
        <v>1</v>
      </c>
      <c r="G6813" t="s">
        <v>24</v>
      </c>
      <c r="H6813" t="s">
        <v>25</v>
      </c>
      <c r="I6813" s="4">
        <v>2259</v>
      </c>
      <c r="J6813" s="3">
        <v>2259</v>
      </c>
      <c r="K6813" s="4">
        <v>388</v>
      </c>
      <c r="L6813" t="s">
        <v>113</v>
      </c>
      <c r="M6813">
        <v>17</v>
      </c>
      <c r="N6813" t="str">
        <f>IF(MASTER[[#This Row],[IDLOCAL]]=17,"HYDE PARK", "HARLEM IRVING")</f>
        <v>HYDE PARK</v>
      </c>
      <c r="O6813" t="str">
        <f>IF(MASTER[[#This Row],[IDLOCAL]]=17,"PREMIUM", "ESTÁNDAR")</f>
        <v>PREMIUM</v>
      </c>
      <c r="P6813" t="s">
        <v>137</v>
      </c>
      <c r="Q6813" t="s">
        <v>142</v>
      </c>
      <c r="R6813" t="s">
        <v>143</v>
      </c>
      <c r="S6813" t="s">
        <v>145</v>
      </c>
      <c r="T6813" s="2">
        <f>MASTER[[#This Row],[CANTIDAD]]*MASTER[[#This Row],[PRECIO DE VENTA]]</f>
        <v>2259</v>
      </c>
      <c r="U6813" s="2">
        <f>MASTER[[#This Row],[CANTIDAD]]*MASTER[[#This Row],[COSTO UNITARIO]]</f>
        <v>388</v>
      </c>
      <c r="V6813" s="2">
        <f>MASTER[[#This Row],[MONTO VENDIDO]]-MASTER[[#This Row],[COSTO DE VENTA]]</f>
        <v>1871</v>
      </c>
    </row>
    <row r="6814" spans="1:22" x14ac:dyDescent="0.3">
      <c r="A6814">
        <v>100679</v>
      </c>
      <c r="B6814">
        <v>1</v>
      </c>
      <c r="C6814" t="s">
        <v>5</v>
      </c>
      <c r="D6814" t="s">
        <v>6</v>
      </c>
      <c r="E6814" s="1">
        <v>43877</v>
      </c>
      <c r="F6814">
        <v>1</v>
      </c>
      <c r="G6814" t="s">
        <v>57</v>
      </c>
      <c r="H6814" t="s">
        <v>58</v>
      </c>
      <c r="I6814" s="4">
        <v>1959</v>
      </c>
      <c r="J6814" s="3">
        <v>1840</v>
      </c>
      <c r="K6814" s="4">
        <v>393</v>
      </c>
      <c r="L6814" t="s">
        <v>9</v>
      </c>
      <c r="M6814">
        <v>18</v>
      </c>
      <c r="N6814" t="str">
        <f>IF(MASTER[[#This Row],[IDLOCAL]]=17,"HYDE PARK", "HARLEM IRVING")</f>
        <v>HARLEM IRVING</v>
      </c>
      <c r="O6814" t="str">
        <f>IF(MASTER[[#This Row],[IDLOCAL]]=17,"PREMIUM", "ESTÁNDAR")</f>
        <v>ESTÁNDAR</v>
      </c>
      <c r="P6814" t="s">
        <v>137</v>
      </c>
      <c r="Q6814" t="s">
        <v>142</v>
      </c>
      <c r="R6814" t="s">
        <v>143</v>
      </c>
      <c r="S6814" t="s">
        <v>145</v>
      </c>
      <c r="T6814" s="2">
        <f>MASTER[[#This Row],[CANTIDAD]]*MASTER[[#This Row],[PRECIO DE VENTA]]</f>
        <v>1840</v>
      </c>
      <c r="U6814" s="2">
        <f>MASTER[[#This Row],[CANTIDAD]]*MASTER[[#This Row],[COSTO UNITARIO]]</f>
        <v>393</v>
      </c>
      <c r="V6814" s="2">
        <f>MASTER[[#This Row],[MONTO VENDIDO]]-MASTER[[#This Row],[COSTO DE VENTA]]</f>
        <v>1447</v>
      </c>
    </row>
    <row r="6815" spans="1:22" x14ac:dyDescent="0.3">
      <c r="A6815">
        <v>100688</v>
      </c>
      <c r="B6815">
        <v>1</v>
      </c>
      <c r="C6815" t="s">
        <v>105</v>
      </c>
      <c r="D6815" t="s">
        <v>106</v>
      </c>
      <c r="E6815" s="1">
        <v>43877</v>
      </c>
      <c r="F6815">
        <v>1</v>
      </c>
      <c r="G6815" t="s">
        <v>61</v>
      </c>
      <c r="H6815" t="s">
        <v>62</v>
      </c>
      <c r="I6815" s="4">
        <v>2424</v>
      </c>
      <c r="J6815" s="3">
        <v>2424</v>
      </c>
      <c r="K6815" s="4">
        <v>459</v>
      </c>
      <c r="L6815" t="s">
        <v>98</v>
      </c>
      <c r="M6815">
        <v>19</v>
      </c>
      <c r="N6815" t="s">
        <v>150</v>
      </c>
      <c r="O6815" t="s">
        <v>81</v>
      </c>
      <c r="P6815" t="s">
        <v>136</v>
      </c>
      <c r="Q6815" t="s">
        <v>140</v>
      </c>
      <c r="R6815" t="s">
        <v>141</v>
      </c>
      <c r="S6815" t="s">
        <v>145</v>
      </c>
      <c r="T6815" s="2">
        <f>MASTER[[#This Row],[CANTIDAD]]*MASTER[[#This Row],[PRECIO DE VENTA]]</f>
        <v>2424</v>
      </c>
      <c r="U6815" s="2">
        <f>MASTER[[#This Row],[CANTIDAD]]*MASTER[[#This Row],[COSTO UNITARIO]]</f>
        <v>459</v>
      </c>
      <c r="V6815" s="2">
        <f>MASTER[[#This Row],[MONTO VENDIDO]]-MASTER[[#This Row],[COSTO DE VENTA]]</f>
        <v>1965</v>
      </c>
    </row>
    <row r="6816" spans="1:22" x14ac:dyDescent="0.3">
      <c r="A6816">
        <v>100702</v>
      </c>
      <c r="B6816">
        <v>1</v>
      </c>
      <c r="C6816" t="s">
        <v>121</v>
      </c>
      <c r="D6816" t="s">
        <v>122</v>
      </c>
      <c r="E6816" s="1">
        <v>43880</v>
      </c>
      <c r="F6816">
        <v>1</v>
      </c>
      <c r="G6816" t="s">
        <v>53</v>
      </c>
      <c r="H6816" t="s">
        <v>54</v>
      </c>
      <c r="I6816" s="4">
        <v>1389</v>
      </c>
      <c r="J6816" s="3">
        <v>1389</v>
      </c>
      <c r="K6816" s="4">
        <v>460</v>
      </c>
      <c r="L6816" t="s">
        <v>120</v>
      </c>
      <c r="M6816">
        <v>19</v>
      </c>
      <c r="N6816" t="s">
        <v>150</v>
      </c>
      <c r="O6816" t="s">
        <v>81</v>
      </c>
      <c r="P6816" t="s">
        <v>136</v>
      </c>
      <c r="Q6816" t="s">
        <v>140</v>
      </c>
      <c r="R6816" t="s">
        <v>141</v>
      </c>
      <c r="S6816" t="s">
        <v>145</v>
      </c>
      <c r="T6816" s="2">
        <f>MASTER[[#This Row],[CANTIDAD]]*MASTER[[#This Row],[PRECIO DE VENTA]]</f>
        <v>1389</v>
      </c>
      <c r="U6816" s="2">
        <f>MASTER[[#This Row],[CANTIDAD]]*MASTER[[#This Row],[COSTO UNITARIO]]</f>
        <v>460</v>
      </c>
      <c r="V6816" s="2">
        <f>MASTER[[#This Row],[MONTO VENDIDO]]-MASTER[[#This Row],[COSTO DE VENTA]]</f>
        <v>929</v>
      </c>
    </row>
    <row r="6817" spans="1:22" x14ac:dyDescent="0.3">
      <c r="A6817">
        <v>100706</v>
      </c>
      <c r="B6817">
        <v>1</v>
      </c>
      <c r="C6817" t="s">
        <v>111</v>
      </c>
      <c r="D6817" t="s">
        <v>112</v>
      </c>
      <c r="E6817" s="1">
        <v>43881</v>
      </c>
      <c r="F6817">
        <v>4</v>
      </c>
      <c r="G6817" t="s">
        <v>33</v>
      </c>
      <c r="H6817" t="s">
        <v>34</v>
      </c>
      <c r="I6817" s="4">
        <v>2107</v>
      </c>
      <c r="J6817" s="3">
        <v>2107</v>
      </c>
      <c r="K6817" s="4">
        <v>434</v>
      </c>
      <c r="L6817" t="s">
        <v>113</v>
      </c>
      <c r="M6817">
        <v>19</v>
      </c>
      <c r="N6817" t="s">
        <v>150</v>
      </c>
      <c r="O6817" t="s">
        <v>81</v>
      </c>
      <c r="P6817" t="s">
        <v>136</v>
      </c>
      <c r="Q6817" t="s">
        <v>140</v>
      </c>
      <c r="R6817" t="s">
        <v>141</v>
      </c>
      <c r="S6817" t="s">
        <v>145</v>
      </c>
      <c r="T6817" s="2">
        <f>MASTER[[#This Row],[CANTIDAD]]*MASTER[[#This Row],[PRECIO DE VENTA]]</f>
        <v>8428</v>
      </c>
      <c r="U6817" s="2">
        <f>MASTER[[#This Row],[CANTIDAD]]*MASTER[[#This Row],[COSTO UNITARIO]]</f>
        <v>1736</v>
      </c>
      <c r="V6817" s="2">
        <f>MASTER[[#This Row],[MONTO VENDIDO]]-MASTER[[#This Row],[COSTO DE VENTA]]</f>
        <v>6692</v>
      </c>
    </row>
    <row r="6818" spans="1:22" x14ac:dyDescent="0.3">
      <c r="A6818">
        <v>100708</v>
      </c>
      <c r="B6818">
        <v>1</v>
      </c>
      <c r="C6818" t="s">
        <v>99</v>
      </c>
      <c r="D6818" t="s">
        <v>100</v>
      </c>
      <c r="E6818" s="1">
        <v>43883</v>
      </c>
      <c r="F6818">
        <v>1</v>
      </c>
      <c r="G6818" t="s">
        <v>27</v>
      </c>
      <c r="H6818" t="s">
        <v>28</v>
      </c>
      <c r="I6818" s="4">
        <v>1726</v>
      </c>
      <c r="J6818" s="3">
        <v>1726</v>
      </c>
      <c r="K6818" s="4">
        <v>386</v>
      </c>
      <c r="L6818" t="s">
        <v>98</v>
      </c>
      <c r="M6818">
        <v>19</v>
      </c>
      <c r="N6818" t="s">
        <v>150</v>
      </c>
      <c r="O6818" t="s">
        <v>81</v>
      </c>
      <c r="P6818" t="s">
        <v>136</v>
      </c>
      <c r="Q6818" t="s">
        <v>140</v>
      </c>
      <c r="R6818" t="s">
        <v>141</v>
      </c>
      <c r="S6818" t="s">
        <v>145</v>
      </c>
      <c r="T6818" s="2">
        <f>MASTER[[#This Row],[CANTIDAD]]*MASTER[[#This Row],[PRECIO DE VENTA]]</f>
        <v>1726</v>
      </c>
      <c r="U6818" s="2">
        <f>MASTER[[#This Row],[CANTIDAD]]*MASTER[[#This Row],[COSTO UNITARIO]]</f>
        <v>386</v>
      </c>
      <c r="V6818" s="2">
        <f>MASTER[[#This Row],[MONTO VENDIDO]]-MASTER[[#This Row],[COSTO DE VENTA]]</f>
        <v>1340</v>
      </c>
    </row>
    <row r="6819" spans="1:22" x14ac:dyDescent="0.3">
      <c r="A6819">
        <v>100724</v>
      </c>
      <c r="B6819">
        <v>1</v>
      </c>
      <c r="C6819" t="s">
        <v>101</v>
      </c>
      <c r="D6819" t="s">
        <v>102</v>
      </c>
      <c r="E6819" s="1">
        <v>43883</v>
      </c>
      <c r="F6819">
        <v>1</v>
      </c>
      <c r="G6819" t="s">
        <v>53</v>
      </c>
      <c r="H6819" t="s">
        <v>54</v>
      </c>
      <c r="I6819" s="4">
        <v>1575</v>
      </c>
      <c r="J6819" s="3">
        <v>1575</v>
      </c>
      <c r="K6819" s="4">
        <v>442</v>
      </c>
      <c r="L6819" t="s">
        <v>98</v>
      </c>
      <c r="M6819">
        <v>18</v>
      </c>
      <c r="N6819" t="str">
        <f>IF(MASTER[[#This Row],[IDLOCAL]]=17,"HYDE PARK", "HARLEM IRVING")</f>
        <v>HARLEM IRVING</v>
      </c>
      <c r="O6819" t="str">
        <f>IF(MASTER[[#This Row],[IDLOCAL]]=17,"PREMIUM", "ESTÁNDAR")</f>
        <v>ESTÁNDAR</v>
      </c>
      <c r="P6819" t="s">
        <v>137</v>
      </c>
      <c r="Q6819" t="s">
        <v>142</v>
      </c>
      <c r="R6819" t="s">
        <v>143</v>
      </c>
      <c r="S6819" t="s">
        <v>145</v>
      </c>
      <c r="T6819" s="2">
        <f>MASTER[[#This Row],[CANTIDAD]]*MASTER[[#This Row],[PRECIO DE VENTA]]</f>
        <v>1575</v>
      </c>
      <c r="U6819" s="2">
        <f>MASTER[[#This Row],[CANTIDAD]]*MASTER[[#This Row],[COSTO UNITARIO]]</f>
        <v>442</v>
      </c>
      <c r="V6819" s="2">
        <f>MASTER[[#This Row],[MONTO VENDIDO]]-MASTER[[#This Row],[COSTO DE VENTA]]</f>
        <v>1133</v>
      </c>
    </row>
    <row r="6820" spans="1:22" x14ac:dyDescent="0.3">
      <c r="A6820">
        <v>100733</v>
      </c>
      <c r="B6820">
        <v>1</v>
      </c>
      <c r="C6820" t="s">
        <v>5</v>
      </c>
      <c r="D6820" t="s">
        <v>6</v>
      </c>
      <c r="E6820" s="1">
        <v>43884</v>
      </c>
      <c r="F6820">
        <v>1</v>
      </c>
      <c r="G6820" t="s">
        <v>59</v>
      </c>
      <c r="H6820" t="s">
        <v>60</v>
      </c>
      <c r="I6820" s="4">
        <v>1684</v>
      </c>
      <c r="J6820" s="3">
        <v>1684</v>
      </c>
      <c r="K6820" s="4">
        <v>393</v>
      </c>
      <c r="L6820" t="s">
        <v>9</v>
      </c>
      <c r="M6820">
        <v>18</v>
      </c>
      <c r="N6820" t="str">
        <f>IF(MASTER[[#This Row],[IDLOCAL]]=17,"HYDE PARK", "HARLEM IRVING")</f>
        <v>HARLEM IRVING</v>
      </c>
      <c r="O6820" t="str">
        <f>IF(MASTER[[#This Row],[IDLOCAL]]=17,"PREMIUM", "ESTÁNDAR")</f>
        <v>ESTÁNDAR</v>
      </c>
      <c r="P6820" t="s">
        <v>137</v>
      </c>
      <c r="Q6820" t="s">
        <v>142</v>
      </c>
      <c r="R6820" t="s">
        <v>143</v>
      </c>
      <c r="S6820" t="s">
        <v>145</v>
      </c>
      <c r="T6820" s="2">
        <f>MASTER[[#This Row],[CANTIDAD]]*MASTER[[#This Row],[PRECIO DE VENTA]]</f>
        <v>1684</v>
      </c>
      <c r="U6820" s="2">
        <f>MASTER[[#This Row],[CANTIDAD]]*MASTER[[#This Row],[COSTO UNITARIO]]</f>
        <v>393</v>
      </c>
      <c r="V6820" s="2">
        <f>MASTER[[#This Row],[MONTO VENDIDO]]-MASTER[[#This Row],[COSTO DE VENTA]]</f>
        <v>1291</v>
      </c>
    </row>
    <row r="6821" spans="1:22" x14ac:dyDescent="0.3">
      <c r="A6821">
        <v>100738</v>
      </c>
      <c r="B6821">
        <v>1</v>
      </c>
      <c r="C6821" t="s">
        <v>92</v>
      </c>
      <c r="D6821" t="s">
        <v>93</v>
      </c>
      <c r="E6821" s="1">
        <v>43884</v>
      </c>
      <c r="F6821">
        <v>1</v>
      </c>
      <c r="G6821" t="s">
        <v>45</v>
      </c>
      <c r="H6821" t="s">
        <v>46</v>
      </c>
      <c r="I6821" s="4">
        <v>2425</v>
      </c>
      <c r="J6821" s="3">
        <v>2425</v>
      </c>
      <c r="K6821" s="4">
        <v>396</v>
      </c>
      <c r="L6821" t="s">
        <v>9</v>
      </c>
      <c r="M6821">
        <v>18</v>
      </c>
      <c r="N6821" t="str">
        <f>IF(MASTER[[#This Row],[IDLOCAL]]=17,"HYDE PARK", "HARLEM IRVING")</f>
        <v>HARLEM IRVING</v>
      </c>
      <c r="O6821" t="str">
        <f>IF(MASTER[[#This Row],[IDLOCAL]]=17,"PREMIUM", "ESTÁNDAR")</f>
        <v>ESTÁNDAR</v>
      </c>
      <c r="P6821" t="s">
        <v>137</v>
      </c>
      <c r="Q6821" t="s">
        <v>142</v>
      </c>
      <c r="R6821" t="s">
        <v>143</v>
      </c>
      <c r="S6821" t="s">
        <v>145</v>
      </c>
      <c r="T6821" s="2">
        <f>MASTER[[#This Row],[CANTIDAD]]*MASTER[[#This Row],[PRECIO DE VENTA]]</f>
        <v>2425</v>
      </c>
      <c r="U6821" s="2">
        <f>MASTER[[#This Row],[CANTIDAD]]*MASTER[[#This Row],[COSTO UNITARIO]]</f>
        <v>396</v>
      </c>
      <c r="V6821" s="2">
        <f>MASTER[[#This Row],[MONTO VENDIDO]]-MASTER[[#This Row],[COSTO DE VENTA]]</f>
        <v>2029</v>
      </c>
    </row>
    <row r="6822" spans="1:22" x14ac:dyDescent="0.3">
      <c r="A6822">
        <v>100745</v>
      </c>
      <c r="B6822">
        <v>1</v>
      </c>
      <c r="C6822" t="s">
        <v>96</v>
      </c>
      <c r="D6822" t="s">
        <v>97</v>
      </c>
      <c r="E6822" s="1">
        <v>43884</v>
      </c>
      <c r="F6822">
        <v>1</v>
      </c>
      <c r="G6822" t="s">
        <v>59</v>
      </c>
      <c r="H6822" t="s">
        <v>60</v>
      </c>
      <c r="I6822" s="4">
        <v>1769</v>
      </c>
      <c r="J6822" s="3">
        <v>1769</v>
      </c>
      <c r="K6822" s="4">
        <v>397</v>
      </c>
      <c r="L6822" t="s">
        <v>98</v>
      </c>
      <c r="M6822">
        <v>19</v>
      </c>
      <c r="N6822" t="s">
        <v>150</v>
      </c>
      <c r="O6822" t="s">
        <v>81</v>
      </c>
      <c r="P6822" t="s">
        <v>136</v>
      </c>
      <c r="Q6822" t="s">
        <v>140</v>
      </c>
      <c r="R6822" t="s">
        <v>141</v>
      </c>
      <c r="S6822" t="s">
        <v>145</v>
      </c>
      <c r="T6822" s="2">
        <f>MASTER[[#This Row],[CANTIDAD]]*MASTER[[#This Row],[PRECIO DE VENTA]]</f>
        <v>1769</v>
      </c>
      <c r="U6822" s="2">
        <f>MASTER[[#This Row],[CANTIDAD]]*MASTER[[#This Row],[COSTO UNITARIO]]</f>
        <v>397</v>
      </c>
      <c r="V6822" s="2">
        <f>MASTER[[#This Row],[MONTO VENDIDO]]-MASTER[[#This Row],[COSTO DE VENTA]]</f>
        <v>1372</v>
      </c>
    </row>
    <row r="6823" spans="1:22" x14ac:dyDescent="0.3">
      <c r="A6823">
        <v>100777</v>
      </c>
      <c r="B6823">
        <v>1</v>
      </c>
      <c r="C6823" t="s">
        <v>109</v>
      </c>
      <c r="D6823" t="s">
        <v>110</v>
      </c>
      <c r="E6823" s="1">
        <v>43884</v>
      </c>
      <c r="F6823">
        <v>1</v>
      </c>
      <c r="G6823" t="s">
        <v>61</v>
      </c>
      <c r="H6823" t="s">
        <v>62</v>
      </c>
      <c r="I6823" s="4">
        <v>1466</v>
      </c>
      <c r="J6823" s="3">
        <v>1466</v>
      </c>
      <c r="K6823" s="4">
        <v>387</v>
      </c>
      <c r="L6823" t="s">
        <v>98</v>
      </c>
      <c r="M6823">
        <v>17</v>
      </c>
      <c r="N6823" t="str">
        <f>IF(MASTER[[#This Row],[IDLOCAL]]=17,"HYDE PARK", "HARLEM IRVING")</f>
        <v>HYDE PARK</v>
      </c>
      <c r="O6823" t="str">
        <f>IF(MASTER[[#This Row],[IDLOCAL]]=17,"PREMIUM", "ESTÁNDAR")</f>
        <v>PREMIUM</v>
      </c>
      <c r="P6823" t="s">
        <v>137</v>
      </c>
      <c r="Q6823" t="s">
        <v>142</v>
      </c>
      <c r="R6823" t="s">
        <v>143</v>
      </c>
      <c r="S6823" t="s">
        <v>145</v>
      </c>
      <c r="T6823" s="2">
        <f>MASTER[[#This Row],[CANTIDAD]]*MASTER[[#This Row],[PRECIO DE VENTA]]</f>
        <v>1466</v>
      </c>
      <c r="U6823" s="2">
        <f>MASTER[[#This Row],[CANTIDAD]]*MASTER[[#This Row],[COSTO UNITARIO]]</f>
        <v>387</v>
      </c>
      <c r="V6823" s="2">
        <f>MASTER[[#This Row],[MONTO VENDIDO]]-MASTER[[#This Row],[COSTO DE VENTA]]</f>
        <v>1079</v>
      </c>
    </row>
    <row r="6824" spans="1:22" x14ac:dyDescent="0.3">
      <c r="A6824">
        <v>100779</v>
      </c>
      <c r="B6824">
        <v>1</v>
      </c>
      <c r="C6824" t="s">
        <v>114</v>
      </c>
      <c r="D6824" t="s">
        <v>115</v>
      </c>
      <c r="E6824" s="1">
        <v>43884</v>
      </c>
      <c r="F6824">
        <v>1</v>
      </c>
      <c r="G6824" t="s">
        <v>27</v>
      </c>
      <c r="H6824" t="s">
        <v>28</v>
      </c>
      <c r="I6824" s="4">
        <v>2420</v>
      </c>
      <c r="J6824" s="3">
        <v>2420</v>
      </c>
      <c r="K6824" s="4">
        <v>394</v>
      </c>
      <c r="L6824" t="s">
        <v>113</v>
      </c>
      <c r="M6824">
        <v>18</v>
      </c>
      <c r="N6824" t="str">
        <f>IF(MASTER[[#This Row],[IDLOCAL]]=17,"HYDE PARK", "HARLEM IRVING")</f>
        <v>HARLEM IRVING</v>
      </c>
      <c r="O6824" t="str">
        <f>IF(MASTER[[#This Row],[IDLOCAL]]=17,"PREMIUM", "ESTÁNDAR")</f>
        <v>ESTÁNDAR</v>
      </c>
      <c r="P6824" t="s">
        <v>137</v>
      </c>
      <c r="Q6824" t="s">
        <v>142</v>
      </c>
      <c r="R6824" t="s">
        <v>143</v>
      </c>
      <c r="S6824" t="s">
        <v>145</v>
      </c>
      <c r="T6824" s="2">
        <f>MASTER[[#This Row],[CANTIDAD]]*MASTER[[#This Row],[PRECIO DE VENTA]]</f>
        <v>2420</v>
      </c>
      <c r="U6824" s="2">
        <f>MASTER[[#This Row],[CANTIDAD]]*MASTER[[#This Row],[COSTO UNITARIO]]</f>
        <v>394</v>
      </c>
      <c r="V6824" s="2">
        <f>MASTER[[#This Row],[MONTO VENDIDO]]-MASTER[[#This Row],[COSTO DE VENTA]]</f>
        <v>2026</v>
      </c>
    </row>
    <row r="6825" spans="1:22" x14ac:dyDescent="0.3">
      <c r="A6825">
        <v>100795</v>
      </c>
      <c r="B6825">
        <v>1</v>
      </c>
      <c r="C6825" t="s">
        <v>90</v>
      </c>
      <c r="D6825" t="s">
        <v>91</v>
      </c>
      <c r="E6825" s="1">
        <v>43885</v>
      </c>
      <c r="F6825">
        <v>1</v>
      </c>
      <c r="G6825" t="s">
        <v>7</v>
      </c>
      <c r="H6825" t="s">
        <v>8</v>
      </c>
      <c r="I6825" s="4">
        <v>2397</v>
      </c>
      <c r="J6825" s="3">
        <v>2397</v>
      </c>
      <c r="K6825" s="4">
        <v>420</v>
      </c>
      <c r="L6825" t="s">
        <v>9</v>
      </c>
      <c r="M6825">
        <v>19</v>
      </c>
      <c r="N6825" t="s">
        <v>150</v>
      </c>
      <c r="O6825" t="s">
        <v>81</v>
      </c>
      <c r="P6825" t="s">
        <v>136</v>
      </c>
      <c r="Q6825" t="s">
        <v>140</v>
      </c>
      <c r="R6825" t="s">
        <v>141</v>
      </c>
      <c r="S6825" t="s">
        <v>145</v>
      </c>
      <c r="T6825" s="2">
        <f>MASTER[[#This Row],[CANTIDAD]]*MASTER[[#This Row],[PRECIO DE VENTA]]</f>
        <v>2397</v>
      </c>
      <c r="U6825" s="2">
        <f>MASTER[[#This Row],[CANTIDAD]]*MASTER[[#This Row],[COSTO UNITARIO]]</f>
        <v>420</v>
      </c>
      <c r="V6825" s="2">
        <f>MASTER[[#This Row],[MONTO VENDIDO]]-MASTER[[#This Row],[COSTO DE VENTA]]</f>
        <v>1977</v>
      </c>
    </row>
    <row r="6826" spans="1:22" x14ac:dyDescent="0.3">
      <c r="A6826">
        <v>100822</v>
      </c>
      <c r="B6826">
        <v>1</v>
      </c>
      <c r="C6826" t="s">
        <v>5</v>
      </c>
      <c r="D6826" t="s">
        <v>6</v>
      </c>
      <c r="E6826" s="1">
        <v>43887</v>
      </c>
      <c r="F6826">
        <v>1</v>
      </c>
      <c r="G6826" t="s">
        <v>27</v>
      </c>
      <c r="H6826" t="s">
        <v>28</v>
      </c>
      <c r="I6826" s="4">
        <v>1704</v>
      </c>
      <c r="J6826" s="3">
        <v>1704</v>
      </c>
      <c r="K6826" s="4">
        <v>393</v>
      </c>
      <c r="L6826" t="s">
        <v>9</v>
      </c>
      <c r="M6826">
        <v>19</v>
      </c>
      <c r="N6826" t="s">
        <v>150</v>
      </c>
      <c r="O6826" t="s">
        <v>81</v>
      </c>
      <c r="P6826" t="s">
        <v>136</v>
      </c>
      <c r="Q6826" t="s">
        <v>140</v>
      </c>
      <c r="R6826" t="s">
        <v>141</v>
      </c>
      <c r="S6826" t="s">
        <v>145</v>
      </c>
      <c r="T6826" s="2">
        <f>MASTER[[#This Row],[CANTIDAD]]*MASTER[[#This Row],[PRECIO DE VENTA]]</f>
        <v>1704</v>
      </c>
      <c r="U6826" s="2">
        <f>MASTER[[#This Row],[CANTIDAD]]*MASTER[[#This Row],[COSTO UNITARIO]]</f>
        <v>393</v>
      </c>
      <c r="V6826" s="2">
        <f>MASTER[[#This Row],[MONTO VENDIDO]]-MASTER[[#This Row],[COSTO DE VENTA]]</f>
        <v>1311</v>
      </c>
    </row>
    <row r="6827" spans="1:22" x14ac:dyDescent="0.3">
      <c r="A6827">
        <v>100828</v>
      </c>
      <c r="B6827">
        <v>1</v>
      </c>
      <c r="C6827" t="s">
        <v>121</v>
      </c>
      <c r="D6827" t="s">
        <v>122</v>
      </c>
      <c r="E6827" s="1">
        <v>43888</v>
      </c>
      <c r="F6827">
        <v>1</v>
      </c>
      <c r="G6827" t="s">
        <v>29</v>
      </c>
      <c r="H6827" t="s">
        <v>30</v>
      </c>
      <c r="I6827" s="4">
        <v>1389</v>
      </c>
      <c r="J6827" s="3">
        <v>1389</v>
      </c>
      <c r="K6827" s="4">
        <v>460</v>
      </c>
      <c r="L6827" t="s">
        <v>120</v>
      </c>
      <c r="M6827">
        <v>17</v>
      </c>
      <c r="N6827" t="str">
        <f>IF(MASTER[[#This Row],[IDLOCAL]]=17,"HYDE PARK", "HARLEM IRVING")</f>
        <v>HYDE PARK</v>
      </c>
      <c r="O6827" t="str">
        <f>IF(MASTER[[#This Row],[IDLOCAL]]=17,"PREMIUM", "ESTÁNDAR")</f>
        <v>PREMIUM</v>
      </c>
      <c r="P6827" t="s">
        <v>137</v>
      </c>
      <c r="Q6827" t="s">
        <v>142</v>
      </c>
      <c r="R6827" t="s">
        <v>143</v>
      </c>
      <c r="S6827" t="s">
        <v>145</v>
      </c>
      <c r="T6827" s="2">
        <f>MASTER[[#This Row],[CANTIDAD]]*MASTER[[#This Row],[PRECIO DE VENTA]]</f>
        <v>1389</v>
      </c>
      <c r="U6827" s="2">
        <f>MASTER[[#This Row],[CANTIDAD]]*MASTER[[#This Row],[COSTO UNITARIO]]</f>
        <v>460</v>
      </c>
      <c r="V6827" s="2">
        <f>MASTER[[#This Row],[MONTO VENDIDO]]-MASTER[[#This Row],[COSTO DE VENTA]]</f>
        <v>929</v>
      </c>
    </row>
    <row r="6828" spans="1:22" x14ac:dyDescent="0.3">
      <c r="A6828">
        <v>100829</v>
      </c>
      <c r="B6828">
        <v>1</v>
      </c>
      <c r="C6828" t="s">
        <v>101</v>
      </c>
      <c r="D6828" t="s">
        <v>102</v>
      </c>
      <c r="E6828" s="1">
        <v>43891</v>
      </c>
      <c r="F6828">
        <v>1</v>
      </c>
      <c r="G6828" t="s">
        <v>53</v>
      </c>
      <c r="H6828" t="s">
        <v>54</v>
      </c>
      <c r="I6828" s="4">
        <v>1370</v>
      </c>
      <c r="J6828" s="3">
        <v>1370</v>
      </c>
      <c r="K6828" s="4">
        <v>442</v>
      </c>
      <c r="L6828" t="s">
        <v>98</v>
      </c>
      <c r="M6828">
        <v>19</v>
      </c>
      <c r="N6828" t="s">
        <v>150</v>
      </c>
      <c r="O6828" t="s">
        <v>81</v>
      </c>
      <c r="P6828" t="s">
        <v>136</v>
      </c>
      <c r="Q6828" t="s">
        <v>140</v>
      </c>
      <c r="R6828" t="s">
        <v>141</v>
      </c>
      <c r="S6828" t="s">
        <v>145</v>
      </c>
      <c r="T6828" s="2">
        <f>MASTER[[#This Row],[CANTIDAD]]*MASTER[[#This Row],[PRECIO DE VENTA]]</f>
        <v>1370</v>
      </c>
      <c r="U6828" s="2">
        <f>MASTER[[#This Row],[CANTIDAD]]*MASTER[[#This Row],[COSTO UNITARIO]]</f>
        <v>442</v>
      </c>
      <c r="V6828" s="2">
        <f>MASTER[[#This Row],[MONTO VENDIDO]]-MASTER[[#This Row],[COSTO DE VENTA]]</f>
        <v>928</v>
      </c>
    </row>
    <row r="6829" spans="1:22" x14ac:dyDescent="0.3">
      <c r="A6829">
        <v>100838</v>
      </c>
      <c r="B6829">
        <v>1</v>
      </c>
      <c r="C6829" t="s">
        <v>92</v>
      </c>
      <c r="D6829" t="s">
        <v>93</v>
      </c>
      <c r="E6829" s="1">
        <v>43892</v>
      </c>
      <c r="F6829">
        <v>1</v>
      </c>
      <c r="G6829" t="s">
        <v>51</v>
      </c>
      <c r="H6829" t="s">
        <v>52</v>
      </c>
      <c r="I6829" s="4">
        <v>1922</v>
      </c>
      <c r="J6829" s="3">
        <v>1748</v>
      </c>
      <c r="K6829" s="4">
        <v>396</v>
      </c>
      <c r="L6829" t="s">
        <v>9</v>
      </c>
      <c r="M6829">
        <v>19</v>
      </c>
      <c r="N6829" t="s">
        <v>150</v>
      </c>
      <c r="O6829" t="s">
        <v>81</v>
      </c>
      <c r="P6829" t="s">
        <v>136</v>
      </c>
      <c r="Q6829" t="s">
        <v>140</v>
      </c>
      <c r="R6829" t="s">
        <v>141</v>
      </c>
      <c r="S6829" t="s">
        <v>145</v>
      </c>
      <c r="T6829" s="2">
        <f>MASTER[[#This Row],[CANTIDAD]]*MASTER[[#This Row],[PRECIO DE VENTA]]</f>
        <v>1748</v>
      </c>
      <c r="U6829" s="2">
        <f>MASTER[[#This Row],[CANTIDAD]]*MASTER[[#This Row],[COSTO UNITARIO]]</f>
        <v>396</v>
      </c>
      <c r="V6829" s="2">
        <f>MASTER[[#This Row],[MONTO VENDIDO]]-MASTER[[#This Row],[COSTO DE VENTA]]</f>
        <v>1352</v>
      </c>
    </row>
    <row r="6830" spans="1:22" x14ac:dyDescent="0.3">
      <c r="A6830">
        <v>100856</v>
      </c>
      <c r="B6830">
        <v>1</v>
      </c>
      <c r="C6830" t="s">
        <v>114</v>
      </c>
      <c r="D6830" t="s">
        <v>115</v>
      </c>
      <c r="E6830" s="1">
        <v>43893</v>
      </c>
      <c r="F6830">
        <v>1</v>
      </c>
      <c r="G6830" t="s">
        <v>67</v>
      </c>
      <c r="H6830" t="s">
        <v>68</v>
      </c>
      <c r="I6830" s="4">
        <v>2639</v>
      </c>
      <c r="J6830" s="3">
        <v>2639</v>
      </c>
      <c r="K6830" s="4">
        <v>394</v>
      </c>
      <c r="L6830" t="s">
        <v>113</v>
      </c>
      <c r="M6830">
        <v>17</v>
      </c>
      <c r="N6830" t="str">
        <f>IF(MASTER[[#This Row],[IDLOCAL]]=17,"HYDE PARK", "HARLEM IRVING")</f>
        <v>HYDE PARK</v>
      </c>
      <c r="O6830" t="str">
        <f>IF(MASTER[[#This Row],[IDLOCAL]]=17,"PREMIUM", "ESTÁNDAR")</f>
        <v>PREMIUM</v>
      </c>
      <c r="P6830" t="s">
        <v>137</v>
      </c>
      <c r="Q6830" t="s">
        <v>142</v>
      </c>
      <c r="R6830" t="s">
        <v>143</v>
      </c>
      <c r="S6830" t="s">
        <v>145</v>
      </c>
      <c r="T6830" s="2">
        <f>MASTER[[#This Row],[CANTIDAD]]*MASTER[[#This Row],[PRECIO DE VENTA]]</f>
        <v>2639</v>
      </c>
      <c r="U6830" s="2">
        <f>MASTER[[#This Row],[CANTIDAD]]*MASTER[[#This Row],[COSTO UNITARIO]]</f>
        <v>394</v>
      </c>
      <c r="V6830" s="2">
        <f>MASTER[[#This Row],[MONTO VENDIDO]]-MASTER[[#This Row],[COSTO DE VENTA]]</f>
        <v>2245</v>
      </c>
    </row>
    <row r="6831" spans="1:22" x14ac:dyDescent="0.3">
      <c r="A6831">
        <v>100868</v>
      </c>
      <c r="B6831">
        <v>1</v>
      </c>
      <c r="C6831" t="s">
        <v>118</v>
      </c>
      <c r="D6831" t="s">
        <v>119</v>
      </c>
      <c r="E6831" s="1">
        <v>43894</v>
      </c>
      <c r="F6831">
        <v>1</v>
      </c>
      <c r="G6831" t="s">
        <v>7</v>
      </c>
      <c r="H6831" t="s">
        <v>8</v>
      </c>
      <c r="I6831" s="4">
        <v>1041</v>
      </c>
      <c r="J6831" s="3">
        <v>998</v>
      </c>
      <c r="K6831" s="4">
        <v>424</v>
      </c>
      <c r="L6831" t="s">
        <v>120</v>
      </c>
      <c r="M6831">
        <v>19</v>
      </c>
      <c r="N6831" t="s">
        <v>150</v>
      </c>
      <c r="O6831" t="s">
        <v>81</v>
      </c>
      <c r="P6831" t="s">
        <v>136</v>
      </c>
      <c r="Q6831" t="s">
        <v>140</v>
      </c>
      <c r="R6831" t="s">
        <v>141</v>
      </c>
      <c r="S6831" t="s">
        <v>145</v>
      </c>
      <c r="T6831" s="2">
        <f>MASTER[[#This Row],[CANTIDAD]]*MASTER[[#This Row],[PRECIO DE VENTA]]</f>
        <v>998</v>
      </c>
      <c r="U6831" s="2">
        <f>MASTER[[#This Row],[CANTIDAD]]*MASTER[[#This Row],[COSTO UNITARIO]]</f>
        <v>424</v>
      </c>
      <c r="V6831" s="2">
        <f>MASTER[[#This Row],[MONTO VENDIDO]]-MASTER[[#This Row],[COSTO DE VENTA]]</f>
        <v>574</v>
      </c>
    </row>
    <row r="6832" spans="1:22" x14ac:dyDescent="0.3">
      <c r="A6832">
        <v>100869</v>
      </c>
      <c r="B6832">
        <v>1</v>
      </c>
      <c r="C6832" t="s">
        <v>121</v>
      </c>
      <c r="D6832" t="s">
        <v>122</v>
      </c>
      <c r="E6832" s="1">
        <v>43895</v>
      </c>
      <c r="F6832">
        <v>1</v>
      </c>
      <c r="G6832" t="s">
        <v>29</v>
      </c>
      <c r="H6832" t="s">
        <v>30</v>
      </c>
      <c r="I6832" s="4">
        <v>1223</v>
      </c>
      <c r="J6832" s="3">
        <v>1223</v>
      </c>
      <c r="K6832" s="4">
        <v>460</v>
      </c>
      <c r="L6832" t="s">
        <v>120</v>
      </c>
      <c r="M6832">
        <v>19</v>
      </c>
      <c r="N6832" t="s">
        <v>150</v>
      </c>
      <c r="O6832" t="s">
        <v>81</v>
      </c>
      <c r="P6832" t="s">
        <v>136</v>
      </c>
      <c r="Q6832" t="s">
        <v>140</v>
      </c>
      <c r="R6832" t="s">
        <v>141</v>
      </c>
      <c r="S6832" t="s">
        <v>145</v>
      </c>
      <c r="T6832" s="2">
        <f>MASTER[[#This Row],[CANTIDAD]]*MASTER[[#This Row],[PRECIO DE VENTA]]</f>
        <v>1223</v>
      </c>
      <c r="U6832" s="2">
        <f>MASTER[[#This Row],[CANTIDAD]]*MASTER[[#This Row],[COSTO UNITARIO]]</f>
        <v>460</v>
      </c>
      <c r="V6832" s="2">
        <f>MASTER[[#This Row],[MONTO VENDIDO]]-MASTER[[#This Row],[COSTO DE VENTA]]</f>
        <v>763</v>
      </c>
    </row>
    <row r="6833" spans="1:22" x14ac:dyDescent="0.3">
      <c r="A6833">
        <v>100886</v>
      </c>
      <c r="B6833">
        <v>1</v>
      </c>
      <c r="C6833" t="s">
        <v>103</v>
      </c>
      <c r="D6833" t="s">
        <v>104</v>
      </c>
      <c r="E6833" s="1">
        <v>43896</v>
      </c>
      <c r="F6833">
        <v>1</v>
      </c>
      <c r="G6833" t="s">
        <v>65</v>
      </c>
      <c r="H6833" t="s">
        <v>66</v>
      </c>
      <c r="I6833" s="4">
        <v>1882</v>
      </c>
      <c r="J6833" s="3">
        <v>1882</v>
      </c>
      <c r="K6833" s="4">
        <v>421</v>
      </c>
      <c r="L6833" t="s">
        <v>98</v>
      </c>
      <c r="M6833">
        <v>17</v>
      </c>
      <c r="N6833" t="str">
        <f>IF(MASTER[[#This Row],[IDLOCAL]]=17,"HYDE PARK", "HARLEM IRVING")</f>
        <v>HYDE PARK</v>
      </c>
      <c r="O6833" t="str">
        <f>IF(MASTER[[#This Row],[IDLOCAL]]=17,"PREMIUM", "ESTÁNDAR")</f>
        <v>PREMIUM</v>
      </c>
      <c r="P6833" t="s">
        <v>137</v>
      </c>
      <c r="Q6833" t="s">
        <v>142</v>
      </c>
      <c r="R6833" t="s">
        <v>143</v>
      </c>
      <c r="S6833" t="s">
        <v>145</v>
      </c>
      <c r="T6833" s="2">
        <f>MASTER[[#This Row],[CANTIDAD]]*MASTER[[#This Row],[PRECIO DE VENTA]]</f>
        <v>1882</v>
      </c>
      <c r="U6833" s="2">
        <f>MASTER[[#This Row],[CANTIDAD]]*MASTER[[#This Row],[COSTO UNITARIO]]</f>
        <v>421</v>
      </c>
      <c r="V6833" s="2">
        <f>MASTER[[#This Row],[MONTO VENDIDO]]-MASTER[[#This Row],[COSTO DE VENTA]]</f>
        <v>1461</v>
      </c>
    </row>
    <row r="6834" spans="1:22" x14ac:dyDescent="0.3">
      <c r="A6834">
        <v>100921</v>
      </c>
      <c r="B6834">
        <v>1</v>
      </c>
      <c r="C6834" t="s">
        <v>103</v>
      </c>
      <c r="D6834" t="s">
        <v>104</v>
      </c>
      <c r="E6834" s="1">
        <v>43896</v>
      </c>
      <c r="F6834">
        <v>1</v>
      </c>
      <c r="G6834" t="s">
        <v>47</v>
      </c>
      <c r="H6834" t="s">
        <v>48</v>
      </c>
      <c r="I6834" s="4">
        <v>2068</v>
      </c>
      <c r="J6834" s="3">
        <v>2068</v>
      </c>
      <c r="K6834" s="4">
        <v>421</v>
      </c>
      <c r="L6834" t="s">
        <v>98</v>
      </c>
      <c r="M6834">
        <v>19</v>
      </c>
      <c r="N6834" t="s">
        <v>150</v>
      </c>
      <c r="O6834" t="s">
        <v>81</v>
      </c>
      <c r="P6834" t="s">
        <v>136</v>
      </c>
      <c r="Q6834" t="s">
        <v>140</v>
      </c>
      <c r="R6834" t="s">
        <v>141</v>
      </c>
      <c r="S6834" t="s">
        <v>145</v>
      </c>
      <c r="T6834" s="2">
        <f>MASTER[[#This Row],[CANTIDAD]]*MASTER[[#This Row],[PRECIO DE VENTA]]</f>
        <v>2068</v>
      </c>
      <c r="U6834" s="2">
        <f>MASTER[[#This Row],[CANTIDAD]]*MASTER[[#This Row],[COSTO UNITARIO]]</f>
        <v>421</v>
      </c>
      <c r="V6834" s="2">
        <f>MASTER[[#This Row],[MONTO VENDIDO]]-MASTER[[#This Row],[COSTO DE VENTA]]</f>
        <v>1647</v>
      </c>
    </row>
    <row r="6835" spans="1:22" x14ac:dyDescent="0.3">
      <c r="A6835">
        <v>100928</v>
      </c>
      <c r="B6835">
        <v>2</v>
      </c>
      <c r="C6835" t="s">
        <v>96</v>
      </c>
      <c r="D6835" t="s">
        <v>97</v>
      </c>
      <c r="E6835" s="1">
        <v>43897</v>
      </c>
      <c r="F6835">
        <v>2</v>
      </c>
      <c r="G6835" t="s">
        <v>7</v>
      </c>
      <c r="H6835" t="s">
        <v>8</v>
      </c>
      <c r="I6835" s="4">
        <v>1554</v>
      </c>
      <c r="J6835" s="3">
        <v>1554</v>
      </c>
      <c r="K6835" s="4">
        <v>397</v>
      </c>
      <c r="L6835" t="s">
        <v>98</v>
      </c>
      <c r="M6835">
        <v>19</v>
      </c>
      <c r="N6835" t="s">
        <v>150</v>
      </c>
      <c r="O6835" t="s">
        <v>81</v>
      </c>
      <c r="P6835" t="s">
        <v>136</v>
      </c>
      <c r="Q6835" t="s">
        <v>140</v>
      </c>
      <c r="R6835" t="s">
        <v>141</v>
      </c>
      <c r="S6835" t="s">
        <v>145</v>
      </c>
      <c r="T6835" s="2">
        <f>MASTER[[#This Row],[CANTIDAD]]*MASTER[[#This Row],[PRECIO DE VENTA]]</f>
        <v>3108</v>
      </c>
      <c r="U6835" s="2">
        <f>MASTER[[#This Row],[CANTIDAD]]*MASTER[[#This Row],[COSTO UNITARIO]]</f>
        <v>794</v>
      </c>
      <c r="V6835" s="2">
        <f>MASTER[[#This Row],[MONTO VENDIDO]]-MASTER[[#This Row],[COSTO DE VENTA]]</f>
        <v>2314</v>
      </c>
    </row>
    <row r="6836" spans="1:22" x14ac:dyDescent="0.3">
      <c r="A6836">
        <v>100949</v>
      </c>
      <c r="B6836">
        <v>1</v>
      </c>
      <c r="C6836" t="s">
        <v>118</v>
      </c>
      <c r="D6836" t="s">
        <v>119</v>
      </c>
      <c r="E6836" s="1">
        <v>43897</v>
      </c>
      <c r="F6836">
        <v>1</v>
      </c>
      <c r="G6836" t="s">
        <v>51</v>
      </c>
      <c r="H6836" t="s">
        <v>52</v>
      </c>
      <c r="I6836" s="4">
        <v>1333</v>
      </c>
      <c r="J6836" s="3">
        <v>1333</v>
      </c>
      <c r="K6836" s="4">
        <v>424</v>
      </c>
      <c r="L6836" t="s">
        <v>120</v>
      </c>
      <c r="M6836">
        <v>19</v>
      </c>
      <c r="N6836" t="s">
        <v>150</v>
      </c>
      <c r="O6836" t="s">
        <v>81</v>
      </c>
      <c r="P6836" t="s">
        <v>136</v>
      </c>
      <c r="Q6836" t="s">
        <v>140</v>
      </c>
      <c r="R6836" t="s">
        <v>141</v>
      </c>
      <c r="S6836" t="s">
        <v>145</v>
      </c>
      <c r="T6836" s="2">
        <f>MASTER[[#This Row],[CANTIDAD]]*MASTER[[#This Row],[PRECIO DE VENTA]]</f>
        <v>1333</v>
      </c>
      <c r="U6836" s="2">
        <f>MASTER[[#This Row],[CANTIDAD]]*MASTER[[#This Row],[COSTO UNITARIO]]</f>
        <v>424</v>
      </c>
      <c r="V6836" s="2">
        <f>MASTER[[#This Row],[MONTO VENDIDO]]-MASTER[[#This Row],[COSTO DE VENTA]]</f>
        <v>909</v>
      </c>
    </row>
    <row r="6837" spans="1:22" x14ac:dyDescent="0.3">
      <c r="A6837">
        <v>100962</v>
      </c>
      <c r="B6837">
        <v>1</v>
      </c>
      <c r="C6837" t="s">
        <v>94</v>
      </c>
      <c r="D6837" t="s">
        <v>95</v>
      </c>
      <c r="E6837" s="1">
        <v>43899</v>
      </c>
      <c r="F6837">
        <v>1</v>
      </c>
      <c r="G6837" t="s">
        <v>53</v>
      </c>
      <c r="H6837" t="s">
        <v>54</v>
      </c>
      <c r="I6837" s="4">
        <v>1362</v>
      </c>
      <c r="J6837" s="3">
        <v>1362</v>
      </c>
      <c r="K6837" s="4">
        <v>392</v>
      </c>
      <c r="L6837" t="s">
        <v>9</v>
      </c>
      <c r="M6837">
        <v>19</v>
      </c>
      <c r="N6837" t="s">
        <v>150</v>
      </c>
      <c r="O6837" t="s">
        <v>81</v>
      </c>
      <c r="P6837" t="s">
        <v>136</v>
      </c>
      <c r="Q6837" t="s">
        <v>140</v>
      </c>
      <c r="R6837" t="s">
        <v>141</v>
      </c>
      <c r="S6837" t="s">
        <v>145</v>
      </c>
      <c r="T6837" s="2">
        <f>MASTER[[#This Row],[CANTIDAD]]*MASTER[[#This Row],[PRECIO DE VENTA]]</f>
        <v>1362</v>
      </c>
      <c r="U6837" s="2">
        <f>MASTER[[#This Row],[CANTIDAD]]*MASTER[[#This Row],[COSTO UNITARIO]]</f>
        <v>392</v>
      </c>
      <c r="V6837" s="2">
        <f>MASTER[[#This Row],[MONTO VENDIDO]]-MASTER[[#This Row],[COSTO DE VENTA]]</f>
        <v>970</v>
      </c>
    </row>
    <row r="6838" spans="1:22" x14ac:dyDescent="0.3">
      <c r="A6838">
        <v>100963</v>
      </c>
      <c r="B6838">
        <v>1</v>
      </c>
      <c r="C6838" t="s">
        <v>107</v>
      </c>
      <c r="D6838" t="s">
        <v>108</v>
      </c>
      <c r="E6838" s="1">
        <v>43899</v>
      </c>
      <c r="F6838">
        <v>1</v>
      </c>
      <c r="G6838" t="s">
        <v>45</v>
      </c>
      <c r="H6838" t="s">
        <v>46</v>
      </c>
      <c r="I6838" s="4">
        <v>1872</v>
      </c>
      <c r="J6838" s="3">
        <v>1872</v>
      </c>
      <c r="K6838" s="4">
        <v>380</v>
      </c>
      <c r="L6838" t="s">
        <v>98</v>
      </c>
      <c r="M6838">
        <v>19</v>
      </c>
      <c r="N6838" t="s">
        <v>150</v>
      </c>
      <c r="O6838" t="s">
        <v>81</v>
      </c>
      <c r="P6838" t="s">
        <v>136</v>
      </c>
      <c r="Q6838" t="s">
        <v>140</v>
      </c>
      <c r="R6838" t="s">
        <v>141</v>
      </c>
      <c r="S6838" t="s">
        <v>145</v>
      </c>
      <c r="T6838" s="2">
        <f>MASTER[[#This Row],[CANTIDAD]]*MASTER[[#This Row],[PRECIO DE VENTA]]</f>
        <v>1872</v>
      </c>
      <c r="U6838" s="2">
        <f>MASTER[[#This Row],[CANTIDAD]]*MASTER[[#This Row],[COSTO UNITARIO]]</f>
        <v>380</v>
      </c>
      <c r="V6838" s="2">
        <f>MASTER[[#This Row],[MONTO VENDIDO]]-MASTER[[#This Row],[COSTO DE VENTA]]</f>
        <v>1492</v>
      </c>
    </row>
    <row r="6839" spans="1:22" x14ac:dyDescent="0.3">
      <c r="A6839">
        <v>100984</v>
      </c>
      <c r="B6839">
        <v>1</v>
      </c>
      <c r="C6839" t="s">
        <v>96</v>
      </c>
      <c r="D6839" t="s">
        <v>97</v>
      </c>
      <c r="E6839" s="1">
        <v>43900</v>
      </c>
      <c r="F6839">
        <v>1</v>
      </c>
      <c r="G6839" t="s">
        <v>22</v>
      </c>
      <c r="H6839" t="s">
        <v>23</v>
      </c>
      <c r="I6839" s="4">
        <v>1653</v>
      </c>
      <c r="J6839" s="3">
        <v>1536</v>
      </c>
      <c r="K6839" s="4">
        <v>397</v>
      </c>
      <c r="L6839" t="s">
        <v>98</v>
      </c>
      <c r="M6839">
        <v>17</v>
      </c>
      <c r="N6839" t="str">
        <f>IF(MASTER[[#This Row],[IDLOCAL]]=17,"HYDE PARK", "HARLEM IRVING")</f>
        <v>HYDE PARK</v>
      </c>
      <c r="O6839" t="str">
        <f>IF(MASTER[[#This Row],[IDLOCAL]]=17,"PREMIUM", "ESTÁNDAR")</f>
        <v>PREMIUM</v>
      </c>
      <c r="P6839" t="s">
        <v>137</v>
      </c>
      <c r="Q6839" t="s">
        <v>142</v>
      </c>
      <c r="R6839" t="s">
        <v>143</v>
      </c>
      <c r="S6839" t="s">
        <v>145</v>
      </c>
      <c r="T6839" s="2">
        <f>MASTER[[#This Row],[CANTIDAD]]*MASTER[[#This Row],[PRECIO DE VENTA]]</f>
        <v>1536</v>
      </c>
      <c r="U6839" s="2">
        <f>MASTER[[#This Row],[CANTIDAD]]*MASTER[[#This Row],[COSTO UNITARIO]]</f>
        <v>397</v>
      </c>
      <c r="V6839" s="2">
        <f>MASTER[[#This Row],[MONTO VENDIDO]]-MASTER[[#This Row],[COSTO DE VENTA]]</f>
        <v>1139</v>
      </c>
    </row>
    <row r="6840" spans="1:22" x14ac:dyDescent="0.3">
      <c r="A6840">
        <v>100985</v>
      </c>
      <c r="B6840">
        <v>1</v>
      </c>
      <c r="C6840" t="s">
        <v>111</v>
      </c>
      <c r="D6840" t="s">
        <v>112</v>
      </c>
      <c r="E6840" s="1">
        <v>43900</v>
      </c>
      <c r="F6840">
        <v>1</v>
      </c>
      <c r="G6840" t="s">
        <v>29</v>
      </c>
      <c r="H6840" t="s">
        <v>30</v>
      </c>
      <c r="I6840" s="4">
        <v>2338</v>
      </c>
      <c r="J6840" s="3">
        <v>2338</v>
      </c>
      <c r="K6840" s="4">
        <v>434</v>
      </c>
      <c r="L6840" t="s">
        <v>113</v>
      </c>
      <c r="M6840">
        <v>19</v>
      </c>
      <c r="N6840" t="s">
        <v>150</v>
      </c>
      <c r="O6840" t="s">
        <v>81</v>
      </c>
      <c r="P6840" t="s">
        <v>136</v>
      </c>
      <c r="Q6840" t="s">
        <v>140</v>
      </c>
      <c r="R6840" t="s">
        <v>141</v>
      </c>
      <c r="S6840" t="s">
        <v>145</v>
      </c>
      <c r="T6840" s="2">
        <f>MASTER[[#This Row],[CANTIDAD]]*MASTER[[#This Row],[PRECIO DE VENTA]]</f>
        <v>2338</v>
      </c>
      <c r="U6840" s="2">
        <f>MASTER[[#This Row],[CANTIDAD]]*MASTER[[#This Row],[COSTO UNITARIO]]</f>
        <v>434</v>
      </c>
      <c r="V6840" s="2">
        <f>MASTER[[#This Row],[MONTO VENDIDO]]-MASTER[[#This Row],[COSTO DE VENTA]]</f>
        <v>1904</v>
      </c>
    </row>
    <row r="6841" spans="1:22" x14ac:dyDescent="0.3">
      <c r="A6841">
        <v>100989</v>
      </c>
      <c r="B6841">
        <v>1</v>
      </c>
      <c r="C6841" t="s">
        <v>116</v>
      </c>
      <c r="D6841" t="s">
        <v>117</v>
      </c>
      <c r="E6841" s="1">
        <v>43900</v>
      </c>
      <c r="F6841">
        <v>1</v>
      </c>
      <c r="G6841" t="s">
        <v>29</v>
      </c>
      <c r="H6841" t="s">
        <v>30</v>
      </c>
      <c r="I6841" s="4">
        <v>2259</v>
      </c>
      <c r="J6841" s="3">
        <v>2259</v>
      </c>
      <c r="K6841" s="4">
        <v>388</v>
      </c>
      <c r="L6841" t="s">
        <v>113</v>
      </c>
      <c r="M6841">
        <v>19</v>
      </c>
      <c r="N6841" t="s">
        <v>150</v>
      </c>
      <c r="O6841" t="s">
        <v>81</v>
      </c>
      <c r="P6841" t="s">
        <v>136</v>
      </c>
      <c r="Q6841" t="s">
        <v>140</v>
      </c>
      <c r="R6841" t="s">
        <v>141</v>
      </c>
      <c r="S6841" t="s">
        <v>145</v>
      </c>
      <c r="T6841" s="2">
        <f>MASTER[[#This Row],[CANTIDAD]]*MASTER[[#This Row],[PRECIO DE VENTA]]</f>
        <v>2259</v>
      </c>
      <c r="U6841" s="2">
        <f>MASTER[[#This Row],[CANTIDAD]]*MASTER[[#This Row],[COSTO UNITARIO]]</f>
        <v>388</v>
      </c>
      <c r="V6841" s="2">
        <f>MASTER[[#This Row],[MONTO VENDIDO]]-MASTER[[#This Row],[COSTO DE VENTA]]</f>
        <v>1871</v>
      </c>
    </row>
    <row r="6842" spans="1:22" x14ac:dyDescent="0.3">
      <c r="A6842">
        <v>100998</v>
      </c>
      <c r="B6842">
        <v>1</v>
      </c>
      <c r="C6842" t="s">
        <v>121</v>
      </c>
      <c r="D6842" t="s">
        <v>122</v>
      </c>
      <c r="E6842" s="1">
        <v>43900</v>
      </c>
      <c r="F6842">
        <v>1</v>
      </c>
      <c r="G6842" t="s">
        <v>33</v>
      </c>
      <c r="H6842" t="s">
        <v>34</v>
      </c>
      <c r="I6842" s="4">
        <v>1487</v>
      </c>
      <c r="J6842" s="3">
        <v>1487</v>
      </c>
      <c r="K6842" s="4">
        <v>460</v>
      </c>
      <c r="L6842" t="s">
        <v>120</v>
      </c>
      <c r="M6842">
        <v>18</v>
      </c>
      <c r="N6842" t="str">
        <f>IF(MASTER[[#This Row],[IDLOCAL]]=17,"HYDE PARK", "HARLEM IRVING")</f>
        <v>HARLEM IRVING</v>
      </c>
      <c r="O6842" t="str">
        <f>IF(MASTER[[#This Row],[IDLOCAL]]=17,"PREMIUM", "ESTÁNDAR")</f>
        <v>ESTÁNDAR</v>
      </c>
      <c r="P6842" t="s">
        <v>137</v>
      </c>
      <c r="Q6842" t="s">
        <v>142</v>
      </c>
      <c r="R6842" t="s">
        <v>143</v>
      </c>
      <c r="S6842" t="s">
        <v>145</v>
      </c>
      <c r="T6842" s="2">
        <f>MASTER[[#This Row],[CANTIDAD]]*MASTER[[#This Row],[PRECIO DE VENTA]]</f>
        <v>1487</v>
      </c>
      <c r="U6842" s="2">
        <f>MASTER[[#This Row],[CANTIDAD]]*MASTER[[#This Row],[COSTO UNITARIO]]</f>
        <v>460</v>
      </c>
      <c r="V6842" s="2">
        <f>MASTER[[#This Row],[MONTO VENDIDO]]-MASTER[[#This Row],[COSTO DE VENTA]]</f>
        <v>1027</v>
      </c>
    </row>
    <row r="6843" spans="1:22" x14ac:dyDescent="0.3">
      <c r="A6843">
        <v>101023</v>
      </c>
      <c r="B6843">
        <v>2</v>
      </c>
      <c r="C6843" t="s">
        <v>94</v>
      </c>
      <c r="D6843" t="s">
        <v>95</v>
      </c>
      <c r="E6843" s="1">
        <v>43901</v>
      </c>
      <c r="F6843">
        <v>1</v>
      </c>
      <c r="G6843" t="s">
        <v>31</v>
      </c>
      <c r="H6843" t="s">
        <v>32</v>
      </c>
      <c r="I6843" s="4">
        <v>1498</v>
      </c>
      <c r="J6843" s="3">
        <v>1498</v>
      </c>
      <c r="K6843" s="4">
        <v>392</v>
      </c>
      <c r="L6843" t="s">
        <v>9</v>
      </c>
      <c r="M6843">
        <v>17</v>
      </c>
      <c r="N6843" t="str">
        <f>IF(MASTER[[#This Row],[IDLOCAL]]=17,"HYDE PARK", "HARLEM IRVING")</f>
        <v>HYDE PARK</v>
      </c>
      <c r="O6843" t="str">
        <f>IF(MASTER[[#This Row],[IDLOCAL]]=17,"PREMIUM", "ESTÁNDAR")</f>
        <v>PREMIUM</v>
      </c>
      <c r="P6843" t="s">
        <v>137</v>
      </c>
      <c r="Q6843" t="s">
        <v>142</v>
      </c>
      <c r="R6843" t="s">
        <v>143</v>
      </c>
      <c r="S6843" t="s">
        <v>145</v>
      </c>
      <c r="T6843" s="2">
        <f>MASTER[[#This Row],[CANTIDAD]]*MASTER[[#This Row],[PRECIO DE VENTA]]</f>
        <v>1498</v>
      </c>
      <c r="U6843" s="2">
        <f>MASTER[[#This Row],[CANTIDAD]]*MASTER[[#This Row],[COSTO UNITARIO]]</f>
        <v>392</v>
      </c>
      <c r="V6843" s="2">
        <f>MASTER[[#This Row],[MONTO VENDIDO]]-MASTER[[#This Row],[COSTO DE VENTA]]</f>
        <v>1106</v>
      </c>
    </row>
    <row r="6844" spans="1:22" x14ac:dyDescent="0.3">
      <c r="A6844">
        <v>101028</v>
      </c>
      <c r="B6844">
        <v>1</v>
      </c>
      <c r="C6844" t="s">
        <v>99</v>
      </c>
      <c r="D6844" t="s">
        <v>100</v>
      </c>
      <c r="E6844" s="1">
        <v>43901</v>
      </c>
      <c r="F6844">
        <v>1</v>
      </c>
      <c r="G6844" t="s">
        <v>35</v>
      </c>
      <c r="H6844" t="s">
        <v>36</v>
      </c>
      <c r="I6844" s="4">
        <v>1896</v>
      </c>
      <c r="J6844" s="3">
        <v>1896</v>
      </c>
      <c r="K6844" s="4">
        <v>386</v>
      </c>
      <c r="L6844" t="s">
        <v>98</v>
      </c>
      <c r="M6844">
        <v>17</v>
      </c>
      <c r="N6844" t="str">
        <f>IF(MASTER[[#This Row],[IDLOCAL]]=17,"HYDE PARK", "HARLEM IRVING")</f>
        <v>HYDE PARK</v>
      </c>
      <c r="O6844" t="str">
        <f>IF(MASTER[[#This Row],[IDLOCAL]]=17,"PREMIUM", "ESTÁNDAR")</f>
        <v>PREMIUM</v>
      </c>
      <c r="P6844" t="s">
        <v>137</v>
      </c>
      <c r="Q6844" t="s">
        <v>142</v>
      </c>
      <c r="R6844" t="s">
        <v>143</v>
      </c>
      <c r="S6844" t="s">
        <v>145</v>
      </c>
      <c r="T6844" s="2">
        <f>MASTER[[#This Row],[CANTIDAD]]*MASTER[[#This Row],[PRECIO DE VENTA]]</f>
        <v>1896</v>
      </c>
      <c r="U6844" s="2">
        <f>MASTER[[#This Row],[CANTIDAD]]*MASTER[[#This Row],[COSTO UNITARIO]]</f>
        <v>386</v>
      </c>
      <c r="V6844" s="2">
        <f>MASTER[[#This Row],[MONTO VENDIDO]]-MASTER[[#This Row],[COSTO DE VENTA]]</f>
        <v>1510</v>
      </c>
    </row>
    <row r="6845" spans="1:22" x14ac:dyDescent="0.3">
      <c r="A6845">
        <v>101034</v>
      </c>
      <c r="B6845">
        <v>1</v>
      </c>
      <c r="C6845" t="s">
        <v>107</v>
      </c>
      <c r="D6845" t="s">
        <v>108</v>
      </c>
      <c r="E6845" s="1">
        <v>43901</v>
      </c>
      <c r="F6845">
        <v>1</v>
      </c>
      <c r="G6845" t="s">
        <v>73</v>
      </c>
      <c r="H6845" t="s">
        <v>74</v>
      </c>
      <c r="I6845" s="4">
        <v>1732</v>
      </c>
      <c r="J6845" s="3">
        <v>1732</v>
      </c>
      <c r="K6845" s="4">
        <v>380</v>
      </c>
      <c r="L6845" t="s">
        <v>98</v>
      </c>
      <c r="M6845">
        <v>19</v>
      </c>
      <c r="N6845" t="s">
        <v>150</v>
      </c>
      <c r="O6845" t="s">
        <v>81</v>
      </c>
      <c r="P6845" t="s">
        <v>136</v>
      </c>
      <c r="Q6845" t="s">
        <v>140</v>
      </c>
      <c r="R6845" t="s">
        <v>141</v>
      </c>
      <c r="S6845" t="s">
        <v>145</v>
      </c>
      <c r="T6845" s="2">
        <f>MASTER[[#This Row],[CANTIDAD]]*MASTER[[#This Row],[PRECIO DE VENTA]]</f>
        <v>1732</v>
      </c>
      <c r="U6845" s="2">
        <f>MASTER[[#This Row],[CANTIDAD]]*MASTER[[#This Row],[COSTO UNITARIO]]</f>
        <v>380</v>
      </c>
      <c r="V6845" s="2">
        <f>MASTER[[#This Row],[MONTO VENDIDO]]-MASTER[[#This Row],[COSTO DE VENTA]]</f>
        <v>1352</v>
      </c>
    </row>
    <row r="6846" spans="1:22" x14ac:dyDescent="0.3">
      <c r="A6846">
        <v>101046</v>
      </c>
      <c r="B6846">
        <v>1</v>
      </c>
      <c r="C6846" t="s">
        <v>105</v>
      </c>
      <c r="D6846" t="s">
        <v>106</v>
      </c>
      <c r="E6846" s="1">
        <v>43902</v>
      </c>
      <c r="F6846">
        <v>2</v>
      </c>
      <c r="G6846" t="s">
        <v>7</v>
      </c>
      <c r="H6846" t="s">
        <v>8</v>
      </c>
      <c r="I6846" s="4">
        <v>2424</v>
      </c>
      <c r="J6846" s="3">
        <v>2424</v>
      </c>
      <c r="K6846" s="4">
        <v>459</v>
      </c>
      <c r="L6846" t="s">
        <v>98</v>
      </c>
      <c r="M6846">
        <v>19</v>
      </c>
      <c r="N6846" t="s">
        <v>150</v>
      </c>
      <c r="O6846" t="s">
        <v>81</v>
      </c>
      <c r="P6846" t="s">
        <v>136</v>
      </c>
      <c r="Q6846" t="s">
        <v>140</v>
      </c>
      <c r="R6846" t="s">
        <v>141</v>
      </c>
      <c r="S6846" t="s">
        <v>145</v>
      </c>
      <c r="T6846" s="2">
        <f>MASTER[[#This Row],[CANTIDAD]]*MASTER[[#This Row],[PRECIO DE VENTA]]</f>
        <v>4848</v>
      </c>
      <c r="U6846" s="2">
        <f>MASTER[[#This Row],[CANTIDAD]]*MASTER[[#This Row],[COSTO UNITARIO]]</f>
        <v>918</v>
      </c>
      <c r="V6846" s="2">
        <f>MASTER[[#This Row],[MONTO VENDIDO]]-MASTER[[#This Row],[COSTO DE VENTA]]</f>
        <v>3930</v>
      </c>
    </row>
    <row r="6847" spans="1:22" x14ac:dyDescent="0.3">
      <c r="A6847">
        <v>101049</v>
      </c>
      <c r="B6847">
        <v>2</v>
      </c>
      <c r="C6847" t="s">
        <v>5</v>
      </c>
      <c r="D6847" t="s">
        <v>6</v>
      </c>
      <c r="E6847" s="1">
        <v>43903</v>
      </c>
      <c r="F6847">
        <v>1</v>
      </c>
      <c r="G6847" t="s">
        <v>63</v>
      </c>
      <c r="H6847" t="s">
        <v>64</v>
      </c>
      <c r="I6847" s="4">
        <v>1959</v>
      </c>
      <c r="J6847" s="3">
        <v>1959</v>
      </c>
      <c r="K6847" s="4">
        <v>393</v>
      </c>
      <c r="L6847" t="s">
        <v>9</v>
      </c>
      <c r="M6847">
        <v>19</v>
      </c>
      <c r="N6847" t="s">
        <v>150</v>
      </c>
      <c r="O6847" t="s">
        <v>81</v>
      </c>
      <c r="P6847" t="s">
        <v>136</v>
      </c>
      <c r="Q6847" t="s">
        <v>140</v>
      </c>
      <c r="R6847" t="s">
        <v>141</v>
      </c>
      <c r="S6847" t="s">
        <v>145</v>
      </c>
      <c r="T6847" s="2">
        <f>MASTER[[#This Row],[CANTIDAD]]*MASTER[[#This Row],[PRECIO DE VENTA]]</f>
        <v>1959</v>
      </c>
      <c r="U6847" s="2">
        <f>MASTER[[#This Row],[CANTIDAD]]*MASTER[[#This Row],[COSTO UNITARIO]]</f>
        <v>393</v>
      </c>
      <c r="V6847" s="2">
        <f>MASTER[[#This Row],[MONTO VENDIDO]]-MASTER[[#This Row],[COSTO DE VENTA]]</f>
        <v>1566</v>
      </c>
    </row>
    <row r="6848" spans="1:22" x14ac:dyDescent="0.3">
      <c r="A6848">
        <v>101055</v>
      </c>
      <c r="B6848">
        <v>1</v>
      </c>
      <c r="C6848" t="s">
        <v>101</v>
      </c>
      <c r="D6848" t="s">
        <v>102</v>
      </c>
      <c r="E6848" s="1">
        <v>43903</v>
      </c>
      <c r="F6848">
        <v>1</v>
      </c>
      <c r="G6848" t="s">
        <v>35</v>
      </c>
      <c r="H6848" t="s">
        <v>36</v>
      </c>
      <c r="I6848" s="4">
        <v>1370</v>
      </c>
      <c r="J6848" s="3">
        <v>1370</v>
      </c>
      <c r="K6848" s="4">
        <v>442</v>
      </c>
      <c r="L6848" t="s">
        <v>98</v>
      </c>
      <c r="M6848">
        <v>19</v>
      </c>
      <c r="N6848" t="s">
        <v>150</v>
      </c>
      <c r="O6848" t="s">
        <v>81</v>
      </c>
      <c r="P6848" t="s">
        <v>136</v>
      </c>
      <c r="Q6848" t="s">
        <v>140</v>
      </c>
      <c r="R6848" t="s">
        <v>141</v>
      </c>
      <c r="S6848" t="s">
        <v>145</v>
      </c>
      <c r="T6848" s="2">
        <f>MASTER[[#This Row],[CANTIDAD]]*MASTER[[#This Row],[PRECIO DE VENTA]]</f>
        <v>1370</v>
      </c>
      <c r="U6848" s="2">
        <f>MASTER[[#This Row],[CANTIDAD]]*MASTER[[#This Row],[COSTO UNITARIO]]</f>
        <v>442</v>
      </c>
      <c r="V6848" s="2">
        <f>MASTER[[#This Row],[MONTO VENDIDO]]-MASTER[[#This Row],[COSTO DE VENTA]]</f>
        <v>928</v>
      </c>
    </row>
    <row r="6849" spans="1:22" x14ac:dyDescent="0.3">
      <c r="A6849">
        <v>101056</v>
      </c>
      <c r="B6849">
        <v>1</v>
      </c>
      <c r="C6849" t="s">
        <v>109</v>
      </c>
      <c r="D6849" t="s">
        <v>110</v>
      </c>
      <c r="E6849" s="1">
        <v>43903</v>
      </c>
      <c r="F6849">
        <v>1</v>
      </c>
      <c r="G6849" t="s">
        <v>45</v>
      </c>
      <c r="H6849" t="s">
        <v>46</v>
      </c>
      <c r="I6849" s="4">
        <v>1231</v>
      </c>
      <c r="J6849" s="3">
        <v>1231</v>
      </c>
      <c r="K6849" s="4">
        <v>387</v>
      </c>
      <c r="L6849" t="s">
        <v>98</v>
      </c>
      <c r="M6849">
        <v>19</v>
      </c>
      <c r="N6849" t="s">
        <v>150</v>
      </c>
      <c r="O6849" t="s">
        <v>81</v>
      </c>
      <c r="P6849" t="s">
        <v>136</v>
      </c>
      <c r="Q6849" t="s">
        <v>140</v>
      </c>
      <c r="R6849" t="s">
        <v>141</v>
      </c>
      <c r="S6849" t="s">
        <v>145</v>
      </c>
      <c r="T6849" s="2">
        <f>MASTER[[#This Row],[CANTIDAD]]*MASTER[[#This Row],[PRECIO DE VENTA]]</f>
        <v>1231</v>
      </c>
      <c r="U6849" s="2">
        <f>MASTER[[#This Row],[CANTIDAD]]*MASTER[[#This Row],[COSTO UNITARIO]]</f>
        <v>387</v>
      </c>
      <c r="V6849" s="2">
        <f>MASTER[[#This Row],[MONTO VENDIDO]]-MASTER[[#This Row],[COSTO DE VENTA]]</f>
        <v>844</v>
      </c>
    </row>
    <row r="6850" spans="1:22" x14ac:dyDescent="0.3">
      <c r="A6850">
        <v>101058</v>
      </c>
      <c r="B6850">
        <v>1</v>
      </c>
      <c r="C6850" t="s">
        <v>109</v>
      </c>
      <c r="D6850" t="s">
        <v>110</v>
      </c>
      <c r="E6850" s="1">
        <v>43904</v>
      </c>
      <c r="F6850">
        <v>1</v>
      </c>
      <c r="G6850" t="s">
        <v>24</v>
      </c>
      <c r="H6850" t="s">
        <v>25</v>
      </c>
      <c r="I6850" s="4">
        <v>1383</v>
      </c>
      <c r="J6850" s="3">
        <v>1300</v>
      </c>
      <c r="K6850" s="4">
        <v>387</v>
      </c>
      <c r="L6850" t="s">
        <v>98</v>
      </c>
      <c r="M6850">
        <v>19</v>
      </c>
      <c r="N6850" t="s">
        <v>150</v>
      </c>
      <c r="O6850" t="s">
        <v>81</v>
      </c>
      <c r="P6850" t="s">
        <v>136</v>
      </c>
      <c r="Q6850" t="s">
        <v>140</v>
      </c>
      <c r="R6850" t="s">
        <v>141</v>
      </c>
      <c r="S6850" t="s">
        <v>145</v>
      </c>
      <c r="T6850" s="2">
        <f>MASTER[[#This Row],[CANTIDAD]]*MASTER[[#This Row],[PRECIO DE VENTA]]</f>
        <v>1300</v>
      </c>
      <c r="U6850" s="2">
        <f>MASTER[[#This Row],[CANTIDAD]]*MASTER[[#This Row],[COSTO UNITARIO]]</f>
        <v>387</v>
      </c>
      <c r="V6850" s="2">
        <f>MASTER[[#This Row],[MONTO VENDIDO]]-MASTER[[#This Row],[COSTO DE VENTA]]</f>
        <v>913</v>
      </c>
    </row>
    <row r="6851" spans="1:22" x14ac:dyDescent="0.3">
      <c r="A6851">
        <v>101060</v>
      </c>
      <c r="B6851">
        <v>1</v>
      </c>
      <c r="C6851" t="s">
        <v>96</v>
      </c>
      <c r="D6851" t="s">
        <v>97</v>
      </c>
      <c r="E6851" s="1">
        <v>43907</v>
      </c>
      <c r="F6851">
        <v>1</v>
      </c>
      <c r="G6851" t="s">
        <v>29</v>
      </c>
      <c r="H6851" t="s">
        <v>30</v>
      </c>
      <c r="I6851" s="4">
        <v>1769</v>
      </c>
      <c r="J6851" s="3">
        <v>1769</v>
      </c>
      <c r="K6851" s="4">
        <v>397</v>
      </c>
      <c r="L6851" t="s">
        <v>98</v>
      </c>
      <c r="M6851">
        <v>17</v>
      </c>
      <c r="N6851" t="str">
        <f>IF(MASTER[[#This Row],[IDLOCAL]]=17,"HYDE PARK", "HARLEM IRVING")</f>
        <v>HYDE PARK</v>
      </c>
      <c r="O6851" t="str">
        <f>IF(MASTER[[#This Row],[IDLOCAL]]=17,"PREMIUM", "ESTÁNDAR")</f>
        <v>PREMIUM</v>
      </c>
      <c r="P6851" t="s">
        <v>137</v>
      </c>
      <c r="Q6851" t="s">
        <v>142</v>
      </c>
      <c r="R6851" t="s">
        <v>143</v>
      </c>
      <c r="S6851" t="s">
        <v>145</v>
      </c>
      <c r="T6851" s="2">
        <f>MASTER[[#This Row],[CANTIDAD]]*MASTER[[#This Row],[PRECIO DE VENTA]]</f>
        <v>1769</v>
      </c>
      <c r="U6851" s="2">
        <f>MASTER[[#This Row],[CANTIDAD]]*MASTER[[#This Row],[COSTO UNITARIO]]</f>
        <v>397</v>
      </c>
      <c r="V6851" s="2">
        <f>MASTER[[#This Row],[MONTO VENDIDO]]-MASTER[[#This Row],[COSTO DE VENTA]]</f>
        <v>1372</v>
      </c>
    </row>
    <row r="6852" spans="1:22" x14ac:dyDescent="0.3">
      <c r="A6852">
        <v>101063</v>
      </c>
      <c r="B6852">
        <v>1</v>
      </c>
      <c r="C6852" t="s">
        <v>99</v>
      </c>
      <c r="D6852" t="s">
        <v>100</v>
      </c>
      <c r="E6852" s="1">
        <v>43908</v>
      </c>
      <c r="F6852">
        <v>1</v>
      </c>
      <c r="G6852" t="s">
        <v>7</v>
      </c>
      <c r="H6852" t="s">
        <v>8</v>
      </c>
      <c r="I6852" s="4">
        <v>2181</v>
      </c>
      <c r="J6852" s="3">
        <v>2181</v>
      </c>
      <c r="K6852" s="4">
        <v>386</v>
      </c>
      <c r="L6852" t="s">
        <v>98</v>
      </c>
      <c r="M6852">
        <v>19</v>
      </c>
      <c r="N6852" t="s">
        <v>150</v>
      </c>
      <c r="O6852" t="s">
        <v>81</v>
      </c>
      <c r="P6852" t="s">
        <v>136</v>
      </c>
      <c r="Q6852" t="s">
        <v>140</v>
      </c>
      <c r="R6852" t="s">
        <v>141</v>
      </c>
      <c r="S6852" t="s">
        <v>145</v>
      </c>
      <c r="T6852" s="2">
        <f>MASTER[[#This Row],[CANTIDAD]]*MASTER[[#This Row],[PRECIO DE VENTA]]</f>
        <v>2181</v>
      </c>
      <c r="U6852" s="2">
        <f>MASTER[[#This Row],[CANTIDAD]]*MASTER[[#This Row],[COSTO UNITARIO]]</f>
        <v>386</v>
      </c>
      <c r="V6852" s="2">
        <f>MASTER[[#This Row],[MONTO VENDIDO]]-MASTER[[#This Row],[COSTO DE VENTA]]</f>
        <v>1795</v>
      </c>
    </row>
    <row r="6853" spans="1:22" x14ac:dyDescent="0.3">
      <c r="A6853">
        <v>101064</v>
      </c>
      <c r="B6853">
        <v>2</v>
      </c>
      <c r="C6853" t="s">
        <v>121</v>
      </c>
      <c r="D6853" t="s">
        <v>122</v>
      </c>
      <c r="E6853" s="1">
        <v>43909</v>
      </c>
      <c r="F6853">
        <v>1</v>
      </c>
      <c r="G6853" t="s">
        <v>53</v>
      </c>
      <c r="H6853" t="s">
        <v>54</v>
      </c>
      <c r="I6853" s="4">
        <v>1389</v>
      </c>
      <c r="J6853" s="3">
        <v>1389</v>
      </c>
      <c r="K6853" s="4">
        <v>460</v>
      </c>
      <c r="L6853" t="s">
        <v>120</v>
      </c>
      <c r="M6853">
        <v>19</v>
      </c>
      <c r="N6853" t="s">
        <v>150</v>
      </c>
      <c r="O6853" t="s">
        <v>81</v>
      </c>
      <c r="P6853" t="s">
        <v>136</v>
      </c>
      <c r="Q6853" t="s">
        <v>140</v>
      </c>
      <c r="R6853" t="s">
        <v>141</v>
      </c>
      <c r="S6853" t="s">
        <v>145</v>
      </c>
      <c r="T6853" s="2">
        <f>MASTER[[#This Row],[CANTIDAD]]*MASTER[[#This Row],[PRECIO DE VENTA]]</f>
        <v>1389</v>
      </c>
      <c r="U6853" s="2">
        <f>MASTER[[#This Row],[CANTIDAD]]*MASTER[[#This Row],[COSTO UNITARIO]]</f>
        <v>460</v>
      </c>
      <c r="V6853" s="2">
        <f>MASTER[[#This Row],[MONTO VENDIDO]]-MASTER[[#This Row],[COSTO DE VENTA]]</f>
        <v>929</v>
      </c>
    </row>
    <row r="6854" spans="1:22" x14ac:dyDescent="0.3">
      <c r="A6854">
        <v>101079</v>
      </c>
      <c r="B6854">
        <v>1</v>
      </c>
      <c r="C6854" t="s">
        <v>116</v>
      </c>
      <c r="D6854" t="s">
        <v>117</v>
      </c>
      <c r="E6854" s="1">
        <v>43910</v>
      </c>
      <c r="F6854">
        <v>1</v>
      </c>
      <c r="G6854" t="s">
        <v>43</v>
      </c>
      <c r="H6854" t="s">
        <v>44</v>
      </c>
      <c r="I6854" s="4">
        <v>2598</v>
      </c>
      <c r="J6854" s="3">
        <v>2598</v>
      </c>
      <c r="K6854" s="4">
        <v>388</v>
      </c>
      <c r="L6854" t="s">
        <v>113</v>
      </c>
      <c r="M6854">
        <v>19</v>
      </c>
      <c r="N6854" t="s">
        <v>150</v>
      </c>
      <c r="O6854" t="s">
        <v>81</v>
      </c>
      <c r="P6854" t="s">
        <v>136</v>
      </c>
      <c r="Q6854" t="s">
        <v>140</v>
      </c>
      <c r="R6854" t="s">
        <v>141</v>
      </c>
      <c r="S6854" t="s">
        <v>145</v>
      </c>
      <c r="T6854" s="2">
        <f>MASTER[[#This Row],[CANTIDAD]]*MASTER[[#This Row],[PRECIO DE VENTA]]</f>
        <v>2598</v>
      </c>
      <c r="U6854" s="2">
        <f>MASTER[[#This Row],[CANTIDAD]]*MASTER[[#This Row],[COSTO UNITARIO]]</f>
        <v>388</v>
      </c>
      <c r="V6854" s="2">
        <f>MASTER[[#This Row],[MONTO VENDIDO]]-MASTER[[#This Row],[COSTO DE VENTA]]</f>
        <v>2210</v>
      </c>
    </row>
    <row r="6855" spans="1:22" x14ac:dyDescent="0.3">
      <c r="A6855">
        <v>101084</v>
      </c>
      <c r="B6855">
        <v>1</v>
      </c>
      <c r="C6855" t="s">
        <v>92</v>
      </c>
      <c r="D6855" t="s">
        <v>93</v>
      </c>
      <c r="E6855" s="1">
        <v>43912</v>
      </c>
      <c r="F6855">
        <v>1</v>
      </c>
      <c r="G6855" t="s">
        <v>49</v>
      </c>
      <c r="H6855" t="s">
        <v>50</v>
      </c>
      <c r="I6855" s="4">
        <v>2185</v>
      </c>
      <c r="J6855" s="3">
        <v>2185</v>
      </c>
      <c r="K6855" s="4">
        <v>396</v>
      </c>
      <c r="L6855" t="s">
        <v>9</v>
      </c>
      <c r="M6855">
        <v>19</v>
      </c>
      <c r="N6855" t="s">
        <v>150</v>
      </c>
      <c r="O6855" t="s">
        <v>81</v>
      </c>
      <c r="P6855" t="s">
        <v>136</v>
      </c>
      <c r="Q6855" t="s">
        <v>140</v>
      </c>
      <c r="R6855" t="s">
        <v>141</v>
      </c>
      <c r="S6855" t="s">
        <v>145</v>
      </c>
      <c r="T6855" s="2">
        <f>MASTER[[#This Row],[CANTIDAD]]*MASTER[[#This Row],[PRECIO DE VENTA]]</f>
        <v>2185</v>
      </c>
      <c r="U6855" s="2">
        <f>MASTER[[#This Row],[CANTIDAD]]*MASTER[[#This Row],[COSTO UNITARIO]]</f>
        <v>396</v>
      </c>
      <c r="V6855" s="2">
        <f>MASTER[[#This Row],[MONTO VENDIDO]]-MASTER[[#This Row],[COSTO DE VENTA]]</f>
        <v>1789</v>
      </c>
    </row>
    <row r="6856" spans="1:22" x14ac:dyDescent="0.3">
      <c r="A6856">
        <v>101085</v>
      </c>
      <c r="B6856">
        <v>2</v>
      </c>
      <c r="C6856" t="s">
        <v>118</v>
      </c>
      <c r="D6856" t="s">
        <v>119</v>
      </c>
      <c r="E6856" s="1">
        <v>43912</v>
      </c>
      <c r="F6856">
        <v>1</v>
      </c>
      <c r="G6856" t="s">
        <v>51</v>
      </c>
      <c r="H6856" t="s">
        <v>52</v>
      </c>
      <c r="I6856" s="4">
        <v>1170</v>
      </c>
      <c r="J6856" s="3">
        <v>1170</v>
      </c>
      <c r="K6856" s="4">
        <v>424</v>
      </c>
      <c r="L6856" t="s">
        <v>120</v>
      </c>
      <c r="M6856">
        <v>19</v>
      </c>
      <c r="N6856" t="s">
        <v>150</v>
      </c>
      <c r="O6856" t="s">
        <v>81</v>
      </c>
      <c r="P6856" t="s">
        <v>136</v>
      </c>
      <c r="Q6856" t="s">
        <v>140</v>
      </c>
      <c r="R6856" t="s">
        <v>141</v>
      </c>
      <c r="S6856" t="s">
        <v>145</v>
      </c>
      <c r="T6856" s="2">
        <f>MASTER[[#This Row],[CANTIDAD]]*MASTER[[#This Row],[PRECIO DE VENTA]]</f>
        <v>1170</v>
      </c>
      <c r="U6856" s="2">
        <f>MASTER[[#This Row],[CANTIDAD]]*MASTER[[#This Row],[COSTO UNITARIO]]</f>
        <v>424</v>
      </c>
      <c r="V6856" s="2">
        <f>MASTER[[#This Row],[MONTO VENDIDO]]-MASTER[[#This Row],[COSTO DE VENTA]]</f>
        <v>746</v>
      </c>
    </row>
    <row r="6857" spans="1:22" x14ac:dyDescent="0.3">
      <c r="A6857">
        <v>101086</v>
      </c>
      <c r="B6857">
        <v>1</v>
      </c>
      <c r="C6857" t="s">
        <v>90</v>
      </c>
      <c r="D6857" t="s">
        <v>91</v>
      </c>
      <c r="E6857" s="1">
        <v>43914</v>
      </c>
      <c r="F6857">
        <v>1</v>
      </c>
      <c r="G6857" t="s">
        <v>31</v>
      </c>
      <c r="H6857" t="s">
        <v>32</v>
      </c>
      <c r="I6857" s="4">
        <v>2158</v>
      </c>
      <c r="J6857" s="3">
        <v>2158</v>
      </c>
      <c r="K6857" s="4">
        <v>420</v>
      </c>
      <c r="L6857" t="s">
        <v>9</v>
      </c>
      <c r="M6857">
        <v>19</v>
      </c>
      <c r="N6857" t="s">
        <v>150</v>
      </c>
      <c r="O6857" t="s">
        <v>81</v>
      </c>
      <c r="P6857" t="s">
        <v>136</v>
      </c>
      <c r="Q6857" t="s">
        <v>140</v>
      </c>
      <c r="R6857" t="s">
        <v>141</v>
      </c>
      <c r="S6857" t="s">
        <v>145</v>
      </c>
      <c r="T6857" s="2">
        <f>MASTER[[#This Row],[CANTIDAD]]*MASTER[[#This Row],[PRECIO DE VENTA]]</f>
        <v>2158</v>
      </c>
      <c r="U6857" s="2">
        <f>MASTER[[#This Row],[CANTIDAD]]*MASTER[[#This Row],[COSTO UNITARIO]]</f>
        <v>420</v>
      </c>
      <c r="V6857" s="2">
        <f>MASTER[[#This Row],[MONTO VENDIDO]]-MASTER[[#This Row],[COSTO DE VENTA]]</f>
        <v>1738</v>
      </c>
    </row>
    <row r="6858" spans="1:22" x14ac:dyDescent="0.3">
      <c r="A6858">
        <v>101105</v>
      </c>
      <c r="B6858">
        <v>1</v>
      </c>
      <c r="C6858" t="s">
        <v>116</v>
      </c>
      <c r="D6858" t="s">
        <v>117</v>
      </c>
      <c r="E6858" s="1">
        <v>43914</v>
      </c>
      <c r="F6858">
        <v>1</v>
      </c>
      <c r="G6858" t="s">
        <v>20</v>
      </c>
      <c r="H6858" t="s">
        <v>21</v>
      </c>
      <c r="I6858" s="4">
        <v>1987</v>
      </c>
      <c r="J6858" s="3">
        <v>1987</v>
      </c>
      <c r="K6858" s="4">
        <v>388</v>
      </c>
      <c r="L6858" t="s">
        <v>113</v>
      </c>
      <c r="M6858">
        <v>17</v>
      </c>
      <c r="N6858" t="str">
        <f>IF(MASTER[[#This Row],[IDLOCAL]]=17,"HYDE PARK", "HARLEM IRVING")</f>
        <v>HYDE PARK</v>
      </c>
      <c r="O6858" t="str">
        <f>IF(MASTER[[#This Row],[IDLOCAL]]=17,"PREMIUM", "ESTÁNDAR")</f>
        <v>PREMIUM</v>
      </c>
      <c r="P6858" t="s">
        <v>137</v>
      </c>
      <c r="Q6858" t="s">
        <v>142</v>
      </c>
      <c r="R6858" t="s">
        <v>143</v>
      </c>
      <c r="S6858" t="s">
        <v>145</v>
      </c>
      <c r="T6858" s="2">
        <f>MASTER[[#This Row],[CANTIDAD]]*MASTER[[#This Row],[PRECIO DE VENTA]]</f>
        <v>1987</v>
      </c>
      <c r="U6858" s="2">
        <f>MASTER[[#This Row],[CANTIDAD]]*MASTER[[#This Row],[COSTO UNITARIO]]</f>
        <v>388</v>
      </c>
      <c r="V6858" s="2">
        <f>MASTER[[#This Row],[MONTO VENDIDO]]-MASTER[[#This Row],[COSTO DE VENTA]]</f>
        <v>1599</v>
      </c>
    </row>
    <row r="6859" spans="1:22" x14ac:dyDescent="0.3">
      <c r="A6859">
        <v>101129</v>
      </c>
      <c r="B6859">
        <v>1</v>
      </c>
      <c r="C6859" t="s">
        <v>5</v>
      </c>
      <c r="D6859" t="s">
        <v>6</v>
      </c>
      <c r="E6859" s="1">
        <v>43915</v>
      </c>
      <c r="F6859">
        <v>1</v>
      </c>
      <c r="G6859" t="s">
        <v>7</v>
      </c>
      <c r="H6859" t="s">
        <v>8</v>
      </c>
      <c r="I6859" s="4">
        <v>1684</v>
      </c>
      <c r="J6859" s="3">
        <v>1684</v>
      </c>
      <c r="K6859" s="4">
        <v>393</v>
      </c>
      <c r="L6859" t="s">
        <v>9</v>
      </c>
      <c r="M6859">
        <v>19</v>
      </c>
      <c r="N6859" t="s">
        <v>150</v>
      </c>
      <c r="O6859" t="s">
        <v>81</v>
      </c>
      <c r="P6859" t="s">
        <v>136</v>
      </c>
      <c r="Q6859" t="s">
        <v>140</v>
      </c>
      <c r="R6859" t="s">
        <v>141</v>
      </c>
      <c r="S6859" t="s">
        <v>145</v>
      </c>
      <c r="T6859" s="2">
        <f>MASTER[[#This Row],[CANTIDAD]]*MASTER[[#This Row],[PRECIO DE VENTA]]</f>
        <v>1684</v>
      </c>
      <c r="U6859" s="2">
        <f>MASTER[[#This Row],[CANTIDAD]]*MASTER[[#This Row],[COSTO UNITARIO]]</f>
        <v>393</v>
      </c>
      <c r="V6859" s="2">
        <f>MASTER[[#This Row],[MONTO VENDIDO]]-MASTER[[#This Row],[COSTO DE VENTA]]</f>
        <v>1291</v>
      </c>
    </row>
    <row r="6860" spans="1:22" x14ac:dyDescent="0.3">
      <c r="A6860">
        <v>101130</v>
      </c>
      <c r="B6860">
        <v>1</v>
      </c>
      <c r="C6860" t="s">
        <v>96</v>
      </c>
      <c r="D6860" t="s">
        <v>97</v>
      </c>
      <c r="E6860" s="1">
        <v>43915</v>
      </c>
      <c r="F6860">
        <v>1</v>
      </c>
      <c r="G6860" t="s">
        <v>33</v>
      </c>
      <c r="H6860" t="s">
        <v>34</v>
      </c>
      <c r="I6860" s="4">
        <v>1554</v>
      </c>
      <c r="J6860" s="3">
        <v>1554</v>
      </c>
      <c r="K6860" s="4">
        <v>397</v>
      </c>
      <c r="L6860" t="s">
        <v>98</v>
      </c>
      <c r="M6860">
        <v>19</v>
      </c>
      <c r="N6860" t="s">
        <v>150</v>
      </c>
      <c r="O6860" t="s">
        <v>81</v>
      </c>
      <c r="P6860" t="s">
        <v>136</v>
      </c>
      <c r="Q6860" t="s">
        <v>140</v>
      </c>
      <c r="R6860" t="s">
        <v>141</v>
      </c>
      <c r="S6860" t="s">
        <v>145</v>
      </c>
      <c r="T6860" s="2">
        <f>MASTER[[#This Row],[CANTIDAD]]*MASTER[[#This Row],[PRECIO DE VENTA]]</f>
        <v>1554</v>
      </c>
      <c r="U6860" s="2">
        <f>MASTER[[#This Row],[CANTIDAD]]*MASTER[[#This Row],[COSTO UNITARIO]]</f>
        <v>397</v>
      </c>
      <c r="V6860" s="2">
        <f>MASTER[[#This Row],[MONTO VENDIDO]]-MASTER[[#This Row],[COSTO DE VENTA]]</f>
        <v>1157</v>
      </c>
    </row>
    <row r="6861" spans="1:22" x14ac:dyDescent="0.3">
      <c r="A6861">
        <v>101152</v>
      </c>
      <c r="B6861">
        <v>1</v>
      </c>
      <c r="C6861" t="s">
        <v>90</v>
      </c>
      <c r="D6861" t="s">
        <v>91</v>
      </c>
      <c r="E6861" s="1">
        <v>43917</v>
      </c>
      <c r="F6861">
        <v>1</v>
      </c>
      <c r="G6861" t="s">
        <v>24</v>
      </c>
      <c r="H6861" t="s">
        <v>25</v>
      </c>
      <c r="I6861" s="4">
        <v>2732</v>
      </c>
      <c r="J6861" s="3">
        <v>2732</v>
      </c>
      <c r="K6861" s="4">
        <v>420</v>
      </c>
      <c r="L6861" t="s">
        <v>9</v>
      </c>
      <c r="M6861">
        <v>17</v>
      </c>
      <c r="N6861" t="str">
        <f>IF(MASTER[[#This Row],[IDLOCAL]]=17,"HYDE PARK", "HARLEM IRVING")</f>
        <v>HYDE PARK</v>
      </c>
      <c r="O6861" t="str">
        <f>IF(MASTER[[#This Row],[IDLOCAL]]=17,"PREMIUM", "ESTÁNDAR")</f>
        <v>PREMIUM</v>
      </c>
      <c r="P6861" t="s">
        <v>137</v>
      </c>
      <c r="Q6861" t="s">
        <v>142</v>
      </c>
      <c r="R6861" t="s">
        <v>143</v>
      </c>
      <c r="S6861" t="s">
        <v>145</v>
      </c>
      <c r="T6861" s="2">
        <f>MASTER[[#This Row],[CANTIDAD]]*MASTER[[#This Row],[PRECIO DE VENTA]]</f>
        <v>2732</v>
      </c>
      <c r="U6861" s="2">
        <f>MASTER[[#This Row],[CANTIDAD]]*MASTER[[#This Row],[COSTO UNITARIO]]</f>
        <v>420</v>
      </c>
      <c r="V6861" s="2">
        <f>MASTER[[#This Row],[MONTO VENDIDO]]-MASTER[[#This Row],[COSTO DE VENTA]]</f>
        <v>2312</v>
      </c>
    </row>
    <row r="6862" spans="1:22" x14ac:dyDescent="0.3">
      <c r="A6862">
        <v>101158</v>
      </c>
      <c r="B6862">
        <v>1</v>
      </c>
      <c r="C6862" t="s">
        <v>101</v>
      </c>
      <c r="D6862" t="s">
        <v>102</v>
      </c>
      <c r="E6862" s="1">
        <v>43918</v>
      </c>
      <c r="F6862">
        <v>1</v>
      </c>
      <c r="G6862" t="s">
        <v>20</v>
      </c>
      <c r="H6862" t="s">
        <v>21</v>
      </c>
      <c r="I6862" s="4">
        <v>1764</v>
      </c>
      <c r="J6862" s="3">
        <v>1692</v>
      </c>
      <c r="K6862" s="4">
        <v>442</v>
      </c>
      <c r="L6862" t="s">
        <v>98</v>
      </c>
      <c r="M6862">
        <v>18</v>
      </c>
      <c r="N6862" t="str">
        <f>IF(MASTER[[#This Row],[IDLOCAL]]=17,"HYDE PARK", "HARLEM IRVING")</f>
        <v>HARLEM IRVING</v>
      </c>
      <c r="O6862" t="str">
        <f>IF(MASTER[[#This Row],[IDLOCAL]]=17,"PREMIUM", "ESTÁNDAR")</f>
        <v>ESTÁNDAR</v>
      </c>
      <c r="P6862" t="s">
        <v>137</v>
      </c>
      <c r="Q6862" t="s">
        <v>142</v>
      </c>
      <c r="R6862" t="s">
        <v>143</v>
      </c>
      <c r="S6862" t="s">
        <v>145</v>
      </c>
      <c r="T6862" s="2">
        <f>MASTER[[#This Row],[CANTIDAD]]*MASTER[[#This Row],[PRECIO DE VENTA]]</f>
        <v>1692</v>
      </c>
      <c r="U6862" s="2">
        <f>MASTER[[#This Row],[CANTIDAD]]*MASTER[[#This Row],[COSTO UNITARIO]]</f>
        <v>442</v>
      </c>
      <c r="V6862" s="2">
        <f>MASTER[[#This Row],[MONTO VENDIDO]]-MASTER[[#This Row],[COSTO DE VENTA]]</f>
        <v>1250</v>
      </c>
    </row>
    <row r="6863" spans="1:22" x14ac:dyDescent="0.3">
      <c r="A6863">
        <v>101173</v>
      </c>
      <c r="B6863">
        <v>1</v>
      </c>
      <c r="C6863" t="s">
        <v>101</v>
      </c>
      <c r="D6863" t="s">
        <v>102</v>
      </c>
      <c r="E6863" s="1">
        <v>43921</v>
      </c>
      <c r="F6863">
        <v>1</v>
      </c>
      <c r="G6863" t="s">
        <v>53</v>
      </c>
      <c r="H6863" t="s">
        <v>54</v>
      </c>
      <c r="I6863" s="4">
        <v>1575</v>
      </c>
      <c r="J6863" s="3">
        <v>1575</v>
      </c>
      <c r="K6863" s="4">
        <v>442</v>
      </c>
      <c r="L6863" t="s">
        <v>98</v>
      </c>
      <c r="M6863">
        <v>17</v>
      </c>
      <c r="N6863" t="str">
        <f>IF(MASTER[[#This Row],[IDLOCAL]]=17,"HYDE PARK", "HARLEM IRVING")</f>
        <v>HYDE PARK</v>
      </c>
      <c r="O6863" t="str">
        <f>IF(MASTER[[#This Row],[IDLOCAL]]=17,"PREMIUM", "ESTÁNDAR")</f>
        <v>PREMIUM</v>
      </c>
      <c r="P6863" t="s">
        <v>137</v>
      </c>
      <c r="Q6863" t="s">
        <v>142</v>
      </c>
      <c r="R6863" t="s">
        <v>143</v>
      </c>
      <c r="S6863" t="s">
        <v>145</v>
      </c>
      <c r="T6863" s="2">
        <f>MASTER[[#This Row],[CANTIDAD]]*MASTER[[#This Row],[PRECIO DE VENTA]]</f>
        <v>1575</v>
      </c>
      <c r="U6863" s="2">
        <f>MASTER[[#This Row],[CANTIDAD]]*MASTER[[#This Row],[COSTO UNITARIO]]</f>
        <v>442</v>
      </c>
      <c r="V6863" s="2">
        <f>MASTER[[#This Row],[MONTO VENDIDO]]-MASTER[[#This Row],[COSTO DE VENTA]]</f>
        <v>1133</v>
      </c>
    </row>
    <row r="6864" spans="1:22" x14ac:dyDescent="0.3">
      <c r="A6864">
        <v>101181</v>
      </c>
      <c r="B6864">
        <v>1</v>
      </c>
      <c r="C6864" t="s">
        <v>5</v>
      </c>
      <c r="D6864" t="s">
        <v>6</v>
      </c>
      <c r="E6864" s="1">
        <v>43922</v>
      </c>
      <c r="F6864">
        <v>1</v>
      </c>
      <c r="G6864" t="s">
        <v>35</v>
      </c>
      <c r="H6864" t="s">
        <v>36</v>
      </c>
      <c r="I6864" s="4">
        <v>1959</v>
      </c>
      <c r="J6864" s="3">
        <v>1959</v>
      </c>
      <c r="K6864" s="4">
        <v>393</v>
      </c>
      <c r="L6864" t="s">
        <v>9</v>
      </c>
      <c r="M6864">
        <v>17</v>
      </c>
      <c r="N6864" t="str">
        <f>IF(MASTER[[#This Row],[IDLOCAL]]=17,"HYDE PARK", "HARLEM IRVING")</f>
        <v>HYDE PARK</v>
      </c>
      <c r="O6864" t="str">
        <f>IF(MASTER[[#This Row],[IDLOCAL]]=17,"PREMIUM", "ESTÁNDAR")</f>
        <v>PREMIUM</v>
      </c>
      <c r="P6864" t="s">
        <v>137</v>
      </c>
      <c r="Q6864" t="s">
        <v>142</v>
      </c>
      <c r="R6864" t="s">
        <v>143</v>
      </c>
      <c r="S6864" t="s">
        <v>145</v>
      </c>
      <c r="T6864" s="2">
        <f>MASTER[[#This Row],[CANTIDAD]]*MASTER[[#This Row],[PRECIO DE VENTA]]</f>
        <v>1959</v>
      </c>
      <c r="U6864" s="2">
        <f>MASTER[[#This Row],[CANTIDAD]]*MASTER[[#This Row],[COSTO UNITARIO]]</f>
        <v>393</v>
      </c>
      <c r="V6864" s="2">
        <f>MASTER[[#This Row],[MONTO VENDIDO]]-MASTER[[#This Row],[COSTO DE VENTA]]</f>
        <v>1566</v>
      </c>
    </row>
    <row r="6865" spans="1:22" x14ac:dyDescent="0.3">
      <c r="A6865">
        <v>101184</v>
      </c>
      <c r="B6865">
        <v>1</v>
      </c>
      <c r="C6865" t="s">
        <v>105</v>
      </c>
      <c r="D6865" t="s">
        <v>106</v>
      </c>
      <c r="E6865" s="1">
        <v>43922</v>
      </c>
      <c r="F6865">
        <v>1</v>
      </c>
      <c r="G6865" t="s">
        <v>67</v>
      </c>
      <c r="H6865" t="s">
        <v>68</v>
      </c>
      <c r="I6865" s="4">
        <v>2424</v>
      </c>
      <c r="J6865" s="3">
        <v>2424</v>
      </c>
      <c r="K6865" s="4">
        <v>459</v>
      </c>
      <c r="L6865" t="s">
        <v>98</v>
      </c>
      <c r="M6865">
        <v>19</v>
      </c>
      <c r="N6865" t="s">
        <v>150</v>
      </c>
      <c r="O6865" t="s">
        <v>81</v>
      </c>
      <c r="P6865" t="s">
        <v>136</v>
      </c>
      <c r="Q6865" t="s">
        <v>140</v>
      </c>
      <c r="R6865" t="s">
        <v>141</v>
      </c>
      <c r="S6865" t="s">
        <v>145</v>
      </c>
      <c r="T6865" s="2">
        <f>MASTER[[#This Row],[CANTIDAD]]*MASTER[[#This Row],[PRECIO DE VENTA]]</f>
        <v>2424</v>
      </c>
      <c r="U6865" s="2">
        <f>MASTER[[#This Row],[CANTIDAD]]*MASTER[[#This Row],[COSTO UNITARIO]]</f>
        <v>459</v>
      </c>
      <c r="V6865" s="2">
        <f>MASTER[[#This Row],[MONTO VENDIDO]]-MASTER[[#This Row],[COSTO DE VENTA]]</f>
        <v>1965</v>
      </c>
    </row>
    <row r="6866" spans="1:22" x14ac:dyDescent="0.3">
      <c r="A6866">
        <v>101205</v>
      </c>
      <c r="B6866">
        <v>1</v>
      </c>
      <c r="C6866" t="s">
        <v>111</v>
      </c>
      <c r="D6866" t="s">
        <v>112</v>
      </c>
      <c r="E6866" s="1">
        <v>43923</v>
      </c>
      <c r="F6866">
        <v>1</v>
      </c>
      <c r="G6866" t="s">
        <v>39</v>
      </c>
      <c r="H6866" t="s">
        <v>40</v>
      </c>
      <c r="I6866" s="4">
        <v>2107</v>
      </c>
      <c r="J6866" s="3">
        <v>2107</v>
      </c>
      <c r="K6866" s="4">
        <v>434</v>
      </c>
      <c r="L6866" t="s">
        <v>113</v>
      </c>
      <c r="M6866">
        <v>19</v>
      </c>
      <c r="N6866" t="s">
        <v>150</v>
      </c>
      <c r="O6866" t="s">
        <v>81</v>
      </c>
      <c r="P6866" t="s">
        <v>136</v>
      </c>
      <c r="Q6866" t="s">
        <v>140</v>
      </c>
      <c r="R6866" t="s">
        <v>141</v>
      </c>
      <c r="S6866" t="s">
        <v>145</v>
      </c>
      <c r="T6866" s="2">
        <f>MASTER[[#This Row],[CANTIDAD]]*MASTER[[#This Row],[PRECIO DE VENTA]]</f>
        <v>2107</v>
      </c>
      <c r="U6866" s="2">
        <f>MASTER[[#This Row],[CANTIDAD]]*MASTER[[#This Row],[COSTO UNITARIO]]</f>
        <v>434</v>
      </c>
      <c r="V6866" s="2">
        <f>MASTER[[#This Row],[MONTO VENDIDO]]-MASTER[[#This Row],[COSTO DE VENTA]]</f>
        <v>1673</v>
      </c>
    </row>
    <row r="6867" spans="1:22" x14ac:dyDescent="0.3">
      <c r="A6867">
        <v>101207</v>
      </c>
      <c r="B6867">
        <v>1</v>
      </c>
      <c r="C6867" t="s">
        <v>103</v>
      </c>
      <c r="D6867" t="s">
        <v>104</v>
      </c>
      <c r="E6867" s="1">
        <v>43924</v>
      </c>
      <c r="F6867">
        <v>1</v>
      </c>
      <c r="G6867" t="s">
        <v>53</v>
      </c>
      <c r="H6867" t="s">
        <v>54</v>
      </c>
      <c r="I6867" s="4">
        <v>2379</v>
      </c>
      <c r="J6867" s="3">
        <v>2379</v>
      </c>
      <c r="K6867" s="4">
        <v>421</v>
      </c>
      <c r="L6867" t="s">
        <v>98</v>
      </c>
      <c r="M6867">
        <v>19</v>
      </c>
      <c r="N6867" t="s">
        <v>150</v>
      </c>
      <c r="O6867" t="s">
        <v>81</v>
      </c>
      <c r="P6867" t="s">
        <v>136</v>
      </c>
      <c r="Q6867" t="s">
        <v>140</v>
      </c>
      <c r="R6867" t="s">
        <v>141</v>
      </c>
      <c r="S6867" t="s">
        <v>145</v>
      </c>
      <c r="T6867" s="2">
        <f>MASTER[[#This Row],[CANTIDAD]]*MASTER[[#This Row],[PRECIO DE VENTA]]</f>
        <v>2379</v>
      </c>
      <c r="U6867" s="2">
        <f>MASTER[[#This Row],[CANTIDAD]]*MASTER[[#This Row],[COSTO UNITARIO]]</f>
        <v>421</v>
      </c>
      <c r="V6867" s="2">
        <f>MASTER[[#This Row],[MONTO VENDIDO]]-MASTER[[#This Row],[COSTO DE VENTA]]</f>
        <v>1958</v>
      </c>
    </row>
    <row r="6868" spans="1:22" x14ac:dyDescent="0.3">
      <c r="A6868">
        <v>101219</v>
      </c>
      <c r="B6868">
        <v>1</v>
      </c>
      <c r="C6868" t="s">
        <v>107</v>
      </c>
      <c r="D6868" t="s">
        <v>108</v>
      </c>
      <c r="E6868" s="1">
        <v>43924</v>
      </c>
      <c r="F6868">
        <v>1</v>
      </c>
      <c r="G6868" t="s">
        <v>57</v>
      </c>
      <c r="H6868" t="s">
        <v>58</v>
      </c>
      <c r="I6868" s="4">
        <v>1732</v>
      </c>
      <c r="J6868" s="3">
        <v>1732</v>
      </c>
      <c r="K6868" s="4">
        <v>380</v>
      </c>
      <c r="L6868" t="s">
        <v>98</v>
      </c>
      <c r="M6868">
        <v>17</v>
      </c>
      <c r="N6868" t="str">
        <f>IF(MASTER[[#This Row],[IDLOCAL]]=17,"HYDE PARK", "HARLEM IRVING")</f>
        <v>HYDE PARK</v>
      </c>
      <c r="O6868" t="str">
        <f>IF(MASTER[[#This Row],[IDLOCAL]]=17,"PREMIUM", "ESTÁNDAR")</f>
        <v>PREMIUM</v>
      </c>
      <c r="P6868" t="s">
        <v>137</v>
      </c>
      <c r="Q6868" t="s">
        <v>142</v>
      </c>
      <c r="R6868" t="s">
        <v>143</v>
      </c>
      <c r="S6868" t="s">
        <v>145</v>
      </c>
      <c r="T6868" s="2">
        <f>MASTER[[#This Row],[CANTIDAD]]*MASTER[[#This Row],[PRECIO DE VENTA]]</f>
        <v>1732</v>
      </c>
      <c r="U6868" s="2">
        <f>MASTER[[#This Row],[CANTIDAD]]*MASTER[[#This Row],[COSTO UNITARIO]]</f>
        <v>380</v>
      </c>
      <c r="V6868" s="2">
        <f>MASTER[[#This Row],[MONTO VENDIDO]]-MASTER[[#This Row],[COSTO DE VENTA]]</f>
        <v>1352</v>
      </c>
    </row>
    <row r="6869" spans="1:22" x14ac:dyDescent="0.3">
      <c r="A6869">
        <v>101235</v>
      </c>
      <c r="B6869">
        <v>1</v>
      </c>
      <c r="C6869" t="s">
        <v>111</v>
      </c>
      <c r="D6869" t="s">
        <v>112</v>
      </c>
      <c r="E6869" s="1">
        <v>43924</v>
      </c>
      <c r="F6869">
        <v>1</v>
      </c>
      <c r="G6869" t="s">
        <v>63</v>
      </c>
      <c r="H6869" t="s">
        <v>64</v>
      </c>
      <c r="I6869" s="4">
        <v>1981</v>
      </c>
      <c r="J6869" s="3">
        <v>1981</v>
      </c>
      <c r="K6869" s="4">
        <v>434</v>
      </c>
      <c r="L6869" t="s">
        <v>113</v>
      </c>
      <c r="M6869">
        <v>17</v>
      </c>
      <c r="N6869" t="str">
        <f>IF(MASTER[[#This Row],[IDLOCAL]]=17,"HYDE PARK", "HARLEM IRVING")</f>
        <v>HYDE PARK</v>
      </c>
      <c r="O6869" t="str">
        <f>IF(MASTER[[#This Row],[IDLOCAL]]=17,"PREMIUM", "ESTÁNDAR")</f>
        <v>PREMIUM</v>
      </c>
      <c r="P6869" t="s">
        <v>137</v>
      </c>
      <c r="Q6869" t="s">
        <v>142</v>
      </c>
      <c r="R6869" t="s">
        <v>143</v>
      </c>
      <c r="S6869" t="s">
        <v>145</v>
      </c>
      <c r="T6869" s="2">
        <f>MASTER[[#This Row],[CANTIDAD]]*MASTER[[#This Row],[PRECIO DE VENTA]]</f>
        <v>1981</v>
      </c>
      <c r="U6869" s="2">
        <f>MASTER[[#This Row],[CANTIDAD]]*MASTER[[#This Row],[COSTO UNITARIO]]</f>
        <v>434</v>
      </c>
      <c r="V6869" s="2">
        <f>MASTER[[#This Row],[MONTO VENDIDO]]-MASTER[[#This Row],[COSTO DE VENTA]]</f>
        <v>1547</v>
      </c>
    </row>
    <row r="6870" spans="1:22" x14ac:dyDescent="0.3">
      <c r="A6870">
        <v>101253</v>
      </c>
      <c r="B6870">
        <v>1</v>
      </c>
      <c r="C6870" t="s">
        <v>111</v>
      </c>
      <c r="D6870" t="s">
        <v>112</v>
      </c>
      <c r="E6870" s="1">
        <v>43924</v>
      </c>
      <c r="F6870">
        <v>1</v>
      </c>
      <c r="G6870" t="s">
        <v>59</v>
      </c>
      <c r="H6870" t="s">
        <v>60</v>
      </c>
      <c r="I6870" s="4">
        <v>2338</v>
      </c>
      <c r="J6870" s="3">
        <v>2338</v>
      </c>
      <c r="K6870" s="4">
        <v>434</v>
      </c>
      <c r="L6870" t="s">
        <v>113</v>
      </c>
      <c r="M6870">
        <v>18</v>
      </c>
      <c r="N6870" t="str">
        <f>IF(MASTER[[#This Row],[IDLOCAL]]=17,"HYDE PARK", "HARLEM IRVING")</f>
        <v>HARLEM IRVING</v>
      </c>
      <c r="O6870" t="str">
        <f>IF(MASTER[[#This Row],[IDLOCAL]]=17,"PREMIUM", "ESTÁNDAR")</f>
        <v>ESTÁNDAR</v>
      </c>
      <c r="P6870" t="s">
        <v>137</v>
      </c>
      <c r="Q6870" t="s">
        <v>142</v>
      </c>
      <c r="R6870" t="s">
        <v>143</v>
      </c>
      <c r="S6870" t="s">
        <v>145</v>
      </c>
      <c r="T6870" s="2">
        <f>MASTER[[#This Row],[CANTIDAD]]*MASTER[[#This Row],[PRECIO DE VENTA]]</f>
        <v>2338</v>
      </c>
      <c r="U6870" s="2">
        <f>MASTER[[#This Row],[CANTIDAD]]*MASTER[[#This Row],[COSTO UNITARIO]]</f>
        <v>434</v>
      </c>
      <c r="V6870" s="2">
        <f>MASTER[[#This Row],[MONTO VENDIDO]]-MASTER[[#This Row],[COSTO DE VENTA]]</f>
        <v>1904</v>
      </c>
    </row>
    <row r="6871" spans="1:22" x14ac:dyDescent="0.3">
      <c r="A6871">
        <v>101255</v>
      </c>
      <c r="B6871">
        <v>1</v>
      </c>
      <c r="C6871" t="s">
        <v>114</v>
      </c>
      <c r="D6871" t="s">
        <v>115</v>
      </c>
      <c r="E6871" s="1">
        <v>43924</v>
      </c>
      <c r="F6871">
        <v>1</v>
      </c>
      <c r="G6871" t="s">
        <v>61</v>
      </c>
      <c r="H6871" t="s">
        <v>62</v>
      </c>
      <c r="I6871" s="4">
        <v>2420</v>
      </c>
      <c r="J6871" s="3">
        <v>2420</v>
      </c>
      <c r="K6871" s="4">
        <v>394</v>
      </c>
      <c r="L6871" t="s">
        <v>113</v>
      </c>
      <c r="M6871">
        <v>19</v>
      </c>
      <c r="N6871" t="s">
        <v>150</v>
      </c>
      <c r="O6871" t="s">
        <v>81</v>
      </c>
      <c r="P6871" t="s">
        <v>136</v>
      </c>
      <c r="Q6871" t="s">
        <v>140</v>
      </c>
      <c r="R6871" t="s">
        <v>141</v>
      </c>
      <c r="S6871" t="s">
        <v>145</v>
      </c>
      <c r="T6871" s="2">
        <f>MASTER[[#This Row],[CANTIDAD]]*MASTER[[#This Row],[PRECIO DE VENTA]]</f>
        <v>2420</v>
      </c>
      <c r="U6871" s="2">
        <f>MASTER[[#This Row],[CANTIDAD]]*MASTER[[#This Row],[COSTO UNITARIO]]</f>
        <v>394</v>
      </c>
      <c r="V6871" s="2">
        <f>MASTER[[#This Row],[MONTO VENDIDO]]-MASTER[[#This Row],[COSTO DE VENTA]]</f>
        <v>2026</v>
      </c>
    </row>
    <row r="6872" spans="1:22" x14ac:dyDescent="0.3">
      <c r="A6872">
        <v>101262</v>
      </c>
      <c r="B6872">
        <v>1</v>
      </c>
      <c r="C6872" t="s">
        <v>107</v>
      </c>
      <c r="D6872" t="s">
        <v>108</v>
      </c>
      <c r="E6872" s="1">
        <v>43925</v>
      </c>
      <c r="F6872">
        <v>1</v>
      </c>
      <c r="G6872" t="s">
        <v>22</v>
      </c>
      <c r="H6872" t="s">
        <v>23</v>
      </c>
      <c r="I6872" s="4">
        <v>1612</v>
      </c>
      <c r="J6872" s="3">
        <v>1612</v>
      </c>
      <c r="K6872" s="4">
        <v>380</v>
      </c>
      <c r="L6872" t="s">
        <v>98</v>
      </c>
      <c r="M6872">
        <v>19</v>
      </c>
      <c r="N6872" t="s">
        <v>150</v>
      </c>
      <c r="O6872" t="s">
        <v>81</v>
      </c>
      <c r="P6872" t="s">
        <v>136</v>
      </c>
      <c r="Q6872" t="s">
        <v>140</v>
      </c>
      <c r="R6872" t="s">
        <v>141</v>
      </c>
      <c r="S6872" t="s">
        <v>145</v>
      </c>
      <c r="T6872" s="2">
        <f>MASTER[[#This Row],[CANTIDAD]]*MASTER[[#This Row],[PRECIO DE VENTA]]</f>
        <v>1612</v>
      </c>
      <c r="U6872" s="2">
        <f>MASTER[[#This Row],[CANTIDAD]]*MASTER[[#This Row],[COSTO UNITARIO]]</f>
        <v>380</v>
      </c>
      <c r="V6872" s="2">
        <f>MASTER[[#This Row],[MONTO VENDIDO]]-MASTER[[#This Row],[COSTO DE VENTA]]</f>
        <v>1232</v>
      </c>
    </row>
    <row r="6873" spans="1:22" x14ac:dyDescent="0.3">
      <c r="A6873">
        <v>101273</v>
      </c>
      <c r="B6873">
        <v>1</v>
      </c>
      <c r="C6873" t="s">
        <v>109</v>
      </c>
      <c r="D6873" t="s">
        <v>110</v>
      </c>
      <c r="E6873" s="1">
        <v>43925</v>
      </c>
      <c r="F6873">
        <v>1</v>
      </c>
      <c r="G6873" t="s">
        <v>73</v>
      </c>
      <c r="H6873" t="s">
        <v>74</v>
      </c>
      <c r="I6873" s="4">
        <v>1383</v>
      </c>
      <c r="J6873" s="3">
        <v>1383</v>
      </c>
      <c r="K6873" s="4">
        <v>387</v>
      </c>
      <c r="L6873" t="s">
        <v>98</v>
      </c>
      <c r="M6873">
        <v>18</v>
      </c>
      <c r="N6873" t="str">
        <f>IF(MASTER[[#This Row],[IDLOCAL]]=17,"HYDE PARK", "HARLEM IRVING")</f>
        <v>HARLEM IRVING</v>
      </c>
      <c r="O6873" t="str">
        <f>IF(MASTER[[#This Row],[IDLOCAL]]=17,"PREMIUM", "ESTÁNDAR")</f>
        <v>ESTÁNDAR</v>
      </c>
      <c r="P6873" t="s">
        <v>137</v>
      </c>
      <c r="Q6873" t="s">
        <v>142</v>
      </c>
      <c r="R6873" t="s">
        <v>143</v>
      </c>
      <c r="S6873" t="s">
        <v>145</v>
      </c>
      <c r="T6873" s="2">
        <f>MASTER[[#This Row],[CANTIDAD]]*MASTER[[#This Row],[PRECIO DE VENTA]]</f>
        <v>1383</v>
      </c>
      <c r="U6873" s="2">
        <f>MASTER[[#This Row],[CANTIDAD]]*MASTER[[#This Row],[COSTO UNITARIO]]</f>
        <v>387</v>
      </c>
      <c r="V6873" s="2">
        <f>MASTER[[#This Row],[MONTO VENDIDO]]-MASTER[[#This Row],[COSTO DE VENTA]]</f>
        <v>996</v>
      </c>
    </row>
    <row r="6874" spans="1:22" x14ac:dyDescent="0.3">
      <c r="A6874">
        <v>101276</v>
      </c>
      <c r="B6874">
        <v>1</v>
      </c>
      <c r="C6874" t="s">
        <v>114</v>
      </c>
      <c r="D6874" t="s">
        <v>115</v>
      </c>
      <c r="E6874" s="1">
        <v>43925</v>
      </c>
      <c r="F6874">
        <v>1</v>
      </c>
      <c r="G6874" t="s">
        <v>51</v>
      </c>
      <c r="H6874" t="s">
        <v>52</v>
      </c>
      <c r="I6874" s="4">
        <v>2639</v>
      </c>
      <c r="J6874" s="3">
        <v>2639</v>
      </c>
      <c r="K6874" s="4">
        <v>394</v>
      </c>
      <c r="L6874" t="s">
        <v>113</v>
      </c>
      <c r="M6874">
        <v>17</v>
      </c>
      <c r="N6874" t="str">
        <f>IF(MASTER[[#This Row],[IDLOCAL]]=17,"HYDE PARK", "HARLEM IRVING")</f>
        <v>HYDE PARK</v>
      </c>
      <c r="O6874" t="str">
        <f>IF(MASTER[[#This Row],[IDLOCAL]]=17,"PREMIUM", "ESTÁNDAR")</f>
        <v>PREMIUM</v>
      </c>
      <c r="P6874" t="s">
        <v>137</v>
      </c>
      <c r="Q6874" t="s">
        <v>142</v>
      </c>
      <c r="R6874" t="s">
        <v>143</v>
      </c>
      <c r="S6874" t="s">
        <v>145</v>
      </c>
      <c r="T6874" s="2">
        <f>MASTER[[#This Row],[CANTIDAD]]*MASTER[[#This Row],[PRECIO DE VENTA]]</f>
        <v>2639</v>
      </c>
      <c r="U6874" s="2">
        <f>MASTER[[#This Row],[CANTIDAD]]*MASTER[[#This Row],[COSTO UNITARIO]]</f>
        <v>394</v>
      </c>
      <c r="V6874" s="2">
        <f>MASTER[[#This Row],[MONTO VENDIDO]]-MASTER[[#This Row],[COSTO DE VENTA]]</f>
        <v>2245</v>
      </c>
    </row>
    <row r="6875" spans="1:22" x14ac:dyDescent="0.3">
      <c r="A6875">
        <v>101296</v>
      </c>
      <c r="B6875">
        <v>1</v>
      </c>
      <c r="C6875" t="s">
        <v>116</v>
      </c>
      <c r="D6875" t="s">
        <v>117</v>
      </c>
      <c r="E6875" s="1">
        <v>43926</v>
      </c>
      <c r="F6875">
        <v>1</v>
      </c>
      <c r="G6875" t="s">
        <v>59</v>
      </c>
      <c r="H6875" t="s">
        <v>60</v>
      </c>
      <c r="I6875" s="4">
        <v>2259</v>
      </c>
      <c r="J6875" s="3">
        <v>2146</v>
      </c>
      <c r="K6875" s="4">
        <v>388</v>
      </c>
      <c r="L6875" t="s">
        <v>113</v>
      </c>
      <c r="M6875">
        <v>19</v>
      </c>
      <c r="N6875" t="s">
        <v>150</v>
      </c>
      <c r="O6875" t="s">
        <v>81</v>
      </c>
      <c r="P6875" t="s">
        <v>136</v>
      </c>
      <c r="Q6875" t="s">
        <v>140</v>
      </c>
      <c r="R6875" t="s">
        <v>141</v>
      </c>
      <c r="S6875" t="s">
        <v>145</v>
      </c>
      <c r="T6875" s="2">
        <f>MASTER[[#This Row],[CANTIDAD]]*MASTER[[#This Row],[PRECIO DE VENTA]]</f>
        <v>2146</v>
      </c>
      <c r="U6875" s="2">
        <f>MASTER[[#This Row],[CANTIDAD]]*MASTER[[#This Row],[COSTO UNITARIO]]</f>
        <v>388</v>
      </c>
      <c r="V6875" s="2">
        <f>MASTER[[#This Row],[MONTO VENDIDO]]-MASTER[[#This Row],[COSTO DE VENTA]]</f>
        <v>1758</v>
      </c>
    </row>
    <row r="6876" spans="1:22" x14ac:dyDescent="0.3">
      <c r="A6876">
        <v>101299</v>
      </c>
      <c r="B6876">
        <v>1</v>
      </c>
      <c r="C6876" t="s">
        <v>94</v>
      </c>
      <c r="D6876" t="s">
        <v>95</v>
      </c>
      <c r="E6876" s="1">
        <v>43927</v>
      </c>
      <c r="F6876">
        <v>1</v>
      </c>
      <c r="G6876" t="s">
        <v>59</v>
      </c>
      <c r="H6876" t="s">
        <v>60</v>
      </c>
      <c r="I6876" s="4">
        <v>1362</v>
      </c>
      <c r="J6876" s="3">
        <v>1362</v>
      </c>
      <c r="K6876" s="4">
        <v>392</v>
      </c>
      <c r="L6876" t="s">
        <v>9</v>
      </c>
      <c r="M6876">
        <v>17</v>
      </c>
      <c r="N6876" t="str">
        <f>IF(MASTER[[#This Row],[IDLOCAL]]=17,"HYDE PARK", "HARLEM IRVING")</f>
        <v>HYDE PARK</v>
      </c>
      <c r="O6876" t="str">
        <f>IF(MASTER[[#This Row],[IDLOCAL]]=17,"PREMIUM", "ESTÁNDAR")</f>
        <v>PREMIUM</v>
      </c>
      <c r="P6876" t="s">
        <v>137</v>
      </c>
      <c r="Q6876" t="s">
        <v>142</v>
      </c>
      <c r="R6876" t="s">
        <v>143</v>
      </c>
      <c r="S6876" t="s">
        <v>145</v>
      </c>
      <c r="T6876" s="2">
        <f>MASTER[[#This Row],[CANTIDAD]]*MASTER[[#This Row],[PRECIO DE VENTA]]</f>
        <v>1362</v>
      </c>
      <c r="U6876" s="2">
        <f>MASTER[[#This Row],[CANTIDAD]]*MASTER[[#This Row],[COSTO UNITARIO]]</f>
        <v>392</v>
      </c>
      <c r="V6876" s="2">
        <f>MASTER[[#This Row],[MONTO VENDIDO]]-MASTER[[#This Row],[COSTO DE VENTA]]</f>
        <v>970</v>
      </c>
    </row>
    <row r="6877" spans="1:22" x14ac:dyDescent="0.3">
      <c r="A6877">
        <v>101307</v>
      </c>
      <c r="B6877">
        <v>1</v>
      </c>
      <c r="C6877" t="s">
        <v>96</v>
      </c>
      <c r="D6877" t="s">
        <v>97</v>
      </c>
      <c r="E6877" s="1">
        <v>43927</v>
      </c>
      <c r="F6877">
        <v>1</v>
      </c>
      <c r="G6877" t="s">
        <v>73</v>
      </c>
      <c r="H6877" t="s">
        <v>74</v>
      </c>
      <c r="I6877" s="4">
        <v>1653</v>
      </c>
      <c r="J6877" s="3">
        <v>1653</v>
      </c>
      <c r="K6877" s="4">
        <v>397</v>
      </c>
      <c r="L6877" t="s">
        <v>98</v>
      </c>
      <c r="M6877">
        <v>17</v>
      </c>
      <c r="N6877" t="str">
        <f>IF(MASTER[[#This Row],[IDLOCAL]]=17,"HYDE PARK", "HARLEM IRVING")</f>
        <v>HYDE PARK</v>
      </c>
      <c r="O6877" t="str">
        <f>IF(MASTER[[#This Row],[IDLOCAL]]=17,"PREMIUM", "ESTÁNDAR")</f>
        <v>PREMIUM</v>
      </c>
      <c r="P6877" t="s">
        <v>137</v>
      </c>
      <c r="Q6877" t="s">
        <v>142</v>
      </c>
      <c r="R6877" t="s">
        <v>143</v>
      </c>
      <c r="S6877" t="s">
        <v>145</v>
      </c>
      <c r="T6877" s="2">
        <f>MASTER[[#This Row],[CANTIDAD]]*MASTER[[#This Row],[PRECIO DE VENTA]]</f>
        <v>1653</v>
      </c>
      <c r="U6877" s="2">
        <f>MASTER[[#This Row],[CANTIDAD]]*MASTER[[#This Row],[COSTO UNITARIO]]</f>
        <v>397</v>
      </c>
      <c r="V6877" s="2">
        <f>MASTER[[#This Row],[MONTO VENDIDO]]-MASTER[[#This Row],[COSTO DE VENTA]]</f>
        <v>1256</v>
      </c>
    </row>
    <row r="6878" spans="1:22" x14ac:dyDescent="0.3">
      <c r="A6878">
        <v>101308</v>
      </c>
      <c r="B6878">
        <v>1</v>
      </c>
      <c r="C6878" t="s">
        <v>99</v>
      </c>
      <c r="D6878" t="s">
        <v>100</v>
      </c>
      <c r="E6878" s="1">
        <v>43927</v>
      </c>
      <c r="F6878">
        <v>1</v>
      </c>
      <c r="G6878" t="s">
        <v>57</v>
      </c>
      <c r="H6878" t="s">
        <v>58</v>
      </c>
      <c r="I6878" s="4">
        <v>1896</v>
      </c>
      <c r="J6878" s="3">
        <v>1896</v>
      </c>
      <c r="K6878" s="4">
        <v>386</v>
      </c>
      <c r="L6878" t="s">
        <v>98</v>
      </c>
      <c r="M6878">
        <v>19</v>
      </c>
      <c r="N6878" t="s">
        <v>150</v>
      </c>
      <c r="O6878" t="s">
        <v>81</v>
      </c>
      <c r="P6878" t="s">
        <v>136</v>
      </c>
      <c r="Q6878" t="s">
        <v>140</v>
      </c>
      <c r="R6878" t="s">
        <v>141</v>
      </c>
      <c r="S6878" t="s">
        <v>145</v>
      </c>
      <c r="T6878" s="2">
        <f>MASTER[[#This Row],[CANTIDAD]]*MASTER[[#This Row],[PRECIO DE VENTA]]</f>
        <v>1896</v>
      </c>
      <c r="U6878" s="2">
        <f>MASTER[[#This Row],[CANTIDAD]]*MASTER[[#This Row],[COSTO UNITARIO]]</f>
        <v>386</v>
      </c>
      <c r="V6878" s="2">
        <f>MASTER[[#This Row],[MONTO VENDIDO]]-MASTER[[#This Row],[COSTO DE VENTA]]</f>
        <v>1510</v>
      </c>
    </row>
    <row r="6879" spans="1:22" x14ac:dyDescent="0.3">
      <c r="A6879">
        <v>101315</v>
      </c>
      <c r="B6879">
        <v>1</v>
      </c>
      <c r="C6879" t="s">
        <v>105</v>
      </c>
      <c r="D6879" t="s">
        <v>106</v>
      </c>
      <c r="E6879" s="1">
        <v>43928</v>
      </c>
      <c r="F6879">
        <v>1</v>
      </c>
      <c r="G6879" t="s">
        <v>7</v>
      </c>
      <c r="H6879" t="s">
        <v>8</v>
      </c>
      <c r="I6879" s="4">
        <v>2642</v>
      </c>
      <c r="J6879" s="3">
        <v>2642</v>
      </c>
      <c r="K6879" s="4">
        <v>459</v>
      </c>
      <c r="L6879" t="s">
        <v>98</v>
      </c>
      <c r="M6879">
        <v>19</v>
      </c>
      <c r="N6879" t="s">
        <v>150</v>
      </c>
      <c r="O6879" t="s">
        <v>81</v>
      </c>
      <c r="P6879" t="s">
        <v>136</v>
      </c>
      <c r="Q6879" t="s">
        <v>140</v>
      </c>
      <c r="R6879" t="s">
        <v>141</v>
      </c>
      <c r="S6879" t="s">
        <v>145</v>
      </c>
      <c r="T6879" s="2">
        <f>MASTER[[#This Row],[CANTIDAD]]*MASTER[[#This Row],[PRECIO DE VENTA]]</f>
        <v>2642</v>
      </c>
      <c r="U6879" s="2">
        <f>MASTER[[#This Row],[CANTIDAD]]*MASTER[[#This Row],[COSTO UNITARIO]]</f>
        <v>459</v>
      </c>
      <c r="V6879" s="2">
        <f>MASTER[[#This Row],[MONTO VENDIDO]]-MASTER[[#This Row],[COSTO DE VENTA]]</f>
        <v>2183</v>
      </c>
    </row>
    <row r="6880" spans="1:22" x14ac:dyDescent="0.3">
      <c r="A6880">
        <v>101331</v>
      </c>
      <c r="B6880">
        <v>1</v>
      </c>
      <c r="C6880" t="s">
        <v>121</v>
      </c>
      <c r="D6880" t="s">
        <v>122</v>
      </c>
      <c r="E6880" s="1">
        <v>43928</v>
      </c>
      <c r="F6880">
        <v>1</v>
      </c>
      <c r="G6880" t="s">
        <v>7</v>
      </c>
      <c r="H6880" t="s">
        <v>8</v>
      </c>
      <c r="I6880" s="4">
        <v>1389</v>
      </c>
      <c r="J6880" s="3">
        <v>1389</v>
      </c>
      <c r="K6880" s="4">
        <v>460</v>
      </c>
      <c r="L6880" t="s">
        <v>120</v>
      </c>
      <c r="M6880">
        <v>18</v>
      </c>
      <c r="N6880" t="str">
        <f>IF(MASTER[[#This Row],[IDLOCAL]]=17,"HYDE PARK", "HARLEM IRVING")</f>
        <v>HARLEM IRVING</v>
      </c>
      <c r="O6880" t="str">
        <f>IF(MASTER[[#This Row],[IDLOCAL]]=17,"PREMIUM", "ESTÁNDAR")</f>
        <v>ESTÁNDAR</v>
      </c>
      <c r="P6880" t="s">
        <v>137</v>
      </c>
      <c r="Q6880" t="s">
        <v>142</v>
      </c>
      <c r="R6880" t="s">
        <v>143</v>
      </c>
      <c r="S6880" t="s">
        <v>145</v>
      </c>
      <c r="T6880" s="2">
        <f>MASTER[[#This Row],[CANTIDAD]]*MASTER[[#This Row],[PRECIO DE VENTA]]</f>
        <v>1389</v>
      </c>
      <c r="U6880" s="2">
        <f>MASTER[[#This Row],[CANTIDAD]]*MASTER[[#This Row],[COSTO UNITARIO]]</f>
        <v>460</v>
      </c>
      <c r="V6880" s="2">
        <f>MASTER[[#This Row],[MONTO VENDIDO]]-MASTER[[#This Row],[COSTO DE VENTA]]</f>
        <v>929</v>
      </c>
    </row>
    <row r="6881" spans="1:22" x14ac:dyDescent="0.3">
      <c r="A6881">
        <v>101344</v>
      </c>
      <c r="B6881">
        <v>1</v>
      </c>
      <c r="C6881" t="s">
        <v>96</v>
      </c>
      <c r="D6881" t="s">
        <v>97</v>
      </c>
      <c r="E6881" s="1">
        <v>43929</v>
      </c>
      <c r="F6881">
        <v>1</v>
      </c>
      <c r="G6881" t="s">
        <v>61</v>
      </c>
      <c r="H6881" t="s">
        <v>62</v>
      </c>
      <c r="I6881" s="4">
        <v>1769</v>
      </c>
      <c r="J6881" s="3">
        <v>1769</v>
      </c>
      <c r="K6881" s="4">
        <v>397</v>
      </c>
      <c r="L6881" t="s">
        <v>98</v>
      </c>
      <c r="M6881">
        <v>19</v>
      </c>
      <c r="N6881" t="s">
        <v>150</v>
      </c>
      <c r="O6881" t="s">
        <v>81</v>
      </c>
      <c r="P6881" t="s">
        <v>136</v>
      </c>
      <c r="Q6881" t="s">
        <v>140</v>
      </c>
      <c r="R6881" t="s">
        <v>141</v>
      </c>
      <c r="S6881" t="s">
        <v>145</v>
      </c>
      <c r="T6881" s="2">
        <f>MASTER[[#This Row],[CANTIDAD]]*MASTER[[#This Row],[PRECIO DE VENTA]]</f>
        <v>1769</v>
      </c>
      <c r="U6881" s="2">
        <f>MASTER[[#This Row],[CANTIDAD]]*MASTER[[#This Row],[COSTO UNITARIO]]</f>
        <v>397</v>
      </c>
      <c r="V6881" s="2">
        <f>MASTER[[#This Row],[MONTO VENDIDO]]-MASTER[[#This Row],[COSTO DE VENTA]]</f>
        <v>1372</v>
      </c>
    </row>
    <row r="6882" spans="1:22" x14ac:dyDescent="0.3">
      <c r="A6882">
        <v>101364</v>
      </c>
      <c r="B6882">
        <v>1</v>
      </c>
      <c r="C6882" t="s">
        <v>90</v>
      </c>
      <c r="D6882" t="s">
        <v>91</v>
      </c>
      <c r="E6882" s="1">
        <v>43930</v>
      </c>
      <c r="F6882">
        <v>1</v>
      </c>
      <c r="G6882" t="s">
        <v>51</v>
      </c>
      <c r="H6882" t="s">
        <v>52</v>
      </c>
      <c r="I6882" s="4">
        <v>2397</v>
      </c>
      <c r="J6882" s="3">
        <v>2397</v>
      </c>
      <c r="K6882" s="4">
        <v>420</v>
      </c>
      <c r="L6882" t="s">
        <v>9</v>
      </c>
      <c r="M6882">
        <v>18</v>
      </c>
      <c r="N6882" t="str">
        <f>IF(MASTER[[#This Row],[IDLOCAL]]=17,"HYDE PARK", "HARLEM IRVING")</f>
        <v>HARLEM IRVING</v>
      </c>
      <c r="O6882" t="str">
        <f>IF(MASTER[[#This Row],[IDLOCAL]]=17,"PREMIUM", "ESTÁNDAR")</f>
        <v>ESTÁNDAR</v>
      </c>
      <c r="P6882" t="s">
        <v>137</v>
      </c>
      <c r="Q6882" t="s">
        <v>142</v>
      </c>
      <c r="R6882" t="s">
        <v>143</v>
      </c>
      <c r="S6882" t="s">
        <v>145</v>
      </c>
      <c r="T6882" s="2">
        <f>MASTER[[#This Row],[CANTIDAD]]*MASTER[[#This Row],[PRECIO DE VENTA]]</f>
        <v>2397</v>
      </c>
      <c r="U6882" s="2">
        <f>MASTER[[#This Row],[CANTIDAD]]*MASTER[[#This Row],[COSTO UNITARIO]]</f>
        <v>420</v>
      </c>
      <c r="V6882" s="2">
        <f>MASTER[[#This Row],[MONTO VENDIDO]]-MASTER[[#This Row],[COSTO DE VENTA]]</f>
        <v>1977</v>
      </c>
    </row>
    <row r="6883" spans="1:22" x14ac:dyDescent="0.3">
      <c r="A6883">
        <v>101365</v>
      </c>
      <c r="B6883">
        <v>1</v>
      </c>
      <c r="C6883" t="s">
        <v>94</v>
      </c>
      <c r="D6883" t="s">
        <v>95</v>
      </c>
      <c r="E6883" s="1">
        <v>43932</v>
      </c>
      <c r="F6883">
        <v>1</v>
      </c>
      <c r="G6883" t="s">
        <v>63</v>
      </c>
      <c r="H6883" t="s">
        <v>64</v>
      </c>
      <c r="I6883" s="4">
        <v>1498</v>
      </c>
      <c r="J6883" s="3">
        <v>1423</v>
      </c>
      <c r="K6883" s="4">
        <v>392</v>
      </c>
      <c r="L6883" t="s">
        <v>9</v>
      </c>
      <c r="M6883">
        <v>17</v>
      </c>
      <c r="N6883" t="str">
        <f>IF(MASTER[[#This Row],[IDLOCAL]]=17,"HYDE PARK", "HARLEM IRVING")</f>
        <v>HYDE PARK</v>
      </c>
      <c r="O6883" t="str">
        <f>IF(MASTER[[#This Row],[IDLOCAL]]=17,"PREMIUM", "ESTÁNDAR")</f>
        <v>PREMIUM</v>
      </c>
      <c r="P6883" t="s">
        <v>137</v>
      </c>
      <c r="Q6883" t="s">
        <v>142</v>
      </c>
      <c r="R6883" t="s">
        <v>143</v>
      </c>
      <c r="S6883" t="s">
        <v>145</v>
      </c>
      <c r="T6883" s="2">
        <f>MASTER[[#This Row],[CANTIDAD]]*MASTER[[#This Row],[PRECIO DE VENTA]]</f>
        <v>1423</v>
      </c>
      <c r="U6883" s="2">
        <f>MASTER[[#This Row],[CANTIDAD]]*MASTER[[#This Row],[COSTO UNITARIO]]</f>
        <v>392</v>
      </c>
      <c r="V6883" s="2">
        <f>MASTER[[#This Row],[MONTO VENDIDO]]-MASTER[[#This Row],[COSTO DE VENTA]]</f>
        <v>1031</v>
      </c>
    </row>
    <row r="6884" spans="1:22" x14ac:dyDescent="0.3">
      <c r="A6884">
        <v>101406</v>
      </c>
      <c r="B6884">
        <v>1</v>
      </c>
      <c r="C6884" t="s">
        <v>105</v>
      </c>
      <c r="D6884" t="s">
        <v>106</v>
      </c>
      <c r="E6884" s="1">
        <v>43933</v>
      </c>
      <c r="F6884">
        <v>1</v>
      </c>
      <c r="G6884" t="s">
        <v>61</v>
      </c>
      <c r="H6884" t="s">
        <v>62</v>
      </c>
      <c r="I6884" s="4">
        <v>2060</v>
      </c>
      <c r="J6884" s="3">
        <v>1874</v>
      </c>
      <c r="K6884" s="4">
        <v>459</v>
      </c>
      <c r="L6884" t="s">
        <v>98</v>
      </c>
      <c r="M6884">
        <v>19</v>
      </c>
      <c r="N6884" t="s">
        <v>150</v>
      </c>
      <c r="O6884" t="s">
        <v>81</v>
      </c>
      <c r="P6884" t="s">
        <v>136</v>
      </c>
      <c r="Q6884" t="s">
        <v>140</v>
      </c>
      <c r="R6884" t="s">
        <v>141</v>
      </c>
      <c r="S6884" t="s">
        <v>145</v>
      </c>
      <c r="T6884" s="2">
        <f>MASTER[[#This Row],[CANTIDAD]]*MASTER[[#This Row],[PRECIO DE VENTA]]</f>
        <v>1874</v>
      </c>
      <c r="U6884" s="2">
        <f>MASTER[[#This Row],[CANTIDAD]]*MASTER[[#This Row],[COSTO UNITARIO]]</f>
        <v>459</v>
      </c>
      <c r="V6884" s="2">
        <f>MASTER[[#This Row],[MONTO VENDIDO]]-MASTER[[#This Row],[COSTO DE VENTA]]</f>
        <v>1415</v>
      </c>
    </row>
    <row r="6885" spans="1:22" x14ac:dyDescent="0.3">
      <c r="A6885">
        <v>101425</v>
      </c>
      <c r="B6885">
        <v>1</v>
      </c>
      <c r="C6885" t="s">
        <v>118</v>
      </c>
      <c r="D6885" t="s">
        <v>119</v>
      </c>
      <c r="E6885" s="1">
        <v>43933</v>
      </c>
      <c r="F6885">
        <v>1</v>
      </c>
      <c r="G6885" t="s">
        <v>51</v>
      </c>
      <c r="H6885" t="s">
        <v>52</v>
      </c>
      <c r="I6885" s="4">
        <v>1170</v>
      </c>
      <c r="J6885" s="3">
        <v>1170</v>
      </c>
      <c r="K6885" s="4">
        <v>424</v>
      </c>
      <c r="L6885" t="s">
        <v>120</v>
      </c>
      <c r="M6885">
        <v>17</v>
      </c>
      <c r="N6885" t="str">
        <f>IF(MASTER[[#This Row],[IDLOCAL]]=17,"HYDE PARK", "HARLEM IRVING")</f>
        <v>HYDE PARK</v>
      </c>
      <c r="O6885" t="str">
        <f>IF(MASTER[[#This Row],[IDLOCAL]]=17,"PREMIUM", "ESTÁNDAR")</f>
        <v>PREMIUM</v>
      </c>
      <c r="P6885" t="s">
        <v>137</v>
      </c>
      <c r="Q6885" t="s">
        <v>142</v>
      </c>
      <c r="R6885" t="s">
        <v>143</v>
      </c>
      <c r="S6885" t="s">
        <v>145</v>
      </c>
      <c r="T6885" s="2">
        <f>MASTER[[#This Row],[CANTIDAD]]*MASTER[[#This Row],[PRECIO DE VENTA]]</f>
        <v>1170</v>
      </c>
      <c r="U6885" s="2">
        <f>MASTER[[#This Row],[CANTIDAD]]*MASTER[[#This Row],[COSTO UNITARIO]]</f>
        <v>424</v>
      </c>
      <c r="V6885" s="2">
        <f>MASTER[[#This Row],[MONTO VENDIDO]]-MASTER[[#This Row],[COSTO DE VENTA]]</f>
        <v>746</v>
      </c>
    </row>
    <row r="6886" spans="1:22" x14ac:dyDescent="0.3">
      <c r="A6886">
        <v>101430</v>
      </c>
      <c r="B6886">
        <v>1</v>
      </c>
      <c r="C6886" t="s">
        <v>99</v>
      </c>
      <c r="D6886" t="s">
        <v>100</v>
      </c>
      <c r="E6886" s="1">
        <v>43934</v>
      </c>
      <c r="F6886">
        <v>1</v>
      </c>
      <c r="G6886" t="s">
        <v>24</v>
      </c>
      <c r="H6886" t="s">
        <v>25</v>
      </c>
      <c r="I6886" s="4">
        <v>2181</v>
      </c>
      <c r="J6886" s="3">
        <v>2181</v>
      </c>
      <c r="K6886" s="4">
        <v>386</v>
      </c>
      <c r="L6886" t="s">
        <v>98</v>
      </c>
      <c r="M6886">
        <v>19</v>
      </c>
      <c r="N6886" t="s">
        <v>150</v>
      </c>
      <c r="O6886" t="s">
        <v>81</v>
      </c>
      <c r="P6886" t="s">
        <v>136</v>
      </c>
      <c r="Q6886" t="s">
        <v>140</v>
      </c>
      <c r="R6886" t="s">
        <v>141</v>
      </c>
      <c r="S6886" t="s">
        <v>145</v>
      </c>
      <c r="T6886" s="2">
        <f>MASTER[[#This Row],[CANTIDAD]]*MASTER[[#This Row],[PRECIO DE VENTA]]</f>
        <v>2181</v>
      </c>
      <c r="U6886" s="2">
        <f>MASTER[[#This Row],[CANTIDAD]]*MASTER[[#This Row],[COSTO UNITARIO]]</f>
        <v>386</v>
      </c>
      <c r="V6886" s="2">
        <f>MASTER[[#This Row],[MONTO VENDIDO]]-MASTER[[#This Row],[COSTO DE VENTA]]</f>
        <v>1795</v>
      </c>
    </row>
    <row r="6887" spans="1:22" x14ac:dyDescent="0.3">
      <c r="A6887">
        <v>101437</v>
      </c>
      <c r="B6887">
        <v>1</v>
      </c>
      <c r="C6887" t="s">
        <v>101</v>
      </c>
      <c r="D6887" t="s">
        <v>102</v>
      </c>
      <c r="E6887" s="1">
        <v>43934</v>
      </c>
      <c r="F6887">
        <v>1</v>
      </c>
      <c r="G6887" t="s">
        <v>29</v>
      </c>
      <c r="H6887" t="s">
        <v>30</v>
      </c>
      <c r="I6887" s="4">
        <v>1575</v>
      </c>
      <c r="J6887" s="3">
        <v>1417</v>
      </c>
      <c r="K6887" s="4">
        <v>442</v>
      </c>
      <c r="L6887" t="s">
        <v>98</v>
      </c>
      <c r="M6887">
        <v>19</v>
      </c>
      <c r="N6887" t="s">
        <v>150</v>
      </c>
      <c r="O6887" t="s">
        <v>81</v>
      </c>
      <c r="P6887" t="s">
        <v>136</v>
      </c>
      <c r="Q6887" t="s">
        <v>140</v>
      </c>
      <c r="R6887" t="s">
        <v>141</v>
      </c>
      <c r="S6887" t="s">
        <v>145</v>
      </c>
      <c r="T6887" s="2">
        <f>MASTER[[#This Row],[CANTIDAD]]*MASTER[[#This Row],[PRECIO DE VENTA]]</f>
        <v>1417</v>
      </c>
      <c r="U6887" s="2">
        <f>MASTER[[#This Row],[CANTIDAD]]*MASTER[[#This Row],[COSTO UNITARIO]]</f>
        <v>442</v>
      </c>
      <c r="V6887" s="2">
        <f>MASTER[[#This Row],[MONTO VENDIDO]]-MASTER[[#This Row],[COSTO DE VENTA]]</f>
        <v>975</v>
      </c>
    </row>
    <row r="6888" spans="1:22" x14ac:dyDescent="0.3">
      <c r="A6888">
        <v>101442</v>
      </c>
      <c r="B6888">
        <v>1</v>
      </c>
      <c r="C6888" t="s">
        <v>116</v>
      </c>
      <c r="D6888" t="s">
        <v>117</v>
      </c>
      <c r="E6888" s="1">
        <v>43934</v>
      </c>
      <c r="F6888">
        <v>1</v>
      </c>
      <c r="G6888" t="s">
        <v>20</v>
      </c>
      <c r="H6888" t="s">
        <v>21</v>
      </c>
      <c r="I6888" s="4">
        <v>2598</v>
      </c>
      <c r="J6888" s="3">
        <v>2598</v>
      </c>
      <c r="K6888" s="4">
        <v>388</v>
      </c>
      <c r="L6888" t="s">
        <v>113</v>
      </c>
      <c r="M6888">
        <v>17</v>
      </c>
      <c r="N6888" t="str">
        <f>IF(MASTER[[#This Row],[IDLOCAL]]=17,"HYDE PARK", "HARLEM IRVING")</f>
        <v>HYDE PARK</v>
      </c>
      <c r="O6888" t="str">
        <f>IF(MASTER[[#This Row],[IDLOCAL]]=17,"PREMIUM", "ESTÁNDAR")</f>
        <v>PREMIUM</v>
      </c>
      <c r="P6888" t="s">
        <v>137</v>
      </c>
      <c r="Q6888" t="s">
        <v>142</v>
      </c>
      <c r="R6888" t="s">
        <v>143</v>
      </c>
      <c r="S6888" t="s">
        <v>145</v>
      </c>
      <c r="T6888" s="2">
        <f>MASTER[[#This Row],[CANTIDAD]]*MASTER[[#This Row],[PRECIO DE VENTA]]</f>
        <v>2598</v>
      </c>
      <c r="U6888" s="2">
        <f>MASTER[[#This Row],[CANTIDAD]]*MASTER[[#This Row],[COSTO UNITARIO]]</f>
        <v>388</v>
      </c>
      <c r="V6888" s="2">
        <f>MASTER[[#This Row],[MONTO VENDIDO]]-MASTER[[#This Row],[COSTO DE VENTA]]</f>
        <v>2210</v>
      </c>
    </row>
    <row r="6889" spans="1:22" x14ac:dyDescent="0.3">
      <c r="A6889">
        <v>101457</v>
      </c>
      <c r="B6889">
        <v>1</v>
      </c>
      <c r="C6889" t="s">
        <v>118</v>
      </c>
      <c r="D6889" t="s">
        <v>119</v>
      </c>
      <c r="E6889" s="1">
        <v>43934</v>
      </c>
      <c r="F6889">
        <v>1</v>
      </c>
      <c r="G6889" t="s">
        <v>65</v>
      </c>
      <c r="H6889" t="s">
        <v>66</v>
      </c>
      <c r="I6889" s="4">
        <v>1041</v>
      </c>
      <c r="J6889" s="3">
        <v>1041</v>
      </c>
      <c r="K6889" s="4">
        <v>424</v>
      </c>
      <c r="L6889" t="s">
        <v>120</v>
      </c>
      <c r="M6889">
        <v>19</v>
      </c>
      <c r="N6889" t="s">
        <v>150</v>
      </c>
      <c r="O6889" t="s">
        <v>81</v>
      </c>
      <c r="P6889" t="s">
        <v>136</v>
      </c>
      <c r="Q6889" t="s">
        <v>140</v>
      </c>
      <c r="R6889" t="s">
        <v>141</v>
      </c>
      <c r="S6889" t="s">
        <v>145</v>
      </c>
      <c r="T6889" s="2">
        <f>MASTER[[#This Row],[CANTIDAD]]*MASTER[[#This Row],[PRECIO DE VENTA]]</f>
        <v>1041</v>
      </c>
      <c r="U6889" s="2">
        <f>MASTER[[#This Row],[CANTIDAD]]*MASTER[[#This Row],[COSTO UNITARIO]]</f>
        <v>424</v>
      </c>
      <c r="V6889" s="2">
        <f>MASTER[[#This Row],[MONTO VENDIDO]]-MASTER[[#This Row],[COSTO DE VENTA]]</f>
        <v>617</v>
      </c>
    </row>
    <row r="6890" spans="1:22" x14ac:dyDescent="0.3">
      <c r="A6890">
        <v>101461</v>
      </c>
      <c r="B6890">
        <v>1</v>
      </c>
      <c r="C6890" t="s">
        <v>121</v>
      </c>
      <c r="D6890" t="s">
        <v>122</v>
      </c>
      <c r="E6890" s="1">
        <v>43934</v>
      </c>
      <c r="F6890">
        <v>1</v>
      </c>
      <c r="G6890" t="s">
        <v>51</v>
      </c>
      <c r="H6890" t="s">
        <v>52</v>
      </c>
      <c r="I6890" s="4">
        <v>1487</v>
      </c>
      <c r="J6890" s="3">
        <v>1487</v>
      </c>
      <c r="K6890" s="4">
        <v>460</v>
      </c>
      <c r="L6890" t="s">
        <v>120</v>
      </c>
      <c r="M6890">
        <v>18</v>
      </c>
      <c r="N6890" t="str">
        <f>IF(MASTER[[#This Row],[IDLOCAL]]=17,"HYDE PARK", "HARLEM IRVING")</f>
        <v>HARLEM IRVING</v>
      </c>
      <c r="O6890" t="str">
        <f>IF(MASTER[[#This Row],[IDLOCAL]]=17,"PREMIUM", "ESTÁNDAR")</f>
        <v>ESTÁNDAR</v>
      </c>
      <c r="P6890" t="s">
        <v>137</v>
      </c>
      <c r="Q6890" t="s">
        <v>142</v>
      </c>
      <c r="R6890" t="s">
        <v>143</v>
      </c>
      <c r="S6890" t="s">
        <v>145</v>
      </c>
      <c r="T6890" s="2">
        <f>MASTER[[#This Row],[CANTIDAD]]*MASTER[[#This Row],[PRECIO DE VENTA]]</f>
        <v>1487</v>
      </c>
      <c r="U6890" s="2">
        <f>MASTER[[#This Row],[CANTIDAD]]*MASTER[[#This Row],[COSTO UNITARIO]]</f>
        <v>460</v>
      </c>
      <c r="V6890" s="2">
        <f>MASTER[[#This Row],[MONTO VENDIDO]]-MASTER[[#This Row],[COSTO DE VENTA]]</f>
        <v>1027</v>
      </c>
    </row>
    <row r="6891" spans="1:22" x14ac:dyDescent="0.3">
      <c r="A6891">
        <v>101464</v>
      </c>
      <c r="B6891">
        <v>1</v>
      </c>
      <c r="C6891" t="s">
        <v>5</v>
      </c>
      <c r="D6891" t="s">
        <v>6</v>
      </c>
      <c r="E6891" s="1">
        <v>43936</v>
      </c>
      <c r="F6891">
        <v>1</v>
      </c>
      <c r="G6891" t="s">
        <v>47</v>
      </c>
      <c r="H6891" t="s">
        <v>48</v>
      </c>
      <c r="I6891" s="4">
        <v>1684</v>
      </c>
      <c r="J6891" s="3">
        <v>1583</v>
      </c>
      <c r="K6891" s="4">
        <v>393</v>
      </c>
      <c r="L6891" t="s">
        <v>9</v>
      </c>
      <c r="M6891">
        <v>18</v>
      </c>
      <c r="N6891" t="str">
        <f>IF(MASTER[[#This Row],[IDLOCAL]]=17,"HYDE PARK", "HARLEM IRVING")</f>
        <v>HARLEM IRVING</v>
      </c>
      <c r="O6891" t="str">
        <f>IF(MASTER[[#This Row],[IDLOCAL]]=17,"PREMIUM", "ESTÁNDAR")</f>
        <v>ESTÁNDAR</v>
      </c>
      <c r="P6891" t="s">
        <v>137</v>
      </c>
      <c r="Q6891" t="s">
        <v>142</v>
      </c>
      <c r="R6891" t="s">
        <v>143</v>
      </c>
      <c r="S6891" t="s">
        <v>145</v>
      </c>
      <c r="T6891" s="2">
        <f>MASTER[[#This Row],[CANTIDAD]]*MASTER[[#This Row],[PRECIO DE VENTA]]</f>
        <v>1583</v>
      </c>
      <c r="U6891" s="2">
        <f>MASTER[[#This Row],[CANTIDAD]]*MASTER[[#This Row],[COSTO UNITARIO]]</f>
        <v>393</v>
      </c>
      <c r="V6891" s="2">
        <f>MASTER[[#This Row],[MONTO VENDIDO]]-MASTER[[#This Row],[COSTO DE VENTA]]</f>
        <v>1190</v>
      </c>
    </row>
    <row r="6892" spans="1:22" x14ac:dyDescent="0.3">
      <c r="A6892">
        <v>101478</v>
      </c>
      <c r="B6892">
        <v>1</v>
      </c>
      <c r="C6892" t="s">
        <v>92</v>
      </c>
      <c r="D6892" t="s">
        <v>93</v>
      </c>
      <c r="E6892" s="1">
        <v>43936</v>
      </c>
      <c r="F6892">
        <v>1</v>
      </c>
      <c r="G6892" t="s">
        <v>37</v>
      </c>
      <c r="H6892" t="s">
        <v>38</v>
      </c>
      <c r="I6892" s="4">
        <v>2425</v>
      </c>
      <c r="J6892" s="3">
        <v>2207</v>
      </c>
      <c r="K6892" s="4">
        <v>396</v>
      </c>
      <c r="L6892" t="s">
        <v>9</v>
      </c>
      <c r="M6892">
        <v>19</v>
      </c>
      <c r="N6892" t="s">
        <v>150</v>
      </c>
      <c r="O6892" t="s">
        <v>81</v>
      </c>
      <c r="P6892" t="s">
        <v>136</v>
      </c>
      <c r="Q6892" t="s">
        <v>140</v>
      </c>
      <c r="R6892" t="s">
        <v>141</v>
      </c>
      <c r="S6892" t="s">
        <v>145</v>
      </c>
      <c r="T6892" s="2">
        <f>MASTER[[#This Row],[CANTIDAD]]*MASTER[[#This Row],[PRECIO DE VENTA]]</f>
        <v>2207</v>
      </c>
      <c r="U6892" s="2">
        <f>MASTER[[#This Row],[CANTIDAD]]*MASTER[[#This Row],[COSTO UNITARIO]]</f>
        <v>396</v>
      </c>
      <c r="V6892" s="2">
        <f>MASTER[[#This Row],[MONTO VENDIDO]]-MASTER[[#This Row],[COSTO DE VENTA]]</f>
        <v>1811</v>
      </c>
    </row>
    <row r="6893" spans="1:22" x14ac:dyDescent="0.3">
      <c r="A6893">
        <v>101487</v>
      </c>
      <c r="B6893">
        <v>1</v>
      </c>
      <c r="C6893" t="s">
        <v>94</v>
      </c>
      <c r="D6893" t="s">
        <v>95</v>
      </c>
      <c r="E6893" s="1">
        <v>43937</v>
      </c>
      <c r="F6893">
        <v>1</v>
      </c>
      <c r="G6893" t="s">
        <v>51</v>
      </c>
      <c r="H6893" t="s">
        <v>52</v>
      </c>
      <c r="I6893" s="4">
        <v>1171</v>
      </c>
      <c r="J6893" s="3">
        <v>1171</v>
      </c>
      <c r="K6893" s="4">
        <v>392</v>
      </c>
      <c r="L6893" t="s">
        <v>9</v>
      </c>
      <c r="M6893">
        <v>19</v>
      </c>
      <c r="N6893" t="s">
        <v>150</v>
      </c>
      <c r="O6893" t="s">
        <v>81</v>
      </c>
      <c r="P6893" t="s">
        <v>136</v>
      </c>
      <c r="Q6893" t="s">
        <v>140</v>
      </c>
      <c r="R6893" t="s">
        <v>141</v>
      </c>
      <c r="S6893" t="s">
        <v>145</v>
      </c>
      <c r="T6893" s="2">
        <f>MASTER[[#This Row],[CANTIDAD]]*MASTER[[#This Row],[PRECIO DE VENTA]]</f>
        <v>1171</v>
      </c>
      <c r="U6893" s="2">
        <f>MASTER[[#This Row],[CANTIDAD]]*MASTER[[#This Row],[COSTO UNITARIO]]</f>
        <v>392</v>
      </c>
      <c r="V6893" s="2">
        <f>MASTER[[#This Row],[MONTO VENDIDO]]-MASTER[[#This Row],[COSTO DE VENTA]]</f>
        <v>779</v>
      </c>
    </row>
    <row r="6894" spans="1:22" x14ac:dyDescent="0.3">
      <c r="A6894">
        <v>101488</v>
      </c>
      <c r="B6894">
        <v>1</v>
      </c>
      <c r="C6894" t="s">
        <v>103</v>
      </c>
      <c r="D6894" t="s">
        <v>104</v>
      </c>
      <c r="E6894" s="1">
        <v>43937</v>
      </c>
      <c r="F6894">
        <v>1</v>
      </c>
      <c r="G6894" t="s">
        <v>45</v>
      </c>
      <c r="H6894" t="s">
        <v>46</v>
      </c>
      <c r="I6894" s="4">
        <v>2068</v>
      </c>
      <c r="J6894" s="3">
        <v>2068</v>
      </c>
      <c r="K6894" s="4">
        <v>421</v>
      </c>
      <c r="L6894" t="s">
        <v>98</v>
      </c>
      <c r="M6894">
        <v>17</v>
      </c>
      <c r="N6894" t="str">
        <f>IF(MASTER[[#This Row],[IDLOCAL]]=17,"HYDE PARK", "HARLEM IRVING")</f>
        <v>HYDE PARK</v>
      </c>
      <c r="O6894" t="str">
        <f>IF(MASTER[[#This Row],[IDLOCAL]]=17,"PREMIUM", "ESTÁNDAR")</f>
        <v>PREMIUM</v>
      </c>
      <c r="P6894" t="s">
        <v>137</v>
      </c>
      <c r="Q6894" t="s">
        <v>142</v>
      </c>
      <c r="R6894" t="s">
        <v>143</v>
      </c>
      <c r="S6894" t="s">
        <v>145</v>
      </c>
      <c r="T6894" s="2">
        <f>MASTER[[#This Row],[CANTIDAD]]*MASTER[[#This Row],[PRECIO DE VENTA]]</f>
        <v>2068</v>
      </c>
      <c r="U6894" s="2">
        <f>MASTER[[#This Row],[CANTIDAD]]*MASTER[[#This Row],[COSTO UNITARIO]]</f>
        <v>421</v>
      </c>
      <c r="V6894" s="2">
        <f>MASTER[[#This Row],[MONTO VENDIDO]]-MASTER[[#This Row],[COSTO DE VENTA]]</f>
        <v>1647</v>
      </c>
    </row>
    <row r="6895" spans="1:22" x14ac:dyDescent="0.3">
      <c r="A6895">
        <v>101509</v>
      </c>
      <c r="B6895">
        <v>1</v>
      </c>
      <c r="C6895" t="s">
        <v>107</v>
      </c>
      <c r="D6895" t="s">
        <v>108</v>
      </c>
      <c r="E6895" s="1">
        <v>43938</v>
      </c>
      <c r="F6895">
        <v>4</v>
      </c>
      <c r="G6895" t="s">
        <v>7</v>
      </c>
      <c r="H6895" t="s">
        <v>8</v>
      </c>
      <c r="I6895" s="4">
        <v>1732</v>
      </c>
      <c r="J6895" s="3">
        <v>1732</v>
      </c>
      <c r="K6895" s="4">
        <v>380</v>
      </c>
      <c r="L6895" t="s">
        <v>98</v>
      </c>
      <c r="M6895">
        <v>19</v>
      </c>
      <c r="N6895" t="s">
        <v>150</v>
      </c>
      <c r="O6895" t="s">
        <v>81</v>
      </c>
      <c r="P6895" t="s">
        <v>136</v>
      </c>
      <c r="Q6895" t="s">
        <v>140</v>
      </c>
      <c r="R6895" t="s">
        <v>141</v>
      </c>
      <c r="S6895" t="s">
        <v>145</v>
      </c>
      <c r="T6895" s="2">
        <f>MASTER[[#This Row],[CANTIDAD]]*MASTER[[#This Row],[PRECIO DE VENTA]]</f>
        <v>6928</v>
      </c>
      <c r="U6895" s="2">
        <f>MASTER[[#This Row],[CANTIDAD]]*MASTER[[#This Row],[COSTO UNITARIO]]</f>
        <v>1520</v>
      </c>
      <c r="V6895" s="2">
        <f>MASTER[[#This Row],[MONTO VENDIDO]]-MASTER[[#This Row],[COSTO DE VENTA]]</f>
        <v>5408</v>
      </c>
    </row>
    <row r="6896" spans="1:22" x14ac:dyDescent="0.3">
      <c r="A6896">
        <v>101531</v>
      </c>
      <c r="B6896">
        <v>1</v>
      </c>
      <c r="C6896" t="s">
        <v>111</v>
      </c>
      <c r="D6896" t="s">
        <v>112</v>
      </c>
      <c r="E6896" s="1">
        <v>43940</v>
      </c>
      <c r="F6896">
        <v>1</v>
      </c>
      <c r="G6896" t="s">
        <v>73</v>
      </c>
      <c r="H6896" t="s">
        <v>74</v>
      </c>
      <c r="I6896" s="4">
        <v>2107</v>
      </c>
      <c r="J6896" s="3">
        <v>2107</v>
      </c>
      <c r="K6896" s="4">
        <v>434</v>
      </c>
      <c r="L6896" t="s">
        <v>113</v>
      </c>
      <c r="M6896">
        <v>17</v>
      </c>
      <c r="N6896" t="str">
        <f>IF(MASTER[[#This Row],[IDLOCAL]]=17,"HYDE PARK", "HARLEM IRVING")</f>
        <v>HYDE PARK</v>
      </c>
      <c r="O6896" t="str">
        <f>IF(MASTER[[#This Row],[IDLOCAL]]=17,"PREMIUM", "ESTÁNDAR")</f>
        <v>PREMIUM</v>
      </c>
      <c r="P6896" t="s">
        <v>137</v>
      </c>
      <c r="Q6896" t="s">
        <v>142</v>
      </c>
      <c r="R6896" t="s">
        <v>143</v>
      </c>
      <c r="S6896" t="s">
        <v>145</v>
      </c>
      <c r="T6896" s="2">
        <f>MASTER[[#This Row],[CANTIDAD]]*MASTER[[#This Row],[PRECIO DE VENTA]]</f>
        <v>2107</v>
      </c>
      <c r="U6896" s="2">
        <f>MASTER[[#This Row],[CANTIDAD]]*MASTER[[#This Row],[COSTO UNITARIO]]</f>
        <v>434</v>
      </c>
      <c r="V6896" s="2">
        <f>MASTER[[#This Row],[MONTO VENDIDO]]-MASTER[[#This Row],[COSTO DE VENTA]]</f>
        <v>1673</v>
      </c>
    </row>
    <row r="6897" spans="1:22" x14ac:dyDescent="0.3">
      <c r="A6897">
        <v>101551</v>
      </c>
      <c r="B6897">
        <v>1</v>
      </c>
      <c r="C6897" t="s">
        <v>118</v>
      </c>
      <c r="D6897" t="s">
        <v>119</v>
      </c>
      <c r="E6897" s="1">
        <v>43940</v>
      </c>
      <c r="F6897">
        <v>1</v>
      </c>
      <c r="G6897" t="s">
        <v>20</v>
      </c>
      <c r="H6897" t="s">
        <v>21</v>
      </c>
      <c r="I6897" s="4">
        <v>1333</v>
      </c>
      <c r="J6897" s="3">
        <v>1333</v>
      </c>
      <c r="K6897" s="4">
        <v>424</v>
      </c>
      <c r="L6897" t="s">
        <v>120</v>
      </c>
      <c r="M6897">
        <v>17</v>
      </c>
      <c r="N6897" t="str">
        <f>IF(MASTER[[#This Row],[IDLOCAL]]=17,"HYDE PARK", "HARLEM IRVING")</f>
        <v>HYDE PARK</v>
      </c>
      <c r="O6897" t="str">
        <f>IF(MASTER[[#This Row],[IDLOCAL]]=17,"PREMIUM", "ESTÁNDAR")</f>
        <v>PREMIUM</v>
      </c>
      <c r="P6897" t="s">
        <v>137</v>
      </c>
      <c r="Q6897" t="s">
        <v>142</v>
      </c>
      <c r="R6897" t="s">
        <v>143</v>
      </c>
      <c r="S6897" t="s">
        <v>145</v>
      </c>
      <c r="T6897" s="2">
        <f>MASTER[[#This Row],[CANTIDAD]]*MASTER[[#This Row],[PRECIO DE VENTA]]</f>
        <v>1333</v>
      </c>
      <c r="U6897" s="2">
        <f>MASTER[[#This Row],[CANTIDAD]]*MASTER[[#This Row],[COSTO UNITARIO]]</f>
        <v>424</v>
      </c>
      <c r="V6897" s="2">
        <f>MASTER[[#This Row],[MONTO VENDIDO]]-MASTER[[#This Row],[COSTO DE VENTA]]</f>
        <v>909</v>
      </c>
    </row>
    <row r="6898" spans="1:22" x14ac:dyDescent="0.3">
      <c r="A6898">
        <v>101556</v>
      </c>
      <c r="B6898">
        <v>1</v>
      </c>
      <c r="C6898" t="s">
        <v>5</v>
      </c>
      <c r="D6898" t="s">
        <v>6</v>
      </c>
      <c r="E6898" s="1">
        <v>43943</v>
      </c>
      <c r="F6898">
        <v>1</v>
      </c>
      <c r="G6898" t="s">
        <v>41</v>
      </c>
      <c r="H6898" t="s">
        <v>42</v>
      </c>
      <c r="I6898" s="4">
        <v>1959</v>
      </c>
      <c r="J6898" s="3">
        <v>1959</v>
      </c>
      <c r="K6898" s="4">
        <v>393</v>
      </c>
      <c r="L6898" t="s">
        <v>9</v>
      </c>
      <c r="M6898">
        <v>18</v>
      </c>
      <c r="N6898" t="str">
        <f>IF(MASTER[[#This Row],[IDLOCAL]]=17,"HYDE PARK", "HARLEM IRVING")</f>
        <v>HARLEM IRVING</v>
      </c>
      <c r="O6898" t="str">
        <f>IF(MASTER[[#This Row],[IDLOCAL]]=17,"PREMIUM", "ESTÁNDAR")</f>
        <v>ESTÁNDAR</v>
      </c>
      <c r="P6898" t="s">
        <v>137</v>
      </c>
      <c r="Q6898" t="s">
        <v>142</v>
      </c>
      <c r="R6898" t="s">
        <v>143</v>
      </c>
      <c r="S6898" t="s">
        <v>145</v>
      </c>
      <c r="T6898" s="2">
        <f>MASTER[[#This Row],[CANTIDAD]]*MASTER[[#This Row],[PRECIO DE VENTA]]</f>
        <v>1959</v>
      </c>
      <c r="U6898" s="2">
        <f>MASTER[[#This Row],[CANTIDAD]]*MASTER[[#This Row],[COSTO UNITARIO]]</f>
        <v>393</v>
      </c>
      <c r="V6898" s="2">
        <f>MASTER[[#This Row],[MONTO VENDIDO]]-MASTER[[#This Row],[COSTO DE VENTA]]</f>
        <v>1566</v>
      </c>
    </row>
    <row r="6899" spans="1:22" x14ac:dyDescent="0.3">
      <c r="A6899">
        <v>101559</v>
      </c>
      <c r="B6899">
        <v>1</v>
      </c>
      <c r="C6899" t="s">
        <v>99</v>
      </c>
      <c r="D6899" t="s">
        <v>100</v>
      </c>
      <c r="E6899" s="1">
        <v>43945</v>
      </c>
      <c r="F6899">
        <v>1</v>
      </c>
      <c r="G6899" t="s">
        <v>29</v>
      </c>
      <c r="H6899" t="s">
        <v>30</v>
      </c>
      <c r="I6899" s="4">
        <v>1726</v>
      </c>
      <c r="J6899" s="3">
        <v>1656</v>
      </c>
      <c r="K6899" s="4">
        <v>386</v>
      </c>
      <c r="L6899" t="s">
        <v>98</v>
      </c>
      <c r="M6899">
        <v>19</v>
      </c>
      <c r="N6899" t="s">
        <v>150</v>
      </c>
      <c r="O6899" t="s">
        <v>81</v>
      </c>
      <c r="P6899" t="s">
        <v>136</v>
      </c>
      <c r="Q6899" t="s">
        <v>140</v>
      </c>
      <c r="R6899" t="s">
        <v>141</v>
      </c>
      <c r="S6899" t="s">
        <v>145</v>
      </c>
      <c r="T6899" s="2">
        <f>MASTER[[#This Row],[CANTIDAD]]*MASTER[[#This Row],[PRECIO DE VENTA]]</f>
        <v>1656</v>
      </c>
      <c r="U6899" s="2">
        <f>MASTER[[#This Row],[CANTIDAD]]*MASTER[[#This Row],[COSTO UNITARIO]]</f>
        <v>386</v>
      </c>
      <c r="V6899" s="2">
        <f>MASTER[[#This Row],[MONTO VENDIDO]]-MASTER[[#This Row],[COSTO DE VENTA]]</f>
        <v>1270</v>
      </c>
    </row>
    <row r="6900" spans="1:22" x14ac:dyDescent="0.3">
      <c r="A6900">
        <v>101562</v>
      </c>
      <c r="B6900">
        <v>1</v>
      </c>
      <c r="C6900" t="s">
        <v>109</v>
      </c>
      <c r="D6900" t="s">
        <v>110</v>
      </c>
      <c r="E6900" s="1">
        <v>43945</v>
      </c>
      <c r="F6900">
        <v>1</v>
      </c>
      <c r="G6900" t="s">
        <v>53</v>
      </c>
      <c r="H6900" t="s">
        <v>54</v>
      </c>
      <c r="I6900" s="4">
        <v>1466</v>
      </c>
      <c r="J6900" s="3">
        <v>1466</v>
      </c>
      <c r="K6900" s="4">
        <v>387</v>
      </c>
      <c r="L6900" t="s">
        <v>98</v>
      </c>
      <c r="M6900">
        <v>17</v>
      </c>
      <c r="N6900" t="str">
        <f>IF(MASTER[[#This Row],[IDLOCAL]]=17,"HYDE PARK", "HARLEM IRVING")</f>
        <v>HYDE PARK</v>
      </c>
      <c r="O6900" t="str">
        <f>IF(MASTER[[#This Row],[IDLOCAL]]=17,"PREMIUM", "ESTÁNDAR")</f>
        <v>PREMIUM</v>
      </c>
      <c r="P6900" t="s">
        <v>137</v>
      </c>
      <c r="Q6900" t="s">
        <v>142</v>
      </c>
      <c r="R6900" t="s">
        <v>143</v>
      </c>
      <c r="S6900" t="s">
        <v>145</v>
      </c>
      <c r="T6900" s="2">
        <f>MASTER[[#This Row],[CANTIDAD]]*MASTER[[#This Row],[PRECIO DE VENTA]]</f>
        <v>1466</v>
      </c>
      <c r="U6900" s="2">
        <f>MASTER[[#This Row],[CANTIDAD]]*MASTER[[#This Row],[COSTO UNITARIO]]</f>
        <v>387</v>
      </c>
      <c r="V6900" s="2">
        <f>MASTER[[#This Row],[MONTO VENDIDO]]-MASTER[[#This Row],[COSTO DE VENTA]]</f>
        <v>1079</v>
      </c>
    </row>
    <row r="6901" spans="1:22" x14ac:dyDescent="0.3">
      <c r="A6901">
        <v>101589</v>
      </c>
      <c r="B6901">
        <v>3</v>
      </c>
      <c r="C6901" t="s">
        <v>109</v>
      </c>
      <c r="D6901" t="s">
        <v>110</v>
      </c>
      <c r="E6901" s="1">
        <v>43945</v>
      </c>
      <c r="F6901">
        <v>1</v>
      </c>
      <c r="G6901" t="s">
        <v>61</v>
      </c>
      <c r="H6901" t="s">
        <v>62</v>
      </c>
      <c r="I6901" s="4">
        <v>1383</v>
      </c>
      <c r="J6901" s="3">
        <v>1300</v>
      </c>
      <c r="K6901" s="4">
        <v>387</v>
      </c>
      <c r="L6901" t="s">
        <v>98</v>
      </c>
      <c r="M6901">
        <v>17</v>
      </c>
      <c r="N6901" t="str">
        <f>IF(MASTER[[#This Row],[IDLOCAL]]=17,"HYDE PARK", "HARLEM IRVING")</f>
        <v>HYDE PARK</v>
      </c>
      <c r="O6901" t="str">
        <f>IF(MASTER[[#This Row],[IDLOCAL]]=17,"PREMIUM", "ESTÁNDAR")</f>
        <v>PREMIUM</v>
      </c>
      <c r="P6901" t="s">
        <v>137</v>
      </c>
      <c r="Q6901" t="s">
        <v>142</v>
      </c>
      <c r="R6901" t="s">
        <v>143</v>
      </c>
      <c r="S6901" t="s">
        <v>145</v>
      </c>
      <c r="T6901" s="2">
        <f>MASTER[[#This Row],[CANTIDAD]]*MASTER[[#This Row],[PRECIO DE VENTA]]</f>
        <v>1300</v>
      </c>
      <c r="U6901" s="2">
        <f>MASTER[[#This Row],[CANTIDAD]]*MASTER[[#This Row],[COSTO UNITARIO]]</f>
        <v>387</v>
      </c>
      <c r="V6901" s="2">
        <f>MASTER[[#This Row],[MONTO VENDIDO]]-MASTER[[#This Row],[COSTO DE VENTA]]</f>
        <v>913</v>
      </c>
    </row>
    <row r="6902" spans="1:22" x14ac:dyDescent="0.3">
      <c r="A6902">
        <v>101593</v>
      </c>
      <c r="B6902">
        <v>1</v>
      </c>
      <c r="C6902" t="s">
        <v>114</v>
      </c>
      <c r="D6902" t="s">
        <v>115</v>
      </c>
      <c r="E6902" s="1">
        <v>43946</v>
      </c>
      <c r="F6902">
        <v>1</v>
      </c>
      <c r="G6902" t="s">
        <v>53</v>
      </c>
      <c r="H6902" t="s">
        <v>54</v>
      </c>
      <c r="I6902" s="4">
        <v>2057</v>
      </c>
      <c r="J6902" s="3">
        <v>2057</v>
      </c>
      <c r="K6902" s="4">
        <v>394</v>
      </c>
      <c r="L6902" t="s">
        <v>113</v>
      </c>
      <c r="M6902">
        <v>19</v>
      </c>
      <c r="N6902" t="s">
        <v>150</v>
      </c>
      <c r="O6902" t="s">
        <v>81</v>
      </c>
      <c r="P6902" t="s">
        <v>136</v>
      </c>
      <c r="Q6902" t="s">
        <v>140</v>
      </c>
      <c r="R6902" t="s">
        <v>141</v>
      </c>
      <c r="S6902" t="s">
        <v>145</v>
      </c>
      <c r="T6902" s="2">
        <f>MASTER[[#This Row],[CANTIDAD]]*MASTER[[#This Row],[PRECIO DE VENTA]]</f>
        <v>2057</v>
      </c>
      <c r="U6902" s="2">
        <f>MASTER[[#This Row],[CANTIDAD]]*MASTER[[#This Row],[COSTO UNITARIO]]</f>
        <v>394</v>
      </c>
      <c r="V6902" s="2">
        <f>MASTER[[#This Row],[MONTO VENDIDO]]-MASTER[[#This Row],[COSTO DE VENTA]]</f>
        <v>1663</v>
      </c>
    </row>
    <row r="6903" spans="1:22" x14ac:dyDescent="0.3">
      <c r="A6903">
        <v>101595</v>
      </c>
      <c r="B6903">
        <v>1</v>
      </c>
      <c r="C6903" t="s">
        <v>92</v>
      </c>
      <c r="D6903" t="s">
        <v>93</v>
      </c>
      <c r="E6903" s="1">
        <v>43947</v>
      </c>
      <c r="F6903">
        <v>1</v>
      </c>
      <c r="G6903" t="s">
        <v>57</v>
      </c>
      <c r="H6903" t="s">
        <v>58</v>
      </c>
      <c r="I6903" s="4">
        <v>2185</v>
      </c>
      <c r="J6903" s="3">
        <v>2185</v>
      </c>
      <c r="K6903" s="4">
        <v>396</v>
      </c>
      <c r="L6903" t="s">
        <v>9</v>
      </c>
      <c r="M6903">
        <v>19</v>
      </c>
      <c r="N6903" t="s">
        <v>150</v>
      </c>
      <c r="O6903" t="s">
        <v>81</v>
      </c>
      <c r="P6903" t="s">
        <v>136</v>
      </c>
      <c r="Q6903" t="s">
        <v>140</v>
      </c>
      <c r="R6903" t="s">
        <v>141</v>
      </c>
      <c r="S6903" t="s">
        <v>145</v>
      </c>
      <c r="T6903" s="2">
        <f>MASTER[[#This Row],[CANTIDAD]]*MASTER[[#This Row],[PRECIO DE VENTA]]</f>
        <v>2185</v>
      </c>
      <c r="U6903" s="2">
        <f>MASTER[[#This Row],[CANTIDAD]]*MASTER[[#This Row],[COSTO UNITARIO]]</f>
        <v>396</v>
      </c>
      <c r="V6903" s="2">
        <f>MASTER[[#This Row],[MONTO VENDIDO]]-MASTER[[#This Row],[COSTO DE VENTA]]</f>
        <v>1789</v>
      </c>
    </row>
    <row r="6904" spans="1:22" x14ac:dyDescent="0.3">
      <c r="A6904">
        <v>101605</v>
      </c>
      <c r="B6904">
        <v>1</v>
      </c>
      <c r="C6904" t="s">
        <v>94</v>
      </c>
      <c r="D6904" t="s">
        <v>95</v>
      </c>
      <c r="E6904" s="1">
        <v>43948</v>
      </c>
      <c r="F6904">
        <v>1</v>
      </c>
      <c r="G6904" t="s">
        <v>43</v>
      </c>
      <c r="H6904" t="s">
        <v>44</v>
      </c>
      <c r="I6904" s="4">
        <v>1498</v>
      </c>
      <c r="J6904" s="3">
        <v>1498</v>
      </c>
      <c r="K6904" s="4">
        <v>392</v>
      </c>
      <c r="L6904" t="s">
        <v>9</v>
      </c>
      <c r="M6904">
        <v>18</v>
      </c>
      <c r="N6904" t="str">
        <f>IF(MASTER[[#This Row],[IDLOCAL]]=17,"HYDE PARK", "HARLEM IRVING")</f>
        <v>HARLEM IRVING</v>
      </c>
      <c r="O6904" t="str">
        <f>IF(MASTER[[#This Row],[IDLOCAL]]=17,"PREMIUM", "ESTÁNDAR")</f>
        <v>ESTÁNDAR</v>
      </c>
      <c r="P6904" t="s">
        <v>137</v>
      </c>
      <c r="Q6904" t="s">
        <v>142</v>
      </c>
      <c r="R6904" t="s">
        <v>143</v>
      </c>
      <c r="S6904" t="s">
        <v>145</v>
      </c>
      <c r="T6904" s="2">
        <f>MASTER[[#This Row],[CANTIDAD]]*MASTER[[#This Row],[PRECIO DE VENTA]]</f>
        <v>1498</v>
      </c>
      <c r="U6904" s="2">
        <f>MASTER[[#This Row],[CANTIDAD]]*MASTER[[#This Row],[COSTO UNITARIO]]</f>
        <v>392</v>
      </c>
      <c r="V6904" s="2">
        <f>MASTER[[#This Row],[MONTO VENDIDO]]-MASTER[[#This Row],[COSTO DE VENTA]]</f>
        <v>1106</v>
      </c>
    </row>
    <row r="6905" spans="1:22" x14ac:dyDescent="0.3">
      <c r="A6905">
        <v>101607</v>
      </c>
      <c r="B6905">
        <v>1</v>
      </c>
      <c r="C6905" t="s">
        <v>103</v>
      </c>
      <c r="D6905" t="s">
        <v>104</v>
      </c>
      <c r="E6905" s="1">
        <v>43949</v>
      </c>
      <c r="F6905">
        <v>1</v>
      </c>
      <c r="G6905" t="s">
        <v>57</v>
      </c>
      <c r="H6905" t="s">
        <v>58</v>
      </c>
      <c r="I6905" s="4">
        <v>2068</v>
      </c>
      <c r="J6905" s="3">
        <v>2068</v>
      </c>
      <c r="K6905" s="4">
        <v>421</v>
      </c>
      <c r="L6905" t="s">
        <v>98</v>
      </c>
      <c r="M6905">
        <v>19</v>
      </c>
      <c r="N6905" t="s">
        <v>150</v>
      </c>
      <c r="O6905" t="s">
        <v>81</v>
      </c>
      <c r="P6905" t="s">
        <v>136</v>
      </c>
      <c r="Q6905" t="s">
        <v>140</v>
      </c>
      <c r="R6905" t="s">
        <v>141</v>
      </c>
      <c r="S6905" t="s">
        <v>145</v>
      </c>
      <c r="T6905" s="2">
        <f>MASTER[[#This Row],[CANTIDAD]]*MASTER[[#This Row],[PRECIO DE VENTA]]</f>
        <v>2068</v>
      </c>
      <c r="U6905" s="2">
        <f>MASTER[[#This Row],[CANTIDAD]]*MASTER[[#This Row],[COSTO UNITARIO]]</f>
        <v>421</v>
      </c>
      <c r="V6905" s="2">
        <f>MASTER[[#This Row],[MONTO VENDIDO]]-MASTER[[#This Row],[COSTO DE VENTA]]</f>
        <v>1647</v>
      </c>
    </row>
    <row r="6906" spans="1:22" x14ac:dyDescent="0.3">
      <c r="A6906">
        <v>101610</v>
      </c>
      <c r="B6906">
        <v>1</v>
      </c>
      <c r="C6906" t="s">
        <v>92</v>
      </c>
      <c r="D6906" t="s">
        <v>93</v>
      </c>
      <c r="E6906" s="1">
        <v>43950</v>
      </c>
      <c r="F6906">
        <v>1</v>
      </c>
      <c r="G6906" t="s">
        <v>61</v>
      </c>
      <c r="H6906" t="s">
        <v>62</v>
      </c>
      <c r="I6906" s="4">
        <v>1922</v>
      </c>
      <c r="J6906" s="3">
        <v>1922</v>
      </c>
      <c r="K6906" s="4">
        <v>396</v>
      </c>
      <c r="L6906" t="s">
        <v>9</v>
      </c>
      <c r="M6906">
        <v>19</v>
      </c>
      <c r="N6906" t="s">
        <v>150</v>
      </c>
      <c r="O6906" t="s">
        <v>81</v>
      </c>
      <c r="P6906" t="s">
        <v>136</v>
      </c>
      <c r="Q6906" t="s">
        <v>140</v>
      </c>
      <c r="R6906" t="s">
        <v>141</v>
      </c>
      <c r="S6906" t="s">
        <v>145</v>
      </c>
      <c r="T6906" s="2">
        <f>MASTER[[#This Row],[CANTIDAD]]*MASTER[[#This Row],[PRECIO DE VENTA]]</f>
        <v>1922</v>
      </c>
      <c r="U6906" s="2">
        <f>MASTER[[#This Row],[CANTIDAD]]*MASTER[[#This Row],[COSTO UNITARIO]]</f>
        <v>396</v>
      </c>
      <c r="V6906" s="2">
        <f>MASTER[[#This Row],[MONTO VENDIDO]]-MASTER[[#This Row],[COSTO DE VENTA]]</f>
        <v>1526</v>
      </c>
    </row>
    <row r="6907" spans="1:22" x14ac:dyDescent="0.3">
      <c r="A6907">
        <v>101613</v>
      </c>
      <c r="B6907">
        <v>1</v>
      </c>
      <c r="C6907" t="s">
        <v>90</v>
      </c>
      <c r="D6907" t="s">
        <v>91</v>
      </c>
      <c r="E6907" s="1">
        <v>43952</v>
      </c>
      <c r="F6907">
        <v>1</v>
      </c>
      <c r="G6907" t="s">
        <v>49</v>
      </c>
      <c r="H6907" t="s">
        <v>50</v>
      </c>
      <c r="I6907" s="4">
        <v>2732</v>
      </c>
      <c r="J6907" s="3">
        <v>2594</v>
      </c>
      <c r="K6907" s="4">
        <v>420</v>
      </c>
      <c r="L6907" t="s">
        <v>9</v>
      </c>
      <c r="M6907">
        <v>19</v>
      </c>
      <c r="N6907" t="s">
        <v>150</v>
      </c>
      <c r="O6907" t="s">
        <v>81</v>
      </c>
      <c r="P6907" t="s">
        <v>136</v>
      </c>
      <c r="Q6907" t="s">
        <v>140</v>
      </c>
      <c r="R6907" t="s">
        <v>141</v>
      </c>
      <c r="S6907" t="s">
        <v>145</v>
      </c>
      <c r="T6907" s="2">
        <f>MASTER[[#This Row],[CANTIDAD]]*MASTER[[#This Row],[PRECIO DE VENTA]]</f>
        <v>2594</v>
      </c>
      <c r="U6907" s="2">
        <f>MASTER[[#This Row],[CANTIDAD]]*MASTER[[#This Row],[COSTO UNITARIO]]</f>
        <v>420</v>
      </c>
      <c r="V6907" s="2">
        <f>MASTER[[#This Row],[MONTO VENDIDO]]-MASTER[[#This Row],[COSTO DE VENTA]]</f>
        <v>2174</v>
      </c>
    </row>
    <row r="6908" spans="1:22" x14ac:dyDescent="0.3">
      <c r="A6908">
        <v>101615</v>
      </c>
      <c r="B6908">
        <v>1</v>
      </c>
      <c r="C6908" t="s">
        <v>116</v>
      </c>
      <c r="D6908" t="s">
        <v>117</v>
      </c>
      <c r="E6908" s="1">
        <v>43954</v>
      </c>
      <c r="F6908">
        <v>1</v>
      </c>
      <c r="G6908" t="s">
        <v>43</v>
      </c>
      <c r="H6908" t="s">
        <v>44</v>
      </c>
      <c r="I6908" s="4">
        <v>2259</v>
      </c>
      <c r="J6908" s="3">
        <v>2259</v>
      </c>
      <c r="K6908" s="4">
        <v>388</v>
      </c>
      <c r="L6908" t="s">
        <v>113</v>
      </c>
      <c r="M6908">
        <v>17</v>
      </c>
      <c r="N6908" t="str">
        <f>IF(MASTER[[#This Row],[IDLOCAL]]=17,"HYDE PARK", "HARLEM IRVING")</f>
        <v>HYDE PARK</v>
      </c>
      <c r="O6908" t="str">
        <f>IF(MASTER[[#This Row],[IDLOCAL]]=17,"PREMIUM", "ESTÁNDAR")</f>
        <v>PREMIUM</v>
      </c>
      <c r="P6908" t="s">
        <v>137</v>
      </c>
      <c r="Q6908" t="s">
        <v>142</v>
      </c>
      <c r="R6908" t="s">
        <v>143</v>
      </c>
      <c r="S6908" t="s">
        <v>145</v>
      </c>
      <c r="T6908" s="2">
        <f>MASTER[[#This Row],[CANTIDAD]]*MASTER[[#This Row],[PRECIO DE VENTA]]</f>
        <v>2259</v>
      </c>
      <c r="U6908" s="2">
        <f>MASTER[[#This Row],[CANTIDAD]]*MASTER[[#This Row],[COSTO UNITARIO]]</f>
        <v>388</v>
      </c>
      <c r="V6908" s="2">
        <f>MASTER[[#This Row],[MONTO VENDIDO]]-MASTER[[#This Row],[COSTO DE VENTA]]</f>
        <v>1871</v>
      </c>
    </row>
    <row r="6909" spans="1:22" x14ac:dyDescent="0.3">
      <c r="A6909">
        <v>101650</v>
      </c>
      <c r="B6909">
        <v>1</v>
      </c>
      <c r="C6909" t="s">
        <v>107</v>
      </c>
      <c r="D6909" t="s">
        <v>108</v>
      </c>
      <c r="E6909" s="1">
        <v>43955</v>
      </c>
      <c r="F6909">
        <v>1</v>
      </c>
      <c r="G6909" t="s">
        <v>47</v>
      </c>
      <c r="H6909" t="s">
        <v>48</v>
      </c>
      <c r="I6909" s="4">
        <v>1732</v>
      </c>
      <c r="J6909" s="3">
        <v>1732</v>
      </c>
      <c r="K6909" s="4">
        <v>380</v>
      </c>
      <c r="L6909" t="s">
        <v>98</v>
      </c>
      <c r="M6909">
        <v>18</v>
      </c>
      <c r="N6909" t="str">
        <f>IF(MASTER[[#This Row],[IDLOCAL]]=17,"HYDE PARK", "HARLEM IRVING")</f>
        <v>HARLEM IRVING</v>
      </c>
      <c r="O6909" t="str">
        <f>IF(MASTER[[#This Row],[IDLOCAL]]=17,"PREMIUM", "ESTÁNDAR")</f>
        <v>ESTÁNDAR</v>
      </c>
      <c r="P6909" t="s">
        <v>137</v>
      </c>
      <c r="Q6909" t="s">
        <v>142</v>
      </c>
      <c r="R6909" t="s">
        <v>143</v>
      </c>
      <c r="S6909" t="s">
        <v>145</v>
      </c>
      <c r="T6909" s="2">
        <f>MASTER[[#This Row],[CANTIDAD]]*MASTER[[#This Row],[PRECIO DE VENTA]]</f>
        <v>1732</v>
      </c>
      <c r="U6909" s="2">
        <f>MASTER[[#This Row],[CANTIDAD]]*MASTER[[#This Row],[COSTO UNITARIO]]</f>
        <v>380</v>
      </c>
      <c r="V6909" s="2">
        <f>MASTER[[#This Row],[MONTO VENDIDO]]-MASTER[[#This Row],[COSTO DE VENTA]]</f>
        <v>1352</v>
      </c>
    </row>
    <row r="6910" spans="1:22" x14ac:dyDescent="0.3">
      <c r="A6910">
        <v>101654</v>
      </c>
      <c r="B6910">
        <v>1</v>
      </c>
      <c r="C6910" t="s">
        <v>96</v>
      </c>
      <c r="D6910" t="s">
        <v>97</v>
      </c>
      <c r="E6910" s="1">
        <v>43957</v>
      </c>
      <c r="F6910">
        <v>3</v>
      </c>
      <c r="G6910" t="s">
        <v>27</v>
      </c>
      <c r="H6910" t="s">
        <v>28</v>
      </c>
      <c r="I6910" s="4">
        <v>1769</v>
      </c>
      <c r="J6910" s="3">
        <v>1591</v>
      </c>
      <c r="K6910" s="4">
        <v>397</v>
      </c>
      <c r="L6910" t="s">
        <v>98</v>
      </c>
      <c r="M6910">
        <v>19</v>
      </c>
      <c r="N6910" t="s">
        <v>150</v>
      </c>
      <c r="O6910" t="s">
        <v>81</v>
      </c>
      <c r="P6910" t="s">
        <v>136</v>
      </c>
      <c r="Q6910" t="s">
        <v>140</v>
      </c>
      <c r="R6910" t="s">
        <v>141</v>
      </c>
      <c r="S6910" t="s">
        <v>145</v>
      </c>
      <c r="T6910" s="2">
        <f>MASTER[[#This Row],[CANTIDAD]]*MASTER[[#This Row],[PRECIO DE VENTA]]</f>
        <v>4773</v>
      </c>
      <c r="U6910" s="2">
        <f>MASTER[[#This Row],[CANTIDAD]]*MASTER[[#This Row],[COSTO UNITARIO]]</f>
        <v>1191</v>
      </c>
      <c r="V6910" s="2">
        <f>MASTER[[#This Row],[MONTO VENDIDO]]-MASTER[[#This Row],[COSTO DE VENTA]]</f>
        <v>3582</v>
      </c>
    </row>
    <row r="6911" spans="1:22" x14ac:dyDescent="0.3">
      <c r="A6911">
        <v>101661</v>
      </c>
      <c r="B6911">
        <v>1</v>
      </c>
      <c r="C6911" t="s">
        <v>103</v>
      </c>
      <c r="D6911" t="s">
        <v>104</v>
      </c>
      <c r="E6911" s="1">
        <v>43957</v>
      </c>
      <c r="F6911">
        <v>1</v>
      </c>
      <c r="G6911" t="s">
        <v>45</v>
      </c>
      <c r="H6911" t="s">
        <v>46</v>
      </c>
      <c r="I6911" s="4">
        <v>1882</v>
      </c>
      <c r="J6911" s="3">
        <v>1882</v>
      </c>
      <c r="K6911" s="4">
        <v>421</v>
      </c>
      <c r="L6911" t="s">
        <v>98</v>
      </c>
      <c r="M6911">
        <v>19</v>
      </c>
      <c r="N6911" t="s">
        <v>150</v>
      </c>
      <c r="O6911" t="s">
        <v>81</v>
      </c>
      <c r="P6911" t="s">
        <v>136</v>
      </c>
      <c r="Q6911" t="s">
        <v>140</v>
      </c>
      <c r="R6911" t="s">
        <v>141</v>
      </c>
      <c r="S6911" t="s">
        <v>145</v>
      </c>
      <c r="T6911" s="2">
        <f>MASTER[[#This Row],[CANTIDAD]]*MASTER[[#This Row],[PRECIO DE VENTA]]</f>
        <v>1882</v>
      </c>
      <c r="U6911" s="2">
        <f>MASTER[[#This Row],[CANTIDAD]]*MASTER[[#This Row],[COSTO UNITARIO]]</f>
        <v>421</v>
      </c>
      <c r="V6911" s="2">
        <f>MASTER[[#This Row],[MONTO VENDIDO]]-MASTER[[#This Row],[COSTO DE VENTA]]</f>
        <v>1461</v>
      </c>
    </row>
    <row r="6912" spans="1:22" x14ac:dyDescent="0.3">
      <c r="A6912">
        <v>101665</v>
      </c>
      <c r="B6912">
        <v>1</v>
      </c>
      <c r="C6912" t="s">
        <v>105</v>
      </c>
      <c r="D6912" t="s">
        <v>106</v>
      </c>
      <c r="E6912" s="1">
        <v>43958</v>
      </c>
      <c r="F6912">
        <v>1</v>
      </c>
      <c r="G6912" t="s">
        <v>33</v>
      </c>
      <c r="H6912" t="s">
        <v>34</v>
      </c>
      <c r="I6912" s="4">
        <v>2060</v>
      </c>
      <c r="J6912" s="3">
        <v>2060</v>
      </c>
      <c r="K6912" s="4">
        <v>459</v>
      </c>
      <c r="L6912" t="s">
        <v>98</v>
      </c>
      <c r="M6912">
        <v>19</v>
      </c>
      <c r="N6912" t="s">
        <v>150</v>
      </c>
      <c r="O6912" t="s">
        <v>81</v>
      </c>
      <c r="P6912" t="s">
        <v>136</v>
      </c>
      <c r="Q6912" t="s">
        <v>140</v>
      </c>
      <c r="R6912" t="s">
        <v>141</v>
      </c>
      <c r="S6912" t="s">
        <v>145</v>
      </c>
      <c r="T6912" s="2">
        <f>MASTER[[#This Row],[CANTIDAD]]*MASTER[[#This Row],[PRECIO DE VENTA]]</f>
        <v>2060</v>
      </c>
      <c r="U6912" s="2">
        <f>MASTER[[#This Row],[CANTIDAD]]*MASTER[[#This Row],[COSTO UNITARIO]]</f>
        <v>459</v>
      </c>
      <c r="V6912" s="2">
        <f>MASTER[[#This Row],[MONTO VENDIDO]]-MASTER[[#This Row],[COSTO DE VENTA]]</f>
        <v>1601</v>
      </c>
    </row>
    <row r="6913" spans="1:22" x14ac:dyDescent="0.3">
      <c r="A6913">
        <v>101670</v>
      </c>
      <c r="B6913">
        <v>1</v>
      </c>
      <c r="C6913" t="s">
        <v>5</v>
      </c>
      <c r="D6913" t="s">
        <v>6</v>
      </c>
      <c r="E6913" s="1">
        <v>43959</v>
      </c>
      <c r="F6913">
        <v>1</v>
      </c>
      <c r="G6913" t="s">
        <v>33</v>
      </c>
      <c r="H6913" t="s">
        <v>34</v>
      </c>
      <c r="I6913" s="4">
        <v>1704</v>
      </c>
      <c r="J6913" s="3">
        <v>1704</v>
      </c>
      <c r="K6913" s="4">
        <v>393</v>
      </c>
      <c r="L6913" t="s">
        <v>9</v>
      </c>
      <c r="M6913">
        <v>17</v>
      </c>
      <c r="N6913" t="str">
        <f>IF(MASTER[[#This Row],[IDLOCAL]]=17,"HYDE PARK", "HARLEM IRVING")</f>
        <v>HYDE PARK</v>
      </c>
      <c r="O6913" t="str">
        <f>IF(MASTER[[#This Row],[IDLOCAL]]=17,"PREMIUM", "ESTÁNDAR")</f>
        <v>PREMIUM</v>
      </c>
      <c r="P6913" t="s">
        <v>137</v>
      </c>
      <c r="Q6913" t="s">
        <v>142</v>
      </c>
      <c r="R6913" t="s">
        <v>143</v>
      </c>
      <c r="S6913" t="s">
        <v>145</v>
      </c>
      <c r="T6913" s="2">
        <f>MASTER[[#This Row],[CANTIDAD]]*MASTER[[#This Row],[PRECIO DE VENTA]]</f>
        <v>1704</v>
      </c>
      <c r="U6913" s="2">
        <f>MASTER[[#This Row],[CANTIDAD]]*MASTER[[#This Row],[COSTO UNITARIO]]</f>
        <v>393</v>
      </c>
      <c r="V6913" s="2">
        <f>MASTER[[#This Row],[MONTO VENDIDO]]-MASTER[[#This Row],[COSTO DE VENTA]]</f>
        <v>1311</v>
      </c>
    </row>
    <row r="6914" spans="1:22" x14ac:dyDescent="0.3">
      <c r="A6914">
        <v>101672</v>
      </c>
      <c r="B6914">
        <v>1</v>
      </c>
      <c r="C6914" t="s">
        <v>99</v>
      </c>
      <c r="D6914" t="s">
        <v>100</v>
      </c>
      <c r="E6914" s="1">
        <v>43959</v>
      </c>
      <c r="F6914">
        <v>3</v>
      </c>
      <c r="G6914" t="s">
        <v>47</v>
      </c>
      <c r="H6914" t="s">
        <v>48</v>
      </c>
      <c r="I6914" s="4">
        <v>2181</v>
      </c>
      <c r="J6914" s="3">
        <v>2181</v>
      </c>
      <c r="K6914" s="4">
        <v>386</v>
      </c>
      <c r="L6914" t="s">
        <v>98</v>
      </c>
      <c r="M6914">
        <v>17</v>
      </c>
      <c r="N6914" t="str">
        <f>IF(MASTER[[#This Row],[IDLOCAL]]=17,"HYDE PARK", "HARLEM IRVING")</f>
        <v>HYDE PARK</v>
      </c>
      <c r="O6914" t="str">
        <f>IF(MASTER[[#This Row],[IDLOCAL]]=17,"PREMIUM", "ESTÁNDAR")</f>
        <v>PREMIUM</v>
      </c>
      <c r="P6914" t="s">
        <v>137</v>
      </c>
      <c r="Q6914" t="s">
        <v>142</v>
      </c>
      <c r="R6914" t="s">
        <v>143</v>
      </c>
      <c r="S6914" t="s">
        <v>145</v>
      </c>
      <c r="T6914" s="2">
        <f>MASTER[[#This Row],[CANTIDAD]]*MASTER[[#This Row],[PRECIO DE VENTA]]</f>
        <v>6543</v>
      </c>
      <c r="U6914" s="2">
        <f>MASTER[[#This Row],[CANTIDAD]]*MASTER[[#This Row],[COSTO UNITARIO]]</f>
        <v>1158</v>
      </c>
      <c r="V6914" s="2">
        <f>MASTER[[#This Row],[MONTO VENDIDO]]-MASTER[[#This Row],[COSTO DE VENTA]]</f>
        <v>5385</v>
      </c>
    </row>
    <row r="6915" spans="1:22" x14ac:dyDescent="0.3">
      <c r="A6915">
        <v>101698</v>
      </c>
      <c r="B6915">
        <v>1</v>
      </c>
      <c r="C6915" t="s">
        <v>114</v>
      </c>
      <c r="D6915" t="s">
        <v>115</v>
      </c>
      <c r="E6915" s="1">
        <v>43960</v>
      </c>
      <c r="F6915">
        <v>1</v>
      </c>
      <c r="G6915" t="s">
        <v>33</v>
      </c>
      <c r="H6915" t="s">
        <v>34</v>
      </c>
      <c r="I6915" s="4">
        <v>2420</v>
      </c>
      <c r="J6915" s="3">
        <v>2420</v>
      </c>
      <c r="K6915" s="4">
        <v>394</v>
      </c>
      <c r="L6915" t="s">
        <v>113</v>
      </c>
      <c r="M6915">
        <v>19</v>
      </c>
      <c r="N6915" t="s">
        <v>150</v>
      </c>
      <c r="O6915" t="s">
        <v>81</v>
      </c>
      <c r="P6915" t="s">
        <v>136</v>
      </c>
      <c r="Q6915" t="s">
        <v>140</v>
      </c>
      <c r="R6915" t="s">
        <v>141</v>
      </c>
      <c r="S6915" t="s">
        <v>145</v>
      </c>
      <c r="T6915" s="2">
        <f>MASTER[[#This Row],[CANTIDAD]]*MASTER[[#This Row],[PRECIO DE VENTA]]</f>
        <v>2420</v>
      </c>
      <c r="U6915" s="2">
        <f>MASTER[[#This Row],[CANTIDAD]]*MASTER[[#This Row],[COSTO UNITARIO]]</f>
        <v>394</v>
      </c>
      <c r="V6915" s="2">
        <f>MASTER[[#This Row],[MONTO VENDIDO]]-MASTER[[#This Row],[COSTO DE VENTA]]</f>
        <v>2026</v>
      </c>
    </row>
    <row r="6916" spans="1:22" x14ac:dyDescent="0.3">
      <c r="A6916">
        <v>101699</v>
      </c>
      <c r="B6916">
        <v>1</v>
      </c>
      <c r="C6916" t="s">
        <v>109</v>
      </c>
      <c r="D6916" t="s">
        <v>110</v>
      </c>
      <c r="E6916" s="1">
        <v>43961</v>
      </c>
      <c r="F6916">
        <v>1</v>
      </c>
      <c r="G6916" t="s">
        <v>35</v>
      </c>
      <c r="H6916" t="s">
        <v>36</v>
      </c>
      <c r="I6916" s="4">
        <v>1383</v>
      </c>
      <c r="J6916" s="3">
        <v>1383</v>
      </c>
      <c r="K6916" s="4">
        <v>387</v>
      </c>
      <c r="L6916" t="s">
        <v>98</v>
      </c>
      <c r="M6916">
        <v>19</v>
      </c>
      <c r="N6916" t="s">
        <v>150</v>
      </c>
      <c r="O6916" t="s">
        <v>81</v>
      </c>
      <c r="P6916" t="s">
        <v>136</v>
      </c>
      <c r="Q6916" t="s">
        <v>140</v>
      </c>
      <c r="R6916" t="s">
        <v>141</v>
      </c>
      <c r="S6916" t="s">
        <v>145</v>
      </c>
      <c r="T6916" s="2">
        <f>MASTER[[#This Row],[CANTIDAD]]*MASTER[[#This Row],[PRECIO DE VENTA]]</f>
        <v>1383</v>
      </c>
      <c r="U6916" s="2">
        <f>MASTER[[#This Row],[CANTIDAD]]*MASTER[[#This Row],[COSTO UNITARIO]]</f>
        <v>387</v>
      </c>
      <c r="V6916" s="2">
        <f>MASTER[[#This Row],[MONTO VENDIDO]]-MASTER[[#This Row],[COSTO DE VENTA]]</f>
        <v>996</v>
      </c>
    </row>
    <row r="6917" spans="1:22" x14ac:dyDescent="0.3">
      <c r="A6917">
        <v>101701</v>
      </c>
      <c r="B6917">
        <v>1</v>
      </c>
      <c r="C6917" t="s">
        <v>92</v>
      </c>
      <c r="D6917" t="s">
        <v>93</v>
      </c>
      <c r="E6917" s="1">
        <v>43962</v>
      </c>
      <c r="F6917">
        <v>1</v>
      </c>
      <c r="G6917" t="s">
        <v>37</v>
      </c>
      <c r="H6917" t="s">
        <v>38</v>
      </c>
      <c r="I6917" s="4">
        <v>2425</v>
      </c>
      <c r="J6917" s="3">
        <v>2425</v>
      </c>
      <c r="K6917" s="4">
        <v>396</v>
      </c>
      <c r="L6917" t="s">
        <v>9</v>
      </c>
      <c r="M6917">
        <v>19</v>
      </c>
      <c r="N6917" t="s">
        <v>150</v>
      </c>
      <c r="O6917" t="s">
        <v>81</v>
      </c>
      <c r="P6917" t="s">
        <v>136</v>
      </c>
      <c r="Q6917" t="s">
        <v>140</v>
      </c>
      <c r="R6917" t="s">
        <v>141</v>
      </c>
      <c r="S6917" t="s">
        <v>145</v>
      </c>
      <c r="T6917" s="2">
        <f>MASTER[[#This Row],[CANTIDAD]]*MASTER[[#This Row],[PRECIO DE VENTA]]</f>
        <v>2425</v>
      </c>
      <c r="U6917" s="2">
        <f>MASTER[[#This Row],[CANTIDAD]]*MASTER[[#This Row],[COSTO UNITARIO]]</f>
        <v>396</v>
      </c>
      <c r="V6917" s="2">
        <f>MASTER[[#This Row],[MONTO VENDIDO]]-MASTER[[#This Row],[COSTO DE VENTA]]</f>
        <v>2029</v>
      </c>
    </row>
    <row r="6918" spans="1:22" x14ac:dyDescent="0.3">
      <c r="A6918">
        <v>101725</v>
      </c>
      <c r="B6918">
        <v>1</v>
      </c>
      <c r="C6918" t="s">
        <v>94</v>
      </c>
      <c r="D6918" t="s">
        <v>95</v>
      </c>
      <c r="E6918" s="1">
        <v>43962</v>
      </c>
      <c r="F6918">
        <v>1</v>
      </c>
      <c r="G6918" t="s">
        <v>53</v>
      </c>
      <c r="H6918" t="s">
        <v>54</v>
      </c>
      <c r="I6918" s="4">
        <v>1362</v>
      </c>
      <c r="J6918" s="3">
        <v>1362</v>
      </c>
      <c r="K6918" s="4">
        <v>392</v>
      </c>
      <c r="L6918" t="s">
        <v>9</v>
      </c>
      <c r="M6918">
        <v>19</v>
      </c>
      <c r="N6918" t="s">
        <v>150</v>
      </c>
      <c r="O6918" t="s">
        <v>81</v>
      </c>
      <c r="P6918" t="s">
        <v>136</v>
      </c>
      <c r="Q6918" t="s">
        <v>140</v>
      </c>
      <c r="R6918" t="s">
        <v>141</v>
      </c>
      <c r="S6918" t="s">
        <v>145</v>
      </c>
      <c r="T6918" s="2">
        <f>MASTER[[#This Row],[CANTIDAD]]*MASTER[[#This Row],[PRECIO DE VENTA]]</f>
        <v>1362</v>
      </c>
      <c r="U6918" s="2">
        <f>MASTER[[#This Row],[CANTIDAD]]*MASTER[[#This Row],[COSTO UNITARIO]]</f>
        <v>392</v>
      </c>
      <c r="V6918" s="2">
        <f>MASTER[[#This Row],[MONTO VENDIDO]]-MASTER[[#This Row],[COSTO DE VENTA]]</f>
        <v>970</v>
      </c>
    </row>
    <row r="6919" spans="1:22" x14ac:dyDescent="0.3">
      <c r="A6919">
        <v>101733</v>
      </c>
      <c r="B6919">
        <v>1</v>
      </c>
      <c r="C6919" t="s">
        <v>101</v>
      </c>
      <c r="D6919" t="s">
        <v>102</v>
      </c>
      <c r="E6919" s="1">
        <v>43963</v>
      </c>
      <c r="F6919">
        <v>1</v>
      </c>
      <c r="G6919" t="s">
        <v>59</v>
      </c>
      <c r="H6919" t="s">
        <v>60</v>
      </c>
      <c r="I6919" s="4">
        <v>1764</v>
      </c>
      <c r="J6919" s="3">
        <v>1764</v>
      </c>
      <c r="K6919" s="4">
        <v>442</v>
      </c>
      <c r="L6919" t="s">
        <v>98</v>
      </c>
      <c r="M6919">
        <v>17</v>
      </c>
      <c r="N6919" t="str">
        <f>IF(MASTER[[#This Row],[IDLOCAL]]=17,"HYDE PARK", "HARLEM IRVING")</f>
        <v>HYDE PARK</v>
      </c>
      <c r="O6919" t="str">
        <f>IF(MASTER[[#This Row],[IDLOCAL]]=17,"PREMIUM", "ESTÁNDAR")</f>
        <v>PREMIUM</v>
      </c>
      <c r="P6919" t="s">
        <v>137</v>
      </c>
      <c r="Q6919" t="s">
        <v>142</v>
      </c>
      <c r="R6919" t="s">
        <v>143</v>
      </c>
      <c r="S6919" t="s">
        <v>145</v>
      </c>
      <c r="T6919" s="2">
        <f>MASTER[[#This Row],[CANTIDAD]]*MASTER[[#This Row],[PRECIO DE VENTA]]</f>
        <v>1764</v>
      </c>
      <c r="U6919" s="2">
        <f>MASTER[[#This Row],[CANTIDAD]]*MASTER[[#This Row],[COSTO UNITARIO]]</f>
        <v>442</v>
      </c>
      <c r="V6919" s="2">
        <f>MASTER[[#This Row],[MONTO VENDIDO]]-MASTER[[#This Row],[COSTO DE VENTA]]</f>
        <v>1322</v>
      </c>
    </row>
    <row r="6920" spans="1:22" x14ac:dyDescent="0.3">
      <c r="A6920">
        <v>101734</v>
      </c>
      <c r="B6920">
        <v>1</v>
      </c>
      <c r="C6920" t="s">
        <v>109</v>
      </c>
      <c r="D6920" t="s">
        <v>110</v>
      </c>
      <c r="E6920" s="1">
        <v>43963</v>
      </c>
      <c r="F6920">
        <v>1</v>
      </c>
      <c r="G6920" t="s">
        <v>7</v>
      </c>
      <c r="H6920" t="s">
        <v>8</v>
      </c>
      <c r="I6920" s="4">
        <v>1231</v>
      </c>
      <c r="J6920" s="3">
        <v>1231</v>
      </c>
      <c r="K6920" s="4">
        <v>387</v>
      </c>
      <c r="L6920" t="s">
        <v>98</v>
      </c>
      <c r="M6920">
        <v>19</v>
      </c>
      <c r="N6920" t="s">
        <v>150</v>
      </c>
      <c r="O6920" t="s">
        <v>81</v>
      </c>
      <c r="P6920" t="s">
        <v>136</v>
      </c>
      <c r="Q6920" t="s">
        <v>140</v>
      </c>
      <c r="R6920" t="s">
        <v>141</v>
      </c>
      <c r="S6920" t="s">
        <v>145</v>
      </c>
      <c r="T6920" s="2">
        <f>MASTER[[#This Row],[CANTIDAD]]*MASTER[[#This Row],[PRECIO DE VENTA]]</f>
        <v>1231</v>
      </c>
      <c r="U6920" s="2">
        <f>MASTER[[#This Row],[CANTIDAD]]*MASTER[[#This Row],[COSTO UNITARIO]]</f>
        <v>387</v>
      </c>
      <c r="V6920" s="2">
        <f>MASTER[[#This Row],[MONTO VENDIDO]]-MASTER[[#This Row],[COSTO DE VENTA]]</f>
        <v>844</v>
      </c>
    </row>
    <row r="6921" spans="1:22" x14ac:dyDescent="0.3">
      <c r="A6921">
        <v>101736</v>
      </c>
      <c r="B6921">
        <v>1</v>
      </c>
      <c r="C6921" t="s">
        <v>121</v>
      </c>
      <c r="D6921" t="s">
        <v>122</v>
      </c>
      <c r="E6921" s="1">
        <v>43963</v>
      </c>
      <c r="F6921">
        <v>1</v>
      </c>
      <c r="G6921" t="s">
        <v>47</v>
      </c>
      <c r="H6921" t="s">
        <v>48</v>
      </c>
      <c r="I6921" s="4">
        <v>1389</v>
      </c>
      <c r="J6921" s="3">
        <v>1389</v>
      </c>
      <c r="K6921" s="4">
        <v>460</v>
      </c>
      <c r="L6921" t="s">
        <v>120</v>
      </c>
      <c r="M6921">
        <v>17</v>
      </c>
      <c r="N6921" t="str">
        <f>IF(MASTER[[#This Row],[IDLOCAL]]=17,"HYDE PARK", "HARLEM IRVING")</f>
        <v>HYDE PARK</v>
      </c>
      <c r="O6921" t="str">
        <f>IF(MASTER[[#This Row],[IDLOCAL]]=17,"PREMIUM", "ESTÁNDAR")</f>
        <v>PREMIUM</v>
      </c>
      <c r="P6921" t="s">
        <v>137</v>
      </c>
      <c r="Q6921" t="s">
        <v>142</v>
      </c>
      <c r="R6921" t="s">
        <v>143</v>
      </c>
      <c r="S6921" t="s">
        <v>145</v>
      </c>
      <c r="T6921" s="2">
        <f>MASTER[[#This Row],[CANTIDAD]]*MASTER[[#This Row],[PRECIO DE VENTA]]</f>
        <v>1389</v>
      </c>
      <c r="U6921" s="2">
        <f>MASTER[[#This Row],[CANTIDAD]]*MASTER[[#This Row],[COSTO UNITARIO]]</f>
        <v>460</v>
      </c>
      <c r="V6921" s="2">
        <f>MASTER[[#This Row],[MONTO VENDIDO]]-MASTER[[#This Row],[COSTO DE VENTA]]</f>
        <v>929</v>
      </c>
    </row>
    <row r="6922" spans="1:22" x14ac:dyDescent="0.3">
      <c r="A6922">
        <v>101754</v>
      </c>
      <c r="B6922">
        <v>1</v>
      </c>
      <c r="C6922" t="s">
        <v>96</v>
      </c>
      <c r="D6922" t="s">
        <v>97</v>
      </c>
      <c r="E6922" s="1">
        <v>43964</v>
      </c>
      <c r="F6922">
        <v>1</v>
      </c>
      <c r="G6922" t="s">
        <v>61</v>
      </c>
      <c r="H6922" t="s">
        <v>62</v>
      </c>
      <c r="I6922" s="4">
        <v>1554</v>
      </c>
      <c r="J6922" s="3">
        <v>1554</v>
      </c>
      <c r="K6922" s="4">
        <v>397</v>
      </c>
      <c r="L6922" t="s">
        <v>98</v>
      </c>
      <c r="M6922">
        <v>19</v>
      </c>
      <c r="N6922" t="s">
        <v>150</v>
      </c>
      <c r="O6922" t="s">
        <v>81</v>
      </c>
      <c r="P6922" t="s">
        <v>136</v>
      </c>
      <c r="Q6922" t="s">
        <v>140</v>
      </c>
      <c r="R6922" t="s">
        <v>141</v>
      </c>
      <c r="S6922" t="s">
        <v>145</v>
      </c>
      <c r="T6922" s="2">
        <f>MASTER[[#This Row],[CANTIDAD]]*MASTER[[#This Row],[PRECIO DE VENTA]]</f>
        <v>1554</v>
      </c>
      <c r="U6922" s="2">
        <f>MASTER[[#This Row],[CANTIDAD]]*MASTER[[#This Row],[COSTO UNITARIO]]</f>
        <v>397</v>
      </c>
      <c r="V6922" s="2">
        <f>MASTER[[#This Row],[MONTO VENDIDO]]-MASTER[[#This Row],[COSTO DE VENTA]]</f>
        <v>1157</v>
      </c>
    </row>
    <row r="6923" spans="1:22" x14ac:dyDescent="0.3">
      <c r="A6923">
        <v>101757</v>
      </c>
      <c r="B6923">
        <v>1</v>
      </c>
      <c r="C6923" t="s">
        <v>116</v>
      </c>
      <c r="D6923" t="s">
        <v>117</v>
      </c>
      <c r="E6923" s="1">
        <v>43964</v>
      </c>
      <c r="F6923">
        <v>1</v>
      </c>
      <c r="G6923" t="s">
        <v>24</v>
      </c>
      <c r="H6923" t="s">
        <v>25</v>
      </c>
      <c r="I6923" s="4">
        <v>2598</v>
      </c>
      <c r="J6923" s="3">
        <v>2598</v>
      </c>
      <c r="K6923" s="4">
        <v>388</v>
      </c>
      <c r="L6923" t="s">
        <v>113</v>
      </c>
      <c r="M6923">
        <v>19</v>
      </c>
      <c r="N6923" t="s">
        <v>150</v>
      </c>
      <c r="O6923" t="s">
        <v>81</v>
      </c>
      <c r="P6923" t="s">
        <v>136</v>
      </c>
      <c r="Q6923" t="s">
        <v>140</v>
      </c>
      <c r="R6923" t="s">
        <v>141</v>
      </c>
      <c r="S6923" t="s">
        <v>145</v>
      </c>
      <c r="T6923" s="2">
        <f>MASTER[[#This Row],[CANTIDAD]]*MASTER[[#This Row],[PRECIO DE VENTA]]</f>
        <v>2598</v>
      </c>
      <c r="U6923" s="2">
        <f>MASTER[[#This Row],[CANTIDAD]]*MASTER[[#This Row],[COSTO UNITARIO]]</f>
        <v>388</v>
      </c>
      <c r="V6923" s="2">
        <f>MASTER[[#This Row],[MONTO VENDIDO]]-MASTER[[#This Row],[COSTO DE VENTA]]</f>
        <v>2210</v>
      </c>
    </row>
    <row r="6924" spans="1:22" x14ac:dyDescent="0.3">
      <c r="A6924">
        <v>101768</v>
      </c>
      <c r="B6924">
        <v>1</v>
      </c>
      <c r="C6924" t="s">
        <v>121</v>
      </c>
      <c r="D6924" t="s">
        <v>122</v>
      </c>
      <c r="E6924" s="1">
        <v>43967</v>
      </c>
      <c r="F6924">
        <v>1</v>
      </c>
      <c r="G6924" t="s">
        <v>35</v>
      </c>
      <c r="H6924" t="s">
        <v>36</v>
      </c>
      <c r="I6924" s="4">
        <v>1223</v>
      </c>
      <c r="J6924" s="3">
        <v>1223</v>
      </c>
      <c r="K6924" s="4">
        <v>460</v>
      </c>
      <c r="L6924" t="s">
        <v>120</v>
      </c>
      <c r="M6924">
        <v>17</v>
      </c>
      <c r="N6924" t="str">
        <f>IF(MASTER[[#This Row],[IDLOCAL]]=17,"HYDE PARK", "HARLEM IRVING")</f>
        <v>HYDE PARK</v>
      </c>
      <c r="O6924" t="str">
        <f>IF(MASTER[[#This Row],[IDLOCAL]]=17,"PREMIUM", "ESTÁNDAR")</f>
        <v>PREMIUM</v>
      </c>
      <c r="P6924" t="s">
        <v>137</v>
      </c>
      <c r="Q6924" t="s">
        <v>142</v>
      </c>
      <c r="R6924" t="s">
        <v>143</v>
      </c>
      <c r="S6924" t="s">
        <v>145</v>
      </c>
      <c r="T6924" s="2">
        <f>MASTER[[#This Row],[CANTIDAD]]*MASTER[[#This Row],[PRECIO DE VENTA]]</f>
        <v>1223</v>
      </c>
      <c r="U6924" s="2">
        <f>MASTER[[#This Row],[CANTIDAD]]*MASTER[[#This Row],[COSTO UNITARIO]]</f>
        <v>460</v>
      </c>
      <c r="V6924" s="2">
        <f>MASTER[[#This Row],[MONTO VENDIDO]]-MASTER[[#This Row],[COSTO DE VENTA]]</f>
        <v>763</v>
      </c>
    </row>
    <row r="6925" spans="1:22" x14ac:dyDescent="0.3">
      <c r="A6925">
        <v>101772</v>
      </c>
      <c r="B6925">
        <v>1</v>
      </c>
      <c r="C6925" t="s">
        <v>96</v>
      </c>
      <c r="D6925" t="s">
        <v>97</v>
      </c>
      <c r="E6925" s="1">
        <v>43968</v>
      </c>
      <c r="F6925">
        <v>1</v>
      </c>
      <c r="G6925" t="s">
        <v>7</v>
      </c>
      <c r="H6925" t="s">
        <v>8</v>
      </c>
      <c r="I6925" s="4">
        <v>1653</v>
      </c>
      <c r="J6925" s="3">
        <v>1504</v>
      </c>
      <c r="K6925" s="4">
        <v>397</v>
      </c>
      <c r="L6925" t="s">
        <v>98</v>
      </c>
      <c r="M6925">
        <v>19</v>
      </c>
      <c r="N6925" t="s">
        <v>150</v>
      </c>
      <c r="O6925" t="s">
        <v>81</v>
      </c>
      <c r="P6925" t="s">
        <v>136</v>
      </c>
      <c r="Q6925" t="s">
        <v>140</v>
      </c>
      <c r="R6925" t="s">
        <v>141</v>
      </c>
      <c r="S6925" t="s">
        <v>145</v>
      </c>
      <c r="T6925" s="2">
        <f>MASTER[[#This Row],[CANTIDAD]]*MASTER[[#This Row],[PRECIO DE VENTA]]</f>
        <v>1504</v>
      </c>
      <c r="U6925" s="2">
        <f>MASTER[[#This Row],[CANTIDAD]]*MASTER[[#This Row],[COSTO UNITARIO]]</f>
        <v>397</v>
      </c>
      <c r="V6925" s="2">
        <f>MASTER[[#This Row],[MONTO VENDIDO]]-MASTER[[#This Row],[COSTO DE VENTA]]</f>
        <v>1107</v>
      </c>
    </row>
    <row r="6926" spans="1:22" x14ac:dyDescent="0.3">
      <c r="A6926">
        <v>101780</v>
      </c>
      <c r="B6926">
        <v>1</v>
      </c>
      <c r="C6926" t="s">
        <v>101</v>
      </c>
      <c r="D6926" t="s">
        <v>102</v>
      </c>
      <c r="E6926" s="1">
        <v>43968</v>
      </c>
      <c r="F6926">
        <v>1</v>
      </c>
      <c r="G6926" t="s">
        <v>73</v>
      </c>
      <c r="H6926" t="s">
        <v>74</v>
      </c>
      <c r="I6926" s="4">
        <v>1575</v>
      </c>
      <c r="J6926" s="3">
        <v>1575</v>
      </c>
      <c r="K6926" s="4">
        <v>442</v>
      </c>
      <c r="L6926" t="s">
        <v>98</v>
      </c>
      <c r="M6926">
        <v>17</v>
      </c>
      <c r="N6926" t="str">
        <f>IF(MASTER[[#This Row],[IDLOCAL]]=17,"HYDE PARK", "HARLEM IRVING")</f>
        <v>HYDE PARK</v>
      </c>
      <c r="O6926" t="str">
        <f>IF(MASTER[[#This Row],[IDLOCAL]]=17,"PREMIUM", "ESTÁNDAR")</f>
        <v>PREMIUM</v>
      </c>
      <c r="P6926" t="s">
        <v>137</v>
      </c>
      <c r="Q6926" t="s">
        <v>142</v>
      </c>
      <c r="R6926" t="s">
        <v>143</v>
      </c>
      <c r="S6926" t="s">
        <v>145</v>
      </c>
      <c r="T6926" s="2">
        <f>MASTER[[#This Row],[CANTIDAD]]*MASTER[[#This Row],[PRECIO DE VENTA]]</f>
        <v>1575</v>
      </c>
      <c r="U6926" s="2">
        <f>MASTER[[#This Row],[CANTIDAD]]*MASTER[[#This Row],[COSTO UNITARIO]]</f>
        <v>442</v>
      </c>
      <c r="V6926" s="2">
        <f>MASTER[[#This Row],[MONTO VENDIDO]]-MASTER[[#This Row],[COSTO DE VENTA]]</f>
        <v>1133</v>
      </c>
    </row>
    <row r="6927" spans="1:22" x14ac:dyDescent="0.3">
      <c r="A6927">
        <v>101786</v>
      </c>
      <c r="B6927">
        <v>1</v>
      </c>
      <c r="C6927" t="s">
        <v>103</v>
      </c>
      <c r="D6927" t="s">
        <v>104</v>
      </c>
      <c r="E6927" s="1">
        <v>43968</v>
      </c>
      <c r="F6927">
        <v>1</v>
      </c>
      <c r="G6927" t="s">
        <v>57</v>
      </c>
      <c r="H6927" t="s">
        <v>58</v>
      </c>
      <c r="I6927" s="4">
        <v>2068</v>
      </c>
      <c r="J6927" s="3">
        <v>2068</v>
      </c>
      <c r="K6927" s="4">
        <v>421</v>
      </c>
      <c r="L6927" t="s">
        <v>98</v>
      </c>
      <c r="M6927">
        <v>19</v>
      </c>
      <c r="N6927" t="s">
        <v>150</v>
      </c>
      <c r="O6927" t="s">
        <v>81</v>
      </c>
      <c r="P6927" t="s">
        <v>136</v>
      </c>
      <c r="Q6927" t="s">
        <v>140</v>
      </c>
      <c r="R6927" t="s">
        <v>141</v>
      </c>
      <c r="S6927" t="s">
        <v>145</v>
      </c>
      <c r="T6927" s="2">
        <f>MASTER[[#This Row],[CANTIDAD]]*MASTER[[#This Row],[PRECIO DE VENTA]]</f>
        <v>2068</v>
      </c>
      <c r="U6927" s="2">
        <f>MASTER[[#This Row],[CANTIDAD]]*MASTER[[#This Row],[COSTO UNITARIO]]</f>
        <v>421</v>
      </c>
      <c r="V6927" s="2">
        <f>MASTER[[#This Row],[MONTO VENDIDO]]-MASTER[[#This Row],[COSTO DE VENTA]]</f>
        <v>1647</v>
      </c>
    </row>
    <row r="6928" spans="1:22" x14ac:dyDescent="0.3">
      <c r="A6928">
        <v>101798</v>
      </c>
      <c r="B6928">
        <v>1</v>
      </c>
      <c r="C6928" t="s">
        <v>105</v>
      </c>
      <c r="D6928" t="s">
        <v>106</v>
      </c>
      <c r="E6928" s="1">
        <v>43968</v>
      </c>
      <c r="F6928">
        <v>1</v>
      </c>
      <c r="G6928" t="s">
        <v>27</v>
      </c>
      <c r="H6928" t="s">
        <v>28</v>
      </c>
      <c r="I6928" s="4">
        <v>2424</v>
      </c>
      <c r="J6928" s="3">
        <v>2424</v>
      </c>
      <c r="K6928" s="4">
        <v>459</v>
      </c>
      <c r="L6928" t="s">
        <v>98</v>
      </c>
      <c r="M6928">
        <v>19</v>
      </c>
      <c r="N6928" t="s">
        <v>150</v>
      </c>
      <c r="O6928" t="s">
        <v>81</v>
      </c>
      <c r="P6928" t="s">
        <v>136</v>
      </c>
      <c r="Q6928" t="s">
        <v>140</v>
      </c>
      <c r="R6928" t="s">
        <v>141</v>
      </c>
      <c r="S6928" t="s">
        <v>145</v>
      </c>
      <c r="T6928" s="2">
        <f>MASTER[[#This Row],[CANTIDAD]]*MASTER[[#This Row],[PRECIO DE VENTA]]</f>
        <v>2424</v>
      </c>
      <c r="U6928" s="2">
        <f>MASTER[[#This Row],[CANTIDAD]]*MASTER[[#This Row],[COSTO UNITARIO]]</f>
        <v>459</v>
      </c>
      <c r="V6928" s="2">
        <f>MASTER[[#This Row],[MONTO VENDIDO]]-MASTER[[#This Row],[COSTO DE VENTA]]</f>
        <v>1965</v>
      </c>
    </row>
    <row r="6929" spans="1:22" x14ac:dyDescent="0.3">
      <c r="A6929">
        <v>101818</v>
      </c>
      <c r="B6929">
        <v>1</v>
      </c>
      <c r="C6929" t="s">
        <v>114</v>
      </c>
      <c r="D6929" t="s">
        <v>115</v>
      </c>
      <c r="E6929" s="1">
        <v>43969</v>
      </c>
      <c r="F6929">
        <v>1</v>
      </c>
      <c r="G6929" t="s">
        <v>39</v>
      </c>
      <c r="H6929" t="s">
        <v>40</v>
      </c>
      <c r="I6929" s="4">
        <v>2639</v>
      </c>
      <c r="J6929" s="3">
        <v>2639</v>
      </c>
      <c r="K6929" s="4">
        <v>394</v>
      </c>
      <c r="L6929" t="s">
        <v>113</v>
      </c>
      <c r="M6929">
        <v>19</v>
      </c>
      <c r="N6929" t="s">
        <v>150</v>
      </c>
      <c r="O6929" t="s">
        <v>81</v>
      </c>
      <c r="P6929" t="s">
        <v>136</v>
      </c>
      <c r="Q6929" t="s">
        <v>140</v>
      </c>
      <c r="R6929" t="s">
        <v>141</v>
      </c>
      <c r="S6929" t="s">
        <v>145</v>
      </c>
      <c r="T6929" s="2">
        <f>MASTER[[#This Row],[CANTIDAD]]*MASTER[[#This Row],[PRECIO DE VENTA]]</f>
        <v>2639</v>
      </c>
      <c r="U6929" s="2">
        <f>MASTER[[#This Row],[CANTIDAD]]*MASTER[[#This Row],[COSTO UNITARIO]]</f>
        <v>394</v>
      </c>
      <c r="V6929" s="2">
        <f>MASTER[[#This Row],[MONTO VENDIDO]]-MASTER[[#This Row],[COSTO DE VENTA]]</f>
        <v>2245</v>
      </c>
    </row>
    <row r="6930" spans="1:22" x14ac:dyDescent="0.3">
      <c r="A6930">
        <v>101835</v>
      </c>
      <c r="B6930">
        <v>1</v>
      </c>
      <c r="C6930" t="s">
        <v>5</v>
      </c>
      <c r="D6930" t="s">
        <v>6</v>
      </c>
      <c r="E6930" s="1">
        <v>43970</v>
      </c>
      <c r="F6930">
        <v>1</v>
      </c>
      <c r="G6930" t="s">
        <v>35</v>
      </c>
      <c r="H6930" t="s">
        <v>36</v>
      </c>
      <c r="I6930" s="4">
        <v>1959</v>
      </c>
      <c r="J6930" s="3">
        <v>1959</v>
      </c>
      <c r="K6930" s="4">
        <v>393</v>
      </c>
      <c r="L6930" t="s">
        <v>9</v>
      </c>
      <c r="M6930">
        <v>19</v>
      </c>
      <c r="N6930" t="s">
        <v>150</v>
      </c>
      <c r="O6930" t="s">
        <v>81</v>
      </c>
      <c r="P6930" t="s">
        <v>136</v>
      </c>
      <c r="Q6930" t="s">
        <v>140</v>
      </c>
      <c r="R6930" t="s">
        <v>141</v>
      </c>
      <c r="S6930" t="s">
        <v>145</v>
      </c>
      <c r="T6930" s="2">
        <f>MASTER[[#This Row],[CANTIDAD]]*MASTER[[#This Row],[PRECIO DE VENTA]]</f>
        <v>1959</v>
      </c>
      <c r="U6930" s="2">
        <f>MASTER[[#This Row],[CANTIDAD]]*MASTER[[#This Row],[COSTO UNITARIO]]</f>
        <v>393</v>
      </c>
      <c r="V6930" s="2">
        <f>MASTER[[#This Row],[MONTO VENDIDO]]-MASTER[[#This Row],[COSTO DE VENTA]]</f>
        <v>1566</v>
      </c>
    </row>
    <row r="6931" spans="1:22" x14ac:dyDescent="0.3">
      <c r="A6931">
        <v>101838</v>
      </c>
      <c r="B6931">
        <v>1</v>
      </c>
      <c r="C6931" t="s">
        <v>94</v>
      </c>
      <c r="D6931" t="s">
        <v>95</v>
      </c>
      <c r="E6931" s="1">
        <v>43973</v>
      </c>
      <c r="F6931">
        <v>1</v>
      </c>
      <c r="G6931" t="s">
        <v>63</v>
      </c>
      <c r="H6931" t="s">
        <v>64</v>
      </c>
      <c r="I6931" s="4">
        <v>1171</v>
      </c>
      <c r="J6931" s="3">
        <v>1171</v>
      </c>
      <c r="K6931" s="4">
        <v>392</v>
      </c>
      <c r="L6931" t="s">
        <v>9</v>
      </c>
      <c r="M6931">
        <v>17</v>
      </c>
      <c r="N6931" t="str">
        <f>IF(MASTER[[#This Row],[IDLOCAL]]=17,"HYDE PARK", "HARLEM IRVING")</f>
        <v>HYDE PARK</v>
      </c>
      <c r="O6931" t="str">
        <f>IF(MASTER[[#This Row],[IDLOCAL]]=17,"PREMIUM", "ESTÁNDAR")</f>
        <v>PREMIUM</v>
      </c>
      <c r="P6931" t="s">
        <v>137</v>
      </c>
      <c r="Q6931" t="s">
        <v>142</v>
      </c>
      <c r="R6931" t="s">
        <v>143</v>
      </c>
      <c r="S6931" t="s">
        <v>145</v>
      </c>
      <c r="T6931" s="2">
        <f>MASTER[[#This Row],[CANTIDAD]]*MASTER[[#This Row],[PRECIO DE VENTA]]</f>
        <v>1171</v>
      </c>
      <c r="U6931" s="2">
        <f>MASTER[[#This Row],[CANTIDAD]]*MASTER[[#This Row],[COSTO UNITARIO]]</f>
        <v>392</v>
      </c>
      <c r="V6931" s="2">
        <f>MASTER[[#This Row],[MONTO VENDIDO]]-MASTER[[#This Row],[COSTO DE VENTA]]</f>
        <v>779</v>
      </c>
    </row>
    <row r="6932" spans="1:22" x14ac:dyDescent="0.3">
      <c r="A6932">
        <v>101846</v>
      </c>
      <c r="B6932">
        <v>1</v>
      </c>
      <c r="C6932" t="s">
        <v>118</v>
      </c>
      <c r="D6932" t="s">
        <v>119</v>
      </c>
      <c r="E6932" s="1">
        <v>43974</v>
      </c>
      <c r="F6932">
        <v>1</v>
      </c>
      <c r="G6932" t="s">
        <v>59</v>
      </c>
      <c r="H6932" t="s">
        <v>60</v>
      </c>
      <c r="I6932" s="4">
        <v>1333</v>
      </c>
      <c r="J6932" s="3">
        <v>1333</v>
      </c>
      <c r="K6932" s="4">
        <v>424</v>
      </c>
      <c r="L6932" t="s">
        <v>120</v>
      </c>
      <c r="M6932">
        <v>17</v>
      </c>
      <c r="N6932" t="str">
        <f>IF(MASTER[[#This Row],[IDLOCAL]]=17,"HYDE PARK", "HARLEM IRVING")</f>
        <v>HYDE PARK</v>
      </c>
      <c r="O6932" t="str">
        <f>IF(MASTER[[#This Row],[IDLOCAL]]=17,"PREMIUM", "ESTÁNDAR")</f>
        <v>PREMIUM</v>
      </c>
      <c r="P6932" t="s">
        <v>137</v>
      </c>
      <c r="Q6932" t="s">
        <v>142</v>
      </c>
      <c r="R6932" t="s">
        <v>143</v>
      </c>
      <c r="S6932" t="s">
        <v>145</v>
      </c>
      <c r="T6932" s="2">
        <f>MASTER[[#This Row],[CANTIDAD]]*MASTER[[#This Row],[PRECIO DE VENTA]]</f>
        <v>1333</v>
      </c>
      <c r="U6932" s="2">
        <f>MASTER[[#This Row],[CANTIDAD]]*MASTER[[#This Row],[COSTO UNITARIO]]</f>
        <v>424</v>
      </c>
      <c r="V6932" s="2">
        <f>MASTER[[#This Row],[MONTO VENDIDO]]-MASTER[[#This Row],[COSTO DE VENTA]]</f>
        <v>909</v>
      </c>
    </row>
    <row r="6933" spans="1:22" x14ac:dyDescent="0.3">
      <c r="A6933">
        <v>101875</v>
      </c>
      <c r="B6933">
        <v>1</v>
      </c>
      <c r="C6933" t="s">
        <v>103</v>
      </c>
      <c r="D6933" t="s">
        <v>104</v>
      </c>
      <c r="E6933" s="1">
        <v>43975</v>
      </c>
      <c r="F6933">
        <v>1</v>
      </c>
      <c r="G6933" t="s">
        <v>59</v>
      </c>
      <c r="H6933" t="s">
        <v>60</v>
      </c>
      <c r="I6933" s="4">
        <v>2068</v>
      </c>
      <c r="J6933" s="3">
        <v>2068</v>
      </c>
      <c r="K6933" s="4">
        <v>421</v>
      </c>
      <c r="L6933" t="s">
        <v>98</v>
      </c>
      <c r="M6933">
        <v>17</v>
      </c>
      <c r="N6933" t="str">
        <f>IF(MASTER[[#This Row],[IDLOCAL]]=17,"HYDE PARK", "HARLEM IRVING")</f>
        <v>HYDE PARK</v>
      </c>
      <c r="O6933" t="str">
        <f>IF(MASTER[[#This Row],[IDLOCAL]]=17,"PREMIUM", "ESTÁNDAR")</f>
        <v>PREMIUM</v>
      </c>
      <c r="P6933" t="s">
        <v>137</v>
      </c>
      <c r="Q6933" t="s">
        <v>142</v>
      </c>
      <c r="R6933" t="s">
        <v>143</v>
      </c>
      <c r="S6933" t="s">
        <v>145</v>
      </c>
      <c r="T6933" s="2">
        <f>MASTER[[#This Row],[CANTIDAD]]*MASTER[[#This Row],[PRECIO DE VENTA]]</f>
        <v>2068</v>
      </c>
      <c r="U6933" s="2">
        <f>MASTER[[#This Row],[CANTIDAD]]*MASTER[[#This Row],[COSTO UNITARIO]]</f>
        <v>421</v>
      </c>
      <c r="V6933" s="2">
        <f>MASTER[[#This Row],[MONTO VENDIDO]]-MASTER[[#This Row],[COSTO DE VENTA]]</f>
        <v>1647</v>
      </c>
    </row>
    <row r="6934" spans="1:22" x14ac:dyDescent="0.3">
      <c r="A6934">
        <v>101890</v>
      </c>
      <c r="B6934">
        <v>1</v>
      </c>
      <c r="C6934" t="s">
        <v>111</v>
      </c>
      <c r="D6934" t="s">
        <v>112</v>
      </c>
      <c r="E6934" s="1">
        <v>43975</v>
      </c>
      <c r="F6934">
        <v>1</v>
      </c>
      <c r="G6934" t="s">
        <v>41</v>
      </c>
      <c r="H6934" t="s">
        <v>42</v>
      </c>
      <c r="I6934" s="4">
        <v>2338</v>
      </c>
      <c r="J6934" s="3">
        <v>2338</v>
      </c>
      <c r="K6934" s="4">
        <v>434</v>
      </c>
      <c r="L6934" t="s">
        <v>113</v>
      </c>
      <c r="M6934">
        <v>19</v>
      </c>
      <c r="N6934" t="s">
        <v>150</v>
      </c>
      <c r="O6934" t="s">
        <v>81</v>
      </c>
      <c r="P6934" t="s">
        <v>136</v>
      </c>
      <c r="Q6934" t="s">
        <v>140</v>
      </c>
      <c r="R6934" t="s">
        <v>141</v>
      </c>
      <c r="S6934" t="s">
        <v>145</v>
      </c>
      <c r="T6934" s="2">
        <f>MASTER[[#This Row],[CANTIDAD]]*MASTER[[#This Row],[PRECIO DE VENTA]]</f>
        <v>2338</v>
      </c>
      <c r="U6934" s="2">
        <f>MASTER[[#This Row],[CANTIDAD]]*MASTER[[#This Row],[COSTO UNITARIO]]</f>
        <v>434</v>
      </c>
      <c r="V6934" s="2">
        <f>MASTER[[#This Row],[MONTO VENDIDO]]-MASTER[[#This Row],[COSTO DE VENTA]]</f>
        <v>1904</v>
      </c>
    </row>
    <row r="6935" spans="1:22" x14ac:dyDescent="0.3">
      <c r="A6935">
        <v>101919</v>
      </c>
      <c r="B6935">
        <v>1</v>
      </c>
      <c r="C6935" t="s">
        <v>94</v>
      </c>
      <c r="D6935" t="s">
        <v>95</v>
      </c>
      <c r="E6935" s="1">
        <v>43978</v>
      </c>
      <c r="F6935">
        <v>1</v>
      </c>
      <c r="G6935" t="s">
        <v>31</v>
      </c>
      <c r="H6935" t="s">
        <v>32</v>
      </c>
      <c r="I6935" s="4">
        <v>1498</v>
      </c>
      <c r="J6935" s="3">
        <v>1498</v>
      </c>
      <c r="K6935" s="4">
        <v>392</v>
      </c>
      <c r="L6935" t="s">
        <v>9</v>
      </c>
      <c r="M6935">
        <v>17</v>
      </c>
      <c r="N6935" t="str">
        <f>IF(MASTER[[#This Row],[IDLOCAL]]=17,"HYDE PARK", "HARLEM IRVING")</f>
        <v>HYDE PARK</v>
      </c>
      <c r="O6935" t="str">
        <f>IF(MASTER[[#This Row],[IDLOCAL]]=17,"PREMIUM", "ESTÁNDAR")</f>
        <v>PREMIUM</v>
      </c>
      <c r="P6935" t="s">
        <v>137</v>
      </c>
      <c r="Q6935" t="s">
        <v>142</v>
      </c>
      <c r="R6935" t="s">
        <v>143</v>
      </c>
      <c r="S6935" t="s">
        <v>145</v>
      </c>
      <c r="T6935" s="2">
        <f>MASTER[[#This Row],[CANTIDAD]]*MASTER[[#This Row],[PRECIO DE VENTA]]</f>
        <v>1498</v>
      </c>
      <c r="U6935" s="2">
        <f>MASTER[[#This Row],[CANTIDAD]]*MASTER[[#This Row],[COSTO UNITARIO]]</f>
        <v>392</v>
      </c>
      <c r="V6935" s="2">
        <f>MASTER[[#This Row],[MONTO VENDIDO]]-MASTER[[#This Row],[COSTO DE VENTA]]</f>
        <v>1106</v>
      </c>
    </row>
    <row r="6936" spans="1:22" x14ac:dyDescent="0.3">
      <c r="A6936">
        <v>101923</v>
      </c>
      <c r="B6936">
        <v>1</v>
      </c>
      <c r="C6936" t="s">
        <v>107</v>
      </c>
      <c r="D6936" t="s">
        <v>108</v>
      </c>
      <c r="E6936" s="1">
        <v>43978</v>
      </c>
      <c r="F6936">
        <v>1</v>
      </c>
      <c r="G6936" t="s">
        <v>47</v>
      </c>
      <c r="H6936" t="s">
        <v>48</v>
      </c>
      <c r="I6936" s="4">
        <v>1732</v>
      </c>
      <c r="J6936" s="3">
        <v>1732</v>
      </c>
      <c r="K6936" s="4">
        <v>380</v>
      </c>
      <c r="L6936" t="s">
        <v>98</v>
      </c>
      <c r="M6936">
        <v>19</v>
      </c>
      <c r="N6936" t="s">
        <v>150</v>
      </c>
      <c r="O6936" t="s">
        <v>81</v>
      </c>
      <c r="P6936" t="s">
        <v>136</v>
      </c>
      <c r="Q6936" t="s">
        <v>140</v>
      </c>
      <c r="R6936" t="s">
        <v>141</v>
      </c>
      <c r="S6936" t="s">
        <v>145</v>
      </c>
      <c r="T6936" s="2">
        <f>MASTER[[#This Row],[CANTIDAD]]*MASTER[[#This Row],[PRECIO DE VENTA]]</f>
        <v>1732</v>
      </c>
      <c r="U6936" s="2">
        <f>MASTER[[#This Row],[CANTIDAD]]*MASTER[[#This Row],[COSTO UNITARIO]]</f>
        <v>380</v>
      </c>
      <c r="V6936" s="2">
        <f>MASTER[[#This Row],[MONTO VENDIDO]]-MASTER[[#This Row],[COSTO DE VENTA]]</f>
        <v>1352</v>
      </c>
    </row>
    <row r="6937" spans="1:22" x14ac:dyDescent="0.3">
      <c r="A6937">
        <v>101933</v>
      </c>
      <c r="B6937">
        <v>1</v>
      </c>
      <c r="C6937" t="s">
        <v>116</v>
      </c>
      <c r="D6937" t="s">
        <v>117</v>
      </c>
      <c r="E6937" s="1">
        <v>43978</v>
      </c>
      <c r="F6937">
        <v>1</v>
      </c>
      <c r="G6937" t="s">
        <v>24</v>
      </c>
      <c r="H6937" t="s">
        <v>25</v>
      </c>
      <c r="I6937" s="4">
        <v>1987</v>
      </c>
      <c r="J6937" s="3">
        <v>1987</v>
      </c>
      <c r="K6937" s="4">
        <v>388</v>
      </c>
      <c r="L6937" t="s">
        <v>113</v>
      </c>
      <c r="M6937">
        <v>19</v>
      </c>
      <c r="N6937" t="s">
        <v>150</v>
      </c>
      <c r="O6937" t="s">
        <v>81</v>
      </c>
      <c r="P6937" t="s">
        <v>136</v>
      </c>
      <c r="Q6937" t="s">
        <v>140</v>
      </c>
      <c r="R6937" t="s">
        <v>141</v>
      </c>
      <c r="S6937" t="s">
        <v>145</v>
      </c>
      <c r="T6937" s="2">
        <f>MASTER[[#This Row],[CANTIDAD]]*MASTER[[#This Row],[PRECIO DE VENTA]]</f>
        <v>1987</v>
      </c>
      <c r="U6937" s="2">
        <f>MASTER[[#This Row],[CANTIDAD]]*MASTER[[#This Row],[COSTO UNITARIO]]</f>
        <v>388</v>
      </c>
      <c r="V6937" s="2">
        <f>MASTER[[#This Row],[MONTO VENDIDO]]-MASTER[[#This Row],[COSTO DE VENTA]]</f>
        <v>1599</v>
      </c>
    </row>
    <row r="6938" spans="1:22" x14ac:dyDescent="0.3">
      <c r="A6938">
        <v>101937</v>
      </c>
      <c r="B6938">
        <v>1</v>
      </c>
      <c r="C6938" t="s">
        <v>118</v>
      </c>
      <c r="D6938" t="s">
        <v>119</v>
      </c>
      <c r="E6938" s="1">
        <v>43978</v>
      </c>
      <c r="F6938">
        <v>1</v>
      </c>
      <c r="G6938" t="s">
        <v>31</v>
      </c>
      <c r="H6938" t="s">
        <v>32</v>
      </c>
      <c r="I6938" s="4">
        <v>1170</v>
      </c>
      <c r="J6938" s="3">
        <v>1170</v>
      </c>
      <c r="K6938" s="4">
        <v>424</v>
      </c>
      <c r="L6938" t="s">
        <v>120</v>
      </c>
      <c r="M6938">
        <v>19</v>
      </c>
      <c r="N6938" t="s">
        <v>150</v>
      </c>
      <c r="O6938" t="s">
        <v>81</v>
      </c>
      <c r="P6938" t="s">
        <v>136</v>
      </c>
      <c r="Q6938" t="s">
        <v>140</v>
      </c>
      <c r="R6938" t="s">
        <v>141</v>
      </c>
      <c r="S6938" t="s">
        <v>145</v>
      </c>
      <c r="T6938" s="2">
        <f>MASTER[[#This Row],[CANTIDAD]]*MASTER[[#This Row],[PRECIO DE VENTA]]</f>
        <v>1170</v>
      </c>
      <c r="U6938" s="2">
        <f>MASTER[[#This Row],[CANTIDAD]]*MASTER[[#This Row],[COSTO UNITARIO]]</f>
        <v>424</v>
      </c>
      <c r="V6938" s="2">
        <f>MASTER[[#This Row],[MONTO VENDIDO]]-MASTER[[#This Row],[COSTO DE VENTA]]</f>
        <v>746</v>
      </c>
    </row>
    <row r="6939" spans="1:22" x14ac:dyDescent="0.3">
      <c r="A6939">
        <v>101952</v>
      </c>
      <c r="B6939">
        <v>1</v>
      </c>
      <c r="C6939" t="s">
        <v>107</v>
      </c>
      <c r="D6939" t="s">
        <v>108</v>
      </c>
      <c r="E6939" s="1">
        <v>43979</v>
      </c>
      <c r="F6939">
        <v>1</v>
      </c>
      <c r="G6939" t="s">
        <v>61</v>
      </c>
      <c r="H6939" t="s">
        <v>62</v>
      </c>
      <c r="I6939" s="4">
        <v>1872</v>
      </c>
      <c r="J6939" s="3">
        <v>1872</v>
      </c>
      <c r="K6939" s="4">
        <v>380</v>
      </c>
      <c r="L6939" t="s">
        <v>98</v>
      </c>
      <c r="M6939">
        <v>18</v>
      </c>
      <c r="N6939" t="str">
        <f>IF(MASTER[[#This Row],[IDLOCAL]]=17,"HYDE PARK", "HARLEM IRVING")</f>
        <v>HARLEM IRVING</v>
      </c>
      <c r="O6939" t="str">
        <f>IF(MASTER[[#This Row],[IDLOCAL]]=17,"PREMIUM", "ESTÁNDAR")</f>
        <v>ESTÁNDAR</v>
      </c>
      <c r="P6939" t="s">
        <v>137</v>
      </c>
      <c r="Q6939" t="s">
        <v>142</v>
      </c>
      <c r="R6939" t="s">
        <v>143</v>
      </c>
      <c r="S6939" t="s">
        <v>145</v>
      </c>
      <c r="T6939" s="2">
        <f>MASTER[[#This Row],[CANTIDAD]]*MASTER[[#This Row],[PRECIO DE VENTA]]</f>
        <v>1872</v>
      </c>
      <c r="U6939" s="2">
        <f>MASTER[[#This Row],[CANTIDAD]]*MASTER[[#This Row],[COSTO UNITARIO]]</f>
        <v>380</v>
      </c>
      <c r="V6939" s="2">
        <f>MASTER[[#This Row],[MONTO VENDIDO]]-MASTER[[#This Row],[COSTO DE VENTA]]</f>
        <v>1492</v>
      </c>
    </row>
    <row r="6940" spans="1:22" x14ac:dyDescent="0.3">
      <c r="A6940">
        <v>101976</v>
      </c>
      <c r="B6940">
        <v>1</v>
      </c>
      <c r="C6940" t="s">
        <v>94</v>
      </c>
      <c r="D6940" t="s">
        <v>95</v>
      </c>
      <c r="E6940" s="1">
        <v>43981</v>
      </c>
      <c r="F6940">
        <v>1</v>
      </c>
      <c r="G6940" t="s">
        <v>73</v>
      </c>
      <c r="H6940" t="s">
        <v>74</v>
      </c>
      <c r="I6940" s="4">
        <v>1362</v>
      </c>
      <c r="J6940" s="3">
        <v>1362</v>
      </c>
      <c r="K6940" s="4">
        <v>392</v>
      </c>
      <c r="L6940" t="s">
        <v>9</v>
      </c>
      <c r="M6940">
        <v>17</v>
      </c>
      <c r="N6940" t="str">
        <f>IF(MASTER[[#This Row],[IDLOCAL]]=17,"HYDE PARK", "HARLEM IRVING")</f>
        <v>HYDE PARK</v>
      </c>
      <c r="O6940" t="str">
        <f>IF(MASTER[[#This Row],[IDLOCAL]]=17,"PREMIUM", "ESTÁNDAR")</f>
        <v>PREMIUM</v>
      </c>
      <c r="P6940" t="s">
        <v>137</v>
      </c>
      <c r="Q6940" t="s">
        <v>142</v>
      </c>
      <c r="R6940" t="s">
        <v>143</v>
      </c>
      <c r="S6940" t="s">
        <v>145</v>
      </c>
      <c r="T6940" s="2">
        <f>MASTER[[#This Row],[CANTIDAD]]*MASTER[[#This Row],[PRECIO DE VENTA]]</f>
        <v>1362</v>
      </c>
      <c r="U6940" s="2">
        <f>MASTER[[#This Row],[CANTIDAD]]*MASTER[[#This Row],[COSTO UNITARIO]]</f>
        <v>392</v>
      </c>
      <c r="V6940" s="2">
        <f>MASTER[[#This Row],[MONTO VENDIDO]]-MASTER[[#This Row],[COSTO DE VENTA]]</f>
        <v>970</v>
      </c>
    </row>
    <row r="6941" spans="1:22" x14ac:dyDescent="0.3">
      <c r="A6941">
        <v>101980</v>
      </c>
      <c r="B6941">
        <v>1</v>
      </c>
      <c r="C6941" t="s">
        <v>109</v>
      </c>
      <c r="D6941" t="s">
        <v>110</v>
      </c>
      <c r="E6941" s="1">
        <v>43981</v>
      </c>
      <c r="F6941">
        <v>1</v>
      </c>
      <c r="G6941" t="s">
        <v>33</v>
      </c>
      <c r="H6941" t="s">
        <v>34</v>
      </c>
      <c r="I6941" s="4">
        <v>1383</v>
      </c>
      <c r="J6941" s="3">
        <v>1383</v>
      </c>
      <c r="K6941" s="4">
        <v>387</v>
      </c>
      <c r="L6941" t="s">
        <v>98</v>
      </c>
      <c r="M6941">
        <v>18</v>
      </c>
      <c r="N6941" t="str">
        <f>IF(MASTER[[#This Row],[IDLOCAL]]=17,"HYDE PARK", "HARLEM IRVING")</f>
        <v>HARLEM IRVING</v>
      </c>
      <c r="O6941" t="str">
        <f>IF(MASTER[[#This Row],[IDLOCAL]]=17,"PREMIUM", "ESTÁNDAR")</f>
        <v>ESTÁNDAR</v>
      </c>
      <c r="P6941" t="s">
        <v>137</v>
      </c>
      <c r="Q6941" t="s">
        <v>142</v>
      </c>
      <c r="R6941" t="s">
        <v>143</v>
      </c>
      <c r="S6941" t="s">
        <v>145</v>
      </c>
      <c r="T6941" s="2">
        <f>MASTER[[#This Row],[CANTIDAD]]*MASTER[[#This Row],[PRECIO DE VENTA]]</f>
        <v>1383</v>
      </c>
      <c r="U6941" s="2">
        <f>MASTER[[#This Row],[CANTIDAD]]*MASTER[[#This Row],[COSTO UNITARIO]]</f>
        <v>387</v>
      </c>
      <c r="V6941" s="2">
        <f>MASTER[[#This Row],[MONTO VENDIDO]]-MASTER[[#This Row],[COSTO DE VENTA]]</f>
        <v>996</v>
      </c>
    </row>
    <row r="6942" spans="1:22" x14ac:dyDescent="0.3">
      <c r="A6942">
        <v>102002</v>
      </c>
      <c r="B6942">
        <v>1</v>
      </c>
      <c r="C6942" t="s">
        <v>99</v>
      </c>
      <c r="D6942" t="s">
        <v>100</v>
      </c>
      <c r="E6942" s="1">
        <v>43982</v>
      </c>
      <c r="F6942">
        <v>1</v>
      </c>
      <c r="G6942" t="s">
        <v>29</v>
      </c>
      <c r="H6942" t="s">
        <v>30</v>
      </c>
      <c r="I6942" s="4">
        <v>1896</v>
      </c>
      <c r="J6942" s="3">
        <v>1896</v>
      </c>
      <c r="K6942" s="4">
        <v>386</v>
      </c>
      <c r="L6942" t="s">
        <v>98</v>
      </c>
      <c r="M6942">
        <v>19</v>
      </c>
      <c r="N6942" t="s">
        <v>150</v>
      </c>
      <c r="O6942" t="s">
        <v>81</v>
      </c>
      <c r="P6942" t="s">
        <v>136</v>
      </c>
      <c r="Q6942" t="s">
        <v>140</v>
      </c>
      <c r="R6942" t="s">
        <v>141</v>
      </c>
      <c r="S6942" t="s">
        <v>145</v>
      </c>
      <c r="T6942" s="2">
        <f>MASTER[[#This Row],[CANTIDAD]]*MASTER[[#This Row],[PRECIO DE VENTA]]</f>
        <v>1896</v>
      </c>
      <c r="U6942" s="2">
        <f>MASTER[[#This Row],[CANTIDAD]]*MASTER[[#This Row],[COSTO UNITARIO]]</f>
        <v>386</v>
      </c>
      <c r="V6942" s="2">
        <f>MASTER[[#This Row],[MONTO VENDIDO]]-MASTER[[#This Row],[COSTO DE VENTA]]</f>
        <v>1510</v>
      </c>
    </row>
    <row r="6943" spans="1:22" x14ac:dyDescent="0.3">
      <c r="A6943">
        <v>102003</v>
      </c>
      <c r="B6943">
        <v>1</v>
      </c>
      <c r="C6943" t="s">
        <v>101</v>
      </c>
      <c r="D6943" t="s">
        <v>102</v>
      </c>
      <c r="E6943" s="1">
        <v>43982</v>
      </c>
      <c r="F6943">
        <v>1</v>
      </c>
      <c r="G6943" t="s">
        <v>59</v>
      </c>
      <c r="H6943" t="s">
        <v>60</v>
      </c>
      <c r="I6943" s="4">
        <v>1370</v>
      </c>
      <c r="J6943" s="3">
        <v>1370</v>
      </c>
      <c r="K6943" s="4">
        <v>442</v>
      </c>
      <c r="L6943" t="s">
        <v>98</v>
      </c>
      <c r="M6943">
        <v>18</v>
      </c>
      <c r="N6943" t="str">
        <f>IF(MASTER[[#This Row],[IDLOCAL]]=17,"HYDE PARK", "HARLEM IRVING")</f>
        <v>HARLEM IRVING</v>
      </c>
      <c r="O6943" t="str">
        <f>IF(MASTER[[#This Row],[IDLOCAL]]=17,"PREMIUM", "ESTÁNDAR")</f>
        <v>ESTÁNDAR</v>
      </c>
      <c r="P6943" t="s">
        <v>137</v>
      </c>
      <c r="Q6943" t="s">
        <v>142</v>
      </c>
      <c r="R6943" t="s">
        <v>143</v>
      </c>
      <c r="S6943" t="s">
        <v>145</v>
      </c>
      <c r="T6943" s="2">
        <f>MASTER[[#This Row],[CANTIDAD]]*MASTER[[#This Row],[PRECIO DE VENTA]]</f>
        <v>1370</v>
      </c>
      <c r="U6943" s="2">
        <f>MASTER[[#This Row],[CANTIDAD]]*MASTER[[#This Row],[COSTO UNITARIO]]</f>
        <v>442</v>
      </c>
      <c r="V6943" s="2">
        <f>MASTER[[#This Row],[MONTO VENDIDO]]-MASTER[[#This Row],[COSTO DE VENTA]]</f>
        <v>928</v>
      </c>
    </row>
    <row r="6944" spans="1:22" x14ac:dyDescent="0.3">
      <c r="A6944">
        <v>102010</v>
      </c>
      <c r="B6944">
        <v>2</v>
      </c>
      <c r="C6944" t="s">
        <v>111</v>
      </c>
      <c r="D6944" t="s">
        <v>112</v>
      </c>
      <c r="E6944" s="1">
        <v>43982</v>
      </c>
      <c r="F6944">
        <v>1</v>
      </c>
      <c r="G6944" t="s">
        <v>33</v>
      </c>
      <c r="H6944" t="s">
        <v>34</v>
      </c>
      <c r="I6944" s="4">
        <v>1981</v>
      </c>
      <c r="J6944" s="3">
        <v>1981</v>
      </c>
      <c r="K6944" s="4">
        <v>434</v>
      </c>
      <c r="L6944" t="s">
        <v>113</v>
      </c>
      <c r="M6944">
        <v>19</v>
      </c>
      <c r="N6944" t="s">
        <v>150</v>
      </c>
      <c r="O6944" t="s">
        <v>81</v>
      </c>
      <c r="P6944" t="s">
        <v>136</v>
      </c>
      <c r="Q6944" t="s">
        <v>140</v>
      </c>
      <c r="R6944" t="s">
        <v>141</v>
      </c>
      <c r="S6944" t="s">
        <v>145</v>
      </c>
      <c r="T6944" s="2">
        <f>MASTER[[#This Row],[CANTIDAD]]*MASTER[[#This Row],[PRECIO DE VENTA]]</f>
        <v>1981</v>
      </c>
      <c r="U6944" s="2">
        <f>MASTER[[#This Row],[CANTIDAD]]*MASTER[[#This Row],[COSTO UNITARIO]]</f>
        <v>434</v>
      </c>
      <c r="V6944" s="2">
        <f>MASTER[[#This Row],[MONTO VENDIDO]]-MASTER[[#This Row],[COSTO DE VENTA]]</f>
        <v>1547</v>
      </c>
    </row>
    <row r="6945" spans="1:22" x14ac:dyDescent="0.3">
      <c r="A6945">
        <v>102024</v>
      </c>
      <c r="B6945">
        <v>1</v>
      </c>
      <c r="C6945" t="s">
        <v>111</v>
      </c>
      <c r="D6945" t="s">
        <v>112</v>
      </c>
      <c r="E6945" s="1">
        <v>43982</v>
      </c>
      <c r="F6945">
        <v>2</v>
      </c>
      <c r="G6945" t="s">
        <v>49</v>
      </c>
      <c r="H6945" t="s">
        <v>50</v>
      </c>
      <c r="I6945" s="4">
        <v>2107</v>
      </c>
      <c r="J6945" s="3">
        <v>2107</v>
      </c>
      <c r="K6945" s="4">
        <v>434</v>
      </c>
      <c r="L6945" t="s">
        <v>113</v>
      </c>
      <c r="M6945">
        <v>19</v>
      </c>
      <c r="N6945" t="s">
        <v>150</v>
      </c>
      <c r="O6945" t="s">
        <v>81</v>
      </c>
      <c r="P6945" t="s">
        <v>136</v>
      </c>
      <c r="Q6945" t="s">
        <v>140</v>
      </c>
      <c r="R6945" t="s">
        <v>141</v>
      </c>
      <c r="S6945" t="s">
        <v>145</v>
      </c>
      <c r="T6945" s="2">
        <f>MASTER[[#This Row],[CANTIDAD]]*MASTER[[#This Row],[PRECIO DE VENTA]]</f>
        <v>4214</v>
      </c>
      <c r="U6945" s="2">
        <f>MASTER[[#This Row],[CANTIDAD]]*MASTER[[#This Row],[COSTO UNITARIO]]</f>
        <v>868</v>
      </c>
      <c r="V6945" s="2">
        <f>MASTER[[#This Row],[MONTO VENDIDO]]-MASTER[[#This Row],[COSTO DE VENTA]]</f>
        <v>3346</v>
      </c>
    </row>
    <row r="6946" spans="1:22" x14ac:dyDescent="0.3">
      <c r="A6946">
        <v>102039</v>
      </c>
      <c r="B6946">
        <v>1</v>
      </c>
      <c r="C6946" t="s">
        <v>121</v>
      </c>
      <c r="D6946" t="s">
        <v>122</v>
      </c>
      <c r="E6946" s="1">
        <v>43982</v>
      </c>
      <c r="F6946">
        <v>1</v>
      </c>
      <c r="G6946" t="s">
        <v>33</v>
      </c>
      <c r="H6946" t="s">
        <v>34</v>
      </c>
      <c r="I6946" s="4">
        <v>1389</v>
      </c>
      <c r="J6946" s="3">
        <v>1389</v>
      </c>
      <c r="K6946" s="4">
        <v>460</v>
      </c>
      <c r="L6946" t="s">
        <v>120</v>
      </c>
      <c r="M6946">
        <v>17</v>
      </c>
      <c r="N6946" t="str">
        <f>IF(MASTER[[#This Row],[IDLOCAL]]=17,"HYDE PARK", "HARLEM IRVING")</f>
        <v>HYDE PARK</v>
      </c>
      <c r="O6946" t="str">
        <f>IF(MASTER[[#This Row],[IDLOCAL]]=17,"PREMIUM", "ESTÁNDAR")</f>
        <v>PREMIUM</v>
      </c>
      <c r="P6946" t="s">
        <v>137</v>
      </c>
      <c r="Q6946" t="s">
        <v>142</v>
      </c>
      <c r="R6946" t="s">
        <v>143</v>
      </c>
      <c r="S6946" t="s">
        <v>145</v>
      </c>
      <c r="T6946" s="2">
        <f>MASTER[[#This Row],[CANTIDAD]]*MASTER[[#This Row],[PRECIO DE VENTA]]</f>
        <v>1389</v>
      </c>
      <c r="U6946" s="2">
        <f>MASTER[[#This Row],[CANTIDAD]]*MASTER[[#This Row],[COSTO UNITARIO]]</f>
        <v>460</v>
      </c>
      <c r="V6946" s="2">
        <f>MASTER[[#This Row],[MONTO VENDIDO]]-MASTER[[#This Row],[COSTO DE VENTA]]</f>
        <v>929</v>
      </c>
    </row>
    <row r="6947" spans="1:22" x14ac:dyDescent="0.3">
      <c r="A6947">
        <v>102066</v>
      </c>
      <c r="B6947">
        <v>1</v>
      </c>
      <c r="C6947" t="s">
        <v>90</v>
      </c>
      <c r="D6947" t="s">
        <v>91</v>
      </c>
      <c r="E6947" s="1">
        <v>43983</v>
      </c>
      <c r="F6947">
        <v>1</v>
      </c>
      <c r="G6947" t="s">
        <v>49</v>
      </c>
      <c r="H6947" t="s">
        <v>50</v>
      </c>
      <c r="I6947" s="4">
        <v>2732</v>
      </c>
      <c r="J6947" s="3">
        <v>2732</v>
      </c>
      <c r="K6947" s="4">
        <v>420</v>
      </c>
      <c r="L6947" t="s">
        <v>9</v>
      </c>
      <c r="M6947">
        <v>19</v>
      </c>
      <c r="N6947" t="s">
        <v>150</v>
      </c>
      <c r="O6947" t="s">
        <v>81</v>
      </c>
      <c r="P6947" t="s">
        <v>136</v>
      </c>
      <c r="Q6947" t="s">
        <v>140</v>
      </c>
      <c r="R6947" t="s">
        <v>141</v>
      </c>
      <c r="S6947" t="s">
        <v>145</v>
      </c>
      <c r="T6947" s="2">
        <f>MASTER[[#This Row],[CANTIDAD]]*MASTER[[#This Row],[PRECIO DE VENTA]]</f>
        <v>2732</v>
      </c>
      <c r="U6947" s="2">
        <f>MASTER[[#This Row],[CANTIDAD]]*MASTER[[#This Row],[COSTO UNITARIO]]</f>
        <v>420</v>
      </c>
      <c r="V6947" s="2">
        <f>MASTER[[#This Row],[MONTO VENDIDO]]-MASTER[[#This Row],[COSTO DE VENTA]]</f>
        <v>2312</v>
      </c>
    </row>
    <row r="6948" spans="1:22" x14ac:dyDescent="0.3">
      <c r="A6948">
        <v>102084</v>
      </c>
      <c r="B6948">
        <v>1</v>
      </c>
      <c r="C6948" t="s">
        <v>90</v>
      </c>
      <c r="D6948" t="s">
        <v>91</v>
      </c>
      <c r="E6948" s="1">
        <v>43983</v>
      </c>
      <c r="F6948">
        <v>1</v>
      </c>
      <c r="G6948" t="s">
        <v>37</v>
      </c>
      <c r="H6948" t="s">
        <v>38</v>
      </c>
      <c r="I6948" s="4">
        <v>2397</v>
      </c>
      <c r="J6948" s="3">
        <v>2397</v>
      </c>
      <c r="K6948" s="4">
        <v>420</v>
      </c>
      <c r="L6948" t="s">
        <v>9</v>
      </c>
      <c r="M6948">
        <v>18</v>
      </c>
      <c r="N6948" t="str">
        <f>IF(MASTER[[#This Row],[IDLOCAL]]=17,"HYDE PARK", "HARLEM IRVING")</f>
        <v>HARLEM IRVING</v>
      </c>
      <c r="O6948" t="str">
        <f>IF(MASTER[[#This Row],[IDLOCAL]]=17,"PREMIUM", "ESTÁNDAR")</f>
        <v>ESTÁNDAR</v>
      </c>
      <c r="P6948" t="s">
        <v>137</v>
      </c>
      <c r="Q6948" t="s">
        <v>142</v>
      </c>
      <c r="R6948" t="s">
        <v>143</v>
      </c>
      <c r="S6948" t="s">
        <v>145</v>
      </c>
      <c r="T6948" s="2">
        <f>MASTER[[#This Row],[CANTIDAD]]*MASTER[[#This Row],[PRECIO DE VENTA]]</f>
        <v>2397</v>
      </c>
      <c r="U6948" s="2">
        <f>MASTER[[#This Row],[CANTIDAD]]*MASTER[[#This Row],[COSTO UNITARIO]]</f>
        <v>420</v>
      </c>
      <c r="V6948" s="2">
        <f>MASTER[[#This Row],[MONTO VENDIDO]]-MASTER[[#This Row],[COSTO DE VENTA]]</f>
        <v>1977</v>
      </c>
    </row>
    <row r="6949" spans="1:22" x14ac:dyDescent="0.3">
      <c r="A6949">
        <v>102103</v>
      </c>
      <c r="B6949">
        <v>1</v>
      </c>
      <c r="C6949" t="s">
        <v>96</v>
      </c>
      <c r="D6949" t="s">
        <v>97</v>
      </c>
      <c r="E6949" s="1">
        <v>43983</v>
      </c>
      <c r="F6949">
        <v>1</v>
      </c>
      <c r="G6949" t="s">
        <v>24</v>
      </c>
      <c r="H6949" t="s">
        <v>25</v>
      </c>
      <c r="I6949" s="4">
        <v>1653</v>
      </c>
      <c r="J6949" s="3">
        <v>1653</v>
      </c>
      <c r="K6949" s="4">
        <v>397</v>
      </c>
      <c r="L6949" t="s">
        <v>98</v>
      </c>
      <c r="M6949">
        <v>17</v>
      </c>
      <c r="N6949" t="str">
        <f>IF(MASTER[[#This Row],[IDLOCAL]]=17,"HYDE PARK", "HARLEM IRVING")</f>
        <v>HYDE PARK</v>
      </c>
      <c r="O6949" t="str">
        <f>IF(MASTER[[#This Row],[IDLOCAL]]=17,"PREMIUM", "ESTÁNDAR")</f>
        <v>PREMIUM</v>
      </c>
      <c r="P6949" t="s">
        <v>137</v>
      </c>
      <c r="Q6949" t="s">
        <v>142</v>
      </c>
      <c r="R6949" t="s">
        <v>143</v>
      </c>
      <c r="S6949" t="s">
        <v>145</v>
      </c>
      <c r="T6949" s="2">
        <f>MASTER[[#This Row],[CANTIDAD]]*MASTER[[#This Row],[PRECIO DE VENTA]]</f>
        <v>1653</v>
      </c>
      <c r="U6949" s="2">
        <f>MASTER[[#This Row],[CANTIDAD]]*MASTER[[#This Row],[COSTO UNITARIO]]</f>
        <v>397</v>
      </c>
      <c r="V6949" s="2">
        <f>MASTER[[#This Row],[MONTO VENDIDO]]-MASTER[[#This Row],[COSTO DE VENTA]]</f>
        <v>1256</v>
      </c>
    </row>
    <row r="6950" spans="1:22" x14ac:dyDescent="0.3">
      <c r="A6950">
        <v>102106</v>
      </c>
      <c r="B6950">
        <v>1</v>
      </c>
      <c r="C6950" t="s">
        <v>90</v>
      </c>
      <c r="D6950" t="s">
        <v>91</v>
      </c>
      <c r="E6950" s="1">
        <v>43984</v>
      </c>
      <c r="F6950">
        <v>1</v>
      </c>
      <c r="G6950" t="s">
        <v>22</v>
      </c>
      <c r="H6950" t="s">
        <v>23</v>
      </c>
      <c r="I6950" s="4">
        <v>2158</v>
      </c>
      <c r="J6950" s="3">
        <v>2158</v>
      </c>
      <c r="K6950" s="4">
        <v>420</v>
      </c>
      <c r="L6950" t="s">
        <v>9</v>
      </c>
      <c r="M6950">
        <v>18</v>
      </c>
      <c r="N6950" t="str">
        <f>IF(MASTER[[#This Row],[IDLOCAL]]=17,"HYDE PARK", "HARLEM IRVING")</f>
        <v>HARLEM IRVING</v>
      </c>
      <c r="O6950" t="str">
        <f>IF(MASTER[[#This Row],[IDLOCAL]]=17,"PREMIUM", "ESTÁNDAR")</f>
        <v>ESTÁNDAR</v>
      </c>
      <c r="P6950" t="s">
        <v>137</v>
      </c>
      <c r="Q6950" t="s">
        <v>142</v>
      </c>
      <c r="R6950" t="s">
        <v>143</v>
      </c>
      <c r="S6950" t="s">
        <v>145</v>
      </c>
      <c r="T6950" s="2">
        <f>MASTER[[#This Row],[CANTIDAD]]*MASTER[[#This Row],[PRECIO DE VENTA]]</f>
        <v>2158</v>
      </c>
      <c r="U6950" s="2">
        <f>MASTER[[#This Row],[CANTIDAD]]*MASTER[[#This Row],[COSTO UNITARIO]]</f>
        <v>420</v>
      </c>
      <c r="V6950" s="2">
        <f>MASTER[[#This Row],[MONTO VENDIDO]]-MASTER[[#This Row],[COSTO DE VENTA]]</f>
        <v>1738</v>
      </c>
    </row>
    <row r="6951" spans="1:22" x14ac:dyDescent="0.3">
      <c r="A6951">
        <v>102120</v>
      </c>
      <c r="B6951">
        <v>1</v>
      </c>
      <c r="C6951" t="s">
        <v>116</v>
      </c>
      <c r="D6951" t="s">
        <v>117</v>
      </c>
      <c r="E6951" s="1">
        <v>43984</v>
      </c>
      <c r="F6951">
        <v>1</v>
      </c>
      <c r="G6951" t="s">
        <v>22</v>
      </c>
      <c r="H6951" t="s">
        <v>23</v>
      </c>
      <c r="I6951" s="4">
        <v>2259</v>
      </c>
      <c r="J6951" s="3">
        <v>2259</v>
      </c>
      <c r="K6951" s="4">
        <v>388</v>
      </c>
      <c r="L6951" t="s">
        <v>113</v>
      </c>
      <c r="M6951">
        <v>19</v>
      </c>
      <c r="N6951" t="s">
        <v>150</v>
      </c>
      <c r="O6951" t="s">
        <v>81</v>
      </c>
      <c r="P6951" t="s">
        <v>136</v>
      </c>
      <c r="Q6951" t="s">
        <v>140</v>
      </c>
      <c r="R6951" t="s">
        <v>141</v>
      </c>
      <c r="S6951" t="s">
        <v>145</v>
      </c>
      <c r="T6951" s="2">
        <f>MASTER[[#This Row],[CANTIDAD]]*MASTER[[#This Row],[PRECIO DE VENTA]]</f>
        <v>2259</v>
      </c>
      <c r="U6951" s="2">
        <f>MASTER[[#This Row],[CANTIDAD]]*MASTER[[#This Row],[COSTO UNITARIO]]</f>
        <v>388</v>
      </c>
      <c r="V6951" s="2">
        <f>MASTER[[#This Row],[MONTO VENDIDO]]-MASTER[[#This Row],[COSTO DE VENTA]]</f>
        <v>1871</v>
      </c>
    </row>
    <row r="6952" spans="1:22" x14ac:dyDescent="0.3">
      <c r="A6952">
        <v>102124</v>
      </c>
      <c r="B6952">
        <v>1</v>
      </c>
      <c r="C6952" t="s">
        <v>5</v>
      </c>
      <c r="D6952" t="s">
        <v>6</v>
      </c>
      <c r="E6952" s="1">
        <v>43987</v>
      </c>
      <c r="F6952">
        <v>2</v>
      </c>
      <c r="G6952" t="s">
        <v>45</v>
      </c>
      <c r="H6952" t="s">
        <v>46</v>
      </c>
      <c r="I6952" s="4">
        <v>1704</v>
      </c>
      <c r="J6952" s="3">
        <v>1550</v>
      </c>
      <c r="K6952" s="4">
        <v>393</v>
      </c>
      <c r="L6952" t="s">
        <v>9</v>
      </c>
      <c r="M6952">
        <v>19</v>
      </c>
      <c r="N6952" t="s">
        <v>150</v>
      </c>
      <c r="O6952" t="s">
        <v>81</v>
      </c>
      <c r="P6952" t="s">
        <v>136</v>
      </c>
      <c r="Q6952" t="s">
        <v>140</v>
      </c>
      <c r="R6952" t="s">
        <v>141</v>
      </c>
      <c r="S6952" t="s">
        <v>145</v>
      </c>
      <c r="T6952" s="2">
        <f>MASTER[[#This Row],[CANTIDAD]]*MASTER[[#This Row],[PRECIO DE VENTA]]</f>
        <v>3100</v>
      </c>
      <c r="U6952" s="2">
        <f>MASTER[[#This Row],[CANTIDAD]]*MASTER[[#This Row],[COSTO UNITARIO]]</f>
        <v>786</v>
      </c>
      <c r="V6952" s="2">
        <f>MASTER[[#This Row],[MONTO VENDIDO]]-MASTER[[#This Row],[COSTO DE VENTA]]</f>
        <v>2314</v>
      </c>
    </row>
    <row r="6953" spans="1:22" x14ac:dyDescent="0.3">
      <c r="A6953">
        <v>102142</v>
      </c>
      <c r="B6953">
        <v>1</v>
      </c>
      <c r="C6953" t="s">
        <v>92</v>
      </c>
      <c r="D6953" t="s">
        <v>93</v>
      </c>
      <c r="E6953" s="1">
        <v>43989</v>
      </c>
      <c r="F6953">
        <v>1</v>
      </c>
      <c r="G6953" t="s">
        <v>65</v>
      </c>
      <c r="H6953" t="s">
        <v>66</v>
      </c>
      <c r="I6953" s="4">
        <v>2185</v>
      </c>
      <c r="J6953" s="3">
        <v>2185</v>
      </c>
      <c r="K6953" s="4">
        <v>396</v>
      </c>
      <c r="L6953" t="s">
        <v>9</v>
      </c>
      <c r="M6953">
        <v>17</v>
      </c>
      <c r="N6953" t="str">
        <f>IF(MASTER[[#This Row],[IDLOCAL]]=17,"HYDE PARK", "HARLEM IRVING")</f>
        <v>HYDE PARK</v>
      </c>
      <c r="O6953" t="str">
        <f>IF(MASTER[[#This Row],[IDLOCAL]]=17,"PREMIUM", "ESTÁNDAR")</f>
        <v>PREMIUM</v>
      </c>
      <c r="P6953" t="s">
        <v>137</v>
      </c>
      <c r="Q6953" t="s">
        <v>142</v>
      </c>
      <c r="R6953" t="s">
        <v>143</v>
      </c>
      <c r="S6953" t="s">
        <v>145</v>
      </c>
      <c r="T6953" s="2">
        <f>MASTER[[#This Row],[CANTIDAD]]*MASTER[[#This Row],[PRECIO DE VENTA]]</f>
        <v>2185</v>
      </c>
      <c r="U6953" s="2">
        <f>MASTER[[#This Row],[CANTIDAD]]*MASTER[[#This Row],[COSTO UNITARIO]]</f>
        <v>396</v>
      </c>
      <c r="V6953" s="2">
        <f>MASTER[[#This Row],[MONTO VENDIDO]]-MASTER[[#This Row],[COSTO DE VENTA]]</f>
        <v>1789</v>
      </c>
    </row>
    <row r="6954" spans="1:22" x14ac:dyDescent="0.3">
      <c r="A6954">
        <v>102147</v>
      </c>
      <c r="B6954">
        <v>1</v>
      </c>
      <c r="C6954" t="s">
        <v>118</v>
      </c>
      <c r="D6954" t="s">
        <v>119</v>
      </c>
      <c r="E6954" s="1">
        <v>43989</v>
      </c>
      <c r="F6954">
        <v>3</v>
      </c>
      <c r="G6954" t="s">
        <v>33</v>
      </c>
      <c r="H6954" t="s">
        <v>34</v>
      </c>
      <c r="I6954" s="4">
        <v>1041</v>
      </c>
      <c r="J6954" s="3">
        <v>1041</v>
      </c>
      <c r="K6954" s="4">
        <v>424</v>
      </c>
      <c r="L6954" t="s">
        <v>120</v>
      </c>
      <c r="M6954">
        <v>19</v>
      </c>
      <c r="N6954" t="s">
        <v>150</v>
      </c>
      <c r="O6954" t="s">
        <v>81</v>
      </c>
      <c r="P6954" t="s">
        <v>136</v>
      </c>
      <c r="Q6954" t="s">
        <v>140</v>
      </c>
      <c r="R6954" t="s">
        <v>141</v>
      </c>
      <c r="S6954" t="s">
        <v>145</v>
      </c>
      <c r="T6954" s="2">
        <f>MASTER[[#This Row],[CANTIDAD]]*MASTER[[#This Row],[PRECIO DE VENTA]]</f>
        <v>3123</v>
      </c>
      <c r="U6954" s="2">
        <f>MASTER[[#This Row],[CANTIDAD]]*MASTER[[#This Row],[COSTO UNITARIO]]</f>
        <v>1272</v>
      </c>
      <c r="V6954" s="2">
        <f>MASTER[[#This Row],[MONTO VENDIDO]]-MASTER[[#This Row],[COSTO DE VENTA]]</f>
        <v>1851</v>
      </c>
    </row>
    <row r="6955" spans="1:22" x14ac:dyDescent="0.3">
      <c r="A6955">
        <v>102156</v>
      </c>
      <c r="B6955">
        <v>1</v>
      </c>
      <c r="C6955" t="s">
        <v>5</v>
      </c>
      <c r="D6955" t="s">
        <v>6</v>
      </c>
      <c r="E6955" s="1">
        <v>43991</v>
      </c>
      <c r="F6955">
        <v>1</v>
      </c>
      <c r="G6955" t="s">
        <v>7</v>
      </c>
      <c r="H6955" t="s">
        <v>8</v>
      </c>
      <c r="I6955" s="4">
        <v>1684</v>
      </c>
      <c r="J6955" s="3">
        <v>1684</v>
      </c>
      <c r="K6955" s="4">
        <v>393</v>
      </c>
      <c r="L6955" t="s">
        <v>9</v>
      </c>
      <c r="M6955">
        <v>19</v>
      </c>
      <c r="N6955" t="s">
        <v>150</v>
      </c>
      <c r="O6955" t="s">
        <v>81</v>
      </c>
      <c r="P6955" t="s">
        <v>136</v>
      </c>
      <c r="Q6955" t="s">
        <v>140</v>
      </c>
      <c r="R6955" t="s">
        <v>141</v>
      </c>
      <c r="S6955" t="s">
        <v>145</v>
      </c>
      <c r="T6955" s="2">
        <f>MASTER[[#This Row],[CANTIDAD]]*MASTER[[#This Row],[PRECIO DE VENTA]]</f>
        <v>1684</v>
      </c>
      <c r="U6955" s="2">
        <f>MASTER[[#This Row],[CANTIDAD]]*MASTER[[#This Row],[COSTO UNITARIO]]</f>
        <v>393</v>
      </c>
      <c r="V6955" s="2">
        <f>MASTER[[#This Row],[MONTO VENDIDO]]-MASTER[[#This Row],[COSTO DE VENTA]]</f>
        <v>1291</v>
      </c>
    </row>
    <row r="6956" spans="1:22" x14ac:dyDescent="0.3">
      <c r="A6956">
        <v>102158</v>
      </c>
      <c r="B6956">
        <v>1</v>
      </c>
      <c r="C6956" t="s">
        <v>109</v>
      </c>
      <c r="D6956" t="s">
        <v>110</v>
      </c>
      <c r="E6956" s="1">
        <v>43991</v>
      </c>
      <c r="F6956">
        <v>1</v>
      </c>
      <c r="G6956" t="s">
        <v>33</v>
      </c>
      <c r="H6956" t="s">
        <v>34</v>
      </c>
      <c r="I6956" s="4">
        <v>1466</v>
      </c>
      <c r="J6956" s="3">
        <v>1466</v>
      </c>
      <c r="K6956" s="4">
        <v>387</v>
      </c>
      <c r="L6956" t="s">
        <v>98</v>
      </c>
      <c r="M6956">
        <v>19</v>
      </c>
      <c r="N6956" t="s">
        <v>150</v>
      </c>
      <c r="O6956" t="s">
        <v>81</v>
      </c>
      <c r="P6956" t="s">
        <v>136</v>
      </c>
      <c r="Q6956" t="s">
        <v>140</v>
      </c>
      <c r="R6956" t="s">
        <v>141</v>
      </c>
      <c r="S6956" t="s">
        <v>145</v>
      </c>
      <c r="T6956" s="2">
        <f>MASTER[[#This Row],[CANTIDAD]]*MASTER[[#This Row],[PRECIO DE VENTA]]</f>
        <v>1466</v>
      </c>
      <c r="U6956" s="2">
        <f>MASTER[[#This Row],[CANTIDAD]]*MASTER[[#This Row],[COSTO UNITARIO]]</f>
        <v>387</v>
      </c>
      <c r="V6956" s="2">
        <f>MASTER[[#This Row],[MONTO VENDIDO]]-MASTER[[#This Row],[COSTO DE VENTA]]</f>
        <v>1079</v>
      </c>
    </row>
    <row r="6957" spans="1:22" x14ac:dyDescent="0.3">
      <c r="A6957">
        <v>102176</v>
      </c>
      <c r="B6957">
        <v>1</v>
      </c>
      <c r="C6957" t="s">
        <v>114</v>
      </c>
      <c r="D6957" t="s">
        <v>115</v>
      </c>
      <c r="E6957" s="1">
        <v>43991</v>
      </c>
      <c r="F6957">
        <v>1</v>
      </c>
      <c r="G6957" t="s">
        <v>59</v>
      </c>
      <c r="H6957" t="s">
        <v>60</v>
      </c>
      <c r="I6957" s="4">
        <v>2420</v>
      </c>
      <c r="J6957" s="3">
        <v>2420</v>
      </c>
      <c r="K6957" s="4">
        <v>394</v>
      </c>
      <c r="L6957" t="s">
        <v>113</v>
      </c>
      <c r="M6957">
        <v>17</v>
      </c>
      <c r="N6957" t="str">
        <f>IF(MASTER[[#This Row],[IDLOCAL]]=17,"HYDE PARK", "HARLEM IRVING")</f>
        <v>HYDE PARK</v>
      </c>
      <c r="O6957" t="str">
        <f>IF(MASTER[[#This Row],[IDLOCAL]]=17,"PREMIUM", "ESTÁNDAR")</f>
        <v>PREMIUM</v>
      </c>
      <c r="P6957" t="s">
        <v>137</v>
      </c>
      <c r="Q6957" t="s">
        <v>142</v>
      </c>
      <c r="R6957" t="s">
        <v>143</v>
      </c>
      <c r="S6957" t="s">
        <v>145</v>
      </c>
      <c r="T6957" s="2">
        <f>MASTER[[#This Row],[CANTIDAD]]*MASTER[[#This Row],[PRECIO DE VENTA]]</f>
        <v>2420</v>
      </c>
      <c r="U6957" s="2">
        <f>MASTER[[#This Row],[CANTIDAD]]*MASTER[[#This Row],[COSTO UNITARIO]]</f>
        <v>394</v>
      </c>
      <c r="V6957" s="2">
        <f>MASTER[[#This Row],[MONTO VENDIDO]]-MASTER[[#This Row],[COSTO DE VENTA]]</f>
        <v>2026</v>
      </c>
    </row>
    <row r="6958" spans="1:22" x14ac:dyDescent="0.3">
      <c r="A6958">
        <v>102180</v>
      </c>
      <c r="B6958">
        <v>1</v>
      </c>
      <c r="C6958" t="s">
        <v>5</v>
      </c>
      <c r="D6958" t="s">
        <v>6</v>
      </c>
      <c r="E6958" s="1">
        <v>43992</v>
      </c>
      <c r="F6958">
        <v>1</v>
      </c>
      <c r="G6958" t="s">
        <v>63</v>
      </c>
      <c r="H6958" t="s">
        <v>64</v>
      </c>
      <c r="I6958" s="4">
        <v>1959</v>
      </c>
      <c r="J6958" s="3">
        <v>1959</v>
      </c>
      <c r="K6958" s="4">
        <v>393</v>
      </c>
      <c r="L6958" t="s">
        <v>9</v>
      </c>
      <c r="M6958">
        <v>17</v>
      </c>
      <c r="N6958" t="str">
        <f>IF(MASTER[[#This Row],[IDLOCAL]]=17,"HYDE PARK", "HARLEM IRVING")</f>
        <v>HYDE PARK</v>
      </c>
      <c r="O6958" t="str">
        <f>IF(MASTER[[#This Row],[IDLOCAL]]=17,"PREMIUM", "ESTÁNDAR")</f>
        <v>PREMIUM</v>
      </c>
      <c r="P6958" t="s">
        <v>137</v>
      </c>
      <c r="Q6958" t="s">
        <v>142</v>
      </c>
      <c r="R6958" t="s">
        <v>143</v>
      </c>
      <c r="S6958" t="s">
        <v>145</v>
      </c>
      <c r="T6958" s="2">
        <f>MASTER[[#This Row],[CANTIDAD]]*MASTER[[#This Row],[PRECIO DE VENTA]]</f>
        <v>1959</v>
      </c>
      <c r="U6958" s="2">
        <f>MASTER[[#This Row],[CANTIDAD]]*MASTER[[#This Row],[COSTO UNITARIO]]</f>
        <v>393</v>
      </c>
      <c r="V6958" s="2">
        <f>MASTER[[#This Row],[MONTO VENDIDO]]-MASTER[[#This Row],[COSTO DE VENTA]]</f>
        <v>1566</v>
      </c>
    </row>
    <row r="6959" spans="1:22" x14ac:dyDescent="0.3">
      <c r="A6959">
        <v>102186</v>
      </c>
      <c r="B6959">
        <v>1</v>
      </c>
      <c r="C6959" t="s">
        <v>99</v>
      </c>
      <c r="D6959" t="s">
        <v>100</v>
      </c>
      <c r="E6959" s="1">
        <v>43993</v>
      </c>
      <c r="F6959">
        <v>3</v>
      </c>
      <c r="G6959" t="s">
        <v>51</v>
      </c>
      <c r="H6959" t="s">
        <v>52</v>
      </c>
      <c r="I6959" s="4">
        <v>1896</v>
      </c>
      <c r="J6959" s="3">
        <v>1896</v>
      </c>
      <c r="K6959" s="4">
        <v>386</v>
      </c>
      <c r="L6959" t="s">
        <v>98</v>
      </c>
      <c r="M6959">
        <v>17</v>
      </c>
      <c r="N6959" t="str">
        <f>IF(MASTER[[#This Row],[IDLOCAL]]=17,"HYDE PARK", "HARLEM IRVING")</f>
        <v>HYDE PARK</v>
      </c>
      <c r="O6959" t="str">
        <f>IF(MASTER[[#This Row],[IDLOCAL]]=17,"PREMIUM", "ESTÁNDAR")</f>
        <v>PREMIUM</v>
      </c>
      <c r="P6959" t="s">
        <v>137</v>
      </c>
      <c r="Q6959" t="s">
        <v>142</v>
      </c>
      <c r="R6959" t="s">
        <v>143</v>
      </c>
      <c r="S6959" t="s">
        <v>145</v>
      </c>
      <c r="T6959" s="2">
        <f>MASTER[[#This Row],[CANTIDAD]]*MASTER[[#This Row],[PRECIO DE VENTA]]</f>
        <v>5688</v>
      </c>
      <c r="U6959" s="2">
        <f>MASTER[[#This Row],[CANTIDAD]]*MASTER[[#This Row],[COSTO UNITARIO]]</f>
        <v>1158</v>
      </c>
      <c r="V6959" s="2">
        <f>MASTER[[#This Row],[MONTO VENDIDO]]-MASTER[[#This Row],[COSTO DE VENTA]]</f>
        <v>4530</v>
      </c>
    </row>
    <row r="6960" spans="1:22" x14ac:dyDescent="0.3">
      <c r="A6960">
        <v>102187</v>
      </c>
      <c r="B6960">
        <v>1</v>
      </c>
      <c r="C6960" t="s">
        <v>96</v>
      </c>
      <c r="D6960" t="s">
        <v>97</v>
      </c>
      <c r="E6960" s="1">
        <v>43994</v>
      </c>
      <c r="F6960">
        <v>1</v>
      </c>
      <c r="G6960" t="s">
        <v>67</v>
      </c>
      <c r="H6960" t="s">
        <v>68</v>
      </c>
      <c r="I6960" s="4">
        <v>1653</v>
      </c>
      <c r="J6960" s="3">
        <v>1653</v>
      </c>
      <c r="K6960" s="4">
        <v>397</v>
      </c>
      <c r="L6960" t="s">
        <v>98</v>
      </c>
      <c r="M6960">
        <v>17</v>
      </c>
      <c r="N6960" t="str">
        <f>IF(MASTER[[#This Row],[IDLOCAL]]=17,"HYDE PARK", "HARLEM IRVING")</f>
        <v>HYDE PARK</v>
      </c>
      <c r="O6960" t="str">
        <f>IF(MASTER[[#This Row],[IDLOCAL]]=17,"PREMIUM", "ESTÁNDAR")</f>
        <v>PREMIUM</v>
      </c>
      <c r="P6960" t="s">
        <v>137</v>
      </c>
      <c r="Q6960" t="s">
        <v>142</v>
      </c>
      <c r="R6960" t="s">
        <v>143</v>
      </c>
      <c r="S6960" t="s">
        <v>145</v>
      </c>
      <c r="T6960" s="2">
        <f>MASTER[[#This Row],[CANTIDAD]]*MASTER[[#This Row],[PRECIO DE VENTA]]</f>
        <v>1653</v>
      </c>
      <c r="U6960" s="2">
        <f>MASTER[[#This Row],[CANTIDAD]]*MASTER[[#This Row],[COSTO UNITARIO]]</f>
        <v>397</v>
      </c>
      <c r="V6960" s="2">
        <f>MASTER[[#This Row],[MONTO VENDIDO]]-MASTER[[#This Row],[COSTO DE VENTA]]</f>
        <v>1256</v>
      </c>
    </row>
    <row r="6961" spans="1:22" x14ac:dyDescent="0.3">
      <c r="A6961">
        <v>102188</v>
      </c>
      <c r="B6961">
        <v>1</v>
      </c>
      <c r="C6961" t="s">
        <v>105</v>
      </c>
      <c r="D6961" t="s">
        <v>106</v>
      </c>
      <c r="E6961" s="1">
        <v>43994</v>
      </c>
      <c r="F6961">
        <v>1</v>
      </c>
      <c r="G6961" t="s">
        <v>22</v>
      </c>
      <c r="H6961" t="s">
        <v>23</v>
      </c>
      <c r="I6961" s="4">
        <v>2424</v>
      </c>
      <c r="J6961" s="3">
        <v>2424</v>
      </c>
      <c r="K6961" s="4">
        <v>459</v>
      </c>
      <c r="L6961" t="s">
        <v>98</v>
      </c>
      <c r="M6961">
        <v>19</v>
      </c>
      <c r="N6961" t="s">
        <v>150</v>
      </c>
      <c r="O6961" t="s">
        <v>81</v>
      </c>
      <c r="P6961" t="s">
        <v>136</v>
      </c>
      <c r="Q6961" t="s">
        <v>140</v>
      </c>
      <c r="R6961" t="s">
        <v>141</v>
      </c>
      <c r="S6961" t="s">
        <v>145</v>
      </c>
      <c r="T6961" s="2">
        <f>MASTER[[#This Row],[CANTIDAD]]*MASTER[[#This Row],[PRECIO DE VENTA]]</f>
        <v>2424</v>
      </c>
      <c r="U6961" s="2">
        <f>MASTER[[#This Row],[CANTIDAD]]*MASTER[[#This Row],[COSTO UNITARIO]]</f>
        <v>459</v>
      </c>
      <c r="V6961" s="2">
        <f>MASTER[[#This Row],[MONTO VENDIDO]]-MASTER[[#This Row],[COSTO DE VENTA]]</f>
        <v>1965</v>
      </c>
    </row>
    <row r="6962" spans="1:22" x14ac:dyDescent="0.3">
      <c r="A6962">
        <v>102189</v>
      </c>
      <c r="B6962">
        <v>1</v>
      </c>
      <c r="C6962" t="s">
        <v>103</v>
      </c>
      <c r="D6962" t="s">
        <v>104</v>
      </c>
      <c r="E6962" s="1">
        <v>43995</v>
      </c>
      <c r="F6962">
        <v>1</v>
      </c>
      <c r="G6962" t="s">
        <v>59</v>
      </c>
      <c r="H6962" t="s">
        <v>60</v>
      </c>
      <c r="I6962" s="4">
        <v>2379</v>
      </c>
      <c r="J6962" s="3">
        <v>2379</v>
      </c>
      <c r="K6962" s="4">
        <v>421</v>
      </c>
      <c r="L6962" t="s">
        <v>98</v>
      </c>
      <c r="M6962">
        <v>18</v>
      </c>
      <c r="N6962" t="str">
        <f>IF(MASTER[[#This Row],[IDLOCAL]]=17,"HYDE PARK", "HARLEM IRVING")</f>
        <v>HARLEM IRVING</v>
      </c>
      <c r="O6962" t="str">
        <f>IF(MASTER[[#This Row],[IDLOCAL]]=17,"PREMIUM", "ESTÁNDAR")</f>
        <v>ESTÁNDAR</v>
      </c>
      <c r="P6962" t="s">
        <v>137</v>
      </c>
      <c r="Q6962" t="s">
        <v>142</v>
      </c>
      <c r="R6962" t="s">
        <v>143</v>
      </c>
      <c r="S6962" t="s">
        <v>145</v>
      </c>
      <c r="T6962" s="2">
        <f>MASTER[[#This Row],[CANTIDAD]]*MASTER[[#This Row],[PRECIO DE VENTA]]</f>
        <v>2379</v>
      </c>
      <c r="U6962" s="2">
        <f>MASTER[[#This Row],[CANTIDAD]]*MASTER[[#This Row],[COSTO UNITARIO]]</f>
        <v>421</v>
      </c>
      <c r="V6962" s="2">
        <f>MASTER[[#This Row],[MONTO VENDIDO]]-MASTER[[#This Row],[COSTO DE VENTA]]</f>
        <v>1958</v>
      </c>
    </row>
    <row r="6963" spans="1:22" x14ac:dyDescent="0.3">
      <c r="A6963">
        <v>102194</v>
      </c>
      <c r="B6963">
        <v>1</v>
      </c>
      <c r="C6963" t="s">
        <v>99</v>
      </c>
      <c r="D6963" t="s">
        <v>100</v>
      </c>
      <c r="E6963" s="1">
        <v>43996</v>
      </c>
      <c r="F6963">
        <v>1</v>
      </c>
      <c r="G6963" t="s">
        <v>45</v>
      </c>
      <c r="H6963" t="s">
        <v>46</v>
      </c>
      <c r="I6963" s="4">
        <v>2181</v>
      </c>
      <c r="J6963" s="3">
        <v>2181</v>
      </c>
      <c r="K6963" s="4">
        <v>386</v>
      </c>
      <c r="L6963" t="s">
        <v>98</v>
      </c>
      <c r="M6963">
        <v>17</v>
      </c>
      <c r="N6963" t="str">
        <f>IF(MASTER[[#This Row],[IDLOCAL]]=17,"HYDE PARK", "HARLEM IRVING")</f>
        <v>HYDE PARK</v>
      </c>
      <c r="O6963" t="str">
        <f>IF(MASTER[[#This Row],[IDLOCAL]]=17,"PREMIUM", "ESTÁNDAR")</f>
        <v>PREMIUM</v>
      </c>
      <c r="P6963" t="s">
        <v>137</v>
      </c>
      <c r="Q6963" t="s">
        <v>142</v>
      </c>
      <c r="R6963" t="s">
        <v>143</v>
      </c>
      <c r="S6963" t="s">
        <v>145</v>
      </c>
      <c r="T6963" s="2">
        <f>MASTER[[#This Row],[CANTIDAD]]*MASTER[[#This Row],[PRECIO DE VENTA]]</f>
        <v>2181</v>
      </c>
      <c r="U6963" s="2">
        <f>MASTER[[#This Row],[CANTIDAD]]*MASTER[[#This Row],[COSTO UNITARIO]]</f>
        <v>386</v>
      </c>
      <c r="V6963" s="2">
        <f>MASTER[[#This Row],[MONTO VENDIDO]]-MASTER[[#This Row],[COSTO DE VENTA]]</f>
        <v>1795</v>
      </c>
    </row>
    <row r="6964" spans="1:22" x14ac:dyDescent="0.3">
      <c r="A6964">
        <v>102211</v>
      </c>
      <c r="B6964">
        <v>1</v>
      </c>
      <c r="C6964" t="s">
        <v>105</v>
      </c>
      <c r="D6964" t="s">
        <v>106</v>
      </c>
      <c r="E6964" s="1">
        <v>43998</v>
      </c>
      <c r="F6964">
        <v>1</v>
      </c>
      <c r="G6964" t="s">
        <v>51</v>
      </c>
      <c r="H6964" t="s">
        <v>52</v>
      </c>
      <c r="I6964" s="4">
        <v>2642</v>
      </c>
      <c r="J6964" s="3">
        <v>2642</v>
      </c>
      <c r="K6964" s="4">
        <v>459</v>
      </c>
      <c r="L6964" t="s">
        <v>98</v>
      </c>
      <c r="M6964">
        <v>19</v>
      </c>
      <c r="N6964" t="s">
        <v>150</v>
      </c>
      <c r="O6964" t="s">
        <v>81</v>
      </c>
      <c r="P6964" t="s">
        <v>136</v>
      </c>
      <c r="Q6964" t="s">
        <v>140</v>
      </c>
      <c r="R6964" t="s">
        <v>141</v>
      </c>
      <c r="S6964" t="s">
        <v>145</v>
      </c>
      <c r="T6964" s="2">
        <f>MASTER[[#This Row],[CANTIDAD]]*MASTER[[#This Row],[PRECIO DE VENTA]]</f>
        <v>2642</v>
      </c>
      <c r="U6964" s="2">
        <f>MASTER[[#This Row],[CANTIDAD]]*MASTER[[#This Row],[COSTO UNITARIO]]</f>
        <v>459</v>
      </c>
      <c r="V6964" s="2">
        <f>MASTER[[#This Row],[MONTO VENDIDO]]-MASTER[[#This Row],[COSTO DE VENTA]]</f>
        <v>2183</v>
      </c>
    </row>
    <row r="6965" spans="1:22" x14ac:dyDescent="0.3">
      <c r="A6965">
        <v>102218</v>
      </c>
      <c r="B6965">
        <v>1</v>
      </c>
      <c r="C6965" t="s">
        <v>116</v>
      </c>
      <c r="D6965" t="s">
        <v>117</v>
      </c>
      <c r="E6965" s="1">
        <v>43998</v>
      </c>
      <c r="F6965">
        <v>1</v>
      </c>
      <c r="G6965" t="s">
        <v>67</v>
      </c>
      <c r="H6965" t="s">
        <v>68</v>
      </c>
      <c r="I6965" s="4">
        <v>2598</v>
      </c>
      <c r="J6965" s="3">
        <v>2598</v>
      </c>
      <c r="K6965" s="4">
        <v>388</v>
      </c>
      <c r="L6965" t="s">
        <v>113</v>
      </c>
      <c r="M6965">
        <v>19</v>
      </c>
      <c r="N6965" t="s">
        <v>150</v>
      </c>
      <c r="O6965" t="s">
        <v>81</v>
      </c>
      <c r="P6965" t="s">
        <v>136</v>
      </c>
      <c r="Q6965" t="s">
        <v>140</v>
      </c>
      <c r="R6965" t="s">
        <v>141</v>
      </c>
      <c r="S6965" t="s">
        <v>145</v>
      </c>
      <c r="T6965" s="2">
        <f>MASTER[[#This Row],[CANTIDAD]]*MASTER[[#This Row],[PRECIO DE VENTA]]</f>
        <v>2598</v>
      </c>
      <c r="U6965" s="2">
        <f>MASTER[[#This Row],[CANTIDAD]]*MASTER[[#This Row],[COSTO UNITARIO]]</f>
        <v>388</v>
      </c>
      <c r="V6965" s="2">
        <f>MASTER[[#This Row],[MONTO VENDIDO]]-MASTER[[#This Row],[COSTO DE VENTA]]</f>
        <v>2210</v>
      </c>
    </row>
    <row r="6966" spans="1:22" x14ac:dyDescent="0.3">
      <c r="A6966">
        <v>102221</v>
      </c>
      <c r="B6966">
        <v>1</v>
      </c>
      <c r="C6966" t="s">
        <v>96</v>
      </c>
      <c r="D6966" t="s">
        <v>97</v>
      </c>
      <c r="E6966" s="1">
        <v>43999</v>
      </c>
      <c r="F6966">
        <v>1</v>
      </c>
      <c r="G6966" t="s">
        <v>33</v>
      </c>
      <c r="H6966" t="s">
        <v>34</v>
      </c>
      <c r="I6966" s="4">
        <v>1769</v>
      </c>
      <c r="J6966" s="3">
        <v>1769</v>
      </c>
      <c r="K6966" s="4">
        <v>397</v>
      </c>
      <c r="L6966" t="s">
        <v>98</v>
      </c>
      <c r="M6966">
        <v>19</v>
      </c>
      <c r="N6966" t="s">
        <v>150</v>
      </c>
      <c r="O6966" t="s">
        <v>81</v>
      </c>
      <c r="P6966" t="s">
        <v>136</v>
      </c>
      <c r="Q6966" t="s">
        <v>140</v>
      </c>
      <c r="R6966" t="s">
        <v>141</v>
      </c>
      <c r="S6966" t="s">
        <v>145</v>
      </c>
      <c r="T6966" s="2">
        <f>MASTER[[#This Row],[CANTIDAD]]*MASTER[[#This Row],[PRECIO DE VENTA]]</f>
        <v>1769</v>
      </c>
      <c r="U6966" s="2">
        <f>MASTER[[#This Row],[CANTIDAD]]*MASTER[[#This Row],[COSTO UNITARIO]]</f>
        <v>397</v>
      </c>
      <c r="V6966" s="2">
        <f>MASTER[[#This Row],[MONTO VENDIDO]]-MASTER[[#This Row],[COSTO DE VENTA]]</f>
        <v>1372</v>
      </c>
    </row>
    <row r="6967" spans="1:22" x14ac:dyDescent="0.3">
      <c r="A6967">
        <v>102225</v>
      </c>
      <c r="B6967">
        <v>1</v>
      </c>
      <c r="C6967" t="s">
        <v>107</v>
      </c>
      <c r="D6967" t="s">
        <v>108</v>
      </c>
      <c r="E6967" s="1">
        <v>44001</v>
      </c>
      <c r="F6967">
        <v>1</v>
      </c>
      <c r="G6967" t="s">
        <v>59</v>
      </c>
      <c r="H6967" t="s">
        <v>60</v>
      </c>
      <c r="I6967" s="4">
        <v>1872</v>
      </c>
      <c r="J6967" s="3">
        <v>1872</v>
      </c>
      <c r="K6967" s="4">
        <v>380</v>
      </c>
      <c r="L6967" t="s">
        <v>98</v>
      </c>
      <c r="M6967">
        <v>19</v>
      </c>
      <c r="N6967" t="s">
        <v>150</v>
      </c>
      <c r="O6967" t="s">
        <v>81</v>
      </c>
      <c r="P6967" t="s">
        <v>136</v>
      </c>
      <c r="Q6967" t="s">
        <v>140</v>
      </c>
      <c r="R6967" t="s">
        <v>141</v>
      </c>
      <c r="S6967" t="s">
        <v>145</v>
      </c>
      <c r="T6967" s="2">
        <f>MASTER[[#This Row],[CANTIDAD]]*MASTER[[#This Row],[PRECIO DE VENTA]]</f>
        <v>1872</v>
      </c>
      <c r="U6967" s="2">
        <f>MASTER[[#This Row],[CANTIDAD]]*MASTER[[#This Row],[COSTO UNITARIO]]</f>
        <v>380</v>
      </c>
      <c r="V6967" s="2">
        <f>MASTER[[#This Row],[MONTO VENDIDO]]-MASTER[[#This Row],[COSTO DE VENTA]]</f>
        <v>1492</v>
      </c>
    </row>
    <row r="6968" spans="1:22" x14ac:dyDescent="0.3">
      <c r="A6968">
        <v>102236</v>
      </c>
      <c r="B6968">
        <v>1</v>
      </c>
      <c r="C6968" t="s">
        <v>107</v>
      </c>
      <c r="D6968" t="s">
        <v>108</v>
      </c>
      <c r="E6968" s="1">
        <v>44002</v>
      </c>
      <c r="F6968">
        <v>1</v>
      </c>
      <c r="G6968" t="s">
        <v>51</v>
      </c>
      <c r="H6968" t="s">
        <v>52</v>
      </c>
      <c r="I6968" s="4">
        <v>1732</v>
      </c>
      <c r="J6968" s="3">
        <v>1628</v>
      </c>
      <c r="K6968" s="4">
        <v>380</v>
      </c>
      <c r="L6968" t="s">
        <v>98</v>
      </c>
      <c r="M6968">
        <v>18</v>
      </c>
      <c r="N6968" t="str">
        <f>IF(MASTER[[#This Row],[IDLOCAL]]=17,"HYDE PARK", "HARLEM IRVING")</f>
        <v>HARLEM IRVING</v>
      </c>
      <c r="O6968" t="str">
        <f>IF(MASTER[[#This Row],[IDLOCAL]]=17,"PREMIUM", "ESTÁNDAR")</f>
        <v>ESTÁNDAR</v>
      </c>
      <c r="P6968" t="s">
        <v>137</v>
      </c>
      <c r="Q6968" t="s">
        <v>142</v>
      </c>
      <c r="R6968" t="s">
        <v>143</v>
      </c>
      <c r="S6968" t="s">
        <v>145</v>
      </c>
      <c r="T6968" s="2">
        <f>MASTER[[#This Row],[CANTIDAD]]*MASTER[[#This Row],[PRECIO DE VENTA]]</f>
        <v>1628</v>
      </c>
      <c r="U6968" s="2">
        <f>MASTER[[#This Row],[CANTIDAD]]*MASTER[[#This Row],[COSTO UNITARIO]]</f>
        <v>380</v>
      </c>
      <c r="V6968" s="2">
        <f>MASTER[[#This Row],[MONTO VENDIDO]]-MASTER[[#This Row],[COSTO DE VENTA]]</f>
        <v>1248</v>
      </c>
    </row>
    <row r="6969" spans="1:22" x14ac:dyDescent="0.3">
      <c r="A6969">
        <v>102252</v>
      </c>
      <c r="B6969">
        <v>1</v>
      </c>
      <c r="C6969" t="s">
        <v>121</v>
      </c>
      <c r="D6969" t="s">
        <v>122</v>
      </c>
      <c r="E6969" s="1">
        <v>44002</v>
      </c>
      <c r="F6969">
        <v>1</v>
      </c>
      <c r="G6969" t="s">
        <v>20</v>
      </c>
      <c r="H6969" t="s">
        <v>21</v>
      </c>
      <c r="I6969" s="4">
        <v>1487</v>
      </c>
      <c r="J6969" s="3">
        <v>1487</v>
      </c>
      <c r="K6969" s="4">
        <v>460</v>
      </c>
      <c r="L6969" t="s">
        <v>120</v>
      </c>
      <c r="M6969">
        <v>17</v>
      </c>
      <c r="N6969" t="str">
        <f>IF(MASTER[[#This Row],[IDLOCAL]]=17,"HYDE PARK", "HARLEM IRVING")</f>
        <v>HYDE PARK</v>
      </c>
      <c r="O6969" t="str">
        <f>IF(MASTER[[#This Row],[IDLOCAL]]=17,"PREMIUM", "ESTÁNDAR")</f>
        <v>PREMIUM</v>
      </c>
      <c r="P6969" t="s">
        <v>137</v>
      </c>
      <c r="Q6969" t="s">
        <v>142</v>
      </c>
      <c r="R6969" t="s">
        <v>143</v>
      </c>
      <c r="S6969" t="s">
        <v>145</v>
      </c>
      <c r="T6969" s="2">
        <f>MASTER[[#This Row],[CANTIDAD]]*MASTER[[#This Row],[PRECIO DE VENTA]]</f>
        <v>1487</v>
      </c>
      <c r="U6969" s="2">
        <f>MASTER[[#This Row],[CANTIDAD]]*MASTER[[#This Row],[COSTO UNITARIO]]</f>
        <v>460</v>
      </c>
      <c r="V6969" s="2">
        <f>MASTER[[#This Row],[MONTO VENDIDO]]-MASTER[[#This Row],[COSTO DE VENTA]]</f>
        <v>1027</v>
      </c>
    </row>
    <row r="6970" spans="1:22" x14ac:dyDescent="0.3">
      <c r="A6970">
        <v>102273</v>
      </c>
      <c r="B6970">
        <v>1</v>
      </c>
      <c r="C6970" t="s">
        <v>90</v>
      </c>
      <c r="D6970" t="s">
        <v>91</v>
      </c>
      <c r="E6970" s="1">
        <v>44003</v>
      </c>
      <c r="F6970">
        <v>1</v>
      </c>
      <c r="G6970" t="s">
        <v>43</v>
      </c>
      <c r="H6970" t="s">
        <v>44</v>
      </c>
      <c r="I6970" s="4">
        <v>2732</v>
      </c>
      <c r="J6970" s="3">
        <v>2732</v>
      </c>
      <c r="K6970" s="4">
        <v>420</v>
      </c>
      <c r="L6970" t="s">
        <v>9</v>
      </c>
      <c r="M6970">
        <v>18</v>
      </c>
      <c r="N6970" t="str">
        <f>IF(MASTER[[#This Row],[IDLOCAL]]=17,"HYDE PARK", "HARLEM IRVING")</f>
        <v>HARLEM IRVING</v>
      </c>
      <c r="O6970" t="str">
        <f>IF(MASTER[[#This Row],[IDLOCAL]]=17,"PREMIUM", "ESTÁNDAR")</f>
        <v>ESTÁNDAR</v>
      </c>
      <c r="P6970" t="s">
        <v>137</v>
      </c>
      <c r="Q6970" t="s">
        <v>142</v>
      </c>
      <c r="R6970" t="s">
        <v>143</v>
      </c>
      <c r="S6970" t="s">
        <v>145</v>
      </c>
      <c r="T6970" s="2">
        <f>MASTER[[#This Row],[CANTIDAD]]*MASTER[[#This Row],[PRECIO DE VENTA]]</f>
        <v>2732</v>
      </c>
      <c r="U6970" s="2">
        <f>MASTER[[#This Row],[CANTIDAD]]*MASTER[[#This Row],[COSTO UNITARIO]]</f>
        <v>420</v>
      </c>
      <c r="V6970" s="2">
        <f>MASTER[[#This Row],[MONTO VENDIDO]]-MASTER[[#This Row],[COSTO DE VENTA]]</f>
        <v>2312</v>
      </c>
    </row>
    <row r="6971" spans="1:22" x14ac:dyDescent="0.3">
      <c r="A6971">
        <v>102283</v>
      </c>
      <c r="B6971">
        <v>1</v>
      </c>
      <c r="C6971" t="s">
        <v>94</v>
      </c>
      <c r="D6971" t="s">
        <v>95</v>
      </c>
      <c r="E6971" s="1">
        <v>44006</v>
      </c>
      <c r="F6971">
        <v>1</v>
      </c>
      <c r="G6971" t="s">
        <v>59</v>
      </c>
      <c r="H6971" t="s">
        <v>60</v>
      </c>
      <c r="I6971" s="4">
        <v>1362</v>
      </c>
      <c r="J6971" s="3">
        <v>1362</v>
      </c>
      <c r="K6971" s="4">
        <v>392</v>
      </c>
      <c r="L6971" t="s">
        <v>9</v>
      </c>
      <c r="M6971">
        <v>17</v>
      </c>
      <c r="N6971" t="str">
        <f>IF(MASTER[[#This Row],[IDLOCAL]]=17,"HYDE PARK", "HARLEM IRVING")</f>
        <v>HYDE PARK</v>
      </c>
      <c r="O6971" t="str">
        <f>IF(MASTER[[#This Row],[IDLOCAL]]=17,"PREMIUM", "ESTÁNDAR")</f>
        <v>PREMIUM</v>
      </c>
      <c r="P6971" t="s">
        <v>137</v>
      </c>
      <c r="Q6971" t="s">
        <v>142</v>
      </c>
      <c r="R6971" t="s">
        <v>143</v>
      </c>
      <c r="S6971" t="s">
        <v>145</v>
      </c>
      <c r="T6971" s="2">
        <f>MASTER[[#This Row],[CANTIDAD]]*MASTER[[#This Row],[PRECIO DE VENTA]]</f>
        <v>1362</v>
      </c>
      <c r="U6971" s="2">
        <f>MASTER[[#This Row],[CANTIDAD]]*MASTER[[#This Row],[COSTO UNITARIO]]</f>
        <v>392</v>
      </c>
      <c r="V6971" s="2">
        <f>MASTER[[#This Row],[MONTO VENDIDO]]-MASTER[[#This Row],[COSTO DE VENTA]]</f>
        <v>970</v>
      </c>
    </row>
    <row r="6972" spans="1:22" x14ac:dyDescent="0.3">
      <c r="A6972">
        <v>102303</v>
      </c>
      <c r="B6972">
        <v>2</v>
      </c>
      <c r="C6972" t="s">
        <v>103</v>
      </c>
      <c r="D6972" t="s">
        <v>104</v>
      </c>
      <c r="E6972" s="1">
        <v>44006</v>
      </c>
      <c r="F6972">
        <v>1</v>
      </c>
      <c r="G6972" t="s">
        <v>20</v>
      </c>
      <c r="H6972" t="s">
        <v>21</v>
      </c>
      <c r="I6972" s="4">
        <v>1882</v>
      </c>
      <c r="J6972" s="3">
        <v>1882</v>
      </c>
      <c r="K6972" s="4">
        <v>421</v>
      </c>
      <c r="L6972" t="s">
        <v>98</v>
      </c>
      <c r="M6972">
        <v>19</v>
      </c>
      <c r="N6972" t="s">
        <v>150</v>
      </c>
      <c r="O6972" t="s">
        <v>81</v>
      </c>
      <c r="P6972" t="s">
        <v>136</v>
      </c>
      <c r="Q6972" t="s">
        <v>140</v>
      </c>
      <c r="R6972" t="s">
        <v>141</v>
      </c>
      <c r="S6972" t="s">
        <v>145</v>
      </c>
      <c r="T6972" s="2">
        <f>MASTER[[#This Row],[CANTIDAD]]*MASTER[[#This Row],[PRECIO DE VENTA]]</f>
        <v>1882</v>
      </c>
      <c r="U6972" s="2">
        <f>MASTER[[#This Row],[CANTIDAD]]*MASTER[[#This Row],[COSTO UNITARIO]]</f>
        <v>421</v>
      </c>
      <c r="V6972" s="2">
        <f>MASTER[[#This Row],[MONTO VENDIDO]]-MASTER[[#This Row],[COSTO DE VENTA]]</f>
        <v>1461</v>
      </c>
    </row>
    <row r="6973" spans="1:22" x14ac:dyDescent="0.3">
      <c r="A6973">
        <v>102306</v>
      </c>
      <c r="B6973">
        <v>1</v>
      </c>
      <c r="C6973" t="s">
        <v>109</v>
      </c>
      <c r="D6973" t="s">
        <v>110</v>
      </c>
      <c r="E6973" s="1">
        <v>44006</v>
      </c>
      <c r="F6973">
        <v>1</v>
      </c>
      <c r="G6973" t="s">
        <v>20</v>
      </c>
      <c r="H6973" t="s">
        <v>21</v>
      </c>
      <c r="I6973" s="4">
        <v>1383</v>
      </c>
      <c r="J6973" s="3">
        <v>1244</v>
      </c>
      <c r="K6973" s="4">
        <v>387</v>
      </c>
      <c r="L6973" t="s">
        <v>98</v>
      </c>
      <c r="M6973">
        <v>19</v>
      </c>
      <c r="N6973" t="s">
        <v>150</v>
      </c>
      <c r="O6973" t="s">
        <v>81</v>
      </c>
      <c r="P6973" t="s">
        <v>136</v>
      </c>
      <c r="Q6973" t="s">
        <v>140</v>
      </c>
      <c r="R6973" t="s">
        <v>141</v>
      </c>
      <c r="S6973" t="s">
        <v>145</v>
      </c>
      <c r="T6973" s="2">
        <f>MASTER[[#This Row],[CANTIDAD]]*MASTER[[#This Row],[PRECIO DE VENTA]]</f>
        <v>1244</v>
      </c>
      <c r="U6973" s="2">
        <f>MASTER[[#This Row],[CANTIDAD]]*MASTER[[#This Row],[COSTO UNITARIO]]</f>
        <v>387</v>
      </c>
      <c r="V6973" s="2">
        <f>MASTER[[#This Row],[MONTO VENDIDO]]-MASTER[[#This Row],[COSTO DE VENTA]]</f>
        <v>857</v>
      </c>
    </row>
    <row r="6974" spans="1:22" x14ac:dyDescent="0.3">
      <c r="A6974">
        <v>102312</v>
      </c>
      <c r="B6974">
        <v>1</v>
      </c>
      <c r="C6974" t="s">
        <v>92</v>
      </c>
      <c r="D6974" t="s">
        <v>93</v>
      </c>
      <c r="E6974" s="1">
        <v>44007</v>
      </c>
      <c r="F6974">
        <v>1</v>
      </c>
      <c r="G6974" t="s">
        <v>35</v>
      </c>
      <c r="H6974" t="s">
        <v>36</v>
      </c>
      <c r="I6974" s="4">
        <v>1922</v>
      </c>
      <c r="J6974" s="3">
        <v>1922</v>
      </c>
      <c r="K6974" s="4">
        <v>396</v>
      </c>
      <c r="L6974" t="s">
        <v>9</v>
      </c>
      <c r="M6974">
        <v>19</v>
      </c>
      <c r="N6974" t="s">
        <v>150</v>
      </c>
      <c r="O6974" t="s">
        <v>81</v>
      </c>
      <c r="P6974" t="s">
        <v>136</v>
      </c>
      <c r="Q6974" t="s">
        <v>140</v>
      </c>
      <c r="R6974" t="s">
        <v>141</v>
      </c>
      <c r="S6974" t="s">
        <v>145</v>
      </c>
      <c r="T6974" s="2">
        <f>MASTER[[#This Row],[CANTIDAD]]*MASTER[[#This Row],[PRECIO DE VENTA]]</f>
        <v>1922</v>
      </c>
      <c r="U6974" s="2">
        <f>MASTER[[#This Row],[CANTIDAD]]*MASTER[[#This Row],[COSTO UNITARIO]]</f>
        <v>396</v>
      </c>
      <c r="V6974" s="2">
        <f>MASTER[[#This Row],[MONTO VENDIDO]]-MASTER[[#This Row],[COSTO DE VENTA]]</f>
        <v>1526</v>
      </c>
    </row>
    <row r="6975" spans="1:22" x14ac:dyDescent="0.3">
      <c r="A6975">
        <v>102333</v>
      </c>
      <c r="B6975">
        <v>1</v>
      </c>
      <c r="C6975" t="s">
        <v>99</v>
      </c>
      <c r="D6975" t="s">
        <v>100</v>
      </c>
      <c r="E6975" s="1">
        <v>44010</v>
      </c>
      <c r="F6975">
        <v>1</v>
      </c>
      <c r="G6975" t="s">
        <v>59</v>
      </c>
      <c r="H6975" t="s">
        <v>60</v>
      </c>
      <c r="I6975" s="4">
        <v>1896</v>
      </c>
      <c r="J6975" s="3">
        <v>1896</v>
      </c>
      <c r="K6975" s="4">
        <v>386</v>
      </c>
      <c r="L6975" t="s">
        <v>98</v>
      </c>
      <c r="M6975">
        <v>19</v>
      </c>
      <c r="N6975" t="s">
        <v>150</v>
      </c>
      <c r="O6975" t="s">
        <v>81</v>
      </c>
      <c r="P6975" t="s">
        <v>136</v>
      </c>
      <c r="Q6975" t="s">
        <v>140</v>
      </c>
      <c r="R6975" t="s">
        <v>141</v>
      </c>
      <c r="S6975" t="s">
        <v>145</v>
      </c>
      <c r="T6975" s="2">
        <f>MASTER[[#This Row],[CANTIDAD]]*MASTER[[#This Row],[PRECIO DE VENTA]]</f>
        <v>1896</v>
      </c>
      <c r="U6975" s="2">
        <f>MASTER[[#This Row],[CANTIDAD]]*MASTER[[#This Row],[COSTO UNITARIO]]</f>
        <v>386</v>
      </c>
      <c r="V6975" s="2">
        <f>MASTER[[#This Row],[MONTO VENDIDO]]-MASTER[[#This Row],[COSTO DE VENTA]]</f>
        <v>1510</v>
      </c>
    </row>
    <row r="6976" spans="1:22" x14ac:dyDescent="0.3">
      <c r="A6976">
        <v>102338</v>
      </c>
      <c r="B6976">
        <v>1</v>
      </c>
      <c r="C6976" t="s">
        <v>116</v>
      </c>
      <c r="D6976" t="s">
        <v>117</v>
      </c>
      <c r="E6976" s="1">
        <v>44010</v>
      </c>
      <c r="F6976">
        <v>1</v>
      </c>
      <c r="G6976" t="s">
        <v>35</v>
      </c>
      <c r="H6976" t="s">
        <v>36</v>
      </c>
      <c r="I6976" s="4">
        <v>2259</v>
      </c>
      <c r="J6976" s="3">
        <v>2259</v>
      </c>
      <c r="K6976" s="4">
        <v>388</v>
      </c>
      <c r="L6976" t="s">
        <v>113</v>
      </c>
      <c r="M6976">
        <v>19</v>
      </c>
      <c r="N6976" t="s">
        <v>150</v>
      </c>
      <c r="O6976" t="s">
        <v>81</v>
      </c>
      <c r="P6976" t="s">
        <v>136</v>
      </c>
      <c r="Q6976" t="s">
        <v>140</v>
      </c>
      <c r="R6976" t="s">
        <v>141</v>
      </c>
      <c r="S6976" t="s">
        <v>145</v>
      </c>
      <c r="T6976" s="2">
        <f>MASTER[[#This Row],[CANTIDAD]]*MASTER[[#This Row],[PRECIO DE VENTA]]</f>
        <v>2259</v>
      </c>
      <c r="U6976" s="2">
        <f>MASTER[[#This Row],[CANTIDAD]]*MASTER[[#This Row],[COSTO UNITARIO]]</f>
        <v>388</v>
      </c>
      <c r="V6976" s="2">
        <f>MASTER[[#This Row],[MONTO VENDIDO]]-MASTER[[#This Row],[COSTO DE VENTA]]</f>
        <v>1871</v>
      </c>
    </row>
    <row r="6977" spans="1:22" x14ac:dyDescent="0.3">
      <c r="A6977">
        <v>102347</v>
      </c>
      <c r="B6977">
        <v>1</v>
      </c>
      <c r="C6977" t="s">
        <v>107</v>
      </c>
      <c r="D6977" t="s">
        <v>108</v>
      </c>
      <c r="E6977" s="1">
        <v>44011</v>
      </c>
      <c r="F6977">
        <v>1</v>
      </c>
      <c r="G6977" t="s">
        <v>24</v>
      </c>
      <c r="H6977" t="s">
        <v>25</v>
      </c>
      <c r="I6977" s="4">
        <v>1612</v>
      </c>
      <c r="J6977" s="3">
        <v>1612</v>
      </c>
      <c r="K6977" s="4">
        <v>380</v>
      </c>
      <c r="L6977" t="s">
        <v>98</v>
      </c>
      <c r="M6977">
        <v>19</v>
      </c>
      <c r="N6977" t="s">
        <v>150</v>
      </c>
      <c r="O6977" t="s">
        <v>81</v>
      </c>
      <c r="P6977" t="s">
        <v>136</v>
      </c>
      <c r="Q6977" t="s">
        <v>140</v>
      </c>
      <c r="R6977" t="s">
        <v>141</v>
      </c>
      <c r="S6977" t="s">
        <v>145</v>
      </c>
      <c r="T6977" s="2">
        <f>MASTER[[#This Row],[CANTIDAD]]*MASTER[[#This Row],[PRECIO DE VENTA]]</f>
        <v>1612</v>
      </c>
      <c r="U6977" s="2">
        <f>MASTER[[#This Row],[CANTIDAD]]*MASTER[[#This Row],[COSTO UNITARIO]]</f>
        <v>380</v>
      </c>
      <c r="V6977" s="2">
        <f>MASTER[[#This Row],[MONTO VENDIDO]]-MASTER[[#This Row],[COSTO DE VENTA]]</f>
        <v>1232</v>
      </c>
    </row>
    <row r="6978" spans="1:22" x14ac:dyDescent="0.3">
      <c r="A6978">
        <v>102351</v>
      </c>
      <c r="B6978">
        <v>1</v>
      </c>
      <c r="C6978" t="s">
        <v>121</v>
      </c>
      <c r="D6978" t="s">
        <v>122</v>
      </c>
      <c r="E6978" s="1">
        <v>44011</v>
      </c>
      <c r="F6978">
        <v>1</v>
      </c>
      <c r="G6978" t="s">
        <v>53</v>
      </c>
      <c r="H6978" t="s">
        <v>54</v>
      </c>
      <c r="I6978" s="4">
        <v>1389</v>
      </c>
      <c r="J6978" s="3">
        <v>1389</v>
      </c>
      <c r="K6978" s="4">
        <v>460</v>
      </c>
      <c r="L6978" t="s">
        <v>120</v>
      </c>
      <c r="M6978">
        <v>19</v>
      </c>
      <c r="N6978" t="s">
        <v>150</v>
      </c>
      <c r="O6978" t="s">
        <v>81</v>
      </c>
      <c r="P6978" t="s">
        <v>136</v>
      </c>
      <c r="Q6978" t="s">
        <v>140</v>
      </c>
      <c r="R6978" t="s">
        <v>141</v>
      </c>
      <c r="S6978" t="s">
        <v>145</v>
      </c>
      <c r="T6978" s="2">
        <f>MASTER[[#This Row],[CANTIDAD]]*MASTER[[#This Row],[PRECIO DE VENTA]]</f>
        <v>1389</v>
      </c>
      <c r="U6978" s="2">
        <f>MASTER[[#This Row],[CANTIDAD]]*MASTER[[#This Row],[COSTO UNITARIO]]</f>
        <v>460</v>
      </c>
      <c r="V6978" s="2">
        <f>MASTER[[#This Row],[MONTO VENDIDO]]-MASTER[[#This Row],[COSTO DE VENTA]]</f>
        <v>929</v>
      </c>
    </row>
    <row r="6979" spans="1:22" x14ac:dyDescent="0.3">
      <c r="A6979">
        <v>102380</v>
      </c>
      <c r="B6979">
        <v>1</v>
      </c>
      <c r="C6979" t="s">
        <v>114</v>
      </c>
      <c r="D6979" t="s">
        <v>115</v>
      </c>
      <c r="E6979" s="1">
        <v>44013</v>
      </c>
      <c r="F6979">
        <v>1</v>
      </c>
      <c r="G6979" t="s">
        <v>31</v>
      </c>
      <c r="H6979" t="s">
        <v>32</v>
      </c>
      <c r="I6979" s="4">
        <v>2420</v>
      </c>
      <c r="J6979" s="3">
        <v>2420</v>
      </c>
      <c r="K6979" s="4">
        <v>394</v>
      </c>
      <c r="L6979" t="s">
        <v>113</v>
      </c>
      <c r="M6979">
        <v>19</v>
      </c>
      <c r="N6979" t="s">
        <v>150</v>
      </c>
      <c r="O6979" t="s">
        <v>81</v>
      </c>
      <c r="P6979" t="s">
        <v>136</v>
      </c>
      <c r="Q6979" t="s">
        <v>140</v>
      </c>
      <c r="R6979" t="s">
        <v>141</v>
      </c>
      <c r="S6979" t="s">
        <v>145</v>
      </c>
      <c r="T6979" s="2">
        <f>MASTER[[#This Row],[CANTIDAD]]*MASTER[[#This Row],[PRECIO DE VENTA]]</f>
        <v>2420</v>
      </c>
      <c r="U6979" s="2">
        <f>MASTER[[#This Row],[CANTIDAD]]*MASTER[[#This Row],[COSTO UNITARIO]]</f>
        <v>394</v>
      </c>
      <c r="V6979" s="2">
        <f>MASTER[[#This Row],[MONTO VENDIDO]]-MASTER[[#This Row],[COSTO DE VENTA]]</f>
        <v>2026</v>
      </c>
    </row>
    <row r="6980" spans="1:22" x14ac:dyDescent="0.3">
      <c r="A6980">
        <v>102385</v>
      </c>
      <c r="B6980">
        <v>1</v>
      </c>
      <c r="C6980" t="s">
        <v>111</v>
      </c>
      <c r="D6980" t="s">
        <v>112</v>
      </c>
      <c r="E6980" s="1">
        <v>44014</v>
      </c>
      <c r="F6980">
        <v>1</v>
      </c>
      <c r="G6980" t="s">
        <v>24</v>
      </c>
      <c r="H6980" t="s">
        <v>25</v>
      </c>
      <c r="I6980" s="4">
        <v>2107</v>
      </c>
      <c r="J6980" s="3">
        <v>2107</v>
      </c>
      <c r="K6980" s="4">
        <v>434</v>
      </c>
      <c r="L6980" t="s">
        <v>113</v>
      </c>
      <c r="M6980">
        <v>17</v>
      </c>
      <c r="N6980" t="str">
        <f>IF(MASTER[[#This Row],[IDLOCAL]]=17,"HYDE PARK", "HARLEM IRVING")</f>
        <v>HYDE PARK</v>
      </c>
      <c r="O6980" t="str">
        <f>IF(MASTER[[#This Row],[IDLOCAL]]=17,"PREMIUM", "ESTÁNDAR")</f>
        <v>PREMIUM</v>
      </c>
      <c r="P6980" t="s">
        <v>137</v>
      </c>
      <c r="Q6980" t="s">
        <v>142</v>
      </c>
      <c r="R6980" t="s">
        <v>143</v>
      </c>
      <c r="S6980" t="s">
        <v>145</v>
      </c>
      <c r="T6980" s="2">
        <f>MASTER[[#This Row],[CANTIDAD]]*MASTER[[#This Row],[PRECIO DE VENTA]]</f>
        <v>2107</v>
      </c>
      <c r="U6980" s="2">
        <f>MASTER[[#This Row],[CANTIDAD]]*MASTER[[#This Row],[COSTO UNITARIO]]</f>
        <v>434</v>
      </c>
      <c r="V6980" s="2">
        <f>MASTER[[#This Row],[MONTO VENDIDO]]-MASTER[[#This Row],[COSTO DE VENTA]]</f>
        <v>1673</v>
      </c>
    </row>
    <row r="6981" spans="1:22" x14ac:dyDescent="0.3">
      <c r="A6981">
        <v>102400</v>
      </c>
      <c r="B6981">
        <v>1</v>
      </c>
      <c r="C6981" t="s">
        <v>103</v>
      </c>
      <c r="D6981" t="s">
        <v>104</v>
      </c>
      <c r="E6981" s="1">
        <v>44016</v>
      </c>
      <c r="F6981">
        <v>1</v>
      </c>
      <c r="G6981" t="s">
        <v>33</v>
      </c>
      <c r="H6981" t="s">
        <v>34</v>
      </c>
      <c r="I6981" s="4">
        <v>2068</v>
      </c>
      <c r="J6981" s="3">
        <v>2068</v>
      </c>
      <c r="K6981" s="4">
        <v>421</v>
      </c>
      <c r="L6981" t="s">
        <v>98</v>
      </c>
      <c r="M6981">
        <v>18</v>
      </c>
      <c r="N6981" t="str">
        <f>IF(MASTER[[#This Row],[IDLOCAL]]=17,"HYDE PARK", "HARLEM IRVING")</f>
        <v>HARLEM IRVING</v>
      </c>
      <c r="O6981" t="str">
        <f>IF(MASTER[[#This Row],[IDLOCAL]]=17,"PREMIUM", "ESTÁNDAR")</f>
        <v>ESTÁNDAR</v>
      </c>
      <c r="P6981" t="s">
        <v>137</v>
      </c>
      <c r="Q6981" t="s">
        <v>142</v>
      </c>
      <c r="R6981" t="s">
        <v>143</v>
      </c>
      <c r="S6981" t="s">
        <v>145</v>
      </c>
      <c r="T6981" s="2">
        <f>MASTER[[#This Row],[CANTIDAD]]*MASTER[[#This Row],[PRECIO DE VENTA]]</f>
        <v>2068</v>
      </c>
      <c r="U6981" s="2">
        <f>MASTER[[#This Row],[CANTIDAD]]*MASTER[[#This Row],[COSTO UNITARIO]]</f>
        <v>421</v>
      </c>
      <c r="V6981" s="2">
        <f>MASTER[[#This Row],[MONTO VENDIDO]]-MASTER[[#This Row],[COSTO DE VENTA]]</f>
        <v>1647</v>
      </c>
    </row>
    <row r="6982" spans="1:22" x14ac:dyDescent="0.3">
      <c r="A6982">
        <v>102408</v>
      </c>
      <c r="B6982">
        <v>1</v>
      </c>
      <c r="C6982" t="s">
        <v>5</v>
      </c>
      <c r="D6982" t="s">
        <v>6</v>
      </c>
      <c r="E6982" s="1">
        <v>44019</v>
      </c>
      <c r="F6982">
        <v>3</v>
      </c>
      <c r="G6982" t="s">
        <v>53</v>
      </c>
      <c r="H6982" t="s">
        <v>54</v>
      </c>
      <c r="I6982" s="4">
        <v>1959</v>
      </c>
      <c r="J6982" s="3">
        <v>1762</v>
      </c>
      <c r="K6982" s="4">
        <v>393</v>
      </c>
      <c r="L6982" t="s">
        <v>9</v>
      </c>
      <c r="M6982">
        <v>18</v>
      </c>
      <c r="N6982" t="str">
        <f>IF(MASTER[[#This Row],[IDLOCAL]]=17,"HYDE PARK", "HARLEM IRVING")</f>
        <v>HARLEM IRVING</v>
      </c>
      <c r="O6982" t="str">
        <f>IF(MASTER[[#This Row],[IDLOCAL]]=17,"PREMIUM", "ESTÁNDAR")</f>
        <v>ESTÁNDAR</v>
      </c>
      <c r="P6982" t="s">
        <v>137</v>
      </c>
      <c r="Q6982" t="s">
        <v>142</v>
      </c>
      <c r="R6982" t="s">
        <v>143</v>
      </c>
      <c r="S6982" t="s">
        <v>145</v>
      </c>
      <c r="T6982" s="2">
        <f>MASTER[[#This Row],[CANTIDAD]]*MASTER[[#This Row],[PRECIO DE VENTA]]</f>
        <v>5286</v>
      </c>
      <c r="U6982" s="2">
        <f>MASTER[[#This Row],[CANTIDAD]]*MASTER[[#This Row],[COSTO UNITARIO]]</f>
        <v>1179</v>
      </c>
      <c r="V6982" s="2">
        <f>MASTER[[#This Row],[MONTO VENDIDO]]-MASTER[[#This Row],[COSTO DE VENTA]]</f>
        <v>4107</v>
      </c>
    </row>
    <row r="6983" spans="1:22" x14ac:dyDescent="0.3">
      <c r="A6983">
        <v>102417</v>
      </c>
      <c r="B6983">
        <v>1</v>
      </c>
      <c r="C6983" t="s">
        <v>107</v>
      </c>
      <c r="D6983" t="s">
        <v>108</v>
      </c>
      <c r="E6983" s="1">
        <v>44020</v>
      </c>
      <c r="F6983">
        <v>1</v>
      </c>
      <c r="G6983" t="s">
        <v>51</v>
      </c>
      <c r="H6983" t="s">
        <v>52</v>
      </c>
      <c r="I6983" s="4">
        <v>1732</v>
      </c>
      <c r="J6983" s="3">
        <v>1732</v>
      </c>
      <c r="K6983" s="4">
        <v>380</v>
      </c>
      <c r="L6983" t="s">
        <v>98</v>
      </c>
      <c r="M6983">
        <v>19</v>
      </c>
      <c r="N6983" t="s">
        <v>150</v>
      </c>
      <c r="O6983" t="s">
        <v>81</v>
      </c>
      <c r="P6983" t="s">
        <v>136</v>
      </c>
      <c r="Q6983" t="s">
        <v>140</v>
      </c>
      <c r="R6983" t="s">
        <v>141</v>
      </c>
      <c r="S6983" t="s">
        <v>145</v>
      </c>
      <c r="T6983" s="2">
        <f>MASTER[[#This Row],[CANTIDAD]]*MASTER[[#This Row],[PRECIO DE VENTA]]</f>
        <v>1732</v>
      </c>
      <c r="U6983" s="2">
        <f>MASTER[[#This Row],[CANTIDAD]]*MASTER[[#This Row],[COSTO UNITARIO]]</f>
        <v>380</v>
      </c>
      <c r="V6983" s="2">
        <f>MASTER[[#This Row],[MONTO VENDIDO]]-MASTER[[#This Row],[COSTO DE VENTA]]</f>
        <v>1352</v>
      </c>
    </row>
    <row r="6984" spans="1:22" x14ac:dyDescent="0.3">
      <c r="A6984">
        <v>102420</v>
      </c>
      <c r="B6984">
        <v>1</v>
      </c>
      <c r="C6984" t="s">
        <v>101</v>
      </c>
      <c r="D6984" t="s">
        <v>102</v>
      </c>
      <c r="E6984" s="1">
        <v>44022</v>
      </c>
      <c r="F6984">
        <v>1</v>
      </c>
      <c r="G6984" t="s">
        <v>73</v>
      </c>
      <c r="H6984" t="s">
        <v>74</v>
      </c>
      <c r="I6984" s="4">
        <v>1575</v>
      </c>
      <c r="J6984" s="3">
        <v>1575</v>
      </c>
      <c r="K6984" s="4">
        <v>442</v>
      </c>
      <c r="L6984" t="s">
        <v>98</v>
      </c>
      <c r="M6984">
        <v>17</v>
      </c>
      <c r="N6984" t="str">
        <f>IF(MASTER[[#This Row],[IDLOCAL]]=17,"HYDE PARK", "HARLEM IRVING")</f>
        <v>HYDE PARK</v>
      </c>
      <c r="O6984" t="str">
        <f>IF(MASTER[[#This Row],[IDLOCAL]]=17,"PREMIUM", "ESTÁNDAR")</f>
        <v>PREMIUM</v>
      </c>
      <c r="P6984" t="s">
        <v>137</v>
      </c>
      <c r="Q6984" t="s">
        <v>142</v>
      </c>
      <c r="R6984" t="s">
        <v>143</v>
      </c>
      <c r="S6984" t="s">
        <v>145</v>
      </c>
      <c r="T6984" s="2">
        <f>MASTER[[#This Row],[CANTIDAD]]*MASTER[[#This Row],[PRECIO DE VENTA]]</f>
        <v>1575</v>
      </c>
      <c r="U6984" s="2">
        <f>MASTER[[#This Row],[CANTIDAD]]*MASTER[[#This Row],[COSTO UNITARIO]]</f>
        <v>442</v>
      </c>
      <c r="V6984" s="2">
        <f>MASTER[[#This Row],[MONTO VENDIDO]]-MASTER[[#This Row],[COSTO DE VENTA]]</f>
        <v>1133</v>
      </c>
    </row>
    <row r="6985" spans="1:22" x14ac:dyDescent="0.3">
      <c r="A6985">
        <v>102422</v>
      </c>
      <c r="B6985">
        <v>1</v>
      </c>
      <c r="C6985" t="s">
        <v>105</v>
      </c>
      <c r="D6985" t="s">
        <v>106</v>
      </c>
      <c r="E6985" s="1">
        <v>44024</v>
      </c>
      <c r="F6985">
        <v>1</v>
      </c>
      <c r="G6985" t="s">
        <v>35</v>
      </c>
      <c r="H6985" t="s">
        <v>36</v>
      </c>
      <c r="I6985" s="4">
        <v>2424</v>
      </c>
      <c r="J6985" s="3">
        <v>2424</v>
      </c>
      <c r="K6985" s="4">
        <v>459</v>
      </c>
      <c r="L6985" t="s">
        <v>98</v>
      </c>
      <c r="M6985">
        <v>19</v>
      </c>
      <c r="N6985" t="s">
        <v>150</v>
      </c>
      <c r="O6985" t="s">
        <v>81</v>
      </c>
      <c r="P6985" t="s">
        <v>136</v>
      </c>
      <c r="Q6985" t="s">
        <v>140</v>
      </c>
      <c r="R6985" t="s">
        <v>141</v>
      </c>
      <c r="S6985" t="s">
        <v>145</v>
      </c>
      <c r="T6985" s="2">
        <f>MASTER[[#This Row],[CANTIDAD]]*MASTER[[#This Row],[PRECIO DE VENTA]]</f>
        <v>2424</v>
      </c>
      <c r="U6985" s="2">
        <f>MASTER[[#This Row],[CANTIDAD]]*MASTER[[#This Row],[COSTO UNITARIO]]</f>
        <v>459</v>
      </c>
      <c r="V6985" s="2">
        <f>MASTER[[#This Row],[MONTO VENDIDO]]-MASTER[[#This Row],[COSTO DE VENTA]]</f>
        <v>1965</v>
      </c>
    </row>
    <row r="6986" spans="1:22" x14ac:dyDescent="0.3">
      <c r="A6986">
        <v>102449</v>
      </c>
      <c r="B6986">
        <v>1</v>
      </c>
      <c r="C6986" t="s">
        <v>111</v>
      </c>
      <c r="D6986" t="s">
        <v>112</v>
      </c>
      <c r="E6986" s="1">
        <v>44024</v>
      </c>
      <c r="F6986">
        <v>1</v>
      </c>
      <c r="G6986" t="s">
        <v>65</v>
      </c>
      <c r="H6986" t="s">
        <v>66</v>
      </c>
      <c r="I6986" s="4">
        <v>2338</v>
      </c>
      <c r="J6986" s="3">
        <v>2338</v>
      </c>
      <c r="K6986" s="4">
        <v>434</v>
      </c>
      <c r="L6986" t="s">
        <v>113</v>
      </c>
      <c r="M6986">
        <v>19</v>
      </c>
      <c r="N6986" t="s">
        <v>150</v>
      </c>
      <c r="O6986" t="s">
        <v>81</v>
      </c>
      <c r="P6986" t="s">
        <v>136</v>
      </c>
      <c r="Q6986" t="s">
        <v>140</v>
      </c>
      <c r="R6986" t="s">
        <v>141</v>
      </c>
      <c r="S6986" t="s">
        <v>145</v>
      </c>
      <c r="T6986" s="2">
        <f>MASTER[[#This Row],[CANTIDAD]]*MASTER[[#This Row],[PRECIO DE VENTA]]</f>
        <v>2338</v>
      </c>
      <c r="U6986" s="2">
        <f>MASTER[[#This Row],[CANTIDAD]]*MASTER[[#This Row],[COSTO UNITARIO]]</f>
        <v>434</v>
      </c>
      <c r="V6986" s="2">
        <f>MASTER[[#This Row],[MONTO VENDIDO]]-MASTER[[#This Row],[COSTO DE VENTA]]</f>
        <v>1904</v>
      </c>
    </row>
    <row r="6987" spans="1:22" x14ac:dyDescent="0.3">
      <c r="A6987">
        <v>102467</v>
      </c>
      <c r="B6987">
        <v>1</v>
      </c>
      <c r="C6987" t="s">
        <v>94</v>
      </c>
      <c r="D6987" t="s">
        <v>95</v>
      </c>
      <c r="E6987" s="1">
        <v>44025</v>
      </c>
      <c r="F6987">
        <v>1</v>
      </c>
      <c r="G6987" t="s">
        <v>35</v>
      </c>
      <c r="H6987" t="s">
        <v>36</v>
      </c>
      <c r="I6987" s="4">
        <v>1362</v>
      </c>
      <c r="J6987" s="3">
        <v>1362</v>
      </c>
      <c r="K6987" s="4">
        <v>392</v>
      </c>
      <c r="L6987" t="s">
        <v>9</v>
      </c>
      <c r="M6987">
        <v>17</v>
      </c>
      <c r="N6987" t="str">
        <f>IF(MASTER[[#This Row],[IDLOCAL]]=17,"HYDE PARK", "HARLEM IRVING")</f>
        <v>HYDE PARK</v>
      </c>
      <c r="O6987" t="str">
        <f>IF(MASTER[[#This Row],[IDLOCAL]]=17,"PREMIUM", "ESTÁNDAR")</f>
        <v>PREMIUM</v>
      </c>
      <c r="P6987" t="s">
        <v>137</v>
      </c>
      <c r="Q6987" t="s">
        <v>142</v>
      </c>
      <c r="R6987" t="s">
        <v>143</v>
      </c>
      <c r="S6987" t="s">
        <v>145</v>
      </c>
      <c r="T6987" s="2">
        <f>MASTER[[#This Row],[CANTIDAD]]*MASTER[[#This Row],[PRECIO DE VENTA]]</f>
        <v>1362</v>
      </c>
      <c r="U6987" s="2">
        <f>MASTER[[#This Row],[CANTIDAD]]*MASTER[[#This Row],[COSTO UNITARIO]]</f>
        <v>392</v>
      </c>
      <c r="V6987" s="2">
        <f>MASTER[[#This Row],[MONTO VENDIDO]]-MASTER[[#This Row],[COSTO DE VENTA]]</f>
        <v>970</v>
      </c>
    </row>
    <row r="6988" spans="1:22" x14ac:dyDescent="0.3">
      <c r="A6988">
        <v>102474</v>
      </c>
      <c r="B6988">
        <v>1</v>
      </c>
      <c r="C6988" t="s">
        <v>114</v>
      </c>
      <c r="D6988" t="s">
        <v>115</v>
      </c>
      <c r="E6988" s="1">
        <v>44027</v>
      </c>
      <c r="F6988">
        <v>1</v>
      </c>
      <c r="G6988" t="s">
        <v>51</v>
      </c>
      <c r="H6988" t="s">
        <v>52</v>
      </c>
      <c r="I6988" s="4">
        <v>2639</v>
      </c>
      <c r="J6988" s="3">
        <v>2639</v>
      </c>
      <c r="K6988" s="4">
        <v>394</v>
      </c>
      <c r="L6988" t="s">
        <v>113</v>
      </c>
      <c r="M6988">
        <v>19</v>
      </c>
      <c r="N6988" t="s">
        <v>150</v>
      </c>
      <c r="O6988" t="s">
        <v>81</v>
      </c>
      <c r="P6988" t="s">
        <v>136</v>
      </c>
      <c r="Q6988" t="s">
        <v>140</v>
      </c>
      <c r="R6988" t="s">
        <v>141</v>
      </c>
      <c r="S6988" t="s">
        <v>145</v>
      </c>
      <c r="T6988" s="2">
        <f>MASTER[[#This Row],[CANTIDAD]]*MASTER[[#This Row],[PRECIO DE VENTA]]</f>
        <v>2639</v>
      </c>
      <c r="U6988" s="2">
        <f>MASTER[[#This Row],[CANTIDAD]]*MASTER[[#This Row],[COSTO UNITARIO]]</f>
        <v>394</v>
      </c>
      <c r="V6988" s="2">
        <f>MASTER[[#This Row],[MONTO VENDIDO]]-MASTER[[#This Row],[COSTO DE VENTA]]</f>
        <v>2245</v>
      </c>
    </row>
    <row r="6989" spans="1:22" x14ac:dyDescent="0.3">
      <c r="A6989">
        <v>102478</v>
      </c>
      <c r="B6989">
        <v>1</v>
      </c>
      <c r="C6989" t="s">
        <v>92</v>
      </c>
      <c r="D6989" t="s">
        <v>93</v>
      </c>
      <c r="E6989" s="1">
        <v>44028</v>
      </c>
      <c r="F6989">
        <v>1</v>
      </c>
      <c r="G6989" t="s">
        <v>45</v>
      </c>
      <c r="H6989" t="s">
        <v>46</v>
      </c>
      <c r="I6989" s="4">
        <v>2185</v>
      </c>
      <c r="J6989" s="3">
        <v>2185</v>
      </c>
      <c r="K6989" s="4">
        <v>396</v>
      </c>
      <c r="L6989" t="s">
        <v>9</v>
      </c>
      <c r="M6989">
        <v>19</v>
      </c>
      <c r="N6989" t="s">
        <v>150</v>
      </c>
      <c r="O6989" t="s">
        <v>81</v>
      </c>
      <c r="P6989" t="s">
        <v>136</v>
      </c>
      <c r="Q6989" t="s">
        <v>140</v>
      </c>
      <c r="R6989" t="s">
        <v>141</v>
      </c>
      <c r="S6989" t="s">
        <v>145</v>
      </c>
      <c r="T6989" s="2">
        <f>MASTER[[#This Row],[CANTIDAD]]*MASTER[[#This Row],[PRECIO DE VENTA]]</f>
        <v>2185</v>
      </c>
      <c r="U6989" s="2">
        <f>MASTER[[#This Row],[CANTIDAD]]*MASTER[[#This Row],[COSTO UNITARIO]]</f>
        <v>396</v>
      </c>
      <c r="V6989" s="2">
        <f>MASTER[[#This Row],[MONTO VENDIDO]]-MASTER[[#This Row],[COSTO DE VENTA]]</f>
        <v>1789</v>
      </c>
    </row>
    <row r="6990" spans="1:22" x14ac:dyDescent="0.3">
      <c r="A6990">
        <v>102484</v>
      </c>
      <c r="B6990">
        <v>1</v>
      </c>
      <c r="C6990" t="s">
        <v>96</v>
      </c>
      <c r="D6990" t="s">
        <v>97</v>
      </c>
      <c r="E6990" s="1">
        <v>44028</v>
      </c>
      <c r="F6990">
        <v>1</v>
      </c>
      <c r="G6990" t="s">
        <v>59</v>
      </c>
      <c r="H6990" t="s">
        <v>60</v>
      </c>
      <c r="I6990" s="4">
        <v>1653</v>
      </c>
      <c r="J6990" s="3">
        <v>1653</v>
      </c>
      <c r="K6990" s="4">
        <v>397</v>
      </c>
      <c r="L6990" t="s">
        <v>98</v>
      </c>
      <c r="M6990">
        <v>17</v>
      </c>
      <c r="N6990" t="str">
        <f>IF(MASTER[[#This Row],[IDLOCAL]]=17,"HYDE PARK", "HARLEM IRVING")</f>
        <v>HYDE PARK</v>
      </c>
      <c r="O6990" t="str">
        <f>IF(MASTER[[#This Row],[IDLOCAL]]=17,"PREMIUM", "ESTÁNDAR")</f>
        <v>PREMIUM</v>
      </c>
      <c r="P6990" t="s">
        <v>137</v>
      </c>
      <c r="Q6990" t="s">
        <v>142</v>
      </c>
      <c r="R6990" t="s">
        <v>143</v>
      </c>
      <c r="S6990" t="s">
        <v>145</v>
      </c>
      <c r="T6990" s="2">
        <f>MASTER[[#This Row],[CANTIDAD]]*MASTER[[#This Row],[PRECIO DE VENTA]]</f>
        <v>1653</v>
      </c>
      <c r="U6990" s="2">
        <f>MASTER[[#This Row],[CANTIDAD]]*MASTER[[#This Row],[COSTO UNITARIO]]</f>
        <v>397</v>
      </c>
      <c r="V6990" s="2">
        <f>MASTER[[#This Row],[MONTO VENDIDO]]-MASTER[[#This Row],[COSTO DE VENTA]]</f>
        <v>1256</v>
      </c>
    </row>
    <row r="6991" spans="1:22" x14ac:dyDescent="0.3">
      <c r="A6991">
        <v>102508</v>
      </c>
      <c r="B6991">
        <v>1</v>
      </c>
      <c r="C6991" t="s">
        <v>105</v>
      </c>
      <c r="D6991" t="s">
        <v>106</v>
      </c>
      <c r="E6991" s="1">
        <v>44029</v>
      </c>
      <c r="F6991">
        <v>1</v>
      </c>
      <c r="G6991" t="s">
        <v>7</v>
      </c>
      <c r="H6991" t="s">
        <v>8</v>
      </c>
      <c r="I6991" s="4">
        <v>2642</v>
      </c>
      <c r="J6991" s="3">
        <v>2642</v>
      </c>
      <c r="K6991" s="4">
        <v>459</v>
      </c>
      <c r="L6991" t="s">
        <v>98</v>
      </c>
      <c r="M6991">
        <v>18</v>
      </c>
      <c r="N6991" t="str">
        <f>IF(MASTER[[#This Row],[IDLOCAL]]=17,"HYDE PARK", "HARLEM IRVING")</f>
        <v>HARLEM IRVING</v>
      </c>
      <c r="O6991" t="str">
        <f>IF(MASTER[[#This Row],[IDLOCAL]]=17,"PREMIUM", "ESTÁNDAR")</f>
        <v>ESTÁNDAR</v>
      </c>
      <c r="P6991" t="s">
        <v>137</v>
      </c>
      <c r="Q6991" t="s">
        <v>142</v>
      </c>
      <c r="R6991" t="s">
        <v>143</v>
      </c>
      <c r="S6991" t="s">
        <v>145</v>
      </c>
      <c r="T6991" s="2">
        <f>MASTER[[#This Row],[CANTIDAD]]*MASTER[[#This Row],[PRECIO DE VENTA]]</f>
        <v>2642</v>
      </c>
      <c r="U6991" s="2">
        <f>MASTER[[#This Row],[CANTIDAD]]*MASTER[[#This Row],[COSTO UNITARIO]]</f>
        <v>459</v>
      </c>
      <c r="V6991" s="2">
        <f>MASTER[[#This Row],[MONTO VENDIDO]]-MASTER[[#This Row],[COSTO DE VENTA]]</f>
        <v>2183</v>
      </c>
    </row>
    <row r="6992" spans="1:22" x14ac:dyDescent="0.3">
      <c r="A6992">
        <v>102524</v>
      </c>
      <c r="B6992">
        <v>1</v>
      </c>
      <c r="C6992" t="s">
        <v>109</v>
      </c>
      <c r="D6992" t="s">
        <v>110</v>
      </c>
      <c r="E6992" s="1">
        <v>44029</v>
      </c>
      <c r="F6992">
        <v>1</v>
      </c>
      <c r="G6992" t="s">
        <v>45</v>
      </c>
      <c r="H6992" t="s">
        <v>46</v>
      </c>
      <c r="I6992" s="4">
        <v>1231</v>
      </c>
      <c r="J6992" s="3">
        <v>1231</v>
      </c>
      <c r="K6992" s="4">
        <v>387</v>
      </c>
      <c r="L6992" t="s">
        <v>98</v>
      </c>
      <c r="M6992">
        <v>19</v>
      </c>
      <c r="N6992" t="s">
        <v>150</v>
      </c>
      <c r="O6992" t="s">
        <v>81</v>
      </c>
      <c r="P6992" t="s">
        <v>136</v>
      </c>
      <c r="Q6992" t="s">
        <v>140</v>
      </c>
      <c r="R6992" t="s">
        <v>141</v>
      </c>
      <c r="S6992" t="s">
        <v>145</v>
      </c>
      <c r="T6992" s="2">
        <f>MASTER[[#This Row],[CANTIDAD]]*MASTER[[#This Row],[PRECIO DE VENTA]]</f>
        <v>1231</v>
      </c>
      <c r="U6992" s="2">
        <f>MASTER[[#This Row],[CANTIDAD]]*MASTER[[#This Row],[COSTO UNITARIO]]</f>
        <v>387</v>
      </c>
      <c r="V6992" s="2">
        <f>MASTER[[#This Row],[MONTO VENDIDO]]-MASTER[[#This Row],[COSTO DE VENTA]]</f>
        <v>844</v>
      </c>
    </row>
    <row r="6993" spans="1:22" x14ac:dyDescent="0.3">
      <c r="A6993">
        <v>102536</v>
      </c>
      <c r="B6993">
        <v>1</v>
      </c>
      <c r="C6993" t="s">
        <v>118</v>
      </c>
      <c r="D6993" t="s">
        <v>119</v>
      </c>
      <c r="E6993" s="1">
        <v>44030</v>
      </c>
      <c r="F6993">
        <v>1</v>
      </c>
      <c r="G6993" t="s">
        <v>20</v>
      </c>
      <c r="H6993" t="s">
        <v>21</v>
      </c>
      <c r="I6993" s="4">
        <v>1170</v>
      </c>
      <c r="J6993" s="3">
        <v>1170</v>
      </c>
      <c r="K6993" s="4">
        <v>424</v>
      </c>
      <c r="L6993" t="s">
        <v>120</v>
      </c>
      <c r="M6993">
        <v>17</v>
      </c>
      <c r="N6993" t="str">
        <f>IF(MASTER[[#This Row],[IDLOCAL]]=17,"HYDE PARK", "HARLEM IRVING")</f>
        <v>HYDE PARK</v>
      </c>
      <c r="O6993" t="str">
        <f>IF(MASTER[[#This Row],[IDLOCAL]]=17,"PREMIUM", "ESTÁNDAR")</f>
        <v>PREMIUM</v>
      </c>
      <c r="P6993" t="s">
        <v>137</v>
      </c>
      <c r="Q6993" t="s">
        <v>142</v>
      </c>
      <c r="R6993" t="s">
        <v>143</v>
      </c>
      <c r="S6993" t="s">
        <v>145</v>
      </c>
      <c r="T6993" s="2">
        <f>MASTER[[#This Row],[CANTIDAD]]*MASTER[[#This Row],[PRECIO DE VENTA]]</f>
        <v>1170</v>
      </c>
      <c r="U6993" s="2">
        <f>MASTER[[#This Row],[CANTIDAD]]*MASTER[[#This Row],[COSTO UNITARIO]]</f>
        <v>424</v>
      </c>
      <c r="V6993" s="2">
        <f>MASTER[[#This Row],[MONTO VENDIDO]]-MASTER[[#This Row],[COSTO DE VENTA]]</f>
        <v>746</v>
      </c>
    </row>
    <row r="6994" spans="1:22" x14ac:dyDescent="0.3">
      <c r="A6994">
        <v>102541</v>
      </c>
      <c r="B6994">
        <v>1</v>
      </c>
      <c r="C6994" t="s">
        <v>121</v>
      </c>
      <c r="D6994" t="s">
        <v>122</v>
      </c>
      <c r="E6994" s="1">
        <v>44031</v>
      </c>
      <c r="F6994">
        <v>1</v>
      </c>
      <c r="G6994" t="s">
        <v>24</v>
      </c>
      <c r="H6994" t="s">
        <v>25</v>
      </c>
      <c r="I6994" s="4">
        <v>1389</v>
      </c>
      <c r="J6994" s="3">
        <v>1389</v>
      </c>
      <c r="K6994" s="4">
        <v>460</v>
      </c>
      <c r="L6994" t="s">
        <v>120</v>
      </c>
      <c r="M6994">
        <v>17</v>
      </c>
      <c r="N6994" t="str">
        <f>IF(MASTER[[#This Row],[IDLOCAL]]=17,"HYDE PARK", "HARLEM IRVING")</f>
        <v>HYDE PARK</v>
      </c>
      <c r="O6994" t="str">
        <f>IF(MASTER[[#This Row],[IDLOCAL]]=17,"PREMIUM", "ESTÁNDAR")</f>
        <v>PREMIUM</v>
      </c>
      <c r="P6994" t="s">
        <v>137</v>
      </c>
      <c r="Q6994" t="s">
        <v>142</v>
      </c>
      <c r="R6994" t="s">
        <v>143</v>
      </c>
      <c r="S6994" t="s">
        <v>145</v>
      </c>
      <c r="T6994" s="2">
        <f>MASTER[[#This Row],[CANTIDAD]]*MASTER[[#This Row],[PRECIO DE VENTA]]</f>
        <v>1389</v>
      </c>
      <c r="U6994" s="2">
        <f>MASTER[[#This Row],[CANTIDAD]]*MASTER[[#This Row],[COSTO UNITARIO]]</f>
        <v>460</v>
      </c>
      <c r="V6994" s="2">
        <f>MASTER[[#This Row],[MONTO VENDIDO]]-MASTER[[#This Row],[COSTO DE VENTA]]</f>
        <v>929</v>
      </c>
    </row>
    <row r="6995" spans="1:22" x14ac:dyDescent="0.3">
      <c r="A6995">
        <v>102551</v>
      </c>
      <c r="B6995">
        <v>1</v>
      </c>
      <c r="C6995" t="s">
        <v>94</v>
      </c>
      <c r="D6995" t="s">
        <v>95</v>
      </c>
      <c r="E6995" s="1">
        <v>44032</v>
      </c>
      <c r="F6995">
        <v>1</v>
      </c>
      <c r="G6995" t="s">
        <v>39</v>
      </c>
      <c r="H6995" t="s">
        <v>40</v>
      </c>
      <c r="I6995" s="4">
        <v>1498</v>
      </c>
      <c r="J6995" s="3">
        <v>1498</v>
      </c>
      <c r="K6995" s="4">
        <v>392</v>
      </c>
      <c r="L6995" t="s">
        <v>9</v>
      </c>
      <c r="M6995">
        <v>18</v>
      </c>
      <c r="N6995" t="str">
        <f>IF(MASTER[[#This Row],[IDLOCAL]]=17,"HYDE PARK", "HARLEM IRVING")</f>
        <v>HARLEM IRVING</v>
      </c>
      <c r="O6995" t="str">
        <f>IF(MASTER[[#This Row],[IDLOCAL]]=17,"PREMIUM", "ESTÁNDAR")</f>
        <v>ESTÁNDAR</v>
      </c>
      <c r="P6995" t="s">
        <v>137</v>
      </c>
      <c r="Q6995" t="s">
        <v>142</v>
      </c>
      <c r="R6995" t="s">
        <v>143</v>
      </c>
      <c r="S6995" t="s">
        <v>145</v>
      </c>
      <c r="T6995" s="2">
        <f>MASTER[[#This Row],[CANTIDAD]]*MASTER[[#This Row],[PRECIO DE VENTA]]</f>
        <v>1498</v>
      </c>
      <c r="U6995" s="2">
        <f>MASTER[[#This Row],[CANTIDAD]]*MASTER[[#This Row],[COSTO UNITARIO]]</f>
        <v>392</v>
      </c>
      <c r="V6995" s="2">
        <f>MASTER[[#This Row],[MONTO VENDIDO]]-MASTER[[#This Row],[COSTO DE VENTA]]</f>
        <v>1106</v>
      </c>
    </row>
    <row r="6996" spans="1:22" x14ac:dyDescent="0.3">
      <c r="A6996">
        <v>102583</v>
      </c>
      <c r="B6996">
        <v>1</v>
      </c>
      <c r="C6996" t="s">
        <v>92</v>
      </c>
      <c r="D6996" t="s">
        <v>93</v>
      </c>
      <c r="E6996" s="1">
        <v>44033</v>
      </c>
      <c r="F6996">
        <v>1</v>
      </c>
      <c r="G6996" t="s">
        <v>37</v>
      </c>
      <c r="H6996" t="s">
        <v>38</v>
      </c>
      <c r="I6996" s="4">
        <v>2425</v>
      </c>
      <c r="J6996" s="3">
        <v>2425</v>
      </c>
      <c r="K6996" s="4">
        <v>396</v>
      </c>
      <c r="L6996" t="s">
        <v>9</v>
      </c>
      <c r="M6996">
        <v>17</v>
      </c>
      <c r="N6996" t="str">
        <f>IF(MASTER[[#This Row],[IDLOCAL]]=17,"HYDE PARK", "HARLEM IRVING")</f>
        <v>HYDE PARK</v>
      </c>
      <c r="O6996" t="str">
        <f>IF(MASTER[[#This Row],[IDLOCAL]]=17,"PREMIUM", "ESTÁNDAR")</f>
        <v>PREMIUM</v>
      </c>
      <c r="P6996" t="s">
        <v>137</v>
      </c>
      <c r="Q6996" t="s">
        <v>142</v>
      </c>
      <c r="R6996" t="s">
        <v>143</v>
      </c>
      <c r="S6996" t="s">
        <v>145</v>
      </c>
      <c r="T6996" s="2">
        <f>MASTER[[#This Row],[CANTIDAD]]*MASTER[[#This Row],[PRECIO DE VENTA]]</f>
        <v>2425</v>
      </c>
      <c r="U6996" s="2">
        <f>MASTER[[#This Row],[CANTIDAD]]*MASTER[[#This Row],[COSTO UNITARIO]]</f>
        <v>396</v>
      </c>
      <c r="V6996" s="2">
        <f>MASTER[[#This Row],[MONTO VENDIDO]]-MASTER[[#This Row],[COSTO DE VENTA]]</f>
        <v>2029</v>
      </c>
    </row>
    <row r="6997" spans="1:22" x14ac:dyDescent="0.3">
      <c r="A6997">
        <v>102587</v>
      </c>
      <c r="B6997">
        <v>1</v>
      </c>
      <c r="C6997" t="s">
        <v>116</v>
      </c>
      <c r="D6997" t="s">
        <v>117</v>
      </c>
      <c r="E6997" s="1">
        <v>44033</v>
      </c>
      <c r="F6997">
        <v>4</v>
      </c>
      <c r="G6997" t="s">
        <v>57</v>
      </c>
      <c r="H6997" t="s">
        <v>58</v>
      </c>
      <c r="I6997" s="4">
        <v>2598</v>
      </c>
      <c r="J6997" s="3">
        <v>2598</v>
      </c>
      <c r="K6997" s="4">
        <v>388</v>
      </c>
      <c r="L6997" t="s">
        <v>113</v>
      </c>
      <c r="M6997">
        <v>18</v>
      </c>
      <c r="N6997" t="str">
        <f>IF(MASTER[[#This Row],[IDLOCAL]]=17,"HYDE PARK", "HARLEM IRVING")</f>
        <v>HARLEM IRVING</v>
      </c>
      <c r="O6997" t="str">
        <f>IF(MASTER[[#This Row],[IDLOCAL]]=17,"PREMIUM", "ESTÁNDAR")</f>
        <v>ESTÁNDAR</v>
      </c>
      <c r="P6997" t="s">
        <v>137</v>
      </c>
      <c r="Q6997" t="s">
        <v>142</v>
      </c>
      <c r="R6997" t="s">
        <v>143</v>
      </c>
      <c r="S6997" t="s">
        <v>145</v>
      </c>
      <c r="T6997" s="2">
        <f>MASTER[[#This Row],[CANTIDAD]]*MASTER[[#This Row],[PRECIO DE VENTA]]</f>
        <v>10392</v>
      </c>
      <c r="U6997" s="2">
        <f>MASTER[[#This Row],[CANTIDAD]]*MASTER[[#This Row],[COSTO UNITARIO]]</f>
        <v>1552</v>
      </c>
      <c r="V6997" s="2">
        <f>MASTER[[#This Row],[MONTO VENDIDO]]-MASTER[[#This Row],[COSTO DE VENTA]]</f>
        <v>8840</v>
      </c>
    </row>
    <row r="6998" spans="1:22" x14ac:dyDescent="0.3">
      <c r="A6998">
        <v>102604</v>
      </c>
      <c r="B6998">
        <v>1</v>
      </c>
      <c r="C6998" t="s">
        <v>96</v>
      </c>
      <c r="D6998" t="s">
        <v>97</v>
      </c>
      <c r="E6998" s="1">
        <v>44034</v>
      </c>
      <c r="F6998">
        <v>1</v>
      </c>
      <c r="G6998" t="s">
        <v>45</v>
      </c>
      <c r="H6998" t="s">
        <v>46</v>
      </c>
      <c r="I6998" s="4">
        <v>1769</v>
      </c>
      <c r="J6998" s="3">
        <v>1769</v>
      </c>
      <c r="K6998" s="4">
        <v>397</v>
      </c>
      <c r="L6998" t="s">
        <v>98</v>
      </c>
      <c r="M6998">
        <v>17</v>
      </c>
      <c r="N6998" t="str">
        <f>IF(MASTER[[#This Row],[IDLOCAL]]=17,"HYDE PARK", "HARLEM IRVING")</f>
        <v>HYDE PARK</v>
      </c>
      <c r="O6998" t="str">
        <f>IF(MASTER[[#This Row],[IDLOCAL]]=17,"PREMIUM", "ESTÁNDAR")</f>
        <v>PREMIUM</v>
      </c>
      <c r="P6998" t="s">
        <v>137</v>
      </c>
      <c r="Q6998" t="s">
        <v>142</v>
      </c>
      <c r="R6998" t="s">
        <v>143</v>
      </c>
      <c r="S6998" t="s">
        <v>145</v>
      </c>
      <c r="T6998" s="2">
        <f>MASTER[[#This Row],[CANTIDAD]]*MASTER[[#This Row],[PRECIO DE VENTA]]</f>
        <v>1769</v>
      </c>
      <c r="U6998" s="2">
        <f>MASTER[[#This Row],[CANTIDAD]]*MASTER[[#This Row],[COSTO UNITARIO]]</f>
        <v>397</v>
      </c>
      <c r="V6998" s="2">
        <f>MASTER[[#This Row],[MONTO VENDIDO]]-MASTER[[#This Row],[COSTO DE VENTA]]</f>
        <v>1372</v>
      </c>
    </row>
    <row r="6999" spans="1:22" x14ac:dyDescent="0.3">
      <c r="A6999">
        <v>102610</v>
      </c>
      <c r="B6999">
        <v>1</v>
      </c>
      <c r="C6999" t="s">
        <v>111</v>
      </c>
      <c r="D6999" t="s">
        <v>112</v>
      </c>
      <c r="E6999" s="1">
        <v>44035</v>
      </c>
      <c r="F6999">
        <v>1</v>
      </c>
      <c r="G6999" t="s">
        <v>7</v>
      </c>
      <c r="H6999" t="s">
        <v>8</v>
      </c>
      <c r="I6999" s="4">
        <v>2107</v>
      </c>
      <c r="J6999" s="3">
        <v>2107</v>
      </c>
      <c r="K6999" s="4">
        <v>434</v>
      </c>
      <c r="L6999" t="s">
        <v>113</v>
      </c>
      <c r="M6999">
        <v>19</v>
      </c>
      <c r="N6999" t="s">
        <v>150</v>
      </c>
      <c r="O6999" t="s">
        <v>81</v>
      </c>
      <c r="P6999" t="s">
        <v>136</v>
      </c>
      <c r="Q6999" t="s">
        <v>140</v>
      </c>
      <c r="R6999" t="s">
        <v>141</v>
      </c>
      <c r="S6999" t="s">
        <v>145</v>
      </c>
      <c r="T6999" s="2">
        <f>MASTER[[#This Row],[CANTIDAD]]*MASTER[[#This Row],[PRECIO DE VENTA]]</f>
        <v>2107</v>
      </c>
      <c r="U6999" s="2">
        <f>MASTER[[#This Row],[CANTIDAD]]*MASTER[[#This Row],[COSTO UNITARIO]]</f>
        <v>434</v>
      </c>
      <c r="V6999" s="2">
        <f>MASTER[[#This Row],[MONTO VENDIDO]]-MASTER[[#This Row],[COSTO DE VENTA]]</f>
        <v>1673</v>
      </c>
    </row>
    <row r="7000" spans="1:22" x14ac:dyDescent="0.3">
      <c r="A7000">
        <v>102613</v>
      </c>
      <c r="B7000">
        <v>1</v>
      </c>
      <c r="C7000" t="s">
        <v>90</v>
      </c>
      <c r="D7000" t="s">
        <v>91</v>
      </c>
      <c r="E7000" s="1">
        <v>44037</v>
      </c>
      <c r="F7000">
        <v>4</v>
      </c>
      <c r="G7000" t="s">
        <v>37</v>
      </c>
      <c r="H7000" t="s">
        <v>38</v>
      </c>
      <c r="I7000" s="4">
        <v>2397</v>
      </c>
      <c r="J7000" s="3">
        <v>2397</v>
      </c>
      <c r="K7000" s="4">
        <v>420</v>
      </c>
      <c r="L7000" t="s">
        <v>9</v>
      </c>
      <c r="M7000">
        <v>18</v>
      </c>
      <c r="N7000" t="str">
        <f>IF(MASTER[[#This Row],[IDLOCAL]]=17,"HYDE PARK", "HARLEM IRVING")</f>
        <v>HARLEM IRVING</v>
      </c>
      <c r="O7000" t="str">
        <f>IF(MASTER[[#This Row],[IDLOCAL]]=17,"PREMIUM", "ESTÁNDAR")</f>
        <v>ESTÁNDAR</v>
      </c>
      <c r="P7000" t="s">
        <v>137</v>
      </c>
      <c r="Q7000" t="s">
        <v>142</v>
      </c>
      <c r="R7000" t="s">
        <v>143</v>
      </c>
      <c r="S7000" t="s">
        <v>145</v>
      </c>
      <c r="T7000" s="2">
        <f>MASTER[[#This Row],[CANTIDAD]]*MASTER[[#This Row],[PRECIO DE VENTA]]</f>
        <v>9588</v>
      </c>
      <c r="U7000" s="2">
        <f>MASTER[[#This Row],[CANTIDAD]]*MASTER[[#This Row],[COSTO UNITARIO]]</f>
        <v>1680</v>
      </c>
      <c r="V7000" s="2">
        <f>MASTER[[#This Row],[MONTO VENDIDO]]-MASTER[[#This Row],[COSTO DE VENTA]]</f>
        <v>7908</v>
      </c>
    </row>
    <row r="7001" spans="1:22" x14ac:dyDescent="0.3">
      <c r="A7001">
        <v>102658</v>
      </c>
      <c r="B7001">
        <v>1</v>
      </c>
      <c r="C7001" t="s">
        <v>5</v>
      </c>
      <c r="D7001" t="s">
        <v>6</v>
      </c>
      <c r="E7001" s="1">
        <v>44039</v>
      </c>
      <c r="F7001">
        <v>1</v>
      </c>
      <c r="G7001" t="s">
        <v>31</v>
      </c>
      <c r="H7001" t="s">
        <v>32</v>
      </c>
      <c r="I7001" s="4">
        <v>1959</v>
      </c>
      <c r="J7001" s="3">
        <v>1959</v>
      </c>
      <c r="K7001" s="4">
        <v>393</v>
      </c>
      <c r="L7001" t="s">
        <v>9</v>
      </c>
      <c r="M7001">
        <v>17</v>
      </c>
      <c r="N7001" t="str">
        <f>IF(MASTER[[#This Row],[IDLOCAL]]=17,"HYDE PARK", "HARLEM IRVING")</f>
        <v>HYDE PARK</v>
      </c>
      <c r="O7001" t="str">
        <f>IF(MASTER[[#This Row],[IDLOCAL]]=17,"PREMIUM", "ESTÁNDAR")</f>
        <v>PREMIUM</v>
      </c>
      <c r="P7001" t="s">
        <v>137</v>
      </c>
      <c r="Q7001" t="s">
        <v>142</v>
      </c>
      <c r="R7001" t="s">
        <v>143</v>
      </c>
      <c r="S7001" t="s">
        <v>145</v>
      </c>
      <c r="T7001" s="2">
        <f>MASTER[[#This Row],[CANTIDAD]]*MASTER[[#This Row],[PRECIO DE VENTA]]</f>
        <v>1959</v>
      </c>
      <c r="U7001" s="2">
        <f>MASTER[[#This Row],[CANTIDAD]]*MASTER[[#This Row],[COSTO UNITARIO]]</f>
        <v>393</v>
      </c>
      <c r="V7001" s="2">
        <f>MASTER[[#This Row],[MONTO VENDIDO]]-MASTER[[#This Row],[COSTO DE VENTA]]</f>
        <v>1566</v>
      </c>
    </row>
    <row r="7002" spans="1:22" x14ac:dyDescent="0.3">
      <c r="A7002">
        <v>102661</v>
      </c>
      <c r="B7002">
        <v>1</v>
      </c>
      <c r="C7002" t="s">
        <v>107</v>
      </c>
      <c r="D7002" t="s">
        <v>108</v>
      </c>
      <c r="E7002" s="1">
        <v>44039</v>
      </c>
      <c r="F7002">
        <v>1</v>
      </c>
      <c r="G7002" t="s">
        <v>29</v>
      </c>
      <c r="H7002" t="s">
        <v>30</v>
      </c>
      <c r="I7002" s="4">
        <v>1872</v>
      </c>
      <c r="J7002" s="3">
        <v>1872</v>
      </c>
      <c r="K7002" s="4">
        <v>380</v>
      </c>
      <c r="L7002" t="s">
        <v>98</v>
      </c>
      <c r="M7002">
        <v>19</v>
      </c>
      <c r="N7002" t="s">
        <v>150</v>
      </c>
      <c r="O7002" t="s">
        <v>81</v>
      </c>
      <c r="P7002" t="s">
        <v>136</v>
      </c>
      <c r="Q7002" t="s">
        <v>140</v>
      </c>
      <c r="R7002" t="s">
        <v>141</v>
      </c>
      <c r="S7002" t="s">
        <v>145</v>
      </c>
      <c r="T7002" s="2">
        <f>MASTER[[#This Row],[CANTIDAD]]*MASTER[[#This Row],[PRECIO DE VENTA]]</f>
        <v>1872</v>
      </c>
      <c r="U7002" s="2">
        <f>MASTER[[#This Row],[CANTIDAD]]*MASTER[[#This Row],[COSTO UNITARIO]]</f>
        <v>380</v>
      </c>
      <c r="V7002" s="2">
        <f>MASTER[[#This Row],[MONTO VENDIDO]]-MASTER[[#This Row],[COSTO DE VENTA]]</f>
        <v>1492</v>
      </c>
    </row>
    <row r="7003" spans="1:22" x14ac:dyDescent="0.3">
      <c r="A7003">
        <v>102685</v>
      </c>
      <c r="B7003">
        <v>1</v>
      </c>
      <c r="C7003" t="s">
        <v>99</v>
      </c>
      <c r="D7003" t="s">
        <v>100</v>
      </c>
      <c r="E7003" s="1">
        <v>44040</v>
      </c>
      <c r="F7003">
        <v>2</v>
      </c>
      <c r="G7003" t="s">
        <v>35</v>
      </c>
      <c r="H7003" t="s">
        <v>36</v>
      </c>
      <c r="I7003" s="4">
        <v>1726</v>
      </c>
      <c r="J7003" s="3">
        <v>1726</v>
      </c>
      <c r="K7003" s="4">
        <v>386</v>
      </c>
      <c r="L7003" t="s">
        <v>98</v>
      </c>
      <c r="M7003">
        <v>19</v>
      </c>
      <c r="N7003" t="s">
        <v>150</v>
      </c>
      <c r="O7003" t="s">
        <v>81</v>
      </c>
      <c r="P7003" t="s">
        <v>136</v>
      </c>
      <c r="Q7003" t="s">
        <v>140</v>
      </c>
      <c r="R7003" t="s">
        <v>141</v>
      </c>
      <c r="S7003" t="s">
        <v>145</v>
      </c>
      <c r="T7003" s="2">
        <f>MASTER[[#This Row],[CANTIDAD]]*MASTER[[#This Row],[PRECIO DE VENTA]]</f>
        <v>3452</v>
      </c>
      <c r="U7003" s="2">
        <f>MASTER[[#This Row],[CANTIDAD]]*MASTER[[#This Row],[COSTO UNITARIO]]</f>
        <v>772</v>
      </c>
      <c r="V7003" s="2">
        <f>MASTER[[#This Row],[MONTO VENDIDO]]-MASTER[[#This Row],[COSTO DE VENTA]]</f>
        <v>2680</v>
      </c>
    </row>
    <row r="7004" spans="1:22" x14ac:dyDescent="0.3">
      <c r="A7004">
        <v>102709</v>
      </c>
      <c r="B7004">
        <v>1</v>
      </c>
      <c r="C7004" t="s">
        <v>5</v>
      </c>
      <c r="D7004" t="s">
        <v>6</v>
      </c>
      <c r="E7004" s="1">
        <v>44043</v>
      </c>
      <c r="F7004">
        <v>1</v>
      </c>
      <c r="G7004" t="s">
        <v>39</v>
      </c>
      <c r="H7004" t="s">
        <v>40</v>
      </c>
      <c r="I7004" s="4">
        <v>1684</v>
      </c>
      <c r="J7004" s="3">
        <v>1684</v>
      </c>
      <c r="K7004" s="4">
        <v>393</v>
      </c>
      <c r="L7004" t="s">
        <v>9</v>
      </c>
      <c r="M7004">
        <v>18</v>
      </c>
      <c r="N7004" t="str">
        <f>IF(MASTER[[#This Row],[IDLOCAL]]=17,"HYDE PARK", "HARLEM IRVING")</f>
        <v>HARLEM IRVING</v>
      </c>
      <c r="O7004" t="str">
        <f>IF(MASTER[[#This Row],[IDLOCAL]]=17,"PREMIUM", "ESTÁNDAR")</f>
        <v>ESTÁNDAR</v>
      </c>
      <c r="P7004" t="s">
        <v>137</v>
      </c>
      <c r="Q7004" t="s">
        <v>142</v>
      </c>
      <c r="R7004" t="s">
        <v>143</v>
      </c>
      <c r="S7004" t="s">
        <v>145</v>
      </c>
      <c r="T7004" s="2">
        <f>MASTER[[#This Row],[CANTIDAD]]*MASTER[[#This Row],[PRECIO DE VENTA]]</f>
        <v>1684</v>
      </c>
      <c r="U7004" s="2">
        <f>MASTER[[#This Row],[CANTIDAD]]*MASTER[[#This Row],[COSTO UNITARIO]]</f>
        <v>393</v>
      </c>
      <c r="V7004" s="2">
        <f>MASTER[[#This Row],[MONTO VENDIDO]]-MASTER[[#This Row],[COSTO DE VENTA]]</f>
        <v>1291</v>
      </c>
    </row>
    <row r="7005" spans="1:22" x14ac:dyDescent="0.3">
      <c r="A7005">
        <v>102714</v>
      </c>
      <c r="B7005">
        <v>1</v>
      </c>
      <c r="C7005" t="s">
        <v>94</v>
      </c>
      <c r="D7005" t="s">
        <v>95</v>
      </c>
      <c r="E7005" s="1">
        <v>44043</v>
      </c>
      <c r="F7005">
        <v>1</v>
      </c>
      <c r="G7005" t="s">
        <v>22</v>
      </c>
      <c r="H7005" t="s">
        <v>23</v>
      </c>
      <c r="I7005" s="4">
        <v>1171</v>
      </c>
      <c r="J7005" s="3">
        <v>1171</v>
      </c>
      <c r="K7005" s="4">
        <v>392</v>
      </c>
      <c r="L7005" t="s">
        <v>9</v>
      </c>
      <c r="M7005">
        <v>19</v>
      </c>
      <c r="N7005" t="s">
        <v>150</v>
      </c>
      <c r="O7005" t="s">
        <v>81</v>
      </c>
      <c r="P7005" t="s">
        <v>136</v>
      </c>
      <c r="Q7005" t="s">
        <v>140</v>
      </c>
      <c r="R7005" t="s">
        <v>141</v>
      </c>
      <c r="S7005" t="s">
        <v>145</v>
      </c>
      <c r="T7005" s="2">
        <f>MASTER[[#This Row],[CANTIDAD]]*MASTER[[#This Row],[PRECIO DE VENTA]]</f>
        <v>1171</v>
      </c>
      <c r="U7005" s="2">
        <f>MASTER[[#This Row],[CANTIDAD]]*MASTER[[#This Row],[COSTO UNITARIO]]</f>
        <v>392</v>
      </c>
      <c r="V7005" s="2">
        <f>MASTER[[#This Row],[MONTO VENDIDO]]-MASTER[[#This Row],[COSTO DE VENTA]]</f>
        <v>779</v>
      </c>
    </row>
    <row r="7006" spans="1:22" x14ac:dyDescent="0.3">
      <c r="A7006">
        <v>102723</v>
      </c>
      <c r="B7006">
        <v>1</v>
      </c>
      <c r="C7006" t="s">
        <v>118</v>
      </c>
      <c r="D7006" t="s">
        <v>119</v>
      </c>
      <c r="E7006" s="1">
        <v>44043</v>
      </c>
      <c r="F7006">
        <v>1</v>
      </c>
      <c r="G7006" t="s">
        <v>65</v>
      </c>
      <c r="H7006" t="s">
        <v>66</v>
      </c>
      <c r="I7006" s="4">
        <v>1333</v>
      </c>
      <c r="J7006" s="3">
        <v>1253</v>
      </c>
      <c r="K7006" s="4">
        <v>424</v>
      </c>
      <c r="L7006" t="s">
        <v>120</v>
      </c>
      <c r="M7006">
        <v>19</v>
      </c>
      <c r="N7006" t="s">
        <v>150</v>
      </c>
      <c r="O7006" t="s">
        <v>81</v>
      </c>
      <c r="P7006" t="s">
        <v>136</v>
      </c>
      <c r="Q7006" t="s">
        <v>140</v>
      </c>
      <c r="R7006" t="s">
        <v>141</v>
      </c>
      <c r="S7006" t="s">
        <v>145</v>
      </c>
      <c r="T7006" s="2">
        <f>MASTER[[#This Row],[CANTIDAD]]*MASTER[[#This Row],[PRECIO DE VENTA]]</f>
        <v>1253</v>
      </c>
      <c r="U7006" s="2">
        <f>MASTER[[#This Row],[CANTIDAD]]*MASTER[[#This Row],[COSTO UNITARIO]]</f>
        <v>424</v>
      </c>
      <c r="V7006" s="2">
        <f>MASTER[[#This Row],[MONTO VENDIDO]]-MASTER[[#This Row],[COSTO DE VENTA]]</f>
        <v>829</v>
      </c>
    </row>
    <row r="7007" spans="1:22" x14ac:dyDescent="0.3">
      <c r="A7007">
        <v>102728</v>
      </c>
      <c r="B7007">
        <v>1</v>
      </c>
      <c r="C7007" t="s">
        <v>99</v>
      </c>
      <c r="D7007" t="s">
        <v>100</v>
      </c>
      <c r="E7007" s="1">
        <v>44044</v>
      </c>
      <c r="F7007">
        <v>1</v>
      </c>
      <c r="G7007" t="s">
        <v>53</v>
      </c>
      <c r="H7007" t="s">
        <v>54</v>
      </c>
      <c r="I7007" s="4">
        <v>1896</v>
      </c>
      <c r="J7007" s="3">
        <v>1896</v>
      </c>
      <c r="K7007" s="4">
        <v>386</v>
      </c>
      <c r="L7007" t="s">
        <v>98</v>
      </c>
      <c r="M7007">
        <v>17</v>
      </c>
      <c r="N7007" t="str">
        <f>IF(MASTER[[#This Row],[IDLOCAL]]=17,"HYDE PARK", "HARLEM IRVING")</f>
        <v>HYDE PARK</v>
      </c>
      <c r="O7007" t="str">
        <f>IF(MASTER[[#This Row],[IDLOCAL]]=17,"PREMIUM", "ESTÁNDAR")</f>
        <v>PREMIUM</v>
      </c>
      <c r="P7007" t="s">
        <v>137</v>
      </c>
      <c r="Q7007" t="s">
        <v>142</v>
      </c>
      <c r="R7007" t="s">
        <v>143</v>
      </c>
      <c r="S7007" t="s">
        <v>145</v>
      </c>
      <c r="T7007" s="2">
        <f>MASTER[[#This Row],[CANTIDAD]]*MASTER[[#This Row],[PRECIO DE VENTA]]</f>
        <v>1896</v>
      </c>
      <c r="U7007" s="2">
        <f>MASTER[[#This Row],[CANTIDAD]]*MASTER[[#This Row],[COSTO UNITARIO]]</f>
        <v>386</v>
      </c>
      <c r="V7007" s="2">
        <f>MASTER[[#This Row],[MONTO VENDIDO]]-MASTER[[#This Row],[COSTO DE VENTA]]</f>
        <v>1510</v>
      </c>
    </row>
    <row r="7008" spans="1:22" x14ac:dyDescent="0.3">
      <c r="A7008">
        <v>102734</v>
      </c>
      <c r="B7008">
        <v>1</v>
      </c>
      <c r="C7008" t="s">
        <v>109</v>
      </c>
      <c r="D7008" t="s">
        <v>110</v>
      </c>
      <c r="E7008" s="1">
        <v>44044</v>
      </c>
      <c r="F7008">
        <v>1</v>
      </c>
      <c r="G7008" t="s">
        <v>59</v>
      </c>
      <c r="H7008" t="s">
        <v>60</v>
      </c>
      <c r="I7008" s="4">
        <v>1383</v>
      </c>
      <c r="J7008" s="3">
        <v>1383</v>
      </c>
      <c r="K7008" s="4">
        <v>387</v>
      </c>
      <c r="L7008" t="s">
        <v>98</v>
      </c>
      <c r="M7008">
        <v>19</v>
      </c>
      <c r="N7008" t="s">
        <v>150</v>
      </c>
      <c r="O7008" t="s">
        <v>81</v>
      </c>
      <c r="P7008" t="s">
        <v>136</v>
      </c>
      <c r="Q7008" t="s">
        <v>140</v>
      </c>
      <c r="R7008" t="s">
        <v>141</v>
      </c>
      <c r="S7008" t="s">
        <v>145</v>
      </c>
      <c r="T7008" s="2">
        <f>MASTER[[#This Row],[CANTIDAD]]*MASTER[[#This Row],[PRECIO DE VENTA]]</f>
        <v>1383</v>
      </c>
      <c r="U7008" s="2">
        <f>MASTER[[#This Row],[CANTIDAD]]*MASTER[[#This Row],[COSTO UNITARIO]]</f>
        <v>387</v>
      </c>
      <c r="V7008" s="2">
        <f>MASTER[[#This Row],[MONTO VENDIDO]]-MASTER[[#This Row],[COSTO DE VENTA]]</f>
        <v>996</v>
      </c>
    </row>
    <row r="7009" spans="1:22" x14ac:dyDescent="0.3">
      <c r="A7009">
        <v>102737</v>
      </c>
      <c r="B7009">
        <v>1</v>
      </c>
      <c r="C7009" t="s">
        <v>94</v>
      </c>
      <c r="D7009" t="s">
        <v>95</v>
      </c>
      <c r="E7009" s="1">
        <v>44045</v>
      </c>
      <c r="F7009">
        <v>1</v>
      </c>
      <c r="G7009" t="s">
        <v>55</v>
      </c>
      <c r="H7009" t="s">
        <v>56</v>
      </c>
      <c r="I7009" s="4">
        <v>1362</v>
      </c>
      <c r="J7009" s="3">
        <v>1362</v>
      </c>
      <c r="K7009" s="4">
        <v>392</v>
      </c>
      <c r="L7009" t="s">
        <v>9</v>
      </c>
      <c r="M7009">
        <v>19</v>
      </c>
      <c r="N7009" t="s">
        <v>150</v>
      </c>
      <c r="O7009" t="s">
        <v>81</v>
      </c>
      <c r="P7009" t="s">
        <v>136</v>
      </c>
      <c r="Q7009" t="s">
        <v>140</v>
      </c>
      <c r="R7009" t="s">
        <v>141</v>
      </c>
      <c r="S7009" t="s">
        <v>145</v>
      </c>
      <c r="T7009" s="2">
        <f>MASTER[[#This Row],[CANTIDAD]]*MASTER[[#This Row],[PRECIO DE VENTA]]</f>
        <v>1362</v>
      </c>
      <c r="U7009" s="2">
        <f>MASTER[[#This Row],[CANTIDAD]]*MASTER[[#This Row],[COSTO UNITARIO]]</f>
        <v>392</v>
      </c>
      <c r="V7009" s="2">
        <f>MASTER[[#This Row],[MONTO VENDIDO]]-MASTER[[#This Row],[COSTO DE VENTA]]</f>
        <v>970</v>
      </c>
    </row>
    <row r="7010" spans="1:22" x14ac:dyDescent="0.3">
      <c r="A7010">
        <v>102738</v>
      </c>
      <c r="B7010">
        <v>1</v>
      </c>
      <c r="C7010" t="s">
        <v>116</v>
      </c>
      <c r="D7010" t="s">
        <v>117</v>
      </c>
      <c r="E7010" s="1">
        <v>44045</v>
      </c>
      <c r="F7010">
        <v>1</v>
      </c>
      <c r="G7010" t="s">
        <v>39</v>
      </c>
      <c r="H7010" t="s">
        <v>40</v>
      </c>
      <c r="I7010" s="4">
        <v>2259</v>
      </c>
      <c r="J7010" s="3">
        <v>2259</v>
      </c>
      <c r="K7010" s="4">
        <v>388</v>
      </c>
      <c r="L7010" t="s">
        <v>113</v>
      </c>
      <c r="M7010">
        <v>17</v>
      </c>
      <c r="N7010" t="str">
        <f>IF(MASTER[[#This Row],[IDLOCAL]]=17,"HYDE PARK", "HARLEM IRVING")</f>
        <v>HYDE PARK</v>
      </c>
      <c r="O7010" t="str">
        <f>IF(MASTER[[#This Row],[IDLOCAL]]=17,"PREMIUM", "ESTÁNDAR")</f>
        <v>PREMIUM</v>
      </c>
      <c r="P7010" t="s">
        <v>137</v>
      </c>
      <c r="Q7010" t="s">
        <v>142</v>
      </c>
      <c r="R7010" t="s">
        <v>143</v>
      </c>
      <c r="S7010" t="s">
        <v>145</v>
      </c>
      <c r="T7010" s="2">
        <f>MASTER[[#This Row],[CANTIDAD]]*MASTER[[#This Row],[PRECIO DE VENTA]]</f>
        <v>2259</v>
      </c>
      <c r="U7010" s="2">
        <f>MASTER[[#This Row],[CANTIDAD]]*MASTER[[#This Row],[COSTO UNITARIO]]</f>
        <v>388</v>
      </c>
      <c r="V7010" s="2">
        <f>MASTER[[#This Row],[MONTO VENDIDO]]-MASTER[[#This Row],[COSTO DE VENTA]]</f>
        <v>1871</v>
      </c>
    </row>
    <row r="7011" spans="1:22" x14ac:dyDescent="0.3">
      <c r="A7011">
        <v>102747</v>
      </c>
      <c r="B7011">
        <v>1</v>
      </c>
      <c r="C7011" t="s">
        <v>121</v>
      </c>
      <c r="D7011" t="s">
        <v>122</v>
      </c>
      <c r="E7011" s="1">
        <v>44046</v>
      </c>
      <c r="F7011">
        <v>1</v>
      </c>
      <c r="G7011" t="s">
        <v>51</v>
      </c>
      <c r="H7011" t="s">
        <v>52</v>
      </c>
      <c r="I7011" s="4">
        <v>1487</v>
      </c>
      <c r="J7011" s="3">
        <v>1487</v>
      </c>
      <c r="K7011" s="4">
        <v>460</v>
      </c>
      <c r="L7011" t="s">
        <v>120</v>
      </c>
      <c r="M7011">
        <v>19</v>
      </c>
      <c r="N7011" t="s">
        <v>150</v>
      </c>
      <c r="O7011" t="s">
        <v>81</v>
      </c>
      <c r="P7011" t="s">
        <v>136</v>
      </c>
      <c r="Q7011" t="s">
        <v>140</v>
      </c>
      <c r="R7011" t="s">
        <v>141</v>
      </c>
      <c r="S7011" t="s">
        <v>145</v>
      </c>
      <c r="T7011" s="2">
        <f>MASTER[[#This Row],[CANTIDAD]]*MASTER[[#This Row],[PRECIO DE VENTA]]</f>
        <v>1487</v>
      </c>
      <c r="U7011" s="2">
        <f>MASTER[[#This Row],[CANTIDAD]]*MASTER[[#This Row],[COSTO UNITARIO]]</f>
        <v>460</v>
      </c>
      <c r="V7011" s="2">
        <f>MASTER[[#This Row],[MONTO VENDIDO]]-MASTER[[#This Row],[COSTO DE VENTA]]</f>
        <v>1027</v>
      </c>
    </row>
    <row r="7012" spans="1:22" x14ac:dyDescent="0.3">
      <c r="A7012">
        <v>102752</v>
      </c>
      <c r="B7012">
        <v>1</v>
      </c>
      <c r="C7012" t="s">
        <v>90</v>
      </c>
      <c r="D7012" t="s">
        <v>91</v>
      </c>
      <c r="E7012" s="1">
        <v>44047</v>
      </c>
      <c r="F7012">
        <v>1</v>
      </c>
      <c r="G7012" t="s">
        <v>57</v>
      </c>
      <c r="H7012" t="s">
        <v>58</v>
      </c>
      <c r="I7012" s="4">
        <v>2732</v>
      </c>
      <c r="J7012" s="3">
        <v>2732</v>
      </c>
      <c r="K7012" s="4">
        <v>420</v>
      </c>
      <c r="L7012" t="s">
        <v>9</v>
      </c>
      <c r="M7012">
        <v>17</v>
      </c>
      <c r="N7012" t="str">
        <f>IF(MASTER[[#This Row],[IDLOCAL]]=17,"HYDE PARK", "HARLEM IRVING")</f>
        <v>HYDE PARK</v>
      </c>
      <c r="O7012" t="str">
        <f>IF(MASTER[[#This Row],[IDLOCAL]]=17,"PREMIUM", "ESTÁNDAR")</f>
        <v>PREMIUM</v>
      </c>
      <c r="P7012" t="s">
        <v>137</v>
      </c>
      <c r="Q7012" t="s">
        <v>142</v>
      </c>
      <c r="R7012" t="s">
        <v>143</v>
      </c>
      <c r="S7012" t="s">
        <v>145</v>
      </c>
      <c r="T7012" s="2">
        <f>MASTER[[#This Row],[CANTIDAD]]*MASTER[[#This Row],[PRECIO DE VENTA]]</f>
        <v>2732</v>
      </c>
      <c r="U7012" s="2">
        <f>MASTER[[#This Row],[CANTIDAD]]*MASTER[[#This Row],[COSTO UNITARIO]]</f>
        <v>420</v>
      </c>
      <c r="V7012" s="2">
        <f>MASTER[[#This Row],[MONTO VENDIDO]]-MASTER[[#This Row],[COSTO DE VENTA]]</f>
        <v>2312</v>
      </c>
    </row>
    <row r="7013" spans="1:22" x14ac:dyDescent="0.3">
      <c r="A7013">
        <v>102765</v>
      </c>
      <c r="B7013">
        <v>1</v>
      </c>
      <c r="C7013" t="s">
        <v>90</v>
      </c>
      <c r="D7013" t="s">
        <v>91</v>
      </c>
      <c r="E7013" s="1">
        <v>44051</v>
      </c>
      <c r="F7013">
        <v>1</v>
      </c>
      <c r="G7013" t="s">
        <v>35</v>
      </c>
      <c r="H7013" t="s">
        <v>36</v>
      </c>
      <c r="I7013" s="4">
        <v>2397</v>
      </c>
      <c r="J7013" s="3">
        <v>2397</v>
      </c>
      <c r="K7013" s="4">
        <v>420</v>
      </c>
      <c r="L7013" t="s">
        <v>9</v>
      </c>
      <c r="M7013">
        <v>19</v>
      </c>
      <c r="N7013" t="s">
        <v>150</v>
      </c>
      <c r="O7013" t="s">
        <v>81</v>
      </c>
      <c r="P7013" t="s">
        <v>136</v>
      </c>
      <c r="Q7013" t="s">
        <v>140</v>
      </c>
      <c r="R7013" t="s">
        <v>141</v>
      </c>
      <c r="S7013" t="s">
        <v>145</v>
      </c>
      <c r="T7013" s="2">
        <f>MASTER[[#This Row],[CANTIDAD]]*MASTER[[#This Row],[PRECIO DE VENTA]]</f>
        <v>2397</v>
      </c>
      <c r="U7013" s="2">
        <f>MASTER[[#This Row],[CANTIDAD]]*MASTER[[#This Row],[COSTO UNITARIO]]</f>
        <v>420</v>
      </c>
      <c r="V7013" s="2">
        <f>MASTER[[#This Row],[MONTO VENDIDO]]-MASTER[[#This Row],[COSTO DE VENTA]]</f>
        <v>1977</v>
      </c>
    </row>
    <row r="7014" spans="1:22" x14ac:dyDescent="0.3">
      <c r="A7014">
        <v>102774</v>
      </c>
      <c r="B7014">
        <v>1</v>
      </c>
      <c r="C7014" t="s">
        <v>92</v>
      </c>
      <c r="D7014" t="s">
        <v>93</v>
      </c>
      <c r="E7014" s="1">
        <v>44051</v>
      </c>
      <c r="F7014">
        <v>4</v>
      </c>
      <c r="G7014" t="s">
        <v>47</v>
      </c>
      <c r="H7014" t="s">
        <v>48</v>
      </c>
      <c r="I7014" s="4">
        <v>2425</v>
      </c>
      <c r="J7014" s="3">
        <v>2425</v>
      </c>
      <c r="K7014" s="4">
        <v>396</v>
      </c>
      <c r="L7014" t="s">
        <v>9</v>
      </c>
      <c r="M7014">
        <v>19</v>
      </c>
      <c r="N7014" t="s">
        <v>150</v>
      </c>
      <c r="O7014" t="s">
        <v>81</v>
      </c>
      <c r="P7014" t="s">
        <v>136</v>
      </c>
      <c r="Q7014" t="s">
        <v>140</v>
      </c>
      <c r="R7014" t="s">
        <v>141</v>
      </c>
      <c r="S7014" t="s">
        <v>145</v>
      </c>
      <c r="T7014" s="2">
        <f>MASTER[[#This Row],[CANTIDAD]]*MASTER[[#This Row],[PRECIO DE VENTA]]</f>
        <v>9700</v>
      </c>
      <c r="U7014" s="2">
        <f>MASTER[[#This Row],[CANTIDAD]]*MASTER[[#This Row],[COSTO UNITARIO]]</f>
        <v>1584</v>
      </c>
      <c r="V7014" s="2">
        <f>MASTER[[#This Row],[MONTO VENDIDO]]-MASTER[[#This Row],[COSTO DE VENTA]]</f>
        <v>8116</v>
      </c>
    </row>
    <row r="7015" spans="1:22" x14ac:dyDescent="0.3">
      <c r="A7015">
        <v>102779</v>
      </c>
      <c r="B7015">
        <v>1</v>
      </c>
      <c r="C7015" t="s">
        <v>92</v>
      </c>
      <c r="D7015" t="s">
        <v>93</v>
      </c>
      <c r="E7015" s="1">
        <v>44052</v>
      </c>
      <c r="F7015">
        <v>1</v>
      </c>
      <c r="G7015" t="s">
        <v>20</v>
      </c>
      <c r="H7015" t="s">
        <v>21</v>
      </c>
      <c r="I7015" s="4">
        <v>2185</v>
      </c>
      <c r="J7015" s="3">
        <v>2185</v>
      </c>
      <c r="K7015" s="4">
        <v>396</v>
      </c>
      <c r="L7015" t="s">
        <v>9</v>
      </c>
      <c r="M7015">
        <v>19</v>
      </c>
      <c r="N7015" t="s">
        <v>150</v>
      </c>
      <c r="O7015" t="s">
        <v>81</v>
      </c>
      <c r="P7015" t="s">
        <v>136</v>
      </c>
      <c r="Q7015" t="s">
        <v>140</v>
      </c>
      <c r="R7015" t="s">
        <v>141</v>
      </c>
      <c r="S7015" t="s">
        <v>145</v>
      </c>
      <c r="T7015" s="2">
        <f>MASTER[[#This Row],[CANTIDAD]]*MASTER[[#This Row],[PRECIO DE VENTA]]</f>
        <v>2185</v>
      </c>
      <c r="U7015" s="2">
        <f>MASTER[[#This Row],[CANTIDAD]]*MASTER[[#This Row],[COSTO UNITARIO]]</f>
        <v>396</v>
      </c>
      <c r="V7015" s="2">
        <f>MASTER[[#This Row],[MONTO VENDIDO]]-MASTER[[#This Row],[COSTO DE VENTA]]</f>
        <v>1789</v>
      </c>
    </row>
    <row r="7016" spans="1:22" x14ac:dyDescent="0.3">
      <c r="A7016">
        <v>102783</v>
      </c>
      <c r="B7016">
        <v>1</v>
      </c>
      <c r="C7016" t="s">
        <v>101</v>
      </c>
      <c r="D7016" t="s">
        <v>102</v>
      </c>
      <c r="E7016" s="1">
        <v>44052</v>
      </c>
      <c r="F7016">
        <v>1</v>
      </c>
      <c r="G7016" t="s">
        <v>53</v>
      </c>
      <c r="H7016" t="s">
        <v>54</v>
      </c>
      <c r="I7016" s="4">
        <v>1764</v>
      </c>
      <c r="J7016" s="3">
        <v>1764</v>
      </c>
      <c r="K7016" s="4">
        <v>442</v>
      </c>
      <c r="L7016" t="s">
        <v>98</v>
      </c>
      <c r="M7016">
        <v>17</v>
      </c>
      <c r="N7016" t="str">
        <f>IF(MASTER[[#This Row],[IDLOCAL]]=17,"HYDE PARK", "HARLEM IRVING")</f>
        <v>HYDE PARK</v>
      </c>
      <c r="O7016" t="str">
        <f>IF(MASTER[[#This Row],[IDLOCAL]]=17,"PREMIUM", "ESTÁNDAR")</f>
        <v>PREMIUM</v>
      </c>
      <c r="P7016" t="s">
        <v>137</v>
      </c>
      <c r="Q7016" t="s">
        <v>142</v>
      </c>
      <c r="R7016" t="s">
        <v>143</v>
      </c>
      <c r="S7016" t="s">
        <v>145</v>
      </c>
      <c r="T7016" s="2">
        <f>MASTER[[#This Row],[CANTIDAD]]*MASTER[[#This Row],[PRECIO DE VENTA]]</f>
        <v>1764</v>
      </c>
      <c r="U7016" s="2">
        <f>MASTER[[#This Row],[CANTIDAD]]*MASTER[[#This Row],[COSTO UNITARIO]]</f>
        <v>442</v>
      </c>
      <c r="V7016" s="2">
        <f>MASTER[[#This Row],[MONTO VENDIDO]]-MASTER[[#This Row],[COSTO DE VENTA]]</f>
        <v>1322</v>
      </c>
    </row>
    <row r="7017" spans="1:22" x14ac:dyDescent="0.3">
      <c r="A7017">
        <v>102788</v>
      </c>
      <c r="B7017">
        <v>1</v>
      </c>
      <c r="C7017" t="s">
        <v>109</v>
      </c>
      <c r="D7017" t="s">
        <v>110</v>
      </c>
      <c r="E7017" s="1">
        <v>44052</v>
      </c>
      <c r="F7017">
        <v>1</v>
      </c>
      <c r="G7017" t="s">
        <v>20</v>
      </c>
      <c r="H7017" t="s">
        <v>21</v>
      </c>
      <c r="I7017" s="4">
        <v>1466</v>
      </c>
      <c r="J7017" s="3">
        <v>1466</v>
      </c>
      <c r="K7017" s="4">
        <v>387</v>
      </c>
      <c r="L7017" t="s">
        <v>98</v>
      </c>
      <c r="M7017">
        <v>18</v>
      </c>
      <c r="N7017" t="str">
        <f>IF(MASTER[[#This Row],[IDLOCAL]]=17,"HYDE PARK", "HARLEM IRVING")</f>
        <v>HARLEM IRVING</v>
      </c>
      <c r="O7017" t="str">
        <f>IF(MASTER[[#This Row],[IDLOCAL]]=17,"PREMIUM", "ESTÁNDAR")</f>
        <v>ESTÁNDAR</v>
      </c>
      <c r="P7017" t="s">
        <v>137</v>
      </c>
      <c r="Q7017" t="s">
        <v>142</v>
      </c>
      <c r="R7017" t="s">
        <v>143</v>
      </c>
      <c r="S7017" t="s">
        <v>145</v>
      </c>
      <c r="T7017" s="2">
        <f>MASTER[[#This Row],[CANTIDAD]]*MASTER[[#This Row],[PRECIO DE VENTA]]</f>
        <v>1466</v>
      </c>
      <c r="U7017" s="2">
        <f>MASTER[[#This Row],[CANTIDAD]]*MASTER[[#This Row],[COSTO UNITARIO]]</f>
        <v>387</v>
      </c>
      <c r="V7017" s="2">
        <f>MASTER[[#This Row],[MONTO VENDIDO]]-MASTER[[#This Row],[COSTO DE VENTA]]</f>
        <v>1079</v>
      </c>
    </row>
    <row r="7018" spans="1:22" x14ac:dyDescent="0.3">
      <c r="A7018">
        <v>102796</v>
      </c>
      <c r="B7018">
        <v>1</v>
      </c>
      <c r="C7018" t="s">
        <v>101</v>
      </c>
      <c r="D7018" t="s">
        <v>102</v>
      </c>
      <c r="E7018" s="1">
        <v>44053</v>
      </c>
      <c r="F7018">
        <v>1</v>
      </c>
      <c r="G7018" t="s">
        <v>53</v>
      </c>
      <c r="H7018" t="s">
        <v>54</v>
      </c>
      <c r="I7018" s="4">
        <v>1575</v>
      </c>
      <c r="J7018" s="3">
        <v>1575</v>
      </c>
      <c r="K7018" s="4">
        <v>442</v>
      </c>
      <c r="L7018" t="s">
        <v>98</v>
      </c>
      <c r="M7018">
        <v>19</v>
      </c>
      <c r="N7018" t="s">
        <v>150</v>
      </c>
      <c r="O7018" t="s">
        <v>81</v>
      </c>
      <c r="P7018" t="s">
        <v>136</v>
      </c>
      <c r="Q7018" t="s">
        <v>140</v>
      </c>
      <c r="R7018" t="s">
        <v>141</v>
      </c>
      <c r="S7018" t="s">
        <v>145</v>
      </c>
      <c r="T7018" s="2">
        <f>MASTER[[#This Row],[CANTIDAD]]*MASTER[[#This Row],[PRECIO DE VENTA]]</f>
        <v>1575</v>
      </c>
      <c r="U7018" s="2">
        <f>MASTER[[#This Row],[CANTIDAD]]*MASTER[[#This Row],[COSTO UNITARIO]]</f>
        <v>442</v>
      </c>
      <c r="V7018" s="2">
        <f>MASTER[[#This Row],[MONTO VENDIDO]]-MASTER[[#This Row],[COSTO DE VENTA]]</f>
        <v>1133</v>
      </c>
    </row>
    <row r="7019" spans="1:22" x14ac:dyDescent="0.3">
      <c r="A7019">
        <v>102812</v>
      </c>
      <c r="B7019">
        <v>1</v>
      </c>
      <c r="C7019" t="s">
        <v>114</v>
      </c>
      <c r="D7019" t="s">
        <v>115</v>
      </c>
      <c r="E7019" s="1">
        <v>44053</v>
      </c>
      <c r="F7019">
        <v>1</v>
      </c>
      <c r="G7019" t="s">
        <v>29</v>
      </c>
      <c r="H7019" t="s">
        <v>30</v>
      </c>
      <c r="I7019" s="4">
        <v>2057</v>
      </c>
      <c r="J7019" s="3">
        <v>2057</v>
      </c>
      <c r="K7019" s="4">
        <v>394</v>
      </c>
      <c r="L7019" t="s">
        <v>113</v>
      </c>
      <c r="M7019">
        <v>18</v>
      </c>
      <c r="N7019" t="str">
        <f>IF(MASTER[[#This Row],[IDLOCAL]]=17,"HYDE PARK", "HARLEM IRVING")</f>
        <v>HARLEM IRVING</v>
      </c>
      <c r="O7019" t="str">
        <f>IF(MASTER[[#This Row],[IDLOCAL]]=17,"PREMIUM", "ESTÁNDAR")</f>
        <v>ESTÁNDAR</v>
      </c>
      <c r="P7019" t="s">
        <v>137</v>
      </c>
      <c r="Q7019" t="s">
        <v>142</v>
      </c>
      <c r="R7019" t="s">
        <v>143</v>
      </c>
      <c r="S7019" t="s">
        <v>145</v>
      </c>
      <c r="T7019" s="2">
        <f>MASTER[[#This Row],[CANTIDAD]]*MASTER[[#This Row],[PRECIO DE VENTA]]</f>
        <v>2057</v>
      </c>
      <c r="U7019" s="2">
        <f>MASTER[[#This Row],[CANTIDAD]]*MASTER[[#This Row],[COSTO UNITARIO]]</f>
        <v>394</v>
      </c>
      <c r="V7019" s="2">
        <f>MASTER[[#This Row],[MONTO VENDIDO]]-MASTER[[#This Row],[COSTO DE VENTA]]</f>
        <v>1663</v>
      </c>
    </row>
    <row r="7020" spans="1:22" x14ac:dyDescent="0.3">
      <c r="A7020">
        <v>102820</v>
      </c>
      <c r="B7020">
        <v>1</v>
      </c>
      <c r="C7020" t="s">
        <v>118</v>
      </c>
      <c r="D7020" t="s">
        <v>119</v>
      </c>
      <c r="E7020" s="1">
        <v>44053</v>
      </c>
      <c r="F7020">
        <v>1</v>
      </c>
      <c r="G7020" t="s">
        <v>53</v>
      </c>
      <c r="H7020" t="s">
        <v>54</v>
      </c>
      <c r="I7020" s="4">
        <v>1170</v>
      </c>
      <c r="J7020" s="3">
        <v>1170</v>
      </c>
      <c r="K7020" s="4">
        <v>424</v>
      </c>
      <c r="L7020" t="s">
        <v>120</v>
      </c>
      <c r="M7020">
        <v>18</v>
      </c>
      <c r="N7020" t="str">
        <f>IF(MASTER[[#This Row],[IDLOCAL]]=17,"HYDE PARK", "HARLEM IRVING")</f>
        <v>HARLEM IRVING</v>
      </c>
      <c r="O7020" t="str">
        <f>IF(MASTER[[#This Row],[IDLOCAL]]=17,"PREMIUM", "ESTÁNDAR")</f>
        <v>ESTÁNDAR</v>
      </c>
      <c r="P7020" t="s">
        <v>137</v>
      </c>
      <c r="Q7020" t="s">
        <v>142</v>
      </c>
      <c r="R7020" t="s">
        <v>143</v>
      </c>
      <c r="S7020" t="s">
        <v>145</v>
      </c>
      <c r="T7020" s="2">
        <f>MASTER[[#This Row],[CANTIDAD]]*MASTER[[#This Row],[PRECIO DE VENTA]]</f>
        <v>1170</v>
      </c>
      <c r="U7020" s="2">
        <f>MASTER[[#This Row],[CANTIDAD]]*MASTER[[#This Row],[COSTO UNITARIO]]</f>
        <v>424</v>
      </c>
      <c r="V7020" s="2">
        <f>MASTER[[#This Row],[MONTO VENDIDO]]-MASTER[[#This Row],[COSTO DE VENTA]]</f>
        <v>746</v>
      </c>
    </row>
    <row r="7021" spans="1:22" x14ac:dyDescent="0.3">
      <c r="A7021">
        <v>102828</v>
      </c>
      <c r="B7021">
        <v>1</v>
      </c>
      <c r="C7021" t="s">
        <v>101</v>
      </c>
      <c r="D7021" t="s">
        <v>102</v>
      </c>
      <c r="E7021" s="1">
        <v>44054</v>
      </c>
      <c r="F7021">
        <v>1</v>
      </c>
      <c r="G7021" t="s">
        <v>33</v>
      </c>
      <c r="H7021" t="s">
        <v>34</v>
      </c>
      <c r="I7021" s="4">
        <v>1370</v>
      </c>
      <c r="J7021" s="3">
        <v>1370</v>
      </c>
      <c r="K7021" s="4">
        <v>442</v>
      </c>
      <c r="L7021" t="s">
        <v>98</v>
      </c>
      <c r="M7021">
        <v>17</v>
      </c>
      <c r="N7021" t="str">
        <f>IF(MASTER[[#This Row],[IDLOCAL]]=17,"HYDE PARK", "HARLEM IRVING")</f>
        <v>HYDE PARK</v>
      </c>
      <c r="O7021" t="str">
        <f>IF(MASTER[[#This Row],[IDLOCAL]]=17,"PREMIUM", "ESTÁNDAR")</f>
        <v>PREMIUM</v>
      </c>
      <c r="P7021" t="s">
        <v>137</v>
      </c>
      <c r="Q7021" t="s">
        <v>142</v>
      </c>
      <c r="R7021" t="s">
        <v>143</v>
      </c>
      <c r="S7021" t="s">
        <v>145</v>
      </c>
      <c r="T7021" s="2">
        <f>MASTER[[#This Row],[CANTIDAD]]*MASTER[[#This Row],[PRECIO DE VENTA]]</f>
        <v>1370</v>
      </c>
      <c r="U7021" s="2">
        <f>MASTER[[#This Row],[CANTIDAD]]*MASTER[[#This Row],[COSTO UNITARIO]]</f>
        <v>442</v>
      </c>
      <c r="V7021" s="2">
        <f>MASTER[[#This Row],[MONTO VENDIDO]]-MASTER[[#This Row],[COSTO DE VENTA]]</f>
        <v>928</v>
      </c>
    </row>
    <row r="7022" spans="1:22" x14ac:dyDescent="0.3">
      <c r="A7022">
        <v>102836</v>
      </c>
      <c r="B7022">
        <v>1</v>
      </c>
      <c r="C7022" t="s">
        <v>107</v>
      </c>
      <c r="D7022" t="s">
        <v>108</v>
      </c>
      <c r="E7022" s="1">
        <v>44054</v>
      </c>
      <c r="F7022">
        <v>1</v>
      </c>
      <c r="G7022" t="s">
        <v>45</v>
      </c>
      <c r="H7022" t="s">
        <v>46</v>
      </c>
      <c r="I7022" s="4">
        <v>1732</v>
      </c>
      <c r="J7022" s="3">
        <v>1610</v>
      </c>
      <c r="K7022" s="4">
        <v>380</v>
      </c>
      <c r="L7022" t="s">
        <v>98</v>
      </c>
      <c r="M7022">
        <v>19</v>
      </c>
      <c r="N7022" t="s">
        <v>150</v>
      </c>
      <c r="O7022" t="s">
        <v>81</v>
      </c>
      <c r="P7022" t="s">
        <v>136</v>
      </c>
      <c r="Q7022" t="s">
        <v>140</v>
      </c>
      <c r="R7022" t="s">
        <v>141</v>
      </c>
      <c r="S7022" t="s">
        <v>145</v>
      </c>
      <c r="T7022" s="2">
        <f>MASTER[[#This Row],[CANTIDAD]]*MASTER[[#This Row],[PRECIO DE VENTA]]</f>
        <v>1610</v>
      </c>
      <c r="U7022" s="2">
        <f>MASTER[[#This Row],[CANTIDAD]]*MASTER[[#This Row],[COSTO UNITARIO]]</f>
        <v>380</v>
      </c>
      <c r="V7022" s="2">
        <f>MASTER[[#This Row],[MONTO VENDIDO]]-MASTER[[#This Row],[COSTO DE VENTA]]</f>
        <v>1230</v>
      </c>
    </row>
    <row r="7023" spans="1:22" x14ac:dyDescent="0.3">
      <c r="A7023">
        <v>102840</v>
      </c>
      <c r="B7023">
        <v>1</v>
      </c>
      <c r="C7023" t="s">
        <v>114</v>
      </c>
      <c r="D7023" t="s">
        <v>115</v>
      </c>
      <c r="E7023" s="1">
        <v>44054</v>
      </c>
      <c r="F7023">
        <v>1</v>
      </c>
      <c r="G7023" t="s">
        <v>63</v>
      </c>
      <c r="H7023" t="s">
        <v>64</v>
      </c>
      <c r="I7023" s="4">
        <v>2639</v>
      </c>
      <c r="J7023" s="3">
        <v>2639</v>
      </c>
      <c r="K7023" s="4">
        <v>394</v>
      </c>
      <c r="L7023" t="s">
        <v>113</v>
      </c>
      <c r="M7023">
        <v>17</v>
      </c>
      <c r="N7023" t="str">
        <f>IF(MASTER[[#This Row],[IDLOCAL]]=17,"HYDE PARK", "HARLEM IRVING")</f>
        <v>HYDE PARK</v>
      </c>
      <c r="O7023" t="str">
        <f>IF(MASTER[[#This Row],[IDLOCAL]]=17,"PREMIUM", "ESTÁNDAR")</f>
        <v>PREMIUM</v>
      </c>
      <c r="P7023" t="s">
        <v>137</v>
      </c>
      <c r="Q7023" t="s">
        <v>142</v>
      </c>
      <c r="R7023" t="s">
        <v>143</v>
      </c>
      <c r="S7023" t="s">
        <v>145</v>
      </c>
      <c r="T7023" s="2">
        <f>MASTER[[#This Row],[CANTIDAD]]*MASTER[[#This Row],[PRECIO DE VENTA]]</f>
        <v>2639</v>
      </c>
      <c r="U7023" s="2">
        <f>MASTER[[#This Row],[CANTIDAD]]*MASTER[[#This Row],[COSTO UNITARIO]]</f>
        <v>394</v>
      </c>
      <c r="V7023" s="2">
        <f>MASTER[[#This Row],[MONTO VENDIDO]]-MASTER[[#This Row],[COSTO DE VENTA]]</f>
        <v>2245</v>
      </c>
    </row>
    <row r="7024" spans="1:22" x14ac:dyDescent="0.3">
      <c r="A7024">
        <v>102842</v>
      </c>
      <c r="B7024">
        <v>1</v>
      </c>
      <c r="C7024" t="s">
        <v>116</v>
      </c>
      <c r="D7024" t="s">
        <v>117</v>
      </c>
      <c r="E7024" s="1">
        <v>44054</v>
      </c>
      <c r="F7024">
        <v>1</v>
      </c>
      <c r="G7024" t="s">
        <v>7</v>
      </c>
      <c r="H7024" t="s">
        <v>8</v>
      </c>
      <c r="I7024" s="4">
        <v>1987</v>
      </c>
      <c r="J7024" s="3">
        <v>1987</v>
      </c>
      <c r="K7024" s="4">
        <v>388</v>
      </c>
      <c r="L7024" t="s">
        <v>113</v>
      </c>
      <c r="M7024">
        <v>19</v>
      </c>
      <c r="N7024" t="s">
        <v>150</v>
      </c>
      <c r="O7024" t="s">
        <v>81</v>
      </c>
      <c r="P7024" t="s">
        <v>136</v>
      </c>
      <c r="Q7024" t="s">
        <v>140</v>
      </c>
      <c r="R7024" t="s">
        <v>141</v>
      </c>
      <c r="S7024" t="s">
        <v>145</v>
      </c>
      <c r="T7024" s="2">
        <f>MASTER[[#This Row],[CANTIDAD]]*MASTER[[#This Row],[PRECIO DE VENTA]]</f>
        <v>1987</v>
      </c>
      <c r="U7024" s="2">
        <f>MASTER[[#This Row],[CANTIDAD]]*MASTER[[#This Row],[COSTO UNITARIO]]</f>
        <v>388</v>
      </c>
      <c r="V7024" s="2">
        <f>MASTER[[#This Row],[MONTO VENDIDO]]-MASTER[[#This Row],[COSTO DE VENTA]]</f>
        <v>1599</v>
      </c>
    </row>
    <row r="7025" spans="1:22" x14ac:dyDescent="0.3">
      <c r="A7025">
        <v>102853</v>
      </c>
      <c r="B7025">
        <v>1</v>
      </c>
      <c r="C7025" t="s">
        <v>116</v>
      </c>
      <c r="D7025" t="s">
        <v>117</v>
      </c>
      <c r="E7025" s="1">
        <v>44054</v>
      </c>
      <c r="F7025">
        <v>1</v>
      </c>
      <c r="G7025" t="s">
        <v>63</v>
      </c>
      <c r="H7025" t="s">
        <v>64</v>
      </c>
      <c r="I7025" s="4">
        <v>2598</v>
      </c>
      <c r="J7025" s="3">
        <v>2598</v>
      </c>
      <c r="K7025" s="4">
        <v>388</v>
      </c>
      <c r="L7025" t="s">
        <v>113</v>
      </c>
      <c r="M7025">
        <v>17</v>
      </c>
      <c r="N7025" t="str">
        <f>IF(MASTER[[#This Row],[IDLOCAL]]=17,"HYDE PARK", "HARLEM IRVING")</f>
        <v>HYDE PARK</v>
      </c>
      <c r="O7025" t="str">
        <f>IF(MASTER[[#This Row],[IDLOCAL]]=17,"PREMIUM", "ESTÁNDAR")</f>
        <v>PREMIUM</v>
      </c>
      <c r="P7025" t="s">
        <v>137</v>
      </c>
      <c r="Q7025" t="s">
        <v>142</v>
      </c>
      <c r="R7025" t="s">
        <v>143</v>
      </c>
      <c r="S7025" t="s">
        <v>145</v>
      </c>
      <c r="T7025" s="2">
        <f>MASTER[[#This Row],[CANTIDAD]]*MASTER[[#This Row],[PRECIO DE VENTA]]</f>
        <v>2598</v>
      </c>
      <c r="U7025" s="2">
        <f>MASTER[[#This Row],[CANTIDAD]]*MASTER[[#This Row],[COSTO UNITARIO]]</f>
        <v>388</v>
      </c>
      <c r="V7025" s="2">
        <f>MASTER[[#This Row],[MONTO VENDIDO]]-MASTER[[#This Row],[COSTO DE VENTA]]</f>
        <v>2210</v>
      </c>
    </row>
    <row r="7026" spans="1:22" x14ac:dyDescent="0.3">
      <c r="A7026">
        <v>102855</v>
      </c>
      <c r="B7026">
        <v>1</v>
      </c>
      <c r="C7026" t="s">
        <v>105</v>
      </c>
      <c r="D7026" t="s">
        <v>106</v>
      </c>
      <c r="E7026" s="1">
        <v>44056</v>
      </c>
      <c r="F7026">
        <v>1</v>
      </c>
      <c r="G7026" t="s">
        <v>53</v>
      </c>
      <c r="H7026" t="s">
        <v>54</v>
      </c>
      <c r="I7026" s="4">
        <v>2424</v>
      </c>
      <c r="J7026" s="3">
        <v>2424</v>
      </c>
      <c r="K7026" s="4">
        <v>459</v>
      </c>
      <c r="L7026" t="s">
        <v>98</v>
      </c>
      <c r="M7026">
        <v>19</v>
      </c>
      <c r="N7026" t="s">
        <v>150</v>
      </c>
      <c r="O7026" t="s">
        <v>81</v>
      </c>
      <c r="P7026" t="s">
        <v>136</v>
      </c>
      <c r="Q7026" t="s">
        <v>140</v>
      </c>
      <c r="R7026" t="s">
        <v>141</v>
      </c>
      <c r="S7026" t="s">
        <v>145</v>
      </c>
      <c r="T7026" s="2">
        <f>MASTER[[#This Row],[CANTIDAD]]*MASTER[[#This Row],[PRECIO DE VENTA]]</f>
        <v>2424</v>
      </c>
      <c r="U7026" s="2">
        <f>MASTER[[#This Row],[CANTIDAD]]*MASTER[[#This Row],[COSTO UNITARIO]]</f>
        <v>459</v>
      </c>
      <c r="V7026" s="2">
        <f>MASTER[[#This Row],[MONTO VENDIDO]]-MASTER[[#This Row],[COSTO DE VENTA]]</f>
        <v>1965</v>
      </c>
    </row>
    <row r="7027" spans="1:22" x14ac:dyDescent="0.3">
      <c r="A7027">
        <v>102857</v>
      </c>
      <c r="B7027">
        <v>1</v>
      </c>
      <c r="C7027" t="s">
        <v>114</v>
      </c>
      <c r="D7027" t="s">
        <v>115</v>
      </c>
      <c r="E7027" s="1">
        <v>44056</v>
      </c>
      <c r="F7027">
        <v>1</v>
      </c>
      <c r="G7027" t="s">
        <v>59</v>
      </c>
      <c r="H7027" t="s">
        <v>60</v>
      </c>
      <c r="I7027" s="4">
        <v>2420</v>
      </c>
      <c r="J7027" s="3">
        <v>2420</v>
      </c>
      <c r="K7027" s="4">
        <v>394</v>
      </c>
      <c r="L7027" t="s">
        <v>113</v>
      </c>
      <c r="M7027">
        <v>19</v>
      </c>
      <c r="N7027" t="s">
        <v>150</v>
      </c>
      <c r="O7027" t="s">
        <v>81</v>
      </c>
      <c r="P7027" t="s">
        <v>136</v>
      </c>
      <c r="Q7027" t="s">
        <v>140</v>
      </c>
      <c r="R7027" t="s">
        <v>141</v>
      </c>
      <c r="S7027" t="s">
        <v>145</v>
      </c>
      <c r="T7027" s="2">
        <f>MASTER[[#This Row],[CANTIDAD]]*MASTER[[#This Row],[PRECIO DE VENTA]]</f>
        <v>2420</v>
      </c>
      <c r="U7027" s="2">
        <f>MASTER[[#This Row],[CANTIDAD]]*MASTER[[#This Row],[COSTO UNITARIO]]</f>
        <v>394</v>
      </c>
      <c r="V7027" s="2">
        <f>MASTER[[#This Row],[MONTO VENDIDO]]-MASTER[[#This Row],[COSTO DE VENTA]]</f>
        <v>2026</v>
      </c>
    </row>
    <row r="7028" spans="1:22" x14ac:dyDescent="0.3">
      <c r="A7028">
        <v>102858</v>
      </c>
      <c r="B7028">
        <v>1</v>
      </c>
      <c r="C7028" t="s">
        <v>111</v>
      </c>
      <c r="D7028" t="s">
        <v>112</v>
      </c>
      <c r="E7028" s="1">
        <v>44057</v>
      </c>
      <c r="F7028">
        <v>1</v>
      </c>
      <c r="G7028" t="s">
        <v>61</v>
      </c>
      <c r="H7028" t="s">
        <v>62</v>
      </c>
      <c r="I7028" s="4">
        <v>1981</v>
      </c>
      <c r="J7028" s="3">
        <v>1981</v>
      </c>
      <c r="K7028" s="4">
        <v>434</v>
      </c>
      <c r="L7028" t="s">
        <v>113</v>
      </c>
      <c r="M7028">
        <v>17</v>
      </c>
      <c r="N7028" t="str">
        <f>IF(MASTER[[#This Row],[IDLOCAL]]=17,"HYDE PARK", "HARLEM IRVING")</f>
        <v>HYDE PARK</v>
      </c>
      <c r="O7028" t="str">
        <f>IF(MASTER[[#This Row],[IDLOCAL]]=17,"PREMIUM", "ESTÁNDAR")</f>
        <v>PREMIUM</v>
      </c>
      <c r="P7028" t="s">
        <v>137</v>
      </c>
      <c r="Q7028" t="s">
        <v>142</v>
      </c>
      <c r="R7028" t="s">
        <v>143</v>
      </c>
      <c r="S7028" t="s">
        <v>145</v>
      </c>
      <c r="T7028" s="2">
        <f>MASTER[[#This Row],[CANTIDAD]]*MASTER[[#This Row],[PRECIO DE VENTA]]</f>
        <v>1981</v>
      </c>
      <c r="U7028" s="2">
        <f>MASTER[[#This Row],[CANTIDAD]]*MASTER[[#This Row],[COSTO UNITARIO]]</f>
        <v>434</v>
      </c>
      <c r="V7028" s="2">
        <f>MASTER[[#This Row],[MONTO VENDIDO]]-MASTER[[#This Row],[COSTO DE VENTA]]</f>
        <v>1547</v>
      </c>
    </row>
    <row r="7029" spans="1:22" x14ac:dyDescent="0.3">
      <c r="A7029">
        <v>102872</v>
      </c>
      <c r="B7029">
        <v>1</v>
      </c>
      <c r="C7029" t="s">
        <v>121</v>
      </c>
      <c r="D7029" t="s">
        <v>122</v>
      </c>
      <c r="E7029" s="1">
        <v>44057</v>
      </c>
      <c r="F7029">
        <v>1</v>
      </c>
      <c r="G7029" t="s">
        <v>59</v>
      </c>
      <c r="H7029" t="s">
        <v>60</v>
      </c>
      <c r="I7029" s="4">
        <v>1389</v>
      </c>
      <c r="J7029" s="3">
        <v>1389</v>
      </c>
      <c r="K7029" s="4">
        <v>460</v>
      </c>
      <c r="L7029" t="s">
        <v>120</v>
      </c>
      <c r="M7029">
        <v>19</v>
      </c>
      <c r="N7029" t="s">
        <v>150</v>
      </c>
      <c r="O7029" t="s">
        <v>81</v>
      </c>
      <c r="P7029" t="s">
        <v>136</v>
      </c>
      <c r="Q7029" t="s">
        <v>140</v>
      </c>
      <c r="R7029" t="s">
        <v>141</v>
      </c>
      <c r="S7029" t="s">
        <v>145</v>
      </c>
      <c r="T7029" s="2">
        <f>MASTER[[#This Row],[CANTIDAD]]*MASTER[[#This Row],[PRECIO DE VENTA]]</f>
        <v>1389</v>
      </c>
      <c r="U7029" s="2">
        <f>MASTER[[#This Row],[CANTIDAD]]*MASTER[[#This Row],[COSTO UNITARIO]]</f>
        <v>460</v>
      </c>
      <c r="V7029" s="2">
        <f>MASTER[[#This Row],[MONTO VENDIDO]]-MASTER[[#This Row],[COSTO DE VENTA]]</f>
        <v>929</v>
      </c>
    </row>
    <row r="7030" spans="1:22" x14ac:dyDescent="0.3">
      <c r="A7030">
        <v>102873</v>
      </c>
      <c r="B7030">
        <v>1</v>
      </c>
      <c r="C7030" t="s">
        <v>105</v>
      </c>
      <c r="D7030" t="s">
        <v>106</v>
      </c>
      <c r="E7030" s="1">
        <v>44058</v>
      </c>
      <c r="F7030">
        <v>1</v>
      </c>
      <c r="G7030" t="s">
        <v>7</v>
      </c>
      <c r="H7030" t="s">
        <v>8</v>
      </c>
      <c r="I7030" s="4">
        <v>2060</v>
      </c>
      <c r="J7030" s="3">
        <v>2060</v>
      </c>
      <c r="K7030" s="4">
        <v>459</v>
      </c>
      <c r="L7030" t="s">
        <v>98</v>
      </c>
      <c r="M7030">
        <v>19</v>
      </c>
      <c r="N7030" t="s">
        <v>150</v>
      </c>
      <c r="O7030" t="s">
        <v>81</v>
      </c>
      <c r="P7030" t="s">
        <v>136</v>
      </c>
      <c r="Q7030" t="s">
        <v>140</v>
      </c>
      <c r="R7030" t="s">
        <v>141</v>
      </c>
      <c r="S7030" t="s">
        <v>145</v>
      </c>
      <c r="T7030" s="2">
        <f>MASTER[[#This Row],[CANTIDAD]]*MASTER[[#This Row],[PRECIO DE VENTA]]</f>
        <v>2060</v>
      </c>
      <c r="U7030" s="2">
        <f>MASTER[[#This Row],[CANTIDAD]]*MASTER[[#This Row],[COSTO UNITARIO]]</f>
        <v>459</v>
      </c>
      <c r="V7030" s="2">
        <f>MASTER[[#This Row],[MONTO VENDIDO]]-MASTER[[#This Row],[COSTO DE VENTA]]</f>
        <v>1601</v>
      </c>
    </row>
    <row r="7031" spans="1:22" x14ac:dyDescent="0.3">
      <c r="A7031">
        <v>102901</v>
      </c>
      <c r="B7031">
        <v>1</v>
      </c>
      <c r="C7031" t="s">
        <v>109</v>
      </c>
      <c r="D7031" t="s">
        <v>110</v>
      </c>
      <c r="E7031" s="1">
        <v>44058</v>
      </c>
      <c r="F7031">
        <v>1</v>
      </c>
      <c r="G7031" t="s">
        <v>22</v>
      </c>
      <c r="H7031" t="s">
        <v>23</v>
      </c>
      <c r="I7031" s="4">
        <v>1383</v>
      </c>
      <c r="J7031" s="3">
        <v>1285</v>
      </c>
      <c r="K7031" s="4">
        <v>387</v>
      </c>
      <c r="L7031" t="s">
        <v>98</v>
      </c>
      <c r="M7031">
        <v>19</v>
      </c>
      <c r="N7031" t="s">
        <v>150</v>
      </c>
      <c r="O7031" t="s">
        <v>81</v>
      </c>
      <c r="P7031" t="s">
        <v>136</v>
      </c>
      <c r="Q7031" t="s">
        <v>140</v>
      </c>
      <c r="R7031" t="s">
        <v>141</v>
      </c>
      <c r="S7031" t="s">
        <v>145</v>
      </c>
      <c r="T7031" s="2">
        <f>MASTER[[#This Row],[CANTIDAD]]*MASTER[[#This Row],[PRECIO DE VENTA]]</f>
        <v>1285</v>
      </c>
      <c r="U7031" s="2">
        <f>MASTER[[#This Row],[CANTIDAD]]*MASTER[[#This Row],[COSTO UNITARIO]]</f>
        <v>387</v>
      </c>
      <c r="V7031" s="2">
        <f>MASTER[[#This Row],[MONTO VENDIDO]]-MASTER[[#This Row],[COSTO DE VENTA]]</f>
        <v>898</v>
      </c>
    </row>
    <row r="7032" spans="1:22" x14ac:dyDescent="0.3">
      <c r="A7032">
        <v>102927</v>
      </c>
      <c r="B7032">
        <v>1</v>
      </c>
      <c r="C7032" t="s">
        <v>90</v>
      </c>
      <c r="D7032" t="s">
        <v>91</v>
      </c>
      <c r="E7032" s="1">
        <v>44060</v>
      </c>
      <c r="F7032">
        <v>1</v>
      </c>
      <c r="G7032" t="s">
        <v>33</v>
      </c>
      <c r="H7032" t="s">
        <v>34</v>
      </c>
      <c r="I7032" s="4">
        <v>2158</v>
      </c>
      <c r="J7032" s="3">
        <v>2158</v>
      </c>
      <c r="K7032" s="4">
        <v>420</v>
      </c>
      <c r="L7032" t="s">
        <v>9</v>
      </c>
      <c r="M7032">
        <v>19</v>
      </c>
      <c r="N7032" t="s">
        <v>150</v>
      </c>
      <c r="O7032" t="s">
        <v>81</v>
      </c>
      <c r="P7032" t="s">
        <v>136</v>
      </c>
      <c r="Q7032" t="s">
        <v>140</v>
      </c>
      <c r="R7032" t="s">
        <v>141</v>
      </c>
      <c r="S7032" t="s">
        <v>145</v>
      </c>
      <c r="T7032" s="2">
        <f>MASTER[[#This Row],[CANTIDAD]]*MASTER[[#This Row],[PRECIO DE VENTA]]</f>
        <v>2158</v>
      </c>
      <c r="U7032" s="2">
        <f>MASTER[[#This Row],[CANTIDAD]]*MASTER[[#This Row],[COSTO UNITARIO]]</f>
        <v>420</v>
      </c>
      <c r="V7032" s="2">
        <f>MASTER[[#This Row],[MONTO VENDIDO]]-MASTER[[#This Row],[COSTO DE VENTA]]</f>
        <v>1738</v>
      </c>
    </row>
    <row r="7033" spans="1:22" x14ac:dyDescent="0.3">
      <c r="A7033">
        <v>102933</v>
      </c>
      <c r="B7033">
        <v>2</v>
      </c>
      <c r="C7033" t="s">
        <v>92</v>
      </c>
      <c r="D7033" t="s">
        <v>93</v>
      </c>
      <c r="E7033" s="1">
        <v>44060</v>
      </c>
      <c r="F7033">
        <v>1</v>
      </c>
      <c r="G7033" t="s">
        <v>20</v>
      </c>
      <c r="H7033" t="s">
        <v>21</v>
      </c>
      <c r="I7033" s="4">
        <v>1922</v>
      </c>
      <c r="J7033" s="3">
        <v>1922</v>
      </c>
      <c r="K7033" s="4">
        <v>396</v>
      </c>
      <c r="L7033" t="s">
        <v>9</v>
      </c>
      <c r="M7033">
        <v>19</v>
      </c>
      <c r="N7033" t="s">
        <v>150</v>
      </c>
      <c r="O7033" t="s">
        <v>81</v>
      </c>
      <c r="P7033" t="s">
        <v>136</v>
      </c>
      <c r="Q7033" t="s">
        <v>140</v>
      </c>
      <c r="R7033" t="s">
        <v>141</v>
      </c>
      <c r="S7033" t="s">
        <v>145</v>
      </c>
      <c r="T7033" s="2">
        <f>MASTER[[#This Row],[CANTIDAD]]*MASTER[[#This Row],[PRECIO DE VENTA]]</f>
        <v>1922</v>
      </c>
      <c r="U7033" s="2">
        <f>MASTER[[#This Row],[CANTIDAD]]*MASTER[[#This Row],[COSTO UNITARIO]]</f>
        <v>396</v>
      </c>
      <c r="V7033" s="2">
        <f>MASTER[[#This Row],[MONTO VENDIDO]]-MASTER[[#This Row],[COSTO DE VENTA]]</f>
        <v>1526</v>
      </c>
    </row>
    <row r="7034" spans="1:22" x14ac:dyDescent="0.3">
      <c r="A7034">
        <v>102966</v>
      </c>
      <c r="B7034">
        <v>1</v>
      </c>
      <c r="C7034" t="s">
        <v>118</v>
      </c>
      <c r="D7034" t="s">
        <v>119</v>
      </c>
      <c r="E7034" s="1">
        <v>44060</v>
      </c>
      <c r="F7034">
        <v>1</v>
      </c>
      <c r="G7034" t="s">
        <v>22</v>
      </c>
      <c r="H7034" t="s">
        <v>23</v>
      </c>
      <c r="I7034" s="4">
        <v>1041</v>
      </c>
      <c r="J7034" s="3">
        <v>1041</v>
      </c>
      <c r="K7034" s="4">
        <v>424</v>
      </c>
      <c r="L7034" t="s">
        <v>120</v>
      </c>
      <c r="M7034">
        <v>19</v>
      </c>
      <c r="N7034" t="s">
        <v>150</v>
      </c>
      <c r="O7034" t="s">
        <v>81</v>
      </c>
      <c r="P7034" t="s">
        <v>136</v>
      </c>
      <c r="Q7034" t="s">
        <v>140</v>
      </c>
      <c r="R7034" t="s">
        <v>141</v>
      </c>
      <c r="S7034" t="s">
        <v>145</v>
      </c>
      <c r="T7034" s="2">
        <f>MASTER[[#This Row],[CANTIDAD]]*MASTER[[#This Row],[PRECIO DE VENTA]]</f>
        <v>1041</v>
      </c>
      <c r="U7034" s="2">
        <f>MASTER[[#This Row],[CANTIDAD]]*MASTER[[#This Row],[COSTO UNITARIO]]</f>
        <v>424</v>
      </c>
      <c r="V7034" s="2">
        <f>MASTER[[#This Row],[MONTO VENDIDO]]-MASTER[[#This Row],[COSTO DE VENTA]]</f>
        <v>617</v>
      </c>
    </row>
    <row r="7035" spans="1:22" x14ac:dyDescent="0.3">
      <c r="A7035">
        <v>102985</v>
      </c>
      <c r="B7035">
        <v>1</v>
      </c>
      <c r="C7035" t="s">
        <v>99</v>
      </c>
      <c r="D7035" t="s">
        <v>100</v>
      </c>
      <c r="E7035" s="1">
        <v>44061</v>
      </c>
      <c r="F7035">
        <v>1</v>
      </c>
      <c r="G7035" t="s">
        <v>7</v>
      </c>
      <c r="H7035" t="s">
        <v>8</v>
      </c>
      <c r="I7035" s="4">
        <v>1896</v>
      </c>
      <c r="J7035" s="3">
        <v>1896</v>
      </c>
      <c r="K7035" s="4">
        <v>386</v>
      </c>
      <c r="L7035" t="s">
        <v>98</v>
      </c>
      <c r="M7035">
        <v>17</v>
      </c>
      <c r="N7035" t="str">
        <f>IF(MASTER[[#This Row],[IDLOCAL]]=17,"HYDE PARK", "HARLEM IRVING")</f>
        <v>HYDE PARK</v>
      </c>
      <c r="O7035" t="str">
        <f>IF(MASTER[[#This Row],[IDLOCAL]]=17,"PREMIUM", "ESTÁNDAR")</f>
        <v>PREMIUM</v>
      </c>
      <c r="P7035" t="s">
        <v>137</v>
      </c>
      <c r="Q7035" t="s">
        <v>142</v>
      </c>
      <c r="R7035" t="s">
        <v>143</v>
      </c>
      <c r="S7035" t="s">
        <v>145</v>
      </c>
      <c r="T7035" s="2">
        <f>MASTER[[#This Row],[CANTIDAD]]*MASTER[[#This Row],[PRECIO DE VENTA]]</f>
        <v>1896</v>
      </c>
      <c r="U7035" s="2">
        <f>MASTER[[#This Row],[CANTIDAD]]*MASTER[[#This Row],[COSTO UNITARIO]]</f>
        <v>386</v>
      </c>
      <c r="V7035" s="2">
        <f>MASTER[[#This Row],[MONTO VENDIDO]]-MASTER[[#This Row],[COSTO DE VENTA]]</f>
        <v>1510</v>
      </c>
    </row>
    <row r="7036" spans="1:22" x14ac:dyDescent="0.3">
      <c r="A7036">
        <v>103005</v>
      </c>
      <c r="B7036">
        <v>2</v>
      </c>
      <c r="C7036" t="s">
        <v>111</v>
      </c>
      <c r="D7036" t="s">
        <v>112</v>
      </c>
      <c r="E7036" s="1">
        <v>44061</v>
      </c>
      <c r="F7036">
        <v>1</v>
      </c>
      <c r="G7036" t="s">
        <v>47</v>
      </c>
      <c r="H7036" t="s">
        <v>48</v>
      </c>
      <c r="I7036" s="4">
        <v>2338</v>
      </c>
      <c r="J7036" s="3">
        <v>2338</v>
      </c>
      <c r="K7036" s="4">
        <v>434</v>
      </c>
      <c r="L7036" t="s">
        <v>113</v>
      </c>
      <c r="M7036">
        <v>17</v>
      </c>
      <c r="N7036" t="str">
        <f>IF(MASTER[[#This Row],[IDLOCAL]]=17,"HYDE PARK", "HARLEM IRVING")</f>
        <v>HYDE PARK</v>
      </c>
      <c r="O7036" t="str">
        <f>IF(MASTER[[#This Row],[IDLOCAL]]=17,"PREMIUM", "ESTÁNDAR")</f>
        <v>PREMIUM</v>
      </c>
      <c r="P7036" t="s">
        <v>137</v>
      </c>
      <c r="Q7036" t="s">
        <v>142</v>
      </c>
      <c r="R7036" t="s">
        <v>143</v>
      </c>
      <c r="S7036" t="s">
        <v>145</v>
      </c>
      <c r="T7036" s="2">
        <f>MASTER[[#This Row],[CANTIDAD]]*MASTER[[#This Row],[PRECIO DE VENTA]]</f>
        <v>2338</v>
      </c>
      <c r="U7036" s="2">
        <f>MASTER[[#This Row],[CANTIDAD]]*MASTER[[#This Row],[COSTO UNITARIO]]</f>
        <v>434</v>
      </c>
      <c r="V7036" s="2">
        <f>MASTER[[#This Row],[MONTO VENDIDO]]-MASTER[[#This Row],[COSTO DE VENTA]]</f>
        <v>1904</v>
      </c>
    </row>
    <row r="7037" spans="1:22" x14ac:dyDescent="0.3">
      <c r="A7037">
        <v>103012</v>
      </c>
      <c r="B7037">
        <v>1</v>
      </c>
      <c r="C7037" t="s">
        <v>99</v>
      </c>
      <c r="D7037" t="s">
        <v>100</v>
      </c>
      <c r="E7037" s="1">
        <v>44062</v>
      </c>
      <c r="F7037">
        <v>1</v>
      </c>
      <c r="G7037" t="s">
        <v>29</v>
      </c>
      <c r="H7037" t="s">
        <v>30</v>
      </c>
      <c r="I7037" s="4">
        <v>2181</v>
      </c>
      <c r="J7037" s="3">
        <v>2181</v>
      </c>
      <c r="K7037" s="4">
        <v>386</v>
      </c>
      <c r="L7037" t="s">
        <v>98</v>
      </c>
      <c r="M7037">
        <v>19</v>
      </c>
      <c r="N7037" t="s">
        <v>150</v>
      </c>
      <c r="O7037" t="s">
        <v>81</v>
      </c>
      <c r="P7037" t="s">
        <v>136</v>
      </c>
      <c r="Q7037" t="s">
        <v>140</v>
      </c>
      <c r="R7037" t="s">
        <v>141</v>
      </c>
      <c r="S7037" t="s">
        <v>145</v>
      </c>
      <c r="T7037" s="2">
        <f>MASTER[[#This Row],[CANTIDAD]]*MASTER[[#This Row],[PRECIO DE VENTA]]</f>
        <v>2181</v>
      </c>
      <c r="U7037" s="2">
        <f>MASTER[[#This Row],[CANTIDAD]]*MASTER[[#This Row],[COSTO UNITARIO]]</f>
        <v>386</v>
      </c>
      <c r="V7037" s="2">
        <f>MASTER[[#This Row],[MONTO VENDIDO]]-MASTER[[#This Row],[COSTO DE VENTA]]</f>
        <v>1795</v>
      </c>
    </row>
    <row r="7038" spans="1:22" x14ac:dyDescent="0.3">
      <c r="A7038">
        <v>103025</v>
      </c>
      <c r="B7038">
        <v>1</v>
      </c>
      <c r="C7038" t="s">
        <v>5</v>
      </c>
      <c r="D7038" t="s">
        <v>6</v>
      </c>
      <c r="E7038" s="1">
        <v>44063</v>
      </c>
      <c r="F7038">
        <v>1</v>
      </c>
      <c r="G7038" t="s">
        <v>7</v>
      </c>
      <c r="H7038" t="s">
        <v>8</v>
      </c>
      <c r="I7038" s="4">
        <v>1959</v>
      </c>
      <c r="J7038" s="3">
        <v>1959</v>
      </c>
      <c r="K7038" s="4">
        <v>393</v>
      </c>
      <c r="L7038" t="s">
        <v>9</v>
      </c>
      <c r="M7038">
        <v>19</v>
      </c>
      <c r="N7038" t="s">
        <v>150</v>
      </c>
      <c r="O7038" t="s">
        <v>81</v>
      </c>
      <c r="P7038" t="s">
        <v>136</v>
      </c>
      <c r="Q7038" t="s">
        <v>140</v>
      </c>
      <c r="R7038" t="s">
        <v>141</v>
      </c>
      <c r="S7038" t="s">
        <v>145</v>
      </c>
      <c r="T7038" s="2">
        <f>MASTER[[#This Row],[CANTIDAD]]*MASTER[[#This Row],[PRECIO DE VENTA]]</f>
        <v>1959</v>
      </c>
      <c r="U7038" s="2">
        <f>MASTER[[#This Row],[CANTIDAD]]*MASTER[[#This Row],[COSTO UNITARIO]]</f>
        <v>393</v>
      </c>
      <c r="V7038" s="2">
        <f>MASTER[[#This Row],[MONTO VENDIDO]]-MASTER[[#This Row],[COSTO DE VENTA]]</f>
        <v>1566</v>
      </c>
    </row>
    <row r="7039" spans="1:22" x14ac:dyDescent="0.3">
      <c r="A7039">
        <v>103031</v>
      </c>
      <c r="B7039">
        <v>1</v>
      </c>
      <c r="C7039" t="s">
        <v>94</v>
      </c>
      <c r="D7039" t="s">
        <v>95</v>
      </c>
      <c r="E7039" s="1">
        <v>44063</v>
      </c>
      <c r="F7039">
        <v>4</v>
      </c>
      <c r="G7039" t="s">
        <v>29</v>
      </c>
      <c r="H7039" t="s">
        <v>30</v>
      </c>
      <c r="I7039" s="4">
        <v>1498</v>
      </c>
      <c r="J7039" s="3">
        <v>1498</v>
      </c>
      <c r="K7039" s="4">
        <v>392</v>
      </c>
      <c r="L7039" t="s">
        <v>9</v>
      </c>
      <c r="M7039">
        <v>19</v>
      </c>
      <c r="N7039" t="s">
        <v>150</v>
      </c>
      <c r="O7039" t="s">
        <v>81</v>
      </c>
      <c r="P7039" t="s">
        <v>136</v>
      </c>
      <c r="Q7039" t="s">
        <v>140</v>
      </c>
      <c r="R7039" t="s">
        <v>141</v>
      </c>
      <c r="S7039" t="s">
        <v>145</v>
      </c>
      <c r="T7039" s="2">
        <f>MASTER[[#This Row],[CANTIDAD]]*MASTER[[#This Row],[PRECIO DE VENTA]]</f>
        <v>5992</v>
      </c>
      <c r="U7039" s="2">
        <f>MASTER[[#This Row],[CANTIDAD]]*MASTER[[#This Row],[COSTO UNITARIO]]</f>
        <v>1568</v>
      </c>
      <c r="V7039" s="2">
        <f>MASTER[[#This Row],[MONTO VENDIDO]]-MASTER[[#This Row],[COSTO DE VENTA]]</f>
        <v>4424</v>
      </c>
    </row>
    <row r="7040" spans="1:22" x14ac:dyDescent="0.3">
      <c r="A7040">
        <v>103040</v>
      </c>
      <c r="B7040">
        <v>1</v>
      </c>
      <c r="C7040" t="s">
        <v>107</v>
      </c>
      <c r="D7040" t="s">
        <v>108</v>
      </c>
      <c r="E7040" s="1">
        <v>44064</v>
      </c>
      <c r="F7040">
        <v>1</v>
      </c>
      <c r="G7040" t="s">
        <v>67</v>
      </c>
      <c r="H7040" t="s">
        <v>68</v>
      </c>
      <c r="I7040" s="4">
        <v>1612</v>
      </c>
      <c r="J7040" s="3">
        <v>1612</v>
      </c>
      <c r="K7040" s="4">
        <v>380</v>
      </c>
      <c r="L7040" t="s">
        <v>98</v>
      </c>
      <c r="M7040">
        <v>19</v>
      </c>
      <c r="N7040" t="s">
        <v>150</v>
      </c>
      <c r="O7040" t="s">
        <v>81</v>
      </c>
      <c r="P7040" t="s">
        <v>136</v>
      </c>
      <c r="Q7040" t="s">
        <v>140</v>
      </c>
      <c r="R7040" t="s">
        <v>141</v>
      </c>
      <c r="S7040" t="s">
        <v>145</v>
      </c>
      <c r="T7040" s="2">
        <f>MASTER[[#This Row],[CANTIDAD]]*MASTER[[#This Row],[PRECIO DE VENTA]]</f>
        <v>1612</v>
      </c>
      <c r="U7040" s="2">
        <f>MASTER[[#This Row],[CANTIDAD]]*MASTER[[#This Row],[COSTO UNITARIO]]</f>
        <v>380</v>
      </c>
      <c r="V7040" s="2">
        <f>MASTER[[#This Row],[MONTO VENDIDO]]-MASTER[[#This Row],[COSTO DE VENTA]]</f>
        <v>1232</v>
      </c>
    </row>
    <row r="7041" spans="1:22" x14ac:dyDescent="0.3">
      <c r="A7041">
        <v>103050</v>
      </c>
      <c r="B7041">
        <v>1</v>
      </c>
      <c r="C7041" t="s">
        <v>94</v>
      </c>
      <c r="D7041" t="s">
        <v>95</v>
      </c>
      <c r="E7041" s="1">
        <v>44065</v>
      </c>
      <c r="F7041">
        <v>1</v>
      </c>
      <c r="G7041" t="s">
        <v>29</v>
      </c>
      <c r="H7041" t="s">
        <v>30</v>
      </c>
      <c r="I7041" s="4">
        <v>1362</v>
      </c>
      <c r="J7041" s="3">
        <v>1362</v>
      </c>
      <c r="K7041" s="4">
        <v>392</v>
      </c>
      <c r="L7041" t="s">
        <v>9</v>
      </c>
      <c r="M7041">
        <v>17</v>
      </c>
      <c r="N7041" t="str">
        <f>IF(MASTER[[#This Row],[IDLOCAL]]=17,"HYDE PARK", "HARLEM IRVING")</f>
        <v>HYDE PARK</v>
      </c>
      <c r="O7041" t="str">
        <f>IF(MASTER[[#This Row],[IDLOCAL]]=17,"PREMIUM", "ESTÁNDAR")</f>
        <v>PREMIUM</v>
      </c>
      <c r="P7041" t="s">
        <v>137</v>
      </c>
      <c r="Q7041" t="s">
        <v>142</v>
      </c>
      <c r="R7041" t="s">
        <v>143</v>
      </c>
      <c r="S7041" t="s">
        <v>145</v>
      </c>
      <c r="T7041" s="2">
        <f>MASTER[[#This Row],[CANTIDAD]]*MASTER[[#This Row],[PRECIO DE VENTA]]</f>
        <v>1362</v>
      </c>
      <c r="U7041" s="2">
        <f>MASTER[[#This Row],[CANTIDAD]]*MASTER[[#This Row],[COSTO UNITARIO]]</f>
        <v>392</v>
      </c>
      <c r="V7041" s="2">
        <f>MASTER[[#This Row],[MONTO VENDIDO]]-MASTER[[#This Row],[COSTO DE VENTA]]</f>
        <v>970</v>
      </c>
    </row>
    <row r="7042" spans="1:22" x14ac:dyDescent="0.3">
      <c r="A7042">
        <v>103071</v>
      </c>
      <c r="B7042">
        <v>1</v>
      </c>
      <c r="C7042" t="s">
        <v>121</v>
      </c>
      <c r="D7042" t="s">
        <v>122</v>
      </c>
      <c r="E7042" s="1">
        <v>44065</v>
      </c>
      <c r="F7042">
        <v>1</v>
      </c>
      <c r="G7042" t="s">
        <v>59</v>
      </c>
      <c r="H7042" t="s">
        <v>60</v>
      </c>
      <c r="I7042" s="4">
        <v>1223</v>
      </c>
      <c r="J7042" s="3">
        <v>1223</v>
      </c>
      <c r="K7042" s="4">
        <v>460</v>
      </c>
      <c r="L7042" t="s">
        <v>120</v>
      </c>
      <c r="M7042">
        <v>19</v>
      </c>
      <c r="N7042" t="s">
        <v>150</v>
      </c>
      <c r="O7042" t="s">
        <v>81</v>
      </c>
      <c r="P7042" t="s">
        <v>136</v>
      </c>
      <c r="Q7042" t="s">
        <v>140</v>
      </c>
      <c r="R7042" t="s">
        <v>141</v>
      </c>
      <c r="S7042" t="s">
        <v>145</v>
      </c>
      <c r="T7042" s="2">
        <f>MASTER[[#This Row],[CANTIDAD]]*MASTER[[#This Row],[PRECIO DE VENTA]]</f>
        <v>1223</v>
      </c>
      <c r="U7042" s="2">
        <f>MASTER[[#This Row],[CANTIDAD]]*MASTER[[#This Row],[COSTO UNITARIO]]</f>
        <v>460</v>
      </c>
      <c r="V7042" s="2">
        <f>MASTER[[#This Row],[MONTO VENDIDO]]-MASTER[[#This Row],[COSTO DE VENTA]]</f>
        <v>763</v>
      </c>
    </row>
    <row r="7043" spans="1:22" x14ac:dyDescent="0.3">
      <c r="A7043">
        <v>103094</v>
      </c>
      <c r="B7043">
        <v>1</v>
      </c>
      <c r="C7043" t="s">
        <v>92</v>
      </c>
      <c r="D7043" t="s">
        <v>93</v>
      </c>
      <c r="E7043" s="1">
        <v>44066</v>
      </c>
      <c r="F7043">
        <v>1</v>
      </c>
      <c r="G7043" t="s">
        <v>61</v>
      </c>
      <c r="H7043" t="s">
        <v>62</v>
      </c>
      <c r="I7043" s="4">
        <v>2185</v>
      </c>
      <c r="J7043" s="3">
        <v>2185</v>
      </c>
      <c r="K7043" s="4">
        <v>396</v>
      </c>
      <c r="L7043" t="s">
        <v>9</v>
      </c>
      <c r="M7043">
        <v>17</v>
      </c>
      <c r="N7043" t="str">
        <f>IF(MASTER[[#This Row],[IDLOCAL]]=17,"HYDE PARK", "HARLEM IRVING")</f>
        <v>HYDE PARK</v>
      </c>
      <c r="O7043" t="str">
        <f>IF(MASTER[[#This Row],[IDLOCAL]]=17,"PREMIUM", "ESTÁNDAR")</f>
        <v>PREMIUM</v>
      </c>
      <c r="P7043" t="s">
        <v>137</v>
      </c>
      <c r="Q7043" t="s">
        <v>142</v>
      </c>
      <c r="R7043" t="s">
        <v>143</v>
      </c>
      <c r="S7043" t="s">
        <v>145</v>
      </c>
      <c r="T7043" s="2">
        <f>MASTER[[#This Row],[CANTIDAD]]*MASTER[[#This Row],[PRECIO DE VENTA]]</f>
        <v>2185</v>
      </c>
      <c r="U7043" s="2">
        <f>MASTER[[#This Row],[CANTIDAD]]*MASTER[[#This Row],[COSTO UNITARIO]]</f>
        <v>396</v>
      </c>
      <c r="V7043" s="2">
        <f>MASTER[[#This Row],[MONTO VENDIDO]]-MASTER[[#This Row],[COSTO DE VENTA]]</f>
        <v>1789</v>
      </c>
    </row>
    <row r="7044" spans="1:22" x14ac:dyDescent="0.3">
      <c r="A7044">
        <v>103105</v>
      </c>
      <c r="B7044">
        <v>1</v>
      </c>
      <c r="C7044" t="s">
        <v>96</v>
      </c>
      <c r="D7044" t="s">
        <v>97</v>
      </c>
      <c r="E7044" s="1">
        <v>44067</v>
      </c>
      <c r="F7044">
        <v>1</v>
      </c>
      <c r="G7044" t="s">
        <v>67</v>
      </c>
      <c r="H7044" t="s">
        <v>68</v>
      </c>
      <c r="I7044" s="4">
        <v>1653</v>
      </c>
      <c r="J7044" s="3">
        <v>1653</v>
      </c>
      <c r="K7044" s="4">
        <v>397</v>
      </c>
      <c r="L7044" t="s">
        <v>98</v>
      </c>
      <c r="M7044">
        <v>19</v>
      </c>
      <c r="N7044" t="s">
        <v>150</v>
      </c>
      <c r="O7044" t="s">
        <v>81</v>
      </c>
      <c r="P7044" t="s">
        <v>136</v>
      </c>
      <c r="Q7044" t="s">
        <v>140</v>
      </c>
      <c r="R7044" t="s">
        <v>141</v>
      </c>
      <c r="S7044" t="s">
        <v>145</v>
      </c>
      <c r="T7044" s="2">
        <f>MASTER[[#This Row],[CANTIDAD]]*MASTER[[#This Row],[PRECIO DE VENTA]]</f>
        <v>1653</v>
      </c>
      <c r="U7044" s="2">
        <f>MASTER[[#This Row],[CANTIDAD]]*MASTER[[#This Row],[COSTO UNITARIO]]</f>
        <v>397</v>
      </c>
      <c r="V7044" s="2">
        <f>MASTER[[#This Row],[MONTO VENDIDO]]-MASTER[[#This Row],[COSTO DE VENTA]]</f>
        <v>1256</v>
      </c>
    </row>
    <row r="7045" spans="1:22" x14ac:dyDescent="0.3">
      <c r="A7045">
        <v>103132</v>
      </c>
      <c r="B7045">
        <v>1</v>
      </c>
      <c r="C7045" t="s">
        <v>105</v>
      </c>
      <c r="D7045" t="s">
        <v>106</v>
      </c>
      <c r="E7045" s="1">
        <v>44067</v>
      </c>
      <c r="F7045">
        <v>1</v>
      </c>
      <c r="G7045" t="s">
        <v>65</v>
      </c>
      <c r="H7045" t="s">
        <v>66</v>
      </c>
      <c r="I7045" s="4">
        <v>2424</v>
      </c>
      <c r="J7045" s="3">
        <v>2424</v>
      </c>
      <c r="K7045" s="4">
        <v>459</v>
      </c>
      <c r="L7045" t="s">
        <v>98</v>
      </c>
      <c r="M7045">
        <v>19</v>
      </c>
      <c r="N7045" t="s">
        <v>150</v>
      </c>
      <c r="O7045" t="s">
        <v>81</v>
      </c>
      <c r="P7045" t="s">
        <v>136</v>
      </c>
      <c r="Q7045" t="s">
        <v>140</v>
      </c>
      <c r="R7045" t="s">
        <v>141</v>
      </c>
      <c r="S7045" t="s">
        <v>145</v>
      </c>
      <c r="T7045" s="2">
        <f>MASTER[[#This Row],[CANTIDAD]]*MASTER[[#This Row],[PRECIO DE VENTA]]</f>
        <v>2424</v>
      </c>
      <c r="U7045" s="2">
        <f>MASTER[[#This Row],[CANTIDAD]]*MASTER[[#This Row],[COSTO UNITARIO]]</f>
        <v>459</v>
      </c>
      <c r="V7045" s="2">
        <f>MASTER[[#This Row],[MONTO VENDIDO]]-MASTER[[#This Row],[COSTO DE VENTA]]</f>
        <v>1965</v>
      </c>
    </row>
    <row r="7046" spans="1:22" x14ac:dyDescent="0.3">
      <c r="A7046">
        <v>103141</v>
      </c>
      <c r="B7046">
        <v>1</v>
      </c>
      <c r="C7046" t="s">
        <v>109</v>
      </c>
      <c r="D7046" t="s">
        <v>110</v>
      </c>
      <c r="E7046" s="1">
        <v>44068</v>
      </c>
      <c r="F7046">
        <v>1</v>
      </c>
      <c r="G7046" t="s">
        <v>20</v>
      </c>
      <c r="H7046" t="s">
        <v>21</v>
      </c>
      <c r="I7046" s="4">
        <v>1231</v>
      </c>
      <c r="J7046" s="3">
        <v>1231</v>
      </c>
      <c r="K7046" s="4">
        <v>387</v>
      </c>
      <c r="L7046" t="s">
        <v>98</v>
      </c>
      <c r="M7046">
        <v>17</v>
      </c>
      <c r="N7046" t="str">
        <f>IF(MASTER[[#This Row],[IDLOCAL]]=17,"HYDE PARK", "HARLEM IRVING")</f>
        <v>HYDE PARK</v>
      </c>
      <c r="O7046" t="str">
        <f>IF(MASTER[[#This Row],[IDLOCAL]]=17,"PREMIUM", "ESTÁNDAR")</f>
        <v>PREMIUM</v>
      </c>
      <c r="P7046" t="s">
        <v>137</v>
      </c>
      <c r="Q7046" t="s">
        <v>142</v>
      </c>
      <c r="R7046" t="s">
        <v>143</v>
      </c>
      <c r="S7046" t="s">
        <v>145</v>
      </c>
      <c r="T7046" s="2">
        <f>MASTER[[#This Row],[CANTIDAD]]*MASTER[[#This Row],[PRECIO DE VENTA]]</f>
        <v>1231</v>
      </c>
      <c r="U7046" s="2">
        <f>MASTER[[#This Row],[CANTIDAD]]*MASTER[[#This Row],[COSTO UNITARIO]]</f>
        <v>387</v>
      </c>
      <c r="V7046" s="2">
        <f>MASTER[[#This Row],[MONTO VENDIDO]]-MASTER[[#This Row],[COSTO DE VENTA]]</f>
        <v>844</v>
      </c>
    </row>
    <row r="7047" spans="1:22" x14ac:dyDescent="0.3">
      <c r="A7047">
        <v>103149</v>
      </c>
      <c r="B7047">
        <v>1</v>
      </c>
      <c r="C7047" t="s">
        <v>118</v>
      </c>
      <c r="D7047" t="s">
        <v>119</v>
      </c>
      <c r="E7047" s="1">
        <v>44069</v>
      </c>
      <c r="F7047">
        <v>1</v>
      </c>
      <c r="G7047" t="s">
        <v>59</v>
      </c>
      <c r="H7047" t="s">
        <v>60</v>
      </c>
      <c r="I7047" s="4">
        <v>1333</v>
      </c>
      <c r="J7047" s="3">
        <v>1333</v>
      </c>
      <c r="K7047" s="4">
        <v>424</v>
      </c>
      <c r="L7047" t="s">
        <v>120</v>
      </c>
      <c r="M7047">
        <v>19</v>
      </c>
      <c r="N7047" t="s">
        <v>150</v>
      </c>
      <c r="O7047" t="s">
        <v>81</v>
      </c>
      <c r="P7047" t="s">
        <v>136</v>
      </c>
      <c r="Q7047" t="s">
        <v>140</v>
      </c>
      <c r="R7047" t="s">
        <v>141</v>
      </c>
      <c r="S7047" t="s">
        <v>145</v>
      </c>
      <c r="T7047" s="2">
        <f>MASTER[[#This Row],[CANTIDAD]]*MASTER[[#This Row],[PRECIO DE VENTA]]</f>
        <v>1333</v>
      </c>
      <c r="U7047" s="2">
        <f>MASTER[[#This Row],[CANTIDAD]]*MASTER[[#This Row],[COSTO UNITARIO]]</f>
        <v>424</v>
      </c>
      <c r="V7047" s="2">
        <f>MASTER[[#This Row],[MONTO VENDIDO]]-MASTER[[#This Row],[COSTO DE VENTA]]</f>
        <v>909</v>
      </c>
    </row>
    <row r="7048" spans="1:22" x14ac:dyDescent="0.3">
      <c r="A7048">
        <v>103155</v>
      </c>
      <c r="B7048">
        <v>1</v>
      </c>
      <c r="C7048" t="s">
        <v>103</v>
      </c>
      <c r="D7048" t="s">
        <v>104</v>
      </c>
      <c r="E7048" s="1">
        <v>44070</v>
      </c>
      <c r="F7048">
        <v>1</v>
      </c>
      <c r="G7048" t="s">
        <v>45</v>
      </c>
      <c r="H7048" t="s">
        <v>46</v>
      </c>
      <c r="I7048" s="4">
        <v>2379</v>
      </c>
      <c r="J7048" s="3">
        <v>2187</v>
      </c>
      <c r="K7048" s="4">
        <v>421</v>
      </c>
      <c r="L7048" t="s">
        <v>98</v>
      </c>
      <c r="M7048">
        <v>17</v>
      </c>
      <c r="N7048" t="str">
        <f>IF(MASTER[[#This Row],[IDLOCAL]]=17,"HYDE PARK", "HARLEM IRVING")</f>
        <v>HYDE PARK</v>
      </c>
      <c r="O7048" t="str">
        <f>IF(MASTER[[#This Row],[IDLOCAL]]=17,"PREMIUM", "ESTÁNDAR")</f>
        <v>PREMIUM</v>
      </c>
      <c r="P7048" t="s">
        <v>137</v>
      </c>
      <c r="Q7048" t="s">
        <v>142</v>
      </c>
      <c r="R7048" t="s">
        <v>143</v>
      </c>
      <c r="S7048" t="s">
        <v>145</v>
      </c>
      <c r="T7048" s="2">
        <f>MASTER[[#This Row],[CANTIDAD]]*MASTER[[#This Row],[PRECIO DE VENTA]]</f>
        <v>2187</v>
      </c>
      <c r="U7048" s="2">
        <f>MASTER[[#This Row],[CANTIDAD]]*MASTER[[#This Row],[COSTO UNITARIO]]</f>
        <v>421</v>
      </c>
      <c r="V7048" s="2">
        <f>MASTER[[#This Row],[MONTO VENDIDO]]-MASTER[[#This Row],[COSTO DE VENTA]]</f>
        <v>1766</v>
      </c>
    </row>
    <row r="7049" spans="1:22" x14ac:dyDescent="0.3">
      <c r="A7049">
        <v>103159</v>
      </c>
      <c r="B7049">
        <v>1</v>
      </c>
      <c r="C7049" t="s">
        <v>96</v>
      </c>
      <c r="D7049" t="s">
        <v>97</v>
      </c>
      <c r="E7049" s="1">
        <v>44071</v>
      </c>
      <c r="F7049">
        <v>1</v>
      </c>
      <c r="G7049" t="s">
        <v>22</v>
      </c>
      <c r="H7049" t="s">
        <v>23</v>
      </c>
      <c r="I7049" s="4">
        <v>1554</v>
      </c>
      <c r="J7049" s="3">
        <v>1554</v>
      </c>
      <c r="K7049" s="4">
        <v>397</v>
      </c>
      <c r="L7049" t="s">
        <v>98</v>
      </c>
      <c r="M7049">
        <v>17</v>
      </c>
      <c r="N7049" t="str">
        <f>IF(MASTER[[#This Row],[IDLOCAL]]=17,"HYDE PARK", "HARLEM IRVING")</f>
        <v>HYDE PARK</v>
      </c>
      <c r="O7049" t="str">
        <f>IF(MASTER[[#This Row],[IDLOCAL]]=17,"PREMIUM", "ESTÁNDAR")</f>
        <v>PREMIUM</v>
      </c>
      <c r="P7049" t="s">
        <v>137</v>
      </c>
      <c r="Q7049" t="s">
        <v>142</v>
      </c>
      <c r="R7049" t="s">
        <v>143</v>
      </c>
      <c r="S7049" t="s">
        <v>145</v>
      </c>
      <c r="T7049" s="2">
        <f>MASTER[[#This Row],[CANTIDAD]]*MASTER[[#This Row],[PRECIO DE VENTA]]</f>
        <v>1554</v>
      </c>
      <c r="U7049" s="2">
        <f>MASTER[[#This Row],[CANTIDAD]]*MASTER[[#This Row],[COSTO UNITARIO]]</f>
        <v>397</v>
      </c>
      <c r="V7049" s="2">
        <f>MASTER[[#This Row],[MONTO VENDIDO]]-MASTER[[#This Row],[COSTO DE VENTA]]</f>
        <v>1157</v>
      </c>
    </row>
    <row r="7050" spans="1:22" x14ac:dyDescent="0.3">
      <c r="A7050">
        <v>103165</v>
      </c>
      <c r="B7050">
        <v>1</v>
      </c>
      <c r="C7050" t="s">
        <v>103</v>
      </c>
      <c r="D7050" t="s">
        <v>104</v>
      </c>
      <c r="E7050" s="1">
        <v>44073</v>
      </c>
      <c r="F7050">
        <v>2</v>
      </c>
      <c r="G7050" t="s">
        <v>53</v>
      </c>
      <c r="H7050" t="s">
        <v>54</v>
      </c>
      <c r="I7050" s="4">
        <v>2068</v>
      </c>
      <c r="J7050" s="3">
        <v>2068</v>
      </c>
      <c r="K7050" s="4">
        <v>421</v>
      </c>
      <c r="L7050" t="s">
        <v>98</v>
      </c>
      <c r="M7050">
        <v>19</v>
      </c>
      <c r="N7050" t="s">
        <v>150</v>
      </c>
      <c r="O7050" t="s">
        <v>81</v>
      </c>
      <c r="P7050" t="s">
        <v>136</v>
      </c>
      <c r="Q7050" t="s">
        <v>140</v>
      </c>
      <c r="R7050" t="s">
        <v>141</v>
      </c>
      <c r="S7050" t="s">
        <v>145</v>
      </c>
      <c r="T7050" s="2">
        <f>MASTER[[#This Row],[CANTIDAD]]*MASTER[[#This Row],[PRECIO DE VENTA]]</f>
        <v>4136</v>
      </c>
      <c r="U7050" s="2">
        <f>MASTER[[#This Row],[CANTIDAD]]*MASTER[[#This Row],[COSTO UNITARIO]]</f>
        <v>842</v>
      </c>
      <c r="V7050" s="2">
        <f>MASTER[[#This Row],[MONTO VENDIDO]]-MASTER[[#This Row],[COSTO DE VENTA]]</f>
        <v>3294</v>
      </c>
    </row>
    <row r="7051" spans="1:22" x14ac:dyDescent="0.3">
      <c r="A7051">
        <v>103180</v>
      </c>
      <c r="B7051">
        <v>1</v>
      </c>
      <c r="C7051" t="s">
        <v>90</v>
      </c>
      <c r="D7051" t="s">
        <v>91</v>
      </c>
      <c r="E7051" s="1">
        <v>44074</v>
      </c>
      <c r="F7051">
        <v>1</v>
      </c>
      <c r="G7051" t="s">
        <v>55</v>
      </c>
      <c r="H7051" t="s">
        <v>56</v>
      </c>
      <c r="I7051" s="4">
        <v>2397</v>
      </c>
      <c r="J7051" s="3">
        <v>2276</v>
      </c>
      <c r="K7051" s="4">
        <v>420</v>
      </c>
      <c r="L7051" t="s">
        <v>9</v>
      </c>
      <c r="M7051">
        <v>19</v>
      </c>
      <c r="N7051" t="s">
        <v>150</v>
      </c>
      <c r="O7051" t="s">
        <v>81</v>
      </c>
      <c r="P7051" t="s">
        <v>136</v>
      </c>
      <c r="Q7051" t="s">
        <v>140</v>
      </c>
      <c r="R7051" t="s">
        <v>141</v>
      </c>
      <c r="S7051" t="s">
        <v>145</v>
      </c>
      <c r="T7051" s="2">
        <f>MASTER[[#This Row],[CANTIDAD]]*MASTER[[#This Row],[PRECIO DE VENTA]]</f>
        <v>2276</v>
      </c>
      <c r="U7051" s="2">
        <f>MASTER[[#This Row],[CANTIDAD]]*MASTER[[#This Row],[COSTO UNITARIO]]</f>
        <v>420</v>
      </c>
      <c r="V7051" s="2">
        <f>MASTER[[#This Row],[MONTO VENDIDO]]-MASTER[[#This Row],[COSTO DE VENTA]]</f>
        <v>1856</v>
      </c>
    </row>
    <row r="7052" spans="1:22" x14ac:dyDescent="0.3">
      <c r="A7052">
        <v>103201</v>
      </c>
      <c r="B7052">
        <v>1</v>
      </c>
      <c r="C7052" t="s">
        <v>116</v>
      </c>
      <c r="D7052" t="s">
        <v>117</v>
      </c>
      <c r="E7052" s="1">
        <v>44075</v>
      </c>
      <c r="F7052">
        <v>1</v>
      </c>
      <c r="G7052" t="s">
        <v>53</v>
      </c>
      <c r="H7052" t="s">
        <v>54</v>
      </c>
      <c r="I7052" s="4">
        <v>2259</v>
      </c>
      <c r="J7052" s="3">
        <v>2122</v>
      </c>
      <c r="K7052" s="4">
        <v>388</v>
      </c>
      <c r="L7052" t="s">
        <v>113</v>
      </c>
      <c r="M7052">
        <v>17</v>
      </c>
      <c r="N7052" t="str">
        <f>IF(MASTER[[#This Row],[IDLOCAL]]=17,"HYDE PARK", "HARLEM IRVING")</f>
        <v>HYDE PARK</v>
      </c>
      <c r="O7052" t="str">
        <f>IF(MASTER[[#This Row],[IDLOCAL]]=17,"PREMIUM", "ESTÁNDAR")</f>
        <v>PREMIUM</v>
      </c>
      <c r="P7052" t="s">
        <v>137</v>
      </c>
      <c r="Q7052" t="s">
        <v>142</v>
      </c>
      <c r="R7052" t="s">
        <v>143</v>
      </c>
      <c r="S7052" t="s">
        <v>145</v>
      </c>
      <c r="T7052" s="2">
        <f>MASTER[[#This Row],[CANTIDAD]]*MASTER[[#This Row],[PRECIO DE VENTA]]</f>
        <v>2122</v>
      </c>
      <c r="U7052" s="2">
        <f>MASTER[[#This Row],[CANTIDAD]]*MASTER[[#This Row],[COSTO UNITARIO]]</f>
        <v>388</v>
      </c>
      <c r="V7052" s="2">
        <f>MASTER[[#This Row],[MONTO VENDIDO]]-MASTER[[#This Row],[COSTO DE VENTA]]</f>
        <v>1734</v>
      </c>
    </row>
    <row r="7053" spans="1:22" x14ac:dyDescent="0.3">
      <c r="A7053">
        <v>103202</v>
      </c>
      <c r="B7053">
        <v>1</v>
      </c>
      <c r="C7053" t="s">
        <v>118</v>
      </c>
      <c r="D7053" t="s">
        <v>119</v>
      </c>
      <c r="E7053" s="1">
        <v>44075</v>
      </c>
      <c r="F7053">
        <v>1</v>
      </c>
      <c r="G7053" t="s">
        <v>59</v>
      </c>
      <c r="H7053" t="s">
        <v>60</v>
      </c>
      <c r="I7053" s="4">
        <v>1170</v>
      </c>
      <c r="J7053" s="3">
        <v>1170</v>
      </c>
      <c r="K7053" s="4">
        <v>424</v>
      </c>
      <c r="L7053" t="s">
        <v>120</v>
      </c>
      <c r="M7053">
        <v>18</v>
      </c>
      <c r="N7053" t="str">
        <f>IF(MASTER[[#This Row],[IDLOCAL]]=17,"HYDE PARK", "HARLEM IRVING")</f>
        <v>HARLEM IRVING</v>
      </c>
      <c r="O7053" t="str">
        <f>IF(MASTER[[#This Row],[IDLOCAL]]=17,"PREMIUM", "ESTÁNDAR")</f>
        <v>ESTÁNDAR</v>
      </c>
      <c r="P7053" t="s">
        <v>137</v>
      </c>
      <c r="Q7053" t="s">
        <v>142</v>
      </c>
      <c r="R7053" t="s">
        <v>143</v>
      </c>
      <c r="S7053" t="s">
        <v>145</v>
      </c>
      <c r="T7053" s="2">
        <f>MASTER[[#This Row],[CANTIDAD]]*MASTER[[#This Row],[PRECIO DE VENTA]]</f>
        <v>1170</v>
      </c>
      <c r="U7053" s="2">
        <f>MASTER[[#This Row],[CANTIDAD]]*MASTER[[#This Row],[COSTO UNITARIO]]</f>
        <v>424</v>
      </c>
      <c r="V7053" s="2">
        <f>MASTER[[#This Row],[MONTO VENDIDO]]-MASTER[[#This Row],[COSTO DE VENTA]]</f>
        <v>746</v>
      </c>
    </row>
    <row r="7054" spans="1:22" x14ac:dyDescent="0.3">
      <c r="A7054">
        <v>103210</v>
      </c>
      <c r="B7054">
        <v>1</v>
      </c>
      <c r="C7054" t="s">
        <v>5</v>
      </c>
      <c r="D7054" t="s">
        <v>6</v>
      </c>
      <c r="E7054" s="1">
        <v>44076</v>
      </c>
      <c r="F7054">
        <v>1</v>
      </c>
      <c r="G7054" t="s">
        <v>37</v>
      </c>
      <c r="H7054" t="s">
        <v>38</v>
      </c>
      <c r="I7054" s="4">
        <v>1704</v>
      </c>
      <c r="J7054" s="3">
        <v>1704</v>
      </c>
      <c r="K7054" s="4">
        <v>393</v>
      </c>
      <c r="L7054" t="s">
        <v>9</v>
      </c>
      <c r="M7054">
        <v>18</v>
      </c>
      <c r="N7054" t="str">
        <f>IF(MASTER[[#This Row],[IDLOCAL]]=17,"HYDE PARK", "HARLEM IRVING")</f>
        <v>HARLEM IRVING</v>
      </c>
      <c r="O7054" t="str">
        <f>IF(MASTER[[#This Row],[IDLOCAL]]=17,"PREMIUM", "ESTÁNDAR")</f>
        <v>ESTÁNDAR</v>
      </c>
      <c r="P7054" t="s">
        <v>137</v>
      </c>
      <c r="Q7054" t="s">
        <v>142</v>
      </c>
      <c r="R7054" t="s">
        <v>143</v>
      </c>
      <c r="S7054" t="s">
        <v>145</v>
      </c>
      <c r="T7054" s="2">
        <f>MASTER[[#This Row],[CANTIDAD]]*MASTER[[#This Row],[PRECIO DE VENTA]]</f>
        <v>1704</v>
      </c>
      <c r="U7054" s="2">
        <f>MASTER[[#This Row],[CANTIDAD]]*MASTER[[#This Row],[COSTO UNITARIO]]</f>
        <v>393</v>
      </c>
      <c r="V7054" s="2">
        <f>MASTER[[#This Row],[MONTO VENDIDO]]-MASTER[[#This Row],[COSTO DE VENTA]]</f>
        <v>1311</v>
      </c>
    </row>
    <row r="7055" spans="1:22" x14ac:dyDescent="0.3">
      <c r="A7055">
        <v>103227</v>
      </c>
      <c r="B7055">
        <v>1</v>
      </c>
      <c r="C7055" t="s">
        <v>94</v>
      </c>
      <c r="D7055" t="s">
        <v>95</v>
      </c>
      <c r="E7055" s="1">
        <v>44079</v>
      </c>
      <c r="F7055">
        <v>1</v>
      </c>
      <c r="G7055" t="s">
        <v>20</v>
      </c>
      <c r="H7055" t="s">
        <v>21</v>
      </c>
      <c r="I7055" s="4">
        <v>1498</v>
      </c>
      <c r="J7055" s="3">
        <v>1498</v>
      </c>
      <c r="K7055" s="4">
        <v>392</v>
      </c>
      <c r="L7055" t="s">
        <v>9</v>
      </c>
      <c r="M7055">
        <v>19</v>
      </c>
      <c r="N7055" t="s">
        <v>150</v>
      </c>
      <c r="O7055" t="s">
        <v>81</v>
      </c>
      <c r="P7055" t="s">
        <v>136</v>
      </c>
      <c r="Q7055" t="s">
        <v>140</v>
      </c>
      <c r="R7055" t="s">
        <v>141</v>
      </c>
      <c r="S7055" t="s">
        <v>145</v>
      </c>
      <c r="T7055" s="2">
        <f>MASTER[[#This Row],[CANTIDAD]]*MASTER[[#This Row],[PRECIO DE VENTA]]</f>
        <v>1498</v>
      </c>
      <c r="U7055" s="2">
        <f>MASTER[[#This Row],[CANTIDAD]]*MASTER[[#This Row],[COSTO UNITARIO]]</f>
        <v>392</v>
      </c>
      <c r="V7055" s="2">
        <f>MASTER[[#This Row],[MONTO VENDIDO]]-MASTER[[#This Row],[COSTO DE VENTA]]</f>
        <v>1106</v>
      </c>
    </row>
    <row r="7056" spans="1:22" x14ac:dyDescent="0.3">
      <c r="A7056">
        <v>103236</v>
      </c>
      <c r="B7056">
        <v>1</v>
      </c>
      <c r="C7056" t="s">
        <v>105</v>
      </c>
      <c r="D7056" t="s">
        <v>106</v>
      </c>
      <c r="E7056" s="1">
        <v>44079</v>
      </c>
      <c r="F7056">
        <v>1</v>
      </c>
      <c r="G7056" t="s">
        <v>51</v>
      </c>
      <c r="H7056" t="s">
        <v>52</v>
      </c>
      <c r="I7056" s="4">
        <v>2642</v>
      </c>
      <c r="J7056" s="3">
        <v>2642</v>
      </c>
      <c r="K7056" s="4">
        <v>459</v>
      </c>
      <c r="L7056" t="s">
        <v>98</v>
      </c>
      <c r="M7056">
        <v>19</v>
      </c>
      <c r="N7056" t="s">
        <v>150</v>
      </c>
      <c r="O7056" t="s">
        <v>81</v>
      </c>
      <c r="P7056" t="s">
        <v>136</v>
      </c>
      <c r="Q7056" t="s">
        <v>140</v>
      </c>
      <c r="R7056" t="s">
        <v>141</v>
      </c>
      <c r="S7056" t="s">
        <v>145</v>
      </c>
      <c r="T7056" s="2">
        <f>MASTER[[#This Row],[CANTIDAD]]*MASTER[[#This Row],[PRECIO DE VENTA]]</f>
        <v>2642</v>
      </c>
      <c r="U7056" s="2">
        <f>MASTER[[#This Row],[CANTIDAD]]*MASTER[[#This Row],[COSTO UNITARIO]]</f>
        <v>459</v>
      </c>
      <c r="V7056" s="2">
        <f>MASTER[[#This Row],[MONTO VENDIDO]]-MASTER[[#This Row],[COSTO DE VENTA]]</f>
        <v>2183</v>
      </c>
    </row>
    <row r="7057" spans="1:22" x14ac:dyDescent="0.3">
      <c r="A7057">
        <v>103246</v>
      </c>
      <c r="B7057">
        <v>1</v>
      </c>
      <c r="C7057" t="s">
        <v>114</v>
      </c>
      <c r="D7057" t="s">
        <v>115</v>
      </c>
      <c r="E7057" s="1">
        <v>44080</v>
      </c>
      <c r="F7057">
        <v>1</v>
      </c>
      <c r="G7057" t="s">
        <v>59</v>
      </c>
      <c r="H7057" t="s">
        <v>60</v>
      </c>
      <c r="I7057" s="4">
        <v>2639</v>
      </c>
      <c r="J7057" s="3">
        <v>2639</v>
      </c>
      <c r="K7057" s="4">
        <v>394</v>
      </c>
      <c r="L7057" t="s">
        <v>113</v>
      </c>
      <c r="M7057">
        <v>19</v>
      </c>
      <c r="N7057" t="s">
        <v>150</v>
      </c>
      <c r="O7057" t="s">
        <v>81</v>
      </c>
      <c r="P7057" t="s">
        <v>136</v>
      </c>
      <c r="Q7057" t="s">
        <v>140</v>
      </c>
      <c r="R7057" t="s">
        <v>141</v>
      </c>
      <c r="S7057" t="s">
        <v>145</v>
      </c>
      <c r="T7057" s="2">
        <f>MASTER[[#This Row],[CANTIDAD]]*MASTER[[#This Row],[PRECIO DE VENTA]]</f>
        <v>2639</v>
      </c>
      <c r="U7057" s="2">
        <f>MASTER[[#This Row],[CANTIDAD]]*MASTER[[#This Row],[COSTO UNITARIO]]</f>
        <v>394</v>
      </c>
      <c r="V7057" s="2">
        <f>MASTER[[#This Row],[MONTO VENDIDO]]-MASTER[[#This Row],[COSTO DE VENTA]]</f>
        <v>2245</v>
      </c>
    </row>
    <row r="7058" spans="1:22" x14ac:dyDescent="0.3">
      <c r="A7058">
        <v>103261</v>
      </c>
      <c r="B7058">
        <v>1</v>
      </c>
      <c r="C7058" t="s">
        <v>99</v>
      </c>
      <c r="D7058" t="s">
        <v>100</v>
      </c>
      <c r="E7058" s="1">
        <v>44081</v>
      </c>
      <c r="F7058">
        <v>1</v>
      </c>
      <c r="G7058" t="s">
        <v>35</v>
      </c>
      <c r="H7058" t="s">
        <v>36</v>
      </c>
      <c r="I7058" s="4">
        <v>1896</v>
      </c>
      <c r="J7058" s="3">
        <v>1896</v>
      </c>
      <c r="K7058" s="4">
        <v>386</v>
      </c>
      <c r="L7058" t="s">
        <v>98</v>
      </c>
      <c r="M7058">
        <v>18</v>
      </c>
      <c r="N7058" t="str">
        <f>IF(MASTER[[#This Row],[IDLOCAL]]=17,"HYDE PARK", "HARLEM IRVING")</f>
        <v>HARLEM IRVING</v>
      </c>
      <c r="O7058" t="str">
        <f>IF(MASTER[[#This Row],[IDLOCAL]]=17,"PREMIUM", "ESTÁNDAR")</f>
        <v>ESTÁNDAR</v>
      </c>
      <c r="P7058" t="s">
        <v>137</v>
      </c>
      <c r="Q7058" t="s">
        <v>142</v>
      </c>
      <c r="R7058" t="s">
        <v>143</v>
      </c>
      <c r="S7058" t="s">
        <v>145</v>
      </c>
      <c r="T7058" s="2">
        <f>MASTER[[#This Row],[CANTIDAD]]*MASTER[[#This Row],[PRECIO DE VENTA]]</f>
        <v>1896</v>
      </c>
      <c r="U7058" s="2">
        <f>MASTER[[#This Row],[CANTIDAD]]*MASTER[[#This Row],[COSTO UNITARIO]]</f>
        <v>386</v>
      </c>
      <c r="V7058" s="2">
        <f>MASTER[[#This Row],[MONTO VENDIDO]]-MASTER[[#This Row],[COSTO DE VENTA]]</f>
        <v>1510</v>
      </c>
    </row>
    <row r="7059" spans="1:22" x14ac:dyDescent="0.3">
      <c r="A7059">
        <v>103264</v>
      </c>
      <c r="B7059">
        <v>1</v>
      </c>
      <c r="C7059" t="s">
        <v>103</v>
      </c>
      <c r="D7059" t="s">
        <v>104</v>
      </c>
      <c r="E7059" s="1">
        <v>44081</v>
      </c>
      <c r="F7059">
        <v>1</v>
      </c>
      <c r="G7059" t="s">
        <v>59</v>
      </c>
      <c r="H7059" t="s">
        <v>60</v>
      </c>
      <c r="I7059" s="4">
        <v>1882</v>
      </c>
      <c r="J7059" s="3">
        <v>1882</v>
      </c>
      <c r="K7059" s="4">
        <v>421</v>
      </c>
      <c r="L7059" t="s">
        <v>98</v>
      </c>
      <c r="M7059">
        <v>19</v>
      </c>
      <c r="N7059" t="s">
        <v>150</v>
      </c>
      <c r="O7059" t="s">
        <v>81</v>
      </c>
      <c r="P7059" t="s">
        <v>136</v>
      </c>
      <c r="Q7059" t="s">
        <v>140</v>
      </c>
      <c r="R7059" t="s">
        <v>141</v>
      </c>
      <c r="S7059" t="s">
        <v>145</v>
      </c>
      <c r="T7059" s="2">
        <f>MASTER[[#This Row],[CANTIDAD]]*MASTER[[#This Row],[PRECIO DE VENTA]]</f>
        <v>1882</v>
      </c>
      <c r="U7059" s="2">
        <f>MASTER[[#This Row],[CANTIDAD]]*MASTER[[#This Row],[COSTO UNITARIO]]</f>
        <v>421</v>
      </c>
      <c r="V7059" s="2">
        <f>MASTER[[#This Row],[MONTO VENDIDO]]-MASTER[[#This Row],[COSTO DE VENTA]]</f>
        <v>1461</v>
      </c>
    </row>
    <row r="7060" spans="1:22" x14ac:dyDescent="0.3">
      <c r="A7060">
        <v>103279</v>
      </c>
      <c r="B7060">
        <v>1</v>
      </c>
      <c r="C7060" t="s">
        <v>107</v>
      </c>
      <c r="D7060" t="s">
        <v>108</v>
      </c>
      <c r="E7060" s="1">
        <v>44082</v>
      </c>
      <c r="F7060">
        <v>1</v>
      </c>
      <c r="G7060" t="s">
        <v>65</v>
      </c>
      <c r="H7060" t="s">
        <v>66</v>
      </c>
      <c r="I7060" s="4">
        <v>1732</v>
      </c>
      <c r="J7060" s="3">
        <v>1732</v>
      </c>
      <c r="K7060" s="4">
        <v>380</v>
      </c>
      <c r="L7060" t="s">
        <v>98</v>
      </c>
      <c r="M7060">
        <v>17</v>
      </c>
      <c r="N7060" t="str">
        <f>IF(MASTER[[#This Row],[IDLOCAL]]=17,"HYDE PARK", "HARLEM IRVING")</f>
        <v>HYDE PARK</v>
      </c>
      <c r="O7060" t="str">
        <f>IF(MASTER[[#This Row],[IDLOCAL]]=17,"PREMIUM", "ESTÁNDAR")</f>
        <v>PREMIUM</v>
      </c>
      <c r="P7060" t="s">
        <v>137</v>
      </c>
      <c r="Q7060" t="s">
        <v>142</v>
      </c>
      <c r="R7060" t="s">
        <v>143</v>
      </c>
      <c r="S7060" t="s">
        <v>145</v>
      </c>
      <c r="T7060" s="2">
        <f>MASTER[[#This Row],[CANTIDAD]]*MASTER[[#This Row],[PRECIO DE VENTA]]</f>
        <v>1732</v>
      </c>
      <c r="U7060" s="2">
        <f>MASTER[[#This Row],[CANTIDAD]]*MASTER[[#This Row],[COSTO UNITARIO]]</f>
        <v>380</v>
      </c>
      <c r="V7060" s="2">
        <f>MASTER[[#This Row],[MONTO VENDIDO]]-MASTER[[#This Row],[COSTO DE VENTA]]</f>
        <v>1352</v>
      </c>
    </row>
    <row r="7061" spans="1:22" x14ac:dyDescent="0.3">
      <c r="A7061">
        <v>103286</v>
      </c>
      <c r="B7061">
        <v>1</v>
      </c>
      <c r="C7061" t="s">
        <v>109</v>
      </c>
      <c r="D7061" t="s">
        <v>110</v>
      </c>
      <c r="E7061" s="1">
        <v>44083</v>
      </c>
      <c r="F7061">
        <v>1</v>
      </c>
      <c r="G7061" t="s">
        <v>27</v>
      </c>
      <c r="H7061" t="s">
        <v>28</v>
      </c>
      <c r="I7061" s="4">
        <v>1383</v>
      </c>
      <c r="J7061" s="3">
        <v>1383</v>
      </c>
      <c r="K7061" s="4">
        <v>387</v>
      </c>
      <c r="L7061" t="s">
        <v>98</v>
      </c>
      <c r="M7061">
        <v>18</v>
      </c>
      <c r="N7061" t="str">
        <f>IF(MASTER[[#This Row],[IDLOCAL]]=17,"HYDE PARK", "HARLEM IRVING")</f>
        <v>HARLEM IRVING</v>
      </c>
      <c r="O7061" t="str">
        <f>IF(MASTER[[#This Row],[IDLOCAL]]=17,"PREMIUM", "ESTÁNDAR")</f>
        <v>ESTÁNDAR</v>
      </c>
      <c r="P7061" t="s">
        <v>137</v>
      </c>
      <c r="Q7061" t="s">
        <v>142</v>
      </c>
      <c r="R7061" t="s">
        <v>143</v>
      </c>
      <c r="S7061" t="s">
        <v>145</v>
      </c>
      <c r="T7061" s="2">
        <f>MASTER[[#This Row],[CANTIDAD]]*MASTER[[#This Row],[PRECIO DE VENTA]]</f>
        <v>1383</v>
      </c>
      <c r="U7061" s="2">
        <f>MASTER[[#This Row],[CANTIDAD]]*MASTER[[#This Row],[COSTO UNITARIO]]</f>
        <v>387</v>
      </c>
      <c r="V7061" s="2">
        <f>MASTER[[#This Row],[MONTO VENDIDO]]-MASTER[[#This Row],[COSTO DE VENTA]]</f>
        <v>996</v>
      </c>
    </row>
    <row r="7062" spans="1:22" x14ac:dyDescent="0.3">
      <c r="A7062">
        <v>103303</v>
      </c>
      <c r="B7062">
        <v>1</v>
      </c>
      <c r="C7062" t="s">
        <v>109</v>
      </c>
      <c r="D7062" t="s">
        <v>110</v>
      </c>
      <c r="E7062" s="1">
        <v>44085</v>
      </c>
      <c r="F7062">
        <v>1</v>
      </c>
      <c r="G7062" t="s">
        <v>22</v>
      </c>
      <c r="H7062" t="s">
        <v>23</v>
      </c>
      <c r="I7062" s="4">
        <v>1466</v>
      </c>
      <c r="J7062" s="3">
        <v>1466</v>
      </c>
      <c r="K7062" s="4">
        <v>387</v>
      </c>
      <c r="L7062" t="s">
        <v>98</v>
      </c>
      <c r="M7062">
        <v>19</v>
      </c>
      <c r="N7062" t="s">
        <v>150</v>
      </c>
      <c r="O7062" t="s">
        <v>81</v>
      </c>
      <c r="P7062" t="s">
        <v>136</v>
      </c>
      <c r="Q7062" t="s">
        <v>140</v>
      </c>
      <c r="R7062" t="s">
        <v>141</v>
      </c>
      <c r="S7062" t="s">
        <v>145</v>
      </c>
      <c r="T7062" s="2">
        <f>MASTER[[#This Row],[CANTIDAD]]*MASTER[[#This Row],[PRECIO DE VENTA]]</f>
        <v>1466</v>
      </c>
      <c r="U7062" s="2">
        <f>MASTER[[#This Row],[CANTIDAD]]*MASTER[[#This Row],[COSTO UNITARIO]]</f>
        <v>387</v>
      </c>
      <c r="V7062" s="2">
        <f>MASTER[[#This Row],[MONTO VENDIDO]]-MASTER[[#This Row],[COSTO DE VENTA]]</f>
        <v>1079</v>
      </c>
    </row>
    <row r="7063" spans="1:22" x14ac:dyDescent="0.3">
      <c r="A7063">
        <v>103305</v>
      </c>
      <c r="B7063">
        <v>1</v>
      </c>
      <c r="C7063" t="s">
        <v>121</v>
      </c>
      <c r="D7063" t="s">
        <v>122</v>
      </c>
      <c r="E7063" s="1">
        <v>44085</v>
      </c>
      <c r="F7063">
        <v>1</v>
      </c>
      <c r="G7063" t="s">
        <v>47</v>
      </c>
      <c r="H7063" t="s">
        <v>48</v>
      </c>
      <c r="I7063" s="4">
        <v>1389</v>
      </c>
      <c r="J7063" s="3">
        <v>1389</v>
      </c>
      <c r="K7063" s="4">
        <v>460</v>
      </c>
      <c r="L7063" t="s">
        <v>120</v>
      </c>
      <c r="M7063">
        <v>19</v>
      </c>
      <c r="N7063" t="s">
        <v>150</v>
      </c>
      <c r="O7063" t="s">
        <v>81</v>
      </c>
      <c r="P7063" t="s">
        <v>136</v>
      </c>
      <c r="Q7063" t="s">
        <v>140</v>
      </c>
      <c r="R7063" t="s">
        <v>141</v>
      </c>
      <c r="S7063" t="s">
        <v>145</v>
      </c>
      <c r="T7063" s="2">
        <f>MASTER[[#This Row],[CANTIDAD]]*MASTER[[#This Row],[PRECIO DE VENTA]]</f>
        <v>1389</v>
      </c>
      <c r="U7063" s="2">
        <f>MASTER[[#This Row],[CANTIDAD]]*MASTER[[#This Row],[COSTO UNITARIO]]</f>
        <v>460</v>
      </c>
      <c r="V7063" s="2">
        <f>MASTER[[#This Row],[MONTO VENDIDO]]-MASTER[[#This Row],[COSTO DE VENTA]]</f>
        <v>929</v>
      </c>
    </row>
    <row r="7064" spans="1:22" x14ac:dyDescent="0.3">
      <c r="A7064">
        <v>103318</v>
      </c>
      <c r="B7064">
        <v>1</v>
      </c>
      <c r="C7064" t="s">
        <v>90</v>
      </c>
      <c r="D7064" t="s">
        <v>91</v>
      </c>
      <c r="E7064" s="1">
        <v>44086</v>
      </c>
      <c r="F7064">
        <v>1</v>
      </c>
      <c r="G7064" t="s">
        <v>20</v>
      </c>
      <c r="H7064" t="s">
        <v>21</v>
      </c>
      <c r="I7064" s="4">
        <v>2397</v>
      </c>
      <c r="J7064" s="3">
        <v>2397</v>
      </c>
      <c r="K7064" s="4">
        <v>420</v>
      </c>
      <c r="L7064" t="s">
        <v>9</v>
      </c>
      <c r="M7064">
        <v>19</v>
      </c>
      <c r="N7064" t="s">
        <v>150</v>
      </c>
      <c r="O7064" t="s">
        <v>81</v>
      </c>
      <c r="P7064" t="s">
        <v>136</v>
      </c>
      <c r="Q7064" t="s">
        <v>140</v>
      </c>
      <c r="R7064" t="s">
        <v>141</v>
      </c>
      <c r="S7064" t="s">
        <v>145</v>
      </c>
      <c r="T7064" s="2">
        <f>MASTER[[#This Row],[CANTIDAD]]*MASTER[[#This Row],[PRECIO DE VENTA]]</f>
        <v>2397</v>
      </c>
      <c r="U7064" s="2">
        <f>MASTER[[#This Row],[CANTIDAD]]*MASTER[[#This Row],[COSTO UNITARIO]]</f>
        <v>420</v>
      </c>
      <c r="V7064" s="2">
        <f>MASTER[[#This Row],[MONTO VENDIDO]]-MASTER[[#This Row],[COSTO DE VENTA]]</f>
        <v>1977</v>
      </c>
    </row>
    <row r="7065" spans="1:22" x14ac:dyDescent="0.3">
      <c r="A7065">
        <v>103322</v>
      </c>
      <c r="B7065">
        <v>1</v>
      </c>
      <c r="C7065" t="s">
        <v>94</v>
      </c>
      <c r="D7065" t="s">
        <v>95</v>
      </c>
      <c r="E7065" s="1">
        <v>44086</v>
      </c>
      <c r="F7065">
        <v>1</v>
      </c>
      <c r="G7065" t="s">
        <v>51</v>
      </c>
      <c r="H7065" t="s">
        <v>52</v>
      </c>
      <c r="I7065" s="4">
        <v>1171</v>
      </c>
      <c r="J7065" s="3">
        <v>1088</v>
      </c>
      <c r="K7065" s="4">
        <v>392</v>
      </c>
      <c r="L7065" t="s">
        <v>9</v>
      </c>
      <c r="M7065">
        <v>19</v>
      </c>
      <c r="N7065" t="s">
        <v>150</v>
      </c>
      <c r="O7065" t="s">
        <v>81</v>
      </c>
      <c r="P7065" t="s">
        <v>136</v>
      </c>
      <c r="Q7065" t="s">
        <v>140</v>
      </c>
      <c r="R7065" t="s">
        <v>141</v>
      </c>
      <c r="S7065" t="s">
        <v>145</v>
      </c>
      <c r="T7065" s="2">
        <f>MASTER[[#This Row],[CANTIDAD]]*MASTER[[#This Row],[PRECIO DE VENTA]]</f>
        <v>1088</v>
      </c>
      <c r="U7065" s="2">
        <f>MASTER[[#This Row],[CANTIDAD]]*MASTER[[#This Row],[COSTO UNITARIO]]</f>
        <v>392</v>
      </c>
      <c r="V7065" s="2">
        <f>MASTER[[#This Row],[MONTO VENDIDO]]-MASTER[[#This Row],[COSTO DE VENTA]]</f>
        <v>696</v>
      </c>
    </row>
    <row r="7066" spans="1:22" x14ac:dyDescent="0.3">
      <c r="A7066">
        <v>103331</v>
      </c>
      <c r="B7066">
        <v>1</v>
      </c>
      <c r="C7066" t="s">
        <v>96</v>
      </c>
      <c r="D7066" t="s">
        <v>97</v>
      </c>
      <c r="E7066" s="1">
        <v>44087</v>
      </c>
      <c r="F7066">
        <v>1</v>
      </c>
      <c r="G7066" t="s">
        <v>51</v>
      </c>
      <c r="H7066" t="s">
        <v>52</v>
      </c>
      <c r="I7066" s="4">
        <v>1769</v>
      </c>
      <c r="J7066" s="3">
        <v>1769</v>
      </c>
      <c r="K7066" s="4">
        <v>397</v>
      </c>
      <c r="L7066" t="s">
        <v>98</v>
      </c>
      <c r="M7066">
        <v>19</v>
      </c>
      <c r="N7066" t="s">
        <v>150</v>
      </c>
      <c r="O7066" t="s">
        <v>81</v>
      </c>
      <c r="P7066" t="s">
        <v>136</v>
      </c>
      <c r="Q7066" t="s">
        <v>140</v>
      </c>
      <c r="R7066" t="s">
        <v>141</v>
      </c>
      <c r="S7066" t="s">
        <v>145</v>
      </c>
      <c r="T7066" s="2">
        <f>MASTER[[#This Row],[CANTIDAD]]*MASTER[[#This Row],[PRECIO DE VENTA]]</f>
        <v>1769</v>
      </c>
      <c r="U7066" s="2">
        <f>MASTER[[#This Row],[CANTIDAD]]*MASTER[[#This Row],[COSTO UNITARIO]]</f>
        <v>397</v>
      </c>
      <c r="V7066" s="2">
        <f>MASTER[[#This Row],[MONTO VENDIDO]]-MASTER[[#This Row],[COSTO DE VENTA]]</f>
        <v>1372</v>
      </c>
    </row>
    <row r="7067" spans="1:22" x14ac:dyDescent="0.3">
      <c r="A7067">
        <v>103334</v>
      </c>
      <c r="B7067">
        <v>1</v>
      </c>
      <c r="C7067" t="s">
        <v>96</v>
      </c>
      <c r="D7067" t="s">
        <v>97</v>
      </c>
      <c r="E7067" s="1">
        <v>44087</v>
      </c>
      <c r="F7067">
        <v>1</v>
      </c>
      <c r="G7067" t="s">
        <v>47</v>
      </c>
      <c r="H7067" t="s">
        <v>48</v>
      </c>
      <c r="I7067" s="4">
        <v>1653</v>
      </c>
      <c r="J7067" s="3">
        <v>1653</v>
      </c>
      <c r="K7067" s="4">
        <v>397</v>
      </c>
      <c r="L7067" t="s">
        <v>98</v>
      </c>
      <c r="M7067">
        <v>19</v>
      </c>
      <c r="N7067" t="s">
        <v>150</v>
      </c>
      <c r="O7067" t="s">
        <v>81</v>
      </c>
      <c r="P7067" t="s">
        <v>136</v>
      </c>
      <c r="Q7067" t="s">
        <v>140</v>
      </c>
      <c r="R7067" t="s">
        <v>141</v>
      </c>
      <c r="S7067" t="s">
        <v>145</v>
      </c>
      <c r="T7067" s="2">
        <f>MASTER[[#This Row],[CANTIDAD]]*MASTER[[#This Row],[PRECIO DE VENTA]]</f>
        <v>1653</v>
      </c>
      <c r="U7067" s="2">
        <f>MASTER[[#This Row],[CANTIDAD]]*MASTER[[#This Row],[COSTO UNITARIO]]</f>
        <v>397</v>
      </c>
      <c r="V7067" s="2">
        <f>MASTER[[#This Row],[MONTO VENDIDO]]-MASTER[[#This Row],[COSTO DE VENTA]]</f>
        <v>1256</v>
      </c>
    </row>
    <row r="7068" spans="1:22" x14ac:dyDescent="0.3">
      <c r="A7068">
        <v>103341</v>
      </c>
      <c r="B7068">
        <v>1</v>
      </c>
      <c r="C7068" t="s">
        <v>111</v>
      </c>
      <c r="D7068" t="s">
        <v>112</v>
      </c>
      <c r="E7068" s="1">
        <v>44088</v>
      </c>
      <c r="F7068">
        <v>1</v>
      </c>
      <c r="G7068" t="s">
        <v>27</v>
      </c>
      <c r="H7068" t="s">
        <v>28</v>
      </c>
      <c r="I7068" s="4">
        <v>2107</v>
      </c>
      <c r="J7068" s="3">
        <v>2107</v>
      </c>
      <c r="K7068" s="4">
        <v>434</v>
      </c>
      <c r="L7068" t="s">
        <v>113</v>
      </c>
      <c r="M7068">
        <v>19</v>
      </c>
      <c r="N7068" t="s">
        <v>150</v>
      </c>
      <c r="O7068" t="s">
        <v>81</v>
      </c>
      <c r="P7068" t="s">
        <v>136</v>
      </c>
      <c r="Q7068" t="s">
        <v>140</v>
      </c>
      <c r="R7068" t="s">
        <v>141</v>
      </c>
      <c r="S7068" t="s">
        <v>145</v>
      </c>
      <c r="T7068" s="2">
        <f>MASTER[[#This Row],[CANTIDAD]]*MASTER[[#This Row],[PRECIO DE VENTA]]</f>
        <v>2107</v>
      </c>
      <c r="U7068" s="2">
        <f>MASTER[[#This Row],[CANTIDAD]]*MASTER[[#This Row],[COSTO UNITARIO]]</f>
        <v>434</v>
      </c>
      <c r="V7068" s="2">
        <f>MASTER[[#This Row],[MONTO VENDIDO]]-MASTER[[#This Row],[COSTO DE VENTA]]</f>
        <v>1673</v>
      </c>
    </row>
    <row r="7069" spans="1:22" x14ac:dyDescent="0.3">
      <c r="A7069">
        <v>103352</v>
      </c>
      <c r="B7069">
        <v>1</v>
      </c>
      <c r="C7069" t="s">
        <v>114</v>
      </c>
      <c r="D7069" t="s">
        <v>115</v>
      </c>
      <c r="E7069" s="1">
        <v>44088</v>
      </c>
      <c r="F7069">
        <v>1</v>
      </c>
      <c r="G7069" t="s">
        <v>7</v>
      </c>
      <c r="H7069" t="s">
        <v>8</v>
      </c>
      <c r="I7069" s="4">
        <v>2420</v>
      </c>
      <c r="J7069" s="3">
        <v>2177</v>
      </c>
      <c r="K7069" s="4">
        <v>394</v>
      </c>
      <c r="L7069" t="s">
        <v>113</v>
      </c>
      <c r="M7069">
        <v>17</v>
      </c>
      <c r="N7069" t="str">
        <f>IF(MASTER[[#This Row],[IDLOCAL]]=17,"HYDE PARK", "HARLEM IRVING")</f>
        <v>HYDE PARK</v>
      </c>
      <c r="O7069" t="str">
        <f>IF(MASTER[[#This Row],[IDLOCAL]]=17,"PREMIUM", "ESTÁNDAR")</f>
        <v>PREMIUM</v>
      </c>
      <c r="P7069" t="s">
        <v>137</v>
      </c>
      <c r="Q7069" t="s">
        <v>142</v>
      </c>
      <c r="R7069" t="s">
        <v>143</v>
      </c>
      <c r="S7069" t="s">
        <v>145</v>
      </c>
      <c r="T7069" s="2">
        <f>MASTER[[#This Row],[CANTIDAD]]*MASTER[[#This Row],[PRECIO DE VENTA]]</f>
        <v>2177</v>
      </c>
      <c r="U7069" s="2">
        <f>MASTER[[#This Row],[CANTIDAD]]*MASTER[[#This Row],[COSTO UNITARIO]]</f>
        <v>394</v>
      </c>
      <c r="V7069" s="2">
        <f>MASTER[[#This Row],[MONTO VENDIDO]]-MASTER[[#This Row],[COSTO DE VENTA]]</f>
        <v>1783</v>
      </c>
    </row>
    <row r="7070" spans="1:22" x14ac:dyDescent="0.3">
      <c r="A7070">
        <v>103359</v>
      </c>
      <c r="B7070">
        <v>1</v>
      </c>
      <c r="C7070" t="s">
        <v>116</v>
      </c>
      <c r="D7070" t="s">
        <v>117</v>
      </c>
      <c r="E7070" s="1">
        <v>44089</v>
      </c>
      <c r="F7070">
        <v>1</v>
      </c>
      <c r="G7070" t="s">
        <v>63</v>
      </c>
      <c r="H7070" t="s">
        <v>64</v>
      </c>
      <c r="I7070" s="4">
        <v>2598</v>
      </c>
      <c r="J7070" s="3">
        <v>2598</v>
      </c>
      <c r="K7070" s="4">
        <v>388</v>
      </c>
      <c r="L7070" t="s">
        <v>113</v>
      </c>
      <c r="M7070">
        <v>17</v>
      </c>
      <c r="N7070" t="str">
        <f>IF(MASTER[[#This Row],[IDLOCAL]]=17,"HYDE PARK", "HARLEM IRVING")</f>
        <v>HYDE PARK</v>
      </c>
      <c r="O7070" t="str">
        <f>IF(MASTER[[#This Row],[IDLOCAL]]=17,"PREMIUM", "ESTÁNDAR")</f>
        <v>PREMIUM</v>
      </c>
      <c r="P7070" t="s">
        <v>137</v>
      </c>
      <c r="Q7070" t="s">
        <v>142</v>
      </c>
      <c r="R7070" t="s">
        <v>143</v>
      </c>
      <c r="S7070" t="s">
        <v>145</v>
      </c>
      <c r="T7070" s="2">
        <f>MASTER[[#This Row],[CANTIDAD]]*MASTER[[#This Row],[PRECIO DE VENTA]]</f>
        <v>2598</v>
      </c>
      <c r="U7070" s="2">
        <f>MASTER[[#This Row],[CANTIDAD]]*MASTER[[#This Row],[COSTO UNITARIO]]</f>
        <v>388</v>
      </c>
      <c r="V7070" s="2">
        <f>MASTER[[#This Row],[MONTO VENDIDO]]-MASTER[[#This Row],[COSTO DE VENTA]]</f>
        <v>2210</v>
      </c>
    </row>
    <row r="7071" spans="1:22" x14ac:dyDescent="0.3">
      <c r="A7071">
        <v>103366</v>
      </c>
      <c r="B7071">
        <v>1</v>
      </c>
      <c r="C7071" t="s">
        <v>118</v>
      </c>
      <c r="D7071" t="s">
        <v>119</v>
      </c>
      <c r="E7071" s="1">
        <v>44090</v>
      </c>
      <c r="F7071">
        <v>1</v>
      </c>
      <c r="G7071" t="s">
        <v>55</v>
      </c>
      <c r="H7071" t="s">
        <v>56</v>
      </c>
      <c r="I7071" s="4">
        <v>1170</v>
      </c>
      <c r="J7071" s="3">
        <v>1170</v>
      </c>
      <c r="K7071" s="4">
        <v>424</v>
      </c>
      <c r="L7071" t="s">
        <v>120</v>
      </c>
      <c r="M7071">
        <v>18</v>
      </c>
      <c r="N7071" t="str">
        <f>IF(MASTER[[#This Row],[IDLOCAL]]=17,"HYDE PARK", "HARLEM IRVING")</f>
        <v>HARLEM IRVING</v>
      </c>
      <c r="O7071" t="str">
        <f>IF(MASTER[[#This Row],[IDLOCAL]]=17,"PREMIUM", "ESTÁNDAR")</f>
        <v>ESTÁNDAR</v>
      </c>
      <c r="P7071" t="s">
        <v>137</v>
      </c>
      <c r="Q7071" t="s">
        <v>142</v>
      </c>
      <c r="R7071" t="s">
        <v>143</v>
      </c>
      <c r="S7071" t="s">
        <v>145</v>
      </c>
      <c r="T7071" s="2">
        <f>MASTER[[#This Row],[CANTIDAD]]*MASTER[[#This Row],[PRECIO DE VENTA]]</f>
        <v>1170</v>
      </c>
      <c r="U7071" s="2">
        <f>MASTER[[#This Row],[CANTIDAD]]*MASTER[[#This Row],[COSTO UNITARIO]]</f>
        <v>424</v>
      </c>
      <c r="V7071" s="2">
        <f>MASTER[[#This Row],[MONTO VENDIDO]]-MASTER[[#This Row],[COSTO DE VENTA]]</f>
        <v>746</v>
      </c>
    </row>
    <row r="7072" spans="1:22" x14ac:dyDescent="0.3">
      <c r="A7072">
        <v>103389</v>
      </c>
      <c r="B7072">
        <v>1</v>
      </c>
      <c r="C7072" t="s">
        <v>5</v>
      </c>
      <c r="D7072" t="s">
        <v>6</v>
      </c>
      <c r="E7072" s="1">
        <v>44091</v>
      </c>
      <c r="F7072">
        <v>1</v>
      </c>
      <c r="G7072" t="s">
        <v>55</v>
      </c>
      <c r="H7072" t="s">
        <v>56</v>
      </c>
      <c r="I7072" s="4">
        <v>1684</v>
      </c>
      <c r="J7072" s="3">
        <v>1684</v>
      </c>
      <c r="K7072" s="4">
        <v>393</v>
      </c>
      <c r="L7072" t="s">
        <v>9</v>
      </c>
      <c r="M7072">
        <v>17</v>
      </c>
      <c r="N7072" t="str">
        <f>IF(MASTER[[#This Row],[IDLOCAL]]=17,"HYDE PARK", "HARLEM IRVING")</f>
        <v>HYDE PARK</v>
      </c>
      <c r="O7072" t="str">
        <f>IF(MASTER[[#This Row],[IDLOCAL]]=17,"PREMIUM", "ESTÁNDAR")</f>
        <v>PREMIUM</v>
      </c>
      <c r="P7072" t="s">
        <v>137</v>
      </c>
      <c r="Q7072" t="s">
        <v>142</v>
      </c>
      <c r="R7072" t="s">
        <v>143</v>
      </c>
      <c r="S7072" t="s">
        <v>145</v>
      </c>
      <c r="T7072" s="2">
        <f>MASTER[[#This Row],[CANTIDAD]]*MASTER[[#This Row],[PRECIO DE VENTA]]</f>
        <v>1684</v>
      </c>
      <c r="U7072" s="2">
        <f>MASTER[[#This Row],[CANTIDAD]]*MASTER[[#This Row],[COSTO UNITARIO]]</f>
        <v>393</v>
      </c>
      <c r="V7072" s="2">
        <f>MASTER[[#This Row],[MONTO VENDIDO]]-MASTER[[#This Row],[COSTO DE VENTA]]</f>
        <v>1291</v>
      </c>
    </row>
    <row r="7073" spans="1:22" x14ac:dyDescent="0.3">
      <c r="A7073">
        <v>103393</v>
      </c>
      <c r="B7073">
        <v>1</v>
      </c>
      <c r="C7073" t="s">
        <v>101</v>
      </c>
      <c r="D7073" t="s">
        <v>102</v>
      </c>
      <c r="E7073" s="1">
        <v>44093</v>
      </c>
      <c r="F7073">
        <v>1</v>
      </c>
      <c r="G7073" t="s">
        <v>67</v>
      </c>
      <c r="H7073" t="s">
        <v>68</v>
      </c>
      <c r="I7073" s="4">
        <v>1764</v>
      </c>
      <c r="J7073" s="3">
        <v>1764</v>
      </c>
      <c r="K7073" s="4">
        <v>442</v>
      </c>
      <c r="L7073" t="s">
        <v>98</v>
      </c>
      <c r="M7073">
        <v>17</v>
      </c>
      <c r="N7073" t="str">
        <f>IF(MASTER[[#This Row],[IDLOCAL]]=17,"HYDE PARK", "HARLEM IRVING")</f>
        <v>HYDE PARK</v>
      </c>
      <c r="O7073" t="str">
        <f>IF(MASTER[[#This Row],[IDLOCAL]]=17,"PREMIUM", "ESTÁNDAR")</f>
        <v>PREMIUM</v>
      </c>
      <c r="P7073" t="s">
        <v>137</v>
      </c>
      <c r="Q7073" t="s">
        <v>142</v>
      </c>
      <c r="R7073" t="s">
        <v>143</v>
      </c>
      <c r="S7073" t="s">
        <v>145</v>
      </c>
      <c r="T7073" s="2">
        <f>MASTER[[#This Row],[CANTIDAD]]*MASTER[[#This Row],[PRECIO DE VENTA]]</f>
        <v>1764</v>
      </c>
      <c r="U7073" s="2">
        <f>MASTER[[#This Row],[CANTIDAD]]*MASTER[[#This Row],[COSTO UNITARIO]]</f>
        <v>442</v>
      </c>
      <c r="V7073" s="2">
        <f>MASTER[[#This Row],[MONTO VENDIDO]]-MASTER[[#This Row],[COSTO DE VENTA]]</f>
        <v>1322</v>
      </c>
    </row>
    <row r="7074" spans="1:22" x14ac:dyDescent="0.3">
      <c r="A7074">
        <v>103399</v>
      </c>
      <c r="B7074">
        <v>1</v>
      </c>
      <c r="C7074" t="s">
        <v>103</v>
      </c>
      <c r="D7074" t="s">
        <v>104</v>
      </c>
      <c r="E7074" s="1">
        <v>44093</v>
      </c>
      <c r="F7074">
        <v>1</v>
      </c>
      <c r="G7074" t="s">
        <v>47</v>
      </c>
      <c r="H7074" t="s">
        <v>48</v>
      </c>
      <c r="I7074" s="4">
        <v>2068</v>
      </c>
      <c r="J7074" s="3">
        <v>2068</v>
      </c>
      <c r="K7074" s="4">
        <v>421</v>
      </c>
      <c r="L7074" t="s">
        <v>98</v>
      </c>
      <c r="M7074">
        <v>19</v>
      </c>
      <c r="N7074" t="s">
        <v>150</v>
      </c>
      <c r="O7074" t="s">
        <v>81</v>
      </c>
      <c r="P7074" t="s">
        <v>136</v>
      </c>
      <c r="Q7074" t="s">
        <v>140</v>
      </c>
      <c r="R7074" t="s">
        <v>141</v>
      </c>
      <c r="S7074" t="s">
        <v>145</v>
      </c>
      <c r="T7074" s="2">
        <f>MASTER[[#This Row],[CANTIDAD]]*MASTER[[#This Row],[PRECIO DE VENTA]]</f>
        <v>2068</v>
      </c>
      <c r="U7074" s="2">
        <f>MASTER[[#This Row],[CANTIDAD]]*MASTER[[#This Row],[COSTO UNITARIO]]</f>
        <v>421</v>
      </c>
      <c r="V7074" s="2">
        <f>MASTER[[#This Row],[MONTO VENDIDO]]-MASTER[[#This Row],[COSTO DE VENTA]]</f>
        <v>1647</v>
      </c>
    </row>
    <row r="7075" spans="1:22" x14ac:dyDescent="0.3">
      <c r="A7075">
        <v>103425</v>
      </c>
      <c r="B7075">
        <v>1</v>
      </c>
      <c r="C7075" t="s">
        <v>5</v>
      </c>
      <c r="D7075" t="s">
        <v>6</v>
      </c>
      <c r="E7075" s="1">
        <v>44095</v>
      </c>
      <c r="F7075">
        <v>1</v>
      </c>
      <c r="G7075" t="s">
        <v>31</v>
      </c>
      <c r="H7075" t="s">
        <v>32</v>
      </c>
      <c r="I7075" s="4">
        <v>1959</v>
      </c>
      <c r="J7075" s="3">
        <v>1959</v>
      </c>
      <c r="K7075" s="4">
        <v>393</v>
      </c>
      <c r="L7075" t="s">
        <v>9</v>
      </c>
      <c r="M7075">
        <v>19</v>
      </c>
      <c r="N7075" t="s">
        <v>150</v>
      </c>
      <c r="O7075" t="s">
        <v>81</v>
      </c>
      <c r="P7075" t="s">
        <v>136</v>
      </c>
      <c r="Q7075" t="s">
        <v>140</v>
      </c>
      <c r="R7075" t="s">
        <v>141</v>
      </c>
      <c r="S7075" t="s">
        <v>145</v>
      </c>
      <c r="T7075" s="2">
        <f>MASTER[[#This Row],[CANTIDAD]]*MASTER[[#This Row],[PRECIO DE VENTA]]</f>
        <v>1959</v>
      </c>
      <c r="U7075" s="2">
        <f>MASTER[[#This Row],[CANTIDAD]]*MASTER[[#This Row],[COSTO UNITARIO]]</f>
        <v>393</v>
      </c>
      <c r="V7075" s="2">
        <f>MASTER[[#This Row],[MONTO VENDIDO]]-MASTER[[#This Row],[COSTO DE VENTA]]</f>
        <v>1566</v>
      </c>
    </row>
    <row r="7076" spans="1:22" x14ac:dyDescent="0.3">
      <c r="A7076">
        <v>103447</v>
      </c>
      <c r="B7076">
        <v>1</v>
      </c>
      <c r="C7076" t="s">
        <v>107</v>
      </c>
      <c r="D7076" t="s">
        <v>108</v>
      </c>
      <c r="E7076" s="1">
        <v>44096</v>
      </c>
      <c r="F7076">
        <v>1</v>
      </c>
      <c r="G7076" t="s">
        <v>51</v>
      </c>
      <c r="H7076" t="s">
        <v>52</v>
      </c>
      <c r="I7076" s="4">
        <v>1872</v>
      </c>
      <c r="J7076" s="3">
        <v>1872</v>
      </c>
      <c r="K7076" s="4">
        <v>380</v>
      </c>
      <c r="L7076" t="s">
        <v>98</v>
      </c>
      <c r="M7076">
        <v>19</v>
      </c>
      <c r="N7076" t="s">
        <v>150</v>
      </c>
      <c r="O7076" t="s">
        <v>81</v>
      </c>
      <c r="P7076" t="s">
        <v>136</v>
      </c>
      <c r="Q7076" t="s">
        <v>140</v>
      </c>
      <c r="R7076" t="s">
        <v>141</v>
      </c>
      <c r="S7076" t="s">
        <v>145</v>
      </c>
      <c r="T7076" s="2">
        <f>MASTER[[#This Row],[CANTIDAD]]*MASTER[[#This Row],[PRECIO DE VENTA]]</f>
        <v>1872</v>
      </c>
      <c r="U7076" s="2">
        <f>MASTER[[#This Row],[CANTIDAD]]*MASTER[[#This Row],[COSTO UNITARIO]]</f>
        <v>380</v>
      </c>
      <c r="V7076" s="2">
        <f>MASTER[[#This Row],[MONTO VENDIDO]]-MASTER[[#This Row],[COSTO DE VENTA]]</f>
        <v>1492</v>
      </c>
    </row>
    <row r="7077" spans="1:22" x14ac:dyDescent="0.3">
      <c r="A7077">
        <v>103450</v>
      </c>
      <c r="B7077">
        <v>1</v>
      </c>
      <c r="C7077" t="s">
        <v>116</v>
      </c>
      <c r="D7077" t="s">
        <v>117</v>
      </c>
      <c r="E7077" s="1">
        <v>44096</v>
      </c>
      <c r="F7077">
        <v>1</v>
      </c>
      <c r="G7077" t="s">
        <v>63</v>
      </c>
      <c r="H7077" t="s">
        <v>64</v>
      </c>
      <c r="I7077" s="4">
        <v>1987</v>
      </c>
      <c r="J7077" s="3">
        <v>1868</v>
      </c>
      <c r="K7077" s="4">
        <v>388</v>
      </c>
      <c r="L7077" t="s">
        <v>113</v>
      </c>
      <c r="M7077">
        <v>19</v>
      </c>
      <c r="N7077" t="s">
        <v>150</v>
      </c>
      <c r="O7077" t="s">
        <v>81</v>
      </c>
      <c r="P7077" t="s">
        <v>136</v>
      </c>
      <c r="Q7077" t="s">
        <v>140</v>
      </c>
      <c r="R7077" t="s">
        <v>141</v>
      </c>
      <c r="S7077" t="s">
        <v>145</v>
      </c>
      <c r="T7077" s="2">
        <f>MASTER[[#This Row],[CANTIDAD]]*MASTER[[#This Row],[PRECIO DE VENTA]]</f>
        <v>1868</v>
      </c>
      <c r="U7077" s="2">
        <f>MASTER[[#This Row],[CANTIDAD]]*MASTER[[#This Row],[COSTO UNITARIO]]</f>
        <v>388</v>
      </c>
      <c r="V7077" s="2">
        <f>MASTER[[#This Row],[MONTO VENDIDO]]-MASTER[[#This Row],[COSTO DE VENTA]]</f>
        <v>1480</v>
      </c>
    </row>
    <row r="7078" spans="1:22" x14ac:dyDescent="0.3">
      <c r="A7078">
        <v>103465</v>
      </c>
      <c r="B7078">
        <v>1</v>
      </c>
      <c r="C7078" t="s">
        <v>92</v>
      </c>
      <c r="D7078" t="s">
        <v>93</v>
      </c>
      <c r="E7078" s="1">
        <v>44097</v>
      </c>
      <c r="F7078">
        <v>1</v>
      </c>
      <c r="G7078" t="s">
        <v>24</v>
      </c>
      <c r="H7078" t="s">
        <v>25</v>
      </c>
      <c r="I7078" s="4">
        <v>2185</v>
      </c>
      <c r="J7078" s="3">
        <v>2185</v>
      </c>
      <c r="K7078" s="4">
        <v>396</v>
      </c>
      <c r="L7078" t="s">
        <v>9</v>
      </c>
      <c r="M7078">
        <v>19</v>
      </c>
      <c r="N7078" t="s">
        <v>150</v>
      </c>
      <c r="O7078" t="s">
        <v>81</v>
      </c>
      <c r="P7078" t="s">
        <v>136</v>
      </c>
      <c r="Q7078" t="s">
        <v>140</v>
      </c>
      <c r="R7078" t="s">
        <v>141</v>
      </c>
      <c r="S7078" t="s">
        <v>145</v>
      </c>
      <c r="T7078" s="2">
        <f>MASTER[[#This Row],[CANTIDAD]]*MASTER[[#This Row],[PRECIO DE VENTA]]</f>
        <v>2185</v>
      </c>
      <c r="U7078" s="2">
        <f>MASTER[[#This Row],[CANTIDAD]]*MASTER[[#This Row],[COSTO UNITARIO]]</f>
        <v>396</v>
      </c>
      <c r="V7078" s="2">
        <f>MASTER[[#This Row],[MONTO VENDIDO]]-MASTER[[#This Row],[COSTO DE VENTA]]</f>
        <v>1789</v>
      </c>
    </row>
    <row r="7079" spans="1:22" x14ac:dyDescent="0.3">
      <c r="A7079">
        <v>103470</v>
      </c>
      <c r="B7079">
        <v>1</v>
      </c>
      <c r="C7079" t="s">
        <v>101</v>
      </c>
      <c r="D7079" t="s">
        <v>102</v>
      </c>
      <c r="E7079" s="1">
        <v>44097</v>
      </c>
      <c r="F7079">
        <v>1</v>
      </c>
      <c r="G7079" t="s">
        <v>51</v>
      </c>
      <c r="H7079" t="s">
        <v>52</v>
      </c>
      <c r="I7079" s="4">
        <v>1575</v>
      </c>
      <c r="J7079" s="3">
        <v>1575</v>
      </c>
      <c r="K7079" s="4">
        <v>442</v>
      </c>
      <c r="L7079" t="s">
        <v>98</v>
      </c>
      <c r="M7079">
        <v>18</v>
      </c>
      <c r="N7079" t="str">
        <f>IF(MASTER[[#This Row],[IDLOCAL]]=17,"HYDE PARK", "HARLEM IRVING")</f>
        <v>HARLEM IRVING</v>
      </c>
      <c r="O7079" t="str">
        <f>IF(MASTER[[#This Row],[IDLOCAL]]=17,"PREMIUM", "ESTÁNDAR")</f>
        <v>ESTÁNDAR</v>
      </c>
      <c r="P7079" t="s">
        <v>137</v>
      </c>
      <c r="Q7079" t="s">
        <v>142</v>
      </c>
      <c r="R7079" t="s">
        <v>143</v>
      </c>
      <c r="S7079" t="s">
        <v>145</v>
      </c>
      <c r="T7079" s="2">
        <f>MASTER[[#This Row],[CANTIDAD]]*MASTER[[#This Row],[PRECIO DE VENTA]]</f>
        <v>1575</v>
      </c>
      <c r="U7079" s="2">
        <f>MASTER[[#This Row],[CANTIDAD]]*MASTER[[#This Row],[COSTO UNITARIO]]</f>
        <v>442</v>
      </c>
      <c r="V7079" s="2">
        <f>MASTER[[#This Row],[MONTO VENDIDO]]-MASTER[[#This Row],[COSTO DE VENTA]]</f>
        <v>1133</v>
      </c>
    </row>
    <row r="7080" spans="1:22" x14ac:dyDescent="0.3">
      <c r="A7080">
        <v>103479</v>
      </c>
      <c r="B7080">
        <v>1</v>
      </c>
      <c r="C7080" t="s">
        <v>105</v>
      </c>
      <c r="D7080" t="s">
        <v>106</v>
      </c>
      <c r="E7080" s="1">
        <v>44097</v>
      </c>
      <c r="F7080">
        <v>1</v>
      </c>
      <c r="G7080" t="s">
        <v>29</v>
      </c>
      <c r="H7080" t="s">
        <v>30</v>
      </c>
      <c r="I7080" s="4">
        <v>2424</v>
      </c>
      <c r="J7080" s="3">
        <v>2424</v>
      </c>
      <c r="K7080" s="4">
        <v>459</v>
      </c>
      <c r="L7080" t="s">
        <v>98</v>
      </c>
      <c r="M7080">
        <v>19</v>
      </c>
      <c r="N7080" t="s">
        <v>150</v>
      </c>
      <c r="O7080" t="s">
        <v>81</v>
      </c>
      <c r="P7080" t="s">
        <v>136</v>
      </c>
      <c r="Q7080" t="s">
        <v>140</v>
      </c>
      <c r="R7080" t="s">
        <v>141</v>
      </c>
      <c r="S7080" t="s">
        <v>145</v>
      </c>
      <c r="T7080" s="2">
        <f>MASTER[[#This Row],[CANTIDAD]]*MASTER[[#This Row],[PRECIO DE VENTA]]</f>
        <v>2424</v>
      </c>
      <c r="U7080" s="2">
        <f>MASTER[[#This Row],[CANTIDAD]]*MASTER[[#This Row],[COSTO UNITARIO]]</f>
        <v>459</v>
      </c>
      <c r="V7080" s="2">
        <f>MASTER[[#This Row],[MONTO VENDIDO]]-MASTER[[#This Row],[COSTO DE VENTA]]</f>
        <v>1965</v>
      </c>
    </row>
    <row r="7081" spans="1:22" x14ac:dyDescent="0.3">
      <c r="A7081">
        <v>103489</v>
      </c>
      <c r="B7081">
        <v>1</v>
      </c>
      <c r="C7081" t="s">
        <v>99</v>
      </c>
      <c r="D7081" t="s">
        <v>100</v>
      </c>
      <c r="E7081" s="1">
        <v>44098</v>
      </c>
      <c r="F7081">
        <v>1</v>
      </c>
      <c r="G7081" t="s">
        <v>57</v>
      </c>
      <c r="H7081" t="s">
        <v>58</v>
      </c>
      <c r="I7081" s="4">
        <v>1896</v>
      </c>
      <c r="J7081" s="3">
        <v>1896</v>
      </c>
      <c r="K7081" s="4">
        <v>386</v>
      </c>
      <c r="L7081" t="s">
        <v>98</v>
      </c>
      <c r="M7081">
        <v>19</v>
      </c>
      <c r="N7081" t="s">
        <v>150</v>
      </c>
      <c r="O7081" t="s">
        <v>81</v>
      </c>
      <c r="P7081" t="s">
        <v>136</v>
      </c>
      <c r="Q7081" t="s">
        <v>140</v>
      </c>
      <c r="R7081" t="s">
        <v>141</v>
      </c>
      <c r="S7081" t="s">
        <v>145</v>
      </c>
      <c r="T7081" s="2">
        <f>MASTER[[#This Row],[CANTIDAD]]*MASTER[[#This Row],[PRECIO DE VENTA]]</f>
        <v>1896</v>
      </c>
      <c r="U7081" s="2">
        <f>MASTER[[#This Row],[CANTIDAD]]*MASTER[[#This Row],[COSTO UNITARIO]]</f>
        <v>386</v>
      </c>
      <c r="V7081" s="2">
        <f>MASTER[[#This Row],[MONTO VENDIDO]]-MASTER[[#This Row],[COSTO DE VENTA]]</f>
        <v>1510</v>
      </c>
    </row>
    <row r="7082" spans="1:22" x14ac:dyDescent="0.3">
      <c r="A7082">
        <v>103501</v>
      </c>
      <c r="B7082">
        <v>1</v>
      </c>
      <c r="C7082" t="s">
        <v>92</v>
      </c>
      <c r="D7082" t="s">
        <v>93</v>
      </c>
      <c r="E7082" s="1">
        <v>44100</v>
      </c>
      <c r="F7082">
        <v>1</v>
      </c>
      <c r="G7082" t="s">
        <v>65</v>
      </c>
      <c r="H7082" t="s">
        <v>66</v>
      </c>
      <c r="I7082" s="4">
        <v>1922</v>
      </c>
      <c r="J7082" s="3">
        <v>1922</v>
      </c>
      <c r="K7082" s="4">
        <v>396</v>
      </c>
      <c r="L7082" t="s">
        <v>9</v>
      </c>
      <c r="M7082">
        <v>17</v>
      </c>
      <c r="N7082" t="str">
        <f>IF(MASTER[[#This Row],[IDLOCAL]]=17,"HYDE PARK", "HARLEM IRVING")</f>
        <v>HYDE PARK</v>
      </c>
      <c r="O7082" t="str">
        <f>IF(MASTER[[#This Row],[IDLOCAL]]=17,"PREMIUM", "ESTÁNDAR")</f>
        <v>PREMIUM</v>
      </c>
      <c r="P7082" t="s">
        <v>137</v>
      </c>
      <c r="Q7082" t="s">
        <v>142</v>
      </c>
      <c r="R7082" t="s">
        <v>143</v>
      </c>
      <c r="S7082" t="s">
        <v>145</v>
      </c>
      <c r="T7082" s="2">
        <f>MASTER[[#This Row],[CANTIDAD]]*MASTER[[#This Row],[PRECIO DE VENTA]]</f>
        <v>1922</v>
      </c>
      <c r="U7082" s="2">
        <f>MASTER[[#This Row],[CANTIDAD]]*MASTER[[#This Row],[COSTO UNITARIO]]</f>
        <v>396</v>
      </c>
      <c r="V7082" s="2">
        <f>MASTER[[#This Row],[MONTO VENDIDO]]-MASTER[[#This Row],[COSTO DE VENTA]]</f>
        <v>1526</v>
      </c>
    </row>
    <row r="7083" spans="1:22" x14ac:dyDescent="0.3">
      <c r="A7083">
        <v>103515</v>
      </c>
      <c r="B7083">
        <v>1</v>
      </c>
      <c r="C7083" t="s">
        <v>116</v>
      </c>
      <c r="D7083" t="s">
        <v>117</v>
      </c>
      <c r="E7083" s="1">
        <v>44102</v>
      </c>
      <c r="F7083">
        <v>4</v>
      </c>
      <c r="G7083" t="s">
        <v>7</v>
      </c>
      <c r="H7083" t="s">
        <v>8</v>
      </c>
      <c r="I7083" s="4">
        <v>2259</v>
      </c>
      <c r="J7083" s="3">
        <v>2259</v>
      </c>
      <c r="K7083" s="4">
        <v>388</v>
      </c>
      <c r="L7083" t="s">
        <v>113</v>
      </c>
      <c r="M7083">
        <v>18</v>
      </c>
      <c r="N7083" t="str">
        <f>IF(MASTER[[#This Row],[IDLOCAL]]=17,"HYDE PARK", "HARLEM IRVING")</f>
        <v>HARLEM IRVING</v>
      </c>
      <c r="O7083" t="str">
        <f>IF(MASTER[[#This Row],[IDLOCAL]]=17,"PREMIUM", "ESTÁNDAR")</f>
        <v>ESTÁNDAR</v>
      </c>
      <c r="P7083" t="s">
        <v>137</v>
      </c>
      <c r="Q7083" t="s">
        <v>142</v>
      </c>
      <c r="R7083" t="s">
        <v>143</v>
      </c>
      <c r="S7083" t="s">
        <v>145</v>
      </c>
      <c r="T7083" s="2">
        <f>MASTER[[#This Row],[CANTIDAD]]*MASTER[[#This Row],[PRECIO DE VENTA]]</f>
        <v>9036</v>
      </c>
      <c r="U7083" s="2">
        <f>MASTER[[#This Row],[CANTIDAD]]*MASTER[[#This Row],[COSTO UNITARIO]]</f>
        <v>1552</v>
      </c>
      <c r="V7083" s="2">
        <f>MASTER[[#This Row],[MONTO VENDIDO]]-MASTER[[#This Row],[COSTO DE VENTA]]</f>
        <v>7484</v>
      </c>
    </row>
    <row r="7084" spans="1:22" x14ac:dyDescent="0.3">
      <c r="A7084">
        <v>103518</v>
      </c>
      <c r="B7084">
        <v>1</v>
      </c>
      <c r="C7084" t="s">
        <v>118</v>
      </c>
      <c r="D7084" t="s">
        <v>119</v>
      </c>
      <c r="E7084" s="1">
        <v>44103</v>
      </c>
      <c r="F7084">
        <v>1</v>
      </c>
      <c r="G7084" t="s">
        <v>51</v>
      </c>
      <c r="H7084" t="s">
        <v>52</v>
      </c>
      <c r="I7084" s="4">
        <v>1333</v>
      </c>
      <c r="J7084" s="3">
        <v>1333</v>
      </c>
      <c r="K7084" s="4">
        <v>424</v>
      </c>
      <c r="L7084" t="s">
        <v>120</v>
      </c>
      <c r="M7084">
        <v>17</v>
      </c>
      <c r="N7084" t="str">
        <f>IF(MASTER[[#This Row],[IDLOCAL]]=17,"HYDE PARK", "HARLEM IRVING")</f>
        <v>HYDE PARK</v>
      </c>
      <c r="O7084" t="str">
        <f>IF(MASTER[[#This Row],[IDLOCAL]]=17,"PREMIUM", "ESTÁNDAR")</f>
        <v>PREMIUM</v>
      </c>
      <c r="P7084" t="s">
        <v>137</v>
      </c>
      <c r="Q7084" t="s">
        <v>142</v>
      </c>
      <c r="R7084" t="s">
        <v>143</v>
      </c>
      <c r="S7084" t="s">
        <v>145</v>
      </c>
      <c r="T7084" s="2">
        <f>MASTER[[#This Row],[CANTIDAD]]*MASTER[[#This Row],[PRECIO DE VENTA]]</f>
        <v>1333</v>
      </c>
      <c r="U7084" s="2">
        <f>MASTER[[#This Row],[CANTIDAD]]*MASTER[[#This Row],[COSTO UNITARIO]]</f>
        <v>424</v>
      </c>
      <c r="V7084" s="2">
        <f>MASTER[[#This Row],[MONTO VENDIDO]]-MASTER[[#This Row],[COSTO DE VENTA]]</f>
        <v>909</v>
      </c>
    </row>
    <row r="7085" spans="1:22" x14ac:dyDescent="0.3">
      <c r="A7085">
        <v>103519</v>
      </c>
      <c r="B7085">
        <v>1</v>
      </c>
      <c r="C7085" t="s">
        <v>103</v>
      </c>
      <c r="D7085" t="s">
        <v>104</v>
      </c>
      <c r="E7085" s="1">
        <v>44104</v>
      </c>
      <c r="F7085">
        <v>1</v>
      </c>
      <c r="G7085" t="s">
        <v>20</v>
      </c>
      <c r="H7085" t="s">
        <v>21</v>
      </c>
      <c r="I7085" s="4">
        <v>2379</v>
      </c>
      <c r="J7085" s="3">
        <v>2379</v>
      </c>
      <c r="K7085" s="4">
        <v>421</v>
      </c>
      <c r="L7085" t="s">
        <v>98</v>
      </c>
      <c r="M7085">
        <v>17</v>
      </c>
      <c r="N7085" t="str">
        <f>IF(MASTER[[#This Row],[IDLOCAL]]=17,"HYDE PARK", "HARLEM IRVING")</f>
        <v>HYDE PARK</v>
      </c>
      <c r="O7085" t="str">
        <f>IF(MASTER[[#This Row],[IDLOCAL]]=17,"PREMIUM", "ESTÁNDAR")</f>
        <v>PREMIUM</v>
      </c>
      <c r="P7085" t="s">
        <v>137</v>
      </c>
      <c r="Q7085" t="s">
        <v>142</v>
      </c>
      <c r="R7085" t="s">
        <v>143</v>
      </c>
      <c r="S7085" t="s">
        <v>145</v>
      </c>
      <c r="T7085" s="2">
        <f>MASTER[[#This Row],[CANTIDAD]]*MASTER[[#This Row],[PRECIO DE VENTA]]</f>
        <v>2379</v>
      </c>
      <c r="U7085" s="2">
        <f>MASTER[[#This Row],[CANTIDAD]]*MASTER[[#This Row],[COSTO UNITARIO]]</f>
        <v>421</v>
      </c>
      <c r="V7085" s="2">
        <f>MASTER[[#This Row],[MONTO VENDIDO]]-MASTER[[#This Row],[COSTO DE VENTA]]</f>
        <v>1958</v>
      </c>
    </row>
    <row r="7086" spans="1:22" x14ac:dyDescent="0.3">
      <c r="A7086">
        <v>103527</v>
      </c>
      <c r="B7086">
        <v>1</v>
      </c>
      <c r="C7086" t="s">
        <v>109</v>
      </c>
      <c r="D7086" t="s">
        <v>110</v>
      </c>
      <c r="E7086" s="1">
        <v>44104</v>
      </c>
      <c r="F7086">
        <v>1</v>
      </c>
      <c r="G7086" t="s">
        <v>73</v>
      </c>
      <c r="H7086" t="s">
        <v>74</v>
      </c>
      <c r="I7086" s="4">
        <v>1383</v>
      </c>
      <c r="J7086" s="3">
        <v>1383</v>
      </c>
      <c r="K7086" s="4">
        <v>387</v>
      </c>
      <c r="L7086" t="s">
        <v>98</v>
      </c>
      <c r="M7086">
        <v>19</v>
      </c>
      <c r="N7086" t="s">
        <v>150</v>
      </c>
      <c r="O7086" t="s">
        <v>81</v>
      </c>
      <c r="P7086" t="s">
        <v>136</v>
      </c>
      <c r="Q7086" t="s">
        <v>140</v>
      </c>
      <c r="R7086" t="s">
        <v>141</v>
      </c>
      <c r="S7086" t="s">
        <v>145</v>
      </c>
      <c r="T7086" s="2">
        <f>MASTER[[#This Row],[CANTIDAD]]*MASTER[[#This Row],[PRECIO DE VENTA]]</f>
        <v>1383</v>
      </c>
      <c r="U7086" s="2">
        <f>MASTER[[#This Row],[CANTIDAD]]*MASTER[[#This Row],[COSTO UNITARIO]]</f>
        <v>387</v>
      </c>
      <c r="V7086" s="2">
        <f>MASTER[[#This Row],[MONTO VENDIDO]]-MASTER[[#This Row],[COSTO DE VENTA]]</f>
        <v>996</v>
      </c>
    </row>
    <row r="7087" spans="1:22" x14ac:dyDescent="0.3">
      <c r="A7087">
        <v>103528</v>
      </c>
      <c r="B7087">
        <v>1</v>
      </c>
      <c r="C7087" t="s">
        <v>90</v>
      </c>
      <c r="D7087" t="s">
        <v>91</v>
      </c>
      <c r="E7087" s="1">
        <v>44105</v>
      </c>
      <c r="F7087">
        <v>3</v>
      </c>
      <c r="G7087" t="s">
        <v>41</v>
      </c>
      <c r="H7087" t="s">
        <v>42</v>
      </c>
      <c r="I7087" s="4">
        <v>2397</v>
      </c>
      <c r="J7087" s="3">
        <v>2397</v>
      </c>
      <c r="K7087" s="4">
        <v>420</v>
      </c>
      <c r="L7087" t="s">
        <v>9</v>
      </c>
      <c r="M7087">
        <v>17</v>
      </c>
      <c r="N7087" t="str">
        <f>IF(MASTER[[#This Row],[IDLOCAL]]=17,"HYDE PARK", "HARLEM IRVING")</f>
        <v>HYDE PARK</v>
      </c>
      <c r="O7087" t="str">
        <f>IF(MASTER[[#This Row],[IDLOCAL]]=17,"PREMIUM", "ESTÁNDAR")</f>
        <v>PREMIUM</v>
      </c>
      <c r="P7087" t="s">
        <v>137</v>
      </c>
      <c r="Q7087" t="s">
        <v>142</v>
      </c>
      <c r="R7087" t="s">
        <v>143</v>
      </c>
      <c r="S7087" t="s">
        <v>145</v>
      </c>
      <c r="T7087" s="2">
        <f>MASTER[[#This Row],[CANTIDAD]]*MASTER[[#This Row],[PRECIO DE VENTA]]</f>
        <v>7191</v>
      </c>
      <c r="U7087" s="2">
        <f>MASTER[[#This Row],[CANTIDAD]]*MASTER[[#This Row],[COSTO UNITARIO]]</f>
        <v>1260</v>
      </c>
      <c r="V7087" s="2">
        <f>MASTER[[#This Row],[MONTO VENDIDO]]-MASTER[[#This Row],[COSTO DE VENTA]]</f>
        <v>5931</v>
      </c>
    </row>
    <row r="7088" spans="1:22" x14ac:dyDescent="0.3">
      <c r="A7088">
        <v>103531</v>
      </c>
      <c r="B7088">
        <v>1</v>
      </c>
      <c r="C7088" t="s">
        <v>94</v>
      </c>
      <c r="D7088" t="s">
        <v>95</v>
      </c>
      <c r="E7088" s="1">
        <v>44105</v>
      </c>
      <c r="F7088">
        <v>1</v>
      </c>
      <c r="G7088" t="s">
        <v>33</v>
      </c>
      <c r="H7088" t="s">
        <v>34</v>
      </c>
      <c r="I7088" s="4">
        <v>1362</v>
      </c>
      <c r="J7088" s="3">
        <v>1362</v>
      </c>
      <c r="K7088" s="4">
        <v>392</v>
      </c>
      <c r="L7088" t="s">
        <v>9</v>
      </c>
      <c r="M7088">
        <v>17</v>
      </c>
      <c r="N7088" t="str">
        <f>IF(MASTER[[#This Row],[IDLOCAL]]=17,"HYDE PARK", "HARLEM IRVING")</f>
        <v>HYDE PARK</v>
      </c>
      <c r="O7088" t="str">
        <f>IF(MASTER[[#This Row],[IDLOCAL]]=17,"PREMIUM", "ESTÁNDAR")</f>
        <v>PREMIUM</v>
      </c>
      <c r="P7088" t="s">
        <v>137</v>
      </c>
      <c r="Q7088" t="s">
        <v>142</v>
      </c>
      <c r="R7088" t="s">
        <v>143</v>
      </c>
      <c r="S7088" t="s">
        <v>145</v>
      </c>
      <c r="T7088" s="2">
        <f>MASTER[[#This Row],[CANTIDAD]]*MASTER[[#This Row],[PRECIO DE VENTA]]</f>
        <v>1362</v>
      </c>
      <c r="U7088" s="2">
        <f>MASTER[[#This Row],[CANTIDAD]]*MASTER[[#This Row],[COSTO UNITARIO]]</f>
        <v>392</v>
      </c>
      <c r="V7088" s="2">
        <f>MASTER[[#This Row],[MONTO VENDIDO]]-MASTER[[#This Row],[COSTO DE VENTA]]</f>
        <v>970</v>
      </c>
    </row>
    <row r="7089" spans="1:22" x14ac:dyDescent="0.3">
      <c r="A7089">
        <v>103545</v>
      </c>
      <c r="B7089">
        <v>1</v>
      </c>
      <c r="C7089" t="s">
        <v>99</v>
      </c>
      <c r="D7089" t="s">
        <v>100</v>
      </c>
      <c r="E7089" s="1">
        <v>44105</v>
      </c>
      <c r="F7089">
        <v>1</v>
      </c>
      <c r="G7089" t="s">
        <v>22</v>
      </c>
      <c r="H7089" t="s">
        <v>23</v>
      </c>
      <c r="I7089" s="4">
        <v>1896</v>
      </c>
      <c r="J7089" s="3">
        <v>1896</v>
      </c>
      <c r="K7089" s="4">
        <v>386</v>
      </c>
      <c r="L7089" t="s">
        <v>98</v>
      </c>
      <c r="M7089">
        <v>17</v>
      </c>
      <c r="N7089" t="str">
        <f>IF(MASTER[[#This Row],[IDLOCAL]]=17,"HYDE PARK", "HARLEM IRVING")</f>
        <v>HYDE PARK</v>
      </c>
      <c r="O7089" t="str">
        <f>IF(MASTER[[#This Row],[IDLOCAL]]=17,"PREMIUM", "ESTÁNDAR")</f>
        <v>PREMIUM</v>
      </c>
      <c r="P7089" t="s">
        <v>137</v>
      </c>
      <c r="Q7089" t="s">
        <v>142</v>
      </c>
      <c r="R7089" t="s">
        <v>143</v>
      </c>
      <c r="S7089" t="s">
        <v>145</v>
      </c>
      <c r="T7089" s="2">
        <f>MASTER[[#This Row],[CANTIDAD]]*MASTER[[#This Row],[PRECIO DE VENTA]]</f>
        <v>1896</v>
      </c>
      <c r="U7089" s="2">
        <f>MASTER[[#This Row],[CANTIDAD]]*MASTER[[#This Row],[COSTO UNITARIO]]</f>
        <v>386</v>
      </c>
      <c r="V7089" s="2">
        <f>MASTER[[#This Row],[MONTO VENDIDO]]-MASTER[[#This Row],[COSTO DE VENTA]]</f>
        <v>1510</v>
      </c>
    </row>
    <row r="7090" spans="1:22" x14ac:dyDescent="0.3">
      <c r="A7090">
        <v>103547</v>
      </c>
      <c r="B7090">
        <v>1</v>
      </c>
      <c r="C7090" t="s">
        <v>105</v>
      </c>
      <c r="D7090" t="s">
        <v>106</v>
      </c>
      <c r="E7090" s="1">
        <v>44105</v>
      </c>
      <c r="F7090">
        <v>4</v>
      </c>
      <c r="G7090" t="s">
        <v>45</v>
      </c>
      <c r="H7090" t="s">
        <v>46</v>
      </c>
      <c r="I7090" s="4">
        <v>2060</v>
      </c>
      <c r="J7090" s="3">
        <v>2060</v>
      </c>
      <c r="K7090" s="4">
        <v>459</v>
      </c>
      <c r="L7090" t="s">
        <v>98</v>
      </c>
      <c r="M7090">
        <v>19</v>
      </c>
      <c r="N7090" t="s">
        <v>150</v>
      </c>
      <c r="O7090" t="s">
        <v>81</v>
      </c>
      <c r="P7090" t="s">
        <v>136</v>
      </c>
      <c r="Q7090" t="s">
        <v>140</v>
      </c>
      <c r="R7090" t="s">
        <v>141</v>
      </c>
      <c r="S7090" t="s">
        <v>145</v>
      </c>
      <c r="T7090" s="2">
        <f>MASTER[[#This Row],[CANTIDAD]]*MASTER[[#This Row],[PRECIO DE VENTA]]</f>
        <v>8240</v>
      </c>
      <c r="U7090" s="2">
        <f>MASTER[[#This Row],[CANTIDAD]]*MASTER[[#This Row],[COSTO UNITARIO]]</f>
        <v>1836</v>
      </c>
      <c r="V7090" s="2">
        <f>MASTER[[#This Row],[MONTO VENDIDO]]-MASTER[[#This Row],[COSTO DE VENTA]]</f>
        <v>6404</v>
      </c>
    </row>
    <row r="7091" spans="1:22" x14ac:dyDescent="0.3">
      <c r="A7091">
        <v>103553</v>
      </c>
      <c r="B7091">
        <v>1</v>
      </c>
      <c r="C7091" t="s">
        <v>109</v>
      </c>
      <c r="D7091" t="s">
        <v>110</v>
      </c>
      <c r="E7091" s="1">
        <v>44106</v>
      </c>
      <c r="F7091">
        <v>1</v>
      </c>
      <c r="G7091" t="s">
        <v>24</v>
      </c>
      <c r="H7091" t="s">
        <v>25</v>
      </c>
      <c r="I7091" s="4">
        <v>1231</v>
      </c>
      <c r="J7091" s="3">
        <v>1231</v>
      </c>
      <c r="K7091" s="4">
        <v>387</v>
      </c>
      <c r="L7091" t="s">
        <v>98</v>
      </c>
      <c r="M7091">
        <v>19</v>
      </c>
      <c r="N7091" t="s">
        <v>150</v>
      </c>
      <c r="O7091" t="s">
        <v>81</v>
      </c>
      <c r="P7091" t="s">
        <v>136</v>
      </c>
      <c r="Q7091" t="s">
        <v>140</v>
      </c>
      <c r="R7091" t="s">
        <v>141</v>
      </c>
      <c r="S7091" t="s">
        <v>145</v>
      </c>
      <c r="T7091" s="2">
        <f>MASTER[[#This Row],[CANTIDAD]]*MASTER[[#This Row],[PRECIO DE VENTA]]</f>
        <v>1231</v>
      </c>
      <c r="U7091" s="2">
        <f>MASTER[[#This Row],[CANTIDAD]]*MASTER[[#This Row],[COSTO UNITARIO]]</f>
        <v>387</v>
      </c>
      <c r="V7091" s="2">
        <f>MASTER[[#This Row],[MONTO VENDIDO]]-MASTER[[#This Row],[COSTO DE VENTA]]</f>
        <v>844</v>
      </c>
    </row>
    <row r="7092" spans="1:22" x14ac:dyDescent="0.3">
      <c r="A7092">
        <v>103564</v>
      </c>
      <c r="B7092">
        <v>1</v>
      </c>
      <c r="C7092" t="s">
        <v>99</v>
      </c>
      <c r="D7092" t="s">
        <v>100</v>
      </c>
      <c r="E7092" s="1">
        <v>44107</v>
      </c>
      <c r="F7092">
        <v>1</v>
      </c>
      <c r="G7092" t="s">
        <v>45</v>
      </c>
      <c r="H7092" t="s">
        <v>46</v>
      </c>
      <c r="I7092" s="4">
        <v>1726</v>
      </c>
      <c r="J7092" s="3">
        <v>1726</v>
      </c>
      <c r="K7092" s="4">
        <v>386</v>
      </c>
      <c r="L7092" t="s">
        <v>98</v>
      </c>
      <c r="M7092">
        <v>19</v>
      </c>
      <c r="N7092" t="s">
        <v>150</v>
      </c>
      <c r="O7092" t="s">
        <v>81</v>
      </c>
      <c r="P7092" t="s">
        <v>136</v>
      </c>
      <c r="Q7092" t="s">
        <v>140</v>
      </c>
      <c r="R7092" t="s">
        <v>141</v>
      </c>
      <c r="S7092" t="s">
        <v>145</v>
      </c>
      <c r="T7092" s="2">
        <f>MASTER[[#This Row],[CANTIDAD]]*MASTER[[#This Row],[PRECIO DE VENTA]]</f>
        <v>1726</v>
      </c>
      <c r="U7092" s="2">
        <f>MASTER[[#This Row],[CANTIDAD]]*MASTER[[#This Row],[COSTO UNITARIO]]</f>
        <v>386</v>
      </c>
      <c r="V7092" s="2">
        <f>MASTER[[#This Row],[MONTO VENDIDO]]-MASTER[[#This Row],[COSTO DE VENTA]]</f>
        <v>1340</v>
      </c>
    </row>
    <row r="7093" spans="1:22" x14ac:dyDescent="0.3">
      <c r="A7093">
        <v>103571</v>
      </c>
      <c r="B7093">
        <v>1</v>
      </c>
      <c r="C7093" t="s">
        <v>99</v>
      </c>
      <c r="D7093" t="s">
        <v>100</v>
      </c>
      <c r="E7093" s="1">
        <v>44107</v>
      </c>
      <c r="F7093">
        <v>4</v>
      </c>
      <c r="G7093" t="s">
        <v>47</v>
      </c>
      <c r="H7093" t="s">
        <v>48</v>
      </c>
      <c r="I7093" s="4">
        <v>2181</v>
      </c>
      <c r="J7093" s="3">
        <v>2181</v>
      </c>
      <c r="K7093" s="4">
        <v>386</v>
      </c>
      <c r="L7093" t="s">
        <v>98</v>
      </c>
      <c r="M7093">
        <v>19</v>
      </c>
      <c r="N7093" t="s">
        <v>150</v>
      </c>
      <c r="O7093" t="s">
        <v>81</v>
      </c>
      <c r="P7093" t="s">
        <v>136</v>
      </c>
      <c r="Q7093" t="s">
        <v>140</v>
      </c>
      <c r="R7093" t="s">
        <v>141</v>
      </c>
      <c r="S7093" t="s">
        <v>145</v>
      </c>
      <c r="T7093" s="2">
        <f>MASTER[[#This Row],[CANTIDAD]]*MASTER[[#This Row],[PRECIO DE VENTA]]</f>
        <v>8724</v>
      </c>
      <c r="U7093" s="2">
        <f>MASTER[[#This Row],[CANTIDAD]]*MASTER[[#This Row],[COSTO UNITARIO]]</f>
        <v>1544</v>
      </c>
      <c r="V7093" s="2">
        <f>MASTER[[#This Row],[MONTO VENDIDO]]-MASTER[[#This Row],[COSTO DE VENTA]]</f>
        <v>7180</v>
      </c>
    </row>
    <row r="7094" spans="1:22" x14ac:dyDescent="0.3">
      <c r="A7094">
        <v>103584</v>
      </c>
      <c r="B7094">
        <v>1</v>
      </c>
      <c r="C7094" t="s">
        <v>111</v>
      </c>
      <c r="D7094" t="s">
        <v>112</v>
      </c>
      <c r="E7094" s="1">
        <v>44107</v>
      </c>
      <c r="F7094">
        <v>1</v>
      </c>
      <c r="G7094" t="s">
        <v>47</v>
      </c>
      <c r="H7094" t="s">
        <v>48</v>
      </c>
      <c r="I7094" s="4">
        <v>1981</v>
      </c>
      <c r="J7094" s="3">
        <v>1981</v>
      </c>
      <c r="K7094" s="4">
        <v>434</v>
      </c>
      <c r="L7094" t="s">
        <v>113</v>
      </c>
      <c r="M7094">
        <v>19</v>
      </c>
      <c r="N7094" t="s">
        <v>150</v>
      </c>
      <c r="O7094" t="s">
        <v>81</v>
      </c>
      <c r="P7094" t="s">
        <v>136</v>
      </c>
      <c r="Q7094" t="s">
        <v>140</v>
      </c>
      <c r="R7094" t="s">
        <v>141</v>
      </c>
      <c r="S7094" t="s">
        <v>145</v>
      </c>
      <c r="T7094" s="2">
        <f>MASTER[[#This Row],[CANTIDAD]]*MASTER[[#This Row],[PRECIO DE VENTA]]</f>
        <v>1981</v>
      </c>
      <c r="U7094" s="2">
        <f>MASTER[[#This Row],[CANTIDAD]]*MASTER[[#This Row],[COSTO UNITARIO]]</f>
        <v>434</v>
      </c>
      <c r="V7094" s="2">
        <f>MASTER[[#This Row],[MONTO VENDIDO]]-MASTER[[#This Row],[COSTO DE VENTA]]</f>
        <v>1547</v>
      </c>
    </row>
    <row r="7095" spans="1:22" x14ac:dyDescent="0.3">
      <c r="A7095">
        <v>103590</v>
      </c>
      <c r="B7095">
        <v>1</v>
      </c>
      <c r="C7095" t="s">
        <v>96</v>
      </c>
      <c r="D7095" t="s">
        <v>97</v>
      </c>
      <c r="E7095" s="1">
        <v>44109</v>
      </c>
      <c r="F7095">
        <v>3</v>
      </c>
      <c r="G7095" t="s">
        <v>27</v>
      </c>
      <c r="H7095" t="s">
        <v>28</v>
      </c>
      <c r="I7095" s="4">
        <v>1554</v>
      </c>
      <c r="J7095" s="3">
        <v>1554</v>
      </c>
      <c r="K7095" s="4">
        <v>397</v>
      </c>
      <c r="L7095" t="s">
        <v>98</v>
      </c>
      <c r="M7095">
        <v>19</v>
      </c>
      <c r="N7095" t="s">
        <v>150</v>
      </c>
      <c r="O7095" t="s">
        <v>81</v>
      </c>
      <c r="P7095" t="s">
        <v>136</v>
      </c>
      <c r="Q7095" t="s">
        <v>140</v>
      </c>
      <c r="R7095" t="s">
        <v>141</v>
      </c>
      <c r="S7095" t="s">
        <v>145</v>
      </c>
      <c r="T7095" s="2">
        <f>MASTER[[#This Row],[CANTIDAD]]*MASTER[[#This Row],[PRECIO DE VENTA]]</f>
        <v>4662</v>
      </c>
      <c r="U7095" s="2">
        <f>MASTER[[#This Row],[CANTIDAD]]*MASTER[[#This Row],[COSTO UNITARIO]]</f>
        <v>1191</v>
      </c>
      <c r="V7095" s="2">
        <f>MASTER[[#This Row],[MONTO VENDIDO]]-MASTER[[#This Row],[COSTO DE VENTA]]</f>
        <v>3471</v>
      </c>
    </row>
    <row r="7096" spans="1:22" x14ac:dyDescent="0.3">
      <c r="A7096">
        <v>103595</v>
      </c>
      <c r="B7096">
        <v>1</v>
      </c>
      <c r="C7096" t="s">
        <v>114</v>
      </c>
      <c r="D7096" t="s">
        <v>115</v>
      </c>
      <c r="E7096" s="1">
        <v>44109</v>
      </c>
      <c r="F7096">
        <v>1</v>
      </c>
      <c r="G7096" t="s">
        <v>65</v>
      </c>
      <c r="H7096" t="s">
        <v>66</v>
      </c>
      <c r="I7096" s="4">
        <v>2057</v>
      </c>
      <c r="J7096" s="3">
        <v>2057</v>
      </c>
      <c r="K7096" s="4">
        <v>394</v>
      </c>
      <c r="L7096" t="s">
        <v>113</v>
      </c>
      <c r="M7096">
        <v>18</v>
      </c>
      <c r="N7096" t="str">
        <f>IF(MASTER[[#This Row],[IDLOCAL]]=17,"HYDE PARK", "HARLEM IRVING")</f>
        <v>HARLEM IRVING</v>
      </c>
      <c r="O7096" t="str">
        <f>IF(MASTER[[#This Row],[IDLOCAL]]=17,"PREMIUM", "ESTÁNDAR")</f>
        <v>ESTÁNDAR</v>
      </c>
      <c r="P7096" t="s">
        <v>137</v>
      </c>
      <c r="Q7096" t="s">
        <v>142</v>
      </c>
      <c r="R7096" t="s">
        <v>143</v>
      </c>
      <c r="S7096" t="s">
        <v>145</v>
      </c>
      <c r="T7096" s="2">
        <f>MASTER[[#This Row],[CANTIDAD]]*MASTER[[#This Row],[PRECIO DE VENTA]]</f>
        <v>2057</v>
      </c>
      <c r="U7096" s="2">
        <f>MASTER[[#This Row],[CANTIDAD]]*MASTER[[#This Row],[COSTO UNITARIO]]</f>
        <v>394</v>
      </c>
      <c r="V7096" s="2">
        <f>MASTER[[#This Row],[MONTO VENDIDO]]-MASTER[[#This Row],[COSTO DE VENTA]]</f>
        <v>1663</v>
      </c>
    </row>
    <row r="7097" spans="1:22" x14ac:dyDescent="0.3">
      <c r="A7097">
        <v>103599</v>
      </c>
      <c r="B7097">
        <v>1</v>
      </c>
      <c r="C7097" t="s">
        <v>118</v>
      </c>
      <c r="D7097" t="s">
        <v>119</v>
      </c>
      <c r="E7097" s="1">
        <v>44111</v>
      </c>
      <c r="F7097">
        <v>1</v>
      </c>
      <c r="G7097" t="s">
        <v>59</v>
      </c>
      <c r="H7097" t="s">
        <v>60</v>
      </c>
      <c r="I7097" s="4">
        <v>1041</v>
      </c>
      <c r="J7097" s="3">
        <v>1041</v>
      </c>
      <c r="K7097" s="4">
        <v>424</v>
      </c>
      <c r="L7097" t="s">
        <v>120</v>
      </c>
      <c r="M7097">
        <v>19</v>
      </c>
      <c r="N7097" t="s">
        <v>150</v>
      </c>
      <c r="O7097" t="s">
        <v>81</v>
      </c>
      <c r="P7097" t="s">
        <v>136</v>
      </c>
      <c r="Q7097" t="s">
        <v>140</v>
      </c>
      <c r="R7097" t="s">
        <v>141</v>
      </c>
      <c r="S7097" t="s">
        <v>145</v>
      </c>
      <c r="T7097" s="2">
        <f>MASTER[[#This Row],[CANTIDAD]]*MASTER[[#This Row],[PRECIO DE VENTA]]</f>
        <v>1041</v>
      </c>
      <c r="U7097" s="2">
        <f>MASTER[[#This Row],[CANTIDAD]]*MASTER[[#This Row],[COSTO UNITARIO]]</f>
        <v>424</v>
      </c>
      <c r="V7097" s="2">
        <f>MASTER[[#This Row],[MONTO VENDIDO]]-MASTER[[#This Row],[COSTO DE VENTA]]</f>
        <v>617</v>
      </c>
    </row>
    <row r="7098" spans="1:22" x14ac:dyDescent="0.3">
      <c r="A7098">
        <v>103601</v>
      </c>
      <c r="B7098">
        <v>1</v>
      </c>
      <c r="C7098" t="s">
        <v>121</v>
      </c>
      <c r="D7098" t="s">
        <v>122</v>
      </c>
      <c r="E7098" s="1">
        <v>44111</v>
      </c>
      <c r="F7098">
        <v>1</v>
      </c>
      <c r="G7098" t="s">
        <v>22</v>
      </c>
      <c r="H7098" t="s">
        <v>23</v>
      </c>
      <c r="I7098" s="4">
        <v>1487</v>
      </c>
      <c r="J7098" s="3">
        <v>1487</v>
      </c>
      <c r="K7098" s="4">
        <v>460</v>
      </c>
      <c r="L7098" t="s">
        <v>120</v>
      </c>
      <c r="M7098">
        <v>17</v>
      </c>
      <c r="N7098" t="str">
        <f>IF(MASTER[[#This Row],[IDLOCAL]]=17,"HYDE PARK", "HARLEM IRVING")</f>
        <v>HYDE PARK</v>
      </c>
      <c r="O7098" t="str">
        <f>IF(MASTER[[#This Row],[IDLOCAL]]=17,"PREMIUM", "ESTÁNDAR")</f>
        <v>PREMIUM</v>
      </c>
      <c r="P7098" t="s">
        <v>137</v>
      </c>
      <c r="Q7098" t="s">
        <v>142</v>
      </c>
      <c r="R7098" t="s">
        <v>143</v>
      </c>
      <c r="S7098" t="s">
        <v>145</v>
      </c>
      <c r="T7098" s="2">
        <f>MASTER[[#This Row],[CANTIDAD]]*MASTER[[#This Row],[PRECIO DE VENTA]]</f>
        <v>1487</v>
      </c>
      <c r="U7098" s="2">
        <f>MASTER[[#This Row],[CANTIDAD]]*MASTER[[#This Row],[COSTO UNITARIO]]</f>
        <v>460</v>
      </c>
      <c r="V7098" s="2">
        <f>MASTER[[#This Row],[MONTO VENDIDO]]-MASTER[[#This Row],[COSTO DE VENTA]]</f>
        <v>1027</v>
      </c>
    </row>
    <row r="7099" spans="1:22" x14ac:dyDescent="0.3">
      <c r="A7099">
        <v>103606</v>
      </c>
      <c r="B7099">
        <v>1</v>
      </c>
      <c r="C7099" t="s">
        <v>109</v>
      </c>
      <c r="D7099" t="s">
        <v>110</v>
      </c>
      <c r="E7099" s="1">
        <v>44113</v>
      </c>
      <c r="F7099">
        <v>1</v>
      </c>
      <c r="G7099" t="s">
        <v>24</v>
      </c>
      <c r="H7099" t="s">
        <v>25</v>
      </c>
      <c r="I7099" s="4">
        <v>1466</v>
      </c>
      <c r="J7099" s="3">
        <v>1466</v>
      </c>
      <c r="K7099" s="4">
        <v>387</v>
      </c>
      <c r="L7099" t="s">
        <v>98</v>
      </c>
      <c r="M7099">
        <v>19</v>
      </c>
      <c r="N7099" t="s">
        <v>150</v>
      </c>
      <c r="O7099" t="s">
        <v>81</v>
      </c>
      <c r="P7099" t="s">
        <v>136</v>
      </c>
      <c r="Q7099" t="s">
        <v>140</v>
      </c>
      <c r="R7099" t="s">
        <v>141</v>
      </c>
      <c r="S7099" t="s">
        <v>145</v>
      </c>
      <c r="T7099" s="2">
        <f>MASTER[[#This Row],[CANTIDAD]]*MASTER[[#This Row],[PRECIO DE VENTA]]</f>
        <v>1466</v>
      </c>
      <c r="U7099" s="2">
        <f>MASTER[[#This Row],[CANTIDAD]]*MASTER[[#This Row],[COSTO UNITARIO]]</f>
        <v>387</v>
      </c>
      <c r="V7099" s="2">
        <f>MASTER[[#This Row],[MONTO VENDIDO]]-MASTER[[#This Row],[COSTO DE VENTA]]</f>
        <v>1079</v>
      </c>
    </row>
    <row r="7100" spans="1:22" x14ac:dyDescent="0.3">
      <c r="A7100">
        <v>103624</v>
      </c>
      <c r="B7100">
        <v>1</v>
      </c>
      <c r="C7100" t="s">
        <v>118</v>
      </c>
      <c r="D7100" t="s">
        <v>119</v>
      </c>
      <c r="E7100" s="1">
        <v>44117</v>
      </c>
      <c r="F7100">
        <v>1</v>
      </c>
      <c r="G7100" t="s">
        <v>37</v>
      </c>
      <c r="H7100" t="s">
        <v>38</v>
      </c>
      <c r="I7100" s="4">
        <v>1170</v>
      </c>
      <c r="J7100" s="3">
        <v>1170</v>
      </c>
      <c r="K7100" s="4">
        <v>424</v>
      </c>
      <c r="L7100" t="s">
        <v>120</v>
      </c>
      <c r="M7100">
        <v>19</v>
      </c>
      <c r="N7100" t="s">
        <v>150</v>
      </c>
      <c r="O7100" t="s">
        <v>81</v>
      </c>
      <c r="P7100" t="s">
        <v>136</v>
      </c>
      <c r="Q7100" t="s">
        <v>140</v>
      </c>
      <c r="R7100" t="s">
        <v>141</v>
      </c>
      <c r="S7100" t="s">
        <v>145</v>
      </c>
      <c r="T7100" s="2">
        <f>MASTER[[#This Row],[CANTIDAD]]*MASTER[[#This Row],[PRECIO DE VENTA]]</f>
        <v>1170</v>
      </c>
      <c r="U7100" s="2">
        <f>MASTER[[#This Row],[CANTIDAD]]*MASTER[[#This Row],[COSTO UNITARIO]]</f>
        <v>424</v>
      </c>
      <c r="V7100" s="2">
        <f>MASTER[[#This Row],[MONTO VENDIDO]]-MASTER[[#This Row],[COSTO DE VENTA]]</f>
        <v>746</v>
      </c>
    </row>
    <row r="7101" spans="1:22" x14ac:dyDescent="0.3">
      <c r="A7101">
        <v>103629</v>
      </c>
      <c r="B7101">
        <v>1</v>
      </c>
      <c r="C7101" t="s">
        <v>96</v>
      </c>
      <c r="D7101" t="s">
        <v>97</v>
      </c>
      <c r="E7101" s="1">
        <v>44118</v>
      </c>
      <c r="F7101">
        <v>1</v>
      </c>
      <c r="G7101" t="s">
        <v>53</v>
      </c>
      <c r="H7101" t="s">
        <v>54</v>
      </c>
      <c r="I7101" s="4">
        <v>1653</v>
      </c>
      <c r="J7101" s="3">
        <v>1653</v>
      </c>
      <c r="K7101" s="4">
        <v>397</v>
      </c>
      <c r="L7101" t="s">
        <v>98</v>
      </c>
      <c r="M7101">
        <v>19</v>
      </c>
      <c r="N7101" t="s">
        <v>150</v>
      </c>
      <c r="O7101" t="s">
        <v>81</v>
      </c>
      <c r="P7101" t="s">
        <v>136</v>
      </c>
      <c r="Q7101" t="s">
        <v>140</v>
      </c>
      <c r="R7101" t="s">
        <v>141</v>
      </c>
      <c r="S7101" t="s">
        <v>145</v>
      </c>
      <c r="T7101" s="2">
        <f>MASTER[[#This Row],[CANTIDAD]]*MASTER[[#This Row],[PRECIO DE VENTA]]</f>
        <v>1653</v>
      </c>
      <c r="U7101" s="2">
        <f>MASTER[[#This Row],[CANTIDAD]]*MASTER[[#This Row],[COSTO UNITARIO]]</f>
        <v>397</v>
      </c>
      <c r="V7101" s="2">
        <f>MASTER[[#This Row],[MONTO VENDIDO]]-MASTER[[#This Row],[COSTO DE VENTA]]</f>
        <v>1256</v>
      </c>
    </row>
    <row r="7102" spans="1:22" x14ac:dyDescent="0.3">
      <c r="A7102">
        <v>103640</v>
      </c>
      <c r="B7102">
        <v>1</v>
      </c>
      <c r="C7102" t="s">
        <v>105</v>
      </c>
      <c r="D7102" t="s">
        <v>106</v>
      </c>
      <c r="E7102" s="1">
        <v>44118</v>
      </c>
      <c r="F7102">
        <v>1</v>
      </c>
      <c r="G7102" t="s">
        <v>51</v>
      </c>
      <c r="H7102" t="s">
        <v>52</v>
      </c>
      <c r="I7102" s="4">
        <v>2642</v>
      </c>
      <c r="J7102" s="3">
        <v>2642</v>
      </c>
      <c r="K7102" s="4">
        <v>459</v>
      </c>
      <c r="L7102" t="s">
        <v>98</v>
      </c>
      <c r="M7102">
        <v>18</v>
      </c>
      <c r="N7102" t="str">
        <f>IF(MASTER[[#This Row],[IDLOCAL]]=17,"HYDE PARK", "HARLEM IRVING")</f>
        <v>HARLEM IRVING</v>
      </c>
      <c r="O7102" t="str">
        <f>IF(MASTER[[#This Row],[IDLOCAL]]=17,"PREMIUM", "ESTÁNDAR")</f>
        <v>ESTÁNDAR</v>
      </c>
      <c r="P7102" t="s">
        <v>137</v>
      </c>
      <c r="Q7102" t="s">
        <v>142</v>
      </c>
      <c r="R7102" t="s">
        <v>143</v>
      </c>
      <c r="S7102" t="s">
        <v>145</v>
      </c>
      <c r="T7102" s="2">
        <f>MASTER[[#This Row],[CANTIDAD]]*MASTER[[#This Row],[PRECIO DE VENTA]]</f>
        <v>2642</v>
      </c>
      <c r="U7102" s="2">
        <f>MASTER[[#This Row],[CANTIDAD]]*MASTER[[#This Row],[COSTO UNITARIO]]</f>
        <v>459</v>
      </c>
      <c r="V7102" s="2">
        <f>MASTER[[#This Row],[MONTO VENDIDO]]-MASTER[[#This Row],[COSTO DE VENTA]]</f>
        <v>2183</v>
      </c>
    </row>
    <row r="7103" spans="1:22" x14ac:dyDescent="0.3">
      <c r="A7103">
        <v>103642</v>
      </c>
      <c r="B7103">
        <v>1</v>
      </c>
      <c r="C7103" t="s">
        <v>5</v>
      </c>
      <c r="D7103" t="s">
        <v>6</v>
      </c>
      <c r="E7103" s="1">
        <v>44119</v>
      </c>
      <c r="F7103">
        <v>1</v>
      </c>
      <c r="G7103" t="s">
        <v>7</v>
      </c>
      <c r="H7103" t="s">
        <v>8</v>
      </c>
      <c r="I7103" s="4">
        <v>1959</v>
      </c>
      <c r="J7103" s="3">
        <v>1959</v>
      </c>
      <c r="K7103" s="4">
        <v>393</v>
      </c>
      <c r="L7103" t="s">
        <v>9</v>
      </c>
      <c r="M7103">
        <v>18</v>
      </c>
      <c r="N7103" t="str">
        <f>IF(MASTER[[#This Row],[IDLOCAL]]=17,"HYDE PARK", "HARLEM IRVING")</f>
        <v>HARLEM IRVING</v>
      </c>
      <c r="O7103" t="str">
        <f>IF(MASTER[[#This Row],[IDLOCAL]]=17,"PREMIUM", "ESTÁNDAR")</f>
        <v>ESTÁNDAR</v>
      </c>
      <c r="P7103" t="s">
        <v>137</v>
      </c>
      <c r="Q7103" t="s">
        <v>142</v>
      </c>
      <c r="R7103" t="s">
        <v>143</v>
      </c>
      <c r="S7103" t="s">
        <v>145</v>
      </c>
      <c r="T7103" s="2">
        <f>MASTER[[#This Row],[CANTIDAD]]*MASTER[[#This Row],[PRECIO DE VENTA]]</f>
        <v>1959</v>
      </c>
      <c r="U7103" s="2">
        <f>MASTER[[#This Row],[CANTIDAD]]*MASTER[[#This Row],[COSTO UNITARIO]]</f>
        <v>393</v>
      </c>
      <c r="V7103" s="2">
        <f>MASTER[[#This Row],[MONTO VENDIDO]]-MASTER[[#This Row],[COSTO DE VENTA]]</f>
        <v>1566</v>
      </c>
    </row>
    <row r="7104" spans="1:22" x14ac:dyDescent="0.3">
      <c r="A7104">
        <v>103657</v>
      </c>
      <c r="B7104">
        <v>1</v>
      </c>
      <c r="C7104" t="s">
        <v>92</v>
      </c>
      <c r="D7104" t="s">
        <v>93</v>
      </c>
      <c r="E7104" s="1">
        <v>44119</v>
      </c>
      <c r="F7104">
        <v>1</v>
      </c>
      <c r="G7104" t="s">
        <v>43</v>
      </c>
      <c r="H7104" t="s">
        <v>44</v>
      </c>
      <c r="I7104" s="4">
        <v>2185</v>
      </c>
      <c r="J7104" s="3">
        <v>2185</v>
      </c>
      <c r="K7104" s="4">
        <v>396</v>
      </c>
      <c r="L7104" t="s">
        <v>9</v>
      </c>
      <c r="M7104">
        <v>18</v>
      </c>
      <c r="N7104" t="str">
        <f>IF(MASTER[[#This Row],[IDLOCAL]]=17,"HYDE PARK", "HARLEM IRVING")</f>
        <v>HARLEM IRVING</v>
      </c>
      <c r="O7104" t="str">
        <f>IF(MASTER[[#This Row],[IDLOCAL]]=17,"PREMIUM", "ESTÁNDAR")</f>
        <v>ESTÁNDAR</v>
      </c>
      <c r="P7104" t="s">
        <v>137</v>
      </c>
      <c r="Q7104" t="s">
        <v>142</v>
      </c>
      <c r="R7104" t="s">
        <v>143</v>
      </c>
      <c r="S7104" t="s">
        <v>145</v>
      </c>
      <c r="T7104" s="2">
        <f>MASTER[[#This Row],[CANTIDAD]]*MASTER[[#This Row],[PRECIO DE VENTA]]</f>
        <v>2185</v>
      </c>
      <c r="U7104" s="2">
        <f>MASTER[[#This Row],[CANTIDAD]]*MASTER[[#This Row],[COSTO UNITARIO]]</f>
        <v>396</v>
      </c>
      <c r="V7104" s="2">
        <f>MASTER[[#This Row],[MONTO VENDIDO]]-MASTER[[#This Row],[COSTO DE VENTA]]</f>
        <v>1789</v>
      </c>
    </row>
    <row r="7105" spans="1:22" x14ac:dyDescent="0.3">
      <c r="A7105">
        <v>103674</v>
      </c>
      <c r="B7105">
        <v>1</v>
      </c>
      <c r="C7105" t="s">
        <v>111</v>
      </c>
      <c r="D7105" t="s">
        <v>112</v>
      </c>
      <c r="E7105" s="1">
        <v>44119</v>
      </c>
      <c r="F7105">
        <v>1</v>
      </c>
      <c r="G7105" t="s">
        <v>57</v>
      </c>
      <c r="H7105" t="s">
        <v>58</v>
      </c>
      <c r="I7105" s="4">
        <v>2107</v>
      </c>
      <c r="J7105" s="3">
        <v>2107</v>
      </c>
      <c r="K7105" s="4">
        <v>434</v>
      </c>
      <c r="L7105" t="s">
        <v>113</v>
      </c>
      <c r="M7105">
        <v>18</v>
      </c>
      <c r="N7105" t="str">
        <f>IF(MASTER[[#This Row],[IDLOCAL]]=17,"HYDE PARK", "HARLEM IRVING")</f>
        <v>HARLEM IRVING</v>
      </c>
      <c r="O7105" t="str">
        <f>IF(MASTER[[#This Row],[IDLOCAL]]=17,"PREMIUM", "ESTÁNDAR")</f>
        <v>ESTÁNDAR</v>
      </c>
      <c r="P7105" t="s">
        <v>137</v>
      </c>
      <c r="Q7105" t="s">
        <v>142</v>
      </c>
      <c r="R7105" t="s">
        <v>143</v>
      </c>
      <c r="S7105" t="s">
        <v>145</v>
      </c>
      <c r="T7105" s="2">
        <f>MASTER[[#This Row],[CANTIDAD]]*MASTER[[#This Row],[PRECIO DE VENTA]]</f>
        <v>2107</v>
      </c>
      <c r="U7105" s="2">
        <f>MASTER[[#This Row],[CANTIDAD]]*MASTER[[#This Row],[COSTO UNITARIO]]</f>
        <v>434</v>
      </c>
      <c r="V7105" s="2">
        <f>MASTER[[#This Row],[MONTO VENDIDO]]-MASTER[[#This Row],[COSTO DE VENTA]]</f>
        <v>1673</v>
      </c>
    </row>
    <row r="7106" spans="1:22" x14ac:dyDescent="0.3">
      <c r="A7106">
        <v>103687</v>
      </c>
      <c r="B7106">
        <v>1</v>
      </c>
      <c r="C7106" t="s">
        <v>105</v>
      </c>
      <c r="D7106" t="s">
        <v>106</v>
      </c>
      <c r="E7106" s="1">
        <v>44121</v>
      </c>
      <c r="F7106">
        <v>1</v>
      </c>
      <c r="G7106" t="s">
        <v>67</v>
      </c>
      <c r="H7106" t="s">
        <v>68</v>
      </c>
      <c r="I7106" s="4">
        <v>2424</v>
      </c>
      <c r="J7106" s="3">
        <v>2424</v>
      </c>
      <c r="K7106" s="4">
        <v>459</v>
      </c>
      <c r="L7106" t="s">
        <v>98</v>
      </c>
      <c r="M7106">
        <v>19</v>
      </c>
      <c r="N7106" t="s">
        <v>150</v>
      </c>
      <c r="O7106" t="s">
        <v>81</v>
      </c>
      <c r="P7106" t="s">
        <v>136</v>
      </c>
      <c r="Q7106" t="s">
        <v>140</v>
      </c>
      <c r="R7106" t="s">
        <v>141</v>
      </c>
      <c r="S7106" t="s">
        <v>145</v>
      </c>
      <c r="T7106" s="2">
        <f>MASTER[[#This Row],[CANTIDAD]]*MASTER[[#This Row],[PRECIO DE VENTA]]</f>
        <v>2424</v>
      </c>
      <c r="U7106" s="2">
        <f>MASTER[[#This Row],[CANTIDAD]]*MASTER[[#This Row],[COSTO UNITARIO]]</f>
        <v>459</v>
      </c>
      <c r="V7106" s="2">
        <f>MASTER[[#This Row],[MONTO VENDIDO]]-MASTER[[#This Row],[COSTO DE VENTA]]</f>
        <v>1965</v>
      </c>
    </row>
    <row r="7107" spans="1:22" x14ac:dyDescent="0.3">
      <c r="A7107">
        <v>103693</v>
      </c>
      <c r="B7107">
        <v>1</v>
      </c>
      <c r="C7107" t="s">
        <v>107</v>
      </c>
      <c r="D7107" t="s">
        <v>108</v>
      </c>
      <c r="E7107" s="1">
        <v>44122</v>
      </c>
      <c r="F7107">
        <v>1</v>
      </c>
      <c r="G7107" t="s">
        <v>57</v>
      </c>
      <c r="H7107" t="s">
        <v>58</v>
      </c>
      <c r="I7107" s="4">
        <v>1732</v>
      </c>
      <c r="J7107" s="3">
        <v>1732</v>
      </c>
      <c r="K7107" s="4">
        <v>380</v>
      </c>
      <c r="L7107" t="s">
        <v>98</v>
      </c>
      <c r="M7107">
        <v>19</v>
      </c>
      <c r="N7107" t="s">
        <v>150</v>
      </c>
      <c r="O7107" t="s">
        <v>81</v>
      </c>
      <c r="P7107" t="s">
        <v>136</v>
      </c>
      <c r="Q7107" t="s">
        <v>140</v>
      </c>
      <c r="R7107" t="s">
        <v>141</v>
      </c>
      <c r="S7107" t="s">
        <v>145</v>
      </c>
      <c r="T7107" s="2">
        <f>MASTER[[#This Row],[CANTIDAD]]*MASTER[[#This Row],[PRECIO DE VENTA]]</f>
        <v>1732</v>
      </c>
      <c r="U7107" s="2">
        <f>MASTER[[#This Row],[CANTIDAD]]*MASTER[[#This Row],[COSTO UNITARIO]]</f>
        <v>380</v>
      </c>
      <c r="V7107" s="2">
        <f>MASTER[[#This Row],[MONTO VENDIDO]]-MASTER[[#This Row],[COSTO DE VENTA]]</f>
        <v>1352</v>
      </c>
    </row>
    <row r="7108" spans="1:22" x14ac:dyDescent="0.3">
      <c r="A7108">
        <v>103697</v>
      </c>
      <c r="B7108">
        <v>1</v>
      </c>
      <c r="C7108" t="s">
        <v>121</v>
      </c>
      <c r="D7108" t="s">
        <v>122</v>
      </c>
      <c r="E7108" s="1">
        <v>44123</v>
      </c>
      <c r="F7108">
        <v>1</v>
      </c>
      <c r="G7108" t="s">
        <v>63</v>
      </c>
      <c r="H7108" t="s">
        <v>64</v>
      </c>
      <c r="I7108" s="4">
        <v>1389</v>
      </c>
      <c r="J7108" s="3">
        <v>1389</v>
      </c>
      <c r="K7108" s="4">
        <v>460</v>
      </c>
      <c r="L7108" t="s">
        <v>120</v>
      </c>
      <c r="M7108">
        <v>19</v>
      </c>
      <c r="N7108" t="s">
        <v>150</v>
      </c>
      <c r="O7108" t="s">
        <v>81</v>
      </c>
      <c r="P7108" t="s">
        <v>136</v>
      </c>
      <c r="Q7108" t="s">
        <v>140</v>
      </c>
      <c r="R7108" t="s">
        <v>141</v>
      </c>
      <c r="S7108" t="s">
        <v>145</v>
      </c>
      <c r="T7108" s="2">
        <f>MASTER[[#This Row],[CANTIDAD]]*MASTER[[#This Row],[PRECIO DE VENTA]]</f>
        <v>1389</v>
      </c>
      <c r="U7108" s="2">
        <f>MASTER[[#This Row],[CANTIDAD]]*MASTER[[#This Row],[COSTO UNITARIO]]</f>
        <v>460</v>
      </c>
      <c r="V7108" s="2">
        <f>MASTER[[#This Row],[MONTO VENDIDO]]-MASTER[[#This Row],[COSTO DE VENTA]]</f>
        <v>929</v>
      </c>
    </row>
    <row r="7109" spans="1:22" x14ac:dyDescent="0.3">
      <c r="A7109">
        <v>103704</v>
      </c>
      <c r="B7109">
        <v>1</v>
      </c>
      <c r="C7109" t="s">
        <v>101</v>
      </c>
      <c r="D7109" t="s">
        <v>102</v>
      </c>
      <c r="E7109" s="1">
        <v>44124</v>
      </c>
      <c r="F7109">
        <v>1</v>
      </c>
      <c r="G7109" t="s">
        <v>61</v>
      </c>
      <c r="H7109" t="s">
        <v>62</v>
      </c>
      <c r="I7109" s="4">
        <v>1764</v>
      </c>
      <c r="J7109" s="3">
        <v>1764</v>
      </c>
      <c r="K7109" s="4">
        <v>442</v>
      </c>
      <c r="L7109" t="s">
        <v>98</v>
      </c>
      <c r="M7109">
        <v>19</v>
      </c>
      <c r="N7109" t="s">
        <v>150</v>
      </c>
      <c r="O7109" t="s">
        <v>81</v>
      </c>
      <c r="P7109" t="s">
        <v>136</v>
      </c>
      <c r="Q7109" t="s">
        <v>140</v>
      </c>
      <c r="R7109" t="s">
        <v>141</v>
      </c>
      <c r="S7109" t="s">
        <v>145</v>
      </c>
      <c r="T7109" s="2">
        <f>MASTER[[#This Row],[CANTIDAD]]*MASTER[[#This Row],[PRECIO DE VENTA]]</f>
        <v>1764</v>
      </c>
      <c r="U7109" s="2">
        <f>MASTER[[#This Row],[CANTIDAD]]*MASTER[[#This Row],[COSTO UNITARIO]]</f>
        <v>442</v>
      </c>
      <c r="V7109" s="2">
        <f>MASTER[[#This Row],[MONTO VENDIDO]]-MASTER[[#This Row],[COSTO DE VENTA]]</f>
        <v>1322</v>
      </c>
    </row>
    <row r="7110" spans="1:22" x14ac:dyDescent="0.3">
      <c r="A7110">
        <v>103705</v>
      </c>
      <c r="B7110">
        <v>1</v>
      </c>
      <c r="C7110" t="s">
        <v>114</v>
      </c>
      <c r="D7110" t="s">
        <v>115</v>
      </c>
      <c r="E7110" s="1">
        <v>44125</v>
      </c>
      <c r="F7110">
        <v>1</v>
      </c>
      <c r="G7110" t="s">
        <v>27</v>
      </c>
      <c r="H7110" t="s">
        <v>28</v>
      </c>
      <c r="I7110" s="4">
        <v>2420</v>
      </c>
      <c r="J7110" s="3">
        <v>2420</v>
      </c>
      <c r="K7110" s="4">
        <v>394</v>
      </c>
      <c r="L7110" t="s">
        <v>113</v>
      </c>
      <c r="M7110">
        <v>18</v>
      </c>
      <c r="N7110" t="str">
        <f>IF(MASTER[[#This Row],[IDLOCAL]]=17,"HYDE PARK", "HARLEM IRVING")</f>
        <v>HARLEM IRVING</v>
      </c>
      <c r="O7110" t="str">
        <f>IF(MASTER[[#This Row],[IDLOCAL]]=17,"PREMIUM", "ESTÁNDAR")</f>
        <v>ESTÁNDAR</v>
      </c>
      <c r="P7110" t="s">
        <v>137</v>
      </c>
      <c r="Q7110" t="s">
        <v>142</v>
      </c>
      <c r="R7110" t="s">
        <v>143</v>
      </c>
      <c r="S7110" t="s">
        <v>145</v>
      </c>
      <c r="T7110" s="2">
        <f>MASTER[[#This Row],[CANTIDAD]]*MASTER[[#This Row],[PRECIO DE VENTA]]</f>
        <v>2420</v>
      </c>
      <c r="U7110" s="2">
        <f>MASTER[[#This Row],[CANTIDAD]]*MASTER[[#This Row],[COSTO UNITARIO]]</f>
        <v>394</v>
      </c>
      <c r="V7110" s="2">
        <f>MASTER[[#This Row],[MONTO VENDIDO]]-MASTER[[#This Row],[COSTO DE VENTA]]</f>
        <v>2026</v>
      </c>
    </row>
    <row r="7111" spans="1:22" x14ac:dyDescent="0.3">
      <c r="A7111">
        <v>103708</v>
      </c>
      <c r="B7111">
        <v>1</v>
      </c>
      <c r="C7111" t="s">
        <v>90</v>
      </c>
      <c r="D7111" t="s">
        <v>91</v>
      </c>
      <c r="E7111" s="1">
        <v>44126</v>
      </c>
      <c r="F7111">
        <v>1</v>
      </c>
      <c r="G7111" t="s">
        <v>20</v>
      </c>
      <c r="H7111" t="s">
        <v>21</v>
      </c>
      <c r="I7111" s="4">
        <v>2732</v>
      </c>
      <c r="J7111" s="3">
        <v>2732</v>
      </c>
      <c r="K7111" s="4">
        <v>420</v>
      </c>
      <c r="L7111" t="s">
        <v>9</v>
      </c>
      <c r="M7111">
        <v>17</v>
      </c>
      <c r="N7111" t="str">
        <f>IF(MASTER[[#This Row],[IDLOCAL]]=17,"HYDE PARK", "HARLEM IRVING")</f>
        <v>HYDE PARK</v>
      </c>
      <c r="O7111" t="str">
        <f>IF(MASTER[[#This Row],[IDLOCAL]]=17,"PREMIUM", "ESTÁNDAR")</f>
        <v>PREMIUM</v>
      </c>
      <c r="P7111" t="s">
        <v>137</v>
      </c>
      <c r="Q7111" t="s">
        <v>142</v>
      </c>
      <c r="R7111" t="s">
        <v>143</v>
      </c>
      <c r="S7111" t="s">
        <v>145</v>
      </c>
      <c r="T7111" s="2">
        <f>MASTER[[#This Row],[CANTIDAD]]*MASTER[[#This Row],[PRECIO DE VENTA]]</f>
        <v>2732</v>
      </c>
      <c r="U7111" s="2">
        <f>MASTER[[#This Row],[CANTIDAD]]*MASTER[[#This Row],[COSTO UNITARIO]]</f>
        <v>420</v>
      </c>
      <c r="V7111" s="2">
        <f>MASTER[[#This Row],[MONTO VENDIDO]]-MASTER[[#This Row],[COSTO DE VENTA]]</f>
        <v>2312</v>
      </c>
    </row>
    <row r="7112" spans="1:22" x14ac:dyDescent="0.3">
      <c r="A7112">
        <v>103724</v>
      </c>
      <c r="B7112">
        <v>1</v>
      </c>
      <c r="C7112" t="s">
        <v>94</v>
      </c>
      <c r="D7112" t="s">
        <v>95</v>
      </c>
      <c r="E7112" s="1">
        <v>44127</v>
      </c>
      <c r="F7112">
        <v>3</v>
      </c>
      <c r="G7112" t="s">
        <v>49</v>
      </c>
      <c r="H7112" t="s">
        <v>50</v>
      </c>
      <c r="I7112" s="4">
        <v>1498</v>
      </c>
      <c r="J7112" s="3">
        <v>1498</v>
      </c>
      <c r="K7112" s="4">
        <v>392</v>
      </c>
      <c r="L7112" t="s">
        <v>9</v>
      </c>
      <c r="M7112">
        <v>19</v>
      </c>
      <c r="N7112" t="s">
        <v>150</v>
      </c>
      <c r="O7112" t="s">
        <v>81</v>
      </c>
      <c r="P7112" t="s">
        <v>136</v>
      </c>
      <c r="Q7112" t="s">
        <v>140</v>
      </c>
      <c r="R7112" t="s">
        <v>141</v>
      </c>
      <c r="S7112" t="s">
        <v>145</v>
      </c>
      <c r="T7112" s="2">
        <f>MASTER[[#This Row],[CANTIDAD]]*MASTER[[#This Row],[PRECIO DE VENTA]]</f>
        <v>4494</v>
      </c>
      <c r="U7112" s="2">
        <f>MASTER[[#This Row],[CANTIDAD]]*MASTER[[#This Row],[COSTO UNITARIO]]</f>
        <v>1176</v>
      </c>
      <c r="V7112" s="2">
        <f>MASTER[[#This Row],[MONTO VENDIDO]]-MASTER[[#This Row],[COSTO DE VENTA]]</f>
        <v>3318</v>
      </c>
    </row>
    <row r="7113" spans="1:22" x14ac:dyDescent="0.3">
      <c r="A7113">
        <v>103730</v>
      </c>
      <c r="B7113">
        <v>1</v>
      </c>
      <c r="C7113" t="s">
        <v>107</v>
      </c>
      <c r="D7113" t="s">
        <v>108</v>
      </c>
      <c r="E7113" s="1">
        <v>44127</v>
      </c>
      <c r="F7113">
        <v>1</v>
      </c>
      <c r="G7113" t="s">
        <v>24</v>
      </c>
      <c r="H7113" t="s">
        <v>25</v>
      </c>
      <c r="I7113" s="4">
        <v>1612</v>
      </c>
      <c r="J7113" s="3">
        <v>1612</v>
      </c>
      <c r="K7113" s="4">
        <v>380</v>
      </c>
      <c r="L7113" t="s">
        <v>98</v>
      </c>
      <c r="M7113">
        <v>19</v>
      </c>
      <c r="N7113" t="s">
        <v>150</v>
      </c>
      <c r="O7113" t="s">
        <v>81</v>
      </c>
      <c r="P7113" t="s">
        <v>136</v>
      </c>
      <c r="Q7113" t="s">
        <v>140</v>
      </c>
      <c r="R7113" t="s">
        <v>141</v>
      </c>
      <c r="S7113" t="s">
        <v>145</v>
      </c>
      <c r="T7113" s="2">
        <f>MASTER[[#This Row],[CANTIDAD]]*MASTER[[#This Row],[PRECIO DE VENTA]]</f>
        <v>1612</v>
      </c>
      <c r="U7113" s="2">
        <f>MASTER[[#This Row],[CANTIDAD]]*MASTER[[#This Row],[COSTO UNITARIO]]</f>
        <v>380</v>
      </c>
      <c r="V7113" s="2">
        <f>MASTER[[#This Row],[MONTO VENDIDO]]-MASTER[[#This Row],[COSTO DE VENTA]]</f>
        <v>1232</v>
      </c>
    </row>
    <row r="7114" spans="1:22" x14ac:dyDescent="0.3">
      <c r="A7114">
        <v>103736</v>
      </c>
      <c r="B7114">
        <v>1</v>
      </c>
      <c r="C7114" t="s">
        <v>116</v>
      </c>
      <c r="D7114" t="s">
        <v>117</v>
      </c>
      <c r="E7114" s="1">
        <v>44128</v>
      </c>
      <c r="F7114">
        <v>1</v>
      </c>
      <c r="G7114" t="s">
        <v>31</v>
      </c>
      <c r="H7114" t="s">
        <v>32</v>
      </c>
      <c r="I7114" s="4">
        <v>2259</v>
      </c>
      <c r="J7114" s="3">
        <v>2259</v>
      </c>
      <c r="K7114" s="4">
        <v>388</v>
      </c>
      <c r="L7114" t="s">
        <v>113</v>
      </c>
      <c r="M7114">
        <v>19</v>
      </c>
      <c r="N7114" t="s">
        <v>150</v>
      </c>
      <c r="O7114" t="s">
        <v>81</v>
      </c>
      <c r="P7114" t="s">
        <v>136</v>
      </c>
      <c r="Q7114" t="s">
        <v>140</v>
      </c>
      <c r="R7114" t="s">
        <v>141</v>
      </c>
      <c r="S7114" t="s">
        <v>145</v>
      </c>
      <c r="T7114" s="2">
        <f>MASTER[[#This Row],[CANTIDAD]]*MASTER[[#This Row],[PRECIO DE VENTA]]</f>
        <v>2259</v>
      </c>
      <c r="U7114" s="2">
        <f>MASTER[[#This Row],[CANTIDAD]]*MASTER[[#This Row],[COSTO UNITARIO]]</f>
        <v>388</v>
      </c>
      <c r="V7114" s="2">
        <f>MASTER[[#This Row],[MONTO VENDIDO]]-MASTER[[#This Row],[COSTO DE VENTA]]</f>
        <v>1871</v>
      </c>
    </row>
    <row r="7115" spans="1:22" x14ac:dyDescent="0.3">
      <c r="A7115">
        <v>103742</v>
      </c>
      <c r="B7115">
        <v>1</v>
      </c>
      <c r="C7115" t="s">
        <v>94</v>
      </c>
      <c r="D7115" t="s">
        <v>95</v>
      </c>
      <c r="E7115" s="1">
        <v>44129</v>
      </c>
      <c r="F7115">
        <v>1</v>
      </c>
      <c r="G7115" t="s">
        <v>53</v>
      </c>
      <c r="H7115" t="s">
        <v>54</v>
      </c>
      <c r="I7115" s="4">
        <v>1362</v>
      </c>
      <c r="J7115" s="3">
        <v>1362</v>
      </c>
      <c r="K7115" s="4">
        <v>392</v>
      </c>
      <c r="L7115" t="s">
        <v>9</v>
      </c>
      <c r="M7115">
        <v>17</v>
      </c>
      <c r="N7115" t="str">
        <f>IF(MASTER[[#This Row],[IDLOCAL]]=17,"HYDE PARK", "HARLEM IRVING")</f>
        <v>HYDE PARK</v>
      </c>
      <c r="O7115" t="str">
        <f>IF(MASTER[[#This Row],[IDLOCAL]]=17,"PREMIUM", "ESTÁNDAR")</f>
        <v>PREMIUM</v>
      </c>
      <c r="P7115" t="s">
        <v>137</v>
      </c>
      <c r="Q7115" t="s">
        <v>142</v>
      </c>
      <c r="R7115" t="s">
        <v>143</v>
      </c>
      <c r="S7115" t="s">
        <v>145</v>
      </c>
      <c r="T7115" s="2">
        <f>MASTER[[#This Row],[CANTIDAD]]*MASTER[[#This Row],[PRECIO DE VENTA]]</f>
        <v>1362</v>
      </c>
      <c r="U7115" s="2">
        <f>MASTER[[#This Row],[CANTIDAD]]*MASTER[[#This Row],[COSTO UNITARIO]]</f>
        <v>392</v>
      </c>
      <c r="V7115" s="2">
        <f>MASTER[[#This Row],[MONTO VENDIDO]]-MASTER[[#This Row],[COSTO DE VENTA]]</f>
        <v>970</v>
      </c>
    </row>
    <row r="7116" spans="1:22" x14ac:dyDescent="0.3">
      <c r="A7116">
        <v>103762</v>
      </c>
      <c r="B7116">
        <v>1</v>
      </c>
      <c r="C7116" t="s">
        <v>111</v>
      </c>
      <c r="D7116" t="s">
        <v>112</v>
      </c>
      <c r="E7116" s="1">
        <v>44130</v>
      </c>
      <c r="F7116">
        <v>1</v>
      </c>
      <c r="G7116" t="s">
        <v>73</v>
      </c>
      <c r="H7116" t="s">
        <v>74</v>
      </c>
      <c r="I7116" s="4">
        <v>2338</v>
      </c>
      <c r="J7116" s="3">
        <v>2338</v>
      </c>
      <c r="K7116" s="4">
        <v>434</v>
      </c>
      <c r="L7116" t="s">
        <v>113</v>
      </c>
      <c r="M7116">
        <v>19</v>
      </c>
      <c r="N7116" t="s">
        <v>150</v>
      </c>
      <c r="O7116" t="s">
        <v>81</v>
      </c>
      <c r="P7116" t="s">
        <v>136</v>
      </c>
      <c r="Q7116" t="s">
        <v>140</v>
      </c>
      <c r="R7116" t="s">
        <v>141</v>
      </c>
      <c r="S7116" t="s">
        <v>145</v>
      </c>
      <c r="T7116" s="2">
        <f>MASTER[[#This Row],[CANTIDAD]]*MASTER[[#This Row],[PRECIO DE VENTA]]</f>
        <v>2338</v>
      </c>
      <c r="U7116" s="2">
        <f>MASTER[[#This Row],[CANTIDAD]]*MASTER[[#This Row],[COSTO UNITARIO]]</f>
        <v>434</v>
      </c>
      <c r="V7116" s="2">
        <f>MASTER[[#This Row],[MONTO VENDIDO]]-MASTER[[#This Row],[COSTO DE VENTA]]</f>
        <v>1904</v>
      </c>
    </row>
    <row r="7117" spans="1:22" x14ac:dyDescent="0.3">
      <c r="A7117">
        <v>103776</v>
      </c>
      <c r="B7117">
        <v>1</v>
      </c>
      <c r="C7117" t="s">
        <v>114</v>
      </c>
      <c r="D7117" t="s">
        <v>115</v>
      </c>
      <c r="E7117" s="1">
        <v>44133</v>
      </c>
      <c r="F7117">
        <v>2</v>
      </c>
      <c r="G7117" t="s">
        <v>41</v>
      </c>
      <c r="H7117" t="s">
        <v>42</v>
      </c>
      <c r="I7117" s="4">
        <v>2639</v>
      </c>
      <c r="J7117" s="3">
        <v>2639</v>
      </c>
      <c r="K7117" s="4">
        <v>394</v>
      </c>
      <c r="L7117" t="s">
        <v>113</v>
      </c>
      <c r="M7117">
        <v>19</v>
      </c>
      <c r="N7117" t="s">
        <v>150</v>
      </c>
      <c r="O7117" t="s">
        <v>81</v>
      </c>
      <c r="P7117" t="s">
        <v>136</v>
      </c>
      <c r="Q7117" t="s">
        <v>140</v>
      </c>
      <c r="R7117" t="s">
        <v>141</v>
      </c>
      <c r="S7117" t="s">
        <v>145</v>
      </c>
      <c r="T7117" s="2">
        <f>MASTER[[#This Row],[CANTIDAD]]*MASTER[[#This Row],[PRECIO DE VENTA]]</f>
        <v>5278</v>
      </c>
      <c r="U7117" s="2">
        <f>MASTER[[#This Row],[CANTIDAD]]*MASTER[[#This Row],[COSTO UNITARIO]]</f>
        <v>788</v>
      </c>
      <c r="V7117" s="2">
        <f>MASTER[[#This Row],[MONTO VENDIDO]]-MASTER[[#This Row],[COSTO DE VENTA]]</f>
        <v>4490</v>
      </c>
    </row>
    <row r="7118" spans="1:22" x14ac:dyDescent="0.3">
      <c r="A7118">
        <v>103777</v>
      </c>
      <c r="B7118">
        <v>1</v>
      </c>
      <c r="C7118" t="s">
        <v>118</v>
      </c>
      <c r="D7118" t="s">
        <v>119</v>
      </c>
      <c r="E7118" s="1">
        <v>44133</v>
      </c>
      <c r="F7118">
        <v>1</v>
      </c>
      <c r="G7118" t="s">
        <v>73</v>
      </c>
      <c r="H7118" t="s">
        <v>74</v>
      </c>
      <c r="I7118" s="4">
        <v>1333</v>
      </c>
      <c r="J7118" s="3">
        <v>1225</v>
      </c>
      <c r="K7118" s="4">
        <v>424</v>
      </c>
      <c r="L7118" t="s">
        <v>120</v>
      </c>
      <c r="M7118">
        <v>19</v>
      </c>
      <c r="N7118" t="s">
        <v>150</v>
      </c>
      <c r="O7118" t="s">
        <v>81</v>
      </c>
      <c r="P7118" t="s">
        <v>136</v>
      </c>
      <c r="Q7118" t="s">
        <v>140</v>
      </c>
      <c r="R7118" t="s">
        <v>141</v>
      </c>
      <c r="S7118" t="s">
        <v>145</v>
      </c>
      <c r="T7118" s="2">
        <f>MASTER[[#This Row],[CANTIDAD]]*MASTER[[#This Row],[PRECIO DE VENTA]]</f>
        <v>1225</v>
      </c>
      <c r="U7118" s="2">
        <f>MASTER[[#This Row],[CANTIDAD]]*MASTER[[#This Row],[COSTO UNITARIO]]</f>
        <v>424</v>
      </c>
      <c r="V7118" s="2">
        <f>MASTER[[#This Row],[MONTO VENDIDO]]-MASTER[[#This Row],[COSTO DE VENTA]]</f>
        <v>801</v>
      </c>
    </row>
    <row r="7119" spans="1:22" x14ac:dyDescent="0.3">
      <c r="A7119">
        <v>103782</v>
      </c>
      <c r="B7119">
        <v>2</v>
      </c>
      <c r="C7119" t="s">
        <v>103</v>
      </c>
      <c r="D7119" t="s">
        <v>104</v>
      </c>
      <c r="E7119" s="1">
        <v>44134</v>
      </c>
      <c r="F7119">
        <v>1</v>
      </c>
      <c r="G7119" t="s">
        <v>57</v>
      </c>
      <c r="H7119" t="s">
        <v>58</v>
      </c>
      <c r="I7119" s="4">
        <v>1882</v>
      </c>
      <c r="J7119" s="3">
        <v>1882</v>
      </c>
      <c r="K7119" s="4">
        <v>421</v>
      </c>
      <c r="L7119" t="s">
        <v>98</v>
      </c>
      <c r="M7119">
        <v>19</v>
      </c>
      <c r="N7119" t="s">
        <v>150</v>
      </c>
      <c r="O7119" t="s">
        <v>81</v>
      </c>
      <c r="P7119" t="s">
        <v>136</v>
      </c>
      <c r="Q7119" t="s">
        <v>140</v>
      </c>
      <c r="R7119" t="s">
        <v>141</v>
      </c>
      <c r="S7119" t="s">
        <v>145</v>
      </c>
      <c r="T7119" s="2">
        <f>MASTER[[#This Row],[CANTIDAD]]*MASTER[[#This Row],[PRECIO DE VENTA]]</f>
        <v>1882</v>
      </c>
      <c r="U7119" s="2">
        <f>MASTER[[#This Row],[CANTIDAD]]*MASTER[[#This Row],[COSTO UNITARIO]]</f>
        <v>421</v>
      </c>
      <c r="V7119" s="2">
        <f>MASTER[[#This Row],[MONTO VENDIDO]]-MASTER[[#This Row],[COSTO DE VENTA]]</f>
        <v>1461</v>
      </c>
    </row>
    <row r="7120" spans="1:22" x14ac:dyDescent="0.3">
      <c r="A7120">
        <v>103791</v>
      </c>
      <c r="B7120">
        <v>1</v>
      </c>
      <c r="C7120" t="s">
        <v>116</v>
      </c>
      <c r="D7120" t="s">
        <v>117</v>
      </c>
      <c r="E7120" s="1">
        <v>44134</v>
      </c>
      <c r="F7120">
        <v>1</v>
      </c>
      <c r="G7120" t="s">
        <v>41</v>
      </c>
      <c r="H7120" t="s">
        <v>42</v>
      </c>
      <c r="I7120" s="4">
        <v>1987</v>
      </c>
      <c r="J7120" s="3">
        <v>1987</v>
      </c>
      <c r="K7120" s="4">
        <v>388</v>
      </c>
      <c r="L7120" t="s">
        <v>113</v>
      </c>
      <c r="M7120">
        <v>19</v>
      </c>
      <c r="N7120" t="s">
        <v>150</v>
      </c>
      <c r="O7120" t="s">
        <v>81</v>
      </c>
      <c r="P7120" t="s">
        <v>136</v>
      </c>
      <c r="Q7120" t="s">
        <v>140</v>
      </c>
      <c r="R7120" t="s">
        <v>141</v>
      </c>
      <c r="S7120" t="s">
        <v>145</v>
      </c>
      <c r="T7120" s="2">
        <f>MASTER[[#This Row],[CANTIDAD]]*MASTER[[#This Row],[PRECIO DE VENTA]]</f>
        <v>1987</v>
      </c>
      <c r="U7120" s="2">
        <f>MASTER[[#This Row],[CANTIDAD]]*MASTER[[#This Row],[COSTO UNITARIO]]</f>
        <v>388</v>
      </c>
      <c r="V7120" s="2">
        <f>MASTER[[#This Row],[MONTO VENDIDO]]-MASTER[[#This Row],[COSTO DE VENTA]]</f>
        <v>1599</v>
      </c>
    </row>
    <row r="7121" spans="1:22" x14ac:dyDescent="0.3">
      <c r="A7121">
        <v>103799</v>
      </c>
      <c r="B7121">
        <v>1</v>
      </c>
      <c r="C7121" t="s">
        <v>103</v>
      </c>
      <c r="D7121" t="s">
        <v>104</v>
      </c>
      <c r="E7121" s="1">
        <v>44135</v>
      </c>
      <c r="F7121">
        <v>1</v>
      </c>
      <c r="G7121" t="s">
        <v>29</v>
      </c>
      <c r="H7121" t="s">
        <v>30</v>
      </c>
      <c r="I7121" s="4">
        <v>2068</v>
      </c>
      <c r="J7121" s="3">
        <v>2068</v>
      </c>
      <c r="K7121" s="4">
        <v>421</v>
      </c>
      <c r="L7121" t="s">
        <v>98</v>
      </c>
      <c r="M7121">
        <v>19</v>
      </c>
      <c r="N7121" t="s">
        <v>150</v>
      </c>
      <c r="O7121" t="s">
        <v>81</v>
      </c>
      <c r="P7121" t="s">
        <v>136</v>
      </c>
      <c r="Q7121" t="s">
        <v>140</v>
      </c>
      <c r="R7121" t="s">
        <v>141</v>
      </c>
      <c r="S7121" t="s">
        <v>145</v>
      </c>
      <c r="T7121" s="2">
        <f>MASTER[[#This Row],[CANTIDAD]]*MASTER[[#This Row],[PRECIO DE VENTA]]</f>
        <v>2068</v>
      </c>
      <c r="U7121" s="2">
        <f>MASTER[[#This Row],[CANTIDAD]]*MASTER[[#This Row],[COSTO UNITARIO]]</f>
        <v>421</v>
      </c>
      <c r="V7121" s="2">
        <f>MASTER[[#This Row],[MONTO VENDIDO]]-MASTER[[#This Row],[COSTO DE VENTA]]</f>
        <v>1647</v>
      </c>
    </row>
    <row r="7122" spans="1:22" x14ac:dyDescent="0.3">
      <c r="A7122">
        <v>103806</v>
      </c>
      <c r="B7122">
        <v>1</v>
      </c>
      <c r="C7122" t="s">
        <v>92</v>
      </c>
      <c r="D7122" t="s">
        <v>93</v>
      </c>
      <c r="E7122" s="1">
        <v>44136</v>
      </c>
      <c r="F7122">
        <v>1</v>
      </c>
      <c r="G7122" t="s">
        <v>47</v>
      </c>
      <c r="H7122" t="s">
        <v>48</v>
      </c>
      <c r="I7122" s="4">
        <v>2185</v>
      </c>
      <c r="J7122" s="3">
        <v>2185</v>
      </c>
      <c r="K7122" s="4">
        <v>396</v>
      </c>
      <c r="L7122" t="s">
        <v>9</v>
      </c>
      <c r="M7122">
        <v>19</v>
      </c>
      <c r="N7122" t="s">
        <v>150</v>
      </c>
      <c r="O7122" t="s">
        <v>81</v>
      </c>
      <c r="P7122" t="s">
        <v>136</v>
      </c>
      <c r="Q7122" t="s">
        <v>140</v>
      </c>
      <c r="R7122" t="s">
        <v>141</v>
      </c>
      <c r="S7122" t="s">
        <v>145</v>
      </c>
      <c r="T7122" s="2">
        <f>MASTER[[#This Row],[CANTIDAD]]*MASTER[[#This Row],[PRECIO DE VENTA]]</f>
        <v>2185</v>
      </c>
      <c r="U7122" s="2">
        <f>MASTER[[#This Row],[CANTIDAD]]*MASTER[[#This Row],[COSTO UNITARIO]]</f>
        <v>396</v>
      </c>
      <c r="V7122" s="2">
        <f>MASTER[[#This Row],[MONTO VENDIDO]]-MASTER[[#This Row],[COSTO DE VENTA]]</f>
        <v>1789</v>
      </c>
    </row>
    <row r="7123" spans="1:22" x14ac:dyDescent="0.3">
      <c r="A7123">
        <v>103827</v>
      </c>
      <c r="B7123">
        <v>1</v>
      </c>
      <c r="C7123" t="s">
        <v>96</v>
      </c>
      <c r="D7123" t="s">
        <v>97</v>
      </c>
      <c r="E7123" s="1">
        <v>44136</v>
      </c>
      <c r="F7123">
        <v>1</v>
      </c>
      <c r="G7123" t="s">
        <v>33</v>
      </c>
      <c r="H7123" t="s">
        <v>34</v>
      </c>
      <c r="I7123" s="4">
        <v>1769</v>
      </c>
      <c r="J7123" s="3">
        <v>1769</v>
      </c>
      <c r="K7123" s="4">
        <v>397</v>
      </c>
      <c r="L7123" t="s">
        <v>98</v>
      </c>
      <c r="M7123">
        <v>19</v>
      </c>
      <c r="N7123" t="s">
        <v>150</v>
      </c>
      <c r="O7123" t="s">
        <v>81</v>
      </c>
      <c r="P7123" t="s">
        <v>136</v>
      </c>
      <c r="Q7123" t="s">
        <v>140</v>
      </c>
      <c r="R7123" t="s">
        <v>141</v>
      </c>
      <c r="S7123" t="s">
        <v>145</v>
      </c>
      <c r="T7123" s="2">
        <f>MASTER[[#This Row],[CANTIDAD]]*MASTER[[#This Row],[PRECIO DE VENTA]]</f>
        <v>1769</v>
      </c>
      <c r="U7123" s="2">
        <f>MASTER[[#This Row],[CANTIDAD]]*MASTER[[#This Row],[COSTO UNITARIO]]</f>
        <v>397</v>
      </c>
      <c r="V7123" s="2">
        <f>MASTER[[#This Row],[MONTO VENDIDO]]-MASTER[[#This Row],[COSTO DE VENTA]]</f>
        <v>1372</v>
      </c>
    </row>
    <row r="7124" spans="1:22" x14ac:dyDescent="0.3">
      <c r="A7124">
        <v>103836</v>
      </c>
      <c r="B7124">
        <v>1</v>
      </c>
      <c r="C7124" t="s">
        <v>99</v>
      </c>
      <c r="D7124" t="s">
        <v>100</v>
      </c>
      <c r="E7124" s="1">
        <v>44136</v>
      </c>
      <c r="F7124">
        <v>1</v>
      </c>
      <c r="G7124" t="s">
        <v>59</v>
      </c>
      <c r="H7124" t="s">
        <v>60</v>
      </c>
      <c r="I7124" s="4">
        <v>1896</v>
      </c>
      <c r="J7124" s="3">
        <v>1762</v>
      </c>
      <c r="K7124" s="4">
        <v>386</v>
      </c>
      <c r="L7124" t="s">
        <v>98</v>
      </c>
      <c r="M7124">
        <v>17</v>
      </c>
      <c r="N7124" t="str">
        <f>IF(MASTER[[#This Row],[IDLOCAL]]=17,"HYDE PARK", "HARLEM IRVING")</f>
        <v>HYDE PARK</v>
      </c>
      <c r="O7124" t="str">
        <f>IF(MASTER[[#This Row],[IDLOCAL]]=17,"PREMIUM", "ESTÁNDAR")</f>
        <v>PREMIUM</v>
      </c>
      <c r="P7124" t="s">
        <v>137</v>
      </c>
      <c r="Q7124" t="s">
        <v>142</v>
      </c>
      <c r="R7124" t="s">
        <v>143</v>
      </c>
      <c r="S7124" t="s">
        <v>145</v>
      </c>
      <c r="T7124" s="2">
        <f>MASTER[[#This Row],[CANTIDAD]]*MASTER[[#This Row],[PRECIO DE VENTA]]</f>
        <v>1762</v>
      </c>
      <c r="U7124" s="2">
        <f>MASTER[[#This Row],[CANTIDAD]]*MASTER[[#This Row],[COSTO UNITARIO]]</f>
        <v>386</v>
      </c>
      <c r="V7124" s="2">
        <f>MASTER[[#This Row],[MONTO VENDIDO]]-MASTER[[#This Row],[COSTO DE VENTA]]</f>
        <v>1376</v>
      </c>
    </row>
    <row r="7125" spans="1:22" x14ac:dyDescent="0.3">
      <c r="A7125">
        <v>103847</v>
      </c>
      <c r="B7125">
        <v>1</v>
      </c>
      <c r="C7125" t="s">
        <v>109</v>
      </c>
      <c r="D7125" t="s">
        <v>110</v>
      </c>
      <c r="E7125" s="1">
        <v>44136</v>
      </c>
      <c r="F7125">
        <v>1</v>
      </c>
      <c r="G7125" t="s">
        <v>65</v>
      </c>
      <c r="H7125" t="s">
        <v>66</v>
      </c>
      <c r="I7125" s="4">
        <v>1383</v>
      </c>
      <c r="J7125" s="3">
        <v>1383</v>
      </c>
      <c r="K7125" s="4">
        <v>387</v>
      </c>
      <c r="L7125" t="s">
        <v>98</v>
      </c>
      <c r="M7125">
        <v>19</v>
      </c>
      <c r="N7125" t="s">
        <v>150</v>
      </c>
      <c r="O7125" t="s">
        <v>81</v>
      </c>
      <c r="P7125" t="s">
        <v>136</v>
      </c>
      <c r="Q7125" t="s">
        <v>140</v>
      </c>
      <c r="R7125" t="s">
        <v>141</v>
      </c>
      <c r="S7125" t="s">
        <v>145</v>
      </c>
      <c r="T7125" s="2">
        <f>MASTER[[#This Row],[CANTIDAD]]*MASTER[[#This Row],[PRECIO DE VENTA]]</f>
        <v>1383</v>
      </c>
      <c r="U7125" s="2">
        <f>MASTER[[#This Row],[CANTIDAD]]*MASTER[[#This Row],[COSTO UNITARIO]]</f>
        <v>387</v>
      </c>
      <c r="V7125" s="2">
        <f>MASTER[[#This Row],[MONTO VENDIDO]]-MASTER[[#This Row],[COSTO DE VENTA]]</f>
        <v>996</v>
      </c>
    </row>
    <row r="7126" spans="1:22" x14ac:dyDescent="0.3">
      <c r="A7126">
        <v>103860</v>
      </c>
      <c r="B7126">
        <v>1</v>
      </c>
      <c r="C7126" t="s">
        <v>92</v>
      </c>
      <c r="D7126" t="s">
        <v>93</v>
      </c>
      <c r="E7126" s="1">
        <v>44138</v>
      </c>
      <c r="F7126">
        <v>1</v>
      </c>
      <c r="G7126" t="s">
        <v>33</v>
      </c>
      <c r="H7126" t="s">
        <v>34</v>
      </c>
      <c r="I7126" s="4">
        <v>2425</v>
      </c>
      <c r="J7126" s="3">
        <v>2425</v>
      </c>
      <c r="K7126" s="4">
        <v>396</v>
      </c>
      <c r="L7126" t="s">
        <v>9</v>
      </c>
      <c r="M7126">
        <v>17</v>
      </c>
      <c r="N7126" t="str">
        <f>IF(MASTER[[#This Row],[IDLOCAL]]=17,"HYDE PARK", "HARLEM IRVING")</f>
        <v>HYDE PARK</v>
      </c>
      <c r="O7126" t="str">
        <f>IF(MASTER[[#This Row],[IDLOCAL]]=17,"PREMIUM", "ESTÁNDAR")</f>
        <v>PREMIUM</v>
      </c>
      <c r="P7126" t="s">
        <v>137</v>
      </c>
      <c r="Q7126" t="s">
        <v>142</v>
      </c>
      <c r="R7126" t="s">
        <v>143</v>
      </c>
      <c r="S7126" t="s">
        <v>145</v>
      </c>
      <c r="T7126" s="2">
        <f>MASTER[[#This Row],[CANTIDAD]]*MASTER[[#This Row],[PRECIO DE VENTA]]</f>
        <v>2425</v>
      </c>
      <c r="U7126" s="2">
        <f>MASTER[[#This Row],[CANTIDAD]]*MASTER[[#This Row],[COSTO UNITARIO]]</f>
        <v>396</v>
      </c>
      <c r="V7126" s="2">
        <f>MASTER[[#This Row],[MONTO VENDIDO]]-MASTER[[#This Row],[COSTO DE VENTA]]</f>
        <v>2029</v>
      </c>
    </row>
    <row r="7127" spans="1:22" x14ac:dyDescent="0.3">
      <c r="A7127">
        <v>103939</v>
      </c>
      <c r="B7127">
        <v>1</v>
      </c>
      <c r="C7127" t="s">
        <v>118</v>
      </c>
      <c r="D7127" t="s">
        <v>119</v>
      </c>
      <c r="E7127" s="1">
        <v>44138</v>
      </c>
      <c r="F7127">
        <v>1</v>
      </c>
      <c r="G7127" t="s">
        <v>43</v>
      </c>
      <c r="H7127" t="s">
        <v>44</v>
      </c>
      <c r="I7127" s="4">
        <v>1170</v>
      </c>
      <c r="J7127" s="3">
        <v>1170</v>
      </c>
      <c r="K7127" s="4">
        <v>424</v>
      </c>
      <c r="L7127" t="s">
        <v>120</v>
      </c>
      <c r="M7127">
        <v>19</v>
      </c>
      <c r="N7127" t="s">
        <v>150</v>
      </c>
      <c r="O7127" t="s">
        <v>81</v>
      </c>
      <c r="P7127" t="s">
        <v>136</v>
      </c>
      <c r="Q7127" t="s">
        <v>140</v>
      </c>
      <c r="R7127" t="s">
        <v>141</v>
      </c>
      <c r="S7127" t="s">
        <v>145</v>
      </c>
      <c r="T7127" s="2">
        <f>MASTER[[#This Row],[CANTIDAD]]*MASTER[[#This Row],[PRECIO DE VENTA]]</f>
        <v>1170</v>
      </c>
      <c r="U7127" s="2">
        <f>MASTER[[#This Row],[CANTIDAD]]*MASTER[[#This Row],[COSTO UNITARIO]]</f>
        <v>424</v>
      </c>
      <c r="V7127" s="2">
        <f>MASTER[[#This Row],[MONTO VENDIDO]]-MASTER[[#This Row],[COSTO DE VENTA]]</f>
        <v>746</v>
      </c>
    </row>
    <row r="7128" spans="1:22" x14ac:dyDescent="0.3">
      <c r="A7128">
        <v>103951</v>
      </c>
      <c r="B7128">
        <v>1</v>
      </c>
      <c r="C7128" t="s">
        <v>5</v>
      </c>
      <c r="D7128" t="s">
        <v>6</v>
      </c>
      <c r="E7128" s="1">
        <v>44139</v>
      </c>
      <c r="F7128">
        <v>1</v>
      </c>
      <c r="G7128" t="s">
        <v>63</v>
      </c>
      <c r="H7128" t="s">
        <v>64</v>
      </c>
      <c r="I7128" s="4">
        <v>1684</v>
      </c>
      <c r="J7128" s="3">
        <v>1684</v>
      </c>
      <c r="K7128" s="4">
        <v>393</v>
      </c>
      <c r="L7128" t="s">
        <v>9</v>
      </c>
      <c r="M7128">
        <v>19</v>
      </c>
      <c r="N7128" t="s">
        <v>150</v>
      </c>
      <c r="O7128" t="s">
        <v>81</v>
      </c>
      <c r="P7128" t="s">
        <v>136</v>
      </c>
      <c r="Q7128" t="s">
        <v>140</v>
      </c>
      <c r="R7128" t="s">
        <v>141</v>
      </c>
      <c r="S7128" t="s">
        <v>145</v>
      </c>
      <c r="T7128" s="2">
        <f>MASTER[[#This Row],[CANTIDAD]]*MASTER[[#This Row],[PRECIO DE VENTA]]</f>
        <v>1684</v>
      </c>
      <c r="U7128" s="2">
        <f>MASTER[[#This Row],[CANTIDAD]]*MASTER[[#This Row],[COSTO UNITARIO]]</f>
        <v>393</v>
      </c>
      <c r="V7128" s="2">
        <f>MASTER[[#This Row],[MONTO VENDIDO]]-MASTER[[#This Row],[COSTO DE VENTA]]</f>
        <v>1291</v>
      </c>
    </row>
    <row r="7129" spans="1:22" x14ac:dyDescent="0.3">
      <c r="A7129">
        <v>103958</v>
      </c>
      <c r="B7129">
        <v>1</v>
      </c>
      <c r="C7129" t="s">
        <v>99</v>
      </c>
      <c r="D7129" t="s">
        <v>100</v>
      </c>
      <c r="E7129" s="1">
        <v>44139</v>
      </c>
      <c r="F7129">
        <v>1</v>
      </c>
      <c r="G7129" t="s">
        <v>45</v>
      </c>
      <c r="H7129" t="s">
        <v>46</v>
      </c>
      <c r="I7129" s="4">
        <v>1726</v>
      </c>
      <c r="J7129" s="3">
        <v>1726</v>
      </c>
      <c r="K7129" s="4">
        <v>386</v>
      </c>
      <c r="L7129" t="s">
        <v>98</v>
      </c>
      <c r="M7129">
        <v>19</v>
      </c>
      <c r="N7129" t="s">
        <v>150</v>
      </c>
      <c r="O7129" t="s">
        <v>81</v>
      </c>
      <c r="P7129" t="s">
        <v>136</v>
      </c>
      <c r="Q7129" t="s">
        <v>140</v>
      </c>
      <c r="R7129" t="s">
        <v>141</v>
      </c>
      <c r="S7129" t="s">
        <v>145</v>
      </c>
      <c r="T7129" s="2">
        <f>MASTER[[#This Row],[CANTIDAD]]*MASTER[[#This Row],[PRECIO DE VENTA]]</f>
        <v>1726</v>
      </c>
      <c r="U7129" s="2">
        <f>MASTER[[#This Row],[CANTIDAD]]*MASTER[[#This Row],[COSTO UNITARIO]]</f>
        <v>386</v>
      </c>
      <c r="V7129" s="2">
        <f>MASTER[[#This Row],[MONTO VENDIDO]]-MASTER[[#This Row],[COSTO DE VENTA]]</f>
        <v>1340</v>
      </c>
    </row>
    <row r="7130" spans="1:22" x14ac:dyDescent="0.3">
      <c r="A7130">
        <v>103959</v>
      </c>
      <c r="B7130">
        <v>1</v>
      </c>
      <c r="C7130" t="s">
        <v>90</v>
      </c>
      <c r="D7130" t="s">
        <v>91</v>
      </c>
      <c r="E7130" s="1">
        <v>44140</v>
      </c>
      <c r="F7130">
        <v>1</v>
      </c>
      <c r="G7130" t="s">
        <v>31</v>
      </c>
      <c r="H7130" t="s">
        <v>32</v>
      </c>
      <c r="I7130" s="4">
        <v>2397</v>
      </c>
      <c r="J7130" s="3">
        <v>2397</v>
      </c>
      <c r="K7130" s="4">
        <v>420</v>
      </c>
      <c r="L7130" t="s">
        <v>9</v>
      </c>
      <c r="M7130">
        <v>19</v>
      </c>
      <c r="N7130" t="s">
        <v>150</v>
      </c>
      <c r="O7130" t="s">
        <v>81</v>
      </c>
      <c r="P7130" t="s">
        <v>136</v>
      </c>
      <c r="Q7130" t="s">
        <v>140</v>
      </c>
      <c r="R7130" t="s">
        <v>141</v>
      </c>
      <c r="S7130" t="s">
        <v>145</v>
      </c>
      <c r="T7130" s="2">
        <f>MASTER[[#This Row],[CANTIDAD]]*MASTER[[#This Row],[PRECIO DE VENTA]]</f>
        <v>2397</v>
      </c>
      <c r="U7130" s="2">
        <f>MASTER[[#This Row],[CANTIDAD]]*MASTER[[#This Row],[COSTO UNITARIO]]</f>
        <v>420</v>
      </c>
      <c r="V7130" s="2">
        <f>MASTER[[#This Row],[MONTO VENDIDO]]-MASTER[[#This Row],[COSTO DE VENTA]]</f>
        <v>1977</v>
      </c>
    </row>
    <row r="7131" spans="1:22" x14ac:dyDescent="0.3">
      <c r="A7131">
        <v>103965</v>
      </c>
      <c r="B7131">
        <v>1</v>
      </c>
      <c r="C7131" t="s">
        <v>109</v>
      </c>
      <c r="D7131" t="s">
        <v>110</v>
      </c>
      <c r="E7131" s="1">
        <v>44140</v>
      </c>
      <c r="F7131">
        <v>1</v>
      </c>
      <c r="G7131" t="s">
        <v>29</v>
      </c>
      <c r="H7131" t="s">
        <v>30</v>
      </c>
      <c r="I7131" s="4">
        <v>1466</v>
      </c>
      <c r="J7131" s="3">
        <v>1466</v>
      </c>
      <c r="K7131" s="4">
        <v>387</v>
      </c>
      <c r="L7131" t="s">
        <v>98</v>
      </c>
      <c r="M7131">
        <v>17</v>
      </c>
      <c r="N7131" t="str">
        <f>IF(MASTER[[#This Row],[IDLOCAL]]=17,"HYDE PARK", "HARLEM IRVING")</f>
        <v>HYDE PARK</v>
      </c>
      <c r="O7131" t="str">
        <f>IF(MASTER[[#This Row],[IDLOCAL]]=17,"PREMIUM", "ESTÁNDAR")</f>
        <v>PREMIUM</v>
      </c>
      <c r="P7131" t="s">
        <v>137</v>
      </c>
      <c r="Q7131" t="s">
        <v>142</v>
      </c>
      <c r="R7131" t="s">
        <v>143</v>
      </c>
      <c r="S7131" t="s">
        <v>145</v>
      </c>
      <c r="T7131" s="2">
        <f>MASTER[[#This Row],[CANTIDAD]]*MASTER[[#This Row],[PRECIO DE VENTA]]</f>
        <v>1466</v>
      </c>
      <c r="U7131" s="2">
        <f>MASTER[[#This Row],[CANTIDAD]]*MASTER[[#This Row],[COSTO UNITARIO]]</f>
        <v>387</v>
      </c>
      <c r="V7131" s="2">
        <f>MASTER[[#This Row],[MONTO VENDIDO]]-MASTER[[#This Row],[COSTO DE VENTA]]</f>
        <v>1079</v>
      </c>
    </row>
    <row r="7132" spans="1:22" x14ac:dyDescent="0.3">
      <c r="A7132">
        <v>103969</v>
      </c>
      <c r="B7132">
        <v>1</v>
      </c>
      <c r="C7132" t="s">
        <v>121</v>
      </c>
      <c r="D7132" t="s">
        <v>122</v>
      </c>
      <c r="E7132" s="1">
        <v>44140</v>
      </c>
      <c r="F7132">
        <v>1</v>
      </c>
      <c r="G7132" t="s">
        <v>41</v>
      </c>
      <c r="H7132" t="s">
        <v>42</v>
      </c>
      <c r="I7132" s="4">
        <v>1487</v>
      </c>
      <c r="J7132" s="3">
        <v>1487</v>
      </c>
      <c r="K7132" s="4">
        <v>460</v>
      </c>
      <c r="L7132" t="s">
        <v>120</v>
      </c>
      <c r="M7132">
        <v>19</v>
      </c>
      <c r="N7132" t="s">
        <v>150</v>
      </c>
      <c r="O7132" t="s">
        <v>81</v>
      </c>
      <c r="P7132" t="s">
        <v>136</v>
      </c>
      <c r="Q7132" t="s">
        <v>140</v>
      </c>
      <c r="R7132" t="s">
        <v>141</v>
      </c>
      <c r="S7132" t="s">
        <v>145</v>
      </c>
      <c r="T7132" s="2">
        <f>MASTER[[#This Row],[CANTIDAD]]*MASTER[[#This Row],[PRECIO DE VENTA]]</f>
        <v>1487</v>
      </c>
      <c r="U7132" s="2">
        <f>MASTER[[#This Row],[CANTIDAD]]*MASTER[[#This Row],[COSTO UNITARIO]]</f>
        <v>460</v>
      </c>
      <c r="V7132" s="2">
        <f>MASTER[[#This Row],[MONTO VENDIDO]]-MASTER[[#This Row],[COSTO DE VENTA]]</f>
        <v>1027</v>
      </c>
    </row>
    <row r="7133" spans="1:22" x14ac:dyDescent="0.3">
      <c r="A7133">
        <v>104001</v>
      </c>
      <c r="B7133">
        <v>1</v>
      </c>
      <c r="C7133" t="s">
        <v>94</v>
      </c>
      <c r="D7133" t="s">
        <v>95</v>
      </c>
      <c r="E7133" s="1">
        <v>44142</v>
      </c>
      <c r="F7133">
        <v>2</v>
      </c>
      <c r="G7133" t="s">
        <v>33</v>
      </c>
      <c r="H7133" t="s">
        <v>34</v>
      </c>
      <c r="I7133" s="4">
        <v>1362</v>
      </c>
      <c r="J7133" s="3">
        <v>1293</v>
      </c>
      <c r="K7133" s="4">
        <v>392</v>
      </c>
      <c r="L7133" t="s">
        <v>9</v>
      </c>
      <c r="M7133">
        <v>19</v>
      </c>
      <c r="N7133" t="s">
        <v>150</v>
      </c>
      <c r="O7133" t="s">
        <v>81</v>
      </c>
      <c r="P7133" t="s">
        <v>136</v>
      </c>
      <c r="Q7133" t="s">
        <v>140</v>
      </c>
      <c r="R7133" t="s">
        <v>141</v>
      </c>
      <c r="S7133" t="s">
        <v>145</v>
      </c>
      <c r="T7133" s="2">
        <f>MASTER[[#This Row],[CANTIDAD]]*MASTER[[#This Row],[PRECIO DE VENTA]]</f>
        <v>2586</v>
      </c>
      <c r="U7133" s="2">
        <f>MASTER[[#This Row],[CANTIDAD]]*MASTER[[#This Row],[COSTO UNITARIO]]</f>
        <v>784</v>
      </c>
      <c r="V7133" s="2">
        <f>MASTER[[#This Row],[MONTO VENDIDO]]-MASTER[[#This Row],[COSTO DE VENTA]]</f>
        <v>1802</v>
      </c>
    </row>
    <row r="7134" spans="1:22" x14ac:dyDescent="0.3">
      <c r="A7134">
        <v>104024</v>
      </c>
      <c r="B7134">
        <v>1</v>
      </c>
      <c r="C7134" t="s">
        <v>101</v>
      </c>
      <c r="D7134" t="s">
        <v>102</v>
      </c>
      <c r="E7134" s="1">
        <v>44144</v>
      </c>
      <c r="F7134">
        <v>1</v>
      </c>
      <c r="G7134" t="s">
        <v>33</v>
      </c>
      <c r="H7134" t="s">
        <v>34</v>
      </c>
      <c r="I7134" s="4">
        <v>1575</v>
      </c>
      <c r="J7134" s="3">
        <v>1575</v>
      </c>
      <c r="K7134" s="4">
        <v>442</v>
      </c>
      <c r="L7134" t="s">
        <v>98</v>
      </c>
      <c r="M7134">
        <v>19</v>
      </c>
      <c r="N7134" t="s">
        <v>150</v>
      </c>
      <c r="O7134" t="s">
        <v>81</v>
      </c>
      <c r="P7134" t="s">
        <v>136</v>
      </c>
      <c r="Q7134" t="s">
        <v>140</v>
      </c>
      <c r="R7134" t="s">
        <v>141</v>
      </c>
      <c r="S7134" t="s">
        <v>145</v>
      </c>
      <c r="T7134" s="2">
        <f>MASTER[[#This Row],[CANTIDAD]]*MASTER[[#This Row],[PRECIO DE VENTA]]</f>
        <v>1575</v>
      </c>
      <c r="U7134" s="2">
        <f>MASTER[[#This Row],[CANTIDAD]]*MASTER[[#This Row],[COSTO UNITARIO]]</f>
        <v>442</v>
      </c>
      <c r="V7134" s="2">
        <f>MASTER[[#This Row],[MONTO VENDIDO]]-MASTER[[#This Row],[COSTO DE VENTA]]</f>
        <v>1133</v>
      </c>
    </row>
    <row r="7135" spans="1:22" x14ac:dyDescent="0.3">
      <c r="A7135">
        <v>104036</v>
      </c>
      <c r="B7135">
        <v>1</v>
      </c>
      <c r="C7135" t="s">
        <v>121</v>
      </c>
      <c r="D7135" t="s">
        <v>122</v>
      </c>
      <c r="E7135" s="1">
        <v>44144</v>
      </c>
      <c r="F7135">
        <v>1</v>
      </c>
      <c r="G7135" t="s">
        <v>43</v>
      </c>
      <c r="H7135" t="s">
        <v>44</v>
      </c>
      <c r="I7135" s="4">
        <v>1389</v>
      </c>
      <c r="J7135" s="3">
        <v>1389</v>
      </c>
      <c r="K7135" s="4">
        <v>460</v>
      </c>
      <c r="L7135" t="s">
        <v>120</v>
      </c>
      <c r="M7135">
        <v>19</v>
      </c>
      <c r="N7135" t="s">
        <v>150</v>
      </c>
      <c r="O7135" t="s">
        <v>81</v>
      </c>
      <c r="P7135" t="s">
        <v>136</v>
      </c>
      <c r="Q7135" t="s">
        <v>140</v>
      </c>
      <c r="R7135" t="s">
        <v>141</v>
      </c>
      <c r="S7135" t="s">
        <v>145</v>
      </c>
      <c r="T7135" s="2">
        <f>MASTER[[#This Row],[CANTIDAD]]*MASTER[[#This Row],[PRECIO DE VENTA]]</f>
        <v>1389</v>
      </c>
      <c r="U7135" s="2">
        <f>MASTER[[#This Row],[CANTIDAD]]*MASTER[[#This Row],[COSTO UNITARIO]]</f>
        <v>460</v>
      </c>
      <c r="V7135" s="2">
        <f>MASTER[[#This Row],[MONTO VENDIDO]]-MASTER[[#This Row],[COSTO DE VENTA]]</f>
        <v>929</v>
      </c>
    </row>
    <row r="7136" spans="1:22" x14ac:dyDescent="0.3">
      <c r="A7136">
        <v>104044</v>
      </c>
      <c r="B7136">
        <v>1</v>
      </c>
      <c r="C7136" t="s">
        <v>111</v>
      </c>
      <c r="D7136" t="s">
        <v>112</v>
      </c>
      <c r="E7136" s="1">
        <v>44146</v>
      </c>
      <c r="F7136">
        <v>1</v>
      </c>
      <c r="G7136" t="s">
        <v>41</v>
      </c>
      <c r="H7136" t="s">
        <v>42</v>
      </c>
      <c r="I7136" s="4">
        <v>1981</v>
      </c>
      <c r="J7136" s="3">
        <v>1981</v>
      </c>
      <c r="K7136" s="4">
        <v>434</v>
      </c>
      <c r="L7136" t="s">
        <v>113</v>
      </c>
      <c r="M7136">
        <v>17</v>
      </c>
      <c r="N7136" t="str">
        <f>IF(MASTER[[#This Row],[IDLOCAL]]=17,"HYDE PARK", "HARLEM IRVING")</f>
        <v>HYDE PARK</v>
      </c>
      <c r="O7136" t="str">
        <f>IF(MASTER[[#This Row],[IDLOCAL]]=17,"PREMIUM", "ESTÁNDAR")</f>
        <v>PREMIUM</v>
      </c>
      <c r="P7136" t="s">
        <v>137</v>
      </c>
      <c r="Q7136" t="s">
        <v>142</v>
      </c>
      <c r="R7136" t="s">
        <v>143</v>
      </c>
      <c r="S7136" t="s">
        <v>145</v>
      </c>
      <c r="T7136" s="2">
        <f>MASTER[[#This Row],[CANTIDAD]]*MASTER[[#This Row],[PRECIO DE VENTA]]</f>
        <v>1981</v>
      </c>
      <c r="U7136" s="2">
        <f>MASTER[[#This Row],[CANTIDAD]]*MASTER[[#This Row],[COSTO UNITARIO]]</f>
        <v>434</v>
      </c>
      <c r="V7136" s="2">
        <f>MASTER[[#This Row],[MONTO VENDIDO]]-MASTER[[#This Row],[COSTO DE VENTA]]</f>
        <v>1547</v>
      </c>
    </row>
    <row r="7137" spans="1:22" x14ac:dyDescent="0.3">
      <c r="A7137">
        <v>104048</v>
      </c>
      <c r="B7137">
        <v>1</v>
      </c>
      <c r="C7137" t="s">
        <v>5</v>
      </c>
      <c r="D7137" t="s">
        <v>6</v>
      </c>
      <c r="E7137" s="1">
        <v>44148</v>
      </c>
      <c r="F7137">
        <v>1</v>
      </c>
      <c r="G7137" t="s">
        <v>35</v>
      </c>
      <c r="H7137" t="s">
        <v>36</v>
      </c>
      <c r="I7137" s="4">
        <v>1704</v>
      </c>
      <c r="J7137" s="3">
        <v>1704</v>
      </c>
      <c r="K7137" s="4">
        <v>393</v>
      </c>
      <c r="L7137" t="s">
        <v>9</v>
      </c>
      <c r="M7137">
        <v>17</v>
      </c>
      <c r="N7137" t="str">
        <f>IF(MASTER[[#This Row],[IDLOCAL]]=17,"HYDE PARK", "HARLEM IRVING")</f>
        <v>HYDE PARK</v>
      </c>
      <c r="O7137" t="str">
        <f>IF(MASTER[[#This Row],[IDLOCAL]]=17,"PREMIUM", "ESTÁNDAR")</f>
        <v>PREMIUM</v>
      </c>
      <c r="P7137" t="s">
        <v>137</v>
      </c>
      <c r="Q7137" t="s">
        <v>142</v>
      </c>
      <c r="R7137" t="s">
        <v>143</v>
      </c>
      <c r="S7137" t="s">
        <v>145</v>
      </c>
      <c r="T7137" s="2">
        <f>MASTER[[#This Row],[CANTIDAD]]*MASTER[[#This Row],[PRECIO DE VENTA]]</f>
        <v>1704</v>
      </c>
      <c r="U7137" s="2">
        <f>MASTER[[#This Row],[CANTIDAD]]*MASTER[[#This Row],[COSTO UNITARIO]]</f>
        <v>393</v>
      </c>
      <c r="V7137" s="2">
        <f>MASTER[[#This Row],[MONTO VENDIDO]]-MASTER[[#This Row],[COSTO DE VENTA]]</f>
        <v>1311</v>
      </c>
    </row>
    <row r="7138" spans="1:22" x14ac:dyDescent="0.3">
      <c r="A7138">
        <v>104059</v>
      </c>
      <c r="B7138">
        <v>1</v>
      </c>
      <c r="C7138" t="s">
        <v>96</v>
      </c>
      <c r="D7138" t="s">
        <v>97</v>
      </c>
      <c r="E7138" s="1">
        <v>44148</v>
      </c>
      <c r="F7138">
        <v>1</v>
      </c>
      <c r="G7138" t="s">
        <v>53</v>
      </c>
      <c r="H7138" t="s">
        <v>54</v>
      </c>
      <c r="I7138" s="4">
        <v>1653</v>
      </c>
      <c r="J7138" s="3">
        <v>1653</v>
      </c>
      <c r="K7138" s="4">
        <v>397</v>
      </c>
      <c r="L7138" t="s">
        <v>98</v>
      </c>
      <c r="M7138">
        <v>19</v>
      </c>
      <c r="N7138" t="s">
        <v>150</v>
      </c>
      <c r="O7138" t="s">
        <v>81</v>
      </c>
      <c r="P7138" t="s">
        <v>136</v>
      </c>
      <c r="Q7138" t="s">
        <v>140</v>
      </c>
      <c r="R7138" t="s">
        <v>141</v>
      </c>
      <c r="S7138" t="s">
        <v>145</v>
      </c>
      <c r="T7138" s="2">
        <f>MASTER[[#This Row],[CANTIDAD]]*MASTER[[#This Row],[PRECIO DE VENTA]]</f>
        <v>1653</v>
      </c>
      <c r="U7138" s="2">
        <f>MASTER[[#This Row],[CANTIDAD]]*MASTER[[#This Row],[COSTO UNITARIO]]</f>
        <v>397</v>
      </c>
      <c r="V7138" s="2">
        <f>MASTER[[#This Row],[MONTO VENDIDO]]-MASTER[[#This Row],[COSTO DE VENTA]]</f>
        <v>1256</v>
      </c>
    </row>
    <row r="7139" spans="1:22" x14ac:dyDescent="0.3">
      <c r="A7139">
        <v>104064</v>
      </c>
      <c r="B7139">
        <v>1</v>
      </c>
      <c r="C7139" t="s">
        <v>5</v>
      </c>
      <c r="D7139" t="s">
        <v>6</v>
      </c>
      <c r="E7139" s="1">
        <v>44149</v>
      </c>
      <c r="F7139">
        <v>4</v>
      </c>
      <c r="G7139" t="s">
        <v>45</v>
      </c>
      <c r="H7139" t="s">
        <v>46</v>
      </c>
      <c r="I7139" s="4">
        <v>1959</v>
      </c>
      <c r="J7139" s="3">
        <v>1959</v>
      </c>
      <c r="K7139" s="4">
        <v>393</v>
      </c>
      <c r="L7139" t="s">
        <v>9</v>
      </c>
      <c r="M7139">
        <v>19</v>
      </c>
      <c r="N7139" t="s">
        <v>150</v>
      </c>
      <c r="O7139" t="s">
        <v>81</v>
      </c>
      <c r="P7139" t="s">
        <v>136</v>
      </c>
      <c r="Q7139" t="s">
        <v>140</v>
      </c>
      <c r="R7139" t="s">
        <v>141</v>
      </c>
      <c r="S7139" t="s">
        <v>145</v>
      </c>
      <c r="T7139" s="2">
        <f>MASTER[[#This Row],[CANTIDAD]]*MASTER[[#This Row],[PRECIO DE VENTA]]</f>
        <v>7836</v>
      </c>
      <c r="U7139" s="2">
        <f>MASTER[[#This Row],[CANTIDAD]]*MASTER[[#This Row],[COSTO UNITARIO]]</f>
        <v>1572</v>
      </c>
      <c r="V7139" s="2">
        <f>MASTER[[#This Row],[MONTO VENDIDO]]-MASTER[[#This Row],[COSTO DE VENTA]]</f>
        <v>6264</v>
      </c>
    </row>
    <row r="7140" spans="1:22" x14ac:dyDescent="0.3">
      <c r="A7140">
        <v>104132</v>
      </c>
      <c r="B7140">
        <v>1</v>
      </c>
      <c r="C7140" t="s">
        <v>109</v>
      </c>
      <c r="D7140" t="s">
        <v>110</v>
      </c>
      <c r="E7140" s="1">
        <v>44149</v>
      </c>
      <c r="F7140">
        <v>1</v>
      </c>
      <c r="G7140" t="s">
        <v>7</v>
      </c>
      <c r="H7140" t="s">
        <v>8</v>
      </c>
      <c r="I7140" s="4">
        <v>1383</v>
      </c>
      <c r="J7140" s="3">
        <v>1383</v>
      </c>
      <c r="K7140" s="4">
        <v>387</v>
      </c>
      <c r="L7140" t="s">
        <v>98</v>
      </c>
      <c r="M7140">
        <v>19</v>
      </c>
      <c r="N7140" t="s">
        <v>150</v>
      </c>
      <c r="O7140" t="s">
        <v>81</v>
      </c>
      <c r="P7140" t="s">
        <v>136</v>
      </c>
      <c r="Q7140" t="s">
        <v>140</v>
      </c>
      <c r="R7140" t="s">
        <v>141</v>
      </c>
      <c r="S7140" t="s">
        <v>145</v>
      </c>
      <c r="T7140" s="2">
        <f>MASTER[[#This Row],[CANTIDAD]]*MASTER[[#This Row],[PRECIO DE VENTA]]</f>
        <v>1383</v>
      </c>
      <c r="U7140" s="2">
        <f>MASTER[[#This Row],[CANTIDAD]]*MASTER[[#This Row],[COSTO UNITARIO]]</f>
        <v>387</v>
      </c>
      <c r="V7140" s="2">
        <f>MASTER[[#This Row],[MONTO VENDIDO]]-MASTER[[#This Row],[COSTO DE VENTA]]</f>
        <v>996</v>
      </c>
    </row>
    <row r="7141" spans="1:22" x14ac:dyDescent="0.3">
      <c r="A7141">
        <v>104140</v>
      </c>
      <c r="B7141">
        <v>1</v>
      </c>
      <c r="C7141" t="s">
        <v>103</v>
      </c>
      <c r="D7141" t="s">
        <v>104</v>
      </c>
      <c r="E7141" s="1">
        <v>44150</v>
      </c>
      <c r="F7141">
        <v>1</v>
      </c>
      <c r="G7141" t="s">
        <v>57</v>
      </c>
      <c r="H7141" t="s">
        <v>58</v>
      </c>
      <c r="I7141" s="4">
        <v>2379</v>
      </c>
      <c r="J7141" s="3">
        <v>2379</v>
      </c>
      <c r="K7141" s="4">
        <v>421</v>
      </c>
      <c r="L7141" t="s">
        <v>98</v>
      </c>
      <c r="M7141">
        <v>19</v>
      </c>
      <c r="N7141" t="s">
        <v>150</v>
      </c>
      <c r="O7141" t="s">
        <v>81</v>
      </c>
      <c r="P7141" t="s">
        <v>136</v>
      </c>
      <c r="Q7141" t="s">
        <v>140</v>
      </c>
      <c r="R7141" t="s">
        <v>141</v>
      </c>
      <c r="S7141" t="s">
        <v>145</v>
      </c>
      <c r="T7141" s="2">
        <f>MASTER[[#This Row],[CANTIDAD]]*MASTER[[#This Row],[PRECIO DE VENTA]]</f>
        <v>2379</v>
      </c>
      <c r="U7141" s="2">
        <f>MASTER[[#This Row],[CANTIDAD]]*MASTER[[#This Row],[COSTO UNITARIO]]</f>
        <v>421</v>
      </c>
      <c r="V7141" s="2">
        <f>MASTER[[#This Row],[MONTO VENDIDO]]-MASTER[[#This Row],[COSTO DE VENTA]]</f>
        <v>1958</v>
      </c>
    </row>
    <row r="7142" spans="1:22" x14ac:dyDescent="0.3">
      <c r="A7142">
        <v>104149</v>
      </c>
      <c r="B7142">
        <v>1</v>
      </c>
      <c r="C7142" t="s">
        <v>90</v>
      </c>
      <c r="D7142" t="s">
        <v>91</v>
      </c>
      <c r="E7142" s="1">
        <v>44151</v>
      </c>
      <c r="F7142">
        <v>1</v>
      </c>
      <c r="G7142" t="s">
        <v>27</v>
      </c>
      <c r="H7142" t="s">
        <v>28</v>
      </c>
      <c r="I7142" s="4">
        <v>2158</v>
      </c>
      <c r="J7142" s="3">
        <v>2158</v>
      </c>
      <c r="K7142" s="4">
        <v>420</v>
      </c>
      <c r="L7142" t="s">
        <v>9</v>
      </c>
      <c r="M7142">
        <v>19</v>
      </c>
      <c r="N7142" t="s">
        <v>150</v>
      </c>
      <c r="O7142" t="s">
        <v>81</v>
      </c>
      <c r="P7142" t="s">
        <v>136</v>
      </c>
      <c r="Q7142" t="s">
        <v>140</v>
      </c>
      <c r="R7142" t="s">
        <v>141</v>
      </c>
      <c r="S7142" t="s">
        <v>145</v>
      </c>
      <c r="T7142" s="2">
        <f>MASTER[[#This Row],[CANTIDAD]]*MASTER[[#This Row],[PRECIO DE VENTA]]</f>
        <v>2158</v>
      </c>
      <c r="U7142" s="2">
        <f>MASTER[[#This Row],[CANTIDAD]]*MASTER[[#This Row],[COSTO UNITARIO]]</f>
        <v>420</v>
      </c>
      <c r="V7142" s="2">
        <f>MASTER[[#This Row],[MONTO VENDIDO]]-MASTER[[#This Row],[COSTO DE VENTA]]</f>
        <v>1738</v>
      </c>
    </row>
    <row r="7143" spans="1:22" x14ac:dyDescent="0.3">
      <c r="A7143">
        <v>104153</v>
      </c>
      <c r="B7143">
        <v>1</v>
      </c>
      <c r="C7143" t="s">
        <v>94</v>
      </c>
      <c r="D7143" t="s">
        <v>95</v>
      </c>
      <c r="E7143" s="1">
        <v>44152</v>
      </c>
      <c r="F7143">
        <v>1</v>
      </c>
      <c r="G7143" t="s">
        <v>49</v>
      </c>
      <c r="H7143" t="s">
        <v>50</v>
      </c>
      <c r="I7143" s="4">
        <v>1362</v>
      </c>
      <c r="J7143" s="3">
        <v>1362</v>
      </c>
      <c r="K7143" s="4">
        <v>392</v>
      </c>
      <c r="L7143" t="s">
        <v>9</v>
      </c>
      <c r="M7143">
        <v>19</v>
      </c>
      <c r="N7143" t="s">
        <v>150</v>
      </c>
      <c r="O7143" t="s">
        <v>81</v>
      </c>
      <c r="P7143" t="s">
        <v>136</v>
      </c>
      <c r="Q7143" t="s">
        <v>140</v>
      </c>
      <c r="R7143" t="s">
        <v>141</v>
      </c>
      <c r="S7143" t="s">
        <v>145</v>
      </c>
      <c r="T7143" s="2">
        <f>MASTER[[#This Row],[CANTIDAD]]*MASTER[[#This Row],[PRECIO DE VENTA]]</f>
        <v>1362</v>
      </c>
      <c r="U7143" s="2">
        <f>MASTER[[#This Row],[CANTIDAD]]*MASTER[[#This Row],[COSTO UNITARIO]]</f>
        <v>392</v>
      </c>
      <c r="V7143" s="2">
        <f>MASTER[[#This Row],[MONTO VENDIDO]]-MASTER[[#This Row],[COSTO DE VENTA]]</f>
        <v>970</v>
      </c>
    </row>
    <row r="7144" spans="1:22" x14ac:dyDescent="0.3">
      <c r="A7144">
        <v>104154</v>
      </c>
      <c r="B7144">
        <v>1</v>
      </c>
      <c r="C7144" t="s">
        <v>101</v>
      </c>
      <c r="D7144" t="s">
        <v>102</v>
      </c>
      <c r="E7144" s="1">
        <v>44152</v>
      </c>
      <c r="F7144">
        <v>1</v>
      </c>
      <c r="G7144" t="s">
        <v>53</v>
      </c>
      <c r="H7144" t="s">
        <v>54</v>
      </c>
      <c r="I7144" s="4">
        <v>1370</v>
      </c>
      <c r="J7144" s="3">
        <v>1274</v>
      </c>
      <c r="K7144" s="4">
        <v>442</v>
      </c>
      <c r="L7144" t="s">
        <v>98</v>
      </c>
      <c r="M7144">
        <v>19</v>
      </c>
      <c r="N7144" t="s">
        <v>150</v>
      </c>
      <c r="O7144" t="s">
        <v>81</v>
      </c>
      <c r="P7144" t="s">
        <v>136</v>
      </c>
      <c r="Q7144" t="s">
        <v>140</v>
      </c>
      <c r="R7144" t="s">
        <v>141</v>
      </c>
      <c r="S7144" t="s">
        <v>145</v>
      </c>
      <c r="T7144" s="2">
        <f>MASTER[[#This Row],[CANTIDAD]]*MASTER[[#This Row],[PRECIO DE VENTA]]</f>
        <v>1274</v>
      </c>
      <c r="U7144" s="2">
        <f>MASTER[[#This Row],[CANTIDAD]]*MASTER[[#This Row],[COSTO UNITARIO]]</f>
        <v>442</v>
      </c>
      <c r="V7144" s="2">
        <f>MASTER[[#This Row],[MONTO VENDIDO]]-MASTER[[#This Row],[COSTO DE VENTA]]</f>
        <v>832</v>
      </c>
    </row>
    <row r="7145" spans="1:22" x14ac:dyDescent="0.3">
      <c r="A7145">
        <v>104161</v>
      </c>
      <c r="B7145">
        <v>1</v>
      </c>
      <c r="C7145" t="s">
        <v>116</v>
      </c>
      <c r="D7145" t="s">
        <v>117</v>
      </c>
      <c r="E7145" s="1">
        <v>44154</v>
      </c>
      <c r="F7145">
        <v>1</v>
      </c>
      <c r="G7145" t="s">
        <v>73</v>
      </c>
      <c r="H7145" t="s">
        <v>74</v>
      </c>
      <c r="I7145" s="4">
        <v>2598</v>
      </c>
      <c r="J7145" s="3">
        <v>2598</v>
      </c>
      <c r="K7145" s="4">
        <v>388</v>
      </c>
      <c r="L7145" t="s">
        <v>113</v>
      </c>
      <c r="M7145">
        <v>17</v>
      </c>
      <c r="N7145" t="str">
        <f>IF(MASTER[[#This Row],[IDLOCAL]]=17,"HYDE PARK", "HARLEM IRVING")</f>
        <v>HYDE PARK</v>
      </c>
      <c r="O7145" t="str">
        <f>IF(MASTER[[#This Row],[IDLOCAL]]=17,"PREMIUM", "ESTÁNDAR")</f>
        <v>PREMIUM</v>
      </c>
      <c r="P7145" t="s">
        <v>137</v>
      </c>
      <c r="Q7145" t="s">
        <v>142</v>
      </c>
      <c r="R7145" t="s">
        <v>143</v>
      </c>
      <c r="S7145" t="s">
        <v>145</v>
      </c>
      <c r="T7145" s="2">
        <f>MASTER[[#This Row],[CANTIDAD]]*MASTER[[#This Row],[PRECIO DE VENTA]]</f>
        <v>2598</v>
      </c>
      <c r="U7145" s="2">
        <f>MASTER[[#This Row],[CANTIDAD]]*MASTER[[#This Row],[COSTO UNITARIO]]</f>
        <v>388</v>
      </c>
      <c r="V7145" s="2">
        <f>MASTER[[#This Row],[MONTO VENDIDO]]-MASTER[[#This Row],[COSTO DE VENTA]]</f>
        <v>2210</v>
      </c>
    </row>
    <row r="7146" spans="1:22" x14ac:dyDescent="0.3">
      <c r="A7146">
        <v>104165</v>
      </c>
      <c r="B7146">
        <v>1</v>
      </c>
      <c r="C7146" t="s">
        <v>94</v>
      </c>
      <c r="D7146" t="s">
        <v>95</v>
      </c>
      <c r="E7146" s="1">
        <v>44155</v>
      </c>
      <c r="F7146">
        <v>1</v>
      </c>
      <c r="G7146" t="s">
        <v>24</v>
      </c>
      <c r="H7146" t="s">
        <v>25</v>
      </c>
      <c r="I7146" s="4">
        <v>1498</v>
      </c>
      <c r="J7146" s="3">
        <v>1498</v>
      </c>
      <c r="K7146" s="4">
        <v>392</v>
      </c>
      <c r="L7146" t="s">
        <v>9</v>
      </c>
      <c r="M7146">
        <v>19</v>
      </c>
      <c r="N7146" t="s">
        <v>150</v>
      </c>
      <c r="O7146" t="s">
        <v>81</v>
      </c>
      <c r="P7146" t="s">
        <v>136</v>
      </c>
      <c r="Q7146" t="s">
        <v>140</v>
      </c>
      <c r="R7146" t="s">
        <v>141</v>
      </c>
      <c r="S7146" t="s">
        <v>145</v>
      </c>
      <c r="T7146" s="2">
        <f>MASTER[[#This Row],[CANTIDAD]]*MASTER[[#This Row],[PRECIO DE VENTA]]</f>
        <v>1498</v>
      </c>
      <c r="U7146" s="2">
        <f>MASTER[[#This Row],[CANTIDAD]]*MASTER[[#This Row],[COSTO UNITARIO]]</f>
        <v>392</v>
      </c>
      <c r="V7146" s="2">
        <f>MASTER[[#This Row],[MONTO VENDIDO]]-MASTER[[#This Row],[COSTO DE VENTA]]</f>
        <v>1106</v>
      </c>
    </row>
    <row r="7147" spans="1:22" x14ac:dyDescent="0.3">
      <c r="A7147">
        <v>104167</v>
      </c>
      <c r="B7147">
        <v>1</v>
      </c>
      <c r="C7147" t="s">
        <v>105</v>
      </c>
      <c r="D7147" t="s">
        <v>106</v>
      </c>
      <c r="E7147" s="1">
        <v>44155</v>
      </c>
      <c r="F7147">
        <v>4</v>
      </c>
      <c r="G7147" t="s">
        <v>29</v>
      </c>
      <c r="H7147" t="s">
        <v>30</v>
      </c>
      <c r="I7147" s="4">
        <v>2424</v>
      </c>
      <c r="J7147" s="3">
        <v>2424</v>
      </c>
      <c r="K7147" s="4">
        <v>459</v>
      </c>
      <c r="L7147" t="s">
        <v>98</v>
      </c>
      <c r="M7147">
        <v>19</v>
      </c>
      <c r="N7147" t="s">
        <v>150</v>
      </c>
      <c r="O7147" t="s">
        <v>81</v>
      </c>
      <c r="P7147" t="s">
        <v>136</v>
      </c>
      <c r="Q7147" t="s">
        <v>140</v>
      </c>
      <c r="R7147" t="s">
        <v>141</v>
      </c>
      <c r="S7147" t="s">
        <v>145</v>
      </c>
      <c r="T7147" s="2">
        <f>MASTER[[#This Row],[CANTIDAD]]*MASTER[[#This Row],[PRECIO DE VENTA]]</f>
        <v>9696</v>
      </c>
      <c r="U7147" s="2">
        <f>MASTER[[#This Row],[CANTIDAD]]*MASTER[[#This Row],[COSTO UNITARIO]]</f>
        <v>1836</v>
      </c>
      <c r="V7147" s="2">
        <f>MASTER[[#This Row],[MONTO VENDIDO]]-MASTER[[#This Row],[COSTO DE VENTA]]</f>
        <v>7860</v>
      </c>
    </row>
    <row r="7148" spans="1:22" x14ac:dyDescent="0.3">
      <c r="A7148">
        <v>104179</v>
      </c>
      <c r="B7148">
        <v>1</v>
      </c>
      <c r="C7148" t="s">
        <v>94</v>
      </c>
      <c r="D7148" t="s">
        <v>95</v>
      </c>
      <c r="E7148" s="1">
        <v>44156</v>
      </c>
      <c r="F7148">
        <v>3</v>
      </c>
      <c r="G7148" t="s">
        <v>59</v>
      </c>
      <c r="H7148" t="s">
        <v>60</v>
      </c>
      <c r="I7148" s="4">
        <v>1171</v>
      </c>
      <c r="J7148" s="3">
        <v>1123</v>
      </c>
      <c r="K7148" s="4">
        <v>392</v>
      </c>
      <c r="L7148" t="s">
        <v>9</v>
      </c>
      <c r="M7148">
        <v>17</v>
      </c>
      <c r="N7148" t="str">
        <f>IF(MASTER[[#This Row],[IDLOCAL]]=17,"HYDE PARK", "HARLEM IRVING")</f>
        <v>HYDE PARK</v>
      </c>
      <c r="O7148" t="str">
        <f>IF(MASTER[[#This Row],[IDLOCAL]]=17,"PREMIUM", "ESTÁNDAR")</f>
        <v>PREMIUM</v>
      </c>
      <c r="P7148" t="s">
        <v>137</v>
      </c>
      <c r="Q7148" t="s">
        <v>142</v>
      </c>
      <c r="R7148" t="s">
        <v>143</v>
      </c>
      <c r="S7148" t="s">
        <v>145</v>
      </c>
      <c r="T7148" s="2">
        <f>MASTER[[#This Row],[CANTIDAD]]*MASTER[[#This Row],[PRECIO DE VENTA]]</f>
        <v>3369</v>
      </c>
      <c r="U7148" s="2">
        <f>MASTER[[#This Row],[CANTIDAD]]*MASTER[[#This Row],[COSTO UNITARIO]]</f>
        <v>1176</v>
      </c>
      <c r="V7148" s="2">
        <f>MASTER[[#This Row],[MONTO VENDIDO]]-MASTER[[#This Row],[COSTO DE VENTA]]</f>
        <v>2193</v>
      </c>
    </row>
    <row r="7149" spans="1:22" x14ac:dyDescent="0.3">
      <c r="A7149">
        <v>104182</v>
      </c>
      <c r="B7149">
        <v>1</v>
      </c>
      <c r="C7149" t="s">
        <v>105</v>
      </c>
      <c r="D7149" t="s">
        <v>106</v>
      </c>
      <c r="E7149" s="1">
        <v>44156</v>
      </c>
      <c r="F7149">
        <v>1</v>
      </c>
      <c r="G7149" t="s">
        <v>53</v>
      </c>
      <c r="H7149" t="s">
        <v>54</v>
      </c>
      <c r="I7149" s="4">
        <v>2060</v>
      </c>
      <c r="J7149" s="3">
        <v>2060</v>
      </c>
      <c r="K7149" s="4">
        <v>459</v>
      </c>
      <c r="L7149" t="s">
        <v>98</v>
      </c>
      <c r="M7149">
        <v>19</v>
      </c>
      <c r="N7149" t="s">
        <v>150</v>
      </c>
      <c r="O7149" t="s">
        <v>81</v>
      </c>
      <c r="P7149" t="s">
        <v>136</v>
      </c>
      <c r="Q7149" t="s">
        <v>140</v>
      </c>
      <c r="R7149" t="s">
        <v>141</v>
      </c>
      <c r="S7149" t="s">
        <v>145</v>
      </c>
      <c r="T7149" s="2">
        <f>MASTER[[#This Row],[CANTIDAD]]*MASTER[[#This Row],[PRECIO DE VENTA]]</f>
        <v>2060</v>
      </c>
      <c r="U7149" s="2">
        <f>MASTER[[#This Row],[CANTIDAD]]*MASTER[[#This Row],[COSTO UNITARIO]]</f>
        <v>459</v>
      </c>
      <c r="V7149" s="2">
        <f>MASTER[[#This Row],[MONTO VENDIDO]]-MASTER[[#This Row],[COSTO DE VENTA]]</f>
        <v>1601</v>
      </c>
    </row>
    <row r="7150" spans="1:22" x14ac:dyDescent="0.3">
      <c r="A7150">
        <v>104188</v>
      </c>
      <c r="B7150">
        <v>1</v>
      </c>
      <c r="C7150" t="s">
        <v>107</v>
      </c>
      <c r="D7150" t="s">
        <v>108</v>
      </c>
      <c r="E7150" s="1">
        <v>44156</v>
      </c>
      <c r="F7150">
        <v>1</v>
      </c>
      <c r="G7150" t="s">
        <v>7</v>
      </c>
      <c r="H7150" t="s">
        <v>8</v>
      </c>
      <c r="I7150" s="4">
        <v>1872</v>
      </c>
      <c r="J7150" s="3">
        <v>1872</v>
      </c>
      <c r="K7150" s="4">
        <v>380</v>
      </c>
      <c r="L7150" t="s">
        <v>98</v>
      </c>
      <c r="M7150">
        <v>19</v>
      </c>
      <c r="N7150" t="s">
        <v>150</v>
      </c>
      <c r="O7150" t="s">
        <v>81</v>
      </c>
      <c r="P7150" t="s">
        <v>136</v>
      </c>
      <c r="Q7150" t="s">
        <v>140</v>
      </c>
      <c r="R7150" t="s">
        <v>141</v>
      </c>
      <c r="S7150" t="s">
        <v>145</v>
      </c>
      <c r="T7150" s="2">
        <f>MASTER[[#This Row],[CANTIDAD]]*MASTER[[#This Row],[PRECIO DE VENTA]]</f>
        <v>1872</v>
      </c>
      <c r="U7150" s="2">
        <f>MASTER[[#This Row],[CANTIDAD]]*MASTER[[#This Row],[COSTO UNITARIO]]</f>
        <v>380</v>
      </c>
      <c r="V7150" s="2">
        <f>MASTER[[#This Row],[MONTO VENDIDO]]-MASTER[[#This Row],[COSTO DE VENTA]]</f>
        <v>1492</v>
      </c>
    </row>
    <row r="7151" spans="1:22" x14ac:dyDescent="0.3">
      <c r="A7151">
        <v>104194</v>
      </c>
      <c r="B7151">
        <v>2</v>
      </c>
      <c r="C7151" t="s">
        <v>114</v>
      </c>
      <c r="D7151" t="s">
        <v>115</v>
      </c>
      <c r="E7151" s="1">
        <v>44156</v>
      </c>
      <c r="F7151">
        <v>1</v>
      </c>
      <c r="G7151" t="s">
        <v>29</v>
      </c>
      <c r="H7151" t="s">
        <v>30</v>
      </c>
      <c r="I7151" s="4">
        <v>2420</v>
      </c>
      <c r="J7151" s="3">
        <v>2420</v>
      </c>
      <c r="K7151" s="4">
        <v>394</v>
      </c>
      <c r="L7151" t="s">
        <v>113</v>
      </c>
      <c r="M7151">
        <v>18</v>
      </c>
      <c r="N7151" t="str">
        <f>IF(MASTER[[#This Row],[IDLOCAL]]=17,"HYDE PARK", "HARLEM IRVING")</f>
        <v>HARLEM IRVING</v>
      </c>
      <c r="O7151" t="str">
        <f>IF(MASTER[[#This Row],[IDLOCAL]]=17,"PREMIUM", "ESTÁNDAR")</f>
        <v>ESTÁNDAR</v>
      </c>
      <c r="P7151" t="s">
        <v>137</v>
      </c>
      <c r="Q7151" t="s">
        <v>142</v>
      </c>
      <c r="R7151" t="s">
        <v>143</v>
      </c>
      <c r="S7151" t="s">
        <v>145</v>
      </c>
      <c r="T7151" s="2">
        <f>MASTER[[#This Row],[CANTIDAD]]*MASTER[[#This Row],[PRECIO DE VENTA]]</f>
        <v>2420</v>
      </c>
      <c r="U7151" s="2">
        <f>MASTER[[#This Row],[CANTIDAD]]*MASTER[[#This Row],[COSTO UNITARIO]]</f>
        <v>394</v>
      </c>
      <c r="V7151" s="2">
        <f>MASTER[[#This Row],[MONTO VENDIDO]]-MASTER[[#This Row],[COSTO DE VENTA]]</f>
        <v>2026</v>
      </c>
    </row>
    <row r="7152" spans="1:22" x14ac:dyDescent="0.3">
      <c r="A7152">
        <v>104227</v>
      </c>
      <c r="B7152">
        <v>1</v>
      </c>
      <c r="C7152" t="s">
        <v>118</v>
      </c>
      <c r="D7152" t="s">
        <v>119</v>
      </c>
      <c r="E7152" s="1">
        <v>44156</v>
      </c>
      <c r="F7152">
        <v>1</v>
      </c>
      <c r="G7152" t="s">
        <v>51</v>
      </c>
      <c r="H7152" t="s">
        <v>52</v>
      </c>
      <c r="I7152" s="4">
        <v>1170</v>
      </c>
      <c r="J7152" s="3">
        <v>1123</v>
      </c>
      <c r="K7152" s="4">
        <v>424</v>
      </c>
      <c r="L7152" t="s">
        <v>120</v>
      </c>
      <c r="M7152">
        <v>19</v>
      </c>
      <c r="N7152" t="s">
        <v>150</v>
      </c>
      <c r="O7152" t="s">
        <v>81</v>
      </c>
      <c r="P7152" t="s">
        <v>136</v>
      </c>
      <c r="Q7152" t="s">
        <v>140</v>
      </c>
      <c r="R7152" t="s">
        <v>141</v>
      </c>
      <c r="S7152" t="s">
        <v>145</v>
      </c>
      <c r="T7152" s="2">
        <f>MASTER[[#This Row],[CANTIDAD]]*MASTER[[#This Row],[PRECIO DE VENTA]]</f>
        <v>1123</v>
      </c>
      <c r="U7152" s="2">
        <f>MASTER[[#This Row],[CANTIDAD]]*MASTER[[#This Row],[COSTO UNITARIO]]</f>
        <v>424</v>
      </c>
      <c r="V7152" s="2">
        <f>MASTER[[#This Row],[MONTO VENDIDO]]-MASTER[[#This Row],[COSTO DE VENTA]]</f>
        <v>699</v>
      </c>
    </row>
    <row r="7153" spans="1:22" x14ac:dyDescent="0.3">
      <c r="A7153">
        <v>104231</v>
      </c>
      <c r="B7153">
        <v>1</v>
      </c>
      <c r="C7153" t="s">
        <v>96</v>
      </c>
      <c r="D7153" t="s">
        <v>97</v>
      </c>
      <c r="E7153" s="1">
        <v>44159</v>
      </c>
      <c r="F7153">
        <v>1</v>
      </c>
      <c r="G7153" t="s">
        <v>61</v>
      </c>
      <c r="H7153" t="s">
        <v>62</v>
      </c>
      <c r="I7153" s="4">
        <v>1769</v>
      </c>
      <c r="J7153" s="3">
        <v>1697</v>
      </c>
      <c r="K7153" s="4">
        <v>397</v>
      </c>
      <c r="L7153" t="s">
        <v>98</v>
      </c>
      <c r="M7153">
        <v>19</v>
      </c>
      <c r="N7153" t="s">
        <v>150</v>
      </c>
      <c r="O7153" t="s">
        <v>81</v>
      </c>
      <c r="P7153" t="s">
        <v>136</v>
      </c>
      <c r="Q7153" t="s">
        <v>140</v>
      </c>
      <c r="R7153" t="s">
        <v>141</v>
      </c>
      <c r="S7153" t="s">
        <v>145</v>
      </c>
      <c r="T7153" s="2">
        <f>MASTER[[#This Row],[CANTIDAD]]*MASTER[[#This Row],[PRECIO DE VENTA]]</f>
        <v>1697</v>
      </c>
      <c r="U7153" s="2">
        <f>MASTER[[#This Row],[CANTIDAD]]*MASTER[[#This Row],[COSTO UNITARIO]]</f>
        <v>397</v>
      </c>
      <c r="V7153" s="2">
        <f>MASTER[[#This Row],[MONTO VENDIDO]]-MASTER[[#This Row],[COSTO DE VENTA]]</f>
        <v>1300</v>
      </c>
    </row>
    <row r="7154" spans="1:22" x14ac:dyDescent="0.3">
      <c r="A7154">
        <v>104262</v>
      </c>
      <c r="B7154">
        <v>1</v>
      </c>
      <c r="C7154" t="s">
        <v>99</v>
      </c>
      <c r="D7154" t="s">
        <v>100</v>
      </c>
      <c r="E7154" s="1">
        <v>44161</v>
      </c>
      <c r="F7154">
        <v>1</v>
      </c>
      <c r="G7154" t="s">
        <v>59</v>
      </c>
      <c r="H7154" t="s">
        <v>60</v>
      </c>
      <c r="I7154" s="4">
        <v>1896</v>
      </c>
      <c r="J7154" s="3">
        <v>1896</v>
      </c>
      <c r="K7154" s="4">
        <v>386</v>
      </c>
      <c r="L7154" t="s">
        <v>98</v>
      </c>
      <c r="M7154">
        <v>18</v>
      </c>
      <c r="N7154" t="str">
        <f>IF(MASTER[[#This Row],[IDLOCAL]]=17,"HYDE PARK", "HARLEM IRVING")</f>
        <v>HARLEM IRVING</v>
      </c>
      <c r="O7154" t="str">
        <f>IF(MASTER[[#This Row],[IDLOCAL]]=17,"PREMIUM", "ESTÁNDAR")</f>
        <v>ESTÁNDAR</v>
      </c>
      <c r="P7154" t="s">
        <v>137</v>
      </c>
      <c r="Q7154" t="s">
        <v>142</v>
      </c>
      <c r="R7154" t="s">
        <v>143</v>
      </c>
      <c r="S7154" t="s">
        <v>145</v>
      </c>
      <c r="T7154" s="2">
        <f>MASTER[[#This Row],[CANTIDAD]]*MASTER[[#This Row],[PRECIO DE VENTA]]</f>
        <v>1896</v>
      </c>
      <c r="U7154" s="2">
        <f>MASTER[[#This Row],[CANTIDAD]]*MASTER[[#This Row],[COSTO UNITARIO]]</f>
        <v>386</v>
      </c>
      <c r="V7154" s="2">
        <f>MASTER[[#This Row],[MONTO VENDIDO]]-MASTER[[#This Row],[COSTO DE VENTA]]</f>
        <v>1510</v>
      </c>
    </row>
    <row r="7155" spans="1:22" x14ac:dyDescent="0.3">
      <c r="A7155">
        <v>104273</v>
      </c>
      <c r="B7155">
        <v>1</v>
      </c>
      <c r="C7155" t="s">
        <v>107</v>
      </c>
      <c r="D7155" t="s">
        <v>108</v>
      </c>
      <c r="E7155" s="1">
        <v>44161</v>
      </c>
      <c r="F7155">
        <v>1</v>
      </c>
      <c r="G7155" t="s">
        <v>67</v>
      </c>
      <c r="H7155" t="s">
        <v>68</v>
      </c>
      <c r="I7155" s="4">
        <v>1732</v>
      </c>
      <c r="J7155" s="3">
        <v>1732</v>
      </c>
      <c r="K7155" s="4">
        <v>380</v>
      </c>
      <c r="L7155" t="s">
        <v>98</v>
      </c>
      <c r="M7155">
        <v>17</v>
      </c>
      <c r="N7155" t="str">
        <f>IF(MASTER[[#This Row],[IDLOCAL]]=17,"HYDE PARK", "HARLEM IRVING")</f>
        <v>HYDE PARK</v>
      </c>
      <c r="O7155" t="str">
        <f>IF(MASTER[[#This Row],[IDLOCAL]]=17,"PREMIUM", "ESTÁNDAR")</f>
        <v>PREMIUM</v>
      </c>
      <c r="P7155" t="s">
        <v>137</v>
      </c>
      <c r="Q7155" t="s">
        <v>142</v>
      </c>
      <c r="R7155" t="s">
        <v>143</v>
      </c>
      <c r="S7155" t="s">
        <v>145</v>
      </c>
      <c r="T7155" s="2">
        <f>MASTER[[#This Row],[CANTIDAD]]*MASTER[[#This Row],[PRECIO DE VENTA]]</f>
        <v>1732</v>
      </c>
      <c r="U7155" s="2">
        <f>MASTER[[#This Row],[CANTIDAD]]*MASTER[[#This Row],[COSTO UNITARIO]]</f>
        <v>380</v>
      </c>
      <c r="V7155" s="2">
        <f>MASTER[[#This Row],[MONTO VENDIDO]]-MASTER[[#This Row],[COSTO DE VENTA]]</f>
        <v>1352</v>
      </c>
    </row>
    <row r="7156" spans="1:22" x14ac:dyDescent="0.3">
      <c r="A7156">
        <v>104284</v>
      </c>
      <c r="B7156">
        <v>1</v>
      </c>
      <c r="C7156" t="s">
        <v>121</v>
      </c>
      <c r="D7156" t="s">
        <v>122</v>
      </c>
      <c r="E7156" s="1">
        <v>44161</v>
      </c>
      <c r="F7156">
        <v>1</v>
      </c>
      <c r="G7156" t="s">
        <v>33</v>
      </c>
      <c r="H7156" t="s">
        <v>34</v>
      </c>
      <c r="I7156" s="4">
        <v>1223</v>
      </c>
      <c r="J7156" s="3">
        <v>1223</v>
      </c>
      <c r="K7156" s="4">
        <v>460</v>
      </c>
      <c r="L7156" t="s">
        <v>120</v>
      </c>
      <c r="M7156">
        <v>19</v>
      </c>
      <c r="N7156" t="s">
        <v>150</v>
      </c>
      <c r="O7156" t="s">
        <v>81</v>
      </c>
      <c r="P7156" t="s">
        <v>136</v>
      </c>
      <c r="Q7156" t="s">
        <v>140</v>
      </c>
      <c r="R7156" t="s">
        <v>141</v>
      </c>
      <c r="S7156" t="s">
        <v>145</v>
      </c>
      <c r="T7156" s="2">
        <f>MASTER[[#This Row],[CANTIDAD]]*MASTER[[#This Row],[PRECIO DE VENTA]]</f>
        <v>1223</v>
      </c>
      <c r="U7156" s="2">
        <f>MASTER[[#This Row],[CANTIDAD]]*MASTER[[#This Row],[COSTO UNITARIO]]</f>
        <v>460</v>
      </c>
      <c r="V7156" s="2">
        <f>MASTER[[#This Row],[MONTO VENDIDO]]-MASTER[[#This Row],[COSTO DE VENTA]]</f>
        <v>763</v>
      </c>
    </row>
    <row r="7157" spans="1:22" x14ac:dyDescent="0.3">
      <c r="A7157">
        <v>104286</v>
      </c>
      <c r="B7157">
        <v>1</v>
      </c>
      <c r="C7157" t="s">
        <v>92</v>
      </c>
      <c r="D7157" t="s">
        <v>93</v>
      </c>
      <c r="E7157" s="1">
        <v>44163</v>
      </c>
      <c r="F7157">
        <v>1</v>
      </c>
      <c r="G7157" t="s">
        <v>24</v>
      </c>
      <c r="H7157" t="s">
        <v>25</v>
      </c>
      <c r="I7157" s="4">
        <v>1922</v>
      </c>
      <c r="J7157" s="3">
        <v>1922</v>
      </c>
      <c r="K7157" s="4">
        <v>396</v>
      </c>
      <c r="L7157" t="s">
        <v>9</v>
      </c>
      <c r="M7157">
        <v>19</v>
      </c>
      <c r="N7157" t="s">
        <v>150</v>
      </c>
      <c r="O7157" t="s">
        <v>81</v>
      </c>
      <c r="P7157" t="s">
        <v>136</v>
      </c>
      <c r="Q7157" t="s">
        <v>140</v>
      </c>
      <c r="R7157" t="s">
        <v>141</v>
      </c>
      <c r="S7157" t="s">
        <v>145</v>
      </c>
      <c r="T7157" s="2">
        <f>MASTER[[#This Row],[CANTIDAD]]*MASTER[[#This Row],[PRECIO DE VENTA]]</f>
        <v>1922</v>
      </c>
      <c r="U7157" s="2">
        <f>MASTER[[#This Row],[CANTIDAD]]*MASTER[[#This Row],[COSTO UNITARIO]]</f>
        <v>396</v>
      </c>
      <c r="V7157" s="2">
        <f>MASTER[[#This Row],[MONTO VENDIDO]]-MASTER[[#This Row],[COSTO DE VENTA]]</f>
        <v>1526</v>
      </c>
    </row>
    <row r="7158" spans="1:22" x14ac:dyDescent="0.3">
      <c r="A7158">
        <v>104289</v>
      </c>
      <c r="B7158">
        <v>1</v>
      </c>
      <c r="C7158" t="s">
        <v>90</v>
      </c>
      <c r="D7158" t="s">
        <v>91</v>
      </c>
      <c r="E7158" s="1">
        <v>44164</v>
      </c>
      <c r="F7158">
        <v>1</v>
      </c>
      <c r="G7158" t="s">
        <v>55</v>
      </c>
      <c r="H7158" t="s">
        <v>56</v>
      </c>
      <c r="I7158" s="4">
        <v>2397</v>
      </c>
      <c r="J7158" s="3">
        <v>2397</v>
      </c>
      <c r="K7158" s="4">
        <v>420</v>
      </c>
      <c r="L7158" t="s">
        <v>9</v>
      </c>
      <c r="M7158">
        <v>19</v>
      </c>
      <c r="N7158" t="s">
        <v>150</v>
      </c>
      <c r="O7158" t="s">
        <v>81</v>
      </c>
      <c r="P7158" t="s">
        <v>136</v>
      </c>
      <c r="Q7158" t="s">
        <v>140</v>
      </c>
      <c r="R7158" t="s">
        <v>141</v>
      </c>
      <c r="S7158" t="s">
        <v>145</v>
      </c>
      <c r="T7158" s="2">
        <f>MASTER[[#This Row],[CANTIDAD]]*MASTER[[#This Row],[PRECIO DE VENTA]]</f>
        <v>2397</v>
      </c>
      <c r="U7158" s="2">
        <f>MASTER[[#This Row],[CANTIDAD]]*MASTER[[#This Row],[COSTO UNITARIO]]</f>
        <v>420</v>
      </c>
      <c r="V7158" s="2">
        <f>MASTER[[#This Row],[MONTO VENDIDO]]-MASTER[[#This Row],[COSTO DE VENTA]]</f>
        <v>1977</v>
      </c>
    </row>
    <row r="7159" spans="1:22" x14ac:dyDescent="0.3">
      <c r="A7159">
        <v>104297</v>
      </c>
      <c r="B7159">
        <v>1</v>
      </c>
      <c r="C7159" t="s">
        <v>109</v>
      </c>
      <c r="D7159" t="s">
        <v>110</v>
      </c>
      <c r="E7159" s="1">
        <v>44164</v>
      </c>
      <c r="F7159">
        <v>1</v>
      </c>
      <c r="G7159" t="s">
        <v>51</v>
      </c>
      <c r="H7159" t="s">
        <v>52</v>
      </c>
      <c r="I7159" s="4">
        <v>1231</v>
      </c>
      <c r="J7159" s="3">
        <v>1231</v>
      </c>
      <c r="K7159" s="4">
        <v>387</v>
      </c>
      <c r="L7159" t="s">
        <v>98</v>
      </c>
      <c r="M7159">
        <v>19</v>
      </c>
      <c r="N7159" t="s">
        <v>150</v>
      </c>
      <c r="O7159" t="s">
        <v>81</v>
      </c>
      <c r="P7159" t="s">
        <v>136</v>
      </c>
      <c r="Q7159" t="s">
        <v>140</v>
      </c>
      <c r="R7159" t="s">
        <v>141</v>
      </c>
      <c r="S7159" t="s">
        <v>145</v>
      </c>
      <c r="T7159" s="2">
        <f>MASTER[[#This Row],[CANTIDAD]]*MASTER[[#This Row],[PRECIO DE VENTA]]</f>
        <v>1231</v>
      </c>
      <c r="U7159" s="2">
        <f>MASTER[[#This Row],[CANTIDAD]]*MASTER[[#This Row],[COSTO UNITARIO]]</f>
        <v>387</v>
      </c>
      <c r="V7159" s="2">
        <f>MASTER[[#This Row],[MONTO VENDIDO]]-MASTER[[#This Row],[COSTO DE VENTA]]</f>
        <v>844</v>
      </c>
    </row>
    <row r="7160" spans="1:22" x14ac:dyDescent="0.3">
      <c r="A7160">
        <v>104298</v>
      </c>
      <c r="B7160">
        <v>1</v>
      </c>
      <c r="C7160" t="s">
        <v>96</v>
      </c>
      <c r="D7160" t="s">
        <v>97</v>
      </c>
      <c r="E7160" s="1">
        <v>44165</v>
      </c>
      <c r="F7160">
        <v>1</v>
      </c>
      <c r="G7160" t="s">
        <v>22</v>
      </c>
      <c r="H7160" t="s">
        <v>23</v>
      </c>
      <c r="I7160" s="4">
        <v>1653</v>
      </c>
      <c r="J7160" s="3">
        <v>1653</v>
      </c>
      <c r="K7160" s="4">
        <v>397</v>
      </c>
      <c r="L7160" t="s">
        <v>98</v>
      </c>
      <c r="M7160">
        <v>17</v>
      </c>
      <c r="N7160" t="str">
        <f>IF(MASTER[[#This Row],[IDLOCAL]]=17,"HYDE PARK", "HARLEM IRVING")</f>
        <v>HYDE PARK</v>
      </c>
      <c r="O7160" t="str">
        <f>IF(MASTER[[#This Row],[IDLOCAL]]=17,"PREMIUM", "ESTÁNDAR")</f>
        <v>PREMIUM</v>
      </c>
      <c r="P7160" t="s">
        <v>137</v>
      </c>
      <c r="Q7160" t="s">
        <v>142</v>
      </c>
      <c r="R7160" t="s">
        <v>143</v>
      </c>
      <c r="S7160" t="s">
        <v>145</v>
      </c>
      <c r="T7160" s="2">
        <f>MASTER[[#This Row],[CANTIDAD]]*MASTER[[#This Row],[PRECIO DE VENTA]]</f>
        <v>1653</v>
      </c>
      <c r="U7160" s="2">
        <f>MASTER[[#This Row],[CANTIDAD]]*MASTER[[#This Row],[COSTO UNITARIO]]</f>
        <v>397</v>
      </c>
      <c r="V7160" s="2">
        <f>MASTER[[#This Row],[MONTO VENDIDO]]-MASTER[[#This Row],[COSTO DE VENTA]]</f>
        <v>1256</v>
      </c>
    </row>
    <row r="7161" spans="1:22" x14ac:dyDescent="0.3">
      <c r="A7161">
        <v>104302</v>
      </c>
      <c r="B7161">
        <v>1</v>
      </c>
      <c r="C7161" t="s">
        <v>99</v>
      </c>
      <c r="D7161" t="s">
        <v>100</v>
      </c>
      <c r="E7161" s="1">
        <v>44165</v>
      </c>
      <c r="F7161">
        <v>1</v>
      </c>
      <c r="G7161" t="s">
        <v>27</v>
      </c>
      <c r="H7161" t="s">
        <v>28</v>
      </c>
      <c r="I7161" s="4">
        <v>2181</v>
      </c>
      <c r="J7161" s="3">
        <v>2181</v>
      </c>
      <c r="K7161" s="4">
        <v>386</v>
      </c>
      <c r="L7161" t="s">
        <v>98</v>
      </c>
      <c r="M7161">
        <v>17</v>
      </c>
      <c r="N7161" t="str">
        <f>IF(MASTER[[#This Row],[IDLOCAL]]=17,"HYDE PARK", "HARLEM IRVING")</f>
        <v>HYDE PARK</v>
      </c>
      <c r="O7161" t="str">
        <f>IF(MASTER[[#This Row],[IDLOCAL]]=17,"PREMIUM", "ESTÁNDAR")</f>
        <v>PREMIUM</v>
      </c>
      <c r="P7161" t="s">
        <v>137</v>
      </c>
      <c r="Q7161" t="s">
        <v>142</v>
      </c>
      <c r="R7161" t="s">
        <v>143</v>
      </c>
      <c r="S7161" t="s">
        <v>145</v>
      </c>
      <c r="T7161" s="2">
        <f>MASTER[[#This Row],[CANTIDAD]]*MASTER[[#This Row],[PRECIO DE VENTA]]</f>
        <v>2181</v>
      </c>
      <c r="U7161" s="2">
        <f>MASTER[[#This Row],[CANTIDAD]]*MASTER[[#This Row],[COSTO UNITARIO]]</f>
        <v>386</v>
      </c>
      <c r="V7161" s="2">
        <f>MASTER[[#This Row],[MONTO VENDIDO]]-MASTER[[#This Row],[COSTO DE VENTA]]</f>
        <v>1795</v>
      </c>
    </row>
    <row r="7162" spans="1:22" x14ac:dyDescent="0.3">
      <c r="A7162">
        <v>104309</v>
      </c>
      <c r="B7162">
        <v>1</v>
      </c>
      <c r="C7162" t="s">
        <v>116</v>
      </c>
      <c r="D7162" t="s">
        <v>117</v>
      </c>
      <c r="E7162" s="1">
        <v>44165</v>
      </c>
      <c r="F7162">
        <v>1</v>
      </c>
      <c r="G7162" t="s">
        <v>31</v>
      </c>
      <c r="H7162" t="s">
        <v>32</v>
      </c>
      <c r="I7162" s="4">
        <v>2259</v>
      </c>
      <c r="J7162" s="3">
        <v>2259</v>
      </c>
      <c r="K7162" s="4">
        <v>388</v>
      </c>
      <c r="L7162" t="s">
        <v>113</v>
      </c>
      <c r="M7162">
        <v>17</v>
      </c>
      <c r="N7162" t="str">
        <f>IF(MASTER[[#This Row],[IDLOCAL]]=17,"HYDE PARK", "HARLEM IRVING")</f>
        <v>HYDE PARK</v>
      </c>
      <c r="O7162" t="str">
        <f>IF(MASTER[[#This Row],[IDLOCAL]]=17,"PREMIUM", "ESTÁNDAR")</f>
        <v>PREMIUM</v>
      </c>
      <c r="P7162" t="s">
        <v>137</v>
      </c>
      <c r="Q7162" t="s">
        <v>142</v>
      </c>
      <c r="R7162" t="s">
        <v>143</v>
      </c>
      <c r="S7162" t="s">
        <v>145</v>
      </c>
      <c r="T7162" s="2">
        <f>MASTER[[#This Row],[CANTIDAD]]*MASTER[[#This Row],[PRECIO DE VENTA]]</f>
        <v>2259</v>
      </c>
      <c r="U7162" s="2">
        <f>MASTER[[#This Row],[CANTIDAD]]*MASTER[[#This Row],[COSTO UNITARIO]]</f>
        <v>388</v>
      </c>
      <c r="V7162" s="2">
        <f>MASTER[[#This Row],[MONTO VENDIDO]]-MASTER[[#This Row],[COSTO DE VENTA]]</f>
        <v>1871</v>
      </c>
    </row>
    <row r="7163" spans="1:22" x14ac:dyDescent="0.3">
      <c r="A7163">
        <v>104312</v>
      </c>
      <c r="B7163">
        <v>1</v>
      </c>
      <c r="C7163" t="s">
        <v>101</v>
      </c>
      <c r="D7163" t="s">
        <v>102</v>
      </c>
      <c r="E7163" s="1">
        <v>44166</v>
      </c>
      <c r="F7163">
        <v>1</v>
      </c>
      <c r="G7163" t="s">
        <v>67</v>
      </c>
      <c r="H7163" t="s">
        <v>68</v>
      </c>
      <c r="I7163" s="4">
        <v>1575</v>
      </c>
      <c r="J7163" s="3">
        <v>1575</v>
      </c>
      <c r="K7163" s="4">
        <v>442</v>
      </c>
      <c r="L7163" t="s">
        <v>98</v>
      </c>
      <c r="M7163">
        <v>19</v>
      </c>
      <c r="N7163" t="s">
        <v>150</v>
      </c>
      <c r="O7163" t="s">
        <v>81</v>
      </c>
      <c r="P7163" t="s">
        <v>136</v>
      </c>
      <c r="Q7163" t="s">
        <v>140</v>
      </c>
      <c r="R7163" t="s">
        <v>141</v>
      </c>
      <c r="S7163" t="s">
        <v>145</v>
      </c>
      <c r="T7163" s="2">
        <f>MASTER[[#This Row],[CANTIDAD]]*MASTER[[#This Row],[PRECIO DE VENTA]]</f>
        <v>1575</v>
      </c>
      <c r="U7163" s="2">
        <f>MASTER[[#This Row],[CANTIDAD]]*MASTER[[#This Row],[COSTO UNITARIO]]</f>
        <v>442</v>
      </c>
      <c r="V7163" s="2">
        <f>MASTER[[#This Row],[MONTO VENDIDO]]-MASTER[[#This Row],[COSTO DE VENTA]]</f>
        <v>1133</v>
      </c>
    </row>
    <row r="7164" spans="1:22" x14ac:dyDescent="0.3">
      <c r="A7164">
        <v>104318</v>
      </c>
      <c r="B7164">
        <v>1</v>
      </c>
      <c r="C7164" t="s">
        <v>103</v>
      </c>
      <c r="D7164" t="s">
        <v>104</v>
      </c>
      <c r="E7164" s="1">
        <v>44166</v>
      </c>
      <c r="F7164">
        <v>1</v>
      </c>
      <c r="G7164" t="s">
        <v>20</v>
      </c>
      <c r="H7164" t="s">
        <v>21</v>
      </c>
      <c r="I7164" s="4">
        <v>2068</v>
      </c>
      <c r="J7164" s="3">
        <v>2068</v>
      </c>
      <c r="K7164" s="4">
        <v>421</v>
      </c>
      <c r="L7164" t="s">
        <v>98</v>
      </c>
      <c r="M7164">
        <v>19</v>
      </c>
      <c r="N7164" t="s">
        <v>150</v>
      </c>
      <c r="O7164" t="s">
        <v>81</v>
      </c>
      <c r="P7164" t="s">
        <v>136</v>
      </c>
      <c r="Q7164" t="s">
        <v>140</v>
      </c>
      <c r="R7164" t="s">
        <v>141</v>
      </c>
      <c r="S7164" t="s">
        <v>145</v>
      </c>
      <c r="T7164" s="2">
        <f>MASTER[[#This Row],[CANTIDAD]]*MASTER[[#This Row],[PRECIO DE VENTA]]</f>
        <v>2068</v>
      </c>
      <c r="U7164" s="2">
        <f>MASTER[[#This Row],[CANTIDAD]]*MASTER[[#This Row],[COSTO UNITARIO]]</f>
        <v>421</v>
      </c>
      <c r="V7164" s="2">
        <f>MASTER[[#This Row],[MONTO VENDIDO]]-MASTER[[#This Row],[COSTO DE VENTA]]</f>
        <v>1647</v>
      </c>
    </row>
    <row r="7165" spans="1:22" x14ac:dyDescent="0.3">
      <c r="A7165">
        <v>104319</v>
      </c>
      <c r="B7165">
        <v>1</v>
      </c>
      <c r="C7165" t="s">
        <v>92</v>
      </c>
      <c r="D7165" t="s">
        <v>93</v>
      </c>
      <c r="E7165" s="1">
        <v>44168</v>
      </c>
      <c r="F7165">
        <v>1</v>
      </c>
      <c r="G7165" t="s">
        <v>31</v>
      </c>
      <c r="H7165" t="s">
        <v>32</v>
      </c>
      <c r="I7165" s="4">
        <v>2185</v>
      </c>
      <c r="J7165" s="3">
        <v>2185</v>
      </c>
      <c r="K7165" s="4">
        <v>396</v>
      </c>
      <c r="L7165" t="s">
        <v>9</v>
      </c>
      <c r="M7165">
        <v>17</v>
      </c>
      <c r="N7165" t="str">
        <f>IF(MASTER[[#This Row],[IDLOCAL]]=17,"HYDE PARK", "HARLEM IRVING")</f>
        <v>HYDE PARK</v>
      </c>
      <c r="O7165" t="str">
        <f>IF(MASTER[[#This Row],[IDLOCAL]]=17,"PREMIUM", "ESTÁNDAR")</f>
        <v>PREMIUM</v>
      </c>
      <c r="P7165" t="s">
        <v>137</v>
      </c>
      <c r="Q7165" t="s">
        <v>142</v>
      </c>
      <c r="R7165" t="s">
        <v>143</v>
      </c>
      <c r="S7165" t="s">
        <v>145</v>
      </c>
      <c r="T7165" s="2">
        <f>MASTER[[#This Row],[CANTIDAD]]*MASTER[[#This Row],[PRECIO DE VENTA]]</f>
        <v>2185</v>
      </c>
      <c r="U7165" s="2">
        <f>MASTER[[#This Row],[CANTIDAD]]*MASTER[[#This Row],[COSTO UNITARIO]]</f>
        <v>396</v>
      </c>
      <c r="V7165" s="2">
        <f>MASTER[[#This Row],[MONTO VENDIDO]]-MASTER[[#This Row],[COSTO DE VENTA]]</f>
        <v>1789</v>
      </c>
    </row>
    <row r="7166" spans="1:22" x14ac:dyDescent="0.3">
      <c r="A7166">
        <v>104356</v>
      </c>
      <c r="B7166">
        <v>1</v>
      </c>
      <c r="C7166" t="s">
        <v>94</v>
      </c>
      <c r="D7166" t="s">
        <v>95</v>
      </c>
      <c r="E7166" s="1">
        <v>44169</v>
      </c>
      <c r="F7166">
        <v>1</v>
      </c>
      <c r="G7166" t="s">
        <v>73</v>
      </c>
      <c r="H7166" t="s">
        <v>74</v>
      </c>
      <c r="I7166" s="4">
        <v>1362</v>
      </c>
      <c r="J7166" s="3">
        <v>1362</v>
      </c>
      <c r="K7166" s="4">
        <v>392</v>
      </c>
      <c r="L7166" t="s">
        <v>9</v>
      </c>
      <c r="M7166">
        <v>17</v>
      </c>
      <c r="N7166" t="str">
        <f>IF(MASTER[[#This Row],[IDLOCAL]]=17,"HYDE PARK", "HARLEM IRVING")</f>
        <v>HYDE PARK</v>
      </c>
      <c r="O7166" t="str">
        <f>IF(MASTER[[#This Row],[IDLOCAL]]=17,"PREMIUM", "ESTÁNDAR")</f>
        <v>PREMIUM</v>
      </c>
      <c r="P7166" t="s">
        <v>137</v>
      </c>
      <c r="Q7166" t="s">
        <v>142</v>
      </c>
      <c r="R7166" t="s">
        <v>143</v>
      </c>
      <c r="S7166" t="s">
        <v>145</v>
      </c>
      <c r="T7166" s="2">
        <f>MASTER[[#This Row],[CANTIDAD]]*MASTER[[#This Row],[PRECIO DE VENTA]]</f>
        <v>1362</v>
      </c>
      <c r="U7166" s="2">
        <f>MASTER[[#This Row],[CANTIDAD]]*MASTER[[#This Row],[COSTO UNITARIO]]</f>
        <v>392</v>
      </c>
      <c r="V7166" s="2">
        <f>MASTER[[#This Row],[MONTO VENDIDO]]-MASTER[[#This Row],[COSTO DE VENTA]]</f>
        <v>970</v>
      </c>
    </row>
    <row r="7167" spans="1:22" x14ac:dyDescent="0.3">
      <c r="A7167">
        <v>104361</v>
      </c>
      <c r="B7167">
        <v>1</v>
      </c>
      <c r="C7167" t="s">
        <v>109</v>
      </c>
      <c r="D7167" t="s">
        <v>110</v>
      </c>
      <c r="E7167" s="1">
        <v>44170</v>
      </c>
      <c r="F7167">
        <v>1</v>
      </c>
      <c r="G7167" t="s">
        <v>65</v>
      </c>
      <c r="H7167" t="s">
        <v>66</v>
      </c>
      <c r="I7167" s="4">
        <v>1466</v>
      </c>
      <c r="J7167" s="3">
        <v>1466</v>
      </c>
      <c r="K7167" s="4">
        <v>387</v>
      </c>
      <c r="L7167" t="s">
        <v>98</v>
      </c>
      <c r="M7167">
        <v>19</v>
      </c>
      <c r="N7167" t="s">
        <v>150</v>
      </c>
      <c r="O7167" t="s">
        <v>81</v>
      </c>
      <c r="P7167" t="s">
        <v>136</v>
      </c>
      <c r="Q7167" t="s">
        <v>140</v>
      </c>
      <c r="R7167" t="s">
        <v>141</v>
      </c>
      <c r="S7167" t="s">
        <v>145</v>
      </c>
      <c r="T7167" s="2">
        <f>MASTER[[#This Row],[CANTIDAD]]*MASTER[[#This Row],[PRECIO DE VENTA]]</f>
        <v>1466</v>
      </c>
      <c r="U7167" s="2">
        <f>MASTER[[#This Row],[CANTIDAD]]*MASTER[[#This Row],[COSTO UNITARIO]]</f>
        <v>387</v>
      </c>
      <c r="V7167" s="2">
        <f>MASTER[[#This Row],[MONTO VENDIDO]]-MASTER[[#This Row],[COSTO DE VENTA]]</f>
        <v>1079</v>
      </c>
    </row>
    <row r="7168" spans="1:22" x14ac:dyDescent="0.3">
      <c r="A7168">
        <v>104369</v>
      </c>
      <c r="B7168">
        <v>1</v>
      </c>
      <c r="C7168" t="s">
        <v>111</v>
      </c>
      <c r="D7168" t="s">
        <v>112</v>
      </c>
      <c r="E7168" s="1">
        <v>44170</v>
      </c>
      <c r="F7168">
        <v>1</v>
      </c>
      <c r="G7168" t="s">
        <v>7</v>
      </c>
      <c r="H7168" t="s">
        <v>8</v>
      </c>
      <c r="I7168" s="4">
        <v>2338</v>
      </c>
      <c r="J7168" s="3">
        <v>2338</v>
      </c>
      <c r="K7168" s="4">
        <v>434</v>
      </c>
      <c r="L7168" t="s">
        <v>113</v>
      </c>
      <c r="M7168">
        <v>17</v>
      </c>
      <c r="N7168" t="str">
        <f>IF(MASTER[[#This Row],[IDLOCAL]]=17,"HYDE PARK", "HARLEM IRVING")</f>
        <v>HYDE PARK</v>
      </c>
      <c r="O7168" t="str">
        <f>IF(MASTER[[#This Row],[IDLOCAL]]=17,"PREMIUM", "ESTÁNDAR")</f>
        <v>PREMIUM</v>
      </c>
      <c r="P7168" t="s">
        <v>137</v>
      </c>
      <c r="Q7168" t="s">
        <v>142</v>
      </c>
      <c r="R7168" t="s">
        <v>143</v>
      </c>
      <c r="S7168" t="s">
        <v>145</v>
      </c>
      <c r="T7168" s="2">
        <f>MASTER[[#This Row],[CANTIDAD]]*MASTER[[#This Row],[PRECIO DE VENTA]]</f>
        <v>2338</v>
      </c>
      <c r="U7168" s="2">
        <f>MASTER[[#This Row],[CANTIDAD]]*MASTER[[#This Row],[COSTO UNITARIO]]</f>
        <v>434</v>
      </c>
      <c r="V7168" s="2">
        <f>MASTER[[#This Row],[MONTO VENDIDO]]-MASTER[[#This Row],[COSTO DE VENTA]]</f>
        <v>1904</v>
      </c>
    </row>
    <row r="7169" spans="1:22" x14ac:dyDescent="0.3">
      <c r="A7169">
        <v>104373</v>
      </c>
      <c r="B7169">
        <v>1</v>
      </c>
      <c r="C7169" t="s">
        <v>114</v>
      </c>
      <c r="D7169" t="s">
        <v>115</v>
      </c>
      <c r="E7169" s="1">
        <v>44173</v>
      </c>
      <c r="F7169">
        <v>1</v>
      </c>
      <c r="G7169" t="s">
        <v>67</v>
      </c>
      <c r="H7169" t="s">
        <v>68</v>
      </c>
      <c r="I7169" s="4">
        <v>2057</v>
      </c>
      <c r="J7169" s="3">
        <v>2057</v>
      </c>
      <c r="K7169" s="4">
        <v>394</v>
      </c>
      <c r="L7169" t="s">
        <v>113</v>
      </c>
      <c r="M7169">
        <v>17</v>
      </c>
      <c r="N7169" t="str">
        <f>IF(MASTER[[#This Row],[IDLOCAL]]=17,"HYDE PARK", "HARLEM IRVING")</f>
        <v>HYDE PARK</v>
      </c>
      <c r="O7169" t="str">
        <f>IF(MASTER[[#This Row],[IDLOCAL]]=17,"PREMIUM", "ESTÁNDAR")</f>
        <v>PREMIUM</v>
      </c>
      <c r="P7169" t="s">
        <v>137</v>
      </c>
      <c r="Q7169" t="s">
        <v>142</v>
      </c>
      <c r="R7169" t="s">
        <v>143</v>
      </c>
      <c r="S7169" t="s">
        <v>145</v>
      </c>
      <c r="T7169" s="2">
        <f>MASTER[[#This Row],[CANTIDAD]]*MASTER[[#This Row],[PRECIO DE VENTA]]</f>
        <v>2057</v>
      </c>
      <c r="U7169" s="2">
        <f>MASTER[[#This Row],[CANTIDAD]]*MASTER[[#This Row],[COSTO UNITARIO]]</f>
        <v>394</v>
      </c>
      <c r="V7169" s="2">
        <f>MASTER[[#This Row],[MONTO VENDIDO]]-MASTER[[#This Row],[COSTO DE VENTA]]</f>
        <v>1663</v>
      </c>
    </row>
    <row r="7170" spans="1:22" x14ac:dyDescent="0.3">
      <c r="A7170">
        <v>104375</v>
      </c>
      <c r="B7170">
        <v>1</v>
      </c>
      <c r="C7170" t="s">
        <v>111</v>
      </c>
      <c r="D7170" t="s">
        <v>112</v>
      </c>
      <c r="E7170" s="1">
        <v>44174</v>
      </c>
      <c r="F7170">
        <v>1</v>
      </c>
      <c r="G7170" t="s">
        <v>73</v>
      </c>
      <c r="H7170" t="s">
        <v>74</v>
      </c>
      <c r="I7170" s="4">
        <v>2107</v>
      </c>
      <c r="J7170" s="3">
        <v>2107</v>
      </c>
      <c r="K7170" s="4">
        <v>434</v>
      </c>
      <c r="L7170" t="s">
        <v>113</v>
      </c>
      <c r="M7170">
        <v>19</v>
      </c>
      <c r="N7170" t="s">
        <v>150</v>
      </c>
      <c r="O7170" t="s">
        <v>81</v>
      </c>
      <c r="P7170" t="s">
        <v>136</v>
      </c>
      <c r="Q7170" t="s">
        <v>140</v>
      </c>
      <c r="R7170" t="s">
        <v>141</v>
      </c>
      <c r="S7170" t="s">
        <v>145</v>
      </c>
      <c r="T7170" s="2">
        <f>MASTER[[#This Row],[CANTIDAD]]*MASTER[[#This Row],[PRECIO DE VENTA]]</f>
        <v>2107</v>
      </c>
      <c r="U7170" s="2">
        <f>MASTER[[#This Row],[CANTIDAD]]*MASTER[[#This Row],[COSTO UNITARIO]]</f>
        <v>434</v>
      </c>
      <c r="V7170" s="2">
        <f>MASTER[[#This Row],[MONTO VENDIDO]]-MASTER[[#This Row],[COSTO DE VENTA]]</f>
        <v>1673</v>
      </c>
    </row>
    <row r="7171" spans="1:22" x14ac:dyDescent="0.3">
      <c r="A7171">
        <v>104378</v>
      </c>
      <c r="B7171">
        <v>1</v>
      </c>
      <c r="C7171" t="s">
        <v>96</v>
      </c>
      <c r="D7171" t="s">
        <v>97</v>
      </c>
      <c r="E7171" s="1">
        <v>44176</v>
      </c>
      <c r="F7171">
        <v>1</v>
      </c>
      <c r="G7171" t="s">
        <v>24</v>
      </c>
      <c r="H7171" t="s">
        <v>25</v>
      </c>
      <c r="I7171" s="4">
        <v>1554</v>
      </c>
      <c r="J7171" s="3">
        <v>1554</v>
      </c>
      <c r="K7171" s="4">
        <v>397</v>
      </c>
      <c r="L7171" t="s">
        <v>98</v>
      </c>
      <c r="M7171">
        <v>19</v>
      </c>
      <c r="N7171" t="s">
        <v>150</v>
      </c>
      <c r="O7171" t="s">
        <v>81</v>
      </c>
      <c r="P7171" t="s">
        <v>136</v>
      </c>
      <c r="Q7171" t="s">
        <v>140</v>
      </c>
      <c r="R7171" t="s">
        <v>141</v>
      </c>
      <c r="S7171" t="s">
        <v>145</v>
      </c>
      <c r="T7171" s="2">
        <f>MASTER[[#This Row],[CANTIDAD]]*MASTER[[#This Row],[PRECIO DE VENTA]]</f>
        <v>1554</v>
      </c>
      <c r="U7171" s="2">
        <f>MASTER[[#This Row],[CANTIDAD]]*MASTER[[#This Row],[COSTO UNITARIO]]</f>
        <v>397</v>
      </c>
      <c r="V7171" s="2">
        <f>MASTER[[#This Row],[MONTO VENDIDO]]-MASTER[[#This Row],[COSTO DE VENTA]]</f>
        <v>1157</v>
      </c>
    </row>
    <row r="7172" spans="1:22" x14ac:dyDescent="0.3">
      <c r="A7172">
        <v>104389</v>
      </c>
      <c r="B7172">
        <v>1</v>
      </c>
      <c r="C7172" t="s">
        <v>109</v>
      </c>
      <c r="D7172" t="s">
        <v>110</v>
      </c>
      <c r="E7172" s="1">
        <v>44176</v>
      </c>
      <c r="F7172">
        <v>1</v>
      </c>
      <c r="G7172" t="s">
        <v>67</v>
      </c>
      <c r="H7172" t="s">
        <v>68</v>
      </c>
      <c r="I7172" s="4">
        <v>1383</v>
      </c>
      <c r="J7172" s="3">
        <v>1383</v>
      </c>
      <c r="K7172" s="4">
        <v>387</v>
      </c>
      <c r="L7172" t="s">
        <v>98</v>
      </c>
      <c r="M7172">
        <v>17</v>
      </c>
      <c r="N7172" t="str">
        <f>IF(MASTER[[#This Row],[IDLOCAL]]=17,"HYDE PARK", "HARLEM IRVING")</f>
        <v>HYDE PARK</v>
      </c>
      <c r="O7172" t="str">
        <f>IF(MASTER[[#This Row],[IDLOCAL]]=17,"PREMIUM", "ESTÁNDAR")</f>
        <v>PREMIUM</v>
      </c>
      <c r="P7172" t="s">
        <v>137</v>
      </c>
      <c r="Q7172" t="s">
        <v>142</v>
      </c>
      <c r="R7172" t="s">
        <v>143</v>
      </c>
      <c r="S7172" t="s">
        <v>145</v>
      </c>
      <c r="T7172" s="2">
        <f>MASTER[[#This Row],[CANTIDAD]]*MASTER[[#This Row],[PRECIO DE VENTA]]</f>
        <v>1383</v>
      </c>
      <c r="U7172" s="2">
        <f>MASTER[[#This Row],[CANTIDAD]]*MASTER[[#This Row],[COSTO UNITARIO]]</f>
        <v>387</v>
      </c>
      <c r="V7172" s="2">
        <f>MASTER[[#This Row],[MONTO VENDIDO]]-MASTER[[#This Row],[COSTO DE VENTA]]</f>
        <v>996</v>
      </c>
    </row>
    <row r="7173" spans="1:22" x14ac:dyDescent="0.3">
      <c r="A7173">
        <v>104392</v>
      </c>
      <c r="B7173">
        <v>1</v>
      </c>
      <c r="C7173" t="s">
        <v>118</v>
      </c>
      <c r="D7173" t="s">
        <v>119</v>
      </c>
      <c r="E7173" s="1">
        <v>44176</v>
      </c>
      <c r="F7173">
        <v>1</v>
      </c>
      <c r="G7173" t="s">
        <v>61</v>
      </c>
      <c r="H7173" t="s">
        <v>62</v>
      </c>
      <c r="I7173" s="4">
        <v>1333</v>
      </c>
      <c r="J7173" s="3">
        <v>1333</v>
      </c>
      <c r="K7173" s="4">
        <v>424</v>
      </c>
      <c r="L7173" t="s">
        <v>120</v>
      </c>
      <c r="M7173">
        <v>17</v>
      </c>
      <c r="N7173" t="str">
        <f>IF(MASTER[[#This Row],[IDLOCAL]]=17,"HYDE PARK", "HARLEM IRVING")</f>
        <v>HYDE PARK</v>
      </c>
      <c r="O7173" t="str">
        <f>IF(MASTER[[#This Row],[IDLOCAL]]=17,"PREMIUM", "ESTÁNDAR")</f>
        <v>PREMIUM</v>
      </c>
      <c r="P7173" t="s">
        <v>137</v>
      </c>
      <c r="Q7173" t="s">
        <v>142</v>
      </c>
      <c r="R7173" t="s">
        <v>143</v>
      </c>
      <c r="S7173" t="s">
        <v>145</v>
      </c>
      <c r="T7173" s="2">
        <f>MASTER[[#This Row],[CANTIDAD]]*MASTER[[#This Row],[PRECIO DE VENTA]]</f>
        <v>1333</v>
      </c>
      <c r="U7173" s="2">
        <f>MASTER[[#This Row],[CANTIDAD]]*MASTER[[#This Row],[COSTO UNITARIO]]</f>
        <v>424</v>
      </c>
      <c r="V7173" s="2">
        <f>MASTER[[#This Row],[MONTO VENDIDO]]-MASTER[[#This Row],[COSTO DE VENTA]]</f>
        <v>909</v>
      </c>
    </row>
    <row r="7174" spans="1:22" x14ac:dyDescent="0.3">
      <c r="A7174">
        <v>104393</v>
      </c>
      <c r="B7174">
        <v>1</v>
      </c>
      <c r="C7174" t="s">
        <v>103</v>
      </c>
      <c r="D7174" t="s">
        <v>104</v>
      </c>
      <c r="E7174" s="1">
        <v>44179</v>
      </c>
      <c r="F7174">
        <v>1</v>
      </c>
      <c r="G7174" t="s">
        <v>33</v>
      </c>
      <c r="H7174" t="s">
        <v>34</v>
      </c>
      <c r="I7174" s="4">
        <v>1882</v>
      </c>
      <c r="J7174" s="3">
        <v>1882</v>
      </c>
      <c r="K7174" s="4">
        <v>421</v>
      </c>
      <c r="L7174" t="s">
        <v>98</v>
      </c>
      <c r="M7174">
        <v>19</v>
      </c>
      <c r="N7174" t="s">
        <v>150</v>
      </c>
      <c r="O7174" t="s">
        <v>81</v>
      </c>
      <c r="P7174" t="s">
        <v>136</v>
      </c>
      <c r="Q7174" t="s">
        <v>140</v>
      </c>
      <c r="R7174" t="s">
        <v>141</v>
      </c>
      <c r="S7174" t="s">
        <v>145</v>
      </c>
      <c r="T7174" s="2">
        <f>MASTER[[#This Row],[CANTIDAD]]*MASTER[[#This Row],[PRECIO DE VENTA]]</f>
        <v>1882</v>
      </c>
      <c r="U7174" s="2">
        <f>MASTER[[#This Row],[CANTIDAD]]*MASTER[[#This Row],[COSTO UNITARIO]]</f>
        <v>421</v>
      </c>
      <c r="V7174" s="2">
        <f>MASTER[[#This Row],[MONTO VENDIDO]]-MASTER[[#This Row],[COSTO DE VENTA]]</f>
        <v>1461</v>
      </c>
    </row>
    <row r="7175" spans="1:22" x14ac:dyDescent="0.3">
      <c r="A7175">
        <v>104414</v>
      </c>
      <c r="B7175">
        <v>1</v>
      </c>
      <c r="C7175" t="s">
        <v>5</v>
      </c>
      <c r="D7175" t="s">
        <v>6</v>
      </c>
      <c r="E7175" s="1">
        <v>44180</v>
      </c>
      <c r="F7175">
        <v>1</v>
      </c>
      <c r="G7175" t="s">
        <v>57</v>
      </c>
      <c r="H7175" t="s">
        <v>58</v>
      </c>
      <c r="I7175" s="4">
        <v>1959</v>
      </c>
      <c r="J7175" s="3">
        <v>1959</v>
      </c>
      <c r="K7175" s="4">
        <v>393</v>
      </c>
      <c r="L7175" t="s">
        <v>9</v>
      </c>
      <c r="M7175">
        <v>19</v>
      </c>
      <c r="N7175" t="s">
        <v>150</v>
      </c>
      <c r="O7175" t="s">
        <v>81</v>
      </c>
      <c r="P7175" t="s">
        <v>136</v>
      </c>
      <c r="Q7175" t="s">
        <v>140</v>
      </c>
      <c r="R7175" t="s">
        <v>141</v>
      </c>
      <c r="S7175" t="s">
        <v>145</v>
      </c>
      <c r="T7175" s="2">
        <f>MASTER[[#This Row],[CANTIDAD]]*MASTER[[#This Row],[PRECIO DE VENTA]]</f>
        <v>1959</v>
      </c>
      <c r="U7175" s="2">
        <f>MASTER[[#This Row],[CANTIDAD]]*MASTER[[#This Row],[COSTO UNITARIO]]</f>
        <v>393</v>
      </c>
      <c r="V7175" s="2">
        <f>MASTER[[#This Row],[MONTO VENDIDO]]-MASTER[[#This Row],[COSTO DE VENTA]]</f>
        <v>1566</v>
      </c>
    </row>
    <row r="7176" spans="1:22" x14ac:dyDescent="0.3">
      <c r="A7176">
        <v>104419</v>
      </c>
      <c r="B7176">
        <v>1</v>
      </c>
      <c r="C7176" t="s">
        <v>101</v>
      </c>
      <c r="D7176" t="s">
        <v>102</v>
      </c>
      <c r="E7176" s="1">
        <v>44180</v>
      </c>
      <c r="F7176">
        <v>1</v>
      </c>
      <c r="G7176" t="s">
        <v>65</v>
      </c>
      <c r="H7176" t="s">
        <v>66</v>
      </c>
      <c r="I7176" s="4">
        <v>1764</v>
      </c>
      <c r="J7176" s="3">
        <v>1764</v>
      </c>
      <c r="K7176" s="4">
        <v>442</v>
      </c>
      <c r="L7176" t="s">
        <v>98</v>
      </c>
      <c r="M7176">
        <v>19</v>
      </c>
      <c r="N7176" t="s">
        <v>150</v>
      </c>
      <c r="O7176" t="s">
        <v>81</v>
      </c>
      <c r="P7176" t="s">
        <v>136</v>
      </c>
      <c r="Q7176" t="s">
        <v>140</v>
      </c>
      <c r="R7176" t="s">
        <v>141</v>
      </c>
      <c r="S7176" t="s">
        <v>145</v>
      </c>
      <c r="T7176" s="2">
        <f>MASTER[[#This Row],[CANTIDAD]]*MASTER[[#This Row],[PRECIO DE VENTA]]</f>
        <v>1764</v>
      </c>
      <c r="U7176" s="2">
        <f>MASTER[[#This Row],[CANTIDAD]]*MASTER[[#This Row],[COSTO UNITARIO]]</f>
        <v>442</v>
      </c>
      <c r="V7176" s="2">
        <f>MASTER[[#This Row],[MONTO VENDIDO]]-MASTER[[#This Row],[COSTO DE VENTA]]</f>
        <v>1322</v>
      </c>
    </row>
    <row r="7177" spans="1:22" x14ac:dyDescent="0.3">
      <c r="A7177">
        <v>104423</v>
      </c>
      <c r="B7177">
        <v>1</v>
      </c>
      <c r="C7177" t="s">
        <v>107</v>
      </c>
      <c r="D7177" t="s">
        <v>108</v>
      </c>
      <c r="E7177" s="1">
        <v>44181</v>
      </c>
      <c r="F7177">
        <v>1</v>
      </c>
      <c r="G7177" t="s">
        <v>53</v>
      </c>
      <c r="H7177" t="s">
        <v>54</v>
      </c>
      <c r="I7177" s="4">
        <v>1732</v>
      </c>
      <c r="J7177" s="3">
        <v>1732</v>
      </c>
      <c r="K7177" s="4">
        <v>380</v>
      </c>
      <c r="L7177" t="s">
        <v>98</v>
      </c>
      <c r="M7177">
        <v>19</v>
      </c>
      <c r="N7177" t="s">
        <v>150</v>
      </c>
      <c r="O7177" t="s">
        <v>81</v>
      </c>
      <c r="P7177" t="s">
        <v>136</v>
      </c>
      <c r="Q7177" t="s">
        <v>140</v>
      </c>
      <c r="R7177" t="s">
        <v>141</v>
      </c>
      <c r="S7177" t="s">
        <v>145</v>
      </c>
      <c r="T7177" s="2">
        <f>MASTER[[#This Row],[CANTIDAD]]*MASTER[[#This Row],[PRECIO DE VENTA]]</f>
        <v>1732</v>
      </c>
      <c r="U7177" s="2">
        <f>MASTER[[#This Row],[CANTIDAD]]*MASTER[[#This Row],[COSTO UNITARIO]]</f>
        <v>380</v>
      </c>
      <c r="V7177" s="2">
        <f>MASTER[[#This Row],[MONTO VENDIDO]]-MASTER[[#This Row],[COSTO DE VENTA]]</f>
        <v>1352</v>
      </c>
    </row>
    <row r="7178" spans="1:22" x14ac:dyDescent="0.3">
      <c r="A7178">
        <v>104430</v>
      </c>
      <c r="B7178">
        <v>1</v>
      </c>
      <c r="C7178" t="s">
        <v>99</v>
      </c>
      <c r="D7178" t="s">
        <v>100</v>
      </c>
      <c r="E7178" s="1">
        <v>44182</v>
      </c>
      <c r="F7178">
        <v>4</v>
      </c>
      <c r="G7178" t="s">
        <v>51</v>
      </c>
      <c r="H7178" t="s">
        <v>52</v>
      </c>
      <c r="I7178" s="4">
        <v>1896</v>
      </c>
      <c r="J7178" s="3">
        <v>1896</v>
      </c>
      <c r="K7178" s="4">
        <v>386</v>
      </c>
      <c r="L7178" t="s">
        <v>98</v>
      </c>
      <c r="M7178">
        <v>17</v>
      </c>
      <c r="N7178" t="str">
        <f>IF(MASTER[[#This Row],[IDLOCAL]]=17,"HYDE PARK", "HARLEM IRVING")</f>
        <v>HYDE PARK</v>
      </c>
      <c r="O7178" t="str">
        <f>IF(MASTER[[#This Row],[IDLOCAL]]=17,"PREMIUM", "ESTÁNDAR")</f>
        <v>PREMIUM</v>
      </c>
      <c r="P7178" t="s">
        <v>137</v>
      </c>
      <c r="Q7178" t="s">
        <v>142</v>
      </c>
      <c r="R7178" t="s">
        <v>143</v>
      </c>
      <c r="S7178" t="s">
        <v>145</v>
      </c>
      <c r="T7178" s="2">
        <f>MASTER[[#This Row],[CANTIDAD]]*MASTER[[#This Row],[PRECIO DE VENTA]]</f>
        <v>7584</v>
      </c>
      <c r="U7178" s="2">
        <f>MASTER[[#This Row],[CANTIDAD]]*MASTER[[#This Row],[COSTO UNITARIO]]</f>
        <v>1544</v>
      </c>
      <c r="V7178" s="2">
        <f>MASTER[[#This Row],[MONTO VENDIDO]]-MASTER[[#This Row],[COSTO DE VENTA]]</f>
        <v>6040</v>
      </c>
    </row>
    <row r="7179" spans="1:22" x14ac:dyDescent="0.3">
      <c r="A7179">
        <v>104436</v>
      </c>
      <c r="B7179">
        <v>1</v>
      </c>
      <c r="C7179" t="s">
        <v>116</v>
      </c>
      <c r="D7179" t="s">
        <v>117</v>
      </c>
      <c r="E7179" s="1">
        <v>44182</v>
      </c>
      <c r="F7179">
        <v>1</v>
      </c>
      <c r="G7179" t="s">
        <v>39</v>
      </c>
      <c r="H7179" t="s">
        <v>40</v>
      </c>
      <c r="I7179" s="4">
        <v>2598</v>
      </c>
      <c r="J7179" s="3">
        <v>2598</v>
      </c>
      <c r="K7179" s="4">
        <v>388</v>
      </c>
      <c r="L7179" t="s">
        <v>113</v>
      </c>
      <c r="M7179">
        <v>19</v>
      </c>
      <c r="N7179" t="s">
        <v>150</v>
      </c>
      <c r="O7179" t="s">
        <v>81</v>
      </c>
      <c r="P7179" t="s">
        <v>136</v>
      </c>
      <c r="Q7179" t="s">
        <v>140</v>
      </c>
      <c r="R7179" t="s">
        <v>141</v>
      </c>
      <c r="S7179" t="s">
        <v>145</v>
      </c>
      <c r="T7179" s="2">
        <f>MASTER[[#This Row],[CANTIDAD]]*MASTER[[#This Row],[PRECIO DE VENTA]]</f>
        <v>2598</v>
      </c>
      <c r="U7179" s="2">
        <f>MASTER[[#This Row],[CANTIDAD]]*MASTER[[#This Row],[COSTO UNITARIO]]</f>
        <v>388</v>
      </c>
      <c r="V7179" s="2">
        <f>MASTER[[#This Row],[MONTO VENDIDO]]-MASTER[[#This Row],[COSTO DE VENTA]]</f>
        <v>2210</v>
      </c>
    </row>
    <row r="7180" spans="1:22" x14ac:dyDescent="0.3">
      <c r="A7180">
        <v>104462</v>
      </c>
      <c r="B7180">
        <v>1</v>
      </c>
      <c r="C7180" t="s">
        <v>121</v>
      </c>
      <c r="D7180" t="s">
        <v>122</v>
      </c>
      <c r="E7180" s="1">
        <v>44182</v>
      </c>
      <c r="F7180">
        <v>1</v>
      </c>
      <c r="G7180" t="s">
        <v>27</v>
      </c>
      <c r="H7180" t="s">
        <v>28</v>
      </c>
      <c r="I7180" s="4">
        <v>1389</v>
      </c>
      <c r="J7180" s="3">
        <v>1389</v>
      </c>
      <c r="K7180" s="4">
        <v>460</v>
      </c>
      <c r="L7180" t="s">
        <v>120</v>
      </c>
      <c r="M7180">
        <v>19</v>
      </c>
      <c r="N7180" t="s">
        <v>150</v>
      </c>
      <c r="O7180" t="s">
        <v>81</v>
      </c>
      <c r="P7180" t="s">
        <v>136</v>
      </c>
      <c r="Q7180" t="s">
        <v>140</v>
      </c>
      <c r="R7180" t="s">
        <v>141</v>
      </c>
      <c r="S7180" t="s">
        <v>145</v>
      </c>
      <c r="T7180" s="2">
        <f>MASTER[[#This Row],[CANTIDAD]]*MASTER[[#This Row],[PRECIO DE VENTA]]</f>
        <v>1389</v>
      </c>
      <c r="U7180" s="2">
        <f>MASTER[[#This Row],[CANTIDAD]]*MASTER[[#This Row],[COSTO UNITARIO]]</f>
        <v>460</v>
      </c>
      <c r="V7180" s="2">
        <f>MASTER[[#This Row],[MONTO VENDIDO]]-MASTER[[#This Row],[COSTO DE VENTA]]</f>
        <v>929</v>
      </c>
    </row>
    <row r="7181" spans="1:22" x14ac:dyDescent="0.3">
      <c r="A7181">
        <v>104479</v>
      </c>
      <c r="B7181">
        <v>1</v>
      </c>
      <c r="C7181" t="s">
        <v>94</v>
      </c>
      <c r="D7181" t="s">
        <v>95</v>
      </c>
      <c r="E7181" s="1">
        <v>44184</v>
      </c>
      <c r="F7181">
        <v>1</v>
      </c>
      <c r="G7181" t="s">
        <v>27</v>
      </c>
      <c r="H7181" t="s">
        <v>28</v>
      </c>
      <c r="I7181" s="4">
        <v>1362</v>
      </c>
      <c r="J7181" s="3">
        <v>1362</v>
      </c>
      <c r="K7181" s="4">
        <v>392</v>
      </c>
      <c r="L7181" t="s">
        <v>9</v>
      </c>
      <c r="M7181">
        <v>19</v>
      </c>
      <c r="N7181" t="s">
        <v>150</v>
      </c>
      <c r="O7181" t="s">
        <v>81</v>
      </c>
      <c r="P7181" t="s">
        <v>136</v>
      </c>
      <c r="Q7181" t="s">
        <v>140</v>
      </c>
      <c r="R7181" t="s">
        <v>141</v>
      </c>
      <c r="S7181" t="s">
        <v>145</v>
      </c>
      <c r="T7181" s="2">
        <f>MASTER[[#This Row],[CANTIDAD]]*MASTER[[#This Row],[PRECIO DE VENTA]]</f>
        <v>1362</v>
      </c>
      <c r="U7181" s="2">
        <f>MASTER[[#This Row],[CANTIDAD]]*MASTER[[#This Row],[COSTO UNITARIO]]</f>
        <v>392</v>
      </c>
      <c r="V7181" s="2">
        <f>MASTER[[#This Row],[MONTO VENDIDO]]-MASTER[[#This Row],[COSTO DE VENTA]]</f>
        <v>970</v>
      </c>
    </row>
    <row r="7182" spans="1:22" x14ac:dyDescent="0.3">
      <c r="A7182">
        <v>104482</v>
      </c>
      <c r="B7182">
        <v>1</v>
      </c>
      <c r="C7182" t="s">
        <v>101</v>
      </c>
      <c r="D7182" t="s">
        <v>102</v>
      </c>
      <c r="E7182" s="1">
        <v>44184</v>
      </c>
      <c r="F7182">
        <v>1</v>
      </c>
      <c r="G7182" t="s">
        <v>24</v>
      </c>
      <c r="H7182" t="s">
        <v>25</v>
      </c>
      <c r="I7182" s="4">
        <v>1575</v>
      </c>
      <c r="J7182" s="3">
        <v>1575</v>
      </c>
      <c r="K7182" s="4">
        <v>442</v>
      </c>
      <c r="L7182" t="s">
        <v>98</v>
      </c>
      <c r="M7182">
        <v>19</v>
      </c>
      <c r="N7182" t="s">
        <v>150</v>
      </c>
      <c r="O7182" t="s">
        <v>81</v>
      </c>
      <c r="P7182" t="s">
        <v>136</v>
      </c>
      <c r="Q7182" t="s">
        <v>140</v>
      </c>
      <c r="R7182" t="s">
        <v>141</v>
      </c>
      <c r="S7182" t="s">
        <v>145</v>
      </c>
      <c r="T7182" s="2">
        <f>MASTER[[#This Row],[CANTIDAD]]*MASTER[[#This Row],[PRECIO DE VENTA]]</f>
        <v>1575</v>
      </c>
      <c r="U7182" s="2">
        <f>MASTER[[#This Row],[CANTIDAD]]*MASTER[[#This Row],[COSTO UNITARIO]]</f>
        <v>442</v>
      </c>
      <c r="V7182" s="2">
        <f>MASTER[[#This Row],[MONTO VENDIDO]]-MASTER[[#This Row],[COSTO DE VENTA]]</f>
        <v>1133</v>
      </c>
    </row>
    <row r="7183" spans="1:22" x14ac:dyDescent="0.3">
      <c r="A7183">
        <v>104504</v>
      </c>
      <c r="B7183">
        <v>1</v>
      </c>
      <c r="C7183" t="s">
        <v>114</v>
      </c>
      <c r="D7183" t="s">
        <v>115</v>
      </c>
      <c r="E7183" s="1">
        <v>44184</v>
      </c>
      <c r="F7183">
        <v>1</v>
      </c>
      <c r="G7183" t="s">
        <v>20</v>
      </c>
      <c r="H7183" t="s">
        <v>21</v>
      </c>
      <c r="I7183" s="4">
        <v>2420</v>
      </c>
      <c r="J7183" s="3">
        <v>2226</v>
      </c>
      <c r="K7183" s="4">
        <v>394</v>
      </c>
      <c r="L7183" t="s">
        <v>113</v>
      </c>
      <c r="M7183">
        <v>17</v>
      </c>
      <c r="N7183" t="str">
        <f>IF(MASTER[[#This Row],[IDLOCAL]]=17,"HYDE PARK", "HARLEM IRVING")</f>
        <v>HYDE PARK</v>
      </c>
      <c r="O7183" t="str">
        <f>IF(MASTER[[#This Row],[IDLOCAL]]=17,"PREMIUM", "ESTÁNDAR")</f>
        <v>PREMIUM</v>
      </c>
      <c r="P7183" t="s">
        <v>137</v>
      </c>
      <c r="Q7183" t="s">
        <v>142</v>
      </c>
      <c r="R7183" t="s">
        <v>143</v>
      </c>
      <c r="S7183" t="s">
        <v>145</v>
      </c>
      <c r="T7183" s="2">
        <f>MASTER[[#This Row],[CANTIDAD]]*MASTER[[#This Row],[PRECIO DE VENTA]]</f>
        <v>2226</v>
      </c>
      <c r="U7183" s="2">
        <f>MASTER[[#This Row],[CANTIDAD]]*MASTER[[#This Row],[COSTO UNITARIO]]</f>
        <v>394</v>
      </c>
      <c r="V7183" s="2">
        <f>MASTER[[#This Row],[MONTO VENDIDO]]-MASTER[[#This Row],[COSTO DE VENTA]]</f>
        <v>1832</v>
      </c>
    </row>
    <row r="7184" spans="1:22" x14ac:dyDescent="0.3">
      <c r="A7184">
        <v>104508</v>
      </c>
      <c r="B7184">
        <v>1</v>
      </c>
      <c r="C7184" t="s">
        <v>103</v>
      </c>
      <c r="D7184" t="s">
        <v>104</v>
      </c>
      <c r="E7184" s="1">
        <v>44185</v>
      </c>
      <c r="F7184">
        <v>1</v>
      </c>
      <c r="G7184" t="s">
        <v>51</v>
      </c>
      <c r="H7184" t="s">
        <v>52</v>
      </c>
      <c r="I7184" s="4">
        <v>2068</v>
      </c>
      <c r="J7184" s="3">
        <v>2068</v>
      </c>
      <c r="K7184" s="4">
        <v>421</v>
      </c>
      <c r="L7184" t="s">
        <v>98</v>
      </c>
      <c r="M7184">
        <v>19</v>
      </c>
      <c r="N7184" t="s">
        <v>150</v>
      </c>
      <c r="O7184" t="s">
        <v>81</v>
      </c>
      <c r="P7184" t="s">
        <v>136</v>
      </c>
      <c r="Q7184" t="s">
        <v>140</v>
      </c>
      <c r="R7184" t="s">
        <v>141</v>
      </c>
      <c r="S7184" t="s">
        <v>145</v>
      </c>
      <c r="T7184" s="2">
        <f>MASTER[[#This Row],[CANTIDAD]]*MASTER[[#This Row],[PRECIO DE VENTA]]</f>
        <v>2068</v>
      </c>
      <c r="U7184" s="2">
        <f>MASTER[[#This Row],[CANTIDAD]]*MASTER[[#This Row],[COSTO UNITARIO]]</f>
        <v>421</v>
      </c>
      <c r="V7184" s="2">
        <f>MASTER[[#This Row],[MONTO VENDIDO]]-MASTER[[#This Row],[COSTO DE VENTA]]</f>
        <v>1647</v>
      </c>
    </row>
    <row r="7185" spans="1:22" x14ac:dyDescent="0.3">
      <c r="A7185">
        <v>104509</v>
      </c>
      <c r="B7185">
        <v>1</v>
      </c>
      <c r="C7185" t="s">
        <v>5</v>
      </c>
      <c r="D7185" t="s">
        <v>6</v>
      </c>
      <c r="E7185" s="1">
        <v>44188</v>
      </c>
      <c r="F7185">
        <v>1</v>
      </c>
      <c r="G7185" t="s">
        <v>45</v>
      </c>
      <c r="H7185" t="s">
        <v>46</v>
      </c>
      <c r="I7185" s="4">
        <v>1684</v>
      </c>
      <c r="J7185" s="3">
        <v>1684</v>
      </c>
      <c r="K7185" s="4">
        <v>393</v>
      </c>
      <c r="L7185" t="s">
        <v>9</v>
      </c>
      <c r="M7185">
        <v>18</v>
      </c>
      <c r="N7185" t="str">
        <f>IF(MASTER[[#This Row],[IDLOCAL]]=17,"HYDE PARK", "HARLEM IRVING")</f>
        <v>HARLEM IRVING</v>
      </c>
      <c r="O7185" t="str">
        <f>IF(MASTER[[#This Row],[IDLOCAL]]=17,"PREMIUM", "ESTÁNDAR")</f>
        <v>ESTÁNDAR</v>
      </c>
      <c r="P7185" t="s">
        <v>137</v>
      </c>
      <c r="Q7185" t="s">
        <v>142</v>
      </c>
      <c r="R7185" t="s">
        <v>143</v>
      </c>
      <c r="S7185" t="s">
        <v>145</v>
      </c>
      <c r="T7185" s="2">
        <f>MASTER[[#This Row],[CANTIDAD]]*MASTER[[#This Row],[PRECIO DE VENTA]]</f>
        <v>1684</v>
      </c>
      <c r="U7185" s="2">
        <f>MASTER[[#This Row],[CANTIDAD]]*MASTER[[#This Row],[COSTO UNITARIO]]</f>
        <v>393</v>
      </c>
      <c r="V7185" s="2">
        <f>MASTER[[#This Row],[MONTO VENDIDO]]-MASTER[[#This Row],[COSTO DE VENTA]]</f>
        <v>1291</v>
      </c>
    </row>
    <row r="7186" spans="1:22" x14ac:dyDescent="0.3">
      <c r="A7186">
        <v>104510</v>
      </c>
      <c r="B7186">
        <v>1</v>
      </c>
      <c r="C7186" t="s">
        <v>90</v>
      </c>
      <c r="D7186" t="s">
        <v>91</v>
      </c>
      <c r="E7186" s="1">
        <v>44189</v>
      </c>
      <c r="F7186">
        <v>1</v>
      </c>
      <c r="G7186" t="s">
        <v>22</v>
      </c>
      <c r="H7186" t="s">
        <v>23</v>
      </c>
      <c r="I7186" s="4">
        <v>2732</v>
      </c>
      <c r="J7186" s="3">
        <v>2732</v>
      </c>
      <c r="K7186" s="4">
        <v>420</v>
      </c>
      <c r="L7186" t="s">
        <v>9</v>
      </c>
      <c r="M7186">
        <v>18</v>
      </c>
      <c r="N7186" t="str">
        <f>IF(MASTER[[#This Row],[IDLOCAL]]=17,"HYDE PARK", "HARLEM IRVING")</f>
        <v>HARLEM IRVING</v>
      </c>
      <c r="O7186" t="str">
        <f>IF(MASTER[[#This Row],[IDLOCAL]]=17,"PREMIUM", "ESTÁNDAR")</f>
        <v>ESTÁNDAR</v>
      </c>
      <c r="P7186" t="s">
        <v>137</v>
      </c>
      <c r="Q7186" t="s">
        <v>142</v>
      </c>
      <c r="R7186" t="s">
        <v>143</v>
      </c>
      <c r="S7186" t="s">
        <v>145</v>
      </c>
      <c r="T7186" s="2">
        <f>MASTER[[#This Row],[CANTIDAD]]*MASTER[[#This Row],[PRECIO DE VENTA]]</f>
        <v>2732</v>
      </c>
      <c r="U7186" s="2">
        <f>MASTER[[#This Row],[CANTIDAD]]*MASTER[[#This Row],[COSTO UNITARIO]]</f>
        <v>420</v>
      </c>
      <c r="V7186" s="2">
        <f>MASTER[[#This Row],[MONTO VENDIDO]]-MASTER[[#This Row],[COSTO DE VENTA]]</f>
        <v>2312</v>
      </c>
    </row>
    <row r="7187" spans="1:22" x14ac:dyDescent="0.3">
      <c r="A7187">
        <v>104513</v>
      </c>
      <c r="B7187">
        <v>2</v>
      </c>
      <c r="C7187" t="s">
        <v>99</v>
      </c>
      <c r="D7187" t="s">
        <v>100</v>
      </c>
      <c r="E7187" s="1">
        <v>44189</v>
      </c>
      <c r="F7187">
        <v>1</v>
      </c>
      <c r="G7187" t="s">
        <v>22</v>
      </c>
      <c r="H7187" t="s">
        <v>23</v>
      </c>
      <c r="I7187" s="4">
        <v>1726</v>
      </c>
      <c r="J7187" s="3">
        <v>1726</v>
      </c>
      <c r="K7187" s="4">
        <v>386</v>
      </c>
      <c r="L7187" t="s">
        <v>98</v>
      </c>
      <c r="M7187">
        <v>19</v>
      </c>
      <c r="N7187" t="s">
        <v>150</v>
      </c>
      <c r="O7187" t="s">
        <v>81</v>
      </c>
      <c r="P7187" t="s">
        <v>136</v>
      </c>
      <c r="Q7187" t="s">
        <v>140</v>
      </c>
      <c r="R7187" t="s">
        <v>141</v>
      </c>
      <c r="S7187" t="s">
        <v>145</v>
      </c>
      <c r="T7187" s="2">
        <f>MASTER[[#This Row],[CANTIDAD]]*MASTER[[#This Row],[PRECIO DE VENTA]]</f>
        <v>1726</v>
      </c>
      <c r="U7187" s="2">
        <f>MASTER[[#This Row],[CANTIDAD]]*MASTER[[#This Row],[COSTO UNITARIO]]</f>
        <v>386</v>
      </c>
      <c r="V7187" s="2">
        <f>MASTER[[#This Row],[MONTO VENDIDO]]-MASTER[[#This Row],[COSTO DE VENTA]]</f>
        <v>1340</v>
      </c>
    </row>
    <row r="7188" spans="1:22" x14ac:dyDescent="0.3">
      <c r="A7188">
        <v>104528</v>
      </c>
      <c r="B7188">
        <v>1</v>
      </c>
      <c r="C7188" t="s">
        <v>111</v>
      </c>
      <c r="D7188" t="s">
        <v>112</v>
      </c>
      <c r="E7188" s="1">
        <v>44189</v>
      </c>
      <c r="F7188">
        <v>1</v>
      </c>
      <c r="G7188" t="s">
        <v>45</v>
      </c>
      <c r="H7188" t="s">
        <v>46</v>
      </c>
      <c r="I7188" s="4">
        <v>1981</v>
      </c>
      <c r="J7188" s="3">
        <v>1981</v>
      </c>
      <c r="K7188" s="4">
        <v>434</v>
      </c>
      <c r="L7188" t="s">
        <v>113</v>
      </c>
      <c r="M7188">
        <v>19</v>
      </c>
      <c r="N7188" t="s">
        <v>150</v>
      </c>
      <c r="O7188" t="s">
        <v>81</v>
      </c>
      <c r="P7188" t="s">
        <v>136</v>
      </c>
      <c r="Q7188" t="s">
        <v>140</v>
      </c>
      <c r="R7188" t="s">
        <v>141</v>
      </c>
      <c r="S7188" t="s">
        <v>145</v>
      </c>
      <c r="T7188" s="2">
        <f>MASTER[[#This Row],[CANTIDAD]]*MASTER[[#This Row],[PRECIO DE VENTA]]</f>
        <v>1981</v>
      </c>
      <c r="U7188" s="2">
        <f>MASTER[[#This Row],[CANTIDAD]]*MASTER[[#This Row],[COSTO UNITARIO]]</f>
        <v>434</v>
      </c>
      <c r="V7188" s="2">
        <f>MASTER[[#This Row],[MONTO VENDIDO]]-MASTER[[#This Row],[COSTO DE VENTA]]</f>
        <v>1547</v>
      </c>
    </row>
    <row r="7189" spans="1:22" x14ac:dyDescent="0.3">
      <c r="A7189">
        <v>104533</v>
      </c>
      <c r="B7189">
        <v>1</v>
      </c>
      <c r="C7189" t="s">
        <v>116</v>
      </c>
      <c r="D7189" t="s">
        <v>117</v>
      </c>
      <c r="E7189" s="1">
        <v>44189</v>
      </c>
      <c r="F7189">
        <v>1</v>
      </c>
      <c r="G7189" t="s">
        <v>57</v>
      </c>
      <c r="H7189" t="s">
        <v>58</v>
      </c>
      <c r="I7189" s="4">
        <v>2259</v>
      </c>
      <c r="J7189" s="3">
        <v>2259</v>
      </c>
      <c r="K7189" s="4">
        <v>388</v>
      </c>
      <c r="L7189" t="s">
        <v>113</v>
      </c>
      <c r="M7189">
        <v>19</v>
      </c>
      <c r="N7189" t="s">
        <v>150</v>
      </c>
      <c r="O7189" t="s">
        <v>81</v>
      </c>
      <c r="P7189" t="s">
        <v>136</v>
      </c>
      <c r="Q7189" t="s">
        <v>140</v>
      </c>
      <c r="R7189" t="s">
        <v>141</v>
      </c>
      <c r="S7189" t="s">
        <v>145</v>
      </c>
      <c r="T7189" s="2">
        <f>MASTER[[#This Row],[CANTIDAD]]*MASTER[[#This Row],[PRECIO DE VENTA]]</f>
        <v>2259</v>
      </c>
      <c r="U7189" s="2">
        <f>MASTER[[#This Row],[CANTIDAD]]*MASTER[[#This Row],[COSTO UNITARIO]]</f>
        <v>388</v>
      </c>
      <c r="V7189" s="2">
        <f>MASTER[[#This Row],[MONTO VENDIDO]]-MASTER[[#This Row],[COSTO DE VENTA]]</f>
        <v>1871</v>
      </c>
    </row>
    <row r="7190" spans="1:22" x14ac:dyDescent="0.3">
      <c r="A7190">
        <v>104536</v>
      </c>
      <c r="B7190">
        <v>1</v>
      </c>
      <c r="C7190" t="s">
        <v>105</v>
      </c>
      <c r="D7190" t="s">
        <v>106</v>
      </c>
      <c r="E7190" s="1">
        <v>44190</v>
      </c>
      <c r="F7190">
        <v>1</v>
      </c>
      <c r="G7190" t="s">
        <v>57</v>
      </c>
      <c r="H7190" t="s">
        <v>58</v>
      </c>
      <c r="I7190" s="4">
        <v>2424</v>
      </c>
      <c r="J7190" s="3">
        <v>2424</v>
      </c>
      <c r="K7190" s="4">
        <v>459</v>
      </c>
      <c r="L7190" t="s">
        <v>98</v>
      </c>
      <c r="M7190">
        <v>19</v>
      </c>
      <c r="N7190" t="s">
        <v>150</v>
      </c>
      <c r="O7190" t="s">
        <v>81</v>
      </c>
      <c r="P7190" t="s">
        <v>136</v>
      </c>
      <c r="Q7190" t="s">
        <v>140</v>
      </c>
      <c r="R7190" t="s">
        <v>141</v>
      </c>
      <c r="S7190" t="s">
        <v>145</v>
      </c>
      <c r="T7190" s="2">
        <f>MASTER[[#This Row],[CANTIDAD]]*MASTER[[#This Row],[PRECIO DE VENTA]]</f>
        <v>2424</v>
      </c>
      <c r="U7190" s="2">
        <f>MASTER[[#This Row],[CANTIDAD]]*MASTER[[#This Row],[COSTO UNITARIO]]</f>
        <v>459</v>
      </c>
      <c r="V7190" s="2">
        <f>MASTER[[#This Row],[MONTO VENDIDO]]-MASTER[[#This Row],[COSTO DE VENTA]]</f>
        <v>1965</v>
      </c>
    </row>
    <row r="7191" spans="1:22" x14ac:dyDescent="0.3">
      <c r="A7191">
        <v>104538</v>
      </c>
      <c r="B7191">
        <v>1</v>
      </c>
      <c r="C7191" t="s">
        <v>118</v>
      </c>
      <c r="D7191" t="s">
        <v>119</v>
      </c>
      <c r="E7191" s="1">
        <v>44190</v>
      </c>
      <c r="F7191">
        <v>1</v>
      </c>
      <c r="G7191" t="s">
        <v>20</v>
      </c>
      <c r="H7191" t="s">
        <v>21</v>
      </c>
      <c r="I7191" s="4">
        <v>1041</v>
      </c>
      <c r="J7191" s="3">
        <v>1041</v>
      </c>
      <c r="K7191" s="4">
        <v>424</v>
      </c>
      <c r="L7191" t="s">
        <v>120</v>
      </c>
      <c r="M7191">
        <v>18</v>
      </c>
      <c r="N7191" t="str">
        <f>IF(MASTER[[#This Row],[IDLOCAL]]=17,"HYDE PARK", "HARLEM IRVING")</f>
        <v>HARLEM IRVING</v>
      </c>
      <c r="O7191" t="str">
        <f>IF(MASTER[[#This Row],[IDLOCAL]]=17,"PREMIUM", "ESTÁNDAR")</f>
        <v>ESTÁNDAR</v>
      </c>
      <c r="P7191" t="s">
        <v>137</v>
      </c>
      <c r="Q7191" t="s">
        <v>142</v>
      </c>
      <c r="R7191" t="s">
        <v>143</v>
      </c>
      <c r="S7191" t="s">
        <v>145</v>
      </c>
      <c r="T7191" s="2">
        <f>MASTER[[#This Row],[CANTIDAD]]*MASTER[[#This Row],[PRECIO DE VENTA]]</f>
        <v>1041</v>
      </c>
      <c r="U7191" s="2">
        <f>MASTER[[#This Row],[CANTIDAD]]*MASTER[[#This Row],[COSTO UNITARIO]]</f>
        <v>424</v>
      </c>
      <c r="V7191" s="2">
        <f>MASTER[[#This Row],[MONTO VENDIDO]]-MASTER[[#This Row],[COSTO DE VENTA]]</f>
        <v>617</v>
      </c>
    </row>
    <row r="7192" spans="1:22" x14ac:dyDescent="0.3">
      <c r="A7192">
        <v>104574</v>
      </c>
      <c r="B7192">
        <v>1</v>
      </c>
      <c r="C7192" t="s">
        <v>116</v>
      </c>
      <c r="D7192" t="s">
        <v>117</v>
      </c>
      <c r="E7192" s="1">
        <v>44191</v>
      </c>
      <c r="F7192">
        <v>1</v>
      </c>
      <c r="G7192" t="s">
        <v>22</v>
      </c>
      <c r="H7192" t="s">
        <v>23</v>
      </c>
      <c r="I7192" s="4">
        <v>1987</v>
      </c>
      <c r="J7192" s="3">
        <v>1987</v>
      </c>
      <c r="K7192" s="4">
        <v>388</v>
      </c>
      <c r="L7192" t="s">
        <v>113</v>
      </c>
      <c r="M7192">
        <v>19</v>
      </c>
      <c r="N7192" t="s">
        <v>150</v>
      </c>
      <c r="O7192" t="s">
        <v>81</v>
      </c>
      <c r="P7192" t="s">
        <v>136</v>
      </c>
      <c r="Q7192" t="s">
        <v>140</v>
      </c>
      <c r="R7192" t="s">
        <v>141</v>
      </c>
      <c r="S7192" t="s">
        <v>145</v>
      </c>
      <c r="T7192" s="2">
        <f>MASTER[[#This Row],[CANTIDAD]]*MASTER[[#This Row],[PRECIO DE VENTA]]</f>
        <v>1987</v>
      </c>
      <c r="U7192" s="2">
        <f>MASTER[[#This Row],[CANTIDAD]]*MASTER[[#This Row],[COSTO UNITARIO]]</f>
        <v>388</v>
      </c>
      <c r="V7192" s="2">
        <f>MASTER[[#This Row],[MONTO VENDIDO]]-MASTER[[#This Row],[COSTO DE VENTA]]</f>
        <v>1599</v>
      </c>
    </row>
    <row r="7193" spans="1:22" x14ac:dyDescent="0.3">
      <c r="A7193">
        <v>104618</v>
      </c>
      <c r="B7193">
        <v>1</v>
      </c>
      <c r="C7193" t="s">
        <v>94</v>
      </c>
      <c r="D7193" t="s">
        <v>95</v>
      </c>
      <c r="E7193" s="1">
        <v>44193</v>
      </c>
      <c r="F7193">
        <v>1</v>
      </c>
      <c r="G7193" t="s">
        <v>51</v>
      </c>
      <c r="H7193" t="s">
        <v>52</v>
      </c>
      <c r="I7193" s="4">
        <v>1171</v>
      </c>
      <c r="J7193" s="3">
        <v>1171</v>
      </c>
      <c r="K7193" s="4">
        <v>392</v>
      </c>
      <c r="L7193" t="s">
        <v>9</v>
      </c>
      <c r="M7193">
        <v>19</v>
      </c>
      <c r="N7193" t="s">
        <v>150</v>
      </c>
      <c r="O7193" t="s">
        <v>81</v>
      </c>
      <c r="P7193" t="s">
        <v>136</v>
      </c>
      <c r="Q7193" t="s">
        <v>140</v>
      </c>
      <c r="R7193" t="s">
        <v>141</v>
      </c>
      <c r="S7193" t="s">
        <v>145</v>
      </c>
      <c r="T7193" s="2">
        <f>MASTER[[#This Row],[CANTIDAD]]*MASTER[[#This Row],[PRECIO DE VENTA]]</f>
        <v>1171</v>
      </c>
      <c r="U7193" s="2">
        <f>MASTER[[#This Row],[CANTIDAD]]*MASTER[[#This Row],[COSTO UNITARIO]]</f>
        <v>392</v>
      </c>
      <c r="V7193" s="2">
        <f>MASTER[[#This Row],[MONTO VENDIDO]]-MASTER[[#This Row],[COSTO DE VENTA]]</f>
        <v>779</v>
      </c>
    </row>
    <row r="7194" spans="1:22" x14ac:dyDescent="0.3">
      <c r="A7194">
        <v>104625</v>
      </c>
      <c r="B7194">
        <v>2</v>
      </c>
      <c r="C7194" t="s">
        <v>92</v>
      </c>
      <c r="D7194" t="s">
        <v>93</v>
      </c>
      <c r="E7194" s="1">
        <v>44194</v>
      </c>
      <c r="F7194">
        <v>1</v>
      </c>
      <c r="G7194" t="s">
        <v>61</v>
      </c>
      <c r="H7194" t="s">
        <v>62</v>
      </c>
      <c r="I7194" s="4">
        <v>2185</v>
      </c>
      <c r="J7194" s="3">
        <v>2185</v>
      </c>
      <c r="K7194" s="4">
        <v>396</v>
      </c>
      <c r="L7194" t="s">
        <v>9</v>
      </c>
      <c r="M7194">
        <v>17</v>
      </c>
      <c r="N7194" t="str">
        <f>IF(MASTER[[#This Row],[IDLOCAL]]=17,"HYDE PARK", "HARLEM IRVING")</f>
        <v>HYDE PARK</v>
      </c>
      <c r="O7194" t="str">
        <f>IF(MASTER[[#This Row],[IDLOCAL]]=17,"PREMIUM", "ESTÁNDAR")</f>
        <v>PREMIUM</v>
      </c>
      <c r="P7194" t="s">
        <v>137</v>
      </c>
      <c r="Q7194" t="s">
        <v>142</v>
      </c>
      <c r="R7194" t="s">
        <v>143</v>
      </c>
      <c r="S7194" t="s">
        <v>145</v>
      </c>
      <c r="T7194" s="2">
        <f>MASTER[[#This Row],[CANTIDAD]]*MASTER[[#This Row],[PRECIO DE VENTA]]</f>
        <v>2185</v>
      </c>
      <c r="U7194" s="2">
        <f>MASTER[[#This Row],[CANTIDAD]]*MASTER[[#This Row],[COSTO UNITARIO]]</f>
        <v>396</v>
      </c>
      <c r="V7194" s="2">
        <f>MASTER[[#This Row],[MONTO VENDIDO]]-MASTER[[#This Row],[COSTO DE VENTA]]</f>
        <v>1789</v>
      </c>
    </row>
    <row r="7195" spans="1:22" x14ac:dyDescent="0.3">
      <c r="A7195">
        <v>104632</v>
      </c>
      <c r="B7195">
        <v>1</v>
      </c>
      <c r="C7195" t="s">
        <v>96</v>
      </c>
      <c r="D7195" t="s">
        <v>97</v>
      </c>
      <c r="E7195" s="1">
        <v>44194</v>
      </c>
      <c r="F7195">
        <v>1</v>
      </c>
      <c r="G7195" t="s">
        <v>35</v>
      </c>
      <c r="H7195" t="s">
        <v>36</v>
      </c>
      <c r="I7195" s="4">
        <v>1769</v>
      </c>
      <c r="J7195" s="3">
        <v>1769</v>
      </c>
      <c r="K7195" s="4">
        <v>397</v>
      </c>
      <c r="L7195" t="s">
        <v>98</v>
      </c>
      <c r="M7195">
        <v>17</v>
      </c>
      <c r="N7195" t="str">
        <f>IF(MASTER[[#This Row],[IDLOCAL]]=17,"HYDE PARK", "HARLEM IRVING")</f>
        <v>HYDE PARK</v>
      </c>
      <c r="O7195" t="str">
        <f>IF(MASTER[[#This Row],[IDLOCAL]]=17,"PREMIUM", "ESTÁNDAR")</f>
        <v>PREMIUM</v>
      </c>
      <c r="P7195" t="s">
        <v>137</v>
      </c>
      <c r="Q7195" t="s">
        <v>142</v>
      </c>
      <c r="R7195" t="s">
        <v>143</v>
      </c>
      <c r="S7195" t="s">
        <v>145</v>
      </c>
      <c r="T7195" s="2">
        <f>MASTER[[#This Row],[CANTIDAD]]*MASTER[[#This Row],[PRECIO DE VENTA]]</f>
        <v>1769</v>
      </c>
      <c r="U7195" s="2">
        <f>MASTER[[#This Row],[CANTIDAD]]*MASTER[[#This Row],[COSTO UNITARIO]]</f>
        <v>397</v>
      </c>
      <c r="V7195" s="2">
        <f>MASTER[[#This Row],[MONTO VENDIDO]]-MASTER[[#This Row],[COSTO DE VENTA]]</f>
        <v>1372</v>
      </c>
    </row>
    <row r="7196" spans="1:22" x14ac:dyDescent="0.3">
      <c r="A7196">
        <v>104639</v>
      </c>
      <c r="B7196">
        <v>1</v>
      </c>
      <c r="C7196" t="s">
        <v>103</v>
      </c>
      <c r="D7196" t="s">
        <v>104</v>
      </c>
      <c r="E7196" s="1">
        <v>44195</v>
      </c>
      <c r="F7196">
        <v>1</v>
      </c>
      <c r="G7196" t="s">
        <v>59</v>
      </c>
      <c r="H7196" t="s">
        <v>60</v>
      </c>
      <c r="I7196" s="4">
        <v>2379</v>
      </c>
      <c r="J7196" s="3">
        <v>2379</v>
      </c>
      <c r="K7196" s="4">
        <v>421</v>
      </c>
      <c r="L7196" t="s">
        <v>98</v>
      </c>
      <c r="M7196">
        <v>18</v>
      </c>
      <c r="N7196" t="str">
        <f>IF(MASTER[[#This Row],[IDLOCAL]]=17,"HYDE PARK", "HARLEM IRVING")</f>
        <v>HARLEM IRVING</v>
      </c>
      <c r="O7196" t="str">
        <f>IF(MASTER[[#This Row],[IDLOCAL]]=17,"PREMIUM", "ESTÁNDAR")</f>
        <v>ESTÁNDAR</v>
      </c>
      <c r="P7196" t="s">
        <v>137</v>
      </c>
      <c r="Q7196" t="s">
        <v>142</v>
      </c>
      <c r="R7196" t="s">
        <v>143</v>
      </c>
      <c r="S7196" t="s">
        <v>145</v>
      </c>
      <c r="T7196" s="2">
        <f>MASTER[[#This Row],[CANTIDAD]]*MASTER[[#This Row],[PRECIO DE VENTA]]</f>
        <v>2379</v>
      </c>
      <c r="U7196" s="2">
        <f>MASTER[[#This Row],[CANTIDAD]]*MASTER[[#This Row],[COSTO UNITARIO]]</f>
        <v>421</v>
      </c>
      <c r="V7196" s="2">
        <f>MASTER[[#This Row],[MONTO VENDIDO]]-MASTER[[#This Row],[COSTO DE VENTA]]</f>
        <v>1958</v>
      </c>
    </row>
    <row r="7197" spans="1:22" x14ac:dyDescent="0.3">
      <c r="A7197">
        <v>104655</v>
      </c>
      <c r="B7197">
        <v>1</v>
      </c>
      <c r="C7197" t="s">
        <v>105</v>
      </c>
      <c r="D7197" t="s">
        <v>106</v>
      </c>
      <c r="E7197" s="1">
        <v>44195</v>
      </c>
      <c r="F7197">
        <v>1</v>
      </c>
      <c r="G7197" t="s">
        <v>33</v>
      </c>
      <c r="H7197" t="s">
        <v>34</v>
      </c>
      <c r="I7197" s="4">
        <v>2642</v>
      </c>
      <c r="J7197" s="3">
        <v>2642</v>
      </c>
      <c r="K7197" s="4">
        <v>459</v>
      </c>
      <c r="L7197" t="s">
        <v>98</v>
      </c>
      <c r="M7197">
        <v>19</v>
      </c>
      <c r="N7197" t="s">
        <v>150</v>
      </c>
      <c r="O7197" t="s">
        <v>81</v>
      </c>
      <c r="P7197" t="s">
        <v>136</v>
      </c>
      <c r="Q7197" t="s">
        <v>140</v>
      </c>
      <c r="R7197" t="s">
        <v>141</v>
      </c>
      <c r="S7197" t="s">
        <v>145</v>
      </c>
      <c r="T7197" s="2">
        <f>MASTER[[#This Row],[CANTIDAD]]*MASTER[[#This Row],[PRECIO DE VENTA]]</f>
        <v>2642</v>
      </c>
      <c r="U7197" s="2">
        <f>MASTER[[#This Row],[CANTIDAD]]*MASTER[[#This Row],[COSTO UNITARIO]]</f>
        <v>459</v>
      </c>
      <c r="V7197" s="2">
        <f>MASTER[[#This Row],[MONTO VENDIDO]]-MASTER[[#This Row],[COSTO DE VENTA]]</f>
        <v>2183</v>
      </c>
    </row>
    <row r="7198" spans="1:22" x14ac:dyDescent="0.3">
      <c r="A7198">
        <v>104661</v>
      </c>
      <c r="B7198">
        <v>1</v>
      </c>
      <c r="C7198" t="s">
        <v>5</v>
      </c>
      <c r="D7198" t="s">
        <v>6</v>
      </c>
      <c r="E7198" s="1">
        <v>44196</v>
      </c>
      <c r="F7198">
        <v>1</v>
      </c>
      <c r="G7198" t="s">
        <v>39</v>
      </c>
      <c r="H7198" t="s">
        <v>40</v>
      </c>
      <c r="I7198" s="4">
        <v>1959</v>
      </c>
      <c r="J7198" s="3">
        <v>1959</v>
      </c>
      <c r="K7198" s="4">
        <v>393</v>
      </c>
      <c r="L7198" t="s">
        <v>9</v>
      </c>
      <c r="M7198">
        <v>19</v>
      </c>
      <c r="N7198" t="s">
        <v>150</v>
      </c>
      <c r="O7198" t="s">
        <v>81</v>
      </c>
      <c r="P7198" t="s">
        <v>136</v>
      </c>
      <c r="Q7198" t="s">
        <v>140</v>
      </c>
      <c r="R7198" t="s">
        <v>141</v>
      </c>
      <c r="S7198" t="s">
        <v>145</v>
      </c>
      <c r="T7198" s="2">
        <f>MASTER[[#This Row],[CANTIDAD]]*MASTER[[#This Row],[PRECIO DE VENTA]]</f>
        <v>1959</v>
      </c>
      <c r="U7198" s="2">
        <f>MASTER[[#This Row],[CANTIDAD]]*MASTER[[#This Row],[COSTO UNITARIO]]</f>
        <v>393</v>
      </c>
      <c r="V7198" s="2">
        <f>MASTER[[#This Row],[MONTO VENDIDO]]-MASTER[[#This Row],[COSTO DE VENTA]]</f>
        <v>1566</v>
      </c>
    </row>
    <row r="7199" spans="1:22" x14ac:dyDescent="0.3">
      <c r="A7199">
        <v>104665</v>
      </c>
      <c r="B7199">
        <v>1</v>
      </c>
      <c r="C7199" t="s">
        <v>96</v>
      </c>
      <c r="D7199" t="s">
        <v>97</v>
      </c>
      <c r="E7199" s="1">
        <v>44197</v>
      </c>
      <c r="F7199">
        <v>1</v>
      </c>
      <c r="G7199" t="s">
        <v>65</v>
      </c>
      <c r="H7199" t="s">
        <v>66</v>
      </c>
      <c r="I7199" s="4">
        <v>1844</v>
      </c>
      <c r="J7199" s="3">
        <v>1844</v>
      </c>
      <c r="K7199" s="4">
        <v>397</v>
      </c>
      <c r="L7199" t="s">
        <v>98</v>
      </c>
      <c r="M7199">
        <v>17</v>
      </c>
      <c r="N7199" t="str">
        <f>IF(MASTER[[#This Row],[IDLOCAL]]=17,"HYDE PARK", "HARLEM IRVING")</f>
        <v>HYDE PARK</v>
      </c>
      <c r="O7199" t="str">
        <f>IF(MASTER[[#This Row],[IDLOCAL]]=17,"PREMIUM", "ESTÁNDAR")</f>
        <v>PREMIUM</v>
      </c>
      <c r="P7199" t="s">
        <v>137</v>
      </c>
      <c r="Q7199" t="s">
        <v>142</v>
      </c>
      <c r="R7199" t="s">
        <v>143</v>
      </c>
      <c r="S7199" t="s">
        <v>145</v>
      </c>
      <c r="T7199" s="2">
        <f>MASTER[[#This Row],[CANTIDAD]]*MASTER[[#This Row],[PRECIO DE VENTA]]</f>
        <v>1844</v>
      </c>
      <c r="U7199" s="2">
        <f>MASTER[[#This Row],[CANTIDAD]]*MASTER[[#This Row],[COSTO UNITARIO]]</f>
        <v>397</v>
      </c>
      <c r="V7199" s="2">
        <f>MASTER[[#This Row],[MONTO VENDIDO]]-MASTER[[#This Row],[COSTO DE VENTA]]</f>
        <v>1447</v>
      </c>
    </row>
    <row r="7200" spans="1:22" x14ac:dyDescent="0.3">
      <c r="A7200">
        <v>104668</v>
      </c>
      <c r="B7200">
        <v>1</v>
      </c>
      <c r="C7200" t="s">
        <v>114</v>
      </c>
      <c r="D7200" t="s">
        <v>115</v>
      </c>
      <c r="E7200" s="1">
        <v>44199</v>
      </c>
      <c r="F7200">
        <v>1</v>
      </c>
      <c r="G7200" t="s">
        <v>20</v>
      </c>
      <c r="H7200" t="s">
        <v>21</v>
      </c>
      <c r="I7200" s="4">
        <v>2943</v>
      </c>
      <c r="J7200" s="3">
        <v>2943</v>
      </c>
      <c r="K7200" s="4">
        <v>394</v>
      </c>
      <c r="L7200" t="s">
        <v>113</v>
      </c>
      <c r="M7200">
        <v>19</v>
      </c>
      <c r="N7200" t="s">
        <v>150</v>
      </c>
      <c r="O7200" t="s">
        <v>81</v>
      </c>
      <c r="P7200" t="s">
        <v>136</v>
      </c>
      <c r="Q7200" t="s">
        <v>140</v>
      </c>
      <c r="R7200" t="s">
        <v>141</v>
      </c>
      <c r="S7200" t="s">
        <v>145</v>
      </c>
      <c r="T7200" s="2">
        <f>MASTER[[#This Row],[CANTIDAD]]*MASTER[[#This Row],[PRECIO DE VENTA]]</f>
        <v>2943</v>
      </c>
      <c r="U7200" s="2">
        <f>MASTER[[#This Row],[CANTIDAD]]*MASTER[[#This Row],[COSTO UNITARIO]]</f>
        <v>394</v>
      </c>
      <c r="V7200" s="2">
        <f>MASTER[[#This Row],[MONTO VENDIDO]]-MASTER[[#This Row],[COSTO DE VENTA]]</f>
        <v>2549</v>
      </c>
    </row>
    <row r="7201" spans="1:22" x14ac:dyDescent="0.3">
      <c r="A7201">
        <v>104673</v>
      </c>
      <c r="B7201">
        <v>1</v>
      </c>
      <c r="C7201" t="s">
        <v>90</v>
      </c>
      <c r="D7201" t="s">
        <v>91</v>
      </c>
      <c r="E7201" s="1">
        <v>44200</v>
      </c>
      <c r="F7201">
        <v>1</v>
      </c>
      <c r="G7201" t="s">
        <v>39</v>
      </c>
      <c r="H7201" t="s">
        <v>40</v>
      </c>
      <c r="I7201" s="4">
        <v>2673</v>
      </c>
      <c r="J7201" s="3">
        <v>2673</v>
      </c>
      <c r="K7201" s="4">
        <v>420</v>
      </c>
      <c r="L7201" t="s">
        <v>9</v>
      </c>
      <c r="M7201">
        <v>19</v>
      </c>
      <c r="N7201" t="s">
        <v>150</v>
      </c>
      <c r="O7201" t="s">
        <v>81</v>
      </c>
      <c r="P7201" t="s">
        <v>136</v>
      </c>
      <c r="Q7201" t="s">
        <v>140</v>
      </c>
      <c r="R7201" t="s">
        <v>141</v>
      </c>
      <c r="S7201" t="s">
        <v>145</v>
      </c>
      <c r="T7201" s="2">
        <f>MASTER[[#This Row],[CANTIDAD]]*MASTER[[#This Row],[PRECIO DE VENTA]]</f>
        <v>2673</v>
      </c>
      <c r="U7201" s="2">
        <f>MASTER[[#This Row],[CANTIDAD]]*MASTER[[#This Row],[COSTO UNITARIO]]</f>
        <v>420</v>
      </c>
      <c r="V7201" s="2">
        <f>MASTER[[#This Row],[MONTO VENDIDO]]-MASTER[[#This Row],[COSTO DE VENTA]]</f>
        <v>2253</v>
      </c>
    </row>
    <row r="7202" spans="1:22" x14ac:dyDescent="0.3">
      <c r="A7202">
        <v>104679</v>
      </c>
      <c r="B7202">
        <v>1</v>
      </c>
      <c r="C7202" t="s">
        <v>99</v>
      </c>
      <c r="D7202" t="s">
        <v>100</v>
      </c>
      <c r="E7202" s="1">
        <v>44200</v>
      </c>
      <c r="F7202">
        <v>1</v>
      </c>
      <c r="G7202" t="s">
        <v>39</v>
      </c>
      <c r="H7202" t="s">
        <v>40</v>
      </c>
      <c r="I7202" s="4">
        <v>2115</v>
      </c>
      <c r="J7202" s="3">
        <v>2115</v>
      </c>
      <c r="K7202" s="4">
        <v>386</v>
      </c>
      <c r="L7202" t="s">
        <v>98</v>
      </c>
      <c r="M7202">
        <v>19</v>
      </c>
      <c r="N7202" t="s">
        <v>150</v>
      </c>
      <c r="O7202" t="s">
        <v>81</v>
      </c>
      <c r="P7202" t="s">
        <v>136</v>
      </c>
      <c r="Q7202" t="s">
        <v>140</v>
      </c>
      <c r="R7202" t="s">
        <v>141</v>
      </c>
      <c r="S7202" t="s">
        <v>145</v>
      </c>
      <c r="T7202" s="2">
        <f>MASTER[[#This Row],[CANTIDAD]]*MASTER[[#This Row],[PRECIO DE VENTA]]</f>
        <v>2115</v>
      </c>
      <c r="U7202" s="2">
        <f>MASTER[[#This Row],[CANTIDAD]]*MASTER[[#This Row],[COSTO UNITARIO]]</f>
        <v>386</v>
      </c>
      <c r="V7202" s="2">
        <f>MASTER[[#This Row],[MONTO VENDIDO]]-MASTER[[#This Row],[COSTO DE VENTA]]</f>
        <v>1729</v>
      </c>
    </row>
    <row r="7203" spans="1:22" x14ac:dyDescent="0.3">
      <c r="A7203">
        <v>104681</v>
      </c>
      <c r="B7203">
        <v>1</v>
      </c>
      <c r="C7203" t="s">
        <v>118</v>
      </c>
      <c r="D7203" t="s">
        <v>119</v>
      </c>
      <c r="E7203" s="1">
        <v>44201</v>
      </c>
      <c r="F7203">
        <v>1</v>
      </c>
      <c r="G7203" t="s">
        <v>63</v>
      </c>
      <c r="H7203" t="s">
        <v>64</v>
      </c>
      <c r="I7203" s="4">
        <v>1305</v>
      </c>
      <c r="J7203" s="3">
        <v>1200</v>
      </c>
      <c r="K7203" s="4">
        <v>424</v>
      </c>
      <c r="L7203" t="s">
        <v>120</v>
      </c>
      <c r="M7203">
        <v>19</v>
      </c>
      <c r="N7203" t="s">
        <v>150</v>
      </c>
      <c r="O7203" t="s">
        <v>81</v>
      </c>
      <c r="P7203" t="s">
        <v>136</v>
      </c>
      <c r="Q7203" t="s">
        <v>140</v>
      </c>
      <c r="R7203" t="s">
        <v>141</v>
      </c>
      <c r="S7203" t="s">
        <v>145</v>
      </c>
      <c r="T7203" s="2">
        <f>MASTER[[#This Row],[CANTIDAD]]*MASTER[[#This Row],[PRECIO DE VENTA]]</f>
        <v>1200</v>
      </c>
      <c r="U7203" s="2">
        <f>MASTER[[#This Row],[CANTIDAD]]*MASTER[[#This Row],[COSTO UNITARIO]]</f>
        <v>424</v>
      </c>
      <c r="V7203" s="2">
        <f>MASTER[[#This Row],[MONTO VENDIDO]]-MASTER[[#This Row],[COSTO DE VENTA]]</f>
        <v>776</v>
      </c>
    </row>
    <row r="7204" spans="1:22" x14ac:dyDescent="0.3">
      <c r="A7204">
        <v>104688</v>
      </c>
      <c r="B7204">
        <v>1</v>
      </c>
      <c r="C7204" t="s">
        <v>90</v>
      </c>
      <c r="D7204" t="s">
        <v>91</v>
      </c>
      <c r="E7204" s="1">
        <v>44202</v>
      </c>
      <c r="F7204">
        <v>1</v>
      </c>
      <c r="G7204" t="s">
        <v>45</v>
      </c>
      <c r="H7204" t="s">
        <v>46</v>
      </c>
      <c r="I7204" s="4">
        <v>2407</v>
      </c>
      <c r="J7204" s="3">
        <v>2407</v>
      </c>
      <c r="K7204" s="4">
        <v>420</v>
      </c>
      <c r="L7204" t="s">
        <v>9</v>
      </c>
      <c r="M7204">
        <v>18</v>
      </c>
      <c r="N7204" t="str">
        <f>IF(MASTER[[#This Row],[IDLOCAL]]=17,"HYDE PARK", "HARLEM IRVING")</f>
        <v>HARLEM IRVING</v>
      </c>
      <c r="O7204" t="str">
        <f>IF(MASTER[[#This Row],[IDLOCAL]]=17,"PREMIUM", "ESTÁNDAR")</f>
        <v>ESTÁNDAR</v>
      </c>
      <c r="P7204" t="s">
        <v>137</v>
      </c>
      <c r="Q7204" t="s">
        <v>142</v>
      </c>
      <c r="R7204" t="s">
        <v>143</v>
      </c>
      <c r="S7204" t="s">
        <v>145</v>
      </c>
      <c r="T7204" s="2">
        <f>MASTER[[#This Row],[CANTIDAD]]*MASTER[[#This Row],[PRECIO DE VENTA]]</f>
        <v>2407</v>
      </c>
      <c r="U7204" s="2">
        <f>MASTER[[#This Row],[CANTIDAD]]*MASTER[[#This Row],[COSTO UNITARIO]]</f>
        <v>420</v>
      </c>
      <c r="V7204" s="2">
        <f>MASTER[[#This Row],[MONTO VENDIDO]]-MASTER[[#This Row],[COSTO DE VENTA]]</f>
        <v>1987</v>
      </c>
    </row>
    <row r="7205" spans="1:22" x14ac:dyDescent="0.3">
      <c r="A7205">
        <v>104736</v>
      </c>
      <c r="B7205">
        <v>1</v>
      </c>
      <c r="C7205" t="s">
        <v>92</v>
      </c>
      <c r="D7205" t="s">
        <v>93</v>
      </c>
      <c r="E7205" s="1">
        <v>44202</v>
      </c>
      <c r="F7205">
        <v>1</v>
      </c>
      <c r="G7205" t="s">
        <v>61</v>
      </c>
      <c r="H7205" t="s">
        <v>62</v>
      </c>
      <c r="I7205" s="4">
        <v>2705</v>
      </c>
      <c r="J7205" s="3">
        <v>2705</v>
      </c>
      <c r="K7205" s="4">
        <v>396</v>
      </c>
      <c r="L7205" t="s">
        <v>9</v>
      </c>
      <c r="M7205">
        <v>19</v>
      </c>
      <c r="N7205" t="s">
        <v>150</v>
      </c>
      <c r="O7205" t="s">
        <v>81</v>
      </c>
      <c r="P7205" t="s">
        <v>136</v>
      </c>
      <c r="Q7205" t="s">
        <v>140</v>
      </c>
      <c r="R7205" t="s">
        <v>141</v>
      </c>
      <c r="S7205" t="s">
        <v>145</v>
      </c>
      <c r="T7205" s="2">
        <f>MASTER[[#This Row],[CANTIDAD]]*MASTER[[#This Row],[PRECIO DE VENTA]]</f>
        <v>2705</v>
      </c>
      <c r="U7205" s="2">
        <f>MASTER[[#This Row],[CANTIDAD]]*MASTER[[#This Row],[COSTO UNITARIO]]</f>
        <v>396</v>
      </c>
      <c r="V7205" s="2">
        <f>MASTER[[#This Row],[MONTO VENDIDO]]-MASTER[[#This Row],[COSTO DE VENTA]]</f>
        <v>2309</v>
      </c>
    </row>
    <row r="7206" spans="1:22" x14ac:dyDescent="0.3">
      <c r="A7206">
        <v>104759</v>
      </c>
      <c r="B7206">
        <v>1</v>
      </c>
      <c r="C7206" t="s">
        <v>107</v>
      </c>
      <c r="D7206" t="s">
        <v>108</v>
      </c>
      <c r="E7206" s="1">
        <v>44204</v>
      </c>
      <c r="F7206">
        <v>1</v>
      </c>
      <c r="G7206" t="s">
        <v>24</v>
      </c>
      <c r="H7206" t="s">
        <v>25</v>
      </c>
      <c r="I7206" s="4">
        <v>2088</v>
      </c>
      <c r="J7206" s="3">
        <v>2088</v>
      </c>
      <c r="K7206" s="4">
        <v>380</v>
      </c>
      <c r="L7206" t="s">
        <v>98</v>
      </c>
      <c r="M7206">
        <v>19</v>
      </c>
      <c r="N7206" t="s">
        <v>150</v>
      </c>
      <c r="O7206" t="s">
        <v>81</v>
      </c>
      <c r="P7206" t="s">
        <v>136</v>
      </c>
      <c r="Q7206" t="s">
        <v>140</v>
      </c>
      <c r="R7206" t="s">
        <v>141</v>
      </c>
      <c r="S7206" t="s">
        <v>145</v>
      </c>
      <c r="T7206" s="2">
        <f>MASTER[[#This Row],[CANTIDAD]]*MASTER[[#This Row],[PRECIO DE VENTA]]</f>
        <v>2088</v>
      </c>
      <c r="U7206" s="2">
        <f>MASTER[[#This Row],[CANTIDAD]]*MASTER[[#This Row],[COSTO UNITARIO]]</f>
        <v>380</v>
      </c>
      <c r="V7206" s="2">
        <f>MASTER[[#This Row],[MONTO VENDIDO]]-MASTER[[#This Row],[COSTO DE VENTA]]</f>
        <v>1708</v>
      </c>
    </row>
    <row r="7207" spans="1:22" x14ac:dyDescent="0.3">
      <c r="A7207">
        <v>104762</v>
      </c>
      <c r="B7207">
        <v>1</v>
      </c>
      <c r="C7207" t="s">
        <v>121</v>
      </c>
      <c r="D7207" t="s">
        <v>122</v>
      </c>
      <c r="E7207" s="1">
        <v>44204</v>
      </c>
      <c r="F7207">
        <v>1</v>
      </c>
      <c r="G7207" t="s">
        <v>20</v>
      </c>
      <c r="H7207" t="s">
        <v>21</v>
      </c>
      <c r="I7207" s="4">
        <v>1658</v>
      </c>
      <c r="J7207" s="3">
        <v>1658</v>
      </c>
      <c r="K7207" s="4">
        <v>460</v>
      </c>
      <c r="L7207" t="s">
        <v>120</v>
      </c>
      <c r="M7207">
        <v>17</v>
      </c>
      <c r="N7207" t="str">
        <f>IF(MASTER[[#This Row],[IDLOCAL]]=17,"HYDE PARK", "HARLEM IRVING")</f>
        <v>HYDE PARK</v>
      </c>
      <c r="O7207" t="str">
        <f>IF(MASTER[[#This Row],[IDLOCAL]]=17,"PREMIUM", "ESTÁNDAR")</f>
        <v>PREMIUM</v>
      </c>
      <c r="P7207" t="s">
        <v>137</v>
      </c>
      <c r="Q7207" t="s">
        <v>142</v>
      </c>
      <c r="R7207" t="s">
        <v>143</v>
      </c>
      <c r="S7207" t="s">
        <v>145</v>
      </c>
      <c r="T7207" s="2">
        <f>MASTER[[#This Row],[CANTIDAD]]*MASTER[[#This Row],[PRECIO DE VENTA]]</f>
        <v>1658</v>
      </c>
      <c r="U7207" s="2">
        <f>MASTER[[#This Row],[CANTIDAD]]*MASTER[[#This Row],[COSTO UNITARIO]]</f>
        <v>460</v>
      </c>
      <c r="V7207" s="2">
        <f>MASTER[[#This Row],[MONTO VENDIDO]]-MASTER[[#This Row],[COSTO DE VENTA]]</f>
        <v>1198</v>
      </c>
    </row>
    <row r="7208" spans="1:22" x14ac:dyDescent="0.3">
      <c r="A7208">
        <v>104771</v>
      </c>
      <c r="B7208">
        <v>1</v>
      </c>
      <c r="C7208" t="s">
        <v>5</v>
      </c>
      <c r="D7208" t="s">
        <v>6</v>
      </c>
      <c r="E7208" s="1">
        <v>44205</v>
      </c>
      <c r="F7208">
        <v>1</v>
      </c>
      <c r="G7208" t="s">
        <v>67</v>
      </c>
      <c r="H7208" t="s">
        <v>68</v>
      </c>
      <c r="I7208" s="4">
        <v>2185</v>
      </c>
      <c r="J7208" s="3">
        <v>2185</v>
      </c>
      <c r="K7208" s="4">
        <v>393</v>
      </c>
      <c r="L7208" t="s">
        <v>9</v>
      </c>
      <c r="M7208">
        <v>18</v>
      </c>
      <c r="N7208" t="str">
        <f>IF(MASTER[[#This Row],[IDLOCAL]]=17,"HYDE PARK", "HARLEM IRVING")</f>
        <v>HARLEM IRVING</v>
      </c>
      <c r="O7208" t="str">
        <f>IF(MASTER[[#This Row],[IDLOCAL]]=17,"PREMIUM", "ESTÁNDAR")</f>
        <v>ESTÁNDAR</v>
      </c>
      <c r="P7208" t="s">
        <v>137</v>
      </c>
      <c r="Q7208" t="s">
        <v>142</v>
      </c>
      <c r="R7208" t="s">
        <v>143</v>
      </c>
      <c r="S7208" t="s">
        <v>145</v>
      </c>
      <c r="T7208" s="2">
        <f>MASTER[[#This Row],[CANTIDAD]]*MASTER[[#This Row],[PRECIO DE VENTA]]</f>
        <v>2185</v>
      </c>
      <c r="U7208" s="2">
        <f>MASTER[[#This Row],[CANTIDAD]]*MASTER[[#This Row],[COSTO UNITARIO]]</f>
        <v>393</v>
      </c>
      <c r="V7208" s="2">
        <f>MASTER[[#This Row],[MONTO VENDIDO]]-MASTER[[#This Row],[COSTO DE VENTA]]</f>
        <v>1792</v>
      </c>
    </row>
    <row r="7209" spans="1:22" x14ac:dyDescent="0.3">
      <c r="A7209">
        <v>104776</v>
      </c>
      <c r="B7209">
        <v>1</v>
      </c>
      <c r="C7209" t="s">
        <v>5</v>
      </c>
      <c r="D7209" t="s">
        <v>6</v>
      </c>
      <c r="E7209" s="1">
        <v>44206</v>
      </c>
      <c r="F7209">
        <v>1</v>
      </c>
      <c r="G7209" t="s">
        <v>39</v>
      </c>
      <c r="H7209" t="s">
        <v>40</v>
      </c>
      <c r="I7209" s="4">
        <v>1879</v>
      </c>
      <c r="J7209" s="3">
        <v>1879</v>
      </c>
      <c r="K7209" s="4">
        <v>393</v>
      </c>
      <c r="L7209" t="s">
        <v>9</v>
      </c>
      <c r="M7209">
        <v>19</v>
      </c>
      <c r="N7209" t="s">
        <v>150</v>
      </c>
      <c r="O7209" t="s">
        <v>81</v>
      </c>
      <c r="P7209" t="s">
        <v>136</v>
      </c>
      <c r="Q7209" t="s">
        <v>140</v>
      </c>
      <c r="R7209" t="s">
        <v>141</v>
      </c>
      <c r="S7209" t="s">
        <v>145</v>
      </c>
      <c r="T7209" s="2">
        <f>MASTER[[#This Row],[CANTIDAD]]*MASTER[[#This Row],[PRECIO DE VENTA]]</f>
        <v>1879</v>
      </c>
      <c r="U7209" s="2">
        <f>MASTER[[#This Row],[CANTIDAD]]*MASTER[[#This Row],[COSTO UNITARIO]]</f>
        <v>393</v>
      </c>
      <c r="V7209" s="2">
        <f>MASTER[[#This Row],[MONTO VENDIDO]]-MASTER[[#This Row],[COSTO DE VENTA]]</f>
        <v>1486</v>
      </c>
    </row>
    <row r="7210" spans="1:22" x14ac:dyDescent="0.3">
      <c r="A7210">
        <v>104821</v>
      </c>
      <c r="B7210">
        <v>1</v>
      </c>
      <c r="C7210" t="s">
        <v>116</v>
      </c>
      <c r="D7210" t="s">
        <v>117</v>
      </c>
      <c r="E7210" s="1">
        <v>44206</v>
      </c>
      <c r="F7210">
        <v>1</v>
      </c>
      <c r="G7210" t="s">
        <v>65</v>
      </c>
      <c r="H7210" t="s">
        <v>66</v>
      </c>
      <c r="I7210" s="4">
        <v>2898</v>
      </c>
      <c r="J7210" s="3">
        <v>2898</v>
      </c>
      <c r="K7210" s="4">
        <v>388</v>
      </c>
      <c r="L7210" t="s">
        <v>113</v>
      </c>
      <c r="M7210">
        <v>17</v>
      </c>
      <c r="N7210" t="str">
        <f>IF(MASTER[[#This Row],[IDLOCAL]]=17,"HYDE PARK", "HARLEM IRVING")</f>
        <v>HYDE PARK</v>
      </c>
      <c r="O7210" t="str">
        <f>IF(MASTER[[#This Row],[IDLOCAL]]=17,"PREMIUM", "ESTÁNDAR")</f>
        <v>PREMIUM</v>
      </c>
      <c r="P7210" t="s">
        <v>137</v>
      </c>
      <c r="Q7210" t="s">
        <v>142</v>
      </c>
      <c r="R7210" t="s">
        <v>143</v>
      </c>
      <c r="S7210" t="s">
        <v>145</v>
      </c>
      <c r="T7210" s="2">
        <f>MASTER[[#This Row],[CANTIDAD]]*MASTER[[#This Row],[PRECIO DE VENTA]]</f>
        <v>2898</v>
      </c>
      <c r="U7210" s="2">
        <f>MASTER[[#This Row],[CANTIDAD]]*MASTER[[#This Row],[COSTO UNITARIO]]</f>
        <v>388</v>
      </c>
      <c r="V7210" s="2">
        <f>MASTER[[#This Row],[MONTO VENDIDO]]-MASTER[[#This Row],[COSTO DE VENTA]]</f>
        <v>2510</v>
      </c>
    </row>
    <row r="7211" spans="1:22" x14ac:dyDescent="0.3">
      <c r="A7211">
        <v>104845</v>
      </c>
      <c r="B7211">
        <v>1</v>
      </c>
      <c r="C7211" t="s">
        <v>121</v>
      </c>
      <c r="D7211" t="s">
        <v>122</v>
      </c>
      <c r="E7211" s="1">
        <v>44206</v>
      </c>
      <c r="F7211">
        <v>1</v>
      </c>
      <c r="G7211" t="s">
        <v>65</v>
      </c>
      <c r="H7211" t="s">
        <v>66</v>
      </c>
      <c r="I7211" s="4">
        <v>1550</v>
      </c>
      <c r="J7211" s="3">
        <v>1550</v>
      </c>
      <c r="K7211" s="4">
        <v>460</v>
      </c>
      <c r="L7211" t="s">
        <v>120</v>
      </c>
      <c r="M7211">
        <v>19</v>
      </c>
      <c r="N7211" t="s">
        <v>150</v>
      </c>
      <c r="O7211" t="s">
        <v>81</v>
      </c>
      <c r="P7211" t="s">
        <v>136</v>
      </c>
      <c r="Q7211" t="s">
        <v>140</v>
      </c>
      <c r="R7211" t="s">
        <v>141</v>
      </c>
      <c r="S7211" t="s">
        <v>145</v>
      </c>
      <c r="T7211" s="2">
        <f>MASTER[[#This Row],[CANTIDAD]]*MASTER[[#This Row],[PRECIO DE VENTA]]</f>
        <v>1550</v>
      </c>
      <c r="U7211" s="2">
        <f>MASTER[[#This Row],[CANTIDAD]]*MASTER[[#This Row],[COSTO UNITARIO]]</f>
        <v>460</v>
      </c>
      <c r="V7211" s="2">
        <f>MASTER[[#This Row],[MONTO VENDIDO]]-MASTER[[#This Row],[COSTO DE VENTA]]</f>
        <v>1090</v>
      </c>
    </row>
    <row r="7212" spans="1:22" x14ac:dyDescent="0.3">
      <c r="A7212">
        <v>104858</v>
      </c>
      <c r="B7212">
        <v>1</v>
      </c>
      <c r="C7212" t="s">
        <v>94</v>
      </c>
      <c r="D7212" t="s">
        <v>95</v>
      </c>
      <c r="E7212" s="1">
        <v>44207</v>
      </c>
      <c r="F7212">
        <v>1</v>
      </c>
      <c r="G7212" t="s">
        <v>55</v>
      </c>
      <c r="H7212" t="s">
        <v>56</v>
      </c>
      <c r="I7212" s="4">
        <v>1519</v>
      </c>
      <c r="J7212" s="3">
        <v>1397</v>
      </c>
      <c r="K7212" s="4">
        <v>392</v>
      </c>
      <c r="L7212" t="s">
        <v>9</v>
      </c>
      <c r="M7212">
        <v>19</v>
      </c>
      <c r="N7212" t="s">
        <v>150</v>
      </c>
      <c r="O7212" t="s">
        <v>81</v>
      </c>
      <c r="P7212" t="s">
        <v>136</v>
      </c>
      <c r="Q7212" t="s">
        <v>140</v>
      </c>
      <c r="R7212" t="s">
        <v>141</v>
      </c>
      <c r="S7212" t="s">
        <v>145</v>
      </c>
      <c r="T7212" s="2">
        <f>MASTER[[#This Row],[CANTIDAD]]*MASTER[[#This Row],[PRECIO DE VENTA]]</f>
        <v>1397</v>
      </c>
      <c r="U7212" s="2">
        <f>MASTER[[#This Row],[CANTIDAD]]*MASTER[[#This Row],[COSTO UNITARIO]]</f>
        <v>392</v>
      </c>
      <c r="V7212" s="2">
        <f>MASTER[[#This Row],[MONTO VENDIDO]]-MASTER[[#This Row],[COSTO DE VENTA]]</f>
        <v>1005</v>
      </c>
    </row>
    <row r="7213" spans="1:22" x14ac:dyDescent="0.3">
      <c r="A7213">
        <v>104862</v>
      </c>
      <c r="B7213">
        <v>1</v>
      </c>
      <c r="C7213" t="s">
        <v>105</v>
      </c>
      <c r="D7213" t="s">
        <v>106</v>
      </c>
      <c r="E7213" s="1">
        <v>44207</v>
      </c>
      <c r="F7213">
        <v>1</v>
      </c>
      <c r="G7213" t="s">
        <v>39</v>
      </c>
      <c r="H7213" t="s">
        <v>40</v>
      </c>
      <c r="I7213" s="4">
        <v>2704</v>
      </c>
      <c r="J7213" s="3">
        <v>2704</v>
      </c>
      <c r="K7213" s="4">
        <v>459</v>
      </c>
      <c r="L7213" t="s">
        <v>98</v>
      </c>
      <c r="M7213">
        <v>17</v>
      </c>
      <c r="N7213" t="str">
        <f>IF(MASTER[[#This Row],[IDLOCAL]]=17,"HYDE PARK", "HARLEM IRVING")</f>
        <v>HYDE PARK</v>
      </c>
      <c r="O7213" t="str">
        <f>IF(MASTER[[#This Row],[IDLOCAL]]=17,"PREMIUM", "ESTÁNDAR")</f>
        <v>PREMIUM</v>
      </c>
      <c r="P7213" t="s">
        <v>137</v>
      </c>
      <c r="Q7213" t="s">
        <v>142</v>
      </c>
      <c r="R7213" t="s">
        <v>143</v>
      </c>
      <c r="S7213" t="s">
        <v>145</v>
      </c>
      <c r="T7213" s="2">
        <f>MASTER[[#This Row],[CANTIDAD]]*MASTER[[#This Row],[PRECIO DE VENTA]]</f>
        <v>2704</v>
      </c>
      <c r="U7213" s="2">
        <f>MASTER[[#This Row],[CANTIDAD]]*MASTER[[#This Row],[COSTO UNITARIO]]</f>
        <v>459</v>
      </c>
      <c r="V7213" s="2">
        <f>MASTER[[#This Row],[MONTO VENDIDO]]-MASTER[[#This Row],[COSTO DE VENTA]]</f>
        <v>2245</v>
      </c>
    </row>
    <row r="7214" spans="1:22" x14ac:dyDescent="0.3">
      <c r="A7214">
        <v>104865</v>
      </c>
      <c r="B7214">
        <v>1</v>
      </c>
      <c r="C7214" t="s">
        <v>109</v>
      </c>
      <c r="D7214" t="s">
        <v>110</v>
      </c>
      <c r="E7214" s="1">
        <v>44207</v>
      </c>
      <c r="F7214">
        <v>1</v>
      </c>
      <c r="G7214" t="s">
        <v>67</v>
      </c>
      <c r="H7214" t="s">
        <v>68</v>
      </c>
      <c r="I7214" s="4">
        <v>1542</v>
      </c>
      <c r="J7214" s="3">
        <v>1542</v>
      </c>
      <c r="K7214" s="4">
        <v>387</v>
      </c>
      <c r="L7214" t="s">
        <v>98</v>
      </c>
      <c r="M7214">
        <v>17</v>
      </c>
      <c r="N7214" t="str">
        <f>IF(MASTER[[#This Row],[IDLOCAL]]=17,"HYDE PARK", "HARLEM IRVING")</f>
        <v>HYDE PARK</v>
      </c>
      <c r="O7214" t="str">
        <f>IF(MASTER[[#This Row],[IDLOCAL]]=17,"PREMIUM", "ESTÁNDAR")</f>
        <v>PREMIUM</v>
      </c>
      <c r="P7214" t="s">
        <v>137</v>
      </c>
      <c r="Q7214" t="s">
        <v>142</v>
      </c>
      <c r="R7214" t="s">
        <v>143</v>
      </c>
      <c r="S7214" t="s">
        <v>145</v>
      </c>
      <c r="T7214" s="2">
        <f>MASTER[[#This Row],[CANTIDAD]]*MASTER[[#This Row],[PRECIO DE VENTA]]</f>
        <v>1542</v>
      </c>
      <c r="U7214" s="2">
        <f>MASTER[[#This Row],[CANTIDAD]]*MASTER[[#This Row],[COSTO UNITARIO]]</f>
        <v>387</v>
      </c>
      <c r="V7214" s="2">
        <f>MASTER[[#This Row],[MONTO VENDIDO]]-MASTER[[#This Row],[COSTO DE VENTA]]</f>
        <v>1155</v>
      </c>
    </row>
    <row r="7215" spans="1:22" x14ac:dyDescent="0.3">
      <c r="A7215">
        <v>104866</v>
      </c>
      <c r="B7215">
        <v>1</v>
      </c>
      <c r="C7215" t="s">
        <v>101</v>
      </c>
      <c r="D7215" t="s">
        <v>102</v>
      </c>
      <c r="E7215" s="1">
        <v>44209</v>
      </c>
      <c r="F7215">
        <v>1</v>
      </c>
      <c r="G7215" t="s">
        <v>39</v>
      </c>
      <c r="H7215" t="s">
        <v>40</v>
      </c>
      <c r="I7215" s="4">
        <v>1967</v>
      </c>
      <c r="J7215" s="3">
        <v>1848</v>
      </c>
      <c r="K7215" s="4">
        <v>442</v>
      </c>
      <c r="L7215" t="s">
        <v>98</v>
      </c>
      <c r="M7215">
        <v>17</v>
      </c>
      <c r="N7215" t="str">
        <f>IF(MASTER[[#This Row],[IDLOCAL]]=17,"HYDE PARK", "HARLEM IRVING")</f>
        <v>HYDE PARK</v>
      </c>
      <c r="O7215" t="str">
        <f>IF(MASTER[[#This Row],[IDLOCAL]]=17,"PREMIUM", "ESTÁNDAR")</f>
        <v>PREMIUM</v>
      </c>
      <c r="P7215" t="s">
        <v>137</v>
      </c>
      <c r="Q7215" t="s">
        <v>142</v>
      </c>
      <c r="R7215" t="s">
        <v>143</v>
      </c>
      <c r="S7215" t="s">
        <v>145</v>
      </c>
      <c r="T7215" s="2">
        <f>MASTER[[#This Row],[CANTIDAD]]*MASTER[[#This Row],[PRECIO DE VENTA]]</f>
        <v>1848</v>
      </c>
      <c r="U7215" s="2">
        <f>MASTER[[#This Row],[CANTIDAD]]*MASTER[[#This Row],[COSTO UNITARIO]]</f>
        <v>442</v>
      </c>
      <c r="V7215" s="2">
        <f>MASTER[[#This Row],[MONTO VENDIDO]]-MASTER[[#This Row],[COSTO DE VENTA]]</f>
        <v>1406</v>
      </c>
    </row>
    <row r="7216" spans="1:22" x14ac:dyDescent="0.3">
      <c r="A7216">
        <v>104872</v>
      </c>
      <c r="B7216">
        <v>1</v>
      </c>
      <c r="C7216" t="s">
        <v>111</v>
      </c>
      <c r="D7216" t="s">
        <v>112</v>
      </c>
      <c r="E7216" s="1">
        <v>44210</v>
      </c>
      <c r="F7216">
        <v>1</v>
      </c>
      <c r="G7216" t="s">
        <v>51</v>
      </c>
      <c r="H7216" t="s">
        <v>52</v>
      </c>
      <c r="I7216" s="4">
        <v>2350</v>
      </c>
      <c r="J7216" s="3">
        <v>2350</v>
      </c>
      <c r="K7216" s="4">
        <v>434</v>
      </c>
      <c r="L7216" t="s">
        <v>113</v>
      </c>
      <c r="M7216">
        <v>18</v>
      </c>
      <c r="N7216" t="str">
        <f>IF(MASTER[[#This Row],[IDLOCAL]]=17,"HYDE PARK", "HARLEM IRVING")</f>
        <v>HARLEM IRVING</v>
      </c>
      <c r="O7216" t="str">
        <f>IF(MASTER[[#This Row],[IDLOCAL]]=17,"PREMIUM", "ESTÁNDAR")</f>
        <v>ESTÁNDAR</v>
      </c>
      <c r="P7216" t="s">
        <v>137</v>
      </c>
      <c r="Q7216" t="s">
        <v>142</v>
      </c>
      <c r="R7216" t="s">
        <v>143</v>
      </c>
      <c r="S7216" t="s">
        <v>145</v>
      </c>
      <c r="T7216" s="2">
        <f>MASTER[[#This Row],[CANTIDAD]]*MASTER[[#This Row],[PRECIO DE VENTA]]</f>
        <v>2350</v>
      </c>
      <c r="U7216" s="2">
        <f>MASTER[[#This Row],[CANTIDAD]]*MASTER[[#This Row],[COSTO UNITARIO]]</f>
        <v>434</v>
      </c>
      <c r="V7216" s="2">
        <f>MASTER[[#This Row],[MONTO VENDIDO]]-MASTER[[#This Row],[COSTO DE VENTA]]</f>
        <v>1916</v>
      </c>
    </row>
    <row r="7217" spans="1:22" x14ac:dyDescent="0.3">
      <c r="A7217">
        <v>104909</v>
      </c>
      <c r="B7217">
        <v>1</v>
      </c>
      <c r="C7217" t="s">
        <v>114</v>
      </c>
      <c r="D7217" t="s">
        <v>115</v>
      </c>
      <c r="E7217" s="1">
        <v>44210</v>
      </c>
      <c r="F7217">
        <v>1</v>
      </c>
      <c r="G7217" t="s">
        <v>45</v>
      </c>
      <c r="H7217" t="s">
        <v>46</v>
      </c>
      <c r="I7217" s="4">
        <v>2295</v>
      </c>
      <c r="J7217" s="3">
        <v>2295</v>
      </c>
      <c r="K7217" s="4">
        <v>394</v>
      </c>
      <c r="L7217" t="s">
        <v>113</v>
      </c>
      <c r="M7217">
        <v>19</v>
      </c>
      <c r="N7217" t="s">
        <v>150</v>
      </c>
      <c r="O7217" t="s">
        <v>81</v>
      </c>
      <c r="P7217" t="s">
        <v>136</v>
      </c>
      <c r="Q7217" t="s">
        <v>140</v>
      </c>
      <c r="R7217" t="s">
        <v>141</v>
      </c>
      <c r="S7217" t="s">
        <v>145</v>
      </c>
      <c r="T7217" s="2">
        <f>MASTER[[#This Row],[CANTIDAD]]*MASTER[[#This Row],[PRECIO DE VENTA]]</f>
        <v>2295</v>
      </c>
      <c r="U7217" s="2">
        <f>MASTER[[#This Row],[CANTIDAD]]*MASTER[[#This Row],[COSTO UNITARIO]]</f>
        <v>394</v>
      </c>
      <c r="V7217" s="2">
        <f>MASTER[[#This Row],[MONTO VENDIDO]]-MASTER[[#This Row],[COSTO DE VENTA]]</f>
        <v>1901</v>
      </c>
    </row>
    <row r="7218" spans="1:22" x14ac:dyDescent="0.3">
      <c r="A7218">
        <v>104920</v>
      </c>
      <c r="B7218">
        <v>1</v>
      </c>
      <c r="C7218" t="s">
        <v>99</v>
      </c>
      <c r="D7218" t="s">
        <v>100</v>
      </c>
      <c r="E7218" s="1">
        <v>44212</v>
      </c>
      <c r="F7218">
        <v>1</v>
      </c>
      <c r="G7218" t="s">
        <v>27</v>
      </c>
      <c r="H7218" t="s">
        <v>28</v>
      </c>
      <c r="I7218" s="4">
        <v>2433</v>
      </c>
      <c r="J7218" s="3">
        <v>2433</v>
      </c>
      <c r="K7218" s="4">
        <v>386</v>
      </c>
      <c r="L7218" t="s">
        <v>98</v>
      </c>
      <c r="M7218">
        <v>19</v>
      </c>
      <c r="N7218" t="s">
        <v>150</v>
      </c>
      <c r="O7218" t="s">
        <v>81</v>
      </c>
      <c r="P7218" t="s">
        <v>136</v>
      </c>
      <c r="Q7218" t="s">
        <v>140</v>
      </c>
      <c r="R7218" t="s">
        <v>141</v>
      </c>
      <c r="S7218" t="s">
        <v>145</v>
      </c>
      <c r="T7218" s="2">
        <f>MASTER[[#This Row],[CANTIDAD]]*MASTER[[#This Row],[PRECIO DE VENTA]]</f>
        <v>2433</v>
      </c>
      <c r="U7218" s="2">
        <f>MASTER[[#This Row],[CANTIDAD]]*MASTER[[#This Row],[COSTO UNITARIO]]</f>
        <v>386</v>
      </c>
      <c r="V7218" s="2">
        <f>MASTER[[#This Row],[MONTO VENDIDO]]-MASTER[[#This Row],[COSTO DE VENTA]]</f>
        <v>2047</v>
      </c>
    </row>
    <row r="7219" spans="1:22" x14ac:dyDescent="0.3">
      <c r="A7219">
        <v>104925</v>
      </c>
      <c r="B7219">
        <v>1</v>
      </c>
      <c r="C7219" t="s">
        <v>101</v>
      </c>
      <c r="D7219" t="s">
        <v>102</v>
      </c>
      <c r="E7219" s="1">
        <v>44212</v>
      </c>
      <c r="F7219">
        <v>1</v>
      </c>
      <c r="G7219" t="s">
        <v>43</v>
      </c>
      <c r="H7219" t="s">
        <v>44</v>
      </c>
      <c r="I7219" s="4">
        <v>1757</v>
      </c>
      <c r="J7219" s="3">
        <v>1757</v>
      </c>
      <c r="K7219" s="4">
        <v>442</v>
      </c>
      <c r="L7219" t="s">
        <v>98</v>
      </c>
      <c r="M7219">
        <v>19</v>
      </c>
      <c r="N7219" t="s">
        <v>150</v>
      </c>
      <c r="O7219" t="s">
        <v>81</v>
      </c>
      <c r="P7219" t="s">
        <v>136</v>
      </c>
      <c r="Q7219" t="s">
        <v>140</v>
      </c>
      <c r="R7219" t="s">
        <v>141</v>
      </c>
      <c r="S7219" t="s">
        <v>145</v>
      </c>
      <c r="T7219" s="2">
        <f>MASTER[[#This Row],[CANTIDAD]]*MASTER[[#This Row],[PRECIO DE VENTA]]</f>
        <v>1757</v>
      </c>
      <c r="U7219" s="2">
        <f>MASTER[[#This Row],[CANTIDAD]]*MASTER[[#This Row],[COSTO UNITARIO]]</f>
        <v>442</v>
      </c>
      <c r="V7219" s="2">
        <f>MASTER[[#This Row],[MONTO VENDIDO]]-MASTER[[#This Row],[COSTO DE VENTA]]</f>
        <v>1315</v>
      </c>
    </row>
    <row r="7220" spans="1:22" x14ac:dyDescent="0.3">
      <c r="A7220">
        <v>104930</v>
      </c>
      <c r="B7220">
        <v>1</v>
      </c>
      <c r="C7220" t="s">
        <v>111</v>
      </c>
      <c r="D7220" t="s">
        <v>112</v>
      </c>
      <c r="E7220" s="1">
        <v>44212</v>
      </c>
      <c r="F7220">
        <v>1</v>
      </c>
      <c r="G7220" t="s">
        <v>27</v>
      </c>
      <c r="H7220" t="s">
        <v>28</v>
      </c>
      <c r="I7220" s="4">
        <v>2608</v>
      </c>
      <c r="J7220" s="3">
        <v>2347</v>
      </c>
      <c r="K7220" s="4">
        <v>434</v>
      </c>
      <c r="L7220" t="s">
        <v>113</v>
      </c>
      <c r="M7220">
        <v>19</v>
      </c>
      <c r="N7220" t="s">
        <v>150</v>
      </c>
      <c r="O7220" t="s">
        <v>81</v>
      </c>
      <c r="P7220" t="s">
        <v>136</v>
      </c>
      <c r="Q7220" t="s">
        <v>140</v>
      </c>
      <c r="R7220" t="s">
        <v>141</v>
      </c>
      <c r="S7220" t="s">
        <v>145</v>
      </c>
      <c r="T7220" s="2">
        <f>MASTER[[#This Row],[CANTIDAD]]*MASTER[[#This Row],[PRECIO DE VENTA]]</f>
        <v>2347</v>
      </c>
      <c r="U7220" s="2">
        <f>MASTER[[#This Row],[CANTIDAD]]*MASTER[[#This Row],[COSTO UNITARIO]]</f>
        <v>434</v>
      </c>
      <c r="V7220" s="2">
        <f>MASTER[[#This Row],[MONTO VENDIDO]]-MASTER[[#This Row],[COSTO DE VENTA]]</f>
        <v>1913</v>
      </c>
    </row>
    <row r="7221" spans="1:22" x14ac:dyDescent="0.3">
      <c r="A7221">
        <v>104931</v>
      </c>
      <c r="B7221">
        <v>1</v>
      </c>
      <c r="C7221" t="s">
        <v>92</v>
      </c>
      <c r="D7221" t="s">
        <v>93</v>
      </c>
      <c r="E7221" s="1">
        <v>44213</v>
      </c>
      <c r="F7221">
        <v>1</v>
      </c>
      <c r="G7221" t="s">
        <v>7</v>
      </c>
      <c r="H7221" t="s">
        <v>8</v>
      </c>
      <c r="I7221" s="4">
        <v>2144</v>
      </c>
      <c r="J7221" s="3">
        <v>1950</v>
      </c>
      <c r="K7221" s="4">
        <v>396</v>
      </c>
      <c r="L7221" t="s">
        <v>9</v>
      </c>
      <c r="M7221">
        <v>19</v>
      </c>
      <c r="N7221" t="s">
        <v>150</v>
      </c>
      <c r="O7221" t="s">
        <v>81</v>
      </c>
      <c r="P7221" t="s">
        <v>136</v>
      </c>
      <c r="Q7221" t="s">
        <v>140</v>
      </c>
      <c r="R7221" t="s">
        <v>141</v>
      </c>
      <c r="S7221" t="s">
        <v>145</v>
      </c>
      <c r="T7221" s="2">
        <f>MASTER[[#This Row],[CANTIDAD]]*MASTER[[#This Row],[PRECIO DE VENTA]]</f>
        <v>1950</v>
      </c>
      <c r="U7221" s="2">
        <f>MASTER[[#This Row],[CANTIDAD]]*MASTER[[#This Row],[COSTO UNITARIO]]</f>
        <v>396</v>
      </c>
      <c r="V7221" s="2">
        <f>MASTER[[#This Row],[MONTO VENDIDO]]-MASTER[[#This Row],[COSTO DE VENTA]]</f>
        <v>1554</v>
      </c>
    </row>
    <row r="7222" spans="1:22" x14ac:dyDescent="0.3">
      <c r="A7222">
        <v>104969</v>
      </c>
      <c r="B7222">
        <v>1</v>
      </c>
      <c r="C7222" t="s">
        <v>94</v>
      </c>
      <c r="D7222" t="s">
        <v>95</v>
      </c>
      <c r="E7222" s="1">
        <v>44213</v>
      </c>
      <c r="F7222">
        <v>1</v>
      </c>
      <c r="G7222" t="s">
        <v>63</v>
      </c>
      <c r="H7222" t="s">
        <v>64</v>
      </c>
      <c r="I7222" s="4">
        <v>1671</v>
      </c>
      <c r="J7222" s="3">
        <v>1671</v>
      </c>
      <c r="K7222" s="4">
        <v>392</v>
      </c>
      <c r="L7222" t="s">
        <v>9</v>
      </c>
      <c r="M7222">
        <v>17</v>
      </c>
      <c r="N7222" t="str">
        <f>IF(MASTER[[#This Row],[IDLOCAL]]=17,"HYDE PARK", "HARLEM IRVING")</f>
        <v>HYDE PARK</v>
      </c>
      <c r="O7222" t="str">
        <f>IF(MASTER[[#This Row],[IDLOCAL]]=17,"PREMIUM", "ESTÁNDAR")</f>
        <v>PREMIUM</v>
      </c>
      <c r="P7222" t="s">
        <v>137</v>
      </c>
      <c r="Q7222" t="s">
        <v>142</v>
      </c>
      <c r="R7222" t="s">
        <v>143</v>
      </c>
      <c r="S7222" t="s">
        <v>145</v>
      </c>
      <c r="T7222" s="2">
        <f>MASTER[[#This Row],[CANTIDAD]]*MASTER[[#This Row],[PRECIO DE VENTA]]</f>
        <v>1671</v>
      </c>
      <c r="U7222" s="2">
        <f>MASTER[[#This Row],[CANTIDAD]]*MASTER[[#This Row],[COSTO UNITARIO]]</f>
        <v>392</v>
      </c>
      <c r="V7222" s="2">
        <f>MASTER[[#This Row],[MONTO VENDIDO]]-MASTER[[#This Row],[COSTO DE VENTA]]</f>
        <v>1279</v>
      </c>
    </row>
    <row r="7223" spans="1:22" x14ac:dyDescent="0.3">
      <c r="A7223">
        <v>104984</v>
      </c>
      <c r="B7223">
        <v>1</v>
      </c>
      <c r="C7223" t="s">
        <v>96</v>
      </c>
      <c r="D7223" t="s">
        <v>97</v>
      </c>
      <c r="E7223" s="1">
        <v>44213</v>
      </c>
      <c r="F7223">
        <v>1</v>
      </c>
      <c r="G7223" t="s">
        <v>22</v>
      </c>
      <c r="H7223" t="s">
        <v>23</v>
      </c>
      <c r="I7223" s="4">
        <v>1844</v>
      </c>
      <c r="J7223" s="3">
        <v>1844</v>
      </c>
      <c r="K7223" s="4">
        <v>397</v>
      </c>
      <c r="L7223" t="s">
        <v>98</v>
      </c>
      <c r="M7223">
        <v>19</v>
      </c>
      <c r="N7223" t="s">
        <v>150</v>
      </c>
      <c r="O7223" t="s">
        <v>81</v>
      </c>
      <c r="P7223" t="s">
        <v>136</v>
      </c>
      <c r="Q7223" t="s">
        <v>140</v>
      </c>
      <c r="R7223" t="s">
        <v>141</v>
      </c>
      <c r="S7223" t="s">
        <v>145</v>
      </c>
      <c r="T7223" s="2">
        <f>MASTER[[#This Row],[CANTIDAD]]*MASTER[[#This Row],[PRECIO DE VENTA]]</f>
        <v>1844</v>
      </c>
      <c r="U7223" s="2">
        <f>MASTER[[#This Row],[CANTIDAD]]*MASTER[[#This Row],[COSTO UNITARIO]]</f>
        <v>397</v>
      </c>
      <c r="V7223" s="2">
        <f>MASTER[[#This Row],[MONTO VENDIDO]]-MASTER[[#This Row],[COSTO DE VENTA]]</f>
        <v>1447</v>
      </c>
    </row>
    <row r="7224" spans="1:22" x14ac:dyDescent="0.3">
      <c r="A7224">
        <v>105019</v>
      </c>
      <c r="B7224">
        <v>1</v>
      </c>
      <c r="C7224" t="s">
        <v>96</v>
      </c>
      <c r="D7224" t="s">
        <v>97</v>
      </c>
      <c r="E7224" s="1">
        <v>44214</v>
      </c>
      <c r="F7224">
        <v>1</v>
      </c>
      <c r="G7224" t="s">
        <v>35</v>
      </c>
      <c r="H7224" t="s">
        <v>36</v>
      </c>
      <c r="I7224" s="4">
        <v>1734</v>
      </c>
      <c r="J7224" s="3">
        <v>1734</v>
      </c>
      <c r="K7224" s="4">
        <v>397</v>
      </c>
      <c r="L7224" t="s">
        <v>98</v>
      </c>
      <c r="M7224">
        <v>17</v>
      </c>
      <c r="N7224" t="str">
        <f>IF(MASTER[[#This Row],[IDLOCAL]]=17,"HYDE PARK", "HARLEM IRVING")</f>
        <v>HYDE PARK</v>
      </c>
      <c r="O7224" t="str">
        <f>IF(MASTER[[#This Row],[IDLOCAL]]=17,"PREMIUM", "ESTÁNDAR")</f>
        <v>PREMIUM</v>
      </c>
      <c r="P7224" t="s">
        <v>137</v>
      </c>
      <c r="Q7224" t="s">
        <v>142</v>
      </c>
      <c r="R7224" t="s">
        <v>143</v>
      </c>
      <c r="S7224" t="s">
        <v>145</v>
      </c>
      <c r="T7224" s="2">
        <f>MASTER[[#This Row],[CANTIDAD]]*MASTER[[#This Row],[PRECIO DE VENTA]]</f>
        <v>1734</v>
      </c>
      <c r="U7224" s="2">
        <f>MASTER[[#This Row],[CANTIDAD]]*MASTER[[#This Row],[COSTO UNITARIO]]</f>
        <v>397</v>
      </c>
      <c r="V7224" s="2">
        <f>MASTER[[#This Row],[MONTO VENDIDO]]-MASTER[[#This Row],[COSTO DE VENTA]]</f>
        <v>1337</v>
      </c>
    </row>
    <row r="7225" spans="1:22" x14ac:dyDescent="0.3">
      <c r="A7225">
        <v>105037</v>
      </c>
      <c r="B7225">
        <v>1</v>
      </c>
      <c r="C7225" t="s">
        <v>103</v>
      </c>
      <c r="D7225" t="s">
        <v>104</v>
      </c>
      <c r="E7225" s="1">
        <v>44215</v>
      </c>
      <c r="F7225">
        <v>1</v>
      </c>
      <c r="G7225" t="s">
        <v>49</v>
      </c>
      <c r="H7225" t="s">
        <v>50</v>
      </c>
      <c r="I7225" s="4">
        <v>2306</v>
      </c>
      <c r="J7225" s="3">
        <v>2306</v>
      </c>
      <c r="K7225" s="4">
        <v>421</v>
      </c>
      <c r="L7225" t="s">
        <v>98</v>
      </c>
      <c r="M7225">
        <v>19</v>
      </c>
      <c r="N7225" t="s">
        <v>150</v>
      </c>
      <c r="O7225" t="s">
        <v>81</v>
      </c>
      <c r="P7225" t="s">
        <v>136</v>
      </c>
      <c r="Q7225" t="s">
        <v>140</v>
      </c>
      <c r="R7225" t="s">
        <v>141</v>
      </c>
      <c r="S7225" t="s">
        <v>145</v>
      </c>
      <c r="T7225" s="2">
        <f>MASTER[[#This Row],[CANTIDAD]]*MASTER[[#This Row],[PRECIO DE VENTA]]</f>
        <v>2306</v>
      </c>
      <c r="U7225" s="2">
        <f>MASTER[[#This Row],[CANTIDAD]]*MASTER[[#This Row],[COSTO UNITARIO]]</f>
        <v>421</v>
      </c>
      <c r="V7225" s="2">
        <f>MASTER[[#This Row],[MONTO VENDIDO]]-MASTER[[#This Row],[COSTO DE VENTA]]</f>
        <v>1885</v>
      </c>
    </row>
    <row r="7226" spans="1:22" x14ac:dyDescent="0.3">
      <c r="A7226">
        <v>105039</v>
      </c>
      <c r="B7226">
        <v>1</v>
      </c>
      <c r="C7226" t="s">
        <v>109</v>
      </c>
      <c r="D7226" t="s">
        <v>110</v>
      </c>
      <c r="E7226" s="1">
        <v>44215</v>
      </c>
      <c r="F7226">
        <v>1</v>
      </c>
      <c r="G7226" t="s">
        <v>59</v>
      </c>
      <c r="H7226" t="s">
        <v>60</v>
      </c>
      <c r="I7226" s="4">
        <v>1635</v>
      </c>
      <c r="J7226" s="3">
        <v>1635</v>
      </c>
      <c r="K7226" s="4">
        <v>387</v>
      </c>
      <c r="L7226" t="s">
        <v>98</v>
      </c>
      <c r="M7226">
        <v>19</v>
      </c>
      <c r="N7226" t="s">
        <v>150</v>
      </c>
      <c r="O7226" t="s">
        <v>81</v>
      </c>
      <c r="P7226" t="s">
        <v>136</v>
      </c>
      <c r="Q7226" t="s">
        <v>140</v>
      </c>
      <c r="R7226" t="s">
        <v>141</v>
      </c>
      <c r="S7226" t="s">
        <v>145</v>
      </c>
      <c r="T7226" s="2">
        <f>MASTER[[#This Row],[CANTIDAD]]*MASTER[[#This Row],[PRECIO DE VENTA]]</f>
        <v>1635</v>
      </c>
      <c r="U7226" s="2">
        <f>MASTER[[#This Row],[CANTIDAD]]*MASTER[[#This Row],[COSTO UNITARIO]]</f>
        <v>387</v>
      </c>
      <c r="V7226" s="2">
        <f>MASTER[[#This Row],[MONTO VENDIDO]]-MASTER[[#This Row],[COSTO DE VENTA]]</f>
        <v>1248</v>
      </c>
    </row>
    <row r="7227" spans="1:22" x14ac:dyDescent="0.3">
      <c r="A7227">
        <v>105043</v>
      </c>
      <c r="B7227">
        <v>1</v>
      </c>
      <c r="C7227" t="s">
        <v>92</v>
      </c>
      <c r="D7227" t="s">
        <v>93</v>
      </c>
      <c r="E7227" s="1">
        <v>44216</v>
      </c>
      <c r="F7227">
        <v>1</v>
      </c>
      <c r="G7227" t="s">
        <v>53</v>
      </c>
      <c r="H7227" t="s">
        <v>54</v>
      </c>
      <c r="I7227" s="4">
        <v>2437</v>
      </c>
      <c r="J7227" s="3">
        <v>2437</v>
      </c>
      <c r="K7227" s="4">
        <v>396</v>
      </c>
      <c r="L7227" t="s">
        <v>9</v>
      </c>
      <c r="M7227">
        <v>18</v>
      </c>
      <c r="N7227" t="str">
        <f>IF(MASTER[[#This Row],[IDLOCAL]]=17,"HYDE PARK", "HARLEM IRVING")</f>
        <v>HARLEM IRVING</v>
      </c>
      <c r="O7227" t="str">
        <f>IF(MASTER[[#This Row],[IDLOCAL]]=17,"PREMIUM", "ESTÁNDAR")</f>
        <v>ESTÁNDAR</v>
      </c>
      <c r="P7227" t="s">
        <v>137</v>
      </c>
      <c r="Q7227" t="s">
        <v>142</v>
      </c>
      <c r="R7227" t="s">
        <v>143</v>
      </c>
      <c r="S7227" t="s">
        <v>145</v>
      </c>
      <c r="T7227" s="2">
        <f>MASTER[[#This Row],[CANTIDAD]]*MASTER[[#This Row],[PRECIO DE VENTA]]</f>
        <v>2437</v>
      </c>
      <c r="U7227" s="2">
        <f>MASTER[[#This Row],[CANTIDAD]]*MASTER[[#This Row],[COSTO UNITARIO]]</f>
        <v>396</v>
      </c>
      <c r="V7227" s="2">
        <f>MASTER[[#This Row],[MONTO VENDIDO]]-MASTER[[#This Row],[COSTO DE VENTA]]</f>
        <v>2041</v>
      </c>
    </row>
    <row r="7228" spans="1:22" x14ac:dyDescent="0.3">
      <c r="A7228">
        <v>105051</v>
      </c>
      <c r="B7228">
        <v>1</v>
      </c>
      <c r="C7228" t="s">
        <v>107</v>
      </c>
      <c r="D7228" t="s">
        <v>108</v>
      </c>
      <c r="E7228" s="1">
        <v>44216</v>
      </c>
      <c r="F7228">
        <v>1</v>
      </c>
      <c r="G7228" t="s">
        <v>49</v>
      </c>
      <c r="H7228" t="s">
        <v>50</v>
      </c>
      <c r="I7228" s="4">
        <v>1932</v>
      </c>
      <c r="J7228" s="3">
        <v>1932</v>
      </c>
      <c r="K7228" s="4">
        <v>380</v>
      </c>
      <c r="L7228" t="s">
        <v>98</v>
      </c>
      <c r="M7228">
        <v>18</v>
      </c>
      <c r="N7228" t="str">
        <f>IF(MASTER[[#This Row],[IDLOCAL]]=17,"HYDE PARK", "HARLEM IRVING")</f>
        <v>HARLEM IRVING</v>
      </c>
      <c r="O7228" t="str">
        <f>IF(MASTER[[#This Row],[IDLOCAL]]=17,"PREMIUM", "ESTÁNDAR")</f>
        <v>ESTÁNDAR</v>
      </c>
      <c r="P7228" t="s">
        <v>137</v>
      </c>
      <c r="Q7228" t="s">
        <v>142</v>
      </c>
      <c r="R7228" t="s">
        <v>143</v>
      </c>
      <c r="S7228" t="s">
        <v>145</v>
      </c>
      <c r="T7228" s="2">
        <f>MASTER[[#This Row],[CANTIDAD]]*MASTER[[#This Row],[PRECIO DE VENTA]]</f>
        <v>1932</v>
      </c>
      <c r="U7228" s="2">
        <f>MASTER[[#This Row],[CANTIDAD]]*MASTER[[#This Row],[COSTO UNITARIO]]</f>
        <v>380</v>
      </c>
      <c r="V7228" s="2">
        <f>MASTER[[#This Row],[MONTO VENDIDO]]-MASTER[[#This Row],[COSTO DE VENTA]]</f>
        <v>1552</v>
      </c>
    </row>
    <row r="7229" spans="1:22" x14ac:dyDescent="0.3">
      <c r="A7229">
        <v>105065</v>
      </c>
      <c r="B7229">
        <v>1</v>
      </c>
      <c r="C7229" t="s">
        <v>114</v>
      </c>
      <c r="D7229" t="s">
        <v>115</v>
      </c>
      <c r="E7229" s="1">
        <v>44216</v>
      </c>
      <c r="F7229">
        <v>1</v>
      </c>
      <c r="G7229" t="s">
        <v>22</v>
      </c>
      <c r="H7229" t="s">
        <v>23</v>
      </c>
      <c r="I7229" s="4">
        <v>2943</v>
      </c>
      <c r="J7229" s="3">
        <v>2943</v>
      </c>
      <c r="K7229" s="4">
        <v>394</v>
      </c>
      <c r="L7229" t="s">
        <v>113</v>
      </c>
      <c r="M7229">
        <v>17</v>
      </c>
      <c r="N7229" t="str">
        <f>IF(MASTER[[#This Row],[IDLOCAL]]=17,"HYDE PARK", "HARLEM IRVING")</f>
        <v>HYDE PARK</v>
      </c>
      <c r="O7229" t="str">
        <f>IF(MASTER[[#This Row],[IDLOCAL]]=17,"PREMIUM", "ESTÁNDAR")</f>
        <v>PREMIUM</v>
      </c>
      <c r="P7229" t="s">
        <v>137</v>
      </c>
      <c r="Q7229" t="s">
        <v>142</v>
      </c>
      <c r="R7229" t="s">
        <v>143</v>
      </c>
      <c r="S7229" t="s">
        <v>145</v>
      </c>
      <c r="T7229" s="2">
        <f>MASTER[[#This Row],[CANTIDAD]]*MASTER[[#This Row],[PRECIO DE VENTA]]</f>
        <v>2943</v>
      </c>
      <c r="U7229" s="2">
        <f>MASTER[[#This Row],[CANTIDAD]]*MASTER[[#This Row],[COSTO UNITARIO]]</f>
        <v>394</v>
      </c>
      <c r="V7229" s="2">
        <f>MASTER[[#This Row],[MONTO VENDIDO]]-MASTER[[#This Row],[COSTO DE VENTA]]</f>
        <v>2549</v>
      </c>
    </row>
    <row r="7230" spans="1:22" x14ac:dyDescent="0.3">
      <c r="A7230">
        <v>105077</v>
      </c>
      <c r="B7230">
        <v>1</v>
      </c>
      <c r="C7230" t="s">
        <v>90</v>
      </c>
      <c r="D7230" t="s">
        <v>91</v>
      </c>
      <c r="E7230" s="1">
        <v>44217</v>
      </c>
      <c r="F7230">
        <v>1</v>
      </c>
      <c r="G7230" t="s">
        <v>31</v>
      </c>
      <c r="H7230" t="s">
        <v>32</v>
      </c>
      <c r="I7230" s="4">
        <v>3047</v>
      </c>
      <c r="J7230" s="3">
        <v>3047</v>
      </c>
      <c r="K7230" s="4">
        <v>420</v>
      </c>
      <c r="L7230" t="s">
        <v>9</v>
      </c>
      <c r="M7230">
        <v>17</v>
      </c>
      <c r="N7230" t="str">
        <f>IF(MASTER[[#This Row],[IDLOCAL]]=17,"HYDE PARK", "HARLEM IRVING")</f>
        <v>HYDE PARK</v>
      </c>
      <c r="O7230" t="str">
        <f>IF(MASTER[[#This Row],[IDLOCAL]]=17,"PREMIUM", "ESTÁNDAR")</f>
        <v>PREMIUM</v>
      </c>
      <c r="P7230" t="s">
        <v>137</v>
      </c>
      <c r="Q7230" t="s">
        <v>142</v>
      </c>
      <c r="R7230" t="s">
        <v>143</v>
      </c>
      <c r="S7230" t="s">
        <v>145</v>
      </c>
      <c r="T7230" s="2">
        <f>MASTER[[#This Row],[CANTIDAD]]*MASTER[[#This Row],[PRECIO DE VENTA]]</f>
        <v>3047</v>
      </c>
      <c r="U7230" s="2">
        <f>MASTER[[#This Row],[CANTIDAD]]*MASTER[[#This Row],[COSTO UNITARIO]]</f>
        <v>420</v>
      </c>
      <c r="V7230" s="2">
        <f>MASTER[[#This Row],[MONTO VENDIDO]]-MASTER[[#This Row],[COSTO DE VENTA]]</f>
        <v>2627</v>
      </c>
    </row>
    <row r="7231" spans="1:22" x14ac:dyDescent="0.3">
      <c r="A7231">
        <v>105091</v>
      </c>
      <c r="B7231">
        <v>1</v>
      </c>
      <c r="C7231" t="s">
        <v>118</v>
      </c>
      <c r="D7231" t="s">
        <v>119</v>
      </c>
      <c r="E7231" s="1">
        <v>44217</v>
      </c>
      <c r="F7231">
        <v>1</v>
      </c>
      <c r="G7231" t="s">
        <v>37</v>
      </c>
      <c r="H7231" t="s">
        <v>38</v>
      </c>
      <c r="I7231" s="4">
        <v>1487</v>
      </c>
      <c r="J7231" s="3">
        <v>1487</v>
      </c>
      <c r="K7231" s="4">
        <v>424</v>
      </c>
      <c r="L7231" t="s">
        <v>120</v>
      </c>
      <c r="M7231">
        <v>17</v>
      </c>
      <c r="N7231" t="str">
        <f>IF(MASTER[[#This Row],[IDLOCAL]]=17,"HYDE PARK", "HARLEM IRVING")</f>
        <v>HYDE PARK</v>
      </c>
      <c r="O7231" t="str">
        <f>IF(MASTER[[#This Row],[IDLOCAL]]=17,"PREMIUM", "ESTÁNDAR")</f>
        <v>PREMIUM</v>
      </c>
      <c r="P7231" t="s">
        <v>137</v>
      </c>
      <c r="Q7231" t="s">
        <v>142</v>
      </c>
      <c r="R7231" t="s">
        <v>143</v>
      </c>
      <c r="S7231" t="s">
        <v>145</v>
      </c>
      <c r="T7231" s="2">
        <f>MASTER[[#This Row],[CANTIDAD]]*MASTER[[#This Row],[PRECIO DE VENTA]]</f>
        <v>1487</v>
      </c>
      <c r="U7231" s="2">
        <f>MASTER[[#This Row],[CANTIDAD]]*MASTER[[#This Row],[COSTO UNITARIO]]</f>
        <v>424</v>
      </c>
      <c r="V7231" s="2">
        <f>MASTER[[#This Row],[MONTO VENDIDO]]-MASTER[[#This Row],[COSTO DE VENTA]]</f>
        <v>1063</v>
      </c>
    </row>
    <row r="7232" spans="1:22" x14ac:dyDescent="0.3">
      <c r="A7232">
        <v>105096</v>
      </c>
      <c r="B7232">
        <v>1</v>
      </c>
      <c r="C7232" t="s">
        <v>5</v>
      </c>
      <c r="D7232" t="s">
        <v>6</v>
      </c>
      <c r="E7232" s="1">
        <v>44218</v>
      </c>
      <c r="F7232">
        <v>1</v>
      </c>
      <c r="G7232" t="s">
        <v>24</v>
      </c>
      <c r="H7232" t="s">
        <v>25</v>
      </c>
      <c r="I7232" s="4">
        <v>1900</v>
      </c>
      <c r="J7232" s="3">
        <v>1900</v>
      </c>
      <c r="K7232" s="4">
        <v>393</v>
      </c>
      <c r="L7232" t="s">
        <v>9</v>
      </c>
      <c r="M7232">
        <v>19</v>
      </c>
      <c r="N7232" t="s">
        <v>150</v>
      </c>
      <c r="O7232" t="s">
        <v>81</v>
      </c>
      <c r="P7232" t="s">
        <v>136</v>
      </c>
      <c r="Q7232" t="s">
        <v>140</v>
      </c>
      <c r="R7232" t="s">
        <v>141</v>
      </c>
      <c r="S7232" t="s">
        <v>145</v>
      </c>
      <c r="T7232" s="2">
        <f>MASTER[[#This Row],[CANTIDAD]]*MASTER[[#This Row],[PRECIO DE VENTA]]</f>
        <v>1900</v>
      </c>
      <c r="U7232" s="2">
        <f>MASTER[[#This Row],[CANTIDAD]]*MASTER[[#This Row],[COSTO UNITARIO]]</f>
        <v>393</v>
      </c>
      <c r="V7232" s="2">
        <f>MASTER[[#This Row],[MONTO VENDIDO]]-MASTER[[#This Row],[COSTO DE VENTA]]</f>
        <v>1507</v>
      </c>
    </row>
    <row r="7233" spans="1:22" x14ac:dyDescent="0.3">
      <c r="A7233">
        <v>105129</v>
      </c>
      <c r="B7233">
        <v>1</v>
      </c>
      <c r="C7233" t="s">
        <v>105</v>
      </c>
      <c r="D7233" t="s">
        <v>106</v>
      </c>
      <c r="E7233" s="1">
        <v>44218</v>
      </c>
      <c r="F7233">
        <v>1</v>
      </c>
      <c r="G7233" t="s">
        <v>27</v>
      </c>
      <c r="H7233" t="s">
        <v>28</v>
      </c>
      <c r="I7233" s="4">
        <v>2298</v>
      </c>
      <c r="J7233" s="3">
        <v>2298</v>
      </c>
      <c r="K7233" s="4">
        <v>459</v>
      </c>
      <c r="L7233" t="s">
        <v>98</v>
      </c>
      <c r="M7233">
        <v>19</v>
      </c>
      <c r="N7233" t="s">
        <v>150</v>
      </c>
      <c r="O7233" t="s">
        <v>81</v>
      </c>
      <c r="P7233" t="s">
        <v>136</v>
      </c>
      <c r="Q7233" t="s">
        <v>140</v>
      </c>
      <c r="R7233" t="s">
        <v>141</v>
      </c>
      <c r="S7233" t="s">
        <v>145</v>
      </c>
      <c r="T7233" s="2">
        <f>MASTER[[#This Row],[CANTIDAD]]*MASTER[[#This Row],[PRECIO DE VENTA]]</f>
        <v>2298</v>
      </c>
      <c r="U7233" s="2">
        <f>MASTER[[#This Row],[CANTIDAD]]*MASTER[[#This Row],[COSTO UNITARIO]]</f>
        <v>459</v>
      </c>
      <c r="V7233" s="2">
        <f>MASTER[[#This Row],[MONTO VENDIDO]]-MASTER[[#This Row],[COSTO DE VENTA]]</f>
        <v>1839</v>
      </c>
    </row>
    <row r="7234" spans="1:22" x14ac:dyDescent="0.3">
      <c r="A7234">
        <v>105141</v>
      </c>
      <c r="B7234">
        <v>1</v>
      </c>
      <c r="C7234" t="s">
        <v>107</v>
      </c>
      <c r="D7234" t="s">
        <v>108</v>
      </c>
      <c r="E7234" s="1">
        <v>44220</v>
      </c>
      <c r="F7234">
        <v>1</v>
      </c>
      <c r="G7234" t="s">
        <v>47</v>
      </c>
      <c r="H7234" t="s">
        <v>48</v>
      </c>
      <c r="I7234" s="4">
        <v>1798</v>
      </c>
      <c r="J7234" s="3">
        <v>1798</v>
      </c>
      <c r="K7234" s="4">
        <v>380</v>
      </c>
      <c r="L7234" t="s">
        <v>98</v>
      </c>
      <c r="M7234">
        <v>19</v>
      </c>
      <c r="N7234" t="s">
        <v>150</v>
      </c>
      <c r="O7234" t="s">
        <v>81</v>
      </c>
      <c r="P7234" t="s">
        <v>136</v>
      </c>
      <c r="Q7234" t="s">
        <v>140</v>
      </c>
      <c r="R7234" t="s">
        <v>141</v>
      </c>
      <c r="S7234" t="s">
        <v>145</v>
      </c>
      <c r="T7234" s="2">
        <f>MASTER[[#This Row],[CANTIDAD]]*MASTER[[#This Row],[PRECIO DE VENTA]]</f>
        <v>1798</v>
      </c>
      <c r="U7234" s="2">
        <f>MASTER[[#This Row],[CANTIDAD]]*MASTER[[#This Row],[COSTO UNITARIO]]</f>
        <v>380</v>
      </c>
      <c r="V7234" s="2">
        <f>MASTER[[#This Row],[MONTO VENDIDO]]-MASTER[[#This Row],[COSTO DE VENTA]]</f>
        <v>1418</v>
      </c>
    </row>
    <row r="7235" spans="1:22" x14ac:dyDescent="0.3">
      <c r="A7235">
        <v>105142</v>
      </c>
      <c r="B7235">
        <v>1</v>
      </c>
      <c r="C7235" t="s">
        <v>116</v>
      </c>
      <c r="D7235" t="s">
        <v>117</v>
      </c>
      <c r="E7235" s="1">
        <v>44221</v>
      </c>
      <c r="F7235">
        <v>1</v>
      </c>
      <c r="G7235" t="s">
        <v>49</v>
      </c>
      <c r="H7235" t="s">
        <v>50</v>
      </c>
      <c r="I7235" s="4">
        <v>2520</v>
      </c>
      <c r="J7235" s="3">
        <v>2520</v>
      </c>
      <c r="K7235" s="4">
        <v>388</v>
      </c>
      <c r="L7235" t="s">
        <v>113</v>
      </c>
      <c r="M7235">
        <v>19</v>
      </c>
      <c r="N7235" t="s">
        <v>150</v>
      </c>
      <c r="O7235" t="s">
        <v>81</v>
      </c>
      <c r="P7235" t="s">
        <v>136</v>
      </c>
      <c r="Q7235" t="s">
        <v>140</v>
      </c>
      <c r="R7235" t="s">
        <v>141</v>
      </c>
      <c r="S7235" t="s">
        <v>145</v>
      </c>
      <c r="T7235" s="2">
        <f>MASTER[[#This Row],[CANTIDAD]]*MASTER[[#This Row],[PRECIO DE VENTA]]</f>
        <v>2520</v>
      </c>
      <c r="U7235" s="2">
        <f>MASTER[[#This Row],[CANTIDAD]]*MASTER[[#This Row],[COSTO UNITARIO]]</f>
        <v>388</v>
      </c>
      <c r="V7235" s="2">
        <f>MASTER[[#This Row],[MONTO VENDIDO]]-MASTER[[#This Row],[COSTO DE VENTA]]</f>
        <v>2132</v>
      </c>
    </row>
    <row r="7236" spans="1:22" x14ac:dyDescent="0.3">
      <c r="A7236">
        <v>105177</v>
      </c>
      <c r="B7236">
        <v>1</v>
      </c>
      <c r="C7236" t="s">
        <v>101</v>
      </c>
      <c r="D7236" t="s">
        <v>102</v>
      </c>
      <c r="E7236" s="1">
        <v>44222</v>
      </c>
      <c r="F7236">
        <v>1</v>
      </c>
      <c r="G7236" t="s">
        <v>53</v>
      </c>
      <c r="H7236" t="s">
        <v>54</v>
      </c>
      <c r="I7236" s="4">
        <v>1528</v>
      </c>
      <c r="J7236" s="3">
        <v>1528</v>
      </c>
      <c r="K7236" s="4">
        <v>442</v>
      </c>
      <c r="L7236" t="s">
        <v>98</v>
      </c>
      <c r="M7236">
        <v>18</v>
      </c>
      <c r="N7236" t="str">
        <f>IF(MASTER[[#This Row],[IDLOCAL]]=17,"HYDE PARK", "HARLEM IRVING")</f>
        <v>HARLEM IRVING</v>
      </c>
      <c r="O7236" t="str">
        <f>IF(MASTER[[#This Row],[IDLOCAL]]=17,"PREMIUM", "ESTÁNDAR")</f>
        <v>ESTÁNDAR</v>
      </c>
      <c r="P7236" t="s">
        <v>137</v>
      </c>
      <c r="Q7236" t="s">
        <v>142</v>
      </c>
      <c r="R7236" t="s">
        <v>143</v>
      </c>
      <c r="S7236" t="s">
        <v>145</v>
      </c>
      <c r="T7236" s="2">
        <f>MASTER[[#This Row],[CANTIDAD]]*MASTER[[#This Row],[PRECIO DE VENTA]]</f>
        <v>1528</v>
      </c>
      <c r="U7236" s="2">
        <f>MASTER[[#This Row],[CANTIDAD]]*MASTER[[#This Row],[COSTO UNITARIO]]</f>
        <v>442</v>
      </c>
      <c r="V7236" s="2">
        <f>MASTER[[#This Row],[MONTO VENDIDO]]-MASTER[[#This Row],[COSTO DE VENTA]]</f>
        <v>1086</v>
      </c>
    </row>
    <row r="7237" spans="1:22" x14ac:dyDescent="0.3">
      <c r="A7237">
        <v>105183</v>
      </c>
      <c r="B7237">
        <v>1</v>
      </c>
      <c r="C7237" t="s">
        <v>94</v>
      </c>
      <c r="D7237" t="s">
        <v>95</v>
      </c>
      <c r="E7237" s="1">
        <v>44223</v>
      </c>
      <c r="F7237">
        <v>1</v>
      </c>
      <c r="G7237" t="s">
        <v>20</v>
      </c>
      <c r="H7237" t="s">
        <v>21</v>
      </c>
      <c r="I7237" s="4">
        <v>1306</v>
      </c>
      <c r="J7237" s="3">
        <v>1306</v>
      </c>
      <c r="K7237" s="4">
        <v>392</v>
      </c>
      <c r="L7237" t="s">
        <v>9</v>
      </c>
      <c r="M7237">
        <v>17</v>
      </c>
      <c r="N7237" t="str">
        <f>IF(MASTER[[#This Row],[IDLOCAL]]=17,"HYDE PARK", "HARLEM IRVING")</f>
        <v>HYDE PARK</v>
      </c>
      <c r="O7237" t="str">
        <f>IF(MASTER[[#This Row],[IDLOCAL]]=17,"PREMIUM", "ESTÁNDAR")</f>
        <v>PREMIUM</v>
      </c>
      <c r="P7237" t="s">
        <v>137</v>
      </c>
      <c r="Q7237" t="s">
        <v>142</v>
      </c>
      <c r="R7237" t="s">
        <v>143</v>
      </c>
      <c r="S7237" t="s">
        <v>145</v>
      </c>
      <c r="T7237" s="2">
        <f>MASTER[[#This Row],[CANTIDAD]]*MASTER[[#This Row],[PRECIO DE VENTA]]</f>
        <v>1306</v>
      </c>
      <c r="U7237" s="2">
        <f>MASTER[[#This Row],[CANTIDAD]]*MASTER[[#This Row],[COSTO UNITARIO]]</f>
        <v>392</v>
      </c>
      <c r="V7237" s="2">
        <f>MASTER[[#This Row],[MONTO VENDIDO]]-MASTER[[#This Row],[COSTO DE VENTA]]</f>
        <v>914</v>
      </c>
    </row>
    <row r="7238" spans="1:22" x14ac:dyDescent="0.3">
      <c r="A7238">
        <v>105218</v>
      </c>
      <c r="B7238">
        <v>1</v>
      </c>
      <c r="C7238" t="s">
        <v>118</v>
      </c>
      <c r="D7238" t="s">
        <v>119</v>
      </c>
      <c r="E7238" s="1">
        <v>44223</v>
      </c>
      <c r="F7238">
        <v>1</v>
      </c>
      <c r="G7238" t="s">
        <v>22</v>
      </c>
      <c r="H7238" t="s">
        <v>23</v>
      </c>
      <c r="I7238" s="4">
        <v>1305</v>
      </c>
      <c r="J7238" s="3">
        <v>1305</v>
      </c>
      <c r="K7238" s="4">
        <v>424</v>
      </c>
      <c r="L7238" t="s">
        <v>120</v>
      </c>
      <c r="M7238">
        <v>19</v>
      </c>
      <c r="N7238" t="s">
        <v>150</v>
      </c>
      <c r="O7238" t="s">
        <v>81</v>
      </c>
      <c r="P7238" t="s">
        <v>136</v>
      </c>
      <c r="Q7238" t="s">
        <v>140</v>
      </c>
      <c r="R7238" t="s">
        <v>141</v>
      </c>
      <c r="S7238" t="s">
        <v>145</v>
      </c>
      <c r="T7238" s="2">
        <f>MASTER[[#This Row],[CANTIDAD]]*MASTER[[#This Row],[PRECIO DE VENTA]]</f>
        <v>1305</v>
      </c>
      <c r="U7238" s="2">
        <f>MASTER[[#This Row],[CANTIDAD]]*MASTER[[#This Row],[COSTO UNITARIO]]</f>
        <v>424</v>
      </c>
      <c r="V7238" s="2">
        <f>MASTER[[#This Row],[MONTO VENDIDO]]-MASTER[[#This Row],[COSTO DE VENTA]]</f>
        <v>881</v>
      </c>
    </row>
    <row r="7239" spans="1:22" x14ac:dyDescent="0.3">
      <c r="A7239">
        <v>105231</v>
      </c>
      <c r="B7239">
        <v>1</v>
      </c>
      <c r="C7239" t="s">
        <v>103</v>
      </c>
      <c r="D7239" t="s">
        <v>104</v>
      </c>
      <c r="E7239" s="1">
        <v>44224</v>
      </c>
      <c r="F7239">
        <v>1</v>
      </c>
      <c r="G7239" t="s">
        <v>7</v>
      </c>
      <c r="H7239" t="s">
        <v>8</v>
      </c>
      <c r="I7239" s="4">
        <v>2653</v>
      </c>
      <c r="J7239" s="3">
        <v>2653</v>
      </c>
      <c r="K7239" s="4">
        <v>421</v>
      </c>
      <c r="L7239" t="s">
        <v>98</v>
      </c>
      <c r="M7239">
        <v>19</v>
      </c>
      <c r="N7239" t="s">
        <v>150</v>
      </c>
      <c r="O7239" t="s">
        <v>81</v>
      </c>
      <c r="P7239" t="s">
        <v>136</v>
      </c>
      <c r="Q7239" t="s">
        <v>140</v>
      </c>
      <c r="R7239" t="s">
        <v>141</v>
      </c>
      <c r="S7239" t="s">
        <v>145</v>
      </c>
      <c r="T7239" s="2">
        <f>MASTER[[#This Row],[CANTIDAD]]*MASTER[[#This Row],[PRECIO DE VENTA]]</f>
        <v>2653</v>
      </c>
      <c r="U7239" s="2">
        <f>MASTER[[#This Row],[CANTIDAD]]*MASTER[[#This Row],[COSTO UNITARIO]]</f>
        <v>421</v>
      </c>
      <c r="V7239" s="2">
        <f>MASTER[[#This Row],[MONTO VENDIDO]]-MASTER[[#This Row],[COSTO DE VENTA]]</f>
        <v>2232</v>
      </c>
    </row>
    <row r="7240" spans="1:22" x14ac:dyDescent="0.3">
      <c r="A7240">
        <v>105234</v>
      </c>
      <c r="B7240">
        <v>1</v>
      </c>
      <c r="C7240" t="s">
        <v>105</v>
      </c>
      <c r="D7240" t="s">
        <v>106</v>
      </c>
      <c r="E7240" s="1">
        <v>44224</v>
      </c>
      <c r="F7240">
        <v>1</v>
      </c>
      <c r="G7240" t="s">
        <v>27</v>
      </c>
      <c r="H7240" t="s">
        <v>28</v>
      </c>
      <c r="I7240" s="4">
        <v>2947</v>
      </c>
      <c r="J7240" s="3">
        <v>2947</v>
      </c>
      <c r="K7240" s="4">
        <v>459</v>
      </c>
      <c r="L7240" t="s">
        <v>98</v>
      </c>
      <c r="M7240">
        <v>19</v>
      </c>
      <c r="N7240" t="s">
        <v>150</v>
      </c>
      <c r="O7240" t="s">
        <v>81</v>
      </c>
      <c r="P7240" t="s">
        <v>136</v>
      </c>
      <c r="Q7240" t="s">
        <v>140</v>
      </c>
      <c r="R7240" t="s">
        <v>141</v>
      </c>
      <c r="S7240" t="s">
        <v>145</v>
      </c>
      <c r="T7240" s="2">
        <f>MASTER[[#This Row],[CANTIDAD]]*MASTER[[#This Row],[PRECIO DE VENTA]]</f>
        <v>2947</v>
      </c>
      <c r="U7240" s="2">
        <f>MASTER[[#This Row],[CANTIDAD]]*MASTER[[#This Row],[COSTO UNITARIO]]</f>
        <v>459</v>
      </c>
      <c r="V7240" s="2">
        <f>MASTER[[#This Row],[MONTO VENDIDO]]-MASTER[[#This Row],[COSTO DE VENTA]]</f>
        <v>2488</v>
      </c>
    </row>
    <row r="7241" spans="1:22" x14ac:dyDescent="0.3">
      <c r="A7241">
        <v>105241</v>
      </c>
      <c r="B7241">
        <v>1</v>
      </c>
      <c r="C7241" t="s">
        <v>103</v>
      </c>
      <c r="D7241" t="s">
        <v>104</v>
      </c>
      <c r="E7241" s="1">
        <v>44225</v>
      </c>
      <c r="F7241">
        <v>1</v>
      </c>
      <c r="G7241" t="s">
        <v>51</v>
      </c>
      <c r="H7241" t="s">
        <v>52</v>
      </c>
      <c r="I7241" s="4">
        <v>2306</v>
      </c>
      <c r="J7241" s="3">
        <v>2306</v>
      </c>
      <c r="K7241" s="4">
        <v>421</v>
      </c>
      <c r="L7241" t="s">
        <v>98</v>
      </c>
      <c r="M7241">
        <v>19</v>
      </c>
      <c r="N7241" t="s">
        <v>150</v>
      </c>
      <c r="O7241" t="s">
        <v>81</v>
      </c>
      <c r="P7241" t="s">
        <v>136</v>
      </c>
      <c r="Q7241" t="s">
        <v>140</v>
      </c>
      <c r="R7241" t="s">
        <v>141</v>
      </c>
      <c r="S7241" t="s">
        <v>145</v>
      </c>
      <c r="T7241" s="2">
        <f>MASTER[[#This Row],[CANTIDAD]]*MASTER[[#This Row],[PRECIO DE VENTA]]</f>
        <v>2306</v>
      </c>
      <c r="U7241" s="2">
        <f>MASTER[[#This Row],[CANTIDAD]]*MASTER[[#This Row],[COSTO UNITARIO]]</f>
        <v>421</v>
      </c>
      <c r="V7241" s="2">
        <f>MASTER[[#This Row],[MONTO VENDIDO]]-MASTER[[#This Row],[COSTO DE VENTA]]</f>
        <v>1885</v>
      </c>
    </row>
    <row r="7242" spans="1:22" x14ac:dyDescent="0.3">
      <c r="A7242">
        <v>105243</v>
      </c>
      <c r="B7242">
        <v>1</v>
      </c>
      <c r="C7242" t="s">
        <v>109</v>
      </c>
      <c r="D7242" t="s">
        <v>110</v>
      </c>
      <c r="E7242" s="1">
        <v>44225</v>
      </c>
      <c r="F7242">
        <v>1</v>
      </c>
      <c r="G7242" t="s">
        <v>27</v>
      </c>
      <c r="H7242" t="s">
        <v>28</v>
      </c>
      <c r="I7242" s="4">
        <v>1635</v>
      </c>
      <c r="J7242" s="3">
        <v>1635</v>
      </c>
      <c r="K7242" s="4">
        <v>387</v>
      </c>
      <c r="L7242" t="s">
        <v>98</v>
      </c>
      <c r="M7242">
        <v>17</v>
      </c>
      <c r="N7242" t="str">
        <f>IF(MASTER[[#This Row],[IDLOCAL]]=17,"HYDE PARK", "HARLEM IRVING")</f>
        <v>HYDE PARK</v>
      </c>
      <c r="O7242" t="str">
        <f>IF(MASTER[[#This Row],[IDLOCAL]]=17,"PREMIUM", "ESTÁNDAR")</f>
        <v>PREMIUM</v>
      </c>
      <c r="P7242" t="s">
        <v>137</v>
      </c>
      <c r="Q7242" t="s">
        <v>142</v>
      </c>
      <c r="R7242" t="s">
        <v>143</v>
      </c>
      <c r="S7242" t="s">
        <v>145</v>
      </c>
      <c r="T7242" s="2">
        <f>MASTER[[#This Row],[CANTIDAD]]*MASTER[[#This Row],[PRECIO DE VENTA]]</f>
        <v>1635</v>
      </c>
      <c r="U7242" s="2">
        <f>MASTER[[#This Row],[CANTIDAD]]*MASTER[[#This Row],[COSTO UNITARIO]]</f>
        <v>387</v>
      </c>
      <c r="V7242" s="2">
        <f>MASTER[[#This Row],[MONTO VENDIDO]]-MASTER[[#This Row],[COSTO DE VENTA]]</f>
        <v>1248</v>
      </c>
    </row>
    <row r="7243" spans="1:22" x14ac:dyDescent="0.3">
      <c r="A7243">
        <v>105287</v>
      </c>
      <c r="B7243">
        <v>1</v>
      </c>
      <c r="C7243" t="s">
        <v>94</v>
      </c>
      <c r="D7243" t="s">
        <v>95</v>
      </c>
      <c r="E7243" s="1">
        <v>44226</v>
      </c>
      <c r="F7243">
        <v>1</v>
      </c>
      <c r="G7243" t="s">
        <v>63</v>
      </c>
      <c r="H7243" t="s">
        <v>64</v>
      </c>
      <c r="I7243" s="4">
        <v>1519</v>
      </c>
      <c r="J7243" s="3">
        <v>1519</v>
      </c>
      <c r="K7243" s="4">
        <v>392</v>
      </c>
      <c r="L7243" t="s">
        <v>9</v>
      </c>
      <c r="M7243">
        <v>19</v>
      </c>
      <c r="N7243" t="s">
        <v>150</v>
      </c>
      <c r="O7243" t="s">
        <v>81</v>
      </c>
      <c r="P7243" t="s">
        <v>136</v>
      </c>
      <c r="Q7243" t="s">
        <v>140</v>
      </c>
      <c r="R7243" t="s">
        <v>141</v>
      </c>
      <c r="S7243" t="s">
        <v>145</v>
      </c>
      <c r="T7243" s="2">
        <f>MASTER[[#This Row],[CANTIDAD]]*MASTER[[#This Row],[PRECIO DE VENTA]]</f>
        <v>1519</v>
      </c>
      <c r="U7243" s="2">
        <f>MASTER[[#This Row],[CANTIDAD]]*MASTER[[#This Row],[COSTO UNITARIO]]</f>
        <v>392</v>
      </c>
      <c r="V7243" s="2">
        <f>MASTER[[#This Row],[MONTO VENDIDO]]-MASTER[[#This Row],[COSTO DE VENTA]]</f>
        <v>1127</v>
      </c>
    </row>
    <row r="7244" spans="1:22" x14ac:dyDescent="0.3">
      <c r="A7244">
        <v>105289</v>
      </c>
      <c r="B7244">
        <v>1</v>
      </c>
      <c r="C7244" t="s">
        <v>111</v>
      </c>
      <c r="D7244" t="s">
        <v>112</v>
      </c>
      <c r="E7244" s="1">
        <v>44226</v>
      </c>
      <c r="F7244">
        <v>1</v>
      </c>
      <c r="G7244" t="s">
        <v>59</v>
      </c>
      <c r="H7244" t="s">
        <v>60</v>
      </c>
      <c r="I7244" s="4">
        <v>2608</v>
      </c>
      <c r="J7244" s="3">
        <v>2608</v>
      </c>
      <c r="K7244" s="4">
        <v>434</v>
      </c>
      <c r="L7244" t="s">
        <v>113</v>
      </c>
      <c r="M7244">
        <v>19</v>
      </c>
      <c r="N7244" t="s">
        <v>150</v>
      </c>
      <c r="O7244" t="s">
        <v>81</v>
      </c>
      <c r="P7244" t="s">
        <v>136</v>
      </c>
      <c r="Q7244" t="s">
        <v>140</v>
      </c>
      <c r="R7244" t="s">
        <v>141</v>
      </c>
      <c r="S7244" t="s">
        <v>145</v>
      </c>
      <c r="T7244" s="2">
        <f>MASTER[[#This Row],[CANTIDAD]]*MASTER[[#This Row],[PRECIO DE VENTA]]</f>
        <v>2608</v>
      </c>
      <c r="U7244" s="2">
        <f>MASTER[[#This Row],[CANTIDAD]]*MASTER[[#This Row],[COSTO UNITARIO]]</f>
        <v>434</v>
      </c>
      <c r="V7244" s="2">
        <f>MASTER[[#This Row],[MONTO VENDIDO]]-MASTER[[#This Row],[COSTO DE VENTA]]</f>
        <v>2174</v>
      </c>
    </row>
    <row r="7245" spans="1:22" x14ac:dyDescent="0.3">
      <c r="A7245">
        <v>105295</v>
      </c>
      <c r="B7245">
        <v>1</v>
      </c>
      <c r="C7245" t="s">
        <v>96</v>
      </c>
      <c r="D7245" t="s">
        <v>97</v>
      </c>
      <c r="E7245" s="1">
        <v>44227</v>
      </c>
      <c r="F7245">
        <v>1</v>
      </c>
      <c r="G7245" t="s">
        <v>47</v>
      </c>
      <c r="H7245" t="s">
        <v>48</v>
      </c>
      <c r="I7245" s="4">
        <v>1973</v>
      </c>
      <c r="J7245" s="3">
        <v>1973</v>
      </c>
      <c r="K7245" s="4">
        <v>397</v>
      </c>
      <c r="L7245" t="s">
        <v>98</v>
      </c>
      <c r="M7245">
        <v>18</v>
      </c>
      <c r="N7245" t="str">
        <f>IF(MASTER[[#This Row],[IDLOCAL]]=17,"HYDE PARK", "HARLEM IRVING")</f>
        <v>HARLEM IRVING</v>
      </c>
      <c r="O7245" t="str">
        <f>IF(MASTER[[#This Row],[IDLOCAL]]=17,"PREMIUM", "ESTÁNDAR")</f>
        <v>ESTÁNDAR</v>
      </c>
      <c r="P7245" t="s">
        <v>137</v>
      </c>
      <c r="Q7245" t="s">
        <v>142</v>
      </c>
      <c r="R7245" t="s">
        <v>143</v>
      </c>
      <c r="S7245" t="s">
        <v>145</v>
      </c>
      <c r="T7245" s="2">
        <f>MASTER[[#This Row],[CANTIDAD]]*MASTER[[#This Row],[PRECIO DE VENTA]]</f>
        <v>1973</v>
      </c>
      <c r="U7245" s="2">
        <f>MASTER[[#This Row],[CANTIDAD]]*MASTER[[#This Row],[COSTO UNITARIO]]</f>
        <v>397</v>
      </c>
      <c r="V7245" s="2">
        <f>MASTER[[#This Row],[MONTO VENDIDO]]-MASTER[[#This Row],[COSTO DE VENTA]]</f>
        <v>1576</v>
      </c>
    </row>
    <row r="7246" spans="1:22" x14ac:dyDescent="0.3">
      <c r="A7246">
        <v>105298</v>
      </c>
      <c r="B7246">
        <v>1</v>
      </c>
      <c r="C7246" t="s">
        <v>109</v>
      </c>
      <c r="D7246" t="s">
        <v>110</v>
      </c>
      <c r="E7246" s="1">
        <v>44227</v>
      </c>
      <c r="F7246">
        <v>1</v>
      </c>
      <c r="G7246" t="s">
        <v>27</v>
      </c>
      <c r="H7246" t="s">
        <v>28</v>
      </c>
      <c r="I7246" s="4">
        <v>1373</v>
      </c>
      <c r="J7246" s="3">
        <v>1373</v>
      </c>
      <c r="K7246" s="4">
        <v>387</v>
      </c>
      <c r="L7246" t="s">
        <v>98</v>
      </c>
      <c r="M7246">
        <v>17</v>
      </c>
      <c r="N7246" t="str">
        <f>IF(MASTER[[#This Row],[IDLOCAL]]=17,"HYDE PARK", "HARLEM IRVING")</f>
        <v>HYDE PARK</v>
      </c>
      <c r="O7246" t="str">
        <f>IF(MASTER[[#This Row],[IDLOCAL]]=17,"PREMIUM", "ESTÁNDAR")</f>
        <v>PREMIUM</v>
      </c>
      <c r="P7246" t="s">
        <v>137</v>
      </c>
      <c r="Q7246" t="s">
        <v>142</v>
      </c>
      <c r="R7246" t="s">
        <v>143</v>
      </c>
      <c r="S7246" t="s">
        <v>145</v>
      </c>
      <c r="T7246" s="2">
        <f>MASTER[[#This Row],[CANTIDAD]]*MASTER[[#This Row],[PRECIO DE VENTA]]</f>
        <v>1373</v>
      </c>
      <c r="U7246" s="2">
        <f>MASTER[[#This Row],[CANTIDAD]]*MASTER[[#This Row],[COSTO UNITARIO]]</f>
        <v>387</v>
      </c>
      <c r="V7246" s="2">
        <f>MASTER[[#This Row],[MONTO VENDIDO]]-MASTER[[#This Row],[COSTO DE VENTA]]</f>
        <v>986</v>
      </c>
    </row>
    <row r="7247" spans="1:22" x14ac:dyDescent="0.3">
      <c r="A7247">
        <v>105331</v>
      </c>
      <c r="B7247">
        <v>1</v>
      </c>
      <c r="C7247" t="s">
        <v>121</v>
      </c>
      <c r="D7247" t="s">
        <v>122</v>
      </c>
      <c r="E7247" s="1">
        <v>44227</v>
      </c>
      <c r="F7247">
        <v>1</v>
      </c>
      <c r="G7247" t="s">
        <v>47</v>
      </c>
      <c r="H7247" t="s">
        <v>48</v>
      </c>
      <c r="I7247" s="4">
        <v>1364</v>
      </c>
      <c r="J7247" s="3">
        <v>1364</v>
      </c>
      <c r="K7247" s="4">
        <v>460</v>
      </c>
      <c r="L7247" t="s">
        <v>120</v>
      </c>
      <c r="M7247">
        <v>19</v>
      </c>
      <c r="N7247" t="s">
        <v>150</v>
      </c>
      <c r="O7247" t="s">
        <v>81</v>
      </c>
      <c r="P7247" t="s">
        <v>136</v>
      </c>
      <c r="Q7247" t="s">
        <v>140</v>
      </c>
      <c r="R7247" t="s">
        <v>141</v>
      </c>
      <c r="S7247" t="s">
        <v>145</v>
      </c>
      <c r="T7247" s="2">
        <f>MASTER[[#This Row],[CANTIDAD]]*MASTER[[#This Row],[PRECIO DE VENTA]]</f>
        <v>1364</v>
      </c>
      <c r="U7247" s="2">
        <f>MASTER[[#This Row],[CANTIDAD]]*MASTER[[#This Row],[COSTO UNITARIO]]</f>
        <v>460</v>
      </c>
      <c r="V7247" s="2">
        <f>MASTER[[#This Row],[MONTO VENDIDO]]-MASTER[[#This Row],[COSTO DE VENTA]]</f>
        <v>904</v>
      </c>
    </row>
    <row r="7248" spans="1:22" x14ac:dyDescent="0.3">
      <c r="A7248">
        <v>105346</v>
      </c>
      <c r="B7248">
        <v>1</v>
      </c>
      <c r="C7248" t="s">
        <v>5</v>
      </c>
      <c r="D7248" t="s">
        <v>6</v>
      </c>
      <c r="E7248" s="1">
        <v>44230</v>
      </c>
      <c r="F7248">
        <v>1</v>
      </c>
      <c r="G7248" t="s">
        <v>37</v>
      </c>
      <c r="H7248" t="s">
        <v>38</v>
      </c>
      <c r="I7248" s="4">
        <v>2185</v>
      </c>
      <c r="J7248" s="3">
        <v>2185</v>
      </c>
      <c r="K7248" s="4">
        <v>393</v>
      </c>
      <c r="L7248" t="s">
        <v>9</v>
      </c>
      <c r="M7248">
        <v>18</v>
      </c>
      <c r="N7248" t="str">
        <f>IF(MASTER[[#This Row],[IDLOCAL]]=17,"HYDE PARK", "HARLEM IRVING")</f>
        <v>HARLEM IRVING</v>
      </c>
      <c r="O7248" t="str">
        <f>IF(MASTER[[#This Row],[IDLOCAL]]=17,"PREMIUM", "ESTÁNDAR")</f>
        <v>ESTÁNDAR</v>
      </c>
      <c r="P7248" t="s">
        <v>137</v>
      </c>
      <c r="Q7248" t="s">
        <v>142</v>
      </c>
      <c r="R7248" t="s">
        <v>143</v>
      </c>
      <c r="S7248" t="s">
        <v>145</v>
      </c>
      <c r="T7248" s="2">
        <f>MASTER[[#This Row],[CANTIDAD]]*MASTER[[#This Row],[PRECIO DE VENTA]]</f>
        <v>2185</v>
      </c>
      <c r="U7248" s="2">
        <f>MASTER[[#This Row],[CANTIDAD]]*MASTER[[#This Row],[COSTO UNITARIO]]</f>
        <v>393</v>
      </c>
      <c r="V7248" s="2">
        <f>MASTER[[#This Row],[MONTO VENDIDO]]-MASTER[[#This Row],[COSTO DE VENTA]]</f>
        <v>1792</v>
      </c>
    </row>
    <row r="7249" spans="1:22" x14ac:dyDescent="0.3">
      <c r="A7249">
        <v>105348</v>
      </c>
      <c r="B7249">
        <v>1</v>
      </c>
      <c r="C7249" t="s">
        <v>114</v>
      </c>
      <c r="D7249" t="s">
        <v>115</v>
      </c>
      <c r="E7249" s="1">
        <v>44231</v>
      </c>
      <c r="F7249">
        <v>1</v>
      </c>
      <c r="G7249" t="s">
        <v>20</v>
      </c>
      <c r="H7249" t="s">
        <v>21</v>
      </c>
      <c r="I7249" s="4">
        <v>2699</v>
      </c>
      <c r="J7249" s="3">
        <v>2699</v>
      </c>
      <c r="K7249" s="4">
        <v>394</v>
      </c>
      <c r="L7249" t="s">
        <v>113</v>
      </c>
      <c r="M7249">
        <v>19</v>
      </c>
      <c r="N7249" t="s">
        <v>150</v>
      </c>
      <c r="O7249" t="s">
        <v>81</v>
      </c>
      <c r="P7249" t="s">
        <v>136</v>
      </c>
      <c r="Q7249" t="s">
        <v>140</v>
      </c>
      <c r="R7249" t="s">
        <v>141</v>
      </c>
      <c r="S7249" t="s">
        <v>145</v>
      </c>
      <c r="T7249" s="2">
        <f>MASTER[[#This Row],[CANTIDAD]]*MASTER[[#This Row],[PRECIO DE VENTA]]</f>
        <v>2699</v>
      </c>
      <c r="U7249" s="2">
        <f>MASTER[[#This Row],[CANTIDAD]]*MASTER[[#This Row],[COSTO UNITARIO]]</f>
        <v>394</v>
      </c>
      <c r="V7249" s="2">
        <f>MASTER[[#This Row],[MONTO VENDIDO]]-MASTER[[#This Row],[COSTO DE VENTA]]</f>
        <v>2305</v>
      </c>
    </row>
    <row r="7250" spans="1:22" x14ac:dyDescent="0.3">
      <c r="A7250">
        <v>105365</v>
      </c>
      <c r="B7250">
        <v>1</v>
      </c>
      <c r="C7250" t="s">
        <v>92</v>
      </c>
      <c r="D7250" t="s">
        <v>93</v>
      </c>
      <c r="E7250" s="1">
        <v>44232</v>
      </c>
      <c r="F7250">
        <v>1</v>
      </c>
      <c r="G7250" t="s">
        <v>39</v>
      </c>
      <c r="H7250" t="s">
        <v>40</v>
      </c>
      <c r="I7250" s="4">
        <v>2437</v>
      </c>
      <c r="J7250" s="3">
        <v>2437</v>
      </c>
      <c r="K7250" s="4">
        <v>396</v>
      </c>
      <c r="L7250" t="s">
        <v>9</v>
      </c>
      <c r="M7250">
        <v>19</v>
      </c>
      <c r="N7250" t="s">
        <v>150</v>
      </c>
      <c r="O7250" t="s">
        <v>81</v>
      </c>
      <c r="P7250" t="s">
        <v>136</v>
      </c>
      <c r="Q7250" t="s">
        <v>140</v>
      </c>
      <c r="R7250" t="s">
        <v>141</v>
      </c>
      <c r="S7250" t="s">
        <v>145</v>
      </c>
      <c r="T7250" s="2">
        <f>MASTER[[#This Row],[CANTIDAD]]*MASTER[[#This Row],[PRECIO DE VENTA]]</f>
        <v>2437</v>
      </c>
      <c r="U7250" s="2">
        <f>MASTER[[#This Row],[CANTIDAD]]*MASTER[[#This Row],[COSTO UNITARIO]]</f>
        <v>396</v>
      </c>
      <c r="V7250" s="2">
        <f>MASTER[[#This Row],[MONTO VENDIDO]]-MASTER[[#This Row],[COSTO DE VENTA]]</f>
        <v>2041</v>
      </c>
    </row>
    <row r="7251" spans="1:22" x14ac:dyDescent="0.3">
      <c r="A7251">
        <v>105385</v>
      </c>
      <c r="B7251">
        <v>1</v>
      </c>
      <c r="C7251" t="s">
        <v>105</v>
      </c>
      <c r="D7251" t="s">
        <v>106</v>
      </c>
      <c r="E7251" s="1">
        <v>44232</v>
      </c>
      <c r="F7251">
        <v>1</v>
      </c>
      <c r="G7251" t="s">
        <v>39</v>
      </c>
      <c r="H7251" t="s">
        <v>40</v>
      </c>
      <c r="I7251" s="4">
        <v>2704</v>
      </c>
      <c r="J7251" s="3">
        <v>2704</v>
      </c>
      <c r="K7251" s="4">
        <v>459</v>
      </c>
      <c r="L7251" t="s">
        <v>98</v>
      </c>
      <c r="M7251">
        <v>17</v>
      </c>
      <c r="N7251" t="str">
        <f>IF(MASTER[[#This Row],[IDLOCAL]]=17,"HYDE PARK", "HARLEM IRVING")</f>
        <v>HYDE PARK</v>
      </c>
      <c r="O7251" t="str">
        <f>IF(MASTER[[#This Row],[IDLOCAL]]=17,"PREMIUM", "ESTÁNDAR")</f>
        <v>PREMIUM</v>
      </c>
      <c r="P7251" t="s">
        <v>137</v>
      </c>
      <c r="Q7251" t="s">
        <v>142</v>
      </c>
      <c r="R7251" t="s">
        <v>143</v>
      </c>
      <c r="S7251" t="s">
        <v>145</v>
      </c>
      <c r="T7251" s="2">
        <f>MASTER[[#This Row],[CANTIDAD]]*MASTER[[#This Row],[PRECIO DE VENTA]]</f>
        <v>2704</v>
      </c>
      <c r="U7251" s="2">
        <f>MASTER[[#This Row],[CANTIDAD]]*MASTER[[#This Row],[COSTO UNITARIO]]</f>
        <v>459</v>
      </c>
      <c r="V7251" s="2">
        <f>MASTER[[#This Row],[MONTO VENDIDO]]-MASTER[[#This Row],[COSTO DE VENTA]]</f>
        <v>2245</v>
      </c>
    </row>
    <row r="7252" spans="1:22" x14ac:dyDescent="0.3">
      <c r="A7252">
        <v>105388</v>
      </c>
      <c r="B7252">
        <v>1</v>
      </c>
      <c r="C7252" t="s">
        <v>107</v>
      </c>
      <c r="D7252" t="s">
        <v>108</v>
      </c>
      <c r="E7252" s="1">
        <v>44232</v>
      </c>
      <c r="F7252">
        <v>1</v>
      </c>
      <c r="G7252" t="s">
        <v>22</v>
      </c>
      <c r="H7252" t="s">
        <v>23</v>
      </c>
      <c r="I7252" s="4">
        <v>1932</v>
      </c>
      <c r="J7252" s="3">
        <v>1932</v>
      </c>
      <c r="K7252" s="4">
        <v>380</v>
      </c>
      <c r="L7252" t="s">
        <v>98</v>
      </c>
      <c r="M7252">
        <v>19</v>
      </c>
      <c r="N7252" t="s">
        <v>150</v>
      </c>
      <c r="O7252" t="s">
        <v>81</v>
      </c>
      <c r="P7252" t="s">
        <v>136</v>
      </c>
      <c r="Q7252" t="s">
        <v>140</v>
      </c>
      <c r="R7252" t="s">
        <v>141</v>
      </c>
      <c r="S7252" t="s">
        <v>145</v>
      </c>
      <c r="T7252" s="2">
        <f>MASTER[[#This Row],[CANTIDAD]]*MASTER[[#This Row],[PRECIO DE VENTA]]</f>
        <v>1932</v>
      </c>
      <c r="U7252" s="2">
        <f>MASTER[[#This Row],[CANTIDAD]]*MASTER[[#This Row],[COSTO UNITARIO]]</f>
        <v>380</v>
      </c>
      <c r="V7252" s="2">
        <f>MASTER[[#This Row],[MONTO VENDIDO]]-MASTER[[#This Row],[COSTO DE VENTA]]</f>
        <v>1552</v>
      </c>
    </row>
    <row r="7253" spans="1:22" x14ac:dyDescent="0.3">
      <c r="A7253">
        <v>105396</v>
      </c>
      <c r="B7253">
        <v>1</v>
      </c>
      <c r="C7253" t="s">
        <v>101</v>
      </c>
      <c r="D7253" t="s">
        <v>102</v>
      </c>
      <c r="E7253" s="1">
        <v>44233</v>
      </c>
      <c r="F7253">
        <v>1</v>
      </c>
      <c r="G7253" t="s">
        <v>53</v>
      </c>
      <c r="H7253" t="s">
        <v>54</v>
      </c>
      <c r="I7253" s="4">
        <v>1757</v>
      </c>
      <c r="J7253" s="3">
        <v>1757</v>
      </c>
      <c r="K7253" s="4">
        <v>442</v>
      </c>
      <c r="L7253" t="s">
        <v>98</v>
      </c>
      <c r="M7253">
        <v>19</v>
      </c>
      <c r="N7253" t="s">
        <v>150</v>
      </c>
      <c r="O7253" t="s">
        <v>81</v>
      </c>
      <c r="P7253" t="s">
        <v>136</v>
      </c>
      <c r="Q7253" t="s">
        <v>140</v>
      </c>
      <c r="R7253" t="s">
        <v>141</v>
      </c>
      <c r="S7253" t="s">
        <v>145</v>
      </c>
      <c r="T7253" s="2">
        <f>MASTER[[#This Row],[CANTIDAD]]*MASTER[[#This Row],[PRECIO DE VENTA]]</f>
        <v>1757</v>
      </c>
      <c r="U7253" s="2">
        <f>MASTER[[#This Row],[CANTIDAD]]*MASTER[[#This Row],[COSTO UNITARIO]]</f>
        <v>442</v>
      </c>
      <c r="V7253" s="2">
        <f>MASTER[[#This Row],[MONTO VENDIDO]]-MASTER[[#This Row],[COSTO DE VENTA]]</f>
        <v>1315</v>
      </c>
    </row>
    <row r="7254" spans="1:22" x14ac:dyDescent="0.3">
      <c r="A7254">
        <v>105404</v>
      </c>
      <c r="B7254">
        <v>1</v>
      </c>
      <c r="C7254" t="s">
        <v>116</v>
      </c>
      <c r="D7254" t="s">
        <v>117</v>
      </c>
      <c r="E7254" s="1">
        <v>44233</v>
      </c>
      <c r="F7254">
        <v>1</v>
      </c>
      <c r="G7254" t="s">
        <v>65</v>
      </c>
      <c r="H7254" t="s">
        <v>66</v>
      </c>
      <c r="I7254" s="4">
        <v>2520</v>
      </c>
      <c r="J7254" s="3">
        <v>2520</v>
      </c>
      <c r="K7254" s="4">
        <v>388</v>
      </c>
      <c r="L7254" t="s">
        <v>113</v>
      </c>
      <c r="M7254">
        <v>19</v>
      </c>
      <c r="N7254" t="s">
        <v>150</v>
      </c>
      <c r="O7254" t="s">
        <v>81</v>
      </c>
      <c r="P7254" t="s">
        <v>136</v>
      </c>
      <c r="Q7254" t="s">
        <v>140</v>
      </c>
      <c r="R7254" t="s">
        <v>141</v>
      </c>
      <c r="S7254" t="s">
        <v>145</v>
      </c>
      <c r="T7254" s="2">
        <f>MASTER[[#This Row],[CANTIDAD]]*MASTER[[#This Row],[PRECIO DE VENTA]]</f>
        <v>2520</v>
      </c>
      <c r="U7254" s="2">
        <f>MASTER[[#This Row],[CANTIDAD]]*MASTER[[#This Row],[COSTO UNITARIO]]</f>
        <v>388</v>
      </c>
      <c r="V7254" s="2">
        <f>MASTER[[#This Row],[MONTO VENDIDO]]-MASTER[[#This Row],[COSTO DE VENTA]]</f>
        <v>2132</v>
      </c>
    </row>
    <row r="7255" spans="1:22" x14ac:dyDescent="0.3">
      <c r="A7255">
        <v>105411</v>
      </c>
      <c r="B7255">
        <v>1</v>
      </c>
      <c r="C7255" t="s">
        <v>90</v>
      </c>
      <c r="D7255" t="s">
        <v>91</v>
      </c>
      <c r="E7255" s="1">
        <v>44234</v>
      </c>
      <c r="F7255">
        <v>1</v>
      </c>
      <c r="G7255" t="s">
        <v>63</v>
      </c>
      <c r="H7255" t="s">
        <v>64</v>
      </c>
      <c r="I7255" s="4">
        <v>2673</v>
      </c>
      <c r="J7255" s="3">
        <v>2673</v>
      </c>
      <c r="K7255" s="4">
        <v>420</v>
      </c>
      <c r="L7255" t="s">
        <v>9</v>
      </c>
      <c r="M7255">
        <v>19</v>
      </c>
      <c r="N7255" t="s">
        <v>150</v>
      </c>
      <c r="O7255" t="s">
        <v>81</v>
      </c>
      <c r="P7255" t="s">
        <v>136</v>
      </c>
      <c r="Q7255" t="s">
        <v>140</v>
      </c>
      <c r="R7255" t="s">
        <v>141</v>
      </c>
      <c r="S7255" t="s">
        <v>145</v>
      </c>
      <c r="T7255" s="2">
        <f>MASTER[[#This Row],[CANTIDAD]]*MASTER[[#This Row],[PRECIO DE VENTA]]</f>
        <v>2673</v>
      </c>
      <c r="U7255" s="2">
        <f>MASTER[[#This Row],[CANTIDAD]]*MASTER[[#This Row],[COSTO UNITARIO]]</f>
        <v>420</v>
      </c>
      <c r="V7255" s="2">
        <f>MASTER[[#This Row],[MONTO VENDIDO]]-MASTER[[#This Row],[COSTO DE VENTA]]</f>
        <v>2253</v>
      </c>
    </row>
    <row r="7256" spans="1:22" x14ac:dyDescent="0.3">
      <c r="A7256">
        <v>105425</v>
      </c>
      <c r="B7256">
        <v>1</v>
      </c>
      <c r="C7256" t="s">
        <v>109</v>
      </c>
      <c r="D7256" t="s">
        <v>110</v>
      </c>
      <c r="E7256" s="1">
        <v>44234</v>
      </c>
      <c r="F7256">
        <v>1</v>
      </c>
      <c r="G7256" t="s">
        <v>65</v>
      </c>
      <c r="H7256" t="s">
        <v>66</v>
      </c>
      <c r="I7256" s="4">
        <v>1542</v>
      </c>
      <c r="J7256" s="3">
        <v>1542</v>
      </c>
      <c r="K7256" s="4">
        <v>387</v>
      </c>
      <c r="L7256" t="s">
        <v>98</v>
      </c>
      <c r="M7256">
        <v>17</v>
      </c>
      <c r="N7256" t="str">
        <f>IF(MASTER[[#This Row],[IDLOCAL]]=17,"HYDE PARK", "HARLEM IRVING")</f>
        <v>HYDE PARK</v>
      </c>
      <c r="O7256" t="str">
        <f>IF(MASTER[[#This Row],[IDLOCAL]]=17,"PREMIUM", "ESTÁNDAR")</f>
        <v>PREMIUM</v>
      </c>
      <c r="P7256" t="s">
        <v>137</v>
      </c>
      <c r="Q7256" t="s">
        <v>142</v>
      </c>
      <c r="R7256" t="s">
        <v>143</v>
      </c>
      <c r="S7256" t="s">
        <v>145</v>
      </c>
      <c r="T7256" s="2">
        <f>MASTER[[#This Row],[CANTIDAD]]*MASTER[[#This Row],[PRECIO DE VENTA]]</f>
        <v>1542</v>
      </c>
      <c r="U7256" s="2">
        <f>MASTER[[#This Row],[CANTIDAD]]*MASTER[[#This Row],[COSTO UNITARIO]]</f>
        <v>387</v>
      </c>
      <c r="V7256" s="2">
        <f>MASTER[[#This Row],[MONTO VENDIDO]]-MASTER[[#This Row],[COSTO DE VENTA]]</f>
        <v>1155</v>
      </c>
    </row>
    <row r="7257" spans="1:22" x14ac:dyDescent="0.3">
      <c r="A7257">
        <v>105447</v>
      </c>
      <c r="B7257">
        <v>1</v>
      </c>
      <c r="C7257" t="s">
        <v>111</v>
      </c>
      <c r="D7257" t="s">
        <v>112</v>
      </c>
      <c r="E7257" s="1">
        <v>44234</v>
      </c>
      <c r="F7257">
        <v>1</v>
      </c>
      <c r="G7257" t="s">
        <v>39</v>
      </c>
      <c r="H7257" t="s">
        <v>40</v>
      </c>
      <c r="I7257" s="4">
        <v>2350</v>
      </c>
      <c r="J7257" s="3">
        <v>2350</v>
      </c>
      <c r="K7257" s="4">
        <v>434</v>
      </c>
      <c r="L7257" t="s">
        <v>113</v>
      </c>
      <c r="M7257">
        <v>19</v>
      </c>
      <c r="N7257" t="s">
        <v>150</v>
      </c>
      <c r="O7257" t="s">
        <v>81</v>
      </c>
      <c r="P7257" t="s">
        <v>136</v>
      </c>
      <c r="Q7257" t="s">
        <v>140</v>
      </c>
      <c r="R7257" t="s">
        <v>141</v>
      </c>
      <c r="S7257" t="s">
        <v>145</v>
      </c>
      <c r="T7257" s="2">
        <f>MASTER[[#This Row],[CANTIDAD]]*MASTER[[#This Row],[PRECIO DE VENTA]]</f>
        <v>2350</v>
      </c>
      <c r="U7257" s="2">
        <f>MASTER[[#This Row],[CANTIDAD]]*MASTER[[#This Row],[COSTO UNITARIO]]</f>
        <v>434</v>
      </c>
      <c r="V7257" s="2">
        <f>MASTER[[#This Row],[MONTO VENDIDO]]-MASTER[[#This Row],[COSTO DE VENTA]]</f>
        <v>1916</v>
      </c>
    </row>
    <row r="7258" spans="1:22" x14ac:dyDescent="0.3">
      <c r="A7258">
        <v>105454</v>
      </c>
      <c r="B7258">
        <v>1</v>
      </c>
      <c r="C7258" t="s">
        <v>107</v>
      </c>
      <c r="D7258" t="s">
        <v>108</v>
      </c>
      <c r="E7258" s="1">
        <v>44236</v>
      </c>
      <c r="F7258">
        <v>1</v>
      </c>
      <c r="G7258" t="s">
        <v>61</v>
      </c>
      <c r="H7258" t="s">
        <v>62</v>
      </c>
      <c r="I7258" s="4">
        <v>2088</v>
      </c>
      <c r="J7258" s="3">
        <v>2088</v>
      </c>
      <c r="K7258" s="4">
        <v>380</v>
      </c>
      <c r="L7258" t="s">
        <v>98</v>
      </c>
      <c r="M7258">
        <v>18</v>
      </c>
      <c r="N7258" t="str">
        <f>IF(MASTER[[#This Row],[IDLOCAL]]=17,"HYDE PARK", "HARLEM IRVING")</f>
        <v>HARLEM IRVING</v>
      </c>
      <c r="O7258" t="str">
        <f>IF(MASTER[[#This Row],[IDLOCAL]]=17,"PREMIUM", "ESTÁNDAR")</f>
        <v>ESTÁNDAR</v>
      </c>
      <c r="P7258" t="s">
        <v>137</v>
      </c>
      <c r="Q7258" t="s">
        <v>142</v>
      </c>
      <c r="R7258" t="s">
        <v>143</v>
      </c>
      <c r="S7258" t="s">
        <v>145</v>
      </c>
      <c r="T7258" s="2">
        <f>MASTER[[#This Row],[CANTIDAD]]*MASTER[[#This Row],[PRECIO DE VENTA]]</f>
        <v>2088</v>
      </c>
      <c r="U7258" s="2">
        <f>MASTER[[#This Row],[CANTIDAD]]*MASTER[[#This Row],[COSTO UNITARIO]]</f>
        <v>380</v>
      </c>
      <c r="V7258" s="2">
        <f>MASTER[[#This Row],[MONTO VENDIDO]]-MASTER[[#This Row],[COSTO DE VENTA]]</f>
        <v>1708</v>
      </c>
    </row>
    <row r="7259" spans="1:22" x14ac:dyDescent="0.3">
      <c r="A7259">
        <v>105457</v>
      </c>
      <c r="B7259">
        <v>1</v>
      </c>
      <c r="C7259" t="s">
        <v>109</v>
      </c>
      <c r="D7259" t="s">
        <v>110</v>
      </c>
      <c r="E7259" s="1">
        <v>44236</v>
      </c>
      <c r="F7259">
        <v>1</v>
      </c>
      <c r="G7259" t="s">
        <v>22</v>
      </c>
      <c r="H7259" t="s">
        <v>23</v>
      </c>
      <c r="I7259" s="4">
        <v>1635</v>
      </c>
      <c r="J7259" s="3">
        <v>1635</v>
      </c>
      <c r="K7259" s="4">
        <v>387</v>
      </c>
      <c r="L7259" t="s">
        <v>98</v>
      </c>
      <c r="M7259">
        <v>17</v>
      </c>
      <c r="N7259" t="str">
        <f>IF(MASTER[[#This Row],[IDLOCAL]]=17,"HYDE PARK", "HARLEM IRVING")</f>
        <v>HYDE PARK</v>
      </c>
      <c r="O7259" t="str">
        <f>IF(MASTER[[#This Row],[IDLOCAL]]=17,"PREMIUM", "ESTÁNDAR")</f>
        <v>PREMIUM</v>
      </c>
      <c r="P7259" t="s">
        <v>137</v>
      </c>
      <c r="Q7259" t="s">
        <v>142</v>
      </c>
      <c r="R7259" t="s">
        <v>143</v>
      </c>
      <c r="S7259" t="s">
        <v>145</v>
      </c>
      <c r="T7259" s="2">
        <f>MASTER[[#This Row],[CANTIDAD]]*MASTER[[#This Row],[PRECIO DE VENTA]]</f>
        <v>1635</v>
      </c>
      <c r="U7259" s="2">
        <f>MASTER[[#This Row],[CANTIDAD]]*MASTER[[#This Row],[COSTO UNITARIO]]</f>
        <v>387</v>
      </c>
      <c r="V7259" s="2">
        <f>MASTER[[#This Row],[MONTO VENDIDO]]-MASTER[[#This Row],[COSTO DE VENTA]]</f>
        <v>1248</v>
      </c>
    </row>
    <row r="7260" spans="1:22" x14ac:dyDescent="0.3">
      <c r="A7260">
        <v>105464</v>
      </c>
      <c r="B7260">
        <v>1</v>
      </c>
      <c r="C7260" t="s">
        <v>96</v>
      </c>
      <c r="D7260" t="s">
        <v>97</v>
      </c>
      <c r="E7260" s="1">
        <v>44237</v>
      </c>
      <c r="F7260">
        <v>1</v>
      </c>
      <c r="G7260" t="s">
        <v>27</v>
      </c>
      <c r="H7260" t="s">
        <v>28</v>
      </c>
      <c r="I7260" s="4">
        <v>1844</v>
      </c>
      <c r="J7260" s="3">
        <v>1844</v>
      </c>
      <c r="K7260" s="4">
        <v>397</v>
      </c>
      <c r="L7260" t="s">
        <v>98</v>
      </c>
      <c r="M7260">
        <v>19</v>
      </c>
      <c r="N7260" t="s">
        <v>150</v>
      </c>
      <c r="O7260" t="s">
        <v>81</v>
      </c>
      <c r="P7260" t="s">
        <v>136</v>
      </c>
      <c r="Q7260" t="s">
        <v>140</v>
      </c>
      <c r="R7260" t="s">
        <v>141</v>
      </c>
      <c r="S7260" t="s">
        <v>145</v>
      </c>
      <c r="T7260" s="2">
        <f>MASTER[[#This Row],[CANTIDAD]]*MASTER[[#This Row],[PRECIO DE VENTA]]</f>
        <v>1844</v>
      </c>
      <c r="U7260" s="2">
        <f>MASTER[[#This Row],[CANTIDAD]]*MASTER[[#This Row],[COSTO UNITARIO]]</f>
        <v>397</v>
      </c>
      <c r="V7260" s="2">
        <f>MASTER[[#This Row],[MONTO VENDIDO]]-MASTER[[#This Row],[COSTO DE VENTA]]</f>
        <v>1447</v>
      </c>
    </row>
    <row r="7261" spans="1:22" x14ac:dyDescent="0.3">
      <c r="A7261">
        <v>105475</v>
      </c>
      <c r="B7261">
        <v>1</v>
      </c>
      <c r="C7261" t="s">
        <v>103</v>
      </c>
      <c r="D7261" t="s">
        <v>104</v>
      </c>
      <c r="E7261" s="1">
        <v>44237</v>
      </c>
      <c r="F7261">
        <v>1</v>
      </c>
      <c r="G7261" t="s">
        <v>59</v>
      </c>
      <c r="H7261" t="s">
        <v>60</v>
      </c>
      <c r="I7261" s="4">
        <v>2306</v>
      </c>
      <c r="J7261" s="3">
        <v>2306</v>
      </c>
      <c r="K7261" s="4">
        <v>421</v>
      </c>
      <c r="L7261" t="s">
        <v>98</v>
      </c>
      <c r="M7261">
        <v>19</v>
      </c>
      <c r="N7261" t="s">
        <v>150</v>
      </c>
      <c r="O7261" t="s">
        <v>81</v>
      </c>
      <c r="P7261" t="s">
        <v>136</v>
      </c>
      <c r="Q7261" t="s">
        <v>140</v>
      </c>
      <c r="R7261" t="s">
        <v>141</v>
      </c>
      <c r="S7261" t="s">
        <v>145</v>
      </c>
      <c r="T7261" s="2">
        <f>MASTER[[#This Row],[CANTIDAD]]*MASTER[[#This Row],[PRECIO DE VENTA]]</f>
        <v>2306</v>
      </c>
      <c r="U7261" s="2">
        <f>MASTER[[#This Row],[CANTIDAD]]*MASTER[[#This Row],[COSTO UNITARIO]]</f>
        <v>421</v>
      </c>
      <c r="V7261" s="2">
        <f>MASTER[[#This Row],[MONTO VENDIDO]]-MASTER[[#This Row],[COSTO DE VENTA]]</f>
        <v>1885</v>
      </c>
    </row>
    <row r="7262" spans="1:22" x14ac:dyDescent="0.3">
      <c r="A7262">
        <v>105480</v>
      </c>
      <c r="B7262">
        <v>1</v>
      </c>
      <c r="C7262" t="s">
        <v>90</v>
      </c>
      <c r="D7262" t="s">
        <v>91</v>
      </c>
      <c r="E7262" s="1">
        <v>44240</v>
      </c>
      <c r="F7262">
        <v>1</v>
      </c>
      <c r="G7262" t="s">
        <v>55</v>
      </c>
      <c r="H7262" t="s">
        <v>56</v>
      </c>
      <c r="I7262" s="4">
        <v>2407</v>
      </c>
      <c r="J7262" s="3">
        <v>2407</v>
      </c>
      <c r="K7262" s="4">
        <v>420</v>
      </c>
      <c r="L7262" t="s">
        <v>9</v>
      </c>
      <c r="M7262">
        <v>19</v>
      </c>
      <c r="N7262" t="s">
        <v>150</v>
      </c>
      <c r="O7262" t="s">
        <v>81</v>
      </c>
      <c r="P7262" t="s">
        <v>136</v>
      </c>
      <c r="Q7262" t="s">
        <v>140</v>
      </c>
      <c r="R7262" t="s">
        <v>141</v>
      </c>
      <c r="S7262" t="s">
        <v>145</v>
      </c>
      <c r="T7262" s="2">
        <f>MASTER[[#This Row],[CANTIDAD]]*MASTER[[#This Row],[PRECIO DE VENTA]]</f>
        <v>2407</v>
      </c>
      <c r="U7262" s="2">
        <f>MASTER[[#This Row],[CANTIDAD]]*MASTER[[#This Row],[COSTO UNITARIO]]</f>
        <v>420</v>
      </c>
      <c r="V7262" s="2">
        <f>MASTER[[#This Row],[MONTO VENDIDO]]-MASTER[[#This Row],[COSTO DE VENTA]]</f>
        <v>1987</v>
      </c>
    </row>
    <row r="7263" spans="1:22" x14ac:dyDescent="0.3">
      <c r="A7263">
        <v>105484</v>
      </c>
      <c r="B7263">
        <v>1</v>
      </c>
      <c r="C7263" t="s">
        <v>94</v>
      </c>
      <c r="D7263" t="s">
        <v>95</v>
      </c>
      <c r="E7263" s="1">
        <v>44240</v>
      </c>
      <c r="F7263">
        <v>1</v>
      </c>
      <c r="G7263" t="s">
        <v>24</v>
      </c>
      <c r="H7263" t="s">
        <v>25</v>
      </c>
      <c r="I7263" s="4">
        <v>1671</v>
      </c>
      <c r="J7263" s="3">
        <v>1671</v>
      </c>
      <c r="K7263" s="4">
        <v>392</v>
      </c>
      <c r="L7263" t="s">
        <v>9</v>
      </c>
      <c r="M7263">
        <v>19</v>
      </c>
      <c r="N7263" t="s">
        <v>150</v>
      </c>
      <c r="O7263" t="s">
        <v>81</v>
      </c>
      <c r="P7263" t="s">
        <v>136</v>
      </c>
      <c r="Q7263" t="s">
        <v>140</v>
      </c>
      <c r="R7263" t="s">
        <v>141</v>
      </c>
      <c r="S7263" t="s">
        <v>145</v>
      </c>
      <c r="T7263" s="2">
        <f>MASTER[[#This Row],[CANTIDAD]]*MASTER[[#This Row],[PRECIO DE VENTA]]</f>
        <v>1671</v>
      </c>
      <c r="U7263" s="2">
        <f>MASTER[[#This Row],[CANTIDAD]]*MASTER[[#This Row],[COSTO UNITARIO]]</f>
        <v>392</v>
      </c>
      <c r="V7263" s="2">
        <f>MASTER[[#This Row],[MONTO VENDIDO]]-MASTER[[#This Row],[COSTO DE VENTA]]</f>
        <v>1279</v>
      </c>
    </row>
    <row r="7264" spans="1:22" x14ac:dyDescent="0.3">
      <c r="A7264">
        <v>105488</v>
      </c>
      <c r="B7264">
        <v>1</v>
      </c>
      <c r="C7264" t="s">
        <v>107</v>
      </c>
      <c r="D7264" t="s">
        <v>108</v>
      </c>
      <c r="E7264" s="1">
        <v>44241</v>
      </c>
      <c r="F7264">
        <v>1</v>
      </c>
      <c r="G7264" t="s">
        <v>65</v>
      </c>
      <c r="H7264" t="s">
        <v>66</v>
      </c>
      <c r="I7264" s="4">
        <v>1798</v>
      </c>
      <c r="J7264" s="3">
        <v>1798</v>
      </c>
      <c r="K7264" s="4">
        <v>380</v>
      </c>
      <c r="L7264" t="s">
        <v>98</v>
      </c>
      <c r="M7264">
        <v>19</v>
      </c>
      <c r="N7264" t="s">
        <v>150</v>
      </c>
      <c r="O7264" t="s">
        <v>81</v>
      </c>
      <c r="P7264" t="s">
        <v>136</v>
      </c>
      <c r="Q7264" t="s">
        <v>140</v>
      </c>
      <c r="R7264" t="s">
        <v>141</v>
      </c>
      <c r="S7264" t="s">
        <v>145</v>
      </c>
      <c r="T7264" s="2">
        <f>MASTER[[#This Row],[CANTIDAD]]*MASTER[[#This Row],[PRECIO DE VENTA]]</f>
        <v>1798</v>
      </c>
      <c r="U7264" s="2">
        <f>MASTER[[#This Row],[CANTIDAD]]*MASTER[[#This Row],[COSTO UNITARIO]]</f>
        <v>380</v>
      </c>
      <c r="V7264" s="2">
        <f>MASTER[[#This Row],[MONTO VENDIDO]]-MASTER[[#This Row],[COSTO DE VENTA]]</f>
        <v>1418</v>
      </c>
    </row>
    <row r="7265" spans="1:22" x14ac:dyDescent="0.3">
      <c r="A7265">
        <v>105511</v>
      </c>
      <c r="B7265">
        <v>1</v>
      </c>
      <c r="C7265" t="s">
        <v>99</v>
      </c>
      <c r="D7265" t="s">
        <v>100</v>
      </c>
      <c r="E7265" s="1">
        <v>44242</v>
      </c>
      <c r="F7265">
        <v>1</v>
      </c>
      <c r="G7265" t="s">
        <v>53</v>
      </c>
      <c r="H7265" t="s">
        <v>54</v>
      </c>
      <c r="I7265" s="4">
        <v>1925</v>
      </c>
      <c r="J7265" s="3">
        <v>1925</v>
      </c>
      <c r="K7265" s="4">
        <v>386</v>
      </c>
      <c r="L7265" t="s">
        <v>98</v>
      </c>
      <c r="M7265">
        <v>17</v>
      </c>
      <c r="N7265" t="str">
        <f>IF(MASTER[[#This Row],[IDLOCAL]]=17,"HYDE PARK", "HARLEM IRVING")</f>
        <v>HYDE PARK</v>
      </c>
      <c r="O7265" t="str">
        <f>IF(MASTER[[#This Row],[IDLOCAL]]=17,"PREMIUM", "ESTÁNDAR")</f>
        <v>PREMIUM</v>
      </c>
      <c r="P7265" t="s">
        <v>137</v>
      </c>
      <c r="Q7265" t="s">
        <v>142</v>
      </c>
      <c r="R7265" t="s">
        <v>143</v>
      </c>
      <c r="S7265" t="s">
        <v>145</v>
      </c>
      <c r="T7265" s="2">
        <f>MASTER[[#This Row],[CANTIDAD]]*MASTER[[#This Row],[PRECIO DE VENTA]]</f>
        <v>1925</v>
      </c>
      <c r="U7265" s="2">
        <f>MASTER[[#This Row],[CANTIDAD]]*MASTER[[#This Row],[COSTO UNITARIO]]</f>
        <v>386</v>
      </c>
      <c r="V7265" s="2">
        <f>MASTER[[#This Row],[MONTO VENDIDO]]-MASTER[[#This Row],[COSTO DE VENTA]]</f>
        <v>1539</v>
      </c>
    </row>
    <row r="7266" spans="1:22" x14ac:dyDescent="0.3">
      <c r="A7266">
        <v>105524</v>
      </c>
      <c r="B7266">
        <v>1</v>
      </c>
      <c r="C7266" t="s">
        <v>99</v>
      </c>
      <c r="D7266" t="s">
        <v>100</v>
      </c>
      <c r="E7266" s="1">
        <v>44243</v>
      </c>
      <c r="F7266">
        <v>1</v>
      </c>
      <c r="G7266" t="s">
        <v>65</v>
      </c>
      <c r="H7266" t="s">
        <v>66</v>
      </c>
      <c r="I7266" s="4">
        <v>2115</v>
      </c>
      <c r="J7266" s="3">
        <v>2115</v>
      </c>
      <c r="K7266" s="4">
        <v>386</v>
      </c>
      <c r="L7266" t="s">
        <v>98</v>
      </c>
      <c r="M7266">
        <v>19</v>
      </c>
      <c r="N7266" t="s">
        <v>150</v>
      </c>
      <c r="O7266" t="s">
        <v>81</v>
      </c>
      <c r="P7266" t="s">
        <v>136</v>
      </c>
      <c r="Q7266" t="s">
        <v>140</v>
      </c>
      <c r="R7266" t="s">
        <v>141</v>
      </c>
      <c r="S7266" t="s">
        <v>145</v>
      </c>
      <c r="T7266" s="2">
        <f>MASTER[[#This Row],[CANTIDAD]]*MASTER[[#This Row],[PRECIO DE VENTA]]</f>
        <v>2115</v>
      </c>
      <c r="U7266" s="2">
        <f>MASTER[[#This Row],[CANTIDAD]]*MASTER[[#This Row],[COSTO UNITARIO]]</f>
        <v>386</v>
      </c>
      <c r="V7266" s="2">
        <f>MASTER[[#This Row],[MONTO VENDIDO]]-MASTER[[#This Row],[COSTO DE VENTA]]</f>
        <v>1729</v>
      </c>
    </row>
    <row r="7267" spans="1:22" x14ac:dyDescent="0.3">
      <c r="A7267">
        <v>105540</v>
      </c>
      <c r="B7267">
        <v>1</v>
      </c>
      <c r="C7267" t="s">
        <v>114</v>
      </c>
      <c r="D7267" t="s">
        <v>115</v>
      </c>
      <c r="E7267" s="1">
        <v>44243</v>
      </c>
      <c r="F7267">
        <v>1</v>
      </c>
      <c r="G7267" t="s">
        <v>45</v>
      </c>
      <c r="H7267" t="s">
        <v>46</v>
      </c>
      <c r="I7267" s="4">
        <v>2699</v>
      </c>
      <c r="J7267" s="3">
        <v>2699</v>
      </c>
      <c r="K7267" s="4">
        <v>394</v>
      </c>
      <c r="L7267" t="s">
        <v>113</v>
      </c>
      <c r="M7267">
        <v>19</v>
      </c>
      <c r="N7267" t="s">
        <v>150</v>
      </c>
      <c r="O7267" t="s">
        <v>81</v>
      </c>
      <c r="P7267" t="s">
        <v>136</v>
      </c>
      <c r="Q7267" t="s">
        <v>140</v>
      </c>
      <c r="R7267" t="s">
        <v>141</v>
      </c>
      <c r="S7267" t="s">
        <v>145</v>
      </c>
      <c r="T7267" s="2">
        <f>MASTER[[#This Row],[CANTIDAD]]*MASTER[[#This Row],[PRECIO DE VENTA]]</f>
        <v>2699</v>
      </c>
      <c r="U7267" s="2">
        <f>MASTER[[#This Row],[CANTIDAD]]*MASTER[[#This Row],[COSTO UNITARIO]]</f>
        <v>394</v>
      </c>
      <c r="V7267" s="2">
        <f>MASTER[[#This Row],[MONTO VENDIDO]]-MASTER[[#This Row],[COSTO DE VENTA]]</f>
        <v>2305</v>
      </c>
    </row>
    <row r="7268" spans="1:22" x14ac:dyDescent="0.3">
      <c r="A7268">
        <v>105549</v>
      </c>
      <c r="B7268">
        <v>1</v>
      </c>
      <c r="C7268" t="s">
        <v>118</v>
      </c>
      <c r="D7268" t="s">
        <v>119</v>
      </c>
      <c r="E7268" s="1">
        <v>44243</v>
      </c>
      <c r="F7268">
        <v>1</v>
      </c>
      <c r="G7268" t="s">
        <v>65</v>
      </c>
      <c r="H7268" t="s">
        <v>66</v>
      </c>
      <c r="I7268" s="4">
        <v>1305</v>
      </c>
      <c r="J7268" s="3">
        <v>1305</v>
      </c>
      <c r="K7268" s="4">
        <v>424</v>
      </c>
      <c r="L7268" t="s">
        <v>120</v>
      </c>
      <c r="M7268">
        <v>18</v>
      </c>
      <c r="N7268" t="str">
        <f>IF(MASTER[[#This Row],[IDLOCAL]]=17,"HYDE PARK", "HARLEM IRVING")</f>
        <v>HARLEM IRVING</v>
      </c>
      <c r="O7268" t="str">
        <f>IF(MASTER[[#This Row],[IDLOCAL]]=17,"PREMIUM", "ESTÁNDAR")</f>
        <v>ESTÁNDAR</v>
      </c>
      <c r="P7268" t="s">
        <v>137</v>
      </c>
      <c r="Q7268" t="s">
        <v>142</v>
      </c>
      <c r="R7268" t="s">
        <v>143</v>
      </c>
      <c r="S7268" t="s">
        <v>145</v>
      </c>
      <c r="T7268" s="2">
        <f>MASTER[[#This Row],[CANTIDAD]]*MASTER[[#This Row],[PRECIO DE VENTA]]</f>
        <v>1305</v>
      </c>
      <c r="U7268" s="2">
        <f>MASTER[[#This Row],[CANTIDAD]]*MASTER[[#This Row],[COSTO UNITARIO]]</f>
        <v>424</v>
      </c>
      <c r="V7268" s="2">
        <f>MASTER[[#This Row],[MONTO VENDIDO]]-MASTER[[#This Row],[COSTO DE VENTA]]</f>
        <v>881</v>
      </c>
    </row>
    <row r="7269" spans="1:22" x14ac:dyDescent="0.3">
      <c r="A7269">
        <v>105558</v>
      </c>
      <c r="B7269">
        <v>1</v>
      </c>
      <c r="C7269" t="s">
        <v>103</v>
      </c>
      <c r="D7269" t="s">
        <v>104</v>
      </c>
      <c r="E7269" s="1">
        <v>44245</v>
      </c>
      <c r="F7269">
        <v>1</v>
      </c>
      <c r="G7269" t="s">
        <v>45</v>
      </c>
      <c r="H7269" t="s">
        <v>46</v>
      </c>
      <c r="I7269" s="4">
        <v>2099</v>
      </c>
      <c r="J7269" s="3">
        <v>2099</v>
      </c>
      <c r="K7269" s="4">
        <v>421</v>
      </c>
      <c r="L7269" t="s">
        <v>98</v>
      </c>
      <c r="M7269">
        <v>19</v>
      </c>
      <c r="N7269" t="s">
        <v>150</v>
      </c>
      <c r="O7269" t="s">
        <v>81</v>
      </c>
      <c r="P7269" t="s">
        <v>136</v>
      </c>
      <c r="Q7269" t="s">
        <v>140</v>
      </c>
      <c r="R7269" t="s">
        <v>141</v>
      </c>
      <c r="S7269" t="s">
        <v>145</v>
      </c>
      <c r="T7269" s="2">
        <f>MASTER[[#This Row],[CANTIDAD]]*MASTER[[#This Row],[PRECIO DE VENTA]]</f>
        <v>2099</v>
      </c>
      <c r="U7269" s="2">
        <f>MASTER[[#This Row],[CANTIDAD]]*MASTER[[#This Row],[COSTO UNITARIO]]</f>
        <v>421</v>
      </c>
      <c r="V7269" s="2">
        <f>MASTER[[#This Row],[MONTO VENDIDO]]-MASTER[[#This Row],[COSTO DE VENTA]]</f>
        <v>1678</v>
      </c>
    </row>
    <row r="7270" spans="1:22" x14ac:dyDescent="0.3">
      <c r="A7270">
        <v>105571</v>
      </c>
      <c r="B7270">
        <v>1</v>
      </c>
      <c r="C7270" t="s">
        <v>109</v>
      </c>
      <c r="D7270" t="s">
        <v>110</v>
      </c>
      <c r="E7270" s="1">
        <v>44245</v>
      </c>
      <c r="F7270">
        <v>1</v>
      </c>
      <c r="G7270" t="s">
        <v>7</v>
      </c>
      <c r="H7270" t="s">
        <v>8</v>
      </c>
      <c r="I7270" s="4">
        <v>1373</v>
      </c>
      <c r="J7270" s="3">
        <v>1373</v>
      </c>
      <c r="K7270" s="4">
        <v>387</v>
      </c>
      <c r="L7270" t="s">
        <v>98</v>
      </c>
      <c r="M7270">
        <v>18</v>
      </c>
      <c r="N7270" t="str">
        <f>IF(MASTER[[#This Row],[IDLOCAL]]=17,"HYDE PARK", "HARLEM IRVING")</f>
        <v>HARLEM IRVING</v>
      </c>
      <c r="O7270" t="str">
        <f>IF(MASTER[[#This Row],[IDLOCAL]]=17,"PREMIUM", "ESTÁNDAR")</f>
        <v>ESTÁNDAR</v>
      </c>
      <c r="P7270" t="s">
        <v>137</v>
      </c>
      <c r="Q7270" t="s">
        <v>142</v>
      </c>
      <c r="R7270" t="s">
        <v>143</v>
      </c>
      <c r="S7270" t="s">
        <v>145</v>
      </c>
      <c r="T7270" s="2">
        <f>MASTER[[#This Row],[CANTIDAD]]*MASTER[[#This Row],[PRECIO DE VENTA]]</f>
        <v>1373</v>
      </c>
      <c r="U7270" s="2">
        <f>MASTER[[#This Row],[CANTIDAD]]*MASTER[[#This Row],[COSTO UNITARIO]]</f>
        <v>387</v>
      </c>
      <c r="V7270" s="2">
        <f>MASTER[[#This Row],[MONTO VENDIDO]]-MASTER[[#This Row],[COSTO DE VENTA]]</f>
        <v>986</v>
      </c>
    </row>
    <row r="7271" spans="1:22" x14ac:dyDescent="0.3">
      <c r="A7271">
        <v>105593</v>
      </c>
      <c r="B7271">
        <v>2</v>
      </c>
      <c r="C7271" t="s">
        <v>5</v>
      </c>
      <c r="D7271" t="s">
        <v>6</v>
      </c>
      <c r="E7271" s="1">
        <v>44247</v>
      </c>
      <c r="F7271">
        <v>1</v>
      </c>
      <c r="G7271" t="s">
        <v>73</v>
      </c>
      <c r="H7271" t="s">
        <v>74</v>
      </c>
      <c r="I7271" s="4">
        <v>1879</v>
      </c>
      <c r="J7271" s="3">
        <v>1879</v>
      </c>
      <c r="K7271" s="4">
        <v>393</v>
      </c>
      <c r="L7271" t="s">
        <v>9</v>
      </c>
      <c r="M7271">
        <v>19</v>
      </c>
      <c r="N7271" t="s">
        <v>150</v>
      </c>
      <c r="O7271" t="s">
        <v>81</v>
      </c>
      <c r="P7271" t="s">
        <v>136</v>
      </c>
      <c r="Q7271" t="s">
        <v>140</v>
      </c>
      <c r="R7271" t="s">
        <v>141</v>
      </c>
      <c r="S7271" t="s">
        <v>145</v>
      </c>
      <c r="T7271" s="2">
        <f>MASTER[[#This Row],[CANTIDAD]]*MASTER[[#This Row],[PRECIO DE VENTA]]</f>
        <v>1879</v>
      </c>
      <c r="U7271" s="2">
        <f>MASTER[[#This Row],[CANTIDAD]]*MASTER[[#This Row],[COSTO UNITARIO]]</f>
        <v>393</v>
      </c>
      <c r="V7271" s="2">
        <f>MASTER[[#This Row],[MONTO VENDIDO]]-MASTER[[#This Row],[COSTO DE VENTA]]</f>
        <v>1486</v>
      </c>
    </row>
    <row r="7272" spans="1:22" x14ac:dyDescent="0.3">
      <c r="A7272">
        <v>105596</v>
      </c>
      <c r="B7272">
        <v>1</v>
      </c>
      <c r="C7272" t="s">
        <v>99</v>
      </c>
      <c r="D7272" t="s">
        <v>100</v>
      </c>
      <c r="E7272" s="1">
        <v>44247</v>
      </c>
      <c r="F7272">
        <v>1</v>
      </c>
      <c r="G7272" t="s">
        <v>22</v>
      </c>
      <c r="H7272" t="s">
        <v>23</v>
      </c>
      <c r="I7272" s="4">
        <v>2433</v>
      </c>
      <c r="J7272" s="3">
        <v>2433</v>
      </c>
      <c r="K7272" s="4">
        <v>386</v>
      </c>
      <c r="L7272" t="s">
        <v>98</v>
      </c>
      <c r="M7272">
        <v>19</v>
      </c>
      <c r="N7272" t="s">
        <v>150</v>
      </c>
      <c r="O7272" t="s">
        <v>81</v>
      </c>
      <c r="P7272" t="s">
        <v>136</v>
      </c>
      <c r="Q7272" t="s">
        <v>140</v>
      </c>
      <c r="R7272" t="s">
        <v>141</v>
      </c>
      <c r="S7272" t="s">
        <v>145</v>
      </c>
      <c r="T7272" s="2">
        <f>MASTER[[#This Row],[CANTIDAD]]*MASTER[[#This Row],[PRECIO DE VENTA]]</f>
        <v>2433</v>
      </c>
      <c r="U7272" s="2">
        <f>MASTER[[#This Row],[CANTIDAD]]*MASTER[[#This Row],[COSTO UNITARIO]]</f>
        <v>386</v>
      </c>
      <c r="V7272" s="2">
        <f>MASTER[[#This Row],[MONTO VENDIDO]]-MASTER[[#This Row],[COSTO DE VENTA]]</f>
        <v>2047</v>
      </c>
    </row>
    <row r="7273" spans="1:22" x14ac:dyDescent="0.3">
      <c r="A7273">
        <v>105598</v>
      </c>
      <c r="B7273">
        <v>1</v>
      </c>
      <c r="C7273" t="s">
        <v>107</v>
      </c>
      <c r="D7273" t="s">
        <v>108</v>
      </c>
      <c r="E7273" s="1">
        <v>44247</v>
      </c>
      <c r="F7273">
        <v>1</v>
      </c>
      <c r="G7273" t="s">
        <v>20</v>
      </c>
      <c r="H7273" t="s">
        <v>21</v>
      </c>
      <c r="I7273" s="4">
        <v>1932</v>
      </c>
      <c r="J7273" s="3">
        <v>1932</v>
      </c>
      <c r="K7273" s="4">
        <v>380</v>
      </c>
      <c r="L7273" t="s">
        <v>98</v>
      </c>
      <c r="M7273">
        <v>17</v>
      </c>
      <c r="N7273" t="str">
        <f>IF(MASTER[[#This Row],[IDLOCAL]]=17,"HYDE PARK", "HARLEM IRVING")</f>
        <v>HYDE PARK</v>
      </c>
      <c r="O7273" t="str">
        <f>IF(MASTER[[#This Row],[IDLOCAL]]=17,"PREMIUM", "ESTÁNDAR")</f>
        <v>PREMIUM</v>
      </c>
      <c r="P7273" t="s">
        <v>137</v>
      </c>
      <c r="Q7273" t="s">
        <v>142</v>
      </c>
      <c r="R7273" t="s">
        <v>143</v>
      </c>
      <c r="S7273" t="s">
        <v>145</v>
      </c>
      <c r="T7273" s="2">
        <f>MASTER[[#This Row],[CANTIDAD]]*MASTER[[#This Row],[PRECIO DE VENTA]]</f>
        <v>1932</v>
      </c>
      <c r="U7273" s="2">
        <f>MASTER[[#This Row],[CANTIDAD]]*MASTER[[#This Row],[COSTO UNITARIO]]</f>
        <v>380</v>
      </c>
      <c r="V7273" s="2">
        <f>MASTER[[#This Row],[MONTO VENDIDO]]-MASTER[[#This Row],[COSTO DE VENTA]]</f>
        <v>1552</v>
      </c>
    </row>
    <row r="7274" spans="1:22" x14ac:dyDescent="0.3">
      <c r="A7274">
        <v>105609</v>
      </c>
      <c r="B7274">
        <v>1</v>
      </c>
      <c r="C7274" t="s">
        <v>121</v>
      </c>
      <c r="D7274" t="s">
        <v>122</v>
      </c>
      <c r="E7274" s="1">
        <v>44247</v>
      </c>
      <c r="F7274">
        <v>1</v>
      </c>
      <c r="G7274" t="s">
        <v>33</v>
      </c>
      <c r="H7274" t="s">
        <v>34</v>
      </c>
      <c r="I7274" s="4">
        <v>1550</v>
      </c>
      <c r="J7274" s="3">
        <v>1550</v>
      </c>
      <c r="K7274" s="4">
        <v>460</v>
      </c>
      <c r="L7274" t="s">
        <v>120</v>
      </c>
      <c r="M7274">
        <v>19</v>
      </c>
      <c r="N7274" t="s">
        <v>150</v>
      </c>
      <c r="O7274" t="s">
        <v>81</v>
      </c>
      <c r="P7274" t="s">
        <v>136</v>
      </c>
      <c r="Q7274" t="s">
        <v>140</v>
      </c>
      <c r="R7274" t="s">
        <v>141</v>
      </c>
      <c r="S7274" t="s">
        <v>145</v>
      </c>
      <c r="T7274" s="2">
        <f>MASTER[[#This Row],[CANTIDAD]]*MASTER[[#This Row],[PRECIO DE VENTA]]</f>
        <v>1550</v>
      </c>
      <c r="U7274" s="2">
        <f>MASTER[[#This Row],[CANTIDAD]]*MASTER[[#This Row],[COSTO UNITARIO]]</f>
        <v>460</v>
      </c>
      <c r="V7274" s="2">
        <f>MASTER[[#This Row],[MONTO VENDIDO]]-MASTER[[#This Row],[COSTO DE VENTA]]</f>
        <v>1090</v>
      </c>
    </row>
    <row r="7275" spans="1:22" x14ac:dyDescent="0.3">
      <c r="A7275">
        <v>105611</v>
      </c>
      <c r="B7275">
        <v>1</v>
      </c>
      <c r="C7275" t="s">
        <v>90</v>
      </c>
      <c r="D7275" t="s">
        <v>91</v>
      </c>
      <c r="E7275" s="1">
        <v>44248</v>
      </c>
      <c r="F7275">
        <v>1</v>
      </c>
      <c r="G7275" t="s">
        <v>27</v>
      </c>
      <c r="H7275" t="s">
        <v>28</v>
      </c>
      <c r="I7275" s="4">
        <v>3047</v>
      </c>
      <c r="J7275" s="3">
        <v>3047</v>
      </c>
      <c r="K7275" s="4">
        <v>420</v>
      </c>
      <c r="L7275" t="s">
        <v>9</v>
      </c>
      <c r="M7275">
        <v>19</v>
      </c>
      <c r="N7275" t="s">
        <v>150</v>
      </c>
      <c r="O7275" t="s">
        <v>81</v>
      </c>
      <c r="P7275" t="s">
        <v>136</v>
      </c>
      <c r="Q7275" t="s">
        <v>140</v>
      </c>
      <c r="R7275" t="s">
        <v>141</v>
      </c>
      <c r="S7275" t="s">
        <v>145</v>
      </c>
      <c r="T7275" s="2">
        <f>MASTER[[#This Row],[CANTIDAD]]*MASTER[[#This Row],[PRECIO DE VENTA]]</f>
        <v>3047</v>
      </c>
      <c r="U7275" s="2">
        <f>MASTER[[#This Row],[CANTIDAD]]*MASTER[[#This Row],[COSTO UNITARIO]]</f>
        <v>420</v>
      </c>
      <c r="V7275" s="2">
        <f>MASTER[[#This Row],[MONTO VENDIDO]]-MASTER[[#This Row],[COSTO DE VENTA]]</f>
        <v>2627</v>
      </c>
    </row>
    <row r="7276" spans="1:22" x14ac:dyDescent="0.3">
      <c r="A7276">
        <v>105625</v>
      </c>
      <c r="B7276">
        <v>1</v>
      </c>
      <c r="C7276" t="s">
        <v>101</v>
      </c>
      <c r="D7276" t="s">
        <v>102</v>
      </c>
      <c r="E7276" s="1">
        <v>44248</v>
      </c>
      <c r="F7276">
        <v>1</v>
      </c>
      <c r="G7276" t="s">
        <v>33</v>
      </c>
      <c r="H7276" t="s">
        <v>34</v>
      </c>
      <c r="I7276" s="4">
        <v>1967</v>
      </c>
      <c r="J7276" s="3">
        <v>1869</v>
      </c>
      <c r="K7276" s="4">
        <v>442</v>
      </c>
      <c r="L7276" t="s">
        <v>98</v>
      </c>
      <c r="M7276">
        <v>17</v>
      </c>
      <c r="N7276" t="str">
        <f>IF(MASTER[[#This Row],[IDLOCAL]]=17,"HYDE PARK", "HARLEM IRVING")</f>
        <v>HYDE PARK</v>
      </c>
      <c r="O7276" t="str">
        <f>IF(MASTER[[#This Row],[IDLOCAL]]=17,"PREMIUM", "ESTÁNDAR")</f>
        <v>PREMIUM</v>
      </c>
      <c r="P7276" t="s">
        <v>137</v>
      </c>
      <c r="Q7276" t="s">
        <v>142</v>
      </c>
      <c r="R7276" t="s">
        <v>143</v>
      </c>
      <c r="S7276" t="s">
        <v>145</v>
      </c>
      <c r="T7276" s="2">
        <f>MASTER[[#This Row],[CANTIDAD]]*MASTER[[#This Row],[PRECIO DE VENTA]]</f>
        <v>1869</v>
      </c>
      <c r="U7276" s="2">
        <f>MASTER[[#This Row],[CANTIDAD]]*MASTER[[#This Row],[COSTO UNITARIO]]</f>
        <v>442</v>
      </c>
      <c r="V7276" s="2">
        <f>MASTER[[#This Row],[MONTO VENDIDO]]-MASTER[[#This Row],[COSTO DE VENTA]]</f>
        <v>1427</v>
      </c>
    </row>
    <row r="7277" spans="1:22" x14ac:dyDescent="0.3">
      <c r="A7277">
        <v>105635</v>
      </c>
      <c r="B7277">
        <v>1</v>
      </c>
      <c r="C7277" t="s">
        <v>111</v>
      </c>
      <c r="D7277" t="s">
        <v>112</v>
      </c>
      <c r="E7277" s="1">
        <v>44249</v>
      </c>
      <c r="F7277">
        <v>1</v>
      </c>
      <c r="G7277" t="s">
        <v>67</v>
      </c>
      <c r="H7277" t="s">
        <v>68</v>
      </c>
      <c r="I7277" s="4">
        <v>2608</v>
      </c>
      <c r="J7277" s="3">
        <v>2608</v>
      </c>
      <c r="K7277" s="4">
        <v>434</v>
      </c>
      <c r="L7277" t="s">
        <v>113</v>
      </c>
      <c r="M7277">
        <v>19</v>
      </c>
      <c r="N7277" t="s">
        <v>150</v>
      </c>
      <c r="O7277" t="s">
        <v>81</v>
      </c>
      <c r="P7277" t="s">
        <v>136</v>
      </c>
      <c r="Q7277" t="s">
        <v>140</v>
      </c>
      <c r="R7277" t="s">
        <v>141</v>
      </c>
      <c r="S7277" t="s">
        <v>145</v>
      </c>
      <c r="T7277" s="2">
        <f>MASTER[[#This Row],[CANTIDAD]]*MASTER[[#This Row],[PRECIO DE VENTA]]</f>
        <v>2608</v>
      </c>
      <c r="U7277" s="2">
        <f>MASTER[[#This Row],[CANTIDAD]]*MASTER[[#This Row],[COSTO UNITARIO]]</f>
        <v>434</v>
      </c>
      <c r="V7277" s="2">
        <f>MASTER[[#This Row],[MONTO VENDIDO]]-MASTER[[#This Row],[COSTO DE VENTA]]</f>
        <v>2174</v>
      </c>
    </row>
    <row r="7278" spans="1:22" x14ac:dyDescent="0.3">
      <c r="A7278">
        <v>105665</v>
      </c>
      <c r="B7278">
        <v>1</v>
      </c>
      <c r="C7278" t="s">
        <v>94</v>
      </c>
      <c r="D7278" t="s">
        <v>95</v>
      </c>
      <c r="E7278" s="1">
        <v>44250</v>
      </c>
      <c r="F7278">
        <v>1</v>
      </c>
      <c r="G7278" t="s">
        <v>45</v>
      </c>
      <c r="H7278" t="s">
        <v>46</v>
      </c>
      <c r="I7278" s="4">
        <v>1519</v>
      </c>
      <c r="J7278" s="3">
        <v>1519</v>
      </c>
      <c r="K7278" s="4">
        <v>392</v>
      </c>
      <c r="L7278" t="s">
        <v>9</v>
      </c>
      <c r="M7278">
        <v>17</v>
      </c>
      <c r="N7278" t="str">
        <f>IF(MASTER[[#This Row],[IDLOCAL]]=17,"HYDE PARK", "HARLEM IRVING")</f>
        <v>HYDE PARK</v>
      </c>
      <c r="O7278" t="str">
        <f>IF(MASTER[[#This Row],[IDLOCAL]]=17,"PREMIUM", "ESTÁNDAR")</f>
        <v>PREMIUM</v>
      </c>
      <c r="P7278" t="s">
        <v>137</v>
      </c>
      <c r="Q7278" t="s">
        <v>142</v>
      </c>
      <c r="R7278" t="s">
        <v>143</v>
      </c>
      <c r="S7278" t="s">
        <v>145</v>
      </c>
      <c r="T7278" s="2">
        <f>MASTER[[#This Row],[CANTIDAD]]*MASTER[[#This Row],[PRECIO DE VENTA]]</f>
        <v>1519</v>
      </c>
      <c r="U7278" s="2">
        <f>MASTER[[#This Row],[CANTIDAD]]*MASTER[[#This Row],[COSTO UNITARIO]]</f>
        <v>392</v>
      </c>
      <c r="V7278" s="2">
        <f>MASTER[[#This Row],[MONTO VENDIDO]]-MASTER[[#This Row],[COSTO DE VENTA]]</f>
        <v>1127</v>
      </c>
    </row>
    <row r="7279" spans="1:22" x14ac:dyDescent="0.3">
      <c r="A7279">
        <v>105672</v>
      </c>
      <c r="B7279">
        <v>1</v>
      </c>
      <c r="C7279" t="s">
        <v>116</v>
      </c>
      <c r="D7279" t="s">
        <v>117</v>
      </c>
      <c r="E7279" s="1">
        <v>44250</v>
      </c>
      <c r="F7279">
        <v>1</v>
      </c>
      <c r="G7279" t="s">
        <v>24</v>
      </c>
      <c r="H7279" t="s">
        <v>25</v>
      </c>
      <c r="I7279" s="4">
        <v>2898</v>
      </c>
      <c r="J7279" s="3">
        <v>2898</v>
      </c>
      <c r="K7279" s="4">
        <v>388</v>
      </c>
      <c r="L7279" t="s">
        <v>113</v>
      </c>
      <c r="M7279">
        <v>18</v>
      </c>
      <c r="N7279" t="str">
        <f>IF(MASTER[[#This Row],[IDLOCAL]]=17,"HYDE PARK", "HARLEM IRVING")</f>
        <v>HARLEM IRVING</v>
      </c>
      <c r="O7279" t="str">
        <f>IF(MASTER[[#This Row],[IDLOCAL]]=17,"PREMIUM", "ESTÁNDAR")</f>
        <v>ESTÁNDAR</v>
      </c>
      <c r="P7279" t="s">
        <v>137</v>
      </c>
      <c r="Q7279" t="s">
        <v>142</v>
      </c>
      <c r="R7279" t="s">
        <v>143</v>
      </c>
      <c r="S7279" t="s">
        <v>145</v>
      </c>
      <c r="T7279" s="2">
        <f>MASTER[[#This Row],[CANTIDAD]]*MASTER[[#This Row],[PRECIO DE VENTA]]</f>
        <v>2898</v>
      </c>
      <c r="U7279" s="2">
        <f>MASTER[[#This Row],[CANTIDAD]]*MASTER[[#This Row],[COSTO UNITARIO]]</f>
        <v>388</v>
      </c>
      <c r="V7279" s="2">
        <f>MASTER[[#This Row],[MONTO VENDIDO]]-MASTER[[#This Row],[COSTO DE VENTA]]</f>
        <v>2510</v>
      </c>
    </row>
    <row r="7280" spans="1:22" x14ac:dyDescent="0.3">
      <c r="A7280">
        <v>105673</v>
      </c>
      <c r="B7280">
        <v>1</v>
      </c>
      <c r="C7280" t="s">
        <v>96</v>
      </c>
      <c r="D7280" t="s">
        <v>97</v>
      </c>
      <c r="E7280" s="1">
        <v>44251</v>
      </c>
      <c r="F7280">
        <v>1</v>
      </c>
      <c r="G7280" t="s">
        <v>24</v>
      </c>
      <c r="H7280" t="s">
        <v>25</v>
      </c>
      <c r="I7280" s="4">
        <v>1973</v>
      </c>
      <c r="J7280" s="3">
        <v>1973</v>
      </c>
      <c r="K7280" s="4">
        <v>397</v>
      </c>
      <c r="L7280" t="s">
        <v>98</v>
      </c>
      <c r="M7280">
        <v>18</v>
      </c>
      <c r="N7280" t="str">
        <f>IF(MASTER[[#This Row],[IDLOCAL]]=17,"HYDE PARK", "HARLEM IRVING")</f>
        <v>HARLEM IRVING</v>
      </c>
      <c r="O7280" t="str">
        <f>IF(MASTER[[#This Row],[IDLOCAL]]=17,"PREMIUM", "ESTÁNDAR")</f>
        <v>ESTÁNDAR</v>
      </c>
      <c r="P7280" t="s">
        <v>137</v>
      </c>
      <c r="Q7280" t="s">
        <v>142</v>
      </c>
      <c r="R7280" t="s">
        <v>143</v>
      </c>
      <c r="S7280" t="s">
        <v>145</v>
      </c>
      <c r="T7280" s="2">
        <f>MASTER[[#This Row],[CANTIDAD]]*MASTER[[#This Row],[PRECIO DE VENTA]]</f>
        <v>1973</v>
      </c>
      <c r="U7280" s="2">
        <f>MASTER[[#This Row],[CANTIDAD]]*MASTER[[#This Row],[COSTO UNITARIO]]</f>
        <v>397</v>
      </c>
      <c r="V7280" s="2">
        <f>MASTER[[#This Row],[MONTO VENDIDO]]-MASTER[[#This Row],[COSTO DE VENTA]]</f>
        <v>1576</v>
      </c>
    </row>
    <row r="7281" spans="1:22" x14ac:dyDescent="0.3">
      <c r="A7281">
        <v>105689</v>
      </c>
      <c r="B7281">
        <v>1</v>
      </c>
      <c r="C7281" t="s">
        <v>111</v>
      </c>
      <c r="D7281" t="s">
        <v>112</v>
      </c>
      <c r="E7281" s="1">
        <v>44251</v>
      </c>
      <c r="F7281">
        <v>1</v>
      </c>
      <c r="G7281" t="s">
        <v>63</v>
      </c>
      <c r="H7281" t="s">
        <v>64</v>
      </c>
      <c r="I7281" s="4">
        <v>2350</v>
      </c>
      <c r="J7281" s="3">
        <v>2350</v>
      </c>
      <c r="K7281" s="4">
        <v>434</v>
      </c>
      <c r="L7281" t="s">
        <v>113</v>
      </c>
      <c r="M7281">
        <v>19</v>
      </c>
      <c r="N7281" t="s">
        <v>150</v>
      </c>
      <c r="O7281" t="s">
        <v>81</v>
      </c>
      <c r="P7281" t="s">
        <v>136</v>
      </c>
      <c r="Q7281" t="s">
        <v>140</v>
      </c>
      <c r="R7281" t="s">
        <v>141</v>
      </c>
      <c r="S7281" t="s">
        <v>145</v>
      </c>
      <c r="T7281" s="2">
        <f>MASTER[[#This Row],[CANTIDAD]]*MASTER[[#This Row],[PRECIO DE VENTA]]</f>
        <v>2350</v>
      </c>
      <c r="U7281" s="2">
        <f>MASTER[[#This Row],[CANTIDAD]]*MASTER[[#This Row],[COSTO UNITARIO]]</f>
        <v>434</v>
      </c>
      <c r="V7281" s="2">
        <f>MASTER[[#This Row],[MONTO VENDIDO]]-MASTER[[#This Row],[COSTO DE VENTA]]</f>
        <v>1916</v>
      </c>
    </row>
    <row r="7282" spans="1:22" x14ac:dyDescent="0.3">
      <c r="A7282">
        <v>105697</v>
      </c>
      <c r="B7282">
        <v>1</v>
      </c>
      <c r="C7282" t="s">
        <v>118</v>
      </c>
      <c r="D7282" t="s">
        <v>119</v>
      </c>
      <c r="E7282" s="1">
        <v>44251</v>
      </c>
      <c r="F7282">
        <v>1</v>
      </c>
      <c r="G7282" t="s">
        <v>27</v>
      </c>
      <c r="H7282" t="s">
        <v>28</v>
      </c>
      <c r="I7282" s="4">
        <v>1487</v>
      </c>
      <c r="J7282" s="3">
        <v>1487</v>
      </c>
      <c r="K7282" s="4">
        <v>424</v>
      </c>
      <c r="L7282" t="s">
        <v>120</v>
      </c>
      <c r="M7282">
        <v>18</v>
      </c>
      <c r="N7282" t="str">
        <f>IF(MASTER[[#This Row],[IDLOCAL]]=17,"HYDE PARK", "HARLEM IRVING")</f>
        <v>HARLEM IRVING</v>
      </c>
      <c r="O7282" t="str">
        <f>IF(MASTER[[#This Row],[IDLOCAL]]=17,"PREMIUM", "ESTÁNDAR")</f>
        <v>ESTÁNDAR</v>
      </c>
      <c r="P7282" t="s">
        <v>137</v>
      </c>
      <c r="Q7282" t="s">
        <v>142</v>
      </c>
      <c r="R7282" t="s">
        <v>143</v>
      </c>
      <c r="S7282" t="s">
        <v>145</v>
      </c>
      <c r="T7282" s="2">
        <f>MASTER[[#This Row],[CANTIDAD]]*MASTER[[#This Row],[PRECIO DE VENTA]]</f>
        <v>1487</v>
      </c>
      <c r="U7282" s="2">
        <f>MASTER[[#This Row],[CANTIDAD]]*MASTER[[#This Row],[COSTO UNITARIO]]</f>
        <v>424</v>
      </c>
      <c r="V7282" s="2">
        <f>MASTER[[#This Row],[MONTO VENDIDO]]-MASTER[[#This Row],[COSTO DE VENTA]]</f>
        <v>1063</v>
      </c>
    </row>
    <row r="7283" spans="1:22" x14ac:dyDescent="0.3">
      <c r="A7283">
        <v>105701</v>
      </c>
      <c r="B7283">
        <v>1</v>
      </c>
      <c r="C7283" t="s">
        <v>114</v>
      </c>
      <c r="D7283" t="s">
        <v>115</v>
      </c>
      <c r="E7283" s="1">
        <v>44252</v>
      </c>
      <c r="F7283">
        <v>1</v>
      </c>
      <c r="G7283" t="s">
        <v>20</v>
      </c>
      <c r="H7283" t="s">
        <v>21</v>
      </c>
      <c r="I7283" s="4">
        <v>2943</v>
      </c>
      <c r="J7283" s="3">
        <v>2943</v>
      </c>
      <c r="K7283" s="4">
        <v>394</v>
      </c>
      <c r="L7283" t="s">
        <v>113</v>
      </c>
      <c r="M7283">
        <v>19</v>
      </c>
      <c r="N7283" t="s">
        <v>150</v>
      </c>
      <c r="O7283" t="s">
        <v>81</v>
      </c>
      <c r="P7283" t="s">
        <v>136</v>
      </c>
      <c r="Q7283" t="s">
        <v>140</v>
      </c>
      <c r="R7283" t="s">
        <v>141</v>
      </c>
      <c r="S7283" t="s">
        <v>145</v>
      </c>
      <c r="T7283" s="2">
        <f>MASTER[[#This Row],[CANTIDAD]]*MASTER[[#This Row],[PRECIO DE VENTA]]</f>
        <v>2943</v>
      </c>
      <c r="U7283" s="2">
        <f>MASTER[[#This Row],[CANTIDAD]]*MASTER[[#This Row],[COSTO UNITARIO]]</f>
        <v>394</v>
      </c>
      <c r="V7283" s="2">
        <f>MASTER[[#This Row],[MONTO VENDIDO]]-MASTER[[#This Row],[COSTO DE VENTA]]</f>
        <v>2549</v>
      </c>
    </row>
    <row r="7284" spans="1:22" x14ac:dyDescent="0.3">
      <c r="A7284">
        <v>105708</v>
      </c>
      <c r="B7284">
        <v>1</v>
      </c>
      <c r="C7284" t="s">
        <v>92</v>
      </c>
      <c r="D7284" t="s">
        <v>93</v>
      </c>
      <c r="E7284" s="1">
        <v>44254</v>
      </c>
      <c r="F7284">
        <v>1</v>
      </c>
      <c r="G7284" t="s">
        <v>59</v>
      </c>
      <c r="H7284" t="s">
        <v>60</v>
      </c>
      <c r="I7284" s="4">
        <v>2705</v>
      </c>
      <c r="J7284" s="3">
        <v>2705</v>
      </c>
      <c r="K7284" s="4">
        <v>396</v>
      </c>
      <c r="L7284" t="s">
        <v>9</v>
      </c>
      <c r="M7284">
        <v>18</v>
      </c>
      <c r="N7284" t="str">
        <f>IF(MASTER[[#This Row],[IDLOCAL]]=17,"HYDE PARK", "HARLEM IRVING")</f>
        <v>HARLEM IRVING</v>
      </c>
      <c r="O7284" t="str">
        <f>IF(MASTER[[#This Row],[IDLOCAL]]=17,"PREMIUM", "ESTÁNDAR")</f>
        <v>ESTÁNDAR</v>
      </c>
      <c r="P7284" t="s">
        <v>137</v>
      </c>
      <c r="Q7284" t="s">
        <v>142</v>
      </c>
      <c r="R7284" t="s">
        <v>143</v>
      </c>
      <c r="S7284" t="s">
        <v>145</v>
      </c>
      <c r="T7284" s="2">
        <f>MASTER[[#This Row],[CANTIDAD]]*MASTER[[#This Row],[PRECIO DE VENTA]]</f>
        <v>2705</v>
      </c>
      <c r="U7284" s="2">
        <f>MASTER[[#This Row],[CANTIDAD]]*MASTER[[#This Row],[COSTO UNITARIO]]</f>
        <v>396</v>
      </c>
      <c r="V7284" s="2">
        <f>MASTER[[#This Row],[MONTO VENDIDO]]-MASTER[[#This Row],[COSTO DE VENTA]]</f>
        <v>2309</v>
      </c>
    </row>
    <row r="7285" spans="1:22" x14ac:dyDescent="0.3">
      <c r="A7285">
        <v>105709</v>
      </c>
      <c r="B7285">
        <v>1</v>
      </c>
      <c r="C7285" t="s">
        <v>96</v>
      </c>
      <c r="D7285" t="s">
        <v>97</v>
      </c>
      <c r="E7285" s="1">
        <v>44254</v>
      </c>
      <c r="F7285">
        <v>1</v>
      </c>
      <c r="G7285" t="s">
        <v>27</v>
      </c>
      <c r="H7285" t="s">
        <v>28</v>
      </c>
      <c r="I7285" s="4">
        <v>1844</v>
      </c>
      <c r="J7285" s="3">
        <v>1844</v>
      </c>
      <c r="K7285" s="4">
        <v>397</v>
      </c>
      <c r="L7285" t="s">
        <v>98</v>
      </c>
      <c r="M7285">
        <v>19</v>
      </c>
      <c r="N7285" t="s">
        <v>150</v>
      </c>
      <c r="O7285" t="s">
        <v>81</v>
      </c>
      <c r="P7285" t="s">
        <v>136</v>
      </c>
      <c r="Q7285" t="s">
        <v>140</v>
      </c>
      <c r="R7285" t="s">
        <v>141</v>
      </c>
      <c r="S7285" t="s">
        <v>145</v>
      </c>
      <c r="T7285" s="2">
        <f>MASTER[[#This Row],[CANTIDAD]]*MASTER[[#This Row],[PRECIO DE VENTA]]</f>
        <v>1844</v>
      </c>
      <c r="U7285" s="2">
        <f>MASTER[[#This Row],[CANTIDAD]]*MASTER[[#This Row],[COSTO UNITARIO]]</f>
        <v>397</v>
      </c>
      <c r="V7285" s="2">
        <f>MASTER[[#This Row],[MONTO VENDIDO]]-MASTER[[#This Row],[COSTO DE VENTA]]</f>
        <v>1447</v>
      </c>
    </row>
    <row r="7286" spans="1:22" x14ac:dyDescent="0.3">
      <c r="A7286">
        <v>105737</v>
      </c>
      <c r="B7286">
        <v>1</v>
      </c>
      <c r="C7286" t="s">
        <v>101</v>
      </c>
      <c r="D7286" t="s">
        <v>102</v>
      </c>
      <c r="E7286" s="1">
        <v>44254</v>
      </c>
      <c r="F7286">
        <v>1</v>
      </c>
      <c r="G7286" t="s">
        <v>73</v>
      </c>
      <c r="H7286" t="s">
        <v>74</v>
      </c>
      <c r="I7286" s="4">
        <v>1757</v>
      </c>
      <c r="J7286" s="3">
        <v>1757</v>
      </c>
      <c r="K7286" s="4">
        <v>442</v>
      </c>
      <c r="L7286" t="s">
        <v>98</v>
      </c>
      <c r="M7286">
        <v>18</v>
      </c>
      <c r="N7286" t="str">
        <f>IF(MASTER[[#This Row],[IDLOCAL]]=17,"HYDE PARK", "HARLEM IRVING")</f>
        <v>HARLEM IRVING</v>
      </c>
      <c r="O7286" t="str">
        <f>IF(MASTER[[#This Row],[IDLOCAL]]=17,"PREMIUM", "ESTÁNDAR")</f>
        <v>ESTÁNDAR</v>
      </c>
      <c r="P7286" t="s">
        <v>137</v>
      </c>
      <c r="Q7286" t="s">
        <v>142</v>
      </c>
      <c r="R7286" t="s">
        <v>143</v>
      </c>
      <c r="S7286" t="s">
        <v>145</v>
      </c>
      <c r="T7286" s="2">
        <f>MASTER[[#This Row],[CANTIDAD]]*MASTER[[#This Row],[PRECIO DE VENTA]]</f>
        <v>1757</v>
      </c>
      <c r="U7286" s="2">
        <f>MASTER[[#This Row],[CANTIDAD]]*MASTER[[#This Row],[COSTO UNITARIO]]</f>
        <v>442</v>
      </c>
      <c r="V7286" s="2">
        <f>MASTER[[#This Row],[MONTO VENDIDO]]-MASTER[[#This Row],[COSTO DE VENTA]]</f>
        <v>1315</v>
      </c>
    </row>
    <row r="7287" spans="1:22" x14ac:dyDescent="0.3">
      <c r="A7287">
        <v>105744</v>
      </c>
      <c r="B7287">
        <v>1</v>
      </c>
      <c r="C7287" t="s">
        <v>109</v>
      </c>
      <c r="D7287" t="s">
        <v>110</v>
      </c>
      <c r="E7287" s="1">
        <v>44254</v>
      </c>
      <c r="F7287">
        <v>1</v>
      </c>
      <c r="G7287" t="s">
        <v>29</v>
      </c>
      <c r="H7287" t="s">
        <v>30</v>
      </c>
      <c r="I7287" s="4">
        <v>1542</v>
      </c>
      <c r="J7287" s="3">
        <v>1542</v>
      </c>
      <c r="K7287" s="4">
        <v>387</v>
      </c>
      <c r="L7287" t="s">
        <v>98</v>
      </c>
      <c r="M7287">
        <v>19</v>
      </c>
      <c r="N7287" t="s">
        <v>150</v>
      </c>
      <c r="O7287" t="s">
        <v>81</v>
      </c>
      <c r="P7287" t="s">
        <v>136</v>
      </c>
      <c r="Q7287" t="s">
        <v>140</v>
      </c>
      <c r="R7287" t="s">
        <v>141</v>
      </c>
      <c r="S7287" t="s">
        <v>145</v>
      </c>
      <c r="T7287" s="2">
        <f>MASTER[[#This Row],[CANTIDAD]]*MASTER[[#This Row],[PRECIO DE VENTA]]</f>
        <v>1542</v>
      </c>
      <c r="U7287" s="2">
        <f>MASTER[[#This Row],[CANTIDAD]]*MASTER[[#This Row],[COSTO UNITARIO]]</f>
        <v>387</v>
      </c>
      <c r="V7287" s="2">
        <f>MASTER[[#This Row],[MONTO VENDIDO]]-MASTER[[#This Row],[COSTO DE VENTA]]</f>
        <v>1155</v>
      </c>
    </row>
    <row r="7288" spans="1:22" x14ac:dyDescent="0.3">
      <c r="A7288">
        <v>105778</v>
      </c>
      <c r="B7288">
        <v>1</v>
      </c>
      <c r="C7288" t="s">
        <v>114</v>
      </c>
      <c r="D7288" t="s">
        <v>115</v>
      </c>
      <c r="E7288" s="1">
        <v>44256</v>
      </c>
      <c r="F7288">
        <v>1</v>
      </c>
      <c r="G7288" t="s">
        <v>61</v>
      </c>
      <c r="H7288" t="s">
        <v>62</v>
      </c>
      <c r="I7288" s="4">
        <v>2699</v>
      </c>
      <c r="J7288" s="3">
        <v>2699</v>
      </c>
      <c r="K7288" s="4">
        <v>394</v>
      </c>
      <c r="L7288" t="s">
        <v>113</v>
      </c>
      <c r="M7288">
        <v>17</v>
      </c>
      <c r="N7288" t="str">
        <f>IF(MASTER[[#This Row],[IDLOCAL]]=17,"HYDE PARK", "HARLEM IRVING")</f>
        <v>HYDE PARK</v>
      </c>
      <c r="O7288" t="str">
        <f>IF(MASTER[[#This Row],[IDLOCAL]]=17,"PREMIUM", "ESTÁNDAR")</f>
        <v>PREMIUM</v>
      </c>
      <c r="P7288" t="s">
        <v>137</v>
      </c>
      <c r="Q7288" t="s">
        <v>142</v>
      </c>
      <c r="R7288" t="s">
        <v>143</v>
      </c>
      <c r="S7288" t="s">
        <v>145</v>
      </c>
      <c r="T7288" s="2">
        <f>MASTER[[#This Row],[CANTIDAD]]*MASTER[[#This Row],[PRECIO DE VENTA]]</f>
        <v>2699</v>
      </c>
      <c r="U7288" s="2">
        <f>MASTER[[#This Row],[CANTIDAD]]*MASTER[[#This Row],[COSTO UNITARIO]]</f>
        <v>394</v>
      </c>
      <c r="V7288" s="2">
        <f>MASTER[[#This Row],[MONTO VENDIDO]]-MASTER[[#This Row],[COSTO DE VENTA]]</f>
        <v>2305</v>
      </c>
    </row>
    <row r="7289" spans="1:22" x14ac:dyDescent="0.3">
      <c r="A7289">
        <v>105794</v>
      </c>
      <c r="B7289">
        <v>1</v>
      </c>
      <c r="C7289" t="s">
        <v>105</v>
      </c>
      <c r="D7289" t="s">
        <v>106</v>
      </c>
      <c r="E7289" s="1">
        <v>44257</v>
      </c>
      <c r="F7289">
        <v>1</v>
      </c>
      <c r="G7289" t="s">
        <v>29</v>
      </c>
      <c r="H7289" t="s">
        <v>30</v>
      </c>
      <c r="I7289" s="4">
        <v>2947</v>
      </c>
      <c r="J7289" s="3">
        <v>2947</v>
      </c>
      <c r="K7289" s="4">
        <v>459</v>
      </c>
      <c r="L7289" t="s">
        <v>98</v>
      </c>
      <c r="M7289">
        <v>18</v>
      </c>
      <c r="N7289" t="str">
        <f>IF(MASTER[[#This Row],[IDLOCAL]]=17,"HYDE PARK", "HARLEM IRVING")</f>
        <v>HARLEM IRVING</v>
      </c>
      <c r="O7289" t="str">
        <f>IF(MASTER[[#This Row],[IDLOCAL]]=17,"PREMIUM", "ESTÁNDAR")</f>
        <v>ESTÁNDAR</v>
      </c>
      <c r="P7289" t="s">
        <v>137</v>
      </c>
      <c r="Q7289" t="s">
        <v>142</v>
      </c>
      <c r="R7289" t="s">
        <v>143</v>
      </c>
      <c r="S7289" t="s">
        <v>145</v>
      </c>
      <c r="T7289" s="2">
        <f>MASTER[[#This Row],[CANTIDAD]]*MASTER[[#This Row],[PRECIO DE VENTA]]</f>
        <v>2947</v>
      </c>
      <c r="U7289" s="2">
        <f>MASTER[[#This Row],[CANTIDAD]]*MASTER[[#This Row],[COSTO UNITARIO]]</f>
        <v>459</v>
      </c>
      <c r="V7289" s="2">
        <f>MASTER[[#This Row],[MONTO VENDIDO]]-MASTER[[#This Row],[COSTO DE VENTA]]</f>
        <v>2488</v>
      </c>
    </row>
    <row r="7290" spans="1:22" x14ac:dyDescent="0.3">
      <c r="A7290">
        <v>105799</v>
      </c>
      <c r="B7290">
        <v>1</v>
      </c>
      <c r="C7290" t="s">
        <v>5</v>
      </c>
      <c r="D7290" t="s">
        <v>6</v>
      </c>
      <c r="E7290" s="1">
        <v>44258</v>
      </c>
      <c r="F7290">
        <v>1</v>
      </c>
      <c r="G7290" t="s">
        <v>29</v>
      </c>
      <c r="H7290" t="s">
        <v>30</v>
      </c>
      <c r="I7290" s="4">
        <v>2185</v>
      </c>
      <c r="J7290" s="3">
        <v>2185</v>
      </c>
      <c r="K7290" s="4">
        <v>393</v>
      </c>
      <c r="L7290" t="s">
        <v>9</v>
      </c>
      <c r="M7290">
        <v>18</v>
      </c>
      <c r="N7290" t="str">
        <f>IF(MASTER[[#This Row],[IDLOCAL]]=17,"HYDE PARK", "HARLEM IRVING")</f>
        <v>HARLEM IRVING</v>
      </c>
      <c r="O7290" t="str">
        <f>IF(MASTER[[#This Row],[IDLOCAL]]=17,"PREMIUM", "ESTÁNDAR")</f>
        <v>ESTÁNDAR</v>
      </c>
      <c r="P7290" t="s">
        <v>137</v>
      </c>
      <c r="Q7290" t="s">
        <v>142</v>
      </c>
      <c r="R7290" t="s">
        <v>143</v>
      </c>
      <c r="S7290" t="s">
        <v>145</v>
      </c>
      <c r="T7290" s="2">
        <f>MASTER[[#This Row],[CANTIDAD]]*MASTER[[#This Row],[PRECIO DE VENTA]]</f>
        <v>2185</v>
      </c>
      <c r="U7290" s="2">
        <f>MASTER[[#This Row],[CANTIDAD]]*MASTER[[#This Row],[COSTO UNITARIO]]</f>
        <v>393</v>
      </c>
      <c r="V7290" s="2">
        <f>MASTER[[#This Row],[MONTO VENDIDO]]-MASTER[[#This Row],[COSTO DE VENTA]]</f>
        <v>1792</v>
      </c>
    </row>
    <row r="7291" spans="1:22" x14ac:dyDescent="0.3">
      <c r="A7291">
        <v>105803</v>
      </c>
      <c r="B7291">
        <v>1</v>
      </c>
      <c r="C7291" t="s">
        <v>92</v>
      </c>
      <c r="D7291" t="s">
        <v>93</v>
      </c>
      <c r="E7291" s="1">
        <v>44258</v>
      </c>
      <c r="F7291">
        <v>1</v>
      </c>
      <c r="G7291" t="s">
        <v>7</v>
      </c>
      <c r="H7291" t="s">
        <v>8</v>
      </c>
      <c r="I7291" s="4">
        <v>2437</v>
      </c>
      <c r="J7291" s="3">
        <v>2437</v>
      </c>
      <c r="K7291" s="4">
        <v>396</v>
      </c>
      <c r="L7291" t="s">
        <v>9</v>
      </c>
      <c r="M7291">
        <v>19</v>
      </c>
      <c r="N7291" t="s">
        <v>150</v>
      </c>
      <c r="O7291" t="s">
        <v>81</v>
      </c>
      <c r="P7291" t="s">
        <v>136</v>
      </c>
      <c r="Q7291" t="s">
        <v>140</v>
      </c>
      <c r="R7291" t="s">
        <v>141</v>
      </c>
      <c r="S7291" t="s">
        <v>145</v>
      </c>
      <c r="T7291" s="2">
        <f>MASTER[[#This Row],[CANTIDAD]]*MASTER[[#This Row],[PRECIO DE VENTA]]</f>
        <v>2437</v>
      </c>
      <c r="U7291" s="2">
        <f>MASTER[[#This Row],[CANTIDAD]]*MASTER[[#This Row],[COSTO UNITARIO]]</f>
        <v>396</v>
      </c>
      <c r="V7291" s="2">
        <f>MASTER[[#This Row],[MONTO VENDIDO]]-MASTER[[#This Row],[COSTO DE VENTA]]</f>
        <v>2041</v>
      </c>
    </row>
    <row r="7292" spans="1:22" x14ac:dyDescent="0.3">
      <c r="A7292">
        <v>105804</v>
      </c>
      <c r="B7292">
        <v>1</v>
      </c>
      <c r="C7292" t="s">
        <v>121</v>
      </c>
      <c r="D7292" t="s">
        <v>122</v>
      </c>
      <c r="E7292" s="1">
        <v>44258</v>
      </c>
      <c r="F7292">
        <v>1</v>
      </c>
      <c r="G7292" t="s">
        <v>39</v>
      </c>
      <c r="H7292" t="s">
        <v>40</v>
      </c>
      <c r="I7292" s="4">
        <v>1364</v>
      </c>
      <c r="J7292" s="3">
        <v>1364</v>
      </c>
      <c r="K7292" s="4">
        <v>460</v>
      </c>
      <c r="L7292" t="s">
        <v>120</v>
      </c>
      <c r="M7292">
        <v>19</v>
      </c>
      <c r="N7292" t="s">
        <v>150</v>
      </c>
      <c r="O7292" t="s">
        <v>81</v>
      </c>
      <c r="P7292" t="s">
        <v>136</v>
      </c>
      <c r="Q7292" t="s">
        <v>140</v>
      </c>
      <c r="R7292" t="s">
        <v>141</v>
      </c>
      <c r="S7292" t="s">
        <v>145</v>
      </c>
      <c r="T7292" s="2">
        <f>MASTER[[#This Row],[CANTIDAD]]*MASTER[[#This Row],[PRECIO DE VENTA]]</f>
        <v>1364</v>
      </c>
      <c r="U7292" s="2">
        <f>MASTER[[#This Row],[CANTIDAD]]*MASTER[[#This Row],[COSTO UNITARIO]]</f>
        <v>460</v>
      </c>
      <c r="V7292" s="2">
        <f>MASTER[[#This Row],[MONTO VENDIDO]]-MASTER[[#This Row],[COSTO DE VENTA]]</f>
        <v>904</v>
      </c>
    </row>
    <row r="7293" spans="1:22" x14ac:dyDescent="0.3">
      <c r="A7293">
        <v>105811</v>
      </c>
      <c r="B7293">
        <v>1</v>
      </c>
      <c r="C7293" t="s">
        <v>103</v>
      </c>
      <c r="D7293" t="s">
        <v>104</v>
      </c>
      <c r="E7293" s="1">
        <v>44260</v>
      </c>
      <c r="F7293">
        <v>4</v>
      </c>
      <c r="G7293" t="s">
        <v>43</v>
      </c>
      <c r="H7293" t="s">
        <v>44</v>
      </c>
      <c r="I7293" s="4">
        <v>2653</v>
      </c>
      <c r="J7293" s="3">
        <v>2653</v>
      </c>
      <c r="K7293" s="4">
        <v>421</v>
      </c>
      <c r="L7293" t="s">
        <v>98</v>
      </c>
      <c r="M7293">
        <v>19</v>
      </c>
      <c r="N7293" t="s">
        <v>150</v>
      </c>
      <c r="O7293" t="s">
        <v>81</v>
      </c>
      <c r="P7293" t="s">
        <v>136</v>
      </c>
      <c r="Q7293" t="s">
        <v>140</v>
      </c>
      <c r="R7293" t="s">
        <v>141</v>
      </c>
      <c r="S7293" t="s">
        <v>145</v>
      </c>
      <c r="T7293" s="2">
        <f>MASTER[[#This Row],[CANTIDAD]]*MASTER[[#This Row],[PRECIO DE VENTA]]</f>
        <v>10612</v>
      </c>
      <c r="U7293" s="2">
        <f>MASTER[[#This Row],[CANTIDAD]]*MASTER[[#This Row],[COSTO UNITARIO]]</f>
        <v>1684</v>
      </c>
      <c r="V7293" s="2">
        <f>MASTER[[#This Row],[MONTO VENDIDO]]-MASTER[[#This Row],[COSTO DE VENTA]]</f>
        <v>8928</v>
      </c>
    </row>
    <row r="7294" spans="1:22" x14ac:dyDescent="0.3">
      <c r="A7294">
        <v>105813</v>
      </c>
      <c r="B7294">
        <v>1</v>
      </c>
      <c r="C7294" t="s">
        <v>105</v>
      </c>
      <c r="D7294" t="s">
        <v>106</v>
      </c>
      <c r="E7294" s="1">
        <v>44260</v>
      </c>
      <c r="F7294">
        <v>1</v>
      </c>
      <c r="G7294" t="s">
        <v>7</v>
      </c>
      <c r="H7294" t="s">
        <v>8</v>
      </c>
      <c r="I7294" s="4">
        <v>2298</v>
      </c>
      <c r="J7294" s="3">
        <v>2298</v>
      </c>
      <c r="K7294" s="4">
        <v>459</v>
      </c>
      <c r="L7294" t="s">
        <v>98</v>
      </c>
      <c r="M7294">
        <v>19</v>
      </c>
      <c r="N7294" t="s">
        <v>150</v>
      </c>
      <c r="O7294" t="s">
        <v>81</v>
      </c>
      <c r="P7294" t="s">
        <v>136</v>
      </c>
      <c r="Q7294" t="s">
        <v>140</v>
      </c>
      <c r="R7294" t="s">
        <v>141</v>
      </c>
      <c r="S7294" t="s">
        <v>145</v>
      </c>
      <c r="T7294" s="2">
        <f>MASTER[[#This Row],[CANTIDAD]]*MASTER[[#This Row],[PRECIO DE VENTA]]</f>
        <v>2298</v>
      </c>
      <c r="U7294" s="2">
        <f>MASTER[[#This Row],[CANTIDAD]]*MASTER[[#This Row],[COSTO UNITARIO]]</f>
        <v>459</v>
      </c>
      <c r="V7294" s="2">
        <f>MASTER[[#This Row],[MONTO VENDIDO]]-MASTER[[#This Row],[COSTO DE VENTA]]</f>
        <v>1839</v>
      </c>
    </row>
    <row r="7295" spans="1:22" x14ac:dyDescent="0.3">
      <c r="A7295">
        <v>105821</v>
      </c>
      <c r="B7295">
        <v>1</v>
      </c>
      <c r="C7295" t="s">
        <v>96</v>
      </c>
      <c r="D7295" t="s">
        <v>97</v>
      </c>
      <c r="E7295" s="1">
        <v>44261</v>
      </c>
      <c r="F7295">
        <v>1</v>
      </c>
      <c r="G7295" t="s">
        <v>45</v>
      </c>
      <c r="H7295" t="s">
        <v>46</v>
      </c>
      <c r="I7295" s="4">
        <v>1844</v>
      </c>
      <c r="J7295" s="3">
        <v>1844</v>
      </c>
      <c r="K7295" s="4">
        <v>397</v>
      </c>
      <c r="L7295" t="s">
        <v>98</v>
      </c>
      <c r="M7295">
        <v>17</v>
      </c>
      <c r="N7295" t="str">
        <f>IF(MASTER[[#This Row],[IDLOCAL]]=17,"HYDE PARK", "HARLEM IRVING")</f>
        <v>HYDE PARK</v>
      </c>
      <c r="O7295" t="str">
        <f>IF(MASTER[[#This Row],[IDLOCAL]]=17,"PREMIUM", "ESTÁNDAR")</f>
        <v>PREMIUM</v>
      </c>
      <c r="P7295" t="s">
        <v>137</v>
      </c>
      <c r="Q7295" t="s">
        <v>142</v>
      </c>
      <c r="R7295" t="s">
        <v>143</v>
      </c>
      <c r="S7295" t="s">
        <v>145</v>
      </c>
      <c r="T7295" s="2">
        <f>MASTER[[#This Row],[CANTIDAD]]*MASTER[[#This Row],[PRECIO DE VENTA]]</f>
        <v>1844</v>
      </c>
      <c r="U7295" s="2">
        <f>MASTER[[#This Row],[CANTIDAD]]*MASTER[[#This Row],[COSTO UNITARIO]]</f>
        <v>397</v>
      </c>
      <c r="V7295" s="2">
        <f>MASTER[[#This Row],[MONTO VENDIDO]]-MASTER[[#This Row],[COSTO DE VENTA]]</f>
        <v>1447</v>
      </c>
    </row>
    <row r="7296" spans="1:22" x14ac:dyDescent="0.3">
      <c r="A7296">
        <v>105822</v>
      </c>
      <c r="B7296">
        <v>1</v>
      </c>
      <c r="C7296" t="s">
        <v>105</v>
      </c>
      <c r="D7296" t="s">
        <v>106</v>
      </c>
      <c r="E7296" s="1">
        <v>44261</v>
      </c>
      <c r="F7296">
        <v>1</v>
      </c>
      <c r="G7296" t="s">
        <v>61</v>
      </c>
      <c r="H7296" t="s">
        <v>62</v>
      </c>
      <c r="I7296" s="4">
        <v>2704</v>
      </c>
      <c r="J7296" s="3">
        <v>2704</v>
      </c>
      <c r="K7296" s="4">
        <v>459</v>
      </c>
      <c r="L7296" t="s">
        <v>98</v>
      </c>
      <c r="M7296">
        <v>17</v>
      </c>
      <c r="N7296" t="str">
        <f>IF(MASTER[[#This Row],[IDLOCAL]]=17,"HYDE PARK", "HARLEM IRVING")</f>
        <v>HYDE PARK</v>
      </c>
      <c r="O7296" t="str">
        <f>IF(MASTER[[#This Row],[IDLOCAL]]=17,"PREMIUM", "ESTÁNDAR")</f>
        <v>PREMIUM</v>
      </c>
      <c r="P7296" t="s">
        <v>137</v>
      </c>
      <c r="Q7296" t="s">
        <v>142</v>
      </c>
      <c r="R7296" t="s">
        <v>143</v>
      </c>
      <c r="S7296" t="s">
        <v>145</v>
      </c>
      <c r="T7296" s="2">
        <f>MASTER[[#This Row],[CANTIDAD]]*MASTER[[#This Row],[PRECIO DE VENTA]]</f>
        <v>2704</v>
      </c>
      <c r="U7296" s="2">
        <f>MASTER[[#This Row],[CANTIDAD]]*MASTER[[#This Row],[COSTO UNITARIO]]</f>
        <v>459</v>
      </c>
      <c r="V7296" s="2">
        <f>MASTER[[#This Row],[MONTO VENDIDO]]-MASTER[[#This Row],[COSTO DE VENTA]]</f>
        <v>2245</v>
      </c>
    </row>
    <row r="7297" spans="1:22" x14ac:dyDescent="0.3">
      <c r="A7297">
        <v>105831</v>
      </c>
      <c r="B7297">
        <v>1</v>
      </c>
      <c r="C7297" t="s">
        <v>90</v>
      </c>
      <c r="D7297" t="s">
        <v>91</v>
      </c>
      <c r="E7297" s="1">
        <v>44263</v>
      </c>
      <c r="F7297">
        <v>1</v>
      </c>
      <c r="G7297" t="s">
        <v>35</v>
      </c>
      <c r="H7297" t="s">
        <v>36</v>
      </c>
      <c r="I7297" s="4">
        <v>2673</v>
      </c>
      <c r="J7297" s="3">
        <v>2673</v>
      </c>
      <c r="K7297" s="4">
        <v>420</v>
      </c>
      <c r="L7297" t="s">
        <v>9</v>
      </c>
      <c r="M7297">
        <v>19</v>
      </c>
      <c r="N7297" t="s">
        <v>150</v>
      </c>
      <c r="O7297" t="s">
        <v>81</v>
      </c>
      <c r="P7297" t="s">
        <v>136</v>
      </c>
      <c r="Q7297" t="s">
        <v>140</v>
      </c>
      <c r="R7297" t="s">
        <v>141</v>
      </c>
      <c r="S7297" t="s">
        <v>145</v>
      </c>
      <c r="T7297" s="2">
        <f>MASTER[[#This Row],[CANTIDAD]]*MASTER[[#This Row],[PRECIO DE VENTA]]</f>
        <v>2673</v>
      </c>
      <c r="U7297" s="2">
        <f>MASTER[[#This Row],[CANTIDAD]]*MASTER[[#This Row],[COSTO UNITARIO]]</f>
        <v>420</v>
      </c>
      <c r="V7297" s="2">
        <f>MASTER[[#This Row],[MONTO VENDIDO]]-MASTER[[#This Row],[COSTO DE VENTA]]</f>
        <v>2253</v>
      </c>
    </row>
    <row r="7298" spans="1:22" x14ac:dyDescent="0.3">
      <c r="A7298">
        <v>105853</v>
      </c>
      <c r="B7298">
        <v>2</v>
      </c>
      <c r="C7298" t="s">
        <v>92</v>
      </c>
      <c r="D7298" t="s">
        <v>93</v>
      </c>
      <c r="E7298" s="1">
        <v>44263</v>
      </c>
      <c r="F7298">
        <v>1</v>
      </c>
      <c r="G7298" t="s">
        <v>53</v>
      </c>
      <c r="H7298" t="s">
        <v>54</v>
      </c>
      <c r="I7298" s="4">
        <v>2144</v>
      </c>
      <c r="J7298" s="3">
        <v>2144</v>
      </c>
      <c r="K7298" s="4">
        <v>396</v>
      </c>
      <c r="L7298" t="s">
        <v>9</v>
      </c>
      <c r="M7298">
        <v>19</v>
      </c>
      <c r="N7298" t="s">
        <v>150</v>
      </c>
      <c r="O7298" t="s">
        <v>81</v>
      </c>
      <c r="P7298" t="s">
        <v>136</v>
      </c>
      <c r="Q7298" t="s">
        <v>140</v>
      </c>
      <c r="R7298" t="s">
        <v>141</v>
      </c>
      <c r="S7298" t="s">
        <v>145</v>
      </c>
      <c r="T7298" s="2">
        <f>MASTER[[#This Row],[CANTIDAD]]*MASTER[[#This Row],[PRECIO DE VENTA]]</f>
        <v>2144</v>
      </c>
      <c r="U7298" s="2">
        <f>MASTER[[#This Row],[CANTIDAD]]*MASTER[[#This Row],[COSTO UNITARIO]]</f>
        <v>396</v>
      </c>
      <c r="V7298" s="2">
        <f>MASTER[[#This Row],[MONTO VENDIDO]]-MASTER[[#This Row],[COSTO DE VENTA]]</f>
        <v>1748</v>
      </c>
    </row>
    <row r="7299" spans="1:22" x14ac:dyDescent="0.3">
      <c r="A7299">
        <v>105862</v>
      </c>
      <c r="B7299">
        <v>1</v>
      </c>
      <c r="C7299" t="s">
        <v>107</v>
      </c>
      <c r="D7299" t="s">
        <v>108</v>
      </c>
      <c r="E7299" s="1">
        <v>44263</v>
      </c>
      <c r="F7299">
        <v>1</v>
      </c>
      <c r="G7299" t="s">
        <v>47</v>
      </c>
      <c r="H7299" t="s">
        <v>48</v>
      </c>
      <c r="I7299" s="4">
        <v>2088</v>
      </c>
      <c r="J7299" s="3">
        <v>2088</v>
      </c>
      <c r="K7299" s="4">
        <v>380</v>
      </c>
      <c r="L7299" t="s">
        <v>98</v>
      </c>
      <c r="M7299">
        <v>17</v>
      </c>
      <c r="N7299" t="str">
        <f>IF(MASTER[[#This Row],[IDLOCAL]]=17,"HYDE PARK", "HARLEM IRVING")</f>
        <v>HYDE PARK</v>
      </c>
      <c r="O7299" t="str">
        <f>IF(MASTER[[#This Row],[IDLOCAL]]=17,"PREMIUM", "ESTÁNDAR")</f>
        <v>PREMIUM</v>
      </c>
      <c r="P7299" t="s">
        <v>137</v>
      </c>
      <c r="Q7299" t="s">
        <v>142</v>
      </c>
      <c r="R7299" t="s">
        <v>143</v>
      </c>
      <c r="S7299" t="s">
        <v>145</v>
      </c>
      <c r="T7299" s="2">
        <f>MASTER[[#This Row],[CANTIDAD]]*MASTER[[#This Row],[PRECIO DE VENTA]]</f>
        <v>2088</v>
      </c>
      <c r="U7299" s="2">
        <f>MASTER[[#This Row],[CANTIDAD]]*MASTER[[#This Row],[COSTO UNITARIO]]</f>
        <v>380</v>
      </c>
      <c r="V7299" s="2">
        <f>MASTER[[#This Row],[MONTO VENDIDO]]-MASTER[[#This Row],[COSTO DE VENTA]]</f>
        <v>1708</v>
      </c>
    </row>
    <row r="7300" spans="1:22" x14ac:dyDescent="0.3">
      <c r="A7300">
        <v>105866</v>
      </c>
      <c r="B7300">
        <v>1</v>
      </c>
      <c r="C7300" t="s">
        <v>5</v>
      </c>
      <c r="D7300" t="s">
        <v>6</v>
      </c>
      <c r="E7300" s="1">
        <v>44264</v>
      </c>
      <c r="F7300">
        <v>1</v>
      </c>
      <c r="G7300" t="s">
        <v>45</v>
      </c>
      <c r="H7300" t="s">
        <v>46</v>
      </c>
      <c r="I7300" s="4">
        <v>1900</v>
      </c>
      <c r="J7300" s="3">
        <v>1900</v>
      </c>
      <c r="K7300" s="4">
        <v>393</v>
      </c>
      <c r="L7300" t="s">
        <v>9</v>
      </c>
      <c r="M7300">
        <v>19</v>
      </c>
      <c r="N7300" t="s">
        <v>150</v>
      </c>
      <c r="O7300" t="s">
        <v>81</v>
      </c>
      <c r="P7300" t="s">
        <v>136</v>
      </c>
      <c r="Q7300" t="s">
        <v>140</v>
      </c>
      <c r="R7300" t="s">
        <v>141</v>
      </c>
      <c r="S7300" t="s">
        <v>145</v>
      </c>
      <c r="T7300" s="2">
        <f>MASTER[[#This Row],[CANTIDAD]]*MASTER[[#This Row],[PRECIO DE VENTA]]</f>
        <v>1900</v>
      </c>
      <c r="U7300" s="2">
        <f>MASTER[[#This Row],[CANTIDAD]]*MASTER[[#This Row],[COSTO UNITARIO]]</f>
        <v>393</v>
      </c>
      <c r="V7300" s="2">
        <f>MASTER[[#This Row],[MONTO VENDIDO]]-MASTER[[#This Row],[COSTO DE VENTA]]</f>
        <v>1507</v>
      </c>
    </row>
    <row r="7301" spans="1:22" x14ac:dyDescent="0.3">
      <c r="A7301">
        <v>105867</v>
      </c>
      <c r="B7301">
        <v>1</v>
      </c>
      <c r="C7301" t="s">
        <v>90</v>
      </c>
      <c r="D7301" t="s">
        <v>91</v>
      </c>
      <c r="E7301" s="1">
        <v>44264</v>
      </c>
      <c r="F7301">
        <v>1</v>
      </c>
      <c r="G7301" t="s">
        <v>35</v>
      </c>
      <c r="H7301" t="s">
        <v>36</v>
      </c>
      <c r="I7301" s="4">
        <v>3047</v>
      </c>
      <c r="J7301" s="3">
        <v>3047</v>
      </c>
      <c r="K7301" s="4">
        <v>420</v>
      </c>
      <c r="L7301" t="s">
        <v>9</v>
      </c>
      <c r="M7301">
        <v>17</v>
      </c>
      <c r="N7301" t="str">
        <f>IF(MASTER[[#This Row],[IDLOCAL]]=17,"HYDE PARK", "HARLEM IRVING")</f>
        <v>HYDE PARK</v>
      </c>
      <c r="O7301" t="str">
        <f>IF(MASTER[[#This Row],[IDLOCAL]]=17,"PREMIUM", "ESTÁNDAR")</f>
        <v>PREMIUM</v>
      </c>
      <c r="P7301" t="s">
        <v>137</v>
      </c>
      <c r="Q7301" t="s">
        <v>142</v>
      </c>
      <c r="R7301" t="s">
        <v>143</v>
      </c>
      <c r="S7301" t="s">
        <v>145</v>
      </c>
      <c r="T7301" s="2">
        <f>MASTER[[#This Row],[CANTIDAD]]*MASTER[[#This Row],[PRECIO DE VENTA]]</f>
        <v>3047</v>
      </c>
      <c r="U7301" s="2">
        <f>MASTER[[#This Row],[CANTIDAD]]*MASTER[[#This Row],[COSTO UNITARIO]]</f>
        <v>420</v>
      </c>
      <c r="V7301" s="2">
        <f>MASTER[[#This Row],[MONTO VENDIDO]]-MASTER[[#This Row],[COSTO DE VENTA]]</f>
        <v>2627</v>
      </c>
    </row>
    <row r="7302" spans="1:22" x14ac:dyDescent="0.3">
      <c r="A7302">
        <v>105870</v>
      </c>
      <c r="B7302">
        <v>1</v>
      </c>
      <c r="C7302" t="s">
        <v>103</v>
      </c>
      <c r="D7302" t="s">
        <v>104</v>
      </c>
      <c r="E7302" s="1">
        <v>44264</v>
      </c>
      <c r="F7302">
        <v>1</v>
      </c>
      <c r="G7302" t="s">
        <v>29</v>
      </c>
      <c r="H7302" t="s">
        <v>30</v>
      </c>
      <c r="I7302" s="4">
        <v>2306</v>
      </c>
      <c r="J7302" s="3">
        <v>2306</v>
      </c>
      <c r="K7302" s="4">
        <v>421</v>
      </c>
      <c r="L7302" t="s">
        <v>98</v>
      </c>
      <c r="M7302">
        <v>19</v>
      </c>
      <c r="N7302" t="s">
        <v>150</v>
      </c>
      <c r="O7302" t="s">
        <v>81</v>
      </c>
      <c r="P7302" t="s">
        <v>136</v>
      </c>
      <c r="Q7302" t="s">
        <v>140</v>
      </c>
      <c r="R7302" t="s">
        <v>141</v>
      </c>
      <c r="S7302" t="s">
        <v>145</v>
      </c>
      <c r="T7302" s="2">
        <f>MASTER[[#This Row],[CANTIDAD]]*MASTER[[#This Row],[PRECIO DE VENTA]]</f>
        <v>2306</v>
      </c>
      <c r="U7302" s="2">
        <f>MASTER[[#This Row],[CANTIDAD]]*MASTER[[#This Row],[COSTO UNITARIO]]</f>
        <v>421</v>
      </c>
      <c r="V7302" s="2">
        <f>MASTER[[#This Row],[MONTO VENDIDO]]-MASTER[[#This Row],[COSTO DE VENTA]]</f>
        <v>1885</v>
      </c>
    </row>
    <row r="7303" spans="1:22" x14ac:dyDescent="0.3">
      <c r="A7303">
        <v>105892</v>
      </c>
      <c r="B7303">
        <v>1</v>
      </c>
      <c r="C7303" t="s">
        <v>118</v>
      </c>
      <c r="D7303" t="s">
        <v>119</v>
      </c>
      <c r="E7303" s="1">
        <v>44264</v>
      </c>
      <c r="F7303">
        <v>1</v>
      </c>
      <c r="G7303" t="s">
        <v>41</v>
      </c>
      <c r="H7303" t="s">
        <v>42</v>
      </c>
      <c r="I7303" s="4">
        <v>1161</v>
      </c>
      <c r="J7303" s="3">
        <v>1161</v>
      </c>
      <c r="K7303" s="4">
        <v>424</v>
      </c>
      <c r="L7303" t="s">
        <v>120</v>
      </c>
      <c r="M7303">
        <v>17</v>
      </c>
      <c r="N7303" t="str">
        <f>IF(MASTER[[#This Row],[IDLOCAL]]=17,"HYDE PARK", "HARLEM IRVING")</f>
        <v>HYDE PARK</v>
      </c>
      <c r="O7303" t="str">
        <f>IF(MASTER[[#This Row],[IDLOCAL]]=17,"PREMIUM", "ESTÁNDAR")</f>
        <v>PREMIUM</v>
      </c>
      <c r="P7303" t="s">
        <v>137</v>
      </c>
      <c r="Q7303" t="s">
        <v>142</v>
      </c>
      <c r="R7303" t="s">
        <v>143</v>
      </c>
      <c r="S7303" t="s">
        <v>145</v>
      </c>
      <c r="T7303" s="2">
        <f>MASTER[[#This Row],[CANTIDAD]]*MASTER[[#This Row],[PRECIO DE VENTA]]</f>
        <v>1161</v>
      </c>
      <c r="U7303" s="2">
        <f>MASTER[[#This Row],[CANTIDAD]]*MASTER[[#This Row],[COSTO UNITARIO]]</f>
        <v>424</v>
      </c>
      <c r="V7303" s="2">
        <f>MASTER[[#This Row],[MONTO VENDIDO]]-MASTER[[#This Row],[COSTO DE VENTA]]</f>
        <v>737</v>
      </c>
    </row>
    <row r="7304" spans="1:22" x14ac:dyDescent="0.3">
      <c r="A7304">
        <v>105904</v>
      </c>
      <c r="B7304">
        <v>1</v>
      </c>
      <c r="C7304" t="s">
        <v>96</v>
      </c>
      <c r="D7304" t="s">
        <v>97</v>
      </c>
      <c r="E7304" s="1">
        <v>44265</v>
      </c>
      <c r="F7304">
        <v>1</v>
      </c>
      <c r="G7304" t="s">
        <v>20</v>
      </c>
      <c r="H7304" t="s">
        <v>21</v>
      </c>
      <c r="I7304" s="4">
        <v>1734</v>
      </c>
      <c r="J7304" s="3">
        <v>1734</v>
      </c>
      <c r="K7304" s="4">
        <v>397</v>
      </c>
      <c r="L7304" t="s">
        <v>98</v>
      </c>
      <c r="M7304">
        <v>19</v>
      </c>
      <c r="N7304" t="s">
        <v>150</v>
      </c>
      <c r="O7304" t="s">
        <v>81</v>
      </c>
      <c r="P7304" t="s">
        <v>136</v>
      </c>
      <c r="Q7304" t="s">
        <v>140</v>
      </c>
      <c r="R7304" t="s">
        <v>141</v>
      </c>
      <c r="S7304" t="s">
        <v>145</v>
      </c>
      <c r="T7304" s="2">
        <f>MASTER[[#This Row],[CANTIDAD]]*MASTER[[#This Row],[PRECIO DE VENTA]]</f>
        <v>1734</v>
      </c>
      <c r="U7304" s="2">
        <f>MASTER[[#This Row],[CANTIDAD]]*MASTER[[#This Row],[COSTO UNITARIO]]</f>
        <v>397</v>
      </c>
      <c r="V7304" s="2">
        <f>MASTER[[#This Row],[MONTO VENDIDO]]-MASTER[[#This Row],[COSTO DE VENTA]]</f>
        <v>1337</v>
      </c>
    </row>
    <row r="7305" spans="1:22" x14ac:dyDescent="0.3">
      <c r="A7305">
        <v>105906</v>
      </c>
      <c r="B7305">
        <v>1</v>
      </c>
      <c r="C7305" t="s">
        <v>101</v>
      </c>
      <c r="D7305" t="s">
        <v>102</v>
      </c>
      <c r="E7305" s="1">
        <v>44265</v>
      </c>
      <c r="F7305">
        <v>1</v>
      </c>
      <c r="G7305" t="s">
        <v>43</v>
      </c>
      <c r="H7305" t="s">
        <v>44</v>
      </c>
      <c r="I7305" s="4">
        <v>1757</v>
      </c>
      <c r="J7305" s="3">
        <v>1757</v>
      </c>
      <c r="K7305" s="4">
        <v>442</v>
      </c>
      <c r="L7305" t="s">
        <v>98</v>
      </c>
      <c r="M7305">
        <v>19</v>
      </c>
      <c r="N7305" t="s">
        <v>150</v>
      </c>
      <c r="O7305" t="s">
        <v>81</v>
      </c>
      <c r="P7305" t="s">
        <v>136</v>
      </c>
      <c r="Q7305" t="s">
        <v>140</v>
      </c>
      <c r="R7305" t="s">
        <v>141</v>
      </c>
      <c r="S7305" t="s">
        <v>145</v>
      </c>
      <c r="T7305" s="2">
        <f>MASTER[[#This Row],[CANTIDAD]]*MASTER[[#This Row],[PRECIO DE VENTA]]</f>
        <v>1757</v>
      </c>
      <c r="U7305" s="2">
        <f>MASTER[[#This Row],[CANTIDAD]]*MASTER[[#This Row],[COSTO UNITARIO]]</f>
        <v>442</v>
      </c>
      <c r="V7305" s="2">
        <f>MASTER[[#This Row],[MONTO VENDIDO]]-MASTER[[#This Row],[COSTO DE VENTA]]</f>
        <v>1315</v>
      </c>
    </row>
    <row r="7306" spans="1:22" x14ac:dyDescent="0.3">
      <c r="A7306">
        <v>105915</v>
      </c>
      <c r="B7306">
        <v>1</v>
      </c>
      <c r="C7306" t="s">
        <v>107</v>
      </c>
      <c r="D7306" t="s">
        <v>108</v>
      </c>
      <c r="E7306" s="1">
        <v>44265</v>
      </c>
      <c r="F7306">
        <v>1</v>
      </c>
      <c r="G7306" t="s">
        <v>59</v>
      </c>
      <c r="H7306" t="s">
        <v>60</v>
      </c>
      <c r="I7306" s="4">
        <v>1932</v>
      </c>
      <c r="J7306" s="3">
        <v>1796</v>
      </c>
      <c r="K7306" s="4">
        <v>380</v>
      </c>
      <c r="L7306" t="s">
        <v>98</v>
      </c>
      <c r="M7306">
        <v>19</v>
      </c>
      <c r="N7306" t="s">
        <v>150</v>
      </c>
      <c r="O7306" t="s">
        <v>81</v>
      </c>
      <c r="P7306" t="s">
        <v>136</v>
      </c>
      <c r="Q7306" t="s">
        <v>140</v>
      </c>
      <c r="R7306" t="s">
        <v>141</v>
      </c>
      <c r="S7306" t="s">
        <v>145</v>
      </c>
      <c r="T7306" s="2">
        <f>MASTER[[#This Row],[CANTIDAD]]*MASTER[[#This Row],[PRECIO DE VENTA]]</f>
        <v>1796</v>
      </c>
      <c r="U7306" s="2">
        <f>MASTER[[#This Row],[CANTIDAD]]*MASTER[[#This Row],[COSTO UNITARIO]]</f>
        <v>380</v>
      </c>
      <c r="V7306" s="2">
        <f>MASTER[[#This Row],[MONTO VENDIDO]]-MASTER[[#This Row],[COSTO DE VENTA]]</f>
        <v>1416</v>
      </c>
    </row>
    <row r="7307" spans="1:22" x14ac:dyDescent="0.3">
      <c r="A7307">
        <v>105918</v>
      </c>
      <c r="B7307">
        <v>1</v>
      </c>
      <c r="C7307" t="s">
        <v>114</v>
      </c>
      <c r="D7307" t="s">
        <v>115</v>
      </c>
      <c r="E7307" s="1">
        <v>44265</v>
      </c>
      <c r="F7307">
        <v>1</v>
      </c>
      <c r="G7307" t="s">
        <v>49</v>
      </c>
      <c r="H7307" t="s">
        <v>50</v>
      </c>
      <c r="I7307" s="4">
        <v>2295</v>
      </c>
      <c r="J7307" s="3">
        <v>2295</v>
      </c>
      <c r="K7307" s="4">
        <v>394</v>
      </c>
      <c r="L7307" t="s">
        <v>113</v>
      </c>
      <c r="M7307">
        <v>19</v>
      </c>
      <c r="N7307" t="s">
        <v>150</v>
      </c>
      <c r="O7307" t="s">
        <v>81</v>
      </c>
      <c r="P7307" t="s">
        <v>136</v>
      </c>
      <c r="Q7307" t="s">
        <v>140</v>
      </c>
      <c r="R7307" t="s">
        <v>141</v>
      </c>
      <c r="S7307" t="s">
        <v>145</v>
      </c>
      <c r="T7307" s="2">
        <f>MASTER[[#This Row],[CANTIDAD]]*MASTER[[#This Row],[PRECIO DE VENTA]]</f>
        <v>2295</v>
      </c>
      <c r="U7307" s="2">
        <f>MASTER[[#This Row],[CANTIDAD]]*MASTER[[#This Row],[COSTO UNITARIO]]</f>
        <v>394</v>
      </c>
      <c r="V7307" s="2">
        <f>MASTER[[#This Row],[MONTO VENDIDO]]-MASTER[[#This Row],[COSTO DE VENTA]]</f>
        <v>1901</v>
      </c>
    </row>
    <row r="7308" spans="1:22" x14ac:dyDescent="0.3">
      <c r="A7308">
        <v>105935</v>
      </c>
      <c r="B7308">
        <v>1</v>
      </c>
      <c r="C7308" t="s">
        <v>116</v>
      </c>
      <c r="D7308" t="s">
        <v>117</v>
      </c>
      <c r="E7308" s="1">
        <v>44265</v>
      </c>
      <c r="F7308">
        <v>1</v>
      </c>
      <c r="G7308" t="s">
        <v>27</v>
      </c>
      <c r="H7308" t="s">
        <v>28</v>
      </c>
      <c r="I7308" s="4">
        <v>2520</v>
      </c>
      <c r="J7308" s="3">
        <v>2520</v>
      </c>
      <c r="K7308" s="4">
        <v>388</v>
      </c>
      <c r="L7308" t="s">
        <v>113</v>
      </c>
      <c r="M7308">
        <v>19</v>
      </c>
      <c r="N7308" t="s">
        <v>150</v>
      </c>
      <c r="O7308" t="s">
        <v>81</v>
      </c>
      <c r="P7308" t="s">
        <v>136</v>
      </c>
      <c r="Q7308" t="s">
        <v>140</v>
      </c>
      <c r="R7308" t="s">
        <v>141</v>
      </c>
      <c r="S7308" t="s">
        <v>145</v>
      </c>
      <c r="T7308" s="2">
        <f>MASTER[[#This Row],[CANTIDAD]]*MASTER[[#This Row],[PRECIO DE VENTA]]</f>
        <v>2520</v>
      </c>
      <c r="U7308" s="2">
        <f>MASTER[[#This Row],[CANTIDAD]]*MASTER[[#This Row],[COSTO UNITARIO]]</f>
        <v>388</v>
      </c>
      <c r="V7308" s="2">
        <f>MASTER[[#This Row],[MONTO VENDIDO]]-MASTER[[#This Row],[COSTO DE VENTA]]</f>
        <v>2132</v>
      </c>
    </row>
    <row r="7309" spans="1:22" x14ac:dyDescent="0.3">
      <c r="A7309">
        <v>105967</v>
      </c>
      <c r="B7309">
        <v>1</v>
      </c>
      <c r="C7309" t="s">
        <v>109</v>
      </c>
      <c r="D7309" t="s">
        <v>110</v>
      </c>
      <c r="E7309" s="1">
        <v>44266</v>
      </c>
      <c r="F7309">
        <v>1</v>
      </c>
      <c r="G7309" t="s">
        <v>49</v>
      </c>
      <c r="H7309" t="s">
        <v>50</v>
      </c>
      <c r="I7309" s="4">
        <v>1542</v>
      </c>
      <c r="J7309" s="3">
        <v>1542</v>
      </c>
      <c r="K7309" s="4">
        <v>387</v>
      </c>
      <c r="L7309" t="s">
        <v>98</v>
      </c>
      <c r="M7309">
        <v>19</v>
      </c>
      <c r="N7309" t="s">
        <v>150</v>
      </c>
      <c r="O7309" t="s">
        <v>81</v>
      </c>
      <c r="P7309" t="s">
        <v>136</v>
      </c>
      <c r="Q7309" t="s">
        <v>140</v>
      </c>
      <c r="R7309" t="s">
        <v>141</v>
      </c>
      <c r="S7309" t="s">
        <v>145</v>
      </c>
      <c r="T7309" s="2">
        <f>MASTER[[#This Row],[CANTIDAD]]*MASTER[[#This Row],[PRECIO DE VENTA]]</f>
        <v>1542</v>
      </c>
      <c r="U7309" s="2">
        <f>MASTER[[#This Row],[CANTIDAD]]*MASTER[[#This Row],[COSTO UNITARIO]]</f>
        <v>387</v>
      </c>
      <c r="V7309" s="2">
        <f>MASTER[[#This Row],[MONTO VENDIDO]]-MASTER[[#This Row],[COSTO DE VENTA]]</f>
        <v>1155</v>
      </c>
    </row>
    <row r="7310" spans="1:22" x14ac:dyDescent="0.3">
      <c r="A7310">
        <v>105969</v>
      </c>
      <c r="B7310">
        <v>1</v>
      </c>
      <c r="C7310" t="s">
        <v>116</v>
      </c>
      <c r="D7310" t="s">
        <v>117</v>
      </c>
      <c r="E7310" s="1">
        <v>44267</v>
      </c>
      <c r="F7310">
        <v>1</v>
      </c>
      <c r="G7310" t="s">
        <v>24</v>
      </c>
      <c r="H7310" t="s">
        <v>25</v>
      </c>
      <c r="I7310" s="4">
        <v>2217</v>
      </c>
      <c r="J7310" s="3">
        <v>2217</v>
      </c>
      <c r="K7310" s="4">
        <v>388</v>
      </c>
      <c r="L7310" t="s">
        <v>113</v>
      </c>
      <c r="M7310">
        <v>17</v>
      </c>
      <c r="N7310" t="str">
        <f>IF(MASTER[[#This Row],[IDLOCAL]]=17,"HYDE PARK", "HARLEM IRVING")</f>
        <v>HYDE PARK</v>
      </c>
      <c r="O7310" t="str">
        <f>IF(MASTER[[#This Row],[IDLOCAL]]=17,"PREMIUM", "ESTÁNDAR")</f>
        <v>PREMIUM</v>
      </c>
      <c r="P7310" t="s">
        <v>137</v>
      </c>
      <c r="Q7310" t="s">
        <v>142</v>
      </c>
      <c r="R7310" t="s">
        <v>143</v>
      </c>
      <c r="S7310" t="s">
        <v>145</v>
      </c>
      <c r="T7310" s="2">
        <f>MASTER[[#This Row],[CANTIDAD]]*MASTER[[#This Row],[PRECIO DE VENTA]]</f>
        <v>2217</v>
      </c>
      <c r="U7310" s="2">
        <f>MASTER[[#This Row],[CANTIDAD]]*MASTER[[#This Row],[COSTO UNITARIO]]</f>
        <v>388</v>
      </c>
      <c r="V7310" s="2">
        <f>MASTER[[#This Row],[MONTO VENDIDO]]-MASTER[[#This Row],[COSTO DE VENTA]]</f>
        <v>1829</v>
      </c>
    </row>
    <row r="7311" spans="1:22" x14ac:dyDescent="0.3">
      <c r="A7311">
        <v>105978</v>
      </c>
      <c r="B7311">
        <v>1</v>
      </c>
      <c r="C7311" t="s">
        <v>5</v>
      </c>
      <c r="D7311" t="s">
        <v>6</v>
      </c>
      <c r="E7311" s="1">
        <v>44269</v>
      </c>
      <c r="F7311">
        <v>2</v>
      </c>
      <c r="G7311" t="s">
        <v>22</v>
      </c>
      <c r="H7311" t="s">
        <v>23</v>
      </c>
      <c r="I7311" s="4">
        <v>2185</v>
      </c>
      <c r="J7311" s="3">
        <v>2185</v>
      </c>
      <c r="K7311" s="4">
        <v>393</v>
      </c>
      <c r="L7311" t="s">
        <v>9</v>
      </c>
      <c r="M7311">
        <v>19</v>
      </c>
      <c r="N7311" t="s">
        <v>150</v>
      </c>
      <c r="O7311" t="s">
        <v>81</v>
      </c>
      <c r="P7311" t="s">
        <v>136</v>
      </c>
      <c r="Q7311" t="s">
        <v>140</v>
      </c>
      <c r="R7311" t="s">
        <v>141</v>
      </c>
      <c r="S7311" t="s">
        <v>145</v>
      </c>
      <c r="T7311" s="2">
        <f>MASTER[[#This Row],[CANTIDAD]]*MASTER[[#This Row],[PRECIO DE VENTA]]</f>
        <v>4370</v>
      </c>
      <c r="U7311" s="2">
        <f>MASTER[[#This Row],[CANTIDAD]]*MASTER[[#This Row],[COSTO UNITARIO]]</f>
        <v>786</v>
      </c>
      <c r="V7311" s="2">
        <f>MASTER[[#This Row],[MONTO VENDIDO]]-MASTER[[#This Row],[COSTO DE VENTA]]</f>
        <v>3584</v>
      </c>
    </row>
    <row r="7312" spans="1:22" x14ac:dyDescent="0.3">
      <c r="A7312">
        <v>105984</v>
      </c>
      <c r="B7312">
        <v>1</v>
      </c>
      <c r="C7312" t="s">
        <v>121</v>
      </c>
      <c r="D7312" t="s">
        <v>122</v>
      </c>
      <c r="E7312" s="1">
        <v>44270</v>
      </c>
      <c r="F7312">
        <v>2</v>
      </c>
      <c r="G7312" t="s">
        <v>73</v>
      </c>
      <c r="H7312" t="s">
        <v>74</v>
      </c>
      <c r="I7312" s="4">
        <v>1658</v>
      </c>
      <c r="J7312" s="3">
        <v>1658</v>
      </c>
      <c r="K7312" s="4">
        <v>460</v>
      </c>
      <c r="L7312" t="s">
        <v>120</v>
      </c>
      <c r="M7312">
        <v>17</v>
      </c>
      <c r="N7312" t="str">
        <f>IF(MASTER[[#This Row],[IDLOCAL]]=17,"HYDE PARK", "HARLEM IRVING")</f>
        <v>HYDE PARK</v>
      </c>
      <c r="O7312" t="str">
        <f>IF(MASTER[[#This Row],[IDLOCAL]]=17,"PREMIUM", "ESTÁNDAR")</f>
        <v>PREMIUM</v>
      </c>
      <c r="P7312" t="s">
        <v>137</v>
      </c>
      <c r="Q7312" t="s">
        <v>142</v>
      </c>
      <c r="R7312" t="s">
        <v>143</v>
      </c>
      <c r="S7312" t="s">
        <v>145</v>
      </c>
      <c r="T7312" s="2">
        <f>MASTER[[#This Row],[CANTIDAD]]*MASTER[[#This Row],[PRECIO DE VENTA]]</f>
        <v>3316</v>
      </c>
      <c r="U7312" s="2">
        <f>MASTER[[#This Row],[CANTIDAD]]*MASTER[[#This Row],[COSTO UNITARIO]]</f>
        <v>920</v>
      </c>
      <c r="V7312" s="2">
        <f>MASTER[[#This Row],[MONTO VENDIDO]]-MASTER[[#This Row],[COSTO DE VENTA]]</f>
        <v>2396</v>
      </c>
    </row>
    <row r="7313" spans="1:22" x14ac:dyDescent="0.3">
      <c r="A7313">
        <v>105988</v>
      </c>
      <c r="B7313">
        <v>1</v>
      </c>
      <c r="C7313" t="s">
        <v>118</v>
      </c>
      <c r="D7313" t="s">
        <v>119</v>
      </c>
      <c r="E7313" s="1">
        <v>44272</v>
      </c>
      <c r="F7313">
        <v>1</v>
      </c>
      <c r="G7313" t="s">
        <v>47</v>
      </c>
      <c r="H7313" t="s">
        <v>48</v>
      </c>
      <c r="I7313" s="4">
        <v>1487</v>
      </c>
      <c r="J7313" s="3">
        <v>1367</v>
      </c>
      <c r="K7313" s="4">
        <v>424</v>
      </c>
      <c r="L7313" t="s">
        <v>120</v>
      </c>
      <c r="M7313">
        <v>18</v>
      </c>
      <c r="N7313" t="str">
        <f>IF(MASTER[[#This Row],[IDLOCAL]]=17,"HYDE PARK", "HARLEM IRVING")</f>
        <v>HARLEM IRVING</v>
      </c>
      <c r="O7313" t="str">
        <f>IF(MASTER[[#This Row],[IDLOCAL]]=17,"PREMIUM", "ESTÁNDAR")</f>
        <v>ESTÁNDAR</v>
      </c>
      <c r="P7313" t="s">
        <v>137</v>
      </c>
      <c r="Q7313" t="s">
        <v>142</v>
      </c>
      <c r="R7313" t="s">
        <v>143</v>
      </c>
      <c r="S7313" t="s">
        <v>145</v>
      </c>
      <c r="T7313" s="2">
        <f>MASTER[[#This Row],[CANTIDAD]]*MASTER[[#This Row],[PRECIO DE VENTA]]</f>
        <v>1367</v>
      </c>
      <c r="U7313" s="2">
        <f>MASTER[[#This Row],[CANTIDAD]]*MASTER[[#This Row],[COSTO UNITARIO]]</f>
        <v>424</v>
      </c>
      <c r="V7313" s="2">
        <f>MASTER[[#This Row],[MONTO VENDIDO]]-MASTER[[#This Row],[COSTO DE VENTA]]</f>
        <v>943</v>
      </c>
    </row>
    <row r="7314" spans="1:22" x14ac:dyDescent="0.3">
      <c r="A7314">
        <v>106010</v>
      </c>
      <c r="B7314">
        <v>1</v>
      </c>
      <c r="C7314" t="s">
        <v>121</v>
      </c>
      <c r="D7314" t="s">
        <v>122</v>
      </c>
      <c r="E7314" s="1">
        <v>44272</v>
      </c>
      <c r="F7314">
        <v>1</v>
      </c>
      <c r="G7314" t="s">
        <v>7</v>
      </c>
      <c r="H7314" t="s">
        <v>8</v>
      </c>
      <c r="I7314" s="4">
        <v>1550</v>
      </c>
      <c r="J7314" s="3">
        <v>1550</v>
      </c>
      <c r="K7314" s="4">
        <v>460</v>
      </c>
      <c r="L7314" t="s">
        <v>120</v>
      </c>
      <c r="M7314">
        <v>19</v>
      </c>
      <c r="N7314" t="s">
        <v>150</v>
      </c>
      <c r="O7314" t="s">
        <v>81</v>
      </c>
      <c r="P7314" t="s">
        <v>136</v>
      </c>
      <c r="Q7314" t="s">
        <v>140</v>
      </c>
      <c r="R7314" t="s">
        <v>141</v>
      </c>
      <c r="S7314" t="s">
        <v>145</v>
      </c>
      <c r="T7314" s="2">
        <f>MASTER[[#This Row],[CANTIDAD]]*MASTER[[#This Row],[PRECIO DE VENTA]]</f>
        <v>1550</v>
      </c>
      <c r="U7314" s="2">
        <f>MASTER[[#This Row],[CANTIDAD]]*MASTER[[#This Row],[COSTO UNITARIO]]</f>
        <v>460</v>
      </c>
      <c r="V7314" s="2">
        <f>MASTER[[#This Row],[MONTO VENDIDO]]-MASTER[[#This Row],[COSTO DE VENTA]]</f>
        <v>1090</v>
      </c>
    </row>
    <row r="7315" spans="1:22" x14ac:dyDescent="0.3">
      <c r="A7315">
        <v>106015</v>
      </c>
      <c r="B7315">
        <v>1</v>
      </c>
      <c r="C7315" t="s">
        <v>101</v>
      </c>
      <c r="D7315" t="s">
        <v>102</v>
      </c>
      <c r="E7315" s="1">
        <v>44273</v>
      </c>
      <c r="F7315">
        <v>1</v>
      </c>
      <c r="G7315" t="s">
        <v>47</v>
      </c>
      <c r="H7315" t="s">
        <v>48</v>
      </c>
      <c r="I7315" s="4">
        <v>1967</v>
      </c>
      <c r="J7315" s="3">
        <v>1967</v>
      </c>
      <c r="K7315" s="4">
        <v>442</v>
      </c>
      <c r="L7315" t="s">
        <v>98</v>
      </c>
      <c r="M7315">
        <v>19</v>
      </c>
      <c r="N7315" t="s">
        <v>150</v>
      </c>
      <c r="O7315" t="s">
        <v>81</v>
      </c>
      <c r="P7315" t="s">
        <v>136</v>
      </c>
      <c r="Q7315" t="s">
        <v>140</v>
      </c>
      <c r="R7315" t="s">
        <v>141</v>
      </c>
      <c r="S7315" t="s">
        <v>145</v>
      </c>
      <c r="T7315" s="2">
        <f>MASTER[[#This Row],[CANTIDAD]]*MASTER[[#This Row],[PRECIO DE VENTA]]</f>
        <v>1967</v>
      </c>
      <c r="U7315" s="2">
        <f>MASTER[[#This Row],[CANTIDAD]]*MASTER[[#This Row],[COSTO UNITARIO]]</f>
        <v>442</v>
      </c>
      <c r="V7315" s="2">
        <f>MASTER[[#This Row],[MONTO VENDIDO]]-MASTER[[#This Row],[COSTO DE VENTA]]</f>
        <v>1525</v>
      </c>
    </row>
    <row r="7316" spans="1:22" x14ac:dyDescent="0.3">
      <c r="A7316">
        <v>106033</v>
      </c>
      <c r="B7316">
        <v>1</v>
      </c>
      <c r="C7316" t="s">
        <v>90</v>
      </c>
      <c r="D7316" t="s">
        <v>91</v>
      </c>
      <c r="E7316" s="1">
        <v>44275</v>
      </c>
      <c r="F7316">
        <v>1</v>
      </c>
      <c r="G7316" t="s">
        <v>29</v>
      </c>
      <c r="H7316" t="s">
        <v>30</v>
      </c>
      <c r="I7316" s="4">
        <v>2407</v>
      </c>
      <c r="J7316" s="3">
        <v>2407</v>
      </c>
      <c r="K7316" s="4">
        <v>420</v>
      </c>
      <c r="L7316" t="s">
        <v>9</v>
      </c>
      <c r="M7316">
        <v>17</v>
      </c>
      <c r="N7316" t="str">
        <f>IF(MASTER[[#This Row],[IDLOCAL]]=17,"HYDE PARK", "HARLEM IRVING")</f>
        <v>HYDE PARK</v>
      </c>
      <c r="O7316" t="str">
        <f>IF(MASTER[[#This Row],[IDLOCAL]]=17,"PREMIUM", "ESTÁNDAR")</f>
        <v>PREMIUM</v>
      </c>
      <c r="P7316" t="s">
        <v>137</v>
      </c>
      <c r="Q7316" t="s">
        <v>142</v>
      </c>
      <c r="R7316" t="s">
        <v>143</v>
      </c>
      <c r="S7316" t="s">
        <v>145</v>
      </c>
      <c r="T7316" s="2">
        <f>MASTER[[#This Row],[CANTIDAD]]*MASTER[[#This Row],[PRECIO DE VENTA]]</f>
        <v>2407</v>
      </c>
      <c r="U7316" s="2">
        <f>MASTER[[#This Row],[CANTIDAD]]*MASTER[[#This Row],[COSTO UNITARIO]]</f>
        <v>420</v>
      </c>
      <c r="V7316" s="2">
        <f>MASTER[[#This Row],[MONTO VENDIDO]]-MASTER[[#This Row],[COSTO DE VENTA]]</f>
        <v>1987</v>
      </c>
    </row>
    <row r="7317" spans="1:22" x14ac:dyDescent="0.3">
      <c r="A7317">
        <v>106050</v>
      </c>
      <c r="B7317">
        <v>1</v>
      </c>
      <c r="C7317" t="s">
        <v>90</v>
      </c>
      <c r="D7317" t="s">
        <v>91</v>
      </c>
      <c r="E7317" s="1">
        <v>44275</v>
      </c>
      <c r="F7317">
        <v>1</v>
      </c>
      <c r="G7317" t="s">
        <v>33</v>
      </c>
      <c r="H7317" t="s">
        <v>34</v>
      </c>
      <c r="I7317" s="4">
        <v>2673</v>
      </c>
      <c r="J7317" s="3">
        <v>2673</v>
      </c>
      <c r="K7317" s="4">
        <v>420</v>
      </c>
      <c r="L7317" t="s">
        <v>9</v>
      </c>
      <c r="M7317">
        <v>17</v>
      </c>
      <c r="N7317" t="str">
        <f>IF(MASTER[[#This Row],[IDLOCAL]]=17,"HYDE PARK", "HARLEM IRVING")</f>
        <v>HYDE PARK</v>
      </c>
      <c r="O7317" t="str">
        <f>IF(MASTER[[#This Row],[IDLOCAL]]=17,"PREMIUM", "ESTÁNDAR")</f>
        <v>PREMIUM</v>
      </c>
      <c r="P7317" t="s">
        <v>137</v>
      </c>
      <c r="Q7317" t="s">
        <v>142</v>
      </c>
      <c r="R7317" t="s">
        <v>143</v>
      </c>
      <c r="S7317" t="s">
        <v>145</v>
      </c>
      <c r="T7317" s="2">
        <f>MASTER[[#This Row],[CANTIDAD]]*MASTER[[#This Row],[PRECIO DE VENTA]]</f>
        <v>2673</v>
      </c>
      <c r="U7317" s="2">
        <f>MASTER[[#This Row],[CANTIDAD]]*MASTER[[#This Row],[COSTO UNITARIO]]</f>
        <v>420</v>
      </c>
      <c r="V7317" s="2">
        <f>MASTER[[#This Row],[MONTO VENDIDO]]-MASTER[[#This Row],[COSTO DE VENTA]]</f>
        <v>2253</v>
      </c>
    </row>
    <row r="7318" spans="1:22" x14ac:dyDescent="0.3">
      <c r="A7318">
        <v>106058</v>
      </c>
      <c r="B7318">
        <v>1</v>
      </c>
      <c r="C7318" t="s">
        <v>111</v>
      </c>
      <c r="D7318" t="s">
        <v>112</v>
      </c>
      <c r="E7318" s="1">
        <v>44275</v>
      </c>
      <c r="F7318">
        <v>1</v>
      </c>
      <c r="G7318" t="s">
        <v>57</v>
      </c>
      <c r="H7318" t="s">
        <v>58</v>
      </c>
      <c r="I7318" s="4">
        <v>2608</v>
      </c>
      <c r="J7318" s="3">
        <v>2608</v>
      </c>
      <c r="K7318" s="4">
        <v>434</v>
      </c>
      <c r="L7318" t="s">
        <v>113</v>
      </c>
      <c r="M7318">
        <v>18</v>
      </c>
      <c r="N7318" t="str">
        <f>IF(MASTER[[#This Row],[IDLOCAL]]=17,"HYDE PARK", "HARLEM IRVING")</f>
        <v>HARLEM IRVING</v>
      </c>
      <c r="O7318" t="str">
        <f>IF(MASTER[[#This Row],[IDLOCAL]]=17,"PREMIUM", "ESTÁNDAR")</f>
        <v>ESTÁNDAR</v>
      </c>
      <c r="P7318" t="s">
        <v>137</v>
      </c>
      <c r="Q7318" t="s">
        <v>142</v>
      </c>
      <c r="R7318" t="s">
        <v>143</v>
      </c>
      <c r="S7318" t="s">
        <v>145</v>
      </c>
      <c r="T7318" s="2">
        <f>MASTER[[#This Row],[CANTIDAD]]*MASTER[[#This Row],[PRECIO DE VENTA]]</f>
        <v>2608</v>
      </c>
      <c r="U7318" s="2">
        <f>MASTER[[#This Row],[CANTIDAD]]*MASTER[[#This Row],[COSTO UNITARIO]]</f>
        <v>434</v>
      </c>
      <c r="V7318" s="2">
        <f>MASTER[[#This Row],[MONTO VENDIDO]]-MASTER[[#This Row],[COSTO DE VENTA]]</f>
        <v>2174</v>
      </c>
    </row>
    <row r="7319" spans="1:22" x14ac:dyDescent="0.3">
      <c r="A7319">
        <v>106075</v>
      </c>
      <c r="B7319">
        <v>1</v>
      </c>
      <c r="C7319" t="s">
        <v>94</v>
      </c>
      <c r="D7319" t="s">
        <v>95</v>
      </c>
      <c r="E7319" s="1">
        <v>44276</v>
      </c>
      <c r="F7319">
        <v>1</v>
      </c>
      <c r="G7319" t="s">
        <v>57</v>
      </c>
      <c r="H7319" t="s">
        <v>58</v>
      </c>
      <c r="I7319" s="4">
        <v>1519</v>
      </c>
      <c r="J7319" s="3">
        <v>1428</v>
      </c>
      <c r="K7319" s="4">
        <v>392</v>
      </c>
      <c r="L7319" t="s">
        <v>9</v>
      </c>
      <c r="M7319">
        <v>19</v>
      </c>
      <c r="N7319" t="s">
        <v>150</v>
      </c>
      <c r="O7319" t="s">
        <v>81</v>
      </c>
      <c r="P7319" t="s">
        <v>136</v>
      </c>
      <c r="Q7319" t="s">
        <v>140</v>
      </c>
      <c r="R7319" t="s">
        <v>141</v>
      </c>
      <c r="S7319" t="s">
        <v>145</v>
      </c>
      <c r="T7319" s="2">
        <f>MASTER[[#This Row],[CANTIDAD]]*MASTER[[#This Row],[PRECIO DE VENTA]]</f>
        <v>1428</v>
      </c>
      <c r="U7319" s="2">
        <f>MASTER[[#This Row],[CANTIDAD]]*MASTER[[#This Row],[COSTO UNITARIO]]</f>
        <v>392</v>
      </c>
      <c r="V7319" s="2">
        <f>MASTER[[#This Row],[MONTO VENDIDO]]-MASTER[[#This Row],[COSTO DE VENTA]]</f>
        <v>1036</v>
      </c>
    </row>
    <row r="7320" spans="1:22" x14ac:dyDescent="0.3">
      <c r="A7320">
        <v>106083</v>
      </c>
      <c r="B7320">
        <v>1</v>
      </c>
      <c r="C7320" t="s">
        <v>111</v>
      </c>
      <c r="D7320" t="s">
        <v>112</v>
      </c>
      <c r="E7320" s="1">
        <v>44276</v>
      </c>
      <c r="F7320">
        <v>1</v>
      </c>
      <c r="G7320" t="s">
        <v>7</v>
      </c>
      <c r="H7320" t="s">
        <v>8</v>
      </c>
      <c r="I7320" s="4">
        <v>2350</v>
      </c>
      <c r="J7320" s="3">
        <v>2350</v>
      </c>
      <c r="K7320" s="4">
        <v>434</v>
      </c>
      <c r="L7320" t="s">
        <v>113</v>
      </c>
      <c r="M7320">
        <v>17</v>
      </c>
      <c r="N7320" t="str">
        <f>IF(MASTER[[#This Row],[IDLOCAL]]=17,"HYDE PARK", "HARLEM IRVING")</f>
        <v>HYDE PARK</v>
      </c>
      <c r="O7320" t="str">
        <f>IF(MASTER[[#This Row],[IDLOCAL]]=17,"PREMIUM", "ESTÁNDAR")</f>
        <v>PREMIUM</v>
      </c>
      <c r="P7320" t="s">
        <v>137</v>
      </c>
      <c r="Q7320" t="s">
        <v>142</v>
      </c>
      <c r="R7320" t="s">
        <v>143</v>
      </c>
      <c r="S7320" t="s">
        <v>145</v>
      </c>
      <c r="T7320" s="2">
        <f>MASTER[[#This Row],[CANTIDAD]]*MASTER[[#This Row],[PRECIO DE VENTA]]</f>
        <v>2350</v>
      </c>
      <c r="U7320" s="2">
        <f>MASTER[[#This Row],[CANTIDAD]]*MASTER[[#This Row],[COSTO UNITARIO]]</f>
        <v>434</v>
      </c>
      <c r="V7320" s="2">
        <f>MASTER[[#This Row],[MONTO VENDIDO]]-MASTER[[#This Row],[COSTO DE VENTA]]</f>
        <v>1916</v>
      </c>
    </row>
    <row r="7321" spans="1:22" x14ac:dyDescent="0.3">
      <c r="A7321">
        <v>106128</v>
      </c>
      <c r="B7321">
        <v>1</v>
      </c>
      <c r="C7321" t="s">
        <v>109</v>
      </c>
      <c r="D7321" t="s">
        <v>110</v>
      </c>
      <c r="E7321" s="1">
        <v>44277</v>
      </c>
      <c r="F7321">
        <v>1</v>
      </c>
      <c r="G7321" t="s">
        <v>65</v>
      </c>
      <c r="H7321" t="s">
        <v>66</v>
      </c>
      <c r="I7321" s="4">
        <v>1635</v>
      </c>
      <c r="J7321" s="3">
        <v>1635</v>
      </c>
      <c r="K7321" s="4">
        <v>387</v>
      </c>
      <c r="L7321" t="s">
        <v>98</v>
      </c>
      <c r="M7321">
        <v>19</v>
      </c>
      <c r="N7321" t="s">
        <v>150</v>
      </c>
      <c r="O7321" t="s">
        <v>81</v>
      </c>
      <c r="P7321" t="s">
        <v>136</v>
      </c>
      <c r="Q7321" t="s">
        <v>140</v>
      </c>
      <c r="R7321" t="s">
        <v>141</v>
      </c>
      <c r="S7321" t="s">
        <v>145</v>
      </c>
      <c r="T7321" s="2">
        <f>MASTER[[#This Row],[CANTIDAD]]*MASTER[[#This Row],[PRECIO DE VENTA]]</f>
        <v>1635</v>
      </c>
      <c r="U7321" s="2">
        <f>MASTER[[#This Row],[CANTIDAD]]*MASTER[[#This Row],[COSTO UNITARIO]]</f>
        <v>387</v>
      </c>
      <c r="V7321" s="2">
        <f>MASTER[[#This Row],[MONTO VENDIDO]]-MASTER[[#This Row],[COSTO DE VENTA]]</f>
        <v>1248</v>
      </c>
    </row>
    <row r="7322" spans="1:22" x14ac:dyDescent="0.3">
      <c r="A7322">
        <v>106136</v>
      </c>
      <c r="B7322">
        <v>1</v>
      </c>
      <c r="C7322" t="s">
        <v>111</v>
      </c>
      <c r="D7322" t="s">
        <v>112</v>
      </c>
      <c r="E7322" s="1">
        <v>44277</v>
      </c>
      <c r="F7322">
        <v>1</v>
      </c>
      <c r="G7322" t="s">
        <v>73</v>
      </c>
      <c r="H7322" t="s">
        <v>74</v>
      </c>
      <c r="I7322" s="4">
        <v>2209</v>
      </c>
      <c r="J7322" s="3">
        <v>2209</v>
      </c>
      <c r="K7322" s="4">
        <v>434</v>
      </c>
      <c r="L7322" t="s">
        <v>113</v>
      </c>
      <c r="M7322">
        <v>19</v>
      </c>
      <c r="N7322" t="s">
        <v>150</v>
      </c>
      <c r="O7322" t="s">
        <v>81</v>
      </c>
      <c r="P7322" t="s">
        <v>136</v>
      </c>
      <c r="Q7322" t="s">
        <v>140</v>
      </c>
      <c r="R7322" t="s">
        <v>141</v>
      </c>
      <c r="S7322" t="s">
        <v>145</v>
      </c>
      <c r="T7322" s="2">
        <f>MASTER[[#This Row],[CANTIDAD]]*MASTER[[#This Row],[PRECIO DE VENTA]]</f>
        <v>2209</v>
      </c>
      <c r="U7322" s="2">
        <f>MASTER[[#This Row],[CANTIDAD]]*MASTER[[#This Row],[COSTO UNITARIO]]</f>
        <v>434</v>
      </c>
      <c r="V7322" s="2">
        <f>MASTER[[#This Row],[MONTO VENDIDO]]-MASTER[[#This Row],[COSTO DE VENTA]]</f>
        <v>1775</v>
      </c>
    </row>
    <row r="7323" spans="1:22" x14ac:dyDescent="0.3">
      <c r="A7323">
        <v>106139</v>
      </c>
      <c r="B7323">
        <v>1</v>
      </c>
      <c r="C7323" t="s">
        <v>103</v>
      </c>
      <c r="D7323" t="s">
        <v>104</v>
      </c>
      <c r="E7323" s="1">
        <v>44278</v>
      </c>
      <c r="F7323">
        <v>1</v>
      </c>
      <c r="G7323" t="s">
        <v>53</v>
      </c>
      <c r="H7323" t="s">
        <v>54</v>
      </c>
      <c r="I7323" s="4">
        <v>2653</v>
      </c>
      <c r="J7323" s="3">
        <v>2653</v>
      </c>
      <c r="K7323" s="4">
        <v>421</v>
      </c>
      <c r="L7323" t="s">
        <v>98</v>
      </c>
      <c r="M7323">
        <v>19</v>
      </c>
      <c r="N7323" t="s">
        <v>150</v>
      </c>
      <c r="O7323" t="s">
        <v>81</v>
      </c>
      <c r="P7323" t="s">
        <v>136</v>
      </c>
      <c r="Q7323" t="s">
        <v>140</v>
      </c>
      <c r="R7323" t="s">
        <v>141</v>
      </c>
      <c r="S7323" t="s">
        <v>145</v>
      </c>
      <c r="T7323" s="2">
        <f>MASTER[[#This Row],[CANTIDAD]]*MASTER[[#This Row],[PRECIO DE VENTA]]</f>
        <v>2653</v>
      </c>
      <c r="U7323" s="2">
        <f>MASTER[[#This Row],[CANTIDAD]]*MASTER[[#This Row],[COSTO UNITARIO]]</f>
        <v>421</v>
      </c>
      <c r="V7323" s="2">
        <f>MASTER[[#This Row],[MONTO VENDIDO]]-MASTER[[#This Row],[COSTO DE VENTA]]</f>
        <v>2232</v>
      </c>
    </row>
    <row r="7324" spans="1:22" x14ac:dyDescent="0.3">
      <c r="A7324">
        <v>106149</v>
      </c>
      <c r="B7324">
        <v>1</v>
      </c>
      <c r="C7324" t="s">
        <v>107</v>
      </c>
      <c r="D7324" t="s">
        <v>108</v>
      </c>
      <c r="E7324" s="1">
        <v>44279</v>
      </c>
      <c r="F7324">
        <v>1</v>
      </c>
      <c r="G7324" t="s">
        <v>43</v>
      </c>
      <c r="H7324" t="s">
        <v>44</v>
      </c>
      <c r="I7324" s="4">
        <v>1932</v>
      </c>
      <c r="J7324" s="3">
        <v>1932</v>
      </c>
      <c r="K7324" s="4">
        <v>380</v>
      </c>
      <c r="L7324" t="s">
        <v>98</v>
      </c>
      <c r="M7324">
        <v>19</v>
      </c>
      <c r="N7324" t="s">
        <v>150</v>
      </c>
      <c r="O7324" t="s">
        <v>81</v>
      </c>
      <c r="P7324" t="s">
        <v>136</v>
      </c>
      <c r="Q7324" t="s">
        <v>140</v>
      </c>
      <c r="R7324" t="s">
        <v>141</v>
      </c>
      <c r="S7324" t="s">
        <v>145</v>
      </c>
      <c r="T7324" s="2">
        <f>MASTER[[#This Row],[CANTIDAD]]*MASTER[[#This Row],[PRECIO DE VENTA]]</f>
        <v>1932</v>
      </c>
      <c r="U7324" s="2">
        <f>MASTER[[#This Row],[CANTIDAD]]*MASTER[[#This Row],[COSTO UNITARIO]]</f>
        <v>380</v>
      </c>
      <c r="V7324" s="2">
        <f>MASTER[[#This Row],[MONTO VENDIDO]]-MASTER[[#This Row],[COSTO DE VENTA]]</f>
        <v>1552</v>
      </c>
    </row>
    <row r="7325" spans="1:22" x14ac:dyDescent="0.3">
      <c r="A7325">
        <v>106169</v>
      </c>
      <c r="B7325">
        <v>1</v>
      </c>
      <c r="C7325" t="s">
        <v>118</v>
      </c>
      <c r="D7325" t="s">
        <v>119</v>
      </c>
      <c r="E7325" s="1">
        <v>44279</v>
      </c>
      <c r="F7325">
        <v>1</v>
      </c>
      <c r="G7325" t="s">
        <v>22</v>
      </c>
      <c r="H7325" t="s">
        <v>23</v>
      </c>
      <c r="I7325" s="4">
        <v>1305</v>
      </c>
      <c r="J7325" s="3">
        <v>1305</v>
      </c>
      <c r="K7325" s="4">
        <v>424</v>
      </c>
      <c r="L7325" t="s">
        <v>120</v>
      </c>
      <c r="M7325">
        <v>19</v>
      </c>
      <c r="N7325" t="s">
        <v>150</v>
      </c>
      <c r="O7325" t="s">
        <v>81</v>
      </c>
      <c r="P7325" t="s">
        <v>136</v>
      </c>
      <c r="Q7325" t="s">
        <v>140</v>
      </c>
      <c r="R7325" t="s">
        <v>141</v>
      </c>
      <c r="S7325" t="s">
        <v>145</v>
      </c>
      <c r="T7325" s="2">
        <f>MASTER[[#This Row],[CANTIDAD]]*MASTER[[#This Row],[PRECIO DE VENTA]]</f>
        <v>1305</v>
      </c>
      <c r="U7325" s="2">
        <f>MASTER[[#This Row],[CANTIDAD]]*MASTER[[#This Row],[COSTO UNITARIO]]</f>
        <v>424</v>
      </c>
      <c r="V7325" s="2">
        <f>MASTER[[#This Row],[MONTO VENDIDO]]-MASTER[[#This Row],[COSTO DE VENTA]]</f>
        <v>881</v>
      </c>
    </row>
    <row r="7326" spans="1:22" x14ac:dyDescent="0.3">
      <c r="A7326">
        <v>106202</v>
      </c>
      <c r="B7326">
        <v>1</v>
      </c>
      <c r="C7326" t="s">
        <v>5</v>
      </c>
      <c r="D7326" t="s">
        <v>6</v>
      </c>
      <c r="E7326" s="1">
        <v>44281</v>
      </c>
      <c r="F7326">
        <v>1</v>
      </c>
      <c r="G7326" t="s">
        <v>49</v>
      </c>
      <c r="H7326" t="s">
        <v>50</v>
      </c>
      <c r="I7326" s="4">
        <v>1879</v>
      </c>
      <c r="J7326" s="3">
        <v>1879</v>
      </c>
      <c r="K7326" s="4">
        <v>393</v>
      </c>
      <c r="L7326" t="s">
        <v>9</v>
      </c>
      <c r="M7326">
        <v>19</v>
      </c>
      <c r="N7326" t="s">
        <v>150</v>
      </c>
      <c r="O7326" t="s">
        <v>81</v>
      </c>
      <c r="P7326" t="s">
        <v>136</v>
      </c>
      <c r="Q7326" t="s">
        <v>140</v>
      </c>
      <c r="R7326" t="s">
        <v>141</v>
      </c>
      <c r="S7326" t="s">
        <v>145</v>
      </c>
      <c r="T7326" s="2">
        <f>MASTER[[#This Row],[CANTIDAD]]*MASTER[[#This Row],[PRECIO DE VENTA]]</f>
        <v>1879</v>
      </c>
      <c r="U7326" s="2">
        <f>MASTER[[#This Row],[CANTIDAD]]*MASTER[[#This Row],[COSTO UNITARIO]]</f>
        <v>393</v>
      </c>
      <c r="V7326" s="2">
        <f>MASTER[[#This Row],[MONTO VENDIDO]]-MASTER[[#This Row],[COSTO DE VENTA]]</f>
        <v>1486</v>
      </c>
    </row>
    <row r="7327" spans="1:22" x14ac:dyDescent="0.3">
      <c r="A7327">
        <v>106226</v>
      </c>
      <c r="B7327">
        <v>1</v>
      </c>
      <c r="C7327" t="s">
        <v>99</v>
      </c>
      <c r="D7327" t="s">
        <v>100</v>
      </c>
      <c r="E7327" s="1">
        <v>44281</v>
      </c>
      <c r="F7327">
        <v>1</v>
      </c>
      <c r="G7327" t="s">
        <v>29</v>
      </c>
      <c r="H7327" t="s">
        <v>30</v>
      </c>
      <c r="I7327" s="4">
        <v>2115</v>
      </c>
      <c r="J7327" s="3">
        <v>2115</v>
      </c>
      <c r="K7327" s="4">
        <v>386</v>
      </c>
      <c r="L7327" t="s">
        <v>98</v>
      </c>
      <c r="M7327">
        <v>18</v>
      </c>
      <c r="N7327" t="str">
        <f>IF(MASTER[[#This Row],[IDLOCAL]]=17,"HYDE PARK", "HARLEM IRVING")</f>
        <v>HARLEM IRVING</v>
      </c>
      <c r="O7327" t="str">
        <f>IF(MASTER[[#This Row],[IDLOCAL]]=17,"PREMIUM", "ESTÁNDAR")</f>
        <v>ESTÁNDAR</v>
      </c>
      <c r="P7327" t="s">
        <v>137</v>
      </c>
      <c r="Q7327" t="s">
        <v>142</v>
      </c>
      <c r="R7327" t="s">
        <v>143</v>
      </c>
      <c r="S7327" t="s">
        <v>145</v>
      </c>
      <c r="T7327" s="2">
        <f>MASTER[[#This Row],[CANTIDAD]]*MASTER[[#This Row],[PRECIO DE VENTA]]</f>
        <v>2115</v>
      </c>
      <c r="U7327" s="2">
        <f>MASTER[[#This Row],[CANTIDAD]]*MASTER[[#This Row],[COSTO UNITARIO]]</f>
        <v>386</v>
      </c>
      <c r="V7327" s="2">
        <f>MASTER[[#This Row],[MONTO VENDIDO]]-MASTER[[#This Row],[COSTO DE VENTA]]</f>
        <v>1729</v>
      </c>
    </row>
    <row r="7328" spans="1:22" x14ac:dyDescent="0.3">
      <c r="A7328">
        <v>106247</v>
      </c>
      <c r="B7328">
        <v>1</v>
      </c>
      <c r="C7328" t="s">
        <v>101</v>
      </c>
      <c r="D7328" t="s">
        <v>102</v>
      </c>
      <c r="E7328" s="1">
        <v>44281</v>
      </c>
      <c r="F7328">
        <v>1</v>
      </c>
      <c r="G7328" t="s">
        <v>73</v>
      </c>
      <c r="H7328" t="s">
        <v>74</v>
      </c>
      <c r="I7328" s="4">
        <v>1757</v>
      </c>
      <c r="J7328" s="3">
        <v>1757</v>
      </c>
      <c r="K7328" s="4">
        <v>442</v>
      </c>
      <c r="L7328" t="s">
        <v>98</v>
      </c>
      <c r="M7328">
        <v>17</v>
      </c>
      <c r="N7328" t="str">
        <f>IF(MASTER[[#This Row],[IDLOCAL]]=17,"HYDE PARK", "HARLEM IRVING")</f>
        <v>HYDE PARK</v>
      </c>
      <c r="O7328" t="str">
        <f>IF(MASTER[[#This Row],[IDLOCAL]]=17,"PREMIUM", "ESTÁNDAR")</f>
        <v>PREMIUM</v>
      </c>
      <c r="P7328" t="s">
        <v>137</v>
      </c>
      <c r="Q7328" t="s">
        <v>142</v>
      </c>
      <c r="R7328" t="s">
        <v>143</v>
      </c>
      <c r="S7328" t="s">
        <v>145</v>
      </c>
      <c r="T7328" s="2">
        <f>MASTER[[#This Row],[CANTIDAD]]*MASTER[[#This Row],[PRECIO DE VENTA]]</f>
        <v>1757</v>
      </c>
      <c r="U7328" s="2">
        <f>MASTER[[#This Row],[CANTIDAD]]*MASTER[[#This Row],[COSTO UNITARIO]]</f>
        <v>442</v>
      </c>
      <c r="V7328" s="2">
        <f>MASTER[[#This Row],[MONTO VENDIDO]]-MASTER[[#This Row],[COSTO DE VENTA]]</f>
        <v>1315</v>
      </c>
    </row>
    <row r="7329" spans="1:22" x14ac:dyDescent="0.3">
      <c r="A7329">
        <v>106260</v>
      </c>
      <c r="B7329">
        <v>1</v>
      </c>
      <c r="C7329" t="s">
        <v>116</v>
      </c>
      <c r="D7329" t="s">
        <v>117</v>
      </c>
      <c r="E7329" s="1">
        <v>44281</v>
      </c>
      <c r="F7329">
        <v>1</v>
      </c>
      <c r="G7329" t="s">
        <v>59</v>
      </c>
      <c r="H7329" t="s">
        <v>60</v>
      </c>
      <c r="I7329" s="4">
        <v>2520</v>
      </c>
      <c r="J7329" s="3">
        <v>2520</v>
      </c>
      <c r="K7329" s="4">
        <v>388</v>
      </c>
      <c r="L7329" t="s">
        <v>113</v>
      </c>
      <c r="M7329">
        <v>19</v>
      </c>
      <c r="N7329" t="s">
        <v>150</v>
      </c>
      <c r="O7329" t="s">
        <v>81</v>
      </c>
      <c r="P7329" t="s">
        <v>136</v>
      </c>
      <c r="Q7329" t="s">
        <v>140</v>
      </c>
      <c r="R7329" t="s">
        <v>141</v>
      </c>
      <c r="S7329" t="s">
        <v>145</v>
      </c>
      <c r="T7329" s="2">
        <f>MASTER[[#This Row],[CANTIDAD]]*MASTER[[#This Row],[PRECIO DE VENTA]]</f>
        <v>2520</v>
      </c>
      <c r="U7329" s="2">
        <f>MASTER[[#This Row],[CANTIDAD]]*MASTER[[#This Row],[COSTO UNITARIO]]</f>
        <v>388</v>
      </c>
      <c r="V7329" s="2">
        <f>MASTER[[#This Row],[MONTO VENDIDO]]-MASTER[[#This Row],[COSTO DE VENTA]]</f>
        <v>2132</v>
      </c>
    </row>
    <row r="7330" spans="1:22" x14ac:dyDescent="0.3">
      <c r="A7330">
        <v>106279</v>
      </c>
      <c r="B7330">
        <v>1</v>
      </c>
      <c r="C7330" t="s">
        <v>105</v>
      </c>
      <c r="D7330" t="s">
        <v>106</v>
      </c>
      <c r="E7330" s="1">
        <v>44282</v>
      </c>
      <c r="F7330">
        <v>1</v>
      </c>
      <c r="G7330" t="s">
        <v>43</v>
      </c>
      <c r="H7330" t="s">
        <v>44</v>
      </c>
      <c r="I7330" s="4">
        <v>2704</v>
      </c>
      <c r="J7330" s="3">
        <v>2704</v>
      </c>
      <c r="K7330" s="4">
        <v>459</v>
      </c>
      <c r="L7330" t="s">
        <v>98</v>
      </c>
      <c r="M7330">
        <v>18</v>
      </c>
      <c r="N7330" t="str">
        <f>IF(MASTER[[#This Row],[IDLOCAL]]=17,"HYDE PARK", "HARLEM IRVING")</f>
        <v>HARLEM IRVING</v>
      </c>
      <c r="O7330" t="str">
        <f>IF(MASTER[[#This Row],[IDLOCAL]]=17,"PREMIUM", "ESTÁNDAR")</f>
        <v>ESTÁNDAR</v>
      </c>
      <c r="P7330" t="s">
        <v>137</v>
      </c>
      <c r="Q7330" t="s">
        <v>142</v>
      </c>
      <c r="R7330" t="s">
        <v>143</v>
      </c>
      <c r="S7330" t="s">
        <v>145</v>
      </c>
      <c r="T7330" s="2">
        <f>MASTER[[#This Row],[CANTIDAD]]*MASTER[[#This Row],[PRECIO DE VENTA]]</f>
        <v>2704</v>
      </c>
      <c r="U7330" s="2">
        <f>MASTER[[#This Row],[CANTIDAD]]*MASTER[[#This Row],[COSTO UNITARIO]]</f>
        <v>459</v>
      </c>
      <c r="V7330" s="2">
        <f>MASTER[[#This Row],[MONTO VENDIDO]]-MASTER[[#This Row],[COSTO DE VENTA]]</f>
        <v>2245</v>
      </c>
    </row>
    <row r="7331" spans="1:22" x14ac:dyDescent="0.3">
      <c r="A7331">
        <v>106283</v>
      </c>
      <c r="B7331">
        <v>1</v>
      </c>
      <c r="C7331" t="s">
        <v>105</v>
      </c>
      <c r="D7331" t="s">
        <v>106</v>
      </c>
      <c r="E7331" s="1">
        <v>44284</v>
      </c>
      <c r="F7331">
        <v>1</v>
      </c>
      <c r="G7331" t="s">
        <v>47</v>
      </c>
      <c r="H7331" t="s">
        <v>48</v>
      </c>
      <c r="I7331" s="4">
        <v>2947</v>
      </c>
      <c r="J7331" s="3">
        <v>2947</v>
      </c>
      <c r="K7331" s="4">
        <v>459</v>
      </c>
      <c r="L7331" t="s">
        <v>98</v>
      </c>
      <c r="M7331">
        <v>19</v>
      </c>
      <c r="N7331" t="s">
        <v>150</v>
      </c>
      <c r="O7331" t="s">
        <v>81</v>
      </c>
      <c r="P7331" t="s">
        <v>136</v>
      </c>
      <c r="Q7331" t="s">
        <v>140</v>
      </c>
      <c r="R7331" t="s">
        <v>141</v>
      </c>
      <c r="S7331" t="s">
        <v>145</v>
      </c>
      <c r="T7331" s="2">
        <f>MASTER[[#This Row],[CANTIDAD]]*MASTER[[#This Row],[PRECIO DE VENTA]]</f>
        <v>2947</v>
      </c>
      <c r="U7331" s="2">
        <f>MASTER[[#This Row],[CANTIDAD]]*MASTER[[#This Row],[COSTO UNITARIO]]</f>
        <v>459</v>
      </c>
      <c r="V7331" s="2">
        <f>MASTER[[#This Row],[MONTO VENDIDO]]-MASTER[[#This Row],[COSTO DE VENTA]]</f>
        <v>2488</v>
      </c>
    </row>
    <row r="7332" spans="1:22" x14ac:dyDescent="0.3">
      <c r="A7332">
        <v>106291</v>
      </c>
      <c r="B7332">
        <v>1</v>
      </c>
      <c r="C7332" t="s">
        <v>94</v>
      </c>
      <c r="D7332" t="s">
        <v>95</v>
      </c>
      <c r="E7332" s="1">
        <v>44286</v>
      </c>
      <c r="F7332">
        <v>1</v>
      </c>
      <c r="G7332" t="s">
        <v>27</v>
      </c>
      <c r="H7332" t="s">
        <v>28</v>
      </c>
      <c r="I7332" s="4">
        <v>1671</v>
      </c>
      <c r="J7332" s="3">
        <v>1671</v>
      </c>
      <c r="K7332" s="4">
        <v>392</v>
      </c>
      <c r="L7332" t="s">
        <v>9</v>
      </c>
      <c r="M7332">
        <v>18</v>
      </c>
      <c r="N7332" t="str">
        <f>IF(MASTER[[#This Row],[IDLOCAL]]=17,"HYDE PARK", "HARLEM IRVING")</f>
        <v>HARLEM IRVING</v>
      </c>
      <c r="O7332" t="str">
        <f>IF(MASTER[[#This Row],[IDLOCAL]]=17,"PREMIUM", "ESTÁNDAR")</f>
        <v>ESTÁNDAR</v>
      </c>
      <c r="P7332" t="s">
        <v>137</v>
      </c>
      <c r="Q7332" t="s">
        <v>142</v>
      </c>
      <c r="R7332" t="s">
        <v>143</v>
      </c>
      <c r="S7332" t="s">
        <v>145</v>
      </c>
      <c r="T7332" s="2">
        <f>MASTER[[#This Row],[CANTIDAD]]*MASTER[[#This Row],[PRECIO DE VENTA]]</f>
        <v>1671</v>
      </c>
      <c r="U7332" s="2">
        <f>MASTER[[#This Row],[CANTIDAD]]*MASTER[[#This Row],[COSTO UNITARIO]]</f>
        <v>392</v>
      </c>
      <c r="V7332" s="2">
        <f>MASTER[[#This Row],[MONTO VENDIDO]]-MASTER[[#This Row],[COSTO DE VENTA]]</f>
        <v>1279</v>
      </c>
    </row>
    <row r="7333" spans="1:22" x14ac:dyDescent="0.3">
      <c r="A7333">
        <v>106296</v>
      </c>
      <c r="B7333">
        <v>1</v>
      </c>
      <c r="C7333" t="s">
        <v>103</v>
      </c>
      <c r="D7333" t="s">
        <v>104</v>
      </c>
      <c r="E7333" s="1">
        <v>44286</v>
      </c>
      <c r="F7333">
        <v>1</v>
      </c>
      <c r="G7333" t="s">
        <v>53</v>
      </c>
      <c r="H7333" t="s">
        <v>54</v>
      </c>
      <c r="I7333" s="4">
        <v>2306</v>
      </c>
      <c r="J7333" s="3">
        <v>2306</v>
      </c>
      <c r="K7333" s="4">
        <v>421</v>
      </c>
      <c r="L7333" t="s">
        <v>98</v>
      </c>
      <c r="M7333">
        <v>19</v>
      </c>
      <c r="N7333" t="s">
        <v>150</v>
      </c>
      <c r="O7333" t="s">
        <v>81</v>
      </c>
      <c r="P7333" t="s">
        <v>136</v>
      </c>
      <c r="Q7333" t="s">
        <v>140</v>
      </c>
      <c r="R7333" t="s">
        <v>141</v>
      </c>
      <c r="S7333" t="s">
        <v>145</v>
      </c>
      <c r="T7333" s="2">
        <f>MASTER[[#This Row],[CANTIDAD]]*MASTER[[#This Row],[PRECIO DE VENTA]]</f>
        <v>2306</v>
      </c>
      <c r="U7333" s="2">
        <f>MASTER[[#This Row],[CANTIDAD]]*MASTER[[#This Row],[COSTO UNITARIO]]</f>
        <v>421</v>
      </c>
      <c r="V7333" s="2">
        <f>MASTER[[#This Row],[MONTO VENDIDO]]-MASTER[[#This Row],[COSTO DE VENTA]]</f>
        <v>1885</v>
      </c>
    </row>
    <row r="7334" spans="1:22" x14ac:dyDescent="0.3">
      <c r="A7334">
        <v>106319</v>
      </c>
      <c r="B7334">
        <v>1</v>
      </c>
      <c r="C7334" t="s">
        <v>114</v>
      </c>
      <c r="D7334" t="s">
        <v>115</v>
      </c>
      <c r="E7334" s="1">
        <v>44286</v>
      </c>
      <c r="F7334">
        <v>1</v>
      </c>
      <c r="G7334" t="s">
        <v>61</v>
      </c>
      <c r="H7334" t="s">
        <v>62</v>
      </c>
      <c r="I7334" s="4">
        <v>2699</v>
      </c>
      <c r="J7334" s="3">
        <v>2699</v>
      </c>
      <c r="K7334" s="4">
        <v>394</v>
      </c>
      <c r="L7334" t="s">
        <v>113</v>
      </c>
      <c r="M7334">
        <v>19</v>
      </c>
      <c r="N7334" t="s">
        <v>150</v>
      </c>
      <c r="O7334" t="s">
        <v>81</v>
      </c>
      <c r="P7334" t="s">
        <v>136</v>
      </c>
      <c r="Q7334" t="s">
        <v>140</v>
      </c>
      <c r="R7334" t="s">
        <v>141</v>
      </c>
      <c r="S7334" t="s">
        <v>145</v>
      </c>
      <c r="T7334" s="2">
        <f>MASTER[[#This Row],[CANTIDAD]]*MASTER[[#This Row],[PRECIO DE VENTA]]</f>
        <v>2699</v>
      </c>
      <c r="U7334" s="2">
        <f>MASTER[[#This Row],[CANTIDAD]]*MASTER[[#This Row],[COSTO UNITARIO]]</f>
        <v>394</v>
      </c>
      <c r="V7334" s="2">
        <f>MASTER[[#This Row],[MONTO VENDIDO]]-MASTER[[#This Row],[COSTO DE VENTA]]</f>
        <v>2305</v>
      </c>
    </row>
    <row r="7335" spans="1:22" x14ac:dyDescent="0.3">
      <c r="A7335">
        <v>106328</v>
      </c>
      <c r="B7335">
        <v>1</v>
      </c>
      <c r="C7335" t="s">
        <v>99</v>
      </c>
      <c r="D7335" t="s">
        <v>100</v>
      </c>
      <c r="E7335" s="1">
        <v>44288</v>
      </c>
      <c r="F7335">
        <v>1</v>
      </c>
      <c r="G7335" t="s">
        <v>65</v>
      </c>
      <c r="H7335" t="s">
        <v>66</v>
      </c>
      <c r="I7335" s="4">
        <v>2433</v>
      </c>
      <c r="J7335" s="3">
        <v>2433</v>
      </c>
      <c r="K7335" s="4">
        <v>386</v>
      </c>
      <c r="L7335" t="s">
        <v>98</v>
      </c>
      <c r="M7335">
        <v>19</v>
      </c>
      <c r="N7335" t="s">
        <v>150</v>
      </c>
      <c r="O7335" t="s">
        <v>81</v>
      </c>
      <c r="P7335" t="s">
        <v>136</v>
      </c>
      <c r="Q7335" t="s">
        <v>140</v>
      </c>
      <c r="R7335" t="s">
        <v>141</v>
      </c>
      <c r="S7335" t="s">
        <v>145</v>
      </c>
      <c r="T7335" s="2">
        <f>MASTER[[#This Row],[CANTIDAD]]*MASTER[[#This Row],[PRECIO DE VENTA]]</f>
        <v>2433</v>
      </c>
      <c r="U7335" s="2">
        <f>MASTER[[#This Row],[CANTIDAD]]*MASTER[[#This Row],[COSTO UNITARIO]]</f>
        <v>386</v>
      </c>
      <c r="V7335" s="2">
        <f>MASTER[[#This Row],[MONTO VENDIDO]]-MASTER[[#This Row],[COSTO DE VENTA]]</f>
        <v>2047</v>
      </c>
    </row>
    <row r="7336" spans="1:22" x14ac:dyDescent="0.3">
      <c r="A7336">
        <v>106353</v>
      </c>
      <c r="B7336">
        <v>1</v>
      </c>
      <c r="C7336" t="s">
        <v>103</v>
      </c>
      <c r="D7336" t="s">
        <v>104</v>
      </c>
      <c r="E7336" s="1">
        <v>44288</v>
      </c>
      <c r="F7336">
        <v>1</v>
      </c>
      <c r="G7336" t="s">
        <v>73</v>
      </c>
      <c r="H7336" t="s">
        <v>74</v>
      </c>
      <c r="I7336" s="4">
        <v>2099</v>
      </c>
      <c r="J7336" s="3">
        <v>2099</v>
      </c>
      <c r="K7336" s="4">
        <v>421</v>
      </c>
      <c r="L7336" t="s">
        <v>98</v>
      </c>
      <c r="M7336">
        <v>19</v>
      </c>
      <c r="N7336" t="s">
        <v>150</v>
      </c>
      <c r="O7336" t="s">
        <v>81</v>
      </c>
      <c r="P7336" t="s">
        <v>136</v>
      </c>
      <c r="Q7336" t="s">
        <v>140</v>
      </c>
      <c r="R7336" t="s">
        <v>141</v>
      </c>
      <c r="S7336" t="s">
        <v>145</v>
      </c>
      <c r="T7336" s="2">
        <f>MASTER[[#This Row],[CANTIDAD]]*MASTER[[#This Row],[PRECIO DE VENTA]]</f>
        <v>2099</v>
      </c>
      <c r="U7336" s="2">
        <f>MASTER[[#This Row],[CANTIDAD]]*MASTER[[#This Row],[COSTO UNITARIO]]</f>
        <v>421</v>
      </c>
      <c r="V7336" s="2">
        <f>MASTER[[#This Row],[MONTO VENDIDO]]-MASTER[[#This Row],[COSTO DE VENTA]]</f>
        <v>1678</v>
      </c>
    </row>
    <row r="7337" spans="1:22" x14ac:dyDescent="0.3">
      <c r="A7337">
        <v>106358</v>
      </c>
      <c r="B7337">
        <v>1</v>
      </c>
      <c r="C7337" t="s">
        <v>96</v>
      </c>
      <c r="D7337" t="s">
        <v>97</v>
      </c>
      <c r="E7337" s="1">
        <v>44289</v>
      </c>
      <c r="F7337">
        <v>1</v>
      </c>
      <c r="G7337" t="s">
        <v>22</v>
      </c>
      <c r="H7337" t="s">
        <v>23</v>
      </c>
      <c r="I7337" s="4">
        <v>1844</v>
      </c>
      <c r="J7337" s="3">
        <v>1844</v>
      </c>
      <c r="K7337" s="4">
        <v>397</v>
      </c>
      <c r="L7337" t="s">
        <v>98</v>
      </c>
      <c r="M7337">
        <v>19</v>
      </c>
      <c r="N7337" t="s">
        <v>150</v>
      </c>
      <c r="O7337" t="s">
        <v>81</v>
      </c>
      <c r="P7337" t="s">
        <v>136</v>
      </c>
      <c r="Q7337" t="s">
        <v>140</v>
      </c>
      <c r="R7337" t="s">
        <v>141</v>
      </c>
      <c r="S7337" t="s">
        <v>145</v>
      </c>
      <c r="T7337" s="2">
        <f>MASTER[[#This Row],[CANTIDAD]]*MASTER[[#This Row],[PRECIO DE VENTA]]</f>
        <v>1844</v>
      </c>
      <c r="U7337" s="2">
        <f>MASTER[[#This Row],[CANTIDAD]]*MASTER[[#This Row],[COSTO UNITARIO]]</f>
        <v>397</v>
      </c>
      <c r="V7337" s="2">
        <f>MASTER[[#This Row],[MONTO VENDIDO]]-MASTER[[#This Row],[COSTO DE VENTA]]</f>
        <v>1447</v>
      </c>
    </row>
    <row r="7338" spans="1:22" x14ac:dyDescent="0.3">
      <c r="A7338">
        <v>106362</v>
      </c>
      <c r="B7338">
        <v>1</v>
      </c>
      <c r="C7338" t="s">
        <v>111</v>
      </c>
      <c r="D7338" t="s">
        <v>112</v>
      </c>
      <c r="E7338" s="1">
        <v>44289</v>
      </c>
      <c r="F7338">
        <v>1</v>
      </c>
      <c r="G7338" t="s">
        <v>22</v>
      </c>
      <c r="H7338" t="s">
        <v>23</v>
      </c>
      <c r="I7338" s="4">
        <v>2350</v>
      </c>
      <c r="J7338" s="3">
        <v>2350</v>
      </c>
      <c r="K7338" s="4">
        <v>434</v>
      </c>
      <c r="L7338" t="s">
        <v>113</v>
      </c>
      <c r="M7338">
        <v>18</v>
      </c>
      <c r="N7338" t="str">
        <f>IF(MASTER[[#This Row],[IDLOCAL]]=17,"HYDE PARK", "HARLEM IRVING")</f>
        <v>HARLEM IRVING</v>
      </c>
      <c r="O7338" t="str">
        <f>IF(MASTER[[#This Row],[IDLOCAL]]=17,"PREMIUM", "ESTÁNDAR")</f>
        <v>ESTÁNDAR</v>
      </c>
      <c r="P7338" t="s">
        <v>137</v>
      </c>
      <c r="Q7338" t="s">
        <v>142</v>
      </c>
      <c r="R7338" t="s">
        <v>143</v>
      </c>
      <c r="S7338" t="s">
        <v>145</v>
      </c>
      <c r="T7338" s="2">
        <f>MASTER[[#This Row],[CANTIDAD]]*MASTER[[#This Row],[PRECIO DE VENTA]]</f>
        <v>2350</v>
      </c>
      <c r="U7338" s="2">
        <f>MASTER[[#This Row],[CANTIDAD]]*MASTER[[#This Row],[COSTO UNITARIO]]</f>
        <v>434</v>
      </c>
      <c r="V7338" s="2">
        <f>MASTER[[#This Row],[MONTO VENDIDO]]-MASTER[[#This Row],[COSTO DE VENTA]]</f>
        <v>1916</v>
      </c>
    </row>
    <row r="7339" spans="1:22" x14ac:dyDescent="0.3">
      <c r="A7339">
        <v>106407</v>
      </c>
      <c r="B7339">
        <v>1</v>
      </c>
      <c r="C7339" t="s">
        <v>109</v>
      </c>
      <c r="D7339" t="s">
        <v>110</v>
      </c>
      <c r="E7339" s="1">
        <v>44290</v>
      </c>
      <c r="F7339">
        <v>1</v>
      </c>
      <c r="G7339" t="s">
        <v>65</v>
      </c>
      <c r="H7339" t="s">
        <v>66</v>
      </c>
      <c r="I7339" s="4">
        <v>1373</v>
      </c>
      <c r="J7339" s="3">
        <v>1373</v>
      </c>
      <c r="K7339" s="4">
        <v>387</v>
      </c>
      <c r="L7339" t="s">
        <v>98</v>
      </c>
      <c r="M7339">
        <v>19</v>
      </c>
      <c r="N7339" t="s">
        <v>150</v>
      </c>
      <c r="O7339" t="s">
        <v>81</v>
      </c>
      <c r="P7339" t="s">
        <v>136</v>
      </c>
      <c r="Q7339" t="s">
        <v>140</v>
      </c>
      <c r="R7339" t="s">
        <v>141</v>
      </c>
      <c r="S7339" t="s">
        <v>145</v>
      </c>
      <c r="T7339" s="2">
        <f>MASTER[[#This Row],[CANTIDAD]]*MASTER[[#This Row],[PRECIO DE VENTA]]</f>
        <v>1373</v>
      </c>
      <c r="U7339" s="2">
        <f>MASTER[[#This Row],[CANTIDAD]]*MASTER[[#This Row],[COSTO UNITARIO]]</f>
        <v>387</v>
      </c>
      <c r="V7339" s="2">
        <f>MASTER[[#This Row],[MONTO VENDIDO]]-MASTER[[#This Row],[COSTO DE VENTA]]</f>
        <v>986</v>
      </c>
    </row>
    <row r="7340" spans="1:22" x14ac:dyDescent="0.3">
      <c r="A7340">
        <v>106416</v>
      </c>
      <c r="B7340">
        <v>1</v>
      </c>
      <c r="C7340" t="s">
        <v>116</v>
      </c>
      <c r="D7340" t="s">
        <v>117</v>
      </c>
      <c r="E7340" s="1">
        <v>44291</v>
      </c>
      <c r="F7340">
        <v>1</v>
      </c>
      <c r="G7340" t="s">
        <v>57</v>
      </c>
      <c r="H7340" t="s">
        <v>58</v>
      </c>
      <c r="I7340" s="4">
        <v>2898</v>
      </c>
      <c r="J7340" s="3">
        <v>2898</v>
      </c>
      <c r="K7340" s="4">
        <v>388</v>
      </c>
      <c r="L7340" t="s">
        <v>113</v>
      </c>
      <c r="M7340">
        <v>18</v>
      </c>
      <c r="N7340" t="str">
        <f>IF(MASTER[[#This Row],[IDLOCAL]]=17,"HYDE PARK", "HARLEM IRVING")</f>
        <v>HARLEM IRVING</v>
      </c>
      <c r="O7340" t="str">
        <f>IF(MASTER[[#This Row],[IDLOCAL]]=17,"PREMIUM", "ESTÁNDAR")</f>
        <v>ESTÁNDAR</v>
      </c>
      <c r="P7340" t="s">
        <v>137</v>
      </c>
      <c r="Q7340" t="s">
        <v>142</v>
      </c>
      <c r="R7340" t="s">
        <v>143</v>
      </c>
      <c r="S7340" t="s">
        <v>145</v>
      </c>
      <c r="T7340" s="2">
        <f>MASTER[[#This Row],[CANTIDAD]]*MASTER[[#This Row],[PRECIO DE VENTA]]</f>
        <v>2898</v>
      </c>
      <c r="U7340" s="2">
        <f>MASTER[[#This Row],[CANTIDAD]]*MASTER[[#This Row],[COSTO UNITARIO]]</f>
        <v>388</v>
      </c>
      <c r="V7340" s="2">
        <f>MASTER[[#This Row],[MONTO VENDIDO]]-MASTER[[#This Row],[COSTO DE VENTA]]</f>
        <v>2510</v>
      </c>
    </row>
    <row r="7341" spans="1:22" x14ac:dyDescent="0.3">
      <c r="A7341">
        <v>106421</v>
      </c>
      <c r="B7341">
        <v>1</v>
      </c>
      <c r="C7341" t="s">
        <v>118</v>
      </c>
      <c r="D7341" t="s">
        <v>119</v>
      </c>
      <c r="E7341" s="1">
        <v>44291</v>
      </c>
      <c r="F7341">
        <v>1</v>
      </c>
      <c r="G7341" t="s">
        <v>65</v>
      </c>
      <c r="H7341" t="s">
        <v>66</v>
      </c>
      <c r="I7341" s="4">
        <v>1305</v>
      </c>
      <c r="J7341" s="3">
        <v>1305</v>
      </c>
      <c r="K7341" s="4">
        <v>424</v>
      </c>
      <c r="L7341" t="s">
        <v>120</v>
      </c>
      <c r="M7341">
        <v>19</v>
      </c>
      <c r="N7341" t="s">
        <v>150</v>
      </c>
      <c r="O7341" t="s">
        <v>81</v>
      </c>
      <c r="P7341" t="s">
        <v>136</v>
      </c>
      <c r="Q7341" t="s">
        <v>140</v>
      </c>
      <c r="R7341" t="s">
        <v>141</v>
      </c>
      <c r="S7341" t="s">
        <v>145</v>
      </c>
      <c r="T7341" s="2">
        <f>MASTER[[#This Row],[CANTIDAD]]*MASTER[[#This Row],[PRECIO DE VENTA]]</f>
        <v>1305</v>
      </c>
      <c r="U7341" s="2">
        <f>MASTER[[#This Row],[CANTIDAD]]*MASTER[[#This Row],[COSTO UNITARIO]]</f>
        <v>424</v>
      </c>
      <c r="V7341" s="2">
        <f>MASTER[[#This Row],[MONTO VENDIDO]]-MASTER[[#This Row],[COSTO DE VENTA]]</f>
        <v>881</v>
      </c>
    </row>
    <row r="7342" spans="1:22" x14ac:dyDescent="0.3">
      <c r="A7342">
        <v>106429</v>
      </c>
      <c r="B7342">
        <v>1</v>
      </c>
      <c r="C7342" t="s">
        <v>121</v>
      </c>
      <c r="D7342" t="s">
        <v>122</v>
      </c>
      <c r="E7342" s="1">
        <v>44291</v>
      </c>
      <c r="F7342">
        <v>1</v>
      </c>
      <c r="G7342" t="s">
        <v>73</v>
      </c>
      <c r="H7342" t="s">
        <v>74</v>
      </c>
      <c r="I7342" s="4">
        <v>1658</v>
      </c>
      <c r="J7342" s="3">
        <v>1658</v>
      </c>
      <c r="K7342" s="4">
        <v>460</v>
      </c>
      <c r="L7342" t="s">
        <v>120</v>
      </c>
      <c r="M7342">
        <v>19</v>
      </c>
      <c r="N7342" t="s">
        <v>150</v>
      </c>
      <c r="O7342" t="s">
        <v>81</v>
      </c>
      <c r="P7342" t="s">
        <v>136</v>
      </c>
      <c r="Q7342" t="s">
        <v>140</v>
      </c>
      <c r="R7342" t="s">
        <v>141</v>
      </c>
      <c r="S7342" t="s">
        <v>145</v>
      </c>
      <c r="T7342" s="2">
        <f>MASTER[[#This Row],[CANTIDAD]]*MASTER[[#This Row],[PRECIO DE VENTA]]</f>
        <v>1658</v>
      </c>
      <c r="U7342" s="2">
        <f>MASTER[[#This Row],[CANTIDAD]]*MASTER[[#This Row],[COSTO UNITARIO]]</f>
        <v>460</v>
      </c>
      <c r="V7342" s="2">
        <f>MASTER[[#This Row],[MONTO VENDIDO]]-MASTER[[#This Row],[COSTO DE VENTA]]</f>
        <v>1198</v>
      </c>
    </row>
    <row r="7343" spans="1:22" x14ac:dyDescent="0.3">
      <c r="A7343">
        <v>106447</v>
      </c>
      <c r="B7343">
        <v>1</v>
      </c>
      <c r="C7343" t="s">
        <v>92</v>
      </c>
      <c r="D7343" t="s">
        <v>93</v>
      </c>
      <c r="E7343" s="1">
        <v>44292</v>
      </c>
      <c r="F7343">
        <v>1</v>
      </c>
      <c r="G7343" t="s">
        <v>63</v>
      </c>
      <c r="H7343" t="s">
        <v>64</v>
      </c>
      <c r="I7343" s="4">
        <v>2705</v>
      </c>
      <c r="J7343" s="3">
        <v>2705</v>
      </c>
      <c r="K7343" s="4">
        <v>396</v>
      </c>
      <c r="L7343" t="s">
        <v>9</v>
      </c>
      <c r="M7343">
        <v>17</v>
      </c>
      <c r="N7343" t="str">
        <f>IF(MASTER[[#This Row],[IDLOCAL]]=17,"HYDE PARK", "HARLEM IRVING")</f>
        <v>HYDE PARK</v>
      </c>
      <c r="O7343" t="str">
        <f>IF(MASTER[[#This Row],[IDLOCAL]]=17,"PREMIUM", "ESTÁNDAR")</f>
        <v>PREMIUM</v>
      </c>
      <c r="P7343" t="s">
        <v>137</v>
      </c>
      <c r="Q7343" t="s">
        <v>142</v>
      </c>
      <c r="R7343" t="s">
        <v>143</v>
      </c>
      <c r="S7343" t="s">
        <v>145</v>
      </c>
      <c r="T7343" s="2">
        <f>MASTER[[#This Row],[CANTIDAD]]*MASTER[[#This Row],[PRECIO DE VENTA]]</f>
        <v>2705</v>
      </c>
      <c r="U7343" s="2">
        <f>MASTER[[#This Row],[CANTIDAD]]*MASTER[[#This Row],[COSTO UNITARIO]]</f>
        <v>396</v>
      </c>
      <c r="V7343" s="2">
        <f>MASTER[[#This Row],[MONTO VENDIDO]]-MASTER[[#This Row],[COSTO DE VENTA]]</f>
        <v>2309</v>
      </c>
    </row>
    <row r="7344" spans="1:22" x14ac:dyDescent="0.3">
      <c r="A7344">
        <v>106449</v>
      </c>
      <c r="B7344">
        <v>1</v>
      </c>
      <c r="C7344" t="s">
        <v>5</v>
      </c>
      <c r="D7344" t="s">
        <v>6</v>
      </c>
      <c r="E7344" s="1">
        <v>44293</v>
      </c>
      <c r="F7344">
        <v>1</v>
      </c>
      <c r="G7344" t="s">
        <v>37</v>
      </c>
      <c r="H7344" t="s">
        <v>38</v>
      </c>
      <c r="I7344" s="4">
        <v>2185</v>
      </c>
      <c r="J7344" s="3">
        <v>2185</v>
      </c>
      <c r="K7344" s="4">
        <v>393</v>
      </c>
      <c r="L7344" t="s">
        <v>9</v>
      </c>
      <c r="M7344">
        <v>19</v>
      </c>
      <c r="N7344" t="s">
        <v>150</v>
      </c>
      <c r="O7344" t="s">
        <v>81</v>
      </c>
      <c r="P7344" t="s">
        <v>136</v>
      </c>
      <c r="Q7344" t="s">
        <v>140</v>
      </c>
      <c r="R7344" t="s">
        <v>141</v>
      </c>
      <c r="S7344" t="s">
        <v>145</v>
      </c>
      <c r="T7344" s="2">
        <f>MASTER[[#This Row],[CANTIDAD]]*MASTER[[#This Row],[PRECIO DE VENTA]]</f>
        <v>2185</v>
      </c>
      <c r="U7344" s="2">
        <f>MASTER[[#This Row],[CANTIDAD]]*MASTER[[#This Row],[COSTO UNITARIO]]</f>
        <v>393</v>
      </c>
      <c r="V7344" s="2">
        <f>MASTER[[#This Row],[MONTO VENDIDO]]-MASTER[[#This Row],[COSTO DE VENTA]]</f>
        <v>1792</v>
      </c>
    </row>
    <row r="7345" spans="1:22" x14ac:dyDescent="0.3">
      <c r="A7345">
        <v>106456</v>
      </c>
      <c r="B7345">
        <v>1</v>
      </c>
      <c r="C7345" t="s">
        <v>90</v>
      </c>
      <c r="D7345" t="s">
        <v>91</v>
      </c>
      <c r="E7345" s="1">
        <v>44294</v>
      </c>
      <c r="F7345">
        <v>1</v>
      </c>
      <c r="G7345" t="s">
        <v>43</v>
      </c>
      <c r="H7345" t="s">
        <v>44</v>
      </c>
      <c r="I7345" s="4">
        <v>3047</v>
      </c>
      <c r="J7345" s="3">
        <v>3047</v>
      </c>
      <c r="K7345" s="4">
        <v>420</v>
      </c>
      <c r="L7345" t="s">
        <v>9</v>
      </c>
      <c r="M7345">
        <v>17</v>
      </c>
      <c r="N7345" t="str">
        <f>IF(MASTER[[#This Row],[IDLOCAL]]=17,"HYDE PARK", "HARLEM IRVING")</f>
        <v>HYDE PARK</v>
      </c>
      <c r="O7345" t="str">
        <f>IF(MASTER[[#This Row],[IDLOCAL]]=17,"PREMIUM", "ESTÁNDAR")</f>
        <v>PREMIUM</v>
      </c>
      <c r="P7345" t="s">
        <v>137</v>
      </c>
      <c r="Q7345" t="s">
        <v>142</v>
      </c>
      <c r="R7345" t="s">
        <v>143</v>
      </c>
      <c r="S7345" t="s">
        <v>145</v>
      </c>
      <c r="T7345" s="2">
        <f>MASTER[[#This Row],[CANTIDAD]]*MASTER[[#This Row],[PRECIO DE VENTA]]</f>
        <v>3047</v>
      </c>
      <c r="U7345" s="2">
        <f>MASTER[[#This Row],[CANTIDAD]]*MASTER[[#This Row],[COSTO UNITARIO]]</f>
        <v>420</v>
      </c>
      <c r="V7345" s="2">
        <f>MASTER[[#This Row],[MONTO VENDIDO]]-MASTER[[#This Row],[COSTO DE VENTA]]</f>
        <v>2627</v>
      </c>
    </row>
    <row r="7346" spans="1:22" x14ac:dyDescent="0.3">
      <c r="A7346">
        <v>106470</v>
      </c>
      <c r="B7346">
        <v>1</v>
      </c>
      <c r="C7346" t="s">
        <v>92</v>
      </c>
      <c r="D7346" t="s">
        <v>93</v>
      </c>
      <c r="E7346" s="1">
        <v>44294</v>
      </c>
      <c r="F7346">
        <v>1</v>
      </c>
      <c r="G7346" t="s">
        <v>27</v>
      </c>
      <c r="H7346" t="s">
        <v>28</v>
      </c>
      <c r="I7346" s="4">
        <v>2437</v>
      </c>
      <c r="J7346" s="3">
        <v>2241</v>
      </c>
      <c r="K7346" s="4">
        <v>396</v>
      </c>
      <c r="L7346" t="s">
        <v>9</v>
      </c>
      <c r="M7346">
        <v>18</v>
      </c>
      <c r="N7346" t="str">
        <f>IF(MASTER[[#This Row],[IDLOCAL]]=17,"HYDE PARK", "HARLEM IRVING")</f>
        <v>HARLEM IRVING</v>
      </c>
      <c r="O7346" t="str">
        <f>IF(MASTER[[#This Row],[IDLOCAL]]=17,"PREMIUM", "ESTÁNDAR")</f>
        <v>ESTÁNDAR</v>
      </c>
      <c r="P7346" t="s">
        <v>137</v>
      </c>
      <c r="Q7346" t="s">
        <v>142</v>
      </c>
      <c r="R7346" t="s">
        <v>143</v>
      </c>
      <c r="S7346" t="s">
        <v>145</v>
      </c>
      <c r="T7346" s="2">
        <f>MASTER[[#This Row],[CANTIDAD]]*MASTER[[#This Row],[PRECIO DE VENTA]]</f>
        <v>2241</v>
      </c>
      <c r="U7346" s="2">
        <f>MASTER[[#This Row],[CANTIDAD]]*MASTER[[#This Row],[COSTO UNITARIO]]</f>
        <v>396</v>
      </c>
      <c r="V7346" s="2">
        <f>MASTER[[#This Row],[MONTO VENDIDO]]-MASTER[[#This Row],[COSTO DE VENTA]]</f>
        <v>1845</v>
      </c>
    </row>
    <row r="7347" spans="1:22" x14ac:dyDescent="0.3">
      <c r="A7347">
        <v>106481</v>
      </c>
      <c r="B7347">
        <v>1</v>
      </c>
      <c r="C7347" t="s">
        <v>116</v>
      </c>
      <c r="D7347" t="s">
        <v>117</v>
      </c>
      <c r="E7347" s="1">
        <v>44294</v>
      </c>
      <c r="F7347">
        <v>1</v>
      </c>
      <c r="G7347" t="s">
        <v>7</v>
      </c>
      <c r="H7347" t="s">
        <v>8</v>
      </c>
      <c r="I7347" s="4">
        <v>2520</v>
      </c>
      <c r="J7347" s="3">
        <v>2520</v>
      </c>
      <c r="K7347" s="4">
        <v>388</v>
      </c>
      <c r="L7347" t="s">
        <v>113</v>
      </c>
      <c r="M7347">
        <v>19</v>
      </c>
      <c r="N7347" t="s">
        <v>150</v>
      </c>
      <c r="O7347" t="s">
        <v>81</v>
      </c>
      <c r="P7347" t="s">
        <v>136</v>
      </c>
      <c r="Q7347" t="s">
        <v>140</v>
      </c>
      <c r="R7347" t="s">
        <v>141</v>
      </c>
      <c r="S7347" t="s">
        <v>145</v>
      </c>
      <c r="T7347" s="2">
        <f>MASTER[[#This Row],[CANTIDAD]]*MASTER[[#This Row],[PRECIO DE VENTA]]</f>
        <v>2520</v>
      </c>
      <c r="U7347" s="2">
        <f>MASTER[[#This Row],[CANTIDAD]]*MASTER[[#This Row],[COSTO UNITARIO]]</f>
        <v>388</v>
      </c>
      <c r="V7347" s="2">
        <f>MASTER[[#This Row],[MONTO VENDIDO]]-MASTER[[#This Row],[COSTO DE VENTA]]</f>
        <v>2132</v>
      </c>
    </row>
    <row r="7348" spans="1:22" x14ac:dyDescent="0.3">
      <c r="A7348">
        <v>106492</v>
      </c>
      <c r="B7348">
        <v>1</v>
      </c>
      <c r="C7348" t="s">
        <v>96</v>
      </c>
      <c r="D7348" t="s">
        <v>97</v>
      </c>
      <c r="E7348" s="1">
        <v>44295</v>
      </c>
      <c r="F7348">
        <v>1</v>
      </c>
      <c r="G7348" t="s">
        <v>39</v>
      </c>
      <c r="H7348" t="s">
        <v>40</v>
      </c>
      <c r="I7348" s="4">
        <v>1973</v>
      </c>
      <c r="J7348" s="3">
        <v>1973</v>
      </c>
      <c r="K7348" s="4">
        <v>397</v>
      </c>
      <c r="L7348" t="s">
        <v>98</v>
      </c>
      <c r="M7348">
        <v>17</v>
      </c>
      <c r="N7348" t="str">
        <f>IF(MASTER[[#This Row],[IDLOCAL]]=17,"HYDE PARK", "HARLEM IRVING")</f>
        <v>HYDE PARK</v>
      </c>
      <c r="O7348" t="str">
        <f>IF(MASTER[[#This Row],[IDLOCAL]]=17,"PREMIUM", "ESTÁNDAR")</f>
        <v>PREMIUM</v>
      </c>
      <c r="P7348" t="s">
        <v>137</v>
      </c>
      <c r="Q7348" t="s">
        <v>142</v>
      </c>
      <c r="R7348" t="s">
        <v>143</v>
      </c>
      <c r="S7348" t="s">
        <v>145</v>
      </c>
      <c r="T7348" s="2">
        <f>MASTER[[#This Row],[CANTIDAD]]*MASTER[[#This Row],[PRECIO DE VENTA]]</f>
        <v>1973</v>
      </c>
      <c r="U7348" s="2">
        <f>MASTER[[#This Row],[CANTIDAD]]*MASTER[[#This Row],[COSTO UNITARIO]]</f>
        <v>397</v>
      </c>
      <c r="V7348" s="2">
        <f>MASTER[[#This Row],[MONTO VENDIDO]]-MASTER[[#This Row],[COSTO DE VENTA]]</f>
        <v>1576</v>
      </c>
    </row>
    <row r="7349" spans="1:22" x14ac:dyDescent="0.3">
      <c r="A7349">
        <v>106493</v>
      </c>
      <c r="B7349">
        <v>1</v>
      </c>
      <c r="C7349" t="s">
        <v>121</v>
      </c>
      <c r="D7349" t="s">
        <v>122</v>
      </c>
      <c r="E7349" s="1">
        <v>44295</v>
      </c>
      <c r="F7349">
        <v>1</v>
      </c>
      <c r="G7349" t="s">
        <v>47</v>
      </c>
      <c r="H7349" t="s">
        <v>48</v>
      </c>
      <c r="I7349" s="4">
        <v>1550</v>
      </c>
      <c r="J7349" s="3">
        <v>1550</v>
      </c>
      <c r="K7349" s="4">
        <v>460</v>
      </c>
      <c r="L7349" t="s">
        <v>120</v>
      </c>
      <c r="M7349">
        <v>19</v>
      </c>
      <c r="N7349" t="s">
        <v>150</v>
      </c>
      <c r="O7349" t="s">
        <v>81</v>
      </c>
      <c r="P7349" t="s">
        <v>136</v>
      </c>
      <c r="Q7349" t="s">
        <v>140</v>
      </c>
      <c r="R7349" t="s">
        <v>141</v>
      </c>
      <c r="S7349" t="s">
        <v>145</v>
      </c>
      <c r="T7349" s="2">
        <f>MASTER[[#This Row],[CANTIDAD]]*MASTER[[#This Row],[PRECIO DE VENTA]]</f>
        <v>1550</v>
      </c>
      <c r="U7349" s="2">
        <f>MASTER[[#This Row],[CANTIDAD]]*MASTER[[#This Row],[COSTO UNITARIO]]</f>
        <v>460</v>
      </c>
      <c r="V7349" s="2">
        <f>MASTER[[#This Row],[MONTO VENDIDO]]-MASTER[[#This Row],[COSTO DE VENTA]]</f>
        <v>1090</v>
      </c>
    </row>
    <row r="7350" spans="1:22" x14ac:dyDescent="0.3">
      <c r="A7350">
        <v>106501</v>
      </c>
      <c r="B7350">
        <v>1</v>
      </c>
      <c r="C7350" t="s">
        <v>90</v>
      </c>
      <c r="D7350" t="s">
        <v>91</v>
      </c>
      <c r="E7350" s="1">
        <v>44296</v>
      </c>
      <c r="F7350">
        <v>1</v>
      </c>
      <c r="G7350" t="s">
        <v>55</v>
      </c>
      <c r="H7350" t="s">
        <v>56</v>
      </c>
      <c r="I7350" s="4">
        <v>2673</v>
      </c>
      <c r="J7350" s="3">
        <v>2673</v>
      </c>
      <c r="K7350" s="4">
        <v>420</v>
      </c>
      <c r="L7350" t="s">
        <v>9</v>
      </c>
      <c r="M7350">
        <v>17</v>
      </c>
      <c r="N7350" t="str">
        <f>IF(MASTER[[#This Row],[IDLOCAL]]=17,"HYDE PARK", "HARLEM IRVING")</f>
        <v>HYDE PARK</v>
      </c>
      <c r="O7350" t="str">
        <f>IF(MASTER[[#This Row],[IDLOCAL]]=17,"PREMIUM", "ESTÁNDAR")</f>
        <v>PREMIUM</v>
      </c>
      <c r="P7350" t="s">
        <v>137</v>
      </c>
      <c r="Q7350" t="s">
        <v>142</v>
      </c>
      <c r="R7350" t="s">
        <v>143</v>
      </c>
      <c r="S7350" t="s">
        <v>145</v>
      </c>
      <c r="T7350" s="2">
        <f>MASTER[[#This Row],[CANTIDAD]]*MASTER[[#This Row],[PRECIO DE VENTA]]</f>
        <v>2673</v>
      </c>
      <c r="U7350" s="2">
        <f>MASTER[[#This Row],[CANTIDAD]]*MASTER[[#This Row],[COSTO UNITARIO]]</f>
        <v>420</v>
      </c>
      <c r="V7350" s="2">
        <f>MASTER[[#This Row],[MONTO VENDIDO]]-MASTER[[#This Row],[COSTO DE VENTA]]</f>
        <v>2253</v>
      </c>
    </row>
    <row r="7351" spans="1:22" x14ac:dyDescent="0.3">
      <c r="A7351">
        <v>106519</v>
      </c>
      <c r="B7351">
        <v>1</v>
      </c>
      <c r="C7351" t="s">
        <v>101</v>
      </c>
      <c r="D7351" t="s">
        <v>102</v>
      </c>
      <c r="E7351" s="1">
        <v>44297</v>
      </c>
      <c r="F7351">
        <v>1</v>
      </c>
      <c r="G7351" t="s">
        <v>47</v>
      </c>
      <c r="H7351" t="s">
        <v>48</v>
      </c>
      <c r="I7351" s="4">
        <v>1528</v>
      </c>
      <c r="J7351" s="3">
        <v>1528</v>
      </c>
      <c r="K7351" s="4">
        <v>442</v>
      </c>
      <c r="L7351" t="s">
        <v>98</v>
      </c>
      <c r="M7351">
        <v>19</v>
      </c>
      <c r="N7351" t="s">
        <v>150</v>
      </c>
      <c r="O7351" t="s">
        <v>81</v>
      </c>
      <c r="P7351" t="s">
        <v>136</v>
      </c>
      <c r="Q7351" t="s">
        <v>140</v>
      </c>
      <c r="R7351" t="s">
        <v>141</v>
      </c>
      <c r="S7351" t="s">
        <v>145</v>
      </c>
      <c r="T7351" s="2">
        <f>MASTER[[#This Row],[CANTIDAD]]*MASTER[[#This Row],[PRECIO DE VENTA]]</f>
        <v>1528</v>
      </c>
      <c r="U7351" s="2">
        <f>MASTER[[#This Row],[CANTIDAD]]*MASTER[[#This Row],[COSTO UNITARIO]]</f>
        <v>442</v>
      </c>
      <c r="V7351" s="2">
        <f>MASTER[[#This Row],[MONTO VENDIDO]]-MASTER[[#This Row],[COSTO DE VENTA]]</f>
        <v>1086</v>
      </c>
    </row>
    <row r="7352" spans="1:22" x14ac:dyDescent="0.3">
      <c r="A7352">
        <v>106521</v>
      </c>
      <c r="B7352">
        <v>1</v>
      </c>
      <c r="C7352" t="s">
        <v>107</v>
      </c>
      <c r="D7352" t="s">
        <v>108</v>
      </c>
      <c r="E7352" s="1">
        <v>44297</v>
      </c>
      <c r="F7352">
        <v>1</v>
      </c>
      <c r="G7352" t="s">
        <v>22</v>
      </c>
      <c r="H7352" t="s">
        <v>23</v>
      </c>
      <c r="I7352" s="4">
        <v>2088</v>
      </c>
      <c r="J7352" s="3">
        <v>2088</v>
      </c>
      <c r="K7352" s="4">
        <v>380</v>
      </c>
      <c r="L7352" t="s">
        <v>98</v>
      </c>
      <c r="M7352">
        <v>17</v>
      </c>
      <c r="N7352" t="str">
        <f>IF(MASTER[[#This Row],[IDLOCAL]]=17,"HYDE PARK", "HARLEM IRVING")</f>
        <v>HYDE PARK</v>
      </c>
      <c r="O7352" t="str">
        <f>IF(MASTER[[#This Row],[IDLOCAL]]=17,"PREMIUM", "ESTÁNDAR")</f>
        <v>PREMIUM</v>
      </c>
      <c r="P7352" t="s">
        <v>137</v>
      </c>
      <c r="Q7352" t="s">
        <v>142</v>
      </c>
      <c r="R7352" t="s">
        <v>143</v>
      </c>
      <c r="S7352" t="s">
        <v>145</v>
      </c>
      <c r="T7352" s="2">
        <f>MASTER[[#This Row],[CANTIDAD]]*MASTER[[#This Row],[PRECIO DE VENTA]]</f>
        <v>2088</v>
      </c>
      <c r="U7352" s="2">
        <f>MASTER[[#This Row],[CANTIDAD]]*MASTER[[#This Row],[COSTO UNITARIO]]</f>
        <v>380</v>
      </c>
      <c r="V7352" s="2">
        <f>MASTER[[#This Row],[MONTO VENDIDO]]-MASTER[[#This Row],[COSTO DE VENTA]]</f>
        <v>1708</v>
      </c>
    </row>
    <row r="7353" spans="1:22" x14ac:dyDescent="0.3">
      <c r="A7353">
        <v>106528</v>
      </c>
      <c r="B7353">
        <v>1</v>
      </c>
      <c r="C7353" t="s">
        <v>114</v>
      </c>
      <c r="D7353" t="s">
        <v>115</v>
      </c>
      <c r="E7353" s="1">
        <v>44297</v>
      </c>
      <c r="F7353">
        <v>1</v>
      </c>
      <c r="G7353" t="s">
        <v>31</v>
      </c>
      <c r="H7353" t="s">
        <v>32</v>
      </c>
      <c r="I7353" s="4">
        <v>2943</v>
      </c>
      <c r="J7353" s="3">
        <v>2943</v>
      </c>
      <c r="K7353" s="4">
        <v>394</v>
      </c>
      <c r="L7353" t="s">
        <v>113</v>
      </c>
      <c r="M7353">
        <v>17</v>
      </c>
      <c r="N7353" t="str">
        <f>IF(MASTER[[#This Row],[IDLOCAL]]=17,"HYDE PARK", "HARLEM IRVING")</f>
        <v>HYDE PARK</v>
      </c>
      <c r="O7353" t="str">
        <f>IF(MASTER[[#This Row],[IDLOCAL]]=17,"PREMIUM", "ESTÁNDAR")</f>
        <v>PREMIUM</v>
      </c>
      <c r="P7353" t="s">
        <v>137</v>
      </c>
      <c r="Q7353" t="s">
        <v>142</v>
      </c>
      <c r="R7353" t="s">
        <v>143</v>
      </c>
      <c r="S7353" t="s">
        <v>145</v>
      </c>
      <c r="T7353" s="2">
        <f>MASTER[[#This Row],[CANTIDAD]]*MASTER[[#This Row],[PRECIO DE VENTA]]</f>
        <v>2943</v>
      </c>
      <c r="U7353" s="2">
        <f>MASTER[[#This Row],[CANTIDAD]]*MASTER[[#This Row],[COSTO UNITARIO]]</f>
        <v>394</v>
      </c>
      <c r="V7353" s="2">
        <f>MASTER[[#This Row],[MONTO VENDIDO]]-MASTER[[#This Row],[COSTO DE VENTA]]</f>
        <v>2549</v>
      </c>
    </row>
    <row r="7354" spans="1:22" x14ac:dyDescent="0.3">
      <c r="A7354">
        <v>106557</v>
      </c>
      <c r="B7354">
        <v>1</v>
      </c>
      <c r="C7354" t="s">
        <v>103</v>
      </c>
      <c r="D7354" t="s">
        <v>104</v>
      </c>
      <c r="E7354" s="1">
        <v>44301</v>
      </c>
      <c r="F7354">
        <v>1</v>
      </c>
      <c r="G7354" t="s">
        <v>67</v>
      </c>
      <c r="H7354" t="s">
        <v>68</v>
      </c>
      <c r="I7354" s="4">
        <v>2653</v>
      </c>
      <c r="J7354" s="3">
        <v>2653</v>
      </c>
      <c r="K7354" s="4">
        <v>421</v>
      </c>
      <c r="L7354" t="s">
        <v>98</v>
      </c>
      <c r="M7354">
        <v>17</v>
      </c>
      <c r="N7354" t="str">
        <f>IF(MASTER[[#This Row],[IDLOCAL]]=17,"HYDE PARK", "HARLEM IRVING")</f>
        <v>HYDE PARK</v>
      </c>
      <c r="O7354" t="str">
        <f>IF(MASTER[[#This Row],[IDLOCAL]]=17,"PREMIUM", "ESTÁNDAR")</f>
        <v>PREMIUM</v>
      </c>
      <c r="P7354" t="s">
        <v>137</v>
      </c>
      <c r="Q7354" t="s">
        <v>142</v>
      </c>
      <c r="R7354" t="s">
        <v>143</v>
      </c>
      <c r="S7354" t="s">
        <v>145</v>
      </c>
      <c r="T7354" s="2">
        <f>MASTER[[#This Row],[CANTIDAD]]*MASTER[[#This Row],[PRECIO DE VENTA]]</f>
        <v>2653</v>
      </c>
      <c r="U7354" s="2">
        <f>MASTER[[#This Row],[CANTIDAD]]*MASTER[[#This Row],[COSTO UNITARIO]]</f>
        <v>421</v>
      </c>
      <c r="V7354" s="2">
        <f>MASTER[[#This Row],[MONTO VENDIDO]]-MASTER[[#This Row],[COSTO DE VENTA]]</f>
        <v>2232</v>
      </c>
    </row>
    <row r="7355" spans="1:22" x14ac:dyDescent="0.3">
      <c r="A7355">
        <v>106569</v>
      </c>
      <c r="B7355">
        <v>1</v>
      </c>
      <c r="C7355" t="s">
        <v>94</v>
      </c>
      <c r="D7355" t="s">
        <v>95</v>
      </c>
      <c r="E7355" s="1">
        <v>44302</v>
      </c>
      <c r="F7355">
        <v>1</v>
      </c>
      <c r="G7355" t="s">
        <v>31</v>
      </c>
      <c r="H7355" t="s">
        <v>32</v>
      </c>
      <c r="I7355" s="4">
        <v>1519</v>
      </c>
      <c r="J7355" s="3">
        <v>1519</v>
      </c>
      <c r="K7355" s="4">
        <v>392</v>
      </c>
      <c r="L7355" t="s">
        <v>9</v>
      </c>
      <c r="M7355">
        <v>17</v>
      </c>
      <c r="N7355" t="str">
        <f>IF(MASTER[[#This Row],[IDLOCAL]]=17,"HYDE PARK", "HARLEM IRVING")</f>
        <v>HYDE PARK</v>
      </c>
      <c r="O7355" t="str">
        <f>IF(MASTER[[#This Row],[IDLOCAL]]=17,"PREMIUM", "ESTÁNDAR")</f>
        <v>PREMIUM</v>
      </c>
      <c r="P7355" t="s">
        <v>137</v>
      </c>
      <c r="Q7355" t="s">
        <v>142</v>
      </c>
      <c r="R7355" t="s">
        <v>143</v>
      </c>
      <c r="S7355" t="s">
        <v>145</v>
      </c>
      <c r="T7355" s="2">
        <f>MASTER[[#This Row],[CANTIDAD]]*MASTER[[#This Row],[PRECIO DE VENTA]]</f>
        <v>1519</v>
      </c>
      <c r="U7355" s="2">
        <f>MASTER[[#This Row],[CANTIDAD]]*MASTER[[#This Row],[COSTO UNITARIO]]</f>
        <v>392</v>
      </c>
      <c r="V7355" s="2">
        <f>MASTER[[#This Row],[MONTO VENDIDO]]-MASTER[[#This Row],[COSTO DE VENTA]]</f>
        <v>1127</v>
      </c>
    </row>
    <row r="7356" spans="1:22" x14ac:dyDescent="0.3">
      <c r="A7356">
        <v>106577</v>
      </c>
      <c r="B7356">
        <v>1</v>
      </c>
      <c r="C7356" t="s">
        <v>99</v>
      </c>
      <c r="D7356" t="s">
        <v>100</v>
      </c>
      <c r="E7356" s="1">
        <v>44302</v>
      </c>
      <c r="F7356">
        <v>1</v>
      </c>
      <c r="G7356" t="s">
        <v>51</v>
      </c>
      <c r="H7356" t="s">
        <v>52</v>
      </c>
      <c r="I7356" s="4">
        <v>2115</v>
      </c>
      <c r="J7356" s="3">
        <v>2115</v>
      </c>
      <c r="K7356" s="4">
        <v>386</v>
      </c>
      <c r="L7356" t="s">
        <v>98</v>
      </c>
      <c r="M7356">
        <v>19</v>
      </c>
      <c r="N7356" t="s">
        <v>150</v>
      </c>
      <c r="O7356" t="s">
        <v>81</v>
      </c>
      <c r="P7356" t="s">
        <v>136</v>
      </c>
      <c r="Q7356" t="s">
        <v>140</v>
      </c>
      <c r="R7356" t="s">
        <v>141</v>
      </c>
      <c r="S7356" t="s">
        <v>145</v>
      </c>
      <c r="T7356" s="2">
        <f>MASTER[[#This Row],[CANTIDAD]]*MASTER[[#This Row],[PRECIO DE VENTA]]</f>
        <v>2115</v>
      </c>
      <c r="U7356" s="2">
        <f>MASTER[[#This Row],[CANTIDAD]]*MASTER[[#This Row],[COSTO UNITARIO]]</f>
        <v>386</v>
      </c>
      <c r="V7356" s="2">
        <f>MASTER[[#This Row],[MONTO VENDIDO]]-MASTER[[#This Row],[COSTO DE VENTA]]</f>
        <v>1729</v>
      </c>
    </row>
    <row r="7357" spans="1:22" x14ac:dyDescent="0.3">
      <c r="A7357">
        <v>106579</v>
      </c>
      <c r="B7357">
        <v>1</v>
      </c>
      <c r="C7357" t="s">
        <v>5</v>
      </c>
      <c r="D7357" t="s">
        <v>6</v>
      </c>
      <c r="E7357" s="1">
        <v>44303</v>
      </c>
      <c r="F7357">
        <v>1</v>
      </c>
      <c r="G7357" t="s">
        <v>57</v>
      </c>
      <c r="H7357" t="s">
        <v>58</v>
      </c>
      <c r="I7357" s="4">
        <v>1900</v>
      </c>
      <c r="J7357" s="3">
        <v>1748</v>
      </c>
      <c r="K7357" s="4">
        <v>393</v>
      </c>
      <c r="L7357" t="s">
        <v>9</v>
      </c>
      <c r="M7357">
        <v>19</v>
      </c>
      <c r="N7357" t="s">
        <v>150</v>
      </c>
      <c r="O7357" t="s">
        <v>81</v>
      </c>
      <c r="P7357" t="s">
        <v>136</v>
      </c>
      <c r="Q7357" t="s">
        <v>140</v>
      </c>
      <c r="R7357" t="s">
        <v>141</v>
      </c>
      <c r="S7357" t="s">
        <v>145</v>
      </c>
      <c r="T7357" s="2">
        <f>MASTER[[#This Row],[CANTIDAD]]*MASTER[[#This Row],[PRECIO DE VENTA]]</f>
        <v>1748</v>
      </c>
      <c r="U7357" s="2">
        <f>MASTER[[#This Row],[CANTIDAD]]*MASTER[[#This Row],[COSTO UNITARIO]]</f>
        <v>393</v>
      </c>
      <c r="V7357" s="2">
        <f>MASTER[[#This Row],[MONTO VENDIDO]]-MASTER[[#This Row],[COSTO DE VENTA]]</f>
        <v>1355</v>
      </c>
    </row>
    <row r="7358" spans="1:22" x14ac:dyDescent="0.3">
      <c r="A7358">
        <v>106583</v>
      </c>
      <c r="B7358">
        <v>1</v>
      </c>
      <c r="C7358" t="s">
        <v>109</v>
      </c>
      <c r="D7358" t="s">
        <v>110</v>
      </c>
      <c r="E7358" s="1">
        <v>44303</v>
      </c>
      <c r="F7358">
        <v>1</v>
      </c>
      <c r="G7358" t="s">
        <v>53</v>
      </c>
      <c r="H7358" t="s">
        <v>54</v>
      </c>
      <c r="I7358" s="4">
        <v>1542</v>
      </c>
      <c r="J7358" s="3">
        <v>1542</v>
      </c>
      <c r="K7358" s="4">
        <v>387</v>
      </c>
      <c r="L7358" t="s">
        <v>98</v>
      </c>
      <c r="M7358">
        <v>17</v>
      </c>
      <c r="N7358" t="str">
        <f>IF(MASTER[[#This Row],[IDLOCAL]]=17,"HYDE PARK", "HARLEM IRVING")</f>
        <v>HYDE PARK</v>
      </c>
      <c r="O7358" t="str">
        <f>IF(MASTER[[#This Row],[IDLOCAL]]=17,"PREMIUM", "ESTÁNDAR")</f>
        <v>PREMIUM</v>
      </c>
      <c r="P7358" t="s">
        <v>137</v>
      </c>
      <c r="Q7358" t="s">
        <v>142</v>
      </c>
      <c r="R7358" t="s">
        <v>143</v>
      </c>
      <c r="S7358" t="s">
        <v>145</v>
      </c>
      <c r="T7358" s="2">
        <f>MASTER[[#This Row],[CANTIDAD]]*MASTER[[#This Row],[PRECIO DE VENTA]]</f>
        <v>1542</v>
      </c>
      <c r="U7358" s="2">
        <f>MASTER[[#This Row],[CANTIDAD]]*MASTER[[#This Row],[COSTO UNITARIO]]</f>
        <v>387</v>
      </c>
      <c r="V7358" s="2">
        <f>MASTER[[#This Row],[MONTO VENDIDO]]-MASTER[[#This Row],[COSTO DE VENTA]]</f>
        <v>1155</v>
      </c>
    </row>
    <row r="7359" spans="1:22" x14ac:dyDescent="0.3">
      <c r="A7359">
        <v>106595</v>
      </c>
      <c r="B7359">
        <v>1</v>
      </c>
      <c r="C7359" t="s">
        <v>99</v>
      </c>
      <c r="D7359" t="s">
        <v>100</v>
      </c>
      <c r="E7359" s="1">
        <v>44305</v>
      </c>
      <c r="F7359">
        <v>1</v>
      </c>
      <c r="G7359" t="s">
        <v>7</v>
      </c>
      <c r="H7359" t="s">
        <v>8</v>
      </c>
      <c r="I7359" s="4">
        <v>2433</v>
      </c>
      <c r="J7359" s="3">
        <v>2433</v>
      </c>
      <c r="K7359" s="4">
        <v>386</v>
      </c>
      <c r="L7359" t="s">
        <v>98</v>
      </c>
      <c r="M7359">
        <v>19</v>
      </c>
      <c r="N7359" t="s">
        <v>150</v>
      </c>
      <c r="O7359" t="s">
        <v>81</v>
      </c>
      <c r="P7359" t="s">
        <v>136</v>
      </c>
      <c r="Q7359" t="s">
        <v>140</v>
      </c>
      <c r="R7359" t="s">
        <v>141</v>
      </c>
      <c r="S7359" t="s">
        <v>145</v>
      </c>
      <c r="T7359" s="2">
        <f>MASTER[[#This Row],[CANTIDAD]]*MASTER[[#This Row],[PRECIO DE VENTA]]</f>
        <v>2433</v>
      </c>
      <c r="U7359" s="2">
        <f>MASTER[[#This Row],[CANTIDAD]]*MASTER[[#This Row],[COSTO UNITARIO]]</f>
        <v>386</v>
      </c>
      <c r="V7359" s="2">
        <f>MASTER[[#This Row],[MONTO VENDIDO]]-MASTER[[#This Row],[COSTO DE VENTA]]</f>
        <v>2047</v>
      </c>
    </row>
    <row r="7360" spans="1:22" x14ac:dyDescent="0.3">
      <c r="A7360">
        <v>106614</v>
      </c>
      <c r="B7360">
        <v>1</v>
      </c>
      <c r="C7360" t="s">
        <v>101</v>
      </c>
      <c r="D7360" t="s">
        <v>102</v>
      </c>
      <c r="E7360" s="1">
        <v>44305</v>
      </c>
      <c r="F7360">
        <v>1</v>
      </c>
      <c r="G7360" t="s">
        <v>27</v>
      </c>
      <c r="H7360" t="s">
        <v>28</v>
      </c>
      <c r="I7360" s="4">
        <v>1757</v>
      </c>
      <c r="J7360" s="3">
        <v>1757</v>
      </c>
      <c r="K7360" s="4">
        <v>442</v>
      </c>
      <c r="L7360" t="s">
        <v>98</v>
      </c>
      <c r="M7360">
        <v>19</v>
      </c>
      <c r="N7360" t="s">
        <v>150</v>
      </c>
      <c r="O7360" t="s">
        <v>81</v>
      </c>
      <c r="P7360" t="s">
        <v>136</v>
      </c>
      <c r="Q7360" t="s">
        <v>140</v>
      </c>
      <c r="R7360" t="s">
        <v>141</v>
      </c>
      <c r="S7360" t="s">
        <v>145</v>
      </c>
      <c r="T7360" s="2">
        <f>MASTER[[#This Row],[CANTIDAD]]*MASTER[[#This Row],[PRECIO DE VENTA]]</f>
        <v>1757</v>
      </c>
      <c r="U7360" s="2">
        <f>MASTER[[#This Row],[CANTIDAD]]*MASTER[[#This Row],[COSTO UNITARIO]]</f>
        <v>442</v>
      </c>
      <c r="V7360" s="2">
        <f>MASTER[[#This Row],[MONTO VENDIDO]]-MASTER[[#This Row],[COSTO DE VENTA]]</f>
        <v>1315</v>
      </c>
    </row>
    <row r="7361" spans="1:22" x14ac:dyDescent="0.3">
      <c r="A7361">
        <v>106619</v>
      </c>
      <c r="B7361">
        <v>1</v>
      </c>
      <c r="C7361" t="s">
        <v>105</v>
      </c>
      <c r="D7361" t="s">
        <v>106</v>
      </c>
      <c r="E7361" s="1">
        <v>44305</v>
      </c>
      <c r="F7361">
        <v>1</v>
      </c>
      <c r="G7361" t="s">
        <v>24</v>
      </c>
      <c r="H7361" t="s">
        <v>25</v>
      </c>
      <c r="I7361" s="4">
        <v>2704</v>
      </c>
      <c r="J7361" s="3">
        <v>2704</v>
      </c>
      <c r="K7361" s="4">
        <v>459</v>
      </c>
      <c r="L7361" t="s">
        <v>98</v>
      </c>
      <c r="M7361">
        <v>19</v>
      </c>
      <c r="N7361" t="s">
        <v>150</v>
      </c>
      <c r="O7361" t="s">
        <v>81</v>
      </c>
      <c r="P7361" t="s">
        <v>136</v>
      </c>
      <c r="Q7361" t="s">
        <v>140</v>
      </c>
      <c r="R7361" t="s">
        <v>141</v>
      </c>
      <c r="S7361" t="s">
        <v>145</v>
      </c>
      <c r="T7361" s="2">
        <f>MASTER[[#This Row],[CANTIDAD]]*MASTER[[#This Row],[PRECIO DE VENTA]]</f>
        <v>2704</v>
      </c>
      <c r="U7361" s="2">
        <f>MASTER[[#This Row],[CANTIDAD]]*MASTER[[#This Row],[COSTO UNITARIO]]</f>
        <v>459</v>
      </c>
      <c r="V7361" s="2">
        <f>MASTER[[#This Row],[MONTO VENDIDO]]-MASTER[[#This Row],[COSTO DE VENTA]]</f>
        <v>2245</v>
      </c>
    </row>
    <row r="7362" spans="1:22" x14ac:dyDescent="0.3">
      <c r="A7362">
        <v>106628</v>
      </c>
      <c r="B7362">
        <v>1</v>
      </c>
      <c r="C7362" t="s">
        <v>111</v>
      </c>
      <c r="D7362" t="s">
        <v>112</v>
      </c>
      <c r="E7362" s="1">
        <v>44305</v>
      </c>
      <c r="F7362">
        <v>1</v>
      </c>
      <c r="G7362" t="s">
        <v>45</v>
      </c>
      <c r="H7362" t="s">
        <v>46</v>
      </c>
      <c r="I7362" s="4">
        <v>2608</v>
      </c>
      <c r="J7362" s="3">
        <v>2608</v>
      </c>
      <c r="K7362" s="4">
        <v>434</v>
      </c>
      <c r="L7362" t="s">
        <v>113</v>
      </c>
      <c r="M7362">
        <v>17</v>
      </c>
      <c r="N7362" t="str">
        <f>IF(MASTER[[#This Row],[IDLOCAL]]=17,"HYDE PARK", "HARLEM IRVING")</f>
        <v>HYDE PARK</v>
      </c>
      <c r="O7362" t="str">
        <f>IF(MASTER[[#This Row],[IDLOCAL]]=17,"PREMIUM", "ESTÁNDAR")</f>
        <v>PREMIUM</v>
      </c>
      <c r="P7362" t="s">
        <v>137</v>
      </c>
      <c r="Q7362" t="s">
        <v>142</v>
      </c>
      <c r="R7362" t="s">
        <v>143</v>
      </c>
      <c r="S7362" t="s">
        <v>145</v>
      </c>
      <c r="T7362" s="2">
        <f>MASTER[[#This Row],[CANTIDAD]]*MASTER[[#This Row],[PRECIO DE VENTA]]</f>
        <v>2608</v>
      </c>
      <c r="U7362" s="2">
        <f>MASTER[[#This Row],[CANTIDAD]]*MASTER[[#This Row],[COSTO UNITARIO]]</f>
        <v>434</v>
      </c>
      <c r="V7362" s="2">
        <f>MASTER[[#This Row],[MONTO VENDIDO]]-MASTER[[#This Row],[COSTO DE VENTA]]</f>
        <v>2174</v>
      </c>
    </row>
    <row r="7363" spans="1:22" x14ac:dyDescent="0.3">
      <c r="A7363">
        <v>106634</v>
      </c>
      <c r="B7363">
        <v>1</v>
      </c>
      <c r="C7363" t="s">
        <v>94</v>
      </c>
      <c r="D7363" t="s">
        <v>95</v>
      </c>
      <c r="E7363" s="1">
        <v>44306</v>
      </c>
      <c r="F7363">
        <v>1</v>
      </c>
      <c r="G7363" t="s">
        <v>61</v>
      </c>
      <c r="H7363" t="s">
        <v>62</v>
      </c>
      <c r="I7363" s="4">
        <v>1306</v>
      </c>
      <c r="J7363" s="3">
        <v>1306</v>
      </c>
      <c r="K7363" s="4">
        <v>392</v>
      </c>
      <c r="L7363" t="s">
        <v>9</v>
      </c>
      <c r="M7363">
        <v>19</v>
      </c>
      <c r="N7363" t="s">
        <v>150</v>
      </c>
      <c r="O7363" t="s">
        <v>81</v>
      </c>
      <c r="P7363" t="s">
        <v>136</v>
      </c>
      <c r="Q7363" t="s">
        <v>140</v>
      </c>
      <c r="R7363" t="s">
        <v>141</v>
      </c>
      <c r="S7363" t="s">
        <v>145</v>
      </c>
      <c r="T7363" s="2">
        <f>MASTER[[#This Row],[CANTIDAD]]*MASTER[[#This Row],[PRECIO DE VENTA]]</f>
        <v>1306</v>
      </c>
      <c r="U7363" s="2">
        <f>MASTER[[#This Row],[CANTIDAD]]*MASTER[[#This Row],[COSTO UNITARIO]]</f>
        <v>392</v>
      </c>
      <c r="V7363" s="2">
        <f>MASTER[[#This Row],[MONTO VENDIDO]]-MASTER[[#This Row],[COSTO DE VENTA]]</f>
        <v>914</v>
      </c>
    </row>
    <row r="7364" spans="1:22" x14ac:dyDescent="0.3">
      <c r="A7364">
        <v>106638</v>
      </c>
      <c r="B7364">
        <v>1</v>
      </c>
      <c r="C7364" t="s">
        <v>99</v>
      </c>
      <c r="D7364" t="s">
        <v>100</v>
      </c>
      <c r="E7364" s="1">
        <v>44306</v>
      </c>
      <c r="F7364">
        <v>1</v>
      </c>
      <c r="G7364" t="s">
        <v>61</v>
      </c>
      <c r="H7364" t="s">
        <v>62</v>
      </c>
      <c r="I7364" s="4">
        <v>1925</v>
      </c>
      <c r="J7364" s="3">
        <v>1925</v>
      </c>
      <c r="K7364" s="4">
        <v>386</v>
      </c>
      <c r="L7364" t="s">
        <v>98</v>
      </c>
      <c r="M7364">
        <v>17</v>
      </c>
      <c r="N7364" t="str">
        <f>IF(MASTER[[#This Row],[IDLOCAL]]=17,"HYDE PARK", "HARLEM IRVING")</f>
        <v>HYDE PARK</v>
      </c>
      <c r="O7364" t="str">
        <f>IF(MASTER[[#This Row],[IDLOCAL]]=17,"PREMIUM", "ESTÁNDAR")</f>
        <v>PREMIUM</v>
      </c>
      <c r="P7364" t="s">
        <v>137</v>
      </c>
      <c r="Q7364" t="s">
        <v>142</v>
      </c>
      <c r="R7364" t="s">
        <v>143</v>
      </c>
      <c r="S7364" t="s">
        <v>145</v>
      </c>
      <c r="T7364" s="2">
        <f>MASTER[[#This Row],[CANTIDAD]]*MASTER[[#This Row],[PRECIO DE VENTA]]</f>
        <v>1925</v>
      </c>
      <c r="U7364" s="2">
        <f>MASTER[[#This Row],[CANTIDAD]]*MASTER[[#This Row],[COSTO UNITARIO]]</f>
        <v>386</v>
      </c>
      <c r="V7364" s="2">
        <f>MASTER[[#This Row],[MONTO VENDIDO]]-MASTER[[#This Row],[COSTO DE VENTA]]</f>
        <v>1539</v>
      </c>
    </row>
    <row r="7365" spans="1:22" x14ac:dyDescent="0.3">
      <c r="A7365">
        <v>106640</v>
      </c>
      <c r="B7365">
        <v>1</v>
      </c>
      <c r="C7365" t="s">
        <v>114</v>
      </c>
      <c r="D7365" t="s">
        <v>115</v>
      </c>
      <c r="E7365" s="1">
        <v>44306</v>
      </c>
      <c r="F7365">
        <v>2</v>
      </c>
      <c r="G7365" t="s">
        <v>24</v>
      </c>
      <c r="H7365" t="s">
        <v>25</v>
      </c>
      <c r="I7365" s="4">
        <v>2699</v>
      </c>
      <c r="J7365" s="3">
        <v>2699</v>
      </c>
      <c r="K7365" s="4">
        <v>394</v>
      </c>
      <c r="L7365" t="s">
        <v>113</v>
      </c>
      <c r="M7365">
        <v>18</v>
      </c>
      <c r="N7365" t="str">
        <f>IF(MASTER[[#This Row],[IDLOCAL]]=17,"HYDE PARK", "HARLEM IRVING")</f>
        <v>HARLEM IRVING</v>
      </c>
      <c r="O7365" t="str">
        <f>IF(MASTER[[#This Row],[IDLOCAL]]=17,"PREMIUM", "ESTÁNDAR")</f>
        <v>ESTÁNDAR</v>
      </c>
      <c r="P7365" t="s">
        <v>137</v>
      </c>
      <c r="Q7365" t="s">
        <v>142</v>
      </c>
      <c r="R7365" t="s">
        <v>143</v>
      </c>
      <c r="S7365" t="s">
        <v>145</v>
      </c>
      <c r="T7365" s="2">
        <f>MASTER[[#This Row],[CANTIDAD]]*MASTER[[#This Row],[PRECIO DE VENTA]]</f>
        <v>5398</v>
      </c>
      <c r="U7365" s="2">
        <f>MASTER[[#This Row],[CANTIDAD]]*MASTER[[#This Row],[COSTO UNITARIO]]</f>
        <v>788</v>
      </c>
      <c r="V7365" s="2">
        <f>MASTER[[#This Row],[MONTO VENDIDO]]-MASTER[[#This Row],[COSTO DE VENTA]]</f>
        <v>4610</v>
      </c>
    </row>
    <row r="7366" spans="1:22" x14ac:dyDescent="0.3">
      <c r="A7366">
        <v>106641</v>
      </c>
      <c r="B7366">
        <v>1</v>
      </c>
      <c r="C7366" t="s">
        <v>107</v>
      </c>
      <c r="D7366" t="s">
        <v>108</v>
      </c>
      <c r="E7366" s="1">
        <v>44307</v>
      </c>
      <c r="F7366">
        <v>1</v>
      </c>
      <c r="G7366" t="s">
        <v>24</v>
      </c>
      <c r="H7366" t="s">
        <v>25</v>
      </c>
      <c r="I7366" s="4">
        <v>1798</v>
      </c>
      <c r="J7366" s="3">
        <v>1798</v>
      </c>
      <c r="K7366" s="4">
        <v>380</v>
      </c>
      <c r="L7366" t="s">
        <v>98</v>
      </c>
      <c r="M7366">
        <v>19</v>
      </c>
      <c r="N7366" t="s">
        <v>150</v>
      </c>
      <c r="O7366" t="s">
        <v>81</v>
      </c>
      <c r="P7366" t="s">
        <v>136</v>
      </c>
      <c r="Q7366" t="s">
        <v>140</v>
      </c>
      <c r="R7366" t="s">
        <v>141</v>
      </c>
      <c r="S7366" t="s">
        <v>145</v>
      </c>
      <c r="T7366" s="2">
        <f>MASTER[[#This Row],[CANTIDAD]]*MASTER[[#This Row],[PRECIO DE VENTA]]</f>
        <v>1798</v>
      </c>
      <c r="U7366" s="2">
        <f>MASTER[[#This Row],[CANTIDAD]]*MASTER[[#This Row],[COSTO UNITARIO]]</f>
        <v>380</v>
      </c>
      <c r="V7366" s="2">
        <f>MASTER[[#This Row],[MONTO VENDIDO]]-MASTER[[#This Row],[COSTO DE VENTA]]</f>
        <v>1418</v>
      </c>
    </row>
    <row r="7367" spans="1:22" x14ac:dyDescent="0.3">
      <c r="A7367">
        <v>106647</v>
      </c>
      <c r="B7367">
        <v>1</v>
      </c>
      <c r="C7367" t="s">
        <v>118</v>
      </c>
      <c r="D7367" t="s">
        <v>119</v>
      </c>
      <c r="E7367" s="1">
        <v>44308</v>
      </c>
      <c r="F7367">
        <v>1</v>
      </c>
      <c r="G7367" t="s">
        <v>67</v>
      </c>
      <c r="H7367" t="s">
        <v>68</v>
      </c>
      <c r="I7367" s="4">
        <v>1487</v>
      </c>
      <c r="J7367" s="3">
        <v>1412</v>
      </c>
      <c r="K7367" s="4">
        <v>424</v>
      </c>
      <c r="L7367" t="s">
        <v>120</v>
      </c>
      <c r="M7367">
        <v>19</v>
      </c>
      <c r="N7367" t="s">
        <v>150</v>
      </c>
      <c r="O7367" t="s">
        <v>81</v>
      </c>
      <c r="P7367" t="s">
        <v>136</v>
      </c>
      <c r="Q7367" t="s">
        <v>140</v>
      </c>
      <c r="R7367" t="s">
        <v>141</v>
      </c>
      <c r="S7367" t="s">
        <v>145</v>
      </c>
      <c r="T7367" s="2">
        <f>MASTER[[#This Row],[CANTIDAD]]*MASTER[[#This Row],[PRECIO DE VENTA]]</f>
        <v>1412</v>
      </c>
      <c r="U7367" s="2">
        <f>MASTER[[#This Row],[CANTIDAD]]*MASTER[[#This Row],[COSTO UNITARIO]]</f>
        <v>424</v>
      </c>
      <c r="V7367" s="2">
        <f>MASTER[[#This Row],[MONTO VENDIDO]]-MASTER[[#This Row],[COSTO DE VENTA]]</f>
        <v>988</v>
      </c>
    </row>
    <row r="7368" spans="1:22" x14ac:dyDescent="0.3">
      <c r="A7368">
        <v>106653</v>
      </c>
      <c r="B7368">
        <v>1</v>
      </c>
      <c r="C7368" t="s">
        <v>90</v>
      </c>
      <c r="D7368" t="s">
        <v>91</v>
      </c>
      <c r="E7368" s="1">
        <v>44309</v>
      </c>
      <c r="F7368">
        <v>1</v>
      </c>
      <c r="G7368" t="s">
        <v>20</v>
      </c>
      <c r="H7368" t="s">
        <v>21</v>
      </c>
      <c r="I7368" s="4">
        <v>2673</v>
      </c>
      <c r="J7368" s="3">
        <v>2673</v>
      </c>
      <c r="K7368" s="4">
        <v>420</v>
      </c>
      <c r="L7368" t="s">
        <v>9</v>
      </c>
      <c r="M7368">
        <v>19</v>
      </c>
      <c r="N7368" t="s">
        <v>150</v>
      </c>
      <c r="O7368" t="s">
        <v>81</v>
      </c>
      <c r="P7368" t="s">
        <v>136</v>
      </c>
      <c r="Q7368" t="s">
        <v>140</v>
      </c>
      <c r="R7368" t="s">
        <v>141</v>
      </c>
      <c r="S7368" t="s">
        <v>145</v>
      </c>
      <c r="T7368" s="2">
        <f>MASTER[[#This Row],[CANTIDAD]]*MASTER[[#This Row],[PRECIO DE VENTA]]</f>
        <v>2673</v>
      </c>
      <c r="U7368" s="2">
        <f>MASTER[[#This Row],[CANTIDAD]]*MASTER[[#This Row],[COSTO UNITARIO]]</f>
        <v>420</v>
      </c>
      <c r="V7368" s="2">
        <f>MASTER[[#This Row],[MONTO VENDIDO]]-MASTER[[#This Row],[COSTO DE VENTA]]</f>
        <v>2253</v>
      </c>
    </row>
    <row r="7369" spans="1:22" x14ac:dyDescent="0.3">
      <c r="A7369">
        <v>106655</v>
      </c>
      <c r="B7369">
        <v>1</v>
      </c>
      <c r="C7369" t="s">
        <v>103</v>
      </c>
      <c r="D7369" t="s">
        <v>104</v>
      </c>
      <c r="E7369" s="1">
        <v>44309</v>
      </c>
      <c r="F7369">
        <v>1</v>
      </c>
      <c r="G7369" t="s">
        <v>33</v>
      </c>
      <c r="H7369" t="s">
        <v>34</v>
      </c>
      <c r="I7369" s="4">
        <v>2306</v>
      </c>
      <c r="J7369" s="3">
        <v>2306</v>
      </c>
      <c r="K7369" s="4">
        <v>421</v>
      </c>
      <c r="L7369" t="s">
        <v>98</v>
      </c>
      <c r="M7369">
        <v>19</v>
      </c>
      <c r="N7369" t="s">
        <v>150</v>
      </c>
      <c r="O7369" t="s">
        <v>81</v>
      </c>
      <c r="P7369" t="s">
        <v>136</v>
      </c>
      <c r="Q7369" t="s">
        <v>140</v>
      </c>
      <c r="R7369" t="s">
        <v>141</v>
      </c>
      <c r="S7369" t="s">
        <v>145</v>
      </c>
      <c r="T7369" s="2">
        <f>MASTER[[#This Row],[CANTIDAD]]*MASTER[[#This Row],[PRECIO DE VENTA]]</f>
        <v>2306</v>
      </c>
      <c r="U7369" s="2">
        <f>MASTER[[#This Row],[CANTIDAD]]*MASTER[[#This Row],[COSTO UNITARIO]]</f>
        <v>421</v>
      </c>
      <c r="V7369" s="2">
        <f>MASTER[[#This Row],[MONTO VENDIDO]]-MASTER[[#This Row],[COSTO DE VENTA]]</f>
        <v>1885</v>
      </c>
    </row>
    <row r="7370" spans="1:22" x14ac:dyDescent="0.3">
      <c r="A7370">
        <v>106657</v>
      </c>
      <c r="B7370">
        <v>2</v>
      </c>
      <c r="C7370" t="s">
        <v>109</v>
      </c>
      <c r="D7370" t="s">
        <v>110</v>
      </c>
      <c r="E7370" s="1">
        <v>44309</v>
      </c>
      <c r="F7370">
        <v>1</v>
      </c>
      <c r="G7370" t="s">
        <v>47</v>
      </c>
      <c r="H7370" t="s">
        <v>48</v>
      </c>
      <c r="I7370" s="4">
        <v>1635</v>
      </c>
      <c r="J7370" s="3">
        <v>1635</v>
      </c>
      <c r="K7370" s="4">
        <v>387</v>
      </c>
      <c r="L7370" t="s">
        <v>98</v>
      </c>
      <c r="M7370">
        <v>18</v>
      </c>
      <c r="N7370" t="str">
        <f>IF(MASTER[[#This Row],[IDLOCAL]]=17,"HYDE PARK", "HARLEM IRVING")</f>
        <v>HARLEM IRVING</v>
      </c>
      <c r="O7370" t="str">
        <f>IF(MASTER[[#This Row],[IDLOCAL]]=17,"PREMIUM", "ESTÁNDAR")</f>
        <v>ESTÁNDAR</v>
      </c>
      <c r="P7370" t="s">
        <v>137</v>
      </c>
      <c r="Q7370" t="s">
        <v>142</v>
      </c>
      <c r="R7370" t="s">
        <v>143</v>
      </c>
      <c r="S7370" t="s">
        <v>145</v>
      </c>
      <c r="T7370" s="2">
        <f>MASTER[[#This Row],[CANTIDAD]]*MASTER[[#This Row],[PRECIO DE VENTA]]</f>
        <v>1635</v>
      </c>
      <c r="U7370" s="2">
        <f>MASTER[[#This Row],[CANTIDAD]]*MASTER[[#This Row],[COSTO UNITARIO]]</f>
        <v>387</v>
      </c>
      <c r="V7370" s="2">
        <f>MASTER[[#This Row],[MONTO VENDIDO]]-MASTER[[#This Row],[COSTO DE VENTA]]</f>
        <v>1248</v>
      </c>
    </row>
    <row r="7371" spans="1:22" x14ac:dyDescent="0.3">
      <c r="A7371">
        <v>106673</v>
      </c>
      <c r="B7371">
        <v>1</v>
      </c>
      <c r="C7371" t="s">
        <v>116</v>
      </c>
      <c r="D7371" t="s">
        <v>117</v>
      </c>
      <c r="E7371" s="1">
        <v>44310</v>
      </c>
      <c r="F7371">
        <v>1</v>
      </c>
      <c r="G7371" t="s">
        <v>61</v>
      </c>
      <c r="H7371" t="s">
        <v>62</v>
      </c>
      <c r="I7371" s="4">
        <v>2520</v>
      </c>
      <c r="J7371" s="3">
        <v>2520</v>
      </c>
      <c r="K7371" s="4">
        <v>388</v>
      </c>
      <c r="L7371" t="s">
        <v>113</v>
      </c>
      <c r="M7371">
        <v>17</v>
      </c>
      <c r="N7371" t="str">
        <f>IF(MASTER[[#This Row],[IDLOCAL]]=17,"HYDE PARK", "HARLEM IRVING")</f>
        <v>HYDE PARK</v>
      </c>
      <c r="O7371" t="str">
        <f>IF(MASTER[[#This Row],[IDLOCAL]]=17,"PREMIUM", "ESTÁNDAR")</f>
        <v>PREMIUM</v>
      </c>
      <c r="P7371" t="s">
        <v>137</v>
      </c>
      <c r="Q7371" t="s">
        <v>142</v>
      </c>
      <c r="R7371" t="s">
        <v>143</v>
      </c>
      <c r="S7371" t="s">
        <v>145</v>
      </c>
      <c r="T7371" s="2">
        <f>MASTER[[#This Row],[CANTIDAD]]*MASTER[[#This Row],[PRECIO DE VENTA]]</f>
        <v>2520</v>
      </c>
      <c r="U7371" s="2">
        <f>MASTER[[#This Row],[CANTIDAD]]*MASTER[[#This Row],[COSTO UNITARIO]]</f>
        <v>388</v>
      </c>
      <c r="V7371" s="2">
        <f>MASTER[[#This Row],[MONTO VENDIDO]]-MASTER[[#This Row],[COSTO DE VENTA]]</f>
        <v>2132</v>
      </c>
    </row>
    <row r="7372" spans="1:22" x14ac:dyDescent="0.3">
      <c r="A7372">
        <v>106674</v>
      </c>
      <c r="B7372">
        <v>1</v>
      </c>
      <c r="C7372" t="s">
        <v>118</v>
      </c>
      <c r="D7372" t="s">
        <v>119</v>
      </c>
      <c r="E7372" s="1">
        <v>44312</v>
      </c>
      <c r="F7372">
        <v>1</v>
      </c>
      <c r="G7372" t="s">
        <v>7</v>
      </c>
      <c r="H7372" t="s">
        <v>8</v>
      </c>
      <c r="I7372" s="4">
        <v>1305</v>
      </c>
      <c r="J7372" s="3">
        <v>1305</v>
      </c>
      <c r="K7372" s="4">
        <v>424</v>
      </c>
      <c r="L7372" t="s">
        <v>120</v>
      </c>
      <c r="M7372">
        <v>19</v>
      </c>
      <c r="N7372" t="s">
        <v>150</v>
      </c>
      <c r="O7372" t="s">
        <v>81</v>
      </c>
      <c r="P7372" t="s">
        <v>136</v>
      </c>
      <c r="Q7372" t="s">
        <v>140</v>
      </c>
      <c r="R7372" t="s">
        <v>141</v>
      </c>
      <c r="S7372" t="s">
        <v>145</v>
      </c>
      <c r="T7372" s="2">
        <f>MASTER[[#This Row],[CANTIDAD]]*MASTER[[#This Row],[PRECIO DE VENTA]]</f>
        <v>1305</v>
      </c>
      <c r="U7372" s="2">
        <f>MASTER[[#This Row],[CANTIDAD]]*MASTER[[#This Row],[COSTO UNITARIO]]</f>
        <v>424</v>
      </c>
      <c r="V7372" s="2">
        <f>MASTER[[#This Row],[MONTO VENDIDO]]-MASTER[[#This Row],[COSTO DE VENTA]]</f>
        <v>881</v>
      </c>
    </row>
    <row r="7373" spans="1:22" x14ac:dyDescent="0.3">
      <c r="A7373">
        <v>106675</v>
      </c>
      <c r="B7373">
        <v>1</v>
      </c>
      <c r="C7373" t="s">
        <v>96</v>
      </c>
      <c r="D7373" t="s">
        <v>97</v>
      </c>
      <c r="E7373" s="1">
        <v>44313</v>
      </c>
      <c r="F7373">
        <v>1</v>
      </c>
      <c r="G7373" t="s">
        <v>27</v>
      </c>
      <c r="H7373" t="s">
        <v>28</v>
      </c>
      <c r="I7373" s="4">
        <v>1734</v>
      </c>
      <c r="J7373" s="3">
        <v>1734</v>
      </c>
      <c r="K7373" s="4">
        <v>397</v>
      </c>
      <c r="L7373" t="s">
        <v>98</v>
      </c>
      <c r="M7373">
        <v>19</v>
      </c>
      <c r="N7373" t="s">
        <v>150</v>
      </c>
      <c r="O7373" t="s">
        <v>81</v>
      </c>
      <c r="P7373" t="s">
        <v>136</v>
      </c>
      <c r="Q7373" t="s">
        <v>140</v>
      </c>
      <c r="R7373" t="s">
        <v>141</v>
      </c>
      <c r="S7373" t="s">
        <v>145</v>
      </c>
      <c r="T7373" s="2">
        <f>MASTER[[#This Row],[CANTIDAD]]*MASTER[[#This Row],[PRECIO DE VENTA]]</f>
        <v>1734</v>
      </c>
      <c r="U7373" s="2">
        <f>MASTER[[#This Row],[CANTIDAD]]*MASTER[[#This Row],[COSTO UNITARIO]]</f>
        <v>397</v>
      </c>
      <c r="V7373" s="2">
        <f>MASTER[[#This Row],[MONTO VENDIDO]]-MASTER[[#This Row],[COSTO DE VENTA]]</f>
        <v>1337</v>
      </c>
    </row>
    <row r="7374" spans="1:22" x14ac:dyDescent="0.3">
      <c r="A7374">
        <v>106677</v>
      </c>
      <c r="B7374">
        <v>1</v>
      </c>
      <c r="C7374" t="s">
        <v>105</v>
      </c>
      <c r="D7374" t="s">
        <v>106</v>
      </c>
      <c r="E7374" s="1">
        <v>44314</v>
      </c>
      <c r="F7374">
        <v>1</v>
      </c>
      <c r="G7374" t="s">
        <v>51</v>
      </c>
      <c r="H7374" t="s">
        <v>52</v>
      </c>
      <c r="I7374" s="4">
        <v>2947</v>
      </c>
      <c r="J7374" s="3">
        <v>2947</v>
      </c>
      <c r="K7374" s="4">
        <v>459</v>
      </c>
      <c r="L7374" t="s">
        <v>98</v>
      </c>
      <c r="M7374">
        <v>19</v>
      </c>
      <c r="N7374" t="s">
        <v>150</v>
      </c>
      <c r="O7374" t="s">
        <v>81</v>
      </c>
      <c r="P7374" t="s">
        <v>136</v>
      </c>
      <c r="Q7374" t="s">
        <v>140</v>
      </c>
      <c r="R7374" t="s">
        <v>141</v>
      </c>
      <c r="S7374" t="s">
        <v>145</v>
      </c>
      <c r="T7374" s="2">
        <f>MASTER[[#This Row],[CANTIDAD]]*MASTER[[#This Row],[PRECIO DE VENTA]]</f>
        <v>2947</v>
      </c>
      <c r="U7374" s="2">
        <f>MASTER[[#This Row],[CANTIDAD]]*MASTER[[#This Row],[COSTO UNITARIO]]</f>
        <v>459</v>
      </c>
      <c r="V7374" s="2">
        <f>MASTER[[#This Row],[MONTO VENDIDO]]-MASTER[[#This Row],[COSTO DE VENTA]]</f>
        <v>2488</v>
      </c>
    </row>
    <row r="7375" spans="1:22" x14ac:dyDescent="0.3">
      <c r="A7375">
        <v>106688</v>
      </c>
      <c r="B7375">
        <v>1</v>
      </c>
      <c r="C7375" t="s">
        <v>111</v>
      </c>
      <c r="D7375" t="s">
        <v>112</v>
      </c>
      <c r="E7375" s="1">
        <v>44315</v>
      </c>
      <c r="F7375">
        <v>4</v>
      </c>
      <c r="G7375" t="s">
        <v>35</v>
      </c>
      <c r="H7375" t="s">
        <v>36</v>
      </c>
      <c r="I7375" s="4">
        <v>2350</v>
      </c>
      <c r="J7375" s="3">
        <v>2350</v>
      </c>
      <c r="K7375" s="4">
        <v>434</v>
      </c>
      <c r="L7375" t="s">
        <v>113</v>
      </c>
      <c r="M7375">
        <v>19</v>
      </c>
      <c r="N7375" t="s">
        <v>150</v>
      </c>
      <c r="O7375" t="s">
        <v>81</v>
      </c>
      <c r="P7375" t="s">
        <v>136</v>
      </c>
      <c r="Q7375" t="s">
        <v>140</v>
      </c>
      <c r="R7375" t="s">
        <v>141</v>
      </c>
      <c r="S7375" t="s">
        <v>145</v>
      </c>
      <c r="T7375" s="2">
        <f>MASTER[[#This Row],[CANTIDAD]]*MASTER[[#This Row],[PRECIO DE VENTA]]</f>
        <v>9400</v>
      </c>
      <c r="U7375" s="2">
        <f>MASTER[[#This Row],[CANTIDAD]]*MASTER[[#This Row],[COSTO UNITARIO]]</f>
        <v>1736</v>
      </c>
      <c r="V7375" s="2">
        <f>MASTER[[#This Row],[MONTO VENDIDO]]-MASTER[[#This Row],[COSTO DE VENTA]]</f>
        <v>7664</v>
      </c>
    </row>
    <row r="7376" spans="1:22" x14ac:dyDescent="0.3">
      <c r="A7376">
        <v>106689</v>
      </c>
      <c r="B7376">
        <v>1</v>
      </c>
      <c r="C7376" t="s">
        <v>5</v>
      </c>
      <c r="D7376" t="s">
        <v>6</v>
      </c>
      <c r="E7376" s="1">
        <v>44316</v>
      </c>
      <c r="F7376">
        <v>1</v>
      </c>
      <c r="G7376" t="s">
        <v>63</v>
      </c>
      <c r="H7376" t="s">
        <v>64</v>
      </c>
      <c r="I7376" s="4">
        <v>1879</v>
      </c>
      <c r="J7376" s="3">
        <v>1879</v>
      </c>
      <c r="K7376" s="4">
        <v>393</v>
      </c>
      <c r="L7376" t="s">
        <v>9</v>
      </c>
      <c r="M7376">
        <v>19</v>
      </c>
      <c r="N7376" t="s">
        <v>150</v>
      </c>
      <c r="O7376" t="s">
        <v>81</v>
      </c>
      <c r="P7376" t="s">
        <v>136</v>
      </c>
      <c r="Q7376" t="s">
        <v>140</v>
      </c>
      <c r="R7376" t="s">
        <v>141</v>
      </c>
      <c r="S7376" t="s">
        <v>145</v>
      </c>
      <c r="T7376" s="2">
        <f>MASTER[[#This Row],[CANTIDAD]]*MASTER[[#This Row],[PRECIO DE VENTA]]</f>
        <v>1879</v>
      </c>
      <c r="U7376" s="2">
        <f>MASTER[[#This Row],[CANTIDAD]]*MASTER[[#This Row],[COSTO UNITARIO]]</f>
        <v>393</v>
      </c>
      <c r="V7376" s="2">
        <f>MASTER[[#This Row],[MONTO VENDIDO]]-MASTER[[#This Row],[COSTO DE VENTA]]</f>
        <v>1486</v>
      </c>
    </row>
    <row r="7377" spans="1:22" x14ac:dyDescent="0.3">
      <c r="A7377">
        <v>106695</v>
      </c>
      <c r="B7377">
        <v>1</v>
      </c>
      <c r="C7377" t="s">
        <v>5</v>
      </c>
      <c r="D7377" t="s">
        <v>6</v>
      </c>
      <c r="E7377" s="1">
        <v>44316</v>
      </c>
      <c r="F7377">
        <v>1</v>
      </c>
      <c r="G7377" t="s">
        <v>49</v>
      </c>
      <c r="H7377" t="s">
        <v>50</v>
      </c>
      <c r="I7377" s="4">
        <v>2185</v>
      </c>
      <c r="J7377" s="3">
        <v>2185</v>
      </c>
      <c r="K7377" s="4">
        <v>393</v>
      </c>
      <c r="L7377" t="s">
        <v>9</v>
      </c>
      <c r="M7377">
        <v>17</v>
      </c>
      <c r="N7377" t="str">
        <f>IF(MASTER[[#This Row],[IDLOCAL]]=17,"HYDE PARK", "HARLEM IRVING")</f>
        <v>HYDE PARK</v>
      </c>
      <c r="O7377" t="str">
        <f>IF(MASTER[[#This Row],[IDLOCAL]]=17,"PREMIUM", "ESTÁNDAR")</f>
        <v>PREMIUM</v>
      </c>
      <c r="P7377" t="s">
        <v>137</v>
      </c>
      <c r="Q7377" t="s">
        <v>142</v>
      </c>
      <c r="R7377" t="s">
        <v>143</v>
      </c>
      <c r="S7377" t="s">
        <v>145</v>
      </c>
      <c r="T7377" s="2">
        <f>MASTER[[#This Row],[CANTIDAD]]*MASTER[[#This Row],[PRECIO DE VENTA]]</f>
        <v>2185</v>
      </c>
      <c r="U7377" s="2">
        <f>MASTER[[#This Row],[CANTIDAD]]*MASTER[[#This Row],[COSTO UNITARIO]]</f>
        <v>393</v>
      </c>
      <c r="V7377" s="2">
        <f>MASTER[[#This Row],[MONTO VENDIDO]]-MASTER[[#This Row],[COSTO DE VENTA]]</f>
        <v>1792</v>
      </c>
    </row>
    <row r="7378" spans="1:22" x14ac:dyDescent="0.3">
      <c r="A7378">
        <v>106703</v>
      </c>
      <c r="B7378">
        <v>1</v>
      </c>
      <c r="C7378" t="s">
        <v>114</v>
      </c>
      <c r="D7378" t="s">
        <v>115</v>
      </c>
      <c r="E7378" s="1">
        <v>44316</v>
      </c>
      <c r="F7378">
        <v>1</v>
      </c>
      <c r="G7378" t="s">
        <v>31</v>
      </c>
      <c r="H7378" t="s">
        <v>32</v>
      </c>
      <c r="I7378" s="4">
        <v>2295</v>
      </c>
      <c r="J7378" s="3">
        <v>2295</v>
      </c>
      <c r="K7378" s="4">
        <v>394</v>
      </c>
      <c r="L7378" t="s">
        <v>113</v>
      </c>
      <c r="M7378">
        <v>19</v>
      </c>
      <c r="N7378" t="s">
        <v>150</v>
      </c>
      <c r="O7378" t="s">
        <v>81</v>
      </c>
      <c r="P7378" t="s">
        <v>136</v>
      </c>
      <c r="Q7378" t="s">
        <v>140</v>
      </c>
      <c r="R7378" t="s">
        <v>141</v>
      </c>
      <c r="S7378" t="s">
        <v>145</v>
      </c>
      <c r="T7378" s="2">
        <f>MASTER[[#This Row],[CANTIDAD]]*MASTER[[#This Row],[PRECIO DE VENTA]]</f>
        <v>2295</v>
      </c>
      <c r="U7378" s="2">
        <f>MASTER[[#This Row],[CANTIDAD]]*MASTER[[#This Row],[COSTO UNITARIO]]</f>
        <v>394</v>
      </c>
      <c r="V7378" s="2">
        <f>MASTER[[#This Row],[MONTO VENDIDO]]-MASTER[[#This Row],[COSTO DE VENTA]]</f>
        <v>1901</v>
      </c>
    </row>
    <row r="7379" spans="1:22" x14ac:dyDescent="0.3">
      <c r="A7379">
        <v>106708</v>
      </c>
      <c r="B7379">
        <v>1</v>
      </c>
      <c r="C7379" t="s">
        <v>94</v>
      </c>
      <c r="D7379" t="s">
        <v>95</v>
      </c>
      <c r="E7379" s="1">
        <v>44317</v>
      </c>
      <c r="F7379">
        <v>1</v>
      </c>
      <c r="G7379" t="s">
        <v>65</v>
      </c>
      <c r="H7379" t="s">
        <v>66</v>
      </c>
      <c r="I7379" s="4">
        <v>1671</v>
      </c>
      <c r="J7379" s="3">
        <v>1671</v>
      </c>
      <c r="K7379" s="4">
        <v>392</v>
      </c>
      <c r="L7379" t="s">
        <v>9</v>
      </c>
      <c r="M7379">
        <v>18</v>
      </c>
      <c r="N7379" t="str">
        <f>IF(MASTER[[#This Row],[IDLOCAL]]=17,"HYDE PARK", "HARLEM IRVING")</f>
        <v>HARLEM IRVING</v>
      </c>
      <c r="O7379" t="str">
        <f>IF(MASTER[[#This Row],[IDLOCAL]]=17,"PREMIUM", "ESTÁNDAR")</f>
        <v>ESTÁNDAR</v>
      </c>
      <c r="P7379" t="s">
        <v>137</v>
      </c>
      <c r="Q7379" t="s">
        <v>142</v>
      </c>
      <c r="R7379" t="s">
        <v>143</v>
      </c>
      <c r="S7379" t="s">
        <v>145</v>
      </c>
      <c r="T7379" s="2">
        <f>MASTER[[#This Row],[CANTIDAD]]*MASTER[[#This Row],[PRECIO DE VENTA]]</f>
        <v>1671</v>
      </c>
      <c r="U7379" s="2">
        <f>MASTER[[#This Row],[CANTIDAD]]*MASTER[[#This Row],[COSTO UNITARIO]]</f>
        <v>392</v>
      </c>
      <c r="V7379" s="2">
        <f>MASTER[[#This Row],[MONTO VENDIDO]]-MASTER[[#This Row],[COSTO DE VENTA]]</f>
        <v>1279</v>
      </c>
    </row>
    <row r="7380" spans="1:22" x14ac:dyDescent="0.3">
      <c r="A7380">
        <v>106729</v>
      </c>
      <c r="B7380">
        <v>1</v>
      </c>
      <c r="C7380" t="s">
        <v>99</v>
      </c>
      <c r="D7380" t="s">
        <v>100</v>
      </c>
      <c r="E7380" s="1">
        <v>44317</v>
      </c>
      <c r="F7380">
        <v>1</v>
      </c>
      <c r="G7380" t="s">
        <v>24</v>
      </c>
      <c r="H7380" t="s">
        <v>25</v>
      </c>
      <c r="I7380" s="4">
        <v>2115</v>
      </c>
      <c r="J7380" s="3">
        <v>2115</v>
      </c>
      <c r="K7380" s="4">
        <v>386</v>
      </c>
      <c r="L7380" t="s">
        <v>98</v>
      </c>
      <c r="M7380">
        <v>17</v>
      </c>
      <c r="N7380" t="str">
        <f>IF(MASTER[[#This Row],[IDLOCAL]]=17,"HYDE PARK", "HARLEM IRVING")</f>
        <v>HYDE PARK</v>
      </c>
      <c r="O7380" t="str">
        <f>IF(MASTER[[#This Row],[IDLOCAL]]=17,"PREMIUM", "ESTÁNDAR")</f>
        <v>PREMIUM</v>
      </c>
      <c r="P7380" t="s">
        <v>137</v>
      </c>
      <c r="Q7380" t="s">
        <v>142</v>
      </c>
      <c r="R7380" t="s">
        <v>143</v>
      </c>
      <c r="S7380" t="s">
        <v>145</v>
      </c>
      <c r="T7380" s="2">
        <f>MASTER[[#This Row],[CANTIDAD]]*MASTER[[#This Row],[PRECIO DE VENTA]]</f>
        <v>2115</v>
      </c>
      <c r="U7380" s="2">
        <f>MASTER[[#This Row],[CANTIDAD]]*MASTER[[#This Row],[COSTO UNITARIO]]</f>
        <v>386</v>
      </c>
      <c r="V7380" s="2">
        <f>MASTER[[#This Row],[MONTO VENDIDO]]-MASTER[[#This Row],[COSTO DE VENTA]]</f>
        <v>1729</v>
      </c>
    </row>
    <row r="7381" spans="1:22" x14ac:dyDescent="0.3">
      <c r="A7381">
        <v>106732</v>
      </c>
      <c r="B7381">
        <v>1</v>
      </c>
      <c r="C7381" t="s">
        <v>107</v>
      </c>
      <c r="D7381" t="s">
        <v>108</v>
      </c>
      <c r="E7381" s="1">
        <v>44317</v>
      </c>
      <c r="F7381">
        <v>1</v>
      </c>
      <c r="G7381" t="s">
        <v>65</v>
      </c>
      <c r="H7381" t="s">
        <v>66</v>
      </c>
      <c r="I7381" s="4">
        <v>1932</v>
      </c>
      <c r="J7381" s="3">
        <v>1932</v>
      </c>
      <c r="K7381" s="4">
        <v>380</v>
      </c>
      <c r="L7381" t="s">
        <v>98</v>
      </c>
      <c r="M7381">
        <v>18</v>
      </c>
      <c r="N7381" t="str">
        <f>IF(MASTER[[#This Row],[IDLOCAL]]=17,"HYDE PARK", "HARLEM IRVING")</f>
        <v>HARLEM IRVING</v>
      </c>
      <c r="O7381" t="str">
        <f>IF(MASTER[[#This Row],[IDLOCAL]]=17,"PREMIUM", "ESTÁNDAR")</f>
        <v>ESTÁNDAR</v>
      </c>
      <c r="P7381" t="s">
        <v>137</v>
      </c>
      <c r="Q7381" t="s">
        <v>142</v>
      </c>
      <c r="R7381" t="s">
        <v>143</v>
      </c>
      <c r="S7381" t="s">
        <v>145</v>
      </c>
      <c r="T7381" s="2">
        <f>MASTER[[#This Row],[CANTIDAD]]*MASTER[[#This Row],[PRECIO DE VENTA]]</f>
        <v>1932</v>
      </c>
      <c r="U7381" s="2">
        <f>MASTER[[#This Row],[CANTIDAD]]*MASTER[[#This Row],[COSTO UNITARIO]]</f>
        <v>380</v>
      </c>
      <c r="V7381" s="2">
        <f>MASTER[[#This Row],[MONTO VENDIDO]]-MASTER[[#This Row],[COSTO DE VENTA]]</f>
        <v>1552</v>
      </c>
    </row>
    <row r="7382" spans="1:22" x14ac:dyDescent="0.3">
      <c r="A7382">
        <v>106738</v>
      </c>
      <c r="B7382">
        <v>1</v>
      </c>
      <c r="C7382" t="s">
        <v>114</v>
      </c>
      <c r="D7382" t="s">
        <v>115</v>
      </c>
      <c r="E7382" s="1">
        <v>44317</v>
      </c>
      <c r="F7382">
        <v>1</v>
      </c>
      <c r="G7382" t="s">
        <v>61</v>
      </c>
      <c r="H7382" t="s">
        <v>62</v>
      </c>
      <c r="I7382" s="4">
        <v>2943</v>
      </c>
      <c r="J7382" s="3">
        <v>2943</v>
      </c>
      <c r="K7382" s="4">
        <v>394</v>
      </c>
      <c r="L7382" t="s">
        <v>113</v>
      </c>
      <c r="M7382">
        <v>19</v>
      </c>
      <c r="N7382" t="s">
        <v>150</v>
      </c>
      <c r="O7382" t="s">
        <v>81</v>
      </c>
      <c r="P7382" t="s">
        <v>136</v>
      </c>
      <c r="Q7382" t="s">
        <v>140</v>
      </c>
      <c r="R7382" t="s">
        <v>141</v>
      </c>
      <c r="S7382" t="s">
        <v>145</v>
      </c>
      <c r="T7382" s="2">
        <f>MASTER[[#This Row],[CANTIDAD]]*MASTER[[#This Row],[PRECIO DE VENTA]]</f>
        <v>2943</v>
      </c>
      <c r="U7382" s="2">
        <f>MASTER[[#This Row],[CANTIDAD]]*MASTER[[#This Row],[COSTO UNITARIO]]</f>
        <v>394</v>
      </c>
      <c r="V7382" s="2">
        <f>MASTER[[#This Row],[MONTO VENDIDO]]-MASTER[[#This Row],[COSTO DE VENTA]]</f>
        <v>2549</v>
      </c>
    </row>
    <row r="7383" spans="1:22" x14ac:dyDescent="0.3">
      <c r="A7383">
        <v>106740</v>
      </c>
      <c r="B7383">
        <v>1</v>
      </c>
      <c r="C7383" t="s">
        <v>101</v>
      </c>
      <c r="D7383" t="s">
        <v>102</v>
      </c>
      <c r="E7383" s="1">
        <v>44318</v>
      </c>
      <c r="F7383">
        <v>1</v>
      </c>
      <c r="G7383" t="s">
        <v>59</v>
      </c>
      <c r="H7383" t="s">
        <v>60</v>
      </c>
      <c r="I7383" s="4">
        <v>1967</v>
      </c>
      <c r="J7383" s="3">
        <v>1967</v>
      </c>
      <c r="K7383" s="4">
        <v>442</v>
      </c>
      <c r="L7383" t="s">
        <v>98</v>
      </c>
      <c r="M7383">
        <v>19</v>
      </c>
      <c r="N7383" t="s">
        <v>150</v>
      </c>
      <c r="O7383" t="s">
        <v>81</v>
      </c>
      <c r="P7383" t="s">
        <v>136</v>
      </c>
      <c r="Q7383" t="s">
        <v>140</v>
      </c>
      <c r="R7383" t="s">
        <v>141</v>
      </c>
      <c r="S7383" t="s">
        <v>145</v>
      </c>
      <c r="T7383" s="2">
        <f>MASTER[[#This Row],[CANTIDAD]]*MASTER[[#This Row],[PRECIO DE VENTA]]</f>
        <v>1967</v>
      </c>
      <c r="U7383" s="2">
        <f>MASTER[[#This Row],[CANTIDAD]]*MASTER[[#This Row],[COSTO UNITARIO]]</f>
        <v>442</v>
      </c>
      <c r="V7383" s="2">
        <f>MASTER[[#This Row],[MONTO VENDIDO]]-MASTER[[#This Row],[COSTO DE VENTA]]</f>
        <v>1525</v>
      </c>
    </row>
    <row r="7384" spans="1:22" x14ac:dyDescent="0.3">
      <c r="A7384">
        <v>106746</v>
      </c>
      <c r="B7384">
        <v>2</v>
      </c>
      <c r="C7384" t="s">
        <v>92</v>
      </c>
      <c r="D7384" t="s">
        <v>93</v>
      </c>
      <c r="E7384" s="1">
        <v>44320</v>
      </c>
      <c r="F7384">
        <v>1</v>
      </c>
      <c r="G7384" t="s">
        <v>7</v>
      </c>
      <c r="H7384" t="s">
        <v>8</v>
      </c>
      <c r="I7384" s="4">
        <v>2437</v>
      </c>
      <c r="J7384" s="3">
        <v>2437</v>
      </c>
      <c r="K7384" s="4">
        <v>396</v>
      </c>
      <c r="L7384" t="s">
        <v>9</v>
      </c>
      <c r="M7384">
        <v>17</v>
      </c>
      <c r="N7384" t="str">
        <f>IF(MASTER[[#This Row],[IDLOCAL]]=17,"HYDE PARK", "HARLEM IRVING")</f>
        <v>HYDE PARK</v>
      </c>
      <c r="O7384" t="str">
        <f>IF(MASTER[[#This Row],[IDLOCAL]]=17,"PREMIUM", "ESTÁNDAR")</f>
        <v>PREMIUM</v>
      </c>
      <c r="P7384" t="s">
        <v>137</v>
      </c>
      <c r="Q7384" t="s">
        <v>142</v>
      </c>
      <c r="R7384" t="s">
        <v>143</v>
      </c>
      <c r="S7384" t="s">
        <v>145</v>
      </c>
      <c r="T7384" s="2">
        <f>MASTER[[#This Row],[CANTIDAD]]*MASTER[[#This Row],[PRECIO DE VENTA]]</f>
        <v>2437</v>
      </c>
      <c r="U7384" s="2">
        <f>MASTER[[#This Row],[CANTIDAD]]*MASTER[[#This Row],[COSTO UNITARIO]]</f>
        <v>396</v>
      </c>
      <c r="V7384" s="2">
        <f>MASTER[[#This Row],[MONTO VENDIDO]]-MASTER[[#This Row],[COSTO DE VENTA]]</f>
        <v>2041</v>
      </c>
    </row>
    <row r="7385" spans="1:22" x14ac:dyDescent="0.3">
      <c r="A7385">
        <v>106750</v>
      </c>
      <c r="B7385">
        <v>1</v>
      </c>
      <c r="C7385" t="s">
        <v>94</v>
      </c>
      <c r="D7385" t="s">
        <v>95</v>
      </c>
      <c r="E7385" s="1">
        <v>44321</v>
      </c>
      <c r="F7385">
        <v>1</v>
      </c>
      <c r="G7385" t="s">
        <v>31</v>
      </c>
      <c r="H7385" t="s">
        <v>32</v>
      </c>
      <c r="I7385" s="4">
        <v>1519</v>
      </c>
      <c r="J7385" s="3">
        <v>1519</v>
      </c>
      <c r="K7385" s="4">
        <v>392</v>
      </c>
      <c r="L7385" t="s">
        <v>9</v>
      </c>
      <c r="M7385">
        <v>19</v>
      </c>
      <c r="N7385" t="s">
        <v>150</v>
      </c>
      <c r="O7385" t="s">
        <v>81</v>
      </c>
      <c r="P7385" t="s">
        <v>136</v>
      </c>
      <c r="Q7385" t="s">
        <v>140</v>
      </c>
      <c r="R7385" t="s">
        <v>141</v>
      </c>
      <c r="S7385" t="s">
        <v>145</v>
      </c>
      <c r="T7385" s="2">
        <f>MASTER[[#This Row],[CANTIDAD]]*MASTER[[#This Row],[PRECIO DE VENTA]]</f>
        <v>1519</v>
      </c>
      <c r="U7385" s="2">
        <f>MASTER[[#This Row],[CANTIDAD]]*MASTER[[#This Row],[COSTO UNITARIO]]</f>
        <v>392</v>
      </c>
      <c r="V7385" s="2">
        <f>MASTER[[#This Row],[MONTO VENDIDO]]-MASTER[[#This Row],[COSTO DE VENTA]]</f>
        <v>1127</v>
      </c>
    </row>
    <row r="7386" spans="1:22" x14ac:dyDescent="0.3">
      <c r="A7386">
        <v>106777</v>
      </c>
      <c r="B7386">
        <v>1</v>
      </c>
      <c r="C7386" t="s">
        <v>96</v>
      </c>
      <c r="D7386" t="s">
        <v>97</v>
      </c>
      <c r="E7386" s="1">
        <v>44321</v>
      </c>
      <c r="F7386">
        <v>1</v>
      </c>
      <c r="G7386" t="s">
        <v>22</v>
      </c>
      <c r="H7386" t="s">
        <v>23</v>
      </c>
      <c r="I7386" s="4">
        <v>1844</v>
      </c>
      <c r="J7386" s="3">
        <v>1844</v>
      </c>
      <c r="K7386" s="4">
        <v>397</v>
      </c>
      <c r="L7386" t="s">
        <v>98</v>
      </c>
      <c r="M7386">
        <v>19</v>
      </c>
      <c r="N7386" t="s">
        <v>150</v>
      </c>
      <c r="O7386" t="s">
        <v>81</v>
      </c>
      <c r="P7386" t="s">
        <v>136</v>
      </c>
      <c r="Q7386" t="s">
        <v>140</v>
      </c>
      <c r="R7386" t="s">
        <v>141</v>
      </c>
      <c r="S7386" t="s">
        <v>145</v>
      </c>
      <c r="T7386" s="2">
        <f>MASTER[[#This Row],[CANTIDAD]]*MASTER[[#This Row],[PRECIO DE VENTA]]</f>
        <v>1844</v>
      </c>
      <c r="U7386" s="2">
        <f>MASTER[[#This Row],[CANTIDAD]]*MASTER[[#This Row],[COSTO UNITARIO]]</f>
        <v>397</v>
      </c>
      <c r="V7386" s="2">
        <f>MASTER[[#This Row],[MONTO VENDIDO]]-MASTER[[#This Row],[COSTO DE VENTA]]</f>
        <v>1447</v>
      </c>
    </row>
    <row r="7387" spans="1:22" x14ac:dyDescent="0.3">
      <c r="A7387">
        <v>106781</v>
      </c>
      <c r="B7387">
        <v>1</v>
      </c>
      <c r="C7387" t="s">
        <v>101</v>
      </c>
      <c r="D7387" t="s">
        <v>102</v>
      </c>
      <c r="E7387" s="1">
        <v>44322</v>
      </c>
      <c r="F7387">
        <v>1</v>
      </c>
      <c r="G7387" t="s">
        <v>53</v>
      </c>
      <c r="H7387" t="s">
        <v>54</v>
      </c>
      <c r="I7387" s="4">
        <v>1528</v>
      </c>
      <c r="J7387" s="3">
        <v>1465</v>
      </c>
      <c r="K7387" s="4">
        <v>442</v>
      </c>
      <c r="L7387" t="s">
        <v>98</v>
      </c>
      <c r="M7387">
        <v>19</v>
      </c>
      <c r="N7387" t="s">
        <v>150</v>
      </c>
      <c r="O7387" t="s">
        <v>81</v>
      </c>
      <c r="P7387" t="s">
        <v>136</v>
      </c>
      <c r="Q7387" t="s">
        <v>140</v>
      </c>
      <c r="R7387" t="s">
        <v>141</v>
      </c>
      <c r="S7387" t="s">
        <v>145</v>
      </c>
      <c r="T7387" s="2">
        <f>MASTER[[#This Row],[CANTIDAD]]*MASTER[[#This Row],[PRECIO DE VENTA]]</f>
        <v>1465</v>
      </c>
      <c r="U7387" s="2">
        <f>MASTER[[#This Row],[CANTIDAD]]*MASTER[[#This Row],[COSTO UNITARIO]]</f>
        <v>442</v>
      </c>
      <c r="V7387" s="2">
        <f>MASTER[[#This Row],[MONTO VENDIDO]]-MASTER[[#This Row],[COSTO DE VENTA]]</f>
        <v>1023</v>
      </c>
    </row>
    <row r="7388" spans="1:22" x14ac:dyDescent="0.3">
      <c r="A7388">
        <v>106790</v>
      </c>
      <c r="B7388">
        <v>1</v>
      </c>
      <c r="C7388" t="s">
        <v>101</v>
      </c>
      <c r="D7388" t="s">
        <v>102</v>
      </c>
      <c r="E7388" s="1">
        <v>44322</v>
      </c>
      <c r="F7388">
        <v>1</v>
      </c>
      <c r="G7388" t="s">
        <v>43</v>
      </c>
      <c r="H7388" t="s">
        <v>44</v>
      </c>
      <c r="I7388" s="4">
        <v>1757</v>
      </c>
      <c r="J7388" s="3">
        <v>1757</v>
      </c>
      <c r="K7388" s="4">
        <v>442</v>
      </c>
      <c r="L7388" t="s">
        <v>98</v>
      </c>
      <c r="M7388">
        <v>19</v>
      </c>
      <c r="N7388" t="s">
        <v>150</v>
      </c>
      <c r="O7388" t="s">
        <v>81</v>
      </c>
      <c r="P7388" t="s">
        <v>136</v>
      </c>
      <c r="Q7388" t="s">
        <v>140</v>
      </c>
      <c r="R7388" t="s">
        <v>141</v>
      </c>
      <c r="S7388" t="s">
        <v>145</v>
      </c>
      <c r="T7388" s="2">
        <f>MASTER[[#This Row],[CANTIDAD]]*MASTER[[#This Row],[PRECIO DE VENTA]]</f>
        <v>1757</v>
      </c>
      <c r="U7388" s="2">
        <f>MASTER[[#This Row],[CANTIDAD]]*MASTER[[#This Row],[COSTO UNITARIO]]</f>
        <v>442</v>
      </c>
      <c r="V7388" s="2">
        <f>MASTER[[#This Row],[MONTO VENDIDO]]-MASTER[[#This Row],[COSTO DE VENTA]]</f>
        <v>1315</v>
      </c>
    </row>
    <row r="7389" spans="1:22" x14ac:dyDescent="0.3">
      <c r="A7389">
        <v>106811</v>
      </c>
      <c r="B7389">
        <v>1</v>
      </c>
      <c r="C7389" t="s">
        <v>105</v>
      </c>
      <c r="D7389" t="s">
        <v>106</v>
      </c>
      <c r="E7389" s="1">
        <v>44322</v>
      </c>
      <c r="F7389">
        <v>1</v>
      </c>
      <c r="G7389" t="s">
        <v>67</v>
      </c>
      <c r="H7389" t="s">
        <v>68</v>
      </c>
      <c r="I7389" s="4">
        <v>2298</v>
      </c>
      <c r="J7389" s="3">
        <v>2298</v>
      </c>
      <c r="K7389" s="4">
        <v>459</v>
      </c>
      <c r="L7389" t="s">
        <v>98</v>
      </c>
      <c r="M7389">
        <v>19</v>
      </c>
      <c r="N7389" t="s">
        <v>150</v>
      </c>
      <c r="O7389" t="s">
        <v>81</v>
      </c>
      <c r="P7389" t="s">
        <v>136</v>
      </c>
      <c r="Q7389" t="s">
        <v>140</v>
      </c>
      <c r="R7389" t="s">
        <v>141</v>
      </c>
      <c r="S7389" t="s">
        <v>145</v>
      </c>
      <c r="T7389" s="2">
        <f>MASTER[[#This Row],[CANTIDAD]]*MASTER[[#This Row],[PRECIO DE VENTA]]</f>
        <v>2298</v>
      </c>
      <c r="U7389" s="2">
        <f>MASTER[[#This Row],[CANTIDAD]]*MASTER[[#This Row],[COSTO UNITARIO]]</f>
        <v>459</v>
      </c>
      <c r="V7389" s="2">
        <f>MASTER[[#This Row],[MONTO VENDIDO]]-MASTER[[#This Row],[COSTO DE VENTA]]</f>
        <v>1839</v>
      </c>
    </row>
    <row r="7390" spans="1:22" x14ac:dyDescent="0.3">
      <c r="A7390">
        <v>106829</v>
      </c>
      <c r="B7390">
        <v>1</v>
      </c>
      <c r="C7390" t="s">
        <v>121</v>
      </c>
      <c r="D7390" t="s">
        <v>122</v>
      </c>
      <c r="E7390" s="1">
        <v>44324</v>
      </c>
      <c r="F7390">
        <v>1</v>
      </c>
      <c r="G7390" t="s">
        <v>49</v>
      </c>
      <c r="H7390" t="s">
        <v>50</v>
      </c>
      <c r="I7390" s="4">
        <v>1550</v>
      </c>
      <c r="J7390" s="3">
        <v>1550</v>
      </c>
      <c r="K7390" s="4">
        <v>460</v>
      </c>
      <c r="L7390" t="s">
        <v>120</v>
      </c>
      <c r="M7390">
        <v>19</v>
      </c>
      <c r="N7390" t="s">
        <v>150</v>
      </c>
      <c r="O7390" t="s">
        <v>81</v>
      </c>
      <c r="P7390" t="s">
        <v>136</v>
      </c>
      <c r="Q7390" t="s">
        <v>140</v>
      </c>
      <c r="R7390" t="s">
        <v>141</v>
      </c>
      <c r="S7390" t="s">
        <v>145</v>
      </c>
      <c r="T7390" s="2">
        <f>MASTER[[#This Row],[CANTIDAD]]*MASTER[[#This Row],[PRECIO DE VENTA]]</f>
        <v>1550</v>
      </c>
      <c r="U7390" s="2">
        <f>MASTER[[#This Row],[CANTIDAD]]*MASTER[[#This Row],[COSTO UNITARIO]]</f>
        <v>460</v>
      </c>
      <c r="V7390" s="2">
        <f>MASTER[[#This Row],[MONTO VENDIDO]]-MASTER[[#This Row],[COSTO DE VENTA]]</f>
        <v>1090</v>
      </c>
    </row>
    <row r="7391" spans="1:22" x14ac:dyDescent="0.3">
      <c r="A7391">
        <v>106834</v>
      </c>
      <c r="B7391">
        <v>2</v>
      </c>
      <c r="C7391" t="s">
        <v>111</v>
      </c>
      <c r="D7391" t="s">
        <v>112</v>
      </c>
      <c r="E7391" s="1">
        <v>44325</v>
      </c>
      <c r="F7391">
        <v>1</v>
      </c>
      <c r="G7391" t="s">
        <v>49</v>
      </c>
      <c r="H7391" t="s">
        <v>50</v>
      </c>
      <c r="I7391" s="4">
        <v>2608</v>
      </c>
      <c r="J7391" s="3">
        <v>2608</v>
      </c>
      <c r="K7391" s="4">
        <v>434</v>
      </c>
      <c r="L7391" t="s">
        <v>113</v>
      </c>
      <c r="M7391">
        <v>19</v>
      </c>
      <c r="N7391" t="s">
        <v>150</v>
      </c>
      <c r="O7391" t="s">
        <v>81</v>
      </c>
      <c r="P7391" t="s">
        <v>136</v>
      </c>
      <c r="Q7391" t="s">
        <v>140</v>
      </c>
      <c r="R7391" t="s">
        <v>141</v>
      </c>
      <c r="S7391" t="s">
        <v>145</v>
      </c>
      <c r="T7391" s="2">
        <f>MASTER[[#This Row],[CANTIDAD]]*MASTER[[#This Row],[PRECIO DE VENTA]]</f>
        <v>2608</v>
      </c>
      <c r="U7391" s="2">
        <f>MASTER[[#This Row],[CANTIDAD]]*MASTER[[#This Row],[COSTO UNITARIO]]</f>
        <v>434</v>
      </c>
      <c r="V7391" s="2">
        <f>MASTER[[#This Row],[MONTO VENDIDO]]-MASTER[[#This Row],[COSTO DE VENTA]]</f>
        <v>2174</v>
      </c>
    </row>
    <row r="7392" spans="1:22" x14ac:dyDescent="0.3">
      <c r="A7392">
        <v>106848</v>
      </c>
      <c r="B7392">
        <v>1</v>
      </c>
      <c r="C7392" t="s">
        <v>92</v>
      </c>
      <c r="D7392" t="s">
        <v>93</v>
      </c>
      <c r="E7392" s="1">
        <v>44327</v>
      </c>
      <c r="F7392">
        <v>1</v>
      </c>
      <c r="G7392" t="s">
        <v>73</v>
      </c>
      <c r="H7392" t="s">
        <v>74</v>
      </c>
      <c r="I7392" s="4">
        <v>2144</v>
      </c>
      <c r="J7392" s="3">
        <v>2144</v>
      </c>
      <c r="K7392" s="4">
        <v>396</v>
      </c>
      <c r="L7392" t="s">
        <v>9</v>
      </c>
      <c r="M7392">
        <v>19</v>
      </c>
      <c r="N7392" t="s">
        <v>150</v>
      </c>
      <c r="O7392" t="s">
        <v>81</v>
      </c>
      <c r="P7392" t="s">
        <v>136</v>
      </c>
      <c r="Q7392" t="s">
        <v>140</v>
      </c>
      <c r="R7392" t="s">
        <v>141</v>
      </c>
      <c r="S7392" t="s">
        <v>145</v>
      </c>
      <c r="T7392" s="2">
        <f>MASTER[[#This Row],[CANTIDAD]]*MASTER[[#This Row],[PRECIO DE VENTA]]</f>
        <v>2144</v>
      </c>
      <c r="U7392" s="2">
        <f>MASTER[[#This Row],[CANTIDAD]]*MASTER[[#This Row],[COSTO UNITARIO]]</f>
        <v>396</v>
      </c>
      <c r="V7392" s="2">
        <f>MASTER[[#This Row],[MONTO VENDIDO]]-MASTER[[#This Row],[COSTO DE VENTA]]</f>
        <v>1748</v>
      </c>
    </row>
    <row r="7393" spans="1:22" x14ac:dyDescent="0.3">
      <c r="A7393">
        <v>106876</v>
      </c>
      <c r="B7393">
        <v>3</v>
      </c>
      <c r="C7393" t="s">
        <v>92</v>
      </c>
      <c r="D7393" t="s">
        <v>93</v>
      </c>
      <c r="E7393" s="1">
        <v>44327</v>
      </c>
      <c r="F7393">
        <v>1</v>
      </c>
      <c r="G7393" t="s">
        <v>35</v>
      </c>
      <c r="H7393" t="s">
        <v>36</v>
      </c>
      <c r="I7393" s="4">
        <v>2705</v>
      </c>
      <c r="J7393" s="3">
        <v>2543</v>
      </c>
      <c r="K7393" s="4">
        <v>396</v>
      </c>
      <c r="L7393" t="s">
        <v>9</v>
      </c>
      <c r="M7393">
        <v>17</v>
      </c>
      <c r="N7393" t="str">
        <f>IF(MASTER[[#This Row],[IDLOCAL]]=17,"HYDE PARK", "HARLEM IRVING")</f>
        <v>HYDE PARK</v>
      </c>
      <c r="O7393" t="str">
        <f>IF(MASTER[[#This Row],[IDLOCAL]]=17,"PREMIUM", "ESTÁNDAR")</f>
        <v>PREMIUM</v>
      </c>
      <c r="P7393" t="s">
        <v>137</v>
      </c>
      <c r="Q7393" t="s">
        <v>142</v>
      </c>
      <c r="R7393" t="s">
        <v>143</v>
      </c>
      <c r="S7393" t="s">
        <v>145</v>
      </c>
      <c r="T7393" s="2">
        <f>MASTER[[#This Row],[CANTIDAD]]*MASTER[[#This Row],[PRECIO DE VENTA]]</f>
        <v>2543</v>
      </c>
      <c r="U7393" s="2">
        <f>MASTER[[#This Row],[CANTIDAD]]*MASTER[[#This Row],[COSTO UNITARIO]]</f>
        <v>396</v>
      </c>
      <c r="V7393" s="2">
        <f>MASTER[[#This Row],[MONTO VENDIDO]]-MASTER[[#This Row],[COSTO DE VENTA]]</f>
        <v>2147</v>
      </c>
    </row>
    <row r="7394" spans="1:22" x14ac:dyDescent="0.3">
      <c r="A7394">
        <v>106891</v>
      </c>
      <c r="B7394">
        <v>1</v>
      </c>
      <c r="C7394" t="s">
        <v>103</v>
      </c>
      <c r="D7394" t="s">
        <v>104</v>
      </c>
      <c r="E7394" s="1">
        <v>44328</v>
      </c>
      <c r="F7394">
        <v>1</v>
      </c>
      <c r="G7394" t="s">
        <v>43</v>
      </c>
      <c r="H7394" t="s">
        <v>44</v>
      </c>
      <c r="I7394" s="4">
        <v>2653</v>
      </c>
      <c r="J7394" s="3">
        <v>2653</v>
      </c>
      <c r="K7394" s="4">
        <v>421</v>
      </c>
      <c r="L7394" t="s">
        <v>98</v>
      </c>
      <c r="M7394">
        <v>19</v>
      </c>
      <c r="N7394" t="s">
        <v>150</v>
      </c>
      <c r="O7394" t="s">
        <v>81</v>
      </c>
      <c r="P7394" t="s">
        <v>136</v>
      </c>
      <c r="Q7394" t="s">
        <v>140</v>
      </c>
      <c r="R7394" t="s">
        <v>141</v>
      </c>
      <c r="S7394" t="s">
        <v>145</v>
      </c>
      <c r="T7394" s="2">
        <f>MASTER[[#This Row],[CANTIDAD]]*MASTER[[#This Row],[PRECIO DE VENTA]]</f>
        <v>2653</v>
      </c>
      <c r="U7394" s="2">
        <f>MASTER[[#This Row],[CANTIDAD]]*MASTER[[#This Row],[COSTO UNITARIO]]</f>
        <v>421</v>
      </c>
      <c r="V7394" s="2">
        <f>MASTER[[#This Row],[MONTO VENDIDO]]-MASTER[[#This Row],[COSTO DE VENTA]]</f>
        <v>2232</v>
      </c>
    </row>
    <row r="7395" spans="1:22" x14ac:dyDescent="0.3">
      <c r="A7395">
        <v>106896</v>
      </c>
      <c r="B7395">
        <v>1</v>
      </c>
      <c r="C7395" t="s">
        <v>111</v>
      </c>
      <c r="D7395" t="s">
        <v>112</v>
      </c>
      <c r="E7395" s="1">
        <v>44329</v>
      </c>
      <c r="F7395">
        <v>1</v>
      </c>
      <c r="G7395" t="s">
        <v>65</v>
      </c>
      <c r="H7395" t="s">
        <v>66</v>
      </c>
      <c r="I7395" s="4">
        <v>2209</v>
      </c>
      <c r="J7395" s="3">
        <v>2209</v>
      </c>
      <c r="K7395" s="4">
        <v>434</v>
      </c>
      <c r="L7395" t="s">
        <v>113</v>
      </c>
      <c r="M7395">
        <v>19</v>
      </c>
      <c r="N7395" t="s">
        <v>150</v>
      </c>
      <c r="O7395" t="s">
        <v>81</v>
      </c>
      <c r="P7395" t="s">
        <v>136</v>
      </c>
      <c r="Q7395" t="s">
        <v>140</v>
      </c>
      <c r="R7395" t="s">
        <v>141</v>
      </c>
      <c r="S7395" t="s">
        <v>145</v>
      </c>
      <c r="T7395" s="2">
        <f>MASTER[[#This Row],[CANTIDAD]]*MASTER[[#This Row],[PRECIO DE VENTA]]</f>
        <v>2209</v>
      </c>
      <c r="U7395" s="2">
        <f>MASTER[[#This Row],[CANTIDAD]]*MASTER[[#This Row],[COSTO UNITARIO]]</f>
        <v>434</v>
      </c>
      <c r="V7395" s="2">
        <f>MASTER[[#This Row],[MONTO VENDIDO]]-MASTER[[#This Row],[COSTO DE VENTA]]</f>
        <v>1775</v>
      </c>
    </row>
    <row r="7396" spans="1:22" x14ac:dyDescent="0.3">
      <c r="A7396">
        <v>106907</v>
      </c>
      <c r="B7396">
        <v>1</v>
      </c>
      <c r="C7396" t="s">
        <v>118</v>
      </c>
      <c r="D7396" t="s">
        <v>119</v>
      </c>
      <c r="E7396" s="1">
        <v>44330</v>
      </c>
      <c r="F7396">
        <v>1</v>
      </c>
      <c r="G7396" t="s">
        <v>7</v>
      </c>
      <c r="H7396" t="s">
        <v>8</v>
      </c>
      <c r="I7396" s="4">
        <v>1487</v>
      </c>
      <c r="J7396" s="3">
        <v>1487</v>
      </c>
      <c r="K7396" s="4">
        <v>424</v>
      </c>
      <c r="L7396" t="s">
        <v>120</v>
      </c>
      <c r="M7396">
        <v>17</v>
      </c>
      <c r="N7396" t="str">
        <f>IF(MASTER[[#This Row],[IDLOCAL]]=17,"HYDE PARK", "HARLEM IRVING")</f>
        <v>HYDE PARK</v>
      </c>
      <c r="O7396" t="str">
        <f>IF(MASTER[[#This Row],[IDLOCAL]]=17,"PREMIUM", "ESTÁNDAR")</f>
        <v>PREMIUM</v>
      </c>
      <c r="P7396" t="s">
        <v>137</v>
      </c>
      <c r="Q7396" t="s">
        <v>142</v>
      </c>
      <c r="R7396" t="s">
        <v>143</v>
      </c>
      <c r="S7396" t="s">
        <v>145</v>
      </c>
      <c r="T7396" s="2">
        <f>MASTER[[#This Row],[CANTIDAD]]*MASTER[[#This Row],[PRECIO DE VENTA]]</f>
        <v>1487</v>
      </c>
      <c r="U7396" s="2">
        <f>MASTER[[#This Row],[CANTIDAD]]*MASTER[[#This Row],[COSTO UNITARIO]]</f>
        <v>424</v>
      </c>
      <c r="V7396" s="2">
        <f>MASTER[[#This Row],[MONTO VENDIDO]]-MASTER[[#This Row],[COSTO DE VENTA]]</f>
        <v>1063</v>
      </c>
    </row>
    <row r="7397" spans="1:22" x14ac:dyDescent="0.3">
      <c r="A7397">
        <v>106910</v>
      </c>
      <c r="B7397">
        <v>1</v>
      </c>
      <c r="C7397" t="s">
        <v>96</v>
      </c>
      <c r="D7397" t="s">
        <v>97</v>
      </c>
      <c r="E7397" s="1">
        <v>44331</v>
      </c>
      <c r="F7397">
        <v>1</v>
      </c>
      <c r="G7397" t="s">
        <v>45</v>
      </c>
      <c r="H7397" t="s">
        <v>46</v>
      </c>
      <c r="I7397" s="4">
        <v>1973</v>
      </c>
      <c r="J7397" s="3">
        <v>1973</v>
      </c>
      <c r="K7397" s="4">
        <v>397</v>
      </c>
      <c r="L7397" t="s">
        <v>98</v>
      </c>
      <c r="M7397">
        <v>19</v>
      </c>
      <c r="N7397" t="s">
        <v>150</v>
      </c>
      <c r="O7397" t="s">
        <v>81</v>
      </c>
      <c r="P7397" t="s">
        <v>136</v>
      </c>
      <c r="Q7397" t="s">
        <v>140</v>
      </c>
      <c r="R7397" t="s">
        <v>141</v>
      </c>
      <c r="S7397" t="s">
        <v>145</v>
      </c>
      <c r="T7397" s="2">
        <f>MASTER[[#This Row],[CANTIDAD]]*MASTER[[#This Row],[PRECIO DE VENTA]]</f>
        <v>1973</v>
      </c>
      <c r="U7397" s="2">
        <f>MASTER[[#This Row],[CANTIDAD]]*MASTER[[#This Row],[COSTO UNITARIO]]</f>
        <v>397</v>
      </c>
      <c r="V7397" s="2">
        <f>MASTER[[#This Row],[MONTO VENDIDO]]-MASTER[[#This Row],[COSTO DE VENTA]]</f>
        <v>1576</v>
      </c>
    </row>
    <row r="7398" spans="1:22" x14ac:dyDescent="0.3">
      <c r="A7398">
        <v>106921</v>
      </c>
      <c r="B7398">
        <v>1</v>
      </c>
      <c r="C7398" t="s">
        <v>5</v>
      </c>
      <c r="D7398" t="s">
        <v>6</v>
      </c>
      <c r="E7398" s="1">
        <v>44332</v>
      </c>
      <c r="F7398">
        <v>1</v>
      </c>
      <c r="G7398" t="s">
        <v>24</v>
      </c>
      <c r="H7398" t="s">
        <v>25</v>
      </c>
      <c r="I7398" s="4">
        <v>1879</v>
      </c>
      <c r="J7398" s="3">
        <v>1879</v>
      </c>
      <c r="K7398" s="4">
        <v>393</v>
      </c>
      <c r="L7398" t="s">
        <v>9</v>
      </c>
      <c r="M7398">
        <v>19</v>
      </c>
      <c r="N7398" t="s">
        <v>150</v>
      </c>
      <c r="O7398" t="s">
        <v>81</v>
      </c>
      <c r="P7398" t="s">
        <v>136</v>
      </c>
      <c r="Q7398" t="s">
        <v>140</v>
      </c>
      <c r="R7398" t="s">
        <v>141</v>
      </c>
      <c r="S7398" t="s">
        <v>145</v>
      </c>
      <c r="T7398" s="2">
        <f>MASTER[[#This Row],[CANTIDAD]]*MASTER[[#This Row],[PRECIO DE VENTA]]</f>
        <v>1879</v>
      </c>
      <c r="U7398" s="2">
        <f>MASTER[[#This Row],[CANTIDAD]]*MASTER[[#This Row],[COSTO UNITARIO]]</f>
        <v>393</v>
      </c>
      <c r="V7398" s="2">
        <f>MASTER[[#This Row],[MONTO VENDIDO]]-MASTER[[#This Row],[COSTO DE VENTA]]</f>
        <v>1486</v>
      </c>
    </row>
    <row r="7399" spans="1:22" x14ac:dyDescent="0.3">
      <c r="A7399">
        <v>106932</v>
      </c>
      <c r="B7399">
        <v>1</v>
      </c>
      <c r="C7399" t="s">
        <v>94</v>
      </c>
      <c r="D7399" t="s">
        <v>95</v>
      </c>
      <c r="E7399" s="1">
        <v>44332</v>
      </c>
      <c r="F7399">
        <v>1</v>
      </c>
      <c r="G7399" t="s">
        <v>57</v>
      </c>
      <c r="H7399" t="s">
        <v>58</v>
      </c>
      <c r="I7399" s="4">
        <v>1671</v>
      </c>
      <c r="J7399" s="3">
        <v>1671</v>
      </c>
      <c r="K7399" s="4">
        <v>392</v>
      </c>
      <c r="L7399" t="s">
        <v>9</v>
      </c>
      <c r="M7399">
        <v>17</v>
      </c>
      <c r="N7399" t="str">
        <f>IF(MASTER[[#This Row],[IDLOCAL]]=17,"HYDE PARK", "HARLEM IRVING")</f>
        <v>HYDE PARK</v>
      </c>
      <c r="O7399" t="str">
        <f>IF(MASTER[[#This Row],[IDLOCAL]]=17,"PREMIUM", "ESTÁNDAR")</f>
        <v>PREMIUM</v>
      </c>
      <c r="P7399" t="s">
        <v>137</v>
      </c>
      <c r="Q7399" t="s">
        <v>142</v>
      </c>
      <c r="R7399" t="s">
        <v>143</v>
      </c>
      <c r="S7399" t="s">
        <v>145</v>
      </c>
      <c r="T7399" s="2">
        <f>MASTER[[#This Row],[CANTIDAD]]*MASTER[[#This Row],[PRECIO DE VENTA]]</f>
        <v>1671</v>
      </c>
      <c r="U7399" s="2">
        <f>MASTER[[#This Row],[CANTIDAD]]*MASTER[[#This Row],[COSTO UNITARIO]]</f>
        <v>392</v>
      </c>
      <c r="V7399" s="2">
        <f>MASTER[[#This Row],[MONTO VENDIDO]]-MASTER[[#This Row],[COSTO DE VENTA]]</f>
        <v>1279</v>
      </c>
    </row>
    <row r="7400" spans="1:22" x14ac:dyDescent="0.3">
      <c r="A7400">
        <v>106951</v>
      </c>
      <c r="B7400">
        <v>1</v>
      </c>
      <c r="C7400" t="s">
        <v>116</v>
      </c>
      <c r="D7400" t="s">
        <v>117</v>
      </c>
      <c r="E7400" s="1">
        <v>44332</v>
      </c>
      <c r="F7400">
        <v>1</v>
      </c>
      <c r="G7400" t="s">
        <v>59</v>
      </c>
      <c r="H7400" t="s">
        <v>60</v>
      </c>
      <c r="I7400" s="4">
        <v>2898</v>
      </c>
      <c r="J7400" s="3">
        <v>2898</v>
      </c>
      <c r="K7400" s="4">
        <v>388</v>
      </c>
      <c r="L7400" t="s">
        <v>113</v>
      </c>
      <c r="M7400">
        <v>19</v>
      </c>
      <c r="N7400" t="s">
        <v>150</v>
      </c>
      <c r="O7400" t="s">
        <v>81</v>
      </c>
      <c r="P7400" t="s">
        <v>136</v>
      </c>
      <c r="Q7400" t="s">
        <v>140</v>
      </c>
      <c r="R7400" t="s">
        <v>141</v>
      </c>
      <c r="S7400" t="s">
        <v>145</v>
      </c>
      <c r="T7400" s="2">
        <f>MASTER[[#This Row],[CANTIDAD]]*MASTER[[#This Row],[PRECIO DE VENTA]]</f>
        <v>2898</v>
      </c>
      <c r="U7400" s="2">
        <f>MASTER[[#This Row],[CANTIDAD]]*MASTER[[#This Row],[COSTO UNITARIO]]</f>
        <v>388</v>
      </c>
      <c r="V7400" s="2">
        <f>MASTER[[#This Row],[MONTO VENDIDO]]-MASTER[[#This Row],[COSTO DE VENTA]]</f>
        <v>2510</v>
      </c>
    </row>
    <row r="7401" spans="1:22" x14ac:dyDescent="0.3">
      <c r="A7401">
        <v>106957</v>
      </c>
      <c r="B7401">
        <v>1</v>
      </c>
      <c r="C7401" t="s">
        <v>99</v>
      </c>
      <c r="D7401" t="s">
        <v>100</v>
      </c>
      <c r="E7401" s="1">
        <v>44333</v>
      </c>
      <c r="F7401">
        <v>1</v>
      </c>
      <c r="G7401" t="s">
        <v>35</v>
      </c>
      <c r="H7401" t="s">
        <v>36</v>
      </c>
      <c r="I7401" s="4">
        <v>2115</v>
      </c>
      <c r="J7401" s="3">
        <v>2030</v>
      </c>
      <c r="K7401" s="4">
        <v>386</v>
      </c>
      <c r="L7401" t="s">
        <v>98</v>
      </c>
      <c r="M7401">
        <v>17</v>
      </c>
      <c r="N7401" t="str">
        <f>IF(MASTER[[#This Row],[IDLOCAL]]=17,"HYDE PARK", "HARLEM IRVING")</f>
        <v>HYDE PARK</v>
      </c>
      <c r="O7401" t="str">
        <f>IF(MASTER[[#This Row],[IDLOCAL]]=17,"PREMIUM", "ESTÁNDAR")</f>
        <v>PREMIUM</v>
      </c>
      <c r="P7401" t="s">
        <v>137</v>
      </c>
      <c r="Q7401" t="s">
        <v>142</v>
      </c>
      <c r="R7401" t="s">
        <v>143</v>
      </c>
      <c r="S7401" t="s">
        <v>145</v>
      </c>
      <c r="T7401" s="2">
        <f>MASTER[[#This Row],[CANTIDAD]]*MASTER[[#This Row],[PRECIO DE VENTA]]</f>
        <v>2030</v>
      </c>
      <c r="U7401" s="2">
        <f>MASTER[[#This Row],[CANTIDAD]]*MASTER[[#This Row],[COSTO UNITARIO]]</f>
        <v>386</v>
      </c>
      <c r="V7401" s="2">
        <f>MASTER[[#This Row],[MONTO VENDIDO]]-MASTER[[#This Row],[COSTO DE VENTA]]</f>
        <v>1644</v>
      </c>
    </row>
    <row r="7402" spans="1:22" x14ac:dyDescent="0.3">
      <c r="A7402">
        <v>106962</v>
      </c>
      <c r="B7402">
        <v>1</v>
      </c>
      <c r="C7402" t="s">
        <v>5</v>
      </c>
      <c r="D7402" t="s">
        <v>6</v>
      </c>
      <c r="E7402" s="1">
        <v>44334</v>
      </c>
      <c r="F7402">
        <v>1</v>
      </c>
      <c r="G7402" t="s">
        <v>22</v>
      </c>
      <c r="H7402" t="s">
        <v>23</v>
      </c>
      <c r="I7402" s="4">
        <v>2185</v>
      </c>
      <c r="J7402" s="3">
        <v>2185</v>
      </c>
      <c r="K7402" s="4">
        <v>393</v>
      </c>
      <c r="L7402" t="s">
        <v>9</v>
      </c>
      <c r="M7402">
        <v>19</v>
      </c>
      <c r="N7402" t="s">
        <v>150</v>
      </c>
      <c r="O7402" t="s">
        <v>81</v>
      </c>
      <c r="P7402" t="s">
        <v>136</v>
      </c>
      <c r="Q7402" t="s">
        <v>140</v>
      </c>
      <c r="R7402" t="s">
        <v>141</v>
      </c>
      <c r="S7402" t="s">
        <v>145</v>
      </c>
      <c r="T7402" s="2">
        <f>MASTER[[#This Row],[CANTIDAD]]*MASTER[[#This Row],[PRECIO DE VENTA]]</f>
        <v>2185</v>
      </c>
      <c r="U7402" s="2">
        <f>MASTER[[#This Row],[CANTIDAD]]*MASTER[[#This Row],[COSTO UNITARIO]]</f>
        <v>393</v>
      </c>
      <c r="V7402" s="2">
        <f>MASTER[[#This Row],[MONTO VENDIDO]]-MASTER[[#This Row],[COSTO DE VENTA]]</f>
        <v>1792</v>
      </c>
    </row>
    <row r="7403" spans="1:22" x14ac:dyDescent="0.3">
      <c r="A7403">
        <v>106984</v>
      </c>
      <c r="B7403">
        <v>1</v>
      </c>
      <c r="C7403" t="s">
        <v>118</v>
      </c>
      <c r="D7403" t="s">
        <v>119</v>
      </c>
      <c r="E7403" s="1">
        <v>44334</v>
      </c>
      <c r="F7403">
        <v>2</v>
      </c>
      <c r="G7403" t="s">
        <v>27</v>
      </c>
      <c r="H7403" t="s">
        <v>28</v>
      </c>
      <c r="I7403" s="4">
        <v>1305</v>
      </c>
      <c r="J7403" s="3">
        <v>1305</v>
      </c>
      <c r="K7403" s="4">
        <v>424</v>
      </c>
      <c r="L7403" t="s">
        <v>120</v>
      </c>
      <c r="M7403">
        <v>18</v>
      </c>
      <c r="N7403" t="str">
        <f>IF(MASTER[[#This Row],[IDLOCAL]]=17,"HYDE PARK", "HARLEM IRVING")</f>
        <v>HARLEM IRVING</v>
      </c>
      <c r="O7403" t="str">
        <f>IF(MASTER[[#This Row],[IDLOCAL]]=17,"PREMIUM", "ESTÁNDAR")</f>
        <v>ESTÁNDAR</v>
      </c>
      <c r="P7403" t="s">
        <v>137</v>
      </c>
      <c r="Q7403" t="s">
        <v>142</v>
      </c>
      <c r="R7403" t="s">
        <v>143</v>
      </c>
      <c r="S7403" t="s">
        <v>145</v>
      </c>
      <c r="T7403" s="2">
        <f>MASTER[[#This Row],[CANTIDAD]]*MASTER[[#This Row],[PRECIO DE VENTA]]</f>
        <v>2610</v>
      </c>
      <c r="U7403" s="2">
        <f>MASTER[[#This Row],[CANTIDAD]]*MASTER[[#This Row],[COSTO UNITARIO]]</f>
        <v>848</v>
      </c>
      <c r="V7403" s="2">
        <f>MASTER[[#This Row],[MONTO VENDIDO]]-MASTER[[#This Row],[COSTO DE VENTA]]</f>
        <v>1762</v>
      </c>
    </row>
    <row r="7404" spans="1:22" x14ac:dyDescent="0.3">
      <c r="A7404">
        <v>106999</v>
      </c>
      <c r="B7404">
        <v>1</v>
      </c>
      <c r="C7404" t="s">
        <v>107</v>
      </c>
      <c r="D7404" t="s">
        <v>108</v>
      </c>
      <c r="E7404" s="1">
        <v>44335</v>
      </c>
      <c r="F7404">
        <v>1</v>
      </c>
      <c r="G7404" t="s">
        <v>53</v>
      </c>
      <c r="H7404" t="s">
        <v>54</v>
      </c>
      <c r="I7404" s="4">
        <v>2088</v>
      </c>
      <c r="J7404" s="3">
        <v>2088</v>
      </c>
      <c r="K7404" s="4">
        <v>380</v>
      </c>
      <c r="L7404" t="s">
        <v>98</v>
      </c>
      <c r="M7404">
        <v>19</v>
      </c>
      <c r="N7404" t="s">
        <v>150</v>
      </c>
      <c r="O7404" t="s">
        <v>81</v>
      </c>
      <c r="P7404" t="s">
        <v>136</v>
      </c>
      <c r="Q7404" t="s">
        <v>140</v>
      </c>
      <c r="R7404" t="s">
        <v>141</v>
      </c>
      <c r="S7404" t="s">
        <v>145</v>
      </c>
      <c r="T7404" s="2">
        <f>MASTER[[#This Row],[CANTIDAD]]*MASTER[[#This Row],[PRECIO DE VENTA]]</f>
        <v>2088</v>
      </c>
      <c r="U7404" s="2">
        <f>MASTER[[#This Row],[CANTIDAD]]*MASTER[[#This Row],[COSTO UNITARIO]]</f>
        <v>380</v>
      </c>
      <c r="V7404" s="2">
        <f>MASTER[[#This Row],[MONTO VENDIDO]]-MASTER[[#This Row],[COSTO DE VENTA]]</f>
        <v>1708</v>
      </c>
    </row>
    <row r="7405" spans="1:22" x14ac:dyDescent="0.3">
      <c r="A7405">
        <v>107027</v>
      </c>
      <c r="B7405">
        <v>1</v>
      </c>
      <c r="C7405" t="s">
        <v>109</v>
      </c>
      <c r="D7405" t="s">
        <v>110</v>
      </c>
      <c r="E7405" s="1">
        <v>44336</v>
      </c>
      <c r="F7405">
        <v>1</v>
      </c>
      <c r="G7405" t="s">
        <v>27</v>
      </c>
      <c r="H7405" t="s">
        <v>28</v>
      </c>
      <c r="I7405" s="4">
        <v>1542</v>
      </c>
      <c r="J7405" s="3">
        <v>1542</v>
      </c>
      <c r="K7405" s="4">
        <v>387</v>
      </c>
      <c r="L7405" t="s">
        <v>98</v>
      </c>
      <c r="M7405">
        <v>17</v>
      </c>
      <c r="N7405" t="str">
        <f>IF(MASTER[[#This Row],[IDLOCAL]]=17,"HYDE PARK", "HARLEM IRVING")</f>
        <v>HYDE PARK</v>
      </c>
      <c r="O7405" t="str">
        <f>IF(MASTER[[#This Row],[IDLOCAL]]=17,"PREMIUM", "ESTÁNDAR")</f>
        <v>PREMIUM</v>
      </c>
      <c r="P7405" t="s">
        <v>137</v>
      </c>
      <c r="Q7405" t="s">
        <v>142</v>
      </c>
      <c r="R7405" t="s">
        <v>143</v>
      </c>
      <c r="S7405" t="s">
        <v>145</v>
      </c>
      <c r="T7405" s="2">
        <f>MASTER[[#This Row],[CANTIDAD]]*MASTER[[#This Row],[PRECIO DE VENTA]]</f>
        <v>1542</v>
      </c>
      <c r="U7405" s="2">
        <f>MASTER[[#This Row],[CANTIDAD]]*MASTER[[#This Row],[COSTO UNITARIO]]</f>
        <v>387</v>
      </c>
      <c r="V7405" s="2">
        <f>MASTER[[#This Row],[MONTO VENDIDO]]-MASTER[[#This Row],[COSTO DE VENTA]]</f>
        <v>1155</v>
      </c>
    </row>
    <row r="7406" spans="1:22" x14ac:dyDescent="0.3">
      <c r="A7406">
        <v>107029</v>
      </c>
      <c r="B7406">
        <v>1</v>
      </c>
      <c r="C7406" t="s">
        <v>103</v>
      </c>
      <c r="D7406" t="s">
        <v>104</v>
      </c>
      <c r="E7406" s="1">
        <v>44337</v>
      </c>
      <c r="F7406">
        <v>1</v>
      </c>
      <c r="G7406" t="s">
        <v>73</v>
      </c>
      <c r="H7406" t="s">
        <v>74</v>
      </c>
      <c r="I7406" s="4">
        <v>2099</v>
      </c>
      <c r="J7406" s="3">
        <v>2099</v>
      </c>
      <c r="K7406" s="4">
        <v>421</v>
      </c>
      <c r="L7406" t="s">
        <v>98</v>
      </c>
      <c r="M7406">
        <v>19</v>
      </c>
      <c r="N7406" t="s">
        <v>150</v>
      </c>
      <c r="O7406" t="s">
        <v>81</v>
      </c>
      <c r="P7406" t="s">
        <v>136</v>
      </c>
      <c r="Q7406" t="s">
        <v>140</v>
      </c>
      <c r="R7406" t="s">
        <v>141</v>
      </c>
      <c r="S7406" t="s">
        <v>145</v>
      </c>
      <c r="T7406" s="2">
        <f>MASTER[[#This Row],[CANTIDAD]]*MASTER[[#This Row],[PRECIO DE VENTA]]</f>
        <v>2099</v>
      </c>
      <c r="U7406" s="2">
        <f>MASTER[[#This Row],[CANTIDAD]]*MASTER[[#This Row],[COSTO UNITARIO]]</f>
        <v>421</v>
      </c>
      <c r="V7406" s="2">
        <f>MASTER[[#This Row],[MONTO VENDIDO]]-MASTER[[#This Row],[COSTO DE VENTA]]</f>
        <v>1678</v>
      </c>
    </row>
    <row r="7407" spans="1:22" x14ac:dyDescent="0.3">
      <c r="A7407">
        <v>107030</v>
      </c>
      <c r="B7407">
        <v>1</v>
      </c>
      <c r="C7407" t="s">
        <v>107</v>
      </c>
      <c r="D7407" t="s">
        <v>108</v>
      </c>
      <c r="E7407" s="1">
        <v>44337</v>
      </c>
      <c r="F7407">
        <v>1</v>
      </c>
      <c r="G7407" t="s">
        <v>67</v>
      </c>
      <c r="H7407" t="s">
        <v>68</v>
      </c>
      <c r="I7407" s="4">
        <v>1932</v>
      </c>
      <c r="J7407" s="3">
        <v>1932</v>
      </c>
      <c r="K7407" s="4">
        <v>380</v>
      </c>
      <c r="L7407" t="s">
        <v>98</v>
      </c>
      <c r="M7407">
        <v>17</v>
      </c>
      <c r="N7407" t="str">
        <f>IF(MASTER[[#This Row],[IDLOCAL]]=17,"HYDE PARK", "HARLEM IRVING")</f>
        <v>HYDE PARK</v>
      </c>
      <c r="O7407" t="str">
        <f>IF(MASTER[[#This Row],[IDLOCAL]]=17,"PREMIUM", "ESTÁNDAR")</f>
        <v>PREMIUM</v>
      </c>
      <c r="P7407" t="s">
        <v>137</v>
      </c>
      <c r="Q7407" t="s">
        <v>142</v>
      </c>
      <c r="R7407" t="s">
        <v>143</v>
      </c>
      <c r="S7407" t="s">
        <v>145</v>
      </c>
      <c r="T7407" s="2">
        <f>MASTER[[#This Row],[CANTIDAD]]*MASTER[[#This Row],[PRECIO DE VENTA]]</f>
        <v>1932</v>
      </c>
      <c r="U7407" s="2">
        <f>MASTER[[#This Row],[CANTIDAD]]*MASTER[[#This Row],[COSTO UNITARIO]]</f>
        <v>380</v>
      </c>
      <c r="V7407" s="2">
        <f>MASTER[[#This Row],[MONTO VENDIDO]]-MASTER[[#This Row],[COSTO DE VENTA]]</f>
        <v>1552</v>
      </c>
    </row>
    <row r="7408" spans="1:22" x14ac:dyDescent="0.3">
      <c r="A7408">
        <v>107038</v>
      </c>
      <c r="B7408">
        <v>1</v>
      </c>
      <c r="C7408" t="s">
        <v>90</v>
      </c>
      <c r="D7408" t="s">
        <v>91</v>
      </c>
      <c r="E7408" s="1">
        <v>44338</v>
      </c>
      <c r="F7408">
        <v>1</v>
      </c>
      <c r="G7408" t="s">
        <v>31</v>
      </c>
      <c r="H7408" t="s">
        <v>32</v>
      </c>
      <c r="I7408" s="4">
        <v>3047</v>
      </c>
      <c r="J7408" s="3">
        <v>3047</v>
      </c>
      <c r="K7408" s="4">
        <v>420</v>
      </c>
      <c r="L7408" t="s">
        <v>9</v>
      </c>
      <c r="M7408">
        <v>17</v>
      </c>
      <c r="N7408" t="str">
        <f>IF(MASTER[[#This Row],[IDLOCAL]]=17,"HYDE PARK", "HARLEM IRVING")</f>
        <v>HYDE PARK</v>
      </c>
      <c r="O7408" t="str">
        <f>IF(MASTER[[#This Row],[IDLOCAL]]=17,"PREMIUM", "ESTÁNDAR")</f>
        <v>PREMIUM</v>
      </c>
      <c r="P7408" t="s">
        <v>137</v>
      </c>
      <c r="Q7408" t="s">
        <v>142</v>
      </c>
      <c r="R7408" t="s">
        <v>143</v>
      </c>
      <c r="S7408" t="s">
        <v>145</v>
      </c>
      <c r="T7408" s="2">
        <f>MASTER[[#This Row],[CANTIDAD]]*MASTER[[#This Row],[PRECIO DE VENTA]]</f>
        <v>3047</v>
      </c>
      <c r="U7408" s="2">
        <f>MASTER[[#This Row],[CANTIDAD]]*MASTER[[#This Row],[COSTO UNITARIO]]</f>
        <v>420</v>
      </c>
      <c r="V7408" s="2">
        <f>MASTER[[#This Row],[MONTO VENDIDO]]-MASTER[[#This Row],[COSTO DE VENTA]]</f>
        <v>2627</v>
      </c>
    </row>
    <row r="7409" spans="1:22" x14ac:dyDescent="0.3">
      <c r="A7409">
        <v>107046</v>
      </c>
      <c r="B7409">
        <v>1</v>
      </c>
      <c r="C7409" t="s">
        <v>90</v>
      </c>
      <c r="D7409" t="s">
        <v>91</v>
      </c>
      <c r="E7409" s="1">
        <v>44339</v>
      </c>
      <c r="F7409">
        <v>1</v>
      </c>
      <c r="G7409" t="s">
        <v>22</v>
      </c>
      <c r="H7409" t="s">
        <v>23</v>
      </c>
      <c r="I7409" s="4">
        <v>2407</v>
      </c>
      <c r="J7409" s="3">
        <v>2309</v>
      </c>
      <c r="K7409" s="4">
        <v>420</v>
      </c>
      <c r="L7409" t="s">
        <v>9</v>
      </c>
      <c r="M7409">
        <v>19</v>
      </c>
      <c r="N7409" t="s">
        <v>150</v>
      </c>
      <c r="O7409" t="s">
        <v>81</v>
      </c>
      <c r="P7409" t="s">
        <v>136</v>
      </c>
      <c r="Q7409" t="s">
        <v>140</v>
      </c>
      <c r="R7409" t="s">
        <v>141</v>
      </c>
      <c r="S7409" t="s">
        <v>145</v>
      </c>
      <c r="T7409" s="2">
        <f>MASTER[[#This Row],[CANTIDAD]]*MASTER[[#This Row],[PRECIO DE VENTA]]</f>
        <v>2309</v>
      </c>
      <c r="U7409" s="2">
        <f>MASTER[[#This Row],[CANTIDAD]]*MASTER[[#This Row],[COSTO UNITARIO]]</f>
        <v>420</v>
      </c>
      <c r="V7409" s="2">
        <f>MASTER[[#This Row],[MONTO VENDIDO]]-MASTER[[#This Row],[COSTO DE VENTA]]</f>
        <v>1889</v>
      </c>
    </row>
    <row r="7410" spans="1:22" x14ac:dyDescent="0.3">
      <c r="A7410">
        <v>107054</v>
      </c>
      <c r="B7410">
        <v>1</v>
      </c>
      <c r="C7410" t="s">
        <v>114</v>
      </c>
      <c r="D7410" t="s">
        <v>115</v>
      </c>
      <c r="E7410" s="1">
        <v>44339</v>
      </c>
      <c r="F7410">
        <v>1</v>
      </c>
      <c r="G7410" t="s">
        <v>22</v>
      </c>
      <c r="H7410" t="s">
        <v>23</v>
      </c>
      <c r="I7410" s="4">
        <v>2699</v>
      </c>
      <c r="J7410" s="3">
        <v>2699</v>
      </c>
      <c r="K7410" s="4">
        <v>394</v>
      </c>
      <c r="L7410" t="s">
        <v>113</v>
      </c>
      <c r="M7410">
        <v>19</v>
      </c>
      <c r="N7410" t="s">
        <v>150</v>
      </c>
      <c r="O7410" t="s">
        <v>81</v>
      </c>
      <c r="P7410" t="s">
        <v>136</v>
      </c>
      <c r="Q7410" t="s">
        <v>140</v>
      </c>
      <c r="R7410" t="s">
        <v>141</v>
      </c>
      <c r="S7410" t="s">
        <v>145</v>
      </c>
      <c r="T7410" s="2">
        <f>MASTER[[#This Row],[CANTIDAD]]*MASTER[[#This Row],[PRECIO DE VENTA]]</f>
        <v>2699</v>
      </c>
      <c r="U7410" s="2">
        <f>MASTER[[#This Row],[CANTIDAD]]*MASTER[[#This Row],[COSTO UNITARIO]]</f>
        <v>394</v>
      </c>
      <c r="V7410" s="2">
        <f>MASTER[[#This Row],[MONTO VENDIDO]]-MASTER[[#This Row],[COSTO DE VENTA]]</f>
        <v>2305</v>
      </c>
    </row>
    <row r="7411" spans="1:22" x14ac:dyDescent="0.3">
      <c r="A7411">
        <v>107055</v>
      </c>
      <c r="B7411">
        <v>1</v>
      </c>
      <c r="C7411" t="s">
        <v>105</v>
      </c>
      <c r="D7411" t="s">
        <v>106</v>
      </c>
      <c r="E7411" s="1">
        <v>44341</v>
      </c>
      <c r="F7411">
        <v>1</v>
      </c>
      <c r="G7411" t="s">
        <v>47</v>
      </c>
      <c r="H7411" t="s">
        <v>48</v>
      </c>
      <c r="I7411" s="4">
        <v>2704</v>
      </c>
      <c r="J7411" s="3">
        <v>2704</v>
      </c>
      <c r="K7411" s="4">
        <v>459</v>
      </c>
      <c r="L7411" t="s">
        <v>98</v>
      </c>
      <c r="M7411">
        <v>17</v>
      </c>
      <c r="N7411" t="str">
        <f>IF(MASTER[[#This Row],[IDLOCAL]]=17,"HYDE PARK", "HARLEM IRVING")</f>
        <v>HYDE PARK</v>
      </c>
      <c r="O7411" t="str">
        <f>IF(MASTER[[#This Row],[IDLOCAL]]=17,"PREMIUM", "ESTÁNDAR")</f>
        <v>PREMIUM</v>
      </c>
      <c r="P7411" t="s">
        <v>137</v>
      </c>
      <c r="Q7411" t="s">
        <v>142</v>
      </c>
      <c r="R7411" t="s">
        <v>143</v>
      </c>
      <c r="S7411" t="s">
        <v>145</v>
      </c>
      <c r="T7411" s="2">
        <f>MASTER[[#This Row],[CANTIDAD]]*MASTER[[#This Row],[PRECIO DE VENTA]]</f>
        <v>2704</v>
      </c>
      <c r="U7411" s="2">
        <f>MASTER[[#This Row],[CANTIDAD]]*MASTER[[#This Row],[COSTO UNITARIO]]</f>
        <v>459</v>
      </c>
      <c r="V7411" s="2">
        <f>MASTER[[#This Row],[MONTO VENDIDO]]-MASTER[[#This Row],[COSTO DE VENTA]]</f>
        <v>2245</v>
      </c>
    </row>
    <row r="7412" spans="1:22" x14ac:dyDescent="0.3">
      <c r="A7412">
        <v>107082</v>
      </c>
      <c r="B7412">
        <v>1</v>
      </c>
      <c r="C7412" t="s">
        <v>116</v>
      </c>
      <c r="D7412" t="s">
        <v>117</v>
      </c>
      <c r="E7412" s="1">
        <v>44341</v>
      </c>
      <c r="F7412">
        <v>1</v>
      </c>
      <c r="G7412" t="s">
        <v>41</v>
      </c>
      <c r="H7412" t="s">
        <v>42</v>
      </c>
      <c r="I7412" s="4">
        <v>2520</v>
      </c>
      <c r="J7412" s="3">
        <v>2520</v>
      </c>
      <c r="K7412" s="4">
        <v>388</v>
      </c>
      <c r="L7412" t="s">
        <v>113</v>
      </c>
      <c r="M7412">
        <v>17</v>
      </c>
      <c r="N7412" t="str">
        <f>IF(MASTER[[#This Row],[IDLOCAL]]=17,"HYDE PARK", "HARLEM IRVING")</f>
        <v>HYDE PARK</v>
      </c>
      <c r="O7412" t="str">
        <f>IF(MASTER[[#This Row],[IDLOCAL]]=17,"PREMIUM", "ESTÁNDAR")</f>
        <v>PREMIUM</v>
      </c>
      <c r="P7412" t="s">
        <v>137</v>
      </c>
      <c r="Q7412" t="s">
        <v>142</v>
      </c>
      <c r="R7412" t="s">
        <v>143</v>
      </c>
      <c r="S7412" t="s">
        <v>145</v>
      </c>
      <c r="T7412" s="2">
        <f>MASTER[[#This Row],[CANTIDAD]]*MASTER[[#This Row],[PRECIO DE VENTA]]</f>
        <v>2520</v>
      </c>
      <c r="U7412" s="2">
        <f>MASTER[[#This Row],[CANTIDAD]]*MASTER[[#This Row],[COSTO UNITARIO]]</f>
        <v>388</v>
      </c>
      <c r="V7412" s="2">
        <f>MASTER[[#This Row],[MONTO VENDIDO]]-MASTER[[#This Row],[COSTO DE VENTA]]</f>
        <v>2132</v>
      </c>
    </row>
    <row r="7413" spans="1:22" x14ac:dyDescent="0.3">
      <c r="A7413">
        <v>107095</v>
      </c>
      <c r="B7413">
        <v>1</v>
      </c>
      <c r="C7413" t="s">
        <v>96</v>
      </c>
      <c r="D7413" t="s">
        <v>97</v>
      </c>
      <c r="E7413" s="1">
        <v>44343</v>
      </c>
      <c r="F7413">
        <v>1</v>
      </c>
      <c r="G7413" t="s">
        <v>65</v>
      </c>
      <c r="H7413" t="s">
        <v>66</v>
      </c>
      <c r="I7413" s="4">
        <v>1844</v>
      </c>
      <c r="J7413" s="3">
        <v>1844</v>
      </c>
      <c r="K7413" s="4">
        <v>397</v>
      </c>
      <c r="L7413" t="s">
        <v>98</v>
      </c>
      <c r="M7413">
        <v>17</v>
      </c>
      <c r="N7413" t="str">
        <f>IF(MASTER[[#This Row],[IDLOCAL]]=17,"HYDE PARK", "HARLEM IRVING")</f>
        <v>HYDE PARK</v>
      </c>
      <c r="O7413" t="str">
        <f>IF(MASTER[[#This Row],[IDLOCAL]]=17,"PREMIUM", "ESTÁNDAR")</f>
        <v>PREMIUM</v>
      </c>
      <c r="P7413" t="s">
        <v>137</v>
      </c>
      <c r="Q7413" t="s">
        <v>142</v>
      </c>
      <c r="R7413" t="s">
        <v>143</v>
      </c>
      <c r="S7413" t="s">
        <v>145</v>
      </c>
      <c r="T7413" s="2">
        <f>MASTER[[#This Row],[CANTIDAD]]*MASTER[[#This Row],[PRECIO DE VENTA]]</f>
        <v>1844</v>
      </c>
      <c r="U7413" s="2">
        <f>MASTER[[#This Row],[CANTIDAD]]*MASTER[[#This Row],[COSTO UNITARIO]]</f>
        <v>397</v>
      </c>
      <c r="V7413" s="2">
        <f>MASTER[[#This Row],[MONTO VENDIDO]]-MASTER[[#This Row],[COSTO DE VENTA]]</f>
        <v>1447</v>
      </c>
    </row>
    <row r="7414" spans="1:22" x14ac:dyDescent="0.3">
      <c r="A7414">
        <v>107102</v>
      </c>
      <c r="B7414">
        <v>1</v>
      </c>
      <c r="C7414" t="s">
        <v>121</v>
      </c>
      <c r="D7414" t="s">
        <v>122</v>
      </c>
      <c r="E7414" s="1">
        <v>44343</v>
      </c>
      <c r="F7414">
        <v>1</v>
      </c>
      <c r="G7414" t="s">
        <v>20</v>
      </c>
      <c r="H7414" t="s">
        <v>21</v>
      </c>
      <c r="I7414" s="4">
        <v>1658</v>
      </c>
      <c r="J7414" s="3">
        <v>1658</v>
      </c>
      <c r="K7414" s="4">
        <v>460</v>
      </c>
      <c r="L7414" t="s">
        <v>120</v>
      </c>
      <c r="M7414">
        <v>19</v>
      </c>
      <c r="N7414" t="s">
        <v>150</v>
      </c>
      <c r="O7414" t="s">
        <v>81</v>
      </c>
      <c r="P7414" t="s">
        <v>136</v>
      </c>
      <c r="Q7414" t="s">
        <v>140</v>
      </c>
      <c r="R7414" t="s">
        <v>141</v>
      </c>
      <c r="S7414" t="s">
        <v>145</v>
      </c>
      <c r="T7414" s="2">
        <f>MASTER[[#This Row],[CANTIDAD]]*MASTER[[#This Row],[PRECIO DE VENTA]]</f>
        <v>1658</v>
      </c>
      <c r="U7414" s="2">
        <f>MASTER[[#This Row],[CANTIDAD]]*MASTER[[#This Row],[COSTO UNITARIO]]</f>
        <v>460</v>
      </c>
      <c r="V7414" s="2">
        <f>MASTER[[#This Row],[MONTO VENDIDO]]-MASTER[[#This Row],[COSTO DE VENTA]]</f>
        <v>1198</v>
      </c>
    </row>
    <row r="7415" spans="1:22" x14ac:dyDescent="0.3">
      <c r="A7415">
        <v>107105</v>
      </c>
      <c r="B7415">
        <v>1</v>
      </c>
      <c r="C7415" t="s">
        <v>99</v>
      </c>
      <c r="D7415" t="s">
        <v>100</v>
      </c>
      <c r="E7415" s="1">
        <v>44344</v>
      </c>
      <c r="F7415">
        <v>1</v>
      </c>
      <c r="G7415" t="s">
        <v>67</v>
      </c>
      <c r="H7415" t="s">
        <v>68</v>
      </c>
      <c r="I7415" s="4">
        <v>2433</v>
      </c>
      <c r="J7415" s="3">
        <v>2433</v>
      </c>
      <c r="K7415" s="4">
        <v>386</v>
      </c>
      <c r="L7415" t="s">
        <v>98</v>
      </c>
      <c r="M7415">
        <v>19</v>
      </c>
      <c r="N7415" t="s">
        <v>150</v>
      </c>
      <c r="O7415" t="s">
        <v>81</v>
      </c>
      <c r="P7415" t="s">
        <v>136</v>
      </c>
      <c r="Q7415" t="s">
        <v>140</v>
      </c>
      <c r="R7415" t="s">
        <v>141</v>
      </c>
      <c r="S7415" t="s">
        <v>145</v>
      </c>
      <c r="T7415" s="2">
        <f>MASTER[[#This Row],[CANTIDAD]]*MASTER[[#This Row],[PRECIO DE VENTA]]</f>
        <v>2433</v>
      </c>
      <c r="U7415" s="2">
        <f>MASTER[[#This Row],[CANTIDAD]]*MASTER[[#This Row],[COSTO UNITARIO]]</f>
        <v>386</v>
      </c>
      <c r="V7415" s="2">
        <f>MASTER[[#This Row],[MONTO VENDIDO]]-MASTER[[#This Row],[COSTO DE VENTA]]</f>
        <v>2047</v>
      </c>
    </row>
    <row r="7416" spans="1:22" x14ac:dyDescent="0.3">
      <c r="A7416">
        <v>107117</v>
      </c>
      <c r="B7416">
        <v>1</v>
      </c>
      <c r="C7416" t="s">
        <v>109</v>
      </c>
      <c r="D7416" t="s">
        <v>110</v>
      </c>
      <c r="E7416" s="1">
        <v>44344</v>
      </c>
      <c r="F7416">
        <v>1</v>
      </c>
      <c r="G7416" t="s">
        <v>29</v>
      </c>
      <c r="H7416" t="s">
        <v>30</v>
      </c>
      <c r="I7416" s="4">
        <v>1373</v>
      </c>
      <c r="J7416" s="3">
        <v>1373</v>
      </c>
      <c r="K7416" s="4">
        <v>387</v>
      </c>
      <c r="L7416" t="s">
        <v>98</v>
      </c>
      <c r="M7416">
        <v>17</v>
      </c>
      <c r="N7416" t="str">
        <f>IF(MASTER[[#This Row],[IDLOCAL]]=17,"HYDE PARK", "HARLEM IRVING")</f>
        <v>HYDE PARK</v>
      </c>
      <c r="O7416" t="str">
        <f>IF(MASTER[[#This Row],[IDLOCAL]]=17,"PREMIUM", "ESTÁNDAR")</f>
        <v>PREMIUM</v>
      </c>
      <c r="P7416" t="s">
        <v>137</v>
      </c>
      <c r="Q7416" t="s">
        <v>142</v>
      </c>
      <c r="R7416" t="s">
        <v>143</v>
      </c>
      <c r="S7416" t="s">
        <v>145</v>
      </c>
      <c r="T7416" s="2">
        <f>MASTER[[#This Row],[CANTIDAD]]*MASTER[[#This Row],[PRECIO DE VENTA]]</f>
        <v>1373</v>
      </c>
      <c r="U7416" s="2">
        <f>MASTER[[#This Row],[CANTIDAD]]*MASTER[[#This Row],[COSTO UNITARIO]]</f>
        <v>387</v>
      </c>
      <c r="V7416" s="2">
        <f>MASTER[[#This Row],[MONTO VENDIDO]]-MASTER[[#This Row],[COSTO DE VENTA]]</f>
        <v>986</v>
      </c>
    </row>
    <row r="7417" spans="1:22" x14ac:dyDescent="0.3">
      <c r="A7417">
        <v>107123</v>
      </c>
      <c r="B7417">
        <v>1</v>
      </c>
      <c r="C7417" t="s">
        <v>121</v>
      </c>
      <c r="D7417" t="s">
        <v>122</v>
      </c>
      <c r="E7417" s="1">
        <v>44344</v>
      </c>
      <c r="F7417">
        <v>1</v>
      </c>
      <c r="G7417" t="s">
        <v>39</v>
      </c>
      <c r="H7417" t="s">
        <v>40</v>
      </c>
      <c r="I7417" s="4">
        <v>1364</v>
      </c>
      <c r="J7417" s="3">
        <v>1364</v>
      </c>
      <c r="K7417" s="4">
        <v>460</v>
      </c>
      <c r="L7417" t="s">
        <v>120</v>
      </c>
      <c r="M7417">
        <v>17</v>
      </c>
      <c r="N7417" t="str">
        <f>IF(MASTER[[#This Row],[IDLOCAL]]=17,"HYDE PARK", "HARLEM IRVING")</f>
        <v>HYDE PARK</v>
      </c>
      <c r="O7417" t="str">
        <f>IF(MASTER[[#This Row],[IDLOCAL]]=17,"PREMIUM", "ESTÁNDAR")</f>
        <v>PREMIUM</v>
      </c>
      <c r="P7417" t="s">
        <v>137</v>
      </c>
      <c r="Q7417" t="s">
        <v>142</v>
      </c>
      <c r="R7417" t="s">
        <v>143</v>
      </c>
      <c r="S7417" t="s">
        <v>145</v>
      </c>
      <c r="T7417" s="2">
        <f>MASTER[[#This Row],[CANTIDAD]]*MASTER[[#This Row],[PRECIO DE VENTA]]</f>
        <v>1364</v>
      </c>
      <c r="U7417" s="2">
        <f>MASTER[[#This Row],[CANTIDAD]]*MASTER[[#This Row],[COSTO UNITARIO]]</f>
        <v>460</v>
      </c>
      <c r="V7417" s="2">
        <f>MASTER[[#This Row],[MONTO VENDIDO]]-MASTER[[#This Row],[COSTO DE VENTA]]</f>
        <v>904</v>
      </c>
    </row>
    <row r="7418" spans="1:22" x14ac:dyDescent="0.3">
      <c r="A7418">
        <v>107131</v>
      </c>
      <c r="B7418">
        <v>1</v>
      </c>
      <c r="C7418" t="s">
        <v>118</v>
      </c>
      <c r="D7418" t="s">
        <v>119</v>
      </c>
      <c r="E7418" s="1">
        <v>44345</v>
      </c>
      <c r="F7418">
        <v>1</v>
      </c>
      <c r="G7418" t="s">
        <v>39</v>
      </c>
      <c r="H7418" t="s">
        <v>40</v>
      </c>
      <c r="I7418" s="4">
        <v>1487</v>
      </c>
      <c r="J7418" s="3">
        <v>1487</v>
      </c>
      <c r="K7418" s="4">
        <v>424</v>
      </c>
      <c r="L7418" t="s">
        <v>120</v>
      </c>
      <c r="M7418">
        <v>18</v>
      </c>
      <c r="N7418" t="str">
        <f>IF(MASTER[[#This Row],[IDLOCAL]]=17,"HYDE PARK", "HARLEM IRVING")</f>
        <v>HARLEM IRVING</v>
      </c>
      <c r="O7418" t="str">
        <f>IF(MASTER[[#This Row],[IDLOCAL]]=17,"PREMIUM", "ESTÁNDAR")</f>
        <v>ESTÁNDAR</v>
      </c>
      <c r="P7418" t="s">
        <v>137</v>
      </c>
      <c r="Q7418" t="s">
        <v>142</v>
      </c>
      <c r="R7418" t="s">
        <v>143</v>
      </c>
      <c r="S7418" t="s">
        <v>145</v>
      </c>
      <c r="T7418" s="2">
        <f>MASTER[[#This Row],[CANTIDAD]]*MASTER[[#This Row],[PRECIO DE VENTA]]</f>
        <v>1487</v>
      </c>
      <c r="U7418" s="2">
        <f>MASTER[[#This Row],[CANTIDAD]]*MASTER[[#This Row],[COSTO UNITARIO]]</f>
        <v>424</v>
      </c>
      <c r="V7418" s="2">
        <f>MASTER[[#This Row],[MONTO VENDIDO]]-MASTER[[#This Row],[COSTO DE VENTA]]</f>
        <v>1063</v>
      </c>
    </row>
    <row r="7419" spans="1:22" x14ac:dyDescent="0.3">
      <c r="A7419">
        <v>107156</v>
      </c>
      <c r="B7419">
        <v>1</v>
      </c>
      <c r="C7419" t="s">
        <v>5</v>
      </c>
      <c r="D7419" t="s">
        <v>6</v>
      </c>
      <c r="E7419" s="1">
        <v>44346</v>
      </c>
      <c r="F7419">
        <v>1</v>
      </c>
      <c r="G7419" t="s">
        <v>47</v>
      </c>
      <c r="H7419" t="s">
        <v>48</v>
      </c>
      <c r="I7419" s="4">
        <v>1900</v>
      </c>
      <c r="J7419" s="3">
        <v>1900</v>
      </c>
      <c r="K7419" s="4">
        <v>393</v>
      </c>
      <c r="L7419" t="s">
        <v>9</v>
      </c>
      <c r="M7419">
        <v>19</v>
      </c>
      <c r="N7419" t="s">
        <v>150</v>
      </c>
      <c r="O7419" t="s">
        <v>81</v>
      </c>
      <c r="P7419" t="s">
        <v>136</v>
      </c>
      <c r="Q7419" t="s">
        <v>140</v>
      </c>
      <c r="R7419" t="s">
        <v>141</v>
      </c>
      <c r="S7419" t="s">
        <v>145</v>
      </c>
      <c r="T7419" s="2">
        <f>MASTER[[#This Row],[CANTIDAD]]*MASTER[[#This Row],[PRECIO DE VENTA]]</f>
        <v>1900</v>
      </c>
      <c r="U7419" s="2">
        <f>MASTER[[#This Row],[CANTIDAD]]*MASTER[[#This Row],[COSTO UNITARIO]]</f>
        <v>393</v>
      </c>
      <c r="V7419" s="2">
        <f>MASTER[[#This Row],[MONTO VENDIDO]]-MASTER[[#This Row],[COSTO DE VENTA]]</f>
        <v>1507</v>
      </c>
    </row>
    <row r="7420" spans="1:22" x14ac:dyDescent="0.3">
      <c r="A7420">
        <v>107159</v>
      </c>
      <c r="B7420">
        <v>1</v>
      </c>
      <c r="C7420" t="s">
        <v>99</v>
      </c>
      <c r="D7420" t="s">
        <v>100</v>
      </c>
      <c r="E7420" s="1">
        <v>44346</v>
      </c>
      <c r="F7420">
        <v>1</v>
      </c>
      <c r="G7420" t="s">
        <v>65</v>
      </c>
      <c r="H7420" t="s">
        <v>66</v>
      </c>
      <c r="I7420" s="4">
        <v>1925</v>
      </c>
      <c r="J7420" s="3">
        <v>1925</v>
      </c>
      <c r="K7420" s="4">
        <v>386</v>
      </c>
      <c r="L7420" t="s">
        <v>98</v>
      </c>
      <c r="M7420">
        <v>19</v>
      </c>
      <c r="N7420" t="s">
        <v>150</v>
      </c>
      <c r="O7420" t="s">
        <v>81</v>
      </c>
      <c r="P7420" t="s">
        <v>136</v>
      </c>
      <c r="Q7420" t="s">
        <v>140</v>
      </c>
      <c r="R7420" t="s">
        <v>141</v>
      </c>
      <c r="S7420" t="s">
        <v>145</v>
      </c>
      <c r="T7420" s="2">
        <f>MASTER[[#This Row],[CANTIDAD]]*MASTER[[#This Row],[PRECIO DE VENTA]]</f>
        <v>1925</v>
      </c>
      <c r="U7420" s="2">
        <f>MASTER[[#This Row],[CANTIDAD]]*MASTER[[#This Row],[COSTO UNITARIO]]</f>
        <v>386</v>
      </c>
      <c r="V7420" s="2">
        <f>MASTER[[#This Row],[MONTO VENDIDO]]-MASTER[[#This Row],[COSTO DE VENTA]]</f>
        <v>1539</v>
      </c>
    </row>
    <row r="7421" spans="1:22" x14ac:dyDescent="0.3">
      <c r="A7421">
        <v>107161</v>
      </c>
      <c r="B7421">
        <v>1</v>
      </c>
      <c r="C7421" t="s">
        <v>111</v>
      </c>
      <c r="D7421" t="s">
        <v>112</v>
      </c>
      <c r="E7421" s="1">
        <v>44346</v>
      </c>
      <c r="F7421">
        <v>4</v>
      </c>
      <c r="G7421" t="s">
        <v>55</v>
      </c>
      <c r="H7421" t="s">
        <v>56</v>
      </c>
      <c r="I7421" s="4">
        <v>2350</v>
      </c>
      <c r="J7421" s="3">
        <v>2350</v>
      </c>
      <c r="K7421" s="4">
        <v>434</v>
      </c>
      <c r="L7421" t="s">
        <v>113</v>
      </c>
      <c r="M7421">
        <v>18</v>
      </c>
      <c r="N7421" t="str">
        <f>IF(MASTER[[#This Row],[IDLOCAL]]=17,"HYDE PARK", "HARLEM IRVING")</f>
        <v>HARLEM IRVING</v>
      </c>
      <c r="O7421" t="str">
        <f>IF(MASTER[[#This Row],[IDLOCAL]]=17,"PREMIUM", "ESTÁNDAR")</f>
        <v>ESTÁNDAR</v>
      </c>
      <c r="P7421" t="s">
        <v>137</v>
      </c>
      <c r="Q7421" t="s">
        <v>142</v>
      </c>
      <c r="R7421" t="s">
        <v>143</v>
      </c>
      <c r="S7421" t="s">
        <v>145</v>
      </c>
      <c r="T7421" s="2">
        <f>MASTER[[#This Row],[CANTIDAD]]*MASTER[[#This Row],[PRECIO DE VENTA]]</f>
        <v>9400</v>
      </c>
      <c r="U7421" s="2">
        <f>MASTER[[#This Row],[CANTIDAD]]*MASTER[[#This Row],[COSTO UNITARIO]]</f>
        <v>1736</v>
      </c>
      <c r="V7421" s="2">
        <f>MASTER[[#This Row],[MONTO VENDIDO]]-MASTER[[#This Row],[COSTO DE VENTA]]</f>
        <v>7664</v>
      </c>
    </row>
    <row r="7422" spans="1:22" x14ac:dyDescent="0.3">
      <c r="A7422">
        <v>107168</v>
      </c>
      <c r="B7422">
        <v>1</v>
      </c>
      <c r="C7422" t="s">
        <v>109</v>
      </c>
      <c r="D7422" t="s">
        <v>110</v>
      </c>
      <c r="E7422" s="1">
        <v>44347</v>
      </c>
      <c r="F7422">
        <v>1</v>
      </c>
      <c r="G7422" t="s">
        <v>39</v>
      </c>
      <c r="H7422" t="s">
        <v>40</v>
      </c>
      <c r="I7422" s="4">
        <v>1635</v>
      </c>
      <c r="J7422" s="3">
        <v>1635</v>
      </c>
      <c r="K7422" s="4">
        <v>387</v>
      </c>
      <c r="L7422" t="s">
        <v>98</v>
      </c>
      <c r="M7422">
        <v>17</v>
      </c>
      <c r="N7422" t="str">
        <f>IF(MASTER[[#This Row],[IDLOCAL]]=17,"HYDE PARK", "HARLEM IRVING")</f>
        <v>HYDE PARK</v>
      </c>
      <c r="O7422" t="str">
        <f>IF(MASTER[[#This Row],[IDLOCAL]]=17,"PREMIUM", "ESTÁNDAR")</f>
        <v>PREMIUM</v>
      </c>
      <c r="P7422" t="s">
        <v>137</v>
      </c>
      <c r="Q7422" t="s">
        <v>142</v>
      </c>
      <c r="R7422" t="s">
        <v>143</v>
      </c>
      <c r="S7422" t="s">
        <v>145</v>
      </c>
      <c r="T7422" s="2">
        <f>MASTER[[#This Row],[CANTIDAD]]*MASTER[[#This Row],[PRECIO DE VENTA]]</f>
        <v>1635</v>
      </c>
      <c r="U7422" s="2">
        <f>MASTER[[#This Row],[CANTIDAD]]*MASTER[[#This Row],[COSTO UNITARIO]]</f>
        <v>387</v>
      </c>
      <c r="V7422" s="2">
        <f>MASTER[[#This Row],[MONTO VENDIDO]]-MASTER[[#This Row],[COSTO DE VENTA]]</f>
        <v>1248</v>
      </c>
    </row>
    <row r="7423" spans="1:22" x14ac:dyDescent="0.3">
      <c r="A7423">
        <v>107181</v>
      </c>
      <c r="B7423">
        <v>1</v>
      </c>
      <c r="C7423" t="s">
        <v>5</v>
      </c>
      <c r="D7423" t="s">
        <v>6</v>
      </c>
      <c r="E7423" s="1">
        <v>44348</v>
      </c>
      <c r="F7423">
        <v>4</v>
      </c>
      <c r="G7423" t="s">
        <v>37</v>
      </c>
      <c r="H7423" t="s">
        <v>38</v>
      </c>
      <c r="I7423" s="4">
        <v>1879</v>
      </c>
      <c r="J7423" s="3">
        <v>1879</v>
      </c>
      <c r="K7423" s="4">
        <v>393</v>
      </c>
      <c r="L7423" t="s">
        <v>9</v>
      </c>
      <c r="M7423">
        <v>18</v>
      </c>
      <c r="N7423" t="str">
        <f>IF(MASTER[[#This Row],[IDLOCAL]]=17,"HYDE PARK", "HARLEM IRVING")</f>
        <v>HARLEM IRVING</v>
      </c>
      <c r="O7423" t="str">
        <f>IF(MASTER[[#This Row],[IDLOCAL]]=17,"PREMIUM", "ESTÁNDAR")</f>
        <v>ESTÁNDAR</v>
      </c>
      <c r="P7423" t="s">
        <v>137</v>
      </c>
      <c r="Q7423" t="s">
        <v>142</v>
      </c>
      <c r="R7423" t="s">
        <v>143</v>
      </c>
      <c r="S7423" t="s">
        <v>145</v>
      </c>
      <c r="T7423" s="2">
        <f>MASTER[[#This Row],[CANTIDAD]]*MASTER[[#This Row],[PRECIO DE VENTA]]</f>
        <v>7516</v>
      </c>
      <c r="U7423" s="2">
        <f>MASTER[[#This Row],[CANTIDAD]]*MASTER[[#This Row],[COSTO UNITARIO]]</f>
        <v>1572</v>
      </c>
      <c r="V7423" s="2">
        <f>MASTER[[#This Row],[MONTO VENDIDO]]-MASTER[[#This Row],[COSTO DE VENTA]]</f>
        <v>5944</v>
      </c>
    </row>
    <row r="7424" spans="1:22" x14ac:dyDescent="0.3">
      <c r="A7424">
        <v>107185</v>
      </c>
      <c r="B7424">
        <v>1</v>
      </c>
      <c r="C7424" t="s">
        <v>111</v>
      </c>
      <c r="D7424" t="s">
        <v>112</v>
      </c>
      <c r="E7424" s="1">
        <v>44348</v>
      </c>
      <c r="F7424">
        <v>1</v>
      </c>
      <c r="G7424" t="s">
        <v>47</v>
      </c>
      <c r="H7424" t="s">
        <v>48</v>
      </c>
      <c r="I7424" s="4">
        <v>2608</v>
      </c>
      <c r="J7424" s="3">
        <v>2608</v>
      </c>
      <c r="K7424" s="4">
        <v>434</v>
      </c>
      <c r="L7424" t="s">
        <v>113</v>
      </c>
      <c r="M7424">
        <v>18</v>
      </c>
      <c r="N7424" t="str">
        <f>IF(MASTER[[#This Row],[IDLOCAL]]=17,"HYDE PARK", "HARLEM IRVING")</f>
        <v>HARLEM IRVING</v>
      </c>
      <c r="O7424" t="str">
        <f>IF(MASTER[[#This Row],[IDLOCAL]]=17,"PREMIUM", "ESTÁNDAR")</f>
        <v>ESTÁNDAR</v>
      </c>
      <c r="P7424" t="s">
        <v>137</v>
      </c>
      <c r="Q7424" t="s">
        <v>142</v>
      </c>
      <c r="R7424" t="s">
        <v>143</v>
      </c>
      <c r="S7424" t="s">
        <v>145</v>
      </c>
      <c r="T7424" s="2">
        <f>MASTER[[#This Row],[CANTIDAD]]*MASTER[[#This Row],[PRECIO DE VENTA]]</f>
        <v>2608</v>
      </c>
      <c r="U7424" s="2">
        <f>MASTER[[#This Row],[CANTIDAD]]*MASTER[[#This Row],[COSTO UNITARIO]]</f>
        <v>434</v>
      </c>
      <c r="V7424" s="2">
        <f>MASTER[[#This Row],[MONTO VENDIDO]]-MASTER[[#This Row],[COSTO DE VENTA]]</f>
        <v>2174</v>
      </c>
    </row>
    <row r="7425" spans="1:22" x14ac:dyDescent="0.3">
      <c r="A7425">
        <v>107193</v>
      </c>
      <c r="B7425">
        <v>1</v>
      </c>
      <c r="C7425" t="s">
        <v>118</v>
      </c>
      <c r="D7425" t="s">
        <v>119</v>
      </c>
      <c r="E7425" s="1">
        <v>44349</v>
      </c>
      <c r="F7425">
        <v>2</v>
      </c>
      <c r="G7425" t="s">
        <v>24</v>
      </c>
      <c r="H7425" t="s">
        <v>25</v>
      </c>
      <c r="I7425" s="4">
        <v>1161</v>
      </c>
      <c r="J7425" s="3">
        <v>1161</v>
      </c>
      <c r="K7425" s="4">
        <v>424</v>
      </c>
      <c r="L7425" t="s">
        <v>120</v>
      </c>
      <c r="M7425">
        <v>19</v>
      </c>
      <c r="N7425" t="s">
        <v>150</v>
      </c>
      <c r="O7425" t="s">
        <v>81</v>
      </c>
      <c r="P7425" t="s">
        <v>136</v>
      </c>
      <c r="Q7425" t="s">
        <v>140</v>
      </c>
      <c r="R7425" t="s">
        <v>141</v>
      </c>
      <c r="S7425" t="s">
        <v>145</v>
      </c>
      <c r="T7425" s="2">
        <f>MASTER[[#This Row],[CANTIDAD]]*MASTER[[#This Row],[PRECIO DE VENTA]]</f>
        <v>2322</v>
      </c>
      <c r="U7425" s="2">
        <f>MASTER[[#This Row],[CANTIDAD]]*MASTER[[#This Row],[COSTO UNITARIO]]</f>
        <v>848</v>
      </c>
      <c r="V7425" s="2">
        <f>MASTER[[#This Row],[MONTO VENDIDO]]-MASTER[[#This Row],[COSTO DE VENTA]]</f>
        <v>1474</v>
      </c>
    </row>
    <row r="7426" spans="1:22" x14ac:dyDescent="0.3">
      <c r="A7426">
        <v>107206</v>
      </c>
      <c r="B7426">
        <v>1</v>
      </c>
      <c r="C7426" t="s">
        <v>94</v>
      </c>
      <c r="D7426" t="s">
        <v>95</v>
      </c>
      <c r="E7426" s="1">
        <v>44350</v>
      </c>
      <c r="F7426">
        <v>1</v>
      </c>
      <c r="G7426" t="s">
        <v>49</v>
      </c>
      <c r="H7426" t="s">
        <v>50</v>
      </c>
      <c r="I7426" s="4">
        <v>1519</v>
      </c>
      <c r="J7426" s="3">
        <v>1519</v>
      </c>
      <c r="K7426" s="4">
        <v>392</v>
      </c>
      <c r="L7426" t="s">
        <v>9</v>
      </c>
      <c r="M7426">
        <v>18</v>
      </c>
      <c r="N7426" t="str">
        <f>IF(MASTER[[#This Row],[IDLOCAL]]=17,"HYDE PARK", "HARLEM IRVING")</f>
        <v>HARLEM IRVING</v>
      </c>
      <c r="O7426" t="str">
        <f>IF(MASTER[[#This Row],[IDLOCAL]]=17,"PREMIUM", "ESTÁNDAR")</f>
        <v>ESTÁNDAR</v>
      </c>
      <c r="P7426" t="s">
        <v>137</v>
      </c>
      <c r="Q7426" t="s">
        <v>142</v>
      </c>
      <c r="R7426" t="s">
        <v>143</v>
      </c>
      <c r="S7426" t="s">
        <v>145</v>
      </c>
      <c r="T7426" s="2">
        <f>MASTER[[#This Row],[CANTIDAD]]*MASTER[[#This Row],[PRECIO DE VENTA]]</f>
        <v>1519</v>
      </c>
      <c r="U7426" s="2">
        <f>MASTER[[#This Row],[CANTIDAD]]*MASTER[[#This Row],[COSTO UNITARIO]]</f>
        <v>392</v>
      </c>
      <c r="V7426" s="2">
        <f>MASTER[[#This Row],[MONTO VENDIDO]]-MASTER[[#This Row],[COSTO DE VENTA]]</f>
        <v>1127</v>
      </c>
    </row>
    <row r="7427" spans="1:22" x14ac:dyDescent="0.3">
      <c r="A7427">
        <v>107216</v>
      </c>
      <c r="B7427">
        <v>3</v>
      </c>
      <c r="C7427" t="s">
        <v>121</v>
      </c>
      <c r="D7427" t="s">
        <v>122</v>
      </c>
      <c r="E7427" s="1">
        <v>44350</v>
      </c>
      <c r="F7427">
        <v>1</v>
      </c>
      <c r="G7427" t="s">
        <v>45</v>
      </c>
      <c r="H7427" t="s">
        <v>46</v>
      </c>
      <c r="I7427" s="4">
        <v>1550</v>
      </c>
      <c r="J7427" s="3">
        <v>1550</v>
      </c>
      <c r="K7427" s="4">
        <v>460</v>
      </c>
      <c r="L7427" t="s">
        <v>120</v>
      </c>
      <c r="M7427">
        <v>18</v>
      </c>
      <c r="N7427" t="str">
        <f>IF(MASTER[[#This Row],[IDLOCAL]]=17,"HYDE PARK", "HARLEM IRVING")</f>
        <v>HARLEM IRVING</v>
      </c>
      <c r="O7427" t="str">
        <f>IF(MASTER[[#This Row],[IDLOCAL]]=17,"PREMIUM", "ESTÁNDAR")</f>
        <v>ESTÁNDAR</v>
      </c>
      <c r="P7427" t="s">
        <v>137</v>
      </c>
      <c r="Q7427" t="s">
        <v>142</v>
      </c>
      <c r="R7427" t="s">
        <v>143</v>
      </c>
      <c r="S7427" t="s">
        <v>145</v>
      </c>
      <c r="T7427" s="2">
        <f>MASTER[[#This Row],[CANTIDAD]]*MASTER[[#This Row],[PRECIO DE VENTA]]</f>
        <v>1550</v>
      </c>
      <c r="U7427" s="2">
        <f>MASTER[[#This Row],[CANTIDAD]]*MASTER[[#This Row],[COSTO UNITARIO]]</f>
        <v>460</v>
      </c>
      <c r="V7427" s="2">
        <f>MASTER[[#This Row],[MONTO VENDIDO]]-MASTER[[#This Row],[COSTO DE VENTA]]</f>
        <v>1090</v>
      </c>
    </row>
    <row r="7428" spans="1:22" x14ac:dyDescent="0.3">
      <c r="A7428">
        <v>107220</v>
      </c>
      <c r="B7428">
        <v>1</v>
      </c>
      <c r="C7428" t="s">
        <v>101</v>
      </c>
      <c r="D7428" t="s">
        <v>102</v>
      </c>
      <c r="E7428" s="1">
        <v>44351</v>
      </c>
      <c r="F7428">
        <v>1</v>
      </c>
      <c r="G7428" t="s">
        <v>47</v>
      </c>
      <c r="H7428" t="s">
        <v>48</v>
      </c>
      <c r="I7428" s="4">
        <v>1757</v>
      </c>
      <c r="J7428" s="3">
        <v>1757</v>
      </c>
      <c r="K7428" s="4">
        <v>442</v>
      </c>
      <c r="L7428" t="s">
        <v>98</v>
      </c>
      <c r="M7428">
        <v>19</v>
      </c>
      <c r="N7428" t="s">
        <v>150</v>
      </c>
      <c r="O7428" t="s">
        <v>81</v>
      </c>
      <c r="P7428" t="s">
        <v>136</v>
      </c>
      <c r="Q7428" t="s">
        <v>140</v>
      </c>
      <c r="R7428" t="s">
        <v>141</v>
      </c>
      <c r="S7428" t="s">
        <v>145</v>
      </c>
      <c r="T7428" s="2">
        <f>MASTER[[#This Row],[CANTIDAD]]*MASTER[[#This Row],[PRECIO DE VENTA]]</f>
        <v>1757</v>
      </c>
      <c r="U7428" s="2">
        <f>MASTER[[#This Row],[CANTIDAD]]*MASTER[[#This Row],[COSTO UNITARIO]]</f>
        <v>442</v>
      </c>
      <c r="V7428" s="2">
        <f>MASTER[[#This Row],[MONTO VENDIDO]]-MASTER[[#This Row],[COSTO DE VENTA]]</f>
        <v>1315</v>
      </c>
    </row>
    <row r="7429" spans="1:22" x14ac:dyDescent="0.3">
      <c r="A7429">
        <v>107222</v>
      </c>
      <c r="B7429">
        <v>1</v>
      </c>
      <c r="C7429" t="s">
        <v>116</v>
      </c>
      <c r="D7429" t="s">
        <v>117</v>
      </c>
      <c r="E7429" s="1">
        <v>44351</v>
      </c>
      <c r="F7429">
        <v>1</v>
      </c>
      <c r="G7429" t="s">
        <v>45</v>
      </c>
      <c r="H7429" t="s">
        <v>46</v>
      </c>
      <c r="I7429" s="4">
        <v>2520</v>
      </c>
      <c r="J7429" s="3">
        <v>2520</v>
      </c>
      <c r="K7429" s="4">
        <v>388</v>
      </c>
      <c r="L7429" t="s">
        <v>113</v>
      </c>
      <c r="M7429">
        <v>19</v>
      </c>
      <c r="N7429" t="s">
        <v>150</v>
      </c>
      <c r="O7429" t="s">
        <v>81</v>
      </c>
      <c r="P7429" t="s">
        <v>136</v>
      </c>
      <c r="Q7429" t="s">
        <v>140</v>
      </c>
      <c r="R7429" t="s">
        <v>141</v>
      </c>
      <c r="S7429" t="s">
        <v>145</v>
      </c>
      <c r="T7429" s="2">
        <f>MASTER[[#This Row],[CANTIDAD]]*MASTER[[#This Row],[PRECIO DE VENTA]]</f>
        <v>2520</v>
      </c>
      <c r="U7429" s="2">
        <f>MASTER[[#This Row],[CANTIDAD]]*MASTER[[#This Row],[COSTO UNITARIO]]</f>
        <v>388</v>
      </c>
      <c r="V7429" s="2">
        <f>MASTER[[#This Row],[MONTO VENDIDO]]-MASTER[[#This Row],[COSTO DE VENTA]]</f>
        <v>2132</v>
      </c>
    </row>
    <row r="7430" spans="1:22" x14ac:dyDescent="0.3">
      <c r="A7430">
        <v>107228</v>
      </c>
      <c r="B7430">
        <v>1</v>
      </c>
      <c r="C7430" t="s">
        <v>92</v>
      </c>
      <c r="D7430" t="s">
        <v>93</v>
      </c>
      <c r="E7430" s="1">
        <v>44352</v>
      </c>
      <c r="F7430">
        <v>1</v>
      </c>
      <c r="G7430" t="s">
        <v>35</v>
      </c>
      <c r="H7430" t="s">
        <v>36</v>
      </c>
      <c r="I7430" s="4">
        <v>2437</v>
      </c>
      <c r="J7430" s="3">
        <v>2437</v>
      </c>
      <c r="K7430" s="4">
        <v>396</v>
      </c>
      <c r="L7430" t="s">
        <v>9</v>
      </c>
      <c r="M7430">
        <v>18</v>
      </c>
      <c r="N7430" t="str">
        <f>IF(MASTER[[#This Row],[IDLOCAL]]=17,"HYDE PARK", "HARLEM IRVING")</f>
        <v>HARLEM IRVING</v>
      </c>
      <c r="O7430" t="str">
        <f>IF(MASTER[[#This Row],[IDLOCAL]]=17,"PREMIUM", "ESTÁNDAR")</f>
        <v>ESTÁNDAR</v>
      </c>
      <c r="P7430" t="s">
        <v>137</v>
      </c>
      <c r="Q7430" t="s">
        <v>142</v>
      </c>
      <c r="R7430" t="s">
        <v>143</v>
      </c>
      <c r="S7430" t="s">
        <v>145</v>
      </c>
      <c r="T7430" s="2">
        <f>MASTER[[#This Row],[CANTIDAD]]*MASTER[[#This Row],[PRECIO DE VENTA]]</f>
        <v>2437</v>
      </c>
      <c r="U7430" s="2">
        <f>MASTER[[#This Row],[CANTIDAD]]*MASTER[[#This Row],[COSTO UNITARIO]]</f>
        <v>396</v>
      </c>
      <c r="V7430" s="2">
        <f>MASTER[[#This Row],[MONTO VENDIDO]]-MASTER[[#This Row],[COSTO DE VENTA]]</f>
        <v>2041</v>
      </c>
    </row>
    <row r="7431" spans="1:22" x14ac:dyDescent="0.3">
      <c r="A7431">
        <v>107229</v>
      </c>
      <c r="B7431">
        <v>1</v>
      </c>
      <c r="C7431" t="s">
        <v>114</v>
      </c>
      <c r="D7431" t="s">
        <v>115</v>
      </c>
      <c r="E7431" s="1">
        <v>44352</v>
      </c>
      <c r="F7431">
        <v>1</v>
      </c>
      <c r="G7431" t="s">
        <v>31</v>
      </c>
      <c r="H7431" t="s">
        <v>32</v>
      </c>
      <c r="I7431" s="4">
        <v>2943</v>
      </c>
      <c r="J7431" s="3">
        <v>2943</v>
      </c>
      <c r="K7431" s="4">
        <v>394</v>
      </c>
      <c r="L7431" t="s">
        <v>113</v>
      </c>
      <c r="M7431">
        <v>18</v>
      </c>
      <c r="N7431" t="str">
        <f>IF(MASTER[[#This Row],[IDLOCAL]]=17,"HYDE PARK", "HARLEM IRVING")</f>
        <v>HARLEM IRVING</v>
      </c>
      <c r="O7431" t="str">
        <f>IF(MASTER[[#This Row],[IDLOCAL]]=17,"PREMIUM", "ESTÁNDAR")</f>
        <v>ESTÁNDAR</v>
      </c>
      <c r="P7431" t="s">
        <v>137</v>
      </c>
      <c r="Q7431" t="s">
        <v>142</v>
      </c>
      <c r="R7431" t="s">
        <v>143</v>
      </c>
      <c r="S7431" t="s">
        <v>145</v>
      </c>
      <c r="T7431" s="2">
        <f>MASTER[[#This Row],[CANTIDAD]]*MASTER[[#This Row],[PRECIO DE VENTA]]</f>
        <v>2943</v>
      </c>
      <c r="U7431" s="2">
        <f>MASTER[[#This Row],[CANTIDAD]]*MASTER[[#This Row],[COSTO UNITARIO]]</f>
        <v>394</v>
      </c>
      <c r="V7431" s="2">
        <f>MASTER[[#This Row],[MONTO VENDIDO]]-MASTER[[#This Row],[COSTO DE VENTA]]</f>
        <v>2549</v>
      </c>
    </row>
    <row r="7432" spans="1:22" x14ac:dyDescent="0.3">
      <c r="A7432">
        <v>107237</v>
      </c>
      <c r="B7432">
        <v>1</v>
      </c>
      <c r="C7432" t="s">
        <v>101</v>
      </c>
      <c r="D7432" t="s">
        <v>102</v>
      </c>
      <c r="E7432" s="1">
        <v>44353</v>
      </c>
      <c r="F7432">
        <v>1</v>
      </c>
      <c r="G7432" t="s">
        <v>65</v>
      </c>
      <c r="H7432" t="s">
        <v>66</v>
      </c>
      <c r="I7432" s="4">
        <v>1967</v>
      </c>
      <c r="J7432" s="3">
        <v>1967</v>
      </c>
      <c r="K7432" s="4">
        <v>442</v>
      </c>
      <c r="L7432" t="s">
        <v>98</v>
      </c>
      <c r="M7432">
        <v>19</v>
      </c>
      <c r="N7432" t="s">
        <v>150</v>
      </c>
      <c r="O7432" t="s">
        <v>81</v>
      </c>
      <c r="P7432" t="s">
        <v>136</v>
      </c>
      <c r="Q7432" t="s">
        <v>140</v>
      </c>
      <c r="R7432" t="s">
        <v>141</v>
      </c>
      <c r="S7432" t="s">
        <v>145</v>
      </c>
      <c r="T7432" s="2">
        <f>MASTER[[#This Row],[CANTIDAD]]*MASTER[[#This Row],[PRECIO DE VENTA]]</f>
        <v>1967</v>
      </c>
      <c r="U7432" s="2">
        <f>MASTER[[#This Row],[CANTIDAD]]*MASTER[[#This Row],[COSTO UNITARIO]]</f>
        <v>442</v>
      </c>
      <c r="V7432" s="2">
        <f>MASTER[[#This Row],[MONTO VENDIDO]]-MASTER[[#This Row],[COSTO DE VENTA]]</f>
        <v>1525</v>
      </c>
    </row>
    <row r="7433" spans="1:22" x14ac:dyDescent="0.3">
      <c r="A7433">
        <v>107245</v>
      </c>
      <c r="B7433">
        <v>1</v>
      </c>
      <c r="C7433" t="s">
        <v>107</v>
      </c>
      <c r="D7433" t="s">
        <v>108</v>
      </c>
      <c r="E7433" s="1">
        <v>44354</v>
      </c>
      <c r="F7433">
        <v>1</v>
      </c>
      <c r="G7433" t="s">
        <v>33</v>
      </c>
      <c r="H7433" t="s">
        <v>34</v>
      </c>
      <c r="I7433" s="4">
        <v>1798</v>
      </c>
      <c r="J7433" s="3">
        <v>1798</v>
      </c>
      <c r="K7433" s="4">
        <v>380</v>
      </c>
      <c r="L7433" t="s">
        <v>98</v>
      </c>
      <c r="M7433">
        <v>19</v>
      </c>
      <c r="N7433" t="s">
        <v>150</v>
      </c>
      <c r="O7433" t="s">
        <v>81</v>
      </c>
      <c r="P7433" t="s">
        <v>136</v>
      </c>
      <c r="Q7433" t="s">
        <v>140</v>
      </c>
      <c r="R7433" t="s">
        <v>141</v>
      </c>
      <c r="S7433" t="s">
        <v>145</v>
      </c>
      <c r="T7433" s="2">
        <f>MASTER[[#This Row],[CANTIDAD]]*MASTER[[#This Row],[PRECIO DE VENTA]]</f>
        <v>1798</v>
      </c>
      <c r="U7433" s="2">
        <f>MASTER[[#This Row],[CANTIDAD]]*MASTER[[#This Row],[COSTO UNITARIO]]</f>
        <v>380</v>
      </c>
      <c r="V7433" s="2">
        <f>MASTER[[#This Row],[MONTO VENDIDO]]-MASTER[[#This Row],[COSTO DE VENTA]]</f>
        <v>1418</v>
      </c>
    </row>
    <row r="7434" spans="1:22" x14ac:dyDescent="0.3">
      <c r="A7434">
        <v>107268</v>
      </c>
      <c r="B7434">
        <v>1</v>
      </c>
      <c r="C7434" t="s">
        <v>90</v>
      </c>
      <c r="D7434" t="s">
        <v>91</v>
      </c>
      <c r="E7434" s="1">
        <v>44355</v>
      </c>
      <c r="F7434">
        <v>1</v>
      </c>
      <c r="G7434" t="s">
        <v>47</v>
      </c>
      <c r="H7434" t="s">
        <v>48</v>
      </c>
      <c r="I7434" s="4">
        <v>2673</v>
      </c>
      <c r="J7434" s="3">
        <v>2673</v>
      </c>
      <c r="K7434" s="4">
        <v>420</v>
      </c>
      <c r="L7434" t="s">
        <v>9</v>
      </c>
      <c r="M7434">
        <v>18</v>
      </c>
      <c r="N7434" t="str">
        <f>IF(MASTER[[#This Row],[IDLOCAL]]=17,"HYDE PARK", "HARLEM IRVING")</f>
        <v>HARLEM IRVING</v>
      </c>
      <c r="O7434" t="str">
        <f>IF(MASTER[[#This Row],[IDLOCAL]]=17,"PREMIUM", "ESTÁNDAR")</f>
        <v>ESTÁNDAR</v>
      </c>
      <c r="P7434" t="s">
        <v>137</v>
      </c>
      <c r="Q7434" t="s">
        <v>142</v>
      </c>
      <c r="R7434" t="s">
        <v>143</v>
      </c>
      <c r="S7434" t="s">
        <v>145</v>
      </c>
      <c r="T7434" s="2">
        <f>MASTER[[#This Row],[CANTIDAD]]*MASTER[[#This Row],[PRECIO DE VENTA]]</f>
        <v>2673</v>
      </c>
      <c r="U7434" s="2">
        <f>MASTER[[#This Row],[CANTIDAD]]*MASTER[[#This Row],[COSTO UNITARIO]]</f>
        <v>420</v>
      </c>
      <c r="V7434" s="2">
        <f>MASTER[[#This Row],[MONTO VENDIDO]]-MASTER[[#This Row],[COSTO DE VENTA]]</f>
        <v>2253</v>
      </c>
    </row>
    <row r="7435" spans="1:22" x14ac:dyDescent="0.3">
      <c r="A7435">
        <v>107270</v>
      </c>
      <c r="B7435">
        <v>1</v>
      </c>
      <c r="C7435" t="s">
        <v>94</v>
      </c>
      <c r="D7435" t="s">
        <v>95</v>
      </c>
      <c r="E7435" s="1">
        <v>44355</v>
      </c>
      <c r="F7435">
        <v>1</v>
      </c>
      <c r="G7435" t="s">
        <v>65</v>
      </c>
      <c r="H7435" t="s">
        <v>66</v>
      </c>
      <c r="I7435" s="4">
        <v>1671</v>
      </c>
      <c r="J7435" s="3">
        <v>1671</v>
      </c>
      <c r="K7435" s="4">
        <v>392</v>
      </c>
      <c r="L7435" t="s">
        <v>9</v>
      </c>
      <c r="M7435">
        <v>19</v>
      </c>
      <c r="N7435" t="s">
        <v>150</v>
      </c>
      <c r="O7435" t="s">
        <v>81</v>
      </c>
      <c r="P7435" t="s">
        <v>136</v>
      </c>
      <c r="Q7435" t="s">
        <v>140</v>
      </c>
      <c r="R7435" t="s">
        <v>141</v>
      </c>
      <c r="S7435" t="s">
        <v>145</v>
      </c>
      <c r="T7435" s="2">
        <f>MASTER[[#This Row],[CANTIDAD]]*MASTER[[#This Row],[PRECIO DE VENTA]]</f>
        <v>1671</v>
      </c>
      <c r="U7435" s="2">
        <f>MASTER[[#This Row],[CANTIDAD]]*MASTER[[#This Row],[COSTO UNITARIO]]</f>
        <v>392</v>
      </c>
      <c r="V7435" s="2">
        <f>MASTER[[#This Row],[MONTO VENDIDO]]-MASTER[[#This Row],[COSTO DE VENTA]]</f>
        <v>1279</v>
      </c>
    </row>
    <row r="7436" spans="1:22" x14ac:dyDescent="0.3">
      <c r="A7436">
        <v>107271</v>
      </c>
      <c r="B7436">
        <v>1</v>
      </c>
      <c r="C7436" t="s">
        <v>99</v>
      </c>
      <c r="D7436" t="s">
        <v>100</v>
      </c>
      <c r="E7436" s="1">
        <v>44358</v>
      </c>
      <c r="F7436">
        <v>1</v>
      </c>
      <c r="G7436" t="s">
        <v>39</v>
      </c>
      <c r="H7436" t="s">
        <v>40</v>
      </c>
      <c r="I7436" s="4">
        <v>2115</v>
      </c>
      <c r="J7436" s="3">
        <v>2115</v>
      </c>
      <c r="K7436" s="4">
        <v>386</v>
      </c>
      <c r="L7436" t="s">
        <v>98</v>
      </c>
      <c r="M7436">
        <v>19</v>
      </c>
      <c r="N7436" t="s">
        <v>150</v>
      </c>
      <c r="O7436" t="s">
        <v>81</v>
      </c>
      <c r="P7436" t="s">
        <v>136</v>
      </c>
      <c r="Q7436" t="s">
        <v>140</v>
      </c>
      <c r="R7436" t="s">
        <v>141</v>
      </c>
      <c r="S7436" t="s">
        <v>145</v>
      </c>
      <c r="T7436" s="2">
        <f>MASTER[[#This Row],[CANTIDAD]]*MASTER[[#This Row],[PRECIO DE VENTA]]</f>
        <v>2115</v>
      </c>
      <c r="U7436" s="2">
        <f>MASTER[[#This Row],[CANTIDAD]]*MASTER[[#This Row],[COSTO UNITARIO]]</f>
        <v>386</v>
      </c>
      <c r="V7436" s="2">
        <f>MASTER[[#This Row],[MONTO VENDIDO]]-MASTER[[#This Row],[COSTO DE VENTA]]</f>
        <v>1729</v>
      </c>
    </row>
    <row r="7437" spans="1:22" x14ac:dyDescent="0.3">
      <c r="A7437">
        <v>107290</v>
      </c>
      <c r="B7437">
        <v>1</v>
      </c>
      <c r="C7437" t="s">
        <v>109</v>
      </c>
      <c r="D7437" t="s">
        <v>110</v>
      </c>
      <c r="E7437" s="1">
        <v>44358</v>
      </c>
      <c r="F7437">
        <v>1</v>
      </c>
      <c r="G7437" t="s">
        <v>65</v>
      </c>
      <c r="H7437" t="s">
        <v>66</v>
      </c>
      <c r="I7437" s="4">
        <v>1542</v>
      </c>
      <c r="J7437" s="3">
        <v>1542</v>
      </c>
      <c r="K7437" s="4">
        <v>387</v>
      </c>
      <c r="L7437" t="s">
        <v>98</v>
      </c>
      <c r="M7437">
        <v>17</v>
      </c>
      <c r="N7437" t="str">
        <f>IF(MASTER[[#This Row],[IDLOCAL]]=17,"HYDE PARK", "HARLEM IRVING")</f>
        <v>HYDE PARK</v>
      </c>
      <c r="O7437" t="str">
        <f>IF(MASTER[[#This Row],[IDLOCAL]]=17,"PREMIUM", "ESTÁNDAR")</f>
        <v>PREMIUM</v>
      </c>
      <c r="P7437" t="s">
        <v>137</v>
      </c>
      <c r="Q7437" t="s">
        <v>142</v>
      </c>
      <c r="R7437" t="s">
        <v>143</v>
      </c>
      <c r="S7437" t="s">
        <v>145</v>
      </c>
      <c r="T7437" s="2">
        <f>MASTER[[#This Row],[CANTIDAD]]*MASTER[[#This Row],[PRECIO DE VENTA]]</f>
        <v>1542</v>
      </c>
      <c r="U7437" s="2">
        <f>MASTER[[#This Row],[CANTIDAD]]*MASTER[[#This Row],[COSTO UNITARIO]]</f>
        <v>387</v>
      </c>
      <c r="V7437" s="2">
        <f>MASTER[[#This Row],[MONTO VENDIDO]]-MASTER[[#This Row],[COSTO DE VENTA]]</f>
        <v>1155</v>
      </c>
    </row>
    <row r="7438" spans="1:22" x14ac:dyDescent="0.3">
      <c r="A7438">
        <v>107295</v>
      </c>
      <c r="B7438">
        <v>1</v>
      </c>
      <c r="C7438" t="s">
        <v>92</v>
      </c>
      <c r="D7438" t="s">
        <v>93</v>
      </c>
      <c r="E7438" s="1">
        <v>44359</v>
      </c>
      <c r="F7438">
        <v>1</v>
      </c>
      <c r="G7438" t="s">
        <v>47</v>
      </c>
      <c r="H7438" t="s">
        <v>48</v>
      </c>
      <c r="I7438" s="4">
        <v>2705</v>
      </c>
      <c r="J7438" s="3">
        <v>2705</v>
      </c>
      <c r="K7438" s="4">
        <v>396</v>
      </c>
      <c r="L7438" t="s">
        <v>9</v>
      </c>
      <c r="M7438">
        <v>17</v>
      </c>
      <c r="N7438" t="str">
        <f>IF(MASTER[[#This Row],[IDLOCAL]]=17,"HYDE PARK", "HARLEM IRVING")</f>
        <v>HYDE PARK</v>
      </c>
      <c r="O7438" t="str">
        <f>IF(MASTER[[#This Row],[IDLOCAL]]=17,"PREMIUM", "ESTÁNDAR")</f>
        <v>PREMIUM</v>
      </c>
      <c r="P7438" t="s">
        <v>137</v>
      </c>
      <c r="Q7438" t="s">
        <v>142</v>
      </c>
      <c r="R7438" t="s">
        <v>143</v>
      </c>
      <c r="S7438" t="s">
        <v>145</v>
      </c>
      <c r="T7438" s="2">
        <f>MASTER[[#This Row],[CANTIDAD]]*MASTER[[#This Row],[PRECIO DE VENTA]]</f>
        <v>2705</v>
      </c>
      <c r="U7438" s="2">
        <f>MASTER[[#This Row],[CANTIDAD]]*MASTER[[#This Row],[COSTO UNITARIO]]</f>
        <v>396</v>
      </c>
      <c r="V7438" s="2">
        <f>MASTER[[#This Row],[MONTO VENDIDO]]-MASTER[[#This Row],[COSTO DE VENTA]]</f>
        <v>2309</v>
      </c>
    </row>
    <row r="7439" spans="1:22" x14ac:dyDescent="0.3">
      <c r="A7439">
        <v>107301</v>
      </c>
      <c r="B7439">
        <v>1</v>
      </c>
      <c r="C7439" t="s">
        <v>118</v>
      </c>
      <c r="D7439" t="s">
        <v>119</v>
      </c>
      <c r="E7439" s="1">
        <v>44359</v>
      </c>
      <c r="F7439">
        <v>1</v>
      </c>
      <c r="G7439" t="s">
        <v>57</v>
      </c>
      <c r="H7439" t="s">
        <v>58</v>
      </c>
      <c r="I7439" s="4">
        <v>1305</v>
      </c>
      <c r="J7439" s="3">
        <v>1305</v>
      </c>
      <c r="K7439" s="4">
        <v>424</v>
      </c>
      <c r="L7439" t="s">
        <v>120</v>
      </c>
      <c r="M7439">
        <v>19</v>
      </c>
      <c r="N7439" t="s">
        <v>150</v>
      </c>
      <c r="O7439" t="s">
        <v>81</v>
      </c>
      <c r="P7439" t="s">
        <v>136</v>
      </c>
      <c r="Q7439" t="s">
        <v>140</v>
      </c>
      <c r="R7439" t="s">
        <v>141</v>
      </c>
      <c r="S7439" t="s">
        <v>145</v>
      </c>
      <c r="T7439" s="2">
        <f>MASTER[[#This Row],[CANTIDAD]]*MASTER[[#This Row],[PRECIO DE VENTA]]</f>
        <v>1305</v>
      </c>
      <c r="U7439" s="2">
        <f>MASTER[[#This Row],[CANTIDAD]]*MASTER[[#This Row],[COSTO UNITARIO]]</f>
        <v>424</v>
      </c>
      <c r="V7439" s="2">
        <f>MASTER[[#This Row],[MONTO VENDIDO]]-MASTER[[#This Row],[COSTO DE VENTA]]</f>
        <v>881</v>
      </c>
    </row>
    <row r="7440" spans="1:22" x14ac:dyDescent="0.3">
      <c r="A7440">
        <v>107325</v>
      </c>
      <c r="B7440">
        <v>1</v>
      </c>
      <c r="C7440" t="s">
        <v>103</v>
      </c>
      <c r="D7440" t="s">
        <v>104</v>
      </c>
      <c r="E7440" s="1">
        <v>44361</v>
      </c>
      <c r="F7440">
        <v>1</v>
      </c>
      <c r="G7440" t="s">
        <v>27</v>
      </c>
      <c r="H7440" t="s">
        <v>28</v>
      </c>
      <c r="I7440" s="4">
        <v>2306</v>
      </c>
      <c r="J7440" s="3">
        <v>2306</v>
      </c>
      <c r="K7440" s="4">
        <v>421</v>
      </c>
      <c r="L7440" t="s">
        <v>98</v>
      </c>
      <c r="M7440">
        <v>19</v>
      </c>
      <c r="N7440" t="s">
        <v>150</v>
      </c>
      <c r="O7440" t="s">
        <v>81</v>
      </c>
      <c r="P7440" t="s">
        <v>136</v>
      </c>
      <c r="Q7440" t="s">
        <v>140</v>
      </c>
      <c r="R7440" t="s">
        <v>141</v>
      </c>
      <c r="S7440" t="s">
        <v>145</v>
      </c>
      <c r="T7440" s="2">
        <f>MASTER[[#This Row],[CANTIDAD]]*MASTER[[#This Row],[PRECIO DE VENTA]]</f>
        <v>2306</v>
      </c>
      <c r="U7440" s="2">
        <f>MASTER[[#This Row],[CANTIDAD]]*MASTER[[#This Row],[COSTO UNITARIO]]</f>
        <v>421</v>
      </c>
      <c r="V7440" s="2">
        <f>MASTER[[#This Row],[MONTO VENDIDO]]-MASTER[[#This Row],[COSTO DE VENTA]]</f>
        <v>1885</v>
      </c>
    </row>
    <row r="7441" spans="1:22" x14ac:dyDescent="0.3">
      <c r="A7441">
        <v>107340</v>
      </c>
      <c r="B7441">
        <v>1</v>
      </c>
      <c r="C7441" t="s">
        <v>116</v>
      </c>
      <c r="D7441" t="s">
        <v>117</v>
      </c>
      <c r="E7441" s="1">
        <v>44361</v>
      </c>
      <c r="F7441">
        <v>1</v>
      </c>
      <c r="G7441" t="s">
        <v>31</v>
      </c>
      <c r="H7441" t="s">
        <v>32</v>
      </c>
      <c r="I7441" s="4">
        <v>2898</v>
      </c>
      <c r="J7441" s="3">
        <v>2898</v>
      </c>
      <c r="K7441" s="4">
        <v>388</v>
      </c>
      <c r="L7441" t="s">
        <v>113</v>
      </c>
      <c r="M7441">
        <v>18</v>
      </c>
      <c r="N7441" t="str">
        <f>IF(MASTER[[#This Row],[IDLOCAL]]=17,"HYDE PARK", "HARLEM IRVING")</f>
        <v>HARLEM IRVING</v>
      </c>
      <c r="O7441" t="str">
        <f>IF(MASTER[[#This Row],[IDLOCAL]]=17,"PREMIUM", "ESTÁNDAR")</f>
        <v>ESTÁNDAR</v>
      </c>
      <c r="P7441" t="s">
        <v>137</v>
      </c>
      <c r="Q7441" t="s">
        <v>142</v>
      </c>
      <c r="R7441" t="s">
        <v>143</v>
      </c>
      <c r="S7441" t="s">
        <v>145</v>
      </c>
      <c r="T7441" s="2">
        <f>MASTER[[#This Row],[CANTIDAD]]*MASTER[[#This Row],[PRECIO DE VENTA]]</f>
        <v>2898</v>
      </c>
      <c r="U7441" s="2">
        <f>MASTER[[#This Row],[CANTIDAD]]*MASTER[[#This Row],[COSTO UNITARIO]]</f>
        <v>388</v>
      </c>
      <c r="V7441" s="2">
        <f>MASTER[[#This Row],[MONTO VENDIDO]]-MASTER[[#This Row],[COSTO DE VENTA]]</f>
        <v>2510</v>
      </c>
    </row>
    <row r="7442" spans="1:22" x14ac:dyDescent="0.3">
      <c r="A7442">
        <v>107362</v>
      </c>
      <c r="B7442">
        <v>1</v>
      </c>
      <c r="C7442" t="s">
        <v>94</v>
      </c>
      <c r="D7442" t="s">
        <v>95</v>
      </c>
      <c r="E7442" s="1">
        <v>44363</v>
      </c>
      <c r="F7442">
        <v>1</v>
      </c>
      <c r="G7442" t="s">
        <v>29</v>
      </c>
      <c r="H7442" t="s">
        <v>30</v>
      </c>
      <c r="I7442" s="4">
        <v>1306</v>
      </c>
      <c r="J7442" s="3">
        <v>1226</v>
      </c>
      <c r="K7442" s="4">
        <v>392</v>
      </c>
      <c r="L7442" t="s">
        <v>9</v>
      </c>
      <c r="M7442">
        <v>19</v>
      </c>
      <c r="N7442" t="s">
        <v>150</v>
      </c>
      <c r="O7442" t="s">
        <v>81</v>
      </c>
      <c r="P7442" t="s">
        <v>136</v>
      </c>
      <c r="Q7442" t="s">
        <v>140</v>
      </c>
      <c r="R7442" t="s">
        <v>141</v>
      </c>
      <c r="S7442" t="s">
        <v>145</v>
      </c>
      <c r="T7442" s="2">
        <f>MASTER[[#This Row],[CANTIDAD]]*MASTER[[#This Row],[PRECIO DE VENTA]]</f>
        <v>1226</v>
      </c>
      <c r="U7442" s="2">
        <f>MASTER[[#This Row],[CANTIDAD]]*MASTER[[#This Row],[COSTO UNITARIO]]</f>
        <v>392</v>
      </c>
      <c r="V7442" s="2">
        <f>MASTER[[#This Row],[MONTO VENDIDO]]-MASTER[[#This Row],[COSTO DE VENTA]]</f>
        <v>834</v>
      </c>
    </row>
    <row r="7443" spans="1:22" x14ac:dyDescent="0.3">
      <c r="A7443">
        <v>107363</v>
      </c>
      <c r="B7443">
        <v>2</v>
      </c>
      <c r="C7443" t="s">
        <v>105</v>
      </c>
      <c r="D7443" t="s">
        <v>106</v>
      </c>
      <c r="E7443" s="1">
        <v>44363</v>
      </c>
      <c r="F7443">
        <v>1</v>
      </c>
      <c r="G7443" t="s">
        <v>43</v>
      </c>
      <c r="H7443" t="s">
        <v>44</v>
      </c>
      <c r="I7443" s="4">
        <v>2704</v>
      </c>
      <c r="J7443" s="3">
        <v>2704</v>
      </c>
      <c r="K7443" s="4">
        <v>459</v>
      </c>
      <c r="L7443" t="s">
        <v>98</v>
      </c>
      <c r="M7443">
        <v>17</v>
      </c>
      <c r="N7443" t="str">
        <f>IF(MASTER[[#This Row],[IDLOCAL]]=17,"HYDE PARK", "HARLEM IRVING")</f>
        <v>HYDE PARK</v>
      </c>
      <c r="O7443" t="str">
        <f>IF(MASTER[[#This Row],[IDLOCAL]]=17,"PREMIUM", "ESTÁNDAR")</f>
        <v>PREMIUM</v>
      </c>
      <c r="P7443" t="s">
        <v>137</v>
      </c>
      <c r="Q7443" t="s">
        <v>142</v>
      </c>
      <c r="R7443" t="s">
        <v>143</v>
      </c>
      <c r="S7443" t="s">
        <v>145</v>
      </c>
      <c r="T7443" s="2">
        <f>MASTER[[#This Row],[CANTIDAD]]*MASTER[[#This Row],[PRECIO DE VENTA]]</f>
        <v>2704</v>
      </c>
      <c r="U7443" s="2">
        <f>MASTER[[#This Row],[CANTIDAD]]*MASTER[[#This Row],[COSTO UNITARIO]]</f>
        <v>459</v>
      </c>
      <c r="V7443" s="2">
        <f>MASTER[[#This Row],[MONTO VENDIDO]]-MASTER[[#This Row],[COSTO DE VENTA]]</f>
        <v>2245</v>
      </c>
    </row>
    <row r="7444" spans="1:22" x14ac:dyDescent="0.3">
      <c r="A7444">
        <v>107367</v>
      </c>
      <c r="B7444">
        <v>1</v>
      </c>
      <c r="C7444" t="s">
        <v>107</v>
      </c>
      <c r="D7444" t="s">
        <v>108</v>
      </c>
      <c r="E7444" s="1">
        <v>44363</v>
      </c>
      <c r="F7444">
        <v>3</v>
      </c>
      <c r="G7444" t="s">
        <v>27</v>
      </c>
      <c r="H7444" t="s">
        <v>28</v>
      </c>
      <c r="I7444" s="4">
        <v>1932</v>
      </c>
      <c r="J7444" s="3">
        <v>1932</v>
      </c>
      <c r="K7444" s="4">
        <v>380</v>
      </c>
      <c r="L7444" t="s">
        <v>98</v>
      </c>
      <c r="M7444">
        <v>17</v>
      </c>
      <c r="N7444" t="str">
        <f>IF(MASTER[[#This Row],[IDLOCAL]]=17,"HYDE PARK", "HARLEM IRVING")</f>
        <v>HYDE PARK</v>
      </c>
      <c r="O7444" t="str">
        <f>IF(MASTER[[#This Row],[IDLOCAL]]=17,"PREMIUM", "ESTÁNDAR")</f>
        <v>PREMIUM</v>
      </c>
      <c r="P7444" t="s">
        <v>137</v>
      </c>
      <c r="Q7444" t="s">
        <v>142</v>
      </c>
      <c r="R7444" t="s">
        <v>143</v>
      </c>
      <c r="S7444" t="s">
        <v>145</v>
      </c>
      <c r="T7444" s="2">
        <f>MASTER[[#This Row],[CANTIDAD]]*MASTER[[#This Row],[PRECIO DE VENTA]]</f>
        <v>5796</v>
      </c>
      <c r="U7444" s="2">
        <f>MASTER[[#This Row],[CANTIDAD]]*MASTER[[#This Row],[COSTO UNITARIO]]</f>
        <v>1140</v>
      </c>
      <c r="V7444" s="2">
        <f>MASTER[[#This Row],[MONTO VENDIDO]]-MASTER[[#This Row],[COSTO DE VENTA]]</f>
        <v>4656</v>
      </c>
    </row>
    <row r="7445" spans="1:22" x14ac:dyDescent="0.3">
      <c r="A7445">
        <v>107384</v>
      </c>
      <c r="B7445">
        <v>1</v>
      </c>
      <c r="C7445" t="s">
        <v>111</v>
      </c>
      <c r="D7445" t="s">
        <v>112</v>
      </c>
      <c r="E7445" s="1">
        <v>44363</v>
      </c>
      <c r="F7445">
        <v>1</v>
      </c>
      <c r="G7445" t="s">
        <v>49</v>
      </c>
      <c r="H7445" t="s">
        <v>50</v>
      </c>
      <c r="I7445" s="4">
        <v>2209</v>
      </c>
      <c r="J7445" s="3">
        <v>2209</v>
      </c>
      <c r="K7445" s="4">
        <v>434</v>
      </c>
      <c r="L7445" t="s">
        <v>113</v>
      </c>
      <c r="M7445">
        <v>19</v>
      </c>
      <c r="N7445" t="s">
        <v>150</v>
      </c>
      <c r="O7445" t="s">
        <v>81</v>
      </c>
      <c r="P7445" t="s">
        <v>136</v>
      </c>
      <c r="Q7445" t="s">
        <v>140</v>
      </c>
      <c r="R7445" t="s">
        <v>141</v>
      </c>
      <c r="S7445" t="s">
        <v>145</v>
      </c>
      <c r="T7445" s="2">
        <f>MASTER[[#This Row],[CANTIDAD]]*MASTER[[#This Row],[PRECIO DE VENTA]]</f>
        <v>2209</v>
      </c>
      <c r="U7445" s="2">
        <f>MASTER[[#This Row],[CANTIDAD]]*MASTER[[#This Row],[COSTO UNITARIO]]</f>
        <v>434</v>
      </c>
      <c r="V7445" s="2">
        <f>MASTER[[#This Row],[MONTO VENDIDO]]-MASTER[[#This Row],[COSTO DE VENTA]]</f>
        <v>1775</v>
      </c>
    </row>
    <row r="7446" spans="1:22" x14ac:dyDescent="0.3">
      <c r="A7446">
        <v>107388</v>
      </c>
      <c r="B7446">
        <v>1</v>
      </c>
      <c r="C7446" t="s">
        <v>114</v>
      </c>
      <c r="D7446" t="s">
        <v>115</v>
      </c>
      <c r="E7446" s="1">
        <v>44365</v>
      </c>
      <c r="F7446">
        <v>1</v>
      </c>
      <c r="G7446" t="s">
        <v>20</v>
      </c>
      <c r="H7446" t="s">
        <v>21</v>
      </c>
      <c r="I7446" s="4">
        <v>2699</v>
      </c>
      <c r="J7446" s="3">
        <v>2699</v>
      </c>
      <c r="K7446" s="4">
        <v>394</v>
      </c>
      <c r="L7446" t="s">
        <v>113</v>
      </c>
      <c r="M7446">
        <v>17</v>
      </c>
      <c r="N7446" t="str">
        <f>IF(MASTER[[#This Row],[IDLOCAL]]=17,"HYDE PARK", "HARLEM IRVING")</f>
        <v>HYDE PARK</v>
      </c>
      <c r="O7446" t="str">
        <f>IF(MASTER[[#This Row],[IDLOCAL]]=17,"PREMIUM", "ESTÁNDAR")</f>
        <v>PREMIUM</v>
      </c>
      <c r="P7446" t="s">
        <v>137</v>
      </c>
      <c r="Q7446" t="s">
        <v>142</v>
      </c>
      <c r="R7446" t="s">
        <v>143</v>
      </c>
      <c r="S7446" t="s">
        <v>145</v>
      </c>
      <c r="T7446" s="2">
        <f>MASTER[[#This Row],[CANTIDAD]]*MASTER[[#This Row],[PRECIO DE VENTA]]</f>
        <v>2699</v>
      </c>
      <c r="U7446" s="2">
        <f>MASTER[[#This Row],[CANTIDAD]]*MASTER[[#This Row],[COSTO UNITARIO]]</f>
        <v>394</v>
      </c>
      <c r="V7446" s="2">
        <f>MASTER[[#This Row],[MONTO VENDIDO]]-MASTER[[#This Row],[COSTO DE VENTA]]</f>
        <v>2305</v>
      </c>
    </row>
    <row r="7447" spans="1:22" x14ac:dyDescent="0.3">
      <c r="A7447">
        <v>107389</v>
      </c>
      <c r="B7447">
        <v>1</v>
      </c>
      <c r="C7447" t="s">
        <v>92</v>
      </c>
      <c r="D7447" t="s">
        <v>93</v>
      </c>
      <c r="E7447" s="1">
        <v>44367</v>
      </c>
      <c r="F7447">
        <v>1</v>
      </c>
      <c r="G7447" t="s">
        <v>41</v>
      </c>
      <c r="H7447" t="s">
        <v>42</v>
      </c>
      <c r="I7447" s="4">
        <v>2705</v>
      </c>
      <c r="J7447" s="3">
        <v>2569</v>
      </c>
      <c r="K7447" s="4">
        <v>396</v>
      </c>
      <c r="L7447" t="s">
        <v>9</v>
      </c>
      <c r="M7447">
        <v>19</v>
      </c>
      <c r="N7447" t="s">
        <v>150</v>
      </c>
      <c r="O7447" t="s">
        <v>81</v>
      </c>
      <c r="P7447" t="s">
        <v>136</v>
      </c>
      <c r="Q7447" t="s">
        <v>140</v>
      </c>
      <c r="R7447" t="s">
        <v>141</v>
      </c>
      <c r="S7447" t="s">
        <v>145</v>
      </c>
      <c r="T7447" s="2">
        <f>MASTER[[#This Row],[CANTIDAD]]*MASTER[[#This Row],[PRECIO DE VENTA]]</f>
        <v>2569</v>
      </c>
      <c r="U7447" s="2">
        <f>MASTER[[#This Row],[CANTIDAD]]*MASTER[[#This Row],[COSTO UNITARIO]]</f>
        <v>396</v>
      </c>
      <c r="V7447" s="2">
        <f>MASTER[[#This Row],[MONTO VENDIDO]]-MASTER[[#This Row],[COSTO DE VENTA]]</f>
        <v>2173</v>
      </c>
    </row>
    <row r="7448" spans="1:22" x14ac:dyDescent="0.3">
      <c r="A7448">
        <v>107398</v>
      </c>
      <c r="B7448">
        <v>1</v>
      </c>
      <c r="C7448" t="s">
        <v>92</v>
      </c>
      <c r="D7448" t="s">
        <v>93</v>
      </c>
      <c r="E7448" s="1">
        <v>44367</v>
      </c>
      <c r="F7448">
        <v>1</v>
      </c>
      <c r="G7448" t="s">
        <v>7</v>
      </c>
      <c r="H7448" t="s">
        <v>8</v>
      </c>
      <c r="I7448" s="4">
        <v>2437</v>
      </c>
      <c r="J7448" s="3">
        <v>2437</v>
      </c>
      <c r="K7448" s="4">
        <v>396</v>
      </c>
      <c r="L7448" t="s">
        <v>9</v>
      </c>
      <c r="M7448">
        <v>18</v>
      </c>
      <c r="N7448" t="str">
        <f>IF(MASTER[[#This Row],[IDLOCAL]]=17,"HYDE PARK", "HARLEM IRVING")</f>
        <v>HARLEM IRVING</v>
      </c>
      <c r="O7448" t="str">
        <f>IF(MASTER[[#This Row],[IDLOCAL]]=17,"PREMIUM", "ESTÁNDAR")</f>
        <v>ESTÁNDAR</v>
      </c>
      <c r="P7448" t="s">
        <v>137</v>
      </c>
      <c r="Q7448" t="s">
        <v>142</v>
      </c>
      <c r="R7448" t="s">
        <v>143</v>
      </c>
      <c r="S7448" t="s">
        <v>145</v>
      </c>
      <c r="T7448" s="2">
        <f>MASTER[[#This Row],[CANTIDAD]]*MASTER[[#This Row],[PRECIO DE VENTA]]</f>
        <v>2437</v>
      </c>
      <c r="U7448" s="2">
        <f>MASTER[[#This Row],[CANTIDAD]]*MASTER[[#This Row],[COSTO UNITARIO]]</f>
        <v>396</v>
      </c>
      <c r="V7448" s="2">
        <f>MASTER[[#This Row],[MONTO VENDIDO]]-MASTER[[#This Row],[COSTO DE VENTA]]</f>
        <v>2041</v>
      </c>
    </row>
    <row r="7449" spans="1:22" x14ac:dyDescent="0.3">
      <c r="A7449">
        <v>107406</v>
      </c>
      <c r="B7449">
        <v>1</v>
      </c>
      <c r="C7449" t="s">
        <v>105</v>
      </c>
      <c r="D7449" t="s">
        <v>106</v>
      </c>
      <c r="E7449" s="1">
        <v>44367</v>
      </c>
      <c r="F7449">
        <v>1</v>
      </c>
      <c r="G7449" t="s">
        <v>20</v>
      </c>
      <c r="H7449" t="s">
        <v>21</v>
      </c>
      <c r="I7449" s="4">
        <v>2947</v>
      </c>
      <c r="J7449" s="3">
        <v>2947</v>
      </c>
      <c r="K7449" s="4">
        <v>459</v>
      </c>
      <c r="L7449" t="s">
        <v>98</v>
      </c>
      <c r="M7449">
        <v>17</v>
      </c>
      <c r="N7449" t="str">
        <f>IF(MASTER[[#This Row],[IDLOCAL]]=17,"HYDE PARK", "HARLEM IRVING")</f>
        <v>HYDE PARK</v>
      </c>
      <c r="O7449" t="str">
        <f>IF(MASTER[[#This Row],[IDLOCAL]]=17,"PREMIUM", "ESTÁNDAR")</f>
        <v>PREMIUM</v>
      </c>
      <c r="P7449" t="s">
        <v>137</v>
      </c>
      <c r="Q7449" t="s">
        <v>142</v>
      </c>
      <c r="R7449" t="s">
        <v>143</v>
      </c>
      <c r="S7449" t="s">
        <v>145</v>
      </c>
      <c r="T7449" s="2">
        <f>MASTER[[#This Row],[CANTIDAD]]*MASTER[[#This Row],[PRECIO DE VENTA]]</f>
        <v>2947</v>
      </c>
      <c r="U7449" s="2">
        <f>MASTER[[#This Row],[CANTIDAD]]*MASTER[[#This Row],[COSTO UNITARIO]]</f>
        <v>459</v>
      </c>
      <c r="V7449" s="2">
        <f>MASTER[[#This Row],[MONTO VENDIDO]]-MASTER[[#This Row],[COSTO DE VENTA]]</f>
        <v>2488</v>
      </c>
    </row>
    <row r="7450" spans="1:22" x14ac:dyDescent="0.3">
      <c r="A7450">
        <v>107408</v>
      </c>
      <c r="B7450">
        <v>1</v>
      </c>
      <c r="C7450" t="s">
        <v>111</v>
      </c>
      <c r="D7450" t="s">
        <v>112</v>
      </c>
      <c r="E7450" s="1">
        <v>44367</v>
      </c>
      <c r="F7450">
        <v>1</v>
      </c>
      <c r="G7450" t="s">
        <v>27</v>
      </c>
      <c r="H7450" t="s">
        <v>28</v>
      </c>
      <c r="I7450" s="4">
        <v>2350</v>
      </c>
      <c r="J7450" s="3">
        <v>2114</v>
      </c>
      <c r="K7450" s="4">
        <v>434</v>
      </c>
      <c r="L7450" t="s">
        <v>113</v>
      </c>
      <c r="M7450">
        <v>17</v>
      </c>
      <c r="N7450" t="str">
        <f>IF(MASTER[[#This Row],[IDLOCAL]]=17,"HYDE PARK", "HARLEM IRVING")</f>
        <v>HYDE PARK</v>
      </c>
      <c r="O7450" t="str">
        <f>IF(MASTER[[#This Row],[IDLOCAL]]=17,"PREMIUM", "ESTÁNDAR")</f>
        <v>PREMIUM</v>
      </c>
      <c r="P7450" t="s">
        <v>137</v>
      </c>
      <c r="Q7450" t="s">
        <v>142</v>
      </c>
      <c r="R7450" t="s">
        <v>143</v>
      </c>
      <c r="S7450" t="s">
        <v>145</v>
      </c>
      <c r="T7450" s="2">
        <f>MASTER[[#This Row],[CANTIDAD]]*MASTER[[#This Row],[PRECIO DE VENTA]]</f>
        <v>2114</v>
      </c>
      <c r="U7450" s="2">
        <f>MASTER[[#This Row],[CANTIDAD]]*MASTER[[#This Row],[COSTO UNITARIO]]</f>
        <v>434</v>
      </c>
      <c r="V7450" s="2">
        <f>MASTER[[#This Row],[MONTO VENDIDO]]-MASTER[[#This Row],[COSTO DE VENTA]]</f>
        <v>1680</v>
      </c>
    </row>
    <row r="7451" spans="1:22" x14ac:dyDescent="0.3">
      <c r="A7451">
        <v>107441</v>
      </c>
      <c r="B7451">
        <v>1</v>
      </c>
      <c r="C7451" t="s">
        <v>107</v>
      </c>
      <c r="D7451" t="s">
        <v>108</v>
      </c>
      <c r="E7451" s="1">
        <v>44368</v>
      </c>
      <c r="F7451">
        <v>1</v>
      </c>
      <c r="G7451" t="s">
        <v>43</v>
      </c>
      <c r="H7451" t="s">
        <v>44</v>
      </c>
      <c r="I7451" s="4">
        <v>2088</v>
      </c>
      <c r="J7451" s="3">
        <v>2088</v>
      </c>
      <c r="K7451" s="4">
        <v>380</v>
      </c>
      <c r="L7451" t="s">
        <v>98</v>
      </c>
      <c r="M7451">
        <v>17</v>
      </c>
      <c r="N7451" t="str">
        <f>IF(MASTER[[#This Row],[IDLOCAL]]=17,"HYDE PARK", "HARLEM IRVING")</f>
        <v>HYDE PARK</v>
      </c>
      <c r="O7451" t="str">
        <f>IF(MASTER[[#This Row],[IDLOCAL]]=17,"PREMIUM", "ESTÁNDAR")</f>
        <v>PREMIUM</v>
      </c>
      <c r="P7451" t="s">
        <v>137</v>
      </c>
      <c r="Q7451" t="s">
        <v>142</v>
      </c>
      <c r="R7451" t="s">
        <v>143</v>
      </c>
      <c r="S7451" t="s">
        <v>145</v>
      </c>
      <c r="T7451" s="2">
        <f>MASTER[[#This Row],[CANTIDAD]]*MASTER[[#This Row],[PRECIO DE VENTA]]</f>
        <v>2088</v>
      </c>
      <c r="U7451" s="2">
        <f>MASTER[[#This Row],[CANTIDAD]]*MASTER[[#This Row],[COSTO UNITARIO]]</f>
        <v>380</v>
      </c>
      <c r="V7451" s="2">
        <f>MASTER[[#This Row],[MONTO VENDIDO]]-MASTER[[#This Row],[COSTO DE VENTA]]</f>
        <v>1708</v>
      </c>
    </row>
    <row r="7452" spans="1:22" x14ac:dyDescent="0.3">
      <c r="A7452">
        <v>107448</v>
      </c>
      <c r="B7452">
        <v>1</v>
      </c>
      <c r="C7452" t="s">
        <v>5</v>
      </c>
      <c r="D7452" t="s">
        <v>6</v>
      </c>
      <c r="E7452" s="1">
        <v>44369</v>
      </c>
      <c r="F7452">
        <v>1</v>
      </c>
      <c r="G7452" t="s">
        <v>33</v>
      </c>
      <c r="H7452" t="s">
        <v>34</v>
      </c>
      <c r="I7452" s="4">
        <v>2185</v>
      </c>
      <c r="J7452" s="3">
        <v>2185</v>
      </c>
      <c r="K7452" s="4">
        <v>393</v>
      </c>
      <c r="L7452" t="s">
        <v>9</v>
      </c>
      <c r="M7452">
        <v>17</v>
      </c>
      <c r="N7452" t="str">
        <f>IF(MASTER[[#This Row],[IDLOCAL]]=17,"HYDE PARK", "HARLEM IRVING")</f>
        <v>HYDE PARK</v>
      </c>
      <c r="O7452" t="str">
        <f>IF(MASTER[[#This Row],[IDLOCAL]]=17,"PREMIUM", "ESTÁNDAR")</f>
        <v>PREMIUM</v>
      </c>
      <c r="P7452" t="s">
        <v>137</v>
      </c>
      <c r="Q7452" t="s">
        <v>142</v>
      </c>
      <c r="R7452" t="s">
        <v>143</v>
      </c>
      <c r="S7452" t="s">
        <v>145</v>
      </c>
      <c r="T7452" s="2">
        <f>MASTER[[#This Row],[CANTIDAD]]*MASTER[[#This Row],[PRECIO DE VENTA]]</f>
        <v>2185</v>
      </c>
      <c r="U7452" s="2">
        <f>MASTER[[#This Row],[CANTIDAD]]*MASTER[[#This Row],[COSTO UNITARIO]]</f>
        <v>393</v>
      </c>
      <c r="V7452" s="2">
        <f>MASTER[[#This Row],[MONTO VENDIDO]]-MASTER[[#This Row],[COSTO DE VENTA]]</f>
        <v>1792</v>
      </c>
    </row>
    <row r="7453" spans="1:22" x14ac:dyDescent="0.3">
      <c r="A7453">
        <v>107458</v>
      </c>
      <c r="B7453">
        <v>1</v>
      </c>
      <c r="C7453" t="s">
        <v>101</v>
      </c>
      <c r="D7453" t="s">
        <v>102</v>
      </c>
      <c r="E7453" s="1">
        <v>44369</v>
      </c>
      <c r="F7453">
        <v>1</v>
      </c>
      <c r="G7453" t="s">
        <v>27</v>
      </c>
      <c r="H7453" t="s">
        <v>28</v>
      </c>
      <c r="I7453" s="4">
        <v>1528</v>
      </c>
      <c r="J7453" s="3">
        <v>1528</v>
      </c>
      <c r="K7453" s="4">
        <v>442</v>
      </c>
      <c r="L7453" t="s">
        <v>98</v>
      </c>
      <c r="M7453">
        <v>17</v>
      </c>
      <c r="N7453" t="str">
        <f>IF(MASTER[[#This Row],[IDLOCAL]]=17,"HYDE PARK", "HARLEM IRVING")</f>
        <v>HYDE PARK</v>
      </c>
      <c r="O7453" t="str">
        <f>IF(MASTER[[#This Row],[IDLOCAL]]=17,"PREMIUM", "ESTÁNDAR")</f>
        <v>PREMIUM</v>
      </c>
      <c r="P7453" t="s">
        <v>137</v>
      </c>
      <c r="Q7453" t="s">
        <v>142</v>
      </c>
      <c r="R7453" t="s">
        <v>143</v>
      </c>
      <c r="S7453" t="s">
        <v>145</v>
      </c>
      <c r="T7453" s="2">
        <f>MASTER[[#This Row],[CANTIDAD]]*MASTER[[#This Row],[PRECIO DE VENTA]]</f>
        <v>1528</v>
      </c>
      <c r="U7453" s="2">
        <f>MASTER[[#This Row],[CANTIDAD]]*MASTER[[#This Row],[COSTO UNITARIO]]</f>
        <v>442</v>
      </c>
      <c r="V7453" s="2">
        <f>MASTER[[#This Row],[MONTO VENDIDO]]-MASTER[[#This Row],[COSTO DE VENTA]]</f>
        <v>1086</v>
      </c>
    </row>
    <row r="7454" spans="1:22" x14ac:dyDescent="0.3">
      <c r="A7454">
        <v>107466</v>
      </c>
      <c r="B7454">
        <v>1</v>
      </c>
      <c r="C7454" t="s">
        <v>5</v>
      </c>
      <c r="D7454" t="s">
        <v>6</v>
      </c>
      <c r="E7454" s="1">
        <v>44370</v>
      </c>
      <c r="F7454">
        <v>1</v>
      </c>
      <c r="G7454" t="s">
        <v>67</v>
      </c>
      <c r="H7454" t="s">
        <v>68</v>
      </c>
      <c r="I7454" s="4">
        <v>1879</v>
      </c>
      <c r="J7454" s="3">
        <v>1879</v>
      </c>
      <c r="K7454" s="4">
        <v>393</v>
      </c>
      <c r="L7454" t="s">
        <v>9</v>
      </c>
      <c r="M7454">
        <v>19</v>
      </c>
      <c r="N7454" t="s">
        <v>150</v>
      </c>
      <c r="O7454" t="s">
        <v>81</v>
      </c>
      <c r="P7454" t="s">
        <v>136</v>
      </c>
      <c r="Q7454" t="s">
        <v>140</v>
      </c>
      <c r="R7454" t="s">
        <v>141</v>
      </c>
      <c r="S7454" t="s">
        <v>145</v>
      </c>
      <c r="T7454" s="2">
        <f>MASTER[[#This Row],[CANTIDAD]]*MASTER[[#This Row],[PRECIO DE VENTA]]</f>
        <v>1879</v>
      </c>
      <c r="U7454" s="2">
        <f>MASTER[[#This Row],[CANTIDAD]]*MASTER[[#This Row],[COSTO UNITARIO]]</f>
        <v>393</v>
      </c>
      <c r="V7454" s="2">
        <f>MASTER[[#This Row],[MONTO VENDIDO]]-MASTER[[#This Row],[COSTO DE VENTA]]</f>
        <v>1486</v>
      </c>
    </row>
    <row r="7455" spans="1:22" x14ac:dyDescent="0.3">
      <c r="A7455">
        <v>107476</v>
      </c>
      <c r="B7455">
        <v>1</v>
      </c>
      <c r="C7455" t="s">
        <v>92</v>
      </c>
      <c r="D7455" t="s">
        <v>93</v>
      </c>
      <c r="E7455" s="1">
        <v>44370</v>
      </c>
      <c r="F7455">
        <v>1</v>
      </c>
      <c r="G7455" t="s">
        <v>67</v>
      </c>
      <c r="H7455" t="s">
        <v>68</v>
      </c>
      <c r="I7455" s="4">
        <v>2144</v>
      </c>
      <c r="J7455" s="3">
        <v>2144</v>
      </c>
      <c r="K7455" s="4">
        <v>396</v>
      </c>
      <c r="L7455" t="s">
        <v>9</v>
      </c>
      <c r="M7455">
        <v>17</v>
      </c>
      <c r="N7455" t="str">
        <f>IF(MASTER[[#This Row],[IDLOCAL]]=17,"HYDE PARK", "HARLEM IRVING")</f>
        <v>HYDE PARK</v>
      </c>
      <c r="O7455" t="str">
        <f>IF(MASTER[[#This Row],[IDLOCAL]]=17,"PREMIUM", "ESTÁNDAR")</f>
        <v>PREMIUM</v>
      </c>
      <c r="P7455" t="s">
        <v>137</v>
      </c>
      <c r="Q7455" t="s">
        <v>142</v>
      </c>
      <c r="R7455" t="s">
        <v>143</v>
      </c>
      <c r="S7455" t="s">
        <v>145</v>
      </c>
      <c r="T7455" s="2">
        <f>MASTER[[#This Row],[CANTIDAD]]*MASTER[[#This Row],[PRECIO DE VENTA]]</f>
        <v>2144</v>
      </c>
      <c r="U7455" s="2">
        <f>MASTER[[#This Row],[CANTIDAD]]*MASTER[[#This Row],[COSTO UNITARIO]]</f>
        <v>396</v>
      </c>
      <c r="V7455" s="2">
        <f>MASTER[[#This Row],[MONTO VENDIDO]]-MASTER[[#This Row],[COSTO DE VENTA]]</f>
        <v>1748</v>
      </c>
    </row>
    <row r="7456" spans="1:22" x14ac:dyDescent="0.3">
      <c r="A7456">
        <v>107488</v>
      </c>
      <c r="B7456">
        <v>1</v>
      </c>
      <c r="C7456" t="s">
        <v>96</v>
      </c>
      <c r="D7456" t="s">
        <v>97</v>
      </c>
      <c r="E7456" s="1">
        <v>44371</v>
      </c>
      <c r="F7456">
        <v>4</v>
      </c>
      <c r="G7456" t="s">
        <v>45</v>
      </c>
      <c r="H7456" t="s">
        <v>46</v>
      </c>
      <c r="I7456" s="4">
        <v>1973</v>
      </c>
      <c r="J7456" s="3">
        <v>1973</v>
      </c>
      <c r="K7456" s="4">
        <v>397</v>
      </c>
      <c r="L7456" t="s">
        <v>98</v>
      </c>
      <c r="M7456">
        <v>19</v>
      </c>
      <c r="N7456" t="s">
        <v>150</v>
      </c>
      <c r="O7456" t="s">
        <v>81</v>
      </c>
      <c r="P7456" t="s">
        <v>136</v>
      </c>
      <c r="Q7456" t="s">
        <v>140</v>
      </c>
      <c r="R7456" t="s">
        <v>141</v>
      </c>
      <c r="S7456" t="s">
        <v>145</v>
      </c>
      <c r="T7456" s="2">
        <f>MASTER[[#This Row],[CANTIDAD]]*MASTER[[#This Row],[PRECIO DE VENTA]]</f>
        <v>7892</v>
      </c>
      <c r="U7456" s="2">
        <f>MASTER[[#This Row],[CANTIDAD]]*MASTER[[#This Row],[COSTO UNITARIO]]</f>
        <v>1588</v>
      </c>
      <c r="V7456" s="2">
        <f>MASTER[[#This Row],[MONTO VENDIDO]]-MASTER[[#This Row],[COSTO DE VENTA]]</f>
        <v>6304</v>
      </c>
    </row>
    <row r="7457" spans="1:22" x14ac:dyDescent="0.3">
      <c r="A7457">
        <v>107505</v>
      </c>
      <c r="B7457">
        <v>1</v>
      </c>
      <c r="C7457" t="s">
        <v>118</v>
      </c>
      <c r="D7457" t="s">
        <v>119</v>
      </c>
      <c r="E7457" s="1">
        <v>44372</v>
      </c>
      <c r="F7457">
        <v>1</v>
      </c>
      <c r="G7457" t="s">
        <v>53</v>
      </c>
      <c r="H7457" t="s">
        <v>54</v>
      </c>
      <c r="I7457" s="4">
        <v>1305</v>
      </c>
      <c r="J7457" s="3">
        <v>1305</v>
      </c>
      <c r="K7457" s="4">
        <v>424</v>
      </c>
      <c r="L7457" t="s">
        <v>120</v>
      </c>
      <c r="M7457">
        <v>18</v>
      </c>
      <c r="N7457" t="str">
        <f>IF(MASTER[[#This Row],[IDLOCAL]]=17,"HYDE PARK", "HARLEM IRVING")</f>
        <v>HARLEM IRVING</v>
      </c>
      <c r="O7457" t="str">
        <f>IF(MASTER[[#This Row],[IDLOCAL]]=17,"PREMIUM", "ESTÁNDAR")</f>
        <v>ESTÁNDAR</v>
      </c>
      <c r="P7457" t="s">
        <v>137</v>
      </c>
      <c r="Q7457" t="s">
        <v>142</v>
      </c>
      <c r="R7457" t="s">
        <v>143</v>
      </c>
      <c r="S7457" t="s">
        <v>145</v>
      </c>
      <c r="T7457" s="2">
        <f>MASTER[[#This Row],[CANTIDAD]]*MASTER[[#This Row],[PRECIO DE VENTA]]</f>
        <v>1305</v>
      </c>
      <c r="U7457" s="2">
        <f>MASTER[[#This Row],[CANTIDAD]]*MASTER[[#This Row],[COSTO UNITARIO]]</f>
        <v>424</v>
      </c>
      <c r="V7457" s="2">
        <f>MASTER[[#This Row],[MONTO VENDIDO]]-MASTER[[#This Row],[COSTO DE VENTA]]</f>
        <v>881</v>
      </c>
    </row>
    <row r="7458" spans="1:22" x14ac:dyDescent="0.3">
      <c r="A7458">
        <v>107519</v>
      </c>
      <c r="B7458">
        <v>1</v>
      </c>
      <c r="C7458" t="s">
        <v>103</v>
      </c>
      <c r="D7458" t="s">
        <v>104</v>
      </c>
      <c r="E7458" s="1">
        <v>44373</v>
      </c>
      <c r="F7458">
        <v>1</v>
      </c>
      <c r="G7458" t="s">
        <v>73</v>
      </c>
      <c r="H7458" t="s">
        <v>74</v>
      </c>
      <c r="I7458" s="4">
        <v>2653</v>
      </c>
      <c r="J7458" s="3">
        <v>2653</v>
      </c>
      <c r="K7458" s="4">
        <v>421</v>
      </c>
      <c r="L7458" t="s">
        <v>98</v>
      </c>
      <c r="M7458">
        <v>19</v>
      </c>
      <c r="N7458" t="s">
        <v>150</v>
      </c>
      <c r="O7458" t="s">
        <v>81</v>
      </c>
      <c r="P7458" t="s">
        <v>136</v>
      </c>
      <c r="Q7458" t="s">
        <v>140</v>
      </c>
      <c r="R7458" t="s">
        <v>141</v>
      </c>
      <c r="S7458" t="s">
        <v>145</v>
      </c>
      <c r="T7458" s="2">
        <f>MASTER[[#This Row],[CANTIDAD]]*MASTER[[#This Row],[PRECIO DE VENTA]]</f>
        <v>2653</v>
      </c>
      <c r="U7458" s="2">
        <f>MASTER[[#This Row],[CANTIDAD]]*MASTER[[#This Row],[COSTO UNITARIO]]</f>
        <v>421</v>
      </c>
      <c r="V7458" s="2">
        <f>MASTER[[#This Row],[MONTO VENDIDO]]-MASTER[[#This Row],[COSTO DE VENTA]]</f>
        <v>2232</v>
      </c>
    </row>
    <row r="7459" spans="1:22" x14ac:dyDescent="0.3">
      <c r="A7459">
        <v>107529</v>
      </c>
      <c r="B7459">
        <v>1</v>
      </c>
      <c r="C7459" t="s">
        <v>94</v>
      </c>
      <c r="D7459" t="s">
        <v>95</v>
      </c>
      <c r="E7459" s="1">
        <v>44374</v>
      </c>
      <c r="F7459">
        <v>1</v>
      </c>
      <c r="G7459" t="s">
        <v>31</v>
      </c>
      <c r="H7459" t="s">
        <v>32</v>
      </c>
      <c r="I7459" s="4">
        <v>1519</v>
      </c>
      <c r="J7459" s="3">
        <v>1519</v>
      </c>
      <c r="K7459" s="4">
        <v>392</v>
      </c>
      <c r="L7459" t="s">
        <v>9</v>
      </c>
      <c r="M7459">
        <v>19</v>
      </c>
      <c r="N7459" t="s">
        <v>150</v>
      </c>
      <c r="O7459" t="s">
        <v>81</v>
      </c>
      <c r="P7459" t="s">
        <v>136</v>
      </c>
      <c r="Q7459" t="s">
        <v>140</v>
      </c>
      <c r="R7459" t="s">
        <v>141</v>
      </c>
      <c r="S7459" t="s">
        <v>145</v>
      </c>
      <c r="T7459" s="2">
        <f>MASTER[[#This Row],[CANTIDAD]]*MASTER[[#This Row],[PRECIO DE VENTA]]</f>
        <v>1519</v>
      </c>
      <c r="U7459" s="2">
        <f>MASTER[[#This Row],[CANTIDAD]]*MASTER[[#This Row],[COSTO UNITARIO]]</f>
        <v>392</v>
      </c>
      <c r="V7459" s="2">
        <f>MASTER[[#This Row],[MONTO VENDIDO]]-MASTER[[#This Row],[COSTO DE VENTA]]</f>
        <v>1127</v>
      </c>
    </row>
    <row r="7460" spans="1:22" x14ac:dyDescent="0.3">
      <c r="A7460">
        <v>107530</v>
      </c>
      <c r="B7460">
        <v>1</v>
      </c>
      <c r="C7460" t="s">
        <v>116</v>
      </c>
      <c r="D7460" t="s">
        <v>117</v>
      </c>
      <c r="E7460" s="1">
        <v>44374</v>
      </c>
      <c r="F7460">
        <v>1</v>
      </c>
      <c r="G7460" t="s">
        <v>29</v>
      </c>
      <c r="H7460" t="s">
        <v>30</v>
      </c>
      <c r="I7460" s="4">
        <v>2217</v>
      </c>
      <c r="J7460" s="3">
        <v>2217</v>
      </c>
      <c r="K7460" s="4">
        <v>388</v>
      </c>
      <c r="L7460" t="s">
        <v>113</v>
      </c>
      <c r="M7460">
        <v>18</v>
      </c>
      <c r="N7460" t="str">
        <f>IF(MASTER[[#This Row],[IDLOCAL]]=17,"HYDE PARK", "HARLEM IRVING")</f>
        <v>HARLEM IRVING</v>
      </c>
      <c r="O7460" t="str">
        <f>IF(MASTER[[#This Row],[IDLOCAL]]=17,"PREMIUM", "ESTÁNDAR")</f>
        <v>ESTÁNDAR</v>
      </c>
      <c r="P7460" t="s">
        <v>137</v>
      </c>
      <c r="Q7460" t="s">
        <v>142</v>
      </c>
      <c r="R7460" t="s">
        <v>143</v>
      </c>
      <c r="S7460" t="s">
        <v>145</v>
      </c>
      <c r="T7460" s="2">
        <f>MASTER[[#This Row],[CANTIDAD]]*MASTER[[#This Row],[PRECIO DE VENTA]]</f>
        <v>2217</v>
      </c>
      <c r="U7460" s="2">
        <f>MASTER[[#This Row],[CANTIDAD]]*MASTER[[#This Row],[COSTO UNITARIO]]</f>
        <v>388</v>
      </c>
      <c r="V7460" s="2">
        <f>MASTER[[#This Row],[MONTO VENDIDO]]-MASTER[[#This Row],[COSTO DE VENTA]]</f>
        <v>1829</v>
      </c>
    </row>
    <row r="7461" spans="1:22" x14ac:dyDescent="0.3">
      <c r="A7461">
        <v>107537</v>
      </c>
      <c r="B7461">
        <v>2</v>
      </c>
      <c r="C7461" t="s">
        <v>121</v>
      </c>
      <c r="D7461" t="s">
        <v>122</v>
      </c>
      <c r="E7461" s="1">
        <v>44374</v>
      </c>
      <c r="F7461">
        <v>2</v>
      </c>
      <c r="G7461" t="s">
        <v>53</v>
      </c>
      <c r="H7461" t="s">
        <v>54</v>
      </c>
      <c r="I7461" s="4">
        <v>1550</v>
      </c>
      <c r="J7461" s="3">
        <v>1550</v>
      </c>
      <c r="K7461" s="4">
        <v>460</v>
      </c>
      <c r="L7461" t="s">
        <v>120</v>
      </c>
      <c r="M7461">
        <v>19</v>
      </c>
      <c r="N7461" t="s">
        <v>150</v>
      </c>
      <c r="O7461" t="s">
        <v>81</v>
      </c>
      <c r="P7461" t="s">
        <v>136</v>
      </c>
      <c r="Q7461" t="s">
        <v>140</v>
      </c>
      <c r="R7461" t="s">
        <v>141</v>
      </c>
      <c r="S7461" t="s">
        <v>145</v>
      </c>
      <c r="T7461" s="2">
        <f>MASTER[[#This Row],[CANTIDAD]]*MASTER[[#This Row],[PRECIO DE VENTA]]</f>
        <v>3100</v>
      </c>
      <c r="U7461" s="2">
        <f>MASTER[[#This Row],[CANTIDAD]]*MASTER[[#This Row],[COSTO UNITARIO]]</f>
        <v>920</v>
      </c>
      <c r="V7461" s="2">
        <f>MASTER[[#This Row],[MONTO VENDIDO]]-MASTER[[#This Row],[COSTO DE VENTA]]</f>
        <v>2180</v>
      </c>
    </row>
    <row r="7462" spans="1:22" x14ac:dyDescent="0.3">
      <c r="A7462">
        <v>107555</v>
      </c>
      <c r="B7462">
        <v>1</v>
      </c>
      <c r="C7462" t="s">
        <v>96</v>
      </c>
      <c r="D7462" t="s">
        <v>97</v>
      </c>
      <c r="E7462" s="1">
        <v>44375</v>
      </c>
      <c r="F7462">
        <v>1</v>
      </c>
      <c r="G7462" t="s">
        <v>59</v>
      </c>
      <c r="H7462" t="s">
        <v>60</v>
      </c>
      <c r="I7462" s="4">
        <v>1844</v>
      </c>
      <c r="J7462" s="3">
        <v>1844</v>
      </c>
      <c r="K7462" s="4">
        <v>397</v>
      </c>
      <c r="L7462" t="s">
        <v>98</v>
      </c>
      <c r="M7462">
        <v>19</v>
      </c>
      <c r="N7462" t="s">
        <v>150</v>
      </c>
      <c r="O7462" t="s">
        <v>81</v>
      </c>
      <c r="P7462" t="s">
        <v>136</v>
      </c>
      <c r="Q7462" t="s">
        <v>140</v>
      </c>
      <c r="R7462" t="s">
        <v>141</v>
      </c>
      <c r="S7462" t="s">
        <v>145</v>
      </c>
      <c r="T7462" s="2">
        <f>MASTER[[#This Row],[CANTIDAD]]*MASTER[[#This Row],[PRECIO DE VENTA]]</f>
        <v>1844</v>
      </c>
      <c r="U7462" s="2">
        <f>MASTER[[#This Row],[CANTIDAD]]*MASTER[[#This Row],[COSTO UNITARIO]]</f>
        <v>397</v>
      </c>
      <c r="V7462" s="2">
        <f>MASTER[[#This Row],[MONTO VENDIDO]]-MASTER[[#This Row],[COSTO DE VENTA]]</f>
        <v>1447</v>
      </c>
    </row>
    <row r="7463" spans="1:22" x14ac:dyDescent="0.3">
      <c r="A7463">
        <v>107558</v>
      </c>
      <c r="B7463">
        <v>1</v>
      </c>
      <c r="C7463" t="s">
        <v>111</v>
      </c>
      <c r="D7463" t="s">
        <v>112</v>
      </c>
      <c r="E7463" s="1">
        <v>44375</v>
      </c>
      <c r="F7463">
        <v>4</v>
      </c>
      <c r="G7463" t="s">
        <v>39</v>
      </c>
      <c r="H7463" t="s">
        <v>40</v>
      </c>
      <c r="I7463" s="4">
        <v>2608</v>
      </c>
      <c r="J7463" s="3">
        <v>2608</v>
      </c>
      <c r="K7463" s="4">
        <v>434</v>
      </c>
      <c r="L7463" t="s">
        <v>113</v>
      </c>
      <c r="M7463">
        <v>18</v>
      </c>
      <c r="N7463" t="str">
        <f>IF(MASTER[[#This Row],[IDLOCAL]]=17,"HYDE PARK", "HARLEM IRVING")</f>
        <v>HARLEM IRVING</v>
      </c>
      <c r="O7463" t="str">
        <f>IF(MASTER[[#This Row],[IDLOCAL]]=17,"PREMIUM", "ESTÁNDAR")</f>
        <v>ESTÁNDAR</v>
      </c>
      <c r="P7463" t="s">
        <v>137</v>
      </c>
      <c r="Q7463" t="s">
        <v>142</v>
      </c>
      <c r="R7463" t="s">
        <v>143</v>
      </c>
      <c r="S7463" t="s">
        <v>145</v>
      </c>
      <c r="T7463" s="2">
        <f>MASTER[[#This Row],[CANTIDAD]]*MASTER[[#This Row],[PRECIO DE VENTA]]</f>
        <v>10432</v>
      </c>
      <c r="U7463" s="2">
        <f>MASTER[[#This Row],[CANTIDAD]]*MASTER[[#This Row],[COSTO UNITARIO]]</f>
        <v>1736</v>
      </c>
      <c r="V7463" s="2">
        <f>MASTER[[#This Row],[MONTO VENDIDO]]-MASTER[[#This Row],[COSTO DE VENTA]]</f>
        <v>8696</v>
      </c>
    </row>
    <row r="7464" spans="1:22" x14ac:dyDescent="0.3">
      <c r="A7464">
        <v>107561</v>
      </c>
      <c r="B7464">
        <v>1</v>
      </c>
      <c r="C7464" t="s">
        <v>118</v>
      </c>
      <c r="D7464" t="s">
        <v>119</v>
      </c>
      <c r="E7464" s="1">
        <v>44375</v>
      </c>
      <c r="F7464">
        <v>3</v>
      </c>
      <c r="G7464" t="s">
        <v>51</v>
      </c>
      <c r="H7464" t="s">
        <v>52</v>
      </c>
      <c r="I7464" s="4">
        <v>1487</v>
      </c>
      <c r="J7464" s="3">
        <v>1487</v>
      </c>
      <c r="K7464" s="4">
        <v>424</v>
      </c>
      <c r="L7464" t="s">
        <v>120</v>
      </c>
      <c r="M7464">
        <v>18</v>
      </c>
      <c r="N7464" t="str">
        <f>IF(MASTER[[#This Row],[IDLOCAL]]=17,"HYDE PARK", "HARLEM IRVING")</f>
        <v>HARLEM IRVING</v>
      </c>
      <c r="O7464" t="str">
        <f>IF(MASTER[[#This Row],[IDLOCAL]]=17,"PREMIUM", "ESTÁNDAR")</f>
        <v>ESTÁNDAR</v>
      </c>
      <c r="P7464" t="s">
        <v>137</v>
      </c>
      <c r="Q7464" t="s">
        <v>142</v>
      </c>
      <c r="R7464" t="s">
        <v>143</v>
      </c>
      <c r="S7464" t="s">
        <v>145</v>
      </c>
      <c r="T7464" s="2">
        <f>MASTER[[#This Row],[CANTIDAD]]*MASTER[[#This Row],[PRECIO DE VENTA]]</f>
        <v>4461</v>
      </c>
      <c r="U7464" s="2">
        <f>MASTER[[#This Row],[CANTIDAD]]*MASTER[[#This Row],[COSTO UNITARIO]]</f>
        <v>1272</v>
      </c>
      <c r="V7464" s="2">
        <f>MASTER[[#This Row],[MONTO VENDIDO]]-MASTER[[#This Row],[COSTO DE VENTA]]</f>
        <v>3189</v>
      </c>
    </row>
    <row r="7465" spans="1:22" x14ac:dyDescent="0.3">
      <c r="A7465">
        <v>107562</v>
      </c>
      <c r="B7465">
        <v>1</v>
      </c>
      <c r="C7465" t="s">
        <v>109</v>
      </c>
      <c r="D7465" t="s">
        <v>110</v>
      </c>
      <c r="E7465" s="1">
        <v>44377</v>
      </c>
      <c r="F7465">
        <v>1</v>
      </c>
      <c r="G7465" t="s">
        <v>67</v>
      </c>
      <c r="H7465" t="s">
        <v>68</v>
      </c>
      <c r="I7465" s="4">
        <v>1373</v>
      </c>
      <c r="J7465" s="3">
        <v>1373</v>
      </c>
      <c r="K7465" s="4">
        <v>387</v>
      </c>
      <c r="L7465" t="s">
        <v>98</v>
      </c>
      <c r="M7465">
        <v>19</v>
      </c>
      <c r="N7465" t="s">
        <v>150</v>
      </c>
      <c r="O7465" t="s">
        <v>81</v>
      </c>
      <c r="P7465" t="s">
        <v>136</v>
      </c>
      <c r="Q7465" t="s">
        <v>140</v>
      </c>
      <c r="R7465" t="s">
        <v>141</v>
      </c>
      <c r="S7465" t="s">
        <v>145</v>
      </c>
      <c r="T7465" s="2">
        <f>MASTER[[#This Row],[CANTIDAD]]*MASTER[[#This Row],[PRECIO DE VENTA]]</f>
        <v>1373</v>
      </c>
      <c r="U7465" s="2">
        <f>MASTER[[#This Row],[CANTIDAD]]*MASTER[[#This Row],[COSTO UNITARIO]]</f>
        <v>387</v>
      </c>
      <c r="V7465" s="2">
        <f>MASTER[[#This Row],[MONTO VENDIDO]]-MASTER[[#This Row],[COSTO DE VENTA]]</f>
        <v>986</v>
      </c>
    </row>
    <row r="7466" spans="1:22" x14ac:dyDescent="0.3">
      <c r="A7466">
        <v>107577</v>
      </c>
      <c r="B7466">
        <v>1</v>
      </c>
      <c r="C7466" t="s">
        <v>90</v>
      </c>
      <c r="D7466" t="s">
        <v>91</v>
      </c>
      <c r="E7466" s="1">
        <v>44379</v>
      </c>
      <c r="F7466">
        <v>1</v>
      </c>
      <c r="G7466" t="s">
        <v>45</v>
      </c>
      <c r="H7466" t="s">
        <v>46</v>
      </c>
      <c r="I7466" s="4">
        <v>2673</v>
      </c>
      <c r="J7466" s="3">
        <v>2538</v>
      </c>
      <c r="K7466" s="4">
        <v>420</v>
      </c>
      <c r="L7466" t="s">
        <v>9</v>
      </c>
      <c r="M7466">
        <v>19</v>
      </c>
      <c r="N7466" t="s">
        <v>150</v>
      </c>
      <c r="O7466" t="s">
        <v>81</v>
      </c>
      <c r="P7466" t="s">
        <v>136</v>
      </c>
      <c r="Q7466" t="s">
        <v>140</v>
      </c>
      <c r="R7466" t="s">
        <v>141</v>
      </c>
      <c r="S7466" t="s">
        <v>145</v>
      </c>
      <c r="T7466" s="2">
        <f>MASTER[[#This Row],[CANTIDAD]]*MASTER[[#This Row],[PRECIO DE VENTA]]</f>
        <v>2538</v>
      </c>
      <c r="U7466" s="2">
        <f>MASTER[[#This Row],[CANTIDAD]]*MASTER[[#This Row],[COSTO UNITARIO]]</f>
        <v>420</v>
      </c>
      <c r="V7466" s="2">
        <f>MASTER[[#This Row],[MONTO VENDIDO]]-MASTER[[#This Row],[COSTO DE VENTA]]</f>
        <v>2118</v>
      </c>
    </row>
    <row r="7467" spans="1:22" x14ac:dyDescent="0.3">
      <c r="A7467">
        <v>107580</v>
      </c>
      <c r="B7467">
        <v>1</v>
      </c>
      <c r="C7467" t="s">
        <v>101</v>
      </c>
      <c r="D7467" t="s">
        <v>102</v>
      </c>
      <c r="E7467" s="1">
        <v>44379</v>
      </c>
      <c r="F7467">
        <v>1</v>
      </c>
      <c r="G7467" t="s">
        <v>33</v>
      </c>
      <c r="H7467" t="s">
        <v>34</v>
      </c>
      <c r="I7467" s="4">
        <v>1757</v>
      </c>
      <c r="J7467" s="3">
        <v>1757</v>
      </c>
      <c r="K7467" s="4">
        <v>442</v>
      </c>
      <c r="L7467" t="s">
        <v>98</v>
      </c>
      <c r="M7467">
        <v>19</v>
      </c>
      <c r="N7467" t="s">
        <v>150</v>
      </c>
      <c r="O7467" t="s">
        <v>81</v>
      </c>
      <c r="P7467" t="s">
        <v>136</v>
      </c>
      <c r="Q7467" t="s">
        <v>140</v>
      </c>
      <c r="R7467" t="s">
        <v>141</v>
      </c>
      <c r="S7467" t="s">
        <v>145</v>
      </c>
      <c r="T7467" s="2">
        <f>MASTER[[#This Row],[CANTIDAD]]*MASTER[[#This Row],[PRECIO DE VENTA]]</f>
        <v>1757</v>
      </c>
      <c r="U7467" s="2">
        <f>MASTER[[#This Row],[CANTIDAD]]*MASTER[[#This Row],[COSTO UNITARIO]]</f>
        <v>442</v>
      </c>
      <c r="V7467" s="2">
        <f>MASTER[[#This Row],[MONTO VENDIDO]]-MASTER[[#This Row],[COSTO DE VENTA]]</f>
        <v>1315</v>
      </c>
    </row>
    <row r="7468" spans="1:22" x14ac:dyDescent="0.3">
      <c r="A7468">
        <v>107583</v>
      </c>
      <c r="B7468">
        <v>1</v>
      </c>
      <c r="C7468" t="s">
        <v>114</v>
      </c>
      <c r="D7468" t="s">
        <v>115</v>
      </c>
      <c r="E7468" s="1">
        <v>44379</v>
      </c>
      <c r="F7468">
        <v>1</v>
      </c>
      <c r="G7468" t="s">
        <v>39</v>
      </c>
      <c r="H7468" t="s">
        <v>40</v>
      </c>
      <c r="I7468" s="4">
        <v>2943</v>
      </c>
      <c r="J7468" s="3">
        <v>2943</v>
      </c>
      <c r="K7468" s="4">
        <v>394</v>
      </c>
      <c r="L7468" t="s">
        <v>113</v>
      </c>
      <c r="M7468">
        <v>19</v>
      </c>
      <c r="N7468" t="s">
        <v>150</v>
      </c>
      <c r="O7468" t="s">
        <v>81</v>
      </c>
      <c r="P7468" t="s">
        <v>136</v>
      </c>
      <c r="Q7468" t="s">
        <v>140</v>
      </c>
      <c r="R7468" t="s">
        <v>141</v>
      </c>
      <c r="S7468" t="s">
        <v>145</v>
      </c>
      <c r="T7468" s="2">
        <f>MASTER[[#This Row],[CANTIDAD]]*MASTER[[#This Row],[PRECIO DE VENTA]]</f>
        <v>2943</v>
      </c>
      <c r="U7468" s="2">
        <f>MASTER[[#This Row],[CANTIDAD]]*MASTER[[#This Row],[COSTO UNITARIO]]</f>
        <v>394</v>
      </c>
      <c r="V7468" s="2">
        <f>MASTER[[#This Row],[MONTO VENDIDO]]-MASTER[[#This Row],[COSTO DE VENTA]]</f>
        <v>2549</v>
      </c>
    </row>
    <row r="7469" spans="1:22" x14ac:dyDescent="0.3">
      <c r="A7469">
        <v>107591</v>
      </c>
      <c r="B7469">
        <v>1</v>
      </c>
      <c r="C7469" t="s">
        <v>103</v>
      </c>
      <c r="D7469" t="s">
        <v>104</v>
      </c>
      <c r="E7469" s="1">
        <v>44380</v>
      </c>
      <c r="F7469">
        <v>1</v>
      </c>
      <c r="G7469" t="s">
        <v>67</v>
      </c>
      <c r="H7469" t="s">
        <v>68</v>
      </c>
      <c r="I7469" s="4">
        <v>2306</v>
      </c>
      <c r="J7469" s="3">
        <v>2306</v>
      </c>
      <c r="K7469" s="4">
        <v>421</v>
      </c>
      <c r="L7469" t="s">
        <v>98</v>
      </c>
      <c r="M7469">
        <v>17</v>
      </c>
      <c r="N7469" t="str">
        <f>IF(MASTER[[#This Row],[IDLOCAL]]=17,"HYDE PARK", "HARLEM IRVING")</f>
        <v>HYDE PARK</v>
      </c>
      <c r="O7469" t="str">
        <f>IF(MASTER[[#This Row],[IDLOCAL]]=17,"PREMIUM", "ESTÁNDAR")</f>
        <v>PREMIUM</v>
      </c>
      <c r="P7469" t="s">
        <v>137</v>
      </c>
      <c r="Q7469" t="s">
        <v>142</v>
      </c>
      <c r="R7469" t="s">
        <v>143</v>
      </c>
      <c r="S7469" t="s">
        <v>145</v>
      </c>
      <c r="T7469" s="2">
        <f>MASTER[[#This Row],[CANTIDAD]]*MASTER[[#This Row],[PRECIO DE VENTA]]</f>
        <v>2306</v>
      </c>
      <c r="U7469" s="2">
        <f>MASTER[[#This Row],[CANTIDAD]]*MASTER[[#This Row],[COSTO UNITARIO]]</f>
        <v>421</v>
      </c>
      <c r="V7469" s="2">
        <f>MASTER[[#This Row],[MONTO VENDIDO]]-MASTER[[#This Row],[COSTO DE VENTA]]</f>
        <v>1885</v>
      </c>
    </row>
    <row r="7470" spans="1:22" x14ac:dyDescent="0.3">
      <c r="A7470">
        <v>107593</v>
      </c>
      <c r="B7470">
        <v>1</v>
      </c>
      <c r="C7470" t="s">
        <v>107</v>
      </c>
      <c r="D7470" t="s">
        <v>108</v>
      </c>
      <c r="E7470" s="1">
        <v>44380</v>
      </c>
      <c r="F7470">
        <v>1</v>
      </c>
      <c r="G7470" t="s">
        <v>22</v>
      </c>
      <c r="H7470" t="s">
        <v>23</v>
      </c>
      <c r="I7470" s="4">
        <v>1932</v>
      </c>
      <c r="J7470" s="3">
        <v>1932</v>
      </c>
      <c r="K7470" s="4">
        <v>380</v>
      </c>
      <c r="L7470" t="s">
        <v>98</v>
      </c>
      <c r="M7470">
        <v>19</v>
      </c>
      <c r="N7470" t="s">
        <v>150</v>
      </c>
      <c r="O7470" t="s">
        <v>81</v>
      </c>
      <c r="P7470" t="s">
        <v>136</v>
      </c>
      <c r="Q7470" t="s">
        <v>140</v>
      </c>
      <c r="R7470" t="s">
        <v>141</v>
      </c>
      <c r="S7470" t="s">
        <v>145</v>
      </c>
      <c r="T7470" s="2">
        <f>MASTER[[#This Row],[CANTIDAD]]*MASTER[[#This Row],[PRECIO DE VENTA]]</f>
        <v>1932</v>
      </c>
      <c r="U7470" s="2">
        <f>MASTER[[#This Row],[CANTIDAD]]*MASTER[[#This Row],[COSTO UNITARIO]]</f>
        <v>380</v>
      </c>
      <c r="V7470" s="2">
        <f>MASTER[[#This Row],[MONTO VENDIDO]]-MASTER[[#This Row],[COSTO DE VENTA]]</f>
        <v>1552</v>
      </c>
    </row>
    <row r="7471" spans="1:22" x14ac:dyDescent="0.3">
      <c r="A7471">
        <v>107673</v>
      </c>
      <c r="B7471">
        <v>1</v>
      </c>
      <c r="C7471" t="s">
        <v>5</v>
      </c>
      <c r="D7471" t="s">
        <v>6</v>
      </c>
      <c r="E7471" s="1">
        <v>44381</v>
      </c>
      <c r="F7471">
        <v>1</v>
      </c>
      <c r="G7471" t="s">
        <v>59</v>
      </c>
      <c r="H7471" t="s">
        <v>60</v>
      </c>
      <c r="I7471" s="4">
        <v>1900</v>
      </c>
      <c r="J7471" s="3">
        <v>1900</v>
      </c>
      <c r="K7471" s="4">
        <v>393</v>
      </c>
      <c r="L7471" t="s">
        <v>9</v>
      </c>
      <c r="M7471">
        <v>19</v>
      </c>
      <c r="N7471" t="s">
        <v>150</v>
      </c>
      <c r="O7471" t="s">
        <v>81</v>
      </c>
      <c r="P7471" t="s">
        <v>136</v>
      </c>
      <c r="Q7471" t="s">
        <v>140</v>
      </c>
      <c r="R7471" t="s">
        <v>141</v>
      </c>
      <c r="S7471" t="s">
        <v>145</v>
      </c>
      <c r="T7471" s="2">
        <f>MASTER[[#This Row],[CANTIDAD]]*MASTER[[#This Row],[PRECIO DE VENTA]]</f>
        <v>1900</v>
      </c>
      <c r="U7471" s="2">
        <f>MASTER[[#This Row],[CANTIDAD]]*MASTER[[#This Row],[COSTO UNITARIO]]</f>
        <v>393</v>
      </c>
      <c r="V7471" s="2">
        <f>MASTER[[#This Row],[MONTO VENDIDO]]-MASTER[[#This Row],[COSTO DE VENTA]]</f>
        <v>1507</v>
      </c>
    </row>
    <row r="7472" spans="1:22" x14ac:dyDescent="0.3">
      <c r="A7472">
        <v>107676</v>
      </c>
      <c r="B7472">
        <v>1</v>
      </c>
      <c r="C7472" t="s">
        <v>109</v>
      </c>
      <c r="D7472" t="s">
        <v>110</v>
      </c>
      <c r="E7472" s="1">
        <v>44381</v>
      </c>
      <c r="F7472">
        <v>1</v>
      </c>
      <c r="G7472" t="s">
        <v>27</v>
      </c>
      <c r="H7472" t="s">
        <v>28</v>
      </c>
      <c r="I7472" s="4">
        <v>1542</v>
      </c>
      <c r="J7472" s="3">
        <v>1542</v>
      </c>
      <c r="K7472" s="4">
        <v>387</v>
      </c>
      <c r="L7472" t="s">
        <v>98</v>
      </c>
      <c r="M7472">
        <v>19</v>
      </c>
      <c r="N7472" t="s">
        <v>150</v>
      </c>
      <c r="O7472" t="s">
        <v>81</v>
      </c>
      <c r="P7472" t="s">
        <v>136</v>
      </c>
      <c r="Q7472" t="s">
        <v>140</v>
      </c>
      <c r="R7472" t="s">
        <v>141</v>
      </c>
      <c r="S7472" t="s">
        <v>145</v>
      </c>
      <c r="T7472" s="2">
        <f>MASTER[[#This Row],[CANTIDAD]]*MASTER[[#This Row],[PRECIO DE VENTA]]</f>
        <v>1542</v>
      </c>
      <c r="U7472" s="2">
        <f>MASTER[[#This Row],[CANTIDAD]]*MASTER[[#This Row],[COSTO UNITARIO]]</f>
        <v>387</v>
      </c>
      <c r="V7472" s="2">
        <f>MASTER[[#This Row],[MONTO VENDIDO]]-MASTER[[#This Row],[COSTO DE VENTA]]</f>
        <v>1155</v>
      </c>
    </row>
    <row r="7473" spans="1:22" x14ac:dyDescent="0.3">
      <c r="A7473">
        <v>107690</v>
      </c>
      <c r="B7473">
        <v>1</v>
      </c>
      <c r="C7473" t="s">
        <v>121</v>
      </c>
      <c r="D7473" t="s">
        <v>122</v>
      </c>
      <c r="E7473" s="1">
        <v>44382</v>
      </c>
      <c r="F7473">
        <v>1</v>
      </c>
      <c r="G7473" t="s">
        <v>31</v>
      </c>
      <c r="H7473" t="s">
        <v>32</v>
      </c>
      <c r="I7473" s="4">
        <v>1364</v>
      </c>
      <c r="J7473" s="3">
        <v>1364</v>
      </c>
      <c r="K7473" s="4">
        <v>460</v>
      </c>
      <c r="L7473" t="s">
        <v>120</v>
      </c>
      <c r="M7473">
        <v>19</v>
      </c>
      <c r="N7473" t="s">
        <v>150</v>
      </c>
      <c r="O7473" t="s">
        <v>81</v>
      </c>
      <c r="P7473" t="s">
        <v>136</v>
      </c>
      <c r="Q7473" t="s">
        <v>140</v>
      </c>
      <c r="R7473" t="s">
        <v>141</v>
      </c>
      <c r="S7473" t="s">
        <v>145</v>
      </c>
      <c r="T7473" s="2">
        <f>MASTER[[#This Row],[CANTIDAD]]*MASTER[[#This Row],[PRECIO DE VENTA]]</f>
        <v>1364</v>
      </c>
      <c r="U7473" s="2">
        <f>MASTER[[#This Row],[CANTIDAD]]*MASTER[[#This Row],[COSTO UNITARIO]]</f>
        <v>460</v>
      </c>
      <c r="V7473" s="2">
        <f>MASTER[[#This Row],[MONTO VENDIDO]]-MASTER[[#This Row],[COSTO DE VENTA]]</f>
        <v>904</v>
      </c>
    </row>
    <row r="7474" spans="1:22" x14ac:dyDescent="0.3">
      <c r="A7474">
        <v>107691</v>
      </c>
      <c r="B7474">
        <v>1</v>
      </c>
      <c r="C7474" t="s">
        <v>105</v>
      </c>
      <c r="D7474" t="s">
        <v>106</v>
      </c>
      <c r="E7474" s="1">
        <v>44383</v>
      </c>
      <c r="F7474">
        <v>1</v>
      </c>
      <c r="G7474" t="s">
        <v>67</v>
      </c>
      <c r="H7474" t="s">
        <v>68</v>
      </c>
      <c r="I7474" s="4">
        <v>2704</v>
      </c>
      <c r="J7474" s="3">
        <v>2704</v>
      </c>
      <c r="K7474" s="4">
        <v>459</v>
      </c>
      <c r="L7474" t="s">
        <v>98</v>
      </c>
      <c r="M7474">
        <v>18</v>
      </c>
      <c r="N7474" t="str">
        <f>IF(MASTER[[#This Row],[IDLOCAL]]=17,"HYDE PARK", "HARLEM IRVING")</f>
        <v>HARLEM IRVING</v>
      </c>
      <c r="O7474" t="str">
        <f>IF(MASTER[[#This Row],[IDLOCAL]]=17,"PREMIUM", "ESTÁNDAR")</f>
        <v>ESTÁNDAR</v>
      </c>
      <c r="P7474" t="s">
        <v>137</v>
      </c>
      <c r="Q7474" t="s">
        <v>142</v>
      </c>
      <c r="R7474" t="s">
        <v>143</v>
      </c>
      <c r="S7474" t="s">
        <v>145</v>
      </c>
      <c r="T7474" s="2">
        <f>MASTER[[#This Row],[CANTIDAD]]*MASTER[[#This Row],[PRECIO DE VENTA]]</f>
        <v>2704</v>
      </c>
      <c r="U7474" s="2">
        <f>MASTER[[#This Row],[CANTIDAD]]*MASTER[[#This Row],[COSTO UNITARIO]]</f>
        <v>459</v>
      </c>
      <c r="V7474" s="2">
        <f>MASTER[[#This Row],[MONTO VENDIDO]]-MASTER[[#This Row],[COSTO DE VENTA]]</f>
        <v>2245</v>
      </c>
    </row>
    <row r="7475" spans="1:22" x14ac:dyDescent="0.3">
      <c r="A7475">
        <v>107701</v>
      </c>
      <c r="B7475">
        <v>1</v>
      </c>
      <c r="C7475" t="s">
        <v>121</v>
      </c>
      <c r="D7475" t="s">
        <v>122</v>
      </c>
      <c r="E7475" s="1">
        <v>44383</v>
      </c>
      <c r="F7475">
        <v>1</v>
      </c>
      <c r="G7475" t="s">
        <v>37</v>
      </c>
      <c r="H7475" t="s">
        <v>38</v>
      </c>
      <c r="I7475" s="4">
        <v>1658</v>
      </c>
      <c r="J7475" s="3">
        <v>1658</v>
      </c>
      <c r="K7475" s="4">
        <v>460</v>
      </c>
      <c r="L7475" t="s">
        <v>120</v>
      </c>
      <c r="M7475">
        <v>19</v>
      </c>
      <c r="N7475" t="s">
        <v>150</v>
      </c>
      <c r="O7475" t="s">
        <v>81</v>
      </c>
      <c r="P7475" t="s">
        <v>136</v>
      </c>
      <c r="Q7475" t="s">
        <v>140</v>
      </c>
      <c r="R7475" t="s">
        <v>141</v>
      </c>
      <c r="S7475" t="s">
        <v>145</v>
      </c>
      <c r="T7475" s="2">
        <f>MASTER[[#This Row],[CANTIDAD]]*MASTER[[#This Row],[PRECIO DE VENTA]]</f>
        <v>1658</v>
      </c>
      <c r="U7475" s="2">
        <f>MASTER[[#This Row],[CANTIDAD]]*MASTER[[#This Row],[COSTO UNITARIO]]</f>
        <v>460</v>
      </c>
      <c r="V7475" s="2">
        <f>MASTER[[#This Row],[MONTO VENDIDO]]-MASTER[[#This Row],[COSTO DE VENTA]]</f>
        <v>1198</v>
      </c>
    </row>
    <row r="7476" spans="1:22" x14ac:dyDescent="0.3">
      <c r="A7476">
        <v>107713</v>
      </c>
      <c r="B7476">
        <v>1</v>
      </c>
      <c r="C7476" t="s">
        <v>5</v>
      </c>
      <c r="D7476" t="s">
        <v>6</v>
      </c>
      <c r="E7476" s="1">
        <v>44384</v>
      </c>
      <c r="F7476">
        <v>1</v>
      </c>
      <c r="G7476" t="s">
        <v>61</v>
      </c>
      <c r="H7476" t="s">
        <v>62</v>
      </c>
      <c r="I7476" s="4">
        <v>2185</v>
      </c>
      <c r="J7476" s="3">
        <v>2009</v>
      </c>
      <c r="K7476" s="4">
        <v>393</v>
      </c>
      <c r="L7476" t="s">
        <v>9</v>
      </c>
      <c r="M7476">
        <v>19</v>
      </c>
      <c r="N7476" t="s">
        <v>150</v>
      </c>
      <c r="O7476" t="s">
        <v>81</v>
      </c>
      <c r="P7476" t="s">
        <v>136</v>
      </c>
      <c r="Q7476" t="s">
        <v>140</v>
      </c>
      <c r="R7476" t="s">
        <v>141</v>
      </c>
      <c r="S7476" t="s">
        <v>145</v>
      </c>
      <c r="T7476" s="2">
        <f>MASTER[[#This Row],[CANTIDAD]]*MASTER[[#This Row],[PRECIO DE VENTA]]</f>
        <v>2009</v>
      </c>
      <c r="U7476" s="2">
        <f>MASTER[[#This Row],[CANTIDAD]]*MASTER[[#This Row],[COSTO UNITARIO]]</f>
        <v>393</v>
      </c>
      <c r="V7476" s="2">
        <f>MASTER[[#This Row],[MONTO VENDIDO]]-MASTER[[#This Row],[COSTO DE VENTA]]</f>
        <v>1616</v>
      </c>
    </row>
    <row r="7477" spans="1:22" x14ac:dyDescent="0.3">
      <c r="A7477">
        <v>107726</v>
      </c>
      <c r="B7477">
        <v>1</v>
      </c>
      <c r="C7477" t="s">
        <v>90</v>
      </c>
      <c r="D7477" t="s">
        <v>91</v>
      </c>
      <c r="E7477" s="1">
        <v>44384</v>
      </c>
      <c r="F7477">
        <v>4</v>
      </c>
      <c r="G7477" t="s">
        <v>55</v>
      </c>
      <c r="H7477" t="s">
        <v>56</v>
      </c>
      <c r="I7477" s="4">
        <v>3047</v>
      </c>
      <c r="J7477" s="3">
        <v>3047</v>
      </c>
      <c r="K7477" s="4">
        <v>420</v>
      </c>
      <c r="L7477" t="s">
        <v>9</v>
      </c>
      <c r="M7477">
        <v>19</v>
      </c>
      <c r="N7477" t="s">
        <v>150</v>
      </c>
      <c r="O7477" t="s">
        <v>81</v>
      </c>
      <c r="P7477" t="s">
        <v>136</v>
      </c>
      <c r="Q7477" t="s">
        <v>140</v>
      </c>
      <c r="R7477" t="s">
        <v>141</v>
      </c>
      <c r="S7477" t="s">
        <v>145</v>
      </c>
      <c r="T7477" s="2">
        <f>MASTER[[#This Row],[CANTIDAD]]*MASTER[[#This Row],[PRECIO DE VENTA]]</f>
        <v>12188</v>
      </c>
      <c r="U7477" s="2">
        <f>MASTER[[#This Row],[CANTIDAD]]*MASTER[[#This Row],[COSTO UNITARIO]]</f>
        <v>1680</v>
      </c>
      <c r="V7477" s="2">
        <f>MASTER[[#This Row],[MONTO VENDIDO]]-MASTER[[#This Row],[COSTO DE VENTA]]</f>
        <v>10508</v>
      </c>
    </row>
    <row r="7478" spans="1:22" x14ac:dyDescent="0.3">
      <c r="A7478">
        <v>107731</v>
      </c>
      <c r="B7478">
        <v>1</v>
      </c>
      <c r="C7478" t="s">
        <v>109</v>
      </c>
      <c r="D7478" t="s">
        <v>110</v>
      </c>
      <c r="E7478" s="1">
        <v>44384</v>
      </c>
      <c r="F7478">
        <v>1</v>
      </c>
      <c r="G7478" t="s">
        <v>51</v>
      </c>
      <c r="H7478" t="s">
        <v>52</v>
      </c>
      <c r="I7478" s="4">
        <v>1635</v>
      </c>
      <c r="J7478" s="3">
        <v>1635</v>
      </c>
      <c r="K7478" s="4">
        <v>387</v>
      </c>
      <c r="L7478" t="s">
        <v>98</v>
      </c>
      <c r="M7478">
        <v>19</v>
      </c>
      <c r="N7478" t="s">
        <v>150</v>
      </c>
      <c r="O7478" t="s">
        <v>81</v>
      </c>
      <c r="P7478" t="s">
        <v>136</v>
      </c>
      <c r="Q7478" t="s">
        <v>140</v>
      </c>
      <c r="R7478" t="s">
        <v>141</v>
      </c>
      <c r="S7478" t="s">
        <v>145</v>
      </c>
      <c r="T7478" s="2">
        <f>MASTER[[#This Row],[CANTIDAD]]*MASTER[[#This Row],[PRECIO DE VENTA]]</f>
        <v>1635</v>
      </c>
      <c r="U7478" s="2">
        <f>MASTER[[#This Row],[CANTIDAD]]*MASTER[[#This Row],[COSTO UNITARIO]]</f>
        <v>387</v>
      </c>
      <c r="V7478" s="2">
        <f>MASTER[[#This Row],[MONTO VENDIDO]]-MASTER[[#This Row],[COSTO DE VENTA]]</f>
        <v>1248</v>
      </c>
    </row>
    <row r="7479" spans="1:22" x14ac:dyDescent="0.3">
      <c r="A7479">
        <v>107738</v>
      </c>
      <c r="B7479">
        <v>1</v>
      </c>
      <c r="C7479" t="s">
        <v>92</v>
      </c>
      <c r="D7479" t="s">
        <v>93</v>
      </c>
      <c r="E7479" s="1">
        <v>44385</v>
      </c>
      <c r="F7479">
        <v>1</v>
      </c>
      <c r="G7479" t="s">
        <v>20</v>
      </c>
      <c r="H7479" t="s">
        <v>21</v>
      </c>
      <c r="I7479" s="4">
        <v>2437</v>
      </c>
      <c r="J7479" s="3">
        <v>2437</v>
      </c>
      <c r="K7479" s="4">
        <v>396</v>
      </c>
      <c r="L7479" t="s">
        <v>9</v>
      </c>
      <c r="M7479">
        <v>19</v>
      </c>
      <c r="N7479" t="s">
        <v>150</v>
      </c>
      <c r="O7479" t="s">
        <v>81</v>
      </c>
      <c r="P7479" t="s">
        <v>136</v>
      </c>
      <c r="Q7479" t="s">
        <v>140</v>
      </c>
      <c r="R7479" t="s">
        <v>141</v>
      </c>
      <c r="S7479" t="s">
        <v>145</v>
      </c>
      <c r="T7479" s="2">
        <f>MASTER[[#This Row],[CANTIDAD]]*MASTER[[#This Row],[PRECIO DE VENTA]]</f>
        <v>2437</v>
      </c>
      <c r="U7479" s="2">
        <f>MASTER[[#This Row],[CANTIDAD]]*MASTER[[#This Row],[COSTO UNITARIO]]</f>
        <v>396</v>
      </c>
      <c r="V7479" s="2">
        <f>MASTER[[#This Row],[MONTO VENDIDO]]-MASTER[[#This Row],[COSTO DE VENTA]]</f>
        <v>2041</v>
      </c>
    </row>
    <row r="7480" spans="1:22" x14ac:dyDescent="0.3">
      <c r="A7480">
        <v>107783</v>
      </c>
      <c r="B7480">
        <v>1</v>
      </c>
      <c r="C7480" t="s">
        <v>92</v>
      </c>
      <c r="D7480" t="s">
        <v>93</v>
      </c>
      <c r="E7480" s="1">
        <v>44386</v>
      </c>
      <c r="F7480">
        <v>1</v>
      </c>
      <c r="G7480" t="s">
        <v>35</v>
      </c>
      <c r="H7480" t="s">
        <v>36</v>
      </c>
      <c r="I7480" s="4">
        <v>2705</v>
      </c>
      <c r="J7480" s="3">
        <v>2705</v>
      </c>
      <c r="K7480" s="4">
        <v>396</v>
      </c>
      <c r="L7480" t="s">
        <v>9</v>
      </c>
      <c r="M7480">
        <v>19</v>
      </c>
      <c r="N7480" t="s">
        <v>150</v>
      </c>
      <c r="O7480" t="s">
        <v>81</v>
      </c>
      <c r="P7480" t="s">
        <v>136</v>
      </c>
      <c r="Q7480" t="s">
        <v>140</v>
      </c>
      <c r="R7480" t="s">
        <v>141</v>
      </c>
      <c r="S7480" t="s">
        <v>145</v>
      </c>
      <c r="T7480" s="2">
        <f>MASTER[[#This Row],[CANTIDAD]]*MASTER[[#This Row],[PRECIO DE VENTA]]</f>
        <v>2705</v>
      </c>
      <c r="U7480" s="2">
        <f>MASTER[[#This Row],[CANTIDAD]]*MASTER[[#This Row],[COSTO UNITARIO]]</f>
        <v>396</v>
      </c>
      <c r="V7480" s="2">
        <f>MASTER[[#This Row],[MONTO VENDIDO]]-MASTER[[#This Row],[COSTO DE VENTA]]</f>
        <v>2309</v>
      </c>
    </row>
    <row r="7481" spans="1:22" x14ac:dyDescent="0.3">
      <c r="A7481">
        <v>107800</v>
      </c>
      <c r="B7481">
        <v>1</v>
      </c>
      <c r="C7481" t="s">
        <v>101</v>
      </c>
      <c r="D7481" t="s">
        <v>102</v>
      </c>
      <c r="E7481" s="1">
        <v>44387</v>
      </c>
      <c r="F7481">
        <v>1</v>
      </c>
      <c r="G7481" t="s">
        <v>67</v>
      </c>
      <c r="H7481" t="s">
        <v>68</v>
      </c>
      <c r="I7481" s="4">
        <v>1967</v>
      </c>
      <c r="J7481" s="3">
        <v>1967</v>
      </c>
      <c r="K7481" s="4">
        <v>442</v>
      </c>
      <c r="L7481" t="s">
        <v>98</v>
      </c>
      <c r="M7481">
        <v>17</v>
      </c>
      <c r="N7481" t="str">
        <f>IF(MASTER[[#This Row],[IDLOCAL]]=17,"HYDE PARK", "HARLEM IRVING")</f>
        <v>HYDE PARK</v>
      </c>
      <c r="O7481" t="str">
        <f>IF(MASTER[[#This Row],[IDLOCAL]]=17,"PREMIUM", "ESTÁNDAR")</f>
        <v>PREMIUM</v>
      </c>
      <c r="P7481" t="s">
        <v>137</v>
      </c>
      <c r="Q7481" t="s">
        <v>142</v>
      </c>
      <c r="R7481" t="s">
        <v>143</v>
      </c>
      <c r="S7481" t="s">
        <v>145</v>
      </c>
      <c r="T7481" s="2">
        <f>MASTER[[#This Row],[CANTIDAD]]*MASTER[[#This Row],[PRECIO DE VENTA]]</f>
        <v>1967</v>
      </c>
      <c r="U7481" s="2">
        <f>MASTER[[#This Row],[CANTIDAD]]*MASTER[[#This Row],[COSTO UNITARIO]]</f>
        <v>442</v>
      </c>
      <c r="V7481" s="2">
        <f>MASTER[[#This Row],[MONTO VENDIDO]]-MASTER[[#This Row],[COSTO DE VENTA]]</f>
        <v>1525</v>
      </c>
    </row>
    <row r="7482" spans="1:22" x14ac:dyDescent="0.3">
      <c r="A7482">
        <v>107803</v>
      </c>
      <c r="B7482">
        <v>1</v>
      </c>
      <c r="C7482" t="s">
        <v>107</v>
      </c>
      <c r="D7482" t="s">
        <v>108</v>
      </c>
      <c r="E7482" s="1">
        <v>44387</v>
      </c>
      <c r="F7482">
        <v>1</v>
      </c>
      <c r="G7482" t="s">
        <v>65</v>
      </c>
      <c r="H7482" t="s">
        <v>66</v>
      </c>
      <c r="I7482" s="4">
        <v>1798</v>
      </c>
      <c r="J7482" s="3">
        <v>1798</v>
      </c>
      <c r="K7482" s="4">
        <v>380</v>
      </c>
      <c r="L7482" t="s">
        <v>98</v>
      </c>
      <c r="M7482">
        <v>19</v>
      </c>
      <c r="N7482" t="s">
        <v>150</v>
      </c>
      <c r="O7482" t="s">
        <v>81</v>
      </c>
      <c r="P7482" t="s">
        <v>136</v>
      </c>
      <c r="Q7482" t="s">
        <v>140</v>
      </c>
      <c r="R7482" t="s">
        <v>141</v>
      </c>
      <c r="S7482" t="s">
        <v>145</v>
      </c>
      <c r="T7482" s="2">
        <f>MASTER[[#This Row],[CANTIDAD]]*MASTER[[#This Row],[PRECIO DE VENTA]]</f>
        <v>1798</v>
      </c>
      <c r="U7482" s="2">
        <f>MASTER[[#This Row],[CANTIDAD]]*MASTER[[#This Row],[COSTO UNITARIO]]</f>
        <v>380</v>
      </c>
      <c r="V7482" s="2">
        <f>MASTER[[#This Row],[MONTO VENDIDO]]-MASTER[[#This Row],[COSTO DE VENTA]]</f>
        <v>1418</v>
      </c>
    </row>
    <row r="7483" spans="1:22" x14ac:dyDescent="0.3">
      <c r="A7483">
        <v>107816</v>
      </c>
      <c r="B7483">
        <v>1</v>
      </c>
      <c r="C7483" t="s">
        <v>116</v>
      </c>
      <c r="D7483" t="s">
        <v>117</v>
      </c>
      <c r="E7483" s="1">
        <v>44387</v>
      </c>
      <c r="F7483">
        <v>1</v>
      </c>
      <c r="G7483" t="s">
        <v>59</v>
      </c>
      <c r="H7483" t="s">
        <v>60</v>
      </c>
      <c r="I7483" s="4">
        <v>2520</v>
      </c>
      <c r="J7483" s="3">
        <v>2520</v>
      </c>
      <c r="K7483" s="4">
        <v>388</v>
      </c>
      <c r="L7483" t="s">
        <v>113</v>
      </c>
      <c r="M7483">
        <v>19</v>
      </c>
      <c r="N7483" t="s">
        <v>150</v>
      </c>
      <c r="O7483" t="s">
        <v>81</v>
      </c>
      <c r="P7483" t="s">
        <v>136</v>
      </c>
      <c r="Q7483" t="s">
        <v>140</v>
      </c>
      <c r="R7483" t="s">
        <v>141</v>
      </c>
      <c r="S7483" t="s">
        <v>145</v>
      </c>
      <c r="T7483" s="2">
        <f>MASTER[[#This Row],[CANTIDAD]]*MASTER[[#This Row],[PRECIO DE VENTA]]</f>
        <v>2520</v>
      </c>
      <c r="U7483" s="2">
        <f>MASTER[[#This Row],[CANTIDAD]]*MASTER[[#This Row],[COSTO UNITARIO]]</f>
        <v>388</v>
      </c>
      <c r="V7483" s="2">
        <f>MASTER[[#This Row],[MONTO VENDIDO]]-MASTER[[#This Row],[COSTO DE VENTA]]</f>
        <v>2132</v>
      </c>
    </row>
    <row r="7484" spans="1:22" x14ac:dyDescent="0.3">
      <c r="A7484">
        <v>107825</v>
      </c>
      <c r="B7484">
        <v>1</v>
      </c>
      <c r="C7484" t="s">
        <v>101</v>
      </c>
      <c r="D7484" t="s">
        <v>102</v>
      </c>
      <c r="E7484" s="1">
        <v>44389</v>
      </c>
      <c r="F7484">
        <v>1</v>
      </c>
      <c r="G7484" t="s">
        <v>73</v>
      </c>
      <c r="H7484" t="s">
        <v>74</v>
      </c>
      <c r="I7484" s="4">
        <v>1757</v>
      </c>
      <c r="J7484" s="3">
        <v>1668</v>
      </c>
      <c r="K7484" s="4">
        <v>442</v>
      </c>
      <c r="L7484" t="s">
        <v>98</v>
      </c>
      <c r="M7484">
        <v>19</v>
      </c>
      <c r="N7484" t="s">
        <v>150</v>
      </c>
      <c r="O7484" t="s">
        <v>81</v>
      </c>
      <c r="P7484" t="s">
        <v>136</v>
      </c>
      <c r="Q7484" t="s">
        <v>140</v>
      </c>
      <c r="R7484" t="s">
        <v>141</v>
      </c>
      <c r="S7484" t="s">
        <v>145</v>
      </c>
      <c r="T7484" s="2">
        <f>MASTER[[#This Row],[CANTIDAD]]*MASTER[[#This Row],[PRECIO DE VENTA]]</f>
        <v>1668</v>
      </c>
      <c r="U7484" s="2">
        <f>MASTER[[#This Row],[CANTIDAD]]*MASTER[[#This Row],[COSTO UNITARIO]]</f>
        <v>442</v>
      </c>
      <c r="V7484" s="2">
        <f>MASTER[[#This Row],[MONTO VENDIDO]]-MASTER[[#This Row],[COSTO DE VENTA]]</f>
        <v>1226</v>
      </c>
    </row>
    <row r="7485" spans="1:22" x14ac:dyDescent="0.3">
      <c r="A7485">
        <v>107853</v>
      </c>
      <c r="B7485">
        <v>1</v>
      </c>
      <c r="C7485" t="s">
        <v>121</v>
      </c>
      <c r="D7485" t="s">
        <v>122</v>
      </c>
      <c r="E7485" s="1">
        <v>44390</v>
      </c>
      <c r="F7485">
        <v>1</v>
      </c>
      <c r="G7485" t="s">
        <v>49</v>
      </c>
      <c r="H7485" t="s">
        <v>50</v>
      </c>
      <c r="I7485" s="4">
        <v>1550</v>
      </c>
      <c r="J7485" s="3">
        <v>1550</v>
      </c>
      <c r="K7485" s="4">
        <v>460</v>
      </c>
      <c r="L7485" t="s">
        <v>120</v>
      </c>
      <c r="M7485">
        <v>19</v>
      </c>
      <c r="N7485" t="s">
        <v>150</v>
      </c>
      <c r="O7485" t="s">
        <v>81</v>
      </c>
      <c r="P7485" t="s">
        <v>136</v>
      </c>
      <c r="Q7485" t="s">
        <v>140</v>
      </c>
      <c r="R7485" t="s">
        <v>141</v>
      </c>
      <c r="S7485" t="s">
        <v>145</v>
      </c>
      <c r="T7485" s="2">
        <f>MASTER[[#This Row],[CANTIDAD]]*MASTER[[#This Row],[PRECIO DE VENTA]]</f>
        <v>1550</v>
      </c>
      <c r="U7485" s="2">
        <f>MASTER[[#This Row],[CANTIDAD]]*MASTER[[#This Row],[COSTO UNITARIO]]</f>
        <v>460</v>
      </c>
      <c r="V7485" s="2">
        <f>MASTER[[#This Row],[MONTO VENDIDO]]-MASTER[[#This Row],[COSTO DE VENTA]]</f>
        <v>1090</v>
      </c>
    </row>
    <row r="7486" spans="1:22" x14ac:dyDescent="0.3">
      <c r="A7486">
        <v>107869</v>
      </c>
      <c r="B7486">
        <v>1</v>
      </c>
      <c r="C7486" t="s">
        <v>94</v>
      </c>
      <c r="D7486" t="s">
        <v>95</v>
      </c>
      <c r="E7486" s="1">
        <v>44391</v>
      </c>
      <c r="F7486">
        <v>1</v>
      </c>
      <c r="G7486" t="s">
        <v>37</v>
      </c>
      <c r="H7486" t="s">
        <v>38</v>
      </c>
      <c r="I7486" s="4">
        <v>1671</v>
      </c>
      <c r="J7486" s="3">
        <v>1671</v>
      </c>
      <c r="K7486" s="4">
        <v>392</v>
      </c>
      <c r="L7486" t="s">
        <v>9</v>
      </c>
      <c r="M7486">
        <v>18</v>
      </c>
      <c r="N7486" t="str">
        <f>IF(MASTER[[#This Row],[IDLOCAL]]=17,"HYDE PARK", "HARLEM IRVING")</f>
        <v>HARLEM IRVING</v>
      </c>
      <c r="O7486" t="str">
        <f>IF(MASTER[[#This Row],[IDLOCAL]]=17,"PREMIUM", "ESTÁNDAR")</f>
        <v>ESTÁNDAR</v>
      </c>
      <c r="P7486" t="s">
        <v>137</v>
      </c>
      <c r="Q7486" t="s">
        <v>142</v>
      </c>
      <c r="R7486" t="s">
        <v>143</v>
      </c>
      <c r="S7486" t="s">
        <v>145</v>
      </c>
      <c r="T7486" s="2">
        <f>MASTER[[#This Row],[CANTIDAD]]*MASTER[[#This Row],[PRECIO DE VENTA]]</f>
        <v>1671</v>
      </c>
      <c r="U7486" s="2">
        <f>MASTER[[#This Row],[CANTIDAD]]*MASTER[[#This Row],[COSTO UNITARIO]]</f>
        <v>392</v>
      </c>
      <c r="V7486" s="2">
        <f>MASTER[[#This Row],[MONTO VENDIDO]]-MASTER[[#This Row],[COSTO DE VENTA]]</f>
        <v>1279</v>
      </c>
    </row>
    <row r="7487" spans="1:22" x14ac:dyDescent="0.3">
      <c r="A7487">
        <v>107870</v>
      </c>
      <c r="B7487">
        <v>1</v>
      </c>
      <c r="C7487" t="s">
        <v>96</v>
      </c>
      <c r="D7487" t="s">
        <v>97</v>
      </c>
      <c r="E7487" s="1">
        <v>44391</v>
      </c>
      <c r="F7487">
        <v>1</v>
      </c>
      <c r="G7487" t="s">
        <v>39</v>
      </c>
      <c r="H7487" t="s">
        <v>40</v>
      </c>
      <c r="I7487" s="4">
        <v>1734</v>
      </c>
      <c r="J7487" s="3">
        <v>1734</v>
      </c>
      <c r="K7487" s="4">
        <v>397</v>
      </c>
      <c r="L7487" t="s">
        <v>98</v>
      </c>
      <c r="M7487">
        <v>18</v>
      </c>
      <c r="N7487" t="str">
        <f>IF(MASTER[[#This Row],[IDLOCAL]]=17,"HYDE PARK", "HARLEM IRVING")</f>
        <v>HARLEM IRVING</v>
      </c>
      <c r="O7487" t="str">
        <f>IF(MASTER[[#This Row],[IDLOCAL]]=17,"PREMIUM", "ESTÁNDAR")</f>
        <v>ESTÁNDAR</v>
      </c>
      <c r="P7487" t="s">
        <v>137</v>
      </c>
      <c r="Q7487" t="s">
        <v>142</v>
      </c>
      <c r="R7487" t="s">
        <v>143</v>
      </c>
      <c r="S7487" t="s">
        <v>145</v>
      </c>
      <c r="T7487" s="2">
        <f>MASTER[[#This Row],[CANTIDAD]]*MASTER[[#This Row],[PRECIO DE VENTA]]</f>
        <v>1734</v>
      </c>
      <c r="U7487" s="2">
        <f>MASTER[[#This Row],[CANTIDAD]]*MASTER[[#This Row],[COSTO UNITARIO]]</f>
        <v>397</v>
      </c>
      <c r="V7487" s="2">
        <f>MASTER[[#This Row],[MONTO VENDIDO]]-MASTER[[#This Row],[COSTO DE VENTA]]</f>
        <v>1337</v>
      </c>
    </row>
    <row r="7488" spans="1:22" x14ac:dyDescent="0.3">
      <c r="A7488">
        <v>107871</v>
      </c>
      <c r="B7488">
        <v>1</v>
      </c>
      <c r="C7488" t="s">
        <v>103</v>
      </c>
      <c r="D7488" t="s">
        <v>104</v>
      </c>
      <c r="E7488" s="1">
        <v>44391</v>
      </c>
      <c r="F7488">
        <v>1</v>
      </c>
      <c r="G7488" t="s">
        <v>27</v>
      </c>
      <c r="H7488" t="s">
        <v>28</v>
      </c>
      <c r="I7488" s="4">
        <v>2653</v>
      </c>
      <c r="J7488" s="3">
        <v>2653</v>
      </c>
      <c r="K7488" s="4">
        <v>421</v>
      </c>
      <c r="L7488" t="s">
        <v>98</v>
      </c>
      <c r="M7488">
        <v>18</v>
      </c>
      <c r="N7488" t="str">
        <f>IF(MASTER[[#This Row],[IDLOCAL]]=17,"HYDE PARK", "HARLEM IRVING")</f>
        <v>HARLEM IRVING</v>
      </c>
      <c r="O7488" t="str">
        <f>IF(MASTER[[#This Row],[IDLOCAL]]=17,"PREMIUM", "ESTÁNDAR")</f>
        <v>ESTÁNDAR</v>
      </c>
      <c r="P7488" t="s">
        <v>137</v>
      </c>
      <c r="Q7488" t="s">
        <v>142</v>
      </c>
      <c r="R7488" t="s">
        <v>143</v>
      </c>
      <c r="S7488" t="s">
        <v>145</v>
      </c>
      <c r="T7488" s="2">
        <f>MASTER[[#This Row],[CANTIDAD]]*MASTER[[#This Row],[PRECIO DE VENTA]]</f>
        <v>2653</v>
      </c>
      <c r="U7488" s="2">
        <f>MASTER[[#This Row],[CANTIDAD]]*MASTER[[#This Row],[COSTO UNITARIO]]</f>
        <v>421</v>
      </c>
      <c r="V7488" s="2">
        <f>MASTER[[#This Row],[MONTO VENDIDO]]-MASTER[[#This Row],[COSTO DE VENTA]]</f>
        <v>2232</v>
      </c>
    </row>
    <row r="7489" spans="1:22" x14ac:dyDescent="0.3">
      <c r="A7489">
        <v>107890</v>
      </c>
      <c r="B7489">
        <v>1</v>
      </c>
      <c r="C7489" t="s">
        <v>114</v>
      </c>
      <c r="D7489" t="s">
        <v>115</v>
      </c>
      <c r="E7489" s="1">
        <v>44391</v>
      </c>
      <c r="F7489">
        <v>1</v>
      </c>
      <c r="G7489" t="s">
        <v>49</v>
      </c>
      <c r="H7489" t="s">
        <v>50</v>
      </c>
      <c r="I7489" s="4">
        <v>2699</v>
      </c>
      <c r="J7489" s="3">
        <v>2699</v>
      </c>
      <c r="K7489" s="4">
        <v>394</v>
      </c>
      <c r="L7489" t="s">
        <v>113</v>
      </c>
      <c r="M7489">
        <v>19</v>
      </c>
      <c r="N7489" t="s">
        <v>150</v>
      </c>
      <c r="O7489" t="s">
        <v>81</v>
      </c>
      <c r="P7489" t="s">
        <v>136</v>
      </c>
      <c r="Q7489" t="s">
        <v>140</v>
      </c>
      <c r="R7489" t="s">
        <v>141</v>
      </c>
      <c r="S7489" t="s">
        <v>145</v>
      </c>
      <c r="T7489" s="2">
        <f>MASTER[[#This Row],[CANTIDAD]]*MASTER[[#This Row],[PRECIO DE VENTA]]</f>
        <v>2699</v>
      </c>
      <c r="U7489" s="2">
        <f>MASTER[[#This Row],[CANTIDAD]]*MASTER[[#This Row],[COSTO UNITARIO]]</f>
        <v>394</v>
      </c>
      <c r="V7489" s="2">
        <f>MASTER[[#This Row],[MONTO VENDIDO]]-MASTER[[#This Row],[COSTO DE VENTA]]</f>
        <v>2305</v>
      </c>
    </row>
    <row r="7490" spans="1:22" x14ac:dyDescent="0.3">
      <c r="A7490">
        <v>107901</v>
      </c>
      <c r="B7490">
        <v>1</v>
      </c>
      <c r="C7490" t="s">
        <v>99</v>
      </c>
      <c r="D7490" t="s">
        <v>100</v>
      </c>
      <c r="E7490" s="1">
        <v>44392</v>
      </c>
      <c r="F7490">
        <v>1</v>
      </c>
      <c r="G7490" t="s">
        <v>59</v>
      </c>
      <c r="H7490" t="s">
        <v>60</v>
      </c>
      <c r="I7490" s="4">
        <v>2433</v>
      </c>
      <c r="J7490" s="3">
        <v>2433</v>
      </c>
      <c r="K7490" s="4">
        <v>386</v>
      </c>
      <c r="L7490" t="s">
        <v>98</v>
      </c>
      <c r="M7490">
        <v>17</v>
      </c>
      <c r="N7490" t="str">
        <f>IF(MASTER[[#This Row],[IDLOCAL]]=17,"HYDE PARK", "HARLEM IRVING")</f>
        <v>HYDE PARK</v>
      </c>
      <c r="O7490" t="str">
        <f>IF(MASTER[[#This Row],[IDLOCAL]]=17,"PREMIUM", "ESTÁNDAR")</f>
        <v>PREMIUM</v>
      </c>
      <c r="P7490" t="s">
        <v>137</v>
      </c>
      <c r="Q7490" t="s">
        <v>142</v>
      </c>
      <c r="R7490" t="s">
        <v>143</v>
      </c>
      <c r="S7490" t="s">
        <v>145</v>
      </c>
      <c r="T7490" s="2">
        <f>MASTER[[#This Row],[CANTIDAD]]*MASTER[[#This Row],[PRECIO DE VENTA]]</f>
        <v>2433</v>
      </c>
      <c r="U7490" s="2">
        <f>MASTER[[#This Row],[CANTIDAD]]*MASTER[[#This Row],[COSTO UNITARIO]]</f>
        <v>386</v>
      </c>
      <c r="V7490" s="2">
        <f>MASTER[[#This Row],[MONTO VENDIDO]]-MASTER[[#This Row],[COSTO DE VENTA]]</f>
        <v>2047</v>
      </c>
    </row>
    <row r="7491" spans="1:22" x14ac:dyDescent="0.3">
      <c r="A7491">
        <v>107904</v>
      </c>
      <c r="B7491">
        <v>1</v>
      </c>
      <c r="C7491" t="s">
        <v>114</v>
      </c>
      <c r="D7491" t="s">
        <v>115</v>
      </c>
      <c r="E7491" s="1">
        <v>44393</v>
      </c>
      <c r="F7491">
        <v>1</v>
      </c>
      <c r="G7491" t="s">
        <v>67</v>
      </c>
      <c r="H7491" t="s">
        <v>68</v>
      </c>
      <c r="I7491" s="4">
        <v>2295</v>
      </c>
      <c r="J7491" s="3">
        <v>2295</v>
      </c>
      <c r="K7491" s="4">
        <v>394</v>
      </c>
      <c r="L7491" t="s">
        <v>113</v>
      </c>
      <c r="M7491">
        <v>19</v>
      </c>
      <c r="N7491" t="s">
        <v>150</v>
      </c>
      <c r="O7491" t="s">
        <v>81</v>
      </c>
      <c r="P7491" t="s">
        <v>136</v>
      </c>
      <c r="Q7491" t="s">
        <v>140</v>
      </c>
      <c r="R7491" t="s">
        <v>141</v>
      </c>
      <c r="S7491" t="s">
        <v>145</v>
      </c>
      <c r="T7491" s="2">
        <f>MASTER[[#This Row],[CANTIDAD]]*MASTER[[#This Row],[PRECIO DE VENTA]]</f>
        <v>2295</v>
      </c>
      <c r="U7491" s="2">
        <f>MASTER[[#This Row],[CANTIDAD]]*MASTER[[#This Row],[COSTO UNITARIO]]</f>
        <v>394</v>
      </c>
      <c r="V7491" s="2">
        <f>MASTER[[#This Row],[MONTO VENDIDO]]-MASTER[[#This Row],[COSTO DE VENTA]]</f>
        <v>1901</v>
      </c>
    </row>
    <row r="7492" spans="1:22" x14ac:dyDescent="0.3">
      <c r="A7492">
        <v>107906</v>
      </c>
      <c r="B7492">
        <v>1</v>
      </c>
      <c r="C7492" t="s">
        <v>118</v>
      </c>
      <c r="D7492" t="s">
        <v>119</v>
      </c>
      <c r="E7492" s="1">
        <v>44393</v>
      </c>
      <c r="F7492">
        <v>1</v>
      </c>
      <c r="G7492" t="s">
        <v>24</v>
      </c>
      <c r="H7492" t="s">
        <v>25</v>
      </c>
      <c r="I7492" s="4">
        <v>1305</v>
      </c>
      <c r="J7492" s="3">
        <v>1305</v>
      </c>
      <c r="K7492" s="4">
        <v>424</v>
      </c>
      <c r="L7492" t="s">
        <v>120</v>
      </c>
      <c r="M7492">
        <v>18</v>
      </c>
      <c r="N7492" t="str">
        <f>IF(MASTER[[#This Row],[IDLOCAL]]=17,"HYDE PARK", "HARLEM IRVING")</f>
        <v>HARLEM IRVING</v>
      </c>
      <c r="O7492" t="str">
        <f>IF(MASTER[[#This Row],[IDLOCAL]]=17,"PREMIUM", "ESTÁNDAR")</f>
        <v>ESTÁNDAR</v>
      </c>
      <c r="P7492" t="s">
        <v>137</v>
      </c>
      <c r="Q7492" t="s">
        <v>142</v>
      </c>
      <c r="R7492" t="s">
        <v>143</v>
      </c>
      <c r="S7492" t="s">
        <v>145</v>
      </c>
      <c r="T7492" s="2">
        <f>MASTER[[#This Row],[CANTIDAD]]*MASTER[[#This Row],[PRECIO DE VENTA]]</f>
        <v>1305</v>
      </c>
      <c r="U7492" s="2">
        <f>MASTER[[#This Row],[CANTIDAD]]*MASTER[[#This Row],[COSTO UNITARIO]]</f>
        <v>424</v>
      </c>
      <c r="V7492" s="2">
        <f>MASTER[[#This Row],[MONTO VENDIDO]]-MASTER[[#This Row],[COSTO DE VENTA]]</f>
        <v>881</v>
      </c>
    </row>
    <row r="7493" spans="1:22" x14ac:dyDescent="0.3">
      <c r="A7493">
        <v>107908</v>
      </c>
      <c r="B7493">
        <v>1</v>
      </c>
      <c r="C7493" t="s">
        <v>96</v>
      </c>
      <c r="D7493" t="s">
        <v>97</v>
      </c>
      <c r="E7493" s="1">
        <v>44395</v>
      </c>
      <c r="F7493">
        <v>1</v>
      </c>
      <c r="G7493" t="s">
        <v>29</v>
      </c>
      <c r="H7493" t="s">
        <v>30</v>
      </c>
      <c r="I7493" s="4">
        <v>1844</v>
      </c>
      <c r="J7493" s="3">
        <v>1844</v>
      </c>
      <c r="K7493" s="4">
        <v>397</v>
      </c>
      <c r="L7493" t="s">
        <v>98</v>
      </c>
      <c r="M7493">
        <v>19</v>
      </c>
      <c r="N7493" t="s">
        <v>150</v>
      </c>
      <c r="O7493" t="s">
        <v>81</v>
      </c>
      <c r="P7493" t="s">
        <v>136</v>
      </c>
      <c r="Q7493" t="s">
        <v>140</v>
      </c>
      <c r="R7493" t="s">
        <v>141</v>
      </c>
      <c r="S7493" t="s">
        <v>145</v>
      </c>
      <c r="T7493" s="2">
        <f>MASTER[[#This Row],[CANTIDAD]]*MASTER[[#This Row],[PRECIO DE VENTA]]</f>
        <v>1844</v>
      </c>
      <c r="U7493" s="2">
        <f>MASTER[[#This Row],[CANTIDAD]]*MASTER[[#This Row],[COSTO UNITARIO]]</f>
        <v>397</v>
      </c>
      <c r="V7493" s="2">
        <f>MASTER[[#This Row],[MONTO VENDIDO]]-MASTER[[#This Row],[COSTO DE VENTA]]</f>
        <v>1447</v>
      </c>
    </row>
    <row r="7494" spans="1:22" x14ac:dyDescent="0.3">
      <c r="A7494">
        <v>107916</v>
      </c>
      <c r="B7494">
        <v>1</v>
      </c>
      <c r="C7494" t="s">
        <v>99</v>
      </c>
      <c r="D7494" t="s">
        <v>100</v>
      </c>
      <c r="E7494" s="1">
        <v>44395</v>
      </c>
      <c r="F7494">
        <v>1</v>
      </c>
      <c r="G7494" t="s">
        <v>47</v>
      </c>
      <c r="H7494" t="s">
        <v>48</v>
      </c>
      <c r="I7494" s="4">
        <v>1925</v>
      </c>
      <c r="J7494" s="3">
        <v>1925</v>
      </c>
      <c r="K7494" s="4">
        <v>386</v>
      </c>
      <c r="L7494" t="s">
        <v>98</v>
      </c>
      <c r="M7494">
        <v>19</v>
      </c>
      <c r="N7494" t="s">
        <v>150</v>
      </c>
      <c r="O7494" t="s">
        <v>81</v>
      </c>
      <c r="P7494" t="s">
        <v>136</v>
      </c>
      <c r="Q7494" t="s">
        <v>140</v>
      </c>
      <c r="R7494" t="s">
        <v>141</v>
      </c>
      <c r="S7494" t="s">
        <v>145</v>
      </c>
      <c r="T7494" s="2">
        <f>MASTER[[#This Row],[CANTIDAD]]*MASTER[[#This Row],[PRECIO DE VENTA]]</f>
        <v>1925</v>
      </c>
      <c r="U7494" s="2">
        <f>MASTER[[#This Row],[CANTIDAD]]*MASTER[[#This Row],[COSTO UNITARIO]]</f>
        <v>386</v>
      </c>
      <c r="V7494" s="2">
        <f>MASTER[[#This Row],[MONTO VENDIDO]]-MASTER[[#This Row],[COSTO DE VENTA]]</f>
        <v>1539</v>
      </c>
    </row>
    <row r="7495" spans="1:22" x14ac:dyDescent="0.3">
      <c r="A7495">
        <v>107925</v>
      </c>
      <c r="B7495">
        <v>1</v>
      </c>
      <c r="C7495" t="s">
        <v>103</v>
      </c>
      <c r="D7495" t="s">
        <v>104</v>
      </c>
      <c r="E7495" s="1">
        <v>44395</v>
      </c>
      <c r="F7495">
        <v>1</v>
      </c>
      <c r="G7495" t="s">
        <v>61</v>
      </c>
      <c r="H7495" t="s">
        <v>62</v>
      </c>
      <c r="I7495" s="4">
        <v>2306</v>
      </c>
      <c r="J7495" s="3">
        <v>2306</v>
      </c>
      <c r="K7495" s="4">
        <v>421</v>
      </c>
      <c r="L7495" t="s">
        <v>98</v>
      </c>
      <c r="M7495">
        <v>17</v>
      </c>
      <c r="N7495" t="str">
        <f>IF(MASTER[[#This Row],[IDLOCAL]]=17,"HYDE PARK", "HARLEM IRVING")</f>
        <v>HYDE PARK</v>
      </c>
      <c r="O7495" t="str">
        <f>IF(MASTER[[#This Row],[IDLOCAL]]=17,"PREMIUM", "ESTÁNDAR")</f>
        <v>PREMIUM</v>
      </c>
      <c r="P7495" t="s">
        <v>137</v>
      </c>
      <c r="Q7495" t="s">
        <v>142</v>
      </c>
      <c r="R7495" t="s">
        <v>143</v>
      </c>
      <c r="S7495" t="s">
        <v>145</v>
      </c>
      <c r="T7495" s="2">
        <f>MASTER[[#This Row],[CANTIDAD]]*MASTER[[#This Row],[PRECIO DE VENTA]]</f>
        <v>2306</v>
      </c>
      <c r="U7495" s="2">
        <f>MASTER[[#This Row],[CANTIDAD]]*MASTER[[#This Row],[COSTO UNITARIO]]</f>
        <v>421</v>
      </c>
      <c r="V7495" s="2">
        <f>MASTER[[#This Row],[MONTO VENDIDO]]-MASTER[[#This Row],[COSTO DE VENTA]]</f>
        <v>1885</v>
      </c>
    </row>
    <row r="7496" spans="1:22" x14ac:dyDescent="0.3">
      <c r="A7496">
        <v>107930</v>
      </c>
      <c r="B7496">
        <v>1</v>
      </c>
      <c r="C7496" t="s">
        <v>114</v>
      </c>
      <c r="D7496" t="s">
        <v>115</v>
      </c>
      <c r="E7496" s="1">
        <v>44395</v>
      </c>
      <c r="F7496">
        <v>1</v>
      </c>
      <c r="G7496" t="s">
        <v>73</v>
      </c>
      <c r="H7496" t="s">
        <v>74</v>
      </c>
      <c r="I7496" s="4">
        <v>2943</v>
      </c>
      <c r="J7496" s="3">
        <v>2943</v>
      </c>
      <c r="K7496" s="4">
        <v>394</v>
      </c>
      <c r="L7496" t="s">
        <v>113</v>
      </c>
      <c r="M7496">
        <v>18</v>
      </c>
      <c r="N7496" t="str">
        <f>IF(MASTER[[#This Row],[IDLOCAL]]=17,"HYDE PARK", "HARLEM IRVING")</f>
        <v>HARLEM IRVING</v>
      </c>
      <c r="O7496" t="str">
        <f>IF(MASTER[[#This Row],[IDLOCAL]]=17,"PREMIUM", "ESTÁNDAR")</f>
        <v>ESTÁNDAR</v>
      </c>
      <c r="P7496" t="s">
        <v>137</v>
      </c>
      <c r="Q7496" t="s">
        <v>142</v>
      </c>
      <c r="R7496" t="s">
        <v>143</v>
      </c>
      <c r="S7496" t="s">
        <v>145</v>
      </c>
      <c r="T7496" s="2">
        <f>MASTER[[#This Row],[CANTIDAD]]*MASTER[[#This Row],[PRECIO DE VENTA]]</f>
        <v>2943</v>
      </c>
      <c r="U7496" s="2">
        <f>MASTER[[#This Row],[CANTIDAD]]*MASTER[[#This Row],[COSTO UNITARIO]]</f>
        <v>394</v>
      </c>
      <c r="V7496" s="2">
        <f>MASTER[[#This Row],[MONTO VENDIDO]]-MASTER[[#This Row],[COSTO DE VENTA]]</f>
        <v>2549</v>
      </c>
    </row>
    <row r="7497" spans="1:22" x14ac:dyDescent="0.3">
      <c r="A7497">
        <v>107956</v>
      </c>
      <c r="B7497">
        <v>1</v>
      </c>
      <c r="C7497" t="s">
        <v>90</v>
      </c>
      <c r="D7497" t="s">
        <v>91</v>
      </c>
      <c r="E7497" s="1">
        <v>44397</v>
      </c>
      <c r="F7497">
        <v>1</v>
      </c>
      <c r="G7497" t="s">
        <v>73</v>
      </c>
      <c r="H7497" t="s">
        <v>74</v>
      </c>
      <c r="I7497" s="4">
        <v>3047</v>
      </c>
      <c r="J7497" s="3">
        <v>3047</v>
      </c>
      <c r="K7497" s="4">
        <v>420</v>
      </c>
      <c r="L7497" t="s">
        <v>9</v>
      </c>
      <c r="M7497">
        <v>19</v>
      </c>
      <c r="N7497" t="s">
        <v>150</v>
      </c>
      <c r="O7497" t="s">
        <v>81</v>
      </c>
      <c r="P7497" t="s">
        <v>136</v>
      </c>
      <c r="Q7497" t="s">
        <v>140</v>
      </c>
      <c r="R7497" t="s">
        <v>141</v>
      </c>
      <c r="S7497" t="s">
        <v>145</v>
      </c>
      <c r="T7497" s="2">
        <f>MASTER[[#This Row],[CANTIDAD]]*MASTER[[#This Row],[PRECIO DE VENTA]]</f>
        <v>3047</v>
      </c>
      <c r="U7497" s="2">
        <f>MASTER[[#This Row],[CANTIDAD]]*MASTER[[#This Row],[COSTO UNITARIO]]</f>
        <v>420</v>
      </c>
      <c r="V7497" s="2">
        <f>MASTER[[#This Row],[MONTO VENDIDO]]-MASTER[[#This Row],[COSTO DE VENTA]]</f>
        <v>2627</v>
      </c>
    </row>
    <row r="7498" spans="1:22" x14ac:dyDescent="0.3">
      <c r="A7498">
        <v>107972</v>
      </c>
      <c r="B7498">
        <v>1</v>
      </c>
      <c r="C7498" t="s">
        <v>96</v>
      </c>
      <c r="D7498" t="s">
        <v>97</v>
      </c>
      <c r="E7498" s="1">
        <v>44397</v>
      </c>
      <c r="F7498">
        <v>1</v>
      </c>
      <c r="G7498" t="s">
        <v>35</v>
      </c>
      <c r="H7498" t="s">
        <v>36</v>
      </c>
      <c r="I7498" s="4">
        <v>1973</v>
      </c>
      <c r="J7498" s="3">
        <v>1973</v>
      </c>
      <c r="K7498" s="4">
        <v>397</v>
      </c>
      <c r="L7498" t="s">
        <v>98</v>
      </c>
      <c r="M7498">
        <v>19</v>
      </c>
      <c r="N7498" t="s">
        <v>150</v>
      </c>
      <c r="O7498" t="s">
        <v>81</v>
      </c>
      <c r="P7498" t="s">
        <v>136</v>
      </c>
      <c r="Q7498" t="s">
        <v>140</v>
      </c>
      <c r="R7498" t="s">
        <v>141</v>
      </c>
      <c r="S7498" t="s">
        <v>145</v>
      </c>
      <c r="T7498" s="2">
        <f>MASTER[[#This Row],[CANTIDAD]]*MASTER[[#This Row],[PRECIO DE VENTA]]</f>
        <v>1973</v>
      </c>
      <c r="U7498" s="2">
        <f>MASTER[[#This Row],[CANTIDAD]]*MASTER[[#This Row],[COSTO UNITARIO]]</f>
        <v>397</v>
      </c>
      <c r="V7498" s="2">
        <f>MASTER[[#This Row],[MONTO VENDIDO]]-MASTER[[#This Row],[COSTO DE VENTA]]</f>
        <v>1576</v>
      </c>
    </row>
    <row r="7499" spans="1:22" x14ac:dyDescent="0.3">
      <c r="A7499">
        <v>107976</v>
      </c>
      <c r="B7499">
        <v>1</v>
      </c>
      <c r="C7499" t="s">
        <v>99</v>
      </c>
      <c r="D7499" t="s">
        <v>100</v>
      </c>
      <c r="E7499" s="1">
        <v>44397</v>
      </c>
      <c r="F7499">
        <v>1</v>
      </c>
      <c r="G7499" t="s">
        <v>22</v>
      </c>
      <c r="H7499" t="s">
        <v>23</v>
      </c>
      <c r="I7499" s="4">
        <v>2115</v>
      </c>
      <c r="J7499" s="3">
        <v>2115</v>
      </c>
      <c r="K7499" s="4">
        <v>386</v>
      </c>
      <c r="L7499" t="s">
        <v>98</v>
      </c>
      <c r="M7499">
        <v>19</v>
      </c>
      <c r="N7499" t="s">
        <v>150</v>
      </c>
      <c r="O7499" t="s">
        <v>81</v>
      </c>
      <c r="P7499" t="s">
        <v>136</v>
      </c>
      <c r="Q7499" t="s">
        <v>140</v>
      </c>
      <c r="R7499" t="s">
        <v>141</v>
      </c>
      <c r="S7499" t="s">
        <v>145</v>
      </c>
      <c r="T7499" s="2">
        <f>MASTER[[#This Row],[CANTIDAD]]*MASTER[[#This Row],[PRECIO DE VENTA]]</f>
        <v>2115</v>
      </c>
      <c r="U7499" s="2">
        <f>MASTER[[#This Row],[CANTIDAD]]*MASTER[[#This Row],[COSTO UNITARIO]]</f>
        <v>386</v>
      </c>
      <c r="V7499" s="2">
        <f>MASTER[[#This Row],[MONTO VENDIDO]]-MASTER[[#This Row],[COSTO DE VENTA]]</f>
        <v>1729</v>
      </c>
    </row>
    <row r="7500" spans="1:22" x14ac:dyDescent="0.3">
      <c r="A7500">
        <v>108017</v>
      </c>
      <c r="B7500">
        <v>1</v>
      </c>
      <c r="C7500" t="s">
        <v>101</v>
      </c>
      <c r="D7500" t="s">
        <v>102</v>
      </c>
      <c r="E7500" s="1">
        <v>44397</v>
      </c>
      <c r="F7500">
        <v>1</v>
      </c>
      <c r="G7500" t="s">
        <v>73</v>
      </c>
      <c r="H7500" t="s">
        <v>74</v>
      </c>
      <c r="I7500" s="4">
        <v>1967</v>
      </c>
      <c r="J7500" s="3">
        <v>1967</v>
      </c>
      <c r="K7500" s="4">
        <v>442</v>
      </c>
      <c r="L7500" t="s">
        <v>98</v>
      </c>
      <c r="M7500">
        <v>17</v>
      </c>
      <c r="N7500" t="str">
        <f>IF(MASTER[[#This Row],[IDLOCAL]]=17,"HYDE PARK", "HARLEM IRVING")</f>
        <v>HYDE PARK</v>
      </c>
      <c r="O7500" t="str">
        <f>IF(MASTER[[#This Row],[IDLOCAL]]=17,"PREMIUM", "ESTÁNDAR")</f>
        <v>PREMIUM</v>
      </c>
      <c r="P7500" t="s">
        <v>137</v>
      </c>
      <c r="Q7500" t="s">
        <v>142</v>
      </c>
      <c r="R7500" t="s">
        <v>143</v>
      </c>
      <c r="S7500" t="s">
        <v>145</v>
      </c>
      <c r="T7500" s="2">
        <f>MASTER[[#This Row],[CANTIDAD]]*MASTER[[#This Row],[PRECIO DE VENTA]]</f>
        <v>1967</v>
      </c>
      <c r="U7500" s="2">
        <f>MASTER[[#This Row],[CANTIDAD]]*MASTER[[#This Row],[COSTO UNITARIO]]</f>
        <v>442</v>
      </c>
      <c r="V7500" s="2">
        <f>MASTER[[#This Row],[MONTO VENDIDO]]-MASTER[[#This Row],[COSTO DE VENTA]]</f>
        <v>1525</v>
      </c>
    </row>
    <row r="7501" spans="1:22" x14ac:dyDescent="0.3">
      <c r="A7501">
        <v>108032</v>
      </c>
      <c r="B7501">
        <v>1</v>
      </c>
      <c r="C7501" t="s">
        <v>105</v>
      </c>
      <c r="D7501" t="s">
        <v>106</v>
      </c>
      <c r="E7501" s="1">
        <v>44397</v>
      </c>
      <c r="F7501">
        <v>1</v>
      </c>
      <c r="G7501" t="s">
        <v>67</v>
      </c>
      <c r="H7501" t="s">
        <v>68</v>
      </c>
      <c r="I7501" s="4">
        <v>2298</v>
      </c>
      <c r="J7501" s="3">
        <v>2298</v>
      </c>
      <c r="K7501" s="4">
        <v>459</v>
      </c>
      <c r="L7501" t="s">
        <v>98</v>
      </c>
      <c r="M7501">
        <v>19</v>
      </c>
      <c r="N7501" t="s">
        <v>150</v>
      </c>
      <c r="O7501" t="s">
        <v>81</v>
      </c>
      <c r="P7501" t="s">
        <v>136</v>
      </c>
      <c r="Q7501" t="s">
        <v>140</v>
      </c>
      <c r="R7501" t="s">
        <v>141</v>
      </c>
      <c r="S7501" t="s">
        <v>145</v>
      </c>
      <c r="T7501" s="2">
        <f>MASTER[[#This Row],[CANTIDAD]]*MASTER[[#This Row],[PRECIO DE VENTA]]</f>
        <v>2298</v>
      </c>
      <c r="U7501" s="2">
        <f>MASTER[[#This Row],[CANTIDAD]]*MASTER[[#This Row],[COSTO UNITARIO]]</f>
        <v>459</v>
      </c>
      <c r="V7501" s="2">
        <f>MASTER[[#This Row],[MONTO VENDIDO]]-MASTER[[#This Row],[COSTO DE VENTA]]</f>
        <v>1839</v>
      </c>
    </row>
    <row r="7502" spans="1:22" x14ac:dyDescent="0.3">
      <c r="A7502">
        <v>108036</v>
      </c>
      <c r="B7502">
        <v>1</v>
      </c>
      <c r="C7502" t="s">
        <v>107</v>
      </c>
      <c r="D7502" t="s">
        <v>108</v>
      </c>
      <c r="E7502" s="1">
        <v>44398</v>
      </c>
      <c r="F7502">
        <v>1</v>
      </c>
      <c r="G7502" t="s">
        <v>61</v>
      </c>
      <c r="H7502" t="s">
        <v>62</v>
      </c>
      <c r="I7502" s="4">
        <v>2088</v>
      </c>
      <c r="J7502" s="3">
        <v>2088</v>
      </c>
      <c r="K7502" s="4">
        <v>380</v>
      </c>
      <c r="L7502" t="s">
        <v>98</v>
      </c>
      <c r="M7502">
        <v>18</v>
      </c>
      <c r="N7502" t="str">
        <f>IF(MASTER[[#This Row],[IDLOCAL]]=17,"HYDE PARK", "HARLEM IRVING")</f>
        <v>HARLEM IRVING</v>
      </c>
      <c r="O7502" t="str">
        <f>IF(MASTER[[#This Row],[IDLOCAL]]=17,"PREMIUM", "ESTÁNDAR")</f>
        <v>ESTÁNDAR</v>
      </c>
      <c r="P7502" t="s">
        <v>137</v>
      </c>
      <c r="Q7502" t="s">
        <v>142</v>
      </c>
      <c r="R7502" t="s">
        <v>143</v>
      </c>
      <c r="S7502" t="s">
        <v>145</v>
      </c>
      <c r="T7502" s="2">
        <f>MASTER[[#This Row],[CANTIDAD]]*MASTER[[#This Row],[PRECIO DE VENTA]]</f>
        <v>2088</v>
      </c>
      <c r="U7502" s="2">
        <f>MASTER[[#This Row],[CANTIDAD]]*MASTER[[#This Row],[COSTO UNITARIO]]</f>
        <v>380</v>
      </c>
      <c r="V7502" s="2">
        <f>MASTER[[#This Row],[MONTO VENDIDO]]-MASTER[[#This Row],[COSTO DE VENTA]]</f>
        <v>1708</v>
      </c>
    </row>
    <row r="7503" spans="1:22" x14ac:dyDescent="0.3">
      <c r="A7503">
        <v>108044</v>
      </c>
      <c r="B7503">
        <v>1</v>
      </c>
      <c r="C7503" t="s">
        <v>103</v>
      </c>
      <c r="D7503" t="s">
        <v>104</v>
      </c>
      <c r="E7503" s="1">
        <v>44399</v>
      </c>
      <c r="F7503">
        <v>1</v>
      </c>
      <c r="G7503" t="s">
        <v>59</v>
      </c>
      <c r="H7503" t="s">
        <v>60</v>
      </c>
      <c r="I7503" s="4">
        <v>2099</v>
      </c>
      <c r="J7503" s="3">
        <v>2099</v>
      </c>
      <c r="K7503" s="4">
        <v>421</v>
      </c>
      <c r="L7503" t="s">
        <v>98</v>
      </c>
      <c r="M7503">
        <v>17</v>
      </c>
      <c r="N7503" t="str">
        <f>IF(MASTER[[#This Row],[IDLOCAL]]=17,"HYDE PARK", "HARLEM IRVING")</f>
        <v>HYDE PARK</v>
      </c>
      <c r="O7503" t="str">
        <f>IF(MASTER[[#This Row],[IDLOCAL]]=17,"PREMIUM", "ESTÁNDAR")</f>
        <v>PREMIUM</v>
      </c>
      <c r="P7503" t="s">
        <v>137</v>
      </c>
      <c r="Q7503" t="s">
        <v>142</v>
      </c>
      <c r="R7503" t="s">
        <v>143</v>
      </c>
      <c r="S7503" t="s">
        <v>145</v>
      </c>
      <c r="T7503" s="2">
        <f>MASTER[[#This Row],[CANTIDAD]]*MASTER[[#This Row],[PRECIO DE VENTA]]</f>
        <v>2099</v>
      </c>
      <c r="U7503" s="2">
        <f>MASTER[[#This Row],[CANTIDAD]]*MASTER[[#This Row],[COSTO UNITARIO]]</f>
        <v>421</v>
      </c>
      <c r="V7503" s="2">
        <f>MASTER[[#This Row],[MONTO VENDIDO]]-MASTER[[#This Row],[COSTO DE VENTA]]</f>
        <v>1678</v>
      </c>
    </row>
    <row r="7504" spans="1:22" x14ac:dyDescent="0.3">
      <c r="A7504">
        <v>108049</v>
      </c>
      <c r="B7504">
        <v>1</v>
      </c>
      <c r="C7504" t="s">
        <v>105</v>
      </c>
      <c r="D7504" t="s">
        <v>106</v>
      </c>
      <c r="E7504" s="1">
        <v>44399</v>
      </c>
      <c r="F7504">
        <v>1</v>
      </c>
      <c r="G7504" t="s">
        <v>27</v>
      </c>
      <c r="H7504" t="s">
        <v>28</v>
      </c>
      <c r="I7504" s="4">
        <v>2947</v>
      </c>
      <c r="J7504" s="3">
        <v>2947</v>
      </c>
      <c r="K7504" s="4">
        <v>459</v>
      </c>
      <c r="L7504" t="s">
        <v>98</v>
      </c>
      <c r="M7504">
        <v>17</v>
      </c>
      <c r="N7504" t="str">
        <f>IF(MASTER[[#This Row],[IDLOCAL]]=17,"HYDE PARK", "HARLEM IRVING")</f>
        <v>HYDE PARK</v>
      </c>
      <c r="O7504" t="str">
        <f>IF(MASTER[[#This Row],[IDLOCAL]]=17,"PREMIUM", "ESTÁNDAR")</f>
        <v>PREMIUM</v>
      </c>
      <c r="P7504" t="s">
        <v>137</v>
      </c>
      <c r="Q7504" t="s">
        <v>142</v>
      </c>
      <c r="R7504" t="s">
        <v>143</v>
      </c>
      <c r="S7504" t="s">
        <v>145</v>
      </c>
      <c r="T7504" s="2">
        <f>MASTER[[#This Row],[CANTIDAD]]*MASTER[[#This Row],[PRECIO DE VENTA]]</f>
        <v>2947</v>
      </c>
      <c r="U7504" s="2">
        <f>MASTER[[#This Row],[CANTIDAD]]*MASTER[[#This Row],[COSTO UNITARIO]]</f>
        <v>459</v>
      </c>
      <c r="V7504" s="2">
        <f>MASTER[[#This Row],[MONTO VENDIDO]]-MASTER[[#This Row],[COSTO DE VENTA]]</f>
        <v>2488</v>
      </c>
    </row>
    <row r="7505" spans="1:22" x14ac:dyDescent="0.3">
      <c r="A7505">
        <v>108058</v>
      </c>
      <c r="B7505">
        <v>1</v>
      </c>
      <c r="C7505" t="s">
        <v>94</v>
      </c>
      <c r="D7505" t="s">
        <v>95</v>
      </c>
      <c r="E7505" s="1">
        <v>44401</v>
      </c>
      <c r="F7505">
        <v>2</v>
      </c>
      <c r="G7505" t="s">
        <v>35</v>
      </c>
      <c r="H7505" t="s">
        <v>36</v>
      </c>
      <c r="I7505" s="4">
        <v>1519</v>
      </c>
      <c r="J7505" s="3">
        <v>1519</v>
      </c>
      <c r="K7505" s="4">
        <v>392</v>
      </c>
      <c r="L7505" t="s">
        <v>9</v>
      </c>
      <c r="M7505">
        <v>19</v>
      </c>
      <c r="N7505" t="s">
        <v>150</v>
      </c>
      <c r="O7505" t="s">
        <v>81</v>
      </c>
      <c r="P7505" t="s">
        <v>136</v>
      </c>
      <c r="Q7505" t="s">
        <v>140</v>
      </c>
      <c r="R7505" t="s">
        <v>141</v>
      </c>
      <c r="S7505" t="s">
        <v>145</v>
      </c>
      <c r="T7505" s="2">
        <f>MASTER[[#This Row],[CANTIDAD]]*MASTER[[#This Row],[PRECIO DE VENTA]]</f>
        <v>3038</v>
      </c>
      <c r="U7505" s="2">
        <f>MASTER[[#This Row],[CANTIDAD]]*MASTER[[#This Row],[COSTO UNITARIO]]</f>
        <v>784</v>
      </c>
      <c r="V7505" s="2">
        <f>MASTER[[#This Row],[MONTO VENDIDO]]-MASTER[[#This Row],[COSTO DE VENTA]]</f>
        <v>2254</v>
      </c>
    </row>
    <row r="7506" spans="1:22" x14ac:dyDescent="0.3">
      <c r="A7506">
        <v>108065</v>
      </c>
      <c r="B7506">
        <v>1</v>
      </c>
      <c r="C7506" t="s">
        <v>109</v>
      </c>
      <c r="D7506" t="s">
        <v>110</v>
      </c>
      <c r="E7506" s="1">
        <v>44401</v>
      </c>
      <c r="F7506">
        <v>1</v>
      </c>
      <c r="G7506" t="s">
        <v>47</v>
      </c>
      <c r="H7506" t="s">
        <v>48</v>
      </c>
      <c r="I7506" s="4">
        <v>1635</v>
      </c>
      <c r="J7506" s="3">
        <v>1635</v>
      </c>
      <c r="K7506" s="4">
        <v>387</v>
      </c>
      <c r="L7506" t="s">
        <v>98</v>
      </c>
      <c r="M7506">
        <v>19</v>
      </c>
      <c r="N7506" t="s">
        <v>150</v>
      </c>
      <c r="O7506" t="s">
        <v>81</v>
      </c>
      <c r="P7506" t="s">
        <v>136</v>
      </c>
      <c r="Q7506" t="s">
        <v>140</v>
      </c>
      <c r="R7506" t="s">
        <v>141</v>
      </c>
      <c r="S7506" t="s">
        <v>145</v>
      </c>
      <c r="T7506" s="2">
        <f>MASTER[[#This Row],[CANTIDAD]]*MASTER[[#This Row],[PRECIO DE VENTA]]</f>
        <v>1635</v>
      </c>
      <c r="U7506" s="2">
        <f>MASTER[[#This Row],[CANTIDAD]]*MASTER[[#This Row],[COSTO UNITARIO]]</f>
        <v>387</v>
      </c>
      <c r="V7506" s="2">
        <f>MASTER[[#This Row],[MONTO VENDIDO]]-MASTER[[#This Row],[COSTO DE VENTA]]</f>
        <v>1248</v>
      </c>
    </row>
    <row r="7507" spans="1:22" x14ac:dyDescent="0.3">
      <c r="A7507">
        <v>108066</v>
      </c>
      <c r="B7507">
        <v>1</v>
      </c>
      <c r="C7507" t="s">
        <v>111</v>
      </c>
      <c r="D7507" t="s">
        <v>112</v>
      </c>
      <c r="E7507" s="1">
        <v>44402</v>
      </c>
      <c r="F7507">
        <v>1</v>
      </c>
      <c r="G7507" t="s">
        <v>67</v>
      </c>
      <c r="H7507" t="s">
        <v>68</v>
      </c>
      <c r="I7507" s="4">
        <v>2209</v>
      </c>
      <c r="J7507" s="3">
        <v>2209</v>
      </c>
      <c r="K7507" s="4">
        <v>434</v>
      </c>
      <c r="L7507" t="s">
        <v>113</v>
      </c>
      <c r="M7507">
        <v>19</v>
      </c>
      <c r="N7507" t="s">
        <v>150</v>
      </c>
      <c r="O7507" t="s">
        <v>81</v>
      </c>
      <c r="P7507" t="s">
        <v>136</v>
      </c>
      <c r="Q7507" t="s">
        <v>140</v>
      </c>
      <c r="R7507" t="s">
        <v>141</v>
      </c>
      <c r="S7507" t="s">
        <v>145</v>
      </c>
      <c r="T7507" s="2">
        <f>MASTER[[#This Row],[CANTIDAD]]*MASTER[[#This Row],[PRECIO DE VENTA]]</f>
        <v>2209</v>
      </c>
      <c r="U7507" s="2">
        <f>MASTER[[#This Row],[CANTIDAD]]*MASTER[[#This Row],[COSTO UNITARIO]]</f>
        <v>434</v>
      </c>
      <c r="V7507" s="2">
        <f>MASTER[[#This Row],[MONTO VENDIDO]]-MASTER[[#This Row],[COSTO DE VENTA]]</f>
        <v>1775</v>
      </c>
    </row>
    <row r="7508" spans="1:22" x14ac:dyDescent="0.3">
      <c r="A7508">
        <v>108070</v>
      </c>
      <c r="B7508">
        <v>1</v>
      </c>
      <c r="C7508" t="s">
        <v>101</v>
      </c>
      <c r="D7508" t="s">
        <v>102</v>
      </c>
      <c r="E7508" s="1">
        <v>44404</v>
      </c>
      <c r="F7508">
        <v>1</v>
      </c>
      <c r="G7508" t="s">
        <v>47</v>
      </c>
      <c r="H7508" t="s">
        <v>48</v>
      </c>
      <c r="I7508" s="4">
        <v>1757</v>
      </c>
      <c r="J7508" s="3">
        <v>1757</v>
      </c>
      <c r="K7508" s="4">
        <v>442</v>
      </c>
      <c r="L7508" t="s">
        <v>98</v>
      </c>
      <c r="M7508">
        <v>17</v>
      </c>
      <c r="N7508" t="str">
        <f>IF(MASTER[[#This Row],[IDLOCAL]]=17,"HYDE PARK", "HARLEM IRVING")</f>
        <v>HYDE PARK</v>
      </c>
      <c r="O7508" t="str">
        <f>IF(MASTER[[#This Row],[IDLOCAL]]=17,"PREMIUM", "ESTÁNDAR")</f>
        <v>PREMIUM</v>
      </c>
      <c r="P7508" t="s">
        <v>137</v>
      </c>
      <c r="Q7508" t="s">
        <v>142</v>
      </c>
      <c r="R7508" t="s">
        <v>143</v>
      </c>
      <c r="S7508" t="s">
        <v>145</v>
      </c>
      <c r="T7508" s="2">
        <f>MASTER[[#This Row],[CANTIDAD]]*MASTER[[#This Row],[PRECIO DE VENTA]]</f>
        <v>1757</v>
      </c>
      <c r="U7508" s="2">
        <f>MASTER[[#This Row],[CANTIDAD]]*MASTER[[#This Row],[COSTO UNITARIO]]</f>
        <v>442</v>
      </c>
      <c r="V7508" s="2">
        <f>MASTER[[#This Row],[MONTO VENDIDO]]-MASTER[[#This Row],[COSTO DE VENTA]]</f>
        <v>1315</v>
      </c>
    </row>
    <row r="7509" spans="1:22" x14ac:dyDescent="0.3">
      <c r="A7509">
        <v>108073</v>
      </c>
      <c r="B7509">
        <v>1</v>
      </c>
      <c r="C7509" t="s">
        <v>121</v>
      </c>
      <c r="D7509" t="s">
        <v>122</v>
      </c>
      <c r="E7509" s="1">
        <v>44404</v>
      </c>
      <c r="F7509">
        <v>1</v>
      </c>
      <c r="G7509" t="s">
        <v>65</v>
      </c>
      <c r="H7509" t="s">
        <v>66</v>
      </c>
      <c r="I7509" s="4">
        <v>1658</v>
      </c>
      <c r="J7509" s="3">
        <v>1525</v>
      </c>
      <c r="K7509" s="4">
        <v>460</v>
      </c>
      <c r="L7509" t="s">
        <v>120</v>
      </c>
      <c r="M7509">
        <v>19</v>
      </c>
      <c r="N7509" t="s">
        <v>150</v>
      </c>
      <c r="O7509" t="s">
        <v>81</v>
      </c>
      <c r="P7509" t="s">
        <v>136</v>
      </c>
      <c r="Q7509" t="s">
        <v>140</v>
      </c>
      <c r="R7509" t="s">
        <v>141</v>
      </c>
      <c r="S7509" t="s">
        <v>145</v>
      </c>
      <c r="T7509" s="2">
        <f>MASTER[[#This Row],[CANTIDAD]]*MASTER[[#This Row],[PRECIO DE VENTA]]</f>
        <v>1525</v>
      </c>
      <c r="U7509" s="2">
        <f>MASTER[[#This Row],[CANTIDAD]]*MASTER[[#This Row],[COSTO UNITARIO]]</f>
        <v>460</v>
      </c>
      <c r="V7509" s="2">
        <f>MASTER[[#This Row],[MONTO VENDIDO]]-MASTER[[#This Row],[COSTO DE VENTA]]</f>
        <v>1065</v>
      </c>
    </row>
    <row r="7510" spans="1:22" x14ac:dyDescent="0.3">
      <c r="A7510">
        <v>108079</v>
      </c>
      <c r="B7510">
        <v>1</v>
      </c>
      <c r="C7510" t="s">
        <v>101</v>
      </c>
      <c r="D7510" t="s">
        <v>102</v>
      </c>
      <c r="E7510" s="1">
        <v>44405</v>
      </c>
      <c r="F7510">
        <v>1</v>
      </c>
      <c r="G7510" t="s">
        <v>39</v>
      </c>
      <c r="H7510" t="s">
        <v>40</v>
      </c>
      <c r="I7510" s="4">
        <v>1528</v>
      </c>
      <c r="J7510" s="3">
        <v>1528</v>
      </c>
      <c r="K7510" s="4">
        <v>442</v>
      </c>
      <c r="L7510" t="s">
        <v>98</v>
      </c>
      <c r="M7510">
        <v>17</v>
      </c>
      <c r="N7510" t="str">
        <f>IF(MASTER[[#This Row],[IDLOCAL]]=17,"HYDE PARK", "HARLEM IRVING")</f>
        <v>HYDE PARK</v>
      </c>
      <c r="O7510" t="str">
        <f>IF(MASTER[[#This Row],[IDLOCAL]]=17,"PREMIUM", "ESTÁNDAR")</f>
        <v>PREMIUM</v>
      </c>
      <c r="P7510" t="s">
        <v>137</v>
      </c>
      <c r="Q7510" t="s">
        <v>142</v>
      </c>
      <c r="R7510" t="s">
        <v>143</v>
      </c>
      <c r="S7510" t="s">
        <v>145</v>
      </c>
      <c r="T7510" s="2">
        <f>MASTER[[#This Row],[CANTIDAD]]*MASTER[[#This Row],[PRECIO DE VENTA]]</f>
        <v>1528</v>
      </c>
      <c r="U7510" s="2">
        <f>MASTER[[#This Row],[CANTIDAD]]*MASTER[[#This Row],[COSTO UNITARIO]]</f>
        <v>442</v>
      </c>
      <c r="V7510" s="2">
        <f>MASTER[[#This Row],[MONTO VENDIDO]]-MASTER[[#This Row],[COSTO DE VENTA]]</f>
        <v>1086</v>
      </c>
    </row>
    <row r="7511" spans="1:22" x14ac:dyDescent="0.3">
      <c r="A7511">
        <v>108095</v>
      </c>
      <c r="B7511">
        <v>1</v>
      </c>
      <c r="C7511" t="s">
        <v>109</v>
      </c>
      <c r="D7511" t="s">
        <v>110</v>
      </c>
      <c r="E7511" s="1">
        <v>44405</v>
      </c>
      <c r="F7511">
        <v>1</v>
      </c>
      <c r="G7511" t="s">
        <v>47</v>
      </c>
      <c r="H7511" t="s">
        <v>48</v>
      </c>
      <c r="I7511" s="4">
        <v>1373</v>
      </c>
      <c r="J7511" s="3">
        <v>1248</v>
      </c>
      <c r="K7511" s="4">
        <v>387</v>
      </c>
      <c r="L7511" t="s">
        <v>98</v>
      </c>
      <c r="M7511">
        <v>19</v>
      </c>
      <c r="N7511" t="s">
        <v>150</v>
      </c>
      <c r="O7511" t="s">
        <v>81</v>
      </c>
      <c r="P7511" t="s">
        <v>136</v>
      </c>
      <c r="Q7511" t="s">
        <v>140</v>
      </c>
      <c r="R7511" t="s">
        <v>141</v>
      </c>
      <c r="S7511" t="s">
        <v>145</v>
      </c>
      <c r="T7511" s="2">
        <f>MASTER[[#This Row],[CANTIDAD]]*MASTER[[#This Row],[PRECIO DE VENTA]]</f>
        <v>1248</v>
      </c>
      <c r="U7511" s="2">
        <f>MASTER[[#This Row],[CANTIDAD]]*MASTER[[#This Row],[COSTO UNITARIO]]</f>
        <v>387</v>
      </c>
      <c r="V7511" s="2">
        <f>MASTER[[#This Row],[MONTO VENDIDO]]-MASTER[[#This Row],[COSTO DE VENTA]]</f>
        <v>861</v>
      </c>
    </row>
    <row r="7512" spans="1:22" x14ac:dyDescent="0.3">
      <c r="A7512">
        <v>108102</v>
      </c>
      <c r="B7512">
        <v>3</v>
      </c>
      <c r="C7512" t="s">
        <v>103</v>
      </c>
      <c r="D7512" t="s">
        <v>104</v>
      </c>
      <c r="E7512" s="1">
        <v>44406</v>
      </c>
      <c r="F7512">
        <v>1</v>
      </c>
      <c r="G7512" t="s">
        <v>7</v>
      </c>
      <c r="H7512" t="s">
        <v>8</v>
      </c>
      <c r="I7512" s="4">
        <v>2653</v>
      </c>
      <c r="J7512" s="3">
        <v>2653</v>
      </c>
      <c r="K7512" s="4">
        <v>421</v>
      </c>
      <c r="L7512" t="s">
        <v>98</v>
      </c>
      <c r="M7512">
        <v>19</v>
      </c>
      <c r="N7512" t="s">
        <v>150</v>
      </c>
      <c r="O7512" t="s">
        <v>81</v>
      </c>
      <c r="P7512" t="s">
        <v>136</v>
      </c>
      <c r="Q7512" t="s">
        <v>140</v>
      </c>
      <c r="R7512" t="s">
        <v>141</v>
      </c>
      <c r="S7512" t="s">
        <v>145</v>
      </c>
      <c r="T7512" s="2">
        <f>MASTER[[#This Row],[CANTIDAD]]*MASTER[[#This Row],[PRECIO DE VENTA]]</f>
        <v>2653</v>
      </c>
      <c r="U7512" s="2">
        <f>MASTER[[#This Row],[CANTIDAD]]*MASTER[[#This Row],[COSTO UNITARIO]]</f>
        <v>421</v>
      </c>
      <c r="V7512" s="2">
        <f>MASTER[[#This Row],[MONTO VENDIDO]]-MASTER[[#This Row],[COSTO DE VENTA]]</f>
        <v>2232</v>
      </c>
    </row>
    <row r="7513" spans="1:22" x14ac:dyDescent="0.3">
      <c r="A7513">
        <v>108137</v>
      </c>
      <c r="B7513">
        <v>1</v>
      </c>
      <c r="C7513" t="s">
        <v>116</v>
      </c>
      <c r="D7513" t="s">
        <v>117</v>
      </c>
      <c r="E7513" s="1">
        <v>44406</v>
      </c>
      <c r="F7513">
        <v>3</v>
      </c>
      <c r="G7513" t="s">
        <v>73</v>
      </c>
      <c r="H7513" t="s">
        <v>74</v>
      </c>
      <c r="I7513" s="4">
        <v>2520</v>
      </c>
      <c r="J7513" s="3">
        <v>2520</v>
      </c>
      <c r="K7513" s="4">
        <v>388</v>
      </c>
      <c r="L7513" t="s">
        <v>113</v>
      </c>
      <c r="M7513">
        <v>19</v>
      </c>
      <c r="N7513" t="s">
        <v>150</v>
      </c>
      <c r="O7513" t="s">
        <v>81</v>
      </c>
      <c r="P7513" t="s">
        <v>136</v>
      </c>
      <c r="Q7513" t="s">
        <v>140</v>
      </c>
      <c r="R7513" t="s">
        <v>141</v>
      </c>
      <c r="S7513" t="s">
        <v>145</v>
      </c>
      <c r="T7513" s="2">
        <f>MASTER[[#This Row],[CANTIDAD]]*MASTER[[#This Row],[PRECIO DE VENTA]]</f>
        <v>7560</v>
      </c>
      <c r="U7513" s="2">
        <f>MASTER[[#This Row],[CANTIDAD]]*MASTER[[#This Row],[COSTO UNITARIO]]</f>
        <v>1164</v>
      </c>
      <c r="V7513" s="2">
        <f>MASTER[[#This Row],[MONTO VENDIDO]]-MASTER[[#This Row],[COSTO DE VENTA]]</f>
        <v>6396</v>
      </c>
    </row>
    <row r="7514" spans="1:22" x14ac:dyDescent="0.3">
      <c r="A7514">
        <v>108143</v>
      </c>
      <c r="B7514">
        <v>1</v>
      </c>
      <c r="C7514" t="s">
        <v>118</v>
      </c>
      <c r="D7514" t="s">
        <v>119</v>
      </c>
      <c r="E7514" s="1">
        <v>44407</v>
      </c>
      <c r="F7514">
        <v>1</v>
      </c>
      <c r="G7514" t="s">
        <v>49</v>
      </c>
      <c r="H7514" t="s">
        <v>50</v>
      </c>
      <c r="I7514" s="4">
        <v>1487</v>
      </c>
      <c r="J7514" s="3">
        <v>1487</v>
      </c>
      <c r="K7514" s="4">
        <v>424</v>
      </c>
      <c r="L7514" t="s">
        <v>120</v>
      </c>
      <c r="M7514">
        <v>19</v>
      </c>
      <c r="N7514" t="s">
        <v>150</v>
      </c>
      <c r="O7514" t="s">
        <v>81</v>
      </c>
      <c r="P7514" t="s">
        <v>136</v>
      </c>
      <c r="Q7514" t="s">
        <v>140</v>
      </c>
      <c r="R7514" t="s">
        <v>141</v>
      </c>
      <c r="S7514" t="s">
        <v>145</v>
      </c>
      <c r="T7514" s="2">
        <f>MASTER[[#This Row],[CANTIDAD]]*MASTER[[#This Row],[PRECIO DE VENTA]]</f>
        <v>1487</v>
      </c>
      <c r="U7514" s="2">
        <f>MASTER[[#This Row],[CANTIDAD]]*MASTER[[#This Row],[COSTO UNITARIO]]</f>
        <v>424</v>
      </c>
      <c r="V7514" s="2">
        <f>MASTER[[#This Row],[MONTO VENDIDO]]-MASTER[[#This Row],[COSTO DE VENTA]]</f>
        <v>1063</v>
      </c>
    </row>
    <row r="7515" spans="1:22" x14ac:dyDescent="0.3">
      <c r="A7515">
        <v>108155</v>
      </c>
      <c r="B7515">
        <v>1</v>
      </c>
      <c r="C7515" t="s">
        <v>111</v>
      </c>
      <c r="D7515" t="s">
        <v>112</v>
      </c>
      <c r="E7515" s="1">
        <v>44409</v>
      </c>
      <c r="F7515">
        <v>1</v>
      </c>
      <c r="G7515" t="s">
        <v>35</v>
      </c>
      <c r="H7515" t="s">
        <v>36</v>
      </c>
      <c r="I7515" s="4">
        <v>2608</v>
      </c>
      <c r="J7515" s="3">
        <v>2608</v>
      </c>
      <c r="K7515" s="4">
        <v>434</v>
      </c>
      <c r="L7515" t="s">
        <v>113</v>
      </c>
      <c r="M7515">
        <v>19</v>
      </c>
      <c r="N7515" t="s">
        <v>150</v>
      </c>
      <c r="O7515" t="s">
        <v>81</v>
      </c>
      <c r="P7515" t="s">
        <v>136</v>
      </c>
      <c r="Q7515" t="s">
        <v>140</v>
      </c>
      <c r="R7515" t="s">
        <v>141</v>
      </c>
      <c r="S7515" t="s">
        <v>145</v>
      </c>
      <c r="T7515" s="2">
        <f>MASTER[[#This Row],[CANTIDAD]]*MASTER[[#This Row],[PRECIO DE VENTA]]</f>
        <v>2608</v>
      </c>
      <c r="U7515" s="2">
        <f>MASTER[[#This Row],[CANTIDAD]]*MASTER[[#This Row],[COSTO UNITARIO]]</f>
        <v>434</v>
      </c>
      <c r="V7515" s="2">
        <f>MASTER[[#This Row],[MONTO VENDIDO]]-MASTER[[#This Row],[COSTO DE VENTA]]</f>
        <v>2174</v>
      </c>
    </row>
    <row r="7516" spans="1:22" x14ac:dyDescent="0.3">
      <c r="A7516">
        <v>108156</v>
      </c>
      <c r="B7516">
        <v>1</v>
      </c>
      <c r="C7516" t="s">
        <v>99</v>
      </c>
      <c r="D7516" t="s">
        <v>100</v>
      </c>
      <c r="E7516" s="1">
        <v>44410</v>
      </c>
      <c r="F7516">
        <v>1</v>
      </c>
      <c r="G7516" t="s">
        <v>73</v>
      </c>
      <c r="H7516" t="s">
        <v>74</v>
      </c>
      <c r="I7516" s="4">
        <v>2115</v>
      </c>
      <c r="J7516" s="3">
        <v>2115</v>
      </c>
      <c r="K7516" s="4">
        <v>386</v>
      </c>
      <c r="L7516" t="s">
        <v>98</v>
      </c>
      <c r="M7516">
        <v>19</v>
      </c>
      <c r="N7516" t="s">
        <v>150</v>
      </c>
      <c r="O7516" t="s">
        <v>81</v>
      </c>
      <c r="P7516" t="s">
        <v>136</v>
      </c>
      <c r="Q7516" t="s">
        <v>140</v>
      </c>
      <c r="R7516" t="s">
        <v>141</v>
      </c>
      <c r="S7516" t="s">
        <v>145</v>
      </c>
      <c r="T7516" s="2">
        <f>MASTER[[#This Row],[CANTIDAD]]*MASTER[[#This Row],[PRECIO DE VENTA]]</f>
        <v>2115</v>
      </c>
      <c r="U7516" s="2">
        <f>MASTER[[#This Row],[CANTIDAD]]*MASTER[[#This Row],[COSTO UNITARIO]]</f>
        <v>386</v>
      </c>
      <c r="V7516" s="2">
        <f>MASTER[[#This Row],[MONTO VENDIDO]]-MASTER[[#This Row],[COSTO DE VENTA]]</f>
        <v>1729</v>
      </c>
    </row>
    <row r="7517" spans="1:22" x14ac:dyDescent="0.3">
      <c r="A7517">
        <v>108164</v>
      </c>
      <c r="B7517">
        <v>1</v>
      </c>
      <c r="C7517" t="s">
        <v>107</v>
      </c>
      <c r="D7517" t="s">
        <v>108</v>
      </c>
      <c r="E7517" s="1">
        <v>44410</v>
      </c>
      <c r="F7517">
        <v>1</v>
      </c>
      <c r="G7517" t="s">
        <v>45</v>
      </c>
      <c r="H7517" t="s">
        <v>46</v>
      </c>
      <c r="I7517" s="4">
        <v>1932</v>
      </c>
      <c r="J7517" s="3">
        <v>1932</v>
      </c>
      <c r="K7517" s="4">
        <v>380</v>
      </c>
      <c r="L7517" t="s">
        <v>98</v>
      </c>
      <c r="M7517">
        <v>19</v>
      </c>
      <c r="N7517" t="s">
        <v>150</v>
      </c>
      <c r="O7517" t="s">
        <v>81</v>
      </c>
      <c r="P7517" t="s">
        <v>136</v>
      </c>
      <c r="Q7517" t="s">
        <v>140</v>
      </c>
      <c r="R7517" t="s">
        <v>141</v>
      </c>
      <c r="S7517" t="s">
        <v>145</v>
      </c>
      <c r="T7517" s="2">
        <f>MASTER[[#This Row],[CANTIDAD]]*MASTER[[#This Row],[PRECIO DE VENTA]]</f>
        <v>1932</v>
      </c>
      <c r="U7517" s="2">
        <f>MASTER[[#This Row],[CANTIDAD]]*MASTER[[#This Row],[COSTO UNITARIO]]</f>
        <v>380</v>
      </c>
      <c r="V7517" s="2">
        <f>MASTER[[#This Row],[MONTO VENDIDO]]-MASTER[[#This Row],[COSTO DE VENTA]]</f>
        <v>1552</v>
      </c>
    </row>
    <row r="7518" spans="1:22" x14ac:dyDescent="0.3">
      <c r="A7518">
        <v>108169</v>
      </c>
      <c r="B7518">
        <v>1</v>
      </c>
      <c r="C7518" t="s">
        <v>92</v>
      </c>
      <c r="D7518" t="s">
        <v>93</v>
      </c>
      <c r="E7518" s="1">
        <v>44411</v>
      </c>
      <c r="F7518">
        <v>1</v>
      </c>
      <c r="G7518" t="s">
        <v>61</v>
      </c>
      <c r="H7518" t="s">
        <v>62</v>
      </c>
      <c r="I7518" s="4">
        <v>2705</v>
      </c>
      <c r="J7518" s="3">
        <v>2705</v>
      </c>
      <c r="K7518" s="4">
        <v>396</v>
      </c>
      <c r="L7518" t="s">
        <v>9</v>
      </c>
      <c r="M7518">
        <v>19</v>
      </c>
      <c r="N7518" t="s">
        <v>150</v>
      </c>
      <c r="O7518" t="s">
        <v>81</v>
      </c>
      <c r="P7518" t="s">
        <v>136</v>
      </c>
      <c r="Q7518" t="s">
        <v>140</v>
      </c>
      <c r="R7518" t="s">
        <v>141</v>
      </c>
      <c r="S7518" t="s">
        <v>145</v>
      </c>
      <c r="T7518" s="2">
        <f>MASTER[[#This Row],[CANTIDAD]]*MASTER[[#This Row],[PRECIO DE VENTA]]</f>
        <v>2705</v>
      </c>
      <c r="U7518" s="2">
        <f>MASTER[[#This Row],[CANTIDAD]]*MASTER[[#This Row],[COSTO UNITARIO]]</f>
        <v>396</v>
      </c>
      <c r="V7518" s="2">
        <f>MASTER[[#This Row],[MONTO VENDIDO]]-MASTER[[#This Row],[COSTO DE VENTA]]</f>
        <v>2309</v>
      </c>
    </row>
    <row r="7519" spans="1:22" x14ac:dyDescent="0.3">
      <c r="A7519">
        <v>108173</v>
      </c>
      <c r="B7519">
        <v>1</v>
      </c>
      <c r="C7519" t="s">
        <v>92</v>
      </c>
      <c r="D7519" t="s">
        <v>93</v>
      </c>
      <c r="E7519" s="1">
        <v>44411</v>
      </c>
      <c r="F7519">
        <v>1</v>
      </c>
      <c r="G7519" t="s">
        <v>41</v>
      </c>
      <c r="H7519" t="s">
        <v>42</v>
      </c>
      <c r="I7519" s="4">
        <v>2437</v>
      </c>
      <c r="J7519" s="3">
        <v>2437</v>
      </c>
      <c r="K7519" s="4">
        <v>396</v>
      </c>
      <c r="L7519" t="s">
        <v>9</v>
      </c>
      <c r="M7519">
        <v>19</v>
      </c>
      <c r="N7519" t="s">
        <v>150</v>
      </c>
      <c r="O7519" t="s">
        <v>81</v>
      </c>
      <c r="P7519" t="s">
        <v>136</v>
      </c>
      <c r="Q7519" t="s">
        <v>140</v>
      </c>
      <c r="R7519" t="s">
        <v>141</v>
      </c>
      <c r="S7519" t="s">
        <v>145</v>
      </c>
      <c r="T7519" s="2">
        <f>MASTER[[#This Row],[CANTIDAD]]*MASTER[[#This Row],[PRECIO DE VENTA]]</f>
        <v>2437</v>
      </c>
      <c r="U7519" s="2">
        <f>MASTER[[#This Row],[CANTIDAD]]*MASTER[[#This Row],[COSTO UNITARIO]]</f>
        <v>396</v>
      </c>
      <c r="V7519" s="2">
        <f>MASTER[[#This Row],[MONTO VENDIDO]]-MASTER[[#This Row],[COSTO DE VENTA]]</f>
        <v>2041</v>
      </c>
    </row>
    <row r="7520" spans="1:22" x14ac:dyDescent="0.3">
      <c r="A7520">
        <v>108197</v>
      </c>
      <c r="B7520">
        <v>1</v>
      </c>
      <c r="C7520" t="s">
        <v>109</v>
      </c>
      <c r="D7520" t="s">
        <v>110</v>
      </c>
      <c r="E7520" s="1">
        <v>44411</v>
      </c>
      <c r="F7520">
        <v>1</v>
      </c>
      <c r="G7520" t="s">
        <v>43</v>
      </c>
      <c r="H7520" t="s">
        <v>44</v>
      </c>
      <c r="I7520" s="4">
        <v>1542</v>
      </c>
      <c r="J7520" s="3">
        <v>1542</v>
      </c>
      <c r="K7520" s="4">
        <v>387</v>
      </c>
      <c r="L7520" t="s">
        <v>98</v>
      </c>
      <c r="M7520">
        <v>19</v>
      </c>
      <c r="N7520" t="s">
        <v>150</v>
      </c>
      <c r="O7520" t="s">
        <v>81</v>
      </c>
      <c r="P7520" t="s">
        <v>136</v>
      </c>
      <c r="Q7520" t="s">
        <v>140</v>
      </c>
      <c r="R7520" t="s">
        <v>141</v>
      </c>
      <c r="S7520" t="s">
        <v>145</v>
      </c>
      <c r="T7520" s="2">
        <f>MASTER[[#This Row],[CANTIDAD]]*MASTER[[#This Row],[PRECIO DE VENTA]]</f>
        <v>1542</v>
      </c>
      <c r="U7520" s="2">
        <f>MASTER[[#This Row],[CANTIDAD]]*MASTER[[#This Row],[COSTO UNITARIO]]</f>
        <v>387</v>
      </c>
      <c r="V7520" s="2">
        <f>MASTER[[#This Row],[MONTO VENDIDO]]-MASTER[[#This Row],[COSTO DE VENTA]]</f>
        <v>1155</v>
      </c>
    </row>
    <row r="7521" spans="1:22" x14ac:dyDescent="0.3">
      <c r="A7521">
        <v>108211</v>
      </c>
      <c r="B7521">
        <v>1</v>
      </c>
      <c r="C7521" t="s">
        <v>121</v>
      </c>
      <c r="D7521" t="s">
        <v>122</v>
      </c>
      <c r="E7521" s="1">
        <v>44411</v>
      </c>
      <c r="F7521">
        <v>1</v>
      </c>
      <c r="G7521" t="s">
        <v>67</v>
      </c>
      <c r="H7521" t="s">
        <v>68</v>
      </c>
      <c r="I7521" s="4">
        <v>1550</v>
      </c>
      <c r="J7521" s="3">
        <v>1441</v>
      </c>
      <c r="K7521" s="4">
        <v>460</v>
      </c>
      <c r="L7521" t="s">
        <v>120</v>
      </c>
      <c r="M7521">
        <v>19</v>
      </c>
      <c r="N7521" t="s">
        <v>150</v>
      </c>
      <c r="O7521" t="s">
        <v>81</v>
      </c>
      <c r="P7521" t="s">
        <v>136</v>
      </c>
      <c r="Q7521" t="s">
        <v>140</v>
      </c>
      <c r="R7521" t="s">
        <v>141</v>
      </c>
      <c r="S7521" t="s">
        <v>145</v>
      </c>
      <c r="T7521" s="2">
        <f>MASTER[[#This Row],[CANTIDAD]]*MASTER[[#This Row],[PRECIO DE VENTA]]</f>
        <v>1441</v>
      </c>
      <c r="U7521" s="2">
        <f>MASTER[[#This Row],[CANTIDAD]]*MASTER[[#This Row],[COSTO UNITARIO]]</f>
        <v>460</v>
      </c>
      <c r="V7521" s="2">
        <f>MASTER[[#This Row],[MONTO VENDIDO]]-MASTER[[#This Row],[COSTO DE VENTA]]</f>
        <v>981</v>
      </c>
    </row>
    <row r="7522" spans="1:22" x14ac:dyDescent="0.3">
      <c r="A7522">
        <v>108224</v>
      </c>
      <c r="B7522">
        <v>1</v>
      </c>
      <c r="C7522" t="s">
        <v>103</v>
      </c>
      <c r="D7522" t="s">
        <v>104</v>
      </c>
      <c r="E7522" s="1">
        <v>44412</v>
      </c>
      <c r="F7522">
        <v>1</v>
      </c>
      <c r="G7522" t="s">
        <v>24</v>
      </c>
      <c r="H7522" t="s">
        <v>25</v>
      </c>
      <c r="I7522" s="4">
        <v>2306</v>
      </c>
      <c r="J7522" s="3">
        <v>2306</v>
      </c>
      <c r="K7522" s="4">
        <v>421</v>
      </c>
      <c r="L7522" t="s">
        <v>98</v>
      </c>
      <c r="M7522">
        <v>19</v>
      </c>
      <c r="N7522" t="s">
        <v>150</v>
      </c>
      <c r="O7522" t="s">
        <v>81</v>
      </c>
      <c r="P7522" t="s">
        <v>136</v>
      </c>
      <c r="Q7522" t="s">
        <v>140</v>
      </c>
      <c r="R7522" t="s">
        <v>141</v>
      </c>
      <c r="S7522" t="s">
        <v>145</v>
      </c>
      <c r="T7522" s="2">
        <f>MASTER[[#This Row],[CANTIDAD]]*MASTER[[#This Row],[PRECIO DE VENTA]]</f>
        <v>2306</v>
      </c>
      <c r="U7522" s="2">
        <f>MASTER[[#This Row],[CANTIDAD]]*MASTER[[#This Row],[COSTO UNITARIO]]</f>
        <v>421</v>
      </c>
      <c r="V7522" s="2">
        <f>MASTER[[#This Row],[MONTO VENDIDO]]-MASTER[[#This Row],[COSTO DE VENTA]]</f>
        <v>1885</v>
      </c>
    </row>
    <row r="7523" spans="1:22" x14ac:dyDescent="0.3">
      <c r="A7523">
        <v>108238</v>
      </c>
      <c r="B7523">
        <v>1</v>
      </c>
      <c r="C7523" t="s">
        <v>114</v>
      </c>
      <c r="D7523" t="s">
        <v>115</v>
      </c>
      <c r="E7523" s="1">
        <v>44412</v>
      </c>
      <c r="F7523">
        <v>1</v>
      </c>
      <c r="G7523" t="s">
        <v>67</v>
      </c>
      <c r="H7523" t="s">
        <v>68</v>
      </c>
      <c r="I7523" s="4">
        <v>2943</v>
      </c>
      <c r="J7523" s="3">
        <v>2943</v>
      </c>
      <c r="K7523" s="4">
        <v>394</v>
      </c>
      <c r="L7523" t="s">
        <v>113</v>
      </c>
      <c r="M7523">
        <v>18</v>
      </c>
      <c r="N7523" t="str">
        <f>IF(MASTER[[#This Row],[IDLOCAL]]=17,"HYDE PARK", "HARLEM IRVING")</f>
        <v>HARLEM IRVING</v>
      </c>
      <c r="O7523" t="str">
        <f>IF(MASTER[[#This Row],[IDLOCAL]]=17,"PREMIUM", "ESTÁNDAR")</f>
        <v>ESTÁNDAR</v>
      </c>
      <c r="P7523" t="s">
        <v>137</v>
      </c>
      <c r="Q7523" t="s">
        <v>142</v>
      </c>
      <c r="R7523" t="s">
        <v>143</v>
      </c>
      <c r="S7523" t="s">
        <v>145</v>
      </c>
      <c r="T7523" s="2">
        <f>MASTER[[#This Row],[CANTIDAD]]*MASTER[[#This Row],[PRECIO DE VENTA]]</f>
        <v>2943</v>
      </c>
      <c r="U7523" s="2">
        <f>MASTER[[#This Row],[CANTIDAD]]*MASTER[[#This Row],[COSTO UNITARIO]]</f>
        <v>394</v>
      </c>
      <c r="V7523" s="2">
        <f>MASTER[[#This Row],[MONTO VENDIDO]]-MASTER[[#This Row],[COSTO DE VENTA]]</f>
        <v>2549</v>
      </c>
    </row>
    <row r="7524" spans="1:22" x14ac:dyDescent="0.3">
      <c r="A7524">
        <v>108239</v>
      </c>
      <c r="B7524">
        <v>1</v>
      </c>
      <c r="C7524" t="s">
        <v>5</v>
      </c>
      <c r="D7524" t="s">
        <v>6</v>
      </c>
      <c r="E7524" s="1">
        <v>44413</v>
      </c>
      <c r="F7524">
        <v>1</v>
      </c>
      <c r="G7524" t="s">
        <v>29</v>
      </c>
      <c r="H7524" t="s">
        <v>30</v>
      </c>
      <c r="I7524" s="4">
        <v>2185</v>
      </c>
      <c r="J7524" s="3">
        <v>2185</v>
      </c>
      <c r="K7524" s="4">
        <v>393</v>
      </c>
      <c r="L7524" t="s">
        <v>9</v>
      </c>
      <c r="M7524">
        <v>19</v>
      </c>
      <c r="N7524" t="s">
        <v>150</v>
      </c>
      <c r="O7524" t="s">
        <v>81</v>
      </c>
      <c r="P7524" t="s">
        <v>136</v>
      </c>
      <c r="Q7524" t="s">
        <v>140</v>
      </c>
      <c r="R7524" t="s">
        <v>141</v>
      </c>
      <c r="S7524" t="s">
        <v>145</v>
      </c>
      <c r="T7524" s="2">
        <f>MASTER[[#This Row],[CANTIDAD]]*MASTER[[#This Row],[PRECIO DE VENTA]]</f>
        <v>2185</v>
      </c>
      <c r="U7524" s="2">
        <f>MASTER[[#This Row],[CANTIDAD]]*MASTER[[#This Row],[COSTO UNITARIO]]</f>
        <v>393</v>
      </c>
      <c r="V7524" s="2">
        <f>MASTER[[#This Row],[MONTO VENDIDO]]-MASTER[[#This Row],[COSTO DE VENTA]]</f>
        <v>1792</v>
      </c>
    </row>
    <row r="7525" spans="1:22" x14ac:dyDescent="0.3">
      <c r="A7525">
        <v>108244</v>
      </c>
      <c r="B7525">
        <v>1</v>
      </c>
      <c r="C7525" t="s">
        <v>116</v>
      </c>
      <c r="D7525" t="s">
        <v>117</v>
      </c>
      <c r="E7525" s="1">
        <v>44415</v>
      </c>
      <c r="F7525">
        <v>1</v>
      </c>
      <c r="G7525" t="s">
        <v>7</v>
      </c>
      <c r="H7525" t="s">
        <v>8</v>
      </c>
      <c r="I7525" s="4">
        <v>2217</v>
      </c>
      <c r="J7525" s="3">
        <v>2217</v>
      </c>
      <c r="K7525" s="4">
        <v>388</v>
      </c>
      <c r="L7525" t="s">
        <v>113</v>
      </c>
      <c r="M7525">
        <v>19</v>
      </c>
      <c r="N7525" t="s">
        <v>150</v>
      </c>
      <c r="O7525" t="s">
        <v>81</v>
      </c>
      <c r="P7525" t="s">
        <v>136</v>
      </c>
      <c r="Q7525" t="s">
        <v>140</v>
      </c>
      <c r="R7525" t="s">
        <v>141</v>
      </c>
      <c r="S7525" t="s">
        <v>145</v>
      </c>
      <c r="T7525" s="2">
        <f>MASTER[[#This Row],[CANTIDAD]]*MASTER[[#This Row],[PRECIO DE VENTA]]</f>
        <v>2217</v>
      </c>
      <c r="U7525" s="2">
        <f>MASTER[[#This Row],[CANTIDAD]]*MASTER[[#This Row],[COSTO UNITARIO]]</f>
        <v>388</v>
      </c>
      <c r="V7525" s="2">
        <f>MASTER[[#This Row],[MONTO VENDIDO]]-MASTER[[#This Row],[COSTO DE VENTA]]</f>
        <v>1829</v>
      </c>
    </row>
    <row r="7526" spans="1:22" x14ac:dyDescent="0.3">
      <c r="A7526">
        <v>108263</v>
      </c>
      <c r="B7526">
        <v>1</v>
      </c>
      <c r="C7526" t="s">
        <v>105</v>
      </c>
      <c r="D7526" t="s">
        <v>106</v>
      </c>
      <c r="E7526" s="1">
        <v>44416</v>
      </c>
      <c r="F7526">
        <v>1</v>
      </c>
      <c r="G7526" t="s">
        <v>73</v>
      </c>
      <c r="H7526" t="s">
        <v>74</v>
      </c>
      <c r="I7526" s="4">
        <v>2704</v>
      </c>
      <c r="J7526" s="3">
        <v>2704</v>
      </c>
      <c r="K7526" s="4">
        <v>459</v>
      </c>
      <c r="L7526" t="s">
        <v>98</v>
      </c>
      <c r="M7526">
        <v>19</v>
      </c>
      <c r="N7526" t="s">
        <v>150</v>
      </c>
      <c r="O7526" t="s">
        <v>81</v>
      </c>
      <c r="P7526" t="s">
        <v>136</v>
      </c>
      <c r="Q7526" t="s">
        <v>140</v>
      </c>
      <c r="R7526" t="s">
        <v>141</v>
      </c>
      <c r="S7526" t="s">
        <v>145</v>
      </c>
      <c r="T7526" s="2">
        <f>MASTER[[#This Row],[CANTIDAD]]*MASTER[[#This Row],[PRECIO DE VENTA]]</f>
        <v>2704</v>
      </c>
      <c r="U7526" s="2">
        <f>MASTER[[#This Row],[CANTIDAD]]*MASTER[[#This Row],[COSTO UNITARIO]]</f>
        <v>459</v>
      </c>
      <c r="V7526" s="2">
        <f>MASTER[[#This Row],[MONTO VENDIDO]]-MASTER[[#This Row],[COSTO DE VENTA]]</f>
        <v>2245</v>
      </c>
    </row>
    <row r="7527" spans="1:22" x14ac:dyDescent="0.3">
      <c r="A7527">
        <v>108289</v>
      </c>
      <c r="B7527">
        <v>1</v>
      </c>
      <c r="C7527" t="s">
        <v>118</v>
      </c>
      <c r="D7527" t="s">
        <v>119</v>
      </c>
      <c r="E7527" s="1">
        <v>44416</v>
      </c>
      <c r="F7527">
        <v>1</v>
      </c>
      <c r="G7527" t="s">
        <v>49</v>
      </c>
      <c r="H7527" t="s">
        <v>50</v>
      </c>
      <c r="I7527" s="4">
        <v>1305</v>
      </c>
      <c r="J7527" s="3">
        <v>1305</v>
      </c>
      <c r="K7527" s="4">
        <v>424</v>
      </c>
      <c r="L7527" t="s">
        <v>120</v>
      </c>
      <c r="M7527">
        <v>19</v>
      </c>
      <c r="N7527" t="s">
        <v>150</v>
      </c>
      <c r="O7527" t="s">
        <v>81</v>
      </c>
      <c r="P7527" t="s">
        <v>136</v>
      </c>
      <c r="Q7527" t="s">
        <v>140</v>
      </c>
      <c r="R7527" t="s">
        <v>141</v>
      </c>
      <c r="S7527" t="s">
        <v>145</v>
      </c>
      <c r="T7527" s="2">
        <f>MASTER[[#This Row],[CANTIDAD]]*MASTER[[#This Row],[PRECIO DE VENTA]]</f>
        <v>1305</v>
      </c>
      <c r="U7527" s="2">
        <f>MASTER[[#This Row],[CANTIDAD]]*MASTER[[#This Row],[COSTO UNITARIO]]</f>
        <v>424</v>
      </c>
      <c r="V7527" s="2">
        <f>MASTER[[#This Row],[MONTO VENDIDO]]-MASTER[[#This Row],[COSTO DE VENTA]]</f>
        <v>881</v>
      </c>
    </row>
    <row r="7528" spans="1:22" x14ac:dyDescent="0.3">
      <c r="A7528">
        <v>108304</v>
      </c>
      <c r="B7528">
        <v>1</v>
      </c>
      <c r="C7528" t="s">
        <v>90</v>
      </c>
      <c r="D7528" t="s">
        <v>91</v>
      </c>
      <c r="E7528" s="1">
        <v>44417</v>
      </c>
      <c r="F7528">
        <v>1</v>
      </c>
      <c r="G7528" t="s">
        <v>37</v>
      </c>
      <c r="H7528" t="s">
        <v>38</v>
      </c>
      <c r="I7528" s="4">
        <v>2673</v>
      </c>
      <c r="J7528" s="3">
        <v>2673</v>
      </c>
      <c r="K7528" s="4">
        <v>420</v>
      </c>
      <c r="L7528" t="s">
        <v>9</v>
      </c>
      <c r="M7528">
        <v>17</v>
      </c>
      <c r="N7528" t="str">
        <f>IF(MASTER[[#This Row],[IDLOCAL]]=17,"HYDE PARK", "HARLEM IRVING")</f>
        <v>HYDE PARK</v>
      </c>
      <c r="O7528" t="str">
        <f>IF(MASTER[[#This Row],[IDLOCAL]]=17,"PREMIUM", "ESTÁNDAR")</f>
        <v>PREMIUM</v>
      </c>
      <c r="P7528" t="s">
        <v>137</v>
      </c>
      <c r="Q7528" t="s">
        <v>142</v>
      </c>
      <c r="R7528" t="s">
        <v>143</v>
      </c>
      <c r="S7528" t="s">
        <v>145</v>
      </c>
      <c r="T7528" s="2">
        <f>MASTER[[#This Row],[CANTIDAD]]*MASTER[[#This Row],[PRECIO DE VENTA]]</f>
        <v>2673</v>
      </c>
      <c r="U7528" s="2">
        <f>MASTER[[#This Row],[CANTIDAD]]*MASTER[[#This Row],[COSTO UNITARIO]]</f>
        <v>420</v>
      </c>
      <c r="V7528" s="2">
        <f>MASTER[[#This Row],[MONTO VENDIDO]]-MASTER[[#This Row],[COSTO DE VENTA]]</f>
        <v>2253</v>
      </c>
    </row>
    <row r="7529" spans="1:22" x14ac:dyDescent="0.3">
      <c r="A7529">
        <v>108326</v>
      </c>
      <c r="B7529">
        <v>1</v>
      </c>
      <c r="C7529" t="s">
        <v>114</v>
      </c>
      <c r="D7529" t="s">
        <v>115</v>
      </c>
      <c r="E7529" s="1">
        <v>44417</v>
      </c>
      <c r="F7529">
        <v>1</v>
      </c>
      <c r="G7529" t="s">
        <v>7</v>
      </c>
      <c r="H7529" t="s">
        <v>8</v>
      </c>
      <c r="I7529" s="4">
        <v>2699</v>
      </c>
      <c r="J7529" s="3">
        <v>2699</v>
      </c>
      <c r="K7529" s="4">
        <v>394</v>
      </c>
      <c r="L7529" t="s">
        <v>113</v>
      </c>
      <c r="M7529">
        <v>18</v>
      </c>
      <c r="N7529" t="str">
        <f>IF(MASTER[[#This Row],[IDLOCAL]]=17,"HYDE PARK", "HARLEM IRVING")</f>
        <v>HARLEM IRVING</v>
      </c>
      <c r="O7529" t="str">
        <f>IF(MASTER[[#This Row],[IDLOCAL]]=17,"PREMIUM", "ESTÁNDAR")</f>
        <v>ESTÁNDAR</v>
      </c>
      <c r="P7529" t="s">
        <v>137</v>
      </c>
      <c r="Q7529" t="s">
        <v>142</v>
      </c>
      <c r="R7529" t="s">
        <v>143</v>
      </c>
      <c r="S7529" t="s">
        <v>145</v>
      </c>
      <c r="T7529" s="2">
        <f>MASTER[[#This Row],[CANTIDAD]]*MASTER[[#This Row],[PRECIO DE VENTA]]</f>
        <v>2699</v>
      </c>
      <c r="U7529" s="2">
        <f>MASTER[[#This Row],[CANTIDAD]]*MASTER[[#This Row],[COSTO UNITARIO]]</f>
        <v>394</v>
      </c>
      <c r="V7529" s="2">
        <f>MASTER[[#This Row],[MONTO VENDIDO]]-MASTER[[#This Row],[COSTO DE VENTA]]</f>
        <v>2305</v>
      </c>
    </row>
    <row r="7530" spans="1:22" x14ac:dyDescent="0.3">
      <c r="A7530">
        <v>108342</v>
      </c>
      <c r="B7530">
        <v>1</v>
      </c>
      <c r="C7530" t="s">
        <v>94</v>
      </c>
      <c r="D7530" t="s">
        <v>95</v>
      </c>
      <c r="E7530" s="1">
        <v>44418</v>
      </c>
      <c r="F7530">
        <v>1</v>
      </c>
      <c r="G7530" t="s">
        <v>55</v>
      </c>
      <c r="H7530" t="s">
        <v>56</v>
      </c>
      <c r="I7530" s="4">
        <v>1671</v>
      </c>
      <c r="J7530" s="3">
        <v>1671</v>
      </c>
      <c r="K7530" s="4">
        <v>392</v>
      </c>
      <c r="L7530" t="s">
        <v>9</v>
      </c>
      <c r="M7530">
        <v>19</v>
      </c>
      <c r="N7530" t="s">
        <v>150</v>
      </c>
      <c r="O7530" t="s">
        <v>81</v>
      </c>
      <c r="P7530" t="s">
        <v>136</v>
      </c>
      <c r="Q7530" t="s">
        <v>140</v>
      </c>
      <c r="R7530" t="s">
        <v>141</v>
      </c>
      <c r="S7530" t="s">
        <v>145</v>
      </c>
      <c r="T7530" s="2">
        <f>MASTER[[#This Row],[CANTIDAD]]*MASTER[[#This Row],[PRECIO DE VENTA]]</f>
        <v>1671</v>
      </c>
      <c r="U7530" s="2">
        <f>MASTER[[#This Row],[CANTIDAD]]*MASTER[[#This Row],[COSTO UNITARIO]]</f>
        <v>392</v>
      </c>
      <c r="V7530" s="2">
        <f>MASTER[[#This Row],[MONTO VENDIDO]]-MASTER[[#This Row],[COSTO DE VENTA]]</f>
        <v>1279</v>
      </c>
    </row>
    <row r="7531" spans="1:22" x14ac:dyDescent="0.3">
      <c r="A7531">
        <v>108343</v>
      </c>
      <c r="B7531">
        <v>1</v>
      </c>
      <c r="C7531" t="s">
        <v>5</v>
      </c>
      <c r="D7531" t="s">
        <v>6</v>
      </c>
      <c r="E7531" s="1">
        <v>44419</v>
      </c>
      <c r="F7531">
        <v>1</v>
      </c>
      <c r="G7531" t="s">
        <v>7</v>
      </c>
      <c r="H7531" t="s">
        <v>8</v>
      </c>
      <c r="I7531" s="4">
        <v>1900</v>
      </c>
      <c r="J7531" s="3">
        <v>1900</v>
      </c>
      <c r="K7531" s="4">
        <v>393</v>
      </c>
      <c r="L7531" t="s">
        <v>9</v>
      </c>
      <c r="M7531">
        <v>19</v>
      </c>
      <c r="N7531" t="s">
        <v>150</v>
      </c>
      <c r="O7531" t="s">
        <v>81</v>
      </c>
      <c r="P7531" t="s">
        <v>136</v>
      </c>
      <c r="Q7531" t="s">
        <v>140</v>
      </c>
      <c r="R7531" t="s">
        <v>141</v>
      </c>
      <c r="S7531" t="s">
        <v>145</v>
      </c>
      <c r="T7531" s="2">
        <f>MASTER[[#This Row],[CANTIDAD]]*MASTER[[#This Row],[PRECIO DE VENTA]]</f>
        <v>1900</v>
      </c>
      <c r="U7531" s="2">
        <f>MASTER[[#This Row],[CANTIDAD]]*MASTER[[#This Row],[COSTO UNITARIO]]</f>
        <v>393</v>
      </c>
      <c r="V7531" s="2">
        <f>MASTER[[#This Row],[MONTO VENDIDO]]-MASTER[[#This Row],[COSTO DE VENTA]]</f>
        <v>1507</v>
      </c>
    </row>
    <row r="7532" spans="1:22" x14ac:dyDescent="0.3">
      <c r="A7532">
        <v>108347</v>
      </c>
      <c r="B7532">
        <v>1</v>
      </c>
      <c r="C7532" t="s">
        <v>94</v>
      </c>
      <c r="D7532" t="s">
        <v>95</v>
      </c>
      <c r="E7532" s="1">
        <v>44419</v>
      </c>
      <c r="F7532">
        <v>1</v>
      </c>
      <c r="G7532" t="s">
        <v>20</v>
      </c>
      <c r="H7532" t="s">
        <v>21</v>
      </c>
      <c r="I7532" s="4">
        <v>1519</v>
      </c>
      <c r="J7532" s="3">
        <v>1519</v>
      </c>
      <c r="K7532" s="4">
        <v>392</v>
      </c>
      <c r="L7532" t="s">
        <v>9</v>
      </c>
      <c r="M7532">
        <v>17</v>
      </c>
      <c r="N7532" t="str">
        <f>IF(MASTER[[#This Row],[IDLOCAL]]=17,"HYDE PARK", "HARLEM IRVING")</f>
        <v>HYDE PARK</v>
      </c>
      <c r="O7532" t="str">
        <f>IF(MASTER[[#This Row],[IDLOCAL]]=17,"PREMIUM", "ESTÁNDAR")</f>
        <v>PREMIUM</v>
      </c>
      <c r="P7532" t="s">
        <v>137</v>
      </c>
      <c r="Q7532" t="s">
        <v>142</v>
      </c>
      <c r="R7532" t="s">
        <v>143</v>
      </c>
      <c r="S7532" t="s">
        <v>145</v>
      </c>
      <c r="T7532" s="2">
        <f>MASTER[[#This Row],[CANTIDAD]]*MASTER[[#This Row],[PRECIO DE VENTA]]</f>
        <v>1519</v>
      </c>
      <c r="U7532" s="2">
        <f>MASTER[[#This Row],[CANTIDAD]]*MASTER[[#This Row],[COSTO UNITARIO]]</f>
        <v>392</v>
      </c>
      <c r="V7532" s="2">
        <f>MASTER[[#This Row],[MONTO VENDIDO]]-MASTER[[#This Row],[COSTO DE VENTA]]</f>
        <v>1127</v>
      </c>
    </row>
    <row r="7533" spans="1:22" x14ac:dyDescent="0.3">
      <c r="A7533">
        <v>108349</v>
      </c>
      <c r="B7533">
        <v>1</v>
      </c>
      <c r="C7533" t="s">
        <v>116</v>
      </c>
      <c r="D7533" t="s">
        <v>117</v>
      </c>
      <c r="E7533" s="1">
        <v>44419</v>
      </c>
      <c r="F7533">
        <v>1</v>
      </c>
      <c r="G7533" t="s">
        <v>49</v>
      </c>
      <c r="H7533" t="s">
        <v>50</v>
      </c>
      <c r="I7533" s="4">
        <v>2898</v>
      </c>
      <c r="J7533" s="3">
        <v>2898</v>
      </c>
      <c r="K7533" s="4">
        <v>388</v>
      </c>
      <c r="L7533" t="s">
        <v>113</v>
      </c>
      <c r="M7533">
        <v>19</v>
      </c>
      <c r="N7533" t="s">
        <v>150</v>
      </c>
      <c r="O7533" t="s">
        <v>81</v>
      </c>
      <c r="P7533" t="s">
        <v>136</v>
      </c>
      <c r="Q7533" t="s">
        <v>140</v>
      </c>
      <c r="R7533" t="s">
        <v>141</v>
      </c>
      <c r="S7533" t="s">
        <v>145</v>
      </c>
      <c r="T7533" s="2">
        <f>MASTER[[#This Row],[CANTIDAD]]*MASTER[[#This Row],[PRECIO DE VENTA]]</f>
        <v>2898</v>
      </c>
      <c r="U7533" s="2">
        <f>MASTER[[#This Row],[CANTIDAD]]*MASTER[[#This Row],[COSTO UNITARIO]]</f>
        <v>388</v>
      </c>
      <c r="V7533" s="2">
        <f>MASTER[[#This Row],[MONTO VENDIDO]]-MASTER[[#This Row],[COSTO DE VENTA]]</f>
        <v>2510</v>
      </c>
    </row>
    <row r="7534" spans="1:22" x14ac:dyDescent="0.3">
      <c r="A7534">
        <v>108350</v>
      </c>
      <c r="B7534">
        <v>1</v>
      </c>
      <c r="C7534" t="s">
        <v>90</v>
      </c>
      <c r="D7534" t="s">
        <v>91</v>
      </c>
      <c r="E7534" s="1">
        <v>44421</v>
      </c>
      <c r="F7534">
        <v>1</v>
      </c>
      <c r="G7534" t="s">
        <v>39</v>
      </c>
      <c r="H7534" t="s">
        <v>40</v>
      </c>
      <c r="I7534" s="4">
        <v>2407</v>
      </c>
      <c r="J7534" s="3">
        <v>2407</v>
      </c>
      <c r="K7534" s="4">
        <v>420</v>
      </c>
      <c r="L7534" t="s">
        <v>9</v>
      </c>
      <c r="M7534">
        <v>19</v>
      </c>
      <c r="N7534" t="s">
        <v>150</v>
      </c>
      <c r="O7534" t="s">
        <v>81</v>
      </c>
      <c r="P7534" t="s">
        <v>136</v>
      </c>
      <c r="Q7534" t="s">
        <v>140</v>
      </c>
      <c r="R7534" t="s">
        <v>141</v>
      </c>
      <c r="S7534" t="s">
        <v>145</v>
      </c>
      <c r="T7534" s="2">
        <f>MASTER[[#This Row],[CANTIDAD]]*MASTER[[#This Row],[PRECIO DE VENTA]]</f>
        <v>2407</v>
      </c>
      <c r="U7534" s="2">
        <f>MASTER[[#This Row],[CANTIDAD]]*MASTER[[#This Row],[COSTO UNITARIO]]</f>
        <v>420</v>
      </c>
      <c r="V7534" s="2">
        <f>MASTER[[#This Row],[MONTO VENDIDO]]-MASTER[[#This Row],[COSTO DE VENTA]]</f>
        <v>1987</v>
      </c>
    </row>
    <row r="7535" spans="1:22" x14ac:dyDescent="0.3">
      <c r="A7535">
        <v>108358</v>
      </c>
      <c r="B7535">
        <v>1</v>
      </c>
      <c r="C7535" t="s">
        <v>96</v>
      </c>
      <c r="D7535" t="s">
        <v>97</v>
      </c>
      <c r="E7535" s="1">
        <v>44421</v>
      </c>
      <c r="F7535">
        <v>1</v>
      </c>
      <c r="G7535" t="s">
        <v>73</v>
      </c>
      <c r="H7535" t="s">
        <v>74</v>
      </c>
      <c r="I7535" s="4">
        <v>1844</v>
      </c>
      <c r="J7535" s="3">
        <v>1844</v>
      </c>
      <c r="K7535" s="4">
        <v>397</v>
      </c>
      <c r="L7535" t="s">
        <v>98</v>
      </c>
      <c r="M7535">
        <v>17</v>
      </c>
      <c r="N7535" t="str">
        <f>IF(MASTER[[#This Row],[IDLOCAL]]=17,"HYDE PARK", "HARLEM IRVING")</f>
        <v>HYDE PARK</v>
      </c>
      <c r="O7535" t="str">
        <f>IF(MASTER[[#This Row],[IDLOCAL]]=17,"PREMIUM", "ESTÁNDAR")</f>
        <v>PREMIUM</v>
      </c>
      <c r="P7535" t="s">
        <v>137</v>
      </c>
      <c r="Q7535" t="s">
        <v>142</v>
      </c>
      <c r="R7535" t="s">
        <v>143</v>
      </c>
      <c r="S7535" t="s">
        <v>145</v>
      </c>
      <c r="T7535" s="2">
        <f>MASTER[[#This Row],[CANTIDAD]]*MASTER[[#This Row],[PRECIO DE VENTA]]</f>
        <v>1844</v>
      </c>
      <c r="U7535" s="2">
        <f>MASTER[[#This Row],[CANTIDAD]]*MASTER[[#This Row],[COSTO UNITARIO]]</f>
        <v>397</v>
      </c>
      <c r="V7535" s="2">
        <f>MASTER[[#This Row],[MONTO VENDIDO]]-MASTER[[#This Row],[COSTO DE VENTA]]</f>
        <v>1447</v>
      </c>
    </row>
    <row r="7536" spans="1:22" x14ac:dyDescent="0.3">
      <c r="A7536">
        <v>108359</v>
      </c>
      <c r="B7536">
        <v>1</v>
      </c>
      <c r="C7536" t="s">
        <v>99</v>
      </c>
      <c r="D7536" t="s">
        <v>100</v>
      </c>
      <c r="E7536" s="1">
        <v>44421</v>
      </c>
      <c r="F7536">
        <v>1</v>
      </c>
      <c r="G7536" t="s">
        <v>61</v>
      </c>
      <c r="H7536" t="s">
        <v>62</v>
      </c>
      <c r="I7536" s="4">
        <v>1925</v>
      </c>
      <c r="J7536" s="3">
        <v>1925</v>
      </c>
      <c r="K7536" s="4">
        <v>386</v>
      </c>
      <c r="L7536" t="s">
        <v>98</v>
      </c>
      <c r="M7536">
        <v>17</v>
      </c>
      <c r="N7536" t="str">
        <f>IF(MASTER[[#This Row],[IDLOCAL]]=17,"HYDE PARK", "HARLEM IRVING")</f>
        <v>HYDE PARK</v>
      </c>
      <c r="O7536" t="str">
        <f>IF(MASTER[[#This Row],[IDLOCAL]]=17,"PREMIUM", "ESTÁNDAR")</f>
        <v>PREMIUM</v>
      </c>
      <c r="P7536" t="s">
        <v>137</v>
      </c>
      <c r="Q7536" t="s">
        <v>142</v>
      </c>
      <c r="R7536" t="s">
        <v>143</v>
      </c>
      <c r="S7536" t="s">
        <v>145</v>
      </c>
      <c r="T7536" s="2">
        <f>MASTER[[#This Row],[CANTIDAD]]*MASTER[[#This Row],[PRECIO DE VENTA]]</f>
        <v>1925</v>
      </c>
      <c r="U7536" s="2">
        <f>MASTER[[#This Row],[CANTIDAD]]*MASTER[[#This Row],[COSTO UNITARIO]]</f>
        <v>386</v>
      </c>
      <c r="V7536" s="2">
        <f>MASTER[[#This Row],[MONTO VENDIDO]]-MASTER[[#This Row],[COSTO DE VENTA]]</f>
        <v>1539</v>
      </c>
    </row>
    <row r="7537" spans="1:22" x14ac:dyDescent="0.3">
      <c r="A7537">
        <v>108378</v>
      </c>
      <c r="B7537">
        <v>1</v>
      </c>
      <c r="C7537" t="s">
        <v>99</v>
      </c>
      <c r="D7537" t="s">
        <v>100</v>
      </c>
      <c r="E7537" s="1">
        <v>44421</v>
      </c>
      <c r="F7537">
        <v>1</v>
      </c>
      <c r="G7537" t="s">
        <v>73</v>
      </c>
      <c r="H7537" t="s">
        <v>74</v>
      </c>
      <c r="I7537" s="4">
        <v>2115</v>
      </c>
      <c r="J7537" s="3">
        <v>2115</v>
      </c>
      <c r="K7537" s="4">
        <v>386</v>
      </c>
      <c r="L7537" t="s">
        <v>98</v>
      </c>
      <c r="M7537">
        <v>19</v>
      </c>
      <c r="N7537" t="s">
        <v>150</v>
      </c>
      <c r="O7537" t="s">
        <v>81</v>
      </c>
      <c r="P7537" t="s">
        <v>136</v>
      </c>
      <c r="Q7537" t="s">
        <v>140</v>
      </c>
      <c r="R7537" t="s">
        <v>141</v>
      </c>
      <c r="S7537" t="s">
        <v>145</v>
      </c>
      <c r="T7537" s="2">
        <f>MASTER[[#This Row],[CANTIDAD]]*MASTER[[#This Row],[PRECIO DE VENTA]]</f>
        <v>2115</v>
      </c>
      <c r="U7537" s="2">
        <f>MASTER[[#This Row],[CANTIDAD]]*MASTER[[#This Row],[COSTO UNITARIO]]</f>
        <v>386</v>
      </c>
      <c r="V7537" s="2">
        <f>MASTER[[#This Row],[MONTO VENDIDO]]-MASTER[[#This Row],[COSTO DE VENTA]]</f>
        <v>1729</v>
      </c>
    </row>
    <row r="7538" spans="1:22" x14ac:dyDescent="0.3">
      <c r="A7538">
        <v>108383</v>
      </c>
      <c r="B7538">
        <v>1</v>
      </c>
      <c r="C7538" t="s">
        <v>5</v>
      </c>
      <c r="D7538" t="s">
        <v>6</v>
      </c>
      <c r="E7538" s="1">
        <v>44422</v>
      </c>
      <c r="F7538">
        <v>1</v>
      </c>
      <c r="G7538" t="s">
        <v>39</v>
      </c>
      <c r="H7538" t="s">
        <v>40</v>
      </c>
      <c r="I7538" s="4">
        <v>1879</v>
      </c>
      <c r="J7538" s="3">
        <v>1879</v>
      </c>
      <c r="K7538" s="4">
        <v>393</v>
      </c>
      <c r="L7538" t="s">
        <v>9</v>
      </c>
      <c r="M7538">
        <v>18</v>
      </c>
      <c r="N7538" t="str">
        <f>IF(MASTER[[#This Row],[IDLOCAL]]=17,"HYDE PARK", "HARLEM IRVING")</f>
        <v>HARLEM IRVING</v>
      </c>
      <c r="O7538" t="str">
        <f>IF(MASTER[[#This Row],[IDLOCAL]]=17,"PREMIUM", "ESTÁNDAR")</f>
        <v>ESTÁNDAR</v>
      </c>
      <c r="P7538" t="s">
        <v>137</v>
      </c>
      <c r="Q7538" t="s">
        <v>142</v>
      </c>
      <c r="R7538" t="s">
        <v>143</v>
      </c>
      <c r="S7538" t="s">
        <v>145</v>
      </c>
      <c r="T7538" s="2">
        <f>MASTER[[#This Row],[CANTIDAD]]*MASTER[[#This Row],[PRECIO DE VENTA]]</f>
        <v>1879</v>
      </c>
      <c r="U7538" s="2">
        <f>MASTER[[#This Row],[CANTIDAD]]*MASTER[[#This Row],[COSTO UNITARIO]]</f>
        <v>393</v>
      </c>
      <c r="V7538" s="2">
        <f>MASTER[[#This Row],[MONTO VENDIDO]]-MASTER[[#This Row],[COSTO DE VENTA]]</f>
        <v>1486</v>
      </c>
    </row>
    <row r="7539" spans="1:22" x14ac:dyDescent="0.3">
      <c r="A7539">
        <v>108384</v>
      </c>
      <c r="B7539">
        <v>1</v>
      </c>
      <c r="C7539" t="s">
        <v>111</v>
      </c>
      <c r="D7539" t="s">
        <v>112</v>
      </c>
      <c r="E7539" s="1">
        <v>44423</v>
      </c>
      <c r="F7539">
        <v>4</v>
      </c>
      <c r="G7539" t="s">
        <v>37</v>
      </c>
      <c r="H7539" t="s">
        <v>38</v>
      </c>
      <c r="I7539" s="4">
        <v>2350</v>
      </c>
      <c r="J7539" s="3">
        <v>2350</v>
      </c>
      <c r="K7539" s="4">
        <v>434</v>
      </c>
      <c r="L7539" t="s">
        <v>113</v>
      </c>
      <c r="M7539">
        <v>17</v>
      </c>
      <c r="N7539" t="str">
        <f>IF(MASTER[[#This Row],[IDLOCAL]]=17,"HYDE PARK", "HARLEM IRVING")</f>
        <v>HYDE PARK</v>
      </c>
      <c r="O7539" t="str">
        <f>IF(MASTER[[#This Row],[IDLOCAL]]=17,"PREMIUM", "ESTÁNDAR")</f>
        <v>PREMIUM</v>
      </c>
      <c r="P7539" t="s">
        <v>137</v>
      </c>
      <c r="Q7539" t="s">
        <v>142</v>
      </c>
      <c r="R7539" t="s">
        <v>143</v>
      </c>
      <c r="S7539" t="s">
        <v>145</v>
      </c>
      <c r="T7539" s="2">
        <f>MASTER[[#This Row],[CANTIDAD]]*MASTER[[#This Row],[PRECIO DE VENTA]]</f>
        <v>9400</v>
      </c>
      <c r="U7539" s="2">
        <f>MASTER[[#This Row],[CANTIDAD]]*MASTER[[#This Row],[COSTO UNITARIO]]</f>
        <v>1736</v>
      </c>
      <c r="V7539" s="2">
        <f>MASTER[[#This Row],[MONTO VENDIDO]]-MASTER[[#This Row],[COSTO DE VENTA]]</f>
        <v>7664</v>
      </c>
    </row>
    <row r="7540" spans="1:22" x14ac:dyDescent="0.3">
      <c r="A7540">
        <v>108386</v>
      </c>
      <c r="B7540">
        <v>1</v>
      </c>
      <c r="C7540" t="s">
        <v>101</v>
      </c>
      <c r="D7540" t="s">
        <v>102</v>
      </c>
      <c r="E7540" s="1">
        <v>44425</v>
      </c>
      <c r="F7540">
        <v>1</v>
      </c>
      <c r="G7540" t="s">
        <v>47</v>
      </c>
      <c r="H7540" t="s">
        <v>48</v>
      </c>
      <c r="I7540" s="4">
        <v>1967</v>
      </c>
      <c r="J7540" s="3">
        <v>1967</v>
      </c>
      <c r="K7540" s="4">
        <v>442</v>
      </c>
      <c r="L7540" t="s">
        <v>98</v>
      </c>
      <c r="M7540">
        <v>18</v>
      </c>
      <c r="N7540" t="str">
        <f>IF(MASTER[[#This Row],[IDLOCAL]]=17,"HYDE PARK", "HARLEM IRVING")</f>
        <v>HARLEM IRVING</v>
      </c>
      <c r="O7540" t="str">
        <f>IF(MASTER[[#This Row],[IDLOCAL]]=17,"PREMIUM", "ESTÁNDAR")</f>
        <v>ESTÁNDAR</v>
      </c>
      <c r="P7540" t="s">
        <v>137</v>
      </c>
      <c r="Q7540" t="s">
        <v>142</v>
      </c>
      <c r="R7540" t="s">
        <v>143</v>
      </c>
      <c r="S7540" t="s">
        <v>145</v>
      </c>
      <c r="T7540" s="2">
        <f>MASTER[[#This Row],[CANTIDAD]]*MASTER[[#This Row],[PRECIO DE VENTA]]</f>
        <v>1967</v>
      </c>
      <c r="U7540" s="2">
        <f>MASTER[[#This Row],[CANTIDAD]]*MASTER[[#This Row],[COSTO UNITARIO]]</f>
        <v>442</v>
      </c>
      <c r="V7540" s="2">
        <f>MASTER[[#This Row],[MONTO VENDIDO]]-MASTER[[#This Row],[COSTO DE VENTA]]</f>
        <v>1525</v>
      </c>
    </row>
    <row r="7541" spans="1:22" x14ac:dyDescent="0.3">
      <c r="A7541">
        <v>108396</v>
      </c>
      <c r="B7541">
        <v>1</v>
      </c>
      <c r="C7541" t="s">
        <v>101</v>
      </c>
      <c r="D7541" t="s">
        <v>102</v>
      </c>
      <c r="E7541" s="1">
        <v>44426</v>
      </c>
      <c r="F7541">
        <v>1</v>
      </c>
      <c r="G7541" t="s">
        <v>29</v>
      </c>
      <c r="H7541" t="s">
        <v>30</v>
      </c>
      <c r="I7541" s="4">
        <v>1757</v>
      </c>
      <c r="J7541" s="3">
        <v>1757</v>
      </c>
      <c r="K7541" s="4">
        <v>442</v>
      </c>
      <c r="L7541" t="s">
        <v>98</v>
      </c>
      <c r="M7541">
        <v>19</v>
      </c>
      <c r="N7541" t="s">
        <v>150</v>
      </c>
      <c r="O7541" t="s">
        <v>81</v>
      </c>
      <c r="P7541" t="s">
        <v>136</v>
      </c>
      <c r="Q7541" t="s">
        <v>140</v>
      </c>
      <c r="R7541" t="s">
        <v>141</v>
      </c>
      <c r="S7541" t="s">
        <v>145</v>
      </c>
      <c r="T7541" s="2">
        <f>MASTER[[#This Row],[CANTIDAD]]*MASTER[[#This Row],[PRECIO DE VENTA]]</f>
        <v>1757</v>
      </c>
      <c r="U7541" s="2">
        <f>MASTER[[#This Row],[CANTIDAD]]*MASTER[[#This Row],[COSTO UNITARIO]]</f>
        <v>442</v>
      </c>
      <c r="V7541" s="2">
        <f>MASTER[[#This Row],[MONTO VENDIDO]]-MASTER[[#This Row],[COSTO DE VENTA]]</f>
        <v>1315</v>
      </c>
    </row>
    <row r="7542" spans="1:22" x14ac:dyDescent="0.3">
      <c r="A7542">
        <v>108398</v>
      </c>
      <c r="B7542">
        <v>2</v>
      </c>
      <c r="C7542" t="s">
        <v>116</v>
      </c>
      <c r="D7542" t="s">
        <v>117</v>
      </c>
      <c r="E7542" s="1">
        <v>44426</v>
      </c>
      <c r="F7542">
        <v>1</v>
      </c>
      <c r="G7542" t="s">
        <v>63</v>
      </c>
      <c r="H7542" t="s">
        <v>64</v>
      </c>
      <c r="I7542" s="4">
        <v>2520</v>
      </c>
      <c r="J7542" s="3">
        <v>2520</v>
      </c>
      <c r="K7542" s="4">
        <v>388</v>
      </c>
      <c r="L7542" t="s">
        <v>113</v>
      </c>
      <c r="M7542">
        <v>19</v>
      </c>
      <c r="N7542" t="s">
        <v>150</v>
      </c>
      <c r="O7542" t="s">
        <v>81</v>
      </c>
      <c r="P7542" t="s">
        <v>136</v>
      </c>
      <c r="Q7542" t="s">
        <v>140</v>
      </c>
      <c r="R7542" t="s">
        <v>141</v>
      </c>
      <c r="S7542" t="s">
        <v>145</v>
      </c>
      <c r="T7542" s="2">
        <f>MASTER[[#This Row],[CANTIDAD]]*MASTER[[#This Row],[PRECIO DE VENTA]]</f>
        <v>2520</v>
      </c>
      <c r="U7542" s="2">
        <f>MASTER[[#This Row],[CANTIDAD]]*MASTER[[#This Row],[COSTO UNITARIO]]</f>
        <v>388</v>
      </c>
      <c r="V7542" s="2">
        <f>MASTER[[#This Row],[MONTO VENDIDO]]-MASTER[[#This Row],[COSTO DE VENTA]]</f>
        <v>2132</v>
      </c>
    </row>
    <row r="7543" spans="1:22" x14ac:dyDescent="0.3">
      <c r="A7543">
        <v>108416</v>
      </c>
      <c r="B7543">
        <v>1</v>
      </c>
      <c r="C7543" t="s">
        <v>118</v>
      </c>
      <c r="D7543" t="s">
        <v>119</v>
      </c>
      <c r="E7543" s="1">
        <v>44426</v>
      </c>
      <c r="F7543">
        <v>1</v>
      </c>
      <c r="G7543" t="s">
        <v>24</v>
      </c>
      <c r="H7543" t="s">
        <v>25</v>
      </c>
      <c r="I7543" s="4">
        <v>1161</v>
      </c>
      <c r="J7543" s="3">
        <v>1078</v>
      </c>
      <c r="K7543" s="4">
        <v>424</v>
      </c>
      <c r="L7543" t="s">
        <v>120</v>
      </c>
      <c r="M7543">
        <v>19</v>
      </c>
      <c r="N7543" t="s">
        <v>150</v>
      </c>
      <c r="O7543" t="s">
        <v>81</v>
      </c>
      <c r="P7543" t="s">
        <v>136</v>
      </c>
      <c r="Q7543" t="s">
        <v>140</v>
      </c>
      <c r="R7543" t="s">
        <v>141</v>
      </c>
      <c r="S7543" t="s">
        <v>145</v>
      </c>
      <c r="T7543" s="2">
        <f>MASTER[[#This Row],[CANTIDAD]]*MASTER[[#This Row],[PRECIO DE VENTA]]</f>
        <v>1078</v>
      </c>
      <c r="U7543" s="2">
        <f>MASTER[[#This Row],[CANTIDAD]]*MASTER[[#This Row],[COSTO UNITARIO]]</f>
        <v>424</v>
      </c>
      <c r="V7543" s="2">
        <f>MASTER[[#This Row],[MONTO VENDIDO]]-MASTER[[#This Row],[COSTO DE VENTA]]</f>
        <v>654</v>
      </c>
    </row>
    <row r="7544" spans="1:22" x14ac:dyDescent="0.3">
      <c r="A7544">
        <v>108426</v>
      </c>
      <c r="B7544">
        <v>1</v>
      </c>
      <c r="C7544" t="s">
        <v>96</v>
      </c>
      <c r="D7544" t="s">
        <v>97</v>
      </c>
      <c r="E7544" s="1">
        <v>44427</v>
      </c>
      <c r="F7544">
        <v>1</v>
      </c>
      <c r="G7544" t="s">
        <v>57</v>
      </c>
      <c r="H7544" t="s">
        <v>58</v>
      </c>
      <c r="I7544" s="4">
        <v>1973</v>
      </c>
      <c r="J7544" s="3">
        <v>1973</v>
      </c>
      <c r="K7544" s="4">
        <v>397</v>
      </c>
      <c r="L7544" t="s">
        <v>98</v>
      </c>
      <c r="M7544">
        <v>19</v>
      </c>
      <c r="N7544" t="s">
        <v>150</v>
      </c>
      <c r="O7544" t="s">
        <v>81</v>
      </c>
      <c r="P7544" t="s">
        <v>136</v>
      </c>
      <c r="Q7544" t="s">
        <v>140</v>
      </c>
      <c r="R7544" t="s">
        <v>141</v>
      </c>
      <c r="S7544" t="s">
        <v>145</v>
      </c>
      <c r="T7544" s="2">
        <f>MASTER[[#This Row],[CANTIDAD]]*MASTER[[#This Row],[PRECIO DE VENTA]]</f>
        <v>1973</v>
      </c>
      <c r="U7544" s="2">
        <f>MASTER[[#This Row],[CANTIDAD]]*MASTER[[#This Row],[COSTO UNITARIO]]</f>
        <v>397</v>
      </c>
      <c r="V7544" s="2">
        <f>MASTER[[#This Row],[MONTO VENDIDO]]-MASTER[[#This Row],[COSTO DE VENTA]]</f>
        <v>1576</v>
      </c>
    </row>
    <row r="7545" spans="1:22" x14ac:dyDescent="0.3">
      <c r="A7545">
        <v>108428</v>
      </c>
      <c r="B7545">
        <v>1</v>
      </c>
      <c r="C7545" t="s">
        <v>5</v>
      </c>
      <c r="D7545" t="s">
        <v>6</v>
      </c>
      <c r="E7545" s="1">
        <v>44428</v>
      </c>
      <c r="F7545">
        <v>1</v>
      </c>
      <c r="G7545" t="s">
        <v>43</v>
      </c>
      <c r="H7545" t="s">
        <v>44</v>
      </c>
      <c r="I7545" s="4">
        <v>2185</v>
      </c>
      <c r="J7545" s="3">
        <v>2185</v>
      </c>
      <c r="K7545" s="4">
        <v>393</v>
      </c>
      <c r="L7545" t="s">
        <v>9</v>
      </c>
      <c r="M7545">
        <v>18</v>
      </c>
      <c r="N7545" t="str">
        <f>IF(MASTER[[#This Row],[IDLOCAL]]=17,"HYDE PARK", "HARLEM IRVING")</f>
        <v>HARLEM IRVING</v>
      </c>
      <c r="O7545" t="str">
        <f>IF(MASTER[[#This Row],[IDLOCAL]]=17,"PREMIUM", "ESTÁNDAR")</f>
        <v>ESTÁNDAR</v>
      </c>
      <c r="P7545" t="s">
        <v>137</v>
      </c>
      <c r="Q7545" t="s">
        <v>142</v>
      </c>
      <c r="R7545" t="s">
        <v>143</v>
      </c>
      <c r="S7545" t="s">
        <v>145</v>
      </c>
      <c r="T7545" s="2">
        <f>MASTER[[#This Row],[CANTIDAD]]*MASTER[[#This Row],[PRECIO DE VENTA]]</f>
        <v>2185</v>
      </c>
      <c r="U7545" s="2">
        <f>MASTER[[#This Row],[CANTIDAD]]*MASTER[[#This Row],[COSTO UNITARIO]]</f>
        <v>393</v>
      </c>
      <c r="V7545" s="2">
        <f>MASTER[[#This Row],[MONTO VENDIDO]]-MASTER[[#This Row],[COSTO DE VENTA]]</f>
        <v>1792</v>
      </c>
    </row>
    <row r="7546" spans="1:22" x14ac:dyDescent="0.3">
      <c r="A7546">
        <v>108433</v>
      </c>
      <c r="B7546">
        <v>1</v>
      </c>
      <c r="C7546" t="s">
        <v>99</v>
      </c>
      <c r="D7546" t="s">
        <v>100</v>
      </c>
      <c r="E7546" s="1">
        <v>44428</v>
      </c>
      <c r="F7546">
        <v>1</v>
      </c>
      <c r="G7546" t="s">
        <v>35</v>
      </c>
      <c r="H7546" t="s">
        <v>36</v>
      </c>
      <c r="I7546" s="4">
        <v>2433</v>
      </c>
      <c r="J7546" s="3">
        <v>2212</v>
      </c>
      <c r="K7546" s="4">
        <v>386</v>
      </c>
      <c r="L7546" t="s">
        <v>98</v>
      </c>
      <c r="M7546">
        <v>19</v>
      </c>
      <c r="N7546" t="s">
        <v>150</v>
      </c>
      <c r="O7546" t="s">
        <v>81</v>
      </c>
      <c r="P7546" t="s">
        <v>136</v>
      </c>
      <c r="Q7546" t="s">
        <v>140</v>
      </c>
      <c r="R7546" t="s">
        <v>141</v>
      </c>
      <c r="S7546" t="s">
        <v>145</v>
      </c>
      <c r="T7546" s="2">
        <f>MASTER[[#This Row],[CANTIDAD]]*MASTER[[#This Row],[PRECIO DE VENTA]]</f>
        <v>2212</v>
      </c>
      <c r="U7546" s="2">
        <f>MASTER[[#This Row],[CANTIDAD]]*MASTER[[#This Row],[COSTO UNITARIO]]</f>
        <v>386</v>
      </c>
      <c r="V7546" s="2">
        <f>MASTER[[#This Row],[MONTO VENDIDO]]-MASTER[[#This Row],[COSTO DE VENTA]]</f>
        <v>1826</v>
      </c>
    </row>
    <row r="7547" spans="1:22" x14ac:dyDescent="0.3">
      <c r="A7547">
        <v>108437</v>
      </c>
      <c r="B7547">
        <v>1</v>
      </c>
      <c r="C7547" t="s">
        <v>107</v>
      </c>
      <c r="D7547" t="s">
        <v>108</v>
      </c>
      <c r="E7547" s="1">
        <v>44429</v>
      </c>
      <c r="F7547">
        <v>1</v>
      </c>
      <c r="G7547" t="s">
        <v>61</v>
      </c>
      <c r="H7547" t="s">
        <v>62</v>
      </c>
      <c r="I7547" s="4">
        <v>1932</v>
      </c>
      <c r="J7547" s="3">
        <v>1932</v>
      </c>
      <c r="K7547" s="4">
        <v>380</v>
      </c>
      <c r="L7547" t="s">
        <v>98</v>
      </c>
      <c r="M7547">
        <v>19</v>
      </c>
      <c r="N7547" t="s">
        <v>150</v>
      </c>
      <c r="O7547" t="s">
        <v>81</v>
      </c>
      <c r="P7547" t="s">
        <v>136</v>
      </c>
      <c r="Q7547" t="s">
        <v>140</v>
      </c>
      <c r="R7547" t="s">
        <v>141</v>
      </c>
      <c r="S7547" t="s">
        <v>145</v>
      </c>
      <c r="T7547" s="2">
        <f>MASTER[[#This Row],[CANTIDAD]]*MASTER[[#This Row],[PRECIO DE VENTA]]</f>
        <v>1932</v>
      </c>
      <c r="U7547" s="2">
        <f>MASTER[[#This Row],[CANTIDAD]]*MASTER[[#This Row],[COSTO UNITARIO]]</f>
        <v>380</v>
      </c>
      <c r="V7547" s="2">
        <f>MASTER[[#This Row],[MONTO VENDIDO]]-MASTER[[#This Row],[COSTO DE VENTA]]</f>
        <v>1552</v>
      </c>
    </row>
    <row r="7548" spans="1:22" x14ac:dyDescent="0.3">
      <c r="A7548">
        <v>108447</v>
      </c>
      <c r="B7548">
        <v>1</v>
      </c>
      <c r="C7548" t="s">
        <v>107</v>
      </c>
      <c r="D7548" t="s">
        <v>108</v>
      </c>
      <c r="E7548" s="1">
        <v>44430</v>
      </c>
      <c r="F7548">
        <v>4</v>
      </c>
      <c r="G7548" t="s">
        <v>24</v>
      </c>
      <c r="H7548" t="s">
        <v>25</v>
      </c>
      <c r="I7548" s="4">
        <v>1798</v>
      </c>
      <c r="J7548" s="3">
        <v>1798</v>
      </c>
      <c r="K7548" s="4">
        <v>380</v>
      </c>
      <c r="L7548" t="s">
        <v>98</v>
      </c>
      <c r="M7548">
        <v>19</v>
      </c>
      <c r="N7548" t="s">
        <v>150</v>
      </c>
      <c r="O7548" t="s">
        <v>81</v>
      </c>
      <c r="P7548" t="s">
        <v>136</v>
      </c>
      <c r="Q7548" t="s">
        <v>140</v>
      </c>
      <c r="R7548" t="s">
        <v>141</v>
      </c>
      <c r="S7548" t="s">
        <v>145</v>
      </c>
      <c r="T7548" s="2">
        <f>MASTER[[#This Row],[CANTIDAD]]*MASTER[[#This Row],[PRECIO DE VENTA]]</f>
        <v>7192</v>
      </c>
      <c r="U7548" s="2">
        <f>MASTER[[#This Row],[CANTIDAD]]*MASTER[[#This Row],[COSTO UNITARIO]]</f>
        <v>1520</v>
      </c>
      <c r="V7548" s="2">
        <f>MASTER[[#This Row],[MONTO VENDIDO]]-MASTER[[#This Row],[COSTO DE VENTA]]</f>
        <v>5672</v>
      </c>
    </row>
    <row r="7549" spans="1:22" x14ac:dyDescent="0.3">
      <c r="A7549">
        <v>108463</v>
      </c>
      <c r="B7549">
        <v>1</v>
      </c>
      <c r="C7549" t="s">
        <v>109</v>
      </c>
      <c r="D7549" t="s">
        <v>110</v>
      </c>
      <c r="E7549" s="1">
        <v>44432</v>
      </c>
      <c r="F7549">
        <v>4</v>
      </c>
      <c r="G7549" t="s">
        <v>20</v>
      </c>
      <c r="H7549" t="s">
        <v>21</v>
      </c>
      <c r="I7549" s="4">
        <v>1542</v>
      </c>
      <c r="J7549" s="3">
        <v>1542</v>
      </c>
      <c r="K7549" s="4">
        <v>387</v>
      </c>
      <c r="L7549" t="s">
        <v>98</v>
      </c>
      <c r="M7549">
        <v>19</v>
      </c>
      <c r="N7549" t="s">
        <v>150</v>
      </c>
      <c r="O7549" t="s">
        <v>81</v>
      </c>
      <c r="P7549" t="s">
        <v>136</v>
      </c>
      <c r="Q7549" t="s">
        <v>140</v>
      </c>
      <c r="R7549" t="s">
        <v>141</v>
      </c>
      <c r="S7549" t="s">
        <v>145</v>
      </c>
      <c r="T7549" s="2">
        <f>MASTER[[#This Row],[CANTIDAD]]*MASTER[[#This Row],[PRECIO DE VENTA]]</f>
        <v>6168</v>
      </c>
      <c r="U7549" s="2">
        <f>MASTER[[#This Row],[CANTIDAD]]*MASTER[[#This Row],[COSTO UNITARIO]]</f>
        <v>1548</v>
      </c>
      <c r="V7549" s="2">
        <f>MASTER[[#This Row],[MONTO VENDIDO]]-MASTER[[#This Row],[COSTO DE VENTA]]</f>
        <v>4620</v>
      </c>
    </row>
    <row r="7550" spans="1:22" x14ac:dyDescent="0.3">
      <c r="A7550">
        <v>108468</v>
      </c>
      <c r="B7550">
        <v>1</v>
      </c>
      <c r="C7550" t="s">
        <v>105</v>
      </c>
      <c r="D7550" t="s">
        <v>106</v>
      </c>
      <c r="E7550" s="1">
        <v>44433</v>
      </c>
      <c r="F7550">
        <v>1</v>
      </c>
      <c r="G7550" t="s">
        <v>49</v>
      </c>
      <c r="H7550" t="s">
        <v>50</v>
      </c>
      <c r="I7550" s="4">
        <v>2704</v>
      </c>
      <c r="J7550" s="3">
        <v>2704</v>
      </c>
      <c r="K7550" s="4">
        <v>459</v>
      </c>
      <c r="L7550" t="s">
        <v>98</v>
      </c>
      <c r="M7550">
        <v>17</v>
      </c>
      <c r="N7550" t="str">
        <f>IF(MASTER[[#This Row],[IDLOCAL]]=17,"HYDE PARK", "HARLEM IRVING")</f>
        <v>HYDE PARK</v>
      </c>
      <c r="O7550" t="str">
        <f>IF(MASTER[[#This Row],[IDLOCAL]]=17,"PREMIUM", "ESTÁNDAR")</f>
        <v>PREMIUM</v>
      </c>
      <c r="P7550" t="s">
        <v>137</v>
      </c>
      <c r="Q7550" t="s">
        <v>142</v>
      </c>
      <c r="R7550" t="s">
        <v>143</v>
      </c>
      <c r="S7550" t="s">
        <v>145</v>
      </c>
      <c r="T7550" s="2">
        <f>MASTER[[#This Row],[CANTIDAD]]*MASTER[[#This Row],[PRECIO DE VENTA]]</f>
        <v>2704</v>
      </c>
      <c r="U7550" s="2">
        <f>MASTER[[#This Row],[CANTIDAD]]*MASTER[[#This Row],[COSTO UNITARIO]]</f>
        <v>459</v>
      </c>
      <c r="V7550" s="2">
        <f>MASTER[[#This Row],[MONTO VENDIDO]]-MASTER[[#This Row],[COSTO DE VENTA]]</f>
        <v>2245</v>
      </c>
    </row>
    <row r="7551" spans="1:22" x14ac:dyDescent="0.3">
      <c r="A7551">
        <v>108494</v>
      </c>
      <c r="B7551">
        <v>1</v>
      </c>
      <c r="C7551" t="s">
        <v>121</v>
      </c>
      <c r="D7551" t="s">
        <v>122</v>
      </c>
      <c r="E7551" s="1">
        <v>44434</v>
      </c>
      <c r="F7551">
        <v>4</v>
      </c>
      <c r="G7551" t="s">
        <v>51</v>
      </c>
      <c r="H7551" t="s">
        <v>52</v>
      </c>
      <c r="I7551" s="4">
        <v>1550</v>
      </c>
      <c r="J7551" s="3">
        <v>1550</v>
      </c>
      <c r="K7551" s="4">
        <v>460</v>
      </c>
      <c r="L7551" t="s">
        <v>120</v>
      </c>
      <c r="M7551">
        <v>19</v>
      </c>
      <c r="N7551" t="s">
        <v>150</v>
      </c>
      <c r="O7551" t="s">
        <v>81</v>
      </c>
      <c r="P7551" t="s">
        <v>136</v>
      </c>
      <c r="Q7551" t="s">
        <v>140</v>
      </c>
      <c r="R7551" t="s">
        <v>141</v>
      </c>
      <c r="S7551" t="s">
        <v>145</v>
      </c>
      <c r="T7551" s="2">
        <f>MASTER[[#This Row],[CANTIDAD]]*MASTER[[#This Row],[PRECIO DE VENTA]]</f>
        <v>6200</v>
      </c>
      <c r="U7551" s="2">
        <f>MASTER[[#This Row],[CANTIDAD]]*MASTER[[#This Row],[COSTO UNITARIO]]</f>
        <v>1840</v>
      </c>
      <c r="V7551" s="2">
        <f>MASTER[[#This Row],[MONTO VENDIDO]]-MASTER[[#This Row],[COSTO DE VENTA]]</f>
        <v>4360</v>
      </c>
    </row>
    <row r="7552" spans="1:22" x14ac:dyDescent="0.3">
      <c r="A7552">
        <v>108506</v>
      </c>
      <c r="B7552">
        <v>1</v>
      </c>
      <c r="C7552" t="s">
        <v>118</v>
      </c>
      <c r="D7552" t="s">
        <v>119</v>
      </c>
      <c r="E7552" s="1">
        <v>44435</v>
      </c>
      <c r="F7552">
        <v>1</v>
      </c>
      <c r="G7552" t="s">
        <v>33</v>
      </c>
      <c r="H7552" t="s">
        <v>34</v>
      </c>
      <c r="I7552" s="4">
        <v>1487</v>
      </c>
      <c r="J7552" s="3">
        <v>1487</v>
      </c>
      <c r="K7552" s="4">
        <v>424</v>
      </c>
      <c r="L7552" t="s">
        <v>120</v>
      </c>
      <c r="M7552">
        <v>19</v>
      </c>
      <c r="N7552" t="s">
        <v>150</v>
      </c>
      <c r="O7552" t="s">
        <v>81</v>
      </c>
      <c r="P7552" t="s">
        <v>136</v>
      </c>
      <c r="Q7552" t="s">
        <v>140</v>
      </c>
      <c r="R7552" t="s">
        <v>141</v>
      </c>
      <c r="S7552" t="s">
        <v>145</v>
      </c>
      <c r="T7552" s="2">
        <f>MASTER[[#This Row],[CANTIDAD]]*MASTER[[#This Row],[PRECIO DE VENTA]]</f>
        <v>1487</v>
      </c>
      <c r="U7552" s="2">
        <f>MASTER[[#This Row],[CANTIDAD]]*MASTER[[#This Row],[COSTO UNITARIO]]</f>
        <v>424</v>
      </c>
      <c r="V7552" s="2">
        <f>MASTER[[#This Row],[MONTO VENDIDO]]-MASTER[[#This Row],[COSTO DE VENTA]]</f>
        <v>1063</v>
      </c>
    </row>
    <row r="7553" spans="1:22" x14ac:dyDescent="0.3">
      <c r="A7553">
        <v>108508</v>
      </c>
      <c r="B7553">
        <v>1</v>
      </c>
      <c r="C7553" t="s">
        <v>121</v>
      </c>
      <c r="D7553" t="s">
        <v>122</v>
      </c>
      <c r="E7553" s="1">
        <v>44435</v>
      </c>
      <c r="F7553">
        <v>1</v>
      </c>
      <c r="G7553" t="s">
        <v>33</v>
      </c>
      <c r="H7553" t="s">
        <v>34</v>
      </c>
      <c r="I7553" s="4">
        <v>1658</v>
      </c>
      <c r="J7553" s="3">
        <v>1658</v>
      </c>
      <c r="K7553" s="4">
        <v>460</v>
      </c>
      <c r="L7553" t="s">
        <v>120</v>
      </c>
      <c r="M7553">
        <v>19</v>
      </c>
      <c r="N7553" t="s">
        <v>150</v>
      </c>
      <c r="O7553" t="s">
        <v>81</v>
      </c>
      <c r="P7553" t="s">
        <v>136</v>
      </c>
      <c r="Q7553" t="s">
        <v>140</v>
      </c>
      <c r="R7553" t="s">
        <v>141</v>
      </c>
      <c r="S7553" t="s">
        <v>145</v>
      </c>
      <c r="T7553" s="2">
        <f>MASTER[[#This Row],[CANTIDAD]]*MASTER[[#This Row],[PRECIO DE VENTA]]</f>
        <v>1658</v>
      </c>
      <c r="U7553" s="2">
        <f>MASTER[[#This Row],[CANTIDAD]]*MASTER[[#This Row],[COSTO UNITARIO]]</f>
        <v>460</v>
      </c>
      <c r="V7553" s="2">
        <f>MASTER[[#This Row],[MONTO VENDIDO]]-MASTER[[#This Row],[COSTO DE VENTA]]</f>
        <v>1198</v>
      </c>
    </row>
    <row r="7554" spans="1:22" x14ac:dyDescent="0.3">
      <c r="A7554">
        <v>108525</v>
      </c>
      <c r="B7554">
        <v>1</v>
      </c>
      <c r="C7554" t="s">
        <v>96</v>
      </c>
      <c r="D7554" t="s">
        <v>97</v>
      </c>
      <c r="E7554" s="1">
        <v>44436</v>
      </c>
      <c r="F7554">
        <v>1</v>
      </c>
      <c r="G7554" t="s">
        <v>7</v>
      </c>
      <c r="H7554" t="s">
        <v>8</v>
      </c>
      <c r="I7554" s="4">
        <v>1734</v>
      </c>
      <c r="J7554" s="3">
        <v>1734</v>
      </c>
      <c r="K7554" s="4">
        <v>397</v>
      </c>
      <c r="L7554" t="s">
        <v>98</v>
      </c>
      <c r="M7554">
        <v>17</v>
      </c>
      <c r="N7554" t="str">
        <f>IF(MASTER[[#This Row],[IDLOCAL]]=17,"HYDE PARK", "HARLEM IRVING")</f>
        <v>HYDE PARK</v>
      </c>
      <c r="O7554" t="str">
        <f>IF(MASTER[[#This Row],[IDLOCAL]]=17,"PREMIUM", "ESTÁNDAR")</f>
        <v>PREMIUM</v>
      </c>
      <c r="P7554" t="s">
        <v>137</v>
      </c>
      <c r="Q7554" t="s">
        <v>142</v>
      </c>
      <c r="R7554" t="s">
        <v>143</v>
      </c>
      <c r="S7554" t="s">
        <v>145</v>
      </c>
      <c r="T7554" s="2">
        <f>MASTER[[#This Row],[CANTIDAD]]*MASTER[[#This Row],[PRECIO DE VENTA]]</f>
        <v>1734</v>
      </c>
      <c r="U7554" s="2">
        <f>MASTER[[#This Row],[CANTIDAD]]*MASTER[[#This Row],[COSTO UNITARIO]]</f>
        <v>397</v>
      </c>
      <c r="V7554" s="2">
        <f>MASTER[[#This Row],[MONTO VENDIDO]]-MASTER[[#This Row],[COSTO DE VENTA]]</f>
        <v>1337</v>
      </c>
    </row>
    <row r="7555" spans="1:22" x14ac:dyDescent="0.3">
      <c r="A7555">
        <v>108539</v>
      </c>
      <c r="B7555">
        <v>2</v>
      </c>
      <c r="C7555" t="s">
        <v>5</v>
      </c>
      <c r="D7555" t="s">
        <v>6</v>
      </c>
      <c r="E7555" s="1">
        <v>44437</v>
      </c>
      <c r="F7555">
        <v>1</v>
      </c>
      <c r="G7555" t="s">
        <v>67</v>
      </c>
      <c r="H7555" t="s">
        <v>68</v>
      </c>
      <c r="I7555" s="4">
        <v>1879</v>
      </c>
      <c r="J7555" s="3">
        <v>1879</v>
      </c>
      <c r="K7555" s="4">
        <v>393</v>
      </c>
      <c r="L7555" t="s">
        <v>9</v>
      </c>
      <c r="M7555">
        <v>19</v>
      </c>
      <c r="N7555" t="s">
        <v>150</v>
      </c>
      <c r="O7555" t="s">
        <v>81</v>
      </c>
      <c r="P7555" t="s">
        <v>136</v>
      </c>
      <c r="Q7555" t="s">
        <v>140</v>
      </c>
      <c r="R7555" t="s">
        <v>141</v>
      </c>
      <c r="S7555" t="s">
        <v>145</v>
      </c>
      <c r="T7555" s="2">
        <f>MASTER[[#This Row],[CANTIDAD]]*MASTER[[#This Row],[PRECIO DE VENTA]]</f>
        <v>1879</v>
      </c>
      <c r="U7555" s="2">
        <f>MASTER[[#This Row],[CANTIDAD]]*MASTER[[#This Row],[COSTO UNITARIO]]</f>
        <v>393</v>
      </c>
      <c r="V7555" s="2">
        <f>MASTER[[#This Row],[MONTO VENDIDO]]-MASTER[[#This Row],[COSTO DE VENTA]]</f>
        <v>1486</v>
      </c>
    </row>
    <row r="7556" spans="1:22" x14ac:dyDescent="0.3">
      <c r="A7556">
        <v>108549</v>
      </c>
      <c r="B7556">
        <v>1</v>
      </c>
      <c r="C7556" t="s">
        <v>92</v>
      </c>
      <c r="D7556" t="s">
        <v>93</v>
      </c>
      <c r="E7556" s="1">
        <v>44437</v>
      </c>
      <c r="F7556">
        <v>1</v>
      </c>
      <c r="G7556" t="s">
        <v>24</v>
      </c>
      <c r="H7556" t="s">
        <v>25</v>
      </c>
      <c r="I7556" s="4">
        <v>2437</v>
      </c>
      <c r="J7556" s="3">
        <v>2437</v>
      </c>
      <c r="K7556" s="4">
        <v>396</v>
      </c>
      <c r="L7556" t="s">
        <v>9</v>
      </c>
      <c r="M7556">
        <v>19</v>
      </c>
      <c r="N7556" t="s">
        <v>150</v>
      </c>
      <c r="O7556" t="s">
        <v>81</v>
      </c>
      <c r="P7556" t="s">
        <v>136</v>
      </c>
      <c r="Q7556" t="s">
        <v>140</v>
      </c>
      <c r="R7556" t="s">
        <v>141</v>
      </c>
      <c r="S7556" t="s">
        <v>145</v>
      </c>
      <c r="T7556" s="2">
        <f>MASTER[[#This Row],[CANTIDAD]]*MASTER[[#This Row],[PRECIO DE VENTA]]</f>
        <v>2437</v>
      </c>
      <c r="U7556" s="2">
        <f>MASTER[[#This Row],[CANTIDAD]]*MASTER[[#This Row],[COSTO UNITARIO]]</f>
        <v>396</v>
      </c>
      <c r="V7556" s="2">
        <f>MASTER[[#This Row],[MONTO VENDIDO]]-MASTER[[#This Row],[COSTO DE VENTA]]</f>
        <v>2041</v>
      </c>
    </row>
    <row r="7557" spans="1:22" x14ac:dyDescent="0.3">
      <c r="A7557">
        <v>108550</v>
      </c>
      <c r="B7557">
        <v>1</v>
      </c>
      <c r="C7557" t="s">
        <v>103</v>
      </c>
      <c r="D7557" t="s">
        <v>104</v>
      </c>
      <c r="E7557" s="1">
        <v>44438</v>
      </c>
      <c r="F7557">
        <v>2</v>
      </c>
      <c r="G7557" t="s">
        <v>20</v>
      </c>
      <c r="H7557" t="s">
        <v>21</v>
      </c>
      <c r="I7557" s="4">
        <v>2653</v>
      </c>
      <c r="J7557" s="3">
        <v>2653</v>
      </c>
      <c r="K7557" s="4">
        <v>421</v>
      </c>
      <c r="L7557" t="s">
        <v>98</v>
      </c>
      <c r="M7557">
        <v>19</v>
      </c>
      <c r="N7557" t="s">
        <v>150</v>
      </c>
      <c r="O7557" t="s">
        <v>81</v>
      </c>
      <c r="P7557" t="s">
        <v>136</v>
      </c>
      <c r="Q7557" t="s">
        <v>140</v>
      </c>
      <c r="R7557" t="s">
        <v>141</v>
      </c>
      <c r="S7557" t="s">
        <v>145</v>
      </c>
      <c r="T7557" s="2">
        <f>MASTER[[#This Row],[CANTIDAD]]*MASTER[[#This Row],[PRECIO DE VENTA]]</f>
        <v>5306</v>
      </c>
      <c r="U7557" s="2">
        <f>MASTER[[#This Row],[CANTIDAD]]*MASTER[[#This Row],[COSTO UNITARIO]]</f>
        <v>842</v>
      </c>
      <c r="V7557" s="2">
        <f>MASTER[[#This Row],[MONTO VENDIDO]]-MASTER[[#This Row],[COSTO DE VENTA]]</f>
        <v>4464</v>
      </c>
    </row>
    <row r="7558" spans="1:22" x14ac:dyDescent="0.3">
      <c r="A7558">
        <v>108588</v>
      </c>
      <c r="B7558">
        <v>1</v>
      </c>
      <c r="C7558" t="s">
        <v>107</v>
      </c>
      <c r="D7558" t="s">
        <v>108</v>
      </c>
      <c r="E7558" s="1">
        <v>44438</v>
      </c>
      <c r="F7558">
        <v>1</v>
      </c>
      <c r="G7558" t="s">
        <v>45</v>
      </c>
      <c r="H7558" t="s">
        <v>46</v>
      </c>
      <c r="I7558" s="4">
        <v>2088</v>
      </c>
      <c r="J7558" s="3">
        <v>2088</v>
      </c>
      <c r="K7558" s="4">
        <v>380</v>
      </c>
      <c r="L7558" t="s">
        <v>98</v>
      </c>
      <c r="M7558">
        <v>19</v>
      </c>
      <c r="N7558" t="s">
        <v>150</v>
      </c>
      <c r="O7558" t="s">
        <v>81</v>
      </c>
      <c r="P7558" t="s">
        <v>136</v>
      </c>
      <c r="Q7558" t="s">
        <v>140</v>
      </c>
      <c r="R7558" t="s">
        <v>141</v>
      </c>
      <c r="S7558" t="s">
        <v>145</v>
      </c>
      <c r="T7558" s="2">
        <f>MASTER[[#This Row],[CANTIDAD]]*MASTER[[#This Row],[PRECIO DE VENTA]]</f>
        <v>2088</v>
      </c>
      <c r="U7558" s="2">
        <f>MASTER[[#This Row],[CANTIDAD]]*MASTER[[#This Row],[COSTO UNITARIO]]</f>
        <v>380</v>
      </c>
      <c r="V7558" s="2">
        <f>MASTER[[#This Row],[MONTO VENDIDO]]-MASTER[[#This Row],[COSTO DE VENTA]]</f>
        <v>1708</v>
      </c>
    </row>
    <row r="7559" spans="1:22" x14ac:dyDescent="0.3">
      <c r="A7559">
        <v>108603</v>
      </c>
      <c r="B7559">
        <v>1</v>
      </c>
      <c r="C7559" t="s">
        <v>111</v>
      </c>
      <c r="D7559" t="s">
        <v>112</v>
      </c>
      <c r="E7559" s="1">
        <v>44438</v>
      </c>
      <c r="F7559">
        <v>1</v>
      </c>
      <c r="G7559" t="s">
        <v>43</v>
      </c>
      <c r="H7559" t="s">
        <v>44</v>
      </c>
      <c r="I7559" s="4">
        <v>2209</v>
      </c>
      <c r="J7559" s="3">
        <v>2209</v>
      </c>
      <c r="K7559" s="4">
        <v>434</v>
      </c>
      <c r="L7559" t="s">
        <v>113</v>
      </c>
      <c r="M7559">
        <v>17</v>
      </c>
      <c r="N7559" t="str">
        <f>IF(MASTER[[#This Row],[IDLOCAL]]=17,"HYDE PARK", "HARLEM IRVING")</f>
        <v>HYDE PARK</v>
      </c>
      <c r="O7559" t="str">
        <f>IF(MASTER[[#This Row],[IDLOCAL]]=17,"PREMIUM", "ESTÁNDAR")</f>
        <v>PREMIUM</v>
      </c>
      <c r="P7559" t="s">
        <v>137</v>
      </c>
      <c r="Q7559" t="s">
        <v>142</v>
      </c>
      <c r="R7559" t="s">
        <v>143</v>
      </c>
      <c r="S7559" t="s">
        <v>145</v>
      </c>
      <c r="T7559" s="2">
        <f>MASTER[[#This Row],[CANTIDAD]]*MASTER[[#This Row],[PRECIO DE VENTA]]</f>
        <v>2209</v>
      </c>
      <c r="U7559" s="2">
        <f>MASTER[[#This Row],[CANTIDAD]]*MASTER[[#This Row],[COSTO UNITARIO]]</f>
        <v>434</v>
      </c>
      <c r="V7559" s="2">
        <f>MASTER[[#This Row],[MONTO VENDIDO]]-MASTER[[#This Row],[COSTO DE VENTA]]</f>
        <v>1775</v>
      </c>
    </row>
    <row r="7560" spans="1:22" x14ac:dyDescent="0.3">
      <c r="A7560">
        <v>108618</v>
      </c>
      <c r="B7560">
        <v>1</v>
      </c>
      <c r="C7560" t="s">
        <v>105</v>
      </c>
      <c r="D7560" t="s">
        <v>106</v>
      </c>
      <c r="E7560" s="1">
        <v>44439</v>
      </c>
      <c r="F7560">
        <v>1</v>
      </c>
      <c r="G7560" t="s">
        <v>73</v>
      </c>
      <c r="H7560" t="s">
        <v>74</v>
      </c>
      <c r="I7560" s="4">
        <v>2947</v>
      </c>
      <c r="J7560" s="3">
        <v>2947</v>
      </c>
      <c r="K7560" s="4">
        <v>459</v>
      </c>
      <c r="L7560" t="s">
        <v>98</v>
      </c>
      <c r="M7560">
        <v>19</v>
      </c>
      <c r="N7560" t="s">
        <v>150</v>
      </c>
      <c r="O7560" t="s">
        <v>81</v>
      </c>
      <c r="P7560" t="s">
        <v>136</v>
      </c>
      <c r="Q7560" t="s">
        <v>140</v>
      </c>
      <c r="R7560" t="s">
        <v>141</v>
      </c>
      <c r="S7560" t="s">
        <v>145</v>
      </c>
      <c r="T7560" s="2">
        <f>MASTER[[#This Row],[CANTIDAD]]*MASTER[[#This Row],[PRECIO DE VENTA]]</f>
        <v>2947</v>
      </c>
      <c r="U7560" s="2">
        <f>MASTER[[#This Row],[CANTIDAD]]*MASTER[[#This Row],[COSTO UNITARIO]]</f>
        <v>459</v>
      </c>
      <c r="V7560" s="2">
        <f>MASTER[[#This Row],[MONTO VENDIDO]]-MASTER[[#This Row],[COSTO DE VENTA]]</f>
        <v>2488</v>
      </c>
    </row>
    <row r="7561" spans="1:22" x14ac:dyDescent="0.3">
      <c r="A7561">
        <v>108622</v>
      </c>
      <c r="B7561">
        <v>1</v>
      </c>
      <c r="C7561" t="s">
        <v>90</v>
      </c>
      <c r="D7561" t="s">
        <v>91</v>
      </c>
      <c r="E7561" s="1">
        <v>44440</v>
      </c>
      <c r="F7561">
        <v>1</v>
      </c>
      <c r="G7561" t="s">
        <v>37</v>
      </c>
      <c r="H7561" t="s">
        <v>38</v>
      </c>
      <c r="I7561" s="4">
        <v>2673</v>
      </c>
      <c r="J7561" s="3">
        <v>2673</v>
      </c>
      <c r="K7561" s="4">
        <v>420</v>
      </c>
      <c r="L7561" t="s">
        <v>9</v>
      </c>
      <c r="M7561">
        <v>19</v>
      </c>
      <c r="N7561" t="s">
        <v>150</v>
      </c>
      <c r="O7561" t="s">
        <v>81</v>
      </c>
      <c r="P7561" t="s">
        <v>136</v>
      </c>
      <c r="Q7561" t="s">
        <v>140</v>
      </c>
      <c r="R7561" t="s">
        <v>141</v>
      </c>
      <c r="S7561" t="s">
        <v>145</v>
      </c>
      <c r="T7561" s="2">
        <f>MASTER[[#This Row],[CANTIDAD]]*MASTER[[#This Row],[PRECIO DE VENTA]]</f>
        <v>2673</v>
      </c>
      <c r="U7561" s="2">
        <f>MASTER[[#This Row],[CANTIDAD]]*MASTER[[#This Row],[COSTO UNITARIO]]</f>
        <v>420</v>
      </c>
      <c r="V7561" s="2">
        <f>MASTER[[#This Row],[MONTO VENDIDO]]-MASTER[[#This Row],[COSTO DE VENTA]]</f>
        <v>2253</v>
      </c>
    </row>
    <row r="7562" spans="1:22" x14ac:dyDescent="0.3">
      <c r="A7562">
        <v>108632</v>
      </c>
      <c r="B7562">
        <v>1</v>
      </c>
      <c r="C7562" t="s">
        <v>99</v>
      </c>
      <c r="D7562" t="s">
        <v>100</v>
      </c>
      <c r="E7562" s="1">
        <v>44441</v>
      </c>
      <c r="F7562">
        <v>1</v>
      </c>
      <c r="G7562" t="s">
        <v>53</v>
      </c>
      <c r="H7562" t="s">
        <v>54</v>
      </c>
      <c r="I7562" s="4">
        <v>2115</v>
      </c>
      <c r="J7562" s="3">
        <v>2115</v>
      </c>
      <c r="K7562" s="4">
        <v>386</v>
      </c>
      <c r="L7562" t="s">
        <v>98</v>
      </c>
      <c r="M7562">
        <v>19</v>
      </c>
      <c r="N7562" t="s">
        <v>150</v>
      </c>
      <c r="O7562" t="s">
        <v>81</v>
      </c>
      <c r="P7562" t="s">
        <v>136</v>
      </c>
      <c r="Q7562" t="s">
        <v>140</v>
      </c>
      <c r="R7562" t="s">
        <v>141</v>
      </c>
      <c r="S7562" t="s">
        <v>145</v>
      </c>
      <c r="T7562" s="2">
        <f>MASTER[[#This Row],[CANTIDAD]]*MASTER[[#This Row],[PRECIO DE VENTA]]</f>
        <v>2115</v>
      </c>
      <c r="U7562" s="2">
        <f>MASTER[[#This Row],[CANTIDAD]]*MASTER[[#This Row],[COSTO UNITARIO]]</f>
        <v>386</v>
      </c>
      <c r="V7562" s="2">
        <f>MASTER[[#This Row],[MONTO VENDIDO]]-MASTER[[#This Row],[COSTO DE VENTA]]</f>
        <v>1729</v>
      </c>
    </row>
    <row r="7563" spans="1:22" x14ac:dyDescent="0.3">
      <c r="A7563">
        <v>108635</v>
      </c>
      <c r="B7563">
        <v>1</v>
      </c>
      <c r="C7563" t="s">
        <v>109</v>
      </c>
      <c r="D7563" t="s">
        <v>110</v>
      </c>
      <c r="E7563" s="1">
        <v>44441</v>
      </c>
      <c r="F7563">
        <v>1</v>
      </c>
      <c r="G7563" t="s">
        <v>29</v>
      </c>
      <c r="H7563" t="s">
        <v>30</v>
      </c>
      <c r="I7563" s="4">
        <v>1373</v>
      </c>
      <c r="J7563" s="3">
        <v>1373</v>
      </c>
      <c r="K7563" s="4">
        <v>387</v>
      </c>
      <c r="L7563" t="s">
        <v>98</v>
      </c>
      <c r="M7563">
        <v>19</v>
      </c>
      <c r="N7563" t="s">
        <v>150</v>
      </c>
      <c r="O7563" t="s">
        <v>81</v>
      </c>
      <c r="P7563" t="s">
        <v>136</v>
      </c>
      <c r="Q7563" t="s">
        <v>140</v>
      </c>
      <c r="R7563" t="s">
        <v>141</v>
      </c>
      <c r="S7563" t="s">
        <v>145</v>
      </c>
      <c r="T7563" s="2">
        <f>MASTER[[#This Row],[CANTIDAD]]*MASTER[[#This Row],[PRECIO DE VENTA]]</f>
        <v>1373</v>
      </c>
      <c r="U7563" s="2">
        <f>MASTER[[#This Row],[CANTIDAD]]*MASTER[[#This Row],[COSTO UNITARIO]]</f>
        <v>387</v>
      </c>
      <c r="V7563" s="2">
        <f>MASTER[[#This Row],[MONTO VENDIDO]]-MASTER[[#This Row],[COSTO DE VENTA]]</f>
        <v>986</v>
      </c>
    </row>
    <row r="7564" spans="1:22" x14ac:dyDescent="0.3">
      <c r="A7564">
        <v>108644</v>
      </c>
      <c r="B7564">
        <v>1</v>
      </c>
      <c r="C7564" t="s">
        <v>111</v>
      </c>
      <c r="D7564" t="s">
        <v>112</v>
      </c>
      <c r="E7564" s="1">
        <v>44441</v>
      </c>
      <c r="F7564">
        <v>1</v>
      </c>
      <c r="G7564" t="s">
        <v>57</v>
      </c>
      <c r="H7564" t="s">
        <v>58</v>
      </c>
      <c r="I7564" s="4">
        <v>2350</v>
      </c>
      <c r="J7564" s="3">
        <v>2350</v>
      </c>
      <c r="K7564" s="4">
        <v>434</v>
      </c>
      <c r="L7564" t="s">
        <v>113</v>
      </c>
      <c r="M7564">
        <v>17</v>
      </c>
      <c r="N7564" t="str">
        <f>IF(MASTER[[#This Row],[IDLOCAL]]=17,"HYDE PARK", "HARLEM IRVING")</f>
        <v>HYDE PARK</v>
      </c>
      <c r="O7564" t="str">
        <f>IF(MASTER[[#This Row],[IDLOCAL]]=17,"PREMIUM", "ESTÁNDAR")</f>
        <v>PREMIUM</v>
      </c>
      <c r="P7564" t="s">
        <v>137</v>
      </c>
      <c r="Q7564" t="s">
        <v>142</v>
      </c>
      <c r="R7564" t="s">
        <v>143</v>
      </c>
      <c r="S7564" t="s">
        <v>145</v>
      </c>
      <c r="T7564" s="2">
        <f>MASTER[[#This Row],[CANTIDAD]]*MASTER[[#This Row],[PRECIO DE VENTA]]</f>
        <v>2350</v>
      </c>
      <c r="U7564" s="2">
        <f>MASTER[[#This Row],[CANTIDAD]]*MASTER[[#This Row],[COSTO UNITARIO]]</f>
        <v>434</v>
      </c>
      <c r="V7564" s="2">
        <f>MASTER[[#This Row],[MONTO VENDIDO]]-MASTER[[#This Row],[COSTO DE VENTA]]</f>
        <v>1916</v>
      </c>
    </row>
    <row r="7565" spans="1:22" x14ac:dyDescent="0.3">
      <c r="A7565">
        <v>108664</v>
      </c>
      <c r="B7565">
        <v>1</v>
      </c>
      <c r="C7565" t="s">
        <v>90</v>
      </c>
      <c r="D7565" t="s">
        <v>91</v>
      </c>
      <c r="E7565" s="1">
        <v>44443</v>
      </c>
      <c r="F7565">
        <v>1</v>
      </c>
      <c r="G7565" t="s">
        <v>59</v>
      </c>
      <c r="H7565" t="s">
        <v>60</v>
      </c>
      <c r="I7565" s="4">
        <v>3047</v>
      </c>
      <c r="J7565" s="3">
        <v>3047</v>
      </c>
      <c r="K7565" s="4">
        <v>420</v>
      </c>
      <c r="L7565" t="s">
        <v>9</v>
      </c>
      <c r="M7565">
        <v>19</v>
      </c>
      <c r="N7565" t="s">
        <v>150</v>
      </c>
      <c r="O7565" t="s">
        <v>81</v>
      </c>
      <c r="P7565" t="s">
        <v>136</v>
      </c>
      <c r="Q7565" t="s">
        <v>140</v>
      </c>
      <c r="R7565" t="s">
        <v>141</v>
      </c>
      <c r="S7565" t="s">
        <v>145</v>
      </c>
      <c r="T7565" s="2">
        <f>MASTER[[#This Row],[CANTIDAD]]*MASTER[[#This Row],[PRECIO DE VENTA]]</f>
        <v>3047</v>
      </c>
      <c r="U7565" s="2">
        <f>MASTER[[#This Row],[CANTIDAD]]*MASTER[[#This Row],[COSTO UNITARIO]]</f>
        <v>420</v>
      </c>
      <c r="V7565" s="2">
        <f>MASTER[[#This Row],[MONTO VENDIDO]]-MASTER[[#This Row],[COSTO DE VENTA]]</f>
        <v>2627</v>
      </c>
    </row>
    <row r="7566" spans="1:22" x14ac:dyDescent="0.3">
      <c r="A7566">
        <v>108670</v>
      </c>
      <c r="B7566">
        <v>1</v>
      </c>
      <c r="C7566" t="s">
        <v>5</v>
      </c>
      <c r="D7566" t="s">
        <v>6</v>
      </c>
      <c r="E7566" s="1">
        <v>44444</v>
      </c>
      <c r="F7566">
        <v>1</v>
      </c>
      <c r="G7566" t="s">
        <v>35</v>
      </c>
      <c r="H7566" t="s">
        <v>36</v>
      </c>
      <c r="I7566" s="4">
        <v>1900</v>
      </c>
      <c r="J7566" s="3">
        <v>1900</v>
      </c>
      <c r="K7566" s="4">
        <v>393</v>
      </c>
      <c r="L7566" t="s">
        <v>9</v>
      </c>
      <c r="M7566">
        <v>19</v>
      </c>
      <c r="N7566" t="s">
        <v>150</v>
      </c>
      <c r="O7566" t="s">
        <v>81</v>
      </c>
      <c r="P7566" t="s">
        <v>136</v>
      </c>
      <c r="Q7566" t="s">
        <v>140</v>
      </c>
      <c r="R7566" t="s">
        <v>141</v>
      </c>
      <c r="S7566" t="s">
        <v>145</v>
      </c>
      <c r="T7566" s="2">
        <f>MASTER[[#This Row],[CANTIDAD]]*MASTER[[#This Row],[PRECIO DE VENTA]]</f>
        <v>1900</v>
      </c>
      <c r="U7566" s="2">
        <f>MASTER[[#This Row],[CANTIDAD]]*MASTER[[#This Row],[COSTO UNITARIO]]</f>
        <v>393</v>
      </c>
      <c r="V7566" s="2">
        <f>MASTER[[#This Row],[MONTO VENDIDO]]-MASTER[[#This Row],[COSTO DE VENTA]]</f>
        <v>1507</v>
      </c>
    </row>
    <row r="7567" spans="1:22" x14ac:dyDescent="0.3">
      <c r="A7567">
        <v>108692</v>
      </c>
      <c r="B7567">
        <v>1</v>
      </c>
      <c r="C7567" t="s">
        <v>116</v>
      </c>
      <c r="D7567" t="s">
        <v>117</v>
      </c>
      <c r="E7567" s="1">
        <v>44444</v>
      </c>
      <c r="F7567">
        <v>1</v>
      </c>
      <c r="G7567" t="s">
        <v>63</v>
      </c>
      <c r="H7567" t="s">
        <v>64</v>
      </c>
      <c r="I7567" s="4">
        <v>2898</v>
      </c>
      <c r="J7567" s="3">
        <v>2898</v>
      </c>
      <c r="K7567" s="4">
        <v>388</v>
      </c>
      <c r="L7567" t="s">
        <v>113</v>
      </c>
      <c r="M7567">
        <v>17</v>
      </c>
      <c r="N7567" t="str">
        <f>IF(MASTER[[#This Row],[IDLOCAL]]=17,"HYDE PARK", "HARLEM IRVING")</f>
        <v>HYDE PARK</v>
      </c>
      <c r="O7567" t="str">
        <f>IF(MASTER[[#This Row],[IDLOCAL]]=17,"PREMIUM", "ESTÁNDAR")</f>
        <v>PREMIUM</v>
      </c>
      <c r="P7567" t="s">
        <v>137</v>
      </c>
      <c r="Q7567" t="s">
        <v>142</v>
      </c>
      <c r="R7567" t="s">
        <v>143</v>
      </c>
      <c r="S7567" t="s">
        <v>145</v>
      </c>
      <c r="T7567" s="2">
        <f>MASTER[[#This Row],[CANTIDAD]]*MASTER[[#This Row],[PRECIO DE VENTA]]</f>
        <v>2898</v>
      </c>
      <c r="U7567" s="2">
        <f>MASTER[[#This Row],[CANTIDAD]]*MASTER[[#This Row],[COSTO UNITARIO]]</f>
        <v>388</v>
      </c>
      <c r="V7567" s="2">
        <f>MASTER[[#This Row],[MONTO VENDIDO]]-MASTER[[#This Row],[COSTO DE VENTA]]</f>
        <v>2510</v>
      </c>
    </row>
    <row r="7568" spans="1:22" x14ac:dyDescent="0.3">
      <c r="A7568">
        <v>108705</v>
      </c>
      <c r="B7568">
        <v>1</v>
      </c>
      <c r="C7568" t="s">
        <v>105</v>
      </c>
      <c r="D7568" t="s">
        <v>106</v>
      </c>
      <c r="E7568" s="1">
        <v>44445</v>
      </c>
      <c r="F7568">
        <v>1</v>
      </c>
      <c r="G7568" t="s">
        <v>39</v>
      </c>
      <c r="H7568" t="s">
        <v>40</v>
      </c>
      <c r="I7568" s="4">
        <v>2298</v>
      </c>
      <c r="J7568" s="3">
        <v>2298</v>
      </c>
      <c r="K7568" s="4">
        <v>459</v>
      </c>
      <c r="L7568" t="s">
        <v>98</v>
      </c>
      <c r="M7568">
        <v>19</v>
      </c>
      <c r="N7568" t="s">
        <v>150</v>
      </c>
      <c r="O7568" t="s">
        <v>81</v>
      </c>
      <c r="P7568" t="s">
        <v>136</v>
      </c>
      <c r="Q7568" t="s">
        <v>140</v>
      </c>
      <c r="R7568" t="s">
        <v>141</v>
      </c>
      <c r="S7568" t="s">
        <v>145</v>
      </c>
      <c r="T7568" s="2">
        <f>MASTER[[#This Row],[CANTIDAD]]*MASTER[[#This Row],[PRECIO DE VENTA]]</f>
        <v>2298</v>
      </c>
      <c r="U7568" s="2">
        <f>MASTER[[#This Row],[CANTIDAD]]*MASTER[[#This Row],[COSTO UNITARIO]]</f>
        <v>459</v>
      </c>
      <c r="V7568" s="2">
        <f>MASTER[[#This Row],[MONTO VENDIDO]]-MASTER[[#This Row],[COSTO DE VENTA]]</f>
        <v>1839</v>
      </c>
    </row>
    <row r="7569" spans="1:22" x14ac:dyDescent="0.3">
      <c r="A7569">
        <v>108708</v>
      </c>
      <c r="B7569">
        <v>1</v>
      </c>
      <c r="C7569" t="s">
        <v>96</v>
      </c>
      <c r="D7569" t="s">
        <v>97</v>
      </c>
      <c r="E7569" s="1">
        <v>44446</v>
      </c>
      <c r="F7569">
        <v>4</v>
      </c>
      <c r="G7569" t="s">
        <v>51</v>
      </c>
      <c r="H7569" t="s">
        <v>52</v>
      </c>
      <c r="I7569" s="4">
        <v>1844</v>
      </c>
      <c r="J7569" s="3">
        <v>1844</v>
      </c>
      <c r="K7569" s="4">
        <v>397</v>
      </c>
      <c r="L7569" t="s">
        <v>98</v>
      </c>
      <c r="M7569">
        <v>19</v>
      </c>
      <c r="N7569" t="s">
        <v>150</v>
      </c>
      <c r="O7569" t="s">
        <v>81</v>
      </c>
      <c r="P7569" t="s">
        <v>136</v>
      </c>
      <c r="Q7569" t="s">
        <v>140</v>
      </c>
      <c r="R7569" t="s">
        <v>141</v>
      </c>
      <c r="S7569" t="s">
        <v>145</v>
      </c>
      <c r="T7569" s="2">
        <f>MASTER[[#This Row],[CANTIDAD]]*MASTER[[#This Row],[PRECIO DE VENTA]]</f>
        <v>7376</v>
      </c>
      <c r="U7569" s="2">
        <f>MASTER[[#This Row],[CANTIDAD]]*MASTER[[#This Row],[COSTO UNITARIO]]</f>
        <v>1588</v>
      </c>
      <c r="V7569" s="2">
        <f>MASTER[[#This Row],[MONTO VENDIDO]]-MASTER[[#This Row],[COSTO DE VENTA]]</f>
        <v>5788</v>
      </c>
    </row>
    <row r="7570" spans="1:22" x14ac:dyDescent="0.3">
      <c r="A7570">
        <v>108712</v>
      </c>
      <c r="B7570">
        <v>1</v>
      </c>
      <c r="C7570" t="s">
        <v>109</v>
      </c>
      <c r="D7570" t="s">
        <v>110</v>
      </c>
      <c r="E7570" s="1">
        <v>44446</v>
      </c>
      <c r="F7570">
        <v>1</v>
      </c>
      <c r="G7570" t="s">
        <v>7</v>
      </c>
      <c r="H7570" t="s">
        <v>8</v>
      </c>
      <c r="I7570" s="4">
        <v>1635</v>
      </c>
      <c r="J7570" s="3">
        <v>1635</v>
      </c>
      <c r="K7570" s="4">
        <v>387</v>
      </c>
      <c r="L7570" t="s">
        <v>98</v>
      </c>
      <c r="M7570">
        <v>19</v>
      </c>
      <c r="N7570" t="s">
        <v>150</v>
      </c>
      <c r="O7570" t="s">
        <v>81</v>
      </c>
      <c r="P7570" t="s">
        <v>136</v>
      </c>
      <c r="Q7570" t="s">
        <v>140</v>
      </c>
      <c r="R7570" t="s">
        <v>141</v>
      </c>
      <c r="S7570" t="s">
        <v>145</v>
      </c>
      <c r="T7570" s="2">
        <f>MASTER[[#This Row],[CANTIDAD]]*MASTER[[#This Row],[PRECIO DE VENTA]]</f>
        <v>1635</v>
      </c>
      <c r="U7570" s="2">
        <f>MASTER[[#This Row],[CANTIDAD]]*MASTER[[#This Row],[COSTO UNITARIO]]</f>
        <v>387</v>
      </c>
      <c r="V7570" s="2">
        <f>MASTER[[#This Row],[MONTO VENDIDO]]-MASTER[[#This Row],[COSTO DE VENTA]]</f>
        <v>1248</v>
      </c>
    </row>
    <row r="7571" spans="1:22" x14ac:dyDescent="0.3">
      <c r="A7571">
        <v>108716</v>
      </c>
      <c r="B7571">
        <v>1</v>
      </c>
      <c r="C7571" t="s">
        <v>5</v>
      </c>
      <c r="D7571" t="s">
        <v>6</v>
      </c>
      <c r="E7571" s="1">
        <v>44447</v>
      </c>
      <c r="F7571">
        <v>1</v>
      </c>
      <c r="G7571" t="s">
        <v>31</v>
      </c>
      <c r="H7571" t="s">
        <v>32</v>
      </c>
      <c r="I7571" s="4">
        <v>2185</v>
      </c>
      <c r="J7571" s="3">
        <v>2185</v>
      </c>
      <c r="K7571" s="4">
        <v>393</v>
      </c>
      <c r="L7571" t="s">
        <v>9</v>
      </c>
      <c r="M7571">
        <v>19</v>
      </c>
      <c r="N7571" t="s">
        <v>150</v>
      </c>
      <c r="O7571" t="s">
        <v>81</v>
      </c>
      <c r="P7571" t="s">
        <v>136</v>
      </c>
      <c r="Q7571" t="s">
        <v>140</v>
      </c>
      <c r="R7571" t="s">
        <v>141</v>
      </c>
      <c r="S7571" t="s">
        <v>145</v>
      </c>
      <c r="T7571" s="2">
        <f>MASTER[[#This Row],[CANTIDAD]]*MASTER[[#This Row],[PRECIO DE VENTA]]</f>
        <v>2185</v>
      </c>
      <c r="U7571" s="2">
        <f>MASTER[[#This Row],[CANTIDAD]]*MASTER[[#This Row],[COSTO UNITARIO]]</f>
        <v>393</v>
      </c>
      <c r="V7571" s="2">
        <f>MASTER[[#This Row],[MONTO VENDIDO]]-MASTER[[#This Row],[COSTO DE VENTA]]</f>
        <v>1792</v>
      </c>
    </row>
    <row r="7572" spans="1:22" x14ac:dyDescent="0.3">
      <c r="A7572">
        <v>108732</v>
      </c>
      <c r="B7572">
        <v>1</v>
      </c>
      <c r="C7572" t="s">
        <v>94</v>
      </c>
      <c r="D7572" t="s">
        <v>95</v>
      </c>
      <c r="E7572" s="1">
        <v>44448</v>
      </c>
      <c r="F7572">
        <v>1</v>
      </c>
      <c r="G7572" t="s">
        <v>29</v>
      </c>
      <c r="H7572" t="s">
        <v>30</v>
      </c>
      <c r="I7572" s="4">
        <v>1671</v>
      </c>
      <c r="J7572" s="3">
        <v>1671</v>
      </c>
      <c r="K7572" s="4">
        <v>392</v>
      </c>
      <c r="L7572" t="s">
        <v>9</v>
      </c>
      <c r="M7572">
        <v>17</v>
      </c>
      <c r="N7572" t="str">
        <f>IF(MASTER[[#This Row],[IDLOCAL]]=17,"HYDE PARK", "HARLEM IRVING")</f>
        <v>HYDE PARK</v>
      </c>
      <c r="O7572" t="str">
        <f>IF(MASTER[[#This Row],[IDLOCAL]]=17,"PREMIUM", "ESTÁNDAR")</f>
        <v>PREMIUM</v>
      </c>
      <c r="P7572" t="s">
        <v>137</v>
      </c>
      <c r="Q7572" t="s">
        <v>142</v>
      </c>
      <c r="R7572" t="s">
        <v>143</v>
      </c>
      <c r="S7572" t="s">
        <v>145</v>
      </c>
      <c r="T7572" s="2">
        <f>MASTER[[#This Row],[CANTIDAD]]*MASTER[[#This Row],[PRECIO DE VENTA]]</f>
        <v>1671</v>
      </c>
      <c r="U7572" s="2">
        <f>MASTER[[#This Row],[CANTIDAD]]*MASTER[[#This Row],[COSTO UNITARIO]]</f>
        <v>392</v>
      </c>
      <c r="V7572" s="2">
        <f>MASTER[[#This Row],[MONTO VENDIDO]]-MASTER[[#This Row],[COSTO DE VENTA]]</f>
        <v>1279</v>
      </c>
    </row>
    <row r="7573" spans="1:22" x14ac:dyDescent="0.3">
      <c r="A7573">
        <v>108743</v>
      </c>
      <c r="B7573">
        <v>1</v>
      </c>
      <c r="C7573" t="s">
        <v>92</v>
      </c>
      <c r="D7573" t="s">
        <v>93</v>
      </c>
      <c r="E7573" s="1">
        <v>44449</v>
      </c>
      <c r="F7573">
        <v>1</v>
      </c>
      <c r="G7573" t="s">
        <v>20</v>
      </c>
      <c r="H7573" t="s">
        <v>21</v>
      </c>
      <c r="I7573" s="4">
        <v>2144</v>
      </c>
      <c r="J7573" s="3">
        <v>2144</v>
      </c>
      <c r="K7573" s="4">
        <v>396</v>
      </c>
      <c r="L7573" t="s">
        <v>9</v>
      </c>
      <c r="M7573">
        <v>19</v>
      </c>
      <c r="N7573" t="s">
        <v>150</v>
      </c>
      <c r="O7573" t="s">
        <v>81</v>
      </c>
      <c r="P7573" t="s">
        <v>136</v>
      </c>
      <c r="Q7573" t="s">
        <v>140</v>
      </c>
      <c r="R7573" t="s">
        <v>141</v>
      </c>
      <c r="S7573" t="s">
        <v>145</v>
      </c>
      <c r="T7573" s="2">
        <f>MASTER[[#This Row],[CANTIDAD]]*MASTER[[#This Row],[PRECIO DE VENTA]]</f>
        <v>2144</v>
      </c>
      <c r="U7573" s="2">
        <f>MASTER[[#This Row],[CANTIDAD]]*MASTER[[#This Row],[COSTO UNITARIO]]</f>
        <v>396</v>
      </c>
      <c r="V7573" s="2">
        <f>MASTER[[#This Row],[MONTO VENDIDO]]-MASTER[[#This Row],[COSTO DE VENTA]]</f>
        <v>1748</v>
      </c>
    </row>
    <row r="7574" spans="1:22" x14ac:dyDescent="0.3">
      <c r="A7574">
        <v>108753</v>
      </c>
      <c r="B7574">
        <v>1</v>
      </c>
      <c r="C7574" t="s">
        <v>107</v>
      </c>
      <c r="D7574" t="s">
        <v>108</v>
      </c>
      <c r="E7574" s="1">
        <v>44449</v>
      </c>
      <c r="F7574">
        <v>1</v>
      </c>
      <c r="G7574" t="s">
        <v>29</v>
      </c>
      <c r="H7574" t="s">
        <v>30</v>
      </c>
      <c r="I7574" s="4">
        <v>1798</v>
      </c>
      <c r="J7574" s="3">
        <v>1798</v>
      </c>
      <c r="K7574" s="4">
        <v>380</v>
      </c>
      <c r="L7574" t="s">
        <v>98</v>
      </c>
      <c r="M7574">
        <v>18</v>
      </c>
      <c r="N7574" t="str">
        <f>IF(MASTER[[#This Row],[IDLOCAL]]=17,"HYDE PARK", "HARLEM IRVING")</f>
        <v>HARLEM IRVING</v>
      </c>
      <c r="O7574" t="str">
        <f>IF(MASTER[[#This Row],[IDLOCAL]]=17,"PREMIUM", "ESTÁNDAR")</f>
        <v>ESTÁNDAR</v>
      </c>
      <c r="P7574" t="s">
        <v>137</v>
      </c>
      <c r="Q7574" t="s">
        <v>142</v>
      </c>
      <c r="R7574" t="s">
        <v>143</v>
      </c>
      <c r="S7574" t="s">
        <v>145</v>
      </c>
      <c r="T7574" s="2">
        <f>MASTER[[#This Row],[CANTIDAD]]*MASTER[[#This Row],[PRECIO DE VENTA]]</f>
        <v>1798</v>
      </c>
      <c r="U7574" s="2">
        <f>MASTER[[#This Row],[CANTIDAD]]*MASTER[[#This Row],[COSTO UNITARIO]]</f>
        <v>380</v>
      </c>
      <c r="V7574" s="2">
        <f>MASTER[[#This Row],[MONTO VENDIDO]]-MASTER[[#This Row],[COSTO DE VENTA]]</f>
        <v>1418</v>
      </c>
    </row>
    <row r="7575" spans="1:22" x14ac:dyDescent="0.3">
      <c r="A7575">
        <v>108758</v>
      </c>
      <c r="B7575">
        <v>1</v>
      </c>
      <c r="C7575" t="s">
        <v>111</v>
      </c>
      <c r="D7575" t="s">
        <v>112</v>
      </c>
      <c r="E7575" s="1">
        <v>44451</v>
      </c>
      <c r="F7575">
        <v>1</v>
      </c>
      <c r="G7575" t="s">
        <v>67</v>
      </c>
      <c r="H7575" t="s">
        <v>68</v>
      </c>
      <c r="I7575" s="4">
        <v>2350</v>
      </c>
      <c r="J7575" s="3">
        <v>2350</v>
      </c>
      <c r="K7575" s="4">
        <v>434</v>
      </c>
      <c r="L7575" t="s">
        <v>113</v>
      </c>
      <c r="M7575">
        <v>18</v>
      </c>
      <c r="N7575" t="str">
        <f>IF(MASTER[[#This Row],[IDLOCAL]]=17,"HYDE PARK", "HARLEM IRVING")</f>
        <v>HARLEM IRVING</v>
      </c>
      <c r="O7575" t="str">
        <f>IF(MASTER[[#This Row],[IDLOCAL]]=17,"PREMIUM", "ESTÁNDAR")</f>
        <v>ESTÁNDAR</v>
      </c>
      <c r="P7575" t="s">
        <v>137</v>
      </c>
      <c r="Q7575" t="s">
        <v>142</v>
      </c>
      <c r="R7575" t="s">
        <v>143</v>
      </c>
      <c r="S7575" t="s">
        <v>145</v>
      </c>
      <c r="T7575" s="2">
        <f>MASTER[[#This Row],[CANTIDAD]]*MASTER[[#This Row],[PRECIO DE VENTA]]</f>
        <v>2350</v>
      </c>
      <c r="U7575" s="2">
        <f>MASTER[[#This Row],[CANTIDAD]]*MASTER[[#This Row],[COSTO UNITARIO]]</f>
        <v>434</v>
      </c>
      <c r="V7575" s="2">
        <f>MASTER[[#This Row],[MONTO VENDIDO]]-MASTER[[#This Row],[COSTO DE VENTA]]</f>
        <v>1916</v>
      </c>
    </row>
    <row r="7576" spans="1:22" x14ac:dyDescent="0.3">
      <c r="A7576">
        <v>108773</v>
      </c>
      <c r="B7576">
        <v>1</v>
      </c>
      <c r="C7576" t="s">
        <v>114</v>
      </c>
      <c r="D7576" t="s">
        <v>115</v>
      </c>
      <c r="E7576" s="1">
        <v>44451</v>
      </c>
      <c r="F7576">
        <v>1</v>
      </c>
      <c r="G7576" t="s">
        <v>27</v>
      </c>
      <c r="H7576" t="s">
        <v>28</v>
      </c>
      <c r="I7576" s="4">
        <v>2699</v>
      </c>
      <c r="J7576" s="3">
        <v>2699</v>
      </c>
      <c r="K7576" s="4">
        <v>394</v>
      </c>
      <c r="L7576" t="s">
        <v>113</v>
      </c>
      <c r="M7576">
        <v>17</v>
      </c>
      <c r="N7576" t="str">
        <f>IF(MASTER[[#This Row],[IDLOCAL]]=17,"HYDE PARK", "HARLEM IRVING")</f>
        <v>HYDE PARK</v>
      </c>
      <c r="O7576" t="str">
        <f>IF(MASTER[[#This Row],[IDLOCAL]]=17,"PREMIUM", "ESTÁNDAR")</f>
        <v>PREMIUM</v>
      </c>
      <c r="P7576" t="s">
        <v>137</v>
      </c>
      <c r="Q7576" t="s">
        <v>142</v>
      </c>
      <c r="R7576" t="s">
        <v>143</v>
      </c>
      <c r="S7576" t="s">
        <v>145</v>
      </c>
      <c r="T7576" s="2">
        <f>MASTER[[#This Row],[CANTIDAD]]*MASTER[[#This Row],[PRECIO DE VENTA]]</f>
        <v>2699</v>
      </c>
      <c r="U7576" s="2">
        <f>MASTER[[#This Row],[CANTIDAD]]*MASTER[[#This Row],[COSTO UNITARIO]]</f>
        <v>394</v>
      </c>
      <c r="V7576" s="2">
        <f>MASTER[[#This Row],[MONTO VENDIDO]]-MASTER[[#This Row],[COSTO DE VENTA]]</f>
        <v>2305</v>
      </c>
    </row>
    <row r="7577" spans="1:22" x14ac:dyDescent="0.3">
      <c r="A7577">
        <v>108777</v>
      </c>
      <c r="B7577">
        <v>1</v>
      </c>
      <c r="C7577" t="s">
        <v>121</v>
      </c>
      <c r="D7577" t="s">
        <v>122</v>
      </c>
      <c r="E7577" s="1">
        <v>44452</v>
      </c>
      <c r="F7577">
        <v>1</v>
      </c>
      <c r="G7577" t="s">
        <v>49</v>
      </c>
      <c r="H7577" t="s">
        <v>50</v>
      </c>
      <c r="I7577" s="4">
        <v>1550</v>
      </c>
      <c r="J7577" s="3">
        <v>1550</v>
      </c>
      <c r="K7577" s="4">
        <v>460</v>
      </c>
      <c r="L7577" t="s">
        <v>120</v>
      </c>
      <c r="M7577">
        <v>17</v>
      </c>
      <c r="N7577" t="str">
        <f>IF(MASTER[[#This Row],[IDLOCAL]]=17,"HYDE PARK", "HARLEM IRVING")</f>
        <v>HYDE PARK</v>
      </c>
      <c r="O7577" t="str">
        <f>IF(MASTER[[#This Row],[IDLOCAL]]=17,"PREMIUM", "ESTÁNDAR")</f>
        <v>PREMIUM</v>
      </c>
      <c r="P7577" t="s">
        <v>137</v>
      </c>
      <c r="Q7577" t="s">
        <v>142</v>
      </c>
      <c r="R7577" t="s">
        <v>143</v>
      </c>
      <c r="S7577" t="s">
        <v>145</v>
      </c>
      <c r="T7577" s="2">
        <f>MASTER[[#This Row],[CANTIDAD]]*MASTER[[#This Row],[PRECIO DE VENTA]]</f>
        <v>1550</v>
      </c>
      <c r="U7577" s="2">
        <f>MASTER[[#This Row],[CANTIDAD]]*MASTER[[#This Row],[COSTO UNITARIO]]</f>
        <v>460</v>
      </c>
      <c r="V7577" s="2">
        <f>MASTER[[#This Row],[MONTO VENDIDO]]-MASTER[[#This Row],[COSTO DE VENTA]]</f>
        <v>1090</v>
      </c>
    </row>
    <row r="7578" spans="1:22" x14ac:dyDescent="0.3">
      <c r="A7578">
        <v>108803</v>
      </c>
      <c r="B7578">
        <v>1</v>
      </c>
      <c r="C7578" t="s">
        <v>90</v>
      </c>
      <c r="D7578" t="s">
        <v>91</v>
      </c>
      <c r="E7578" s="1">
        <v>44453</v>
      </c>
      <c r="F7578">
        <v>1</v>
      </c>
      <c r="G7578" t="s">
        <v>55</v>
      </c>
      <c r="H7578" t="s">
        <v>56</v>
      </c>
      <c r="I7578" s="4">
        <v>2673</v>
      </c>
      <c r="J7578" s="3">
        <v>2566</v>
      </c>
      <c r="K7578" s="4">
        <v>420</v>
      </c>
      <c r="L7578" t="s">
        <v>9</v>
      </c>
      <c r="M7578">
        <v>18</v>
      </c>
      <c r="N7578" t="str">
        <f>IF(MASTER[[#This Row],[IDLOCAL]]=17,"HYDE PARK", "HARLEM IRVING")</f>
        <v>HARLEM IRVING</v>
      </c>
      <c r="O7578" t="str">
        <f>IF(MASTER[[#This Row],[IDLOCAL]]=17,"PREMIUM", "ESTÁNDAR")</f>
        <v>ESTÁNDAR</v>
      </c>
      <c r="P7578" t="s">
        <v>137</v>
      </c>
      <c r="Q7578" t="s">
        <v>142</v>
      </c>
      <c r="R7578" t="s">
        <v>143</v>
      </c>
      <c r="S7578" t="s">
        <v>145</v>
      </c>
      <c r="T7578" s="2">
        <f>MASTER[[#This Row],[CANTIDAD]]*MASTER[[#This Row],[PRECIO DE VENTA]]</f>
        <v>2566</v>
      </c>
      <c r="U7578" s="2">
        <f>MASTER[[#This Row],[CANTIDAD]]*MASTER[[#This Row],[COSTO UNITARIO]]</f>
        <v>420</v>
      </c>
      <c r="V7578" s="2">
        <f>MASTER[[#This Row],[MONTO VENDIDO]]-MASTER[[#This Row],[COSTO DE VENTA]]</f>
        <v>2146</v>
      </c>
    </row>
    <row r="7579" spans="1:22" x14ac:dyDescent="0.3">
      <c r="A7579">
        <v>108812</v>
      </c>
      <c r="B7579">
        <v>1</v>
      </c>
      <c r="C7579" t="s">
        <v>101</v>
      </c>
      <c r="D7579" t="s">
        <v>102</v>
      </c>
      <c r="E7579" s="1">
        <v>44453</v>
      </c>
      <c r="F7579">
        <v>1</v>
      </c>
      <c r="G7579" t="s">
        <v>47</v>
      </c>
      <c r="H7579" t="s">
        <v>48</v>
      </c>
      <c r="I7579" s="4">
        <v>1757</v>
      </c>
      <c r="J7579" s="3">
        <v>1757</v>
      </c>
      <c r="K7579" s="4">
        <v>442</v>
      </c>
      <c r="L7579" t="s">
        <v>98</v>
      </c>
      <c r="M7579">
        <v>19</v>
      </c>
      <c r="N7579" t="s">
        <v>150</v>
      </c>
      <c r="O7579" t="s">
        <v>81</v>
      </c>
      <c r="P7579" t="s">
        <v>136</v>
      </c>
      <c r="Q7579" t="s">
        <v>140</v>
      </c>
      <c r="R7579" t="s">
        <v>141</v>
      </c>
      <c r="S7579" t="s">
        <v>145</v>
      </c>
      <c r="T7579" s="2">
        <f>MASTER[[#This Row],[CANTIDAD]]*MASTER[[#This Row],[PRECIO DE VENTA]]</f>
        <v>1757</v>
      </c>
      <c r="U7579" s="2">
        <f>MASTER[[#This Row],[CANTIDAD]]*MASTER[[#This Row],[COSTO UNITARIO]]</f>
        <v>442</v>
      </c>
      <c r="V7579" s="2">
        <f>MASTER[[#This Row],[MONTO VENDIDO]]-MASTER[[#This Row],[COSTO DE VENTA]]</f>
        <v>1315</v>
      </c>
    </row>
    <row r="7580" spans="1:22" x14ac:dyDescent="0.3">
      <c r="A7580">
        <v>108821</v>
      </c>
      <c r="B7580">
        <v>1</v>
      </c>
      <c r="C7580" t="s">
        <v>107</v>
      </c>
      <c r="D7580" t="s">
        <v>108</v>
      </c>
      <c r="E7580" s="1">
        <v>44453</v>
      </c>
      <c r="F7580">
        <v>1</v>
      </c>
      <c r="G7580" t="s">
        <v>45</v>
      </c>
      <c r="H7580" t="s">
        <v>46</v>
      </c>
      <c r="I7580" s="4">
        <v>1932</v>
      </c>
      <c r="J7580" s="3">
        <v>1932</v>
      </c>
      <c r="K7580" s="4">
        <v>380</v>
      </c>
      <c r="L7580" t="s">
        <v>98</v>
      </c>
      <c r="M7580">
        <v>19</v>
      </c>
      <c r="N7580" t="s">
        <v>150</v>
      </c>
      <c r="O7580" t="s">
        <v>81</v>
      </c>
      <c r="P7580" t="s">
        <v>136</v>
      </c>
      <c r="Q7580" t="s">
        <v>140</v>
      </c>
      <c r="R7580" t="s">
        <v>141</v>
      </c>
      <c r="S7580" t="s">
        <v>145</v>
      </c>
      <c r="T7580" s="2">
        <f>MASTER[[#This Row],[CANTIDAD]]*MASTER[[#This Row],[PRECIO DE VENTA]]</f>
        <v>1932</v>
      </c>
      <c r="U7580" s="2">
        <f>MASTER[[#This Row],[CANTIDAD]]*MASTER[[#This Row],[COSTO UNITARIO]]</f>
        <v>380</v>
      </c>
      <c r="V7580" s="2">
        <f>MASTER[[#This Row],[MONTO VENDIDO]]-MASTER[[#This Row],[COSTO DE VENTA]]</f>
        <v>1552</v>
      </c>
    </row>
    <row r="7581" spans="1:22" x14ac:dyDescent="0.3">
      <c r="A7581">
        <v>108838</v>
      </c>
      <c r="B7581">
        <v>1</v>
      </c>
      <c r="C7581" t="s">
        <v>118</v>
      </c>
      <c r="D7581" t="s">
        <v>119</v>
      </c>
      <c r="E7581" s="1">
        <v>44453</v>
      </c>
      <c r="F7581">
        <v>1</v>
      </c>
      <c r="G7581" t="s">
        <v>27</v>
      </c>
      <c r="H7581" t="s">
        <v>28</v>
      </c>
      <c r="I7581" s="4">
        <v>1487</v>
      </c>
      <c r="J7581" s="3">
        <v>1487</v>
      </c>
      <c r="K7581" s="4">
        <v>424</v>
      </c>
      <c r="L7581" t="s">
        <v>120</v>
      </c>
      <c r="M7581">
        <v>19</v>
      </c>
      <c r="N7581" t="s">
        <v>150</v>
      </c>
      <c r="O7581" t="s">
        <v>81</v>
      </c>
      <c r="P7581" t="s">
        <v>136</v>
      </c>
      <c r="Q7581" t="s">
        <v>140</v>
      </c>
      <c r="R7581" t="s">
        <v>141</v>
      </c>
      <c r="S7581" t="s">
        <v>145</v>
      </c>
      <c r="T7581" s="2">
        <f>MASTER[[#This Row],[CANTIDAD]]*MASTER[[#This Row],[PRECIO DE VENTA]]</f>
        <v>1487</v>
      </c>
      <c r="U7581" s="2">
        <f>MASTER[[#This Row],[CANTIDAD]]*MASTER[[#This Row],[COSTO UNITARIO]]</f>
        <v>424</v>
      </c>
      <c r="V7581" s="2">
        <f>MASTER[[#This Row],[MONTO VENDIDO]]-MASTER[[#This Row],[COSTO DE VENTA]]</f>
        <v>1063</v>
      </c>
    </row>
    <row r="7582" spans="1:22" x14ac:dyDescent="0.3">
      <c r="A7582">
        <v>108842</v>
      </c>
      <c r="B7582">
        <v>1</v>
      </c>
      <c r="C7582" t="s">
        <v>96</v>
      </c>
      <c r="D7582" t="s">
        <v>97</v>
      </c>
      <c r="E7582" s="1">
        <v>44455</v>
      </c>
      <c r="F7582">
        <v>1</v>
      </c>
      <c r="G7582" t="s">
        <v>53</v>
      </c>
      <c r="H7582" t="s">
        <v>54</v>
      </c>
      <c r="I7582" s="4">
        <v>1973</v>
      </c>
      <c r="J7582" s="3">
        <v>1973</v>
      </c>
      <c r="K7582" s="4">
        <v>397</v>
      </c>
      <c r="L7582" t="s">
        <v>98</v>
      </c>
      <c r="M7582">
        <v>19</v>
      </c>
      <c r="N7582" t="s">
        <v>150</v>
      </c>
      <c r="O7582" t="s">
        <v>81</v>
      </c>
      <c r="P7582" t="s">
        <v>136</v>
      </c>
      <c r="Q7582" t="s">
        <v>140</v>
      </c>
      <c r="R7582" t="s">
        <v>141</v>
      </c>
      <c r="S7582" t="s">
        <v>145</v>
      </c>
      <c r="T7582" s="2">
        <f>MASTER[[#This Row],[CANTIDAD]]*MASTER[[#This Row],[PRECIO DE VENTA]]</f>
        <v>1973</v>
      </c>
      <c r="U7582" s="2">
        <f>MASTER[[#This Row],[CANTIDAD]]*MASTER[[#This Row],[COSTO UNITARIO]]</f>
        <v>397</v>
      </c>
      <c r="V7582" s="2">
        <f>MASTER[[#This Row],[MONTO VENDIDO]]-MASTER[[#This Row],[COSTO DE VENTA]]</f>
        <v>1576</v>
      </c>
    </row>
    <row r="7583" spans="1:22" x14ac:dyDescent="0.3">
      <c r="A7583">
        <v>108876</v>
      </c>
      <c r="B7583">
        <v>1</v>
      </c>
      <c r="C7583" t="s">
        <v>103</v>
      </c>
      <c r="D7583" t="s">
        <v>104</v>
      </c>
      <c r="E7583" s="1">
        <v>44455</v>
      </c>
      <c r="F7583">
        <v>1</v>
      </c>
      <c r="G7583" t="s">
        <v>57</v>
      </c>
      <c r="H7583" t="s">
        <v>58</v>
      </c>
      <c r="I7583" s="4">
        <v>2306</v>
      </c>
      <c r="J7583" s="3">
        <v>2306</v>
      </c>
      <c r="K7583" s="4">
        <v>421</v>
      </c>
      <c r="L7583" t="s">
        <v>98</v>
      </c>
      <c r="M7583">
        <v>19</v>
      </c>
      <c r="N7583" t="s">
        <v>150</v>
      </c>
      <c r="O7583" t="s">
        <v>81</v>
      </c>
      <c r="P7583" t="s">
        <v>136</v>
      </c>
      <c r="Q7583" t="s">
        <v>140</v>
      </c>
      <c r="R7583" t="s">
        <v>141</v>
      </c>
      <c r="S7583" t="s">
        <v>145</v>
      </c>
      <c r="T7583" s="2">
        <f>MASTER[[#This Row],[CANTIDAD]]*MASTER[[#This Row],[PRECIO DE VENTA]]</f>
        <v>2306</v>
      </c>
      <c r="U7583" s="2">
        <f>MASTER[[#This Row],[CANTIDAD]]*MASTER[[#This Row],[COSTO UNITARIO]]</f>
        <v>421</v>
      </c>
      <c r="V7583" s="2">
        <f>MASTER[[#This Row],[MONTO VENDIDO]]-MASTER[[#This Row],[COSTO DE VENTA]]</f>
        <v>1885</v>
      </c>
    </row>
    <row r="7584" spans="1:22" x14ac:dyDescent="0.3">
      <c r="A7584">
        <v>108895</v>
      </c>
      <c r="B7584">
        <v>1</v>
      </c>
      <c r="C7584" t="s">
        <v>94</v>
      </c>
      <c r="D7584" t="s">
        <v>95</v>
      </c>
      <c r="E7584" s="1">
        <v>44456</v>
      </c>
      <c r="F7584">
        <v>1</v>
      </c>
      <c r="G7584" t="s">
        <v>55</v>
      </c>
      <c r="H7584" t="s">
        <v>56</v>
      </c>
      <c r="I7584" s="4">
        <v>1519</v>
      </c>
      <c r="J7584" s="3">
        <v>1519</v>
      </c>
      <c r="K7584" s="4">
        <v>392</v>
      </c>
      <c r="L7584" t="s">
        <v>9</v>
      </c>
      <c r="M7584">
        <v>17</v>
      </c>
      <c r="N7584" t="str">
        <f>IF(MASTER[[#This Row],[IDLOCAL]]=17,"HYDE PARK", "HARLEM IRVING")</f>
        <v>HYDE PARK</v>
      </c>
      <c r="O7584" t="str">
        <f>IF(MASTER[[#This Row],[IDLOCAL]]=17,"PREMIUM", "ESTÁNDAR")</f>
        <v>PREMIUM</v>
      </c>
      <c r="P7584" t="s">
        <v>137</v>
      </c>
      <c r="Q7584" t="s">
        <v>142</v>
      </c>
      <c r="R7584" t="s">
        <v>143</v>
      </c>
      <c r="S7584" t="s">
        <v>145</v>
      </c>
      <c r="T7584" s="2">
        <f>MASTER[[#This Row],[CANTIDAD]]*MASTER[[#This Row],[PRECIO DE VENTA]]</f>
        <v>1519</v>
      </c>
      <c r="U7584" s="2">
        <f>MASTER[[#This Row],[CANTIDAD]]*MASTER[[#This Row],[COSTO UNITARIO]]</f>
        <v>392</v>
      </c>
      <c r="V7584" s="2">
        <f>MASTER[[#This Row],[MONTO VENDIDO]]-MASTER[[#This Row],[COSTO DE VENTA]]</f>
        <v>1127</v>
      </c>
    </row>
    <row r="7585" spans="1:22" x14ac:dyDescent="0.3">
      <c r="A7585">
        <v>108897</v>
      </c>
      <c r="B7585">
        <v>1</v>
      </c>
      <c r="C7585" t="s">
        <v>116</v>
      </c>
      <c r="D7585" t="s">
        <v>117</v>
      </c>
      <c r="E7585" s="1">
        <v>44456</v>
      </c>
      <c r="F7585">
        <v>1</v>
      </c>
      <c r="G7585" t="s">
        <v>33</v>
      </c>
      <c r="H7585" t="s">
        <v>34</v>
      </c>
      <c r="I7585" s="4">
        <v>2520</v>
      </c>
      <c r="J7585" s="3">
        <v>2520</v>
      </c>
      <c r="K7585" s="4">
        <v>388</v>
      </c>
      <c r="L7585" t="s">
        <v>113</v>
      </c>
      <c r="M7585">
        <v>17</v>
      </c>
      <c r="N7585" t="str">
        <f>IF(MASTER[[#This Row],[IDLOCAL]]=17,"HYDE PARK", "HARLEM IRVING")</f>
        <v>HYDE PARK</v>
      </c>
      <c r="O7585" t="str">
        <f>IF(MASTER[[#This Row],[IDLOCAL]]=17,"PREMIUM", "ESTÁNDAR")</f>
        <v>PREMIUM</v>
      </c>
      <c r="P7585" t="s">
        <v>137</v>
      </c>
      <c r="Q7585" t="s">
        <v>142</v>
      </c>
      <c r="R7585" t="s">
        <v>143</v>
      </c>
      <c r="S7585" t="s">
        <v>145</v>
      </c>
      <c r="T7585" s="2">
        <f>MASTER[[#This Row],[CANTIDAD]]*MASTER[[#This Row],[PRECIO DE VENTA]]</f>
        <v>2520</v>
      </c>
      <c r="U7585" s="2">
        <f>MASTER[[#This Row],[CANTIDAD]]*MASTER[[#This Row],[COSTO UNITARIO]]</f>
        <v>388</v>
      </c>
      <c r="V7585" s="2">
        <f>MASTER[[#This Row],[MONTO VENDIDO]]-MASTER[[#This Row],[COSTO DE VENTA]]</f>
        <v>2132</v>
      </c>
    </row>
    <row r="7586" spans="1:22" x14ac:dyDescent="0.3">
      <c r="A7586">
        <v>108906</v>
      </c>
      <c r="B7586">
        <v>1</v>
      </c>
      <c r="C7586" t="s">
        <v>92</v>
      </c>
      <c r="D7586" t="s">
        <v>93</v>
      </c>
      <c r="E7586" s="1">
        <v>44458</v>
      </c>
      <c r="F7586">
        <v>1</v>
      </c>
      <c r="G7586" t="s">
        <v>7</v>
      </c>
      <c r="H7586" t="s">
        <v>8</v>
      </c>
      <c r="I7586" s="4">
        <v>2437</v>
      </c>
      <c r="J7586" s="3">
        <v>2291</v>
      </c>
      <c r="K7586" s="4">
        <v>396</v>
      </c>
      <c r="L7586" t="s">
        <v>9</v>
      </c>
      <c r="M7586">
        <v>19</v>
      </c>
      <c r="N7586" t="s">
        <v>150</v>
      </c>
      <c r="O7586" t="s">
        <v>81</v>
      </c>
      <c r="P7586" t="s">
        <v>136</v>
      </c>
      <c r="Q7586" t="s">
        <v>140</v>
      </c>
      <c r="R7586" t="s">
        <v>141</v>
      </c>
      <c r="S7586" t="s">
        <v>145</v>
      </c>
      <c r="T7586" s="2">
        <f>MASTER[[#This Row],[CANTIDAD]]*MASTER[[#This Row],[PRECIO DE VENTA]]</f>
        <v>2291</v>
      </c>
      <c r="U7586" s="2">
        <f>MASTER[[#This Row],[CANTIDAD]]*MASTER[[#This Row],[COSTO UNITARIO]]</f>
        <v>396</v>
      </c>
      <c r="V7586" s="2">
        <f>MASTER[[#This Row],[MONTO VENDIDO]]-MASTER[[#This Row],[COSTO DE VENTA]]</f>
        <v>1895</v>
      </c>
    </row>
    <row r="7587" spans="1:22" x14ac:dyDescent="0.3">
      <c r="A7587">
        <v>108907</v>
      </c>
      <c r="B7587">
        <v>1</v>
      </c>
      <c r="C7587" t="s">
        <v>96</v>
      </c>
      <c r="D7587" t="s">
        <v>97</v>
      </c>
      <c r="E7587" s="1">
        <v>44458</v>
      </c>
      <c r="F7587">
        <v>1</v>
      </c>
      <c r="G7587" t="s">
        <v>57</v>
      </c>
      <c r="H7587" t="s">
        <v>58</v>
      </c>
      <c r="I7587" s="4">
        <v>1844</v>
      </c>
      <c r="J7587" s="3">
        <v>1844</v>
      </c>
      <c r="K7587" s="4">
        <v>397</v>
      </c>
      <c r="L7587" t="s">
        <v>98</v>
      </c>
      <c r="M7587">
        <v>19</v>
      </c>
      <c r="N7587" t="s">
        <v>150</v>
      </c>
      <c r="O7587" t="s">
        <v>81</v>
      </c>
      <c r="P7587" t="s">
        <v>136</v>
      </c>
      <c r="Q7587" t="s">
        <v>140</v>
      </c>
      <c r="R7587" t="s">
        <v>141</v>
      </c>
      <c r="S7587" t="s">
        <v>145</v>
      </c>
      <c r="T7587" s="2">
        <f>MASTER[[#This Row],[CANTIDAD]]*MASTER[[#This Row],[PRECIO DE VENTA]]</f>
        <v>1844</v>
      </c>
      <c r="U7587" s="2">
        <f>MASTER[[#This Row],[CANTIDAD]]*MASTER[[#This Row],[COSTO UNITARIO]]</f>
        <v>397</v>
      </c>
      <c r="V7587" s="2">
        <f>MASTER[[#This Row],[MONTO VENDIDO]]-MASTER[[#This Row],[COSTO DE VENTA]]</f>
        <v>1447</v>
      </c>
    </row>
    <row r="7588" spans="1:22" x14ac:dyDescent="0.3">
      <c r="A7588">
        <v>108909</v>
      </c>
      <c r="B7588">
        <v>1</v>
      </c>
      <c r="C7588" t="s">
        <v>114</v>
      </c>
      <c r="D7588" t="s">
        <v>115</v>
      </c>
      <c r="E7588" s="1">
        <v>44459</v>
      </c>
      <c r="F7588">
        <v>1</v>
      </c>
      <c r="G7588" t="s">
        <v>35</v>
      </c>
      <c r="H7588" t="s">
        <v>36</v>
      </c>
      <c r="I7588" s="4">
        <v>2943</v>
      </c>
      <c r="J7588" s="3">
        <v>2943</v>
      </c>
      <c r="K7588" s="4">
        <v>394</v>
      </c>
      <c r="L7588" t="s">
        <v>113</v>
      </c>
      <c r="M7588">
        <v>17</v>
      </c>
      <c r="N7588" t="str">
        <f>IF(MASTER[[#This Row],[IDLOCAL]]=17,"HYDE PARK", "HARLEM IRVING")</f>
        <v>HYDE PARK</v>
      </c>
      <c r="O7588" t="str">
        <f>IF(MASTER[[#This Row],[IDLOCAL]]=17,"PREMIUM", "ESTÁNDAR")</f>
        <v>PREMIUM</v>
      </c>
      <c r="P7588" t="s">
        <v>137</v>
      </c>
      <c r="Q7588" t="s">
        <v>142</v>
      </c>
      <c r="R7588" t="s">
        <v>143</v>
      </c>
      <c r="S7588" t="s">
        <v>145</v>
      </c>
      <c r="T7588" s="2">
        <f>MASTER[[#This Row],[CANTIDAD]]*MASTER[[#This Row],[PRECIO DE VENTA]]</f>
        <v>2943</v>
      </c>
      <c r="U7588" s="2">
        <f>MASTER[[#This Row],[CANTIDAD]]*MASTER[[#This Row],[COSTO UNITARIO]]</f>
        <v>394</v>
      </c>
      <c r="V7588" s="2">
        <f>MASTER[[#This Row],[MONTO VENDIDO]]-MASTER[[#This Row],[COSTO DE VENTA]]</f>
        <v>2549</v>
      </c>
    </row>
    <row r="7589" spans="1:22" x14ac:dyDescent="0.3">
      <c r="A7589">
        <v>108910</v>
      </c>
      <c r="B7589">
        <v>1</v>
      </c>
      <c r="C7589" t="s">
        <v>114</v>
      </c>
      <c r="D7589" t="s">
        <v>115</v>
      </c>
      <c r="E7589" s="1">
        <v>44461</v>
      </c>
      <c r="F7589">
        <v>1</v>
      </c>
      <c r="G7589" t="s">
        <v>7</v>
      </c>
      <c r="H7589" t="s">
        <v>8</v>
      </c>
      <c r="I7589" s="4">
        <v>2295</v>
      </c>
      <c r="J7589" s="3">
        <v>2295</v>
      </c>
      <c r="K7589" s="4">
        <v>394</v>
      </c>
      <c r="L7589" t="s">
        <v>113</v>
      </c>
      <c r="M7589">
        <v>19</v>
      </c>
      <c r="N7589" t="s">
        <v>150</v>
      </c>
      <c r="O7589" t="s">
        <v>81</v>
      </c>
      <c r="P7589" t="s">
        <v>136</v>
      </c>
      <c r="Q7589" t="s">
        <v>140</v>
      </c>
      <c r="R7589" t="s">
        <v>141</v>
      </c>
      <c r="S7589" t="s">
        <v>145</v>
      </c>
      <c r="T7589" s="2">
        <f>MASTER[[#This Row],[CANTIDAD]]*MASTER[[#This Row],[PRECIO DE VENTA]]</f>
        <v>2295</v>
      </c>
      <c r="U7589" s="2">
        <f>MASTER[[#This Row],[CANTIDAD]]*MASTER[[#This Row],[COSTO UNITARIO]]</f>
        <v>394</v>
      </c>
      <c r="V7589" s="2">
        <f>MASTER[[#This Row],[MONTO VENDIDO]]-MASTER[[#This Row],[COSTO DE VENTA]]</f>
        <v>1901</v>
      </c>
    </row>
    <row r="7590" spans="1:22" x14ac:dyDescent="0.3">
      <c r="A7590">
        <v>108920</v>
      </c>
      <c r="B7590">
        <v>1</v>
      </c>
      <c r="C7590" t="s">
        <v>103</v>
      </c>
      <c r="D7590" t="s">
        <v>104</v>
      </c>
      <c r="E7590" s="1">
        <v>44462</v>
      </c>
      <c r="F7590">
        <v>1</v>
      </c>
      <c r="G7590" t="s">
        <v>61</v>
      </c>
      <c r="H7590" t="s">
        <v>62</v>
      </c>
      <c r="I7590" s="4">
        <v>2653</v>
      </c>
      <c r="J7590" s="3">
        <v>2653</v>
      </c>
      <c r="K7590" s="4">
        <v>421</v>
      </c>
      <c r="L7590" t="s">
        <v>98</v>
      </c>
      <c r="M7590">
        <v>17</v>
      </c>
      <c r="N7590" t="str">
        <f>IF(MASTER[[#This Row],[IDLOCAL]]=17,"HYDE PARK", "HARLEM IRVING")</f>
        <v>HYDE PARK</v>
      </c>
      <c r="O7590" t="str">
        <f>IF(MASTER[[#This Row],[IDLOCAL]]=17,"PREMIUM", "ESTÁNDAR")</f>
        <v>PREMIUM</v>
      </c>
      <c r="P7590" t="s">
        <v>137</v>
      </c>
      <c r="Q7590" t="s">
        <v>142</v>
      </c>
      <c r="R7590" t="s">
        <v>143</v>
      </c>
      <c r="S7590" t="s">
        <v>145</v>
      </c>
      <c r="T7590" s="2">
        <f>MASTER[[#This Row],[CANTIDAD]]*MASTER[[#This Row],[PRECIO DE VENTA]]</f>
        <v>2653</v>
      </c>
      <c r="U7590" s="2">
        <f>MASTER[[#This Row],[CANTIDAD]]*MASTER[[#This Row],[COSTO UNITARIO]]</f>
        <v>421</v>
      </c>
      <c r="V7590" s="2">
        <f>MASTER[[#This Row],[MONTO VENDIDO]]-MASTER[[#This Row],[COSTO DE VENTA]]</f>
        <v>2232</v>
      </c>
    </row>
    <row r="7591" spans="1:22" x14ac:dyDescent="0.3">
      <c r="A7591">
        <v>108931</v>
      </c>
      <c r="B7591">
        <v>1</v>
      </c>
      <c r="C7591" t="s">
        <v>105</v>
      </c>
      <c r="D7591" t="s">
        <v>106</v>
      </c>
      <c r="E7591" s="1">
        <v>44462</v>
      </c>
      <c r="F7591">
        <v>4</v>
      </c>
      <c r="G7591" t="s">
        <v>39</v>
      </c>
      <c r="H7591" t="s">
        <v>40</v>
      </c>
      <c r="I7591" s="4">
        <v>2704</v>
      </c>
      <c r="J7591" s="3">
        <v>2704</v>
      </c>
      <c r="K7591" s="4">
        <v>459</v>
      </c>
      <c r="L7591" t="s">
        <v>98</v>
      </c>
      <c r="M7591">
        <v>19</v>
      </c>
      <c r="N7591" t="s">
        <v>150</v>
      </c>
      <c r="O7591" t="s">
        <v>81</v>
      </c>
      <c r="P7591" t="s">
        <v>136</v>
      </c>
      <c r="Q7591" t="s">
        <v>140</v>
      </c>
      <c r="R7591" t="s">
        <v>141</v>
      </c>
      <c r="S7591" t="s">
        <v>145</v>
      </c>
      <c r="T7591" s="2">
        <f>MASTER[[#This Row],[CANTIDAD]]*MASTER[[#This Row],[PRECIO DE VENTA]]</f>
        <v>10816</v>
      </c>
      <c r="U7591" s="2">
        <f>MASTER[[#This Row],[CANTIDAD]]*MASTER[[#This Row],[COSTO UNITARIO]]</f>
        <v>1836</v>
      </c>
      <c r="V7591" s="2">
        <f>MASTER[[#This Row],[MONTO VENDIDO]]-MASTER[[#This Row],[COSTO DE VENTA]]</f>
        <v>8980</v>
      </c>
    </row>
    <row r="7592" spans="1:22" x14ac:dyDescent="0.3">
      <c r="A7592">
        <v>108938</v>
      </c>
      <c r="B7592">
        <v>1</v>
      </c>
      <c r="C7592" t="s">
        <v>101</v>
      </c>
      <c r="D7592" t="s">
        <v>102</v>
      </c>
      <c r="E7592" s="1">
        <v>44464</v>
      </c>
      <c r="F7592">
        <v>1</v>
      </c>
      <c r="G7592" t="s">
        <v>47</v>
      </c>
      <c r="H7592" t="s">
        <v>48</v>
      </c>
      <c r="I7592" s="4">
        <v>1528</v>
      </c>
      <c r="J7592" s="3">
        <v>1528</v>
      </c>
      <c r="K7592" s="4">
        <v>442</v>
      </c>
      <c r="L7592" t="s">
        <v>98</v>
      </c>
      <c r="M7592">
        <v>17</v>
      </c>
      <c r="N7592" t="str">
        <f>IF(MASTER[[#This Row],[IDLOCAL]]=17,"HYDE PARK", "HARLEM IRVING")</f>
        <v>HYDE PARK</v>
      </c>
      <c r="O7592" t="str">
        <f>IF(MASTER[[#This Row],[IDLOCAL]]=17,"PREMIUM", "ESTÁNDAR")</f>
        <v>PREMIUM</v>
      </c>
      <c r="P7592" t="s">
        <v>137</v>
      </c>
      <c r="Q7592" t="s">
        <v>142</v>
      </c>
      <c r="R7592" t="s">
        <v>143</v>
      </c>
      <c r="S7592" t="s">
        <v>145</v>
      </c>
      <c r="T7592" s="2">
        <f>MASTER[[#This Row],[CANTIDAD]]*MASTER[[#This Row],[PRECIO DE VENTA]]</f>
        <v>1528</v>
      </c>
      <c r="U7592" s="2">
        <f>MASTER[[#This Row],[CANTIDAD]]*MASTER[[#This Row],[COSTO UNITARIO]]</f>
        <v>442</v>
      </c>
      <c r="V7592" s="2">
        <f>MASTER[[#This Row],[MONTO VENDIDO]]-MASTER[[#This Row],[COSTO DE VENTA]]</f>
        <v>1086</v>
      </c>
    </row>
    <row r="7593" spans="1:22" x14ac:dyDescent="0.3">
      <c r="A7593">
        <v>108940</v>
      </c>
      <c r="B7593">
        <v>1</v>
      </c>
      <c r="C7593" t="s">
        <v>118</v>
      </c>
      <c r="D7593" t="s">
        <v>119</v>
      </c>
      <c r="E7593" s="1">
        <v>44464</v>
      </c>
      <c r="F7593">
        <v>1</v>
      </c>
      <c r="G7593" t="s">
        <v>29</v>
      </c>
      <c r="H7593" t="s">
        <v>30</v>
      </c>
      <c r="I7593" s="4">
        <v>1305</v>
      </c>
      <c r="J7593" s="3">
        <v>1305</v>
      </c>
      <c r="K7593" s="4">
        <v>424</v>
      </c>
      <c r="L7593" t="s">
        <v>120</v>
      </c>
      <c r="M7593">
        <v>19</v>
      </c>
      <c r="N7593" t="s">
        <v>150</v>
      </c>
      <c r="O7593" t="s">
        <v>81</v>
      </c>
      <c r="P7593" t="s">
        <v>136</v>
      </c>
      <c r="Q7593" t="s">
        <v>140</v>
      </c>
      <c r="R7593" t="s">
        <v>141</v>
      </c>
      <c r="S7593" t="s">
        <v>145</v>
      </c>
      <c r="T7593" s="2">
        <f>MASTER[[#This Row],[CANTIDAD]]*MASTER[[#This Row],[PRECIO DE VENTA]]</f>
        <v>1305</v>
      </c>
      <c r="U7593" s="2">
        <f>MASTER[[#This Row],[CANTIDAD]]*MASTER[[#This Row],[COSTO UNITARIO]]</f>
        <v>424</v>
      </c>
      <c r="V7593" s="2">
        <f>MASTER[[#This Row],[MONTO VENDIDO]]-MASTER[[#This Row],[COSTO DE VENTA]]</f>
        <v>881</v>
      </c>
    </row>
    <row r="7594" spans="1:22" x14ac:dyDescent="0.3">
      <c r="A7594">
        <v>108944</v>
      </c>
      <c r="B7594">
        <v>1</v>
      </c>
      <c r="C7594" t="s">
        <v>121</v>
      </c>
      <c r="D7594" t="s">
        <v>122</v>
      </c>
      <c r="E7594" s="1">
        <v>44464</v>
      </c>
      <c r="F7594">
        <v>4</v>
      </c>
      <c r="G7594" t="s">
        <v>65</v>
      </c>
      <c r="H7594" t="s">
        <v>66</v>
      </c>
      <c r="I7594" s="4">
        <v>1658</v>
      </c>
      <c r="J7594" s="3">
        <v>1658</v>
      </c>
      <c r="K7594" s="4">
        <v>460</v>
      </c>
      <c r="L7594" t="s">
        <v>120</v>
      </c>
      <c r="M7594">
        <v>18</v>
      </c>
      <c r="N7594" t="str">
        <f>IF(MASTER[[#This Row],[IDLOCAL]]=17,"HYDE PARK", "HARLEM IRVING")</f>
        <v>HARLEM IRVING</v>
      </c>
      <c r="O7594" t="str">
        <f>IF(MASTER[[#This Row],[IDLOCAL]]=17,"PREMIUM", "ESTÁNDAR")</f>
        <v>ESTÁNDAR</v>
      </c>
      <c r="P7594" t="s">
        <v>137</v>
      </c>
      <c r="Q7594" t="s">
        <v>142</v>
      </c>
      <c r="R7594" t="s">
        <v>143</v>
      </c>
      <c r="S7594" t="s">
        <v>145</v>
      </c>
      <c r="T7594" s="2">
        <f>MASTER[[#This Row],[CANTIDAD]]*MASTER[[#This Row],[PRECIO DE VENTA]]</f>
        <v>6632</v>
      </c>
      <c r="U7594" s="2">
        <f>MASTER[[#This Row],[CANTIDAD]]*MASTER[[#This Row],[COSTO UNITARIO]]</f>
        <v>1840</v>
      </c>
      <c r="V7594" s="2">
        <f>MASTER[[#This Row],[MONTO VENDIDO]]-MASTER[[#This Row],[COSTO DE VENTA]]</f>
        <v>4792</v>
      </c>
    </row>
    <row r="7595" spans="1:22" x14ac:dyDescent="0.3">
      <c r="A7595">
        <v>108946</v>
      </c>
      <c r="B7595">
        <v>1</v>
      </c>
      <c r="C7595" t="s">
        <v>94</v>
      </c>
      <c r="D7595" t="s">
        <v>95</v>
      </c>
      <c r="E7595" s="1">
        <v>44465</v>
      </c>
      <c r="F7595">
        <v>1</v>
      </c>
      <c r="G7595" t="s">
        <v>35</v>
      </c>
      <c r="H7595" t="s">
        <v>36</v>
      </c>
      <c r="I7595" s="4">
        <v>1519</v>
      </c>
      <c r="J7595" s="3">
        <v>1519</v>
      </c>
      <c r="K7595" s="4">
        <v>392</v>
      </c>
      <c r="L7595" t="s">
        <v>9</v>
      </c>
      <c r="M7595">
        <v>19</v>
      </c>
      <c r="N7595" t="s">
        <v>150</v>
      </c>
      <c r="O7595" t="s">
        <v>81</v>
      </c>
      <c r="P7595" t="s">
        <v>136</v>
      </c>
      <c r="Q7595" t="s">
        <v>140</v>
      </c>
      <c r="R7595" t="s">
        <v>141</v>
      </c>
      <c r="S7595" t="s">
        <v>145</v>
      </c>
      <c r="T7595" s="2">
        <f>MASTER[[#This Row],[CANTIDAD]]*MASTER[[#This Row],[PRECIO DE VENTA]]</f>
        <v>1519</v>
      </c>
      <c r="U7595" s="2">
        <f>MASTER[[#This Row],[CANTIDAD]]*MASTER[[#This Row],[COSTO UNITARIO]]</f>
        <v>392</v>
      </c>
      <c r="V7595" s="2">
        <f>MASTER[[#This Row],[MONTO VENDIDO]]-MASTER[[#This Row],[COSTO DE VENTA]]</f>
        <v>1127</v>
      </c>
    </row>
    <row r="7596" spans="1:22" x14ac:dyDescent="0.3">
      <c r="A7596">
        <v>108985</v>
      </c>
      <c r="B7596">
        <v>1</v>
      </c>
      <c r="C7596" t="s">
        <v>101</v>
      </c>
      <c r="D7596" t="s">
        <v>102</v>
      </c>
      <c r="E7596" s="1">
        <v>44465</v>
      </c>
      <c r="F7596">
        <v>1</v>
      </c>
      <c r="G7596" t="s">
        <v>45</v>
      </c>
      <c r="H7596" t="s">
        <v>46</v>
      </c>
      <c r="I7596" s="4">
        <v>1967</v>
      </c>
      <c r="J7596" s="3">
        <v>1967</v>
      </c>
      <c r="K7596" s="4">
        <v>442</v>
      </c>
      <c r="L7596" t="s">
        <v>98</v>
      </c>
      <c r="M7596">
        <v>19</v>
      </c>
      <c r="N7596" t="s">
        <v>150</v>
      </c>
      <c r="O7596" t="s">
        <v>81</v>
      </c>
      <c r="P7596" t="s">
        <v>136</v>
      </c>
      <c r="Q7596" t="s">
        <v>140</v>
      </c>
      <c r="R7596" t="s">
        <v>141</v>
      </c>
      <c r="S7596" t="s">
        <v>145</v>
      </c>
      <c r="T7596" s="2">
        <f>MASTER[[#This Row],[CANTIDAD]]*MASTER[[#This Row],[PRECIO DE VENTA]]</f>
        <v>1967</v>
      </c>
      <c r="U7596" s="2">
        <f>MASTER[[#This Row],[CANTIDAD]]*MASTER[[#This Row],[COSTO UNITARIO]]</f>
        <v>442</v>
      </c>
      <c r="V7596" s="2">
        <f>MASTER[[#This Row],[MONTO VENDIDO]]-MASTER[[#This Row],[COSTO DE VENTA]]</f>
        <v>1525</v>
      </c>
    </row>
    <row r="7597" spans="1:22" x14ac:dyDescent="0.3">
      <c r="A7597">
        <v>108986</v>
      </c>
      <c r="B7597">
        <v>1</v>
      </c>
      <c r="C7597" t="s">
        <v>111</v>
      </c>
      <c r="D7597" t="s">
        <v>112</v>
      </c>
      <c r="E7597" s="1">
        <v>44465</v>
      </c>
      <c r="F7597">
        <v>1</v>
      </c>
      <c r="G7597" t="s">
        <v>59</v>
      </c>
      <c r="H7597" t="s">
        <v>60</v>
      </c>
      <c r="I7597" s="4">
        <v>2350</v>
      </c>
      <c r="J7597" s="3">
        <v>2350</v>
      </c>
      <c r="K7597" s="4">
        <v>434</v>
      </c>
      <c r="L7597" t="s">
        <v>113</v>
      </c>
      <c r="M7597">
        <v>19</v>
      </c>
      <c r="N7597" t="s">
        <v>150</v>
      </c>
      <c r="O7597" t="s">
        <v>81</v>
      </c>
      <c r="P7597" t="s">
        <v>136</v>
      </c>
      <c r="Q7597" t="s">
        <v>140</v>
      </c>
      <c r="R7597" t="s">
        <v>141</v>
      </c>
      <c r="S7597" t="s">
        <v>145</v>
      </c>
      <c r="T7597" s="2">
        <f>MASTER[[#This Row],[CANTIDAD]]*MASTER[[#This Row],[PRECIO DE VENTA]]</f>
        <v>2350</v>
      </c>
      <c r="U7597" s="2">
        <f>MASTER[[#This Row],[CANTIDAD]]*MASTER[[#This Row],[COSTO UNITARIO]]</f>
        <v>434</v>
      </c>
      <c r="V7597" s="2">
        <f>MASTER[[#This Row],[MONTO VENDIDO]]-MASTER[[#This Row],[COSTO DE VENTA]]</f>
        <v>1916</v>
      </c>
    </row>
    <row r="7598" spans="1:22" x14ac:dyDescent="0.3">
      <c r="A7598">
        <v>108989</v>
      </c>
      <c r="B7598">
        <v>1</v>
      </c>
      <c r="C7598" t="s">
        <v>103</v>
      </c>
      <c r="D7598" t="s">
        <v>104</v>
      </c>
      <c r="E7598" s="1">
        <v>44466</v>
      </c>
      <c r="F7598">
        <v>1</v>
      </c>
      <c r="G7598" t="s">
        <v>47</v>
      </c>
      <c r="H7598" t="s">
        <v>48</v>
      </c>
      <c r="I7598" s="4">
        <v>2306</v>
      </c>
      <c r="J7598" s="3">
        <v>2190</v>
      </c>
      <c r="K7598" s="4">
        <v>421</v>
      </c>
      <c r="L7598" t="s">
        <v>98</v>
      </c>
      <c r="M7598">
        <v>19</v>
      </c>
      <c r="N7598" t="s">
        <v>150</v>
      </c>
      <c r="O7598" t="s">
        <v>81</v>
      </c>
      <c r="P7598" t="s">
        <v>136</v>
      </c>
      <c r="Q7598" t="s">
        <v>140</v>
      </c>
      <c r="R7598" t="s">
        <v>141</v>
      </c>
      <c r="S7598" t="s">
        <v>145</v>
      </c>
      <c r="T7598" s="2">
        <f>MASTER[[#This Row],[CANTIDAD]]*MASTER[[#This Row],[PRECIO DE VENTA]]</f>
        <v>2190</v>
      </c>
      <c r="U7598" s="2">
        <f>MASTER[[#This Row],[CANTIDAD]]*MASTER[[#This Row],[COSTO UNITARIO]]</f>
        <v>421</v>
      </c>
      <c r="V7598" s="2">
        <f>MASTER[[#This Row],[MONTO VENDIDO]]-MASTER[[#This Row],[COSTO DE VENTA]]</f>
        <v>1769</v>
      </c>
    </row>
    <row r="7599" spans="1:22" x14ac:dyDescent="0.3">
      <c r="A7599">
        <v>109023</v>
      </c>
      <c r="B7599">
        <v>1</v>
      </c>
      <c r="C7599" t="s">
        <v>109</v>
      </c>
      <c r="D7599" t="s">
        <v>110</v>
      </c>
      <c r="E7599" s="1">
        <v>44467</v>
      </c>
      <c r="F7599">
        <v>1</v>
      </c>
      <c r="G7599" t="s">
        <v>29</v>
      </c>
      <c r="H7599" t="s">
        <v>30</v>
      </c>
      <c r="I7599" s="4">
        <v>1542</v>
      </c>
      <c r="J7599" s="3">
        <v>1542</v>
      </c>
      <c r="K7599" s="4">
        <v>387</v>
      </c>
      <c r="L7599" t="s">
        <v>98</v>
      </c>
      <c r="M7599">
        <v>19</v>
      </c>
      <c r="N7599" t="s">
        <v>150</v>
      </c>
      <c r="O7599" t="s">
        <v>81</v>
      </c>
      <c r="P7599" t="s">
        <v>136</v>
      </c>
      <c r="Q7599" t="s">
        <v>140</v>
      </c>
      <c r="R7599" t="s">
        <v>141</v>
      </c>
      <c r="S7599" t="s">
        <v>145</v>
      </c>
      <c r="T7599" s="2">
        <f>MASTER[[#This Row],[CANTIDAD]]*MASTER[[#This Row],[PRECIO DE VENTA]]</f>
        <v>1542</v>
      </c>
      <c r="U7599" s="2">
        <f>MASTER[[#This Row],[CANTIDAD]]*MASTER[[#This Row],[COSTO UNITARIO]]</f>
        <v>387</v>
      </c>
      <c r="V7599" s="2">
        <f>MASTER[[#This Row],[MONTO VENDIDO]]-MASTER[[#This Row],[COSTO DE VENTA]]</f>
        <v>1155</v>
      </c>
    </row>
    <row r="7600" spans="1:22" x14ac:dyDescent="0.3">
      <c r="A7600">
        <v>109026</v>
      </c>
      <c r="B7600">
        <v>1</v>
      </c>
      <c r="C7600" t="s">
        <v>111</v>
      </c>
      <c r="D7600" t="s">
        <v>112</v>
      </c>
      <c r="E7600" s="1">
        <v>44467</v>
      </c>
      <c r="F7600">
        <v>1</v>
      </c>
      <c r="G7600" t="s">
        <v>65</v>
      </c>
      <c r="H7600" t="s">
        <v>66</v>
      </c>
      <c r="I7600" s="4">
        <v>2608</v>
      </c>
      <c r="J7600" s="3">
        <v>2608</v>
      </c>
      <c r="K7600" s="4">
        <v>434</v>
      </c>
      <c r="L7600" t="s">
        <v>113</v>
      </c>
      <c r="M7600">
        <v>18</v>
      </c>
      <c r="N7600" t="str">
        <f>IF(MASTER[[#This Row],[IDLOCAL]]=17,"HYDE PARK", "HARLEM IRVING")</f>
        <v>HARLEM IRVING</v>
      </c>
      <c r="O7600" t="str">
        <f>IF(MASTER[[#This Row],[IDLOCAL]]=17,"PREMIUM", "ESTÁNDAR")</f>
        <v>ESTÁNDAR</v>
      </c>
      <c r="P7600" t="s">
        <v>137</v>
      </c>
      <c r="Q7600" t="s">
        <v>142</v>
      </c>
      <c r="R7600" t="s">
        <v>143</v>
      </c>
      <c r="S7600" t="s">
        <v>145</v>
      </c>
      <c r="T7600" s="2">
        <f>MASTER[[#This Row],[CANTIDAD]]*MASTER[[#This Row],[PRECIO DE VENTA]]</f>
        <v>2608</v>
      </c>
      <c r="U7600" s="2">
        <f>MASTER[[#This Row],[CANTIDAD]]*MASTER[[#This Row],[COSTO UNITARIO]]</f>
        <v>434</v>
      </c>
      <c r="V7600" s="2">
        <f>MASTER[[#This Row],[MONTO VENDIDO]]-MASTER[[#This Row],[COSTO DE VENTA]]</f>
        <v>2174</v>
      </c>
    </row>
    <row r="7601" spans="1:22" x14ac:dyDescent="0.3">
      <c r="A7601">
        <v>109048</v>
      </c>
      <c r="B7601">
        <v>1</v>
      </c>
      <c r="C7601" t="s">
        <v>121</v>
      </c>
      <c r="D7601" t="s">
        <v>122</v>
      </c>
      <c r="E7601" s="1">
        <v>44467</v>
      </c>
      <c r="F7601">
        <v>1</v>
      </c>
      <c r="G7601" t="s">
        <v>67</v>
      </c>
      <c r="H7601" t="s">
        <v>68</v>
      </c>
      <c r="I7601" s="4">
        <v>1364</v>
      </c>
      <c r="J7601" s="3">
        <v>1364</v>
      </c>
      <c r="K7601" s="4">
        <v>460</v>
      </c>
      <c r="L7601" t="s">
        <v>120</v>
      </c>
      <c r="M7601">
        <v>17</v>
      </c>
      <c r="N7601" t="str">
        <f>IF(MASTER[[#This Row],[IDLOCAL]]=17,"HYDE PARK", "HARLEM IRVING")</f>
        <v>HYDE PARK</v>
      </c>
      <c r="O7601" t="str">
        <f>IF(MASTER[[#This Row],[IDLOCAL]]=17,"PREMIUM", "ESTÁNDAR")</f>
        <v>PREMIUM</v>
      </c>
      <c r="P7601" t="s">
        <v>137</v>
      </c>
      <c r="Q7601" t="s">
        <v>142</v>
      </c>
      <c r="R7601" t="s">
        <v>143</v>
      </c>
      <c r="S7601" t="s">
        <v>145</v>
      </c>
      <c r="T7601" s="2">
        <f>MASTER[[#This Row],[CANTIDAD]]*MASTER[[#This Row],[PRECIO DE VENTA]]</f>
        <v>1364</v>
      </c>
      <c r="U7601" s="2">
        <f>MASTER[[#This Row],[CANTIDAD]]*MASTER[[#This Row],[COSTO UNITARIO]]</f>
        <v>460</v>
      </c>
      <c r="V7601" s="2">
        <f>MASTER[[#This Row],[MONTO VENDIDO]]-MASTER[[#This Row],[COSTO DE VENTA]]</f>
        <v>904</v>
      </c>
    </row>
    <row r="7602" spans="1:22" x14ac:dyDescent="0.3">
      <c r="A7602">
        <v>109055</v>
      </c>
      <c r="B7602">
        <v>1</v>
      </c>
      <c r="C7602" t="s">
        <v>99</v>
      </c>
      <c r="D7602" t="s">
        <v>100</v>
      </c>
      <c r="E7602" s="1">
        <v>44468</v>
      </c>
      <c r="F7602">
        <v>3</v>
      </c>
      <c r="G7602" t="s">
        <v>49</v>
      </c>
      <c r="H7602" t="s">
        <v>50</v>
      </c>
      <c r="I7602" s="4">
        <v>2115</v>
      </c>
      <c r="J7602" s="3">
        <v>2115</v>
      </c>
      <c r="K7602" s="4">
        <v>386</v>
      </c>
      <c r="L7602" t="s">
        <v>98</v>
      </c>
      <c r="M7602">
        <v>19</v>
      </c>
      <c r="N7602" t="s">
        <v>150</v>
      </c>
      <c r="O7602" t="s">
        <v>81</v>
      </c>
      <c r="P7602" t="s">
        <v>136</v>
      </c>
      <c r="Q7602" t="s">
        <v>140</v>
      </c>
      <c r="R7602" t="s">
        <v>141</v>
      </c>
      <c r="S7602" t="s">
        <v>145</v>
      </c>
      <c r="T7602" s="2">
        <f>MASTER[[#This Row],[CANTIDAD]]*MASTER[[#This Row],[PRECIO DE VENTA]]</f>
        <v>6345</v>
      </c>
      <c r="U7602" s="2">
        <f>MASTER[[#This Row],[CANTIDAD]]*MASTER[[#This Row],[COSTO UNITARIO]]</f>
        <v>1158</v>
      </c>
      <c r="V7602" s="2">
        <f>MASTER[[#This Row],[MONTO VENDIDO]]-MASTER[[#This Row],[COSTO DE VENTA]]</f>
        <v>5187</v>
      </c>
    </row>
    <row r="7603" spans="1:22" x14ac:dyDescent="0.3">
      <c r="A7603">
        <v>109067</v>
      </c>
      <c r="B7603">
        <v>1</v>
      </c>
      <c r="C7603" t="s">
        <v>5</v>
      </c>
      <c r="D7603" t="s">
        <v>6</v>
      </c>
      <c r="E7603" s="1">
        <v>44469</v>
      </c>
      <c r="F7603">
        <v>1</v>
      </c>
      <c r="G7603" t="s">
        <v>65</v>
      </c>
      <c r="H7603" t="s">
        <v>66</v>
      </c>
      <c r="I7603" s="4">
        <v>2185</v>
      </c>
      <c r="J7603" s="3">
        <v>2185</v>
      </c>
      <c r="K7603" s="4">
        <v>393</v>
      </c>
      <c r="L7603" t="s">
        <v>9</v>
      </c>
      <c r="M7603">
        <v>19</v>
      </c>
      <c r="N7603" t="s">
        <v>150</v>
      </c>
      <c r="O7603" t="s">
        <v>81</v>
      </c>
      <c r="P7603" t="s">
        <v>136</v>
      </c>
      <c r="Q7603" t="s">
        <v>140</v>
      </c>
      <c r="R7603" t="s">
        <v>141</v>
      </c>
      <c r="S7603" t="s">
        <v>145</v>
      </c>
      <c r="T7603" s="2">
        <f>MASTER[[#This Row],[CANTIDAD]]*MASTER[[#This Row],[PRECIO DE VENTA]]</f>
        <v>2185</v>
      </c>
      <c r="U7603" s="2">
        <f>MASTER[[#This Row],[CANTIDAD]]*MASTER[[#This Row],[COSTO UNITARIO]]</f>
        <v>393</v>
      </c>
      <c r="V7603" s="2">
        <f>MASTER[[#This Row],[MONTO VENDIDO]]-MASTER[[#This Row],[COSTO DE VENTA]]</f>
        <v>1792</v>
      </c>
    </row>
    <row r="7604" spans="1:22" x14ac:dyDescent="0.3">
      <c r="A7604">
        <v>109071</v>
      </c>
      <c r="B7604">
        <v>1</v>
      </c>
      <c r="C7604" t="s">
        <v>92</v>
      </c>
      <c r="D7604" t="s">
        <v>93</v>
      </c>
      <c r="E7604" s="1">
        <v>44469</v>
      </c>
      <c r="F7604">
        <v>1</v>
      </c>
      <c r="G7604" t="s">
        <v>63</v>
      </c>
      <c r="H7604" t="s">
        <v>64</v>
      </c>
      <c r="I7604" s="4">
        <v>2144</v>
      </c>
      <c r="J7604" s="3">
        <v>2144</v>
      </c>
      <c r="K7604" s="4">
        <v>396</v>
      </c>
      <c r="L7604" t="s">
        <v>9</v>
      </c>
      <c r="M7604">
        <v>19</v>
      </c>
      <c r="N7604" t="s">
        <v>150</v>
      </c>
      <c r="O7604" t="s">
        <v>81</v>
      </c>
      <c r="P7604" t="s">
        <v>136</v>
      </c>
      <c r="Q7604" t="s">
        <v>140</v>
      </c>
      <c r="R7604" t="s">
        <v>141</v>
      </c>
      <c r="S7604" t="s">
        <v>145</v>
      </c>
      <c r="T7604" s="2">
        <f>MASTER[[#This Row],[CANTIDAD]]*MASTER[[#This Row],[PRECIO DE VENTA]]</f>
        <v>2144</v>
      </c>
      <c r="U7604" s="2">
        <f>MASTER[[#This Row],[CANTIDAD]]*MASTER[[#This Row],[COSTO UNITARIO]]</f>
        <v>396</v>
      </c>
      <c r="V7604" s="2">
        <f>MASTER[[#This Row],[MONTO VENDIDO]]-MASTER[[#This Row],[COSTO DE VENTA]]</f>
        <v>1748</v>
      </c>
    </row>
    <row r="7605" spans="1:22" x14ac:dyDescent="0.3">
      <c r="A7605">
        <v>109081</v>
      </c>
      <c r="B7605">
        <v>1</v>
      </c>
      <c r="C7605" t="s">
        <v>103</v>
      </c>
      <c r="D7605" t="s">
        <v>104</v>
      </c>
      <c r="E7605" s="1">
        <v>44469</v>
      </c>
      <c r="F7605">
        <v>1</v>
      </c>
      <c r="G7605" t="s">
        <v>24</v>
      </c>
      <c r="H7605" t="s">
        <v>25</v>
      </c>
      <c r="I7605" s="4">
        <v>2099</v>
      </c>
      <c r="J7605" s="3">
        <v>2099</v>
      </c>
      <c r="K7605" s="4">
        <v>421</v>
      </c>
      <c r="L7605" t="s">
        <v>98</v>
      </c>
      <c r="M7605">
        <v>19</v>
      </c>
      <c r="N7605" t="s">
        <v>150</v>
      </c>
      <c r="O7605" t="s">
        <v>81</v>
      </c>
      <c r="P7605" t="s">
        <v>136</v>
      </c>
      <c r="Q7605" t="s">
        <v>140</v>
      </c>
      <c r="R7605" t="s">
        <v>141</v>
      </c>
      <c r="S7605" t="s">
        <v>145</v>
      </c>
      <c r="T7605" s="2">
        <f>MASTER[[#This Row],[CANTIDAD]]*MASTER[[#This Row],[PRECIO DE VENTA]]</f>
        <v>2099</v>
      </c>
      <c r="U7605" s="2">
        <f>MASTER[[#This Row],[CANTIDAD]]*MASTER[[#This Row],[COSTO UNITARIO]]</f>
        <v>421</v>
      </c>
      <c r="V7605" s="2">
        <f>MASTER[[#This Row],[MONTO VENDIDO]]-MASTER[[#This Row],[COSTO DE VENTA]]</f>
        <v>1678</v>
      </c>
    </row>
    <row r="7606" spans="1:22" x14ac:dyDescent="0.3">
      <c r="A7606">
        <v>109098</v>
      </c>
      <c r="B7606">
        <v>1</v>
      </c>
      <c r="C7606" t="s">
        <v>99</v>
      </c>
      <c r="D7606" t="s">
        <v>100</v>
      </c>
      <c r="E7606" s="1">
        <v>44471</v>
      </c>
      <c r="F7606">
        <v>1</v>
      </c>
      <c r="G7606" t="s">
        <v>43</v>
      </c>
      <c r="H7606" t="s">
        <v>44</v>
      </c>
      <c r="I7606" s="4">
        <v>2433</v>
      </c>
      <c r="J7606" s="3">
        <v>2433</v>
      </c>
      <c r="K7606" s="4">
        <v>386</v>
      </c>
      <c r="L7606" t="s">
        <v>98</v>
      </c>
      <c r="M7606">
        <v>17</v>
      </c>
      <c r="N7606" t="str">
        <f>IF(MASTER[[#This Row],[IDLOCAL]]=17,"HYDE PARK", "HARLEM IRVING")</f>
        <v>HYDE PARK</v>
      </c>
      <c r="O7606" t="str">
        <f>IF(MASTER[[#This Row],[IDLOCAL]]=17,"PREMIUM", "ESTÁNDAR")</f>
        <v>PREMIUM</v>
      </c>
      <c r="P7606" t="s">
        <v>137</v>
      </c>
      <c r="Q7606" t="s">
        <v>142</v>
      </c>
      <c r="R7606" t="s">
        <v>143</v>
      </c>
      <c r="S7606" t="s">
        <v>145</v>
      </c>
      <c r="T7606" s="2">
        <f>MASTER[[#This Row],[CANTIDAD]]*MASTER[[#This Row],[PRECIO DE VENTA]]</f>
        <v>2433</v>
      </c>
      <c r="U7606" s="2">
        <f>MASTER[[#This Row],[CANTIDAD]]*MASTER[[#This Row],[COSTO UNITARIO]]</f>
        <v>386</v>
      </c>
      <c r="V7606" s="2">
        <f>MASTER[[#This Row],[MONTO VENDIDO]]-MASTER[[#This Row],[COSTO DE VENTA]]</f>
        <v>2047</v>
      </c>
    </row>
    <row r="7607" spans="1:22" x14ac:dyDescent="0.3">
      <c r="A7607">
        <v>109111</v>
      </c>
      <c r="B7607">
        <v>1</v>
      </c>
      <c r="C7607" t="s">
        <v>96</v>
      </c>
      <c r="D7607" t="s">
        <v>97</v>
      </c>
      <c r="E7607" s="1">
        <v>44472</v>
      </c>
      <c r="F7607">
        <v>1</v>
      </c>
      <c r="G7607" t="s">
        <v>22</v>
      </c>
      <c r="H7607" t="s">
        <v>23</v>
      </c>
      <c r="I7607" s="4">
        <v>1734</v>
      </c>
      <c r="J7607" s="3">
        <v>1734</v>
      </c>
      <c r="K7607" s="4">
        <v>397</v>
      </c>
      <c r="L7607" t="s">
        <v>98</v>
      </c>
      <c r="M7607">
        <v>17</v>
      </c>
      <c r="N7607" t="str">
        <f>IF(MASTER[[#This Row],[IDLOCAL]]=17,"HYDE PARK", "HARLEM IRVING")</f>
        <v>HYDE PARK</v>
      </c>
      <c r="O7607" t="str">
        <f>IF(MASTER[[#This Row],[IDLOCAL]]=17,"PREMIUM", "ESTÁNDAR")</f>
        <v>PREMIUM</v>
      </c>
      <c r="P7607" t="s">
        <v>137</v>
      </c>
      <c r="Q7607" t="s">
        <v>142</v>
      </c>
      <c r="R7607" t="s">
        <v>143</v>
      </c>
      <c r="S7607" t="s">
        <v>145</v>
      </c>
      <c r="T7607" s="2">
        <f>MASTER[[#This Row],[CANTIDAD]]*MASTER[[#This Row],[PRECIO DE VENTA]]</f>
        <v>1734</v>
      </c>
      <c r="U7607" s="2">
        <f>MASTER[[#This Row],[CANTIDAD]]*MASTER[[#This Row],[COSTO UNITARIO]]</f>
        <v>397</v>
      </c>
      <c r="V7607" s="2">
        <f>MASTER[[#This Row],[MONTO VENDIDO]]-MASTER[[#This Row],[COSTO DE VENTA]]</f>
        <v>1337</v>
      </c>
    </row>
    <row r="7608" spans="1:22" x14ac:dyDescent="0.3">
      <c r="A7608">
        <v>109129</v>
      </c>
      <c r="B7608">
        <v>1</v>
      </c>
      <c r="C7608" t="s">
        <v>107</v>
      </c>
      <c r="D7608" t="s">
        <v>108</v>
      </c>
      <c r="E7608" s="1">
        <v>44472</v>
      </c>
      <c r="F7608">
        <v>1</v>
      </c>
      <c r="G7608" t="s">
        <v>22</v>
      </c>
      <c r="H7608" t="s">
        <v>23</v>
      </c>
      <c r="I7608" s="4">
        <v>1932</v>
      </c>
      <c r="J7608" s="3">
        <v>1932</v>
      </c>
      <c r="K7608" s="4">
        <v>380</v>
      </c>
      <c r="L7608" t="s">
        <v>98</v>
      </c>
      <c r="M7608">
        <v>18</v>
      </c>
      <c r="N7608" t="str">
        <f>IF(MASTER[[#This Row],[IDLOCAL]]=17,"HYDE PARK", "HARLEM IRVING")</f>
        <v>HARLEM IRVING</v>
      </c>
      <c r="O7608" t="str">
        <f>IF(MASTER[[#This Row],[IDLOCAL]]=17,"PREMIUM", "ESTÁNDAR")</f>
        <v>ESTÁNDAR</v>
      </c>
      <c r="P7608" t="s">
        <v>137</v>
      </c>
      <c r="Q7608" t="s">
        <v>142</v>
      </c>
      <c r="R7608" t="s">
        <v>143</v>
      </c>
      <c r="S7608" t="s">
        <v>145</v>
      </c>
      <c r="T7608" s="2">
        <f>MASTER[[#This Row],[CANTIDAD]]*MASTER[[#This Row],[PRECIO DE VENTA]]</f>
        <v>1932</v>
      </c>
      <c r="U7608" s="2">
        <f>MASTER[[#This Row],[CANTIDAD]]*MASTER[[#This Row],[COSTO UNITARIO]]</f>
        <v>380</v>
      </c>
      <c r="V7608" s="2">
        <f>MASTER[[#This Row],[MONTO VENDIDO]]-MASTER[[#This Row],[COSTO DE VENTA]]</f>
        <v>1552</v>
      </c>
    </row>
    <row r="7609" spans="1:22" x14ac:dyDescent="0.3">
      <c r="A7609">
        <v>109142</v>
      </c>
      <c r="B7609">
        <v>1</v>
      </c>
      <c r="C7609" t="s">
        <v>92</v>
      </c>
      <c r="D7609" t="s">
        <v>93</v>
      </c>
      <c r="E7609" s="1">
        <v>44474</v>
      </c>
      <c r="F7609">
        <v>1</v>
      </c>
      <c r="G7609" t="s">
        <v>51</v>
      </c>
      <c r="H7609" t="s">
        <v>52</v>
      </c>
      <c r="I7609" s="4">
        <v>2705</v>
      </c>
      <c r="J7609" s="3">
        <v>2705</v>
      </c>
      <c r="K7609" s="4">
        <v>396</v>
      </c>
      <c r="L7609" t="s">
        <v>9</v>
      </c>
      <c r="M7609">
        <v>19</v>
      </c>
      <c r="N7609" t="s">
        <v>150</v>
      </c>
      <c r="O7609" t="s">
        <v>81</v>
      </c>
      <c r="P7609" t="s">
        <v>136</v>
      </c>
      <c r="Q7609" t="s">
        <v>140</v>
      </c>
      <c r="R7609" t="s">
        <v>141</v>
      </c>
      <c r="S7609" t="s">
        <v>145</v>
      </c>
      <c r="T7609" s="2">
        <f>MASTER[[#This Row],[CANTIDAD]]*MASTER[[#This Row],[PRECIO DE VENTA]]</f>
        <v>2705</v>
      </c>
      <c r="U7609" s="2">
        <f>MASTER[[#This Row],[CANTIDAD]]*MASTER[[#This Row],[COSTO UNITARIO]]</f>
        <v>396</v>
      </c>
      <c r="V7609" s="2">
        <f>MASTER[[#This Row],[MONTO VENDIDO]]-MASTER[[#This Row],[COSTO DE VENTA]]</f>
        <v>2309</v>
      </c>
    </row>
    <row r="7610" spans="1:22" x14ac:dyDescent="0.3">
      <c r="A7610">
        <v>109178</v>
      </c>
      <c r="B7610">
        <v>1</v>
      </c>
      <c r="C7610" t="s">
        <v>109</v>
      </c>
      <c r="D7610" t="s">
        <v>110</v>
      </c>
      <c r="E7610" s="1">
        <v>44474</v>
      </c>
      <c r="F7610">
        <v>1</v>
      </c>
      <c r="G7610" t="s">
        <v>53</v>
      </c>
      <c r="H7610" t="s">
        <v>54</v>
      </c>
      <c r="I7610" s="4">
        <v>1542</v>
      </c>
      <c r="J7610" s="3">
        <v>1542</v>
      </c>
      <c r="K7610" s="4">
        <v>387</v>
      </c>
      <c r="L7610" t="s">
        <v>98</v>
      </c>
      <c r="M7610">
        <v>17</v>
      </c>
      <c r="N7610" t="str">
        <f>IF(MASTER[[#This Row],[IDLOCAL]]=17,"HYDE PARK", "HARLEM IRVING")</f>
        <v>HYDE PARK</v>
      </c>
      <c r="O7610" t="str">
        <f>IF(MASTER[[#This Row],[IDLOCAL]]=17,"PREMIUM", "ESTÁNDAR")</f>
        <v>PREMIUM</v>
      </c>
      <c r="P7610" t="s">
        <v>137</v>
      </c>
      <c r="Q7610" t="s">
        <v>142</v>
      </c>
      <c r="R7610" t="s">
        <v>143</v>
      </c>
      <c r="S7610" t="s">
        <v>145</v>
      </c>
      <c r="T7610" s="2">
        <f>MASTER[[#This Row],[CANTIDAD]]*MASTER[[#This Row],[PRECIO DE VENTA]]</f>
        <v>1542</v>
      </c>
      <c r="U7610" s="2">
        <f>MASTER[[#This Row],[CANTIDAD]]*MASTER[[#This Row],[COSTO UNITARIO]]</f>
        <v>387</v>
      </c>
      <c r="V7610" s="2">
        <f>MASTER[[#This Row],[MONTO VENDIDO]]-MASTER[[#This Row],[COSTO DE VENTA]]</f>
        <v>1155</v>
      </c>
    </row>
    <row r="7611" spans="1:22" x14ac:dyDescent="0.3">
      <c r="A7611">
        <v>109199</v>
      </c>
      <c r="B7611">
        <v>1</v>
      </c>
      <c r="C7611" t="s">
        <v>90</v>
      </c>
      <c r="D7611" t="s">
        <v>91</v>
      </c>
      <c r="E7611" s="1">
        <v>44476</v>
      </c>
      <c r="F7611">
        <v>1</v>
      </c>
      <c r="G7611" t="s">
        <v>73</v>
      </c>
      <c r="H7611" t="s">
        <v>74</v>
      </c>
      <c r="I7611" s="4">
        <v>3047</v>
      </c>
      <c r="J7611" s="3">
        <v>2802</v>
      </c>
      <c r="K7611" s="4">
        <v>420</v>
      </c>
      <c r="L7611" t="s">
        <v>9</v>
      </c>
      <c r="M7611">
        <v>19</v>
      </c>
      <c r="N7611" t="s">
        <v>150</v>
      </c>
      <c r="O7611" t="s">
        <v>81</v>
      </c>
      <c r="P7611" t="s">
        <v>136</v>
      </c>
      <c r="Q7611" t="s">
        <v>140</v>
      </c>
      <c r="R7611" t="s">
        <v>141</v>
      </c>
      <c r="S7611" t="s">
        <v>145</v>
      </c>
      <c r="T7611" s="2">
        <f>MASTER[[#This Row],[CANTIDAD]]*MASTER[[#This Row],[PRECIO DE VENTA]]</f>
        <v>2802</v>
      </c>
      <c r="U7611" s="2">
        <f>MASTER[[#This Row],[CANTIDAD]]*MASTER[[#This Row],[COSTO UNITARIO]]</f>
        <v>420</v>
      </c>
      <c r="V7611" s="2">
        <f>MASTER[[#This Row],[MONTO VENDIDO]]-MASTER[[#This Row],[COSTO DE VENTA]]</f>
        <v>2382</v>
      </c>
    </row>
    <row r="7612" spans="1:22" x14ac:dyDescent="0.3">
      <c r="A7612">
        <v>109217</v>
      </c>
      <c r="B7612">
        <v>1</v>
      </c>
      <c r="C7612" t="s">
        <v>90</v>
      </c>
      <c r="D7612" t="s">
        <v>91</v>
      </c>
      <c r="E7612" s="1">
        <v>44476</v>
      </c>
      <c r="F7612">
        <v>1</v>
      </c>
      <c r="G7612" t="s">
        <v>49</v>
      </c>
      <c r="H7612" t="s">
        <v>50</v>
      </c>
      <c r="I7612" s="4">
        <v>2673</v>
      </c>
      <c r="J7612" s="3">
        <v>2485</v>
      </c>
      <c r="K7612" s="4">
        <v>420</v>
      </c>
      <c r="L7612" t="s">
        <v>9</v>
      </c>
      <c r="M7612">
        <v>19</v>
      </c>
      <c r="N7612" t="s">
        <v>150</v>
      </c>
      <c r="O7612" t="s">
        <v>81</v>
      </c>
      <c r="P7612" t="s">
        <v>136</v>
      </c>
      <c r="Q7612" t="s">
        <v>140</v>
      </c>
      <c r="R7612" t="s">
        <v>141</v>
      </c>
      <c r="S7612" t="s">
        <v>145</v>
      </c>
      <c r="T7612" s="2">
        <f>MASTER[[#This Row],[CANTIDAD]]*MASTER[[#This Row],[PRECIO DE VENTA]]</f>
        <v>2485</v>
      </c>
      <c r="U7612" s="2">
        <f>MASTER[[#This Row],[CANTIDAD]]*MASTER[[#This Row],[COSTO UNITARIO]]</f>
        <v>420</v>
      </c>
      <c r="V7612" s="2">
        <f>MASTER[[#This Row],[MONTO VENDIDO]]-MASTER[[#This Row],[COSTO DE VENTA]]</f>
        <v>2065</v>
      </c>
    </row>
    <row r="7613" spans="1:22" x14ac:dyDescent="0.3">
      <c r="A7613">
        <v>109219</v>
      </c>
      <c r="B7613">
        <v>1</v>
      </c>
      <c r="C7613" t="s">
        <v>105</v>
      </c>
      <c r="D7613" t="s">
        <v>106</v>
      </c>
      <c r="E7613" s="1">
        <v>44476</v>
      </c>
      <c r="F7613">
        <v>1</v>
      </c>
      <c r="G7613" t="s">
        <v>45</v>
      </c>
      <c r="H7613" t="s">
        <v>46</v>
      </c>
      <c r="I7613" s="4">
        <v>2947</v>
      </c>
      <c r="J7613" s="3">
        <v>2947</v>
      </c>
      <c r="K7613" s="4">
        <v>459</v>
      </c>
      <c r="L7613" t="s">
        <v>98</v>
      </c>
      <c r="M7613">
        <v>17</v>
      </c>
      <c r="N7613" t="str">
        <f>IF(MASTER[[#This Row],[IDLOCAL]]=17,"HYDE PARK", "HARLEM IRVING")</f>
        <v>HYDE PARK</v>
      </c>
      <c r="O7613" t="str">
        <f>IF(MASTER[[#This Row],[IDLOCAL]]=17,"PREMIUM", "ESTÁNDAR")</f>
        <v>PREMIUM</v>
      </c>
      <c r="P7613" t="s">
        <v>137</v>
      </c>
      <c r="Q7613" t="s">
        <v>142</v>
      </c>
      <c r="R7613" t="s">
        <v>143</v>
      </c>
      <c r="S7613" t="s">
        <v>145</v>
      </c>
      <c r="T7613" s="2">
        <f>MASTER[[#This Row],[CANTIDAD]]*MASTER[[#This Row],[PRECIO DE VENTA]]</f>
        <v>2947</v>
      </c>
      <c r="U7613" s="2">
        <f>MASTER[[#This Row],[CANTIDAD]]*MASTER[[#This Row],[COSTO UNITARIO]]</f>
        <v>459</v>
      </c>
      <c r="V7613" s="2">
        <f>MASTER[[#This Row],[MONTO VENDIDO]]-MASTER[[#This Row],[COSTO DE VENTA]]</f>
        <v>2488</v>
      </c>
    </row>
    <row r="7614" spans="1:22" x14ac:dyDescent="0.3">
      <c r="A7614">
        <v>109225</v>
      </c>
      <c r="B7614">
        <v>1</v>
      </c>
      <c r="C7614" t="s">
        <v>92</v>
      </c>
      <c r="D7614" t="s">
        <v>93</v>
      </c>
      <c r="E7614" s="1">
        <v>44477</v>
      </c>
      <c r="F7614">
        <v>1</v>
      </c>
      <c r="G7614" t="s">
        <v>45</v>
      </c>
      <c r="H7614" t="s">
        <v>46</v>
      </c>
      <c r="I7614" s="4">
        <v>2437</v>
      </c>
      <c r="J7614" s="3">
        <v>2437</v>
      </c>
      <c r="K7614" s="4">
        <v>396</v>
      </c>
      <c r="L7614" t="s">
        <v>9</v>
      </c>
      <c r="M7614">
        <v>19</v>
      </c>
      <c r="N7614" t="s">
        <v>150</v>
      </c>
      <c r="O7614" t="s">
        <v>81</v>
      </c>
      <c r="P7614" t="s">
        <v>136</v>
      </c>
      <c r="Q7614" t="s">
        <v>140</v>
      </c>
      <c r="R7614" t="s">
        <v>141</v>
      </c>
      <c r="S7614" t="s">
        <v>145</v>
      </c>
      <c r="T7614" s="2">
        <f>MASTER[[#This Row],[CANTIDAD]]*MASTER[[#This Row],[PRECIO DE VENTA]]</f>
        <v>2437</v>
      </c>
      <c r="U7614" s="2">
        <f>MASTER[[#This Row],[CANTIDAD]]*MASTER[[#This Row],[COSTO UNITARIO]]</f>
        <v>396</v>
      </c>
      <c r="V7614" s="2">
        <f>MASTER[[#This Row],[MONTO VENDIDO]]-MASTER[[#This Row],[COSTO DE VENTA]]</f>
        <v>2041</v>
      </c>
    </row>
    <row r="7615" spans="1:22" x14ac:dyDescent="0.3">
      <c r="A7615">
        <v>109252</v>
      </c>
      <c r="B7615">
        <v>1</v>
      </c>
      <c r="C7615" t="s">
        <v>116</v>
      </c>
      <c r="D7615" t="s">
        <v>117</v>
      </c>
      <c r="E7615" s="1">
        <v>44477</v>
      </c>
      <c r="F7615">
        <v>1</v>
      </c>
      <c r="G7615" t="s">
        <v>29</v>
      </c>
      <c r="H7615" t="s">
        <v>30</v>
      </c>
      <c r="I7615" s="4">
        <v>2217</v>
      </c>
      <c r="J7615" s="3">
        <v>2217</v>
      </c>
      <c r="K7615" s="4">
        <v>388</v>
      </c>
      <c r="L7615" t="s">
        <v>113</v>
      </c>
      <c r="M7615">
        <v>19</v>
      </c>
      <c r="N7615" t="s">
        <v>150</v>
      </c>
      <c r="O7615" t="s">
        <v>81</v>
      </c>
      <c r="P7615" t="s">
        <v>136</v>
      </c>
      <c r="Q7615" t="s">
        <v>140</v>
      </c>
      <c r="R7615" t="s">
        <v>141</v>
      </c>
      <c r="S7615" t="s">
        <v>145</v>
      </c>
      <c r="T7615" s="2">
        <f>MASTER[[#This Row],[CANTIDAD]]*MASTER[[#This Row],[PRECIO DE VENTA]]</f>
        <v>2217</v>
      </c>
      <c r="U7615" s="2">
        <f>MASTER[[#This Row],[CANTIDAD]]*MASTER[[#This Row],[COSTO UNITARIO]]</f>
        <v>388</v>
      </c>
      <c r="V7615" s="2">
        <f>MASTER[[#This Row],[MONTO VENDIDO]]-MASTER[[#This Row],[COSTO DE VENTA]]</f>
        <v>1829</v>
      </c>
    </row>
    <row r="7616" spans="1:22" x14ac:dyDescent="0.3">
      <c r="A7616">
        <v>109259</v>
      </c>
      <c r="B7616">
        <v>1</v>
      </c>
      <c r="C7616" t="s">
        <v>101</v>
      </c>
      <c r="D7616" t="s">
        <v>102</v>
      </c>
      <c r="E7616" s="1">
        <v>44478</v>
      </c>
      <c r="F7616">
        <v>1</v>
      </c>
      <c r="G7616" t="s">
        <v>35</v>
      </c>
      <c r="H7616" t="s">
        <v>36</v>
      </c>
      <c r="I7616" s="4">
        <v>1757</v>
      </c>
      <c r="J7616" s="3">
        <v>1686</v>
      </c>
      <c r="K7616" s="4">
        <v>442</v>
      </c>
      <c r="L7616" t="s">
        <v>98</v>
      </c>
      <c r="M7616">
        <v>17</v>
      </c>
      <c r="N7616" t="str">
        <f>IF(MASTER[[#This Row],[IDLOCAL]]=17,"HYDE PARK", "HARLEM IRVING")</f>
        <v>HYDE PARK</v>
      </c>
      <c r="O7616" t="str">
        <f>IF(MASTER[[#This Row],[IDLOCAL]]=17,"PREMIUM", "ESTÁNDAR")</f>
        <v>PREMIUM</v>
      </c>
      <c r="P7616" t="s">
        <v>137</v>
      </c>
      <c r="Q7616" t="s">
        <v>142</v>
      </c>
      <c r="R7616" t="s">
        <v>143</v>
      </c>
      <c r="S7616" t="s">
        <v>145</v>
      </c>
      <c r="T7616" s="2">
        <f>MASTER[[#This Row],[CANTIDAD]]*MASTER[[#This Row],[PRECIO DE VENTA]]</f>
        <v>1686</v>
      </c>
      <c r="U7616" s="2">
        <f>MASTER[[#This Row],[CANTIDAD]]*MASTER[[#This Row],[COSTO UNITARIO]]</f>
        <v>442</v>
      </c>
      <c r="V7616" s="2">
        <f>MASTER[[#This Row],[MONTO VENDIDO]]-MASTER[[#This Row],[COSTO DE VENTA]]</f>
        <v>1244</v>
      </c>
    </row>
    <row r="7617" spans="1:22" x14ac:dyDescent="0.3">
      <c r="A7617">
        <v>109275</v>
      </c>
      <c r="B7617">
        <v>1</v>
      </c>
      <c r="C7617" t="s">
        <v>105</v>
      </c>
      <c r="D7617" t="s">
        <v>106</v>
      </c>
      <c r="E7617" s="1">
        <v>44479</v>
      </c>
      <c r="F7617">
        <v>1</v>
      </c>
      <c r="G7617" t="s">
        <v>33</v>
      </c>
      <c r="H7617" t="s">
        <v>34</v>
      </c>
      <c r="I7617" s="4">
        <v>2704</v>
      </c>
      <c r="J7617" s="3">
        <v>2514</v>
      </c>
      <c r="K7617" s="4">
        <v>459</v>
      </c>
      <c r="L7617" t="s">
        <v>98</v>
      </c>
      <c r="M7617">
        <v>19</v>
      </c>
      <c r="N7617" t="s">
        <v>150</v>
      </c>
      <c r="O7617" t="s">
        <v>81</v>
      </c>
      <c r="P7617" t="s">
        <v>136</v>
      </c>
      <c r="Q7617" t="s">
        <v>140</v>
      </c>
      <c r="R7617" t="s">
        <v>141</v>
      </c>
      <c r="S7617" t="s">
        <v>145</v>
      </c>
      <c r="T7617" s="2">
        <f>MASTER[[#This Row],[CANTIDAD]]*MASTER[[#This Row],[PRECIO DE VENTA]]</f>
        <v>2514</v>
      </c>
      <c r="U7617" s="2">
        <f>MASTER[[#This Row],[CANTIDAD]]*MASTER[[#This Row],[COSTO UNITARIO]]</f>
        <v>459</v>
      </c>
      <c r="V7617" s="2">
        <f>MASTER[[#This Row],[MONTO VENDIDO]]-MASTER[[#This Row],[COSTO DE VENTA]]</f>
        <v>2055</v>
      </c>
    </row>
    <row r="7618" spans="1:22" x14ac:dyDescent="0.3">
      <c r="A7618">
        <v>109283</v>
      </c>
      <c r="B7618">
        <v>1</v>
      </c>
      <c r="C7618" t="s">
        <v>109</v>
      </c>
      <c r="D7618" t="s">
        <v>110</v>
      </c>
      <c r="E7618" s="1">
        <v>44479</v>
      </c>
      <c r="F7618">
        <v>1</v>
      </c>
      <c r="G7618" t="s">
        <v>43</v>
      </c>
      <c r="H7618" t="s">
        <v>44</v>
      </c>
      <c r="I7618" s="4">
        <v>1635</v>
      </c>
      <c r="J7618" s="3">
        <v>1635</v>
      </c>
      <c r="K7618" s="4">
        <v>387</v>
      </c>
      <c r="L7618" t="s">
        <v>98</v>
      </c>
      <c r="M7618">
        <v>17</v>
      </c>
      <c r="N7618" t="str">
        <f>IF(MASTER[[#This Row],[IDLOCAL]]=17,"HYDE PARK", "HARLEM IRVING")</f>
        <v>HYDE PARK</v>
      </c>
      <c r="O7618" t="str">
        <f>IF(MASTER[[#This Row],[IDLOCAL]]=17,"PREMIUM", "ESTÁNDAR")</f>
        <v>PREMIUM</v>
      </c>
      <c r="P7618" t="s">
        <v>137</v>
      </c>
      <c r="Q7618" t="s">
        <v>142</v>
      </c>
      <c r="R7618" t="s">
        <v>143</v>
      </c>
      <c r="S7618" t="s">
        <v>145</v>
      </c>
      <c r="T7618" s="2">
        <f>MASTER[[#This Row],[CANTIDAD]]*MASTER[[#This Row],[PRECIO DE VENTA]]</f>
        <v>1635</v>
      </c>
      <c r="U7618" s="2">
        <f>MASTER[[#This Row],[CANTIDAD]]*MASTER[[#This Row],[COSTO UNITARIO]]</f>
        <v>387</v>
      </c>
      <c r="V7618" s="2">
        <f>MASTER[[#This Row],[MONTO VENDIDO]]-MASTER[[#This Row],[COSTO DE VENTA]]</f>
        <v>1248</v>
      </c>
    </row>
    <row r="7619" spans="1:22" x14ac:dyDescent="0.3">
      <c r="A7619">
        <v>109300</v>
      </c>
      <c r="B7619">
        <v>1</v>
      </c>
      <c r="C7619" t="s">
        <v>114</v>
      </c>
      <c r="D7619" t="s">
        <v>115</v>
      </c>
      <c r="E7619" s="1">
        <v>44479</v>
      </c>
      <c r="F7619">
        <v>1</v>
      </c>
      <c r="G7619" t="s">
        <v>20</v>
      </c>
      <c r="H7619" t="s">
        <v>21</v>
      </c>
      <c r="I7619" s="4">
        <v>2699</v>
      </c>
      <c r="J7619" s="3">
        <v>2699</v>
      </c>
      <c r="K7619" s="4">
        <v>394</v>
      </c>
      <c r="L7619" t="s">
        <v>113</v>
      </c>
      <c r="M7619">
        <v>17</v>
      </c>
      <c r="N7619" t="str">
        <f>IF(MASTER[[#This Row],[IDLOCAL]]=17,"HYDE PARK", "HARLEM IRVING")</f>
        <v>HYDE PARK</v>
      </c>
      <c r="O7619" t="str">
        <f>IF(MASTER[[#This Row],[IDLOCAL]]=17,"PREMIUM", "ESTÁNDAR")</f>
        <v>PREMIUM</v>
      </c>
      <c r="P7619" t="s">
        <v>137</v>
      </c>
      <c r="Q7619" t="s">
        <v>142</v>
      </c>
      <c r="R7619" t="s">
        <v>143</v>
      </c>
      <c r="S7619" t="s">
        <v>145</v>
      </c>
      <c r="T7619" s="2">
        <f>MASTER[[#This Row],[CANTIDAD]]*MASTER[[#This Row],[PRECIO DE VENTA]]</f>
        <v>2699</v>
      </c>
      <c r="U7619" s="2">
        <f>MASTER[[#This Row],[CANTIDAD]]*MASTER[[#This Row],[COSTO UNITARIO]]</f>
        <v>394</v>
      </c>
      <c r="V7619" s="2">
        <f>MASTER[[#This Row],[MONTO VENDIDO]]-MASTER[[#This Row],[COSTO DE VENTA]]</f>
        <v>2305</v>
      </c>
    </row>
    <row r="7620" spans="1:22" x14ac:dyDescent="0.3">
      <c r="A7620">
        <v>109303</v>
      </c>
      <c r="B7620">
        <v>1</v>
      </c>
      <c r="C7620" t="s">
        <v>118</v>
      </c>
      <c r="D7620" t="s">
        <v>119</v>
      </c>
      <c r="E7620" s="1">
        <v>44480</v>
      </c>
      <c r="F7620">
        <v>1</v>
      </c>
      <c r="G7620" t="s">
        <v>57</v>
      </c>
      <c r="H7620" t="s">
        <v>58</v>
      </c>
      <c r="I7620" s="4">
        <v>1161</v>
      </c>
      <c r="J7620" s="3">
        <v>1161</v>
      </c>
      <c r="K7620" s="4">
        <v>424</v>
      </c>
      <c r="L7620" t="s">
        <v>120</v>
      </c>
      <c r="M7620">
        <v>19</v>
      </c>
      <c r="N7620" t="s">
        <v>150</v>
      </c>
      <c r="O7620" t="s">
        <v>81</v>
      </c>
      <c r="P7620" t="s">
        <v>136</v>
      </c>
      <c r="Q7620" t="s">
        <v>140</v>
      </c>
      <c r="R7620" t="s">
        <v>141</v>
      </c>
      <c r="S7620" t="s">
        <v>145</v>
      </c>
      <c r="T7620" s="2">
        <f>MASTER[[#This Row],[CANTIDAD]]*MASTER[[#This Row],[PRECIO DE VENTA]]</f>
        <v>1161</v>
      </c>
      <c r="U7620" s="2">
        <f>MASTER[[#This Row],[CANTIDAD]]*MASTER[[#This Row],[COSTO UNITARIO]]</f>
        <v>424</v>
      </c>
      <c r="V7620" s="2">
        <f>MASTER[[#This Row],[MONTO VENDIDO]]-MASTER[[#This Row],[COSTO DE VENTA]]</f>
        <v>737</v>
      </c>
    </row>
    <row r="7621" spans="1:22" x14ac:dyDescent="0.3">
      <c r="A7621">
        <v>109310</v>
      </c>
      <c r="B7621">
        <v>1</v>
      </c>
      <c r="C7621" t="s">
        <v>107</v>
      </c>
      <c r="D7621" t="s">
        <v>108</v>
      </c>
      <c r="E7621" s="1">
        <v>44481</v>
      </c>
      <c r="F7621">
        <v>1</v>
      </c>
      <c r="G7621" t="s">
        <v>7</v>
      </c>
      <c r="H7621" t="s">
        <v>8</v>
      </c>
      <c r="I7621" s="4">
        <v>2088</v>
      </c>
      <c r="J7621" s="3">
        <v>2088</v>
      </c>
      <c r="K7621" s="4">
        <v>380</v>
      </c>
      <c r="L7621" t="s">
        <v>98</v>
      </c>
      <c r="M7621">
        <v>18</v>
      </c>
      <c r="N7621" t="str">
        <f>IF(MASTER[[#This Row],[IDLOCAL]]=17,"HYDE PARK", "HARLEM IRVING")</f>
        <v>HARLEM IRVING</v>
      </c>
      <c r="O7621" t="str">
        <f>IF(MASTER[[#This Row],[IDLOCAL]]=17,"PREMIUM", "ESTÁNDAR")</f>
        <v>ESTÁNDAR</v>
      </c>
      <c r="P7621" t="s">
        <v>137</v>
      </c>
      <c r="Q7621" t="s">
        <v>142</v>
      </c>
      <c r="R7621" t="s">
        <v>143</v>
      </c>
      <c r="S7621" t="s">
        <v>145</v>
      </c>
      <c r="T7621" s="2">
        <f>MASTER[[#This Row],[CANTIDAD]]*MASTER[[#This Row],[PRECIO DE VENTA]]</f>
        <v>2088</v>
      </c>
      <c r="U7621" s="2">
        <f>MASTER[[#This Row],[CANTIDAD]]*MASTER[[#This Row],[COSTO UNITARIO]]</f>
        <v>380</v>
      </c>
      <c r="V7621" s="2">
        <f>MASTER[[#This Row],[MONTO VENDIDO]]-MASTER[[#This Row],[COSTO DE VENTA]]</f>
        <v>1708</v>
      </c>
    </row>
    <row r="7622" spans="1:22" x14ac:dyDescent="0.3">
      <c r="A7622">
        <v>109318</v>
      </c>
      <c r="B7622">
        <v>1</v>
      </c>
      <c r="C7622" t="s">
        <v>99</v>
      </c>
      <c r="D7622" t="s">
        <v>100</v>
      </c>
      <c r="E7622" s="1">
        <v>44482</v>
      </c>
      <c r="F7622">
        <v>1</v>
      </c>
      <c r="G7622" t="s">
        <v>33</v>
      </c>
      <c r="H7622" t="s">
        <v>34</v>
      </c>
      <c r="I7622" s="4">
        <v>1925</v>
      </c>
      <c r="J7622" s="3">
        <v>1925</v>
      </c>
      <c r="K7622" s="4">
        <v>386</v>
      </c>
      <c r="L7622" t="s">
        <v>98</v>
      </c>
      <c r="M7622">
        <v>17</v>
      </c>
      <c r="N7622" t="str">
        <f>IF(MASTER[[#This Row],[IDLOCAL]]=17,"HYDE PARK", "HARLEM IRVING")</f>
        <v>HYDE PARK</v>
      </c>
      <c r="O7622" t="str">
        <f>IF(MASTER[[#This Row],[IDLOCAL]]=17,"PREMIUM", "ESTÁNDAR")</f>
        <v>PREMIUM</v>
      </c>
      <c r="P7622" t="s">
        <v>137</v>
      </c>
      <c r="Q7622" t="s">
        <v>142</v>
      </c>
      <c r="R7622" t="s">
        <v>143</v>
      </c>
      <c r="S7622" t="s">
        <v>145</v>
      </c>
      <c r="T7622" s="2">
        <f>MASTER[[#This Row],[CANTIDAD]]*MASTER[[#This Row],[PRECIO DE VENTA]]</f>
        <v>1925</v>
      </c>
      <c r="U7622" s="2">
        <f>MASTER[[#This Row],[CANTIDAD]]*MASTER[[#This Row],[COSTO UNITARIO]]</f>
        <v>386</v>
      </c>
      <c r="V7622" s="2">
        <f>MASTER[[#This Row],[MONTO VENDIDO]]-MASTER[[#This Row],[COSTO DE VENTA]]</f>
        <v>1539</v>
      </c>
    </row>
    <row r="7623" spans="1:22" x14ac:dyDescent="0.3">
      <c r="A7623">
        <v>109320</v>
      </c>
      <c r="B7623">
        <v>1</v>
      </c>
      <c r="C7623" t="s">
        <v>107</v>
      </c>
      <c r="D7623" t="s">
        <v>108</v>
      </c>
      <c r="E7623" s="1">
        <v>44482</v>
      </c>
      <c r="F7623">
        <v>1</v>
      </c>
      <c r="G7623" t="s">
        <v>33</v>
      </c>
      <c r="H7623" t="s">
        <v>34</v>
      </c>
      <c r="I7623" s="4">
        <v>1798</v>
      </c>
      <c r="J7623" s="3">
        <v>1798</v>
      </c>
      <c r="K7623" s="4">
        <v>380</v>
      </c>
      <c r="L7623" t="s">
        <v>98</v>
      </c>
      <c r="M7623">
        <v>19</v>
      </c>
      <c r="N7623" t="s">
        <v>150</v>
      </c>
      <c r="O7623" t="s">
        <v>81</v>
      </c>
      <c r="P7623" t="s">
        <v>136</v>
      </c>
      <c r="Q7623" t="s">
        <v>140</v>
      </c>
      <c r="R7623" t="s">
        <v>141</v>
      </c>
      <c r="S7623" t="s">
        <v>145</v>
      </c>
      <c r="T7623" s="2">
        <f>MASTER[[#This Row],[CANTIDAD]]*MASTER[[#This Row],[PRECIO DE VENTA]]</f>
        <v>1798</v>
      </c>
      <c r="U7623" s="2">
        <f>MASTER[[#This Row],[CANTIDAD]]*MASTER[[#This Row],[COSTO UNITARIO]]</f>
        <v>380</v>
      </c>
      <c r="V7623" s="2">
        <f>MASTER[[#This Row],[MONTO VENDIDO]]-MASTER[[#This Row],[COSTO DE VENTA]]</f>
        <v>1418</v>
      </c>
    </row>
    <row r="7624" spans="1:22" x14ac:dyDescent="0.3">
      <c r="A7624">
        <v>109341</v>
      </c>
      <c r="B7624">
        <v>1</v>
      </c>
      <c r="C7624" t="s">
        <v>109</v>
      </c>
      <c r="D7624" t="s">
        <v>110</v>
      </c>
      <c r="E7624" s="1">
        <v>44483</v>
      </c>
      <c r="F7624">
        <v>1</v>
      </c>
      <c r="G7624" t="s">
        <v>67</v>
      </c>
      <c r="H7624" t="s">
        <v>68</v>
      </c>
      <c r="I7624" s="4">
        <v>1373</v>
      </c>
      <c r="J7624" s="3">
        <v>1373</v>
      </c>
      <c r="K7624" s="4">
        <v>387</v>
      </c>
      <c r="L7624" t="s">
        <v>98</v>
      </c>
      <c r="M7624">
        <v>19</v>
      </c>
      <c r="N7624" t="s">
        <v>150</v>
      </c>
      <c r="O7624" t="s">
        <v>81</v>
      </c>
      <c r="P7624" t="s">
        <v>136</v>
      </c>
      <c r="Q7624" t="s">
        <v>140</v>
      </c>
      <c r="R7624" t="s">
        <v>141</v>
      </c>
      <c r="S7624" t="s">
        <v>145</v>
      </c>
      <c r="T7624" s="2">
        <f>MASTER[[#This Row],[CANTIDAD]]*MASTER[[#This Row],[PRECIO DE VENTA]]</f>
        <v>1373</v>
      </c>
      <c r="U7624" s="2">
        <f>MASTER[[#This Row],[CANTIDAD]]*MASTER[[#This Row],[COSTO UNITARIO]]</f>
        <v>387</v>
      </c>
      <c r="V7624" s="2">
        <f>MASTER[[#This Row],[MONTO VENDIDO]]-MASTER[[#This Row],[COSTO DE VENTA]]</f>
        <v>986</v>
      </c>
    </row>
    <row r="7625" spans="1:22" x14ac:dyDescent="0.3">
      <c r="A7625">
        <v>109353</v>
      </c>
      <c r="B7625">
        <v>1</v>
      </c>
      <c r="C7625" t="s">
        <v>114</v>
      </c>
      <c r="D7625" t="s">
        <v>115</v>
      </c>
      <c r="E7625" s="1">
        <v>44483</v>
      </c>
      <c r="F7625">
        <v>1</v>
      </c>
      <c r="G7625" t="s">
        <v>63</v>
      </c>
      <c r="H7625" t="s">
        <v>64</v>
      </c>
      <c r="I7625" s="4">
        <v>2943</v>
      </c>
      <c r="J7625" s="3">
        <v>2943</v>
      </c>
      <c r="K7625" s="4">
        <v>394</v>
      </c>
      <c r="L7625" t="s">
        <v>113</v>
      </c>
      <c r="M7625">
        <v>19</v>
      </c>
      <c r="N7625" t="s">
        <v>150</v>
      </c>
      <c r="O7625" t="s">
        <v>81</v>
      </c>
      <c r="P7625" t="s">
        <v>136</v>
      </c>
      <c r="Q7625" t="s">
        <v>140</v>
      </c>
      <c r="R7625" t="s">
        <v>141</v>
      </c>
      <c r="S7625" t="s">
        <v>145</v>
      </c>
      <c r="T7625" s="2">
        <f>MASTER[[#This Row],[CANTIDAD]]*MASTER[[#This Row],[PRECIO DE VENTA]]</f>
        <v>2943</v>
      </c>
      <c r="U7625" s="2">
        <f>MASTER[[#This Row],[CANTIDAD]]*MASTER[[#This Row],[COSTO UNITARIO]]</f>
        <v>394</v>
      </c>
      <c r="V7625" s="2">
        <f>MASTER[[#This Row],[MONTO VENDIDO]]-MASTER[[#This Row],[COSTO DE VENTA]]</f>
        <v>2549</v>
      </c>
    </row>
    <row r="7626" spans="1:22" x14ac:dyDescent="0.3">
      <c r="A7626">
        <v>109367</v>
      </c>
      <c r="B7626">
        <v>1</v>
      </c>
      <c r="C7626" t="s">
        <v>105</v>
      </c>
      <c r="D7626" t="s">
        <v>106</v>
      </c>
      <c r="E7626" s="1">
        <v>44484</v>
      </c>
      <c r="F7626">
        <v>1</v>
      </c>
      <c r="G7626" t="s">
        <v>45</v>
      </c>
      <c r="H7626" t="s">
        <v>46</v>
      </c>
      <c r="I7626" s="4">
        <v>2298</v>
      </c>
      <c r="J7626" s="3">
        <v>2298</v>
      </c>
      <c r="K7626" s="4">
        <v>459</v>
      </c>
      <c r="L7626" t="s">
        <v>98</v>
      </c>
      <c r="M7626">
        <v>17</v>
      </c>
      <c r="N7626" t="str">
        <f>IF(MASTER[[#This Row],[IDLOCAL]]=17,"HYDE PARK", "HARLEM IRVING")</f>
        <v>HYDE PARK</v>
      </c>
      <c r="O7626" t="str">
        <f>IF(MASTER[[#This Row],[IDLOCAL]]=17,"PREMIUM", "ESTÁNDAR")</f>
        <v>PREMIUM</v>
      </c>
      <c r="P7626" t="s">
        <v>137</v>
      </c>
      <c r="Q7626" t="s">
        <v>142</v>
      </c>
      <c r="R7626" t="s">
        <v>143</v>
      </c>
      <c r="S7626" t="s">
        <v>145</v>
      </c>
      <c r="T7626" s="2">
        <f>MASTER[[#This Row],[CANTIDAD]]*MASTER[[#This Row],[PRECIO DE VENTA]]</f>
        <v>2298</v>
      </c>
      <c r="U7626" s="2">
        <f>MASTER[[#This Row],[CANTIDAD]]*MASTER[[#This Row],[COSTO UNITARIO]]</f>
        <v>459</v>
      </c>
      <c r="V7626" s="2">
        <f>MASTER[[#This Row],[MONTO VENDIDO]]-MASTER[[#This Row],[COSTO DE VENTA]]</f>
        <v>1839</v>
      </c>
    </row>
    <row r="7627" spans="1:22" x14ac:dyDescent="0.3">
      <c r="A7627">
        <v>109377</v>
      </c>
      <c r="B7627">
        <v>1</v>
      </c>
      <c r="C7627" t="s">
        <v>96</v>
      </c>
      <c r="D7627" t="s">
        <v>97</v>
      </c>
      <c r="E7627" s="1">
        <v>44485</v>
      </c>
      <c r="F7627">
        <v>1</v>
      </c>
      <c r="G7627" t="s">
        <v>29</v>
      </c>
      <c r="H7627" t="s">
        <v>30</v>
      </c>
      <c r="I7627" s="4">
        <v>1844</v>
      </c>
      <c r="J7627" s="3">
        <v>1696</v>
      </c>
      <c r="K7627" s="4">
        <v>397</v>
      </c>
      <c r="L7627" t="s">
        <v>98</v>
      </c>
      <c r="M7627">
        <v>17</v>
      </c>
      <c r="N7627" t="str">
        <f>IF(MASTER[[#This Row],[IDLOCAL]]=17,"HYDE PARK", "HARLEM IRVING")</f>
        <v>HYDE PARK</v>
      </c>
      <c r="O7627" t="str">
        <f>IF(MASTER[[#This Row],[IDLOCAL]]=17,"PREMIUM", "ESTÁNDAR")</f>
        <v>PREMIUM</v>
      </c>
      <c r="P7627" t="s">
        <v>137</v>
      </c>
      <c r="Q7627" t="s">
        <v>142</v>
      </c>
      <c r="R7627" t="s">
        <v>143</v>
      </c>
      <c r="S7627" t="s">
        <v>145</v>
      </c>
      <c r="T7627" s="2">
        <f>MASTER[[#This Row],[CANTIDAD]]*MASTER[[#This Row],[PRECIO DE VENTA]]</f>
        <v>1696</v>
      </c>
      <c r="U7627" s="2">
        <f>MASTER[[#This Row],[CANTIDAD]]*MASTER[[#This Row],[COSTO UNITARIO]]</f>
        <v>397</v>
      </c>
      <c r="V7627" s="2">
        <f>MASTER[[#This Row],[MONTO VENDIDO]]-MASTER[[#This Row],[COSTO DE VENTA]]</f>
        <v>1299</v>
      </c>
    </row>
    <row r="7628" spans="1:22" x14ac:dyDescent="0.3">
      <c r="A7628">
        <v>109391</v>
      </c>
      <c r="B7628">
        <v>1</v>
      </c>
      <c r="C7628" t="s">
        <v>121</v>
      </c>
      <c r="D7628" t="s">
        <v>122</v>
      </c>
      <c r="E7628" s="1">
        <v>44485</v>
      </c>
      <c r="F7628">
        <v>1</v>
      </c>
      <c r="G7628" t="s">
        <v>37</v>
      </c>
      <c r="H7628" t="s">
        <v>38</v>
      </c>
      <c r="I7628" s="4">
        <v>1550</v>
      </c>
      <c r="J7628" s="3">
        <v>1550</v>
      </c>
      <c r="K7628" s="4">
        <v>460</v>
      </c>
      <c r="L7628" t="s">
        <v>120</v>
      </c>
      <c r="M7628">
        <v>17</v>
      </c>
      <c r="N7628" t="str">
        <f>IF(MASTER[[#This Row],[IDLOCAL]]=17,"HYDE PARK", "HARLEM IRVING")</f>
        <v>HYDE PARK</v>
      </c>
      <c r="O7628" t="str">
        <f>IF(MASTER[[#This Row],[IDLOCAL]]=17,"PREMIUM", "ESTÁNDAR")</f>
        <v>PREMIUM</v>
      </c>
      <c r="P7628" t="s">
        <v>137</v>
      </c>
      <c r="Q7628" t="s">
        <v>142</v>
      </c>
      <c r="R7628" t="s">
        <v>143</v>
      </c>
      <c r="S7628" t="s">
        <v>145</v>
      </c>
      <c r="T7628" s="2">
        <f>MASTER[[#This Row],[CANTIDAD]]*MASTER[[#This Row],[PRECIO DE VENTA]]</f>
        <v>1550</v>
      </c>
      <c r="U7628" s="2">
        <f>MASTER[[#This Row],[CANTIDAD]]*MASTER[[#This Row],[COSTO UNITARIO]]</f>
        <v>460</v>
      </c>
      <c r="V7628" s="2">
        <f>MASTER[[#This Row],[MONTO VENDIDO]]-MASTER[[#This Row],[COSTO DE VENTA]]</f>
        <v>1090</v>
      </c>
    </row>
    <row r="7629" spans="1:22" x14ac:dyDescent="0.3">
      <c r="A7629">
        <v>109398</v>
      </c>
      <c r="B7629">
        <v>1</v>
      </c>
      <c r="C7629" t="s">
        <v>107</v>
      </c>
      <c r="D7629" t="s">
        <v>108</v>
      </c>
      <c r="E7629" s="1">
        <v>44486</v>
      </c>
      <c r="F7629">
        <v>1</v>
      </c>
      <c r="G7629" t="s">
        <v>22</v>
      </c>
      <c r="H7629" t="s">
        <v>23</v>
      </c>
      <c r="I7629" s="4">
        <v>1932</v>
      </c>
      <c r="J7629" s="3">
        <v>1932</v>
      </c>
      <c r="K7629" s="4">
        <v>380</v>
      </c>
      <c r="L7629" t="s">
        <v>98</v>
      </c>
      <c r="M7629">
        <v>19</v>
      </c>
      <c r="N7629" t="s">
        <v>150</v>
      </c>
      <c r="O7629" t="s">
        <v>81</v>
      </c>
      <c r="P7629" t="s">
        <v>136</v>
      </c>
      <c r="Q7629" t="s">
        <v>140</v>
      </c>
      <c r="R7629" t="s">
        <v>141</v>
      </c>
      <c r="S7629" t="s">
        <v>145</v>
      </c>
      <c r="T7629" s="2">
        <f>MASTER[[#This Row],[CANTIDAD]]*MASTER[[#This Row],[PRECIO DE VENTA]]</f>
        <v>1932</v>
      </c>
      <c r="U7629" s="2">
        <f>MASTER[[#This Row],[CANTIDAD]]*MASTER[[#This Row],[COSTO UNITARIO]]</f>
        <v>380</v>
      </c>
      <c r="V7629" s="2">
        <f>MASTER[[#This Row],[MONTO VENDIDO]]-MASTER[[#This Row],[COSTO DE VENTA]]</f>
        <v>1552</v>
      </c>
    </row>
    <row r="7630" spans="1:22" x14ac:dyDescent="0.3">
      <c r="A7630">
        <v>109404</v>
      </c>
      <c r="B7630">
        <v>1</v>
      </c>
      <c r="C7630" t="s">
        <v>116</v>
      </c>
      <c r="D7630" t="s">
        <v>117</v>
      </c>
      <c r="E7630" s="1">
        <v>44486</v>
      </c>
      <c r="F7630">
        <v>1</v>
      </c>
      <c r="G7630" t="s">
        <v>61</v>
      </c>
      <c r="H7630" t="s">
        <v>62</v>
      </c>
      <c r="I7630" s="4">
        <v>2898</v>
      </c>
      <c r="J7630" s="3">
        <v>2898</v>
      </c>
      <c r="K7630" s="4">
        <v>388</v>
      </c>
      <c r="L7630" t="s">
        <v>113</v>
      </c>
      <c r="M7630">
        <v>19</v>
      </c>
      <c r="N7630" t="s">
        <v>150</v>
      </c>
      <c r="O7630" t="s">
        <v>81</v>
      </c>
      <c r="P7630" t="s">
        <v>136</v>
      </c>
      <c r="Q7630" t="s">
        <v>140</v>
      </c>
      <c r="R7630" t="s">
        <v>141</v>
      </c>
      <c r="S7630" t="s">
        <v>145</v>
      </c>
      <c r="T7630" s="2">
        <f>MASTER[[#This Row],[CANTIDAD]]*MASTER[[#This Row],[PRECIO DE VENTA]]</f>
        <v>2898</v>
      </c>
      <c r="U7630" s="2">
        <f>MASTER[[#This Row],[CANTIDAD]]*MASTER[[#This Row],[COSTO UNITARIO]]</f>
        <v>388</v>
      </c>
      <c r="V7630" s="2">
        <f>MASTER[[#This Row],[MONTO VENDIDO]]-MASTER[[#This Row],[COSTO DE VENTA]]</f>
        <v>2510</v>
      </c>
    </row>
    <row r="7631" spans="1:22" x14ac:dyDescent="0.3">
      <c r="A7631">
        <v>109410</v>
      </c>
      <c r="B7631">
        <v>1</v>
      </c>
      <c r="C7631" t="s">
        <v>5</v>
      </c>
      <c r="D7631" t="s">
        <v>6</v>
      </c>
      <c r="E7631" s="1">
        <v>44487</v>
      </c>
      <c r="F7631">
        <v>1</v>
      </c>
      <c r="G7631" t="s">
        <v>31</v>
      </c>
      <c r="H7631" t="s">
        <v>32</v>
      </c>
      <c r="I7631" s="4">
        <v>2185</v>
      </c>
      <c r="J7631" s="3">
        <v>2185</v>
      </c>
      <c r="K7631" s="4">
        <v>393</v>
      </c>
      <c r="L7631" t="s">
        <v>9</v>
      </c>
      <c r="M7631">
        <v>17</v>
      </c>
      <c r="N7631" t="str">
        <f>IF(MASTER[[#This Row],[IDLOCAL]]=17,"HYDE PARK", "HARLEM IRVING")</f>
        <v>HYDE PARK</v>
      </c>
      <c r="O7631" t="str">
        <f>IF(MASTER[[#This Row],[IDLOCAL]]=17,"PREMIUM", "ESTÁNDAR")</f>
        <v>PREMIUM</v>
      </c>
      <c r="P7631" t="s">
        <v>137</v>
      </c>
      <c r="Q7631" t="s">
        <v>142</v>
      </c>
      <c r="R7631" t="s">
        <v>143</v>
      </c>
      <c r="S7631" t="s">
        <v>145</v>
      </c>
      <c r="T7631" s="2">
        <f>MASTER[[#This Row],[CANTIDAD]]*MASTER[[#This Row],[PRECIO DE VENTA]]</f>
        <v>2185</v>
      </c>
      <c r="U7631" s="2">
        <f>MASTER[[#This Row],[CANTIDAD]]*MASTER[[#This Row],[COSTO UNITARIO]]</f>
        <v>393</v>
      </c>
      <c r="V7631" s="2">
        <f>MASTER[[#This Row],[MONTO VENDIDO]]-MASTER[[#This Row],[COSTO DE VENTA]]</f>
        <v>1792</v>
      </c>
    </row>
    <row r="7632" spans="1:22" x14ac:dyDescent="0.3">
      <c r="A7632">
        <v>109416</v>
      </c>
      <c r="B7632">
        <v>1</v>
      </c>
      <c r="C7632" t="s">
        <v>121</v>
      </c>
      <c r="D7632" t="s">
        <v>122</v>
      </c>
      <c r="E7632" s="1">
        <v>44487</v>
      </c>
      <c r="F7632">
        <v>1</v>
      </c>
      <c r="G7632" t="s">
        <v>29</v>
      </c>
      <c r="H7632" t="s">
        <v>30</v>
      </c>
      <c r="I7632" s="4">
        <v>1658</v>
      </c>
      <c r="J7632" s="3">
        <v>1658</v>
      </c>
      <c r="K7632" s="4">
        <v>460</v>
      </c>
      <c r="L7632" t="s">
        <v>120</v>
      </c>
      <c r="M7632">
        <v>17</v>
      </c>
      <c r="N7632" t="str">
        <f>IF(MASTER[[#This Row],[IDLOCAL]]=17,"HYDE PARK", "HARLEM IRVING")</f>
        <v>HYDE PARK</v>
      </c>
      <c r="O7632" t="str">
        <f>IF(MASTER[[#This Row],[IDLOCAL]]=17,"PREMIUM", "ESTÁNDAR")</f>
        <v>PREMIUM</v>
      </c>
      <c r="P7632" t="s">
        <v>137</v>
      </c>
      <c r="Q7632" t="s">
        <v>142</v>
      </c>
      <c r="R7632" t="s">
        <v>143</v>
      </c>
      <c r="S7632" t="s">
        <v>145</v>
      </c>
      <c r="T7632" s="2">
        <f>MASTER[[#This Row],[CANTIDAD]]*MASTER[[#This Row],[PRECIO DE VENTA]]</f>
        <v>1658</v>
      </c>
      <c r="U7632" s="2">
        <f>MASTER[[#This Row],[CANTIDAD]]*MASTER[[#This Row],[COSTO UNITARIO]]</f>
        <v>460</v>
      </c>
      <c r="V7632" s="2">
        <f>MASTER[[#This Row],[MONTO VENDIDO]]-MASTER[[#This Row],[COSTO DE VENTA]]</f>
        <v>1198</v>
      </c>
    </row>
    <row r="7633" spans="1:22" x14ac:dyDescent="0.3">
      <c r="A7633">
        <v>109420</v>
      </c>
      <c r="B7633">
        <v>1</v>
      </c>
      <c r="C7633" t="s">
        <v>99</v>
      </c>
      <c r="D7633" t="s">
        <v>100</v>
      </c>
      <c r="E7633" s="1">
        <v>44488</v>
      </c>
      <c r="F7633">
        <v>1</v>
      </c>
      <c r="G7633" t="s">
        <v>29</v>
      </c>
      <c r="H7633" t="s">
        <v>30</v>
      </c>
      <c r="I7633" s="4">
        <v>2115</v>
      </c>
      <c r="J7633" s="3">
        <v>2115</v>
      </c>
      <c r="K7633" s="4">
        <v>386</v>
      </c>
      <c r="L7633" t="s">
        <v>98</v>
      </c>
      <c r="M7633">
        <v>19</v>
      </c>
      <c r="N7633" t="s">
        <v>150</v>
      </c>
      <c r="O7633" t="s">
        <v>81</v>
      </c>
      <c r="P7633" t="s">
        <v>136</v>
      </c>
      <c r="Q7633" t="s">
        <v>140</v>
      </c>
      <c r="R7633" t="s">
        <v>141</v>
      </c>
      <c r="S7633" t="s">
        <v>145</v>
      </c>
      <c r="T7633" s="2">
        <f>MASTER[[#This Row],[CANTIDAD]]*MASTER[[#This Row],[PRECIO DE VENTA]]</f>
        <v>2115</v>
      </c>
      <c r="U7633" s="2">
        <f>MASTER[[#This Row],[CANTIDAD]]*MASTER[[#This Row],[COSTO UNITARIO]]</f>
        <v>386</v>
      </c>
      <c r="V7633" s="2">
        <f>MASTER[[#This Row],[MONTO VENDIDO]]-MASTER[[#This Row],[COSTO DE VENTA]]</f>
        <v>1729</v>
      </c>
    </row>
    <row r="7634" spans="1:22" x14ac:dyDescent="0.3">
      <c r="A7634">
        <v>109423</v>
      </c>
      <c r="B7634">
        <v>1</v>
      </c>
      <c r="C7634" t="s">
        <v>114</v>
      </c>
      <c r="D7634" t="s">
        <v>115</v>
      </c>
      <c r="E7634" s="1">
        <v>44490</v>
      </c>
      <c r="F7634">
        <v>1</v>
      </c>
      <c r="G7634" t="s">
        <v>63</v>
      </c>
      <c r="H7634" t="s">
        <v>64</v>
      </c>
      <c r="I7634" s="4">
        <v>2295</v>
      </c>
      <c r="J7634" s="3">
        <v>2179</v>
      </c>
      <c r="K7634" s="4">
        <v>394</v>
      </c>
      <c r="L7634" t="s">
        <v>113</v>
      </c>
      <c r="M7634">
        <v>19</v>
      </c>
      <c r="N7634" t="s">
        <v>150</v>
      </c>
      <c r="O7634" t="s">
        <v>81</v>
      </c>
      <c r="P7634" t="s">
        <v>136</v>
      </c>
      <c r="Q7634" t="s">
        <v>140</v>
      </c>
      <c r="R7634" t="s">
        <v>141</v>
      </c>
      <c r="S7634" t="s">
        <v>145</v>
      </c>
      <c r="T7634" s="2">
        <f>MASTER[[#This Row],[CANTIDAD]]*MASTER[[#This Row],[PRECIO DE VENTA]]</f>
        <v>2179</v>
      </c>
      <c r="U7634" s="2">
        <f>MASTER[[#This Row],[CANTIDAD]]*MASTER[[#This Row],[COSTO UNITARIO]]</f>
        <v>394</v>
      </c>
      <c r="V7634" s="2">
        <f>MASTER[[#This Row],[MONTO VENDIDO]]-MASTER[[#This Row],[COSTO DE VENTA]]</f>
        <v>1785</v>
      </c>
    </row>
    <row r="7635" spans="1:22" x14ac:dyDescent="0.3">
      <c r="A7635">
        <v>109424</v>
      </c>
      <c r="B7635">
        <v>1</v>
      </c>
      <c r="C7635" t="s">
        <v>5</v>
      </c>
      <c r="D7635" t="s">
        <v>6</v>
      </c>
      <c r="E7635" s="1">
        <v>44491</v>
      </c>
      <c r="F7635">
        <v>1</v>
      </c>
      <c r="G7635" t="s">
        <v>45</v>
      </c>
      <c r="H7635" t="s">
        <v>46</v>
      </c>
      <c r="I7635" s="4">
        <v>1879</v>
      </c>
      <c r="J7635" s="3">
        <v>1879</v>
      </c>
      <c r="K7635" s="4">
        <v>393</v>
      </c>
      <c r="L7635" t="s">
        <v>9</v>
      </c>
      <c r="M7635">
        <v>17</v>
      </c>
      <c r="N7635" t="str">
        <f>IF(MASTER[[#This Row],[IDLOCAL]]=17,"HYDE PARK", "HARLEM IRVING")</f>
        <v>HYDE PARK</v>
      </c>
      <c r="O7635" t="str">
        <f>IF(MASTER[[#This Row],[IDLOCAL]]=17,"PREMIUM", "ESTÁNDAR")</f>
        <v>PREMIUM</v>
      </c>
      <c r="P7635" t="s">
        <v>137</v>
      </c>
      <c r="Q7635" t="s">
        <v>142</v>
      </c>
      <c r="R7635" t="s">
        <v>143</v>
      </c>
      <c r="S7635" t="s">
        <v>145</v>
      </c>
      <c r="T7635" s="2">
        <f>MASTER[[#This Row],[CANTIDAD]]*MASTER[[#This Row],[PRECIO DE VENTA]]</f>
        <v>1879</v>
      </c>
      <c r="U7635" s="2">
        <f>MASTER[[#This Row],[CANTIDAD]]*MASTER[[#This Row],[COSTO UNITARIO]]</f>
        <v>393</v>
      </c>
      <c r="V7635" s="2">
        <f>MASTER[[#This Row],[MONTO VENDIDO]]-MASTER[[#This Row],[COSTO DE VENTA]]</f>
        <v>1486</v>
      </c>
    </row>
    <row r="7636" spans="1:22" x14ac:dyDescent="0.3">
      <c r="A7636">
        <v>109438</v>
      </c>
      <c r="B7636">
        <v>1</v>
      </c>
      <c r="C7636" t="s">
        <v>101</v>
      </c>
      <c r="D7636" t="s">
        <v>102</v>
      </c>
      <c r="E7636" s="1">
        <v>44491</v>
      </c>
      <c r="F7636">
        <v>1</v>
      </c>
      <c r="G7636" t="s">
        <v>20</v>
      </c>
      <c r="H7636" t="s">
        <v>21</v>
      </c>
      <c r="I7636" s="4">
        <v>1528</v>
      </c>
      <c r="J7636" s="3">
        <v>1528</v>
      </c>
      <c r="K7636" s="4">
        <v>442</v>
      </c>
      <c r="L7636" t="s">
        <v>98</v>
      </c>
      <c r="M7636">
        <v>19</v>
      </c>
      <c r="N7636" t="s">
        <v>150</v>
      </c>
      <c r="O7636" t="s">
        <v>81</v>
      </c>
      <c r="P7636" t="s">
        <v>136</v>
      </c>
      <c r="Q7636" t="s">
        <v>140</v>
      </c>
      <c r="R7636" t="s">
        <v>141</v>
      </c>
      <c r="S7636" t="s">
        <v>145</v>
      </c>
      <c r="T7636" s="2">
        <f>MASTER[[#This Row],[CANTIDAD]]*MASTER[[#This Row],[PRECIO DE VENTA]]</f>
        <v>1528</v>
      </c>
      <c r="U7636" s="2">
        <f>MASTER[[#This Row],[CANTIDAD]]*MASTER[[#This Row],[COSTO UNITARIO]]</f>
        <v>442</v>
      </c>
      <c r="V7636" s="2">
        <f>MASTER[[#This Row],[MONTO VENDIDO]]-MASTER[[#This Row],[COSTO DE VENTA]]</f>
        <v>1086</v>
      </c>
    </row>
    <row r="7637" spans="1:22" x14ac:dyDescent="0.3">
      <c r="A7637">
        <v>109442</v>
      </c>
      <c r="B7637">
        <v>1</v>
      </c>
      <c r="C7637" t="s">
        <v>103</v>
      </c>
      <c r="D7637" t="s">
        <v>104</v>
      </c>
      <c r="E7637" s="1">
        <v>44491</v>
      </c>
      <c r="F7637">
        <v>1</v>
      </c>
      <c r="G7637" t="s">
        <v>67</v>
      </c>
      <c r="H7637" t="s">
        <v>68</v>
      </c>
      <c r="I7637" s="4">
        <v>2653</v>
      </c>
      <c r="J7637" s="3">
        <v>2653</v>
      </c>
      <c r="K7637" s="4">
        <v>421</v>
      </c>
      <c r="L7637" t="s">
        <v>98</v>
      </c>
      <c r="M7637">
        <v>19</v>
      </c>
      <c r="N7637" t="s">
        <v>150</v>
      </c>
      <c r="O7637" t="s">
        <v>81</v>
      </c>
      <c r="P7637" t="s">
        <v>136</v>
      </c>
      <c r="Q7637" t="s">
        <v>140</v>
      </c>
      <c r="R7637" t="s">
        <v>141</v>
      </c>
      <c r="S7637" t="s">
        <v>145</v>
      </c>
      <c r="T7637" s="2">
        <f>MASTER[[#This Row],[CANTIDAD]]*MASTER[[#This Row],[PRECIO DE VENTA]]</f>
        <v>2653</v>
      </c>
      <c r="U7637" s="2">
        <f>MASTER[[#This Row],[CANTIDAD]]*MASTER[[#This Row],[COSTO UNITARIO]]</f>
        <v>421</v>
      </c>
      <c r="V7637" s="2">
        <f>MASTER[[#This Row],[MONTO VENDIDO]]-MASTER[[#This Row],[COSTO DE VENTA]]</f>
        <v>2232</v>
      </c>
    </row>
    <row r="7638" spans="1:22" x14ac:dyDescent="0.3">
      <c r="A7638">
        <v>109444</v>
      </c>
      <c r="B7638">
        <v>1</v>
      </c>
      <c r="C7638" t="s">
        <v>94</v>
      </c>
      <c r="D7638" t="s">
        <v>95</v>
      </c>
      <c r="E7638" s="1">
        <v>44492</v>
      </c>
      <c r="F7638">
        <v>1</v>
      </c>
      <c r="G7638" t="s">
        <v>20</v>
      </c>
      <c r="H7638" t="s">
        <v>21</v>
      </c>
      <c r="I7638" s="4">
        <v>1306</v>
      </c>
      <c r="J7638" s="3">
        <v>1306</v>
      </c>
      <c r="K7638" s="4">
        <v>392</v>
      </c>
      <c r="L7638" t="s">
        <v>9</v>
      </c>
      <c r="M7638">
        <v>19</v>
      </c>
      <c r="N7638" t="s">
        <v>150</v>
      </c>
      <c r="O7638" t="s">
        <v>81</v>
      </c>
      <c r="P7638" t="s">
        <v>136</v>
      </c>
      <c r="Q7638" t="s">
        <v>140</v>
      </c>
      <c r="R7638" t="s">
        <v>141</v>
      </c>
      <c r="S7638" t="s">
        <v>145</v>
      </c>
      <c r="T7638" s="2">
        <f>MASTER[[#This Row],[CANTIDAD]]*MASTER[[#This Row],[PRECIO DE VENTA]]</f>
        <v>1306</v>
      </c>
      <c r="U7638" s="2">
        <f>MASTER[[#This Row],[CANTIDAD]]*MASTER[[#This Row],[COSTO UNITARIO]]</f>
        <v>392</v>
      </c>
      <c r="V7638" s="2">
        <f>MASTER[[#This Row],[MONTO VENDIDO]]-MASTER[[#This Row],[COSTO DE VENTA]]</f>
        <v>914</v>
      </c>
    </row>
    <row r="7639" spans="1:22" x14ac:dyDescent="0.3">
      <c r="A7639">
        <v>109470</v>
      </c>
      <c r="B7639">
        <v>1</v>
      </c>
      <c r="C7639" t="s">
        <v>99</v>
      </c>
      <c r="D7639" t="s">
        <v>100</v>
      </c>
      <c r="E7639" s="1">
        <v>44492</v>
      </c>
      <c r="F7639">
        <v>1</v>
      </c>
      <c r="G7639" t="s">
        <v>67</v>
      </c>
      <c r="H7639" t="s">
        <v>68</v>
      </c>
      <c r="I7639" s="4">
        <v>2433</v>
      </c>
      <c r="J7639" s="3">
        <v>2433</v>
      </c>
      <c r="K7639" s="4">
        <v>386</v>
      </c>
      <c r="L7639" t="s">
        <v>98</v>
      </c>
      <c r="M7639">
        <v>19</v>
      </c>
      <c r="N7639" t="s">
        <v>150</v>
      </c>
      <c r="O7639" t="s">
        <v>81</v>
      </c>
      <c r="P7639" t="s">
        <v>136</v>
      </c>
      <c r="Q7639" t="s">
        <v>140</v>
      </c>
      <c r="R7639" t="s">
        <v>141</v>
      </c>
      <c r="S7639" t="s">
        <v>145</v>
      </c>
      <c r="T7639" s="2">
        <f>MASTER[[#This Row],[CANTIDAD]]*MASTER[[#This Row],[PRECIO DE VENTA]]</f>
        <v>2433</v>
      </c>
      <c r="U7639" s="2">
        <f>MASTER[[#This Row],[CANTIDAD]]*MASTER[[#This Row],[COSTO UNITARIO]]</f>
        <v>386</v>
      </c>
      <c r="V7639" s="2">
        <f>MASTER[[#This Row],[MONTO VENDIDO]]-MASTER[[#This Row],[COSTO DE VENTA]]</f>
        <v>2047</v>
      </c>
    </row>
    <row r="7640" spans="1:22" x14ac:dyDescent="0.3">
      <c r="A7640">
        <v>109471</v>
      </c>
      <c r="B7640">
        <v>1</v>
      </c>
      <c r="C7640" t="s">
        <v>114</v>
      </c>
      <c r="D7640" t="s">
        <v>115</v>
      </c>
      <c r="E7640" s="1">
        <v>44493</v>
      </c>
      <c r="F7640">
        <v>1</v>
      </c>
      <c r="G7640" t="s">
        <v>27</v>
      </c>
      <c r="H7640" t="s">
        <v>28</v>
      </c>
      <c r="I7640" s="4">
        <v>2699</v>
      </c>
      <c r="J7640" s="3">
        <v>2509</v>
      </c>
      <c r="K7640" s="4">
        <v>394</v>
      </c>
      <c r="L7640" t="s">
        <v>113</v>
      </c>
      <c r="M7640">
        <v>18</v>
      </c>
      <c r="N7640" t="str">
        <f>IF(MASTER[[#This Row],[IDLOCAL]]=17,"HYDE PARK", "HARLEM IRVING")</f>
        <v>HARLEM IRVING</v>
      </c>
      <c r="O7640" t="str">
        <f>IF(MASTER[[#This Row],[IDLOCAL]]=17,"PREMIUM", "ESTÁNDAR")</f>
        <v>ESTÁNDAR</v>
      </c>
      <c r="P7640" t="s">
        <v>137</v>
      </c>
      <c r="Q7640" t="s">
        <v>142</v>
      </c>
      <c r="R7640" t="s">
        <v>143</v>
      </c>
      <c r="S7640" t="s">
        <v>145</v>
      </c>
      <c r="T7640" s="2">
        <f>MASTER[[#This Row],[CANTIDAD]]*MASTER[[#This Row],[PRECIO DE VENTA]]</f>
        <v>2509</v>
      </c>
      <c r="U7640" s="2">
        <f>MASTER[[#This Row],[CANTIDAD]]*MASTER[[#This Row],[COSTO UNITARIO]]</f>
        <v>394</v>
      </c>
      <c r="V7640" s="2">
        <f>MASTER[[#This Row],[MONTO VENDIDO]]-MASTER[[#This Row],[COSTO DE VENTA]]</f>
        <v>2115</v>
      </c>
    </row>
    <row r="7641" spans="1:22" x14ac:dyDescent="0.3">
      <c r="A7641">
        <v>109476</v>
      </c>
      <c r="B7641">
        <v>1</v>
      </c>
      <c r="C7641" t="s">
        <v>109</v>
      </c>
      <c r="D7641" t="s">
        <v>110</v>
      </c>
      <c r="E7641" s="1">
        <v>44494</v>
      </c>
      <c r="F7641">
        <v>1</v>
      </c>
      <c r="G7641" t="s">
        <v>45</v>
      </c>
      <c r="H7641" t="s">
        <v>46</v>
      </c>
      <c r="I7641" s="4">
        <v>1542</v>
      </c>
      <c r="J7641" s="3">
        <v>1542</v>
      </c>
      <c r="K7641" s="4">
        <v>387</v>
      </c>
      <c r="L7641" t="s">
        <v>98</v>
      </c>
      <c r="M7641">
        <v>19</v>
      </c>
      <c r="N7641" t="s">
        <v>150</v>
      </c>
      <c r="O7641" t="s">
        <v>81</v>
      </c>
      <c r="P7641" t="s">
        <v>136</v>
      </c>
      <c r="Q7641" t="s">
        <v>140</v>
      </c>
      <c r="R7641" t="s">
        <v>141</v>
      </c>
      <c r="S7641" t="s">
        <v>145</v>
      </c>
      <c r="T7641" s="2">
        <f>MASTER[[#This Row],[CANTIDAD]]*MASTER[[#This Row],[PRECIO DE VENTA]]</f>
        <v>1542</v>
      </c>
      <c r="U7641" s="2">
        <f>MASTER[[#This Row],[CANTIDAD]]*MASTER[[#This Row],[COSTO UNITARIO]]</f>
        <v>387</v>
      </c>
      <c r="V7641" s="2">
        <f>MASTER[[#This Row],[MONTO VENDIDO]]-MASTER[[#This Row],[COSTO DE VENTA]]</f>
        <v>1155</v>
      </c>
    </row>
    <row r="7642" spans="1:22" x14ac:dyDescent="0.3">
      <c r="A7642">
        <v>109485</v>
      </c>
      <c r="B7642">
        <v>1</v>
      </c>
      <c r="C7642" t="s">
        <v>96</v>
      </c>
      <c r="D7642" t="s">
        <v>97</v>
      </c>
      <c r="E7642" s="1">
        <v>44496</v>
      </c>
      <c r="F7642">
        <v>1</v>
      </c>
      <c r="G7642" t="s">
        <v>59</v>
      </c>
      <c r="H7642" t="s">
        <v>60</v>
      </c>
      <c r="I7642" s="4">
        <v>1973</v>
      </c>
      <c r="J7642" s="3">
        <v>1973</v>
      </c>
      <c r="K7642" s="4">
        <v>397</v>
      </c>
      <c r="L7642" t="s">
        <v>98</v>
      </c>
      <c r="M7642">
        <v>17</v>
      </c>
      <c r="N7642" t="str">
        <f>IF(MASTER[[#This Row],[IDLOCAL]]=17,"HYDE PARK", "HARLEM IRVING")</f>
        <v>HYDE PARK</v>
      </c>
      <c r="O7642" t="str">
        <f>IF(MASTER[[#This Row],[IDLOCAL]]=17,"PREMIUM", "ESTÁNDAR")</f>
        <v>PREMIUM</v>
      </c>
      <c r="P7642" t="s">
        <v>137</v>
      </c>
      <c r="Q7642" t="s">
        <v>142</v>
      </c>
      <c r="R7642" t="s">
        <v>143</v>
      </c>
      <c r="S7642" t="s">
        <v>145</v>
      </c>
      <c r="T7642" s="2">
        <f>MASTER[[#This Row],[CANTIDAD]]*MASTER[[#This Row],[PRECIO DE VENTA]]</f>
        <v>1973</v>
      </c>
      <c r="U7642" s="2">
        <f>MASTER[[#This Row],[CANTIDAD]]*MASTER[[#This Row],[COSTO UNITARIO]]</f>
        <v>397</v>
      </c>
      <c r="V7642" s="2">
        <f>MASTER[[#This Row],[MONTO VENDIDO]]-MASTER[[#This Row],[COSTO DE VENTA]]</f>
        <v>1576</v>
      </c>
    </row>
    <row r="7643" spans="1:22" x14ac:dyDescent="0.3">
      <c r="A7643">
        <v>109493</v>
      </c>
      <c r="B7643">
        <v>1</v>
      </c>
      <c r="C7643" t="s">
        <v>101</v>
      </c>
      <c r="D7643" t="s">
        <v>102</v>
      </c>
      <c r="E7643" s="1">
        <v>44496</v>
      </c>
      <c r="F7643">
        <v>1</v>
      </c>
      <c r="G7643" t="s">
        <v>20</v>
      </c>
      <c r="H7643" t="s">
        <v>21</v>
      </c>
      <c r="I7643" s="4">
        <v>1757</v>
      </c>
      <c r="J7643" s="3">
        <v>1757</v>
      </c>
      <c r="K7643" s="4">
        <v>442</v>
      </c>
      <c r="L7643" t="s">
        <v>98</v>
      </c>
      <c r="M7643">
        <v>17</v>
      </c>
      <c r="N7643" t="str">
        <f>IF(MASTER[[#This Row],[IDLOCAL]]=17,"HYDE PARK", "HARLEM IRVING")</f>
        <v>HYDE PARK</v>
      </c>
      <c r="O7643" t="str">
        <f>IF(MASTER[[#This Row],[IDLOCAL]]=17,"PREMIUM", "ESTÁNDAR")</f>
        <v>PREMIUM</v>
      </c>
      <c r="P7643" t="s">
        <v>137</v>
      </c>
      <c r="Q7643" t="s">
        <v>142</v>
      </c>
      <c r="R7643" t="s">
        <v>143</v>
      </c>
      <c r="S7643" t="s">
        <v>145</v>
      </c>
      <c r="T7643" s="2">
        <f>MASTER[[#This Row],[CANTIDAD]]*MASTER[[#This Row],[PRECIO DE VENTA]]</f>
        <v>1757</v>
      </c>
      <c r="U7643" s="2">
        <f>MASTER[[#This Row],[CANTIDAD]]*MASTER[[#This Row],[COSTO UNITARIO]]</f>
        <v>442</v>
      </c>
      <c r="V7643" s="2">
        <f>MASTER[[#This Row],[MONTO VENDIDO]]-MASTER[[#This Row],[COSTO DE VENTA]]</f>
        <v>1315</v>
      </c>
    </row>
    <row r="7644" spans="1:22" x14ac:dyDescent="0.3">
      <c r="A7644">
        <v>109498</v>
      </c>
      <c r="B7644">
        <v>1</v>
      </c>
      <c r="C7644" t="s">
        <v>90</v>
      </c>
      <c r="D7644" t="s">
        <v>91</v>
      </c>
      <c r="E7644" s="1">
        <v>44497</v>
      </c>
      <c r="F7644">
        <v>1</v>
      </c>
      <c r="G7644" t="s">
        <v>31</v>
      </c>
      <c r="H7644" t="s">
        <v>32</v>
      </c>
      <c r="I7644" s="4">
        <v>3047</v>
      </c>
      <c r="J7644" s="3">
        <v>3047</v>
      </c>
      <c r="K7644" s="4">
        <v>420</v>
      </c>
      <c r="L7644" t="s">
        <v>9</v>
      </c>
      <c r="M7644">
        <v>19</v>
      </c>
      <c r="N7644" t="s">
        <v>150</v>
      </c>
      <c r="O7644" t="s">
        <v>81</v>
      </c>
      <c r="P7644" t="s">
        <v>136</v>
      </c>
      <c r="Q7644" t="s">
        <v>140</v>
      </c>
      <c r="R7644" t="s">
        <v>141</v>
      </c>
      <c r="S7644" t="s">
        <v>145</v>
      </c>
      <c r="T7644" s="2">
        <f>MASTER[[#This Row],[CANTIDAD]]*MASTER[[#This Row],[PRECIO DE VENTA]]</f>
        <v>3047</v>
      </c>
      <c r="U7644" s="2">
        <f>MASTER[[#This Row],[CANTIDAD]]*MASTER[[#This Row],[COSTO UNITARIO]]</f>
        <v>420</v>
      </c>
      <c r="V7644" s="2">
        <f>MASTER[[#This Row],[MONTO VENDIDO]]-MASTER[[#This Row],[COSTO DE VENTA]]</f>
        <v>2627</v>
      </c>
    </row>
    <row r="7645" spans="1:22" x14ac:dyDescent="0.3">
      <c r="A7645">
        <v>109560</v>
      </c>
      <c r="B7645">
        <v>1</v>
      </c>
      <c r="C7645" t="s">
        <v>5</v>
      </c>
      <c r="D7645" t="s">
        <v>6</v>
      </c>
      <c r="E7645" s="1">
        <v>44498</v>
      </c>
      <c r="F7645">
        <v>1</v>
      </c>
      <c r="G7645" t="s">
        <v>22</v>
      </c>
      <c r="H7645" t="s">
        <v>23</v>
      </c>
      <c r="I7645" s="4">
        <v>1900</v>
      </c>
      <c r="J7645" s="3">
        <v>1900</v>
      </c>
      <c r="K7645" s="4">
        <v>393</v>
      </c>
      <c r="L7645" t="s">
        <v>9</v>
      </c>
      <c r="M7645">
        <v>19</v>
      </c>
      <c r="N7645" t="s">
        <v>150</v>
      </c>
      <c r="O7645" t="s">
        <v>81</v>
      </c>
      <c r="P7645" t="s">
        <v>136</v>
      </c>
      <c r="Q7645" t="s">
        <v>140</v>
      </c>
      <c r="R7645" t="s">
        <v>141</v>
      </c>
      <c r="S7645" t="s">
        <v>145</v>
      </c>
      <c r="T7645" s="2">
        <f>MASTER[[#This Row],[CANTIDAD]]*MASTER[[#This Row],[PRECIO DE VENTA]]</f>
        <v>1900</v>
      </c>
      <c r="U7645" s="2">
        <f>MASTER[[#This Row],[CANTIDAD]]*MASTER[[#This Row],[COSTO UNITARIO]]</f>
        <v>393</v>
      </c>
      <c r="V7645" s="2">
        <f>MASTER[[#This Row],[MONTO VENDIDO]]-MASTER[[#This Row],[COSTO DE VENTA]]</f>
        <v>1507</v>
      </c>
    </row>
    <row r="7646" spans="1:22" x14ac:dyDescent="0.3">
      <c r="A7646">
        <v>109583</v>
      </c>
      <c r="B7646">
        <v>1</v>
      </c>
      <c r="C7646" t="s">
        <v>94</v>
      </c>
      <c r="D7646" t="s">
        <v>95</v>
      </c>
      <c r="E7646" s="1">
        <v>44498</v>
      </c>
      <c r="F7646">
        <v>1</v>
      </c>
      <c r="G7646" t="s">
        <v>35</v>
      </c>
      <c r="H7646" t="s">
        <v>36</v>
      </c>
      <c r="I7646" s="4">
        <v>1519</v>
      </c>
      <c r="J7646" s="3">
        <v>1519</v>
      </c>
      <c r="K7646" s="4">
        <v>392</v>
      </c>
      <c r="L7646" t="s">
        <v>9</v>
      </c>
      <c r="M7646">
        <v>19</v>
      </c>
      <c r="N7646" t="s">
        <v>150</v>
      </c>
      <c r="O7646" t="s">
        <v>81</v>
      </c>
      <c r="P7646" t="s">
        <v>136</v>
      </c>
      <c r="Q7646" t="s">
        <v>140</v>
      </c>
      <c r="R7646" t="s">
        <v>141</v>
      </c>
      <c r="S7646" t="s">
        <v>145</v>
      </c>
      <c r="T7646" s="2">
        <f>MASTER[[#This Row],[CANTIDAD]]*MASTER[[#This Row],[PRECIO DE VENTA]]</f>
        <v>1519</v>
      </c>
      <c r="U7646" s="2">
        <f>MASTER[[#This Row],[CANTIDAD]]*MASTER[[#This Row],[COSTO UNITARIO]]</f>
        <v>392</v>
      </c>
      <c r="V7646" s="2">
        <f>MASTER[[#This Row],[MONTO VENDIDO]]-MASTER[[#This Row],[COSTO DE VENTA]]</f>
        <v>1127</v>
      </c>
    </row>
    <row r="7647" spans="1:22" x14ac:dyDescent="0.3">
      <c r="A7647">
        <v>109605</v>
      </c>
      <c r="B7647">
        <v>1</v>
      </c>
      <c r="C7647" t="s">
        <v>111</v>
      </c>
      <c r="D7647" t="s">
        <v>112</v>
      </c>
      <c r="E7647" s="1">
        <v>44498</v>
      </c>
      <c r="F7647">
        <v>1</v>
      </c>
      <c r="G7647" t="s">
        <v>55</v>
      </c>
      <c r="H7647" t="s">
        <v>56</v>
      </c>
      <c r="I7647" s="4">
        <v>2350</v>
      </c>
      <c r="J7647" s="3">
        <v>2350</v>
      </c>
      <c r="K7647" s="4">
        <v>434</v>
      </c>
      <c r="L7647" t="s">
        <v>113</v>
      </c>
      <c r="M7647">
        <v>19</v>
      </c>
      <c r="N7647" t="s">
        <v>150</v>
      </c>
      <c r="O7647" t="s">
        <v>81</v>
      </c>
      <c r="P7647" t="s">
        <v>136</v>
      </c>
      <c r="Q7647" t="s">
        <v>140</v>
      </c>
      <c r="R7647" t="s">
        <v>141</v>
      </c>
      <c r="S7647" t="s">
        <v>145</v>
      </c>
      <c r="T7647" s="2">
        <f>MASTER[[#This Row],[CANTIDAD]]*MASTER[[#This Row],[PRECIO DE VENTA]]</f>
        <v>2350</v>
      </c>
      <c r="U7647" s="2">
        <f>MASTER[[#This Row],[CANTIDAD]]*MASTER[[#This Row],[COSTO UNITARIO]]</f>
        <v>434</v>
      </c>
      <c r="V7647" s="2">
        <f>MASTER[[#This Row],[MONTO VENDIDO]]-MASTER[[#This Row],[COSTO DE VENTA]]</f>
        <v>1916</v>
      </c>
    </row>
    <row r="7648" spans="1:22" x14ac:dyDescent="0.3">
      <c r="A7648">
        <v>109618</v>
      </c>
      <c r="B7648">
        <v>1</v>
      </c>
      <c r="C7648" t="s">
        <v>90</v>
      </c>
      <c r="D7648" t="s">
        <v>91</v>
      </c>
      <c r="E7648" s="1">
        <v>44500</v>
      </c>
      <c r="F7648">
        <v>1</v>
      </c>
      <c r="G7648" t="s">
        <v>51</v>
      </c>
      <c r="H7648" t="s">
        <v>52</v>
      </c>
      <c r="I7648" s="4">
        <v>2407</v>
      </c>
      <c r="J7648" s="3">
        <v>2407</v>
      </c>
      <c r="K7648" s="4">
        <v>420</v>
      </c>
      <c r="L7648" t="s">
        <v>9</v>
      </c>
      <c r="M7648">
        <v>18</v>
      </c>
      <c r="N7648" t="str">
        <f>IF(MASTER[[#This Row],[IDLOCAL]]=17,"HYDE PARK", "HARLEM IRVING")</f>
        <v>HARLEM IRVING</v>
      </c>
      <c r="O7648" t="str">
        <f>IF(MASTER[[#This Row],[IDLOCAL]]=17,"PREMIUM", "ESTÁNDAR")</f>
        <v>ESTÁNDAR</v>
      </c>
      <c r="P7648" t="s">
        <v>137</v>
      </c>
      <c r="Q7648" t="s">
        <v>142</v>
      </c>
      <c r="R7648" t="s">
        <v>143</v>
      </c>
      <c r="S7648" t="s">
        <v>145</v>
      </c>
      <c r="T7648" s="2">
        <f>MASTER[[#This Row],[CANTIDAD]]*MASTER[[#This Row],[PRECIO DE VENTA]]</f>
        <v>2407</v>
      </c>
      <c r="U7648" s="2">
        <f>MASTER[[#This Row],[CANTIDAD]]*MASTER[[#This Row],[COSTO UNITARIO]]</f>
        <v>420</v>
      </c>
      <c r="V7648" s="2">
        <f>MASTER[[#This Row],[MONTO VENDIDO]]-MASTER[[#This Row],[COSTO DE VENTA]]</f>
        <v>1987</v>
      </c>
    </row>
    <row r="7649" spans="1:22" x14ac:dyDescent="0.3">
      <c r="A7649">
        <v>109623</v>
      </c>
      <c r="B7649">
        <v>1</v>
      </c>
      <c r="C7649" t="s">
        <v>103</v>
      </c>
      <c r="D7649" t="s">
        <v>104</v>
      </c>
      <c r="E7649" s="1">
        <v>44500</v>
      </c>
      <c r="F7649">
        <v>1</v>
      </c>
      <c r="G7649" t="s">
        <v>57</v>
      </c>
      <c r="H7649" t="s">
        <v>58</v>
      </c>
      <c r="I7649" s="4">
        <v>2306</v>
      </c>
      <c r="J7649" s="3">
        <v>2306</v>
      </c>
      <c r="K7649" s="4">
        <v>421</v>
      </c>
      <c r="L7649" t="s">
        <v>98</v>
      </c>
      <c r="M7649">
        <v>19</v>
      </c>
      <c r="N7649" t="s">
        <v>150</v>
      </c>
      <c r="O7649" t="s">
        <v>81</v>
      </c>
      <c r="P7649" t="s">
        <v>136</v>
      </c>
      <c r="Q7649" t="s">
        <v>140</v>
      </c>
      <c r="R7649" t="s">
        <v>141</v>
      </c>
      <c r="S7649" t="s">
        <v>145</v>
      </c>
      <c r="T7649" s="2">
        <f>MASTER[[#This Row],[CANTIDAD]]*MASTER[[#This Row],[PRECIO DE VENTA]]</f>
        <v>2306</v>
      </c>
      <c r="U7649" s="2">
        <f>MASTER[[#This Row],[CANTIDAD]]*MASTER[[#This Row],[COSTO UNITARIO]]</f>
        <v>421</v>
      </c>
      <c r="V7649" s="2">
        <f>MASTER[[#This Row],[MONTO VENDIDO]]-MASTER[[#This Row],[COSTO DE VENTA]]</f>
        <v>1885</v>
      </c>
    </row>
    <row r="7650" spans="1:22" x14ac:dyDescent="0.3">
      <c r="A7650">
        <v>109629</v>
      </c>
      <c r="B7650">
        <v>1</v>
      </c>
      <c r="C7650" t="s">
        <v>118</v>
      </c>
      <c r="D7650" t="s">
        <v>119</v>
      </c>
      <c r="E7650" s="1">
        <v>44500</v>
      </c>
      <c r="F7650">
        <v>1</v>
      </c>
      <c r="G7650" t="s">
        <v>51</v>
      </c>
      <c r="H7650" t="s">
        <v>52</v>
      </c>
      <c r="I7650" s="4">
        <v>1305</v>
      </c>
      <c r="J7650" s="3">
        <v>1239</v>
      </c>
      <c r="K7650" s="4">
        <v>424</v>
      </c>
      <c r="L7650" t="s">
        <v>120</v>
      </c>
      <c r="M7650">
        <v>19</v>
      </c>
      <c r="N7650" t="s">
        <v>150</v>
      </c>
      <c r="O7650" t="s">
        <v>81</v>
      </c>
      <c r="P7650" t="s">
        <v>136</v>
      </c>
      <c r="Q7650" t="s">
        <v>140</v>
      </c>
      <c r="R7650" t="s">
        <v>141</v>
      </c>
      <c r="S7650" t="s">
        <v>145</v>
      </c>
      <c r="T7650" s="2">
        <f>MASTER[[#This Row],[CANTIDAD]]*MASTER[[#This Row],[PRECIO DE VENTA]]</f>
        <v>1239</v>
      </c>
      <c r="U7650" s="2">
        <f>MASTER[[#This Row],[CANTIDAD]]*MASTER[[#This Row],[COSTO UNITARIO]]</f>
        <v>424</v>
      </c>
      <c r="V7650" s="2">
        <f>MASTER[[#This Row],[MONTO VENDIDO]]-MASTER[[#This Row],[COSTO DE VENTA]]</f>
        <v>815</v>
      </c>
    </row>
    <row r="7651" spans="1:22" x14ac:dyDescent="0.3">
      <c r="A7651">
        <v>109632</v>
      </c>
      <c r="B7651">
        <v>1</v>
      </c>
      <c r="C7651" t="s">
        <v>116</v>
      </c>
      <c r="D7651" t="s">
        <v>117</v>
      </c>
      <c r="E7651" s="1">
        <v>44505</v>
      </c>
      <c r="F7651">
        <v>3</v>
      </c>
      <c r="G7651" t="s">
        <v>39</v>
      </c>
      <c r="H7651" t="s">
        <v>40</v>
      </c>
      <c r="I7651" s="4">
        <v>2520</v>
      </c>
      <c r="J7651" s="3">
        <v>2520</v>
      </c>
      <c r="K7651" s="4">
        <v>388</v>
      </c>
      <c r="L7651" t="s">
        <v>113</v>
      </c>
      <c r="M7651">
        <v>19</v>
      </c>
      <c r="N7651" t="s">
        <v>150</v>
      </c>
      <c r="O7651" t="s">
        <v>81</v>
      </c>
      <c r="P7651" t="s">
        <v>136</v>
      </c>
      <c r="Q7651" t="s">
        <v>140</v>
      </c>
      <c r="R7651" t="s">
        <v>141</v>
      </c>
      <c r="S7651" t="s">
        <v>145</v>
      </c>
      <c r="T7651" s="2">
        <f>MASTER[[#This Row],[CANTIDAD]]*MASTER[[#This Row],[PRECIO DE VENTA]]</f>
        <v>7560</v>
      </c>
      <c r="U7651" s="2">
        <f>MASTER[[#This Row],[CANTIDAD]]*MASTER[[#This Row],[COSTO UNITARIO]]</f>
        <v>1164</v>
      </c>
      <c r="V7651" s="2">
        <f>MASTER[[#This Row],[MONTO VENDIDO]]-MASTER[[#This Row],[COSTO DE VENTA]]</f>
        <v>6396</v>
      </c>
    </row>
    <row r="7652" spans="1:22" x14ac:dyDescent="0.3">
      <c r="A7652">
        <v>109642</v>
      </c>
      <c r="B7652">
        <v>1</v>
      </c>
      <c r="C7652" t="s">
        <v>90</v>
      </c>
      <c r="D7652" t="s">
        <v>91</v>
      </c>
      <c r="E7652" s="1">
        <v>44507</v>
      </c>
      <c r="F7652">
        <v>1</v>
      </c>
      <c r="G7652" t="s">
        <v>49</v>
      </c>
      <c r="H7652" t="s">
        <v>50</v>
      </c>
      <c r="I7652" s="4">
        <v>2673</v>
      </c>
      <c r="J7652" s="3">
        <v>2433</v>
      </c>
      <c r="K7652" s="4">
        <v>420</v>
      </c>
      <c r="L7652" t="s">
        <v>9</v>
      </c>
      <c r="M7652">
        <v>19</v>
      </c>
      <c r="N7652" t="s">
        <v>150</v>
      </c>
      <c r="O7652" t="s">
        <v>81</v>
      </c>
      <c r="P7652" t="s">
        <v>136</v>
      </c>
      <c r="Q7652" t="s">
        <v>140</v>
      </c>
      <c r="R7652" t="s">
        <v>141</v>
      </c>
      <c r="S7652" t="s">
        <v>145</v>
      </c>
      <c r="T7652" s="2">
        <f>MASTER[[#This Row],[CANTIDAD]]*MASTER[[#This Row],[PRECIO DE VENTA]]</f>
        <v>2433</v>
      </c>
      <c r="U7652" s="2">
        <f>MASTER[[#This Row],[CANTIDAD]]*MASTER[[#This Row],[COSTO UNITARIO]]</f>
        <v>420</v>
      </c>
      <c r="V7652" s="2">
        <f>MASTER[[#This Row],[MONTO VENDIDO]]-MASTER[[#This Row],[COSTO DE VENTA]]</f>
        <v>2013</v>
      </c>
    </row>
    <row r="7653" spans="1:22" x14ac:dyDescent="0.3">
      <c r="A7653">
        <v>109652</v>
      </c>
      <c r="B7653">
        <v>1</v>
      </c>
      <c r="C7653" t="s">
        <v>92</v>
      </c>
      <c r="D7653" t="s">
        <v>93</v>
      </c>
      <c r="E7653" s="1">
        <v>44507</v>
      </c>
      <c r="F7653">
        <v>1</v>
      </c>
      <c r="G7653" t="s">
        <v>31</v>
      </c>
      <c r="H7653" t="s">
        <v>32</v>
      </c>
      <c r="I7653" s="4">
        <v>2705</v>
      </c>
      <c r="J7653" s="3">
        <v>2488</v>
      </c>
      <c r="K7653" s="4">
        <v>396</v>
      </c>
      <c r="L7653" t="s">
        <v>9</v>
      </c>
      <c r="M7653">
        <v>17</v>
      </c>
      <c r="N7653" t="str">
        <f>IF(MASTER[[#This Row],[IDLOCAL]]=17,"HYDE PARK", "HARLEM IRVING")</f>
        <v>HYDE PARK</v>
      </c>
      <c r="O7653" t="str">
        <f>IF(MASTER[[#This Row],[IDLOCAL]]=17,"PREMIUM", "ESTÁNDAR")</f>
        <v>PREMIUM</v>
      </c>
      <c r="P7653" t="s">
        <v>137</v>
      </c>
      <c r="Q7653" t="s">
        <v>142</v>
      </c>
      <c r="R7653" t="s">
        <v>143</v>
      </c>
      <c r="S7653" t="s">
        <v>145</v>
      </c>
      <c r="T7653" s="2">
        <f>MASTER[[#This Row],[CANTIDAD]]*MASTER[[#This Row],[PRECIO DE VENTA]]</f>
        <v>2488</v>
      </c>
      <c r="U7653" s="2">
        <f>MASTER[[#This Row],[CANTIDAD]]*MASTER[[#This Row],[COSTO UNITARIO]]</f>
        <v>396</v>
      </c>
      <c r="V7653" s="2">
        <f>MASTER[[#This Row],[MONTO VENDIDO]]-MASTER[[#This Row],[COSTO DE VENTA]]</f>
        <v>2092</v>
      </c>
    </row>
    <row r="7654" spans="1:22" x14ac:dyDescent="0.3">
      <c r="A7654">
        <v>109655</v>
      </c>
      <c r="B7654">
        <v>1</v>
      </c>
      <c r="C7654" t="s">
        <v>94</v>
      </c>
      <c r="D7654" t="s">
        <v>95</v>
      </c>
      <c r="E7654" s="1">
        <v>44507</v>
      </c>
      <c r="F7654">
        <v>1</v>
      </c>
      <c r="G7654" t="s">
        <v>20</v>
      </c>
      <c r="H7654" t="s">
        <v>21</v>
      </c>
      <c r="I7654" s="4">
        <v>1671</v>
      </c>
      <c r="J7654" s="3">
        <v>1570</v>
      </c>
      <c r="K7654" s="4">
        <v>392</v>
      </c>
      <c r="L7654" t="s">
        <v>9</v>
      </c>
      <c r="M7654">
        <v>17</v>
      </c>
      <c r="N7654" t="str">
        <f>IF(MASTER[[#This Row],[IDLOCAL]]=17,"HYDE PARK", "HARLEM IRVING")</f>
        <v>HYDE PARK</v>
      </c>
      <c r="O7654" t="str">
        <f>IF(MASTER[[#This Row],[IDLOCAL]]=17,"PREMIUM", "ESTÁNDAR")</f>
        <v>PREMIUM</v>
      </c>
      <c r="P7654" t="s">
        <v>137</v>
      </c>
      <c r="Q7654" t="s">
        <v>142</v>
      </c>
      <c r="R7654" t="s">
        <v>143</v>
      </c>
      <c r="S7654" t="s">
        <v>145</v>
      </c>
      <c r="T7654" s="2">
        <f>MASTER[[#This Row],[CANTIDAD]]*MASTER[[#This Row],[PRECIO DE VENTA]]</f>
        <v>1570</v>
      </c>
      <c r="U7654" s="2">
        <f>MASTER[[#This Row],[CANTIDAD]]*MASTER[[#This Row],[COSTO UNITARIO]]</f>
        <v>392</v>
      </c>
      <c r="V7654" s="2">
        <f>MASTER[[#This Row],[MONTO VENDIDO]]-MASTER[[#This Row],[COSTO DE VENTA]]</f>
        <v>1178</v>
      </c>
    </row>
    <row r="7655" spans="1:22" x14ac:dyDescent="0.3">
      <c r="A7655">
        <v>109658</v>
      </c>
      <c r="B7655">
        <v>1</v>
      </c>
      <c r="C7655" t="s">
        <v>121</v>
      </c>
      <c r="D7655" t="s">
        <v>122</v>
      </c>
      <c r="E7655" s="1">
        <v>44507</v>
      </c>
      <c r="F7655">
        <v>1</v>
      </c>
      <c r="G7655" t="s">
        <v>43</v>
      </c>
      <c r="H7655" t="s">
        <v>44</v>
      </c>
      <c r="I7655" s="4">
        <v>1364</v>
      </c>
      <c r="J7655" s="3">
        <v>1364</v>
      </c>
      <c r="K7655" s="4">
        <v>460</v>
      </c>
      <c r="L7655" t="s">
        <v>120</v>
      </c>
      <c r="M7655">
        <v>19</v>
      </c>
      <c r="N7655" t="s">
        <v>150</v>
      </c>
      <c r="O7655" t="s">
        <v>81</v>
      </c>
      <c r="P7655" t="s">
        <v>136</v>
      </c>
      <c r="Q7655" t="s">
        <v>140</v>
      </c>
      <c r="R7655" t="s">
        <v>141</v>
      </c>
      <c r="S7655" t="s">
        <v>145</v>
      </c>
      <c r="T7655" s="2">
        <f>MASTER[[#This Row],[CANTIDAD]]*MASTER[[#This Row],[PRECIO DE VENTA]]</f>
        <v>1364</v>
      </c>
      <c r="U7655" s="2">
        <f>MASTER[[#This Row],[CANTIDAD]]*MASTER[[#This Row],[COSTO UNITARIO]]</f>
        <v>460</v>
      </c>
      <c r="V7655" s="2">
        <f>MASTER[[#This Row],[MONTO VENDIDO]]-MASTER[[#This Row],[COSTO DE VENTA]]</f>
        <v>904</v>
      </c>
    </row>
    <row r="7656" spans="1:22" x14ac:dyDescent="0.3">
      <c r="A7656">
        <v>109665</v>
      </c>
      <c r="B7656">
        <v>1</v>
      </c>
      <c r="C7656" t="s">
        <v>103</v>
      </c>
      <c r="D7656" t="s">
        <v>104</v>
      </c>
      <c r="E7656" s="1">
        <v>44508</v>
      </c>
      <c r="F7656">
        <v>1</v>
      </c>
      <c r="G7656" t="s">
        <v>20</v>
      </c>
      <c r="H7656" t="s">
        <v>21</v>
      </c>
      <c r="I7656" s="4">
        <v>2653</v>
      </c>
      <c r="J7656" s="3">
        <v>2653</v>
      </c>
      <c r="K7656" s="4">
        <v>421</v>
      </c>
      <c r="L7656" t="s">
        <v>98</v>
      </c>
      <c r="M7656">
        <v>17</v>
      </c>
      <c r="N7656" t="str">
        <f>IF(MASTER[[#This Row],[IDLOCAL]]=17,"HYDE PARK", "HARLEM IRVING")</f>
        <v>HYDE PARK</v>
      </c>
      <c r="O7656" t="str">
        <f>IF(MASTER[[#This Row],[IDLOCAL]]=17,"PREMIUM", "ESTÁNDAR")</f>
        <v>PREMIUM</v>
      </c>
      <c r="P7656" t="s">
        <v>137</v>
      </c>
      <c r="Q7656" t="s">
        <v>142</v>
      </c>
      <c r="R7656" t="s">
        <v>143</v>
      </c>
      <c r="S7656" t="s">
        <v>145</v>
      </c>
      <c r="T7656" s="2">
        <f>MASTER[[#This Row],[CANTIDAD]]*MASTER[[#This Row],[PRECIO DE VENTA]]</f>
        <v>2653</v>
      </c>
      <c r="U7656" s="2">
        <f>MASTER[[#This Row],[CANTIDAD]]*MASTER[[#This Row],[COSTO UNITARIO]]</f>
        <v>421</v>
      </c>
      <c r="V7656" s="2">
        <f>MASTER[[#This Row],[MONTO VENDIDO]]-MASTER[[#This Row],[COSTO DE VENTA]]</f>
        <v>2232</v>
      </c>
    </row>
    <row r="7657" spans="1:22" x14ac:dyDescent="0.3">
      <c r="A7657">
        <v>109667</v>
      </c>
      <c r="B7657">
        <v>1</v>
      </c>
      <c r="C7657" t="s">
        <v>114</v>
      </c>
      <c r="D7657" t="s">
        <v>115</v>
      </c>
      <c r="E7657" s="1">
        <v>44508</v>
      </c>
      <c r="F7657">
        <v>1</v>
      </c>
      <c r="G7657" t="s">
        <v>47</v>
      </c>
      <c r="H7657" t="s">
        <v>48</v>
      </c>
      <c r="I7657" s="4">
        <v>2699</v>
      </c>
      <c r="J7657" s="3">
        <v>2699</v>
      </c>
      <c r="K7657" s="4">
        <v>394</v>
      </c>
      <c r="L7657" t="s">
        <v>113</v>
      </c>
      <c r="M7657">
        <v>17</v>
      </c>
      <c r="N7657" t="str">
        <f>IF(MASTER[[#This Row],[IDLOCAL]]=17,"HYDE PARK", "HARLEM IRVING")</f>
        <v>HYDE PARK</v>
      </c>
      <c r="O7657" t="str">
        <f>IF(MASTER[[#This Row],[IDLOCAL]]=17,"PREMIUM", "ESTÁNDAR")</f>
        <v>PREMIUM</v>
      </c>
      <c r="P7657" t="s">
        <v>137</v>
      </c>
      <c r="Q7657" t="s">
        <v>142</v>
      </c>
      <c r="R7657" t="s">
        <v>143</v>
      </c>
      <c r="S7657" t="s">
        <v>145</v>
      </c>
      <c r="T7657" s="2">
        <f>MASTER[[#This Row],[CANTIDAD]]*MASTER[[#This Row],[PRECIO DE VENTA]]</f>
        <v>2699</v>
      </c>
      <c r="U7657" s="2">
        <f>MASTER[[#This Row],[CANTIDAD]]*MASTER[[#This Row],[COSTO UNITARIO]]</f>
        <v>394</v>
      </c>
      <c r="V7657" s="2">
        <f>MASTER[[#This Row],[MONTO VENDIDO]]-MASTER[[#This Row],[COSTO DE VENTA]]</f>
        <v>2305</v>
      </c>
    </row>
    <row r="7658" spans="1:22" x14ac:dyDescent="0.3">
      <c r="A7658">
        <v>109669</v>
      </c>
      <c r="B7658">
        <v>1</v>
      </c>
      <c r="C7658" t="s">
        <v>92</v>
      </c>
      <c r="D7658" t="s">
        <v>93</v>
      </c>
      <c r="E7658" s="1">
        <v>44511</v>
      </c>
      <c r="F7658">
        <v>1</v>
      </c>
      <c r="G7658" t="s">
        <v>61</v>
      </c>
      <c r="H7658" t="s">
        <v>62</v>
      </c>
      <c r="I7658" s="4">
        <v>2437</v>
      </c>
      <c r="J7658" s="3">
        <v>2437</v>
      </c>
      <c r="K7658" s="4">
        <v>396</v>
      </c>
      <c r="L7658" t="s">
        <v>9</v>
      </c>
      <c r="M7658">
        <v>19</v>
      </c>
      <c r="N7658" t="s">
        <v>150</v>
      </c>
      <c r="O7658" t="s">
        <v>81</v>
      </c>
      <c r="P7658" t="s">
        <v>136</v>
      </c>
      <c r="Q7658" t="s">
        <v>140</v>
      </c>
      <c r="R7658" t="s">
        <v>141</v>
      </c>
      <c r="S7658" t="s">
        <v>145</v>
      </c>
      <c r="T7658" s="2">
        <f>MASTER[[#This Row],[CANTIDAD]]*MASTER[[#This Row],[PRECIO DE VENTA]]</f>
        <v>2437</v>
      </c>
      <c r="U7658" s="2">
        <f>MASTER[[#This Row],[CANTIDAD]]*MASTER[[#This Row],[COSTO UNITARIO]]</f>
        <v>396</v>
      </c>
      <c r="V7658" s="2">
        <f>MASTER[[#This Row],[MONTO VENDIDO]]-MASTER[[#This Row],[COSTO DE VENTA]]</f>
        <v>2041</v>
      </c>
    </row>
    <row r="7659" spans="1:22" x14ac:dyDescent="0.3">
      <c r="A7659">
        <v>109675</v>
      </c>
      <c r="B7659">
        <v>1</v>
      </c>
      <c r="C7659" t="s">
        <v>96</v>
      </c>
      <c r="D7659" t="s">
        <v>97</v>
      </c>
      <c r="E7659" s="1">
        <v>44512</v>
      </c>
      <c r="F7659">
        <v>1</v>
      </c>
      <c r="G7659" t="s">
        <v>33</v>
      </c>
      <c r="H7659" t="s">
        <v>34</v>
      </c>
      <c r="I7659" s="4">
        <v>1734</v>
      </c>
      <c r="J7659" s="3">
        <v>1734</v>
      </c>
      <c r="K7659" s="4">
        <v>397</v>
      </c>
      <c r="L7659" t="s">
        <v>98</v>
      </c>
      <c r="M7659">
        <v>19</v>
      </c>
      <c r="N7659" t="s">
        <v>150</v>
      </c>
      <c r="O7659" t="s">
        <v>81</v>
      </c>
      <c r="P7659" t="s">
        <v>136</v>
      </c>
      <c r="Q7659" t="s">
        <v>140</v>
      </c>
      <c r="R7659" t="s">
        <v>141</v>
      </c>
      <c r="S7659" t="s">
        <v>145</v>
      </c>
      <c r="T7659" s="2">
        <f>MASTER[[#This Row],[CANTIDAD]]*MASTER[[#This Row],[PRECIO DE VENTA]]</f>
        <v>1734</v>
      </c>
      <c r="U7659" s="2">
        <f>MASTER[[#This Row],[CANTIDAD]]*MASTER[[#This Row],[COSTO UNITARIO]]</f>
        <v>397</v>
      </c>
      <c r="V7659" s="2">
        <f>MASTER[[#This Row],[MONTO VENDIDO]]-MASTER[[#This Row],[COSTO DE VENTA]]</f>
        <v>1337</v>
      </c>
    </row>
    <row r="7660" spans="1:22" x14ac:dyDescent="0.3">
      <c r="A7660">
        <v>109699</v>
      </c>
      <c r="B7660">
        <v>1</v>
      </c>
      <c r="C7660" t="s">
        <v>101</v>
      </c>
      <c r="D7660" t="s">
        <v>102</v>
      </c>
      <c r="E7660" s="1">
        <v>44512</v>
      </c>
      <c r="F7660">
        <v>1</v>
      </c>
      <c r="G7660" t="s">
        <v>57</v>
      </c>
      <c r="H7660" t="s">
        <v>58</v>
      </c>
      <c r="I7660" s="4">
        <v>1967</v>
      </c>
      <c r="J7660" s="3">
        <v>1967</v>
      </c>
      <c r="K7660" s="4">
        <v>442</v>
      </c>
      <c r="L7660" t="s">
        <v>98</v>
      </c>
      <c r="M7660">
        <v>19</v>
      </c>
      <c r="N7660" t="s">
        <v>150</v>
      </c>
      <c r="O7660" t="s">
        <v>81</v>
      </c>
      <c r="P7660" t="s">
        <v>136</v>
      </c>
      <c r="Q7660" t="s">
        <v>140</v>
      </c>
      <c r="R7660" t="s">
        <v>141</v>
      </c>
      <c r="S7660" t="s">
        <v>145</v>
      </c>
      <c r="T7660" s="2">
        <f>MASTER[[#This Row],[CANTIDAD]]*MASTER[[#This Row],[PRECIO DE VENTA]]</f>
        <v>1967</v>
      </c>
      <c r="U7660" s="2">
        <f>MASTER[[#This Row],[CANTIDAD]]*MASTER[[#This Row],[COSTO UNITARIO]]</f>
        <v>442</v>
      </c>
      <c r="V7660" s="2">
        <f>MASTER[[#This Row],[MONTO VENDIDO]]-MASTER[[#This Row],[COSTO DE VENTA]]</f>
        <v>1525</v>
      </c>
    </row>
    <row r="7661" spans="1:22" x14ac:dyDescent="0.3">
      <c r="A7661">
        <v>109701</v>
      </c>
      <c r="B7661">
        <v>1</v>
      </c>
      <c r="C7661" t="s">
        <v>99</v>
      </c>
      <c r="D7661" t="s">
        <v>100</v>
      </c>
      <c r="E7661" s="1">
        <v>44513</v>
      </c>
      <c r="F7661">
        <v>1</v>
      </c>
      <c r="G7661" t="s">
        <v>59</v>
      </c>
      <c r="H7661" t="s">
        <v>60</v>
      </c>
      <c r="I7661" s="4">
        <v>2115</v>
      </c>
      <c r="J7661" s="3">
        <v>1987</v>
      </c>
      <c r="K7661" s="4">
        <v>386</v>
      </c>
      <c r="L7661" t="s">
        <v>98</v>
      </c>
      <c r="M7661">
        <v>17</v>
      </c>
      <c r="N7661" t="str">
        <f>IF(MASTER[[#This Row],[IDLOCAL]]=17,"HYDE PARK", "HARLEM IRVING")</f>
        <v>HYDE PARK</v>
      </c>
      <c r="O7661" t="str">
        <f>IF(MASTER[[#This Row],[IDLOCAL]]=17,"PREMIUM", "ESTÁNDAR")</f>
        <v>PREMIUM</v>
      </c>
      <c r="P7661" t="s">
        <v>137</v>
      </c>
      <c r="Q7661" t="s">
        <v>142</v>
      </c>
      <c r="R7661" t="s">
        <v>143</v>
      </c>
      <c r="S7661" t="s">
        <v>145</v>
      </c>
      <c r="T7661" s="2">
        <f>MASTER[[#This Row],[CANTIDAD]]*MASTER[[#This Row],[PRECIO DE VENTA]]</f>
        <v>1987</v>
      </c>
      <c r="U7661" s="2">
        <f>MASTER[[#This Row],[CANTIDAD]]*MASTER[[#This Row],[COSTO UNITARIO]]</f>
        <v>386</v>
      </c>
      <c r="V7661" s="2">
        <f>MASTER[[#This Row],[MONTO VENDIDO]]-MASTER[[#This Row],[COSTO DE VENTA]]</f>
        <v>1601</v>
      </c>
    </row>
    <row r="7662" spans="1:22" x14ac:dyDescent="0.3">
      <c r="A7662">
        <v>109708</v>
      </c>
      <c r="B7662">
        <v>1</v>
      </c>
      <c r="C7662" t="s">
        <v>105</v>
      </c>
      <c r="D7662" t="s">
        <v>106</v>
      </c>
      <c r="E7662" s="1">
        <v>44514</v>
      </c>
      <c r="F7662">
        <v>1</v>
      </c>
      <c r="G7662" t="s">
        <v>27</v>
      </c>
      <c r="H7662" t="s">
        <v>28</v>
      </c>
      <c r="I7662" s="4">
        <v>2947</v>
      </c>
      <c r="J7662" s="3">
        <v>2947</v>
      </c>
      <c r="K7662" s="4">
        <v>459</v>
      </c>
      <c r="L7662" t="s">
        <v>98</v>
      </c>
      <c r="M7662">
        <v>19</v>
      </c>
      <c r="N7662" t="s">
        <v>150</v>
      </c>
      <c r="O7662" t="s">
        <v>81</v>
      </c>
      <c r="P7662" t="s">
        <v>136</v>
      </c>
      <c r="Q7662" t="s">
        <v>140</v>
      </c>
      <c r="R7662" t="s">
        <v>141</v>
      </c>
      <c r="S7662" t="s">
        <v>145</v>
      </c>
      <c r="T7662" s="2">
        <f>MASTER[[#This Row],[CANTIDAD]]*MASTER[[#This Row],[PRECIO DE VENTA]]</f>
        <v>2947</v>
      </c>
      <c r="U7662" s="2">
        <f>MASTER[[#This Row],[CANTIDAD]]*MASTER[[#This Row],[COSTO UNITARIO]]</f>
        <v>459</v>
      </c>
      <c r="V7662" s="2">
        <f>MASTER[[#This Row],[MONTO VENDIDO]]-MASTER[[#This Row],[COSTO DE VENTA]]</f>
        <v>2488</v>
      </c>
    </row>
    <row r="7663" spans="1:22" x14ac:dyDescent="0.3">
      <c r="A7663">
        <v>109716</v>
      </c>
      <c r="B7663">
        <v>1</v>
      </c>
      <c r="C7663" t="s">
        <v>107</v>
      </c>
      <c r="D7663" t="s">
        <v>108</v>
      </c>
      <c r="E7663" s="1">
        <v>44514</v>
      </c>
      <c r="F7663">
        <v>1</v>
      </c>
      <c r="G7663" t="s">
        <v>39</v>
      </c>
      <c r="H7663" t="s">
        <v>40</v>
      </c>
      <c r="I7663" s="4">
        <v>1932</v>
      </c>
      <c r="J7663" s="3">
        <v>1777</v>
      </c>
      <c r="K7663" s="4">
        <v>380</v>
      </c>
      <c r="L7663" t="s">
        <v>98</v>
      </c>
      <c r="M7663">
        <v>19</v>
      </c>
      <c r="N7663" t="s">
        <v>150</v>
      </c>
      <c r="O7663" t="s">
        <v>81</v>
      </c>
      <c r="P7663" t="s">
        <v>136</v>
      </c>
      <c r="Q7663" t="s">
        <v>140</v>
      </c>
      <c r="R7663" t="s">
        <v>141</v>
      </c>
      <c r="S7663" t="s">
        <v>145</v>
      </c>
      <c r="T7663" s="2">
        <f>MASTER[[#This Row],[CANTIDAD]]*MASTER[[#This Row],[PRECIO DE VENTA]]</f>
        <v>1777</v>
      </c>
      <c r="U7663" s="2">
        <f>MASTER[[#This Row],[CANTIDAD]]*MASTER[[#This Row],[COSTO UNITARIO]]</f>
        <v>380</v>
      </c>
      <c r="V7663" s="2">
        <f>MASTER[[#This Row],[MONTO VENDIDO]]-MASTER[[#This Row],[COSTO DE VENTA]]</f>
        <v>1397</v>
      </c>
    </row>
    <row r="7664" spans="1:22" x14ac:dyDescent="0.3">
      <c r="A7664">
        <v>109720</v>
      </c>
      <c r="B7664">
        <v>1</v>
      </c>
      <c r="C7664" t="s">
        <v>111</v>
      </c>
      <c r="D7664" t="s">
        <v>112</v>
      </c>
      <c r="E7664" s="1">
        <v>44516</v>
      </c>
      <c r="F7664">
        <v>1</v>
      </c>
      <c r="G7664" t="s">
        <v>37</v>
      </c>
      <c r="H7664" t="s">
        <v>38</v>
      </c>
      <c r="I7664" s="4">
        <v>2350</v>
      </c>
      <c r="J7664" s="3">
        <v>2350</v>
      </c>
      <c r="K7664" s="4">
        <v>434</v>
      </c>
      <c r="L7664" t="s">
        <v>113</v>
      </c>
      <c r="M7664">
        <v>19</v>
      </c>
      <c r="N7664" t="s">
        <v>150</v>
      </c>
      <c r="O7664" t="s">
        <v>81</v>
      </c>
      <c r="P7664" t="s">
        <v>136</v>
      </c>
      <c r="Q7664" t="s">
        <v>140</v>
      </c>
      <c r="R7664" t="s">
        <v>141</v>
      </c>
      <c r="S7664" t="s">
        <v>145</v>
      </c>
      <c r="T7664" s="2">
        <f>MASTER[[#This Row],[CANTIDAD]]*MASTER[[#This Row],[PRECIO DE VENTA]]</f>
        <v>2350</v>
      </c>
      <c r="U7664" s="2">
        <f>MASTER[[#This Row],[CANTIDAD]]*MASTER[[#This Row],[COSTO UNITARIO]]</f>
        <v>434</v>
      </c>
      <c r="V7664" s="2">
        <f>MASTER[[#This Row],[MONTO VENDIDO]]-MASTER[[#This Row],[COSTO DE VENTA]]</f>
        <v>1916</v>
      </c>
    </row>
    <row r="7665" spans="1:22" x14ac:dyDescent="0.3">
      <c r="A7665">
        <v>109724</v>
      </c>
      <c r="B7665">
        <v>1</v>
      </c>
      <c r="C7665" t="s">
        <v>121</v>
      </c>
      <c r="D7665" t="s">
        <v>122</v>
      </c>
      <c r="E7665" s="1">
        <v>44516</v>
      </c>
      <c r="F7665">
        <v>4</v>
      </c>
      <c r="G7665" t="s">
        <v>57</v>
      </c>
      <c r="H7665" t="s">
        <v>58</v>
      </c>
      <c r="I7665" s="4">
        <v>1550</v>
      </c>
      <c r="J7665" s="3">
        <v>1550</v>
      </c>
      <c r="K7665" s="4">
        <v>460</v>
      </c>
      <c r="L7665" t="s">
        <v>120</v>
      </c>
      <c r="M7665">
        <v>17</v>
      </c>
      <c r="N7665" t="str">
        <f>IF(MASTER[[#This Row],[IDLOCAL]]=17,"HYDE PARK", "HARLEM IRVING")</f>
        <v>HYDE PARK</v>
      </c>
      <c r="O7665" t="str">
        <f>IF(MASTER[[#This Row],[IDLOCAL]]=17,"PREMIUM", "ESTÁNDAR")</f>
        <v>PREMIUM</v>
      </c>
      <c r="P7665" t="s">
        <v>137</v>
      </c>
      <c r="Q7665" t="s">
        <v>142</v>
      </c>
      <c r="R7665" t="s">
        <v>143</v>
      </c>
      <c r="S7665" t="s">
        <v>145</v>
      </c>
      <c r="T7665" s="2">
        <f>MASTER[[#This Row],[CANTIDAD]]*MASTER[[#This Row],[PRECIO DE VENTA]]</f>
        <v>6200</v>
      </c>
      <c r="U7665" s="2">
        <f>MASTER[[#This Row],[CANTIDAD]]*MASTER[[#This Row],[COSTO UNITARIO]]</f>
        <v>1840</v>
      </c>
      <c r="V7665" s="2">
        <f>MASTER[[#This Row],[MONTO VENDIDO]]-MASTER[[#This Row],[COSTO DE VENTA]]</f>
        <v>4360</v>
      </c>
    </row>
    <row r="7666" spans="1:22" x14ac:dyDescent="0.3">
      <c r="A7666">
        <v>109727</v>
      </c>
      <c r="B7666">
        <v>1</v>
      </c>
      <c r="C7666" t="s">
        <v>105</v>
      </c>
      <c r="D7666" t="s">
        <v>106</v>
      </c>
      <c r="E7666" s="1">
        <v>44518</v>
      </c>
      <c r="F7666">
        <v>1</v>
      </c>
      <c r="G7666" t="s">
        <v>45</v>
      </c>
      <c r="H7666" t="s">
        <v>46</v>
      </c>
      <c r="I7666" s="4">
        <v>2704</v>
      </c>
      <c r="J7666" s="3">
        <v>2704</v>
      </c>
      <c r="K7666" s="4">
        <v>459</v>
      </c>
      <c r="L7666" t="s">
        <v>98</v>
      </c>
      <c r="M7666">
        <v>17</v>
      </c>
      <c r="N7666" t="str">
        <f>IF(MASTER[[#This Row],[IDLOCAL]]=17,"HYDE PARK", "HARLEM IRVING")</f>
        <v>HYDE PARK</v>
      </c>
      <c r="O7666" t="str">
        <f>IF(MASTER[[#This Row],[IDLOCAL]]=17,"PREMIUM", "ESTÁNDAR")</f>
        <v>PREMIUM</v>
      </c>
      <c r="P7666" t="s">
        <v>137</v>
      </c>
      <c r="Q7666" t="s">
        <v>142</v>
      </c>
      <c r="R7666" t="s">
        <v>143</v>
      </c>
      <c r="S7666" t="s">
        <v>145</v>
      </c>
      <c r="T7666" s="2">
        <f>MASTER[[#This Row],[CANTIDAD]]*MASTER[[#This Row],[PRECIO DE VENTA]]</f>
        <v>2704</v>
      </c>
      <c r="U7666" s="2">
        <f>MASTER[[#This Row],[CANTIDAD]]*MASTER[[#This Row],[COSTO UNITARIO]]</f>
        <v>459</v>
      </c>
      <c r="V7666" s="2">
        <f>MASTER[[#This Row],[MONTO VENDIDO]]-MASTER[[#This Row],[COSTO DE VENTA]]</f>
        <v>2245</v>
      </c>
    </row>
    <row r="7667" spans="1:22" x14ac:dyDescent="0.3">
      <c r="A7667">
        <v>109729</v>
      </c>
      <c r="B7667">
        <v>1</v>
      </c>
      <c r="C7667" t="s">
        <v>5</v>
      </c>
      <c r="D7667" t="s">
        <v>6</v>
      </c>
      <c r="E7667" s="1">
        <v>44519</v>
      </c>
      <c r="F7667">
        <v>1</v>
      </c>
      <c r="G7667" t="s">
        <v>37</v>
      </c>
      <c r="H7667" t="s">
        <v>38</v>
      </c>
      <c r="I7667" s="4">
        <v>2185</v>
      </c>
      <c r="J7667" s="3">
        <v>2185</v>
      </c>
      <c r="K7667" s="4">
        <v>393</v>
      </c>
      <c r="L7667" t="s">
        <v>9</v>
      </c>
      <c r="M7667">
        <v>17</v>
      </c>
      <c r="N7667" t="str">
        <f>IF(MASTER[[#This Row],[IDLOCAL]]=17,"HYDE PARK", "HARLEM IRVING")</f>
        <v>HYDE PARK</v>
      </c>
      <c r="O7667" t="str">
        <f>IF(MASTER[[#This Row],[IDLOCAL]]=17,"PREMIUM", "ESTÁNDAR")</f>
        <v>PREMIUM</v>
      </c>
      <c r="P7667" t="s">
        <v>137</v>
      </c>
      <c r="Q7667" t="s">
        <v>142</v>
      </c>
      <c r="R7667" t="s">
        <v>143</v>
      </c>
      <c r="S7667" t="s">
        <v>145</v>
      </c>
      <c r="T7667" s="2">
        <f>MASTER[[#This Row],[CANTIDAD]]*MASTER[[#This Row],[PRECIO DE VENTA]]</f>
        <v>2185</v>
      </c>
      <c r="U7667" s="2">
        <f>MASTER[[#This Row],[CANTIDAD]]*MASTER[[#This Row],[COSTO UNITARIO]]</f>
        <v>393</v>
      </c>
      <c r="V7667" s="2">
        <f>MASTER[[#This Row],[MONTO VENDIDO]]-MASTER[[#This Row],[COSTO DE VENTA]]</f>
        <v>1792</v>
      </c>
    </row>
    <row r="7668" spans="1:22" x14ac:dyDescent="0.3">
      <c r="A7668">
        <v>109751</v>
      </c>
      <c r="B7668">
        <v>1</v>
      </c>
      <c r="C7668" t="s">
        <v>109</v>
      </c>
      <c r="D7668" t="s">
        <v>110</v>
      </c>
      <c r="E7668" s="1">
        <v>44519</v>
      </c>
      <c r="F7668">
        <v>1</v>
      </c>
      <c r="G7668" t="s">
        <v>33</v>
      </c>
      <c r="H7668" t="s">
        <v>34</v>
      </c>
      <c r="I7668" s="4">
        <v>1373</v>
      </c>
      <c r="J7668" s="3">
        <v>1373</v>
      </c>
      <c r="K7668" s="4">
        <v>387</v>
      </c>
      <c r="L7668" t="s">
        <v>98</v>
      </c>
      <c r="M7668">
        <v>17</v>
      </c>
      <c r="N7668" t="str">
        <f>IF(MASTER[[#This Row],[IDLOCAL]]=17,"HYDE PARK", "HARLEM IRVING")</f>
        <v>HYDE PARK</v>
      </c>
      <c r="O7668" t="str">
        <f>IF(MASTER[[#This Row],[IDLOCAL]]=17,"PREMIUM", "ESTÁNDAR")</f>
        <v>PREMIUM</v>
      </c>
      <c r="P7668" t="s">
        <v>137</v>
      </c>
      <c r="Q7668" t="s">
        <v>142</v>
      </c>
      <c r="R7668" t="s">
        <v>143</v>
      </c>
      <c r="S7668" t="s">
        <v>145</v>
      </c>
      <c r="T7668" s="2">
        <f>MASTER[[#This Row],[CANTIDAD]]*MASTER[[#This Row],[PRECIO DE VENTA]]</f>
        <v>1373</v>
      </c>
      <c r="U7668" s="2">
        <f>MASTER[[#This Row],[CANTIDAD]]*MASTER[[#This Row],[COSTO UNITARIO]]</f>
        <v>387</v>
      </c>
      <c r="V7668" s="2">
        <f>MASTER[[#This Row],[MONTO VENDIDO]]-MASTER[[#This Row],[COSTO DE VENTA]]</f>
        <v>986</v>
      </c>
    </row>
    <row r="7669" spans="1:22" x14ac:dyDescent="0.3">
      <c r="A7669">
        <v>109760</v>
      </c>
      <c r="B7669">
        <v>1</v>
      </c>
      <c r="C7669" t="s">
        <v>118</v>
      </c>
      <c r="D7669" t="s">
        <v>119</v>
      </c>
      <c r="E7669" s="1">
        <v>44520</v>
      </c>
      <c r="F7669">
        <v>1</v>
      </c>
      <c r="G7669" t="s">
        <v>20</v>
      </c>
      <c r="H7669" t="s">
        <v>21</v>
      </c>
      <c r="I7669" s="4">
        <v>1305</v>
      </c>
      <c r="J7669" s="3">
        <v>1305</v>
      </c>
      <c r="K7669" s="4">
        <v>424</v>
      </c>
      <c r="L7669" t="s">
        <v>120</v>
      </c>
      <c r="M7669">
        <v>19</v>
      </c>
      <c r="N7669" t="s">
        <v>150</v>
      </c>
      <c r="O7669" t="s">
        <v>81</v>
      </c>
      <c r="P7669" t="s">
        <v>136</v>
      </c>
      <c r="Q7669" t="s">
        <v>140</v>
      </c>
      <c r="R7669" t="s">
        <v>141</v>
      </c>
      <c r="S7669" t="s">
        <v>145</v>
      </c>
      <c r="T7669" s="2">
        <f>MASTER[[#This Row],[CANTIDAD]]*MASTER[[#This Row],[PRECIO DE VENTA]]</f>
        <v>1305</v>
      </c>
      <c r="U7669" s="2">
        <f>MASTER[[#This Row],[CANTIDAD]]*MASTER[[#This Row],[COSTO UNITARIO]]</f>
        <v>424</v>
      </c>
      <c r="V7669" s="2">
        <f>MASTER[[#This Row],[MONTO VENDIDO]]-MASTER[[#This Row],[COSTO DE VENTA]]</f>
        <v>881</v>
      </c>
    </row>
    <row r="7670" spans="1:22" x14ac:dyDescent="0.3">
      <c r="A7670">
        <v>109762</v>
      </c>
      <c r="B7670">
        <v>1</v>
      </c>
      <c r="C7670" t="s">
        <v>118</v>
      </c>
      <c r="D7670" t="s">
        <v>119</v>
      </c>
      <c r="E7670" s="1">
        <v>44522</v>
      </c>
      <c r="F7670">
        <v>1</v>
      </c>
      <c r="G7670" t="s">
        <v>65</v>
      </c>
      <c r="H7670" t="s">
        <v>66</v>
      </c>
      <c r="I7670" s="4">
        <v>1161</v>
      </c>
      <c r="J7670" s="3">
        <v>1161</v>
      </c>
      <c r="K7670" s="4">
        <v>424</v>
      </c>
      <c r="L7670" t="s">
        <v>120</v>
      </c>
      <c r="M7670">
        <v>19</v>
      </c>
      <c r="N7670" t="s">
        <v>150</v>
      </c>
      <c r="O7670" t="s">
        <v>81</v>
      </c>
      <c r="P7670" t="s">
        <v>136</v>
      </c>
      <c r="Q7670" t="s">
        <v>140</v>
      </c>
      <c r="R7670" t="s">
        <v>141</v>
      </c>
      <c r="S7670" t="s">
        <v>145</v>
      </c>
      <c r="T7670" s="2">
        <f>MASTER[[#This Row],[CANTIDAD]]*MASTER[[#This Row],[PRECIO DE VENTA]]</f>
        <v>1161</v>
      </c>
      <c r="U7670" s="2">
        <f>MASTER[[#This Row],[CANTIDAD]]*MASTER[[#This Row],[COSTO UNITARIO]]</f>
        <v>424</v>
      </c>
      <c r="V7670" s="2">
        <f>MASTER[[#This Row],[MONTO VENDIDO]]-MASTER[[#This Row],[COSTO DE VENTA]]</f>
        <v>737</v>
      </c>
    </row>
    <row r="7671" spans="1:22" x14ac:dyDescent="0.3">
      <c r="A7671">
        <v>109768</v>
      </c>
      <c r="B7671">
        <v>2</v>
      </c>
      <c r="C7671" t="s">
        <v>118</v>
      </c>
      <c r="D7671" t="s">
        <v>119</v>
      </c>
      <c r="E7671" s="1">
        <v>44522</v>
      </c>
      <c r="F7671">
        <v>2</v>
      </c>
      <c r="G7671" t="s">
        <v>43</v>
      </c>
      <c r="H7671" t="s">
        <v>44</v>
      </c>
      <c r="I7671" s="4">
        <v>1487</v>
      </c>
      <c r="J7671" s="3">
        <v>1487</v>
      </c>
      <c r="K7671" s="4">
        <v>424</v>
      </c>
      <c r="L7671" t="s">
        <v>120</v>
      </c>
      <c r="M7671">
        <v>19</v>
      </c>
      <c r="N7671" t="s">
        <v>150</v>
      </c>
      <c r="O7671" t="s">
        <v>81</v>
      </c>
      <c r="P7671" t="s">
        <v>136</v>
      </c>
      <c r="Q7671" t="s">
        <v>140</v>
      </c>
      <c r="R7671" t="s">
        <v>141</v>
      </c>
      <c r="S7671" t="s">
        <v>145</v>
      </c>
      <c r="T7671" s="2">
        <f>MASTER[[#This Row],[CANTIDAD]]*MASTER[[#This Row],[PRECIO DE VENTA]]</f>
        <v>2974</v>
      </c>
      <c r="U7671" s="2">
        <f>MASTER[[#This Row],[CANTIDAD]]*MASTER[[#This Row],[COSTO UNITARIO]]</f>
        <v>848</v>
      </c>
      <c r="V7671" s="2">
        <f>MASTER[[#This Row],[MONTO VENDIDO]]-MASTER[[#This Row],[COSTO DE VENTA]]</f>
        <v>2126</v>
      </c>
    </row>
    <row r="7672" spans="1:22" x14ac:dyDescent="0.3">
      <c r="A7672">
        <v>109793</v>
      </c>
      <c r="B7672">
        <v>1</v>
      </c>
      <c r="C7672" t="s">
        <v>107</v>
      </c>
      <c r="D7672" t="s">
        <v>108</v>
      </c>
      <c r="E7672" s="1">
        <v>44523</v>
      </c>
      <c r="F7672">
        <v>1</v>
      </c>
      <c r="G7672" t="s">
        <v>59</v>
      </c>
      <c r="H7672" t="s">
        <v>60</v>
      </c>
      <c r="I7672" s="4">
        <v>2088</v>
      </c>
      <c r="J7672" s="3">
        <v>2088</v>
      </c>
      <c r="K7672" s="4">
        <v>380</v>
      </c>
      <c r="L7672" t="s">
        <v>98</v>
      </c>
      <c r="M7672">
        <v>18</v>
      </c>
      <c r="N7672" t="str">
        <f>IF(MASTER[[#This Row],[IDLOCAL]]=17,"HYDE PARK", "HARLEM IRVING")</f>
        <v>HARLEM IRVING</v>
      </c>
      <c r="O7672" t="str">
        <f>IF(MASTER[[#This Row],[IDLOCAL]]=17,"PREMIUM", "ESTÁNDAR")</f>
        <v>ESTÁNDAR</v>
      </c>
      <c r="P7672" t="s">
        <v>137</v>
      </c>
      <c r="Q7672" t="s">
        <v>142</v>
      </c>
      <c r="R7672" t="s">
        <v>143</v>
      </c>
      <c r="S7672" t="s">
        <v>145</v>
      </c>
      <c r="T7672" s="2">
        <f>MASTER[[#This Row],[CANTIDAD]]*MASTER[[#This Row],[PRECIO DE VENTA]]</f>
        <v>2088</v>
      </c>
      <c r="U7672" s="2">
        <f>MASTER[[#This Row],[CANTIDAD]]*MASTER[[#This Row],[COSTO UNITARIO]]</f>
        <v>380</v>
      </c>
      <c r="V7672" s="2">
        <f>MASTER[[#This Row],[MONTO VENDIDO]]-MASTER[[#This Row],[COSTO DE VENTA]]</f>
        <v>1708</v>
      </c>
    </row>
    <row r="7673" spans="1:22" x14ac:dyDescent="0.3">
      <c r="A7673">
        <v>109794</v>
      </c>
      <c r="B7673">
        <v>1</v>
      </c>
      <c r="C7673" t="s">
        <v>103</v>
      </c>
      <c r="D7673" t="s">
        <v>104</v>
      </c>
      <c r="E7673" s="1">
        <v>44524</v>
      </c>
      <c r="F7673">
        <v>1</v>
      </c>
      <c r="G7673" t="s">
        <v>29</v>
      </c>
      <c r="H7673" t="s">
        <v>30</v>
      </c>
      <c r="I7673" s="4">
        <v>2306</v>
      </c>
      <c r="J7673" s="3">
        <v>2306</v>
      </c>
      <c r="K7673" s="4">
        <v>421</v>
      </c>
      <c r="L7673" t="s">
        <v>98</v>
      </c>
      <c r="M7673">
        <v>19</v>
      </c>
      <c r="N7673" t="s">
        <v>150</v>
      </c>
      <c r="O7673" t="s">
        <v>81</v>
      </c>
      <c r="P7673" t="s">
        <v>136</v>
      </c>
      <c r="Q7673" t="s">
        <v>140</v>
      </c>
      <c r="R7673" t="s">
        <v>141</v>
      </c>
      <c r="S7673" t="s">
        <v>145</v>
      </c>
      <c r="T7673" s="2">
        <f>MASTER[[#This Row],[CANTIDAD]]*MASTER[[#This Row],[PRECIO DE VENTA]]</f>
        <v>2306</v>
      </c>
      <c r="U7673" s="2">
        <f>MASTER[[#This Row],[CANTIDAD]]*MASTER[[#This Row],[COSTO UNITARIO]]</f>
        <v>421</v>
      </c>
      <c r="V7673" s="2">
        <f>MASTER[[#This Row],[MONTO VENDIDO]]-MASTER[[#This Row],[COSTO DE VENTA]]</f>
        <v>1885</v>
      </c>
    </row>
    <row r="7674" spans="1:22" x14ac:dyDescent="0.3">
      <c r="A7674">
        <v>109800</v>
      </c>
      <c r="B7674">
        <v>1</v>
      </c>
      <c r="C7674" t="s">
        <v>114</v>
      </c>
      <c r="D7674" t="s">
        <v>115</v>
      </c>
      <c r="E7674" s="1">
        <v>44524</v>
      </c>
      <c r="F7674">
        <v>1</v>
      </c>
      <c r="G7674" t="s">
        <v>55</v>
      </c>
      <c r="H7674" t="s">
        <v>56</v>
      </c>
      <c r="I7674" s="4">
        <v>2295</v>
      </c>
      <c r="J7674" s="3">
        <v>2295</v>
      </c>
      <c r="K7674" s="4">
        <v>394</v>
      </c>
      <c r="L7674" t="s">
        <v>113</v>
      </c>
      <c r="M7674">
        <v>17</v>
      </c>
      <c r="N7674" t="str">
        <f>IF(MASTER[[#This Row],[IDLOCAL]]=17,"HYDE PARK", "HARLEM IRVING")</f>
        <v>HYDE PARK</v>
      </c>
      <c r="O7674" t="str">
        <f>IF(MASTER[[#This Row],[IDLOCAL]]=17,"PREMIUM", "ESTÁNDAR")</f>
        <v>PREMIUM</v>
      </c>
      <c r="P7674" t="s">
        <v>137</v>
      </c>
      <c r="Q7674" t="s">
        <v>142</v>
      </c>
      <c r="R7674" t="s">
        <v>143</v>
      </c>
      <c r="S7674" t="s">
        <v>145</v>
      </c>
      <c r="T7674" s="2">
        <f>MASTER[[#This Row],[CANTIDAD]]*MASTER[[#This Row],[PRECIO DE VENTA]]</f>
        <v>2295</v>
      </c>
      <c r="U7674" s="2">
        <f>MASTER[[#This Row],[CANTIDAD]]*MASTER[[#This Row],[COSTO UNITARIO]]</f>
        <v>394</v>
      </c>
      <c r="V7674" s="2">
        <f>MASTER[[#This Row],[MONTO VENDIDO]]-MASTER[[#This Row],[COSTO DE VENTA]]</f>
        <v>1901</v>
      </c>
    </row>
    <row r="7675" spans="1:22" x14ac:dyDescent="0.3">
      <c r="A7675">
        <v>109834</v>
      </c>
      <c r="B7675">
        <v>1</v>
      </c>
      <c r="C7675" t="s">
        <v>111</v>
      </c>
      <c r="D7675" t="s">
        <v>112</v>
      </c>
      <c r="E7675" s="1">
        <v>44525</v>
      </c>
      <c r="F7675">
        <v>1</v>
      </c>
      <c r="G7675" t="s">
        <v>59</v>
      </c>
      <c r="H7675" t="s">
        <v>60</v>
      </c>
      <c r="I7675" s="4">
        <v>2209</v>
      </c>
      <c r="J7675" s="3">
        <v>2209</v>
      </c>
      <c r="K7675" s="4">
        <v>434</v>
      </c>
      <c r="L7675" t="s">
        <v>113</v>
      </c>
      <c r="M7675">
        <v>18</v>
      </c>
      <c r="N7675" t="str">
        <f>IF(MASTER[[#This Row],[IDLOCAL]]=17,"HYDE PARK", "HARLEM IRVING")</f>
        <v>HARLEM IRVING</v>
      </c>
      <c r="O7675" t="str">
        <f>IF(MASTER[[#This Row],[IDLOCAL]]=17,"PREMIUM", "ESTÁNDAR")</f>
        <v>ESTÁNDAR</v>
      </c>
      <c r="P7675" t="s">
        <v>137</v>
      </c>
      <c r="Q7675" t="s">
        <v>142</v>
      </c>
      <c r="R7675" t="s">
        <v>143</v>
      </c>
      <c r="S7675" t="s">
        <v>145</v>
      </c>
      <c r="T7675" s="2">
        <f>MASTER[[#This Row],[CANTIDAD]]*MASTER[[#This Row],[PRECIO DE VENTA]]</f>
        <v>2209</v>
      </c>
      <c r="U7675" s="2">
        <f>MASTER[[#This Row],[CANTIDAD]]*MASTER[[#This Row],[COSTO UNITARIO]]</f>
        <v>434</v>
      </c>
      <c r="V7675" s="2">
        <f>MASTER[[#This Row],[MONTO VENDIDO]]-MASTER[[#This Row],[COSTO DE VENTA]]</f>
        <v>1775</v>
      </c>
    </row>
    <row r="7676" spans="1:22" x14ac:dyDescent="0.3">
      <c r="A7676">
        <v>109840</v>
      </c>
      <c r="B7676">
        <v>1</v>
      </c>
      <c r="C7676" t="s">
        <v>116</v>
      </c>
      <c r="D7676" t="s">
        <v>117</v>
      </c>
      <c r="E7676" s="1">
        <v>44525</v>
      </c>
      <c r="F7676">
        <v>1</v>
      </c>
      <c r="G7676" t="s">
        <v>7</v>
      </c>
      <c r="H7676" t="s">
        <v>8</v>
      </c>
      <c r="I7676" s="4">
        <v>2520</v>
      </c>
      <c r="J7676" s="3">
        <v>2520</v>
      </c>
      <c r="K7676" s="4">
        <v>388</v>
      </c>
      <c r="L7676" t="s">
        <v>113</v>
      </c>
      <c r="M7676">
        <v>17</v>
      </c>
      <c r="N7676" t="str">
        <f>IF(MASTER[[#This Row],[IDLOCAL]]=17,"HYDE PARK", "HARLEM IRVING")</f>
        <v>HYDE PARK</v>
      </c>
      <c r="O7676" t="str">
        <f>IF(MASTER[[#This Row],[IDLOCAL]]=17,"PREMIUM", "ESTÁNDAR")</f>
        <v>PREMIUM</v>
      </c>
      <c r="P7676" t="s">
        <v>137</v>
      </c>
      <c r="Q7676" t="s">
        <v>142</v>
      </c>
      <c r="R7676" t="s">
        <v>143</v>
      </c>
      <c r="S7676" t="s">
        <v>145</v>
      </c>
      <c r="T7676" s="2">
        <f>MASTER[[#This Row],[CANTIDAD]]*MASTER[[#This Row],[PRECIO DE VENTA]]</f>
        <v>2520</v>
      </c>
      <c r="U7676" s="2">
        <f>MASTER[[#This Row],[CANTIDAD]]*MASTER[[#This Row],[COSTO UNITARIO]]</f>
        <v>388</v>
      </c>
      <c r="V7676" s="2">
        <f>MASTER[[#This Row],[MONTO VENDIDO]]-MASTER[[#This Row],[COSTO DE VENTA]]</f>
        <v>2132</v>
      </c>
    </row>
    <row r="7677" spans="1:22" x14ac:dyDescent="0.3">
      <c r="A7677">
        <v>109841</v>
      </c>
      <c r="B7677">
        <v>1</v>
      </c>
      <c r="C7677" t="s">
        <v>103</v>
      </c>
      <c r="D7677" t="s">
        <v>104</v>
      </c>
      <c r="E7677" s="1">
        <v>44526</v>
      </c>
      <c r="F7677">
        <v>1</v>
      </c>
      <c r="G7677" t="s">
        <v>61</v>
      </c>
      <c r="H7677" t="s">
        <v>62</v>
      </c>
      <c r="I7677" s="4">
        <v>2099</v>
      </c>
      <c r="J7677" s="3">
        <v>2099</v>
      </c>
      <c r="K7677" s="4">
        <v>421</v>
      </c>
      <c r="L7677" t="s">
        <v>98</v>
      </c>
      <c r="M7677">
        <v>19</v>
      </c>
      <c r="N7677" t="s">
        <v>150</v>
      </c>
      <c r="O7677" t="s">
        <v>81</v>
      </c>
      <c r="P7677" t="s">
        <v>136</v>
      </c>
      <c r="Q7677" t="s">
        <v>140</v>
      </c>
      <c r="R7677" t="s">
        <v>141</v>
      </c>
      <c r="S7677" t="s">
        <v>145</v>
      </c>
      <c r="T7677" s="2">
        <f>MASTER[[#This Row],[CANTIDAD]]*MASTER[[#This Row],[PRECIO DE VENTA]]</f>
        <v>2099</v>
      </c>
      <c r="U7677" s="2">
        <f>MASTER[[#This Row],[CANTIDAD]]*MASTER[[#This Row],[COSTO UNITARIO]]</f>
        <v>421</v>
      </c>
      <c r="V7677" s="2">
        <f>MASTER[[#This Row],[MONTO VENDIDO]]-MASTER[[#This Row],[COSTO DE VENTA]]</f>
        <v>1678</v>
      </c>
    </row>
    <row r="7678" spans="1:22" x14ac:dyDescent="0.3">
      <c r="A7678">
        <v>109843</v>
      </c>
      <c r="B7678">
        <v>1</v>
      </c>
      <c r="C7678" t="s">
        <v>109</v>
      </c>
      <c r="D7678" t="s">
        <v>110</v>
      </c>
      <c r="E7678" s="1">
        <v>44526</v>
      </c>
      <c r="F7678">
        <v>1</v>
      </c>
      <c r="G7678" t="s">
        <v>61</v>
      </c>
      <c r="H7678" t="s">
        <v>62</v>
      </c>
      <c r="I7678" s="4">
        <v>1635</v>
      </c>
      <c r="J7678" s="3">
        <v>1503</v>
      </c>
      <c r="K7678" s="4">
        <v>387</v>
      </c>
      <c r="L7678" t="s">
        <v>98</v>
      </c>
      <c r="M7678">
        <v>18</v>
      </c>
      <c r="N7678" t="str">
        <f>IF(MASTER[[#This Row],[IDLOCAL]]=17,"HYDE PARK", "HARLEM IRVING")</f>
        <v>HARLEM IRVING</v>
      </c>
      <c r="O7678" t="str">
        <f>IF(MASTER[[#This Row],[IDLOCAL]]=17,"PREMIUM", "ESTÁNDAR")</f>
        <v>ESTÁNDAR</v>
      </c>
      <c r="P7678" t="s">
        <v>137</v>
      </c>
      <c r="Q7678" t="s">
        <v>142</v>
      </c>
      <c r="R7678" t="s">
        <v>143</v>
      </c>
      <c r="S7678" t="s">
        <v>145</v>
      </c>
      <c r="T7678" s="2">
        <f>MASTER[[#This Row],[CANTIDAD]]*MASTER[[#This Row],[PRECIO DE VENTA]]</f>
        <v>1503</v>
      </c>
      <c r="U7678" s="2">
        <f>MASTER[[#This Row],[CANTIDAD]]*MASTER[[#This Row],[COSTO UNITARIO]]</f>
        <v>387</v>
      </c>
      <c r="V7678" s="2">
        <f>MASTER[[#This Row],[MONTO VENDIDO]]-MASTER[[#This Row],[COSTO DE VENTA]]</f>
        <v>1116</v>
      </c>
    </row>
    <row r="7679" spans="1:22" x14ac:dyDescent="0.3">
      <c r="A7679">
        <v>109893</v>
      </c>
      <c r="B7679">
        <v>1</v>
      </c>
      <c r="C7679" t="s">
        <v>90</v>
      </c>
      <c r="D7679" t="s">
        <v>91</v>
      </c>
      <c r="E7679" s="1">
        <v>44527</v>
      </c>
      <c r="F7679">
        <v>1</v>
      </c>
      <c r="G7679" t="s">
        <v>29</v>
      </c>
      <c r="H7679" t="s">
        <v>30</v>
      </c>
      <c r="I7679" s="4">
        <v>2673</v>
      </c>
      <c r="J7679" s="3">
        <v>2673</v>
      </c>
      <c r="K7679" s="4">
        <v>420</v>
      </c>
      <c r="L7679" t="s">
        <v>9</v>
      </c>
      <c r="M7679">
        <v>19</v>
      </c>
      <c r="N7679" t="s">
        <v>150</v>
      </c>
      <c r="O7679" t="s">
        <v>81</v>
      </c>
      <c r="P7679" t="s">
        <v>136</v>
      </c>
      <c r="Q7679" t="s">
        <v>140</v>
      </c>
      <c r="R7679" t="s">
        <v>141</v>
      </c>
      <c r="S7679" t="s">
        <v>145</v>
      </c>
      <c r="T7679" s="2">
        <f>MASTER[[#This Row],[CANTIDAD]]*MASTER[[#This Row],[PRECIO DE VENTA]]</f>
        <v>2673</v>
      </c>
      <c r="U7679" s="2">
        <f>MASTER[[#This Row],[CANTIDAD]]*MASTER[[#This Row],[COSTO UNITARIO]]</f>
        <v>420</v>
      </c>
      <c r="V7679" s="2">
        <f>MASTER[[#This Row],[MONTO VENDIDO]]-MASTER[[#This Row],[COSTO DE VENTA]]</f>
        <v>2253</v>
      </c>
    </row>
    <row r="7680" spans="1:22" x14ac:dyDescent="0.3">
      <c r="A7680">
        <v>109906</v>
      </c>
      <c r="B7680">
        <v>1</v>
      </c>
      <c r="C7680" t="s">
        <v>101</v>
      </c>
      <c r="D7680" t="s">
        <v>102</v>
      </c>
      <c r="E7680" s="1">
        <v>44527</v>
      </c>
      <c r="F7680">
        <v>1</v>
      </c>
      <c r="G7680" t="s">
        <v>29</v>
      </c>
      <c r="H7680" t="s">
        <v>30</v>
      </c>
      <c r="I7680" s="4">
        <v>1967</v>
      </c>
      <c r="J7680" s="3">
        <v>1967</v>
      </c>
      <c r="K7680" s="4">
        <v>442</v>
      </c>
      <c r="L7680" t="s">
        <v>98</v>
      </c>
      <c r="M7680">
        <v>18</v>
      </c>
      <c r="N7680" t="str">
        <f>IF(MASTER[[#This Row],[IDLOCAL]]=17,"HYDE PARK", "HARLEM IRVING")</f>
        <v>HARLEM IRVING</v>
      </c>
      <c r="O7680" t="str">
        <f>IF(MASTER[[#This Row],[IDLOCAL]]=17,"PREMIUM", "ESTÁNDAR")</f>
        <v>ESTÁNDAR</v>
      </c>
      <c r="P7680" t="s">
        <v>137</v>
      </c>
      <c r="Q7680" t="s">
        <v>142</v>
      </c>
      <c r="R7680" t="s">
        <v>143</v>
      </c>
      <c r="S7680" t="s">
        <v>145</v>
      </c>
      <c r="T7680" s="2">
        <f>MASTER[[#This Row],[CANTIDAD]]*MASTER[[#This Row],[PRECIO DE VENTA]]</f>
        <v>1967</v>
      </c>
      <c r="U7680" s="2">
        <f>MASTER[[#This Row],[CANTIDAD]]*MASTER[[#This Row],[COSTO UNITARIO]]</f>
        <v>442</v>
      </c>
      <c r="V7680" s="2">
        <f>MASTER[[#This Row],[MONTO VENDIDO]]-MASTER[[#This Row],[COSTO DE VENTA]]</f>
        <v>1525</v>
      </c>
    </row>
    <row r="7681" spans="1:22" x14ac:dyDescent="0.3">
      <c r="A7681">
        <v>109926</v>
      </c>
      <c r="B7681">
        <v>1</v>
      </c>
      <c r="C7681" t="s">
        <v>111</v>
      </c>
      <c r="D7681" t="s">
        <v>112</v>
      </c>
      <c r="E7681" s="1">
        <v>44527</v>
      </c>
      <c r="F7681">
        <v>1</v>
      </c>
      <c r="G7681" t="s">
        <v>27</v>
      </c>
      <c r="H7681" t="s">
        <v>28</v>
      </c>
      <c r="I7681" s="4">
        <v>2608</v>
      </c>
      <c r="J7681" s="3">
        <v>2347</v>
      </c>
      <c r="K7681" s="4">
        <v>434</v>
      </c>
      <c r="L7681" t="s">
        <v>113</v>
      </c>
      <c r="M7681">
        <v>18</v>
      </c>
      <c r="N7681" t="str">
        <f>IF(MASTER[[#This Row],[IDLOCAL]]=17,"HYDE PARK", "HARLEM IRVING")</f>
        <v>HARLEM IRVING</v>
      </c>
      <c r="O7681" t="str">
        <f>IF(MASTER[[#This Row],[IDLOCAL]]=17,"PREMIUM", "ESTÁNDAR")</f>
        <v>ESTÁNDAR</v>
      </c>
      <c r="P7681" t="s">
        <v>137</v>
      </c>
      <c r="Q7681" t="s">
        <v>142</v>
      </c>
      <c r="R7681" t="s">
        <v>143</v>
      </c>
      <c r="S7681" t="s">
        <v>145</v>
      </c>
      <c r="T7681" s="2">
        <f>MASTER[[#This Row],[CANTIDAD]]*MASTER[[#This Row],[PRECIO DE VENTA]]</f>
        <v>2347</v>
      </c>
      <c r="U7681" s="2">
        <f>MASTER[[#This Row],[CANTIDAD]]*MASTER[[#This Row],[COSTO UNITARIO]]</f>
        <v>434</v>
      </c>
      <c r="V7681" s="2">
        <f>MASTER[[#This Row],[MONTO VENDIDO]]-MASTER[[#This Row],[COSTO DE VENTA]]</f>
        <v>1913</v>
      </c>
    </row>
    <row r="7682" spans="1:22" x14ac:dyDescent="0.3">
      <c r="A7682">
        <v>109931</v>
      </c>
      <c r="B7682">
        <v>1</v>
      </c>
      <c r="C7682" t="s">
        <v>101</v>
      </c>
      <c r="D7682" t="s">
        <v>102</v>
      </c>
      <c r="E7682" s="1">
        <v>44528</v>
      </c>
      <c r="F7682">
        <v>4</v>
      </c>
      <c r="G7682" t="s">
        <v>61</v>
      </c>
      <c r="H7682" t="s">
        <v>62</v>
      </c>
      <c r="I7682" s="4">
        <v>1757</v>
      </c>
      <c r="J7682" s="3">
        <v>1757</v>
      </c>
      <c r="K7682" s="4">
        <v>442</v>
      </c>
      <c r="L7682" t="s">
        <v>98</v>
      </c>
      <c r="M7682">
        <v>18</v>
      </c>
      <c r="N7682" t="str">
        <f>IF(MASTER[[#This Row],[IDLOCAL]]=17,"HYDE PARK", "HARLEM IRVING")</f>
        <v>HARLEM IRVING</v>
      </c>
      <c r="O7682" t="str">
        <f>IF(MASTER[[#This Row],[IDLOCAL]]=17,"PREMIUM", "ESTÁNDAR")</f>
        <v>ESTÁNDAR</v>
      </c>
      <c r="P7682" t="s">
        <v>137</v>
      </c>
      <c r="Q7682" t="s">
        <v>142</v>
      </c>
      <c r="R7682" t="s">
        <v>143</v>
      </c>
      <c r="S7682" t="s">
        <v>145</v>
      </c>
      <c r="T7682" s="2">
        <f>MASTER[[#This Row],[CANTIDAD]]*MASTER[[#This Row],[PRECIO DE VENTA]]</f>
        <v>7028</v>
      </c>
      <c r="U7682" s="2">
        <f>MASTER[[#This Row],[CANTIDAD]]*MASTER[[#This Row],[COSTO UNITARIO]]</f>
        <v>1768</v>
      </c>
      <c r="V7682" s="2">
        <f>MASTER[[#This Row],[MONTO VENDIDO]]-MASTER[[#This Row],[COSTO DE VENTA]]</f>
        <v>5260</v>
      </c>
    </row>
    <row r="7683" spans="1:22" x14ac:dyDescent="0.3">
      <c r="A7683">
        <v>109999</v>
      </c>
      <c r="B7683">
        <v>1</v>
      </c>
      <c r="C7683" t="s">
        <v>114</v>
      </c>
      <c r="D7683" t="s">
        <v>115</v>
      </c>
      <c r="E7683" s="1">
        <v>44528</v>
      </c>
      <c r="F7683">
        <v>1</v>
      </c>
      <c r="G7683" t="s">
        <v>35</v>
      </c>
      <c r="H7683" t="s">
        <v>36</v>
      </c>
      <c r="I7683" s="4">
        <v>2943</v>
      </c>
      <c r="J7683" s="3">
        <v>2943</v>
      </c>
      <c r="K7683" s="4">
        <v>394</v>
      </c>
      <c r="L7683" t="s">
        <v>113</v>
      </c>
      <c r="M7683">
        <v>19</v>
      </c>
      <c r="N7683" t="s">
        <v>150</v>
      </c>
      <c r="O7683" t="s">
        <v>81</v>
      </c>
      <c r="P7683" t="s">
        <v>136</v>
      </c>
      <c r="Q7683" t="s">
        <v>140</v>
      </c>
      <c r="R7683" t="s">
        <v>141</v>
      </c>
      <c r="S7683" t="s">
        <v>145</v>
      </c>
      <c r="T7683" s="2">
        <f>MASTER[[#This Row],[CANTIDAD]]*MASTER[[#This Row],[PRECIO DE VENTA]]</f>
        <v>2943</v>
      </c>
      <c r="U7683" s="2">
        <f>MASTER[[#This Row],[CANTIDAD]]*MASTER[[#This Row],[COSTO UNITARIO]]</f>
        <v>394</v>
      </c>
      <c r="V7683" s="2">
        <f>MASTER[[#This Row],[MONTO VENDIDO]]-MASTER[[#This Row],[COSTO DE VENTA]]</f>
        <v>2549</v>
      </c>
    </row>
    <row r="7684" spans="1:22" x14ac:dyDescent="0.3">
      <c r="A7684">
        <v>110001</v>
      </c>
      <c r="B7684">
        <v>1</v>
      </c>
      <c r="C7684" t="s">
        <v>92</v>
      </c>
      <c r="D7684" t="s">
        <v>93</v>
      </c>
      <c r="E7684" s="1">
        <v>44529</v>
      </c>
      <c r="F7684">
        <v>1</v>
      </c>
      <c r="G7684" t="s">
        <v>37</v>
      </c>
      <c r="H7684" t="s">
        <v>38</v>
      </c>
      <c r="I7684" s="4">
        <v>2144</v>
      </c>
      <c r="J7684" s="3">
        <v>2144</v>
      </c>
      <c r="K7684" s="4">
        <v>396</v>
      </c>
      <c r="L7684" t="s">
        <v>9</v>
      </c>
      <c r="M7684">
        <v>18</v>
      </c>
      <c r="N7684" t="str">
        <f>IF(MASTER[[#This Row],[IDLOCAL]]=17,"HYDE PARK", "HARLEM IRVING")</f>
        <v>HARLEM IRVING</v>
      </c>
      <c r="O7684" t="str">
        <f>IF(MASTER[[#This Row],[IDLOCAL]]=17,"PREMIUM", "ESTÁNDAR")</f>
        <v>ESTÁNDAR</v>
      </c>
      <c r="P7684" t="s">
        <v>137</v>
      </c>
      <c r="Q7684" t="s">
        <v>142</v>
      </c>
      <c r="R7684" t="s">
        <v>143</v>
      </c>
      <c r="S7684" t="s">
        <v>145</v>
      </c>
      <c r="T7684" s="2">
        <f>MASTER[[#This Row],[CANTIDAD]]*MASTER[[#This Row],[PRECIO DE VENTA]]</f>
        <v>2144</v>
      </c>
      <c r="U7684" s="2">
        <f>MASTER[[#This Row],[CANTIDAD]]*MASTER[[#This Row],[COSTO UNITARIO]]</f>
        <v>396</v>
      </c>
      <c r="V7684" s="2">
        <f>MASTER[[#This Row],[MONTO VENDIDO]]-MASTER[[#This Row],[COSTO DE VENTA]]</f>
        <v>1748</v>
      </c>
    </row>
    <row r="7685" spans="1:22" x14ac:dyDescent="0.3">
      <c r="A7685">
        <v>110017</v>
      </c>
      <c r="B7685">
        <v>1</v>
      </c>
      <c r="C7685" t="s">
        <v>116</v>
      </c>
      <c r="D7685" t="s">
        <v>117</v>
      </c>
      <c r="E7685" s="1">
        <v>44529</v>
      </c>
      <c r="F7685">
        <v>1</v>
      </c>
      <c r="G7685" t="s">
        <v>22</v>
      </c>
      <c r="H7685" t="s">
        <v>23</v>
      </c>
      <c r="I7685" s="4">
        <v>2217</v>
      </c>
      <c r="J7685" s="3">
        <v>2217</v>
      </c>
      <c r="K7685" s="4">
        <v>388</v>
      </c>
      <c r="L7685" t="s">
        <v>113</v>
      </c>
      <c r="M7685">
        <v>18</v>
      </c>
      <c r="N7685" t="str">
        <f>IF(MASTER[[#This Row],[IDLOCAL]]=17,"HYDE PARK", "HARLEM IRVING")</f>
        <v>HARLEM IRVING</v>
      </c>
      <c r="O7685" t="str">
        <f>IF(MASTER[[#This Row],[IDLOCAL]]=17,"PREMIUM", "ESTÁNDAR")</f>
        <v>ESTÁNDAR</v>
      </c>
      <c r="P7685" t="s">
        <v>137</v>
      </c>
      <c r="Q7685" t="s">
        <v>142</v>
      </c>
      <c r="R7685" t="s">
        <v>143</v>
      </c>
      <c r="S7685" t="s">
        <v>145</v>
      </c>
      <c r="T7685" s="2">
        <f>MASTER[[#This Row],[CANTIDAD]]*MASTER[[#This Row],[PRECIO DE VENTA]]</f>
        <v>2217</v>
      </c>
      <c r="U7685" s="2">
        <f>MASTER[[#This Row],[CANTIDAD]]*MASTER[[#This Row],[COSTO UNITARIO]]</f>
        <v>388</v>
      </c>
      <c r="V7685" s="2">
        <f>MASTER[[#This Row],[MONTO VENDIDO]]-MASTER[[#This Row],[COSTO DE VENTA]]</f>
        <v>1829</v>
      </c>
    </row>
    <row r="7686" spans="1:22" x14ac:dyDescent="0.3">
      <c r="A7686">
        <v>110024</v>
      </c>
      <c r="B7686">
        <v>1</v>
      </c>
      <c r="C7686" t="s">
        <v>116</v>
      </c>
      <c r="D7686" t="s">
        <v>117</v>
      </c>
      <c r="E7686" s="1">
        <v>44529</v>
      </c>
      <c r="F7686">
        <v>1</v>
      </c>
      <c r="G7686" t="s">
        <v>43</v>
      </c>
      <c r="H7686" t="s">
        <v>44</v>
      </c>
      <c r="I7686" s="4">
        <v>2898</v>
      </c>
      <c r="J7686" s="3">
        <v>2898</v>
      </c>
      <c r="K7686" s="4">
        <v>388</v>
      </c>
      <c r="L7686" t="s">
        <v>113</v>
      </c>
      <c r="M7686">
        <v>17</v>
      </c>
      <c r="N7686" t="str">
        <f>IF(MASTER[[#This Row],[IDLOCAL]]=17,"HYDE PARK", "HARLEM IRVING")</f>
        <v>HYDE PARK</v>
      </c>
      <c r="O7686" t="str">
        <f>IF(MASTER[[#This Row],[IDLOCAL]]=17,"PREMIUM", "ESTÁNDAR")</f>
        <v>PREMIUM</v>
      </c>
      <c r="P7686" t="s">
        <v>137</v>
      </c>
      <c r="Q7686" t="s">
        <v>142</v>
      </c>
      <c r="R7686" t="s">
        <v>143</v>
      </c>
      <c r="S7686" t="s">
        <v>145</v>
      </c>
      <c r="T7686" s="2">
        <f>MASTER[[#This Row],[CANTIDAD]]*MASTER[[#This Row],[PRECIO DE VENTA]]</f>
        <v>2898</v>
      </c>
      <c r="U7686" s="2">
        <f>MASTER[[#This Row],[CANTIDAD]]*MASTER[[#This Row],[COSTO UNITARIO]]</f>
        <v>388</v>
      </c>
      <c r="V7686" s="2">
        <f>MASTER[[#This Row],[MONTO VENDIDO]]-MASTER[[#This Row],[COSTO DE VENTA]]</f>
        <v>2510</v>
      </c>
    </row>
    <row r="7687" spans="1:22" x14ac:dyDescent="0.3">
      <c r="A7687">
        <v>110044</v>
      </c>
      <c r="B7687">
        <v>1</v>
      </c>
      <c r="C7687" t="s">
        <v>96</v>
      </c>
      <c r="D7687" t="s">
        <v>97</v>
      </c>
      <c r="E7687" s="1">
        <v>44532</v>
      </c>
      <c r="F7687">
        <v>1</v>
      </c>
      <c r="G7687" t="s">
        <v>67</v>
      </c>
      <c r="H7687" t="s">
        <v>68</v>
      </c>
      <c r="I7687" s="4">
        <v>1844</v>
      </c>
      <c r="J7687" s="3">
        <v>1844</v>
      </c>
      <c r="K7687" s="4">
        <v>397</v>
      </c>
      <c r="L7687" t="s">
        <v>98</v>
      </c>
      <c r="M7687">
        <v>17</v>
      </c>
      <c r="N7687" t="str">
        <f>IF(MASTER[[#This Row],[IDLOCAL]]=17,"HYDE PARK", "HARLEM IRVING")</f>
        <v>HYDE PARK</v>
      </c>
      <c r="O7687" t="str">
        <f>IF(MASTER[[#This Row],[IDLOCAL]]=17,"PREMIUM", "ESTÁNDAR")</f>
        <v>PREMIUM</v>
      </c>
      <c r="P7687" t="s">
        <v>137</v>
      </c>
      <c r="Q7687" t="s">
        <v>142</v>
      </c>
      <c r="R7687" t="s">
        <v>143</v>
      </c>
      <c r="S7687" t="s">
        <v>145</v>
      </c>
      <c r="T7687" s="2">
        <f>MASTER[[#This Row],[CANTIDAD]]*MASTER[[#This Row],[PRECIO DE VENTA]]</f>
        <v>1844</v>
      </c>
      <c r="U7687" s="2">
        <f>MASTER[[#This Row],[CANTIDAD]]*MASTER[[#This Row],[COSTO UNITARIO]]</f>
        <v>397</v>
      </c>
      <c r="V7687" s="2">
        <f>MASTER[[#This Row],[MONTO VENDIDO]]-MASTER[[#This Row],[COSTO DE VENTA]]</f>
        <v>1447</v>
      </c>
    </row>
    <row r="7688" spans="1:22" x14ac:dyDescent="0.3">
      <c r="A7688">
        <v>110055</v>
      </c>
      <c r="B7688">
        <v>1</v>
      </c>
      <c r="C7688" t="s">
        <v>109</v>
      </c>
      <c r="D7688" t="s">
        <v>110</v>
      </c>
      <c r="E7688" s="1">
        <v>44532</v>
      </c>
      <c r="F7688">
        <v>1</v>
      </c>
      <c r="G7688" t="s">
        <v>73</v>
      </c>
      <c r="H7688" t="s">
        <v>74</v>
      </c>
      <c r="I7688" s="4">
        <v>1542</v>
      </c>
      <c r="J7688" s="3">
        <v>1403</v>
      </c>
      <c r="K7688" s="4">
        <v>387</v>
      </c>
      <c r="L7688" t="s">
        <v>98</v>
      </c>
      <c r="M7688">
        <v>17</v>
      </c>
      <c r="N7688" t="str">
        <f>IF(MASTER[[#This Row],[IDLOCAL]]=17,"HYDE PARK", "HARLEM IRVING")</f>
        <v>HYDE PARK</v>
      </c>
      <c r="O7688" t="str">
        <f>IF(MASTER[[#This Row],[IDLOCAL]]=17,"PREMIUM", "ESTÁNDAR")</f>
        <v>PREMIUM</v>
      </c>
      <c r="P7688" t="s">
        <v>137</v>
      </c>
      <c r="Q7688" t="s">
        <v>142</v>
      </c>
      <c r="R7688" t="s">
        <v>143</v>
      </c>
      <c r="S7688" t="s">
        <v>145</v>
      </c>
      <c r="T7688" s="2">
        <f>MASTER[[#This Row],[CANTIDAD]]*MASTER[[#This Row],[PRECIO DE VENTA]]</f>
        <v>1403</v>
      </c>
      <c r="U7688" s="2">
        <f>MASTER[[#This Row],[CANTIDAD]]*MASTER[[#This Row],[COSTO UNITARIO]]</f>
        <v>387</v>
      </c>
      <c r="V7688" s="2">
        <f>MASTER[[#This Row],[MONTO VENDIDO]]-MASTER[[#This Row],[COSTO DE VENTA]]</f>
        <v>1016</v>
      </c>
    </row>
    <row r="7689" spans="1:22" x14ac:dyDescent="0.3">
      <c r="A7689">
        <v>110069</v>
      </c>
      <c r="B7689">
        <v>1</v>
      </c>
      <c r="C7689" t="s">
        <v>118</v>
      </c>
      <c r="D7689" t="s">
        <v>119</v>
      </c>
      <c r="E7689" s="1">
        <v>44533</v>
      </c>
      <c r="F7689">
        <v>1</v>
      </c>
      <c r="G7689" t="s">
        <v>29</v>
      </c>
      <c r="H7689" t="s">
        <v>30</v>
      </c>
      <c r="I7689" s="4">
        <v>1305</v>
      </c>
      <c r="J7689" s="3">
        <v>1305</v>
      </c>
      <c r="K7689" s="4">
        <v>424</v>
      </c>
      <c r="L7689" t="s">
        <v>120</v>
      </c>
      <c r="M7689">
        <v>17</v>
      </c>
      <c r="N7689" t="str">
        <f>IF(MASTER[[#This Row],[IDLOCAL]]=17,"HYDE PARK", "HARLEM IRVING")</f>
        <v>HYDE PARK</v>
      </c>
      <c r="O7689" t="str">
        <f>IF(MASTER[[#This Row],[IDLOCAL]]=17,"PREMIUM", "ESTÁNDAR")</f>
        <v>PREMIUM</v>
      </c>
      <c r="P7689" t="s">
        <v>137</v>
      </c>
      <c r="Q7689" t="s">
        <v>142</v>
      </c>
      <c r="R7689" t="s">
        <v>143</v>
      </c>
      <c r="S7689" t="s">
        <v>145</v>
      </c>
      <c r="T7689" s="2">
        <f>MASTER[[#This Row],[CANTIDAD]]*MASTER[[#This Row],[PRECIO DE VENTA]]</f>
        <v>1305</v>
      </c>
      <c r="U7689" s="2">
        <f>MASTER[[#This Row],[CANTIDAD]]*MASTER[[#This Row],[COSTO UNITARIO]]</f>
        <v>424</v>
      </c>
      <c r="V7689" s="2">
        <f>MASTER[[#This Row],[MONTO VENDIDO]]-MASTER[[#This Row],[COSTO DE VENTA]]</f>
        <v>881</v>
      </c>
    </row>
    <row r="7690" spans="1:22" x14ac:dyDescent="0.3">
      <c r="A7690">
        <v>110074</v>
      </c>
      <c r="B7690">
        <v>1</v>
      </c>
      <c r="C7690" t="s">
        <v>99</v>
      </c>
      <c r="D7690" t="s">
        <v>100</v>
      </c>
      <c r="E7690" s="1">
        <v>44534</v>
      </c>
      <c r="F7690">
        <v>1</v>
      </c>
      <c r="G7690" t="s">
        <v>45</v>
      </c>
      <c r="H7690" t="s">
        <v>46</v>
      </c>
      <c r="I7690" s="4">
        <v>2115</v>
      </c>
      <c r="J7690" s="3">
        <v>2115</v>
      </c>
      <c r="K7690" s="4">
        <v>386</v>
      </c>
      <c r="L7690" t="s">
        <v>98</v>
      </c>
      <c r="M7690">
        <v>18</v>
      </c>
      <c r="N7690" t="str">
        <f>IF(MASTER[[#This Row],[IDLOCAL]]=17,"HYDE PARK", "HARLEM IRVING")</f>
        <v>HARLEM IRVING</v>
      </c>
      <c r="O7690" t="str">
        <f>IF(MASTER[[#This Row],[IDLOCAL]]=17,"PREMIUM", "ESTÁNDAR")</f>
        <v>ESTÁNDAR</v>
      </c>
      <c r="P7690" t="s">
        <v>137</v>
      </c>
      <c r="Q7690" t="s">
        <v>142</v>
      </c>
      <c r="R7690" t="s">
        <v>143</v>
      </c>
      <c r="S7690" t="s">
        <v>145</v>
      </c>
      <c r="T7690" s="2">
        <f>MASTER[[#This Row],[CANTIDAD]]*MASTER[[#This Row],[PRECIO DE VENTA]]</f>
        <v>2115</v>
      </c>
      <c r="U7690" s="2">
        <f>MASTER[[#This Row],[CANTIDAD]]*MASTER[[#This Row],[COSTO UNITARIO]]</f>
        <v>386</v>
      </c>
      <c r="V7690" s="2">
        <f>MASTER[[#This Row],[MONTO VENDIDO]]-MASTER[[#This Row],[COSTO DE VENTA]]</f>
        <v>1729</v>
      </c>
    </row>
    <row r="7691" spans="1:22" x14ac:dyDescent="0.3">
      <c r="A7691">
        <v>110094</v>
      </c>
      <c r="B7691">
        <v>1</v>
      </c>
      <c r="C7691" t="s">
        <v>5</v>
      </c>
      <c r="D7691" t="s">
        <v>6</v>
      </c>
      <c r="E7691" s="1">
        <v>44536</v>
      </c>
      <c r="F7691">
        <v>1</v>
      </c>
      <c r="G7691" t="s">
        <v>43</v>
      </c>
      <c r="H7691" t="s">
        <v>44</v>
      </c>
      <c r="I7691" s="4">
        <v>1879</v>
      </c>
      <c r="J7691" s="3">
        <v>1879</v>
      </c>
      <c r="K7691" s="4">
        <v>393</v>
      </c>
      <c r="L7691" t="s">
        <v>9</v>
      </c>
      <c r="M7691">
        <v>19</v>
      </c>
      <c r="N7691" t="s">
        <v>150</v>
      </c>
      <c r="O7691" t="s">
        <v>81</v>
      </c>
      <c r="P7691" t="s">
        <v>136</v>
      </c>
      <c r="Q7691" t="s">
        <v>140</v>
      </c>
      <c r="R7691" t="s">
        <v>141</v>
      </c>
      <c r="S7691" t="s">
        <v>145</v>
      </c>
      <c r="T7691" s="2">
        <f>MASTER[[#This Row],[CANTIDAD]]*MASTER[[#This Row],[PRECIO DE VENTA]]</f>
        <v>1879</v>
      </c>
      <c r="U7691" s="2">
        <f>MASTER[[#This Row],[CANTIDAD]]*MASTER[[#This Row],[COSTO UNITARIO]]</f>
        <v>393</v>
      </c>
      <c r="V7691" s="2">
        <f>MASTER[[#This Row],[MONTO VENDIDO]]-MASTER[[#This Row],[COSTO DE VENTA]]</f>
        <v>1486</v>
      </c>
    </row>
    <row r="7692" spans="1:22" x14ac:dyDescent="0.3">
      <c r="A7692">
        <v>110097</v>
      </c>
      <c r="B7692">
        <v>1</v>
      </c>
      <c r="C7692" t="s">
        <v>99</v>
      </c>
      <c r="D7692" t="s">
        <v>100</v>
      </c>
      <c r="E7692" s="1">
        <v>44536</v>
      </c>
      <c r="F7692">
        <v>1</v>
      </c>
      <c r="G7692" t="s">
        <v>29</v>
      </c>
      <c r="H7692" t="s">
        <v>30</v>
      </c>
      <c r="I7692" s="4">
        <v>2433</v>
      </c>
      <c r="J7692" s="3">
        <v>2433</v>
      </c>
      <c r="K7692" s="4">
        <v>386</v>
      </c>
      <c r="L7692" t="s">
        <v>98</v>
      </c>
      <c r="M7692">
        <v>19</v>
      </c>
      <c r="N7692" t="s">
        <v>150</v>
      </c>
      <c r="O7692" t="s">
        <v>81</v>
      </c>
      <c r="P7692" t="s">
        <v>136</v>
      </c>
      <c r="Q7692" t="s">
        <v>140</v>
      </c>
      <c r="R7692" t="s">
        <v>141</v>
      </c>
      <c r="S7692" t="s">
        <v>145</v>
      </c>
      <c r="T7692" s="2">
        <f>MASTER[[#This Row],[CANTIDAD]]*MASTER[[#This Row],[PRECIO DE VENTA]]</f>
        <v>2433</v>
      </c>
      <c r="U7692" s="2">
        <f>MASTER[[#This Row],[CANTIDAD]]*MASTER[[#This Row],[COSTO UNITARIO]]</f>
        <v>386</v>
      </c>
      <c r="V7692" s="2">
        <f>MASTER[[#This Row],[MONTO VENDIDO]]-MASTER[[#This Row],[COSTO DE VENTA]]</f>
        <v>2047</v>
      </c>
    </row>
    <row r="7693" spans="1:22" x14ac:dyDescent="0.3">
      <c r="A7693">
        <v>110116</v>
      </c>
      <c r="B7693">
        <v>1</v>
      </c>
      <c r="C7693" t="s">
        <v>90</v>
      </c>
      <c r="D7693" t="s">
        <v>91</v>
      </c>
      <c r="E7693" s="1">
        <v>44538</v>
      </c>
      <c r="F7693">
        <v>1</v>
      </c>
      <c r="G7693" t="s">
        <v>29</v>
      </c>
      <c r="H7693" t="s">
        <v>30</v>
      </c>
      <c r="I7693" s="4">
        <v>3047</v>
      </c>
      <c r="J7693" s="3">
        <v>3047</v>
      </c>
      <c r="K7693" s="4">
        <v>420</v>
      </c>
      <c r="L7693" t="s">
        <v>9</v>
      </c>
      <c r="M7693">
        <v>18</v>
      </c>
      <c r="N7693" t="str">
        <f>IF(MASTER[[#This Row],[IDLOCAL]]=17,"HYDE PARK", "HARLEM IRVING")</f>
        <v>HARLEM IRVING</v>
      </c>
      <c r="O7693" t="str">
        <f>IF(MASTER[[#This Row],[IDLOCAL]]=17,"PREMIUM", "ESTÁNDAR")</f>
        <v>ESTÁNDAR</v>
      </c>
      <c r="P7693" t="s">
        <v>137</v>
      </c>
      <c r="Q7693" t="s">
        <v>142</v>
      </c>
      <c r="R7693" t="s">
        <v>143</v>
      </c>
      <c r="S7693" t="s">
        <v>145</v>
      </c>
      <c r="T7693" s="2">
        <f>MASTER[[#This Row],[CANTIDAD]]*MASTER[[#This Row],[PRECIO DE VENTA]]</f>
        <v>3047</v>
      </c>
      <c r="U7693" s="2">
        <f>MASTER[[#This Row],[CANTIDAD]]*MASTER[[#This Row],[COSTO UNITARIO]]</f>
        <v>420</v>
      </c>
      <c r="V7693" s="2">
        <f>MASTER[[#This Row],[MONTO VENDIDO]]-MASTER[[#This Row],[COSTO DE VENTA]]</f>
        <v>2627</v>
      </c>
    </row>
    <row r="7694" spans="1:22" x14ac:dyDescent="0.3">
      <c r="A7694">
        <v>110119</v>
      </c>
      <c r="B7694">
        <v>1</v>
      </c>
      <c r="C7694" t="s">
        <v>96</v>
      </c>
      <c r="D7694" t="s">
        <v>97</v>
      </c>
      <c r="E7694" s="1">
        <v>44538</v>
      </c>
      <c r="F7694">
        <v>4</v>
      </c>
      <c r="G7694" t="s">
        <v>39</v>
      </c>
      <c r="H7694" t="s">
        <v>40</v>
      </c>
      <c r="I7694" s="4">
        <v>1973</v>
      </c>
      <c r="J7694" s="3">
        <v>1973</v>
      </c>
      <c r="K7694" s="4">
        <v>397</v>
      </c>
      <c r="L7694" t="s">
        <v>98</v>
      </c>
      <c r="M7694">
        <v>19</v>
      </c>
      <c r="N7694" t="s">
        <v>150</v>
      </c>
      <c r="O7694" t="s">
        <v>81</v>
      </c>
      <c r="P7694" t="s">
        <v>136</v>
      </c>
      <c r="Q7694" t="s">
        <v>140</v>
      </c>
      <c r="R7694" t="s">
        <v>141</v>
      </c>
      <c r="S7694" t="s">
        <v>145</v>
      </c>
      <c r="T7694" s="2">
        <f>MASTER[[#This Row],[CANTIDAD]]*MASTER[[#This Row],[PRECIO DE VENTA]]</f>
        <v>7892</v>
      </c>
      <c r="U7694" s="2">
        <f>MASTER[[#This Row],[CANTIDAD]]*MASTER[[#This Row],[COSTO UNITARIO]]</f>
        <v>1588</v>
      </c>
      <c r="V7694" s="2">
        <f>MASTER[[#This Row],[MONTO VENDIDO]]-MASTER[[#This Row],[COSTO DE VENTA]]</f>
        <v>6304</v>
      </c>
    </row>
    <row r="7695" spans="1:22" x14ac:dyDescent="0.3">
      <c r="A7695">
        <v>110132</v>
      </c>
      <c r="B7695">
        <v>1</v>
      </c>
      <c r="C7695" t="s">
        <v>121</v>
      </c>
      <c r="D7695" t="s">
        <v>122</v>
      </c>
      <c r="E7695" s="1">
        <v>44538</v>
      </c>
      <c r="F7695">
        <v>1</v>
      </c>
      <c r="G7695" t="s">
        <v>55</v>
      </c>
      <c r="H7695" t="s">
        <v>56</v>
      </c>
      <c r="I7695" s="4">
        <v>1550</v>
      </c>
      <c r="J7695" s="3">
        <v>1550</v>
      </c>
      <c r="K7695" s="4">
        <v>460</v>
      </c>
      <c r="L7695" t="s">
        <v>120</v>
      </c>
      <c r="M7695">
        <v>19</v>
      </c>
      <c r="N7695" t="s">
        <v>150</v>
      </c>
      <c r="O7695" t="s">
        <v>81</v>
      </c>
      <c r="P7695" t="s">
        <v>136</v>
      </c>
      <c r="Q7695" t="s">
        <v>140</v>
      </c>
      <c r="R7695" t="s">
        <v>141</v>
      </c>
      <c r="S7695" t="s">
        <v>145</v>
      </c>
      <c r="T7695" s="2">
        <f>MASTER[[#This Row],[CANTIDAD]]*MASTER[[#This Row],[PRECIO DE VENTA]]</f>
        <v>1550</v>
      </c>
      <c r="U7695" s="2">
        <f>MASTER[[#This Row],[CANTIDAD]]*MASTER[[#This Row],[COSTO UNITARIO]]</f>
        <v>460</v>
      </c>
      <c r="V7695" s="2">
        <f>MASTER[[#This Row],[MONTO VENDIDO]]-MASTER[[#This Row],[COSTO DE VENTA]]</f>
        <v>1090</v>
      </c>
    </row>
    <row r="7696" spans="1:22" x14ac:dyDescent="0.3">
      <c r="A7696">
        <v>110134</v>
      </c>
      <c r="B7696">
        <v>1</v>
      </c>
      <c r="C7696" t="s">
        <v>111</v>
      </c>
      <c r="D7696" t="s">
        <v>112</v>
      </c>
      <c r="E7696" s="1">
        <v>44540</v>
      </c>
      <c r="F7696">
        <v>1</v>
      </c>
      <c r="G7696" t="s">
        <v>41</v>
      </c>
      <c r="H7696" t="s">
        <v>42</v>
      </c>
      <c r="I7696" s="4">
        <v>2350</v>
      </c>
      <c r="J7696" s="3">
        <v>2350</v>
      </c>
      <c r="K7696" s="4">
        <v>434</v>
      </c>
      <c r="L7696" t="s">
        <v>113</v>
      </c>
      <c r="M7696">
        <v>19</v>
      </c>
      <c r="N7696" t="s">
        <v>150</v>
      </c>
      <c r="O7696" t="s">
        <v>81</v>
      </c>
      <c r="P7696" t="s">
        <v>136</v>
      </c>
      <c r="Q7696" t="s">
        <v>140</v>
      </c>
      <c r="R7696" t="s">
        <v>141</v>
      </c>
      <c r="S7696" t="s">
        <v>145</v>
      </c>
      <c r="T7696" s="2">
        <f>MASTER[[#This Row],[CANTIDAD]]*MASTER[[#This Row],[PRECIO DE VENTA]]</f>
        <v>2350</v>
      </c>
      <c r="U7696" s="2">
        <f>MASTER[[#This Row],[CANTIDAD]]*MASTER[[#This Row],[COSTO UNITARIO]]</f>
        <v>434</v>
      </c>
      <c r="V7696" s="2">
        <f>MASTER[[#This Row],[MONTO VENDIDO]]-MASTER[[#This Row],[COSTO DE VENTA]]</f>
        <v>1916</v>
      </c>
    </row>
    <row r="7697" spans="1:22" x14ac:dyDescent="0.3">
      <c r="A7697">
        <v>110163</v>
      </c>
      <c r="B7697">
        <v>1</v>
      </c>
      <c r="C7697" t="s">
        <v>92</v>
      </c>
      <c r="D7697" t="s">
        <v>93</v>
      </c>
      <c r="E7697" s="1">
        <v>44541</v>
      </c>
      <c r="F7697">
        <v>1</v>
      </c>
      <c r="G7697" t="s">
        <v>43</v>
      </c>
      <c r="H7697" t="s">
        <v>44</v>
      </c>
      <c r="I7697" s="4">
        <v>2705</v>
      </c>
      <c r="J7697" s="3">
        <v>2705</v>
      </c>
      <c r="K7697" s="4">
        <v>396</v>
      </c>
      <c r="L7697" t="s">
        <v>9</v>
      </c>
      <c r="M7697">
        <v>19</v>
      </c>
      <c r="N7697" t="s">
        <v>150</v>
      </c>
      <c r="O7697" t="s">
        <v>81</v>
      </c>
      <c r="P7697" t="s">
        <v>136</v>
      </c>
      <c r="Q7697" t="s">
        <v>140</v>
      </c>
      <c r="R7697" t="s">
        <v>141</v>
      </c>
      <c r="S7697" t="s">
        <v>145</v>
      </c>
      <c r="T7697" s="2">
        <f>MASTER[[#This Row],[CANTIDAD]]*MASTER[[#This Row],[PRECIO DE VENTA]]</f>
        <v>2705</v>
      </c>
      <c r="U7697" s="2">
        <f>MASTER[[#This Row],[CANTIDAD]]*MASTER[[#This Row],[COSTO UNITARIO]]</f>
        <v>396</v>
      </c>
      <c r="V7697" s="2">
        <f>MASTER[[#This Row],[MONTO VENDIDO]]-MASTER[[#This Row],[COSTO DE VENTA]]</f>
        <v>2309</v>
      </c>
    </row>
    <row r="7698" spans="1:22" x14ac:dyDescent="0.3">
      <c r="A7698">
        <v>110166</v>
      </c>
      <c r="B7698">
        <v>1</v>
      </c>
      <c r="C7698" t="s">
        <v>121</v>
      </c>
      <c r="D7698" t="s">
        <v>122</v>
      </c>
      <c r="E7698" s="1">
        <v>44541</v>
      </c>
      <c r="F7698">
        <v>1</v>
      </c>
      <c r="G7698" t="s">
        <v>55</v>
      </c>
      <c r="H7698" t="s">
        <v>56</v>
      </c>
      <c r="I7698" s="4">
        <v>1658</v>
      </c>
      <c r="J7698" s="3">
        <v>1658</v>
      </c>
      <c r="K7698" s="4">
        <v>460</v>
      </c>
      <c r="L7698" t="s">
        <v>120</v>
      </c>
      <c r="M7698">
        <v>19</v>
      </c>
      <c r="N7698" t="s">
        <v>150</v>
      </c>
      <c r="O7698" t="s">
        <v>81</v>
      </c>
      <c r="P7698" t="s">
        <v>136</v>
      </c>
      <c r="Q7698" t="s">
        <v>140</v>
      </c>
      <c r="R7698" t="s">
        <v>141</v>
      </c>
      <c r="S7698" t="s">
        <v>145</v>
      </c>
      <c r="T7698" s="2">
        <f>MASTER[[#This Row],[CANTIDAD]]*MASTER[[#This Row],[PRECIO DE VENTA]]</f>
        <v>1658</v>
      </c>
      <c r="U7698" s="2">
        <f>MASTER[[#This Row],[CANTIDAD]]*MASTER[[#This Row],[COSTO UNITARIO]]</f>
        <v>460</v>
      </c>
      <c r="V7698" s="2">
        <f>MASTER[[#This Row],[MONTO VENDIDO]]-MASTER[[#This Row],[COSTO DE VENTA]]</f>
        <v>1198</v>
      </c>
    </row>
    <row r="7699" spans="1:22" x14ac:dyDescent="0.3">
      <c r="A7699">
        <v>110167</v>
      </c>
      <c r="B7699">
        <v>1</v>
      </c>
      <c r="C7699" t="s">
        <v>5</v>
      </c>
      <c r="D7699" t="s">
        <v>6</v>
      </c>
      <c r="E7699" s="1">
        <v>44542</v>
      </c>
      <c r="F7699">
        <v>1</v>
      </c>
      <c r="G7699" t="s">
        <v>24</v>
      </c>
      <c r="H7699" t="s">
        <v>25</v>
      </c>
      <c r="I7699" s="4">
        <v>2185</v>
      </c>
      <c r="J7699" s="3">
        <v>2185</v>
      </c>
      <c r="K7699" s="4">
        <v>393</v>
      </c>
      <c r="L7699" t="s">
        <v>9</v>
      </c>
      <c r="M7699">
        <v>19</v>
      </c>
      <c r="N7699" t="s">
        <v>150</v>
      </c>
      <c r="O7699" t="s">
        <v>81</v>
      </c>
      <c r="P7699" t="s">
        <v>136</v>
      </c>
      <c r="Q7699" t="s">
        <v>140</v>
      </c>
      <c r="R7699" t="s">
        <v>141</v>
      </c>
      <c r="S7699" t="s">
        <v>145</v>
      </c>
      <c r="T7699" s="2">
        <f>MASTER[[#This Row],[CANTIDAD]]*MASTER[[#This Row],[PRECIO DE VENTA]]</f>
        <v>2185</v>
      </c>
      <c r="U7699" s="2">
        <f>MASTER[[#This Row],[CANTIDAD]]*MASTER[[#This Row],[COSTO UNITARIO]]</f>
        <v>393</v>
      </c>
      <c r="V7699" s="2">
        <f>MASTER[[#This Row],[MONTO VENDIDO]]-MASTER[[#This Row],[COSTO DE VENTA]]</f>
        <v>1792</v>
      </c>
    </row>
    <row r="7700" spans="1:22" x14ac:dyDescent="0.3">
      <c r="A7700">
        <v>110179</v>
      </c>
      <c r="B7700">
        <v>1</v>
      </c>
      <c r="C7700" t="s">
        <v>94</v>
      </c>
      <c r="D7700" t="s">
        <v>95</v>
      </c>
      <c r="E7700" s="1">
        <v>44543</v>
      </c>
      <c r="F7700">
        <v>1</v>
      </c>
      <c r="G7700" t="s">
        <v>20</v>
      </c>
      <c r="H7700" t="s">
        <v>21</v>
      </c>
      <c r="I7700" s="4">
        <v>1671</v>
      </c>
      <c r="J7700" s="3">
        <v>1671</v>
      </c>
      <c r="K7700" s="4">
        <v>392</v>
      </c>
      <c r="L7700" t="s">
        <v>9</v>
      </c>
      <c r="M7700">
        <v>19</v>
      </c>
      <c r="N7700" t="s">
        <v>150</v>
      </c>
      <c r="O7700" t="s">
        <v>81</v>
      </c>
      <c r="P7700" t="s">
        <v>136</v>
      </c>
      <c r="Q7700" t="s">
        <v>140</v>
      </c>
      <c r="R7700" t="s">
        <v>141</v>
      </c>
      <c r="S7700" t="s">
        <v>145</v>
      </c>
      <c r="T7700" s="2">
        <f>MASTER[[#This Row],[CANTIDAD]]*MASTER[[#This Row],[PRECIO DE VENTA]]</f>
        <v>1671</v>
      </c>
      <c r="U7700" s="2">
        <f>MASTER[[#This Row],[CANTIDAD]]*MASTER[[#This Row],[COSTO UNITARIO]]</f>
        <v>392</v>
      </c>
      <c r="V7700" s="2">
        <f>MASTER[[#This Row],[MONTO VENDIDO]]-MASTER[[#This Row],[COSTO DE VENTA]]</f>
        <v>1279</v>
      </c>
    </row>
    <row r="7701" spans="1:22" x14ac:dyDescent="0.3">
      <c r="A7701">
        <v>110187</v>
      </c>
      <c r="B7701">
        <v>1</v>
      </c>
      <c r="C7701" t="s">
        <v>103</v>
      </c>
      <c r="D7701" t="s">
        <v>104</v>
      </c>
      <c r="E7701" s="1">
        <v>44545</v>
      </c>
      <c r="F7701">
        <v>1</v>
      </c>
      <c r="G7701" t="s">
        <v>59</v>
      </c>
      <c r="H7701" t="s">
        <v>60</v>
      </c>
      <c r="I7701" s="4">
        <v>2306</v>
      </c>
      <c r="J7701" s="3">
        <v>2306</v>
      </c>
      <c r="K7701" s="4">
        <v>421</v>
      </c>
      <c r="L7701" t="s">
        <v>98</v>
      </c>
      <c r="M7701">
        <v>18</v>
      </c>
      <c r="N7701" t="str">
        <f>IF(MASTER[[#This Row],[IDLOCAL]]=17,"HYDE PARK", "HARLEM IRVING")</f>
        <v>HARLEM IRVING</v>
      </c>
      <c r="O7701" t="str">
        <f>IF(MASTER[[#This Row],[IDLOCAL]]=17,"PREMIUM", "ESTÁNDAR")</f>
        <v>ESTÁNDAR</v>
      </c>
      <c r="P7701" t="s">
        <v>137</v>
      </c>
      <c r="Q7701" t="s">
        <v>142</v>
      </c>
      <c r="R7701" t="s">
        <v>143</v>
      </c>
      <c r="S7701" t="s">
        <v>145</v>
      </c>
      <c r="T7701" s="2">
        <f>MASTER[[#This Row],[CANTIDAD]]*MASTER[[#This Row],[PRECIO DE VENTA]]</f>
        <v>2306</v>
      </c>
      <c r="U7701" s="2">
        <f>MASTER[[#This Row],[CANTIDAD]]*MASTER[[#This Row],[COSTO UNITARIO]]</f>
        <v>421</v>
      </c>
      <c r="V7701" s="2">
        <f>MASTER[[#This Row],[MONTO VENDIDO]]-MASTER[[#This Row],[COSTO DE VENTA]]</f>
        <v>1885</v>
      </c>
    </row>
    <row r="7702" spans="1:22" x14ac:dyDescent="0.3">
      <c r="A7702">
        <v>110215</v>
      </c>
      <c r="B7702">
        <v>1</v>
      </c>
      <c r="C7702" t="s">
        <v>118</v>
      </c>
      <c r="D7702" t="s">
        <v>119</v>
      </c>
      <c r="E7702" s="1">
        <v>44545</v>
      </c>
      <c r="F7702">
        <v>1</v>
      </c>
      <c r="G7702" t="s">
        <v>45</v>
      </c>
      <c r="H7702" t="s">
        <v>46</v>
      </c>
      <c r="I7702" s="4">
        <v>1487</v>
      </c>
      <c r="J7702" s="3">
        <v>1487</v>
      </c>
      <c r="K7702" s="4">
        <v>424</v>
      </c>
      <c r="L7702" t="s">
        <v>120</v>
      </c>
      <c r="M7702">
        <v>18</v>
      </c>
      <c r="N7702" t="str">
        <f>IF(MASTER[[#This Row],[IDLOCAL]]=17,"HYDE PARK", "HARLEM IRVING")</f>
        <v>HARLEM IRVING</v>
      </c>
      <c r="O7702" t="str">
        <f>IF(MASTER[[#This Row],[IDLOCAL]]=17,"PREMIUM", "ESTÁNDAR")</f>
        <v>ESTÁNDAR</v>
      </c>
      <c r="P7702" t="s">
        <v>137</v>
      </c>
      <c r="Q7702" t="s">
        <v>142</v>
      </c>
      <c r="R7702" t="s">
        <v>143</v>
      </c>
      <c r="S7702" t="s">
        <v>145</v>
      </c>
      <c r="T7702" s="2">
        <f>MASTER[[#This Row],[CANTIDAD]]*MASTER[[#This Row],[PRECIO DE VENTA]]</f>
        <v>1487</v>
      </c>
      <c r="U7702" s="2">
        <f>MASTER[[#This Row],[CANTIDAD]]*MASTER[[#This Row],[COSTO UNITARIO]]</f>
        <v>424</v>
      </c>
      <c r="V7702" s="2">
        <f>MASTER[[#This Row],[MONTO VENDIDO]]-MASTER[[#This Row],[COSTO DE VENTA]]</f>
        <v>1063</v>
      </c>
    </row>
    <row r="7703" spans="1:22" x14ac:dyDescent="0.3">
      <c r="A7703">
        <v>110244</v>
      </c>
      <c r="B7703">
        <v>1</v>
      </c>
      <c r="C7703" t="s">
        <v>94</v>
      </c>
      <c r="D7703" t="s">
        <v>95</v>
      </c>
      <c r="E7703" s="1">
        <v>44546</v>
      </c>
      <c r="F7703">
        <v>1</v>
      </c>
      <c r="G7703" t="s">
        <v>59</v>
      </c>
      <c r="H7703" t="s">
        <v>60</v>
      </c>
      <c r="I7703" s="4">
        <v>1306</v>
      </c>
      <c r="J7703" s="3">
        <v>1306</v>
      </c>
      <c r="K7703" s="4">
        <v>392</v>
      </c>
      <c r="L7703" t="s">
        <v>9</v>
      </c>
      <c r="M7703">
        <v>19</v>
      </c>
      <c r="N7703" t="s">
        <v>150</v>
      </c>
      <c r="O7703" t="s">
        <v>81</v>
      </c>
      <c r="P7703" t="s">
        <v>136</v>
      </c>
      <c r="Q7703" t="s">
        <v>140</v>
      </c>
      <c r="R7703" t="s">
        <v>141</v>
      </c>
      <c r="S7703" t="s">
        <v>145</v>
      </c>
      <c r="T7703" s="2">
        <f>MASTER[[#This Row],[CANTIDAD]]*MASTER[[#This Row],[PRECIO DE VENTA]]</f>
        <v>1306</v>
      </c>
      <c r="U7703" s="2">
        <f>MASTER[[#This Row],[CANTIDAD]]*MASTER[[#This Row],[COSTO UNITARIO]]</f>
        <v>392</v>
      </c>
      <c r="V7703" s="2">
        <f>MASTER[[#This Row],[MONTO VENDIDO]]-MASTER[[#This Row],[COSTO DE VENTA]]</f>
        <v>914</v>
      </c>
    </row>
    <row r="7704" spans="1:22" x14ac:dyDescent="0.3">
      <c r="A7704">
        <v>110246</v>
      </c>
      <c r="B7704">
        <v>1</v>
      </c>
      <c r="C7704" t="s">
        <v>99</v>
      </c>
      <c r="D7704" t="s">
        <v>100</v>
      </c>
      <c r="E7704" s="1">
        <v>44546</v>
      </c>
      <c r="F7704">
        <v>1</v>
      </c>
      <c r="G7704" t="s">
        <v>33</v>
      </c>
      <c r="H7704" t="s">
        <v>34</v>
      </c>
      <c r="I7704" s="4">
        <v>2115</v>
      </c>
      <c r="J7704" s="3">
        <v>2115</v>
      </c>
      <c r="K7704" s="4">
        <v>386</v>
      </c>
      <c r="L7704" t="s">
        <v>98</v>
      </c>
      <c r="M7704">
        <v>19</v>
      </c>
      <c r="N7704" t="s">
        <v>150</v>
      </c>
      <c r="O7704" t="s">
        <v>81</v>
      </c>
      <c r="P7704" t="s">
        <v>136</v>
      </c>
      <c r="Q7704" t="s">
        <v>140</v>
      </c>
      <c r="R7704" t="s">
        <v>141</v>
      </c>
      <c r="S7704" t="s">
        <v>145</v>
      </c>
      <c r="T7704" s="2">
        <f>MASTER[[#This Row],[CANTIDAD]]*MASTER[[#This Row],[PRECIO DE VENTA]]</f>
        <v>2115</v>
      </c>
      <c r="U7704" s="2">
        <f>MASTER[[#This Row],[CANTIDAD]]*MASTER[[#This Row],[COSTO UNITARIO]]</f>
        <v>386</v>
      </c>
      <c r="V7704" s="2">
        <f>MASTER[[#This Row],[MONTO VENDIDO]]-MASTER[[#This Row],[COSTO DE VENTA]]</f>
        <v>1729</v>
      </c>
    </row>
    <row r="7705" spans="1:22" x14ac:dyDescent="0.3">
      <c r="A7705">
        <v>110247</v>
      </c>
      <c r="B7705">
        <v>1</v>
      </c>
      <c r="C7705" t="s">
        <v>111</v>
      </c>
      <c r="D7705" t="s">
        <v>112</v>
      </c>
      <c r="E7705" s="1">
        <v>44546</v>
      </c>
      <c r="F7705">
        <v>3</v>
      </c>
      <c r="G7705" t="s">
        <v>45</v>
      </c>
      <c r="H7705" t="s">
        <v>46</v>
      </c>
      <c r="I7705" s="4">
        <v>2608</v>
      </c>
      <c r="J7705" s="3">
        <v>2608</v>
      </c>
      <c r="K7705" s="4">
        <v>434</v>
      </c>
      <c r="L7705" t="s">
        <v>113</v>
      </c>
      <c r="M7705">
        <v>17</v>
      </c>
      <c r="N7705" t="str">
        <f>IF(MASTER[[#This Row],[IDLOCAL]]=17,"HYDE PARK", "HARLEM IRVING")</f>
        <v>HYDE PARK</v>
      </c>
      <c r="O7705" t="str">
        <f>IF(MASTER[[#This Row],[IDLOCAL]]=17,"PREMIUM", "ESTÁNDAR")</f>
        <v>PREMIUM</v>
      </c>
      <c r="P7705" t="s">
        <v>137</v>
      </c>
      <c r="Q7705" t="s">
        <v>142</v>
      </c>
      <c r="R7705" t="s">
        <v>143</v>
      </c>
      <c r="S7705" t="s">
        <v>145</v>
      </c>
      <c r="T7705" s="2">
        <f>MASTER[[#This Row],[CANTIDAD]]*MASTER[[#This Row],[PRECIO DE VENTA]]</f>
        <v>7824</v>
      </c>
      <c r="U7705" s="2">
        <f>MASTER[[#This Row],[CANTIDAD]]*MASTER[[#This Row],[COSTO UNITARIO]]</f>
        <v>1302</v>
      </c>
      <c r="V7705" s="2">
        <f>MASTER[[#This Row],[MONTO VENDIDO]]-MASTER[[#This Row],[COSTO DE VENTA]]</f>
        <v>6522</v>
      </c>
    </row>
    <row r="7706" spans="1:22" x14ac:dyDescent="0.3">
      <c r="A7706">
        <v>110251</v>
      </c>
      <c r="B7706">
        <v>1</v>
      </c>
      <c r="C7706" t="s">
        <v>92</v>
      </c>
      <c r="D7706" t="s">
        <v>93</v>
      </c>
      <c r="E7706" s="1">
        <v>44548</v>
      </c>
      <c r="F7706">
        <v>1</v>
      </c>
      <c r="G7706" t="s">
        <v>55</v>
      </c>
      <c r="H7706" t="s">
        <v>56</v>
      </c>
      <c r="I7706" s="4">
        <v>2437</v>
      </c>
      <c r="J7706" s="3">
        <v>2437</v>
      </c>
      <c r="K7706" s="4">
        <v>396</v>
      </c>
      <c r="L7706" t="s">
        <v>9</v>
      </c>
      <c r="M7706">
        <v>19</v>
      </c>
      <c r="N7706" t="s">
        <v>150</v>
      </c>
      <c r="O7706" t="s">
        <v>81</v>
      </c>
      <c r="P7706" t="s">
        <v>136</v>
      </c>
      <c r="Q7706" t="s">
        <v>140</v>
      </c>
      <c r="R7706" t="s">
        <v>141</v>
      </c>
      <c r="S7706" t="s">
        <v>145</v>
      </c>
      <c r="T7706" s="2">
        <f>MASTER[[#This Row],[CANTIDAD]]*MASTER[[#This Row],[PRECIO DE VENTA]]</f>
        <v>2437</v>
      </c>
      <c r="U7706" s="2">
        <f>MASTER[[#This Row],[CANTIDAD]]*MASTER[[#This Row],[COSTO UNITARIO]]</f>
        <v>396</v>
      </c>
      <c r="V7706" s="2">
        <f>MASTER[[#This Row],[MONTO VENDIDO]]-MASTER[[#This Row],[COSTO DE VENTA]]</f>
        <v>2041</v>
      </c>
    </row>
    <row r="7707" spans="1:22" x14ac:dyDescent="0.3">
      <c r="A7707">
        <v>110252</v>
      </c>
      <c r="B7707">
        <v>1</v>
      </c>
      <c r="C7707" t="s">
        <v>101</v>
      </c>
      <c r="D7707" t="s">
        <v>102</v>
      </c>
      <c r="E7707" s="1">
        <v>44548</v>
      </c>
      <c r="F7707">
        <v>1</v>
      </c>
      <c r="G7707" t="s">
        <v>59</v>
      </c>
      <c r="H7707" t="s">
        <v>60</v>
      </c>
      <c r="I7707" s="4">
        <v>1528</v>
      </c>
      <c r="J7707" s="3">
        <v>1528</v>
      </c>
      <c r="K7707" s="4">
        <v>442</v>
      </c>
      <c r="L7707" t="s">
        <v>98</v>
      </c>
      <c r="M7707">
        <v>19</v>
      </c>
      <c r="N7707" t="s">
        <v>150</v>
      </c>
      <c r="O7707" t="s">
        <v>81</v>
      </c>
      <c r="P7707" t="s">
        <v>136</v>
      </c>
      <c r="Q7707" t="s">
        <v>140</v>
      </c>
      <c r="R7707" t="s">
        <v>141</v>
      </c>
      <c r="S7707" t="s">
        <v>145</v>
      </c>
      <c r="T7707" s="2">
        <f>MASTER[[#This Row],[CANTIDAD]]*MASTER[[#This Row],[PRECIO DE VENTA]]</f>
        <v>1528</v>
      </c>
      <c r="U7707" s="2">
        <f>MASTER[[#This Row],[CANTIDAD]]*MASTER[[#This Row],[COSTO UNITARIO]]</f>
        <v>442</v>
      </c>
      <c r="V7707" s="2">
        <f>MASTER[[#This Row],[MONTO VENDIDO]]-MASTER[[#This Row],[COSTO DE VENTA]]</f>
        <v>1086</v>
      </c>
    </row>
    <row r="7708" spans="1:22" x14ac:dyDescent="0.3">
      <c r="A7708">
        <v>110253</v>
      </c>
      <c r="B7708">
        <v>1</v>
      </c>
      <c r="C7708" t="s">
        <v>105</v>
      </c>
      <c r="D7708" t="s">
        <v>106</v>
      </c>
      <c r="E7708" s="1">
        <v>44548</v>
      </c>
      <c r="F7708">
        <v>1</v>
      </c>
      <c r="G7708" t="s">
        <v>33</v>
      </c>
      <c r="H7708" t="s">
        <v>34</v>
      </c>
      <c r="I7708" s="4">
        <v>2704</v>
      </c>
      <c r="J7708" s="3">
        <v>2704</v>
      </c>
      <c r="K7708" s="4">
        <v>459</v>
      </c>
      <c r="L7708" t="s">
        <v>98</v>
      </c>
      <c r="M7708">
        <v>17</v>
      </c>
      <c r="N7708" t="str">
        <f>IF(MASTER[[#This Row],[IDLOCAL]]=17,"HYDE PARK", "HARLEM IRVING")</f>
        <v>HYDE PARK</v>
      </c>
      <c r="O7708" t="str">
        <f>IF(MASTER[[#This Row],[IDLOCAL]]=17,"PREMIUM", "ESTÁNDAR")</f>
        <v>PREMIUM</v>
      </c>
      <c r="P7708" t="s">
        <v>137</v>
      </c>
      <c r="Q7708" t="s">
        <v>142</v>
      </c>
      <c r="R7708" t="s">
        <v>143</v>
      </c>
      <c r="S7708" t="s">
        <v>145</v>
      </c>
      <c r="T7708" s="2">
        <f>MASTER[[#This Row],[CANTIDAD]]*MASTER[[#This Row],[PRECIO DE VENTA]]</f>
        <v>2704</v>
      </c>
      <c r="U7708" s="2">
        <f>MASTER[[#This Row],[CANTIDAD]]*MASTER[[#This Row],[COSTO UNITARIO]]</f>
        <v>459</v>
      </c>
      <c r="V7708" s="2">
        <f>MASTER[[#This Row],[MONTO VENDIDO]]-MASTER[[#This Row],[COSTO DE VENTA]]</f>
        <v>2245</v>
      </c>
    </row>
    <row r="7709" spans="1:22" x14ac:dyDescent="0.3">
      <c r="A7709">
        <v>110257</v>
      </c>
      <c r="B7709">
        <v>1</v>
      </c>
      <c r="C7709" t="s">
        <v>96</v>
      </c>
      <c r="D7709" t="s">
        <v>97</v>
      </c>
      <c r="E7709" s="1">
        <v>44550</v>
      </c>
      <c r="F7709">
        <v>1</v>
      </c>
      <c r="G7709" t="s">
        <v>45</v>
      </c>
      <c r="H7709" t="s">
        <v>46</v>
      </c>
      <c r="I7709" s="4">
        <v>1844</v>
      </c>
      <c r="J7709" s="3">
        <v>1844</v>
      </c>
      <c r="K7709" s="4">
        <v>397</v>
      </c>
      <c r="L7709" t="s">
        <v>98</v>
      </c>
      <c r="M7709">
        <v>18</v>
      </c>
      <c r="N7709" t="str">
        <f>IF(MASTER[[#This Row],[IDLOCAL]]=17,"HYDE PARK", "HARLEM IRVING")</f>
        <v>HARLEM IRVING</v>
      </c>
      <c r="O7709" t="str">
        <f>IF(MASTER[[#This Row],[IDLOCAL]]=17,"PREMIUM", "ESTÁNDAR")</f>
        <v>ESTÁNDAR</v>
      </c>
      <c r="P7709" t="s">
        <v>137</v>
      </c>
      <c r="Q7709" t="s">
        <v>142</v>
      </c>
      <c r="R7709" t="s">
        <v>143</v>
      </c>
      <c r="S7709" t="s">
        <v>145</v>
      </c>
      <c r="T7709" s="2">
        <f>MASTER[[#This Row],[CANTIDAD]]*MASTER[[#This Row],[PRECIO DE VENTA]]</f>
        <v>1844</v>
      </c>
      <c r="U7709" s="2">
        <f>MASTER[[#This Row],[CANTIDAD]]*MASTER[[#This Row],[COSTO UNITARIO]]</f>
        <v>397</v>
      </c>
      <c r="V7709" s="2">
        <f>MASTER[[#This Row],[MONTO VENDIDO]]-MASTER[[#This Row],[COSTO DE VENTA]]</f>
        <v>1447</v>
      </c>
    </row>
    <row r="7710" spans="1:22" x14ac:dyDescent="0.3">
      <c r="A7710">
        <v>110284</v>
      </c>
      <c r="B7710">
        <v>1</v>
      </c>
      <c r="C7710" t="s">
        <v>103</v>
      </c>
      <c r="D7710" t="s">
        <v>104</v>
      </c>
      <c r="E7710" s="1">
        <v>44550</v>
      </c>
      <c r="F7710">
        <v>1</v>
      </c>
      <c r="G7710" t="s">
        <v>53</v>
      </c>
      <c r="H7710" t="s">
        <v>54</v>
      </c>
      <c r="I7710" s="4">
        <v>2653</v>
      </c>
      <c r="J7710" s="3">
        <v>2653</v>
      </c>
      <c r="K7710" s="4">
        <v>421</v>
      </c>
      <c r="L7710" t="s">
        <v>98</v>
      </c>
      <c r="M7710">
        <v>19</v>
      </c>
      <c r="N7710" t="s">
        <v>150</v>
      </c>
      <c r="O7710" t="s">
        <v>81</v>
      </c>
      <c r="P7710" t="s">
        <v>136</v>
      </c>
      <c r="Q7710" t="s">
        <v>140</v>
      </c>
      <c r="R7710" t="s">
        <v>141</v>
      </c>
      <c r="S7710" t="s">
        <v>145</v>
      </c>
      <c r="T7710" s="2">
        <f>MASTER[[#This Row],[CANTIDAD]]*MASTER[[#This Row],[PRECIO DE VENTA]]</f>
        <v>2653</v>
      </c>
      <c r="U7710" s="2">
        <f>MASTER[[#This Row],[CANTIDAD]]*MASTER[[#This Row],[COSTO UNITARIO]]</f>
        <v>421</v>
      </c>
      <c r="V7710" s="2">
        <f>MASTER[[#This Row],[MONTO VENDIDO]]-MASTER[[#This Row],[COSTO DE VENTA]]</f>
        <v>2232</v>
      </c>
    </row>
    <row r="7711" spans="1:22" x14ac:dyDescent="0.3">
      <c r="A7711">
        <v>110315</v>
      </c>
      <c r="B7711">
        <v>1</v>
      </c>
      <c r="C7711" t="s">
        <v>114</v>
      </c>
      <c r="D7711" t="s">
        <v>115</v>
      </c>
      <c r="E7711" s="1">
        <v>44550</v>
      </c>
      <c r="F7711">
        <v>1</v>
      </c>
      <c r="G7711" t="s">
        <v>57</v>
      </c>
      <c r="H7711" t="s">
        <v>58</v>
      </c>
      <c r="I7711" s="4">
        <v>2699</v>
      </c>
      <c r="J7711" s="3">
        <v>2699</v>
      </c>
      <c r="K7711" s="4">
        <v>394</v>
      </c>
      <c r="L7711" t="s">
        <v>113</v>
      </c>
      <c r="M7711">
        <v>19</v>
      </c>
      <c r="N7711" t="s">
        <v>150</v>
      </c>
      <c r="O7711" t="s">
        <v>81</v>
      </c>
      <c r="P7711" t="s">
        <v>136</v>
      </c>
      <c r="Q7711" t="s">
        <v>140</v>
      </c>
      <c r="R7711" t="s">
        <v>141</v>
      </c>
      <c r="S7711" t="s">
        <v>145</v>
      </c>
      <c r="T7711" s="2">
        <f>MASTER[[#This Row],[CANTIDAD]]*MASTER[[#This Row],[PRECIO DE VENTA]]</f>
        <v>2699</v>
      </c>
      <c r="U7711" s="2">
        <f>MASTER[[#This Row],[CANTIDAD]]*MASTER[[#This Row],[COSTO UNITARIO]]</f>
        <v>394</v>
      </c>
      <c r="V7711" s="2">
        <f>MASTER[[#This Row],[MONTO VENDIDO]]-MASTER[[#This Row],[COSTO DE VENTA]]</f>
        <v>2305</v>
      </c>
    </row>
    <row r="7712" spans="1:22" x14ac:dyDescent="0.3">
      <c r="A7712">
        <v>110319</v>
      </c>
      <c r="B7712">
        <v>1</v>
      </c>
      <c r="C7712" t="s">
        <v>94</v>
      </c>
      <c r="D7712" t="s">
        <v>95</v>
      </c>
      <c r="E7712" s="1">
        <v>44551</v>
      </c>
      <c r="F7712">
        <v>1</v>
      </c>
      <c r="G7712" t="s">
        <v>47</v>
      </c>
      <c r="H7712" t="s">
        <v>48</v>
      </c>
      <c r="I7712" s="4">
        <v>1519</v>
      </c>
      <c r="J7712" s="3">
        <v>1519</v>
      </c>
      <c r="K7712" s="4">
        <v>392</v>
      </c>
      <c r="L7712" t="s">
        <v>9</v>
      </c>
      <c r="M7712">
        <v>19</v>
      </c>
      <c r="N7712" t="s">
        <v>150</v>
      </c>
      <c r="O7712" t="s">
        <v>81</v>
      </c>
      <c r="P7712" t="s">
        <v>136</v>
      </c>
      <c r="Q7712" t="s">
        <v>140</v>
      </c>
      <c r="R7712" t="s">
        <v>141</v>
      </c>
      <c r="S7712" t="s">
        <v>145</v>
      </c>
      <c r="T7712" s="2">
        <f>MASTER[[#This Row],[CANTIDAD]]*MASTER[[#This Row],[PRECIO DE VENTA]]</f>
        <v>1519</v>
      </c>
      <c r="U7712" s="2">
        <f>MASTER[[#This Row],[CANTIDAD]]*MASTER[[#This Row],[COSTO UNITARIO]]</f>
        <v>392</v>
      </c>
      <c r="V7712" s="2">
        <f>MASTER[[#This Row],[MONTO VENDIDO]]-MASTER[[#This Row],[COSTO DE VENTA]]</f>
        <v>1127</v>
      </c>
    </row>
    <row r="7713" spans="1:22" x14ac:dyDescent="0.3">
      <c r="A7713">
        <v>110333</v>
      </c>
      <c r="B7713">
        <v>1</v>
      </c>
      <c r="C7713" t="s">
        <v>101</v>
      </c>
      <c r="D7713" t="s">
        <v>102</v>
      </c>
      <c r="E7713" s="1">
        <v>44551</v>
      </c>
      <c r="F7713">
        <v>1</v>
      </c>
      <c r="G7713" t="s">
        <v>24</v>
      </c>
      <c r="H7713" t="s">
        <v>25</v>
      </c>
      <c r="I7713" s="4">
        <v>1757</v>
      </c>
      <c r="J7713" s="3">
        <v>1757</v>
      </c>
      <c r="K7713" s="4">
        <v>442</v>
      </c>
      <c r="L7713" t="s">
        <v>98</v>
      </c>
      <c r="M7713">
        <v>19</v>
      </c>
      <c r="N7713" t="s">
        <v>150</v>
      </c>
      <c r="O7713" t="s">
        <v>81</v>
      </c>
      <c r="P7713" t="s">
        <v>136</v>
      </c>
      <c r="Q7713" t="s">
        <v>140</v>
      </c>
      <c r="R7713" t="s">
        <v>141</v>
      </c>
      <c r="S7713" t="s">
        <v>145</v>
      </c>
      <c r="T7713" s="2">
        <f>MASTER[[#This Row],[CANTIDAD]]*MASTER[[#This Row],[PRECIO DE VENTA]]</f>
        <v>1757</v>
      </c>
      <c r="U7713" s="2">
        <f>MASTER[[#This Row],[CANTIDAD]]*MASTER[[#This Row],[COSTO UNITARIO]]</f>
        <v>442</v>
      </c>
      <c r="V7713" s="2">
        <f>MASTER[[#This Row],[MONTO VENDIDO]]-MASTER[[#This Row],[COSTO DE VENTA]]</f>
        <v>1315</v>
      </c>
    </row>
    <row r="7714" spans="1:22" x14ac:dyDescent="0.3">
      <c r="A7714">
        <v>110344</v>
      </c>
      <c r="B7714">
        <v>1</v>
      </c>
      <c r="C7714" t="s">
        <v>105</v>
      </c>
      <c r="D7714" t="s">
        <v>106</v>
      </c>
      <c r="E7714" s="1">
        <v>44551</v>
      </c>
      <c r="F7714">
        <v>1</v>
      </c>
      <c r="G7714" t="s">
        <v>22</v>
      </c>
      <c r="H7714" t="s">
        <v>23</v>
      </c>
      <c r="I7714" s="4">
        <v>2947</v>
      </c>
      <c r="J7714" s="3">
        <v>2947</v>
      </c>
      <c r="K7714" s="4">
        <v>459</v>
      </c>
      <c r="L7714" t="s">
        <v>98</v>
      </c>
      <c r="M7714">
        <v>19</v>
      </c>
      <c r="N7714" t="s">
        <v>150</v>
      </c>
      <c r="O7714" t="s">
        <v>81</v>
      </c>
      <c r="P7714" t="s">
        <v>136</v>
      </c>
      <c r="Q7714" t="s">
        <v>140</v>
      </c>
      <c r="R7714" t="s">
        <v>141</v>
      </c>
      <c r="S7714" t="s">
        <v>145</v>
      </c>
      <c r="T7714" s="2">
        <f>MASTER[[#This Row],[CANTIDAD]]*MASTER[[#This Row],[PRECIO DE VENTA]]</f>
        <v>2947</v>
      </c>
      <c r="U7714" s="2">
        <f>MASTER[[#This Row],[CANTIDAD]]*MASTER[[#This Row],[COSTO UNITARIO]]</f>
        <v>459</v>
      </c>
      <c r="V7714" s="2">
        <f>MASTER[[#This Row],[MONTO VENDIDO]]-MASTER[[#This Row],[COSTO DE VENTA]]</f>
        <v>2488</v>
      </c>
    </row>
    <row r="7715" spans="1:22" x14ac:dyDescent="0.3">
      <c r="A7715">
        <v>110348</v>
      </c>
      <c r="B7715">
        <v>2</v>
      </c>
      <c r="C7715" t="s">
        <v>107</v>
      </c>
      <c r="D7715" t="s">
        <v>108</v>
      </c>
      <c r="E7715" s="1">
        <v>44551</v>
      </c>
      <c r="F7715">
        <v>1</v>
      </c>
      <c r="G7715" t="s">
        <v>65</v>
      </c>
      <c r="H7715" t="s">
        <v>66</v>
      </c>
      <c r="I7715" s="4">
        <v>1932</v>
      </c>
      <c r="J7715" s="3">
        <v>1932</v>
      </c>
      <c r="K7715" s="4">
        <v>380</v>
      </c>
      <c r="L7715" t="s">
        <v>98</v>
      </c>
      <c r="M7715">
        <v>19</v>
      </c>
      <c r="N7715" t="s">
        <v>150</v>
      </c>
      <c r="O7715" t="s">
        <v>81</v>
      </c>
      <c r="P7715" t="s">
        <v>136</v>
      </c>
      <c r="Q7715" t="s">
        <v>140</v>
      </c>
      <c r="R7715" t="s">
        <v>141</v>
      </c>
      <c r="S7715" t="s">
        <v>145</v>
      </c>
      <c r="T7715" s="2">
        <f>MASTER[[#This Row],[CANTIDAD]]*MASTER[[#This Row],[PRECIO DE VENTA]]</f>
        <v>1932</v>
      </c>
      <c r="U7715" s="2">
        <f>MASTER[[#This Row],[CANTIDAD]]*MASTER[[#This Row],[COSTO UNITARIO]]</f>
        <v>380</v>
      </c>
      <c r="V7715" s="2">
        <f>MASTER[[#This Row],[MONTO VENDIDO]]-MASTER[[#This Row],[COSTO DE VENTA]]</f>
        <v>1552</v>
      </c>
    </row>
    <row r="7716" spans="1:22" x14ac:dyDescent="0.3">
      <c r="A7716">
        <v>110360</v>
      </c>
      <c r="B7716">
        <v>1</v>
      </c>
      <c r="C7716" t="s">
        <v>107</v>
      </c>
      <c r="D7716" t="s">
        <v>108</v>
      </c>
      <c r="E7716" s="1">
        <v>44552</v>
      </c>
      <c r="F7716">
        <v>1</v>
      </c>
      <c r="G7716" t="s">
        <v>27</v>
      </c>
      <c r="H7716" t="s">
        <v>28</v>
      </c>
      <c r="I7716" s="4">
        <v>2088</v>
      </c>
      <c r="J7716" s="3">
        <v>2088</v>
      </c>
      <c r="K7716" s="4">
        <v>380</v>
      </c>
      <c r="L7716" t="s">
        <v>98</v>
      </c>
      <c r="M7716">
        <v>19</v>
      </c>
      <c r="N7716" t="s">
        <v>150</v>
      </c>
      <c r="O7716" t="s">
        <v>81</v>
      </c>
      <c r="P7716" t="s">
        <v>136</v>
      </c>
      <c r="Q7716" t="s">
        <v>140</v>
      </c>
      <c r="R7716" t="s">
        <v>141</v>
      </c>
      <c r="S7716" t="s">
        <v>145</v>
      </c>
      <c r="T7716" s="2">
        <f>MASTER[[#This Row],[CANTIDAD]]*MASTER[[#This Row],[PRECIO DE VENTA]]</f>
        <v>2088</v>
      </c>
      <c r="U7716" s="2">
        <f>MASTER[[#This Row],[CANTIDAD]]*MASTER[[#This Row],[COSTO UNITARIO]]</f>
        <v>380</v>
      </c>
      <c r="V7716" s="2">
        <f>MASTER[[#This Row],[MONTO VENDIDO]]-MASTER[[#This Row],[COSTO DE VENTA]]</f>
        <v>1708</v>
      </c>
    </row>
    <row r="7717" spans="1:22" x14ac:dyDescent="0.3">
      <c r="A7717">
        <v>110372</v>
      </c>
      <c r="B7717">
        <v>1</v>
      </c>
      <c r="C7717" t="s">
        <v>109</v>
      </c>
      <c r="D7717" t="s">
        <v>110</v>
      </c>
      <c r="E7717" s="1">
        <v>44554</v>
      </c>
      <c r="F7717">
        <v>3</v>
      </c>
      <c r="G7717" t="s">
        <v>53</v>
      </c>
      <c r="H7717" t="s">
        <v>54</v>
      </c>
      <c r="I7717" s="4">
        <v>1635</v>
      </c>
      <c r="J7717" s="3">
        <v>1487</v>
      </c>
      <c r="K7717" s="4">
        <v>387</v>
      </c>
      <c r="L7717" t="s">
        <v>98</v>
      </c>
      <c r="M7717">
        <v>19</v>
      </c>
      <c r="N7717" t="s">
        <v>150</v>
      </c>
      <c r="O7717" t="s">
        <v>81</v>
      </c>
      <c r="P7717" t="s">
        <v>136</v>
      </c>
      <c r="Q7717" t="s">
        <v>140</v>
      </c>
      <c r="R7717" t="s">
        <v>141</v>
      </c>
      <c r="S7717" t="s">
        <v>145</v>
      </c>
      <c r="T7717" s="2">
        <f>MASTER[[#This Row],[CANTIDAD]]*MASTER[[#This Row],[PRECIO DE VENTA]]</f>
        <v>4461</v>
      </c>
      <c r="U7717" s="2">
        <f>MASTER[[#This Row],[CANTIDAD]]*MASTER[[#This Row],[COSTO UNITARIO]]</f>
        <v>1161</v>
      </c>
      <c r="V7717" s="2">
        <f>MASTER[[#This Row],[MONTO VENDIDO]]-MASTER[[#This Row],[COSTO DE VENTA]]</f>
        <v>3300</v>
      </c>
    </row>
    <row r="7718" spans="1:22" x14ac:dyDescent="0.3">
      <c r="A7718">
        <v>110373</v>
      </c>
      <c r="B7718">
        <v>1</v>
      </c>
      <c r="C7718" t="s">
        <v>121</v>
      </c>
      <c r="D7718" t="s">
        <v>122</v>
      </c>
      <c r="E7718" s="1">
        <v>44554</v>
      </c>
      <c r="F7718">
        <v>1</v>
      </c>
      <c r="G7718" t="s">
        <v>47</v>
      </c>
      <c r="H7718" t="s">
        <v>48</v>
      </c>
      <c r="I7718" s="4">
        <v>1364</v>
      </c>
      <c r="J7718" s="3">
        <v>1364</v>
      </c>
      <c r="K7718" s="4">
        <v>460</v>
      </c>
      <c r="L7718" t="s">
        <v>120</v>
      </c>
      <c r="M7718">
        <v>19</v>
      </c>
      <c r="N7718" t="s">
        <v>150</v>
      </c>
      <c r="O7718" t="s">
        <v>81</v>
      </c>
      <c r="P7718" t="s">
        <v>136</v>
      </c>
      <c r="Q7718" t="s">
        <v>140</v>
      </c>
      <c r="R7718" t="s">
        <v>141</v>
      </c>
      <c r="S7718" t="s">
        <v>145</v>
      </c>
      <c r="T7718" s="2">
        <f>MASTER[[#This Row],[CANTIDAD]]*MASTER[[#This Row],[PRECIO DE VENTA]]</f>
        <v>1364</v>
      </c>
      <c r="U7718" s="2">
        <f>MASTER[[#This Row],[CANTIDAD]]*MASTER[[#This Row],[COSTO UNITARIO]]</f>
        <v>460</v>
      </c>
      <c r="V7718" s="2">
        <f>MASTER[[#This Row],[MONTO VENDIDO]]-MASTER[[#This Row],[COSTO DE VENTA]]</f>
        <v>904</v>
      </c>
    </row>
    <row r="7719" spans="1:22" x14ac:dyDescent="0.3">
      <c r="A7719">
        <v>110398</v>
      </c>
      <c r="B7719">
        <v>1</v>
      </c>
      <c r="C7719" t="s">
        <v>5</v>
      </c>
      <c r="D7719" t="s">
        <v>6</v>
      </c>
      <c r="E7719" s="1">
        <v>44556</v>
      </c>
      <c r="F7719">
        <v>1</v>
      </c>
      <c r="G7719" t="s">
        <v>41</v>
      </c>
      <c r="H7719" t="s">
        <v>42</v>
      </c>
      <c r="I7719" s="4">
        <v>1900</v>
      </c>
      <c r="J7719" s="3">
        <v>1900</v>
      </c>
      <c r="K7719" s="4">
        <v>393</v>
      </c>
      <c r="L7719" t="s">
        <v>9</v>
      </c>
      <c r="M7719">
        <v>18</v>
      </c>
      <c r="N7719" t="str">
        <f>IF(MASTER[[#This Row],[IDLOCAL]]=17,"HYDE PARK", "HARLEM IRVING")</f>
        <v>HARLEM IRVING</v>
      </c>
      <c r="O7719" t="str">
        <f>IF(MASTER[[#This Row],[IDLOCAL]]=17,"PREMIUM", "ESTÁNDAR")</f>
        <v>ESTÁNDAR</v>
      </c>
      <c r="P7719" t="s">
        <v>137</v>
      </c>
      <c r="Q7719" t="s">
        <v>142</v>
      </c>
      <c r="R7719" t="s">
        <v>143</v>
      </c>
      <c r="S7719" t="s">
        <v>145</v>
      </c>
      <c r="T7719" s="2">
        <f>MASTER[[#This Row],[CANTIDAD]]*MASTER[[#This Row],[PRECIO DE VENTA]]</f>
        <v>1900</v>
      </c>
      <c r="U7719" s="2">
        <f>MASTER[[#This Row],[CANTIDAD]]*MASTER[[#This Row],[COSTO UNITARIO]]</f>
        <v>393</v>
      </c>
      <c r="V7719" s="2">
        <f>MASTER[[#This Row],[MONTO VENDIDO]]-MASTER[[#This Row],[COSTO DE VENTA]]</f>
        <v>1507</v>
      </c>
    </row>
    <row r="7720" spans="1:22" x14ac:dyDescent="0.3">
      <c r="A7720">
        <v>110422</v>
      </c>
      <c r="B7720">
        <v>1</v>
      </c>
      <c r="C7720" t="s">
        <v>99</v>
      </c>
      <c r="D7720" t="s">
        <v>100</v>
      </c>
      <c r="E7720" s="1">
        <v>44556</v>
      </c>
      <c r="F7720">
        <v>1</v>
      </c>
      <c r="G7720" t="s">
        <v>39</v>
      </c>
      <c r="H7720" t="s">
        <v>40</v>
      </c>
      <c r="I7720" s="4">
        <v>1925</v>
      </c>
      <c r="J7720" s="3">
        <v>1925</v>
      </c>
      <c r="K7720" s="4">
        <v>386</v>
      </c>
      <c r="L7720" t="s">
        <v>98</v>
      </c>
      <c r="M7720">
        <v>19</v>
      </c>
      <c r="N7720" t="s">
        <v>150</v>
      </c>
      <c r="O7720" t="s">
        <v>81</v>
      </c>
      <c r="P7720" t="s">
        <v>136</v>
      </c>
      <c r="Q7720" t="s">
        <v>140</v>
      </c>
      <c r="R7720" t="s">
        <v>141</v>
      </c>
      <c r="S7720" t="s">
        <v>145</v>
      </c>
      <c r="T7720" s="2">
        <f>MASTER[[#This Row],[CANTIDAD]]*MASTER[[#This Row],[PRECIO DE VENTA]]</f>
        <v>1925</v>
      </c>
      <c r="U7720" s="2">
        <f>MASTER[[#This Row],[CANTIDAD]]*MASTER[[#This Row],[COSTO UNITARIO]]</f>
        <v>386</v>
      </c>
      <c r="V7720" s="2">
        <f>MASTER[[#This Row],[MONTO VENDIDO]]-MASTER[[#This Row],[COSTO DE VENTA]]</f>
        <v>1539</v>
      </c>
    </row>
    <row r="7721" spans="1:22" x14ac:dyDescent="0.3">
      <c r="A7721">
        <v>110462</v>
      </c>
      <c r="B7721">
        <v>1</v>
      </c>
      <c r="C7721" t="s">
        <v>5</v>
      </c>
      <c r="D7721" t="s">
        <v>6</v>
      </c>
      <c r="E7721" s="1">
        <v>44557</v>
      </c>
      <c r="F7721">
        <v>1</v>
      </c>
      <c r="G7721" t="s">
        <v>27</v>
      </c>
      <c r="H7721" t="s">
        <v>28</v>
      </c>
      <c r="I7721" s="4">
        <v>2185</v>
      </c>
      <c r="J7721" s="3">
        <v>2185</v>
      </c>
      <c r="K7721" s="4">
        <v>393</v>
      </c>
      <c r="L7721" t="s">
        <v>9</v>
      </c>
      <c r="M7721">
        <v>19</v>
      </c>
      <c r="N7721" t="s">
        <v>150</v>
      </c>
      <c r="O7721" t="s">
        <v>81</v>
      </c>
      <c r="P7721" t="s">
        <v>136</v>
      </c>
      <c r="Q7721" t="s">
        <v>140</v>
      </c>
      <c r="R7721" t="s">
        <v>141</v>
      </c>
      <c r="S7721" t="s">
        <v>145</v>
      </c>
      <c r="T7721" s="2">
        <f>MASTER[[#This Row],[CANTIDAD]]*MASTER[[#This Row],[PRECIO DE VENTA]]</f>
        <v>2185</v>
      </c>
      <c r="U7721" s="2">
        <f>MASTER[[#This Row],[CANTIDAD]]*MASTER[[#This Row],[COSTO UNITARIO]]</f>
        <v>393</v>
      </c>
      <c r="V7721" s="2">
        <f>MASTER[[#This Row],[MONTO VENDIDO]]-MASTER[[#This Row],[COSTO DE VENTA]]</f>
        <v>1792</v>
      </c>
    </row>
    <row r="7722" spans="1:22" x14ac:dyDescent="0.3">
      <c r="A7722">
        <v>110467</v>
      </c>
      <c r="B7722">
        <v>1</v>
      </c>
      <c r="C7722" t="s">
        <v>5</v>
      </c>
      <c r="D7722" t="s">
        <v>6</v>
      </c>
      <c r="E7722" s="1">
        <v>44558</v>
      </c>
      <c r="F7722">
        <v>1</v>
      </c>
      <c r="G7722" t="s">
        <v>53</v>
      </c>
      <c r="H7722" t="s">
        <v>54</v>
      </c>
      <c r="I7722" s="4">
        <v>1879</v>
      </c>
      <c r="J7722" s="3">
        <v>1879</v>
      </c>
      <c r="K7722" s="4">
        <v>393</v>
      </c>
      <c r="L7722" t="s">
        <v>9</v>
      </c>
      <c r="M7722">
        <v>19</v>
      </c>
      <c r="N7722" t="s">
        <v>150</v>
      </c>
      <c r="O7722" t="s">
        <v>81</v>
      </c>
      <c r="P7722" t="s">
        <v>136</v>
      </c>
      <c r="Q7722" t="s">
        <v>140</v>
      </c>
      <c r="R7722" t="s">
        <v>141</v>
      </c>
      <c r="S7722" t="s">
        <v>145</v>
      </c>
      <c r="T7722" s="2">
        <f>MASTER[[#This Row],[CANTIDAD]]*MASTER[[#This Row],[PRECIO DE VENTA]]</f>
        <v>1879</v>
      </c>
      <c r="U7722" s="2">
        <f>MASTER[[#This Row],[CANTIDAD]]*MASTER[[#This Row],[COSTO UNITARIO]]</f>
        <v>393</v>
      </c>
      <c r="V7722" s="2">
        <f>MASTER[[#This Row],[MONTO VENDIDO]]-MASTER[[#This Row],[COSTO DE VENTA]]</f>
        <v>1486</v>
      </c>
    </row>
    <row r="7723" spans="1:22" x14ac:dyDescent="0.3">
      <c r="A7723">
        <v>110475</v>
      </c>
      <c r="B7723">
        <v>1</v>
      </c>
      <c r="C7723" t="s">
        <v>99</v>
      </c>
      <c r="D7723" t="s">
        <v>100</v>
      </c>
      <c r="E7723" s="1">
        <v>44559</v>
      </c>
      <c r="F7723">
        <v>1</v>
      </c>
      <c r="G7723" t="s">
        <v>45</v>
      </c>
      <c r="H7723" t="s">
        <v>46</v>
      </c>
      <c r="I7723" s="4">
        <v>2433</v>
      </c>
      <c r="J7723" s="3">
        <v>2433</v>
      </c>
      <c r="K7723" s="4">
        <v>386</v>
      </c>
      <c r="L7723" t="s">
        <v>98</v>
      </c>
      <c r="M7723">
        <v>19</v>
      </c>
      <c r="N7723" t="s">
        <v>150</v>
      </c>
      <c r="O7723" t="s">
        <v>81</v>
      </c>
      <c r="P7723" t="s">
        <v>136</v>
      </c>
      <c r="Q7723" t="s">
        <v>140</v>
      </c>
      <c r="R7723" t="s">
        <v>141</v>
      </c>
      <c r="S7723" t="s">
        <v>145</v>
      </c>
      <c r="T7723" s="2">
        <f>MASTER[[#This Row],[CANTIDAD]]*MASTER[[#This Row],[PRECIO DE VENTA]]</f>
        <v>2433</v>
      </c>
      <c r="U7723" s="2">
        <f>MASTER[[#This Row],[CANTIDAD]]*MASTER[[#This Row],[COSTO UNITARIO]]</f>
        <v>386</v>
      </c>
      <c r="V7723" s="2">
        <f>MASTER[[#This Row],[MONTO VENDIDO]]-MASTER[[#This Row],[COSTO DE VENTA]]</f>
        <v>2047</v>
      </c>
    </row>
    <row r="7724" spans="1:22" x14ac:dyDescent="0.3">
      <c r="A7724">
        <v>110498</v>
      </c>
      <c r="B7724">
        <v>1</v>
      </c>
      <c r="C7724" t="s">
        <v>103</v>
      </c>
      <c r="D7724" t="s">
        <v>104</v>
      </c>
      <c r="E7724" s="1">
        <v>44560</v>
      </c>
      <c r="F7724">
        <v>1</v>
      </c>
      <c r="G7724" t="s">
        <v>67</v>
      </c>
      <c r="H7724" t="s">
        <v>68</v>
      </c>
      <c r="I7724" s="4">
        <v>2306</v>
      </c>
      <c r="J7724" s="3">
        <v>2306</v>
      </c>
      <c r="K7724" s="4">
        <v>421</v>
      </c>
      <c r="L7724" t="s">
        <v>98</v>
      </c>
      <c r="M7724">
        <v>19</v>
      </c>
      <c r="N7724" t="s">
        <v>150</v>
      </c>
      <c r="O7724" t="s">
        <v>81</v>
      </c>
      <c r="P7724" t="s">
        <v>136</v>
      </c>
      <c r="Q7724" t="s">
        <v>140</v>
      </c>
      <c r="R7724" t="s">
        <v>141</v>
      </c>
      <c r="S7724" t="s">
        <v>145</v>
      </c>
      <c r="T7724" s="2">
        <f>MASTER[[#This Row],[CANTIDAD]]*MASTER[[#This Row],[PRECIO DE VENTA]]</f>
        <v>2306</v>
      </c>
      <c r="U7724" s="2">
        <f>MASTER[[#This Row],[CANTIDAD]]*MASTER[[#This Row],[COSTO UNITARIO]]</f>
        <v>421</v>
      </c>
      <c r="V7724" s="2">
        <f>MASTER[[#This Row],[MONTO VENDIDO]]-MASTER[[#This Row],[COSTO DE VENTA]]</f>
        <v>1885</v>
      </c>
    </row>
    <row r="7725" spans="1:22" x14ac:dyDescent="0.3">
      <c r="A7725">
        <v>110499</v>
      </c>
      <c r="B7725">
        <v>1</v>
      </c>
      <c r="C7725" t="s">
        <v>94</v>
      </c>
      <c r="D7725" t="s">
        <v>95</v>
      </c>
      <c r="E7725" s="1">
        <v>44561</v>
      </c>
      <c r="F7725">
        <v>1</v>
      </c>
      <c r="G7725" t="s">
        <v>39</v>
      </c>
      <c r="H7725" t="s">
        <v>40</v>
      </c>
      <c r="I7725" s="4">
        <v>1671</v>
      </c>
      <c r="J7725" s="3">
        <v>1671</v>
      </c>
      <c r="K7725" s="4">
        <v>392</v>
      </c>
      <c r="L7725" t="s">
        <v>9</v>
      </c>
      <c r="M7725">
        <v>19</v>
      </c>
      <c r="N7725" t="s">
        <v>150</v>
      </c>
      <c r="O7725" t="s">
        <v>81</v>
      </c>
      <c r="P7725" t="s">
        <v>136</v>
      </c>
      <c r="Q7725" t="s">
        <v>140</v>
      </c>
      <c r="R7725" t="s">
        <v>141</v>
      </c>
      <c r="S7725" t="s">
        <v>145</v>
      </c>
      <c r="T7725" s="2">
        <f>MASTER[[#This Row],[CANTIDAD]]*MASTER[[#This Row],[PRECIO DE VENTA]]</f>
        <v>1671</v>
      </c>
      <c r="U7725" s="2">
        <f>MASTER[[#This Row],[CANTIDAD]]*MASTER[[#This Row],[COSTO UNITARIO]]</f>
        <v>392</v>
      </c>
      <c r="V7725" s="2">
        <f>MASTER[[#This Row],[MONTO VENDIDO]]-MASTER[[#This Row],[COSTO DE VENTA]]</f>
        <v>1279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Histórico de Ventas</vt:lpstr>
      <vt:lpstr>VentasMaster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DrFelipeRamirez</dc:creator>
  <cp:lastModifiedBy>Dr. Felipe Ramirez</cp:lastModifiedBy>
  <dcterms:created xsi:type="dcterms:W3CDTF">2020-03-10T18:03:52Z</dcterms:created>
  <dcterms:modified xsi:type="dcterms:W3CDTF">2024-11-24T19:14:12Z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ea5f82bc-b0e2-42d5-8f6a-ee10ed2b895b</vt:lpwstr>
  </property>
</Properties>
</file>